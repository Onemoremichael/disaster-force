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c9724310734f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66c09efb3cb4d37"/>
    <x:sheet xmlns:r="http://schemas.openxmlformats.org/officeDocument/2006/relationships" name="Controls" sheetId="2" r:id="R92cff363590e4bc4"/>
    <x:sheet xmlns:r="http://schemas.openxmlformats.org/officeDocument/2006/relationships" name="Research Questions" sheetId="3" r:id="Rc1e95ccad88b43a4"/>
    <x:sheet xmlns:r="http://schemas.openxmlformats.org/officeDocument/2006/relationships" name="Claim Boundary" sheetId="4" r:id="R536fd9a41cd3417f"/>
    <x:sheet xmlns:r="http://schemas.openxmlformats.org/officeDocument/2006/relationships" name="Governance" sheetId="5" r:id="Rf8bde93368d141b1"/>
    <x:sheet xmlns:r="http://schemas.openxmlformats.org/officeDocument/2006/relationships" name="Baseline Package" sheetId="6" r:id="R3baa03a644614250"/>
    <x:sheet xmlns:r="http://schemas.openxmlformats.org/officeDocument/2006/relationships" name="Build Capsules" sheetId="7" r:id="R342b426748a7464f"/>
    <x:sheet xmlns:r="http://schemas.openxmlformats.org/officeDocument/2006/relationships" name="Builders" sheetId="8" r:id="R814085cae4c54e87"/>
    <x:sheet xmlns:r="http://schemas.openxmlformats.org/officeDocument/2006/relationships" name="Builder Qualification" sheetId="9" r:id="Rcd6a8f9b70524fc9"/>
    <x:sheet xmlns:r="http://schemas.openxmlformats.org/officeDocument/2006/relationships" name="Lot Design" sheetId="10" r:id="Rb82c08bc99c2462a"/>
    <x:sheet xmlns:r="http://schemas.openxmlformats.org/officeDocument/2006/relationships" name="Article Population" sheetId="11" r:id="R3272e9e546254e2d"/>
    <x:sheet xmlns:r="http://schemas.openxmlformats.org/officeDocument/2006/relationships" name="Material Matrix" sheetId="12" r:id="R1be3993053c54a08"/>
    <x:sheet xmlns:r="http://schemas.openxmlformats.org/officeDocument/2006/relationships" name="Tooling" sheetId="13" r:id="Ra3c0d640a3254bc1"/>
    <x:sheet xmlns:r="http://schemas.openxmlformats.org/officeDocument/2006/relationships" name="Transfer Standards" sheetId="14" r:id="R028789e550c94514"/>
    <x:sheet xmlns:r="http://schemas.openxmlformats.org/officeDocument/2006/relationships" name="Transfer Records" sheetId="15" r:id="Rc67e15bb9a484877"/>
    <x:sheet xmlns:r="http://schemas.openxmlformats.org/officeDocument/2006/relationships" name="Build Sequence" sheetId="16" r:id="R8bb4edcc45304502"/>
    <x:sheet xmlns:r="http://schemas.openxmlformats.org/officeDocument/2006/relationships" name="Section Travelers" sheetId="17" r:id="Rc3e80c8318f94e8b"/>
    <x:sheet xmlns:r="http://schemas.openxmlformats.org/officeDocument/2006/relationships" name="Material Coupons" sheetId="18" r:id="R037db5b1dfdc49d1"/>
    <x:sheet xmlns:r="http://schemas.openxmlformats.org/officeDocument/2006/relationships" name="NDE Records" sheetId="19" r:id="R757fd36681644799"/>
    <x:sheet xmlns:r="http://schemas.openxmlformats.org/officeDocument/2006/relationships" name="Joint Records" sheetId="20" r:id="R3f173f0146c34af3"/>
    <x:sheet xmlns:r="http://schemas.openxmlformats.org/officeDocument/2006/relationships" name="Control Elements" sheetId="21" r:id="R2ac2f6e05c6b4842"/>
    <x:sheet xmlns:r="http://schemas.openxmlformats.org/officeDocument/2006/relationships" name="Channel Instances" sheetId="22" r:id="R3af74ed939d24cc8"/>
    <x:sheet xmlns:r="http://schemas.openxmlformats.org/officeDocument/2006/relationships" name="Calibration Records" sheetId="23" r:id="R41937ee723874712"/>
    <x:sheet xmlns:r="http://schemas.openxmlformats.org/officeDocument/2006/relationships" name="Exceptions" sheetId="24" r:id="R1f5b0512c71e4491"/>
    <x:sheet xmlns:r="http://schemas.openxmlformats.org/officeDocument/2006/relationships" name="First-Pass Yield" sheetId="25" r:id="Reecf97d653654ca2"/>
    <x:sheet xmlns:r="http://schemas.openxmlformats.org/officeDocument/2006/relationships" name="Article Gates" sheetId="26" r:id="R8b25fa93fe7e4d91"/>
    <x:sheet xmlns:r="http://schemas.openxmlformats.org/officeDocument/2006/relationships" name="Article Release" sheetId="27" r:id="R461d93ee9f6b4093"/>
    <x:sheet xmlns:r="http://schemas.openxmlformats.org/officeDocument/2006/relationships" name="Cell Release" sheetId="28" r:id="Ra806839de77e4d59"/>
    <x:sheet xmlns:r="http://schemas.openxmlformats.org/officeDocument/2006/relationships" name="Bank Ledger" sheetId="29" r:id="R25b3195c543c4a4a"/>
    <x:sheet xmlns:r="http://schemas.openxmlformats.org/officeDocument/2006/relationships" name="Bank Release" sheetId="30" r:id="R385f8c8ac11e481a"/>
    <x:sheet xmlns:r="http://schemas.openxmlformats.org/officeDocument/2006/relationships" name="Replenishment" sheetId="31" r:id="R081f33b28e3948f6"/>
    <x:sheet xmlns:r="http://schemas.openxmlformats.org/officeDocument/2006/relationships" name="Change Control" sheetId="32" r:id="Rd7a2c344b09542ea"/>
    <x:sheet xmlns:r="http://schemas.openxmlformats.org/officeDocument/2006/relationships" name="Statistical Bounds" sheetId="33" r:id="R46f18d32fc874026"/>
    <x:sheet xmlns:r="http://schemas.openxmlformats.org/officeDocument/2006/relationships" name="Decision Rules" sheetId="34" r:id="Ra722a05f48644b28"/>
    <x:sheet xmlns:r="http://schemas.openxmlformats.org/officeDocument/2006/relationships" name="Stop Rules" sheetId="35" r:id="Re072c3ef3d704b00"/>
    <x:sheet xmlns:r="http://schemas.openxmlformats.org/officeDocument/2006/relationships" name="Quarantine" sheetId="36" r:id="R7819f3fe51534362"/>
    <x:sheet xmlns:r="http://schemas.openxmlformats.org/officeDocument/2006/relationships" name="Schedule" sheetId="37" r:id="R9d6953f00a93494a"/>
    <x:sheet xmlns:r="http://schemas.openxmlformats.org/officeDocument/2006/relationships" name="Capacity" sheetId="38" r:id="R5af3fea3e6ce4feb"/>
    <x:sheet xmlns:r="http://schemas.openxmlformats.org/officeDocument/2006/relationships" name="Workforce" sheetId="39" r:id="Rbe0fd8cc113e4df8"/>
    <x:sheet xmlns:r="http://schemas.openxmlformats.org/officeDocument/2006/relationships" name="Capital" sheetId="40" r:id="Rc9cf96ae7bf1464d"/>
    <x:sheet xmlns:r="http://schemas.openxmlformats.org/officeDocument/2006/relationships" name="Annual Support" sheetId="41" r:id="R7993a88debe14357"/>
    <x:sheet xmlns:r="http://schemas.openxmlformats.org/officeDocument/2006/relationships" name="Portfolio Boundary" sheetId="42" r:id="Rc7e2d01ea67d4c2c"/>
    <x:sheet xmlns:r="http://schemas.openxmlformats.org/officeDocument/2006/relationships" name="Technology Programs" sheetId="43" r:id="R3cd15049eb6a400b"/>
    <x:sheet xmlns:r="http://schemas.openxmlformats.org/officeDocument/2006/relationships" name="Audit" sheetId="44" r:id="R3fb00a94cc414e30"/>
    <x:sheet xmlns:r="http://schemas.openxmlformats.org/officeDocument/2006/relationships" name="Sources" sheetId="45" r:id="R5667faabb97e4ece"/>
    <x:sheet xmlns:r="http://schemas.openxmlformats.org/officeDocument/2006/relationships" name="ReadMe" sheetId="46" r:id="R13127c9b037845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0.00%"/>
    <x:numFmt numFmtId="202" formatCode="0"/>
    <x:numFmt numFmtId="203" formatCode="0.0"/>
  </x:numFmts>
  <x:fonts count="8">
    <x:font>
      <x:sz val="11"/>
      <x:name val="Carlito"/>
    </x:font>
    <x:font>
      <x:b/>
      <x:sz val="14"/>
      <x:color rgb="FF17365D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sz val="10"/>
      <x:color rgb="FF0070C0"/>
      <x:name val="Arial"/>
    </x:font>
    <x:font>
      <x:sz val="10"/>
      <x:color rgb="FF008000"/>
      <x:name val="Arial"/>
    </x:font>
    <x:font>
      <x:b/>
      <x:sz val="10"/>
      <x:color rgb="FF17365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3" borderId="0" xfId="0" applyNumberFormat="1" applyFont="1" applyFill="1" applyBorder="1"/>
    <x:xf numFmtId="0" fontId="5" fillId="3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200" fontId="5" fillId="3" borderId="0" xfId="0" applyNumberFormat="1" applyFont="1" applyFill="1" applyBorder="1"/>
    <x:xf numFmtId="200" fontId="4" fillId="0" borderId="0" xfId="0" applyNumberFormat="1" applyFont="1" applyFill="1" applyBorder="1"/>
    <x:xf numFmtId="0" fontId="6" fillId="0" borderId="0" xfId="0" applyNumberFormat="1" applyFont="1" applyFill="1" applyBorder="1"/>
    <x:xf numFmtId="201" fontId="4" fillId="0" borderId="0" xfId="0" applyNumberFormat="1" applyFont="1" applyFill="1" applyBorder="1"/>
    <x:xf numFmtId="202" fontId="4" fillId="0" borderId="0" xfId="0" applyNumberFormat="1" applyFont="1" applyFill="1" applyBorder="1"/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200" fontId="7" fillId="4" borderId="0" xfId="0" applyNumberFormat="1" applyFont="1" applyFill="1" applyBorder="1"/>
    <x:xf numFmtId="203" fontId="4" fillId="0" borderId="0" xfId="0" applyNumberFormat="1" applyFont="1" applyFill="1" applyBorder="1"/>
    <x:xf numFmtId="203" fontId="7" fillId="4" borderId="0" xfId="0" applyNumberFormat="1" applyFont="1" applyFill="1" applyBorder="1"/>
    <x:xf numFmtId="203" fontId="4" fillId="3" borderId="0" xfId="0" applyNumberFormat="1" applyFont="1" applyFill="1" applyBorder="1"/>
    <x:xf numFmtId="203" fontId="5" fillId="3" borderId="0" xfId="0" applyNumberFormat="1" applyFont="1" applyFill="1" applyBorder="1"/>
    <x:xf numFmtId="0" fontId="6" fillId="3" borderId="0" xfId="0" applyNumberFormat="1" applyFont="1" applyFill="1" applyBorder="1"/>
  </x:cellXfs>
  <x:cellStyles count="1">
    <x:cellStyle name="Normal" xfId="0"/>
  </x:cellStyles>
  <x:dxfs count="168"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fd6cd4238e423f" /><Relationship Type="http://schemas.openxmlformats.org/officeDocument/2006/relationships/theme" Target="/xl/theme/theme1.xml" Id="R2f8ad65e0fc049da" /><Relationship Type="http://schemas.openxmlformats.org/officeDocument/2006/relationships/sharedStrings" Target="/xl/sharedStrings.xml" Id="Rf117f915330b4a6e" /><Relationship Type="http://schemas.openxmlformats.org/officeDocument/2006/relationships/worksheet" Target="/xl/worksheets/sheet1.xml" Id="R866c09efb3cb4d37" /><Relationship Type="http://schemas.openxmlformats.org/officeDocument/2006/relationships/worksheet" Target="/xl/worksheets/sheet2.xml" Id="R92cff363590e4bc4" /><Relationship Type="http://schemas.openxmlformats.org/officeDocument/2006/relationships/worksheet" Target="/xl/worksheets/sheet3.xml" Id="Rc1e95ccad88b43a4" /><Relationship Type="http://schemas.openxmlformats.org/officeDocument/2006/relationships/worksheet" Target="/xl/worksheets/sheet4.xml" Id="R536fd9a41cd3417f" /><Relationship Type="http://schemas.openxmlformats.org/officeDocument/2006/relationships/worksheet" Target="/xl/worksheets/sheet5.xml" Id="Rf8bde93368d141b1" /><Relationship Type="http://schemas.openxmlformats.org/officeDocument/2006/relationships/worksheet" Target="/xl/worksheets/sheet6.xml" Id="R3baa03a644614250" /><Relationship Type="http://schemas.openxmlformats.org/officeDocument/2006/relationships/worksheet" Target="/xl/worksheets/sheet7.xml" Id="R342b426748a7464f" /><Relationship Type="http://schemas.openxmlformats.org/officeDocument/2006/relationships/worksheet" Target="/xl/worksheets/sheet8.xml" Id="R814085cae4c54e87" /><Relationship Type="http://schemas.openxmlformats.org/officeDocument/2006/relationships/worksheet" Target="/xl/worksheets/sheet9.xml" Id="Rcd6a8f9b70524fc9" /><Relationship Type="http://schemas.openxmlformats.org/officeDocument/2006/relationships/worksheet" Target="/xl/worksheets/sheet10.xml" Id="Rb82c08bc99c2462a" /><Relationship Type="http://schemas.openxmlformats.org/officeDocument/2006/relationships/worksheet" Target="/xl/worksheets/sheet11.xml" Id="R3272e9e546254e2d" /><Relationship Type="http://schemas.openxmlformats.org/officeDocument/2006/relationships/worksheet" Target="/xl/worksheets/sheet12.xml" Id="R1be3993053c54a08" /><Relationship Type="http://schemas.openxmlformats.org/officeDocument/2006/relationships/worksheet" Target="/xl/worksheets/sheet13.xml" Id="Ra3c0d640a3254bc1" /><Relationship Type="http://schemas.openxmlformats.org/officeDocument/2006/relationships/worksheet" Target="/xl/worksheets/sheet14.xml" Id="R028789e550c94514" /><Relationship Type="http://schemas.openxmlformats.org/officeDocument/2006/relationships/worksheet" Target="/xl/worksheets/sheet15.xml" Id="Rc67e15bb9a484877" /><Relationship Type="http://schemas.openxmlformats.org/officeDocument/2006/relationships/worksheet" Target="/xl/worksheets/sheet16.xml" Id="R8bb4edcc45304502" /><Relationship Type="http://schemas.openxmlformats.org/officeDocument/2006/relationships/worksheet" Target="/xl/worksheets/sheet17.xml" Id="Rc3e80c8318f94e8b" /><Relationship Type="http://schemas.openxmlformats.org/officeDocument/2006/relationships/worksheet" Target="/xl/worksheets/sheet18.xml" Id="R037db5b1dfdc49d1" /><Relationship Type="http://schemas.openxmlformats.org/officeDocument/2006/relationships/worksheet" Target="/xl/worksheets/sheet19.xml" Id="R757fd36681644799" /><Relationship Type="http://schemas.openxmlformats.org/officeDocument/2006/relationships/worksheet" Target="/xl/worksheets/sheet20.xml" Id="R3f173f0146c34af3" /><Relationship Type="http://schemas.openxmlformats.org/officeDocument/2006/relationships/worksheet" Target="/xl/worksheets/sheet21.xml" Id="R2ac2f6e05c6b4842" /><Relationship Type="http://schemas.openxmlformats.org/officeDocument/2006/relationships/worksheet" Target="/xl/worksheets/sheet22.xml" Id="R3af74ed939d24cc8" /><Relationship Type="http://schemas.openxmlformats.org/officeDocument/2006/relationships/worksheet" Target="/xl/worksheets/sheet23.xml" Id="R41937ee723874712" /><Relationship Type="http://schemas.openxmlformats.org/officeDocument/2006/relationships/worksheet" Target="/xl/worksheets/sheet24.xml" Id="R1f5b0512c71e4491" /><Relationship Type="http://schemas.openxmlformats.org/officeDocument/2006/relationships/worksheet" Target="/xl/worksheets/sheet25.xml" Id="Reecf97d653654ca2" /><Relationship Type="http://schemas.openxmlformats.org/officeDocument/2006/relationships/worksheet" Target="/xl/worksheets/sheet26.xml" Id="R8b25fa93fe7e4d91" /><Relationship Type="http://schemas.openxmlformats.org/officeDocument/2006/relationships/worksheet" Target="/xl/worksheets/sheet27.xml" Id="R461d93ee9f6b4093" /><Relationship Type="http://schemas.openxmlformats.org/officeDocument/2006/relationships/worksheet" Target="/xl/worksheets/sheet28.xml" Id="Ra806839de77e4d59" /><Relationship Type="http://schemas.openxmlformats.org/officeDocument/2006/relationships/worksheet" Target="/xl/worksheets/sheet29.xml" Id="R25b3195c543c4a4a" /><Relationship Type="http://schemas.openxmlformats.org/officeDocument/2006/relationships/worksheet" Target="/xl/worksheets/sheet30.xml" Id="R385f8c8ac11e481a" /><Relationship Type="http://schemas.openxmlformats.org/officeDocument/2006/relationships/worksheet" Target="/xl/worksheets/sheet31.xml" Id="R081f33b28e3948f6" /><Relationship Type="http://schemas.openxmlformats.org/officeDocument/2006/relationships/worksheet" Target="/xl/worksheets/sheet32.xml" Id="Rd7a2c344b09542ea" /><Relationship Type="http://schemas.openxmlformats.org/officeDocument/2006/relationships/worksheet" Target="/xl/worksheets/sheet33.xml" Id="R46f18d32fc874026" /><Relationship Type="http://schemas.openxmlformats.org/officeDocument/2006/relationships/worksheet" Target="/xl/worksheets/sheet34.xml" Id="Ra722a05f48644b28" /><Relationship Type="http://schemas.openxmlformats.org/officeDocument/2006/relationships/worksheet" Target="/xl/worksheets/sheet35.xml" Id="Re072c3ef3d704b00" /><Relationship Type="http://schemas.openxmlformats.org/officeDocument/2006/relationships/worksheet" Target="/xl/worksheets/sheet36.xml" Id="R7819f3fe51534362" /><Relationship Type="http://schemas.openxmlformats.org/officeDocument/2006/relationships/worksheet" Target="/xl/worksheets/sheet37.xml" Id="R9d6953f00a93494a" /><Relationship Type="http://schemas.openxmlformats.org/officeDocument/2006/relationships/worksheet" Target="/xl/worksheets/sheet38.xml" Id="R5af3fea3e6ce4feb" /><Relationship Type="http://schemas.openxmlformats.org/officeDocument/2006/relationships/worksheet" Target="/xl/worksheets/sheet39.xml" Id="Rbe0fd8cc113e4df8" /><Relationship Type="http://schemas.openxmlformats.org/officeDocument/2006/relationships/worksheet" Target="/xl/worksheets/sheet40.xml" Id="Rc9cf96ae7bf1464d" /><Relationship Type="http://schemas.openxmlformats.org/officeDocument/2006/relationships/worksheet" Target="/xl/worksheets/sheet41.xml" Id="R7993a88debe14357" /><Relationship Type="http://schemas.openxmlformats.org/officeDocument/2006/relationships/worksheet" Target="/xl/worksheets/sheet42.xml" Id="Rc7e2d01ea67d4c2c" /><Relationship Type="http://schemas.openxmlformats.org/officeDocument/2006/relationships/worksheet" Target="/xl/worksheets/sheet43.xml" Id="R3cd15049eb6a400b" /><Relationship Type="http://schemas.openxmlformats.org/officeDocument/2006/relationships/worksheet" Target="/xl/worksheets/sheet44.xml" Id="R3fb00a94cc414e30" /><Relationship Type="http://schemas.openxmlformats.org/officeDocument/2006/relationships/worksheet" Target="/xl/worksheets/sheet45.xml" Id="R5667faabb97e4ece" /><Relationship Type="http://schemas.openxmlformats.org/officeDocument/2006/relationships/worksheet" Target="/xl/worksheets/sheet46.xml" Id="R13127c9b037845f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34" hidden="0" customWidth="1"/>
    <x:col min="3" max="3" width="119" hidden="0" customWidth="1"/>
    <x:col min="5" max="5" width="26" hidden="0" customWidth="1"/>
    <x:col min="6" max="6" width="18" hidden="0" customWidth="1"/>
    <x:col min="7" max="7" width="28" hidden="0" customWidth="1"/>
    <x:col min="8" max="8" width="18" hidden="0" customWidth="1"/>
  </x:cols>
  <x:sheetData>
    <x:row r="2">
      <x:c r="B2" s="1" t="str">
        <x:v>RAQ-1 production-equivalent lot and reproduction constitution</x:v>
      </x:c>
    </x:row>
    <x:row r="3">
      <x:c r="B3" s="2" t="str">
        <x:v>The bank is built by three independent production cells under common public configuration and acceptance.</x:v>
      </x:c>
    </x:row>
    <x:row r="6" ht="24" customHeight="1">
      <x:c r="B6" s="6" t="str">
        <x:v>Decision field</x:v>
      </x:c>
      <x:c r="C6" s="6" t="str">
        <x:v>RAQ-1 position</x:v>
      </x:c>
      <x:c r="E6" s="6" t="str">
        <x:v>NUMERIC ANCHORS</x:v>
      </x:c>
      <x:c r="F6" s="6"/>
      <x:c r="G6" s="6"/>
      <x:c r="H6" s="6"/>
    </x:row>
    <x:row r="7" ht="46" customHeight="1">
      <x:c r="B7" s="7" t="str">
        <x:v>Object</x:v>
      </x:c>
      <x:c r="C7" s="10" t="str">
        <x:v>RAQ-1 production-equivalent lot and second-team reproduction constitution</x:v>
      </x:c>
      <x:c r="E7" s="17" t="str">
        <x:v>Articles</x:v>
      </x:c>
      <x:c r="F7" s="17" t="n">
        <x:f>COUNTA('Article Population'!B7:B24)</x:f>
        <x:v>18</x:v>
      </x:c>
      <x:c r="G7" s="17" t="str">
        <x:v>Builder-lineage cells</x:v>
      </x:c>
      <x:c r="H7" s="17" t="n">
        <x:f>COUNTA('Lot Design'!B7:B12)</x:f>
        <x:v>6</x:v>
      </x:c>
    </x:row>
    <x:row r="8" ht="46" customHeight="1">
      <x:c r="B8" s="7" t="str">
        <x:v>Decision</x:v>
      </x:c>
      <x:c r="C8" s="10" t="str">
        <x:v>Admit a complete eighteen-role article set into the RAP-1 research bank</x:v>
      </x:c>
      <x:c r="E8" s="17" t="str">
        <x:v>Article gates</x:v>
      </x:c>
      <x:c r="F8" s="17" t="n">
        <x:f>COUNTA('Article Gates'!B7:B7026)</x:f>
        <x:v>7020</x:v>
      </x:c>
      <x:c r="G8" s="17" t="str">
        <x:v>Transfer observations</x:v>
      </x:c>
      <x:c r="H8" s="17" t="n">
        <x:f>COUNTA('Transfer Records'!B7:B1734)</x:f>
        <x:v>1728</x:v>
      </x:c>
    </x:row>
    <x:row r="9" ht="46" customHeight="1">
      <x:c r="B9" s="7" t="str">
        <x:v>Lot structure</x:v>
      </x:c>
      <x:c r="C9" s="10" t="str">
        <x:v>Three builders × two unlike lineages × three consecutive articles</x:v>
      </x:c>
      <x:c r="E9" s="17" t="str">
        <x:v>Channels</x:v>
      </x:c>
      <x:c r="F9" s="17" t="n">
        <x:f>COUNTA('Channel Instances'!B7:B2598)</x:f>
        <x:v>2592</x:v>
      </x:c>
      <x:c r="G9" s="17" t="str">
        <x:v>Factory calibrations</x:v>
      </x:c>
      <x:c r="H9" s="17" t="n">
        <x:f>COUNTA('Calibration Records'!B7:B2598)</x:f>
        <x:v>2592</x:v>
      </x:c>
    </x:row>
    <x:row r="10" ht="46" customHeight="1">
      <x:c r="B10" s="7" t="str">
        <x:v>Role structure</x:v>
      </x:c>
      <x:c r="C10" s="10" t="str">
        <x:v>Six operational, six functional twins, three calibration and three destructive articles</x:v>
      </x:c>
      <x:c r="E10" s="17" t="str">
        <x:v>Capital USD M</x:v>
      </x:c>
      <x:c r="F10" s="17" t="n">
        <x:f>Capital!C14</x:f>
        <x:v>66</x:v>
      </x:c>
      <x:c r="G10" s="17" t="str">
        <x:v>Annual USD M</x:v>
      </x:c>
      <x:c r="H10" s="17" t="n">
        <x:f>'Annual Support'!C14</x:f>
        <x:v>16</x:v>
      </x:c>
    </x:row>
    <x:row r="11" ht="46" customHeight="1">
      <x:c r="B11" s="7" t="str">
        <x:v>Material crossing</x:v>
      </x:c>
      <x:c r="C11" s="10" t="str">
        <x:v>Three parent bundles per lineage split across all three builders</x:v>
      </x:c>
      <x:c r="E11" s="17" t="str">
        <x:v>24-month USD M</x:v>
      </x:c>
      <x:c r="F11" s="17" t="n">
        <x:f>Capital!C14+2*'Annual Support'!C14</x:f>
        <x:v>98</x:v>
      </x:c>
      <x:c r="G11" s="17" t="str">
        <x:v>Technology USD M</x:v>
      </x:c>
      <x:c r="H11" s="17" t="n">
        <x:f>'Technology Programs'!D17</x:f>
        <x:v>130</x:v>
      </x:c>
    </x:row>
    <x:row r="12" ht="46" customHeight="1">
      <x:c r="B12" s="7" t="str">
        <x:v>Build capsule</x:v>
      </x:c>
      <x:c r="C12" s="10" t="str">
        <x:v>Sixteen controlled components per lineage; one public root issued equally to every builder</x:v>
      </x:c>
      <x:c r="E12" s="17" t="str">
        <x:v>Sequential months</x:v>
      </x:c>
      <x:c r="F12" s="17" t="n">
        <x:f>'Portfolio Boundary'!C24</x:f>
        <x:v>60</x:v>
      </x:c>
      <x:c r="G12" s="17" t="str">
        <x:v>Schedule excess</x:v>
      </x:c>
      <x:c r="H12" s="17" t="n">
        <x:f>'Portfolio Boundary'!C26</x:f>
        <x:v>36</x:v>
      </x:c>
    </x:row>
    <x:row r="13" ht="46" customHeight="1">
      <x:c r="B13" s="7" t="str">
        <x:v>Tooling</x:v>
      </x:c>
      <x:c r="C13" s="10" t="str">
        <x:v>Twenty-four independent production-tool families at each builder; seventy-two units</x:v>
      </x:c>
    </x:row>
    <x:row r="14" ht="46" customHeight="1">
      <x:c r="B14" s="7" t="str">
        <x:v>Measurement transfer</x:v>
      </x:c>
      <x:c r="C14" s="10" t="str">
        <x:v>Twenty-four families × six standards × three sites × two operators × two repeats = 1,728 observations</x:v>
      </x:c>
    </x:row>
    <x:row r="15" ht="46" customHeight="1">
      <x:c r="B15" s="7" t="str">
        <x:v>Factory evidence</x:v>
      </x:c>
      <x:c r="C15" s="10" t="str">
        <x:v>360 travelers, 720 coupons, 360 NDE records, 90 joints and 216 final elements</x:v>
      </x:c>
    </x:row>
    <x:row r="16" ht="46" customHeight="1">
      <x:c r="B16" s="7" t="str">
        <x:v>Instrumentation</x:v>
      </x:c>
      <x:c r="C16" s="10" t="str">
        <x:v>2,592 installed channels and 2,592 factory calibrations</x:v>
      </x:c>
    </x:row>
    <x:row r="17" ht="46" customHeight="1">
      <x:c r="B17" s="7" t="str">
        <x:v>Article acceptance</x:v>
      </x:c>
      <x:c r="C17" s="10" t="str">
        <x:v>390 gates per article and 7,020 article gates in total</x:v>
      </x:c>
    </x:row>
    <x:row r="18" ht="46" customHeight="1">
      <x:c r="B18" s="7" t="str">
        <x:v>First-pass inference</x:v>
      </x:c>
      <x:c r="C18" s="10" t="str">
        <x:v>Three clean cell units imply only a 36.84% one-sided lower yield bound; eighteen imply 84.66%</x:v>
      </x:c>
    </x:row>
    <x:row r="19" ht="46" customHeight="1">
      <x:c r="B19" s="7" t="str">
        <x:v>Bank rule</x:v>
      </x:c>
      <x:c r="C19" s="10" t="str">
        <x:v>All eighteen committed roles and all six builder-lineage cells must release; no favorable-unit selection</x:v>
      </x:c>
    </x:row>
    <x:row r="20" ht="46" customHeight="1">
      <x:c r="B20" s="7" t="str">
        <x:v>Organization</x:v>
      </x:c>
      <x:c r="C20" s="10" t="str">
        <x:v>240 assigned positions across three builders and separated public authorities</x:v>
      </x:c>
    </x:row>
    <x:row r="21" ht="46" customHeight="1">
      <x:c r="B21" s="7" t="str">
        <x:v>Finance</x:v>
      </x:c>
      <x:c r="C21" s="10" t="str">
        <x:v>USD 66M capital, USD 16M/year and USD 98M over twenty-four months</x:v>
      </x:c>
    </x:row>
    <x:row r="22" ht="46" customHeight="1">
      <x:c r="B22" s="7" t="str">
        <x:v>Portfolio</x:v>
      </x:c>
      <x:c r="C22" s="10" t="str">
        <x:v>RAC-1, RAB-1 and RAQ-1 exactly allocate RAP-1 capital, annual support and technology</x:v>
      </x:c>
    </x:row>
    <x:row r="23" ht="46" customHeight="1">
      <x:c r="B23" s="7" t="str">
        <x:v>Schedule correction</x:v>
      </x:c>
      <x:c r="C23" s="10" t="str">
        <x:v>The gated chain is sixty sequential months, thirty-six beyond the original RAP-1 duration</x:v>
      </x:c>
    </x:row>
    <x:row r="24" ht="46" customHeight="1">
      <x:c r="B24" s="7" t="str">
        <x:v>Authority ceiling</x:v>
      </x:c>
      <x:c r="C24" s="10" t="str">
        <x:v>Bank entry only; physical campaign, source event, candidate, series production and exterior form remain unavailable</x:v>
      </x:c>
    </x:row>
    <x:row r="25" ht="46" customHeight="1">
      <x:c r="B25" s="7" t="str">
        <x:v>Next object</x:v>
      </x:c>
      <x:c r="C25" s="10" t="str">
        <x:v>RAX-1 campaign mobilization and article-to-rig operational readiness</x:v>
      </x:c>
    </x:row>
  </x:sheetData>
  <x:mergeCells>
    <x:mergeCell ref="E6:H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9DC3E6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1" hidden="0" customWidth="1"/>
    <x:col min="3" max="3" width="58" hidden="0" customWidth="1"/>
    <x:col min="4" max="4" width="18" hidden="0" customWidth="1"/>
    <x:col min="5" max="5" width="22" hidden="0" customWidth="1"/>
    <x:col min="6" max="6" width="18" hidden="0" customWidth="1"/>
    <x:col min="7" max="7" width="19" hidden="0" customWidth="1"/>
  </x:cols>
  <x:sheetData>
    <x:row r="2">
      <x:c r="B2" s="1" t="str">
        <x:v>RAQ-1 controls</x:v>
      </x:c>
    </x:row>
    <x:row r="3">
      <x:c r="B3" s="2" t="str">
        <x:v>Amber cells are declared inputs or inherited boundaries. Physical and downstream authorities begin unavailable.</x:v>
      </x:c>
    </x:row>
    <x:row r="6" ht="24" customHeight="1">
      <x:c r="B6" s="6" t="str">
        <x:v>ID</x:v>
      </x:c>
      <x:c r="C6" s="6" t="str">
        <x:v>Control</x:v>
      </x:c>
      <x:c r="D6" s="6" t="str">
        <x:v>Value</x:v>
      </x:c>
      <x:c r="E6" s="6" t="str">
        <x:v>Unit</x:v>
      </x:c>
      <x:c r="F6" s="6" t="str">
        <x:v>Class</x:v>
      </x:c>
      <x:c r="G6" s="6" t="str">
        <x:v>Authority</x:v>
      </x:c>
    </x:row>
    <x:row r="7">
      <x:c r="B7" s="7" t="str">
        <x:v>C01</x:v>
      </x:c>
      <x:c r="C7" s="7" t="str">
        <x:v>production builders</x:v>
      </x:c>
      <x:c r="D7" s="9" t="n">
        <x:v>3</x:v>
      </x:c>
      <x:c r="E7" s="7" t="str">
        <x:v>builders</x:v>
      </x:c>
      <x:c r="F7" s="7" t="str">
        <x:v>design</x:v>
      </x:c>
      <x:c r="G7" s="7" t="str">
        <x:v>RAQ-1</x:v>
      </x:c>
    </x:row>
    <x:row r="8">
      <x:c r="B8" s="7" t="str">
        <x:v>C02</x:v>
      </x:c>
      <x:c r="C8" s="7" t="str">
        <x:v>construction lineages</x:v>
      </x:c>
      <x:c r="D8" s="9" t="n">
        <x:v>2</x:v>
      </x:c>
      <x:c r="E8" s="7" t="str">
        <x:v>lineages</x:v>
      </x:c>
      <x:c r="F8" s="7" t="str">
        <x:v>inherited</x:v>
      </x:c>
      <x:c r="G8" s="7" t="str">
        <x:v>RAB-1</x:v>
      </x:c>
    </x:row>
    <x:row r="9">
      <x:c r="B9" s="7" t="str">
        <x:v>C03</x:v>
      </x:c>
      <x:c r="C9" s="7" t="str">
        <x:v>builder-lineage cells</x:v>
      </x:c>
      <x:c r="D9" s="23" t="n">
        <x:f>D7*D8</x:f>
        <x:v>6</x:v>
      </x:c>
      <x:c r="E9" s="7" t="str">
        <x:v>cells</x:v>
      </x:c>
      <x:c r="F9" s="7" t="str">
        <x:v>derived</x:v>
      </x:c>
      <x:c r="G9" s="7" t="str">
        <x:v>RAQ-1</x:v>
      </x:c>
    </x:row>
    <x:row r="10">
      <x:c r="B10" s="7" t="str">
        <x:v>C04</x:v>
      </x:c>
      <x:c r="C10" s="7" t="str">
        <x:v>articles per cell</x:v>
      </x:c>
      <x:c r="D10" s="9" t="n">
        <x:v>3</x:v>
      </x:c>
      <x:c r="E10" s="7" t="str">
        <x:v>articles</x:v>
      </x:c>
      <x:c r="F10" s="7" t="str">
        <x:v>design</x:v>
      </x:c>
      <x:c r="G10" s="7" t="str">
        <x:v>RAQ-1</x:v>
      </x:c>
    </x:row>
    <x:row r="11">
      <x:c r="B11" s="7" t="str">
        <x:v>C05</x:v>
      </x:c>
      <x:c r="C11" s="7" t="str">
        <x:v>production-equivalent articles</x:v>
      </x:c>
      <x:c r="D11" s="23" t="n">
        <x:f>D9*D10</x:f>
        <x:v>18</x:v>
      </x:c>
      <x:c r="E11" s="7" t="str">
        <x:v>articles</x:v>
      </x:c>
      <x:c r="F11" s="7" t="str">
        <x:v>inherited</x:v>
      </x:c>
      <x:c r="G11" s="7" t="str">
        <x:v>RAP-1</x:v>
      </x:c>
    </x:row>
    <x:row r="12">
      <x:c r="B12" s="7" t="str">
        <x:v>C06</x:v>
      </x:c>
      <x:c r="C12" s="7" t="str">
        <x:v>sections per article</x:v>
      </x:c>
      <x:c r="D12" s="9" t="n">
        <x:v>20</x:v>
      </x:c>
      <x:c r="E12" s="7" t="str">
        <x:v>sections</x:v>
      </x:c>
      <x:c r="F12" s="7" t="str">
        <x:v>inherited</x:v>
      </x:c>
      <x:c r="G12" s="7" t="str">
        <x:v>RAP-1</x:v>
      </x:c>
    </x:row>
    <x:row r="13">
      <x:c r="B13" s="7" t="str">
        <x:v>C07</x:v>
      </x:c>
      <x:c r="C13" s="7" t="str">
        <x:v>adjacent-process coupons per article</x:v>
      </x:c>
      <x:c r="D13" s="9" t="n">
        <x:v>40</x:v>
      </x:c>
      <x:c r="E13" s="7" t="str">
        <x:v>coupons</x:v>
      </x:c>
      <x:c r="F13" s="7" t="str">
        <x:v>inherited</x:v>
      </x:c>
      <x:c r="G13" s="7" t="str">
        <x:v>RAP-1</x:v>
      </x:c>
    </x:row>
    <x:row r="14">
      <x:c r="B14" s="7" t="str">
        <x:v>C08</x:v>
      </x:c>
      <x:c r="C14" s="7" t="str">
        <x:v>joints per article</x:v>
      </x:c>
      <x:c r="D14" s="9" t="n">
        <x:v>5</x:v>
      </x:c>
      <x:c r="E14" s="7" t="str">
        <x:v>joints</x:v>
      </x:c>
      <x:c r="F14" s="7" t="str">
        <x:v>inherited</x:v>
      </x:c>
      <x:c r="G14" s="7" t="str">
        <x:v>RAC-1</x:v>
      </x:c>
    </x:row>
    <x:row r="15">
      <x:c r="B15" s="7" t="str">
        <x:v>C09</x:v>
      </x:c>
      <x:c r="C15" s="7" t="str">
        <x:v>final elements per article</x:v>
      </x:c>
      <x:c r="D15" s="9" t="n">
        <x:v>12</x:v>
      </x:c>
      <x:c r="E15" s="7" t="str">
        <x:v>elements</x:v>
      </x:c>
      <x:c r="F15" s="7" t="str">
        <x:v>inherited</x:v>
      </x:c>
      <x:c r="G15" s="7" t="str">
        <x:v>RAP-1</x:v>
      </x:c>
    </x:row>
    <x:row r="16">
      <x:c r="B16" s="7" t="str">
        <x:v>C10</x:v>
      </x:c>
      <x:c r="C16" s="7" t="str">
        <x:v>channel families</x:v>
      </x:c>
      <x:c r="D16" s="9" t="n">
        <x:v>24</x:v>
      </x:c>
      <x:c r="E16" s="7" t="str">
        <x:v>families</x:v>
      </x:c>
      <x:c r="F16" s="7" t="str">
        <x:v>inherited</x:v>
      </x:c>
      <x:c r="G16" s="7" t="str">
        <x:v>RAP-1</x:v>
      </x:c>
    </x:row>
    <x:row r="17">
      <x:c r="B17" s="7" t="str">
        <x:v>C11</x:v>
      </x:c>
      <x:c r="C17" s="7" t="str">
        <x:v>channels per family per article</x:v>
      </x:c>
      <x:c r="D17" s="9" t="n">
        <x:v>6</x:v>
      </x:c>
      <x:c r="E17" s="7" t="str">
        <x:v>channels</x:v>
      </x:c>
      <x:c r="F17" s="7" t="str">
        <x:v>inherited</x:v>
      </x:c>
      <x:c r="G17" s="7" t="str">
        <x:v>RAP-1</x:v>
      </x:c>
    </x:row>
    <x:row r="18">
      <x:c r="B18" s="7" t="str">
        <x:v>C12</x:v>
      </x:c>
      <x:c r="C18" s="7" t="str">
        <x:v>channels per article</x:v>
      </x:c>
      <x:c r="D18" s="23" t="n">
        <x:f>D16*D17</x:f>
        <x:v>144</x:v>
      </x:c>
      <x:c r="E18" s="7" t="str">
        <x:v>channels</x:v>
      </x:c>
      <x:c r="F18" s="7" t="str">
        <x:v>derived</x:v>
      </x:c>
      <x:c r="G18" s="7" t="str">
        <x:v>RAQ-1</x:v>
      </x:c>
    </x:row>
    <x:row r="19">
      <x:c r="B19" s="7" t="str">
        <x:v>C13</x:v>
      </x:c>
      <x:c r="C19" s="7" t="str">
        <x:v>transfer standards per family</x:v>
      </x:c>
      <x:c r="D19" s="9" t="n">
        <x:v>6</x:v>
      </x:c>
      <x:c r="E19" s="7" t="str">
        <x:v>standards</x:v>
      </x:c>
      <x:c r="F19" s="7" t="str">
        <x:v>design</x:v>
      </x:c>
      <x:c r="G19" s="7" t="str">
        <x:v>RAQ-1</x:v>
      </x:c>
    </x:row>
    <x:row r="20">
      <x:c r="B20" s="7" t="str">
        <x:v>C14</x:v>
      </x:c>
      <x:c r="C20" s="7" t="str">
        <x:v>transfer sites</x:v>
      </x:c>
      <x:c r="D20" s="9" t="n">
        <x:v>3</x:v>
      </x:c>
      <x:c r="E20" s="7" t="str">
        <x:v>sites</x:v>
      </x:c>
      <x:c r="F20" s="7" t="str">
        <x:v>design</x:v>
      </x:c>
      <x:c r="G20" s="7" t="str">
        <x:v>RAQ-1</x:v>
      </x:c>
    </x:row>
    <x:row r="21">
      <x:c r="B21" s="7" t="str">
        <x:v>C15</x:v>
      </x:c>
      <x:c r="C21" s="7" t="str">
        <x:v>transfer operators per site</x:v>
      </x:c>
      <x:c r="D21" s="9" t="n">
        <x:v>2</x:v>
      </x:c>
      <x:c r="E21" s="7" t="str">
        <x:v>operators</x:v>
      </x:c>
      <x:c r="F21" s="7" t="str">
        <x:v>design</x:v>
      </x:c>
      <x:c r="G21" s="7" t="str">
        <x:v>RAQ-1</x:v>
      </x:c>
    </x:row>
    <x:row r="22">
      <x:c r="B22" s="7" t="str">
        <x:v>C16</x:v>
      </x:c>
      <x:c r="C22" s="7" t="str">
        <x:v>transfer repeats</x:v>
      </x:c>
      <x:c r="D22" s="9" t="n">
        <x:v>2</x:v>
      </x:c>
      <x:c r="E22" s="7" t="str">
        <x:v>repeats</x:v>
      </x:c>
      <x:c r="F22" s="7" t="str">
        <x:v>design</x:v>
      </x:c>
      <x:c r="G22" s="7" t="str">
        <x:v>RAQ-1</x:v>
      </x:c>
    </x:row>
    <x:row r="23">
      <x:c r="B23" s="7" t="str">
        <x:v>C17</x:v>
      </x:c>
      <x:c r="C23" s="7" t="str">
        <x:v>transfer observations</x:v>
      </x:c>
      <x:c r="D23" s="23" t="n">
        <x:f>D16*D19*D20*D21*D22</x:f>
        <x:v>1728</x:v>
      </x:c>
      <x:c r="E23" s="7" t="str">
        <x:v>records</x:v>
      </x:c>
      <x:c r="F23" s="7" t="str">
        <x:v>derived</x:v>
      </x:c>
      <x:c r="G23" s="7" t="str">
        <x:v>RAQ-1</x:v>
      </x:c>
    </x:row>
    <x:row r="24">
      <x:c r="B24" s="7" t="str">
        <x:v>C18</x:v>
      </x:c>
      <x:c r="C24" s="7" t="str">
        <x:v>production tool families</x:v>
      </x:c>
      <x:c r="D24" s="9" t="n">
        <x:v>24</x:v>
      </x:c>
      <x:c r="E24" s="7" t="str">
        <x:v>families</x:v>
      </x:c>
      <x:c r="F24" s="7" t="str">
        <x:v>design</x:v>
      </x:c>
      <x:c r="G24" s="7" t="str">
        <x:v>RAQ-1</x:v>
      </x:c>
    </x:row>
    <x:row r="25">
      <x:c r="B25" s="7" t="str">
        <x:v>C19</x:v>
      </x:c>
      <x:c r="C25" s="7" t="str">
        <x:v>production tool units</x:v>
      </x:c>
      <x:c r="D25" s="23" t="n">
        <x:f>D24*D20</x:f>
        <x:v>72</x:v>
      </x:c>
      <x:c r="E25" s="7" t="str">
        <x:v>units</x:v>
      </x:c>
      <x:c r="F25" s="7" t="str">
        <x:v>derived</x:v>
      </x:c>
      <x:c r="G25" s="7" t="str">
        <x:v>RAQ-1</x:v>
      </x:c>
    </x:row>
    <x:row r="26">
      <x:c r="B26" s="7" t="str">
        <x:v>C20</x:v>
      </x:c>
      <x:c r="C26" s="7" t="str">
        <x:v>build-capsule components per lineage</x:v>
      </x:c>
      <x:c r="D26" s="9" t="n">
        <x:v>16</x:v>
      </x:c>
      <x:c r="E26" s="7" t="str">
        <x:v>records</x:v>
      </x:c>
      <x:c r="F26" s="7" t="str">
        <x:v>design</x:v>
      </x:c>
      <x:c r="G26" s="7" t="str">
        <x:v>RAQ-1</x:v>
      </x:c>
    </x:row>
    <x:row r="27">
      <x:c r="B27" s="7" t="str">
        <x:v>C21</x:v>
      </x:c>
      <x:c r="C27" s="7" t="str">
        <x:v>build-capsule records</x:v>
      </x:c>
      <x:c r="D27" s="23" t="n">
        <x:f>D8*D26</x:f>
        <x:v>32</x:v>
      </x:c>
      <x:c r="E27" s="7" t="str">
        <x:v>records</x:v>
      </x:c>
      <x:c r="F27" s="7" t="str">
        <x:v>derived</x:v>
      </x:c>
      <x:c r="G27" s="7" t="str">
        <x:v>RAQ-1</x:v>
      </x:c>
    </x:row>
    <x:row r="28">
      <x:c r="B28" s="7" t="str">
        <x:v>C22</x:v>
      </x:c>
      <x:c r="C28" s="7" t="str">
        <x:v>qualification records per builder</x:v>
      </x:c>
      <x:c r="D28" s="9" t="n">
        <x:v>12</x:v>
      </x:c>
      <x:c r="E28" s="7" t="str">
        <x:v>records</x:v>
      </x:c>
      <x:c r="F28" s="7" t="str">
        <x:v>design</x:v>
      </x:c>
      <x:c r="G28" s="7" t="str">
        <x:v>RAQ-1</x:v>
      </x:c>
    </x:row>
    <x:row r="29">
      <x:c r="B29" s="7" t="str">
        <x:v>C23</x:v>
      </x:c>
      <x:c r="C29" s="7" t="str">
        <x:v>builder qualification records</x:v>
      </x:c>
      <x:c r="D29" s="23" t="n">
        <x:f>D7*D28</x:f>
        <x:v>36</x:v>
      </x:c>
      <x:c r="E29" s="7" t="str">
        <x:v>records</x:v>
      </x:c>
      <x:c r="F29" s="7" t="str">
        <x:v>derived</x:v>
      </x:c>
      <x:c r="G29" s="7" t="str">
        <x:v>RAQ-1</x:v>
      </x:c>
    </x:row>
    <x:row r="30">
      <x:c r="B30" s="7" t="str">
        <x:v>C24</x:v>
      </x:c>
      <x:c r="C30" s="7" t="str">
        <x:v>article gates per article</x:v>
      </x:c>
      <x:c r="D30" s="9" t="n">
        <x:v>390</x:v>
      </x:c>
      <x:c r="E30" s="7" t="str">
        <x:v>gates</x:v>
      </x:c>
      <x:c r="F30" s="7" t="str">
        <x:v>derived</x:v>
      </x:c>
      <x:c r="G30" s="7" t="str">
        <x:v>RAQ-1</x:v>
      </x:c>
    </x:row>
    <x:row r="31">
      <x:c r="B31" s="7" t="str">
        <x:v>C25</x:v>
      </x:c>
      <x:c r="C31" s="7" t="str">
        <x:v>article gates</x:v>
      </x:c>
      <x:c r="D31" s="23" t="n">
        <x:f>D11*D30</x:f>
        <x:v>7020</x:v>
      </x:c>
      <x:c r="E31" s="7" t="str">
        <x:v>gates</x:v>
      </x:c>
      <x:c r="F31" s="7" t="str">
        <x:v>derived</x:v>
      </x:c>
      <x:c r="G31" s="7" t="str">
        <x:v>RAQ-1</x:v>
      </x:c>
    </x:row>
    <x:row r="32">
      <x:c r="B32" s="7" t="str">
        <x:v>C26</x:v>
      </x:c>
      <x:c r="C32" s="7" t="str">
        <x:v>one-sided alpha</x:v>
      </x:c>
      <x:c r="D32" s="9" t="n">
        <x:v>0.05</x:v>
      </x:c>
      <x:c r="E32" s="7" t="str">
        <x:v>ratio</x:v>
      </x:c>
      <x:c r="F32" s="7" t="str">
        <x:v>statistical</x:v>
      </x:c>
      <x:c r="G32" s="7" t="str">
        <x:v>RAQ-1</x:v>
      </x:c>
    </x:row>
    <x:row r="33">
      <x:c r="B33" s="7" t="str">
        <x:v>C27</x:v>
      </x:c>
      <x:c r="C33" s="7" t="str">
        <x:v>material bundles per lineage</x:v>
      </x:c>
      <x:c r="D33" s="9" t="n">
        <x:v>3</x:v>
      </x:c>
      <x:c r="E33" s="7" t="str">
        <x:v>bundles</x:v>
      </x:c>
      <x:c r="F33" s="7" t="str">
        <x:v>design</x:v>
      </x:c>
      <x:c r="G33" s="7" t="str">
        <x:v>RAQ-1</x:v>
      </x:c>
    </x:row>
    <x:row r="34">
      <x:c r="B34" s="7" t="str">
        <x:v>C28</x:v>
      </x:c>
      <x:c r="C34" s="7" t="str">
        <x:v>material parent bundles</x:v>
      </x:c>
      <x:c r="D34" s="23" t="n">
        <x:f>D8*D33</x:f>
        <x:v>6</x:v>
      </x:c>
      <x:c r="E34" s="7" t="str">
        <x:v>bundles</x:v>
      </x:c>
      <x:c r="F34" s="7" t="str">
        <x:v>derived</x:v>
      </x:c>
      <x:c r="G34" s="7" t="str">
        <x:v>RAQ-1</x:v>
      </x:c>
    </x:row>
    <x:row r="35">
      <x:c r="B35" s="7" t="str">
        <x:v>C29</x:v>
      </x:c>
      <x:c r="C35" s="7" t="str">
        <x:v>material splits</x:v>
      </x:c>
      <x:c r="D35" s="23" t="n">
        <x:f>D34*D20</x:f>
        <x:v>18</x:v>
      </x:c>
      <x:c r="E35" s="7" t="str">
        <x:v>splits</x:v>
      </x:c>
      <x:c r="F35" s="7" t="str">
        <x:v>derived</x:v>
      </x:c>
      <x:c r="G35" s="7" t="str">
        <x:v>RAQ-1</x:v>
      </x:c>
    </x:row>
    <x:row r="36">
      <x:c r="B36" s="7" t="str">
        <x:v>C30</x:v>
      </x:c>
      <x:c r="C36" s="7" t="str">
        <x:v>site-bias ceiling share</x:v>
      </x:c>
      <x:c r="D36" s="9" t="n">
        <x:v>0.25</x:v>
      </x:c>
      <x:c r="E36" s="7" t="str">
        <x:v>ratio</x:v>
      </x:c>
      <x:c r="F36" s="7" t="str">
        <x:v>design</x:v>
      </x:c>
      <x:c r="G36" s="7" t="str">
        <x:v>RAQ-1</x:v>
      </x:c>
    </x:row>
    <x:row r="37">
      <x:c r="B37" s="7" t="str">
        <x:v>C31</x:v>
      </x:c>
      <x:c r="C37" s="7" t="str">
        <x:v>gage R&amp;R ceiling</x:v>
      </x:c>
      <x:c r="D37" s="9" t="n">
        <x:v>0.1</x:v>
      </x:c>
      <x:c r="E37" s="7" t="str">
        <x:v>ratio</x:v>
      </x:c>
      <x:c r="F37" s="7" t="str">
        <x:v>inherited</x:v>
      </x:c>
      <x:c r="G37" s="7" t="str">
        <x:v>RAB-1</x:v>
      </x:c>
    </x:row>
    <x:row r="38">
      <x:c r="B38" s="7" t="str">
        <x:v>C32</x:v>
      </x:c>
      <x:c r="C38" s="7" t="str">
        <x:v>minimum zero-failure n for five-percent upper bound</x:v>
      </x:c>
      <x:c r="D38" s="23" t="n">
        <x:f>ROUNDUP(LN(D32)/LN(1-0.05),0)</x:f>
        <x:v>59</x:v>
      </x:c>
      <x:c r="E38" s="7" t="str">
        <x:v>objects</x:v>
      </x:c>
      <x:c r="F38" s="7" t="str">
        <x:v>derived</x:v>
      </x:c>
      <x:c r="G38" s="7" t="str">
        <x:v>RAQ-1</x:v>
      </x:c>
    </x:row>
    <x:row r="39">
      <x:c r="B39" s="7" t="str">
        <x:v>C33</x:v>
      </x:c>
      <x:c r="C39" s="7" t="str">
        <x:v>RAC-1 duration</x:v>
      </x:c>
      <x:c r="D39" s="9" t="n">
        <x:v>18</x:v>
      </x:c>
      <x:c r="E39" s="7" t="str">
        <x:v>months</x:v>
      </x:c>
      <x:c r="F39" s="7" t="str">
        <x:v>inherited</x:v>
      </x:c>
      <x:c r="G39" s="7" t="str">
        <x:v>RAC-1</x:v>
      </x:c>
    </x:row>
    <x:row r="40">
      <x:c r="B40" s="7" t="str">
        <x:v>C34</x:v>
      </x:c>
      <x:c r="C40" s="7" t="str">
        <x:v>RAB-1 duration</x:v>
      </x:c>
      <x:c r="D40" s="9" t="n">
        <x:v>18</x:v>
      </x:c>
      <x:c r="E40" s="7" t="str">
        <x:v>months</x:v>
      </x:c>
      <x:c r="F40" s="7" t="str">
        <x:v>inherited</x:v>
      </x:c>
      <x:c r="G40" s="7" t="str">
        <x:v>RAB-1</x:v>
      </x:c>
    </x:row>
    <x:row r="41">
      <x:c r="B41" s="7" t="str">
        <x:v>C35</x:v>
      </x:c>
      <x:c r="C41" s="7" t="str">
        <x:v>RAQ-1 duration</x:v>
      </x:c>
      <x:c r="D41" s="9" t="n">
        <x:v>24</x:v>
      </x:c>
      <x:c r="E41" s="7" t="str">
        <x:v>months</x:v>
      </x:c>
      <x:c r="F41" s="7" t="str">
        <x:v>design</x:v>
      </x:c>
      <x:c r="G41" s="7" t="str">
        <x:v>RAQ-1</x:v>
      </x:c>
    </x:row>
    <x:row r="42">
      <x:c r="B42" s="7" t="str">
        <x:v>C36</x:v>
      </x:c>
      <x:c r="C42" s="7" t="str">
        <x:v>sequential chain duration</x:v>
      </x:c>
      <x:c r="D42" s="23" t="n">
        <x:f>SUM(D39:D41)</x:f>
        <x:v>60</x:v>
      </x:c>
      <x:c r="E42" s="7" t="str">
        <x:v>months</x:v>
      </x:c>
      <x:c r="F42" s="7" t="str">
        <x:v>derived</x:v>
      </x:c>
      <x:c r="G42" s="7" t="str">
        <x:v>RAQ-1</x:v>
      </x:c>
    </x:row>
    <x:row r="43">
      <x:c r="B43" s="7" t="str">
        <x:v>C37</x:v>
      </x:c>
      <x:c r="C43" s="7" t="str">
        <x:v>original RAP-1 establishment duration</x:v>
      </x:c>
      <x:c r="D43" s="9" t="n">
        <x:v>24</x:v>
      </x:c>
      <x:c r="E43" s="7" t="str">
        <x:v>months</x:v>
      </x:c>
      <x:c r="F43" s="7" t="str">
        <x:v>inherited</x:v>
      </x:c>
      <x:c r="G43" s="7" t="str">
        <x:v>RAP-1</x:v>
      </x:c>
    </x:row>
    <x:row r="44">
      <x:c r="B44" s="7" t="str">
        <x:v>C38</x:v>
      </x:c>
      <x:c r="C44" s="7" t="str">
        <x:v>sequential schedule excess</x:v>
      </x:c>
      <x:c r="D44" s="23" t="n">
        <x:f>D42-D43</x:f>
        <x:v>36</x:v>
      </x:c>
      <x:c r="E44" s="7" t="str">
        <x:v>months</x:v>
      </x:c>
      <x:c r="F44" s="7" t="str">
        <x:v>derived</x:v>
      </x:c>
      <x:c r="G44" s="7" t="str">
        <x:v>RAQ-1</x:v>
      </x:c>
    </x:row>
    <x:row r="45">
      <x:c r="B45" s="7" t="str">
        <x:v>C39</x:v>
      </x:c>
      <x:c r="C45" s="7" t="str">
        <x:v>peak assigned positions</x:v>
      </x:c>
      <x:c r="D45" s="9" t="n">
        <x:v>240</x:v>
      </x:c>
      <x:c r="E45" s="7" t="str">
        <x:v>positions</x:v>
      </x:c>
      <x:c r="F45" s="7" t="str">
        <x:v>inherited</x:v>
      </x:c>
      <x:c r="G45" s="7" t="str">
        <x:v>RAP-1</x:v>
      </x:c>
    </x:row>
    <x:row r="46">
      <x:c r="B46" s="7" t="str">
        <x:v>C40</x:v>
      </x:c>
      <x:c r="C46" s="7" t="str">
        <x:v>RAQ-1 capital</x:v>
      </x:c>
      <x:c r="D46" s="23" t="n">
        <x:f>Capital!C14</x:f>
        <x:v>66</x:v>
      </x:c>
      <x:c r="E46" s="7" t="str">
        <x:v>USD M</x:v>
      </x:c>
      <x:c r="F46" s="7" t="str">
        <x:v>allocation</x:v>
      </x:c>
      <x:c r="G46" s="7" t="str">
        <x:v>RAQ-1</x:v>
      </x:c>
    </x:row>
    <x:row r="47">
      <x:c r="B47" s="7" t="str">
        <x:v>C41</x:v>
      </x:c>
      <x:c r="C47" s="7" t="str">
        <x:v>RAQ-1 annual support</x:v>
      </x:c>
      <x:c r="D47" s="23" t="n">
        <x:f>'Annual Support'!C14</x:f>
        <x:v>16</x:v>
      </x:c>
      <x:c r="E47" s="7" t="str">
        <x:v>USD M/year</x:v>
      </x:c>
      <x:c r="F47" s="7" t="str">
        <x:v>allocation</x:v>
      </x:c>
      <x:c r="G47" s="7" t="str">
        <x:v>RAQ-1</x:v>
      </x:c>
    </x:row>
    <x:row r="48">
      <x:c r="B48" s="7" t="str">
        <x:v>C42</x:v>
      </x:c>
      <x:c r="C48" s="7" t="str">
        <x:v>RAQ-1 24-month exposure</x:v>
      </x:c>
      <x:c r="D48" s="23" t="n">
        <x:f>D46+2*D47</x:f>
        <x:v>98</x:v>
      </x:c>
      <x:c r="E48" s="7" t="str">
        <x:v>USD M</x:v>
      </x:c>
      <x:c r="F48" s="7" t="str">
        <x:v>derived</x:v>
      </x:c>
      <x:c r="G48" s="7" t="str">
        <x:v>RAQ-1</x:v>
      </x:c>
    </x:row>
    <x:row r="49">
      <x:c r="B49" s="7" t="str">
        <x:v>C43</x:v>
      </x:c>
      <x:c r="C49" s="7" t="str">
        <x:v>RAC-1 capital</x:v>
      </x:c>
      <x:c r="D49" s="9" t="n">
        <x:v>64</x:v>
      </x:c>
      <x:c r="E49" s="7" t="str">
        <x:v>USD M</x:v>
      </x:c>
      <x:c r="F49" s="7" t="str">
        <x:v>inherited</x:v>
      </x:c>
      <x:c r="G49" s="7" t="str">
        <x:v>RAC-1</x:v>
      </x:c>
    </x:row>
    <x:row r="50">
      <x:c r="B50" s="7" t="str">
        <x:v>C44</x:v>
      </x:c>
      <x:c r="C50" s="7" t="str">
        <x:v>RAB-1 capital</x:v>
      </x:c>
      <x:c r="D50" s="9" t="n">
        <x:v>118</x:v>
      </x:c>
      <x:c r="E50" s="7" t="str">
        <x:v>USD M</x:v>
      </x:c>
      <x:c r="F50" s="7" t="str">
        <x:v>inherited</x:v>
      </x:c>
      <x:c r="G50" s="7" t="str">
        <x:v>RAB-1</x:v>
      </x:c>
    </x:row>
    <x:row r="51">
      <x:c r="B51" s="7" t="str">
        <x:v>C45</x:v>
      </x:c>
      <x:c r="C51" s="7" t="str">
        <x:v>RAP-1 capital</x:v>
      </x:c>
      <x:c r="D51" s="9" t="n">
        <x:v>248</x:v>
      </x:c>
      <x:c r="E51" s="7" t="str">
        <x:v>USD M</x:v>
      </x:c>
      <x:c r="F51" s="7" t="str">
        <x:v>inherited</x:v>
      </x:c>
      <x:c r="G51" s="7" t="str">
        <x:v>RAP-1</x:v>
      </x:c>
    </x:row>
    <x:row r="52">
      <x:c r="B52" s="7" t="str">
        <x:v>C46</x:v>
      </x:c>
      <x:c r="C52" s="7" t="str">
        <x:v>capital remainder</x:v>
      </x:c>
      <x:c r="D52" s="23" t="n">
        <x:f>D51-D49-D50-D46</x:f>
        <x:v>0</x:v>
      </x:c>
      <x:c r="E52" s="7" t="str">
        <x:v>USD M</x:v>
      </x:c>
      <x:c r="F52" s="7" t="str">
        <x:v>derived</x:v>
      </x:c>
      <x:c r="G52" s="7" t="str">
        <x:v>RAQ-1</x:v>
      </x:c>
    </x:row>
    <x:row r="53">
      <x:c r="B53" s="7" t="str">
        <x:v>C47</x:v>
      </x:c>
      <x:c r="C53" s="7" t="str">
        <x:v>RAC-1 annual allocation</x:v>
      </x:c>
      <x:c r="D53" s="9" t="n">
        <x:v>38</x:v>
      </x:c>
      <x:c r="E53" s="7" t="str">
        <x:v>USD M/year</x:v>
      </x:c>
      <x:c r="F53" s="7" t="str">
        <x:v>inherited</x:v>
      </x:c>
      <x:c r="G53" s="7" t="str">
        <x:v>RAC-1</x:v>
      </x:c>
    </x:row>
    <x:row r="54">
      <x:c r="B54" s="7" t="str">
        <x:v>C48</x:v>
      </x:c>
      <x:c r="C54" s="7" t="str">
        <x:v>RAB-1 annual allocation</x:v>
      </x:c>
      <x:c r="D54" s="9" t="n">
        <x:v>58</x:v>
      </x:c>
      <x:c r="E54" s="7" t="str">
        <x:v>USD M/year</x:v>
      </x:c>
      <x:c r="F54" s="7" t="str">
        <x:v>inherited</x:v>
      </x:c>
      <x:c r="G54" s="7" t="str">
        <x:v>RAB-1</x:v>
      </x:c>
    </x:row>
    <x:row r="55">
      <x:c r="B55" s="7" t="str">
        <x:v>C49</x:v>
      </x:c>
      <x:c r="C55" s="7" t="str">
        <x:v>RAP-1 annual allocation</x:v>
      </x:c>
      <x:c r="D55" s="9" t="n">
        <x:v>112</x:v>
      </x:c>
      <x:c r="E55" s="7" t="str">
        <x:v>USD M/year</x:v>
      </x:c>
      <x:c r="F55" s="7" t="str">
        <x:v>inherited</x:v>
      </x:c>
      <x:c r="G55" s="7" t="str">
        <x:v>RAP-1</x:v>
      </x:c>
    </x:row>
    <x:row r="56">
      <x:c r="B56" s="7" t="str">
        <x:v>C50</x:v>
      </x:c>
      <x:c r="C56" s="7" t="str">
        <x:v>annual allocation remainder</x:v>
      </x:c>
      <x:c r="D56" s="23" t="n">
        <x:f>D55-D53-D54-D47</x:f>
        <x:v>0</x:v>
      </x:c>
      <x:c r="E56" s="7" t="str">
        <x:v>USD M/year</x:v>
      </x:c>
      <x:c r="F56" s="7" t="str">
        <x:v>derived</x:v>
      </x:c>
      <x:c r="G56" s="7" t="str">
        <x:v>RAQ-1</x:v>
      </x:c>
    </x:row>
    <x:row r="57">
      <x:c r="B57" s="7" t="str">
        <x:v>C51</x:v>
      </x:c>
      <x:c r="C57" s="7" t="str">
        <x:v>RAB-1 technology map</x:v>
      </x:c>
      <x:c r="D57" s="9" t="n">
        <x:v>180</x:v>
      </x:c>
      <x:c r="E57" s="7" t="str">
        <x:v>USD M</x:v>
      </x:c>
      <x:c r="F57" s="7" t="str">
        <x:v>inherited</x:v>
      </x:c>
      <x:c r="G57" s="7" t="str">
        <x:v>RAB-1</x:v>
      </x:c>
    </x:row>
    <x:row r="58">
      <x:c r="B58" s="7" t="str">
        <x:v>C52</x:v>
      </x:c>
      <x:c r="C58" s="7" t="str">
        <x:v>RAQ-1 technology increment</x:v>
      </x:c>
      <x:c r="D58" s="23" t="n">
        <x:f>'Technology Programs'!D17</x:f>
        <x:v>130</x:v>
      </x:c>
      <x:c r="E58" s="7" t="str">
        <x:v>USD M</x:v>
      </x:c>
      <x:c r="F58" s="7" t="str">
        <x:v>cross-classified</x:v>
      </x:c>
      <x:c r="G58" s="7" t="str">
        <x:v>RAQ-1</x:v>
      </x:c>
    </x:row>
    <x:row r="59">
      <x:c r="B59" s="7" t="str">
        <x:v>C53</x:v>
      </x:c>
      <x:c r="C59" s="7" t="str">
        <x:v>RAP-1 technology boundary</x:v>
      </x:c>
      <x:c r="D59" s="9" t="n">
        <x:v>310</x:v>
      </x:c>
      <x:c r="E59" s="7" t="str">
        <x:v>USD M</x:v>
      </x:c>
      <x:c r="F59" s="7" t="str">
        <x:v>inherited</x:v>
      </x:c>
      <x:c r="G59" s="7" t="str">
        <x:v>RAP-1</x:v>
      </x:c>
    </x:row>
    <x:row r="60">
      <x:c r="B60" s="7" t="str">
        <x:v>C54</x:v>
      </x:c>
      <x:c r="C60" s="7" t="str">
        <x:v>technology net extension</x:v>
      </x:c>
      <x:c r="D60" s="23" t="n">
        <x:f>D59-D57-D58</x:f>
        <x:v>0</x:v>
      </x:c>
      <x:c r="E60" s="7" t="str">
        <x:v>USD M</x:v>
      </x:c>
      <x:c r="F60" s="7" t="str">
        <x:v>derived</x:v>
      </x:c>
      <x:c r="G60" s="7" t="str">
        <x:v>RAQ-1</x:v>
      </x:c>
    </x:row>
    <x:row r="61">
      <x:c r="B61" s="7" t="str">
        <x:v>C55</x:v>
      </x:c>
      <x:c r="C61" s="7" t="str">
        <x:v>RAC-1 18-month exposure</x:v>
      </x:c>
      <x:c r="D61" s="9" t="n">
        <x:v>121</x:v>
      </x:c>
      <x:c r="E61" s="7" t="str">
        <x:v>USD M</x:v>
      </x:c>
      <x:c r="F61" s="7" t="str">
        <x:v>inherited</x:v>
      </x:c>
      <x:c r="G61" s="7" t="str">
        <x:v>RAC-1</x:v>
      </x:c>
    </x:row>
    <x:row r="62">
      <x:c r="B62" s="7" t="str">
        <x:v>C56</x:v>
      </x:c>
      <x:c r="C62" s="7" t="str">
        <x:v>RAB-1 18-month exposure</x:v>
      </x:c>
      <x:c r="D62" s="9" t="n">
        <x:v>205</x:v>
      </x:c>
      <x:c r="E62" s="7" t="str">
        <x:v>USD M</x:v>
      </x:c>
      <x:c r="F62" s="7" t="str">
        <x:v>inherited</x:v>
      </x:c>
      <x:c r="G62" s="7" t="str">
        <x:v>RAB-1</x:v>
      </x:c>
    </x:row>
    <x:row r="63">
      <x:c r="B63" s="7" t="str">
        <x:v>C57</x:v>
      </x:c>
      <x:c r="C63" s="7" t="str">
        <x:v>nested stage exposure total</x:v>
      </x:c>
      <x:c r="D63" s="23" t="n">
        <x:f>D61+D62+D48</x:f>
        <x:v>424</x:v>
      </x:c>
      <x:c r="E63" s="7" t="str">
        <x:v>USD M</x:v>
      </x:c>
      <x:c r="F63" s="7" t="str">
        <x:v>derived</x:v>
      </x:c>
      <x:c r="G63" s="7" t="str">
        <x:v>RAQ-1</x:v>
      </x:c>
    </x:row>
    <x:row r="64">
      <x:c r="B64" s="7" t="str">
        <x:v>C58</x:v>
      </x:c>
      <x:c r="C64" s="7" t="str">
        <x:v>RAP-1 24-month gross exposure</x:v>
      </x:c>
      <x:c r="D64" s="9" t="n">
        <x:v>472</x:v>
      </x:c>
      <x:c r="E64" s="7" t="str">
        <x:v>USD M</x:v>
      </x:c>
      <x:c r="F64" s="7" t="str">
        <x:v>inherited</x:v>
      </x:c>
      <x:c r="G64" s="7" t="str">
        <x:v>RAP-1</x:v>
      </x:c>
    </x:row>
    <x:row r="65">
      <x:c r="B65" s="7" t="str">
        <x:v>C59</x:v>
      </x:c>
      <x:c r="C65" s="7" t="str">
        <x:v>unassigned exposure inside original gross boundary</x:v>
      </x:c>
      <x:c r="D65" s="23" t="n">
        <x:f>D64-D63</x:f>
        <x:v>48</x:v>
      </x:c>
      <x:c r="E65" s="7" t="str">
        <x:v>USD M</x:v>
      </x:c>
      <x:c r="F65" s="7" t="str">
        <x:v>derived</x:v>
      </x:c>
      <x:c r="G65" s="7" t="str">
        <x:v>RAQ-1</x:v>
      </x:c>
    </x:row>
    <x:row r="66">
      <x:c r="B66" s="7" t="str">
        <x:v>C60</x:v>
      </x:c>
      <x:c r="C66" s="7" t="str">
        <x:v>production-equivalent build authority</x:v>
      </x:c>
      <x:c r="D66" s="9" t="n">
        <x:v>0</x:v>
      </x:c>
      <x:c r="E66" s="7" t="str">
        <x:v>binary</x:v>
      </x:c>
      <x:c r="F66" s="7" t="str">
        <x:v>authority</x:v>
      </x:c>
      <x:c r="G66" s="7" t="str">
        <x:v>downstream</x:v>
      </x:c>
    </x:row>
    <x:row r="67">
      <x:c r="B67" s="7" t="str">
        <x:v>C61</x:v>
      </x:c>
      <x:c r="C67" s="7" t="str">
        <x:v>bank-entry authority</x:v>
      </x:c>
      <x:c r="D67" s="9" t="n">
        <x:v>0</x:v>
      </x:c>
      <x:c r="E67" s="7" t="str">
        <x:v>binary</x:v>
      </x:c>
      <x:c r="F67" s="7" t="str">
        <x:v>authority</x:v>
      </x:c>
      <x:c r="G67" s="7" t="str">
        <x:v>downstream</x:v>
      </x:c>
    </x:row>
    <x:row r="68">
      <x:c r="B68" s="7" t="str">
        <x:v>C62</x:v>
      </x:c>
      <x:c r="C68" s="7" t="str">
        <x:v>RAP-1 physical-campaign authority</x:v>
      </x:c>
      <x:c r="D68" s="9" t="n">
        <x:v>0</x:v>
      </x:c>
      <x:c r="E68" s="7" t="str">
        <x:v>binary</x:v>
      </x:c>
      <x:c r="F68" s="7" t="str">
        <x:v>authority</x:v>
      </x:c>
      <x:c r="G68" s="7" t="str">
        <x:v>downstream</x:v>
      </x:c>
    </x:row>
    <x:row r="69">
      <x:c r="B69" s="7" t="str">
        <x:v>C63</x:v>
      </x:c>
      <x:c r="C69" s="7" t="str">
        <x:v>source-event authority</x:v>
      </x:c>
      <x:c r="D69" s="9" t="n">
        <x:v>0</x:v>
      </x:c>
      <x:c r="E69" s="7" t="str">
        <x:v>binary</x:v>
      </x:c>
      <x:c r="F69" s="7" t="str">
        <x:v>authority</x:v>
      </x:c>
      <x:c r="G69" s="7" t="str">
        <x:v>downstream</x:v>
      </x:c>
    </x:row>
    <x:row r="70">
      <x:c r="B70" s="7" t="str">
        <x:v>C64</x:v>
      </x:c>
      <x:c r="C70" s="7" t="str">
        <x:v>candidate-entry authority</x:v>
      </x:c>
      <x:c r="D70" s="9" t="n">
        <x:v>0</x:v>
      </x:c>
      <x:c r="E70" s="7" t="str">
        <x:v>binary</x:v>
      </x:c>
      <x:c r="F70" s="7" t="str">
        <x:v>authority</x:v>
      </x:c>
      <x:c r="G70" s="7" t="str">
        <x:v>downstream</x:v>
      </x:c>
    </x:row>
    <x:row r="71">
      <x:c r="B71" s="7" t="str">
        <x:v>C65</x:v>
      </x:c>
      <x:c r="C71" s="7" t="str">
        <x:v>series-production authority</x:v>
      </x:c>
      <x:c r="D71" s="9" t="n">
        <x:v>0</x:v>
      </x:c>
      <x:c r="E71" s="7" t="str">
        <x:v>binary</x:v>
      </x:c>
      <x:c r="F71" s="7" t="str">
        <x:v>authority</x:v>
      </x:c>
      <x:c r="G71" s="7" t="str">
        <x:v>downstream</x:v>
      </x:c>
    </x:row>
    <x:row r="72">
      <x:c r="B72" s="7" t="str">
        <x:v>C66</x:v>
      </x:c>
      <x:c r="C72" s="7" t="str">
        <x:v>exterior-rendering authority</x:v>
      </x:c>
      <x:c r="D72" s="9" t="n">
        <x:v>0</x:v>
      </x:c>
      <x:c r="E72" s="7" t="str">
        <x:v>binary</x:v>
      </x:c>
      <x:c r="F72" s="7" t="str">
        <x:v>authority</x:v>
      </x:c>
      <x:c r="G72" s="7" t="str">
        <x:v>downstream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25" hidden="0" customWidth="1"/>
    <x:col min="4" max="4" width="77" hidden="0" customWidth="1"/>
    <x:col min="5" max="5" width="48" hidden="0" customWidth="1"/>
  </x:cols>
  <x:sheetData>
    <x:row r="2">
      <x:c r="B2" s="1" t="str">
        <x:v>Twelve questions governing production-equivalent lot entry</x:v>
      </x:c>
    </x:row>
    <x:row r="3">
      <x:c r="B3" s="2" t="str">
        <x:v>RAQ-1 tests transfer and repeatability. It does not infer series-production capability from eighteen articles.</x:v>
      </x:c>
    </x:row>
    <x:row r="6" ht="24" customHeight="1">
      <x:c r="B6" s="6" t="str">
        <x:v>Question</x:v>
      </x:c>
      <x:c r="C6" s="6" t="str">
        <x:v>Subject</x:v>
      </x:c>
      <x:c r="D6" s="6" t="str">
        <x:v>RAQ-1 answer</x:v>
      </x:c>
      <x:c r="E6" s="6" t="str">
        <x:v>Boundary</x:v>
      </x:c>
    </x:row>
    <x:row r="7" ht="42" customHeight="1">
      <x:c r="B7" s="7" t="str">
        <x:v>RQ-01</x:v>
      </x:c>
      <x:c r="C7" s="7" t="str">
        <x:v>unit of production equivalence</x:v>
      </x:c>
      <x:c r="D7" s="10" t="str">
        <x:v>one builder, one lineage, one frozen package and three consecutive articles</x:v>
      </x:c>
      <x:c r="E7" s="10" t="str">
        <x:v>separate cell decision</x:v>
      </x:c>
    </x:row>
    <x:row r="8" ht="42" customHeight="1">
      <x:c r="B8" s="7" t="str">
        <x:v>RQ-02</x:v>
      </x:c>
      <x:c r="C8" s="7" t="str">
        <x:v>independence</x:v>
      </x:c>
      <x:c r="D8" s="10" t="str">
        <x:v>three builders each construct both lineages</x:v>
      </x:c>
      <x:c r="E8" s="10" t="str">
        <x:v>builder and lineage remain visible</x:v>
      </x:c>
    </x:row>
    <x:row r="9" ht="42" customHeight="1">
      <x:c r="B9" s="7" t="str">
        <x:v>RQ-03</x:v>
      </x:c>
      <x:c r="C9" s="7" t="str">
        <x:v>material confounding</x:v>
      </x:c>
      <x:c r="D9" s="10" t="str">
        <x:v>three parent bundles per lineage are split across all builders</x:v>
      </x:c>
      <x:c r="E9" s="10" t="str">
        <x:v>one article from each bundle per cell</x:v>
      </x:c>
    </x:row>
    <x:row r="10" ht="42" customHeight="1">
      <x:c r="B10" s="7" t="str">
        <x:v>RQ-04</x:v>
      </x:c>
      <x:c r="C10" s="7" t="str">
        <x:v>role selection</x:v>
      </x:c>
      <x:c r="D10" s="10" t="str">
        <x:v>operational, twin and special roles are committed before fabrication</x:v>
      </x:c>
      <x:c r="E10" s="10" t="str">
        <x:v>no post-result reassignment</x:v>
      </x:c>
    </x:row>
    <x:row r="11" ht="42" customHeight="1">
      <x:c r="B11" s="7" t="str">
        <x:v>RQ-05</x:v>
      </x:c>
      <x:c r="C11" s="7" t="str">
        <x:v>measurement transfer</x:v>
      </x:c>
      <x:c r="D11" s="10" t="str">
        <x:v>six standards, three sites, two operators and two repeats per family</x:v>
      </x:c>
      <x:c r="E11" s="10" t="str">
        <x:v>1,728 raw observations</x:v>
      </x:c>
    </x:row>
    <x:row r="12" ht="42" customHeight="1">
      <x:c r="B12" s="7" t="str">
        <x:v>RQ-06</x:v>
      </x:c>
      <x:c r="C12" s="7" t="str">
        <x:v>critical inspection</x:v>
      </x:c>
      <x:c r="D12" s="10" t="str">
        <x:v>every critical article object receives full inspection</x:v>
      </x:c>
      <x:c r="E12" s="10" t="str">
        <x:v>no acceptance sampling for safety functions</x:v>
      </x:c>
    </x:row>
    <x:row r="13" ht="42" customHeight="1">
      <x:c r="B13" s="7" t="str">
        <x:v>RQ-07</x:v>
      </x:c>
      <x:c r="C13" s="7" t="str">
        <x:v>first-pass yield</x:v>
      </x:c>
      <x:c r="D13" s="10" t="str">
        <x:v>record all first-pass dispositions and all repairs</x:v>
      </x:c>
      <x:c r="E13" s="10" t="str">
        <x:v>descriptive with exact bounds</x:v>
      </x:c>
    </x:row>
    <x:row r="14" ht="42" customHeight="1">
      <x:c r="B14" s="7" t="str">
        <x:v>RQ-08</x:v>
      </x:c>
      <x:c r="C14" s="7" t="str">
        <x:v>reproduction</x:v>
      </x:c>
      <x:c r="D14" s="10" t="str">
        <x:v>outside teams receive the same released capsule and controlled RFI channel</x:v>
      </x:c>
      <x:c r="E14" s="10" t="str">
        <x:v>no informal coaching</x:v>
      </x:c>
    </x:row>
    <x:row r="15" ht="42" customHeight="1">
      <x:c r="B15" s="7" t="str">
        <x:v>RQ-09</x:v>
      </x:c>
      <x:c r="C15" s="7" t="str">
        <x:v>configuration change</x:v>
      </x:c>
      <x:c r="D15" s="10" t="str">
        <x:v>any material change creates a new branch and renewed qualification</x:v>
      </x:c>
      <x:c r="E15" s="10" t="str">
        <x:v>no mixed baseline pooling</x:v>
      </x:c>
    </x:row>
    <x:row r="16" ht="42" customHeight="1">
      <x:c r="B16" s="7" t="str">
        <x:v>RQ-10</x:v>
      </x:c>
      <x:c r="C16" s="7" t="str">
        <x:v>bank entry</x:v>
      </x:c>
      <x:c r="D16" s="10" t="str">
        <x:v>all eighteen locked roles and six cells must release</x:v>
      </x:c>
      <x:c r="E16" s="10" t="str">
        <x:v>no favorable-unit selection</x:v>
      </x:c>
    </x:row>
    <x:row r="17" ht="42" customHeight="1">
      <x:c r="B17" s="7" t="str">
        <x:v>RQ-11</x:v>
      </x:c>
      <x:c r="C17" s="7" t="str">
        <x:v>schedule</x:v>
      </x:c>
      <x:c r="D17" s="10" t="str">
        <x:v>gated development spans sixty sequential months</x:v>
      </x:c>
      <x:c r="E17" s="10" t="str">
        <x:v>RAP-1 calendar requires rebase</x:v>
      </x:c>
    </x:row>
    <x:row r="18" ht="42" customHeight="1">
      <x:c r="B18" s="7" t="str">
        <x:v>RQ-12</x:v>
      </x:c>
      <x:c r="C18" s="7" t="str">
        <x:v>authority ceiling</x:v>
      </x:c>
      <x:c r="D18" s="10" t="str">
        <x:v>bank entry only</x:v>
      </x:c>
      <x:c r="E18" s="10" t="str">
        <x:v>no campaign result, source event or field candidate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31" hidden="0" customWidth="1"/>
    <x:col min="4" max="4" width="67" hidden="0" customWidth="1"/>
    <x:col min="5" max="5" width="66" hidden="0" customWidth="1"/>
  </x:cols>
  <x:sheetData>
    <x:row r="2">
      <x:c r="B2" s="1" t="str">
        <x:v>RAQ-1 claim boundary</x:v>
      </x:c>
    </x:row>
    <x:row r="3">
      <x:c r="B3" s="2" t="str">
        <x:v>Each accepted statement remains attached to a builder, lineage, material ancestry, configuration and observed domain.</x:v>
      </x:c>
    </x:row>
    <x:row r="6" ht="24" customHeight="1">
      <x:c r="B6" s="6" t="str">
        <x:v>Claim</x:v>
      </x:c>
      <x:c r="C6" s="6" t="str">
        <x:v>Permitted statement</x:v>
      </x:c>
      <x:c r="D6" s="6" t="str">
        <x:v>Meaning</x:v>
      </x:c>
      <x:c r="E6" s="6" t="str">
        <x:v>Prohibited inference</x:v>
      </x:c>
    </x:row>
    <x:row r="7" ht="44" customHeight="1">
      <x:c r="B7" s="7" t="str">
        <x:v>CB-01</x:v>
      </x:c>
      <x:c r="C7" s="7" t="str">
        <x:v>released build capsule</x:v>
      </x:c>
      <x:c r="D7" s="10" t="str">
        <x:v>the named lineage package was frozen and complete</x:v>
      </x:c>
      <x:c r="E7" s="10" t="str">
        <x:v>the design is correct in every future context</x:v>
      </x:c>
    </x:row>
    <x:row r="8" ht="44" customHeight="1">
      <x:c r="B8" s="7" t="str">
        <x:v>CB-02</x:v>
      </x:c>
      <x:c r="C8" s="7" t="str">
        <x:v>builder qualified</x:v>
      </x:c>
      <x:c r="D8" s="10" t="str">
        <x:v>the named site reproduced tools, measurement and controlled work</x:v>
      </x:c>
      <x:c r="E8" s="10" t="str">
        <x:v>unrestricted supplier interchangeability</x:v>
      </x:c>
    </x:row>
    <x:row r="9" ht="44" customHeight="1">
      <x:c r="B9" s="7" t="str">
        <x:v>CB-03</x:v>
      </x:c>
      <x:c r="C9" s="7" t="str">
        <x:v>article built</x:v>
      </x:c>
      <x:c r="D9" s="10" t="str">
        <x:v>one serialized article followed its accepted records</x:v>
      </x:c>
      <x:c r="E9" s="10" t="str">
        <x:v>fleet reliability or service life</x:v>
      </x:c>
    </x:row>
    <x:row r="10" ht="44" customHeight="1">
      <x:c r="B10" s="7" t="str">
        <x:v>CB-04</x:v>
      </x:c>
      <x:c r="C10" s="7" t="str">
        <x:v>cell reproduced</x:v>
      </x:c>
      <x:c r="D10" s="10" t="str">
        <x:v>three consecutive articles from one builder-lineage cell released</x:v>
      </x:c>
      <x:c r="E10" s="10" t="str">
        <x:v>mature production yield</x:v>
      </x:c>
    </x:row>
    <x:row r="11" ht="44" customHeight="1">
      <x:c r="B11" s="7" t="str">
        <x:v>CB-05</x:v>
      </x:c>
      <x:c r="C11" s="7" t="str">
        <x:v>material crossed</x:v>
      </x:c>
      <x:c r="D11" s="10" t="str">
        <x:v>each builder used all three parent bundles for one lineage</x:v>
      </x:c>
      <x:c r="E11" s="10" t="str">
        <x:v>all future supplier lots are equivalent</x:v>
      </x:c>
    </x:row>
    <x:row r="12" ht="44" customHeight="1">
      <x:c r="B12" s="7" t="str">
        <x:v>CB-06</x:v>
      </x:c>
      <x:c r="C12" s="7" t="str">
        <x:v>measurement transferred</x:v>
      </x:c>
      <x:c r="D12" s="10" t="str">
        <x:v>the family met the named site-bias and gage limits</x:v>
      </x:c>
      <x:c r="E12" s="10" t="str">
        <x:v>transfer to an unqualified instrument or site</x:v>
      </x:c>
    </x:row>
    <x:row r="13" ht="44" customHeight="1">
      <x:c r="B13" s="7" t="str">
        <x:v>CB-07</x:v>
      </x:c>
      <x:c r="C13" s="7" t="str">
        <x:v>first-pass yield reported</x:v>
      </x:c>
      <x:c r="D13" s="10" t="str">
        <x:v>all first-pass dispositions remain in the denominator</x:v>
      </x:c>
      <x:c r="E13" s="10" t="str">
        <x:v>a stable capability index</x:v>
      </x:c>
    </x:row>
    <x:row r="14" ht="44" customHeight="1">
      <x:c r="B14" s="7" t="str">
        <x:v>CB-08</x:v>
      </x:c>
      <x:c r="C14" s="7" t="str">
        <x:v>repair contained</x:v>
      </x:c>
      <x:c r="D14" s="10" t="str">
        <x:v>the named repair branch and repeated evidence closed</x:v>
      </x:c>
      <x:c r="E14" s="10" t="str">
        <x:v>erasure of the original nonconformance</x:v>
      </x:c>
    </x:row>
    <x:row r="15" ht="44" customHeight="1">
      <x:c r="B15" s="7" t="str">
        <x:v>CB-09</x:v>
      </x:c>
      <x:c r="C15" s="7" t="str">
        <x:v>role locked</x:v>
      </x:c>
      <x:c r="D15" s="10" t="str">
        <x:v>the accepted article fills its committed bank role</x:v>
      </x:c>
      <x:c r="E15" s="10" t="str">
        <x:v>later role reassignment after an adverse result</x:v>
      </x:c>
    </x:row>
    <x:row r="16" ht="44" customHeight="1">
      <x:c r="B16" s="7" t="str">
        <x:v>CB-10</x:v>
      </x:c>
      <x:c r="C16" s="7" t="str">
        <x:v>bank constituted</x:v>
      </x:c>
      <x:c r="D16" s="10" t="str">
        <x:v>eighteen named articles fill the complete role matrix</x:v>
      </x:c>
      <x:c r="E16" s="10" t="str">
        <x:v>RAP-1 physical acceptance</x:v>
      </x:c>
    </x:row>
    <x:row r="17" ht="44" customHeight="1">
      <x:c r="B17" s="7" t="str">
        <x:v>CB-11</x:v>
      </x:c>
      <x:c r="C17" s="7" t="str">
        <x:v>schedule rebased</x:v>
      </x:c>
      <x:c r="D17" s="10" t="str">
        <x:v>the sequential gate chain is visible</x:v>
      </x:c>
      <x:c r="E17" s="10" t="str">
        <x:v>delivery inside the former 24-month calendar</x:v>
      </x:c>
    </x:row>
    <x:row r="18" ht="44" customHeight="1">
      <x:c r="B18" s="7" t="str">
        <x:v>CB-12</x:v>
      </x:c>
      <x:c r="C18" s="7" t="str">
        <x:v>maximum decision</x:v>
      </x:c>
      <x:c r="D18" s="10" t="str">
        <x:v>a released article may enter the RAP-1 research bank</x:v>
      </x:c>
      <x:c r="E18" s="10" t="str">
        <x:v>source use, candidate entry, series production or rendering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28" hidden="0" customWidth="1"/>
    <x:col min="4" max="4" width="67" hidden="0" customWidth="1"/>
    <x:col min="5" max="5" width="53" hidden="0" customWidth="1"/>
  </x:cols>
  <x:sheetData>
    <x:row r="2">
      <x:c r="B2" s="1" t="str">
        <x:v>Twelve separated authorities</x:v>
      </x:c>
    </x:row>
    <x:row r="3">
      <x:c r="B3" s="2" t="str">
        <x:v>Creation, measurement, configuration, evidence and acceptance remain institutionally separate.</x:v>
      </x:c>
    </x:row>
    <x:row r="6" ht="24" customHeight="1">
      <x:c r="B6" s="6" t="str">
        <x:v>Authority</x:v>
      </x:c>
      <x:c r="C6" s="6" t="str">
        <x:v>Owner</x:v>
      </x:c>
      <x:c r="D6" s="6" t="str">
        <x:v>Responsibility</x:v>
      </x:c>
      <x:c r="E6" s="6" t="str">
        <x:v>Cannot do</x:v>
      </x:c>
    </x:row>
    <x:row r="7" ht="42" customHeight="1">
      <x:c r="B7" s="7" t="str">
        <x:v>GOV-01</x:v>
      </x:c>
      <x:c r="C7" s="7" t="str">
        <x:v>configuration authority</x:v>
      </x:c>
      <x:c r="D7" s="10" t="str">
        <x:v>freezes lineage packages and issues branch identities</x:v>
      </x:c>
      <x:c r="E7" s="10" t="str">
        <x:v>cannot accept production work</x:v>
      </x:c>
    </x:row>
    <x:row r="8" ht="42" customHeight="1">
      <x:c r="B8" s="7" t="str">
        <x:v>GOV-02</x:v>
      </x:c>
      <x:c r="C8" s="7" t="str">
        <x:v>public design authority</x:v>
      </x:c>
      <x:c r="D8" s="10" t="str">
        <x:v>answers controlled technical questions</x:v>
      </x:c>
      <x:c r="E8" s="10" t="str">
        <x:v>cannot coach a builder informally</x:v>
      </x:c>
    </x:row>
    <x:row r="9" ht="42" customHeight="1">
      <x:c r="B9" s="7" t="str">
        <x:v>GOV-03</x:v>
      </x:c>
      <x:c r="C9" s="7" t="str">
        <x:v>builder A</x:v>
      </x:c>
      <x:c r="D9" s="10" t="str">
        <x:v>constructs both lineages from the released capsules</x:v>
      </x:c>
      <x:c r="E9" s="10" t="str">
        <x:v>cannot accept its own articles</x:v>
      </x:c>
    </x:row>
    <x:row r="10" ht="42" customHeight="1">
      <x:c r="B10" s="7" t="str">
        <x:v>GOV-04</x:v>
      </x:c>
      <x:c r="C10" s="7" t="str">
        <x:v>builder B</x:v>
      </x:c>
      <x:c r="D10" s="10" t="str">
        <x:v>constructs both lineages independently</x:v>
      </x:c>
      <x:c r="E10" s="10" t="str">
        <x:v>cannot receive undisclosed help</x:v>
      </x:c>
    </x:row>
    <x:row r="11" ht="42" customHeight="1">
      <x:c r="B11" s="7" t="str">
        <x:v>GOV-05</x:v>
      </x:c>
      <x:c r="C11" s="7" t="str">
        <x:v>builder C</x:v>
      </x:c>
      <x:c r="D11" s="10" t="str">
        <x:v>constructs both lineages independently</x:v>
      </x:c>
      <x:c r="E11" s="10" t="str">
        <x:v>cannot receive another builder's private fix</x:v>
      </x:c>
    </x:row>
    <x:row r="12" ht="42" customHeight="1">
      <x:c r="B12" s="7" t="str">
        <x:v>GOV-06</x:v>
      </x:c>
      <x:c r="C12" s="7" t="str">
        <x:v>material authority</x:v>
      </x:c>
      <x:c r="D12" s="10" t="str">
        <x:v>splits, seals and reconciles parent bundles</x:v>
      </x:c>
      <x:c r="E12" s="10" t="str">
        <x:v>cannot waive lost ancestry</x:v>
      </x:c>
    </x:row>
    <x:row r="13" ht="42" customHeight="1">
      <x:c r="B13" s="7" t="str">
        <x:v>GOV-07</x:v>
      </x:c>
      <x:c r="C13" s="7" t="str">
        <x:v>tooling authority</x:v>
      </x:c>
      <x:c r="D13" s="10" t="str">
        <x:v>commissions each production-tool instance</x:v>
      </x:c>
      <x:c r="E13" s="10" t="str">
        <x:v>cannot infer another site's boundary</x:v>
      </x:c>
    </x:row>
    <x:row r="14" ht="42" customHeight="1">
      <x:c r="B14" s="7" t="str">
        <x:v>GOV-08</x:v>
      </x:c>
      <x:c r="C14" s="7" t="str">
        <x:v>metrology authority</x:v>
      </x:c>
      <x:c r="D14" s="10" t="str">
        <x:v>owns transfer standards and site agreement</x:v>
      </x:c>
      <x:c r="E14" s="10" t="str">
        <x:v>cannot alter an article result</x:v>
      </x:c>
    </x:row>
    <x:row r="15" ht="42" customHeight="1">
      <x:c r="B15" s="7" t="str">
        <x:v>GOV-09</x:v>
      </x:c>
      <x:c r="C15" s="7" t="str">
        <x:v>quality authority</x:v>
      </x:c>
      <x:c r="D15" s="10" t="str">
        <x:v>owns travelers, NDE and nonconformance records</x:v>
      </x:c>
      <x:c r="E15" s="10" t="str">
        <x:v>cannot rewrite first-pass disposition</x:v>
      </x:c>
    </x:row>
    <x:row r="16" ht="42" customHeight="1">
      <x:c r="B16" s="7" t="str">
        <x:v>GOV-10</x:v>
      </x:c>
      <x:c r="C16" s="7" t="str">
        <x:v>evidence authority</x:v>
      </x:c>
      <x:c r="D16" s="10" t="str">
        <x:v>owns causal time, originals and configuration hashes</x:v>
      </x:c>
      <x:c r="E16" s="10" t="str">
        <x:v>cannot decide technical conformity</x:v>
      </x:c>
    </x:row>
    <x:row r="17" ht="42" customHeight="1">
      <x:c r="B17" s="7" t="str">
        <x:v>GOV-11</x:v>
      </x:c>
      <x:c r="C17" s="7" t="str">
        <x:v>independent article board</x:v>
      </x:c>
      <x:c r="D17" s="10" t="str">
        <x:v>accepts one article against its 390 gates</x:v>
      </x:c>
      <x:c r="E17" s="10" t="str">
        <x:v>cannot reassign its bank role</x:v>
      </x:c>
    </x:row>
    <x:row r="18" ht="42" customHeight="1">
      <x:c r="B18" s="7" t="str">
        <x:v>GOV-12</x:v>
      </x:c>
      <x:c r="C18" s="7" t="str">
        <x:v>bank board</x:v>
      </x:c>
      <x:c r="D18" s="10" t="str">
        <x:v>accepts six cells and the complete eighteen-role set</x:v>
      </x:c>
      <x:c r="E18" s="10" t="str">
        <x:v>cannot authorize RAP-1 outcomes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25" hidden="0" customWidth="1"/>
    <x:col min="4" max="4" width="24" hidden="0" customWidth="1"/>
    <x:col min="5" max="5" width="43" hidden="0" customWidth="1"/>
    <x:col min="6" max="6" width="14" hidden="0" customWidth="1"/>
  </x:cols>
  <x:sheetData>
    <x:row r="2">
      <x:c r="B2" s="1" t="str">
        <x:v>Two lineage baseline releases</x:v>
      </x:c>
    </x:row>
    <x:row r="3">
      <x:c r="B3" s="2" t="str">
        <x:v>A lineage capsule releases only after all sixteen controlled components exist under one configuration root.</x:v>
      </x:c>
    </x:row>
    <x:row r="6" ht="24" customHeight="1">
      <x:c r="B6" s="6" t="str">
        <x:v>Lineage</x:v>
      </x:c>
      <x:c r="C6" s="6" t="str">
        <x:v>Required components</x:v>
      </x:c>
      <x:c r="D6" s="6" t="str">
        <x:v>Passing components</x:v>
      </x:c>
      <x:c r="E6" s="6" t="str">
        <x:v>Configuration root</x:v>
      </x:c>
      <x:c r="F6" s="6" t="str">
        <x:v>State</x:v>
      </x:c>
    </x:row>
    <x:row r="7">
      <x:c r="B7" s="7" t="str">
        <x:v>BL-X</x:v>
      </x:c>
      <x:c r="C7" s="7" t="n">
        <x:v>16</x:v>
      </x:c>
      <x:c r="D7" s="7" t="n">
        <x:f>COUNTIFS('Build Capsules'!C7:C38,B7,'Build Capsules'!J7:J38,"PASS")</x:f>
        <x:v>0</x:v>
      </x:c>
      <x:c r="E7" s="7" t="str"/>
      <x:c r="F7" s="7" t="str">
        <x:f>IF(E7="","OPEN",IF(D7=C7,"PASS","FAIL"))</x:f>
        <x:v>OPEN</x:v>
      </x:c>
    </x:row>
    <x:row r="8">
      <x:c r="B8" s="7" t="str">
        <x:v>BL-Y</x:v>
      </x:c>
      <x:c r="C8" s="7" t="n">
        <x:v>16</x:v>
      </x:c>
      <x:c r="D8" s="7" t="n">
        <x:f>COUNTIFS('Build Capsules'!C7:C38,B8,'Build Capsules'!J7:J38,"PASS")</x:f>
        <x:v>0</x:v>
      </x:c>
      <x:c r="E8" s="7" t="str"/>
      <x:c r="F8" s="7" t="str">
        <x:f>IF(E8="","OPEN",IF(D8=C8,"PASS","FAIL"))</x:f>
        <x:v>OPEN</x:v>
      </x:c>
    </x:row>
  </x:sheetData>
  <x:conditionalFormatting sqref="F7:F8">
    <x:cfRule type="containsText" dxfId="6" priority="1" operator="containsText" text="FAIL"/>
    <x:cfRule type="containsText" dxfId="7" priority="2" operator="containsText" text="BLOCKED"/>
    <x:cfRule type="containsText" dxfId="8" priority="3" operator="containsText" text="OPEN"/>
    <x:cfRule type="containsText" dxfId="9" priority="4" operator="containsText" text="DORMANT"/>
    <x:cfRule type="containsText" dxfId="10" priority="5" operator="containsText" text="REVIEW"/>
    <x:cfRule type="containsText" dxfId="11" priority="6" operator="containsText" text="PASS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21" hidden="0" customWidth="1"/>
    <x:col min="3" max="3" width="13" hidden="0" customWidth="1"/>
    <x:col min="4" max="4" width="14" hidden="0" customWidth="1"/>
    <x:col min="5" max="5" width="61" hidden="0" customWidth="1"/>
    <x:col min="6" max="6" width="15" hidden="0" customWidth="1"/>
    <x:col min="7" max="7" width="37" hidden="0" customWidth="1"/>
    <x:col min="8" max="8" width="23" hidden="0" customWidth="1"/>
    <x:col min="9" max="9" width="21" hidden="0" customWidth="1"/>
    <x:col min="10" max="10" width="14" hidden="0" customWidth="1"/>
  </x:cols>
  <x:sheetData>
    <x:row r="2">
      <x:c r="B2" s="1" t="str">
        <x:v>Thirty-two controlled build-capsule records</x:v>
      </x:c>
    </x:row>
    <x:row r="3">
      <x:c r="B3" s="2" t="str">
        <x:v>Every builder receives the same lineage release. A missing hash, version, issuer or timestamp keeps the component open.</x:v>
      </x:c>
    </x:row>
    <x:row r="6" ht="24" customHeight="1">
      <x:c r="B6" s="6" t="str">
        <x:v>Record</x:v>
      </x:c>
      <x:c r="C6" s="6" t="str">
        <x:v>Lineage</x:v>
      </x:c>
      <x:c r="D6" s="6" t="str">
        <x:v>Component</x:v>
      </x:c>
      <x:c r="E6" s="6" t="str">
        <x:v>Content</x:v>
      </x:c>
      <x:c r="F6" s="6" t="str">
        <x:v>Version</x:v>
      </x:c>
      <x:c r="G6" s="6" t="str">
        <x:v>Release hash</x:v>
      </x:c>
      <x:c r="H6" s="6" t="str">
        <x:v>Issuer</x:v>
      </x:c>
      <x:c r="I6" s="6" t="str">
        <x:v>Released UTC</x:v>
      </x:c>
      <x:c r="J6" s="6" t="str">
        <x:v>State</x:v>
      </x:c>
    </x:row>
    <x:row r="7" ht="40" customHeight="1">
      <x:c r="B7" s="7" t="str">
        <x:v>BL-X-CAP-01</x:v>
      </x:c>
      <x:c r="C7" s="7" t="str">
        <x:v>BL-X</x:v>
      </x:c>
      <x:c r="D7" s="7" t="str">
        <x:v>CAP-01</x:v>
      </x:c>
      <x:c r="E7" s="10" t="str">
        <x:v>controlled drawing set</x:v>
      </x:c>
      <x:c r="F7" s="7" t="str"/>
      <x:c r="G7" s="7" t="str"/>
      <x:c r="H7" s="7" t="str"/>
      <x:c r="I7" s="7" t="str"/>
      <x:c r="J7" s="7" t="str">
        <x:f>IF(I7="","OPEN",IF(OR(F7="",G7="",H7=""),"FAIL","PASS"))</x:f>
        <x:v>OPEN</x:v>
      </x:c>
    </x:row>
    <x:row r="8" ht="40" customHeight="1">
      <x:c r="B8" s="7" t="str">
        <x:v>BL-X-CAP-02</x:v>
      </x:c>
      <x:c r="C8" s="7" t="str">
        <x:v>BL-X</x:v>
      </x:c>
      <x:c r="D8" s="7" t="str">
        <x:v>CAP-02</x:v>
      </x:c>
      <x:c r="E8" s="10" t="str">
        <x:v>bill of material and approved equivalents</x:v>
      </x:c>
      <x:c r="F8" s="7" t="str"/>
      <x:c r="G8" s="7" t="str"/>
      <x:c r="H8" s="7" t="str"/>
      <x:c r="I8" s="7" t="str"/>
      <x:c r="J8" s="7" t="str">
        <x:f>IF(I8="","OPEN",IF(OR(F8="",G8="",H8=""),"FAIL","PASS"))</x:f>
        <x:v>OPEN</x:v>
      </x:c>
    </x:row>
    <x:row r="9" ht="40" customHeight="1">
      <x:c r="B9" s="7" t="str">
        <x:v>BL-X-CAP-03</x:v>
      </x:c>
      <x:c r="C9" s="7" t="str">
        <x:v>BL-X</x:v>
      </x:c>
      <x:c r="D9" s="7" t="str">
        <x:v>CAP-03</x:v>
      </x:c>
      <x:c r="E9" s="10" t="str">
        <x:v>material and ancestry specification</x:v>
      </x:c>
      <x:c r="F9" s="7" t="str"/>
      <x:c r="G9" s="7" t="str"/>
      <x:c r="H9" s="7" t="str"/>
      <x:c r="I9" s="7" t="str"/>
      <x:c r="J9" s="7" t="str">
        <x:f>IF(I9="","OPEN",IF(OR(F9="",G9="",H9=""),"FAIL","PASS"))</x:f>
        <x:v>OPEN</x:v>
      </x:c>
    </x:row>
    <x:row r="10" ht="40" customHeight="1">
      <x:c r="B10" s="7" t="str">
        <x:v>BL-X-CAP-04</x:v>
      </x:c>
      <x:c r="C10" s="7" t="str">
        <x:v>BL-X</x:v>
      </x:c>
      <x:c r="D10" s="7" t="str">
        <x:v>CAP-04</x:v>
      </x:c>
      <x:c r="E10" s="10" t="str">
        <x:v>process window and hold points</x:v>
      </x:c>
      <x:c r="F10" s="7" t="str"/>
      <x:c r="G10" s="7" t="str"/>
      <x:c r="H10" s="7" t="str"/>
      <x:c r="I10" s="7" t="str"/>
      <x:c r="J10" s="7" t="str">
        <x:f>IF(I10="","OPEN",IF(OR(F10="",G10="",H10=""),"FAIL","PASS"))</x:f>
        <x:v>OPEN</x:v>
      </x:c>
    </x:row>
    <x:row r="11" ht="40" customHeight="1">
      <x:c r="B11" s="7" t="str">
        <x:v>BL-X-CAP-05</x:v>
      </x:c>
      <x:c r="C11" s="7" t="str">
        <x:v>BL-X</x:v>
      </x:c>
      <x:c r="D11" s="7" t="str">
        <x:v>CAP-05</x:v>
      </x:c>
      <x:c r="E11" s="10" t="str">
        <x:v>work instructions</x:v>
      </x:c>
      <x:c r="F11" s="7" t="str"/>
      <x:c r="G11" s="7" t="str"/>
      <x:c r="H11" s="7" t="str"/>
      <x:c r="I11" s="7" t="str"/>
      <x:c r="J11" s="7" t="str">
        <x:f>IF(I11="","OPEN",IF(OR(F11="",G11="",H11=""),"FAIL","PASS"))</x:f>
        <x:v>OPEN</x:v>
      </x:c>
    </x:row>
    <x:row r="12" ht="40" customHeight="1">
      <x:c r="B12" s="7" t="str">
        <x:v>BL-X-CAP-06</x:v>
      </x:c>
      <x:c r="C12" s="7" t="str">
        <x:v>BL-X</x:v>
      </x:c>
      <x:c r="D12" s="7" t="str">
        <x:v>CAP-06</x:v>
      </x:c>
      <x:c r="E12" s="10" t="str">
        <x:v>tool interface and commissioning protocol</x:v>
      </x:c>
      <x:c r="F12" s="7" t="str"/>
      <x:c r="G12" s="7" t="str"/>
      <x:c r="H12" s="7" t="str"/>
      <x:c r="I12" s="7" t="str"/>
      <x:c r="J12" s="7" t="str">
        <x:f>IF(I12="","OPEN",IF(OR(F12="",G12="",H12=""),"FAIL","PASS"))</x:f>
        <x:v>OPEN</x:v>
      </x:c>
    </x:row>
    <x:row r="13" ht="40" customHeight="1">
      <x:c r="B13" s="7" t="str">
        <x:v>BL-X-CAP-07</x:v>
      </x:c>
      <x:c r="C13" s="7" t="str">
        <x:v>BL-X</x:v>
      </x:c>
      <x:c r="D13" s="7" t="str">
        <x:v>CAP-07</x:v>
      </x:c>
      <x:c r="E13" s="10" t="str">
        <x:v>measurement and uncertainty plan</x:v>
      </x:c>
      <x:c r="F13" s="7" t="str"/>
      <x:c r="G13" s="7" t="str"/>
      <x:c r="H13" s="7" t="str"/>
      <x:c r="I13" s="7" t="str"/>
      <x:c r="J13" s="7" t="str">
        <x:f>IF(I13="","OPEN",IF(OR(F13="",G13="",H13=""),"FAIL","PASS"))</x:f>
        <x:v>OPEN</x:v>
      </x:c>
    </x:row>
    <x:row r="14" ht="40" customHeight="1">
      <x:c r="B14" s="7" t="str">
        <x:v>BL-X-CAP-08</x:v>
      </x:c>
      <x:c r="C14" s="7" t="str">
        <x:v>BL-X</x:v>
      </x:c>
      <x:c r="D14" s="7" t="str">
        <x:v>CAP-08</x:v>
      </x:c>
      <x:c r="E14" s="10" t="str">
        <x:v>inspection and NDE plan</x:v>
      </x:c>
      <x:c r="F14" s="7" t="str"/>
      <x:c r="G14" s="7" t="str"/>
      <x:c r="H14" s="7" t="str"/>
      <x:c r="I14" s="7" t="str"/>
      <x:c r="J14" s="7" t="str">
        <x:f>IF(I14="","OPEN",IF(OR(F14="",G14="",H14=""),"FAIL","PASS"))</x:f>
        <x:v>OPEN</x:v>
      </x:c>
    </x:row>
    <x:row r="15" ht="40" customHeight="1">
      <x:c r="B15" s="7" t="str">
        <x:v>BL-X-CAP-09</x:v>
      </x:c>
      <x:c r="C15" s="7" t="str">
        <x:v>BL-X</x:v>
      </x:c>
      <x:c r="D15" s="7" t="str">
        <x:v>CAP-09</x:v>
      </x:c>
      <x:c r="E15" s="10" t="str">
        <x:v>final-element and safeing plan</x:v>
      </x:c>
      <x:c r="F15" s="7" t="str"/>
      <x:c r="G15" s="7" t="str"/>
      <x:c r="H15" s="7" t="str"/>
      <x:c r="I15" s="7" t="str"/>
      <x:c r="J15" s="7" t="str">
        <x:f>IF(I15="","OPEN",IF(OR(F15="",G15="",H15=""),"FAIL","PASS"))</x:f>
        <x:v>OPEN</x:v>
      </x:c>
    </x:row>
    <x:row r="16" ht="40" customHeight="1">
      <x:c r="B16" s="7" t="str">
        <x:v>BL-X-CAP-10</x:v>
      </x:c>
      <x:c r="C16" s="7" t="str">
        <x:v>BL-X</x:v>
      </x:c>
      <x:c r="D16" s="7" t="str">
        <x:v>CAP-10</x:v>
      </x:c>
      <x:c r="E16" s="10" t="str">
        <x:v>instrument-mount and channel plan</x:v>
      </x:c>
      <x:c r="F16" s="7" t="str"/>
      <x:c r="G16" s="7" t="str"/>
      <x:c r="H16" s="7" t="str"/>
      <x:c r="I16" s="7" t="str"/>
      <x:c r="J16" s="7" t="str">
        <x:f>IF(I16="","OPEN",IF(OR(F16="",G16="",H16=""),"FAIL","PASS"))</x:f>
        <x:v>OPEN</x:v>
      </x:c>
    </x:row>
    <x:row r="17" ht="40" customHeight="1">
      <x:c r="B17" s="7" t="str">
        <x:v>BL-X-CAP-11</x:v>
      </x:c>
      <x:c r="C17" s="7" t="str">
        <x:v>BL-X</x:v>
      </x:c>
      <x:c r="D17" s="7" t="str">
        <x:v>CAP-11</x:v>
      </x:c>
      <x:c r="E17" s="10" t="str">
        <x:v>calibration plan</x:v>
      </x:c>
      <x:c r="F17" s="7" t="str"/>
      <x:c r="G17" s="7" t="str"/>
      <x:c r="H17" s="7" t="str"/>
      <x:c r="I17" s="7" t="str"/>
      <x:c r="J17" s="7" t="str">
        <x:f>IF(I17="","OPEN",IF(OR(F17="",G17="",H17=""),"FAIL","PASS"))</x:f>
        <x:v>OPEN</x:v>
      </x:c>
    </x:row>
    <x:row r="18" ht="40" customHeight="1">
      <x:c r="B18" s="7" t="str">
        <x:v>BL-X-CAP-12</x:v>
      </x:c>
      <x:c r="C18" s="7" t="str">
        <x:v>BL-X</x:v>
      </x:c>
      <x:c r="D18" s="7" t="str">
        <x:v>CAP-12</x:v>
      </x:c>
      <x:c r="E18" s="10" t="str">
        <x:v>software and firmware manifest</x:v>
      </x:c>
      <x:c r="F18" s="7" t="str"/>
      <x:c r="G18" s="7" t="str"/>
      <x:c r="H18" s="7" t="str"/>
      <x:c r="I18" s="7" t="str"/>
      <x:c r="J18" s="7" t="str">
        <x:f>IF(I18="","OPEN",IF(OR(F18="",G18="",H18=""),"FAIL","PASS"))</x:f>
        <x:v>OPEN</x:v>
      </x:c>
    </x:row>
    <x:row r="19" ht="40" customHeight="1">
      <x:c r="B19" s="7" t="str">
        <x:v>BL-X-CAP-13</x:v>
      </x:c>
      <x:c r="C19" s="7" t="str">
        <x:v>BL-X</x:v>
      </x:c>
      <x:c r="D19" s="7" t="str">
        <x:v>CAP-13</x:v>
      </x:c>
      <x:c r="E19" s="10" t="str">
        <x:v>evidence and causal-time schema</x:v>
      </x:c>
      <x:c r="F19" s="7" t="str"/>
      <x:c r="G19" s="7" t="str"/>
      <x:c r="H19" s="7" t="str"/>
      <x:c r="I19" s="7" t="str"/>
      <x:c r="J19" s="7" t="str">
        <x:f>IF(I19="","OPEN",IF(OR(F19="",G19="",H19=""),"FAIL","PASS"))</x:f>
        <x:v>OPEN</x:v>
      </x:c>
    </x:row>
    <x:row r="20" ht="40" customHeight="1">
      <x:c r="B20" s="7" t="str">
        <x:v>BL-X-CAP-14</x:v>
      </x:c>
      <x:c r="C20" s="7" t="str">
        <x:v>BL-X</x:v>
      </x:c>
      <x:c r="D20" s="7" t="str">
        <x:v>CAP-14</x:v>
      </x:c>
      <x:c r="E20" s="10" t="str">
        <x:v>RFI and assistance protocol</x:v>
      </x:c>
      <x:c r="F20" s="7" t="str"/>
      <x:c r="G20" s="7" t="str"/>
      <x:c r="H20" s="7" t="str"/>
      <x:c r="I20" s="7" t="str"/>
      <x:c r="J20" s="7" t="str">
        <x:f>IF(I20="","OPEN",IF(OR(F20="",G20="",H20=""),"FAIL","PASS"))</x:f>
        <x:v>OPEN</x:v>
      </x:c>
    </x:row>
    <x:row r="21" ht="40" customHeight="1">
      <x:c r="B21" s="7" t="str">
        <x:v>BL-X-CAP-15</x:v>
      </x:c>
      <x:c r="C21" s="7" t="str">
        <x:v>BL-X</x:v>
      </x:c>
      <x:c r="D21" s="7" t="str">
        <x:v>CAP-15</x:v>
      </x:c>
      <x:c r="E21" s="10" t="str">
        <x:v>nonconformance and change protocol</x:v>
      </x:c>
      <x:c r="F21" s="7" t="str"/>
      <x:c r="G21" s="7" t="str"/>
      <x:c r="H21" s="7" t="str"/>
      <x:c r="I21" s="7" t="str"/>
      <x:c r="J21" s="7" t="str">
        <x:f>IF(I21="","OPEN",IF(OR(F21="",G21="",H21=""),"FAIL","PASS"))</x:f>
        <x:v>OPEN</x:v>
      </x:c>
    </x:row>
    <x:row r="22" ht="40" customHeight="1">
      <x:c r="B22" s="7" t="str">
        <x:v>BL-X-CAP-16</x:v>
      </x:c>
      <x:c r="C22" s="7" t="str">
        <x:v>BL-X</x:v>
      </x:c>
      <x:c r="D22" s="7" t="str">
        <x:v>CAP-16</x:v>
      </x:c>
      <x:c r="E22" s="10" t="str">
        <x:v>pack, transport and article-acceptance plan</x:v>
      </x:c>
      <x:c r="F22" s="7" t="str"/>
      <x:c r="G22" s="7" t="str"/>
      <x:c r="H22" s="7" t="str"/>
      <x:c r="I22" s="7" t="str"/>
      <x:c r="J22" s="7" t="str">
        <x:f>IF(I22="","OPEN",IF(OR(F22="",G22="",H22=""),"FAIL","PASS"))</x:f>
        <x:v>OPEN</x:v>
      </x:c>
    </x:row>
    <x:row r="23" ht="40" customHeight="1">
      <x:c r="B23" s="7" t="str">
        <x:v>BL-Y-CAP-01</x:v>
      </x:c>
      <x:c r="C23" s="7" t="str">
        <x:v>BL-Y</x:v>
      </x:c>
      <x:c r="D23" s="7" t="str">
        <x:v>CAP-01</x:v>
      </x:c>
      <x:c r="E23" s="10" t="str">
        <x:v>controlled drawing set</x:v>
      </x:c>
      <x:c r="F23" s="7" t="str"/>
      <x:c r="G23" s="7" t="str"/>
      <x:c r="H23" s="7" t="str"/>
      <x:c r="I23" s="7" t="str"/>
      <x:c r="J23" s="7" t="str">
        <x:f>IF(I23="","OPEN",IF(OR(F23="",G23="",H23=""),"FAIL","PASS"))</x:f>
        <x:v>OPEN</x:v>
      </x:c>
    </x:row>
    <x:row r="24" ht="40" customHeight="1">
      <x:c r="B24" s="7" t="str">
        <x:v>BL-Y-CAP-02</x:v>
      </x:c>
      <x:c r="C24" s="7" t="str">
        <x:v>BL-Y</x:v>
      </x:c>
      <x:c r="D24" s="7" t="str">
        <x:v>CAP-02</x:v>
      </x:c>
      <x:c r="E24" s="10" t="str">
        <x:v>bill of material and approved equivalents</x:v>
      </x:c>
      <x:c r="F24" s="7" t="str"/>
      <x:c r="G24" s="7" t="str"/>
      <x:c r="H24" s="7" t="str"/>
      <x:c r="I24" s="7" t="str"/>
      <x:c r="J24" s="7" t="str">
        <x:f>IF(I24="","OPEN",IF(OR(F24="",G24="",H24=""),"FAIL","PASS"))</x:f>
        <x:v>OPEN</x:v>
      </x:c>
    </x:row>
    <x:row r="25" ht="40" customHeight="1">
      <x:c r="B25" s="7" t="str">
        <x:v>BL-Y-CAP-03</x:v>
      </x:c>
      <x:c r="C25" s="7" t="str">
        <x:v>BL-Y</x:v>
      </x:c>
      <x:c r="D25" s="7" t="str">
        <x:v>CAP-03</x:v>
      </x:c>
      <x:c r="E25" s="10" t="str">
        <x:v>material and ancestry specification</x:v>
      </x:c>
      <x:c r="F25" s="7" t="str"/>
      <x:c r="G25" s="7" t="str"/>
      <x:c r="H25" s="7" t="str"/>
      <x:c r="I25" s="7" t="str"/>
      <x:c r="J25" s="7" t="str">
        <x:f>IF(I25="","OPEN",IF(OR(F25="",G25="",H25=""),"FAIL","PASS"))</x:f>
        <x:v>OPEN</x:v>
      </x:c>
    </x:row>
    <x:row r="26" ht="40" customHeight="1">
      <x:c r="B26" s="7" t="str">
        <x:v>BL-Y-CAP-04</x:v>
      </x:c>
      <x:c r="C26" s="7" t="str">
        <x:v>BL-Y</x:v>
      </x:c>
      <x:c r="D26" s="7" t="str">
        <x:v>CAP-04</x:v>
      </x:c>
      <x:c r="E26" s="10" t="str">
        <x:v>process window and hold points</x:v>
      </x:c>
      <x:c r="F26" s="7" t="str"/>
      <x:c r="G26" s="7" t="str"/>
      <x:c r="H26" s="7" t="str"/>
      <x:c r="I26" s="7" t="str"/>
      <x:c r="J26" s="7" t="str">
        <x:f>IF(I26="","OPEN",IF(OR(F26="",G26="",H26=""),"FAIL","PASS"))</x:f>
        <x:v>OPEN</x:v>
      </x:c>
    </x:row>
    <x:row r="27" ht="40" customHeight="1">
      <x:c r="B27" s="7" t="str">
        <x:v>BL-Y-CAP-05</x:v>
      </x:c>
      <x:c r="C27" s="7" t="str">
        <x:v>BL-Y</x:v>
      </x:c>
      <x:c r="D27" s="7" t="str">
        <x:v>CAP-05</x:v>
      </x:c>
      <x:c r="E27" s="10" t="str">
        <x:v>work instructions</x:v>
      </x:c>
      <x:c r="F27" s="7" t="str"/>
      <x:c r="G27" s="7" t="str"/>
      <x:c r="H27" s="7" t="str"/>
      <x:c r="I27" s="7" t="str"/>
      <x:c r="J27" s="7" t="str">
        <x:f>IF(I27="","OPEN",IF(OR(F27="",G27="",H27=""),"FAIL","PASS"))</x:f>
        <x:v>OPEN</x:v>
      </x:c>
    </x:row>
    <x:row r="28" ht="40" customHeight="1">
      <x:c r="B28" s="7" t="str">
        <x:v>BL-Y-CAP-06</x:v>
      </x:c>
      <x:c r="C28" s="7" t="str">
        <x:v>BL-Y</x:v>
      </x:c>
      <x:c r="D28" s="7" t="str">
        <x:v>CAP-06</x:v>
      </x:c>
      <x:c r="E28" s="10" t="str">
        <x:v>tool interface and commissioning protocol</x:v>
      </x:c>
      <x:c r="F28" s="7" t="str"/>
      <x:c r="G28" s="7" t="str"/>
      <x:c r="H28" s="7" t="str"/>
      <x:c r="I28" s="7" t="str"/>
      <x:c r="J28" s="7" t="str">
        <x:f>IF(I28="","OPEN",IF(OR(F28="",G28="",H28=""),"FAIL","PASS"))</x:f>
        <x:v>OPEN</x:v>
      </x:c>
    </x:row>
    <x:row r="29" ht="40" customHeight="1">
      <x:c r="B29" s="7" t="str">
        <x:v>BL-Y-CAP-07</x:v>
      </x:c>
      <x:c r="C29" s="7" t="str">
        <x:v>BL-Y</x:v>
      </x:c>
      <x:c r="D29" s="7" t="str">
        <x:v>CAP-07</x:v>
      </x:c>
      <x:c r="E29" s="10" t="str">
        <x:v>measurement and uncertainty plan</x:v>
      </x:c>
      <x:c r="F29" s="7" t="str"/>
      <x:c r="G29" s="7" t="str"/>
      <x:c r="H29" s="7" t="str"/>
      <x:c r="I29" s="7" t="str"/>
      <x:c r="J29" s="7" t="str">
        <x:f>IF(I29="","OPEN",IF(OR(F29="",G29="",H29=""),"FAIL","PASS"))</x:f>
        <x:v>OPEN</x:v>
      </x:c>
    </x:row>
    <x:row r="30" ht="40" customHeight="1">
      <x:c r="B30" s="7" t="str">
        <x:v>BL-Y-CAP-08</x:v>
      </x:c>
      <x:c r="C30" s="7" t="str">
        <x:v>BL-Y</x:v>
      </x:c>
      <x:c r="D30" s="7" t="str">
        <x:v>CAP-08</x:v>
      </x:c>
      <x:c r="E30" s="10" t="str">
        <x:v>inspection and NDE plan</x:v>
      </x:c>
      <x:c r="F30" s="7" t="str"/>
      <x:c r="G30" s="7" t="str"/>
      <x:c r="H30" s="7" t="str"/>
      <x:c r="I30" s="7" t="str"/>
      <x:c r="J30" s="7" t="str">
        <x:f>IF(I30="","OPEN",IF(OR(F30="",G30="",H30=""),"FAIL","PASS"))</x:f>
        <x:v>OPEN</x:v>
      </x:c>
    </x:row>
    <x:row r="31" ht="40" customHeight="1">
      <x:c r="B31" s="7" t="str">
        <x:v>BL-Y-CAP-09</x:v>
      </x:c>
      <x:c r="C31" s="7" t="str">
        <x:v>BL-Y</x:v>
      </x:c>
      <x:c r="D31" s="7" t="str">
        <x:v>CAP-09</x:v>
      </x:c>
      <x:c r="E31" s="10" t="str">
        <x:v>final-element and safeing plan</x:v>
      </x:c>
      <x:c r="F31" s="7" t="str"/>
      <x:c r="G31" s="7" t="str"/>
      <x:c r="H31" s="7" t="str"/>
      <x:c r="I31" s="7" t="str"/>
      <x:c r="J31" s="7" t="str">
        <x:f>IF(I31="","OPEN",IF(OR(F31="",G31="",H31=""),"FAIL","PASS"))</x:f>
        <x:v>OPEN</x:v>
      </x:c>
    </x:row>
    <x:row r="32" ht="40" customHeight="1">
      <x:c r="B32" s="7" t="str">
        <x:v>BL-Y-CAP-10</x:v>
      </x:c>
      <x:c r="C32" s="7" t="str">
        <x:v>BL-Y</x:v>
      </x:c>
      <x:c r="D32" s="7" t="str">
        <x:v>CAP-10</x:v>
      </x:c>
      <x:c r="E32" s="10" t="str">
        <x:v>instrument-mount and channel plan</x:v>
      </x:c>
      <x:c r="F32" s="7" t="str"/>
      <x:c r="G32" s="7" t="str"/>
      <x:c r="H32" s="7" t="str"/>
      <x:c r="I32" s="7" t="str"/>
      <x:c r="J32" s="7" t="str">
        <x:f>IF(I32="","OPEN",IF(OR(F32="",G32="",H32=""),"FAIL","PASS"))</x:f>
        <x:v>OPEN</x:v>
      </x:c>
    </x:row>
    <x:row r="33" ht="40" customHeight="1">
      <x:c r="B33" s="7" t="str">
        <x:v>BL-Y-CAP-11</x:v>
      </x:c>
      <x:c r="C33" s="7" t="str">
        <x:v>BL-Y</x:v>
      </x:c>
      <x:c r="D33" s="7" t="str">
        <x:v>CAP-11</x:v>
      </x:c>
      <x:c r="E33" s="10" t="str">
        <x:v>calibration plan</x:v>
      </x:c>
      <x:c r="F33" s="7" t="str"/>
      <x:c r="G33" s="7" t="str"/>
      <x:c r="H33" s="7" t="str"/>
      <x:c r="I33" s="7" t="str"/>
      <x:c r="J33" s="7" t="str">
        <x:f>IF(I33="","OPEN",IF(OR(F33="",G33="",H33=""),"FAIL","PASS"))</x:f>
        <x:v>OPEN</x:v>
      </x:c>
    </x:row>
    <x:row r="34" ht="40" customHeight="1">
      <x:c r="B34" s="7" t="str">
        <x:v>BL-Y-CAP-12</x:v>
      </x:c>
      <x:c r="C34" s="7" t="str">
        <x:v>BL-Y</x:v>
      </x:c>
      <x:c r="D34" s="7" t="str">
        <x:v>CAP-12</x:v>
      </x:c>
      <x:c r="E34" s="10" t="str">
        <x:v>software and firmware manifest</x:v>
      </x:c>
      <x:c r="F34" s="7" t="str"/>
      <x:c r="G34" s="7" t="str"/>
      <x:c r="H34" s="7" t="str"/>
      <x:c r="I34" s="7" t="str"/>
      <x:c r="J34" s="7" t="str">
        <x:f>IF(I34="","OPEN",IF(OR(F34="",G34="",H34=""),"FAIL","PASS"))</x:f>
        <x:v>OPEN</x:v>
      </x:c>
    </x:row>
    <x:row r="35" ht="40" customHeight="1">
      <x:c r="B35" s="7" t="str">
        <x:v>BL-Y-CAP-13</x:v>
      </x:c>
      <x:c r="C35" s="7" t="str">
        <x:v>BL-Y</x:v>
      </x:c>
      <x:c r="D35" s="7" t="str">
        <x:v>CAP-13</x:v>
      </x:c>
      <x:c r="E35" s="10" t="str">
        <x:v>evidence and causal-time schema</x:v>
      </x:c>
      <x:c r="F35" s="7" t="str"/>
      <x:c r="G35" s="7" t="str"/>
      <x:c r="H35" s="7" t="str"/>
      <x:c r="I35" s="7" t="str"/>
      <x:c r="J35" s="7" t="str">
        <x:f>IF(I35="","OPEN",IF(OR(F35="",G35="",H35=""),"FAIL","PASS"))</x:f>
        <x:v>OPEN</x:v>
      </x:c>
    </x:row>
    <x:row r="36" ht="40" customHeight="1">
      <x:c r="B36" s="7" t="str">
        <x:v>BL-Y-CAP-14</x:v>
      </x:c>
      <x:c r="C36" s="7" t="str">
        <x:v>BL-Y</x:v>
      </x:c>
      <x:c r="D36" s="7" t="str">
        <x:v>CAP-14</x:v>
      </x:c>
      <x:c r="E36" s="10" t="str">
        <x:v>RFI and assistance protocol</x:v>
      </x:c>
      <x:c r="F36" s="7" t="str"/>
      <x:c r="G36" s="7" t="str"/>
      <x:c r="H36" s="7" t="str"/>
      <x:c r="I36" s="7" t="str"/>
      <x:c r="J36" s="7" t="str">
        <x:f>IF(I36="","OPEN",IF(OR(F36="",G36="",H36=""),"FAIL","PASS"))</x:f>
        <x:v>OPEN</x:v>
      </x:c>
    </x:row>
    <x:row r="37" ht="40" customHeight="1">
      <x:c r="B37" s="7" t="str">
        <x:v>BL-Y-CAP-15</x:v>
      </x:c>
      <x:c r="C37" s="7" t="str">
        <x:v>BL-Y</x:v>
      </x:c>
      <x:c r="D37" s="7" t="str">
        <x:v>CAP-15</x:v>
      </x:c>
      <x:c r="E37" s="10" t="str">
        <x:v>nonconformance and change protocol</x:v>
      </x:c>
      <x:c r="F37" s="7" t="str"/>
      <x:c r="G37" s="7" t="str"/>
      <x:c r="H37" s="7" t="str"/>
      <x:c r="I37" s="7" t="str"/>
      <x:c r="J37" s="7" t="str">
        <x:f>IF(I37="","OPEN",IF(OR(F37="",G37="",H37=""),"FAIL","PASS"))</x:f>
        <x:v>OPEN</x:v>
      </x:c>
    </x:row>
    <x:row r="38" ht="40" customHeight="1">
      <x:c r="B38" s="7" t="str">
        <x:v>BL-Y-CAP-16</x:v>
      </x:c>
      <x:c r="C38" s="7" t="str">
        <x:v>BL-Y</x:v>
      </x:c>
      <x:c r="D38" s="7" t="str">
        <x:v>CAP-16</x:v>
      </x:c>
      <x:c r="E38" s="10" t="str">
        <x:v>pack, transport and article-acceptance plan</x:v>
      </x:c>
      <x:c r="F38" s="7" t="str"/>
      <x:c r="G38" s="7" t="str"/>
      <x:c r="H38" s="7" t="str"/>
      <x:c r="I38" s="7" t="str"/>
      <x:c r="J38" s="7" t="str">
        <x:f>IF(I38="","OPEN",IF(OR(F38="",G38="",H38=""),"FAIL","PASS"))</x:f>
        <x:v>OPEN</x:v>
      </x:c>
    </x:row>
  </x:sheetData>
  <x:conditionalFormatting sqref="J7:J38">
    <x:cfRule type="containsText" dxfId="0" priority="1" operator="containsText" text="FAIL"/>
    <x:cfRule type="containsText" dxfId="1" priority="2" operator="containsText" text="BLOCKED"/>
    <x:cfRule type="containsText" dxfId="2" priority="3" operator="containsText" text="OPEN"/>
    <x:cfRule type="containsText" dxfId="3" priority="4" operator="containsText" text="DORMANT"/>
    <x:cfRule type="containsText" dxfId="4" priority="5" operator="containsText" text="REVIEW"/>
    <x:cfRule type="containsText" dxfId="5" priority="6" operator="containsText" text="PASS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31" hidden="0" customWidth="1"/>
    <x:col min="4" max="4" width="31" hidden="0" customWidth="1"/>
    <x:col min="5" max="5" width="18" hidden="0" customWidth="1"/>
    <x:col min="6" max="6" width="14" hidden="0" customWidth="1"/>
    <x:col min="7" max="7" width="23" hidden="0" customWidth="1"/>
    <x:col min="8" max="8" width="17" hidden="0" customWidth="1"/>
    <x:col min="9" max="9" width="22" hidden="0" customWidth="1"/>
    <x:col min="10" max="10" width="21" hidden="0" customWidth="1"/>
    <x:col min="11" max="11" width="14" hidden="0" customWidth="1"/>
  </x:cols>
  <x:sheetData>
    <x:row r="2">
      <x:c r="B2" s="1" t="str">
        <x:v>Three production builders</x:v>
      </x:c>
    </x:row>
    <x:row r="3">
      <x:c r="B3" s="2" t="str">
        <x:v>Each builder constructs both lineages. Site release requires qualification, tools and measurement transfer.</x:v>
      </x:c>
    </x:row>
    <x:row r="6" ht="24" customHeight="1">
      <x:c r="B6" s="6" t="str">
        <x:v>Builder</x:v>
      </x:c>
      <x:c r="C6" s="6" t="str">
        <x:v>Institution</x:v>
      </x:c>
      <x:c r="D6" s="6" t="str">
        <x:v>Cell</x:v>
      </x:c>
      <x:c r="E6" s="6" t="str">
        <x:v>Scope</x:v>
      </x:c>
      <x:c r="F6" s="6" t="str">
        <x:v>Articles</x:v>
      </x:c>
      <x:c r="G6" s="6" t="str">
        <x:v>Qualification records</x:v>
      </x:c>
      <x:c r="H6" s="6" t="str">
        <x:v>Tool units</x:v>
      </x:c>
      <x:c r="I6" s="6" t="str">
        <x:v>Transfer families</x:v>
      </x:c>
      <x:c r="J6" s="6" t="str">
        <x:v>Accepted UTC</x:v>
      </x:c>
      <x:c r="K6" s="6" t="str">
        <x:v>State</x:v>
      </x:c>
    </x:row>
    <x:row r="7" ht="38" customHeight="1">
      <x:c r="B7" s="7" t="str">
        <x:v>BLD-A</x:v>
      </x:c>
      <x:c r="C7" s="10" t="str">
        <x:v>public reference arsenal</x:v>
      </x:c>
      <x:c r="D7" s="10" t="str">
        <x:v>independent production cell A</x:v>
      </x:c>
      <x:c r="E7" s="7" t="str">
        <x:v>both lineages</x:v>
      </x:c>
      <x:c r="F7" s="7" t="n">
        <x:v>6</x:v>
      </x:c>
      <x:c r="G7" s="7" t="n">
        <x:v>12</x:v>
      </x:c>
      <x:c r="H7" s="7" t="n">
        <x:v>24</x:v>
      </x:c>
      <x:c r="I7" s="7" t="n">
        <x:v>24</x:v>
      </x:c>
      <x:c r="J7" s="7" t="str"/>
      <x:c r="K7" s="7" t="str">
        <x:f>IF(J7="","OPEN",IF(AND(COUNTIFS('Builder Qualification'!C7:C18,B7,'Builder Qualification'!J7:J18,"PASS")=G7,COUNTIFS(Tooling!C7:C78,B7,Tooling!L7:L78,"PASS")=H7,COUNTIFS('Transfer Standards'!C7:C78,B7,'Transfer Standards'!L7:L78,"PASS")=I7),"PASS","FAIL"))</x:f>
        <x:v>OPEN</x:v>
      </x:c>
    </x:row>
    <x:row r="8" ht="38" customHeight="1">
      <x:c r="B8" s="7" t="str">
        <x:v>BLD-B</x:v>
      </x:c>
      <x:c r="C8" s="10" t="str">
        <x:v>independent industrial builder</x:v>
      </x:c>
      <x:c r="D8" s="10" t="str">
        <x:v>independent production cell B</x:v>
      </x:c>
      <x:c r="E8" s="7" t="str">
        <x:v>both lineages</x:v>
      </x:c>
      <x:c r="F8" s="7" t="n">
        <x:v>6</x:v>
      </x:c>
      <x:c r="G8" s="7" t="n">
        <x:v>12</x:v>
      </x:c>
      <x:c r="H8" s="7" t="n">
        <x:v>24</x:v>
      </x:c>
      <x:c r="I8" s="7" t="n">
        <x:v>24</x:v>
      </x:c>
      <x:c r="J8" s="7" t="str"/>
      <x:c r="K8" s="7" t="str">
        <x:f>IF(J8="","OPEN",IF(AND(COUNTIFS('Builder Qualification'!C19:C30,B8,'Builder Qualification'!J19:J30,"PASS")=G8,COUNTIFS(Tooling!C7:C78,B8,Tooling!L7:L78,"PASS")=H8,COUNTIFS('Transfer Standards'!C7:C78,B8,'Transfer Standards'!L7:L78,"PASS")=I8),"PASS","FAIL"))</x:f>
        <x:v>OPEN</x:v>
      </x:c>
    </x:row>
    <x:row r="9" ht="38" customHeight="1">
      <x:c r="B9" s="7" t="str">
        <x:v>BLD-C</x:v>
      </x:c>
      <x:c r="C9" s="10" t="str">
        <x:v>independent industrial builder</x:v>
      </x:c>
      <x:c r="D9" s="10" t="str">
        <x:v>independent production cell C</x:v>
      </x:c>
      <x:c r="E9" s="7" t="str">
        <x:v>both lineages</x:v>
      </x:c>
      <x:c r="F9" s="7" t="n">
        <x:v>6</x:v>
      </x:c>
      <x:c r="G9" s="7" t="n">
        <x:v>12</x:v>
      </x:c>
      <x:c r="H9" s="7" t="n">
        <x:v>24</x:v>
      </x:c>
      <x:c r="I9" s="7" t="n">
        <x:v>24</x:v>
      </x:c>
      <x:c r="J9" s="7" t="str"/>
      <x:c r="K9" s="7" t="str">
        <x:f>IF(J9="","OPEN",IF(AND(COUNTIFS('Builder Qualification'!C31:C42,B9,'Builder Qualification'!J31:J42,"PASS")=G9,COUNTIFS(Tooling!C7:C78,B9,Tooling!L7:L78,"PASS")=H9,COUNTIFS('Transfer Standards'!C7:C78,B9,'Transfer Standards'!L7:L78,"PASS")=I9),"PASS","FAIL"))</x:f>
        <x:v>OPEN</x:v>
      </x:c>
    </x:row>
  </x:sheetData>
  <x:conditionalFormatting sqref="K7:K9">
    <x:cfRule type="containsText" dxfId="12" priority="1" operator="containsText" text="FAIL"/>
    <x:cfRule type="containsText" dxfId="13" priority="2" operator="containsText" text="BLOCKED"/>
    <x:cfRule type="containsText" dxfId="14" priority="3" operator="containsText" text="OPEN"/>
    <x:cfRule type="containsText" dxfId="15" priority="4" operator="containsText" text="DORMANT"/>
    <x:cfRule type="containsText" dxfId="16" priority="5" operator="containsText" text="REVIEW"/>
    <x:cfRule type="containsText" dxfId="17" priority="6" operator="containsText" text="PASS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22" hidden="0" customWidth="1"/>
    <x:col min="3" max="3" width="14" hidden="0" customWidth="1"/>
    <x:col min="4" max="4" width="14" hidden="0" customWidth="1"/>
    <x:col min="5" max="5" width="46" hidden="0" customWidth="1"/>
    <x:col min="6" max="6" width="30" hidden="0" customWidth="1"/>
    <x:col min="7" max="7" width="23" hidden="0" customWidth="1"/>
    <x:col min="8" max="8" width="21" hidden="0" customWidth="1"/>
    <x:col min="9" max="9" width="37" hidden="0" customWidth="1"/>
    <x:col min="10" max="10" width="14" hidden="0" customWidth="1"/>
  </x:cols>
  <x:sheetData>
    <x:row r="2">
      <x:c r="B2" s="1" t="str">
        <x:v>Thirty-six builder-qualification records</x:v>
      </x:c>
    </x:row>
    <x:row r="3">
      <x:c r="B3" s="2" t="str">
        <x:v>A timestamp beside a missing artifact, assessor or evidence root fails the criterion.</x:v>
      </x:c>
    </x:row>
    <x:row r="6" ht="24" customHeight="1">
      <x:c r="B6" s="6" t="str">
        <x:v>Record</x:v>
      </x:c>
      <x:c r="C6" s="6" t="str">
        <x:v>Builder</x:v>
      </x:c>
      <x:c r="D6" s="6" t="str">
        <x:v>Criterion</x:v>
      </x:c>
      <x:c r="E6" s="6" t="str">
        <x:v>Requirement</x:v>
      </x:c>
      <x:c r="F6" s="6" t="str">
        <x:v>Artifact identity</x:v>
      </x:c>
      <x:c r="G6" s="6" t="str">
        <x:v>Assessor</x:v>
      </x:c>
      <x:c r="H6" s="6" t="str">
        <x:v>Accepted UTC</x:v>
      </x:c>
      <x:c r="I6" s="6" t="str">
        <x:v>Evidence root</x:v>
      </x:c>
      <x:c r="J6" s="6" t="str">
        <x:v>State</x:v>
      </x:c>
    </x:row>
    <x:row r="7" ht="38" customHeight="1">
      <x:c r="B7" s="7" t="str">
        <x:v>BLD-A-BQ-01</x:v>
      </x:c>
      <x:c r="C7" s="7" t="str">
        <x:v>BLD-A</x:v>
      </x:c>
      <x:c r="D7" s="7" t="str">
        <x:v>BQ-01</x:v>
      </x:c>
      <x:c r="E7" s="10" t="str">
        <x:v>released capsule custody</x:v>
      </x:c>
      <x:c r="F7" s="7" t="str"/>
      <x:c r="G7" s="7" t="str"/>
      <x:c r="H7" s="7" t="str"/>
      <x:c r="I7" s="7" t="str"/>
      <x:c r="J7" s="7" t="str">
        <x:f>IF(H7="","OPEN",IF(OR(F7="",G7="",I7=""),"FAIL","PASS"))</x:f>
        <x:v>OPEN</x:v>
      </x:c>
    </x:row>
    <x:row r="8" ht="38" customHeight="1">
      <x:c r="B8" s="7" t="str">
        <x:v>BLD-A-BQ-02</x:v>
      </x:c>
      <x:c r="C8" s="7" t="str">
        <x:v>BLD-A</x:v>
      </x:c>
      <x:c r="D8" s="7" t="str">
        <x:v>BQ-02</x:v>
      </x:c>
      <x:c r="E8" s="10" t="str">
        <x:v>qualified workforce</x:v>
      </x:c>
      <x:c r="F8" s="7" t="str"/>
      <x:c r="G8" s="7" t="str"/>
      <x:c r="H8" s="7" t="str"/>
      <x:c r="I8" s="7" t="str"/>
      <x:c r="J8" s="7" t="str">
        <x:f>IF(H8="","OPEN",IF(OR(F8="",G8="",I8=""),"FAIL","PASS"))</x:f>
        <x:v>OPEN</x:v>
      </x:c>
    </x:row>
    <x:row r="9" ht="38" customHeight="1">
      <x:c r="B9" s="7" t="str">
        <x:v>BLD-A-BQ-03</x:v>
      </x:c>
      <x:c r="C9" s="7" t="str">
        <x:v>BLD-A</x:v>
      </x:c>
      <x:c r="D9" s="7" t="str">
        <x:v>BQ-03</x:v>
      </x:c>
      <x:c r="E9" s="10" t="str">
        <x:v>facility and environmental control</x:v>
      </x:c>
      <x:c r="F9" s="7" t="str"/>
      <x:c r="G9" s="7" t="str"/>
      <x:c r="H9" s="7" t="str"/>
      <x:c r="I9" s="7" t="str"/>
      <x:c r="J9" s="7" t="str">
        <x:f>IF(H9="","OPEN",IF(OR(F9="",G9="",I9=""),"FAIL","PASS"))</x:f>
        <x:v>OPEN</x:v>
      </x:c>
    </x:row>
    <x:row r="10" ht="38" customHeight="1">
      <x:c r="B10" s="7" t="str">
        <x:v>BLD-A-BQ-04</x:v>
      </x:c>
      <x:c r="C10" s="7" t="str">
        <x:v>BLD-A</x:v>
      </x:c>
      <x:c r="D10" s="7" t="str">
        <x:v>BQ-04</x:v>
      </x:c>
      <x:c r="E10" s="10" t="str">
        <x:v>material ancestry custody</x:v>
      </x:c>
      <x:c r="F10" s="7" t="str"/>
      <x:c r="G10" s="7" t="str"/>
      <x:c r="H10" s="7" t="str"/>
      <x:c r="I10" s="7" t="str"/>
      <x:c r="J10" s="7" t="str">
        <x:f>IF(H10="","OPEN",IF(OR(F10="",G10="",I10=""),"FAIL","PASS"))</x:f>
        <x:v>OPEN</x:v>
      </x:c>
    </x:row>
    <x:row r="11" ht="38" customHeight="1">
      <x:c r="B11" s="7" t="str">
        <x:v>BLD-A-BQ-05</x:v>
      </x:c>
      <x:c r="C11" s="7" t="str">
        <x:v>BLD-A</x:v>
      </x:c>
      <x:c r="D11" s="7" t="str">
        <x:v>BQ-05</x:v>
      </x:c>
      <x:c r="E11" s="10" t="str">
        <x:v>tool commission</x:v>
      </x:c>
      <x:c r="F11" s="7" t="str"/>
      <x:c r="G11" s="7" t="str"/>
      <x:c r="H11" s="7" t="str"/>
      <x:c r="I11" s="7" t="str"/>
      <x:c r="J11" s="7" t="str">
        <x:f>IF(H11="","OPEN",IF(OR(F11="",G11="",I11=""),"FAIL","PASS"))</x:f>
        <x:v>OPEN</x:v>
      </x:c>
    </x:row>
    <x:row r="12" ht="38" customHeight="1">
      <x:c r="B12" s="7" t="str">
        <x:v>BLD-A-BQ-06</x:v>
      </x:c>
      <x:c r="C12" s="7" t="str">
        <x:v>BLD-A</x:v>
      </x:c>
      <x:c r="D12" s="7" t="str">
        <x:v>BQ-06</x:v>
      </x:c>
      <x:c r="E12" s="10" t="str">
        <x:v>measurement transfer</x:v>
      </x:c>
      <x:c r="F12" s="7" t="str"/>
      <x:c r="G12" s="7" t="str"/>
      <x:c r="H12" s="7" t="str"/>
      <x:c r="I12" s="7" t="str"/>
      <x:c r="J12" s="7" t="str">
        <x:f>IF(H12="","OPEN",IF(OR(F12="",G12="",I12=""),"FAIL","PASS"))</x:f>
        <x:v>OPEN</x:v>
      </x:c>
    </x:row>
    <x:row r="13" ht="38" customHeight="1">
      <x:c r="B13" s="7" t="str">
        <x:v>BLD-A-BQ-07</x:v>
      </x:c>
      <x:c r="C13" s="7" t="str">
        <x:v>BLD-A</x:v>
      </x:c>
      <x:c r="D13" s="7" t="str">
        <x:v>BQ-07</x:v>
      </x:c>
      <x:c r="E13" s="10" t="str">
        <x:v>safety and rescue</x:v>
      </x:c>
      <x:c r="F13" s="7" t="str"/>
      <x:c r="G13" s="7" t="str"/>
      <x:c r="H13" s="7" t="str"/>
      <x:c r="I13" s="7" t="str"/>
      <x:c r="J13" s="7" t="str">
        <x:f>IF(H13="","OPEN",IF(OR(F13="",G13="",I13=""),"FAIL","PASS"))</x:f>
        <x:v>OPEN</x:v>
      </x:c>
    </x:row>
    <x:row r="14" ht="38" customHeight="1">
      <x:c r="B14" s="7" t="str">
        <x:v>BLD-A-BQ-08</x:v>
      </x:c>
      <x:c r="C14" s="7" t="str">
        <x:v>BLD-A</x:v>
      </x:c>
      <x:c r="D14" s="7" t="str">
        <x:v>BQ-08</x:v>
      </x:c>
      <x:c r="E14" s="10" t="str">
        <x:v>evidence and causal time</x:v>
      </x:c>
      <x:c r="F14" s="7" t="str"/>
      <x:c r="G14" s="7" t="str"/>
      <x:c r="H14" s="7" t="str"/>
      <x:c r="I14" s="7" t="str"/>
      <x:c r="J14" s="7" t="str">
        <x:f>IF(H14="","OPEN",IF(OR(F14="",G14="",I14=""),"FAIL","PASS"))</x:f>
        <x:v>OPEN</x:v>
      </x:c>
    </x:row>
    <x:row r="15" ht="38" customHeight="1">
      <x:c r="B15" s="7" t="str">
        <x:v>BLD-A-BQ-09</x:v>
      </x:c>
      <x:c r="C15" s="7" t="str">
        <x:v>BLD-A</x:v>
      </x:c>
      <x:c r="D15" s="7" t="str">
        <x:v>BQ-09</x:v>
      </x:c>
      <x:c r="E15" s="10" t="str">
        <x:v>RFI and assistance control</x:v>
      </x:c>
      <x:c r="F15" s="7" t="str"/>
      <x:c r="G15" s="7" t="str"/>
      <x:c r="H15" s="7" t="str"/>
      <x:c r="I15" s="7" t="str"/>
      <x:c r="J15" s="7" t="str">
        <x:f>IF(H15="","OPEN",IF(OR(F15="",G15="",I15=""),"FAIL","PASS"))</x:f>
        <x:v>OPEN</x:v>
      </x:c>
    </x:row>
    <x:row r="16" ht="38" customHeight="1">
      <x:c r="B16" s="7" t="str">
        <x:v>BLD-A-BQ-10</x:v>
      </x:c>
      <x:c r="C16" s="7" t="str">
        <x:v>BLD-A</x:v>
      </x:c>
      <x:c r="D16" s="7" t="str">
        <x:v>BQ-10</x:v>
      </x:c>
      <x:c r="E16" s="10" t="str">
        <x:v>nonconformance control</x:v>
      </x:c>
      <x:c r="F16" s="7" t="str"/>
      <x:c r="G16" s="7" t="str"/>
      <x:c r="H16" s="7" t="str"/>
      <x:c r="I16" s="7" t="str"/>
      <x:c r="J16" s="7" t="str">
        <x:f>IF(H16="","OPEN",IF(OR(F16="",G16="",I16=""),"FAIL","PASS"))</x:f>
        <x:v>OPEN</x:v>
      </x:c>
    </x:row>
    <x:row r="17" ht="38" customHeight="1">
      <x:c r="B17" s="7" t="str">
        <x:v>BLD-A-BQ-11</x:v>
      </x:c>
      <x:c r="C17" s="7" t="str">
        <x:v>BLD-A</x:v>
      </x:c>
      <x:c r="D17" s="7" t="str">
        <x:v>BQ-11</x:v>
      </x:c>
      <x:c r="E17" s="10" t="str">
        <x:v>change control</x:v>
      </x:c>
      <x:c r="F17" s="7" t="str"/>
      <x:c r="G17" s="7" t="str"/>
      <x:c r="H17" s="7" t="str"/>
      <x:c r="I17" s="7" t="str"/>
      <x:c r="J17" s="7" t="str">
        <x:f>IF(H17="","OPEN",IF(OR(F17="",G17="",I17=""),"FAIL","PASS"))</x:f>
        <x:v>OPEN</x:v>
      </x:c>
    </x:row>
    <x:row r="18" ht="38" customHeight="1">
      <x:c r="B18" s="7" t="str">
        <x:v>BLD-A-BQ-12</x:v>
      </x:c>
      <x:c r="C18" s="7" t="str">
        <x:v>BLD-A</x:v>
      </x:c>
      <x:c r="D18" s="7" t="str">
        <x:v>BQ-12</x:v>
      </x:c>
      <x:c r="E18" s="10" t="str">
        <x:v>independent readiness audit</x:v>
      </x:c>
      <x:c r="F18" s="7" t="str"/>
      <x:c r="G18" s="7" t="str"/>
      <x:c r="H18" s="7" t="str"/>
      <x:c r="I18" s="7" t="str"/>
      <x:c r="J18" s="7" t="str">
        <x:f>IF(H18="","OPEN",IF(OR(F18="",G18="",I18=""),"FAIL","PASS"))</x:f>
        <x:v>OPEN</x:v>
      </x:c>
    </x:row>
    <x:row r="19" ht="38" customHeight="1">
      <x:c r="B19" s="7" t="str">
        <x:v>BLD-B-BQ-01</x:v>
      </x:c>
      <x:c r="C19" s="7" t="str">
        <x:v>BLD-B</x:v>
      </x:c>
      <x:c r="D19" s="7" t="str">
        <x:v>BQ-01</x:v>
      </x:c>
      <x:c r="E19" s="10" t="str">
        <x:v>released capsule custody</x:v>
      </x:c>
      <x:c r="F19" s="7" t="str"/>
      <x:c r="G19" s="7" t="str"/>
      <x:c r="H19" s="7" t="str"/>
      <x:c r="I19" s="7" t="str"/>
      <x:c r="J19" s="7" t="str">
        <x:f>IF(H19="","OPEN",IF(OR(F19="",G19="",I19=""),"FAIL","PASS"))</x:f>
        <x:v>OPEN</x:v>
      </x:c>
    </x:row>
    <x:row r="20" ht="38" customHeight="1">
      <x:c r="B20" s="7" t="str">
        <x:v>BLD-B-BQ-02</x:v>
      </x:c>
      <x:c r="C20" s="7" t="str">
        <x:v>BLD-B</x:v>
      </x:c>
      <x:c r="D20" s="7" t="str">
        <x:v>BQ-02</x:v>
      </x:c>
      <x:c r="E20" s="10" t="str">
        <x:v>qualified workforce</x:v>
      </x:c>
      <x:c r="F20" s="7" t="str"/>
      <x:c r="G20" s="7" t="str"/>
      <x:c r="H20" s="7" t="str"/>
      <x:c r="I20" s="7" t="str"/>
      <x:c r="J20" s="7" t="str">
        <x:f>IF(H20="","OPEN",IF(OR(F20="",G20="",I20=""),"FAIL","PASS"))</x:f>
        <x:v>OPEN</x:v>
      </x:c>
    </x:row>
    <x:row r="21" ht="38" customHeight="1">
      <x:c r="B21" s="7" t="str">
        <x:v>BLD-B-BQ-03</x:v>
      </x:c>
      <x:c r="C21" s="7" t="str">
        <x:v>BLD-B</x:v>
      </x:c>
      <x:c r="D21" s="7" t="str">
        <x:v>BQ-03</x:v>
      </x:c>
      <x:c r="E21" s="10" t="str">
        <x:v>facility and environmental control</x:v>
      </x:c>
      <x:c r="F21" s="7" t="str"/>
      <x:c r="G21" s="7" t="str"/>
      <x:c r="H21" s="7" t="str"/>
      <x:c r="I21" s="7" t="str"/>
      <x:c r="J21" s="7" t="str">
        <x:f>IF(H21="","OPEN",IF(OR(F21="",G21="",I21=""),"FAIL","PASS"))</x:f>
        <x:v>OPEN</x:v>
      </x:c>
    </x:row>
    <x:row r="22" ht="38" customHeight="1">
      <x:c r="B22" s="7" t="str">
        <x:v>BLD-B-BQ-04</x:v>
      </x:c>
      <x:c r="C22" s="7" t="str">
        <x:v>BLD-B</x:v>
      </x:c>
      <x:c r="D22" s="7" t="str">
        <x:v>BQ-04</x:v>
      </x:c>
      <x:c r="E22" s="10" t="str">
        <x:v>material ancestry custody</x:v>
      </x:c>
      <x:c r="F22" s="7" t="str"/>
      <x:c r="G22" s="7" t="str"/>
      <x:c r="H22" s="7" t="str"/>
      <x:c r="I22" s="7" t="str"/>
      <x:c r="J22" s="7" t="str">
        <x:f>IF(H22="","OPEN",IF(OR(F22="",G22="",I22=""),"FAIL","PASS"))</x:f>
        <x:v>OPEN</x:v>
      </x:c>
    </x:row>
    <x:row r="23" ht="38" customHeight="1">
      <x:c r="B23" s="7" t="str">
        <x:v>BLD-B-BQ-05</x:v>
      </x:c>
      <x:c r="C23" s="7" t="str">
        <x:v>BLD-B</x:v>
      </x:c>
      <x:c r="D23" s="7" t="str">
        <x:v>BQ-05</x:v>
      </x:c>
      <x:c r="E23" s="10" t="str">
        <x:v>tool commission</x:v>
      </x:c>
      <x:c r="F23" s="7" t="str"/>
      <x:c r="G23" s="7" t="str"/>
      <x:c r="H23" s="7" t="str"/>
      <x:c r="I23" s="7" t="str"/>
      <x:c r="J23" s="7" t="str">
        <x:f>IF(H23="","OPEN",IF(OR(F23="",G23="",I23=""),"FAIL","PASS"))</x:f>
        <x:v>OPEN</x:v>
      </x:c>
    </x:row>
    <x:row r="24" ht="38" customHeight="1">
      <x:c r="B24" s="7" t="str">
        <x:v>BLD-B-BQ-06</x:v>
      </x:c>
      <x:c r="C24" s="7" t="str">
        <x:v>BLD-B</x:v>
      </x:c>
      <x:c r="D24" s="7" t="str">
        <x:v>BQ-06</x:v>
      </x:c>
      <x:c r="E24" s="10" t="str">
        <x:v>measurement transfer</x:v>
      </x:c>
      <x:c r="F24" s="7" t="str"/>
      <x:c r="G24" s="7" t="str"/>
      <x:c r="H24" s="7" t="str"/>
      <x:c r="I24" s="7" t="str"/>
      <x:c r="J24" s="7" t="str">
        <x:f>IF(H24="","OPEN",IF(OR(F24="",G24="",I24=""),"FAIL","PASS"))</x:f>
        <x:v>OPEN</x:v>
      </x:c>
    </x:row>
    <x:row r="25" ht="38" customHeight="1">
      <x:c r="B25" s="7" t="str">
        <x:v>BLD-B-BQ-07</x:v>
      </x:c>
      <x:c r="C25" s="7" t="str">
        <x:v>BLD-B</x:v>
      </x:c>
      <x:c r="D25" s="7" t="str">
        <x:v>BQ-07</x:v>
      </x:c>
      <x:c r="E25" s="10" t="str">
        <x:v>safety and rescue</x:v>
      </x:c>
      <x:c r="F25" s="7" t="str"/>
      <x:c r="G25" s="7" t="str"/>
      <x:c r="H25" s="7" t="str"/>
      <x:c r="I25" s="7" t="str"/>
      <x:c r="J25" s="7" t="str">
        <x:f>IF(H25="","OPEN",IF(OR(F25="",G25="",I25=""),"FAIL","PASS"))</x:f>
        <x:v>OPEN</x:v>
      </x:c>
    </x:row>
    <x:row r="26" ht="38" customHeight="1">
      <x:c r="B26" s="7" t="str">
        <x:v>BLD-B-BQ-08</x:v>
      </x:c>
      <x:c r="C26" s="7" t="str">
        <x:v>BLD-B</x:v>
      </x:c>
      <x:c r="D26" s="7" t="str">
        <x:v>BQ-08</x:v>
      </x:c>
      <x:c r="E26" s="10" t="str">
        <x:v>evidence and causal time</x:v>
      </x:c>
      <x:c r="F26" s="7" t="str"/>
      <x:c r="G26" s="7" t="str"/>
      <x:c r="H26" s="7" t="str"/>
      <x:c r="I26" s="7" t="str"/>
      <x:c r="J26" s="7" t="str">
        <x:f>IF(H26="","OPEN",IF(OR(F26="",G26="",I26=""),"FAIL","PASS"))</x:f>
        <x:v>OPEN</x:v>
      </x:c>
    </x:row>
    <x:row r="27" ht="38" customHeight="1">
      <x:c r="B27" s="7" t="str">
        <x:v>BLD-B-BQ-09</x:v>
      </x:c>
      <x:c r="C27" s="7" t="str">
        <x:v>BLD-B</x:v>
      </x:c>
      <x:c r="D27" s="7" t="str">
        <x:v>BQ-09</x:v>
      </x:c>
      <x:c r="E27" s="10" t="str">
        <x:v>RFI and assistance control</x:v>
      </x:c>
      <x:c r="F27" s="7" t="str"/>
      <x:c r="G27" s="7" t="str"/>
      <x:c r="H27" s="7" t="str"/>
      <x:c r="I27" s="7" t="str"/>
      <x:c r="J27" s="7" t="str">
        <x:f>IF(H27="","OPEN",IF(OR(F27="",G27="",I27=""),"FAIL","PASS"))</x:f>
        <x:v>OPEN</x:v>
      </x:c>
    </x:row>
    <x:row r="28" ht="38" customHeight="1">
      <x:c r="B28" s="7" t="str">
        <x:v>BLD-B-BQ-10</x:v>
      </x:c>
      <x:c r="C28" s="7" t="str">
        <x:v>BLD-B</x:v>
      </x:c>
      <x:c r="D28" s="7" t="str">
        <x:v>BQ-10</x:v>
      </x:c>
      <x:c r="E28" s="10" t="str">
        <x:v>nonconformance control</x:v>
      </x:c>
      <x:c r="F28" s="7" t="str"/>
      <x:c r="G28" s="7" t="str"/>
      <x:c r="H28" s="7" t="str"/>
      <x:c r="I28" s="7" t="str"/>
      <x:c r="J28" s="7" t="str">
        <x:f>IF(H28="","OPEN",IF(OR(F28="",G28="",I28=""),"FAIL","PASS"))</x:f>
        <x:v>OPEN</x:v>
      </x:c>
    </x:row>
    <x:row r="29" ht="38" customHeight="1">
      <x:c r="B29" s="7" t="str">
        <x:v>BLD-B-BQ-11</x:v>
      </x:c>
      <x:c r="C29" s="7" t="str">
        <x:v>BLD-B</x:v>
      </x:c>
      <x:c r="D29" s="7" t="str">
        <x:v>BQ-11</x:v>
      </x:c>
      <x:c r="E29" s="10" t="str">
        <x:v>change control</x:v>
      </x:c>
      <x:c r="F29" s="7" t="str"/>
      <x:c r="G29" s="7" t="str"/>
      <x:c r="H29" s="7" t="str"/>
      <x:c r="I29" s="7" t="str"/>
      <x:c r="J29" s="7" t="str">
        <x:f>IF(H29="","OPEN",IF(OR(F29="",G29="",I29=""),"FAIL","PASS"))</x:f>
        <x:v>OPEN</x:v>
      </x:c>
    </x:row>
    <x:row r="30" ht="38" customHeight="1">
      <x:c r="B30" s="7" t="str">
        <x:v>BLD-B-BQ-12</x:v>
      </x:c>
      <x:c r="C30" s="7" t="str">
        <x:v>BLD-B</x:v>
      </x:c>
      <x:c r="D30" s="7" t="str">
        <x:v>BQ-12</x:v>
      </x:c>
      <x:c r="E30" s="10" t="str">
        <x:v>independent readiness audit</x:v>
      </x:c>
      <x:c r="F30" s="7" t="str"/>
      <x:c r="G30" s="7" t="str"/>
      <x:c r="H30" s="7" t="str"/>
      <x:c r="I30" s="7" t="str"/>
      <x:c r="J30" s="7" t="str">
        <x:f>IF(H30="","OPEN",IF(OR(F30="",G30="",I30=""),"FAIL","PASS"))</x:f>
        <x:v>OPEN</x:v>
      </x:c>
    </x:row>
    <x:row r="31" ht="38" customHeight="1">
      <x:c r="B31" s="7" t="str">
        <x:v>BLD-C-BQ-01</x:v>
      </x:c>
      <x:c r="C31" s="7" t="str">
        <x:v>BLD-C</x:v>
      </x:c>
      <x:c r="D31" s="7" t="str">
        <x:v>BQ-01</x:v>
      </x:c>
      <x:c r="E31" s="10" t="str">
        <x:v>released capsule custody</x:v>
      </x:c>
      <x:c r="F31" s="7" t="str"/>
      <x:c r="G31" s="7" t="str"/>
      <x:c r="H31" s="7" t="str"/>
      <x:c r="I31" s="7" t="str"/>
      <x:c r="J31" s="7" t="str">
        <x:f>IF(H31="","OPEN",IF(OR(F31="",G31="",I31=""),"FAIL","PASS"))</x:f>
        <x:v>OPEN</x:v>
      </x:c>
    </x:row>
    <x:row r="32" ht="38" customHeight="1">
      <x:c r="B32" s="7" t="str">
        <x:v>BLD-C-BQ-02</x:v>
      </x:c>
      <x:c r="C32" s="7" t="str">
        <x:v>BLD-C</x:v>
      </x:c>
      <x:c r="D32" s="7" t="str">
        <x:v>BQ-02</x:v>
      </x:c>
      <x:c r="E32" s="10" t="str">
        <x:v>qualified workforce</x:v>
      </x:c>
      <x:c r="F32" s="7" t="str"/>
      <x:c r="G32" s="7" t="str"/>
      <x:c r="H32" s="7" t="str"/>
      <x:c r="I32" s="7" t="str"/>
      <x:c r="J32" s="7" t="str">
        <x:f>IF(H32="","OPEN",IF(OR(F32="",G32="",I32=""),"FAIL","PASS"))</x:f>
        <x:v>OPEN</x:v>
      </x:c>
    </x:row>
    <x:row r="33" ht="38" customHeight="1">
      <x:c r="B33" s="7" t="str">
        <x:v>BLD-C-BQ-03</x:v>
      </x:c>
      <x:c r="C33" s="7" t="str">
        <x:v>BLD-C</x:v>
      </x:c>
      <x:c r="D33" s="7" t="str">
        <x:v>BQ-03</x:v>
      </x:c>
      <x:c r="E33" s="10" t="str">
        <x:v>facility and environmental control</x:v>
      </x:c>
      <x:c r="F33" s="7" t="str"/>
      <x:c r="G33" s="7" t="str"/>
      <x:c r="H33" s="7" t="str"/>
      <x:c r="I33" s="7" t="str"/>
      <x:c r="J33" s="7" t="str">
        <x:f>IF(H33="","OPEN",IF(OR(F33="",G33="",I33=""),"FAIL","PASS"))</x:f>
        <x:v>OPEN</x:v>
      </x:c>
    </x:row>
    <x:row r="34" ht="38" customHeight="1">
      <x:c r="B34" s="7" t="str">
        <x:v>BLD-C-BQ-04</x:v>
      </x:c>
      <x:c r="C34" s="7" t="str">
        <x:v>BLD-C</x:v>
      </x:c>
      <x:c r="D34" s="7" t="str">
        <x:v>BQ-04</x:v>
      </x:c>
      <x:c r="E34" s="10" t="str">
        <x:v>material ancestry custody</x:v>
      </x:c>
      <x:c r="F34" s="7" t="str"/>
      <x:c r="G34" s="7" t="str"/>
      <x:c r="H34" s="7" t="str"/>
      <x:c r="I34" s="7" t="str"/>
      <x:c r="J34" s="7" t="str">
        <x:f>IF(H34="","OPEN",IF(OR(F34="",G34="",I34=""),"FAIL","PASS"))</x:f>
        <x:v>OPEN</x:v>
      </x:c>
    </x:row>
    <x:row r="35" ht="38" customHeight="1">
      <x:c r="B35" s="7" t="str">
        <x:v>BLD-C-BQ-05</x:v>
      </x:c>
      <x:c r="C35" s="7" t="str">
        <x:v>BLD-C</x:v>
      </x:c>
      <x:c r="D35" s="7" t="str">
        <x:v>BQ-05</x:v>
      </x:c>
      <x:c r="E35" s="10" t="str">
        <x:v>tool commission</x:v>
      </x:c>
      <x:c r="F35" s="7" t="str"/>
      <x:c r="G35" s="7" t="str"/>
      <x:c r="H35" s="7" t="str"/>
      <x:c r="I35" s="7" t="str"/>
      <x:c r="J35" s="7" t="str">
        <x:f>IF(H35="","OPEN",IF(OR(F35="",G35="",I35=""),"FAIL","PASS"))</x:f>
        <x:v>OPEN</x:v>
      </x:c>
    </x:row>
    <x:row r="36" ht="38" customHeight="1">
      <x:c r="B36" s="7" t="str">
        <x:v>BLD-C-BQ-06</x:v>
      </x:c>
      <x:c r="C36" s="7" t="str">
        <x:v>BLD-C</x:v>
      </x:c>
      <x:c r="D36" s="7" t="str">
        <x:v>BQ-06</x:v>
      </x:c>
      <x:c r="E36" s="10" t="str">
        <x:v>measurement transfer</x:v>
      </x:c>
      <x:c r="F36" s="7" t="str"/>
      <x:c r="G36" s="7" t="str"/>
      <x:c r="H36" s="7" t="str"/>
      <x:c r="I36" s="7" t="str"/>
      <x:c r="J36" s="7" t="str">
        <x:f>IF(H36="","OPEN",IF(OR(F36="",G36="",I36=""),"FAIL","PASS"))</x:f>
        <x:v>OPEN</x:v>
      </x:c>
    </x:row>
    <x:row r="37" ht="38" customHeight="1">
      <x:c r="B37" s="7" t="str">
        <x:v>BLD-C-BQ-07</x:v>
      </x:c>
      <x:c r="C37" s="7" t="str">
        <x:v>BLD-C</x:v>
      </x:c>
      <x:c r="D37" s="7" t="str">
        <x:v>BQ-07</x:v>
      </x:c>
      <x:c r="E37" s="10" t="str">
        <x:v>safety and rescue</x:v>
      </x:c>
      <x:c r="F37" s="7" t="str"/>
      <x:c r="G37" s="7" t="str"/>
      <x:c r="H37" s="7" t="str"/>
      <x:c r="I37" s="7" t="str"/>
      <x:c r="J37" s="7" t="str">
        <x:f>IF(H37="","OPEN",IF(OR(F37="",G37="",I37=""),"FAIL","PASS"))</x:f>
        <x:v>OPEN</x:v>
      </x:c>
    </x:row>
    <x:row r="38" ht="38" customHeight="1">
      <x:c r="B38" s="7" t="str">
        <x:v>BLD-C-BQ-08</x:v>
      </x:c>
      <x:c r="C38" s="7" t="str">
        <x:v>BLD-C</x:v>
      </x:c>
      <x:c r="D38" s="7" t="str">
        <x:v>BQ-08</x:v>
      </x:c>
      <x:c r="E38" s="10" t="str">
        <x:v>evidence and causal time</x:v>
      </x:c>
      <x:c r="F38" s="7" t="str"/>
      <x:c r="G38" s="7" t="str"/>
      <x:c r="H38" s="7" t="str"/>
      <x:c r="I38" s="7" t="str"/>
      <x:c r="J38" s="7" t="str">
        <x:f>IF(H38="","OPEN",IF(OR(F38="",G38="",I38=""),"FAIL","PASS"))</x:f>
        <x:v>OPEN</x:v>
      </x:c>
    </x:row>
    <x:row r="39" ht="38" customHeight="1">
      <x:c r="B39" s="7" t="str">
        <x:v>BLD-C-BQ-09</x:v>
      </x:c>
      <x:c r="C39" s="7" t="str">
        <x:v>BLD-C</x:v>
      </x:c>
      <x:c r="D39" s="7" t="str">
        <x:v>BQ-09</x:v>
      </x:c>
      <x:c r="E39" s="10" t="str">
        <x:v>RFI and assistance control</x:v>
      </x:c>
      <x:c r="F39" s="7" t="str"/>
      <x:c r="G39" s="7" t="str"/>
      <x:c r="H39" s="7" t="str"/>
      <x:c r="I39" s="7" t="str"/>
      <x:c r="J39" s="7" t="str">
        <x:f>IF(H39="","OPEN",IF(OR(F39="",G39="",I39=""),"FAIL","PASS"))</x:f>
        <x:v>OPEN</x:v>
      </x:c>
    </x:row>
    <x:row r="40" ht="38" customHeight="1">
      <x:c r="B40" s="7" t="str">
        <x:v>BLD-C-BQ-10</x:v>
      </x:c>
      <x:c r="C40" s="7" t="str">
        <x:v>BLD-C</x:v>
      </x:c>
      <x:c r="D40" s="7" t="str">
        <x:v>BQ-10</x:v>
      </x:c>
      <x:c r="E40" s="10" t="str">
        <x:v>nonconformance control</x:v>
      </x:c>
      <x:c r="F40" s="7" t="str"/>
      <x:c r="G40" s="7" t="str"/>
      <x:c r="H40" s="7" t="str"/>
      <x:c r="I40" s="7" t="str"/>
      <x:c r="J40" s="7" t="str">
        <x:f>IF(H40="","OPEN",IF(OR(F40="",G40="",I40=""),"FAIL","PASS"))</x:f>
        <x:v>OPEN</x:v>
      </x:c>
    </x:row>
    <x:row r="41" ht="38" customHeight="1">
      <x:c r="B41" s="7" t="str">
        <x:v>BLD-C-BQ-11</x:v>
      </x:c>
      <x:c r="C41" s="7" t="str">
        <x:v>BLD-C</x:v>
      </x:c>
      <x:c r="D41" s="7" t="str">
        <x:v>BQ-11</x:v>
      </x:c>
      <x:c r="E41" s="10" t="str">
        <x:v>change control</x:v>
      </x:c>
      <x:c r="F41" s="7" t="str"/>
      <x:c r="G41" s="7" t="str"/>
      <x:c r="H41" s="7" t="str"/>
      <x:c r="I41" s="7" t="str"/>
      <x:c r="J41" s="7" t="str">
        <x:f>IF(H41="","OPEN",IF(OR(F41="",G41="",I41=""),"FAIL","PASS"))</x:f>
        <x:v>OPEN</x:v>
      </x:c>
    </x:row>
    <x:row r="42" ht="38" customHeight="1">
      <x:c r="B42" s="7" t="str">
        <x:v>BLD-C-BQ-12</x:v>
      </x:c>
      <x:c r="C42" s="7" t="str">
        <x:v>BLD-C</x:v>
      </x:c>
      <x:c r="D42" s="7" t="str">
        <x:v>BQ-12</x:v>
      </x:c>
      <x:c r="E42" s="10" t="str">
        <x:v>independent readiness audit</x:v>
      </x:c>
      <x:c r="F42" s="7" t="str"/>
      <x:c r="G42" s="7" t="str"/>
      <x:c r="H42" s="7" t="str"/>
      <x:c r="I42" s="7" t="str"/>
      <x:c r="J42" s="7" t="str">
        <x:f>IF(H42="","OPEN",IF(OR(F42="",G42="",I42=""),"FAIL","PASS"))</x:f>
        <x:v>OPEN</x:v>
      </x:c>
    </x:row>
  </x:sheetData>
  <x:conditionalFormatting sqref="J7:J42">
    <x:cfRule type="containsText" dxfId="18" priority="1" operator="containsText" text="FAIL"/>
    <x:cfRule type="containsText" dxfId="19" priority="2" operator="containsText" text="BLOCKED"/>
    <x:cfRule type="containsText" dxfId="20" priority="3" operator="containsText" text="OPEN"/>
    <x:cfRule type="containsText" dxfId="21" priority="4" operator="containsText" text="DORMANT"/>
    <x:cfRule type="containsText" dxfId="22" priority="5" operator="containsText" text="REVIEW"/>
    <x:cfRule type="containsText" dxfId="23" priority="6" operator="containsText" text="PASS"/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14" hidden="0" customWidth="1"/>
    <x:col min="4" max="4" width="13" hidden="0" customWidth="1"/>
    <x:col min="5" max="5" width="13" hidden="0" customWidth="1"/>
    <x:col min="6" max="6" width="63" hidden="0" customWidth="1"/>
    <x:col min="7" max="7" width="56" hidden="0" customWidth="1"/>
    <x:col min="8" max="8" width="60" hidden="0" customWidth="1"/>
    <x:col min="9" max="9" width="14" hidden="0" customWidth="1"/>
  </x:cols>
  <x:sheetData>
    <x:row r="2">
      <x:c r="B2" s="1" t="str">
        <x:v>Six builder-lineage qualification cells</x:v>
      </x:c>
    </x:row>
    <x:row r="3">
      <x:c r="B3" s="2" t="str">
        <x:v>A cell is the smallest reproduction decision. Results cannot be pooled across lineage or builder to rescue a failed cell.</x:v>
      </x:c>
    </x:row>
    <x:row r="6" ht="24" customHeight="1">
      <x:c r="B6" s="6" t="str">
        <x:v>Cell</x:v>
      </x:c>
      <x:c r="C6" s="6" t="str">
        <x:v>Builder</x:v>
      </x:c>
      <x:c r="D6" s="6" t="str">
        <x:v>Lineage</x:v>
      </x:c>
      <x:c r="E6" s="6" t="str">
        <x:v>Articles</x:v>
      </x:c>
      <x:c r="F6" s="6" t="str">
        <x:v>Process boundary</x:v>
      </x:c>
      <x:c r="G6" s="6" t="str">
        <x:v>Material crossing</x:v>
      </x:c>
      <x:c r="H6" s="6" t="str">
        <x:v>Role crossing</x:v>
      </x:c>
      <x:c r="I6" s="6" t="str">
        <x:v>State</x:v>
      </x:c>
    </x:row>
    <x:row r="7" ht="44" customHeight="1">
      <x:c r="B7" s="7" t="str">
        <x:v>LOT-A-X</x:v>
      </x:c>
      <x:c r="C7" s="7" t="str">
        <x:v>BLD-A</x:v>
      </x:c>
      <x:c r="D7" s="7" t="str">
        <x:v>BL-X</x:v>
      </x:c>
      <x:c r="E7" s="7" t="n">
        <x:v>3</x:v>
      </x:c>
      <x:c r="F7" s="10" t="str">
        <x:v>three consecutive units under one frozen lineage capsule</x:v>
      </x:c>
      <x:c r="G7" s="10" t="str">
        <x:v>one article from each of three parent bundles</x:v>
      </x:c>
      <x:c r="H7" s="10" t="str">
        <x:v>one operational, one twin and one committed special role</x:v>
      </x:c>
      <x:c r="I7" s="7" t="str">
        <x:v>OPEN</x:v>
      </x:c>
    </x:row>
    <x:row r="8" ht="44" customHeight="1">
      <x:c r="B8" s="7" t="str">
        <x:v>LOT-A-Y</x:v>
      </x:c>
      <x:c r="C8" s="7" t="str">
        <x:v>BLD-A</x:v>
      </x:c>
      <x:c r="D8" s="7" t="str">
        <x:v>BL-Y</x:v>
      </x:c>
      <x:c r="E8" s="7" t="n">
        <x:v>3</x:v>
      </x:c>
      <x:c r="F8" s="10" t="str">
        <x:v>three consecutive units under one frozen lineage capsule</x:v>
      </x:c>
      <x:c r="G8" s="10" t="str">
        <x:v>one article from each of three parent bundles</x:v>
      </x:c>
      <x:c r="H8" s="10" t="str">
        <x:v>one operational, one twin and one committed special role</x:v>
      </x:c>
      <x:c r="I8" s="7" t="str">
        <x:v>OPEN</x:v>
      </x:c>
    </x:row>
    <x:row r="9" ht="44" customHeight="1">
      <x:c r="B9" s="7" t="str">
        <x:v>LOT-B-X</x:v>
      </x:c>
      <x:c r="C9" s="7" t="str">
        <x:v>BLD-B</x:v>
      </x:c>
      <x:c r="D9" s="7" t="str">
        <x:v>BL-X</x:v>
      </x:c>
      <x:c r="E9" s="7" t="n">
        <x:v>3</x:v>
      </x:c>
      <x:c r="F9" s="10" t="str">
        <x:v>three consecutive units under one frozen lineage capsule</x:v>
      </x:c>
      <x:c r="G9" s="10" t="str">
        <x:v>one article from each of three parent bundles</x:v>
      </x:c>
      <x:c r="H9" s="10" t="str">
        <x:v>one operational, one twin and one committed special role</x:v>
      </x:c>
      <x:c r="I9" s="7" t="str">
        <x:v>OPEN</x:v>
      </x:c>
    </x:row>
    <x:row r="10" ht="44" customHeight="1">
      <x:c r="B10" s="7" t="str">
        <x:v>LOT-B-Y</x:v>
      </x:c>
      <x:c r="C10" s="7" t="str">
        <x:v>BLD-B</x:v>
      </x:c>
      <x:c r="D10" s="7" t="str">
        <x:v>BL-Y</x:v>
      </x:c>
      <x:c r="E10" s="7" t="n">
        <x:v>3</x:v>
      </x:c>
      <x:c r="F10" s="10" t="str">
        <x:v>three consecutive units under one frozen lineage capsule</x:v>
      </x:c>
      <x:c r="G10" s="10" t="str">
        <x:v>one article from each of three parent bundles</x:v>
      </x:c>
      <x:c r="H10" s="10" t="str">
        <x:v>one operational, one twin and one committed special role</x:v>
      </x:c>
      <x:c r="I10" s="7" t="str">
        <x:v>OPEN</x:v>
      </x:c>
    </x:row>
    <x:row r="11" ht="44" customHeight="1">
      <x:c r="B11" s="7" t="str">
        <x:v>LOT-C-X</x:v>
      </x:c>
      <x:c r="C11" s="7" t="str">
        <x:v>BLD-C</x:v>
      </x:c>
      <x:c r="D11" s="7" t="str">
        <x:v>BL-X</x:v>
      </x:c>
      <x:c r="E11" s="7" t="n">
        <x:v>3</x:v>
      </x:c>
      <x:c r="F11" s="10" t="str">
        <x:v>three consecutive units under one frozen lineage capsule</x:v>
      </x:c>
      <x:c r="G11" s="10" t="str">
        <x:v>one article from each of three parent bundles</x:v>
      </x:c>
      <x:c r="H11" s="10" t="str">
        <x:v>one operational, one twin and one committed special role</x:v>
      </x:c>
      <x:c r="I11" s="7" t="str">
        <x:v>OPEN</x:v>
      </x:c>
    </x:row>
    <x:row r="12" ht="44" customHeight="1">
      <x:c r="B12" s="7" t="str">
        <x:v>LOT-C-Y</x:v>
      </x:c>
      <x:c r="C12" s="7" t="str">
        <x:v>BLD-C</x:v>
      </x:c>
      <x:c r="D12" s="7" t="str">
        <x:v>BL-Y</x:v>
      </x:c>
      <x:c r="E12" s="7" t="n">
        <x:v>3</x:v>
      </x:c>
      <x:c r="F12" s="10" t="str">
        <x:v>three consecutive units under one frozen lineage capsule</x:v>
      </x:c>
      <x:c r="G12" s="10" t="str">
        <x:v>one article from each of three parent bundles</x:v>
      </x:c>
      <x:c r="H12" s="10" t="str">
        <x:v>one operational, one twin and one committed special role</x:v>
      </x:c>
      <x:c r="I12" s="7" t="str">
        <x:v>OPEN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7" hidden="0" customWidth="1"/>
    <x:col min="3" max="3" width="14" hidden="0" customWidth="1"/>
    <x:col min="4" max="4" width="13" hidden="0" customWidth="1"/>
    <x:col min="5" max="5" width="14" hidden="0" customWidth="1"/>
    <x:col min="6" max="6" width="19" hidden="0" customWidth="1"/>
    <x:col min="7" max="7" width="18" hidden="0" customWidth="1"/>
    <x:col min="8" max="8" width="21" hidden="0" customWidth="1"/>
    <x:col min="9" max="9" width="26" hidden="0" customWidth="1"/>
    <x:col min="10" max="10" width="22" hidden="0" customWidth="1"/>
    <x:col min="11" max="11" width="29" hidden="0" customWidth="1"/>
    <x:col min="12" max="12" width="27" hidden="0" customWidth="1"/>
    <x:col min="13" max="13" width="24" hidden="0" customWidth="1"/>
    <x:col min="14" max="14" width="23" hidden="0" customWidth="1"/>
    <x:col min="15" max="15" width="23" hidden="0" customWidth="1"/>
    <x:col min="16" max="16" width="31" hidden="0" customWidth="1"/>
    <x:col min="17" max="17" width="14" hidden="0" customWidth="1"/>
  </x:cols>
  <x:sheetData>
    <x:row r="2">
      <x:c r="B2" s="1" t="str">
        <x:v>Eighteen production-equivalent articles</x:v>
      </x:c>
    </x:row>
    <x:row r="3">
      <x:c r="B3" s="2" t="str">
        <x:v>Roles, builders, lineages and material bundles are committed before fabrication. Final state requires explicit article-master evidence.</x:v>
      </x:c>
    </x:row>
    <x:row r="6" ht="24" customHeight="1">
      <x:c r="B6" s="6" t="str">
        <x:v>Article</x:v>
      </x:c>
      <x:c r="C6" s="6" t="str">
        <x:v>Builder</x:v>
      </x:c>
      <x:c r="D6" s="6" t="str">
        <x:v>Lineage</x:v>
      </x:c>
      <x:c r="E6" s="6" t="str">
        <x:v>Cell</x:v>
      </x:c>
      <x:c r="F6" s="6" t="str">
        <x:v>Builder sequence</x:v>
      </x:c>
      <x:c r="G6" s="6" t="str">
        <x:v>Material bundle</x:v>
      </x:c>
      <x:c r="H6" s="6" t="str">
        <x:v>Locked role</x:v>
      </x:c>
      <x:c r="I6" s="6" t="str">
        <x:v>Destination</x:v>
      </x:c>
      <x:c r="J6" s="6" t="str">
        <x:v>Built serial</x:v>
      </x:c>
      <x:c r="K6" s="6" t="str">
        <x:v>Expected baseline root</x:v>
      </x:c>
      <x:c r="L6" s="6" t="str">
        <x:v>Actual baseline root</x:v>
      </x:c>
      <x:c r="M6" s="6" t="str">
        <x:v>First-pass disposition</x:v>
      </x:c>
      <x:c r="N6" s="6" t="str">
        <x:v>Approved rework count</x:v>
      </x:c>
      <x:c r="O6" s="6" t="str">
        <x:v>Exception review UTC</x:v>
      </x:c>
      <x:c r="P6" s="6" t="str">
        <x:v>Final configuration root</x:v>
      </x:c>
      <x:c r="Q6" s="6" t="str">
        <x:v>Master state</x:v>
      </x:c>
    </x:row>
    <x:row r="7" ht="38" customHeight="1">
      <x:c r="B7" s="7" t="str">
        <x:v>PEA-A-X1</x:v>
      </x:c>
      <x:c r="C7" s="7" t="str">
        <x:v>BLD-A</x:v>
      </x:c>
      <x:c r="D7" s="7" t="str">
        <x:v>BL-X</x:v>
      </x:c>
      <x:c r="E7" s="7" t="str">
        <x:v>LOT-A-X</x:v>
      </x:c>
      <x:c r="F7" s="7" t="n">
        <x:v>1</x:v>
      </x:c>
      <x:c r="G7" s="7" t="str">
        <x:v>MAT-X-A</x:v>
      </x:c>
      <x:c r="H7" s="10" t="str">
        <x:v>OPERATIONAL</x:v>
      </x:c>
      <x:c r="I7" s="10" t="str">
        <x:v>RFP-A1</x:v>
      </x:c>
      <x:c r="J7" s="7" t="str"/>
      <x:c r="K7" s="7" t="str"/>
      <x:c r="L7" s="7" t="str"/>
      <x:c r="M7" s="7" t="str"/>
      <x:c r="N7" s="7" t="str"/>
      <x:c r="O7" s="7" t="str"/>
      <x:c r="P7" s="7" t="str"/>
      <x:c r="Q7" s="7" t="str">
        <x:f>IF(P7="","OPEN",IF(OR(J7="",K7="",L7="",K7&lt;&gt;L7,M7="",NOT(ISNUMBER(N7)),O7=""),"FAIL","PASS"))</x:f>
        <x:v>OPEN</x:v>
      </x:c>
    </x:row>
    <x:row r="8" ht="38" customHeight="1">
      <x:c r="B8" s="7" t="str">
        <x:v>PEA-A-X2</x:v>
      </x:c>
      <x:c r="C8" s="7" t="str">
        <x:v>BLD-A</x:v>
      </x:c>
      <x:c r="D8" s="7" t="str">
        <x:v>BL-X</x:v>
      </x:c>
      <x:c r="E8" s="7" t="str">
        <x:v>LOT-A-X</x:v>
      </x:c>
      <x:c r="F8" s="7" t="n">
        <x:v>4</x:v>
      </x:c>
      <x:c r="G8" s="7" t="str">
        <x:v>MAT-X-B</x:v>
      </x:c>
      <x:c r="H8" s="10" t="str">
        <x:v>FUNCTIONAL TWIN</x:v>
      </x:c>
      <x:c r="I8" s="10" t="str">
        <x:v>PTC-A-TWIN-X</x:v>
      </x:c>
      <x:c r="J8" s="7" t="str"/>
      <x:c r="K8" s="7" t="str"/>
      <x:c r="L8" s="7" t="str"/>
      <x:c r="M8" s="7" t="str"/>
      <x:c r="N8" s="7" t="str"/>
      <x:c r="O8" s="7" t="str"/>
      <x:c r="P8" s="7" t="str"/>
      <x:c r="Q8" s="7" t="str">
        <x:f>IF(P8="","OPEN",IF(OR(J8="",K8="",L8="",K8&lt;&gt;L8,M8="",NOT(ISNUMBER(N8)),O8=""),"FAIL","PASS"))</x:f>
        <x:v>OPEN</x:v>
      </x:c>
    </x:row>
    <x:row r="9" ht="38" customHeight="1">
      <x:c r="B9" s="7" t="str">
        <x:v>PEA-A-X3</x:v>
      </x:c>
      <x:c r="C9" s="7" t="str">
        <x:v>BLD-A</x:v>
      </x:c>
      <x:c r="D9" s="7" t="str">
        <x:v>BL-X</x:v>
      </x:c>
      <x:c r="E9" s="7" t="str">
        <x:v>LOT-A-X</x:v>
      </x:c>
      <x:c r="F9" s="7" t="n">
        <x:v>5</x:v>
      </x:c>
      <x:c r="G9" s="7" t="str">
        <x:v>MAT-X-C</x:v>
      </x:c>
      <x:c r="H9" s="10" t="str">
        <x:v>CALIBRATION</x:v>
      </x:c>
      <x:c r="I9" s="10" t="str">
        <x:v>PTC-A-CALIBRATION</x:v>
      </x:c>
      <x:c r="J9" s="7" t="str"/>
      <x:c r="K9" s="7" t="str"/>
      <x:c r="L9" s="7" t="str"/>
      <x:c r="M9" s="7" t="str"/>
      <x:c r="N9" s="7" t="str"/>
      <x:c r="O9" s="7" t="str"/>
      <x:c r="P9" s="7" t="str"/>
      <x:c r="Q9" s="7" t="str">
        <x:f>IF(P9="","OPEN",IF(OR(J9="",K9="",L9="",K9&lt;&gt;L9,M9="",NOT(ISNUMBER(N9)),O9=""),"FAIL","PASS"))</x:f>
        <x:v>OPEN</x:v>
      </x:c>
    </x:row>
    <x:row r="10" ht="38" customHeight="1">
      <x:c r="B10" s="7" t="str">
        <x:v>PEA-A-Y1</x:v>
      </x:c>
      <x:c r="C10" s="7" t="str">
        <x:v>BLD-A</x:v>
      </x:c>
      <x:c r="D10" s="7" t="str">
        <x:v>BL-Y</x:v>
      </x:c>
      <x:c r="E10" s="7" t="str">
        <x:v>LOT-A-Y</x:v>
      </x:c>
      <x:c r="F10" s="7" t="n">
        <x:v>2</x:v>
      </x:c>
      <x:c r="G10" s="7" t="str">
        <x:v>MAT-Y-A</x:v>
      </x:c>
      <x:c r="H10" s="10" t="str">
        <x:v>OPERATIONAL</x:v>
      </x:c>
      <x:c r="I10" s="10" t="str">
        <x:v>RFP-A2</x:v>
      </x:c>
      <x:c r="J10" s="7" t="str"/>
      <x:c r="K10" s="7" t="str"/>
      <x:c r="L10" s="7" t="str"/>
      <x:c r="M10" s="7" t="str"/>
      <x:c r="N10" s="7" t="str"/>
      <x:c r="O10" s="7" t="str"/>
      <x:c r="P10" s="7" t="str"/>
      <x:c r="Q10" s="7" t="str">
        <x:f>IF(P10="","OPEN",IF(OR(J10="",K10="",L10="",K10&lt;&gt;L10,M10="",NOT(ISNUMBER(N10)),O10=""),"FAIL","PASS"))</x:f>
        <x:v>OPEN</x:v>
      </x:c>
    </x:row>
    <x:row r="11" ht="38" customHeight="1">
      <x:c r="B11" s="7" t="str">
        <x:v>PEA-A-Y2</x:v>
      </x:c>
      <x:c r="C11" s="7" t="str">
        <x:v>BLD-A</x:v>
      </x:c>
      <x:c r="D11" s="7" t="str">
        <x:v>BL-Y</x:v>
      </x:c>
      <x:c r="E11" s="7" t="str">
        <x:v>LOT-A-Y</x:v>
      </x:c>
      <x:c r="F11" s="7" t="n">
        <x:v>3</x:v>
      </x:c>
      <x:c r="G11" s="7" t="str">
        <x:v>MAT-Y-B</x:v>
      </x:c>
      <x:c r="H11" s="10" t="str">
        <x:v>FUNCTIONAL TWIN</x:v>
      </x:c>
      <x:c r="I11" s="10" t="str">
        <x:v>PTC-A-TWIN-Y</x:v>
      </x:c>
      <x:c r="J11" s="7" t="str"/>
      <x:c r="K11" s="7" t="str"/>
      <x:c r="L11" s="7" t="str"/>
      <x:c r="M11" s="7" t="str"/>
      <x:c r="N11" s="7" t="str"/>
      <x:c r="O11" s="7" t="str"/>
      <x:c r="P11" s="7" t="str"/>
      <x:c r="Q11" s="7" t="str">
        <x:f>IF(P11="","OPEN",IF(OR(J11="",K11="",L11="",K11&lt;&gt;L11,M11="",NOT(ISNUMBER(N11)),O11=""),"FAIL","PASS"))</x:f>
        <x:v>OPEN</x:v>
      </x:c>
    </x:row>
    <x:row r="12" ht="38" customHeight="1">
      <x:c r="B12" s="7" t="str">
        <x:v>PEA-A-Y3</x:v>
      </x:c>
      <x:c r="C12" s="7" t="str">
        <x:v>BLD-A</x:v>
      </x:c>
      <x:c r="D12" s="7" t="str">
        <x:v>BL-Y</x:v>
      </x:c>
      <x:c r="E12" s="7" t="str">
        <x:v>LOT-A-Y</x:v>
      </x:c>
      <x:c r="F12" s="7" t="n">
        <x:v>6</x:v>
      </x:c>
      <x:c r="G12" s="7" t="str">
        <x:v>MAT-Y-C</x:v>
      </x:c>
      <x:c r="H12" s="10" t="str">
        <x:v>DESTRUCTIVE</x:v>
      </x:c>
      <x:c r="I12" s="10" t="str">
        <x:v>PTC-A-DESTRUCTIVE</x:v>
      </x:c>
      <x:c r="J12" s="7" t="str"/>
      <x:c r="K12" s="7" t="str"/>
      <x:c r="L12" s="7" t="str"/>
      <x:c r="M12" s="7" t="str"/>
      <x:c r="N12" s="7" t="str"/>
      <x:c r="O12" s="7" t="str"/>
      <x:c r="P12" s="7" t="str"/>
      <x:c r="Q12" s="7" t="str">
        <x:f>IF(P12="","OPEN",IF(OR(J12="",K12="",L12="",K12&lt;&gt;L12,M12="",NOT(ISNUMBER(N12)),O12=""),"FAIL","PASS"))</x:f>
        <x:v>OPEN</x:v>
      </x:c>
    </x:row>
    <x:row r="13" ht="38" customHeight="1">
      <x:c r="B13" s="7" t="str">
        <x:v>PEA-B-X1</x:v>
      </x:c>
      <x:c r="C13" s="7" t="str">
        <x:v>BLD-B</x:v>
      </x:c>
      <x:c r="D13" s="7" t="str">
        <x:v>BL-X</x:v>
      </x:c>
      <x:c r="E13" s="7" t="str">
        <x:v>LOT-B-X</x:v>
      </x:c>
      <x:c r="F13" s="7" t="n">
        <x:v>2</x:v>
      </x:c>
      <x:c r="G13" s="7" t="str">
        <x:v>MAT-X-A</x:v>
      </x:c>
      <x:c r="H13" s="10" t="str">
        <x:v>OPERATIONAL</x:v>
      </x:c>
      <x:c r="I13" s="10" t="str">
        <x:v>RFP-B1</x:v>
      </x:c>
      <x:c r="J13" s="7" t="str"/>
      <x:c r="K13" s="7" t="str"/>
      <x:c r="L13" s="7" t="str"/>
      <x:c r="M13" s="7" t="str"/>
      <x:c r="N13" s="7" t="str"/>
      <x:c r="O13" s="7" t="str"/>
      <x:c r="P13" s="7" t="str"/>
      <x:c r="Q13" s="7" t="str">
        <x:f>IF(P13="","OPEN",IF(OR(J13="",K13="",L13="",K13&lt;&gt;L13,M13="",NOT(ISNUMBER(N13)),O13=""),"FAIL","PASS"))</x:f>
        <x:v>OPEN</x:v>
      </x:c>
    </x:row>
    <x:row r="14" ht="38" customHeight="1">
      <x:c r="B14" s="7" t="str">
        <x:v>PEA-B-X2</x:v>
      </x:c>
      <x:c r="C14" s="7" t="str">
        <x:v>BLD-B</x:v>
      </x:c>
      <x:c r="D14" s="7" t="str">
        <x:v>BL-X</x:v>
      </x:c>
      <x:c r="E14" s="7" t="str">
        <x:v>LOT-B-X</x:v>
      </x:c>
      <x:c r="F14" s="7" t="n">
        <x:v>3</x:v>
      </x:c>
      <x:c r="G14" s="7" t="str">
        <x:v>MAT-X-B</x:v>
      </x:c>
      <x:c r="H14" s="10" t="str">
        <x:v>FUNCTIONAL TWIN</x:v>
      </x:c>
      <x:c r="I14" s="10" t="str">
        <x:v>PTC-B-TWIN-X</x:v>
      </x:c>
      <x:c r="J14" s="7" t="str"/>
      <x:c r="K14" s="7" t="str"/>
      <x:c r="L14" s="7" t="str"/>
      <x:c r="M14" s="7" t="str"/>
      <x:c r="N14" s="7" t="str"/>
      <x:c r="O14" s="7" t="str"/>
      <x:c r="P14" s="7" t="str"/>
      <x:c r="Q14" s="7" t="str">
        <x:f>IF(P14="","OPEN",IF(OR(J14="",K14="",L14="",K14&lt;&gt;L14,M14="",NOT(ISNUMBER(N14)),O14=""),"FAIL","PASS"))</x:f>
        <x:v>OPEN</x:v>
      </x:c>
    </x:row>
    <x:row r="15" ht="38" customHeight="1">
      <x:c r="B15" s="7" t="str">
        <x:v>PEA-B-X3</x:v>
      </x:c>
      <x:c r="C15" s="7" t="str">
        <x:v>BLD-B</x:v>
      </x:c>
      <x:c r="D15" s="7" t="str">
        <x:v>BL-X</x:v>
      </x:c>
      <x:c r="E15" s="7" t="str">
        <x:v>LOT-B-X</x:v>
      </x:c>
      <x:c r="F15" s="7" t="n">
        <x:v>6</x:v>
      </x:c>
      <x:c r="G15" s="7" t="str">
        <x:v>MAT-X-C</x:v>
      </x:c>
      <x:c r="H15" s="10" t="str">
        <x:v>CALIBRATION</x:v>
      </x:c>
      <x:c r="I15" s="10" t="str">
        <x:v>PTC-B-CALIBRATION</x:v>
      </x:c>
      <x:c r="J15" s="7" t="str"/>
      <x:c r="K15" s="7" t="str"/>
      <x:c r="L15" s="7" t="str"/>
      <x:c r="M15" s="7" t="str"/>
      <x:c r="N15" s="7" t="str"/>
      <x:c r="O15" s="7" t="str"/>
      <x:c r="P15" s="7" t="str"/>
      <x:c r="Q15" s="7" t="str">
        <x:f>IF(P15="","OPEN",IF(OR(J15="",K15="",L15="",K15&lt;&gt;L15,M15="",NOT(ISNUMBER(N15)),O15=""),"FAIL","PASS"))</x:f>
        <x:v>OPEN</x:v>
      </x:c>
    </x:row>
    <x:row r="16" ht="38" customHeight="1">
      <x:c r="B16" s="7" t="str">
        <x:v>PEA-B-Y1</x:v>
      </x:c>
      <x:c r="C16" s="7" t="str">
        <x:v>BLD-B</x:v>
      </x:c>
      <x:c r="D16" s="7" t="str">
        <x:v>BL-Y</x:v>
      </x:c>
      <x:c r="E16" s="7" t="str">
        <x:v>LOT-B-Y</x:v>
      </x:c>
      <x:c r="F16" s="7" t="n">
        <x:v>1</x:v>
      </x:c>
      <x:c r="G16" s="7" t="str">
        <x:v>MAT-Y-A</x:v>
      </x:c>
      <x:c r="H16" s="10" t="str">
        <x:v>OPERATIONAL</x:v>
      </x:c>
      <x:c r="I16" s="10" t="str">
        <x:v>RFP-B2</x:v>
      </x:c>
      <x:c r="J16" s="7" t="str"/>
      <x:c r="K16" s="7" t="str"/>
      <x:c r="L16" s="7" t="str"/>
      <x:c r="M16" s="7" t="str"/>
      <x:c r="N16" s="7" t="str"/>
      <x:c r="O16" s="7" t="str"/>
      <x:c r="P16" s="7" t="str"/>
      <x:c r="Q16" s="7" t="str">
        <x:f>IF(P16="","OPEN",IF(OR(J16="",K16="",L16="",K16&lt;&gt;L16,M16="",NOT(ISNUMBER(N16)),O16=""),"FAIL","PASS"))</x:f>
        <x:v>OPEN</x:v>
      </x:c>
    </x:row>
    <x:row r="17" ht="38" customHeight="1">
      <x:c r="B17" s="7" t="str">
        <x:v>PEA-B-Y2</x:v>
      </x:c>
      <x:c r="C17" s="7" t="str">
        <x:v>BLD-B</x:v>
      </x:c>
      <x:c r="D17" s="7" t="str">
        <x:v>BL-Y</x:v>
      </x:c>
      <x:c r="E17" s="7" t="str">
        <x:v>LOT-B-Y</x:v>
      </x:c>
      <x:c r="F17" s="7" t="n">
        <x:v>4</x:v>
      </x:c>
      <x:c r="G17" s="7" t="str">
        <x:v>MAT-Y-B</x:v>
      </x:c>
      <x:c r="H17" s="10" t="str">
        <x:v>FUNCTIONAL TWIN</x:v>
      </x:c>
      <x:c r="I17" s="10" t="str">
        <x:v>PTC-B-TWIN-Y</x:v>
      </x:c>
      <x:c r="J17" s="7" t="str"/>
      <x:c r="K17" s="7" t="str"/>
      <x:c r="L17" s="7" t="str"/>
      <x:c r="M17" s="7" t="str"/>
      <x:c r="N17" s="7" t="str"/>
      <x:c r="O17" s="7" t="str"/>
      <x:c r="P17" s="7" t="str"/>
      <x:c r="Q17" s="7" t="str">
        <x:f>IF(P17="","OPEN",IF(OR(J17="",K17="",L17="",K17&lt;&gt;L17,M17="",NOT(ISNUMBER(N17)),O17=""),"FAIL","PASS"))</x:f>
        <x:v>OPEN</x:v>
      </x:c>
    </x:row>
    <x:row r="18" ht="38" customHeight="1">
      <x:c r="B18" s="7" t="str">
        <x:v>PEA-B-Y3</x:v>
      </x:c>
      <x:c r="C18" s="7" t="str">
        <x:v>BLD-B</x:v>
      </x:c>
      <x:c r="D18" s="7" t="str">
        <x:v>BL-Y</x:v>
      </x:c>
      <x:c r="E18" s="7" t="str">
        <x:v>LOT-B-Y</x:v>
      </x:c>
      <x:c r="F18" s="7" t="n">
        <x:v>5</x:v>
      </x:c>
      <x:c r="G18" s="7" t="str">
        <x:v>MAT-Y-C</x:v>
      </x:c>
      <x:c r="H18" s="10" t="str">
        <x:v>DESTRUCTIVE</x:v>
      </x:c>
      <x:c r="I18" s="10" t="str">
        <x:v>PTC-B-DESTRUCTIVE</x:v>
      </x:c>
      <x:c r="J18" s="7" t="str"/>
      <x:c r="K18" s="7" t="str"/>
      <x:c r="L18" s="7" t="str"/>
      <x:c r="M18" s="7" t="str"/>
      <x:c r="N18" s="7" t="str"/>
      <x:c r="O18" s="7" t="str"/>
      <x:c r="P18" s="7" t="str"/>
      <x:c r="Q18" s="7" t="str">
        <x:f>IF(P18="","OPEN",IF(OR(J18="",K18="",L18="",K18&lt;&gt;L18,M18="",NOT(ISNUMBER(N18)),O18=""),"FAIL","PASS"))</x:f>
        <x:v>OPEN</x:v>
      </x:c>
    </x:row>
    <x:row r="19" ht="38" customHeight="1">
      <x:c r="B19" s="7" t="str">
        <x:v>PEA-C-X1</x:v>
      </x:c>
      <x:c r="C19" s="7" t="str">
        <x:v>BLD-C</x:v>
      </x:c>
      <x:c r="D19" s="7" t="str">
        <x:v>BL-X</x:v>
      </x:c>
      <x:c r="E19" s="7" t="str">
        <x:v>LOT-C-X</x:v>
      </x:c>
      <x:c r="F19" s="7" t="n">
        <x:v>5</x:v>
      </x:c>
      <x:c r="G19" s="7" t="str">
        <x:v>MAT-X-A</x:v>
      </x:c>
      <x:c r="H19" s="10" t="str">
        <x:v>OPERATIONAL</x:v>
      </x:c>
      <x:c r="I19" s="10" t="str">
        <x:v>RFP-C1</x:v>
      </x:c>
      <x:c r="J19" s="7" t="str"/>
      <x:c r="K19" s="7" t="str"/>
      <x:c r="L19" s="7" t="str"/>
      <x:c r="M19" s="7" t="str"/>
      <x:c r="N19" s="7" t="str"/>
      <x:c r="O19" s="7" t="str"/>
      <x:c r="P19" s="7" t="str"/>
      <x:c r="Q19" s="7" t="str">
        <x:f>IF(P19="","OPEN",IF(OR(J19="",K19="",L19="",K19&lt;&gt;L19,M19="",NOT(ISNUMBER(N19)),O19=""),"FAIL","PASS"))</x:f>
        <x:v>OPEN</x:v>
      </x:c>
    </x:row>
    <x:row r="20" ht="38" customHeight="1">
      <x:c r="B20" s="7" t="str">
        <x:v>PEA-C-X2</x:v>
      </x:c>
      <x:c r="C20" s="7" t="str">
        <x:v>BLD-C</x:v>
      </x:c>
      <x:c r="D20" s="7" t="str">
        <x:v>BL-X</x:v>
      </x:c>
      <x:c r="E20" s="7" t="str">
        <x:v>LOT-C-X</x:v>
      </x:c>
      <x:c r="F20" s="7" t="n">
        <x:v>1</x:v>
      </x:c>
      <x:c r="G20" s="7" t="str">
        <x:v>MAT-X-B</x:v>
      </x:c>
      <x:c r="H20" s="10" t="str">
        <x:v>FUNCTIONAL TWIN</x:v>
      </x:c>
      <x:c r="I20" s="10" t="str">
        <x:v>PTC-C-TWIN-X</x:v>
      </x:c>
      <x:c r="J20" s="7" t="str"/>
      <x:c r="K20" s="7" t="str"/>
      <x:c r="L20" s="7" t="str"/>
      <x:c r="M20" s="7" t="str"/>
      <x:c r="N20" s="7" t="str"/>
      <x:c r="O20" s="7" t="str"/>
      <x:c r="P20" s="7" t="str"/>
      <x:c r="Q20" s="7" t="str">
        <x:f>IF(P20="","OPEN",IF(OR(J20="",K20="",L20="",K20&lt;&gt;L20,M20="",NOT(ISNUMBER(N20)),O20=""),"FAIL","PASS"))</x:f>
        <x:v>OPEN</x:v>
      </x:c>
    </x:row>
    <x:row r="21" ht="38" customHeight="1">
      <x:c r="B21" s="7" t="str">
        <x:v>PEA-C-X3</x:v>
      </x:c>
      <x:c r="C21" s="7" t="str">
        <x:v>BLD-C</x:v>
      </x:c>
      <x:c r="D21" s="7" t="str">
        <x:v>BL-X</x:v>
      </x:c>
      <x:c r="E21" s="7" t="str">
        <x:v>LOT-C-X</x:v>
      </x:c>
      <x:c r="F21" s="7" t="n">
        <x:v>4</x:v>
      </x:c>
      <x:c r="G21" s="7" t="str">
        <x:v>MAT-X-C</x:v>
      </x:c>
      <x:c r="H21" s="10" t="str">
        <x:v>DESTRUCTIVE</x:v>
      </x:c>
      <x:c r="I21" s="10" t="str">
        <x:v>PTC-C-DESTRUCTIVE</x:v>
      </x:c>
      <x:c r="J21" s="7" t="str"/>
      <x:c r="K21" s="7" t="str"/>
      <x:c r="L21" s="7" t="str"/>
      <x:c r="M21" s="7" t="str"/>
      <x:c r="N21" s="7" t="str"/>
      <x:c r="O21" s="7" t="str"/>
      <x:c r="P21" s="7" t="str"/>
      <x:c r="Q21" s="7" t="str">
        <x:f>IF(P21="","OPEN",IF(OR(J21="",K21="",L21="",K21&lt;&gt;L21,M21="",NOT(ISNUMBER(N21)),O21=""),"FAIL","PASS"))</x:f>
        <x:v>OPEN</x:v>
      </x:c>
    </x:row>
    <x:row r="22" ht="38" customHeight="1">
      <x:c r="B22" s="7" t="str">
        <x:v>PEA-C-Y1</x:v>
      </x:c>
      <x:c r="C22" s="7" t="str">
        <x:v>BLD-C</x:v>
      </x:c>
      <x:c r="D22" s="7" t="str">
        <x:v>BL-Y</x:v>
      </x:c>
      <x:c r="E22" s="7" t="str">
        <x:v>LOT-C-Y</x:v>
      </x:c>
      <x:c r="F22" s="7" t="n">
        <x:v>6</x:v>
      </x:c>
      <x:c r="G22" s="7" t="str">
        <x:v>MAT-Y-A</x:v>
      </x:c>
      <x:c r="H22" s="10" t="str">
        <x:v>OPERATIONAL</x:v>
      </x:c>
      <x:c r="I22" s="10" t="str">
        <x:v>RFP-C2</x:v>
      </x:c>
      <x:c r="J22" s="7" t="str"/>
      <x:c r="K22" s="7" t="str"/>
      <x:c r="L22" s="7" t="str"/>
      <x:c r="M22" s="7" t="str"/>
      <x:c r="N22" s="7" t="str"/>
      <x:c r="O22" s="7" t="str"/>
      <x:c r="P22" s="7" t="str"/>
      <x:c r="Q22" s="7" t="str">
        <x:f>IF(P22="","OPEN",IF(OR(J22="",K22="",L22="",K22&lt;&gt;L22,M22="",NOT(ISNUMBER(N22)),O22=""),"FAIL","PASS"))</x:f>
        <x:v>OPEN</x:v>
      </x:c>
    </x:row>
    <x:row r="23" ht="38" customHeight="1">
      <x:c r="B23" s="7" t="str">
        <x:v>PEA-C-Y2</x:v>
      </x:c>
      <x:c r="C23" s="7" t="str">
        <x:v>BLD-C</x:v>
      </x:c>
      <x:c r="D23" s="7" t="str">
        <x:v>BL-Y</x:v>
      </x:c>
      <x:c r="E23" s="7" t="str">
        <x:v>LOT-C-Y</x:v>
      </x:c>
      <x:c r="F23" s="7" t="n">
        <x:v>2</x:v>
      </x:c>
      <x:c r="G23" s="7" t="str">
        <x:v>MAT-Y-B</x:v>
      </x:c>
      <x:c r="H23" s="10" t="str">
        <x:v>FUNCTIONAL TWIN</x:v>
      </x:c>
      <x:c r="I23" s="10" t="str">
        <x:v>PTC-C-TWIN-Y</x:v>
      </x:c>
      <x:c r="J23" s="7" t="str"/>
      <x:c r="K23" s="7" t="str"/>
      <x:c r="L23" s="7" t="str"/>
      <x:c r="M23" s="7" t="str"/>
      <x:c r="N23" s="7" t="str"/>
      <x:c r="O23" s="7" t="str"/>
      <x:c r="P23" s="7" t="str"/>
      <x:c r="Q23" s="7" t="str">
        <x:f>IF(P23="","OPEN",IF(OR(J23="",K23="",L23="",K23&lt;&gt;L23,M23="",NOT(ISNUMBER(N23)),O23=""),"FAIL","PASS"))</x:f>
        <x:v>OPEN</x:v>
      </x:c>
    </x:row>
    <x:row r="24" ht="38" customHeight="1">
      <x:c r="B24" s="7" t="str">
        <x:v>PEA-C-Y3</x:v>
      </x:c>
      <x:c r="C24" s="7" t="str">
        <x:v>BLD-C</x:v>
      </x:c>
      <x:c r="D24" s="7" t="str">
        <x:v>BL-Y</x:v>
      </x:c>
      <x:c r="E24" s="7" t="str">
        <x:v>LOT-C-Y</x:v>
      </x:c>
      <x:c r="F24" s="7" t="n">
        <x:v>3</x:v>
      </x:c>
      <x:c r="G24" s="7" t="str">
        <x:v>MAT-Y-C</x:v>
      </x:c>
      <x:c r="H24" s="10" t="str">
        <x:v>CALIBRATION</x:v>
      </x:c>
      <x:c r="I24" s="10" t="str">
        <x:v>PTC-C-CALIBRATION</x:v>
      </x:c>
      <x:c r="J24" s="7" t="str"/>
      <x:c r="K24" s="7" t="str"/>
      <x:c r="L24" s="7" t="str"/>
      <x:c r="M24" s="7" t="str"/>
      <x:c r="N24" s="7" t="str"/>
      <x:c r="O24" s="7" t="str"/>
      <x:c r="P24" s="7" t="str"/>
      <x:c r="Q24" s="7" t="str">
        <x:f>IF(P24="","OPEN",IF(OR(J24="",K24="",L24="",K24&lt;&gt;L24,M24="",NOT(ISNUMBER(N24)),O24=""),"FAIL","PASS"))</x:f>
        <x:v>OPEN</x:v>
      </x:c>
    </x:row>
  </x:sheetData>
  <x:conditionalFormatting sqref="Q7:Q24">
    <x:cfRule type="containsText" dxfId="24" priority="1" operator="containsText" text="FAIL"/>
    <x:cfRule type="containsText" dxfId="25" priority="2" operator="containsText" text="BLOCKED"/>
    <x:cfRule type="containsText" dxfId="26" priority="3" operator="containsText" text="OPEN"/>
    <x:cfRule type="containsText" dxfId="27" priority="4" operator="containsText" text="DORMANT"/>
    <x:cfRule type="containsText" dxfId="28" priority="5" operator="containsText" text="REVIEW"/>
    <x:cfRule type="containsText" dxfId="29" priority="6" operator="containsText" text="PASS"/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24" hidden="0" customWidth="1"/>
    <x:col min="3" max="3" width="18" hidden="0" customWidth="1"/>
    <x:col min="4" max="4" width="17" hidden="0" customWidth="1"/>
    <x:col min="5" max="5" width="14" hidden="0" customWidth="1"/>
    <x:col min="6" max="6" width="13" hidden="0" customWidth="1"/>
    <x:col min="7" max="7" width="30" hidden="0" customWidth="1"/>
    <x:col min="8" max="8" width="30" hidden="0" customWidth="1"/>
    <x:col min="9" max="9" width="38" hidden="0" customWidth="1"/>
    <x:col min="10" max="10" width="21" hidden="0" customWidth="1"/>
    <x:col min="11" max="11" width="14" hidden="0" customWidth="1"/>
  </x:cols>
  <x:sheetData>
    <x:row r="2">
      <x:c r="B2" s="1" t="str">
        <x:v>Eighteen sealed material splits</x:v>
      </x:c>
    </x:row>
    <x:row r="3">
      <x:c r="B3" s="2" t="str">
        <x:v>Each lineage has three independent parent bundles. Every builder receives one article share from every bundle.</x:v>
      </x:c>
    </x:row>
    <x:row r="6" ht="24" customHeight="1">
      <x:c r="B6" s="6" t="str">
        <x:v>Split</x:v>
      </x:c>
      <x:c r="C6" s="6" t="str">
        <x:v>Parent bundle</x:v>
      </x:c>
      <x:c r="D6" s="6" t="str">
        <x:v>Article</x:v>
      </x:c>
      <x:c r="E6" s="6" t="str">
        <x:v>Builder</x:v>
      </x:c>
      <x:c r="F6" s="6" t="str">
        <x:v>Lineage</x:v>
      </x:c>
      <x:c r="G6" s="6" t="str">
        <x:v>Parent lot identity</x:v>
      </x:c>
      <x:c r="H6" s="6" t="str">
        <x:v>Split identity</x:v>
      </x:c>
      <x:c r="I6" s="6" t="str">
        <x:v>Custody root</x:v>
      </x:c>
      <x:c r="J6" s="6" t="str">
        <x:v>Accepted UTC</x:v>
      </x:c>
      <x:c r="K6" s="6" t="str">
        <x:v>State</x:v>
      </x:c>
    </x:row>
    <x:row r="7">
      <x:c r="B7" s="7" t="str">
        <x:v>SPLIT-PEA-A-X1</x:v>
      </x:c>
      <x:c r="C7" s="7" t="str">
        <x:v>MAT-X-A</x:v>
      </x:c>
      <x:c r="D7" s="7" t="str">
        <x:v>PEA-A-X1</x:v>
      </x:c>
      <x:c r="E7" s="7" t="str">
        <x:v>BLD-A</x:v>
      </x:c>
      <x:c r="F7" s="7" t="str">
        <x:v>BL-X</x:v>
      </x:c>
      <x:c r="G7" s="7" t="str"/>
      <x:c r="H7" s="7" t="str"/>
      <x:c r="I7" s="7" t="str"/>
      <x:c r="J7" s="7" t="str"/>
      <x:c r="K7" s="7" t="str">
        <x:f>IF(J7="","OPEN",IF(OR(G7="",H7="",I7=""),"FAIL","PASS"))</x:f>
        <x:v>OPEN</x:v>
      </x:c>
    </x:row>
    <x:row r="8">
      <x:c r="B8" s="7" t="str">
        <x:v>SPLIT-PEA-A-X2</x:v>
      </x:c>
      <x:c r="C8" s="7" t="str">
        <x:v>MAT-X-B</x:v>
      </x:c>
      <x:c r="D8" s="7" t="str">
        <x:v>PEA-A-X2</x:v>
      </x:c>
      <x:c r="E8" s="7" t="str">
        <x:v>BLD-A</x:v>
      </x:c>
      <x:c r="F8" s="7" t="str">
        <x:v>BL-X</x:v>
      </x:c>
      <x:c r="G8" s="7" t="str"/>
      <x:c r="H8" s="7" t="str"/>
      <x:c r="I8" s="7" t="str"/>
      <x:c r="J8" s="7" t="str"/>
      <x:c r="K8" s="7" t="str">
        <x:f>IF(J8="","OPEN",IF(OR(G8="",H8="",I8=""),"FAIL","PASS"))</x:f>
        <x:v>OPEN</x:v>
      </x:c>
    </x:row>
    <x:row r="9">
      <x:c r="B9" s="7" t="str">
        <x:v>SPLIT-PEA-A-X3</x:v>
      </x:c>
      <x:c r="C9" s="7" t="str">
        <x:v>MAT-X-C</x:v>
      </x:c>
      <x:c r="D9" s="7" t="str">
        <x:v>PEA-A-X3</x:v>
      </x:c>
      <x:c r="E9" s="7" t="str">
        <x:v>BLD-A</x:v>
      </x:c>
      <x:c r="F9" s="7" t="str">
        <x:v>BL-X</x:v>
      </x:c>
      <x:c r="G9" s="7" t="str"/>
      <x:c r="H9" s="7" t="str"/>
      <x:c r="I9" s="7" t="str"/>
      <x:c r="J9" s="7" t="str"/>
      <x:c r="K9" s="7" t="str">
        <x:f>IF(J9="","OPEN",IF(OR(G9="",H9="",I9=""),"FAIL","PASS"))</x:f>
        <x:v>OPEN</x:v>
      </x:c>
    </x:row>
    <x:row r="10">
      <x:c r="B10" s="7" t="str">
        <x:v>SPLIT-PEA-A-Y1</x:v>
      </x:c>
      <x:c r="C10" s="7" t="str">
        <x:v>MAT-Y-A</x:v>
      </x:c>
      <x:c r="D10" s="7" t="str">
        <x:v>PEA-A-Y1</x:v>
      </x:c>
      <x:c r="E10" s="7" t="str">
        <x:v>BLD-A</x:v>
      </x:c>
      <x:c r="F10" s="7" t="str">
        <x:v>BL-Y</x:v>
      </x:c>
      <x:c r="G10" s="7" t="str"/>
      <x:c r="H10" s="7" t="str"/>
      <x:c r="I10" s="7" t="str"/>
      <x:c r="J10" s="7" t="str"/>
      <x:c r="K10" s="7" t="str">
        <x:f>IF(J10="","OPEN",IF(OR(G10="",H10="",I10=""),"FAIL","PASS"))</x:f>
        <x:v>OPEN</x:v>
      </x:c>
    </x:row>
    <x:row r="11">
      <x:c r="B11" s="7" t="str">
        <x:v>SPLIT-PEA-A-Y2</x:v>
      </x:c>
      <x:c r="C11" s="7" t="str">
        <x:v>MAT-Y-B</x:v>
      </x:c>
      <x:c r="D11" s="7" t="str">
        <x:v>PEA-A-Y2</x:v>
      </x:c>
      <x:c r="E11" s="7" t="str">
        <x:v>BLD-A</x:v>
      </x:c>
      <x:c r="F11" s="7" t="str">
        <x:v>BL-Y</x:v>
      </x:c>
      <x:c r="G11" s="7" t="str"/>
      <x:c r="H11" s="7" t="str"/>
      <x:c r="I11" s="7" t="str"/>
      <x:c r="J11" s="7" t="str"/>
      <x:c r="K11" s="7" t="str">
        <x:f>IF(J11="","OPEN",IF(OR(G11="",H11="",I11=""),"FAIL","PASS"))</x:f>
        <x:v>OPEN</x:v>
      </x:c>
    </x:row>
    <x:row r="12">
      <x:c r="B12" s="7" t="str">
        <x:v>SPLIT-PEA-A-Y3</x:v>
      </x:c>
      <x:c r="C12" s="7" t="str">
        <x:v>MAT-Y-C</x:v>
      </x:c>
      <x:c r="D12" s="7" t="str">
        <x:v>PEA-A-Y3</x:v>
      </x:c>
      <x:c r="E12" s="7" t="str">
        <x:v>BLD-A</x:v>
      </x:c>
      <x:c r="F12" s="7" t="str">
        <x:v>BL-Y</x:v>
      </x:c>
      <x:c r="G12" s="7" t="str"/>
      <x:c r="H12" s="7" t="str"/>
      <x:c r="I12" s="7" t="str"/>
      <x:c r="J12" s="7" t="str"/>
      <x:c r="K12" s="7" t="str">
        <x:f>IF(J12="","OPEN",IF(OR(G12="",H12="",I12=""),"FAIL","PASS"))</x:f>
        <x:v>OPEN</x:v>
      </x:c>
    </x:row>
    <x:row r="13">
      <x:c r="B13" s="7" t="str">
        <x:v>SPLIT-PEA-B-X1</x:v>
      </x:c>
      <x:c r="C13" s="7" t="str">
        <x:v>MAT-X-A</x:v>
      </x:c>
      <x:c r="D13" s="7" t="str">
        <x:v>PEA-B-X1</x:v>
      </x:c>
      <x:c r="E13" s="7" t="str">
        <x:v>BLD-B</x:v>
      </x:c>
      <x:c r="F13" s="7" t="str">
        <x:v>BL-X</x:v>
      </x:c>
      <x:c r="G13" s="7" t="str"/>
      <x:c r="H13" s="7" t="str"/>
      <x:c r="I13" s="7" t="str"/>
      <x:c r="J13" s="7" t="str"/>
      <x:c r="K13" s="7" t="str">
        <x:f>IF(J13="","OPEN",IF(OR(G13="",H13="",I13=""),"FAIL","PASS"))</x:f>
        <x:v>OPEN</x:v>
      </x:c>
    </x:row>
    <x:row r="14">
      <x:c r="B14" s="7" t="str">
        <x:v>SPLIT-PEA-B-X2</x:v>
      </x:c>
      <x:c r="C14" s="7" t="str">
        <x:v>MAT-X-B</x:v>
      </x:c>
      <x:c r="D14" s="7" t="str">
        <x:v>PEA-B-X2</x:v>
      </x:c>
      <x:c r="E14" s="7" t="str">
        <x:v>BLD-B</x:v>
      </x:c>
      <x:c r="F14" s="7" t="str">
        <x:v>BL-X</x:v>
      </x:c>
      <x:c r="G14" s="7" t="str"/>
      <x:c r="H14" s="7" t="str"/>
      <x:c r="I14" s="7" t="str"/>
      <x:c r="J14" s="7" t="str"/>
      <x:c r="K14" s="7" t="str">
        <x:f>IF(J14="","OPEN",IF(OR(G14="",H14="",I14=""),"FAIL","PASS"))</x:f>
        <x:v>OPEN</x:v>
      </x:c>
    </x:row>
    <x:row r="15">
      <x:c r="B15" s="7" t="str">
        <x:v>SPLIT-PEA-B-X3</x:v>
      </x:c>
      <x:c r="C15" s="7" t="str">
        <x:v>MAT-X-C</x:v>
      </x:c>
      <x:c r="D15" s="7" t="str">
        <x:v>PEA-B-X3</x:v>
      </x:c>
      <x:c r="E15" s="7" t="str">
        <x:v>BLD-B</x:v>
      </x:c>
      <x:c r="F15" s="7" t="str">
        <x:v>BL-X</x:v>
      </x:c>
      <x:c r="G15" s="7" t="str"/>
      <x:c r="H15" s="7" t="str"/>
      <x:c r="I15" s="7" t="str"/>
      <x:c r="J15" s="7" t="str"/>
      <x:c r="K15" s="7" t="str">
        <x:f>IF(J15="","OPEN",IF(OR(G15="",H15="",I15=""),"FAIL","PASS"))</x:f>
        <x:v>OPEN</x:v>
      </x:c>
    </x:row>
    <x:row r="16">
      <x:c r="B16" s="7" t="str">
        <x:v>SPLIT-PEA-B-Y1</x:v>
      </x:c>
      <x:c r="C16" s="7" t="str">
        <x:v>MAT-Y-A</x:v>
      </x:c>
      <x:c r="D16" s="7" t="str">
        <x:v>PEA-B-Y1</x:v>
      </x:c>
      <x:c r="E16" s="7" t="str">
        <x:v>BLD-B</x:v>
      </x:c>
      <x:c r="F16" s="7" t="str">
        <x:v>BL-Y</x:v>
      </x:c>
      <x:c r="G16" s="7" t="str"/>
      <x:c r="H16" s="7" t="str"/>
      <x:c r="I16" s="7" t="str"/>
      <x:c r="J16" s="7" t="str"/>
      <x:c r="K16" s="7" t="str">
        <x:f>IF(J16="","OPEN",IF(OR(G16="",H16="",I16=""),"FAIL","PASS"))</x:f>
        <x:v>OPEN</x:v>
      </x:c>
    </x:row>
    <x:row r="17">
      <x:c r="B17" s="7" t="str">
        <x:v>SPLIT-PEA-B-Y2</x:v>
      </x:c>
      <x:c r="C17" s="7" t="str">
        <x:v>MAT-Y-B</x:v>
      </x:c>
      <x:c r="D17" s="7" t="str">
        <x:v>PEA-B-Y2</x:v>
      </x:c>
      <x:c r="E17" s="7" t="str">
        <x:v>BLD-B</x:v>
      </x:c>
      <x:c r="F17" s="7" t="str">
        <x:v>BL-Y</x:v>
      </x:c>
      <x:c r="G17" s="7" t="str"/>
      <x:c r="H17" s="7" t="str"/>
      <x:c r="I17" s="7" t="str"/>
      <x:c r="J17" s="7" t="str"/>
      <x:c r="K17" s="7" t="str">
        <x:f>IF(J17="","OPEN",IF(OR(G17="",H17="",I17=""),"FAIL","PASS"))</x:f>
        <x:v>OPEN</x:v>
      </x:c>
    </x:row>
    <x:row r="18">
      <x:c r="B18" s="7" t="str">
        <x:v>SPLIT-PEA-B-Y3</x:v>
      </x:c>
      <x:c r="C18" s="7" t="str">
        <x:v>MAT-Y-C</x:v>
      </x:c>
      <x:c r="D18" s="7" t="str">
        <x:v>PEA-B-Y3</x:v>
      </x:c>
      <x:c r="E18" s="7" t="str">
        <x:v>BLD-B</x:v>
      </x:c>
      <x:c r="F18" s="7" t="str">
        <x:v>BL-Y</x:v>
      </x:c>
      <x:c r="G18" s="7" t="str"/>
      <x:c r="H18" s="7" t="str"/>
      <x:c r="I18" s="7" t="str"/>
      <x:c r="J18" s="7" t="str"/>
      <x:c r="K18" s="7" t="str">
        <x:f>IF(J18="","OPEN",IF(OR(G18="",H18="",I18=""),"FAIL","PASS"))</x:f>
        <x:v>OPEN</x:v>
      </x:c>
    </x:row>
    <x:row r="19">
      <x:c r="B19" s="7" t="str">
        <x:v>SPLIT-PEA-C-X1</x:v>
      </x:c>
      <x:c r="C19" s="7" t="str">
        <x:v>MAT-X-A</x:v>
      </x:c>
      <x:c r="D19" s="7" t="str">
        <x:v>PEA-C-X1</x:v>
      </x:c>
      <x:c r="E19" s="7" t="str">
        <x:v>BLD-C</x:v>
      </x:c>
      <x:c r="F19" s="7" t="str">
        <x:v>BL-X</x:v>
      </x:c>
      <x:c r="G19" s="7" t="str"/>
      <x:c r="H19" s="7" t="str"/>
      <x:c r="I19" s="7" t="str"/>
      <x:c r="J19" s="7" t="str"/>
      <x:c r="K19" s="7" t="str">
        <x:f>IF(J19="","OPEN",IF(OR(G19="",H19="",I19=""),"FAIL","PASS"))</x:f>
        <x:v>OPEN</x:v>
      </x:c>
    </x:row>
    <x:row r="20">
      <x:c r="B20" s="7" t="str">
        <x:v>SPLIT-PEA-C-X2</x:v>
      </x:c>
      <x:c r="C20" s="7" t="str">
        <x:v>MAT-X-B</x:v>
      </x:c>
      <x:c r="D20" s="7" t="str">
        <x:v>PEA-C-X2</x:v>
      </x:c>
      <x:c r="E20" s="7" t="str">
        <x:v>BLD-C</x:v>
      </x:c>
      <x:c r="F20" s="7" t="str">
        <x:v>BL-X</x:v>
      </x:c>
      <x:c r="G20" s="7" t="str"/>
      <x:c r="H20" s="7" t="str"/>
      <x:c r="I20" s="7" t="str"/>
      <x:c r="J20" s="7" t="str"/>
      <x:c r="K20" s="7" t="str">
        <x:f>IF(J20="","OPEN",IF(OR(G20="",H20="",I20=""),"FAIL","PASS"))</x:f>
        <x:v>OPEN</x:v>
      </x:c>
    </x:row>
    <x:row r="21">
      <x:c r="B21" s="7" t="str">
        <x:v>SPLIT-PEA-C-X3</x:v>
      </x:c>
      <x:c r="C21" s="7" t="str">
        <x:v>MAT-X-C</x:v>
      </x:c>
      <x:c r="D21" s="7" t="str">
        <x:v>PEA-C-X3</x:v>
      </x:c>
      <x:c r="E21" s="7" t="str">
        <x:v>BLD-C</x:v>
      </x:c>
      <x:c r="F21" s="7" t="str">
        <x:v>BL-X</x:v>
      </x:c>
      <x:c r="G21" s="7" t="str"/>
      <x:c r="H21" s="7" t="str"/>
      <x:c r="I21" s="7" t="str"/>
      <x:c r="J21" s="7" t="str"/>
      <x:c r="K21" s="7" t="str">
        <x:f>IF(J21="","OPEN",IF(OR(G21="",H21="",I21=""),"FAIL","PASS"))</x:f>
        <x:v>OPEN</x:v>
      </x:c>
    </x:row>
    <x:row r="22">
      <x:c r="B22" s="7" t="str">
        <x:v>SPLIT-PEA-C-Y1</x:v>
      </x:c>
      <x:c r="C22" s="7" t="str">
        <x:v>MAT-Y-A</x:v>
      </x:c>
      <x:c r="D22" s="7" t="str">
        <x:v>PEA-C-Y1</x:v>
      </x:c>
      <x:c r="E22" s="7" t="str">
        <x:v>BLD-C</x:v>
      </x:c>
      <x:c r="F22" s="7" t="str">
        <x:v>BL-Y</x:v>
      </x:c>
      <x:c r="G22" s="7" t="str"/>
      <x:c r="H22" s="7" t="str"/>
      <x:c r="I22" s="7" t="str"/>
      <x:c r="J22" s="7" t="str"/>
      <x:c r="K22" s="7" t="str">
        <x:f>IF(J22="","OPEN",IF(OR(G22="",H22="",I22=""),"FAIL","PASS"))</x:f>
        <x:v>OPEN</x:v>
      </x:c>
    </x:row>
    <x:row r="23">
      <x:c r="B23" s="7" t="str">
        <x:v>SPLIT-PEA-C-Y2</x:v>
      </x:c>
      <x:c r="C23" s="7" t="str">
        <x:v>MAT-Y-B</x:v>
      </x:c>
      <x:c r="D23" s="7" t="str">
        <x:v>PEA-C-Y2</x:v>
      </x:c>
      <x:c r="E23" s="7" t="str">
        <x:v>BLD-C</x:v>
      </x:c>
      <x:c r="F23" s="7" t="str">
        <x:v>BL-Y</x:v>
      </x:c>
      <x:c r="G23" s="7" t="str"/>
      <x:c r="H23" s="7" t="str"/>
      <x:c r="I23" s="7" t="str"/>
      <x:c r="J23" s="7" t="str"/>
      <x:c r="K23" s="7" t="str">
        <x:f>IF(J23="","OPEN",IF(OR(G23="",H23="",I23=""),"FAIL","PASS"))</x:f>
        <x:v>OPEN</x:v>
      </x:c>
    </x:row>
    <x:row r="24">
      <x:c r="B24" s="7" t="str">
        <x:v>SPLIT-PEA-C-Y3</x:v>
      </x:c>
      <x:c r="C24" s="7" t="str">
        <x:v>MAT-Y-C</x:v>
      </x:c>
      <x:c r="D24" s="7" t="str">
        <x:v>PEA-C-Y3</x:v>
      </x:c>
      <x:c r="E24" s="7" t="str">
        <x:v>BLD-C</x:v>
      </x:c>
      <x:c r="F24" s="7" t="str">
        <x:v>BL-Y</x:v>
      </x:c>
      <x:c r="G24" s="7" t="str"/>
      <x:c r="H24" s="7" t="str"/>
      <x:c r="I24" s="7" t="str"/>
      <x:c r="J24" s="7" t="str"/>
      <x:c r="K24" s="7" t="str">
        <x:f>IF(J24="","OPEN",IF(OR(G24="",H24="",I24=""),"FAIL","PASS"))</x:f>
        <x:v>OPEN</x:v>
      </x:c>
    </x:row>
  </x:sheetData>
  <x:conditionalFormatting sqref="K7:K24">
    <x:cfRule type="containsText" dxfId="30" priority="1" operator="containsText" text="FAIL"/>
    <x:cfRule type="containsText" dxfId="31" priority="2" operator="containsText" text="BLOCKED"/>
    <x:cfRule type="containsText" dxfId="32" priority="3" operator="containsText" text="OPEN"/>
    <x:cfRule type="containsText" dxfId="33" priority="4" operator="containsText" text="DORMANT"/>
    <x:cfRule type="containsText" dxfId="34" priority="5" operator="containsText" text="REVIEW"/>
    <x:cfRule type="containsText" dxfId="35" priority="6" operator="containsText" text="PASS"/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22" hidden="0" customWidth="1"/>
    <x:col min="3" max="3" width="14" hidden="0" customWidth="1"/>
    <x:col min="4" max="4" width="14" hidden="0" customWidth="1"/>
    <x:col min="5" max="5" width="36" hidden="0" customWidth="1"/>
    <x:col min="6" max="6" width="24" hidden="0" customWidth="1"/>
    <x:col min="7" max="7" width="31" hidden="0" customWidth="1"/>
    <x:col min="8" max="8" width="28" hidden="0" customWidth="1"/>
    <x:col min="9" max="9" width="24" hidden="0" customWidth="1"/>
    <x:col min="10" max="10" width="38" hidden="0" customWidth="1"/>
    <x:col min="11" max="11" width="21" hidden="0" customWidth="1"/>
    <x:col min="12" max="12" width="14" hidden="0" customWidth="1"/>
  </x:cols>
  <x:sheetData>
    <x:row r="2">
      <x:c r="B2" s="1" t="str">
        <x:v>Seventy-two production-tool commissions</x:v>
      </x:c>
    </x:row>
    <x:row r="3">
      <x:c r="B3" s="2" t="str">
        <x:v>Builders reproduce independent tool instances. RAB-1 fixtures supply references, not borrowed production capacity.</x:v>
      </x:c>
    </x:row>
    <x:row r="6" ht="24" customHeight="1">
      <x:c r="B6" s="6" t="str">
        <x:v>Tool unit</x:v>
      </x:c>
      <x:c r="C6" s="6" t="str">
        <x:v>Builder</x:v>
      </x:c>
      <x:c r="D6" s="6" t="str">
        <x:v>Family</x:v>
      </x:c>
      <x:c r="E6" s="6" t="str">
        <x:v>Function</x:v>
      </x:c>
      <x:c r="F6" s="6" t="str">
        <x:v>Unit serial</x:v>
      </x:c>
      <x:c r="G6" s="6" t="str">
        <x:v>Calibration identity</x:v>
      </x:c>
      <x:c r="H6" s="6" t="str">
        <x:v>Boundary result</x:v>
      </x:c>
      <x:c r="I6" s="6" t="str">
        <x:v>Safety release</x:v>
      </x:c>
      <x:c r="J6" s="6" t="str">
        <x:v>Evidence root</x:v>
      </x:c>
      <x:c r="K6" s="6" t="str">
        <x:v>Commissioned UTC</x:v>
      </x:c>
      <x:c r="L6" s="6" t="str">
        <x:v>State</x:v>
      </x:c>
    </x:row>
    <x:row r="7" ht="38" customHeight="1">
      <x:c r="B7" s="7" t="str">
        <x:v>BLD-A-TF-01</x:v>
      </x:c>
      <x:c r="C7" s="7" t="str">
        <x:v>BLD-A</x:v>
      </x:c>
      <x:c r="D7" s="7" t="str">
        <x:v>TF-01</x:v>
      </x:c>
      <x:c r="E7" s="10" t="str">
        <x:v>public datum survey</x:v>
      </x:c>
      <x:c r="F7" s="7" t="str"/>
      <x:c r="G7" s="7" t="str"/>
      <x:c r="H7" s="7" t="str"/>
      <x:c r="I7" s="7" t="str"/>
      <x:c r="J7" s="7" t="str"/>
      <x:c r="K7" s="7" t="str"/>
      <x:c r="L7" s="7" t="str">
        <x:f>IF(K7="","OPEN",IF(OR(F7="",G7="",H7="",I7="",J7=""),"FAIL","PASS"))</x:f>
        <x:v>OPEN</x:v>
      </x:c>
    </x:row>
    <x:row r="8" ht="38" customHeight="1">
      <x:c r="B8" s="7" t="str">
        <x:v>BLD-A-TF-02</x:v>
      </x:c>
      <x:c r="C8" s="7" t="str">
        <x:v>BLD-A</x:v>
      </x:c>
      <x:c r="D8" s="7" t="str">
        <x:v>TF-02</x:v>
      </x:c>
      <x:c r="E8" s="10" t="str">
        <x:v>autonomous bore mapping</x:v>
      </x:c>
      <x:c r="F8" s="7" t="str"/>
      <x:c r="G8" s="7" t="str"/>
      <x:c r="H8" s="7" t="str"/>
      <x:c r="I8" s="7" t="str"/>
      <x:c r="J8" s="7" t="str"/>
      <x:c r="K8" s="7" t="str"/>
      <x:c r="L8" s="7" t="str">
        <x:f>IF(K8="","OPEN",IF(OR(F8="",G8="",H8="",I8="",J8=""),"FAIL","PASS"))</x:f>
        <x:v>OPEN</x:v>
      </x:c>
    </x:row>
    <x:row r="9" ht="38" customHeight="1">
      <x:c r="B9" s="7" t="str">
        <x:v>BLD-A-TF-03</x:v>
      </x:c>
      <x:c r="C9" s="7" t="str">
        <x:v>BLD-A</x:v>
      </x:c>
      <x:c r="D9" s="7" t="str">
        <x:v>TF-03</x:v>
      </x:c>
      <x:c r="E9" s="10" t="str">
        <x:v>surface roughness</x:v>
      </x:c>
      <x:c r="F9" s="7" t="str"/>
      <x:c r="G9" s="7" t="str"/>
      <x:c r="H9" s="7" t="str"/>
      <x:c r="I9" s="7" t="str"/>
      <x:c r="J9" s="7" t="str"/>
      <x:c r="K9" s="7" t="str"/>
      <x:c r="L9" s="7" t="str">
        <x:f>IF(K9="","OPEN",IF(OR(F9="",G9="",H9="",I9="",J9=""),"FAIL","PASS"))</x:f>
        <x:v>OPEN</x:v>
      </x:c>
    </x:row>
    <x:row r="10" ht="38" customHeight="1">
      <x:c r="B10" s="7" t="str">
        <x:v>BLD-A-TF-04</x:v>
      </x:c>
      <x:c r="C10" s="7" t="str">
        <x:v>BLD-A</x:v>
      </x:c>
      <x:c r="D10" s="7" t="str">
        <x:v>TF-04</x:v>
      </x:c>
      <x:c r="E10" s="10" t="str">
        <x:v>contact state</x:v>
      </x:c>
      <x:c r="F10" s="7" t="str"/>
      <x:c r="G10" s="7" t="str"/>
      <x:c r="H10" s="7" t="str"/>
      <x:c r="I10" s="7" t="str"/>
      <x:c r="J10" s="7" t="str"/>
      <x:c r="K10" s="7" t="str"/>
      <x:c r="L10" s="7" t="str">
        <x:f>IF(K10="","OPEN",IF(OR(F10="",G10="",H10="",I10="",J10=""),"FAIL","PASS"))</x:f>
        <x:v>OPEN</x:v>
      </x:c>
    </x:row>
    <x:row r="11" ht="38" customHeight="1">
      <x:c r="B11" s="7" t="str">
        <x:v>BLD-A-TF-05</x:v>
      </x:c>
      <x:c r="C11" s="7" t="str">
        <x:v>BLD-A</x:v>
      </x:c>
      <x:c r="D11" s="7" t="str">
        <x:v>TF-05</x:v>
      </x:c>
      <x:c r="E11" s="10" t="str">
        <x:v>cut and end preparation</x:v>
      </x:c>
      <x:c r="F11" s="7" t="str"/>
      <x:c r="G11" s="7" t="str"/>
      <x:c r="H11" s="7" t="str"/>
      <x:c r="I11" s="7" t="str"/>
      <x:c r="J11" s="7" t="str"/>
      <x:c r="K11" s="7" t="str"/>
      <x:c r="L11" s="7" t="str">
        <x:f>IF(K11="","OPEN",IF(OR(F11="",G11="",H11="",I11="",J11=""),"FAIL","PASS"))</x:f>
        <x:v>OPEN</x:v>
      </x:c>
    </x:row>
    <x:row r="12" ht="38" customHeight="1">
      <x:c r="B12" s="7" t="str">
        <x:v>BLD-A-TF-06</x:v>
      </x:c>
      <x:c r="C12" s="7" t="str">
        <x:v>BLD-A</x:v>
      </x:c>
      <x:c r="D12" s="7" t="str">
        <x:v>TF-06</x:v>
      </x:c>
      <x:c r="E12" s="10" t="str">
        <x:v>orbital weld execution</x:v>
      </x:c>
      <x:c r="F12" s="7" t="str"/>
      <x:c r="G12" s="7" t="str"/>
      <x:c r="H12" s="7" t="str"/>
      <x:c r="I12" s="7" t="str"/>
      <x:c r="J12" s="7" t="str"/>
      <x:c r="K12" s="7" t="str"/>
      <x:c r="L12" s="7" t="str">
        <x:f>IF(K12="","OPEN",IF(OR(F12="",G12="",H12="",I12="",J12=""),"FAIL","PASS"))</x:f>
        <x:v>OPEN</x:v>
      </x:c>
    </x:row>
    <x:row r="13" ht="38" customHeight="1">
      <x:c r="B13" s="7" t="str">
        <x:v>BLD-A-TF-07</x:v>
      </x:c>
      <x:c r="C13" s="7" t="str">
        <x:v>BLD-A</x:v>
      </x:c>
      <x:c r="D13" s="7" t="str">
        <x:v>TF-07</x:v>
      </x:c>
      <x:c r="E13" s="10" t="str">
        <x:v>purge-state control</x:v>
      </x:c>
      <x:c r="F13" s="7" t="str"/>
      <x:c r="G13" s="7" t="str"/>
      <x:c r="H13" s="7" t="str"/>
      <x:c r="I13" s="7" t="str"/>
      <x:c r="J13" s="7" t="str"/>
      <x:c r="K13" s="7" t="str"/>
      <x:c r="L13" s="7" t="str">
        <x:f>IF(K13="","OPEN",IF(OR(F13="",G13="",H13="",I13="",J13=""),"FAIL","PASS"))</x:f>
        <x:v>OPEN</x:v>
      </x:c>
    </x:row>
    <x:row r="14" ht="38" customHeight="1">
      <x:c r="B14" s="7" t="str">
        <x:v>BLD-A-TF-08</x:v>
      </x:c>
      <x:c r="C14" s="7" t="str">
        <x:v>BLD-A</x:v>
      </x:c>
      <x:c r="D14" s="7" t="str">
        <x:v>TF-08</x:v>
      </x:c>
      <x:c r="E14" s="10" t="str">
        <x:v>clamp preload</x:v>
      </x:c>
      <x:c r="F14" s="7" t="str"/>
      <x:c r="G14" s="7" t="str"/>
      <x:c r="H14" s="7" t="str"/>
      <x:c r="I14" s="7" t="str"/>
      <x:c r="J14" s="7" t="str"/>
      <x:c r="K14" s="7" t="str"/>
      <x:c r="L14" s="7" t="str">
        <x:f>IF(K14="","OPEN",IF(OR(F14="",G14="",H14="",I14="",J14=""),"FAIL","PASS"))</x:f>
        <x:v>OPEN</x:v>
      </x:c>
    </x:row>
    <x:row r="15" ht="38" customHeight="1">
      <x:c r="B15" s="7" t="str">
        <x:v>BLD-A-TF-09</x:v>
      </x:c>
      <x:c r="C15" s="7" t="str">
        <x:v>BLD-A</x:v>
      </x:c>
      <x:c r="D15" s="7" t="str">
        <x:v>TF-09</x:v>
      </x:c>
      <x:c r="E15" s="10" t="str">
        <x:v>seal compression</x:v>
      </x:c>
      <x:c r="F15" s="7" t="str"/>
      <x:c r="G15" s="7" t="str"/>
      <x:c r="H15" s="7" t="str"/>
      <x:c r="I15" s="7" t="str"/>
      <x:c r="J15" s="7" t="str"/>
      <x:c r="K15" s="7" t="str"/>
      <x:c r="L15" s="7" t="str">
        <x:f>IF(K15="","OPEN",IF(OR(F15="",G15="",H15="",I15="",J15=""),"FAIL","PASS"))</x:f>
        <x:v>OPEN</x:v>
      </x:c>
    </x:row>
    <x:row r="16" ht="38" customHeight="1">
      <x:c r="B16" s="7" t="str">
        <x:v>BLD-A-TF-10</x:v>
      </x:c>
      <x:c r="C16" s="7" t="str">
        <x:v>BLD-A</x:v>
      </x:c>
      <x:c r="D16" s="7" t="str">
        <x:v>TF-10</x:v>
      </x:c>
      <x:c r="E16" s="10" t="str">
        <x:v>monitored interspace</x:v>
      </x:c>
      <x:c r="F16" s="7" t="str"/>
      <x:c r="G16" s="7" t="str"/>
      <x:c r="H16" s="7" t="str"/>
      <x:c r="I16" s="7" t="str"/>
      <x:c r="J16" s="7" t="str"/>
      <x:c r="K16" s="7" t="str"/>
      <x:c r="L16" s="7" t="str">
        <x:f>IF(K16="","OPEN",IF(OR(F16="",G16="",H16="",I16="",J16=""),"FAIL","PASS"))</x:f>
        <x:v>OPEN</x:v>
      </x:c>
    </x:row>
    <x:row r="17" ht="38" customHeight="1">
      <x:c r="B17" s="7" t="str">
        <x:v>BLD-A-TF-11</x:v>
      </x:c>
      <x:c r="C17" s="7" t="str">
        <x:v>BLD-A</x:v>
      </x:c>
      <x:c r="D17" s="7" t="str">
        <x:v>TF-11</x:v>
      </x:c>
      <x:c r="E17" s="10" t="str">
        <x:v>liquid proof</x:v>
      </x:c>
      <x:c r="F17" s="7" t="str"/>
      <x:c r="G17" s="7" t="str"/>
      <x:c r="H17" s="7" t="str"/>
      <x:c r="I17" s="7" t="str"/>
      <x:c r="J17" s="7" t="str"/>
      <x:c r="K17" s="7" t="str"/>
      <x:c r="L17" s="7" t="str">
        <x:f>IF(K17="","OPEN",IF(OR(F17="",G17="",H17="",I17="",J17=""),"FAIL","PASS"))</x:f>
        <x:v>OPEN</x:v>
      </x:c>
    </x:row>
    <x:row r="18" ht="38" customHeight="1">
      <x:c r="B18" s="7" t="str">
        <x:v>BLD-A-TF-12</x:v>
      </x:c>
      <x:c r="C18" s="7" t="str">
        <x:v>BLD-A</x:v>
      </x:c>
      <x:c r="D18" s="7" t="str">
        <x:v>TF-12</x:v>
      </x:c>
      <x:c r="E18" s="10" t="str">
        <x:v>gravimetric leak</x:v>
      </x:c>
      <x:c r="F18" s="7" t="str"/>
      <x:c r="G18" s="7" t="str"/>
      <x:c r="H18" s="7" t="str"/>
      <x:c r="I18" s="7" t="str"/>
      <x:c r="J18" s="7" t="str"/>
      <x:c r="K18" s="7" t="str"/>
      <x:c r="L18" s="7" t="str">
        <x:f>IF(K18="","OPEN",IF(OR(F18="",G18="",H18="",I18="",J18=""),"FAIL","PASS"))</x:f>
        <x:v>OPEN</x:v>
      </x:c>
    </x:row>
    <x:row r="19" ht="38" customHeight="1">
      <x:c r="B19" s="7" t="str">
        <x:v>BLD-A-TF-13</x:v>
      </x:c>
      <x:c r="C19" s="7" t="str">
        <x:v>BLD-A</x:v>
      </x:c>
      <x:c r="D19" s="7" t="str">
        <x:v>TF-13</x:v>
      </x:c>
      <x:c r="E19" s="10" t="str">
        <x:v>full-line thermal</x:v>
      </x:c>
      <x:c r="F19" s="7" t="str"/>
      <x:c r="G19" s="7" t="str"/>
      <x:c r="H19" s="7" t="str"/>
      <x:c r="I19" s="7" t="str"/>
      <x:c r="J19" s="7" t="str"/>
      <x:c r="K19" s="7" t="str"/>
      <x:c r="L19" s="7" t="str">
        <x:f>IF(K19="","OPEN",IF(OR(F19="",G19="",H19="",I19="",J19=""),"FAIL","PASS"))</x:f>
        <x:v>OPEN</x:v>
      </x:c>
    </x:row>
    <x:row r="20" ht="38" customHeight="1">
      <x:c r="B20" s="7" t="str">
        <x:v>BLD-A-TF-14</x:v>
      </x:c>
      <x:c r="C20" s="7" t="str">
        <x:v>BLD-A</x:v>
      </x:c>
      <x:c r="D20" s="7" t="str">
        <x:v>TF-14</x:v>
      </x:c>
      <x:c r="E20" s="10" t="str">
        <x:v>cyclic hydraulic</x:v>
      </x:c>
      <x:c r="F20" s="7" t="str"/>
      <x:c r="G20" s="7" t="str"/>
      <x:c r="H20" s="7" t="str"/>
      <x:c r="I20" s="7" t="str"/>
      <x:c r="J20" s="7" t="str"/>
      <x:c r="K20" s="7" t="str"/>
      <x:c r="L20" s="7" t="str">
        <x:f>IF(K20="","OPEN",IF(OR(F20="",G20="",H20="",I20="",J20=""),"FAIL","PASS"))</x:f>
        <x:v>OPEN</x:v>
      </x:c>
    </x:row>
    <x:row r="21" ht="38" customHeight="1">
      <x:c r="B21" s="7" t="str">
        <x:v>BLD-A-TF-15</x:v>
      </x:c>
      <x:c r="C21" s="7" t="str">
        <x:v>BLD-A</x:v>
      </x:c>
      <x:c r="D21" s="7" t="str">
        <x:v>TF-15</x:v>
      </x:c>
      <x:c r="E21" s="10" t="str">
        <x:v>drain and recovery</x:v>
      </x:c>
      <x:c r="F21" s="7" t="str"/>
      <x:c r="G21" s="7" t="str"/>
      <x:c r="H21" s="7" t="str"/>
      <x:c r="I21" s="7" t="str"/>
      <x:c r="J21" s="7" t="str"/>
      <x:c r="K21" s="7" t="str"/>
      <x:c r="L21" s="7" t="str">
        <x:f>IF(K21="","OPEN",IF(OR(F21="",G21="",H21="",I21="",J21=""),"FAIL","PASS"))</x:f>
        <x:v>OPEN</x:v>
      </x:c>
    </x:row>
    <x:row r="22" ht="38" customHeight="1">
      <x:c r="B22" s="7" t="str">
        <x:v>BLD-A-TF-16</x:v>
      </x:c>
      <x:c r="C22" s="7" t="str">
        <x:v>BLD-A</x:v>
      </x:c>
      <x:c r="D22" s="7" t="str">
        <x:v>TF-16</x:v>
      </x:c>
      <x:c r="E22" s="10" t="str">
        <x:v>spring work</x:v>
      </x:c>
      <x:c r="F22" s="7" t="str"/>
      <x:c r="G22" s="7" t="str"/>
      <x:c r="H22" s="7" t="str"/>
      <x:c r="I22" s="7" t="str"/>
      <x:c r="J22" s="7" t="str"/>
      <x:c r="K22" s="7" t="str"/>
      <x:c r="L22" s="7" t="str">
        <x:f>IF(K22="","OPEN",IF(OR(F22="",G22="",H22="",I22="",J22=""),"FAIL","PASS"))</x:f>
        <x:v>OPEN</x:v>
      </x:c>
    </x:row>
    <x:row r="23" ht="38" customHeight="1">
      <x:c r="B23" s="7" t="str">
        <x:v>BLD-A-TF-17</x:v>
      </x:c>
      <x:c r="C23" s="7" t="str">
        <x:v>BLD-A</x:v>
      </x:c>
      <x:c r="D23" s="7" t="str">
        <x:v>TF-17</x:v>
      </x:c>
      <x:c r="E23" s="10" t="str">
        <x:v>stored electrical energy</x:v>
      </x:c>
      <x:c r="F23" s="7" t="str"/>
      <x:c r="G23" s="7" t="str"/>
      <x:c r="H23" s="7" t="str"/>
      <x:c r="I23" s="7" t="str"/>
      <x:c r="J23" s="7" t="str"/>
      <x:c r="K23" s="7" t="str"/>
      <x:c r="L23" s="7" t="str">
        <x:f>IF(K23="","OPEN",IF(OR(F23="",G23="",H23="",I23="",J23=""),"FAIL","PASS"))</x:f>
        <x:v>OPEN</x:v>
      </x:c>
    </x:row>
    <x:row r="24" ht="38" customHeight="1">
      <x:c r="B24" s="7" t="str">
        <x:v>BLD-A-TF-18</x:v>
      </x:c>
      <x:c r="C24" s="7" t="str">
        <x:v>BLD-A</x:v>
      </x:c>
      <x:c r="D24" s="7" t="str">
        <x:v>TF-18</x:v>
      </x:c>
      <x:c r="E24" s="10" t="str">
        <x:v>safeing final state</x:v>
      </x:c>
      <x:c r="F24" s="7" t="str"/>
      <x:c r="G24" s="7" t="str"/>
      <x:c r="H24" s="7" t="str"/>
      <x:c r="I24" s="7" t="str"/>
      <x:c r="J24" s="7" t="str"/>
      <x:c r="K24" s="7" t="str"/>
      <x:c r="L24" s="7" t="str">
        <x:f>IF(K24="","OPEN",IF(OR(F24="",G24="",H24="",I24="",J24=""),"FAIL","PASS"))</x:f>
        <x:v>OPEN</x:v>
      </x:c>
    </x:row>
    <x:row r="25" ht="38" customHeight="1">
      <x:c r="B25" s="7" t="str">
        <x:v>BLD-A-TF-19</x:v>
      </x:c>
      <x:c r="C25" s="7" t="str">
        <x:v>BLD-A</x:v>
      </x:c>
      <x:c r="D25" s="7" t="str">
        <x:v>TF-19</x:v>
      </x:c>
      <x:c r="E25" s="10" t="str">
        <x:v>instrument mount</x:v>
      </x:c>
      <x:c r="F25" s="7" t="str"/>
      <x:c r="G25" s="7" t="str"/>
      <x:c r="H25" s="7" t="str"/>
      <x:c r="I25" s="7" t="str"/>
      <x:c r="J25" s="7" t="str"/>
      <x:c r="K25" s="7" t="str"/>
      <x:c r="L25" s="7" t="str">
        <x:f>IF(K25="","OPEN",IF(OR(F25="",G25="",H25="",I25="",J25=""),"FAIL","PASS"))</x:f>
        <x:v>OPEN</x:v>
      </x:c>
    </x:row>
    <x:row r="26" ht="38" customHeight="1">
      <x:c r="B26" s="7" t="str">
        <x:v>BLD-A-TF-20</x:v>
      </x:c>
      <x:c r="C26" s="7" t="str">
        <x:v>BLD-A</x:v>
      </x:c>
      <x:c r="D26" s="7" t="str">
        <x:v>TF-20</x:v>
      </x:c>
      <x:c r="E26" s="10" t="str">
        <x:v>calibration bench</x:v>
      </x:c>
      <x:c r="F26" s="7" t="str"/>
      <x:c r="G26" s="7" t="str"/>
      <x:c r="H26" s="7" t="str"/>
      <x:c r="I26" s="7" t="str"/>
      <x:c r="J26" s="7" t="str"/>
      <x:c r="K26" s="7" t="str"/>
      <x:c r="L26" s="7" t="str">
        <x:f>IF(K26="","OPEN",IF(OR(F26="",G26="",H26="",I26="",J26=""),"FAIL","PASS"))</x:f>
        <x:v>OPEN</x:v>
      </x:c>
    </x:row>
    <x:row r="27" ht="38" customHeight="1">
      <x:c r="B27" s="7" t="str">
        <x:v>BLD-A-TF-21</x:v>
      </x:c>
      <x:c r="C27" s="7" t="str">
        <x:v>BLD-A</x:v>
      </x:c>
      <x:c r="D27" s="7" t="str">
        <x:v>TF-21</x:v>
      </x:c>
      <x:c r="E27" s="10" t="str">
        <x:v>causal-time transfer</x:v>
      </x:c>
      <x:c r="F27" s="7" t="str"/>
      <x:c r="G27" s="7" t="str"/>
      <x:c r="H27" s="7" t="str"/>
      <x:c r="I27" s="7" t="str"/>
      <x:c r="J27" s="7" t="str"/>
      <x:c r="K27" s="7" t="str"/>
      <x:c r="L27" s="7" t="str">
        <x:f>IF(K27="","OPEN",IF(OR(F27="",G27="",H27="",I27="",J27=""),"FAIL","PASS"))</x:f>
        <x:v>OPEN</x:v>
      </x:c>
    </x:row>
    <x:row r="28" ht="38" customHeight="1">
      <x:c r="B28" s="7" t="str">
        <x:v>BLD-A-TF-22</x:v>
      </x:c>
      <x:c r="C28" s="7" t="str">
        <x:v>BLD-A</x:v>
      </x:c>
      <x:c r="D28" s="7" t="str">
        <x:v>TF-22</x:v>
      </x:c>
      <x:c r="E28" s="10" t="str">
        <x:v>evidence sealing</x:v>
      </x:c>
      <x:c r="F28" s="7" t="str"/>
      <x:c r="G28" s="7" t="str"/>
      <x:c r="H28" s="7" t="str"/>
      <x:c r="I28" s="7" t="str"/>
      <x:c r="J28" s="7" t="str"/>
      <x:c r="K28" s="7" t="str"/>
      <x:c r="L28" s="7" t="str">
        <x:f>IF(K28="","OPEN",IF(OR(F28="",G28="",H28="",I28="",J28=""),"FAIL","PASS"))</x:f>
        <x:v>OPEN</x:v>
      </x:c>
    </x:row>
    <x:row r="29" ht="38" customHeight="1">
      <x:c r="B29" s="7" t="str">
        <x:v>BLD-A-TF-23</x:v>
      </x:c>
      <x:c r="C29" s="7" t="str">
        <x:v>BLD-A</x:v>
      </x:c>
      <x:c r="D29" s="7" t="str">
        <x:v>TF-23</x:v>
      </x:c>
      <x:c r="E29" s="10" t="str">
        <x:v>handling and lift</x:v>
      </x:c>
      <x:c r="F29" s="7" t="str"/>
      <x:c r="G29" s="7" t="str"/>
      <x:c r="H29" s="7" t="str"/>
      <x:c r="I29" s="7" t="str"/>
      <x:c r="J29" s="7" t="str"/>
      <x:c r="K29" s="7" t="str"/>
      <x:c r="L29" s="7" t="str">
        <x:f>IF(K29="","OPEN",IF(OR(F29="",G29="",H29="",I29="",J29=""),"FAIL","PASS"))</x:f>
        <x:v>OPEN</x:v>
      </x:c>
    </x:row>
    <x:row r="30" ht="38" customHeight="1">
      <x:c r="B30" s="7" t="str">
        <x:v>BLD-A-TF-24</x:v>
      </x:c>
      <x:c r="C30" s="7" t="str">
        <x:v>BLD-A</x:v>
      </x:c>
      <x:c r="D30" s="7" t="str">
        <x:v>TF-24</x:v>
      </x:c>
      <x:c r="E30" s="10" t="str">
        <x:v>quarantine and sectioning</x:v>
      </x:c>
      <x:c r="F30" s="7" t="str"/>
      <x:c r="G30" s="7" t="str"/>
      <x:c r="H30" s="7" t="str"/>
      <x:c r="I30" s="7" t="str"/>
      <x:c r="J30" s="7" t="str"/>
      <x:c r="K30" s="7" t="str"/>
      <x:c r="L30" s="7" t="str">
        <x:f>IF(K30="","OPEN",IF(OR(F30="",G30="",H30="",I30="",J30=""),"FAIL","PASS"))</x:f>
        <x:v>OPEN</x:v>
      </x:c>
    </x:row>
    <x:row r="31" ht="38" customHeight="1">
      <x:c r="B31" s="7" t="str">
        <x:v>BLD-B-TF-01</x:v>
      </x:c>
      <x:c r="C31" s="7" t="str">
        <x:v>BLD-B</x:v>
      </x:c>
      <x:c r="D31" s="7" t="str">
        <x:v>TF-01</x:v>
      </x:c>
      <x:c r="E31" s="10" t="str">
        <x:v>public datum survey</x:v>
      </x:c>
      <x:c r="F31" s="7" t="str"/>
      <x:c r="G31" s="7" t="str"/>
      <x:c r="H31" s="7" t="str"/>
      <x:c r="I31" s="7" t="str"/>
      <x:c r="J31" s="7" t="str"/>
      <x:c r="K31" s="7" t="str"/>
      <x:c r="L31" s="7" t="str">
        <x:f>IF(K31="","OPEN",IF(OR(F31="",G31="",H31="",I31="",J31=""),"FAIL","PASS"))</x:f>
        <x:v>OPEN</x:v>
      </x:c>
    </x:row>
    <x:row r="32" ht="38" customHeight="1">
      <x:c r="B32" s="7" t="str">
        <x:v>BLD-B-TF-02</x:v>
      </x:c>
      <x:c r="C32" s="7" t="str">
        <x:v>BLD-B</x:v>
      </x:c>
      <x:c r="D32" s="7" t="str">
        <x:v>TF-02</x:v>
      </x:c>
      <x:c r="E32" s="10" t="str">
        <x:v>autonomous bore mapping</x:v>
      </x:c>
      <x:c r="F32" s="7" t="str"/>
      <x:c r="G32" s="7" t="str"/>
      <x:c r="H32" s="7" t="str"/>
      <x:c r="I32" s="7" t="str"/>
      <x:c r="J32" s="7" t="str"/>
      <x:c r="K32" s="7" t="str"/>
      <x:c r="L32" s="7" t="str">
        <x:f>IF(K32="","OPEN",IF(OR(F32="",G32="",H32="",I32="",J32=""),"FAIL","PASS"))</x:f>
        <x:v>OPEN</x:v>
      </x:c>
    </x:row>
    <x:row r="33" ht="38" customHeight="1">
      <x:c r="B33" s="7" t="str">
        <x:v>BLD-B-TF-03</x:v>
      </x:c>
      <x:c r="C33" s="7" t="str">
        <x:v>BLD-B</x:v>
      </x:c>
      <x:c r="D33" s="7" t="str">
        <x:v>TF-03</x:v>
      </x:c>
      <x:c r="E33" s="10" t="str">
        <x:v>surface roughness</x:v>
      </x:c>
      <x:c r="F33" s="7" t="str"/>
      <x:c r="G33" s="7" t="str"/>
      <x:c r="H33" s="7" t="str"/>
      <x:c r="I33" s="7" t="str"/>
      <x:c r="J33" s="7" t="str"/>
      <x:c r="K33" s="7" t="str"/>
      <x:c r="L33" s="7" t="str">
        <x:f>IF(K33="","OPEN",IF(OR(F33="",G33="",H33="",I33="",J33=""),"FAIL","PASS"))</x:f>
        <x:v>OPEN</x:v>
      </x:c>
    </x:row>
    <x:row r="34" ht="38" customHeight="1">
      <x:c r="B34" s="7" t="str">
        <x:v>BLD-B-TF-04</x:v>
      </x:c>
      <x:c r="C34" s="7" t="str">
        <x:v>BLD-B</x:v>
      </x:c>
      <x:c r="D34" s="7" t="str">
        <x:v>TF-04</x:v>
      </x:c>
      <x:c r="E34" s="10" t="str">
        <x:v>contact state</x:v>
      </x:c>
      <x:c r="F34" s="7" t="str"/>
      <x:c r="G34" s="7" t="str"/>
      <x:c r="H34" s="7" t="str"/>
      <x:c r="I34" s="7" t="str"/>
      <x:c r="J34" s="7" t="str"/>
      <x:c r="K34" s="7" t="str"/>
      <x:c r="L34" s="7" t="str">
        <x:f>IF(K34="","OPEN",IF(OR(F34="",G34="",H34="",I34="",J34=""),"FAIL","PASS"))</x:f>
        <x:v>OPEN</x:v>
      </x:c>
    </x:row>
    <x:row r="35" ht="38" customHeight="1">
      <x:c r="B35" s="7" t="str">
        <x:v>BLD-B-TF-05</x:v>
      </x:c>
      <x:c r="C35" s="7" t="str">
        <x:v>BLD-B</x:v>
      </x:c>
      <x:c r="D35" s="7" t="str">
        <x:v>TF-05</x:v>
      </x:c>
      <x:c r="E35" s="10" t="str">
        <x:v>cut and end preparation</x:v>
      </x:c>
      <x:c r="F35" s="7" t="str"/>
      <x:c r="G35" s="7" t="str"/>
      <x:c r="H35" s="7" t="str"/>
      <x:c r="I35" s="7" t="str"/>
      <x:c r="J35" s="7" t="str"/>
      <x:c r="K35" s="7" t="str"/>
      <x:c r="L35" s="7" t="str">
        <x:f>IF(K35="","OPEN",IF(OR(F35="",G35="",H35="",I35="",J35=""),"FAIL","PASS"))</x:f>
        <x:v>OPEN</x:v>
      </x:c>
    </x:row>
    <x:row r="36" ht="38" customHeight="1">
      <x:c r="B36" s="7" t="str">
        <x:v>BLD-B-TF-06</x:v>
      </x:c>
      <x:c r="C36" s="7" t="str">
        <x:v>BLD-B</x:v>
      </x:c>
      <x:c r="D36" s="7" t="str">
        <x:v>TF-06</x:v>
      </x:c>
      <x:c r="E36" s="10" t="str">
        <x:v>orbital weld execution</x:v>
      </x:c>
      <x:c r="F36" s="7" t="str"/>
      <x:c r="G36" s="7" t="str"/>
      <x:c r="H36" s="7" t="str"/>
      <x:c r="I36" s="7" t="str"/>
      <x:c r="J36" s="7" t="str"/>
      <x:c r="K36" s="7" t="str"/>
      <x:c r="L36" s="7" t="str">
        <x:f>IF(K36="","OPEN",IF(OR(F36="",G36="",H36="",I36="",J36=""),"FAIL","PASS"))</x:f>
        <x:v>OPEN</x:v>
      </x:c>
    </x:row>
    <x:row r="37" ht="38" customHeight="1">
      <x:c r="B37" s="7" t="str">
        <x:v>BLD-B-TF-07</x:v>
      </x:c>
      <x:c r="C37" s="7" t="str">
        <x:v>BLD-B</x:v>
      </x:c>
      <x:c r="D37" s="7" t="str">
        <x:v>TF-07</x:v>
      </x:c>
      <x:c r="E37" s="10" t="str">
        <x:v>purge-state control</x:v>
      </x:c>
      <x:c r="F37" s="7" t="str"/>
      <x:c r="G37" s="7" t="str"/>
      <x:c r="H37" s="7" t="str"/>
      <x:c r="I37" s="7" t="str"/>
      <x:c r="J37" s="7" t="str"/>
      <x:c r="K37" s="7" t="str"/>
      <x:c r="L37" s="7" t="str">
        <x:f>IF(K37="","OPEN",IF(OR(F37="",G37="",H37="",I37="",J37=""),"FAIL","PASS"))</x:f>
        <x:v>OPEN</x:v>
      </x:c>
    </x:row>
    <x:row r="38" ht="38" customHeight="1">
      <x:c r="B38" s="7" t="str">
        <x:v>BLD-B-TF-08</x:v>
      </x:c>
      <x:c r="C38" s="7" t="str">
        <x:v>BLD-B</x:v>
      </x:c>
      <x:c r="D38" s="7" t="str">
        <x:v>TF-08</x:v>
      </x:c>
      <x:c r="E38" s="10" t="str">
        <x:v>clamp preload</x:v>
      </x:c>
      <x:c r="F38" s="7" t="str"/>
      <x:c r="G38" s="7" t="str"/>
      <x:c r="H38" s="7" t="str"/>
      <x:c r="I38" s="7" t="str"/>
      <x:c r="J38" s="7" t="str"/>
      <x:c r="K38" s="7" t="str"/>
      <x:c r="L38" s="7" t="str">
        <x:f>IF(K38="","OPEN",IF(OR(F38="",G38="",H38="",I38="",J38=""),"FAIL","PASS"))</x:f>
        <x:v>OPEN</x:v>
      </x:c>
    </x:row>
    <x:row r="39" ht="38" customHeight="1">
      <x:c r="B39" s="7" t="str">
        <x:v>BLD-B-TF-09</x:v>
      </x:c>
      <x:c r="C39" s="7" t="str">
        <x:v>BLD-B</x:v>
      </x:c>
      <x:c r="D39" s="7" t="str">
        <x:v>TF-09</x:v>
      </x:c>
      <x:c r="E39" s="10" t="str">
        <x:v>seal compression</x:v>
      </x:c>
      <x:c r="F39" s="7" t="str"/>
      <x:c r="G39" s="7" t="str"/>
      <x:c r="H39" s="7" t="str"/>
      <x:c r="I39" s="7" t="str"/>
      <x:c r="J39" s="7" t="str"/>
      <x:c r="K39" s="7" t="str"/>
      <x:c r="L39" s="7" t="str">
        <x:f>IF(K39="","OPEN",IF(OR(F39="",G39="",H39="",I39="",J39=""),"FAIL","PASS"))</x:f>
        <x:v>OPEN</x:v>
      </x:c>
    </x:row>
    <x:row r="40" ht="38" customHeight="1">
      <x:c r="B40" s="7" t="str">
        <x:v>BLD-B-TF-10</x:v>
      </x:c>
      <x:c r="C40" s="7" t="str">
        <x:v>BLD-B</x:v>
      </x:c>
      <x:c r="D40" s="7" t="str">
        <x:v>TF-10</x:v>
      </x:c>
      <x:c r="E40" s="10" t="str">
        <x:v>monitored interspace</x:v>
      </x:c>
      <x:c r="F40" s="7" t="str"/>
      <x:c r="G40" s="7" t="str"/>
      <x:c r="H40" s="7" t="str"/>
      <x:c r="I40" s="7" t="str"/>
      <x:c r="J40" s="7" t="str"/>
      <x:c r="K40" s="7" t="str"/>
      <x:c r="L40" s="7" t="str">
        <x:f>IF(K40="","OPEN",IF(OR(F40="",G40="",H40="",I40="",J40=""),"FAIL","PASS"))</x:f>
        <x:v>OPEN</x:v>
      </x:c>
    </x:row>
    <x:row r="41" ht="38" customHeight="1">
      <x:c r="B41" s="7" t="str">
        <x:v>BLD-B-TF-11</x:v>
      </x:c>
      <x:c r="C41" s="7" t="str">
        <x:v>BLD-B</x:v>
      </x:c>
      <x:c r="D41" s="7" t="str">
        <x:v>TF-11</x:v>
      </x:c>
      <x:c r="E41" s="10" t="str">
        <x:v>liquid proof</x:v>
      </x:c>
      <x:c r="F41" s="7" t="str"/>
      <x:c r="G41" s="7" t="str"/>
      <x:c r="H41" s="7" t="str"/>
      <x:c r="I41" s="7" t="str"/>
      <x:c r="J41" s="7" t="str"/>
      <x:c r="K41" s="7" t="str"/>
      <x:c r="L41" s="7" t="str">
        <x:f>IF(K41="","OPEN",IF(OR(F41="",G41="",H41="",I41="",J41=""),"FAIL","PASS"))</x:f>
        <x:v>OPEN</x:v>
      </x:c>
    </x:row>
    <x:row r="42" ht="38" customHeight="1">
      <x:c r="B42" s="7" t="str">
        <x:v>BLD-B-TF-12</x:v>
      </x:c>
      <x:c r="C42" s="7" t="str">
        <x:v>BLD-B</x:v>
      </x:c>
      <x:c r="D42" s="7" t="str">
        <x:v>TF-12</x:v>
      </x:c>
      <x:c r="E42" s="10" t="str">
        <x:v>gravimetric leak</x:v>
      </x:c>
      <x:c r="F42" s="7" t="str"/>
      <x:c r="G42" s="7" t="str"/>
      <x:c r="H42" s="7" t="str"/>
      <x:c r="I42" s="7" t="str"/>
      <x:c r="J42" s="7" t="str"/>
      <x:c r="K42" s="7" t="str"/>
      <x:c r="L42" s="7" t="str">
        <x:f>IF(K42="","OPEN",IF(OR(F42="",G42="",H42="",I42="",J42=""),"FAIL","PASS"))</x:f>
        <x:v>OPEN</x:v>
      </x:c>
    </x:row>
    <x:row r="43" ht="38" customHeight="1">
      <x:c r="B43" s="7" t="str">
        <x:v>BLD-B-TF-13</x:v>
      </x:c>
      <x:c r="C43" s="7" t="str">
        <x:v>BLD-B</x:v>
      </x:c>
      <x:c r="D43" s="7" t="str">
        <x:v>TF-13</x:v>
      </x:c>
      <x:c r="E43" s="10" t="str">
        <x:v>full-line thermal</x:v>
      </x:c>
      <x:c r="F43" s="7" t="str"/>
      <x:c r="G43" s="7" t="str"/>
      <x:c r="H43" s="7" t="str"/>
      <x:c r="I43" s="7" t="str"/>
      <x:c r="J43" s="7" t="str"/>
      <x:c r="K43" s="7" t="str"/>
      <x:c r="L43" s="7" t="str">
        <x:f>IF(K43="","OPEN",IF(OR(F43="",G43="",H43="",I43="",J43=""),"FAIL","PASS"))</x:f>
        <x:v>OPEN</x:v>
      </x:c>
    </x:row>
    <x:row r="44" ht="38" customHeight="1">
      <x:c r="B44" s="7" t="str">
        <x:v>BLD-B-TF-14</x:v>
      </x:c>
      <x:c r="C44" s="7" t="str">
        <x:v>BLD-B</x:v>
      </x:c>
      <x:c r="D44" s="7" t="str">
        <x:v>TF-14</x:v>
      </x:c>
      <x:c r="E44" s="10" t="str">
        <x:v>cyclic hydraulic</x:v>
      </x:c>
      <x:c r="F44" s="7" t="str"/>
      <x:c r="G44" s="7" t="str"/>
      <x:c r="H44" s="7" t="str"/>
      <x:c r="I44" s="7" t="str"/>
      <x:c r="J44" s="7" t="str"/>
      <x:c r="K44" s="7" t="str"/>
      <x:c r="L44" s="7" t="str">
        <x:f>IF(K44="","OPEN",IF(OR(F44="",G44="",H44="",I44="",J44=""),"FAIL","PASS"))</x:f>
        <x:v>OPEN</x:v>
      </x:c>
    </x:row>
    <x:row r="45" ht="38" customHeight="1">
      <x:c r="B45" s="7" t="str">
        <x:v>BLD-B-TF-15</x:v>
      </x:c>
      <x:c r="C45" s="7" t="str">
        <x:v>BLD-B</x:v>
      </x:c>
      <x:c r="D45" s="7" t="str">
        <x:v>TF-15</x:v>
      </x:c>
      <x:c r="E45" s="10" t="str">
        <x:v>drain and recovery</x:v>
      </x:c>
      <x:c r="F45" s="7" t="str"/>
      <x:c r="G45" s="7" t="str"/>
      <x:c r="H45" s="7" t="str"/>
      <x:c r="I45" s="7" t="str"/>
      <x:c r="J45" s="7" t="str"/>
      <x:c r="K45" s="7" t="str"/>
      <x:c r="L45" s="7" t="str">
        <x:f>IF(K45="","OPEN",IF(OR(F45="",G45="",H45="",I45="",J45=""),"FAIL","PASS"))</x:f>
        <x:v>OPEN</x:v>
      </x:c>
    </x:row>
    <x:row r="46" ht="38" customHeight="1">
      <x:c r="B46" s="7" t="str">
        <x:v>BLD-B-TF-16</x:v>
      </x:c>
      <x:c r="C46" s="7" t="str">
        <x:v>BLD-B</x:v>
      </x:c>
      <x:c r="D46" s="7" t="str">
        <x:v>TF-16</x:v>
      </x:c>
      <x:c r="E46" s="10" t="str">
        <x:v>spring work</x:v>
      </x:c>
      <x:c r="F46" s="7" t="str"/>
      <x:c r="G46" s="7" t="str"/>
      <x:c r="H46" s="7" t="str"/>
      <x:c r="I46" s="7" t="str"/>
      <x:c r="J46" s="7" t="str"/>
      <x:c r="K46" s="7" t="str"/>
      <x:c r="L46" s="7" t="str">
        <x:f>IF(K46="","OPEN",IF(OR(F46="",G46="",H46="",I46="",J46=""),"FAIL","PASS"))</x:f>
        <x:v>OPEN</x:v>
      </x:c>
    </x:row>
    <x:row r="47" ht="38" customHeight="1">
      <x:c r="B47" s="7" t="str">
        <x:v>BLD-B-TF-17</x:v>
      </x:c>
      <x:c r="C47" s="7" t="str">
        <x:v>BLD-B</x:v>
      </x:c>
      <x:c r="D47" s="7" t="str">
        <x:v>TF-17</x:v>
      </x:c>
      <x:c r="E47" s="10" t="str">
        <x:v>stored electrical energy</x:v>
      </x:c>
      <x:c r="F47" s="7" t="str"/>
      <x:c r="G47" s="7" t="str"/>
      <x:c r="H47" s="7" t="str"/>
      <x:c r="I47" s="7" t="str"/>
      <x:c r="J47" s="7" t="str"/>
      <x:c r="K47" s="7" t="str"/>
      <x:c r="L47" s="7" t="str">
        <x:f>IF(K47="","OPEN",IF(OR(F47="",G47="",H47="",I47="",J47=""),"FAIL","PASS"))</x:f>
        <x:v>OPEN</x:v>
      </x:c>
    </x:row>
    <x:row r="48" ht="38" customHeight="1">
      <x:c r="B48" s="7" t="str">
        <x:v>BLD-B-TF-18</x:v>
      </x:c>
      <x:c r="C48" s="7" t="str">
        <x:v>BLD-B</x:v>
      </x:c>
      <x:c r="D48" s="7" t="str">
        <x:v>TF-18</x:v>
      </x:c>
      <x:c r="E48" s="10" t="str">
        <x:v>safeing final state</x:v>
      </x:c>
      <x:c r="F48" s="7" t="str"/>
      <x:c r="G48" s="7" t="str"/>
      <x:c r="H48" s="7" t="str"/>
      <x:c r="I48" s="7" t="str"/>
      <x:c r="J48" s="7" t="str"/>
      <x:c r="K48" s="7" t="str"/>
      <x:c r="L48" s="7" t="str">
        <x:f>IF(K48="","OPEN",IF(OR(F48="",G48="",H48="",I48="",J48=""),"FAIL","PASS"))</x:f>
        <x:v>OPEN</x:v>
      </x:c>
    </x:row>
    <x:row r="49" ht="38" customHeight="1">
      <x:c r="B49" s="7" t="str">
        <x:v>BLD-B-TF-19</x:v>
      </x:c>
      <x:c r="C49" s="7" t="str">
        <x:v>BLD-B</x:v>
      </x:c>
      <x:c r="D49" s="7" t="str">
        <x:v>TF-19</x:v>
      </x:c>
      <x:c r="E49" s="10" t="str">
        <x:v>instrument mount</x:v>
      </x:c>
      <x:c r="F49" s="7" t="str"/>
      <x:c r="G49" s="7" t="str"/>
      <x:c r="H49" s="7" t="str"/>
      <x:c r="I49" s="7" t="str"/>
      <x:c r="J49" s="7" t="str"/>
      <x:c r="K49" s="7" t="str"/>
      <x:c r="L49" s="7" t="str">
        <x:f>IF(K49="","OPEN",IF(OR(F49="",G49="",H49="",I49="",J49=""),"FAIL","PASS"))</x:f>
        <x:v>OPEN</x:v>
      </x:c>
    </x:row>
    <x:row r="50" ht="38" customHeight="1">
      <x:c r="B50" s="7" t="str">
        <x:v>BLD-B-TF-20</x:v>
      </x:c>
      <x:c r="C50" s="7" t="str">
        <x:v>BLD-B</x:v>
      </x:c>
      <x:c r="D50" s="7" t="str">
        <x:v>TF-20</x:v>
      </x:c>
      <x:c r="E50" s="10" t="str">
        <x:v>calibration bench</x:v>
      </x:c>
      <x:c r="F50" s="7" t="str"/>
      <x:c r="G50" s="7" t="str"/>
      <x:c r="H50" s="7" t="str"/>
      <x:c r="I50" s="7" t="str"/>
      <x:c r="J50" s="7" t="str"/>
      <x:c r="K50" s="7" t="str"/>
      <x:c r="L50" s="7" t="str">
        <x:f>IF(K50="","OPEN",IF(OR(F50="",G50="",H50="",I50="",J50=""),"FAIL","PASS"))</x:f>
        <x:v>OPEN</x:v>
      </x:c>
    </x:row>
    <x:row r="51" ht="38" customHeight="1">
      <x:c r="B51" s="7" t="str">
        <x:v>BLD-B-TF-21</x:v>
      </x:c>
      <x:c r="C51" s="7" t="str">
        <x:v>BLD-B</x:v>
      </x:c>
      <x:c r="D51" s="7" t="str">
        <x:v>TF-21</x:v>
      </x:c>
      <x:c r="E51" s="10" t="str">
        <x:v>causal-time transfer</x:v>
      </x:c>
      <x:c r="F51" s="7" t="str"/>
      <x:c r="G51" s="7" t="str"/>
      <x:c r="H51" s="7" t="str"/>
      <x:c r="I51" s="7" t="str"/>
      <x:c r="J51" s="7" t="str"/>
      <x:c r="K51" s="7" t="str"/>
      <x:c r="L51" s="7" t="str">
        <x:f>IF(K51="","OPEN",IF(OR(F51="",G51="",H51="",I51="",J51=""),"FAIL","PASS"))</x:f>
        <x:v>OPEN</x:v>
      </x:c>
    </x:row>
    <x:row r="52" ht="38" customHeight="1">
      <x:c r="B52" s="7" t="str">
        <x:v>BLD-B-TF-22</x:v>
      </x:c>
      <x:c r="C52" s="7" t="str">
        <x:v>BLD-B</x:v>
      </x:c>
      <x:c r="D52" s="7" t="str">
        <x:v>TF-22</x:v>
      </x:c>
      <x:c r="E52" s="10" t="str">
        <x:v>evidence sealing</x:v>
      </x:c>
      <x:c r="F52" s="7" t="str"/>
      <x:c r="G52" s="7" t="str"/>
      <x:c r="H52" s="7" t="str"/>
      <x:c r="I52" s="7" t="str"/>
      <x:c r="J52" s="7" t="str"/>
      <x:c r="K52" s="7" t="str"/>
      <x:c r="L52" s="7" t="str">
        <x:f>IF(K52="","OPEN",IF(OR(F52="",G52="",H52="",I52="",J52=""),"FAIL","PASS"))</x:f>
        <x:v>OPEN</x:v>
      </x:c>
    </x:row>
    <x:row r="53" ht="38" customHeight="1">
      <x:c r="B53" s="7" t="str">
        <x:v>BLD-B-TF-23</x:v>
      </x:c>
      <x:c r="C53" s="7" t="str">
        <x:v>BLD-B</x:v>
      </x:c>
      <x:c r="D53" s="7" t="str">
        <x:v>TF-23</x:v>
      </x:c>
      <x:c r="E53" s="10" t="str">
        <x:v>handling and lift</x:v>
      </x:c>
      <x:c r="F53" s="7" t="str"/>
      <x:c r="G53" s="7" t="str"/>
      <x:c r="H53" s="7" t="str"/>
      <x:c r="I53" s="7" t="str"/>
      <x:c r="J53" s="7" t="str"/>
      <x:c r="K53" s="7" t="str"/>
      <x:c r="L53" s="7" t="str">
        <x:f>IF(K53="","OPEN",IF(OR(F53="",G53="",H53="",I53="",J53=""),"FAIL","PASS"))</x:f>
        <x:v>OPEN</x:v>
      </x:c>
    </x:row>
    <x:row r="54" ht="38" customHeight="1">
      <x:c r="B54" s="7" t="str">
        <x:v>BLD-B-TF-24</x:v>
      </x:c>
      <x:c r="C54" s="7" t="str">
        <x:v>BLD-B</x:v>
      </x:c>
      <x:c r="D54" s="7" t="str">
        <x:v>TF-24</x:v>
      </x:c>
      <x:c r="E54" s="10" t="str">
        <x:v>quarantine and sectioning</x:v>
      </x:c>
      <x:c r="F54" s="7" t="str"/>
      <x:c r="G54" s="7" t="str"/>
      <x:c r="H54" s="7" t="str"/>
      <x:c r="I54" s="7" t="str"/>
      <x:c r="J54" s="7" t="str"/>
      <x:c r="K54" s="7" t="str"/>
      <x:c r="L54" s="7" t="str">
        <x:f>IF(K54="","OPEN",IF(OR(F54="",G54="",H54="",I54="",J54=""),"FAIL","PASS"))</x:f>
        <x:v>OPEN</x:v>
      </x:c>
    </x:row>
    <x:row r="55" ht="38" customHeight="1">
      <x:c r="B55" s="7" t="str">
        <x:v>BLD-C-TF-01</x:v>
      </x:c>
      <x:c r="C55" s="7" t="str">
        <x:v>BLD-C</x:v>
      </x:c>
      <x:c r="D55" s="7" t="str">
        <x:v>TF-01</x:v>
      </x:c>
      <x:c r="E55" s="10" t="str">
        <x:v>public datum survey</x:v>
      </x:c>
      <x:c r="F55" s="7" t="str"/>
      <x:c r="G55" s="7" t="str"/>
      <x:c r="H55" s="7" t="str"/>
      <x:c r="I55" s="7" t="str"/>
      <x:c r="J55" s="7" t="str"/>
      <x:c r="K55" s="7" t="str"/>
      <x:c r="L55" s="7" t="str">
        <x:f>IF(K55="","OPEN",IF(OR(F55="",G55="",H55="",I55="",J55=""),"FAIL","PASS"))</x:f>
        <x:v>OPEN</x:v>
      </x:c>
    </x:row>
    <x:row r="56" ht="38" customHeight="1">
      <x:c r="B56" s="7" t="str">
        <x:v>BLD-C-TF-02</x:v>
      </x:c>
      <x:c r="C56" s="7" t="str">
        <x:v>BLD-C</x:v>
      </x:c>
      <x:c r="D56" s="7" t="str">
        <x:v>TF-02</x:v>
      </x:c>
      <x:c r="E56" s="10" t="str">
        <x:v>autonomous bore mapping</x:v>
      </x:c>
      <x:c r="F56" s="7" t="str"/>
      <x:c r="G56" s="7" t="str"/>
      <x:c r="H56" s="7" t="str"/>
      <x:c r="I56" s="7" t="str"/>
      <x:c r="J56" s="7" t="str"/>
      <x:c r="K56" s="7" t="str"/>
      <x:c r="L56" s="7" t="str">
        <x:f>IF(K56="","OPEN",IF(OR(F56="",G56="",H56="",I56="",J56=""),"FAIL","PASS"))</x:f>
        <x:v>OPEN</x:v>
      </x:c>
    </x:row>
    <x:row r="57" ht="38" customHeight="1">
      <x:c r="B57" s="7" t="str">
        <x:v>BLD-C-TF-03</x:v>
      </x:c>
      <x:c r="C57" s="7" t="str">
        <x:v>BLD-C</x:v>
      </x:c>
      <x:c r="D57" s="7" t="str">
        <x:v>TF-03</x:v>
      </x:c>
      <x:c r="E57" s="10" t="str">
        <x:v>surface roughness</x:v>
      </x:c>
      <x:c r="F57" s="7" t="str"/>
      <x:c r="G57" s="7" t="str"/>
      <x:c r="H57" s="7" t="str"/>
      <x:c r="I57" s="7" t="str"/>
      <x:c r="J57" s="7" t="str"/>
      <x:c r="K57" s="7" t="str"/>
      <x:c r="L57" s="7" t="str">
        <x:f>IF(K57="","OPEN",IF(OR(F57="",G57="",H57="",I57="",J57=""),"FAIL","PASS"))</x:f>
        <x:v>OPEN</x:v>
      </x:c>
    </x:row>
    <x:row r="58" ht="38" customHeight="1">
      <x:c r="B58" s="7" t="str">
        <x:v>BLD-C-TF-04</x:v>
      </x:c>
      <x:c r="C58" s="7" t="str">
        <x:v>BLD-C</x:v>
      </x:c>
      <x:c r="D58" s="7" t="str">
        <x:v>TF-04</x:v>
      </x:c>
      <x:c r="E58" s="10" t="str">
        <x:v>contact state</x:v>
      </x:c>
      <x:c r="F58" s="7" t="str"/>
      <x:c r="G58" s="7" t="str"/>
      <x:c r="H58" s="7" t="str"/>
      <x:c r="I58" s="7" t="str"/>
      <x:c r="J58" s="7" t="str"/>
      <x:c r="K58" s="7" t="str"/>
      <x:c r="L58" s="7" t="str">
        <x:f>IF(K58="","OPEN",IF(OR(F58="",G58="",H58="",I58="",J58=""),"FAIL","PASS"))</x:f>
        <x:v>OPEN</x:v>
      </x:c>
    </x:row>
    <x:row r="59" ht="38" customHeight="1">
      <x:c r="B59" s="7" t="str">
        <x:v>BLD-C-TF-05</x:v>
      </x:c>
      <x:c r="C59" s="7" t="str">
        <x:v>BLD-C</x:v>
      </x:c>
      <x:c r="D59" s="7" t="str">
        <x:v>TF-05</x:v>
      </x:c>
      <x:c r="E59" s="10" t="str">
        <x:v>cut and end preparation</x:v>
      </x:c>
      <x:c r="F59" s="7" t="str"/>
      <x:c r="G59" s="7" t="str"/>
      <x:c r="H59" s="7" t="str"/>
      <x:c r="I59" s="7" t="str"/>
      <x:c r="J59" s="7" t="str"/>
      <x:c r="K59" s="7" t="str"/>
      <x:c r="L59" s="7" t="str">
        <x:f>IF(K59="","OPEN",IF(OR(F59="",G59="",H59="",I59="",J59=""),"FAIL","PASS"))</x:f>
        <x:v>OPEN</x:v>
      </x:c>
    </x:row>
    <x:row r="60" ht="38" customHeight="1">
      <x:c r="B60" s="7" t="str">
        <x:v>BLD-C-TF-06</x:v>
      </x:c>
      <x:c r="C60" s="7" t="str">
        <x:v>BLD-C</x:v>
      </x:c>
      <x:c r="D60" s="7" t="str">
        <x:v>TF-06</x:v>
      </x:c>
      <x:c r="E60" s="10" t="str">
        <x:v>orbital weld execution</x:v>
      </x:c>
      <x:c r="F60" s="7" t="str"/>
      <x:c r="G60" s="7" t="str"/>
      <x:c r="H60" s="7" t="str"/>
      <x:c r="I60" s="7" t="str"/>
      <x:c r="J60" s="7" t="str"/>
      <x:c r="K60" s="7" t="str"/>
      <x:c r="L60" s="7" t="str">
        <x:f>IF(K60="","OPEN",IF(OR(F60="",G60="",H60="",I60="",J60=""),"FAIL","PASS"))</x:f>
        <x:v>OPEN</x:v>
      </x:c>
    </x:row>
    <x:row r="61" ht="38" customHeight="1">
      <x:c r="B61" s="7" t="str">
        <x:v>BLD-C-TF-07</x:v>
      </x:c>
      <x:c r="C61" s="7" t="str">
        <x:v>BLD-C</x:v>
      </x:c>
      <x:c r="D61" s="7" t="str">
        <x:v>TF-07</x:v>
      </x:c>
      <x:c r="E61" s="10" t="str">
        <x:v>purge-state control</x:v>
      </x:c>
      <x:c r="F61" s="7" t="str"/>
      <x:c r="G61" s="7" t="str"/>
      <x:c r="H61" s="7" t="str"/>
      <x:c r="I61" s="7" t="str"/>
      <x:c r="J61" s="7" t="str"/>
      <x:c r="K61" s="7" t="str"/>
      <x:c r="L61" s="7" t="str">
        <x:f>IF(K61="","OPEN",IF(OR(F61="",G61="",H61="",I61="",J61=""),"FAIL","PASS"))</x:f>
        <x:v>OPEN</x:v>
      </x:c>
    </x:row>
    <x:row r="62" ht="38" customHeight="1">
      <x:c r="B62" s="7" t="str">
        <x:v>BLD-C-TF-08</x:v>
      </x:c>
      <x:c r="C62" s="7" t="str">
        <x:v>BLD-C</x:v>
      </x:c>
      <x:c r="D62" s="7" t="str">
        <x:v>TF-08</x:v>
      </x:c>
      <x:c r="E62" s="10" t="str">
        <x:v>clamp preload</x:v>
      </x:c>
      <x:c r="F62" s="7" t="str"/>
      <x:c r="G62" s="7" t="str"/>
      <x:c r="H62" s="7" t="str"/>
      <x:c r="I62" s="7" t="str"/>
      <x:c r="J62" s="7" t="str"/>
      <x:c r="K62" s="7" t="str"/>
      <x:c r="L62" s="7" t="str">
        <x:f>IF(K62="","OPEN",IF(OR(F62="",G62="",H62="",I62="",J62=""),"FAIL","PASS"))</x:f>
        <x:v>OPEN</x:v>
      </x:c>
    </x:row>
    <x:row r="63" ht="38" customHeight="1">
      <x:c r="B63" s="7" t="str">
        <x:v>BLD-C-TF-09</x:v>
      </x:c>
      <x:c r="C63" s="7" t="str">
        <x:v>BLD-C</x:v>
      </x:c>
      <x:c r="D63" s="7" t="str">
        <x:v>TF-09</x:v>
      </x:c>
      <x:c r="E63" s="10" t="str">
        <x:v>seal compression</x:v>
      </x:c>
      <x:c r="F63" s="7" t="str"/>
      <x:c r="G63" s="7" t="str"/>
      <x:c r="H63" s="7" t="str"/>
      <x:c r="I63" s="7" t="str"/>
      <x:c r="J63" s="7" t="str"/>
      <x:c r="K63" s="7" t="str"/>
      <x:c r="L63" s="7" t="str">
        <x:f>IF(K63="","OPEN",IF(OR(F63="",G63="",H63="",I63="",J63=""),"FAIL","PASS"))</x:f>
        <x:v>OPEN</x:v>
      </x:c>
    </x:row>
    <x:row r="64" ht="38" customHeight="1">
      <x:c r="B64" s="7" t="str">
        <x:v>BLD-C-TF-10</x:v>
      </x:c>
      <x:c r="C64" s="7" t="str">
        <x:v>BLD-C</x:v>
      </x:c>
      <x:c r="D64" s="7" t="str">
        <x:v>TF-10</x:v>
      </x:c>
      <x:c r="E64" s="10" t="str">
        <x:v>monitored interspace</x:v>
      </x:c>
      <x:c r="F64" s="7" t="str"/>
      <x:c r="G64" s="7" t="str"/>
      <x:c r="H64" s="7" t="str"/>
      <x:c r="I64" s="7" t="str"/>
      <x:c r="J64" s="7" t="str"/>
      <x:c r="K64" s="7" t="str"/>
      <x:c r="L64" s="7" t="str">
        <x:f>IF(K64="","OPEN",IF(OR(F64="",G64="",H64="",I64="",J64=""),"FAIL","PASS"))</x:f>
        <x:v>OPEN</x:v>
      </x:c>
    </x:row>
    <x:row r="65" ht="38" customHeight="1">
      <x:c r="B65" s="7" t="str">
        <x:v>BLD-C-TF-11</x:v>
      </x:c>
      <x:c r="C65" s="7" t="str">
        <x:v>BLD-C</x:v>
      </x:c>
      <x:c r="D65" s="7" t="str">
        <x:v>TF-11</x:v>
      </x:c>
      <x:c r="E65" s="10" t="str">
        <x:v>liquid proof</x:v>
      </x:c>
      <x:c r="F65" s="7" t="str"/>
      <x:c r="G65" s="7" t="str"/>
      <x:c r="H65" s="7" t="str"/>
      <x:c r="I65" s="7" t="str"/>
      <x:c r="J65" s="7" t="str"/>
      <x:c r="K65" s="7" t="str"/>
      <x:c r="L65" s="7" t="str">
        <x:f>IF(K65="","OPEN",IF(OR(F65="",G65="",H65="",I65="",J65=""),"FAIL","PASS"))</x:f>
        <x:v>OPEN</x:v>
      </x:c>
    </x:row>
    <x:row r="66" ht="38" customHeight="1">
      <x:c r="B66" s="7" t="str">
        <x:v>BLD-C-TF-12</x:v>
      </x:c>
      <x:c r="C66" s="7" t="str">
        <x:v>BLD-C</x:v>
      </x:c>
      <x:c r="D66" s="7" t="str">
        <x:v>TF-12</x:v>
      </x:c>
      <x:c r="E66" s="10" t="str">
        <x:v>gravimetric leak</x:v>
      </x:c>
      <x:c r="F66" s="7" t="str"/>
      <x:c r="G66" s="7" t="str"/>
      <x:c r="H66" s="7" t="str"/>
      <x:c r="I66" s="7" t="str"/>
      <x:c r="J66" s="7" t="str"/>
      <x:c r="K66" s="7" t="str"/>
      <x:c r="L66" s="7" t="str">
        <x:f>IF(K66="","OPEN",IF(OR(F66="",G66="",H66="",I66="",J66=""),"FAIL","PASS"))</x:f>
        <x:v>OPEN</x:v>
      </x:c>
    </x:row>
    <x:row r="67" ht="38" customHeight="1">
      <x:c r="B67" s="7" t="str">
        <x:v>BLD-C-TF-13</x:v>
      </x:c>
      <x:c r="C67" s="7" t="str">
        <x:v>BLD-C</x:v>
      </x:c>
      <x:c r="D67" s="7" t="str">
        <x:v>TF-13</x:v>
      </x:c>
      <x:c r="E67" s="10" t="str">
        <x:v>full-line thermal</x:v>
      </x:c>
      <x:c r="F67" s="7" t="str"/>
      <x:c r="G67" s="7" t="str"/>
      <x:c r="H67" s="7" t="str"/>
      <x:c r="I67" s="7" t="str"/>
      <x:c r="J67" s="7" t="str"/>
      <x:c r="K67" s="7" t="str"/>
      <x:c r="L67" s="7" t="str">
        <x:f>IF(K67="","OPEN",IF(OR(F67="",G67="",H67="",I67="",J67=""),"FAIL","PASS"))</x:f>
        <x:v>OPEN</x:v>
      </x:c>
    </x:row>
    <x:row r="68" ht="38" customHeight="1">
      <x:c r="B68" s="7" t="str">
        <x:v>BLD-C-TF-14</x:v>
      </x:c>
      <x:c r="C68" s="7" t="str">
        <x:v>BLD-C</x:v>
      </x:c>
      <x:c r="D68" s="7" t="str">
        <x:v>TF-14</x:v>
      </x:c>
      <x:c r="E68" s="10" t="str">
        <x:v>cyclic hydraulic</x:v>
      </x:c>
      <x:c r="F68" s="7" t="str"/>
      <x:c r="G68" s="7" t="str"/>
      <x:c r="H68" s="7" t="str"/>
      <x:c r="I68" s="7" t="str"/>
      <x:c r="J68" s="7" t="str"/>
      <x:c r="K68" s="7" t="str"/>
      <x:c r="L68" s="7" t="str">
        <x:f>IF(K68="","OPEN",IF(OR(F68="",G68="",H68="",I68="",J68=""),"FAIL","PASS"))</x:f>
        <x:v>OPEN</x:v>
      </x:c>
    </x:row>
    <x:row r="69" ht="38" customHeight="1">
      <x:c r="B69" s="7" t="str">
        <x:v>BLD-C-TF-15</x:v>
      </x:c>
      <x:c r="C69" s="7" t="str">
        <x:v>BLD-C</x:v>
      </x:c>
      <x:c r="D69" s="7" t="str">
        <x:v>TF-15</x:v>
      </x:c>
      <x:c r="E69" s="10" t="str">
        <x:v>drain and recovery</x:v>
      </x:c>
      <x:c r="F69" s="7" t="str"/>
      <x:c r="G69" s="7" t="str"/>
      <x:c r="H69" s="7" t="str"/>
      <x:c r="I69" s="7" t="str"/>
      <x:c r="J69" s="7" t="str"/>
      <x:c r="K69" s="7" t="str"/>
      <x:c r="L69" s="7" t="str">
        <x:f>IF(K69="","OPEN",IF(OR(F69="",G69="",H69="",I69="",J69=""),"FAIL","PASS"))</x:f>
        <x:v>OPEN</x:v>
      </x:c>
    </x:row>
    <x:row r="70" ht="38" customHeight="1">
      <x:c r="B70" s="7" t="str">
        <x:v>BLD-C-TF-16</x:v>
      </x:c>
      <x:c r="C70" s="7" t="str">
        <x:v>BLD-C</x:v>
      </x:c>
      <x:c r="D70" s="7" t="str">
        <x:v>TF-16</x:v>
      </x:c>
      <x:c r="E70" s="10" t="str">
        <x:v>spring work</x:v>
      </x:c>
      <x:c r="F70" s="7" t="str"/>
      <x:c r="G70" s="7" t="str"/>
      <x:c r="H70" s="7" t="str"/>
      <x:c r="I70" s="7" t="str"/>
      <x:c r="J70" s="7" t="str"/>
      <x:c r="K70" s="7" t="str"/>
      <x:c r="L70" s="7" t="str">
        <x:f>IF(K70="","OPEN",IF(OR(F70="",G70="",H70="",I70="",J70=""),"FAIL","PASS"))</x:f>
        <x:v>OPEN</x:v>
      </x:c>
    </x:row>
    <x:row r="71" ht="38" customHeight="1">
      <x:c r="B71" s="7" t="str">
        <x:v>BLD-C-TF-17</x:v>
      </x:c>
      <x:c r="C71" s="7" t="str">
        <x:v>BLD-C</x:v>
      </x:c>
      <x:c r="D71" s="7" t="str">
        <x:v>TF-17</x:v>
      </x:c>
      <x:c r="E71" s="10" t="str">
        <x:v>stored electrical energy</x:v>
      </x:c>
      <x:c r="F71" s="7" t="str"/>
      <x:c r="G71" s="7" t="str"/>
      <x:c r="H71" s="7" t="str"/>
      <x:c r="I71" s="7" t="str"/>
      <x:c r="J71" s="7" t="str"/>
      <x:c r="K71" s="7" t="str"/>
      <x:c r="L71" s="7" t="str">
        <x:f>IF(K71="","OPEN",IF(OR(F71="",G71="",H71="",I71="",J71=""),"FAIL","PASS"))</x:f>
        <x:v>OPEN</x:v>
      </x:c>
    </x:row>
    <x:row r="72" ht="38" customHeight="1">
      <x:c r="B72" s="7" t="str">
        <x:v>BLD-C-TF-18</x:v>
      </x:c>
      <x:c r="C72" s="7" t="str">
        <x:v>BLD-C</x:v>
      </x:c>
      <x:c r="D72" s="7" t="str">
        <x:v>TF-18</x:v>
      </x:c>
      <x:c r="E72" s="10" t="str">
        <x:v>safeing final state</x:v>
      </x:c>
      <x:c r="F72" s="7" t="str"/>
      <x:c r="G72" s="7" t="str"/>
      <x:c r="H72" s="7" t="str"/>
      <x:c r="I72" s="7" t="str"/>
      <x:c r="J72" s="7" t="str"/>
      <x:c r="K72" s="7" t="str"/>
      <x:c r="L72" s="7" t="str">
        <x:f>IF(K72="","OPEN",IF(OR(F72="",G72="",H72="",I72="",J72=""),"FAIL","PASS"))</x:f>
        <x:v>OPEN</x:v>
      </x:c>
    </x:row>
    <x:row r="73" ht="38" customHeight="1">
      <x:c r="B73" s="7" t="str">
        <x:v>BLD-C-TF-19</x:v>
      </x:c>
      <x:c r="C73" s="7" t="str">
        <x:v>BLD-C</x:v>
      </x:c>
      <x:c r="D73" s="7" t="str">
        <x:v>TF-19</x:v>
      </x:c>
      <x:c r="E73" s="10" t="str">
        <x:v>instrument mount</x:v>
      </x:c>
      <x:c r="F73" s="7" t="str"/>
      <x:c r="G73" s="7" t="str"/>
      <x:c r="H73" s="7" t="str"/>
      <x:c r="I73" s="7" t="str"/>
      <x:c r="J73" s="7" t="str"/>
      <x:c r="K73" s="7" t="str"/>
      <x:c r="L73" s="7" t="str">
        <x:f>IF(K73="","OPEN",IF(OR(F73="",G73="",H73="",I73="",J73=""),"FAIL","PASS"))</x:f>
        <x:v>OPEN</x:v>
      </x:c>
    </x:row>
    <x:row r="74" ht="38" customHeight="1">
      <x:c r="B74" s="7" t="str">
        <x:v>BLD-C-TF-20</x:v>
      </x:c>
      <x:c r="C74" s="7" t="str">
        <x:v>BLD-C</x:v>
      </x:c>
      <x:c r="D74" s="7" t="str">
        <x:v>TF-20</x:v>
      </x:c>
      <x:c r="E74" s="10" t="str">
        <x:v>calibration bench</x:v>
      </x:c>
      <x:c r="F74" s="7" t="str"/>
      <x:c r="G74" s="7" t="str"/>
      <x:c r="H74" s="7" t="str"/>
      <x:c r="I74" s="7" t="str"/>
      <x:c r="J74" s="7" t="str"/>
      <x:c r="K74" s="7" t="str"/>
      <x:c r="L74" s="7" t="str">
        <x:f>IF(K74="","OPEN",IF(OR(F74="",G74="",H74="",I74="",J74=""),"FAIL","PASS"))</x:f>
        <x:v>OPEN</x:v>
      </x:c>
    </x:row>
    <x:row r="75" ht="38" customHeight="1">
      <x:c r="B75" s="7" t="str">
        <x:v>BLD-C-TF-21</x:v>
      </x:c>
      <x:c r="C75" s="7" t="str">
        <x:v>BLD-C</x:v>
      </x:c>
      <x:c r="D75" s="7" t="str">
        <x:v>TF-21</x:v>
      </x:c>
      <x:c r="E75" s="10" t="str">
        <x:v>causal-time transfer</x:v>
      </x:c>
      <x:c r="F75" s="7" t="str"/>
      <x:c r="G75" s="7" t="str"/>
      <x:c r="H75" s="7" t="str"/>
      <x:c r="I75" s="7" t="str"/>
      <x:c r="J75" s="7" t="str"/>
      <x:c r="K75" s="7" t="str"/>
      <x:c r="L75" s="7" t="str">
        <x:f>IF(K75="","OPEN",IF(OR(F75="",G75="",H75="",I75="",J75=""),"FAIL","PASS"))</x:f>
        <x:v>OPEN</x:v>
      </x:c>
    </x:row>
    <x:row r="76" ht="38" customHeight="1">
      <x:c r="B76" s="7" t="str">
        <x:v>BLD-C-TF-22</x:v>
      </x:c>
      <x:c r="C76" s="7" t="str">
        <x:v>BLD-C</x:v>
      </x:c>
      <x:c r="D76" s="7" t="str">
        <x:v>TF-22</x:v>
      </x:c>
      <x:c r="E76" s="10" t="str">
        <x:v>evidence sealing</x:v>
      </x:c>
      <x:c r="F76" s="7" t="str"/>
      <x:c r="G76" s="7" t="str"/>
      <x:c r="H76" s="7" t="str"/>
      <x:c r="I76" s="7" t="str"/>
      <x:c r="J76" s="7" t="str"/>
      <x:c r="K76" s="7" t="str"/>
      <x:c r="L76" s="7" t="str">
        <x:f>IF(K76="","OPEN",IF(OR(F76="",G76="",H76="",I76="",J76=""),"FAIL","PASS"))</x:f>
        <x:v>OPEN</x:v>
      </x:c>
    </x:row>
    <x:row r="77" ht="38" customHeight="1">
      <x:c r="B77" s="7" t="str">
        <x:v>BLD-C-TF-23</x:v>
      </x:c>
      <x:c r="C77" s="7" t="str">
        <x:v>BLD-C</x:v>
      </x:c>
      <x:c r="D77" s="7" t="str">
        <x:v>TF-23</x:v>
      </x:c>
      <x:c r="E77" s="10" t="str">
        <x:v>handling and lift</x:v>
      </x:c>
      <x:c r="F77" s="7" t="str"/>
      <x:c r="G77" s="7" t="str"/>
      <x:c r="H77" s="7" t="str"/>
      <x:c r="I77" s="7" t="str"/>
      <x:c r="J77" s="7" t="str"/>
      <x:c r="K77" s="7" t="str"/>
      <x:c r="L77" s="7" t="str">
        <x:f>IF(K77="","OPEN",IF(OR(F77="",G77="",H77="",I77="",J77=""),"FAIL","PASS"))</x:f>
        <x:v>OPEN</x:v>
      </x:c>
    </x:row>
    <x:row r="78" ht="38" customHeight="1">
      <x:c r="B78" s="7" t="str">
        <x:v>BLD-C-TF-24</x:v>
      </x:c>
      <x:c r="C78" s="7" t="str">
        <x:v>BLD-C</x:v>
      </x:c>
      <x:c r="D78" s="7" t="str">
        <x:v>TF-24</x:v>
      </x:c>
      <x:c r="E78" s="10" t="str">
        <x:v>quarantine and sectioning</x:v>
      </x:c>
      <x:c r="F78" s="7" t="str"/>
      <x:c r="G78" s="7" t="str"/>
      <x:c r="H78" s="7" t="str"/>
      <x:c r="I78" s="7" t="str"/>
      <x:c r="J78" s="7" t="str"/>
      <x:c r="K78" s="7" t="str"/>
      <x:c r="L78" s="7" t="str">
        <x:f>IF(K78="","OPEN",IF(OR(F78="",G78="",H78="",I78="",J78=""),"FAIL","PASS"))</x:f>
        <x:v>OPEN</x:v>
      </x:c>
    </x:row>
  </x:sheetData>
  <x:conditionalFormatting sqref="L7:L78">
    <x:cfRule type="containsText" dxfId="36" priority="1" operator="containsText" text="FAIL"/>
    <x:cfRule type="containsText" dxfId="37" priority="2" operator="containsText" text="BLOCKED"/>
    <x:cfRule type="containsText" dxfId="38" priority="3" operator="containsText" text="OPEN"/>
    <x:cfRule type="containsText" dxfId="39" priority="4" operator="containsText" text="DORMANT"/>
    <x:cfRule type="containsText" dxfId="40" priority="5" operator="containsText" text="REVIEW"/>
    <x:cfRule type="containsText" dxfId="41" priority="6" operator="containsText" text="PASS"/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20" hidden="0" customWidth="1"/>
    <x:col min="3" max="3" width="14" hidden="0" customWidth="1"/>
    <x:col min="4" max="4" width="14" hidden="0" customWidth="1"/>
    <x:col min="5" max="5" width="35" hidden="0" customWidth="1"/>
    <x:col min="6" max="6" width="21" hidden="0" customWidth="1"/>
    <x:col min="7" max="7" width="19" hidden="0" customWidth="1"/>
    <x:col min="8" max="8" width="24" hidden="0" customWidth="1"/>
    <x:col min="9" max="9" width="22" hidden="0" customWidth="1"/>
    <x:col min="10" max="10" width="29" hidden="0" customWidth="1"/>
    <x:col min="11" max="11" width="21" hidden="0" customWidth="1"/>
    <x:col min="12" max="12" width="14" hidden="0" customWidth="1"/>
  </x:cols>
  <x:sheetData>
    <x:row r="2">
      <x:c r="B2" s="1" t="str">
        <x:v>Seventy-two family-site transfer decisions</x:v>
      </x:c>
    </x:row>
    <x:row r="3">
      <x:c r="B3" s="2" t="str">
        <x:v>Each decision requires twenty-four observations, a bounded site bias, a gage result and a registered analysis.</x:v>
      </x:c>
    </x:row>
    <x:row r="6" ht="24" customHeight="1">
      <x:c r="B6" s="6" t="str">
        <x:v>Decision</x:v>
      </x:c>
      <x:c r="C6" s="6" t="str">
        <x:v>Builder</x:v>
      </x:c>
      <x:c r="D6" s="6" t="str">
        <x:v>Family</x:v>
      </x:c>
      <x:c r="E6" s="6" t="str">
        <x:v>Measurement</x:v>
      </x:c>
      <x:c r="F6" s="6" t="str">
        <x:v>Required records</x:v>
      </x:c>
      <x:c r="G6" s="6" t="str">
        <x:v>Passing records</x:v>
      </x:c>
      <x:c r="H6" s="6" t="str">
        <x:v>Observed site bias share</x:v>
      </x:c>
      <x:c r="I6" s="6" t="str">
        <x:v>Observed gage R&amp;R</x:v>
      </x:c>
      <x:c r="J6" s="6" t="str">
        <x:v>Analysis identity</x:v>
      </x:c>
      <x:c r="K6" s="6" t="str">
        <x:v>Accepted UTC</x:v>
      </x:c>
      <x:c r="L6" s="6" t="str">
        <x:v>State</x:v>
      </x:c>
    </x:row>
    <x:row r="7">
      <x:c r="B7" s="7" t="str">
        <x:v>TR-A-01</x:v>
      </x:c>
      <x:c r="C7" s="7" t="str">
        <x:v>BLD-A</x:v>
      </x:c>
      <x:c r="D7" s="7" t="str">
        <x:v>MF-01</x:v>
      </x:c>
      <x:c r="E7" s="7" t="str">
        <x:v>public datum survey</x:v>
      </x:c>
      <x:c r="F7" s="7" t="n">
        <x:v>24</x:v>
      </x:c>
      <x:c r="G7" s="7" t="n">
        <x:f>COUNTIFS('Transfer Records'!C7:C1734,C7,'Transfer Records'!D7:D1734,D7,'Transfer Records'!N7:N1734,"PASS")</x:f>
        <x:v>0</x:v>
      </x:c>
      <x:c r="H7" s="11" t="n">
        <x:v>0</x:v>
      </x:c>
      <x:c r="I7" s="11" t="str"/>
      <x:c r="J7" s="7" t="str"/>
      <x:c r="K7" s="7" t="str"/>
      <x:c r="L7" s="7" t="str">
        <x:f>IF(K7="","OPEN",IF(AND(G7=F7,ISNUMBER(H7),ABS(H7)&lt;='Controls'!$D$36,ISNUMBER(I7),I7&lt;='Controls'!$D$37,J7&lt;&gt;""),"PASS","FAIL"))</x:f>
        <x:v>OPEN</x:v>
      </x:c>
    </x:row>
    <x:row r="8">
      <x:c r="B8" s="7" t="str">
        <x:v>TR-A-02</x:v>
      </x:c>
      <x:c r="C8" s="7" t="str">
        <x:v>BLD-A</x:v>
      </x:c>
      <x:c r="D8" s="7" t="str">
        <x:v>MF-02</x:v>
      </x:c>
      <x:c r="E8" s="7" t="str">
        <x:v>autonomous bore mapping</x:v>
      </x:c>
      <x:c r="F8" s="7" t="n">
        <x:v>24</x:v>
      </x:c>
      <x:c r="G8" s="7" t="n">
        <x:f>COUNTIFS('Transfer Records'!C7:C1734,C8,'Transfer Records'!D7:D1734,D8,'Transfer Records'!N7:N1734,"PASS")</x:f>
        <x:v>0</x:v>
      </x:c>
      <x:c r="H8" s="11" t="n">
        <x:v>0</x:v>
      </x:c>
      <x:c r="I8" s="11" t="str"/>
      <x:c r="J8" s="7" t="str"/>
      <x:c r="K8" s="7" t="str"/>
      <x:c r="L8" s="7" t="str">
        <x:f>IF(K8="","OPEN",IF(AND(G8=F8,ISNUMBER(H8),ABS(H8)&lt;='Controls'!$D$36,ISNUMBER(I8),I8&lt;='Controls'!$D$37,J8&lt;&gt;""),"PASS","FAIL"))</x:f>
        <x:v>OPEN</x:v>
      </x:c>
    </x:row>
    <x:row r="9">
      <x:c r="B9" s="7" t="str">
        <x:v>TR-A-03</x:v>
      </x:c>
      <x:c r="C9" s="7" t="str">
        <x:v>BLD-A</x:v>
      </x:c>
      <x:c r="D9" s="7" t="str">
        <x:v>MF-03</x:v>
      </x:c>
      <x:c r="E9" s="7" t="str">
        <x:v>surface roughness</x:v>
      </x:c>
      <x:c r="F9" s="7" t="n">
        <x:v>24</x:v>
      </x:c>
      <x:c r="G9" s="7" t="n">
        <x:f>COUNTIFS('Transfer Records'!C7:C1734,C9,'Transfer Records'!D7:D1734,D9,'Transfer Records'!N7:N1734,"PASS")</x:f>
        <x:v>0</x:v>
      </x:c>
      <x:c r="H9" s="11" t="n">
        <x:v>0</x:v>
      </x:c>
      <x:c r="I9" s="11" t="str"/>
      <x:c r="J9" s="7" t="str"/>
      <x:c r="K9" s="7" t="str"/>
      <x:c r="L9" s="7" t="str">
        <x:f>IF(K9="","OPEN",IF(AND(G9=F9,ISNUMBER(H9),ABS(H9)&lt;='Controls'!$D$36,ISNUMBER(I9),I9&lt;='Controls'!$D$37,J9&lt;&gt;""),"PASS","FAIL"))</x:f>
        <x:v>OPEN</x:v>
      </x:c>
    </x:row>
    <x:row r="10">
      <x:c r="B10" s="7" t="str">
        <x:v>TR-A-04</x:v>
      </x:c>
      <x:c r="C10" s="7" t="str">
        <x:v>BLD-A</x:v>
      </x:c>
      <x:c r="D10" s="7" t="str">
        <x:v>MF-04</x:v>
      </x:c>
      <x:c r="E10" s="7" t="str">
        <x:v>contact state</x:v>
      </x:c>
      <x:c r="F10" s="7" t="n">
        <x:v>24</x:v>
      </x:c>
      <x:c r="G10" s="7" t="n">
        <x:f>COUNTIFS('Transfer Records'!C7:C1734,C10,'Transfer Records'!D7:D1734,D10,'Transfer Records'!N7:N1734,"PASS")</x:f>
        <x:v>0</x:v>
      </x:c>
      <x:c r="H10" s="11" t="n">
        <x:v>0</x:v>
      </x:c>
      <x:c r="I10" s="11" t="str"/>
      <x:c r="J10" s="7" t="str"/>
      <x:c r="K10" s="7" t="str"/>
      <x:c r="L10" s="7" t="str">
        <x:f>IF(K10="","OPEN",IF(AND(G10=F10,ISNUMBER(H10),ABS(H10)&lt;='Controls'!$D$36,ISNUMBER(I10),I10&lt;='Controls'!$D$37,J10&lt;&gt;""),"PASS","FAIL"))</x:f>
        <x:v>OPEN</x:v>
      </x:c>
    </x:row>
    <x:row r="11">
      <x:c r="B11" s="7" t="str">
        <x:v>TR-A-05</x:v>
      </x:c>
      <x:c r="C11" s="7" t="str">
        <x:v>BLD-A</x:v>
      </x:c>
      <x:c r="D11" s="7" t="str">
        <x:v>MF-05</x:v>
      </x:c>
      <x:c r="E11" s="7" t="str">
        <x:v>cut and end preparation</x:v>
      </x:c>
      <x:c r="F11" s="7" t="n">
        <x:v>24</x:v>
      </x:c>
      <x:c r="G11" s="7" t="n">
        <x:f>COUNTIFS('Transfer Records'!C7:C1734,C11,'Transfer Records'!D7:D1734,D11,'Transfer Records'!N7:N1734,"PASS")</x:f>
        <x:v>0</x:v>
      </x:c>
      <x:c r="H11" s="11" t="n">
        <x:v>0</x:v>
      </x:c>
      <x:c r="I11" s="11" t="str"/>
      <x:c r="J11" s="7" t="str"/>
      <x:c r="K11" s="7" t="str"/>
      <x:c r="L11" s="7" t="str">
        <x:f>IF(K11="","OPEN",IF(AND(G11=F11,ISNUMBER(H11),ABS(H11)&lt;='Controls'!$D$36,ISNUMBER(I11),I11&lt;='Controls'!$D$37,J11&lt;&gt;""),"PASS","FAIL"))</x:f>
        <x:v>OPEN</x:v>
      </x:c>
    </x:row>
    <x:row r="12">
      <x:c r="B12" s="7" t="str">
        <x:v>TR-A-06</x:v>
      </x:c>
      <x:c r="C12" s="7" t="str">
        <x:v>BLD-A</x:v>
      </x:c>
      <x:c r="D12" s="7" t="str">
        <x:v>MF-06</x:v>
      </x:c>
      <x:c r="E12" s="7" t="str">
        <x:v>orbital weld execution</x:v>
      </x:c>
      <x:c r="F12" s="7" t="n">
        <x:v>24</x:v>
      </x:c>
      <x:c r="G12" s="7" t="n">
        <x:f>COUNTIFS('Transfer Records'!C7:C1734,C12,'Transfer Records'!D7:D1734,D12,'Transfer Records'!N7:N1734,"PASS")</x:f>
        <x:v>0</x:v>
      </x:c>
      <x:c r="H12" s="11" t="n">
        <x:v>0</x:v>
      </x:c>
      <x:c r="I12" s="11" t="str"/>
      <x:c r="J12" s="7" t="str"/>
      <x:c r="K12" s="7" t="str"/>
      <x:c r="L12" s="7" t="str">
        <x:f>IF(K12="","OPEN",IF(AND(G12=F12,ISNUMBER(H12),ABS(H12)&lt;='Controls'!$D$36,ISNUMBER(I12),I12&lt;='Controls'!$D$37,J12&lt;&gt;""),"PASS","FAIL"))</x:f>
        <x:v>OPEN</x:v>
      </x:c>
    </x:row>
    <x:row r="13">
      <x:c r="B13" s="7" t="str">
        <x:v>TR-A-07</x:v>
      </x:c>
      <x:c r="C13" s="7" t="str">
        <x:v>BLD-A</x:v>
      </x:c>
      <x:c r="D13" s="7" t="str">
        <x:v>MF-07</x:v>
      </x:c>
      <x:c r="E13" s="7" t="str">
        <x:v>purge-state control</x:v>
      </x:c>
      <x:c r="F13" s="7" t="n">
        <x:v>24</x:v>
      </x:c>
      <x:c r="G13" s="7" t="n">
        <x:f>COUNTIFS('Transfer Records'!C7:C1734,C13,'Transfer Records'!D7:D1734,D13,'Transfer Records'!N7:N1734,"PASS")</x:f>
        <x:v>0</x:v>
      </x:c>
      <x:c r="H13" s="11" t="n">
        <x:v>0</x:v>
      </x:c>
      <x:c r="I13" s="11" t="str"/>
      <x:c r="J13" s="7" t="str"/>
      <x:c r="K13" s="7" t="str"/>
      <x:c r="L13" s="7" t="str">
        <x:f>IF(K13="","OPEN",IF(AND(G13=F13,ISNUMBER(H13),ABS(H13)&lt;='Controls'!$D$36,ISNUMBER(I13),I13&lt;='Controls'!$D$37,J13&lt;&gt;""),"PASS","FAIL"))</x:f>
        <x:v>OPEN</x:v>
      </x:c>
    </x:row>
    <x:row r="14">
      <x:c r="B14" s="7" t="str">
        <x:v>TR-A-08</x:v>
      </x:c>
      <x:c r="C14" s="7" t="str">
        <x:v>BLD-A</x:v>
      </x:c>
      <x:c r="D14" s="7" t="str">
        <x:v>MF-08</x:v>
      </x:c>
      <x:c r="E14" s="7" t="str">
        <x:v>clamp preload</x:v>
      </x:c>
      <x:c r="F14" s="7" t="n">
        <x:v>24</x:v>
      </x:c>
      <x:c r="G14" s="7" t="n">
        <x:f>COUNTIFS('Transfer Records'!C7:C1734,C14,'Transfer Records'!D7:D1734,D14,'Transfer Records'!N7:N1734,"PASS")</x:f>
        <x:v>0</x:v>
      </x:c>
      <x:c r="H14" s="11" t="n">
        <x:v>0</x:v>
      </x:c>
      <x:c r="I14" s="11" t="str"/>
      <x:c r="J14" s="7" t="str"/>
      <x:c r="K14" s="7" t="str"/>
      <x:c r="L14" s="7" t="str">
        <x:f>IF(K14="","OPEN",IF(AND(G14=F14,ISNUMBER(H14),ABS(H14)&lt;='Controls'!$D$36,ISNUMBER(I14),I14&lt;='Controls'!$D$37,J14&lt;&gt;""),"PASS","FAIL"))</x:f>
        <x:v>OPEN</x:v>
      </x:c>
    </x:row>
    <x:row r="15">
      <x:c r="B15" s="7" t="str">
        <x:v>TR-A-09</x:v>
      </x:c>
      <x:c r="C15" s="7" t="str">
        <x:v>BLD-A</x:v>
      </x:c>
      <x:c r="D15" s="7" t="str">
        <x:v>MF-09</x:v>
      </x:c>
      <x:c r="E15" s="7" t="str">
        <x:v>seal compression</x:v>
      </x:c>
      <x:c r="F15" s="7" t="n">
        <x:v>24</x:v>
      </x:c>
      <x:c r="G15" s="7" t="n">
        <x:f>COUNTIFS('Transfer Records'!C7:C1734,C15,'Transfer Records'!D7:D1734,D15,'Transfer Records'!N7:N1734,"PASS")</x:f>
        <x:v>0</x:v>
      </x:c>
      <x:c r="H15" s="11" t="n">
        <x:v>0</x:v>
      </x:c>
      <x:c r="I15" s="11" t="str"/>
      <x:c r="J15" s="7" t="str"/>
      <x:c r="K15" s="7" t="str"/>
      <x:c r="L15" s="7" t="str">
        <x:f>IF(K15="","OPEN",IF(AND(G15=F15,ISNUMBER(H15),ABS(H15)&lt;='Controls'!$D$36,ISNUMBER(I15),I15&lt;='Controls'!$D$37,J15&lt;&gt;""),"PASS","FAIL"))</x:f>
        <x:v>OPEN</x:v>
      </x:c>
    </x:row>
    <x:row r="16">
      <x:c r="B16" s="7" t="str">
        <x:v>TR-A-10</x:v>
      </x:c>
      <x:c r="C16" s="7" t="str">
        <x:v>BLD-A</x:v>
      </x:c>
      <x:c r="D16" s="7" t="str">
        <x:v>MF-10</x:v>
      </x:c>
      <x:c r="E16" s="7" t="str">
        <x:v>monitored interspace</x:v>
      </x:c>
      <x:c r="F16" s="7" t="n">
        <x:v>24</x:v>
      </x:c>
      <x:c r="G16" s="7" t="n">
        <x:f>COUNTIFS('Transfer Records'!C7:C1734,C16,'Transfer Records'!D7:D1734,D16,'Transfer Records'!N7:N1734,"PASS")</x:f>
        <x:v>0</x:v>
      </x:c>
      <x:c r="H16" s="11" t="n">
        <x:v>0</x:v>
      </x:c>
      <x:c r="I16" s="11" t="str"/>
      <x:c r="J16" s="7" t="str"/>
      <x:c r="K16" s="7" t="str"/>
      <x:c r="L16" s="7" t="str">
        <x:f>IF(K16="","OPEN",IF(AND(G16=F16,ISNUMBER(H16),ABS(H16)&lt;='Controls'!$D$36,ISNUMBER(I16),I16&lt;='Controls'!$D$37,J16&lt;&gt;""),"PASS","FAIL"))</x:f>
        <x:v>OPEN</x:v>
      </x:c>
    </x:row>
    <x:row r="17">
      <x:c r="B17" s="7" t="str">
        <x:v>TR-A-11</x:v>
      </x:c>
      <x:c r="C17" s="7" t="str">
        <x:v>BLD-A</x:v>
      </x:c>
      <x:c r="D17" s="7" t="str">
        <x:v>MF-11</x:v>
      </x:c>
      <x:c r="E17" s="7" t="str">
        <x:v>liquid proof</x:v>
      </x:c>
      <x:c r="F17" s="7" t="n">
        <x:v>24</x:v>
      </x:c>
      <x:c r="G17" s="7" t="n">
        <x:f>COUNTIFS('Transfer Records'!C7:C1734,C17,'Transfer Records'!D7:D1734,D17,'Transfer Records'!N7:N1734,"PASS")</x:f>
        <x:v>0</x:v>
      </x:c>
      <x:c r="H17" s="11" t="n">
        <x:v>0</x:v>
      </x:c>
      <x:c r="I17" s="11" t="str"/>
      <x:c r="J17" s="7" t="str"/>
      <x:c r="K17" s="7" t="str"/>
      <x:c r="L17" s="7" t="str">
        <x:f>IF(K17="","OPEN",IF(AND(G17=F17,ISNUMBER(H17),ABS(H17)&lt;='Controls'!$D$36,ISNUMBER(I17),I17&lt;='Controls'!$D$37,J17&lt;&gt;""),"PASS","FAIL"))</x:f>
        <x:v>OPEN</x:v>
      </x:c>
    </x:row>
    <x:row r="18">
      <x:c r="B18" s="7" t="str">
        <x:v>TR-A-12</x:v>
      </x:c>
      <x:c r="C18" s="7" t="str">
        <x:v>BLD-A</x:v>
      </x:c>
      <x:c r="D18" s="7" t="str">
        <x:v>MF-12</x:v>
      </x:c>
      <x:c r="E18" s="7" t="str">
        <x:v>gravimetric leak</x:v>
      </x:c>
      <x:c r="F18" s="7" t="n">
        <x:v>24</x:v>
      </x:c>
      <x:c r="G18" s="7" t="n">
        <x:f>COUNTIFS('Transfer Records'!C7:C1734,C18,'Transfer Records'!D7:D1734,D18,'Transfer Records'!N7:N1734,"PASS")</x:f>
        <x:v>0</x:v>
      </x:c>
      <x:c r="H18" s="11" t="n">
        <x:v>0</x:v>
      </x:c>
      <x:c r="I18" s="11" t="str"/>
      <x:c r="J18" s="7" t="str"/>
      <x:c r="K18" s="7" t="str"/>
      <x:c r="L18" s="7" t="str">
        <x:f>IF(K18="","OPEN",IF(AND(G18=F18,ISNUMBER(H18),ABS(H18)&lt;='Controls'!$D$36,ISNUMBER(I18),I18&lt;='Controls'!$D$37,J18&lt;&gt;""),"PASS","FAIL"))</x:f>
        <x:v>OPEN</x:v>
      </x:c>
    </x:row>
    <x:row r="19">
      <x:c r="B19" s="7" t="str">
        <x:v>TR-A-13</x:v>
      </x:c>
      <x:c r="C19" s="7" t="str">
        <x:v>BLD-A</x:v>
      </x:c>
      <x:c r="D19" s="7" t="str">
        <x:v>MF-13</x:v>
      </x:c>
      <x:c r="E19" s="7" t="str">
        <x:v>full-line thermal</x:v>
      </x:c>
      <x:c r="F19" s="7" t="n">
        <x:v>24</x:v>
      </x:c>
      <x:c r="G19" s="7" t="n">
        <x:f>COUNTIFS('Transfer Records'!C7:C1734,C19,'Transfer Records'!D7:D1734,D19,'Transfer Records'!N7:N1734,"PASS")</x:f>
        <x:v>0</x:v>
      </x:c>
      <x:c r="H19" s="11" t="n">
        <x:v>0</x:v>
      </x:c>
      <x:c r="I19" s="11" t="str"/>
      <x:c r="J19" s="7" t="str"/>
      <x:c r="K19" s="7" t="str"/>
      <x:c r="L19" s="7" t="str">
        <x:f>IF(K19="","OPEN",IF(AND(G19=F19,ISNUMBER(H19),ABS(H19)&lt;='Controls'!$D$36,ISNUMBER(I19),I19&lt;='Controls'!$D$37,J19&lt;&gt;""),"PASS","FAIL"))</x:f>
        <x:v>OPEN</x:v>
      </x:c>
    </x:row>
    <x:row r="20">
      <x:c r="B20" s="7" t="str">
        <x:v>TR-A-14</x:v>
      </x:c>
      <x:c r="C20" s="7" t="str">
        <x:v>BLD-A</x:v>
      </x:c>
      <x:c r="D20" s="7" t="str">
        <x:v>MF-14</x:v>
      </x:c>
      <x:c r="E20" s="7" t="str">
        <x:v>cyclic hydraulic</x:v>
      </x:c>
      <x:c r="F20" s="7" t="n">
        <x:v>24</x:v>
      </x:c>
      <x:c r="G20" s="7" t="n">
        <x:f>COUNTIFS('Transfer Records'!C7:C1734,C20,'Transfer Records'!D7:D1734,D20,'Transfer Records'!N7:N1734,"PASS")</x:f>
        <x:v>0</x:v>
      </x:c>
      <x:c r="H20" s="11" t="n">
        <x:v>0</x:v>
      </x:c>
      <x:c r="I20" s="11" t="str"/>
      <x:c r="J20" s="7" t="str"/>
      <x:c r="K20" s="7" t="str"/>
      <x:c r="L20" s="7" t="str">
        <x:f>IF(K20="","OPEN",IF(AND(G20=F20,ISNUMBER(H20),ABS(H20)&lt;='Controls'!$D$36,ISNUMBER(I20),I20&lt;='Controls'!$D$37,J20&lt;&gt;""),"PASS","FAIL"))</x:f>
        <x:v>OPEN</x:v>
      </x:c>
    </x:row>
    <x:row r="21">
      <x:c r="B21" s="7" t="str">
        <x:v>TR-A-15</x:v>
      </x:c>
      <x:c r="C21" s="7" t="str">
        <x:v>BLD-A</x:v>
      </x:c>
      <x:c r="D21" s="7" t="str">
        <x:v>MF-15</x:v>
      </x:c>
      <x:c r="E21" s="7" t="str">
        <x:v>drain and recovery</x:v>
      </x:c>
      <x:c r="F21" s="7" t="n">
        <x:v>24</x:v>
      </x:c>
      <x:c r="G21" s="7" t="n">
        <x:f>COUNTIFS('Transfer Records'!C7:C1734,C21,'Transfer Records'!D7:D1734,D21,'Transfer Records'!N7:N1734,"PASS")</x:f>
        <x:v>0</x:v>
      </x:c>
      <x:c r="H21" s="11" t="n">
        <x:v>0</x:v>
      </x:c>
      <x:c r="I21" s="11" t="str"/>
      <x:c r="J21" s="7" t="str"/>
      <x:c r="K21" s="7" t="str"/>
      <x:c r="L21" s="7" t="str">
        <x:f>IF(K21="","OPEN",IF(AND(G21=F21,ISNUMBER(H21),ABS(H21)&lt;='Controls'!$D$36,ISNUMBER(I21),I21&lt;='Controls'!$D$37,J21&lt;&gt;""),"PASS","FAIL"))</x:f>
        <x:v>OPEN</x:v>
      </x:c>
    </x:row>
    <x:row r="22">
      <x:c r="B22" s="7" t="str">
        <x:v>TR-A-16</x:v>
      </x:c>
      <x:c r="C22" s="7" t="str">
        <x:v>BLD-A</x:v>
      </x:c>
      <x:c r="D22" s="7" t="str">
        <x:v>MF-16</x:v>
      </x:c>
      <x:c r="E22" s="7" t="str">
        <x:v>spring work</x:v>
      </x:c>
      <x:c r="F22" s="7" t="n">
        <x:v>24</x:v>
      </x:c>
      <x:c r="G22" s="7" t="n">
        <x:f>COUNTIFS('Transfer Records'!C7:C1734,C22,'Transfer Records'!D7:D1734,D22,'Transfer Records'!N7:N1734,"PASS")</x:f>
        <x:v>0</x:v>
      </x:c>
      <x:c r="H22" s="11" t="n">
        <x:v>0</x:v>
      </x:c>
      <x:c r="I22" s="11" t="str"/>
      <x:c r="J22" s="7" t="str"/>
      <x:c r="K22" s="7" t="str"/>
      <x:c r="L22" s="7" t="str">
        <x:f>IF(K22="","OPEN",IF(AND(G22=F22,ISNUMBER(H22),ABS(H22)&lt;='Controls'!$D$36,ISNUMBER(I22),I22&lt;='Controls'!$D$37,J22&lt;&gt;""),"PASS","FAIL"))</x:f>
        <x:v>OPEN</x:v>
      </x:c>
    </x:row>
    <x:row r="23">
      <x:c r="B23" s="7" t="str">
        <x:v>TR-A-17</x:v>
      </x:c>
      <x:c r="C23" s="7" t="str">
        <x:v>BLD-A</x:v>
      </x:c>
      <x:c r="D23" s="7" t="str">
        <x:v>MF-17</x:v>
      </x:c>
      <x:c r="E23" s="7" t="str">
        <x:v>stored electrical energy</x:v>
      </x:c>
      <x:c r="F23" s="7" t="n">
        <x:v>24</x:v>
      </x:c>
      <x:c r="G23" s="7" t="n">
        <x:f>COUNTIFS('Transfer Records'!C7:C1734,C23,'Transfer Records'!D7:D1734,D23,'Transfer Records'!N7:N1734,"PASS")</x:f>
        <x:v>0</x:v>
      </x:c>
      <x:c r="H23" s="11" t="n">
        <x:v>0</x:v>
      </x:c>
      <x:c r="I23" s="11" t="str"/>
      <x:c r="J23" s="7" t="str"/>
      <x:c r="K23" s="7" t="str"/>
      <x:c r="L23" s="7" t="str">
        <x:f>IF(K23="","OPEN",IF(AND(G23=F23,ISNUMBER(H23),ABS(H23)&lt;='Controls'!$D$36,ISNUMBER(I23),I23&lt;='Controls'!$D$37,J23&lt;&gt;""),"PASS","FAIL"))</x:f>
        <x:v>OPEN</x:v>
      </x:c>
    </x:row>
    <x:row r="24">
      <x:c r="B24" s="7" t="str">
        <x:v>TR-A-18</x:v>
      </x:c>
      <x:c r="C24" s="7" t="str">
        <x:v>BLD-A</x:v>
      </x:c>
      <x:c r="D24" s="7" t="str">
        <x:v>MF-18</x:v>
      </x:c>
      <x:c r="E24" s="7" t="str">
        <x:v>safeing final state</x:v>
      </x:c>
      <x:c r="F24" s="7" t="n">
        <x:v>24</x:v>
      </x:c>
      <x:c r="G24" s="7" t="n">
        <x:f>COUNTIFS('Transfer Records'!C7:C1734,C24,'Transfer Records'!D7:D1734,D24,'Transfer Records'!N7:N1734,"PASS")</x:f>
        <x:v>0</x:v>
      </x:c>
      <x:c r="H24" s="11" t="n">
        <x:v>0</x:v>
      </x:c>
      <x:c r="I24" s="11" t="str"/>
      <x:c r="J24" s="7" t="str"/>
      <x:c r="K24" s="7" t="str"/>
      <x:c r="L24" s="7" t="str">
        <x:f>IF(K24="","OPEN",IF(AND(G24=F24,ISNUMBER(H24),ABS(H24)&lt;='Controls'!$D$36,ISNUMBER(I24),I24&lt;='Controls'!$D$37,J24&lt;&gt;""),"PASS","FAIL"))</x:f>
        <x:v>OPEN</x:v>
      </x:c>
    </x:row>
    <x:row r="25">
      <x:c r="B25" s="7" t="str">
        <x:v>TR-A-19</x:v>
      </x:c>
      <x:c r="C25" s="7" t="str">
        <x:v>BLD-A</x:v>
      </x:c>
      <x:c r="D25" s="7" t="str">
        <x:v>MF-19</x:v>
      </x:c>
      <x:c r="E25" s="7" t="str">
        <x:v>instrument mount</x:v>
      </x:c>
      <x:c r="F25" s="7" t="n">
        <x:v>24</x:v>
      </x:c>
      <x:c r="G25" s="7" t="n">
        <x:f>COUNTIFS('Transfer Records'!C7:C1734,C25,'Transfer Records'!D7:D1734,D25,'Transfer Records'!N7:N1734,"PASS")</x:f>
        <x:v>0</x:v>
      </x:c>
      <x:c r="H25" s="11" t="n">
        <x:v>0</x:v>
      </x:c>
      <x:c r="I25" s="11" t="str"/>
      <x:c r="J25" s="7" t="str"/>
      <x:c r="K25" s="7" t="str"/>
      <x:c r="L25" s="7" t="str">
        <x:f>IF(K25="","OPEN",IF(AND(G25=F25,ISNUMBER(H25),ABS(H25)&lt;='Controls'!$D$36,ISNUMBER(I25),I25&lt;='Controls'!$D$37,J25&lt;&gt;""),"PASS","FAIL"))</x:f>
        <x:v>OPEN</x:v>
      </x:c>
    </x:row>
    <x:row r="26">
      <x:c r="B26" s="7" t="str">
        <x:v>TR-A-20</x:v>
      </x:c>
      <x:c r="C26" s="7" t="str">
        <x:v>BLD-A</x:v>
      </x:c>
      <x:c r="D26" s="7" t="str">
        <x:v>MF-20</x:v>
      </x:c>
      <x:c r="E26" s="7" t="str">
        <x:v>calibration bench</x:v>
      </x:c>
      <x:c r="F26" s="7" t="n">
        <x:v>24</x:v>
      </x:c>
      <x:c r="G26" s="7" t="n">
        <x:f>COUNTIFS('Transfer Records'!C7:C1734,C26,'Transfer Records'!D7:D1734,D26,'Transfer Records'!N7:N1734,"PASS")</x:f>
        <x:v>0</x:v>
      </x:c>
      <x:c r="H26" s="11" t="n">
        <x:v>0</x:v>
      </x:c>
      <x:c r="I26" s="11" t="str"/>
      <x:c r="J26" s="7" t="str"/>
      <x:c r="K26" s="7" t="str"/>
      <x:c r="L26" s="7" t="str">
        <x:f>IF(K26="","OPEN",IF(AND(G26=F26,ISNUMBER(H26),ABS(H26)&lt;='Controls'!$D$36,ISNUMBER(I26),I26&lt;='Controls'!$D$37,J26&lt;&gt;""),"PASS","FAIL"))</x:f>
        <x:v>OPEN</x:v>
      </x:c>
    </x:row>
    <x:row r="27">
      <x:c r="B27" s="7" t="str">
        <x:v>TR-A-21</x:v>
      </x:c>
      <x:c r="C27" s="7" t="str">
        <x:v>BLD-A</x:v>
      </x:c>
      <x:c r="D27" s="7" t="str">
        <x:v>MF-21</x:v>
      </x:c>
      <x:c r="E27" s="7" t="str">
        <x:v>causal-time transfer</x:v>
      </x:c>
      <x:c r="F27" s="7" t="n">
        <x:v>24</x:v>
      </x:c>
      <x:c r="G27" s="7" t="n">
        <x:f>COUNTIFS('Transfer Records'!C7:C1734,C27,'Transfer Records'!D7:D1734,D27,'Transfer Records'!N7:N1734,"PASS")</x:f>
        <x:v>0</x:v>
      </x:c>
      <x:c r="H27" s="11" t="n">
        <x:v>0</x:v>
      </x:c>
      <x:c r="I27" s="11" t="str"/>
      <x:c r="J27" s="7" t="str"/>
      <x:c r="K27" s="7" t="str"/>
      <x:c r="L27" s="7" t="str">
        <x:f>IF(K27="","OPEN",IF(AND(G27=F27,ISNUMBER(H27),ABS(H27)&lt;='Controls'!$D$36,ISNUMBER(I27),I27&lt;='Controls'!$D$37,J27&lt;&gt;""),"PASS","FAIL"))</x:f>
        <x:v>OPEN</x:v>
      </x:c>
    </x:row>
    <x:row r="28">
      <x:c r="B28" s="7" t="str">
        <x:v>TR-A-22</x:v>
      </x:c>
      <x:c r="C28" s="7" t="str">
        <x:v>BLD-A</x:v>
      </x:c>
      <x:c r="D28" s="7" t="str">
        <x:v>MF-22</x:v>
      </x:c>
      <x:c r="E28" s="7" t="str">
        <x:v>evidence sealing</x:v>
      </x:c>
      <x:c r="F28" s="7" t="n">
        <x:v>24</x:v>
      </x:c>
      <x:c r="G28" s="7" t="n">
        <x:f>COUNTIFS('Transfer Records'!C7:C1734,C28,'Transfer Records'!D7:D1734,D28,'Transfer Records'!N7:N1734,"PASS")</x:f>
        <x:v>0</x:v>
      </x:c>
      <x:c r="H28" s="11" t="n">
        <x:v>0</x:v>
      </x:c>
      <x:c r="I28" s="11" t="str"/>
      <x:c r="J28" s="7" t="str"/>
      <x:c r="K28" s="7" t="str"/>
      <x:c r="L28" s="7" t="str">
        <x:f>IF(K28="","OPEN",IF(AND(G28=F28,ISNUMBER(H28),ABS(H28)&lt;='Controls'!$D$36,ISNUMBER(I28),I28&lt;='Controls'!$D$37,J28&lt;&gt;""),"PASS","FAIL"))</x:f>
        <x:v>OPEN</x:v>
      </x:c>
    </x:row>
    <x:row r="29">
      <x:c r="B29" s="7" t="str">
        <x:v>TR-A-23</x:v>
      </x:c>
      <x:c r="C29" s="7" t="str">
        <x:v>BLD-A</x:v>
      </x:c>
      <x:c r="D29" s="7" t="str">
        <x:v>MF-23</x:v>
      </x:c>
      <x:c r="E29" s="7" t="str">
        <x:v>handling and lift</x:v>
      </x:c>
      <x:c r="F29" s="7" t="n">
        <x:v>24</x:v>
      </x:c>
      <x:c r="G29" s="7" t="n">
        <x:f>COUNTIFS('Transfer Records'!C7:C1734,C29,'Transfer Records'!D7:D1734,D29,'Transfer Records'!N7:N1734,"PASS")</x:f>
        <x:v>0</x:v>
      </x:c>
      <x:c r="H29" s="11" t="n">
        <x:v>0</x:v>
      </x:c>
      <x:c r="I29" s="11" t="str"/>
      <x:c r="J29" s="7" t="str"/>
      <x:c r="K29" s="7" t="str"/>
      <x:c r="L29" s="7" t="str">
        <x:f>IF(K29="","OPEN",IF(AND(G29=F29,ISNUMBER(H29),ABS(H29)&lt;='Controls'!$D$36,ISNUMBER(I29),I29&lt;='Controls'!$D$37,J29&lt;&gt;""),"PASS","FAIL"))</x:f>
        <x:v>OPEN</x:v>
      </x:c>
    </x:row>
    <x:row r="30">
      <x:c r="B30" s="7" t="str">
        <x:v>TR-A-24</x:v>
      </x:c>
      <x:c r="C30" s="7" t="str">
        <x:v>BLD-A</x:v>
      </x:c>
      <x:c r="D30" s="7" t="str">
        <x:v>MF-24</x:v>
      </x:c>
      <x:c r="E30" s="7" t="str">
        <x:v>quarantine and sectioning</x:v>
      </x:c>
      <x:c r="F30" s="7" t="n">
        <x:v>24</x:v>
      </x:c>
      <x:c r="G30" s="7" t="n">
        <x:f>COUNTIFS('Transfer Records'!C7:C1734,C30,'Transfer Records'!D7:D1734,D30,'Transfer Records'!N7:N1734,"PASS")</x:f>
        <x:v>0</x:v>
      </x:c>
      <x:c r="H30" s="11" t="n">
        <x:v>0</x:v>
      </x:c>
      <x:c r="I30" s="11" t="str"/>
      <x:c r="J30" s="7" t="str"/>
      <x:c r="K30" s="7" t="str"/>
      <x:c r="L30" s="7" t="str">
        <x:f>IF(K30="","OPEN",IF(AND(G30=F30,ISNUMBER(H30),ABS(H30)&lt;='Controls'!$D$36,ISNUMBER(I30),I30&lt;='Controls'!$D$37,J30&lt;&gt;""),"PASS","FAIL"))</x:f>
        <x:v>OPEN</x:v>
      </x:c>
    </x:row>
    <x:row r="31">
      <x:c r="B31" s="7" t="str">
        <x:v>TR-B-01</x:v>
      </x:c>
      <x:c r="C31" s="7" t="str">
        <x:v>BLD-B</x:v>
      </x:c>
      <x:c r="D31" s="7" t="str">
        <x:v>MF-01</x:v>
      </x:c>
      <x:c r="E31" s="7" t="str">
        <x:v>public datum survey</x:v>
      </x:c>
      <x:c r="F31" s="7" t="n">
        <x:v>24</x:v>
      </x:c>
      <x:c r="G31" s="7" t="n">
        <x:f>COUNTIFS('Transfer Records'!C7:C1734,C31,'Transfer Records'!D7:D1734,D31,'Transfer Records'!N7:N1734,"PASS")</x:f>
        <x:v>0</x:v>
      </x:c>
      <x:c r="H31" s="11" t="n">
        <x:v>0</x:v>
      </x:c>
      <x:c r="I31" s="11" t="str"/>
      <x:c r="J31" s="7" t="str"/>
      <x:c r="K31" s="7" t="str"/>
      <x:c r="L31" s="7" t="str">
        <x:f>IF(K31="","OPEN",IF(AND(G31=F31,ISNUMBER(H31),ABS(H31)&lt;='Controls'!$D$36,ISNUMBER(I31),I31&lt;='Controls'!$D$37,J31&lt;&gt;""),"PASS","FAIL"))</x:f>
        <x:v>OPEN</x:v>
      </x:c>
    </x:row>
    <x:row r="32">
      <x:c r="B32" s="7" t="str">
        <x:v>TR-B-02</x:v>
      </x:c>
      <x:c r="C32" s="7" t="str">
        <x:v>BLD-B</x:v>
      </x:c>
      <x:c r="D32" s="7" t="str">
        <x:v>MF-02</x:v>
      </x:c>
      <x:c r="E32" s="7" t="str">
        <x:v>autonomous bore mapping</x:v>
      </x:c>
      <x:c r="F32" s="7" t="n">
        <x:v>24</x:v>
      </x:c>
      <x:c r="G32" s="7" t="n">
        <x:f>COUNTIFS('Transfer Records'!C7:C1734,C32,'Transfer Records'!D7:D1734,D32,'Transfer Records'!N7:N1734,"PASS")</x:f>
        <x:v>0</x:v>
      </x:c>
      <x:c r="H32" s="11" t="n">
        <x:v>0</x:v>
      </x:c>
      <x:c r="I32" s="11" t="str"/>
      <x:c r="J32" s="7" t="str"/>
      <x:c r="K32" s="7" t="str"/>
      <x:c r="L32" s="7" t="str">
        <x:f>IF(K32="","OPEN",IF(AND(G32=F32,ISNUMBER(H32),ABS(H32)&lt;='Controls'!$D$36,ISNUMBER(I32),I32&lt;='Controls'!$D$37,J32&lt;&gt;""),"PASS","FAIL"))</x:f>
        <x:v>OPEN</x:v>
      </x:c>
    </x:row>
    <x:row r="33">
      <x:c r="B33" s="7" t="str">
        <x:v>TR-B-03</x:v>
      </x:c>
      <x:c r="C33" s="7" t="str">
        <x:v>BLD-B</x:v>
      </x:c>
      <x:c r="D33" s="7" t="str">
        <x:v>MF-03</x:v>
      </x:c>
      <x:c r="E33" s="7" t="str">
        <x:v>surface roughness</x:v>
      </x:c>
      <x:c r="F33" s="7" t="n">
        <x:v>24</x:v>
      </x:c>
      <x:c r="G33" s="7" t="n">
        <x:f>COUNTIFS('Transfer Records'!C7:C1734,C33,'Transfer Records'!D7:D1734,D33,'Transfer Records'!N7:N1734,"PASS")</x:f>
        <x:v>0</x:v>
      </x:c>
      <x:c r="H33" s="11" t="n">
        <x:v>0</x:v>
      </x:c>
      <x:c r="I33" s="11" t="str"/>
      <x:c r="J33" s="7" t="str"/>
      <x:c r="K33" s="7" t="str"/>
      <x:c r="L33" s="7" t="str">
        <x:f>IF(K33="","OPEN",IF(AND(G33=F33,ISNUMBER(H33),ABS(H33)&lt;='Controls'!$D$36,ISNUMBER(I33),I33&lt;='Controls'!$D$37,J33&lt;&gt;""),"PASS","FAIL"))</x:f>
        <x:v>OPEN</x:v>
      </x:c>
    </x:row>
    <x:row r="34">
      <x:c r="B34" s="7" t="str">
        <x:v>TR-B-04</x:v>
      </x:c>
      <x:c r="C34" s="7" t="str">
        <x:v>BLD-B</x:v>
      </x:c>
      <x:c r="D34" s="7" t="str">
        <x:v>MF-04</x:v>
      </x:c>
      <x:c r="E34" s="7" t="str">
        <x:v>contact state</x:v>
      </x:c>
      <x:c r="F34" s="7" t="n">
        <x:v>24</x:v>
      </x:c>
      <x:c r="G34" s="7" t="n">
        <x:f>COUNTIFS('Transfer Records'!C7:C1734,C34,'Transfer Records'!D7:D1734,D34,'Transfer Records'!N7:N1734,"PASS")</x:f>
        <x:v>0</x:v>
      </x:c>
      <x:c r="H34" s="11" t="n">
        <x:v>0</x:v>
      </x:c>
      <x:c r="I34" s="11" t="str"/>
      <x:c r="J34" s="7" t="str"/>
      <x:c r="K34" s="7" t="str"/>
      <x:c r="L34" s="7" t="str">
        <x:f>IF(K34="","OPEN",IF(AND(G34=F34,ISNUMBER(H34),ABS(H34)&lt;='Controls'!$D$36,ISNUMBER(I34),I34&lt;='Controls'!$D$37,J34&lt;&gt;""),"PASS","FAIL"))</x:f>
        <x:v>OPEN</x:v>
      </x:c>
    </x:row>
    <x:row r="35">
      <x:c r="B35" s="7" t="str">
        <x:v>TR-B-05</x:v>
      </x:c>
      <x:c r="C35" s="7" t="str">
        <x:v>BLD-B</x:v>
      </x:c>
      <x:c r="D35" s="7" t="str">
        <x:v>MF-05</x:v>
      </x:c>
      <x:c r="E35" s="7" t="str">
        <x:v>cut and end preparation</x:v>
      </x:c>
      <x:c r="F35" s="7" t="n">
        <x:v>24</x:v>
      </x:c>
      <x:c r="G35" s="7" t="n">
        <x:f>COUNTIFS('Transfer Records'!C7:C1734,C35,'Transfer Records'!D7:D1734,D35,'Transfer Records'!N7:N1734,"PASS")</x:f>
        <x:v>0</x:v>
      </x:c>
      <x:c r="H35" s="11" t="n">
        <x:v>0</x:v>
      </x:c>
      <x:c r="I35" s="11" t="str"/>
      <x:c r="J35" s="7" t="str"/>
      <x:c r="K35" s="7" t="str"/>
      <x:c r="L35" s="7" t="str">
        <x:f>IF(K35="","OPEN",IF(AND(G35=F35,ISNUMBER(H35),ABS(H35)&lt;='Controls'!$D$36,ISNUMBER(I35),I35&lt;='Controls'!$D$37,J35&lt;&gt;""),"PASS","FAIL"))</x:f>
        <x:v>OPEN</x:v>
      </x:c>
    </x:row>
    <x:row r="36">
      <x:c r="B36" s="7" t="str">
        <x:v>TR-B-06</x:v>
      </x:c>
      <x:c r="C36" s="7" t="str">
        <x:v>BLD-B</x:v>
      </x:c>
      <x:c r="D36" s="7" t="str">
        <x:v>MF-06</x:v>
      </x:c>
      <x:c r="E36" s="7" t="str">
        <x:v>orbital weld execution</x:v>
      </x:c>
      <x:c r="F36" s="7" t="n">
        <x:v>24</x:v>
      </x:c>
      <x:c r="G36" s="7" t="n">
        <x:f>COUNTIFS('Transfer Records'!C7:C1734,C36,'Transfer Records'!D7:D1734,D36,'Transfer Records'!N7:N1734,"PASS")</x:f>
        <x:v>0</x:v>
      </x:c>
      <x:c r="H36" s="11" t="n">
        <x:v>0</x:v>
      </x:c>
      <x:c r="I36" s="11" t="str"/>
      <x:c r="J36" s="7" t="str"/>
      <x:c r="K36" s="7" t="str"/>
      <x:c r="L36" s="7" t="str">
        <x:f>IF(K36="","OPEN",IF(AND(G36=F36,ISNUMBER(H36),ABS(H36)&lt;='Controls'!$D$36,ISNUMBER(I36),I36&lt;='Controls'!$D$37,J36&lt;&gt;""),"PASS","FAIL"))</x:f>
        <x:v>OPEN</x:v>
      </x:c>
    </x:row>
    <x:row r="37">
      <x:c r="B37" s="7" t="str">
        <x:v>TR-B-07</x:v>
      </x:c>
      <x:c r="C37" s="7" t="str">
        <x:v>BLD-B</x:v>
      </x:c>
      <x:c r="D37" s="7" t="str">
        <x:v>MF-07</x:v>
      </x:c>
      <x:c r="E37" s="7" t="str">
        <x:v>purge-state control</x:v>
      </x:c>
      <x:c r="F37" s="7" t="n">
        <x:v>24</x:v>
      </x:c>
      <x:c r="G37" s="7" t="n">
        <x:f>COUNTIFS('Transfer Records'!C7:C1734,C37,'Transfer Records'!D7:D1734,D37,'Transfer Records'!N7:N1734,"PASS")</x:f>
        <x:v>0</x:v>
      </x:c>
      <x:c r="H37" s="11" t="n">
        <x:v>0</x:v>
      </x:c>
      <x:c r="I37" s="11" t="str"/>
      <x:c r="J37" s="7" t="str"/>
      <x:c r="K37" s="7" t="str"/>
      <x:c r="L37" s="7" t="str">
        <x:f>IF(K37="","OPEN",IF(AND(G37=F37,ISNUMBER(H37),ABS(H37)&lt;='Controls'!$D$36,ISNUMBER(I37),I37&lt;='Controls'!$D$37,J37&lt;&gt;""),"PASS","FAIL"))</x:f>
        <x:v>OPEN</x:v>
      </x:c>
    </x:row>
    <x:row r="38">
      <x:c r="B38" s="7" t="str">
        <x:v>TR-B-08</x:v>
      </x:c>
      <x:c r="C38" s="7" t="str">
        <x:v>BLD-B</x:v>
      </x:c>
      <x:c r="D38" s="7" t="str">
        <x:v>MF-08</x:v>
      </x:c>
      <x:c r="E38" s="7" t="str">
        <x:v>clamp preload</x:v>
      </x:c>
      <x:c r="F38" s="7" t="n">
        <x:v>24</x:v>
      </x:c>
      <x:c r="G38" s="7" t="n">
        <x:f>COUNTIFS('Transfer Records'!C7:C1734,C38,'Transfer Records'!D7:D1734,D38,'Transfer Records'!N7:N1734,"PASS")</x:f>
        <x:v>0</x:v>
      </x:c>
      <x:c r="H38" s="11" t="n">
        <x:v>0</x:v>
      </x:c>
      <x:c r="I38" s="11" t="str"/>
      <x:c r="J38" s="7" t="str"/>
      <x:c r="K38" s="7" t="str"/>
      <x:c r="L38" s="7" t="str">
        <x:f>IF(K38="","OPEN",IF(AND(G38=F38,ISNUMBER(H38),ABS(H38)&lt;='Controls'!$D$36,ISNUMBER(I38),I38&lt;='Controls'!$D$37,J38&lt;&gt;""),"PASS","FAIL"))</x:f>
        <x:v>OPEN</x:v>
      </x:c>
    </x:row>
    <x:row r="39">
      <x:c r="B39" s="7" t="str">
        <x:v>TR-B-09</x:v>
      </x:c>
      <x:c r="C39" s="7" t="str">
        <x:v>BLD-B</x:v>
      </x:c>
      <x:c r="D39" s="7" t="str">
        <x:v>MF-09</x:v>
      </x:c>
      <x:c r="E39" s="7" t="str">
        <x:v>seal compression</x:v>
      </x:c>
      <x:c r="F39" s="7" t="n">
        <x:v>24</x:v>
      </x:c>
      <x:c r="G39" s="7" t="n">
        <x:f>COUNTIFS('Transfer Records'!C7:C1734,C39,'Transfer Records'!D7:D1734,D39,'Transfer Records'!N7:N1734,"PASS")</x:f>
        <x:v>0</x:v>
      </x:c>
      <x:c r="H39" s="11" t="n">
        <x:v>0</x:v>
      </x:c>
      <x:c r="I39" s="11" t="str"/>
      <x:c r="J39" s="7" t="str"/>
      <x:c r="K39" s="7" t="str"/>
      <x:c r="L39" s="7" t="str">
        <x:f>IF(K39="","OPEN",IF(AND(G39=F39,ISNUMBER(H39),ABS(H39)&lt;='Controls'!$D$36,ISNUMBER(I39),I39&lt;='Controls'!$D$37,J39&lt;&gt;""),"PASS","FAIL"))</x:f>
        <x:v>OPEN</x:v>
      </x:c>
    </x:row>
    <x:row r="40">
      <x:c r="B40" s="7" t="str">
        <x:v>TR-B-10</x:v>
      </x:c>
      <x:c r="C40" s="7" t="str">
        <x:v>BLD-B</x:v>
      </x:c>
      <x:c r="D40" s="7" t="str">
        <x:v>MF-10</x:v>
      </x:c>
      <x:c r="E40" s="7" t="str">
        <x:v>monitored interspace</x:v>
      </x:c>
      <x:c r="F40" s="7" t="n">
        <x:v>24</x:v>
      </x:c>
      <x:c r="G40" s="7" t="n">
        <x:f>COUNTIFS('Transfer Records'!C7:C1734,C40,'Transfer Records'!D7:D1734,D40,'Transfer Records'!N7:N1734,"PASS")</x:f>
        <x:v>0</x:v>
      </x:c>
      <x:c r="H40" s="11" t="n">
        <x:v>0</x:v>
      </x:c>
      <x:c r="I40" s="11" t="str"/>
      <x:c r="J40" s="7" t="str"/>
      <x:c r="K40" s="7" t="str"/>
      <x:c r="L40" s="7" t="str">
        <x:f>IF(K40="","OPEN",IF(AND(G40=F40,ISNUMBER(H40),ABS(H40)&lt;='Controls'!$D$36,ISNUMBER(I40),I40&lt;='Controls'!$D$37,J40&lt;&gt;""),"PASS","FAIL"))</x:f>
        <x:v>OPEN</x:v>
      </x:c>
    </x:row>
    <x:row r="41">
      <x:c r="B41" s="7" t="str">
        <x:v>TR-B-11</x:v>
      </x:c>
      <x:c r="C41" s="7" t="str">
        <x:v>BLD-B</x:v>
      </x:c>
      <x:c r="D41" s="7" t="str">
        <x:v>MF-11</x:v>
      </x:c>
      <x:c r="E41" s="7" t="str">
        <x:v>liquid proof</x:v>
      </x:c>
      <x:c r="F41" s="7" t="n">
        <x:v>24</x:v>
      </x:c>
      <x:c r="G41" s="7" t="n">
        <x:f>COUNTIFS('Transfer Records'!C7:C1734,C41,'Transfer Records'!D7:D1734,D41,'Transfer Records'!N7:N1734,"PASS")</x:f>
        <x:v>0</x:v>
      </x:c>
      <x:c r="H41" s="11" t="n">
        <x:v>0</x:v>
      </x:c>
      <x:c r="I41" s="11" t="str"/>
      <x:c r="J41" s="7" t="str"/>
      <x:c r="K41" s="7" t="str"/>
      <x:c r="L41" s="7" t="str">
        <x:f>IF(K41="","OPEN",IF(AND(G41=F41,ISNUMBER(H41),ABS(H41)&lt;='Controls'!$D$36,ISNUMBER(I41),I41&lt;='Controls'!$D$37,J41&lt;&gt;""),"PASS","FAIL"))</x:f>
        <x:v>OPEN</x:v>
      </x:c>
    </x:row>
    <x:row r="42">
      <x:c r="B42" s="7" t="str">
        <x:v>TR-B-12</x:v>
      </x:c>
      <x:c r="C42" s="7" t="str">
        <x:v>BLD-B</x:v>
      </x:c>
      <x:c r="D42" s="7" t="str">
        <x:v>MF-12</x:v>
      </x:c>
      <x:c r="E42" s="7" t="str">
        <x:v>gravimetric leak</x:v>
      </x:c>
      <x:c r="F42" s="7" t="n">
        <x:v>24</x:v>
      </x:c>
      <x:c r="G42" s="7" t="n">
        <x:f>COUNTIFS('Transfer Records'!C7:C1734,C42,'Transfer Records'!D7:D1734,D42,'Transfer Records'!N7:N1734,"PASS")</x:f>
        <x:v>0</x:v>
      </x:c>
      <x:c r="H42" s="11" t="n">
        <x:v>0</x:v>
      </x:c>
      <x:c r="I42" s="11" t="str"/>
      <x:c r="J42" s="7" t="str"/>
      <x:c r="K42" s="7" t="str"/>
      <x:c r="L42" s="7" t="str">
        <x:f>IF(K42="","OPEN",IF(AND(G42=F42,ISNUMBER(H42),ABS(H42)&lt;='Controls'!$D$36,ISNUMBER(I42),I42&lt;='Controls'!$D$37,J42&lt;&gt;""),"PASS","FAIL"))</x:f>
        <x:v>OPEN</x:v>
      </x:c>
    </x:row>
    <x:row r="43">
      <x:c r="B43" s="7" t="str">
        <x:v>TR-B-13</x:v>
      </x:c>
      <x:c r="C43" s="7" t="str">
        <x:v>BLD-B</x:v>
      </x:c>
      <x:c r="D43" s="7" t="str">
        <x:v>MF-13</x:v>
      </x:c>
      <x:c r="E43" s="7" t="str">
        <x:v>full-line thermal</x:v>
      </x:c>
      <x:c r="F43" s="7" t="n">
        <x:v>24</x:v>
      </x:c>
      <x:c r="G43" s="7" t="n">
        <x:f>COUNTIFS('Transfer Records'!C7:C1734,C43,'Transfer Records'!D7:D1734,D43,'Transfer Records'!N7:N1734,"PASS")</x:f>
        <x:v>0</x:v>
      </x:c>
      <x:c r="H43" s="11" t="n">
        <x:v>0</x:v>
      </x:c>
      <x:c r="I43" s="11" t="str"/>
      <x:c r="J43" s="7" t="str"/>
      <x:c r="K43" s="7" t="str"/>
      <x:c r="L43" s="7" t="str">
        <x:f>IF(K43="","OPEN",IF(AND(G43=F43,ISNUMBER(H43),ABS(H43)&lt;='Controls'!$D$36,ISNUMBER(I43),I43&lt;='Controls'!$D$37,J43&lt;&gt;""),"PASS","FAIL"))</x:f>
        <x:v>OPEN</x:v>
      </x:c>
    </x:row>
    <x:row r="44">
      <x:c r="B44" s="7" t="str">
        <x:v>TR-B-14</x:v>
      </x:c>
      <x:c r="C44" s="7" t="str">
        <x:v>BLD-B</x:v>
      </x:c>
      <x:c r="D44" s="7" t="str">
        <x:v>MF-14</x:v>
      </x:c>
      <x:c r="E44" s="7" t="str">
        <x:v>cyclic hydraulic</x:v>
      </x:c>
      <x:c r="F44" s="7" t="n">
        <x:v>24</x:v>
      </x:c>
      <x:c r="G44" s="7" t="n">
        <x:f>COUNTIFS('Transfer Records'!C7:C1734,C44,'Transfer Records'!D7:D1734,D44,'Transfer Records'!N7:N1734,"PASS")</x:f>
        <x:v>0</x:v>
      </x:c>
      <x:c r="H44" s="11" t="n">
        <x:v>0</x:v>
      </x:c>
      <x:c r="I44" s="11" t="str"/>
      <x:c r="J44" s="7" t="str"/>
      <x:c r="K44" s="7" t="str"/>
      <x:c r="L44" s="7" t="str">
        <x:f>IF(K44="","OPEN",IF(AND(G44=F44,ISNUMBER(H44),ABS(H44)&lt;='Controls'!$D$36,ISNUMBER(I44),I44&lt;='Controls'!$D$37,J44&lt;&gt;""),"PASS","FAIL"))</x:f>
        <x:v>OPEN</x:v>
      </x:c>
    </x:row>
    <x:row r="45">
      <x:c r="B45" s="7" t="str">
        <x:v>TR-B-15</x:v>
      </x:c>
      <x:c r="C45" s="7" t="str">
        <x:v>BLD-B</x:v>
      </x:c>
      <x:c r="D45" s="7" t="str">
        <x:v>MF-15</x:v>
      </x:c>
      <x:c r="E45" s="7" t="str">
        <x:v>drain and recovery</x:v>
      </x:c>
      <x:c r="F45" s="7" t="n">
        <x:v>24</x:v>
      </x:c>
      <x:c r="G45" s="7" t="n">
        <x:f>COUNTIFS('Transfer Records'!C7:C1734,C45,'Transfer Records'!D7:D1734,D45,'Transfer Records'!N7:N1734,"PASS")</x:f>
        <x:v>0</x:v>
      </x:c>
      <x:c r="H45" s="11" t="n">
        <x:v>0</x:v>
      </x:c>
      <x:c r="I45" s="11" t="str"/>
      <x:c r="J45" s="7" t="str"/>
      <x:c r="K45" s="7" t="str"/>
      <x:c r="L45" s="7" t="str">
        <x:f>IF(K45="","OPEN",IF(AND(G45=F45,ISNUMBER(H45),ABS(H45)&lt;='Controls'!$D$36,ISNUMBER(I45),I45&lt;='Controls'!$D$37,J45&lt;&gt;""),"PASS","FAIL"))</x:f>
        <x:v>OPEN</x:v>
      </x:c>
    </x:row>
    <x:row r="46">
      <x:c r="B46" s="7" t="str">
        <x:v>TR-B-16</x:v>
      </x:c>
      <x:c r="C46" s="7" t="str">
        <x:v>BLD-B</x:v>
      </x:c>
      <x:c r="D46" s="7" t="str">
        <x:v>MF-16</x:v>
      </x:c>
      <x:c r="E46" s="7" t="str">
        <x:v>spring work</x:v>
      </x:c>
      <x:c r="F46" s="7" t="n">
        <x:v>24</x:v>
      </x:c>
      <x:c r="G46" s="7" t="n">
        <x:f>COUNTIFS('Transfer Records'!C7:C1734,C46,'Transfer Records'!D7:D1734,D46,'Transfer Records'!N7:N1734,"PASS")</x:f>
        <x:v>0</x:v>
      </x:c>
      <x:c r="H46" s="11" t="n">
        <x:v>0</x:v>
      </x:c>
      <x:c r="I46" s="11" t="str"/>
      <x:c r="J46" s="7" t="str"/>
      <x:c r="K46" s="7" t="str"/>
      <x:c r="L46" s="7" t="str">
        <x:f>IF(K46="","OPEN",IF(AND(G46=F46,ISNUMBER(H46),ABS(H46)&lt;='Controls'!$D$36,ISNUMBER(I46),I46&lt;='Controls'!$D$37,J46&lt;&gt;""),"PASS","FAIL"))</x:f>
        <x:v>OPEN</x:v>
      </x:c>
    </x:row>
    <x:row r="47">
      <x:c r="B47" s="7" t="str">
        <x:v>TR-B-17</x:v>
      </x:c>
      <x:c r="C47" s="7" t="str">
        <x:v>BLD-B</x:v>
      </x:c>
      <x:c r="D47" s="7" t="str">
        <x:v>MF-17</x:v>
      </x:c>
      <x:c r="E47" s="7" t="str">
        <x:v>stored electrical energy</x:v>
      </x:c>
      <x:c r="F47" s="7" t="n">
        <x:v>24</x:v>
      </x:c>
      <x:c r="G47" s="7" t="n">
        <x:f>COUNTIFS('Transfer Records'!C7:C1734,C47,'Transfer Records'!D7:D1734,D47,'Transfer Records'!N7:N1734,"PASS")</x:f>
        <x:v>0</x:v>
      </x:c>
      <x:c r="H47" s="11" t="n">
        <x:v>0</x:v>
      </x:c>
      <x:c r="I47" s="11" t="str"/>
      <x:c r="J47" s="7" t="str"/>
      <x:c r="K47" s="7" t="str"/>
      <x:c r="L47" s="7" t="str">
        <x:f>IF(K47="","OPEN",IF(AND(G47=F47,ISNUMBER(H47),ABS(H47)&lt;='Controls'!$D$36,ISNUMBER(I47),I47&lt;='Controls'!$D$37,J47&lt;&gt;""),"PASS","FAIL"))</x:f>
        <x:v>OPEN</x:v>
      </x:c>
    </x:row>
    <x:row r="48">
      <x:c r="B48" s="7" t="str">
        <x:v>TR-B-18</x:v>
      </x:c>
      <x:c r="C48" s="7" t="str">
        <x:v>BLD-B</x:v>
      </x:c>
      <x:c r="D48" s="7" t="str">
        <x:v>MF-18</x:v>
      </x:c>
      <x:c r="E48" s="7" t="str">
        <x:v>safeing final state</x:v>
      </x:c>
      <x:c r="F48" s="7" t="n">
        <x:v>24</x:v>
      </x:c>
      <x:c r="G48" s="7" t="n">
        <x:f>COUNTIFS('Transfer Records'!C7:C1734,C48,'Transfer Records'!D7:D1734,D48,'Transfer Records'!N7:N1734,"PASS")</x:f>
        <x:v>0</x:v>
      </x:c>
      <x:c r="H48" s="11" t="n">
        <x:v>0</x:v>
      </x:c>
      <x:c r="I48" s="11" t="str"/>
      <x:c r="J48" s="7" t="str"/>
      <x:c r="K48" s="7" t="str"/>
      <x:c r="L48" s="7" t="str">
        <x:f>IF(K48="","OPEN",IF(AND(G48=F48,ISNUMBER(H48),ABS(H48)&lt;='Controls'!$D$36,ISNUMBER(I48),I48&lt;='Controls'!$D$37,J48&lt;&gt;""),"PASS","FAIL"))</x:f>
        <x:v>OPEN</x:v>
      </x:c>
    </x:row>
    <x:row r="49">
      <x:c r="B49" s="7" t="str">
        <x:v>TR-B-19</x:v>
      </x:c>
      <x:c r="C49" s="7" t="str">
        <x:v>BLD-B</x:v>
      </x:c>
      <x:c r="D49" s="7" t="str">
        <x:v>MF-19</x:v>
      </x:c>
      <x:c r="E49" s="7" t="str">
        <x:v>instrument mount</x:v>
      </x:c>
      <x:c r="F49" s="7" t="n">
        <x:v>24</x:v>
      </x:c>
      <x:c r="G49" s="7" t="n">
        <x:f>COUNTIFS('Transfer Records'!C7:C1734,C49,'Transfer Records'!D7:D1734,D49,'Transfer Records'!N7:N1734,"PASS")</x:f>
        <x:v>0</x:v>
      </x:c>
      <x:c r="H49" s="11" t="n">
        <x:v>0</x:v>
      </x:c>
      <x:c r="I49" s="11" t="str"/>
      <x:c r="J49" s="7" t="str"/>
      <x:c r="K49" s="7" t="str"/>
      <x:c r="L49" s="7" t="str">
        <x:f>IF(K49="","OPEN",IF(AND(G49=F49,ISNUMBER(H49),ABS(H49)&lt;='Controls'!$D$36,ISNUMBER(I49),I49&lt;='Controls'!$D$37,J49&lt;&gt;""),"PASS","FAIL"))</x:f>
        <x:v>OPEN</x:v>
      </x:c>
    </x:row>
    <x:row r="50">
      <x:c r="B50" s="7" t="str">
        <x:v>TR-B-20</x:v>
      </x:c>
      <x:c r="C50" s="7" t="str">
        <x:v>BLD-B</x:v>
      </x:c>
      <x:c r="D50" s="7" t="str">
        <x:v>MF-20</x:v>
      </x:c>
      <x:c r="E50" s="7" t="str">
        <x:v>calibration bench</x:v>
      </x:c>
      <x:c r="F50" s="7" t="n">
        <x:v>24</x:v>
      </x:c>
      <x:c r="G50" s="7" t="n">
        <x:f>COUNTIFS('Transfer Records'!C7:C1734,C50,'Transfer Records'!D7:D1734,D50,'Transfer Records'!N7:N1734,"PASS")</x:f>
        <x:v>0</x:v>
      </x:c>
      <x:c r="H50" s="11" t="n">
        <x:v>0</x:v>
      </x:c>
      <x:c r="I50" s="11" t="str"/>
      <x:c r="J50" s="7" t="str"/>
      <x:c r="K50" s="7" t="str"/>
      <x:c r="L50" s="7" t="str">
        <x:f>IF(K50="","OPEN",IF(AND(G50=F50,ISNUMBER(H50),ABS(H50)&lt;='Controls'!$D$36,ISNUMBER(I50),I50&lt;='Controls'!$D$37,J50&lt;&gt;""),"PASS","FAIL"))</x:f>
        <x:v>OPEN</x:v>
      </x:c>
    </x:row>
    <x:row r="51">
      <x:c r="B51" s="7" t="str">
        <x:v>TR-B-21</x:v>
      </x:c>
      <x:c r="C51" s="7" t="str">
        <x:v>BLD-B</x:v>
      </x:c>
      <x:c r="D51" s="7" t="str">
        <x:v>MF-21</x:v>
      </x:c>
      <x:c r="E51" s="7" t="str">
        <x:v>causal-time transfer</x:v>
      </x:c>
      <x:c r="F51" s="7" t="n">
        <x:v>24</x:v>
      </x:c>
      <x:c r="G51" s="7" t="n">
        <x:f>COUNTIFS('Transfer Records'!C7:C1734,C51,'Transfer Records'!D7:D1734,D51,'Transfer Records'!N7:N1734,"PASS")</x:f>
        <x:v>0</x:v>
      </x:c>
      <x:c r="H51" s="11" t="n">
        <x:v>0</x:v>
      </x:c>
      <x:c r="I51" s="11" t="str"/>
      <x:c r="J51" s="7" t="str"/>
      <x:c r="K51" s="7" t="str"/>
      <x:c r="L51" s="7" t="str">
        <x:f>IF(K51="","OPEN",IF(AND(G51=F51,ISNUMBER(H51),ABS(H51)&lt;='Controls'!$D$36,ISNUMBER(I51),I51&lt;='Controls'!$D$37,J51&lt;&gt;""),"PASS","FAIL"))</x:f>
        <x:v>OPEN</x:v>
      </x:c>
    </x:row>
    <x:row r="52">
      <x:c r="B52" s="7" t="str">
        <x:v>TR-B-22</x:v>
      </x:c>
      <x:c r="C52" s="7" t="str">
        <x:v>BLD-B</x:v>
      </x:c>
      <x:c r="D52" s="7" t="str">
        <x:v>MF-22</x:v>
      </x:c>
      <x:c r="E52" s="7" t="str">
        <x:v>evidence sealing</x:v>
      </x:c>
      <x:c r="F52" s="7" t="n">
        <x:v>24</x:v>
      </x:c>
      <x:c r="G52" s="7" t="n">
        <x:f>COUNTIFS('Transfer Records'!C7:C1734,C52,'Transfer Records'!D7:D1734,D52,'Transfer Records'!N7:N1734,"PASS")</x:f>
        <x:v>0</x:v>
      </x:c>
      <x:c r="H52" s="11" t="n">
        <x:v>0</x:v>
      </x:c>
      <x:c r="I52" s="11" t="str"/>
      <x:c r="J52" s="7" t="str"/>
      <x:c r="K52" s="7" t="str"/>
      <x:c r="L52" s="7" t="str">
        <x:f>IF(K52="","OPEN",IF(AND(G52=F52,ISNUMBER(H52),ABS(H52)&lt;='Controls'!$D$36,ISNUMBER(I52),I52&lt;='Controls'!$D$37,J52&lt;&gt;""),"PASS","FAIL"))</x:f>
        <x:v>OPEN</x:v>
      </x:c>
    </x:row>
    <x:row r="53">
      <x:c r="B53" s="7" t="str">
        <x:v>TR-B-23</x:v>
      </x:c>
      <x:c r="C53" s="7" t="str">
        <x:v>BLD-B</x:v>
      </x:c>
      <x:c r="D53" s="7" t="str">
        <x:v>MF-23</x:v>
      </x:c>
      <x:c r="E53" s="7" t="str">
        <x:v>handling and lift</x:v>
      </x:c>
      <x:c r="F53" s="7" t="n">
        <x:v>24</x:v>
      </x:c>
      <x:c r="G53" s="7" t="n">
        <x:f>COUNTIFS('Transfer Records'!C7:C1734,C53,'Transfer Records'!D7:D1734,D53,'Transfer Records'!N7:N1734,"PASS")</x:f>
        <x:v>0</x:v>
      </x:c>
      <x:c r="H53" s="11" t="n">
        <x:v>0</x:v>
      </x:c>
      <x:c r="I53" s="11" t="str"/>
      <x:c r="J53" s="7" t="str"/>
      <x:c r="K53" s="7" t="str"/>
      <x:c r="L53" s="7" t="str">
        <x:f>IF(K53="","OPEN",IF(AND(G53=F53,ISNUMBER(H53),ABS(H53)&lt;='Controls'!$D$36,ISNUMBER(I53),I53&lt;='Controls'!$D$37,J53&lt;&gt;""),"PASS","FAIL"))</x:f>
        <x:v>OPEN</x:v>
      </x:c>
    </x:row>
    <x:row r="54">
      <x:c r="B54" s="7" t="str">
        <x:v>TR-B-24</x:v>
      </x:c>
      <x:c r="C54" s="7" t="str">
        <x:v>BLD-B</x:v>
      </x:c>
      <x:c r="D54" s="7" t="str">
        <x:v>MF-24</x:v>
      </x:c>
      <x:c r="E54" s="7" t="str">
        <x:v>quarantine and sectioning</x:v>
      </x:c>
      <x:c r="F54" s="7" t="n">
        <x:v>24</x:v>
      </x:c>
      <x:c r="G54" s="7" t="n">
        <x:f>COUNTIFS('Transfer Records'!C7:C1734,C54,'Transfer Records'!D7:D1734,D54,'Transfer Records'!N7:N1734,"PASS")</x:f>
        <x:v>0</x:v>
      </x:c>
      <x:c r="H54" s="11" t="n">
        <x:v>0</x:v>
      </x:c>
      <x:c r="I54" s="11" t="str"/>
      <x:c r="J54" s="7" t="str"/>
      <x:c r="K54" s="7" t="str"/>
      <x:c r="L54" s="7" t="str">
        <x:f>IF(K54="","OPEN",IF(AND(G54=F54,ISNUMBER(H54),ABS(H54)&lt;='Controls'!$D$36,ISNUMBER(I54),I54&lt;='Controls'!$D$37,J54&lt;&gt;""),"PASS","FAIL"))</x:f>
        <x:v>OPEN</x:v>
      </x:c>
    </x:row>
    <x:row r="55">
      <x:c r="B55" s="7" t="str">
        <x:v>TR-C-01</x:v>
      </x:c>
      <x:c r="C55" s="7" t="str">
        <x:v>BLD-C</x:v>
      </x:c>
      <x:c r="D55" s="7" t="str">
        <x:v>MF-01</x:v>
      </x:c>
      <x:c r="E55" s="7" t="str">
        <x:v>public datum survey</x:v>
      </x:c>
      <x:c r="F55" s="7" t="n">
        <x:v>24</x:v>
      </x:c>
      <x:c r="G55" s="7" t="n">
        <x:f>COUNTIFS('Transfer Records'!C7:C1734,C55,'Transfer Records'!D7:D1734,D55,'Transfer Records'!N7:N1734,"PASS")</x:f>
        <x:v>0</x:v>
      </x:c>
      <x:c r="H55" s="11" t="n">
        <x:v>0</x:v>
      </x:c>
      <x:c r="I55" s="11" t="str"/>
      <x:c r="J55" s="7" t="str"/>
      <x:c r="K55" s="7" t="str"/>
      <x:c r="L55" s="7" t="str">
        <x:f>IF(K55="","OPEN",IF(AND(G55=F55,ISNUMBER(H55),ABS(H55)&lt;='Controls'!$D$36,ISNUMBER(I55),I55&lt;='Controls'!$D$37,J55&lt;&gt;""),"PASS","FAIL"))</x:f>
        <x:v>OPEN</x:v>
      </x:c>
    </x:row>
    <x:row r="56">
      <x:c r="B56" s="7" t="str">
        <x:v>TR-C-02</x:v>
      </x:c>
      <x:c r="C56" s="7" t="str">
        <x:v>BLD-C</x:v>
      </x:c>
      <x:c r="D56" s="7" t="str">
        <x:v>MF-02</x:v>
      </x:c>
      <x:c r="E56" s="7" t="str">
        <x:v>autonomous bore mapping</x:v>
      </x:c>
      <x:c r="F56" s="7" t="n">
        <x:v>24</x:v>
      </x:c>
      <x:c r="G56" s="7" t="n">
        <x:f>COUNTIFS('Transfer Records'!C7:C1734,C56,'Transfer Records'!D7:D1734,D56,'Transfer Records'!N7:N1734,"PASS")</x:f>
        <x:v>0</x:v>
      </x:c>
      <x:c r="H56" s="11" t="n">
        <x:v>0</x:v>
      </x:c>
      <x:c r="I56" s="11" t="str"/>
      <x:c r="J56" s="7" t="str"/>
      <x:c r="K56" s="7" t="str"/>
      <x:c r="L56" s="7" t="str">
        <x:f>IF(K56="","OPEN",IF(AND(G56=F56,ISNUMBER(H56),ABS(H56)&lt;='Controls'!$D$36,ISNUMBER(I56),I56&lt;='Controls'!$D$37,J56&lt;&gt;""),"PASS","FAIL"))</x:f>
        <x:v>OPEN</x:v>
      </x:c>
    </x:row>
    <x:row r="57">
      <x:c r="B57" s="7" t="str">
        <x:v>TR-C-03</x:v>
      </x:c>
      <x:c r="C57" s="7" t="str">
        <x:v>BLD-C</x:v>
      </x:c>
      <x:c r="D57" s="7" t="str">
        <x:v>MF-03</x:v>
      </x:c>
      <x:c r="E57" s="7" t="str">
        <x:v>surface roughness</x:v>
      </x:c>
      <x:c r="F57" s="7" t="n">
        <x:v>24</x:v>
      </x:c>
      <x:c r="G57" s="7" t="n">
        <x:f>COUNTIFS('Transfer Records'!C7:C1734,C57,'Transfer Records'!D7:D1734,D57,'Transfer Records'!N7:N1734,"PASS")</x:f>
        <x:v>0</x:v>
      </x:c>
      <x:c r="H57" s="11" t="n">
        <x:v>0</x:v>
      </x:c>
      <x:c r="I57" s="11" t="str"/>
      <x:c r="J57" s="7" t="str"/>
      <x:c r="K57" s="7" t="str"/>
      <x:c r="L57" s="7" t="str">
        <x:f>IF(K57="","OPEN",IF(AND(G57=F57,ISNUMBER(H57),ABS(H57)&lt;='Controls'!$D$36,ISNUMBER(I57),I57&lt;='Controls'!$D$37,J57&lt;&gt;""),"PASS","FAIL"))</x:f>
        <x:v>OPEN</x:v>
      </x:c>
    </x:row>
    <x:row r="58">
      <x:c r="B58" s="7" t="str">
        <x:v>TR-C-04</x:v>
      </x:c>
      <x:c r="C58" s="7" t="str">
        <x:v>BLD-C</x:v>
      </x:c>
      <x:c r="D58" s="7" t="str">
        <x:v>MF-04</x:v>
      </x:c>
      <x:c r="E58" s="7" t="str">
        <x:v>contact state</x:v>
      </x:c>
      <x:c r="F58" s="7" t="n">
        <x:v>24</x:v>
      </x:c>
      <x:c r="G58" s="7" t="n">
        <x:f>COUNTIFS('Transfer Records'!C7:C1734,C58,'Transfer Records'!D7:D1734,D58,'Transfer Records'!N7:N1734,"PASS")</x:f>
        <x:v>0</x:v>
      </x:c>
      <x:c r="H58" s="11" t="n">
        <x:v>0</x:v>
      </x:c>
      <x:c r="I58" s="11" t="str"/>
      <x:c r="J58" s="7" t="str"/>
      <x:c r="K58" s="7" t="str"/>
      <x:c r="L58" s="7" t="str">
        <x:f>IF(K58="","OPEN",IF(AND(G58=F58,ISNUMBER(H58),ABS(H58)&lt;='Controls'!$D$36,ISNUMBER(I58),I58&lt;='Controls'!$D$37,J58&lt;&gt;""),"PASS","FAIL"))</x:f>
        <x:v>OPEN</x:v>
      </x:c>
    </x:row>
    <x:row r="59">
      <x:c r="B59" s="7" t="str">
        <x:v>TR-C-05</x:v>
      </x:c>
      <x:c r="C59" s="7" t="str">
        <x:v>BLD-C</x:v>
      </x:c>
      <x:c r="D59" s="7" t="str">
        <x:v>MF-05</x:v>
      </x:c>
      <x:c r="E59" s="7" t="str">
        <x:v>cut and end preparation</x:v>
      </x:c>
      <x:c r="F59" s="7" t="n">
        <x:v>24</x:v>
      </x:c>
      <x:c r="G59" s="7" t="n">
        <x:f>COUNTIFS('Transfer Records'!C7:C1734,C59,'Transfer Records'!D7:D1734,D59,'Transfer Records'!N7:N1734,"PASS")</x:f>
        <x:v>0</x:v>
      </x:c>
      <x:c r="H59" s="11" t="n">
        <x:v>0</x:v>
      </x:c>
      <x:c r="I59" s="11" t="str"/>
      <x:c r="J59" s="7" t="str"/>
      <x:c r="K59" s="7" t="str"/>
      <x:c r="L59" s="7" t="str">
        <x:f>IF(K59="","OPEN",IF(AND(G59=F59,ISNUMBER(H59),ABS(H59)&lt;='Controls'!$D$36,ISNUMBER(I59),I59&lt;='Controls'!$D$37,J59&lt;&gt;""),"PASS","FAIL"))</x:f>
        <x:v>OPEN</x:v>
      </x:c>
    </x:row>
    <x:row r="60">
      <x:c r="B60" s="7" t="str">
        <x:v>TR-C-06</x:v>
      </x:c>
      <x:c r="C60" s="7" t="str">
        <x:v>BLD-C</x:v>
      </x:c>
      <x:c r="D60" s="7" t="str">
        <x:v>MF-06</x:v>
      </x:c>
      <x:c r="E60" s="7" t="str">
        <x:v>orbital weld execution</x:v>
      </x:c>
      <x:c r="F60" s="7" t="n">
        <x:v>24</x:v>
      </x:c>
      <x:c r="G60" s="7" t="n">
        <x:f>COUNTIFS('Transfer Records'!C7:C1734,C60,'Transfer Records'!D7:D1734,D60,'Transfer Records'!N7:N1734,"PASS")</x:f>
        <x:v>0</x:v>
      </x:c>
      <x:c r="H60" s="11" t="n">
        <x:v>0</x:v>
      </x:c>
      <x:c r="I60" s="11" t="str"/>
      <x:c r="J60" s="7" t="str"/>
      <x:c r="K60" s="7" t="str"/>
      <x:c r="L60" s="7" t="str">
        <x:f>IF(K60="","OPEN",IF(AND(G60=F60,ISNUMBER(H60),ABS(H60)&lt;='Controls'!$D$36,ISNUMBER(I60),I60&lt;='Controls'!$D$37,J60&lt;&gt;""),"PASS","FAIL"))</x:f>
        <x:v>OPEN</x:v>
      </x:c>
    </x:row>
    <x:row r="61">
      <x:c r="B61" s="7" t="str">
        <x:v>TR-C-07</x:v>
      </x:c>
      <x:c r="C61" s="7" t="str">
        <x:v>BLD-C</x:v>
      </x:c>
      <x:c r="D61" s="7" t="str">
        <x:v>MF-07</x:v>
      </x:c>
      <x:c r="E61" s="7" t="str">
        <x:v>purge-state control</x:v>
      </x:c>
      <x:c r="F61" s="7" t="n">
        <x:v>24</x:v>
      </x:c>
      <x:c r="G61" s="7" t="n">
        <x:f>COUNTIFS('Transfer Records'!C7:C1734,C61,'Transfer Records'!D7:D1734,D61,'Transfer Records'!N7:N1734,"PASS")</x:f>
        <x:v>0</x:v>
      </x:c>
      <x:c r="H61" s="11" t="n">
        <x:v>0</x:v>
      </x:c>
      <x:c r="I61" s="11" t="str"/>
      <x:c r="J61" s="7" t="str"/>
      <x:c r="K61" s="7" t="str"/>
      <x:c r="L61" s="7" t="str">
        <x:f>IF(K61="","OPEN",IF(AND(G61=F61,ISNUMBER(H61),ABS(H61)&lt;='Controls'!$D$36,ISNUMBER(I61),I61&lt;='Controls'!$D$37,J61&lt;&gt;""),"PASS","FAIL"))</x:f>
        <x:v>OPEN</x:v>
      </x:c>
    </x:row>
    <x:row r="62">
      <x:c r="B62" s="7" t="str">
        <x:v>TR-C-08</x:v>
      </x:c>
      <x:c r="C62" s="7" t="str">
        <x:v>BLD-C</x:v>
      </x:c>
      <x:c r="D62" s="7" t="str">
        <x:v>MF-08</x:v>
      </x:c>
      <x:c r="E62" s="7" t="str">
        <x:v>clamp preload</x:v>
      </x:c>
      <x:c r="F62" s="7" t="n">
        <x:v>24</x:v>
      </x:c>
      <x:c r="G62" s="7" t="n">
        <x:f>COUNTIFS('Transfer Records'!C7:C1734,C62,'Transfer Records'!D7:D1734,D62,'Transfer Records'!N7:N1734,"PASS")</x:f>
        <x:v>0</x:v>
      </x:c>
      <x:c r="H62" s="11" t="n">
        <x:v>0</x:v>
      </x:c>
      <x:c r="I62" s="11" t="str"/>
      <x:c r="J62" s="7" t="str"/>
      <x:c r="K62" s="7" t="str"/>
      <x:c r="L62" s="7" t="str">
        <x:f>IF(K62="","OPEN",IF(AND(G62=F62,ISNUMBER(H62),ABS(H62)&lt;='Controls'!$D$36,ISNUMBER(I62),I62&lt;='Controls'!$D$37,J62&lt;&gt;""),"PASS","FAIL"))</x:f>
        <x:v>OPEN</x:v>
      </x:c>
    </x:row>
    <x:row r="63">
      <x:c r="B63" s="7" t="str">
        <x:v>TR-C-09</x:v>
      </x:c>
      <x:c r="C63" s="7" t="str">
        <x:v>BLD-C</x:v>
      </x:c>
      <x:c r="D63" s="7" t="str">
        <x:v>MF-09</x:v>
      </x:c>
      <x:c r="E63" s="7" t="str">
        <x:v>seal compression</x:v>
      </x:c>
      <x:c r="F63" s="7" t="n">
        <x:v>24</x:v>
      </x:c>
      <x:c r="G63" s="7" t="n">
        <x:f>COUNTIFS('Transfer Records'!C7:C1734,C63,'Transfer Records'!D7:D1734,D63,'Transfer Records'!N7:N1734,"PASS")</x:f>
        <x:v>0</x:v>
      </x:c>
      <x:c r="H63" s="11" t="n">
        <x:v>0</x:v>
      </x:c>
      <x:c r="I63" s="11" t="str"/>
      <x:c r="J63" s="7" t="str"/>
      <x:c r="K63" s="7" t="str"/>
      <x:c r="L63" s="7" t="str">
        <x:f>IF(K63="","OPEN",IF(AND(G63=F63,ISNUMBER(H63),ABS(H63)&lt;='Controls'!$D$36,ISNUMBER(I63),I63&lt;='Controls'!$D$37,J63&lt;&gt;""),"PASS","FAIL"))</x:f>
        <x:v>OPEN</x:v>
      </x:c>
    </x:row>
    <x:row r="64">
      <x:c r="B64" s="7" t="str">
        <x:v>TR-C-10</x:v>
      </x:c>
      <x:c r="C64" s="7" t="str">
        <x:v>BLD-C</x:v>
      </x:c>
      <x:c r="D64" s="7" t="str">
        <x:v>MF-10</x:v>
      </x:c>
      <x:c r="E64" s="7" t="str">
        <x:v>monitored interspace</x:v>
      </x:c>
      <x:c r="F64" s="7" t="n">
        <x:v>24</x:v>
      </x:c>
      <x:c r="G64" s="7" t="n">
        <x:f>COUNTIFS('Transfer Records'!C7:C1734,C64,'Transfer Records'!D7:D1734,D64,'Transfer Records'!N7:N1734,"PASS")</x:f>
        <x:v>0</x:v>
      </x:c>
      <x:c r="H64" s="11" t="n">
        <x:v>0</x:v>
      </x:c>
      <x:c r="I64" s="11" t="str"/>
      <x:c r="J64" s="7" t="str"/>
      <x:c r="K64" s="7" t="str"/>
      <x:c r="L64" s="7" t="str">
        <x:f>IF(K64="","OPEN",IF(AND(G64=F64,ISNUMBER(H64),ABS(H64)&lt;='Controls'!$D$36,ISNUMBER(I64),I64&lt;='Controls'!$D$37,J64&lt;&gt;""),"PASS","FAIL"))</x:f>
        <x:v>OPEN</x:v>
      </x:c>
    </x:row>
    <x:row r="65">
      <x:c r="B65" s="7" t="str">
        <x:v>TR-C-11</x:v>
      </x:c>
      <x:c r="C65" s="7" t="str">
        <x:v>BLD-C</x:v>
      </x:c>
      <x:c r="D65" s="7" t="str">
        <x:v>MF-11</x:v>
      </x:c>
      <x:c r="E65" s="7" t="str">
        <x:v>liquid proof</x:v>
      </x:c>
      <x:c r="F65" s="7" t="n">
        <x:v>24</x:v>
      </x:c>
      <x:c r="G65" s="7" t="n">
        <x:f>COUNTIFS('Transfer Records'!C7:C1734,C65,'Transfer Records'!D7:D1734,D65,'Transfer Records'!N7:N1734,"PASS")</x:f>
        <x:v>0</x:v>
      </x:c>
      <x:c r="H65" s="11" t="n">
        <x:v>0</x:v>
      </x:c>
      <x:c r="I65" s="11" t="str"/>
      <x:c r="J65" s="7" t="str"/>
      <x:c r="K65" s="7" t="str"/>
      <x:c r="L65" s="7" t="str">
        <x:f>IF(K65="","OPEN",IF(AND(G65=F65,ISNUMBER(H65),ABS(H65)&lt;='Controls'!$D$36,ISNUMBER(I65),I65&lt;='Controls'!$D$37,J65&lt;&gt;""),"PASS","FAIL"))</x:f>
        <x:v>OPEN</x:v>
      </x:c>
    </x:row>
    <x:row r="66">
      <x:c r="B66" s="7" t="str">
        <x:v>TR-C-12</x:v>
      </x:c>
      <x:c r="C66" s="7" t="str">
        <x:v>BLD-C</x:v>
      </x:c>
      <x:c r="D66" s="7" t="str">
        <x:v>MF-12</x:v>
      </x:c>
      <x:c r="E66" s="7" t="str">
        <x:v>gravimetric leak</x:v>
      </x:c>
      <x:c r="F66" s="7" t="n">
        <x:v>24</x:v>
      </x:c>
      <x:c r="G66" s="7" t="n">
        <x:f>COUNTIFS('Transfer Records'!C7:C1734,C66,'Transfer Records'!D7:D1734,D66,'Transfer Records'!N7:N1734,"PASS")</x:f>
        <x:v>0</x:v>
      </x:c>
      <x:c r="H66" s="11" t="n">
        <x:v>0</x:v>
      </x:c>
      <x:c r="I66" s="11" t="str"/>
      <x:c r="J66" s="7" t="str"/>
      <x:c r="K66" s="7" t="str"/>
      <x:c r="L66" s="7" t="str">
        <x:f>IF(K66="","OPEN",IF(AND(G66=F66,ISNUMBER(H66),ABS(H66)&lt;='Controls'!$D$36,ISNUMBER(I66),I66&lt;='Controls'!$D$37,J66&lt;&gt;""),"PASS","FAIL"))</x:f>
        <x:v>OPEN</x:v>
      </x:c>
    </x:row>
    <x:row r="67">
      <x:c r="B67" s="7" t="str">
        <x:v>TR-C-13</x:v>
      </x:c>
      <x:c r="C67" s="7" t="str">
        <x:v>BLD-C</x:v>
      </x:c>
      <x:c r="D67" s="7" t="str">
        <x:v>MF-13</x:v>
      </x:c>
      <x:c r="E67" s="7" t="str">
        <x:v>full-line thermal</x:v>
      </x:c>
      <x:c r="F67" s="7" t="n">
        <x:v>24</x:v>
      </x:c>
      <x:c r="G67" s="7" t="n">
        <x:f>COUNTIFS('Transfer Records'!C7:C1734,C67,'Transfer Records'!D7:D1734,D67,'Transfer Records'!N7:N1734,"PASS")</x:f>
        <x:v>0</x:v>
      </x:c>
      <x:c r="H67" s="11" t="n">
        <x:v>0</x:v>
      </x:c>
      <x:c r="I67" s="11" t="str"/>
      <x:c r="J67" s="7" t="str"/>
      <x:c r="K67" s="7" t="str"/>
      <x:c r="L67" s="7" t="str">
        <x:f>IF(K67="","OPEN",IF(AND(G67=F67,ISNUMBER(H67),ABS(H67)&lt;='Controls'!$D$36,ISNUMBER(I67),I67&lt;='Controls'!$D$37,J67&lt;&gt;""),"PASS","FAIL"))</x:f>
        <x:v>OPEN</x:v>
      </x:c>
    </x:row>
    <x:row r="68">
      <x:c r="B68" s="7" t="str">
        <x:v>TR-C-14</x:v>
      </x:c>
      <x:c r="C68" s="7" t="str">
        <x:v>BLD-C</x:v>
      </x:c>
      <x:c r="D68" s="7" t="str">
        <x:v>MF-14</x:v>
      </x:c>
      <x:c r="E68" s="7" t="str">
        <x:v>cyclic hydraulic</x:v>
      </x:c>
      <x:c r="F68" s="7" t="n">
        <x:v>24</x:v>
      </x:c>
      <x:c r="G68" s="7" t="n">
        <x:f>COUNTIFS('Transfer Records'!C7:C1734,C68,'Transfer Records'!D7:D1734,D68,'Transfer Records'!N7:N1734,"PASS")</x:f>
        <x:v>0</x:v>
      </x:c>
      <x:c r="H68" s="11" t="n">
        <x:v>0</x:v>
      </x:c>
      <x:c r="I68" s="11" t="str"/>
      <x:c r="J68" s="7" t="str"/>
      <x:c r="K68" s="7" t="str"/>
      <x:c r="L68" s="7" t="str">
        <x:f>IF(K68="","OPEN",IF(AND(G68=F68,ISNUMBER(H68),ABS(H68)&lt;='Controls'!$D$36,ISNUMBER(I68),I68&lt;='Controls'!$D$37,J68&lt;&gt;""),"PASS","FAIL"))</x:f>
        <x:v>OPEN</x:v>
      </x:c>
    </x:row>
    <x:row r="69">
      <x:c r="B69" s="7" t="str">
        <x:v>TR-C-15</x:v>
      </x:c>
      <x:c r="C69" s="7" t="str">
        <x:v>BLD-C</x:v>
      </x:c>
      <x:c r="D69" s="7" t="str">
        <x:v>MF-15</x:v>
      </x:c>
      <x:c r="E69" s="7" t="str">
        <x:v>drain and recovery</x:v>
      </x:c>
      <x:c r="F69" s="7" t="n">
        <x:v>24</x:v>
      </x:c>
      <x:c r="G69" s="7" t="n">
        <x:f>COUNTIFS('Transfer Records'!C7:C1734,C69,'Transfer Records'!D7:D1734,D69,'Transfer Records'!N7:N1734,"PASS")</x:f>
        <x:v>0</x:v>
      </x:c>
      <x:c r="H69" s="11" t="n">
        <x:v>0</x:v>
      </x:c>
      <x:c r="I69" s="11" t="str"/>
      <x:c r="J69" s="7" t="str"/>
      <x:c r="K69" s="7" t="str"/>
      <x:c r="L69" s="7" t="str">
        <x:f>IF(K69="","OPEN",IF(AND(G69=F69,ISNUMBER(H69),ABS(H69)&lt;='Controls'!$D$36,ISNUMBER(I69),I69&lt;='Controls'!$D$37,J69&lt;&gt;""),"PASS","FAIL"))</x:f>
        <x:v>OPEN</x:v>
      </x:c>
    </x:row>
    <x:row r="70">
      <x:c r="B70" s="7" t="str">
        <x:v>TR-C-16</x:v>
      </x:c>
      <x:c r="C70" s="7" t="str">
        <x:v>BLD-C</x:v>
      </x:c>
      <x:c r="D70" s="7" t="str">
        <x:v>MF-16</x:v>
      </x:c>
      <x:c r="E70" s="7" t="str">
        <x:v>spring work</x:v>
      </x:c>
      <x:c r="F70" s="7" t="n">
        <x:v>24</x:v>
      </x:c>
      <x:c r="G70" s="7" t="n">
        <x:f>COUNTIFS('Transfer Records'!C7:C1734,C70,'Transfer Records'!D7:D1734,D70,'Transfer Records'!N7:N1734,"PASS")</x:f>
        <x:v>0</x:v>
      </x:c>
      <x:c r="H70" s="11" t="n">
        <x:v>0</x:v>
      </x:c>
      <x:c r="I70" s="11" t="str"/>
      <x:c r="J70" s="7" t="str"/>
      <x:c r="K70" s="7" t="str"/>
      <x:c r="L70" s="7" t="str">
        <x:f>IF(K70="","OPEN",IF(AND(G70=F70,ISNUMBER(H70),ABS(H70)&lt;='Controls'!$D$36,ISNUMBER(I70),I70&lt;='Controls'!$D$37,J70&lt;&gt;""),"PASS","FAIL"))</x:f>
        <x:v>OPEN</x:v>
      </x:c>
    </x:row>
    <x:row r="71">
      <x:c r="B71" s="7" t="str">
        <x:v>TR-C-17</x:v>
      </x:c>
      <x:c r="C71" s="7" t="str">
        <x:v>BLD-C</x:v>
      </x:c>
      <x:c r="D71" s="7" t="str">
        <x:v>MF-17</x:v>
      </x:c>
      <x:c r="E71" s="7" t="str">
        <x:v>stored electrical energy</x:v>
      </x:c>
      <x:c r="F71" s="7" t="n">
        <x:v>24</x:v>
      </x:c>
      <x:c r="G71" s="7" t="n">
        <x:f>COUNTIFS('Transfer Records'!C7:C1734,C71,'Transfer Records'!D7:D1734,D71,'Transfer Records'!N7:N1734,"PASS")</x:f>
        <x:v>0</x:v>
      </x:c>
      <x:c r="H71" s="11" t="n">
        <x:v>0</x:v>
      </x:c>
      <x:c r="I71" s="11" t="str"/>
      <x:c r="J71" s="7" t="str"/>
      <x:c r="K71" s="7" t="str"/>
      <x:c r="L71" s="7" t="str">
        <x:f>IF(K71="","OPEN",IF(AND(G71=F71,ISNUMBER(H71),ABS(H71)&lt;='Controls'!$D$36,ISNUMBER(I71),I71&lt;='Controls'!$D$37,J71&lt;&gt;""),"PASS","FAIL"))</x:f>
        <x:v>OPEN</x:v>
      </x:c>
    </x:row>
    <x:row r="72">
      <x:c r="B72" s="7" t="str">
        <x:v>TR-C-18</x:v>
      </x:c>
      <x:c r="C72" s="7" t="str">
        <x:v>BLD-C</x:v>
      </x:c>
      <x:c r="D72" s="7" t="str">
        <x:v>MF-18</x:v>
      </x:c>
      <x:c r="E72" s="7" t="str">
        <x:v>safeing final state</x:v>
      </x:c>
      <x:c r="F72" s="7" t="n">
        <x:v>24</x:v>
      </x:c>
      <x:c r="G72" s="7" t="n">
        <x:f>COUNTIFS('Transfer Records'!C7:C1734,C72,'Transfer Records'!D7:D1734,D72,'Transfer Records'!N7:N1734,"PASS")</x:f>
        <x:v>0</x:v>
      </x:c>
      <x:c r="H72" s="11" t="n">
        <x:v>0</x:v>
      </x:c>
      <x:c r="I72" s="11" t="str"/>
      <x:c r="J72" s="7" t="str"/>
      <x:c r="K72" s="7" t="str"/>
      <x:c r="L72" s="7" t="str">
        <x:f>IF(K72="","OPEN",IF(AND(G72=F72,ISNUMBER(H72),ABS(H72)&lt;='Controls'!$D$36,ISNUMBER(I72),I72&lt;='Controls'!$D$37,J72&lt;&gt;""),"PASS","FAIL"))</x:f>
        <x:v>OPEN</x:v>
      </x:c>
    </x:row>
    <x:row r="73">
      <x:c r="B73" s="7" t="str">
        <x:v>TR-C-19</x:v>
      </x:c>
      <x:c r="C73" s="7" t="str">
        <x:v>BLD-C</x:v>
      </x:c>
      <x:c r="D73" s="7" t="str">
        <x:v>MF-19</x:v>
      </x:c>
      <x:c r="E73" s="7" t="str">
        <x:v>instrument mount</x:v>
      </x:c>
      <x:c r="F73" s="7" t="n">
        <x:v>24</x:v>
      </x:c>
      <x:c r="G73" s="7" t="n">
        <x:f>COUNTIFS('Transfer Records'!C7:C1734,C73,'Transfer Records'!D7:D1734,D73,'Transfer Records'!N7:N1734,"PASS")</x:f>
        <x:v>0</x:v>
      </x:c>
      <x:c r="H73" s="11" t="n">
        <x:v>0</x:v>
      </x:c>
      <x:c r="I73" s="11" t="str"/>
      <x:c r="J73" s="7" t="str"/>
      <x:c r="K73" s="7" t="str"/>
      <x:c r="L73" s="7" t="str">
        <x:f>IF(K73="","OPEN",IF(AND(G73=F73,ISNUMBER(H73),ABS(H73)&lt;='Controls'!$D$36,ISNUMBER(I73),I73&lt;='Controls'!$D$37,J73&lt;&gt;""),"PASS","FAIL"))</x:f>
        <x:v>OPEN</x:v>
      </x:c>
    </x:row>
    <x:row r="74">
      <x:c r="B74" s="7" t="str">
        <x:v>TR-C-20</x:v>
      </x:c>
      <x:c r="C74" s="7" t="str">
        <x:v>BLD-C</x:v>
      </x:c>
      <x:c r="D74" s="7" t="str">
        <x:v>MF-20</x:v>
      </x:c>
      <x:c r="E74" s="7" t="str">
        <x:v>calibration bench</x:v>
      </x:c>
      <x:c r="F74" s="7" t="n">
        <x:v>24</x:v>
      </x:c>
      <x:c r="G74" s="7" t="n">
        <x:f>COUNTIFS('Transfer Records'!C7:C1734,C74,'Transfer Records'!D7:D1734,D74,'Transfer Records'!N7:N1734,"PASS")</x:f>
        <x:v>0</x:v>
      </x:c>
      <x:c r="H74" s="11" t="n">
        <x:v>0</x:v>
      </x:c>
      <x:c r="I74" s="11" t="str"/>
      <x:c r="J74" s="7" t="str"/>
      <x:c r="K74" s="7" t="str"/>
      <x:c r="L74" s="7" t="str">
        <x:f>IF(K74="","OPEN",IF(AND(G74=F74,ISNUMBER(H74),ABS(H74)&lt;='Controls'!$D$36,ISNUMBER(I74),I74&lt;='Controls'!$D$37,J74&lt;&gt;""),"PASS","FAIL"))</x:f>
        <x:v>OPEN</x:v>
      </x:c>
    </x:row>
    <x:row r="75">
      <x:c r="B75" s="7" t="str">
        <x:v>TR-C-21</x:v>
      </x:c>
      <x:c r="C75" s="7" t="str">
        <x:v>BLD-C</x:v>
      </x:c>
      <x:c r="D75" s="7" t="str">
        <x:v>MF-21</x:v>
      </x:c>
      <x:c r="E75" s="7" t="str">
        <x:v>causal-time transfer</x:v>
      </x:c>
      <x:c r="F75" s="7" t="n">
        <x:v>24</x:v>
      </x:c>
      <x:c r="G75" s="7" t="n">
        <x:f>COUNTIFS('Transfer Records'!C7:C1734,C75,'Transfer Records'!D7:D1734,D75,'Transfer Records'!N7:N1734,"PASS")</x:f>
        <x:v>0</x:v>
      </x:c>
      <x:c r="H75" s="11" t="n">
        <x:v>0</x:v>
      </x:c>
      <x:c r="I75" s="11" t="str"/>
      <x:c r="J75" s="7" t="str"/>
      <x:c r="K75" s="7" t="str"/>
      <x:c r="L75" s="7" t="str">
        <x:f>IF(K75="","OPEN",IF(AND(G75=F75,ISNUMBER(H75),ABS(H75)&lt;='Controls'!$D$36,ISNUMBER(I75),I75&lt;='Controls'!$D$37,J75&lt;&gt;""),"PASS","FAIL"))</x:f>
        <x:v>OPEN</x:v>
      </x:c>
    </x:row>
    <x:row r="76">
      <x:c r="B76" s="7" t="str">
        <x:v>TR-C-22</x:v>
      </x:c>
      <x:c r="C76" s="7" t="str">
        <x:v>BLD-C</x:v>
      </x:c>
      <x:c r="D76" s="7" t="str">
        <x:v>MF-22</x:v>
      </x:c>
      <x:c r="E76" s="7" t="str">
        <x:v>evidence sealing</x:v>
      </x:c>
      <x:c r="F76" s="7" t="n">
        <x:v>24</x:v>
      </x:c>
      <x:c r="G76" s="7" t="n">
        <x:f>COUNTIFS('Transfer Records'!C7:C1734,C76,'Transfer Records'!D7:D1734,D76,'Transfer Records'!N7:N1734,"PASS")</x:f>
        <x:v>0</x:v>
      </x:c>
      <x:c r="H76" s="11" t="n">
        <x:v>0</x:v>
      </x:c>
      <x:c r="I76" s="11" t="str"/>
      <x:c r="J76" s="7" t="str"/>
      <x:c r="K76" s="7" t="str"/>
      <x:c r="L76" s="7" t="str">
        <x:f>IF(K76="","OPEN",IF(AND(G76=F76,ISNUMBER(H76),ABS(H76)&lt;='Controls'!$D$36,ISNUMBER(I76),I76&lt;='Controls'!$D$37,J76&lt;&gt;""),"PASS","FAIL"))</x:f>
        <x:v>OPEN</x:v>
      </x:c>
    </x:row>
    <x:row r="77">
      <x:c r="B77" s="7" t="str">
        <x:v>TR-C-23</x:v>
      </x:c>
      <x:c r="C77" s="7" t="str">
        <x:v>BLD-C</x:v>
      </x:c>
      <x:c r="D77" s="7" t="str">
        <x:v>MF-23</x:v>
      </x:c>
      <x:c r="E77" s="7" t="str">
        <x:v>handling and lift</x:v>
      </x:c>
      <x:c r="F77" s="7" t="n">
        <x:v>24</x:v>
      </x:c>
      <x:c r="G77" s="7" t="n">
        <x:f>COUNTIFS('Transfer Records'!C7:C1734,C77,'Transfer Records'!D7:D1734,D77,'Transfer Records'!N7:N1734,"PASS")</x:f>
        <x:v>0</x:v>
      </x:c>
      <x:c r="H77" s="11" t="n">
        <x:v>0</x:v>
      </x:c>
      <x:c r="I77" s="11" t="str"/>
      <x:c r="J77" s="7" t="str"/>
      <x:c r="K77" s="7" t="str"/>
      <x:c r="L77" s="7" t="str">
        <x:f>IF(K77="","OPEN",IF(AND(G77=F77,ISNUMBER(H77),ABS(H77)&lt;='Controls'!$D$36,ISNUMBER(I77),I77&lt;='Controls'!$D$37,J77&lt;&gt;""),"PASS","FAIL"))</x:f>
        <x:v>OPEN</x:v>
      </x:c>
    </x:row>
    <x:row r="78">
      <x:c r="B78" s="7" t="str">
        <x:v>TR-C-24</x:v>
      </x:c>
      <x:c r="C78" s="7" t="str">
        <x:v>BLD-C</x:v>
      </x:c>
      <x:c r="D78" s="7" t="str">
        <x:v>MF-24</x:v>
      </x:c>
      <x:c r="E78" s="7" t="str">
        <x:v>quarantine and sectioning</x:v>
      </x:c>
      <x:c r="F78" s="7" t="n">
        <x:v>24</x:v>
      </x:c>
      <x:c r="G78" s="7" t="n">
        <x:f>COUNTIFS('Transfer Records'!C7:C1734,C78,'Transfer Records'!D7:D1734,D78,'Transfer Records'!N7:N1734,"PASS")</x:f>
        <x:v>0</x:v>
      </x:c>
      <x:c r="H78" s="11" t="n">
        <x:v>0</x:v>
      </x:c>
      <x:c r="I78" s="11" t="str"/>
      <x:c r="J78" s="7" t="str"/>
      <x:c r="K78" s="7" t="str"/>
      <x:c r="L78" s="7" t="str">
        <x:f>IF(K78="","OPEN",IF(AND(G78=F78,ISNUMBER(H78),ABS(H78)&lt;='Controls'!$D$36,ISNUMBER(I78),I78&lt;='Controls'!$D$37,J78&lt;&gt;""),"PASS","FAIL"))</x:f>
        <x:v>OPEN</x:v>
      </x:c>
    </x:row>
  </x:sheetData>
  <x:conditionalFormatting sqref="L7:L78">
    <x:cfRule type="containsText" dxfId="42" priority="1" operator="containsText" text="FAIL"/>
    <x:cfRule type="containsText" dxfId="43" priority="2" operator="containsText" text="BLOCKED"/>
    <x:cfRule type="containsText" dxfId="44" priority="3" operator="containsText" text="OPEN"/>
    <x:cfRule type="containsText" dxfId="45" priority="4" operator="containsText" text="DORMANT"/>
    <x:cfRule type="containsText" dxfId="46" priority="5" operator="containsText" text="REVIEW"/>
    <x:cfRule type="containsText" dxfId="47" priority="6" operator="containsText" text="PASS"/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30" hidden="0" customWidth="1"/>
    <x:col min="3" max="3" width="14" hidden="0" customWidth="1"/>
    <x:col min="4" max="4" width="14" hidden="0" customWidth="1"/>
    <x:col min="5" max="5" width="20" hidden="0" customWidth="1"/>
    <x:col min="6" max="6" width="14" hidden="0" customWidth="1"/>
    <x:col min="7" max="7" width="12" hidden="0" customWidth="1"/>
    <x:col min="8" max="8" width="20" hidden="0" customWidth="1"/>
    <x:col min="9" max="9" width="20" hidden="0" customWidth="1"/>
    <x:col min="10" max="10" width="18" hidden="0" customWidth="1"/>
    <x:col min="11" max="11" width="30" hidden="0" customWidth="1"/>
    <x:col min="12" max="12" width="21" hidden="0" customWidth="1"/>
    <x:col min="13" max="13" width="21" hidden="0" customWidth="1"/>
    <x:col min="14" max="14" width="14" hidden="0" customWidth="1"/>
  </x:cols>
  <x:sheetData>
    <x:row r="2">
      <x:c r="B2" s="1" t="str">
        <x:v>One thousand seven hundred twenty-eight measurement-transfer observations</x:v>
      </x:c>
    </x:row>
    <x:row r="3">
      <x:c r="B3" s="2" t="str">
        <x:v>Raw observations remain one row per standard, site, operator and repeat.</x:v>
      </x:c>
    </x:row>
    <x:row r="6" ht="24" customHeight="1">
      <x:c r="B6" s="6" t="str">
        <x:v>Record</x:v>
      </x:c>
      <x:c r="C6" s="6" t="str">
        <x:v>Builder</x:v>
      </x:c>
      <x:c r="D6" s="6" t="str">
        <x:v>Family</x:v>
      </x:c>
      <x:c r="E6" s="6" t="str">
        <x:v>Standard</x:v>
      </x:c>
      <x:c r="F6" s="6" t="str">
        <x:v>Operator</x:v>
      </x:c>
      <x:c r="G6" s="6" t="str">
        <x:v>Repeat</x:v>
      </x:c>
      <x:c r="H6" s="6" t="str">
        <x:v>Reference value</x:v>
      </x:c>
      <x:c r="I6" s="6" t="str">
        <x:v>Observed value</x:v>
      </x:c>
      <x:c r="J6" s="6" t="str">
        <x:v>Error</x:v>
      </x:c>
      <x:c r="K6" s="6" t="str">
        <x:v>Calibration identity</x:v>
      </x:c>
      <x:c r="L6" s="6" t="str">
        <x:v>Observed UTC</x:v>
      </x:c>
      <x:c r="M6" s="6" t="str">
        <x:v>Accepted UTC</x:v>
      </x:c>
      <x:c r="N6" s="6" t="str">
        <x:v>State</x:v>
      </x:c>
    </x:row>
    <x:row r="7">
      <x:c r="B7" s="7" t="str">
        <x:v>TRO-A-01-S1-O1-R1</x:v>
      </x:c>
      <x:c r="C7" s="7" t="str">
        <x:v>BLD-A</x:v>
      </x:c>
      <x:c r="D7" s="7" t="str">
        <x:v>MF-01</x:v>
      </x:c>
      <x:c r="E7" s="7" t="str">
        <x:v>STD-01-1</x:v>
      </x:c>
      <x:c r="F7" s="7" t="str">
        <x:v>OP-1</x:v>
      </x:c>
      <x:c r="G7" s="7" t="n">
        <x:v>1</x:v>
      </x:c>
      <x:c r="H7" s="7" t="str"/>
      <x:c r="I7" s="7" t="str"/>
      <x:c r="J7" s="7" t="str">
        <x:f>IF(OR(H7="",I7=""),"",I7-H7)</x:f>
      </x:c>
      <x:c r="K7" s="7" t="str"/>
      <x:c r="L7" s="7" t="str"/>
      <x:c r="M7" s="7" t="str"/>
      <x:c r="N7" s="7" t="str">
        <x:f>IF(M7="","OPEN",IF(OR(NOT(ISNUMBER(H7)),NOT(ISNUMBER(I7)),K7="",L7=""),"FAIL","PASS"))</x:f>
        <x:v>OPEN</x:v>
      </x:c>
    </x:row>
    <x:row r="8">
      <x:c r="B8" s="7" t="str">
        <x:v>TRO-A-01-S1-O1-R2</x:v>
      </x:c>
      <x:c r="C8" s="7" t="str">
        <x:v>BLD-A</x:v>
      </x:c>
      <x:c r="D8" s="7" t="str">
        <x:v>MF-01</x:v>
      </x:c>
      <x:c r="E8" s="7" t="str">
        <x:v>STD-01-1</x:v>
      </x:c>
      <x:c r="F8" s="7" t="str">
        <x:v>OP-1</x:v>
      </x:c>
      <x:c r="G8" s="7" t="n">
        <x:v>2</x:v>
      </x:c>
      <x:c r="H8" s="7" t="str"/>
      <x:c r="I8" s="7" t="str"/>
      <x:c r="J8" s="7" t="str">
        <x:f>IF(OR(H8="",I8=""),"",I8-H8)</x:f>
      </x:c>
      <x:c r="K8" s="7" t="str"/>
      <x:c r="L8" s="7" t="str"/>
      <x:c r="M8" s="7" t="str"/>
      <x:c r="N8" s="7" t="str">
        <x:f>IF(M8="","OPEN",IF(OR(NOT(ISNUMBER(H8)),NOT(ISNUMBER(I8)),K8="",L8=""),"FAIL","PASS"))</x:f>
        <x:v>OPEN</x:v>
      </x:c>
    </x:row>
    <x:row r="9">
      <x:c r="B9" s="7" t="str">
        <x:v>TRO-A-01-S1-O2-R1</x:v>
      </x:c>
      <x:c r="C9" s="7" t="str">
        <x:v>BLD-A</x:v>
      </x:c>
      <x:c r="D9" s="7" t="str">
        <x:v>MF-01</x:v>
      </x:c>
      <x:c r="E9" s="7" t="str">
        <x:v>STD-01-1</x:v>
      </x:c>
      <x:c r="F9" s="7" t="str">
        <x:v>OP-2</x:v>
      </x:c>
      <x:c r="G9" s="7" t="n">
        <x:v>1</x:v>
      </x:c>
      <x:c r="H9" s="7" t="str"/>
      <x:c r="I9" s="7" t="str"/>
      <x:c r="J9" s="7" t="str">
        <x:f>IF(OR(H9="",I9=""),"",I9-H9)</x:f>
      </x:c>
      <x:c r="K9" s="7" t="str"/>
      <x:c r="L9" s="7" t="str"/>
      <x:c r="M9" s="7" t="str"/>
      <x:c r="N9" s="7" t="str">
        <x:f>IF(M9="","OPEN",IF(OR(NOT(ISNUMBER(H9)),NOT(ISNUMBER(I9)),K9="",L9=""),"FAIL","PASS"))</x:f>
        <x:v>OPEN</x:v>
      </x:c>
    </x:row>
    <x:row r="10">
      <x:c r="B10" s="7" t="str">
        <x:v>TRO-A-01-S1-O2-R2</x:v>
      </x:c>
      <x:c r="C10" s="7" t="str">
        <x:v>BLD-A</x:v>
      </x:c>
      <x:c r="D10" s="7" t="str">
        <x:v>MF-01</x:v>
      </x:c>
      <x:c r="E10" s="7" t="str">
        <x:v>STD-01-1</x:v>
      </x:c>
      <x:c r="F10" s="7" t="str">
        <x:v>OP-2</x:v>
      </x:c>
      <x:c r="G10" s="7" t="n">
        <x:v>2</x:v>
      </x:c>
      <x:c r="H10" s="7" t="str"/>
      <x:c r="I10" s="7" t="str"/>
      <x:c r="J10" s="7" t="str">
        <x:f>IF(OR(H10="",I10=""),"",I10-H10)</x:f>
      </x:c>
      <x:c r="K10" s="7" t="str"/>
      <x:c r="L10" s="7" t="str"/>
      <x:c r="M10" s="7" t="str"/>
      <x:c r="N10" s="7" t="str">
        <x:f>IF(M10="","OPEN",IF(OR(NOT(ISNUMBER(H10)),NOT(ISNUMBER(I10)),K10="",L10=""),"FAIL","PASS"))</x:f>
        <x:v>OPEN</x:v>
      </x:c>
    </x:row>
    <x:row r="11">
      <x:c r="B11" s="7" t="str">
        <x:v>TRO-A-01-S2-O1-R1</x:v>
      </x:c>
      <x:c r="C11" s="7" t="str">
        <x:v>BLD-A</x:v>
      </x:c>
      <x:c r="D11" s="7" t="str">
        <x:v>MF-01</x:v>
      </x:c>
      <x:c r="E11" s="7" t="str">
        <x:v>STD-01-2</x:v>
      </x:c>
      <x:c r="F11" s="7" t="str">
        <x:v>OP-1</x:v>
      </x:c>
      <x:c r="G11" s="7" t="n">
        <x:v>1</x:v>
      </x:c>
      <x:c r="H11" s="7" t="str"/>
      <x:c r="I11" s="7" t="str"/>
      <x:c r="J11" s="7" t="str">
        <x:f>IF(OR(H11="",I11=""),"",I11-H11)</x:f>
      </x:c>
      <x:c r="K11" s="7" t="str"/>
      <x:c r="L11" s="7" t="str"/>
      <x:c r="M11" s="7" t="str"/>
      <x:c r="N11" s="7" t="str">
        <x:f>IF(M11="","OPEN",IF(OR(NOT(ISNUMBER(H11)),NOT(ISNUMBER(I11)),K11="",L11=""),"FAIL","PASS"))</x:f>
        <x:v>OPEN</x:v>
      </x:c>
    </x:row>
    <x:row r="12">
      <x:c r="B12" s="7" t="str">
        <x:v>TRO-A-01-S2-O1-R2</x:v>
      </x:c>
      <x:c r="C12" s="7" t="str">
        <x:v>BLD-A</x:v>
      </x:c>
      <x:c r="D12" s="7" t="str">
        <x:v>MF-01</x:v>
      </x:c>
      <x:c r="E12" s="7" t="str">
        <x:v>STD-01-2</x:v>
      </x:c>
      <x:c r="F12" s="7" t="str">
        <x:v>OP-1</x:v>
      </x:c>
      <x:c r="G12" s="7" t="n">
        <x:v>2</x:v>
      </x:c>
      <x:c r="H12" s="7" t="str"/>
      <x:c r="I12" s="7" t="str"/>
      <x:c r="J12" s="7" t="str">
        <x:f>IF(OR(H12="",I12=""),"",I12-H12)</x:f>
      </x:c>
      <x:c r="K12" s="7" t="str"/>
      <x:c r="L12" s="7" t="str"/>
      <x:c r="M12" s="7" t="str"/>
      <x:c r="N12" s="7" t="str">
        <x:f>IF(M12="","OPEN",IF(OR(NOT(ISNUMBER(H12)),NOT(ISNUMBER(I12)),K12="",L12=""),"FAIL","PASS"))</x:f>
        <x:v>OPEN</x:v>
      </x:c>
    </x:row>
    <x:row r="13">
      <x:c r="B13" s="7" t="str">
        <x:v>TRO-A-01-S2-O2-R1</x:v>
      </x:c>
      <x:c r="C13" s="7" t="str">
        <x:v>BLD-A</x:v>
      </x:c>
      <x:c r="D13" s="7" t="str">
        <x:v>MF-01</x:v>
      </x:c>
      <x:c r="E13" s="7" t="str">
        <x:v>STD-01-2</x:v>
      </x:c>
      <x:c r="F13" s="7" t="str">
        <x:v>OP-2</x:v>
      </x:c>
      <x:c r="G13" s="7" t="n">
        <x:v>1</x:v>
      </x:c>
      <x:c r="H13" s="7" t="str"/>
      <x:c r="I13" s="7" t="str"/>
      <x:c r="J13" s="7" t="str">
        <x:f>IF(OR(H13="",I13=""),"",I13-H13)</x:f>
      </x:c>
      <x:c r="K13" s="7" t="str"/>
      <x:c r="L13" s="7" t="str"/>
      <x:c r="M13" s="7" t="str"/>
      <x:c r="N13" s="7" t="str">
        <x:f>IF(M13="","OPEN",IF(OR(NOT(ISNUMBER(H13)),NOT(ISNUMBER(I13)),K13="",L13=""),"FAIL","PASS"))</x:f>
        <x:v>OPEN</x:v>
      </x:c>
    </x:row>
    <x:row r="14">
      <x:c r="B14" s="7" t="str">
        <x:v>TRO-A-01-S2-O2-R2</x:v>
      </x:c>
      <x:c r="C14" s="7" t="str">
        <x:v>BLD-A</x:v>
      </x:c>
      <x:c r="D14" s="7" t="str">
        <x:v>MF-01</x:v>
      </x:c>
      <x:c r="E14" s="7" t="str">
        <x:v>STD-01-2</x:v>
      </x:c>
      <x:c r="F14" s="7" t="str">
        <x:v>OP-2</x:v>
      </x:c>
      <x:c r="G14" s="7" t="n">
        <x:v>2</x:v>
      </x:c>
      <x:c r="H14" s="7" t="str"/>
      <x:c r="I14" s="7" t="str"/>
      <x:c r="J14" s="7" t="str">
        <x:f>IF(OR(H14="",I14=""),"",I14-H14)</x:f>
      </x:c>
      <x:c r="K14" s="7" t="str"/>
      <x:c r="L14" s="7" t="str"/>
      <x:c r="M14" s="7" t="str"/>
      <x:c r="N14" s="7" t="str">
        <x:f>IF(M14="","OPEN",IF(OR(NOT(ISNUMBER(H14)),NOT(ISNUMBER(I14)),K14="",L14=""),"FAIL","PASS"))</x:f>
        <x:v>OPEN</x:v>
      </x:c>
    </x:row>
    <x:row r="15">
      <x:c r="B15" s="7" t="str">
        <x:v>TRO-A-01-S3-O1-R1</x:v>
      </x:c>
      <x:c r="C15" s="7" t="str">
        <x:v>BLD-A</x:v>
      </x:c>
      <x:c r="D15" s="7" t="str">
        <x:v>MF-01</x:v>
      </x:c>
      <x:c r="E15" s="7" t="str">
        <x:v>STD-01-3</x:v>
      </x:c>
      <x:c r="F15" s="7" t="str">
        <x:v>OP-1</x:v>
      </x:c>
      <x:c r="G15" s="7" t="n">
        <x:v>1</x:v>
      </x:c>
      <x:c r="H15" s="7" t="str"/>
      <x:c r="I15" s="7" t="str"/>
      <x:c r="J15" s="7" t="str">
        <x:f>IF(OR(H15="",I15=""),"",I15-H15)</x:f>
      </x:c>
      <x:c r="K15" s="7" t="str"/>
      <x:c r="L15" s="7" t="str"/>
      <x:c r="M15" s="7" t="str"/>
      <x:c r="N15" s="7" t="str">
        <x:f>IF(M15="","OPEN",IF(OR(NOT(ISNUMBER(H15)),NOT(ISNUMBER(I15)),K15="",L15=""),"FAIL","PASS"))</x:f>
        <x:v>OPEN</x:v>
      </x:c>
    </x:row>
    <x:row r="16">
      <x:c r="B16" s="7" t="str">
        <x:v>TRO-A-01-S3-O1-R2</x:v>
      </x:c>
      <x:c r="C16" s="7" t="str">
        <x:v>BLD-A</x:v>
      </x:c>
      <x:c r="D16" s="7" t="str">
        <x:v>MF-01</x:v>
      </x:c>
      <x:c r="E16" s="7" t="str">
        <x:v>STD-01-3</x:v>
      </x:c>
      <x:c r="F16" s="7" t="str">
        <x:v>OP-1</x:v>
      </x:c>
      <x:c r="G16" s="7" t="n">
        <x:v>2</x:v>
      </x:c>
      <x:c r="H16" s="7" t="str"/>
      <x:c r="I16" s="7" t="str"/>
      <x:c r="J16" s="7" t="str">
        <x:f>IF(OR(H16="",I16=""),"",I16-H16)</x:f>
      </x:c>
      <x:c r="K16" s="7" t="str"/>
      <x:c r="L16" s="7" t="str"/>
      <x:c r="M16" s="7" t="str"/>
      <x:c r="N16" s="7" t="str">
        <x:f>IF(M16="","OPEN",IF(OR(NOT(ISNUMBER(H16)),NOT(ISNUMBER(I16)),K16="",L16=""),"FAIL","PASS"))</x:f>
        <x:v>OPEN</x:v>
      </x:c>
    </x:row>
    <x:row r="17">
      <x:c r="B17" s="7" t="str">
        <x:v>TRO-A-01-S3-O2-R1</x:v>
      </x:c>
      <x:c r="C17" s="7" t="str">
        <x:v>BLD-A</x:v>
      </x:c>
      <x:c r="D17" s="7" t="str">
        <x:v>MF-01</x:v>
      </x:c>
      <x:c r="E17" s="7" t="str">
        <x:v>STD-01-3</x:v>
      </x:c>
      <x:c r="F17" s="7" t="str">
        <x:v>OP-2</x:v>
      </x:c>
      <x:c r="G17" s="7" t="n">
        <x:v>1</x:v>
      </x:c>
      <x:c r="H17" s="7" t="str"/>
      <x:c r="I17" s="7" t="str"/>
      <x:c r="J17" s="7" t="str">
        <x:f>IF(OR(H17="",I17=""),"",I17-H17)</x:f>
      </x:c>
      <x:c r="K17" s="7" t="str"/>
      <x:c r="L17" s="7" t="str"/>
      <x:c r="M17" s="7" t="str"/>
      <x:c r="N17" s="7" t="str">
        <x:f>IF(M17="","OPEN",IF(OR(NOT(ISNUMBER(H17)),NOT(ISNUMBER(I17)),K17="",L17=""),"FAIL","PASS"))</x:f>
        <x:v>OPEN</x:v>
      </x:c>
    </x:row>
    <x:row r="18">
      <x:c r="B18" s="7" t="str">
        <x:v>TRO-A-01-S3-O2-R2</x:v>
      </x:c>
      <x:c r="C18" s="7" t="str">
        <x:v>BLD-A</x:v>
      </x:c>
      <x:c r="D18" s="7" t="str">
        <x:v>MF-01</x:v>
      </x:c>
      <x:c r="E18" s="7" t="str">
        <x:v>STD-01-3</x:v>
      </x:c>
      <x:c r="F18" s="7" t="str">
        <x:v>OP-2</x:v>
      </x:c>
      <x:c r="G18" s="7" t="n">
        <x:v>2</x:v>
      </x:c>
      <x:c r="H18" s="7" t="str"/>
      <x:c r="I18" s="7" t="str"/>
      <x:c r="J18" s="7" t="str">
        <x:f>IF(OR(H18="",I18=""),"",I18-H18)</x:f>
      </x:c>
      <x:c r="K18" s="7" t="str"/>
      <x:c r="L18" s="7" t="str"/>
      <x:c r="M18" s="7" t="str"/>
      <x:c r="N18" s="7" t="str">
        <x:f>IF(M18="","OPEN",IF(OR(NOT(ISNUMBER(H18)),NOT(ISNUMBER(I18)),K18="",L18=""),"FAIL","PASS"))</x:f>
        <x:v>OPEN</x:v>
      </x:c>
    </x:row>
    <x:row r="19">
      <x:c r="B19" s="7" t="str">
        <x:v>TRO-A-01-S4-O1-R1</x:v>
      </x:c>
      <x:c r="C19" s="7" t="str">
        <x:v>BLD-A</x:v>
      </x:c>
      <x:c r="D19" s="7" t="str">
        <x:v>MF-01</x:v>
      </x:c>
      <x:c r="E19" s="7" t="str">
        <x:v>STD-01-4</x:v>
      </x:c>
      <x:c r="F19" s="7" t="str">
        <x:v>OP-1</x:v>
      </x:c>
      <x:c r="G19" s="7" t="n">
        <x:v>1</x:v>
      </x:c>
      <x:c r="H19" s="7" t="str"/>
      <x:c r="I19" s="7" t="str"/>
      <x:c r="J19" s="7" t="str">
        <x:f>IF(OR(H19="",I19=""),"",I19-H19)</x:f>
      </x:c>
      <x:c r="K19" s="7" t="str"/>
      <x:c r="L19" s="7" t="str"/>
      <x:c r="M19" s="7" t="str"/>
      <x:c r="N19" s="7" t="str">
        <x:f>IF(M19="","OPEN",IF(OR(NOT(ISNUMBER(H19)),NOT(ISNUMBER(I19)),K19="",L19=""),"FAIL","PASS"))</x:f>
        <x:v>OPEN</x:v>
      </x:c>
    </x:row>
    <x:row r="20">
      <x:c r="B20" s="7" t="str">
        <x:v>TRO-A-01-S4-O1-R2</x:v>
      </x:c>
      <x:c r="C20" s="7" t="str">
        <x:v>BLD-A</x:v>
      </x:c>
      <x:c r="D20" s="7" t="str">
        <x:v>MF-01</x:v>
      </x:c>
      <x:c r="E20" s="7" t="str">
        <x:v>STD-01-4</x:v>
      </x:c>
      <x:c r="F20" s="7" t="str">
        <x:v>OP-1</x:v>
      </x:c>
      <x:c r="G20" s="7" t="n">
        <x:v>2</x:v>
      </x:c>
      <x:c r="H20" s="7" t="str"/>
      <x:c r="I20" s="7" t="str"/>
      <x:c r="J20" s="7" t="str">
        <x:f>IF(OR(H20="",I20=""),"",I20-H20)</x:f>
      </x:c>
      <x:c r="K20" s="7" t="str"/>
      <x:c r="L20" s="7" t="str"/>
      <x:c r="M20" s="7" t="str"/>
      <x:c r="N20" s="7" t="str">
        <x:f>IF(M20="","OPEN",IF(OR(NOT(ISNUMBER(H20)),NOT(ISNUMBER(I20)),K20="",L20=""),"FAIL","PASS"))</x:f>
        <x:v>OPEN</x:v>
      </x:c>
    </x:row>
    <x:row r="21">
      <x:c r="B21" s="7" t="str">
        <x:v>TRO-A-01-S4-O2-R1</x:v>
      </x:c>
      <x:c r="C21" s="7" t="str">
        <x:v>BLD-A</x:v>
      </x:c>
      <x:c r="D21" s="7" t="str">
        <x:v>MF-01</x:v>
      </x:c>
      <x:c r="E21" s="7" t="str">
        <x:v>STD-01-4</x:v>
      </x:c>
      <x:c r="F21" s="7" t="str">
        <x:v>OP-2</x:v>
      </x:c>
      <x:c r="G21" s="7" t="n">
        <x:v>1</x:v>
      </x:c>
      <x:c r="H21" s="7" t="str"/>
      <x:c r="I21" s="7" t="str"/>
      <x:c r="J21" s="7" t="str">
        <x:f>IF(OR(H21="",I21=""),"",I21-H21)</x:f>
      </x:c>
      <x:c r="K21" s="7" t="str"/>
      <x:c r="L21" s="7" t="str"/>
      <x:c r="M21" s="7" t="str"/>
      <x:c r="N21" s="7" t="str">
        <x:f>IF(M21="","OPEN",IF(OR(NOT(ISNUMBER(H21)),NOT(ISNUMBER(I21)),K21="",L21=""),"FAIL","PASS"))</x:f>
        <x:v>OPEN</x:v>
      </x:c>
    </x:row>
    <x:row r="22">
      <x:c r="B22" s="7" t="str">
        <x:v>TRO-A-01-S4-O2-R2</x:v>
      </x:c>
      <x:c r="C22" s="7" t="str">
        <x:v>BLD-A</x:v>
      </x:c>
      <x:c r="D22" s="7" t="str">
        <x:v>MF-01</x:v>
      </x:c>
      <x:c r="E22" s="7" t="str">
        <x:v>STD-01-4</x:v>
      </x:c>
      <x:c r="F22" s="7" t="str">
        <x:v>OP-2</x:v>
      </x:c>
      <x:c r="G22" s="7" t="n">
        <x:v>2</x:v>
      </x:c>
      <x:c r="H22" s="7" t="str"/>
      <x:c r="I22" s="7" t="str"/>
      <x:c r="J22" s="7" t="str">
        <x:f>IF(OR(H22="",I22=""),"",I22-H22)</x:f>
      </x:c>
      <x:c r="K22" s="7" t="str"/>
      <x:c r="L22" s="7" t="str"/>
      <x:c r="M22" s="7" t="str"/>
      <x:c r="N22" s="7" t="str">
        <x:f>IF(M22="","OPEN",IF(OR(NOT(ISNUMBER(H22)),NOT(ISNUMBER(I22)),K22="",L22=""),"FAIL","PASS"))</x:f>
        <x:v>OPEN</x:v>
      </x:c>
    </x:row>
    <x:row r="23">
      <x:c r="B23" s="7" t="str">
        <x:v>TRO-A-01-S5-O1-R1</x:v>
      </x:c>
      <x:c r="C23" s="7" t="str">
        <x:v>BLD-A</x:v>
      </x:c>
      <x:c r="D23" s="7" t="str">
        <x:v>MF-01</x:v>
      </x:c>
      <x:c r="E23" s="7" t="str">
        <x:v>STD-01-5</x:v>
      </x:c>
      <x:c r="F23" s="7" t="str">
        <x:v>OP-1</x:v>
      </x:c>
      <x:c r="G23" s="7" t="n">
        <x:v>1</x:v>
      </x:c>
      <x:c r="H23" s="7" t="str"/>
      <x:c r="I23" s="7" t="str"/>
      <x:c r="J23" s="7" t="str">
        <x:f>IF(OR(H23="",I23=""),"",I23-H23)</x:f>
      </x:c>
      <x:c r="K23" s="7" t="str"/>
      <x:c r="L23" s="7" t="str"/>
      <x:c r="M23" s="7" t="str"/>
      <x:c r="N23" s="7" t="str">
        <x:f>IF(M23="","OPEN",IF(OR(NOT(ISNUMBER(H23)),NOT(ISNUMBER(I23)),K23="",L23=""),"FAIL","PASS"))</x:f>
        <x:v>OPEN</x:v>
      </x:c>
    </x:row>
    <x:row r="24">
      <x:c r="B24" s="7" t="str">
        <x:v>TRO-A-01-S5-O1-R2</x:v>
      </x:c>
      <x:c r="C24" s="7" t="str">
        <x:v>BLD-A</x:v>
      </x:c>
      <x:c r="D24" s="7" t="str">
        <x:v>MF-01</x:v>
      </x:c>
      <x:c r="E24" s="7" t="str">
        <x:v>STD-01-5</x:v>
      </x:c>
      <x:c r="F24" s="7" t="str">
        <x:v>OP-1</x:v>
      </x:c>
      <x:c r="G24" s="7" t="n">
        <x:v>2</x:v>
      </x:c>
      <x:c r="H24" s="7" t="str"/>
      <x:c r="I24" s="7" t="str"/>
      <x:c r="J24" s="7" t="str">
        <x:f>IF(OR(H24="",I24=""),"",I24-H24)</x:f>
      </x:c>
      <x:c r="K24" s="7" t="str"/>
      <x:c r="L24" s="7" t="str"/>
      <x:c r="M24" s="7" t="str"/>
      <x:c r="N24" s="7" t="str">
        <x:f>IF(M24="","OPEN",IF(OR(NOT(ISNUMBER(H24)),NOT(ISNUMBER(I24)),K24="",L24=""),"FAIL","PASS"))</x:f>
        <x:v>OPEN</x:v>
      </x:c>
    </x:row>
    <x:row r="25">
      <x:c r="B25" s="7" t="str">
        <x:v>TRO-A-01-S5-O2-R1</x:v>
      </x:c>
      <x:c r="C25" s="7" t="str">
        <x:v>BLD-A</x:v>
      </x:c>
      <x:c r="D25" s="7" t="str">
        <x:v>MF-01</x:v>
      </x:c>
      <x:c r="E25" s="7" t="str">
        <x:v>STD-01-5</x:v>
      </x:c>
      <x:c r="F25" s="7" t="str">
        <x:v>OP-2</x:v>
      </x:c>
      <x:c r="G25" s="7" t="n">
        <x:v>1</x:v>
      </x:c>
      <x:c r="H25" s="7" t="str"/>
      <x:c r="I25" s="7" t="str"/>
      <x:c r="J25" s="7" t="str">
        <x:f>IF(OR(H25="",I25=""),"",I25-H25)</x:f>
      </x:c>
      <x:c r="K25" s="7" t="str"/>
      <x:c r="L25" s="7" t="str"/>
      <x:c r="M25" s="7" t="str"/>
      <x:c r="N25" s="7" t="str">
        <x:f>IF(M25="","OPEN",IF(OR(NOT(ISNUMBER(H25)),NOT(ISNUMBER(I25)),K25="",L25=""),"FAIL","PASS"))</x:f>
        <x:v>OPEN</x:v>
      </x:c>
    </x:row>
    <x:row r="26">
      <x:c r="B26" s="7" t="str">
        <x:v>TRO-A-01-S5-O2-R2</x:v>
      </x:c>
      <x:c r="C26" s="7" t="str">
        <x:v>BLD-A</x:v>
      </x:c>
      <x:c r="D26" s="7" t="str">
        <x:v>MF-01</x:v>
      </x:c>
      <x:c r="E26" s="7" t="str">
        <x:v>STD-01-5</x:v>
      </x:c>
      <x:c r="F26" s="7" t="str">
        <x:v>OP-2</x:v>
      </x:c>
      <x:c r="G26" s="7" t="n">
        <x:v>2</x:v>
      </x:c>
      <x:c r="H26" s="7" t="str"/>
      <x:c r="I26" s="7" t="str"/>
      <x:c r="J26" s="7" t="str">
        <x:f>IF(OR(H26="",I26=""),"",I26-H26)</x:f>
      </x:c>
      <x:c r="K26" s="7" t="str"/>
      <x:c r="L26" s="7" t="str"/>
      <x:c r="M26" s="7" t="str"/>
      <x:c r="N26" s="7" t="str">
        <x:f>IF(M26="","OPEN",IF(OR(NOT(ISNUMBER(H26)),NOT(ISNUMBER(I26)),K26="",L26=""),"FAIL","PASS"))</x:f>
        <x:v>OPEN</x:v>
      </x:c>
    </x:row>
    <x:row r="27">
      <x:c r="B27" s="7" t="str">
        <x:v>TRO-A-01-S6-O1-R1</x:v>
      </x:c>
      <x:c r="C27" s="7" t="str">
        <x:v>BLD-A</x:v>
      </x:c>
      <x:c r="D27" s="7" t="str">
        <x:v>MF-01</x:v>
      </x:c>
      <x:c r="E27" s="7" t="str">
        <x:v>STD-01-6</x:v>
      </x:c>
      <x:c r="F27" s="7" t="str">
        <x:v>OP-1</x:v>
      </x:c>
      <x:c r="G27" s="7" t="n">
        <x:v>1</x:v>
      </x:c>
      <x:c r="H27" s="7" t="str"/>
      <x:c r="I27" s="7" t="str"/>
      <x:c r="J27" s="7" t="str">
        <x:f>IF(OR(H27="",I27=""),"",I27-H27)</x:f>
      </x:c>
      <x:c r="K27" s="7" t="str"/>
      <x:c r="L27" s="7" t="str"/>
      <x:c r="M27" s="7" t="str"/>
      <x:c r="N27" s="7" t="str">
        <x:f>IF(M27="","OPEN",IF(OR(NOT(ISNUMBER(H27)),NOT(ISNUMBER(I27)),K27="",L27=""),"FAIL","PASS"))</x:f>
        <x:v>OPEN</x:v>
      </x:c>
    </x:row>
    <x:row r="28">
      <x:c r="B28" s="7" t="str">
        <x:v>TRO-A-01-S6-O1-R2</x:v>
      </x:c>
      <x:c r="C28" s="7" t="str">
        <x:v>BLD-A</x:v>
      </x:c>
      <x:c r="D28" s="7" t="str">
        <x:v>MF-01</x:v>
      </x:c>
      <x:c r="E28" s="7" t="str">
        <x:v>STD-01-6</x:v>
      </x:c>
      <x:c r="F28" s="7" t="str">
        <x:v>OP-1</x:v>
      </x:c>
      <x:c r="G28" s="7" t="n">
        <x:v>2</x:v>
      </x:c>
      <x:c r="H28" s="7" t="str"/>
      <x:c r="I28" s="7" t="str"/>
      <x:c r="J28" s="7" t="str">
        <x:f>IF(OR(H28="",I28=""),"",I28-H28)</x:f>
      </x:c>
      <x:c r="K28" s="7" t="str"/>
      <x:c r="L28" s="7" t="str"/>
      <x:c r="M28" s="7" t="str"/>
      <x:c r="N28" s="7" t="str">
        <x:f>IF(M28="","OPEN",IF(OR(NOT(ISNUMBER(H28)),NOT(ISNUMBER(I28)),K28="",L28=""),"FAIL","PASS"))</x:f>
        <x:v>OPEN</x:v>
      </x:c>
    </x:row>
    <x:row r="29">
      <x:c r="B29" s="7" t="str">
        <x:v>TRO-A-01-S6-O2-R1</x:v>
      </x:c>
      <x:c r="C29" s="7" t="str">
        <x:v>BLD-A</x:v>
      </x:c>
      <x:c r="D29" s="7" t="str">
        <x:v>MF-01</x:v>
      </x:c>
      <x:c r="E29" s="7" t="str">
        <x:v>STD-01-6</x:v>
      </x:c>
      <x:c r="F29" s="7" t="str">
        <x:v>OP-2</x:v>
      </x:c>
      <x:c r="G29" s="7" t="n">
        <x:v>1</x:v>
      </x:c>
      <x:c r="H29" s="7" t="str"/>
      <x:c r="I29" s="7" t="str"/>
      <x:c r="J29" s="7" t="str">
        <x:f>IF(OR(H29="",I29=""),"",I29-H29)</x:f>
      </x:c>
      <x:c r="K29" s="7" t="str"/>
      <x:c r="L29" s="7" t="str"/>
      <x:c r="M29" s="7" t="str"/>
      <x:c r="N29" s="7" t="str">
        <x:f>IF(M29="","OPEN",IF(OR(NOT(ISNUMBER(H29)),NOT(ISNUMBER(I29)),K29="",L29=""),"FAIL","PASS"))</x:f>
        <x:v>OPEN</x:v>
      </x:c>
    </x:row>
    <x:row r="30">
      <x:c r="B30" s="7" t="str">
        <x:v>TRO-A-01-S6-O2-R2</x:v>
      </x:c>
      <x:c r="C30" s="7" t="str">
        <x:v>BLD-A</x:v>
      </x:c>
      <x:c r="D30" s="7" t="str">
        <x:v>MF-01</x:v>
      </x:c>
      <x:c r="E30" s="7" t="str">
        <x:v>STD-01-6</x:v>
      </x:c>
      <x:c r="F30" s="7" t="str">
        <x:v>OP-2</x:v>
      </x:c>
      <x:c r="G30" s="7" t="n">
        <x:v>2</x:v>
      </x:c>
      <x:c r="H30" s="7" t="str"/>
      <x:c r="I30" s="7" t="str"/>
      <x:c r="J30" s="7" t="str">
        <x:f>IF(OR(H30="",I30=""),"",I30-H30)</x:f>
      </x:c>
      <x:c r="K30" s="7" t="str"/>
      <x:c r="L30" s="7" t="str"/>
      <x:c r="M30" s="7" t="str"/>
      <x:c r="N30" s="7" t="str">
        <x:f>IF(M30="","OPEN",IF(OR(NOT(ISNUMBER(H30)),NOT(ISNUMBER(I30)),K30="",L30=""),"FAIL","PASS"))</x:f>
        <x:v>OPEN</x:v>
      </x:c>
    </x:row>
    <x:row r="31">
      <x:c r="B31" s="7" t="str">
        <x:v>TRO-A-02-S1-O1-R1</x:v>
      </x:c>
      <x:c r="C31" s="7" t="str">
        <x:v>BLD-A</x:v>
      </x:c>
      <x:c r="D31" s="7" t="str">
        <x:v>MF-02</x:v>
      </x:c>
      <x:c r="E31" s="7" t="str">
        <x:v>STD-02-1</x:v>
      </x:c>
      <x:c r="F31" s="7" t="str">
        <x:v>OP-1</x:v>
      </x:c>
      <x:c r="G31" s="7" t="n">
        <x:v>1</x:v>
      </x:c>
      <x:c r="H31" s="7" t="str"/>
      <x:c r="I31" s="7" t="str"/>
      <x:c r="J31" s="7" t="str">
        <x:f>IF(OR(H31="",I31=""),"",I31-H31)</x:f>
      </x:c>
      <x:c r="K31" s="7" t="str"/>
      <x:c r="L31" s="7" t="str"/>
      <x:c r="M31" s="7" t="str"/>
      <x:c r="N31" s="7" t="str">
        <x:f>IF(M31="","OPEN",IF(OR(NOT(ISNUMBER(H31)),NOT(ISNUMBER(I31)),K31="",L31=""),"FAIL","PASS"))</x:f>
        <x:v>OPEN</x:v>
      </x:c>
    </x:row>
    <x:row r="32">
      <x:c r="B32" s="7" t="str">
        <x:v>TRO-A-02-S1-O1-R2</x:v>
      </x:c>
      <x:c r="C32" s="7" t="str">
        <x:v>BLD-A</x:v>
      </x:c>
      <x:c r="D32" s="7" t="str">
        <x:v>MF-02</x:v>
      </x:c>
      <x:c r="E32" s="7" t="str">
        <x:v>STD-02-1</x:v>
      </x:c>
      <x:c r="F32" s="7" t="str">
        <x:v>OP-1</x:v>
      </x:c>
      <x:c r="G32" s="7" t="n">
        <x:v>2</x:v>
      </x:c>
      <x:c r="H32" s="7" t="str"/>
      <x:c r="I32" s="7" t="str"/>
      <x:c r="J32" s="7" t="str">
        <x:f>IF(OR(H32="",I32=""),"",I32-H32)</x:f>
      </x:c>
      <x:c r="K32" s="7" t="str"/>
      <x:c r="L32" s="7" t="str"/>
      <x:c r="M32" s="7" t="str"/>
      <x:c r="N32" s="7" t="str">
        <x:f>IF(M32="","OPEN",IF(OR(NOT(ISNUMBER(H32)),NOT(ISNUMBER(I32)),K32="",L32=""),"FAIL","PASS"))</x:f>
        <x:v>OPEN</x:v>
      </x:c>
    </x:row>
    <x:row r="33">
      <x:c r="B33" s="7" t="str">
        <x:v>TRO-A-02-S1-O2-R1</x:v>
      </x:c>
      <x:c r="C33" s="7" t="str">
        <x:v>BLD-A</x:v>
      </x:c>
      <x:c r="D33" s="7" t="str">
        <x:v>MF-02</x:v>
      </x:c>
      <x:c r="E33" s="7" t="str">
        <x:v>STD-02-1</x:v>
      </x:c>
      <x:c r="F33" s="7" t="str">
        <x:v>OP-2</x:v>
      </x:c>
      <x:c r="G33" s="7" t="n">
        <x:v>1</x:v>
      </x:c>
      <x:c r="H33" s="7" t="str"/>
      <x:c r="I33" s="7" t="str"/>
      <x:c r="J33" s="7" t="str">
        <x:f>IF(OR(H33="",I33=""),"",I33-H33)</x:f>
      </x:c>
      <x:c r="K33" s="7" t="str"/>
      <x:c r="L33" s="7" t="str"/>
      <x:c r="M33" s="7" t="str"/>
      <x:c r="N33" s="7" t="str">
        <x:f>IF(M33="","OPEN",IF(OR(NOT(ISNUMBER(H33)),NOT(ISNUMBER(I33)),K33="",L33=""),"FAIL","PASS"))</x:f>
        <x:v>OPEN</x:v>
      </x:c>
    </x:row>
    <x:row r="34">
      <x:c r="B34" s="7" t="str">
        <x:v>TRO-A-02-S1-O2-R2</x:v>
      </x:c>
      <x:c r="C34" s="7" t="str">
        <x:v>BLD-A</x:v>
      </x:c>
      <x:c r="D34" s="7" t="str">
        <x:v>MF-02</x:v>
      </x:c>
      <x:c r="E34" s="7" t="str">
        <x:v>STD-02-1</x:v>
      </x:c>
      <x:c r="F34" s="7" t="str">
        <x:v>OP-2</x:v>
      </x:c>
      <x:c r="G34" s="7" t="n">
        <x:v>2</x:v>
      </x:c>
      <x:c r="H34" s="7" t="str"/>
      <x:c r="I34" s="7" t="str"/>
      <x:c r="J34" s="7" t="str">
        <x:f>IF(OR(H34="",I34=""),"",I34-H34)</x:f>
      </x:c>
      <x:c r="K34" s="7" t="str"/>
      <x:c r="L34" s="7" t="str"/>
      <x:c r="M34" s="7" t="str"/>
      <x:c r="N34" s="7" t="str">
        <x:f>IF(M34="","OPEN",IF(OR(NOT(ISNUMBER(H34)),NOT(ISNUMBER(I34)),K34="",L34=""),"FAIL","PASS"))</x:f>
        <x:v>OPEN</x:v>
      </x:c>
    </x:row>
    <x:row r="35">
      <x:c r="B35" s="7" t="str">
        <x:v>TRO-A-02-S2-O1-R1</x:v>
      </x:c>
      <x:c r="C35" s="7" t="str">
        <x:v>BLD-A</x:v>
      </x:c>
      <x:c r="D35" s="7" t="str">
        <x:v>MF-02</x:v>
      </x:c>
      <x:c r="E35" s="7" t="str">
        <x:v>STD-02-2</x:v>
      </x:c>
      <x:c r="F35" s="7" t="str">
        <x:v>OP-1</x:v>
      </x:c>
      <x:c r="G35" s="7" t="n">
        <x:v>1</x:v>
      </x:c>
      <x:c r="H35" s="7" t="str"/>
      <x:c r="I35" s="7" t="str"/>
      <x:c r="J35" s="7" t="str">
        <x:f>IF(OR(H35="",I35=""),"",I35-H35)</x:f>
      </x:c>
      <x:c r="K35" s="7" t="str"/>
      <x:c r="L35" s="7" t="str"/>
      <x:c r="M35" s="7" t="str"/>
      <x:c r="N35" s="7" t="str">
        <x:f>IF(M35="","OPEN",IF(OR(NOT(ISNUMBER(H35)),NOT(ISNUMBER(I35)),K35="",L35=""),"FAIL","PASS"))</x:f>
        <x:v>OPEN</x:v>
      </x:c>
    </x:row>
    <x:row r="36">
      <x:c r="B36" s="7" t="str">
        <x:v>TRO-A-02-S2-O1-R2</x:v>
      </x:c>
      <x:c r="C36" s="7" t="str">
        <x:v>BLD-A</x:v>
      </x:c>
      <x:c r="D36" s="7" t="str">
        <x:v>MF-02</x:v>
      </x:c>
      <x:c r="E36" s="7" t="str">
        <x:v>STD-02-2</x:v>
      </x:c>
      <x:c r="F36" s="7" t="str">
        <x:v>OP-1</x:v>
      </x:c>
      <x:c r="G36" s="7" t="n">
        <x:v>2</x:v>
      </x:c>
      <x:c r="H36" s="7" t="str"/>
      <x:c r="I36" s="7" t="str"/>
      <x:c r="J36" s="7" t="str">
        <x:f>IF(OR(H36="",I36=""),"",I36-H36)</x:f>
      </x:c>
      <x:c r="K36" s="7" t="str"/>
      <x:c r="L36" s="7" t="str"/>
      <x:c r="M36" s="7" t="str"/>
      <x:c r="N36" s="7" t="str">
        <x:f>IF(M36="","OPEN",IF(OR(NOT(ISNUMBER(H36)),NOT(ISNUMBER(I36)),K36="",L36=""),"FAIL","PASS"))</x:f>
        <x:v>OPEN</x:v>
      </x:c>
    </x:row>
    <x:row r="37">
      <x:c r="B37" s="7" t="str">
        <x:v>TRO-A-02-S2-O2-R1</x:v>
      </x:c>
      <x:c r="C37" s="7" t="str">
        <x:v>BLD-A</x:v>
      </x:c>
      <x:c r="D37" s="7" t="str">
        <x:v>MF-02</x:v>
      </x:c>
      <x:c r="E37" s="7" t="str">
        <x:v>STD-02-2</x:v>
      </x:c>
      <x:c r="F37" s="7" t="str">
        <x:v>OP-2</x:v>
      </x:c>
      <x:c r="G37" s="7" t="n">
        <x:v>1</x:v>
      </x:c>
      <x:c r="H37" s="7" t="str"/>
      <x:c r="I37" s="7" t="str"/>
      <x:c r="J37" s="7" t="str">
        <x:f>IF(OR(H37="",I37=""),"",I37-H37)</x:f>
      </x:c>
      <x:c r="K37" s="7" t="str"/>
      <x:c r="L37" s="7" t="str"/>
      <x:c r="M37" s="7" t="str"/>
      <x:c r="N37" s="7" t="str">
        <x:f>IF(M37="","OPEN",IF(OR(NOT(ISNUMBER(H37)),NOT(ISNUMBER(I37)),K37="",L37=""),"FAIL","PASS"))</x:f>
        <x:v>OPEN</x:v>
      </x:c>
    </x:row>
    <x:row r="38">
      <x:c r="B38" s="7" t="str">
        <x:v>TRO-A-02-S2-O2-R2</x:v>
      </x:c>
      <x:c r="C38" s="7" t="str">
        <x:v>BLD-A</x:v>
      </x:c>
      <x:c r="D38" s="7" t="str">
        <x:v>MF-02</x:v>
      </x:c>
      <x:c r="E38" s="7" t="str">
        <x:v>STD-02-2</x:v>
      </x:c>
      <x:c r="F38" s="7" t="str">
        <x:v>OP-2</x:v>
      </x:c>
      <x:c r="G38" s="7" t="n">
        <x:v>2</x:v>
      </x:c>
      <x:c r="H38" s="7" t="str"/>
      <x:c r="I38" s="7" t="str"/>
      <x:c r="J38" s="7" t="str">
        <x:f>IF(OR(H38="",I38=""),"",I38-H38)</x:f>
      </x:c>
      <x:c r="K38" s="7" t="str"/>
      <x:c r="L38" s="7" t="str"/>
      <x:c r="M38" s="7" t="str"/>
      <x:c r="N38" s="7" t="str">
        <x:f>IF(M38="","OPEN",IF(OR(NOT(ISNUMBER(H38)),NOT(ISNUMBER(I38)),K38="",L38=""),"FAIL","PASS"))</x:f>
        <x:v>OPEN</x:v>
      </x:c>
    </x:row>
    <x:row r="39">
      <x:c r="B39" s="7" t="str">
        <x:v>TRO-A-02-S3-O1-R1</x:v>
      </x:c>
      <x:c r="C39" s="7" t="str">
        <x:v>BLD-A</x:v>
      </x:c>
      <x:c r="D39" s="7" t="str">
        <x:v>MF-02</x:v>
      </x:c>
      <x:c r="E39" s="7" t="str">
        <x:v>STD-02-3</x:v>
      </x:c>
      <x:c r="F39" s="7" t="str">
        <x:v>OP-1</x:v>
      </x:c>
      <x:c r="G39" s="7" t="n">
        <x:v>1</x:v>
      </x:c>
      <x:c r="H39" s="7" t="str"/>
      <x:c r="I39" s="7" t="str"/>
      <x:c r="J39" s="7" t="str">
        <x:f>IF(OR(H39="",I39=""),"",I39-H39)</x:f>
      </x:c>
      <x:c r="K39" s="7" t="str"/>
      <x:c r="L39" s="7" t="str"/>
      <x:c r="M39" s="7" t="str"/>
      <x:c r="N39" s="7" t="str">
        <x:f>IF(M39="","OPEN",IF(OR(NOT(ISNUMBER(H39)),NOT(ISNUMBER(I39)),K39="",L39=""),"FAIL","PASS"))</x:f>
        <x:v>OPEN</x:v>
      </x:c>
    </x:row>
    <x:row r="40">
      <x:c r="B40" s="7" t="str">
        <x:v>TRO-A-02-S3-O1-R2</x:v>
      </x:c>
      <x:c r="C40" s="7" t="str">
        <x:v>BLD-A</x:v>
      </x:c>
      <x:c r="D40" s="7" t="str">
        <x:v>MF-02</x:v>
      </x:c>
      <x:c r="E40" s="7" t="str">
        <x:v>STD-02-3</x:v>
      </x:c>
      <x:c r="F40" s="7" t="str">
        <x:v>OP-1</x:v>
      </x:c>
      <x:c r="G40" s="7" t="n">
        <x:v>2</x:v>
      </x:c>
      <x:c r="H40" s="7" t="str"/>
      <x:c r="I40" s="7" t="str"/>
      <x:c r="J40" s="7" t="str">
        <x:f>IF(OR(H40="",I40=""),"",I40-H40)</x:f>
      </x:c>
      <x:c r="K40" s="7" t="str"/>
      <x:c r="L40" s="7" t="str"/>
      <x:c r="M40" s="7" t="str"/>
      <x:c r="N40" s="7" t="str">
        <x:f>IF(M40="","OPEN",IF(OR(NOT(ISNUMBER(H40)),NOT(ISNUMBER(I40)),K40="",L40=""),"FAIL","PASS"))</x:f>
        <x:v>OPEN</x:v>
      </x:c>
    </x:row>
    <x:row r="41">
      <x:c r="B41" s="7" t="str">
        <x:v>TRO-A-02-S3-O2-R1</x:v>
      </x:c>
      <x:c r="C41" s="7" t="str">
        <x:v>BLD-A</x:v>
      </x:c>
      <x:c r="D41" s="7" t="str">
        <x:v>MF-02</x:v>
      </x:c>
      <x:c r="E41" s="7" t="str">
        <x:v>STD-02-3</x:v>
      </x:c>
      <x:c r="F41" s="7" t="str">
        <x:v>OP-2</x:v>
      </x:c>
      <x:c r="G41" s="7" t="n">
        <x:v>1</x:v>
      </x:c>
      <x:c r="H41" s="7" t="str"/>
      <x:c r="I41" s="7" t="str"/>
      <x:c r="J41" s="7" t="str">
        <x:f>IF(OR(H41="",I41=""),"",I41-H41)</x:f>
      </x:c>
      <x:c r="K41" s="7" t="str"/>
      <x:c r="L41" s="7" t="str"/>
      <x:c r="M41" s="7" t="str"/>
      <x:c r="N41" s="7" t="str">
        <x:f>IF(M41="","OPEN",IF(OR(NOT(ISNUMBER(H41)),NOT(ISNUMBER(I41)),K41="",L41=""),"FAIL","PASS"))</x:f>
        <x:v>OPEN</x:v>
      </x:c>
    </x:row>
    <x:row r="42">
      <x:c r="B42" s="7" t="str">
        <x:v>TRO-A-02-S3-O2-R2</x:v>
      </x:c>
      <x:c r="C42" s="7" t="str">
        <x:v>BLD-A</x:v>
      </x:c>
      <x:c r="D42" s="7" t="str">
        <x:v>MF-02</x:v>
      </x:c>
      <x:c r="E42" s="7" t="str">
        <x:v>STD-02-3</x:v>
      </x:c>
      <x:c r="F42" s="7" t="str">
        <x:v>OP-2</x:v>
      </x:c>
      <x:c r="G42" s="7" t="n">
        <x:v>2</x:v>
      </x:c>
      <x:c r="H42" s="7" t="str"/>
      <x:c r="I42" s="7" t="str"/>
      <x:c r="J42" s="7" t="str">
        <x:f>IF(OR(H42="",I42=""),"",I42-H42)</x:f>
      </x:c>
      <x:c r="K42" s="7" t="str"/>
      <x:c r="L42" s="7" t="str"/>
      <x:c r="M42" s="7" t="str"/>
      <x:c r="N42" s="7" t="str">
        <x:f>IF(M42="","OPEN",IF(OR(NOT(ISNUMBER(H42)),NOT(ISNUMBER(I42)),K42="",L42=""),"FAIL","PASS"))</x:f>
        <x:v>OPEN</x:v>
      </x:c>
    </x:row>
    <x:row r="43">
      <x:c r="B43" s="7" t="str">
        <x:v>TRO-A-02-S4-O1-R1</x:v>
      </x:c>
      <x:c r="C43" s="7" t="str">
        <x:v>BLD-A</x:v>
      </x:c>
      <x:c r="D43" s="7" t="str">
        <x:v>MF-02</x:v>
      </x:c>
      <x:c r="E43" s="7" t="str">
        <x:v>STD-02-4</x:v>
      </x:c>
      <x:c r="F43" s="7" t="str">
        <x:v>OP-1</x:v>
      </x:c>
      <x:c r="G43" s="7" t="n">
        <x:v>1</x:v>
      </x:c>
      <x:c r="H43" s="7" t="str"/>
      <x:c r="I43" s="7" t="str"/>
      <x:c r="J43" s="7" t="str">
        <x:f>IF(OR(H43="",I43=""),"",I43-H43)</x:f>
      </x:c>
      <x:c r="K43" s="7" t="str"/>
      <x:c r="L43" s="7" t="str"/>
      <x:c r="M43" s="7" t="str"/>
      <x:c r="N43" s="7" t="str">
        <x:f>IF(M43="","OPEN",IF(OR(NOT(ISNUMBER(H43)),NOT(ISNUMBER(I43)),K43="",L43=""),"FAIL","PASS"))</x:f>
        <x:v>OPEN</x:v>
      </x:c>
    </x:row>
    <x:row r="44">
      <x:c r="B44" s="7" t="str">
        <x:v>TRO-A-02-S4-O1-R2</x:v>
      </x:c>
      <x:c r="C44" s="7" t="str">
        <x:v>BLD-A</x:v>
      </x:c>
      <x:c r="D44" s="7" t="str">
        <x:v>MF-02</x:v>
      </x:c>
      <x:c r="E44" s="7" t="str">
        <x:v>STD-02-4</x:v>
      </x:c>
      <x:c r="F44" s="7" t="str">
        <x:v>OP-1</x:v>
      </x:c>
      <x:c r="G44" s="7" t="n">
        <x:v>2</x:v>
      </x:c>
      <x:c r="H44" s="7" t="str"/>
      <x:c r="I44" s="7" t="str"/>
      <x:c r="J44" s="7" t="str">
        <x:f>IF(OR(H44="",I44=""),"",I44-H44)</x:f>
      </x:c>
      <x:c r="K44" s="7" t="str"/>
      <x:c r="L44" s="7" t="str"/>
      <x:c r="M44" s="7" t="str"/>
      <x:c r="N44" s="7" t="str">
        <x:f>IF(M44="","OPEN",IF(OR(NOT(ISNUMBER(H44)),NOT(ISNUMBER(I44)),K44="",L44=""),"FAIL","PASS"))</x:f>
        <x:v>OPEN</x:v>
      </x:c>
    </x:row>
    <x:row r="45">
      <x:c r="B45" s="7" t="str">
        <x:v>TRO-A-02-S4-O2-R1</x:v>
      </x:c>
      <x:c r="C45" s="7" t="str">
        <x:v>BLD-A</x:v>
      </x:c>
      <x:c r="D45" s="7" t="str">
        <x:v>MF-02</x:v>
      </x:c>
      <x:c r="E45" s="7" t="str">
        <x:v>STD-02-4</x:v>
      </x:c>
      <x:c r="F45" s="7" t="str">
        <x:v>OP-2</x:v>
      </x:c>
      <x:c r="G45" s="7" t="n">
        <x:v>1</x:v>
      </x:c>
      <x:c r="H45" s="7" t="str"/>
      <x:c r="I45" s="7" t="str"/>
      <x:c r="J45" s="7" t="str">
        <x:f>IF(OR(H45="",I45=""),"",I45-H45)</x:f>
      </x:c>
      <x:c r="K45" s="7" t="str"/>
      <x:c r="L45" s="7" t="str"/>
      <x:c r="M45" s="7" t="str"/>
      <x:c r="N45" s="7" t="str">
        <x:f>IF(M45="","OPEN",IF(OR(NOT(ISNUMBER(H45)),NOT(ISNUMBER(I45)),K45="",L45=""),"FAIL","PASS"))</x:f>
        <x:v>OPEN</x:v>
      </x:c>
    </x:row>
    <x:row r="46">
      <x:c r="B46" s="7" t="str">
        <x:v>TRO-A-02-S4-O2-R2</x:v>
      </x:c>
      <x:c r="C46" s="7" t="str">
        <x:v>BLD-A</x:v>
      </x:c>
      <x:c r="D46" s="7" t="str">
        <x:v>MF-02</x:v>
      </x:c>
      <x:c r="E46" s="7" t="str">
        <x:v>STD-02-4</x:v>
      </x:c>
      <x:c r="F46" s="7" t="str">
        <x:v>OP-2</x:v>
      </x:c>
      <x:c r="G46" s="7" t="n">
        <x:v>2</x:v>
      </x:c>
      <x:c r="H46" s="7" t="str"/>
      <x:c r="I46" s="7" t="str"/>
      <x:c r="J46" s="7" t="str">
        <x:f>IF(OR(H46="",I46=""),"",I46-H46)</x:f>
      </x:c>
      <x:c r="K46" s="7" t="str"/>
      <x:c r="L46" s="7" t="str"/>
      <x:c r="M46" s="7" t="str"/>
      <x:c r="N46" s="7" t="str">
        <x:f>IF(M46="","OPEN",IF(OR(NOT(ISNUMBER(H46)),NOT(ISNUMBER(I46)),K46="",L46=""),"FAIL","PASS"))</x:f>
        <x:v>OPEN</x:v>
      </x:c>
    </x:row>
    <x:row r="47">
      <x:c r="B47" s="7" t="str">
        <x:v>TRO-A-02-S5-O1-R1</x:v>
      </x:c>
      <x:c r="C47" s="7" t="str">
        <x:v>BLD-A</x:v>
      </x:c>
      <x:c r="D47" s="7" t="str">
        <x:v>MF-02</x:v>
      </x:c>
      <x:c r="E47" s="7" t="str">
        <x:v>STD-02-5</x:v>
      </x:c>
      <x:c r="F47" s="7" t="str">
        <x:v>OP-1</x:v>
      </x:c>
      <x:c r="G47" s="7" t="n">
        <x:v>1</x:v>
      </x:c>
      <x:c r="H47" s="7" t="str"/>
      <x:c r="I47" s="7" t="str"/>
      <x:c r="J47" s="7" t="str">
        <x:f>IF(OR(H47="",I47=""),"",I47-H47)</x:f>
      </x:c>
      <x:c r="K47" s="7" t="str"/>
      <x:c r="L47" s="7" t="str"/>
      <x:c r="M47" s="7" t="str"/>
      <x:c r="N47" s="7" t="str">
        <x:f>IF(M47="","OPEN",IF(OR(NOT(ISNUMBER(H47)),NOT(ISNUMBER(I47)),K47="",L47=""),"FAIL","PASS"))</x:f>
        <x:v>OPEN</x:v>
      </x:c>
    </x:row>
    <x:row r="48">
      <x:c r="B48" s="7" t="str">
        <x:v>TRO-A-02-S5-O1-R2</x:v>
      </x:c>
      <x:c r="C48" s="7" t="str">
        <x:v>BLD-A</x:v>
      </x:c>
      <x:c r="D48" s="7" t="str">
        <x:v>MF-02</x:v>
      </x:c>
      <x:c r="E48" s="7" t="str">
        <x:v>STD-02-5</x:v>
      </x:c>
      <x:c r="F48" s="7" t="str">
        <x:v>OP-1</x:v>
      </x:c>
      <x:c r="G48" s="7" t="n">
        <x:v>2</x:v>
      </x:c>
      <x:c r="H48" s="7" t="str"/>
      <x:c r="I48" s="7" t="str"/>
      <x:c r="J48" s="7" t="str">
        <x:f>IF(OR(H48="",I48=""),"",I48-H48)</x:f>
      </x:c>
      <x:c r="K48" s="7" t="str"/>
      <x:c r="L48" s="7" t="str"/>
      <x:c r="M48" s="7" t="str"/>
      <x:c r="N48" s="7" t="str">
        <x:f>IF(M48="","OPEN",IF(OR(NOT(ISNUMBER(H48)),NOT(ISNUMBER(I48)),K48="",L48=""),"FAIL","PASS"))</x:f>
        <x:v>OPEN</x:v>
      </x:c>
    </x:row>
    <x:row r="49">
      <x:c r="B49" s="7" t="str">
        <x:v>TRO-A-02-S5-O2-R1</x:v>
      </x:c>
      <x:c r="C49" s="7" t="str">
        <x:v>BLD-A</x:v>
      </x:c>
      <x:c r="D49" s="7" t="str">
        <x:v>MF-02</x:v>
      </x:c>
      <x:c r="E49" s="7" t="str">
        <x:v>STD-02-5</x:v>
      </x:c>
      <x:c r="F49" s="7" t="str">
        <x:v>OP-2</x:v>
      </x:c>
      <x:c r="G49" s="7" t="n">
        <x:v>1</x:v>
      </x:c>
      <x:c r="H49" s="7" t="str"/>
      <x:c r="I49" s="7" t="str"/>
      <x:c r="J49" s="7" t="str">
        <x:f>IF(OR(H49="",I49=""),"",I49-H49)</x:f>
      </x:c>
      <x:c r="K49" s="7" t="str"/>
      <x:c r="L49" s="7" t="str"/>
      <x:c r="M49" s="7" t="str"/>
      <x:c r="N49" s="7" t="str">
        <x:f>IF(M49="","OPEN",IF(OR(NOT(ISNUMBER(H49)),NOT(ISNUMBER(I49)),K49="",L49=""),"FAIL","PASS"))</x:f>
        <x:v>OPEN</x:v>
      </x:c>
    </x:row>
    <x:row r="50">
      <x:c r="B50" s="7" t="str">
        <x:v>TRO-A-02-S5-O2-R2</x:v>
      </x:c>
      <x:c r="C50" s="7" t="str">
        <x:v>BLD-A</x:v>
      </x:c>
      <x:c r="D50" s="7" t="str">
        <x:v>MF-02</x:v>
      </x:c>
      <x:c r="E50" s="7" t="str">
        <x:v>STD-02-5</x:v>
      </x:c>
      <x:c r="F50" s="7" t="str">
        <x:v>OP-2</x:v>
      </x:c>
      <x:c r="G50" s="7" t="n">
        <x:v>2</x:v>
      </x:c>
      <x:c r="H50" s="7" t="str"/>
      <x:c r="I50" s="7" t="str"/>
      <x:c r="J50" s="7" t="str">
        <x:f>IF(OR(H50="",I50=""),"",I50-H50)</x:f>
      </x:c>
      <x:c r="K50" s="7" t="str"/>
      <x:c r="L50" s="7" t="str"/>
      <x:c r="M50" s="7" t="str"/>
      <x:c r="N50" s="7" t="str">
        <x:f>IF(M50="","OPEN",IF(OR(NOT(ISNUMBER(H50)),NOT(ISNUMBER(I50)),K50="",L50=""),"FAIL","PASS"))</x:f>
        <x:v>OPEN</x:v>
      </x:c>
    </x:row>
    <x:row r="51">
      <x:c r="B51" s="7" t="str">
        <x:v>TRO-A-02-S6-O1-R1</x:v>
      </x:c>
      <x:c r="C51" s="7" t="str">
        <x:v>BLD-A</x:v>
      </x:c>
      <x:c r="D51" s="7" t="str">
        <x:v>MF-02</x:v>
      </x:c>
      <x:c r="E51" s="7" t="str">
        <x:v>STD-02-6</x:v>
      </x:c>
      <x:c r="F51" s="7" t="str">
        <x:v>OP-1</x:v>
      </x:c>
      <x:c r="G51" s="7" t="n">
        <x:v>1</x:v>
      </x:c>
      <x:c r="H51" s="7" t="str"/>
      <x:c r="I51" s="7" t="str"/>
      <x:c r="J51" s="7" t="str">
        <x:f>IF(OR(H51="",I51=""),"",I51-H51)</x:f>
      </x:c>
      <x:c r="K51" s="7" t="str"/>
      <x:c r="L51" s="7" t="str"/>
      <x:c r="M51" s="7" t="str"/>
      <x:c r="N51" s="7" t="str">
        <x:f>IF(M51="","OPEN",IF(OR(NOT(ISNUMBER(H51)),NOT(ISNUMBER(I51)),K51="",L51=""),"FAIL","PASS"))</x:f>
        <x:v>OPEN</x:v>
      </x:c>
    </x:row>
    <x:row r="52">
      <x:c r="B52" s="7" t="str">
        <x:v>TRO-A-02-S6-O1-R2</x:v>
      </x:c>
      <x:c r="C52" s="7" t="str">
        <x:v>BLD-A</x:v>
      </x:c>
      <x:c r="D52" s="7" t="str">
        <x:v>MF-02</x:v>
      </x:c>
      <x:c r="E52" s="7" t="str">
        <x:v>STD-02-6</x:v>
      </x:c>
      <x:c r="F52" s="7" t="str">
        <x:v>OP-1</x:v>
      </x:c>
      <x:c r="G52" s="7" t="n">
        <x:v>2</x:v>
      </x:c>
      <x:c r="H52" s="7" t="str"/>
      <x:c r="I52" s="7" t="str"/>
      <x:c r="J52" s="7" t="str">
        <x:f>IF(OR(H52="",I52=""),"",I52-H52)</x:f>
      </x:c>
      <x:c r="K52" s="7" t="str"/>
      <x:c r="L52" s="7" t="str"/>
      <x:c r="M52" s="7" t="str"/>
      <x:c r="N52" s="7" t="str">
        <x:f>IF(M52="","OPEN",IF(OR(NOT(ISNUMBER(H52)),NOT(ISNUMBER(I52)),K52="",L52=""),"FAIL","PASS"))</x:f>
        <x:v>OPEN</x:v>
      </x:c>
    </x:row>
    <x:row r="53">
      <x:c r="B53" s="7" t="str">
        <x:v>TRO-A-02-S6-O2-R1</x:v>
      </x:c>
      <x:c r="C53" s="7" t="str">
        <x:v>BLD-A</x:v>
      </x:c>
      <x:c r="D53" s="7" t="str">
        <x:v>MF-02</x:v>
      </x:c>
      <x:c r="E53" s="7" t="str">
        <x:v>STD-02-6</x:v>
      </x:c>
      <x:c r="F53" s="7" t="str">
        <x:v>OP-2</x:v>
      </x:c>
      <x:c r="G53" s="7" t="n">
        <x:v>1</x:v>
      </x:c>
      <x:c r="H53" s="7" t="str"/>
      <x:c r="I53" s="7" t="str"/>
      <x:c r="J53" s="7" t="str">
        <x:f>IF(OR(H53="",I53=""),"",I53-H53)</x:f>
      </x:c>
      <x:c r="K53" s="7" t="str"/>
      <x:c r="L53" s="7" t="str"/>
      <x:c r="M53" s="7" t="str"/>
      <x:c r="N53" s="7" t="str">
        <x:f>IF(M53="","OPEN",IF(OR(NOT(ISNUMBER(H53)),NOT(ISNUMBER(I53)),K53="",L53=""),"FAIL","PASS"))</x:f>
        <x:v>OPEN</x:v>
      </x:c>
    </x:row>
    <x:row r="54">
      <x:c r="B54" s="7" t="str">
        <x:v>TRO-A-02-S6-O2-R2</x:v>
      </x:c>
      <x:c r="C54" s="7" t="str">
        <x:v>BLD-A</x:v>
      </x:c>
      <x:c r="D54" s="7" t="str">
        <x:v>MF-02</x:v>
      </x:c>
      <x:c r="E54" s="7" t="str">
        <x:v>STD-02-6</x:v>
      </x:c>
      <x:c r="F54" s="7" t="str">
        <x:v>OP-2</x:v>
      </x:c>
      <x:c r="G54" s="7" t="n">
        <x:v>2</x:v>
      </x:c>
      <x:c r="H54" s="7" t="str"/>
      <x:c r="I54" s="7" t="str"/>
      <x:c r="J54" s="7" t="str">
        <x:f>IF(OR(H54="",I54=""),"",I54-H54)</x:f>
      </x:c>
      <x:c r="K54" s="7" t="str"/>
      <x:c r="L54" s="7" t="str"/>
      <x:c r="M54" s="7" t="str"/>
      <x:c r="N54" s="7" t="str">
        <x:f>IF(M54="","OPEN",IF(OR(NOT(ISNUMBER(H54)),NOT(ISNUMBER(I54)),K54="",L54=""),"FAIL","PASS"))</x:f>
        <x:v>OPEN</x:v>
      </x:c>
    </x:row>
    <x:row r="55">
      <x:c r="B55" s="7" t="str">
        <x:v>TRO-A-03-S1-O1-R1</x:v>
      </x:c>
      <x:c r="C55" s="7" t="str">
        <x:v>BLD-A</x:v>
      </x:c>
      <x:c r="D55" s="7" t="str">
        <x:v>MF-03</x:v>
      </x:c>
      <x:c r="E55" s="7" t="str">
        <x:v>STD-03-1</x:v>
      </x:c>
      <x:c r="F55" s="7" t="str">
        <x:v>OP-1</x:v>
      </x:c>
      <x:c r="G55" s="7" t="n">
        <x:v>1</x:v>
      </x:c>
      <x:c r="H55" s="7" t="str"/>
      <x:c r="I55" s="7" t="str"/>
      <x:c r="J55" s="7" t="str">
        <x:f>IF(OR(H55="",I55=""),"",I55-H55)</x:f>
      </x:c>
      <x:c r="K55" s="7" t="str"/>
      <x:c r="L55" s="7" t="str"/>
      <x:c r="M55" s="7" t="str"/>
      <x:c r="N55" s="7" t="str">
        <x:f>IF(M55="","OPEN",IF(OR(NOT(ISNUMBER(H55)),NOT(ISNUMBER(I55)),K55="",L55=""),"FAIL","PASS"))</x:f>
        <x:v>OPEN</x:v>
      </x:c>
    </x:row>
    <x:row r="56">
      <x:c r="B56" s="7" t="str">
        <x:v>TRO-A-03-S1-O1-R2</x:v>
      </x:c>
      <x:c r="C56" s="7" t="str">
        <x:v>BLD-A</x:v>
      </x:c>
      <x:c r="D56" s="7" t="str">
        <x:v>MF-03</x:v>
      </x:c>
      <x:c r="E56" s="7" t="str">
        <x:v>STD-03-1</x:v>
      </x:c>
      <x:c r="F56" s="7" t="str">
        <x:v>OP-1</x:v>
      </x:c>
      <x:c r="G56" s="7" t="n">
        <x:v>2</x:v>
      </x:c>
      <x:c r="H56" s="7" t="str"/>
      <x:c r="I56" s="7" t="str"/>
      <x:c r="J56" s="7" t="str">
        <x:f>IF(OR(H56="",I56=""),"",I56-H56)</x:f>
      </x:c>
      <x:c r="K56" s="7" t="str"/>
      <x:c r="L56" s="7" t="str"/>
      <x:c r="M56" s="7" t="str"/>
      <x:c r="N56" s="7" t="str">
        <x:f>IF(M56="","OPEN",IF(OR(NOT(ISNUMBER(H56)),NOT(ISNUMBER(I56)),K56="",L56=""),"FAIL","PASS"))</x:f>
        <x:v>OPEN</x:v>
      </x:c>
    </x:row>
    <x:row r="57">
      <x:c r="B57" s="7" t="str">
        <x:v>TRO-A-03-S1-O2-R1</x:v>
      </x:c>
      <x:c r="C57" s="7" t="str">
        <x:v>BLD-A</x:v>
      </x:c>
      <x:c r="D57" s="7" t="str">
        <x:v>MF-03</x:v>
      </x:c>
      <x:c r="E57" s="7" t="str">
        <x:v>STD-03-1</x:v>
      </x:c>
      <x:c r="F57" s="7" t="str">
        <x:v>OP-2</x:v>
      </x:c>
      <x:c r="G57" s="7" t="n">
        <x:v>1</x:v>
      </x:c>
      <x:c r="H57" s="7" t="str"/>
      <x:c r="I57" s="7" t="str"/>
      <x:c r="J57" s="7" t="str">
        <x:f>IF(OR(H57="",I57=""),"",I57-H57)</x:f>
      </x:c>
      <x:c r="K57" s="7" t="str"/>
      <x:c r="L57" s="7" t="str"/>
      <x:c r="M57" s="7" t="str"/>
      <x:c r="N57" s="7" t="str">
        <x:f>IF(M57="","OPEN",IF(OR(NOT(ISNUMBER(H57)),NOT(ISNUMBER(I57)),K57="",L57=""),"FAIL","PASS"))</x:f>
        <x:v>OPEN</x:v>
      </x:c>
    </x:row>
    <x:row r="58">
      <x:c r="B58" s="7" t="str">
        <x:v>TRO-A-03-S1-O2-R2</x:v>
      </x:c>
      <x:c r="C58" s="7" t="str">
        <x:v>BLD-A</x:v>
      </x:c>
      <x:c r="D58" s="7" t="str">
        <x:v>MF-03</x:v>
      </x:c>
      <x:c r="E58" s="7" t="str">
        <x:v>STD-03-1</x:v>
      </x:c>
      <x:c r="F58" s="7" t="str">
        <x:v>OP-2</x:v>
      </x:c>
      <x:c r="G58" s="7" t="n">
        <x:v>2</x:v>
      </x:c>
      <x:c r="H58" s="7" t="str"/>
      <x:c r="I58" s="7" t="str"/>
      <x:c r="J58" s="7" t="str">
        <x:f>IF(OR(H58="",I58=""),"",I58-H58)</x:f>
      </x:c>
      <x:c r="K58" s="7" t="str"/>
      <x:c r="L58" s="7" t="str"/>
      <x:c r="M58" s="7" t="str"/>
      <x:c r="N58" s="7" t="str">
        <x:f>IF(M58="","OPEN",IF(OR(NOT(ISNUMBER(H58)),NOT(ISNUMBER(I58)),K58="",L58=""),"FAIL","PASS"))</x:f>
        <x:v>OPEN</x:v>
      </x:c>
    </x:row>
    <x:row r="59">
      <x:c r="B59" s="7" t="str">
        <x:v>TRO-A-03-S2-O1-R1</x:v>
      </x:c>
      <x:c r="C59" s="7" t="str">
        <x:v>BLD-A</x:v>
      </x:c>
      <x:c r="D59" s="7" t="str">
        <x:v>MF-03</x:v>
      </x:c>
      <x:c r="E59" s="7" t="str">
        <x:v>STD-03-2</x:v>
      </x:c>
      <x:c r="F59" s="7" t="str">
        <x:v>OP-1</x:v>
      </x:c>
      <x:c r="G59" s="7" t="n">
        <x:v>1</x:v>
      </x:c>
      <x:c r="H59" s="7" t="str"/>
      <x:c r="I59" s="7" t="str"/>
      <x:c r="J59" s="7" t="str">
        <x:f>IF(OR(H59="",I59=""),"",I59-H59)</x:f>
      </x:c>
      <x:c r="K59" s="7" t="str"/>
      <x:c r="L59" s="7" t="str"/>
      <x:c r="M59" s="7" t="str"/>
      <x:c r="N59" s="7" t="str">
        <x:f>IF(M59="","OPEN",IF(OR(NOT(ISNUMBER(H59)),NOT(ISNUMBER(I59)),K59="",L59=""),"FAIL","PASS"))</x:f>
        <x:v>OPEN</x:v>
      </x:c>
    </x:row>
    <x:row r="60">
      <x:c r="B60" s="7" t="str">
        <x:v>TRO-A-03-S2-O1-R2</x:v>
      </x:c>
      <x:c r="C60" s="7" t="str">
        <x:v>BLD-A</x:v>
      </x:c>
      <x:c r="D60" s="7" t="str">
        <x:v>MF-03</x:v>
      </x:c>
      <x:c r="E60" s="7" t="str">
        <x:v>STD-03-2</x:v>
      </x:c>
      <x:c r="F60" s="7" t="str">
        <x:v>OP-1</x:v>
      </x:c>
      <x:c r="G60" s="7" t="n">
        <x:v>2</x:v>
      </x:c>
      <x:c r="H60" s="7" t="str"/>
      <x:c r="I60" s="7" t="str"/>
      <x:c r="J60" s="7" t="str">
        <x:f>IF(OR(H60="",I60=""),"",I60-H60)</x:f>
      </x:c>
      <x:c r="K60" s="7" t="str"/>
      <x:c r="L60" s="7" t="str"/>
      <x:c r="M60" s="7" t="str"/>
      <x:c r="N60" s="7" t="str">
        <x:f>IF(M60="","OPEN",IF(OR(NOT(ISNUMBER(H60)),NOT(ISNUMBER(I60)),K60="",L60=""),"FAIL","PASS"))</x:f>
        <x:v>OPEN</x:v>
      </x:c>
    </x:row>
    <x:row r="61">
      <x:c r="B61" s="7" t="str">
        <x:v>TRO-A-03-S2-O2-R1</x:v>
      </x:c>
      <x:c r="C61" s="7" t="str">
        <x:v>BLD-A</x:v>
      </x:c>
      <x:c r="D61" s="7" t="str">
        <x:v>MF-03</x:v>
      </x:c>
      <x:c r="E61" s="7" t="str">
        <x:v>STD-03-2</x:v>
      </x:c>
      <x:c r="F61" s="7" t="str">
        <x:v>OP-2</x:v>
      </x:c>
      <x:c r="G61" s="7" t="n">
        <x:v>1</x:v>
      </x:c>
      <x:c r="H61" s="7" t="str"/>
      <x:c r="I61" s="7" t="str"/>
      <x:c r="J61" s="7" t="str">
        <x:f>IF(OR(H61="",I61=""),"",I61-H61)</x:f>
      </x:c>
      <x:c r="K61" s="7" t="str"/>
      <x:c r="L61" s="7" t="str"/>
      <x:c r="M61" s="7" t="str"/>
      <x:c r="N61" s="7" t="str">
        <x:f>IF(M61="","OPEN",IF(OR(NOT(ISNUMBER(H61)),NOT(ISNUMBER(I61)),K61="",L61=""),"FAIL","PASS"))</x:f>
        <x:v>OPEN</x:v>
      </x:c>
    </x:row>
    <x:row r="62">
      <x:c r="B62" s="7" t="str">
        <x:v>TRO-A-03-S2-O2-R2</x:v>
      </x:c>
      <x:c r="C62" s="7" t="str">
        <x:v>BLD-A</x:v>
      </x:c>
      <x:c r="D62" s="7" t="str">
        <x:v>MF-03</x:v>
      </x:c>
      <x:c r="E62" s="7" t="str">
        <x:v>STD-03-2</x:v>
      </x:c>
      <x:c r="F62" s="7" t="str">
        <x:v>OP-2</x:v>
      </x:c>
      <x:c r="G62" s="7" t="n">
        <x:v>2</x:v>
      </x:c>
      <x:c r="H62" s="7" t="str"/>
      <x:c r="I62" s="7" t="str"/>
      <x:c r="J62" s="7" t="str">
        <x:f>IF(OR(H62="",I62=""),"",I62-H62)</x:f>
      </x:c>
      <x:c r="K62" s="7" t="str"/>
      <x:c r="L62" s="7" t="str"/>
      <x:c r="M62" s="7" t="str"/>
      <x:c r="N62" s="7" t="str">
        <x:f>IF(M62="","OPEN",IF(OR(NOT(ISNUMBER(H62)),NOT(ISNUMBER(I62)),K62="",L62=""),"FAIL","PASS"))</x:f>
        <x:v>OPEN</x:v>
      </x:c>
    </x:row>
    <x:row r="63">
      <x:c r="B63" s="7" t="str">
        <x:v>TRO-A-03-S3-O1-R1</x:v>
      </x:c>
      <x:c r="C63" s="7" t="str">
        <x:v>BLD-A</x:v>
      </x:c>
      <x:c r="D63" s="7" t="str">
        <x:v>MF-03</x:v>
      </x:c>
      <x:c r="E63" s="7" t="str">
        <x:v>STD-03-3</x:v>
      </x:c>
      <x:c r="F63" s="7" t="str">
        <x:v>OP-1</x:v>
      </x:c>
      <x:c r="G63" s="7" t="n">
        <x:v>1</x:v>
      </x:c>
      <x:c r="H63" s="7" t="str"/>
      <x:c r="I63" s="7" t="str"/>
      <x:c r="J63" s="7" t="str">
        <x:f>IF(OR(H63="",I63=""),"",I63-H63)</x:f>
      </x:c>
      <x:c r="K63" s="7" t="str"/>
      <x:c r="L63" s="7" t="str"/>
      <x:c r="M63" s="7" t="str"/>
      <x:c r="N63" s="7" t="str">
        <x:f>IF(M63="","OPEN",IF(OR(NOT(ISNUMBER(H63)),NOT(ISNUMBER(I63)),K63="",L63=""),"FAIL","PASS"))</x:f>
        <x:v>OPEN</x:v>
      </x:c>
    </x:row>
    <x:row r="64">
      <x:c r="B64" s="7" t="str">
        <x:v>TRO-A-03-S3-O1-R2</x:v>
      </x:c>
      <x:c r="C64" s="7" t="str">
        <x:v>BLD-A</x:v>
      </x:c>
      <x:c r="D64" s="7" t="str">
        <x:v>MF-03</x:v>
      </x:c>
      <x:c r="E64" s="7" t="str">
        <x:v>STD-03-3</x:v>
      </x:c>
      <x:c r="F64" s="7" t="str">
        <x:v>OP-1</x:v>
      </x:c>
      <x:c r="G64" s="7" t="n">
        <x:v>2</x:v>
      </x:c>
      <x:c r="H64" s="7" t="str"/>
      <x:c r="I64" s="7" t="str"/>
      <x:c r="J64" s="7" t="str">
        <x:f>IF(OR(H64="",I64=""),"",I64-H64)</x:f>
      </x:c>
      <x:c r="K64" s="7" t="str"/>
      <x:c r="L64" s="7" t="str"/>
      <x:c r="M64" s="7" t="str"/>
      <x:c r="N64" s="7" t="str">
        <x:f>IF(M64="","OPEN",IF(OR(NOT(ISNUMBER(H64)),NOT(ISNUMBER(I64)),K64="",L64=""),"FAIL","PASS"))</x:f>
        <x:v>OPEN</x:v>
      </x:c>
    </x:row>
    <x:row r="65">
      <x:c r="B65" s="7" t="str">
        <x:v>TRO-A-03-S3-O2-R1</x:v>
      </x:c>
      <x:c r="C65" s="7" t="str">
        <x:v>BLD-A</x:v>
      </x:c>
      <x:c r="D65" s="7" t="str">
        <x:v>MF-03</x:v>
      </x:c>
      <x:c r="E65" s="7" t="str">
        <x:v>STD-03-3</x:v>
      </x:c>
      <x:c r="F65" s="7" t="str">
        <x:v>OP-2</x:v>
      </x:c>
      <x:c r="G65" s="7" t="n">
        <x:v>1</x:v>
      </x:c>
      <x:c r="H65" s="7" t="str"/>
      <x:c r="I65" s="7" t="str"/>
      <x:c r="J65" s="7" t="str">
        <x:f>IF(OR(H65="",I65=""),"",I65-H65)</x:f>
      </x:c>
      <x:c r="K65" s="7" t="str"/>
      <x:c r="L65" s="7" t="str"/>
      <x:c r="M65" s="7" t="str"/>
      <x:c r="N65" s="7" t="str">
        <x:f>IF(M65="","OPEN",IF(OR(NOT(ISNUMBER(H65)),NOT(ISNUMBER(I65)),K65="",L65=""),"FAIL","PASS"))</x:f>
        <x:v>OPEN</x:v>
      </x:c>
    </x:row>
    <x:row r="66">
      <x:c r="B66" s="7" t="str">
        <x:v>TRO-A-03-S3-O2-R2</x:v>
      </x:c>
      <x:c r="C66" s="7" t="str">
        <x:v>BLD-A</x:v>
      </x:c>
      <x:c r="D66" s="7" t="str">
        <x:v>MF-03</x:v>
      </x:c>
      <x:c r="E66" s="7" t="str">
        <x:v>STD-03-3</x:v>
      </x:c>
      <x:c r="F66" s="7" t="str">
        <x:v>OP-2</x:v>
      </x:c>
      <x:c r="G66" s="7" t="n">
        <x:v>2</x:v>
      </x:c>
      <x:c r="H66" s="7" t="str"/>
      <x:c r="I66" s="7" t="str"/>
      <x:c r="J66" s="7" t="str">
        <x:f>IF(OR(H66="",I66=""),"",I66-H66)</x:f>
      </x:c>
      <x:c r="K66" s="7" t="str"/>
      <x:c r="L66" s="7" t="str"/>
      <x:c r="M66" s="7" t="str"/>
      <x:c r="N66" s="7" t="str">
        <x:f>IF(M66="","OPEN",IF(OR(NOT(ISNUMBER(H66)),NOT(ISNUMBER(I66)),K66="",L66=""),"FAIL","PASS"))</x:f>
        <x:v>OPEN</x:v>
      </x:c>
    </x:row>
    <x:row r="67">
      <x:c r="B67" s="7" t="str">
        <x:v>TRO-A-03-S4-O1-R1</x:v>
      </x:c>
      <x:c r="C67" s="7" t="str">
        <x:v>BLD-A</x:v>
      </x:c>
      <x:c r="D67" s="7" t="str">
        <x:v>MF-03</x:v>
      </x:c>
      <x:c r="E67" s="7" t="str">
        <x:v>STD-03-4</x:v>
      </x:c>
      <x:c r="F67" s="7" t="str">
        <x:v>OP-1</x:v>
      </x:c>
      <x:c r="G67" s="7" t="n">
        <x:v>1</x:v>
      </x:c>
      <x:c r="H67" s="7" t="str"/>
      <x:c r="I67" s="7" t="str"/>
      <x:c r="J67" s="7" t="str">
        <x:f>IF(OR(H67="",I67=""),"",I67-H67)</x:f>
      </x:c>
      <x:c r="K67" s="7" t="str"/>
      <x:c r="L67" s="7" t="str"/>
      <x:c r="M67" s="7" t="str"/>
      <x:c r="N67" s="7" t="str">
        <x:f>IF(M67="","OPEN",IF(OR(NOT(ISNUMBER(H67)),NOT(ISNUMBER(I67)),K67="",L67=""),"FAIL","PASS"))</x:f>
        <x:v>OPEN</x:v>
      </x:c>
    </x:row>
    <x:row r="68">
      <x:c r="B68" s="7" t="str">
        <x:v>TRO-A-03-S4-O1-R2</x:v>
      </x:c>
      <x:c r="C68" s="7" t="str">
        <x:v>BLD-A</x:v>
      </x:c>
      <x:c r="D68" s="7" t="str">
        <x:v>MF-03</x:v>
      </x:c>
      <x:c r="E68" s="7" t="str">
        <x:v>STD-03-4</x:v>
      </x:c>
      <x:c r="F68" s="7" t="str">
        <x:v>OP-1</x:v>
      </x:c>
      <x:c r="G68" s="7" t="n">
        <x:v>2</x:v>
      </x:c>
      <x:c r="H68" s="7" t="str"/>
      <x:c r="I68" s="7" t="str"/>
      <x:c r="J68" s="7" t="str">
        <x:f>IF(OR(H68="",I68=""),"",I68-H68)</x:f>
      </x:c>
      <x:c r="K68" s="7" t="str"/>
      <x:c r="L68" s="7" t="str"/>
      <x:c r="M68" s="7" t="str"/>
      <x:c r="N68" s="7" t="str">
        <x:f>IF(M68="","OPEN",IF(OR(NOT(ISNUMBER(H68)),NOT(ISNUMBER(I68)),K68="",L68=""),"FAIL","PASS"))</x:f>
        <x:v>OPEN</x:v>
      </x:c>
    </x:row>
    <x:row r="69">
      <x:c r="B69" s="7" t="str">
        <x:v>TRO-A-03-S4-O2-R1</x:v>
      </x:c>
      <x:c r="C69" s="7" t="str">
        <x:v>BLD-A</x:v>
      </x:c>
      <x:c r="D69" s="7" t="str">
        <x:v>MF-03</x:v>
      </x:c>
      <x:c r="E69" s="7" t="str">
        <x:v>STD-03-4</x:v>
      </x:c>
      <x:c r="F69" s="7" t="str">
        <x:v>OP-2</x:v>
      </x:c>
      <x:c r="G69" s="7" t="n">
        <x:v>1</x:v>
      </x:c>
      <x:c r="H69" s="7" t="str"/>
      <x:c r="I69" s="7" t="str"/>
      <x:c r="J69" s="7" t="str">
        <x:f>IF(OR(H69="",I69=""),"",I69-H69)</x:f>
      </x:c>
      <x:c r="K69" s="7" t="str"/>
      <x:c r="L69" s="7" t="str"/>
      <x:c r="M69" s="7" t="str"/>
      <x:c r="N69" s="7" t="str">
        <x:f>IF(M69="","OPEN",IF(OR(NOT(ISNUMBER(H69)),NOT(ISNUMBER(I69)),K69="",L69=""),"FAIL","PASS"))</x:f>
        <x:v>OPEN</x:v>
      </x:c>
    </x:row>
    <x:row r="70">
      <x:c r="B70" s="7" t="str">
        <x:v>TRO-A-03-S4-O2-R2</x:v>
      </x:c>
      <x:c r="C70" s="7" t="str">
        <x:v>BLD-A</x:v>
      </x:c>
      <x:c r="D70" s="7" t="str">
        <x:v>MF-03</x:v>
      </x:c>
      <x:c r="E70" s="7" t="str">
        <x:v>STD-03-4</x:v>
      </x:c>
      <x:c r="F70" s="7" t="str">
        <x:v>OP-2</x:v>
      </x:c>
      <x:c r="G70" s="7" t="n">
        <x:v>2</x:v>
      </x:c>
      <x:c r="H70" s="7" t="str"/>
      <x:c r="I70" s="7" t="str"/>
      <x:c r="J70" s="7" t="str">
        <x:f>IF(OR(H70="",I70=""),"",I70-H70)</x:f>
      </x:c>
      <x:c r="K70" s="7" t="str"/>
      <x:c r="L70" s="7" t="str"/>
      <x:c r="M70" s="7" t="str"/>
      <x:c r="N70" s="7" t="str">
        <x:f>IF(M70="","OPEN",IF(OR(NOT(ISNUMBER(H70)),NOT(ISNUMBER(I70)),K70="",L70=""),"FAIL","PASS"))</x:f>
        <x:v>OPEN</x:v>
      </x:c>
    </x:row>
    <x:row r="71">
      <x:c r="B71" s="7" t="str">
        <x:v>TRO-A-03-S5-O1-R1</x:v>
      </x:c>
      <x:c r="C71" s="7" t="str">
        <x:v>BLD-A</x:v>
      </x:c>
      <x:c r="D71" s="7" t="str">
        <x:v>MF-03</x:v>
      </x:c>
      <x:c r="E71" s="7" t="str">
        <x:v>STD-03-5</x:v>
      </x:c>
      <x:c r="F71" s="7" t="str">
        <x:v>OP-1</x:v>
      </x:c>
      <x:c r="G71" s="7" t="n">
        <x:v>1</x:v>
      </x:c>
      <x:c r="H71" s="7" t="str"/>
      <x:c r="I71" s="7" t="str"/>
      <x:c r="J71" s="7" t="str">
        <x:f>IF(OR(H71="",I71=""),"",I71-H71)</x:f>
      </x:c>
      <x:c r="K71" s="7" t="str"/>
      <x:c r="L71" s="7" t="str"/>
      <x:c r="M71" s="7" t="str"/>
      <x:c r="N71" s="7" t="str">
        <x:f>IF(M71="","OPEN",IF(OR(NOT(ISNUMBER(H71)),NOT(ISNUMBER(I71)),K71="",L71=""),"FAIL","PASS"))</x:f>
        <x:v>OPEN</x:v>
      </x:c>
    </x:row>
    <x:row r="72">
      <x:c r="B72" s="7" t="str">
        <x:v>TRO-A-03-S5-O1-R2</x:v>
      </x:c>
      <x:c r="C72" s="7" t="str">
        <x:v>BLD-A</x:v>
      </x:c>
      <x:c r="D72" s="7" t="str">
        <x:v>MF-03</x:v>
      </x:c>
      <x:c r="E72" s="7" t="str">
        <x:v>STD-03-5</x:v>
      </x:c>
      <x:c r="F72" s="7" t="str">
        <x:v>OP-1</x:v>
      </x:c>
      <x:c r="G72" s="7" t="n">
        <x:v>2</x:v>
      </x:c>
      <x:c r="H72" s="7" t="str"/>
      <x:c r="I72" s="7" t="str"/>
      <x:c r="J72" s="7" t="str">
        <x:f>IF(OR(H72="",I72=""),"",I72-H72)</x:f>
      </x:c>
      <x:c r="K72" s="7" t="str"/>
      <x:c r="L72" s="7" t="str"/>
      <x:c r="M72" s="7" t="str"/>
      <x:c r="N72" s="7" t="str">
        <x:f>IF(M72="","OPEN",IF(OR(NOT(ISNUMBER(H72)),NOT(ISNUMBER(I72)),K72="",L72=""),"FAIL","PASS"))</x:f>
        <x:v>OPEN</x:v>
      </x:c>
    </x:row>
    <x:row r="73">
      <x:c r="B73" s="7" t="str">
        <x:v>TRO-A-03-S5-O2-R1</x:v>
      </x:c>
      <x:c r="C73" s="7" t="str">
        <x:v>BLD-A</x:v>
      </x:c>
      <x:c r="D73" s="7" t="str">
        <x:v>MF-03</x:v>
      </x:c>
      <x:c r="E73" s="7" t="str">
        <x:v>STD-03-5</x:v>
      </x:c>
      <x:c r="F73" s="7" t="str">
        <x:v>OP-2</x:v>
      </x:c>
      <x:c r="G73" s="7" t="n">
        <x:v>1</x:v>
      </x:c>
      <x:c r="H73" s="7" t="str"/>
      <x:c r="I73" s="7" t="str"/>
      <x:c r="J73" s="7" t="str">
        <x:f>IF(OR(H73="",I73=""),"",I73-H73)</x:f>
      </x:c>
      <x:c r="K73" s="7" t="str"/>
      <x:c r="L73" s="7" t="str"/>
      <x:c r="M73" s="7" t="str"/>
      <x:c r="N73" s="7" t="str">
        <x:f>IF(M73="","OPEN",IF(OR(NOT(ISNUMBER(H73)),NOT(ISNUMBER(I73)),K73="",L73=""),"FAIL","PASS"))</x:f>
        <x:v>OPEN</x:v>
      </x:c>
    </x:row>
    <x:row r="74">
      <x:c r="B74" s="7" t="str">
        <x:v>TRO-A-03-S5-O2-R2</x:v>
      </x:c>
      <x:c r="C74" s="7" t="str">
        <x:v>BLD-A</x:v>
      </x:c>
      <x:c r="D74" s="7" t="str">
        <x:v>MF-03</x:v>
      </x:c>
      <x:c r="E74" s="7" t="str">
        <x:v>STD-03-5</x:v>
      </x:c>
      <x:c r="F74" s="7" t="str">
        <x:v>OP-2</x:v>
      </x:c>
      <x:c r="G74" s="7" t="n">
        <x:v>2</x:v>
      </x:c>
      <x:c r="H74" s="7" t="str"/>
      <x:c r="I74" s="7" t="str"/>
      <x:c r="J74" s="7" t="str">
        <x:f>IF(OR(H74="",I74=""),"",I74-H74)</x:f>
      </x:c>
      <x:c r="K74" s="7" t="str"/>
      <x:c r="L74" s="7" t="str"/>
      <x:c r="M74" s="7" t="str"/>
      <x:c r="N74" s="7" t="str">
        <x:f>IF(M74="","OPEN",IF(OR(NOT(ISNUMBER(H74)),NOT(ISNUMBER(I74)),K74="",L74=""),"FAIL","PASS"))</x:f>
        <x:v>OPEN</x:v>
      </x:c>
    </x:row>
    <x:row r="75">
      <x:c r="B75" s="7" t="str">
        <x:v>TRO-A-03-S6-O1-R1</x:v>
      </x:c>
      <x:c r="C75" s="7" t="str">
        <x:v>BLD-A</x:v>
      </x:c>
      <x:c r="D75" s="7" t="str">
        <x:v>MF-03</x:v>
      </x:c>
      <x:c r="E75" s="7" t="str">
        <x:v>STD-03-6</x:v>
      </x:c>
      <x:c r="F75" s="7" t="str">
        <x:v>OP-1</x:v>
      </x:c>
      <x:c r="G75" s="7" t="n">
        <x:v>1</x:v>
      </x:c>
      <x:c r="H75" s="7" t="str"/>
      <x:c r="I75" s="7" t="str"/>
      <x:c r="J75" s="7" t="str">
        <x:f>IF(OR(H75="",I75=""),"",I75-H75)</x:f>
      </x:c>
      <x:c r="K75" s="7" t="str"/>
      <x:c r="L75" s="7" t="str"/>
      <x:c r="M75" s="7" t="str"/>
      <x:c r="N75" s="7" t="str">
        <x:f>IF(M75="","OPEN",IF(OR(NOT(ISNUMBER(H75)),NOT(ISNUMBER(I75)),K75="",L75=""),"FAIL","PASS"))</x:f>
        <x:v>OPEN</x:v>
      </x:c>
    </x:row>
    <x:row r="76">
      <x:c r="B76" s="7" t="str">
        <x:v>TRO-A-03-S6-O1-R2</x:v>
      </x:c>
      <x:c r="C76" s="7" t="str">
        <x:v>BLD-A</x:v>
      </x:c>
      <x:c r="D76" s="7" t="str">
        <x:v>MF-03</x:v>
      </x:c>
      <x:c r="E76" s="7" t="str">
        <x:v>STD-03-6</x:v>
      </x:c>
      <x:c r="F76" s="7" t="str">
        <x:v>OP-1</x:v>
      </x:c>
      <x:c r="G76" s="7" t="n">
        <x:v>2</x:v>
      </x:c>
      <x:c r="H76" s="7" t="str"/>
      <x:c r="I76" s="7" t="str"/>
      <x:c r="J76" s="7" t="str">
        <x:f>IF(OR(H76="",I76=""),"",I76-H76)</x:f>
      </x:c>
      <x:c r="K76" s="7" t="str"/>
      <x:c r="L76" s="7" t="str"/>
      <x:c r="M76" s="7" t="str"/>
      <x:c r="N76" s="7" t="str">
        <x:f>IF(M76="","OPEN",IF(OR(NOT(ISNUMBER(H76)),NOT(ISNUMBER(I76)),K76="",L76=""),"FAIL","PASS"))</x:f>
        <x:v>OPEN</x:v>
      </x:c>
    </x:row>
    <x:row r="77">
      <x:c r="B77" s="7" t="str">
        <x:v>TRO-A-03-S6-O2-R1</x:v>
      </x:c>
      <x:c r="C77" s="7" t="str">
        <x:v>BLD-A</x:v>
      </x:c>
      <x:c r="D77" s="7" t="str">
        <x:v>MF-03</x:v>
      </x:c>
      <x:c r="E77" s="7" t="str">
        <x:v>STD-03-6</x:v>
      </x:c>
      <x:c r="F77" s="7" t="str">
        <x:v>OP-2</x:v>
      </x:c>
      <x:c r="G77" s="7" t="n">
        <x:v>1</x:v>
      </x:c>
      <x:c r="H77" s="7" t="str"/>
      <x:c r="I77" s="7" t="str"/>
      <x:c r="J77" s="7" t="str">
        <x:f>IF(OR(H77="",I77=""),"",I77-H77)</x:f>
      </x:c>
      <x:c r="K77" s="7" t="str"/>
      <x:c r="L77" s="7" t="str"/>
      <x:c r="M77" s="7" t="str"/>
      <x:c r="N77" s="7" t="str">
        <x:f>IF(M77="","OPEN",IF(OR(NOT(ISNUMBER(H77)),NOT(ISNUMBER(I77)),K77="",L77=""),"FAIL","PASS"))</x:f>
        <x:v>OPEN</x:v>
      </x:c>
    </x:row>
    <x:row r="78">
      <x:c r="B78" s="7" t="str">
        <x:v>TRO-A-03-S6-O2-R2</x:v>
      </x:c>
      <x:c r="C78" s="7" t="str">
        <x:v>BLD-A</x:v>
      </x:c>
      <x:c r="D78" s="7" t="str">
        <x:v>MF-03</x:v>
      </x:c>
      <x:c r="E78" s="7" t="str">
        <x:v>STD-03-6</x:v>
      </x:c>
      <x:c r="F78" s="7" t="str">
        <x:v>OP-2</x:v>
      </x:c>
      <x:c r="G78" s="7" t="n">
        <x:v>2</x:v>
      </x:c>
      <x:c r="H78" s="7" t="str"/>
      <x:c r="I78" s="7" t="str"/>
      <x:c r="J78" s="7" t="str">
        <x:f>IF(OR(H78="",I78=""),"",I78-H78)</x:f>
      </x:c>
      <x:c r="K78" s="7" t="str"/>
      <x:c r="L78" s="7" t="str"/>
      <x:c r="M78" s="7" t="str"/>
      <x:c r="N78" s="7" t="str">
        <x:f>IF(M78="","OPEN",IF(OR(NOT(ISNUMBER(H78)),NOT(ISNUMBER(I78)),K78="",L78=""),"FAIL","PASS"))</x:f>
        <x:v>OPEN</x:v>
      </x:c>
    </x:row>
    <x:row r="79">
      <x:c r="B79" s="7" t="str">
        <x:v>TRO-A-04-S1-O1-R1</x:v>
      </x:c>
      <x:c r="C79" s="7" t="str">
        <x:v>BLD-A</x:v>
      </x:c>
      <x:c r="D79" s="7" t="str">
        <x:v>MF-04</x:v>
      </x:c>
      <x:c r="E79" s="7" t="str">
        <x:v>STD-04-1</x:v>
      </x:c>
      <x:c r="F79" s="7" t="str">
        <x:v>OP-1</x:v>
      </x:c>
      <x:c r="G79" s="7" t="n">
        <x:v>1</x:v>
      </x:c>
      <x:c r="H79" s="7" t="str"/>
      <x:c r="I79" s="7" t="str"/>
      <x:c r="J79" s="7" t="str">
        <x:f>IF(OR(H79="",I79=""),"",I79-H79)</x:f>
      </x:c>
      <x:c r="K79" s="7" t="str"/>
      <x:c r="L79" s="7" t="str"/>
      <x:c r="M79" s="7" t="str"/>
      <x:c r="N79" s="7" t="str">
        <x:f>IF(M79="","OPEN",IF(OR(NOT(ISNUMBER(H79)),NOT(ISNUMBER(I79)),K79="",L79=""),"FAIL","PASS"))</x:f>
        <x:v>OPEN</x:v>
      </x:c>
    </x:row>
    <x:row r="80">
      <x:c r="B80" s="7" t="str">
        <x:v>TRO-A-04-S1-O1-R2</x:v>
      </x:c>
      <x:c r="C80" s="7" t="str">
        <x:v>BLD-A</x:v>
      </x:c>
      <x:c r="D80" s="7" t="str">
        <x:v>MF-04</x:v>
      </x:c>
      <x:c r="E80" s="7" t="str">
        <x:v>STD-04-1</x:v>
      </x:c>
      <x:c r="F80" s="7" t="str">
        <x:v>OP-1</x:v>
      </x:c>
      <x:c r="G80" s="7" t="n">
        <x:v>2</x:v>
      </x:c>
      <x:c r="H80" s="7" t="str"/>
      <x:c r="I80" s="7" t="str"/>
      <x:c r="J80" s="7" t="str">
        <x:f>IF(OR(H80="",I80=""),"",I80-H80)</x:f>
      </x:c>
      <x:c r="K80" s="7" t="str"/>
      <x:c r="L80" s="7" t="str"/>
      <x:c r="M80" s="7" t="str"/>
      <x:c r="N80" s="7" t="str">
        <x:f>IF(M80="","OPEN",IF(OR(NOT(ISNUMBER(H80)),NOT(ISNUMBER(I80)),K80="",L80=""),"FAIL","PASS"))</x:f>
        <x:v>OPEN</x:v>
      </x:c>
    </x:row>
    <x:row r="81">
      <x:c r="B81" s="7" t="str">
        <x:v>TRO-A-04-S1-O2-R1</x:v>
      </x:c>
      <x:c r="C81" s="7" t="str">
        <x:v>BLD-A</x:v>
      </x:c>
      <x:c r="D81" s="7" t="str">
        <x:v>MF-04</x:v>
      </x:c>
      <x:c r="E81" s="7" t="str">
        <x:v>STD-04-1</x:v>
      </x:c>
      <x:c r="F81" s="7" t="str">
        <x:v>OP-2</x:v>
      </x:c>
      <x:c r="G81" s="7" t="n">
        <x:v>1</x:v>
      </x:c>
      <x:c r="H81" s="7" t="str"/>
      <x:c r="I81" s="7" t="str"/>
      <x:c r="J81" s="7" t="str">
        <x:f>IF(OR(H81="",I81=""),"",I81-H81)</x:f>
      </x:c>
      <x:c r="K81" s="7" t="str"/>
      <x:c r="L81" s="7" t="str"/>
      <x:c r="M81" s="7" t="str"/>
      <x:c r="N81" s="7" t="str">
        <x:f>IF(M81="","OPEN",IF(OR(NOT(ISNUMBER(H81)),NOT(ISNUMBER(I81)),K81="",L81=""),"FAIL","PASS"))</x:f>
        <x:v>OPEN</x:v>
      </x:c>
    </x:row>
    <x:row r="82">
      <x:c r="B82" s="7" t="str">
        <x:v>TRO-A-04-S1-O2-R2</x:v>
      </x:c>
      <x:c r="C82" s="7" t="str">
        <x:v>BLD-A</x:v>
      </x:c>
      <x:c r="D82" s="7" t="str">
        <x:v>MF-04</x:v>
      </x:c>
      <x:c r="E82" s="7" t="str">
        <x:v>STD-04-1</x:v>
      </x:c>
      <x:c r="F82" s="7" t="str">
        <x:v>OP-2</x:v>
      </x:c>
      <x:c r="G82" s="7" t="n">
        <x:v>2</x:v>
      </x:c>
      <x:c r="H82" s="7" t="str"/>
      <x:c r="I82" s="7" t="str"/>
      <x:c r="J82" s="7" t="str">
        <x:f>IF(OR(H82="",I82=""),"",I82-H82)</x:f>
      </x:c>
      <x:c r="K82" s="7" t="str"/>
      <x:c r="L82" s="7" t="str"/>
      <x:c r="M82" s="7" t="str"/>
      <x:c r="N82" s="7" t="str">
        <x:f>IF(M82="","OPEN",IF(OR(NOT(ISNUMBER(H82)),NOT(ISNUMBER(I82)),K82="",L82=""),"FAIL","PASS"))</x:f>
        <x:v>OPEN</x:v>
      </x:c>
    </x:row>
    <x:row r="83">
      <x:c r="B83" s="7" t="str">
        <x:v>TRO-A-04-S2-O1-R1</x:v>
      </x:c>
      <x:c r="C83" s="7" t="str">
        <x:v>BLD-A</x:v>
      </x:c>
      <x:c r="D83" s="7" t="str">
        <x:v>MF-04</x:v>
      </x:c>
      <x:c r="E83" s="7" t="str">
        <x:v>STD-04-2</x:v>
      </x:c>
      <x:c r="F83" s="7" t="str">
        <x:v>OP-1</x:v>
      </x:c>
      <x:c r="G83" s="7" t="n">
        <x:v>1</x:v>
      </x:c>
      <x:c r="H83" s="7" t="str"/>
      <x:c r="I83" s="7" t="str"/>
      <x:c r="J83" s="7" t="str">
        <x:f>IF(OR(H83="",I83=""),"",I83-H83)</x:f>
      </x:c>
      <x:c r="K83" s="7" t="str"/>
      <x:c r="L83" s="7" t="str"/>
      <x:c r="M83" s="7" t="str"/>
      <x:c r="N83" s="7" t="str">
        <x:f>IF(M83="","OPEN",IF(OR(NOT(ISNUMBER(H83)),NOT(ISNUMBER(I83)),K83="",L83=""),"FAIL","PASS"))</x:f>
        <x:v>OPEN</x:v>
      </x:c>
    </x:row>
    <x:row r="84">
      <x:c r="B84" s="7" t="str">
        <x:v>TRO-A-04-S2-O1-R2</x:v>
      </x:c>
      <x:c r="C84" s="7" t="str">
        <x:v>BLD-A</x:v>
      </x:c>
      <x:c r="D84" s="7" t="str">
        <x:v>MF-04</x:v>
      </x:c>
      <x:c r="E84" s="7" t="str">
        <x:v>STD-04-2</x:v>
      </x:c>
      <x:c r="F84" s="7" t="str">
        <x:v>OP-1</x:v>
      </x:c>
      <x:c r="G84" s="7" t="n">
        <x:v>2</x:v>
      </x:c>
      <x:c r="H84" s="7" t="str"/>
      <x:c r="I84" s="7" t="str"/>
      <x:c r="J84" s="7" t="str">
        <x:f>IF(OR(H84="",I84=""),"",I84-H84)</x:f>
      </x:c>
      <x:c r="K84" s="7" t="str"/>
      <x:c r="L84" s="7" t="str"/>
      <x:c r="M84" s="7" t="str"/>
      <x:c r="N84" s="7" t="str">
        <x:f>IF(M84="","OPEN",IF(OR(NOT(ISNUMBER(H84)),NOT(ISNUMBER(I84)),K84="",L84=""),"FAIL","PASS"))</x:f>
        <x:v>OPEN</x:v>
      </x:c>
    </x:row>
    <x:row r="85">
      <x:c r="B85" s="7" t="str">
        <x:v>TRO-A-04-S2-O2-R1</x:v>
      </x:c>
      <x:c r="C85" s="7" t="str">
        <x:v>BLD-A</x:v>
      </x:c>
      <x:c r="D85" s="7" t="str">
        <x:v>MF-04</x:v>
      </x:c>
      <x:c r="E85" s="7" t="str">
        <x:v>STD-04-2</x:v>
      </x:c>
      <x:c r="F85" s="7" t="str">
        <x:v>OP-2</x:v>
      </x:c>
      <x:c r="G85" s="7" t="n">
        <x:v>1</x:v>
      </x:c>
      <x:c r="H85" s="7" t="str"/>
      <x:c r="I85" s="7" t="str"/>
      <x:c r="J85" s="7" t="str">
        <x:f>IF(OR(H85="",I85=""),"",I85-H85)</x:f>
      </x:c>
      <x:c r="K85" s="7" t="str"/>
      <x:c r="L85" s="7" t="str"/>
      <x:c r="M85" s="7" t="str"/>
      <x:c r="N85" s="7" t="str">
        <x:f>IF(M85="","OPEN",IF(OR(NOT(ISNUMBER(H85)),NOT(ISNUMBER(I85)),K85="",L85=""),"FAIL","PASS"))</x:f>
        <x:v>OPEN</x:v>
      </x:c>
    </x:row>
    <x:row r="86">
      <x:c r="B86" s="7" t="str">
        <x:v>TRO-A-04-S2-O2-R2</x:v>
      </x:c>
      <x:c r="C86" s="7" t="str">
        <x:v>BLD-A</x:v>
      </x:c>
      <x:c r="D86" s="7" t="str">
        <x:v>MF-04</x:v>
      </x:c>
      <x:c r="E86" s="7" t="str">
        <x:v>STD-04-2</x:v>
      </x:c>
      <x:c r="F86" s="7" t="str">
        <x:v>OP-2</x:v>
      </x:c>
      <x:c r="G86" s="7" t="n">
        <x:v>2</x:v>
      </x:c>
      <x:c r="H86" s="7" t="str"/>
      <x:c r="I86" s="7" t="str"/>
      <x:c r="J86" s="7" t="str">
        <x:f>IF(OR(H86="",I86=""),"",I86-H86)</x:f>
      </x:c>
      <x:c r="K86" s="7" t="str"/>
      <x:c r="L86" s="7" t="str"/>
      <x:c r="M86" s="7" t="str"/>
      <x:c r="N86" s="7" t="str">
        <x:f>IF(M86="","OPEN",IF(OR(NOT(ISNUMBER(H86)),NOT(ISNUMBER(I86)),K86="",L86=""),"FAIL","PASS"))</x:f>
        <x:v>OPEN</x:v>
      </x:c>
    </x:row>
    <x:row r="87">
      <x:c r="B87" s="7" t="str">
        <x:v>TRO-A-04-S3-O1-R1</x:v>
      </x:c>
      <x:c r="C87" s="7" t="str">
        <x:v>BLD-A</x:v>
      </x:c>
      <x:c r="D87" s="7" t="str">
        <x:v>MF-04</x:v>
      </x:c>
      <x:c r="E87" s="7" t="str">
        <x:v>STD-04-3</x:v>
      </x:c>
      <x:c r="F87" s="7" t="str">
        <x:v>OP-1</x:v>
      </x:c>
      <x:c r="G87" s="7" t="n">
        <x:v>1</x:v>
      </x:c>
      <x:c r="H87" s="7" t="str"/>
      <x:c r="I87" s="7" t="str"/>
      <x:c r="J87" s="7" t="str">
        <x:f>IF(OR(H87="",I87=""),"",I87-H87)</x:f>
      </x:c>
      <x:c r="K87" s="7" t="str"/>
      <x:c r="L87" s="7" t="str"/>
      <x:c r="M87" s="7" t="str"/>
      <x:c r="N87" s="7" t="str">
        <x:f>IF(M87="","OPEN",IF(OR(NOT(ISNUMBER(H87)),NOT(ISNUMBER(I87)),K87="",L87=""),"FAIL","PASS"))</x:f>
        <x:v>OPEN</x:v>
      </x:c>
    </x:row>
    <x:row r="88">
      <x:c r="B88" s="7" t="str">
        <x:v>TRO-A-04-S3-O1-R2</x:v>
      </x:c>
      <x:c r="C88" s="7" t="str">
        <x:v>BLD-A</x:v>
      </x:c>
      <x:c r="D88" s="7" t="str">
        <x:v>MF-04</x:v>
      </x:c>
      <x:c r="E88" s="7" t="str">
        <x:v>STD-04-3</x:v>
      </x:c>
      <x:c r="F88" s="7" t="str">
        <x:v>OP-1</x:v>
      </x:c>
      <x:c r="G88" s="7" t="n">
        <x:v>2</x:v>
      </x:c>
      <x:c r="H88" s="7" t="str"/>
      <x:c r="I88" s="7" t="str"/>
      <x:c r="J88" s="7" t="str">
        <x:f>IF(OR(H88="",I88=""),"",I88-H88)</x:f>
      </x:c>
      <x:c r="K88" s="7" t="str"/>
      <x:c r="L88" s="7" t="str"/>
      <x:c r="M88" s="7" t="str"/>
      <x:c r="N88" s="7" t="str">
        <x:f>IF(M88="","OPEN",IF(OR(NOT(ISNUMBER(H88)),NOT(ISNUMBER(I88)),K88="",L88=""),"FAIL","PASS"))</x:f>
        <x:v>OPEN</x:v>
      </x:c>
    </x:row>
    <x:row r="89">
      <x:c r="B89" s="7" t="str">
        <x:v>TRO-A-04-S3-O2-R1</x:v>
      </x:c>
      <x:c r="C89" s="7" t="str">
        <x:v>BLD-A</x:v>
      </x:c>
      <x:c r="D89" s="7" t="str">
        <x:v>MF-04</x:v>
      </x:c>
      <x:c r="E89" s="7" t="str">
        <x:v>STD-04-3</x:v>
      </x:c>
      <x:c r="F89" s="7" t="str">
        <x:v>OP-2</x:v>
      </x:c>
      <x:c r="G89" s="7" t="n">
        <x:v>1</x:v>
      </x:c>
      <x:c r="H89" s="7" t="str"/>
      <x:c r="I89" s="7" t="str"/>
      <x:c r="J89" s="7" t="str">
        <x:f>IF(OR(H89="",I89=""),"",I89-H89)</x:f>
      </x:c>
      <x:c r="K89" s="7" t="str"/>
      <x:c r="L89" s="7" t="str"/>
      <x:c r="M89" s="7" t="str"/>
      <x:c r="N89" s="7" t="str">
        <x:f>IF(M89="","OPEN",IF(OR(NOT(ISNUMBER(H89)),NOT(ISNUMBER(I89)),K89="",L89=""),"FAIL","PASS"))</x:f>
        <x:v>OPEN</x:v>
      </x:c>
    </x:row>
    <x:row r="90">
      <x:c r="B90" s="7" t="str">
        <x:v>TRO-A-04-S3-O2-R2</x:v>
      </x:c>
      <x:c r="C90" s="7" t="str">
        <x:v>BLD-A</x:v>
      </x:c>
      <x:c r="D90" s="7" t="str">
        <x:v>MF-04</x:v>
      </x:c>
      <x:c r="E90" s="7" t="str">
        <x:v>STD-04-3</x:v>
      </x:c>
      <x:c r="F90" s="7" t="str">
        <x:v>OP-2</x:v>
      </x:c>
      <x:c r="G90" s="7" t="n">
        <x:v>2</x:v>
      </x:c>
      <x:c r="H90" s="7" t="str"/>
      <x:c r="I90" s="7" t="str"/>
      <x:c r="J90" s="7" t="str">
        <x:f>IF(OR(H90="",I90=""),"",I90-H90)</x:f>
      </x:c>
      <x:c r="K90" s="7" t="str"/>
      <x:c r="L90" s="7" t="str"/>
      <x:c r="M90" s="7" t="str"/>
      <x:c r="N90" s="7" t="str">
        <x:f>IF(M90="","OPEN",IF(OR(NOT(ISNUMBER(H90)),NOT(ISNUMBER(I90)),K90="",L90=""),"FAIL","PASS"))</x:f>
        <x:v>OPEN</x:v>
      </x:c>
    </x:row>
    <x:row r="91">
      <x:c r="B91" s="7" t="str">
        <x:v>TRO-A-04-S4-O1-R1</x:v>
      </x:c>
      <x:c r="C91" s="7" t="str">
        <x:v>BLD-A</x:v>
      </x:c>
      <x:c r="D91" s="7" t="str">
        <x:v>MF-04</x:v>
      </x:c>
      <x:c r="E91" s="7" t="str">
        <x:v>STD-04-4</x:v>
      </x:c>
      <x:c r="F91" s="7" t="str">
        <x:v>OP-1</x:v>
      </x:c>
      <x:c r="G91" s="7" t="n">
        <x:v>1</x:v>
      </x:c>
      <x:c r="H91" s="7" t="str"/>
      <x:c r="I91" s="7" t="str"/>
      <x:c r="J91" s="7" t="str">
        <x:f>IF(OR(H91="",I91=""),"",I91-H91)</x:f>
      </x:c>
      <x:c r="K91" s="7" t="str"/>
      <x:c r="L91" s="7" t="str"/>
      <x:c r="M91" s="7" t="str"/>
      <x:c r="N91" s="7" t="str">
        <x:f>IF(M91="","OPEN",IF(OR(NOT(ISNUMBER(H91)),NOT(ISNUMBER(I91)),K91="",L91=""),"FAIL","PASS"))</x:f>
        <x:v>OPEN</x:v>
      </x:c>
    </x:row>
    <x:row r="92">
      <x:c r="B92" s="7" t="str">
        <x:v>TRO-A-04-S4-O1-R2</x:v>
      </x:c>
      <x:c r="C92" s="7" t="str">
        <x:v>BLD-A</x:v>
      </x:c>
      <x:c r="D92" s="7" t="str">
        <x:v>MF-04</x:v>
      </x:c>
      <x:c r="E92" s="7" t="str">
        <x:v>STD-04-4</x:v>
      </x:c>
      <x:c r="F92" s="7" t="str">
        <x:v>OP-1</x:v>
      </x:c>
      <x:c r="G92" s="7" t="n">
        <x:v>2</x:v>
      </x:c>
      <x:c r="H92" s="7" t="str"/>
      <x:c r="I92" s="7" t="str"/>
      <x:c r="J92" s="7" t="str">
        <x:f>IF(OR(H92="",I92=""),"",I92-H92)</x:f>
      </x:c>
      <x:c r="K92" s="7" t="str"/>
      <x:c r="L92" s="7" t="str"/>
      <x:c r="M92" s="7" t="str"/>
      <x:c r="N92" s="7" t="str">
        <x:f>IF(M92="","OPEN",IF(OR(NOT(ISNUMBER(H92)),NOT(ISNUMBER(I92)),K92="",L92=""),"FAIL","PASS"))</x:f>
        <x:v>OPEN</x:v>
      </x:c>
    </x:row>
    <x:row r="93">
      <x:c r="B93" s="7" t="str">
        <x:v>TRO-A-04-S4-O2-R1</x:v>
      </x:c>
      <x:c r="C93" s="7" t="str">
        <x:v>BLD-A</x:v>
      </x:c>
      <x:c r="D93" s="7" t="str">
        <x:v>MF-04</x:v>
      </x:c>
      <x:c r="E93" s="7" t="str">
        <x:v>STD-04-4</x:v>
      </x:c>
      <x:c r="F93" s="7" t="str">
        <x:v>OP-2</x:v>
      </x:c>
      <x:c r="G93" s="7" t="n">
        <x:v>1</x:v>
      </x:c>
      <x:c r="H93" s="7" t="str"/>
      <x:c r="I93" s="7" t="str"/>
      <x:c r="J93" s="7" t="str">
        <x:f>IF(OR(H93="",I93=""),"",I93-H93)</x:f>
      </x:c>
      <x:c r="K93" s="7" t="str"/>
      <x:c r="L93" s="7" t="str"/>
      <x:c r="M93" s="7" t="str"/>
      <x:c r="N93" s="7" t="str">
        <x:f>IF(M93="","OPEN",IF(OR(NOT(ISNUMBER(H93)),NOT(ISNUMBER(I93)),K93="",L93=""),"FAIL","PASS"))</x:f>
        <x:v>OPEN</x:v>
      </x:c>
    </x:row>
    <x:row r="94">
      <x:c r="B94" s="7" t="str">
        <x:v>TRO-A-04-S4-O2-R2</x:v>
      </x:c>
      <x:c r="C94" s="7" t="str">
        <x:v>BLD-A</x:v>
      </x:c>
      <x:c r="D94" s="7" t="str">
        <x:v>MF-04</x:v>
      </x:c>
      <x:c r="E94" s="7" t="str">
        <x:v>STD-04-4</x:v>
      </x:c>
      <x:c r="F94" s="7" t="str">
        <x:v>OP-2</x:v>
      </x:c>
      <x:c r="G94" s="7" t="n">
        <x:v>2</x:v>
      </x:c>
      <x:c r="H94" s="7" t="str"/>
      <x:c r="I94" s="7" t="str"/>
      <x:c r="J94" s="7" t="str">
        <x:f>IF(OR(H94="",I94=""),"",I94-H94)</x:f>
      </x:c>
      <x:c r="K94" s="7" t="str"/>
      <x:c r="L94" s="7" t="str"/>
      <x:c r="M94" s="7" t="str"/>
      <x:c r="N94" s="7" t="str">
        <x:f>IF(M94="","OPEN",IF(OR(NOT(ISNUMBER(H94)),NOT(ISNUMBER(I94)),K94="",L94=""),"FAIL","PASS"))</x:f>
        <x:v>OPEN</x:v>
      </x:c>
    </x:row>
    <x:row r="95">
      <x:c r="B95" s="7" t="str">
        <x:v>TRO-A-04-S5-O1-R1</x:v>
      </x:c>
      <x:c r="C95" s="7" t="str">
        <x:v>BLD-A</x:v>
      </x:c>
      <x:c r="D95" s="7" t="str">
        <x:v>MF-04</x:v>
      </x:c>
      <x:c r="E95" s="7" t="str">
        <x:v>STD-04-5</x:v>
      </x:c>
      <x:c r="F95" s="7" t="str">
        <x:v>OP-1</x:v>
      </x:c>
      <x:c r="G95" s="7" t="n">
        <x:v>1</x:v>
      </x:c>
      <x:c r="H95" s="7" t="str"/>
      <x:c r="I95" s="7" t="str"/>
      <x:c r="J95" s="7" t="str">
        <x:f>IF(OR(H95="",I95=""),"",I95-H95)</x:f>
      </x:c>
      <x:c r="K95" s="7" t="str"/>
      <x:c r="L95" s="7" t="str"/>
      <x:c r="M95" s="7" t="str"/>
      <x:c r="N95" s="7" t="str">
        <x:f>IF(M95="","OPEN",IF(OR(NOT(ISNUMBER(H95)),NOT(ISNUMBER(I95)),K95="",L95=""),"FAIL","PASS"))</x:f>
        <x:v>OPEN</x:v>
      </x:c>
    </x:row>
    <x:row r="96">
      <x:c r="B96" s="7" t="str">
        <x:v>TRO-A-04-S5-O1-R2</x:v>
      </x:c>
      <x:c r="C96" s="7" t="str">
        <x:v>BLD-A</x:v>
      </x:c>
      <x:c r="D96" s="7" t="str">
        <x:v>MF-04</x:v>
      </x:c>
      <x:c r="E96" s="7" t="str">
        <x:v>STD-04-5</x:v>
      </x:c>
      <x:c r="F96" s="7" t="str">
        <x:v>OP-1</x:v>
      </x:c>
      <x:c r="G96" s="7" t="n">
        <x:v>2</x:v>
      </x:c>
      <x:c r="H96" s="7" t="str"/>
      <x:c r="I96" s="7" t="str"/>
      <x:c r="J96" s="7" t="str">
        <x:f>IF(OR(H96="",I96=""),"",I96-H96)</x:f>
      </x:c>
      <x:c r="K96" s="7" t="str"/>
      <x:c r="L96" s="7" t="str"/>
      <x:c r="M96" s="7" t="str"/>
      <x:c r="N96" s="7" t="str">
        <x:f>IF(M96="","OPEN",IF(OR(NOT(ISNUMBER(H96)),NOT(ISNUMBER(I96)),K96="",L96=""),"FAIL","PASS"))</x:f>
        <x:v>OPEN</x:v>
      </x:c>
    </x:row>
    <x:row r="97">
      <x:c r="B97" s="7" t="str">
        <x:v>TRO-A-04-S5-O2-R1</x:v>
      </x:c>
      <x:c r="C97" s="7" t="str">
        <x:v>BLD-A</x:v>
      </x:c>
      <x:c r="D97" s="7" t="str">
        <x:v>MF-04</x:v>
      </x:c>
      <x:c r="E97" s="7" t="str">
        <x:v>STD-04-5</x:v>
      </x:c>
      <x:c r="F97" s="7" t="str">
        <x:v>OP-2</x:v>
      </x:c>
      <x:c r="G97" s="7" t="n">
        <x:v>1</x:v>
      </x:c>
      <x:c r="H97" s="7" t="str"/>
      <x:c r="I97" s="7" t="str"/>
      <x:c r="J97" s="7" t="str">
        <x:f>IF(OR(H97="",I97=""),"",I97-H97)</x:f>
      </x:c>
      <x:c r="K97" s="7" t="str"/>
      <x:c r="L97" s="7" t="str"/>
      <x:c r="M97" s="7" t="str"/>
      <x:c r="N97" s="7" t="str">
        <x:f>IF(M97="","OPEN",IF(OR(NOT(ISNUMBER(H97)),NOT(ISNUMBER(I97)),K97="",L97=""),"FAIL","PASS"))</x:f>
        <x:v>OPEN</x:v>
      </x:c>
    </x:row>
    <x:row r="98">
      <x:c r="B98" s="7" t="str">
        <x:v>TRO-A-04-S5-O2-R2</x:v>
      </x:c>
      <x:c r="C98" s="7" t="str">
        <x:v>BLD-A</x:v>
      </x:c>
      <x:c r="D98" s="7" t="str">
        <x:v>MF-04</x:v>
      </x:c>
      <x:c r="E98" s="7" t="str">
        <x:v>STD-04-5</x:v>
      </x:c>
      <x:c r="F98" s="7" t="str">
        <x:v>OP-2</x:v>
      </x:c>
      <x:c r="G98" s="7" t="n">
        <x:v>2</x:v>
      </x:c>
      <x:c r="H98" s="7" t="str"/>
      <x:c r="I98" s="7" t="str"/>
      <x:c r="J98" s="7" t="str">
        <x:f>IF(OR(H98="",I98=""),"",I98-H98)</x:f>
      </x:c>
      <x:c r="K98" s="7" t="str"/>
      <x:c r="L98" s="7" t="str"/>
      <x:c r="M98" s="7" t="str"/>
      <x:c r="N98" s="7" t="str">
        <x:f>IF(M98="","OPEN",IF(OR(NOT(ISNUMBER(H98)),NOT(ISNUMBER(I98)),K98="",L98=""),"FAIL","PASS"))</x:f>
        <x:v>OPEN</x:v>
      </x:c>
    </x:row>
    <x:row r="99">
      <x:c r="B99" s="7" t="str">
        <x:v>TRO-A-04-S6-O1-R1</x:v>
      </x:c>
      <x:c r="C99" s="7" t="str">
        <x:v>BLD-A</x:v>
      </x:c>
      <x:c r="D99" s="7" t="str">
        <x:v>MF-04</x:v>
      </x:c>
      <x:c r="E99" s="7" t="str">
        <x:v>STD-04-6</x:v>
      </x:c>
      <x:c r="F99" s="7" t="str">
        <x:v>OP-1</x:v>
      </x:c>
      <x:c r="G99" s="7" t="n">
        <x:v>1</x:v>
      </x:c>
      <x:c r="H99" s="7" t="str"/>
      <x:c r="I99" s="7" t="str"/>
      <x:c r="J99" s="7" t="str">
        <x:f>IF(OR(H99="",I99=""),"",I99-H99)</x:f>
      </x:c>
      <x:c r="K99" s="7" t="str"/>
      <x:c r="L99" s="7" t="str"/>
      <x:c r="M99" s="7" t="str"/>
      <x:c r="N99" s="7" t="str">
        <x:f>IF(M99="","OPEN",IF(OR(NOT(ISNUMBER(H99)),NOT(ISNUMBER(I99)),K99="",L99=""),"FAIL","PASS"))</x:f>
        <x:v>OPEN</x:v>
      </x:c>
    </x:row>
    <x:row r="100">
      <x:c r="B100" s="7" t="str">
        <x:v>TRO-A-04-S6-O1-R2</x:v>
      </x:c>
      <x:c r="C100" s="7" t="str">
        <x:v>BLD-A</x:v>
      </x:c>
      <x:c r="D100" s="7" t="str">
        <x:v>MF-04</x:v>
      </x:c>
      <x:c r="E100" s="7" t="str">
        <x:v>STD-04-6</x:v>
      </x:c>
      <x:c r="F100" s="7" t="str">
        <x:v>OP-1</x:v>
      </x:c>
      <x:c r="G100" s="7" t="n">
        <x:v>2</x:v>
      </x:c>
      <x:c r="H100" s="7" t="str"/>
      <x:c r="I100" s="7" t="str"/>
      <x:c r="J100" s="7" t="str">
        <x:f>IF(OR(H100="",I100=""),"",I100-H100)</x:f>
      </x:c>
      <x:c r="K100" s="7" t="str"/>
      <x:c r="L100" s="7" t="str"/>
      <x:c r="M100" s="7" t="str"/>
      <x:c r="N100" s="7" t="str">
        <x:f>IF(M100="","OPEN",IF(OR(NOT(ISNUMBER(H100)),NOT(ISNUMBER(I100)),K100="",L100=""),"FAIL","PASS"))</x:f>
        <x:v>OPEN</x:v>
      </x:c>
    </x:row>
    <x:row r="101">
      <x:c r="B101" s="7" t="str">
        <x:v>TRO-A-04-S6-O2-R1</x:v>
      </x:c>
      <x:c r="C101" s="7" t="str">
        <x:v>BLD-A</x:v>
      </x:c>
      <x:c r="D101" s="7" t="str">
        <x:v>MF-04</x:v>
      </x:c>
      <x:c r="E101" s="7" t="str">
        <x:v>STD-04-6</x:v>
      </x:c>
      <x:c r="F101" s="7" t="str">
        <x:v>OP-2</x:v>
      </x:c>
      <x:c r="G101" s="7" t="n">
        <x:v>1</x:v>
      </x:c>
      <x:c r="H101" s="7" t="str"/>
      <x:c r="I101" s="7" t="str"/>
      <x:c r="J101" s="7" t="str">
        <x:f>IF(OR(H101="",I101=""),"",I101-H101)</x:f>
      </x:c>
      <x:c r="K101" s="7" t="str"/>
      <x:c r="L101" s="7" t="str"/>
      <x:c r="M101" s="7" t="str"/>
      <x:c r="N101" s="7" t="str">
        <x:f>IF(M101="","OPEN",IF(OR(NOT(ISNUMBER(H101)),NOT(ISNUMBER(I101)),K101="",L101=""),"FAIL","PASS"))</x:f>
        <x:v>OPEN</x:v>
      </x:c>
    </x:row>
    <x:row r="102">
      <x:c r="B102" s="7" t="str">
        <x:v>TRO-A-04-S6-O2-R2</x:v>
      </x:c>
      <x:c r="C102" s="7" t="str">
        <x:v>BLD-A</x:v>
      </x:c>
      <x:c r="D102" s="7" t="str">
        <x:v>MF-04</x:v>
      </x:c>
      <x:c r="E102" s="7" t="str">
        <x:v>STD-04-6</x:v>
      </x:c>
      <x:c r="F102" s="7" t="str">
        <x:v>OP-2</x:v>
      </x:c>
      <x:c r="G102" s="7" t="n">
        <x:v>2</x:v>
      </x:c>
      <x:c r="H102" s="7" t="str"/>
      <x:c r="I102" s="7" t="str"/>
      <x:c r="J102" s="7" t="str">
        <x:f>IF(OR(H102="",I102=""),"",I102-H102)</x:f>
      </x:c>
      <x:c r="K102" s="7" t="str"/>
      <x:c r="L102" s="7" t="str"/>
      <x:c r="M102" s="7" t="str"/>
      <x:c r="N102" s="7" t="str">
        <x:f>IF(M102="","OPEN",IF(OR(NOT(ISNUMBER(H102)),NOT(ISNUMBER(I102)),K102="",L102=""),"FAIL","PASS"))</x:f>
        <x:v>OPEN</x:v>
      </x:c>
    </x:row>
    <x:row r="103">
      <x:c r="B103" s="7" t="str">
        <x:v>TRO-A-05-S1-O1-R1</x:v>
      </x:c>
      <x:c r="C103" s="7" t="str">
        <x:v>BLD-A</x:v>
      </x:c>
      <x:c r="D103" s="7" t="str">
        <x:v>MF-05</x:v>
      </x:c>
      <x:c r="E103" s="7" t="str">
        <x:v>STD-05-1</x:v>
      </x:c>
      <x:c r="F103" s="7" t="str">
        <x:v>OP-1</x:v>
      </x:c>
      <x:c r="G103" s="7" t="n">
        <x:v>1</x:v>
      </x:c>
      <x:c r="H103" s="7" t="str"/>
      <x:c r="I103" s="7" t="str"/>
      <x:c r="J103" s="7" t="str">
        <x:f>IF(OR(H103="",I103=""),"",I103-H103)</x:f>
      </x:c>
      <x:c r="K103" s="7" t="str"/>
      <x:c r="L103" s="7" t="str"/>
      <x:c r="M103" s="7" t="str"/>
      <x:c r="N103" s="7" t="str">
        <x:f>IF(M103="","OPEN",IF(OR(NOT(ISNUMBER(H103)),NOT(ISNUMBER(I103)),K103="",L103=""),"FAIL","PASS"))</x:f>
        <x:v>OPEN</x:v>
      </x:c>
    </x:row>
    <x:row r="104">
      <x:c r="B104" s="7" t="str">
        <x:v>TRO-A-05-S1-O1-R2</x:v>
      </x:c>
      <x:c r="C104" s="7" t="str">
        <x:v>BLD-A</x:v>
      </x:c>
      <x:c r="D104" s="7" t="str">
        <x:v>MF-05</x:v>
      </x:c>
      <x:c r="E104" s="7" t="str">
        <x:v>STD-05-1</x:v>
      </x:c>
      <x:c r="F104" s="7" t="str">
        <x:v>OP-1</x:v>
      </x:c>
      <x:c r="G104" s="7" t="n">
        <x:v>2</x:v>
      </x:c>
      <x:c r="H104" s="7" t="str"/>
      <x:c r="I104" s="7" t="str"/>
      <x:c r="J104" s="7" t="str">
        <x:f>IF(OR(H104="",I104=""),"",I104-H104)</x:f>
      </x:c>
      <x:c r="K104" s="7" t="str"/>
      <x:c r="L104" s="7" t="str"/>
      <x:c r="M104" s="7" t="str"/>
      <x:c r="N104" s="7" t="str">
        <x:f>IF(M104="","OPEN",IF(OR(NOT(ISNUMBER(H104)),NOT(ISNUMBER(I104)),K104="",L104=""),"FAIL","PASS"))</x:f>
        <x:v>OPEN</x:v>
      </x:c>
    </x:row>
    <x:row r="105">
      <x:c r="B105" s="7" t="str">
        <x:v>TRO-A-05-S1-O2-R1</x:v>
      </x:c>
      <x:c r="C105" s="7" t="str">
        <x:v>BLD-A</x:v>
      </x:c>
      <x:c r="D105" s="7" t="str">
        <x:v>MF-05</x:v>
      </x:c>
      <x:c r="E105" s="7" t="str">
        <x:v>STD-05-1</x:v>
      </x:c>
      <x:c r="F105" s="7" t="str">
        <x:v>OP-2</x:v>
      </x:c>
      <x:c r="G105" s="7" t="n">
        <x:v>1</x:v>
      </x:c>
      <x:c r="H105" s="7" t="str"/>
      <x:c r="I105" s="7" t="str"/>
      <x:c r="J105" s="7" t="str">
        <x:f>IF(OR(H105="",I105=""),"",I105-H105)</x:f>
      </x:c>
      <x:c r="K105" s="7" t="str"/>
      <x:c r="L105" s="7" t="str"/>
      <x:c r="M105" s="7" t="str"/>
      <x:c r="N105" s="7" t="str">
        <x:f>IF(M105="","OPEN",IF(OR(NOT(ISNUMBER(H105)),NOT(ISNUMBER(I105)),K105="",L105=""),"FAIL","PASS"))</x:f>
        <x:v>OPEN</x:v>
      </x:c>
    </x:row>
    <x:row r="106">
      <x:c r="B106" s="7" t="str">
        <x:v>TRO-A-05-S1-O2-R2</x:v>
      </x:c>
      <x:c r="C106" s="7" t="str">
        <x:v>BLD-A</x:v>
      </x:c>
      <x:c r="D106" s="7" t="str">
        <x:v>MF-05</x:v>
      </x:c>
      <x:c r="E106" s="7" t="str">
        <x:v>STD-05-1</x:v>
      </x:c>
      <x:c r="F106" s="7" t="str">
        <x:v>OP-2</x:v>
      </x:c>
      <x:c r="G106" s="7" t="n">
        <x:v>2</x:v>
      </x:c>
      <x:c r="H106" s="7" t="str"/>
      <x:c r="I106" s="7" t="str"/>
      <x:c r="J106" s="7" t="str">
        <x:f>IF(OR(H106="",I106=""),"",I106-H106)</x:f>
      </x:c>
      <x:c r="K106" s="7" t="str"/>
      <x:c r="L106" s="7" t="str"/>
      <x:c r="M106" s="7" t="str"/>
      <x:c r="N106" s="7" t="str">
        <x:f>IF(M106="","OPEN",IF(OR(NOT(ISNUMBER(H106)),NOT(ISNUMBER(I106)),K106="",L106=""),"FAIL","PASS"))</x:f>
        <x:v>OPEN</x:v>
      </x:c>
    </x:row>
    <x:row r="107">
      <x:c r="B107" s="7" t="str">
        <x:v>TRO-A-05-S2-O1-R1</x:v>
      </x:c>
      <x:c r="C107" s="7" t="str">
        <x:v>BLD-A</x:v>
      </x:c>
      <x:c r="D107" s="7" t="str">
        <x:v>MF-05</x:v>
      </x:c>
      <x:c r="E107" s="7" t="str">
        <x:v>STD-05-2</x:v>
      </x:c>
      <x:c r="F107" s="7" t="str">
        <x:v>OP-1</x:v>
      </x:c>
      <x:c r="G107" s="7" t="n">
        <x:v>1</x:v>
      </x:c>
      <x:c r="H107" s="7" t="str"/>
      <x:c r="I107" s="7" t="str"/>
      <x:c r="J107" s="7" t="str">
        <x:f>IF(OR(H107="",I107=""),"",I107-H107)</x:f>
      </x:c>
      <x:c r="K107" s="7" t="str"/>
      <x:c r="L107" s="7" t="str"/>
      <x:c r="M107" s="7" t="str"/>
      <x:c r="N107" s="7" t="str">
        <x:f>IF(M107="","OPEN",IF(OR(NOT(ISNUMBER(H107)),NOT(ISNUMBER(I107)),K107="",L107=""),"FAIL","PASS"))</x:f>
        <x:v>OPEN</x:v>
      </x:c>
    </x:row>
    <x:row r="108">
      <x:c r="B108" s="7" t="str">
        <x:v>TRO-A-05-S2-O1-R2</x:v>
      </x:c>
      <x:c r="C108" s="7" t="str">
        <x:v>BLD-A</x:v>
      </x:c>
      <x:c r="D108" s="7" t="str">
        <x:v>MF-05</x:v>
      </x:c>
      <x:c r="E108" s="7" t="str">
        <x:v>STD-05-2</x:v>
      </x:c>
      <x:c r="F108" s="7" t="str">
        <x:v>OP-1</x:v>
      </x:c>
      <x:c r="G108" s="7" t="n">
        <x:v>2</x:v>
      </x:c>
      <x:c r="H108" s="7" t="str"/>
      <x:c r="I108" s="7" t="str"/>
      <x:c r="J108" s="7" t="str">
        <x:f>IF(OR(H108="",I108=""),"",I108-H108)</x:f>
      </x:c>
      <x:c r="K108" s="7" t="str"/>
      <x:c r="L108" s="7" t="str"/>
      <x:c r="M108" s="7" t="str"/>
      <x:c r="N108" s="7" t="str">
        <x:f>IF(M108="","OPEN",IF(OR(NOT(ISNUMBER(H108)),NOT(ISNUMBER(I108)),K108="",L108=""),"FAIL","PASS"))</x:f>
        <x:v>OPEN</x:v>
      </x:c>
    </x:row>
    <x:row r="109">
      <x:c r="B109" s="7" t="str">
        <x:v>TRO-A-05-S2-O2-R1</x:v>
      </x:c>
      <x:c r="C109" s="7" t="str">
        <x:v>BLD-A</x:v>
      </x:c>
      <x:c r="D109" s="7" t="str">
        <x:v>MF-05</x:v>
      </x:c>
      <x:c r="E109" s="7" t="str">
        <x:v>STD-05-2</x:v>
      </x:c>
      <x:c r="F109" s="7" t="str">
        <x:v>OP-2</x:v>
      </x:c>
      <x:c r="G109" s="7" t="n">
        <x:v>1</x:v>
      </x:c>
      <x:c r="H109" s="7" t="str"/>
      <x:c r="I109" s="7" t="str"/>
      <x:c r="J109" s="7" t="str">
        <x:f>IF(OR(H109="",I109=""),"",I109-H109)</x:f>
      </x:c>
      <x:c r="K109" s="7" t="str"/>
      <x:c r="L109" s="7" t="str"/>
      <x:c r="M109" s="7" t="str"/>
      <x:c r="N109" s="7" t="str">
        <x:f>IF(M109="","OPEN",IF(OR(NOT(ISNUMBER(H109)),NOT(ISNUMBER(I109)),K109="",L109=""),"FAIL","PASS"))</x:f>
        <x:v>OPEN</x:v>
      </x:c>
    </x:row>
    <x:row r="110">
      <x:c r="B110" s="7" t="str">
        <x:v>TRO-A-05-S2-O2-R2</x:v>
      </x:c>
      <x:c r="C110" s="7" t="str">
        <x:v>BLD-A</x:v>
      </x:c>
      <x:c r="D110" s="7" t="str">
        <x:v>MF-05</x:v>
      </x:c>
      <x:c r="E110" s="7" t="str">
        <x:v>STD-05-2</x:v>
      </x:c>
      <x:c r="F110" s="7" t="str">
        <x:v>OP-2</x:v>
      </x:c>
      <x:c r="G110" s="7" t="n">
        <x:v>2</x:v>
      </x:c>
      <x:c r="H110" s="7" t="str"/>
      <x:c r="I110" s="7" t="str"/>
      <x:c r="J110" s="7" t="str">
        <x:f>IF(OR(H110="",I110=""),"",I110-H110)</x:f>
      </x:c>
      <x:c r="K110" s="7" t="str"/>
      <x:c r="L110" s="7" t="str"/>
      <x:c r="M110" s="7" t="str"/>
      <x:c r="N110" s="7" t="str">
        <x:f>IF(M110="","OPEN",IF(OR(NOT(ISNUMBER(H110)),NOT(ISNUMBER(I110)),K110="",L110=""),"FAIL","PASS"))</x:f>
        <x:v>OPEN</x:v>
      </x:c>
    </x:row>
    <x:row r="111">
      <x:c r="B111" s="7" t="str">
        <x:v>TRO-A-05-S3-O1-R1</x:v>
      </x:c>
      <x:c r="C111" s="7" t="str">
        <x:v>BLD-A</x:v>
      </x:c>
      <x:c r="D111" s="7" t="str">
        <x:v>MF-05</x:v>
      </x:c>
      <x:c r="E111" s="7" t="str">
        <x:v>STD-05-3</x:v>
      </x:c>
      <x:c r="F111" s="7" t="str">
        <x:v>OP-1</x:v>
      </x:c>
      <x:c r="G111" s="7" t="n">
        <x:v>1</x:v>
      </x:c>
      <x:c r="H111" s="7" t="str"/>
      <x:c r="I111" s="7" t="str"/>
      <x:c r="J111" s="7" t="str">
        <x:f>IF(OR(H111="",I111=""),"",I111-H111)</x:f>
      </x:c>
      <x:c r="K111" s="7" t="str"/>
      <x:c r="L111" s="7" t="str"/>
      <x:c r="M111" s="7" t="str"/>
      <x:c r="N111" s="7" t="str">
        <x:f>IF(M111="","OPEN",IF(OR(NOT(ISNUMBER(H111)),NOT(ISNUMBER(I111)),K111="",L111=""),"FAIL","PASS"))</x:f>
        <x:v>OPEN</x:v>
      </x:c>
    </x:row>
    <x:row r="112">
      <x:c r="B112" s="7" t="str">
        <x:v>TRO-A-05-S3-O1-R2</x:v>
      </x:c>
      <x:c r="C112" s="7" t="str">
        <x:v>BLD-A</x:v>
      </x:c>
      <x:c r="D112" s="7" t="str">
        <x:v>MF-05</x:v>
      </x:c>
      <x:c r="E112" s="7" t="str">
        <x:v>STD-05-3</x:v>
      </x:c>
      <x:c r="F112" s="7" t="str">
        <x:v>OP-1</x:v>
      </x:c>
      <x:c r="G112" s="7" t="n">
        <x:v>2</x:v>
      </x:c>
      <x:c r="H112" s="7" t="str"/>
      <x:c r="I112" s="7" t="str"/>
      <x:c r="J112" s="7" t="str">
        <x:f>IF(OR(H112="",I112=""),"",I112-H112)</x:f>
      </x:c>
      <x:c r="K112" s="7" t="str"/>
      <x:c r="L112" s="7" t="str"/>
      <x:c r="M112" s="7" t="str"/>
      <x:c r="N112" s="7" t="str">
        <x:f>IF(M112="","OPEN",IF(OR(NOT(ISNUMBER(H112)),NOT(ISNUMBER(I112)),K112="",L112=""),"FAIL","PASS"))</x:f>
        <x:v>OPEN</x:v>
      </x:c>
    </x:row>
    <x:row r="113">
      <x:c r="B113" s="7" t="str">
        <x:v>TRO-A-05-S3-O2-R1</x:v>
      </x:c>
      <x:c r="C113" s="7" t="str">
        <x:v>BLD-A</x:v>
      </x:c>
      <x:c r="D113" s="7" t="str">
        <x:v>MF-05</x:v>
      </x:c>
      <x:c r="E113" s="7" t="str">
        <x:v>STD-05-3</x:v>
      </x:c>
      <x:c r="F113" s="7" t="str">
        <x:v>OP-2</x:v>
      </x:c>
      <x:c r="G113" s="7" t="n">
        <x:v>1</x:v>
      </x:c>
      <x:c r="H113" s="7" t="str"/>
      <x:c r="I113" s="7" t="str"/>
      <x:c r="J113" s="7" t="str">
        <x:f>IF(OR(H113="",I113=""),"",I113-H113)</x:f>
      </x:c>
      <x:c r="K113" s="7" t="str"/>
      <x:c r="L113" s="7" t="str"/>
      <x:c r="M113" s="7" t="str"/>
      <x:c r="N113" s="7" t="str">
        <x:f>IF(M113="","OPEN",IF(OR(NOT(ISNUMBER(H113)),NOT(ISNUMBER(I113)),K113="",L113=""),"FAIL","PASS"))</x:f>
        <x:v>OPEN</x:v>
      </x:c>
    </x:row>
    <x:row r="114">
      <x:c r="B114" s="7" t="str">
        <x:v>TRO-A-05-S3-O2-R2</x:v>
      </x:c>
      <x:c r="C114" s="7" t="str">
        <x:v>BLD-A</x:v>
      </x:c>
      <x:c r="D114" s="7" t="str">
        <x:v>MF-05</x:v>
      </x:c>
      <x:c r="E114" s="7" t="str">
        <x:v>STD-05-3</x:v>
      </x:c>
      <x:c r="F114" s="7" t="str">
        <x:v>OP-2</x:v>
      </x:c>
      <x:c r="G114" s="7" t="n">
        <x:v>2</x:v>
      </x:c>
      <x:c r="H114" s="7" t="str"/>
      <x:c r="I114" s="7" t="str"/>
      <x:c r="J114" s="7" t="str">
        <x:f>IF(OR(H114="",I114=""),"",I114-H114)</x:f>
      </x:c>
      <x:c r="K114" s="7" t="str"/>
      <x:c r="L114" s="7" t="str"/>
      <x:c r="M114" s="7" t="str"/>
      <x:c r="N114" s="7" t="str">
        <x:f>IF(M114="","OPEN",IF(OR(NOT(ISNUMBER(H114)),NOT(ISNUMBER(I114)),K114="",L114=""),"FAIL","PASS"))</x:f>
        <x:v>OPEN</x:v>
      </x:c>
    </x:row>
    <x:row r="115">
      <x:c r="B115" s="7" t="str">
        <x:v>TRO-A-05-S4-O1-R1</x:v>
      </x:c>
      <x:c r="C115" s="7" t="str">
        <x:v>BLD-A</x:v>
      </x:c>
      <x:c r="D115" s="7" t="str">
        <x:v>MF-05</x:v>
      </x:c>
      <x:c r="E115" s="7" t="str">
        <x:v>STD-05-4</x:v>
      </x:c>
      <x:c r="F115" s="7" t="str">
        <x:v>OP-1</x:v>
      </x:c>
      <x:c r="G115" s="7" t="n">
        <x:v>1</x:v>
      </x:c>
      <x:c r="H115" s="7" t="str"/>
      <x:c r="I115" s="7" t="str"/>
      <x:c r="J115" s="7" t="str">
        <x:f>IF(OR(H115="",I115=""),"",I115-H115)</x:f>
      </x:c>
      <x:c r="K115" s="7" t="str"/>
      <x:c r="L115" s="7" t="str"/>
      <x:c r="M115" s="7" t="str"/>
      <x:c r="N115" s="7" t="str">
        <x:f>IF(M115="","OPEN",IF(OR(NOT(ISNUMBER(H115)),NOT(ISNUMBER(I115)),K115="",L115=""),"FAIL","PASS"))</x:f>
        <x:v>OPEN</x:v>
      </x:c>
    </x:row>
    <x:row r="116">
      <x:c r="B116" s="7" t="str">
        <x:v>TRO-A-05-S4-O1-R2</x:v>
      </x:c>
      <x:c r="C116" s="7" t="str">
        <x:v>BLD-A</x:v>
      </x:c>
      <x:c r="D116" s="7" t="str">
        <x:v>MF-05</x:v>
      </x:c>
      <x:c r="E116" s="7" t="str">
        <x:v>STD-05-4</x:v>
      </x:c>
      <x:c r="F116" s="7" t="str">
        <x:v>OP-1</x:v>
      </x:c>
      <x:c r="G116" s="7" t="n">
        <x:v>2</x:v>
      </x:c>
      <x:c r="H116" s="7" t="str"/>
      <x:c r="I116" s="7" t="str"/>
      <x:c r="J116" s="7" t="str">
        <x:f>IF(OR(H116="",I116=""),"",I116-H116)</x:f>
      </x:c>
      <x:c r="K116" s="7" t="str"/>
      <x:c r="L116" s="7" t="str"/>
      <x:c r="M116" s="7" t="str"/>
      <x:c r="N116" s="7" t="str">
        <x:f>IF(M116="","OPEN",IF(OR(NOT(ISNUMBER(H116)),NOT(ISNUMBER(I116)),K116="",L116=""),"FAIL","PASS"))</x:f>
        <x:v>OPEN</x:v>
      </x:c>
    </x:row>
    <x:row r="117">
      <x:c r="B117" s="7" t="str">
        <x:v>TRO-A-05-S4-O2-R1</x:v>
      </x:c>
      <x:c r="C117" s="7" t="str">
        <x:v>BLD-A</x:v>
      </x:c>
      <x:c r="D117" s="7" t="str">
        <x:v>MF-05</x:v>
      </x:c>
      <x:c r="E117" s="7" t="str">
        <x:v>STD-05-4</x:v>
      </x:c>
      <x:c r="F117" s="7" t="str">
        <x:v>OP-2</x:v>
      </x:c>
      <x:c r="G117" s="7" t="n">
        <x:v>1</x:v>
      </x:c>
      <x:c r="H117" s="7" t="str"/>
      <x:c r="I117" s="7" t="str"/>
      <x:c r="J117" s="7" t="str">
        <x:f>IF(OR(H117="",I117=""),"",I117-H117)</x:f>
      </x:c>
      <x:c r="K117" s="7" t="str"/>
      <x:c r="L117" s="7" t="str"/>
      <x:c r="M117" s="7" t="str"/>
      <x:c r="N117" s="7" t="str">
        <x:f>IF(M117="","OPEN",IF(OR(NOT(ISNUMBER(H117)),NOT(ISNUMBER(I117)),K117="",L117=""),"FAIL","PASS"))</x:f>
        <x:v>OPEN</x:v>
      </x:c>
    </x:row>
    <x:row r="118">
      <x:c r="B118" s="7" t="str">
        <x:v>TRO-A-05-S4-O2-R2</x:v>
      </x:c>
      <x:c r="C118" s="7" t="str">
        <x:v>BLD-A</x:v>
      </x:c>
      <x:c r="D118" s="7" t="str">
        <x:v>MF-05</x:v>
      </x:c>
      <x:c r="E118" s="7" t="str">
        <x:v>STD-05-4</x:v>
      </x:c>
      <x:c r="F118" s="7" t="str">
        <x:v>OP-2</x:v>
      </x:c>
      <x:c r="G118" s="7" t="n">
        <x:v>2</x:v>
      </x:c>
      <x:c r="H118" s="7" t="str"/>
      <x:c r="I118" s="7" t="str"/>
      <x:c r="J118" s="7" t="str">
        <x:f>IF(OR(H118="",I118=""),"",I118-H118)</x:f>
      </x:c>
      <x:c r="K118" s="7" t="str"/>
      <x:c r="L118" s="7" t="str"/>
      <x:c r="M118" s="7" t="str"/>
      <x:c r="N118" s="7" t="str">
        <x:f>IF(M118="","OPEN",IF(OR(NOT(ISNUMBER(H118)),NOT(ISNUMBER(I118)),K118="",L118=""),"FAIL","PASS"))</x:f>
        <x:v>OPEN</x:v>
      </x:c>
    </x:row>
    <x:row r="119">
      <x:c r="B119" s="7" t="str">
        <x:v>TRO-A-05-S5-O1-R1</x:v>
      </x:c>
      <x:c r="C119" s="7" t="str">
        <x:v>BLD-A</x:v>
      </x:c>
      <x:c r="D119" s="7" t="str">
        <x:v>MF-05</x:v>
      </x:c>
      <x:c r="E119" s="7" t="str">
        <x:v>STD-05-5</x:v>
      </x:c>
      <x:c r="F119" s="7" t="str">
        <x:v>OP-1</x:v>
      </x:c>
      <x:c r="G119" s="7" t="n">
        <x:v>1</x:v>
      </x:c>
      <x:c r="H119" s="7" t="str"/>
      <x:c r="I119" s="7" t="str"/>
      <x:c r="J119" s="7" t="str">
        <x:f>IF(OR(H119="",I119=""),"",I119-H119)</x:f>
      </x:c>
      <x:c r="K119" s="7" t="str"/>
      <x:c r="L119" s="7" t="str"/>
      <x:c r="M119" s="7" t="str"/>
      <x:c r="N119" s="7" t="str">
        <x:f>IF(M119="","OPEN",IF(OR(NOT(ISNUMBER(H119)),NOT(ISNUMBER(I119)),K119="",L119=""),"FAIL","PASS"))</x:f>
        <x:v>OPEN</x:v>
      </x:c>
    </x:row>
    <x:row r="120">
      <x:c r="B120" s="7" t="str">
        <x:v>TRO-A-05-S5-O1-R2</x:v>
      </x:c>
      <x:c r="C120" s="7" t="str">
        <x:v>BLD-A</x:v>
      </x:c>
      <x:c r="D120" s="7" t="str">
        <x:v>MF-05</x:v>
      </x:c>
      <x:c r="E120" s="7" t="str">
        <x:v>STD-05-5</x:v>
      </x:c>
      <x:c r="F120" s="7" t="str">
        <x:v>OP-1</x:v>
      </x:c>
      <x:c r="G120" s="7" t="n">
        <x:v>2</x:v>
      </x:c>
      <x:c r="H120" s="7" t="str"/>
      <x:c r="I120" s="7" t="str"/>
      <x:c r="J120" s="7" t="str">
        <x:f>IF(OR(H120="",I120=""),"",I120-H120)</x:f>
      </x:c>
      <x:c r="K120" s="7" t="str"/>
      <x:c r="L120" s="7" t="str"/>
      <x:c r="M120" s="7" t="str"/>
      <x:c r="N120" s="7" t="str">
        <x:f>IF(M120="","OPEN",IF(OR(NOT(ISNUMBER(H120)),NOT(ISNUMBER(I120)),K120="",L120=""),"FAIL","PASS"))</x:f>
        <x:v>OPEN</x:v>
      </x:c>
    </x:row>
    <x:row r="121">
      <x:c r="B121" s="7" t="str">
        <x:v>TRO-A-05-S5-O2-R1</x:v>
      </x:c>
      <x:c r="C121" s="7" t="str">
        <x:v>BLD-A</x:v>
      </x:c>
      <x:c r="D121" s="7" t="str">
        <x:v>MF-05</x:v>
      </x:c>
      <x:c r="E121" s="7" t="str">
        <x:v>STD-05-5</x:v>
      </x:c>
      <x:c r="F121" s="7" t="str">
        <x:v>OP-2</x:v>
      </x:c>
      <x:c r="G121" s="7" t="n">
        <x:v>1</x:v>
      </x:c>
      <x:c r="H121" s="7" t="str"/>
      <x:c r="I121" s="7" t="str"/>
      <x:c r="J121" s="7" t="str">
        <x:f>IF(OR(H121="",I121=""),"",I121-H121)</x:f>
      </x:c>
      <x:c r="K121" s="7" t="str"/>
      <x:c r="L121" s="7" t="str"/>
      <x:c r="M121" s="7" t="str"/>
      <x:c r="N121" s="7" t="str">
        <x:f>IF(M121="","OPEN",IF(OR(NOT(ISNUMBER(H121)),NOT(ISNUMBER(I121)),K121="",L121=""),"FAIL","PASS"))</x:f>
        <x:v>OPEN</x:v>
      </x:c>
    </x:row>
    <x:row r="122">
      <x:c r="B122" s="7" t="str">
        <x:v>TRO-A-05-S5-O2-R2</x:v>
      </x:c>
      <x:c r="C122" s="7" t="str">
        <x:v>BLD-A</x:v>
      </x:c>
      <x:c r="D122" s="7" t="str">
        <x:v>MF-05</x:v>
      </x:c>
      <x:c r="E122" s="7" t="str">
        <x:v>STD-05-5</x:v>
      </x:c>
      <x:c r="F122" s="7" t="str">
        <x:v>OP-2</x:v>
      </x:c>
      <x:c r="G122" s="7" t="n">
        <x:v>2</x:v>
      </x:c>
      <x:c r="H122" s="7" t="str"/>
      <x:c r="I122" s="7" t="str"/>
      <x:c r="J122" s="7" t="str">
        <x:f>IF(OR(H122="",I122=""),"",I122-H122)</x:f>
      </x:c>
      <x:c r="K122" s="7" t="str"/>
      <x:c r="L122" s="7" t="str"/>
      <x:c r="M122" s="7" t="str"/>
      <x:c r="N122" s="7" t="str">
        <x:f>IF(M122="","OPEN",IF(OR(NOT(ISNUMBER(H122)),NOT(ISNUMBER(I122)),K122="",L122=""),"FAIL","PASS"))</x:f>
        <x:v>OPEN</x:v>
      </x:c>
    </x:row>
    <x:row r="123">
      <x:c r="B123" s="7" t="str">
        <x:v>TRO-A-05-S6-O1-R1</x:v>
      </x:c>
      <x:c r="C123" s="7" t="str">
        <x:v>BLD-A</x:v>
      </x:c>
      <x:c r="D123" s="7" t="str">
        <x:v>MF-05</x:v>
      </x:c>
      <x:c r="E123" s="7" t="str">
        <x:v>STD-05-6</x:v>
      </x:c>
      <x:c r="F123" s="7" t="str">
        <x:v>OP-1</x:v>
      </x:c>
      <x:c r="G123" s="7" t="n">
        <x:v>1</x:v>
      </x:c>
      <x:c r="H123" s="7" t="str"/>
      <x:c r="I123" s="7" t="str"/>
      <x:c r="J123" s="7" t="str">
        <x:f>IF(OR(H123="",I123=""),"",I123-H123)</x:f>
      </x:c>
      <x:c r="K123" s="7" t="str"/>
      <x:c r="L123" s="7" t="str"/>
      <x:c r="M123" s="7" t="str"/>
      <x:c r="N123" s="7" t="str">
        <x:f>IF(M123="","OPEN",IF(OR(NOT(ISNUMBER(H123)),NOT(ISNUMBER(I123)),K123="",L123=""),"FAIL","PASS"))</x:f>
        <x:v>OPEN</x:v>
      </x:c>
    </x:row>
    <x:row r="124">
      <x:c r="B124" s="7" t="str">
        <x:v>TRO-A-05-S6-O1-R2</x:v>
      </x:c>
      <x:c r="C124" s="7" t="str">
        <x:v>BLD-A</x:v>
      </x:c>
      <x:c r="D124" s="7" t="str">
        <x:v>MF-05</x:v>
      </x:c>
      <x:c r="E124" s="7" t="str">
        <x:v>STD-05-6</x:v>
      </x:c>
      <x:c r="F124" s="7" t="str">
        <x:v>OP-1</x:v>
      </x:c>
      <x:c r="G124" s="7" t="n">
        <x:v>2</x:v>
      </x:c>
      <x:c r="H124" s="7" t="str"/>
      <x:c r="I124" s="7" t="str"/>
      <x:c r="J124" s="7" t="str">
        <x:f>IF(OR(H124="",I124=""),"",I124-H124)</x:f>
      </x:c>
      <x:c r="K124" s="7" t="str"/>
      <x:c r="L124" s="7" t="str"/>
      <x:c r="M124" s="7" t="str"/>
      <x:c r="N124" s="7" t="str">
        <x:f>IF(M124="","OPEN",IF(OR(NOT(ISNUMBER(H124)),NOT(ISNUMBER(I124)),K124="",L124=""),"FAIL","PASS"))</x:f>
        <x:v>OPEN</x:v>
      </x:c>
    </x:row>
    <x:row r="125">
      <x:c r="B125" s="7" t="str">
        <x:v>TRO-A-05-S6-O2-R1</x:v>
      </x:c>
      <x:c r="C125" s="7" t="str">
        <x:v>BLD-A</x:v>
      </x:c>
      <x:c r="D125" s="7" t="str">
        <x:v>MF-05</x:v>
      </x:c>
      <x:c r="E125" s="7" t="str">
        <x:v>STD-05-6</x:v>
      </x:c>
      <x:c r="F125" s="7" t="str">
        <x:v>OP-2</x:v>
      </x:c>
      <x:c r="G125" s="7" t="n">
        <x:v>1</x:v>
      </x:c>
      <x:c r="H125" s="7" t="str"/>
      <x:c r="I125" s="7" t="str"/>
      <x:c r="J125" s="7" t="str">
        <x:f>IF(OR(H125="",I125=""),"",I125-H125)</x:f>
      </x:c>
      <x:c r="K125" s="7" t="str"/>
      <x:c r="L125" s="7" t="str"/>
      <x:c r="M125" s="7" t="str"/>
      <x:c r="N125" s="7" t="str">
        <x:f>IF(M125="","OPEN",IF(OR(NOT(ISNUMBER(H125)),NOT(ISNUMBER(I125)),K125="",L125=""),"FAIL","PASS"))</x:f>
        <x:v>OPEN</x:v>
      </x:c>
    </x:row>
    <x:row r="126">
      <x:c r="B126" s="7" t="str">
        <x:v>TRO-A-05-S6-O2-R2</x:v>
      </x:c>
      <x:c r="C126" s="7" t="str">
        <x:v>BLD-A</x:v>
      </x:c>
      <x:c r="D126" s="7" t="str">
        <x:v>MF-05</x:v>
      </x:c>
      <x:c r="E126" s="7" t="str">
        <x:v>STD-05-6</x:v>
      </x:c>
      <x:c r="F126" s="7" t="str">
        <x:v>OP-2</x:v>
      </x:c>
      <x:c r="G126" s="7" t="n">
        <x:v>2</x:v>
      </x:c>
      <x:c r="H126" s="7" t="str"/>
      <x:c r="I126" s="7" t="str"/>
      <x:c r="J126" s="7" t="str">
        <x:f>IF(OR(H126="",I126=""),"",I126-H126)</x:f>
      </x:c>
      <x:c r="K126" s="7" t="str"/>
      <x:c r="L126" s="7" t="str"/>
      <x:c r="M126" s="7" t="str"/>
      <x:c r="N126" s="7" t="str">
        <x:f>IF(M126="","OPEN",IF(OR(NOT(ISNUMBER(H126)),NOT(ISNUMBER(I126)),K126="",L126=""),"FAIL","PASS"))</x:f>
        <x:v>OPEN</x:v>
      </x:c>
    </x:row>
    <x:row r="127">
      <x:c r="B127" s="7" t="str">
        <x:v>TRO-A-06-S1-O1-R1</x:v>
      </x:c>
      <x:c r="C127" s="7" t="str">
        <x:v>BLD-A</x:v>
      </x:c>
      <x:c r="D127" s="7" t="str">
        <x:v>MF-06</x:v>
      </x:c>
      <x:c r="E127" s="7" t="str">
        <x:v>STD-06-1</x:v>
      </x:c>
      <x:c r="F127" s="7" t="str">
        <x:v>OP-1</x:v>
      </x:c>
      <x:c r="G127" s="7" t="n">
        <x:v>1</x:v>
      </x:c>
      <x:c r="H127" s="7" t="str"/>
      <x:c r="I127" s="7" t="str"/>
      <x:c r="J127" s="7" t="str">
        <x:f>IF(OR(H127="",I127=""),"",I127-H127)</x:f>
      </x:c>
      <x:c r="K127" s="7" t="str"/>
      <x:c r="L127" s="7" t="str"/>
      <x:c r="M127" s="7" t="str"/>
      <x:c r="N127" s="7" t="str">
        <x:f>IF(M127="","OPEN",IF(OR(NOT(ISNUMBER(H127)),NOT(ISNUMBER(I127)),K127="",L127=""),"FAIL","PASS"))</x:f>
        <x:v>OPEN</x:v>
      </x:c>
    </x:row>
    <x:row r="128">
      <x:c r="B128" s="7" t="str">
        <x:v>TRO-A-06-S1-O1-R2</x:v>
      </x:c>
      <x:c r="C128" s="7" t="str">
        <x:v>BLD-A</x:v>
      </x:c>
      <x:c r="D128" s="7" t="str">
        <x:v>MF-06</x:v>
      </x:c>
      <x:c r="E128" s="7" t="str">
        <x:v>STD-06-1</x:v>
      </x:c>
      <x:c r="F128" s="7" t="str">
        <x:v>OP-1</x:v>
      </x:c>
      <x:c r="G128" s="7" t="n">
        <x:v>2</x:v>
      </x:c>
      <x:c r="H128" s="7" t="str"/>
      <x:c r="I128" s="7" t="str"/>
      <x:c r="J128" s="7" t="str">
        <x:f>IF(OR(H128="",I128=""),"",I128-H128)</x:f>
      </x:c>
      <x:c r="K128" s="7" t="str"/>
      <x:c r="L128" s="7" t="str"/>
      <x:c r="M128" s="7" t="str"/>
      <x:c r="N128" s="7" t="str">
        <x:f>IF(M128="","OPEN",IF(OR(NOT(ISNUMBER(H128)),NOT(ISNUMBER(I128)),K128="",L128=""),"FAIL","PASS"))</x:f>
        <x:v>OPEN</x:v>
      </x:c>
    </x:row>
    <x:row r="129">
      <x:c r="B129" s="7" t="str">
        <x:v>TRO-A-06-S1-O2-R1</x:v>
      </x:c>
      <x:c r="C129" s="7" t="str">
        <x:v>BLD-A</x:v>
      </x:c>
      <x:c r="D129" s="7" t="str">
        <x:v>MF-06</x:v>
      </x:c>
      <x:c r="E129" s="7" t="str">
        <x:v>STD-06-1</x:v>
      </x:c>
      <x:c r="F129" s="7" t="str">
        <x:v>OP-2</x:v>
      </x:c>
      <x:c r="G129" s="7" t="n">
        <x:v>1</x:v>
      </x:c>
      <x:c r="H129" s="7" t="str"/>
      <x:c r="I129" s="7" t="str"/>
      <x:c r="J129" s="7" t="str">
        <x:f>IF(OR(H129="",I129=""),"",I129-H129)</x:f>
      </x:c>
      <x:c r="K129" s="7" t="str"/>
      <x:c r="L129" s="7" t="str"/>
      <x:c r="M129" s="7" t="str"/>
      <x:c r="N129" s="7" t="str">
        <x:f>IF(M129="","OPEN",IF(OR(NOT(ISNUMBER(H129)),NOT(ISNUMBER(I129)),K129="",L129=""),"FAIL","PASS"))</x:f>
        <x:v>OPEN</x:v>
      </x:c>
    </x:row>
    <x:row r="130">
      <x:c r="B130" s="7" t="str">
        <x:v>TRO-A-06-S1-O2-R2</x:v>
      </x:c>
      <x:c r="C130" s="7" t="str">
        <x:v>BLD-A</x:v>
      </x:c>
      <x:c r="D130" s="7" t="str">
        <x:v>MF-06</x:v>
      </x:c>
      <x:c r="E130" s="7" t="str">
        <x:v>STD-06-1</x:v>
      </x:c>
      <x:c r="F130" s="7" t="str">
        <x:v>OP-2</x:v>
      </x:c>
      <x:c r="G130" s="7" t="n">
        <x:v>2</x:v>
      </x:c>
      <x:c r="H130" s="7" t="str"/>
      <x:c r="I130" s="7" t="str"/>
      <x:c r="J130" s="7" t="str">
        <x:f>IF(OR(H130="",I130=""),"",I130-H130)</x:f>
      </x:c>
      <x:c r="K130" s="7" t="str"/>
      <x:c r="L130" s="7" t="str"/>
      <x:c r="M130" s="7" t="str"/>
      <x:c r="N130" s="7" t="str">
        <x:f>IF(M130="","OPEN",IF(OR(NOT(ISNUMBER(H130)),NOT(ISNUMBER(I130)),K130="",L130=""),"FAIL","PASS"))</x:f>
        <x:v>OPEN</x:v>
      </x:c>
    </x:row>
    <x:row r="131">
      <x:c r="B131" s="7" t="str">
        <x:v>TRO-A-06-S2-O1-R1</x:v>
      </x:c>
      <x:c r="C131" s="7" t="str">
        <x:v>BLD-A</x:v>
      </x:c>
      <x:c r="D131" s="7" t="str">
        <x:v>MF-06</x:v>
      </x:c>
      <x:c r="E131" s="7" t="str">
        <x:v>STD-06-2</x:v>
      </x:c>
      <x:c r="F131" s="7" t="str">
        <x:v>OP-1</x:v>
      </x:c>
      <x:c r="G131" s="7" t="n">
        <x:v>1</x:v>
      </x:c>
      <x:c r="H131" s="7" t="str"/>
      <x:c r="I131" s="7" t="str"/>
      <x:c r="J131" s="7" t="str">
        <x:f>IF(OR(H131="",I131=""),"",I131-H131)</x:f>
      </x:c>
      <x:c r="K131" s="7" t="str"/>
      <x:c r="L131" s="7" t="str"/>
      <x:c r="M131" s="7" t="str"/>
      <x:c r="N131" s="7" t="str">
        <x:f>IF(M131="","OPEN",IF(OR(NOT(ISNUMBER(H131)),NOT(ISNUMBER(I131)),K131="",L131=""),"FAIL","PASS"))</x:f>
        <x:v>OPEN</x:v>
      </x:c>
    </x:row>
    <x:row r="132">
      <x:c r="B132" s="7" t="str">
        <x:v>TRO-A-06-S2-O1-R2</x:v>
      </x:c>
      <x:c r="C132" s="7" t="str">
        <x:v>BLD-A</x:v>
      </x:c>
      <x:c r="D132" s="7" t="str">
        <x:v>MF-06</x:v>
      </x:c>
      <x:c r="E132" s="7" t="str">
        <x:v>STD-06-2</x:v>
      </x:c>
      <x:c r="F132" s="7" t="str">
        <x:v>OP-1</x:v>
      </x:c>
      <x:c r="G132" s="7" t="n">
        <x:v>2</x:v>
      </x:c>
      <x:c r="H132" s="7" t="str"/>
      <x:c r="I132" s="7" t="str"/>
      <x:c r="J132" s="7" t="str">
        <x:f>IF(OR(H132="",I132=""),"",I132-H132)</x:f>
      </x:c>
      <x:c r="K132" s="7" t="str"/>
      <x:c r="L132" s="7" t="str"/>
      <x:c r="M132" s="7" t="str"/>
      <x:c r="N132" s="7" t="str">
        <x:f>IF(M132="","OPEN",IF(OR(NOT(ISNUMBER(H132)),NOT(ISNUMBER(I132)),K132="",L132=""),"FAIL","PASS"))</x:f>
        <x:v>OPEN</x:v>
      </x:c>
    </x:row>
    <x:row r="133">
      <x:c r="B133" s="7" t="str">
        <x:v>TRO-A-06-S2-O2-R1</x:v>
      </x:c>
      <x:c r="C133" s="7" t="str">
        <x:v>BLD-A</x:v>
      </x:c>
      <x:c r="D133" s="7" t="str">
        <x:v>MF-06</x:v>
      </x:c>
      <x:c r="E133" s="7" t="str">
        <x:v>STD-06-2</x:v>
      </x:c>
      <x:c r="F133" s="7" t="str">
        <x:v>OP-2</x:v>
      </x:c>
      <x:c r="G133" s="7" t="n">
        <x:v>1</x:v>
      </x:c>
      <x:c r="H133" s="7" t="str"/>
      <x:c r="I133" s="7" t="str"/>
      <x:c r="J133" s="7" t="str">
        <x:f>IF(OR(H133="",I133=""),"",I133-H133)</x:f>
      </x:c>
      <x:c r="K133" s="7" t="str"/>
      <x:c r="L133" s="7" t="str"/>
      <x:c r="M133" s="7" t="str"/>
      <x:c r="N133" s="7" t="str">
        <x:f>IF(M133="","OPEN",IF(OR(NOT(ISNUMBER(H133)),NOT(ISNUMBER(I133)),K133="",L133=""),"FAIL","PASS"))</x:f>
        <x:v>OPEN</x:v>
      </x:c>
    </x:row>
    <x:row r="134">
      <x:c r="B134" s="7" t="str">
        <x:v>TRO-A-06-S2-O2-R2</x:v>
      </x:c>
      <x:c r="C134" s="7" t="str">
        <x:v>BLD-A</x:v>
      </x:c>
      <x:c r="D134" s="7" t="str">
        <x:v>MF-06</x:v>
      </x:c>
      <x:c r="E134" s="7" t="str">
        <x:v>STD-06-2</x:v>
      </x:c>
      <x:c r="F134" s="7" t="str">
        <x:v>OP-2</x:v>
      </x:c>
      <x:c r="G134" s="7" t="n">
        <x:v>2</x:v>
      </x:c>
      <x:c r="H134" s="7" t="str"/>
      <x:c r="I134" s="7" t="str"/>
      <x:c r="J134" s="7" t="str">
        <x:f>IF(OR(H134="",I134=""),"",I134-H134)</x:f>
      </x:c>
      <x:c r="K134" s="7" t="str"/>
      <x:c r="L134" s="7" t="str"/>
      <x:c r="M134" s="7" t="str"/>
      <x:c r="N134" s="7" t="str">
        <x:f>IF(M134="","OPEN",IF(OR(NOT(ISNUMBER(H134)),NOT(ISNUMBER(I134)),K134="",L134=""),"FAIL","PASS"))</x:f>
        <x:v>OPEN</x:v>
      </x:c>
    </x:row>
    <x:row r="135">
      <x:c r="B135" s="7" t="str">
        <x:v>TRO-A-06-S3-O1-R1</x:v>
      </x:c>
      <x:c r="C135" s="7" t="str">
        <x:v>BLD-A</x:v>
      </x:c>
      <x:c r="D135" s="7" t="str">
        <x:v>MF-06</x:v>
      </x:c>
      <x:c r="E135" s="7" t="str">
        <x:v>STD-06-3</x:v>
      </x:c>
      <x:c r="F135" s="7" t="str">
        <x:v>OP-1</x:v>
      </x:c>
      <x:c r="G135" s="7" t="n">
        <x:v>1</x:v>
      </x:c>
      <x:c r="H135" s="7" t="str"/>
      <x:c r="I135" s="7" t="str"/>
      <x:c r="J135" s="7" t="str">
        <x:f>IF(OR(H135="",I135=""),"",I135-H135)</x:f>
      </x:c>
      <x:c r="K135" s="7" t="str"/>
      <x:c r="L135" s="7" t="str"/>
      <x:c r="M135" s="7" t="str"/>
      <x:c r="N135" s="7" t="str">
        <x:f>IF(M135="","OPEN",IF(OR(NOT(ISNUMBER(H135)),NOT(ISNUMBER(I135)),K135="",L135=""),"FAIL","PASS"))</x:f>
        <x:v>OPEN</x:v>
      </x:c>
    </x:row>
    <x:row r="136">
      <x:c r="B136" s="7" t="str">
        <x:v>TRO-A-06-S3-O1-R2</x:v>
      </x:c>
      <x:c r="C136" s="7" t="str">
        <x:v>BLD-A</x:v>
      </x:c>
      <x:c r="D136" s="7" t="str">
        <x:v>MF-06</x:v>
      </x:c>
      <x:c r="E136" s="7" t="str">
        <x:v>STD-06-3</x:v>
      </x:c>
      <x:c r="F136" s="7" t="str">
        <x:v>OP-1</x:v>
      </x:c>
      <x:c r="G136" s="7" t="n">
        <x:v>2</x:v>
      </x:c>
      <x:c r="H136" s="7" t="str"/>
      <x:c r="I136" s="7" t="str"/>
      <x:c r="J136" s="7" t="str">
        <x:f>IF(OR(H136="",I136=""),"",I136-H136)</x:f>
      </x:c>
      <x:c r="K136" s="7" t="str"/>
      <x:c r="L136" s="7" t="str"/>
      <x:c r="M136" s="7" t="str"/>
      <x:c r="N136" s="7" t="str">
        <x:f>IF(M136="","OPEN",IF(OR(NOT(ISNUMBER(H136)),NOT(ISNUMBER(I136)),K136="",L136=""),"FAIL","PASS"))</x:f>
        <x:v>OPEN</x:v>
      </x:c>
    </x:row>
    <x:row r="137">
      <x:c r="B137" s="7" t="str">
        <x:v>TRO-A-06-S3-O2-R1</x:v>
      </x:c>
      <x:c r="C137" s="7" t="str">
        <x:v>BLD-A</x:v>
      </x:c>
      <x:c r="D137" s="7" t="str">
        <x:v>MF-06</x:v>
      </x:c>
      <x:c r="E137" s="7" t="str">
        <x:v>STD-06-3</x:v>
      </x:c>
      <x:c r="F137" s="7" t="str">
        <x:v>OP-2</x:v>
      </x:c>
      <x:c r="G137" s="7" t="n">
        <x:v>1</x:v>
      </x:c>
      <x:c r="H137" s="7" t="str"/>
      <x:c r="I137" s="7" t="str"/>
      <x:c r="J137" s="7" t="str">
        <x:f>IF(OR(H137="",I137=""),"",I137-H137)</x:f>
      </x:c>
      <x:c r="K137" s="7" t="str"/>
      <x:c r="L137" s="7" t="str"/>
      <x:c r="M137" s="7" t="str"/>
      <x:c r="N137" s="7" t="str">
        <x:f>IF(M137="","OPEN",IF(OR(NOT(ISNUMBER(H137)),NOT(ISNUMBER(I137)),K137="",L137=""),"FAIL","PASS"))</x:f>
        <x:v>OPEN</x:v>
      </x:c>
    </x:row>
    <x:row r="138">
      <x:c r="B138" s="7" t="str">
        <x:v>TRO-A-06-S3-O2-R2</x:v>
      </x:c>
      <x:c r="C138" s="7" t="str">
        <x:v>BLD-A</x:v>
      </x:c>
      <x:c r="D138" s="7" t="str">
        <x:v>MF-06</x:v>
      </x:c>
      <x:c r="E138" s="7" t="str">
        <x:v>STD-06-3</x:v>
      </x:c>
      <x:c r="F138" s="7" t="str">
        <x:v>OP-2</x:v>
      </x:c>
      <x:c r="G138" s="7" t="n">
        <x:v>2</x:v>
      </x:c>
      <x:c r="H138" s="7" t="str"/>
      <x:c r="I138" s="7" t="str"/>
      <x:c r="J138" s="7" t="str">
        <x:f>IF(OR(H138="",I138=""),"",I138-H138)</x:f>
      </x:c>
      <x:c r="K138" s="7" t="str"/>
      <x:c r="L138" s="7" t="str"/>
      <x:c r="M138" s="7" t="str"/>
      <x:c r="N138" s="7" t="str">
        <x:f>IF(M138="","OPEN",IF(OR(NOT(ISNUMBER(H138)),NOT(ISNUMBER(I138)),K138="",L138=""),"FAIL","PASS"))</x:f>
        <x:v>OPEN</x:v>
      </x:c>
    </x:row>
    <x:row r="139">
      <x:c r="B139" s="7" t="str">
        <x:v>TRO-A-06-S4-O1-R1</x:v>
      </x:c>
      <x:c r="C139" s="7" t="str">
        <x:v>BLD-A</x:v>
      </x:c>
      <x:c r="D139" s="7" t="str">
        <x:v>MF-06</x:v>
      </x:c>
      <x:c r="E139" s="7" t="str">
        <x:v>STD-06-4</x:v>
      </x:c>
      <x:c r="F139" s="7" t="str">
        <x:v>OP-1</x:v>
      </x:c>
      <x:c r="G139" s="7" t="n">
        <x:v>1</x:v>
      </x:c>
      <x:c r="H139" s="7" t="str"/>
      <x:c r="I139" s="7" t="str"/>
      <x:c r="J139" s="7" t="str">
        <x:f>IF(OR(H139="",I139=""),"",I139-H139)</x:f>
      </x:c>
      <x:c r="K139" s="7" t="str"/>
      <x:c r="L139" s="7" t="str"/>
      <x:c r="M139" s="7" t="str"/>
      <x:c r="N139" s="7" t="str">
        <x:f>IF(M139="","OPEN",IF(OR(NOT(ISNUMBER(H139)),NOT(ISNUMBER(I139)),K139="",L139=""),"FAIL","PASS"))</x:f>
        <x:v>OPEN</x:v>
      </x:c>
    </x:row>
    <x:row r="140">
      <x:c r="B140" s="7" t="str">
        <x:v>TRO-A-06-S4-O1-R2</x:v>
      </x:c>
      <x:c r="C140" s="7" t="str">
        <x:v>BLD-A</x:v>
      </x:c>
      <x:c r="D140" s="7" t="str">
        <x:v>MF-06</x:v>
      </x:c>
      <x:c r="E140" s="7" t="str">
        <x:v>STD-06-4</x:v>
      </x:c>
      <x:c r="F140" s="7" t="str">
        <x:v>OP-1</x:v>
      </x:c>
      <x:c r="G140" s="7" t="n">
        <x:v>2</x:v>
      </x:c>
      <x:c r="H140" s="7" t="str"/>
      <x:c r="I140" s="7" t="str"/>
      <x:c r="J140" s="7" t="str">
        <x:f>IF(OR(H140="",I140=""),"",I140-H140)</x:f>
      </x:c>
      <x:c r="K140" s="7" t="str"/>
      <x:c r="L140" s="7" t="str"/>
      <x:c r="M140" s="7" t="str"/>
      <x:c r="N140" s="7" t="str">
        <x:f>IF(M140="","OPEN",IF(OR(NOT(ISNUMBER(H140)),NOT(ISNUMBER(I140)),K140="",L140=""),"FAIL","PASS"))</x:f>
        <x:v>OPEN</x:v>
      </x:c>
    </x:row>
    <x:row r="141">
      <x:c r="B141" s="7" t="str">
        <x:v>TRO-A-06-S4-O2-R1</x:v>
      </x:c>
      <x:c r="C141" s="7" t="str">
        <x:v>BLD-A</x:v>
      </x:c>
      <x:c r="D141" s="7" t="str">
        <x:v>MF-06</x:v>
      </x:c>
      <x:c r="E141" s="7" t="str">
        <x:v>STD-06-4</x:v>
      </x:c>
      <x:c r="F141" s="7" t="str">
        <x:v>OP-2</x:v>
      </x:c>
      <x:c r="G141" s="7" t="n">
        <x:v>1</x:v>
      </x:c>
      <x:c r="H141" s="7" t="str"/>
      <x:c r="I141" s="7" t="str"/>
      <x:c r="J141" s="7" t="str">
        <x:f>IF(OR(H141="",I141=""),"",I141-H141)</x:f>
      </x:c>
      <x:c r="K141" s="7" t="str"/>
      <x:c r="L141" s="7" t="str"/>
      <x:c r="M141" s="7" t="str"/>
      <x:c r="N141" s="7" t="str">
        <x:f>IF(M141="","OPEN",IF(OR(NOT(ISNUMBER(H141)),NOT(ISNUMBER(I141)),K141="",L141=""),"FAIL","PASS"))</x:f>
        <x:v>OPEN</x:v>
      </x:c>
    </x:row>
    <x:row r="142">
      <x:c r="B142" s="7" t="str">
        <x:v>TRO-A-06-S4-O2-R2</x:v>
      </x:c>
      <x:c r="C142" s="7" t="str">
        <x:v>BLD-A</x:v>
      </x:c>
      <x:c r="D142" s="7" t="str">
        <x:v>MF-06</x:v>
      </x:c>
      <x:c r="E142" s="7" t="str">
        <x:v>STD-06-4</x:v>
      </x:c>
      <x:c r="F142" s="7" t="str">
        <x:v>OP-2</x:v>
      </x:c>
      <x:c r="G142" s="7" t="n">
        <x:v>2</x:v>
      </x:c>
      <x:c r="H142" s="7" t="str"/>
      <x:c r="I142" s="7" t="str"/>
      <x:c r="J142" s="7" t="str">
        <x:f>IF(OR(H142="",I142=""),"",I142-H142)</x:f>
      </x:c>
      <x:c r="K142" s="7" t="str"/>
      <x:c r="L142" s="7" t="str"/>
      <x:c r="M142" s="7" t="str"/>
      <x:c r="N142" s="7" t="str">
        <x:f>IF(M142="","OPEN",IF(OR(NOT(ISNUMBER(H142)),NOT(ISNUMBER(I142)),K142="",L142=""),"FAIL","PASS"))</x:f>
        <x:v>OPEN</x:v>
      </x:c>
    </x:row>
    <x:row r="143">
      <x:c r="B143" s="7" t="str">
        <x:v>TRO-A-06-S5-O1-R1</x:v>
      </x:c>
      <x:c r="C143" s="7" t="str">
        <x:v>BLD-A</x:v>
      </x:c>
      <x:c r="D143" s="7" t="str">
        <x:v>MF-06</x:v>
      </x:c>
      <x:c r="E143" s="7" t="str">
        <x:v>STD-06-5</x:v>
      </x:c>
      <x:c r="F143" s="7" t="str">
        <x:v>OP-1</x:v>
      </x:c>
      <x:c r="G143" s="7" t="n">
        <x:v>1</x:v>
      </x:c>
      <x:c r="H143" s="7" t="str"/>
      <x:c r="I143" s="7" t="str"/>
      <x:c r="J143" s="7" t="str">
        <x:f>IF(OR(H143="",I143=""),"",I143-H143)</x:f>
      </x:c>
      <x:c r="K143" s="7" t="str"/>
      <x:c r="L143" s="7" t="str"/>
      <x:c r="M143" s="7" t="str"/>
      <x:c r="N143" s="7" t="str">
        <x:f>IF(M143="","OPEN",IF(OR(NOT(ISNUMBER(H143)),NOT(ISNUMBER(I143)),K143="",L143=""),"FAIL","PASS"))</x:f>
        <x:v>OPEN</x:v>
      </x:c>
    </x:row>
    <x:row r="144">
      <x:c r="B144" s="7" t="str">
        <x:v>TRO-A-06-S5-O1-R2</x:v>
      </x:c>
      <x:c r="C144" s="7" t="str">
        <x:v>BLD-A</x:v>
      </x:c>
      <x:c r="D144" s="7" t="str">
        <x:v>MF-06</x:v>
      </x:c>
      <x:c r="E144" s="7" t="str">
        <x:v>STD-06-5</x:v>
      </x:c>
      <x:c r="F144" s="7" t="str">
        <x:v>OP-1</x:v>
      </x:c>
      <x:c r="G144" s="7" t="n">
        <x:v>2</x:v>
      </x:c>
      <x:c r="H144" s="7" t="str"/>
      <x:c r="I144" s="7" t="str"/>
      <x:c r="J144" s="7" t="str">
        <x:f>IF(OR(H144="",I144=""),"",I144-H144)</x:f>
      </x:c>
      <x:c r="K144" s="7" t="str"/>
      <x:c r="L144" s="7" t="str"/>
      <x:c r="M144" s="7" t="str"/>
      <x:c r="N144" s="7" t="str">
        <x:f>IF(M144="","OPEN",IF(OR(NOT(ISNUMBER(H144)),NOT(ISNUMBER(I144)),K144="",L144=""),"FAIL","PASS"))</x:f>
        <x:v>OPEN</x:v>
      </x:c>
    </x:row>
    <x:row r="145">
      <x:c r="B145" s="7" t="str">
        <x:v>TRO-A-06-S5-O2-R1</x:v>
      </x:c>
      <x:c r="C145" s="7" t="str">
        <x:v>BLD-A</x:v>
      </x:c>
      <x:c r="D145" s="7" t="str">
        <x:v>MF-06</x:v>
      </x:c>
      <x:c r="E145" s="7" t="str">
        <x:v>STD-06-5</x:v>
      </x:c>
      <x:c r="F145" s="7" t="str">
        <x:v>OP-2</x:v>
      </x:c>
      <x:c r="G145" s="7" t="n">
        <x:v>1</x:v>
      </x:c>
      <x:c r="H145" s="7" t="str"/>
      <x:c r="I145" s="7" t="str"/>
      <x:c r="J145" s="7" t="str">
        <x:f>IF(OR(H145="",I145=""),"",I145-H145)</x:f>
      </x:c>
      <x:c r="K145" s="7" t="str"/>
      <x:c r="L145" s="7" t="str"/>
      <x:c r="M145" s="7" t="str"/>
      <x:c r="N145" s="7" t="str">
        <x:f>IF(M145="","OPEN",IF(OR(NOT(ISNUMBER(H145)),NOT(ISNUMBER(I145)),K145="",L145=""),"FAIL","PASS"))</x:f>
        <x:v>OPEN</x:v>
      </x:c>
    </x:row>
    <x:row r="146">
      <x:c r="B146" s="7" t="str">
        <x:v>TRO-A-06-S5-O2-R2</x:v>
      </x:c>
      <x:c r="C146" s="7" t="str">
        <x:v>BLD-A</x:v>
      </x:c>
      <x:c r="D146" s="7" t="str">
        <x:v>MF-06</x:v>
      </x:c>
      <x:c r="E146" s="7" t="str">
        <x:v>STD-06-5</x:v>
      </x:c>
      <x:c r="F146" s="7" t="str">
        <x:v>OP-2</x:v>
      </x:c>
      <x:c r="G146" s="7" t="n">
        <x:v>2</x:v>
      </x:c>
      <x:c r="H146" s="7" t="str"/>
      <x:c r="I146" s="7" t="str"/>
      <x:c r="J146" s="7" t="str">
        <x:f>IF(OR(H146="",I146=""),"",I146-H146)</x:f>
      </x:c>
      <x:c r="K146" s="7" t="str"/>
      <x:c r="L146" s="7" t="str"/>
      <x:c r="M146" s="7" t="str"/>
      <x:c r="N146" s="7" t="str">
        <x:f>IF(M146="","OPEN",IF(OR(NOT(ISNUMBER(H146)),NOT(ISNUMBER(I146)),K146="",L146=""),"FAIL","PASS"))</x:f>
        <x:v>OPEN</x:v>
      </x:c>
    </x:row>
    <x:row r="147">
      <x:c r="B147" s="7" t="str">
        <x:v>TRO-A-06-S6-O1-R1</x:v>
      </x:c>
      <x:c r="C147" s="7" t="str">
        <x:v>BLD-A</x:v>
      </x:c>
      <x:c r="D147" s="7" t="str">
        <x:v>MF-06</x:v>
      </x:c>
      <x:c r="E147" s="7" t="str">
        <x:v>STD-06-6</x:v>
      </x:c>
      <x:c r="F147" s="7" t="str">
        <x:v>OP-1</x:v>
      </x:c>
      <x:c r="G147" s="7" t="n">
        <x:v>1</x:v>
      </x:c>
      <x:c r="H147" s="7" t="str"/>
      <x:c r="I147" s="7" t="str"/>
      <x:c r="J147" s="7" t="str">
        <x:f>IF(OR(H147="",I147=""),"",I147-H147)</x:f>
      </x:c>
      <x:c r="K147" s="7" t="str"/>
      <x:c r="L147" s="7" t="str"/>
      <x:c r="M147" s="7" t="str"/>
      <x:c r="N147" s="7" t="str">
        <x:f>IF(M147="","OPEN",IF(OR(NOT(ISNUMBER(H147)),NOT(ISNUMBER(I147)),K147="",L147=""),"FAIL","PASS"))</x:f>
        <x:v>OPEN</x:v>
      </x:c>
    </x:row>
    <x:row r="148">
      <x:c r="B148" s="7" t="str">
        <x:v>TRO-A-06-S6-O1-R2</x:v>
      </x:c>
      <x:c r="C148" s="7" t="str">
        <x:v>BLD-A</x:v>
      </x:c>
      <x:c r="D148" s="7" t="str">
        <x:v>MF-06</x:v>
      </x:c>
      <x:c r="E148" s="7" t="str">
        <x:v>STD-06-6</x:v>
      </x:c>
      <x:c r="F148" s="7" t="str">
        <x:v>OP-1</x:v>
      </x:c>
      <x:c r="G148" s="7" t="n">
        <x:v>2</x:v>
      </x:c>
      <x:c r="H148" s="7" t="str"/>
      <x:c r="I148" s="7" t="str"/>
      <x:c r="J148" s="7" t="str">
        <x:f>IF(OR(H148="",I148=""),"",I148-H148)</x:f>
      </x:c>
      <x:c r="K148" s="7" t="str"/>
      <x:c r="L148" s="7" t="str"/>
      <x:c r="M148" s="7" t="str"/>
      <x:c r="N148" s="7" t="str">
        <x:f>IF(M148="","OPEN",IF(OR(NOT(ISNUMBER(H148)),NOT(ISNUMBER(I148)),K148="",L148=""),"FAIL","PASS"))</x:f>
        <x:v>OPEN</x:v>
      </x:c>
    </x:row>
    <x:row r="149">
      <x:c r="B149" s="7" t="str">
        <x:v>TRO-A-06-S6-O2-R1</x:v>
      </x:c>
      <x:c r="C149" s="7" t="str">
        <x:v>BLD-A</x:v>
      </x:c>
      <x:c r="D149" s="7" t="str">
        <x:v>MF-06</x:v>
      </x:c>
      <x:c r="E149" s="7" t="str">
        <x:v>STD-06-6</x:v>
      </x:c>
      <x:c r="F149" s="7" t="str">
        <x:v>OP-2</x:v>
      </x:c>
      <x:c r="G149" s="7" t="n">
        <x:v>1</x:v>
      </x:c>
      <x:c r="H149" s="7" t="str"/>
      <x:c r="I149" s="7" t="str"/>
      <x:c r="J149" s="7" t="str">
        <x:f>IF(OR(H149="",I149=""),"",I149-H149)</x:f>
      </x:c>
      <x:c r="K149" s="7" t="str"/>
      <x:c r="L149" s="7" t="str"/>
      <x:c r="M149" s="7" t="str"/>
      <x:c r="N149" s="7" t="str">
        <x:f>IF(M149="","OPEN",IF(OR(NOT(ISNUMBER(H149)),NOT(ISNUMBER(I149)),K149="",L149=""),"FAIL","PASS"))</x:f>
        <x:v>OPEN</x:v>
      </x:c>
    </x:row>
    <x:row r="150">
      <x:c r="B150" s="7" t="str">
        <x:v>TRO-A-06-S6-O2-R2</x:v>
      </x:c>
      <x:c r="C150" s="7" t="str">
        <x:v>BLD-A</x:v>
      </x:c>
      <x:c r="D150" s="7" t="str">
        <x:v>MF-06</x:v>
      </x:c>
      <x:c r="E150" s="7" t="str">
        <x:v>STD-06-6</x:v>
      </x:c>
      <x:c r="F150" s="7" t="str">
        <x:v>OP-2</x:v>
      </x:c>
      <x:c r="G150" s="7" t="n">
        <x:v>2</x:v>
      </x:c>
      <x:c r="H150" s="7" t="str"/>
      <x:c r="I150" s="7" t="str"/>
      <x:c r="J150" s="7" t="str">
        <x:f>IF(OR(H150="",I150=""),"",I150-H150)</x:f>
      </x:c>
      <x:c r="K150" s="7" t="str"/>
      <x:c r="L150" s="7" t="str"/>
      <x:c r="M150" s="7" t="str"/>
      <x:c r="N150" s="7" t="str">
        <x:f>IF(M150="","OPEN",IF(OR(NOT(ISNUMBER(H150)),NOT(ISNUMBER(I150)),K150="",L150=""),"FAIL","PASS"))</x:f>
        <x:v>OPEN</x:v>
      </x:c>
    </x:row>
    <x:row r="151">
      <x:c r="B151" s="7" t="str">
        <x:v>TRO-A-07-S1-O1-R1</x:v>
      </x:c>
      <x:c r="C151" s="7" t="str">
        <x:v>BLD-A</x:v>
      </x:c>
      <x:c r="D151" s="7" t="str">
        <x:v>MF-07</x:v>
      </x:c>
      <x:c r="E151" s="7" t="str">
        <x:v>STD-07-1</x:v>
      </x:c>
      <x:c r="F151" s="7" t="str">
        <x:v>OP-1</x:v>
      </x:c>
      <x:c r="G151" s="7" t="n">
        <x:v>1</x:v>
      </x:c>
      <x:c r="H151" s="7" t="str"/>
      <x:c r="I151" s="7" t="str"/>
      <x:c r="J151" s="7" t="str">
        <x:f>IF(OR(H151="",I151=""),"",I151-H151)</x:f>
      </x:c>
      <x:c r="K151" s="7" t="str"/>
      <x:c r="L151" s="7" t="str"/>
      <x:c r="M151" s="7" t="str"/>
      <x:c r="N151" s="7" t="str">
        <x:f>IF(M151="","OPEN",IF(OR(NOT(ISNUMBER(H151)),NOT(ISNUMBER(I151)),K151="",L151=""),"FAIL","PASS"))</x:f>
        <x:v>OPEN</x:v>
      </x:c>
    </x:row>
    <x:row r="152">
      <x:c r="B152" s="7" t="str">
        <x:v>TRO-A-07-S1-O1-R2</x:v>
      </x:c>
      <x:c r="C152" s="7" t="str">
        <x:v>BLD-A</x:v>
      </x:c>
      <x:c r="D152" s="7" t="str">
        <x:v>MF-07</x:v>
      </x:c>
      <x:c r="E152" s="7" t="str">
        <x:v>STD-07-1</x:v>
      </x:c>
      <x:c r="F152" s="7" t="str">
        <x:v>OP-1</x:v>
      </x:c>
      <x:c r="G152" s="7" t="n">
        <x:v>2</x:v>
      </x:c>
      <x:c r="H152" s="7" t="str"/>
      <x:c r="I152" s="7" t="str"/>
      <x:c r="J152" s="7" t="str">
        <x:f>IF(OR(H152="",I152=""),"",I152-H152)</x:f>
      </x:c>
      <x:c r="K152" s="7" t="str"/>
      <x:c r="L152" s="7" t="str"/>
      <x:c r="M152" s="7" t="str"/>
      <x:c r="N152" s="7" t="str">
        <x:f>IF(M152="","OPEN",IF(OR(NOT(ISNUMBER(H152)),NOT(ISNUMBER(I152)),K152="",L152=""),"FAIL","PASS"))</x:f>
        <x:v>OPEN</x:v>
      </x:c>
    </x:row>
    <x:row r="153">
      <x:c r="B153" s="7" t="str">
        <x:v>TRO-A-07-S1-O2-R1</x:v>
      </x:c>
      <x:c r="C153" s="7" t="str">
        <x:v>BLD-A</x:v>
      </x:c>
      <x:c r="D153" s="7" t="str">
        <x:v>MF-07</x:v>
      </x:c>
      <x:c r="E153" s="7" t="str">
        <x:v>STD-07-1</x:v>
      </x:c>
      <x:c r="F153" s="7" t="str">
        <x:v>OP-2</x:v>
      </x:c>
      <x:c r="G153" s="7" t="n">
        <x:v>1</x:v>
      </x:c>
      <x:c r="H153" s="7" t="str"/>
      <x:c r="I153" s="7" t="str"/>
      <x:c r="J153" s="7" t="str">
        <x:f>IF(OR(H153="",I153=""),"",I153-H153)</x:f>
      </x:c>
      <x:c r="K153" s="7" t="str"/>
      <x:c r="L153" s="7" t="str"/>
      <x:c r="M153" s="7" t="str"/>
      <x:c r="N153" s="7" t="str">
        <x:f>IF(M153="","OPEN",IF(OR(NOT(ISNUMBER(H153)),NOT(ISNUMBER(I153)),K153="",L153=""),"FAIL","PASS"))</x:f>
        <x:v>OPEN</x:v>
      </x:c>
    </x:row>
    <x:row r="154">
      <x:c r="B154" s="7" t="str">
        <x:v>TRO-A-07-S1-O2-R2</x:v>
      </x:c>
      <x:c r="C154" s="7" t="str">
        <x:v>BLD-A</x:v>
      </x:c>
      <x:c r="D154" s="7" t="str">
        <x:v>MF-07</x:v>
      </x:c>
      <x:c r="E154" s="7" t="str">
        <x:v>STD-07-1</x:v>
      </x:c>
      <x:c r="F154" s="7" t="str">
        <x:v>OP-2</x:v>
      </x:c>
      <x:c r="G154" s="7" t="n">
        <x:v>2</x:v>
      </x:c>
      <x:c r="H154" s="7" t="str"/>
      <x:c r="I154" s="7" t="str"/>
      <x:c r="J154" s="7" t="str">
        <x:f>IF(OR(H154="",I154=""),"",I154-H154)</x:f>
      </x:c>
      <x:c r="K154" s="7" t="str"/>
      <x:c r="L154" s="7" t="str"/>
      <x:c r="M154" s="7" t="str"/>
      <x:c r="N154" s="7" t="str">
        <x:f>IF(M154="","OPEN",IF(OR(NOT(ISNUMBER(H154)),NOT(ISNUMBER(I154)),K154="",L154=""),"FAIL","PASS"))</x:f>
        <x:v>OPEN</x:v>
      </x:c>
    </x:row>
    <x:row r="155">
      <x:c r="B155" s="7" t="str">
        <x:v>TRO-A-07-S2-O1-R1</x:v>
      </x:c>
      <x:c r="C155" s="7" t="str">
        <x:v>BLD-A</x:v>
      </x:c>
      <x:c r="D155" s="7" t="str">
        <x:v>MF-07</x:v>
      </x:c>
      <x:c r="E155" s="7" t="str">
        <x:v>STD-07-2</x:v>
      </x:c>
      <x:c r="F155" s="7" t="str">
        <x:v>OP-1</x:v>
      </x:c>
      <x:c r="G155" s="7" t="n">
        <x:v>1</x:v>
      </x:c>
      <x:c r="H155" s="7" t="str"/>
      <x:c r="I155" s="7" t="str"/>
      <x:c r="J155" s="7" t="str">
        <x:f>IF(OR(H155="",I155=""),"",I155-H155)</x:f>
      </x:c>
      <x:c r="K155" s="7" t="str"/>
      <x:c r="L155" s="7" t="str"/>
      <x:c r="M155" s="7" t="str"/>
      <x:c r="N155" s="7" t="str">
        <x:f>IF(M155="","OPEN",IF(OR(NOT(ISNUMBER(H155)),NOT(ISNUMBER(I155)),K155="",L155=""),"FAIL","PASS"))</x:f>
        <x:v>OPEN</x:v>
      </x:c>
    </x:row>
    <x:row r="156">
      <x:c r="B156" s="7" t="str">
        <x:v>TRO-A-07-S2-O1-R2</x:v>
      </x:c>
      <x:c r="C156" s="7" t="str">
        <x:v>BLD-A</x:v>
      </x:c>
      <x:c r="D156" s="7" t="str">
        <x:v>MF-07</x:v>
      </x:c>
      <x:c r="E156" s="7" t="str">
        <x:v>STD-07-2</x:v>
      </x:c>
      <x:c r="F156" s="7" t="str">
        <x:v>OP-1</x:v>
      </x:c>
      <x:c r="G156" s="7" t="n">
        <x:v>2</x:v>
      </x:c>
      <x:c r="H156" s="7" t="str"/>
      <x:c r="I156" s="7" t="str"/>
      <x:c r="J156" s="7" t="str">
        <x:f>IF(OR(H156="",I156=""),"",I156-H156)</x:f>
      </x:c>
      <x:c r="K156" s="7" t="str"/>
      <x:c r="L156" s="7" t="str"/>
      <x:c r="M156" s="7" t="str"/>
      <x:c r="N156" s="7" t="str">
        <x:f>IF(M156="","OPEN",IF(OR(NOT(ISNUMBER(H156)),NOT(ISNUMBER(I156)),K156="",L156=""),"FAIL","PASS"))</x:f>
        <x:v>OPEN</x:v>
      </x:c>
    </x:row>
    <x:row r="157">
      <x:c r="B157" s="7" t="str">
        <x:v>TRO-A-07-S2-O2-R1</x:v>
      </x:c>
      <x:c r="C157" s="7" t="str">
        <x:v>BLD-A</x:v>
      </x:c>
      <x:c r="D157" s="7" t="str">
        <x:v>MF-07</x:v>
      </x:c>
      <x:c r="E157" s="7" t="str">
        <x:v>STD-07-2</x:v>
      </x:c>
      <x:c r="F157" s="7" t="str">
        <x:v>OP-2</x:v>
      </x:c>
      <x:c r="G157" s="7" t="n">
        <x:v>1</x:v>
      </x:c>
      <x:c r="H157" s="7" t="str"/>
      <x:c r="I157" s="7" t="str"/>
      <x:c r="J157" s="7" t="str">
        <x:f>IF(OR(H157="",I157=""),"",I157-H157)</x:f>
      </x:c>
      <x:c r="K157" s="7" t="str"/>
      <x:c r="L157" s="7" t="str"/>
      <x:c r="M157" s="7" t="str"/>
      <x:c r="N157" s="7" t="str">
        <x:f>IF(M157="","OPEN",IF(OR(NOT(ISNUMBER(H157)),NOT(ISNUMBER(I157)),K157="",L157=""),"FAIL","PASS"))</x:f>
        <x:v>OPEN</x:v>
      </x:c>
    </x:row>
    <x:row r="158">
      <x:c r="B158" s="7" t="str">
        <x:v>TRO-A-07-S2-O2-R2</x:v>
      </x:c>
      <x:c r="C158" s="7" t="str">
        <x:v>BLD-A</x:v>
      </x:c>
      <x:c r="D158" s="7" t="str">
        <x:v>MF-07</x:v>
      </x:c>
      <x:c r="E158" s="7" t="str">
        <x:v>STD-07-2</x:v>
      </x:c>
      <x:c r="F158" s="7" t="str">
        <x:v>OP-2</x:v>
      </x:c>
      <x:c r="G158" s="7" t="n">
        <x:v>2</x:v>
      </x:c>
      <x:c r="H158" s="7" t="str"/>
      <x:c r="I158" s="7" t="str"/>
      <x:c r="J158" s="7" t="str">
        <x:f>IF(OR(H158="",I158=""),"",I158-H158)</x:f>
      </x:c>
      <x:c r="K158" s="7" t="str"/>
      <x:c r="L158" s="7" t="str"/>
      <x:c r="M158" s="7" t="str"/>
      <x:c r="N158" s="7" t="str">
        <x:f>IF(M158="","OPEN",IF(OR(NOT(ISNUMBER(H158)),NOT(ISNUMBER(I158)),K158="",L158=""),"FAIL","PASS"))</x:f>
        <x:v>OPEN</x:v>
      </x:c>
    </x:row>
    <x:row r="159">
      <x:c r="B159" s="7" t="str">
        <x:v>TRO-A-07-S3-O1-R1</x:v>
      </x:c>
      <x:c r="C159" s="7" t="str">
        <x:v>BLD-A</x:v>
      </x:c>
      <x:c r="D159" s="7" t="str">
        <x:v>MF-07</x:v>
      </x:c>
      <x:c r="E159" s="7" t="str">
        <x:v>STD-07-3</x:v>
      </x:c>
      <x:c r="F159" s="7" t="str">
        <x:v>OP-1</x:v>
      </x:c>
      <x:c r="G159" s="7" t="n">
        <x:v>1</x:v>
      </x:c>
      <x:c r="H159" s="7" t="str"/>
      <x:c r="I159" s="7" t="str"/>
      <x:c r="J159" s="7" t="str">
        <x:f>IF(OR(H159="",I159=""),"",I159-H159)</x:f>
      </x:c>
      <x:c r="K159" s="7" t="str"/>
      <x:c r="L159" s="7" t="str"/>
      <x:c r="M159" s="7" t="str"/>
      <x:c r="N159" s="7" t="str">
        <x:f>IF(M159="","OPEN",IF(OR(NOT(ISNUMBER(H159)),NOT(ISNUMBER(I159)),K159="",L159=""),"FAIL","PASS"))</x:f>
        <x:v>OPEN</x:v>
      </x:c>
    </x:row>
    <x:row r="160">
      <x:c r="B160" s="7" t="str">
        <x:v>TRO-A-07-S3-O1-R2</x:v>
      </x:c>
      <x:c r="C160" s="7" t="str">
        <x:v>BLD-A</x:v>
      </x:c>
      <x:c r="D160" s="7" t="str">
        <x:v>MF-07</x:v>
      </x:c>
      <x:c r="E160" s="7" t="str">
        <x:v>STD-07-3</x:v>
      </x:c>
      <x:c r="F160" s="7" t="str">
        <x:v>OP-1</x:v>
      </x:c>
      <x:c r="G160" s="7" t="n">
        <x:v>2</x:v>
      </x:c>
      <x:c r="H160" s="7" t="str"/>
      <x:c r="I160" s="7" t="str"/>
      <x:c r="J160" s="7" t="str">
        <x:f>IF(OR(H160="",I160=""),"",I160-H160)</x:f>
      </x:c>
      <x:c r="K160" s="7" t="str"/>
      <x:c r="L160" s="7" t="str"/>
      <x:c r="M160" s="7" t="str"/>
      <x:c r="N160" s="7" t="str">
        <x:f>IF(M160="","OPEN",IF(OR(NOT(ISNUMBER(H160)),NOT(ISNUMBER(I160)),K160="",L160=""),"FAIL","PASS"))</x:f>
        <x:v>OPEN</x:v>
      </x:c>
    </x:row>
    <x:row r="161">
      <x:c r="B161" s="7" t="str">
        <x:v>TRO-A-07-S3-O2-R1</x:v>
      </x:c>
      <x:c r="C161" s="7" t="str">
        <x:v>BLD-A</x:v>
      </x:c>
      <x:c r="D161" s="7" t="str">
        <x:v>MF-07</x:v>
      </x:c>
      <x:c r="E161" s="7" t="str">
        <x:v>STD-07-3</x:v>
      </x:c>
      <x:c r="F161" s="7" t="str">
        <x:v>OP-2</x:v>
      </x:c>
      <x:c r="G161" s="7" t="n">
        <x:v>1</x:v>
      </x:c>
      <x:c r="H161" s="7" t="str"/>
      <x:c r="I161" s="7" t="str"/>
      <x:c r="J161" s="7" t="str">
        <x:f>IF(OR(H161="",I161=""),"",I161-H161)</x:f>
      </x:c>
      <x:c r="K161" s="7" t="str"/>
      <x:c r="L161" s="7" t="str"/>
      <x:c r="M161" s="7" t="str"/>
      <x:c r="N161" s="7" t="str">
        <x:f>IF(M161="","OPEN",IF(OR(NOT(ISNUMBER(H161)),NOT(ISNUMBER(I161)),K161="",L161=""),"FAIL","PASS"))</x:f>
        <x:v>OPEN</x:v>
      </x:c>
    </x:row>
    <x:row r="162">
      <x:c r="B162" s="7" t="str">
        <x:v>TRO-A-07-S3-O2-R2</x:v>
      </x:c>
      <x:c r="C162" s="7" t="str">
        <x:v>BLD-A</x:v>
      </x:c>
      <x:c r="D162" s="7" t="str">
        <x:v>MF-07</x:v>
      </x:c>
      <x:c r="E162" s="7" t="str">
        <x:v>STD-07-3</x:v>
      </x:c>
      <x:c r="F162" s="7" t="str">
        <x:v>OP-2</x:v>
      </x:c>
      <x:c r="G162" s="7" t="n">
        <x:v>2</x:v>
      </x:c>
      <x:c r="H162" s="7" t="str"/>
      <x:c r="I162" s="7" t="str"/>
      <x:c r="J162" s="7" t="str">
        <x:f>IF(OR(H162="",I162=""),"",I162-H162)</x:f>
      </x:c>
      <x:c r="K162" s="7" t="str"/>
      <x:c r="L162" s="7" t="str"/>
      <x:c r="M162" s="7" t="str"/>
      <x:c r="N162" s="7" t="str">
        <x:f>IF(M162="","OPEN",IF(OR(NOT(ISNUMBER(H162)),NOT(ISNUMBER(I162)),K162="",L162=""),"FAIL","PASS"))</x:f>
        <x:v>OPEN</x:v>
      </x:c>
    </x:row>
    <x:row r="163">
      <x:c r="B163" s="7" t="str">
        <x:v>TRO-A-07-S4-O1-R1</x:v>
      </x:c>
      <x:c r="C163" s="7" t="str">
        <x:v>BLD-A</x:v>
      </x:c>
      <x:c r="D163" s="7" t="str">
        <x:v>MF-07</x:v>
      </x:c>
      <x:c r="E163" s="7" t="str">
        <x:v>STD-07-4</x:v>
      </x:c>
      <x:c r="F163" s="7" t="str">
        <x:v>OP-1</x:v>
      </x:c>
      <x:c r="G163" s="7" t="n">
        <x:v>1</x:v>
      </x:c>
      <x:c r="H163" s="7" t="str"/>
      <x:c r="I163" s="7" t="str"/>
      <x:c r="J163" s="7" t="str">
        <x:f>IF(OR(H163="",I163=""),"",I163-H163)</x:f>
      </x:c>
      <x:c r="K163" s="7" t="str"/>
      <x:c r="L163" s="7" t="str"/>
      <x:c r="M163" s="7" t="str"/>
      <x:c r="N163" s="7" t="str">
        <x:f>IF(M163="","OPEN",IF(OR(NOT(ISNUMBER(H163)),NOT(ISNUMBER(I163)),K163="",L163=""),"FAIL","PASS"))</x:f>
        <x:v>OPEN</x:v>
      </x:c>
    </x:row>
    <x:row r="164">
      <x:c r="B164" s="7" t="str">
        <x:v>TRO-A-07-S4-O1-R2</x:v>
      </x:c>
      <x:c r="C164" s="7" t="str">
        <x:v>BLD-A</x:v>
      </x:c>
      <x:c r="D164" s="7" t="str">
        <x:v>MF-07</x:v>
      </x:c>
      <x:c r="E164" s="7" t="str">
        <x:v>STD-07-4</x:v>
      </x:c>
      <x:c r="F164" s="7" t="str">
        <x:v>OP-1</x:v>
      </x:c>
      <x:c r="G164" s="7" t="n">
        <x:v>2</x:v>
      </x:c>
      <x:c r="H164" s="7" t="str"/>
      <x:c r="I164" s="7" t="str"/>
      <x:c r="J164" s="7" t="str">
        <x:f>IF(OR(H164="",I164=""),"",I164-H164)</x:f>
      </x:c>
      <x:c r="K164" s="7" t="str"/>
      <x:c r="L164" s="7" t="str"/>
      <x:c r="M164" s="7" t="str"/>
      <x:c r="N164" s="7" t="str">
        <x:f>IF(M164="","OPEN",IF(OR(NOT(ISNUMBER(H164)),NOT(ISNUMBER(I164)),K164="",L164=""),"FAIL","PASS"))</x:f>
        <x:v>OPEN</x:v>
      </x:c>
    </x:row>
    <x:row r="165">
      <x:c r="B165" s="7" t="str">
        <x:v>TRO-A-07-S4-O2-R1</x:v>
      </x:c>
      <x:c r="C165" s="7" t="str">
        <x:v>BLD-A</x:v>
      </x:c>
      <x:c r="D165" s="7" t="str">
        <x:v>MF-07</x:v>
      </x:c>
      <x:c r="E165" s="7" t="str">
        <x:v>STD-07-4</x:v>
      </x:c>
      <x:c r="F165" s="7" t="str">
        <x:v>OP-2</x:v>
      </x:c>
      <x:c r="G165" s="7" t="n">
        <x:v>1</x:v>
      </x:c>
      <x:c r="H165" s="7" t="str"/>
      <x:c r="I165" s="7" t="str"/>
      <x:c r="J165" s="7" t="str">
        <x:f>IF(OR(H165="",I165=""),"",I165-H165)</x:f>
      </x:c>
      <x:c r="K165" s="7" t="str"/>
      <x:c r="L165" s="7" t="str"/>
      <x:c r="M165" s="7" t="str"/>
      <x:c r="N165" s="7" t="str">
        <x:f>IF(M165="","OPEN",IF(OR(NOT(ISNUMBER(H165)),NOT(ISNUMBER(I165)),K165="",L165=""),"FAIL","PASS"))</x:f>
        <x:v>OPEN</x:v>
      </x:c>
    </x:row>
    <x:row r="166">
      <x:c r="B166" s="7" t="str">
        <x:v>TRO-A-07-S4-O2-R2</x:v>
      </x:c>
      <x:c r="C166" s="7" t="str">
        <x:v>BLD-A</x:v>
      </x:c>
      <x:c r="D166" s="7" t="str">
        <x:v>MF-07</x:v>
      </x:c>
      <x:c r="E166" s="7" t="str">
        <x:v>STD-07-4</x:v>
      </x:c>
      <x:c r="F166" s="7" t="str">
        <x:v>OP-2</x:v>
      </x:c>
      <x:c r="G166" s="7" t="n">
        <x:v>2</x:v>
      </x:c>
      <x:c r="H166" s="7" t="str"/>
      <x:c r="I166" s="7" t="str"/>
      <x:c r="J166" s="7" t="str">
        <x:f>IF(OR(H166="",I166=""),"",I166-H166)</x:f>
      </x:c>
      <x:c r="K166" s="7" t="str"/>
      <x:c r="L166" s="7" t="str"/>
      <x:c r="M166" s="7" t="str"/>
      <x:c r="N166" s="7" t="str">
        <x:f>IF(M166="","OPEN",IF(OR(NOT(ISNUMBER(H166)),NOT(ISNUMBER(I166)),K166="",L166=""),"FAIL","PASS"))</x:f>
        <x:v>OPEN</x:v>
      </x:c>
    </x:row>
    <x:row r="167">
      <x:c r="B167" s="7" t="str">
        <x:v>TRO-A-07-S5-O1-R1</x:v>
      </x:c>
      <x:c r="C167" s="7" t="str">
        <x:v>BLD-A</x:v>
      </x:c>
      <x:c r="D167" s="7" t="str">
        <x:v>MF-07</x:v>
      </x:c>
      <x:c r="E167" s="7" t="str">
        <x:v>STD-07-5</x:v>
      </x:c>
      <x:c r="F167" s="7" t="str">
        <x:v>OP-1</x:v>
      </x:c>
      <x:c r="G167" s="7" t="n">
        <x:v>1</x:v>
      </x:c>
      <x:c r="H167" s="7" t="str"/>
      <x:c r="I167" s="7" t="str"/>
      <x:c r="J167" s="7" t="str">
        <x:f>IF(OR(H167="",I167=""),"",I167-H167)</x:f>
      </x:c>
      <x:c r="K167" s="7" t="str"/>
      <x:c r="L167" s="7" t="str"/>
      <x:c r="M167" s="7" t="str"/>
      <x:c r="N167" s="7" t="str">
        <x:f>IF(M167="","OPEN",IF(OR(NOT(ISNUMBER(H167)),NOT(ISNUMBER(I167)),K167="",L167=""),"FAIL","PASS"))</x:f>
        <x:v>OPEN</x:v>
      </x:c>
    </x:row>
    <x:row r="168">
      <x:c r="B168" s="7" t="str">
        <x:v>TRO-A-07-S5-O1-R2</x:v>
      </x:c>
      <x:c r="C168" s="7" t="str">
        <x:v>BLD-A</x:v>
      </x:c>
      <x:c r="D168" s="7" t="str">
        <x:v>MF-07</x:v>
      </x:c>
      <x:c r="E168" s="7" t="str">
        <x:v>STD-07-5</x:v>
      </x:c>
      <x:c r="F168" s="7" t="str">
        <x:v>OP-1</x:v>
      </x:c>
      <x:c r="G168" s="7" t="n">
        <x:v>2</x:v>
      </x:c>
      <x:c r="H168" s="7" t="str"/>
      <x:c r="I168" s="7" t="str"/>
      <x:c r="J168" s="7" t="str">
        <x:f>IF(OR(H168="",I168=""),"",I168-H168)</x:f>
      </x:c>
      <x:c r="K168" s="7" t="str"/>
      <x:c r="L168" s="7" t="str"/>
      <x:c r="M168" s="7" t="str"/>
      <x:c r="N168" s="7" t="str">
        <x:f>IF(M168="","OPEN",IF(OR(NOT(ISNUMBER(H168)),NOT(ISNUMBER(I168)),K168="",L168=""),"FAIL","PASS"))</x:f>
        <x:v>OPEN</x:v>
      </x:c>
    </x:row>
    <x:row r="169">
      <x:c r="B169" s="7" t="str">
        <x:v>TRO-A-07-S5-O2-R1</x:v>
      </x:c>
      <x:c r="C169" s="7" t="str">
        <x:v>BLD-A</x:v>
      </x:c>
      <x:c r="D169" s="7" t="str">
        <x:v>MF-07</x:v>
      </x:c>
      <x:c r="E169" s="7" t="str">
        <x:v>STD-07-5</x:v>
      </x:c>
      <x:c r="F169" s="7" t="str">
        <x:v>OP-2</x:v>
      </x:c>
      <x:c r="G169" s="7" t="n">
        <x:v>1</x:v>
      </x:c>
      <x:c r="H169" s="7" t="str"/>
      <x:c r="I169" s="7" t="str"/>
      <x:c r="J169" s="7" t="str">
        <x:f>IF(OR(H169="",I169=""),"",I169-H169)</x:f>
      </x:c>
      <x:c r="K169" s="7" t="str"/>
      <x:c r="L169" s="7" t="str"/>
      <x:c r="M169" s="7" t="str"/>
      <x:c r="N169" s="7" t="str">
        <x:f>IF(M169="","OPEN",IF(OR(NOT(ISNUMBER(H169)),NOT(ISNUMBER(I169)),K169="",L169=""),"FAIL","PASS"))</x:f>
        <x:v>OPEN</x:v>
      </x:c>
    </x:row>
    <x:row r="170">
      <x:c r="B170" s="7" t="str">
        <x:v>TRO-A-07-S5-O2-R2</x:v>
      </x:c>
      <x:c r="C170" s="7" t="str">
        <x:v>BLD-A</x:v>
      </x:c>
      <x:c r="D170" s="7" t="str">
        <x:v>MF-07</x:v>
      </x:c>
      <x:c r="E170" s="7" t="str">
        <x:v>STD-07-5</x:v>
      </x:c>
      <x:c r="F170" s="7" t="str">
        <x:v>OP-2</x:v>
      </x:c>
      <x:c r="G170" s="7" t="n">
        <x:v>2</x:v>
      </x:c>
      <x:c r="H170" s="7" t="str"/>
      <x:c r="I170" s="7" t="str"/>
      <x:c r="J170" s="7" t="str">
        <x:f>IF(OR(H170="",I170=""),"",I170-H170)</x:f>
      </x:c>
      <x:c r="K170" s="7" t="str"/>
      <x:c r="L170" s="7" t="str"/>
      <x:c r="M170" s="7" t="str"/>
      <x:c r="N170" s="7" t="str">
        <x:f>IF(M170="","OPEN",IF(OR(NOT(ISNUMBER(H170)),NOT(ISNUMBER(I170)),K170="",L170=""),"FAIL","PASS"))</x:f>
        <x:v>OPEN</x:v>
      </x:c>
    </x:row>
    <x:row r="171">
      <x:c r="B171" s="7" t="str">
        <x:v>TRO-A-07-S6-O1-R1</x:v>
      </x:c>
      <x:c r="C171" s="7" t="str">
        <x:v>BLD-A</x:v>
      </x:c>
      <x:c r="D171" s="7" t="str">
        <x:v>MF-07</x:v>
      </x:c>
      <x:c r="E171" s="7" t="str">
        <x:v>STD-07-6</x:v>
      </x:c>
      <x:c r="F171" s="7" t="str">
        <x:v>OP-1</x:v>
      </x:c>
      <x:c r="G171" s="7" t="n">
        <x:v>1</x:v>
      </x:c>
      <x:c r="H171" s="7" t="str"/>
      <x:c r="I171" s="7" t="str"/>
      <x:c r="J171" s="7" t="str">
        <x:f>IF(OR(H171="",I171=""),"",I171-H171)</x:f>
      </x:c>
      <x:c r="K171" s="7" t="str"/>
      <x:c r="L171" s="7" t="str"/>
      <x:c r="M171" s="7" t="str"/>
      <x:c r="N171" s="7" t="str">
        <x:f>IF(M171="","OPEN",IF(OR(NOT(ISNUMBER(H171)),NOT(ISNUMBER(I171)),K171="",L171=""),"FAIL","PASS"))</x:f>
        <x:v>OPEN</x:v>
      </x:c>
    </x:row>
    <x:row r="172">
      <x:c r="B172" s="7" t="str">
        <x:v>TRO-A-07-S6-O1-R2</x:v>
      </x:c>
      <x:c r="C172" s="7" t="str">
        <x:v>BLD-A</x:v>
      </x:c>
      <x:c r="D172" s="7" t="str">
        <x:v>MF-07</x:v>
      </x:c>
      <x:c r="E172" s="7" t="str">
        <x:v>STD-07-6</x:v>
      </x:c>
      <x:c r="F172" s="7" t="str">
        <x:v>OP-1</x:v>
      </x:c>
      <x:c r="G172" s="7" t="n">
        <x:v>2</x:v>
      </x:c>
      <x:c r="H172" s="7" t="str"/>
      <x:c r="I172" s="7" t="str"/>
      <x:c r="J172" s="7" t="str">
        <x:f>IF(OR(H172="",I172=""),"",I172-H172)</x:f>
      </x:c>
      <x:c r="K172" s="7" t="str"/>
      <x:c r="L172" s="7" t="str"/>
      <x:c r="M172" s="7" t="str"/>
      <x:c r="N172" s="7" t="str">
        <x:f>IF(M172="","OPEN",IF(OR(NOT(ISNUMBER(H172)),NOT(ISNUMBER(I172)),K172="",L172=""),"FAIL","PASS"))</x:f>
        <x:v>OPEN</x:v>
      </x:c>
    </x:row>
    <x:row r="173">
      <x:c r="B173" s="7" t="str">
        <x:v>TRO-A-07-S6-O2-R1</x:v>
      </x:c>
      <x:c r="C173" s="7" t="str">
        <x:v>BLD-A</x:v>
      </x:c>
      <x:c r="D173" s="7" t="str">
        <x:v>MF-07</x:v>
      </x:c>
      <x:c r="E173" s="7" t="str">
        <x:v>STD-07-6</x:v>
      </x:c>
      <x:c r="F173" s="7" t="str">
        <x:v>OP-2</x:v>
      </x:c>
      <x:c r="G173" s="7" t="n">
        <x:v>1</x:v>
      </x:c>
      <x:c r="H173" s="7" t="str"/>
      <x:c r="I173" s="7" t="str"/>
      <x:c r="J173" s="7" t="str">
        <x:f>IF(OR(H173="",I173=""),"",I173-H173)</x:f>
      </x:c>
      <x:c r="K173" s="7" t="str"/>
      <x:c r="L173" s="7" t="str"/>
      <x:c r="M173" s="7" t="str"/>
      <x:c r="N173" s="7" t="str">
        <x:f>IF(M173="","OPEN",IF(OR(NOT(ISNUMBER(H173)),NOT(ISNUMBER(I173)),K173="",L173=""),"FAIL","PASS"))</x:f>
        <x:v>OPEN</x:v>
      </x:c>
    </x:row>
    <x:row r="174">
      <x:c r="B174" s="7" t="str">
        <x:v>TRO-A-07-S6-O2-R2</x:v>
      </x:c>
      <x:c r="C174" s="7" t="str">
        <x:v>BLD-A</x:v>
      </x:c>
      <x:c r="D174" s="7" t="str">
        <x:v>MF-07</x:v>
      </x:c>
      <x:c r="E174" s="7" t="str">
        <x:v>STD-07-6</x:v>
      </x:c>
      <x:c r="F174" s="7" t="str">
        <x:v>OP-2</x:v>
      </x:c>
      <x:c r="G174" s="7" t="n">
        <x:v>2</x:v>
      </x:c>
      <x:c r="H174" s="7" t="str"/>
      <x:c r="I174" s="7" t="str"/>
      <x:c r="J174" s="7" t="str">
        <x:f>IF(OR(H174="",I174=""),"",I174-H174)</x:f>
      </x:c>
      <x:c r="K174" s="7" t="str"/>
      <x:c r="L174" s="7" t="str"/>
      <x:c r="M174" s="7" t="str"/>
      <x:c r="N174" s="7" t="str">
        <x:f>IF(M174="","OPEN",IF(OR(NOT(ISNUMBER(H174)),NOT(ISNUMBER(I174)),K174="",L174=""),"FAIL","PASS"))</x:f>
        <x:v>OPEN</x:v>
      </x:c>
    </x:row>
    <x:row r="175">
      <x:c r="B175" s="7" t="str">
        <x:v>TRO-A-08-S1-O1-R1</x:v>
      </x:c>
      <x:c r="C175" s="7" t="str">
        <x:v>BLD-A</x:v>
      </x:c>
      <x:c r="D175" s="7" t="str">
        <x:v>MF-08</x:v>
      </x:c>
      <x:c r="E175" s="7" t="str">
        <x:v>STD-08-1</x:v>
      </x:c>
      <x:c r="F175" s="7" t="str">
        <x:v>OP-1</x:v>
      </x:c>
      <x:c r="G175" s="7" t="n">
        <x:v>1</x:v>
      </x:c>
      <x:c r="H175" s="7" t="str"/>
      <x:c r="I175" s="7" t="str"/>
      <x:c r="J175" s="7" t="str">
        <x:f>IF(OR(H175="",I175=""),"",I175-H175)</x:f>
      </x:c>
      <x:c r="K175" s="7" t="str"/>
      <x:c r="L175" s="7" t="str"/>
      <x:c r="M175" s="7" t="str"/>
      <x:c r="N175" s="7" t="str">
        <x:f>IF(M175="","OPEN",IF(OR(NOT(ISNUMBER(H175)),NOT(ISNUMBER(I175)),K175="",L175=""),"FAIL","PASS"))</x:f>
        <x:v>OPEN</x:v>
      </x:c>
    </x:row>
    <x:row r="176">
      <x:c r="B176" s="7" t="str">
        <x:v>TRO-A-08-S1-O1-R2</x:v>
      </x:c>
      <x:c r="C176" s="7" t="str">
        <x:v>BLD-A</x:v>
      </x:c>
      <x:c r="D176" s="7" t="str">
        <x:v>MF-08</x:v>
      </x:c>
      <x:c r="E176" s="7" t="str">
        <x:v>STD-08-1</x:v>
      </x:c>
      <x:c r="F176" s="7" t="str">
        <x:v>OP-1</x:v>
      </x:c>
      <x:c r="G176" s="7" t="n">
        <x:v>2</x:v>
      </x:c>
      <x:c r="H176" s="7" t="str"/>
      <x:c r="I176" s="7" t="str"/>
      <x:c r="J176" s="7" t="str">
        <x:f>IF(OR(H176="",I176=""),"",I176-H176)</x:f>
      </x:c>
      <x:c r="K176" s="7" t="str"/>
      <x:c r="L176" s="7" t="str"/>
      <x:c r="M176" s="7" t="str"/>
      <x:c r="N176" s="7" t="str">
        <x:f>IF(M176="","OPEN",IF(OR(NOT(ISNUMBER(H176)),NOT(ISNUMBER(I176)),K176="",L176=""),"FAIL","PASS"))</x:f>
        <x:v>OPEN</x:v>
      </x:c>
    </x:row>
    <x:row r="177">
      <x:c r="B177" s="7" t="str">
        <x:v>TRO-A-08-S1-O2-R1</x:v>
      </x:c>
      <x:c r="C177" s="7" t="str">
        <x:v>BLD-A</x:v>
      </x:c>
      <x:c r="D177" s="7" t="str">
        <x:v>MF-08</x:v>
      </x:c>
      <x:c r="E177" s="7" t="str">
        <x:v>STD-08-1</x:v>
      </x:c>
      <x:c r="F177" s="7" t="str">
        <x:v>OP-2</x:v>
      </x:c>
      <x:c r="G177" s="7" t="n">
        <x:v>1</x:v>
      </x:c>
      <x:c r="H177" s="7" t="str"/>
      <x:c r="I177" s="7" t="str"/>
      <x:c r="J177" s="7" t="str">
        <x:f>IF(OR(H177="",I177=""),"",I177-H177)</x:f>
      </x:c>
      <x:c r="K177" s="7" t="str"/>
      <x:c r="L177" s="7" t="str"/>
      <x:c r="M177" s="7" t="str"/>
      <x:c r="N177" s="7" t="str">
        <x:f>IF(M177="","OPEN",IF(OR(NOT(ISNUMBER(H177)),NOT(ISNUMBER(I177)),K177="",L177=""),"FAIL","PASS"))</x:f>
        <x:v>OPEN</x:v>
      </x:c>
    </x:row>
    <x:row r="178">
      <x:c r="B178" s="7" t="str">
        <x:v>TRO-A-08-S1-O2-R2</x:v>
      </x:c>
      <x:c r="C178" s="7" t="str">
        <x:v>BLD-A</x:v>
      </x:c>
      <x:c r="D178" s="7" t="str">
        <x:v>MF-08</x:v>
      </x:c>
      <x:c r="E178" s="7" t="str">
        <x:v>STD-08-1</x:v>
      </x:c>
      <x:c r="F178" s="7" t="str">
        <x:v>OP-2</x:v>
      </x:c>
      <x:c r="G178" s="7" t="n">
        <x:v>2</x:v>
      </x:c>
      <x:c r="H178" s="7" t="str"/>
      <x:c r="I178" s="7" t="str"/>
      <x:c r="J178" s="7" t="str">
        <x:f>IF(OR(H178="",I178=""),"",I178-H178)</x:f>
      </x:c>
      <x:c r="K178" s="7" t="str"/>
      <x:c r="L178" s="7" t="str"/>
      <x:c r="M178" s="7" t="str"/>
      <x:c r="N178" s="7" t="str">
        <x:f>IF(M178="","OPEN",IF(OR(NOT(ISNUMBER(H178)),NOT(ISNUMBER(I178)),K178="",L178=""),"FAIL","PASS"))</x:f>
        <x:v>OPEN</x:v>
      </x:c>
    </x:row>
    <x:row r="179">
      <x:c r="B179" s="7" t="str">
        <x:v>TRO-A-08-S2-O1-R1</x:v>
      </x:c>
      <x:c r="C179" s="7" t="str">
        <x:v>BLD-A</x:v>
      </x:c>
      <x:c r="D179" s="7" t="str">
        <x:v>MF-08</x:v>
      </x:c>
      <x:c r="E179" s="7" t="str">
        <x:v>STD-08-2</x:v>
      </x:c>
      <x:c r="F179" s="7" t="str">
        <x:v>OP-1</x:v>
      </x:c>
      <x:c r="G179" s="7" t="n">
        <x:v>1</x:v>
      </x:c>
      <x:c r="H179" s="7" t="str"/>
      <x:c r="I179" s="7" t="str"/>
      <x:c r="J179" s="7" t="str">
        <x:f>IF(OR(H179="",I179=""),"",I179-H179)</x:f>
      </x:c>
      <x:c r="K179" s="7" t="str"/>
      <x:c r="L179" s="7" t="str"/>
      <x:c r="M179" s="7" t="str"/>
      <x:c r="N179" s="7" t="str">
        <x:f>IF(M179="","OPEN",IF(OR(NOT(ISNUMBER(H179)),NOT(ISNUMBER(I179)),K179="",L179=""),"FAIL","PASS"))</x:f>
        <x:v>OPEN</x:v>
      </x:c>
    </x:row>
    <x:row r="180">
      <x:c r="B180" s="7" t="str">
        <x:v>TRO-A-08-S2-O1-R2</x:v>
      </x:c>
      <x:c r="C180" s="7" t="str">
        <x:v>BLD-A</x:v>
      </x:c>
      <x:c r="D180" s="7" t="str">
        <x:v>MF-08</x:v>
      </x:c>
      <x:c r="E180" s="7" t="str">
        <x:v>STD-08-2</x:v>
      </x:c>
      <x:c r="F180" s="7" t="str">
        <x:v>OP-1</x:v>
      </x:c>
      <x:c r="G180" s="7" t="n">
        <x:v>2</x:v>
      </x:c>
      <x:c r="H180" s="7" t="str"/>
      <x:c r="I180" s="7" t="str"/>
      <x:c r="J180" s="7" t="str">
        <x:f>IF(OR(H180="",I180=""),"",I180-H180)</x:f>
      </x:c>
      <x:c r="K180" s="7" t="str"/>
      <x:c r="L180" s="7" t="str"/>
      <x:c r="M180" s="7" t="str"/>
      <x:c r="N180" s="7" t="str">
        <x:f>IF(M180="","OPEN",IF(OR(NOT(ISNUMBER(H180)),NOT(ISNUMBER(I180)),K180="",L180=""),"FAIL","PASS"))</x:f>
        <x:v>OPEN</x:v>
      </x:c>
    </x:row>
    <x:row r="181">
      <x:c r="B181" s="7" t="str">
        <x:v>TRO-A-08-S2-O2-R1</x:v>
      </x:c>
      <x:c r="C181" s="7" t="str">
        <x:v>BLD-A</x:v>
      </x:c>
      <x:c r="D181" s="7" t="str">
        <x:v>MF-08</x:v>
      </x:c>
      <x:c r="E181" s="7" t="str">
        <x:v>STD-08-2</x:v>
      </x:c>
      <x:c r="F181" s="7" t="str">
        <x:v>OP-2</x:v>
      </x:c>
      <x:c r="G181" s="7" t="n">
        <x:v>1</x:v>
      </x:c>
      <x:c r="H181" s="7" t="str"/>
      <x:c r="I181" s="7" t="str"/>
      <x:c r="J181" s="7" t="str">
        <x:f>IF(OR(H181="",I181=""),"",I181-H181)</x:f>
      </x:c>
      <x:c r="K181" s="7" t="str"/>
      <x:c r="L181" s="7" t="str"/>
      <x:c r="M181" s="7" t="str"/>
      <x:c r="N181" s="7" t="str">
        <x:f>IF(M181="","OPEN",IF(OR(NOT(ISNUMBER(H181)),NOT(ISNUMBER(I181)),K181="",L181=""),"FAIL","PASS"))</x:f>
        <x:v>OPEN</x:v>
      </x:c>
    </x:row>
    <x:row r="182">
      <x:c r="B182" s="7" t="str">
        <x:v>TRO-A-08-S2-O2-R2</x:v>
      </x:c>
      <x:c r="C182" s="7" t="str">
        <x:v>BLD-A</x:v>
      </x:c>
      <x:c r="D182" s="7" t="str">
        <x:v>MF-08</x:v>
      </x:c>
      <x:c r="E182" s="7" t="str">
        <x:v>STD-08-2</x:v>
      </x:c>
      <x:c r="F182" s="7" t="str">
        <x:v>OP-2</x:v>
      </x:c>
      <x:c r="G182" s="7" t="n">
        <x:v>2</x:v>
      </x:c>
      <x:c r="H182" s="7" t="str"/>
      <x:c r="I182" s="7" t="str"/>
      <x:c r="J182" s="7" t="str">
        <x:f>IF(OR(H182="",I182=""),"",I182-H182)</x:f>
      </x:c>
      <x:c r="K182" s="7" t="str"/>
      <x:c r="L182" s="7" t="str"/>
      <x:c r="M182" s="7" t="str"/>
      <x:c r="N182" s="7" t="str">
        <x:f>IF(M182="","OPEN",IF(OR(NOT(ISNUMBER(H182)),NOT(ISNUMBER(I182)),K182="",L182=""),"FAIL","PASS"))</x:f>
        <x:v>OPEN</x:v>
      </x:c>
    </x:row>
    <x:row r="183">
      <x:c r="B183" s="7" t="str">
        <x:v>TRO-A-08-S3-O1-R1</x:v>
      </x:c>
      <x:c r="C183" s="7" t="str">
        <x:v>BLD-A</x:v>
      </x:c>
      <x:c r="D183" s="7" t="str">
        <x:v>MF-08</x:v>
      </x:c>
      <x:c r="E183" s="7" t="str">
        <x:v>STD-08-3</x:v>
      </x:c>
      <x:c r="F183" s="7" t="str">
        <x:v>OP-1</x:v>
      </x:c>
      <x:c r="G183" s="7" t="n">
        <x:v>1</x:v>
      </x:c>
      <x:c r="H183" s="7" t="str"/>
      <x:c r="I183" s="7" t="str"/>
      <x:c r="J183" s="7" t="str">
        <x:f>IF(OR(H183="",I183=""),"",I183-H183)</x:f>
      </x:c>
      <x:c r="K183" s="7" t="str"/>
      <x:c r="L183" s="7" t="str"/>
      <x:c r="M183" s="7" t="str"/>
      <x:c r="N183" s="7" t="str">
        <x:f>IF(M183="","OPEN",IF(OR(NOT(ISNUMBER(H183)),NOT(ISNUMBER(I183)),K183="",L183=""),"FAIL","PASS"))</x:f>
        <x:v>OPEN</x:v>
      </x:c>
    </x:row>
    <x:row r="184">
      <x:c r="B184" s="7" t="str">
        <x:v>TRO-A-08-S3-O1-R2</x:v>
      </x:c>
      <x:c r="C184" s="7" t="str">
        <x:v>BLD-A</x:v>
      </x:c>
      <x:c r="D184" s="7" t="str">
        <x:v>MF-08</x:v>
      </x:c>
      <x:c r="E184" s="7" t="str">
        <x:v>STD-08-3</x:v>
      </x:c>
      <x:c r="F184" s="7" t="str">
        <x:v>OP-1</x:v>
      </x:c>
      <x:c r="G184" s="7" t="n">
        <x:v>2</x:v>
      </x:c>
      <x:c r="H184" s="7" t="str"/>
      <x:c r="I184" s="7" t="str"/>
      <x:c r="J184" s="7" t="str">
        <x:f>IF(OR(H184="",I184=""),"",I184-H184)</x:f>
      </x:c>
      <x:c r="K184" s="7" t="str"/>
      <x:c r="L184" s="7" t="str"/>
      <x:c r="M184" s="7" t="str"/>
      <x:c r="N184" s="7" t="str">
        <x:f>IF(M184="","OPEN",IF(OR(NOT(ISNUMBER(H184)),NOT(ISNUMBER(I184)),K184="",L184=""),"FAIL","PASS"))</x:f>
        <x:v>OPEN</x:v>
      </x:c>
    </x:row>
    <x:row r="185">
      <x:c r="B185" s="7" t="str">
        <x:v>TRO-A-08-S3-O2-R1</x:v>
      </x:c>
      <x:c r="C185" s="7" t="str">
        <x:v>BLD-A</x:v>
      </x:c>
      <x:c r="D185" s="7" t="str">
        <x:v>MF-08</x:v>
      </x:c>
      <x:c r="E185" s="7" t="str">
        <x:v>STD-08-3</x:v>
      </x:c>
      <x:c r="F185" s="7" t="str">
        <x:v>OP-2</x:v>
      </x:c>
      <x:c r="G185" s="7" t="n">
        <x:v>1</x:v>
      </x:c>
      <x:c r="H185" s="7" t="str"/>
      <x:c r="I185" s="7" t="str"/>
      <x:c r="J185" s="7" t="str">
        <x:f>IF(OR(H185="",I185=""),"",I185-H185)</x:f>
      </x:c>
      <x:c r="K185" s="7" t="str"/>
      <x:c r="L185" s="7" t="str"/>
      <x:c r="M185" s="7" t="str"/>
      <x:c r="N185" s="7" t="str">
        <x:f>IF(M185="","OPEN",IF(OR(NOT(ISNUMBER(H185)),NOT(ISNUMBER(I185)),K185="",L185=""),"FAIL","PASS"))</x:f>
        <x:v>OPEN</x:v>
      </x:c>
    </x:row>
    <x:row r="186">
      <x:c r="B186" s="7" t="str">
        <x:v>TRO-A-08-S3-O2-R2</x:v>
      </x:c>
      <x:c r="C186" s="7" t="str">
        <x:v>BLD-A</x:v>
      </x:c>
      <x:c r="D186" s="7" t="str">
        <x:v>MF-08</x:v>
      </x:c>
      <x:c r="E186" s="7" t="str">
        <x:v>STD-08-3</x:v>
      </x:c>
      <x:c r="F186" s="7" t="str">
        <x:v>OP-2</x:v>
      </x:c>
      <x:c r="G186" s="7" t="n">
        <x:v>2</x:v>
      </x:c>
      <x:c r="H186" s="7" t="str"/>
      <x:c r="I186" s="7" t="str"/>
      <x:c r="J186" s="7" t="str">
        <x:f>IF(OR(H186="",I186=""),"",I186-H186)</x:f>
      </x:c>
      <x:c r="K186" s="7" t="str"/>
      <x:c r="L186" s="7" t="str"/>
      <x:c r="M186" s="7" t="str"/>
      <x:c r="N186" s="7" t="str">
        <x:f>IF(M186="","OPEN",IF(OR(NOT(ISNUMBER(H186)),NOT(ISNUMBER(I186)),K186="",L186=""),"FAIL","PASS"))</x:f>
        <x:v>OPEN</x:v>
      </x:c>
    </x:row>
    <x:row r="187">
      <x:c r="B187" s="7" t="str">
        <x:v>TRO-A-08-S4-O1-R1</x:v>
      </x:c>
      <x:c r="C187" s="7" t="str">
        <x:v>BLD-A</x:v>
      </x:c>
      <x:c r="D187" s="7" t="str">
        <x:v>MF-08</x:v>
      </x:c>
      <x:c r="E187" s="7" t="str">
        <x:v>STD-08-4</x:v>
      </x:c>
      <x:c r="F187" s="7" t="str">
        <x:v>OP-1</x:v>
      </x:c>
      <x:c r="G187" s="7" t="n">
        <x:v>1</x:v>
      </x:c>
      <x:c r="H187" s="7" t="str"/>
      <x:c r="I187" s="7" t="str"/>
      <x:c r="J187" s="7" t="str">
        <x:f>IF(OR(H187="",I187=""),"",I187-H187)</x:f>
      </x:c>
      <x:c r="K187" s="7" t="str"/>
      <x:c r="L187" s="7" t="str"/>
      <x:c r="M187" s="7" t="str"/>
      <x:c r="N187" s="7" t="str">
        <x:f>IF(M187="","OPEN",IF(OR(NOT(ISNUMBER(H187)),NOT(ISNUMBER(I187)),K187="",L187=""),"FAIL","PASS"))</x:f>
        <x:v>OPEN</x:v>
      </x:c>
    </x:row>
    <x:row r="188">
      <x:c r="B188" s="7" t="str">
        <x:v>TRO-A-08-S4-O1-R2</x:v>
      </x:c>
      <x:c r="C188" s="7" t="str">
        <x:v>BLD-A</x:v>
      </x:c>
      <x:c r="D188" s="7" t="str">
        <x:v>MF-08</x:v>
      </x:c>
      <x:c r="E188" s="7" t="str">
        <x:v>STD-08-4</x:v>
      </x:c>
      <x:c r="F188" s="7" t="str">
        <x:v>OP-1</x:v>
      </x:c>
      <x:c r="G188" s="7" t="n">
        <x:v>2</x:v>
      </x:c>
      <x:c r="H188" s="7" t="str"/>
      <x:c r="I188" s="7" t="str"/>
      <x:c r="J188" s="7" t="str">
        <x:f>IF(OR(H188="",I188=""),"",I188-H188)</x:f>
      </x:c>
      <x:c r="K188" s="7" t="str"/>
      <x:c r="L188" s="7" t="str"/>
      <x:c r="M188" s="7" t="str"/>
      <x:c r="N188" s="7" t="str">
        <x:f>IF(M188="","OPEN",IF(OR(NOT(ISNUMBER(H188)),NOT(ISNUMBER(I188)),K188="",L188=""),"FAIL","PASS"))</x:f>
        <x:v>OPEN</x:v>
      </x:c>
    </x:row>
    <x:row r="189">
      <x:c r="B189" s="7" t="str">
        <x:v>TRO-A-08-S4-O2-R1</x:v>
      </x:c>
      <x:c r="C189" s="7" t="str">
        <x:v>BLD-A</x:v>
      </x:c>
      <x:c r="D189" s="7" t="str">
        <x:v>MF-08</x:v>
      </x:c>
      <x:c r="E189" s="7" t="str">
        <x:v>STD-08-4</x:v>
      </x:c>
      <x:c r="F189" s="7" t="str">
        <x:v>OP-2</x:v>
      </x:c>
      <x:c r="G189" s="7" t="n">
        <x:v>1</x:v>
      </x:c>
      <x:c r="H189" s="7" t="str"/>
      <x:c r="I189" s="7" t="str"/>
      <x:c r="J189" s="7" t="str">
        <x:f>IF(OR(H189="",I189=""),"",I189-H189)</x:f>
      </x:c>
      <x:c r="K189" s="7" t="str"/>
      <x:c r="L189" s="7" t="str"/>
      <x:c r="M189" s="7" t="str"/>
      <x:c r="N189" s="7" t="str">
        <x:f>IF(M189="","OPEN",IF(OR(NOT(ISNUMBER(H189)),NOT(ISNUMBER(I189)),K189="",L189=""),"FAIL","PASS"))</x:f>
        <x:v>OPEN</x:v>
      </x:c>
    </x:row>
    <x:row r="190">
      <x:c r="B190" s="7" t="str">
        <x:v>TRO-A-08-S4-O2-R2</x:v>
      </x:c>
      <x:c r="C190" s="7" t="str">
        <x:v>BLD-A</x:v>
      </x:c>
      <x:c r="D190" s="7" t="str">
        <x:v>MF-08</x:v>
      </x:c>
      <x:c r="E190" s="7" t="str">
        <x:v>STD-08-4</x:v>
      </x:c>
      <x:c r="F190" s="7" t="str">
        <x:v>OP-2</x:v>
      </x:c>
      <x:c r="G190" s="7" t="n">
        <x:v>2</x:v>
      </x:c>
      <x:c r="H190" s="7" t="str"/>
      <x:c r="I190" s="7" t="str"/>
      <x:c r="J190" s="7" t="str">
        <x:f>IF(OR(H190="",I190=""),"",I190-H190)</x:f>
      </x:c>
      <x:c r="K190" s="7" t="str"/>
      <x:c r="L190" s="7" t="str"/>
      <x:c r="M190" s="7" t="str"/>
      <x:c r="N190" s="7" t="str">
        <x:f>IF(M190="","OPEN",IF(OR(NOT(ISNUMBER(H190)),NOT(ISNUMBER(I190)),K190="",L190=""),"FAIL","PASS"))</x:f>
        <x:v>OPEN</x:v>
      </x:c>
    </x:row>
    <x:row r="191">
      <x:c r="B191" s="7" t="str">
        <x:v>TRO-A-08-S5-O1-R1</x:v>
      </x:c>
      <x:c r="C191" s="7" t="str">
        <x:v>BLD-A</x:v>
      </x:c>
      <x:c r="D191" s="7" t="str">
        <x:v>MF-08</x:v>
      </x:c>
      <x:c r="E191" s="7" t="str">
        <x:v>STD-08-5</x:v>
      </x:c>
      <x:c r="F191" s="7" t="str">
        <x:v>OP-1</x:v>
      </x:c>
      <x:c r="G191" s="7" t="n">
        <x:v>1</x:v>
      </x:c>
      <x:c r="H191" s="7" t="str"/>
      <x:c r="I191" s="7" t="str"/>
      <x:c r="J191" s="7" t="str">
        <x:f>IF(OR(H191="",I191=""),"",I191-H191)</x:f>
      </x:c>
      <x:c r="K191" s="7" t="str"/>
      <x:c r="L191" s="7" t="str"/>
      <x:c r="M191" s="7" t="str"/>
      <x:c r="N191" s="7" t="str">
        <x:f>IF(M191="","OPEN",IF(OR(NOT(ISNUMBER(H191)),NOT(ISNUMBER(I191)),K191="",L191=""),"FAIL","PASS"))</x:f>
        <x:v>OPEN</x:v>
      </x:c>
    </x:row>
    <x:row r="192">
      <x:c r="B192" s="7" t="str">
        <x:v>TRO-A-08-S5-O1-R2</x:v>
      </x:c>
      <x:c r="C192" s="7" t="str">
        <x:v>BLD-A</x:v>
      </x:c>
      <x:c r="D192" s="7" t="str">
        <x:v>MF-08</x:v>
      </x:c>
      <x:c r="E192" s="7" t="str">
        <x:v>STD-08-5</x:v>
      </x:c>
      <x:c r="F192" s="7" t="str">
        <x:v>OP-1</x:v>
      </x:c>
      <x:c r="G192" s="7" t="n">
        <x:v>2</x:v>
      </x:c>
      <x:c r="H192" s="7" t="str"/>
      <x:c r="I192" s="7" t="str"/>
      <x:c r="J192" s="7" t="str">
        <x:f>IF(OR(H192="",I192=""),"",I192-H192)</x:f>
      </x:c>
      <x:c r="K192" s="7" t="str"/>
      <x:c r="L192" s="7" t="str"/>
      <x:c r="M192" s="7" t="str"/>
      <x:c r="N192" s="7" t="str">
        <x:f>IF(M192="","OPEN",IF(OR(NOT(ISNUMBER(H192)),NOT(ISNUMBER(I192)),K192="",L192=""),"FAIL","PASS"))</x:f>
        <x:v>OPEN</x:v>
      </x:c>
    </x:row>
    <x:row r="193">
      <x:c r="B193" s="7" t="str">
        <x:v>TRO-A-08-S5-O2-R1</x:v>
      </x:c>
      <x:c r="C193" s="7" t="str">
        <x:v>BLD-A</x:v>
      </x:c>
      <x:c r="D193" s="7" t="str">
        <x:v>MF-08</x:v>
      </x:c>
      <x:c r="E193" s="7" t="str">
        <x:v>STD-08-5</x:v>
      </x:c>
      <x:c r="F193" s="7" t="str">
        <x:v>OP-2</x:v>
      </x:c>
      <x:c r="G193" s="7" t="n">
        <x:v>1</x:v>
      </x:c>
      <x:c r="H193" s="7" t="str"/>
      <x:c r="I193" s="7" t="str"/>
      <x:c r="J193" s="7" t="str">
        <x:f>IF(OR(H193="",I193=""),"",I193-H193)</x:f>
      </x:c>
      <x:c r="K193" s="7" t="str"/>
      <x:c r="L193" s="7" t="str"/>
      <x:c r="M193" s="7" t="str"/>
      <x:c r="N193" s="7" t="str">
        <x:f>IF(M193="","OPEN",IF(OR(NOT(ISNUMBER(H193)),NOT(ISNUMBER(I193)),K193="",L193=""),"FAIL","PASS"))</x:f>
        <x:v>OPEN</x:v>
      </x:c>
    </x:row>
    <x:row r="194">
      <x:c r="B194" s="7" t="str">
        <x:v>TRO-A-08-S5-O2-R2</x:v>
      </x:c>
      <x:c r="C194" s="7" t="str">
        <x:v>BLD-A</x:v>
      </x:c>
      <x:c r="D194" s="7" t="str">
        <x:v>MF-08</x:v>
      </x:c>
      <x:c r="E194" s="7" t="str">
        <x:v>STD-08-5</x:v>
      </x:c>
      <x:c r="F194" s="7" t="str">
        <x:v>OP-2</x:v>
      </x:c>
      <x:c r="G194" s="7" t="n">
        <x:v>2</x:v>
      </x:c>
      <x:c r="H194" s="7" t="str"/>
      <x:c r="I194" s="7" t="str"/>
      <x:c r="J194" s="7" t="str">
        <x:f>IF(OR(H194="",I194=""),"",I194-H194)</x:f>
      </x:c>
      <x:c r="K194" s="7" t="str"/>
      <x:c r="L194" s="7" t="str"/>
      <x:c r="M194" s="7" t="str"/>
      <x:c r="N194" s="7" t="str">
        <x:f>IF(M194="","OPEN",IF(OR(NOT(ISNUMBER(H194)),NOT(ISNUMBER(I194)),K194="",L194=""),"FAIL","PASS"))</x:f>
        <x:v>OPEN</x:v>
      </x:c>
    </x:row>
    <x:row r="195">
      <x:c r="B195" s="7" t="str">
        <x:v>TRO-A-08-S6-O1-R1</x:v>
      </x:c>
      <x:c r="C195" s="7" t="str">
        <x:v>BLD-A</x:v>
      </x:c>
      <x:c r="D195" s="7" t="str">
        <x:v>MF-08</x:v>
      </x:c>
      <x:c r="E195" s="7" t="str">
        <x:v>STD-08-6</x:v>
      </x:c>
      <x:c r="F195" s="7" t="str">
        <x:v>OP-1</x:v>
      </x:c>
      <x:c r="G195" s="7" t="n">
        <x:v>1</x:v>
      </x:c>
      <x:c r="H195" s="7" t="str"/>
      <x:c r="I195" s="7" t="str"/>
      <x:c r="J195" s="7" t="str">
        <x:f>IF(OR(H195="",I195=""),"",I195-H195)</x:f>
      </x:c>
      <x:c r="K195" s="7" t="str"/>
      <x:c r="L195" s="7" t="str"/>
      <x:c r="M195" s="7" t="str"/>
      <x:c r="N195" s="7" t="str">
        <x:f>IF(M195="","OPEN",IF(OR(NOT(ISNUMBER(H195)),NOT(ISNUMBER(I195)),K195="",L195=""),"FAIL","PASS"))</x:f>
        <x:v>OPEN</x:v>
      </x:c>
    </x:row>
    <x:row r="196">
      <x:c r="B196" s="7" t="str">
        <x:v>TRO-A-08-S6-O1-R2</x:v>
      </x:c>
      <x:c r="C196" s="7" t="str">
        <x:v>BLD-A</x:v>
      </x:c>
      <x:c r="D196" s="7" t="str">
        <x:v>MF-08</x:v>
      </x:c>
      <x:c r="E196" s="7" t="str">
        <x:v>STD-08-6</x:v>
      </x:c>
      <x:c r="F196" s="7" t="str">
        <x:v>OP-1</x:v>
      </x:c>
      <x:c r="G196" s="7" t="n">
        <x:v>2</x:v>
      </x:c>
      <x:c r="H196" s="7" t="str"/>
      <x:c r="I196" s="7" t="str"/>
      <x:c r="J196" s="7" t="str">
        <x:f>IF(OR(H196="",I196=""),"",I196-H196)</x:f>
      </x:c>
      <x:c r="K196" s="7" t="str"/>
      <x:c r="L196" s="7" t="str"/>
      <x:c r="M196" s="7" t="str"/>
      <x:c r="N196" s="7" t="str">
        <x:f>IF(M196="","OPEN",IF(OR(NOT(ISNUMBER(H196)),NOT(ISNUMBER(I196)),K196="",L196=""),"FAIL","PASS"))</x:f>
        <x:v>OPEN</x:v>
      </x:c>
    </x:row>
    <x:row r="197">
      <x:c r="B197" s="7" t="str">
        <x:v>TRO-A-08-S6-O2-R1</x:v>
      </x:c>
      <x:c r="C197" s="7" t="str">
        <x:v>BLD-A</x:v>
      </x:c>
      <x:c r="D197" s="7" t="str">
        <x:v>MF-08</x:v>
      </x:c>
      <x:c r="E197" s="7" t="str">
        <x:v>STD-08-6</x:v>
      </x:c>
      <x:c r="F197" s="7" t="str">
        <x:v>OP-2</x:v>
      </x:c>
      <x:c r="G197" s="7" t="n">
        <x:v>1</x:v>
      </x:c>
      <x:c r="H197" s="7" t="str"/>
      <x:c r="I197" s="7" t="str"/>
      <x:c r="J197" s="7" t="str">
        <x:f>IF(OR(H197="",I197=""),"",I197-H197)</x:f>
      </x:c>
      <x:c r="K197" s="7" t="str"/>
      <x:c r="L197" s="7" t="str"/>
      <x:c r="M197" s="7" t="str"/>
      <x:c r="N197" s="7" t="str">
        <x:f>IF(M197="","OPEN",IF(OR(NOT(ISNUMBER(H197)),NOT(ISNUMBER(I197)),K197="",L197=""),"FAIL","PASS"))</x:f>
        <x:v>OPEN</x:v>
      </x:c>
    </x:row>
    <x:row r="198">
      <x:c r="B198" s="7" t="str">
        <x:v>TRO-A-08-S6-O2-R2</x:v>
      </x:c>
      <x:c r="C198" s="7" t="str">
        <x:v>BLD-A</x:v>
      </x:c>
      <x:c r="D198" s="7" t="str">
        <x:v>MF-08</x:v>
      </x:c>
      <x:c r="E198" s="7" t="str">
        <x:v>STD-08-6</x:v>
      </x:c>
      <x:c r="F198" s="7" t="str">
        <x:v>OP-2</x:v>
      </x:c>
      <x:c r="G198" s="7" t="n">
        <x:v>2</x:v>
      </x:c>
      <x:c r="H198" s="7" t="str"/>
      <x:c r="I198" s="7" t="str"/>
      <x:c r="J198" s="7" t="str">
        <x:f>IF(OR(H198="",I198=""),"",I198-H198)</x:f>
      </x:c>
      <x:c r="K198" s="7" t="str"/>
      <x:c r="L198" s="7" t="str"/>
      <x:c r="M198" s="7" t="str"/>
      <x:c r="N198" s="7" t="str">
        <x:f>IF(M198="","OPEN",IF(OR(NOT(ISNUMBER(H198)),NOT(ISNUMBER(I198)),K198="",L198=""),"FAIL","PASS"))</x:f>
        <x:v>OPEN</x:v>
      </x:c>
    </x:row>
    <x:row r="199">
      <x:c r="B199" s="7" t="str">
        <x:v>TRO-A-09-S1-O1-R1</x:v>
      </x:c>
      <x:c r="C199" s="7" t="str">
        <x:v>BLD-A</x:v>
      </x:c>
      <x:c r="D199" s="7" t="str">
        <x:v>MF-09</x:v>
      </x:c>
      <x:c r="E199" s="7" t="str">
        <x:v>STD-09-1</x:v>
      </x:c>
      <x:c r="F199" s="7" t="str">
        <x:v>OP-1</x:v>
      </x:c>
      <x:c r="G199" s="7" t="n">
        <x:v>1</x:v>
      </x:c>
      <x:c r="H199" s="7" t="str"/>
      <x:c r="I199" s="7" t="str"/>
      <x:c r="J199" s="7" t="str">
        <x:f>IF(OR(H199="",I199=""),"",I199-H199)</x:f>
      </x:c>
      <x:c r="K199" s="7" t="str"/>
      <x:c r="L199" s="7" t="str"/>
      <x:c r="M199" s="7" t="str"/>
      <x:c r="N199" s="7" t="str">
        <x:f>IF(M199="","OPEN",IF(OR(NOT(ISNUMBER(H199)),NOT(ISNUMBER(I199)),K199="",L199=""),"FAIL","PASS"))</x:f>
        <x:v>OPEN</x:v>
      </x:c>
    </x:row>
    <x:row r="200">
      <x:c r="B200" s="7" t="str">
        <x:v>TRO-A-09-S1-O1-R2</x:v>
      </x:c>
      <x:c r="C200" s="7" t="str">
        <x:v>BLD-A</x:v>
      </x:c>
      <x:c r="D200" s="7" t="str">
        <x:v>MF-09</x:v>
      </x:c>
      <x:c r="E200" s="7" t="str">
        <x:v>STD-09-1</x:v>
      </x:c>
      <x:c r="F200" s="7" t="str">
        <x:v>OP-1</x:v>
      </x:c>
      <x:c r="G200" s="7" t="n">
        <x:v>2</x:v>
      </x:c>
      <x:c r="H200" s="7" t="str"/>
      <x:c r="I200" s="7" t="str"/>
      <x:c r="J200" s="7" t="str">
        <x:f>IF(OR(H200="",I200=""),"",I200-H200)</x:f>
      </x:c>
      <x:c r="K200" s="7" t="str"/>
      <x:c r="L200" s="7" t="str"/>
      <x:c r="M200" s="7" t="str"/>
      <x:c r="N200" s="7" t="str">
        <x:f>IF(M200="","OPEN",IF(OR(NOT(ISNUMBER(H200)),NOT(ISNUMBER(I200)),K200="",L200=""),"FAIL","PASS"))</x:f>
        <x:v>OPEN</x:v>
      </x:c>
    </x:row>
    <x:row r="201">
      <x:c r="B201" s="7" t="str">
        <x:v>TRO-A-09-S1-O2-R1</x:v>
      </x:c>
      <x:c r="C201" s="7" t="str">
        <x:v>BLD-A</x:v>
      </x:c>
      <x:c r="D201" s="7" t="str">
        <x:v>MF-09</x:v>
      </x:c>
      <x:c r="E201" s="7" t="str">
        <x:v>STD-09-1</x:v>
      </x:c>
      <x:c r="F201" s="7" t="str">
        <x:v>OP-2</x:v>
      </x:c>
      <x:c r="G201" s="7" t="n">
        <x:v>1</x:v>
      </x:c>
      <x:c r="H201" s="7" t="str"/>
      <x:c r="I201" s="7" t="str"/>
      <x:c r="J201" s="7" t="str">
        <x:f>IF(OR(H201="",I201=""),"",I201-H201)</x:f>
      </x:c>
      <x:c r="K201" s="7" t="str"/>
      <x:c r="L201" s="7" t="str"/>
      <x:c r="M201" s="7" t="str"/>
      <x:c r="N201" s="7" t="str">
        <x:f>IF(M201="","OPEN",IF(OR(NOT(ISNUMBER(H201)),NOT(ISNUMBER(I201)),K201="",L201=""),"FAIL","PASS"))</x:f>
        <x:v>OPEN</x:v>
      </x:c>
    </x:row>
    <x:row r="202">
      <x:c r="B202" s="7" t="str">
        <x:v>TRO-A-09-S1-O2-R2</x:v>
      </x:c>
      <x:c r="C202" s="7" t="str">
        <x:v>BLD-A</x:v>
      </x:c>
      <x:c r="D202" s="7" t="str">
        <x:v>MF-09</x:v>
      </x:c>
      <x:c r="E202" s="7" t="str">
        <x:v>STD-09-1</x:v>
      </x:c>
      <x:c r="F202" s="7" t="str">
        <x:v>OP-2</x:v>
      </x:c>
      <x:c r="G202" s="7" t="n">
        <x:v>2</x:v>
      </x:c>
      <x:c r="H202" s="7" t="str"/>
      <x:c r="I202" s="7" t="str"/>
      <x:c r="J202" s="7" t="str">
        <x:f>IF(OR(H202="",I202=""),"",I202-H202)</x:f>
      </x:c>
      <x:c r="K202" s="7" t="str"/>
      <x:c r="L202" s="7" t="str"/>
      <x:c r="M202" s="7" t="str"/>
      <x:c r="N202" s="7" t="str">
        <x:f>IF(M202="","OPEN",IF(OR(NOT(ISNUMBER(H202)),NOT(ISNUMBER(I202)),K202="",L202=""),"FAIL","PASS"))</x:f>
        <x:v>OPEN</x:v>
      </x:c>
    </x:row>
    <x:row r="203">
      <x:c r="B203" s="7" t="str">
        <x:v>TRO-A-09-S2-O1-R1</x:v>
      </x:c>
      <x:c r="C203" s="7" t="str">
        <x:v>BLD-A</x:v>
      </x:c>
      <x:c r="D203" s="7" t="str">
        <x:v>MF-09</x:v>
      </x:c>
      <x:c r="E203" s="7" t="str">
        <x:v>STD-09-2</x:v>
      </x:c>
      <x:c r="F203" s="7" t="str">
        <x:v>OP-1</x:v>
      </x:c>
      <x:c r="G203" s="7" t="n">
        <x:v>1</x:v>
      </x:c>
      <x:c r="H203" s="7" t="str"/>
      <x:c r="I203" s="7" t="str"/>
      <x:c r="J203" s="7" t="str">
        <x:f>IF(OR(H203="",I203=""),"",I203-H203)</x:f>
      </x:c>
      <x:c r="K203" s="7" t="str"/>
      <x:c r="L203" s="7" t="str"/>
      <x:c r="M203" s="7" t="str"/>
      <x:c r="N203" s="7" t="str">
        <x:f>IF(M203="","OPEN",IF(OR(NOT(ISNUMBER(H203)),NOT(ISNUMBER(I203)),K203="",L203=""),"FAIL","PASS"))</x:f>
        <x:v>OPEN</x:v>
      </x:c>
    </x:row>
    <x:row r="204">
      <x:c r="B204" s="7" t="str">
        <x:v>TRO-A-09-S2-O1-R2</x:v>
      </x:c>
      <x:c r="C204" s="7" t="str">
        <x:v>BLD-A</x:v>
      </x:c>
      <x:c r="D204" s="7" t="str">
        <x:v>MF-09</x:v>
      </x:c>
      <x:c r="E204" s="7" t="str">
        <x:v>STD-09-2</x:v>
      </x:c>
      <x:c r="F204" s="7" t="str">
        <x:v>OP-1</x:v>
      </x:c>
      <x:c r="G204" s="7" t="n">
        <x:v>2</x:v>
      </x:c>
      <x:c r="H204" s="7" t="str"/>
      <x:c r="I204" s="7" t="str"/>
      <x:c r="J204" s="7" t="str">
        <x:f>IF(OR(H204="",I204=""),"",I204-H204)</x:f>
      </x:c>
      <x:c r="K204" s="7" t="str"/>
      <x:c r="L204" s="7" t="str"/>
      <x:c r="M204" s="7" t="str"/>
      <x:c r="N204" s="7" t="str">
        <x:f>IF(M204="","OPEN",IF(OR(NOT(ISNUMBER(H204)),NOT(ISNUMBER(I204)),K204="",L204=""),"FAIL","PASS"))</x:f>
        <x:v>OPEN</x:v>
      </x:c>
    </x:row>
    <x:row r="205">
      <x:c r="B205" s="7" t="str">
        <x:v>TRO-A-09-S2-O2-R1</x:v>
      </x:c>
      <x:c r="C205" s="7" t="str">
        <x:v>BLD-A</x:v>
      </x:c>
      <x:c r="D205" s="7" t="str">
        <x:v>MF-09</x:v>
      </x:c>
      <x:c r="E205" s="7" t="str">
        <x:v>STD-09-2</x:v>
      </x:c>
      <x:c r="F205" s="7" t="str">
        <x:v>OP-2</x:v>
      </x:c>
      <x:c r="G205" s="7" t="n">
        <x:v>1</x:v>
      </x:c>
      <x:c r="H205" s="7" t="str"/>
      <x:c r="I205" s="7" t="str"/>
      <x:c r="J205" s="7" t="str">
        <x:f>IF(OR(H205="",I205=""),"",I205-H205)</x:f>
      </x:c>
      <x:c r="K205" s="7" t="str"/>
      <x:c r="L205" s="7" t="str"/>
      <x:c r="M205" s="7" t="str"/>
      <x:c r="N205" s="7" t="str">
        <x:f>IF(M205="","OPEN",IF(OR(NOT(ISNUMBER(H205)),NOT(ISNUMBER(I205)),K205="",L205=""),"FAIL","PASS"))</x:f>
        <x:v>OPEN</x:v>
      </x:c>
    </x:row>
    <x:row r="206">
      <x:c r="B206" s="7" t="str">
        <x:v>TRO-A-09-S2-O2-R2</x:v>
      </x:c>
      <x:c r="C206" s="7" t="str">
        <x:v>BLD-A</x:v>
      </x:c>
      <x:c r="D206" s="7" t="str">
        <x:v>MF-09</x:v>
      </x:c>
      <x:c r="E206" s="7" t="str">
        <x:v>STD-09-2</x:v>
      </x:c>
      <x:c r="F206" s="7" t="str">
        <x:v>OP-2</x:v>
      </x:c>
      <x:c r="G206" s="7" t="n">
        <x:v>2</x:v>
      </x:c>
      <x:c r="H206" s="7" t="str"/>
      <x:c r="I206" s="7" t="str"/>
      <x:c r="J206" s="7" t="str">
        <x:f>IF(OR(H206="",I206=""),"",I206-H206)</x:f>
      </x:c>
      <x:c r="K206" s="7" t="str"/>
      <x:c r="L206" s="7" t="str"/>
      <x:c r="M206" s="7" t="str"/>
      <x:c r="N206" s="7" t="str">
        <x:f>IF(M206="","OPEN",IF(OR(NOT(ISNUMBER(H206)),NOT(ISNUMBER(I206)),K206="",L206=""),"FAIL","PASS"))</x:f>
        <x:v>OPEN</x:v>
      </x:c>
    </x:row>
    <x:row r="207">
      <x:c r="B207" s="7" t="str">
        <x:v>TRO-A-09-S3-O1-R1</x:v>
      </x:c>
      <x:c r="C207" s="7" t="str">
        <x:v>BLD-A</x:v>
      </x:c>
      <x:c r="D207" s="7" t="str">
        <x:v>MF-09</x:v>
      </x:c>
      <x:c r="E207" s="7" t="str">
        <x:v>STD-09-3</x:v>
      </x:c>
      <x:c r="F207" s="7" t="str">
        <x:v>OP-1</x:v>
      </x:c>
      <x:c r="G207" s="7" t="n">
        <x:v>1</x:v>
      </x:c>
      <x:c r="H207" s="7" t="str"/>
      <x:c r="I207" s="7" t="str"/>
      <x:c r="J207" s="7" t="str">
        <x:f>IF(OR(H207="",I207=""),"",I207-H207)</x:f>
      </x:c>
      <x:c r="K207" s="7" t="str"/>
      <x:c r="L207" s="7" t="str"/>
      <x:c r="M207" s="7" t="str"/>
      <x:c r="N207" s="7" t="str">
        <x:f>IF(M207="","OPEN",IF(OR(NOT(ISNUMBER(H207)),NOT(ISNUMBER(I207)),K207="",L207=""),"FAIL","PASS"))</x:f>
        <x:v>OPEN</x:v>
      </x:c>
    </x:row>
    <x:row r="208">
      <x:c r="B208" s="7" t="str">
        <x:v>TRO-A-09-S3-O1-R2</x:v>
      </x:c>
      <x:c r="C208" s="7" t="str">
        <x:v>BLD-A</x:v>
      </x:c>
      <x:c r="D208" s="7" t="str">
        <x:v>MF-09</x:v>
      </x:c>
      <x:c r="E208" s="7" t="str">
        <x:v>STD-09-3</x:v>
      </x:c>
      <x:c r="F208" s="7" t="str">
        <x:v>OP-1</x:v>
      </x:c>
      <x:c r="G208" s="7" t="n">
        <x:v>2</x:v>
      </x:c>
      <x:c r="H208" s="7" t="str"/>
      <x:c r="I208" s="7" t="str"/>
      <x:c r="J208" s="7" t="str">
        <x:f>IF(OR(H208="",I208=""),"",I208-H208)</x:f>
      </x:c>
      <x:c r="K208" s="7" t="str"/>
      <x:c r="L208" s="7" t="str"/>
      <x:c r="M208" s="7" t="str"/>
      <x:c r="N208" s="7" t="str">
        <x:f>IF(M208="","OPEN",IF(OR(NOT(ISNUMBER(H208)),NOT(ISNUMBER(I208)),K208="",L208=""),"FAIL","PASS"))</x:f>
        <x:v>OPEN</x:v>
      </x:c>
    </x:row>
    <x:row r="209">
      <x:c r="B209" s="7" t="str">
        <x:v>TRO-A-09-S3-O2-R1</x:v>
      </x:c>
      <x:c r="C209" s="7" t="str">
        <x:v>BLD-A</x:v>
      </x:c>
      <x:c r="D209" s="7" t="str">
        <x:v>MF-09</x:v>
      </x:c>
      <x:c r="E209" s="7" t="str">
        <x:v>STD-09-3</x:v>
      </x:c>
      <x:c r="F209" s="7" t="str">
        <x:v>OP-2</x:v>
      </x:c>
      <x:c r="G209" s="7" t="n">
        <x:v>1</x:v>
      </x:c>
      <x:c r="H209" s="7" t="str"/>
      <x:c r="I209" s="7" t="str"/>
      <x:c r="J209" s="7" t="str">
        <x:f>IF(OR(H209="",I209=""),"",I209-H209)</x:f>
      </x:c>
      <x:c r="K209" s="7" t="str"/>
      <x:c r="L209" s="7" t="str"/>
      <x:c r="M209" s="7" t="str"/>
      <x:c r="N209" s="7" t="str">
        <x:f>IF(M209="","OPEN",IF(OR(NOT(ISNUMBER(H209)),NOT(ISNUMBER(I209)),K209="",L209=""),"FAIL","PASS"))</x:f>
        <x:v>OPEN</x:v>
      </x:c>
    </x:row>
    <x:row r="210">
      <x:c r="B210" s="7" t="str">
        <x:v>TRO-A-09-S3-O2-R2</x:v>
      </x:c>
      <x:c r="C210" s="7" t="str">
        <x:v>BLD-A</x:v>
      </x:c>
      <x:c r="D210" s="7" t="str">
        <x:v>MF-09</x:v>
      </x:c>
      <x:c r="E210" s="7" t="str">
        <x:v>STD-09-3</x:v>
      </x:c>
      <x:c r="F210" s="7" t="str">
        <x:v>OP-2</x:v>
      </x:c>
      <x:c r="G210" s="7" t="n">
        <x:v>2</x:v>
      </x:c>
      <x:c r="H210" s="7" t="str"/>
      <x:c r="I210" s="7" t="str"/>
      <x:c r="J210" s="7" t="str">
        <x:f>IF(OR(H210="",I210=""),"",I210-H210)</x:f>
      </x:c>
      <x:c r="K210" s="7" t="str"/>
      <x:c r="L210" s="7" t="str"/>
      <x:c r="M210" s="7" t="str"/>
      <x:c r="N210" s="7" t="str">
        <x:f>IF(M210="","OPEN",IF(OR(NOT(ISNUMBER(H210)),NOT(ISNUMBER(I210)),K210="",L210=""),"FAIL","PASS"))</x:f>
        <x:v>OPEN</x:v>
      </x:c>
    </x:row>
    <x:row r="211">
      <x:c r="B211" s="7" t="str">
        <x:v>TRO-A-09-S4-O1-R1</x:v>
      </x:c>
      <x:c r="C211" s="7" t="str">
        <x:v>BLD-A</x:v>
      </x:c>
      <x:c r="D211" s="7" t="str">
        <x:v>MF-09</x:v>
      </x:c>
      <x:c r="E211" s="7" t="str">
        <x:v>STD-09-4</x:v>
      </x:c>
      <x:c r="F211" s="7" t="str">
        <x:v>OP-1</x:v>
      </x:c>
      <x:c r="G211" s="7" t="n">
        <x:v>1</x:v>
      </x:c>
      <x:c r="H211" s="7" t="str"/>
      <x:c r="I211" s="7" t="str"/>
      <x:c r="J211" s="7" t="str">
        <x:f>IF(OR(H211="",I211=""),"",I211-H211)</x:f>
      </x:c>
      <x:c r="K211" s="7" t="str"/>
      <x:c r="L211" s="7" t="str"/>
      <x:c r="M211" s="7" t="str"/>
      <x:c r="N211" s="7" t="str">
        <x:f>IF(M211="","OPEN",IF(OR(NOT(ISNUMBER(H211)),NOT(ISNUMBER(I211)),K211="",L211=""),"FAIL","PASS"))</x:f>
        <x:v>OPEN</x:v>
      </x:c>
    </x:row>
    <x:row r="212">
      <x:c r="B212" s="7" t="str">
        <x:v>TRO-A-09-S4-O1-R2</x:v>
      </x:c>
      <x:c r="C212" s="7" t="str">
        <x:v>BLD-A</x:v>
      </x:c>
      <x:c r="D212" s="7" t="str">
        <x:v>MF-09</x:v>
      </x:c>
      <x:c r="E212" s="7" t="str">
        <x:v>STD-09-4</x:v>
      </x:c>
      <x:c r="F212" s="7" t="str">
        <x:v>OP-1</x:v>
      </x:c>
      <x:c r="G212" s="7" t="n">
        <x:v>2</x:v>
      </x:c>
      <x:c r="H212" s="7" t="str"/>
      <x:c r="I212" s="7" t="str"/>
      <x:c r="J212" s="7" t="str">
        <x:f>IF(OR(H212="",I212=""),"",I212-H212)</x:f>
      </x:c>
      <x:c r="K212" s="7" t="str"/>
      <x:c r="L212" s="7" t="str"/>
      <x:c r="M212" s="7" t="str"/>
      <x:c r="N212" s="7" t="str">
        <x:f>IF(M212="","OPEN",IF(OR(NOT(ISNUMBER(H212)),NOT(ISNUMBER(I212)),K212="",L212=""),"FAIL","PASS"))</x:f>
        <x:v>OPEN</x:v>
      </x:c>
    </x:row>
    <x:row r="213">
      <x:c r="B213" s="7" t="str">
        <x:v>TRO-A-09-S4-O2-R1</x:v>
      </x:c>
      <x:c r="C213" s="7" t="str">
        <x:v>BLD-A</x:v>
      </x:c>
      <x:c r="D213" s="7" t="str">
        <x:v>MF-09</x:v>
      </x:c>
      <x:c r="E213" s="7" t="str">
        <x:v>STD-09-4</x:v>
      </x:c>
      <x:c r="F213" s="7" t="str">
        <x:v>OP-2</x:v>
      </x:c>
      <x:c r="G213" s="7" t="n">
        <x:v>1</x:v>
      </x:c>
      <x:c r="H213" s="7" t="str"/>
      <x:c r="I213" s="7" t="str"/>
      <x:c r="J213" s="7" t="str">
        <x:f>IF(OR(H213="",I213=""),"",I213-H213)</x:f>
      </x:c>
      <x:c r="K213" s="7" t="str"/>
      <x:c r="L213" s="7" t="str"/>
      <x:c r="M213" s="7" t="str"/>
      <x:c r="N213" s="7" t="str">
        <x:f>IF(M213="","OPEN",IF(OR(NOT(ISNUMBER(H213)),NOT(ISNUMBER(I213)),K213="",L213=""),"FAIL","PASS"))</x:f>
        <x:v>OPEN</x:v>
      </x:c>
    </x:row>
    <x:row r="214">
      <x:c r="B214" s="7" t="str">
        <x:v>TRO-A-09-S4-O2-R2</x:v>
      </x:c>
      <x:c r="C214" s="7" t="str">
        <x:v>BLD-A</x:v>
      </x:c>
      <x:c r="D214" s="7" t="str">
        <x:v>MF-09</x:v>
      </x:c>
      <x:c r="E214" s="7" t="str">
        <x:v>STD-09-4</x:v>
      </x:c>
      <x:c r="F214" s="7" t="str">
        <x:v>OP-2</x:v>
      </x:c>
      <x:c r="G214" s="7" t="n">
        <x:v>2</x:v>
      </x:c>
      <x:c r="H214" s="7" t="str"/>
      <x:c r="I214" s="7" t="str"/>
      <x:c r="J214" s="7" t="str">
        <x:f>IF(OR(H214="",I214=""),"",I214-H214)</x:f>
      </x:c>
      <x:c r="K214" s="7" t="str"/>
      <x:c r="L214" s="7" t="str"/>
      <x:c r="M214" s="7" t="str"/>
      <x:c r="N214" s="7" t="str">
        <x:f>IF(M214="","OPEN",IF(OR(NOT(ISNUMBER(H214)),NOT(ISNUMBER(I214)),K214="",L214=""),"FAIL","PASS"))</x:f>
        <x:v>OPEN</x:v>
      </x:c>
    </x:row>
    <x:row r="215">
      <x:c r="B215" s="7" t="str">
        <x:v>TRO-A-09-S5-O1-R1</x:v>
      </x:c>
      <x:c r="C215" s="7" t="str">
        <x:v>BLD-A</x:v>
      </x:c>
      <x:c r="D215" s="7" t="str">
        <x:v>MF-09</x:v>
      </x:c>
      <x:c r="E215" s="7" t="str">
        <x:v>STD-09-5</x:v>
      </x:c>
      <x:c r="F215" s="7" t="str">
        <x:v>OP-1</x:v>
      </x:c>
      <x:c r="G215" s="7" t="n">
        <x:v>1</x:v>
      </x:c>
      <x:c r="H215" s="7" t="str"/>
      <x:c r="I215" s="7" t="str"/>
      <x:c r="J215" s="7" t="str">
        <x:f>IF(OR(H215="",I215=""),"",I215-H215)</x:f>
      </x:c>
      <x:c r="K215" s="7" t="str"/>
      <x:c r="L215" s="7" t="str"/>
      <x:c r="M215" s="7" t="str"/>
      <x:c r="N215" s="7" t="str">
        <x:f>IF(M215="","OPEN",IF(OR(NOT(ISNUMBER(H215)),NOT(ISNUMBER(I215)),K215="",L215=""),"FAIL","PASS"))</x:f>
        <x:v>OPEN</x:v>
      </x:c>
    </x:row>
    <x:row r="216">
      <x:c r="B216" s="7" t="str">
        <x:v>TRO-A-09-S5-O1-R2</x:v>
      </x:c>
      <x:c r="C216" s="7" t="str">
        <x:v>BLD-A</x:v>
      </x:c>
      <x:c r="D216" s="7" t="str">
        <x:v>MF-09</x:v>
      </x:c>
      <x:c r="E216" s="7" t="str">
        <x:v>STD-09-5</x:v>
      </x:c>
      <x:c r="F216" s="7" t="str">
        <x:v>OP-1</x:v>
      </x:c>
      <x:c r="G216" s="7" t="n">
        <x:v>2</x:v>
      </x:c>
      <x:c r="H216" s="7" t="str"/>
      <x:c r="I216" s="7" t="str"/>
      <x:c r="J216" s="7" t="str">
        <x:f>IF(OR(H216="",I216=""),"",I216-H216)</x:f>
      </x:c>
      <x:c r="K216" s="7" t="str"/>
      <x:c r="L216" s="7" t="str"/>
      <x:c r="M216" s="7" t="str"/>
      <x:c r="N216" s="7" t="str">
        <x:f>IF(M216="","OPEN",IF(OR(NOT(ISNUMBER(H216)),NOT(ISNUMBER(I216)),K216="",L216=""),"FAIL","PASS"))</x:f>
        <x:v>OPEN</x:v>
      </x:c>
    </x:row>
    <x:row r="217">
      <x:c r="B217" s="7" t="str">
        <x:v>TRO-A-09-S5-O2-R1</x:v>
      </x:c>
      <x:c r="C217" s="7" t="str">
        <x:v>BLD-A</x:v>
      </x:c>
      <x:c r="D217" s="7" t="str">
        <x:v>MF-09</x:v>
      </x:c>
      <x:c r="E217" s="7" t="str">
        <x:v>STD-09-5</x:v>
      </x:c>
      <x:c r="F217" s="7" t="str">
        <x:v>OP-2</x:v>
      </x:c>
      <x:c r="G217" s="7" t="n">
        <x:v>1</x:v>
      </x:c>
      <x:c r="H217" s="7" t="str"/>
      <x:c r="I217" s="7" t="str"/>
      <x:c r="J217" s="7" t="str">
        <x:f>IF(OR(H217="",I217=""),"",I217-H217)</x:f>
      </x:c>
      <x:c r="K217" s="7" t="str"/>
      <x:c r="L217" s="7" t="str"/>
      <x:c r="M217" s="7" t="str"/>
      <x:c r="N217" s="7" t="str">
        <x:f>IF(M217="","OPEN",IF(OR(NOT(ISNUMBER(H217)),NOT(ISNUMBER(I217)),K217="",L217=""),"FAIL","PASS"))</x:f>
        <x:v>OPEN</x:v>
      </x:c>
    </x:row>
    <x:row r="218">
      <x:c r="B218" s="7" t="str">
        <x:v>TRO-A-09-S5-O2-R2</x:v>
      </x:c>
      <x:c r="C218" s="7" t="str">
        <x:v>BLD-A</x:v>
      </x:c>
      <x:c r="D218" s="7" t="str">
        <x:v>MF-09</x:v>
      </x:c>
      <x:c r="E218" s="7" t="str">
        <x:v>STD-09-5</x:v>
      </x:c>
      <x:c r="F218" s="7" t="str">
        <x:v>OP-2</x:v>
      </x:c>
      <x:c r="G218" s="7" t="n">
        <x:v>2</x:v>
      </x:c>
      <x:c r="H218" s="7" t="str"/>
      <x:c r="I218" s="7" t="str"/>
      <x:c r="J218" s="7" t="str">
        <x:f>IF(OR(H218="",I218=""),"",I218-H218)</x:f>
      </x:c>
      <x:c r="K218" s="7" t="str"/>
      <x:c r="L218" s="7" t="str"/>
      <x:c r="M218" s="7" t="str"/>
      <x:c r="N218" s="7" t="str">
        <x:f>IF(M218="","OPEN",IF(OR(NOT(ISNUMBER(H218)),NOT(ISNUMBER(I218)),K218="",L218=""),"FAIL","PASS"))</x:f>
        <x:v>OPEN</x:v>
      </x:c>
    </x:row>
    <x:row r="219">
      <x:c r="B219" s="7" t="str">
        <x:v>TRO-A-09-S6-O1-R1</x:v>
      </x:c>
      <x:c r="C219" s="7" t="str">
        <x:v>BLD-A</x:v>
      </x:c>
      <x:c r="D219" s="7" t="str">
        <x:v>MF-09</x:v>
      </x:c>
      <x:c r="E219" s="7" t="str">
        <x:v>STD-09-6</x:v>
      </x:c>
      <x:c r="F219" s="7" t="str">
        <x:v>OP-1</x:v>
      </x:c>
      <x:c r="G219" s="7" t="n">
        <x:v>1</x:v>
      </x:c>
      <x:c r="H219" s="7" t="str"/>
      <x:c r="I219" s="7" t="str"/>
      <x:c r="J219" s="7" t="str">
        <x:f>IF(OR(H219="",I219=""),"",I219-H219)</x:f>
      </x:c>
      <x:c r="K219" s="7" t="str"/>
      <x:c r="L219" s="7" t="str"/>
      <x:c r="M219" s="7" t="str"/>
      <x:c r="N219" s="7" t="str">
        <x:f>IF(M219="","OPEN",IF(OR(NOT(ISNUMBER(H219)),NOT(ISNUMBER(I219)),K219="",L219=""),"FAIL","PASS"))</x:f>
        <x:v>OPEN</x:v>
      </x:c>
    </x:row>
    <x:row r="220">
      <x:c r="B220" s="7" t="str">
        <x:v>TRO-A-09-S6-O1-R2</x:v>
      </x:c>
      <x:c r="C220" s="7" t="str">
        <x:v>BLD-A</x:v>
      </x:c>
      <x:c r="D220" s="7" t="str">
        <x:v>MF-09</x:v>
      </x:c>
      <x:c r="E220" s="7" t="str">
        <x:v>STD-09-6</x:v>
      </x:c>
      <x:c r="F220" s="7" t="str">
        <x:v>OP-1</x:v>
      </x:c>
      <x:c r="G220" s="7" t="n">
        <x:v>2</x:v>
      </x:c>
      <x:c r="H220" s="7" t="str"/>
      <x:c r="I220" s="7" t="str"/>
      <x:c r="J220" s="7" t="str">
        <x:f>IF(OR(H220="",I220=""),"",I220-H220)</x:f>
      </x:c>
      <x:c r="K220" s="7" t="str"/>
      <x:c r="L220" s="7" t="str"/>
      <x:c r="M220" s="7" t="str"/>
      <x:c r="N220" s="7" t="str">
        <x:f>IF(M220="","OPEN",IF(OR(NOT(ISNUMBER(H220)),NOT(ISNUMBER(I220)),K220="",L220=""),"FAIL","PASS"))</x:f>
        <x:v>OPEN</x:v>
      </x:c>
    </x:row>
    <x:row r="221">
      <x:c r="B221" s="7" t="str">
        <x:v>TRO-A-09-S6-O2-R1</x:v>
      </x:c>
      <x:c r="C221" s="7" t="str">
        <x:v>BLD-A</x:v>
      </x:c>
      <x:c r="D221" s="7" t="str">
        <x:v>MF-09</x:v>
      </x:c>
      <x:c r="E221" s="7" t="str">
        <x:v>STD-09-6</x:v>
      </x:c>
      <x:c r="F221" s="7" t="str">
        <x:v>OP-2</x:v>
      </x:c>
      <x:c r="G221" s="7" t="n">
        <x:v>1</x:v>
      </x:c>
      <x:c r="H221" s="7" t="str"/>
      <x:c r="I221" s="7" t="str"/>
      <x:c r="J221" s="7" t="str">
        <x:f>IF(OR(H221="",I221=""),"",I221-H221)</x:f>
      </x:c>
      <x:c r="K221" s="7" t="str"/>
      <x:c r="L221" s="7" t="str"/>
      <x:c r="M221" s="7" t="str"/>
      <x:c r="N221" s="7" t="str">
        <x:f>IF(M221="","OPEN",IF(OR(NOT(ISNUMBER(H221)),NOT(ISNUMBER(I221)),K221="",L221=""),"FAIL","PASS"))</x:f>
        <x:v>OPEN</x:v>
      </x:c>
    </x:row>
    <x:row r="222">
      <x:c r="B222" s="7" t="str">
        <x:v>TRO-A-09-S6-O2-R2</x:v>
      </x:c>
      <x:c r="C222" s="7" t="str">
        <x:v>BLD-A</x:v>
      </x:c>
      <x:c r="D222" s="7" t="str">
        <x:v>MF-09</x:v>
      </x:c>
      <x:c r="E222" s="7" t="str">
        <x:v>STD-09-6</x:v>
      </x:c>
      <x:c r="F222" s="7" t="str">
        <x:v>OP-2</x:v>
      </x:c>
      <x:c r="G222" s="7" t="n">
        <x:v>2</x:v>
      </x:c>
      <x:c r="H222" s="7" t="str"/>
      <x:c r="I222" s="7" t="str"/>
      <x:c r="J222" s="7" t="str">
        <x:f>IF(OR(H222="",I222=""),"",I222-H222)</x:f>
      </x:c>
      <x:c r="K222" s="7" t="str"/>
      <x:c r="L222" s="7" t="str"/>
      <x:c r="M222" s="7" t="str"/>
      <x:c r="N222" s="7" t="str">
        <x:f>IF(M222="","OPEN",IF(OR(NOT(ISNUMBER(H222)),NOT(ISNUMBER(I222)),K222="",L222=""),"FAIL","PASS"))</x:f>
        <x:v>OPEN</x:v>
      </x:c>
    </x:row>
    <x:row r="223">
      <x:c r="B223" s="7" t="str">
        <x:v>TRO-A-10-S1-O1-R1</x:v>
      </x:c>
      <x:c r="C223" s="7" t="str">
        <x:v>BLD-A</x:v>
      </x:c>
      <x:c r="D223" s="7" t="str">
        <x:v>MF-10</x:v>
      </x:c>
      <x:c r="E223" s="7" t="str">
        <x:v>STD-10-1</x:v>
      </x:c>
      <x:c r="F223" s="7" t="str">
        <x:v>OP-1</x:v>
      </x:c>
      <x:c r="G223" s="7" t="n">
        <x:v>1</x:v>
      </x:c>
      <x:c r="H223" s="7" t="str"/>
      <x:c r="I223" s="7" t="str"/>
      <x:c r="J223" s="7" t="str">
        <x:f>IF(OR(H223="",I223=""),"",I223-H223)</x:f>
      </x:c>
      <x:c r="K223" s="7" t="str"/>
      <x:c r="L223" s="7" t="str"/>
      <x:c r="M223" s="7" t="str"/>
      <x:c r="N223" s="7" t="str">
        <x:f>IF(M223="","OPEN",IF(OR(NOT(ISNUMBER(H223)),NOT(ISNUMBER(I223)),K223="",L223=""),"FAIL","PASS"))</x:f>
        <x:v>OPEN</x:v>
      </x:c>
    </x:row>
    <x:row r="224">
      <x:c r="B224" s="7" t="str">
        <x:v>TRO-A-10-S1-O1-R2</x:v>
      </x:c>
      <x:c r="C224" s="7" t="str">
        <x:v>BLD-A</x:v>
      </x:c>
      <x:c r="D224" s="7" t="str">
        <x:v>MF-10</x:v>
      </x:c>
      <x:c r="E224" s="7" t="str">
        <x:v>STD-10-1</x:v>
      </x:c>
      <x:c r="F224" s="7" t="str">
        <x:v>OP-1</x:v>
      </x:c>
      <x:c r="G224" s="7" t="n">
        <x:v>2</x:v>
      </x:c>
      <x:c r="H224" s="7" t="str"/>
      <x:c r="I224" s="7" t="str"/>
      <x:c r="J224" s="7" t="str">
        <x:f>IF(OR(H224="",I224=""),"",I224-H224)</x:f>
      </x:c>
      <x:c r="K224" s="7" t="str"/>
      <x:c r="L224" s="7" t="str"/>
      <x:c r="M224" s="7" t="str"/>
      <x:c r="N224" s="7" t="str">
        <x:f>IF(M224="","OPEN",IF(OR(NOT(ISNUMBER(H224)),NOT(ISNUMBER(I224)),K224="",L224=""),"FAIL","PASS"))</x:f>
        <x:v>OPEN</x:v>
      </x:c>
    </x:row>
    <x:row r="225">
      <x:c r="B225" s="7" t="str">
        <x:v>TRO-A-10-S1-O2-R1</x:v>
      </x:c>
      <x:c r="C225" s="7" t="str">
        <x:v>BLD-A</x:v>
      </x:c>
      <x:c r="D225" s="7" t="str">
        <x:v>MF-10</x:v>
      </x:c>
      <x:c r="E225" s="7" t="str">
        <x:v>STD-10-1</x:v>
      </x:c>
      <x:c r="F225" s="7" t="str">
        <x:v>OP-2</x:v>
      </x:c>
      <x:c r="G225" s="7" t="n">
        <x:v>1</x:v>
      </x:c>
      <x:c r="H225" s="7" t="str"/>
      <x:c r="I225" s="7" t="str"/>
      <x:c r="J225" s="7" t="str">
        <x:f>IF(OR(H225="",I225=""),"",I225-H225)</x:f>
      </x:c>
      <x:c r="K225" s="7" t="str"/>
      <x:c r="L225" s="7" t="str"/>
      <x:c r="M225" s="7" t="str"/>
      <x:c r="N225" s="7" t="str">
        <x:f>IF(M225="","OPEN",IF(OR(NOT(ISNUMBER(H225)),NOT(ISNUMBER(I225)),K225="",L225=""),"FAIL","PASS"))</x:f>
        <x:v>OPEN</x:v>
      </x:c>
    </x:row>
    <x:row r="226">
      <x:c r="B226" s="7" t="str">
        <x:v>TRO-A-10-S1-O2-R2</x:v>
      </x:c>
      <x:c r="C226" s="7" t="str">
        <x:v>BLD-A</x:v>
      </x:c>
      <x:c r="D226" s="7" t="str">
        <x:v>MF-10</x:v>
      </x:c>
      <x:c r="E226" s="7" t="str">
        <x:v>STD-10-1</x:v>
      </x:c>
      <x:c r="F226" s="7" t="str">
        <x:v>OP-2</x:v>
      </x:c>
      <x:c r="G226" s="7" t="n">
        <x:v>2</x:v>
      </x:c>
      <x:c r="H226" s="7" t="str"/>
      <x:c r="I226" s="7" t="str"/>
      <x:c r="J226" s="7" t="str">
        <x:f>IF(OR(H226="",I226=""),"",I226-H226)</x:f>
      </x:c>
      <x:c r="K226" s="7" t="str"/>
      <x:c r="L226" s="7" t="str"/>
      <x:c r="M226" s="7" t="str"/>
      <x:c r="N226" s="7" t="str">
        <x:f>IF(M226="","OPEN",IF(OR(NOT(ISNUMBER(H226)),NOT(ISNUMBER(I226)),K226="",L226=""),"FAIL","PASS"))</x:f>
        <x:v>OPEN</x:v>
      </x:c>
    </x:row>
    <x:row r="227">
      <x:c r="B227" s="7" t="str">
        <x:v>TRO-A-10-S2-O1-R1</x:v>
      </x:c>
      <x:c r="C227" s="7" t="str">
        <x:v>BLD-A</x:v>
      </x:c>
      <x:c r="D227" s="7" t="str">
        <x:v>MF-10</x:v>
      </x:c>
      <x:c r="E227" s="7" t="str">
        <x:v>STD-10-2</x:v>
      </x:c>
      <x:c r="F227" s="7" t="str">
        <x:v>OP-1</x:v>
      </x:c>
      <x:c r="G227" s="7" t="n">
        <x:v>1</x:v>
      </x:c>
      <x:c r="H227" s="7" t="str"/>
      <x:c r="I227" s="7" t="str"/>
      <x:c r="J227" s="7" t="str">
        <x:f>IF(OR(H227="",I227=""),"",I227-H227)</x:f>
      </x:c>
      <x:c r="K227" s="7" t="str"/>
      <x:c r="L227" s="7" t="str"/>
      <x:c r="M227" s="7" t="str"/>
      <x:c r="N227" s="7" t="str">
        <x:f>IF(M227="","OPEN",IF(OR(NOT(ISNUMBER(H227)),NOT(ISNUMBER(I227)),K227="",L227=""),"FAIL","PASS"))</x:f>
        <x:v>OPEN</x:v>
      </x:c>
    </x:row>
    <x:row r="228">
      <x:c r="B228" s="7" t="str">
        <x:v>TRO-A-10-S2-O1-R2</x:v>
      </x:c>
      <x:c r="C228" s="7" t="str">
        <x:v>BLD-A</x:v>
      </x:c>
      <x:c r="D228" s="7" t="str">
        <x:v>MF-10</x:v>
      </x:c>
      <x:c r="E228" s="7" t="str">
        <x:v>STD-10-2</x:v>
      </x:c>
      <x:c r="F228" s="7" t="str">
        <x:v>OP-1</x:v>
      </x:c>
      <x:c r="G228" s="7" t="n">
        <x:v>2</x:v>
      </x:c>
      <x:c r="H228" s="7" t="str"/>
      <x:c r="I228" s="7" t="str"/>
      <x:c r="J228" s="7" t="str">
        <x:f>IF(OR(H228="",I228=""),"",I228-H228)</x:f>
      </x:c>
      <x:c r="K228" s="7" t="str"/>
      <x:c r="L228" s="7" t="str"/>
      <x:c r="M228" s="7" t="str"/>
      <x:c r="N228" s="7" t="str">
        <x:f>IF(M228="","OPEN",IF(OR(NOT(ISNUMBER(H228)),NOT(ISNUMBER(I228)),K228="",L228=""),"FAIL","PASS"))</x:f>
        <x:v>OPEN</x:v>
      </x:c>
    </x:row>
    <x:row r="229">
      <x:c r="B229" s="7" t="str">
        <x:v>TRO-A-10-S2-O2-R1</x:v>
      </x:c>
      <x:c r="C229" s="7" t="str">
        <x:v>BLD-A</x:v>
      </x:c>
      <x:c r="D229" s="7" t="str">
        <x:v>MF-10</x:v>
      </x:c>
      <x:c r="E229" s="7" t="str">
        <x:v>STD-10-2</x:v>
      </x:c>
      <x:c r="F229" s="7" t="str">
        <x:v>OP-2</x:v>
      </x:c>
      <x:c r="G229" s="7" t="n">
        <x:v>1</x:v>
      </x:c>
      <x:c r="H229" s="7" t="str"/>
      <x:c r="I229" s="7" t="str"/>
      <x:c r="J229" s="7" t="str">
        <x:f>IF(OR(H229="",I229=""),"",I229-H229)</x:f>
      </x:c>
      <x:c r="K229" s="7" t="str"/>
      <x:c r="L229" s="7" t="str"/>
      <x:c r="M229" s="7" t="str"/>
      <x:c r="N229" s="7" t="str">
        <x:f>IF(M229="","OPEN",IF(OR(NOT(ISNUMBER(H229)),NOT(ISNUMBER(I229)),K229="",L229=""),"FAIL","PASS"))</x:f>
        <x:v>OPEN</x:v>
      </x:c>
    </x:row>
    <x:row r="230">
      <x:c r="B230" s="7" t="str">
        <x:v>TRO-A-10-S2-O2-R2</x:v>
      </x:c>
      <x:c r="C230" s="7" t="str">
        <x:v>BLD-A</x:v>
      </x:c>
      <x:c r="D230" s="7" t="str">
        <x:v>MF-10</x:v>
      </x:c>
      <x:c r="E230" s="7" t="str">
        <x:v>STD-10-2</x:v>
      </x:c>
      <x:c r="F230" s="7" t="str">
        <x:v>OP-2</x:v>
      </x:c>
      <x:c r="G230" s="7" t="n">
        <x:v>2</x:v>
      </x:c>
      <x:c r="H230" s="7" t="str"/>
      <x:c r="I230" s="7" t="str"/>
      <x:c r="J230" s="7" t="str">
        <x:f>IF(OR(H230="",I230=""),"",I230-H230)</x:f>
      </x:c>
      <x:c r="K230" s="7" t="str"/>
      <x:c r="L230" s="7" t="str"/>
      <x:c r="M230" s="7" t="str"/>
      <x:c r="N230" s="7" t="str">
        <x:f>IF(M230="","OPEN",IF(OR(NOT(ISNUMBER(H230)),NOT(ISNUMBER(I230)),K230="",L230=""),"FAIL","PASS"))</x:f>
        <x:v>OPEN</x:v>
      </x:c>
    </x:row>
    <x:row r="231">
      <x:c r="B231" s="7" t="str">
        <x:v>TRO-A-10-S3-O1-R1</x:v>
      </x:c>
      <x:c r="C231" s="7" t="str">
        <x:v>BLD-A</x:v>
      </x:c>
      <x:c r="D231" s="7" t="str">
        <x:v>MF-10</x:v>
      </x:c>
      <x:c r="E231" s="7" t="str">
        <x:v>STD-10-3</x:v>
      </x:c>
      <x:c r="F231" s="7" t="str">
        <x:v>OP-1</x:v>
      </x:c>
      <x:c r="G231" s="7" t="n">
        <x:v>1</x:v>
      </x:c>
      <x:c r="H231" s="7" t="str"/>
      <x:c r="I231" s="7" t="str"/>
      <x:c r="J231" s="7" t="str">
        <x:f>IF(OR(H231="",I231=""),"",I231-H231)</x:f>
      </x:c>
      <x:c r="K231" s="7" t="str"/>
      <x:c r="L231" s="7" t="str"/>
      <x:c r="M231" s="7" t="str"/>
      <x:c r="N231" s="7" t="str">
        <x:f>IF(M231="","OPEN",IF(OR(NOT(ISNUMBER(H231)),NOT(ISNUMBER(I231)),K231="",L231=""),"FAIL","PASS"))</x:f>
        <x:v>OPEN</x:v>
      </x:c>
    </x:row>
    <x:row r="232">
      <x:c r="B232" s="7" t="str">
        <x:v>TRO-A-10-S3-O1-R2</x:v>
      </x:c>
      <x:c r="C232" s="7" t="str">
        <x:v>BLD-A</x:v>
      </x:c>
      <x:c r="D232" s="7" t="str">
        <x:v>MF-10</x:v>
      </x:c>
      <x:c r="E232" s="7" t="str">
        <x:v>STD-10-3</x:v>
      </x:c>
      <x:c r="F232" s="7" t="str">
        <x:v>OP-1</x:v>
      </x:c>
      <x:c r="G232" s="7" t="n">
        <x:v>2</x:v>
      </x:c>
      <x:c r="H232" s="7" t="str"/>
      <x:c r="I232" s="7" t="str"/>
      <x:c r="J232" s="7" t="str">
        <x:f>IF(OR(H232="",I232=""),"",I232-H232)</x:f>
      </x:c>
      <x:c r="K232" s="7" t="str"/>
      <x:c r="L232" s="7" t="str"/>
      <x:c r="M232" s="7" t="str"/>
      <x:c r="N232" s="7" t="str">
        <x:f>IF(M232="","OPEN",IF(OR(NOT(ISNUMBER(H232)),NOT(ISNUMBER(I232)),K232="",L232=""),"FAIL","PASS"))</x:f>
        <x:v>OPEN</x:v>
      </x:c>
    </x:row>
    <x:row r="233">
      <x:c r="B233" s="7" t="str">
        <x:v>TRO-A-10-S3-O2-R1</x:v>
      </x:c>
      <x:c r="C233" s="7" t="str">
        <x:v>BLD-A</x:v>
      </x:c>
      <x:c r="D233" s="7" t="str">
        <x:v>MF-10</x:v>
      </x:c>
      <x:c r="E233" s="7" t="str">
        <x:v>STD-10-3</x:v>
      </x:c>
      <x:c r="F233" s="7" t="str">
        <x:v>OP-2</x:v>
      </x:c>
      <x:c r="G233" s="7" t="n">
        <x:v>1</x:v>
      </x:c>
      <x:c r="H233" s="7" t="str"/>
      <x:c r="I233" s="7" t="str"/>
      <x:c r="J233" s="7" t="str">
        <x:f>IF(OR(H233="",I233=""),"",I233-H233)</x:f>
      </x:c>
      <x:c r="K233" s="7" t="str"/>
      <x:c r="L233" s="7" t="str"/>
      <x:c r="M233" s="7" t="str"/>
      <x:c r="N233" s="7" t="str">
        <x:f>IF(M233="","OPEN",IF(OR(NOT(ISNUMBER(H233)),NOT(ISNUMBER(I233)),K233="",L233=""),"FAIL","PASS"))</x:f>
        <x:v>OPEN</x:v>
      </x:c>
    </x:row>
    <x:row r="234">
      <x:c r="B234" s="7" t="str">
        <x:v>TRO-A-10-S3-O2-R2</x:v>
      </x:c>
      <x:c r="C234" s="7" t="str">
        <x:v>BLD-A</x:v>
      </x:c>
      <x:c r="D234" s="7" t="str">
        <x:v>MF-10</x:v>
      </x:c>
      <x:c r="E234" s="7" t="str">
        <x:v>STD-10-3</x:v>
      </x:c>
      <x:c r="F234" s="7" t="str">
        <x:v>OP-2</x:v>
      </x:c>
      <x:c r="G234" s="7" t="n">
        <x:v>2</x:v>
      </x:c>
      <x:c r="H234" s="7" t="str"/>
      <x:c r="I234" s="7" t="str"/>
      <x:c r="J234" s="7" t="str">
        <x:f>IF(OR(H234="",I234=""),"",I234-H234)</x:f>
      </x:c>
      <x:c r="K234" s="7" t="str"/>
      <x:c r="L234" s="7" t="str"/>
      <x:c r="M234" s="7" t="str"/>
      <x:c r="N234" s="7" t="str">
        <x:f>IF(M234="","OPEN",IF(OR(NOT(ISNUMBER(H234)),NOT(ISNUMBER(I234)),K234="",L234=""),"FAIL","PASS"))</x:f>
        <x:v>OPEN</x:v>
      </x:c>
    </x:row>
    <x:row r="235">
      <x:c r="B235" s="7" t="str">
        <x:v>TRO-A-10-S4-O1-R1</x:v>
      </x:c>
      <x:c r="C235" s="7" t="str">
        <x:v>BLD-A</x:v>
      </x:c>
      <x:c r="D235" s="7" t="str">
        <x:v>MF-10</x:v>
      </x:c>
      <x:c r="E235" s="7" t="str">
        <x:v>STD-10-4</x:v>
      </x:c>
      <x:c r="F235" s="7" t="str">
        <x:v>OP-1</x:v>
      </x:c>
      <x:c r="G235" s="7" t="n">
        <x:v>1</x:v>
      </x:c>
      <x:c r="H235" s="7" t="str"/>
      <x:c r="I235" s="7" t="str"/>
      <x:c r="J235" s="7" t="str">
        <x:f>IF(OR(H235="",I235=""),"",I235-H235)</x:f>
      </x:c>
      <x:c r="K235" s="7" t="str"/>
      <x:c r="L235" s="7" t="str"/>
      <x:c r="M235" s="7" t="str"/>
      <x:c r="N235" s="7" t="str">
        <x:f>IF(M235="","OPEN",IF(OR(NOT(ISNUMBER(H235)),NOT(ISNUMBER(I235)),K235="",L235=""),"FAIL","PASS"))</x:f>
        <x:v>OPEN</x:v>
      </x:c>
    </x:row>
    <x:row r="236">
      <x:c r="B236" s="7" t="str">
        <x:v>TRO-A-10-S4-O1-R2</x:v>
      </x:c>
      <x:c r="C236" s="7" t="str">
        <x:v>BLD-A</x:v>
      </x:c>
      <x:c r="D236" s="7" t="str">
        <x:v>MF-10</x:v>
      </x:c>
      <x:c r="E236" s="7" t="str">
        <x:v>STD-10-4</x:v>
      </x:c>
      <x:c r="F236" s="7" t="str">
        <x:v>OP-1</x:v>
      </x:c>
      <x:c r="G236" s="7" t="n">
        <x:v>2</x:v>
      </x:c>
      <x:c r="H236" s="7" t="str"/>
      <x:c r="I236" s="7" t="str"/>
      <x:c r="J236" s="7" t="str">
        <x:f>IF(OR(H236="",I236=""),"",I236-H236)</x:f>
      </x:c>
      <x:c r="K236" s="7" t="str"/>
      <x:c r="L236" s="7" t="str"/>
      <x:c r="M236" s="7" t="str"/>
      <x:c r="N236" s="7" t="str">
        <x:f>IF(M236="","OPEN",IF(OR(NOT(ISNUMBER(H236)),NOT(ISNUMBER(I236)),K236="",L236=""),"FAIL","PASS"))</x:f>
        <x:v>OPEN</x:v>
      </x:c>
    </x:row>
    <x:row r="237">
      <x:c r="B237" s="7" t="str">
        <x:v>TRO-A-10-S4-O2-R1</x:v>
      </x:c>
      <x:c r="C237" s="7" t="str">
        <x:v>BLD-A</x:v>
      </x:c>
      <x:c r="D237" s="7" t="str">
        <x:v>MF-10</x:v>
      </x:c>
      <x:c r="E237" s="7" t="str">
        <x:v>STD-10-4</x:v>
      </x:c>
      <x:c r="F237" s="7" t="str">
        <x:v>OP-2</x:v>
      </x:c>
      <x:c r="G237" s="7" t="n">
        <x:v>1</x:v>
      </x:c>
      <x:c r="H237" s="7" t="str"/>
      <x:c r="I237" s="7" t="str"/>
      <x:c r="J237" s="7" t="str">
        <x:f>IF(OR(H237="",I237=""),"",I237-H237)</x:f>
      </x:c>
      <x:c r="K237" s="7" t="str"/>
      <x:c r="L237" s="7" t="str"/>
      <x:c r="M237" s="7" t="str"/>
      <x:c r="N237" s="7" t="str">
        <x:f>IF(M237="","OPEN",IF(OR(NOT(ISNUMBER(H237)),NOT(ISNUMBER(I237)),K237="",L237=""),"FAIL","PASS"))</x:f>
        <x:v>OPEN</x:v>
      </x:c>
    </x:row>
    <x:row r="238">
      <x:c r="B238" s="7" t="str">
        <x:v>TRO-A-10-S4-O2-R2</x:v>
      </x:c>
      <x:c r="C238" s="7" t="str">
        <x:v>BLD-A</x:v>
      </x:c>
      <x:c r="D238" s="7" t="str">
        <x:v>MF-10</x:v>
      </x:c>
      <x:c r="E238" s="7" t="str">
        <x:v>STD-10-4</x:v>
      </x:c>
      <x:c r="F238" s="7" t="str">
        <x:v>OP-2</x:v>
      </x:c>
      <x:c r="G238" s="7" t="n">
        <x:v>2</x:v>
      </x:c>
      <x:c r="H238" s="7" t="str"/>
      <x:c r="I238" s="7" t="str"/>
      <x:c r="J238" s="7" t="str">
        <x:f>IF(OR(H238="",I238=""),"",I238-H238)</x:f>
      </x:c>
      <x:c r="K238" s="7" t="str"/>
      <x:c r="L238" s="7" t="str"/>
      <x:c r="M238" s="7" t="str"/>
      <x:c r="N238" s="7" t="str">
        <x:f>IF(M238="","OPEN",IF(OR(NOT(ISNUMBER(H238)),NOT(ISNUMBER(I238)),K238="",L238=""),"FAIL","PASS"))</x:f>
        <x:v>OPEN</x:v>
      </x:c>
    </x:row>
    <x:row r="239">
      <x:c r="B239" s="7" t="str">
        <x:v>TRO-A-10-S5-O1-R1</x:v>
      </x:c>
      <x:c r="C239" s="7" t="str">
        <x:v>BLD-A</x:v>
      </x:c>
      <x:c r="D239" s="7" t="str">
        <x:v>MF-10</x:v>
      </x:c>
      <x:c r="E239" s="7" t="str">
        <x:v>STD-10-5</x:v>
      </x:c>
      <x:c r="F239" s="7" t="str">
        <x:v>OP-1</x:v>
      </x:c>
      <x:c r="G239" s="7" t="n">
        <x:v>1</x:v>
      </x:c>
      <x:c r="H239" s="7" t="str"/>
      <x:c r="I239" s="7" t="str"/>
      <x:c r="J239" s="7" t="str">
        <x:f>IF(OR(H239="",I239=""),"",I239-H239)</x:f>
      </x:c>
      <x:c r="K239" s="7" t="str"/>
      <x:c r="L239" s="7" t="str"/>
      <x:c r="M239" s="7" t="str"/>
      <x:c r="N239" s="7" t="str">
        <x:f>IF(M239="","OPEN",IF(OR(NOT(ISNUMBER(H239)),NOT(ISNUMBER(I239)),K239="",L239=""),"FAIL","PASS"))</x:f>
        <x:v>OPEN</x:v>
      </x:c>
    </x:row>
    <x:row r="240">
      <x:c r="B240" s="7" t="str">
        <x:v>TRO-A-10-S5-O1-R2</x:v>
      </x:c>
      <x:c r="C240" s="7" t="str">
        <x:v>BLD-A</x:v>
      </x:c>
      <x:c r="D240" s="7" t="str">
        <x:v>MF-10</x:v>
      </x:c>
      <x:c r="E240" s="7" t="str">
        <x:v>STD-10-5</x:v>
      </x:c>
      <x:c r="F240" s="7" t="str">
        <x:v>OP-1</x:v>
      </x:c>
      <x:c r="G240" s="7" t="n">
        <x:v>2</x:v>
      </x:c>
      <x:c r="H240" s="7" t="str"/>
      <x:c r="I240" s="7" t="str"/>
      <x:c r="J240" s="7" t="str">
        <x:f>IF(OR(H240="",I240=""),"",I240-H240)</x:f>
      </x:c>
      <x:c r="K240" s="7" t="str"/>
      <x:c r="L240" s="7" t="str"/>
      <x:c r="M240" s="7" t="str"/>
      <x:c r="N240" s="7" t="str">
        <x:f>IF(M240="","OPEN",IF(OR(NOT(ISNUMBER(H240)),NOT(ISNUMBER(I240)),K240="",L240=""),"FAIL","PASS"))</x:f>
        <x:v>OPEN</x:v>
      </x:c>
    </x:row>
    <x:row r="241">
      <x:c r="B241" s="7" t="str">
        <x:v>TRO-A-10-S5-O2-R1</x:v>
      </x:c>
      <x:c r="C241" s="7" t="str">
        <x:v>BLD-A</x:v>
      </x:c>
      <x:c r="D241" s="7" t="str">
        <x:v>MF-10</x:v>
      </x:c>
      <x:c r="E241" s="7" t="str">
        <x:v>STD-10-5</x:v>
      </x:c>
      <x:c r="F241" s="7" t="str">
        <x:v>OP-2</x:v>
      </x:c>
      <x:c r="G241" s="7" t="n">
        <x:v>1</x:v>
      </x:c>
      <x:c r="H241" s="7" t="str"/>
      <x:c r="I241" s="7" t="str"/>
      <x:c r="J241" s="7" t="str">
        <x:f>IF(OR(H241="",I241=""),"",I241-H241)</x:f>
      </x:c>
      <x:c r="K241" s="7" t="str"/>
      <x:c r="L241" s="7" t="str"/>
      <x:c r="M241" s="7" t="str"/>
      <x:c r="N241" s="7" t="str">
        <x:f>IF(M241="","OPEN",IF(OR(NOT(ISNUMBER(H241)),NOT(ISNUMBER(I241)),K241="",L241=""),"FAIL","PASS"))</x:f>
        <x:v>OPEN</x:v>
      </x:c>
    </x:row>
    <x:row r="242">
      <x:c r="B242" s="7" t="str">
        <x:v>TRO-A-10-S5-O2-R2</x:v>
      </x:c>
      <x:c r="C242" s="7" t="str">
        <x:v>BLD-A</x:v>
      </x:c>
      <x:c r="D242" s="7" t="str">
        <x:v>MF-10</x:v>
      </x:c>
      <x:c r="E242" s="7" t="str">
        <x:v>STD-10-5</x:v>
      </x:c>
      <x:c r="F242" s="7" t="str">
        <x:v>OP-2</x:v>
      </x:c>
      <x:c r="G242" s="7" t="n">
        <x:v>2</x:v>
      </x:c>
      <x:c r="H242" s="7" t="str"/>
      <x:c r="I242" s="7" t="str"/>
      <x:c r="J242" s="7" t="str">
        <x:f>IF(OR(H242="",I242=""),"",I242-H242)</x:f>
      </x:c>
      <x:c r="K242" s="7" t="str"/>
      <x:c r="L242" s="7" t="str"/>
      <x:c r="M242" s="7" t="str"/>
      <x:c r="N242" s="7" t="str">
        <x:f>IF(M242="","OPEN",IF(OR(NOT(ISNUMBER(H242)),NOT(ISNUMBER(I242)),K242="",L242=""),"FAIL","PASS"))</x:f>
        <x:v>OPEN</x:v>
      </x:c>
    </x:row>
    <x:row r="243">
      <x:c r="B243" s="7" t="str">
        <x:v>TRO-A-10-S6-O1-R1</x:v>
      </x:c>
      <x:c r="C243" s="7" t="str">
        <x:v>BLD-A</x:v>
      </x:c>
      <x:c r="D243" s="7" t="str">
        <x:v>MF-10</x:v>
      </x:c>
      <x:c r="E243" s="7" t="str">
        <x:v>STD-10-6</x:v>
      </x:c>
      <x:c r="F243" s="7" t="str">
        <x:v>OP-1</x:v>
      </x:c>
      <x:c r="G243" s="7" t="n">
        <x:v>1</x:v>
      </x:c>
      <x:c r="H243" s="7" t="str"/>
      <x:c r="I243" s="7" t="str"/>
      <x:c r="J243" s="7" t="str">
        <x:f>IF(OR(H243="",I243=""),"",I243-H243)</x:f>
      </x:c>
      <x:c r="K243" s="7" t="str"/>
      <x:c r="L243" s="7" t="str"/>
      <x:c r="M243" s="7" t="str"/>
      <x:c r="N243" s="7" t="str">
        <x:f>IF(M243="","OPEN",IF(OR(NOT(ISNUMBER(H243)),NOT(ISNUMBER(I243)),K243="",L243=""),"FAIL","PASS"))</x:f>
        <x:v>OPEN</x:v>
      </x:c>
    </x:row>
    <x:row r="244">
      <x:c r="B244" s="7" t="str">
        <x:v>TRO-A-10-S6-O1-R2</x:v>
      </x:c>
      <x:c r="C244" s="7" t="str">
        <x:v>BLD-A</x:v>
      </x:c>
      <x:c r="D244" s="7" t="str">
        <x:v>MF-10</x:v>
      </x:c>
      <x:c r="E244" s="7" t="str">
        <x:v>STD-10-6</x:v>
      </x:c>
      <x:c r="F244" s="7" t="str">
        <x:v>OP-1</x:v>
      </x:c>
      <x:c r="G244" s="7" t="n">
        <x:v>2</x:v>
      </x:c>
      <x:c r="H244" s="7" t="str"/>
      <x:c r="I244" s="7" t="str"/>
      <x:c r="J244" s="7" t="str">
        <x:f>IF(OR(H244="",I244=""),"",I244-H244)</x:f>
      </x:c>
      <x:c r="K244" s="7" t="str"/>
      <x:c r="L244" s="7" t="str"/>
      <x:c r="M244" s="7" t="str"/>
      <x:c r="N244" s="7" t="str">
        <x:f>IF(M244="","OPEN",IF(OR(NOT(ISNUMBER(H244)),NOT(ISNUMBER(I244)),K244="",L244=""),"FAIL","PASS"))</x:f>
        <x:v>OPEN</x:v>
      </x:c>
    </x:row>
    <x:row r="245">
      <x:c r="B245" s="7" t="str">
        <x:v>TRO-A-10-S6-O2-R1</x:v>
      </x:c>
      <x:c r="C245" s="7" t="str">
        <x:v>BLD-A</x:v>
      </x:c>
      <x:c r="D245" s="7" t="str">
        <x:v>MF-10</x:v>
      </x:c>
      <x:c r="E245" s="7" t="str">
        <x:v>STD-10-6</x:v>
      </x:c>
      <x:c r="F245" s="7" t="str">
        <x:v>OP-2</x:v>
      </x:c>
      <x:c r="G245" s="7" t="n">
        <x:v>1</x:v>
      </x:c>
      <x:c r="H245" s="7" t="str"/>
      <x:c r="I245" s="7" t="str"/>
      <x:c r="J245" s="7" t="str">
        <x:f>IF(OR(H245="",I245=""),"",I245-H245)</x:f>
      </x:c>
      <x:c r="K245" s="7" t="str"/>
      <x:c r="L245" s="7" t="str"/>
      <x:c r="M245" s="7" t="str"/>
      <x:c r="N245" s="7" t="str">
        <x:f>IF(M245="","OPEN",IF(OR(NOT(ISNUMBER(H245)),NOT(ISNUMBER(I245)),K245="",L245=""),"FAIL","PASS"))</x:f>
        <x:v>OPEN</x:v>
      </x:c>
    </x:row>
    <x:row r="246">
      <x:c r="B246" s="7" t="str">
        <x:v>TRO-A-10-S6-O2-R2</x:v>
      </x:c>
      <x:c r="C246" s="7" t="str">
        <x:v>BLD-A</x:v>
      </x:c>
      <x:c r="D246" s="7" t="str">
        <x:v>MF-10</x:v>
      </x:c>
      <x:c r="E246" s="7" t="str">
        <x:v>STD-10-6</x:v>
      </x:c>
      <x:c r="F246" s="7" t="str">
        <x:v>OP-2</x:v>
      </x:c>
      <x:c r="G246" s="7" t="n">
        <x:v>2</x:v>
      </x:c>
      <x:c r="H246" s="7" t="str"/>
      <x:c r="I246" s="7" t="str"/>
      <x:c r="J246" s="7" t="str">
        <x:f>IF(OR(H246="",I246=""),"",I246-H246)</x:f>
      </x:c>
      <x:c r="K246" s="7" t="str"/>
      <x:c r="L246" s="7" t="str"/>
      <x:c r="M246" s="7" t="str"/>
      <x:c r="N246" s="7" t="str">
        <x:f>IF(M246="","OPEN",IF(OR(NOT(ISNUMBER(H246)),NOT(ISNUMBER(I246)),K246="",L246=""),"FAIL","PASS"))</x:f>
        <x:v>OPEN</x:v>
      </x:c>
    </x:row>
    <x:row r="247">
      <x:c r="B247" s="7" t="str">
        <x:v>TRO-A-11-S1-O1-R1</x:v>
      </x:c>
      <x:c r="C247" s="7" t="str">
        <x:v>BLD-A</x:v>
      </x:c>
      <x:c r="D247" s="7" t="str">
        <x:v>MF-11</x:v>
      </x:c>
      <x:c r="E247" s="7" t="str">
        <x:v>STD-11-1</x:v>
      </x:c>
      <x:c r="F247" s="7" t="str">
        <x:v>OP-1</x:v>
      </x:c>
      <x:c r="G247" s="7" t="n">
        <x:v>1</x:v>
      </x:c>
      <x:c r="H247" s="7" t="str"/>
      <x:c r="I247" s="7" t="str"/>
      <x:c r="J247" s="7" t="str">
        <x:f>IF(OR(H247="",I247=""),"",I247-H247)</x:f>
      </x:c>
      <x:c r="K247" s="7" t="str"/>
      <x:c r="L247" s="7" t="str"/>
      <x:c r="M247" s="7" t="str"/>
      <x:c r="N247" s="7" t="str">
        <x:f>IF(M247="","OPEN",IF(OR(NOT(ISNUMBER(H247)),NOT(ISNUMBER(I247)),K247="",L247=""),"FAIL","PASS"))</x:f>
        <x:v>OPEN</x:v>
      </x:c>
    </x:row>
    <x:row r="248">
      <x:c r="B248" s="7" t="str">
        <x:v>TRO-A-11-S1-O1-R2</x:v>
      </x:c>
      <x:c r="C248" s="7" t="str">
        <x:v>BLD-A</x:v>
      </x:c>
      <x:c r="D248" s="7" t="str">
        <x:v>MF-11</x:v>
      </x:c>
      <x:c r="E248" s="7" t="str">
        <x:v>STD-11-1</x:v>
      </x:c>
      <x:c r="F248" s="7" t="str">
        <x:v>OP-1</x:v>
      </x:c>
      <x:c r="G248" s="7" t="n">
        <x:v>2</x:v>
      </x:c>
      <x:c r="H248" s="7" t="str"/>
      <x:c r="I248" s="7" t="str"/>
      <x:c r="J248" s="7" t="str">
        <x:f>IF(OR(H248="",I248=""),"",I248-H248)</x:f>
      </x:c>
      <x:c r="K248" s="7" t="str"/>
      <x:c r="L248" s="7" t="str"/>
      <x:c r="M248" s="7" t="str"/>
      <x:c r="N248" s="7" t="str">
        <x:f>IF(M248="","OPEN",IF(OR(NOT(ISNUMBER(H248)),NOT(ISNUMBER(I248)),K248="",L248=""),"FAIL","PASS"))</x:f>
        <x:v>OPEN</x:v>
      </x:c>
    </x:row>
    <x:row r="249">
      <x:c r="B249" s="7" t="str">
        <x:v>TRO-A-11-S1-O2-R1</x:v>
      </x:c>
      <x:c r="C249" s="7" t="str">
        <x:v>BLD-A</x:v>
      </x:c>
      <x:c r="D249" s="7" t="str">
        <x:v>MF-11</x:v>
      </x:c>
      <x:c r="E249" s="7" t="str">
        <x:v>STD-11-1</x:v>
      </x:c>
      <x:c r="F249" s="7" t="str">
        <x:v>OP-2</x:v>
      </x:c>
      <x:c r="G249" s="7" t="n">
        <x:v>1</x:v>
      </x:c>
      <x:c r="H249" s="7" t="str"/>
      <x:c r="I249" s="7" t="str"/>
      <x:c r="J249" s="7" t="str">
        <x:f>IF(OR(H249="",I249=""),"",I249-H249)</x:f>
      </x:c>
      <x:c r="K249" s="7" t="str"/>
      <x:c r="L249" s="7" t="str"/>
      <x:c r="M249" s="7" t="str"/>
      <x:c r="N249" s="7" t="str">
        <x:f>IF(M249="","OPEN",IF(OR(NOT(ISNUMBER(H249)),NOT(ISNUMBER(I249)),K249="",L249=""),"FAIL","PASS"))</x:f>
        <x:v>OPEN</x:v>
      </x:c>
    </x:row>
    <x:row r="250">
      <x:c r="B250" s="7" t="str">
        <x:v>TRO-A-11-S1-O2-R2</x:v>
      </x:c>
      <x:c r="C250" s="7" t="str">
        <x:v>BLD-A</x:v>
      </x:c>
      <x:c r="D250" s="7" t="str">
        <x:v>MF-11</x:v>
      </x:c>
      <x:c r="E250" s="7" t="str">
        <x:v>STD-11-1</x:v>
      </x:c>
      <x:c r="F250" s="7" t="str">
        <x:v>OP-2</x:v>
      </x:c>
      <x:c r="G250" s="7" t="n">
        <x:v>2</x:v>
      </x:c>
      <x:c r="H250" s="7" t="str"/>
      <x:c r="I250" s="7" t="str"/>
      <x:c r="J250" s="7" t="str">
        <x:f>IF(OR(H250="",I250=""),"",I250-H250)</x:f>
      </x:c>
      <x:c r="K250" s="7" t="str"/>
      <x:c r="L250" s="7" t="str"/>
      <x:c r="M250" s="7" t="str"/>
      <x:c r="N250" s="7" t="str">
        <x:f>IF(M250="","OPEN",IF(OR(NOT(ISNUMBER(H250)),NOT(ISNUMBER(I250)),K250="",L250=""),"FAIL","PASS"))</x:f>
        <x:v>OPEN</x:v>
      </x:c>
    </x:row>
    <x:row r="251">
      <x:c r="B251" s="7" t="str">
        <x:v>TRO-A-11-S2-O1-R1</x:v>
      </x:c>
      <x:c r="C251" s="7" t="str">
        <x:v>BLD-A</x:v>
      </x:c>
      <x:c r="D251" s="7" t="str">
        <x:v>MF-11</x:v>
      </x:c>
      <x:c r="E251" s="7" t="str">
        <x:v>STD-11-2</x:v>
      </x:c>
      <x:c r="F251" s="7" t="str">
        <x:v>OP-1</x:v>
      </x:c>
      <x:c r="G251" s="7" t="n">
        <x:v>1</x:v>
      </x:c>
      <x:c r="H251" s="7" t="str"/>
      <x:c r="I251" s="7" t="str"/>
      <x:c r="J251" s="7" t="str">
        <x:f>IF(OR(H251="",I251=""),"",I251-H251)</x:f>
      </x:c>
      <x:c r="K251" s="7" t="str"/>
      <x:c r="L251" s="7" t="str"/>
      <x:c r="M251" s="7" t="str"/>
      <x:c r="N251" s="7" t="str">
        <x:f>IF(M251="","OPEN",IF(OR(NOT(ISNUMBER(H251)),NOT(ISNUMBER(I251)),K251="",L251=""),"FAIL","PASS"))</x:f>
        <x:v>OPEN</x:v>
      </x:c>
    </x:row>
    <x:row r="252">
      <x:c r="B252" s="7" t="str">
        <x:v>TRO-A-11-S2-O1-R2</x:v>
      </x:c>
      <x:c r="C252" s="7" t="str">
        <x:v>BLD-A</x:v>
      </x:c>
      <x:c r="D252" s="7" t="str">
        <x:v>MF-11</x:v>
      </x:c>
      <x:c r="E252" s="7" t="str">
        <x:v>STD-11-2</x:v>
      </x:c>
      <x:c r="F252" s="7" t="str">
        <x:v>OP-1</x:v>
      </x:c>
      <x:c r="G252" s="7" t="n">
        <x:v>2</x:v>
      </x:c>
      <x:c r="H252" s="7" t="str"/>
      <x:c r="I252" s="7" t="str"/>
      <x:c r="J252" s="7" t="str">
        <x:f>IF(OR(H252="",I252=""),"",I252-H252)</x:f>
      </x:c>
      <x:c r="K252" s="7" t="str"/>
      <x:c r="L252" s="7" t="str"/>
      <x:c r="M252" s="7" t="str"/>
      <x:c r="N252" s="7" t="str">
        <x:f>IF(M252="","OPEN",IF(OR(NOT(ISNUMBER(H252)),NOT(ISNUMBER(I252)),K252="",L252=""),"FAIL","PASS"))</x:f>
        <x:v>OPEN</x:v>
      </x:c>
    </x:row>
    <x:row r="253">
      <x:c r="B253" s="7" t="str">
        <x:v>TRO-A-11-S2-O2-R1</x:v>
      </x:c>
      <x:c r="C253" s="7" t="str">
        <x:v>BLD-A</x:v>
      </x:c>
      <x:c r="D253" s="7" t="str">
        <x:v>MF-11</x:v>
      </x:c>
      <x:c r="E253" s="7" t="str">
        <x:v>STD-11-2</x:v>
      </x:c>
      <x:c r="F253" s="7" t="str">
        <x:v>OP-2</x:v>
      </x:c>
      <x:c r="G253" s="7" t="n">
        <x:v>1</x:v>
      </x:c>
      <x:c r="H253" s="7" t="str"/>
      <x:c r="I253" s="7" t="str"/>
      <x:c r="J253" s="7" t="str">
        <x:f>IF(OR(H253="",I253=""),"",I253-H253)</x:f>
      </x:c>
      <x:c r="K253" s="7" t="str"/>
      <x:c r="L253" s="7" t="str"/>
      <x:c r="M253" s="7" t="str"/>
      <x:c r="N253" s="7" t="str">
        <x:f>IF(M253="","OPEN",IF(OR(NOT(ISNUMBER(H253)),NOT(ISNUMBER(I253)),K253="",L253=""),"FAIL","PASS"))</x:f>
        <x:v>OPEN</x:v>
      </x:c>
    </x:row>
    <x:row r="254">
      <x:c r="B254" s="7" t="str">
        <x:v>TRO-A-11-S2-O2-R2</x:v>
      </x:c>
      <x:c r="C254" s="7" t="str">
        <x:v>BLD-A</x:v>
      </x:c>
      <x:c r="D254" s="7" t="str">
        <x:v>MF-11</x:v>
      </x:c>
      <x:c r="E254" s="7" t="str">
        <x:v>STD-11-2</x:v>
      </x:c>
      <x:c r="F254" s="7" t="str">
        <x:v>OP-2</x:v>
      </x:c>
      <x:c r="G254" s="7" t="n">
        <x:v>2</x:v>
      </x:c>
      <x:c r="H254" s="7" t="str"/>
      <x:c r="I254" s="7" t="str"/>
      <x:c r="J254" s="7" t="str">
        <x:f>IF(OR(H254="",I254=""),"",I254-H254)</x:f>
      </x:c>
      <x:c r="K254" s="7" t="str"/>
      <x:c r="L254" s="7" t="str"/>
      <x:c r="M254" s="7" t="str"/>
      <x:c r="N254" s="7" t="str">
        <x:f>IF(M254="","OPEN",IF(OR(NOT(ISNUMBER(H254)),NOT(ISNUMBER(I254)),K254="",L254=""),"FAIL","PASS"))</x:f>
        <x:v>OPEN</x:v>
      </x:c>
    </x:row>
    <x:row r="255">
      <x:c r="B255" s="7" t="str">
        <x:v>TRO-A-11-S3-O1-R1</x:v>
      </x:c>
      <x:c r="C255" s="7" t="str">
        <x:v>BLD-A</x:v>
      </x:c>
      <x:c r="D255" s="7" t="str">
        <x:v>MF-11</x:v>
      </x:c>
      <x:c r="E255" s="7" t="str">
        <x:v>STD-11-3</x:v>
      </x:c>
      <x:c r="F255" s="7" t="str">
        <x:v>OP-1</x:v>
      </x:c>
      <x:c r="G255" s="7" t="n">
        <x:v>1</x:v>
      </x:c>
      <x:c r="H255" s="7" t="str"/>
      <x:c r="I255" s="7" t="str"/>
      <x:c r="J255" s="7" t="str">
        <x:f>IF(OR(H255="",I255=""),"",I255-H255)</x:f>
      </x:c>
      <x:c r="K255" s="7" t="str"/>
      <x:c r="L255" s="7" t="str"/>
      <x:c r="M255" s="7" t="str"/>
      <x:c r="N255" s="7" t="str">
        <x:f>IF(M255="","OPEN",IF(OR(NOT(ISNUMBER(H255)),NOT(ISNUMBER(I255)),K255="",L255=""),"FAIL","PASS"))</x:f>
        <x:v>OPEN</x:v>
      </x:c>
    </x:row>
    <x:row r="256">
      <x:c r="B256" s="7" t="str">
        <x:v>TRO-A-11-S3-O1-R2</x:v>
      </x:c>
      <x:c r="C256" s="7" t="str">
        <x:v>BLD-A</x:v>
      </x:c>
      <x:c r="D256" s="7" t="str">
        <x:v>MF-11</x:v>
      </x:c>
      <x:c r="E256" s="7" t="str">
        <x:v>STD-11-3</x:v>
      </x:c>
      <x:c r="F256" s="7" t="str">
        <x:v>OP-1</x:v>
      </x:c>
      <x:c r="G256" s="7" t="n">
        <x:v>2</x:v>
      </x:c>
      <x:c r="H256" s="7" t="str"/>
      <x:c r="I256" s="7" t="str"/>
      <x:c r="J256" s="7" t="str">
        <x:f>IF(OR(H256="",I256=""),"",I256-H256)</x:f>
      </x:c>
      <x:c r="K256" s="7" t="str"/>
      <x:c r="L256" s="7" t="str"/>
      <x:c r="M256" s="7" t="str"/>
      <x:c r="N256" s="7" t="str">
        <x:f>IF(M256="","OPEN",IF(OR(NOT(ISNUMBER(H256)),NOT(ISNUMBER(I256)),K256="",L256=""),"FAIL","PASS"))</x:f>
        <x:v>OPEN</x:v>
      </x:c>
    </x:row>
    <x:row r="257">
      <x:c r="B257" s="7" t="str">
        <x:v>TRO-A-11-S3-O2-R1</x:v>
      </x:c>
      <x:c r="C257" s="7" t="str">
        <x:v>BLD-A</x:v>
      </x:c>
      <x:c r="D257" s="7" t="str">
        <x:v>MF-11</x:v>
      </x:c>
      <x:c r="E257" s="7" t="str">
        <x:v>STD-11-3</x:v>
      </x:c>
      <x:c r="F257" s="7" t="str">
        <x:v>OP-2</x:v>
      </x:c>
      <x:c r="G257" s="7" t="n">
        <x:v>1</x:v>
      </x:c>
      <x:c r="H257" s="7" t="str"/>
      <x:c r="I257" s="7" t="str"/>
      <x:c r="J257" s="7" t="str">
        <x:f>IF(OR(H257="",I257=""),"",I257-H257)</x:f>
      </x:c>
      <x:c r="K257" s="7" t="str"/>
      <x:c r="L257" s="7" t="str"/>
      <x:c r="M257" s="7" t="str"/>
      <x:c r="N257" s="7" t="str">
        <x:f>IF(M257="","OPEN",IF(OR(NOT(ISNUMBER(H257)),NOT(ISNUMBER(I257)),K257="",L257=""),"FAIL","PASS"))</x:f>
        <x:v>OPEN</x:v>
      </x:c>
    </x:row>
    <x:row r="258">
      <x:c r="B258" s="7" t="str">
        <x:v>TRO-A-11-S3-O2-R2</x:v>
      </x:c>
      <x:c r="C258" s="7" t="str">
        <x:v>BLD-A</x:v>
      </x:c>
      <x:c r="D258" s="7" t="str">
        <x:v>MF-11</x:v>
      </x:c>
      <x:c r="E258" s="7" t="str">
        <x:v>STD-11-3</x:v>
      </x:c>
      <x:c r="F258" s="7" t="str">
        <x:v>OP-2</x:v>
      </x:c>
      <x:c r="G258" s="7" t="n">
        <x:v>2</x:v>
      </x:c>
      <x:c r="H258" s="7" t="str"/>
      <x:c r="I258" s="7" t="str"/>
      <x:c r="J258" s="7" t="str">
        <x:f>IF(OR(H258="",I258=""),"",I258-H258)</x:f>
      </x:c>
      <x:c r="K258" s="7" t="str"/>
      <x:c r="L258" s="7" t="str"/>
      <x:c r="M258" s="7" t="str"/>
      <x:c r="N258" s="7" t="str">
        <x:f>IF(M258="","OPEN",IF(OR(NOT(ISNUMBER(H258)),NOT(ISNUMBER(I258)),K258="",L258=""),"FAIL","PASS"))</x:f>
        <x:v>OPEN</x:v>
      </x:c>
    </x:row>
    <x:row r="259">
      <x:c r="B259" s="7" t="str">
        <x:v>TRO-A-11-S4-O1-R1</x:v>
      </x:c>
      <x:c r="C259" s="7" t="str">
        <x:v>BLD-A</x:v>
      </x:c>
      <x:c r="D259" s="7" t="str">
        <x:v>MF-11</x:v>
      </x:c>
      <x:c r="E259" s="7" t="str">
        <x:v>STD-11-4</x:v>
      </x:c>
      <x:c r="F259" s="7" t="str">
        <x:v>OP-1</x:v>
      </x:c>
      <x:c r="G259" s="7" t="n">
        <x:v>1</x:v>
      </x:c>
      <x:c r="H259" s="7" t="str"/>
      <x:c r="I259" s="7" t="str"/>
      <x:c r="J259" s="7" t="str">
        <x:f>IF(OR(H259="",I259=""),"",I259-H259)</x:f>
      </x:c>
      <x:c r="K259" s="7" t="str"/>
      <x:c r="L259" s="7" t="str"/>
      <x:c r="M259" s="7" t="str"/>
      <x:c r="N259" s="7" t="str">
        <x:f>IF(M259="","OPEN",IF(OR(NOT(ISNUMBER(H259)),NOT(ISNUMBER(I259)),K259="",L259=""),"FAIL","PASS"))</x:f>
        <x:v>OPEN</x:v>
      </x:c>
    </x:row>
    <x:row r="260">
      <x:c r="B260" s="7" t="str">
        <x:v>TRO-A-11-S4-O1-R2</x:v>
      </x:c>
      <x:c r="C260" s="7" t="str">
        <x:v>BLD-A</x:v>
      </x:c>
      <x:c r="D260" s="7" t="str">
        <x:v>MF-11</x:v>
      </x:c>
      <x:c r="E260" s="7" t="str">
        <x:v>STD-11-4</x:v>
      </x:c>
      <x:c r="F260" s="7" t="str">
        <x:v>OP-1</x:v>
      </x:c>
      <x:c r="G260" s="7" t="n">
        <x:v>2</x:v>
      </x:c>
      <x:c r="H260" s="7" t="str"/>
      <x:c r="I260" s="7" t="str"/>
      <x:c r="J260" s="7" t="str">
        <x:f>IF(OR(H260="",I260=""),"",I260-H260)</x:f>
      </x:c>
      <x:c r="K260" s="7" t="str"/>
      <x:c r="L260" s="7" t="str"/>
      <x:c r="M260" s="7" t="str"/>
      <x:c r="N260" s="7" t="str">
        <x:f>IF(M260="","OPEN",IF(OR(NOT(ISNUMBER(H260)),NOT(ISNUMBER(I260)),K260="",L260=""),"FAIL","PASS"))</x:f>
        <x:v>OPEN</x:v>
      </x:c>
    </x:row>
    <x:row r="261">
      <x:c r="B261" s="7" t="str">
        <x:v>TRO-A-11-S4-O2-R1</x:v>
      </x:c>
      <x:c r="C261" s="7" t="str">
        <x:v>BLD-A</x:v>
      </x:c>
      <x:c r="D261" s="7" t="str">
        <x:v>MF-11</x:v>
      </x:c>
      <x:c r="E261" s="7" t="str">
        <x:v>STD-11-4</x:v>
      </x:c>
      <x:c r="F261" s="7" t="str">
        <x:v>OP-2</x:v>
      </x:c>
      <x:c r="G261" s="7" t="n">
        <x:v>1</x:v>
      </x:c>
      <x:c r="H261" s="7" t="str"/>
      <x:c r="I261" s="7" t="str"/>
      <x:c r="J261" s="7" t="str">
        <x:f>IF(OR(H261="",I261=""),"",I261-H261)</x:f>
      </x:c>
      <x:c r="K261" s="7" t="str"/>
      <x:c r="L261" s="7" t="str"/>
      <x:c r="M261" s="7" t="str"/>
      <x:c r="N261" s="7" t="str">
        <x:f>IF(M261="","OPEN",IF(OR(NOT(ISNUMBER(H261)),NOT(ISNUMBER(I261)),K261="",L261=""),"FAIL","PASS"))</x:f>
        <x:v>OPEN</x:v>
      </x:c>
    </x:row>
    <x:row r="262">
      <x:c r="B262" s="7" t="str">
        <x:v>TRO-A-11-S4-O2-R2</x:v>
      </x:c>
      <x:c r="C262" s="7" t="str">
        <x:v>BLD-A</x:v>
      </x:c>
      <x:c r="D262" s="7" t="str">
        <x:v>MF-11</x:v>
      </x:c>
      <x:c r="E262" s="7" t="str">
        <x:v>STD-11-4</x:v>
      </x:c>
      <x:c r="F262" s="7" t="str">
        <x:v>OP-2</x:v>
      </x:c>
      <x:c r="G262" s="7" t="n">
        <x:v>2</x:v>
      </x:c>
      <x:c r="H262" s="7" t="str"/>
      <x:c r="I262" s="7" t="str"/>
      <x:c r="J262" s="7" t="str">
        <x:f>IF(OR(H262="",I262=""),"",I262-H262)</x:f>
      </x:c>
      <x:c r="K262" s="7" t="str"/>
      <x:c r="L262" s="7" t="str"/>
      <x:c r="M262" s="7" t="str"/>
      <x:c r="N262" s="7" t="str">
        <x:f>IF(M262="","OPEN",IF(OR(NOT(ISNUMBER(H262)),NOT(ISNUMBER(I262)),K262="",L262=""),"FAIL","PASS"))</x:f>
        <x:v>OPEN</x:v>
      </x:c>
    </x:row>
    <x:row r="263">
      <x:c r="B263" s="7" t="str">
        <x:v>TRO-A-11-S5-O1-R1</x:v>
      </x:c>
      <x:c r="C263" s="7" t="str">
        <x:v>BLD-A</x:v>
      </x:c>
      <x:c r="D263" s="7" t="str">
        <x:v>MF-11</x:v>
      </x:c>
      <x:c r="E263" s="7" t="str">
        <x:v>STD-11-5</x:v>
      </x:c>
      <x:c r="F263" s="7" t="str">
        <x:v>OP-1</x:v>
      </x:c>
      <x:c r="G263" s="7" t="n">
        <x:v>1</x:v>
      </x:c>
      <x:c r="H263" s="7" t="str"/>
      <x:c r="I263" s="7" t="str"/>
      <x:c r="J263" s="7" t="str">
        <x:f>IF(OR(H263="",I263=""),"",I263-H263)</x:f>
      </x:c>
      <x:c r="K263" s="7" t="str"/>
      <x:c r="L263" s="7" t="str"/>
      <x:c r="M263" s="7" t="str"/>
      <x:c r="N263" s="7" t="str">
        <x:f>IF(M263="","OPEN",IF(OR(NOT(ISNUMBER(H263)),NOT(ISNUMBER(I263)),K263="",L263=""),"FAIL","PASS"))</x:f>
        <x:v>OPEN</x:v>
      </x:c>
    </x:row>
    <x:row r="264">
      <x:c r="B264" s="7" t="str">
        <x:v>TRO-A-11-S5-O1-R2</x:v>
      </x:c>
      <x:c r="C264" s="7" t="str">
        <x:v>BLD-A</x:v>
      </x:c>
      <x:c r="D264" s="7" t="str">
        <x:v>MF-11</x:v>
      </x:c>
      <x:c r="E264" s="7" t="str">
        <x:v>STD-11-5</x:v>
      </x:c>
      <x:c r="F264" s="7" t="str">
        <x:v>OP-1</x:v>
      </x:c>
      <x:c r="G264" s="7" t="n">
        <x:v>2</x:v>
      </x:c>
      <x:c r="H264" s="7" t="str"/>
      <x:c r="I264" s="7" t="str"/>
      <x:c r="J264" s="7" t="str">
        <x:f>IF(OR(H264="",I264=""),"",I264-H264)</x:f>
      </x:c>
      <x:c r="K264" s="7" t="str"/>
      <x:c r="L264" s="7" t="str"/>
      <x:c r="M264" s="7" t="str"/>
      <x:c r="N264" s="7" t="str">
        <x:f>IF(M264="","OPEN",IF(OR(NOT(ISNUMBER(H264)),NOT(ISNUMBER(I264)),K264="",L264=""),"FAIL","PASS"))</x:f>
        <x:v>OPEN</x:v>
      </x:c>
    </x:row>
    <x:row r="265">
      <x:c r="B265" s="7" t="str">
        <x:v>TRO-A-11-S5-O2-R1</x:v>
      </x:c>
      <x:c r="C265" s="7" t="str">
        <x:v>BLD-A</x:v>
      </x:c>
      <x:c r="D265" s="7" t="str">
        <x:v>MF-11</x:v>
      </x:c>
      <x:c r="E265" s="7" t="str">
        <x:v>STD-11-5</x:v>
      </x:c>
      <x:c r="F265" s="7" t="str">
        <x:v>OP-2</x:v>
      </x:c>
      <x:c r="G265" s="7" t="n">
        <x:v>1</x:v>
      </x:c>
      <x:c r="H265" s="7" t="str"/>
      <x:c r="I265" s="7" t="str"/>
      <x:c r="J265" s="7" t="str">
        <x:f>IF(OR(H265="",I265=""),"",I265-H265)</x:f>
      </x:c>
      <x:c r="K265" s="7" t="str"/>
      <x:c r="L265" s="7" t="str"/>
      <x:c r="M265" s="7" t="str"/>
      <x:c r="N265" s="7" t="str">
        <x:f>IF(M265="","OPEN",IF(OR(NOT(ISNUMBER(H265)),NOT(ISNUMBER(I265)),K265="",L265=""),"FAIL","PASS"))</x:f>
        <x:v>OPEN</x:v>
      </x:c>
    </x:row>
    <x:row r="266">
      <x:c r="B266" s="7" t="str">
        <x:v>TRO-A-11-S5-O2-R2</x:v>
      </x:c>
      <x:c r="C266" s="7" t="str">
        <x:v>BLD-A</x:v>
      </x:c>
      <x:c r="D266" s="7" t="str">
        <x:v>MF-11</x:v>
      </x:c>
      <x:c r="E266" s="7" t="str">
        <x:v>STD-11-5</x:v>
      </x:c>
      <x:c r="F266" s="7" t="str">
        <x:v>OP-2</x:v>
      </x:c>
      <x:c r="G266" s="7" t="n">
        <x:v>2</x:v>
      </x:c>
      <x:c r="H266" s="7" t="str"/>
      <x:c r="I266" s="7" t="str"/>
      <x:c r="J266" s="7" t="str">
        <x:f>IF(OR(H266="",I266=""),"",I266-H266)</x:f>
      </x:c>
      <x:c r="K266" s="7" t="str"/>
      <x:c r="L266" s="7" t="str"/>
      <x:c r="M266" s="7" t="str"/>
      <x:c r="N266" s="7" t="str">
        <x:f>IF(M266="","OPEN",IF(OR(NOT(ISNUMBER(H266)),NOT(ISNUMBER(I266)),K266="",L266=""),"FAIL","PASS"))</x:f>
        <x:v>OPEN</x:v>
      </x:c>
    </x:row>
    <x:row r="267">
      <x:c r="B267" s="7" t="str">
        <x:v>TRO-A-11-S6-O1-R1</x:v>
      </x:c>
      <x:c r="C267" s="7" t="str">
        <x:v>BLD-A</x:v>
      </x:c>
      <x:c r="D267" s="7" t="str">
        <x:v>MF-11</x:v>
      </x:c>
      <x:c r="E267" s="7" t="str">
        <x:v>STD-11-6</x:v>
      </x:c>
      <x:c r="F267" s="7" t="str">
        <x:v>OP-1</x:v>
      </x:c>
      <x:c r="G267" s="7" t="n">
        <x:v>1</x:v>
      </x:c>
      <x:c r="H267" s="7" t="str"/>
      <x:c r="I267" s="7" t="str"/>
      <x:c r="J267" s="7" t="str">
        <x:f>IF(OR(H267="",I267=""),"",I267-H267)</x:f>
      </x:c>
      <x:c r="K267" s="7" t="str"/>
      <x:c r="L267" s="7" t="str"/>
      <x:c r="M267" s="7" t="str"/>
      <x:c r="N267" s="7" t="str">
        <x:f>IF(M267="","OPEN",IF(OR(NOT(ISNUMBER(H267)),NOT(ISNUMBER(I267)),K267="",L267=""),"FAIL","PASS"))</x:f>
        <x:v>OPEN</x:v>
      </x:c>
    </x:row>
    <x:row r="268">
      <x:c r="B268" s="7" t="str">
        <x:v>TRO-A-11-S6-O1-R2</x:v>
      </x:c>
      <x:c r="C268" s="7" t="str">
        <x:v>BLD-A</x:v>
      </x:c>
      <x:c r="D268" s="7" t="str">
        <x:v>MF-11</x:v>
      </x:c>
      <x:c r="E268" s="7" t="str">
        <x:v>STD-11-6</x:v>
      </x:c>
      <x:c r="F268" s="7" t="str">
        <x:v>OP-1</x:v>
      </x:c>
      <x:c r="G268" s="7" t="n">
        <x:v>2</x:v>
      </x:c>
      <x:c r="H268" s="7" t="str"/>
      <x:c r="I268" s="7" t="str"/>
      <x:c r="J268" s="7" t="str">
        <x:f>IF(OR(H268="",I268=""),"",I268-H268)</x:f>
      </x:c>
      <x:c r="K268" s="7" t="str"/>
      <x:c r="L268" s="7" t="str"/>
      <x:c r="M268" s="7" t="str"/>
      <x:c r="N268" s="7" t="str">
        <x:f>IF(M268="","OPEN",IF(OR(NOT(ISNUMBER(H268)),NOT(ISNUMBER(I268)),K268="",L268=""),"FAIL","PASS"))</x:f>
        <x:v>OPEN</x:v>
      </x:c>
    </x:row>
    <x:row r="269">
      <x:c r="B269" s="7" t="str">
        <x:v>TRO-A-11-S6-O2-R1</x:v>
      </x:c>
      <x:c r="C269" s="7" t="str">
        <x:v>BLD-A</x:v>
      </x:c>
      <x:c r="D269" s="7" t="str">
        <x:v>MF-11</x:v>
      </x:c>
      <x:c r="E269" s="7" t="str">
        <x:v>STD-11-6</x:v>
      </x:c>
      <x:c r="F269" s="7" t="str">
        <x:v>OP-2</x:v>
      </x:c>
      <x:c r="G269" s="7" t="n">
        <x:v>1</x:v>
      </x:c>
      <x:c r="H269" s="7" t="str"/>
      <x:c r="I269" s="7" t="str"/>
      <x:c r="J269" s="7" t="str">
        <x:f>IF(OR(H269="",I269=""),"",I269-H269)</x:f>
      </x:c>
      <x:c r="K269" s="7" t="str"/>
      <x:c r="L269" s="7" t="str"/>
      <x:c r="M269" s="7" t="str"/>
      <x:c r="N269" s="7" t="str">
        <x:f>IF(M269="","OPEN",IF(OR(NOT(ISNUMBER(H269)),NOT(ISNUMBER(I269)),K269="",L269=""),"FAIL","PASS"))</x:f>
        <x:v>OPEN</x:v>
      </x:c>
    </x:row>
    <x:row r="270">
      <x:c r="B270" s="7" t="str">
        <x:v>TRO-A-11-S6-O2-R2</x:v>
      </x:c>
      <x:c r="C270" s="7" t="str">
        <x:v>BLD-A</x:v>
      </x:c>
      <x:c r="D270" s="7" t="str">
        <x:v>MF-11</x:v>
      </x:c>
      <x:c r="E270" s="7" t="str">
        <x:v>STD-11-6</x:v>
      </x:c>
      <x:c r="F270" s="7" t="str">
        <x:v>OP-2</x:v>
      </x:c>
      <x:c r="G270" s="7" t="n">
        <x:v>2</x:v>
      </x:c>
      <x:c r="H270" s="7" t="str"/>
      <x:c r="I270" s="7" t="str"/>
      <x:c r="J270" s="7" t="str">
        <x:f>IF(OR(H270="",I270=""),"",I270-H270)</x:f>
      </x:c>
      <x:c r="K270" s="7" t="str"/>
      <x:c r="L270" s="7" t="str"/>
      <x:c r="M270" s="7" t="str"/>
      <x:c r="N270" s="7" t="str">
        <x:f>IF(M270="","OPEN",IF(OR(NOT(ISNUMBER(H270)),NOT(ISNUMBER(I270)),K270="",L270=""),"FAIL","PASS"))</x:f>
        <x:v>OPEN</x:v>
      </x:c>
    </x:row>
    <x:row r="271">
      <x:c r="B271" s="7" t="str">
        <x:v>TRO-A-12-S1-O1-R1</x:v>
      </x:c>
      <x:c r="C271" s="7" t="str">
        <x:v>BLD-A</x:v>
      </x:c>
      <x:c r="D271" s="7" t="str">
        <x:v>MF-12</x:v>
      </x:c>
      <x:c r="E271" s="7" t="str">
        <x:v>STD-12-1</x:v>
      </x:c>
      <x:c r="F271" s="7" t="str">
        <x:v>OP-1</x:v>
      </x:c>
      <x:c r="G271" s="7" t="n">
        <x:v>1</x:v>
      </x:c>
      <x:c r="H271" s="7" t="str"/>
      <x:c r="I271" s="7" t="str"/>
      <x:c r="J271" s="7" t="str">
        <x:f>IF(OR(H271="",I271=""),"",I271-H271)</x:f>
      </x:c>
      <x:c r="K271" s="7" t="str"/>
      <x:c r="L271" s="7" t="str"/>
      <x:c r="M271" s="7" t="str"/>
      <x:c r="N271" s="7" t="str">
        <x:f>IF(M271="","OPEN",IF(OR(NOT(ISNUMBER(H271)),NOT(ISNUMBER(I271)),K271="",L271=""),"FAIL","PASS"))</x:f>
        <x:v>OPEN</x:v>
      </x:c>
    </x:row>
    <x:row r="272">
      <x:c r="B272" s="7" t="str">
        <x:v>TRO-A-12-S1-O1-R2</x:v>
      </x:c>
      <x:c r="C272" s="7" t="str">
        <x:v>BLD-A</x:v>
      </x:c>
      <x:c r="D272" s="7" t="str">
        <x:v>MF-12</x:v>
      </x:c>
      <x:c r="E272" s="7" t="str">
        <x:v>STD-12-1</x:v>
      </x:c>
      <x:c r="F272" s="7" t="str">
        <x:v>OP-1</x:v>
      </x:c>
      <x:c r="G272" s="7" t="n">
        <x:v>2</x:v>
      </x:c>
      <x:c r="H272" s="7" t="str"/>
      <x:c r="I272" s="7" t="str"/>
      <x:c r="J272" s="7" t="str">
        <x:f>IF(OR(H272="",I272=""),"",I272-H272)</x:f>
      </x:c>
      <x:c r="K272" s="7" t="str"/>
      <x:c r="L272" s="7" t="str"/>
      <x:c r="M272" s="7" t="str"/>
      <x:c r="N272" s="7" t="str">
        <x:f>IF(M272="","OPEN",IF(OR(NOT(ISNUMBER(H272)),NOT(ISNUMBER(I272)),K272="",L272=""),"FAIL","PASS"))</x:f>
        <x:v>OPEN</x:v>
      </x:c>
    </x:row>
    <x:row r="273">
      <x:c r="B273" s="7" t="str">
        <x:v>TRO-A-12-S1-O2-R1</x:v>
      </x:c>
      <x:c r="C273" s="7" t="str">
        <x:v>BLD-A</x:v>
      </x:c>
      <x:c r="D273" s="7" t="str">
        <x:v>MF-12</x:v>
      </x:c>
      <x:c r="E273" s="7" t="str">
        <x:v>STD-12-1</x:v>
      </x:c>
      <x:c r="F273" s="7" t="str">
        <x:v>OP-2</x:v>
      </x:c>
      <x:c r="G273" s="7" t="n">
        <x:v>1</x:v>
      </x:c>
      <x:c r="H273" s="7" t="str"/>
      <x:c r="I273" s="7" t="str"/>
      <x:c r="J273" s="7" t="str">
        <x:f>IF(OR(H273="",I273=""),"",I273-H273)</x:f>
      </x:c>
      <x:c r="K273" s="7" t="str"/>
      <x:c r="L273" s="7" t="str"/>
      <x:c r="M273" s="7" t="str"/>
      <x:c r="N273" s="7" t="str">
        <x:f>IF(M273="","OPEN",IF(OR(NOT(ISNUMBER(H273)),NOT(ISNUMBER(I273)),K273="",L273=""),"FAIL","PASS"))</x:f>
        <x:v>OPEN</x:v>
      </x:c>
    </x:row>
    <x:row r="274">
      <x:c r="B274" s="7" t="str">
        <x:v>TRO-A-12-S1-O2-R2</x:v>
      </x:c>
      <x:c r="C274" s="7" t="str">
        <x:v>BLD-A</x:v>
      </x:c>
      <x:c r="D274" s="7" t="str">
        <x:v>MF-12</x:v>
      </x:c>
      <x:c r="E274" s="7" t="str">
        <x:v>STD-12-1</x:v>
      </x:c>
      <x:c r="F274" s="7" t="str">
        <x:v>OP-2</x:v>
      </x:c>
      <x:c r="G274" s="7" t="n">
        <x:v>2</x:v>
      </x:c>
      <x:c r="H274" s="7" t="str"/>
      <x:c r="I274" s="7" t="str"/>
      <x:c r="J274" s="7" t="str">
        <x:f>IF(OR(H274="",I274=""),"",I274-H274)</x:f>
      </x:c>
      <x:c r="K274" s="7" t="str"/>
      <x:c r="L274" s="7" t="str"/>
      <x:c r="M274" s="7" t="str"/>
      <x:c r="N274" s="7" t="str">
        <x:f>IF(M274="","OPEN",IF(OR(NOT(ISNUMBER(H274)),NOT(ISNUMBER(I274)),K274="",L274=""),"FAIL","PASS"))</x:f>
        <x:v>OPEN</x:v>
      </x:c>
    </x:row>
    <x:row r="275">
      <x:c r="B275" s="7" t="str">
        <x:v>TRO-A-12-S2-O1-R1</x:v>
      </x:c>
      <x:c r="C275" s="7" t="str">
        <x:v>BLD-A</x:v>
      </x:c>
      <x:c r="D275" s="7" t="str">
        <x:v>MF-12</x:v>
      </x:c>
      <x:c r="E275" s="7" t="str">
        <x:v>STD-12-2</x:v>
      </x:c>
      <x:c r="F275" s="7" t="str">
        <x:v>OP-1</x:v>
      </x:c>
      <x:c r="G275" s="7" t="n">
        <x:v>1</x:v>
      </x:c>
      <x:c r="H275" s="7" t="str"/>
      <x:c r="I275" s="7" t="str"/>
      <x:c r="J275" s="7" t="str">
        <x:f>IF(OR(H275="",I275=""),"",I275-H275)</x:f>
      </x:c>
      <x:c r="K275" s="7" t="str"/>
      <x:c r="L275" s="7" t="str"/>
      <x:c r="M275" s="7" t="str"/>
      <x:c r="N275" s="7" t="str">
        <x:f>IF(M275="","OPEN",IF(OR(NOT(ISNUMBER(H275)),NOT(ISNUMBER(I275)),K275="",L275=""),"FAIL","PASS"))</x:f>
        <x:v>OPEN</x:v>
      </x:c>
    </x:row>
    <x:row r="276">
      <x:c r="B276" s="7" t="str">
        <x:v>TRO-A-12-S2-O1-R2</x:v>
      </x:c>
      <x:c r="C276" s="7" t="str">
        <x:v>BLD-A</x:v>
      </x:c>
      <x:c r="D276" s="7" t="str">
        <x:v>MF-12</x:v>
      </x:c>
      <x:c r="E276" s="7" t="str">
        <x:v>STD-12-2</x:v>
      </x:c>
      <x:c r="F276" s="7" t="str">
        <x:v>OP-1</x:v>
      </x:c>
      <x:c r="G276" s="7" t="n">
        <x:v>2</x:v>
      </x:c>
      <x:c r="H276" s="7" t="str"/>
      <x:c r="I276" s="7" t="str"/>
      <x:c r="J276" s="7" t="str">
        <x:f>IF(OR(H276="",I276=""),"",I276-H276)</x:f>
      </x:c>
      <x:c r="K276" s="7" t="str"/>
      <x:c r="L276" s="7" t="str"/>
      <x:c r="M276" s="7" t="str"/>
      <x:c r="N276" s="7" t="str">
        <x:f>IF(M276="","OPEN",IF(OR(NOT(ISNUMBER(H276)),NOT(ISNUMBER(I276)),K276="",L276=""),"FAIL","PASS"))</x:f>
        <x:v>OPEN</x:v>
      </x:c>
    </x:row>
    <x:row r="277">
      <x:c r="B277" s="7" t="str">
        <x:v>TRO-A-12-S2-O2-R1</x:v>
      </x:c>
      <x:c r="C277" s="7" t="str">
        <x:v>BLD-A</x:v>
      </x:c>
      <x:c r="D277" s="7" t="str">
        <x:v>MF-12</x:v>
      </x:c>
      <x:c r="E277" s="7" t="str">
        <x:v>STD-12-2</x:v>
      </x:c>
      <x:c r="F277" s="7" t="str">
        <x:v>OP-2</x:v>
      </x:c>
      <x:c r="G277" s="7" t="n">
        <x:v>1</x:v>
      </x:c>
      <x:c r="H277" s="7" t="str"/>
      <x:c r="I277" s="7" t="str"/>
      <x:c r="J277" s="7" t="str">
        <x:f>IF(OR(H277="",I277=""),"",I277-H277)</x:f>
      </x:c>
      <x:c r="K277" s="7" t="str"/>
      <x:c r="L277" s="7" t="str"/>
      <x:c r="M277" s="7" t="str"/>
      <x:c r="N277" s="7" t="str">
        <x:f>IF(M277="","OPEN",IF(OR(NOT(ISNUMBER(H277)),NOT(ISNUMBER(I277)),K277="",L277=""),"FAIL","PASS"))</x:f>
        <x:v>OPEN</x:v>
      </x:c>
    </x:row>
    <x:row r="278">
      <x:c r="B278" s="7" t="str">
        <x:v>TRO-A-12-S2-O2-R2</x:v>
      </x:c>
      <x:c r="C278" s="7" t="str">
        <x:v>BLD-A</x:v>
      </x:c>
      <x:c r="D278" s="7" t="str">
        <x:v>MF-12</x:v>
      </x:c>
      <x:c r="E278" s="7" t="str">
        <x:v>STD-12-2</x:v>
      </x:c>
      <x:c r="F278" s="7" t="str">
        <x:v>OP-2</x:v>
      </x:c>
      <x:c r="G278" s="7" t="n">
        <x:v>2</x:v>
      </x:c>
      <x:c r="H278" s="7" t="str"/>
      <x:c r="I278" s="7" t="str"/>
      <x:c r="J278" s="7" t="str">
        <x:f>IF(OR(H278="",I278=""),"",I278-H278)</x:f>
      </x:c>
      <x:c r="K278" s="7" t="str"/>
      <x:c r="L278" s="7" t="str"/>
      <x:c r="M278" s="7" t="str"/>
      <x:c r="N278" s="7" t="str">
        <x:f>IF(M278="","OPEN",IF(OR(NOT(ISNUMBER(H278)),NOT(ISNUMBER(I278)),K278="",L278=""),"FAIL","PASS"))</x:f>
        <x:v>OPEN</x:v>
      </x:c>
    </x:row>
    <x:row r="279">
      <x:c r="B279" s="7" t="str">
        <x:v>TRO-A-12-S3-O1-R1</x:v>
      </x:c>
      <x:c r="C279" s="7" t="str">
        <x:v>BLD-A</x:v>
      </x:c>
      <x:c r="D279" s="7" t="str">
        <x:v>MF-12</x:v>
      </x:c>
      <x:c r="E279" s="7" t="str">
        <x:v>STD-12-3</x:v>
      </x:c>
      <x:c r="F279" s="7" t="str">
        <x:v>OP-1</x:v>
      </x:c>
      <x:c r="G279" s="7" t="n">
        <x:v>1</x:v>
      </x:c>
      <x:c r="H279" s="7" t="str"/>
      <x:c r="I279" s="7" t="str"/>
      <x:c r="J279" s="7" t="str">
        <x:f>IF(OR(H279="",I279=""),"",I279-H279)</x:f>
      </x:c>
      <x:c r="K279" s="7" t="str"/>
      <x:c r="L279" s="7" t="str"/>
      <x:c r="M279" s="7" t="str"/>
      <x:c r="N279" s="7" t="str">
        <x:f>IF(M279="","OPEN",IF(OR(NOT(ISNUMBER(H279)),NOT(ISNUMBER(I279)),K279="",L279=""),"FAIL","PASS"))</x:f>
        <x:v>OPEN</x:v>
      </x:c>
    </x:row>
    <x:row r="280">
      <x:c r="B280" s="7" t="str">
        <x:v>TRO-A-12-S3-O1-R2</x:v>
      </x:c>
      <x:c r="C280" s="7" t="str">
        <x:v>BLD-A</x:v>
      </x:c>
      <x:c r="D280" s="7" t="str">
        <x:v>MF-12</x:v>
      </x:c>
      <x:c r="E280" s="7" t="str">
        <x:v>STD-12-3</x:v>
      </x:c>
      <x:c r="F280" s="7" t="str">
        <x:v>OP-1</x:v>
      </x:c>
      <x:c r="G280" s="7" t="n">
        <x:v>2</x:v>
      </x:c>
      <x:c r="H280" s="7" t="str"/>
      <x:c r="I280" s="7" t="str"/>
      <x:c r="J280" s="7" t="str">
        <x:f>IF(OR(H280="",I280=""),"",I280-H280)</x:f>
      </x:c>
      <x:c r="K280" s="7" t="str"/>
      <x:c r="L280" s="7" t="str"/>
      <x:c r="M280" s="7" t="str"/>
      <x:c r="N280" s="7" t="str">
        <x:f>IF(M280="","OPEN",IF(OR(NOT(ISNUMBER(H280)),NOT(ISNUMBER(I280)),K280="",L280=""),"FAIL","PASS"))</x:f>
        <x:v>OPEN</x:v>
      </x:c>
    </x:row>
    <x:row r="281">
      <x:c r="B281" s="7" t="str">
        <x:v>TRO-A-12-S3-O2-R1</x:v>
      </x:c>
      <x:c r="C281" s="7" t="str">
        <x:v>BLD-A</x:v>
      </x:c>
      <x:c r="D281" s="7" t="str">
        <x:v>MF-12</x:v>
      </x:c>
      <x:c r="E281" s="7" t="str">
        <x:v>STD-12-3</x:v>
      </x:c>
      <x:c r="F281" s="7" t="str">
        <x:v>OP-2</x:v>
      </x:c>
      <x:c r="G281" s="7" t="n">
        <x:v>1</x:v>
      </x:c>
      <x:c r="H281" s="7" t="str"/>
      <x:c r="I281" s="7" t="str"/>
      <x:c r="J281" s="7" t="str">
        <x:f>IF(OR(H281="",I281=""),"",I281-H281)</x:f>
      </x:c>
      <x:c r="K281" s="7" t="str"/>
      <x:c r="L281" s="7" t="str"/>
      <x:c r="M281" s="7" t="str"/>
      <x:c r="N281" s="7" t="str">
        <x:f>IF(M281="","OPEN",IF(OR(NOT(ISNUMBER(H281)),NOT(ISNUMBER(I281)),K281="",L281=""),"FAIL","PASS"))</x:f>
        <x:v>OPEN</x:v>
      </x:c>
    </x:row>
    <x:row r="282">
      <x:c r="B282" s="7" t="str">
        <x:v>TRO-A-12-S3-O2-R2</x:v>
      </x:c>
      <x:c r="C282" s="7" t="str">
        <x:v>BLD-A</x:v>
      </x:c>
      <x:c r="D282" s="7" t="str">
        <x:v>MF-12</x:v>
      </x:c>
      <x:c r="E282" s="7" t="str">
        <x:v>STD-12-3</x:v>
      </x:c>
      <x:c r="F282" s="7" t="str">
        <x:v>OP-2</x:v>
      </x:c>
      <x:c r="G282" s="7" t="n">
        <x:v>2</x:v>
      </x:c>
      <x:c r="H282" s="7" t="str"/>
      <x:c r="I282" s="7" t="str"/>
      <x:c r="J282" s="7" t="str">
        <x:f>IF(OR(H282="",I282=""),"",I282-H282)</x:f>
      </x:c>
      <x:c r="K282" s="7" t="str"/>
      <x:c r="L282" s="7" t="str"/>
      <x:c r="M282" s="7" t="str"/>
      <x:c r="N282" s="7" t="str">
        <x:f>IF(M282="","OPEN",IF(OR(NOT(ISNUMBER(H282)),NOT(ISNUMBER(I282)),K282="",L282=""),"FAIL","PASS"))</x:f>
        <x:v>OPEN</x:v>
      </x:c>
    </x:row>
    <x:row r="283">
      <x:c r="B283" s="7" t="str">
        <x:v>TRO-A-12-S4-O1-R1</x:v>
      </x:c>
      <x:c r="C283" s="7" t="str">
        <x:v>BLD-A</x:v>
      </x:c>
      <x:c r="D283" s="7" t="str">
        <x:v>MF-12</x:v>
      </x:c>
      <x:c r="E283" s="7" t="str">
        <x:v>STD-12-4</x:v>
      </x:c>
      <x:c r="F283" s="7" t="str">
        <x:v>OP-1</x:v>
      </x:c>
      <x:c r="G283" s="7" t="n">
        <x:v>1</x:v>
      </x:c>
      <x:c r="H283" s="7" t="str"/>
      <x:c r="I283" s="7" t="str"/>
      <x:c r="J283" s="7" t="str">
        <x:f>IF(OR(H283="",I283=""),"",I283-H283)</x:f>
      </x:c>
      <x:c r="K283" s="7" t="str"/>
      <x:c r="L283" s="7" t="str"/>
      <x:c r="M283" s="7" t="str"/>
      <x:c r="N283" s="7" t="str">
        <x:f>IF(M283="","OPEN",IF(OR(NOT(ISNUMBER(H283)),NOT(ISNUMBER(I283)),K283="",L283=""),"FAIL","PASS"))</x:f>
        <x:v>OPEN</x:v>
      </x:c>
    </x:row>
    <x:row r="284">
      <x:c r="B284" s="7" t="str">
        <x:v>TRO-A-12-S4-O1-R2</x:v>
      </x:c>
      <x:c r="C284" s="7" t="str">
        <x:v>BLD-A</x:v>
      </x:c>
      <x:c r="D284" s="7" t="str">
        <x:v>MF-12</x:v>
      </x:c>
      <x:c r="E284" s="7" t="str">
        <x:v>STD-12-4</x:v>
      </x:c>
      <x:c r="F284" s="7" t="str">
        <x:v>OP-1</x:v>
      </x:c>
      <x:c r="G284" s="7" t="n">
        <x:v>2</x:v>
      </x:c>
      <x:c r="H284" s="7" t="str"/>
      <x:c r="I284" s="7" t="str"/>
      <x:c r="J284" s="7" t="str">
        <x:f>IF(OR(H284="",I284=""),"",I284-H284)</x:f>
      </x:c>
      <x:c r="K284" s="7" t="str"/>
      <x:c r="L284" s="7" t="str"/>
      <x:c r="M284" s="7" t="str"/>
      <x:c r="N284" s="7" t="str">
        <x:f>IF(M284="","OPEN",IF(OR(NOT(ISNUMBER(H284)),NOT(ISNUMBER(I284)),K284="",L284=""),"FAIL","PASS"))</x:f>
        <x:v>OPEN</x:v>
      </x:c>
    </x:row>
    <x:row r="285">
      <x:c r="B285" s="7" t="str">
        <x:v>TRO-A-12-S4-O2-R1</x:v>
      </x:c>
      <x:c r="C285" s="7" t="str">
        <x:v>BLD-A</x:v>
      </x:c>
      <x:c r="D285" s="7" t="str">
        <x:v>MF-12</x:v>
      </x:c>
      <x:c r="E285" s="7" t="str">
        <x:v>STD-12-4</x:v>
      </x:c>
      <x:c r="F285" s="7" t="str">
        <x:v>OP-2</x:v>
      </x:c>
      <x:c r="G285" s="7" t="n">
        <x:v>1</x:v>
      </x:c>
      <x:c r="H285" s="7" t="str"/>
      <x:c r="I285" s="7" t="str"/>
      <x:c r="J285" s="7" t="str">
        <x:f>IF(OR(H285="",I285=""),"",I285-H285)</x:f>
      </x:c>
      <x:c r="K285" s="7" t="str"/>
      <x:c r="L285" s="7" t="str"/>
      <x:c r="M285" s="7" t="str"/>
      <x:c r="N285" s="7" t="str">
        <x:f>IF(M285="","OPEN",IF(OR(NOT(ISNUMBER(H285)),NOT(ISNUMBER(I285)),K285="",L285=""),"FAIL","PASS"))</x:f>
        <x:v>OPEN</x:v>
      </x:c>
    </x:row>
    <x:row r="286">
      <x:c r="B286" s="7" t="str">
        <x:v>TRO-A-12-S4-O2-R2</x:v>
      </x:c>
      <x:c r="C286" s="7" t="str">
        <x:v>BLD-A</x:v>
      </x:c>
      <x:c r="D286" s="7" t="str">
        <x:v>MF-12</x:v>
      </x:c>
      <x:c r="E286" s="7" t="str">
        <x:v>STD-12-4</x:v>
      </x:c>
      <x:c r="F286" s="7" t="str">
        <x:v>OP-2</x:v>
      </x:c>
      <x:c r="G286" s="7" t="n">
        <x:v>2</x:v>
      </x:c>
      <x:c r="H286" s="7" t="str"/>
      <x:c r="I286" s="7" t="str"/>
      <x:c r="J286" s="7" t="str">
        <x:f>IF(OR(H286="",I286=""),"",I286-H286)</x:f>
      </x:c>
      <x:c r="K286" s="7" t="str"/>
      <x:c r="L286" s="7" t="str"/>
      <x:c r="M286" s="7" t="str"/>
      <x:c r="N286" s="7" t="str">
        <x:f>IF(M286="","OPEN",IF(OR(NOT(ISNUMBER(H286)),NOT(ISNUMBER(I286)),K286="",L286=""),"FAIL","PASS"))</x:f>
        <x:v>OPEN</x:v>
      </x:c>
    </x:row>
    <x:row r="287">
      <x:c r="B287" s="7" t="str">
        <x:v>TRO-A-12-S5-O1-R1</x:v>
      </x:c>
      <x:c r="C287" s="7" t="str">
        <x:v>BLD-A</x:v>
      </x:c>
      <x:c r="D287" s="7" t="str">
        <x:v>MF-12</x:v>
      </x:c>
      <x:c r="E287" s="7" t="str">
        <x:v>STD-12-5</x:v>
      </x:c>
      <x:c r="F287" s="7" t="str">
        <x:v>OP-1</x:v>
      </x:c>
      <x:c r="G287" s="7" t="n">
        <x:v>1</x:v>
      </x:c>
      <x:c r="H287" s="7" t="str"/>
      <x:c r="I287" s="7" t="str"/>
      <x:c r="J287" s="7" t="str">
        <x:f>IF(OR(H287="",I287=""),"",I287-H287)</x:f>
      </x:c>
      <x:c r="K287" s="7" t="str"/>
      <x:c r="L287" s="7" t="str"/>
      <x:c r="M287" s="7" t="str"/>
      <x:c r="N287" s="7" t="str">
        <x:f>IF(M287="","OPEN",IF(OR(NOT(ISNUMBER(H287)),NOT(ISNUMBER(I287)),K287="",L287=""),"FAIL","PASS"))</x:f>
        <x:v>OPEN</x:v>
      </x:c>
    </x:row>
    <x:row r="288">
      <x:c r="B288" s="7" t="str">
        <x:v>TRO-A-12-S5-O1-R2</x:v>
      </x:c>
      <x:c r="C288" s="7" t="str">
        <x:v>BLD-A</x:v>
      </x:c>
      <x:c r="D288" s="7" t="str">
        <x:v>MF-12</x:v>
      </x:c>
      <x:c r="E288" s="7" t="str">
        <x:v>STD-12-5</x:v>
      </x:c>
      <x:c r="F288" s="7" t="str">
        <x:v>OP-1</x:v>
      </x:c>
      <x:c r="G288" s="7" t="n">
        <x:v>2</x:v>
      </x:c>
      <x:c r="H288" s="7" t="str"/>
      <x:c r="I288" s="7" t="str"/>
      <x:c r="J288" s="7" t="str">
        <x:f>IF(OR(H288="",I288=""),"",I288-H288)</x:f>
      </x:c>
      <x:c r="K288" s="7" t="str"/>
      <x:c r="L288" s="7" t="str"/>
      <x:c r="M288" s="7" t="str"/>
      <x:c r="N288" s="7" t="str">
        <x:f>IF(M288="","OPEN",IF(OR(NOT(ISNUMBER(H288)),NOT(ISNUMBER(I288)),K288="",L288=""),"FAIL","PASS"))</x:f>
        <x:v>OPEN</x:v>
      </x:c>
    </x:row>
    <x:row r="289">
      <x:c r="B289" s="7" t="str">
        <x:v>TRO-A-12-S5-O2-R1</x:v>
      </x:c>
      <x:c r="C289" s="7" t="str">
        <x:v>BLD-A</x:v>
      </x:c>
      <x:c r="D289" s="7" t="str">
        <x:v>MF-12</x:v>
      </x:c>
      <x:c r="E289" s="7" t="str">
        <x:v>STD-12-5</x:v>
      </x:c>
      <x:c r="F289" s="7" t="str">
        <x:v>OP-2</x:v>
      </x:c>
      <x:c r="G289" s="7" t="n">
        <x:v>1</x:v>
      </x:c>
      <x:c r="H289" s="7" t="str"/>
      <x:c r="I289" s="7" t="str"/>
      <x:c r="J289" s="7" t="str">
        <x:f>IF(OR(H289="",I289=""),"",I289-H289)</x:f>
      </x:c>
      <x:c r="K289" s="7" t="str"/>
      <x:c r="L289" s="7" t="str"/>
      <x:c r="M289" s="7" t="str"/>
      <x:c r="N289" s="7" t="str">
        <x:f>IF(M289="","OPEN",IF(OR(NOT(ISNUMBER(H289)),NOT(ISNUMBER(I289)),K289="",L289=""),"FAIL","PASS"))</x:f>
        <x:v>OPEN</x:v>
      </x:c>
    </x:row>
    <x:row r="290">
      <x:c r="B290" s="7" t="str">
        <x:v>TRO-A-12-S5-O2-R2</x:v>
      </x:c>
      <x:c r="C290" s="7" t="str">
        <x:v>BLD-A</x:v>
      </x:c>
      <x:c r="D290" s="7" t="str">
        <x:v>MF-12</x:v>
      </x:c>
      <x:c r="E290" s="7" t="str">
        <x:v>STD-12-5</x:v>
      </x:c>
      <x:c r="F290" s="7" t="str">
        <x:v>OP-2</x:v>
      </x:c>
      <x:c r="G290" s="7" t="n">
        <x:v>2</x:v>
      </x:c>
      <x:c r="H290" s="7" t="str"/>
      <x:c r="I290" s="7" t="str"/>
      <x:c r="J290" s="7" t="str">
        <x:f>IF(OR(H290="",I290=""),"",I290-H290)</x:f>
      </x:c>
      <x:c r="K290" s="7" t="str"/>
      <x:c r="L290" s="7" t="str"/>
      <x:c r="M290" s="7" t="str"/>
      <x:c r="N290" s="7" t="str">
        <x:f>IF(M290="","OPEN",IF(OR(NOT(ISNUMBER(H290)),NOT(ISNUMBER(I290)),K290="",L290=""),"FAIL","PASS"))</x:f>
        <x:v>OPEN</x:v>
      </x:c>
    </x:row>
    <x:row r="291">
      <x:c r="B291" s="7" t="str">
        <x:v>TRO-A-12-S6-O1-R1</x:v>
      </x:c>
      <x:c r="C291" s="7" t="str">
        <x:v>BLD-A</x:v>
      </x:c>
      <x:c r="D291" s="7" t="str">
        <x:v>MF-12</x:v>
      </x:c>
      <x:c r="E291" s="7" t="str">
        <x:v>STD-12-6</x:v>
      </x:c>
      <x:c r="F291" s="7" t="str">
        <x:v>OP-1</x:v>
      </x:c>
      <x:c r="G291" s="7" t="n">
        <x:v>1</x:v>
      </x:c>
      <x:c r="H291" s="7" t="str"/>
      <x:c r="I291" s="7" t="str"/>
      <x:c r="J291" s="7" t="str">
        <x:f>IF(OR(H291="",I291=""),"",I291-H291)</x:f>
      </x:c>
      <x:c r="K291" s="7" t="str"/>
      <x:c r="L291" s="7" t="str"/>
      <x:c r="M291" s="7" t="str"/>
      <x:c r="N291" s="7" t="str">
        <x:f>IF(M291="","OPEN",IF(OR(NOT(ISNUMBER(H291)),NOT(ISNUMBER(I291)),K291="",L291=""),"FAIL","PASS"))</x:f>
        <x:v>OPEN</x:v>
      </x:c>
    </x:row>
    <x:row r="292">
      <x:c r="B292" s="7" t="str">
        <x:v>TRO-A-12-S6-O1-R2</x:v>
      </x:c>
      <x:c r="C292" s="7" t="str">
        <x:v>BLD-A</x:v>
      </x:c>
      <x:c r="D292" s="7" t="str">
        <x:v>MF-12</x:v>
      </x:c>
      <x:c r="E292" s="7" t="str">
        <x:v>STD-12-6</x:v>
      </x:c>
      <x:c r="F292" s="7" t="str">
        <x:v>OP-1</x:v>
      </x:c>
      <x:c r="G292" s="7" t="n">
        <x:v>2</x:v>
      </x:c>
      <x:c r="H292" s="7" t="str"/>
      <x:c r="I292" s="7" t="str"/>
      <x:c r="J292" s="7" t="str">
        <x:f>IF(OR(H292="",I292=""),"",I292-H292)</x:f>
      </x:c>
      <x:c r="K292" s="7" t="str"/>
      <x:c r="L292" s="7" t="str"/>
      <x:c r="M292" s="7" t="str"/>
      <x:c r="N292" s="7" t="str">
        <x:f>IF(M292="","OPEN",IF(OR(NOT(ISNUMBER(H292)),NOT(ISNUMBER(I292)),K292="",L292=""),"FAIL","PASS"))</x:f>
        <x:v>OPEN</x:v>
      </x:c>
    </x:row>
    <x:row r="293">
      <x:c r="B293" s="7" t="str">
        <x:v>TRO-A-12-S6-O2-R1</x:v>
      </x:c>
      <x:c r="C293" s="7" t="str">
        <x:v>BLD-A</x:v>
      </x:c>
      <x:c r="D293" s="7" t="str">
        <x:v>MF-12</x:v>
      </x:c>
      <x:c r="E293" s="7" t="str">
        <x:v>STD-12-6</x:v>
      </x:c>
      <x:c r="F293" s="7" t="str">
        <x:v>OP-2</x:v>
      </x:c>
      <x:c r="G293" s="7" t="n">
        <x:v>1</x:v>
      </x:c>
      <x:c r="H293" s="7" t="str"/>
      <x:c r="I293" s="7" t="str"/>
      <x:c r="J293" s="7" t="str">
        <x:f>IF(OR(H293="",I293=""),"",I293-H293)</x:f>
      </x:c>
      <x:c r="K293" s="7" t="str"/>
      <x:c r="L293" s="7" t="str"/>
      <x:c r="M293" s="7" t="str"/>
      <x:c r="N293" s="7" t="str">
        <x:f>IF(M293="","OPEN",IF(OR(NOT(ISNUMBER(H293)),NOT(ISNUMBER(I293)),K293="",L293=""),"FAIL","PASS"))</x:f>
        <x:v>OPEN</x:v>
      </x:c>
    </x:row>
    <x:row r="294">
      <x:c r="B294" s="7" t="str">
        <x:v>TRO-A-12-S6-O2-R2</x:v>
      </x:c>
      <x:c r="C294" s="7" t="str">
        <x:v>BLD-A</x:v>
      </x:c>
      <x:c r="D294" s="7" t="str">
        <x:v>MF-12</x:v>
      </x:c>
      <x:c r="E294" s="7" t="str">
        <x:v>STD-12-6</x:v>
      </x:c>
      <x:c r="F294" s="7" t="str">
        <x:v>OP-2</x:v>
      </x:c>
      <x:c r="G294" s="7" t="n">
        <x:v>2</x:v>
      </x:c>
      <x:c r="H294" s="7" t="str"/>
      <x:c r="I294" s="7" t="str"/>
      <x:c r="J294" s="7" t="str">
        <x:f>IF(OR(H294="",I294=""),"",I294-H294)</x:f>
      </x:c>
      <x:c r="K294" s="7" t="str"/>
      <x:c r="L294" s="7" t="str"/>
      <x:c r="M294" s="7" t="str"/>
      <x:c r="N294" s="7" t="str">
        <x:f>IF(M294="","OPEN",IF(OR(NOT(ISNUMBER(H294)),NOT(ISNUMBER(I294)),K294="",L294=""),"FAIL","PASS"))</x:f>
        <x:v>OPEN</x:v>
      </x:c>
    </x:row>
    <x:row r="295">
      <x:c r="B295" s="7" t="str">
        <x:v>TRO-A-13-S1-O1-R1</x:v>
      </x:c>
      <x:c r="C295" s="7" t="str">
        <x:v>BLD-A</x:v>
      </x:c>
      <x:c r="D295" s="7" t="str">
        <x:v>MF-13</x:v>
      </x:c>
      <x:c r="E295" s="7" t="str">
        <x:v>STD-13-1</x:v>
      </x:c>
      <x:c r="F295" s="7" t="str">
        <x:v>OP-1</x:v>
      </x:c>
      <x:c r="G295" s="7" t="n">
        <x:v>1</x:v>
      </x:c>
      <x:c r="H295" s="7" t="str"/>
      <x:c r="I295" s="7" t="str"/>
      <x:c r="J295" s="7" t="str">
        <x:f>IF(OR(H295="",I295=""),"",I295-H295)</x:f>
      </x:c>
      <x:c r="K295" s="7" t="str"/>
      <x:c r="L295" s="7" t="str"/>
      <x:c r="M295" s="7" t="str"/>
      <x:c r="N295" s="7" t="str">
        <x:f>IF(M295="","OPEN",IF(OR(NOT(ISNUMBER(H295)),NOT(ISNUMBER(I295)),K295="",L295=""),"FAIL","PASS"))</x:f>
        <x:v>OPEN</x:v>
      </x:c>
    </x:row>
    <x:row r="296">
      <x:c r="B296" s="7" t="str">
        <x:v>TRO-A-13-S1-O1-R2</x:v>
      </x:c>
      <x:c r="C296" s="7" t="str">
        <x:v>BLD-A</x:v>
      </x:c>
      <x:c r="D296" s="7" t="str">
        <x:v>MF-13</x:v>
      </x:c>
      <x:c r="E296" s="7" t="str">
        <x:v>STD-13-1</x:v>
      </x:c>
      <x:c r="F296" s="7" t="str">
        <x:v>OP-1</x:v>
      </x:c>
      <x:c r="G296" s="7" t="n">
        <x:v>2</x:v>
      </x:c>
      <x:c r="H296" s="7" t="str"/>
      <x:c r="I296" s="7" t="str"/>
      <x:c r="J296" s="7" t="str">
        <x:f>IF(OR(H296="",I296=""),"",I296-H296)</x:f>
      </x:c>
      <x:c r="K296" s="7" t="str"/>
      <x:c r="L296" s="7" t="str"/>
      <x:c r="M296" s="7" t="str"/>
      <x:c r="N296" s="7" t="str">
        <x:f>IF(M296="","OPEN",IF(OR(NOT(ISNUMBER(H296)),NOT(ISNUMBER(I296)),K296="",L296=""),"FAIL","PASS"))</x:f>
        <x:v>OPEN</x:v>
      </x:c>
    </x:row>
    <x:row r="297">
      <x:c r="B297" s="7" t="str">
        <x:v>TRO-A-13-S1-O2-R1</x:v>
      </x:c>
      <x:c r="C297" s="7" t="str">
        <x:v>BLD-A</x:v>
      </x:c>
      <x:c r="D297" s="7" t="str">
        <x:v>MF-13</x:v>
      </x:c>
      <x:c r="E297" s="7" t="str">
        <x:v>STD-13-1</x:v>
      </x:c>
      <x:c r="F297" s="7" t="str">
        <x:v>OP-2</x:v>
      </x:c>
      <x:c r="G297" s="7" t="n">
        <x:v>1</x:v>
      </x:c>
      <x:c r="H297" s="7" t="str"/>
      <x:c r="I297" s="7" t="str"/>
      <x:c r="J297" s="7" t="str">
        <x:f>IF(OR(H297="",I297=""),"",I297-H297)</x:f>
      </x:c>
      <x:c r="K297" s="7" t="str"/>
      <x:c r="L297" s="7" t="str"/>
      <x:c r="M297" s="7" t="str"/>
      <x:c r="N297" s="7" t="str">
        <x:f>IF(M297="","OPEN",IF(OR(NOT(ISNUMBER(H297)),NOT(ISNUMBER(I297)),K297="",L297=""),"FAIL","PASS"))</x:f>
        <x:v>OPEN</x:v>
      </x:c>
    </x:row>
    <x:row r="298">
      <x:c r="B298" s="7" t="str">
        <x:v>TRO-A-13-S1-O2-R2</x:v>
      </x:c>
      <x:c r="C298" s="7" t="str">
        <x:v>BLD-A</x:v>
      </x:c>
      <x:c r="D298" s="7" t="str">
        <x:v>MF-13</x:v>
      </x:c>
      <x:c r="E298" s="7" t="str">
        <x:v>STD-13-1</x:v>
      </x:c>
      <x:c r="F298" s="7" t="str">
        <x:v>OP-2</x:v>
      </x:c>
      <x:c r="G298" s="7" t="n">
        <x:v>2</x:v>
      </x:c>
      <x:c r="H298" s="7" t="str"/>
      <x:c r="I298" s="7" t="str"/>
      <x:c r="J298" s="7" t="str">
        <x:f>IF(OR(H298="",I298=""),"",I298-H298)</x:f>
      </x:c>
      <x:c r="K298" s="7" t="str"/>
      <x:c r="L298" s="7" t="str"/>
      <x:c r="M298" s="7" t="str"/>
      <x:c r="N298" s="7" t="str">
        <x:f>IF(M298="","OPEN",IF(OR(NOT(ISNUMBER(H298)),NOT(ISNUMBER(I298)),K298="",L298=""),"FAIL","PASS"))</x:f>
        <x:v>OPEN</x:v>
      </x:c>
    </x:row>
    <x:row r="299">
      <x:c r="B299" s="7" t="str">
        <x:v>TRO-A-13-S2-O1-R1</x:v>
      </x:c>
      <x:c r="C299" s="7" t="str">
        <x:v>BLD-A</x:v>
      </x:c>
      <x:c r="D299" s="7" t="str">
        <x:v>MF-13</x:v>
      </x:c>
      <x:c r="E299" s="7" t="str">
        <x:v>STD-13-2</x:v>
      </x:c>
      <x:c r="F299" s="7" t="str">
        <x:v>OP-1</x:v>
      </x:c>
      <x:c r="G299" s="7" t="n">
        <x:v>1</x:v>
      </x:c>
      <x:c r="H299" s="7" t="str"/>
      <x:c r="I299" s="7" t="str"/>
      <x:c r="J299" s="7" t="str">
        <x:f>IF(OR(H299="",I299=""),"",I299-H299)</x:f>
      </x:c>
      <x:c r="K299" s="7" t="str"/>
      <x:c r="L299" s="7" t="str"/>
      <x:c r="M299" s="7" t="str"/>
      <x:c r="N299" s="7" t="str">
        <x:f>IF(M299="","OPEN",IF(OR(NOT(ISNUMBER(H299)),NOT(ISNUMBER(I299)),K299="",L299=""),"FAIL","PASS"))</x:f>
        <x:v>OPEN</x:v>
      </x:c>
    </x:row>
    <x:row r="300">
      <x:c r="B300" s="7" t="str">
        <x:v>TRO-A-13-S2-O1-R2</x:v>
      </x:c>
      <x:c r="C300" s="7" t="str">
        <x:v>BLD-A</x:v>
      </x:c>
      <x:c r="D300" s="7" t="str">
        <x:v>MF-13</x:v>
      </x:c>
      <x:c r="E300" s="7" t="str">
        <x:v>STD-13-2</x:v>
      </x:c>
      <x:c r="F300" s="7" t="str">
        <x:v>OP-1</x:v>
      </x:c>
      <x:c r="G300" s="7" t="n">
        <x:v>2</x:v>
      </x:c>
      <x:c r="H300" s="7" t="str"/>
      <x:c r="I300" s="7" t="str"/>
      <x:c r="J300" s="7" t="str">
        <x:f>IF(OR(H300="",I300=""),"",I300-H300)</x:f>
      </x:c>
      <x:c r="K300" s="7" t="str"/>
      <x:c r="L300" s="7" t="str"/>
      <x:c r="M300" s="7" t="str"/>
      <x:c r="N300" s="7" t="str">
        <x:f>IF(M300="","OPEN",IF(OR(NOT(ISNUMBER(H300)),NOT(ISNUMBER(I300)),K300="",L300=""),"FAIL","PASS"))</x:f>
        <x:v>OPEN</x:v>
      </x:c>
    </x:row>
    <x:row r="301">
      <x:c r="B301" s="7" t="str">
        <x:v>TRO-A-13-S2-O2-R1</x:v>
      </x:c>
      <x:c r="C301" s="7" t="str">
        <x:v>BLD-A</x:v>
      </x:c>
      <x:c r="D301" s="7" t="str">
        <x:v>MF-13</x:v>
      </x:c>
      <x:c r="E301" s="7" t="str">
        <x:v>STD-13-2</x:v>
      </x:c>
      <x:c r="F301" s="7" t="str">
        <x:v>OP-2</x:v>
      </x:c>
      <x:c r="G301" s="7" t="n">
        <x:v>1</x:v>
      </x:c>
      <x:c r="H301" s="7" t="str"/>
      <x:c r="I301" s="7" t="str"/>
      <x:c r="J301" s="7" t="str">
        <x:f>IF(OR(H301="",I301=""),"",I301-H301)</x:f>
      </x:c>
      <x:c r="K301" s="7" t="str"/>
      <x:c r="L301" s="7" t="str"/>
      <x:c r="M301" s="7" t="str"/>
      <x:c r="N301" s="7" t="str">
        <x:f>IF(M301="","OPEN",IF(OR(NOT(ISNUMBER(H301)),NOT(ISNUMBER(I301)),K301="",L301=""),"FAIL","PASS"))</x:f>
        <x:v>OPEN</x:v>
      </x:c>
    </x:row>
    <x:row r="302">
      <x:c r="B302" s="7" t="str">
        <x:v>TRO-A-13-S2-O2-R2</x:v>
      </x:c>
      <x:c r="C302" s="7" t="str">
        <x:v>BLD-A</x:v>
      </x:c>
      <x:c r="D302" s="7" t="str">
        <x:v>MF-13</x:v>
      </x:c>
      <x:c r="E302" s="7" t="str">
        <x:v>STD-13-2</x:v>
      </x:c>
      <x:c r="F302" s="7" t="str">
        <x:v>OP-2</x:v>
      </x:c>
      <x:c r="G302" s="7" t="n">
        <x:v>2</x:v>
      </x:c>
      <x:c r="H302" s="7" t="str"/>
      <x:c r="I302" s="7" t="str"/>
      <x:c r="J302" s="7" t="str">
        <x:f>IF(OR(H302="",I302=""),"",I302-H302)</x:f>
      </x:c>
      <x:c r="K302" s="7" t="str"/>
      <x:c r="L302" s="7" t="str"/>
      <x:c r="M302" s="7" t="str"/>
      <x:c r="N302" s="7" t="str">
        <x:f>IF(M302="","OPEN",IF(OR(NOT(ISNUMBER(H302)),NOT(ISNUMBER(I302)),K302="",L302=""),"FAIL","PASS"))</x:f>
        <x:v>OPEN</x:v>
      </x:c>
    </x:row>
    <x:row r="303">
      <x:c r="B303" s="7" t="str">
        <x:v>TRO-A-13-S3-O1-R1</x:v>
      </x:c>
      <x:c r="C303" s="7" t="str">
        <x:v>BLD-A</x:v>
      </x:c>
      <x:c r="D303" s="7" t="str">
        <x:v>MF-13</x:v>
      </x:c>
      <x:c r="E303" s="7" t="str">
        <x:v>STD-13-3</x:v>
      </x:c>
      <x:c r="F303" s="7" t="str">
        <x:v>OP-1</x:v>
      </x:c>
      <x:c r="G303" s="7" t="n">
        <x:v>1</x:v>
      </x:c>
      <x:c r="H303" s="7" t="str"/>
      <x:c r="I303" s="7" t="str"/>
      <x:c r="J303" s="7" t="str">
        <x:f>IF(OR(H303="",I303=""),"",I303-H303)</x:f>
      </x:c>
      <x:c r="K303" s="7" t="str"/>
      <x:c r="L303" s="7" t="str"/>
      <x:c r="M303" s="7" t="str"/>
      <x:c r="N303" s="7" t="str">
        <x:f>IF(M303="","OPEN",IF(OR(NOT(ISNUMBER(H303)),NOT(ISNUMBER(I303)),K303="",L303=""),"FAIL","PASS"))</x:f>
        <x:v>OPEN</x:v>
      </x:c>
    </x:row>
    <x:row r="304">
      <x:c r="B304" s="7" t="str">
        <x:v>TRO-A-13-S3-O1-R2</x:v>
      </x:c>
      <x:c r="C304" s="7" t="str">
        <x:v>BLD-A</x:v>
      </x:c>
      <x:c r="D304" s="7" t="str">
        <x:v>MF-13</x:v>
      </x:c>
      <x:c r="E304" s="7" t="str">
        <x:v>STD-13-3</x:v>
      </x:c>
      <x:c r="F304" s="7" t="str">
        <x:v>OP-1</x:v>
      </x:c>
      <x:c r="G304" s="7" t="n">
        <x:v>2</x:v>
      </x:c>
      <x:c r="H304" s="7" t="str"/>
      <x:c r="I304" s="7" t="str"/>
      <x:c r="J304" s="7" t="str">
        <x:f>IF(OR(H304="",I304=""),"",I304-H304)</x:f>
      </x:c>
      <x:c r="K304" s="7" t="str"/>
      <x:c r="L304" s="7" t="str"/>
      <x:c r="M304" s="7" t="str"/>
      <x:c r="N304" s="7" t="str">
        <x:f>IF(M304="","OPEN",IF(OR(NOT(ISNUMBER(H304)),NOT(ISNUMBER(I304)),K304="",L304=""),"FAIL","PASS"))</x:f>
        <x:v>OPEN</x:v>
      </x:c>
    </x:row>
    <x:row r="305">
      <x:c r="B305" s="7" t="str">
        <x:v>TRO-A-13-S3-O2-R1</x:v>
      </x:c>
      <x:c r="C305" s="7" t="str">
        <x:v>BLD-A</x:v>
      </x:c>
      <x:c r="D305" s="7" t="str">
        <x:v>MF-13</x:v>
      </x:c>
      <x:c r="E305" s="7" t="str">
        <x:v>STD-13-3</x:v>
      </x:c>
      <x:c r="F305" s="7" t="str">
        <x:v>OP-2</x:v>
      </x:c>
      <x:c r="G305" s="7" t="n">
        <x:v>1</x:v>
      </x:c>
      <x:c r="H305" s="7" t="str"/>
      <x:c r="I305" s="7" t="str"/>
      <x:c r="J305" s="7" t="str">
        <x:f>IF(OR(H305="",I305=""),"",I305-H305)</x:f>
      </x:c>
      <x:c r="K305" s="7" t="str"/>
      <x:c r="L305" s="7" t="str"/>
      <x:c r="M305" s="7" t="str"/>
      <x:c r="N305" s="7" t="str">
        <x:f>IF(M305="","OPEN",IF(OR(NOT(ISNUMBER(H305)),NOT(ISNUMBER(I305)),K305="",L305=""),"FAIL","PASS"))</x:f>
        <x:v>OPEN</x:v>
      </x:c>
    </x:row>
    <x:row r="306">
      <x:c r="B306" s="7" t="str">
        <x:v>TRO-A-13-S3-O2-R2</x:v>
      </x:c>
      <x:c r="C306" s="7" t="str">
        <x:v>BLD-A</x:v>
      </x:c>
      <x:c r="D306" s="7" t="str">
        <x:v>MF-13</x:v>
      </x:c>
      <x:c r="E306" s="7" t="str">
        <x:v>STD-13-3</x:v>
      </x:c>
      <x:c r="F306" s="7" t="str">
        <x:v>OP-2</x:v>
      </x:c>
      <x:c r="G306" s="7" t="n">
        <x:v>2</x:v>
      </x:c>
      <x:c r="H306" s="7" t="str"/>
      <x:c r="I306" s="7" t="str"/>
      <x:c r="J306" s="7" t="str">
        <x:f>IF(OR(H306="",I306=""),"",I306-H306)</x:f>
      </x:c>
      <x:c r="K306" s="7" t="str"/>
      <x:c r="L306" s="7" t="str"/>
      <x:c r="M306" s="7" t="str"/>
      <x:c r="N306" s="7" t="str">
        <x:f>IF(M306="","OPEN",IF(OR(NOT(ISNUMBER(H306)),NOT(ISNUMBER(I306)),K306="",L306=""),"FAIL","PASS"))</x:f>
        <x:v>OPEN</x:v>
      </x:c>
    </x:row>
    <x:row r="307">
      <x:c r="B307" s="7" t="str">
        <x:v>TRO-A-13-S4-O1-R1</x:v>
      </x:c>
      <x:c r="C307" s="7" t="str">
        <x:v>BLD-A</x:v>
      </x:c>
      <x:c r="D307" s="7" t="str">
        <x:v>MF-13</x:v>
      </x:c>
      <x:c r="E307" s="7" t="str">
        <x:v>STD-13-4</x:v>
      </x:c>
      <x:c r="F307" s="7" t="str">
        <x:v>OP-1</x:v>
      </x:c>
      <x:c r="G307" s="7" t="n">
        <x:v>1</x:v>
      </x:c>
      <x:c r="H307" s="7" t="str"/>
      <x:c r="I307" s="7" t="str"/>
      <x:c r="J307" s="7" t="str">
        <x:f>IF(OR(H307="",I307=""),"",I307-H307)</x:f>
      </x:c>
      <x:c r="K307" s="7" t="str"/>
      <x:c r="L307" s="7" t="str"/>
      <x:c r="M307" s="7" t="str"/>
      <x:c r="N307" s="7" t="str">
        <x:f>IF(M307="","OPEN",IF(OR(NOT(ISNUMBER(H307)),NOT(ISNUMBER(I307)),K307="",L307=""),"FAIL","PASS"))</x:f>
        <x:v>OPEN</x:v>
      </x:c>
    </x:row>
    <x:row r="308">
      <x:c r="B308" s="7" t="str">
        <x:v>TRO-A-13-S4-O1-R2</x:v>
      </x:c>
      <x:c r="C308" s="7" t="str">
        <x:v>BLD-A</x:v>
      </x:c>
      <x:c r="D308" s="7" t="str">
        <x:v>MF-13</x:v>
      </x:c>
      <x:c r="E308" s="7" t="str">
        <x:v>STD-13-4</x:v>
      </x:c>
      <x:c r="F308" s="7" t="str">
        <x:v>OP-1</x:v>
      </x:c>
      <x:c r="G308" s="7" t="n">
        <x:v>2</x:v>
      </x:c>
      <x:c r="H308" s="7" t="str"/>
      <x:c r="I308" s="7" t="str"/>
      <x:c r="J308" s="7" t="str">
        <x:f>IF(OR(H308="",I308=""),"",I308-H308)</x:f>
      </x:c>
      <x:c r="K308" s="7" t="str"/>
      <x:c r="L308" s="7" t="str"/>
      <x:c r="M308" s="7" t="str"/>
      <x:c r="N308" s="7" t="str">
        <x:f>IF(M308="","OPEN",IF(OR(NOT(ISNUMBER(H308)),NOT(ISNUMBER(I308)),K308="",L308=""),"FAIL","PASS"))</x:f>
        <x:v>OPEN</x:v>
      </x:c>
    </x:row>
    <x:row r="309">
      <x:c r="B309" s="7" t="str">
        <x:v>TRO-A-13-S4-O2-R1</x:v>
      </x:c>
      <x:c r="C309" s="7" t="str">
        <x:v>BLD-A</x:v>
      </x:c>
      <x:c r="D309" s="7" t="str">
        <x:v>MF-13</x:v>
      </x:c>
      <x:c r="E309" s="7" t="str">
        <x:v>STD-13-4</x:v>
      </x:c>
      <x:c r="F309" s="7" t="str">
        <x:v>OP-2</x:v>
      </x:c>
      <x:c r="G309" s="7" t="n">
        <x:v>1</x:v>
      </x:c>
      <x:c r="H309" s="7" t="str"/>
      <x:c r="I309" s="7" t="str"/>
      <x:c r="J309" s="7" t="str">
        <x:f>IF(OR(H309="",I309=""),"",I309-H309)</x:f>
      </x:c>
      <x:c r="K309" s="7" t="str"/>
      <x:c r="L309" s="7" t="str"/>
      <x:c r="M309" s="7" t="str"/>
      <x:c r="N309" s="7" t="str">
        <x:f>IF(M309="","OPEN",IF(OR(NOT(ISNUMBER(H309)),NOT(ISNUMBER(I309)),K309="",L309=""),"FAIL","PASS"))</x:f>
        <x:v>OPEN</x:v>
      </x:c>
    </x:row>
    <x:row r="310">
      <x:c r="B310" s="7" t="str">
        <x:v>TRO-A-13-S4-O2-R2</x:v>
      </x:c>
      <x:c r="C310" s="7" t="str">
        <x:v>BLD-A</x:v>
      </x:c>
      <x:c r="D310" s="7" t="str">
        <x:v>MF-13</x:v>
      </x:c>
      <x:c r="E310" s="7" t="str">
        <x:v>STD-13-4</x:v>
      </x:c>
      <x:c r="F310" s="7" t="str">
        <x:v>OP-2</x:v>
      </x:c>
      <x:c r="G310" s="7" t="n">
        <x:v>2</x:v>
      </x:c>
      <x:c r="H310" s="7" t="str"/>
      <x:c r="I310" s="7" t="str"/>
      <x:c r="J310" s="7" t="str">
        <x:f>IF(OR(H310="",I310=""),"",I310-H310)</x:f>
      </x:c>
      <x:c r="K310" s="7" t="str"/>
      <x:c r="L310" s="7" t="str"/>
      <x:c r="M310" s="7" t="str"/>
      <x:c r="N310" s="7" t="str">
        <x:f>IF(M310="","OPEN",IF(OR(NOT(ISNUMBER(H310)),NOT(ISNUMBER(I310)),K310="",L310=""),"FAIL","PASS"))</x:f>
        <x:v>OPEN</x:v>
      </x:c>
    </x:row>
    <x:row r="311">
      <x:c r="B311" s="7" t="str">
        <x:v>TRO-A-13-S5-O1-R1</x:v>
      </x:c>
      <x:c r="C311" s="7" t="str">
        <x:v>BLD-A</x:v>
      </x:c>
      <x:c r="D311" s="7" t="str">
        <x:v>MF-13</x:v>
      </x:c>
      <x:c r="E311" s="7" t="str">
        <x:v>STD-13-5</x:v>
      </x:c>
      <x:c r="F311" s="7" t="str">
        <x:v>OP-1</x:v>
      </x:c>
      <x:c r="G311" s="7" t="n">
        <x:v>1</x:v>
      </x:c>
      <x:c r="H311" s="7" t="str"/>
      <x:c r="I311" s="7" t="str"/>
      <x:c r="J311" s="7" t="str">
        <x:f>IF(OR(H311="",I311=""),"",I311-H311)</x:f>
      </x:c>
      <x:c r="K311" s="7" t="str"/>
      <x:c r="L311" s="7" t="str"/>
      <x:c r="M311" s="7" t="str"/>
      <x:c r="N311" s="7" t="str">
        <x:f>IF(M311="","OPEN",IF(OR(NOT(ISNUMBER(H311)),NOT(ISNUMBER(I311)),K311="",L311=""),"FAIL","PASS"))</x:f>
        <x:v>OPEN</x:v>
      </x:c>
    </x:row>
    <x:row r="312">
      <x:c r="B312" s="7" t="str">
        <x:v>TRO-A-13-S5-O1-R2</x:v>
      </x:c>
      <x:c r="C312" s="7" t="str">
        <x:v>BLD-A</x:v>
      </x:c>
      <x:c r="D312" s="7" t="str">
        <x:v>MF-13</x:v>
      </x:c>
      <x:c r="E312" s="7" t="str">
        <x:v>STD-13-5</x:v>
      </x:c>
      <x:c r="F312" s="7" t="str">
        <x:v>OP-1</x:v>
      </x:c>
      <x:c r="G312" s="7" t="n">
        <x:v>2</x:v>
      </x:c>
      <x:c r="H312" s="7" t="str"/>
      <x:c r="I312" s="7" t="str"/>
      <x:c r="J312" s="7" t="str">
        <x:f>IF(OR(H312="",I312=""),"",I312-H312)</x:f>
      </x:c>
      <x:c r="K312" s="7" t="str"/>
      <x:c r="L312" s="7" t="str"/>
      <x:c r="M312" s="7" t="str"/>
      <x:c r="N312" s="7" t="str">
        <x:f>IF(M312="","OPEN",IF(OR(NOT(ISNUMBER(H312)),NOT(ISNUMBER(I312)),K312="",L312=""),"FAIL","PASS"))</x:f>
        <x:v>OPEN</x:v>
      </x:c>
    </x:row>
    <x:row r="313">
      <x:c r="B313" s="7" t="str">
        <x:v>TRO-A-13-S5-O2-R1</x:v>
      </x:c>
      <x:c r="C313" s="7" t="str">
        <x:v>BLD-A</x:v>
      </x:c>
      <x:c r="D313" s="7" t="str">
        <x:v>MF-13</x:v>
      </x:c>
      <x:c r="E313" s="7" t="str">
        <x:v>STD-13-5</x:v>
      </x:c>
      <x:c r="F313" s="7" t="str">
        <x:v>OP-2</x:v>
      </x:c>
      <x:c r="G313" s="7" t="n">
        <x:v>1</x:v>
      </x:c>
      <x:c r="H313" s="7" t="str"/>
      <x:c r="I313" s="7" t="str"/>
      <x:c r="J313" s="7" t="str">
        <x:f>IF(OR(H313="",I313=""),"",I313-H313)</x:f>
      </x:c>
      <x:c r="K313" s="7" t="str"/>
      <x:c r="L313" s="7" t="str"/>
      <x:c r="M313" s="7" t="str"/>
      <x:c r="N313" s="7" t="str">
        <x:f>IF(M313="","OPEN",IF(OR(NOT(ISNUMBER(H313)),NOT(ISNUMBER(I313)),K313="",L313=""),"FAIL","PASS"))</x:f>
        <x:v>OPEN</x:v>
      </x:c>
    </x:row>
    <x:row r="314">
      <x:c r="B314" s="7" t="str">
        <x:v>TRO-A-13-S5-O2-R2</x:v>
      </x:c>
      <x:c r="C314" s="7" t="str">
        <x:v>BLD-A</x:v>
      </x:c>
      <x:c r="D314" s="7" t="str">
        <x:v>MF-13</x:v>
      </x:c>
      <x:c r="E314" s="7" t="str">
        <x:v>STD-13-5</x:v>
      </x:c>
      <x:c r="F314" s="7" t="str">
        <x:v>OP-2</x:v>
      </x:c>
      <x:c r="G314" s="7" t="n">
        <x:v>2</x:v>
      </x:c>
      <x:c r="H314" s="7" t="str"/>
      <x:c r="I314" s="7" t="str"/>
      <x:c r="J314" s="7" t="str">
        <x:f>IF(OR(H314="",I314=""),"",I314-H314)</x:f>
      </x:c>
      <x:c r="K314" s="7" t="str"/>
      <x:c r="L314" s="7" t="str"/>
      <x:c r="M314" s="7" t="str"/>
      <x:c r="N314" s="7" t="str">
        <x:f>IF(M314="","OPEN",IF(OR(NOT(ISNUMBER(H314)),NOT(ISNUMBER(I314)),K314="",L314=""),"FAIL","PASS"))</x:f>
        <x:v>OPEN</x:v>
      </x:c>
    </x:row>
    <x:row r="315">
      <x:c r="B315" s="7" t="str">
        <x:v>TRO-A-13-S6-O1-R1</x:v>
      </x:c>
      <x:c r="C315" s="7" t="str">
        <x:v>BLD-A</x:v>
      </x:c>
      <x:c r="D315" s="7" t="str">
        <x:v>MF-13</x:v>
      </x:c>
      <x:c r="E315" s="7" t="str">
        <x:v>STD-13-6</x:v>
      </x:c>
      <x:c r="F315" s="7" t="str">
        <x:v>OP-1</x:v>
      </x:c>
      <x:c r="G315" s="7" t="n">
        <x:v>1</x:v>
      </x:c>
      <x:c r="H315" s="7" t="str"/>
      <x:c r="I315" s="7" t="str"/>
      <x:c r="J315" s="7" t="str">
        <x:f>IF(OR(H315="",I315=""),"",I315-H315)</x:f>
      </x:c>
      <x:c r="K315" s="7" t="str"/>
      <x:c r="L315" s="7" t="str"/>
      <x:c r="M315" s="7" t="str"/>
      <x:c r="N315" s="7" t="str">
        <x:f>IF(M315="","OPEN",IF(OR(NOT(ISNUMBER(H315)),NOT(ISNUMBER(I315)),K315="",L315=""),"FAIL","PASS"))</x:f>
        <x:v>OPEN</x:v>
      </x:c>
    </x:row>
    <x:row r="316">
      <x:c r="B316" s="7" t="str">
        <x:v>TRO-A-13-S6-O1-R2</x:v>
      </x:c>
      <x:c r="C316" s="7" t="str">
        <x:v>BLD-A</x:v>
      </x:c>
      <x:c r="D316" s="7" t="str">
        <x:v>MF-13</x:v>
      </x:c>
      <x:c r="E316" s="7" t="str">
        <x:v>STD-13-6</x:v>
      </x:c>
      <x:c r="F316" s="7" t="str">
        <x:v>OP-1</x:v>
      </x:c>
      <x:c r="G316" s="7" t="n">
        <x:v>2</x:v>
      </x:c>
      <x:c r="H316" s="7" t="str"/>
      <x:c r="I316" s="7" t="str"/>
      <x:c r="J316" s="7" t="str">
        <x:f>IF(OR(H316="",I316=""),"",I316-H316)</x:f>
      </x:c>
      <x:c r="K316" s="7" t="str"/>
      <x:c r="L316" s="7" t="str"/>
      <x:c r="M316" s="7" t="str"/>
      <x:c r="N316" s="7" t="str">
        <x:f>IF(M316="","OPEN",IF(OR(NOT(ISNUMBER(H316)),NOT(ISNUMBER(I316)),K316="",L316=""),"FAIL","PASS"))</x:f>
        <x:v>OPEN</x:v>
      </x:c>
    </x:row>
    <x:row r="317">
      <x:c r="B317" s="7" t="str">
        <x:v>TRO-A-13-S6-O2-R1</x:v>
      </x:c>
      <x:c r="C317" s="7" t="str">
        <x:v>BLD-A</x:v>
      </x:c>
      <x:c r="D317" s="7" t="str">
        <x:v>MF-13</x:v>
      </x:c>
      <x:c r="E317" s="7" t="str">
        <x:v>STD-13-6</x:v>
      </x:c>
      <x:c r="F317" s="7" t="str">
        <x:v>OP-2</x:v>
      </x:c>
      <x:c r="G317" s="7" t="n">
        <x:v>1</x:v>
      </x:c>
      <x:c r="H317" s="7" t="str"/>
      <x:c r="I317" s="7" t="str"/>
      <x:c r="J317" s="7" t="str">
        <x:f>IF(OR(H317="",I317=""),"",I317-H317)</x:f>
      </x:c>
      <x:c r="K317" s="7" t="str"/>
      <x:c r="L317" s="7" t="str"/>
      <x:c r="M317" s="7" t="str"/>
      <x:c r="N317" s="7" t="str">
        <x:f>IF(M317="","OPEN",IF(OR(NOT(ISNUMBER(H317)),NOT(ISNUMBER(I317)),K317="",L317=""),"FAIL","PASS"))</x:f>
        <x:v>OPEN</x:v>
      </x:c>
    </x:row>
    <x:row r="318">
      <x:c r="B318" s="7" t="str">
        <x:v>TRO-A-13-S6-O2-R2</x:v>
      </x:c>
      <x:c r="C318" s="7" t="str">
        <x:v>BLD-A</x:v>
      </x:c>
      <x:c r="D318" s="7" t="str">
        <x:v>MF-13</x:v>
      </x:c>
      <x:c r="E318" s="7" t="str">
        <x:v>STD-13-6</x:v>
      </x:c>
      <x:c r="F318" s="7" t="str">
        <x:v>OP-2</x:v>
      </x:c>
      <x:c r="G318" s="7" t="n">
        <x:v>2</x:v>
      </x:c>
      <x:c r="H318" s="7" t="str"/>
      <x:c r="I318" s="7" t="str"/>
      <x:c r="J318" s="7" t="str">
        <x:f>IF(OR(H318="",I318=""),"",I318-H318)</x:f>
      </x:c>
      <x:c r="K318" s="7" t="str"/>
      <x:c r="L318" s="7" t="str"/>
      <x:c r="M318" s="7" t="str"/>
      <x:c r="N318" s="7" t="str">
        <x:f>IF(M318="","OPEN",IF(OR(NOT(ISNUMBER(H318)),NOT(ISNUMBER(I318)),K318="",L318=""),"FAIL","PASS"))</x:f>
        <x:v>OPEN</x:v>
      </x:c>
    </x:row>
    <x:row r="319">
      <x:c r="B319" s="7" t="str">
        <x:v>TRO-A-14-S1-O1-R1</x:v>
      </x:c>
      <x:c r="C319" s="7" t="str">
        <x:v>BLD-A</x:v>
      </x:c>
      <x:c r="D319" s="7" t="str">
        <x:v>MF-14</x:v>
      </x:c>
      <x:c r="E319" s="7" t="str">
        <x:v>STD-14-1</x:v>
      </x:c>
      <x:c r="F319" s="7" t="str">
        <x:v>OP-1</x:v>
      </x:c>
      <x:c r="G319" s="7" t="n">
        <x:v>1</x:v>
      </x:c>
      <x:c r="H319" s="7" t="str"/>
      <x:c r="I319" s="7" t="str"/>
      <x:c r="J319" s="7" t="str">
        <x:f>IF(OR(H319="",I319=""),"",I319-H319)</x:f>
      </x:c>
      <x:c r="K319" s="7" t="str"/>
      <x:c r="L319" s="7" t="str"/>
      <x:c r="M319" s="7" t="str"/>
      <x:c r="N319" s="7" t="str">
        <x:f>IF(M319="","OPEN",IF(OR(NOT(ISNUMBER(H319)),NOT(ISNUMBER(I319)),K319="",L319=""),"FAIL","PASS"))</x:f>
        <x:v>OPEN</x:v>
      </x:c>
    </x:row>
    <x:row r="320">
      <x:c r="B320" s="7" t="str">
        <x:v>TRO-A-14-S1-O1-R2</x:v>
      </x:c>
      <x:c r="C320" s="7" t="str">
        <x:v>BLD-A</x:v>
      </x:c>
      <x:c r="D320" s="7" t="str">
        <x:v>MF-14</x:v>
      </x:c>
      <x:c r="E320" s="7" t="str">
        <x:v>STD-14-1</x:v>
      </x:c>
      <x:c r="F320" s="7" t="str">
        <x:v>OP-1</x:v>
      </x:c>
      <x:c r="G320" s="7" t="n">
        <x:v>2</x:v>
      </x:c>
      <x:c r="H320" s="7" t="str"/>
      <x:c r="I320" s="7" t="str"/>
      <x:c r="J320" s="7" t="str">
        <x:f>IF(OR(H320="",I320=""),"",I320-H320)</x:f>
      </x:c>
      <x:c r="K320" s="7" t="str"/>
      <x:c r="L320" s="7" t="str"/>
      <x:c r="M320" s="7" t="str"/>
      <x:c r="N320" s="7" t="str">
        <x:f>IF(M320="","OPEN",IF(OR(NOT(ISNUMBER(H320)),NOT(ISNUMBER(I320)),K320="",L320=""),"FAIL","PASS"))</x:f>
        <x:v>OPEN</x:v>
      </x:c>
    </x:row>
    <x:row r="321">
      <x:c r="B321" s="7" t="str">
        <x:v>TRO-A-14-S1-O2-R1</x:v>
      </x:c>
      <x:c r="C321" s="7" t="str">
        <x:v>BLD-A</x:v>
      </x:c>
      <x:c r="D321" s="7" t="str">
        <x:v>MF-14</x:v>
      </x:c>
      <x:c r="E321" s="7" t="str">
        <x:v>STD-14-1</x:v>
      </x:c>
      <x:c r="F321" s="7" t="str">
        <x:v>OP-2</x:v>
      </x:c>
      <x:c r="G321" s="7" t="n">
        <x:v>1</x:v>
      </x:c>
      <x:c r="H321" s="7" t="str"/>
      <x:c r="I321" s="7" t="str"/>
      <x:c r="J321" s="7" t="str">
        <x:f>IF(OR(H321="",I321=""),"",I321-H321)</x:f>
      </x:c>
      <x:c r="K321" s="7" t="str"/>
      <x:c r="L321" s="7" t="str"/>
      <x:c r="M321" s="7" t="str"/>
      <x:c r="N321" s="7" t="str">
        <x:f>IF(M321="","OPEN",IF(OR(NOT(ISNUMBER(H321)),NOT(ISNUMBER(I321)),K321="",L321=""),"FAIL","PASS"))</x:f>
        <x:v>OPEN</x:v>
      </x:c>
    </x:row>
    <x:row r="322">
      <x:c r="B322" s="7" t="str">
        <x:v>TRO-A-14-S1-O2-R2</x:v>
      </x:c>
      <x:c r="C322" s="7" t="str">
        <x:v>BLD-A</x:v>
      </x:c>
      <x:c r="D322" s="7" t="str">
        <x:v>MF-14</x:v>
      </x:c>
      <x:c r="E322" s="7" t="str">
        <x:v>STD-14-1</x:v>
      </x:c>
      <x:c r="F322" s="7" t="str">
        <x:v>OP-2</x:v>
      </x:c>
      <x:c r="G322" s="7" t="n">
        <x:v>2</x:v>
      </x:c>
      <x:c r="H322" s="7" t="str"/>
      <x:c r="I322" s="7" t="str"/>
      <x:c r="J322" s="7" t="str">
        <x:f>IF(OR(H322="",I322=""),"",I322-H322)</x:f>
      </x:c>
      <x:c r="K322" s="7" t="str"/>
      <x:c r="L322" s="7" t="str"/>
      <x:c r="M322" s="7" t="str"/>
      <x:c r="N322" s="7" t="str">
        <x:f>IF(M322="","OPEN",IF(OR(NOT(ISNUMBER(H322)),NOT(ISNUMBER(I322)),K322="",L322=""),"FAIL","PASS"))</x:f>
        <x:v>OPEN</x:v>
      </x:c>
    </x:row>
    <x:row r="323">
      <x:c r="B323" s="7" t="str">
        <x:v>TRO-A-14-S2-O1-R1</x:v>
      </x:c>
      <x:c r="C323" s="7" t="str">
        <x:v>BLD-A</x:v>
      </x:c>
      <x:c r="D323" s="7" t="str">
        <x:v>MF-14</x:v>
      </x:c>
      <x:c r="E323" s="7" t="str">
        <x:v>STD-14-2</x:v>
      </x:c>
      <x:c r="F323" s="7" t="str">
        <x:v>OP-1</x:v>
      </x:c>
      <x:c r="G323" s="7" t="n">
        <x:v>1</x:v>
      </x:c>
      <x:c r="H323" s="7" t="str"/>
      <x:c r="I323" s="7" t="str"/>
      <x:c r="J323" s="7" t="str">
        <x:f>IF(OR(H323="",I323=""),"",I323-H323)</x:f>
      </x:c>
      <x:c r="K323" s="7" t="str"/>
      <x:c r="L323" s="7" t="str"/>
      <x:c r="M323" s="7" t="str"/>
      <x:c r="N323" s="7" t="str">
        <x:f>IF(M323="","OPEN",IF(OR(NOT(ISNUMBER(H323)),NOT(ISNUMBER(I323)),K323="",L323=""),"FAIL","PASS"))</x:f>
        <x:v>OPEN</x:v>
      </x:c>
    </x:row>
    <x:row r="324">
      <x:c r="B324" s="7" t="str">
        <x:v>TRO-A-14-S2-O1-R2</x:v>
      </x:c>
      <x:c r="C324" s="7" t="str">
        <x:v>BLD-A</x:v>
      </x:c>
      <x:c r="D324" s="7" t="str">
        <x:v>MF-14</x:v>
      </x:c>
      <x:c r="E324" s="7" t="str">
        <x:v>STD-14-2</x:v>
      </x:c>
      <x:c r="F324" s="7" t="str">
        <x:v>OP-1</x:v>
      </x:c>
      <x:c r="G324" s="7" t="n">
        <x:v>2</x:v>
      </x:c>
      <x:c r="H324" s="7" t="str"/>
      <x:c r="I324" s="7" t="str"/>
      <x:c r="J324" s="7" t="str">
        <x:f>IF(OR(H324="",I324=""),"",I324-H324)</x:f>
      </x:c>
      <x:c r="K324" s="7" t="str"/>
      <x:c r="L324" s="7" t="str"/>
      <x:c r="M324" s="7" t="str"/>
      <x:c r="N324" s="7" t="str">
        <x:f>IF(M324="","OPEN",IF(OR(NOT(ISNUMBER(H324)),NOT(ISNUMBER(I324)),K324="",L324=""),"FAIL","PASS"))</x:f>
        <x:v>OPEN</x:v>
      </x:c>
    </x:row>
    <x:row r="325">
      <x:c r="B325" s="7" t="str">
        <x:v>TRO-A-14-S2-O2-R1</x:v>
      </x:c>
      <x:c r="C325" s="7" t="str">
        <x:v>BLD-A</x:v>
      </x:c>
      <x:c r="D325" s="7" t="str">
        <x:v>MF-14</x:v>
      </x:c>
      <x:c r="E325" s="7" t="str">
        <x:v>STD-14-2</x:v>
      </x:c>
      <x:c r="F325" s="7" t="str">
        <x:v>OP-2</x:v>
      </x:c>
      <x:c r="G325" s="7" t="n">
        <x:v>1</x:v>
      </x:c>
      <x:c r="H325" s="7" t="str"/>
      <x:c r="I325" s="7" t="str"/>
      <x:c r="J325" s="7" t="str">
        <x:f>IF(OR(H325="",I325=""),"",I325-H325)</x:f>
      </x:c>
      <x:c r="K325" s="7" t="str"/>
      <x:c r="L325" s="7" t="str"/>
      <x:c r="M325" s="7" t="str"/>
      <x:c r="N325" s="7" t="str">
        <x:f>IF(M325="","OPEN",IF(OR(NOT(ISNUMBER(H325)),NOT(ISNUMBER(I325)),K325="",L325=""),"FAIL","PASS"))</x:f>
        <x:v>OPEN</x:v>
      </x:c>
    </x:row>
    <x:row r="326">
      <x:c r="B326" s="7" t="str">
        <x:v>TRO-A-14-S2-O2-R2</x:v>
      </x:c>
      <x:c r="C326" s="7" t="str">
        <x:v>BLD-A</x:v>
      </x:c>
      <x:c r="D326" s="7" t="str">
        <x:v>MF-14</x:v>
      </x:c>
      <x:c r="E326" s="7" t="str">
        <x:v>STD-14-2</x:v>
      </x:c>
      <x:c r="F326" s="7" t="str">
        <x:v>OP-2</x:v>
      </x:c>
      <x:c r="G326" s="7" t="n">
        <x:v>2</x:v>
      </x:c>
      <x:c r="H326" s="7" t="str"/>
      <x:c r="I326" s="7" t="str"/>
      <x:c r="J326" s="7" t="str">
        <x:f>IF(OR(H326="",I326=""),"",I326-H326)</x:f>
      </x:c>
      <x:c r="K326" s="7" t="str"/>
      <x:c r="L326" s="7" t="str"/>
      <x:c r="M326" s="7" t="str"/>
      <x:c r="N326" s="7" t="str">
        <x:f>IF(M326="","OPEN",IF(OR(NOT(ISNUMBER(H326)),NOT(ISNUMBER(I326)),K326="",L326=""),"FAIL","PASS"))</x:f>
        <x:v>OPEN</x:v>
      </x:c>
    </x:row>
    <x:row r="327">
      <x:c r="B327" s="7" t="str">
        <x:v>TRO-A-14-S3-O1-R1</x:v>
      </x:c>
      <x:c r="C327" s="7" t="str">
        <x:v>BLD-A</x:v>
      </x:c>
      <x:c r="D327" s="7" t="str">
        <x:v>MF-14</x:v>
      </x:c>
      <x:c r="E327" s="7" t="str">
        <x:v>STD-14-3</x:v>
      </x:c>
      <x:c r="F327" s="7" t="str">
        <x:v>OP-1</x:v>
      </x:c>
      <x:c r="G327" s="7" t="n">
        <x:v>1</x:v>
      </x:c>
      <x:c r="H327" s="7" t="str"/>
      <x:c r="I327" s="7" t="str"/>
      <x:c r="J327" s="7" t="str">
        <x:f>IF(OR(H327="",I327=""),"",I327-H327)</x:f>
      </x:c>
      <x:c r="K327" s="7" t="str"/>
      <x:c r="L327" s="7" t="str"/>
      <x:c r="M327" s="7" t="str"/>
      <x:c r="N327" s="7" t="str">
        <x:f>IF(M327="","OPEN",IF(OR(NOT(ISNUMBER(H327)),NOT(ISNUMBER(I327)),K327="",L327=""),"FAIL","PASS"))</x:f>
        <x:v>OPEN</x:v>
      </x:c>
    </x:row>
    <x:row r="328">
      <x:c r="B328" s="7" t="str">
        <x:v>TRO-A-14-S3-O1-R2</x:v>
      </x:c>
      <x:c r="C328" s="7" t="str">
        <x:v>BLD-A</x:v>
      </x:c>
      <x:c r="D328" s="7" t="str">
        <x:v>MF-14</x:v>
      </x:c>
      <x:c r="E328" s="7" t="str">
        <x:v>STD-14-3</x:v>
      </x:c>
      <x:c r="F328" s="7" t="str">
        <x:v>OP-1</x:v>
      </x:c>
      <x:c r="G328" s="7" t="n">
        <x:v>2</x:v>
      </x:c>
      <x:c r="H328" s="7" t="str"/>
      <x:c r="I328" s="7" t="str"/>
      <x:c r="J328" s="7" t="str">
        <x:f>IF(OR(H328="",I328=""),"",I328-H328)</x:f>
      </x:c>
      <x:c r="K328" s="7" t="str"/>
      <x:c r="L328" s="7" t="str"/>
      <x:c r="M328" s="7" t="str"/>
      <x:c r="N328" s="7" t="str">
        <x:f>IF(M328="","OPEN",IF(OR(NOT(ISNUMBER(H328)),NOT(ISNUMBER(I328)),K328="",L328=""),"FAIL","PASS"))</x:f>
        <x:v>OPEN</x:v>
      </x:c>
    </x:row>
    <x:row r="329">
      <x:c r="B329" s="7" t="str">
        <x:v>TRO-A-14-S3-O2-R1</x:v>
      </x:c>
      <x:c r="C329" s="7" t="str">
        <x:v>BLD-A</x:v>
      </x:c>
      <x:c r="D329" s="7" t="str">
        <x:v>MF-14</x:v>
      </x:c>
      <x:c r="E329" s="7" t="str">
        <x:v>STD-14-3</x:v>
      </x:c>
      <x:c r="F329" s="7" t="str">
        <x:v>OP-2</x:v>
      </x:c>
      <x:c r="G329" s="7" t="n">
        <x:v>1</x:v>
      </x:c>
      <x:c r="H329" s="7" t="str"/>
      <x:c r="I329" s="7" t="str"/>
      <x:c r="J329" s="7" t="str">
        <x:f>IF(OR(H329="",I329=""),"",I329-H329)</x:f>
      </x:c>
      <x:c r="K329" s="7" t="str"/>
      <x:c r="L329" s="7" t="str"/>
      <x:c r="M329" s="7" t="str"/>
      <x:c r="N329" s="7" t="str">
        <x:f>IF(M329="","OPEN",IF(OR(NOT(ISNUMBER(H329)),NOT(ISNUMBER(I329)),K329="",L329=""),"FAIL","PASS"))</x:f>
        <x:v>OPEN</x:v>
      </x:c>
    </x:row>
    <x:row r="330">
      <x:c r="B330" s="7" t="str">
        <x:v>TRO-A-14-S3-O2-R2</x:v>
      </x:c>
      <x:c r="C330" s="7" t="str">
        <x:v>BLD-A</x:v>
      </x:c>
      <x:c r="D330" s="7" t="str">
        <x:v>MF-14</x:v>
      </x:c>
      <x:c r="E330" s="7" t="str">
        <x:v>STD-14-3</x:v>
      </x:c>
      <x:c r="F330" s="7" t="str">
        <x:v>OP-2</x:v>
      </x:c>
      <x:c r="G330" s="7" t="n">
        <x:v>2</x:v>
      </x:c>
      <x:c r="H330" s="7" t="str"/>
      <x:c r="I330" s="7" t="str"/>
      <x:c r="J330" s="7" t="str">
        <x:f>IF(OR(H330="",I330=""),"",I330-H330)</x:f>
      </x:c>
      <x:c r="K330" s="7" t="str"/>
      <x:c r="L330" s="7" t="str"/>
      <x:c r="M330" s="7" t="str"/>
      <x:c r="N330" s="7" t="str">
        <x:f>IF(M330="","OPEN",IF(OR(NOT(ISNUMBER(H330)),NOT(ISNUMBER(I330)),K330="",L330=""),"FAIL","PASS"))</x:f>
        <x:v>OPEN</x:v>
      </x:c>
    </x:row>
    <x:row r="331">
      <x:c r="B331" s="7" t="str">
        <x:v>TRO-A-14-S4-O1-R1</x:v>
      </x:c>
      <x:c r="C331" s="7" t="str">
        <x:v>BLD-A</x:v>
      </x:c>
      <x:c r="D331" s="7" t="str">
        <x:v>MF-14</x:v>
      </x:c>
      <x:c r="E331" s="7" t="str">
        <x:v>STD-14-4</x:v>
      </x:c>
      <x:c r="F331" s="7" t="str">
        <x:v>OP-1</x:v>
      </x:c>
      <x:c r="G331" s="7" t="n">
        <x:v>1</x:v>
      </x:c>
      <x:c r="H331" s="7" t="str"/>
      <x:c r="I331" s="7" t="str"/>
      <x:c r="J331" s="7" t="str">
        <x:f>IF(OR(H331="",I331=""),"",I331-H331)</x:f>
      </x:c>
      <x:c r="K331" s="7" t="str"/>
      <x:c r="L331" s="7" t="str"/>
      <x:c r="M331" s="7" t="str"/>
      <x:c r="N331" s="7" t="str">
        <x:f>IF(M331="","OPEN",IF(OR(NOT(ISNUMBER(H331)),NOT(ISNUMBER(I331)),K331="",L331=""),"FAIL","PASS"))</x:f>
        <x:v>OPEN</x:v>
      </x:c>
    </x:row>
    <x:row r="332">
      <x:c r="B332" s="7" t="str">
        <x:v>TRO-A-14-S4-O1-R2</x:v>
      </x:c>
      <x:c r="C332" s="7" t="str">
        <x:v>BLD-A</x:v>
      </x:c>
      <x:c r="D332" s="7" t="str">
        <x:v>MF-14</x:v>
      </x:c>
      <x:c r="E332" s="7" t="str">
        <x:v>STD-14-4</x:v>
      </x:c>
      <x:c r="F332" s="7" t="str">
        <x:v>OP-1</x:v>
      </x:c>
      <x:c r="G332" s="7" t="n">
        <x:v>2</x:v>
      </x:c>
      <x:c r="H332" s="7" t="str"/>
      <x:c r="I332" s="7" t="str"/>
      <x:c r="J332" s="7" t="str">
        <x:f>IF(OR(H332="",I332=""),"",I332-H332)</x:f>
      </x:c>
      <x:c r="K332" s="7" t="str"/>
      <x:c r="L332" s="7" t="str"/>
      <x:c r="M332" s="7" t="str"/>
      <x:c r="N332" s="7" t="str">
        <x:f>IF(M332="","OPEN",IF(OR(NOT(ISNUMBER(H332)),NOT(ISNUMBER(I332)),K332="",L332=""),"FAIL","PASS"))</x:f>
        <x:v>OPEN</x:v>
      </x:c>
    </x:row>
    <x:row r="333">
      <x:c r="B333" s="7" t="str">
        <x:v>TRO-A-14-S4-O2-R1</x:v>
      </x:c>
      <x:c r="C333" s="7" t="str">
        <x:v>BLD-A</x:v>
      </x:c>
      <x:c r="D333" s="7" t="str">
        <x:v>MF-14</x:v>
      </x:c>
      <x:c r="E333" s="7" t="str">
        <x:v>STD-14-4</x:v>
      </x:c>
      <x:c r="F333" s="7" t="str">
        <x:v>OP-2</x:v>
      </x:c>
      <x:c r="G333" s="7" t="n">
        <x:v>1</x:v>
      </x:c>
      <x:c r="H333" s="7" t="str"/>
      <x:c r="I333" s="7" t="str"/>
      <x:c r="J333" s="7" t="str">
        <x:f>IF(OR(H333="",I333=""),"",I333-H333)</x:f>
      </x:c>
      <x:c r="K333" s="7" t="str"/>
      <x:c r="L333" s="7" t="str"/>
      <x:c r="M333" s="7" t="str"/>
      <x:c r="N333" s="7" t="str">
        <x:f>IF(M333="","OPEN",IF(OR(NOT(ISNUMBER(H333)),NOT(ISNUMBER(I333)),K333="",L333=""),"FAIL","PASS"))</x:f>
        <x:v>OPEN</x:v>
      </x:c>
    </x:row>
    <x:row r="334">
      <x:c r="B334" s="7" t="str">
        <x:v>TRO-A-14-S4-O2-R2</x:v>
      </x:c>
      <x:c r="C334" s="7" t="str">
        <x:v>BLD-A</x:v>
      </x:c>
      <x:c r="D334" s="7" t="str">
        <x:v>MF-14</x:v>
      </x:c>
      <x:c r="E334" s="7" t="str">
        <x:v>STD-14-4</x:v>
      </x:c>
      <x:c r="F334" s="7" t="str">
        <x:v>OP-2</x:v>
      </x:c>
      <x:c r="G334" s="7" t="n">
        <x:v>2</x:v>
      </x:c>
      <x:c r="H334" s="7" t="str"/>
      <x:c r="I334" s="7" t="str"/>
      <x:c r="J334" s="7" t="str">
        <x:f>IF(OR(H334="",I334=""),"",I334-H334)</x:f>
      </x:c>
      <x:c r="K334" s="7" t="str"/>
      <x:c r="L334" s="7" t="str"/>
      <x:c r="M334" s="7" t="str"/>
      <x:c r="N334" s="7" t="str">
        <x:f>IF(M334="","OPEN",IF(OR(NOT(ISNUMBER(H334)),NOT(ISNUMBER(I334)),K334="",L334=""),"FAIL","PASS"))</x:f>
        <x:v>OPEN</x:v>
      </x:c>
    </x:row>
    <x:row r="335">
      <x:c r="B335" s="7" t="str">
        <x:v>TRO-A-14-S5-O1-R1</x:v>
      </x:c>
      <x:c r="C335" s="7" t="str">
        <x:v>BLD-A</x:v>
      </x:c>
      <x:c r="D335" s="7" t="str">
        <x:v>MF-14</x:v>
      </x:c>
      <x:c r="E335" s="7" t="str">
        <x:v>STD-14-5</x:v>
      </x:c>
      <x:c r="F335" s="7" t="str">
        <x:v>OP-1</x:v>
      </x:c>
      <x:c r="G335" s="7" t="n">
        <x:v>1</x:v>
      </x:c>
      <x:c r="H335" s="7" t="str"/>
      <x:c r="I335" s="7" t="str"/>
      <x:c r="J335" s="7" t="str">
        <x:f>IF(OR(H335="",I335=""),"",I335-H335)</x:f>
      </x:c>
      <x:c r="K335" s="7" t="str"/>
      <x:c r="L335" s="7" t="str"/>
      <x:c r="M335" s="7" t="str"/>
      <x:c r="N335" s="7" t="str">
        <x:f>IF(M335="","OPEN",IF(OR(NOT(ISNUMBER(H335)),NOT(ISNUMBER(I335)),K335="",L335=""),"FAIL","PASS"))</x:f>
        <x:v>OPEN</x:v>
      </x:c>
    </x:row>
    <x:row r="336">
      <x:c r="B336" s="7" t="str">
        <x:v>TRO-A-14-S5-O1-R2</x:v>
      </x:c>
      <x:c r="C336" s="7" t="str">
        <x:v>BLD-A</x:v>
      </x:c>
      <x:c r="D336" s="7" t="str">
        <x:v>MF-14</x:v>
      </x:c>
      <x:c r="E336" s="7" t="str">
        <x:v>STD-14-5</x:v>
      </x:c>
      <x:c r="F336" s="7" t="str">
        <x:v>OP-1</x:v>
      </x:c>
      <x:c r="G336" s="7" t="n">
        <x:v>2</x:v>
      </x:c>
      <x:c r="H336" s="7" t="str"/>
      <x:c r="I336" s="7" t="str"/>
      <x:c r="J336" s="7" t="str">
        <x:f>IF(OR(H336="",I336=""),"",I336-H336)</x:f>
      </x:c>
      <x:c r="K336" s="7" t="str"/>
      <x:c r="L336" s="7" t="str"/>
      <x:c r="M336" s="7" t="str"/>
      <x:c r="N336" s="7" t="str">
        <x:f>IF(M336="","OPEN",IF(OR(NOT(ISNUMBER(H336)),NOT(ISNUMBER(I336)),K336="",L336=""),"FAIL","PASS"))</x:f>
        <x:v>OPEN</x:v>
      </x:c>
    </x:row>
    <x:row r="337">
      <x:c r="B337" s="7" t="str">
        <x:v>TRO-A-14-S5-O2-R1</x:v>
      </x:c>
      <x:c r="C337" s="7" t="str">
        <x:v>BLD-A</x:v>
      </x:c>
      <x:c r="D337" s="7" t="str">
        <x:v>MF-14</x:v>
      </x:c>
      <x:c r="E337" s="7" t="str">
        <x:v>STD-14-5</x:v>
      </x:c>
      <x:c r="F337" s="7" t="str">
        <x:v>OP-2</x:v>
      </x:c>
      <x:c r="G337" s="7" t="n">
        <x:v>1</x:v>
      </x:c>
      <x:c r="H337" s="7" t="str"/>
      <x:c r="I337" s="7" t="str"/>
      <x:c r="J337" s="7" t="str">
        <x:f>IF(OR(H337="",I337=""),"",I337-H337)</x:f>
      </x:c>
      <x:c r="K337" s="7" t="str"/>
      <x:c r="L337" s="7" t="str"/>
      <x:c r="M337" s="7" t="str"/>
      <x:c r="N337" s="7" t="str">
        <x:f>IF(M337="","OPEN",IF(OR(NOT(ISNUMBER(H337)),NOT(ISNUMBER(I337)),K337="",L337=""),"FAIL","PASS"))</x:f>
        <x:v>OPEN</x:v>
      </x:c>
    </x:row>
    <x:row r="338">
      <x:c r="B338" s="7" t="str">
        <x:v>TRO-A-14-S5-O2-R2</x:v>
      </x:c>
      <x:c r="C338" s="7" t="str">
        <x:v>BLD-A</x:v>
      </x:c>
      <x:c r="D338" s="7" t="str">
        <x:v>MF-14</x:v>
      </x:c>
      <x:c r="E338" s="7" t="str">
        <x:v>STD-14-5</x:v>
      </x:c>
      <x:c r="F338" s="7" t="str">
        <x:v>OP-2</x:v>
      </x:c>
      <x:c r="G338" s="7" t="n">
        <x:v>2</x:v>
      </x:c>
      <x:c r="H338" s="7" t="str"/>
      <x:c r="I338" s="7" t="str"/>
      <x:c r="J338" s="7" t="str">
        <x:f>IF(OR(H338="",I338=""),"",I338-H338)</x:f>
      </x:c>
      <x:c r="K338" s="7" t="str"/>
      <x:c r="L338" s="7" t="str"/>
      <x:c r="M338" s="7" t="str"/>
      <x:c r="N338" s="7" t="str">
        <x:f>IF(M338="","OPEN",IF(OR(NOT(ISNUMBER(H338)),NOT(ISNUMBER(I338)),K338="",L338=""),"FAIL","PASS"))</x:f>
        <x:v>OPEN</x:v>
      </x:c>
    </x:row>
    <x:row r="339">
      <x:c r="B339" s="7" t="str">
        <x:v>TRO-A-14-S6-O1-R1</x:v>
      </x:c>
      <x:c r="C339" s="7" t="str">
        <x:v>BLD-A</x:v>
      </x:c>
      <x:c r="D339" s="7" t="str">
        <x:v>MF-14</x:v>
      </x:c>
      <x:c r="E339" s="7" t="str">
        <x:v>STD-14-6</x:v>
      </x:c>
      <x:c r="F339" s="7" t="str">
        <x:v>OP-1</x:v>
      </x:c>
      <x:c r="G339" s="7" t="n">
        <x:v>1</x:v>
      </x:c>
      <x:c r="H339" s="7" t="str"/>
      <x:c r="I339" s="7" t="str"/>
      <x:c r="J339" s="7" t="str">
        <x:f>IF(OR(H339="",I339=""),"",I339-H339)</x:f>
      </x:c>
      <x:c r="K339" s="7" t="str"/>
      <x:c r="L339" s="7" t="str"/>
      <x:c r="M339" s="7" t="str"/>
      <x:c r="N339" s="7" t="str">
        <x:f>IF(M339="","OPEN",IF(OR(NOT(ISNUMBER(H339)),NOT(ISNUMBER(I339)),K339="",L339=""),"FAIL","PASS"))</x:f>
        <x:v>OPEN</x:v>
      </x:c>
    </x:row>
    <x:row r="340">
      <x:c r="B340" s="7" t="str">
        <x:v>TRO-A-14-S6-O1-R2</x:v>
      </x:c>
      <x:c r="C340" s="7" t="str">
        <x:v>BLD-A</x:v>
      </x:c>
      <x:c r="D340" s="7" t="str">
        <x:v>MF-14</x:v>
      </x:c>
      <x:c r="E340" s="7" t="str">
        <x:v>STD-14-6</x:v>
      </x:c>
      <x:c r="F340" s="7" t="str">
        <x:v>OP-1</x:v>
      </x:c>
      <x:c r="G340" s="7" t="n">
        <x:v>2</x:v>
      </x:c>
      <x:c r="H340" s="7" t="str"/>
      <x:c r="I340" s="7" t="str"/>
      <x:c r="J340" s="7" t="str">
        <x:f>IF(OR(H340="",I340=""),"",I340-H340)</x:f>
      </x:c>
      <x:c r="K340" s="7" t="str"/>
      <x:c r="L340" s="7" t="str"/>
      <x:c r="M340" s="7" t="str"/>
      <x:c r="N340" s="7" t="str">
        <x:f>IF(M340="","OPEN",IF(OR(NOT(ISNUMBER(H340)),NOT(ISNUMBER(I340)),K340="",L340=""),"FAIL","PASS"))</x:f>
        <x:v>OPEN</x:v>
      </x:c>
    </x:row>
    <x:row r="341">
      <x:c r="B341" s="7" t="str">
        <x:v>TRO-A-14-S6-O2-R1</x:v>
      </x:c>
      <x:c r="C341" s="7" t="str">
        <x:v>BLD-A</x:v>
      </x:c>
      <x:c r="D341" s="7" t="str">
        <x:v>MF-14</x:v>
      </x:c>
      <x:c r="E341" s="7" t="str">
        <x:v>STD-14-6</x:v>
      </x:c>
      <x:c r="F341" s="7" t="str">
        <x:v>OP-2</x:v>
      </x:c>
      <x:c r="G341" s="7" t="n">
        <x:v>1</x:v>
      </x:c>
      <x:c r="H341" s="7" t="str"/>
      <x:c r="I341" s="7" t="str"/>
      <x:c r="J341" s="7" t="str">
        <x:f>IF(OR(H341="",I341=""),"",I341-H341)</x:f>
      </x:c>
      <x:c r="K341" s="7" t="str"/>
      <x:c r="L341" s="7" t="str"/>
      <x:c r="M341" s="7" t="str"/>
      <x:c r="N341" s="7" t="str">
        <x:f>IF(M341="","OPEN",IF(OR(NOT(ISNUMBER(H341)),NOT(ISNUMBER(I341)),K341="",L341=""),"FAIL","PASS"))</x:f>
        <x:v>OPEN</x:v>
      </x:c>
    </x:row>
    <x:row r="342">
      <x:c r="B342" s="7" t="str">
        <x:v>TRO-A-14-S6-O2-R2</x:v>
      </x:c>
      <x:c r="C342" s="7" t="str">
        <x:v>BLD-A</x:v>
      </x:c>
      <x:c r="D342" s="7" t="str">
        <x:v>MF-14</x:v>
      </x:c>
      <x:c r="E342" s="7" t="str">
        <x:v>STD-14-6</x:v>
      </x:c>
      <x:c r="F342" s="7" t="str">
        <x:v>OP-2</x:v>
      </x:c>
      <x:c r="G342" s="7" t="n">
        <x:v>2</x:v>
      </x:c>
      <x:c r="H342" s="7" t="str"/>
      <x:c r="I342" s="7" t="str"/>
      <x:c r="J342" s="7" t="str">
        <x:f>IF(OR(H342="",I342=""),"",I342-H342)</x:f>
      </x:c>
      <x:c r="K342" s="7" t="str"/>
      <x:c r="L342" s="7" t="str"/>
      <x:c r="M342" s="7" t="str"/>
      <x:c r="N342" s="7" t="str">
        <x:f>IF(M342="","OPEN",IF(OR(NOT(ISNUMBER(H342)),NOT(ISNUMBER(I342)),K342="",L342=""),"FAIL","PASS"))</x:f>
        <x:v>OPEN</x:v>
      </x:c>
    </x:row>
    <x:row r="343">
      <x:c r="B343" s="7" t="str">
        <x:v>TRO-A-15-S1-O1-R1</x:v>
      </x:c>
      <x:c r="C343" s="7" t="str">
        <x:v>BLD-A</x:v>
      </x:c>
      <x:c r="D343" s="7" t="str">
        <x:v>MF-15</x:v>
      </x:c>
      <x:c r="E343" s="7" t="str">
        <x:v>STD-15-1</x:v>
      </x:c>
      <x:c r="F343" s="7" t="str">
        <x:v>OP-1</x:v>
      </x:c>
      <x:c r="G343" s="7" t="n">
        <x:v>1</x:v>
      </x:c>
      <x:c r="H343" s="7" t="str"/>
      <x:c r="I343" s="7" t="str"/>
      <x:c r="J343" s="7" t="str">
        <x:f>IF(OR(H343="",I343=""),"",I343-H343)</x:f>
      </x:c>
      <x:c r="K343" s="7" t="str"/>
      <x:c r="L343" s="7" t="str"/>
      <x:c r="M343" s="7" t="str"/>
      <x:c r="N343" s="7" t="str">
        <x:f>IF(M343="","OPEN",IF(OR(NOT(ISNUMBER(H343)),NOT(ISNUMBER(I343)),K343="",L343=""),"FAIL","PASS"))</x:f>
        <x:v>OPEN</x:v>
      </x:c>
    </x:row>
    <x:row r="344">
      <x:c r="B344" s="7" t="str">
        <x:v>TRO-A-15-S1-O1-R2</x:v>
      </x:c>
      <x:c r="C344" s="7" t="str">
        <x:v>BLD-A</x:v>
      </x:c>
      <x:c r="D344" s="7" t="str">
        <x:v>MF-15</x:v>
      </x:c>
      <x:c r="E344" s="7" t="str">
        <x:v>STD-15-1</x:v>
      </x:c>
      <x:c r="F344" s="7" t="str">
        <x:v>OP-1</x:v>
      </x:c>
      <x:c r="G344" s="7" t="n">
        <x:v>2</x:v>
      </x:c>
      <x:c r="H344" s="7" t="str"/>
      <x:c r="I344" s="7" t="str"/>
      <x:c r="J344" s="7" t="str">
        <x:f>IF(OR(H344="",I344=""),"",I344-H344)</x:f>
      </x:c>
      <x:c r="K344" s="7" t="str"/>
      <x:c r="L344" s="7" t="str"/>
      <x:c r="M344" s="7" t="str"/>
      <x:c r="N344" s="7" t="str">
        <x:f>IF(M344="","OPEN",IF(OR(NOT(ISNUMBER(H344)),NOT(ISNUMBER(I344)),K344="",L344=""),"FAIL","PASS"))</x:f>
        <x:v>OPEN</x:v>
      </x:c>
    </x:row>
    <x:row r="345">
      <x:c r="B345" s="7" t="str">
        <x:v>TRO-A-15-S1-O2-R1</x:v>
      </x:c>
      <x:c r="C345" s="7" t="str">
        <x:v>BLD-A</x:v>
      </x:c>
      <x:c r="D345" s="7" t="str">
        <x:v>MF-15</x:v>
      </x:c>
      <x:c r="E345" s="7" t="str">
        <x:v>STD-15-1</x:v>
      </x:c>
      <x:c r="F345" s="7" t="str">
        <x:v>OP-2</x:v>
      </x:c>
      <x:c r="G345" s="7" t="n">
        <x:v>1</x:v>
      </x:c>
      <x:c r="H345" s="7" t="str"/>
      <x:c r="I345" s="7" t="str"/>
      <x:c r="J345" s="7" t="str">
        <x:f>IF(OR(H345="",I345=""),"",I345-H345)</x:f>
      </x:c>
      <x:c r="K345" s="7" t="str"/>
      <x:c r="L345" s="7" t="str"/>
      <x:c r="M345" s="7" t="str"/>
      <x:c r="N345" s="7" t="str">
        <x:f>IF(M345="","OPEN",IF(OR(NOT(ISNUMBER(H345)),NOT(ISNUMBER(I345)),K345="",L345=""),"FAIL","PASS"))</x:f>
        <x:v>OPEN</x:v>
      </x:c>
    </x:row>
    <x:row r="346">
      <x:c r="B346" s="7" t="str">
        <x:v>TRO-A-15-S1-O2-R2</x:v>
      </x:c>
      <x:c r="C346" s="7" t="str">
        <x:v>BLD-A</x:v>
      </x:c>
      <x:c r="D346" s="7" t="str">
        <x:v>MF-15</x:v>
      </x:c>
      <x:c r="E346" s="7" t="str">
        <x:v>STD-15-1</x:v>
      </x:c>
      <x:c r="F346" s="7" t="str">
        <x:v>OP-2</x:v>
      </x:c>
      <x:c r="G346" s="7" t="n">
        <x:v>2</x:v>
      </x:c>
      <x:c r="H346" s="7" t="str"/>
      <x:c r="I346" s="7" t="str"/>
      <x:c r="J346" s="7" t="str">
        <x:f>IF(OR(H346="",I346=""),"",I346-H346)</x:f>
      </x:c>
      <x:c r="K346" s="7" t="str"/>
      <x:c r="L346" s="7" t="str"/>
      <x:c r="M346" s="7" t="str"/>
      <x:c r="N346" s="7" t="str">
        <x:f>IF(M346="","OPEN",IF(OR(NOT(ISNUMBER(H346)),NOT(ISNUMBER(I346)),K346="",L346=""),"FAIL","PASS"))</x:f>
        <x:v>OPEN</x:v>
      </x:c>
    </x:row>
    <x:row r="347">
      <x:c r="B347" s="7" t="str">
        <x:v>TRO-A-15-S2-O1-R1</x:v>
      </x:c>
      <x:c r="C347" s="7" t="str">
        <x:v>BLD-A</x:v>
      </x:c>
      <x:c r="D347" s="7" t="str">
        <x:v>MF-15</x:v>
      </x:c>
      <x:c r="E347" s="7" t="str">
        <x:v>STD-15-2</x:v>
      </x:c>
      <x:c r="F347" s="7" t="str">
        <x:v>OP-1</x:v>
      </x:c>
      <x:c r="G347" s="7" t="n">
        <x:v>1</x:v>
      </x:c>
      <x:c r="H347" s="7" t="str"/>
      <x:c r="I347" s="7" t="str"/>
      <x:c r="J347" s="7" t="str">
        <x:f>IF(OR(H347="",I347=""),"",I347-H347)</x:f>
      </x:c>
      <x:c r="K347" s="7" t="str"/>
      <x:c r="L347" s="7" t="str"/>
      <x:c r="M347" s="7" t="str"/>
      <x:c r="N347" s="7" t="str">
        <x:f>IF(M347="","OPEN",IF(OR(NOT(ISNUMBER(H347)),NOT(ISNUMBER(I347)),K347="",L347=""),"FAIL","PASS"))</x:f>
        <x:v>OPEN</x:v>
      </x:c>
    </x:row>
    <x:row r="348">
      <x:c r="B348" s="7" t="str">
        <x:v>TRO-A-15-S2-O1-R2</x:v>
      </x:c>
      <x:c r="C348" s="7" t="str">
        <x:v>BLD-A</x:v>
      </x:c>
      <x:c r="D348" s="7" t="str">
        <x:v>MF-15</x:v>
      </x:c>
      <x:c r="E348" s="7" t="str">
        <x:v>STD-15-2</x:v>
      </x:c>
      <x:c r="F348" s="7" t="str">
        <x:v>OP-1</x:v>
      </x:c>
      <x:c r="G348" s="7" t="n">
        <x:v>2</x:v>
      </x:c>
      <x:c r="H348" s="7" t="str"/>
      <x:c r="I348" s="7" t="str"/>
      <x:c r="J348" s="7" t="str">
        <x:f>IF(OR(H348="",I348=""),"",I348-H348)</x:f>
      </x:c>
      <x:c r="K348" s="7" t="str"/>
      <x:c r="L348" s="7" t="str"/>
      <x:c r="M348" s="7" t="str"/>
      <x:c r="N348" s="7" t="str">
        <x:f>IF(M348="","OPEN",IF(OR(NOT(ISNUMBER(H348)),NOT(ISNUMBER(I348)),K348="",L348=""),"FAIL","PASS"))</x:f>
        <x:v>OPEN</x:v>
      </x:c>
    </x:row>
    <x:row r="349">
      <x:c r="B349" s="7" t="str">
        <x:v>TRO-A-15-S2-O2-R1</x:v>
      </x:c>
      <x:c r="C349" s="7" t="str">
        <x:v>BLD-A</x:v>
      </x:c>
      <x:c r="D349" s="7" t="str">
        <x:v>MF-15</x:v>
      </x:c>
      <x:c r="E349" s="7" t="str">
        <x:v>STD-15-2</x:v>
      </x:c>
      <x:c r="F349" s="7" t="str">
        <x:v>OP-2</x:v>
      </x:c>
      <x:c r="G349" s="7" t="n">
        <x:v>1</x:v>
      </x:c>
      <x:c r="H349" s="7" t="str"/>
      <x:c r="I349" s="7" t="str"/>
      <x:c r="J349" s="7" t="str">
        <x:f>IF(OR(H349="",I349=""),"",I349-H349)</x:f>
      </x:c>
      <x:c r="K349" s="7" t="str"/>
      <x:c r="L349" s="7" t="str"/>
      <x:c r="M349" s="7" t="str"/>
      <x:c r="N349" s="7" t="str">
        <x:f>IF(M349="","OPEN",IF(OR(NOT(ISNUMBER(H349)),NOT(ISNUMBER(I349)),K349="",L349=""),"FAIL","PASS"))</x:f>
        <x:v>OPEN</x:v>
      </x:c>
    </x:row>
    <x:row r="350">
      <x:c r="B350" s="7" t="str">
        <x:v>TRO-A-15-S2-O2-R2</x:v>
      </x:c>
      <x:c r="C350" s="7" t="str">
        <x:v>BLD-A</x:v>
      </x:c>
      <x:c r="D350" s="7" t="str">
        <x:v>MF-15</x:v>
      </x:c>
      <x:c r="E350" s="7" t="str">
        <x:v>STD-15-2</x:v>
      </x:c>
      <x:c r="F350" s="7" t="str">
        <x:v>OP-2</x:v>
      </x:c>
      <x:c r="G350" s="7" t="n">
        <x:v>2</x:v>
      </x:c>
      <x:c r="H350" s="7" t="str"/>
      <x:c r="I350" s="7" t="str"/>
      <x:c r="J350" s="7" t="str">
        <x:f>IF(OR(H350="",I350=""),"",I350-H350)</x:f>
      </x:c>
      <x:c r="K350" s="7" t="str"/>
      <x:c r="L350" s="7" t="str"/>
      <x:c r="M350" s="7" t="str"/>
      <x:c r="N350" s="7" t="str">
        <x:f>IF(M350="","OPEN",IF(OR(NOT(ISNUMBER(H350)),NOT(ISNUMBER(I350)),K350="",L350=""),"FAIL","PASS"))</x:f>
        <x:v>OPEN</x:v>
      </x:c>
    </x:row>
    <x:row r="351">
      <x:c r="B351" s="7" t="str">
        <x:v>TRO-A-15-S3-O1-R1</x:v>
      </x:c>
      <x:c r="C351" s="7" t="str">
        <x:v>BLD-A</x:v>
      </x:c>
      <x:c r="D351" s="7" t="str">
        <x:v>MF-15</x:v>
      </x:c>
      <x:c r="E351" s="7" t="str">
        <x:v>STD-15-3</x:v>
      </x:c>
      <x:c r="F351" s="7" t="str">
        <x:v>OP-1</x:v>
      </x:c>
      <x:c r="G351" s="7" t="n">
        <x:v>1</x:v>
      </x:c>
      <x:c r="H351" s="7" t="str"/>
      <x:c r="I351" s="7" t="str"/>
      <x:c r="J351" s="7" t="str">
        <x:f>IF(OR(H351="",I351=""),"",I351-H351)</x:f>
      </x:c>
      <x:c r="K351" s="7" t="str"/>
      <x:c r="L351" s="7" t="str"/>
      <x:c r="M351" s="7" t="str"/>
      <x:c r="N351" s="7" t="str">
        <x:f>IF(M351="","OPEN",IF(OR(NOT(ISNUMBER(H351)),NOT(ISNUMBER(I351)),K351="",L351=""),"FAIL","PASS"))</x:f>
        <x:v>OPEN</x:v>
      </x:c>
    </x:row>
    <x:row r="352">
      <x:c r="B352" s="7" t="str">
        <x:v>TRO-A-15-S3-O1-R2</x:v>
      </x:c>
      <x:c r="C352" s="7" t="str">
        <x:v>BLD-A</x:v>
      </x:c>
      <x:c r="D352" s="7" t="str">
        <x:v>MF-15</x:v>
      </x:c>
      <x:c r="E352" s="7" t="str">
        <x:v>STD-15-3</x:v>
      </x:c>
      <x:c r="F352" s="7" t="str">
        <x:v>OP-1</x:v>
      </x:c>
      <x:c r="G352" s="7" t="n">
        <x:v>2</x:v>
      </x:c>
      <x:c r="H352" s="7" t="str"/>
      <x:c r="I352" s="7" t="str"/>
      <x:c r="J352" s="7" t="str">
        <x:f>IF(OR(H352="",I352=""),"",I352-H352)</x:f>
      </x:c>
      <x:c r="K352" s="7" t="str"/>
      <x:c r="L352" s="7" t="str"/>
      <x:c r="M352" s="7" t="str"/>
      <x:c r="N352" s="7" t="str">
        <x:f>IF(M352="","OPEN",IF(OR(NOT(ISNUMBER(H352)),NOT(ISNUMBER(I352)),K352="",L352=""),"FAIL","PASS"))</x:f>
        <x:v>OPEN</x:v>
      </x:c>
    </x:row>
    <x:row r="353">
      <x:c r="B353" s="7" t="str">
        <x:v>TRO-A-15-S3-O2-R1</x:v>
      </x:c>
      <x:c r="C353" s="7" t="str">
        <x:v>BLD-A</x:v>
      </x:c>
      <x:c r="D353" s="7" t="str">
        <x:v>MF-15</x:v>
      </x:c>
      <x:c r="E353" s="7" t="str">
        <x:v>STD-15-3</x:v>
      </x:c>
      <x:c r="F353" s="7" t="str">
        <x:v>OP-2</x:v>
      </x:c>
      <x:c r="G353" s="7" t="n">
        <x:v>1</x:v>
      </x:c>
      <x:c r="H353" s="7" t="str"/>
      <x:c r="I353" s="7" t="str"/>
      <x:c r="J353" s="7" t="str">
        <x:f>IF(OR(H353="",I353=""),"",I353-H353)</x:f>
      </x:c>
      <x:c r="K353" s="7" t="str"/>
      <x:c r="L353" s="7" t="str"/>
      <x:c r="M353" s="7" t="str"/>
      <x:c r="N353" s="7" t="str">
        <x:f>IF(M353="","OPEN",IF(OR(NOT(ISNUMBER(H353)),NOT(ISNUMBER(I353)),K353="",L353=""),"FAIL","PASS"))</x:f>
        <x:v>OPEN</x:v>
      </x:c>
    </x:row>
    <x:row r="354">
      <x:c r="B354" s="7" t="str">
        <x:v>TRO-A-15-S3-O2-R2</x:v>
      </x:c>
      <x:c r="C354" s="7" t="str">
        <x:v>BLD-A</x:v>
      </x:c>
      <x:c r="D354" s="7" t="str">
        <x:v>MF-15</x:v>
      </x:c>
      <x:c r="E354" s="7" t="str">
        <x:v>STD-15-3</x:v>
      </x:c>
      <x:c r="F354" s="7" t="str">
        <x:v>OP-2</x:v>
      </x:c>
      <x:c r="G354" s="7" t="n">
        <x:v>2</x:v>
      </x:c>
      <x:c r="H354" s="7" t="str"/>
      <x:c r="I354" s="7" t="str"/>
      <x:c r="J354" s="7" t="str">
        <x:f>IF(OR(H354="",I354=""),"",I354-H354)</x:f>
      </x:c>
      <x:c r="K354" s="7" t="str"/>
      <x:c r="L354" s="7" t="str"/>
      <x:c r="M354" s="7" t="str"/>
      <x:c r="N354" s="7" t="str">
        <x:f>IF(M354="","OPEN",IF(OR(NOT(ISNUMBER(H354)),NOT(ISNUMBER(I354)),K354="",L354=""),"FAIL","PASS"))</x:f>
        <x:v>OPEN</x:v>
      </x:c>
    </x:row>
    <x:row r="355">
      <x:c r="B355" s="7" t="str">
        <x:v>TRO-A-15-S4-O1-R1</x:v>
      </x:c>
      <x:c r="C355" s="7" t="str">
        <x:v>BLD-A</x:v>
      </x:c>
      <x:c r="D355" s="7" t="str">
        <x:v>MF-15</x:v>
      </x:c>
      <x:c r="E355" s="7" t="str">
        <x:v>STD-15-4</x:v>
      </x:c>
      <x:c r="F355" s="7" t="str">
        <x:v>OP-1</x:v>
      </x:c>
      <x:c r="G355" s="7" t="n">
        <x:v>1</x:v>
      </x:c>
      <x:c r="H355" s="7" t="str"/>
      <x:c r="I355" s="7" t="str"/>
      <x:c r="J355" s="7" t="str">
        <x:f>IF(OR(H355="",I355=""),"",I355-H355)</x:f>
      </x:c>
      <x:c r="K355" s="7" t="str"/>
      <x:c r="L355" s="7" t="str"/>
      <x:c r="M355" s="7" t="str"/>
      <x:c r="N355" s="7" t="str">
        <x:f>IF(M355="","OPEN",IF(OR(NOT(ISNUMBER(H355)),NOT(ISNUMBER(I355)),K355="",L355=""),"FAIL","PASS"))</x:f>
        <x:v>OPEN</x:v>
      </x:c>
    </x:row>
    <x:row r="356">
      <x:c r="B356" s="7" t="str">
        <x:v>TRO-A-15-S4-O1-R2</x:v>
      </x:c>
      <x:c r="C356" s="7" t="str">
        <x:v>BLD-A</x:v>
      </x:c>
      <x:c r="D356" s="7" t="str">
        <x:v>MF-15</x:v>
      </x:c>
      <x:c r="E356" s="7" t="str">
        <x:v>STD-15-4</x:v>
      </x:c>
      <x:c r="F356" s="7" t="str">
        <x:v>OP-1</x:v>
      </x:c>
      <x:c r="G356" s="7" t="n">
        <x:v>2</x:v>
      </x:c>
      <x:c r="H356" s="7" t="str"/>
      <x:c r="I356" s="7" t="str"/>
      <x:c r="J356" s="7" t="str">
        <x:f>IF(OR(H356="",I356=""),"",I356-H356)</x:f>
      </x:c>
      <x:c r="K356" s="7" t="str"/>
      <x:c r="L356" s="7" t="str"/>
      <x:c r="M356" s="7" t="str"/>
      <x:c r="N356" s="7" t="str">
        <x:f>IF(M356="","OPEN",IF(OR(NOT(ISNUMBER(H356)),NOT(ISNUMBER(I356)),K356="",L356=""),"FAIL","PASS"))</x:f>
        <x:v>OPEN</x:v>
      </x:c>
    </x:row>
    <x:row r="357">
      <x:c r="B357" s="7" t="str">
        <x:v>TRO-A-15-S4-O2-R1</x:v>
      </x:c>
      <x:c r="C357" s="7" t="str">
        <x:v>BLD-A</x:v>
      </x:c>
      <x:c r="D357" s="7" t="str">
        <x:v>MF-15</x:v>
      </x:c>
      <x:c r="E357" s="7" t="str">
        <x:v>STD-15-4</x:v>
      </x:c>
      <x:c r="F357" s="7" t="str">
        <x:v>OP-2</x:v>
      </x:c>
      <x:c r="G357" s="7" t="n">
        <x:v>1</x:v>
      </x:c>
      <x:c r="H357" s="7" t="str"/>
      <x:c r="I357" s="7" t="str"/>
      <x:c r="J357" s="7" t="str">
        <x:f>IF(OR(H357="",I357=""),"",I357-H357)</x:f>
      </x:c>
      <x:c r="K357" s="7" t="str"/>
      <x:c r="L357" s="7" t="str"/>
      <x:c r="M357" s="7" t="str"/>
      <x:c r="N357" s="7" t="str">
        <x:f>IF(M357="","OPEN",IF(OR(NOT(ISNUMBER(H357)),NOT(ISNUMBER(I357)),K357="",L357=""),"FAIL","PASS"))</x:f>
        <x:v>OPEN</x:v>
      </x:c>
    </x:row>
    <x:row r="358">
      <x:c r="B358" s="7" t="str">
        <x:v>TRO-A-15-S4-O2-R2</x:v>
      </x:c>
      <x:c r="C358" s="7" t="str">
        <x:v>BLD-A</x:v>
      </x:c>
      <x:c r="D358" s="7" t="str">
        <x:v>MF-15</x:v>
      </x:c>
      <x:c r="E358" s="7" t="str">
        <x:v>STD-15-4</x:v>
      </x:c>
      <x:c r="F358" s="7" t="str">
        <x:v>OP-2</x:v>
      </x:c>
      <x:c r="G358" s="7" t="n">
        <x:v>2</x:v>
      </x:c>
      <x:c r="H358" s="7" t="str"/>
      <x:c r="I358" s="7" t="str"/>
      <x:c r="J358" s="7" t="str">
        <x:f>IF(OR(H358="",I358=""),"",I358-H358)</x:f>
      </x:c>
      <x:c r="K358" s="7" t="str"/>
      <x:c r="L358" s="7" t="str"/>
      <x:c r="M358" s="7" t="str"/>
      <x:c r="N358" s="7" t="str">
        <x:f>IF(M358="","OPEN",IF(OR(NOT(ISNUMBER(H358)),NOT(ISNUMBER(I358)),K358="",L358=""),"FAIL","PASS"))</x:f>
        <x:v>OPEN</x:v>
      </x:c>
    </x:row>
    <x:row r="359">
      <x:c r="B359" s="7" t="str">
        <x:v>TRO-A-15-S5-O1-R1</x:v>
      </x:c>
      <x:c r="C359" s="7" t="str">
        <x:v>BLD-A</x:v>
      </x:c>
      <x:c r="D359" s="7" t="str">
        <x:v>MF-15</x:v>
      </x:c>
      <x:c r="E359" s="7" t="str">
        <x:v>STD-15-5</x:v>
      </x:c>
      <x:c r="F359" s="7" t="str">
        <x:v>OP-1</x:v>
      </x:c>
      <x:c r="G359" s="7" t="n">
        <x:v>1</x:v>
      </x:c>
      <x:c r="H359" s="7" t="str"/>
      <x:c r="I359" s="7" t="str"/>
      <x:c r="J359" s="7" t="str">
        <x:f>IF(OR(H359="",I359=""),"",I359-H359)</x:f>
      </x:c>
      <x:c r="K359" s="7" t="str"/>
      <x:c r="L359" s="7" t="str"/>
      <x:c r="M359" s="7" t="str"/>
      <x:c r="N359" s="7" t="str">
        <x:f>IF(M359="","OPEN",IF(OR(NOT(ISNUMBER(H359)),NOT(ISNUMBER(I359)),K359="",L359=""),"FAIL","PASS"))</x:f>
        <x:v>OPEN</x:v>
      </x:c>
    </x:row>
    <x:row r="360">
      <x:c r="B360" s="7" t="str">
        <x:v>TRO-A-15-S5-O1-R2</x:v>
      </x:c>
      <x:c r="C360" s="7" t="str">
        <x:v>BLD-A</x:v>
      </x:c>
      <x:c r="D360" s="7" t="str">
        <x:v>MF-15</x:v>
      </x:c>
      <x:c r="E360" s="7" t="str">
        <x:v>STD-15-5</x:v>
      </x:c>
      <x:c r="F360" s="7" t="str">
        <x:v>OP-1</x:v>
      </x:c>
      <x:c r="G360" s="7" t="n">
        <x:v>2</x:v>
      </x:c>
      <x:c r="H360" s="7" t="str"/>
      <x:c r="I360" s="7" t="str"/>
      <x:c r="J360" s="7" t="str">
        <x:f>IF(OR(H360="",I360=""),"",I360-H360)</x:f>
      </x:c>
      <x:c r="K360" s="7" t="str"/>
      <x:c r="L360" s="7" t="str"/>
      <x:c r="M360" s="7" t="str"/>
      <x:c r="N360" s="7" t="str">
        <x:f>IF(M360="","OPEN",IF(OR(NOT(ISNUMBER(H360)),NOT(ISNUMBER(I360)),K360="",L360=""),"FAIL","PASS"))</x:f>
        <x:v>OPEN</x:v>
      </x:c>
    </x:row>
    <x:row r="361">
      <x:c r="B361" s="7" t="str">
        <x:v>TRO-A-15-S5-O2-R1</x:v>
      </x:c>
      <x:c r="C361" s="7" t="str">
        <x:v>BLD-A</x:v>
      </x:c>
      <x:c r="D361" s="7" t="str">
        <x:v>MF-15</x:v>
      </x:c>
      <x:c r="E361" s="7" t="str">
        <x:v>STD-15-5</x:v>
      </x:c>
      <x:c r="F361" s="7" t="str">
        <x:v>OP-2</x:v>
      </x:c>
      <x:c r="G361" s="7" t="n">
        <x:v>1</x:v>
      </x:c>
      <x:c r="H361" s="7" t="str"/>
      <x:c r="I361" s="7" t="str"/>
      <x:c r="J361" s="7" t="str">
        <x:f>IF(OR(H361="",I361=""),"",I361-H361)</x:f>
      </x:c>
      <x:c r="K361" s="7" t="str"/>
      <x:c r="L361" s="7" t="str"/>
      <x:c r="M361" s="7" t="str"/>
      <x:c r="N361" s="7" t="str">
        <x:f>IF(M361="","OPEN",IF(OR(NOT(ISNUMBER(H361)),NOT(ISNUMBER(I361)),K361="",L361=""),"FAIL","PASS"))</x:f>
        <x:v>OPEN</x:v>
      </x:c>
    </x:row>
    <x:row r="362">
      <x:c r="B362" s="7" t="str">
        <x:v>TRO-A-15-S5-O2-R2</x:v>
      </x:c>
      <x:c r="C362" s="7" t="str">
        <x:v>BLD-A</x:v>
      </x:c>
      <x:c r="D362" s="7" t="str">
        <x:v>MF-15</x:v>
      </x:c>
      <x:c r="E362" s="7" t="str">
        <x:v>STD-15-5</x:v>
      </x:c>
      <x:c r="F362" s="7" t="str">
        <x:v>OP-2</x:v>
      </x:c>
      <x:c r="G362" s="7" t="n">
        <x:v>2</x:v>
      </x:c>
      <x:c r="H362" s="7" t="str"/>
      <x:c r="I362" s="7" t="str"/>
      <x:c r="J362" s="7" t="str">
        <x:f>IF(OR(H362="",I362=""),"",I362-H362)</x:f>
      </x:c>
      <x:c r="K362" s="7" t="str"/>
      <x:c r="L362" s="7" t="str"/>
      <x:c r="M362" s="7" t="str"/>
      <x:c r="N362" s="7" t="str">
        <x:f>IF(M362="","OPEN",IF(OR(NOT(ISNUMBER(H362)),NOT(ISNUMBER(I362)),K362="",L362=""),"FAIL","PASS"))</x:f>
        <x:v>OPEN</x:v>
      </x:c>
    </x:row>
    <x:row r="363">
      <x:c r="B363" s="7" t="str">
        <x:v>TRO-A-15-S6-O1-R1</x:v>
      </x:c>
      <x:c r="C363" s="7" t="str">
        <x:v>BLD-A</x:v>
      </x:c>
      <x:c r="D363" s="7" t="str">
        <x:v>MF-15</x:v>
      </x:c>
      <x:c r="E363" s="7" t="str">
        <x:v>STD-15-6</x:v>
      </x:c>
      <x:c r="F363" s="7" t="str">
        <x:v>OP-1</x:v>
      </x:c>
      <x:c r="G363" s="7" t="n">
        <x:v>1</x:v>
      </x:c>
      <x:c r="H363" s="7" t="str"/>
      <x:c r="I363" s="7" t="str"/>
      <x:c r="J363" s="7" t="str">
        <x:f>IF(OR(H363="",I363=""),"",I363-H363)</x:f>
      </x:c>
      <x:c r="K363" s="7" t="str"/>
      <x:c r="L363" s="7" t="str"/>
      <x:c r="M363" s="7" t="str"/>
      <x:c r="N363" s="7" t="str">
        <x:f>IF(M363="","OPEN",IF(OR(NOT(ISNUMBER(H363)),NOT(ISNUMBER(I363)),K363="",L363=""),"FAIL","PASS"))</x:f>
        <x:v>OPEN</x:v>
      </x:c>
    </x:row>
    <x:row r="364">
      <x:c r="B364" s="7" t="str">
        <x:v>TRO-A-15-S6-O1-R2</x:v>
      </x:c>
      <x:c r="C364" s="7" t="str">
        <x:v>BLD-A</x:v>
      </x:c>
      <x:c r="D364" s="7" t="str">
        <x:v>MF-15</x:v>
      </x:c>
      <x:c r="E364" s="7" t="str">
        <x:v>STD-15-6</x:v>
      </x:c>
      <x:c r="F364" s="7" t="str">
        <x:v>OP-1</x:v>
      </x:c>
      <x:c r="G364" s="7" t="n">
        <x:v>2</x:v>
      </x:c>
      <x:c r="H364" s="7" t="str"/>
      <x:c r="I364" s="7" t="str"/>
      <x:c r="J364" s="7" t="str">
        <x:f>IF(OR(H364="",I364=""),"",I364-H364)</x:f>
      </x:c>
      <x:c r="K364" s="7" t="str"/>
      <x:c r="L364" s="7" t="str"/>
      <x:c r="M364" s="7" t="str"/>
      <x:c r="N364" s="7" t="str">
        <x:f>IF(M364="","OPEN",IF(OR(NOT(ISNUMBER(H364)),NOT(ISNUMBER(I364)),K364="",L364=""),"FAIL","PASS"))</x:f>
        <x:v>OPEN</x:v>
      </x:c>
    </x:row>
    <x:row r="365">
      <x:c r="B365" s="7" t="str">
        <x:v>TRO-A-15-S6-O2-R1</x:v>
      </x:c>
      <x:c r="C365" s="7" t="str">
        <x:v>BLD-A</x:v>
      </x:c>
      <x:c r="D365" s="7" t="str">
        <x:v>MF-15</x:v>
      </x:c>
      <x:c r="E365" s="7" t="str">
        <x:v>STD-15-6</x:v>
      </x:c>
      <x:c r="F365" s="7" t="str">
        <x:v>OP-2</x:v>
      </x:c>
      <x:c r="G365" s="7" t="n">
        <x:v>1</x:v>
      </x:c>
      <x:c r="H365" s="7" t="str"/>
      <x:c r="I365" s="7" t="str"/>
      <x:c r="J365" s="7" t="str">
        <x:f>IF(OR(H365="",I365=""),"",I365-H365)</x:f>
      </x:c>
      <x:c r="K365" s="7" t="str"/>
      <x:c r="L365" s="7" t="str"/>
      <x:c r="M365" s="7" t="str"/>
      <x:c r="N365" s="7" t="str">
        <x:f>IF(M365="","OPEN",IF(OR(NOT(ISNUMBER(H365)),NOT(ISNUMBER(I365)),K365="",L365=""),"FAIL","PASS"))</x:f>
        <x:v>OPEN</x:v>
      </x:c>
    </x:row>
    <x:row r="366">
      <x:c r="B366" s="7" t="str">
        <x:v>TRO-A-15-S6-O2-R2</x:v>
      </x:c>
      <x:c r="C366" s="7" t="str">
        <x:v>BLD-A</x:v>
      </x:c>
      <x:c r="D366" s="7" t="str">
        <x:v>MF-15</x:v>
      </x:c>
      <x:c r="E366" s="7" t="str">
        <x:v>STD-15-6</x:v>
      </x:c>
      <x:c r="F366" s="7" t="str">
        <x:v>OP-2</x:v>
      </x:c>
      <x:c r="G366" s="7" t="n">
        <x:v>2</x:v>
      </x:c>
      <x:c r="H366" s="7" t="str"/>
      <x:c r="I366" s="7" t="str"/>
      <x:c r="J366" s="7" t="str">
        <x:f>IF(OR(H366="",I366=""),"",I366-H366)</x:f>
      </x:c>
      <x:c r="K366" s="7" t="str"/>
      <x:c r="L366" s="7" t="str"/>
      <x:c r="M366" s="7" t="str"/>
      <x:c r="N366" s="7" t="str">
        <x:f>IF(M366="","OPEN",IF(OR(NOT(ISNUMBER(H366)),NOT(ISNUMBER(I366)),K366="",L366=""),"FAIL","PASS"))</x:f>
        <x:v>OPEN</x:v>
      </x:c>
    </x:row>
    <x:row r="367">
      <x:c r="B367" s="7" t="str">
        <x:v>TRO-A-16-S1-O1-R1</x:v>
      </x:c>
      <x:c r="C367" s="7" t="str">
        <x:v>BLD-A</x:v>
      </x:c>
      <x:c r="D367" s="7" t="str">
        <x:v>MF-16</x:v>
      </x:c>
      <x:c r="E367" s="7" t="str">
        <x:v>STD-16-1</x:v>
      </x:c>
      <x:c r="F367" s="7" t="str">
        <x:v>OP-1</x:v>
      </x:c>
      <x:c r="G367" s="7" t="n">
        <x:v>1</x:v>
      </x:c>
      <x:c r="H367" s="7" t="str"/>
      <x:c r="I367" s="7" t="str"/>
      <x:c r="J367" s="7" t="str">
        <x:f>IF(OR(H367="",I367=""),"",I367-H367)</x:f>
      </x:c>
      <x:c r="K367" s="7" t="str"/>
      <x:c r="L367" s="7" t="str"/>
      <x:c r="M367" s="7" t="str"/>
      <x:c r="N367" s="7" t="str">
        <x:f>IF(M367="","OPEN",IF(OR(NOT(ISNUMBER(H367)),NOT(ISNUMBER(I367)),K367="",L367=""),"FAIL","PASS"))</x:f>
        <x:v>OPEN</x:v>
      </x:c>
    </x:row>
    <x:row r="368">
      <x:c r="B368" s="7" t="str">
        <x:v>TRO-A-16-S1-O1-R2</x:v>
      </x:c>
      <x:c r="C368" s="7" t="str">
        <x:v>BLD-A</x:v>
      </x:c>
      <x:c r="D368" s="7" t="str">
        <x:v>MF-16</x:v>
      </x:c>
      <x:c r="E368" s="7" t="str">
        <x:v>STD-16-1</x:v>
      </x:c>
      <x:c r="F368" s="7" t="str">
        <x:v>OP-1</x:v>
      </x:c>
      <x:c r="G368" s="7" t="n">
        <x:v>2</x:v>
      </x:c>
      <x:c r="H368" s="7" t="str"/>
      <x:c r="I368" s="7" t="str"/>
      <x:c r="J368" s="7" t="str">
        <x:f>IF(OR(H368="",I368=""),"",I368-H368)</x:f>
      </x:c>
      <x:c r="K368" s="7" t="str"/>
      <x:c r="L368" s="7" t="str"/>
      <x:c r="M368" s="7" t="str"/>
      <x:c r="N368" s="7" t="str">
        <x:f>IF(M368="","OPEN",IF(OR(NOT(ISNUMBER(H368)),NOT(ISNUMBER(I368)),K368="",L368=""),"FAIL","PASS"))</x:f>
        <x:v>OPEN</x:v>
      </x:c>
    </x:row>
    <x:row r="369">
      <x:c r="B369" s="7" t="str">
        <x:v>TRO-A-16-S1-O2-R1</x:v>
      </x:c>
      <x:c r="C369" s="7" t="str">
        <x:v>BLD-A</x:v>
      </x:c>
      <x:c r="D369" s="7" t="str">
        <x:v>MF-16</x:v>
      </x:c>
      <x:c r="E369" s="7" t="str">
        <x:v>STD-16-1</x:v>
      </x:c>
      <x:c r="F369" s="7" t="str">
        <x:v>OP-2</x:v>
      </x:c>
      <x:c r="G369" s="7" t="n">
        <x:v>1</x:v>
      </x:c>
      <x:c r="H369" s="7" t="str"/>
      <x:c r="I369" s="7" t="str"/>
      <x:c r="J369" s="7" t="str">
        <x:f>IF(OR(H369="",I369=""),"",I369-H369)</x:f>
      </x:c>
      <x:c r="K369" s="7" t="str"/>
      <x:c r="L369" s="7" t="str"/>
      <x:c r="M369" s="7" t="str"/>
      <x:c r="N369" s="7" t="str">
        <x:f>IF(M369="","OPEN",IF(OR(NOT(ISNUMBER(H369)),NOT(ISNUMBER(I369)),K369="",L369=""),"FAIL","PASS"))</x:f>
        <x:v>OPEN</x:v>
      </x:c>
    </x:row>
    <x:row r="370">
      <x:c r="B370" s="7" t="str">
        <x:v>TRO-A-16-S1-O2-R2</x:v>
      </x:c>
      <x:c r="C370" s="7" t="str">
        <x:v>BLD-A</x:v>
      </x:c>
      <x:c r="D370" s="7" t="str">
        <x:v>MF-16</x:v>
      </x:c>
      <x:c r="E370" s="7" t="str">
        <x:v>STD-16-1</x:v>
      </x:c>
      <x:c r="F370" s="7" t="str">
        <x:v>OP-2</x:v>
      </x:c>
      <x:c r="G370" s="7" t="n">
        <x:v>2</x:v>
      </x:c>
      <x:c r="H370" s="7" t="str"/>
      <x:c r="I370" s="7" t="str"/>
      <x:c r="J370" s="7" t="str">
        <x:f>IF(OR(H370="",I370=""),"",I370-H370)</x:f>
      </x:c>
      <x:c r="K370" s="7" t="str"/>
      <x:c r="L370" s="7" t="str"/>
      <x:c r="M370" s="7" t="str"/>
      <x:c r="N370" s="7" t="str">
        <x:f>IF(M370="","OPEN",IF(OR(NOT(ISNUMBER(H370)),NOT(ISNUMBER(I370)),K370="",L370=""),"FAIL","PASS"))</x:f>
        <x:v>OPEN</x:v>
      </x:c>
    </x:row>
    <x:row r="371">
      <x:c r="B371" s="7" t="str">
        <x:v>TRO-A-16-S2-O1-R1</x:v>
      </x:c>
      <x:c r="C371" s="7" t="str">
        <x:v>BLD-A</x:v>
      </x:c>
      <x:c r="D371" s="7" t="str">
        <x:v>MF-16</x:v>
      </x:c>
      <x:c r="E371" s="7" t="str">
        <x:v>STD-16-2</x:v>
      </x:c>
      <x:c r="F371" s="7" t="str">
        <x:v>OP-1</x:v>
      </x:c>
      <x:c r="G371" s="7" t="n">
        <x:v>1</x:v>
      </x:c>
      <x:c r="H371" s="7" t="str"/>
      <x:c r="I371" s="7" t="str"/>
      <x:c r="J371" s="7" t="str">
        <x:f>IF(OR(H371="",I371=""),"",I371-H371)</x:f>
      </x:c>
      <x:c r="K371" s="7" t="str"/>
      <x:c r="L371" s="7" t="str"/>
      <x:c r="M371" s="7" t="str"/>
      <x:c r="N371" s="7" t="str">
        <x:f>IF(M371="","OPEN",IF(OR(NOT(ISNUMBER(H371)),NOT(ISNUMBER(I371)),K371="",L371=""),"FAIL","PASS"))</x:f>
        <x:v>OPEN</x:v>
      </x:c>
    </x:row>
    <x:row r="372">
      <x:c r="B372" s="7" t="str">
        <x:v>TRO-A-16-S2-O1-R2</x:v>
      </x:c>
      <x:c r="C372" s="7" t="str">
        <x:v>BLD-A</x:v>
      </x:c>
      <x:c r="D372" s="7" t="str">
        <x:v>MF-16</x:v>
      </x:c>
      <x:c r="E372" s="7" t="str">
        <x:v>STD-16-2</x:v>
      </x:c>
      <x:c r="F372" s="7" t="str">
        <x:v>OP-1</x:v>
      </x:c>
      <x:c r="G372" s="7" t="n">
        <x:v>2</x:v>
      </x:c>
      <x:c r="H372" s="7" t="str"/>
      <x:c r="I372" s="7" t="str"/>
      <x:c r="J372" s="7" t="str">
        <x:f>IF(OR(H372="",I372=""),"",I372-H372)</x:f>
      </x:c>
      <x:c r="K372" s="7" t="str"/>
      <x:c r="L372" s="7" t="str"/>
      <x:c r="M372" s="7" t="str"/>
      <x:c r="N372" s="7" t="str">
        <x:f>IF(M372="","OPEN",IF(OR(NOT(ISNUMBER(H372)),NOT(ISNUMBER(I372)),K372="",L372=""),"FAIL","PASS"))</x:f>
        <x:v>OPEN</x:v>
      </x:c>
    </x:row>
    <x:row r="373">
      <x:c r="B373" s="7" t="str">
        <x:v>TRO-A-16-S2-O2-R1</x:v>
      </x:c>
      <x:c r="C373" s="7" t="str">
        <x:v>BLD-A</x:v>
      </x:c>
      <x:c r="D373" s="7" t="str">
        <x:v>MF-16</x:v>
      </x:c>
      <x:c r="E373" s="7" t="str">
        <x:v>STD-16-2</x:v>
      </x:c>
      <x:c r="F373" s="7" t="str">
        <x:v>OP-2</x:v>
      </x:c>
      <x:c r="G373" s="7" t="n">
        <x:v>1</x:v>
      </x:c>
      <x:c r="H373" s="7" t="str"/>
      <x:c r="I373" s="7" t="str"/>
      <x:c r="J373" s="7" t="str">
        <x:f>IF(OR(H373="",I373=""),"",I373-H373)</x:f>
      </x:c>
      <x:c r="K373" s="7" t="str"/>
      <x:c r="L373" s="7" t="str"/>
      <x:c r="M373" s="7" t="str"/>
      <x:c r="N373" s="7" t="str">
        <x:f>IF(M373="","OPEN",IF(OR(NOT(ISNUMBER(H373)),NOT(ISNUMBER(I373)),K373="",L373=""),"FAIL","PASS"))</x:f>
        <x:v>OPEN</x:v>
      </x:c>
    </x:row>
    <x:row r="374">
      <x:c r="B374" s="7" t="str">
        <x:v>TRO-A-16-S2-O2-R2</x:v>
      </x:c>
      <x:c r="C374" s="7" t="str">
        <x:v>BLD-A</x:v>
      </x:c>
      <x:c r="D374" s="7" t="str">
        <x:v>MF-16</x:v>
      </x:c>
      <x:c r="E374" s="7" t="str">
        <x:v>STD-16-2</x:v>
      </x:c>
      <x:c r="F374" s="7" t="str">
        <x:v>OP-2</x:v>
      </x:c>
      <x:c r="G374" s="7" t="n">
        <x:v>2</x:v>
      </x:c>
      <x:c r="H374" s="7" t="str"/>
      <x:c r="I374" s="7" t="str"/>
      <x:c r="J374" s="7" t="str">
        <x:f>IF(OR(H374="",I374=""),"",I374-H374)</x:f>
      </x:c>
      <x:c r="K374" s="7" t="str"/>
      <x:c r="L374" s="7" t="str"/>
      <x:c r="M374" s="7" t="str"/>
      <x:c r="N374" s="7" t="str">
        <x:f>IF(M374="","OPEN",IF(OR(NOT(ISNUMBER(H374)),NOT(ISNUMBER(I374)),K374="",L374=""),"FAIL","PASS"))</x:f>
        <x:v>OPEN</x:v>
      </x:c>
    </x:row>
    <x:row r="375">
      <x:c r="B375" s="7" t="str">
        <x:v>TRO-A-16-S3-O1-R1</x:v>
      </x:c>
      <x:c r="C375" s="7" t="str">
        <x:v>BLD-A</x:v>
      </x:c>
      <x:c r="D375" s="7" t="str">
        <x:v>MF-16</x:v>
      </x:c>
      <x:c r="E375" s="7" t="str">
        <x:v>STD-16-3</x:v>
      </x:c>
      <x:c r="F375" s="7" t="str">
        <x:v>OP-1</x:v>
      </x:c>
      <x:c r="G375" s="7" t="n">
        <x:v>1</x:v>
      </x:c>
      <x:c r="H375" s="7" t="str"/>
      <x:c r="I375" s="7" t="str"/>
      <x:c r="J375" s="7" t="str">
        <x:f>IF(OR(H375="",I375=""),"",I375-H375)</x:f>
      </x:c>
      <x:c r="K375" s="7" t="str"/>
      <x:c r="L375" s="7" t="str"/>
      <x:c r="M375" s="7" t="str"/>
      <x:c r="N375" s="7" t="str">
        <x:f>IF(M375="","OPEN",IF(OR(NOT(ISNUMBER(H375)),NOT(ISNUMBER(I375)),K375="",L375=""),"FAIL","PASS"))</x:f>
        <x:v>OPEN</x:v>
      </x:c>
    </x:row>
    <x:row r="376">
      <x:c r="B376" s="7" t="str">
        <x:v>TRO-A-16-S3-O1-R2</x:v>
      </x:c>
      <x:c r="C376" s="7" t="str">
        <x:v>BLD-A</x:v>
      </x:c>
      <x:c r="D376" s="7" t="str">
        <x:v>MF-16</x:v>
      </x:c>
      <x:c r="E376" s="7" t="str">
        <x:v>STD-16-3</x:v>
      </x:c>
      <x:c r="F376" s="7" t="str">
        <x:v>OP-1</x:v>
      </x:c>
      <x:c r="G376" s="7" t="n">
        <x:v>2</x:v>
      </x:c>
      <x:c r="H376" s="7" t="str"/>
      <x:c r="I376" s="7" t="str"/>
      <x:c r="J376" s="7" t="str">
        <x:f>IF(OR(H376="",I376=""),"",I376-H376)</x:f>
      </x:c>
      <x:c r="K376" s="7" t="str"/>
      <x:c r="L376" s="7" t="str"/>
      <x:c r="M376" s="7" t="str"/>
      <x:c r="N376" s="7" t="str">
        <x:f>IF(M376="","OPEN",IF(OR(NOT(ISNUMBER(H376)),NOT(ISNUMBER(I376)),K376="",L376=""),"FAIL","PASS"))</x:f>
        <x:v>OPEN</x:v>
      </x:c>
    </x:row>
    <x:row r="377">
      <x:c r="B377" s="7" t="str">
        <x:v>TRO-A-16-S3-O2-R1</x:v>
      </x:c>
      <x:c r="C377" s="7" t="str">
        <x:v>BLD-A</x:v>
      </x:c>
      <x:c r="D377" s="7" t="str">
        <x:v>MF-16</x:v>
      </x:c>
      <x:c r="E377" s="7" t="str">
        <x:v>STD-16-3</x:v>
      </x:c>
      <x:c r="F377" s="7" t="str">
        <x:v>OP-2</x:v>
      </x:c>
      <x:c r="G377" s="7" t="n">
        <x:v>1</x:v>
      </x:c>
      <x:c r="H377" s="7" t="str"/>
      <x:c r="I377" s="7" t="str"/>
      <x:c r="J377" s="7" t="str">
        <x:f>IF(OR(H377="",I377=""),"",I377-H377)</x:f>
      </x:c>
      <x:c r="K377" s="7" t="str"/>
      <x:c r="L377" s="7" t="str"/>
      <x:c r="M377" s="7" t="str"/>
      <x:c r="N377" s="7" t="str">
        <x:f>IF(M377="","OPEN",IF(OR(NOT(ISNUMBER(H377)),NOT(ISNUMBER(I377)),K377="",L377=""),"FAIL","PASS"))</x:f>
        <x:v>OPEN</x:v>
      </x:c>
    </x:row>
    <x:row r="378">
      <x:c r="B378" s="7" t="str">
        <x:v>TRO-A-16-S3-O2-R2</x:v>
      </x:c>
      <x:c r="C378" s="7" t="str">
        <x:v>BLD-A</x:v>
      </x:c>
      <x:c r="D378" s="7" t="str">
        <x:v>MF-16</x:v>
      </x:c>
      <x:c r="E378" s="7" t="str">
        <x:v>STD-16-3</x:v>
      </x:c>
      <x:c r="F378" s="7" t="str">
        <x:v>OP-2</x:v>
      </x:c>
      <x:c r="G378" s="7" t="n">
        <x:v>2</x:v>
      </x:c>
      <x:c r="H378" s="7" t="str"/>
      <x:c r="I378" s="7" t="str"/>
      <x:c r="J378" s="7" t="str">
        <x:f>IF(OR(H378="",I378=""),"",I378-H378)</x:f>
      </x:c>
      <x:c r="K378" s="7" t="str"/>
      <x:c r="L378" s="7" t="str"/>
      <x:c r="M378" s="7" t="str"/>
      <x:c r="N378" s="7" t="str">
        <x:f>IF(M378="","OPEN",IF(OR(NOT(ISNUMBER(H378)),NOT(ISNUMBER(I378)),K378="",L378=""),"FAIL","PASS"))</x:f>
        <x:v>OPEN</x:v>
      </x:c>
    </x:row>
    <x:row r="379">
      <x:c r="B379" s="7" t="str">
        <x:v>TRO-A-16-S4-O1-R1</x:v>
      </x:c>
      <x:c r="C379" s="7" t="str">
        <x:v>BLD-A</x:v>
      </x:c>
      <x:c r="D379" s="7" t="str">
        <x:v>MF-16</x:v>
      </x:c>
      <x:c r="E379" s="7" t="str">
        <x:v>STD-16-4</x:v>
      </x:c>
      <x:c r="F379" s="7" t="str">
        <x:v>OP-1</x:v>
      </x:c>
      <x:c r="G379" s="7" t="n">
        <x:v>1</x:v>
      </x:c>
      <x:c r="H379" s="7" t="str"/>
      <x:c r="I379" s="7" t="str"/>
      <x:c r="J379" s="7" t="str">
        <x:f>IF(OR(H379="",I379=""),"",I379-H379)</x:f>
      </x:c>
      <x:c r="K379" s="7" t="str"/>
      <x:c r="L379" s="7" t="str"/>
      <x:c r="M379" s="7" t="str"/>
      <x:c r="N379" s="7" t="str">
        <x:f>IF(M379="","OPEN",IF(OR(NOT(ISNUMBER(H379)),NOT(ISNUMBER(I379)),K379="",L379=""),"FAIL","PASS"))</x:f>
        <x:v>OPEN</x:v>
      </x:c>
    </x:row>
    <x:row r="380">
      <x:c r="B380" s="7" t="str">
        <x:v>TRO-A-16-S4-O1-R2</x:v>
      </x:c>
      <x:c r="C380" s="7" t="str">
        <x:v>BLD-A</x:v>
      </x:c>
      <x:c r="D380" s="7" t="str">
        <x:v>MF-16</x:v>
      </x:c>
      <x:c r="E380" s="7" t="str">
        <x:v>STD-16-4</x:v>
      </x:c>
      <x:c r="F380" s="7" t="str">
        <x:v>OP-1</x:v>
      </x:c>
      <x:c r="G380" s="7" t="n">
        <x:v>2</x:v>
      </x:c>
      <x:c r="H380" s="7" t="str"/>
      <x:c r="I380" s="7" t="str"/>
      <x:c r="J380" s="7" t="str">
        <x:f>IF(OR(H380="",I380=""),"",I380-H380)</x:f>
      </x:c>
      <x:c r="K380" s="7" t="str"/>
      <x:c r="L380" s="7" t="str"/>
      <x:c r="M380" s="7" t="str"/>
      <x:c r="N380" s="7" t="str">
        <x:f>IF(M380="","OPEN",IF(OR(NOT(ISNUMBER(H380)),NOT(ISNUMBER(I380)),K380="",L380=""),"FAIL","PASS"))</x:f>
        <x:v>OPEN</x:v>
      </x:c>
    </x:row>
    <x:row r="381">
      <x:c r="B381" s="7" t="str">
        <x:v>TRO-A-16-S4-O2-R1</x:v>
      </x:c>
      <x:c r="C381" s="7" t="str">
        <x:v>BLD-A</x:v>
      </x:c>
      <x:c r="D381" s="7" t="str">
        <x:v>MF-16</x:v>
      </x:c>
      <x:c r="E381" s="7" t="str">
        <x:v>STD-16-4</x:v>
      </x:c>
      <x:c r="F381" s="7" t="str">
        <x:v>OP-2</x:v>
      </x:c>
      <x:c r="G381" s="7" t="n">
        <x:v>1</x:v>
      </x:c>
      <x:c r="H381" s="7" t="str"/>
      <x:c r="I381" s="7" t="str"/>
      <x:c r="J381" s="7" t="str">
        <x:f>IF(OR(H381="",I381=""),"",I381-H381)</x:f>
      </x:c>
      <x:c r="K381" s="7" t="str"/>
      <x:c r="L381" s="7" t="str"/>
      <x:c r="M381" s="7" t="str"/>
      <x:c r="N381" s="7" t="str">
        <x:f>IF(M381="","OPEN",IF(OR(NOT(ISNUMBER(H381)),NOT(ISNUMBER(I381)),K381="",L381=""),"FAIL","PASS"))</x:f>
        <x:v>OPEN</x:v>
      </x:c>
    </x:row>
    <x:row r="382">
      <x:c r="B382" s="7" t="str">
        <x:v>TRO-A-16-S4-O2-R2</x:v>
      </x:c>
      <x:c r="C382" s="7" t="str">
        <x:v>BLD-A</x:v>
      </x:c>
      <x:c r="D382" s="7" t="str">
        <x:v>MF-16</x:v>
      </x:c>
      <x:c r="E382" s="7" t="str">
        <x:v>STD-16-4</x:v>
      </x:c>
      <x:c r="F382" s="7" t="str">
        <x:v>OP-2</x:v>
      </x:c>
      <x:c r="G382" s="7" t="n">
        <x:v>2</x:v>
      </x:c>
      <x:c r="H382" s="7" t="str"/>
      <x:c r="I382" s="7" t="str"/>
      <x:c r="J382" s="7" t="str">
        <x:f>IF(OR(H382="",I382=""),"",I382-H382)</x:f>
      </x:c>
      <x:c r="K382" s="7" t="str"/>
      <x:c r="L382" s="7" t="str"/>
      <x:c r="M382" s="7" t="str"/>
      <x:c r="N382" s="7" t="str">
        <x:f>IF(M382="","OPEN",IF(OR(NOT(ISNUMBER(H382)),NOT(ISNUMBER(I382)),K382="",L382=""),"FAIL","PASS"))</x:f>
        <x:v>OPEN</x:v>
      </x:c>
    </x:row>
    <x:row r="383">
      <x:c r="B383" s="7" t="str">
        <x:v>TRO-A-16-S5-O1-R1</x:v>
      </x:c>
      <x:c r="C383" s="7" t="str">
        <x:v>BLD-A</x:v>
      </x:c>
      <x:c r="D383" s="7" t="str">
        <x:v>MF-16</x:v>
      </x:c>
      <x:c r="E383" s="7" t="str">
        <x:v>STD-16-5</x:v>
      </x:c>
      <x:c r="F383" s="7" t="str">
        <x:v>OP-1</x:v>
      </x:c>
      <x:c r="G383" s="7" t="n">
        <x:v>1</x:v>
      </x:c>
      <x:c r="H383" s="7" t="str"/>
      <x:c r="I383" s="7" t="str"/>
      <x:c r="J383" s="7" t="str">
        <x:f>IF(OR(H383="",I383=""),"",I383-H383)</x:f>
      </x:c>
      <x:c r="K383" s="7" t="str"/>
      <x:c r="L383" s="7" t="str"/>
      <x:c r="M383" s="7" t="str"/>
      <x:c r="N383" s="7" t="str">
        <x:f>IF(M383="","OPEN",IF(OR(NOT(ISNUMBER(H383)),NOT(ISNUMBER(I383)),K383="",L383=""),"FAIL","PASS"))</x:f>
        <x:v>OPEN</x:v>
      </x:c>
    </x:row>
    <x:row r="384">
      <x:c r="B384" s="7" t="str">
        <x:v>TRO-A-16-S5-O1-R2</x:v>
      </x:c>
      <x:c r="C384" s="7" t="str">
        <x:v>BLD-A</x:v>
      </x:c>
      <x:c r="D384" s="7" t="str">
        <x:v>MF-16</x:v>
      </x:c>
      <x:c r="E384" s="7" t="str">
        <x:v>STD-16-5</x:v>
      </x:c>
      <x:c r="F384" s="7" t="str">
        <x:v>OP-1</x:v>
      </x:c>
      <x:c r="G384" s="7" t="n">
        <x:v>2</x:v>
      </x:c>
      <x:c r="H384" s="7" t="str"/>
      <x:c r="I384" s="7" t="str"/>
      <x:c r="J384" s="7" t="str">
        <x:f>IF(OR(H384="",I384=""),"",I384-H384)</x:f>
      </x:c>
      <x:c r="K384" s="7" t="str"/>
      <x:c r="L384" s="7" t="str"/>
      <x:c r="M384" s="7" t="str"/>
      <x:c r="N384" s="7" t="str">
        <x:f>IF(M384="","OPEN",IF(OR(NOT(ISNUMBER(H384)),NOT(ISNUMBER(I384)),K384="",L384=""),"FAIL","PASS"))</x:f>
        <x:v>OPEN</x:v>
      </x:c>
    </x:row>
    <x:row r="385">
      <x:c r="B385" s="7" t="str">
        <x:v>TRO-A-16-S5-O2-R1</x:v>
      </x:c>
      <x:c r="C385" s="7" t="str">
        <x:v>BLD-A</x:v>
      </x:c>
      <x:c r="D385" s="7" t="str">
        <x:v>MF-16</x:v>
      </x:c>
      <x:c r="E385" s="7" t="str">
        <x:v>STD-16-5</x:v>
      </x:c>
      <x:c r="F385" s="7" t="str">
        <x:v>OP-2</x:v>
      </x:c>
      <x:c r="G385" s="7" t="n">
        <x:v>1</x:v>
      </x:c>
      <x:c r="H385" s="7" t="str"/>
      <x:c r="I385" s="7" t="str"/>
      <x:c r="J385" s="7" t="str">
        <x:f>IF(OR(H385="",I385=""),"",I385-H385)</x:f>
      </x:c>
      <x:c r="K385" s="7" t="str"/>
      <x:c r="L385" s="7" t="str"/>
      <x:c r="M385" s="7" t="str"/>
      <x:c r="N385" s="7" t="str">
        <x:f>IF(M385="","OPEN",IF(OR(NOT(ISNUMBER(H385)),NOT(ISNUMBER(I385)),K385="",L385=""),"FAIL","PASS"))</x:f>
        <x:v>OPEN</x:v>
      </x:c>
    </x:row>
    <x:row r="386">
      <x:c r="B386" s="7" t="str">
        <x:v>TRO-A-16-S5-O2-R2</x:v>
      </x:c>
      <x:c r="C386" s="7" t="str">
        <x:v>BLD-A</x:v>
      </x:c>
      <x:c r="D386" s="7" t="str">
        <x:v>MF-16</x:v>
      </x:c>
      <x:c r="E386" s="7" t="str">
        <x:v>STD-16-5</x:v>
      </x:c>
      <x:c r="F386" s="7" t="str">
        <x:v>OP-2</x:v>
      </x:c>
      <x:c r="G386" s="7" t="n">
        <x:v>2</x:v>
      </x:c>
      <x:c r="H386" s="7" t="str"/>
      <x:c r="I386" s="7" t="str"/>
      <x:c r="J386" s="7" t="str">
        <x:f>IF(OR(H386="",I386=""),"",I386-H386)</x:f>
      </x:c>
      <x:c r="K386" s="7" t="str"/>
      <x:c r="L386" s="7" t="str"/>
      <x:c r="M386" s="7" t="str"/>
      <x:c r="N386" s="7" t="str">
        <x:f>IF(M386="","OPEN",IF(OR(NOT(ISNUMBER(H386)),NOT(ISNUMBER(I386)),K386="",L386=""),"FAIL","PASS"))</x:f>
        <x:v>OPEN</x:v>
      </x:c>
    </x:row>
    <x:row r="387">
      <x:c r="B387" s="7" t="str">
        <x:v>TRO-A-16-S6-O1-R1</x:v>
      </x:c>
      <x:c r="C387" s="7" t="str">
        <x:v>BLD-A</x:v>
      </x:c>
      <x:c r="D387" s="7" t="str">
        <x:v>MF-16</x:v>
      </x:c>
      <x:c r="E387" s="7" t="str">
        <x:v>STD-16-6</x:v>
      </x:c>
      <x:c r="F387" s="7" t="str">
        <x:v>OP-1</x:v>
      </x:c>
      <x:c r="G387" s="7" t="n">
        <x:v>1</x:v>
      </x:c>
      <x:c r="H387" s="7" t="str"/>
      <x:c r="I387" s="7" t="str"/>
      <x:c r="J387" s="7" t="str">
        <x:f>IF(OR(H387="",I387=""),"",I387-H387)</x:f>
      </x:c>
      <x:c r="K387" s="7" t="str"/>
      <x:c r="L387" s="7" t="str"/>
      <x:c r="M387" s="7" t="str"/>
      <x:c r="N387" s="7" t="str">
        <x:f>IF(M387="","OPEN",IF(OR(NOT(ISNUMBER(H387)),NOT(ISNUMBER(I387)),K387="",L387=""),"FAIL","PASS"))</x:f>
        <x:v>OPEN</x:v>
      </x:c>
    </x:row>
    <x:row r="388">
      <x:c r="B388" s="7" t="str">
        <x:v>TRO-A-16-S6-O1-R2</x:v>
      </x:c>
      <x:c r="C388" s="7" t="str">
        <x:v>BLD-A</x:v>
      </x:c>
      <x:c r="D388" s="7" t="str">
        <x:v>MF-16</x:v>
      </x:c>
      <x:c r="E388" s="7" t="str">
        <x:v>STD-16-6</x:v>
      </x:c>
      <x:c r="F388" s="7" t="str">
        <x:v>OP-1</x:v>
      </x:c>
      <x:c r="G388" s="7" t="n">
        <x:v>2</x:v>
      </x:c>
      <x:c r="H388" s="7" t="str"/>
      <x:c r="I388" s="7" t="str"/>
      <x:c r="J388" s="7" t="str">
        <x:f>IF(OR(H388="",I388=""),"",I388-H388)</x:f>
      </x:c>
      <x:c r="K388" s="7" t="str"/>
      <x:c r="L388" s="7" t="str"/>
      <x:c r="M388" s="7" t="str"/>
      <x:c r="N388" s="7" t="str">
        <x:f>IF(M388="","OPEN",IF(OR(NOT(ISNUMBER(H388)),NOT(ISNUMBER(I388)),K388="",L388=""),"FAIL","PASS"))</x:f>
        <x:v>OPEN</x:v>
      </x:c>
    </x:row>
    <x:row r="389">
      <x:c r="B389" s="7" t="str">
        <x:v>TRO-A-16-S6-O2-R1</x:v>
      </x:c>
      <x:c r="C389" s="7" t="str">
        <x:v>BLD-A</x:v>
      </x:c>
      <x:c r="D389" s="7" t="str">
        <x:v>MF-16</x:v>
      </x:c>
      <x:c r="E389" s="7" t="str">
        <x:v>STD-16-6</x:v>
      </x:c>
      <x:c r="F389" s="7" t="str">
        <x:v>OP-2</x:v>
      </x:c>
      <x:c r="G389" s="7" t="n">
        <x:v>1</x:v>
      </x:c>
      <x:c r="H389" s="7" t="str"/>
      <x:c r="I389" s="7" t="str"/>
      <x:c r="J389" s="7" t="str">
        <x:f>IF(OR(H389="",I389=""),"",I389-H389)</x:f>
      </x:c>
      <x:c r="K389" s="7" t="str"/>
      <x:c r="L389" s="7" t="str"/>
      <x:c r="M389" s="7" t="str"/>
      <x:c r="N389" s="7" t="str">
        <x:f>IF(M389="","OPEN",IF(OR(NOT(ISNUMBER(H389)),NOT(ISNUMBER(I389)),K389="",L389=""),"FAIL","PASS"))</x:f>
        <x:v>OPEN</x:v>
      </x:c>
    </x:row>
    <x:row r="390">
      <x:c r="B390" s="7" t="str">
        <x:v>TRO-A-16-S6-O2-R2</x:v>
      </x:c>
      <x:c r="C390" s="7" t="str">
        <x:v>BLD-A</x:v>
      </x:c>
      <x:c r="D390" s="7" t="str">
        <x:v>MF-16</x:v>
      </x:c>
      <x:c r="E390" s="7" t="str">
        <x:v>STD-16-6</x:v>
      </x:c>
      <x:c r="F390" s="7" t="str">
        <x:v>OP-2</x:v>
      </x:c>
      <x:c r="G390" s="7" t="n">
        <x:v>2</x:v>
      </x:c>
      <x:c r="H390" s="7" t="str"/>
      <x:c r="I390" s="7" t="str"/>
      <x:c r="J390" s="7" t="str">
        <x:f>IF(OR(H390="",I390=""),"",I390-H390)</x:f>
      </x:c>
      <x:c r="K390" s="7" t="str"/>
      <x:c r="L390" s="7" t="str"/>
      <x:c r="M390" s="7" t="str"/>
      <x:c r="N390" s="7" t="str">
        <x:f>IF(M390="","OPEN",IF(OR(NOT(ISNUMBER(H390)),NOT(ISNUMBER(I390)),K390="",L390=""),"FAIL","PASS"))</x:f>
        <x:v>OPEN</x:v>
      </x:c>
    </x:row>
    <x:row r="391">
      <x:c r="B391" s="7" t="str">
        <x:v>TRO-A-17-S1-O1-R1</x:v>
      </x:c>
      <x:c r="C391" s="7" t="str">
        <x:v>BLD-A</x:v>
      </x:c>
      <x:c r="D391" s="7" t="str">
        <x:v>MF-17</x:v>
      </x:c>
      <x:c r="E391" s="7" t="str">
        <x:v>STD-17-1</x:v>
      </x:c>
      <x:c r="F391" s="7" t="str">
        <x:v>OP-1</x:v>
      </x:c>
      <x:c r="G391" s="7" t="n">
        <x:v>1</x:v>
      </x:c>
      <x:c r="H391" s="7" t="str"/>
      <x:c r="I391" s="7" t="str"/>
      <x:c r="J391" s="7" t="str">
        <x:f>IF(OR(H391="",I391=""),"",I391-H391)</x:f>
      </x:c>
      <x:c r="K391" s="7" t="str"/>
      <x:c r="L391" s="7" t="str"/>
      <x:c r="M391" s="7" t="str"/>
      <x:c r="N391" s="7" t="str">
        <x:f>IF(M391="","OPEN",IF(OR(NOT(ISNUMBER(H391)),NOT(ISNUMBER(I391)),K391="",L391=""),"FAIL","PASS"))</x:f>
        <x:v>OPEN</x:v>
      </x:c>
    </x:row>
    <x:row r="392">
      <x:c r="B392" s="7" t="str">
        <x:v>TRO-A-17-S1-O1-R2</x:v>
      </x:c>
      <x:c r="C392" s="7" t="str">
        <x:v>BLD-A</x:v>
      </x:c>
      <x:c r="D392" s="7" t="str">
        <x:v>MF-17</x:v>
      </x:c>
      <x:c r="E392" s="7" t="str">
        <x:v>STD-17-1</x:v>
      </x:c>
      <x:c r="F392" s="7" t="str">
        <x:v>OP-1</x:v>
      </x:c>
      <x:c r="G392" s="7" t="n">
        <x:v>2</x:v>
      </x:c>
      <x:c r="H392" s="7" t="str"/>
      <x:c r="I392" s="7" t="str"/>
      <x:c r="J392" s="7" t="str">
        <x:f>IF(OR(H392="",I392=""),"",I392-H392)</x:f>
      </x:c>
      <x:c r="K392" s="7" t="str"/>
      <x:c r="L392" s="7" t="str"/>
      <x:c r="M392" s="7" t="str"/>
      <x:c r="N392" s="7" t="str">
        <x:f>IF(M392="","OPEN",IF(OR(NOT(ISNUMBER(H392)),NOT(ISNUMBER(I392)),K392="",L392=""),"FAIL","PASS"))</x:f>
        <x:v>OPEN</x:v>
      </x:c>
    </x:row>
    <x:row r="393">
      <x:c r="B393" s="7" t="str">
        <x:v>TRO-A-17-S1-O2-R1</x:v>
      </x:c>
      <x:c r="C393" s="7" t="str">
        <x:v>BLD-A</x:v>
      </x:c>
      <x:c r="D393" s="7" t="str">
        <x:v>MF-17</x:v>
      </x:c>
      <x:c r="E393" s="7" t="str">
        <x:v>STD-17-1</x:v>
      </x:c>
      <x:c r="F393" s="7" t="str">
        <x:v>OP-2</x:v>
      </x:c>
      <x:c r="G393" s="7" t="n">
        <x:v>1</x:v>
      </x:c>
      <x:c r="H393" s="7" t="str"/>
      <x:c r="I393" s="7" t="str"/>
      <x:c r="J393" s="7" t="str">
        <x:f>IF(OR(H393="",I393=""),"",I393-H393)</x:f>
      </x:c>
      <x:c r="K393" s="7" t="str"/>
      <x:c r="L393" s="7" t="str"/>
      <x:c r="M393" s="7" t="str"/>
      <x:c r="N393" s="7" t="str">
        <x:f>IF(M393="","OPEN",IF(OR(NOT(ISNUMBER(H393)),NOT(ISNUMBER(I393)),K393="",L393=""),"FAIL","PASS"))</x:f>
        <x:v>OPEN</x:v>
      </x:c>
    </x:row>
    <x:row r="394">
      <x:c r="B394" s="7" t="str">
        <x:v>TRO-A-17-S1-O2-R2</x:v>
      </x:c>
      <x:c r="C394" s="7" t="str">
        <x:v>BLD-A</x:v>
      </x:c>
      <x:c r="D394" s="7" t="str">
        <x:v>MF-17</x:v>
      </x:c>
      <x:c r="E394" s="7" t="str">
        <x:v>STD-17-1</x:v>
      </x:c>
      <x:c r="F394" s="7" t="str">
        <x:v>OP-2</x:v>
      </x:c>
      <x:c r="G394" s="7" t="n">
        <x:v>2</x:v>
      </x:c>
      <x:c r="H394" s="7" t="str"/>
      <x:c r="I394" s="7" t="str"/>
      <x:c r="J394" s="7" t="str">
        <x:f>IF(OR(H394="",I394=""),"",I394-H394)</x:f>
      </x:c>
      <x:c r="K394" s="7" t="str"/>
      <x:c r="L394" s="7" t="str"/>
      <x:c r="M394" s="7" t="str"/>
      <x:c r="N394" s="7" t="str">
        <x:f>IF(M394="","OPEN",IF(OR(NOT(ISNUMBER(H394)),NOT(ISNUMBER(I394)),K394="",L394=""),"FAIL","PASS"))</x:f>
        <x:v>OPEN</x:v>
      </x:c>
    </x:row>
    <x:row r="395">
      <x:c r="B395" s="7" t="str">
        <x:v>TRO-A-17-S2-O1-R1</x:v>
      </x:c>
      <x:c r="C395" s="7" t="str">
        <x:v>BLD-A</x:v>
      </x:c>
      <x:c r="D395" s="7" t="str">
        <x:v>MF-17</x:v>
      </x:c>
      <x:c r="E395" s="7" t="str">
        <x:v>STD-17-2</x:v>
      </x:c>
      <x:c r="F395" s="7" t="str">
        <x:v>OP-1</x:v>
      </x:c>
      <x:c r="G395" s="7" t="n">
        <x:v>1</x:v>
      </x:c>
      <x:c r="H395" s="7" t="str"/>
      <x:c r="I395" s="7" t="str"/>
      <x:c r="J395" s="7" t="str">
        <x:f>IF(OR(H395="",I395=""),"",I395-H395)</x:f>
      </x:c>
      <x:c r="K395" s="7" t="str"/>
      <x:c r="L395" s="7" t="str"/>
      <x:c r="M395" s="7" t="str"/>
      <x:c r="N395" s="7" t="str">
        <x:f>IF(M395="","OPEN",IF(OR(NOT(ISNUMBER(H395)),NOT(ISNUMBER(I395)),K395="",L395=""),"FAIL","PASS"))</x:f>
        <x:v>OPEN</x:v>
      </x:c>
    </x:row>
    <x:row r="396">
      <x:c r="B396" s="7" t="str">
        <x:v>TRO-A-17-S2-O1-R2</x:v>
      </x:c>
      <x:c r="C396" s="7" t="str">
        <x:v>BLD-A</x:v>
      </x:c>
      <x:c r="D396" s="7" t="str">
        <x:v>MF-17</x:v>
      </x:c>
      <x:c r="E396" s="7" t="str">
        <x:v>STD-17-2</x:v>
      </x:c>
      <x:c r="F396" s="7" t="str">
        <x:v>OP-1</x:v>
      </x:c>
      <x:c r="G396" s="7" t="n">
        <x:v>2</x:v>
      </x:c>
      <x:c r="H396" s="7" t="str"/>
      <x:c r="I396" s="7" t="str"/>
      <x:c r="J396" s="7" t="str">
        <x:f>IF(OR(H396="",I396=""),"",I396-H396)</x:f>
      </x:c>
      <x:c r="K396" s="7" t="str"/>
      <x:c r="L396" s="7" t="str"/>
      <x:c r="M396" s="7" t="str"/>
      <x:c r="N396" s="7" t="str">
        <x:f>IF(M396="","OPEN",IF(OR(NOT(ISNUMBER(H396)),NOT(ISNUMBER(I396)),K396="",L396=""),"FAIL","PASS"))</x:f>
        <x:v>OPEN</x:v>
      </x:c>
    </x:row>
    <x:row r="397">
      <x:c r="B397" s="7" t="str">
        <x:v>TRO-A-17-S2-O2-R1</x:v>
      </x:c>
      <x:c r="C397" s="7" t="str">
        <x:v>BLD-A</x:v>
      </x:c>
      <x:c r="D397" s="7" t="str">
        <x:v>MF-17</x:v>
      </x:c>
      <x:c r="E397" s="7" t="str">
        <x:v>STD-17-2</x:v>
      </x:c>
      <x:c r="F397" s="7" t="str">
        <x:v>OP-2</x:v>
      </x:c>
      <x:c r="G397" s="7" t="n">
        <x:v>1</x:v>
      </x:c>
      <x:c r="H397" s="7" t="str"/>
      <x:c r="I397" s="7" t="str"/>
      <x:c r="J397" s="7" t="str">
        <x:f>IF(OR(H397="",I397=""),"",I397-H397)</x:f>
      </x:c>
      <x:c r="K397" s="7" t="str"/>
      <x:c r="L397" s="7" t="str"/>
      <x:c r="M397" s="7" t="str"/>
      <x:c r="N397" s="7" t="str">
        <x:f>IF(M397="","OPEN",IF(OR(NOT(ISNUMBER(H397)),NOT(ISNUMBER(I397)),K397="",L397=""),"FAIL","PASS"))</x:f>
        <x:v>OPEN</x:v>
      </x:c>
    </x:row>
    <x:row r="398">
      <x:c r="B398" s="7" t="str">
        <x:v>TRO-A-17-S2-O2-R2</x:v>
      </x:c>
      <x:c r="C398" s="7" t="str">
        <x:v>BLD-A</x:v>
      </x:c>
      <x:c r="D398" s="7" t="str">
        <x:v>MF-17</x:v>
      </x:c>
      <x:c r="E398" s="7" t="str">
        <x:v>STD-17-2</x:v>
      </x:c>
      <x:c r="F398" s="7" t="str">
        <x:v>OP-2</x:v>
      </x:c>
      <x:c r="G398" s="7" t="n">
        <x:v>2</x:v>
      </x:c>
      <x:c r="H398" s="7" t="str"/>
      <x:c r="I398" s="7" t="str"/>
      <x:c r="J398" s="7" t="str">
        <x:f>IF(OR(H398="",I398=""),"",I398-H398)</x:f>
      </x:c>
      <x:c r="K398" s="7" t="str"/>
      <x:c r="L398" s="7" t="str"/>
      <x:c r="M398" s="7" t="str"/>
      <x:c r="N398" s="7" t="str">
        <x:f>IF(M398="","OPEN",IF(OR(NOT(ISNUMBER(H398)),NOT(ISNUMBER(I398)),K398="",L398=""),"FAIL","PASS"))</x:f>
        <x:v>OPEN</x:v>
      </x:c>
    </x:row>
    <x:row r="399">
      <x:c r="B399" s="7" t="str">
        <x:v>TRO-A-17-S3-O1-R1</x:v>
      </x:c>
      <x:c r="C399" s="7" t="str">
        <x:v>BLD-A</x:v>
      </x:c>
      <x:c r="D399" s="7" t="str">
        <x:v>MF-17</x:v>
      </x:c>
      <x:c r="E399" s="7" t="str">
        <x:v>STD-17-3</x:v>
      </x:c>
      <x:c r="F399" s="7" t="str">
        <x:v>OP-1</x:v>
      </x:c>
      <x:c r="G399" s="7" t="n">
        <x:v>1</x:v>
      </x:c>
      <x:c r="H399" s="7" t="str"/>
      <x:c r="I399" s="7" t="str"/>
      <x:c r="J399" s="7" t="str">
        <x:f>IF(OR(H399="",I399=""),"",I399-H399)</x:f>
      </x:c>
      <x:c r="K399" s="7" t="str"/>
      <x:c r="L399" s="7" t="str"/>
      <x:c r="M399" s="7" t="str"/>
      <x:c r="N399" s="7" t="str">
        <x:f>IF(M399="","OPEN",IF(OR(NOT(ISNUMBER(H399)),NOT(ISNUMBER(I399)),K399="",L399=""),"FAIL","PASS"))</x:f>
        <x:v>OPEN</x:v>
      </x:c>
    </x:row>
    <x:row r="400">
      <x:c r="B400" s="7" t="str">
        <x:v>TRO-A-17-S3-O1-R2</x:v>
      </x:c>
      <x:c r="C400" s="7" t="str">
        <x:v>BLD-A</x:v>
      </x:c>
      <x:c r="D400" s="7" t="str">
        <x:v>MF-17</x:v>
      </x:c>
      <x:c r="E400" s="7" t="str">
        <x:v>STD-17-3</x:v>
      </x:c>
      <x:c r="F400" s="7" t="str">
        <x:v>OP-1</x:v>
      </x:c>
      <x:c r="G400" s="7" t="n">
        <x:v>2</x:v>
      </x:c>
      <x:c r="H400" s="7" t="str"/>
      <x:c r="I400" s="7" t="str"/>
      <x:c r="J400" s="7" t="str">
        <x:f>IF(OR(H400="",I400=""),"",I400-H400)</x:f>
      </x:c>
      <x:c r="K400" s="7" t="str"/>
      <x:c r="L400" s="7" t="str"/>
      <x:c r="M400" s="7" t="str"/>
      <x:c r="N400" s="7" t="str">
        <x:f>IF(M400="","OPEN",IF(OR(NOT(ISNUMBER(H400)),NOT(ISNUMBER(I400)),K400="",L400=""),"FAIL","PASS"))</x:f>
        <x:v>OPEN</x:v>
      </x:c>
    </x:row>
    <x:row r="401">
      <x:c r="B401" s="7" t="str">
        <x:v>TRO-A-17-S3-O2-R1</x:v>
      </x:c>
      <x:c r="C401" s="7" t="str">
        <x:v>BLD-A</x:v>
      </x:c>
      <x:c r="D401" s="7" t="str">
        <x:v>MF-17</x:v>
      </x:c>
      <x:c r="E401" s="7" t="str">
        <x:v>STD-17-3</x:v>
      </x:c>
      <x:c r="F401" s="7" t="str">
        <x:v>OP-2</x:v>
      </x:c>
      <x:c r="G401" s="7" t="n">
        <x:v>1</x:v>
      </x:c>
      <x:c r="H401" s="7" t="str"/>
      <x:c r="I401" s="7" t="str"/>
      <x:c r="J401" s="7" t="str">
        <x:f>IF(OR(H401="",I401=""),"",I401-H401)</x:f>
      </x:c>
      <x:c r="K401" s="7" t="str"/>
      <x:c r="L401" s="7" t="str"/>
      <x:c r="M401" s="7" t="str"/>
      <x:c r="N401" s="7" t="str">
        <x:f>IF(M401="","OPEN",IF(OR(NOT(ISNUMBER(H401)),NOT(ISNUMBER(I401)),K401="",L401=""),"FAIL","PASS"))</x:f>
        <x:v>OPEN</x:v>
      </x:c>
    </x:row>
    <x:row r="402">
      <x:c r="B402" s="7" t="str">
        <x:v>TRO-A-17-S3-O2-R2</x:v>
      </x:c>
      <x:c r="C402" s="7" t="str">
        <x:v>BLD-A</x:v>
      </x:c>
      <x:c r="D402" s="7" t="str">
        <x:v>MF-17</x:v>
      </x:c>
      <x:c r="E402" s="7" t="str">
        <x:v>STD-17-3</x:v>
      </x:c>
      <x:c r="F402" s="7" t="str">
        <x:v>OP-2</x:v>
      </x:c>
      <x:c r="G402" s="7" t="n">
        <x:v>2</x:v>
      </x:c>
      <x:c r="H402" s="7" t="str"/>
      <x:c r="I402" s="7" t="str"/>
      <x:c r="J402" s="7" t="str">
        <x:f>IF(OR(H402="",I402=""),"",I402-H402)</x:f>
      </x:c>
      <x:c r="K402" s="7" t="str"/>
      <x:c r="L402" s="7" t="str"/>
      <x:c r="M402" s="7" t="str"/>
      <x:c r="N402" s="7" t="str">
        <x:f>IF(M402="","OPEN",IF(OR(NOT(ISNUMBER(H402)),NOT(ISNUMBER(I402)),K402="",L402=""),"FAIL","PASS"))</x:f>
        <x:v>OPEN</x:v>
      </x:c>
    </x:row>
    <x:row r="403">
      <x:c r="B403" s="7" t="str">
        <x:v>TRO-A-17-S4-O1-R1</x:v>
      </x:c>
      <x:c r="C403" s="7" t="str">
        <x:v>BLD-A</x:v>
      </x:c>
      <x:c r="D403" s="7" t="str">
        <x:v>MF-17</x:v>
      </x:c>
      <x:c r="E403" s="7" t="str">
        <x:v>STD-17-4</x:v>
      </x:c>
      <x:c r="F403" s="7" t="str">
        <x:v>OP-1</x:v>
      </x:c>
      <x:c r="G403" s="7" t="n">
        <x:v>1</x:v>
      </x:c>
      <x:c r="H403" s="7" t="str"/>
      <x:c r="I403" s="7" t="str"/>
      <x:c r="J403" s="7" t="str">
        <x:f>IF(OR(H403="",I403=""),"",I403-H403)</x:f>
      </x:c>
      <x:c r="K403" s="7" t="str"/>
      <x:c r="L403" s="7" t="str"/>
      <x:c r="M403" s="7" t="str"/>
      <x:c r="N403" s="7" t="str">
        <x:f>IF(M403="","OPEN",IF(OR(NOT(ISNUMBER(H403)),NOT(ISNUMBER(I403)),K403="",L403=""),"FAIL","PASS"))</x:f>
        <x:v>OPEN</x:v>
      </x:c>
    </x:row>
    <x:row r="404">
      <x:c r="B404" s="7" t="str">
        <x:v>TRO-A-17-S4-O1-R2</x:v>
      </x:c>
      <x:c r="C404" s="7" t="str">
        <x:v>BLD-A</x:v>
      </x:c>
      <x:c r="D404" s="7" t="str">
        <x:v>MF-17</x:v>
      </x:c>
      <x:c r="E404" s="7" t="str">
        <x:v>STD-17-4</x:v>
      </x:c>
      <x:c r="F404" s="7" t="str">
        <x:v>OP-1</x:v>
      </x:c>
      <x:c r="G404" s="7" t="n">
        <x:v>2</x:v>
      </x:c>
      <x:c r="H404" s="7" t="str"/>
      <x:c r="I404" s="7" t="str"/>
      <x:c r="J404" s="7" t="str">
        <x:f>IF(OR(H404="",I404=""),"",I404-H404)</x:f>
      </x:c>
      <x:c r="K404" s="7" t="str"/>
      <x:c r="L404" s="7" t="str"/>
      <x:c r="M404" s="7" t="str"/>
      <x:c r="N404" s="7" t="str">
        <x:f>IF(M404="","OPEN",IF(OR(NOT(ISNUMBER(H404)),NOT(ISNUMBER(I404)),K404="",L404=""),"FAIL","PASS"))</x:f>
        <x:v>OPEN</x:v>
      </x:c>
    </x:row>
    <x:row r="405">
      <x:c r="B405" s="7" t="str">
        <x:v>TRO-A-17-S4-O2-R1</x:v>
      </x:c>
      <x:c r="C405" s="7" t="str">
        <x:v>BLD-A</x:v>
      </x:c>
      <x:c r="D405" s="7" t="str">
        <x:v>MF-17</x:v>
      </x:c>
      <x:c r="E405" s="7" t="str">
        <x:v>STD-17-4</x:v>
      </x:c>
      <x:c r="F405" s="7" t="str">
        <x:v>OP-2</x:v>
      </x:c>
      <x:c r="G405" s="7" t="n">
        <x:v>1</x:v>
      </x:c>
      <x:c r="H405" s="7" t="str"/>
      <x:c r="I405" s="7" t="str"/>
      <x:c r="J405" s="7" t="str">
        <x:f>IF(OR(H405="",I405=""),"",I405-H405)</x:f>
      </x:c>
      <x:c r="K405" s="7" t="str"/>
      <x:c r="L405" s="7" t="str"/>
      <x:c r="M405" s="7" t="str"/>
      <x:c r="N405" s="7" t="str">
        <x:f>IF(M405="","OPEN",IF(OR(NOT(ISNUMBER(H405)),NOT(ISNUMBER(I405)),K405="",L405=""),"FAIL","PASS"))</x:f>
        <x:v>OPEN</x:v>
      </x:c>
    </x:row>
    <x:row r="406">
      <x:c r="B406" s="7" t="str">
        <x:v>TRO-A-17-S4-O2-R2</x:v>
      </x:c>
      <x:c r="C406" s="7" t="str">
        <x:v>BLD-A</x:v>
      </x:c>
      <x:c r="D406" s="7" t="str">
        <x:v>MF-17</x:v>
      </x:c>
      <x:c r="E406" s="7" t="str">
        <x:v>STD-17-4</x:v>
      </x:c>
      <x:c r="F406" s="7" t="str">
        <x:v>OP-2</x:v>
      </x:c>
      <x:c r="G406" s="7" t="n">
        <x:v>2</x:v>
      </x:c>
      <x:c r="H406" s="7" t="str"/>
      <x:c r="I406" s="7" t="str"/>
      <x:c r="J406" s="7" t="str">
        <x:f>IF(OR(H406="",I406=""),"",I406-H406)</x:f>
      </x:c>
      <x:c r="K406" s="7" t="str"/>
      <x:c r="L406" s="7" t="str"/>
      <x:c r="M406" s="7" t="str"/>
      <x:c r="N406" s="7" t="str">
        <x:f>IF(M406="","OPEN",IF(OR(NOT(ISNUMBER(H406)),NOT(ISNUMBER(I406)),K406="",L406=""),"FAIL","PASS"))</x:f>
        <x:v>OPEN</x:v>
      </x:c>
    </x:row>
    <x:row r="407">
      <x:c r="B407" s="7" t="str">
        <x:v>TRO-A-17-S5-O1-R1</x:v>
      </x:c>
      <x:c r="C407" s="7" t="str">
        <x:v>BLD-A</x:v>
      </x:c>
      <x:c r="D407" s="7" t="str">
        <x:v>MF-17</x:v>
      </x:c>
      <x:c r="E407" s="7" t="str">
        <x:v>STD-17-5</x:v>
      </x:c>
      <x:c r="F407" s="7" t="str">
        <x:v>OP-1</x:v>
      </x:c>
      <x:c r="G407" s="7" t="n">
        <x:v>1</x:v>
      </x:c>
      <x:c r="H407" s="7" t="str"/>
      <x:c r="I407" s="7" t="str"/>
      <x:c r="J407" s="7" t="str">
        <x:f>IF(OR(H407="",I407=""),"",I407-H407)</x:f>
      </x:c>
      <x:c r="K407" s="7" t="str"/>
      <x:c r="L407" s="7" t="str"/>
      <x:c r="M407" s="7" t="str"/>
      <x:c r="N407" s="7" t="str">
        <x:f>IF(M407="","OPEN",IF(OR(NOT(ISNUMBER(H407)),NOT(ISNUMBER(I407)),K407="",L407=""),"FAIL","PASS"))</x:f>
        <x:v>OPEN</x:v>
      </x:c>
    </x:row>
    <x:row r="408">
      <x:c r="B408" s="7" t="str">
        <x:v>TRO-A-17-S5-O1-R2</x:v>
      </x:c>
      <x:c r="C408" s="7" t="str">
        <x:v>BLD-A</x:v>
      </x:c>
      <x:c r="D408" s="7" t="str">
        <x:v>MF-17</x:v>
      </x:c>
      <x:c r="E408" s="7" t="str">
        <x:v>STD-17-5</x:v>
      </x:c>
      <x:c r="F408" s="7" t="str">
        <x:v>OP-1</x:v>
      </x:c>
      <x:c r="G408" s="7" t="n">
        <x:v>2</x:v>
      </x:c>
      <x:c r="H408" s="7" t="str"/>
      <x:c r="I408" s="7" t="str"/>
      <x:c r="J408" s="7" t="str">
        <x:f>IF(OR(H408="",I408=""),"",I408-H408)</x:f>
      </x:c>
      <x:c r="K408" s="7" t="str"/>
      <x:c r="L408" s="7" t="str"/>
      <x:c r="M408" s="7" t="str"/>
      <x:c r="N408" s="7" t="str">
        <x:f>IF(M408="","OPEN",IF(OR(NOT(ISNUMBER(H408)),NOT(ISNUMBER(I408)),K408="",L408=""),"FAIL","PASS"))</x:f>
        <x:v>OPEN</x:v>
      </x:c>
    </x:row>
    <x:row r="409">
      <x:c r="B409" s="7" t="str">
        <x:v>TRO-A-17-S5-O2-R1</x:v>
      </x:c>
      <x:c r="C409" s="7" t="str">
        <x:v>BLD-A</x:v>
      </x:c>
      <x:c r="D409" s="7" t="str">
        <x:v>MF-17</x:v>
      </x:c>
      <x:c r="E409" s="7" t="str">
        <x:v>STD-17-5</x:v>
      </x:c>
      <x:c r="F409" s="7" t="str">
        <x:v>OP-2</x:v>
      </x:c>
      <x:c r="G409" s="7" t="n">
        <x:v>1</x:v>
      </x:c>
      <x:c r="H409" s="7" t="str"/>
      <x:c r="I409" s="7" t="str"/>
      <x:c r="J409" s="7" t="str">
        <x:f>IF(OR(H409="",I409=""),"",I409-H409)</x:f>
      </x:c>
      <x:c r="K409" s="7" t="str"/>
      <x:c r="L409" s="7" t="str"/>
      <x:c r="M409" s="7" t="str"/>
      <x:c r="N409" s="7" t="str">
        <x:f>IF(M409="","OPEN",IF(OR(NOT(ISNUMBER(H409)),NOT(ISNUMBER(I409)),K409="",L409=""),"FAIL","PASS"))</x:f>
        <x:v>OPEN</x:v>
      </x:c>
    </x:row>
    <x:row r="410">
      <x:c r="B410" s="7" t="str">
        <x:v>TRO-A-17-S5-O2-R2</x:v>
      </x:c>
      <x:c r="C410" s="7" t="str">
        <x:v>BLD-A</x:v>
      </x:c>
      <x:c r="D410" s="7" t="str">
        <x:v>MF-17</x:v>
      </x:c>
      <x:c r="E410" s="7" t="str">
        <x:v>STD-17-5</x:v>
      </x:c>
      <x:c r="F410" s="7" t="str">
        <x:v>OP-2</x:v>
      </x:c>
      <x:c r="G410" s="7" t="n">
        <x:v>2</x:v>
      </x:c>
      <x:c r="H410" s="7" t="str"/>
      <x:c r="I410" s="7" t="str"/>
      <x:c r="J410" s="7" t="str">
        <x:f>IF(OR(H410="",I410=""),"",I410-H410)</x:f>
      </x:c>
      <x:c r="K410" s="7" t="str"/>
      <x:c r="L410" s="7" t="str"/>
      <x:c r="M410" s="7" t="str"/>
      <x:c r="N410" s="7" t="str">
        <x:f>IF(M410="","OPEN",IF(OR(NOT(ISNUMBER(H410)),NOT(ISNUMBER(I410)),K410="",L410=""),"FAIL","PASS"))</x:f>
        <x:v>OPEN</x:v>
      </x:c>
    </x:row>
    <x:row r="411">
      <x:c r="B411" s="7" t="str">
        <x:v>TRO-A-17-S6-O1-R1</x:v>
      </x:c>
      <x:c r="C411" s="7" t="str">
        <x:v>BLD-A</x:v>
      </x:c>
      <x:c r="D411" s="7" t="str">
        <x:v>MF-17</x:v>
      </x:c>
      <x:c r="E411" s="7" t="str">
        <x:v>STD-17-6</x:v>
      </x:c>
      <x:c r="F411" s="7" t="str">
        <x:v>OP-1</x:v>
      </x:c>
      <x:c r="G411" s="7" t="n">
        <x:v>1</x:v>
      </x:c>
      <x:c r="H411" s="7" t="str"/>
      <x:c r="I411" s="7" t="str"/>
      <x:c r="J411" s="7" t="str">
        <x:f>IF(OR(H411="",I411=""),"",I411-H411)</x:f>
      </x:c>
      <x:c r="K411" s="7" t="str"/>
      <x:c r="L411" s="7" t="str"/>
      <x:c r="M411" s="7" t="str"/>
      <x:c r="N411" s="7" t="str">
        <x:f>IF(M411="","OPEN",IF(OR(NOT(ISNUMBER(H411)),NOT(ISNUMBER(I411)),K411="",L411=""),"FAIL","PASS"))</x:f>
        <x:v>OPEN</x:v>
      </x:c>
    </x:row>
    <x:row r="412">
      <x:c r="B412" s="7" t="str">
        <x:v>TRO-A-17-S6-O1-R2</x:v>
      </x:c>
      <x:c r="C412" s="7" t="str">
        <x:v>BLD-A</x:v>
      </x:c>
      <x:c r="D412" s="7" t="str">
        <x:v>MF-17</x:v>
      </x:c>
      <x:c r="E412" s="7" t="str">
        <x:v>STD-17-6</x:v>
      </x:c>
      <x:c r="F412" s="7" t="str">
        <x:v>OP-1</x:v>
      </x:c>
      <x:c r="G412" s="7" t="n">
        <x:v>2</x:v>
      </x:c>
      <x:c r="H412" s="7" t="str"/>
      <x:c r="I412" s="7" t="str"/>
      <x:c r="J412" s="7" t="str">
        <x:f>IF(OR(H412="",I412=""),"",I412-H412)</x:f>
      </x:c>
      <x:c r="K412" s="7" t="str"/>
      <x:c r="L412" s="7" t="str"/>
      <x:c r="M412" s="7" t="str"/>
      <x:c r="N412" s="7" t="str">
        <x:f>IF(M412="","OPEN",IF(OR(NOT(ISNUMBER(H412)),NOT(ISNUMBER(I412)),K412="",L412=""),"FAIL","PASS"))</x:f>
        <x:v>OPEN</x:v>
      </x:c>
    </x:row>
    <x:row r="413">
      <x:c r="B413" s="7" t="str">
        <x:v>TRO-A-17-S6-O2-R1</x:v>
      </x:c>
      <x:c r="C413" s="7" t="str">
        <x:v>BLD-A</x:v>
      </x:c>
      <x:c r="D413" s="7" t="str">
        <x:v>MF-17</x:v>
      </x:c>
      <x:c r="E413" s="7" t="str">
        <x:v>STD-17-6</x:v>
      </x:c>
      <x:c r="F413" s="7" t="str">
        <x:v>OP-2</x:v>
      </x:c>
      <x:c r="G413" s="7" t="n">
        <x:v>1</x:v>
      </x:c>
      <x:c r="H413" s="7" t="str"/>
      <x:c r="I413" s="7" t="str"/>
      <x:c r="J413" s="7" t="str">
        <x:f>IF(OR(H413="",I413=""),"",I413-H413)</x:f>
      </x:c>
      <x:c r="K413" s="7" t="str"/>
      <x:c r="L413" s="7" t="str"/>
      <x:c r="M413" s="7" t="str"/>
      <x:c r="N413" s="7" t="str">
        <x:f>IF(M413="","OPEN",IF(OR(NOT(ISNUMBER(H413)),NOT(ISNUMBER(I413)),K413="",L413=""),"FAIL","PASS"))</x:f>
        <x:v>OPEN</x:v>
      </x:c>
    </x:row>
    <x:row r="414">
      <x:c r="B414" s="7" t="str">
        <x:v>TRO-A-17-S6-O2-R2</x:v>
      </x:c>
      <x:c r="C414" s="7" t="str">
        <x:v>BLD-A</x:v>
      </x:c>
      <x:c r="D414" s="7" t="str">
        <x:v>MF-17</x:v>
      </x:c>
      <x:c r="E414" s="7" t="str">
        <x:v>STD-17-6</x:v>
      </x:c>
      <x:c r="F414" s="7" t="str">
        <x:v>OP-2</x:v>
      </x:c>
      <x:c r="G414" s="7" t="n">
        <x:v>2</x:v>
      </x:c>
      <x:c r="H414" s="7" t="str"/>
      <x:c r="I414" s="7" t="str"/>
      <x:c r="J414" s="7" t="str">
        <x:f>IF(OR(H414="",I414=""),"",I414-H414)</x:f>
      </x:c>
      <x:c r="K414" s="7" t="str"/>
      <x:c r="L414" s="7" t="str"/>
      <x:c r="M414" s="7" t="str"/>
      <x:c r="N414" s="7" t="str">
        <x:f>IF(M414="","OPEN",IF(OR(NOT(ISNUMBER(H414)),NOT(ISNUMBER(I414)),K414="",L414=""),"FAIL","PASS"))</x:f>
        <x:v>OPEN</x:v>
      </x:c>
    </x:row>
    <x:row r="415">
      <x:c r="B415" s="7" t="str">
        <x:v>TRO-A-18-S1-O1-R1</x:v>
      </x:c>
      <x:c r="C415" s="7" t="str">
        <x:v>BLD-A</x:v>
      </x:c>
      <x:c r="D415" s="7" t="str">
        <x:v>MF-18</x:v>
      </x:c>
      <x:c r="E415" s="7" t="str">
        <x:v>STD-18-1</x:v>
      </x:c>
      <x:c r="F415" s="7" t="str">
        <x:v>OP-1</x:v>
      </x:c>
      <x:c r="G415" s="7" t="n">
        <x:v>1</x:v>
      </x:c>
      <x:c r="H415" s="7" t="str"/>
      <x:c r="I415" s="7" t="str"/>
      <x:c r="J415" s="7" t="str">
        <x:f>IF(OR(H415="",I415=""),"",I415-H415)</x:f>
      </x:c>
      <x:c r="K415" s="7" t="str"/>
      <x:c r="L415" s="7" t="str"/>
      <x:c r="M415" s="7" t="str"/>
      <x:c r="N415" s="7" t="str">
        <x:f>IF(M415="","OPEN",IF(OR(NOT(ISNUMBER(H415)),NOT(ISNUMBER(I415)),K415="",L415=""),"FAIL","PASS"))</x:f>
        <x:v>OPEN</x:v>
      </x:c>
    </x:row>
    <x:row r="416">
      <x:c r="B416" s="7" t="str">
        <x:v>TRO-A-18-S1-O1-R2</x:v>
      </x:c>
      <x:c r="C416" s="7" t="str">
        <x:v>BLD-A</x:v>
      </x:c>
      <x:c r="D416" s="7" t="str">
        <x:v>MF-18</x:v>
      </x:c>
      <x:c r="E416" s="7" t="str">
        <x:v>STD-18-1</x:v>
      </x:c>
      <x:c r="F416" s="7" t="str">
        <x:v>OP-1</x:v>
      </x:c>
      <x:c r="G416" s="7" t="n">
        <x:v>2</x:v>
      </x:c>
      <x:c r="H416" s="7" t="str"/>
      <x:c r="I416" s="7" t="str"/>
      <x:c r="J416" s="7" t="str">
        <x:f>IF(OR(H416="",I416=""),"",I416-H416)</x:f>
      </x:c>
      <x:c r="K416" s="7" t="str"/>
      <x:c r="L416" s="7" t="str"/>
      <x:c r="M416" s="7" t="str"/>
      <x:c r="N416" s="7" t="str">
        <x:f>IF(M416="","OPEN",IF(OR(NOT(ISNUMBER(H416)),NOT(ISNUMBER(I416)),K416="",L416=""),"FAIL","PASS"))</x:f>
        <x:v>OPEN</x:v>
      </x:c>
    </x:row>
    <x:row r="417">
      <x:c r="B417" s="7" t="str">
        <x:v>TRO-A-18-S1-O2-R1</x:v>
      </x:c>
      <x:c r="C417" s="7" t="str">
        <x:v>BLD-A</x:v>
      </x:c>
      <x:c r="D417" s="7" t="str">
        <x:v>MF-18</x:v>
      </x:c>
      <x:c r="E417" s="7" t="str">
        <x:v>STD-18-1</x:v>
      </x:c>
      <x:c r="F417" s="7" t="str">
        <x:v>OP-2</x:v>
      </x:c>
      <x:c r="G417" s="7" t="n">
        <x:v>1</x:v>
      </x:c>
      <x:c r="H417" s="7" t="str"/>
      <x:c r="I417" s="7" t="str"/>
      <x:c r="J417" s="7" t="str">
        <x:f>IF(OR(H417="",I417=""),"",I417-H417)</x:f>
      </x:c>
      <x:c r="K417" s="7" t="str"/>
      <x:c r="L417" s="7" t="str"/>
      <x:c r="M417" s="7" t="str"/>
      <x:c r="N417" s="7" t="str">
        <x:f>IF(M417="","OPEN",IF(OR(NOT(ISNUMBER(H417)),NOT(ISNUMBER(I417)),K417="",L417=""),"FAIL","PASS"))</x:f>
        <x:v>OPEN</x:v>
      </x:c>
    </x:row>
    <x:row r="418">
      <x:c r="B418" s="7" t="str">
        <x:v>TRO-A-18-S1-O2-R2</x:v>
      </x:c>
      <x:c r="C418" s="7" t="str">
        <x:v>BLD-A</x:v>
      </x:c>
      <x:c r="D418" s="7" t="str">
        <x:v>MF-18</x:v>
      </x:c>
      <x:c r="E418" s="7" t="str">
        <x:v>STD-18-1</x:v>
      </x:c>
      <x:c r="F418" s="7" t="str">
        <x:v>OP-2</x:v>
      </x:c>
      <x:c r="G418" s="7" t="n">
        <x:v>2</x:v>
      </x:c>
      <x:c r="H418" s="7" t="str"/>
      <x:c r="I418" s="7" t="str"/>
      <x:c r="J418" s="7" t="str">
        <x:f>IF(OR(H418="",I418=""),"",I418-H418)</x:f>
      </x:c>
      <x:c r="K418" s="7" t="str"/>
      <x:c r="L418" s="7" t="str"/>
      <x:c r="M418" s="7" t="str"/>
      <x:c r="N418" s="7" t="str">
        <x:f>IF(M418="","OPEN",IF(OR(NOT(ISNUMBER(H418)),NOT(ISNUMBER(I418)),K418="",L418=""),"FAIL","PASS"))</x:f>
        <x:v>OPEN</x:v>
      </x:c>
    </x:row>
    <x:row r="419">
      <x:c r="B419" s="7" t="str">
        <x:v>TRO-A-18-S2-O1-R1</x:v>
      </x:c>
      <x:c r="C419" s="7" t="str">
        <x:v>BLD-A</x:v>
      </x:c>
      <x:c r="D419" s="7" t="str">
        <x:v>MF-18</x:v>
      </x:c>
      <x:c r="E419" s="7" t="str">
        <x:v>STD-18-2</x:v>
      </x:c>
      <x:c r="F419" s="7" t="str">
        <x:v>OP-1</x:v>
      </x:c>
      <x:c r="G419" s="7" t="n">
        <x:v>1</x:v>
      </x:c>
      <x:c r="H419" s="7" t="str"/>
      <x:c r="I419" s="7" t="str"/>
      <x:c r="J419" s="7" t="str">
        <x:f>IF(OR(H419="",I419=""),"",I419-H419)</x:f>
      </x:c>
      <x:c r="K419" s="7" t="str"/>
      <x:c r="L419" s="7" t="str"/>
      <x:c r="M419" s="7" t="str"/>
      <x:c r="N419" s="7" t="str">
        <x:f>IF(M419="","OPEN",IF(OR(NOT(ISNUMBER(H419)),NOT(ISNUMBER(I419)),K419="",L419=""),"FAIL","PASS"))</x:f>
        <x:v>OPEN</x:v>
      </x:c>
    </x:row>
    <x:row r="420">
      <x:c r="B420" s="7" t="str">
        <x:v>TRO-A-18-S2-O1-R2</x:v>
      </x:c>
      <x:c r="C420" s="7" t="str">
        <x:v>BLD-A</x:v>
      </x:c>
      <x:c r="D420" s="7" t="str">
        <x:v>MF-18</x:v>
      </x:c>
      <x:c r="E420" s="7" t="str">
        <x:v>STD-18-2</x:v>
      </x:c>
      <x:c r="F420" s="7" t="str">
        <x:v>OP-1</x:v>
      </x:c>
      <x:c r="G420" s="7" t="n">
        <x:v>2</x:v>
      </x:c>
      <x:c r="H420" s="7" t="str"/>
      <x:c r="I420" s="7" t="str"/>
      <x:c r="J420" s="7" t="str">
        <x:f>IF(OR(H420="",I420=""),"",I420-H420)</x:f>
      </x:c>
      <x:c r="K420" s="7" t="str"/>
      <x:c r="L420" s="7" t="str"/>
      <x:c r="M420" s="7" t="str"/>
      <x:c r="N420" s="7" t="str">
        <x:f>IF(M420="","OPEN",IF(OR(NOT(ISNUMBER(H420)),NOT(ISNUMBER(I420)),K420="",L420=""),"FAIL","PASS"))</x:f>
        <x:v>OPEN</x:v>
      </x:c>
    </x:row>
    <x:row r="421">
      <x:c r="B421" s="7" t="str">
        <x:v>TRO-A-18-S2-O2-R1</x:v>
      </x:c>
      <x:c r="C421" s="7" t="str">
        <x:v>BLD-A</x:v>
      </x:c>
      <x:c r="D421" s="7" t="str">
        <x:v>MF-18</x:v>
      </x:c>
      <x:c r="E421" s="7" t="str">
        <x:v>STD-18-2</x:v>
      </x:c>
      <x:c r="F421" s="7" t="str">
        <x:v>OP-2</x:v>
      </x:c>
      <x:c r="G421" s="7" t="n">
        <x:v>1</x:v>
      </x:c>
      <x:c r="H421" s="7" t="str"/>
      <x:c r="I421" s="7" t="str"/>
      <x:c r="J421" s="7" t="str">
        <x:f>IF(OR(H421="",I421=""),"",I421-H421)</x:f>
      </x:c>
      <x:c r="K421" s="7" t="str"/>
      <x:c r="L421" s="7" t="str"/>
      <x:c r="M421" s="7" t="str"/>
      <x:c r="N421" s="7" t="str">
        <x:f>IF(M421="","OPEN",IF(OR(NOT(ISNUMBER(H421)),NOT(ISNUMBER(I421)),K421="",L421=""),"FAIL","PASS"))</x:f>
        <x:v>OPEN</x:v>
      </x:c>
    </x:row>
    <x:row r="422">
      <x:c r="B422" s="7" t="str">
        <x:v>TRO-A-18-S2-O2-R2</x:v>
      </x:c>
      <x:c r="C422" s="7" t="str">
        <x:v>BLD-A</x:v>
      </x:c>
      <x:c r="D422" s="7" t="str">
        <x:v>MF-18</x:v>
      </x:c>
      <x:c r="E422" s="7" t="str">
        <x:v>STD-18-2</x:v>
      </x:c>
      <x:c r="F422" s="7" t="str">
        <x:v>OP-2</x:v>
      </x:c>
      <x:c r="G422" s="7" t="n">
        <x:v>2</x:v>
      </x:c>
      <x:c r="H422" s="7" t="str"/>
      <x:c r="I422" s="7" t="str"/>
      <x:c r="J422" s="7" t="str">
        <x:f>IF(OR(H422="",I422=""),"",I422-H422)</x:f>
      </x:c>
      <x:c r="K422" s="7" t="str"/>
      <x:c r="L422" s="7" t="str"/>
      <x:c r="M422" s="7" t="str"/>
      <x:c r="N422" s="7" t="str">
        <x:f>IF(M422="","OPEN",IF(OR(NOT(ISNUMBER(H422)),NOT(ISNUMBER(I422)),K422="",L422=""),"FAIL","PASS"))</x:f>
        <x:v>OPEN</x:v>
      </x:c>
    </x:row>
    <x:row r="423">
      <x:c r="B423" s="7" t="str">
        <x:v>TRO-A-18-S3-O1-R1</x:v>
      </x:c>
      <x:c r="C423" s="7" t="str">
        <x:v>BLD-A</x:v>
      </x:c>
      <x:c r="D423" s="7" t="str">
        <x:v>MF-18</x:v>
      </x:c>
      <x:c r="E423" s="7" t="str">
        <x:v>STD-18-3</x:v>
      </x:c>
      <x:c r="F423" s="7" t="str">
        <x:v>OP-1</x:v>
      </x:c>
      <x:c r="G423" s="7" t="n">
        <x:v>1</x:v>
      </x:c>
      <x:c r="H423" s="7" t="str"/>
      <x:c r="I423" s="7" t="str"/>
      <x:c r="J423" s="7" t="str">
        <x:f>IF(OR(H423="",I423=""),"",I423-H423)</x:f>
      </x:c>
      <x:c r="K423" s="7" t="str"/>
      <x:c r="L423" s="7" t="str"/>
      <x:c r="M423" s="7" t="str"/>
      <x:c r="N423" s="7" t="str">
        <x:f>IF(M423="","OPEN",IF(OR(NOT(ISNUMBER(H423)),NOT(ISNUMBER(I423)),K423="",L423=""),"FAIL","PASS"))</x:f>
        <x:v>OPEN</x:v>
      </x:c>
    </x:row>
    <x:row r="424">
      <x:c r="B424" s="7" t="str">
        <x:v>TRO-A-18-S3-O1-R2</x:v>
      </x:c>
      <x:c r="C424" s="7" t="str">
        <x:v>BLD-A</x:v>
      </x:c>
      <x:c r="D424" s="7" t="str">
        <x:v>MF-18</x:v>
      </x:c>
      <x:c r="E424" s="7" t="str">
        <x:v>STD-18-3</x:v>
      </x:c>
      <x:c r="F424" s="7" t="str">
        <x:v>OP-1</x:v>
      </x:c>
      <x:c r="G424" s="7" t="n">
        <x:v>2</x:v>
      </x:c>
      <x:c r="H424" s="7" t="str"/>
      <x:c r="I424" s="7" t="str"/>
      <x:c r="J424" s="7" t="str">
        <x:f>IF(OR(H424="",I424=""),"",I424-H424)</x:f>
      </x:c>
      <x:c r="K424" s="7" t="str"/>
      <x:c r="L424" s="7" t="str"/>
      <x:c r="M424" s="7" t="str"/>
      <x:c r="N424" s="7" t="str">
        <x:f>IF(M424="","OPEN",IF(OR(NOT(ISNUMBER(H424)),NOT(ISNUMBER(I424)),K424="",L424=""),"FAIL","PASS"))</x:f>
        <x:v>OPEN</x:v>
      </x:c>
    </x:row>
    <x:row r="425">
      <x:c r="B425" s="7" t="str">
        <x:v>TRO-A-18-S3-O2-R1</x:v>
      </x:c>
      <x:c r="C425" s="7" t="str">
        <x:v>BLD-A</x:v>
      </x:c>
      <x:c r="D425" s="7" t="str">
        <x:v>MF-18</x:v>
      </x:c>
      <x:c r="E425" s="7" t="str">
        <x:v>STD-18-3</x:v>
      </x:c>
      <x:c r="F425" s="7" t="str">
        <x:v>OP-2</x:v>
      </x:c>
      <x:c r="G425" s="7" t="n">
        <x:v>1</x:v>
      </x:c>
      <x:c r="H425" s="7" t="str"/>
      <x:c r="I425" s="7" t="str"/>
      <x:c r="J425" s="7" t="str">
        <x:f>IF(OR(H425="",I425=""),"",I425-H425)</x:f>
      </x:c>
      <x:c r="K425" s="7" t="str"/>
      <x:c r="L425" s="7" t="str"/>
      <x:c r="M425" s="7" t="str"/>
      <x:c r="N425" s="7" t="str">
        <x:f>IF(M425="","OPEN",IF(OR(NOT(ISNUMBER(H425)),NOT(ISNUMBER(I425)),K425="",L425=""),"FAIL","PASS"))</x:f>
        <x:v>OPEN</x:v>
      </x:c>
    </x:row>
    <x:row r="426">
      <x:c r="B426" s="7" t="str">
        <x:v>TRO-A-18-S3-O2-R2</x:v>
      </x:c>
      <x:c r="C426" s="7" t="str">
        <x:v>BLD-A</x:v>
      </x:c>
      <x:c r="D426" s="7" t="str">
        <x:v>MF-18</x:v>
      </x:c>
      <x:c r="E426" s="7" t="str">
        <x:v>STD-18-3</x:v>
      </x:c>
      <x:c r="F426" s="7" t="str">
        <x:v>OP-2</x:v>
      </x:c>
      <x:c r="G426" s="7" t="n">
        <x:v>2</x:v>
      </x:c>
      <x:c r="H426" s="7" t="str"/>
      <x:c r="I426" s="7" t="str"/>
      <x:c r="J426" s="7" t="str">
        <x:f>IF(OR(H426="",I426=""),"",I426-H426)</x:f>
      </x:c>
      <x:c r="K426" s="7" t="str"/>
      <x:c r="L426" s="7" t="str"/>
      <x:c r="M426" s="7" t="str"/>
      <x:c r="N426" s="7" t="str">
        <x:f>IF(M426="","OPEN",IF(OR(NOT(ISNUMBER(H426)),NOT(ISNUMBER(I426)),K426="",L426=""),"FAIL","PASS"))</x:f>
        <x:v>OPEN</x:v>
      </x:c>
    </x:row>
    <x:row r="427">
      <x:c r="B427" s="7" t="str">
        <x:v>TRO-A-18-S4-O1-R1</x:v>
      </x:c>
      <x:c r="C427" s="7" t="str">
        <x:v>BLD-A</x:v>
      </x:c>
      <x:c r="D427" s="7" t="str">
        <x:v>MF-18</x:v>
      </x:c>
      <x:c r="E427" s="7" t="str">
        <x:v>STD-18-4</x:v>
      </x:c>
      <x:c r="F427" s="7" t="str">
        <x:v>OP-1</x:v>
      </x:c>
      <x:c r="G427" s="7" t="n">
        <x:v>1</x:v>
      </x:c>
      <x:c r="H427" s="7" t="str"/>
      <x:c r="I427" s="7" t="str"/>
      <x:c r="J427" s="7" t="str">
        <x:f>IF(OR(H427="",I427=""),"",I427-H427)</x:f>
      </x:c>
      <x:c r="K427" s="7" t="str"/>
      <x:c r="L427" s="7" t="str"/>
      <x:c r="M427" s="7" t="str"/>
      <x:c r="N427" s="7" t="str">
        <x:f>IF(M427="","OPEN",IF(OR(NOT(ISNUMBER(H427)),NOT(ISNUMBER(I427)),K427="",L427=""),"FAIL","PASS"))</x:f>
        <x:v>OPEN</x:v>
      </x:c>
    </x:row>
    <x:row r="428">
      <x:c r="B428" s="7" t="str">
        <x:v>TRO-A-18-S4-O1-R2</x:v>
      </x:c>
      <x:c r="C428" s="7" t="str">
        <x:v>BLD-A</x:v>
      </x:c>
      <x:c r="D428" s="7" t="str">
        <x:v>MF-18</x:v>
      </x:c>
      <x:c r="E428" s="7" t="str">
        <x:v>STD-18-4</x:v>
      </x:c>
      <x:c r="F428" s="7" t="str">
        <x:v>OP-1</x:v>
      </x:c>
      <x:c r="G428" s="7" t="n">
        <x:v>2</x:v>
      </x:c>
      <x:c r="H428" s="7" t="str"/>
      <x:c r="I428" s="7" t="str"/>
      <x:c r="J428" s="7" t="str">
        <x:f>IF(OR(H428="",I428=""),"",I428-H428)</x:f>
      </x:c>
      <x:c r="K428" s="7" t="str"/>
      <x:c r="L428" s="7" t="str"/>
      <x:c r="M428" s="7" t="str"/>
      <x:c r="N428" s="7" t="str">
        <x:f>IF(M428="","OPEN",IF(OR(NOT(ISNUMBER(H428)),NOT(ISNUMBER(I428)),K428="",L428=""),"FAIL","PASS"))</x:f>
        <x:v>OPEN</x:v>
      </x:c>
    </x:row>
    <x:row r="429">
      <x:c r="B429" s="7" t="str">
        <x:v>TRO-A-18-S4-O2-R1</x:v>
      </x:c>
      <x:c r="C429" s="7" t="str">
        <x:v>BLD-A</x:v>
      </x:c>
      <x:c r="D429" s="7" t="str">
        <x:v>MF-18</x:v>
      </x:c>
      <x:c r="E429" s="7" t="str">
        <x:v>STD-18-4</x:v>
      </x:c>
      <x:c r="F429" s="7" t="str">
        <x:v>OP-2</x:v>
      </x:c>
      <x:c r="G429" s="7" t="n">
        <x:v>1</x:v>
      </x:c>
      <x:c r="H429" s="7" t="str"/>
      <x:c r="I429" s="7" t="str"/>
      <x:c r="J429" s="7" t="str">
        <x:f>IF(OR(H429="",I429=""),"",I429-H429)</x:f>
      </x:c>
      <x:c r="K429" s="7" t="str"/>
      <x:c r="L429" s="7" t="str"/>
      <x:c r="M429" s="7" t="str"/>
      <x:c r="N429" s="7" t="str">
        <x:f>IF(M429="","OPEN",IF(OR(NOT(ISNUMBER(H429)),NOT(ISNUMBER(I429)),K429="",L429=""),"FAIL","PASS"))</x:f>
        <x:v>OPEN</x:v>
      </x:c>
    </x:row>
    <x:row r="430">
      <x:c r="B430" s="7" t="str">
        <x:v>TRO-A-18-S4-O2-R2</x:v>
      </x:c>
      <x:c r="C430" s="7" t="str">
        <x:v>BLD-A</x:v>
      </x:c>
      <x:c r="D430" s="7" t="str">
        <x:v>MF-18</x:v>
      </x:c>
      <x:c r="E430" s="7" t="str">
        <x:v>STD-18-4</x:v>
      </x:c>
      <x:c r="F430" s="7" t="str">
        <x:v>OP-2</x:v>
      </x:c>
      <x:c r="G430" s="7" t="n">
        <x:v>2</x:v>
      </x:c>
      <x:c r="H430" s="7" t="str"/>
      <x:c r="I430" s="7" t="str"/>
      <x:c r="J430" s="7" t="str">
        <x:f>IF(OR(H430="",I430=""),"",I430-H430)</x:f>
      </x:c>
      <x:c r="K430" s="7" t="str"/>
      <x:c r="L430" s="7" t="str"/>
      <x:c r="M430" s="7" t="str"/>
      <x:c r="N430" s="7" t="str">
        <x:f>IF(M430="","OPEN",IF(OR(NOT(ISNUMBER(H430)),NOT(ISNUMBER(I430)),K430="",L430=""),"FAIL","PASS"))</x:f>
        <x:v>OPEN</x:v>
      </x:c>
    </x:row>
    <x:row r="431">
      <x:c r="B431" s="7" t="str">
        <x:v>TRO-A-18-S5-O1-R1</x:v>
      </x:c>
      <x:c r="C431" s="7" t="str">
        <x:v>BLD-A</x:v>
      </x:c>
      <x:c r="D431" s="7" t="str">
        <x:v>MF-18</x:v>
      </x:c>
      <x:c r="E431" s="7" t="str">
        <x:v>STD-18-5</x:v>
      </x:c>
      <x:c r="F431" s="7" t="str">
        <x:v>OP-1</x:v>
      </x:c>
      <x:c r="G431" s="7" t="n">
        <x:v>1</x:v>
      </x:c>
      <x:c r="H431" s="7" t="str"/>
      <x:c r="I431" s="7" t="str"/>
      <x:c r="J431" s="7" t="str">
        <x:f>IF(OR(H431="",I431=""),"",I431-H431)</x:f>
      </x:c>
      <x:c r="K431" s="7" t="str"/>
      <x:c r="L431" s="7" t="str"/>
      <x:c r="M431" s="7" t="str"/>
      <x:c r="N431" s="7" t="str">
        <x:f>IF(M431="","OPEN",IF(OR(NOT(ISNUMBER(H431)),NOT(ISNUMBER(I431)),K431="",L431=""),"FAIL","PASS"))</x:f>
        <x:v>OPEN</x:v>
      </x:c>
    </x:row>
    <x:row r="432">
      <x:c r="B432" s="7" t="str">
        <x:v>TRO-A-18-S5-O1-R2</x:v>
      </x:c>
      <x:c r="C432" s="7" t="str">
        <x:v>BLD-A</x:v>
      </x:c>
      <x:c r="D432" s="7" t="str">
        <x:v>MF-18</x:v>
      </x:c>
      <x:c r="E432" s="7" t="str">
        <x:v>STD-18-5</x:v>
      </x:c>
      <x:c r="F432" s="7" t="str">
        <x:v>OP-1</x:v>
      </x:c>
      <x:c r="G432" s="7" t="n">
        <x:v>2</x:v>
      </x:c>
      <x:c r="H432" s="7" t="str"/>
      <x:c r="I432" s="7" t="str"/>
      <x:c r="J432" s="7" t="str">
        <x:f>IF(OR(H432="",I432=""),"",I432-H432)</x:f>
      </x:c>
      <x:c r="K432" s="7" t="str"/>
      <x:c r="L432" s="7" t="str"/>
      <x:c r="M432" s="7" t="str"/>
      <x:c r="N432" s="7" t="str">
        <x:f>IF(M432="","OPEN",IF(OR(NOT(ISNUMBER(H432)),NOT(ISNUMBER(I432)),K432="",L432=""),"FAIL","PASS"))</x:f>
        <x:v>OPEN</x:v>
      </x:c>
    </x:row>
    <x:row r="433">
      <x:c r="B433" s="7" t="str">
        <x:v>TRO-A-18-S5-O2-R1</x:v>
      </x:c>
      <x:c r="C433" s="7" t="str">
        <x:v>BLD-A</x:v>
      </x:c>
      <x:c r="D433" s="7" t="str">
        <x:v>MF-18</x:v>
      </x:c>
      <x:c r="E433" s="7" t="str">
        <x:v>STD-18-5</x:v>
      </x:c>
      <x:c r="F433" s="7" t="str">
        <x:v>OP-2</x:v>
      </x:c>
      <x:c r="G433" s="7" t="n">
        <x:v>1</x:v>
      </x:c>
      <x:c r="H433" s="7" t="str"/>
      <x:c r="I433" s="7" t="str"/>
      <x:c r="J433" s="7" t="str">
        <x:f>IF(OR(H433="",I433=""),"",I433-H433)</x:f>
      </x:c>
      <x:c r="K433" s="7" t="str"/>
      <x:c r="L433" s="7" t="str"/>
      <x:c r="M433" s="7" t="str"/>
      <x:c r="N433" s="7" t="str">
        <x:f>IF(M433="","OPEN",IF(OR(NOT(ISNUMBER(H433)),NOT(ISNUMBER(I433)),K433="",L433=""),"FAIL","PASS"))</x:f>
        <x:v>OPEN</x:v>
      </x:c>
    </x:row>
    <x:row r="434">
      <x:c r="B434" s="7" t="str">
        <x:v>TRO-A-18-S5-O2-R2</x:v>
      </x:c>
      <x:c r="C434" s="7" t="str">
        <x:v>BLD-A</x:v>
      </x:c>
      <x:c r="D434" s="7" t="str">
        <x:v>MF-18</x:v>
      </x:c>
      <x:c r="E434" s="7" t="str">
        <x:v>STD-18-5</x:v>
      </x:c>
      <x:c r="F434" s="7" t="str">
        <x:v>OP-2</x:v>
      </x:c>
      <x:c r="G434" s="7" t="n">
        <x:v>2</x:v>
      </x:c>
      <x:c r="H434" s="7" t="str"/>
      <x:c r="I434" s="7" t="str"/>
      <x:c r="J434" s="7" t="str">
        <x:f>IF(OR(H434="",I434=""),"",I434-H434)</x:f>
      </x:c>
      <x:c r="K434" s="7" t="str"/>
      <x:c r="L434" s="7" t="str"/>
      <x:c r="M434" s="7" t="str"/>
      <x:c r="N434" s="7" t="str">
        <x:f>IF(M434="","OPEN",IF(OR(NOT(ISNUMBER(H434)),NOT(ISNUMBER(I434)),K434="",L434=""),"FAIL","PASS"))</x:f>
        <x:v>OPEN</x:v>
      </x:c>
    </x:row>
    <x:row r="435">
      <x:c r="B435" s="7" t="str">
        <x:v>TRO-A-18-S6-O1-R1</x:v>
      </x:c>
      <x:c r="C435" s="7" t="str">
        <x:v>BLD-A</x:v>
      </x:c>
      <x:c r="D435" s="7" t="str">
        <x:v>MF-18</x:v>
      </x:c>
      <x:c r="E435" s="7" t="str">
        <x:v>STD-18-6</x:v>
      </x:c>
      <x:c r="F435" s="7" t="str">
        <x:v>OP-1</x:v>
      </x:c>
      <x:c r="G435" s="7" t="n">
        <x:v>1</x:v>
      </x:c>
      <x:c r="H435" s="7" t="str"/>
      <x:c r="I435" s="7" t="str"/>
      <x:c r="J435" s="7" t="str">
        <x:f>IF(OR(H435="",I435=""),"",I435-H435)</x:f>
      </x:c>
      <x:c r="K435" s="7" t="str"/>
      <x:c r="L435" s="7" t="str"/>
      <x:c r="M435" s="7" t="str"/>
      <x:c r="N435" s="7" t="str">
        <x:f>IF(M435="","OPEN",IF(OR(NOT(ISNUMBER(H435)),NOT(ISNUMBER(I435)),K435="",L435=""),"FAIL","PASS"))</x:f>
        <x:v>OPEN</x:v>
      </x:c>
    </x:row>
    <x:row r="436">
      <x:c r="B436" s="7" t="str">
        <x:v>TRO-A-18-S6-O1-R2</x:v>
      </x:c>
      <x:c r="C436" s="7" t="str">
        <x:v>BLD-A</x:v>
      </x:c>
      <x:c r="D436" s="7" t="str">
        <x:v>MF-18</x:v>
      </x:c>
      <x:c r="E436" s="7" t="str">
        <x:v>STD-18-6</x:v>
      </x:c>
      <x:c r="F436" s="7" t="str">
        <x:v>OP-1</x:v>
      </x:c>
      <x:c r="G436" s="7" t="n">
        <x:v>2</x:v>
      </x:c>
      <x:c r="H436" s="7" t="str"/>
      <x:c r="I436" s="7" t="str"/>
      <x:c r="J436" s="7" t="str">
        <x:f>IF(OR(H436="",I436=""),"",I436-H436)</x:f>
      </x:c>
      <x:c r="K436" s="7" t="str"/>
      <x:c r="L436" s="7" t="str"/>
      <x:c r="M436" s="7" t="str"/>
      <x:c r="N436" s="7" t="str">
        <x:f>IF(M436="","OPEN",IF(OR(NOT(ISNUMBER(H436)),NOT(ISNUMBER(I436)),K436="",L436=""),"FAIL","PASS"))</x:f>
        <x:v>OPEN</x:v>
      </x:c>
    </x:row>
    <x:row r="437">
      <x:c r="B437" s="7" t="str">
        <x:v>TRO-A-18-S6-O2-R1</x:v>
      </x:c>
      <x:c r="C437" s="7" t="str">
        <x:v>BLD-A</x:v>
      </x:c>
      <x:c r="D437" s="7" t="str">
        <x:v>MF-18</x:v>
      </x:c>
      <x:c r="E437" s="7" t="str">
        <x:v>STD-18-6</x:v>
      </x:c>
      <x:c r="F437" s="7" t="str">
        <x:v>OP-2</x:v>
      </x:c>
      <x:c r="G437" s="7" t="n">
        <x:v>1</x:v>
      </x:c>
      <x:c r="H437" s="7" t="str"/>
      <x:c r="I437" s="7" t="str"/>
      <x:c r="J437" s="7" t="str">
        <x:f>IF(OR(H437="",I437=""),"",I437-H437)</x:f>
      </x:c>
      <x:c r="K437" s="7" t="str"/>
      <x:c r="L437" s="7" t="str"/>
      <x:c r="M437" s="7" t="str"/>
      <x:c r="N437" s="7" t="str">
        <x:f>IF(M437="","OPEN",IF(OR(NOT(ISNUMBER(H437)),NOT(ISNUMBER(I437)),K437="",L437=""),"FAIL","PASS"))</x:f>
        <x:v>OPEN</x:v>
      </x:c>
    </x:row>
    <x:row r="438">
      <x:c r="B438" s="7" t="str">
        <x:v>TRO-A-18-S6-O2-R2</x:v>
      </x:c>
      <x:c r="C438" s="7" t="str">
        <x:v>BLD-A</x:v>
      </x:c>
      <x:c r="D438" s="7" t="str">
        <x:v>MF-18</x:v>
      </x:c>
      <x:c r="E438" s="7" t="str">
        <x:v>STD-18-6</x:v>
      </x:c>
      <x:c r="F438" s="7" t="str">
        <x:v>OP-2</x:v>
      </x:c>
      <x:c r="G438" s="7" t="n">
        <x:v>2</x:v>
      </x:c>
      <x:c r="H438" s="7" t="str"/>
      <x:c r="I438" s="7" t="str"/>
      <x:c r="J438" s="7" t="str">
        <x:f>IF(OR(H438="",I438=""),"",I438-H438)</x:f>
      </x:c>
      <x:c r="K438" s="7" t="str"/>
      <x:c r="L438" s="7" t="str"/>
      <x:c r="M438" s="7" t="str"/>
      <x:c r="N438" s="7" t="str">
        <x:f>IF(M438="","OPEN",IF(OR(NOT(ISNUMBER(H438)),NOT(ISNUMBER(I438)),K438="",L438=""),"FAIL","PASS"))</x:f>
        <x:v>OPEN</x:v>
      </x:c>
    </x:row>
    <x:row r="439">
      <x:c r="B439" s="7" t="str">
        <x:v>TRO-A-19-S1-O1-R1</x:v>
      </x:c>
      <x:c r="C439" s="7" t="str">
        <x:v>BLD-A</x:v>
      </x:c>
      <x:c r="D439" s="7" t="str">
        <x:v>MF-19</x:v>
      </x:c>
      <x:c r="E439" s="7" t="str">
        <x:v>STD-19-1</x:v>
      </x:c>
      <x:c r="F439" s="7" t="str">
        <x:v>OP-1</x:v>
      </x:c>
      <x:c r="G439" s="7" t="n">
        <x:v>1</x:v>
      </x:c>
      <x:c r="H439" s="7" t="str"/>
      <x:c r="I439" s="7" t="str"/>
      <x:c r="J439" s="7" t="str">
        <x:f>IF(OR(H439="",I439=""),"",I439-H439)</x:f>
      </x:c>
      <x:c r="K439" s="7" t="str"/>
      <x:c r="L439" s="7" t="str"/>
      <x:c r="M439" s="7" t="str"/>
      <x:c r="N439" s="7" t="str">
        <x:f>IF(M439="","OPEN",IF(OR(NOT(ISNUMBER(H439)),NOT(ISNUMBER(I439)),K439="",L439=""),"FAIL","PASS"))</x:f>
        <x:v>OPEN</x:v>
      </x:c>
    </x:row>
    <x:row r="440">
      <x:c r="B440" s="7" t="str">
        <x:v>TRO-A-19-S1-O1-R2</x:v>
      </x:c>
      <x:c r="C440" s="7" t="str">
        <x:v>BLD-A</x:v>
      </x:c>
      <x:c r="D440" s="7" t="str">
        <x:v>MF-19</x:v>
      </x:c>
      <x:c r="E440" s="7" t="str">
        <x:v>STD-19-1</x:v>
      </x:c>
      <x:c r="F440" s="7" t="str">
        <x:v>OP-1</x:v>
      </x:c>
      <x:c r="G440" s="7" t="n">
        <x:v>2</x:v>
      </x:c>
      <x:c r="H440" s="7" t="str"/>
      <x:c r="I440" s="7" t="str"/>
      <x:c r="J440" s="7" t="str">
        <x:f>IF(OR(H440="",I440=""),"",I440-H440)</x:f>
      </x:c>
      <x:c r="K440" s="7" t="str"/>
      <x:c r="L440" s="7" t="str"/>
      <x:c r="M440" s="7" t="str"/>
      <x:c r="N440" s="7" t="str">
        <x:f>IF(M440="","OPEN",IF(OR(NOT(ISNUMBER(H440)),NOT(ISNUMBER(I440)),K440="",L440=""),"FAIL","PASS"))</x:f>
        <x:v>OPEN</x:v>
      </x:c>
    </x:row>
    <x:row r="441">
      <x:c r="B441" s="7" t="str">
        <x:v>TRO-A-19-S1-O2-R1</x:v>
      </x:c>
      <x:c r="C441" s="7" t="str">
        <x:v>BLD-A</x:v>
      </x:c>
      <x:c r="D441" s="7" t="str">
        <x:v>MF-19</x:v>
      </x:c>
      <x:c r="E441" s="7" t="str">
        <x:v>STD-19-1</x:v>
      </x:c>
      <x:c r="F441" s="7" t="str">
        <x:v>OP-2</x:v>
      </x:c>
      <x:c r="G441" s="7" t="n">
        <x:v>1</x:v>
      </x:c>
      <x:c r="H441" s="7" t="str"/>
      <x:c r="I441" s="7" t="str"/>
      <x:c r="J441" s="7" t="str">
        <x:f>IF(OR(H441="",I441=""),"",I441-H441)</x:f>
      </x:c>
      <x:c r="K441" s="7" t="str"/>
      <x:c r="L441" s="7" t="str"/>
      <x:c r="M441" s="7" t="str"/>
      <x:c r="N441" s="7" t="str">
        <x:f>IF(M441="","OPEN",IF(OR(NOT(ISNUMBER(H441)),NOT(ISNUMBER(I441)),K441="",L441=""),"FAIL","PASS"))</x:f>
        <x:v>OPEN</x:v>
      </x:c>
    </x:row>
    <x:row r="442">
      <x:c r="B442" s="7" t="str">
        <x:v>TRO-A-19-S1-O2-R2</x:v>
      </x:c>
      <x:c r="C442" s="7" t="str">
        <x:v>BLD-A</x:v>
      </x:c>
      <x:c r="D442" s="7" t="str">
        <x:v>MF-19</x:v>
      </x:c>
      <x:c r="E442" s="7" t="str">
        <x:v>STD-19-1</x:v>
      </x:c>
      <x:c r="F442" s="7" t="str">
        <x:v>OP-2</x:v>
      </x:c>
      <x:c r="G442" s="7" t="n">
        <x:v>2</x:v>
      </x:c>
      <x:c r="H442" s="7" t="str"/>
      <x:c r="I442" s="7" t="str"/>
      <x:c r="J442" s="7" t="str">
        <x:f>IF(OR(H442="",I442=""),"",I442-H442)</x:f>
      </x:c>
      <x:c r="K442" s="7" t="str"/>
      <x:c r="L442" s="7" t="str"/>
      <x:c r="M442" s="7" t="str"/>
      <x:c r="N442" s="7" t="str">
        <x:f>IF(M442="","OPEN",IF(OR(NOT(ISNUMBER(H442)),NOT(ISNUMBER(I442)),K442="",L442=""),"FAIL","PASS"))</x:f>
        <x:v>OPEN</x:v>
      </x:c>
    </x:row>
    <x:row r="443">
      <x:c r="B443" s="7" t="str">
        <x:v>TRO-A-19-S2-O1-R1</x:v>
      </x:c>
      <x:c r="C443" s="7" t="str">
        <x:v>BLD-A</x:v>
      </x:c>
      <x:c r="D443" s="7" t="str">
        <x:v>MF-19</x:v>
      </x:c>
      <x:c r="E443" s="7" t="str">
        <x:v>STD-19-2</x:v>
      </x:c>
      <x:c r="F443" s="7" t="str">
        <x:v>OP-1</x:v>
      </x:c>
      <x:c r="G443" s="7" t="n">
        <x:v>1</x:v>
      </x:c>
      <x:c r="H443" s="7" t="str"/>
      <x:c r="I443" s="7" t="str"/>
      <x:c r="J443" s="7" t="str">
        <x:f>IF(OR(H443="",I443=""),"",I443-H443)</x:f>
      </x:c>
      <x:c r="K443" s="7" t="str"/>
      <x:c r="L443" s="7" t="str"/>
      <x:c r="M443" s="7" t="str"/>
      <x:c r="N443" s="7" t="str">
        <x:f>IF(M443="","OPEN",IF(OR(NOT(ISNUMBER(H443)),NOT(ISNUMBER(I443)),K443="",L443=""),"FAIL","PASS"))</x:f>
        <x:v>OPEN</x:v>
      </x:c>
    </x:row>
    <x:row r="444">
      <x:c r="B444" s="7" t="str">
        <x:v>TRO-A-19-S2-O1-R2</x:v>
      </x:c>
      <x:c r="C444" s="7" t="str">
        <x:v>BLD-A</x:v>
      </x:c>
      <x:c r="D444" s="7" t="str">
        <x:v>MF-19</x:v>
      </x:c>
      <x:c r="E444" s="7" t="str">
        <x:v>STD-19-2</x:v>
      </x:c>
      <x:c r="F444" s="7" t="str">
        <x:v>OP-1</x:v>
      </x:c>
      <x:c r="G444" s="7" t="n">
        <x:v>2</x:v>
      </x:c>
      <x:c r="H444" s="7" t="str"/>
      <x:c r="I444" s="7" t="str"/>
      <x:c r="J444" s="7" t="str">
        <x:f>IF(OR(H444="",I444=""),"",I444-H444)</x:f>
      </x:c>
      <x:c r="K444" s="7" t="str"/>
      <x:c r="L444" s="7" t="str"/>
      <x:c r="M444" s="7" t="str"/>
      <x:c r="N444" s="7" t="str">
        <x:f>IF(M444="","OPEN",IF(OR(NOT(ISNUMBER(H444)),NOT(ISNUMBER(I444)),K444="",L444=""),"FAIL","PASS"))</x:f>
        <x:v>OPEN</x:v>
      </x:c>
    </x:row>
    <x:row r="445">
      <x:c r="B445" s="7" t="str">
        <x:v>TRO-A-19-S2-O2-R1</x:v>
      </x:c>
      <x:c r="C445" s="7" t="str">
        <x:v>BLD-A</x:v>
      </x:c>
      <x:c r="D445" s="7" t="str">
        <x:v>MF-19</x:v>
      </x:c>
      <x:c r="E445" s="7" t="str">
        <x:v>STD-19-2</x:v>
      </x:c>
      <x:c r="F445" s="7" t="str">
        <x:v>OP-2</x:v>
      </x:c>
      <x:c r="G445" s="7" t="n">
        <x:v>1</x:v>
      </x:c>
      <x:c r="H445" s="7" t="str"/>
      <x:c r="I445" s="7" t="str"/>
      <x:c r="J445" s="7" t="str">
        <x:f>IF(OR(H445="",I445=""),"",I445-H445)</x:f>
      </x:c>
      <x:c r="K445" s="7" t="str"/>
      <x:c r="L445" s="7" t="str"/>
      <x:c r="M445" s="7" t="str"/>
      <x:c r="N445" s="7" t="str">
        <x:f>IF(M445="","OPEN",IF(OR(NOT(ISNUMBER(H445)),NOT(ISNUMBER(I445)),K445="",L445=""),"FAIL","PASS"))</x:f>
        <x:v>OPEN</x:v>
      </x:c>
    </x:row>
    <x:row r="446">
      <x:c r="B446" s="7" t="str">
        <x:v>TRO-A-19-S2-O2-R2</x:v>
      </x:c>
      <x:c r="C446" s="7" t="str">
        <x:v>BLD-A</x:v>
      </x:c>
      <x:c r="D446" s="7" t="str">
        <x:v>MF-19</x:v>
      </x:c>
      <x:c r="E446" s="7" t="str">
        <x:v>STD-19-2</x:v>
      </x:c>
      <x:c r="F446" s="7" t="str">
        <x:v>OP-2</x:v>
      </x:c>
      <x:c r="G446" s="7" t="n">
        <x:v>2</x:v>
      </x:c>
      <x:c r="H446" s="7" t="str"/>
      <x:c r="I446" s="7" t="str"/>
      <x:c r="J446" s="7" t="str">
        <x:f>IF(OR(H446="",I446=""),"",I446-H446)</x:f>
      </x:c>
      <x:c r="K446" s="7" t="str"/>
      <x:c r="L446" s="7" t="str"/>
      <x:c r="M446" s="7" t="str"/>
      <x:c r="N446" s="7" t="str">
        <x:f>IF(M446="","OPEN",IF(OR(NOT(ISNUMBER(H446)),NOT(ISNUMBER(I446)),K446="",L446=""),"FAIL","PASS"))</x:f>
        <x:v>OPEN</x:v>
      </x:c>
    </x:row>
    <x:row r="447">
      <x:c r="B447" s="7" t="str">
        <x:v>TRO-A-19-S3-O1-R1</x:v>
      </x:c>
      <x:c r="C447" s="7" t="str">
        <x:v>BLD-A</x:v>
      </x:c>
      <x:c r="D447" s="7" t="str">
        <x:v>MF-19</x:v>
      </x:c>
      <x:c r="E447" s="7" t="str">
        <x:v>STD-19-3</x:v>
      </x:c>
      <x:c r="F447" s="7" t="str">
        <x:v>OP-1</x:v>
      </x:c>
      <x:c r="G447" s="7" t="n">
        <x:v>1</x:v>
      </x:c>
      <x:c r="H447" s="7" t="str"/>
      <x:c r="I447" s="7" t="str"/>
      <x:c r="J447" s="7" t="str">
        <x:f>IF(OR(H447="",I447=""),"",I447-H447)</x:f>
      </x:c>
      <x:c r="K447" s="7" t="str"/>
      <x:c r="L447" s="7" t="str"/>
      <x:c r="M447" s="7" t="str"/>
      <x:c r="N447" s="7" t="str">
        <x:f>IF(M447="","OPEN",IF(OR(NOT(ISNUMBER(H447)),NOT(ISNUMBER(I447)),K447="",L447=""),"FAIL","PASS"))</x:f>
        <x:v>OPEN</x:v>
      </x:c>
    </x:row>
    <x:row r="448">
      <x:c r="B448" s="7" t="str">
        <x:v>TRO-A-19-S3-O1-R2</x:v>
      </x:c>
      <x:c r="C448" s="7" t="str">
        <x:v>BLD-A</x:v>
      </x:c>
      <x:c r="D448" s="7" t="str">
        <x:v>MF-19</x:v>
      </x:c>
      <x:c r="E448" s="7" t="str">
        <x:v>STD-19-3</x:v>
      </x:c>
      <x:c r="F448" s="7" t="str">
        <x:v>OP-1</x:v>
      </x:c>
      <x:c r="G448" s="7" t="n">
        <x:v>2</x:v>
      </x:c>
      <x:c r="H448" s="7" t="str"/>
      <x:c r="I448" s="7" t="str"/>
      <x:c r="J448" s="7" t="str">
        <x:f>IF(OR(H448="",I448=""),"",I448-H448)</x:f>
      </x:c>
      <x:c r="K448" s="7" t="str"/>
      <x:c r="L448" s="7" t="str"/>
      <x:c r="M448" s="7" t="str"/>
      <x:c r="N448" s="7" t="str">
        <x:f>IF(M448="","OPEN",IF(OR(NOT(ISNUMBER(H448)),NOT(ISNUMBER(I448)),K448="",L448=""),"FAIL","PASS"))</x:f>
        <x:v>OPEN</x:v>
      </x:c>
    </x:row>
    <x:row r="449">
      <x:c r="B449" s="7" t="str">
        <x:v>TRO-A-19-S3-O2-R1</x:v>
      </x:c>
      <x:c r="C449" s="7" t="str">
        <x:v>BLD-A</x:v>
      </x:c>
      <x:c r="D449" s="7" t="str">
        <x:v>MF-19</x:v>
      </x:c>
      <x:c r="E449" s="7" t="str">
        <x:v>STD-19-3</x:v>
      </x:c>
      <x:c r="F449" s="7" t="str">
        <x:v>OP-2</x:v>
      </x:c>
      <x:c r="G449" s="7" t="n">
        <x:v>1</x:v>
      </x:c>
      <x:c r="H449" s="7" t="str"/>
      <x:c r="I449" s="7" t="str"/>
      <x:c r="J449" s="7" t="str">
        <x:f>IF(OR(H449="",I449=""),"",I449-H449)</x:f>
      </x:c>
      <x:c r="K449" s="7" t="str"/>
      <x:c r="L449" s="7" t="str"/>
      <x:c r="M449" s="7" t="str"/>
      <x:c r="N449" s="7" t="str">
        <x:f>IF(M449="","OPEN",IF(OR(NOT(ISNUMBER(H449)),NOT(ISNUMBER(I449)),K449="",L449=""),"FAIL","PASS"))</x:f>
        <x:v>OPEN</x:v>
      </x:c>
    </x:row>
    <x:row r="450">
      <x:c r="B450" s="7" t="str">
        <x:v>TRO-A-19-S3-O2-R2</x:v>
      </x:c>
      <x:c r="C450" s="7" t="str">
        <x:v>BLD-A</x:v>
      </x:c>
      <x:c r="D450" s="7" t="str">
        <x:v>MF-19</x:v>
      </x:c>
      <x:c r="E450" s="7" t="str">
        <x:v>STD-19-3</x:v>
      </x:c>
      <x:c r="F450" s="7" t="str">
        <x:v>OP-2</x:v>
      </x:c>
      <x:c r="G450" s="7" t="n">
        <x:v>2</x:v>
      </x:c>
      <x:c r="H450" s="7" t="str"/>
      <x:c r="I450" s="7" t="str"/>
      <x:c r="J450" s="7" t="str">
        <x:f>IF(OR(H450="",I450=""),"",I450-H450)</x:f>
      </x:c>
      <x:c r="K450" s="7" t="str"/>
      <x:c r="L450" s="7" t="str"/>
      <x:c r="M450" s="7" t="str"/>
      <x:c r="N450" s="7" t="str">
        <x:f>IF(M450="","OPEN",IF(OR(NOT(ISNUMBER(H450)),NOT(ISNUMBER(I450)),K450="",L450=""),"FAIL","PASS"))</x:f>
        <x:v>OPEN</x:v>
      </x:c>
    </x:row>
    <x:row r="451">
      <x:c r="B451" s="7" t="str">
        <x:v>TRO-A-19-S4-O1-R1</x:v>
      </x:c>
      <x:c r="C451" s="7" t="str">
        <x:v>BLD-A</x:v>
      </x:c>
      <x:c r="D451" s="7" t="str">
        <x:v>MF-19</x:v>
      </x:c>
      <x:c r="E451" s="7" t="str">
        <x:v>STD-19-4</x:v>
      </x:c>
      <x:c r="F451" s="7" t="str">
        <x:v>OP-1</x:v>
      </x:c>
      <x:c r="G451" s="7" t="n">
        <x:v>1</x:v>
      </x:c>
      <x:c r="H451" s="7" t="str"/>
      <x:c r="I451" s="7" t="str"/>
      <x:c r="J451" s="7" t="str">
        <x:f>IF(OR(H451="",I451=""),"",I451-H451)</x:f>
      </x:c>
      <x:c r="K451" s="7" t="str"/>
      <x:c r="L451" s="7" t="str"/>
      <x:c r="M451" s="7" t="str"/>
      <x:c r="N451" s="7" t="str">
        <x:f>IF(M451="","OPEN",IF(OR(NOT(ISNUMBER(H451)),NOT(ISNUMBER(I451)),K451="",L451=""),"FAIL","PASS"))</x:f>
        <x:v>OPEN</x:v>
      </x:c>
    </x:row>
    <x:row r="452">
      <x:c r="B452" s="7" t="str">
        <x:v>TRO-A-19-S4-O1-R2</x:v>
      </x:c>
      <x:c r="C452" s="7" t="str">
        <x:v>BLD-A</x:v>
      </x:c>
      <x:c r="D452" s="7" t="str">
        <x:v>MF-19</x:v>
      </x:c>
      <x:c r="E452" s="7" t="str">
        <x:v>STD-19-4</x:v>
      </x:c>
      <x:c r="F452" s="7" t="str">
        <x:v>OP-1</x:v>
      </x:c>
      <x:c r="G452" s="7" t="n">
        <x:v>2</x:v>
      </x:c>
      <x:c r="H452" s="7" t="str"/>
      <x:c r="I452" s="7" t="str"/>
      <x:c r="J452" s="7" t="str">
        <x:f>IF(OR(H452="",I452=""),"",I452-H452)</x:f>
      </x:c>
      <x:c r="K452" s="7" t="str"/>
      <x:c r="L452" s="7" t="str"/>
      <x:c r="M452" s="7" t="str"/>
      <x:c r="N452" s="7" t="str">
        <x:f>IF(M452="","OPEN",IF(OR(NOT(ISNUMBER(H452)),NOT(ISNUMBER(I452)),K452="",L452=""),"FAIL","PASS"))</x:f>
        <x:v>OPEN</x:v>
      </x:c>
    </x:row>
    <x:row r="453">
      <x:c r="B453" s="7" t="str">
        <x:v>TRO-A-19-S4-O2-R1</x:v>
      </x:c>
      <x:c r="C453" s="7" t="str">
        <x:v>BLD-A</x:v>
      </x:c>
      <x:c r="D453" s="7" t="str">
        <x:v>MF-19</x:v>
      </x:c>
      <x:c r="E453" s="7" t="str">
        <x:v>STD-19-4</x:v>
      </x:c>
      <x:c r="F453" s="7" t="str">
        <x:v>OP-2</x:v>
      </x:c>
      <x:c r="G453" s="7" t="n">
        <x:v>1</x:v>
      </x:c>
      <x:c r="H453" s="7" t="str"/>
      <x:c r="I453" s="7" t="str"/>
      <x:c r="J453" s="7" t="str">
        <x:f>IF(OR(H453="",I453=""),"",I453-H453)</x:f>
      </x:c>
      <x:c r="K453" s="7" t="str"/>
      <x:c r="L453" s="7" t="str"/>
      <x:c r="M453" s="7" t="str"/>
      <x:c r="N453" s="7" t="str">
        <x:f>IF(M453="","OPEN",IF(OR(NOT(ISNUMBER(H453)),NOT(ISNUMBER(I453)),K453="",L453=""),"FAIL","PASS"))</x:f>
        <x:v>OPEN</x:v>
      </x:c>
    </x:row>
    <x:row r="454">
      <x:c r="B454" s="7" t="str">
        <x:v>TRO-A-19-S4-O2-R2</x:v>
      </x:c>
      <x:c r="C454" s="7" t="str">
        <x:v>BLD-A</x:v>
      </x:c>
      <x:c r="D454" s="7" t="str">
        <x:v>MF-19</x:v>
      </x:c>
      <x:c r="E454" s="7" t="str">
        <x:v>STD-19-4</x:v>
      </x:c>
      <x:c r="F454" s="7" t="str">
        <x:v>OP-2</x:v>
      </x:c>
      <x:c r="G454" s="7" t="n">
        <x:v>2</x:v>
      </x:c>
      <x:c r="H454" s="7" t="str"/>
      <x:c r="I454" s="7" t="str"/>
      <x:c r="J454" s="7" t="str">
        <x:f>IF(OR(H454="",I454=""),"",I454-H454)</x:f>
      </x:c>
      <x:c r="K454" s="7" t="str"/>
      <x:c r="L454" s="7" t="str"/>
      <x:c r="M454" s="7" t="str"/>
      <x:c r="N454" s="7" t="str">
        <x:f>IF(M454="","OPEN",IF(OR(NOT(ISNUMBER(H454)),NOT(ISNUMBER(I454)),K454="",L454=""),"FAIL","PASS"))</x:f>
        <x:v>OPEN</x:v>
      </x:c>
    </x:row>
    <x:row r="455">
      <x:c r="B455" s="7" t="str">
        <x:v>TRO-A-19-S5-O1-R1</x:v>
      </x:c>
      <x:c r="C455" s="7" t="str">
        <x:v>BLD-A</x:v>
      </x:c>
      <x:c r="D455" s="7" t="str">
        <x:v>MF-19</x:v>
      </x:c>
      <x:c r="E455" s="7" t="str">
        <x:v>STD-19-5</x:v>
      </x:c>
      <x:c r="F455" s="7" t="str">
        <x:v>OP-1</x:v>
      </x:c>
      <x:c r="G455" s="7" t="n">
        <x:v>1</x:v>
      </x:c>
      <x:c r="H455" s="7" t="str"/>
      <x:c r="I455" s="7" t="str"/>
      <x:c r="J455" s="7" t="str">
        <x:f>IF(OR(H455="",I455=""),"",I455-H455)</x:f>
      </x:c>
      <x:c r="K455" s="7" t="str"/>
      <x:c r="L455" s="7" t="str"/>
      <x:c r="M455" s="7" t="str"/>
      <x:c r="N455" s="7" t="str">
        <x:f>IF(M455="","OPEN",IF(OR(NOT(ISNUMBER(H455)),NOT(ISNUMBER(I455)),K455="",L455=""),"FAIL","PASS"))</x:f>
        <x:v>OPEN</x:v>
      </x:c>
    </x:row>
    <x:row r="456">
      <x:c r="B456" s="7" t="str">
        <x:v>TRO-A-19-S5-O1-R2</x:v>
      </x:c>
      <x:c r="C456" s="7" t="str">
        <x:v>BLD-A</x:v>
      </x:c>
      <x:c r="D456" s="7" t="str">
        <x:v>MF-19</x:v>
      </x:c>
      <x:c r="E456" s="7" t="str">
        <x:v>STD-19-5</x:v>
      </x:c>
      <x:c r="F456" s="7" t="str">
        <x:v>OP-1</x:v>
      </x:c>
      <x:c r="G456" s="7" t="n">
        <x:v>2</x:v>
      </x:c>
      <x:c r="H456" s="7" t="str"/>
      <x:c r="I456" s="7" t="str"/>
      <x:c r="J456" s="7" t="str">
        <x:f>IF(OR(H456="",I456=""),"",I456-H456)</x:f>
      </x:c>
      <x:c r="K456" s="7" t="str"/>
      <x:c r="L456" s="7" t="str"/>
      <x:c r="M456" s="7" t="str"/>
      <x:c r="N456" s="7" t="str">
        <x:f>IF(M456="","OPEN",IF(OR(NOT(ISNUMBER(H456)),NOT(ISNUMBER(I456)),K456="",L456=""),"FAIL","PASS"))</x:f>
        <x:v>OPEN</x:v>
      </x:c>
    </x:row>
    <x:row r="457">
      <x:c r="B457" s="7" t="str">
        <x:v>TRO-A-19-S5-O2-R1</x:v>
      </x:c>
      <x:c r="C457" s="7" t="str">
        <x:v>BLD-A</x:v>
      </x:c>
      <x:c r="D457" s="7" t="str">
        <x:v>MF-19</x:v>
      </x:c>
      <x:c r="E457" s="7" t="str">
        <x:v>STD-19-5</x:v>
      </x:c>
      <x:c r="F457" s="7" t="str">
        <x:v>OP-2</x:v>
      </x:c>
      <x:c r="G457" s="7" t="n">
        <x:v>1</x:v>
      </x:c>
      <x:c r="H457" s="7" t="str"/>
      <x:c r="I457" s="7" t="str"/>
      <x:c r="J457" s="7" t="str">
        <x:f>IF(OR(H457="",I457=""),"",I457-H457)</x:f>
      </x:c>
      <x:c r="K457" s="7" t="str"/>
      <x:c r="L457" s="7" t="str"/>
      <x:c r="M457" s="7" t="str"/>
      <x:c r="N457" s="7" t="str">
        <x:f>IF(M457="","OPEN",IF(OR(NOT(ISNUMBER(H457)),NOT(ISNUMBER(I457)),K457="",L457=""),"FAIL","PASS"))</x:f>
        <x:v>OPEN</x:v>
      </x:c>
    </x:row>
    <x:row r="458">
      <x:c r="B458" s="7" t="str">
        <x:v>TRO-A-19-S5-O2-R2</x:v>
      </x:c>
      <x:c r="C458" s="7" t="str">
        <x:v>BLD-A</x:v>
      </x:c>
      <x:c r="D458" s="7" t="str">
        <x:v>MF-19</x:v>
      </x:c>
      <x:c r="E458" s="7" t="str">
        <x:v>STD-19-5</x:v>
      </x:c>
      <x:c r="F458" s="7" t="str">
        <x:v>OP-2</x:v>
      </x:c>
      <x:c r="G458" s="7" t="n">
        <x:v>2</x:v>
      </x:c>
      <x:c r="H458" s="7" t="str"/>
      <x:c r="I458" s="7" t="str"/>
      <x:c r="J458" s="7" t="str">
        <x:f>IF(OR(H458="",I458=""),"",I458-H458)</x:f>
      </x:c>
      <x:c r="K458" s="7" t="str"/>
      <x:c r="L458" s="7" t="str"/>
      <x:c r="M458" s="7" t="str"/>
      <x:c r="N458" s="7" t="str">
        <x:f>IF(M458="","OPEN",IF(OR(NOT(ISNUMBER(H458)),NOT(ISNUMBER(I458)),K458="",L458=""),"FAIL","PASS"))</x:f>
        <x:v>OPEN</x:v>
      </x:c>
    </x:row>
    <x:row r="459">
      <x:c r="B459" s="7" t="str">
        <x:v>TRO-A-19-S6-O1-R1</x:v>
      </x:c>
      <x:c r="C459" s="7" t="str">
        <x:v>BLD-A</x:v>
      </x:c>
      <x:c r="D459" s="7" t="str">
        <x:v>MF-19</x:v>
      </x:c>
      <x:c r="E459" s="7" t="str">
        <x:v>STD-19-6</x:v>
      </x:c>
      <x:c r="F459" s="7" t="str">
        <x:v>OP-1</x:v>
      </x:c>
      <x:c r="G459" s="7" t="n">
        <x:v>1</x:v>
      </x:c>
      <x:c r="H459" s="7" t="str"/>
      <x:c r="I459" s="7" t="str"/>
      <x:c r="J459" s="7" t="str">
        <x:f>IF(OR(H459="",I459=""),"",I459-H459)</x:f>
      </x:c>
      <x:c r="K459" s="7" t="str"/>
      <x:c r="L459" s="7" t="str"/>
      <x:c r="M459" s="7" t="str"/>
      <x:c r="N459" s="7" t="str">
        <x:f>IF(M459="","OPEN",IF(OR(NOT(ISNUMBER(H459)),NOT(ISNUMBER(I459)),K459="",L459=""),"FAIL","PASS"))</x:f>
        <x:v>OPEN</x:v>
      </x:c>
    </x:row>
    <x:row r="460">
      <x:c r="B460" s="7" t="str">
        <x:v>TRO-A-19-S6-O1-R2</x:v>
      </x:c>
      <x:c r="C460" s="7" t="str">
        <x:v>BLD-A</x:v>
      </x:c>
      <x:c r="D460" s="7" t="str">
        <x:v>MF-19</x:v>
      </x:c>
      <x:c r="E460" s="7" t="str">
        <x:v>STD-19-6</x:v>
      </x:c>
      <x:c r="F460" s="7" t="str">
        <x:v>OP-1</x:v>
      </x:c>
      <x:c r="G460" s="7" t="n">
        <x:v>2</x:v>
      </x:c>
      <x:c r="H460" s="7" t="str"/>
      <x:c r="I460" s="7" t="str"/>
      <x:c r="J460" s="7" t="str">
        <x:f>IF(OR(H460="",I460=""),"",I460-H460)</x:f>
      </x:c>
      <x:c r="K460" s="7" t="str"/>
      <x:c r="L460" s="7" t="str"/>
      <x:c r="M460" s="7" t="str"/>
      <x:c r="N460" s="7" t="str">
        <x:f>IF(M460="","OPEN",IF(OR(NOT(ISNUMBER(H460)),NOT(ISNUMBER(I460)),K460="",L460=""),"FAIL","PASS"))</x:f>
        <x:v>OPEN</x:v>
      </x:c>
    </x:row>
    <x:row r="461">
      <x:c r="B461" s="7" t="str">
        <x:v>TRO-A-19-S6-O2-R1</x:v>
      </x:c>
      <x:c r="C461" s="7" t="str">
        <x:v>BLD-A</x:v>
      </x:c>
      <x:c r="D461" s="7" t="str">
        <x:v>MF-19</x:v>
      </x:c>
      <x:c r="E461" s="7" t="str">
        <x:v>STD-19-6</x:v>
      </x:c>
      <x:c r="F461" s="7" t="str">
        <x:v>OP-2</x:v>
      </x:c>
      <x:c r="G461" s="7" t="n">
        <x:v>1</x:v>
      </x:c>
      <x:c r="H461" s="7" t="str"/>
      <x:c r="I461" s="7" t="str"/>
      <x:c r="J461" s="7" t="str">
        <x:f>IF(OR(H461="",I461=""),"",I461-H461)</x:f>
      </x:c>
      <x:c r="K461" s="7" t="str"/>
      <x:c r="L461" s="7" t="str"/>
      <x:c r="M461" s="7" t="str"/>
      <x:c r="N461" s="7" t="str">
        <x:f>IF(M461="","OPEN",IF(OR(NOT(ISNUMBER(H461)),NOT(ISNUMBER(I461)),K461="",L461=""),"FAIL","PASS"))</x:f>
        <x:v>OPEN</x:v>
      </x:c>
    </x:row>
    <x:row r="462">
      <x:c r="B462" s="7" t="str">
        <x:v>TRO-A-19-S6-O2-R2</x:v>
      </x:c>
      <x:c r="C462" s="7" t="str">
        <x:v>BLD-A</x:v>
      </x:c>
      <x:c r="D462" s="7" t="str">
        <x:v>MF-19</x:v>
      </x:c>
      <x:c r="E462" s="7" t="str">
        <x:v>STD-19-6</x:v>
      </x:c>
      <x:c r="F462" s="7" t="str">
        <x:v>OP-2</x:v>
      </x:c>
      <x:c r="G462" s="7" t="n">
        <x:v>2</x:v>
      </x:c>
      <x:c r="H462" s="7" t="str"/>
      <x:c r="I462" s="7" t="str"/>
      <x:c r="J462" s="7" t="str">
        <x:f>IF(OR(H462="",I462=""),"",I462-H462)</x:f>
      </x:c>
      <x:c r="K462" s="7" t="str"/>
      <x:c r="L462" s="7" t="str"/>
      <x:c r="M462" s="7" t="str"/>
      <x:c r="N462" s="7" t="str">
        <x:f>IF(M462="","OPEN",IF(OR(NOT(ISNUMBER(H462)),NOT(ISNUMBER(I462)),K462="",L462=""),"FAIL","PASS"))</x:f>
        <x:v>OPEN</x:v>
      </x:c>
    </x:row>
    <x:row r="463">
      <x:c r="B463" s="7" t="str">
        <x:v>TRO-A-20-S1-O1-R1</x:v>
      </x:c>
      <x:c r="C463" s="7" t="str">
        <x:v>BLD-A</x:v>
      </x:c>
      <x:c r="D463" s="7" t="str">
        <x:v>MF-20</x:v>
      </x:c>
      <x:c r="E463" s="7" t="str">
        <x:v>STD-20-1</x:v>
      </x:c>
      <x:c r="F463" s="7" t="str">
        <x:v>OP-1</x:v>
      </x:c>
      <x:c r="G463" s="7" t="n">
        <x:v>1</x:v>
      </x:c>
      <x:c r="H463" s="7" t="str"/>
      <x:c r="I463" s="7" t="str"/>
      <x:c r="J463" s="7" t="str">
        <x:f>IF(OR(H463="",I463=""),"",I463-H463)</x:f>
      </x:c>
      <x:c r="K463" s="7" t="str"/>
      <x:c r="L463" s="7" t="str"/>
      <x:c r="M463" s="7" t="str"/>
      <x:c r="N463" s="7" t="str">
        <x:f>IF(M463="","OPEN",IF(OR(NOT(ISNUMBER(H463)),NOT(ISNUMBER(I463)),K463="",L463=""),"FAIL","PASS"))</x:f>
        <x:v>OPEN</x:v>
      </x:c>
    </x:row>
    <x:row r="464">
      <x:c r="B464" s="7" t="str">
        <x:v>TRO-A-20-S1-O1-R2</x:v>
      </x:c>
      <x:c r="C464" s="7" t="str">
        <x:v>BLD-A</x:v>
      </x:c>
      <x:c r="D464" s="7" t="str">
        <x:v>MF-20</x:v>
      </x:c>
      <x:c r="E464" s="7" t="str">
        <x:v>STD-20-1</x:v>
      </x:c>
      <x:c r="F464" s="7" t="str">
        <x:v>OP-1</x:v>
      </x:c>
      <x:c r="G464" s="7" t="n">
        <x:v>2</x:v>
      </x:c>
      <x:c r="H464" s="7" t="str"/>
      <x:c r="I464" s="7" t="str"/>
      <x:c r="J464" s="7" t="str">
        <x:f>IF(OR(H464="",I464=""),"",I464-H464)</x:f>
      </x:c>
      <x:c r="K464" s="7" t="str"/>
      <x:c r="L464" s="7" t="str"/>
      <x:c r="M464" s="7" t="str"/>
      <x:c r="N464" s="7" t="str">
        <x:f>IF(M464="","OPEN",IF(OR(NOT(ISNUMBER(H464)),NOT(ISNUMBER(I464)),K464="",L464=""),"FAIL","PASS"))</x:f>
        <x:v>OPEN</x:v>
      </x:c>
    </x:row>
    <x:row r="465">
      <x:c r="B465" s="7" t="str">
        <x:v>TRO-A-20-S1-O2-R1</x:v>
      </x:c>
      <x:c r="C465" s="7" t="str">
        <x:v>BLD-A</x:v>
      </x:c>
      <x:c r="D465" s="7" t="str">
        <x:v>MF-20</x:v>
      </x:c>
      <x:c r="E465" s="7" t="str">
        <x:v>STD-20-1</x:v>
      </x:c>
      <x:c r="F465" s="7" t="str">
        <x:v>OP-2</x:v>
      </x:c>
      <x:c r="G465" s="7" t="n">
        <x:v>1</x:v>
      </x:c>
      <x:c r="H465" s="7" t="str"/>
      <x:c r="I465" s="7" t="str"/>
      <x:c r="J465" s="7" t="str">
        <x:f>IF(OR(H465="",I465=""),"",I465-H465)</x:f>
      </x:c>
      <x:c r="K465" s="7" t="str"/>
      <x:c r="L465" s="7" t="str"/>
      <x:c r="M465" s="7" t="str"/>
      <x:c r="N465" s="7" t="str">
        <x:f>IF(M465="","OPEN",IF(OR(NOT(ISNUMBER(H465)),NOT(ISNUMBER(I465)),K465="",L465=""),"FAIL","PASS"))</x:f>
        <x:v>OPEN</x:v>
      </x:c>
    </x:row>
    <x:row r="466">
      <x:c r="B466" s="7" t="str">
        <x:v>TRO-A-20-S1-O2-R2</x:v>
      </x:c>
      <x:c r="C466" s="7" t="str">
        <x:v>BLD-A</x:v>
      </x:c>
      <x:c r="D466" s="7" t="str">
        <x:v>MF-20</x:v>
      </x:c>
      <x:c r="E466" s="7" t="str">
        <x:v>STD-20-1</x:v>
      </x:c>
      <x:c r="F466" s="7" t="str">
        <x:v>OP-2</x:v>
      </x:c>
      <x:c r="G466" s="7" t="n">
        <x:v>2</x:v>
      </x:c>
      <x:c r="H466" s="7" t="str"/>
      <x:c r="I466" s="7" t="str"/>
      <x:c r="J466" s="7" t="str">
        <x:f>IF(OR(H466="",I466=""),"",I466-H466)</x:f>
      </x:c>
      <x:c r="K466" s="7" t="str"/>
      <x:c r="L466" s="7" t="str"/>
      <x:c r="M466" s="7" t="str"/>
      <x:c r="N466" s="7" t="str">
        <x:f>IF(M466="","OPEN",IF(OR(NOT(ISNUMBER(H466)),NOT(ISNUMBER(I466)),K466="",L466=""),"FAIL","PASS"))</x:f>
        <x:v>OPEN</x:v>
      </x:c>
    </x:row>
    <x:row r="467">
      <x:c r="B467" s="7" t="str">
        <x:v>TRO-A-20-S2-O1-R1</x:v>
      </x:c>
      <x:c r="C467" s="7" t="str">
        <x:v>BLD-A</x:v>
      </x:c>
      <x:c r="D467" s="7" t="str">
        <x:v>MF-20</x:v>
      </x:c>
      <x:c r="E467" s="7" t="str">
        <x:v>STD-20-2</x:v>
      </x:c>
      <x:c r="F467" s="7" t="str">
        <x:v>OP-1</x:v>
      </x:c>
      <x:c r="G467" s="7" t="n">
        <x:v>1</x:v>
      </x:c>
      <x:c r="H467" s="7" t="str"/>
      <x:c r="I467" s="7" t="str"/>
      <x:c r="J467" s="7" t="str">
        <x:f>IF(OR(H467="",I467=""),"",I467-H467)</x:f>
      </x:c>
      <x:c r="K467" s="7" t="str"/>
      <x:c r="L467" s="7" t="str"/>
      <x:c r="M467" s="7" t="str"/>
      <x:c r="N467" s="7" t="str">
        <x:f>IF(M467="","OPEN",IF(OR(NOT(ISNUMBER(H467)),NOT(ISNUMBER(I467)),K467="",L467=""),"FAIL","PASS"))</x:f>
        <x:v>OPEN</x:v>
      </x:c>
    </x:row>
    <x:row r="468">
      <x:c r="B468" s="7" t="str">
        <x:v>TRO-A-20-S2-O1-R2</x:v>
      </x:c>
      <x:c r="C468" s="7" t="str">
        <x:v>BLD-A</x:v>
      </x:c>
      <x:c r="D468" s="7" t="str">
        <x:v>MF-20</x:v>
      </x:c>
      <x:c r="E468" s="7" t="str">
        <x:v>STD-20-2</x:v>
      </x:c>
      <x:c r="F468" s="7" t="str">
        <x:v>OP-1</x:v>
      </x:c>
      <x:c r="G468" s="7" t="n">
        <x:v>2</x:v>
      </x:c>
      <x:c r="H468" s="7" t="str"/>
      <x:c r="I468" s="7" t="str"/>
      <x:c r="J468" s="7" t="str">
        <x:f>IF(OR(H468="",I468=""),"",I468-H468)</x:f>
      </x:c>
      <x:c r="K468" s="7" t="str"/>
      <x:c r="L468" s="7" t="str"/>
      <x:c r="M468" s="7" t="str"/>
      <x:c r="N468" s="7" t="str">
        <x:f>IF(M468="","OPEN",IF(OR(NOT(ISNUMBER(H468)),NOT(ISNUMBER(I468)),K468="",L468=""),"FAIL","PASS"))</x:f>
        <x:v>OPEN</x:v>
      </x:c>
    </x:row>
    <x:row r="469">
      <x:c r="B469" s="7" t="str">
        <x:v>TRO-A-20-S2-O2-R1</x:v>
      </x:c>
      <x:c r="C469" s="7" t="str">
        <x:v>BLD-A</x:v>
      </x:c>
      <x:c r="D469" s="7" t="str">
        <x:v>MF-20</x:v>
      </x:c>
      <x:c r="E469" s="7" t="str">
        <x:v>STD-20-2</x:v>
      </x:c>
      <x:c r="F469" s="7" t="str">
        <x:v>OP-2</x:v>
      </x:c>
      <x:c r="G469" s="7" t="n">
        <x:v>1</x:v>
      </x:c>
      <x:c r="H469" s="7" t="str"/>
      <x:c r="I469" s="7" t="str"/>
      <x:c r="J469" s="7" t="str">
        <x:f>IF(OR(H469="",I469=""),"",I469-H469)</x:f>
      </x:c>
      <x:c r="K469" s="7" t="str"/>
      <x:c r="L469" s="7" t="str"/>
      <x:c r="M469" s="7" t="str"/>
      <x:c r="N469" s="7" t="str">
        <x:f>IF(M469="","OPEN",IF(OR(NOT(ISNUMBER(H469)),NOT(ISNUMBER(I469)),K469="",L469=""),"FAIL","PASS"))</x:f>
        <x:v>OPEN</x:v>
      </x:c>
    </x:row>
    <x:row r="470">
      <x:c r="B470" s="7" t="str">
        <x:v>TRO-A-20-S2-O2-R2</x:v>
      </x:c>
      <x:c r="C470" s="7" t="str">
        <x:v>BLD-A</x:v>
      </x:c>
      <x:c r="D470" s="7" t="str">
        <x:v>MF-20</x:v>
      </x:c>
      <x:c r="E470" s="7" t="str">
        <x:v>STD-20-2</x:v>
      </x:c>
      <x:c r="F470" s="7" t="str">
        <x:v>OP-2</x:v>
      </x:c>
      <x:c r="G470" s="7" t="n">
        <x:v>2</x:v>
      </x:c>
      <x:c r="H470" s="7" t="str"/>
      <x:c r="I470" s="7" t="str"/>
      <x:c r="J470" s="7" t="str">
        <x:f>IF(OR(H470="",I470=""),"",I470-H470)</x:f>
      </x:c>
      <x:c r="K470" s="7" t="str"/>
      <x:c r="L470" s="7" t="str"/>
      <x:c r="M470" s="7" t="str"/>
      <x:c r="N470" s="7" t="str">
        <x:f>IF(M470="","OPEN",IF(OR(NOT(ISNUMBER(H470)),NOT(ISNUMBER(I470)),K470="",L470=""),"FAIL","PASS"))</x:f>
        <x:v>OPEN</x:v>
      </x:c>
    </x:row>
    <x:row r="471">
      <x:c r="B471" s="7" t="str">
        <x:v>TRO-A-20-S3-O1-R1</x:v>
      </x:c>
      <x:c r="C471" s="7" t="str">
        <x:v>BLD-A</x:v>
      </x:c>
      <x:c r="D471" s="7" t="str">
        <x:v>MF-20</x:v>
      </x:c>
      <x:c r="E471" s="7" t="str">
        <x:v>STD-20-3</x:v>
      </x:c>
      <x:c r="F471" s="7" t="str">
        <x:v>OP-1</x:v>
      </x:c>
      <x:c r="G471" s="7" t="n">
        <x:v>1</x:v>
      </x:c>
      <x:c r="H471" s="7" t="str"/>
      <x:c r="I471" s="7" t="str"/>
      <x:c r="J471" s="7" t="str">
        <x:f>IF(OR(H471="",I471=""),"",I471-H471)</x:f>
      </x:c>
      <x:c r="K471" s="7" t="str"/>
      <x:c r="L471" s="7" t="str"/>
      <x:c r="M471" s="7" t="str"/>
      <x:c r="N471" s="7" t="str">
        <x:f>IF(M471="","OPEN",IF(OR(NOT(ISNUMBER(H471)),NOT(ISNUMBER(I471)),K471="",L471=""),"FAIL","PASS"))</x:f>
        <x:v>OPEN</x:v>
      </x:c>
    </x:row>
    <x:row r="472">
      <x:c r="B472" s="7" t="str">
        <x:v>TRO-A-20-S3-O1-R2</x:v>
      </x:c>
      <x:c r="C472" s="7" t="str">
        <x:v>BLD-A</x:v>
      </x:c>
      <x:c r="D472" s="7" t="str">
        <x:v>MF-20</x:v>
      </x:c>
      <x:c r="E472" s="7" t="str">
        <x:v>STD-20-3</x:v>
      </x:c>
      <x:c r="F472" s="7" t="str">
        <x:v>OP-1</x:v>
      </x:c>
      <x:c r="G472" s="7" t="n">
        <x:v>2</x:v>
      </x:c>
      <x:c r="H472" s="7" t="str"/>
      <x:c r="I472" s="7" t="str"/>
      <x:c r="J472" s="7" t="str">
        <x:f>IF(OR(H472="",I472=""),"",I472-H472)</x:f>
      </x:c>
      <x:c r="K472" s="7" t="str"/>
      <x:c r="L472" s="7" t="str"/>
      <x:c r="M472" s="7" t="str"/>
      <x:c r="N472" s="7" t="str">
        <x:f>IF(M472="","OPEN",IF(OR(NOT(ISNUMBER(H472)),NOT(ISNUMBER(I472)),K472="",L472=""),"FAIL","PASS"))</x:f>
        <x:v>OPEN</x:v>
      </x:c>
    </x:row>
    <x:row r="473">
      <x:c r="B473" s="7" t="str">
        <x:v>TRO-A-20-S3-O2-R1</x:v>
      </x:c>
      <x:c r="C473" s="7" t="str">
        <x:v>BLD-A</x:v>
      </x:c>
      <x:c r="D473" s="7" t="str">
        <x:v>MF-20</x:v>
      </x:c>
      <x:c r="E473" s="7" t="str">
        <x:v>STD-20-3</x:v>
      </x:c>
      <x:c r="F473" s="7" t="str">
        <x:v>OP-2</x:v>
      </x:c>
      <x:c r="G473" s="7" t="n">
        <x:v>1</x:v>
      </x:c>
      <x:c r="H473" s="7" t="str"/>
      <x:c r="I473" s="7" t="str"/>
      <x:c r="J473" s="7" t="str">
        <x:f>IF(OR(H473="",I473=""),"",I473-H473)</x:f>
      </x:c>
      <x:c r="K473" s="7" t="str"/>
      <x:c r="L473" s="7" t="str"/>
      <x:c r="M473" s="7" t="str"/>
      <x:c r="N473" s="7" t="str">
        <x:f>IF(M473="","OPEN",IF(OR(NOT(ISNUMBER(H473)),NOT(ISNUMBER(I473)),K473="",L473=""),"FAIL","PASS"))</x:f>
        <x:v>OPEN</x:v>
      </x:c>
    </x:row>
    <x:row r="474">
      <x:c r="B474" s="7" t="str">
        <x:v>TRO-A-20-S3-O2-R2</x:v>
      </x:c>
      <x:c r="C474" s="7" t="str">
        <x:v>BLD-A</x:v>
      </x:c>
      <x:c r="D474" s="7" t="str">
        <x:v>MF-20</x:v>
      </x:c>
      <x:c r="E474" s="7" t="str">
        <x:v>STD-20-3</x:v>
      </x:c>
      <x:c r="F474" s="7" t="str">
        <x:v>OP-2</x:v>
      </x:c>
      <x:c r="G474" s="7" t="n">
        <x:v>2</x:v>
      </x:c>
      <x:c r="H474" s="7" t="str"/>
      <x:c r="I474" s="7" t="str"/>
      <x:c r="J474" s="7" t="str">
        <x:f>IF(OR(H474="",I474=""),"",I474-H474)</x:f>
      </x:c>
      <x:c r="K474" s="7" t="str"/>
      <x:c r="L474" s="7" t="str"/>
      <x:c r="M474" s="7" t="str"/>
      <x:c r="N474" s="7" t="str">
        <x:f>IF(M474="","OPEN",IF(OR(NOT(ISNUMBER(H474)),NOT(ISNUMBER(I474)),K474="",L474=""),"FAIL","PASS"))</x:f>
        <x:v>OPEN</x:v>
      </x:c>
    </x:row>
    <x:row r="475">
      <x:c r="B475" s="7" t="str">
        <x:v>TRO-A-20-S4-O1-R1</x:v>
      </x:c>
      <x:c r="C475" s="7" t="str">
        <x:v>BLD-A</x:v>
      </x:c>
      <x:c r="D475" s="7" t="str">
        <x:v>MF-20</x:v>
      </x:c>
      <x:c r="E475" s="7" t="str">
        <x:v>STD-20-4</x:v>
      </x:c>
      <x:c r="F475" s="7" t="str">
        <x:v>OP-1</x:v>
      </x:c>
      <x:c r="G475" s="7" t="n">
        <x:v>1</x:v>
      </x:c>
      <x:c r="H475" s="7" t="str"/>
      <x:c r="I475" s="7" t="str"/>
      <x:c r="J475" s="7" t="str">
        <x:f>IF(OR(H475="",I475=""),"",I475-H475)</x:f>
      </x:c>
      <x:c r="K475" s="7" t="str"/>
      <x:c r="L475" s="7" t="str"/>
      <x:c r="M475" s="7" t="str"/>
      <x:c r="N475" s="7" t="str">
        <x:f>IF(M475="","OPEN",IF(OR(NOT(ISNUMBER(H475)),NOT(ISNUMBER(I475)),K475="",L475=""),"FAIL","PASS"))</x:f>
        <x:v>OPEN</x:v>
      </x:c>
    </x:row>
    <x:row r="476">
      <x:c r="B476" s="7" t="str">
        <x:v>TRO-A-20-S4-O1-R2</x:v>
      </x:c>
      <x:c r="C476" s="7" t="str">
        <x:v>BLD-A</x:v>
      </x:c>
      <x:c r="D476" s="7" t="str">
        <x:v>MF-20</x:v>
      </x:c>
      <x:c r="E476" s="7" t="str">
        <x:v>STD-20-4</x:v>
      </x:c>
      <x:c r="F476" s="7" t="str">
        <x:v>OP-1</x:v>
      </x:c>
      <x:c r="G476" s="7" t="n">
        <x:v>2</x:v>
      </x:c>
      <x:c r="H476" s="7" t="str"/>
      <x:c r="I476" s="7" t="str"/>
      <x:c r="J476" s="7" t="str">
        <x:f>IF(OR(H476="",I476=""),"",I476-H476)</x:f>
      </x:c>
      <x:c r="K476" s="7" t="str"/>
      <x:c r="L476" s="7" t="str"/>
      <x:c r="M476" s="7" t="str"/>
      <x:c r="N476" s="7" t="str">
        <x:f>IF(M476="","OPEN",IF(OR(NOT(ISNUMBER(H476)),NOT(ISNUMBER(I476)),K476="",L476=""),"FAIL","PASS"))</x:f>
        <x:v>OPEN</x:v>
      </x:c>
    </x:row>
    <x:row r="477">
      <x:c r="B477" s="7" t="str">
        <x:v>TRO-A-20-S4-O2-R1</x:v>
      </x:c>
      <x:c r="C477" s="7" t="str">
        <x:v>BLD-A</x:v>
      </x:c>
      <x:c r="D477" s="7" t="str">
        <x:v>MF-20</x:v>
      </x:c>
      <x:c r="E477" s="7" t="str">
        <x:v>STD-20-4</x:v>
      </x:c>
      <x:c r="F477" s="7" t="str">
        <x:v>OP-2</x:v>
      </x:c>
      <x:c r="G477" s="7" t="n">
        <x:v>1</x:v>
      </x:c>
      <x:c r="H477" s="7" t="str"/>
      <x:c r="I477" s="7" t="str"/>
      <x:c r="J477" s="7" t="str">
        <x:f>IF(OR(H477="",I477=""),"",I477-H477)</x:f>
      </x:c>
      <x:c r="K477" s="7" t="str"/>
      <x:c r="L477" s="7" t="str"/>
      <x:c r="M477" s="7" t="str"/>
      <x:c r="N477" s="7" t="str">
        <x:f>IF(M477="","OPEN",IF(OR(NOT(ISNUMBER(H477)),NOT(ISNUMBER(I477)),K477="",L477=""),"FAIL","PASS"))</x:f>
        <x:v>OPEN</x:v>
      </x:c>
    </x:row>
    <x:row r="478">
      <x:c r="B478" s="7" t="str">
        <x:v>TRO-A-20-S4-O2-R2</x:v>
      </x:c>
      <x:c r="C478" s="7" t="str">
        <x:v>BLD-A</x:v>
      </x:c>
      <x:c r="D478" s="7" t="str">
        <x:v>MF-20</x:v>
      </x:c>
      <x:c r="E478" s="7" t="str">
        <x:v>STD-20-4</x:v>
      </x:c>
      <x:c r="F478" s="7" t="str">
        <x:v>OP-2</x:v>
      </x:c>
      <x:c r="G478" s="7" t="n">
        <x:v>2</x:v>
      </x:c>
      <x:c r="H478" s="7" t="str"/>
      <x:c r="I478" s="7" t="str"/>
      <x:c r="J478" s="7" t="str">
        <x:f>IF(OR(H478="",I478=""),"",I478-H478)</x:f>
      </x:c>
      <x:c r="K478" s="7" t="str"/>
      <x:c r="L478" s="7" t="str"/>
      <x:c r="M478" s="7" t="str"/>
      <x:c r="N478" s="7" t="str">
        <x:f>IF(M478="","OPEN",IF(OR(NOT(ISNUMBER(H478)),NOT(ISNUMBER(I478)),K478="",L478=""),"FAIL","PASS"))</x:f>
        <x:v>OPEN</x:v>
      </x:c>
    </x:row>
    <x:row r="479">
      <x:c r="B479" s="7" t="str">
        <x:v>TRO-A-20-S5-O1-R1</x:v>
      </x:c>
      <x:c r="C479" s="7" t="str">
        <x:v>BLD-A</x:v>
      </x:c>
      <x:c r="D479" s="7" t="str">
        <x:v>MF-20</x:v>
      </x:c>
      <x:c r="E479" s="7" t="str">
        <x:v>STD-20-5</x:v>
      </x:c>
      <x:c r="F479" s="7" t="str">
        <x:v>OP-1</x:v>
      </x:c>
      <x:c r="G479" s="7" t="n">
        <x:v>1</x:v>
      </x:c>
      <x:c r="H479" s="7" t="str"/>
      <x:c r="I479" s="7" t="str"/>
      <x:c r="J479" s="7" t="str">
        <x:f>IF(OR(H479="",I479=""),"",I479-H479)</x:f>
      </x:c>
      <x:c r="K479" s="7" t="str"/>
      <x:c r="L479" s="7" t="str"/>
      <x:c r="M479" s="7" t="str"/>
      <x:c r="N479" s="7" t="str">
        <x:f>IF(M479="","OPEN",IF(OR(NOT(ISNUMBER(H479)),NOT(ISNUMBER(I479)),K479="",L479=""),"FAIL","PASS"))</x:f>
        <x:v>OPEN</x:v>
      </x:c>
    </x:row>
    <x:row r="480">
      <x:c r="B480" s="7" t="str">
        <x:v>TRO-A-20-S5-O1-R2</x:v>
      </x:c>
      <x:c r="C480" s="7" t="str">
        <x:v>BLD-A</x:v>
      </x:c>
      <x:c r="D480" s="7" t="str">
        <x:v>MF-20</x:v>
      </x:c>
      <x:c r="E480" s="7" t="str">
        <x:v>STD-20-5</x:v>
      </x:c>
      <x:c r="F480" s="7" t="str">
        <x:v>OP-1</x:v>
      </x:c>
      <x:c r="G480" s="7" t="n">
        <x:v>2</x:v>
      </x:c>
      <x:c r="H480" s="7" t="str"/>
      <x:c r="I480" s="7" t="str"/>
      <x:c r="J480" s="7" t="str">
        <x:f>IF(OR(H480="",I480=""),"",I480-H480)</x:f>
      </x:c>
      <x:c r="K480" s="7" t="str"/>
      <x:c r="L480" s="7" t="str"/>
      <x:c r="M480" s="7" t="str"/>
      <x:c r="N480" s="7" t="str">
        <x:f>IF(M480="","OPEN",IF(OR(NOT(ISNUMBER(H480)),NOT(ISNUMBER(I480)),K480="",L480=""),"FAIL","PASS"))</x:f>
        <x:v>OPEN</x:v>
      </x:c>
    </x:row>
    <x:row r="481">
      <x:c r="B481" s="7" t="str">
        <x:v>TRO-A-20-S5-O2-R1</x:v>
      </x:c>
      <x:c r="C481" s="7" t="str">
        <x:v>BLD-A</x:v>
      </x:c>
      <x:c r="D481" s="7" t="str">
        <x:v>MF-20</x:v>
      </x:c>
      <x:c r="E481" s="7" t="str">
        <x:v>STD-20-5</x:v>
      </x:c>
      <x:c r="F481" s="7" t="str">
        <x:v>OP-2</x:v>
      </x:c>
      <x:c r="G481" s="7" t="n">
        <x:v>1</x:v>
      </x:c>
      <x:c r="H481" s="7" t="str"/>
      <x:c r="I481" s="7" t="str"/>
      <x:c r="J481" s="7" t="str">
        <x:f>IF(OR(H481="",I481=""),"",I481-H481)</x:f>
      </x:c>
      <x:c r="K481" s="7" t="str"/>
      <x:c r="L481" s="7" t="str"/>
      <x:c r="M481" s="7" t="str"/>
      <x:c r="N481" s="7" t="str">
        <x:f>IF(M481="","OPEN",IF(OR(NOT(ISNUMBER(H481)),NOT(ISNUMBER(I481)),K481="",L481=""),"FAIL","PASS"))</x:f>
        <x:v>OPEN</x:v>
      </x:c>
    </x:row>
    <x:row r="482">
      <x:c r="B482" s="7" t="str">
        <x:v>TRO-A-20-S5-O2-R2</x:v>
      </x:c>
      <x:c r="C482" s="7" t="str">
        <x:v>BLD-A</x:v>
      </x:c>
      <x:c r="D482" s="7" t="str">
        <x:v>MF-20</x:v>
      </x:c>
      <x:c r="E482" s="7" t="str">
        <x:v>STD-20-5</x:v>
      </x:c>
      <x:c r="F482" s="7" t="str">
        <x:v>OP-2</x:v>
      </x:c>
      <x:c r="G482" s="7" t="n">
        <x:v>2</x:v>
      </x:c>
      <x:c r="H482" s="7" t="str"/>
      <x:c r="I482" s="7" t="str"/>
      <x:c r="J482" s="7" t="str">
        <x:f>IF(OR(H482="",I482=""),"",I482-H482)</x:f>
      </x:c>
      <x:c r="K482" s="7" t="str"/>
      <x:c r="L482" s="7" t="str"/>
      <x:c r="M482" s="7" t="str"/>
      <x:c r="N482" s="7" t="str">
        <x:f>IF(M482="","OPEN",IF(OR(NOT(ISNUMBER(H482)),NOT(ISNUMBER(I482)),K482="",L482=""),"FAIL","PASS"))</x:f>
        <x:v>OPEN</x:v>
      </x:c>
    </x:row>
    <x:row r="483">
      <x:c r="B483" s="7" t="str">
        <x:v>TRO-A-20-S6-O1-R1</x:v>
      </x:c>
      <x:c r="C483" s="7" t="str">
        <x:v>BLD-A</x:v>
      </x:c>
      <x:c r="D483" s="7" t="str">
        <x:v>MF-20</x:v>
      </x:c>
      <x:c r="E483" s="7" t="str">
        <x:v>STD-20-6</x:v>
      </x:c>
      <x:c r="F483" s="7" t="str">
        <x:v>OP-1</x:v>
      </x:c>
      <x:c r="G483" s="7" t="n">
        <x:v>1</x:v>
      </x:c>
      <x:c r="H483" s="7" t="str"/>
      <x:c r="I483" s="7" t="str"/>
      <x:c r="J483" s="7" t="str">
        <x:f>IF(OR(H483="",I483=""),"",I483-H483)</x:f>
      </x:c>
      <x:c r="K483" s="7" t="str"/>
      <x:c r="L483" s="7" t="str"/>
      <x:c r="M483" s="7" t="str"/>
      <x:c r="N483" s="7" t="str">
        <x:f>IF(M483="","OPEN",IF(OR(NOT(ISNUMBER(H483)),NOT(ISNUMBER(I483)),K483="",L483=""),"FAIL","PASS"))</x:f>
        <x:v>OPEN</x:v>
      </x:c>
    </x:row>
    <x:row r="484">
      <x:c r="B484" s="7" t="str">
        <x:v>TRO-A-20-S6-O1-R2</x:v>
      </x:c>
      <x:c r="C484" s="7" t="str">
        <x:v>BLD-A</x:v>
      </x:c>
      <x:c r="D484" s="7" t="str">
        <x:v>MF-20</x:v>
      </x:c>
      <x:c r="E484" s="7" t="str">
        <x:v>STD-20-6</x:v>
      </x:c>
      <x:c r="F484" s="7" t="str">
        <x:v>OP-1</x:v>
      </x:c>
      <x:c r="G484" s="7" t="n">
        <x:v>2</x:v>
      </x:c>
      <x:c r="H484" s="7" t="str"/>
      <x:c r="I484" s="7" t="str"/>
      <x:c r="J484" s="7" t="str">
        <x:f>IF(OR(H484="",I484=""),"",I484-H484)</x:f>
      </x:c>
      <x:c r="K484" s="7" t="str"/>
      <x:c r="L484" s="7" t="str"/>
      <x:c r="M484" s="7" t="str"/>
      <x:c r="N484" s="7" t="str">
        <x:f>IF(M484="","OPEN",IF(OR(NOT(ISNUMBER(H484)),NOT(ISNUMBER(I484)),K484="",L484=""),"FAIL","PASS"))</x:f>
        <x:v>OPEN</x:v>
      </x:c>
    </x:row>
    <x:row r="485">
      <x:c r="B485" s="7" t="str">
        <x:v>TRO-A-20-S6-O2-R1</x:v>
      </x:c>
      <x:c r="C485" s="7" t="str">
        <x:v>BLD-A</x:v>
      </x:c>
      <x:c r="D485" s="7" t="str">
        <x:v>MF-20</x:v>
      </x:c>
      <x:c r="E485" s="7" t="str">
        <x:v>STD-20-6</x:v>
      </x:c>
      <x:c r="F485" s="7" t="str">
        <x:v>OP-2</x:v>
      </x:c>
      <x:c r="G485" s="7" t="n">
        <x:v>1</x:v>
      </x:c>
      <x:c r="H485" s="7" t="str"/>
      <x:c r="I485" s="7" t="str"/>
      <x:c r="J485" s="7" t="str">
        <x:f>IF(OR(H485="",I485=""),"",I485-H485)</x:f>
      </x:c>
      <x:c r="K485" s="7" t="str"/>
      <x:c r="L485" s="7" t="str"/>
      <x:c r="M485" s="7" t="str"/>
      <x:c r="N485" s="7" t="str">
        <x:f>IF(M485="","OPEN",IF(OR(NOT(ISNUMBER(H485)),NOT(ISNUMBER(I485)),K485="",L485=""),"FAIL","PASS"))</x:f>
        <x:v>OPEN</x:v>
      </x:c>
    </x:row>
    <x:row r="486">
      <x:c r="B486" s="7" t="str">
        <x:v>TRO-A-20-S6-O2-R2</x:v>
      </x:c>
      <x:c r="C486" s="7" t="str">
        <x:v>BLD-A</x:v>
      </x:c>
      <x:c r="D486" s="7" t="str">
        <x:v>MF-20</x:v>
      </x:c>
      <x:c r="E486" s="7" t="str">
        <x:v>STD-20-6</x:v>
      </x:c>
      <x:c r="F486" s="7" t="str">
        <x:v>OP-2</x:v>
      </x:c>
      <x:c r="G486" s="7" t="n">
        <x:v>2</x:v>
      </x:c>
      <x:c r="H486" s="7" t="str"/>
      <x:c r="I486" s="7" t="str"/>
      <x:c r="J486" s="7" t="str">
        <x:f>IF(OR(H486="",I486=""),"",I486-H486)</x:f>
      </x:c>
      <x:c r="K486" s="7" t="str"/>
      <x:c r="L486" s="7" t="str"/>
      <x:c r="M486" s="7" t="str"/>
      <x:c r="N486" s="7" t="str">
        <x:f>IF(M486="","OPEN",IF(OR(NOT(ISNUMBER(H486)),NOT(ISNUMBER(I486)),K486="",L486=""),"FAIL","PASS"))</x:f>
        <x:v>OPEN</x:v>
      </x:c>
    </x:row>
    <x:row r="487">
      <x:c r="B487" s="7" t="str">
        <x:v>TRO-A-21-S1-O1-R1</x:v>
      </x:c>
      <x:c r="C487" s="7" t="str">
        <x:v>BLD-A</x:v>
      </x:c>
      <x:c r="D487" s="7" t="str">
        <x:v>MF-21</x:v>
      </x:c>
      <x:c r="E487" s="7" t="str">
        <x:v>STD-21-1</x:v>
      </x:c>
      <x:c r="F487" s="7" t="str">
        <x:v>OP-1</x:v>
      </x:c>
      <x:c r="G487" s="7" t="n">
        <x:v>1</x:v>
      </x:c>
      <x:c r="H487" s="7" t="str"/>
      <x:c r="I487" s="7" t="str"/>
      <x:c r="J487" s="7" t="str">
        <x:f>IF(OR(H487="",I487=""),"",I487-H487)</x:f>
      </x:c>
      <x:c r="K487" s="7" t="str"/>
      <x:c r="L487" s="7" t="str"/>
      <x:c r="M487" s="7" t="str"/>
      <x:c r="N487" s="7" t="str">
        <x:f>IF(M487="","OPEN",IF(OR(NOT(ISNUMBER(H487)),NOT(ISNUMBER(I487)),K487="",L487=""),"FAIL","PASS"))</x:f>
        <x:v>OPEN</x:v>
      </x:c>
    </x:row>
    <x:row r="488">
      <x:c r="B488" s="7" t="str">
        <x:v>TRO-A-21-S1-O1-R2</x:v>
      </x:c>
      <x:c r="C488" s="7" t="str">
        <x:v>BLD-A</x:v>
      </x:c>
      <x:c r="D488" s="7" t="str">
        <x:v>MF-21</x:v>
      </x:c>
      <x:c r="E488" s="7" t="str">
        <x:v>STD-21-1</x:v>
      </x:c>
      <x:c r="F488" s="7" t="str">
        <x:v>OP-1</x:v>
      </x:c>
      <x:c r="G488" s="7" t="n">
        <x:v>2</x:v>
      </x:c>
      <x:c r="H488" s="7" t="str"/>
      <x:c r="I488" s="7" t="str"/>
      <x:c r="J488" s="7" t="str">
        <x:f>IF(OR(H488="",I488=""),"",I488-H488)</x:f>
      </x:c>
      <x:c r="K488" s="7" t="str"/>
      <x:c r="L488" s="7" t="str"/>
      <x:c r="M488" s="7" t="str"/>
      <x:c r="N488" s="7" t="str">
        <x:f>IF(M488="","OPEN",IF(OR(NOT(ISNUMBER(H488)),NOT(ISNUMBER(I488)),K488="",L488=""),"FAIL","PASS"))</x:f>
        <x:v>OPEN</x:v>
      </x:c>
    </x:row>
    <x:row r="489">
      <x:c r="B489" s="7" t="str">
        <x:v>TRO-A-21-S1-O2-R1</x:v>
      </x:c>
      <x:c r="C489" s="7" t="str">
        <x:v>BLD-A</x:v>
      </x:c>
      <x:c r="D489" s="7" t="str">
        <x:v>MF-21</x:v>
      </x:c>
      <x:c r="E489" s="7" t="str">
        <x:v>STD-21-1</x:v>
      </x:c>
      <x:c r="F489" s="7" t="str">
        <x:v>OP-2</x:v>
      </x:c>
      <x:c r="G489" s="7" t="n">
        <x:v>1</x:v>
      </x:c>
      <x:c r="H489" s="7" t="str"/>
      <x:c r="I489" s="7" t="str"/>
      <x:c r="J489" s="7" t="str">
        <x:f>IF(OR(H489="",I489=""),"",I489-H489)</x:f>
      </x:c>
      <x:c r="K489" s="7" t="str"/>
      <x:c r="L489" s="7" t="str"/>
      <x:c r="M489" s="7" t="str"/>
      <x:c r="N489" s="7" t="str">
        <x:f>IF(M489="","OPEN",IF(OR(NOT(ISNUMBER(H489)),NOT(ISNUMBER(I489)),K489="",L489=""),"FAIL","PASS"))</x:f>
        <x:v>OPEN</x:v>
      </x:c>
    </x:row>
    <x:row r="490">
      <x:c r="B490" s="7" t="str">
        <x:v>TRO-A-21-S1-O2-R2</x:v>
      </x:c>
      <x:c r="C490" s="7" t="str">
        <x:v>BLD-A</x:v>
      </x:c>
      <x:c r="D490" s="7" t="str">
        <x:v>MF-21</x:v>
      </x:c>
      <x:c r="E490" s="7" t="str">
        <x:v>STD-21-1</x:v>
      </x:c>
      <x:c r="F490" s="7" t="str">
        <x:v>OP-2</x:v>
      </x:c>
      <x:c r="G490" s="7" t="n">
        <x:v>2</x:v>
      </x:c>
      <x:c r="H490" s="7" t="str"/>
      <x:c r="I490" s="7" t="str"/>
      <x:c r="J490" s="7" t="str">
        <x:f>IF(OR(H490="",I490=""),"",I490-H490)</x:f>
      </x:c>
      <x:c r="K490" s="7" t="str"/>
      <x:c r="L490" s="7" t="str"/>
      <x:c r="M490" s="7" t="str"/>
      <x:c r="N490" s="7" t="str">
        <x:f>IF(M490="","OPEN",IF(OR(NOT(ISNUMBER(H490)),NOT(ISNUMBER(I490)),K490="",L490=""),"FAIL","PASS"))</x:f>
        <x:v>OPEN</x:v>
      </x:c>
    </x:row>
    <x:row r="491">
      <x:c r="B491" s="7" t="str">
        <x:v>TRO-A-21-S2-O1-R1</x:v>
      </x:c>
      <x:c r="C491" s="7" t="str">
        <x:v>BLD-A</x:v>
      </x:c>
      <x:c r="D491" s="7" t="str">
        <x:v>MF-21</x:v>
      </x:c>
      <x:c r="E491" s="7" t="str">
        <x:v>STD-21-2</x:v>
      </x:c>
      <x:c r="F491" s="7" t="str">
        <x:v>OP-1</x:v>
      </x:c>
      <x:c r="G491" s="7" t="n">
        <x:v>1</x:v>
      </x:c>
      <x:c r="H491" s="7" t="str"/>
      <x:c r="I491" s="7" t="str"/>
      <x:c r="J491" s="7" t="str">
        <x:f>IF(OR(H491="",I491=""),"",I491-H491)</x:f>
      </x:c>
      <x:c r="K491" s="7" t="str"/>
      <x:c r="L491" s="7" t="str"/>
      <x:c r="M491" s="7" t="str"/>
      <x:c r="N491" s="7" t="str">
        <x:f>IF(M491="","OPEN",IF(OR(NOT(ISNUMBER(H491)),NOT(ISNUMBER(I491)),K491="",L491=""),"FAIL","PASS"))</x:f>
        <x:v>OPEN</x:v>
      </x:c>
    </x:row>
    <x:row r="492">
      <x:c r="B492" s="7" t="str">
        <x:v>TRO-A-21-S2-O1-R2</x:v>
      </x:c>
      <x:c r="C492" s="7" t="str">
        <x:v>BLD-A</x:v>
      </x:c>
      <x:c r="D492" s="7" t="str">
        <x:v>MF-21</x:v>
      </x:c>
      <x:c r="E492" s="7" t="str">
        <x:v>STD-21-2</x:v>
      </x:c>
      <x:c r="F492" s="7" t="str">
        <x:v>OP-1</x:v>
      </x:c>
      <x:c r="G492" s="7" t="n">
        <x:v>2</x:v>
      </x:c>
      <x:c r="H492" s="7" t="str"/>
      <x:c r="I492" s="7" t="str"/>
      <x:c r="J492" s="7" t="str">
        <x:f>IF(OR(H492="",I492=""),"",I492-H492)</x:f>
      </x:c>
      <x:c r="K492" s="7" t="str"/>
      <x:c r="L492" s="7" t="str"/>
      <x:c r="M492" s="7" t="str"/>
      <x:c r="N492" s="7" t="str">
        <x:f>IF(M492="","OPEN",IF(OR(NOT(ISNUMBER(H492)),NOT(ISNUMBER(I492)),K492="",L492=""),"FAIL","PASS"))</x:f>
        <x:v>OPEN</x:v>
      </x:c>
    </x:row>
    <x:row r="493">
      <x:c r="B493" s="7" t="str">
        <x:v>TRO-A-21-S2-O2-R1</x:v>
      </x:c>
      <x:c r="C493" s="7" t="str">
        <x:v>BLD-A</x:v>
      </x:c>
      <x:c r="D493" s="7" t="str">
        <x:v>MF-21</x:v>
      </x:c>
      <x:c r="E493" s="7" t="str">
        <x:v>STD-21-2</x:v>
      </x:c>
      <x:c r="F493" s="7" t="str">
        <x:v>OP-2</x:v>
      </x:c>
      <x:c r="G493" s="7" t="n">
        <x:v>1</x:v>
      </x:c>
      <x:c r="H493" s="7" t="str"/>
      <x:c r="I493" s="7" t="str"/>
      <x:c r="J493" s="7" t="str">
        <x:f>IF(OR(H493="",I493=""),"",I493-H493)</x:f>
      </x:c>
      <x:c r="K493" s="7" t="str"/>
      <x:c r="L493" s="7" t="str"/>
      <x:c r="M493" s="7" t="str"/>
      <x:c r="N493" s="7" t="str">
        <x:f>IF(M493="","OPEN",IF(OR(NOT(ISNUMBER(H493)),NOT(ISNUMBER(I493)),K493="",L493=""),"FAIL","PASS"))</x:f>
        <x:v>OPEN</x:v>
      </x:c>
    </x:row>
    <x:row r="494">
      <x:c r="B494" s="7" t="str">
        <x:v>TRO-A-21-S2-O2-R2</x:v>
      </x:c>
      <x:c r="C494" s="7" t="str">
        <x:v>BLD-A</x:v>
      </x:c>
      <x:c r="D494" s="7" t="str">
        <x:v>MF-21</x:v>
      </x:c>
      <x:c r="E494" s="7" t="str">
        <x:v>STD-21-2</x:v>
      </x:c>
      <x:c r="F494" s="7" t="str">
        <x:v>OP-2</x:v>
      </x:c>
      <x:c r="G494" s="7" t="n">
        <x:v>2</x:v>
      </x:c>
      <x:c r="H494" s="7" t="str"/>
      <x:c r="I494" s="7" t="str"/>
      <x:c r="J494" s="7" t="str">
        <x:f>IF(OR(H494="",I494=""),"",I494-H494)</x:f>
      </x:c>
      <x:c r="K494" s="7" t="str"/>
      <x:c r="L494" s="7" t="str"/>
      <x:c r="M494" s="7" t="str"/>
      <x:c r="N494" s="7" t="str">
        <x:f>IF(M494="","OPEN",IF(OR(NOT(ISNUMBER(H494)),NOT(ISNUMBER(I494)),K494="",L494=""),"FAIL","PASS"))</x:f>
        <x:v>OPEN</x:v>
      </x:c>
    </x:row>
    <x:row r="495">
      <x:c r="B495" s="7" t="str">
        <x:v>TRO-A-21-S3-O1-R1</x:v>
      </x:c>
      <x:c r="C495" s="7" t="str">
        <x:v>BLD-A</x:v>
      </x:c>
      <x:c r="D495" s="7" t="str">
        <x:v>MF-21</x:v>
      </x:c>
      <x:c r="E495" s="7" t="str">
        <x:v>STD-21-3</x:v>
      </x:c>
      <x:c r="F495" s="7" t="str">
        <x:v>OP-1</x:v>
      </x:c>
      <x:c r="G495" s="7" t="n">
        <x:v>1</x:v>
      </x:c>
      <x:c r="H495" s="7" t="str"/>
      <x:c r="I495" s="7" t="str"/>
      <x:c r="J495" s="7" t="str">
        <x:f>IF(OR(H495="",I495=""),"",I495-H495)</x:f>
      </x:c>
      <x:c r="K495" s="7" t="str"/>
      <x:c r="L495" s="7" t="str"/>
      <x:c r="M495" s="7" t="str"/>
      <x:c r="N495" s="7" t="str">
        <x:f>IF(M495="","OPEN",IF(OR(NOT(ISNUMBER(H495)),NOT(ISNUMBER(I495)),K495="",L495=""),"FAIL","PASS"))</x:f>
        <x:v>OPEN</x:v>
      </x:c>
    </x:row>
    <x:row r="496">
      <x:c r="B496" s="7" t="str">
        <x:v>TRO-A-21-S3-O1-R2</x:v>
      </x:c>
      <x:c r="C496" s="7" t="str">
        <x:v>BLD-A</x:v>
      </x:c>
      <x:c r="D496" s="7" t="str">
        <x:v>MF-21</x:v>
      </x:c>
      <x:c r="E496" s="7" t="str">
        <x:v>STD-21-3</x:v>
      </x:c>
      <x:c r="F496" s="7" t="str">
        <x:v>OP-1</x:v>
      </x:c>
      <x:c r="G496" s="7" t="n">
        <x:v>2</x:v>
      </x:c>
      <x:c r="H496" s="7" t="str"/>
      <x:c r="I496" s="7" t="str"/>
      <x:c r="J496" s="7" t="str">
        <x:f>IF(OR(H496="",I496=""),"",I496-H496)</x:f>
      </x:c>
      <x:c r="K496" s="7" t="str"/>
      <x:c r="L496" s="7" t="str"/>
      <x:c r="M496" s="7" t="str"/>
      <x:c r="N496" s="7" t="str">
        <x:f>IF(M496="","OPEN",IF(OR(NOT(ISNUMBER(H496)),NOT(ISNUMBER(I496)),K496="",L496=""),"FAIL","PASS"))</x:f>
        <x:v>OPEN</x:v>
      </x:c>
    </x:row>
    <x:row r="497">
      <x:c r="B497" s="7" t="str">
        <x:v>TRO-A-21-S3-O2-R1</x:v>
      </x:c>
      <x:c r="C497" s="7" t="str">
        <x:v>BLD-A</x:v>
      </x:c>
      <x:c r="D497" s="7" t="str">
        <x:v>MF-21</x:v>
      </x:c>
      <x:c r="E497" s="7" t="str">
        <x:v>STD-21-3</x:v>
      </x:c>
      <x:c r="F497" s="7" t="str">
        <x:v>OP-2</x:v>
      </x:c>
      <x:c r="G497" s="7" t="n">
        <x:v>1</x:v>
      </x:c>
      <x:c r="H497" s="7" t="str"/>
      <x:c r="I497" s="7" t="str"/>
      <x:c r="J497" s="7" t="str">
        <x:f>IF(OR(H497="",I497=""),"",I497-H497)</x:f>
      </x:c>
      <x:c r="K497" s="7" t="str"/>
      <x:c r="L497" s="7" t="str"/>
      <x:c r="M497" s="7" t="str"/>
      <x:c r="N497" s="7" t="str">
        <x:f>IF(M497="","OPEN",IF(OR(NOT(ISNUMBER(H497)),NOT(ISNUMBER(I497)),K497="",L497=""),"FAIL","PASS"))</x:f>
        <x:v>OPEN</x:v>
      </x:c>
    </x:row>
    <x:row r="498">
      <x:c r="B498" s="7" t="str">
        <x:v>TRO-A-21-S3-O2-R2</x:v>
      </x:c>
      <x:c r="C498" s="7" t="str">
        <x:v>BLD-A</x:v>
      </x:c>
      <x:c r="D498" s="7" t="str">
        <x:v>MF-21</x:v>
      </x:c>
      <x:c r="E498" s="7" t="str">
        <x:v>STD-21-3</x:v>
      </x:c>
      <x:c r="F498" s="7" t="str">
        <x:v>OP-2</x:v>
      </x:c>
      <x:c r="G498" s="7" t="n">
        <x:v>2</x:v>
      </x:c>
      <x:c r="H498" s="7" t="str"/>
      <x:c r="I498" s="7" t="str"/>
      <x:c r="J498" s="7" t="str">
        <x:f>IF(OR(H498="",I498=""),"",I498-H498)</x:f>
      </x:c>
      <x:c r="K498" s="7" t="str"/>
      <x:c r="L498" s="7" t="str"/>
      <x:c r="M498" s="7" t="str"/>
      <x:c r="N498" s="7" t="str">
        <x:f>IF(M498="","OPEN",IF(OR(NOT(ISNUMBER(H498)),NOT(ISNUMBER(I498)),K498="",L498=""),"FAIL","PASS"))</x:f>
        <x:v>OPEN</x:v>
      </x:c>
    </x:row>
    <x:row r="499">
      <x:c r="B499" s="7" t="str">
        <x:v>TRO-A-21-S4-O1-R1</x:v>
      </x:c>
      <x:c r="C499" s="7" t="str">
        <x:v>BLD-A</x:v>
      </x:c>
      <x:c r="D499" s="7" t="str">
        <x:v>MF-21</x:v>
      </x:c>
      <x:c r="E499" s="7" t="str">
        <x:v>STD-21-4</x:v>
      </x:c>
      <x:c r="F499" s="7" t="str">
        <x:v>OP-1</x:v>
      </x:c>
      <x:c r="G499" s="7" t="n">
        <x:v>1</x:v>
      </x:c>
      <x:c r="H499" s="7" t="str"/>
      <x:c r="I499" s="7" t="str"/>
      <x:c r="J499" s="7" t="str">
        <x:f>IF(OR(H499="",I499=""),"",I499-H499)</x:f>
      </x:c>
      <x:c r="K499" s="7" t="str"/>
      <x:c r="L499" s="7" t="str"/>
      <x:c r="M499" s="7" t="str"/>
      <x:c r="N499" s="7" t="str">
        <x:f>IF(M499="","OPEN",IF(OR(NOT(ISNUMBER(H499)),NOT(ISNUMBER(I499)),K499="",L499=""),"FAIL","PASS"))</x:f>
        <x:v>OPEN</x:v>
      </x:c>
    </x:row>
    <x:row r="500">
      <x:c r="B500" s="7" t="str">
        <x:v>TRO-A-21-S4-O1-R2</x:v>
      </x:c>
      <x:c r="C500" s="7" t="str">
        <x:v>BLD-A</x:v>
      </x:c>
      <x:c r="D500" s="7" t="str">
        <x:v>MF-21</x:v>
      </x:c>
      <x:c r="E500" s="7" t="str">
        <x:v>STD-21-4</x:v>
      </x:c>
      <x:c r="F500" s="7" t="str">
        <x:v>OP-1</x:v>
      </x:c>
      <x:c r="G500" s="7" t="n">
        <x:v>2</x:v>
      </x:c>
      <x:c r="H500" s="7" t="str"/>
      <x:c r="I500" s="7" t="str"/>
      <x:c r="J500" s="7" t="str">
        <x:f>IF(OR(H500="",I500=""),"",I500-H500)</x:f>
      </x:c>
      <x:c r="K500" s="7" t="str"/>
      <x:c r="L500" s="7" t="str"/>
      <x:c r="M500" s="7" t="str"/>
      <x:c r="N500" s="7" t="str">
        <x:f>IF(M500="","OPEN",IF(OR(NOT(ISNUMBER(H500)),NOT(ISNUMBER(I500)),K500="",L500=""),"FAIL","PASS"))</x:f>
        <x:v>OPEN</x:v>
      </x:c>
    </x:row>
    <x:row r="501">
      <x:c r="B501" s="7" t="str">
        <x:v>TRO-A-21-S4-O2-R1</x:v>
      </x:c>
      <x:c r="C501" s="7" t="str">
        <x:v>BLD-A</x:v>
      </x:c>
      <x:c r="D501" s="7" t="str">
        <x:v>MF-21</x:v>
      </x:c>
      <x:c r="E501" s="7" t="str">
        <x:v>STD-21-4</x:v>
      </x:c>
      <x:c r="F501" s="7" t="str">
        <x:v>OP-2</x:v>
      </x:c>
      <x:c r="G501" s="7" t="n">
        <x:v>1</x:v>
      </x:c>
      <x:c r="H501" s="7" t="str"/>
      <x:c r="I501" s="7" t="str"/>
      <x:c r="J501" s="7" t="str">
        <x:f>IF(OR(H501="",I501=""),"",I501-H501)</x:f>
      </x:c>
      <x:c r="K501" s="7" t="str"/>
      <x:c r="L501" s="7" t="str"/>
      <x:c r="M501" s="7" t="str"/>
      <x:c r="N501" s="7" t="str">
        <x:f>IF(M501="","OPEN",IF(OR(NOT(ISNUMBER(H501)),NOT(ISNUMBER(I501)),K501="",L501=""),"FAIL","PASS"))</x:f>
        <x:v>OPEN</x:v>
      </x:c>
    </x:row>
    <x:row r="502">
      <x:c r="B502" s="7" t="str">
        <x:v>TRO-A-21-S4-O2-R2</x:v>
      </x:c>
      <x:c r="C502" s="7" t="str">
        <x:v>BLD-A</x:v>
      </x:c>
      <x:c r="D502" s="7" t="str">
        <x:v>MF-21</x:v>
      </x:c>
      <x:c r="E502" s="7" t="str">
        <x:v>STD-21-4</x:v>
      </x:c>
      <x:c r="F502" s="7" t="str">
        <x:v>OP-2</x:v>
      </x:c>
      <x:c r="G502" s="7" t="n">
        <x:v>2</x:v>
      </x:c>
      <x:c r="H502" s="7" t="str"/>
      <x:c r="I502" s="7" t="str"/>
      <x:c r="J502" s="7" t="str">
        <x:f>IF(OR(H502="",I502=""),"",I502-H502)</x:f>
      </x:c>
      <x:c r="K502" s="7" t="str"/>
      <x:c r="L502" s="7" t="str"/>
      <x:c r="M502" s="7" t="str"/>
      <x:c r="N502" s="7" t="str">
        <x:f>IF(M502="","OPEN",IF(OR(NOT(ISNUMBER(H502)),NOT(ISNUMBER(I502)),K502="",L502=""),"FAIL","PASS"))</x:f>
        <x:v>OPEN</x:v>
      </x:c>
    </x:row>
    <x:row r="503">
      <x:c r="B503" s="7" t="str">
        <x:v>TRO-A-21-S5-O1-R1</x:v>
      </x:c>
      <x:c r="C503" s="7" t="str">
        <x:v>BLD-A</x:v>
      </x:c>
      <x:c r="D503" s="7" t="str">
        <x:v>MF-21</x:v>
      </x:c>
      <x:c r="E503" s="7" t="str">
        <x:v>STD-21-5</x:v>
      </x:c>
      <x:c r="F503" s="7" t="str">
        <x:v>OP-1</x:v>
      </x:c>
      <x:c r="G503" s="7" t="n">
        <x:v>1</x:v>
      </x:c>
      <x:c r="H503" s="7" t="str"/>
      <x:c r="I503" s="7" t="str"/>
      <x:c r="J503" s="7" t="str">
        <x:f>IF(OR(H503="",I503=""),"",I503-H503)</x:f>
      </x:c>
      <x:c r="K503" s="7" t="str"/>
      <x:c r="L503" s="7" t="str"/>
      <x:c r="M503" s="7" t="str"/>
      <x:c r="N503" s="7" t="str">
        <x:f>IF(M503="","OPEN",IF(OR(NOT(ISNUMBER(H503)),NOT(ISNUMBER(I503)),K503="",L503=""),"FAIL","PASS"))</x:f>
        <x:v>OPEN</x:v>
      </x:c>
    </x:row>
    <x:row r="504">
      <x:c r="B504" s="7" t="str">
        <x:v>TRO-A-21-S5-O1-R2</x:v>
      </x:c>
      <x:c r="C504" s="7" t="str">
        <x:v>BLD-A</x:v>
      </x:c>
      <x:c r="D504" s="7" t="str">
        <x:v>MF-21</x:v>
      </x:c>
      <x:c r="E504" s="7" t="str">
        <x:v>STD-21-5</x:v>
      </x:c>
      <x:c r="F504" s="7" t="str">
        <x:v>OP-1</x:v>
      </x:c>
      <x:c r="G504" s="7" t="n">
        <x:v>2</x:v>
      </x:c>
      <x:c r="H504" s="7" t="str"/>
      <x:c r="I504" s="7" t="str"/>
      <x:c r="J504" s="7" t="str">
        <x:f>IF(OR(H504="",I504=""),"",I504-H504)</x:f>
      </x:c>
      <x:c r="K504" s="7" t="str"/>
      <x:c r="L504" s="7" t="str"/>
      <x:c r="M504" s="7" t="str"/>
      <x:c r="N504" s="7" t="str">
        <x:f>IF(M504="","OPEN",IF(OR(NOT(ISNUMBER(H504)),NOT(ISNUMBER(I504)),K504="",L504=""),"FAIL","PASS"))</x:f>
        <x:v>OPEN</x:v>
      </x:c>
    </x:row>
    <x:row r="505">
      <x:c r="B505" s="7" t="str">
        <x:v>TRO-A-21-S5-O2-R1</x:v>
      </x:c>
      <x:c r="C505" s="7" t="str">
        <x:v>BLD-A</x:v>
      </x:c>
      <x:c r="D505" s="7" t="str">
        <x:v>MF-21</x:v>
      </x:c>
      <x:c r="E505" s="7" t="str">
        <x:v>STD-21-5</x:v>
      </x:c>
      <x:c r="F505" s="7" t="str">
        <x:v>OP-2</x:v>
      </x:c>
      <x:c r="G505" s="7" t="n">
        <x:v>1</x:v>
      </x:c>
      <x:c r="H505" s="7" t="str"/>
      <x:c r="I505" s="7" t="str"/>
      <x:c r="J505" s="7" t="str">
        <x:f>IF(OR(H505="",I505=""),"",I505-H505)</x:f>
      </x:c>
      <x:c r="K505" s="7" t="str"/>
      <x:c r="L505" s="7" t="str"/>
      <x:c r="M505" s="7" t="str"/>
      <x:c r="N505" s="7" t="str">
        <x:f>IF(M505="","OPEN",IF(OR(NOT(ISNUMBER(H505)),NOT(ISNUMBER(I505)),K505="",L505=""),"FAIL","PASS"))</x:f>
        <x:v>OPEN</x:v>
      </x:c>
    </x:row>
    <x:row r="506">
      <x:c r="B506" s="7" t="str">
        <x:v>TRO-A-21-S5-O2-R2</x:v>
      </x:c>
      <x:c r="C506" s="7" t="str">
        <x:v>BLD-A</x:v>
      </x:c>
      <x:c r="D506" s="7" t="str">
        <x:v>MF-21</x:v>
      </x:c>
      <x:c r="E506" s="7" t="str">
        <x:v>STD-21-5</x:v>
      </x:c>
      <x:c r="F506" s="7" t="str">
        <x:v>OP-2</x:v>
      </x:c>
      <x:c r="G506" s="7" t="n">
        <x:v>2</x:v>
      </x:c>
      <x:c r="H506" s="7" t="str"/>
      <x:c r="I506" s="7" t="str"/>
      <x:c r="J506" s="7" t="str">
        <x:f>IF(OR(H506="",I506=""),"",I506-H506)</x:f>
      </x:c>
      <x:c r="K506" s="7" t="str"/>
      <x:c r="L506" s="7" t="str"/>
      <x:c r="M506" s="7" t="str"/>
      <x:c r="N506" s="7" t="str">
        <x:f>IF(M506="","OPEN",IF(OR(NOT(ISNUMBER(H506)),NOT(ISNUMBER(I506)),K506="",L506=""),"FAIL","PASS"))</x:f>
        <x:v>OPEN</x:v>
      </x:c>
    </x:row>
    <x:row r="507">
      <x:c r="B507" s="7" t="str">
        <x:v>TRO-A-21-S6-O1-R1</x:v>
      </x:c>
      <x:c r="C507" s="7" t="str">
        <x:v>BLD-A</x:v>
      </x:c>
      <x:c r="D507" s="7" t="str">
        <x:v>MF-21</x:v>
      </x:c>
      <x:c r="E507" s="7" t="str">
        <x:v>STD-21-6</x:v>
      </x:c>
      <x:c r="F507" s="7" t="str">
        <x:v>OP-1</x:v>
      </x:c>
      <x:c r="G507" s="7" t="n">
        <x:v>1</x:v>
      </x:c>
      <x:c r="H507" s="7" t="str"/>
      <x:c r="I507" s="7" t="str"/>
      <x:c r="J507" s="7" t="str">
        <x:f>IF(OR(H507="",I507=""),"",I507-H507)</x:f>
      </x:c>
      <x:c r="K507" s="7" t="str"/>
      <x:c r="L507" s="7" t="str"/>
      <x:c r="M507" s="7" t="str"/>
      <x:c r="N507" s="7" t="str">
        <x:f>IF(M507="","OPEN",IF(OR(NOT(ISNUMBER(H507)),NOT(ISNUMBER(I507)),K507="",L507=""),"FAIL","PASS"))</x:f>
        <x:v>OPEN</x:v>
      </x:c>
    </x:row>
    <x:row r="508">
      <x:c r="B508" s="7" t="str">
        <x:v>TRO-A-21-S6-O1-R2</x:v>
      </x:c>
      <x:c r="C508" s="7" t="str">
        <x:v>BLD-A</x:v>
      </x:c>
      <x:c r="D508" s="7" t="str">
        <x:v>MF-21</x:v>
      </x:c>
      <x:c r="E508" s="7" t="str">
        <x:v>STD-21-6</x:v>
      </x:c>
      <x:c r="F508" s="7" t="str">
        <x:v>OP-1</x:v>
      </x:c>
      <x:c r="G508" s="7" t="n">
        <x:v>2</x:v>
      </x:c>
      <x:c r="H508" s="7" t="str"/>
      <x:c r="I508" s="7" t="str"/>
      <x:c r="J508" s="7" t="str">
        <x:f>IF(OR(H508="",I508=""),"",I508-H508)</x:f>
      </x:c>
      <x:c r="K508" s="7" t="str"/>
      <x:c r="L508" s="7" t="str"/>
      <x:c r="M508" s="7" t="str"/>
      <x:c r="N508" s="7" t="str">
        <x:f>IF(M508="","OPEN",IF(OR(NOT(ISNUMBER(H508)),NOT(ISNUMBER(I508)),K508="",L508=""),"FAIL","PASS"))</x:f>
        <x:v>OPEN</x:v>
      </x:c>
    </x:row>
    <x:row r="509">
      <x:c r="B509" s="7" t="str">
        <x:v>TRO-A-21-S6-O2-R1</x:v>
      </x:c>
      <x:c r="C509" s="7" t="str">
        <x:v>BLD-A</x:v>
      </x:c>
      <x:c r="D509" s="7" t="str">
        <x:v>MF-21</x:v>
      </x:c>
      <x:c r="E509" s="7" t="str">
        <x:v>STD-21-6</x:v>
      </x:c>
      <x:c r="F509" s="7" t="str">
        <x:v>OP-2</x:v>
      </x:c>
      <x:c r="G509" s="7" t="n">
        <x:v>1</x:v>
      </x:c>
      <x:c r="H509" s="7" t="str"/>
      <x:c r="I509" s="7" t="str"/>
      <x:c r="J509" s="7" t="str">
        <x:f>IF(OR(H509="",I509=""),"",I509-H509)</x:f>
      </x:c>
      <x:c r="K509" s="7" t="str"/>
      <x:c r="L509" s="7" t="str"/>
      <x:c r="M509" s="7" t="str"/>
      <x:c r="N509" s="7" t="str">
        <x:f>IF(M509="","OPEN",IF(OR(NOT(ISNUMBER(H509)),NOT(ISNUMBER(I509)),K509="",L509=""),"FAIL","PASS"))</x:f>
        <x:v>OPEN</x:v>
      </x:c>
    </x:row>
    <x:row r="510">
      <x:c r="B510" s="7" t="str">
        <x:v>TRO-A-21-S6-O2-R2</x:v>
      </x:c>
      <x:c r="C510" s="7" t="str">
        <x:v>BLD-A</x:v>
      </x:c>
      <x:c r="D510" s="7" t="str">
        <x:v>MF-21</x:v>
      </x:c>
      <x:c r="E510" s="7" t="str">
        <x:v>STD-21-6</x:v>
      </x:c>
      <x:c r="F510" s="7" t="str">
        <x:v>OP-2</x:v>
      </x:c>
      <x:c r="G510" s="7" t="n">
        <x:v>2</x:v>
      </x:c>
      <x:c r="H510" s="7" t="str"/>
      <x:c r="I510" s="7" t="str"/>
      <x:c r="J510" s="7" t="str">
        <x:f>IF(OR(H510="",I510=""),"",I510-H510)</x:f>
      </x:c>
      <x:c r="K510" s="7" t="str"/>
      <x:c r="L510" s="7" t="str"/>
      <x:c r="M510" s="7" t="str"/>
      <x:c r="N510" s="7" t="str">
        <x:f>IF(M510="","OPEN",IF(OR(NOT(ISNUMBER(H510)),NOT(ISNUMBER(I510)),K510="",L510=""),"FAIL","PASS"))</x:f>
        <x:v>OPEN</x:v>
      </x:c>
    </x:row>
    <x:row r="511">
      <x:c r="B511" s="7" t="str">
        <x:v>TRO-A-22-S1-O1-R1</x:v>
      </x:c>
      <x:c r="C511" s="7" t="str">
        <x:v>BLD-A</x:v>
      </x:c>
      <x:c r="D511" s="7" t="str">
        <x:v>MF-22</x:v>
      </x:c>
      <x:c r="E511" s="7" t="str">
        <x:v>STD-22-1</x:v>
      </x:c>
      <x:c r="F511" s="7" t="str">
        <x:v>OP-1</x:v>
      </x:c>
      <x:c r="G511" s="7" t="n">
        <x:v>1</x:v>
      </x:c>
      <x:c r="H511" s="7" t="str"/>
      <x:c r="I511" s="7" t="str"/>
      <x:c r="J511" s="7" t="str">
        <x:f>IF(OR(H511="",I511=""),"",I511-H511)</x:f>
      </x:c>
      <x:c r="K511" s="7" t="str"/>
      <x:c r="L511" s="7" t="str"/>
      <x:c r="M511" s="7" t="str"/>
      <x:c r="N511" s="7" t="str">
        <x:f>IF(M511="","OPEN",IF(OR(NOT(ISNUMBER(H511)),NOT(ISNUMBER(I511)),K511="",L511=""),"FAIL","PASS"))</x:f>
        <x:v>OPEN</x:v>
      </x:c>
    </x:row>
    <x:row r="512">
      <x:c r="B512" s="7" t="str">
        <x:v>TRO-A-22-S1-O1-R2</x:v>
      </x:c>
      <x:c r="C512" s="7" t="str">
        <x:v>BLD-A</x:v>
      </x:c>
      <x:c r="D512" s="7" t="str">
        <x:v>MF-22</x:v>
      </x:c>
      <x:c r="E512" s="7" t="str">
        <x:v>STD-22-1</x:v>
      </x:c>
      <x:c r="F512" s="7" t="str">
        <x:v>OP-1</x:v>
      </x:c>
      <x:c r="G512" s="7" t="n">
        <x:v>2</x:v>
      </x:c>
      <x:c r="H512" s="7" t="str"/>
      <x:c r="I512" s="7" t="str"/>
      <x:c r="J512" s="7" t="str">
        <x:f>IF(OR(H512="",I512=""),"",I512-H512)</x:f>
      </x:c>
      <x:c r="K512" s="7" t="str"/>
      <x:c r="L512" s="7" t="str"/>
      <x:c r="M512" s="7" t="str"/>
      <x:c r="N512" s="7" t="str">
        <x:f>IF(M512="","OPEN",IF(OR(NOT(ISNUMBER(H512)),NOT(ISNUMBER(I512)),K512="",L512=""),"FAIL","PASS"))</x:f>
        <x:v>OPEN</x:v>
      </x:c>
    </x:row>
    <x:row r="513">
      <x:c r="B513" s="7" t="str">
        <x:v>TRO-A-22-S1-O2-R1</x:v>
      </x:c>
      <x:c r="C513" s="7" t="str">
        <x:v>BLD-A</x:v>
      </x:c>
      <x:c r="D513" s="7" t="str">
        <x:v>MF-22</x:v>
      </x:c>
      <x:c r="E513" s="7" t="str">
        <x:v>STD-22-1</x:v>
      </x:c>
      <x:c r="F513" s="7" t="str">
        <x:v>OP-2</x:v>
      </x:c>
      <x:c r="G513" s="7" t="n">
        <x:v>1</x:v>
      </x:c>
      <x:c r="H513" s="7" t="str"/>
      <x:c r="I513" s="7" t="str"/>
      <x:c r="J513" s="7" t="str">
        <x:f>IF(OR(H513="",I513=""),"",I513-H513)</x:f>
      </x:c>
      <x:c r="K513" s="7" t="str"/>
      <x:c r="L513" s="7" t="str"/>
      <x:c r="M513" s="7" t="str"/>
      <x:c r="N513" s="7" t="str">
        <x:f>IF(M513="","OPEN",IF(OR(NOT(ISNUMBER(H513)),NOT(ISNUMBER(I513)),K513="",L513=""),"FAIL","PASS"))</x:f>
        <x:v>OPEN</x:v>
      </x:c>
    </x:row>
    <x:row r="514">
      <x:c r="B514" s="7" t="str">
        <x:v>TRO-A-22-S1-O2-R2</x:v>
      </x:c>
      <x:c r="C514" s="7" t="str">
        <x:v>BLD-A</x:v>
      </x:c>
      <x:c r="D514" s="7" t="str">
        <x:v>MF-22</x:v>
      </x:c>
      <x:c r="E514" s="7" t="str">
        <x:v>STD-22-1</x:v>
      </x:c>
      <x:c r="F514" s="7" t="str">
        <x:v>OP-2</x:v>
      </x:c>
      <x:c r="G514" s="7" t="n">
        <x:v>2</x:v>
      </x:c>
      <x:c r="H514" s="7" t="str"/>
      <x:c r="I514" s="7" t="str"/>
      <x:c r="J514" s="7" t="str">
        <x:f>IF(OR(H514="",I514=""),"",I514-H514)</x:f>
      </x:c>
      <x:c r="K514" s="7" t="str"/>
      <x:c r="L514" s="7" t="str"/>
      <x:c r="M514" s="7" t="str"/>
      <x:c r="N514" s="7" t="str">
        <x:f>IF(M514="","OPEN",IF(OR(NOT(ISNUMBER(H514)),NOT(ISNUMBER(I514)),K514="",L514=""),"FAIL","PASS"))</x:f>
        <x:v>OPEN</x:v>
      </x:c>
    </x:row>
    <x:row r="515">
      <x:c r="B515" s="7" t="str">
        <x:v>TRO-A-22-S2-O1-R1</x:v>
      </x:c>
      <x:c r="C515" s="7" t="str">
        <x:v>BLD-A</x:v>
      </x:c>
      <x:c r="D515" s="7" t="str">
        <x:v>MF-22</x:v>
      </x:c>
      <x:c r="E515" s="7" t="str">
        <x:v>STD-22-2</x:v>
      </x:c>
      <x:c r="F515" s="7" t="str">
        <x:v>OP-1</x:v>
      </x:c>
      <x:c r="G515" s="7" t="n">
        <x:v>1</x:v>
      </x:c>
      <x:c r="H515" s="7" t="str"/>
      <x:c r="I515" s="7" t="str"/>
      <x:c r="J515" s="7" t="str">
        <x:f>IF(OR(H515="",I515=""),"",I515-H515)</x:f>
      </x:c>
      <x:c r="K515" s="7" t="str"/>
      <x:c r="L515" s="7" t="str"/>
      <x:c r="M515" s="7" t="str"/>
      <x:c r="N515" s="7" t="str">
        <x:f>IF(M515="","OPEN",IF(OR(NOT(ISNUMBER(H515)),NOT(ISNUMBER(I515)),K515="",L515=""),"FAIL","PASS"))</x:f>
        <x:v>OPEN</x:v>
      </x:c>
    </x:row>
    <x:row r="516">
      <x:c r="B516" s="7" t="str">
        <x:v>TRO-A-22-S2-O1-R2</x:v>
      </x:c>
      <x:c r="C516" s="7" t="str">
        <x:v>BLD-A</x:v>
      </x:c>
      <x:c r="D516" s="7" t="str">
        <x:v>MF-22</x:v>
      </x:c>
      <x:c r="E516" s="7" t="str">
        <x:v>STD-22-2</x:v>
      </x:c>
      <x:c r="F516" s="7" t="str">
        <x:v>OP-1</x:v>
      </x:c>
      <x:c r="G516" s="7" t="n">
        <x:v>2</x:v>
      </x:c>
      <x:c r="H516" s="7" t="str"/>
      <x:c r="I516" s="7" t="str"/>
      <x:c r="J516" s="7" t="str">
        <x:f>IF(OR(H516="",I516=""),"",I516-H516)</x:f>
      </x:c>
      <x:c r="K516" s="7" t="str"/>
      <x:c r="L516" s="7" t="str"/>
      <x:c r="M516" s="7" t="str"/>
      <x:c r="N516" s="7" t="str">
        <x:f>IF(M516="","OPEN",IF(OR(NOT(ISNUMBER(H516)),NOT(ISNUMBER(I516)),K516="",L516=""),"FAIL","PASS"))</x:f>
        <x:v>OPEN</x:v>
      </x:c>
    </x:row>
    <x:row r="517">
      <x:c r="B517" s="7" t="str">
        <x:v>TRO-A-22-S2-O2-R1</x:v>
      </x:c>
      <x:c r="C517" s="7" t="str">
        <x:v>BLD-A</x:v>
      </x:c>
      <x:c r="D517" s="7" t="str">
        <x:v>MF-22</x:v>
      </x:c>
      <x:c r="E517" s="7" t="str">
        <x:v>STD-22-2</x:v>
      </x:c>
      <x:c r="F517" s="7" t="str">
        <x:v>OP-2</x:v>
      </x:c>
      <x:c r="G517" s="7" t="n">
        <x:v>1</x:v>
      </x:c>
      <x:c r="H517" s="7" t="str"/>
      <x:c r="I517" s="7" t="str"/>
      <x:c r="J517" s="7" t="str">
        <x:f>IF(OR(H517="",I517=""),"",I517-H517)</x:f>
      </x:c>
      <x:c r="K517" s="7" t="str"/>
      <x:c r="L517" s="7" t="str"/>
      <x:c r="M517" s="7" t="str"/>
      <x:c r="N517" s="7" t="str">
        <x:f>IF(M517="","OPEN",IF(OR(NOT(ISNUMBER(H517)),NOT(ISNUMBER(I517)),K517="",L517=""),"FAIL","PASS"))</x:f>
        <x:v>OPEN</x:v>
      </x:c>
    </x:row>
    <x:row r="518">
      <x:c r="B518" s="7" t="str">
        <x:v>TRO-A-22-S2-O2-R2</x:v>
      </x:c>
      <x:c r="C518" s="7" t="str">
        <x:v>BLD-A</x:v>
      </x:c>
      <x:c r="D518" s="7" t="str">
        <x:v>MF-22</x:v>
      </x:c>
      <x:c r="E518" s="7" t="str">
        <x:v>STD-22-2</x:v>
      </x:c>
      <x:c r="F518" s="7" t="str">
        <x:v>OP-2</x:v>
      </x:c>
      <x:c r="G518" s="7" t="n">
        <x:v>2</x:v>
      </x:c>
      <x:c r="H518" s="7" t="str"/>
      <x:c r="I518" s="7" t="str"/>
      <x:c r="J518" s="7" t="str">
        <x:f>IF(OR(H518="",I518=""),"",I518-H518)</x:f>
      </x:c>
      <x:c r="K518" s="7" t="str"/>
      <x:c r="L518" s="7" t="str"/>
      <x:c r="M518" s="7" t="str"/>
      <x:c r="N518" s="7" t="str">
        <x:f>IF(M518="","OPEN",IF(OR(NOT(ISNUMBER(H518)),NOT(ISNUMBER(I518)),K518="",L518=""),"FAIL","PASS"))</x:f>
        <x:v>OPEN</x:v>
      </x:c>
    </x:row>
    <x:row r="519">
      <x:c r="B519" s="7" t="str">
        <x:v>TRO-A-22-S3-O1-R1</x:v>
      </x:c>
      <x:c r="C519" s="7" t="str">
        <x:v>BLD-A</x:v>
      </x:c>
      <x:c r="D519" s="7" t="str">
        <x:v>MF-22</x:v>
      </x:c>
      <x:c r="E519" s="7" t="str">
        <x:v>STD-22-3</x:v>
      </x:c>
      <x:c r="F519" s="7" t="str">
        <x:v>OP-1</x:v>
      </x:c>
      <x:c r="G519" s="7" t="n">
        <x:v>1</x:v>
      </x:c>
      <x:c r="H519" s="7" t="str"/>
      <x:c r="I519" s="7" t="str"/>
      <x:c r="J519" s="7" t="str">
        <x:f>IF(OR(H519="",I519=""),"",I519-H519)</x:f>
      </x:c>
      <x:c r="K519" s="7" t="str"/>
      <x:c r="L519" s="7" t="str"/>
      <x:c r="M519" s="7" t="str"/>
      <x:c r="N519" s="7" t="str">
        <x:f>IF(M519="","OPEN",IF(OR(NOT(ISNUMBER(H519)),NOT(ISNUMBER(I519)),K519="",L519=""),"FAIL","PASS"))</x:f>
        <x:v>OPEN</x:v>
      </x:c>
    </x:row>
    <x:row r="520">
      <x:c r="B520" s="7" t="str">
        <x:v>TRO-A-22-S3-O1-R2</x:v>
      </x:c>
      <x:c r="C520" s="7" t="str">
        <x:v>BLD-A</x:v>
      </x:c>
      <x:c r="D520" s="7" t="str">
        <x:v>MF-22</x:v>
      </x:c>
      <x:c r="E520" s="7" t="str">
        <x:v>STD-22-3</x:v>
      </x:c>
      <x:c r="F520" s="7" t="str">
        <x:v>OP-1</x:v>
      </x:c>
      <x:c r="G520" s="7" t="n">
        <x:v>2</x:v>
      </x:c>
      <x:c r="H520" s="7" t="str"/>
      <x:c r="I520" s="7" t="str"/>
      <x:c r="J520" s="7" t="str">
        <x:f>IF(OR(H520="",I520=""),"",I520-H520)</x:f>
      </x:c>
      <x:c r="K520" s="7" t="str"/>
      <x:c r="L520" s="7" t="str"/>
      <x:c r="M520" s="7" t="str"/>
      <x:c r="N520" s="7" t="str">
        <x:f>IF(M520="","OPEN",IF(OR(NOT(ISNUMBER(H520)),NOT(ISNUMBER(I520)),K520="",L520=""),"FAIL","PASS"))</x:f>
        <x:v>OPEN</x:v>
      </x:c>
    </x:row>
    <x:row r="521">
      <x:c r="B521" s="7" t="str">
        <x:v>TRO-A-22-S3-O2-R1</x:v>
      </x:c>
      <x:c r="C521" s="7" t="str">
        <x:v>BLD-A</x:v>
      </x:c>
      <x:c r="D521" s="7" t="str">
        <x:v>MF-22</x:v>
      </x:c>
      <x:c r="E521" s="7" t="str">
        <x:v>STD-22-3</x:v>
      </x:c>
      <x:c r="F521" s="7" t="str">
        <x:v>OP-2</x:v>
      </x:c>
      <x:c r="G521" s="7" t="n">
        <x:v>1</x:v>
      </x:c>
      <x:c r="H521" s="7" t="str"/>
      <x:c r="I521" s="7" t="str"/>
      <x:c r="J521" s="7" t="str">
        <x:f>IF(OR(H521="",I521=""),"",I521-H521)</x:f>
      </x:c>
      <x:c r="K521" s="7" t="str"/>
      <x:c r="L521" s="7" t="str"/>
      <x:c r="M521" s="7" t="str"/>
      <x:c r="N521" s="7" t="str">
        <x:f>IF(M521="","OPEN",IF(OR(NOT(ISNUMBER(H521)),NOT(ISNUMBER(I521)),K521="",L521=""),"FAIL","PASS"))</x:f>
        <x:v>OPEN</x:v>
      </x:c>
    </x:row>
    <x:row r="522">
      <x:c r="B522" s="7" t="str">
        <x:v>TRO-A-22-S3-O2-R2</x:v>
      </x:c>
      <x:c r="C522" s="7" t="str">
        <x:v>BLD-A</x:v>
      </x:c>
      <x:c r="D522" s="7" t="str">
        <x:v>MF-22</x:v>
      </x:c>
      <x:c r="E522" s="7" t="str">
        <x:v>STD-22-3</x:v>
      </x:c>
      <x:c r="F522" s="7" t="str">
        <x:v>OP-2</x:v>
      </x:c>
      <x:c r="G522" s="7" t="n">
        <x:v>2</x:v>
      </x:c>
      <x:c r="H522" s="7" t="str"/>
      <x:c r="I522" s="7" t="str"/>
      <x:c r="J522" s="7" t="str">
        <x:f>IF(OR(H522="",I522=""),"",I522-H522)</x:f>
      </x:c>
      <x:c r="K522" s="7" t="str"/>
      <x:c r="L522" s="7" t="str"/>
      <x:c r="M522" s="7" t="str"/>
      <x:c r="N522" s="7" t="str">
        <x:f>IF(M522="","OPEN",IF(OR(NOT(ISNUMBER(H522)),NOT(ISNUMBER(I522)),K522="",L522=""),"FAIL","PASS"))</x:f>
        <x:v>OPEN</x:v>
      </x:c>
    </x:row>
    <x:row r="523">
      <x:c r="B523" s="7" t="str">
        <x:v>TRO-A-22-S4-O1-R1</x:v>
      </x:c>
      <x:c r="C523" s="7" t="str">
        <x:v>BLD-A</x:v>
      </x:c>
      <x:c r="D523" s="7" t="str">
        <x:v>MF-22</x:v>
      </x:c>
      <x:c r="E523" s="7" t="str">
        <x:v>STD-22-4</x:v>
      </x:c>
      <x:c r="F523" s="7" t="str">
        <x:v>OP-1</x:v>
      </x:c>
      <x:c r="G523" s="7" t="n">
        <x:v>1</x:v>
      </x:c>
      <x:c r="H523" s="7" t="str"/>
      <x:c r="I523" s="7" t="str"/>
      <x:c r="J523" s="7" t="str">
        <x:f>IF(OR(H523="",I523=""),"",I523-H523)</x:f>
      </x:c>
      <x:c r="K523" s="7" t="str"/>
      <x:c r="L523" s="7" t="str"/>
      <x:c r="M523" s="7" t="str"/>
      <x:c r="N523" s="7" t="str">
        <x:f>IF(M523="","OPEN",IF(OR(NOT(ISNUMBER(H523)),NOT(ISNUMBER(I523)),K523="",L523=""),"FAIL","PASS"))</x:f>
        <x:v>OPEN</x:v>
      </x:c>
    </x:row>
    <x:row r="524">
      <x:c r="B524" s="7" t="str">
        <x:v>TRO-A-22-S4-O1-R2</x:v>
      </x:c>
      <x:c r="C524" s="7" t="str">
        <x:v>BLD-A</x:v>
      </x:c>
      <x:c r="D524" s="7" t="str">
        <x:v>MF-22</x:v>
      </x:c>
      <x:c r="E524" s="7" t="str">
        <x:v>STD-22-4</x:v>
      </x:c>
      <x:c r="F524" s="7" t="str">
        <x:v>OP-1</x:v>
      </x:c>
      <x:c r="G524" s="7" t="n">
        <x:v>2</x:v>
      </x:c>
      <x:c r="H524" s="7" t="str"/>
      <x:c r="I524" s="7" t="str"/>
      <x:c r="J524" s="7" t="str">
        <x:f>IF(OR(H524="",I524=""),"",I524-H524)</x:f>
      </x:c>
      <x:c r="K524" s="7" t="str"/>
      <x:c r="L524" s="7" t="str"/>
      <x:c r="M524" s="7" t="str"/>
      <x:c r="N524" s="7" t="str">
        <x:f>IF(M524="","OPEN",IF(OR(NOT(ISNUMBER(H524)),NOT(ISNUMBER(I524)),K524="",L524=""),"FAIL","PASS"))</x:f>
        <x:v>OPEN</x:v>
      </x:c>
    </x:row>
    <x:row r="525">
      <x:c r="B525" s="7" t="str">
        <x:v>TRO-A-22-S4-O2-R1</x:v>
      </x:c>
      <x:c r="C525" s="7" t="str">
        <x:v>BLD-A</x:v>
      </x:c>
      <x:c r="D525" s="7" t="str">
        <x:v>MF-22</x:v>
      </x:c>
      <x:c r="E525" s="7" t="str">
        <x:v>STD-22-4</x:v>
      </x:c>
      <x:c r="F525" s="7" t="str">
        <x:v>OP-2</x:v>
      </x:c>
      <x:c r="G525" s="7" t="n">
        <x:v>1</x:v>
      </x:c>
      <x:c r="H525" s="7" t="str"/>
      <x:c r="I525" s="7" t="str"/>
      <x:c r="J525" s="7" t="str">
        <x:f>IF(OR(H525="",I525=""),"",I525-H525)</x:f>
      </x:c>
      <x:c r="K525" s="7" t="str"/>
      <x:c r="L525" s="7" t="str"/>
      <x:c r="M525" s="7" t="str"/>
      <x:c r="N525" s="7" t="str">
        <x:f>IF(M525="","OPEN",IF(OR(NOT(ISNUMBER(H525)),NOT(ISNUMBER(I525)),K525="",L525=""),"FAIL","PASS"))</x:f>
        <x:v>OPEN</x:v>
      </x:c>
    </x:row>
    <x:row r="526">
      <x:c r="B526" s="7" t="str">
        <x:v>TRO-A-22-S4-O2-R2</x:v>
      </x:c>
      <x:c r="C526" s="7" t="str">
        <x:v>BLD-A</x:v>
      </x:c>
      <x:c r="D526" s="7" t="str">
        <x:v>MF-22</x:v>
      </x:c>
      <x:c r="E526" s="7" t="str">
        <x:v>STD-22-4</x:v>
      </x:c>
      <x:c r="F526" s="7" t="str">
        <x:v>OP-2</x:v>
      </x:c>
      <x:c r="G526" s="7" t="n">
        <x:v>2</x:v>
      </x:c>
      <x:c r="H526" s="7" t="str"/>
      <x:c r="I526" s="7" t="str"/>
      <x:c r="J526" s="7" t="str">
        <x:f>IF(OR(H526="",I526=""),"",I526-H526)</x:f>
      </x:c>
      <x:c r="K526" s="7" t="str"/>
      <x:c r="L526" s="7" t="str"/>
      <x:c r="M526" s="7" t="str"/>
      <x:c r="N526" s="7" t="str">
        <x:f>IF(M526="","OPEN",IF(OR(NOT(ISNUMBER(H526)),NOT(ISNUMBER(I526)),K526="",L526=""),"FAIL","PASS"))</x:f>
        <x:v>OPEN</x:v>
      </x:c>
    </x:row>
    <x:row r="527">
      <x:c r="B527" s="7" t="str">
        <x:v>TRO-A-22-S5-O1-R1</x:v>
      </x:c>
      <x:c r="C527" s="7" t="str">
        <x:v>BLD-A</x:v>
      </x:c>
      <x:c r="D527" s="7" t="str">
        <x:v>MF-22</x:v>
      </x:c>
      <x:c r="E527" s="7" t="str">
        <x:v>STD-22-5</x:v>
      </x:c>
      <x:c r="F527" s="7" t="str">
        <x:v>OP-1</x:v>
      </x:c>
      <x:c r="G527" s="7" t="n">
        <x:v>1</x:v>
      </x:c>
      <x:c r="H527" s="7" t="str"/>
      <x:c r="I527" s="7" t="str"/>
      <x:c r="J527" s="7" t="str">
        <x:f>IF(OR(H527="",I527=""),"",I527-H527)</x:f>
      </x:c>
      <x:c r="K527" s="7" t="str"/>
      <x:c r="L527" s="7" t="str"/>
      <x:c r="M527" s="7" t="str"/>
      <x:c r="N527" s="7" t="str">
        <x:f>IF(M527="","OPEN",IF(OR(NOT(ISNUMBER(H527)),NOT(ISNUMBER(I527)),K527="",L527=""),"FAIL","PASS"))</x:f>
        <x:v>OPEN</x:v>
      </x:c>
    </x:row>
    <x:row r="528">
      <x:c r="B528" s="7" t="str">
        <x:v>TRO-A-22-S5-O1-R2</x:v>
      </x:c>
      <x:c r="C528" s="7" t="str">
        <x:v>BLD-A</x:v>
      </x:c>
      <x:c r="D528" s="7" t="str">
        <x:v>MF-22</x:v>
      </x:c>
      <x:c r="E528" s="7" t="str">
        <x:v>STD-22-5</x:v>
      </x:c>
      <x:c r="F528" s="7" t="str">
        <x:v>OP-1</x:v>
      </x:c>
      <x:c r="G528" s="7" t="n">
        <x:v>2</x:v>
      </x:c>
      <x:c r="H528" s="7" t="str"/>
      <x:c r="I528" s="7" t="str"/>
      <x:c r="J528" s="7" t="str">
        <x:f>IF(OR(H528="",I528=""),"",I528-H528)</x:f>
      </x:c>
      <x:c r="K528" s="7" t="str"/>
      <x:c r="L528" s="7" t="str"/>
      <x:c r="M528" s="7" t="str"/>
      <x:c r="N528" s="7" t="str">
        <x:f>IF(M528="","OPEN",IF(OR(NOT(ISNUMBER(H528)),NOT(ISNUMBER(I528)),K528="",L528=""),"FAIL","PASS"))</x:f>
        <x:v>OPEN</x:v>
      </x:c>
    </x:row>
    <x:row r="529">
      <x:c r="B529" s="7" t="str">
        <x:v>TRO-A-22-S5-O2-R1</x:v>
      </x:c>
      <x:c r="C529" s="7" t="str">
        <x:v>BLD-A</x:v>
      </x:c>
      <x:c r="D529" s="7" t="str">
        <x:v>MF-22</x:v>
      </x:c>
      <x:c r="E529" s="7" t="str">
        <x:v>STD-22-5</x:v>
      </x:c>
      <x:c r="F529" s="7" t="str">
        <x:v>OP-2</x:v>
      </x:c>
      <x:c r="G529" s="7" t="n">
        <x:v>1</x:v>
      </x:c>
      <x:c r="H529" s="7" t="str"/>
      <x:c r="I529" s="7" t="str"/>
      <x:c r="J529" s="7" t="str">
        <x:f>IF(OR(H529="",I529=""),"",I529-H529)</x:f>
      </x:c>
      <x:c r="K529" s="7" t="str"/>
      <x:c r="L529" s="7" t="str"/>
      <x:c r="M529" s="7" t="str"/>
      <x:c r="N529" s="7" t="str">
        <x:f>IF(M529="","OPEN",IF(OR(NOT(ISNUMBER(H529)),NOT(ISNUMBER(I529)),K529="",L529=""),"FAIL","PASS"))</x:f>
        <x:v>OPEN</x:v>
      </x:c>
    </x:row>
    <x:row r="530">
      <x:c r="B530" s="7" t="str">
        <x:v>TRO-A-22-S5-O2-R2</x:v>
      </x:c>
      <x:c r="C530" s="7" t="str">
        <x:v>BLD-A</x:v>
      </x:c>
      <x:c r="D530" s="7" t="str">
        <x:v>MF-22</x:v>
      </x:c>
      <x:c r="E530" s="7" t="str">
        <x:v>STD-22-5</x:v>
      </x:c>
      <x:c r="F530" s="7" t="str">
        <x:v>OP-2</x:v>
      </x:c>
      <x:c r="G530" s="7" t="n">
        <x:v>2</x:v>
      </x:c>
      <x:c r="H530" s="7" t="str"/>
      <x:c r="I530" s="7" t="str"/>
      <x:c r="J530" s="7" t="str">
        <x:f>IF(OR(H530="",I530=""),"",I530-H530)</x:f>
      </x:c>
      <x:c r="K530" s="7" t="str"/>
      <x:c r="L530" s="7" t="str"/>
      <x:c r="M530" s="7" t="str"/>
      <x:c r="N530" s="7" t="str">
        <x:f>IF(M530="","OPEN",IF(OR(NOT(ISNUMBER(H530)),NOT(ISNUMBER(I530)),K530="",L530=""),"FAIL","PASS"))</x:f>
        <x:v>OPEN</x:v>
      </x:c>
    </x:row>
    <x:row r="531">
      <x:c r="B531" s="7" t="str">
        <x:v>TRO-A-22-S6-O1-R1</x:v>
      </x:c>
      <x:c r="C531" s="7" t="str">
        <x:v>BLD-A</x:v>
      </x:c>
      <x:c r="D531" s="7" t="str">
        <x:v>MF-22</x:v>
      </x:c>
      <x:c r="E531" s="7" t="str">
        <x:v>STD-22-6</x:v>
      </x:c>
      <x:c r="F531" s="7" t="str">
        <x:v>OP-1</x:v>
      </x:c>
      <x:c r="G531" s="7" t="n">
        <x:v>1</x:v>
      </x:c>
      <x:c r="H531" s="7" t="str"/>
      <x:c r="I531" s="7" t="str"/>
      <x:c r="J531" s="7" t="str">
        <x:f>IF(OR(H531="",I531=""),"",I531-H531)</x:f>
      </x:c>
      <x:c r="K531" s="7" t="str"/>
      <x:c r="L531" s="7" t="str"/>
      <x:c r="M531" s="7" t="str"/>
      <x:c r="N531" s="7" t="str">
        <x:f>IF(M531="","OPEN",IF(OR(NOT(ISNUMBER(H531)),NOT(ISNUMBER(I531)),K531="",L531=""),"FAIL","PASS"))</x:f>
        <x:v>OPEN</x:v>
      </x:c>
    </x:row>
    <x:row r="532">
      <x:c r="B532" s="7" t="str">
        <x:v>TRO-A-22-S6-O1-R2</x:v>
      </x:c>
      <x:c r="C532" s="7" t="str">
        <x:v>BLD-A</x:v>
      </x:c>
      <x:c r="D532" s="7" t="str">
        <x:v>MF-22</x:v>
      </x:c>
      <x:c r="E532" s="7" t="str">
        <x:v>STD-22-6</x:v>
      </x:c>
      <x:c r="F532" s="7" t="str">
        <x:v>OP-1</x:v>
      </x:c>
      <x:c r="G532" s="7" t="n">
        <x:v>2</x:v>
      </x:c>
      <x:c r="H532" s="7" t="str"/>
      <x:c r="I532" s="7" t="str"/>
      <x:c r="J532" s="7" t="str">
        <x:f>IF(OR(H532="",I532=""),"",I532-H532)</x:f>
      </x:c>
      <x:c r="K532" s="7" t="str"/>
      <x:c r="L532" s="7" t="str"/>
      <x:c r="M532" s="7" t="str"/>
      <x:c r="N532" s="7" t="str">
        <x:f>IF(M532="","OPEN",IF(OR(NOT(ISNUMBER(H532)),NOT(ISNUMBER(I532)),K532="",L532=""),"FAIL","PASS"))</x:f>
        <x:v>OPEN</x:v>
      </x:c>
    </x:row>
    <x:row r="533">
      <x:c r="B533" s="7" t="str">
        <x:v>TRO-A-22-S6-O2-R1</x:v>
      </x:c>
      <x:c r="C533" s="7" t="str">
        <x:v>BLD-A</x:v>
      </x:c>
      <x:c r="D533" s="7" t="str">
        <x:v>MF-22</x:v>
      </x:c>
      <x:c r="E533" s="7" t="str">
        <x:v>STD-22-6</x:v>
      </x:c>
      <x:c r="F533" s="7" t="str">
        <x:v>OP-2</x:v>
      </x:c>
      <x:c r="G533" s="7" t="n">
        <x:v>1</x:v>
      </x:c>
      <x:c r="H533" s="7" t="str"/>
      <x:c r="I533" s="7" t="str"/>
      <x:c r="J533" s="7" t="str">
        <x:f>IF(OR(H533="",I533=""),"",I533-H533)</x:f>
      </x:c>
      <x:c r="K533" s="7" t="str"/>
      <x:c r="L533" s="7" t="str"/>
      <x:c r="M533" s="7" t="str"/>
      <x:c r="N533" s="7" t="str">
        <x:f>IF(M533="","OPEN",IF(OR(NOT(ISNUMBER(H533)),NOT(ISNUMBER(I533)),K533="",L533=""),"FAIL","PASS"))</x:f>
        <x:v>OPEN</x:v>
      </x:c>
    </x:row>
    <x:row r="534">
      <x:c r="B534" s="7" t="str">
        <x:v>TRO-A-22-S6-O2-R2</x:v>
      </x:c>
      <x:c r="C534" s="7" t="str">
        <x:v>BLD-A</x:v>
      </x:c>
      <x:c r="D534" s="7" t="str">
        <x:v>MF-22</x:v>
      </x:c>
      <x:c r="E534" s="7" t="str">
        <x:v>STD-22-6</x:v>
      </x:c>
      <x:c r="F534" s="7" t="str">
        <x:v>OP-2</x:v>
      </x:c>
      <x:c r="G534" s="7" t="n">
        <x:v>2</x:v>
      </x:c>
      <x:c r="H534" s="7" t="str"/>
      <x:c r="I534" s="7" t="str"/>
      <x:c r="J534" s="7" t="str">
        <x:f>IF(OR(H534="",I534=""),"",I534-H534)</x:f>
      </x:c>
      <x:c r="K534" s="7" t="str"/>
      <x:c r="L534" s="7" t="str"/>
      <x:c r="M534" s="7" t="str"/>
      <x:c r="N534" s="7" t="str">
        <x:f>IF(M534="","OPEN",IF(OR(NOT(ISNUMBER(H534)),NOT(ISNUMBER(I534)),K534="",L534=""),"FAIL","PASS"))</x:f>
        <x:v>OPEN</x:v>
      </x:c>
    </x:row>
    <x:row r="535">
      <x:c r="B535" s="7" t="str">
        <x:v>TRO-A-23-S1-O1-R1</x:v>
      </x:c>
      <x:c r="C535" s="7" t="str">
        <x:v>BLD-A</x:v>
      </x:c>
      <x:c r="D535" s="7" t="str">
        <x:v>MF-23</x:v>
      </x:c>
      <x:c r="E535" s="7" t="str">
        <x:v>STD-23-1</x:v>
      </x:c>
      <x:c r="F535" s="7" t="str">
        <x:v>OP-1</x:v>
      </x:c>
      <x:c r="G535" s="7" t="n">
        <x:v>1</x:v>
      </x:c>
      <x:c r="H535" s="7" t="str"/>
      <x:c r="I535" s="7" t="str"/>
      <x:c r="J535" s="7" t="str">
        <x:f>IF(OR(H535="",I535=""),"",I535-H535)</x:f>
      </x:c>
      <x:c r="K535" s="7" t="str"/>
      <x:c r="L535" s="7" t="str"/>
      <x:c r="M535" s="7" t="str"/>
      <x:c r="N535" s="7" t="str">
        <x:f>IF(M535="","OPEN",IF(OR(NOT(ISNUMBER(H535)),NOT(ISNUMBER(I535)),K535="",L535=""),"FAIL","PASS"))</x:f>
        <x:v>OPEN</x:v>
      </x:c>
    </x:row>
    <x:row r="536">
      <x:c r="B536" s="7" t="str">
        <x:v>TRO-A-23-S1-O1-R2</x:v>
      </x:c>
      <x:c r="C536" s="7" t="str">
        <x:v>BLD-A</x:v>
      </x:c>
      <x:c r="D536" s="7" t="str">
        <x:v>MF-23</x:v>
      </x:c>
      <x:c r="E536" s="7" t="str">
        <x:v>STD-23-1</x:v>
      </x:c>
      <x:c r="F536" s="7" t="str">
        <x:v>OP-1</x:v>
      </x:c>
      <x:c r="G536" s="7" t="n">
        <x:v>2</x:v>
      </x:c>
      <x:c r="H536" s="7" t="str"/>
      <x:c r="I536" s="7" t="str"/>
      <x:c r="J536" s="7" t="str">
        <x:f>IF(OR(H536="",I536=""),"",I536-H536)</x:f>
      </x:c>
      <x:c r="K536" s="7" t="str"/>
      <x:c r="L536" s="7" t="str"/>
      <x:c r="M536" s="7" t="str"/>
      <x:c r="N536" s="7" t="str">
        <x:f>IF(M536="","OPEN",IF(OR(NOT(ISNUMBER(H536)),NOT(ISNUMBER(I536)),K536="",L536=""),"FAIL","PASS"))</x:f>
        <x:v>OPEN</x:v>
      </x:c>
    </x:row>
    <x:row r="537">
      <x:c r="B537" s="7" t="str">
        <x:v>TRO-A-23-S1-O2-R1</x:v>
      </x:c>
      <x:c r="C537" s="7" t="str">
        <x:v>BLD-A</x:v>
      </x:c>
      <x:c r="D537" s="7" t="str">
        <x:v>MF-23</x:v>
      </x:c>
      <x:c r="E537" s="7" t="str">
        <x:v>STD-23-1</x:v>
      </x:c>
      <x:c r="F537" s="7" t="str">
        <x:v>OP-2</x:v>
      </x:c>
      <x:c r="G537" s="7" t="n">
        <x:v>1</x:v>
      </x:c>
      <x:c r="H537" s="7" t="str"/>
      <x:c r="I537" s="7" t="str"/>
      <x:c r="J537" s="7" t="str">
        <x:f>IF(OR(H537="",I537=""),"",I537-H537)</x:f>
      </x:c>
      <x:c r="K537" s="7" t="str"/>
      <x:c r="L537" s="7" t="str"/>
      <x:c r="M537" s="7" t="str"/>
      <x:c r="N537" s="7" t="str">
        <x:f>IF(M537="","OPEN",IF(OR(NOT(ISNUMBER(H537)),NOT(ISNUMBER(I537)),K537="",L537=""),"FAIL","PASS"))</x:f>
        <x:v>OPEN</x:v>
      </x:c>
    </x:row>
    <x:row r="538">
      <x:c r="B538" s="7" t="str">
        <x:v>TRO-A-23-S1-O2-R2</x:v>
      </x:c>
      <x:c r="C538" s="7" t="str">
        <x:v>BLD-A</x:v>
      </x:c>
      <x:c r="D538" s="7" t="str">
        <x:v>MF-23</x:v>
      </x:c>
      <x:c r="E538" s="7" t="str">
        <x:v>STD-23-1</x:v>
      </x:c>
      <x:c r="F538" s="7" t="str">
        <x:v>OP-2</x:v>
      </x:c>
      <x:c r="G538" s="7" t="n">
        <x:v>2</x:v>
      </x:c>
      <x:c r="H538" s="7" t="str"/>
      <x:c r="I538" s="7" t="str"/>
      <x:c r="J538" s="7" t="str">
        <x:f>IF(OR(H538="",I538=""),"",I538-H538)</x:f>
      </x:c>
      <x:c r="K538" s="7" t="str"/>
      <x:c r="L538" s="7" t="str"/>
      <x:c r="M538" s="7" t="str"/>
      <x:c r="N538" s="7" t="str">
        <x:f>IF(M538="","OPEN",IF(OR(NOT(ISNUMBER(H538)),NOT(ISNUMBER(I538)),K538="",L538=""),"FAIL","PASS"))</x:f>
        <x:v>OPEN</x:v>
      </x:c>
    </x:row>
    <x:row r="539">
      <x:c r="B539" s="7" t="str">
        <x:v>TRO-A-23-S2-O1-R1</x:v>
      </x:c>
      <x:c r="C539" s="7" t="str">
        <x:v>BLD-A</x:v>
      </x:c>
      <x:c r="D539" s="7" t="str">
        <x:v>MF-23</x:v>
      </x:c>
      <x:c r="E539" s="7" t="str">
        <x:v>STD-23-2</x:v>
      </x:c>
      <x:c r="F539" s="7" t="str">
        <x:v>OP-1</x:v>
      </x:c>
      <x:c r="G539" s="7" t="n">
        <x:v>1</x:v>
      </x:c>
      <x:c r="H539" s="7" t="str"/>
      <x:c r="I539" s="7" t="str"/>
      <x:c r="J539" s="7" t="str">
        <x:f>IF(OR(H539="",I539=""),"",I539-H539)</x:f>
      </x:c>
      <x:c r="K539" s="7" t="str"/>
      <x:c r="L539" s="7" t="str"/>
      <x:c r="M539" s="7" t="str"/>
      <x:c r="N539" s="7" t="str">
        <x:f>IF(M539="","OPEN",IF(OR(NOT(ISNUMBER(H539)),NOT(ISNUMBER(I539)),K539="",L539=""),"FAIL","PASS"))</x:f>
        <x:v>OPEN</x:v>
      </x:c>
    </x:row>
    <x:row r="540">
      <x:c r="B540" s="7" t="str">
        <x:v>TRO-A-23-S2-O1-R2</x:v>
      </x:c>
      <x:c r="C540" s="7" t="str">
        <x:v>BLD-A</x:v>
      </x:c>
      <x:c r="D540" s="7" t="str">
        <x:v>MF-23</x:v>
      </x:c>
      <x:c r="E540" s="7" t="str">
        <x:v>STD-23-2</x:v>
      </x:c>
      <x:c r="F540" s="7" t="str">
        <x:v>OP-1</x:v>
      </x:c>
      <x:c r="G540" s="7" t="n">
        <x:v>2</x:v>
      </x:c>
      <x:c r="H540" s="7" t="str"/>
      <x:c r="I540" s="7" t="str"/>
      <x:c r="J540" s="7" t="str">
        <x:f>IF(OR(H540="",I540=""),"",I540-H540)</x:f>
      </x:c>
      <x:c r="K540" s="7" t="str"/>
      <x:c r="L540" s="7" t="str"/>
      <x:c r="M540" s="7" t="str"/>
      <x:c r="N540" s="7" t="str">
        <x:f>IF(M540="","OPEN",IF(OR(NOT(ISNUMBER(H540)),NOT(ISNUMBER(I540)),K540="",L540=""),"FAIL","PASS"))</x:f>
        <x:v>OPEN</x:v>
      </x:c>
    </x:row>
    <x:row r="541">
      <x:c r="B541" s="7" t="str">
        <x:v>TRO-A-23-S2-O2-R1</x:v>
      </x:c>
      <x:c r="C541" s="7" t="str">
        <x:v>BLD-A</x:v>
      </x:c>
      <x:c r="D541" s="7" t="str">
        <x:v>MF-23</x:v>
      </x:c>
      <x:c r="E541" s="7" t="str">
        <x:v>STD-23-2</x:v>
      </x:c>
      <x:c r="F541" s="7" t="str">
        <x:v>OP-2</x:v>
      </x:c>
      <x:c r="G541" s="7" t="n">
        <x:v>1</x:v>
      </x:c>
      <x:c r="H541" s="7" t="str"/>
      <x:c r="I541" s="7" t="str"/>
      <x:c r="J541" s="7" t="str">
        <x:f>IF(OR(H541="",I541=""),"",I541-H541)</x:f>
      </x:c>
      <x:c r="K541" s="7" t="str"/>
      <x:c r="L541" s="7" t="str"/>
      <x:c r="M541" s="7" t="str"/>
      <x:c r="N541" s="7" t="str">
        <x:f>IF(M541="","OPEN",IF(OR(NOT(ISNUMBER(H541)),NOT(ISNUMBER(I541)),K541="",L541=""),"FAIL","PASS"))</x:f>
        <x:v>OPEN</x:v>
      </x:c>
    </x:row>
    <x:row r="542">
      <x:c r="B542" s="7" t="str">
        <x:v>TRO-A-23-S2-O2-R2</x:v>
      </x:c>
      <x:c r="C542" s="7" t="str">
        <x:v>BLD-A</x:v>
      </x:c>
      <x:c r="D542" s="7" t="str">
        <x:v>MF-23</x:v>
      </x:c>
      <x:c r="E542" s="7" t="str">
        <x:v>STD-23-2</x:v>
      </x:c>
      <x:c r="F542" s="7" t="str">
        <x:v>OP-2</x:v>
      </x:c>
      <x:c r="G542" s="7" t="n">
        <x:v>2</x:v>
      </x:c>
      <x:c r="H542" s="7" t="str"/>
      <x:c r="I542" s="7" t="str"/>
      <x:c r="J542" s="7" t="str">
        <x:f>IF(OR(H542="",I542=""),"",I542-H542)</x:f>
      </x:c>
      <x:c r="K542" s="7" t="str"/>
      <x:c r="L542" s="7" t="str"/>
      <x:c r="M542" s="7" t="str"/>
      <x:c r="N542" s="7" t="str">
        <x:f>IF(M542="","OPEN",IF(OR(NOT(ISNUMBER(H542)),NOT(ISNUMBER(I542)),K542="",L542=""),"FAIL","PASS"))</x:f>
        <x:v>OPEN</x:v>
      </x:c>
    </x:row>
    <x:row r="543">
      <x:c r="B543" s="7" t="str">
        <x:v>TRO-A-23-S3-O1-R1</x:v>
      </x:c>
      <x:c r="C543" s="7" t="str">
        <x:v>BLD-A</x:v>
      </x:c>
      <x:c r="D543" s="7" t="str">
        <x:v>MF-23</x:v>
      </x:c>
      <x:c r="E543" s="7" t="str">
        <x:v>STD-23-3</x:v>
      </x:c>
      <x:c r="F543" s="7" t="str">
        <x:v>OP-1</x:v>
      </x:c>
      <x:c r="G543" s="7" t="n">
        <x:v>1</x:v>
      </x:c>
      <x:c r="H543" s="7" t="str"/>
      <x:c r="I543" s="7" t="str"/>
      <x:c r="J543" s="7" t="str">
        <x:f>IF(OR(H543="",I543=""),"",I543-H543)</x:f>
      </x:c>
      <x:c r="K543" s="7" t="str"/>
      <x:c r="L543" s="7" t="str"/>
      <x:c r="M543" s="7" t="str"/>
      <x:c r="N543" s="7" t="str">
        <x:f>IF(M543="","OPEN",IF(OR(NOT(ISNUMBER(H543)),NOT(ISNUMBER(I543)),K543="",L543=""),"FAIL","PASS"))</x:f>
        <x:v>OPEN</x:v>
      </x:c>
    </x:row>
    <x:row r="544">
      <x:c r="B544" s="7" t="str">
        <x:v>TRO-A-23-S3-O1-R2</x:v>
      </x:c>
      <x:c r="C544" s="7" t="str">
        <x:v>BLD-A</x:v>
      </x:c>
      <x:c r="D544" s="7" t="str">
        <x:v>MF-23</x:v>
      </x:c>
      <x:c r="E544" s="7" t="str">
        <x:v>STD-23-3</x:v>
      </x:c>
      <x:c r="F544" s="7" t="str">
        <x:v>OP-1</x:v>
      </x:c>
      <x:c r="G544" s="7" t="n">
        <x:v>2</x:v>
      </x:c>
      <x:c r="H544" s="7" t="str"/>
      <x:c r="I544" s="7" t="str"/>
      <x:c r="J544" s="7" t="str">
        <x:f>IF(OR(H544="",I544=""),"",I544-H544)</x:f>
      </x:c>
      <x:c r="K544" s="7" t="str"/>
      <x:c r="L544" s="7" t="str"/>
      <x:c r="M544" s="7" t="str"/>
      <x:c r="N544" s="7" t="str">
        <x:f>IF(M544="","OPEN",IF(OR(NOT(ISNUMBER(H544)),NOT(ISNUMBER(I544)),K544="",L544=""),"FAIL","PASS"))</x:f>
        <x:v>OPEN</x:v>
      </x:c>
    </x:row>
    <x:row r="545">
      <x:c r="B545" s="7" t="str">
        <x:v>TRO-A-23-S3-O2-R1</x:v>
      </x:c>
      <x:c r="C545" s="7" t="str">
        <x:v>BLD-A</x:v>
      </x:c>
      <x:c r="D545" s="7" t="str">
        <x:v>MF-23</x:v>
      </x:c>
      <x:c r="E545" s="7" t="str">
        <x:v>STD-23-3</x:v>
      </x:c>
      <x:c r="F545" s="7" t="str">
        <x:v>OP-2</x:v>
      </x:c>
      <x:c r="G545" s="7" t="n">
        <x:v>1</x:v>
      </x:c>
      <x:c r="H545" s="7" t="str"/>
      <x:c r="I545" s="7" t="str"/>
      <x:c r="J545" s="7" t="str">
        <x:f>IF(OR(H545="",I545=""),"",I545-H545)</x:f>
      </x:c>
      <x:c r="K545" s="7" t="str"/>
      <x:c r="L545" s="7" t="str"/>
      <x:c r="M545" s="7" t="str"/>
      <x:c r="N545" s="7" t="str">
        <x:f>IF(M545="","OPEN",IF(OR(NOT(ISNUMBER(H545)),NOT(ISNUMBER(I545)),K545="",L545=""),"FAIL","PASS"))</x:f>
        <x:v>OPEN</x:v>
      </x:c>
    </x:row>
    <x:row r="546">
      <x:c r="B546" s="7" t="str">
        <x:v>TRO-A-23-S3-O2-R2</x:v>
      </x:c>
      <x:c r="C546" s="7" t="str">
        <x:v>BLD-A</x:v>
      </x:c>
      <x:c r="D546" s="7" t="str">
        <x:v>MF-23</x:v>
      </x:c>
      <x:c r="E546" s="7" t="str">
        <x:v>STD-23-3</x:v>
      </x:c>
      <x:c r="F546" s="7" t="str">
        <x:v>OP-2</x:v>
      </x:c>
      <x:c r="G546" s="7" t="n">
        <x:v>2</x:v>
      </x:c>
      <x:c r="H546" s="7" t="str"/>
      <x:c r="I546" s="7" t="str"/>
      <x:c r="J546" s="7" t="str">
        <x:f>IF(OR(H546="",I546=""),"",I546-H546)</x:f>
      </x:c>
      <x:c r="K546" s="7" t="str"/>
      <x:c r="L546" s="7" t="str"/>
      <x:c r="M546" s="7" t="str"/>
      <x:c r="N546" s="7" t="str">
        <x:f>IF(M546="","OPEN",IF(OR(NOT(ISNUMBER(H546)),NOT(ISNUMBER(I546)),K546="",L546=""),"FAIL","PASS"))</x:f>
        <x:v>OPEN</x:v>
      </x:c>
    </x:row>
    <x:row r="547">
      <x:c r="B547" s="7" t="str">
        <x:v>TRO-A-23-S4-O1-R1</x:v>
      </x:c>
      <x:c r="C547" s="7" t="str">
        <x:v>BLD-A</x:v>
      </x:c>
      <x:c r="D547" s="7" t="str">
        <x:v>MF-23</x:v>
      </x:c>
      <x:c r="E547" s="7" t="str">
        <x:v>STD-23-4</x:v>
      </x:c>
      <x:c r="F547" s="7" t="str">
        <x:v>OP-1</x:v>
      </x:c>
      <x:c r="G547" s="7" t="n">
        <x:v>1</x:v>
      </x:c>
      <x:c r="H547" s="7" t="str"/>
      <x:c r="I547" s="7" t="str"/>
      <x:c r="J547" s="7" t="str">
        <x:f>IF(OR(H547="",I547=""),"",I547-H547)</x:f>
      </x:c>
      <x:c r="K547" s="7" t="str"/>
      <x:c r="L547" s="7" t="str"/>
      <x:c r="M547" s="7" t="str"/>
      <x:c r="N547" s="7" t="str">
        <x:f>IF(M547="","OPEN",IF(OR(NOT(ISNUMBER(H547)),NOT(ISNUMBER(I547)),K547="",L547=""),"FAIL","PASS"))</x:f>
        <x:v>OPEN</x:v>
      </x:c>
    </x:row>
    <x:row r="548">
      <x:c r="B548" s="7" t="str">
        <x:v>TRO-A-23-S4-O1-R2</x:v>
      </x:c>
      <x:c r="C548" s="7" t="str">
        <x:v>BLD-A</x:v>
      </x:c>
      <x:c r="D548" s="7" t="str">
        <x:v>MF-23</x:v>
      </x:c>
      <x:c r="E548" s="7" t="str">
        <x:v>STD-23-4</x:v>
      </x:c>
      <x:c r="F548" s="7" t="str">
        <x:v>OP-1</x:v>
      </x:c>
      <x:c r="G548" s="7" t="n">
        <x:v>2</x:v>
      </x:c>
      <x:c r="H548" s="7" t="str"/>
      <x:c r="I548" s="7" t="str"/>
      <x:c r="J548" s="7" t="str">
        <x:f>IF(OR(H548="",I548=""),"",I548-H548)</x:f>
      </x:c>
      <x:c r="K548" s="7" t="str"/>
      <x:c r="L548" s="7" t="str"/>
      <x:c r="M548" s="7" t="str"/>
      <x:c r="N548" s="7" t="str">
        <x:f>IF(M548="","OPEN",IF(OR(NOT(ISNUMBER(H548)),NOT(ISNUMBER(I548)),K548="",L548=""),"FAIL","PASS"))</x:f>
        <x:v>OPEN</x:v>
      </x:c>
    </x:row>
    <x:row r="549">
      <x:c r="B549" s="7" t="str">
        <x:v>TRO-A-23-S4-O2-R1</x:v>
      </x:c>
      <x:c r="C549" s="7" t="str">
        <x:v>BLD-A</x:v>
      </x:c>
      <x:c r="D549" s="7" t="str">
        <x:v>MF-23</x:v>
      </x:c>
      <x:c r="E549" s="7" t="str">
        <x:v>STD-23-4</x:v>
      </x:c>
      <x:c r="F549" s="7" t="str">
        <x:v>OP-2</x:v>
      </x:c>
      <x:c r="G549" s="7" t="n">
        <x:v>1</x:v>
      </x:c>
      <x:c r="H549" s="7" t="str"/>
      <x:c r="I549" s="7" t="str"/>
      <x:c r="J549" s="7" t="str">
        <x:f>IF(OR(H549="",I549=""),"",I549-H549)</x:f>
      </x:c>
      <x:c r="K549" s="7" t="str"/>
      <x:c r="L549" s="7" t="str"/>
      <x:c r="M549" s="7" t="str"/>
      <x:c r="N549" s="7" t="str">
        <x:f>IF(M549="","OPEN",IF(OR(NOT(ISNUMBER(H549)),NOT(ISNUMBER(I549)),K549="",L549=""),"FAIL","PASS"))</x:f>
        <x:v>OPEN</x:v>
      </x:c>
    </x:row>
    <x:row r="550">
      <x:c r="B550" s="7" t="str">
        <x:v>TRO-A-23-S4-O2-R2</x:v>
      </x:c>
      <x:c r="C550" s="7" t="str">
        <x:v>BLD-A</x:v>
      </x:c>
      <x:c r="D550" s="7" t="str">
        <x:v>MF-23</x:v>
      </x:c>
      <x:c r="E550" s="7" t="str">
        <x:v>STD-23-4</x:v>
      </x:c>
      <x:c r="F550" s="7" t="str">
        <x:v>OP-2</x:v>
      </x:c>
      <x:c r="G550" s="7" t="n">
        <x:v>2</x:v>
      </x:c>
      <x:c r="H550" s="7" t="str"/>
      <x:c r="I550" s="7" t="str"/>
      <x:c r="J550" s="7" t="str">
        <x:f>IF(OR(H550="",I550=""),"",I550-H550)</x:f>
      </x:c>
      <x:c r="K550" s="7" t="str"/>
      <x:c r="L550" s="7" t="str"/>
      <x:c r="M550" s="7" t="str"/>
      <x:c r="N550" s="7" t="str">
        <x:f>IF(M550="","OPEN",IF(OR(NOT(ISNUMBER(H550)),NOT(ISNUMBER(I550)),K550="",L550=""),"FAIL","PASS"))</x:f>
        <x:v>OPEN</x:v>
      </x:c>
    </x:row>
    <x:row r="551">
      <x:c r="B551" s="7" t="str">
        <x:v>TRO-A-23-S5-O1-R1</x:v>
      </x:c>
      <x:c r="C551" s="7" t="str">
        <x:v>BLD-A</x:v>
      </x:c>
      <x:c r="D551" s="7" t="str">
        <x:v>MF-23</x:v>
      </x:c>
      <x:c r="E551" s="7" t="str">
        <x:v>STD-23-5</x:v>
      </x:c>
      <x:c r="F551" s="7" t="str">
        <x:v>OP-1</x:v>
      </x:c>
      <x:c r="G551" s="7" t="n">
        <x:v>1</x:v>
      </x:c>
      <x:c r="H551" s="7" t="str"/>
      <x:c r="I551" s="7" t="str"/>
      <x:c r="J551" s="7" t="str">
        <x:f>IF(OR(H551="",I551=""),"",I551-H551)</x:f>
      </x:c>
      <x:c r="K551" s="7" t="str"/>
      <x:c r="L551" s="7" t="str"/>
      <x:c r="M551" s="7" t="str"/>
      <x:c r="N551" s="7" t="str">
        <x:f>IF(M551="","OPEN",IF(OR(NOT(ISNUMBER(H551)),NOT(ISNUMBER(I551)),K551="",L551=""),"FAIL","PASS"))</x:f>
        <x:v>OPEN</x:v>
      </x:c>
    </x:row>
    <x:row r="552">
      <x:c r="B552" s="7" t="str">
        <x:v>TRO-A-23-S5-O1-R2</x:v>
      </x:c>
      <x:c r="C552" s="7" t="str">
        <x:v>BLD-A</x:v>
      </x:c>
      <x:c r="D552" s="7" t="str">
        <x:v>MF-23</x:v>
      </x:c>
      <x:c r="E552" s="7" t="str">
        <x:v>STD-23-5</x:v>
      </x:c>
      <x:c r="F552" s="7" t="str">
        <x:v>OP-1</x:v>
      </x:c>
      <x:c r="G552" s="7" t="n">
        <x:v>2</x:v>
      </x:c>
      <x:c r="H552" s="7" t="str"/>
      <x:c r="I552" s="7" t="str"/>
      <x:c r="J552" s="7" t="str">
        <x:f>IF(OR(H552="",I552=""),"",I552-H552)</x:f>
      </x:c>
      <x:c r="K552" s="7" t="str"/>
      <x:c r="L552" s="7" t="str"/>
      <x:c r="M552" s="7" t="str"/>
      <x:c r="N552" s="7" t="str">
        <x:f>IF(M552="","OPEN",IF(OR(NOT(ISNUMBER(H552)),NOT(ISNUMBER(I552)),K552="",L552=""),"FAIL","PASS"))</x:f>
        <x:v>OPEN</x:v>
      </x:c>
    </x:row>
    <x:row r="553">
      <x:c r="B553" s="7" t="str">
        <x:v>TRO-A-23-S5-O2-R1</x:v>
      </x:c>
      <x:c r="C553" s="7" t="str">
        <x:v>BLD-A</x:v>
      </x:c>
      <x:c r="D553" s="7" t="str">
        <x:v>MF-23</x:v>
      </x:c>
      <x:c r="E553" s="7" t="str">
        <x:v>STD-23-5</x:v>
      </x:c>
      <x:c r="F553" s="7" t="str">
        <x:v>OP-2</x:v>
      </x:c>
      <x:c r="G553" s="7" t="n">
        <x:v>1</x:v>
      </x:c>
      <x:c r="H553" s="7" t="str"/>
      <x:c r="I553" s="7" t="str"/>
      <x:c r="J553" s="7" t="str">
        <x:f>IF(OR(H553="",I553=""),"",I553-H553)</x:f>
      </x:c>
      <x:c r="K553" s="7" t="str"/>
      <x:c r="L553" s="7" t="str"/>
      <x:c r="M553" s="7" t="str"/>
      <x:c r="N553" s="7" t="str">
        <x:f>IF(M553="","OPEN",IF(OR(NOT(ISNUMBER(H553)),NOT(ISNUMBER(I553)),K553="",L553=""),"FAIL","PASS"))</x:f>
        <x:v>OPEN</x:v>
      </x:c>
    </x:row>
    <x:row r="554">
      <x:c r="B554" s="7" t="str">
        <x:v>TRO-A-23-S5-O2-R2</x:v>
      </x:c>
      <x:c r="C554" s="7" t="str">
        <x:v>BLD-A</x:v>
      </x:c>
      <x:c r="D554" s="7" t="str">
        <x:v>MF-23</x:v>
      </x:c>
      <x:c r="E554" s="7" t="str">
        <x:v>STD-23-5</x:v>
      </x:c>
      <x:c r="F554" s="7" t="str">
        <x:v>OP-2</x:v>
      </x:c>
      <x:c r="G554" s="7" t="n">
        <x:v>2</x:v>
      </x:c>
      <x:c r="H554" s="7" t="str"/>
      <x:c r="I554" s="7" t="str"/>
      <x:c r="J554" s="7" t="str">
        <x:f>IF(OR(H554="",I554=""),"",I554-H554)</x:f>
      </x:c>
      <x:c r="K554" s="7" t="str"/>
      <x:c r="L554" s="7" t="str"/>
      <x:c r="M554" s="7" t="str"/>
      <x:c r="N554" s="7" t="str">
        <x:f>IF(M554="","OPEN",IF(OR(NOT(ISNUMBER(H554)),NOT(ISNUMBER(I554)),K554="",L554=""),"FAIL","PASS"))</x:f>
        <x:v>OPEN</x:v>
      </x:c>
    </x:row>
    <x:row r="555">
      <x:c r="B555" s="7" t="str">
        <x:v>TRO-A-23-S6-O1-R1</x:v>
      </x:c>
      <x:c r="C555" s="7" t="str">
        <x:v>BLD-A</x:v>
      </x:c>
      <x:c r="D555" s="7" t="str">
        <x:v>MF-23</x:v>
      </x:c>
      <x:c r="E555" s="7" t="str">
        <x:v>STD-23-6</x:v>
      </x:c>
      <x:c r="F555" s="7" t="str">
        <x:v>OP-1</x:v>
      </x:c>
      <x:c r="G555" s="7" t="n">
        <x:v>1</x:v>
      </x:c>
      <x:c r="H555" s="7" t="str"/>
      <x:c r="I555" s="7" t="str"/>
      <x:c r="J555" s="7" t="str">
        <x:f>IF(OR(H555="",I555=""),"",I555-H555)</x:f>
      </x:c>
      <x:c r="K555" s="7" t="str"/>
      <x:c r="L555" s="7" t="str"/>
      <x:c r="M555" s="7" t="str"/>
      <x:c r="N555" s="7" t="str">
        <x:f>IF(M555="","OPEN",IF(OR(NOT(ISNUMBER(H555)),NOT(ISNUMBER(I555)),K555="",L555=""),"FAIL","PASS"))</x:f>
        <x:v>OPEN</x:v>
      </x:c>
    </x:row>
    <x:row r="556">
      <x:c r="B556" s="7" t="str">
        <x:v>TRO-A-23-S6-O1-R2</x:v>
      </x:c>
      <x:c r="C556" s="7" t="str">
        <x:v>BLD-A</x:v>
      </x:c>
      <x:c r="D556" s="7" t="str">
        <x:v>MF-23</x:v>
      </x:c>
      <x:c r="E556" s="7" t="str">
        <x:v>STD-23-6</x:v>
      </x:c>
      <x:c r="F556" s="7" t="str">
        <x:v>OP-1</x:v>
      </x:c>
      <x:c r="G556" s="7" t="n">
        <x:v>2</x:v>
      </x:c>
      <x:c r="H556" s="7" t="str"/>
      <x:c r="I556" s="7" t="str"/>
      <x:c r="J556" s="7" t="str">
        <x:f>IF(OR(H556="",I556=""),"",I556-H556)</x:f>
      </x:c>
      <x:c r="K556" s="7" t="str"/>
      <x:c r="L556" s="7" t="str"/>
      <x:c r="M556" s="7" t="str"/>
      <x:c r="N556" s="7" t="str">
        <x:f>IF(M556="","OPEN",IF(OR(NOT(ISNUMBER(H556)),NOT(ISNUMBER(I556)),K556="",L556=""),"FAIL","PASS"))</x:f>
        <x:v>OPEN</x:v>
      </x:c>
    </x:row>
    <x:row r="557">
      <x:c r="B557" s="7" t="str">
        <x:v>TRO-A-23-S6-O2-R1</x:v>
      </x:c>
      <x:c r="C557" s="7" t="str">
        <x:v>BLD-A</x:v>
      </x:c>
      <x:c r="D557" s="7" t="str">
        <x:v>MF-23</x:v>
      </x:c>
      <x:c r="E557" s="7" t="str">
        <x:v>STD-23-6</x:v>
      </x:c>
      <x:c r="F557" s="7" t="str">
        <x:v>OP-2</x:v>
      </x:c>
      <x:c r="G557" s="7" t="n">
        <x:v>1</x:v>
      </x:c>
      <x:c r="H557" s="7" t="str"/>
      <x:c r="I557" s="7" t="str"/>
      <x:c r="J557" s="7" t="str">
        <x:f>IF(OR(H557="",I557=""),"",I557-H557)</x:f>
      </x:c>
      <x:c r="K557" s="7" t="str"/>
      <x:c r="L557" s="7" t="str"/>
      <x:c r="M557" s="7" t="str"/>
      <x:c r="N557" s="7" t="str">
        <x:f>IF(M557="","OPEN",IF(OR(NOT(ISNUMBER(H557)),NOT(ISNUMBER(I557)),K557="",L557=""),"FAIL","PASS"))</x:f>
        <x:v>OPEN</x:v>
      </x:c>
    </x:row>
    <x:row r="558">
      <x:c r="B558" s="7" t="str">
        <x:v>TRO-A-23-S6-O2-R2</x:v>
      </x:c>
      <x:c r="C558" s="7" t="str">
        <x:v>BLD-A</x:v>
      </x:c>
      <x:c r="D558" s="7" t="str">
        <x:v>MF-23</x:v>
      </x:c>
      <x:c r="E558" s="7" t="str">
        <x:v>STD-23-6</x:v>
      </x:c>
      <x:c r="F558" s="7" t="str">
        <x:v>OP-2</x:v>
      </x:c>
      <x:c r="G558" s="7" t="n">
        <x:v>2</x:v>
      </x:c>
      <x:c r="H558" s="7" t="str"/>
      <x:c r="I558" s="7" t="str"/>
      <x:c r="J558" s="7" t="str">
        <x:f>IF(OR(H558="",I558=""),"",I558-H558)</x:f>
      </x:c>
      <x:c r="K558" s="7" t="str"/>
      <x:c r="L558" s="7" t="str"/>
      <x:c r="M558" s="7" t="str"/>
      <x:c r="N558" s="7" t="str">
        <x:f>IF(M558="","OPEN",IF(OR(NOT(ISNUMBER(H558)),NOT(ISNUMBER(I558)),K558="",L558=""),"FAIL","PASS"))</x:f>
        <x:v>OPEN</x:v>
      </x:c>
    </x:row>
    <x:row r="559">
      <x:c r="B559" s="7" t="str">
        <x:v>TRO-A-24-S1-O1-R1</x:v>
      </x:c>
      <x:c r="C559" s="7" t="str">
        <x:v>BLD-A</x:v>
      </x:c>
      <x:c r="D559" s="7" t="str">
        <x:v>MF-24</x:v>
      </x:c>
      <x:c r="E559" s="7" t="str">
        <x:v>STD-24-1</x:v>
      </x:c>
      <x:c r="F559" s="7" t="str">
        <x:v>OP-1</x:v>
      </x:c>
      <x:c r="G559" s="7" t="n">
        <x:v>1</x:v>
      </x:c>
      <x:c r="H559" s="7" t="str"/>
      <x:c r="I559" s="7" t="str"/>
      <x:c r="J559" s="7" t="str">
        <x:f>IF(OR(H559="",I559=""),"",I559-H559)</x:f>
      </x:c>
      <x:c r="K559" s="7" t="str"/>
      <x:c r="L559" s="7" t="str"/>
      <x:c r="M559" s="7" t="str"/>
      <x:c r="N559" s="7" t="str">
        <x:f>IF(M559="","OPEN",IF(OR(NOT(ISNUMBER(H559)),NOT(ISNUMBER(I559)),K559="",L559=""),"FAIL","PASS"))</x:f>
        <x:v>OPEN</x:v>
      </x:c>
    </x:row>
    <x:row r="560">
      <x:c r="B560" s="7" t="str">
        <x:v>TRO-A-24-S1-O1-R2</x:v>
      </x:c>
      <x:c r="C560" s="7" t="str">
        <x:v>BLD-A</x:v>
      </x:c>
      <x:c r="D560" s="7" t="str">
        <x:v>MF-24</x:v>
      </x:c>
      <x:c r="E560" s="7" t="str">
        <x:v>STD-24-1</x:v>
      </x:c>
      <x:c r="F560" s="7" t="str">
        <x:v>OP-1</x:v>
      </x:c>
      <x:c r="G560" s="7" t="n">
        <x:v>2</x:v>
      </x:c>
      <x:c r="H560" s="7" t="str"/>
      <x:c r="I560" s="7" t="str"/>
      <x:c r="J560" s="7" t="str">
        <x:f>IF(OR(H560="",I560=""),"",I560-H560)</x:f>
      </x:c>
      <x:c r="K560" s="7" t="str"/>
      <x:c r="L560" s="7" t="str"/>
      <x:c r="M560" s="7" t="str"/>
      <x:c r="N560" s="7" t="str">
        <x:f>IF(M560="","OPEN",IF(OR(NOT(ISNUMBER(H560)),NOT(ISNUMBER(I560)),K560="",L560=""),"FAIL","PASS"))</x:f>
        <x:v>OPEN</x:v>
      </x:c>
    </x:row>
    <x:row r="561">
      <x:c r="B561" s="7" t="str">
        <x:v>TRO-A-24-S1-O2-R1</x:v>
      </x:c>
      <x:c r="C561" s="7" t="str">
        <x:v>BLD-A</x:v>
      </x:c>
      <x:c r="D561" s="7" t="str">
        <x:v>MF-24</x:v>
      </x:c>
      <x:c r="E561" s="7" t="str">
        <x:v>STD-24-1</x:v>
      </x:c>
      <x:c r="F561" s="7" t="str">
        <x:v>OP-2</x:v>
      </x:c>
      <x:c r="G561" s="7" t="n">
        <x:v>1</x:v>
      </x:c>
      <x:c r="H561" s="7" t="str"/>
      <x:c r="I561" s="7" t="str"/>
      <x:c r="J561" s="7" t="str">
        <x:f>IF(OR(H561="",I561=""),"",I561-H561)</x:f>
      </x:c>
      <x:c r="K561" s="7" t="str"/>
      <x:c r="L561" s="7" t="str"/>
      <x:c r="M561" s="7" t="str"/>
      <x:c r="N561" s="7" t="str">
        <x:f>IF(M561="","OPEN",IF(OR(NOT(ISNUMBER(H561)),NOT(ISNUMBER(I561)),K561="",L561=""),"FAIL","PASS"))</x:f>
        <x:v>OPEN</x:v>
      </x:c>
    </x:row>
    <x:row r="562">
      <x:c r="B562" s="7" t="str">
        <x:v>TRO-A-24-S1-O2-R2</x:v>
      </x:c>
      <x:c r="C562" s="7" t="str">
        <x:v>BLD-A</x:v>
      </x:c>
      <x:c r="D562" s="7" t="str">
        <x:v>MF-24</x:v>
      </x:c>
      <x:c r="E562" s="7" t="str">
        <x:v>STD-24-1</x:v>
      </x:c>
      <x:c r="F562" s="7" t="str">
        <x:v>OP-2</x:v>
      </x:c>
      <x:c r="G562" s="7" t="n">
        <x:v>2</x:v>
      </x:c>
      <x:c r="H562" s="7" t="str"/>
      <x:c r="I562" s="7" t="str"/>
      <x:c r="J562" s="7" t="str">
        <x:f>IF(OR(H562="",I562=""),"",I562-H562)</x:f>
      </x:c>
      <x:c r="K562" s="7" t="str"/>
      <x:c r="L562" s="7" t="str"/>
      <x:c r="M562" s="7" t="str"/>
      <x:c r="N562" s="7" t="str">
        <x:f>IF(M562="","OPEN",IF(OR(NOT(ISNUMBER(H562)),NOT(ISNUMBER(I562)),K562="",L562=""),"FAIL","PASS"))</x:f>
        <x:v>OPEN</x:v>
      </x:c>
    </x:row>
    <x:row r="563">
      <x:c r="B563" s="7" t="str">
        <x:v>TRO-A-24-S2-O1-R1</x:v>
      </x:c>
      <x:c r="C563" s="7" t="str">
        <x:v>BLD-A</x:v>
      </x:c>
      <x:c r="D563" s="7" t="str">
        <x:v>MF-24</x:v>
      </x:c>
      <x:c r="E563" s="7" t="str">
        <x:v>STD-24-2</x:v>
      </x:c>
      <x:c r="F563" s="7" t="str">
        <x:v>OP-1</x:v>
      </x:c>
      <x:c r="G563" s="7" t="n">
        <x:v>1</x:v>
      </x:c>
      <x:c r="H563" s="7" t="str"/>
      <x:c r="I563" s="7" t="str"/>
      <x:c r="J563" s="7" t="str">
        <x:f>IF(OR(H563="",I563=""),"",I563-H563)</x:f>
      </x:c>
      <x:c r="K563" s="7" t="str"/>
      <x:c r="L563" s="7" t="str"/>
      <x:c r="M563" s="7" t="str"/>
      <x:c r="N563" s="7" t="str">
        <x:f>IF(M563="","OPEN",IF(OR(NOT(ISNUMBER(H563)),NOT(ISNUMBER(I563)),K563="",L563=""),"FAIL","PASS"))</x:f>
        <x:v>OPEN</x:v>
      </x:c>
    </x:row>
    <x:row r="564">
      <x:c r="B564" s="7" t="str">
        <x:v>TRO-A-24-S2-O1-R2</x:v>
      </x:c>
      <x:c r="C564" s="7" t="str">
        <x:v>BLD-A</x:v>
      </x:c>
      <x:c r="D564" s="7" t="str">
        <x:v>MF-24</x:v>
      </x:c>
      <x:c r="E564" s="7" t="str">
        <x:v>STD-24-2</x:v>
      </x:c>
      <x:c r="F564" s="7" t="str">
        <x:v>OP-1</x:v>
      </x:c>
      <x:c r="G564" s="7" t="n">
        <x:v>2</x:v>
      </x:c>
      <x:c r="H564" s="7" t="str"/>
      <x:c r="I564" s="7" t="str"/>
      <x:c r="J564" s="7" t="str">
        <x:f>IF(OR(H564="",I564=""),"",I564-H564)</x:f>
      </x:c>
      <x:c r="K564" s="7" t="str"/>
      <x:c r="L564" s="7" t="str"/>
      <x:c r="M564" s="7" t="str"/>
      <x:c r="N564" s="7" t="str">
        <x:f>IF(M564="","OPEN",IF(OR(NOT(ISNUMBER(H564)),NOT(ISNUMBER(I564)),K564="",L564=""),"FAIL","PASS"))</x:f>
        <x:v>OPEN</x:v>
      </x:c>
    </x:row>
    <x:row r="565">
      <x:c r="B565" s="7" t="str">
        <x:v>TRO-A-24-S2-O2-R1</x:v>
      </x:c>
      <x:c r="C565" s="7" t="str">
        <x:v>BLD-A</x:v>
      </x:c>
      <x:c r="D565" s="7" t="str">
        <x:v>MF-24</x:v>
      </x:c>
      <x:c r="E565" s="7" t="str">
        <x:v>STD-24-2</x:v>
      </x:c>
      <x:c r="F565" s="7" t="str">
        <x:v>OP-2</x:v>
      </x:c>
      <x:c r="G565" s="7" t="n">
        <x:v>1</x:v>
      </x:c>
      <x:c r="H565" s="7" t="str"/>
      <x:c r="I565" s="7" t="str"/>
      <x:c r="J565" s="7" t="str">
        <x:f>IF(OR(H565="",I565=""),"",I565-H565)</x:f>
      </x:c>
      <x:c r="K565" s="7" t="str"/>
      <x:c r="L565" s="7" t="str"/>
      <x:c r="M565" s="7" t="str"/>
      <x:c r="N565" s="7" t="str">
        <x:f>IF(M565="","OPEN",IF(OR(NOT(ISNUMBER(H565)),NOT(ISNUMBER(I565)),K565="",L565=""),"FAIL","PASS"))</x:f>
        <x:v>OPEN</x:v>
      </x:c>
    </x:row>
    <x:row r="566">
      <x:c r="B566" s="7" t="str">
        <x:v>TRO-A-24-S2-O2-R2</x:v>
      </x:c>
      <x:c r="C566" s="7" t="str">
        <x:v>BLD-A</x:v>
      </x:c>
      <x:c r="D566" s="7" t="str">
        <x:v>MF-24</x:v>
      </x:c>
      <x:c r="E566" s="7" t="str">
        <x:v>STD-24-2</x:v>
      </x:c>
      <x:c r="F566" s="7" t="str">
        <x:v>OP-2</x:v>
      </x:c>
      <x:c r="G566" s="7" t="n">
        <x:v>2</x:v>
      </x:c>
      <x:c r="H566" s="7" t="str"/>
      <x:c r="I566" s="7" t="str"/>
      <x:c r="J566" s="7" t="str">
        <x:f>IF(OR(H566="",I566=""),"",I566-H566)</x:f>
      </x:c>
      <x:c r="K566" s="7" t="str"/>
      <x:c r="L566" s="7" t="str"/>
      <x:c r="M566" s="7" t="str"/>
      <x:c r="N566" s="7" t="str">
        <x:f>IF(M566="","OPEN",IF(OR(NOT(ISNUMBER(H566)),NOT(ISNUMBER(I566)),K566="",L566=""),"FAIL","PASS"))</x:f>
        <x:v>OPEN</x:v>
      </x:c>
    </x:row>
    <x:row r="567">
      <x:c r="B567" s="7" t="str">
        <x:v>TRO-A-24-S3-O1-R1</x:v>
      </x:c>
      <x:c r="C567" s="7" t="str">
        <x:v>BLD-A</x:v>
      </x:c>
      <x:c r="D567" s="7" t="str">
        <x:v>MF-24</x:v>
      </x:c>
      <x:c r="E567" s="7" t="str">
        <x:v>STD-24-3</x:v>
      </x:c>
      <x:c r="F567" s="7" t="str">
        <x:v>OP-1</x:v>
      </x:c>
      <x:c r="G567" s="7" t="n">
        <x:v>1</x:v>
      </x:c>
      <x:c r="H567" s="7" t="str"/>
      <x:c r="I567" s="7" t="str"/>
      <x:c r="J567" s="7" t="str">
        <x:f>IF(OR(H567="",I567=""),"",I567-H567)</x:f>
      </x:c>
      <x:c r="K567" s="7" t="str"/>
      <x:c r="L567" s="7" t="str"/>
      <x:c r="M567" s="7" t="str"/>
      <x:c r="N567" s="7" t="str">
        <x:f>IF(M567="","OPEN",IF(OR(NOT(ISNUMBER(H567)),NOT(ISNUMBER(I567)),K567="",L567=""),"FAIL","PASS"))</x:f>
        <x:v>OPEN</x:v>
      </x:c>
    </x:row>
    <x:row r="568">
      <x:c r="B568" s="7" t="str">
        <x:v>TRO-A-24-S3-O1-R2</x:v>
      </x:c>
      <x:c r="C568" s="7" t="str">
        <x:v>BLD-A</x:v>
      </x:c>
      <x:c r="D568" s="7" t="str">
        <x:v>MF-24</x:v>
      </x:c>
      <x:c r="E568" s="7" t="str">
        <x:v>STD-24-3</x:v>
      </x:c>
      <x:c r="F568" s="7" t="str">
        <x:v>OP-1</x:v>
      </x:c>
      <x:c r="G568" s="7" t="n">
        <x:v>2</x:v>
      </x:c>
      <x:c r="H568" s="7" t="str"/>
      <x:c r="I568" s="7" t="str"/>
      <x:c r="J568" s="7" t="str">
        <x:f>IF(OR(H568="",I568=""),"",I568-H568)</x:f>
      </x:c>
      <x:c r="K568" s="7" t="str"/>
      <x:c r="L568" s="7" t="str"/>
      <x:c r="M568" s="7" t="str"/>
      <x:c r="N568" s="7" t="str">
        <x:f>IF(M568="","OPEN",IF(OR(NOT(ISNUMBER(H568)),NOT(ISNUMBER(I568)),K568="",L568=""),"FAIL","PASS"))</x:f>
        <x:v>OPEN</x:v>
      </x:c>
    </x:row>
    <x:row r="569">
      <x:c r="B569" s="7" t="str">
        <x:v>TRO-A-24-S3-O2-R1</x:v>
      </x:c>
      <x:c r="C569" s="7" t="str">
        <x:v>BLD-A</x:v>
      </x:c>
      <x:c r="D569" s="7" t="str">
        <x:v>MF-24</x:v>
      </x:c>
      <x:c r="E569" s="7" t="str">
        <x:v>STD-24-3</x:v>
      </x:c>
      <x:c r="F569" s="7" t="str">
        <x:v>OP-2</x:v>
      </x:c>
      <x:c r="G569" s="7" t="n">
        <x:v>1</x:v>
      </x:c>
      <x:c r="H569" s="7" t="str"/>
      <x:c r="I569" s="7" t="str"/>
      <x:c r="J569" s="7" t="str">
        <x:f>IF(OR(H569="",I569=""),"",I569-H569)</x:f>
      </x:c>
      <x:c r="K569" s="7" t="str"/>
      <x:c r="L569" s="7" t="str"/>
      <x:c r="M569" s="7" t="str"/>
      <x:c r="N569" s="7" t="str">
        <x:f>IF(M569="","OPEN",IF(OR(NOT(ISNUMBER(H569)),NOT(ISNUMBER(I569)),K569="",L569=""),"FAIL","PASS"))</x:f>
        <x:v>OPEN</x:v>
      </x:c>
    </x:row>
    <x:row r="570">
      <x:c r="B570" s="7" t="str">
        <x:v>TRO-A-24-S3-O2-R2</x:v>
      </x:c>
      <x:c r="C570" s="7" t="str">
        <x:v>BLD-A</x:v>
      </x:c>
      <x:c r="D570" s="7" t="str">
        <x:v>MF-24</x:v>
      </x:c>
      <x:c r="E570" s="7" t="str">
        <x:v>STD-24-3</x:v>
      </x:c>
      <x:c r="F570" s="7" t="str">
        <x:v>OP-2</x:v>
      </x:c>
      <x:c r="G570" s="7" t="n">
        <x:v>2</x:v>
      </x:c>
      <x:c r="H570" s="7" t="str"/>
      <x:c r="I570" s="7" t="str"/>
      <x:c r="J570" s="7" t="str">
        <x:f>IF(OR(H570="",I570=""),"",I570-H570)</x:f>
      </x:c>
      <x:c r="K570" s="7" t="str"/>
      <x:c r="L570" s="7" t="str"/>
      <x:c r="M570" s="7" t="str"/>
      <x:c r="N570" s="7" t="str">
        <x:f>IF(M570="","OPEN",IF(OR(NOT(ISNUMBER(H570)),NOT(ISNUMBER(I570)),K570="",L570=""),"FAIL","PASS"))</x:f>
        <x:v>OPEN</x:v>
      </x:c>
    </x:row>
    <x:row r="571">
      <x:c r="B571" s="7" t="str">
        <x:v>TRO-A-24-S4-O1-R1</x:v>
      </x:c>
      <x:c r="C571" s="7" t="str">
        <x:v>BLD-A</x:v>
      </x:c>
      <x:c r="D571" s="7" t="str">
        <x:v>MF-24</x:v>
      </x:c>
      <x:c r="E571" s="7" t="str">
        <x:v>STD-24-4</x:v>
      </x:c>
      <x:c r="F571" s="7" t="str">
        <x:v>OP-1</x:v>
      </x:c>
      <x:c r="G571" s="7" t="n">
        <x:v>1</x:v>
      </x:c>
      <x:c r="H571" s="7" t="str"/>
      <x:c r="I571" s="7" t="str"/>
      <x:c r="J571" s="7" t="str">
        <x:f>IF(OR(H571="",I571=""),"",I571-H571)</x:f>
      </x:c>
      <x:c r="K571" s="7" t="str"/>
      <x:c r="L571" s="7" t="str"/>
      <x:c r="M571" s="7" t="str"/>
      <x:c r="N571" s="7" t="str">
        <x:f>IF(M571="","OPEN",IF(OR(NOT(ISNUMBER(H571)),NOT(ISNUMBER(I571)),K571="",L571=""),"FAIL","PASS"))</x:f>
        <x:v>OPEN</x:v>
      </x:c>
    </x:row>
    <x:row r="572">
      <x:c r="B572" s="7" t="str">
        <x:v>TRO-A-24-S4-O1-R2</x:v>
      </x:c>
      <x:c r="C572" s="7" t="str">
        <x:v>BLD-A</x:v>
      </x:c>
      <x:c r="D572" s="7" t="str">
        <x:v>MF-24</x:v>
      </x:c>
      <x:c r="E572" s="7" t="str">
        <x:v>STD-24-4</x:v>
      </x:c>
      <x:c r="F572" s="7" t="str">
        <x:v>OP-1</x:v>
      </x:c>
      <x:c r="G572" s="7" t="n">
        <x:v>2</x:v>
      </x:c>
      <x:c r="H572" s="7" t="str"/>
      <x:c r="I572" s="7" t="str"/>
      <x:c r="J572" s="7" t="str">
        <x:f>IF(OR(H572="",I572=""),"",I572-H572)</x:f>
      </x:c>
      <x:c r="K572" s="7" t="str"/>
      <x:c r="L572" s="7" t="str"/>
      <x:c r="M572" s="7" t="str"/>
      <x:c r="N572" s="7" t="str">
        <x:f>IF(M572="","OPEN",IF(OR(NOT(ISNUMBER(H572)),NOT(ISNUMBER(I572)),K572="",L572=""),"FAIL","PASS"))</x:f>
        <x:v>OPEN</x:v>
      </x:c>
    </x:row>
    <x:row r="573">
      <x:c r="B573" s="7" t="str">
        <x:v>TRO-A-24-S4-O2-R1</x:v>
      </x:c>
      <x:c r="C573" s="7" t="str">
        <x:v>BLD-A</x:v>
      </x:c>
      <x:c r="D573" s="7" t="str">
        <x:v>MF-24</x:v>
      </x:c>
      <x:c r="E573" s="7" t="str">
        <x:v>STD-24-4</x:v>
      </x:c>
      <x:c r="F573" s="7" t="str">
        <x:v>OP-2</x:v>
      </x:c>
      <x:c r="G573" s="7" t="n">
        <x:v>1</x:v>
      </x:c>
      <x:c r="H573" s="7" t="str"/>
      <x:c r="I573" s="7" t="str"/>
      <x:c r="J573" s="7" t="str">
        <x:f>IF(OR(H573="",I573=""),"",I573-H573)</x:f>
      </x:c>
      <x:c r="K573" s="7" t="str"/>
      <x:c r="L573" s="7" t="str"/>
      <x:c r="M573" s="7" t="str"/>
      <x:c r="N573" s="7" t="str">
        <x:f>IF(M573="","OPEN",IF(OR(NOT(ISNUMBER(H573)),NOT(ISNUMBER(I573)),K573="",L573=""),"FAIL","PASS"))</x:f>
        <x:v>OPEN</x:v>
      </x:c>
    </x:row>
    <x:row r="574">
      <x:c r="B574" s="7" t="str">
        <x:v>TRO-A-24-S4-O2-R2</x:v>
      </x:c>
      <x:c r="C574" s="7" t="str">
        <x:v>BLD-A</x:v>
      </x:c>
      <x:c r="D574" s="7" t="str">
        <x:v>MF-24</x:v>
      </x:c>
      <x:c r="E574" s="7" t="str">
        <x:v>STD-24-4</x:v>
      </x:c>
      <x:c r="F574" s="7" t="str">
        <x:v>OP-2</x:v>
      </x:c>
      <x:c r="G574" s="7" t="n">
        <x:v>2</x:v>
      </x:c>
      <x:c r="H574" s="7" t="str"/>
      <x:c r="I574" s="7" t="str"/>
      <x:c r="J574" s="7" t="str">
        <x:f>IF(OR(H574="",I574=""),"",I574-H574)</x:f>
      </x:c>
      <x:c r="K574" s="7" t="str"/>
      <x:c r="L574" s="7" t="str"/>
      <x:c r="M574" s="7" t="str"/>
      <x:c r="N574" s="7" t="str">
        <x:f>IF(M574="","OPEN",IF(OR(NOT(ISNUMBER(H574)),NOT(ISNUMBER(I574)),K574="",L574=""),"FAIL","PASS"))</x:f>
        <x:v>OPEN</x:v>
      </x:c>
    </x:row>
    <x:row r="575">
      <x:c r="B575" s="7" t="str">
        <x:v>TRO-A-24-S5-O1-R1</x:v>
      </x:c>
      <x:c r="C575" s="7" t="str">
        <x:v>BLD-A</x:v>
      </x:c>
      <x:c r="D575" s="7" t="str">
        <x:v>MF-24</x:v>
      </x:c>
      <x:c r="E575" s="7" t="str">
        <x:v>STD-24-5</x:v>
      </x:c>
      <x:c r="F575" s="7" t="str">
        <x:v>OP-1</x:v>
      </x:c>
      <x:c r="G575" s="7" t="n">
        <x:v>1</x:v>
      </x:c>
      <x:c r="H575" s="7" t="str"/>
      <x:c r="I575" s="7" t="str"/>
      <x:c r="J575" s="7" t="str">
        <x:f>IF(OR(H575="",I575=""),"",I575-H575)</x:f>
      </x:c>
      <x:c r="K575" s="7" t="str"/>
      <x:c r="L575" s="7" t="str"/>
      <x:c r="M575" s="7" t="str"/>
      <x:c r="N575" s="7" t="str">
        <x:f>IF(M575="","OPEN",IF(OR(NOT(ISNUMBER(H575)),NOT(ISNUMBER(I575)),K575="",L575=""),"FAIL","PASS"))</x:f>
        <x:v>OPEN</x:v>
      </x:c>
    </x:row>
    <x:row r="576">
      <x:c r="B576" s="7" t="str">
        <x:v>TRO-A-24-S5-O1-R2</x:v>
      </x:c>
      <x:c r="C576" s="7" t="str">
        <x:v>BLD-A</x:v>
      </x:c>
      <x:c r="D576" s="7" t="str">
        <x:v>MF-24</x:v>
      </x:c>
      <x:c r="E576" s="7" t="str">
        <x:v>STD-24-5</x:v>
      </x:c>
      <x:c r="F576" s="7" t="str">
        <x:v>OP-1</x:v>
      </x:c>
      <x:c r="G576" s="7" t="n">
        <x:v>2</x:v>
      </x:c>
      <x:c r="H576" s="7" t="str"/>
      <x:c r="I576" s="7" t="str"/>
      <x:c r="J576" s="7" t="str">
        <x:f>IF(OR(H576="",I576=""),"",I576-H576)</x:f>
      </x:c>
      <x:c r="K576" s="7" t="str"/>
      <x:c r="L576" s="7" t="str"/>
      <x:c r="M576" s="7" t="str"/>
      <x:c r="N576" s="7" t="str">
        <x:f>IF(M576="","OPEN",IF(OR(NOT(ISNUMBER(H576)),NOT(ISNUMBER(I576)),K576="",L576=""),"FAIL","PASS"))</x:f>
        <x:v>OPEN</x:v>
      </x:c>
    </x:row>
    <x:row r="577">
      <x:c r="B577" s="7" t="str">
        <x:v>TRO-A-24-S5-O2-R1</x:v>
      </x:c>
      <x:c r="C577" s="7" t="str">
        <x:v>BLD-A</x:v>
      </x:c>
      <x:c r="D577" s="7" t="str">
        <x:v>MF-24</x:v>
      </x:c>
      <x:c r="E577" s="7" t="str">
        <x:v>STD-24-5</x:v>
      </x:c>
      <x:c r="F577" s="7" t="str">
        <x:v>OP-2</x:v>
      </x:c>
      <x:c r="G577" s="7" t="n">
        <x:v>1</x:v>
      </x:c>
      <x:c r="H577" s="7" t="str"/>
      <x:c r="I577" s="7" t="str"/>
      <x:c r="J577" s="7" t="str">
        <x:f>IF(OR(H577="",I577=""),"",I577-H577)</x:f>
      </x:c>
      <x:c r="K577" s="7" t="str"/>
      <x:c r="L577" s="7" t="str"/>
      <x:c r="M577" s="7" t="str"/>
      <x:c r="N577" s="7" t="str">
        <x:f>IF(M577="","OPEN",IF(OR(NOT(ISNUMBER(H577)),NOT(ISNUMBER(I577)),K577="",L577=""),"FAIL","PASS"))</x:f>
        <x:v>OPEN</x:v>
      </x:c>
    </x:row>
    <x:row r="578">
      <x:c r="B578" s="7" t="str">
        <x:v>TRO-A-24-S5-O2-R2</x:v>
      </x:c>
      <x:c r="C578" s="7" t="str">
        <x:v>BLD-A</x:v>
      </x:c>
      <x:c r="D578" s="7" t="str">
        <x:v>MF-24</x:v>
      </x:c>
      <x:c r="E578" s="7" t="str">
        <x:v>STD-24-5</x:v>
      </x:c>
      <x:c r="F578" s="7" t="str">
        <x:v>OP-2</x:v>
      </x:c>
      <x:c r="G578" s="7" t="n">
        <x:v>2</x:v>
      </x:c>
      <x:c r="H578" s="7" t="str"/>
      <x:c r="I578" s="7" t="str"/>
      <x:c r="J578" s="7" t="str">
        <x:f>IF(OR(H578="",I578=""),"",I578-H578)</x:f>
      </x:c>
      <x:c r="K578" s="7" t="str"/>
      <x:c r="L578" s="7" t="str"/>
      <x:c r="M578" s="7" t="str"/>
      <x:c r="N578" s="7" t="str">
        <x:f>IF(M578="","OPEN",IF(OR(NOT(ISNUMBER(H578)),NOT(ISNUMBER(I578)),K578="",L578=""),"FAIL","PASS"))</x:f>
        <x:v>OPEN</x:v>
      </x:c>
    </x:row>
    <x:row r="579">
      <x:c r="B579" s="7" t="str">
        <x:v>TRO-A-24-S6-O1-R1</x:v>
      </x:c>
      <x:c r="C579" s="7" t="str">
        <x:v>BLD-A</x:v>
      </x:c>
      <x:c r="D579" s="7" t="str">
        <x:v>MF-24</x:v>
      </x:c>
      <x:c r="E579" s="7" t="str">
        <x:v>STD-24-6</x:v>
      </x:c>
      <x:c r="F579" s="7" t="str">
        <x:v>OP-1</x:v>
      </x:c>
      <x:c r="G579" s="7" t="n">
        <x:v>1</x:v>
      </x:c>
      <x:c r="H579" s="7" t="str"/>
      <x:c r="I579" s="7" t="str"/>
      <x:c r="J579" s="7" t="str">
        <x:f>IF(OR(H579="",I579=""),"",I579-H579)</x:f>
      </x:c>
      <x:c r="K579" s="7" t="str"/>
      <x:c r="L579" s="7" t="str"/>
      <x:c r="M579" s="7" t="str"/>
      <x:c r="N579" s="7" t="str">
        <x:f>IF(M579="","OPEN",IF(OR(NOT(ISNUMBER(H579)),NOT(ISNUMBER(I579)),K579="",L579=""),"FAIL","PASS"))</x:f>
        <x:v>OPEN</x:v>
      </x:c>
    </x:row>
    <x:row r="580">
      <x:c r="B580" s="7" t="str">
        <x:v>TRO-A-24-S6-O1-R2</x:v>
      </x:c>
      <x:c r="C580" s="7" t="str">
        <x:v>BLD-A</x:v>
      </x:c>
      <x:c r="D580" s="7" t="str">
        <x:v>MF-24</x:v>
      </x:c>
      <x:c r="E580" s="7" t="str">
        <x:v>STD-24-6</x:v>
      </x:c>
      <x:c r="F580" s="7" t="str">
        <x:v>OP-1</x:v>
      </x:c>
      <x:c r="G580" s="7" t="n">
        <x:v>2</x:v>
      </x:c>
      <x:c r="H580" s="7" t="str"/>
      <x:c r="I580" s="7" t="str"/>
      <x:c r="J580" s="7" t="str">
        <x:f>IF(OR(H580="",I580=""),"",I580-H580)</x:f>
      </x:c>
      <x:c r="K580" s="7" t="str"/>
      <x:c r="L580" s="7" t="str"/>
      <x:c r="M580" s="7" t="str"/>
      <x:c r="N580" s="7" t="str">
        <x:f>IF(M580="","OPEN",IF(OR(NOT(ISNUMBER(H580)),NOT(ISNUMBER(I580)),K580="",L580=""),"FAIL","PASS"))</x:f>
        <x:v>OPEN</x:v>
      </x:c>
    </x:row>
    <x:row r="581">
      <x:c r="B581" s="7" t="str">
        <x:v>TRO-A-24-S6-O2-R1</x:v>
      </x:c>
      <x:c r="C581" s="7" t="str">
        <x:v>BLD-A</x:v>
      </x:c>
      <x:c r="D581" s="7" t="str">
        <x:v>MF-24</x:v>
      </x:c>
      <x:c r="E581" s="7" t="str">
        <x:v>STD-24-6</x:v>
      </x:c>
      <x:c r="F581" s="7" t="str">
        <x:v>OP-2</x:v>
      </x:c>
      <x:c r="G581" s="7" t="n">
        <x:v>1</x:v>
      </x:c>
      <x:c r="H581" s="7" t="str"/>
      <x:c r="I581" s="7" t="str"/>
      <x:c r="J581" s="7" t="str">
        <x:f>IF(OR(H581="",I581=""),"",I581-H581)</x:f>
      </x:c>
      <x:c r="K581" s="7" t="str"/>
      <x:c r="L581" s="7" t="str"/>
      <x:c r="M581" s="7" t="str"/>
      <x:c r="N581" s="7" t="str">
        <x:f>IF(M581="","OPEN",IF(OR(NOT(ISNUMBER(H581)),NOT(ISNUMBER(I581)),K581="",L581=""),"FAIL","PASS"))</x:f>
        <x:v>OPEN</x:v>
      </x:c>
    </x:row>
    <x:row r="582">
      <x:c r="B582" s="7" t="str">
        <x:v>TRO-A-24-S6-O2-R2</x:v>
      </x:c>
      <x:c r="C582" s="7" t="str">
        <x:v>BLD-A</x:v>
      </x:c>
      <x:c r="D582" s="7" t="str">
        <x:v>MF-24</x:v>
      </x:c>
      <x:c r="E582" s="7" t="str">
        <x:v>STD-24-6</x:v>
      </x:c>
      <x:c r="F582" s="7" t="str">
        <x:v>OP-2</x:v>
      </x:c>
      <x:c r="G582" s="7" t="n">
        <x:v>2</x:v>
      </x:c>
      <x:c r="H582" s="7" t="str"/>
      <x:c r="I582" s="7" t="str"/>
      <x:c r="J582" s="7" t="str">
        <x:f>IF(OR(H582="",I582=""),"",I582-H582)</x:f>
      </x:c>
      <x:c r="K582" s="7" t="str"/>
      <x:c r="L582" s="7" t="str"/>
      <x:c r="M582" s="7" t="str"/>
      <x:c r="N582" s="7" t="str">
        <x:f>IF(M582="","OPEN",IF(OR(NOT(ISNUMBER(H582)),NOT(ISNUMBER(I582)),K582="",L582=""),"FAIL","PASS"))</x:f>
        <x:v>OPEN</x:v>
      </x:c>
    </x:row>
    <x:row r="583">
      <x:c r="B583" s="7" t="str">
        <x:v>TRO-B-01-S1-O1-R1</x:v>
      </x:c>
      <x:c r="C583" s="7" t="str">
        <x:v>BLD-B</x:v>
      </x:c>
      <x:c r="D583" s="7" t="str">
        <x:v>MF-01</x:v>
      </x:c>
      <x:c r="E583" s="7" t="str">
        <x:v>STD-01-1</x:v>
      </x:c>
      <x:c r="F583" s="7" t="str">
        <x:v>OP-1</x:v>
      </x:c>
      <x:c r="G583" s="7" t="n">
        <x:v>1</x:v>
      </x:c>
      <x:c r="H583" s="7" t="str"/>
      <x:c r="I583" s="7" t="str"/>
      <x:c r="J583" s="7" t="str">
        <x:f>IF(OR(H583="",I583=""),"",I583-H583)</x:f>
      </x:c>
      <x:c r="K583" s="7" t="str"/>
      <x:c r="L583" s="7" t="str"/>
      <x:c r="M583" s="7" t="str"/>
      <x:c r="N583" s="7" t="str">
        <x:f>IF(M583="","OPEN",IF(OR(NOT(ISNUMBER(H583)),NOT(ISNUMBER(I583)),K583="",L583=""),"FAIL","PASS"))</x:f>
        <x:v>OPEN</x:v>
      </x:c>
    </x:row>
    <x:row r="584">
      <x:c r="B584" s="7" t="str">
        <x:v>TRO-B-01-S1-O1-R2</x:v>
      </x:c>
      <x:c r="C584" s="7" t="str">
        <x:v>BLD-B</x:v>
      </x:c>
      <x:c r="D584" s="7" t="str">
        <x:v>MF-01</x:v>
      </x:c>
      <x:c r="E584" s="7" t="str">
        <x:v>STD-01-1</x:v>
      </x:c>
      <x:c r="F584" s="7" t="str">
        <x:v>OP-1</x:v>
      </x:c>
      <x:c r="G584" s="7" t="n">
        <x:v>2</x:v>
      </x:c>
      <x:c r="H584" s="7" t="str"/>
      <x:c r="I584" s="7" t="str"/>
      <x:c r="J584" s="7" t="str">
        <x:f>IF(OR(H584="",I584=""),"",I584-H584)</x:f>
      </x:c>
      <x:c r="K584" s="7" t="str"/>
      <x:c r="L584" s="7" t="str"/>
      <x:c r="M584" s="7" t="str"/>
      <x:c r="N584" s="7" t="str">
        <x:f>IF(M584="","OPEN",IF(OR(NOT(ISNUMBER(H584)),NOT(ISNUMBER(I584)),K584="",L584=""),"FAIL","PASS"))</x:f>
        <x:v>OPEN</x:v>
      </x:c>
    </x:row>
    <x:row r="585">
      <x:c r="B585" s="7" t="str">
        <x:v>TRO-B-01-S1-O2-R1</x:v>
      </x:c>
      <x:c r="C585" s="7" t="str">
        <x:v>BLD-B</x:v>
      </x:c>
      <x:c r="D585" s="7" t="str">
        <x:v>MF-01</x:v>
      </x:c>
      <x:c r="E585" s="7" t="str">
        <x:v>STD-01-1</x:v>
      </x:c>
      <x:c r="F585" s="7" t="str">
        <x:v>OP-2</x:v>
      </x:c>
      <x:c r="G585" s="7" t="n">
        <x:v>1</x:v>
      </x:c>
      <x:c r="H585" s="7" t="str"/>
      <x:c r="I585" s="7" t="str"/>
      <x:c r="J585" s="7" t="str">
        <x:f>IF(OR(H585="",I585=""),"",I585-H585)</x:f>
      </x:c>
      <x:c r="K585" s="7" t="str"/>
      <x:c r="L585" s="7" t="str"/>
      <x:c r="M585" s="7" t="str"/>
      <x:c r="N585" s="7" t="str">
        <x:f>IF(M585="","OPEN",IF(OR(NOT(ISNUMBER(H585)),NOT(ISNUMBER(I585)),K585="",L585=""),"FAIL","PASS"))</x:f>
        <x:v>OPEN</x:v>
      </x:c>
    </x:row>
    <x:row r="586">
      <x:c r="B586" s="7" t="str">
        <x:v>TRO-B-01-S1-O2-R2</x:v>
      </x:c>
      <x:c r="C586" s="7" t="str">
        <x:v>BLD-B</x:v>
      </x:c>
      <x:c r="D586" s="7" t="str">
        <x:v>MF-01</x:v>
      </x:c>
      <x:c r="E586" s="7" t="str">
        <x:v>STD-01-1</x:v>
      </x:c>
      <x:c r="F586" s="7" t="str">
        <x:v>OP-2</x:v>
      </x:c>
      <x:c r="G586" s="7" t="n">
        <x:v>2</x:v>
      </x:c>
      <x:c r="H586" s="7" t="str"/>
      <x:c r="I586" s="7" t="str"/>
      <x:c r="J586" s="7" t="str">
        <x:f>IF(OR(H586="",I586=""),"",I586-H586)</x:f>
      </x:c>
      <x:c r="K586" s="7" t="str"/>
      <x:c r="L586" s="7" t="str"/>
      <x:c r="M586" s="7" t="str"/>
      <x:c r="N586" s="7" t="str">
        <x:f>IF(M586="","OPEN",IF(OR(NOT(ISNUMBER(H586)),NOT(ISNUMBER(I586)),K586="",L586=""),"FAIL","PASS"))</x:f>
        <x:v>OPEN</x:v>
      </x:c>
    </x:row>
    <x:row r="587">
      <x:c r="B587" s="7" t="str">
        <x:v>TRO-B-01-S2-O1-R1</x:v>
      </x:c>
      <x:c r="C587" s="7" t="str">
        <x:v>BLD-B</x:v>
      </x:c>
      <x:c r="D587" s="7" t="str">
        <x:v>MF-01</x:v>
      </x:c>
      <x:c r="E587" s="7" t="str">
        <x:v>STD-01-2</x:v>
      </x:c>
      <x:c r="F587" s="7" t="str">
        <x:v>OP-1</x:v>
      </x:c>
      <x:c r="G587" s="7" t="n">
        <x:v>1</x:v>
      </x:c>
      <x:c r="H587" s="7" t="str"/>
      <x:c r="I587" s="7" t="str"/>
      <x:c r="J587" s="7" t="str">
        <x:f>IF(OR(H587="",I587=""),"",I587-H587)</x:f>
      </x:c>
      <x:c r="K587" s="7" t="str"/>
      <x:c r="L587" s="7" t="str"/>
      <x:c r="M587" s="7" t="str"/>
      <x:c r="N587" s="7" t="str">
        <x:f>IF(M587="","OPEN",IF(OR(NOT(ISNUMBER(H587)),NOT(ISNUMBER(I587)),K587="",L587=""),"FAIL","PASS"))</x:f>
        <x:v>OPEN</x:v>
      </x:c>
    </x:row>
    <x:row r="588">
      <x:c r="B588" s="7" t="str">
        <x:v>TRO-B-01-S2-O1-R2</x:v>
      </x:c>
      <x:c r="C588" s="7" t="str">
        <x:v>BLD-B</x:v>
      </x:c>
      <x:c r="D588" s="7" t="str">
        <x:v>MF-01</x:v>
      </x:c>
      <x:c r="E588" s="7" t="str">
        <x:v>STD-01-2</x:v>
      </x:c>
      <x:c r="F588" s="7" t="str">
        <x:v>OP-1</x:v>
      </x:c>
      <x:c r="G588" s="7" t="n">
        <x:v>2</x:v>
      </x:c>
      <x:c r="H588" s="7" t="str"/>
      <x:c r="I588" s="7" t="str"/>
      <x:c r="J588" s="7" t="str">
        <x:f>IF(OR(H588="",I588=""),"",I588-H588)</x:f>
      </x:c>
      <x:c r="K588" s="7" t="str"/>
      <x:c r="L588" s="7" t="str"/>
      <x:c r="M588" s="7" t="str"/>
      <x:c r="N588" s="7" t="str">
        <x:f>IF(M588="","OPEN",IF(OR(NOT(ISNUMBER(H588)),NOT(ISNUMBER(I588)),K588="",L588=""),"FAIL","PASS"))</x:f>
        <x:v>OPEN</x:v>
      </x:c>
    </x:row>
    <x:row r="589">
      <x:c r="B589" s="7" t="str">
        <x:v>TRO-B-01-S2-O2-R1</x:v>
      </x:c>
      <x:c r="C589" s="7" t="str">
        <x:v>BLD-B</x:v>
      </x:c>
      <x:c r="D589" s="7" t="str">
        <x:v>MF-01</x:v>
      </x:c>
      <x:c r="E589" s="7" t="str">
        <x:v>STD-01-2</x:v>
      </x:c>
      <x:c r="F589" s="7" t="str">
        <x:v>OP-2</x:v>
      </x:c>
      <x:c r="G589" s="7" t="n">
        <x:v>1</x:v>
      </x:c>
      <x:c r="H589" s="7" t="str"/>
      <x:c r="I589" s="7" t="str"/>
      <x:c r="J589" s="7" t="str">
        <x:f>IF(OR(H589="",I589=""),"",I589-H589)</x:f>
      </x:c>
      <x:c r="K589" s="7" t="str"/>
      <x:c r="L589" s="7" t="str"/>
      <x:c r="M589" s="7" t="str"/>
      <x:c r="N589" s="7" t="str">
        <x:f>IF(M589="","OPEN",IF(OR(NOT(ISNUMBER(H589)),NOT(ISNUMBER(I589)),K589="",L589=""),"FAIL","PASS"))</x:f>
        <x:v>OPEN</x:v>
      </x:c>
    </x:row>
    <x:row r="590">
      <x:c r="B590" s="7" t="str">
        <x:v>TRO-B-01-S2-O2-R2</x:v>
      </x:c>
      <x:c r="C590" s="7" t="str">
        <x:v>BLD-B</x:v>
      </x:c>
      <x:c r="D590" s="7" t="str">
        <x:v>MF-01</x:v>
      </x:c>
      <x:c r="E590" s="7" t="str">
        <x:v>STD-01-2</x:v>
      </x:c>
      <x:c r="F590" s="7" t="str">
        <x:v>OP-2</x:v>
      </x:c>
      <x:c r="G590" s="7" t="n">
        <x:v>2</x:v>
      </x:c>
      <x:c r="H590" s="7" t="str"/>
      <x:c r="I590" s="7" t="str"/>
      <x:c r="J590" s="7" t="str">
        <x:f>IF(OR(H590="",I590=""),"",I590-H590)</x:f>
      </x:c>
      <x:c r="K590" s="7" t="str"/>
      <x:c r="L590" s="7" t="str"/>
      <x:c r="M590" s="7" t="str"/>
      <x:c r="N590" s="7" t="str">
        <x:f>IF(M590="","OPEN",IF(OR(NOT(ISNUMBER(H590)),NOT(ISNUMBER(I590)),K590="",L590=""),"FAIL","PASS"))</x:f>
        <x:v>OPEN</x:v>
      </x:c>
    </x:row>
    <x:row r="591">
      <x:c r="B591" s="7" t="str">
        <x:v>TRO-B-01-S3-O1-R1</x:v>
      </x:c>
      <x:c r="C591" s="7" t="str">
        <x:v>BLD-B</x:v>
      </x:c>
      <x:c r="D591" s="7" t="str">
        <x:v>MF-01</x:v>
      </x:c>
      <x:c r="E591" s="7" t="str">
        <x:v>STD-01-3</x:v>
      </x:c>
      <x:c r="F591" s="7" t="str">
        <x:v>OP-1</x:v>
      </x:c>
      <x:c r="G591" s="7" t="n">
        <x:v>1</x:v>
      </x:c>
      <x:c r="H591" s="7" t="str"/>
      <x:c r="I591" s="7" t="str"/>
      <x:c r="J591" s="7" t="str">
        <x:f>IF(OR(H591="",I591=""),"",I591-H591)</x:f>
      </x:c>
      <x:c r="K591" s="7" t="str"/>
      <x:c r="L591" s="7" t="str"/>
      <x:c r="M591" s="7" t="str"/>
      <x:c r="N591" s="7" t="str">
        <x:f>IF(M591="","OPEN",IF(OR(NOT(ISNUMBER(H591)),NOT(ISNUMBER(I591)),K591="",L591=""),"FAIL","PASS"))</x:f>
        <x:v>OPEN</x:v>
      </x:c>
    </x:row>
    <x:row r="592">
      <x:c r="B592" s="7" t="str">
        <x:v>TRO-B-01-S3-O1-R2</x:v>
      </x:c>
      <x:c r="C592" s="7" t="str">
        <x:v>BLD-B</x:v>
      </x:c>
      <x:c r="D592" s="7" t="str">
        <x:v>MF-01</x:v>
      </x:c>
      <x:c r="E592" s="7" t="str">
        <x:v>STD-01-3</x:v>
      </x:c>
      <x:c r="F592" s="7" t="str">
        <x:v>OP-1</x:v>
      </x:c>
      <x:c r="G592" s="7" t="n">
        <x:v>2</x:v>
      </x:c>
      <x:c r="H592" s="7" t="str"/>
      <x:c r="I592" s="7" t="str"/>
      <x:c r="J592" s="7" t="str">
        <x:f>IF(OR(H592="",I592=""),"",I592-H592)</x:f>
      </x:c>
      <x:c r="K592" s="7" t="str"/>
      <x:c r="L592" s="7" t="str"/>
      <x:c r="M592" s="7" t="str"/>
      <x:c r="N592" s="7" t="str">
        <x:f>IF(M592="","OPEN",IF(OR(NOT(ISNUMBER(H592)),NOT(ISNUMBER(I592)),K592="",L592=""),"FAIL","PASS"))</x:f>
        <x:v>OPEN</x:v>
      </x:c>
    </x:row>
    <x:row r="593">
      <x:c r="B593" s="7" t="str">
        <x:v>TRO-B-01-S3-O2-R1</x:v>
      </x:c>
      <x:c r="C593" s="7" t="str">
        <x:v>BLD-B</x:v>
      </x:c>
      <x:c r="D593" s="7" t="str">
        <x:v>MF-01</x:v>
      </x:c>
      <x:c r="E593" s="7" t="str">
        <x:v>STD-01-3</x:v>
      </x:c>
      <x:c r="F593" s="7" t="str">
        <x:v>OP-2</x:v>
      </x:c>
      <x:c r="G593" s="7" t="n">
        <x:v>1</x:v>
      </x:c>
      <x:c r="H593" s="7" t="str"/>
      <x:c r="I593" s="7" t="str"/>
      <x:c r="J593" s="7" t="str">
        <x:f>IF(OR(H593="",I593=""),"",I593-H593)</x:f>
      </x:c>
      <x:c r="K593" s="7" t="str"/>
      <x:c r="L593" s="7" t="str"/>
      <x:c r="M593" s="7" t="str"/>
      <x:c r="N593" s="7" t="str">
        <x:f>IF(M593="","OPEN",IF(OR(NOT(ISNUMBER(H593)),NOT(ISNUMBER(I593)),K593="",L593=""),"FAIL","PASS"))</x:f>
        <x:v>OPEN</x:v>
      </x:c>
    </x:row>
    <x:row r="594">
      <x:c r="B594" s="7" t="str">
        <x:v>TRO-B-01-S3-O2-R2</x:v>
      </x:c>
      <x:c r="C594" s="7" t="str">
        <x:v>BLD-B</x:v>
      </x:c>
      <x:c r="D594" s="7" t="str">
        <x:v>MF-01</x:v>
      </x:c>
      <x:c r="E594" s="7" t="str">
        <x:v>STD-01-3</x:v>
      </x:c>
      <x:c r="F594" s="7" t="str">
        <x:v>OP-2</x:v>
      </x:c>
      <x:c r="G594" s="7" t="n">
        <x:v>2</x:v>
      </x:c>
      <x:c r="H594" s="7" t="str"/>
      <x:c r="I594" s="7" t="str"/>
      <x:c r="J594" s="7" t="str">
        <x:f>IF(OR(H594="",I594=""),"",I594-H594)</x:f>
      </x:c>
      <x:c r="K594" s="7" t="str"/>
      <x:c r="L594" s="7" t="str"/>
      <x:c r="M594" s="7" t="str"/>
      <x:c r="N594" s="7" t="str">
        <x:f>IF(M594="","OPEN",IF(OR(NOT(ISNUMBER(H594)),NOT(ISNUMBER(I594)),K594="",L594=""),"FAIL","PASS"))</x:f>
        <x:v>OPEN</x:v>
      </x:c>
    </x:row>
    <x:row r="595">
      <x:c r="B595" s="7" t="str">
        <x:v>TRO-B-01-S4-O1-R1</x:v>
      </x:c>
      <x:c r="C595" s="7" t="str">
        <x:v>BLD-B</x:v>
      </x:c>
      <x:c r="D595" s="7" t="str">
        <x:v>MF-01</x:v>
      </x:c>
      <x:c r="E595" s="7" t="str">
        <x:v>STD-01-4</x:v>
      </x:c>
      <x:c r="F595" s="7" t="str">
        <x:v>OP-1</x:v>
      </x:c>
      <x:c r="G595" s="7" t="n">
        <x:v>1</x:v>
      </x:c>
      <x:c r="H595" s="7" t="str"/>
      <x:c r="I595" s="7" t="str"/>
      <x:c r="J595" s="7" t="str">
        <x:f>IF(OR(H595="",I595=""),"",I595-H595)</x:f>
      </x:c>
      <x:c r="K595" s="7" t="str"/>
      <x:c r="L595" s="7" t="str"/>
      <x:c r="M595" s="7" t="str"/>
      <x:c r="N595" s="7" t="str">
        <x:f>IF(M595="","OPEN",IF(OR(NOT(ISNUMBER(H595)),NOT(ISNUMBER(I595)),K595="",L595=""),"FAIL","PASS"))</x:f>
        <x:v>OPEN</x:v>
      </x:c>
    </x:row>
    <x:row r="596">
      <x:c r="B596" s="7" t="str">
        <x:v>TRO-B-01-S4-O1-R2</x:v>
      </x:c>
      <x:c r="C596" s="7" t="str">
        <x:v>BLD-B</x:v>
      </x:c>
      <x:c r="D596" s="7" t="str">
        <x:v>MF-01</x:v>
      </x:c>
      <x:c r="E596" s="7" t="str">
        <x:v>STD-01-4</x:v>
      </x:c>
      <x:c r="F596" s="7" t="str">
        <x:v>OP-1</x:v>
      </x:c>
      <x:c r="G596" s="7" t="n">
        <x:v>2</x:v>
      </x:c>
      <x:c r="H596" s="7" t="str"/>
      <x:c r="I596" s="7" t="str"/>
      <x:c r="J596" s="7" t="str">
        <x:f>IF(OR(H596="",I596=""),"",I596-H596)</x:f>
      </x:c>
      <x:c r="K596" s="7" t="str"/>
      <x:c r="L596" s="7" t="str"/>
      <x:c r="M596" s="7" t="str"/>
      <x:c r="N596" s="7" t="str">
        <x:f>IF(M596="","OPEN",IF(OR(NOT(ISNUMBER(H596)),NOT(ISNUMBER(I596)),K596="",L596=""),"FAIL","PASS"))</x:f>
        <x:v>OPEN</x:v>
      </x:c>
    </x:row>
    <x:row r="597">
      <x:c r="B597" s="7" t="str">
        <x:v>TRO-B-01-S4-O2-R1</x:v>
      </x:c>
      <x:c r="C597" s="7" t="str">
        <x:v>BLD-B</x:v>
      </x:c>
      <x:c r="D597" s="7" t="str">
        <x:v>MF-01</x:v>
      </x:c>
      <x:c r="E597" s="7" t="str">
        <x:v>STD-01-4</x:v>
      </x:c>
      <x:c r="F597" s="7" t="str">
        <x:v>OP-2</x:v>
      </x:c>
      <x:c r="G597" s="7" t="n">
        <x:v>1</x:v>
      </x:c>
      <x:c r="H597" s="7" t="str"/>
      <x:c r="I597" s="7" t="str"/>
      <x:c r="J597" s="7" t="str">
        <x:f>IF(OR(H597="",I597=""),"",I597-H597)</x:f>
      </x:c>
      <x:c r="K597" s="7" t="str"/>
      <x:c r="L597" s="7" t="str"/>
      <x:c r="M597" s="7" t="str"/>
      <x:c r="N597" s="7" t="str">
        <x:f>IF(M597="","OPEN",IF(OR(NOT(ISNUMBER(H597)),NOT(ISNUMBER(I597)),K597="",L597=""),"FAIL","PASS"))</x:f>
        <x:v>OPEN</x:v>
      </x:c>
    </x:row>
    <x:row r="598">
      <x:c r="B598" s="7" t="str">
        <x:v>TRO-B-01-S4-O2-R2</x:v>
      </x:c>
      <x:c r="C598" s="7" t="str">
        <x:v>BLD-B</x:v>
      </x:c>
      <x:c r="D598" s="7" t="str">
        <x:v>MF-01</x:v>
      </x:c>
      <x:c r="E598" s="7" t="str">
        <x:v>STD-01-4</x:v>
      </x:c>
      <x:c r="F598" s="7" t="str">
        <x:v>OP-2</x:v>
      </x:c>
      <x:c r="G598" s="7" t="n">
        <x:v>2</x:v>
      </x:c>
      <x:c r="H598" s="7" t="str"/>
      <x:c r="I598" s="7" t="str"/>
      <x:c r="J598" s="7" t="str">
        <x:f>IF(OR(H598="",I598=""),"",I598-H598)</x:f>
      </x:c>
      <x:c r="K598" s="7" t="str"/>
      <x:c r="L598" s="7" t="str"/>
      <x:c r="M598" s="7" t="str"/>
      <x:c r="N598" s="7" t="str">
        <x:f>IF(M598="","OPEN",IF(OR(NOT(ISNUMBER(H598)),NOT(ISNUMBER(I598)),K598="",L598=""),"FAIL","PASS"))</x:f>
        <x:v>OPEN</x:v>
      </x:c>
    </x:row>
    <x:row r="599">
      <x:c r="B599" s="7" t="str">
        <x:v>TRO-B-01-S5-O1-R1</x:v>
      </x:c>
      <x:c r="C599" s="7" t="str">
        <x:v>BLD-B</x:v>
      </x:c>
      <x:c r="D599" s="7" t="str">
        <x:v>MF-01</x:v>
      </x:c>
      <x:c r="E599" s="7" t="str">
        <x:v>STD-01-5</x:v>
      </x:c>
      <x:c r="F599" s="7" t="str">
        <x:v>OP-1</x:v>
      </x:c>
      <x:c r="G599" s="7" t="n">
        <x:v>1</x:v>
      </x:c>
      <x:c r="H599" s="7" t="str"/>
      <x:c r="I599" s="7" t="str"/>
      <x:c r="J599" s="7" t="str">
        <x:f>IF(OR(H599="",I599=""),"",I599-H599)</x:f>
      </x:c>
      <x:c r="K599" s="7" t="str"/>
      <x:c r="L599" s="7" t="str"/>
      <x:c r="M599" s="7" t="str"/>
      <x:c r="N599" s="7" t="str">
        <x:f>IF(M599="","OPEN",IF(OR(NOT(ISNUMBER(H599)),NOT(ISNUMBER(I599)),K599="",L599=""),"FAIL","PASS"))</x:f>
        <x:v>OPEN</x:v>
      </x:c>
    </x:row>
    <x:row r="600">
      <x:c r="B600" s="7" t="str">
        <x:v>TRO-B-01-S5-O1-R2</x:v>
      </x:c>
      <x:c r="C600" s="7" t="str">
        <x:v>BLD-B</x:v>
      </x:c>
      <x:c r="D600" s="7" t="str">
        <x:v>MF-01</x:v>
      </x:c>
      <x:c r="E600" s="7" t="str">
        <x:v>STD-01-5</x:v>
      </x:c>
      <x:c r="F600" s="7" t="str">
        <x:v>OP-1</x:v>
      </x:c>
      <x:c r="G600" s="7" t="n">
        <x:v>2</x:v>
      </x:c>
      <x:c r="H600" s="7" t="str"/>
      <x:c r="I600" s="7" t="str"/>
      <x:c r="J600" s="7" t="str">
        <x:f>IF(OR(H600="",I600=""),"",I600-H600)</x:f>
      </x:c>
      <x:c r="K600" s="7" t="str"/>
      <x:c r="L600" s="7" t="str"/>
      <x:c r="M600" s="7" t="str"/>
      <x:c r="N600" s="7" t="str">
        <x:f>IF(M600="","OPEN",IF(OR(NOT(ISNUMBER(H600)),NOT(ISNUMBER(I600)),K600="",L600=""),"FAIL","PASS"))</x:f>
        <x:v>OPEN</x:v>
      </x:c>
    </x:row>
    <x:row r="601">
      <x:c r="B601" s="7" t="str">
        <x:v>TRO-B-01-S5-O2-R1</x:v>
      </x:c>
      <x:c r="C601" s="7" t="str">
        <x:v>BLD-B</x:v>
      </x:c>
      <x:c r="D601" s="7" t="str">
        <x:v>MF-01</x:v>
      </x:c>
      <x:c r="E601" s="7" t="str">
        <x:v>STD-01-5</x:v>
      </x:c>
      <x:c r="F601" s="7" t="str">
        <x:v>OP-2</x:v>
      </x:c>
      <x:c r="G601" s="7" t="n">
        <x:v>1</x:v>
      </x:c>
      <x:c r="H601" s="7" t="str"/>
      <x:c r="I601" s="7" t="str"/>
      <x:c r="J601" s="7" t="str">
        <x:f>IF(OR(H601="",I601=""),"",I601-H601)</x:f>
      </x:c>
      <x:c r="K601" s="7" t="str"/>
      <x:c r="L601" s="7" t="str"/>
      <x:c r="M601" s="7" t="str"/>
      <x:c r="N601" s="7" t="str">
        <x:f>IF(M601="","OPEN",IF(OR(NOT(ISNUMBER(H601)),NOT(ISNUMBER(I601)),K601="",L601=""),"FAIL","PASS"))</x:f>
        <x:v>OPEN</x:v>
      </x:c>
    </x:row>
    <x:row r="602">
      <x:c r="B602" s="7" t="str">
        <x:v>TRO-B-01-S5-O2-R2</x:v>
      </x:c>
      <x:c r="C602" s="7" t="str">
        <x:v>BLD-B</x:v>
      </x:c>
      <x:c r="D602" s="7" t="str">
        <x:v>MF-01</x:v>
      </x:c>
      <x:c r="E602" s="7" t="str">
        <x:v>STD-01-5</x:v>
      </x:c>
      <x:c r="F602" s="7" t="str">
        <x:v>OP-2</x:v>
      </x:c>
      <x:c r="G602" s="7" t="n">
        <x:v>2</x:v>
      </x:c>
      <x:c r="H602" s="7" t="str"/>
      <x:c r="I602" s="7" t="str"/>
      <x:c r="J602" s="7" t="str">
        <x:f>IF(OR(H602="",I602=""),"",I602-H602)</x:f>
      </x:c>
      <x:c r="K602" s="7" t="str"/>
      <x:c r="L602" s="7" t="str"/>
      <x:c r="M602" s="7" t="str"/>
      <x:c r="N602" s="7" t="str">
        <x:f>IF(M602="","OPEN",IF(OR(NOT(ISNUMBER(H602)),NOT(ISNUMBER(I602)),K602="",L602=""),"FAIL","PASS"))</x:f>
        <x:v>OPEN</x:v>
      </x:c>
    </x:row>
    <x:row r="603">
      <x:c r="B603" s="7" t="str">
        <x:v>TRO-B-01-S6-O1-R1</x:v>
      </x:c>
      <x:c r="C603" s="7" t="str">
        <x:v>BLD-B</x:v>
      </x:c>
      <x:c r="D603" s="7" t="str">
        <x:v>MF-01</x:v>
      </x:c>
      <x:c r="E603" s="7" t="str">
        <x:v>STD-01-6</x:v>
      </x:c>
      <x:c r="F603" s="7" t="str">
        <x:v>OP-1</x:v>
      </x:c>
      <x:c r="G603" s="7" t="n">
        <x:v>1</x:v>
      </x:c>
      <x:c r="H603" s="7" t="str"/>
      <x:c r="I603" s="7" t="str"/>
      <x:c r="J603" s="7" t="str">
        <x:f>IF(OR(H603="",I603=""),"",I603-H603)</x:f>
      </x:c>
      <x:c r="K603" s="7" t="str"/>
      <x:c r="L603" s="7" t="str"/>
      <x:c r="M603" s="7" t="str"/>
      <x:c r="N603" s="7" t="str">
        <x:f>IF(M603="","OPEN",IF(OR(NOT(ISNUMBER(H603)),NOT(ISNUMBER(I603)),K603="",L603=""),"FAIL","PASS"))</x:f>
        <x:v>OPEN</x:v>
      </x:c>
    </x:row>
    <x:row r="604">
      <x:c r="B604" s="7" t="str">
        <x:v>TRO-B-01-S6-O1-R2</x:v>
      </x:c>
      <x:c r="C604" s="7" t="str">
        <x:v>BLD-B</x:v>
      </x:c>
      <x:c r="D604" s="7" t="str">
        <x:v>MF-01</x:v>
      </x:c>
      <x:c r="E604" s="7" t="str">
        <x:v>STD-01-6</x:v>
      </x:c>
      <x:c r="F604" s="7" t="str">
        <x:v>OP-1</x:v>
      </x:c>
      <x:c r="G604" s="7" t="n">
        <x:v>2</x:v>
      </x:c>
      <x:c r="H604" s="7" t="str"/>
      <x:c r="I604" s="7" t="str"/>
      <x:c r="J604" s="7" t="str">
        <x:f>IF(OR(H604="",I604=""),"",I604-H604)</x:f>
      </x:c>
      <x:c r="K604" s="7" t="str"/>
      <x:c r="L604" s="7" t="str"/>
      <x:c r="M604" s="7" t="str"/>
      <x:c r="N604" s="7" t="str">
        <x:f>IF(M604="","OPEN",IF(OR(NOT(ISNUMBER(H604)),NOT(ISNUMBER(I604)),K604="",L604=""),"FAIL","PASS"))</x:f>
        <x:v>OPEN</x:v>
      </x:c>
    </x:row>
    <x:row r="605">
      <x:c r="B605" s="7" t="str">
        <x:v>TRO-B-01-S6-O2-R1</x:v>
      </x:c>
      <x:c r="C605" s="7" t="str">
        <x:v>BLD-B</x:v>
      </x:c>
      <x:c r="D605" s="7" t="str">
        <x:v>MF-01</x:v>
      </x:c>
      <x:c r="E605" s="7" t="str">
        <x:v>STD-01-6</x:v>
      </x:c>
      <x:c r="F605" s="7" t="str">
        <x:v>OP-2</x:v>
      </x:c>
      <x:c r="G605" s="7" t="n">
        <x:v>1</x:v>
      </x:c>
      <x:c r="H605" s="7" t="str"/>
      <x:c r="I605" s="7" t="str"/>
      <x:c r="J605" s="7" t="str">
        <x:f>IF(OR(H605="",I605=""),"",I605-H605)</x:f>
      </x:c>
      <x:c r="K605" s="7" t="str"/>
      <x:c r="L605" s="7" t="str"/>
      <x:c r="M605" s="7" t="str"/>
      <x:c r="N605" s="7" t="str">
        <x:f>IF(M605="","OPEN",IF(OR(NOT(ISNUMBER(H605)),NOT(ISNUMBER(I605)),K605="",L605=""),"FAIL","PASS"))</x:f>
        <x:v>OPEN</x:v>
      </x:c>
    </x:row>
    <x:row r="606">
      <x:c r="B606" s="7" t="str">
        <x:v>TRO-B-01-S6-O2-R2</x:v>
      </x:c>
      <x:c r="C606" s="7" t="str">
        <x:v>BLD-B</x:v>
      </x:c>
      <x:c r="D606" s="7" t="str">
        <x:v>MF-01</x:v>
      </x:c>
      <x:c r="E606" s="7" t="str">
        <x:v>STD-01-6</x:v>
      </x:c>
      <x:c r="F606" s="7" t="str">
        <x:v>OP-2</x:v>
      </x:c>
      <x:c r="G606" s="7" t="n">
        <x:v>2</x:v>
      </x:c>
      <x:c r="H606" s="7" t="str"/>
      <x:c r="I606" s="7" t="str"/>
      <x:c r="J606" s="7" t="str">
        <x:f>IF(OR(H606="",I606=""),"",I606-H606)</x:f>
      </x:c>
      <x:c r="K606" s="7" t="str"/>
      <x:c r="L606" s="7" t="str"/>
      <x:c r="M606" s="7" t="str"/>
      <x:c r="N606" s="7" t="str">
        <x:f>IF(M606="","OPEN",IF(OR(NOT(ISNUMBER(H606)),NOT(ISNUMBER(I606)),K606="",L606=""),"FAIL","PASS"))</x:f>
        <x:v>OPEN</x:v>
      </x:c>
    </x:row>
    <x:row r="607">
      <x:c r="B607" s="7" t="str">
        <x:v>TRO-B-02-S1-O1-R1</x:v>
      </x:c>
      <x:c r="C607" s="7" t="str">
        <x:v>BLD-B</x:v>
      </x:c>
      <x:c r="D607" s="7" t="str">
        <x:v>MF-02</x:v>
      </x:c>
      <x:c r="E607" s="7" t="str">
        <x:v>STD-02-1</x:v>
      </x:c>
      <x:c r="F607" s="7" t="str">
        <x:v>OP-1</x:v>
      </x:c>
      <x:c r="G607" s="7" t="n">
        <x:v>1</x:v>
      </x:c>
      <x:c r="H607" s="7" t="str"/>
      <x:c r="I607" s="7" t="str"/>
      <x:c r="J607" s="7" t="str">
        <x:f>IF(OR(H607="",I607=""),"",I607-H607)</x:f>
      </x:c>
      <x:c r="K607" s="7" t="str"/>
      <x:c r="L607" s="7" t="str"/>
      <x:c r="M607" s="7" t="str"/>
      <x:c r="N607" s="7" t="str">
        <x:f>IF(M607="","OPEN",IF(OR(NOT(ISNUMBER(H607)),NOT(ISNUMBER(I607)),K607="",L607=""),"FAIL","PASS"))</x:f>
        <x:v>OPEN</x:v>
      </x:c>
    </x:row>
    <x:row r="608">
      <x:c r="B608" s="7" t="str">
        <x:v>TRO-B-02-S1-O1-R2</x:v>
      </x:c>
      <x:c r="C608" s="7" t="str">
        <x:v>BLD-B</x:v>
      </x:c>
      <x:c r="D608" s="7" t="str">
        <x:v>MF-02</x:v>
      </x:c>
      <x:c r="E608" s="7" t="str">
        <x:v>STD-02-1</x:v>
      </x:c>
      <x:c r="F608" s="7" t="str">
        <x:v>OP-1</x:v>
      </x:c>
      <x:c r="G608" s="7" t="n">
        <x:v>2</x:v>
      </x:c>
      <x:c r="H608" s="7" t="str"/>
      <x:c r="I608" s="7" t="str"/>
      <x:c r="J608" s="7" t="str">
        <x:f>IF(OR(H608="",I608=""),"",I608-H608)</x:f>
      </x:c>
      <x:c r="K608" s="7" t="str"/>
      <x:c r="L608" s="7" t="str"/>
      <x:c r="M608" s="7" t="str"/>
      <x:c r="N608" s="7" t="str">
        <x:f>IF(M608="","OPEN",IF(OR(NOT(ISNUMBER(H608)),NOT(ISNUMBER(I608)),K608="",L608=""),"FAIL","PASS"))</x:f>
        <x:v>OPEN</x:v>
      </x:c>
    </x:row>
    <x:row r="609">
      <x:c r="B609" s="7" t="str">
        <x:v>TRO-B-02-S1-O2-R1</x:v>
      </x:c>
      <x:c r="C609" s="7" t="str">
        <x:v>BLD-B</x:v>
      </x:c>
      <x:c r="D609" s="7" t="str">
        <x:v>MF-02</x:v>
      </x:c>
      <x:c r="E609" s="7" t="str">
        <x:v>STD-02-1</x:v>
      </x:c>
      <x:c r="F609" s="7" t="str">
        <x:v>OP-2</x:v>
      </x:c>
      <x:c r="G609" s="7" t="n">
        <x:v>1</x:v>
      </x:c>
      <x:c r="H609" s="7" t="str"/>
      <x:c r="I609" s="7" t="str"/>
      <x:c r="J609" s="7" t="str">
        <x:f>IF(OR(H609="",I609=""),"",I609-H609)</x:f>
      </x:c>
      <x:c r="K609" s="7" t="str"/>
      <x:c r="L609" s="7" t="str"/>
      <x:c r="M609" s="7" t="str"/>
      <x:c r="N609" s="7" t="str">
        <x:f>IF(M609="","OPEN",IF(OR(NOT(ISNUMBER(H609)),NOT(ISNUMBER(I609)),K609="",L609=""),"FAIL","PASS"))</x:f>
        <x:v>OPEN</x:v>
      </x:c>
    </x:row>
    <x:row r="610">
      <x:c r="B610" s="7" t="str">
        <x:v>TRO-B-02-S1-O2-R2</x:v>
      </x:c>
      <x:c r="C610" s="7" t="str">
        <x:v>BLD-B</x:v>
      </x:c>
      <x:c r="D610" s="7" t="str">
        <x:v>MF-02</x:v>
      </x:c>
      <x:c r="E610" s="7" t="str">
        <x:v>STD-02-1</x:v>
      </x:c>
      <x:c r="F610" s="7" t="str">
        <x:v>OP-2</x:v>
      </x:c>
      <x:c r="G610" s="7" t="n">
        <x:v>2</x:v>
      </x:c>
      <x:c r="H610" s="7" t="str"/>
      <x:c r="I610" s="7" t="str"/>
      <x:c r="J610" s="7" t="str">
        <x:f>IF(OR(H610="",I610=""),"",I610-H610)</x:f>
      </x:c>
      <x:c r="K610" s="7" t="str"/>
      <x:c r="L610" s="7" t="str"/>
      <x:c r="M610" s="7" t="str"/>
      <x:c r="N610" s="7" t="str">
        <x:f>IF(M610="","OPEN",IF(OR(NOT(ISNUMBER(H610)),NOT(ISNUMBER(I610)),K610="",L610=""),"FAIL","PASS"))</x:f>
        <x:v>OPEN</x:v>
      </x:c>
    </x:row>
    <x:row r="611">
      <x:c r="B611" s="7" t="str">
        <x:v>TRO-B-02-S2-O1-R1</x:v>
      </x:c>
      <x:c r="C611" s="7" t="str">
        <x:v>BLD-B</x:v>
      </x:c>
      <x:c r="D611" s="7" t="str">
        <x:v>MF-02</x:v>
      </x:c>
      <x:c r="E611" s="7" t="str">
        <x:v>STD-02-2</x:v>
      </x:c>
      <x:c r="F611" s="7" t="str">
        <x:v>OP-1</x:v>
      </x:c>
      <x:c r="G611" s="7" t="n">
        <x:v>1</x:v>
      </x:c>
      <x:c r="H611" s="7" t="str"/>
      <x:c r="I611" s="7" t="str"/>
      <x:c r="J611" s="7" t="str">
        <x:f>IF(OR(H611="",I611=""),"",I611-H611)</x:f>
      </x:c>
      <x:c r="K611" s="7" t="str"/>
      <x:c r="L611" s="7" t="str"/>
      <x:c r="M611" s="7" t="str"/>
      <x:c r="N611" s="7" t="str">
        <x:f>IF(M611="","OPEN",IF(OR(NOT(ISNUMBER(H611)),NOT(ISNUMBER(I611)),K611="",L611=""),"FAIL","PASS"))</x:f>
        <x:v>OPEN</x:v>
      </x:c>
    </x:row>
    <x:row r="612">
      <x:c r="B612" s="7" t="str">
        <x:v>TRO-B-02-S2-O1-R2</x:v>
      </x:c>
      <x:c r="C612" s="7" t="str">
        <x:v>BLD-B</x:v>
      </x:c>
      <x:c r="D612" s="7" t="str">
        <x:v>MF-02</x:v>
      </x:c>
      <x:c r="E612" s="7" t="str">
        <x:v>STD-02-2</x:v>
      </x:c>
      <x:c r="F612" s="7" t="str">
        <x:v>OP-1</x:v>
      </x:c>
      <x:c r="G612" s="7" t="n">
        <x:v>2</x:v>
      </x:c>
      <x:c r="H612" s="7" t="str"/>
      <x:c r="I612" s="7" t="str"/>
      <x:c r="J612" s="7" t="str">
        <x:f>IF(OR(H612="",I612=""),"",I612-H612)</x:f>
      </x:c>
      <x:c r="K612" s="7" t="str"/>
      <x:c r="L612" s="7" t="str"/>
      <x:c r="M612" s="7" t="str"/>
      <x:c r="N612" s="7" t="str">
        <x:f>IF(M612="","OPEN",IF(OR(NOT(ISNUMBER(H612)),NOT(ISNUMBER(I612)),K612="",L612=""),"FAIL","PASS"))</x:f>
        <x:v>OPEN</x:v>
      </x:c>
    </x:row>
    <x:row r="613">
      <x:c r="B613" s="7" t="str">
        <x:v>TRO-B-02-S2-O2-R1</x:v>
      </x:c>
      <x:c r="C613" s="7" t="str">
        <x:v>BLD-B</x:v>
      </x:c>
      <x:c r="D613" s="7" t="str">
        <x:v>MF-02</x:v>
      </x:c>
      <x:c r="E613" s="7" t="str">
        <x:v>STD-02-2</x:v>
      </x:c>
      <x:c r="F613" s="7" t="str">
        <x:v>OP-2</x:v>
      </x:c>
      <x:c r="G613" s="7" t="n">
        <x:v>1</x:v>
      </x:c>
      <x:c r="H613" s="7" t="str"/>
      <x:c r="I613" s="7" t="str"/>
      <x:c r="J613" s="7" t="str">
        <x:f>IF(OR(H613="",I613=""),"",I613-H613)</x:f>
      </x:c>
      <x:c r="K613" s="7" t="str"/>
      <x:c r="L613" s="7" t="str"/>
      <x:c r="M613" s="7" t="str"/>
      <x:c r="N613" s="7" t="str">
        <x:f>IF(M613="","OPEN",IF(OR(NOT(ISNUMBER(H613)),NOT(ISNUMBER(I613)),K613="",L613=""),"FAIL","PASS"))</x:f>
        <x:v>OPEN</x:v>
      </x:c>
    </x:row>
    <x:row r="614">
      <x:c r="B614" s="7" t="str">
        <x:v>TRO-B-02-S2-O2-R2</x:v>
      </x:c>
      <x:c r="C614" s="7" t="str">
        <x:v>BLD-B</x:v>
      </x:c>
      <x:c r="D614" s="7" t="str">
        <x:v>MF-02</x:v>
      </x:c>
      <x:c r="E614" s="7" t="str">
        <x:v>STD-02-2</x:v>
      </x:c>
      <x:c r="F614" s="7" t="str">
        <x:v>OP-2</x:v>
      </x:c>
      <x:c r="G614" s="7" t="n">
        <x:v>2</x:v>
      </x:c>
      <x:c r="H614" s="7" t="str"/>
      <x:c r="I614" s="7" t="str"/>
      <x:c r="J614" s="7" t="str">
        <x:f>IF(OR(H614="",I614=""),"",I614-H614)</x:f>
      </x:c>
      <x:c r="K614" s="7" t="str"/>
      <x:c r="L614" s="7" t="str"/>
      <x:c r="M614" s="7" t="str"/>
      <x:c r="N614" s="7" t="str">
        <x:f>IF(M614="","OPEN",IF(OR(NOT(ISNUMBER(H614)),NOT(ISNUMBER(I614)),K614="",L614=""),"FAIL","PASS"))</x:f>
        <x:v>OPEN</x:v>
      </x:c>
    </x:row>
    <x:row r="615">
      <x:c r="B615" s="7" t="str">
        <x:v>TRO-B-02-S3-O1-R1</x:v>
      </x:c>
      <x:c r="C615" s="7" t="str">
        <x:v>BLD-B</x:v>
      </x:c>
      <x:c r="D615" s="7" t="str">
        <x:v>MF-02</x:v>
      </x:c>
      <x:c r="E615" s="7" t="str">
        <x:v>STD-02-3</x:v>
      </x:c>
      <x:c r="F615" s="7" t="str">
        <x:v>OP-1</x:v>
      </x:c>
      <x:c r="G615" s="7" t="n">
        <x:v>1</x:v>
      </x:c>
      <x:c r="H615" s="7" t="str"/>
      <x:c r="I615" s="7" t="str"/>
      <x:c r="J615" s="7" t="str">
        <x:f>IF(OR(H615="",I615=""),"",I615-H615)</x:f>
      </x:c>
      <x:c r="K615" s="7" t="str"/>
      <x:c r="L615" s="7" t="str"/>
      <x:c r="M615" s="7" t="str"/>
      <x:c r="N615" s="7" t="str">
        <x:f>IF(M615="","OPEN",IF(OR(NOT(ISNUMBER(H615)),NOT(ISNUMBER(I615)),K615="",L615=""),"FAIL","PASS"))</x:f>
        <x:v>OPEN</x:v>
      </x:c>
    </x:row>
    <x:row r="616">
      <x:c r="B616" s="7" t="str">
        <x:v>TRO-B-02-S3-O1-R2</x:v>
      </x:c>
      <x:c r="C616" s="7" t="str">
        <x:v>BLD-B</x:v>
      </x:c>
      <x:c r="D616" s="7" t="str">
        <x:v>MF-02</x:v>
      </x:c>
      <x:c r="E616" s="7" t="str">
        <x:v>STD-02-3</x:v>
      </x:c>
      <x:c r="F616" s="7" t="str">
        <x:v>OP-1</x:v>
      </x:c>
      <x:c r="G616" s="7" t="n">
        <x:v>2</x:v>
      </x:c>
      <x:c r="H616" s="7" t="str"/>
      <x:c r="I616" s="7" t="str"/>
      <x:c r="J616" s="7" t="str">
        <x:f>IF(OR(H616="",I616=""),"",I616-H616)</x:f>
      </x:c>
      <x:c r="K616" s="7" t="str"/>
      <x:c r="L616" s="7" t="str"/>
      <x:c r="M616" s="7" t="str"/>
      <x:c r="N616" s="7" t="str">
        <x:f>IF(M616="","OPEN",IF(OR(NOT(ISNUMBER(H616)),NOT(ISNUMBER(I616)),K616="",L616=""),"FAIL","PASS"))</x:f>
        <x:v>OPEN</x:v>
      </x:c>
    </x:row>
    <x:row r="617">
      <x:c r="B617" s="7" t="str">
        <x:v>TRO-B-02-S3-O2-R1</x:v>
      </x:c>
      <x:c r="C617" s="7" t="str">
        <x:v>BLD-B</x:v>
      </x:c>
      <x:c r="D617" s="7" t="str">
        <x:v>MF-02</x:v>
      </x:c>
      <x:c r="E617" s="7" t="str">
        <x:v>STD-02-3</x:v>
      </x:c>
      <x:c r="F617" s="7" t="str">
        <x:v>OP-2</x:v>
      </x:c>
      <x:c r="G617" s="7" t="n">
        <x:v>1</x:v>
      </x:c>
      <x:c r="H617" s="7" t="str"/>
      <x:c r="I617" s="7" t="str"/>
      <x:c r="J617" s="7" t="str">
        <x:f>IF(OR(H617="",I617=""),"",I617-H617)</x:f>
      </x:c>
      <x:c r="K617" s="7" t="str"/>
      <x:c r="L617" s="7" t="str"/>
      <x:c r="M617" s="7" t="str"/>
      <x:c r="N617" s="7" t="str">
        <x:f>IF(M617="","OPEN",IF(OR(NOT(ISNUMBER(H617)),NOT(ISNUMBER(I617)),K617="",L617=""),"FAIL","PASS"))</x:f>
        <x:v>OPEN</x:v>
      </x:c>
    </x:row>
    <x:row r="618">
      <x:c r="B618" s="7" t="str">
        <x:v>TRO-B-02-S3-O2-R2</x:v>
      </x:c>
      <x:c r="C618" s="7" t="str">
        <x:v>BLD-B</x:v>
      </x:c>
      <x:c r="D618" s="7" t="str">
        <x:v>MF-02</x:v>
      </x:c>
      <x:c r="E618" s="7" t="str">
        <x:v>STD-02-3</x:v>
      </x:c>
      <x:c r="F618" s="7" t="str">
        <x:v>OP-2</x:v>
      </x:c>
      <x:c r="G618" s="7" t="n">
        <x:v>2</x:v>
      </x:c>
      <x:c r="H618" s="7" t="str"/>
      <x:c r="I618" s="7" t="str"/>
      <x:c r="J618" s="7" t="str">
        <x:f>IF(OR(H618="",I618=""),"",I618-H618)</x:f>
      </x:c>
      <x:c r="K618" s="7" t="str"/>
      <x:c r="L618" s="7" t="str"/>
      <x:c r="M618" s="7" t="str"/>
      <x:c r="N618" s="7" t="str">
        <x:f>IF(M618="","OPEN",IF(OR(NOT(ISNUMBER(H618)),NOT(ISNUMBER(I618)),K618="",L618=""),"FAIL","PASS"))</x:f>
        <x:v>OPEN</x:v>
      </x:c>
    </x:row>
    <x:row r="619">
      <x:c r="B619" s="7" t="str">
        <x:v>TRO-B-02-S4-O1-R1</x:v>
      </x:c>
      <x:c r="C619" s="7" t="str">
        <x:v>BLD-B</x:v>
      </x:c>
      <x:c r="D619" s="7" t="str">
        <x:v>MF-02</x:v>
      </x:c>
      <x:c r="E619" s="7" t="str">
        <x:v>STD-02-4</x:v>
      </x:c>
      <x:c r="F619" s="7" t="str">
        <x:v>OP-1</x:v>
      </x:c>
      <x:c r="G619" s="7" t="n">
        <x:v>1</x:v>
      </x:c>
      <x:c r="H619" s="7" t="str"/>
      <x:c r="I619" s="7" t="str"/>
      <x:c r="J619" s="7" t="str">
        <x:f>IF(OR(H619="",I619=""),"",I619-H619)</x:f>
      </x:c>
      <x:c r="K619" s="7" t="str"/>
      <x:c r="L619" s="7" t="str"/>
      <x:c r="M619" s="7" t="str"/>
      <x:c r="N619" s="7" t="str">
        <x:f>IF(M619="","OPEN",IF(OR(NOT(ISNUMBER(H619)),NOT(ISNUMBER(I619)),K619="",L619=""),"FAIL","PASS"))</x:f>
        <x:v>OPEN</x:v>
      </x:c>
    </x:row>
    <x:row r="620">
      <x:c r="B620" s="7" t="str">
        <x:v>TRO-B-02-S4-O1-R2</x:v>
      </x:c>
      <x:c r="C620" s="7" t="str">
        <x:v>BLD-B</x:v>
      </x:c>
      <x:c r="D620" s="7" t="str">
        <x:v>MF-02</x:v>
      </x:c>
      <x:c r="E620" s="7" t="str">
        <x:v>STD-02-4</x:v>
      </x:c>
      <x:c r="F620" s="7" t="str">
        <x:v>OP-1</x:v>
      </x:c>
      <x:c r="G620" s="7" t="n">
        <x:v>2</x:v>
      </x:c>
      <x:c r="H620" s="7" t="str"/>
      <x:c r="I620" s="7" t="str"/>
      <x:c r="J620" s="7" t="str">
        <x:f>IF(OR(H620="",I620=""),"",I620-H620)</x:f>
      </x:c>
      <x:c r="K620" s="7" t="str"/>
      <x:c r="L620" s="7" t="str"/>
      <x:c r="M620" s="7" t="str"/>
      <x:c r="N620" s="7" t="str">
        <x:f>IF(M620="","OPEN",IF(OR(NOT(ISNUMBER(H620)),NOT(ISNUMBER(I620)),K620="",L620=""),"FAIL","PASS"))</x:f>
        <x:v>OPEN</x:v>
      </x:c>
    </x:row>
    <x:row r="621">
      <x:c r="B621" s="7" t="str">
        <x:v>TRO-B-02-S4-O2-R1</x:v>
      </x:c>
      <x:c r="C621" s="7" t="str">
        <x:v>BLD-B</x:v>
      </x:c>
      <x:c r="D621" s="7" t="str">
        <x:v>MF-02</x:v>
      </x:c>
      <x:c r="E621" s="7" t="str">
        <x:v>STD-02-4</x:v>
      </x:c>
      <x:c r="F621" s="7" t="str">
        <x:v>OP-2</x:v>
      </x:c>
      <x:c r="G621" s="7" t="n">
        <x:v>1</x:v>
      </x:c>
      <x:c r="H621" s="7" t="str"/>
      <x:c r="I621" s="7" t="str"/>
      <x:c r="J621" s="7" t="str">
        <x:f>IF(OR(H621="",I621=""),"",I621-H621)</x:f>
      </x:c>
      <x:c r="K621" s="7" t="str"/>
      <x:c r="L621" s="7" t="str"/>
      <x:c r="M621" s="7" t="str"/>
      <x:c r="N621" s="7" t="str">
        <x:f>IF(M621="","OPEN",IF(OR(NOT(ISNUMBER(H621)),NOT(ISNUMBER(I621)),K621="",L621=""),"FAIL","PASS"))</x:f>
        <x:v>OPEN</x:v>
      </x:c>
    </x:row>
    <x:row r="622">
      <x:c r="B622" s="7" t="str">
        <x:v>TRO-B-02-S4-O2-R2</x:v>
      </x:c>
      <x:c r="C622" s="7" t="str">
        <x:v>BLD-B</x:v>
      </x:c>
      <x:c r="D622" s="7" t="str">
        <x:v>MF-02</x:v>
      </x:c>
      <x:c r="E622" s="7" t="str">
        <x:v>STD-02-4</x:v>
      </x:c>
      <x:c r="F622" s="7" t="str">
        <x:v>OP-2</x:v>
      </x:c>
      <x:c r="G622" s="7" t="n">
        <x:v>2</x:v>
      </x:c>
      <x:c r="H622" s="7" t="str"/>
      <x:c r="I622" s="7" t="str"/>
      <x:c r="J622" s="7" t="str">
        <x:f>IF(OR(H622="",I622=""),"",I622-H622)</x:f>
      </x:c>
      <x:c r="K622" s="7" t="str"/>
      <x:c r="L622" s="7" t="str"/>
      <x:c r="M622" s="7" t="str"/>
      <x:c r="N622" s="7" t="str">
        <x:f>IF(M622="","OPEN",IF(OR(NOT(ISNUMBER(H622)),NOT(ISNUMBER(I622)),K622="",L622=""),"FAIL","PASS"))</x:f>
        <x:v>OPEN</x:v>
      </x:c>
    </x:row>
    <x:row r="623">
      <x:c r="B623" s="7" t="str">
        <x:v>TRO-B-02-S5-O1-R1</x:v>
      </x:c>
      <x:c r="C623" s="7" t="str">
        <x:v>BLD-B</x:v>
      </x:c>
      <x:c r="D623" s="7" t="str">
        <x:v>MF-02</x:v>
      </x:c>
      <x:c r="E623" s="7" t="str">
        <x:v>STD-02-5</x:v>
      </x:c>
      <x:c r="F623" s="7" t="str">
        <x:v>OP-1</x:v>
      </x:c>
      <x:c r="G623" s="7" t="n">
        <x:v>1</x:v>
      </x:c>
      <x:c r="H623" s="7" t="str"/>
      <x:c r="I623" s="7" t="str"/>
      <x:c r="J623" s="7" t="str">
        <x:f>IF(OR(H623="",I623=""),"",I623-H623)</x:f>
      </x:c>
      <x:c r="K623" s="7" t="str"/>
      <x:c r="L623" s="7" t="str"/>
      <x:c r="M623" s="7" t="str"/>
      <x:c r="N623" s="7" t="str">
        <x:f>IF(M623="","OPEN",IF(OR(NOT(ISNUMBER(H623)),NOT(ISNUMBER(I623)),K623="",L623=""),"FAIL","PASS"))</x:f>
        <x:v>OPEN</x:v>
      </x:c>
    </x:row>
    <x:row r="624">
      <x:c r="B624" s="7" t="str">
        <x:v>TRO-B-02-S5-O1-R2</x:v>
      </x:c>
      <x:c r="C624" s="7" t="str">
        <x:v>BLD-B</x:v>
      </x:c>
      <x:c r="D624" s="7" t="str">
        <x:v>MF-02</x:v>
      </x:c>
      <x:c r="E624" s="7" t="str">
        <x:v>STD-02-5</x:v>
      </x:c>
      <x:c r="F624" s="7" t="str">
        <x:v>OP-1</x:v>
      </x:c>
      <x:c r="G624" s="7" t="n">
        <x:v>2</x:v>
      </x:c>
      <x:c r="H624" s="7" t="str"/>
      <x:c r="I624" s="7" t="str"/>
      <x:c r="J624" s="7" t="str">
        <x:f>IF(OR(H624="",I624=""),"",I624-H624)</x:f>
      </x:c>
      <x:c r="K624" s="7" t="str"/>
      <x:c r="L624" s="7" t="str"/>
      <x:c r="M624" s="7" t="str"/>
      <x:c r="N624" s="7" t="str">
        <x:f>IF(M624="","OPEN",IF(OR(NOT(ISNUMBER(H624)),NOT(ISNUMBER(I624)),K624="",L624=""),"FAIL","PASS"))</x:f>
        <x:v>OPEN</x:v>
      </x:c>
    </x:row>
    <x:row r="625">
      <x:c r="B625" s="7" t="str">
        <x:v>TRO-B-02-S5-O2-R1</x:v>
      </x:c>
      <x:c r="C625" s="7" t="str">
        <x:v>BLD-B</x:v>
      </x:c>
      <x:c r="D625" s="7" t="str">
        <x:v>MF-02</x:v>
      </x:c>
      <x:c r="E625" s="7" t="str">
        <x:v>STD-02-5</x:v>
      </x:c>
      <x:c r="F625" s="7" t="str">
        <x:v>OP-2</x:v>
      </x:c>
      <x:c r="G625" s="7" t="n">
        <x:v>1</x:v>
      </x:c>
      <x:c r="H625" s="7" t="str"/>
      <x:c r="I625" s="7" t="str"/>
      <x:c r="J625" s="7" t="str">
        <x:f>IF(OR(H625="",I625=""),"",I625-H625)</x:f>
      </x:c>
      <x:c r="K625" s="7" t="str"/>
      <x:c r="L625" s="7" t="str"/>
      <x:c r="M625" s="7" t="str"/>
      <x:c r="N625" s="7" t="str">
        <x:f>IF(M625="","OPEN",IF(OR(NOT(ISNUMBER(H625)),NOT(ISNUMBER(I625)),K625="",L625=""),"FAIL","PASS"))</x:f>
        <x:v>OPEN</x:v>
      </x:c>
    </x:row>
    <x:row r="626">
      <x:c r="B626" s="7" t="str">
        <x:v>TRO-B-02-S5-O2-R2</x:v>
      </x:c>
      <x:c r="C626" s="7" t="str">
        <x:v>BLD-B</x:v>
      </x:c>
      <x:c r="D626" s="7" t="str">
        <x:v>MF-02</x:v>
      </x:c>
      <x:c r="E626" s="7" t="str">
        <x:v>STD-02-5</x:v>
      </x:c>
      <x:c r="F626" s="7" t="str">
        <x:v>OP-2</x:v>
      </x:c>
      <x:c r="G626" s="7" t="n">
        <x:v>2</x:v>
      </x:c>
      <x:c r="H626" s="7" t="str"/>
      <x:c r="I626" s="7" t="str"/>
      <x:c r="J626" s="7" t="str">
        <x:f>IF(OR(H626="",I626=""),"",I626-H626)</x:f>
      </x:c>
      <x:c r="K626" s="7" t="str"/>
      <x:c r="L626" s="7" t="str"/>
      <x:c r="M626" s="7" t="str"/>
      <x:c r="N626" s="7" t="str">
        <x:f>IF(M626="","OPEN",IF(OR(NOT(ISNUMBER(H626)),NOT(ISNUMBER(I626)),K626="",L626=""),"FAIL","PASS"))</x:f>
        <x:v>OPEN</x:v>
      </x:c>
    </x:row>
    <x:row r="627">
      <x:c r="B627" s="7" t="str">
        <x:v>TRO-B-02-S6-O1-R1</x:v>
      </x:c>
      <x:c r="C627" s="7" t="str">
        <x:v>BLD-B</x:v>
      </x:c>
      <x:c r="D627" s="7" t="str">
        <x:v>MF-02</x:v>
      </x:c>
      <x:c r="E627" s="7" t="str">
        <x:v>STD-02-6</x:v>
      </x:c>
      <x:c r="F627" s="7" t="str">
        <x:v>OP-1</x:v>
      </x:c>
      <x:c r="G627" s="7" t="n">
        <x:v>1</x:v>
      </x:c>
      <x:c r="H627" s="7" t="str"/>
      <x:c r="I627" s="7" t="str"/>
      <x:c r="J627" s="7" t="str">
        <x:f>IF(OR(H627="",I627=""),"",I627-H627)</x:f>
      </x:c>
      <x:c r="K627" s="7" t="str"/>
      <x:c r="L627" s="7" t="str"/>
      <x:c r="M627" s="7" t="str"/>
      <x:c r="N627" s="7" t="str">
        <x:f>IF(M627="","OPEN",IF(OR(NOT(ISNUMBER(H627)),NOT(ISNUMBER(I627)),K627="",L627=""),"FAIL","PASS"))</x:f>
        <x:v>OPEN</x:v>
      </x:c>
    </x:row>
    <x:row r="628">
      <x:c r="B628" s="7" t="str">
        <x:v>TRO-B-02-S6-O1-R2</x:v>
      </x:c>
      <x:c r="C628" s="7" t="str">
        <x:v>BLD-B</x:v>
      </x:c>
      <x:c r="D628" s="7" t="str">
        <x:v>MF-02</x:v>
      </x:c>
      <x:c r="E628" s="7" t="str">
        <x:v>STD-02-6</x:v>
      </x:c>
      <x:c r="F628" s="7" t="str">
        <x:v>OP-1</x:v>
      </x:c>
      <x:c r="G628" s="7" t="n">
        <x:v>2</x:v>
      </x:c>
      <x:c r="H628" s="7" t="str"/>
      <x:c r="I628" s="7" t="str"/>
      <x:c r="J628" s="7" t="str">
        <x:f>IF(OR(H628="",I628=""),"",I628-H628)</x:f>
      </x:c>
      <x:c r="K628" s="7" t="str"/>
      <x:c r="L628" s="7" t="str"/>
      <x:c r="M628" s="7" t="str"/>
      <x:c r="N628" s="7" t="str">
        <x:f>IF(M628="","OPEN",IF(OR(NOT(ISNUMBER(H628)),NOT(ISNUMBER(I628)),K628="",L628=""),"FAIL","PASS"))</x:f>
        <x:v>OPEN</x:v>
      </x:c>
    </x:row>
    <x:row r="629">
      <x:c r="B629" s="7" t="str">
        <x:v>TRO-B-02-S6-O2-R1</x:v>
      </x:c>
      <x:c r="C629" s="7" t="str">
        <x:v>BLD-B</x:v>
      </x:c>
      <x:c r="D629" s="7" t="str">
        <x:v>MF-02</x:v>
      </x:c>
      <x:c r="E629" s="7" t="str">
        <x:v>STD-02-6</x:v>
      </x:c>
      <x:c r="F629" s="7" t="str">
        <x:v>OP-2</x:v>
      </x:c>
      <x:c r="G629" s="7" t="n">
        <x:v>1</x:v>
      </x:c>
      <x:c r="H629" s="7" t="str"/>
      <x:c r="I629" s="7" t="str"/>
      <x:c r="J629" s="7" t="str">
        <x:f>IF(OR(H629="",I629=""),"",I629-H629)</x:f>
      </x:c>
      <x:c r="K629" s="7" t="str"/>
      <x:c r="L629" s="7" t="str"/>
      <x:c r="M629" s="7" t="str"/>
      <x:c r="N629" s="7" t="str">
        <x:f>IF(M629="","OPEN",IF(OR(NOT(ISNUMBER(H629)),NOT(ISNUMBER(I629)),K629="",L629=""),"FAIL","PASS"))</x:f>
        <x:v>OPEN</x:v>
      </x:c>
    </x:row>
    <x:row r="630">
      <x:c r="B630" s="7" t="str">
        <x:v>TRO-B-02-S6-O2-R2</x:v>
      </x:c>
      <x:c r="C630" s="7" t="str">
        <x:v>BLD-B</x:v>
      </x:c>
      <x:c r="D630" s="7" t="str">
        <x:v>MF-02</x:v>
      </x:c>
      <x:c r="E630" s="7" t="str">
        <x:v>STD-02-6</x:v>
      </x:c>
      <x:c r="F630" s="7" t="str">
        <x:v>OP-2</x:v>
      </x:c>
      <x:c r="G630" s="7" t="n">
        <x:v>2</x:v>
      </x:c>
      <x:c r="H630" s="7" t="str"/>
      <x:c r="I630" s="7" t="str"/>
      <x:c r="J630" s="7" t="str">
        <x:f>IF(OR(H630="",I630=""),"",I630-H630)</x:f>
      </x:c>
      <x:c r="K630" s="7" t="str"/>
      <x:c r="L630" s="7" t="str"/>
      <x:c r="M630" s="7" t="str"/>
      <x:c r="N630" s="7" t="str">
        <x:f>IF(M630="","OPEN",IF(OR(NOT(ISNUMBER(H630)),NOT(ISNUMBER(I630)),K630="",L630=""),"FAIL","PASS"))</x:f>
        <x:v>OPEN</x:v>
      </x:c>
    </x:row>
    <x:row r="631">
      <x:c r="B631" s="7" t="str">
        <x:v>TRO-B-03-S1-O1-R1</x:v>
      </x:c>
      <x:c r="C631" s="7" t="str">
        <x:v>BLD-B</x:v>
      </x:c>
      <x:c r="D631" s="7" t="str">
        <x:v>MF-03</x:v>
      </x:c>
      <x:c r="E631" s="7" t="str">
        <x:v>STD-03-1</x:v>
      </x:c>
      <x:c r="F631" s="7" t="str">
        <x:v>OP-1</x:v>
      </x:c>
      <x:c r="G631" s="7" t="n">
        <x:v>1</x:v>
      </x:c>
      <x:c r="H631" s="7" t="str"/>
      <x:c r="I631" s="7" t="str"/>
      <x:c r="J631" s="7" t="str">
        <x:f>IF(OR(H631="",I631=""),"",I631-H631)</x:f>
      </x:c>
      <x:c r="K631" s="7" t="str"/>
      <x:c r="L631" s="7" t="str"/>
      <x:c r="M631" s="7" t="str"/>
      <x:c r="N631" s="7" t="str">
        <x:f>IF(M631="","OPEN",IF(OR(NOT(ISNUMBER(H631)),NOT(ISNUMBER(I631)),K631="",L631=""),"FAIL","PASS"))</x:f>
        <x:v>OPEN</x:v>
      </x:c>
    </x:row>
    <x:row r="632">
      <x:c r="B632" s="7" t="str">
        <x:v>TRO-B-03-S1-O1-R2</x:v>
      </x:c>
      <x:c r="C632" s="7" t="str">
        <x:v>BLD-B</x:v>
      </x:c>
      <x:c r="D632" s="7" t="str">
        <x:v>MF-03</x:v>
      </x:c>
      <x:c r="E632" s="7" t="str">
        <x:v>STD-03-1</x:v>
      </x:c>
      <x:c r="F632" s="7" t="str">
        <x:v>OP-1</x:v>
      </x:c>
      <x:c r="G632" s="7" t="n">
        <x:v>2</x:v>
      </x:c>
      <x:c r="H632" s="7" t="str"/>
      <x:c r="I632" s="7" t="str"/>
      <x:c r="J632" s="7" t="str">
        <x:f>IF(OR(H632="",I632=""),"",I632-H632)</x:f>
      </x:c>
      <x:c r="K632" s="7" t="str"/>
      <x:c r="L632" s="7" t="str"/>
      <x:c r="M632" s="7" t="str"/>
      <x:c r="N632" s="7" t="str">
        <x:f>IF(M632="","OPEN",IF(OR(NOT(ISNUMBER(H632)),NOT(ISNUMBER(I632)),K632="",L632=""),"FAIL","PASS"))</x:f>
        <x:v>OPEN</x:v>
      </x:c>
    </x:row>
    <x:row r="633">
      <x:c r="B633" s="7" t="str">
        <x:v>TRO-B-03-S1-O2-R1</x:v>
      </x:c>
      <x:c r="C633" s="7" t="str">
        <x:v>BLD-B</x:v>
      </x:c>
      <x:c r="D633" s="7" t="str">
        <x:v>MF-03</x:v>
      </x:c>
      <x:c r="E633" s="7" t="str">
        <x:v>STD-03-1</x:v>
      </x:c>
      <x:c r="F633" s="7" t="str">
        <x:v>OP-2</x:v>
      </x:c>
      <x:c r="G633" s="7" t="n">
        <x:v>1</x:v>
      </x:c>
      <x:c r="H633" s="7" t="str"/>
      <x:c r="I633" s="7" t="str"/>
      <x:c r="J633" s="7" t="str">
        <x:f>IF(OR(H633="",I633=""),"",I633-H633)</x:f>
      </x:c>
      <x:c r="K633" s="7" t="str"/>
      <x:c r="L633" s="7" t="str"/>
      <x:c r="M633" s="7" t="str"/>
      <x:c r="N633" s="7" t="str">
        <x:f>IF(M633="","OPEN",IF(OR(NOT(ISNUMBER(H633)),NOT(ISNUMBER(I633)),K633="",L633=""),"FAIL","PASS"))</x:f>
        <x:v>OPEN</x:v>
      </x:c>
    </x:row>
    <x:row r="634">
      <x:c r="B634" s="7" t="str">
        <x:v>TRO-B-03-S1-O2-R2</x:v>
      </x:c>
      <x:c r="C634" s="7" t="str">
        <x:v>BLD-B</x:v>
      </x:c>
      <x:c r="D634" s="7" t="str">
        <x:v>MF-03</x:v>
      </x:c>
      <x:c r="E634" s="7" t="str">
        <x:v>STD-03-1</x:v>
      </x:c>
      <x:c r="F634" s="7" t="str">
        <x:v>OP-2</x:v>
      </x:c>
      <x:c r="G634" s="7" t="n">
        <x:v>2</x:v>
      </x:c>
      <x:c r="H634" s="7" t="str"/>
      <x:c r="I634" s="7" t="str"/>
      <x:c r="J634" s="7" t="str">
        <x:f>IF(OR(H634="",I634=""),"",I634-H634)</x:f>
      </x:c>
      <x:c r="K634" s="7" t="str"/>
      <x:c r="L634" s="7" t="str"/>
      <x:c r="M634" s="7" t="str"/>
      <x:c r="N634" s="7" t="str">
        <x:f>IF(M634="","OPEN",IF(OR(NOT(ISNUMBER(H634)),NOT(ISNUMBER(I634)),K634="",L634=""),"FAIL","PASS"))</x:f>
        <x:v>OPEN</x:v>
      </x:c>
    </x:row>
    <x:row r="635">
      <x:c r="B635" s="7" t="str">
        <x:v>TRO-B-03-S2-O1-R1</x:v>
      </x:c>
      <x:c r="C635" s="7" t="str">
        <x:v>BLD-B</x:v>
      </x:c>
      <x:c r="D635" s="7" t="str">
        <x:v>MF-03</x:v>
      </x:c>
      <x:c r="E635" s="7" t="str">
        <x:v>STD-03-2</x:v>
      </x:c>
      <x:c r="F635" s="7" t="str">
        <x:v>OP-1</x:v>
      </x:c>
      <x:c r="G635" s="7" t="n">
        <x:v>1</x:v>
      </x:c>
      <x:c r="H635" s="7" t="str"/>
      <x:c r="I635" s="7" t="str"/>
      <x:c r="J635" s="7" t="str">
        <x:f>IF(OR(H635="",I635=""),"",I635-H635)</x:f>
      </x:c>
      <x:c r="K635" s="7" t="str"/>
      <x:c r="L635" s="7" t="str"/>
      <x:c r="M635" s="7" t="str"/>
      <x:c r="N635" s="7" t="str">
        <x:f>IF(M635="","OPEN",IF(OR(NOT(ISNUMBER(H635)),NOT(ISNUMBER(I635)),K635="",L635=""),"FAIL","PASS"))</x:f>
        <x:v>OPEN</x:v>
      </x:c>
    </x:row>
    <x:row r="636">
      <x:c r="B636" s="7" t="str">
        <x:v>TRO-B-03-S2-O1-R2</x:v>
      </x:c>
      <x:c r="C636" s="7" t="str">
        <x:v>BLD-B</x:v>
      </x:c>
      <x:c r="D636" s="7" t="str">
        <x:v>MF-03</x:v>
      </x:c>
      <x:c r="E636" s="7" t="str">
        <x:v>STD-03-2</x:v>
      </x:c>
      <x:c r="F636" s="7" t="str">
        <x:v>OP-1</x:v>
      </x:c>
      <x:c r="G636" s="7" t="n">
        <x:v>2</x:v>
      </x:c>
      <x:c r="H636" s="7" t="str"/>
      <x:c r="I636" s="7" t="str"/>
      <x:c r="J636" s="7" t="str">
        <x:f>IF(OR(H636="",I636=""),"",I636-H636)</x:f>
      </x:c>
      <x:c r="K636" s="7" t="str"/>
      <x:c r="L636" s="7" t="str"/>
      <x:c r="M636" s="7" t="str"/>
      <x:c r="N636" s="7" t="str">
        <x:f>IF(M636="","OPEN",IF(OR(NOT(ISNUMBER(H636)),NOT(ISNUMBER(I636)),K636="",L636=""),"FAIL","PASS"))</x:f>
        <x:v>OPEN</x:v>
      </x:c>
    </x:row>
    <x:row r="637">
      <x:c r="B637" s="7" t="str">
        <x:v>TRO-B-03-S2-O2-R1</x:v>
      </x:c>
      <x:c r="C637" s="7" t="str">
        <x:v>BLD-B</x:v>
      </x:c>
      <x:c r="D637" s="7" t="str">
        <x:v>MF-03</x:v>
      </x:c>
      <x:c r="E637" s="7" t="str">
        <x:v>STD-03-2</x:v>
      </x:c>
      <x:c r="F637" s="7" t="str">
        <x:v>OP-2</x:v>
      </x:c>
      <x:c r="G637" s="7" t="n">
        <x:v>1</x:v>
      </x:c>
      <x:c r="H637" s="7" t="str"/>
      <x:c r="I637" s="7" t="str"/>
      <x:c r="J637" s="7" t="str">
        <x:f>IF(OR(H637="",I637=""),"",I637-H637)</x:f>
      </x:c>
      <x:c r="K637" s="7" t="str"/>
      <x:c r="L637" s="7" t="str"/>
      <x:c r="M637" s="7" t="str"/>
      <x:c r="N637" s="7" t="str">
        <x:f>IF(M637="","OPEN",IF(OR(NOT(ISNUMBER(H637)),NOT(ISNUMBER(I637)),K637="",L637=""),"FAIL","PASS"))</x:f>
        <x:v>OPEN</x:v>
      </x:c>
    </x:row>
    <x:row r="638">
      <x:c r="B638" s="7" t="str">
        <x:v>TRO-B-03-S2-O2-R2</x:v>
      </x:c>
      <x:c r="C638" s="7" t="str">
        <x:v>BLD-B</x:v>
      </x:c>
      <x:c r="D638" s="7" t="str">
        <x:v>MF-03</x:v>
      </x:c>
      <x:c r="E638" s="7" t="str">
        <x:v>STD-03-2</x:v>
      </x:c>
      <x:c r="F638" s="7" t="str">
        <x:v>OP-2</x:v>
      </x:c>
      <x:c r="G638" s="7" t="n">
        <x:v>2</x:v>
      </x:c>
      <x:c r="H638" s="7" t="str"/>
      <x:c r="I638" s="7" t="str"/>
      <x:c r="J638" s="7" t="str">
        <x:f>IF(OR(H638="",I638=""),"",I638-H638)</x:f>
      </x:c>
      <x:c r="K638" s="7" t="str"/>
      <x:c r="L638" s="7" t="str"/>
      <x:c r="M638" s="7" t="str"/>
      <x:c r="N638" s="7" t="str">
        <x:f>IF(M638="","OPEN",IF(OR(NOT(ISNUMBER(H638)),NOT(ISNUMBER(I638)),K638="",L638=""),"FAIL","PASS"))</x:f>
        <x:v>OPEN</x:v>
      </x:c>
    </x:row>
    <x:row r="639">
      <x:c r="B639" s="7" t="str">
        <x:v>TRO-B-03-S3-O1-R1</x:v>
      </x:c>
      <x:c r="C639" s="7" t="str">
        <x:v>BLD-B</x:v>
      </x:c>
      <x:c r="D639" s="7" t="str">
        <x:v>MF-03</x:v>
      </x:c>
      <x:c r="E639" s="7" t="str">
        <x:v>STD-03-3</x:v>
      </x:c>
      <x:c r="F639" s="7" t="str">
        <x:v>OP-1</x:v>
      </x:c>
      <x:c r="G639" s="7" t="n">
        <x:v>1</x:v>
      </x:c>
      <x:c r="H639" s="7" t="str"/>
      <x:c r="I639" s="7" t="str"/>
      <x:c r="J639" s="7" t="str">
        <x:f>IF(OR(H639="",I639=""),"",I639-H639)</x:f>
      </x:c>
      <x:c r="K639" s="7" t="str"/>
      <x:c r="L639" s="7" t="str"/>
      <x:c r="M639" s="7" t="str"/>
      <x:c r="N639" s="7" t="str">
        <x:f>IF(M639="","OPEN",IF(OR(NOT(ISNUMBER(H639)),NOT(ISNUMBER(I639)),K639="",L639=""),"FAIL","PASS"))</x:f>
        <x:v>OPEN</x:v>
      </x:c>
    </x:row>
    <x:row r="640">
      <x:c r="B640" s="7" t="str">
        <x:v>TRO-B-03-S3-O1-R2</x:v>
      </x:c>
      <x:c r="C640" s="7" t="str">
        <x:v>BLD-B</x:v>
      </x:c>
      <x:c r="D640" s="7" t="str">
        <x:v>MF-03</x:v>
      </x:c>
      <x:c r="E640" s="7" t="str">
        <x:v>STD-03-3</x:v>
      </x:c>
      <x:c r="F640" s="7" t="str">
        <x:v>OP-1</x:v>
      </x:c>
      <x:c r="G640" s="7" t="n">
        <x:v>2</x:v>
      </x:c>
      <x:c r="H640" s="7" t="str"/>
      <x:c r="I640" s="7" t="str"/>
      <x:c r="J640" s="7" t="str">
        <x:f>IF(OR(H640="",I640=""),"",I640-H640)</x:f>
      </x:c>
      <x:c r="K640" s="7" t="str"/>
      <x:c r="L640" s="7" t="str"/>
      <x:c r="M640" s="7" t="str"/>
      <x:c r="N640" s="7" t="str">
        <x:f>IF(M640="","OPEN",IF(OR(NOT(ISNUMBER(H640)),NOT(ISNUMBER(I640)),K640="",L640=""),"FAIL","PASS"))</x:f>
        <x:v>OPEN</x:v>
      </x:c>
    </x:row>
    <x:row r="641">
      <x:c r="B641" s="7" t="str">
        <x:v>TRO-B-03-S3-O2-R1</x:v>
      </x:c>
      <x:c r="C641" s="7" t="str">
        <x:v>BLD-B</x:v>
      </x:c>
      <x:c r="D641" s="7" t="str">
        <x:v>MF-03</x:v>
      </x:c>
      <x:c r="E641" s="7" t="str">
        <x:v>STD-03-3</x:v>
      </x:c>
      <x:c r="F641" s="7" t="str">
        <x:v>OP-2</x:v>
      </x:c>
      <x:c r="G641" s="7" t="n">
        <x:v>1</x:v>
      </x:c>
      <x:c r="H641" s="7" t="str"/>
      <x:c r="I641" s="7" t="str"/>
      <x:c r="J641" s="7" t="str">
        <x:f>IF(OR(H641="",I641=""),"",I641-H641)</x:f>
      </x:c>
      <x:c r="K641" s="7" t="str"/>
      <x:c r="L641" s="7" t="str"/>
      <x:c r="M641" s="7" t="str"/>
      <x:c r="N641" s="7" t="str">
        <x:f>IF(M641="","OPEN",IF(OR(NOT(ISNUMBER(H641)),NOT(ISNUMBER(I641)),K641="",L641=""),"FAIL","PASS"))</x:f>
        <x:v>OPEN</x:v>
      </x:c>
    </x:row>
    <x:row r="642">
      <x:c r="B642" s="7" t="str">
        <x:v>TRO-B-03-S3-O2-R2</x:v>
      </x:c>
      <x:c r="C642" s="7" t="str">
        <x:v>BLD-B</x:v>
      </x:c>
      <x:c r="D642" s="7" t="str">
        <x:v>MF-03</x:v>
      </x:c>
      <x:c r="E642" s="7" t="str">
        <x:v>STD-03-3</x:v>
      </x:c>
      <x:c r="F642" s="7" t="str">
        <x:v>OP-2</x:v>
      </x:c>
      <x:c r="G642" s="7" t="n">
        <x:v>2</x:v>
      </x:c>
      <x:c r="H642" s="7" t="str"/>
      <x:c r="I642" s="7" t="str"/>
      <x:c r="J642" s="7" t="str">
        <x:f>IF(OR(H642="",I642=""),"",I642-H642)</x:f>
      </x:c>
      <x:c r="K642" s="7" t="str"/>
      <x:c r="L642" s="7" t="str"/>
      <x:c r="M642" s="7" t="str"/>
      <x:c r="N642" s="7" t="str">
        <x:f>IF(M642="","OPEN",IF(OR(NOT(ISNUMBER(H642)),NOT(ISNUMBER(I642)),K642="",L642=""),"FAIL","PASS"))</x:f>
        <x:v>OPEN</x:v>
      </x:c>
    </x:row>
    <x:row r="643">
      <x:c r="B643" s="7" t="str">
        <x:v>TRO-B-03-S4-O1-R1</x:v>
      </x:c>
      <x:c r="C643" s="7" t="str">
        <x:v>BLD-B</x:v>
      </x:c>
      <x:c r="D643" s="7" t="str">
        <x:v>MF-03</x:v>
      </x:c>
      <x:c r="E643" s="7" t="str">
        <x:v>STD-03-4</x:v>
      </x:c>
      <x:c r="F643" s="7" t="str">
        <x:v>OP-1</x:v>
      </x:c>
      <x:c r="G643" s="7" t="n">
        <x:v>1</x:v>
      </x:c>
      <x:c r="H643" s="7" t="str"/>
      <x:c r="I643" s="7" t="str"/>
      <x:c r="J643" s="7" t="str">
        <x:f>IF(OR(H643="",I643=""),"",I643-H643)</x:f>
      </x:c>
      <x:c r="K643" s="7" t="str"/>
      <x:c r="L643" s="7" t="str"/>
      <x:c r="M643" s="7" t="str"/>
      <x:c r="N643" s="7" t="str">
        <x:f>IF(M643="","OPEN",IF(OR(NOT(ISNUMBER(H643)),NOT(ISNUMBER(I643)),K643="",L643=""),"FAIL","PASS"))</x:f>
        <x:v>OPEN</x:v>
      </x:c>
    </x:row>
    <x:row r="644">
      <x:c r="B644" s="7" t="str">
        <x:v>TRO-B-03-S4-O1-R2</x:v>
      </x:c>
      <x:c r="C644" s="7" t="str">
        <x:v>BLD-B</x:v>
      </x:c>
      <x:c r="D644" s="7" t="str">
        <x:v>MF-03</x:v>
      </x:c>
      <x:c r="E644" s="7" t="str">
        <x:v>STD-03-4</x:v>
      </x:c>
      <x:c r="F644" s="7" t="str">
        <x:v>OP-1</x:v>
      </x:c>
      <x:c r="G644" s="7" t="n">
        <x:v>2</x:v>
      </x:c>
      <x:c r="H644" s="7" t="str"/>
      <x:c r="I644" s="7" t="str"/>
      <x:c r="J644" s="7" t="str">
        <x:f>IF(OR(H644="",I644=""),"",I644-H644)</x:f>
      </x:c>
      <x:c r="K644" s="7" t="str"/>
      <x:c r="L644" s="7" t="str"/>
      <x:c r="M644" s="7" t="str"/>
      <x:c r="N644" s="7" t="str">
        <x:f>IF(M644="","OPEN",IF(OR(NOT(ISNUMBER(H644)),NOT(ISNUMBER(I644)),K644="",L644=""),"FAIL","PASS"))</x:f>
        <x:v>OPEN</x:v>
      </x:c>
    </x:row>
    <x:row r="645">
      <x:c r="B645" s="7" t="str">
        <x:v>TRO-B-03-S4-O2-R1</x:v>
      </x:c>
      <x:c r="C645" s="7" t="str">
        <x:v>BLD-B</x:v>
      </x:c>
      <x:c r="D645" s="7" t="str">
        <x:v>MF-03</x:v>
      </x:c>
      <x:c r="E645" s="7" t="str">
        <x:v>STD-03-4</x:v>
      </x:c>
      <x:c r="F645" s="7" t="str">
        <x:v>OP-2</x:v>
      </x:c>
      <x:c r="G645" s="7" t="n">
        <x:v>1</x:v>
      </x:c>
      <x:c r="H645" s="7" t="str"/>
      <x:c r="I645" s="7" t="str"/>
      <x:c r="J645" s="7" t="str">
        <x:f>IF(OR(H645="",I645=""),"",I645-H645)</x:f>
      </x:c>
      <x:c r="K645" s="7" t="str"/>
      <x:c r="L645" s="7" t="str"/>
      <x:c r="M645" s="7" t="str"/>
      <x:c r="N645" s="7" t="str">
        <x:f>IF(M645="","OPEN",IF(OR(NOT(ISNUMBER(H645)),NOT(ISNUMBER(I645)),K645="",L645=""),"FAIL","PASS"))</x:f>
        <x:v>OPEN</x:v>
      </x:c>
    </x:row>
    <x:row r="646">
      <x:c r="B646" s="7" t="str">
        <x:v>TRO-B-03-S4-O2-R2</x:v>
      </x:c>
      <x:c r="C646" s="7" t="str">
        <x:v>BLD-B</x:v>
      </x:c>
      <x:c r="D646" s="7" t="str">
        <x:v>MF-03</x:v>
      </x:c>
      <x:c r="E646" s="7" t="str">
        <x:v>STD-03-4</x:v>
      </x:c>
      <x:c r="F646" s="7" t="str">
        <x:v>OP-2</x:v>
      </x:c>
      <x:c r="G646" s="7" t="n">
        <x:v>2</x:v>
      </x:c>
      <x:c r="H646" s="7" t="str"/>
      <x:c r="I646" s="7" t="str"/>
      <x:c r="J646" s="7" t="str">
        <x:f>IF(OR(H646="",I646=""),"",I646-H646)</x:f>
      </x:c>
      <x:c r="K646" s="7" t="str"/>
      <x:c r="L646" s="7" t="str"/>
      <x:c r="M646" s="7" t="str"/>
      <x:c r="N646" s="7" t="str">
        <x:f>IF(M646="","OPEN",IF(OR(NOT(ISNUMBER(H646)),NOT(ISNUMBER(I646)),K646="",L646=""),"FAIL","PASS"))</x:f>
        <x:v>OPEN</x:v>
      </x:c>
    </x:row>
    <x:row r="647">
      <x:c r="B647" s="7" t="str">
        <x:v>TRO-B-03-S5-O1-R1</x:v>
      </x:c>
      <x:c r="C647" s="7" t="str">
        <x:v>BLD-B</x:v>
      </x:c>
      <x:c r="D647" s="7" t="str">
        <x:v>MF-03</x:v>
      </x:c>
      <x:c r="E647" s="7" t="str">
        <x:v>STD-03-5</x:v>
      </x:c>
      <x:c r="F647" s="7" t="str">
        <x:v>OP-1</x:v>
      </x:c>
      <x:c r="G647" s="7" t="n">
        <x:v>1</x:v>
      </x:c>
      <x:c r="H647" s="7" t="str"/>
      <x:c r="I647" s="7" t="str"/>
      <x:c r="J647" s="7" t="str">
        <x:f>IF(OR(H647="",I647=""),"",I647-H647)</x:f>
      </x:c>
      <x:c r="K647" s="7" t="str"/>
      <x:c r="L647" s="7" t="str"/>
      <x:c r="M647" s="7" t="str"/>
      <x:c r="N647" s="7" t="str">
        <x:f>IF(M647="","OPEN",IF(OR(NOT(ISNUMBER(H647)),NOT(ISNUMBER(I647)),K647="",L647=""),"FAIL","PASS"))</x:f>
        <x:v>OPEN</x:v>
      </x:c>
    </x:row>
    <x:row r="648">
      <x:c r="B648" s="7" t="str">
        <x:v>TRO-B-03-S5-O1-R2</x:v>
      </x:c>
      <x:c r="C648" s="7" t="str">
        <x:v>BLD-B</x:v>
      </x:c>
      <x:c r="D648" s="7" t="str">
        <x:v>MF-03</x:v>
      </x:c>
      <x:c r="E648" s="7" t="str">
        <x:v>STD-03-5</x:v>
      </x:c>
      <x:c r="F648" s="7" t="str">
        <x:v>OP-1</x:v>
      </x:c>
      <x:c r="G648" s="7" t="n">
        <x:v>2</x:v>
      </x:c>
      <x:c r="H648" s="7" t="str"/>
      <x:c r="I648" s="7" t="str"/>
      <x:c r="J648" s="7" t="str">
        <x:f>IF(OR(H648="",I648=""),"",I648-H648)</x:f>
      </x:c>
      <x:c r="K648" s="7" t="str"/>
      <x:c r="L648" s="7" t="str"/>
      <x:c r="M648" s="7" t="str"/>
      <x:c r="N648" s="7" t="str">
        <x:f>IF(M648="","OPEN",IF(OR(NOT(ISNUMBER(H648)),NOT(ISNUMBER(I648)),K648="",L648=""),"FAIL","PASS"))</x:f>
        <x:v>OPEN</x:v>
      </x:c>
    </x:row>
    <x:row r="649">
      <x:c r="B649" s="7" t="str">
        <x:v>TRO-B-03-S5-O2-R1</x:v>
      </x:c>
      <x:c r="C649" s="7" t="str">
        <x:v>BLD-B</x:v>
      </x:c>
      <x:c r="D649" s="7" t="str">
        <x:v>MF-03</x:v>
      </x:c>
      <x:c r="E649" s="7" t="str">
        <x:v>STD-03-5</x:v>
      </x:c>
      <x:c r="F649" s="7" t="str">
        <x:v>OP-2</x:v>
      </x:c>
      <x:c r="G649" s="7" t="n">
        <x:v>1</x:v>
      </x:c>
      <x:c r="H649" s="7" t="str"/>
      <x:c r="I649" s="7" t="str"/>
      <x:c r="J649" s="7" t="str">
        <x:f>IF(OR(H649="",I649=""),"",I649-H649)</x:f>
      </x:c>
      <x:c r="K649" s="7" t="str"/>
      <x:c r="L649" s="7" t="str"/>
      <x:c r="M649" s="7" t="str"/>
      <x:c r="N649" s="7" t="str">
        <x:f>IF(M649="","OPEN",IF(OR(NOT(ISNUMBER(H649)),NOT(ISNUMBER(I649)),K649="",L649=""),"FAIL","PASS"))</x:f>
        <x:v>OPEN</x:v>
      </x:c>
    </x:row>
    <x:row r="650">
      <x:c r="B650" s="7" t="str">
        <x:v>TRO-B-03-S5-O2-R2</x:v>
      </x:c>
      <x:c r="C650" s="7" t="str">
        <x:v>BLD-B</x:v>
      </x:c>
      <x:c r="D650" s="7" t="str">
        <x:v>MF-03</x:v>
      </x:c>
      <x:c r="E650" s="7" t="str">
        <x:v>STD-03-5</x:v>
      </x:c>
      <x:c r="F650" s="7" t="str">
        <x:v>OP-2</x:v>
      </x:c>
      <x:c r="G650" s="7" t="n">
        <x:v>2</x:v>
      </x:c>
      <x:c r="H650" s="7" t="str"/>
      <x:c r="I650" s="7" t="str"/>
      <x:c r="J650" s="7" t="str">
        <x:f>IF(OR(H650="",I650=""),"",I650-H650)</x:f>
      </x:c>
      <x:c r="K650" s="7" t="str"/>
      <x:c r="L650" s="7" t="str"/>
      <x:c r="M650" s="7" t="str"/>
      <x:c r="N650" s="7" t="str">
        <x:f>IF(M650="","OPEN",IF(OR(NOT(ISNUMBER(H650)),NOT(ISNUMBER(I650)),K650="",L650=""),"FAIL","PASS"))</x:f>
        <x:v>OPEN</x:v>
      </x:c>
    </x:row>
    <x:row r="651">
      <x:c r="B651" s="7" t="str">
        <x:v>TRO-B-03-S6-O1-R1</x:v>
      </x:c>
      <x:c r="C651" s="7" t="str">
        <x:v>BLD-B</x:v>
      </x:c>
      <x:c r="D651" s="7" t="str">
        <x:v>MF-03</x:v>
      </x:c>
      <x:c r="E651" s="7" t="str">
        <x:v>STD-03-6</x:v>
      </x:c>
      <x:c r="F651" s="7" t="str">
        <x:v>OP-1</x:v>
      </x:c>
      <x:c r="G651" s="7" t="n">
        <x:v>1</x:v>
      </x:c>
      <x:c r="H651" s="7" t="str"/>
      <x:c r="I651" s="7" t="str"/>
      <x:c r="J651" s="7" t="str">
        <x:f>IF(OR(H651="",I651=""),"",I651-H651)</x:f>
      </x:c>
      <x:c r="K651" s="7" t="str"/>
      <x:c r="L651" s="7" t="str"/>
      <x:c r="M651" s="7" t="str"/>
      <x:c r="N651" s="7" t="str">
        <x:f>IF(M651="","OPEN",IF(OR(NOT(ISNUMBER(H651)),NOT(ISNUMBER(I651)),K651="",L651=""),"FAIL","PASS"))</x:f>
        <x:v>OPEN</x:v>
      </x:c>
    </x:row>
    <x:row r="652">
      <x:c r="B652" s="7" t="str">
        <x:v>TRO-B-03-S6-O1-R2</x:v>
      </x:c>
      <x:c r="C652" s="7" t="str">
        <x:v>BLD-B</x:v>
      </x:c>
      <x:c r="D652" s="7" t="str">
        <x:v>MF-03</x:v>
      </x:c>
      <x:c r="E652" s="7" t="str">
        <x:v>STD-03-6</x:v>
      </x:c>
      <x:c r="F652" s="7" t="str">
        <x:v>OP-1</x:v>
      </x:c>
      <x:c r="G652" s="7" t="n">
        <x:v>2</x:v>
      </x:c>
      <x:c r="H652" s="7" t="str"/>
      <x:c r="I652" s="7" t="str"/>
      <x:c r="J652" s="7" t="str">
        <x:f>IF(OR(H652="",I652=""),"",I652-H652)</x:f>
      </x:c>
      <x:c r="K652" s="7" t="str"/>
      <x:c r="L652" s="7" t="str"/>
      <x:c r="M652" s="7" t="str"/>
      <x:c r="N652" s="7" t="str">
        <x:f>IF(M652="","OPEN",IF(OR(NOT(ISNUMBER(H652)),NOT(ISNUMBER(I652)),K652="",L652=""),"FAIL","PASS"))</x:f>
        <x:v>OPEN</x:v>
      </x:c>
    </x:row>
    <x:row r="653">
      <x:c r="B653" s="7" t="str">
        <x:v>TRO-B-03-S6-O2-R1</x:v>
      </x:c>
      <x:c r="C653" s="7" t="str">
        <x:v>BLD-B</x:v>
      </x:c>
      <x:c r="D653" s="7" t="str">
        <x:v>MF-03</x:v>
      </x:c>
      <x:c r="E653" s="7" t="str">
        <x:v>STD-03-6</x:v>
      </x:c>
      <x:c r="F653" s="7" t="str">
        <x:v>OP-2</x:v>
      </x:c>
      <x:c r="G653" s="7" t="n">
        <x:v>1</x:v>
      </x:c>
      <x:c r="H653" s="7" t="str"/>
      <x:c r="I653" s="7" t="str"/>
      <x:c r="J653" s="7" t="str">
        <x:f>IF(OR(H653="",I653=""),"",I653-H653)</x:f>
      </x:c>
      <x:c r="K653" s="7" t="str"/>
      <x:c r="L653" s="7" t="str"/>
      <x:c r="M653" s="7" t="str"/>
      <x:c r="N653" s="7" t="str">
        <x:f>IF(M653="","OPEN",IF(OR(NOT(ISNUMBER(H653)),NOT(ISNUMBER(I653)),K653="",L653=""),"FAIL","PASS"))</x:f>
        <x:v>OPEN</x:v>
      </x:c>
    </x:row>
    <x:row r="654">
      <x:c r="B654" s="7" t="str">
        <x:v>TRO-B-03-S6-O2-R2</x:v>
      </x:c>
      <x:c r="C654" s="7" t="str">
        <x:v>BLD-B</x:v>
      </x:c>
      <x:c r="D654" s="7" t="str">
        <x:v>MF-03</x:v>
      </x:c>
      <x:c r="E654" s="7" t="str">
        <x:v>STD-03-6</x:v>
      </x:c>
      <x:c r="F654" s="7" t="str">
        <x:v>OP-2</x:v>
      </x:c>
      <x:c r="G654" s="7" t="n">
        <x:v>2</x:v>
      </x:c>
      <x:c r="H654" s="7" t="str"/>
      <x:c r="I654" s="7" t="str"/>
      <x:c r="J654" s="7" t="str">
        <x:f>IF(OR(H654="",I654=""),"",I654-H654)</x:f>
      </x:c>
      <x:c r="K654" s="7" t="str"/>
      <x:c r="L654" s="7" t="str"/>
      <x:c r="M654" s="7" t="str"/>
      <x:c r="N654" s="7" t="str">
        <x:f>IF(M654="","OPEN",IF(OR(NOT(ISNUMBER(H654)),NOT(ISNUMBER(I654)),K654="",L654=""),"FAIL","PASS"))</x:f>
        <x:v>OPEN</x:v>
      </x:c>
    </x:row>
    <x:row r="655">
      <x:c r="B655" s="7" t="str">
        <x:v>TRO-B-04-S1-O1-R1</x:v>
      </x:c>
      <x:c r="C655" s="7" t="str">
        <x:v>BLD-B</x:v>
      </x:c>
      <x:c r="D655" s="7" t="str">
        <x:v>MF-04</x:v>
      </x:c>
      <x:c r="E655" s="7" t="str">
        <x:v>STD-04-1</x:v>
      </x:c>
      <x:c r="F655" s="7" t="str">
        <x:v>OP-1</x:v>
      </x:c>
      <x:c r="G655" s="7" t="n">
        <x:v>1</x:v>
      </x:c>
      <x:c r="H655" s="7" t="str"/>
      <x:c r="I655" s="7" t="str"/>
      <x:c r="J655" s="7" t="str">
        <x:f>IF(OR(H655="",I655=""),"",I655-H655)</x:f>
      </x:c>
      <x:c r="K655" s="7" t="str"/>
      <x:c r="L655" s="7" t="str"/>
      <x:c r="M655" s="7" t="str"/>
      <x:c r="N655" s="7" t="str">
        <x:f>IF(M655="","OPEN",IF(OR(NOT(ISNUMBER(H655)),NOT(ISNUMBER(I655)),K655="",L655=""),"FAIL","PASS"))</x:f>
        <x:v>OPEN</x:v>
      </x:c>
    </x:row>
    <x:row r="656">
      <x:c r="B656" s="7" t="str">
        <x:v>TRO-B-04-S1-O1-R2</x:v>
      </x:c>
      <x:c r="C656" s="7" t="str">
        <x:v>BLD-B</x:v>
      </x:c>
      <x:c r="D656" s="7" t="str">
        <x:v>MF-04</x:v>
      </x:c>
      <x:c r="E656" s="7" t="str">
        <x:v>STD-04-1</x:v>
      </x:c>
      <x:c r="F656" s="7" t="str">
        <x:v>OP-1</x:v>
      </x:c>
      <x:c r="G656" s="7" t="n">
        <x:v>2</x:v>
      </x:c>
      <x:c r="H656" s="7" t="str"/>
      <x:c r="I656" s="7" t="str"/>
      <x:c r="J656" s="7" t="str">
        <x:f>IF(OR(H656="",I656=""),"",I656-H656)</x:f>
      </x:c>
      <x:c r="K656" s="7" t="str"/>
      <x:c r="L656" s="7" t="str"/>
      <x:c r="M656" s="7" t="str"/>
      <x:c r="N656" s="7" t="str">
        <x:f>IF(M656="","OPEN",IF(OR(NOT(ISNUMBER(H656)),NOT(ISNUMBER(I656)),K656="",L656=""),"FAIL","PASS"))</x:f>
        <x:v>OPEN</x:v>
      </x:c>
    </x:row>
    <x:row r="657">
      <x:c r="B657" s="7" t="str">
        <x:v>TRO-B-04-S1-O2-R1</x:v>
      </x:c>
      <x:c r="C657" s="7" t="str">
        <x:v>BLD-B</x:v>
      </x:c>
      <x:c r="D657" s="7" t="str">
        <x:v>MF-04</x:v>
      </x:c>
      <x:c r="E657" s="7" t="str">
        <x:v>STD-04-1</x:v>
      </x:c>
      <x:c r="F657" s="7" t="str">
        <x:v>OP-2</x:v>
      </x:c>
      <x:c r="G657" s="7" t="n">
        <x:v>1</x:v>
      </x:c>
      <x:c r="H657" s="7" t="str"/>
      <x:c r="I657" s="7" t="str"/>
      <x:c r="J657" s="7" t="str">
        <x:f>IF(OR(H657="",I657=""),"",I657-H657)</x:f>
      </x:c>
      <x:c r="K657" s="7" t="str"/>
      <x:c r="L657" s="7" t="str"/>
      <x:c r="M657" s="7" t="str"/>
      <x:c r="N657" s="7" t="str">
        <x:f>IF(M657="","OPEN",IF(OR(NOT(ISNUMBER(H657)),NOT(ISNUMBER(I657)),K657="",L657=""),"FAIL","PASS"))</x:f>
        <x:v>OPEN</x:v>
      </x:c>
    </x:row>
    <x:row r="658">
      <x:c r="B658" s="7" t="str">
        <x:v>TRO-B-04-S1-O2-R2</x:v>
      </x:c>
      <x:c r="C658" s="7" t="str">
        <x:v>BLD-B</x:v>
      </x:c>
      <x:c r="D658" s="7" t="str">
        <x:v>MF-04</x:v>
      </x:c>
      <x:c r="E658" s="7" t="str">
        <x:v>STD-04-1</x:v>
      </x:c>
      <x:c r="F658" s="7" t="str">
        <x:v>OP-2</x:v>
      </x:c>
      <x:c r="G658" s="7" t="n">
        <x:v>2</x:v>
      </x:c>
      <x:c r="H658" s="7" t="str"/>
      <x:c r="I658" s="7" t="str"/>
      <x:c r="J658" s="7" t="str">
        <x:f>IF(OR(H658="",I658=""),"",I658-H658)</x:f>
      </x:c>
      <x:c r="K658" s="7" t="str"/>
      <x:c r="L658" s="7" t="str"/>
      <x:c r="M658" s="7" t="str"/>
      <x:c r="N658" s="7" t="str">
        <x:f>IF(M658="","OPEN",IF(OR(NOT(ISNUMBER(H658)),NOT(ISNUMBER(I658)),K658="",L658=""),"FAIL","PASS"))</x:f>
        <x:v>OPEN</x:v>
      </x:c>
    </x:row>
    <x:row r="659">
      <x:c r="B659" s="7" t="str">
        <x:v>TRO-B-04-S2-O1-R1</x:v>
      </x:c>
      <x:c r="C659" s="7" t="str">
        <x:v>BLD-B</x:v>
      </x:c>
      <x:c r="D659" s="7" t="str">
        <x:v>MF-04</x:v>
      </x:c>
      <x:c r="E659" s="7" t="str">
        <x:v>STD-04-2</x:v>
      </x:c>
      <x:c r="F659" s="7" t="str">
        <x:v>OP-1</x:v>
      </x:c>
      <x:c r="G659" s="7" t="n">
        <x:v>1</x:v>
      </x:c>
      <x:c r="H659" s="7" t="str"/>
      <x:c r="I659" s="7" t="str"/>
      <x:c r="J659" s="7" t="str">
        <x:f>IF(OR(H659="",I659=""),"",I659-H659)</x:f>
      </x:c>
      <x:c r="K659" s="7" t="str"/>
      <x:c r="L659" s="7" t="str"/>
      <x:c r="M659" s="7" t="str"/>
      <x:c r="N659" s="7" t="str">
        <x:f>IF(M659="","OPEN",IF(OR(NOT(ISNUMBER(H659)),NOT(ISNUMBER(I659)),K659="",L659=""),"FAIL","PASS"))</x:f>
        <x:v>OPEN</x:v>
      </x:c>
    </x:row>
    <x:row r="660">
      <x:c r="B660" s="7" t="str">
        <x:v>TRO-B-04-S2-O1-R2</x:v>
      </x:c>
      <x:c r="C660" s="7" t="str">
        <x:v>BLD-B</x:v>
      </x:c>
      <x:c r="D660" s="7" t="str">
        <x:v>MF-04</x:v>
      </x:c>
      <x:c r="E660" s="7" t="str">
        <x:v>STD-04-2</x:v>
      </x:c>
      <x:c r="F660" s="7" t="str">
        <x:v>OP-1</x:v>
      </x:c>
      <x:c r="G660" s="7" t="n">
        <x:v>2</x:v>
      </x:c>
      <x:c r="H660" s="7" t="str"/>
      <x:c r="I660" s="7" t="str"/>
      <x:c r="J660" s="7" t="str">
        <x:f>IF(OR(H660="",I660=""),"",I660-H660)</x:f>
      </x:c>
      <x:c r="K660" s="7" t="str"/>
      <x:c r="L660" s="7" t="str"/>
      <x:c r="M660" s="7" t="str"/>
      <x:c r="N660" s="7" t="str">
        <x:f>IF(M660="","OPEN",IF(OR(NOT(ISNUMBER(H660)),NOT(ISNUMBER(I660)),K660="",L660=""),"FAIL","PASS"))</x:f>
        <x:v>OPEN</x:v>
      </x:c>
    </x:row>
    <x:row r="661">
      <x:c r="B661" s="7" t="str">
        <x:v>TRO-B-04-S2-O2-R1</x:v>
      </x:c>
      <x:c r="C661" s="7" t="str">
        <x:v>BLD-B</x:v>
      </x:c>
      <x:c r="D661" s="7" t="str">
        <x:v>MF-04</x:v>
      </x:c>
      <x:c r="E661" s="7" t="str">
        <x:v>STD-04-2</x:v>
      </x:c>
      <x:c r="F661" s="7" t="str">
        <x:v>OP-2</x:v>
      </x:c>
      <x:c r="G661" s="7" t="n">
        <x:v>1</x:v>
      </x:c>
      <x:c r="H661" s="7" t="str"/>
      <x:c r="I661" s="7" t="str"/>
      <x:c r="J661" s="7" t="str">
        <x:f>IF(OR(H661="",I661=""),"",I661-H661)</x:f>
      </x:c>
      <x:c r="K661" s="7" t="str"/>
      <x:c r="L661" s="7" t="str"/>
      <x:c r="M661" s="7" t="str"/>
      <x:c r="N661" s="7" t="str">
        <x:f>IF(M661="","OPEN",IF(OR(NOT(ISNUMBER(H661)),NOT(ISNUMBER(I661)),K661="",L661=""),"FAIL","PASS"))</x:f>
        <x:v>OPEN</x:v>
      </x:c>
    </x:row>
    <x:row r="662">
      <x:c r="B662" s="7" t="str">
        <x:v>TRO-B-04-S2-O2-R2</x:v>
      </x:c>
      <x:c r="C662" s="7" t="str">
        <x:v>BLD-B</x:v>
      </x:c>
      <x:c r="D662" s="7" t="str">
        <x:v>MF-04</x:v>
      </x:c>
      <x:c r="E662" s="7" t="str">
        <x:v>STD-04-2</x:v>
      </x:c>
      <x:c r="F662" s="7" t="str">
        <x:v>OP-2</x:v>
      </x:c>
      <x:c r="G662" s="7" t="n">
        <x:v>2</x:v>
      </x:c>
      <x:c r="H662" s="7" t="str"/>
      <x:c r="I662" s="7" t="str"/>
      <x:c r="J662" s="7" t="str">
        <x:f>IF(OR(H662="",I662=""),"",I662-H662)</x:f>
      </x:c>
      <x:c r="K662" s="7" t="str"/>
      <x:c r="L662" s="7" t="str"/>
      <x:c r="M662" s="7" t="str"/>
      <x:c r="N662" s="7" t="str">
        <x:f>IF(M662="","OPEN",IF(OR(NOT(ISNUMBER(H662)),NOT(ISNUMBER(I662)),K662="",L662=""),"FAIL","PASS"))</x:f>
        <x:v>OPEN</x:v>
      </x:c>
    </x:row>
    <x:row r="663">
      <x:c r="B663" s="7" t="str">
        <x:v>TRO-B-04-S3-O1-R1</x:v>
      </x:c>
      <x:c r="C663" s="7" t="str">
        <x:v>BLD-B</x:v>
      </x:c>
      <x:c r="D663" s="7" t="str">
        <x:v>MF-04</x:v>
      </x:c>
      <x:c r="E663" s="7" t="str">
        <x:v>STD-04-3</x:v>
      </x:c>
      <x:c r="F663" s="7" t="str">
        <x:v>OP-1</x:v>
      </x:c>
      <x:c r="G663" s="7" t="n">
        <x:v>1</x:v>
      </x:c>
      <x:c r="H663" s="7" t="str"/>
      <x:c r="I663" s="7" t="str"/>
      <x:c r="J663" s="7" t="str">
        <x:f>IF(OR(H663="",I663=""),"",I663-H663)</x:f>
      </x:c>
      <x:c r="K663" s="7" t="str"/>
      <x:c r="L663" s="7" t="str"/>
      <x:c r="M663" s="7" t="str"/>
      <x:c r="N663" s="7" t="str">
        <x:f>IF(M663="","OPEN",IF(OR(NOT(ISNUMBER(H663)),NOT(ISNUMBER(I663)),K663="",L663=""),"FAIL","PASS"))</x:f>
        <x:v>OPEN</x:v>
      </x:c>
    </x:row>
    <x:row r="664">
      <x:c r="B664" s="7" t="str">
        <x:v>TRO-B-04-S3-O1-R2</x:v>
      </x:c>
      <x:c r="C664" s="7" t="str">
        <x:v>BLD-B</x:v>
      </x:c>
      <x:c r="D664" s="7" t="str">
        <x:v>MF-04</x:v>
      </x:c>
      <x:c r="E664" s="7" t="str">
        <x:v>STD-04-3</x:v>
      </x:c>
      <x:c r="F664" s="7" t="str">
        <x:v>OP-1</x:v>
      </x:c>
      <x:c r="G664" s="7" t="n">
        <x:v>2</x:v>
      </x:c>
      <x:c r="H664" s="7" t="str"/>
      <x:c r="I664" s="7" t="str"/>
      <x:c r="J664" s="7" t="str">
        <x:f>IF(OR(H664="",I664=""),"",I664-H664)</x:f>
      </x:c>
      <x:c r="K664" s="7" t="str"/>
      <x:c r="L664" s="7" t="str"/>
      <x:c r="M664" s="7" t="str"/>
      <x:c r="N664" s="7" t="str">
        <x:f>IF(M664="","OPEN",IF(OR(NOT(ISNUMBER(H664)),NOT(ISNUMBER(I664)),K664="",L664=""),"FAIL","PASS"))</x:f>
        <x:v>OPEN</x:v>
      </x:c>
    </x:row>
    <x:row r="665">
      <x:c r="B665" s="7" t="str">
        <x:v>TRO-B-04-S3-O2-R1</x:v>
      </x:c>
      <x:c r="C665" s="7" t="str">
        <x:v>BLD-B</x:v>
      </x:c>
      <x:c r="D665" s="7" t="str">
        <x:v>MF-04</x:v>
      </x:c>
      <x:c r="E665" s="7" t="str">
        <x:v>STD-04-3</x:v>
      </x:c>
      <x:c r="F665" s="7" t="str">
        <x:v>OP-2</x:v>
      </x:c>
      <x:c r="G665" s="7" t="n">
        <x:v>1</x:v>
      </x:c>
      <x:c r="H665" s="7" t="str"/>
      <x:c r="I665" s="7" t="str"/>
      <x:c r="J665" s="7" t="str">
        <x:f>IF(OR(H665="",I665=""),"",I665-H665)</x:f>
      </x:c>
      <x:c r="K665" s="7" t="str"/>
      <x:c r="L665" s="7" t="str"/>
      <x:c r="M665" s="7" t="str"/>
      <x:c r="N665" s="7" t="str">
        <x:f>IF(M665="","OPEN",IF(OR(NOT(ISNUMBER(H665)),NOT(ISNUMBER(I665)),K665="",L665=""),"FAIL","PASS"))</x:f>
        <x:v>OPEN</x:v>
      </x:c>
    </x:row>
    <x:row r="666">
      <x:c r="B666" s="7" t="str">
        <x:v>TRO-B-04-S3-O2-R2</x:v>
      </x:c>
      <x:c r="C666" s="7" t="str">
        <x:v>BLD-B</x:v>
      </x:c>
      <x:c r="D666" s="7" t="str">
        <x:v>MF-04</x:v>
      </x:c>
      <x:c r="E666" s="7" t="str">
        <x:v>STD-04-3</x:v>
      </x:c>
      <x:c r="F666" s="7" t="str">
        <x:v>OP-2</x:v>
      </x:c>
      <x:c r="G666" s="7" t="n">
        <x:v>2</x:v>
      </x:c>
      <x:c r="H666" s="7" t="str"/>
      <x:c r="I666" s="7" t="str"/>
      <x:c r="J666" s="7" t="str">
        <x:f>IF(OR(H666="",I666=""),"",I666-H666)</x:f>
      </x:c>
      <x:c r="K666" s="7" t="str"/>
      <x:c r="L666" s="7" t="str"/>
      <x:c r="M666" s="7" t="str"/>
      <x:c r="N666" s="7" t="str">
        <x:f>IF(M666="","OPEN",IF(OR(NOT(ISNUMBER(H666)),NOT(ISNUMBER(I666)),K666="",L666=""),"FAIL","PASS"))</x:f>
        <x:v>OPEN</x:v>
      </x:c>
    </x:row>
    <x:row r="667">
      <x:c r="B667" s="7" t="str">
        <x:v>TRO-B-04-S4-O1-R1</x:v>
      </x:c>
      <x:c r="C667" s="7" t="str">
        <x:v>BLD-B</x:v>
      </x:c>
      <x:c r="D667" s="7" t="str">
        <x:v>MF-04</x:v>
      </x:c>
      <x:c r="E667" s="7" t="str">
        <x:v>STD-04-4</x:v>
      </x:c>
      <x:c r="F667" s="7" t="str">
        <x:v>OP-1</x:v>
      </x:c>
      <x:c r="G667" s="7" t="n">
        <x:v>1</x:v>
      </x:c>
      <x:c r="H667" s="7" t="str"/>
      <x:c r="I667" s="7" t="str"/>
      <x:c r="J667" s="7" t="str">
        <x:f>IF(OR(H667="",I667=""),"",I667-H667)</x:f>
      </x:c>
      <x:c r="K667" s="7" t="str"/>
      <x:c r="L667" s="7" t="str"/>
      <x:c r="M667" s="7" t="str"/>
      <x:c r="N667" s="7" t="str">
        <x:f>IF(M667="","OPEN",IF(OR(NOT(ISNUMBER(H667)),NOT(ISNUMBER(I667)),K667="",L667=""),"FAIL","PASS"))</x:f>
        <x:v>OPEN</x:v>
      </x:c>
    </x:row>
    <x:row r="668">
      <x:c r="B668" s="7" t="str">
        <x:v>TRO-B-04-S4-O1-R2</x:v>
      </x:c>
      <x:c r="C668" s="7" t="str">
        <x:v>BLD-B</x:v>
      </x:c>
      <x:c r="D668" s="7" t="str">
        <x:v>MF-04</x:v>
      </x:c>
      <x:c r="E668" s="7" t="str">
        <x:v>STD-04-4</x:v>
      </x:c>
      <x:c r="F668" s="7" t="str">
        <x:v>OP-1</x:v>
      </x:c>
      <x:c r="G668" s="7" t="n">
        <x:v>2</x:v>
      </x:c>
      <x:c r="H668" s="7" t="str"/>
      <x:c r="I668" s="7" t="str"/>
      <x:c r="J668" s="7" t="str">
        <x:f>IF(OR(H668="",I668=""),"",I668-H668)</x:f>
      </x:c>
      <x:c r="K668" s="7" t="str"/>
      <x:c r="L668" s="7" t="str"/>
      <x:c r="M668" s="7" t="str"/>
      <x:c r="N668" s="7" t="str">
        <x:f>IF(M668="","OPEN",IF(OR(NOT(ISNUMBER(H668)),NOT(ISNUMBER(I668)),K668="",L668=""),"FAIL","PASS"))</x:f>
        <x:v>OPEN</x:v>
      </x:c>
    </x:row>
    <x:row r="669">
      <x:c r="B669" s="7" t="str">
        <x:v>TRO-B-04-S4-O2-R1</x:v>
      </x:c>
      <x:c r="C669" s="7" t="str">
        <x:v>BLD-B</x:v>
      </x:c>
      <x:c r="D669" s="7" t="str">
        <x:v>MF-04</x:v>
      </x:c>
      <x:c r="E669" s="7" t="str">
        <x:v>STD-04-4</x:v>
      </x:c>
      <x:c r="F669" s="7" t="str">
        <x:v>OP-2</x:v>
      </x:c>
      <x:c r="G669" s="7" t="n">
        <x:v>1</x:v>
      </x:c>
      <x:c r="H669" s="7" t="str"/>
      <x:c r="I669" s="7" t="str"/>
      <x:c r="J669" s="7" t="str">
        <x:f>IF(OR(H669="",I669=""),"",I669-H669)</x:f>
      </x:c>
      <x:c r="K669" s="7" t="str"/>
      <x:c r="L669" s="7" t="str"/>
      <x:c r="M669" s="7" t="str"/>
      <x:c r="N669" s="7" t="str">
        <x:f>IF(M669="","OPEN",IF(OR(NOT(ISNUMBER(H669)),NOT(ISNUMBER(I669)),K669="",L669=""),"FAIL","PASS"))</x:f>
        <x:v>OPEN</x:v>
      </x:c>
    </x:row>
    <x:row r="670">
      <x:c r="B670" s="7" t="str">
        <x:v>TRO-B-04-S4-O2-R2</x:v>
      </x:c>
      <x:c r="C670" s="7" t="str">
        <x:v>BLD-B</x:v>
      </x:c>
      <x:c r="D670" s="7" t="str">
        <x:v>MF-04</x:v>
      </x:c>
      <x:c r="E670" s="7" t="str">
        <x:v>STD-04-4</x:v>
      </x:c>
      <x:c r="F670" s="7" t="str">
        <x:v>OP-2</x:v>
      </x:c>
      <x:c r="G670" s="7" t="n">
        <x:v>2</x:v>
      </x:c>
      <x:c r="H670" s="7" t="str"/>
      <x:c r="I670" s="7" t="str"/>
      <x:c r="J670" s="7" t="str">
        <x:f>IF(OR(H670="",I670=""),"",I670-H670)</x:f>
      </x:c>
      <x:c r="K670" s="7" t="str"/>
      <x:c r="L670" s="7" t="str"/>
      <x:c r="M670" s="7" t="str"/>
      <x:c r="N670" s="7" t="str">
        <x:f>IF(M670="","OPEN",IF(OR(NOT(ISNUMBER(H670)),NOT(ISNUMBER(I670)),K670="",L670=""),"FAIL","PASS"))</x:f>
        <x:v>OPEN</x:v>
      </x:c>
    </x:row>
    <x:row r="671">
      <x:c r="B671" s="7" t="str">
        <x:v>TRO-B-04-S5-O1-R1</x:v>
      </x:c>
      <x:c r="C671" s="7" t="str">
        <x:v>BLD-B</x:v>
      </x:c>
      <x:c r="D671" s="7" t="str">
        <x:v>MF-04</x:v>
      </x:c>
      <x:c r="E671" s="7" t="str">
        <x:v>STD-04-5</x:v>
      </x:c>
      <x:c r="F671" s="7" t="str">
        <x:v>OP-1</x:v>
      </x:c>
      <x:c r="G671" s="7" t="n">
        <x:v>1</x:v>
      </x:c>
      <x:c r="H671" s="7" t="str"/>
      <x:c r="I671" s="7" t="str"/>
      <x:c r="J671" s="7" t="str">
        <x:f>IF(OR(H671="",I671=""),"",I671-H671)</x:f>
      </x:c>
      <x:c r="K671" s="7" t="str"/>
      <x:c r="L671" s="7" t="str"/>
      <x:c r="M671" s="7" t="str"/>
      <x:c r="N671" s="7" t="str">
        <x:f>IF(M671="","OPEN",IF(OR(NOT(ISNUMBER(H671)),NOT(ISNUMBER(I671)),K671="",L671=""),"FAIL","PASS"))</x:f>
        <x:v>OPEN</x:v>
      </x:c>
    </x:row>
    <x:row r="672">
      <x:c r="B672" s="7" t="str">
        <x:v>TRO-B-04-S5-O1-R2</x:v>
      </x:c>
      <x:c r="C672" s="7" t="str">
        <x:v>BLD-B</x:v>
      </x:c>
      <x:c r="D672" s="7" t="str">
        <x:v>MF-04</x:v>
      </x:c>
      <x:c r="E672" s="7" t="str">
        <x:v>STD-04-5</x:v>
      </x:c>
      <x:c r="F672" s="7" t="str">
        <x:v>OP-1</x:v>
      </x:c>
      <x:c r="G672" s="7" t="n">
        <x:v>2</x:v>
      </x:c>
      <x:c r="H672" s="7" t="str"/>
      <x:c r="I672" s="7" t="str"/>
      <x:c r="J672" s="7" t="str">
        <x:f>IF(OR(H672="",I672=""),"",I672-H672)</x:f>
      </x:c>
      <x:c r="K672" s="7" t="str"/>
      <x:c r="L672" s="7" t="str"/>
      <x:c r="M672" s="7" t="str"/>
      <x:c r="N672" s="7" t="str">
        <x:f>IF(M672="","OPEN",IF(OR(NOT(ISNUMBER(H672)),NOT(ISNUMBER(I672)),K672="",L672=""),"FAIL","PASS"))</x:f>
        <x:v>OPEN</x:v>
      </x:c>
    </x:row>
    <x:row r="673">
      <x:c r="B673" s="7" t="str">
        <x:v>TRO-B-04-S5-O2-R1</x:v>
      </x:c>
      <x:c r="C673" s="7" t="str">
        <x:v>BLD-B</x:v>
      </x:c>
      <x:c r="D673" s="7" t="str">
        <x:v>MF-04</x:v>
      </x:c>
      <x:c r="E673" s="7" t="str">
        <x:v>STD-04-5</x:v>
      </x:c>
      <x:c r="F673" s="7" t="str">
        <x:v>OP-2</x:v>
      </x:c>
      <x:c r="G673" s="7" t="n">
        <x:v>1</x:v>
      </x:c>
      <x:c r="H673" s="7" t="str"/>
      <x:c r="I673" s="7" t="str"/>
      <x:c r="J673" s="7" t="str">
        <x:f>IF(OR(H673="",I673=""),"",I673-H673)</x:f>
      </x:c>
      <x:c r="K673" s="7" t="str"/>
      <x:c r="L673" s="7" t="str"/>
      <x:c r="M673" s="7" t="str"/>
      <x:c r="N673" s="7" t="str">
        <x:f>IF(M673="","OPEN",IF(OR(NOT(ISNUMBER(H673)),NOT(ISNUMBER(I673)),K673="",L673=""),"FAIL","PASS"))</x:f>
        <x:v>OPEN</x:v>
      </x:c>
    </x:row>
    <x:row r="674">
      <x:c r="B674" s="7" t="str">
        <x:v>TRO-B-04-S5-O2-R2</x:v>
      </x:c>
      <x:c r="C674" s="7" t="str">
        <x:v>BLD-B</x:v>
      </x:c>
      <x:c r="D674" s="7" t="str">
        <x:v>MF-04</x:v>
      </x:c>
      <x:c r="E674" s="7" t="str">
        <x:v>STD-04-5</x:v>
      </x:c>
      <x:c r="F674" s="7" t="str">
        <x:v>OP-2</x:v>
      </x:c>
      <x:c r="G674" s="7" t="n">
        <x:v>2</x:v>
      </x:c>
      <x:c r="H674" s="7" t="str"/>
      <x:c r="I674" s="7" t="str"/>
      <x:c r="J674" s="7" t="str">
        <x:f>IF(OR(H674="",I674=""),"",I674-H674)</x:f>
      </x:c>
      <x:c r="K674" s="7" t="str"/>
      <x:c r="L674" s="7" t="str"/>
      <x:c r="M674" s="7" t="str"/>
      <x:c r="N674" s="7" t="str">
        <x:f>IF(M674="","OPEN",IF(OR(NOT(ISNUMBER(H674)),NOT(ISNUMBER(I674)),K674="",L674=""),"FAIL","PASS"))</x:f>
        <x:v>OPEN</x:v>
      </x:c>
    </x:row>
    <x:row r="675">
      <x:c r="B675" s="7" t="str">
        <x:v>TRO-B-04-S6-O1-R1</x:v>
      </x:c>
      <x:c r="C675" s="7" t="str">
        <x:v>BLD-B</x:v>
      </x:c>
      <x:c r="D675" s="7" t="str">
        <x:v>MF-04</x:v>
      </x:c>
      <x:c r="E675" s="7" t="str">
        <x:v>STD-04-6</x:v>
      </x:c>
      <x:c r="F675" s="7" t="str">
        <x:v>OP-1</x:v>
      </x:c>
      <x:c r="G675" s="7" t="n">
        <x:v>1</x:v>
      </x:c>
      <x:c r="H675" s="7" t="str"/>
      <x:c r="I675" s="7" t="str"/>
      <x:c r="J675" s="7" t="str">
        <x:f>IF(OR(H675="",I675=""),"",I675-H675)</x:f>
      </x:c>
      <x:c r="K675" s="7" t="str"/>
      <x:c r="L675" s="7" t="str"/>
      <x:c r="M675" s="7" t="str"/>
      <x:c r="N675" s="7" t="str">
        <x:f>IF(M675="","OPEN",IF(OR(NOT(ISNUMBER(H675)),NOT(ISNUMBER(I675)),K675="",L675=""),"FAIL","PASS"))</x:f>
        <x:v>OPEN</x:v>
      </x:c>
    </x:row>
    <x:row r="676">
      <x:c r="B676" s="7" t="str">
        <x:v>TRO-B-04-S6-O1-R2</x:v>
      </x:c>
      <x:c r="C676" s="7" t="str">
        <x:v>BLD-B</x:v>
      </x:c>
      <x:c r="D676" s="7" t="str">
        <x:v>MF-04</x:v>
      </x:c>
      <x:c r="E676" s="7" t="str">
        <x:v>STD-04-6</x:v>
      </x:c>
      <x:c r="F676" s="7" t="str">
        <x:v>OP-1</x:v>
      </x:c>
      <x:c r="G676" s="7" t="n">
        <x:v>2</x:v>
      </x:c>
      <x:c r="H676" s="7" t="str"/>
      <x:c r="I676" s="7" t="str"/>
      <x:c r="J676" s="7" t="str">
        <x:f>IF(OR(H676="",I676=""),"",I676-H676)</x:f>
      </x:c>
      <x:c r="K676" s="7" t="str"/>
      <x:c r="L676" s="7" t="str"/>
      <x:c r="M676" s="7" t="str"/>
      <x:c r="N676" s="7" t="str">
        <x:f>IF(M676="","OPEN",IF(OR(NOT(ISNUMBER(H676)),NOT(ISNUMBER(I676)),K676="",L676=""),"FAIL","PASS"))</x:f>
        <x:v>OPEN</x:v>
      </x:c>
    </x:row>
    <x:row r="677">
      <x:c r="B677" s="7" t="str">
        <x:v>TRO-B-04-S6-O2-R1</x:v>
      </x:c>
      <x:c r="C677" s="7" t="str">
        <x:v>BLD-B</x:v>
      </x:c>
      <x:c r="D677" s="7" t="str">
        <x:v>MF-04</x:v>
      </x:c>
      <x:c r="E677" s="7" t="str">
        <x:v>STD-04-6</x:v>
      </x:c>
      <x:c r="F677" s="7" t="str">
        <x:v>OP-2</x:v>
      </x:c>
      <x:c r="G677" s="7" t="n">
        <x:v>1</x:v>
      </x:c>
      <x:c r="H677" s="7" t="str"/>
      <x:c r="I677" s="7" t="str"/>
      <x:c r="J677" s="7" t="str">
        <x:f>IF(OR(H677="",I677=""),"",I677-H677)</x:f>
      </x:c>
      <x:c r="K677" s="7" t="str"/>
      <x:c r="L677" s="7" t="str"/>
      <x:c r="M677" s="7" t="str"/>
      <x:c r="N677" s="7" t="str">
        <x:f>IF(M677="","OPEN",IF(OR(NOT(ISNUMBER(H677)),NOT(ISNUMBER(I677)),K677="",L677=""),"FAIL","PASS"))</x:f>
        <x:v>OPEN</x:v>
      </x:c>
    </x:row>
    <x:row r="678">
      <x:c r="B678" s="7" t="str">
        <x:v>TRO-B-04-S6-O2-R2</x:v>
      </x:c>
      <x:c r="C678" s="7" t="str">
        <x:v>BLD-B</x:v>
      </x:c>
      <x:c r="D678" s="7" t="str">
        <x:v>MF-04</x:v>
      </x:c>
      <x:c r="E678" s="7" t="str">
        <x:v>STD-04-6</x:v>
      </x:c>
      <x:c r="F678" s="7" t="str">
        <x:v>OP-2</x:v>
      </x:c>
      <x:c r="G678" s="7" t="n">
        <x:v>2</x:v>
      </x:c>
      <x:c r="H678" s="7" t="str"/>
      <x:c r="I678" s="7" t="str"/>
      <x:c r="J678" s="7" t="str">
        <x:f>IF(OR(H678="",I678=""),"",I678-H678)</x:f>
      </x:c>
      <x:c r="K678" s="7" t="str"/>
      <x:c r="L678" s="7" t="str"/>
      <x:c r="M678" s="7" t="str"/>
      <x:c r="N678" s="7" t="str">
        <x:f>IF(M678="","OPEN",IF(OR(NOT(ISNUMBER(H678)),NOT(ISNUMBER(I678)),K678="",L678=""),"FAIL","PASS"))</x:f>
        <x:v>OPEN</x:v>
      </x:c>
    </x:row>
    <x:row r="679">
      <x:c r="B679" s="7" t="str">
        <x:v>TRO-B-05-S1-O1-R1</x:v>
      </x:c>
      <x:c r="C679" s="7" t="str">
        <x:v>BLD-B</x:v>
      </x:c>
      <x:c r="D679" s="7" t="str">
        <x:v>MF-05</x:v>
      </x:c>
      <x:c r="E679" s="7" t="str">
        <x:v>STD-05-1</x:v>
      </x:c>
      <x:c r="F679" s="7" t="str">
        <x:v>OP-1</x:v>
      </x:c>
      <x:c r="G679" s="7" t="n">
        <x:v>1</x:v>
      </x:c>
      <x:c r="H679" s="7" t="str"/>
      <x:c r="I679" s="7" t="str"/>
      <x:c r="J679" s="7" t="str">
        <x:f>IF(OR(H679="",I679=""),"",I679-H679)</x:f>
      </x:c>
      <x:c r="K679" s="7" t="str"/>
      <x:c r="L679" s="7" t="str"/>
      <x:c r="M679" s="7" t="str"/>
      <x:c r="N679" s="7" t="str">
        <x:f>IF(M679="","OPEN",IF(OR(NOT(ISNUMBER(H679)),NOT(ISNUMBER(I679)),K679="",L679=""),"FAIL","PASS"))</x:f>
        <x:v>OPEN</x:v>
      </x:c>
    </x:row>
    <x:row r="680">
      <x:c r="B680" s="7" t="str">
        <x:v>TRO-B-05-S1-O1-R2</x:v>
      </x:c>
      <x:c r="C680" s="7" t="str">
        <x:v>BLD-B</x:v>
      </x:c>
      <x:c r="D680" s="7" t="str">
        <x:v>MF-05</x:v>
      </x:c>
      <x:c r="E680" s="7" t="str">
        <x:v>STD-05-1</x:v>
      </x:c>
      <x:c r="F680" s="7" t="str">
        <x:v>OP-1</x:v>
      </x:c>
      <x:c r="G680" s="7" t="n">
        <x:v>2</x:v>
      </x:c>
      <x:c r="H680" s="7" t="str"/>
      <x:c r="I680" s="7" t="str"/>
      <x:c r="J680" s="7" t="str">
        <x:f>IF(OR(H680="",I680=""),"",I680-H680)</x:f>
      </x:c>
      <x:c r="K680" s="7" t="str"/>
      <x:c r="L680" s="7" t="str"/>
      <x:c r="M680" s="7" t="str"/>
      <x:c r="N680" s="7" t="str">
        <x:f>IF(M680="","OPEN",IF(OR(NOT(ISNUMBER(H680)),NOT(ISNUMBER(I680)),K680="",L680=""),"FAIL","PASS"))</x:f>
        <x:v>OPEN</x:v>
      </x:c>
    </x:row>
    <x:row r="681">
      <x:c r="B681" s="7" t="str">
        <x:v>TRO-B-05-S1-O2-R1</x:v>
      </x:c>
      <x:c r="C681" s="7" t="str">
        <x:v>BLD-B</x:v>
      </x:c>
      <x:c r="D681" s="7" t="str">
        <x:v>MF-05</x:v>
      </x:c>
      <x:c r="E681" s="7" t="str">
        <x:v>STD-05-1</x:v>
      </x:c>
      <x:c r="F681" s="7" t="str">
        <x:v>OP-2</x:v>
      </x:c>
      <x:c r="G681" s="7" t="n">
        <x:v>1</x:v>
      </x:c>
      <x:c r="H681" s="7" t="str"/>
      <x:c r="I681" s="7" t="str"/>
      <x:c r="J681" s="7" t="str">
        <x:f>IF(OR(H681="",I681=""),"",I681-H681)</x:f>
      </x:c>
      <x:c r="K681" s="7" t="str"/>
      <x:c r="L681" s="7" t="str"/>
      <x:c r="M681" s="7" t="str"/>
      <x:c r="N681" s="7" t="str">
        <x:f>IF(M681="","OPEN",IF(OR(NOT(ISNUMBER(H681)),NOT(ISNUMBER(I681)),K681="",L681=""),"FAIL","PASS"))</x:f>
        <x:v>OPEN</x:v>
      </x:c>
    </x:row>
    <x:row r="682">
      <x:c r="B682" s="7" t="str">
        <x:v>TRO-B-05-S1-O2-R2</x:v>
      </x:c>
      <x:c r="C682" s="7" t="str">
        <x:v>BLD-B</x:v>
      </x:c>
      <x:c r="D682" s="7" t="str">
        <x:v>MF-05</x:v>
      </x:c>
      <x:c r="E682" s="7" t="str">
        <x:v>STD-05-1</x:v>
      </x:c>
      <x:c r="F682" s="7" t="str">
        <x:v>OP-2</x:v>
      </x:c>
      <x:c r="G682" s="7" t="n">
        <x:v>2</x:v>
      </x:c>
      <x:c r="H682" s="7" t="str"/>
      <x:c r="I682" s="7" t="str"/>
      <x:c r="J682" s="7" t="str">
        <x:f>IF(OR(H682="",I682=""),"",I682-H682)</x:f>
      </x:c>
      <x:c r="K682" s="7" t="str"/>
      <x:c r="L682" s="7" t="str"/>
      <x:c r="M682" s="7" t="str"/>
      <x:c r="N682" s="7" t="str">
        <x:f>IF(M682="","OPEN",IF(OR(NOT(ISNUMBER(H682)),NOT(ISNUMBER(I682)),K682="",L682=""),"FAIL","PASS"))</x:f>
        <x:v>OPEN</x:v>
      </x:c>
    </x:row>
    <x:row r="683">
      <x:c r="B683" s="7" t="str">
        <x:v>TRO-B-05-S2-O1-R1</x:v>
      </x:c>
      <x:c r="C683" s="7" t="str">
        <x:v>BLD-B</x:v>
      </x:c>
      <x:c r="D683" s="7" t="str">
        <x:v>MF-05</x:v>
      </x:c>
      <x:c r="E683" s="7" t="str">
        <x:v>STD-05-2</x:v>
      </x:c>
      <x:c r="F683" s="7" t="str">
        <x:v>OP-1</x:v>
      </x:c>
      <x:c r="G683" s="7" t="n">
        <x:v>1</x:v>
      </x:c>
      <x:c r="H683" s="7" t="str"/>
      <x:c r="I683" s="7" t="str"/>
      <x:c r="J683" s="7" t="str">
        <x:f>IF(OR(H683="",I683=""),"",I683-H683)</x:f>
      </x:c>
      <x:c r="K683" s="7" t="str"/>
      <x:c r="L683" s="7" t="str"/>
      <x:c r="M683" s="7" t="str"/>
      <x:c r="N683" s="7" t="str">
        <x:f>IF(M683="","OPEN",IF(OR(NOT(ISNUMBER(H683)),NOT(ISNUMBER(I683)),K683="",L683=""),"FAIL","PASS"))</x:f>
        <x:v>OPEN</x:v>
      </x:c>
    </x:row>
    <x:row r="684">
      <x:c r="B684" s="7" t="str">
        <x:v>TRO-B-05-S2-O1-R2</x:v>
      </x:c>
      <x:c r="C684" s="7" t="str">
        <x:v>BLD-B</x:v>
      </x:c>
      <x:c r="D684" s="7" t="str">
        <x:v>MF-05</x:v>
      </x:c>
      <x:c r="E684" s="7" t="str">
        <x:v>STD-05-2</x:v>
      </x:c>
      <x:c r="F684" s="7" t="str">
        <x:v>OP-1</x:v>
      </x:c>
      <x:c r="G684" s="7" t="n">
        <x:v>2</x:v>
      </x:c>
      <x:c r="H684" s="7" t="str"/>
      <x:c r="I684" s="7" t="str"/>
      <x:c r="J684" s="7" t="str">
        <x:f>IF(OR(H684="",I684=""),"",I684-H684)</x:f>
      </x:c>
      <x:c r="K684" s="7" t="str"/>
      <x:c r="L684" s="7" t="str"/>
      <x:c r="M684" s="7" t="str"/>
      <x:c r="N684" s="7" t="str">
        <x:f>IF(M684="","OPEN",IF(OR(NOT(ISNUMBER(H684)),NOT(ISNUMBER(I684)),K684="",L684=""),"FAIL","PASS"))</x:f>
        <x:v>OPEN</x:v>
      </x:c>
    </x:row>
    <x:row r="685">
      <x:c r="B685" s="7" t="str">
        <x:v>TRO-B-05-S2-O2-R1</x:v>
      </x:c>
      <x:c r="C685" s="7" t="str">
        <x:v>BLD-B</x:v>
      </x:c>
      <x:c r="D685" s="7" t="str">
        <x:v>MF-05</x:v>
      </x:c>
      <x:c r="E685" s="7" t="str">
        <x:v>STD-05-2</x:v>
      </x:c>
      <x:c r="F685" s="7" t="str">
        <x:v>OP-2</x:v>
      </x:c>
      <x:c r="G685" s="7" t="n">
        <x:v>1</x:v>
      </x:c>
      <x:c r="H685" s="7" t="str"/>
      <x:c r="I685" s="7" t="str"/>
      <x:c r="J685" s="7" t="str">
        <x:f>IF(OR(H685="",I685=""),"",I685-H685)</x:f>
      </x:c>
      <x:c r="K685" s="7" t="str"/>
      <x:c r="L685" s="7" t="str"/>
      <x:c r="M685" s="7" t="str"/>
      <x:c r="N685" s="7" t="str">
        <x:f>IF(M685="","OPEN",IF(OR(NOT(ISNUMBER(H685)),NOT(ISNUMBER(I685)),K685="",L685=""),"FAIL","PASS"))</x:f>
        <x:v>OPEN</x:v>
      </x:c>
    </x:row>
    <x:row r="686">
      <x:c r="B686" s="7" t="str">
        <x:v>TRO-B-05-S2-O2-R2</x:v>
      </x:c>
      <x:c r="C686" s="7" t="str">
        <x:v>BLD-B</x:v>
      </x:c>
      <x:c r="D686" s="7" t="str">
        <x:v>MF-05</x:v>
      </x:c>
      <x:c r="E686" s="7" t="str">
        <x:v>STD-05-2</x:v>
      </x:c>
      <x:c r="F686" s="7" t="str">
        <x:v>OP-2</x:v>
      </x:c>
      <x:c r="G686" s="7" t="n">
        <x:v>2</x:v>
      </x:c>
      <x:c r="H686" s="7" t="str"/>
      <x:c r="I686" s="7" t="str"/>
      <x:c r="J686" s="7" t="str">
        <x:f>IF(OR(H686="",I686=""),"",I686-H686)</x:f>
      </x:c>
      <x:c r="K686" s="7" t="str"/>
      <x:c r="L686" s="7" t="str"/>
      <x:c r="M686" s="7" t="str"/>
      <x:c r="N686" s="7" t="str">
        <x:f>IF(M686="","OPEN",IF(OR(NOT(ISNUMBER(H686)),NOT(ISNUMBER(I686)),K686="",L686=""),"FAIL","PASS"))</x:f>
        <x:v>OPEN</x:v>
      </x:c>
    </x:row>
    <x:row r="687">
      <x:c r="B687" s="7" t="str">
        <x:v>TRO-B-05-S3-O1-R1</x:v>
      </x:c>
      <x:c r="C687" s="7" t="str">
        <x:v>BLD-B</x:v>
      </x:c>
      <x:c r="D687" s="7" t="str">
        <x:v>MF-05</x:v>
      </x:c>
      <x:c r="E687" s="7" t="str">
        <x:v>STD-05-3</x:v>
      </x:c>
      <x:c r="F687" s="7" t="str">
        <x:v>OP-1</x:v>
      </x:c>
      <x:c r="G687" s="7" t="n">
        <x:v>1</x:v>
      </x:c>
      <x:c r="H687" s="7" t="str"/>
      <x:c r="I687" s="7" t="str"/>
      <x:c r="J687" s="7" t="str">
        <x:f>IF(OR(H687="",I687=""),"",I687-H687)</x:f>
      </x:c>
      <x:c r="K687" s="7" t="str"/>
      <x:c r="L687" s="7" t="str"/>
      <x:c r="M687" s="7" t="str"/>
      <x:c r="N687" s="7" t="str">
        <x:f>IF(M687="","OPEN",IF(OR(NOT(ISNUMBER(H687)),NOT(ISNUMBER(I687)),K687="",L687=""),"FAIL","PASS"))</x:f>
        <x:v>OPEN</x:v>
      </x:c>
    </x:row>
    <x:row r="688">
      <x:c r="B688" s="7" t="str">
        <x:v>TRO-B-05-S3-O1-R2</x:v>
      </x:c>
      <x:c r="C688" s="7" t="str">
        <x:v>BLD-B</x:v>
      </x:c>
      <x:c r="D688" s="7" t="str">
        <x:v>MF-05</x:v>
      </x:c>
      <x:c r="E688" s="7" t="str">
        <x:v>STD-05-3</x:v>
      </x:c>
      <x:c r="F688" s="7" t="str">
        <x:v>OP-1</x:v>
      </x:c>
      <x:c r="G688" s="7" t="n">
        <x:v>2</x:v>
      </x:c>
      <x:c r="H688" s="7" t="str"/>
      <x:c r="I688" s="7" t="str"/>
      <x:c r="J688" s="7" t="str">
        <x:f>IF(OR(H688="",I688=""),"",I688-H688)</x:f>
      </x:c>
      <x:c r="K688" s="7" t="str"/>
      <x:c r="L688" s="7" t="str"/>
      <x:c r="M688" s="7" t="str"/>
      <x:c r="N688" s="7" t="str">
        <x:f>IF(M688="","OPEN",IF(OR(NOT(ISNUMBER(H688)),NOT(ISNUMBER(I688)),K688="",L688=""),"FAIL","PASS"))</x:f>
        <x:v>OPEN</x:v>
      </x:c>
    </x:row>
    <x:row r="689">
      <x:c r="B689" s="7" t="str">
        <x:v>TRO-B-05-S3-O2-R1</x:v>
      </x:c>
      <x:c r="C689" s="7" t="str">
        <x:v>BLD-B</x:v>
      </x:c>
      <x:c r="D689" s="7" t="str">
        <x:v>MF-05</x:v>
      </x:c>
      <x:c r="E689" s="7" t="str">
        <x:v>STD-05-3</x:v>
      </x:c>
      <x:c r="F689" s="7" t="str">
        <x:v>OP-2</x:v>
      </x:c>
      <x:c r="G689" s="7" t="n">
        <x:v>1</x:v>
      </x:c>
      <x:c r="H689" s="7" t="str"/>
      <x:c r="I689" s="7" t="str"/>
      <x:c r="J689" s="7" t="str">
        <x:f>IF(OR(H689="",I689=""),"",I689-H689)</x:f>
      </x:c>
      <x:c r="K689" s="7" t="str"/>
      <x:c r="L689" s="7" t="str"/>
      <x:c r="M689" s="7" t="str"/>
      <x:c r="N689" s="7" t="str">
        <x:f>IF(M689="","OPEN",IF(OR(NOT(ISNUMBER(H689)),NOT(ISNUMBER(I689)),K689="",L689=""),"FAIL","PASS"))</x:f>
        <x:v>OPEN</x:v>
      </x:c>
    </x:row>
    <x:row r="690">
      <x:c r="B690" s="7" t="str">
        <x:v>TRO-B-05-S3-O2-R2</x:v>
      </x:c>
      <x:c r="C690" s="7" t="str">
        <x:v>BLD-B</x:v>
      </x:c>
      <x:c r="D690" s="7" t="str">
        <x:v>MF-05</x:v>
      </x:c>
      <x:c r="E690" s="7" t="str">
        <x:v>STD-05-3</x:v>
      </x:c>
      <x:c r="F690" s="7" t="str">
        <x:v>OP-2</x:v>
      </x:c>
      <x:c r="G690" s="7" t="n">
        <x:v>2</x:v>
      </x:c>
      <x:c r="H690" s="7" t="str"/>
      <x:c r="I690" s="7" t="str"/>
      <x:c r="J690" s="7" t="str">
        <x:f>IF(OR(H690="",I690=""),"",I690-H690)</x:f>
      </x:c>
      <x:c r="K690" s="7" t="str"/>
      <x:c r="L690" s="7" t="str"/>
      <x:c r="M690" s="7" t="str"/>
      <x:c r="N690" s="7" t="str">
        <x:f>IF(M690="","OPEN",IF(OR(NOT(ISNUMBER(H690)),NOT(ISNUMBER(I690)),K690="",L690=""),"FAIL","PASS"))</x:f>
        <x:v>OPEN</x:v>
      </x:c>
    </x:row>
    <x:row r="691">
      <x:c r="B691" s="7" t="str">
        <x:v>TRO-B-05-S4-O1-R1</x:v>
      </x:c>
      <x:c r="C691" s="7" t="str">
        <x:v>BLD-B</x:v>
      </x:c>
      <x:c r="D691" s="7" t="str">
        <x:v>MF-05</x:v>
      </x:c>
      <x:c r="E691" s="7" t="str">
        <x:v>STD-05-4</x:v>
      </x:c>
      <x:c r="F691" s="7" t="str">
        <x:v>OP-1</x:v>
      </x:c>
      <x:c r="G691" s="7" t="n">
        <x:v>1</x:v>
      </x:c>
      <x:c r="H691" s="7" t="str"/>
      <x:c r="I691" s="7" t="str"/>
      <x:c r="J691" s="7" t="str">
        <x:f>IF(OR(H691="",I691=""),"",I691-H691)</x:f>
      </x:c>
      <x:c r="K691" s="7" t="str"/>
      <x:c r="L691" s="7" t="str"/>
      <x:c r="M691" s="7" t="str"/>
      <x:c r="N691" s="7" t="str">
        <x:f>IF(M691="","OPEN",IF(OR(NOT(ISNUMBER(H691)),NOT(ISNUMBER(I691)),K691="",L691=""),"FAIL","PASS"))</x:f>
        <x:v>OPEN</x:v>
      </x:c>
    </x:row>
    <x:row r="692">
      <x:c r="B692" s="7" t="str">
        <x:v>TRO-B-05-S4-O1-R2</x:v>
      </x:c>
      <x:c r="C692" s="7" t="str">
        <x:v>BLD-B</x:v>
      </x:c>
      <x:c r="D692" s="7" t="str">
        <x:v>MF-05</x:v>
      </x:c>
      <x:c r="E692" s="7" t="str">
        <x:v>STD-05-4</x:v>
      </x:c>
      <x:c r="F692" s="7" t="str">
        <x:v>OP-1</x:v>
      </x:c>
      <x:c r="G692" s="7" t="n">
        <x:v>2</x:v>
      </x:c>
      <x:c r="H692" s="7" t="str"/>
      <x:c r="I692" s="7" t="str"/>
      <x:c r="J692" s="7" t="str">
        <x:f>IF(OR(H692="",I692=""),"",I692-H692)</x:f>
      </x:c>
      <x:c r="K692" s="7" t="str"/>
      <x:c r="L692" s="7" t="str"/>
      <x:c r="M692" s="7" t="str"/>
      <x:c r="N692" s="7" t="str">
        <x:f>IF(M692="","OPEN",IF(OR(NOT(ISNUMBER(H692)),NOT(ISNUMBER(I692)),K692="",L692=""),"FAIL","PASS"))</x:f>
        <x:v>OPEN</x:v>
      </x:c>
    </x:row>
    <x:row r="693">
      <x:c r="B693" s="7" t="str">
        <x:v>TRO-B-05-S4-O2-R1</x:v>
      </x:c>
      <x:c r="C693" s="7" t="str">
        <x:v>BLD-B</x:v>
      </x:c>
      <x:c r="D693" s="7" t="str">
        <x:v>MF-05</x:v>
      </x:c>
      <x:c r="E693" s="7" t="str">
        <x:v>STD-05-4</x:v>
      </x:c>
      <x:c r="F693" s="7" t="str">
        <x:v>OP-2</x:v>
      </x:c>
      <x:c r="G693" s="7" t="n">
        <x:v>1</x:v>
      </x:c>
      <x:c r="H693" s="7" t="str"/>
      <x:c r="I693" s="7" t="str"/>
      <x:c r="J693" s="7" t="str">
        <x:f>IF(OR(H693="",I693=""),"",I693-H693)</x:f>
      </x:c>
      <x:c r="K693" s="7" t="str"/>
      <x:c r="L693" s="7" t="str"/>
      <x:c r="M693" s="7" t="str"/>
      <x:c r="N693" s="7" t="str">
        <x:f>IF(M693="","OPEN",IF(OR(NOT(ISNUMBER(H693)),NOT(ISNUMBER(I693)),K693="",L693=""),"FAIL","PASS"))</x:f>
        <x:v>OPEN</x:v>
      </x:c>
    </x:row>
    <x:row r="694">
      <x:c r="B694" s="7" t="str">
        <x:v>TRO-B-05-S4-O2-R2</x:v>
      </x:c>
      <x:c r="C694" s="7" t="str">
        <x:v>BLD-B</x:v>
      </x:c>
      <x:c r="D694" s="7" t="str">
        <x:v>MF-05</x:v>
      </x:c>
      <x:c r="E694" s="7" t="str">
        <x:v>STD-05-4</x:v>
      </x:c>
      <x:c r="F694" s="7" t="str">
        <x:v>OP-2</x:v>
      </x:c>
      <x:c r="G694" s="7" t="n">
        <x:v>2</x:v>
      </x:c>
      <x:c r="H694" s="7" t="str"/>
      <x:c r="I694" s="7" t="str"/>
      <x:c r="J694" s="7" t="str">
        <x:f>IF(OR(H694="",I694=""),"",I694-H694)</x:f>
      </x:c>
      <x:c r="K694" s="7" t="str"/>
      <x:c r="L694" s="7" t="str"/>
      <x:c r="M694" s="7" t="str"/>
      <x:c r="N694" s="7" t="str">
        <x:f>IF(M694="","OPEN",IF(OR(NOT(ISNUMBER(H694)),NOT(ISNUMBER(I694)),K694="",L694=""),"FAIL","PASS"))</x:f>
        <x:v>OPEN</x:v>
      </x:c>
    </x:row>
    <x:row r="695">
      <x:c r="B695" s="7" t="str">
        <x:v>TRO-B-05-S5-O1-R1</x:v>
      </x:c>
      <x:c r="C695" s="7" t="str">
        <x:v>BLD-B</x:v>
      </x:c>
      <x:c r="D695" s="7" t="str">
        <x:v>MF-05</x:v>
      </x:c>
      <x:c r="E695" s="7" t="str">
        <x:v>STD-05-5</x:v>
      </x:c>
      <x:c r="F695" s="7" t="str">
        <x:v>OP-1</x:v>
      </x:c>
      <x:c r="G695" s="7" t="n">
        <x:v>1</x:v>
      </x:c>
      <x:c r="H695" s="7" t="str"/>
      <x:c r="I695" s="7" t="str"/>
      <x:c r="J695" s="7" t="str">
        <x:f>IF(OR(H695="",I695=""),"",I695-H695)</x:f>
      </x:c>
      <x:c r="K695" s="7" t="str"/>
      <x:c r="L695" s="7" t="str"/>
      <x:c r="M695" s="7" t="str"/>
      <x:c r="N695" s="7" t="str">
        <x:f>IF(M695="","OPEN",IF(OR(NOT(ISNUMBER(H695)),NOT(ISNUMBER(I695)),K695="",L695=""),"FAIL","PASS"))</x:f>
        <x:v>OPEN</x:v>
      </x:c>
    </x:row>
    <x:row r="696">
      <x:c r="B696" s="7" t="str">
        <x:v>TRO-B-05-S5-O1-R2</x:v>
      </x:c>
      <x:c r="C696" s="7" t="str">
        <x:v>BLD-B</x:v>
      </x:c>
      <x:c r="D696" s="7" t="str">
        <x:v>MF-05</x:v>
      </x:c>
      <x:c r="E696" s="7" t="str">
        <x:v>STD-05-5</x:v>
      </x:c>
      <x:c r="F696" s="7" t="str">
        <x:v>OP-1</x:v>
      </x:c>
      <x:c r="G696" s="7" t="n">
        <x:v>2</x:v>
      </x:c>
      <x:c r="H696" s="7" t="str"/>
      <x:c r="I696" s="7" t="str"/>
      <x:c r="J696" s="7" t="str">
        <x:f>IF(OR(H696="",I696=""),"",I696-H696)</x:f>
      </x:c>
      <x:c r="K696" s="7" t="str"/>
      <x:c r="L696" s="7" t="str"/>
      <x:c r="M696" s="7" t="str"/>
      <x:c r="N696" s="7" t="str">
        <x:f>IF(M696="","OPEN",IF(OR(NOT(ISNUMBER(H696)),NOT(ISNUMBER(I696)),K696="",L696=""),"FAIL","PASS"))</x:f>
        <x:v>OPEN</x:v>
      </x:c>
    </x:row>
    <x:row r="697">
      <x:c r="B697" s="7" t="str">
        <x:v>TRO-B-05-S5-O2-R1</x:v>
      </x:c>
      <x:c r="C697" s="7" t="str">
        <x:v>BLD-B</x:v>
      </x:c>
      <x:c r="D697" s="7" t="str">
        <x:v>MF-05</x:v>
      </x:c>
      <x:c r="E697" s="7" t="str">
        <x:v>STD-05-5</x:v>
      </x:c>
      <x:c r="F697" s="7" t="str">
        <x:v>OP-2</x:v>
      </x:c>
      <x:c r="G697" s="7" t="n">
        <x:v>1</x:v>
      </x:c>
      <x:c r="H697" s="7" t="str"/>
      <x:c r="I697" s="7" t="str"/>
      <x:c r="J697" s="7" t="str">
        <x:f>IF(OR(H697="",I697=""),"",I697-H697)</x:f>
      </x:c>
      <x:c r="K697" s="7" t="str"/>
      <x:c r="L697" s="7" t="str"/>
      <x:c r="M697" s="7" t="str"/>
      <x:c r="N697" s="7" t="str">
        <x:f>IF(M697="","OPEN",IF(OR(NOT(ISNUMBER(H697)),NOT(ISNUMBER(I697)),K697="",L697=""),"FAIL","PASS"))</x:f>
        <x:v>OPEN</x:v>
      </x:c>
    </x:row>
    <x:row r="698">
      <x:c r="B698" s="7" t="str">
        <x:v>TRO-B-05-S5-O2-R2</x:v>
      </x:c>
      <x:c r="C698" s="7" t="str">
        <x:v>BLD-B</x:v>
      </x:c>
      <x:c r="D698" s="7" t="str">
        <x:v>MF-05</x:v>
      </x:c>
      <x:c r="E698" s="7" t="str">
        <x:v>STD-05-5</x:v>
      </x:c>
      <x:c r="F698" s="7" t="str">
        <x:v>OP-2</x:v>
      </x:c>
      <x:c r="G698" s="7" t="n">
        <x:v>2</x:v>
      </x:c>
      <x:c r="H698" s="7" t="str"/>
      <x:c r="I698" s="7" t="str"/>
      <x:c r="J698" s="7" t="str">
        <x:f>IF(OR(H698="",I698=""),"",I698-H698)</x:f>
      </x:c>
      <x:c r="K698" s="7" t="str"/>
      <x:c r="L698" s="7" t="str"/>
      <x:c r="M698" s="7" t="str"/>
      <x:c r="N698" s="7" t="str">
        <x:f>IF(M698="","OPEN",IF(OR(NOT(ISNUMBER(H698)),NOT(ISNUMBER(I698)),K698="",L698=""),"FAIL","PASS"))</x:f>
        <x:v>OPEN</x:v>
      </x:c>
    </x:row>
    <x:row r="699">
      <x:c r="B699" s="7" t="str">
        <x:v>TRO-B-05-S6-O1-R1</x:v>
      </x:c>
      <x:c r="C699" s="7" t="str">
        <x:v>BLD-B</x:v>
      </x:c>
      <x:c r="D699" s="7" t="str">
        <x:v>MF-05</x:v>
      </x:c>
      <x:c r="E699" s="7" t="str">
        <x:v>STD-05-6</x:v>
      </x:c>
      <x:c r="F699" s="7" t="str">
        <x:v>OP-1</x:v>
      </x:c>
      <x:c r="G699" s="7" t="n">
        <x:v>1</x:v>
      </x:c>
      <x:c r="H699" s="7" t="str"/>
      <x:c r="I699" s="7" t="str"/>
      <x:c r="J699" s="7" t="str">
        <x:f>IF(OR(H699="",I699=""),"",I699-H699)</x:f>
      </x:c>
      <x:c r="K699" s="7" t="str"/>
      <x:c r="L699" s="7" t="str"/>
      <x:c r="M699" s="7" t="str"/>
      <x:c r="N699" s="7" t="str">
        <x:f>IF(M699="","OPEN",IF(OR(NOT(ISNUMBER(H699)),NOT(ISNUMBER(I699)),K699="",L699=""),"FAIL","PASS"))</x:f>
        <x:v>OPEN</x:v>
      </x:c>
    </x:row>
    <x:row r="700">
      <x:c r="B700" s="7" t="str">
        <x:v>TRO-B-05-S6-O1-R2</x:v>
      </x:c>
      <x:c r="C700" s="7" t="str">
        <x:v>BLD-B</x:v>
      </x:c>
      <x:c r="D700" s="7" t="str">
        <x:v>MF-05</x:v>
      </x:c>
      <x:c r="E700" s="7" t="str">
        <x:v>STD-05-6</x:v>
      </x:c>
      <x:c r="F700" s="7" t="str">
        <x:v>OP-1</x:v>
      </x:c>
      <x:c r="G700" s="7" t="n">
        <x:v>2</x:v>
      </x:c>
      <x:c r="H700" s="7" t="str"/>
      <x:c r="I700" s="7" t="str"/>
      <x:c r="J700" s="7" t="str">
        <x:f>IF(OR(H700="",I700=""),"",I700-H700)</x:f>
      </x:c>
      <x:c r="K700" s="7" t="str"/>
      <x:c r="L700" s="7" t="str"/>
      <x:c r="M700" s="7" t="str"/>
      <x:c r="N700" s="7" t="str">
        <x:f>IF(M700="","OPEN",IF(OR(NOT(ISNUMBER(H700)),NOT(ISNUMBER(I700)),K700="",L700=""),"FAIL","PASS"))</x:f>
        <x:v>OPEN</x:v>
      </x:c>
    </x:row>
    <x:row r="701">
      <x:c r="B701" s="7" t="str">
        <x:v>TRO-B-05-S6-O2-R1</x:v>
      </x:c>
      <x:c r="C701" s="7" t="str">
        <x:v>BLD-B</x:v>
      </x:c>
      <x:c r="D701" s="7" t="str">
        <x:v>MF-05</x:v>
      </x:c>
      <x:c r="E701" s="7" t="str">
        <x:v>STD-05-6</x:v>
      </x:c>
      <x:c r="F701" s="7" t="str">
        <x:v>OP-2</x:v>
      </x:c>
      <x:c r="G701" s="7" t="n">
        <x:v>1</x:v>
      </x:c>
      <x:c r="H701" s="7" t="str"/>
      <x:c r="I701" s="7" t="str"/>
      <x:c r="J701" s="7" t="str">
        <x:f>IF(OR(H701="",I701=""),"",I701-H701)</x:f>
      </x:c>
      <x:c r="K701" s="7" t="str"/>
      <x:c r="L701" s="7" t="str"/>
      <x:c r="M701" s="7" t="str"/>
      <x:c r="N701" s="7" t="str">
        <x:f>IF(M701="","OPEN",IF(OR(NOT(ISNUMBER(H701)),NOT(ISNUMBER(I701)),K701="",L701=""),"FAIL","PASS"))</x:f>
        <x:v>OPEN</x:v>
      </x:c>
    </x:row>
    <x:row r="702">
      <x:c r="B702" s="7" t="str">
        <x:v>TRO-B-05-S6-O2-R2</x:v>
      </x:c>
      <x:c r="C702" s="7" t="str">
        <x:v>BLD-B</x:v>
      </x:c>
      <x:c r="D702" s="7" t="str">
        <x:v>MF-05</x:v>
      </x:c>
      <x:c r="E702" s="7" t="str">
        <x:v>STD-05-6</x:v>
      </x:c>
      <x:c r="F702" s="7" t="str">
        <x:v>OP-2</x:v>
      </x:c>
      <x:c r="G702" s="7" t="n">
        <x:v>2</x:v>
      </x:c>
      <x:c r="H702" s="7" t="str"/>
      <x:c r="I702" s="7" t="str"/>
      <x:c r="J702" s="7" t="str">
        <x:f>IF(OR(H702="",I702=""),"",I702-H702)</x:f>
      </x:c>
      <x:c r="K702" s="7" t="str"/>
      <x:c r="L702" s="7" t="str"/>
      <x:c r="M702" s="7" t="str"/>
      <x:c r="N702" s="7" t="str">
        <x:f>IF(M702="","OPEN",IF(OR(NOT(ISNUMBER(H702)),NOT(ISNUMBER(I702)),K702="",L702=""),"FAIL","PASS"))</x:f>
        <x:v>OPEN</x:v>
      </x:c>
    </x:row>
    <x:row r="703">
      <x:c r="B703" s="7" t="str">
        <x:v>TRO-B-06-S1-O1-R1</x:v>
      </x:c>
      <x:c r="C703" s="7" t="str">
        <x:v>BLD-B</x:v>
      </x:c>
      <x:c r="D703" s="7" t="str">
        <x:v>MF-06</x:v>
      </x:c>
      <x:c r="E703" s="7" t="str">
        <x:v>STD-06-1</x:v>
      </x:c>
      <x:c r="F703" s="7" t="str">
        <x:v>OP-1</x:v>
      </x:c>
      <x:c r="G703" s="7" t="n">
        <x:v>1</x:v>
      </x:c>
      <x:c r="H703" s="7" t="str"/>
      <x:c r="I703" s="7" t="str"/>
      <x:c r="J703" s="7" t="str">
        <x:f>IF(OR(H703="",I703=""),"",I703-H703)</x:f>
      </x:c>
      <x:c r="K703" s="7" t="str"/>
      <x:c r="L703" s="7" t="str"/>
      <x:c r="M703" s="7" t="str"/>
      <x:c r="N703" s="7" t="str">
        <x:f>IF(M703="","OPEN",IF(OR(NOT(ISNUMBER(H703)),NOT(ISNUMBER(I703)),K703="",L703=""),"FAIL","PASS"))</x:f>
        <x:v>OPEN</x:v>
      </x:c>
    </x:row>
    <x:row r="704">
      <x:c r="B704" s="7" t="str">
        <x:v>TRO-B-06-S1-O1-R2</x:v>
      </x:c>
      <x:c r="C704" s="7" t="str">
        <x:v>BLD-B</x:v>
      </x:c>
      <x:c r="D704" s="7" t="str">
        <x:v>MF-06</x:v>
      </x:c>
      <x:c r="E704" s="7" t="str">
        <x:v>STD-06-1</x:v>
      </x:c>
      <x:c r="F704" s="7" t="str">
        <x:v>OP-1</x:v>
      </x:c>
      <x:c r="G704" s="7" t="n">
        <x:v>2</x:v>
      </x:c>
      <x:c r="H704" s="7" t="str"/>
      <x:c r="I704" s="7" t="str"/>
      <x:c r="J704" s="7" t="str">
        <x:f>IF(OR(H704="",I704=""),"",I704-H704)</x:f>
      </x:c>
      <x:c r="K704" s="7" t="str"/>
      <x:c r="L704" s="7" t="str"/>
      <x:c r="M704" s="7" t="str"/>
      <x:c r="N704" s="7" t="str">
        <x:f>IF(M704="","OPEN",IF(OR(NOT(ISNUMBER(H704)),NOT(ISNUMBER(I704)),K704="",L704=""),"FAIL","PASS"))</x:f>
        <x:v>OPEN</x:v>
      </x:c>
    </x:row>
    <x:row r="705">
      <x:c r="B705" s="7" t="str">
        <x:v>TRO-B-06-S1-O2-R1</x:v>
      </x:c>
      <x:c r="C705" s="7" t="str">
        <x:v>BLD-B</x:v>
      </x:c>
      <x:c r="D705" s="7" t="str">
        <x:v>MF-06</x:v>
      </x:c>
      <x:c r="E705" s="7" t="str">
        <x:v>STD-06-1</x:v>
      </x:c>
      <x:c r="F705" s="7" t="str">
        <x:v>OP-2</x:v>
      </x:c>
      <x:c r="G705" s="7" t="n">
        <x:v>1</x:v>
      </x:c>
      <x:c r="H705" s="7" t="str"/>
      <x:c r="I705" s="7" t="str"/>
      <x:c r="J705" s="7" t="str">
        <x:f>IF(OR(H705="",I705=""),"",I705-H705)</x:f>
      </x:c>
      <x:c r="K705" s="7" t="str"/>
      <x:c r="L705" s="7" t="str"/>
      <x:c r="M705" s="7" t="str"/>
      <x:c r="N705" s="7" t="str">
        <x:f>IF(M705="","OPEN",IF(OR(NOT(ISNUMBER(H705)),NOT(ISNUMBER(I705)),K705="",L705=""),"FAIL","PASS"))</x:f>
        <x:v>OPEN</x:v>
      </x:c>
    </x:row>
    <x:row r="706">
      <x:c r="B706" s="7" t="str">
        <x:v>TRO-B-06-S1-O2-R2</x:v>
      </x:c>
      <x:c r="C706" s="7" t="str">
        <x:v>BLD-B</x:v>
      </x:c>
      <x:c r="D706" s="7" t="str">
        <x:v>MF-06</x:v>
      </x:c>
      <x:c r="E706" s="7" t="str">
        <x:v>STD-06-1</x:v>
      </x:c>
      <x:c r="F706" s="7" t="str">
        <x:v>OP-2</x:v>
      </x:c>
      <x:c r="G706" s="7" t="n">
        <x:v>2</x:v>
      </x:c>
      <x:c r="H706" s="7" t="str"/>
      <x:c r="I706" s="7" t="str"/>
      <x:c r="J706" s="7" t="str">
        <x:f>IF(OR(H706="",I706=""),"",I706-H706)</x:f>
      </x:c>
      <x:c r="K706" s="7" t="str"/>
      <x:c r="L706" s="7" t="str"/>
      <x:c r="M706" s="7" t="str"/>
      <x:c r="N706" s="7" t="str">
        <x:f>IF(M706="","OPEN",IF(OR(NOT(ISNUMBER(H706)),NOT(ISNUMBER(I706)),K706="",L706=""),"FAIL","PASS"))</x:f>
        <x:v>OPEN</x:v>
      </x:c>
    </x:row>
    <x:row r="707">
      <x:c r="B707" s="7" t="str">
        <x:v>TRO-B-06-S2-O1-R1</x:v>
      </x:c>
      <x:c r="C707" s="7" t="str">
        <x:v>BLD-B</x:v>
      </x:c>
      <x:c r="D707" s="7" t="str">
        <x:v>MF-06</x:v>
      </x:c>
      <x:c r="E707" s="7" t="str">
        <x:v>STD-06-2</x:v>
      </x:c>
      <x:c r="F707" s="7" t="str">
        <x:v>OP-1</x:v>
      </x:c>
      <x:c r="G707" s="7" t="n">
        <x:v>1</x:v>
      </x:c>
      <x:c r="H707" s="7" t="str"/>
      <x:c r="I707" s="7" t="str"/>
      <x:c r="J707" s="7" t="str">
        <x:f>IF(OR(H707="",I707=""),"",I707-H707)</x:f>
      </x:c>
      <x:c r="K707" s="7" t="str"/>
      <x:c r="L707" s="7" t="str"/>
      <x:c r="M707" s="7" t="str"/>
      <x:c r="N707" s="7" t="str">
        <x:f>IF(M707="","OPEN",IF(OR(NOT(ISNUMBER(H707)),NOT(ISNUMBER(I707)),K707="",L707=""),"FAIL","PASS"))</x:f>
        <x:v>OPEN</x:v>
      </x:c>
    </x:row>
    <x:row r="708">
      <x:c r="B708" s="7" t="str">
        <x:v>TRO-B-06-S2-O1-R2</x:v>
      </x:c>
      <x:c r="C708" s="7" t="str">
        <x:v>BLD-B</x:v>
      </x:c>
      <x:c r="D708" s="7" t="str">
        <x:v>MF-06</x:v>
      </x:c>
      <x:c r="E708" s="7" t="str">
        <x:v>STD-06-2</x:v>
      </x:c>
      <x:c r="F708" s="7" t="str">
        <x:v>OP-1</x:v>
      </x:c>
      <x:c r="G708" s="7" t="n">
        <x:v>2</x:v>
      </x:c>
      <x:c r="H708" s="7" t="str"/>
      <x:c r="I708" s="7" t="str"/>
      <x:c r="J708" s="7" t="str">
        <x:f>IF(OR(H708="",I708=""),"",I708-H708)</x:f>
      </x:c>
      <x:c r="K708" s="7" t="str"/>
      <x:c r="L708" s="7" t="str"/>
      <x:c r="M708" s="7" t="str"/>
      <x:c r="N708" s="7" t="str">
        <x:f>IF(M708="","OPEN",IF(OR(NOT(ISNUMBER(H708)),NOT(ISNUMBER(I708)),K708="",L708=""),"FAIL","PASS"))</x:f>
        <x:v>OPEN</x:v>
      </x:c>
    </x:row>
    <x:row r="709">
      <x:c r="B709" s="7" t="str">
        <x:v>TRO-B-06-S2-O2-R1</x:v>
      </x:c>
      <x:c r="C709" s="7" t="str">
        <x:v>BLD-B</x:v>
      </x:c>
      <x:c r="D709" s="7" t="str">
        <x:v>MF-06</x:v>
      </x:c>
      <x:c r="E709" s="7" t="str">
        <x:v>STD-06-2</x:v>
      </x:c>
      <x:c r="F709" s="7" t="str">
        <x:v>OP-2</x:v>
      </x:c>
      <x:c r="G709" s="7" t="n">
        <x:v>1</x:v>
      </x:c>
      <x:c r="H709" s="7" t="str"/>
      <x:c r="I709" s="7" t="str"/>
      <x:c r="J709" s="7" t="str">
        <x:f>IF(OR(H709="",I709=""),"",I709-H709)</x:f>
      </x:c>
      <x:c r="K709" s="7" t="str"/>
      <x:c r="L709" s="7" t="str"/>
      <x:c r="M709" s="7" t="str"/>
      <x:c r="N709" s="7" t="str">
        <x:f>IF(M709="","OPEN",IF(OR(NOT(ISNUMBER(H709)),NOT(ISNUMBER(I709)),K709="",L709=""),"FAIL","PASS"))</x:f>
        <x:v>OPEN</x:v>
      </x:c>
    </x:row>
    <x:row r="710">
      <x:c r="B710" s="7" t="str">
        <x:v>TRO-B-06-S2-O2-R2</x:v>
      </x:c>
      <x:c r="C710" s="7" t="str">
        <x:v>BLD-B</x:v>
      </x:c>
      <x:c r="D710" s="7" t="str">
        <x:v>MF-06</x:v>
      </x:c>
      <x:c r="E710" s="7" t="str">
        <x:v>STD-06-2</x:v>
      </x:c>
      <x:c r="F710" s="7" t="str">
        <x:v>OP-2</x:v>
      </x:c>
      <x:c r="G710" s="7" t="n">
        <x:v>2</x:v>
      </x:c>
      <x:c r="H710" s="7" t="str"/>
      <x:c r="I710" s="7" t="str"/>
      <x:c r="J710" s="7" t="str">
        <x:f>IF(OR(H710="",I710=""),"",I710-H710)</x:f>
      </x:c>
      <x:c r="K710" s="7" t="str"/>
      <x:c r="L710" s="7" t="str"/>
      <x:c r="M710" s="7" t="str"/>
      <x:c r="N710" s="7" t="str">
        <x:f>IF(M710="","OPEN",IF(OR(NOT(ISNUMBER(H710)),NOT(ISNUMBER(I710)),K710="",L710=""),"FAIL","PASS"))</x:f>
        <x:v>OPEN</x:v>
      </x:c>
    </x:row>
    <x:row r="711">
      <x:c r="B711" s="7" t="str">
        <x:v>TRO-B-06-S3-O1-R1</x:v>
      </x:c>
      <x:c r="C711" s="7" t="str">
        <x:v>BLD-B</x:v>
      </x:c>
      <x:c r="D711" s="7" t="str">
        <x:v>MF-06</x:v>
      </x:c>
      <x:c r="E711" s="7" t="str">
        <x:v>STD-06-3</x:v>
      </x:c>
      <x:c r="F711" s="7" t="str">
        <x:v>OP-1</x:v>
      </x:c>
      <x:c r="G711" s="7" t="n">
        <x:v>1</x:v>
      </x:c>
      <x:c r="H711" s="7" t="str"/>
      <x:c r="I711" s="7" t="str"/>
      <x:c r="J711" s="7" t="str">
        <x:f>IF(OR(H711="",I711=""),"",I711-H711)</x:f>
      </x:c>
      <x:c r="K711" s="7" t="str"/>
      <x:c r="L711" s="7" t="str"/>
      <x:c r="M711" s="7" t="str"/>
      <x:c r="N711" s="7" t="str">
        <x:f>IF(M711="","OPEN",IF(OR(NOT(ISNUMBER(H711)),NOT(ISNUMBER(I711)),K711="",L711=""),"FAIL","PASS"))</x:f>
        <x:v>OPEN</x:v>
      </x:c>
    </x:row>
    <x:row r="712">
      <x:c r="B712" s="7" t="str">
        <x:v>TRO-B-06-S3-O1-R2</x:v>
      </x:c>
      <x:c r="C712" s="7" t="str">
        <x:v>BLD-B</x:v>
      </x:c>
      <x:c r="D712" s="7" t="str">
        <x:v>MF-06</x:v>
      </x:c>
      <x:c r="E712" s="7" t="str">
        <x:v>STD-06-3</x:v>
      </x:c>
      <x:c r="F712" s="7" t="str">
        <x:v>OP-1</x:v>
      </x:c>
      <x:c r="G712" s="7" t="n">
        <x:v>2</x:v>
      </x:c>
      <x:c r="H712" s="7" t="str"/>
      <x:c r="I712" s="7" t="str"/>
      <x:c r="J712" s="7" t="str">
        <x:f>IF(OR(H712="",I712=""),"",I712-H712)</x:f>
      </x:c>
      <x:c r="K712" s="7" t="str"/>
      <x:c r="L712" s="7" t="str"/>
      <x:c r="M712" s="7" t="str"/>
      <x:c r="N712" s="7" t="str">
        <x:f>IF(M712="","OPEN",IF(OR(NOT(ISNUMBER(H712)),NOT(ISNUMBER(I712)),K712="",L712=""),"FAIL","PASS"))</x:f>
        <x:v>OPEN</x:v>
      </x:c>
    </x:row>
    <x:row r="713">
      <x:c r="B713" s="7" t="str">
        <x:v>TRO-B-06-S3-O2-R1</x:v>
      </x:c>
      <x:c r="C713" s="7" t="str">
        <x:v>BLD-B</x:v>
      </x:c>
      <x:c r="D713" s="7" t="str">
        <x:v>MF-06</x:v>
      </x:c>
      <x:c r="E713" s="7" t="str">
        <x:v>STD-06-3</x:v>
      </x:c>
      <x:c r="F713" s="7" t="str">
        <x:v>OP-2</x:v>
      </x:c>
      <x:c r="G713" s="7" t="n">
        <x:v>1</x:v>
      </x:c>
      <x:c r="H713" s="7" t="str"/>
      <x:c r="I713" s="7" t="str"/>
      <x:c r="J713" s="7" t="str">
        <x:f>IF(OR(H713="",I713=""),"",I713-H713)</x:f>
      </x:c>
      <x:c r="K713" s="7" t="str"/>
      <x:c r="L713" s="7" t="str"/>
      <x:c r="M713" s="7" t="str"/>
      <x:c r="N713" s="7" t="str">
        <x:f>IF(M713="","OPEN",IF(OR(NOT(ISNUMBER(H713)),NOT(ISNUMBER(I713)),K713="",L713=""),"FAIL","PASS"))</x:f>
        <x:v>OPEN</x:v>
      </x:c>
    </x:row>
    <x:row r="714">
      <x:c r="B714" s="7" t="str">
        <x:v>TRO-B-06-S3-O2-R2</x:v>
      </x:c>
      <x:c r="C714" s="7" t="str">
        <x:v>BLD-B</x:v>
      </x:c>
      <x:c r="D714" s="7" t="str">
        <x:v>MF-06</x:v>
      </x:c>
      <x:c r="E714" s="7" t="str">
        <x:v>STD-06-3</x:v>
      </x:c>
      <x:c r="F714" s="7" t="str">
        <x:v>OP-2</x:v>
      </x:c>
      <x:c r="G714" s="7" t="n">
        <x:v>2</x:v>
      </x:c>
      <x:c r="H714" s="7" t="str"/>
      <x:c r="I714" s="7" t="str"/>
      <x:c r="J714" s="7" t="str">
        <x:f>IF(OR(H714="",I714=""),"",I714-H714)</x:f>
      </x:c>
      <x:c r="K714" s="7" t="str"/>
      <x:c r="L714" s="7" t="str"/>
      <x:c r="M714" s="7" t="str"/>
      <x:c r="N714" s="7" t="str">
        <x:f>IF(M714="","OPEN",IF(OR(NOT(ISNUMBER(H714)),NOT(ISNUMBER(I714)),K714="",L714=""),"FAIL","PASS"))</x:f>
        <x:v>OPEN</x:v>
      </x:c>
    </x:row>
    <x:row r="715">
      <x:c r="B715" s="7" t="str">
        <x:v>TRO-B-06-S4-O1-R1</x:v>
      </x:c>
      <x:c r="C715" s="7" t="str">
        <x:v>BLD-B</x:v>
      </x:c>
      <x:c r="D715" s="7" t="str">
        <x:v>MF-06</x:v>
      </x:c>
      <x:c r="E715" s="7" t="str">
        <x:v>STD-06-4</x:v>
      </x:c>
      <x:c r="F715" s="7" t="str">
        <x:v>OP-1</x:v>
      </x:c>
      <x:c r="G715" s="7" t="n">
        <x:v>1</x:v>
      </x:c>
      <x:c r="H715" s="7" t="str"/>
      <x:c r="I715" s="7" t="str"/>
      <x:c r="J715" s="7" t="str">
        <x:f>IF(OR(H715="",I715=""),"",I715-H715)</x:f>
      </x:c>
      <x:c r="K715" s="7" t="str"/>
      <x:c r="L715" s="7" t="str"/>
      <x:c r="M715" s="7" t="str"/>
      <x:c r="N715" s="7" t="str">
        <x:f>IF(M715="","OPEN",IF(OR(NOT(ISNUMBER(H715)),NOT(ISNUMBER(I715)),K715="",L715=""),"FAIL","PASS"))</x:f>
        <x:v>OPEN</x:v>
      </x:c>
    </x:row>
    <x:row r="716">
      <x:c r="B716" s="7" t="str">
        <x:v>TRO-B-06-S4-O1-R2</x:v>
      </x:c>
      <x:c r="C716" s="7" t="str">
        <x:v>BLD-B</x:v>
      </x:c>
      <x:c r="D716" s="7" t="str">
        <x:v>MF-06</x:v>
      </x:c>
      <x:c r="E716" s="7" t="str">
        <x:v>STD-06-4</x:v>
      </x:c>
      <x:c r="F716" s="7" t="str">
        <x:v>OP-1</x:v>
      </x:c>
      <x:c r="G716" s="7" t="n">
        <x:v>2</x:v>
      </x:c>
      <x:c r="H716" s="7" t="str"/>
      <x:c r="I716" s="7" t="str"/>
      <x:c r="J716" s="7" t="str">
        <x:f>IF(OR(H716="",I716=""),"",I716-H716)</x:f>
      </x:c>
      <x:c r="K716" s="7" t="str"/>
      <x:c r="L716" s="7" t="str"/>
      <x:c r="M716" s="7" t="str"/>
      <x:c r="N716" s="7" t="str">
        <x:f>IF(M716="","OPEN",IF(OR(NOT(ISNUMBER(H716)),NOT(ISNUMBER(I716)),K716="",L716=""),"FAIL","PASS"))</x:f>
        <x:v>OPEN</x:v>
      </x:c>
    </x:row>
    <x:row r="717">
      <x:c r="B717" s="7" t="str">
        <x:v>TRO-B-06-S4-O2-R1</x:v>
      </x:c>
      <x:c r="C717" s="7" t="str">
        <x:v>BLD-B</x:v>
      </x:c>
      <x:c r="D717" s="7" t="str">
        <x:v>MF-06</x:v>
      </x:c>
      <x:c r="E717" s="7" t="str">
        <x:v>STD-06-4</x:v>
      </x:c>
      <x:c r="F717" s="7" t="str">
        <x:v>OP-2</x:v>
      </x:c>
      <x:c r="G717" s="7" t="n">
        <x:v>1</x:v>
      </x:c>
      <x:c r="H717" s="7" t="str"/>
      <x:c r="I717" s="7" t="str"/>
      <x:c r="J717" s="7" t="str">
        <x:f>IF(OR(H717="",I717=""),"",I717-H717)</x:f>
      </x:c>
      <x:c r="K717" s="7" t="str"/>
      <x:c r="L717" s="7" t="str"/>
      <x:c r="M717" s="7" t="str"/>
      <x:c r="N717" s="7" t="str">
        <x:f>IF(M717="","OPEN",IF(OR(NOT(ISNUMBER(H717)),NOT(ISNUMBER(I717)),K717="",L717=""),"FAIL","PASS"))</x:f>
        <x:v>OPEN</x:v>
      </x:c>
    </x:row>
    <x:row r="718">
      <x:c r="B718" s="7" t="str">
        <x:v>TRO-B-06-S4-O2-R2</x:v>
      </x:c>
      <x:c r="C718" s="7" t="str">
        <x:v>BLD-B</x:v>
      </x:c>
      <x:c r="D718" s="7" t="str">
        <x:v>MF-06</x:v>
      </x:c>
      <x:c r="E718" s="7" t="str">
        <x:v>STD-06-4</x:v>
      </x:c>
      <x:c r="F718" s="7" t="str">
        <x:v>OP-2</x:v>
      </x:c>
      <x:c r="G718" s="7" t="n">
        <x:v>2</x:v>
      </x:c>
      <x:c r="H718" s="7" t="str"/>
      <x:c r="I718" s="7" t="str"/>
      <x:c r="J718" s="7" t="str">
        <x:f>IF(OR(H718="",I718=""),"",I718-H718)</x:f>
      </x:c>
      <x:c r="K718" s="7" t="str"/>
      <x:c r="L718" s="7" t="str"/>
      <x:c r="M718" s="7" t="str"/>
      <x:c r="N718" s="7" t="str">
        <x:f>IF(M718="","OPEN",IF(OR(NOT(ISNUMBER(H718)),NOT(ISNUMBER(I718)),K718="",L718=""),"FAIL","PASS"))</x:f>
        <x:v>OPEN</x:v>
      </x:c>
    </x:row>
    <x:row r="719">
      <x:c r="B719" s="7" t="str">
        <x:v>TRO-B-06-S5-O1-R1</x:v>
      </x:c>
      <x:c r="C719" s="7" t="str">
        <x:v>BLD-B</x:v>
      </x:c>
      <x:c r="D719" s="7" t="str">
        <x:v>MF-06</x:v>
      </x:c>
      <x:c r="E719" s="7" t="str">
        <x:v>STD-06-5</x:v>
      </x:c>
      <x:c r="F719" s="7" t="str">
        <x:v>OP-1</x:v>
      </x:c>
      <x:c r="G719" s="7" t="n">
        <x:v>1</x:v>
      </x:c>
      <x:c r="H719" s="7" t="str"/>
      <x:c r="I719" s="7" t="str"/>
      <x:c r="J719" s="7" t="str">
        <x:f>IF(OR(H719="",I719=""),"",I719-H719)</x:f>
      </x:c>
      <x:c r="K719" s="7" t="str"/>
      <x:c r="L719" s="7" t="str"/>
      <x:c r="M719" s="7" t="str"/>
      <x:c r="N719" s="7" t="str">
        <x:f>IF(M719="","OPEN",IF(OR(NOT(ISNUMBER(H719)),NOT(ISNUMBER(I719)),K719="",L719=""),"FAIL","PASS"))</x:f>
        <x:v>OPEN</x:v>
      </x:c>
    </x:row>
    <x:row r="720">
      <x:c r="B720" s="7" t="str">
        <x:v>TRO-B-06-S5-O1-R2</x:v>
      </x:c>
      <x:c r="C720" s="7" t="str">
        <x:v>BLD-B</x:v>
      </x:c>
      <x:c r="D720" s="7" t="str">
        <x:v>MF-06</x:v>
      </x:c>
      <x:c r="E720" s="7" t="str">
        <x:v>STD-06-5</x:v>
      </x:c>
      <x:c r="F720" s="7" t="str">
        <x:v>OP-1</x:v>
      </x:c>
      <x:c r="G720" s="7" t="n">
        <x:v>2</x:v>
      </x:c>
      <x:c r="H720" s="7" t="str"/>
      <x:c r="I720" s="7" t="str"/>
      <x:c r="J720" s="7" t="str">
        <x:f>IF(OR(H720="",I720=""),"",I720-H720)</x:f>
      </x:c>
      <x:c r="K720" s="7" t="str"/>
      <x:c r="L720" s="7" t="str"/>
      <x:c r="M720" s="7" t="str"/>
      <x:c r="N720" s="7" t="str">
        <x:f>IF(M720="","OPEN",IF(OR(NOT(ISNUMBER(H720)),NOT(ISNUMBER(I720)),K720="",L720=""),"FAIL","PASS"))</x:f>
        <x:v>OPEN</x:v>
      </x:c>
    </x:row>
    <x:row r="721">
      <x:c r="B721" s="7" t="str">
        <x:v>TRO-B-06-S5-O2-R1</x:v>
      </x:c>
      <x:c r="C721" s="7" t="str">
        <x:v>BLD-B</x:v>
      </x:c>
      <x:c r="D721" s="7" t="str">
        <x:v>MF-06</x:v>
      </x:c>
      <x:c r="E721" s="7" t="str">
        <x:v>STD-06-5</x:v>
      </x:c>
      <x:c r="F721" s="7" t="str">
        <x:v>OP-2</x:v>
      </x:c>
      <x:c r="G721" s="7" t="n">
        <x:v>1</x:v>
      </x:c>
      <x:c r="H721" s="7" t="str"/>
      <x:c r="I721" s="7" t="str"/>
      <x:c r="J721" s="7" t="str">
        <x:f>IF(OR(H721="",I721=""),"",I721-H721)</x:f>
      </x:c>
      <x:c r="K721" s="7" t="str"/>
      <x:c r="L721" s="7" t="str"/>
      <x:c r="M721" s="7" t="str"/>
      <x:c r="N721" s="7" t="str">
        <x:f>IF(M721="","OPEN",IF(OR(NOT(ISNUMBER(H721)),NOT(ISNUMBER(I721)),K721="",L721=""),"FAIL","PASS"))</x:f>
        <x:v>OPEN</x:v>
      </x:c>
    </x:row>
    <x:row r="722">
      <x:c r="B722" s="7" t="str">
        <x:v>TRO-B-06-S5-O2-R2</x:v>
      </x:c>
      <x:c r="C722" s="7" t="str">
        <x:v>BLD-B</x:v>
      </x:c>
      <x:c r="D722" s="7" t="str">
        <x:v>MF-06</x:v>
      </x:c>
      <x:c r="E722" s="7" t="str">
        <x:v>STD-06-5</x:v>
      </x:c>
      <x:c r="F722" s="7" t="str">
        <x:v>OP-2</x:v>
      </x:c>
      <x:c r="G722" s="7" t="n">
        <x:v>2</x:v>
      </x:c>
      <x:c r="H722" s="7" t="str"/>
      <x:c r="I722" s="7" t="str"/>
      <x:c r="J722" s="7" t="str">
        <x:f>IF(OR(H722="",I722=""),"",I722-H722)</x:f>
      </x:c>
      <x:c r="K722" s="7" t="str"/>
      <x:c r="L722" s="7" t="str"/>
      <x:c r="M722" s="7" t="str"/>
      <x:c r="N722" s="7" t="str">
        <x:f>IF(M722="","OPEN",IF(OR(NOT(ISNUMBER(H722)),NOT(ISNUMBER(I722)),K722="",L722=""),"FAIL","PASS"))</x:f>
        <x:v>OPEN</x:v>
      </x:c>
    </x:row>
    <x:row r="723">
      <x:c r="B723" s="7" t="str">
        <x:v>TRO-B-06-S6-O1-R1</x:v>
      </x:c>
      <x:c r="C723" s="7" t="str">
        <x:v>BLD-B</x:v>
      </x:c>
      <x:c r="D723" s="7" t="str">
        <x:v>MF-06</x:v>
      </x:c>
      <x:c r="E723" s="7" t="str">
        <x:v>STD-06-6</x:v>
      </x:c>
      <x:c r="F723" s="7" t="str">
        <x:v>OP-1</x:v>
      </x:c>
      <x:c r="G723" s="7" t="n">
        <x:v>1</x:v>
      </x:c>
      <x:c r="H723" s="7" t="str"/>
      <x:c r="I723" s="7" t="str"/>
      <x:c r="J723" s="7" t="str">
        <x:f>IF(OR(H723="",I723=""),"",I723-H723)</x:f>
      </x:c>
      <x:c r="K723" s="7" t="str"/>
      <x:c r="L723" s="7" t="str"/>
      <x:c r="M723" s="7" t="str"/>
      <x:c r="N723" s="7" t="str">
        <x:f>IF(M723="","OPEN",IF(OR(NOT(ISNUMBER(H723)),NOT(ISNUMBER(I723)),K723="",L723=""),"FAIL","PASS"))</x:f>
        <x:v>OPEN</x:v>
      </x:c>
    </x:row>
    <x:row r="724">
      <x:c r="B724" s="7" t="str">
        <x:v>TRO-B-06-S6-O1-R2</x:v>
      </x:c>
      <x:c r="C724" s="7" t="str">
        <x:v>BLD-B</x:v>
      </x:c>
      <x:c r="D724" s="7" t="str">
        <x:v>MF-06</x:v>
      </x:c>
      <x:c r="E724" s="7" t="str">
        <x:v>STD-06-6</x:v>
      </x:c>
      <x:c r="F724" s="7" t="str">
        <x:v>OP-1</x:v>
      </x:c>
      <x:c r="G724" s="7" t="n">
        <x:v>2</x:v>
      </x:c>
      <x:c r="H724" s="7" t="str"/>
      <x:c r="I724" s="7" t="str"/>
      <x:c r="J724" s="7" t="str">
        <x:f>IF(OR(H724="",I724=""),"",I724-H724)</x:f>
      </x:c>
      <x:c r="K724" s="7" t="str"/>
      <x:c r="L724" s="7" t="str"/>
      <x:c r="M724" s="7" t="str"/>
      <x:c r="N724" s="7" t="str">
        <x:f>IF(M724="","OPEN",IF(OR(NOT(ISNUMBER(H724)),NOT(ISNUMBER(I724)),K724="",L724=""),"FAIL","PASS"))</x:f>
        <x:v>OPEN</x:v>
      </x:c>
    </x:row>
    <x:row r="725">
      <x:c r="B725" s="7" t="str">
        <x:v>TRO-B-06-S6-O2-R1</x:v>
      </x:c>
      <x:c r="C725" s="7" t="str">
        <x:v>BLD-B</x:v>
      </x:c>
      <x:c r="D725" s="7" t="str">
        <x:v>MF-06</x:v>
      </x:c>
      <x:c r="E725" s="7" t="str">
        <x:v>STD-06-6</x:v>
      </x:c>
      <x:c r="F725" s="7" t="str">
        <x:v>OP-2</x:v>
      </x:c>
      <x:c r="G725" s="7" t="n">
        <x:v>1</x:v>
      </x:c>
      <x:c r="H725" s="7" t="str"/>
      <x:c r="I725" s="7" t="str"/>
      <x:c r="J725" s="7" t="str">
        <x:f>IF(OR(H725="",I725=""),"",I725-H725)</x:f>
      </x:c>
      <x:c r="K725" s="7" t="str"/>
      <x:c r="L725" s="7" t="str"/>
      <x:c r="M725" s="7" t="str"/>
      <x:c r="N725" s="7" t="str">
        <x:f>IF(M725="","OPEN",IF(OR(NOT(ISNUMBER(H725)),NOT(ISNUMBER(I725)),K725="",L725=""),"FAIL","PASS"))</x:f>
        <x:v>OPEN</x:v>
      </x:c>
    </x:row>
    <x:row r="726">
      <x:c r="B726" s="7" t="str">
        <x:v>TRO-B-06-S6-O2-R2</x:v>
      </x:c>
      <x:c r="C726" s="7" t="str">
        <x:v>BLD-B</x:v>
      </x:c>
      <x:c r="D726" s="7" t="str">
        <x:v>MF-06</x:v>
      </x:c>
      <x:c r="E726" s="7" t="str">
        <x:v>STD-06-6</x:v>
      </x:c>
      <x:c r="F726" s="7" t="str">
        <x:v>OP-2</x:v>
      </x:c>
      <x:c r="G726" s="7" t="n">
        <x:v>2</x:v>
      </x:c>
      <x:c r="H726" s="7" t="str"/>
      <x:c r="I726" s="7" t="str"/>
      <x:c r="J726" s="7" t="str">
        <x:f>IF(OR(H726="",I726=""),"",I726-H726)</x:f>
      </x:c>
      <x:c r="K726" s="7" t="str"/>
      <x:c r="L726" s="7" t="str"/>
      <x:c r="M726" s="7" t="str"/>
      <x:c r="N726" s="7" t="str">
        <x:f>IF(M726="","OPEN",IF(OR(NOT(ISNUMBER(H726)),NOT(ISNUMBER(I726)),K726="",L726=""),"FAIL","PASS"))</x:f>
        <x:v>OPEN</x:v>
      </x:c>
    </x:row>
    <x:row r="727">
      <x:c r="B727" s="7" t="str">
        <x:v>TRO-B-07-S1-O1-R1</x:v>
      </x:c>
      <x:c r="C727" s="7" t="str">
        <x:v>BLD-B</x:v>
      </x:c>
      <x:c r="D727" s="7" t="str">
        <x:v>MF-07</x:v>
      </x:c>
      <x:c r="E727" s="7" t="str">
        <x:v>STD-07-1</x:v>
      </x:c>
      <x:c r="F727" s="7" t="str">
        <x:v>OP-1</x:v>
      </x:c>
      <x:c r="G727" s="7" t="n">
        <x:v>1</x:v>
      </x:c>
      <x:c r="H727" s="7" t="str"/>
      <x:c r="I727" s="7" t="str"/>
      <x:c r="J727" s="7" t="str">
        <x:f>IF(OR(H727="",I727=""),"",I727-H727)</x:f>
      </x:c>
      <x:c r="K727" s="7" t="str"/>
      <x:c r="L727" s="7" t="str"/>
      <x:c r="M727" s="7" t="str"/>
      <x:c r="N727" s="7" t="str">
        <x:f>IF(M727="","OPEN",IF(OR(NOT(ISNUMBER(H727)),NOT(ISNUMBER(I727)),K727="",L727=""),"FAIL","PASS"))</x:f>
        <x:v>OPEN</x:v>
      </x:c>
    </x:row>
    <x:row r="728">
      <x:c r="B728" s="7" t="str">
        <x:v>TRO-B-07-S1-O1-R2</x:v>
      </x:c>
      <x:c r="C728" s="7" t="str">
        <x:v>BLD-B</x:v>
      </x:c>
      <x:c r="D728" s="7" t="str">
        <x:v>MF-07</x:v>
      </x:c>
      <x:c r="E728" s="7" t="str">
        <x:v>STD-07-1</x:v>
      </x:c>
      <x:c r="F728" s="7" t="str">
        <x:v>OP-1</x:v>
      </x:c>
      <x:c r="G728" s="7" t="n">
        <x:v>2</x:v>
      </x:c>
      <x:c r="H728" s="7" t="str"/>
      <x:c r="I728" s="7" t="str"/>
      <x:c r="J728" s="7" t="str">
        <x:f>IF(OR(H728="",I728=""),"",I728-H728)</x:f>
      </x:c>
      <x:c r="K728" s="7" t="str"/>
      <x:c r="L728" s="7" t="str"/>
      <x:c r="M728" s="7" t="str"/>
      <x:c r="N728" s="7" t="str">
        <x:f>IF(M728="","OPEN",IF(OR(NOT(ISNUMBER(H728)),NOT(ISNUMBER(I728)),K728="",L728=""),"FAIL","PASS"))</x:f>
        <x:v>OPEN</x:v>
      </x:c>
    </x:row>
    <x:row r="729">
      <x:c r="B729" s="7" t="str">
        <x:v>TRO-B-07-S1-O2-R1</x:v>
      </x:c>
      <x:c r="C729" s="7" t="str">
        <x:v>BLD-B</x:v>
      </x:c>
      <x:c r="D729" s="7" t="str">
        <x:v>MF-07</x:v>
      </x:c>
      <x:c r="E729" s="7" t="str">
        <x:v>STD-07-1</x:v>
      </x:c>
      <x:c r="F729" s="7" t="str">
        <x:v>OP-2</x:v>
      </x:c>
      <x:c r="G729" s="7" t="n">
        <x:v>1</x:v>
      </x:c>
      <x:c r="H729" s="7" t="str"/>
      <x:c r="I729" s="7" t="str"/>
      <x:c r="J729" s="7" t="str">
        <x:f>IF(OR(H729="",I729=""),"",I729-H729)</x:f>
      </x:c>
      <x:c r="K729" s="7" t="str"/>
      <x:c r="L729" s="7" t="str"/>
      <x:c r="M729" s="7" t="str"/>
      <x:c r="N729" s="7" t="str">
        <x:f>IF(M729="","OPEN",IF(OR(NOT(ISNUMBER(H729)),NOT(ISNUMBER(I729)),K729="",L729=""),"FAIL","PASS"))</x:f>
        <x:v>OPEN</x:v>
      </x:c>
    </x:row>
    <x:row r="730">
      <x:c r="B730" s="7" t="str">
        <x:v>TRO-B-07-S1-O2-R2</x:v>
      </x:c>
      <x:c r="C730" s="7" t="str">
        <x:v>BLD-B</x:v>
      </x:c>
      <x:c r="D730" s="7" t="str">
        <x:v>MF-07</x:v>
      </x:c>
      <x:c r="E730" s="7" t="str">
        <x:v>STD-07-1</x:v>
      </x:c>
      <x:c r="F730" s="7" t="str">
        <x:v>OP-2</x:v>
      </x:c>
      <x:c r="G730" s="7" t="n">
        <x:v>2</x:v>
      </x:c>
      <x:c r="H730" s="7" t="str"/>
      <x:c r="I730" s="7" t="str"/>
      <x:c r="J730" s="7" t="str">
        <x:f>IF(OR(H730="",I730=""),"",I730-H730)</x:f>
      </x:c>
      <x:c r="K730" s="7" t="str"/>
      <x:c r="L730" s="7" t="str"/>
      <x:c r="M730" s="7" t="str"/>
      <x:c r="N730" s="7" t="str">
        <x:f>IF(M730="","OPEN",IF(OR(NOT(ISNUMBER(H730)),NOT(ISNUMBER(I730)),K730="",L730=""),"FAIL","PASS"))</x:f>
        <x:v>OPEN</x:v>
      </x:c>
    </x:row>
    <x:row r="731">
      <x:c r="B731" s="7" t="str">
        <x:v>TRO-B-07-S2-O1-R1</x:v>
      </x:c>
      <x:c r="C731" s="7" t="str">
        <x:v>BLD-B</x:v>
      </x:c>
      <x:c r="D731" s="7" t="str">
        <x:v>MF-07</x:v>
      </x:c>
      <x:c r="E731" s="7" t="str">
        <x:v>STD-07-2</x:v>
      </x:c>
      <x:c r="F731" s="7" t="str">
        <x:v>OP-1</x:v>
      </x:c>
      <x:c r="G731" s="7" t="n">
        <x:v>1</x:v>
      </x:c>
      <x:c r="H731" s="7" t="str"/>
      <x:c r="I731" s="7" t="str"/>
      <x:c r="J731" s="7" t="str">
        <x:f>IF(OR(H731="",I731=""),"",I731-H731)</x:f>
      </x:c>
      <x:c r="K731" s="7" t="str"/>
      <x:c r="L731" s="7" t="str"/>
      <x:c r="M731" s="7" t="str"/>
      <x:c r="N731" s="7" t="str">
        <x:f>IF(M731="","OPEN",IF(OR(NOT(ISNUMBER(H731)),NOT(ISNUMBER(I731)),K731="",L731=""),"FAIL","PASS"))</x:f>
        <x:v>OPEN</x:v>
      </x:c>
    </x:row>
    <x:row r="732">
      <x:c r="B732" s="7" t="str">
        <x:v>TRO-B-07-S2-O1-R2</x:v>
      </x:c>
      <x:c r="C732" s="7" t="str">
        <x:v>BLD-B</x:v>
      </x:c>
      <x:c r="D732" s="7" t="str">
        <x:v>MF-07</x:v>
      </x:c>
      <x:c r="E732" s="7" t="str">
        <x:v>STD-07-2</x:v>
      </x:c>
      <x:c r="F732" s="7" t="str">
        <x:v>OP-1</x:v>
      </x:c>
      <x:c r="G732" s="7" t="n">
        <x:v>2</x:v>
      </x:c>
      <x:c r="H732" s="7" t="str"/>
      <x:c r="I732" s="7" t="str"/>
      <x:c r="J732" s="7" t="str">
        <x:f>IF(OR(H732="",I732=""),"",I732-H732)</x:f>
      </x:c>
      <x:c r="K732" s="7" t="str"/>
      <x:c r="L732" s="7" t="str"/>
      <x:c r="M732" s="7" t="str"/>
      <x:c r="N732" s="7" t="str">
        <x:f>IF(M732="","OPEN",IF(OR(NOT(ISNUMBER(H732)),NOT(ISNUMBER(I732)),K732="",L732=""),"FAIL","PASS"))</x:f>
        <x:v>OPEN</x:v>
      </x:c>
    </x:row>
    <x:row r="733">
      <x:c r="B733" s="7" t="str">
        <x:v>TRO-B-07-S2-O2-R1</x:v>
      </x:c>
      <x:c r="C733" s="7" t="str">
        <x:v>BLD-B</x:v>
      </x:c>
      <x:c r="D733" s="7" t="str">
        <x:v>MF-07</x:v>
      </x:c>
      <x:c r="E733" s="7" t="str">
        <x:v>STD-07-2</x:v>
      </x:c>
      <x:c r="F733" s="7" t="str">
        <x:v>OP-2</x:v>
      </x:c>
      <x:c r="G733" s="7" t="n">
        <x:v>1</x:v>
      </x:c>
      <x:c r="H733" s="7" t="str"/>
      <x:c r="I733" s="7" t="str"/>
      <x:c r="J733" s="7" t="str">
        <x:f>IF(OR(H733="",I733=""),"",I733-H733)</x:f>
      </x:c>
      <x:c r="K733" s="7" t="str"/>
      <x:c r="L733" s="7" t="str"/>
      <x:c r="M733" s="7" t="str"/>
      <x:c r="N733" s="7" t="str">
        <x:f>IF(M733="","OPEN",IF(OR(NOT(ISNUMBER(H733)),NOT(ISNUMBER(I733)),K733="",L733=""),"FAIL","PASS"))</x:f>
        <x:v>OPEN</x:v>
      </x:c>
    </x:row>
    <x:row r="734">
      <x:c r="B734" s="7" t="str">
        <x:v>TRO-B-07-S2-O2-R2</x:v>
      </x:c>
      <x:c r="C734" s="7" t="str">
        <x:v>BLD-B</x:v>
      </x:c>
      <x:c r="D734" s="7" t="str">
        <x:v>MF-07</x:v>
      </x:c>
      <x:c r="E734" s="7" t="str">
        <x:v>STD-07-2</x:v>
      </x:c>
      <x:c r="F734" s="7" t="str">
        <x:v>OP-2</x:v>
      </x:c>
      <x:c r="G734" s="7" t="n">
        <x:v>2</x:v>
      </x:c>
      <x:c r="H734" s="7" t="str"/>
      <x:c r="I734" s="7" t="str"/>
      <x:c r="J734" s="7" t="str">
        <x:f>IF(OR(H734="",I734=""),"",I734-H734)</x:f>
      </x:c>
      <x:c r="K734" s="7" t="str"/>
      <x:c r="L734" s="7" t="str"/>
      <x:c r="M734" s="7" t="str"/>
      <x:c r="N734" s="7" t="str">
        <x:f>IF(M734="","OPEN",IF(OR(NOT(ISNUMBER(H734)),NOT(ISNUMBER(I734)),K734="",L734=""),"FAIL","PASS"))</x:f>
        <x:v>OPEN</x:v>
      </x:c>
    </x:row>
    <x:row r="735">
      <x:c r="B735" s="7" t="str">
        <x:v>TRO-B-07-S3-O1-R1</x:v>
      </x:c>
      <x:c r="C735" s="7" t="str">
        <x:v>BLD-B</x:v>
      </x:c>
      <x:c r="D735" s="7" t="str">
        <x:v>MF-07</x:v>
      </x:c>
      <x:c r="E735" s="7" t="str">
        <x:v>STD-07-3</x:v>
      </x:c>
      <x:c r="F735" s="7" t="str">
        <x:v>OP-1</x:v>
      </x:c>
      <x:c r="G735" s="7" t="n">
        <x:v>1</x:v>
      </x:c>
      <x:c r="H735" s="7" t="str"/>
      <x:c r="I735" s="7" t="str"/>
      <x:c r="J735" s="7" t="str">
        <x:f>IF(OR(H735="",I735=""),"",I735-H735)</x:f>
      </x:c>
      <x:c r="K735" s="7" t="str"/>
      <x:c r="L735" s="7" t="str"/>
      <x:c r="M735" s="7" t="str"/>
      <x:c r="N735" s="7" t="str">
        <x:f>IF(M735="","OPEN",IF(OR(NOT(ISNUMBER(H735)),NOT(ISNUMBER(I735)),K735="",L735=""),"FAIL","PASS"))</x:f>
        <x:v>OPEN</x:v>
      </x:c>
    </x:row>
    <x:row r="736">
      <x:c r="B736" s="7" t="str">
        <x:v>TRO-B-07-S3-O1-R2</x:v>
      </x:c>
      <x:c r="C736" s="7" t="str">
        <x:v>BLD-B</x:v>
      </x:c>
      <x:c r="D736" s="7" t="str">
        <x:v>MF-07</x:v>
      </x:c>
      <x:c r="E736" s="7" t="str">
        <x:v>STD-07-3</x:v>
      </x:c>
      <x:c r="F736" s="7" t="str">
        <x:v>OP-1</x:v>
      </x:c>
      <x:c r="G736" s="7" t="n">
        <x:v>2</x:v>
      </x:c>
      <x:c r="H736" s="7" t="str"/>
      <x:c r="I736" s="7" t="str"/>
      <x:c r="J736" s="7" t="str">
        <x:f>IF(OR(H736="",I736=""),"",I736-H736)</x:f>
      </x:c>
      <x:c r="K736" s="7" t="str"/>
      <x:c r="L736" s="7" t="str"/>
      <x:c r="M736" s="7" t="str"/>
      <x:c r="N736" s="7" t="str">
        <x:f>IF(M736="","OPEN",IF(OR(NOT(ISNUMBER(H736)),NOT(ISNUMBER(I736)),K736="",L736=""),"FAIL","PASS"))</x:f>
        <x:v>OPEN</x:v>
      </x:c>
    </x:row>
    <x:row r="737">
      <x:c r="B737" s="7" t="str">
        <x:v>TRO-B-07-S3-O2-R1</x:v>
      </x:c>
      <x:c r="C737" s="7" t="str">
        <x:v>BLD-B</x:v>
      </x:c>
      <x:c r="D737" s="7" t="str">
        <x:v>MF-07</x:v>
      </x:c>
      <x:c r="E737" s="7" t="str">
        <x:v>STD-07-3</x:v>
      </x:c>
      <x:c r="F737" s="7" t="str">
        <x:v>OP-2</x:v>
      </x:c>
      <x:c r="G737" s="7" t="n">
        <x:v>1</x:v>
      </x:c>
      <x:c r="H737" s="7" t="str"/>
      <x:c r="I737" s="7" t="str"/>
      <x:c r="J737" s="7" t="str">
        <x:f>IF(OR(H737="",I737=""),"",I737-H737)</x:f>
      </x:c>
      <x:c r="K737" s="7" t="str"/>
      <x:c r="L737" s="7" t="str"/>
      <x:c r="M737" s="7" t="str"/>
      <x:c r="N737" s="7" t="str">
        <x:f>IF(M737="","OPEN",IF(OR(NOT(ISNUMBER(H737)),NOT(ISNUMBER(I737)),K737="",L737=""),"FAIL","PASS"))</x:f>
        <x:v>OPEN</x:v>
      </x:c>
    </x:row>
    <x:row r="738">
      <x:c r="B738" s="7" t="str">
        <x:v>TRO-B-07-S3-O2-R2</x:v>
      </x:c>
      <x:c r="C738" s="7" t="str">
        <x:v>BLD-B</x:v>
      </x:c>
      <x:c r="D738" s="7" t="str">
        <x:v>MF-07</x:v>
      </x:c>
      <x:c r="E738" s="7" t="str">
        <x:v>STD-07-3</x:v>
      </x:c>
      <x:c r="F738" s="7" t="str">
        <x:v>OP-2</x:v>
      </x:c>
      <x:c r="G738" s="7" t="n">
        <x:v>2</x:v>
      </x:c>
      <x:c r="H738" s="7" t="str"/>
      <x:c r="I738" s="7" t="str"/>
      <x:c r="J738" s="7" t="str">
        <x:f>IF(OR(H738="",I738=""),"",I738-H738)</x:f>
      </x:c>
      <x:c r="K738" s="7" t="str"/>
      <x:c r="L738" s="7" t="str"/>
      <x:c r="M738" s="7" t="str"/>
      <x:c r="N738" s="7" t="str">
        <x:f>IF(M738="","OPEN",IF(OR(NOT(ISNUMBER(H738)),NOT(ISNUMBER(I738)),K738="",L738=""),"FAIL","PASS"))</x:f>
        <x:v>OPEN</x:v>
      </x:c>
    </x:row>
    <x:row r="739">
      <x:c r="B739" s="7" t="str">
        <x:v>TRO-B-07-S4-O1-R1</x:v>
      </x:c>
      <x:c r="C739" s="7" t="str">
        <x:v>BLD-B</x:v>
      </x:c>
      <x:c r="D739" s="7" t="str">
        <x:v>MF-07</x:v>
      </x:c>
      <x:c r="E739" s="7" t="str">
        <x:v>STD-07-4</x:v>
      </x:c>
      <x:c r="F739" s="7" t="str">
        <x:v>OP-1</x:v>
      </x:c>
      <x:c r="G739" s="7" t="n">
        <x:v>1</x:v>
      </x:c>
      <x:c r="H739" s="7" t="str"/>
      <x:c r="I739" s="7" t="str"/>
      <x:c r="J739" s="7" t="str">
        <x:f>IF(OR(H739="",I739=""),"",I739-H739)</x:f>
      </x:c>
      <x:c r="K739" s="7" t="str"/>
      <x:c r="L739" s="7" t="str"/>
      <x:c r="M739" s="7" t="str"/>
      <x:c r="N739" s="7" t="str">
        <x:f>IF(M739="","OPEN",IF(OR(NOT(ISNUMBER(H739)),NOT(ISNUMBER(I739)),K739="",L739=""),"FAIL","PASS"))</x:f>
        <x:v>OPEN</x:v>
      </x:c>
    </x:row>
    <x:row r="740">
      <x:c r="B740" s="7" t="str">
        <x:v>TRO-B-07-S4-O1-R2</x:v>
      </x:c>
      <x:c r="C740" s="7" t="str">
        <x:v>BLD-B</x:v>
      </x:c>
      <x:c r="D740" s="7" t="str">
        <x:v>MF-07</x:v>
      </x:c>
      <x:c r="E740" s="7" t="str">
        <x:v>STD-07-4</x:v>
      </x:c>
      <x:c r="F740" s="7" t="str">
        <x:v>OP-1</x:v>
      </x:c>
      <x:c r="G740" s="7" t="n">
        <x:v>2</x:v>
      </x:c>
      <x:c r="H740" s="7" t="str"/>
      <x:c r="I740" s="7" t="str"/>
      <x:c r="J740" s="7" t="str">
        <x:f>IF(OR(H740="",I740=""),"",I740-H740)</x:f>
      </x:c>
      <x:c r="K740" s="7" t="str"/>
      <x:c r="L740" s="7" t="str"/>
      <x:c r="M740" s="7" t="str"/>
      <x:c r="N740" s="7" t="str">
        <x:f>IF(M740="","OPEN",IF(OR(NOT(ISNUMBER(H740)),NOT(ISNUMBER(I740)),K740="",L740=""),"FAIL","PASS"))</x:f>
        <x:v>OPEN</x:v>
      </x:c>
    </x:row>
    <x:row r="741">
      <x:c r="B741" s="7" t="str">
        <x:v>TRO-B-07-S4-O2-R1</x:v>
      </x:c>
      <x:c r="C741" s="7" t="str">
        <x:v>BLD-B</x:v>
      </x:c>
      <x:c r="D741" s="7" t="str">
        <x:v>MF-07</x:v>
      </x:c>
      <x:c r="E741" s="7" t="str">
        <x:v>STD-07-4</x:v>
      </x:c>
      <x:c r="F741" s="7" t="str">
        <x:v>OP-2</x:v>
      </x:c>
      <x:c r="G741" s="7" t="n">
        <x:v>1</x:v>
      </x:c>
      <x:c r="H741" s="7" t="str"/>
      <x:c r="I741" s="7" t="str"/>
      <x:c r="J741" s="7" t="str">
        <x:f>IF(OR(H741="",I741=""),"",I741-H741)</x:f>
      </x:c>
      <x:c r="K741" s="7" t="str"/>
      <x:c r="L741" s="7" t="str"/>
      <x:c r="M741" s="7" t="str"/>
      <x:c r="N741" s="7" t="str">
        <x:f>IF(M741="","OPEN",IF(OR(NOT(ISNUMBER(H741)),NOT(ISNUMBER(I741)),K741="",L741=""),"FAIL","PASS"))</x:f>
        <x:v>OPEN</x:v>
      </x:c>
    </x:row>
    <x:row r="742">
      <x:c r="B742" s="7" t="str">
        <x:v>TRO-B-07-S4-O2-R2</x:v>
      </x:c>
      <x:c r="C742" s="7" t="str">
        <x:v>BLD-B</x:v>
      </x:c>
      <x:c r="D742" s="7" t="str">
        <x:v>MF-07</x:v>
      </x:c>
      <x:c r="E742" s="7" t="str">
        <x:v>STD-07-4</x:v>
      </x:c>
      <x:c r="F742" s="7" t="str">
        <x:v>OP-2</x:v>
      </x:c>
      <x:c r="G742" s="7" t="n">
        <x:v>2</x:v>
      </x:c>
      <x:c r="H742" s="7" t="str"/>
      <x:c r="I742" s="7" t="str"/>
      <x:c r="J742" s="7" t="str">
        <x:f>IF(OR(H742="",I742=""),"",I742-H742)</x:f>
      </x:c>
      <x:c r="K742" s="7" t="str"/>
      <x:c r="L742" s="7" t="str"/>
      <x:c r="M742" s="7" t="str"/>
      <x:c r="N742" s="7" t="str">
        <x:f>IF(M742="","OPEN",IF(OR(NOT(ISNUMBER(H742)),NOT(ISNUMBER(I742)),K742="",L742=""),"FAIL","PASS"))</x:f>
        <x:v>OPEN</x:v>
      </x:c>
    </x:row>
    <x:row r="743">
      <x:c r="B743" s="7" t="str">
        <x:v>TRO-B-07-S5-O1-R1</x:v>
      </x:c>
      <x:c r="C743" s="7" t="str">
        <x:v>BLD-B</x:v>
      </x:c>
      <x:c r="D743" s="7" t="str">
        <x:v>MF-07</x:v>
      </x:c>
      <x:c r="E743" s="7" t="str">
        <x:v>STD-07-5</x:v>
      </x:c>
      <x:c r="F743" s="7" t="str">
        <x:v>OP-1</x:v>
      </x:c>
      <x:c r="G743" s="7" t="n">
        <x:v>1</x:v>
      </x:c>
      <x:c r="H743" s="7" t="str"/>
      <x:c r="I743" s="7" t="str"/>
      <x:c r="J743" s="7" t="str">
        <x:f>IF(OR(H743="",I743=""),"",I743-H743)</x:f>
      </x:c>
      <x:c r="K743" s="7" t="str"/>
      <x:c r="L743" s="7" t="str"/>
      <x:c r="M743" s="7" t="str"/>
      <x:c r="N743" s="7" t="str">
        <x:f>IF(M743="","OPEN",IF(OR(NOT(ISNUMBER(H743)),NOT(ISNUMBER(I743)),K743="",L743=""),"FAIL","PASS"))</x:f>
        <x:v>OPEN</x:v>
      </x:c>
    </x:row>
    <x:row r="744">
      <x:c r="B744" s="7" t="str">
        <x:v>TRO-B-07-S5-O1-R2</x:v>
      </x:c>
      <x:c r="C744" s="7" t="str">
        <x:v>BLD-B</x:v>
      </x:c>
      <x:c r="D744" s="7" t="str">
        <x:v>MF-07</x:v>
      </x:c>
      <x:c r="E744" s="7" t="str">
        <x:v>STD-07-5</x:v>
      </x:c>
      <x:c r="F744" s="7" t="str">
        <x:v>OP-1</x:v>
      </x:c>
      <x:c r="G744" s="7" t="n">
        <x:v>2</x:v>
      </x:c>
      <x:c r="H744" s="7" t="str"/>
      <x:c r="I744" s="7" t="str"/>
      <x:c r="J744" s="7" t="str">
        <x:f>IF(OR(H744="",I744=""),"",I744-H744)</x:f>
      </x:c>
      <x:c r="K744" s="7" t="str"/>
      <x:c r="L744" s="7" t="str"/>
      <x:c r="M744" s="7" t="str"/>
      <x:c r="N744" s="7" t="str">
        <x:f>IF(M744="","OPEN",IF(OR(NOT(ISNUMBER(H744)),NOT(ISNUMBER(I744)),K744="",L744=""),"FAIL","PASS"))</x:f>
        <x:v>OPEN</x:v>
      </x:c>
    </x:row>
    <x:row r="745">
      <x:c r="B745" s="7" t="str">
        <x:v>TRO-B-07-S5-O2-R1</x:v>
      </x:c>
      <x:c r="C745" s="7" t="str">
        <x:v>BLD-B</x:v>
      </x:c>
      <x:c r="D745" s="7" t="str">
        <x:v>MF-07</x:v>
      </x:c>
      <x:c r="E745" s="7" t="str">
        <x:v>STD-07-5</x:v>
      </x:c>
      <x:c r="F745" s="7" t="str">
        <x:v>OP-2</x:v>
      </x:c>
      <x:c r="G745" s="7" t="n">
        <x:v>1</x:v>
      </x:c>
      <x:c r="H745" s="7" t="str"/>
      <x:c r="I745" s="7" t="str"/>
      <x:c r="J745" s="7" t="str">
        <x:f>IF(OR(H745="",I745=""),"",I745-H745)</x:f>
      </x:c>
      <x:c r="K745" s="7" t="str"/>
      <x:c r="L745" s="7" t="str"/>
      <x:c r="M745" s="7" t="str"/>
      <x:c r="N745" s="7" t="str">
        <x:f>IF(M745="","OPEN",IF(OR(NOT(ISNUMBER(H745)),NOT(ISNUMBER(I745)),K745="",L745=""),"FAIL","PASS"))</x:f>
        <x:v>OPEN</x:v>
      </x:c>
    </x:row>
    <x:row r="746">
      <x:c r="B746" s="7" t="str">
        <x:v>TRO-B-07-S5-O2-R2</x:v>
      </x:c>
      <x:c r="C746" s="7" t="str">
        <x:v>BLD-B</x:v>
      </x:c>
      <x:c r="D746" s="7" t="str">
        <x:v>MF-07</x:v>
      </x:c>
      <x:c r="E746" s="7" t="str">
        <x:v>STD-07-5</x:v>
      </x:c>
      <x:c r="F746" s="7" t="str">
        <x:v>OP-2</x:v>
      </x:c>
      <x:c r="G746" s="7" t="n">
        <x:v>2</x:v>
      </x:c>
      <x:c r="H746" s="7" t="str"/>
      <x:c r="I746" s="7" t="str"/>
      <x:c r="J746" s="7" t="str">
        <x:f>IF(OR(H746="",I746=""),"",I746-H746)</x:f>
      </x:c>
      <x:c r="K746" s="7" t="str"/>
      <x:c r="L746" s="7" t="str"/>
      <x:c r="M746" s="7" t="str"/>
      <x:c r="N746" s="7" t="str">
        <x:f>IF(M746="","OPEN",IF(OR(NOT(ISNUMBER(H746)),NOT(ISNUMBER(I746)),K746="",L746=""),"FAIL","PASS"))</x:f>
        <x:v>OPEN</x:v>
      </x:c>
    </x:row>
    <x:row r="747">
      <x:c r="B747" s="7" t="str">
        <x:v>TRO-B-07-S6-O1-R1</x:v>
      </x:c>
      <x:c r="C747" s="7" t="str">
        <x:v>BLD-B</x:v>
      </x:c>
      <x:c r="D747" s="7" t="str">
        <x:v>MF-07</x:v>
      </x:c>
      <x:c r="E747" s="7" t="str">
        <x:v>STD-07-6</x:v>
      </x:c>
      <x:c r="F747" s="7" t="str">
        <x:v>OP-1</x:v>
      </x:c>
      <x:c r="G747" s="7" t="n">
        <x:v>1</x:v>
      </x:c>
      <x:c r="H747" s="7" t="str"/>
      <x:c r="I747" s="7" t="str"/>
      <x:c r="J747" s="7" t="str">
        <x:f>IF(OR(H747="",I747=""),"",I747-H747)</x:f>
      </x:c>
      <x:c r="K747" s="7" t="str"/>
      <x:c r="L747" s="7" t="str"/>
      <x:c r="M747" s="7" t="str"/>
      <x:c r="N747" s="7" t="str">
        <x:f>IF(M747="","OPEN",IF(OR(NOT(ISNUMBER(H747)),NOT(ISNUMBER(I747)),K747="",L747=""),"FAIL","PASS"))</x:f>
        <x:v>OPEN</x:v>
      </x:c>
    </x:row>
    <x:row r="748">
      <x:c r="B748" s="7" t="str">
        <x:v>TRO-B-07-S6-O1-R2</x:v>
      </x:c>
      <x:c r="C748" s="7" t="str">
        <x:v>BLD-B</x:v>
      </x:c>
      <x:c r="D748" s="7" t="str">
        <x:v>MF-07</x:v>
      </x:c>
      <x:c r="E748" s="7" t="str">
        <x:v>STD-07-6</x:v>
      </x:c>
      <x:c r="F748" s="7" t="str">
        <x:v>OP-1</x:v>
      </x:c>
      <x:c r="G748" s="7" t="n">
        <x:v>2</x:v>
      </x:c>
      <x:c r="H748" s="7" t="str"/>
      <x:c r="I748" s="7" t="str"/>
      <x:c r="J748" s="7" t="str">
        <x:f>IF(OR(H748="",I748=""),"",I748-H748)</x:f>
      </x:c>
      <x:c r="K748" s="7" t="str"/>
      <x:c r="L748" s="7" t="str"/>
      <x:c r="M748" s="7" t="str"/>
      <x:c r="N748" s="7" t="str">
        <x:f>IF(M748="","OPEN",IF(OR(NOT(ISNUMBER(H748)),NOT(ISNUMBER(I748)),K748="",L748=""),"FAIL","PASS"))</x:f>
        <x:v>OPEN</x:v>
      </x:c>
    </x:row>
    <x:row r="749">
      <x:c r="B749" s="7" t="str">
        <x:v>TRO-B-07-S6-O2-R1</x:v>
      </x:c>
      <x:c r="C749" s="7" t="str">
        <x:v>BLD-B</x:v>
      </x:c>
      <x:c r="D749" s="7" t="str">
        <x:v>MF-07</x:v>
      </x:c>
      <x:c r="E749" s="7" t="str">
        <x:v>STD-07-6</x:v>
      </x:c>
      <x:c r="F749" s="7" t="str">
        <x:v>OP-2</x:v>
      </x:c>
      <x:c r="G749" s="7" t="n">
        <x:v>1</x:v>
      </x:c>
      <x:c r="H749" s="7" t="str"/>
      <x:c r="I749" s="7" t="str"/>
      <x:c r="J749" s="7" t="str">
        <x:f>IF(OR(H749="",I749=""),"",I749-H749)</x:f>
      </x:c>
      <x:c r="K749" s="7" t="str"/>
      <x:c r="L749" s="7" t="str"/>
      <x:c r="M749" s="7" t="str"/>
      <x:c r="N749" s="7" t="str">
        <x:f>IF(M749="","OPEN",IF(OR(NOT(ISNUMBER(H749)),NOT(ISNUMBER(I749)),K749="",L749=""),"FAIL","PASS"))</x:f>
        <x:v>OPEN</x:v>
      </x:c>
    </x:row>
    <x:row r="750">
      <x:c r="B750" s="7" t="str">
        <x:v>TRO-B-07-S6-O2-R2</x:v>
      </x:c>
      <x:c r="C750" s="7" t="str">
        <x:v>BLD-B</x:v>
      </x:c>
      <x:c r="D750" s="7" t="str">
        <x:v>MF-07</x:v>
      </x:c>
      <x:c r="E750" s="7" t="str">
        <x:v>STD-07-6</x:v>
      </x:c>
      <x:c r="F750" s="7" t="str">
        <x:v>OP-2</x:v>
      </x:c>
      <x:c r="G750" s="7" t="n">
        <x:v>2</x:v>
      </x:c>
      <x:c r="H750" s="7" t="str"/>
      <x:c r="I750" s="7" t="str"/>
      <x:c r="J750" s="7" t="str">
        <x:f>IF(OR(H750="",I750=""),"",I750-H750)</x:f>
      </x:c>
      <x:c r="K750" s="7" t="str"/>
      <x:c r="L750" s="7" t="str"/>
      <x:c r="M750" s="7" t="str"/>
      <x:c r="N750" s="7" t="str">
        <x:f>IF(M750="","OPEN",IF(OR(NOT(ISNUMBER(H750)),NOT(ISNUMBER(I750)),K750="",L750=""),"FAIL","PASS"))</x:f>
        <x:v>OPEN</x:v>
      </x:c>
    </x:row>
    <x:row r="751">
      <x:c r="B751" s="7" t="str">
        <x:v>TRO-B-08-S1-O1-R1</x:v>
      </x:c>
      <x:c r="C751" s="7" t="str">
        <x:v>BLD-B</x:v>
      </x:c>
      <x:c r="D751" s="7" t="str">
        <x:v>MF-08</x:v>
      </x:c>
      <x:c r="E751" s="7" t="str">
        <x:v>STD-08-1</x:v>
      </x:c>
      <x:c r="F751" s="7" t="str">
        <x:v>OP-1</x:v>
      </x:c>
      <x:c r="G751" s="7" t="n">
        <x:v>1</x:v>
      </x:c>
      <x:c r="H751" s="7" t="str"/>
      <x:c r="I751" s="7" t="str"/>
      <x:c r="J751" s="7" t="str">
        <x:f>IF(OR(H751="",I751=""),"",I751-H751)</x:f>
      </x:c>
      <x:c r="K751" s="7" t="str"/>
      <x:c r="L751" s="7" t="str"/>
      <x:c r="M751" s="7" t="str"/>
      <x:c r="N751" s="7" t="str">
        <x:f>IF(M751="","OPEN",IF(OR(NOT(ISNUMBER(H751)),NOT(ISNUMBER(I751)),K751="",L751=""),"FAIL","PASS"))</x:f>
        <x:v>OPEN</x:v>
      </x:c>
    </x:row>
    <x:row r="752">
      <x:c r="B752" s="7" t="str">
        <x:v>TRO-B-08-S1-O1-R2</x:v>
      </x:c>
      <x:c r="C752" s="7" t="str">
        <x:v>BLD-B</x:v>
      </x:c>
      <x:c r="D752" s="7" t="str">
        <x:v>MF-08</x:v>
      </x:c>
      <x:c r="E752" s="7" t="str">
        <x:v>STD-08-1</x:v>
      </x:c>
      <x:c r="F752" s="7" t="str">
        <x:v>OP-1</x:v>
      </x:c>
      <x:c r="G752" s="7" t="n">
        <x:v>2</x:v>
      </x:c>
      <x:c r="H752" s="7" t="str"/>
      <x:c r="I752" s="7" t="str"/>
      <x:c r="J752" s="7" t="str">
        <x:f>IF(OR(H752="",I752=""),"",I752-H752)</x:f>
      </x:c>
      <x:c r="K752" s="7" t="str"/>
      <x:c r="L752" s="7" t="str"/>
      <x:c r="M752" s="7" t="str"/>
      <x:c r="N752" s="7" t="str">
        <x:f>IF(M752="","OPEN",IF(OR(NOT(ISNUMBER(H752)),NOT(ISNUMBER(I752)),K752="",L752=""),"FAIL","PASS"))</x:f>
        <x:v>OPEN</x:v>
      </x:c>
    </x:row>
    <x:row r="753">
      <x:c r="B753" s="7" t="str">
        <x:v>TRO-B-08-S1-O2-R1</x:v>
      </x:c>
      <x:c r="C753" s="7" t="str">
        <x:v>BLD-B</x:v>
      </x:c>
      <x:c r="D753" s="7" t="str">
        <x:v>MF-08</x:v>
      </x:c>
      <x:c r="E753" s="7" t="str">
        <x:v>STD-08-1</x:v>
      </x:c>
      <x:c r="F753" s="7" t="str">
        <x:v>OP-2</x:v>
      </x:c>
      <x:c r="G753" s="7" t="n">
        <x:v>1</x:v>
      </x:c>
      <x:c r="H753" s="7" t="str"/>
      <x:c r="I753" s="7" t="str"/>
      <x:c r="J753" s="7" t="str">
        <x:f>IF(OR(H753="",I753=""),"",I753-H753)</x:f>
      </x:c>
      <x:c r="K753" s="7" t="str"/>
      <x:c r="L753" s="7" t="str"/>
      <x:c r="M753" s="7" t="str"/>
      <x:c r="N753" s="7" t="str">
        <x:f>IF(M753="","OPEN",IF(OR(NOT(ISNUMBER(H753)),NOT(ISNUMBER(I753)),K753="",L753=""),"FAIL","PASS"))</x:f>
        <x:v>OPEN</x:v>
      </x:c>
    </x:row>
    <x:row r="754">
      <x:c r="B754" s="7" t="str">
        <x:v>TRO-B-08-S1-O2-R2</x:v>
      </x:c>
      <x:c r="C754" s="7" t="str">
        <x:v>BLD-B</x:v>
      </x:c>
      <x:c r="D754" s="7" t="str">
        <x:v>MF-08</x:v>
      </x:c>
      <x:c r="E754" s="7" t="str">
        <x:v>STD-08-1</x:v>
      </x:c>
      <x:c r="F754" s="7" t="str">
        <x:v>OP-2</x:v>
      </x:c>
      <x:c r="G754" s="7" t="n">
        <x:v>2</x:v>
      </x:c>
      <x:c r="H754" s="7" t="str"/>
      <x:c r="I754" s="7" t="str"/>
      <x:c r="J754" s="7" t="str">
        <x:f>IF(OR(H754="",I754=""),"",I754-H754)</x:f>
      </x:c>
      <x:c r="K754" s="7" t="str"/>
      <x:c r="L754" s="7" t="str"/>
      <x:c r="M754" s="7" t="str"/>
      <x:c r="N754" s="7" t="str">
        <x:f>IF(M754="","OPEN",IF(OR(NOT(ISNUMBER(H754)),NOT(ISNUMBER(I754)),K754="",L754=""),"FAIL","PASS"))</x:f>
        <x:v>OPEN</x:v>
      </x:c>
    </x:row>
    <x:row r="755">
      <x:c r="B755" s="7" t="str">
        <x:v>TRO-B-08-S2-O1-R1</x:v>
      </x:c>
      <x:c r="C755" s="7" t="str">
        <x:v>BLD-B</x:v>
      </x:c>
      <x:c r="D755" s="7" t="str">
        <x:v>MF-08</x:v>
      </x:c>
      <x:c r="E755" s="7" t="str">
        <x:v>STD-08-2</x:v>
      </x:c>
      <x:c r="F755" s="7" t="str">
        <x:v>OP-1</x:v>
      </x:c>
      <x:c r="G755" s="7" t="n">
        <x:v>1</x:v>
      </x:c>
      <x:c r="H755" s="7" t="str"/>
      <x:c r="I755" s="7" t="str"/>
      <x:c r="J755" s="7" t="str">
        <x:f>IF(OR(H755="",I755=""),"",I755-H755)</x:f>
      </x:c>
      <x:c r="K755" s="7" t="str"/>
      <x:c r="L755" s="7" t="str"/>
      <x:c r="M755" s="7" t="str"/>
      <x:c r="N755" s="7" t="str">
        <x:f>IF(M755="","OPEN",IF(OR(NOT(ISNUMBER(H755)),NOT(ISNUMBER(I755)),K755="",L755=""),"FAIL","PASS"))</x:f>
        <x:v>OPEN</x:v>
      </x:c>
    </x:row>
    <x:row r="756">
      <x:c r="B756" s="7" t="str">
        <x:v>TRO-B-08-S2-O1-R2</x:v>
      </x:c>
      <x:c r="C756" s="7" t="str">
        <x:v>BLD-B</x:v>
      </x:c>
      <x:c r="D756" s="7" t="str">
        <x:v>MF-08</x:v>
      </x:c>
      <x:c r="E756" s="7" t="str">
        <x:v>STD-08-2</x:v>
      </x:c>
      <x:c r="F756" s="7" t="str">
        <x:v>OP-1</x:v>
      </x:c>
      <x:c r="G756" s="7" t="n">
        <x:v>2</x:v>
      </x:c>
      <x:c r="H756" s="7" t="str"/>
      <x:c r="I756" s="7" t="str"/>
      <x:c r="J756" s="7" t="str">
        <x:f>IF(OR(H756="",I756=""),"",I756-H756)</x:f>
      </x:c>
      <x:c r="K756" s="7" t="str"/>
      <x:c r="L756" s="7" t="str"/>
      <x:c r="M756" s="7" t="str"/>
      <x:c r="N756" s="7" t="str">
        <x:f>IF(M756="","OPEN",IF(OR(NOT(ISNUMBER(H756)),NOT(ISNUMBER(I756)),K756="",L756=""),"FAIL","PASS"))</x:f>
        <x:v>OPEN</x:v>
      </x:c>
    </x:row>
    <x:row r="757">
      <x:c r="B757" s="7" t="str">
        <x:v>TRO-B-08-S2-O2-R1</x:v>
      </x:c>
      <x:c r="C757" s="7" t="str">
        <x:v>BLD-B</x:v>
      </x:c>
      <x:c r="D757" s="7" t="str">
        <x:v>MF-08</x:v>
      </x:c>
      <x:c r="E757" s="7" t="str">
        <x:v>STD-08-2</x:v>
      </x:c>
      <x:c r="F757" s="7" t="str">
        <x:v>OP-2</x:v>
      </x:c>
      <x:c r="G757" s="7" t="n">
        <x:v>1</x:v>
      </x:c>
      <x:c r="H757" s="7" t="str"/>
      <x:c r="I757" s="7" t="str"/>
      <x:c r="J757" s="7" t="str">
        <x:f>IF(OR(H757="",I757=""),"",I757-H757)</x:f>
      </x:c>
      <x:c r="K757" s="7" t="str"/>
      <x:c r="L757" s="7" t="str"/>
      <x:c r="M757" s="7" t="str"/>
      <x:c r="N757" s="7" t="str">
        <x:f>IF(M757="","OPEN",IF(OR(NOT(ISNUMBER(H757)),NOT(ISNUMBER(I757)),K757="",L757=""),"FAIL","PASS"))</x:f>
        <x:v>OPEN</x:v>
      </x:c>
    </x:row>
    <x:row r="758">
      <x:c r="B758" s="7" t="str">
        <x:v>TRO-B-08-S2-O2-R2</x:v>
      </x:c>
      <x:c r="C758" s="7" t="str">
        <x:v>BLD-B</x:v>
      </x:c>
      <x:c r="D758" s="7" t="str">
        <x:v>MF-08</x:v>
      </x:c>
      <x:c r="E758" s="7" t="str">
        <x:v>STD-08-2</x:v>
      </x:c>
      <x:c r="F758" s="7" t="str">
        <x:v>OP-2</x:v>
      </x:c>
      <x:c r="G758" s="7" t="n">
        <x:v>2</x:v>
      </x:c>
      <x:c r="H758" s="7" t="str"/>
      <x:c r="I758" s="7" t="str"/>
      <x:c r="J758" s="7" t="str">
        <x:f>IF(OR(H758="",I758=""),"",I758-H758)</x:f>
      </x:c>
      <x:c r="K758" s="7" t="str"/>
      <x:c r="L758" s="7" t="str"/>
      <x:c r="M758" s="7" t="str"/>
      <x:c r="N758" s="7" t="str">
        <x:f>IF(M758="","OPEN",IF(OR(NOT(ISNUMBER(H758)),NOT(ISNUMBER(I758)),K758="",L758=""),"FAIL","PASS"))</x:f>
        <x:v>OPEN</x:v>
      </x:c>
    </x:row>
    <x:row r="759">
      <x:c r="B759" s="7" t="str">
        <x:v>TRO-B-08-S3-O1-R1</x:v>
      </x:c>
      <x:c r="C759" s="7" t="str">
        <x:v>BLD-B</x:v>
      </x:c>
      <x:c r="D759" s="7" t="str">
        <x:v>MF-08</x:v>
      </x:c>
      <x:c r="E759" s="7" t="str">
        <x:v>STD-08-3</x:v>
      </x:c>
      <x:c r="F759" s="7" t="str">
        <x:v>OP-1</x:v>
      </x:c>
      <x:c r="G759" s="7" t="n">
        <x:v>1</x:v>
      </x:c>
      <x:c r="H759" s="7" t="str"/>
      <x:c r="I759" s="7" t="str"/>
      <x:c r="J759" s="7" t="str">
        <x:f>IF(OR(H759="",I759=""),"",I759-H759)</x:f>
      </x:c>
      <x:c r="K759" s="7" t="str"/>
      <x:c r="L759" s="7" t="str"/>
      <x:c r="M759" s="7" t="str"/>
      <x:c r="N759" s="7" t="str">
        <x:f>IF(M759="","OPEN",IF(OR(NOT(ISNUMBER(H759)),NOT(ISNUMBER(I759)),K759="",L759=""),"FAIL","PASS"))</x:f>
        <x:v>OPEN</x:v>
      </x:c>
    </x:row>
    <x:row r="760">
      <x:c r="B760" s="7" t="str">
        <x:v>TRO-B-08-S3-O1-R2</x:v>
      </x:c>
      <x:c r="C760" s="7" t="str">
        <x:v>BLD-B</x:v>
      </x:c>
      <x:c r="D760" s="7" t="str">
        <x:v>MF-08</x:v>
      </x:c>
      <x:c r="E760" s="7" t="str">
        <x:v>STD-08-3</x:v>
      </x:c>
      <x:c r="F760" s="7" t="str">
        <x:v>OP-1</x:v>
      </x:c>
      <x:c r="G760" s="7" t="n">
        <x:v>2</x:v>
      </x:c>
      <x:c r="H760" s="7" t="str"/>
      <x:c r="I760" s="7" t="str"/>
      <x:c r="J760" s="7" t="str">
        <x:f>IF(OR(H760="",I760=""),"",I760-H760)</x:f>
      </x:c>
      <x:c r="K760" s="7" t="str"/>
      <x:c r="L760" s="7" t="str"/>
      <x:c r="M760" s="7" t="str"/>
      <x:c r="N760" s="7" t="str">
        <x:f>IF(M760="","OPEN",IF(OR(NOT(ISNUMBER(H760)),NOT(ISNUMBER(I760)),K760="",L760=""),"FAIL","PASS"))</x:f>
        <x:v>OPEN</x:v>
      </x:c>
    </x:row>
    <x:row r="761">
      <x:c r="B761" s="7" t="str">
        <x:v>TRO-B-08-S3-O2-R1</x:v>
      </x:c>
      <x:c r="C761" s="7" t="str">
        <x:v>BLD-B</x:v>
      </x:c>
      <x:c r="D761" s="7" t="str">
        <x:v>MF-08</x:v>
      </x:c>
      <x:c r="E761" s="7" t="str">
        <x:v>STD-08-3</x:v>
      </x:c>
      <x:c r="F761" s="7" t="str">
        <x:v>OP-2</x:v>
      </x:c>
      <x:c r="G761" s="7" t="n">
        <x:v>1</x:v>
      </x:c>
      <x:c r="H761" s="7" t="str"/>
      <x:c r="I761" s="7" t="str"/>
      <x:c r="J761" s="7" t="str">
        <x:f>IF(OR(H761="",I761=""),"",I761-H761)</x:f>
      </x:c>
      <x:c r="K761" s="7" t="str"/>
      <x:c r="L761" s="7" t="str"/>
      <x:c r="M761" s="7" t="str"/>
      <x:c r="N761" s="7" t="str">
        <x:f>IF(M761="","OPEN",IF(OR(NOT(ISNUMBER(H761)),NOT(ISNUMBER(I761)),K761="",L761=""),"FAIL","PASS"))</x:f>
        <x:v>OPEN</x:v>
      </x:c>
    </x:row>
    <x:row r="762">
      <x:c r="B762" s="7" t="str">
        <x:v>TRO-B-08-S3-O2-R2</x:v>
      </x:c>
      <x:c r="C762" s="7" t="str">
        <x:v>BLD-B</x:v>
      </x:c>
      <x:c r="D762" s="7" t="str">
        <x:v>MF-08</x:v>
      </x:c>
      <x:c r="E762" s="7" t="str">
        <x:v>STD-08-3</x:v>
      </x:c>
      <x:c r="F762" s="7" t="str">
        <x:v>OP-2</x:v>
      </x:c>
      <x:c r="G762" s="7" t="n">
        <x:v>2</x:v>
      </x:c>
      <x:c r="H762" s="7" t="str"/>
      <x:c r="I762" s="7" t="str"/>
      <x:c r="J762" s="7" t="str">
        <x:f>IF(OR(H762="",I762=""),"",I762-H762)</x:f>
      </x:c>
      <x:c r="K762" s="7" t="str"/>
      <x:c r="L762" s="7" t="str"/>
      <x:c r="M762" s="7" t="str"/>
      <x:c r="N762" s="7" t="str">
        <x:f>IF(M762="","OPEN",IF(OR(NOT(ISNUMBER(H762)),NOT(ISNUMBER(I762)),K762="",L762=""),"FAIL","PASS"))</x:f>
        <x:v>OPEN</x:v>
      </x:c>
    </x:row>
    <x:row r="763">
      <x:c r="B763" s="7" t="str">
        <x:v>TRO-B-08-S4-O1-R1</x:v>
      </x:c>
      <x:c r="C763" s="7" t="str">
        <x:v>BLD-B</x:v>
      </x:c>
      <x:c r="D763" s="7" t="str">
        <x:v>MF-08</x:v>
      </x:c>
      <x:c r="E763" s="7" t="str">
        <x:v>STD-08-4</x:v>
      </x:c>
      <x:c r="F763" s="7" t="str">
        <x:v>OP-1</x:v>
      </x:c>
      <x:c r="G763" s="7" t="n">
        <x:v>1</x:v>
      </x:c>
      <x:c r="H763" s="7" t="str"/>
      <x:c r="I763" s="7" t="str"/>
      <x:c r="J763" s="7" t="str">
        <x:f>IF(OR(H763="",I763=""),"",I763-H763)</x:f>
      </x:c>
      <x:c r="K763" s="7" t="str"/>
      <x:c r="L763" s="7" t="str"/>
      <x:c r="M763" s="7" t="str"/>
      <x:c r="N763" s="7" t="str">
        <x:f>IF(M763="","OPEN",IF(OR(NOT(ISNUMBER(H763)),NOT(ISNUMBER(I763)),K763="",L763=""),"FAIL","PASS"))</x:f>
        <x:v>OPEN</x:v>
      </x:c>
    </x:row>
    <x:row r="764">
      <x:c r="B764" s="7" t="str">
        <x:v>TRO-B-08-S4-O1-R2</x:v>
      </x:c>
      <x:c r="C764" s="7" t="str">
        <x:v>BLD-B</x:v>
      </x:c>
      <x:c r="D764" s="7" t="str">
        <x:v>MF-08</x:v>
      </x:c>
      <x:c r="E764" s="7" t="str">
        <x:v>STD-08-4</x:v>
      </x:c>
      <x:c r="F764" s="7" t="str">
        <x:v>OP-1</x:v>
      </x:c>
      <x:c r="G764" s="7" t="n">
        <x:v>2</x:v>
      </x:c>
      <x:c r="H764" s="7" t="str"/>
      <x:c r="I764" s="7" t="str"/>
      <x:c r="J764" s="7" t="str">
        <x:f>IF(OR(H764="",I764=""),"",I764-H764)</x:f>
      </x:c>
      <x:c r="K764" s="7" t="str"/>
      <x:c r="L764" s="7" t="str"/>
      <x:c r="M764" s="7" t="str"/>
      <x:c r="N764" s="7" t="str">
        <x:f>IF(M764="","OPEN",IF(OR(NOT(ISNUMBER(H764)),NOT(ISNUMBER(I764)),K764="",L764=""),"FAIL","PASS"))</x:f>
        <x:v>OPEN</x:v>
      </x:c>
    </x:row>
    <x:row r="765">
      <x:c r="B765" s="7" t="str">
        <x:v>TRO-B-08-S4-O2-R1</x:v>
      </x:c>
      <x:c r="C765" s="7" t="str">
        <x:v>BLD-B</x:v>
      </x:c>
      <x:c r="D765" s="7" t="str">
        <x:v>MF-08</x:v>
      </x:c>
      <x:c r="E765" s="7" t="str">
        <x:v>STD-08-4</x:v>
      </x:c>
      <x:c r="F765" s="7" t="str">
        <x:v>OP-2</x:v>
      </x:c>
      <x:c r="G765" s="7" t="n">
        <x:v>1</x:v>
      </x:c>
      <x:c r="H765" s="7" t="str"/>
      <x:c r="I765" s="7" t="str"/>
      <x:c r="J765" s="7" t="str">
        <x:f>IF(OR(H765="",I765=""),"",I765-H765)</x:f>
      </x:c>
      <x:c r="K765" s="7" t="str"/>
      <x:c r="L765" s="7" t="str"/>
      <x:c r="M765" s="7" t="str"/>
      <x:c r="N765" s="7" t="str">
        <x:f>IF(M765="","OPEN",IF(OR(NOT(ISNUMBER(H765)),NOT(ISNUMBER(I765)),K765="",L765=""),"FAIL","PASS"))</x:f>
        <x:v>OPEN</x:v>
      </x:c>
    </x:row>
    <x:row r="766">
      <x:c r="B766" s="7" t="str">
        <x:v>TRO-B-08-S4-O2-R2</x:v>
      </x:c>
      <x:c r="C766" s="7" t="str">
        <x:v>BLD-B</x:v>
      </x:c>
      <x:c r="D766" s="7" t="str">
        <x:v>MF-08</x:v>
      </x:c>
      <x:c r="E766" s="7" t="str">
        <x:v>STD-08-4</x:v>
      </x:c>
      <x:c r="F766" s="7" t="str">
        <x:v>OP-2</x:v>
      </x:c>
      <x:c r="G766" s="7" t="n">
        <x:v>2</x:v>
      </x:c>
      <x:c r="H766" s="7" t="str"/>
      <x:c r="I766" s="7" t="str"/>
      <x:c r="J766" s="7" t="str">
        <x:f>IF(OR(H766="",I766=""),"",I766-H766)</x:f>
      </x:c>
      <x:c r="K766" s="7" t="str"/>
      <x:c r="L766" s="7" t="str"/>
      <x:c r="M766" s="7" t="str"/>
      <x:c r="N766" s="7" t="str">
        <x:f>IF(M766="","OPEN",IF(OR(NOT(ISNUMBER(H766)),NOT(ISNUMBER(I766)),K766="",L766=""),"FAIL","PASS"))</x:f>
        <x:v>OPEN</x:v>
      </x:c>
    </x:row>
    <x:row r="767">
      <x:c r="B767" s="7" t="str">
        <x:v>TRO-B-08-S5-O1-R1</x:v>
      </x:c>
      <x:c r="C767" s="7" t="str">
        <x:v>BLD-B</x:v>
      </x:c>
      <x:c r="D767" s="7" t="str">
        <x:v>MF-08</x:v>
      </x:c>
      <x:c r="E767" s="7" t="str">
        <x:v>STD-08-5</x:v>
      </x:c>
      <x:c r="F767" s="7" t="str">
        <x:v>OP-1</x:v>
      </x:c>
      <x:c r="G767" s="7" t="n">
        <x:v>1</x:v>
      </x:c>
      <x:c r="H767" s="7" t="str"/>
      <x:c r="I767" s="7" t="str"/>
      <x:c r="J767" s="7" t="str">
        <x:f>IF(OR(H767="",I767=""),"",I767-H767)</x:f>
      </x:c>
      <x:c r="K767" s="7" t="str"/>
      <x:c r="L767" s="7" t="str"/>
      <x:c r="M767" s="7" t="str"/>
      <x:c r="N767" s="7" t="str">
        <x:f>IF(M767="","OPEN",IF(OR(NOT(ISNUMBER(H767)),NOT(ISNUMBER(I767)),K767="",L767=""),"FAIL","PASS"))</x:f>
        <x:v>OPEN</x:v>
      </x:c>
    </x:row>
    <x:row r="768">
      <x:c r="B768" s="7" t="str">
        <x:v>TRO-B-08-S5-O1-R2</x:v>
      </x:c>
      <x:c r="C768" s="7" t="str">
        <x:v>BLD-B</x:v>
      </x:c>
      <x:c r="D768" s="7" t="str">
        <x:v>MF-08</x:v>
      </x:c>
      <x:c r="E768" s="7" t="str">
        <x:v>STD-08-5</x:v>
      </x:c>
      <x:c r="F768" s="7" t="str">
        <x:v>OP-1</x:v>
      </x:c>
      <x:c r="G768" s="7" t="n">
        <x:v>2</x:v>
      </x:c>
      <x:c r="H768" s="7" t="str"/>
      <x:c r="I768" s="7" t="str"/>
      <x:c r="J768" s="7" t="str">
        <x:f>IF(OR(H768="",I768=""),"",I768-H768)</x:f>
      </x:c>
      <x:c r="K768" s="7" t="str"/>
      <x:c r="L768" s="7" t="str"/>
      <x:c r="M768" s="7" t="str"/>
      <x:c r="N768" s="7" t="str">
        <x:f>IF(M768="","OPEN",IF(OR(NOT(ISNUMBER(H768)),NOT(ISNUMBER(I768)),K768="",L768=""),"FAIL","PASS"))</x:f>
        <x:v>OPEN</x:v>
      </x:c>
    </x:row>
    <x:row r="769">
      <x:c r="B769" s="7" t="str">
        <x:v>TRO-B-08-S5-O2-R1</x:v>
      </x:c>
      <x:c r="C769" s="7" t="str">
        <x:v>BLD-B</x:v>
      </x:c>
      <x:c r="D769" s="7" t="str">
        <x:v>MF-08</x:v>
      </x:c>
      <x:c r="E769" s="7" t="str">
        <x:v>STD-08-5</x:v>
      </x:c>
      <x:c r="F769" s="7" t="str">
        <x:v>OP-2</x:v>
      </x:c>
      <x:c r="G769" s="7" t="n">
        <x:v>1</x:v>
      </x:c>
      <x:c r="H769" s="7" t="str"/>
      <x:c r="I769" s="7" t="str"/>
      <x:c r="J769" s="7" t="str">
        <x:f>IF(OR(H769="",I769=""),"",I769-H769)</x:f>
      </x:c>
      <x:c r="K769" s="7" t="str"/>
      <x:c r="L769" s="7" t="str"/>
      <x:c r="M769" s="7" t="str"/>
      <x:c r="N769" s="7" t="str">
        <x:f>IF(M769="","OPEN",IF(OR(NOT(ISNUMBER(H769)),NOT(ISNUMBER(I769)),K769="",L769=""),"FAIL","PASS"))</x:f>
        <x:v>OPEN</x:v>
      </x:c>
    </x:row>
    <x:row r="770">
      <x:c r="B770" s="7" t="str">
        <x:v>TRO-B-08-S5-O2-R2</x:v>
      </x:c>
      <x:c r="C770" s="7" t="str">
        <x:v>BLD-B</x:v>
      </x:c>
      <x:c r="D770" s="7" t="str">
        <x:v>MF-08</x:v>
      </x:c>
      <x:c r="E770" s="7" t="str">
        <x:v>STD-08-5</x:v>
      </x:c>
      <x:c r="F770" s="7" t="str">
        <x:v>OP-2</x:v>
      </x:c>
      <x:c r="G770" s="7" t="n">
        <x:v>2</x:v>
      </x:c>
      <x:c r="H770" s="7" t="str"/>
      <x:c r="I770" s="7" t="str"/>
      <x:c r="J770" s="7" t="str">
        <x:f>IF(OR(H770="",I770=""),"",I770-H770)</x:f>
      </x:c>
      <x:c r="K770" s="7" t="str"/>
      <x:c r="L770" s="7" t="str"/>
      <x:c r="M770" s="7" t="str"/>
      <x:c r="N770" s="7" t="str">
        <x:f>IF(M770="","OPEN",IF(OR(NOT(ISNUMBER(H770)),NOT(ISNUMBER(I770)),K770="",L770=""),"FAIL","PASS"))</x:f>
        <x:v>OPEN</x:v>
      </x:c>
    </x:row>
    <x:row r="771">
      <x:c r="B771" s="7" t="str">
        <x:v>TRO-B-08-S6-O1-R1</x:v>
      </x:c>
      <x:c r="C771" s="7" t="str">
        <x:v>BLD-B</x:v>
      </x:c>
      <x:c r="D771" s="7" t="str">
        <x:v>MF-08</x:v>
      </x:c>
      <x:c r="E771" s="7" t="str">
        <x:v>STD-08-6</x:v>
      </x:c>
      <x:c r="F771" s="7" t="str">
        <x:v>OP-1</x:v>
      </x:c>
      <x:c r="G771" s="7" t="n">
        <x:v>1</x:v>
      </x:c>
      <x:c r="H771" s="7" t="str"/>
      <x:c r="I771" s="7" t="str"/>
      <x:c r="J771" s="7" t="str">
        <x:f>IF(OR(H771="",I771=""),"",I771-H771)</x:f>
      </x:c>
      <x:c r="K771" s="7" t="str"/>
      <x:c r="L771" s="7" t="str"/>
      <x:c r="M771" s="7" t="str"/>
      <x:c r="N771" s="7" t="str">
        <x:f>IF(M771="","OPEN",IF(OR(NOT(ISNUMBER(H771)),NOT(ISNUMBER(I771)),K771="",L771=""),"FAIL","PASS"))</x:f>
        <x:v>OPEN</x:v>
      </x:c>
    </x:row>
    <x:row r="772">
      <x:c r="B772" s="7" t="str">
        <x:v>TRO-B-08-S6-O1-R2</x:v>
      </x:c>
      <x:c r="C772" s="7" t="str">
        <x:v>BLD-B</x:v>
      </x:c>
      <x:c r="D772" s="7" t="str">
        <x:v>MF-08</x:v>
      </x:c>
      <x:c r="E772" s="7" t="str">
        <x:v>STD-08-6</x:v>
      </x:c>
      <x:c r="F772" s="7" t="str">
        <x:v>OP-1</x:v>
      </x:c>
      <x:c r="G772" s="7" t="n">
        <x:v>2</x:v>
      </x:c>
      <x:c r="H772" s="7" t="str"/>
      <x:c r="I772" s="7" t="str"/>
      <x:c r="J772" s="7" t="str">
        <x:f>IF(OR(H772="",I772=""),"",I772-H772)</x:f>
      </x:c>
      <x:c r="K772" s="7" t="str"/>
      <x:c r="L772" s="7" t="str"/>
      <x:c r="M772" s="7" t="str"/>
      <x:c r="N772" s="7" t="str">
        <x:f>IF(M772="","OPEN",IF(OR(NOT(ISNUMBER(H772)),NOT(ISNUMBER(I772)),K772="",L772=""),"FAIL","PASS"))</x:f>
        <x:v>OPEN</x:v>
      </x:c>
    </x:row>
    <x:row r="773">
      <x:c r="B773" s="7" t="str">
        <x:v>TRO-B-08-S6-O2-R1</x:v>
      </x:c>
      <x:c r="C773" s="7" t="str">
        <x:v>BLD-B</x:v>
      </x:c>
      <x:c r="D773" s="7" t="str">
        <x:v>MF-08</x:v>
      </x:c>
      <x:c r="E773" s="7" t="str">
        <x:v>STD-08-6</x:v>
      </x:c>
      <x:c r="F773" s="7" t="str">
        <x:v>OP-2</x:v>
      </x:c>
      <x:c r="G773" s="7" t="n">
        <x:v>1</x:v>
      </x:c>
      <x:c r="H773" s="7" t="str"/>
      <x:c r="I773" s="7" t="str"/>
      <x:c r="J773" s="7" t="str">
        <x:f>IF(OR(H773="",I773=""),"",I773-H773)</x:f>
      </x:c>
      <x:c r="K773" s="7" t="str"/>
      <x:c r="L773" s="7" t="str"/>
      <x:c r="M773" s="7" t="str"/>
      <x:c r="N773" s="7" t="str">
        <x:f>IF(M773="","OPEN",IF(OR(NOT(ISNUMBER(H773)),NOT(ISNUMBER(I773)),K773="",L773=""),"FAIL","PASS"))</x:f>
        <x:v>OPEN</x:v>
      </x:c>
    </x:row>
    <x:row r="774">
      <x:c r="B774" s="7" t="str">
        <x:v>TRO-B-08-S6-O2-R2</x:v>
      </x:c>
      <x:c r="C774" s="7" t="str">
        <x:v>BLD-B</x:v>
      </x:c>
      <x:c r="D774" s="7" t="str">
        <x:v>MF-08</x:v>
      </x:c>
      <x:c r="E774" s="7" t="str">
        <x:v>STD-08-6</x:v>
      </x:c>
      <x:c r="F774" s="7" t="str">
        <x:v>OP-2</x:v>
      </x:c>
      <x:c r="G774" s="7" t="n">
        <x:v>2</x:v>
      </x:c>
      <x:c r="H774" s="7" t="str"/>
      <x:c r="I774" s="7" t="str"/>
      <x:c r="J774" s="7" t="str">
        <x:f>IF(OR(H774="",I774=""),"",I774-H774)</x:f>
      </x:c>
      <x:c r="K774" s="7" t="str"/>
      <x:c r="L774" s="7" t="str"/>
      <x:c r="M774" s="7" t="str"/>
      <x:c r="N774" s="7" t="str">
        <x:f>IF(M774="","OPEN",IF(OR(NOT(ISNUMBER(H774)),NOT(ISNUMBER(I774)),K774="",L774=""),"FAIL","PASS"))</x:f>
        <x:v>OPEN</x:v>
      </x:c>
    </x:row>
    <x:row r="775">
      <x:c r="B775" s="7" t="str">
        <x:v>TRO-B-09-S1-O1-R1</x:v>
      </x:c>
      <x:c r="C775" s="7" t="str">
        <x:v>BLD-B</x:v>
      </x:c>
      <x:c r="D775" s="7" t="str">
        <x:v>MF-09</x:v>
      </x:c>
      <x:c r="E775" s="7" t="str">
        <x:v>STD-09-1</x:v>
      </x:c>
      <x:c r="F775" s="7" t="str">
        <x:v>OP-1</x:v>
      </x:c>
      <x:c r="G775" s="7" t="n">
        <x:v>1</x:v>
      </x:c>
      <x:c r="H775" s="7" t="str"/>
      <x:c r="I775" s="7" t="str"/>
      <x:c r="J775" s="7" t="str">
        <x:f>IF(OR(H775="",I775=""),"",I775-H775)</x:f>
      </x:c>
      <x:c r="K775" s="7" t="str"/>
      <x:c r="L775" s="7" t="str"/>
      <x:c r="M775" s="7" t="str"/>
      <x:c r="N775" s="7" t="str">
        <x:f>IF(M775="","OPEN",IF(OR(NOT(ISNUMBER(H775)),NOT(ISNUMBER(I775)),K775="",L775=""),"FAIL","PASS"))</x:f>
        <x:v>OPEN</x:v>
      </x:c>
    </x:row>
    <x:row r="776">
      <x:c r="B776" s="7" t="str">
        <x:v>TRO-B-09-S1-O1-R2</x:v>
      </x:c>
      <x:c r="C776" s="7" t="str">
        <x:v>BLD-B</x:v>
      </x:c>
      <x:c r="D776" s="7" t="str">
        <x:v>MF-09</x:v>
      </x:c>
      <x:c r="E776" s="7" t="str">
        <x:v>STD-09-1</x:v>
      </x:c>
      <x:c r="F776" s="7" t="str">
        <x:v>OP-1</x:v>
      </x:c>
      <x:c r="G776" s="7" t="n">
        <x:v>2</x:v>
      </x:c>
      <x:c r="H776" s="7" t="str"/>
      <x:c r="I776" s="7" t="str"/>
      <x:c r="J776" s="7" t="str">
        <x:f>IF(OR(H776="",I776=""),"",I776-H776)</x:f>
      </x:c>
      <x:c r="K776" s="7" t="str"/>
      <x:c r="L776" s="7" t="str"/>
      <x:c r="M776" s="7" t="str"/>
      <x:c r="N776" s="7" t="str">
        <x:f>IF(M776="","OPEN",IF(OR(NOT(ISNUMBER(H776)),NOT(ISNUMBER(I776)),K776="",L776=""),"FAIL","PASS"))</x:f>
        <x:v>OPEN</x:v>
      </x:c>
    </x:row>
    <x:row r="777">
      <x:c r="B777" s="7" t="str">
        <x:v>TRO-B-09-S1-O2-R1</x:v>
      </x:c>
      <x:c r="C777" s="7" t="str">
        <x:v>BLD-B</x:v>
      </x:c>
      <x:c r="D777" s="7" t="str">
        <x:v>MF-09</x:v>
      </x:c>
      <x:c r="E777" s="7" t="str">
        <x:v>STD-09-1</x:v>
      </x:c>
      <x:c r="F777" s="7" t="str">
        <x:v>OP-2</x:v>
      </x:c>
      <x:c r="G777" s="7" t="n">
        <x:v>1</x:v>
      </x:c>
      <x:c r="H777" s="7" t="str"/>
      <x:c r="I777" s="7" t="str"/>
      <x:c r="J777" s="7" t="str">
        <x:f>IF(OR(H777="",I777=""),"",I777-H777)</x:f>
      </x:c>
      <x:c r="K777" s="7" t="str"/>
      <x:c r="L777" s="7" t="str"/>
      <x:c r="M777" s="7" t="str"/>
      <x:c r="N777" s="7" t="str">
        <x:f>IF(M777="","OPEN",IF(OR(NOT(ISNUMBER(H777)),NOT(ISNUMBER(I777)),K777="",L777=""),"FAIL","PASS"))</x:f>
        <x:v>OPEN</x:v>
      </x:c>
    </x:row>
    <x:row r="778">
      <x:c r="B778" s="7" t="str">
        <x:v>TRO-B-09-S1-O2-R2</x:v>
      </x:c>
      <x:c r="C778" s="7" t="str">
        <x:v>BLD-B</x:v>
      </x:c>
      <x:c r="D778" s="7" t="str">
        <x:v>MF-09</x:v>
      </x:c>
      <x:c r="E778" s="7" t="str">
        <x:v>STD-09-1</x:v>
      </x:c>
      <x:c r="F778" s="7" t="str">
        <x:v>OP-2</x:v>
      </x:c>
      <x:c r="G778" s="7" t="n">
        <x:v>2</x:v>
      </x:c>
      <x:c r="H778" s="7" t="str"/>
      <x:c r="I778" s="7" t="str"/>
      <x:c r="J778" s="7" t="str">
        <x:f>IF(OR(H778="",I778=""),"",I778-H778)</x:f>
      </x:c>
      <x:c r="K778" s="7" t="str"/>
      <x:c r="L778" s="7" t="str"/>
      <x:c r="M778" s="7" t="str"/>
      <x:c r="N778" s="7" t="str">
        <x:f>IF(M778="","OPEN",IF(OR(NOT(ISNUMBER(H778)),NOT(ISNUMBER(I778)),K778="",L778=""),"FAIL","PASS"))</x:f>
        <x:v>OPEN</x:v>
      </x:c>
    </x:row>
    <x:row r="779">
      <x:c r="B779" s="7" t="str">
        <x:v>TRO-B-09-S2-O1-R1</x:v>
      </x:c>
      <x:c r="C779" s="7" t="str">
        <x:v>BLD-B</x:v>
      </x:c>
      <x:c r="D779" s="7" t="str">
        <x:v>MF-09</x:v>
      </x:c>
      <x:c r="E779" s="7" t="str">
        <x:v>STD-09-2</x:v>
      </x:c>
      <x:c r="F779" s="7" t="str">
        <x:v>OP-1</x:v>
      </x:c>
      <x:c r="G779" s="7" t="n">
        <x:v>1</x:v>
      </x:c>
      <x:c r="H779" s="7" t="str"/>
      <x:c r="I779" s="7" t="str"/>
      <x:c r="J779" s="7" t="str">
        <x:f>IF(OR(H779="",I779=""),"",I779-H779)</x:f>
      </x:c>
      <x:c r="K779" s="7" t="str"/>
      <x:c r="L779" s="7" t="str"/>
      <x:c r="M779" s="7" t="str"/>
      <x:c r="N779" s="7" t="str">
        <x:f>IF(M779="","OPEN",IF(OR(NOT(ISNUMBER(H779)),NOT(ISNUMBER(I779)),K779="",L779=""),"FAIL","PASS"))</x:f>
        <x:v>OPEN</x:v>
      </x:c>
    </x:row>
    <x:row r="780">
      <x:c r="B780" s="7" t="str">
        <x:v>TRO-B-09-S2-O1-R2</x:v>
      </x:c>
      <x:c r="C780" s="7" t="str">
        <x:v>BLD-B</x:v>
      </x:c>
      <x:c r="D780" s="7" t="str">
        <x:v>MF-09</x:v>
      </x:c>
      <x:c r="E780" s="7" t="str">
        <x:v>STD-09-2</x:v>
      </x:c>
      <x:c r="F780" s="7" t="str">
        <x:v>OP-1</x:v>
      </x:c>
      <x:c r="G780" s="7" t="n">
        <x:v>2</x:v>
      </x:c>
      <x:c r="H780" s="7" t="str"/>
      <x:c r="I780" s="7" t="str"/>
      <x:c r="J780" s="7" t="str">
        <x:f>IF(OR(H780="",I780=""),"",I780-H780)</x:f>
      </x:c>
      <x:c r="K780" s="7" t="str"/>
      <x:c r="L780" s="7" t="str"/>
      <x:c r="M780" s="7" t="str"/>
      <x:c r="N780" s="7" t="str">
        <x:f>IF(M780="","OPEN",IF(OR(NOT(ISNUMBER(H780)),NOT(ISNUMBER(I780)),K780="",L780=""),"FAIL","PASS"))</x:f>
        <x:v>OPEN</x:v>
      </x:c>
    </x:row>
    <x:row r="781">
      <x:c r="B781" s="7" t="str">
        <x:v>TRO-B-09-S2-O2-R1</x:v>
      </x:c>
      <x:c r="C781" s="7" t="str">
        <x:v>BLD-B</x:v>
      </x:c>
      <x:c r="D781" s="7" t="str">
        <x:v>MF-09</x:v>
      </x:c>
      <x:c r="E781" s="7" t="str">
        <x:v>STD-09-2</x:v>
      </x:c>
      <x:c r="F781" s="7" t="str">
        <x:v>OP-2</x:v>
      </x:c>
      <x:c r="G781" s="7" t="n">
        <x:v>1</x:v>
      </x:c>
      <x:c r="H781" s="7" t="str"/>
      <x:c r="I781" s="7" t="str"/>
      <x:c r="J781" s="7" t="str">
        <x:f>IF(OR(H781="",I781=""),"",I781-H781)</x:f>
      </x:c>
      <x:c r="K781" s="7" t="str"/>
      <x:c r="L781" s="7" t="str"/>
      <x:c r="M781" s="7" t="str"/>
      <x:c r="N781" s="7" t="str">
        <x:f>IF(M781="","OPEN",IF(OR(NOT(ISNUMBER(H781)),NOT(ISNUMBER(I781)),K781="",L781=""),"FAIL","PASS"))</x:f>
        <x:v>OPEN</x:v>
      </x:c>
    </x:row>
    <x:row r="782">
      <x:c r="B782" s="7" t="str">
        <x:v>TRO-B-09-S2-O2-R2</x:v>
      </x:c>
      <x:c r="C782" s="7" t="str">
        <x:v>BLD-B</x:v>
      </x:c>
      <x:c r="D782" s="7" t="str">
        <x:v>MF-09</x:v>
      </x:c>
      <x:c r="E782" s="7" t="str">
        <x:v>STD-09-2</x:v>
      </x:c>
      <x:c r="F782" s="7" t="str">
        <x:v>OP-2</x:v>
      </x:c>
      <x:c r="G782" s="7" t="n">
        <x:v>2</x:v>
      </x:c>
      <x:c r="H782" s="7" t="str"/>
      <x:c r="I782" s="7" t="str"/>
      <x:c r="J782" s="7" t="str">
        <x:f>IF(OR(H782="",I782=""),"",I782-H782)</x:f>
      </x:c>
      <x:c r="K782" s="7" t="str"/>
      <x:c r="L782" s="7" t="str"/>
      <x:c r="M782" s="7" t="str"/>
      <x:c r="N782" s="7" t="str">
        <x:f>IF(M782="","OPEN",IF(OR(NOT(ISNUMBER(H782)),NOT(ISNUMBER(I782)),K782="",L782=""),"FAIL","PASS"))</x:f>
        <x:v>OPEN</x:v>
      </x:c>
    </x:row>
    <x:row r="783">
      <x:c r="B783" s="7" t="str">
        <x:v>TRO-B-09-S3-O1-R1</x:v>
      </x:c>
      <x:c r="C783" s="7" t="str">
        <x:v>BLD-B</x:v>
      </x:c>
      <x:c r="D783" s="7" t="str">
        <x:v>MF-09</x:v>
      </x:c>
      <x:c r="E783" s="7" t="str">
        <x:v>STD-09-3</x:v>
      </x:c>
      <x:c r="F783" s="7" t="str">
        <x:v>OP-1</x:v>
      </x:c>
      <x:c r="G783" s="7" t="n">
        <x:v>1</x:v>
      </x:c>
      <x:c r="H783" s="7" t="str"/>
      <x:c r="I783" s="7" t="str"/>
      <x:c r="J783" s="7" t="str">
        <x:f>IF(OR(H783="",I783=""),"",I783-H783)</x:f>
      </x:c>
      <x:c r="K783" s="7" t="str"/>
      <x:c r="L783" s="7" t="str"/>
      <x:c r="M783" s="7" t="str"/>
      <x:c r="N783" s="7" t="str">
        <x:f>IF(M783="","OPEN",IF(OR(NOT(ISNUMBER(H783)),NOT(ISNUMBER(I783)),K783="",L783=""),"FAIL","PASS"))</x:f>
        <x:v>OPEN</x:v>
      </x:c>
    </x:row>
    <x:row r="784">
      <x:c r="B784" s="7" t="str">
        <x:v>TRO-B-09-S3-O1-R2</x:v>
      </x:c>
      <x:c r="C784" s="7" t="str">
        <x:v>BLD-B</x:v>
      </x:c>
      <x:c r="D784" s="7" t="str">
        <x:v>MF-09</x:v>
      </x:c>
      <x:c r="E784" s="7" t="str">
        <x:v>STD-09-3</x:v>
      </x:c>
      <x:c r="F784" s="7" t="str">
        <x:v>OP-1</x:v>
      </x:c>
      <x:c r="G784" s="7" t="n">
        <x:v>2</x:v>
      </x:c>
      <x:c r="H784" s="7" t="str"/>
      <x:c r="I784" s="7" t="str"/>
      <x:c r="J784" s="7" t="str">
        <x:f>IF(OR(H784="",I784=""),"",I784-H784)</x:f>
      </x:c>
      <x:c r="K784" s="7" t="str"/>
      <x:c r="L784" s="7" t="str"/>
      <x:c r="M784" s="7" t="str"/>
      <x:c r="N784" s="7" t="str">
        <x:f>IF(M784="","OPEN",IF(OR(NOT(ISNUMBER(H784)),NOT(ISNUMBER(I784)),K784="",L784=""),"FAIL","PASS"))</x:f>
        <x:v>OPEN</x:v>
      </x:c>
    </x:row>
    <x:row r="785">
      <x:c r="B785" s="7" t="str">
        <x:v>TRO-B-09-S3-O2-R1</x:v>
      </x:c>
      <x:c r="C785" s="7" t="str">
        <x:v>BLD-B</x:v>
      </x:c>
      <x:c r="D785" s="7" t="str">
        <x:v>MF-09</x:v>
      </x:c>
      <x:c r="E785" s="7" t="str">
        <x:v>STD-09-3</x:v>
      </x:c>
      <x:c r="F785" s="7" t="str">
        <x:v>OP-2</x:v>
      </x:c>
      <x:c r="G785" s="7" t="n">
        <x:v>1</x:v>
      </x:c>
      <x:c r="H785" s="7" t="str"/>
      <x:c r="I785" s="7" t="str"/>
      <x:c r="J785" s="7" t="str">
        <x:f>IF(OR(H785="",I785=""),"",I785-H785)</x:f>
      </x:c>
      <x:c r="K785" s="7" t="str"/>
      <x:c r="L785" s="7" t="str"/>
      <x:c r="M785" s="7" t="str"/>
      <x:c r="N785" s="7" t="str">
        <x:f>IF(M785="","OPEN",IF(OR(NOT(ISNUMBER(H785)),NOT(ISNUMBER(I785)),K785="",L785=""),"FAIL","PASS"))</x:f>
        <x:v>OPEN</x:v>
      </x:c>
    </x:row>
    <x:row r="786">
      <x:c r="B786" s="7" t="str">
        <x:v>TRO-B-09-S3-O2-R2</x:v>
      </x:c>
      <x:c r="C786" s="7" t="str">
        <x:v>BLD-B</x:v>
      </x:c>
      <x:c r="D786" s="7" t="str">
        <x:v>MF-09</x:v>
      </x:c>
      <x:c r="E786" s="7" t="str">
        <x:v>STD-09-3</x:v>
      </x:c>
      <x:c r="F786" s="7" t="str">
        <x:v>OP-2</x:v>
      </x:c>
      <x:c r="G786" s="7" t="n">
        <x:v>2</x:v>
      </x:c>
      <x:c r="H786" s="7" t="str"/>
      <x:c r="I786" s="7" t="str"/>
      <x:c r="J786" s="7" t="str">
        <x:f>IF(OR(H786="",I786=""),"",I786-H786)</x:f>
      </x:c>
      <x:c r="K786" s="7" t="str"/>
      <x:c r="L786" s="7" t="str"/>
      <x:c r="M786" s="7" t="str"/>
      <x:c r="N786" s="7" t="str">
        <x:f>IF(M786="","OPEN",IF(OR(NOT(ISNUMBER(H786)),NOT(ISNUMBER(I786)),K786="",L786=""),"FAIL","PASS"))</x:f>
        <x:v>OPEN</x:v>
      </x:c>
    </x:row>
    <x:row r="787">
      <x:c r="B787" s="7" t="str">
        <x:v>TRO-B-09-S4-O1-R1</x:v>
      </x:c>
      <x:c r="C787" s="7" t="str">
        <x:v>BLD-B</x:v>
      </x:c>
      <x:c r="D787" s="7" t="str">
        <x:v>MF-09</x:v>
      </x:c>
      <x:c r="E787" s="7" t="str">
        <x:v>STD-09-4</x:v>
      </x:c>
      <x:c r="F787" s="7" t="str">
        <x:v>OP-1</x:v>
      </x:c>
      <x:c r="G787" s="7" t="n">
        <x:v>1</x:v>
      </x:c>
      <x:c r="H787" s="7" t="str"/>
      <x:c r="I787" s="7" t="str"/>
      <x:c r="J787" s="7" t="str">
        <x:f>IF(OR(H787="",I787=""),"",I787-H787)</x:f>
      </x:c>
      <x:c r="K787" s="7" t="str"/>
      <x:c r="L787" s="7" t="str"/>
      <x:c r="M787" s="7" t="str"/>
      <x:c r="N787" s="7" t="str">
        <x:f>IF(M787="","OPEN",IF(OR(NOT(ISNUMBER(H787)),NOT(ISNUMBER(I787)),K787="",L787=""),"FAIL","PASS"))</x:f>
        <x:v>OPEN</x:v>
      </x:c>
    </x:row>
    <x:row r="788">
      <x:c r="B788" s="7" t="str">
        <x:v>TRO-B-09-S4-O1-R2</x:v>
      </x:c>
      <x:c r="C788" s="7" t="str">
        <x:v>BLD-B</x:v>
      </x:c>
      <x:c r="D788" s="7" t="str">
        <x:v>MF-09</x:v>
      </x:c>
      <x:c r="E788" s="7" t="str">
        <x:v>STD-09-4</x:v>
      </x:c>
      <x:c r="F788" s="7" t="str">
        <x:v>OP-1</x:v>
      </x:c>
      <x:c r="G788" s="7" t="n">
        <x:v>2</x:v>
      </x:c>
      <x:c r="H788" s="7" t="str"/>
      <x:c r="I788" s="7" t="str"/>
      <x:c r="J788" s="7" t="str">
        <x:f>IF(OR(H788="",I788=""),"",I788-H788)</x:f>
      </x:c>
      <x:c r="K788" s="7" t="str"/>
      <x:c r="L788" s="7" t="str"/>
      <x:c r="M788" s="7" t="str"/>
      <x:c r="N788" s="7" t="str">
        <x:f>IF(M788="","OPEN",IF(OR(NOT(ISNUMBER(H788)),NOT(ISNUMBER(I788)),K788="",L788=""),"FAIL","PASS"))</x:f>
        <x:v>OPEN</x:v>
      </x:c>
    </x:row>
    <x:row r="789">
      <x:c r="B789" s="7" t="str">
        <x:v>TRO-B-09-S4-O2-R1</x:v>
      </x:c>
      <x:c r="C789" s="7" t="str">
        <x:v>BLD-B</x:v>
      </x:c>
      <x:c r="D789" s="7" t="str">
        <x:v>MF-09</x:v>
      </x:c>
      <x:c r="E789" s="7" t="str">
        <x:v>STD-09-4</x:v>
      </x:c>
      <x:c r="F789" s="7" t="str">
        <x:v>OP-2</x:v>
      </x:c>
      <x:c r="G789" s="7" t="n">
        <x:v>1</x:v>
      </x:c>
      <x:c r="H789" s="7" t="str"/>
      <x:c r="I789" s="7" t="str"/>
      <x:c r="J789" s="7" t="str">
        <x:f>IF(OR(H789="",I789=""),"",I789-H789)</x:f>
      </x:c>
      <x:c r="K789" s="7" t="str"/>
      <x:c r="L789" s="7" t="str"/>
      <x:c r="M789" s="7" t="str"/>
      <x:c r="N789" s="7" t="str">
        <x:f>IF(M789="","OPEN",IF(OR(NOT(ISNUMBER(H789)),NOT(ISNUMBER(I789)),K789="",L789=""),"FAIL","PASS"))</x:f>
        <x:v>OPEN</x:v>
      </x:c>
    </x:row>
    <x:row r="790">
      <x:c r="B790" s="7" t="str">
        <x:v>TRO-B-09-S4-O2-R2</x:v>
      </x:c>
      <x:c r="C790" s="7" t="str">
        <x:v>BLD-B</x:v>
      </x:c>
      <x:c r="D790" s="7" t="str">
        <x:v>MF-09</x:v>
      </x:c>
      <x:c r="E790" s="7" t="str">
        <x:v>STD-09-4</x:v>
      </x:c>
      <x:c r="F790" s="7" t="str">
        <x:v>OP-2</x:v>
      </x:c>
      <x:c r="G790" s="7" t="n">
        <x:v>2</x:v>
      </x:c>
      <x:c r="H790" s="7" t="str"/>
      <x:c r="I790" s="7" t="str"/>
      <x:c r="J790" s="7" t="str">
        <x:f>IF(OR(H790="",I790=""),"",I790-H790)</x:f>
      </x:c>
      <x:c r="K790" s="7" t="str"/>
      <x:c r="L790" s="7" t="str"/>
      <x:c r="M790" s="7" t="str"/>
      <x:c r="N790" s="7" t="str">
        <x:f>IF(M790="","OPEN",IF(OR(NOT(ISNUMBER(H790)),NOT(ISNUMBER(I790)),K790="",L790=""),"FAIL","PASS"))</x:f>
        <x:v>OPEN</x:v>
      </x:c>
    </x:row>
    <x:row r="791">
      <x:c r="B791" s="7" t="str">
        <x:v>TRO-B-09-S5-O1-R1</x:v>
      </x:c>
      <x:c r="C791" s="7" t="str">
        <x:v>BLD-B</x:v>
      </x:c>
      <x:c r="D791" s="7" t="str">
        <x:v>MF-09</x:v>
      </x:c>
      <x:c r="E791" s="7" t="str">
        <x:v>STD-09-5</x:v>
      </x:c>
      <x:c r="F791" s="7" t="str">
        <x:v>OP-1</x:v>
      </x:c>
      <x:c r="G791" s="7" t="n">
        <x:v>1</x:v>
      </x:c>
      <x:c r="H791" s="7" t="str"/>
      <x:c r="I791" s="7" t="str"/>
      <x:c r="J791" s="7" t="str">
        <x:f>IF(OR(H791="",I791=""),"",I791-H791)</x:f>
      </x:c>
      <x:c r="K791" s="7" t="str"/>
      <x:c r="L791" s="7" t="str"/>
      <x:c r="M791" s="7" t="str"/>
      <x:c r="N791" s="7" t="str">
        <x:f>IF(M791="","OPEN",IF(OR(NOT(ISNUMBER(H791)),NOT(ISNUMBER(I791)),K791="",L791=""),"FAIL","PASS"))</x:f>
        <x:v>OPEN</x:v>
      </x:c>
    </x:row>
    <x:row r="792">
      <x:c r="B792" s="7" t="str">
        <x:v>TRO-B-09-S5-O1-R2</x:v>
      </x:c>
      <x:c r="C792" s="7" t="str">
        <x:v>BLD-B</x:v>
      </x:c>
      <x:c r="D792" s="7" t="str">
        <x:v>MF-09</x:v>
      </x:c>
      <x:c r="E792" s="7" t="str">
        <x:v>STD-09-5</x:v>
      </x:c>
      <x:c r="F792" s="7" t="str">
        <x:v>OP-1</x:v>
      </x:c>
      <x:c r="G792" s="7" t="n">
        <x:v>2</x:v>
      </x:c>
      <x:c r="H792" s="7" t="str"/>
      <x:c r="I792" s="7" t="str"/>
      <x:c r="J792" s="7" t="str">
        <x:f>IF(OR(H792="",I792=""),"",I792-H792)</x:f>
      </x:c>
      <x:c r="K792" s="7" t="str"/>
      <x:c r="L792" s="7" t="str"/>
      <x:c r="M792" s="7" t="str"/>
      <x:c r="N792" s="7" t="str">
        <x:f>IF(M792="","OPEN",IF(OR(NOT(ISNUMBER(H792)),NOT(ISNUMBER(I792)),K792="",L792=""),"FAIL","PASS"))</x:f>
        <x:v>OPEN</x:v>
      </x:c>
    </x:row>
    <x:row r="793">
      <x:c r="B793" s="7" t="str">
        <x:v>TRO-B-09-S5-O2-R1</x:v>
      </x:c>
      <x:c r="C793" s="7" t="str">
        <x:v>BLD-B</x:v>
      </x:c>
      <x:c r="D793" s="7" t="str">
        <x:v>MF-09</x:v>
      </x:c>
      <x:c r="E793" s="7" t="str">
        <x:v>STD-09-5</x:v>
      </x:c>
      <x:c r="F793" s="7" t="str">
        <x:v>OP-2</x:v>
      </x:c>
      <x:c r="G793" s="7" t="n">
        <x:v>1</x:v>
      </x:c>
      <x:c r="H793" s="7" t="str"/>
      <x:c r="I793" s="7" t="str"/>
      <x:c r="J793" s="7" t="str">
        <x:f>IF(OR(H793="",I793=""),"",I793-H793)</x:f>
      </x:c>
      <x:c r="K793" s="7" t="str"/>
      <x:c r="L793" s="7" t="str"/>
      <x:c r="M793" s="7" t="str"/>
      <x:c r="N793" s="7" t="str">
        <x:f>IF(M793="","OPEN",IF(OR(NOT(ISNUMBER(H793)),NOT(ISNUMBER(I793)),K793="",L793=""),"FAIL","PASS"))</x:f>
        <x:v>OPEN</x:v>
      </x:c>
    </x:row>
    <x:row r="794">
      <x:c r="B794" s="7" t="str">
        <x:v>TRO-B-09-S5-O2-R2</x:v>
      </x:c>
      <x:c r="C794" s="7" t="str">
        <x:v>BLD-B</x:v>
      </x:c>
      <x:c r="D794" s="7" t="str">
        <x:v>MF-09</x:v>
      </x:c>
      <x:c r="E794" s="7" t="str">
        <x:v>STD-09-5</x:v>
      </x:c>
      <x:c r="F794" s="7" t="str">
        <x:v>OP-2</x:v>
      </x:c>
      <x:c r="G794" s="7" t="n">
        <x:v>2</x:v>
      </x:c>
      <x:c r="H794" s="7" t="str"/>
      <x:c r="I794" s="7" t="str"/>
      <x:c r="J794" s="7" t="str">
        <x:f>IF(OR(H794="",I794=""),"",I794-H794)</x:f>
      </x:c>
      <x:c r="K794" s="7" t="str"/>
      <x:c r="L794" s="7" t="str"/>
      <x:c r="M794" s="7" t="str"/>
      <x:c r="N794" s="7" t="str">
        <x:f>IF(M794="","OPEN",IF(OR(NOT(ISNUMBER(H794)),NOT(ISNUMBER(I794)),K794="",L794=""),"FAIL","PASS"))</x:f>
        <x:v>OPEN</x:v>
      </x:c>
    </x:row>
    <x:row r="795">
      <x:c r="B795" s="7" t="str">
        <x:v>TRO-B-09-S6-O1-R1</x:v>
      </x:c>
      <x:c r="C795" s="7" t="str">
        <x:v>BLD-B</x:v>
      </x:c>
      <x:c r="D795" s="7" t="str">
        <x:v>MF-09</x:v>
      </x:c>
      <x:c r="E795" s="7" t="str">
        <x:v>STD-09-6</x:v>
      </x:c>
      <x:c r="F795" s="7" t="str">
        <x:v>OP-1</x:v>
      </x:c>
      <x:c r="G795" s="7" t="n">
        <x:v>1</x:v>
      </x:c>
      <x:c r="H795" s="7" t="str"/>
      <x:c r="I795" s="7" t="str"/>
      <x:c r="J795" s="7" t="str">
        <x:f>IF(OR(H795="",I795=""),"",I795-H795)</x:f>
      </x:c>
      <x:c r="K795" s="7" t="str"/>
      <x:c r="L795" s="7" t="str"/>
      <x:c r="M795" s="7" t="str"/>
      <x:c r="N795" s="7" t="str">
        <x:f>IF(M795="","OPEN",IF(OR(NOT(ISNUMBER(H795)),NOT(ISNUMBER(I795)),K795="",L795=""),"FAIL","PASS"))</x:f>
        <x:v>OPEN</x:v>
      </x:c>
    </x:row>
    <x:row r="796">
      <x:c r="B796" s="7" t="str">
        <x:v>TRO-B-09-S6-O1-R2</x:v>
      </x:c>
      <x:c r="C796" s="7" t="str">
        <x:v>BLD-B</x:v>
      </x:c>
      <x:c r="D796" s="7" t="str">
        <x:v>MF-09</x:v>
      </x:c>
      <x:c r="E796" s="7" t="str">
        <x:v>STD-09-6</x:v>
      </x:c>
      <x:c r="F796" s="7" t="str">
        <x:v>OP-1</x:v>
      </x:c>
      <x:c r="G796" s="7" t="n">
        <x:v>2</x:v>
      </x:c>
      <x:c r="H796" s="7" t="str"/>
      <x:c r="I796" s="7" t="str"/>
      <x:c r="J796" s="7" t="str">
        <x:f>IF(OR(H796="",I796=""),"",I796-H796)</x:f>
      </x:c>
      <x:c r="K796" s="7" t="str"/>
      <x:c r="L796" s="7" t="str"/>
      <x:c r="M796" s="7" t="str"/>
      <x:c r="N796" s="7" t="str">
        <x:f>IF(M796="","OPEN",IF(OR(NOT(ISNUMBER(H796)),NOT(ISNUMBER(I796)),K796="",L796=""),"FAIL","PASS"))</x:f>
        <x:v>OPEN</x:v>
      </x:c>
    </x:row>
    <x:row r="797">
      <x:c r="B797" s="7" t="str">
        <x:v>TRO-B-09-S6-O2-R1</x:v>
      </x:c>
      <x:c r="C797" s="7" t="str">
        <x:v>BLD-B</x:v>
      </x:c>
      <x:c r="D797" s="7" t="str">
        <x:v>MF-09</x:v>
      </x:c>
      <x:c r="E797" s="7" t="str">
        <x:v>STD-09-6</x:v>
      </x:c>
      <x:c r="F797" s="7" t="str">
        <x:v>OP-2</x:v>
      </x:c>
      <x:c r="G797" s="7" t="n">
        <x:v>1</x:v>
      </x:c>
      <x:c r="H797" s="7" t="str"/>
      <x:c r="I797" s="7" t="str"/>
      <x:c r="J797" s="7" t="str">
        <x:f>IF(OR(H797="",I797=""),"",I797-H797)</x:f>
      </x:c>
      <x:c r="K797" s="7" t="str"/>
      <x:c r="L797" s="7" t="str"/>
      <x:c r="M797" s="7" t="str"/>
      <x:c r="N797" s="7" t="str">
        <x:f>IF(M797="","OPEN",IF(OR(NOT(ISNUMBER(H797)),NOT(ISNUMBER(I797)),K797="",L797=""),"FAIL","PASS"))</x:f>
        <x:v>OPEN</x:v>
      </x:c>
    </x:row>
    <x:row r="798">
      <x:c r="B798" s="7" t="str">
        <x:v>TRO-B-09-S6-O2-R2</x:v>
      </x:c>
      <x:c r="C798" s="7" t="str">
        <x:v>BLD-B</x:v>
      </x:c>
      <x:c r="D798" s="7" t="str">
        <x:v>MF-09</x:v>
      </x:c>
      <x:c r="E798" s="7" t="str">
        <x:v>STD-09-6</x:v>
      </x:c>
      <x:c r="F798" s="7" t="str">
        <x:v>OP-2</x:v>
      </x:c>
      <x:c r="G798" s="7" t="n">
        <x:v>2</x:v>
      </x:c>
      <x:c r="H798" s="7" t="str"/>
      <x:c r="I798" s="7" t="str"/>
      <x:c r="J798" s="7" t="str">
        <x:f>IF(OR(H798="",I798=""),"",I798-H798)</x:f>
      </x:c>
      <x:c r="K798" s="7" t="str"/>
      <x:c r="L798" s="7" t="str"/>
      <x:c r="M798" s="7" t="str"/>
      <x:c r="N798" s="7" t="str">
        <x:f>IF(M798="","OPEN",IF(OR(NOT(ISNUMBER(H798)),NOT(ISNUMBER(I798)),K798="",L798=""),"FAIL","PASS"))</x:f>
        <x:v>OPEN</x:v>
      </x:c>
    </x:row>
    <x:row r="799">
      <x:c r="B799" s="7" t="str">
        <x:v>TRO-B-10-S1-O1-R1</x:v>
      </x:c>
      <x:c r="C799" s="7" t="str">
        <x:v>BLD-B</x:v>
      </x:c>
      <x:c r="D799" s="7" t="str">
        <x:v>MF-10</x:v>
      </x:c>
      <x:c r="E799" s="7" t="str">
        <x:v>STD-10-1</x:v>
      </x:c>
      <x:c r="F799" s="7" t="str">
        <x:v>OP-1</x:v>
      </x:c>
      <x:c r="G799" s="7" t="n">
        <x:v>1</x:v>
      </x:c>
      <x:c r="H799" s="7" t="str"/>
      <x:c r="I799" s="7" t="str"/>
      <x:c r="J799" s="7" t="str">
        <x:f>IF(OR(H799="",I799=""),"",I799-H799)</x:f>
      </x:c>
      <x:c r="K799" s="7" t="str"/>
      <x:c r="L799" s="7" t="str"/>
      <x:c r="M799" s="7" t="str"/>
      <x:c r="N799" s="7" t="str">
        <x:f>IF(M799="","OPEN",IF(OR(NOT(ISNUMBER(H799)),NOT(ISNUMBER(I799)),K799="",L799=""),"FAIL","PASS"))</x:f>
        <x:v>OPEN</x:v>
      </x:c>
    </x:row>
    <x:row r="800">
      <x:c r="B800" s="7" t="str">
        <x:v>TRO-B-10-S1-O1-R2</x:v>
      </x:c>
      <x:c r="C800" s="7" t="str">
        <x:v>BLD-B</x:v>
      </x:c>
      <x:c r="D800" s="7" t="str">
        <x:v>MF-10</x:v>
      </x:c>
      <x:c r="E800" s="7" t="str">
        <x:v>STD-10-1</x:v>
      </x:c>
      <x:c r="F800" s="7" t="str">
        <x:v>OP-1</x:v>
      </x:c>
      <x:c r="G800" s="7" t="n">
        <x:v>2</x:v>
      </x:c>
      <x:c r="H800" s="7" t="str"/>
      <x:c r="I800" s="7" t="str"/>
      <x:c r="J800" s="7" t="str">
        <x:f>IF(OR(H800="",I800=""),"",I800-H800)</x:f>
      </x:c>
      <x:c r="K800" s="7" t="str"/>
      <x:c r="L800" s="7" t="str"/>
      <x:c r="M800" s="7" t="str"/>
      <x:c r="N800" s="7" t="str">
        <x:f>IF(M800="","OPEN",IF(OR(NOT(ISNUMBER(H800)),NOT(ISNUMBER(I800)),K800="",L800=""),"FAIL","PASS"))</x:f>
        <x:v>OPEN</x:v>
      </x:c>
    </x:row>
    <x:row r="801">
      <x:c r="B801" s="7" t="str">
        <x:v>TRO-B-10-S1-O2-R1</x:v>
      </x:c>
      <x:c r="C801" s="7" t="str">
        <x:v>BLD-B</x:v>
      </x:c>
      <x:c r="D801" s="7" t="str">
        <x:v>MF-10</x:v>
      </x:c>
      <x:c r="E801" s="7" t="str">
        <x:v>STD-10-1</x:v>
      </x:c>
      <x:c r="F801" s="7" t="str">
        <x:v>OP-2</x:v>
      </x:c>
      <x:c r="G801" s="7" t="n">
        <x:v>1</x:v>
      </x:c>
      <x:c r="H801" s="7" t="str"/>
      <x:c r="I801" s="7" t="str"/>
      <x:c r="J801" s="7" t="str">
        <x:f>IF(OR(H801="",I801=""),"",I801-H801)</x:f>
      </x:c>
      <x:c r="K801" s="7" t="str"/>
      <x:c r="L801" s="7" t="str"/>
      <x:c r="M801" s="7" t="str"/>
      <x:c r="N801" s="7" t="str">
        <x:f>IF(M801="","OPEN",IF(OR(NOT(ISNUMBER(H801)),NOT(ISNUMBER(I801)),K801="",L801=""),"FAIL","PASS"))</x:f>
        <x:v>OPEN</x:v>
      </x:c>
    </x:row>
    <x:row r="802">
      <x:c r="B802" s="7" t="str">
        <x:v>TRO-B-10-S1-O2-R2</x:v>
      </x:c>
      <x:c r="C802" s="7" t="str">
        <x:v>BLD-B</x:v>
      </x:c>
      <x:c r="D802" s="7" t="str">
        <x:v>MF-10</x:v>
      </x:c>
      <x:c r="E802" s="7" t="str">
        <x:v>STD-10-1</x:v>
      </x:c>
      <x:c r="F802" s="7" t="str">
        <x:v>OP-2</x:v>
      </x:c>
      <x:c r="G802" s="7" t="n">
        <x:v>2</x:v>
      </x:c>
      <x:c r="H802" s="7" t="str"/>
      <x:c r="I802" s="7" t="str"/>
      <x:c r="J802" s="7" t="str">
        <x:f>IF(OR(H802="",I802=""),"",I802-H802)</x:f>
      </x:c>
      <x:c r="K802" s="7" t="str"/>
      <x:c r="L802" s="7" t="str"/>
      <x:c r="M802" s="7" t="str"/>
      <x:c r="N802" s="7" t="str">
        <x:f>IF(M802="","OPEN",IF(OR(NOT(ISNUMBER(H802)),NOT(ISNUMBER(I802)),K802="",L802=""),"FAIL","PASS"))</x:f>
        <x:v>OPEN</x:v>
      </x:c>
    </x:row>
    <x:row r="803">
      <x:c r="B803" s="7" t="str">
        <x:v>TRO-B-10-S2-O1-R1</x:v>
      </x:c>
      <x:c r="C803" s="7" t="str">
        <x:v>BLD-B</x:v>
      </x:c>
      <x:c r="D803" s="7" t="str">
        <x:v>MF-10</x:v>
      </x:c>
      <x:c r="E803" s="7" t="str">
        <x:v>STD-10-2</x:v>
      </x:c>
      <x:c r="F803" s="7" t="str">
        <x:v>OP-1</x:v>
      </x:c>
      <x:c r="G803" s="7" t="n">
        <x:v>1</x:v>
      </x:c>
      <x:c r="H803" s="7" t="str"/>
      <x:c r="I803" s="7" t="str"/>
      <x:c r="J803" s="7" t="str">
        <x:f>IF(OR(H803="",I803=""),"",I803-H803)</x:f>
      </x:c>
      <x:c r="K803" s="7" t="str"/>
      <x:c r="L803" s="7" t="str"/>
      <x:c r="M803" s="7" t="str"/>
      <x:c r="N803" s="7" t="str">
        <x:f>IF(M803="","OPEN",IF(OR(NOT(ISNUMBER(H803)),NOT(ISNUMBER(I803)),K803="",L803=""),"FAIL","PASS"))</x:f>
        <x:v>OPEN</x:v>
      </x:c>
    </x:row>
    <x:row r="804">
      <x:c r="B804" s="7" t="str">
        <x:v>TRO-B-10-S2-O1-R2</x:v>
      </x:c>
      <x:c r="C804" s="7" t="str">
        <x:v>BLD-B</x:v>
      </x:c>
      <x:c r="D804" s="7" t="str">
        <x:v>MF-10</x:v>
      </x:c>
      <x:c r="E804" s="7" t="str">
        <x:v>STD-10-2</x:v>
      </x:c>
      <x:c r="F804" s="7" t="str">
        <x:v>OP-1</x:v>
      </x:c>
      <x:c r="G804" s="7" t="n">
        <x:v>2</x:v>
      </x:c>
      <x:c r="H804" s="7" t="str"/>
      <x:c r="I804" s="7" t="str"/>
      <x:c r="J804" s="7" t="str">
        <x:f>IF(OR(H804="",I804=""),"",I804-H804)</x:f>
      </x:c>
      <x:c r="K804" s="7" t="str"/>
      <x:c r="L804" s="7" t="str"/>
      <x:c r="M804" s="7" t="str"/>
      <x:c r="N804" s="7" t="str">
        <x:f>IF(M804="","OPEN",IF(OR(NOT(ISNUMBER(H804)),NOT(ISNUMBER(I804)),K804="",L804=""),"FAIL","PASS"))</x:f>
        <x:v>OPEN</x:v>
      </x:c>
    </x:row>
    <x:row r="805">
      <x:c r="B805" s="7" t="str">
        <x:v>TRO-B-10-S2-O2-R1</x:v>
      </x:c>
      <x:c r="C805" s="7" t="str">
        <x:v>BLD-B</x:v>
      </x:c>
      <x:c r="D805" s="7" t="str">
        <x:v>MF-10</x:v>
      </x:c>
      <x:c r="E805" s="7" t="str">
        <x:v>STD-10-2</x:v>
      </x:c>
      <x:c r="F805" s="7" t="str">
        <x:v>OP-2</x:v>
      </x:c>
      <x:c r="G805" s="7" t="n">
        <x:v>1</x:v>
      </x:c>
      <x:c r="H805" s="7" t="str"/>
      <x:c r="I805" s="7" t="str"/>
      <x:c r="J805" s="7" t="str">
        <x:f>IF(OR(H805="",I805=""),"",I805-H805)</x:f>
      </x:c>
      <x:c r="K805" s="7" t="str"/>
      <x:c r="L805" s="7" t="str"/>
      <x:c r="M805" s="7" t="str"/>
      <x:c r="N805" s="7" t="str">
        <x:f>IF(M805="","OPEN",IF(OR(NOT(ISNUMBER(H805)),NOT(ISNUMBER(I805)),K805="",L805=""),"FAIL","PASS"))</x:f>
        <x:v>OPEN</x:v>
      </x:c>
    </x:row>
    <x:row r="806">
      <x:c r="B806" s="7" t="str">
        <x:v>TRO-B-10-S2-O2-R2</x:v>
      </x:c>
      <x:c r="C806" s="7" t="str">
        <x:v>BLD-B</x:v>
      </x:c>
      <x:c r="D806" s="7" t="str">
        <x:v>MF-10</x:v>
      </x:c>
      <x:c r="E806" s="7" t="str">
        <x:v>STD-10-2</x:v>
      </x:c>
      <x:c r="F806" s="7" t="str">
        <x:v>OP-2</x:v>
      </x:c>
      <x:c r="G806" s="7" t="n">
        <x:v>2</x:v>
      </x:c>
      <x:c r="H806" s="7" t="str"/>
      <x:c r="I806" s="7" t="str"/>
      <x:c r="J806" s="7" t="str">
        <x:f>IF(OR(H806="",I806=""),"",I806-H806)</x:f>
      </x:c>
      <x:c r="K806" s="7" t="str"/>
      <x:c r="L806" s="7" t="str"/>
      <x:c r="M806" s="7" t="str"/>
      <x:c r="N806" s="7" t="str">
        <x:f>IF(M806="","OPEN",IF(OR(NOT(ISNUMBER(H806)),NOT(ISNUMBER(I806)),K806="",L806=""),"FAIL","PASS"))</x:f>
        <x:v>OPEN</x:v>
      </x:c>
    </x:row>
    <x:row r="807">
      <x:c r="B807" s="7" t="str">
        <x:v>TRO-B-10-S3-O1-R1</x:v>
      </x:c>
      <x:c r="C807" s="7" t="str">
        <x:v>BLD-B</x:v>
      </x:c>
      <x:c r="D807" s="7" t="str">
        <x:v>MF-10</x:v>
      </x:c>
      <x:c r="E807" s="7" t="str">
        <x:v>STD-10-3</x:v>
      </x:c>
      <x:c r="F807" s="7" t="str">
        <x:v>OP-1</x:v>
      </x:c>
      <x:c r="G807" s="7" t="n">
        <x:v>1</x:v>
      </x:c>
      <x:c r="H807" s="7" t="str"/>
      <x:c r="I807" s="7" t="str"/>
      <x:c r="J807" s="7" t="str">
        <x:f>IF(OR(H807="",I807=""),"",I807-H807)</x:f>
      </x:c>
      <x:c r="K807" s="7" t="str"/>
      <x:c r="L807" s="7" t="str"/>
      <x:c r="M807" s="7" t="str"/>
      <x:c r="N807" s="7" t="str">
        <x:f>IF(M807="","OPEN",IF(OR(NOT(ISNUMBER(H807)),NOT(ISNUMBER(I807)),K807="",L807=""),"FAIL","PASS"))</x:f>
        <x:v>OPEN</x:v>
      </x:c>
    </x:row>
    <x:row r="808">
      <x:c r="B808" s="7" t="str">
        <x:v>TRO-B-10-S3-O1-R2</x:v>
      </x:c>
      <x:c r="C808" s="7" t="str">
        <x:v>BLD-B</x:v>
      </x:c>
      <x:c r="D808" s="7" t="str">
        <x:v>MF-10</x:v>
      </x:c>
      <x:c r="E808" s="7" t="str">
        <x:v>STD-10-3</x:v>
      </x:c>
      <x:c r="F808" s="7" t="str">
        <x:v>OP-1</x:v>
      </x:c>
      <x:c r="G808" s="7" t="n">
        <x:v>2</x:v>
      </x:c>
      <x:c r="H808" s="7" t="str"/>
      <x:c r="I808" s="7" t="str"/>
      <x:c r="J808" s="7" t="str">
        <x:f>IF(OR(H808="",I808=""),"",I808-H808)</x:f>
      </x:c>
      <x:c r="K808" s="7" t="str"/>
      <x:c r="L808" s="7" t="str"/>
      <x:c r="M808" s="7" t="str"/>
      <x:c r="N808" s="7" t="str">
        <x:f>IF(M808="","OPEN",IF(OR(NOT(ISNUMBER(H808)),NOT(ISNUMBER(I808)),K808="",L808=""),"FAIL","PASS"))</x:f>
        <x:v>OPEN</x:v>
      </x:c>
    </x:row>
    <x:row r="809">
      <x:c r="B809" s="7" t="str">
        <x:v>TRO-B-10-S3-O2-R1</x:v>
      </x:c>
      <x:c r="C809" s="7" t="str">
        <x:v>BLD-B</x:v>
      </x:c>
      <x:c r="D809" s="7" t="str">
        <x:v>MF-10</x:v>
      </x:c>
      <x:c r="E809" s="7" t="str">
        <x:v>STD-10-3</x:v>
      </x:c>
      <x:c r="F809" s="7" t="str">
        <x:v>OP-2</x:v>
      </x:c>
      <x:c r="G809" s="7" t="n">
        <x:v>1</x:v>
      </x:c>
      <x:c r="H809" s="7" t="str"/>
      <x:c r="I809" s="7" t="str"/>
      <x:c r="J809" s="7" t="str">
        <x:f>IF(OR(H809="",I809=""),"",I809-H809)</x:f>
      </x:c>
      <x:c r="K809" s="7" t="str"/>
      <x:c r="L809" s="7" t="str"/>
      <x:c r="M809" s="7" t="str"/>
      <x:c r="N809" s="7" t="str">
        <x:f>IF(M809="","OPEN",IF(OR(NOT(ISNUMBER(H809)),NOT(ISNUMBER(I809)),K809="",L809=""),"FAIL","PASS"))</x:f>
        <x:v>OPEN</x:v>
      </x:c>
    </x:row>
    <x:row r="810">
      <x:c r="B810" s="7" t="str">
        <x:v>TRO-B-10-S3-O2-R2</x:v>
      </x:c>
      <x:c r="C810" s="7" t="str">
        <x:v>BLD-B</x:v>
      </x:c>
      <x:c r="D810" s="7" t="str">
        <x:v>MF-10</x:v>
      </x:c>
      <x:c r="E810" s="7" t="str">
        <x:v>STD-10-3</x:v>
      </x:c>
      <x:c r="F810" s="7" t="str">
        <x:v>OP-2</x:v>
      </x:c>
      <x:c r="G810" s="7" t="n">
        <x:v>2</x:v>
      </x:c>
      <x:c r="H810" s="7" t="str"/>
      <x:c r="I810" s="7" t="str"/>
      <x:c r="J810" s="7" t="str">
        <x:f>IF(OR(H810="",I810=""),"",I810-H810)</x:f>
      </x:c>
      <x:c r="K810" s="7" t="str"/>
      <x:c r="L810" s="7" t="str"/>
      <x:c r="M810" s="7" t="str"/>
      <x:c r="N810" s="7" t="str">
        <x:f>IF(M810="","OPEN",IF(OR(NOT(ISNUMBER(H810)),NOT(ISNUMBER(I810)),K810="",L810=""),"FAIL","PASS"))</x:f>
        <x:v>OPEN</x:v>
      </x:c>
    </x:row>
    <x:row r="811">
      <x:c r="B811" s="7" t="str">
        <x:v>TRO-B-10-S4-O1-R1</x:v>
      </x:c>
      <x:c r="C811" s="7" t="str">
        <x:v>BLD-B</x:v>
      </x:c>
      <x:c r="D811" s="7" t="str">
        <x:v>MF-10</x:v>
      </x:c>
      <x:c r="E811" s="7" t="str">
        <x:v>STD-10-4</x:v>
      </x:c>
      <x:c r="F811" s="7" t="str">
        <x:v>OP-1</x:v>
      </x:c>
      <x:c r="G811" s="7" t="n">
        <x:v>1</x:v>
      </x:c>
      <x:c r="H811" s="7" t="str"/>
      <x:c r="I811" s="7" t="str"/>
      <x:c r="J811" s="7" t="str">
        <x:f>IF(OR(H811="",I811=""),"",I811-H811)</x:f>
      </x:c>
      <x:c r="K811" s="7" t="str"/>
      <x:c r="L811" s="7" t="str"/>
      <x:c r="M811" s="7" t="str"/>
      <x:c r="N811" s="7" t="str">
        <x:f>IF(M811="","OPEN",IF(OR(NOT(ISNUMBER(H811)),NOT(ISNUMBER(I811)),K811="",L811=""),"FAIL","PASS"))</x:f>
        <x:v>OPEN</x:v>
      </x:c>
    </x:row>
    <x:row r="812">
      <x:c r="B812" s="7" t="str">
        <x:v>TRO-B-10-S4-O1-R2</x:v>
      </x:c>
      <x:c r="C812" s="7" t="str">
        <x:v>BLD-B</x:v>
      </x:c>
      <x:c r="D812" s="7" t="str">
        <x:v>MF-10</x:v>
      </x:c>
      <x:c r="E812" s="7" t="str">
        <x:v>STD-10-4</x:v>
      </x:c>
      <x:c r="F812" s="7" t="str">
        <x:v>OP-1</x:v>
      </x:c>
      <x:c r="G812" s="7" t="n">
        <x:v>2</x:v>
      </x:c>
      <x:c r="H812" s="7" t="str"/>
      <x:c r="I812" s="7" t="str"/>
      <x:c r="J812" s="7" t="str">
        <x:f>IF(OR(H812="",I812=""),"",I812-H812)</x:f>
      </x:c>
      <x:c r="K812" s="7" t="str"/>
      <x:c r="L812" s="7" t="str"/>
      <x:c r="M812" s="7" t="str"/>
      <x:c r="N812" s="7" t="str">
        <x:f>IF(M812="","OPEN",IF(OR(NOT(ISNUMBER(H812)),NOT(ISNUMBER(I812)),K812="",L812=""),"FAIL","PASS"))</x:f>
        <x:v>OPEN</x:v>
      </x:c>
    </x:row>
    <x:row r="813">
      <x:c r="B813" s="7" t="str">
        <x:v>TRO-B-10-S4-O2-R1</x:v>
      </x:c>
      <x:c r="C813" s="7" t="str">
        <x:v>BLD-B</x:v>
      </x:c>
      <x:c r="D813" s="7" t="str">
        <x:v>MF-10</x:v>
      </x:c>
      <x:c r="E813" s="7" t="str">
        <x:v>STD-10-4</x:v>
      </x:c>
      <x:c r="F813" s="7" t="str">
        <x:v>OP-2</x:v>
      </x:c>
      <x:c r="G813" s="7" t="n">
        <x:v>1</x:v>
      </x:c>
      <x:c r="H813" s="7" t="str"/>
      <x:c r="I813" s="7" t="str"/>
      <x:c r="J813" s="7" t="str">
        <x:f>IF(OR(H813="",I813=""),"",I813-H813)</x:f>
      </x:c>
      <x:c r="K813" s="7" t="str"/>
      <x:c r="L813" s="7" t="str"/>
      <x:c r="M813" s="7" t="str"/>
      <x:c r="N813" s="7" t="str">
        <x:f>IF(M813="","OPEN",IF(OR(NOT(ISNUMBER(H813)),NOT(ISNUMBER(I813)),K813="",L813=""),"FAIL","PASS"))</x:f>
        <x:v>OPEN</x:v>
      </x:c>
    </x:row>
    <x:row r="814">
      <x:c r="B814" s="7" t="str">
        <x:v>TRO-B-10-S4-O2-R2</x:v>
      </x:c>
      <x:c r="C814" s="7" t="str">
        <x:v>BLD-B</x:v>
      </x:c>
      <x:c r="D814" s="7" t="str">
        <x:v>MF-10</x:v>
      </x:c>
      <x:c r="E814" s="7" t="str">
        <x:v>STD-10-4</x:v>
      </x:c>
      <x:c r="F814" s="7" t="str">
        <x:v>OP-2</x:v>
      </x:c>
      <x:c r="G814" s="7" t="n">
        <x:v>2</x:v>
      </x:c>
      <x:c r="H814" s="7" t="str"/>
      <x:c r="I814" s="7" t="str"/>
      <x:c r="J814" s="7" t="str">
        <x:f>IF(OR(H814="",I814=""),"",I814-H814)</x:f>
      </x:c>
      <x:c r="K814" s="7" t="str"/>
      <x:c r="L814" s="7" t="str"/>
      <x:c r="M814" s="7" t="str"/>
      <x:c r="N814" s="7" t="str">
        <x:f>IF(M814="","OPEN",IF(OR(NOT(ISNUMBER(H814)),NOT(ISNUMBER(I814)),K814="",L814=""),"FAIL","PASS"))</x:f>
        <x:v>OPEN</x:v>
      </x:c>
    </x:row>
    <x:row r="815">
      <x:c r="B815" s="7" t="str">
        <x:v>TRO-B-10-S5-O1-R1</x:v>
      </x:c>
      <x:c r="C815" s="7" t="str">
        <x:v>BLD-B</x:v>
      </x:c>
      <x:c r="D815" s="7" t="str">
        <x:v>MF-10</x:v>
      </x:c>
      <x:c r="E815" s="7" t="str">
        <x:v>STD-10-5</x:v>
      </x:c>
      <x:c r="F815" s="7" t="str">
        <x:v>OP-1</x:v>
      </x:c>
      <x:c r="G815" s="7" t="n">
        <x:v>1</x:v>
      </x:c>
      <x:c r="H815" s="7" t="str"/>
      <x:c r="I815" s="7" t="str"/>
      <x:c r="J815" s="7" t="str">
        <x:f>IF(OR(H815="",I815=""),"",I815-H815)</x:f>
      </x:c>
      <x:c r="K815" s="7" t="str"/>
      <x:c r="L815" s="7" t="str"/>
      <x:c r="M815" s="7" t="str"/>
      <x:c r="N815" s="7" t="str">
        <x:f>IF(M815="","OPEN",IF(OR(NOT(ISNUMBER(H815)),NOT(ISNUMBER(I815)),K815="",L815=""),"FAIL","PASS"))</x:f>
        <x:v>OPEN</x:v>
      </x:c>
    </x:row>
    <x:row r="816">
      <x:c r="B816" s="7" t="str">
        <x:v>TRO-B-10-S5-O1-R2</x:v>
      </x:c>
      <x:c r="C816" s="7" t="str">
        <x:v>BLD-B</x:v>
      </x:c>
      <x:c r="D816" s="7" t="str">
        <x:v>MF-10</x:v>
      </x:c>
      <x:c r="E816" s="7" t="str">
        <x:v>STD-10-5</x:v>
      </x:c>
      <x:c r="F816" s="7" t="str">
        <x:v>OP-1</x:v>
      </x:c>
      <x:c r="G816" s="7" t="n">
        <x:v>2</x:v>
      </x:c>
      <x:c r="H816" s="7" t="str"/>
      <x:c r="I816" s="7" t="str"/>
      <x:c r="J816" s="7" t="str">
        <x:f>IF(OR(H816="",I816=""),"",I816-H816)</x:f>
      </x:c>
      <x:c r="K816" s="7" t="str"/>
      <x:c r="L816" s="7" t="str"/>
      <x:c r="M816" s="7" t="str"/>
      <x:c r="N816" s="7" t="str">
        <x:f>IF(M816="","OPEN",IF(OR(NOT(ISNUMBER(H816)),NOT(ISNUMBER(I816)),K816="",L816=""),"FAIL","PASS"))</x:f>
        <x:v>OPEN</x:v>
      </x:c>
    </x:row>
    <x:row r="817">
      <x:c r="B817" s="7" t="str">
        <x:v>TRO-B-10-S5-O2-R1</x:v>
      </x:c>
      <x:c r="C817" s="7" t="str">
        <x:v>BLD-B</x:v>
      </x:c>
      <x:c r="D817" s="7" t="str">
        <x:v>MF-10</x:v>
      </x:c>
      <x:c r="E817" s="7" t="str">
        <x:v>STD-10-5</x:v>
      </x:c>
      <x:c r="F817" s="7" t="str">
        <x:v>OP-2</x:v>
      </x:c>
      <x:c r="G817" s="7" t="n">
        <x:v>1</x:v>
      </x:c>
      <x:c r="H817" s="7" t="str"/>
      <x:c r="I817" s="7" t="str"/>
      <x:c r="J817" s="7" t="str">
        <x:f>IF(OR(H817="",I817=""),"",I817-H817)</x:f>
      </x:c>
      <x:c r="K817" s="7" t="str"/>
      <x:c r="L817" s="7" t="str"/>
      <x:c r="M817" s="7" t="str"/>
      <x:c r="N817" s="7" t="str">
        <x:f>IF(M817="","OPEN",IF(OR(NOT(ISNUMBER(H817)),NOT(ISNUMBER(I817)),K817="",L817=""),"FAIL","PASS"))</x:f>
        <x:v>OPEN</x:v>
      </x:c>
    </x:row>
    <x:row r="818">
      <x:c r="B818" s="7" t="str">
        <x:v>TRO-B-10-S5-O2-R2</x:v>
      </x:c>
      <x:c r="C818" s="7" t="str">
        <x:v>BLD-B</x:v>
      </x:c>
      <x:c r="D818" s="7" t="str">
        <x:v>MF-10</x:v>
      </x:c>
      <x:c r="E818" s="7" t="str">
        <x:v>STD-10-5</x:v>
      </x:c>
      <x:c r="F818" s="7" t="str">
        <x:v>OP-2</x:v>
      </x:c>
      <x:c r="G818" s="7" t="n">
        <x:v>2</x:v>
      </x:c>
      <x:c r="H818" s="7" t="str"/>
      <x:c r="I818" s="7" t="str"/>
      <x:c r="J818" s="7" t="str">
        <x:f>IF(OR(H818="",I818=""),"",I818-H818)</x:f>
      </x:c>
      <x:c r="K818" s="7" t="str"/>
      <x:c r="L818" s="7" t="str"/>
      <x:c r="M818" s="7" t="str"/>
      <x:c r="N818" s="7" t="str">
        <x:f>IF(M818="","OPEN",IF(OR(NOT(ISNUMBER(H818)),NOT(ISNUMBER(I818)),K818="",L818=""),"FAIL","PASS"))</x:f>
        <x:v>OPEN</x:v>
      </x:c>
    </x:row>
    <x:row r="819">
      <x:c r="B819" s="7" t="str">
        <x:v>TRO-B-10-S6-O1-R1</x:v>
      </x:c>
      <x:c r="C819" s="7" t="str">
        <x:v>BLD-B</x:v>
      </x:c>
      <x:c r="D819" s="7" t="str">
        <x:v>MF-10</x:v>
      </x:c>
      <x:c r="E819" s="7" t="str">
        <x:v>STD-10-6</x:v>
      </x:c>
      <x:c r="F819" s="7" t="str">
        <x:v>OP-1</x:v>
      </x:c>
      <x:c r="G819" s="7" t="n">
        <x:v>1</x:v>
      </x:c>
      <x:c r="H819" s="7" t="str"/>
      <x:c r="I819" s="7" t="str"/>
      <x:c r="J819" s="7" t="str">
        <x:f>IF(OR(H819="",I819=""),"",I819-H819)</x:f>
      </x:c>
      <x:c r="K819" s="7" t="str"/>
      <x:c r="L819" s="7" t="str"/>
      <x:c r="M819" s="7" t="str"/>
      <x:c r="N819" s="7" t="str">
        <x:f>IF(M819="","OPEN",IF(OR(NOT(ISNUMBER(H819)),NOT(ISNUMBER(I819)),K819="",L819=""),"FAIL","PASS"))</x:f>
        <x:v>OPEN</x:v>
      </x:c>
    </x:row>
    <x:row r="820">
      <x:c r="B820" s="7" t="str">
        <x:v>TRO-B-10-S6-O1-R2</x:v>
      </x:c>
      <x:c r="C820" s="7" t="str">
        <x:v>BLD-B</x:v>
      </x:c>
      <x:c r="D820" s="7" t="str">
        <x:v>MF-10</x:v>
      </x:c>
      <x:c r="E820" s="7" t="str">
        <x:v>STD-10-6</x:v>
      </x:c>
      <x:c r="F820" s="7" t="str">
        <x:v>OP-1</x:v>
      </x:c>
      <x:c r="G820" s="7" t="n">
        <x:v>2</x:v>
      </x:c>
      <x:c r="H820" s="7" t="str"/>
      <x:c r="I820" s="7" t="str"/>
      <x:c r="J820" s="7" t="str">
        <x:f>IF(OR(H820="",I820=""),"",I820-H820)</x:f>
      </x:c>
      <x:c r="K820" s="7" t="str"/>
      <x:c r="L820" s="7" t="str"/>
      <x:c r="M820" s="7" t="str"/>
      <x:c r="N820" s="7" t="str">
        <x:f>IF(M820="","OPEN",IF(OR(NOT(ISNUMBER(H820)),NOT(ISNUMBER(I820)),K820="",L820=""),"FAIL","PASS"))</x:f>
        <x:v>OPEN</x:v>
      </x:c>
    </x:row>
    <x:row r="821">
      <x:c r="B821" s="7" t="str">
        <x:v>TRO-B-10-S6-O2-R1</x:v>
      </x:c>
      <x:c r="C821" s="7" t="str">
        <x:v>BLD-B</x:v>
      </x:c>
      <x:c r="D821" s="7" t="str">
        <x:v>MF-10</x:v>
      </x:c>
      <x:c r="E821" s="7" t="str">
        <x:v>STD-10-6</x:v>
      </x:c>
      <x:c r="F821" s="7" t="str">
        <x:v>OP-2</x:v>
      </x:c>
      <x:c r="G821" s="7" t="n">
        <x:v>1</x:v>
      </x:c>
      <x:c r="H821" s="7" t="str"/>
      <x:c r="I821" s="7" t="str"/>
      <x:c r="J821" s="7" t="str">
        <x:f>IF(OR(H821="",I821=""),"",I821-H821)</x:f>
      </x:c>
      <x:c r="K821" s="7" t="str"/>
      <x:c r="L821" s="7" t="str"/>
      <x:c r="M821" s="7" t="str"/>
      <x:c r="N821" s="7" t="str">
        <x:f>IF(M821="","OPEN",IF(OR(NOT(ISNUMBER(H821)),NOT(ISNUMBER(I821)),K821="",L821=""),"FAIL","PASS"))</x:f>
        <x:v>OPEN</x:v>
      </x:c>
    </x:row>
    <x:row r="822">
      <x:c r="B822" s="7" t="str">
        <x:v>TRO-B-10-S6-O2-R2</x:v>
      </x:c>
      <x:c r="C822" s="7" t="str">
        <x:v>BLD-B</x:v>
      </x:c>
      <x:c r="D822" s="7" t="str">
        <x:v>MF-10</x:v>
      </x:c>
      <x:c r="E822" s="7" t="str">
        <x:v>STD-10-6</x:v>
      </x:c>
      <x:c r="F822" s="7" t="str">
        <x:v>OP-2</x:v>
      </x:c>
      <x:c r="G822" s="7" t="n">
        <x:v>2</x:v>
      </x:c>
      <x:c r="H822" s="7" t="str"/>
      <x:c r="I822" s="7" t="str"/>
      <x:c r="J822" s="7" t="str">
        <x:f>IF(OR(H822="",I822=""),"",I822-H822)</x:f>
      </x:c>
      <x:c r="K822" s="7" t="str"/>
      <x:c r="L822" s="7" t="str"/>
      <x:c r="M822" s="7" t="str"/>
      <x:c r="N822" s="7" t="str">
        <x:f>IF(M822="","OPEN",IF(OR(NOT(ISNUMBER(H822)),NOT(ISNUMBER(I822)),K822="",L822=""),"FAIL","PASS"))</x:f>
        <x:v>OPEN</x:v>
      </x:c>
    </x:row>
    <x:row r="823">
      <x:c r="B823" s="7" t="str">
        <x:v>TRO-B-11-S1-O1-R1</x:v>
      </x:c>
      <x:c r="C823" s="7" t="str">
        <x:v>BLD-B</x:v>
      </x:c>
      <x:c r="D823" s="7" t="str">
        <x:v>MF-11</x:v>
      </x:c>
      <x:c r="E823" s="7" t="str">
        <x:v>STD-11-1</x:v>
      </x:c>
      <x:c r="F823" s="7" t="str">
        <x:v>OP-1</x:v>
      </x:c>
      <x:c r="G823" s="7" t="n">
        <x:v>1</x:v>
      </x:c>
      <x:c r="H823" s="7" t="str"/>
      <x:c r="I823" s="7" t="str"/>
      <x:c r="J823" s="7" t="str">
        <x:f>IF(OR(H823="",I823=""),"",I823-H823)</x:f>
      </x:c>
      <x:c r="K823" s="7" t="str"/>
      <x:c r="L823" s="7" t="str"/>
      <x:c r="M823" s="7" t="str"/>
      <x:c r="N823" s="7" t="str">
        <x:f>IF(M823="","OPEN",IF(OR(NOT(ISNUMBER(H823)),NOT(ISNUMBER(I823)),K823="",L823=""),"FAIL","PASS"))</x:f>
        <x:v>OPEN</x:v>
      </x:c>
    </x:row>
    <x:row r="824">
      <x:c r="B824" s="7" t="str">
        <x:v>TRO-B-11-S1-O1-R2</x:v>
      </x:c>
      <x:c r="C824" s="7" t="str">
        <x:v>BLD-B</x:v>
      </x:c>
      <x:c r="D824" s="7" t="str">
        <x:v>MF-11</x:v>
      </x:c>
      <x:c r="E824" s="7" t="str">
        <x:v>STD-11-1</x:v>
      </x:c>
      <x:c r="F824" s="7" t="str">
        <x:v>OP-1</x:v>
      </x:c>
      <x:c r="G824" s="7" t="n">
        <x:v>2</x:v>
      </x:c>
      <x:c r="H824" s="7" t="str"/>
      <x:c r="I824" s="7" t="str"/>
      <x:c r="J824" s="7" t="str">
        <x:f>IF(OR(H824="",I824=""),"",I824-H824)</x:f>
      </x:c>
      <x:c r="K824" s="7" t="str"/>
      <x:c r="L824" s="7" t="str"/>
      <x:c r="M824" s="7" t="str"/>
      <x:c r="N824" s="7" t="str">
        <x:f>IF(M824="","OPEN",IF(OR(NOT(ISNUMBER(H824)),NOT(ISNUMBER(I824)),K824="",L824=""),"FAIL","PASS"))</x:f>
        <x:v>OPEN</x:v>
      </x:c>
    </x:row>
    <x:row r="825">
      <x:c r="B825" s="7" t="str">
        <x:v>TRO-B-11-S1-O2-R1</x:v>
      </x:c>
      <x:c r="C825" s="7" t="str">
        <x:v>BLD-B</x:v>
      </x:c>
      <x:c r="D825" s="7" t="str">
        <x:v>MF-11</x:v>
      </x:c>
      <x:c r="E825" s="7" t="str">
        <x:v>STD-11-1</x:v>
      </x:c>
      <x:c r="F825" s="7" t="str">
        <x:v>OP-2</x:v>
      </x:c>
      <x:c r="G825" s="7" t="n">
        <x:v>1</x:v>
      </x:c>
      <x:c r="H825" s="7" t="str"/>
      <x:c r="I825" s="7" t="str"/>
      <x:c r="J825" s="7" t="str">
        <x:f>IF(OR(H825="",I825=""),"",I825-H825)</x:f>
      </x:c>
      <x:c r="K825" s="7" t="str"/>
      <x:c r="L825" s="7" t="str"/>
      <x:c r="M825" s="7" t="str"/>
      <x:c r="N825" s="7" t="str">
        <x:f>IF(M825="","OPEN",IF(OR(NOT(ISNUMBER(H825)),NOT(ISNUMBER(I825)),K825="",L825=""),"FAIL","PASS"))</x:f>
        <x:v>OPEN</x:v>
      </x:c>
    </x:row>
    <x:row r="826">
      <x:c r="B826" s="7" t="str">
        <x:v>TRO-B-11-S1-O2-R2</x:v>
      </x:c>
      <x:c r="C826" s="7" t="str">
        <x:v>BLD-B</x:v>
      </x:c>
      <x:c r="D826" s="7" t="str">
        <x:v>MF-11</x:v>
      </x:c>
      <x:c r="E826" s="7" t="str">
        <x:v>STD-11-1</x:v>
      </x:c>
      <x:c r="F826" s="7" t="str">
        <x:v>OP-2</x:v>
      </x:c>
      <x:c r="G826" s="7" t="n">
        <x:v>2</x:v>
      </x:c>
      <x:c r="H826" s="7" t="str"/>
      <x:c r="I826" s="7" t="str"/>
      <x:c r="J826" s="7" t="str">
        <x:f>IF(OR(H826="",I826=""),"",I826-H826)</x:f>
      </x:c>
      <x:c r="K826" s="7" t="str"/>
      <x:c r="L826" s="7" t="str"/>
      <x:c r="M826" s="7" t="str"/>
      <x:c r="N826" s="7" t="str">
        <x:f>IF(M826="","OPEN",IF(OR(NOT(ISNUMBER(H826)),NOT(ISNUMBER(I826)),K826="",L826=""),"FAIL","PASS"))</x:f>
        <x:v>OPEN</x:v>
      </x:c>
    </x:row>
    <x:row r="827">
      <x:c r="B827" s="7" t="str">
        <x:v>TRO-B-11-S2-O1-R1</x:v>
      </x:c>
      <x:c r="C827" s="7" t="str">
        <x:v>BLD-B</x:v>
      </x:c>
      <x:c r="D827" s="7" t="str">
        <x:v>MF-11</x:v>
      </x:c>
      <x:c r="E827" s="7" t="str">
        <x:v>STD-11-2</x:v>
      </x:c>
      <x:c r="F827" s="7" t="str">
        <x:v>OP-1</x:v>
      </x:c>
      <x:c r="G827" s="7" t="n">
        <x:v>1</x:v>
      </x:c>
      <x:c r="H827" s="7" t="str"/>
      <x:c r="I827" s="7" t="str"/>
      <x:c r="J827" s="7" t="str">
        <x:f>IF(OR(H827="",I827=""),"",I827-H827)</x:f>
      </x:c>
      <x:c r="K827" s="7" t="str"/>
      <x:c r="L827" s="7" t="str"/>
      <x:c r="M827" s="7" t="str"/>
      <x:c r="N827" s="7" t="str">
        <x:f>IF(M827="","OPEN",IF(OR(NOT(ISNUMBER(H827)),NOT(ISNUMBER(I827)),K827="",L827=""),"FAIL","PASS"))</x:f>
        <x:v>OPEN</x:v>
      </x:c>
    </x:row>
    <x:row r="828">
      <x:c r="B828" s="7" t="str">
        <x:v>TRO-B-11-S2-O1-R2</x:v>
      </x:c>
      <x:c r="C828" s="7" t="str">
        <x:v>BLD-B</x:v>
      </x:c>
      <x:c r="D828" s="7" t="str">
        <x:v>MF-11</x:v>
      </x:c>
      <x:c r="E828" s="7" t="str">
        <x:v>STD-11-2</x:v>
      </x:c>
      <x:c r="F828" s="7" t="str">
        <x:v>OP-1</x:v>
      </x:c>
      <x:c r="G828" s="7" t="n">
        <x:v>2</x:v>
      </x:c>
      <x:c r="H828" s="7" t="str"/>
      <x:c r="I828" s="7" t="str"/>
      <x:c r="J828" s="7" t="str">
        <x:f>IF(OR(H828="",I828=""),"",I828-H828)</x:f>
      </x:c>
      <x:c r="K828" s="7" t="str"/>
      <x:c r="L828" s="7" t="str"/>
      <x:c r="M828" s="7" t="str"/>
      <x:c r="N828" s="7" t="str">
        <x:f>IF(M828="","OPEN",IF(OR(NOT(ISNUMBER(H828)),NOT(ISNUMBER(I828)),K828="",L828=""),"FAIL","PASS"))</x:f>
        <x:v>OPEN</x:v>
      </x:c>
    </x:row>
    <x:row r="829">
      <x:c r="B829" s="7" t="str">
        <x:v>TRO-B-11-S2-O2-R1</x:v>
      </x:c>
      <x:c r="C829" s="7" t="str">
        <x:v>BLD-B</x:v>
      </x:c>
      <x:c r="D829" s="7" t="str">
        <x:v>MF-11</x:v>
      </x:c>
      <x:c r="E829" s="7" t="str">
        <x:v>STD-11-2</x:v>
      </x:c>
      <x:c r="F829" s="7" t="str">
        <x:v>OP-2</x:v>
      </x:c>
      <x:c r="G829" s="7" t="n">
        <x:v>1</x:v>
      </x:c>
      <x:c r="H829" s="7" t="str"/>
      <x:c r="I829" s="7" t="str"/>
      <x:c r="J829" s="7" t="str">
        <x:f>IF(OR(H829="",I829=""),"",I829-H829)</x:f>
      </x:c>
      <x:c r="K829" s="7" t="str"/>
      <x:c r="L829" s="7" t="str"/>
      <x:c r="M829" s="7" t="str"/>
      <x:c r="N829" s="7" t="str">
        <x:f>IF(M829="","OPEN",IF(OR(NOT(ISNUMBER(H829)),NOT(ISNUMBER(I829)),K829="",L829=""),"FAIL","PASS"))</x:f>
        <x:v>OPEN</x:v>
      </x:c>
    </x:row>
    <x:row r="830">
      <x:c r="B830" s="7" t="str">
        <x:v>TRO-B-11-S2-O2-R2</x:v>
      </x:c>
      <x:c r="C830" s="7" t="str">
        <x:v>BLD-B</x:v>
      </x:c>
      <x:c r="D830" s="7" t="str">
        <x:v>MF-11</x:v>
      </x:c>
      <x:c r="E830" s="7" t="str">
        <x:v>STD-11-2</x:v>
      </x:c>
      <x:c r="F830" s="7" t="str">
        <x:v>OP-2</x:v>
      </x:c>
      <x:c r="G830" s="7" t="n">
        <x:v>2</x:v>
      </x:c>
      <x:c r="H830" s="7" t="str"/>
      <x:c r="I830" s="7" t="str"/>
      <x:c r="J830" s="7" t="str">
        <x:f>IF(OR(H830="",I830=""),"",I830-H830)</x:f>
      </x:c>
      <x:c r="K830" s="7" t="str"/>
      <x:c r="L830" s="7" t="str"/>
      <x:c r="M830" s="7" t="str"/>
      <x:c r="N830" s="7" t="str">
        <x:f>IF(M830="","OPEN",IF(OR(NOT(ISNUMBER(H830)),NOT(ISNUMBER(I830)),K830="",L830=""),"FAIL","PASS"))</x:f>
        <x:v>OPEN</x:v>
      </x:c>
    </x:row>
    <x:row r="831">
      <x:c r="B831" s="7" t="str">
        <x:v>TRO-B-11-S3-O1-R1</x:v>
      </x:c>
      <x:c r="C831" s="7" t="str">
        <x:v>BLD-B</x:v>
      </x:c>
      <x:c r="D831" s="7" t="str">
        <x:v>MF-11</x:v>
      </x:c>
      <x:c r="E831" s="7" t="str">
        <x:v>STD-11-3</x:v>
      </x:c>
      <x:c r="F831" s="7" t="str">
        <x:v>OP-1</x:v>
      </x:c>
      <x:c r="G831" s="7" t="n">
        <x:v>1</x:v>
      </x:c>
      <x:c r="H831" s="7" t="str"/>
      <x:c r="I831" s="7" t="str"/>
      <x:c r="J831" s="7" t="str">
        <x:f>IF(OR(H831="",I831=""),"",I831-H831)</x:f>
      </x:c>
      <x:c r="K831" s="7" t="str"/>
      <x:c r="L831" s="7" t="str"/>
      <x:c r="M831" s="7" t="str"/>
      <x:c r="N831" s="7" t="str">
        <x:f>IF(M831="","OPEN",IF(OR(NOT(ISNUMBER(H831)),NOT(ISNUMBER(I831)),K831="",L831=""),"FAIL","PASS"))</x:f>
        <x:v>OPEN</x:v>
      </x:c>
    </x:row>
    <x:row r="832">
      <x:c r="B832" s="7" t="str">
        <x:v>TRO-B-11-S3-O1-R2</x:v>
      </x:c>
      <x:c r="C832" s="7" t="str">
        <x:v>BLD-B</x:v>
      </x:c>
      <x:c r="D832" s="7" t="str">
        <x:v>MF-11</x:v>
      </x:c>
      <x:c r="E832" s="7" t="str">
        <x:v>STD-11-3</x:v>
      </x:c>
      <x:c r="F832" s="7" t="str">
        <x:v>OP-1</x:v>
      </x:c>
      <x:c r="G832" s="7" t="n">
        <x:v>2</x:v>
      </x:c>
      <x:c r="H832" s="7" t="str"/>
      <x:c r="I832" s="7" t="str"/>
      <x:c r="J832" s="7" t="str">
        <x:f>IF(OR(H832="",I832=""),"",I832-H832)</x:f>
      </x:c>
      <x:c r="K832" s="7" t="str"/>
      <x:c r="L832" s="7" t="str"/>
      <x:c r="M832" s="7" t="str"/>
      <x:c r="N832" s="7" t="str">
        <x:f>IF(M832="","OPEN",IF(OR(NOT(ISNUMBER(H832)),NOT(ISNUMBER(I832)),K832="",L832=""),"FAIL","PASS"))</x:f>
        <x:v>OPEN</x:v>
      </x:c>
    </x:row>
    <x:row r="833">
      <x:c r="B833" s="7" t="str">
        <x:v>TRO-B-11-S3-O2-R1</x:v>
      </x:c>
      <x:c r="C833" s="7" t="str">
        <x:v>BLD-B</x:v>
      </x:c>
      <x:c r="D833" s="7" t="str">
        <x:v>MF-11</x:v>
      </x:c>
      <x:c r="E833" s="7" t="str">
        <x:v>STD-11-3</x:v>
      </x:c>
      <x:c r="F833" s="7" t="str">
        <x:v>OP-2</x:v>
      </x:c>
      <x:c r="G833" s="7" t="n">
        <x:v>1</x:v>
      </x:c>
      <x:c r="H833" s="7" t="str"/>
      <x:c r="I833" s="7" t="str"/>
      <x:c r="J833" s="7" t="str">
        <x:f>IF(OR(H833="",I833=""),"",I833-H833)</x:f>
      </x:c>
      <x:c r="K833" s="7" t="str"/>
      <x:c r="L833" s="7" t="str"/>
      <x:c r="M833" s="7" t="str"/>
      <x:c r="N833" s="7" t="str">
        <x:f>IF(M833="","OPEN",IF(OR(NOT(ISNUMBER(H833)),NOT(ISNUMBER(I833)),K833="",L833=""),"FAIL","PASS"))</x:f>
        <x:v>OPEN</x:v>
      </x:c>
    </x:row>
    <x:row r="834">
      <x:c r="B834" s="7" t="str">
        <x:v>TRO-B-11-S3-O2-R2</x:v>
      </x:c>
      <x:c r="C834" s="7" t="str">
        <x:v>BLD-B</x:v>
      </x:c>
      <x:c r="D834" s="7" t="str">
        <x:v>MF-11</x:v>
      </x:c>
      <x:c r="E834" s="7" t="str">
        <x:v>STD-11-3</x:v>
      </x:c>
      <x:c r="F834" s="7" t="str">
        <x:v>OP-2</x:v>
      </x:c>
      <x:c r="G834" s="7" t="n">
        <x:v>2</x:v>
      </x:c>
      <x:c r="H834" s="7" t="str"/>
      <x:c r="I834" s="7" t="str"/>
      <x:c r="J834" s="7" t="str">
        <x:f>IF(OR(H834="",I834=""),"",I834-H834)</x:f>
      </x:c>
      <x:c r="K834" s="7" t="str"/>
      <x:c r="L834" s="7" t="str"/>
      <x:c r="M834" s="7" t="str"/>
      <x:c r="N834" s="7" t="str">
        <x:f>IF(M834="","OPEN",IF(OR(NOT(ISNUMBER(H834)),NOT(ISNUMBER(I834)),K834="",L834=""),"FAIL","PASS"))</x:f>
        <x:v>OPEN</x:v>
      </x:c>
    </x:row>
    <x:row r="835">
      <x:c r="B835" s="7" t="str">
        <x:v>TRO-B-11-S4-O1-R1</x:v>
      </x:c>
      <x:c r="C835" s="7" t="str">
        <x:v>BLD-B</x:v>
      </x:c>
      <x:c r="D835" s="7" t="str">
        <x:v>MF-11</x:v>
      </x:c>
      <x:c r="E835" s="7" t="str">
        <x:v>STD-11-4</x:v>
      </x:c>
      <x:c r="F835" s="7" t="str">
        <x:v>OP-1</x:v>
      </x:c>
      <x:c r="G835" s="7" t="n">
        <x:v>1</x:v>
      </x:c>
      <x:c r="H835" s="7" t="str"/>
      <x:c r="I835" s="7" t="str"/>
      <x:c r="J835" s="7" t="str">
        <x:f>IF(OR(H835="",I835=""),"",I835-H835)</x:f>
      </x:c>
      <x:c r="K835" s="7" t="str"/>
      <x:c r="L835" s="7" t="str"/>
      <x:c r="M835" s="7" t="str"/>
      <x:c r="N835" s="7" t="str">
        <x:f>IF(M835="","OPEN",IF(OR(NOT(ISNUMBER(H835)),NOT(ISNUMBER(I835)),K835="",L835=""),"FAIL","PASS"))</x:f>
        <x:v>OPEN</x:v>
      </x:c>
    </x:row>
    <x:row r="836">
      <x:c r="B836" s="7" t="str">
        <x:v>TRO-B-11-S4-O1-R2</x:v>
      </x:c>
      <x:c r="C836" s="7" t="str">
        <x:v>BLD-B</x:v>
      </x:c>
      <x:c r="D836" s="7" t="str">
        <x:v>MF-11</x:v>
      </x:c>
      <x:c r="E836" s="7" t="str">
        <x:v>STD-11-4</x:v>
      </x:c>
      <x:c r="F836" s="7" t="str">
        <x:v>OP-1</x:v>
      </x:c>
      <x:c r="G836" s="7" t="n">
        <x:v>2</x:v>
      </x:c>
      <x:c r="H836" s="7" t="str"/>
      <x:c r="I836" s="7" t="str"/>
      <x:c r="J836" s="7" t="str">
        <x:f>IF(OR(H836="",I836=""),"",I836-H836)</x:f>
      </x:c>
      <x:c r="K836" s="7" t="str"/>
      <x:c r="L836" s="7" t="str"/>
      <x:c r="M836" s="7" t="str"/>
      <x:c r="N836" s="7" t="str">
        <x:f>IF(M836="","OPEN",IF(OR(NOT(ISNUMBER(H836)),NOT(ISNUMBER(I836)),K836="",L836=""),"FAIL","PASS"))</x:f>
        <x:v>OPEN</x:v>
      </x:c>
    </x:row>
    <x:row r="837">
      <x:c r="B837" s="7" t="str">
        <x:v>TRO-B-11-S4-O2-R1</x:v>
      </x:c>
      <x:c r="C837" s="7" t="str">
        <x:v>BLD-B</x:v>
      </x:c>
      <x:c r="D837" s="7" t="str">
        <x:v>MF-11</x:v>
      </x:c>
      <x:c r="E837" s="7" t="str">
        <x:v>STD-11-4</x:v>
      </x:c>
      <x:c r="F837" s="7" t="str">
        <x:v>OP-2</x:v>
      </x:c>
      <x:c r="G837" s="7" t="n">
        <x:v>1</x:v>
      </x:c>
      <x:c r="H837" s="7" t="str"/>
      <x:c r="I837" s="7" t="str"/>
      <x:c r="J837" s="7" t="str">
        <x:f>IF(OR(H837="",I837=""),"",I837-H837)</x:f>
      </x:c>
      <x:c r="K837" s="7" t="str"/>
      <x:c r="L837" s="7" t="str"/>
      <x:c r="M837" s="7" t="str"/>
      <x:c r="N837" s="7" t="str">
        <x:f>IF(M837="","OPEN",IF(OR(NOT(ISNUMBER(H837)),NOT(ISNUMBER(I837)),K837="",L837=""),"FAIL","PASS"))</x:f>
        <x:v>OPEN</x:v>
      </x:c>
    </x:row>
    <x:row r="838">
      <x:c r="B838" s="7" t="str">
        <x:v>TRO-B-11-S4-O2-R2</x:v>
      </x:c>
      <x:c r="C838" s="7" t="str">
        <x:v>BLD-B</x:v>
      </x:c>
      <x:c r="D838" s="7" t="str">
        <x:v>MF-11</x:v>
      </x:c>
      <x:c r="E838" s="7" t="str">
        <x:v>STD-11-4</x:v>
      </x:c>
      <x:c r="F838" s="7" t="str">
        <x:v>OP-2</x:v>
      </x:c>
      <x:c r="G838" s="7" t="n">
        <x:v>2</x:v>
      </x:c>
      <x:c r="H838" s="7" t="str"/>
      <x:c r="I838" s="7" t="str"/>
      <x:c r="J838" s="7" t="str">
        <x:f>IF(OR(H838="",I838=""),"",I838-H838)</x:f>
      </x:c>
      <x:c r="K838" s="7" t="str"/>
      <x:c r="L838" s="7" t="str"/>
      <x:c r="M838" s="7" t="str"/>
      <x:c r="N838" s="7" t="str">
        <x:f>IF(M838="","OPEN",IF(OR(NOT(ISNUMBER(H838)),NOT(ISNUMBER(I838)),K838="",L838=""),"FAIL","PASS"))</x:f>
        <x:v>OPEN</x:v>
      </x:c>
    </x:row>
    <x:row r="839">
      <x:c r="B839" s="7" t="str">
        <x:v>TRO-B-11-S5-O1-R1</x:v>
      </x:c>
      <x:c r="C839" s="7" t="str">
        <x:v>BLD-B</x:v>
      </x:c>
      <x:c r="D839" s="7" t="str">
        <x:v>MF-11</x:v>
      </x:c>
      <x:c r="E839" s="7" t="str">
        <x:v>STD-11-5</x:v>
      </x:c>
      <x:c r="F839" s="7" t="str">
        <x:v>OP-1</x:v>
      </x:c>
      <x:c r="G839" s="7" t="n">
        <x:v>1</x:v>
      </x:c>
      <x:c r="H839" s="7" t="str"/>
      <x:c r="I839" s="7" t="str"/>
      <x:c r="J839" s="7" t="str">
        <x:f>IF(OR(H839="",I839=""),"",I839-H839)</x:f>
      </x:c>
      <x:c r="K839" s="7" t="str"/>
      <x:c r="L839" s="7" t="str"/>
      <x:c r="M839" s="7" t="str"/>
      <x:c r="N839" s="7" t="str">
        <x:f>IF(M839="","OPEN",IF(OR(NOT(ISNUMBER(H839)),NOT(ISNUMBER(I839)),K839="",L839=""),"FAIL","PASS"))</x:f>
        <x:v>OPEN</x:v>
      </x:c>
    </x:row>
    <x:row r="840">
      <x:c r="B840" s="7" t="str">
        <x:v>TRO-B-11-S5-O1-R2</x:v>
      </x:c>
      <x:c r="C840" s="7" t="str">
        <x:v>BLD-B</x:v>
      </x:c>
      <x:c r="D840" s="7" t="str">
        <x:v>MF-11</x:v>
      </x:c>
      <x:c r="E840" s="7" t="str">
        <x:v>STD-11-5</x:v>
      </x:c>
      <x:c r="F840" s="7" t="str">
        <x:v>OP-1</x:v>
      </x:c>
      <x:c r="G840" s="7" t="n">
        <x:v>2</x:v>
      </x:c>
      <x:c r="H840" s="7" t="str"/>
      <x:c r="I840" s="7" t="str"/>
      <x:c r="J840" s="7" t="str">
        <x:f>IF(OR(H840="",I840=""),"",I840-H840)</x:f>
      </x:c>
      <x:c r="K840" s="7" t="str"/>
      <x:c r="L840" s="7" t="str"/>
      <x:c r="M840" s="7" t="str"/>
      <x:c r="N840" s="7" t="str">
        <x:f>IF(M840="","OPEN",IF(OR(NOT(ISNUMBER(H840)),NOT(ISNUMBER(I840)),K840="",L840=""),"FAIL","PASS"))</x:f>
        <x:v>OPEN</x:v>
      </x:c>
    </x:row>
    <x:row r="841">
      <x:c r="B841" s="7" t="str">
        <x:v>TRO-B-11-S5-O2-R1</x:v>
      </x:c>
      <x:c r="C841" s="7" t="str">
        <x:v>BLD-B</x:v>
      </x:c>
      <x:c r="D841" s="7" t="str">
        <x:v>MF-11</x:v>
      </x:c>
      <x:c r="E841" s="7" t="str">
        <x:v>STD-11-5</x:v>
      </x:c>
      <x:c r="F841" s="7" t="str">
        <x:v>OP-2</x:v>
      </x:c>
      <x:c r="G841" s="7" t="n">
        <x:v>1</x:v>
      </x:c>
      <x:c r="H841" s="7" t="str"/>
      <x:c r="I841" s="7" t="str"/>
      <x:c r="J841" s="7" t="str">
        <x:f>IF(OR(H841="",I841=""),"",I841-H841)</x:f>
      </x:c>
      <x:c r="K841" s="7" t="str"/>
      <x:c r="L841" s="7" t="str"/>
      <x:c r="M841" s="7" t="str"/>
      <x:c r="N841" s="7" t="str">
        <x:f>IF(M841="","OPEN",IF(OR(NOT(ISNUMBER(H841)),NOT(ISNUMBER(I841)),K841="",L841=""),"FAIL","PASS"))</x:f>
        <x:v>OPEN</x:v>
      </x:c>
    </x:row>
    <x:row r="842">
      <x:c r="B842" s="7" t="str">
        <x:v>TRO-B-11-S5-O2-R2</x:v>
      </x:c>
      <x:c r="C842" s="7" t="str">
        <x:v>BLD-B</x:v>
      </x:c>
      <x:c r="D842" s="7" t="str">
        <x:v>MF-11</x:v>
      </x:c>
      <x:c r="E842" s="7" t="str">
        <x:v>STD-11-5</x:v>
      </x:c>
      <x:c r="F842" s="7" t="str">
        <x:v>OP-2</x:v>
      </x:c>
      <x:c r="G842" s="7" t="n">
        <x:v>2</x:v>
      </x:c>
      <x:c r="H842" s="7" t="str"/>
      <x:c r="I842" s="7" t="str"/>
      <x:c r="J842" s="7" t="str">
        <x:f>IF(OR(H842="",I842=""),"",I842-H842)</x:f>
      </x:c>
      <x:c r="K842" s="7" t="str"/>
      <x:c r="L842" s="7" t="str"/>
      <x:c r="M842" s="7" t="str"/>
      <x:c r="N842" s="7" t="str">
        <x:f>IF(M842="","OPEN",IF(OR(NOT(ISNUMBER(H842)),NOT(ISNUMBER(I842)),K842="",L842=""),"FAIL","PASS"))</x:f>
        <x:v>OPEN</x:v>
      </x:c>
    </x:row>
    <x:row r="843">
      <x:c r="B843" s="7" t="str">
        <x:v>TRO-B-11-S6-O1-R1</x:v>
      </x:c>
      <x:c r="C843" s="7" t="str">
        <x:v>BLD-B</x:v>
      </x:c>
      <x:c r="D843" s="7" t="str">
        <x:v>MF-11</x:v>
      </x:c>
      <x:c r="E843" s="7" t="str">
        <x:v>STD-11-6</x:v>
      </x:c>
      <x:c r="F843" s="7" t="str">
        <x:v>OP-1</x:v>
      </x:c>
      <x:c r="G843" s="7" t="n">
        <x:v>1</x:v>
      </x:c>
      <x:c r="H843" s="7" t="str"/>
      <x:c r="I843" s="7" t="str"/>
      <x:c r="J843" s="7" t="str">
        <x:f>IF(OR(H843="",I843=""),"",I843-H843)</x:f>
      </x:c>
      <x:c r="K843" s="7" t="str"/>
      <x:c r="L843" s="7" t="str"/>
      <x:c r="M843" s="7" t="str"/>
      <x:c r="N843" s="7" t="str">
        <x:f>IF(M843="","OPEN",IF(OR(NOT(ISNUMBER(H843)),NOT(ISNUMBER(I843)),K843="",L843=""),"FAIL","PASS"))</x:f>
        <x:v>OPEN</x:v>
      </x:c>
    </x:row>
    <x:row r="844">
      <x:c r="B844" s="7" t="str">
        <x:v>TRO-B-11-S6-O1-R2</x:v>
      </x:c>
      <x:c r="C844" s="7" t="str">
        <x:v>BLD-B</x:v>
      </x:c>
      <x:c r="D844" s="7" t="str">
        <x:v>MF-11</x:v>
      </x:c>
      <x:c r="E844" s="7" t="str">
        <x:v>STD-11-6</x:v>
      </x:c>
      <x:c r="F844" s="7" t="str">
        <x:v>OP-1</x:v>
      </x:c>
      <x:c r="G844" s="7" t="n">
        <x:v>2</x:v>
      </x:c>
      <x:c r="H844" s="7" t="str"/>
      <x:c r="I844" s="7" t="str"/>
      <x:c r="J844" s="7" t="str">
        <x:f>IF(OR(H844="",I844=""),"",I844-H844)</x:f>
      </x:c>
      <x:c r="K844" s="7" t="str"/>
      <x:c r="L844" s="7" t="str"/>
      <x:c r="M844" s="7" t="str"/>
      <x:c r="N844" s="7" t="str">
        <x:f>IF(M844="","OPEN",IF(OR(NOT(ISNUMBER(H844)),NOT(ISNUMBER(I844)),K844="",L844=""),"FAIL","PASS"))</x:f>
        <x:v>OPEN</x:v>
      </x:c>
    </x:row>
    <x:row r="845">
      <x:c r="B845" s="7" t="str">
        <x:v>TRO-B-11-S6-O2-R1</x:v>
      </x:c>
      <x:c r="C845" s="7" t="str">
        <x:v>BLD-B</x:v>
      </x:c>
      <x:c r="D845" s="7" t="str">
        <x:v>MF-11</x:v>
      </x:c>
      <x:c r="E845" s="7" t="str">
        <x:v>STD-11-6</x:v>
      </x:c>
      <x:c r="F845" s="7" t="str">
        <x:v>OP-2</x:v>
      </x:c>
      <x:c r="G845" s="7" t="n">
        <x:v>1</x:v>
      </x:c>
      <x:c r="H845" s="7" t="str"/>
      <x:c r="I845" s="7" t="str"/>
      <x:c r="J845" s="7" t="str">
        <x:f>IF(OR(H845="",I845=""),"",I845-H845)</x:f>
      </x:c>
      <x:c r="K845" s="7" t="str"/>
      <x:c r="L845" s="7" t="str"/>
      <x:c r="M845" s="7" t="str"/>
      <x:c r="N845" s="7" t="str">
        <x:f>IF(M845="","OPEN",IF(OR(NOT(ISNUMBER(H845)),NOT(ISNUMBER(I845)),K845="",L845=""),"FAIL","PASS"))</x:f>
        <x:v>OPEN</x:v>
      </x:c>
    </x:row>
    <x:row r="846">
      <x:c r="B846" s="7" t="str">
        <x:v>TRO-B-11-S6-O2-R2</x:v>
      </x:c>
      <x:c r="C846" s="7" t="str">
        <x:v>BLD-B</x:v>
      </x:c>
      <x:c r="D846" s="7" t="str">
        <x:v>MF-11</x:v>
      </x:c>
      <x:c r="E846" s="7" t="str">
        <x:v>STD-11-6</x:v>
      </x:c>
      <x:c r="F846" s="7" t="str">
        <x:v>OP-2</x:v>
      </x:c>
      <x:c r="G846" s="7" t="n">
        <x:v>2</x:v>
      </x:c>
      <x:c r="H846" s="7" t="str"/>
      <x:c r="I846" s="7" t="str"/>
      <x:c r="J846" s="7" t="str">
        <x:f>IF(OR(H846="",I846=""),"",I846-H846)</x:f>
      </x:c>
      <x:c r="K846" s="7" t="str"/>
      <x:c r="L846" s="7" t="str"/>
      <x:c r="M846" s="7" t="str"/>
      <x:c r="N846" s="7" t="str">
        <x:f>IF(M846="","OPEN",IF(OR(NOT(ISNUMBER(H846)),NOT(ISNUMBER(I846)),K846="",L846=""),"FAIL","PASS"))</x:f>
        <x:v>OPEN</x:v>
      </x:c>
    </x:row>
    <x:row r="847">
      <x:c r="B847" s="7" t="str">
        <x:v>TRO-B-12-S1-O1-R1</x:v>
      </x:c>
      <x:c r="C847" s="7" t="str">
        <x:v>BLD-B</x:v>
      </x:c>
      <x:c r="D847" s="7" t="str">
        <x:v>MF-12</x:v>
      </x:c>
      <x:c r="E847" s="7" t="str">
        <x:v>STD-12-1</x:v>
      </x:c>
      <x:c r="F847" s="7" t="str">
        <x:v>OP-1</x:v>
      </x:c>
      <x:c r="G847" s="7" t="n">
        <x:v>1</x:v>
      </x:c>
      <x:c r="H847" s="7" t="str"/>
      <x:c r="I847" s="7" t="str"/>
      <x:c r="J847" s="7" t="str">
        <x:f>IF(OR(H847="",I847=""),"",I847-H847)</x:f>
      </x:c>
      <x:c r="K847" s="7" t="str"/>
      <x:c r="L847" s="7" t="str"/>
      <x:c r="M847" s="7" t="str"/>
      <x:c r="N847" s="7" t="str">
        <x:f>IF(M847="","OPEN",IF(OR(NOT(ISNUMBER(H847)),NOT(ISNUMBER(I847)),K847="",L847=""),"FAIL","PASS"))</x:f>
        <x:v>OPEN</x:v>
      </x:c>
    </x:row>
    <x:row r="848">
      <x:c r="B848" s="7" t="str">
        <x:v>TRO-B-12-S1-O1-R2</x:v>
      </x:c>
      <x:c r="C848" s="7" t="str">
        <x:v>BLD-B</x:v>
      </x:c>
      <x:c r="D848" s="7" t="str">
        <x:v>MF-12</x:v>
      </x:c>
      <x:c r="E848" s="7" t="str">
        <x:v>STD-12-1</x:v>
      </x:c>
      <x:c r="F848" s="7" t="str">
        <x:v>OP-1</x:v>
      </x:c>
      <x:c r="G848" s="7" t="n">
        <x:v>2</x:v>
      </x:c>
      <x:c r="H848" s="7" t="str"/>
      <x:c r="I848" s="7" t="str"/>
      <x:c r="J848" s="7" t="str">
        <x:f>IF(OR(H848="",I848=""),"",I848-H848)</x:f>
      </x:c>
      <x:c r="K848" s="7" t="str"/>
      <x:c r="L848" s="7" t="str"/>
      <x:c r="M848" s="7" t="str"/>
      <x:c r="N848" s="7" t="str">
        <x:f>IF(M848="","OPEN",IF(OR(NOT(ISNUMBER(H848)),NOT(ISNUMBER(I848)),K848="",L848=""),"FAIL","PASS"))</x:f>
        <x:v>OPEN</x:v>
      </x:c>
    </x:row>
    <x:row r="849">
      <x:c r="B849" s="7" t="str">
        <x:v>TRO-B-12-S1-O2-R1</x:v>
      </x:c>
      <x:c r="C849" s="7" t="str">
        <x:v>BLD-B</x:v>
      </x:c>
      <x:c r="D849" s="7" t="str">
        <x:v>MF-12</x:v>
      </x:c>
      <x:c r="E849" s="7" t="str">
        <x:v>STD-12-1</x:v>
      </x:c>
      <x:c r="F849" s="7" t="str">
        <x:v>OP-2</x:v>
      </x:c>
      <x:c r="G849" s="7" t="n">
        <x:v>1</x:v>
      </x:c>
      <x:c r="H849" s="7" t="str"/>
      <x:c r="I849" s="7" t="str"/>
      <x:c r="J849" s="7" t="str">
        <x:f>IF(OR(H849="",I849=""),"",I849-H849)</x:f>
      </x:c>
      <x:c r="K849" s="7" t="str"/>
      <x:c r="L849" s="7" t="str"/>
      <x:c r="M849" s="7" t="str"/>
      <x:c r="N849" s="7" t="str">
        <x:f>IF(M849="","OPEN",IF(OR(NOT(ISNUMBER(H849)),NOT(ISNUMBER(I849)),K849="",L849=""),"FAIL","PASS"))</x:f>
        <x:v>OPEN</x:v>
      </x:c>
    </x:row>
    <x:row r="850">
      <x:c r="B850" s="7" t="str">
        <x:v>TRO-B-12-S1-O2-R2</x:v>
      </x:c>
      <x:c r="C850" s="7" t="str">
        <x:v>BLD-B</x:v>
      </x:c>
      <x:c r="D850" s="7" t="str">
        <x:v>MF-12</x:v>
      </x:c>
      <x:c r="E850" s="7" t="str">
        <x:v>STD-12-1</x:v>
      </x:c>
      <x:c r="F850" s="7" t="str">
        <x:v>OP-2</x:v>
      </x:c>
      <x:c r="G850" s="7" t="n">
        <x:v>2</x:v>
      </x:c>
      <x:c r="H850" s="7" t="str"/>
      <x:c r="I850" s="7" t="str"/>
      <x:c r="J850" s="7" t="str">
        <x:f>IF(OR(H850="",I850=""),"",I850-H850)</x:f>
      </x:c>
      <x:c r="K850" s="7" t="str"/>
      <x:c r="L850" s="7" t="str"/>
      <x:c r="M850" s="7" t="str"/>
      <x:c r="N850" s="7" t="str">
        <x:f>IF(M850="","OPEN",IF(OR(NOT(ISNUMBER(H850)),NOT(ISNUMBER(I850)),K850="",L850=""),"FAIL","PASS"))</x:f>
        <x:v>OPEN</x:v>
      </x:c>
    </x:row>
    <x:row r="851">
      <x:c r="B851" s="7" t="str">
        <x:v>TRO-B-12-S2-O1-R1</x:v>
      </x:c>
      <x:c r="C851" s="7" t="str">
        <x:v>BLD-B</x:v>
      </x:c>
      <x:c r="D851" s="7" t="str">
        <x:v>MF-12</x:v>
      </x:c>
      <x:c r="E851" s="7" t="str">
        <x:v>STD-12-2</x:v>
      </x:c>
      <x:c r="F851" s="7" t="str">
        <x:v>OP-1</x:v>
      </x:c>
      <x:c r="G851" s="7" t="n">
        <x:v>1</x:v>
      </x:c>
      <x:c r="H851" s="7" t="str"/>
      <x:c r="I851" s="7" t="str"/>
      <x:c r="J851" s="7" t="str">
        <x:f>IF(OR(H851="",I851=""),"",I851-H851)</x:f>
      </x:c>
      <x:c r="K851" s="7" t="str"/>
      <x:c r="L851" s="7" t="str"/>
      <x:c r="M851" s="7" t="str"/>
      <x:c r="N851" s="7" t="str">
        <x:f>IF(M851="","OPEN",IF(OR(NOT(ISNUMBER(H851)),NOT(ISNUMBER(I851)),K851="",L851=""),"FAIL","PASS"))</x:f>
        <x:v>OPEN</x:v>
      </x:c>
    </x:row>
    <x:row r="852">
      <x:c r="B852" s="7" t="str">
        <x:v>TRO-B-12-S2-O1-R2</x:v>
      </x:c>
      <x:c r="C852" s="7" t="str">
        <x:v>BLD-B</x:v>
      </x:c>
      <x:c r="D852" s="7" t="str">
        <x:v>MF-12</x:v>
      </x:c>
      <x:c r="E852" s="7" t="str">
        <x:v>STD-12-2</x:v>
      </x:c>
      <x:c r="F852" s="7" t="str">
        <x:v>OP-1</x:v>
      </x:c>
      <x:c r="G852" s="7" t="n">
        <x:v>2</x:v>
      </x:c>
      <x:c r="H852" s="7" t="str"/>
      <x:c r="I852" s="7" t="str"/>
      <x:c r="J852" s="7" t="str">
        <x:f>IF(OR(H852="",I852=""),"",I852-H852)</x:f>
      </x:c>
      <x:c r="K852" s="7" t="str"/>
      <x:c r="L852" s="7" t="str"/>
      <x:c r="M852" s="7" t="str"/>
      <x:c r="N852" s="7" t="str">
        <x:f>IF(M852="","OPEN",IF(OR(NOT(ISNUMBER(H852)),NOT(ISNUMBER(I852)),K852="",L852=""),"FAIL","PASS"))</x:f>
        <x:v>OPEN</x:v>
      </x:c>
    </x:row>
    <x:row r="853">
      <x:c r="B853" s="7" t="str">
        <x:v>TRO-B-12-S2-O2-R1</x:v>
      </x:c>
      <x:c r="C853" s="7" t="str">
        <x:v>BLD-B</x:v>
      </x:c>
      <x:c r="D853" s="7" t="str">
        <x:v>MF-12</x:v>
      </x:c>
      <x:c r="E853" s="7" t="str">
        <x:v>STD-12-2</x:v>
      </x:c>
      <x:c r="F853" s="7" t="str">
        <x:v>OP-2</x:v>
      </x:c>
      <x:c r="G853" s="7" t="n">
        <x:v>1</x:v>
      </x:c>
      <x:c r="H853" s="7" t="str"/>
      <x:c r="I853" s="7" t="str"/>
      <x:c r="J853" s="7" t="str">
        <x:f>IF(OR(H853="",I853=""),"",I853-H853)</x:f>
      </x:c>
      <x:c r="K853" s="7" t="str"/>
      <x:c r="L853" s="7" t="str"/>
      <x:c r="M853" s="7" t="str"/>
      <x:c r="N853" s="7" t="str">
        <x:f>IF(M853="","OPEN",IF(OR(NOT(ISNUMBER(H853)),NOT(ISNUMBER(I853)),K853="",L853=""),"FAIL","PASS"))</x:f>
        <x:v>OPEN</x:v>
      </x:c>
    </x:row>
    <x:row r="854">
      <x:c r="B854" s="7" t="str">
        <x:v>TRO-B-12-S2-O2-R2</x:v>
      </x:c>
      <x:c r="C854" s="7" t="str">
        <x:v>BLD-B</x:v>
      </x:c>
      <x:c r="D854" s="7" t="str">
        <x:v>MF-12</x:v>
      </x:c>
      <x:c r="E854" s="7" t="str">
        <x:v>STD-12-2</x:v>
      </x:c>
      <x:c r="F854" s="7" t="str">
        <x:v>OP-2</x:v>
      </x:c>
      <x:c r="G854" s="7" t="n">
        <x:v>2</x:v>
      </x:c>
      <x:c r="H854" s="7" t="str"/>
      <x:c r="I854" s="7" t="str"/>
      <x:c r="J854" s="7" t="str">
        <x:f>IF(OR(H854="",I854=""),"",I854-H854)</x:f>
      </x:c>
      <x:c r="K854" s="7" t="str"/>
      <x:c r="L854" s="7" t="str"/>
      <x:c r="M854" s="7" t="str"/>
      <x:c r="N854" s="7" t="str">
        <x:f>IF(M854="","OPEN",IF(OR(NOT(ISNUMBER(H854)),NOT(ISNUMBER(I854)),K854="",L854=""),"FAIL","PASS"))</x:f>
        <x:v>OPEN</x:v>
      </x:c>
    </x:row>
    <x:row r="855">
      <x:c r="B855" s="7" t="str">
        <x:v>TRO-B-12-S3-O1-R1</x:v>
      </x:c>
      <x:c r="C855" s="7" t="str">
        <x:v>BLD-B</x:v>
      </x:c>
      <x:c r="D855" s="7" t="str">
        <x:v>MF-12</x:v>
      </x:c>
      <x:c r="E855" s="7" t="str">
        <x:v>STD-12-3</x:v>
      </x:c>
      <x:c r="F855" s="7" t="str">
        <x:v>OP-1</x:v>
      </x:c>
      <x:c r="G855" s="7" t="n">
        <x:v>1</x:v>
      </x:c>
      <x:c r="H855" s="7" t="str"/>
      <x:c r="I855" s="7" t="str"/>
      <x:c r="J855" s="7" t="str">
        <x:f>IF(OR(H855="",I855=""),"",I855-H855)</x:f>
      </x:c>
      <x:c r="K855" s="7" t="str"/>
      <x:c r="L855" s="7" t="str"/>
      <x:c r="M855" s="7" t="str"/>
      <x:c r="N855" s="7" t="str">
        <x:f>IF(M855="","OPEN",IF(OR(NOT(ISNUMBER(H855)),NOT(ISNUMBER(I855)),K855="",L855=""),"FAIL","PASS"))</x:f>
        <x:v>OPEN</x:v>
      </x:c>
    </x:row>
    <x:row r="856">
      <x:c r="B856" s="7" t="str">
        <x:v>TRO-B-12-S3-O1-R2</x:v>
      </x:c>
      <x:c r="C856" s="7" t="str">
        <x:v>BLD-B</x:v>
      </x:c>
      <x:c r="D856" s="7" t="str">
        <x:v>MF-12</x:v>
      </x:c>
      <x:c r="E856" s="7" t="str">
        <x:v>STD-12-3</x:v>
      </x:c>
      <x:c r="F856" s="7" t="str">
        <x:v>OP-1</x:v>
      </x:c>
      <x:c r="G856" s="7" t="n">
        <x:v>2</x:v>
      </x:c>
      <x:c r="H856" s="7" t="str"/>
      <x:c r="I856" s="7" t="str"/>
      <x:c r="J856" s="7" t="str">
        <x:f>IF(OR(H856="",I856=""),"",I856-H856)</x:f>
      </x:c>
      <x:c r="K856" s="7" t="str"/>
      <x:c r="L856" s="7" t="str"/>
      <x:c r="M856" s="7" t="str"/>
      <x:c r="N856" s="7" t="str">
        <x:f>IF(M856="","OPEN",IF(OR(NOT(ISNUMBER(H856)),NOT(ISNUMBER(I856)),K856="",L856=""),"FAIL","PASS"))</x:f>
        <x:v>OPEN</x:v>
      </x:c>
    </x:row>
    <x:row r="857">
      <x:c r="B857" s="7" t="str">
        <x:v>TRO-B-12-S3-O2-R1</x:v>
      </x:c>
      <x:c r="C857" s="7" t="str">
        <x:v>BLD-B</x:v>
      </x:c>
      <x:c r="D857" s="7" t="str">
        <x:v>MF-12</x:v>
      </x:c>
      <x:c r="E857" s="7" t="str">
        <x:v>STD-12-3</x:v>
      </x:c>
      <x:c r="F857" s="7" t="str">
        <x:v>OP-2</x:v>
      </x:c>
      <x:c r="G857" s="7" t="n">
        <x:v>1</x:v>
      </x:c>
      <x:c r="H857" s="7" t="str"/>
      <x:c r="I857" s="7" t="str"/>
      <x:c r="J857" s="7" t="str">
        <x:f>IF(OR(H857="",I857=""),"",I857-H857)</x:f>
      </x:c>
      <x:c r="K857" s="7" t="str"/>
      <x:c r="L857" s="7" t="str"/>
      <x:c r="M857" s="7" t="str"/>
      <x:c r="N857" s="7" t="str">
        <x:f>IF(M857="","OPEN",IF(OR(NOT(ISNUMBER(H857)),NOT(ISNUMBER(I857)),K857="",L857=""),"FAIL","PASS"))</x:f>
        <x:v>OPEN</x:v>
      </x:c>
    </x:row>
    <x:row r="858">
      <x:c r="B858" s="7" t="str">
        <x:v>TRO-B-12-S3-O2-R2</x:v>
      </x:c>
      <x:c r="C858" s="7" t="str">
        <x:v>BLD-B</x:v>
      </x:c>
      <x:c r="D858" s="7" t="str">
        <x:v>MF-12</x:v>
      </x:c>
      <x:c r="E858" s="7" t="str">
        <x:v>STD-12-3</x:v>
      </x:c>
      <x:c r="F858" s="7" t="str">
        <x:v>OP-2</x:v>
      </x:c>
      <x:c r="G858" s="7" t="n">
        <x:v>2</x:v>
      </x:c>
      <x:c r="H858" s="7" t="str"/>
      <x:c r="I858" s="7" t="str"/>
      <x:c r="J858" s="7" t="str">
        <x:f>IF(OR(H858="",I858=""),"",I858-H858)</x:f>
      </x:c>
      <x:c r="K858" s="7" t="str"/>
      <x:c r="L858" s="7" t="str"/>
      <x:c r="M858" s="7" t="str"/>
      <x:c r="N858" s="7" t="str">
        <x:f>IF(M858="","OPEN",IF(OR(NOT(ISNUMBER(H858)),NOT(ISNUMBER(I858)),K858="",L858=""),"FAIL","PASS"))</x:f>
        <x:v>OPEN</x:v>
      </x:c>
    </x:row>
    <x:row r="859">
      <x:c r="B859" s="7" t="str">
        <x:v>TRO-B-12-S4-O1-R1</x:v>
      </x:c>
      <x:c r="C859" s="7" t="str">
        <x:v>BLD-B</x:v>
      </x:c>
      <x:c r="D859" s="7" t="str">
        <x:v>MF-12</x:v>
      </x:c>
      <x:c r="E859" s="7" t="str">
        <x:v>STD-12-4</x:v>
      </x:c>
      <x:c r="F859" s="7" t="str">
        <x:v>OP-1</x:v>
      </x:c>
      <x:c r="G859" s="7" t="n">
        <x:v>1</x:v>
      </x:c>
      <x:c r="H859" s="7" t="str"/>
      <x:c r="I859" s="7" t="str"/>
      <x:c r="J859" s="7" t="str">
        <x:f>IF(OR(H859="",I859=""),"",I859-H859)</x:f>
      </x:c>
      <x:c r="K859" s="7" t="str"/>
      <x:c r="L859" s="7" t="str"/>
      <x:c r="M859" s="7" t="str"/>
      <x:c r="N859" s="7" t="str">
        <x:f>IF(M859="","OPEN",IF(OR(NOT(ISNUMBER(H859)),NOT(ISNUMBER(I859)),K859="",L859=""),"FAIL","PASS"))</x:f>
        <x:v>OPEN</x:v>
      </x:c>
    </x:row>
    <x:row r="860">
      <x:c r="B860" s="7" t="str">
        <x:v>TRO-B-12-S4-O1-R2</x:v>
      </x:c>
      <x:c r="C860" s="7" t="str">
        <x:v>BLD-B</x:v>
      </x:c>
      <x:c r="D860" s="7" t="str">
        <x:v>MF-12</x:v>
      </x:c>
      <x:c r="E860" s="7" t="str">
        <x:v>STD-12-4</x:v>
      </x:c>
      <x:c r="F860" s="7" t="str">
        <x:v>OP-1</x:v>
      </x:c>
      <x:c r="G860" s="7" t="n">
        <x:v>2</x:v>
      </x:c>
      <x:c r="H860" s="7" t="str"/>
      <x:c r="I860" s="7" t="str"/>
      <x:c r="J860" s="7" t="str">
        <x:f>IF(OR(H860="",I860=""),"",I860-H860)</x:f>
      </x:c>
      <x:c r="K860" s="7" t="str"/>
      <x:c r="L860" s="7" t="str"/>
      <x:c r="M860" s="7" t="str"/>
      <x:c r="N860" s="7" t="str">
        <x:f>IF(M860="","OPEN",IF(OR(NOT(ISNUMBER(H860)),NOT(ISNUMBER(I860)),K860="",L860=""),"FAIL","PASS"))</x:f>
        <x:v>OPEN</x:v>
      </x:c>
    </x:row>
    <x:row r="861">
      <x:c r="B861" s="7" t="str">
        <x:v>TRO-B-12-S4-O2-R1</x:v>
      </x:c>
      <x:c r="C861" s="7" t="str">
        <x:v>BLD-B</x:v>
      </x:c>
      <x:c r="D861" s="7" t="str">
        <x:v>MF-12</x:v>
      </x:c>
      <x:c r="E861" s="7" t="str">
        <x:v>STD-12-4</x:v>
      </x:c>
      <x:c r="F861" s="7" t="str">
        <x:v>OP-2</x:v>
      </x:c>
      <x:c r="G861" s="7" t="n">
        <x:v>1</x:v>
      </x:c>
      <x:c r="H861" s="7" t="str"/>
      <x:c r="I861" s="7" t="str"/>
      <x:c r="J861" s="7" t="str">
        <x:f>IF(OR(H861="",I861=""),"",I861-H861)</x:f>
      </x:c>
      <x:c r="K861" s="7" t="str"/>
      <x:c r="L861" s="7" t="str"/>
      <x:c r="M861" s="7" t="str"/>
      <x:c r="N861" s="7" t="str">
        <x:f>IF(M861="","OPEN",IF(OR(NOT(ISNUMBER(H861)),NOT(ISNUMBER(I861)),K861="",L861=""),"FAIL","PASS"))</x:f>
        <x:v>OPEN</x:v>
      </x:c>
    </x:row>
    <x:row r="862">
      <x:c r="B862" s="7" t="str">
        <x:v>TRO-B-12-S4-O2-R2</x:v>
      </x:c>
      <x:c r="C862" s="7" t="str">
        <x:v>BLD-B</x:v>
      </x:c>
      <x:c r="D862" s="7" t="str">
        <x:v>MF-12</x:v>
      </x:c>
      <x:c r="E862" s="7" t="str">
        <x:v>STD-12-4</x:v>
      </x:c>
      <x:c r="F862" s="7" t="str">
        <x:v>OP-2</x:v>
      </x:c>
      <x:c r="G862" s="7" t="n">
        <x:v>2</x:v>
      </x:c>
      <x:c r="H862" s="7" t="str"/>
      <x:c r="I862" s="7" t="str"/>
      <x:c r="J862" s="7" t="str">
        <x:f>IF(OR(H862="",I862=""),"",I862-H862)</x:f>
      </x:c>
      <x:c r="K862" s="7" t="str"/>
      <x:c r="L862" s="7" t="str"/>
      <x:c r="M862" s="7" t="str"/>
      <x:c r="N862" s="7" t="str">
        <x:f>IF(M862="","OPEN",IF(OR(NOT(ISNUMBER(H862)),NOT(ISNUMBER(I862)),K862="",L862=""),"FAIL","PASS"))</x:f>
        <x:v>OPEN</x:v>
      </x:c>
    </x:row>
    <x:row r="863">
      <x:c r="B863" s="7" t="str">
        <x:v>TRO-B-12-S5-O1-R1</x:v>
      </x:c>
      <x:c r="C863" s="7" t="str">
        <x:v>BLD-B</x:v>
      </x:c>
      <x:c r="D863" s="7" t="str">
        <x:v>MF-12</x:v>
      </x:c>
      <x:c r="E863" s="7" t="str">
        <x:v>STD-12-5</x:v>
      </x:c>
      <x:c r="F863" s="7" t="str">
        <x:v>OP-1</x:v>
      </x:c>
      <x:c r="G863" s="7" t="n">
        <x:v>1</x:v>
      </x:c>
      <x:c r="H863" s="7" t="str"/>
      <x:c r="I863" s="7" t="str"/>
      <x:c r="J863" s="7" t="str">
        <x:f>IF(OR(H863="",I863=""),"",I863-H863)</x:f>
      </x:c>
      <x:c r="K863" s="7" t="str"/>
      <x:c r="L863" s="7" t="str"/>
      <x:c r="M863" s="7" t="str"/>
      <x:c r="N863" s="7" t="str">
        <x:f>IF(M863="","OPEN",IF(OR(NOT(ISNUMBER(H863)),NOT(ISNUMBER(I863)),K863="",L863=""),"FAIL","PASS"))</x:f>
        <x:v>OPEN</x:v>
      </x:c>
    </x:row>
    <x:row r="864">
      <x:c r="B864" s="7" t="str">
        <x:v>TRO-B-12-S5-O1-R2</x:v>
      </x:c>
      <x:c r="C864" s="7" t="str">
        <x:v>BLD-B</x:v>
      </x:c>
      <x:c r="D864" s="7" t="str">
        <x:v>MF-12</x:v>
      </x:c>
      <x:c r="E864" s="7" t="str">
        <x:v>STD-12-5</x:v>
      </x:c>
      <x:c r="F864" s="7" t="str">
        <x:v>OP-1</x:v>
      </x:c>
      <x:c r="G864" s="7" t="n">
        <x:v>2</x:v>
      </x:c>
      <x:c r="H864" s="7" t="str"/>
      <x:c r="I864" s="7" t="str"/>
      <x:c r="J864" s="7" t="str">
        <x:f>IF(OR(H864="",I864=""),"",I864-H864)</x:f>
      </x:c>
      <x:c r="K864" s="7" t="str"/>
      <x:c r="L864" s="7" t="str"/>
      <x:c r="M864" s="7" t="str"/>
      <x:c r="N864" s="7" t="str">
        <x:f>IF(M864="","OPEN",IF(OR(NOT(ISNUMBER(H864)),NOT(ISNUMBER(I864)),K864="",L864=""),"FAIL","PASS"))</x:f>
        <x:v>OPEN</x:v>
      </x:c>
    </x:row>
    <x:row r="865">
      <x:c r="B865" s="7" t="str">
        <x:v>TRO-B-12-S5-O2-R1</x:v>
      </x:c>
      <x:c r="C865" s="7" t="str">
        <x:v>BLD-B</x:v>
      </x:c>
      <x:c r="D865" s="7" t="str">
        <x:v>MF-12</x:v>
      </x:c>
      <x:c r="E865" s="7" t="str">
        <x:v>STD-12-5</x:v>
      </x:c>
      <x:c r="F865" s="7" t="str">
        <x:v>OP-2</x:v>
      </x:c>
      <x:c r="G865" s="7" t="n">
        <x:v>1</x:v>
      </x:c>
      <x:c r="H865" s="7" t="str"/>
      <x:c r="I865" s="7" t="str"/>
      <x:c r="J865" s="7" t="str">
        <x:f>IF(OR(H865="",I865=""),"",I865-H865)</x:f>
      </x:c>
      <x:c r="K865" s="7" t="str"/>
      <x:c r="L865" s="7" t="str"/>
      <x:c r="M865" s="7" t="str"/>
      <x:c r="N865" s="7" t="str">
        <x:f>IF(M865="","OPEN",IF(OR(NOT(ISNUMBER(H865)),NOT(ISNUMBER(I865)),K865="",L865=""),"FAIL","PASS"))</x:f>
        <x:v>OPEN</x:v>
      </x:c>
    </x:row>
    <x:row r="866">
      <x:c r="B866" s="7" t="str">
        <x:v>TRO-B-12-S5-O2-R2</x:v>
      </x:c>
      <x:c r="C866" s="7" t="str">
        <x:v>BLD-B</x:v>
      </x:c>
      <x:c r="D866" s="7" t="str">
        <x:v>MF-12</x:v>
      </x:c>
      <x:c r="E866" s="7" t="str">
        <x:v>STD-12-5</x:v>
      </x:c>
      <x:c r="F866" s="7" t="str">
        <x:v>OP-2</x:v>
      </x:c>
      <x:c r="G866" s="7" t="n">
        <x:v>2</x:v>
      </x:c>
      <x:c r="H866" s="7" t="str"/>
      <x:c r="I866" s="7" t="str"/>
      <x:c r="J866" s="7" t="str">
        <x:f>IF(OR(H866="",I866=""),"",I866-H866)</x:f>
      </x:c>
      <x:c r="K866" s="7" t="str"/>
      <x:c r="L866" s="7" t="str"/>
      <x:c r="M866" s="7" t="str"/>
      <x:c r="N866" s="7" t="str">
        <x:f>IF(M866="","OPEN",IF(OR(NOT(ISNUMBER(H866)),NOT(ISNUMBER(I866)),K866="",L866=""),"FAIL","PASS"))</x:f>
        <x:v>OPEN</x:v>
      </x:c>
    </x:row>
    <x:row r="867">
      <x:c r="B867" s="7" t="str">
        <x:v>TRO-B-12-S6-O1-R1</x:v>
      </x:c>
      <x:c r="C867" s="7" t="str">
        <x:v>BLD-B</x:v>
      </x:c>
      <x:c r="D867" s="7" t="str">
        <x:v>MF-12</x:v>
      </x:c>
      <x:c r="E867" s="7" t="str">
        <x:v>STD-12-6</x:v>
      </x:c>
      <x:c r="F867" s="7" t="str">
        <x:v>OP-1</x:v>
      </x:c>
      <x:c r="G867" s="7" t="n">
        <x:v>1</x:v>
      </x:c>
      <x:c r="H867" s="7" t="str"/>
      <x:c r="I867" s="7" t="str"/>
      <x:c r="J867" s="7" t="str">
        <x:f>IF(OR(H867="",I867=""),"",I867-H867)</x:f>
      </x:c>
      <x:c r="K867" s="7" t="str"/>
      <x:c r="L867" s="7" t="str"/>
      <x:c r="M867" s="7" t="str"/>
      <x:c r="N867" s="7" t="str">
        <x:f>IF(M867="","OPEN",IF(OR(NOT(ISNUMBER(H867)),NOT(ISNUMBER(I867)),K867="",L867=""),"FAIL","PASS"))</x:f>
        <x:v>OPEN</x:v>
      </x:c>
    </x:row>
    <x:row r="868">
      <x:c r="B868" s="7" t="str">
        <x:v>TRO-B-12-S6-O1-R2</x:v>
      </x:c>
      <x:c r="C868" s="7" t="str">
        <x:v>BLD-B</x:v>
      </x:c>
      <x:c r="D868" s="7" t="str">
        <x:v>MF-12</x:v>
      </x:c>
      <x:c r="E868" s="7" t="str">
        <x:v>STD-12-6</x:v>
      </x:c>
      <x:c r="F868" s="7" t="str">
        <x:v>OP-1</x:v>
      </x:c>
      <x:c r="G868" s="7" t="n">
        <x:v>2</x:v>
      </x:c>
      <x:c r="H868" s="7" t="str"/>
      <x:c r="I868" s="7" t="str"/>
      <x:c r="J868" s="7" t="str">
        <x:f>IF(OR(H868="",I868=""),"",I868-H868)</x:f>
      </x:c>
      <x:c r="K868" s="7" t="str"/>
      <x:c r="L868" s="7" t="str"/>
      <x:c r="M868" s="7" t="str"/>
      <x:c r="N868" s="7" t="str">
        <x:f>IF(M868="","OPEN",IF(OR(NOT(ISNUMBER(H868)),NOT(ISNUMBER(I868)),K868="",L868=""),"FAIL","PASS"))</x:f>
        <x:v>OPEN</x:v>
      </x:c>
    </x:row>
    <x:row r="869">
      <x:c r="B869" s="7" t="str">
        <x:v>TRO-B-12-S6-O2-R1</x:v>
      </x:c>
      <x:c r="C869" s="7" t="str">
        <x:v>BLD-B</x:v>
      </x:c>
      <x:c r="D869" s="7" t="str">
        <x:v>MF-12</x:v>
      </x:c>
      <x:c r="E869" s="7" t="str">
        <x:v>STD-12-6</x:v>
      </x:c>
      <x:c r="F869" s="7" t="str">
        <x:v>OP-2</x:v>
      </x:c>
      <x:c r="G869" s="7" t="n">
        <x:v>1</x:v>
      </x:c>
      <x:c r="H869" s="7" t="str"/>
      <x:c r="I869" s="7" t="str"/>
      <x:c r="J869" s="7" t="str">
        <x:f>IF(OR(H869="",I869=""),"",I869-H869)</x:f>
      </x:c>
      <x:c r="K869" s="7" t="str"/>
      <x:c r="L869" s="7" t="str"/>
      <x:c r="M869" s="7" t="str"/>
      <x:c r="N869" s="7" t="str">
        <x:f>IF(M869="","OPEN",IF(OR(NOT(ISNUMBER(H869)),NOT(ISNUMBER(I869)),K869="",L869=""),"FAIL","PASS"))</x:f>
        <x:v>OPEN</x:v>
      </x:c>
    </x:row>
    <x:row r="870">
      <x:c r="B870" s="7" t="str">
        <x:v>TRO-B-12-S6-O2-R2</x:v>
      </x:c>
      <x:c r="C870" s="7" t="str">
        <x:v>BLD-B</x:v>
      </x:c>
      <x:c r="D870" s="7" t="str">
        <x:v>MF-12</x:v>
      </x:c>
      <x:c r="E870" s="7" t="str">
        <x:v>STD-12-6</x:v>
      </x:c>
      <x:c r="F870" s="7" t="str">
        <x:v>OP-2</x:v>
      </x:c>
      <x:c r="G870" s="7" t="n">
        <x:v>2</x:v>
      </x:c>
      <x:c r="H870" s="7" t="str"/>
      <x:c r="I870" s="7" t="str"/>
      <x:c r="J870" s="7" t="str">
        <x:f>IF(OR(H870="",I870=""),"",I870-H870)</x:f>
      </x:c>
      <x:c r="K870" s="7" t="str"/>
      <x:c r="L870" s="7" t="str"/>
      <x:c r="M870" s="7" t="str"/>
      <x:c r="N870" s="7" t="str">
        <x:f>IF(M870="","OPEN",IF(OR(NOT(ISNUMBER(H870)),NOT(ISNUMBER(I870)),K870="",L870=""),"FAIL","PASS"))</x:f>
        <x:v>OPEN</x:v>
      </x:c>
    </x:row>
    <x:row r="871">
      <x:c r="B871" s="7" t="str">
        <x:v>TRO-B-13-S1-O1-R1</x:v>
      </x:c>
      <x:c r="C871" s="7" t="str">
        <x:v>BLD-B</x:v>
      </x:c>
      <x:c r="D871" s="7" t="str">
        <x:v>MF-13</x:v>
      </x:c>
      <x:c r="E871" s="7" t="str">
        <x:v>STD-13-1</x:v>
      </x:c>
      <x:c r="F871" s="7" t="str">
        <x:v>OP-1</x:v>
      </x:c>
      <x:c r="G871" s="7" t="n">
        <x:v>1</x:v>
      </x:c>
      <x:c r="H871" s="7" t="str"/>
      <x:c r="I871" s="7" t="str"/>
      <x:c r="J871" s="7" t="str">
        <x:f>IF(OR(H871="",I871=""),"",I871-H871)</x:f>
      </x:c>
      <x:c r="K871" s="7" t="str"/>
      <x:c r="L871" s="7" t="str"/>
      <x:c r="M871" s="7" t="str"/>
      <x:c r="N871" s="7" t="str">
        <x:f>IF(M871="","OPEN",IF(OR(NOT(ISNUMBER(H871)),NOT(ISNUMBER(I871)),K871="",L871=""),"FAIL","PASS"))</x:f>
        <x:v>OPEN</x:v>
      </x:c>
    </x:row>
    <x:row r="872">
      <x:c r="B872" s="7" t="str">
        <x:v>TRO-B-13-S1-O1-R2</x:v>
      </x:c>
      <x:c r="C872" s="7" t="str">
        <x:v>BLD-B</x:v>
      </x:c>
      <x:c r="D872" s="7" t="str">
        <x:v>MF-13</x:v>
      </x:c>
      <x:c r="E872" s="7" t="str">
        <x:v>STD-13-1</x:v>
      </x:c>
      <x:c r="F872" s="7" t="str">
        <x:v>OP-1</x:v>
      </x:c>
      <x:c r="G872" s="7" t="n">
        <x:v>2</x:v>
      </x:c>
      <x:c r="H872" s="7" t="str"/>
      <x:c r="I872" s="7" t="str"/>
      <x:c r="J872" s="7" t="str">
        <x:f>IF(OR(H872="",I872=""),"",I872-H872)</x:f>
      </x:c>
      <x:c r="K872" s="7" t="str"/>
      <x:c r="L872" s="7" t="str"/>
      <x:c r="M872" s="7" t="str"/>
      <x:c r="N872" s="7" t="str">
        <x:f>IF(M872="","OPEN",IF(OR(NOT(ISNUMBER(H872)),NOT(ISNUMBER(I872)),K872="",L872=""),"FAIL","PASS"))</x:f>
        <x:v>OPEN</x:v>
      </x:c>
    </x:row>
    <x:row r="873">
      <x:c r="B873" s="7" t="str">
        <x:v>TRO-B-13-S1-O2-R1</x:v>
      </x:c>
      <x:c r="C873" s="7" t="str">
        <x:v>BLD-B</x:v>
      </x:c>
      <x:c r="D873" s="7" t="str">
        <x:v>MF-13</x:v>
      </x:c>
      <x:c r="E873" s="7" t="str">
        <x:v>STD-13-1</x:v>
      </x:c>
      <x:c r="F873" s="7" t="str">
        <x:v>OP-2</x:v>
      </x:c>
      <x:c r="G873" s="7" t="n">
        <x:v>1</x:v>
      </x:c>
      <x:c r="H873" s="7" t="str"/>
      <x:c r="I873" s="7" t="str"/>
      <x:c r="J873" s="7" t="str">
        <x:f>IF(OR(H873="",I873=""),"",I873-H873)</x:f>
      </x:c>
      <x:c r="K873" s="7" t="str"/>
      <x:c r="L873" s="7" t="str"/>
      <x:c r="M873" s="7" t="str"/>
      <x:c r="N873" s="7" t="str">
        <x:f>IF(M873="","OPEN",IF(OR(NOT(ISNUMBER(H873)),NOT(ISNUMBER(I873)),K873="",L873=""),"FAIL","PASS"))</x:f>
        <x:v>OPEN</x:v>
      </x:c>
    </x:row>
    <x:row r="874">
      <x:c r="B874" s="7" t="str">
        <x:v>TRO-B-13-S1-O2-R2</x:v>
      </x:c>
      <x:c r="C874" s="7" t="str">
        <x:v>BLD-B</x:v>
      </x:c>
      <x:c r="D874" s="7" t="str">
        <x:v>MF-13</x:v>
      </x:c>
      <x:c r="E874" s="7" t="str">
        <x:v>STD-13-1</x:v>
      </x:c>
      <x:c r="F874" s="7" t="str">
        <x:v>OP-2</x:v>
      </x:c>
      <x:c r="G874" s="7" t="n">
        <x:v>2</x:v>
      </x:c>
      <x:c r="H874" s="7" t="str"/>
      <x:c r="I874" s="7" t="str"/>
      <x:c r="J874" s="7" t="str">
        <x:f>IF(OR(H874="",I874=""),"",I874-H874)</x:f>
      </x:c>
      <x:c r="K874" s="7" t="str"/>
      <x:c r="L874" s="7" t="str"/>
      <x:c r="M874" s="7" t="str"/>
      <x:c r="N874" s="7" t="str">
        <x:f>IF(M874="","OPEN",IF(OR(NOT(ISNUMBER(H874)),NOT(ISNUMBER(I874)),K874="",L874=""),"FAIL","PASS"))</x:f>
        <x:v>OPEN</x:v>
      </x:c>
    </x:row>
    <x:row r="875">
      <x:c r="B875" s="7" t="str">
        <x:v>TRO-B-13-S2-O1-R1</x:v>
      </x:c>
      <x:c r="C875" s="7" t="str">
        <x:v>BLD-B</x:v>
      </x:c>
      <x:c r="D875" s="7" t="str">
        <x:v>MF-13</x:v>
      </x:c>
      <x:c r="E875" s="7" t="str">
        <x:v>STD-13-2</x:v>
      </x:c>
      <x:c r="F875" s="7" t="str">
        <x:v>OP-1</x:v>
      </x:c>
      <x:c r="G875" s="7" t="n">
        <x:v>1</x:v>
      </x:c>
      <x:c r="H875" s="7" t="str"/>
      <x:c r="I875" s="7" t="str"/>
      <x:c r="J875" s="7" t="str">
        <x:f>IF(OR(H875="",I875=""),"",I875-H875)</x:f>
      </x:c>
      <x:c r="K875" s="7" t="str"/>
      <x:c r="L875" s="7" t="str"/>
      <x:c r="M875" s="7" t="str"/>
      <x:c r="N875" s="7" t="str">
        <x:f>IF(M875="","OPEN",IF(OR(NOT(ISNUMBER(H875)),NOT(ISNUMBER(I875)),K875="",L875=""),"FAIL","PASS"))</x:f>
        <x:v>OPEN</x:v>
      </x:c>
    </x:row>
    <x:row r="876">
      <x:c r="B876" s="7" t="str">
        <x:v>TRO-B-13-S2-O1-R2</x:v>
      </x:c>
      <x:c r="C876" s="7" t="str">
        <x:v>BLD-B</x:v>
      </x:c>
      <x:c r="D876" s="7" t="str">
        <x:v>MF-13</x:v>
      </x:c>
      <x:c r="E876" s="7" t="str">
        <x:v>STD-13-2</x:v>
      </x:c>
      <x:c r="F876" s="7" t="str">
        <x:v>OP-1</x:v>
      </x:c>
      <x:c r="G876" s="7" t="n">
        <x:v>2</x:v>
      </x:c>
      <x:c r="H876" s="7" t="str"/>
      <x:c r="I876" s="7" t="str"/>
      <x:c r="J876" s="7" t="str">
        <x:f>IF(OR(H876="",I876=""),"",I876-H876)</x:f>
      </x:c>
      <x:c r="K876" s="7" t="str"/>
      <x:c r="L876" s="7" t="str"/>
      <x:c r="M876" s="7" t="str"/>
      <x:c r="N876" s="7" t="str">
        <x:f>IF(M876="","OPEN",IF(OR(NOT(ISNUMBER(H876)),NOT(ISNUMBER(I876)),K876="",L876=""),"FAIL","PASS"))</x:f>
        <x:v>OPEN</x:v>
      </x:c>
    </x:row>
    <x:row r="877">
      <x:c r="B877" s="7" t="str">
        <x:v>TRO-B-13-S2-O2-R1</x:v>
      </x:c>
      <x:c r="C877" s="7" t="str">
        <x:v>BLD-B</x:v>
      </x:c>
      <x:c r="D877" s="7" t="str">
        <x:v>MF-13</x:v>
      </x:c>
      <x:c r="E877" s="7" t="str">
        <x:v>STD-13-2</x:v>
      </x:c>
      <x:c r="F877" s="7" t="str">
        <x:v>OP-2</x:v>
      </x:c>
      <x:c r="G877" s="7" t="n">
        <x:v>1</x:v>
      </x:c>
      <x:c r="H877" s="7" t="str"/>
      <x:c r="I877" s="7" t="str"/>
      <x:c r="J877" s="7" t="str">
        <x:f>IF(OR(H877="",I877=""),"",I877-H877)</x:f>
      </x:c>
      <x:c r="K877" s="7" t="str"/>
      <x:c r="L877" s="7" t="str"/>
      <x:c r="M877" s="7" t="str"/>
      <x:c r="N877" s="7" t="str">
        <x:f>IF(M877="","OPEN",IF(OR(NOT(ISNUMBER(H877)),NOT(ISNUMBER(I877)),K877="",L877=""),"FAIL","PASS"))</x:f>
        <x:v>OPEN</x:v>
      </x:c>
    </x:row>
    <x:row r="878">
      <x:c r="B878" s="7" t="str">
        <x:v>TRO-B-13-S2-O2-R2</x:v>
      </x:c>
      <x:c r="C878" s="7" t="str">
        <x:v>BLD-B</x:v>
      </x:c>
      <x:c r="D878" s="7" t="str">
        <x:v>MF-13</x:v>
      </x:c>
      <x:c r="E878" s="7" t="str">
        <x:v>STD-13-2</x:v>
      </x:c>
      <x:c r="F878" s="7" t="str">
        <x:v>OP-2</x:v>
      </x:c>
      <x:c r="G878" s="7" t="n">
        <x:v>2</x:v>
      </x:c>
      <x:c r="H878" s="7" t="str"/>
      <x:c r="I878" s="7" t="str"/>
      <x:c r="J878" s="7" t="str">
        <x:f>IF(OR(H878="",I878=""),"",I878-H878)</x:f>
      </x:c>
      <x:c r="K878" s="7" t="str"/>
      <x:c r="L878" s="7" t="str"/>
      <x:c r="M878" s="7" t="str"/>
      <x:c r="N878" s="7" t="str">
        <x:f>IF(M878="","OPEN",IF(OR(NOT(ISNUMBER(H878)),NOT(ISNUMBER(I878)),K878="",L878=""),"FAIL","PASS"))</x:f>
        <x:v>OPEN</x:v>
      </x:c>
    </x:row>
    <x:row r="879">
      <x:c r="B879" s="7" t="str">
        <x:v>TRO-B-13-S3-O1-R1</x:v>
      </x:c>
      <x:c r="C879" s="7" t="str">
        <x:v>BLD-B</x:v>
      </x:c>
      <x:c r="D879" s="7" t="str">
        <x:v>MF-13</x:v>
      </x:c>
      <x:c r="E879" s="7" t="str">
        <x:v>STD-13-3</x:v>
      </x:c>
      <x:c r="F879" s="7" t="str">
        <x:v>OP-1</x:v>
      </x:c>
      <x:c r="G879" s="7" t="n">
        <x:v>1</x:v>
      </x:c>
      <x:c r="H879" s="7" t="str"/>
      <x:c r="I879" s="7" t="str"/>
      <x:c r="J879" s="7" t="str">
        <x:f>IF(OR(H879="",I879=""),"",I879-H879)</x:f>
      </x:c>
      <x:c r="K879" s="7" t="str"/>
      <x:c r="L879" s="7" t="str"/>
      <x:c r="M879" s="7" t="str"/>
      <x:c r="N879" s="7" t="str">
        <x:f>IF(M879="","OPEN",IF(OR(NOT(ISNUMBER(H879)),NOT(ISNUMBER(I879)),K879="",L879=""),"FAIL","PASS"))</x:f>
        <x:v>OPEN</x:v>
      </x:c>
    </x:row>
    <x:row r="880">
      <x:c r="B880" s="7" t="str">
        <x:v>TRO-B-13-S3-O1-R2</x:v>
      </x:c>
      <x:c r="C880" s="7" t="str">
        <x:v>BLD-B</x:v>
      </x:c>
      <x:c r="D880" s="7" t="str">
        <x:v>MF-13</x:v>
      </x:c>
      <x:c r="E880" s="7" t="str">
        <x:v>STD-13-3</x:v>
      </x:c>
      <x:c r="F880" s="7" t="str">
        <x:v>OP-1</x:v>
      </x:c>
      <x:c r="G880" s="7" t="n">
        <x:v>2</x:v>
      </x:c>
      <x:c r="H880" s="7" t="str"/>
      <x:c r="I880" s="7" t="str"/>
      <x:c r="J880" s="7" t="str">
        <x:f>IF(OR(H880="",I880=""),"",I880-H880)</x:f>
      </x:c>
      <x:c r="K880" s="7" t="str"/>
      <x:c r="L880" s="7" t="str"/>
      <x:c r="M880" s="7" t="str"/>
      <x:c r="N880" s="7" t="str">
        <x:f>IF(M880="","OPEN",IF(OR(NOT(ISNUMBER(H880)),NOT(ISNUMBER(I880)),K880="",L880=""),"FAIL","PASS"))</x:f>
        <x:v>OPEN</x:v>
      </x:c>
    </x:row>
    <x:row r="881">
      <x:c r="B881" s="7" t="str">
        <x:v>TRO-B-13-S3-O2-R1</x:v>
      </x:c>
      <x:c r="C881" s="7" t="str">
        <x:v>BLD-B</x:v>
      </x:c>
      <x:c r="D881" s="7" t="str">
        <x:v>MF-13</x:v>
      </x:c>
      <x:c r="E881" s="7" t="str">
        <x:v>STD-13-3</x:v>
      </x:c>
      <x:c r="F881" s="7" t="str">
        <x:v>OP-2</x:v>
      </x:c>
      <x:c r="G881" s="7" t="n">
        <x:v>1</x:v>
      </x:c>
      <x:c r="H881" s="7" t="str"/>
      <x:c r="I881" s="7" t="str"/>
      <x:c r="J881" s="7" t="str">
        <x:f>IF(OR(H881="",I881=""),"",I881-H881)</x:f>
      </x:c>
      <x:c r="K881" s="7" t="str"/>
      <x:c r="L881" s="7" t="str"/>
      <x:c r="M881" s="7" t="str"/>
      <x:c r="N881" s="7" t="str">
        <x:f>IF(M881="","OPEN",IF(OR(NOT(ISNUMBER(H881)),NOT(ISNUMBER(I881)),K881="",L881=""),"FAIL","PASS"))</x:f>
        <x:v>OPEN</x:v>
      </x:c>
    </x:row>
    <x:row r="882">
      <x:c r="B882" s="7" t="str">
        <x:v>TRO-B-13-S3-O2-R2</x:v>
      </x:c>
      <x:c r="C882" s="7" t="str">
        <x:v>BLD-B</x:v>
      </x:c>
      <x:c r="D882" s="7" t="str">
        <x:v>MF-13</x:v>
      </x:c>
      <x:c r="E882" s="7" t="str">
        <x:v>STD-13-3</x:v>
      </x:c>
      <x:c r="F882" s="7" t="str">
        <x:v>OP-2</x:v>
      </x:c>
      <x:c r="G882" s="7" t="n">
        <x:v>2</x:v>
      </x:c>
      <x:c r="H882" s="7" t="str"/>
      <x:c r="I882" s="7" t="str"/>
      <x:c r="J882" s="7" t="str">
        <x:f>IF(OR(H882="",I882=""),"",I882-H882)</x:f>
      </x:c>
      <x:c r="K882" s="7" t="str"/>
      <x:c r="L882" s="7" t="str"/>
      <x:c r="M882" s="7" t="str"/>
      <x:c r="N882" s="7" t="str">
        <x:f>IF(M882="","OPEN",IF(OR(NOT(ISNUMBER(H882)),NOT(ISNUMBER(I882)),K882="",L882=""),"FAIL","PASS"))</x:f>
        <x:v>OPEN</x:v>
      </x:c>
    </x:row>
    <x:row r="883">
      <x:c r="B883" s="7" t="str">
        <x:v>TRO-B-13-S4-O1-R1</x:v>
      </x:c>
      <x:c r="C883" s="7" t="str">
        <x:v>BLD-B</x:v>
      </x:c>
      <x:c r="D883" s="7" t="str">
        <x:v>MF-13</x:v>
      </x:c>
      <x:c r="E883" s="7" t="str">
        <x:v>STD-13-4</x:v>
      </x:c>
      <x:c r="F883" s="7" t="str">
        <x:v>OP-1</x:v>
      </x:c>
      <x:c r="G883" s="7" t="n">
        <x:v>1</x:v>
      </x:c>
      <x:c r="H883" s="7" t="str"/>
      <x:c r="I883" s="7" t="str"/>
      <x:c r="J883" s="7" t="str">
        <x:f>IF(OR(H883="",I883=""),"",I883-H883)</x:f>
      </x:c>
      <x:c r="K883" s="7" t="str"/>
      <x:c r="L883" s="7" t="str"/>
      <x:c r="M883" s="7" t="str"/>
      <x:c r="N883" s="7" t="str">
        <x:f>IF(M883="","OPEN",IF(OR(NOT(ISNUMBER(H883)),NOT(ISNUMBER(I883)),K883="",L883=""),"FAIL","PASS"))</x:f>
        <x:v>OPEN</x:v>
      </x:c>
    </x:row>
    <x:row r="884">
      <x:c r="B884" s="7" t="str">
        <x:v>TRO-B-13-S4-O1-R2</x:v>
      </x:c>
      <x:c r="C884" s="7" t="str">
        <x:v>BLD-B</x:v>
      </x:c>
      <x:c r="D884" s="7" t="str">
        <x:v>MF-13</x:v>
      </x:c>
      <x:c r="E884" s="7" t="str">
        <x:v>STD-13-4</x:v>
      </x:c>
      <x:c r="F884" s="7" t="str">
        <x:v>OP-1</x:v>
      </x:c>
      <x:c r="G884" s="7" t="n">
        <x:v>2</x:v>
      </x:c>
      <x:c r="H884" s="7" t="str"/>
      <x:c r="I884" s="7" t="str"/>
      <x:c r="J884" s="7" t="str">
        <x:f>IF(OR(H884="",I884=""),"",I884-H884)</x:f>
      </x:c>
      <x:c r="K884" s="7" t="str"/>
      <x:c r="L884" s="7" t="str"/>
      <x:c r="M884" s="7" t="str"/>
      <x:c r="N884" s="7" t="str">
        <x:f>IF(M884="","OPEN",IF(OR(NOT(ISNUMBER(H884)),NOT(ISNUMBER(I884)),K884="",L884=""),"FAIL","PASS"))</x:f>
        <x:v>OPEN</x:v>
      </x:c>
    </x:row>
    <x:row r="885">
      <x:c r="B885" s="7" t="str">
        <x:v>TRO-B-13-S4-O2-R1</x:v>
      </x:c>
      <x:c r="C885" s="7" t="str">
        <x:v>BLD-B</x:v>
      </x:c>
      <x:c r="D885" s="7" t="str">
        <x:v>MF-13</x:v>
      </x:c>
      <x:c r="E885" s="7" t="str">
        <x:v>STD-13-4</x:v>
      </x:c>
      <x:c r="F885" s="7" t="str">
        <x:v>OP-2</x:v>
      </x:c>
      <x:c r="G885" s="7" t="n">
        <x:v>1</x:v>
      </x:c>
      <x:c r="H885" s="7" t="str"/>
      <x:c r="I885" s="7" t="str"/>
      <x:c r="J885" s="7" t="str">
        <x:f>IF(OR(H885="",I885=""),"",I885-H885)</x:f>
      </x:c>
      <x:c r="K885" s="7" t="str"/>
      <x:c r="L885" s="7" t="str"/>
      <x:c r="M885" s="7" t="str"/>
      <x:c r="N885" s="7" t="str">
        <x:f>IF(M885="","OPEN",IF(OR(NOT(ISNUMBER(H885)),NOT(ISNUMBER(I885)),K885="",L885=""),"FAIL","PASS"))</x:f>
        <x:v>OPEN</x:v>
      </x:c>
    </x:row>
    <x:row r="886">
      <x:c r="B886" s="7" t="str">
        <x:v>TRO-B-13-S4-O2-R2</x:v>
      </x:c>
      <x:c r="C886" s="7" t="str">
        <x:v>BLD-B</x:v>
      </x:c>
      <x:c r="D886" s="7" t="str">
        <x:v>MF-13</x:v>
      </x:c>
      <x:c r="E886" s="7" t="str">
        <x:v>STD-13-4</x:v>
      </x:c>
      <x:c r="F886" s="7" t="str">
        <x:v>OP-2</x:v>
      </x:c>
      <x:c r="G886" s="7" t="n">
        <x:v>2</x:v>
      </x:c>
      <x:c r="H886" s="7" t="str"/>
      <x:c r="I886" s="7" t="str"/>
      <x:c r="J886" s="7" t="str">
        <x:f>IF(OR(H886="",I886=""),"",I886-H886)</x:f>
      </x:c>
      <x:c r="K886" s="7" t="str"/>
      <x:c r="L886" s="7" t="str"/>
      <x:c r="M886" s="7" t="str"/>
      <x:c r="N886" s="7" t="str">
        <x:f>IF(M886="","OPEN",IF(OR(NOT(ISNUMBER(H886)),NOT(ISNUMBER(I886)),K886="",L886=""),"FAIL","PASS"))</x:f>
        <x:v>OPEN</x:v>
      </x:c>
    </x:row>
    <x:row r="887">
      <x:c r="B887" s="7" t="str">
        <x:v>TRO-B-13-S5-O1-R1</x:v>
      </x:c>
      <x:c r="C887" s="7" t="str">
        <x:v>BLD-B</x:v>
      </x:c>
      <x:c r="D887" s="7" t="str">
        <x:v>MF-13</x:v>
      </x:c>
      <x:c r="E887" s="7" t="str">
        <x:v>STD-13-5</x:v>
      </x:c>
      <x:c r="F887" s="7" t="str">
        <x:v>OP-1</x:v>
      </x:c>
      <x:c r="G887" s="7" t="n">
        <x:v>1</x:v>
      </x:c>
      <x:c r="H887" s="7" t="str"/>
      <x:c r="I887" s="7" t="str"/>
      <x:c r="J887" s="7" t="str">
        <x:f>IF(OR(H887="",I887=""),"",I887-H887)</x:f>
      </x:c>
      <x:c r="K887" s="7" t="str"/>
      <x:c r="L887" s="7" t="str"/>
      <x:c r="M887" s="7" t="str"/>
      <x:c r="N887" s="7" t="str">
        <x:f>IF(M887="","OPEN",IF(OR(NOT(ISNUMBER(H887)),NOT(ISNUMBER(I887)),K887="",L887=""),"FAIL","PASS"))</x:f>
        <x:v>OPEN</x:v>
      </x:c>
    </x:row>
    <x:row r="888">
      <x:c r="B888" s="7" t="str">
        <x:v>TRO-B-13-S5-O1-R2</x:v>
      </x:c>
      <x:c r="C888" s="7" t="str">
        <x:v>BLD-B</x:v>
      </x:c>
      <x:c r="D888" s="7" t="str">
        <x:v>MF-13</x:v>
      </x:c>
      <x:c r="E888" s="7" t="str">
        <x:v>STD-13-5</x:v>
      </x:c>
      <x:c r="F888" s="7" t="str">
        <x:v>OP-1</x:v>
      </x:c>
      <x:c r="G888" s="7" t="n">
        <x:v>2</x:v>
      </x:c>
      <x:c r="H888" s="7" t="str"/>
      <x:c r="I888" s="7" t="str"/>
      <x:c r="J888" s="7" t="str">
        <x:f>IF(OR(H888="",I888=""),"",I888-H888)</x:f>
      </x:c>
      <x:c r="K888" s="7" t="str"/>
      <x:c r="L888" s="7" t="str"/>
      <x:c r="M888" s="7" t="str"/>
      <x:c r="N888" s="7" t="str">
        <x:f>IF(M888="","OPEN",IF(OR(NOT(ISNUMBER(H888)),NOT(ISNUMBER(I888)),K888="",L888=""),"FAIL","PASS"))</x:f>
        <x:v>OPEN</x:v>
      </x:c>
    </x:row>
    <x:row r="889">
      <x:c r="B889" s="7" t="str">
        <x:v>TRO-B-13-S5-O2-R1</x:v>
      </x:c>
      <x:c r="C889" s="7" t="str">
        <x:v>BLD-B</x:v>
      </x:c>
      <x:c r="D889" s="7" t="str">
        <x:v>MF-13</x:v>
      </x:c>
      <x:c r="E889" s="7" t="str">
        <x:v>STD-13-5</x:v>
      </x:c>
      <x:c r="F889" s="7" t="str">
        <x:v>OP-2</x:v>
      </x:c>
      <x:c r="G889" s="7" t="n">
        <x:v>1</x:v>
      </x:c>
      <x:c r="H889" s="7" t="str"/>
      <x:c r="I889" s="7" t="str"/>
      <x:c r="J889" s="7" t="str">
        <x:f>IF(OR(H889="",I889=""),"",I889-H889)</x:f>
      </x:c>
      <x:c r="K889" s="7" t="str"/>
      <x:c r="L889" s="7" t="str"/>
      <x:c r="M889" s="7" t="str"/>
      <x:c r="N889" s="7" t="str">
        <x:f>IF(M889="","OPEN",IF(OR(NOT(ISNUMBER(H889)),NOT(ISNUMBER(I889)),K889="",L889=""),"FAIL","PASS"))</x:f>
        <x:v>OPEN</x:v>
      </x:c>
    </x:row>
    <x:row r="890">
      <x:c r="B890" s="7" t="str">
        <x:v>TRO-B-13-S5-O2-R2</x:v>
      </x:c>
      <x:c r="C890" s="7" t="str">
        <x:v>BLD-B</x:v>
      </x:c>
      <x:c r="D890" s="7" t="str">
        <x:v>MF-13</x:v>
      </x:c>
      <x:c r="E890" s="7" t="str">
        <x:v>STD-13-5</x:v>
      </x:c>
      <x:c r="F890" s="7" t="str">
        <x:v>OP-2</x:v>
      </x:c>
      <x:c r="G890" s="7" t="n">
        <x:v>2</x:v>
      </x:c>
      <x:c r="H890" s="7" t="str"/>
      <x:c r="I890" s="7" t="str"/>
      <x:c r="J890" s="7" t="str">
        <x:f>IF(OR(H890="",I890=""),"",I890-H890)</x:f>
      </x:c>
      <x:c r="K890" s="7" t="str"/>
      <x:c r="L890" s="7" t="str"/>
      <x:c r="M890" s="7" t="str"/>
      <x:c r="N890" s="7" t="str">
        <x:f>IF(M890="","OPEN",IF(OR(NOT(ISNUMBER(H890)),NOT(ISNUMBER(I890)),K890="",L890=""),"FAIL","PASS"))</x:f>
        <x:v>OPEN</x:v>
      </x:c>
    </x:row>
    <x:row r="891">
      <x:c r="B891" s="7" t="str">
        <x:v>TRO-B-13-S6-O1-R1</x:v>
      </x:c>
      <x:c r="C891" s="7" t="str">
        <x:v>BLD-B</x:v>
      </x:c>
      <x:c r="D891" s="7" t="str">
        <x:v>MF-13</x:v>
      </x:c>
      <x:c r="E891" s="7" t="str">
        <x:v>STD-13-6</x:v>
      </x:c>
      <x:c r="F891" s="7" t="str">
        <x:v>OP-1</x:v>
      </x:c>
      <x:c r="G891" s="7" t="n">
        <x:v>1</x:v>
      </x:c>
      <x:c r="H891" s="7" t="str"/>
      <x:c r="I891" s="7" t="str"/>
      <x:c r="J891" s="7" t="str">
        <x:f>IF(OR(H891="",I891=""),"",I891-H891)</x:f>
      </x:c>
      <x:c r="K891" s="7" t="str"/>
      <x:c r="L891" s="7" t="str"/>
      <x:c r="M891" s="7" t="str"/>
      <x:c r="N891" s="7" t="str">
        <x:f>IF(M891="","OPEN",IF(OR(NOT(ISNUMBER(H891)),NOT(ISNUMBER(I891)),K891="",L891=""),"FAIL","PASS"))</x:f>
        <x:v>OPEN</x:v>
      </x:c>
    </x:row>
    <x:row r="892">
      <x:c r="B892" s="7" t="str">
        <x:v>TRO-B-13-S6-O1-R2</x:v>
      </x:c>
      <x:c r="C892" s="7" t="str">
        <x:v>BLD-B</x:v>
      </x:c>
      <x:c r="D892" s="7" t="str">
        <x:v>MF-13</x:v>
      </x:c>
      <x:c r="E892" s="7" t="str">
        <x:v>STD-13-6</x:v>
      </x:c>
      <x:c r="F892" s="7" t="str">
        <x:v>OP-1</x:v>
      </x:c>
      <x:c r="G892" s="7" t="n">
        <x:v>2</x:v>
      </x:c>
      <x:c r="H892" s="7" t="str"/>
      <x:c r="I892" s="7" t="str"/>
      <x:c r="J892" s="7" t="str">
        <x:f>IF(OR(H892="",I892=""),"",I892-H892)</x:f>
      </x:c>
      <x:c r="K892" s="7" t="str"/>
      <x:c r="L892" s="7" t="str"/>
      <x:c r="M892" s="7" t="str"/>
      <x:c r="N892" s="7" t="str">
        <x:f>IF(M892="","OPEN",IF(OR(NOT(ISNUMBER(H892)),NOT(ISNUMBER(I892)),K892="",L892=""),"FAIL","PASS"))</x:f>
        <x:v>OPEN</x:v>
      </x:c>
    </x:row>
    <x:row r="893">
      <x:c r="B893" s="7" t="str">
        <x:v>TRO-B-13-S6-O2-R1</x:v>
      </x:c>
      <x:c r="C893" s="7" t="str">
        <x:v>BLD-B</x:v>
      </x:c>
      <x:c r="D893" s="7" t="str">
        <x:v>MF-13</x:v>
      </x:c>
      <x:c r="E893" s="7" t="str">
        <x:v>STD-13-6</x:v>
      </x:c>
      <x:c r="F893" s="7" t="str">
        <x:v>OP-2</x:v>
      </x:c>
      <x:c r="G893" s="7" t="n">
        <x:v>1</x:v>
      </x:c>
      <x:c r="H893" s="7" t="str"/>
      <x:c r="I893" s="7" t="str"/>
      <x:c r="J893" s="7" t="str">
        <x:f>IF(OR(H893="",I893=""),"",I893-H893)</x:f>
      </x:c>
      <x:c r="K893" s="7" t="str"/>
      <x:c r="L893" s="7" t="str"/>
      <x:c r="M893" s="7" t="str"/>
      <x:c r="N893" s="7" t="str">
        <x:f>IF(M893="","OPEN",IF(OR(NOT(ISNUMBER(H893)),NOT(ISNUMBER(I893)),K893="",L893=""),"FAIL","PASS"))</x:f>
        <x:v>OPEN</x:v>
      </x:c>
    </x:row>
    <x:row r="894">
      <x:c r="B894" s="7" t="str">
        <x:v>TRO-B-13-S6-O2-R2</x:v>
      </x:c>
      <x:c r="C894" s="7" t="str">
        <x:v>BLD-B</x:v>
      </x:c>
      <x:c r="D894" s="7" t="str">
        <x:v>MF-13</x:v>
      </x:c>
      <x:c r="E894" s="7" t="str">
        <x:v>STD-13-6</x:v>
      </x:c>
      <x:c r="F894" s="7" t="str">
        <x:v>OP-2</x:v>
      </x:c>
      <x:c r="G894" s="7" t="n">
        <x:v>2</x:v>
      </x:c>
      <x:c r="H894" s="7" t="str"/>
      <x:c r="I894" s="7" t="str"/>
      <x:c r="J894" s="7" t="str">
        <x:f>IF(OR(H894="",I894=""),"",I894-H894)</x:f>
      </x:c>
      <x:c r="K894" s="7" t="str"/>
      <x:c r="L894" s="7" t="str"/>
      <x:c r="M894" s="7" t="str"/>
      <x:c r="N894" s="7" t="str">
        <x:f>IF(M894="","OPEN",IF(OR(NOT(ISNUMBER(H894)),NOT(ISNUMBER(I894)),K894="",L894=""),"FAIL","PASS"))</x:f>
        <x:v>OPEN</x:v>
      </x:c>
    </x:row>
    <x:row r="895">
      <x:c r="B895" s="7" t="str">
        <x:v>TRO-B-14-S1-O1-R1</x:v>
      </x:c>
      <x:c r="C895" s="7" t="str">
        <x:v>BLD-B</x:v>
      </x:c>
      <x:c r="D895" s="7" t="str">
        <x:v>MF-14</x:v>
      </x:c>
      <x:c r="E895" s="7" t="str">
        <x:v>STD-14-1</x:v>
      </x:c>
      <x:c r="F895" s="7" t="str">
        <x:v>OP-1</x:v>
      </x:c>
      <x:c r="G895" s="7" t="n">
        <x:v>1</x:v>
      </x:c>
      <x:c r="H895" s="7" t="str"/>
      <x:c r="I895" s="7" t="str"/>
      <x:c r="J895" s="7" t="str">
        <x:f>IF(OR(H895="",I895=""),"",I895-H895)</x:f>
      </x:c>
      <x:c r="K895" s="7" t="str"/>
      <x:c r="L895" s="7" t="str"/>
      <x:c r="M895" s="7" t="str"/>
      <x:c r="N895" s="7" t="str">
        <x:f>IF(M895="","OPEN",IF(OR(NOT(ISNUMBER(H895)),NOT(ISNUMBER(I895)),K895="",L895=""),"FAIL","PASS"))</x:f>
        <x:v>OPEN</x:v>
      </x:c>
    </x:row>
    <x:row r="896">
      <x:c r="B896" s="7" t="str">
        <x:v>TRO-B-14-S1-O1-R2</x:v>
      </x:c>
      <x:c r="C896" s="7" t="str">
        <x:v>BLD-B</x:v>
      </x:c>
      <x:c r="D896" s="7" t="str">
        <x:v>MF-14</x:v>
      </x:c>
      <x:c r="E896" s="7" t="str">
        <x:v>STD-14-1</x:v>
      </x:c>
      <x:c r="F896" s="7" t="str">
        <x:v>OP-1</x:v>
      </x:c>
      <x:c r="G896" s="7" t="n">
        <x:v>2</x:v>
      </x:c>
      <x:c r="H896" s="7" t="str"/>
      <x:c r="I896" s="7" t="str"/>
      <x:c r="J896" s="7" t="str">
        <x:f>IF(OR(H896="",I896=""),"",I896-H896)</x:f>
      </x:c>
      <x:c r="K896" s="7" t="str"/>
      <x:c r="L896" s="7" t="str"/>
      <x:c r="M896" s="7" t="str"/>
      <x:c r="N896" s="7" t="str">
        <x:f>IF(M896="","OPEN",IF(OR(NOT(ISNUMBER(H896)),NOT(ISNUMBER(I896)),K896="",L896=""),"FAIL","PASS"))</x:f>
        <x:v>OPEN</x:v>
      </x:c>
    </x:row>
    <x:row r="897">
      <x:c r="B897" s="7" t="str">
        <x:v>TRO-B-14-S1-O2-R1</x:v>
      </x:c>
      <x:c r="C897" s="7" t="str">
        <x:v>BLD-B</x:v>
      </x:c>
      <x:c r="D897" s="7" t="str">
        <x:v>MF-14</x:v>
      </x:c>
      <x:c r="E897" s="7" t="str">
        <x:v>STD-14-1</x:v>
      </x:c>
      <x:c r="F897" s="7" t="str">
        <x:v>OP-2</x:v>
      </x:c>
      <x:c r="G897" s="7" t="n">
        <x:v>1</x:v>
      </x:c>
      <x:c r="H897" s="7" t="str"/>
      <x:c r="I897" s="7" t="str"/>
      <x:c r="J897" s="7" t="str">
        <x:f>IF(OR(H897="",I897=""),"",I897-H897)</x:f>
      </x:c>
      <x:c r="K897" s="7" t="str"/>
      <x:c r="L897" s="7" t="str"/>
      <x:c r="M897" s="7" t="str"/>
      <x:c r="N897" s="7" t="str">
        <x:f>IF(M897="","OPEN",IF(OR(NOT(ISNUMBER(H897)),NOT(ISNUMBER(I897)),K897="",L897=""),"FAIL","PASS"))</x:f>
        <x:v>OPEN</x:v>
      </x:c>
    </x:row>
    <x:row r="898">
      <x:c r="B898" s="7" t="str">
        <x:v>TRO-B-14-S1-O2-R2</x:v>
      </x:c>
      <x:c r="C898" s="7" t="str">
        <x:v>BLD-B</x:v>
      </x:c>
      <x:c r="D898" s="7" t="str">
        <x:v>MF-14</x:v>
      </x:c>
      <x:c r="E898" s="7" t="str">
        <x:v>STD-14-1</x:v>
      </x:c>
      <x:c r="F898" s="7" t="str">
        <x:v>OP-2</x:v>
      </x:c>
      <x:c r="G898" s="7" t="n">
        <x:v>2</x:v>
      </x:c>
      <x:c r="H898" s="7" t="str"/>
      <x:c r="I898" s="7" t="str"/>
      <x:c r="J898" s="7" t="str">
        <x:f>IF(OR(H898="",I898=""),"",I898-H898)</x:f>
      </x:c>
      <x:c r="K898" s="7" t="str"/>
      <x:c r="L898" s="7" t="str"/>
      <x:c r="M898" s="7" t="str"/>
      <x:c r="N898" s="7" t="str">
        <x:f>IF(M898="","OPEN",IF(OR(NOT(ISNUMBER(H898)),NOT(ISNUMBER(I898)),K898="",L898=""),"FAIL","PASS"))</x:f>
        <x:v>OPEN</x:v>
      </x:c>
    </x:row>
    <x:row r="899">
      <x:c r="B899" s="7" t="str">
        <x:v>TRO-B-14-S2-O1-R1</x:v>
      </x:c>
      <x:c r="C899" s="7" t="str">
        <x:v>BLD-B</x:v>
      </x:c>
      <x:c r="D899" s="7" t="str">
        <x:v>MF-14</x:v>
      </x:c>
      <x:c r="E899" s="7" t="str">
        <x:v>STD-14-2</x:v>
      </x:c>
      <x:c r="F899" s="7" t="str">
        <x:v>OP-1</x:v>
      </x:c>
      <x:c r="G899" s="7" t="n">
        <x:v>1</x:v>
      </x:c>
      <x:c r="H899" s="7" t="str"/>
      <x:c r="I899" s="7" t="str"/>
      <x:c r="J899" s="7" t="str">
        <x:f>IF(OR(H899="",I899=""),"",I899-H899)</x:f>
      </x:c>
      <x:c r="K899" s="7" t="str"/>
      <x:c r="L899" s="7" t="str"/>
      <x:c r="M899" s="7" t="str"/>
      <x:c r="N899" s="7" t="str">
        <x:f>IF(M899="","OPEN",IF(OR(NOT(ISNUMBER(H899)),NOT(ISNUMBER(I899)),K899="",L899=""),"FAIL","PASS"))</x:f>
        <x:v>OPEN</x:v>
      </x:c>
    </x:row>
    <x:row r="900">
      <x:c r="B900" s="7" t="str">
        <x:v>TRO-B-14-S2-O1-R2</x:v>
      </x:c>
      <x:c r="C900" s="7" t="str">
        <x:v>BLD-B</x:v>
      </x:c>
      <x:c r="D900" s="7" t="str">
        <x:v>MF-14</x:v>
      </x:c>
      <x:c r="E900" s="7" t="str">
        <x:v>STD-14-2</x:v>
      </x:c>
      <x:c r="F900" s="7" t="str">
        <x:v>OP-1</x:v>
      </x:c>
      <x:c r="G900" s="7" t="n">
        <x:v>2</x:v>
      </x:c>
      <x:c r="H900" s="7" t="str"/>
      <x:c r="I900" s="7" t="str"/>
      <x:c r="J900" s="7" t="str">
        <x:f>IF(OR(H900="",I900=""),"",I900-H900)</x:f>
      </x:c>
      <x:c r="K900" s="7" t="str"/>
      <x:c r="L900" s="7" t="str"/>
      <x:c r="M900" s="7" t="str"/>
      <x:c r="N900" s="7" t="str">
        <x:f>IF(M900="","OPEN",IF(OR(NOT(ISNUMBER(H900)),NOT(ISNUMBER(I900)),K900="",L900=""),"FAIL","PASS"))</x:f>
        <x:v>OPEN</x:v>
      </x:c>
    </x:row>
    <x:row r="901">
      <x:c r="B901" s="7" t="str">
        <x:v>TRO-B-14-S2-O2-R1</x:v>
      </x:c>
      <x:c r="C901" s="7" t="str">
        <x:v>BLD-B</x:v>
      </x:c>
      <x:c r="D901" s="7" t="str">
        <x:v>MF-14</x:v>
      </x:c>
      <x:c r="E901" s="7" t="str">
        <x:v>STD-14-2</x:v>
      </x:c>
      <x:c r="F901" s="7" t="str">
        <x:v>OP-2</x:v>
      </x:c>
      <x:c r="G901" s="7" t="n">
        <x:v>1</x:v>
      </x:c>
      <x:c r="H901" s="7" t="str"/>
      <x:c r="I901" s="7" t="str"/>
      <x:c r="J901" s="7" t="str">
        <x:f>IF(OR(H901="",I901=""),"",I901-H901)</x:f>
      </x:c>
      <x:c r="K901" s="7" t="str"/>
      <x:c r="L901" s="7" t="str"/>
      <x:c r="M901" s="7" t="str"/>
      <x:c r="N901" s="7" t="str">
        <x:f>IF(M901="","OPEN",IF(OR(NOT(ISNUMBER(H901)),NOT(ISNUMBER(I901)),K901="",L901=""),"FAIL","PASS"))</x:f>
        <x:v>OPEN</x:v>
      </x:c>
    </x:row>
    <x:row r="902">
      <x:c r="B902" s="7" t="str">
        <x:v>TRO-B-14-S2-O2-R2</x:v>
      </x:c>
      <x:c r="C902" s="7" t="str">
        <x:v>BLD-B</x:v>
      </x:c>
      <x:c r="D902" s="7" t="str">
        <x:v>MF-14</x:v>
      </x:c>
      <x:c r="E902" s="7" t="str">
        <x:v>STD-14-2</x:v>
      </x:c>
      <x:c r="F902" s="7" t="str">
        <x:v>OP-2</x:v>
      </x:c>
      <x:c r="G902" s="7" t="n">
        <x:v>2</x:v>
      </x:c>
      <x:c r="H902" s="7" t="str"/>
      <x:c r="I902" s="7" t="str"/>
      <x:c r="J902" s="7" t="str">
        <x:f>IF(OR(H902="",I902=""),"",I902-H902)</x:f>
      </x:c>
      <x:c r="K902" s="7" t="str"/>
      <x:c r="L902" s="7" t="str"/>
      <x:c r="M902" s="7" t="str"/>
      <x:c r="N902" s="7" t="str">
        <x:f>IF(M902="","OPEN",IF(OR(NOT(ISNUMBER(H902)),NOT(ISNUMBER(I902)),K902="",L902=""),"FAIL","PASS"))</x:f>
        <x:v>OPEN</x:v>
      </x:c>
    </x:row>
    <x:row r="903">
      <x:c r="B903" s="7" t="str">
        <x:v>TRO-B-14-S3-O1-R1</x:v>
      </x:c>
      <x:c r="C903" s="7" t="str">
        <x:v>BLD-B</x:v>
      </x:c>
      <x:c r="D903" s="7" t="str">
        <x:v>MF-14</x:v>
      </x:c>
      <x:c r="E903" s="7" t="str">
        <x:v>STD-14-3</x:v>
      </x:c>
      <x:c r="F903" s="7" t="str">
        <x:v>OP-1</x:v>
      </x:c>
      <x:c r="G903" s="7" t="n">
        <x:v>1</x:v>
      </x:c>
      <x:c r="H903" s="7" t="str"/>
      <x:c r="I903" s="7" t="str"/>
      <x:c r="J903" s="7" t="str">
        <x:f>IF(OR(H903="",I903=""),"",I903-H903)</x:f>
      </x:c>
      <x:c r="K903" s="7" t="str"/>
      <x:c r="L903" s="7" t="str"/>
      <x:c r="M903" s="7" t="str"/>
      <x:c r="N903" s="7" t="str">
        <x:f>IF(M903="","OPEN",IF(OR(NOT(ISNUMBER(H903)),NOT(ISNUMBER(I903)),K903="",L903=""),"FAIL","PASS"))</x:f>
        <x:v>OPEN</x:v>
      </x:c>
    </x:row>
    <x:row r="904">
      <x:c r="B904" s="7" t="str">
        <x:v>TRO-B-14-S3-O1-R2</x:v>
      </x:c>
      <x:c r="C904" s="7" t="str">
        <x:v>BLD-B</x:v>
      </x:c>
      <x:c r="D904" s="7" t="str">
        <x:v>MF-14</x:v>
      </x:c>
      <x:c r="E904" s="7" t="str">
        <x:v>STD-14-3</x:v>
      </x:c>
      <x:c r="F904" s="7" t="str">
        <x:v>OP-1</x:v>
      </x:c>
      <x:c r="G904" s="7" t="n">
        <x:v>2</x:v>
      </x:c>
      <x:c r="H904" s="7" t="str"/>
      <x:c r="I904" s="7" t="str"/>
      <x:c r="J904" s="7" t="str">
        <x:f>IF(OR(H904="",I904=""),"",I904-H904)</x:f>
      </x:c>
      <x:c r="K904" s="7" t="str"/>
      <x:c r="L904" s="7" t="str"/>
      <x:c r="M904" s="7" t="str"/>
      <x:c r="N904" s="7" t="str">
        <x:f>IF(M904="","OPEN",IF(OR(NOT(ISNUMBER(H904)),NOT(ISNUMBER(I904)),K904="",L904=""),"FAIL","PASS"))</x:f>
        <x:v>OPEN</x:v>
      </x:c>
    </x:row>
    <x:row r="905">
      <x:c r="B905" s="7" t="str">
        <x:v>TRO-B-14-S3-O2-R1</x:v>
      </x:c>
      <x:c r="C905" s="7" t="str">
        <x:v>BLD-B</x:v>
      </x:c>
      <x:c r="D905" s="7" t="str">
        <x:v>MF-14</x:v>
      </x:c>
      <x:c r="E905" s="7" t="str">
        <x:v>STD-14-3</x:v>
      </x:c>
      <x:c r="F905" s="7" t="str">
        <x:v>OP-2</x:v>
      </x:c>
      <x:c r="G905" s="7" t="n">
        <x:v>1</x:v>
      </x:c>
      <x:c r="H905" s="7" t="str"/>
      <x:c r="I905" s="7" t="str"/>
      <x:c r="J905" s="7" t="str">
        <x:f>IF(OR(H905="",I905=""),"",I905-H905)</x:f>
      </x:c>
      <x:c r="K905" s="7" t="str"/>
      <x:c r="L905" s="7" t="str"/>
      <x:c r="M905" s="7" t="str"/>
      <x:c r="N905" s="7" t="str">
        <x:f>IF(M905="","OPEN",IF(OR(NOT(ISNUMBER(H905)),NOT(ISNUMBER(I905)),K905="",L905=""),"FAIL","PASS"))</x:f>
        <x:v>OPEN</x:v>
      </x:c>
    </x:row>
    <x:row r="906">
      <x:c r="B906" s="7" t="str">
        <x:v>TRO-B-14-S3-O2-R2</x:v>
      </x:c>
      <x:c r="C906" s="7" t="str">
        <x:v>BLD-B</x:v>
      </x:c>
      <x:c r="D906" s="7" t="str">
        <x:v>MF-14</x:v>
      </x:c>
      <x:c r="E906" s="7" t="str">
        <x:v>STD-14-3</x:v>
      </x:c>
      <x:c r="F906" s="7" t="str">
        <x:v>OP-2</x:v>
      </x:c>
      <x:c r="G906" s="7" t="n">
        <x:v>2</x:v>
      </x:c>
      <x:c r="H906" s="7" t="str"/>
      <x:c r="I906" s="7" t="str"/>
      <x:c r="J906" s="7" t="str">
        <x:f>IF(OR(H906="",I906=""),"",I906-H906)</x:f>
      </x:c>
      <x:c r="K906" s="7" t="str"/>
      <x:c r="L906" s="7" t="str"/>
      <x:c r="M906" s="7" t="str"/>
      <x:c r="N906" s="7" t="str">
        <x:f>IF(M906="","OPEN",IF(OR(NOT(ISNUMBER(H906)),NOT(ISNUMBER(I906)),K906="",L906=""),"FAIL","PASS"))</x:f>
        <x:v>OPEN</x:v>
      </x:c>
    </x:row>
    <x:row r="907">
      <x:c r="B907" s="7" t="str">
        <x:v>TRO-B-14-S4-O1-R1</x:v>
      </x:c>
      <x:c r="C907" s="7" t="str">
        <x:v>BLD-B</x:v>
      </x:c>
      <x:c r="D907" s="7" t="str">
        <x:v>MF-14</x:v>
      </x:c>
      <x:c r="E907" s="7" t="str">
        <x:v>STD-14-4</x:v>
      </x:c>
      <x:c r="F907" s="7" t="str">
        <x:v>OP-1</x:v>
      </x:c>
      <x:c r="G907" s="7" t="n">
        <x:v>1</x:v>
      </x:c>
      <x:c r="H907" s="7" t="str"/>
      <x:c r="I907" s="7" t="str"/>
      <x:c r="J907" s="7" t="str">
        <x:f>IF(OR(H907="",I907=""),"",I907-H907)</x:f>
      </x:c>
      <x:c r="K907" s="7" t="str"/>
      <x:c r="L907" s="7" t="str"/>
      <x:c r="M907" s="7" t="str"/>
      <x:c r="N907" s="7" t="str">
        <x:f>IF(M907="","OPEN",IF(OR(NOT(ISNUMBER(H907)),NOT(ISNUMBER(I907)),K907="",L907=""),"FAIL","PASS"))</x:f>
        <x:v>OPEN</x:v>
      </x:c>
    </x:row>
    <x:row r="908">
      <x:c r="B908" s="7" t="str">
        <x:v>TRO-B-14-S4-O1-R2</x:v>
      </x:c>
      <x:c r="C908" s="7" t="str">
        <x:v>BLD-B</x:v>
      </x:c>
      <x:c r="D908" s="7" t="str">
        <x:v>MF-14</x:v>
      </x:c>
      <x:c r="E908" s="7" t="str">
        <x:v>STD-14-4</x:v>
      </x:c>
      <x:c r="F908" s="7" t="str">
        <x:v>OP-1</x:v>
      </x:c>
      <x:c r="G908" s="7" t="n">
        <x:v>2</x:v>
      </x:c>
      <x:c r="H908" s="7" t="str"/>
      <x:c r="I908" s="7" t="str"/>
      <x:c r="J908" s="7" t="str">
        <x:f>IF(OR(H908="",I908=""),"",I908-H908)</x:f>
      </x:c>
      <x:c r="K908" s="7" t="str"/>
      <x:c r="L908" s="7" t="str"/>
      <x:c r="M908" s="7" t="str"/>
      <x:c r="N908" s="7" t="str">
        <x:f>IF(M908="","OPEN",IF(OR(NOT(ISNUMBER(H908)),NOT(ISNUMBER(I908)),K908="",L908=""),"FAIL","PASS"))</x:f>
        <x:v>OPEN</x:v>
      </x:c>
    </x:row>
    <x:row r="909">
      <x:c r="B909" s="7" t="str">
        <x:v>TRO-B-14-S4-O2-R1</x:v>
      </x:c>
      <x:c r="C909" s="7" t="str">
        <x:v>BLD-B</x:v>
      </x:c>
      <x:c r="D909" s="7" t="str">
        <x:v>MF-14</x:v>
      </x:c>
      <x:c r="E909" s="7" t="str">
        <x:v>STD-14-4</x:v>
      </x:c>
      <x:c r="F909" s="7" t="str">
        <x:v>OP-2</x:v>
      </x:c>
      <x:c r="G909" s="7" t="n">
        <x:v>1</x:v>
      </x:c>
      <x:c r="H909" s="7" t="str"/>
      <x:c r="I909" s="7" t="str"/>
      <x:c r="J909" s="7" t="str">
        <x:f>IF(OR(H909="",I909=""),"",I909-H909)</x:f>
      </x:c>
      <x:c r="K909" s="7" t="str"/>
      <x:c r="L909" s="7" t="str"/>
      <x:c r="M909" s="7" t="str"/>
      <x:c r="N909" s="7" t="str">
        <x:f>IF(M909="","OPEN",IF(OR(NOT(ISNUMBER(H909)),NOT(ISNUMBER(I909)),K909="",L909=""),"FAIL","PASS"))</x:f>
        <x:v>OPEN</x:v>
      </x:c>
    </x:row>
    <x:row r="910">
      <x:c r="B910" s="7" t="str">
        <x:v>TRO-B-14-S4-O2-R2</x:v>
      </x:c>
      <x:c r="C910" s="7" t="str">
        <x:v>BLD-B</x:v>
      </x:c>
      <x:c r="D910" s="7" t="str">
        <x:v>MF-14</x:v>
      </x:c>
      <x:c r="E910" s="7" t="str">
        <x:v>STD-14-4</x:v>
      </x:c>
      <x:c r="F910" s="7" t="str">
        <x:v>OP-2</x:v>
      </x:c>
      <x:c r="G910" s="7" t="n">
        <x:v>2</x:v>
      </x:c>
      <x:c r="H910" s="7" t="str"/>
      <x:c r="I910" s="7" t="str"/>
      <x:c r="J910" s="7" t="str">
        <x:f>IF(OR(H910="",I910=""),"",I910-H910)</x:f>
      </x:c>
      <x:c r="K910" s="7" t="str"/>
      <x:c r="L910" s="7" t="str"/>
      <x:c r="M910" s="7" t="str"/>
      <x:c r="N910" s="7" t="str">
        <x:f>IF(M910="","OPEN",IF(OR(NOT(ISNUMBER(H910)),NOT(ISNUMBER(I910)),K910="",L910=""),"FAIL","PASS"))</x:f>
        <x:v>OPEN</x:v>
      </x:c>
    </x:row>
    <x:row r="911">
      <x:c r="B911" s="7" t="str">
        <x:v>TRO-B-14-S5-O1-R1</x:v>
      </x:c>
      <x:c r="C911" s="7" t="str">
        <x:v>BLD-B</x:v>
      </x:c>
      <x:c r="D911" s="7" t="str">
        <x:v>MF-14</x:v>
      </x:c>
      <x:c r="E911" s="7" t="str">
        <x:v>STD-14-5</x:v>
      </x:c>
      <x:c r="F911" s="7" t="str">
        <x:v>OP-1</x:v>
      </x:c>
      <x:c r="G911" s="7" t="n">
        <x:v>1</x:v>
      </x:c>
      <x:c r="H911" s="7" t="str"/>
      <x:c r="I911" s="7" t="str"/>
      <x:c r="J911" s="7" t="str">
        <x:f>IF(OR(H911="",I911=""),"",I911-H911)</x:f>
      </x:c>
      <x:c r="K911" s="7" t="str"/>
      <x:c r="L911" s="7" t="str"/>
      <x:c r="M911" s="7" t="str"/>
      <x:c r="N911" s="7" t="str">
        <x:f>IF(M911="","OPEN",IF(OR(NOT(ISNUMBER(H911)),NOT(ISNUMBER(I911)),K911="",L911=""),"FAIL","PASS"))</x:f>
        <x:v>OPEN</x:v>
      </x:c>
    </x:row>
    <x:row r="912">
      <x:c r="B912" s="7" t="str">
        <x:v>TRO-B-14-S5-O1-R2</x:v>
      </x:c>
      <x:c r="C912" s="7" t="str">
        <x:v>BLD-B</x:v>
      </x:c>
      <x:c r="D912" s="7" t="str">
        <x:v>MF-14</x:v>
      </x:c>
      <x:c r="E912" s="7" t="str">
        <x:v>STD-14-5</x:v>
      </x:c>
      <x:c r="F912" s="7" t="str">
        <x:v>OP-1</x:v>
      </x:c>
      <x:c r="G912" s="7" t="n">
        <x:v>2</x:v>
      </x:c>
      <x:c r="H912" s="7" t="str"/>
      <x:c r="I912" s="7" t="str"/>
      <x:c r="J912" s="7" t="str">
        <x:f>IF(OR(H912="",I912=""),"",I912-H912)</x:f>
      </x:c>
      <x:c r="K912" s="7" t="str"/>
      <x:c r="L912" s="7" t="str"/>
      <x:c r="M912" s="7" t="str"/>
      <x:c r="N912" s="7" t="str">
        <x:f>IF(M912="","OPEN",IF(OR(NOT(ISNUMBER(H912)),NOT(ISNUMBER(I912)),K912="",L912=""),"FAIL","PASS"))</x:f>
        <x:v>OPEN</x:v>
      </x:c>
    </x:row>
    <x:row r="913">
      <x:c r="B913" s="7" t="str">
        <x:v>TRO-B-14-S5-O2-R1</x:v>
      </x:c>
      <x:c r="C913" s="7" t="str">
        <x:v>BLD-B</x:v>
      </x:c>
      <x:c r="D913" s="7" t="str">
        <x:v>MF-14</x:v>
      </x:c>
      <x:c r="E913" s="7" t="str">
        <x:v>STD-14-5</x:v>
      </x:c>
      <x:c r="F913" s="7" t="str">
        <x:v>OP-2</x:v>
      </x:c>
      <x:c r="G913" s="7" t="n">
        <x:v>1</x:v>
      </x:c>
      <x:c r="H913" s="7" t="str"/>
      <x:c r="I913" s="7" t="str"/>
      <x:c r="J913" s="7" t="str">
        <x:f>IF(OR(H913="",I913=""),"",I913-H913)</x:f>
      </x:c>
      <x:c r="K913" s="7" t="str"/>
      <x:c r="L913" s="7" t="str"/>
      <x:c r="M913" s="7" t="str"/>
      <x:c r="N913" s="7" t="str">
        <x:f>IF(M913="","OPEN",IF(OR(NOT(ISNUMBER(H913)),NOT(ISNUMBER(I913)),K913="",L913=""),"FAIL","PASS"))</x:f>
        <x:v>OPEN</x:v>
      </x:c>
    </x:row>
    <x:row r="914">
      <x:c r="B914" s="7" t="str">
        <x:v>TRO-B-14-S5-O2-R2</x:v>
      </x:c>
      <x:c r="C914" s="7" t="str">
        <x:v>BLD-B</x:v>
      </x:c>
      <x:c r="D914" s="7" t="str">
        <x:v>MF-14</x:v>
      </x:c>
      <x:c r="E914" s="7" t="str">
        <x:v>STD-14-5</x:v>
      </x:c>
      <x:c r="F914" s="7" t="str">
        <x:v>OP-2</x:v>
      </x:c>
      <x:c r="G914" s="7" t="n">
        <x:v>2</x:v>
      </x:c>
      <x:c r="H914" s="7" t="str"/>
      <x:c r="I914" s="7" t="str"/>
      <x:c r="J914" s="7" t="str">
        <x:f>IF(OR(H914="",I914=""),"",I914-H914)</x:f>
      </x:c>
      <x:c r="K914" s="7" t="str"/>
      <x:c r="L914" s="7" t="str"/>
      <x:c r="M914" s="7" t="str"/>
      <x:c r="N914" s="7" t="str">
        <x:f>IF(M914="","OPEN",IF(OR(NOT(ISNUMBER(H914)),NOT(ISNUMBER(I914)),K914="",L914=""),"FAIL","PASS"))</x:f>
        <x:v>OPEN</x:v>
      </x:c>
    </x:row>
    <x:row r="915">
      <x:c r="B915" s="7" t="str">
        <x:v>TRO-B-14-S6-O1-R1</x:v>
      </x:c>
      <x:c r="C915" s="7" t="str">
        <x:v>BLD-B</x:v>
      </x:c>
      <x:c r="D915" s="7" t="str">
        <x:v>MF-14</x:v>
      </x:c>
      <x:c r="E915" s="7" t="str">
        <x:v>STD-14-6</x:v>
      </x:c>
      <x:c r="F915" s="7" t="str">
        <x:v>OP-1</x:v>
      </x:c>
      <x:c r="G915" s="7" t="n">
        <x:v>1</x:v>
      </x:c>
      <x:c r="H915" s="7" t="str"/>
      <x:c r="I915" s="7" t="str"/>
      <x:c r="J915" s="7" t="str">
        <x:f>IF(OR(H915="",I915=""),"",I915-H915)</x:f>
      </x:c>
      <x:c r="K915" s="7" t="str"/>
      <x:c r="L915" s="7" t="str"/>
      <x:c r="M915" s="7" t="str"/>
      <x:c r="N915" s="7" t="str">
        <x:f>IF(M915="","OPEN",IF(OR(NOT(ISNUMBER(H915)),NOT(ISNUMBER(I915)),K915="",L915=""),"FAIL","PASS"))</x:f>
        <x:v>OPEN</x:v>
      </x:c>
    </x:row>
    <x:row r="916">
      <x:c r="B916" s="7" t="str">
        <x:v>TRO-B-14-S6-O1-R2</x:v>
      </x:c>
      <x:c r="C916" s="7" t="str">
        <x:v>BLD-B</x:v>
      </x:c>
      <x:c r="D916" s="7" t="str">
        <x:v>MF-14</x:v>
      </x:c>
      <x:c r="E916" s="7" t="str">
        <x:v>STD-14-6</x:v>
      </x:c>
      <x:c r="F916" s="7" t="str">
        <x:v>OP-1</x:v>
      </x:c>
      <x:c r="G916" s="7" t="n">
        <x:v>2</x:v>
      </x:c>
      <x:c r="H916" s="7" t="str"/>
      <x:c r="I916" s="7" t="str"/>
      <x:c r="J916" s="7" t="str">
        <x:f>IF(OR(H916="",I916=""),"",I916-H916)</x:f>
      </x:c>
      <x:c r="K916" s="7" t="str"/>
      <x:c r="L916" s="7" t="str"/>
      <x:c r="M916" s="7" t="str"/>
      <x:c r="N916" s="7" t="str">
        <x:f>IF(M916="","OPEN",IF(OR(NOT(ISNUMBER(H916)),NOT(ISNUMBER(I916)),K916="",L916=""),"FAIL","PASS"))</x:f>
        <x:v>OPEN</x:v>
      </x:c>
    </x:row>
    <x:row r="917">
      <x:c r="B917" s="7" t="str">
        <x:v>TRO-B-14-S6-O2-R1</x:v>
      </x:c>
      <x:c r="C917" s="7" t="str">
        <x:v>BLD-B</x:v>
      </x:c>
      <x:c r="D917" s="7" t="str">
        <x:v>MF-14</x:v>
      </x:c>
      <x:c r="E917" s="7" t="str">
        <x:v>STD-14-6</x:v>
      </x:c>
      <x:c r="F917" s="7" t="str">
        <x:v>OP-2</x:v>
      </x:c>
      <x:c r="G917" s="7" t="n">
        <x:v>1</x:v>
      </x:c>
      <x:c r="H917" s="7" t="str"/>
      <x:c r="I917" s="7" t="str"/>
      <x:c r="J917" s="7" t="str">
        <x:f>IF(OR(H917="",I917=""),"",I917-H917)</x:f>
      </x:c>
      <x:c r="K917" s="7" t="str"/>
      <x:c r="L917" s="7" t="str"/>
      <x:c r="M917" s="7" t="str"/>
      <x:c r="N917" s="7" t="str">
        <x:f>IF(M917="","OPEN",IF(OR(NOT(ISNUMBER(H917)),NOT(ISNUMBER(I917)),K917="",L917=""),"FAIL","PASS"))</x:f>
        <x:v>OPEN</x:v>
      </x:c>
    </x:row>
    <x:row r="918">
      <x:c r="B918" s="7" t="str">
        <x:v>TRO-B-14-S6-O2-R2</x:v>
      </x:c>
      <x:c r="C918" s="7" t="str">
        <x:v>BLD-B</x:v>
      </x:c>
      <x:c r="D918" s="7" t="str">
        <x:v>MF-14</x:v>
      </x:c>
      <x:c r="E918" s="7" t="str">
        <x:v>STD-14-6</x:v>
      </x:c>
      <x:c r="F918" s="7" t="str">
        <x:v>OP-2</x:v>
      </x:c>
      <x:c r="G918" s="7" t="n">
        <x:v>2</x:v>
      </x:c>
      <x:c r="H918" s="7" t="str"/>
      <x:c r="I918" s="7" t="str"/>
      <x:c r="J918" s="7" t="str">
        <x:f>IF(OR(H918="",I918=""),"",I918-H918)</x:f>
      </x:c>
      <x:c r="K918" s="7" t="str"/>
      <x:c r="L918" s="7" t="str"/>
      <x:c r="M918" s="7" t="str"/>
      <x:c r="N918" s="7" t="str">
        <x:f>IF(M918="","OPEN",IF(OR(NOT(ISNUMBER(H918)),NOT(ISNUMBER(I918)),K918="",L918=""),"FAIL","PASS"))</x:f>
        <x:v>OPEN</x:v>
      </x:c>
    </x:row>
    <x:row r="919">
      <x:c r="B919" s="7" t="str">
        <x:v>TRO-B-15-S1-O1-R1</x:v>
      </x:c>
      <x:c r="C919" s="7" t="str">
        <x:v>BLD-B</x:v>
      </x:c>
      <x:c r="D919" s="7" t="str">
        <x:v>MF-15</x:v>
      </x:c>
      <x:c r="E919" s="7" t="str">
        <x:v>STD-15-1</x:v>
      </x:c>
      <x:c r="F919" s="7" t="str">
        <x:v>OP-1</x:v>
      </x:c>
      <x:c r="G919" s="7" t="n">
        <x:v>1</x:v>
      </x:c>
      <x:c r="H919" s="7" t="str"/>
      <x:c r="I919" s="7" t="str"/>
      <x:c r="J919" s="7" t="str">
        <x:f>IF(OR(H919="",I919=""),"",I919-H919)</x:f>
      </x:c>
      <x:c r="K919" s="7" t="str"/>
      <x:c r="L919" s="7" t="str"/>
      <x:c r="M919" s="7" t="str"/>
      <x:c r="N919" s="7" t="str">
        <x:f>IF(M919="","OPEN",IF(OR(NOT(ISNUMBER(H919)),NOT(ISNUMBER(I919)),K919="",L919=""),"FAIL","PASS"))</x:f>
        <x:v>OPEN</x:v>
      </x:c>
    </x:row>
    <x:row r="920">
      <x:c r="B920" s="7" t="str">
        <x:v>TRO-B-15-S1-O1-R2</x:v>
      </x:c>
      <x:c r="C920" s="7" t="str">
        <x:v>BLD-B</x:v>
      </x:c>
      <x:c r="D920" s="7" t="str">
        <x:v>MF-15</x:v>
      </x:c>
      <x:c r="E920" s="7" t="str">
        <x:v>STD-15-1</x:v>
      </x:c>
      <x:c r="F920" s="7" t="str">
        <x:v>OP-1</x:v>
      </x:c>
      <x:c r="G920" s="7" t="n">
        <x:v>2</x:v>
      </x:c>
      <x:c r="H920" s="7" t="str"/>
      <x:c r="I920" s="7" t="str"/>
      <x:c r="J920" s="7" t="str">
        <x:f>IF(OR(H920="",I920=""),"",I920-H920)</x:f>
      </x:c>
      <x:c r="K920" s="7" t="str"/>
      <x:c r="L920" s="7" t="str"/>
      <x:c r="M920" s="7" t="str"/>
      <x:c r="N920" s="7" t="str">
        <x:f>IF(M920="","OPEN",IF(OR(NOT(ISNUMBER(H920)),NOT(ISNUMBER(I920)),K920="",L920=""),"FAIL","PASS"))</x:f>
        <x:v>OPEN</x:v>
      </x:c>
    </x:row>
    <x:row r="921">
      <x:c r="B921" s="7" t="str">
        <x:v>TRO-B-15-S1-O2-R1</x:v>
      </x:c>
      <x:c r="C921" s="7" t="str">
        <x:v>BLD-B</x:v>
      </x:c>
      <x:c r="D921" s="7" t="str">
        <x:v>MF-15</x:v>
      </x:c>
      <x:c r="E921" s="7" t="str">
        <x:v>STD-15-1</x:v>
      </x:c>
      <x:c r="F921" s="7" t="str">
        <x:v>OP-2</x:v>
      </x:c>
      <x:c r="G921" s="7" t="n">
        <x:v>1</x:v>
      </x:c>
      <x:c r="H921" s="7" t="str"/>
      <x:c r="I921" s="7" t="str"/>
      <x:c r="J921" s="7" t="str">
        <x:f>IF(OR(H921="",I921=""),"",I921-H921)</x:f>
      </x:c>
      <x:c r="K921" s="7" t="str"/>
      <x:c r="L921" s="7" t="str"/>
      <x:c r="M921" s="7" t="str"/>
      <x:c r="N921" s="7" t="str">
        <x:f>IF(M921="","OPEN",IF(OR(NOT(ISNUMBER(H921)),NOT(ISNUMBER(I921)),K921="",L921=""),"FAIL","PASS"))</x:f>
        <x:v>OPEN</x:v>
      </x:c>
    </x:row>
    <x:row r="922">
      <x:c r="B922" s="7" t="str">
        <x:v>TRO-B-15-S1-O2-R2</x:v>
      </x:c>
      <x:c r="C922" s="7" t="str">
        <x:v>BLD-B</x:v>
      </x:c>
      <x:c r="D922" s="7" t="str">
        <x:v>MF-15</x:v>
      </x:c>
      <x:c r="E922" s="7" t="str">
        <x:v>STD-15-1</x:v>
      </x:c>
      <x:c r="F922" s="7" t="str">
        <x:v>OP-2</x:v>
      </x:c>
      <x:c r="G922" s="7" t="n">
        <x:v>2</x:v>
      </x:c>
      <x:c r="H922" s="7" t="str"/>
      <x:c r="I922" s="7" t="str"/>
      <x:c r="J922" s="7" t="str">
        <x:f>IF(OR(H922="",I922=""),"",I922-H922)</x:f>
      </x:c>
      <x:c r="K922" s="7" t="str"/>
      <x:c r="L922" s="7" t="str"/>
      <x:c r="M922" s="7" t="str"/>
      <x:c r="N922" s="7" t="str">
        <x:f>IF(M922="","OPEN",IF(OR(NOT(ISNUMBER(H922)),NOT(ISNUMBER(I922)),K922="",L922=""),"FAIL","PASS"))</x:f>
        <x:v>OPEN</x:v>
      </x:c>
    </x:row>
    <x:row r="923">
      <x:c r="B923" s="7" t="str">
        <x:v>TRO-B-15-S2-O1-R1</x:v>
      </x:c>
      <x:c r="C923" s="7" t="str">
        <x:v>BLD-B</x:v>
      </x:c>
      <x:c r="D923" s="7" t="str">
        <x:v>MF-15</x:v>
      </x:c>
      <x:c r="E923" s="7" t="str">
        <x:v>STD-15-2</x:v>
      </x:c>
      <x:c r="F923" s="7" t="str">
        <x:v>OP-1</x:v>
      </x:c>
      <x:c r="G923" s="7" t="n">
        <x:v>1</x:v>
      </x:c>
      <x:c r="H923" s="7" t="str"/>
      <x:c r="I923" s="7" t="str"/>
      <x:c r="J923" s="7" t="str">
        <x:f>IF(OR(H923="",I923=""),"",I923-H923)</x:f>
      </x:c>
      <x:c r="K923" s="7" t="str"/>
      <x:c r="L923" s="7" t="str"/>
      <x:c r="M923" s="7" t="str"/>
      <x:c r="N923" s="7" t="str">
        <x:f>IF(M923="","OPEN",IF(OR(NOT(ISNUMBER(H923)),NOT(ISNUMBER(I923)),K923="",L923=""),"FAIL","PASS"))</x:f>
        <x:v>OPEN</x:v>
      </x:c>
    </x:row>
    <x:row r="924">
      <x:c r="B924" s="7" t="str">
        <x:v>TRO-B-15-S2-O1-R2</x:v>
      </x:c>
      <x:c r="C924" s="7" t="str">
        <x:v>BLD-B</x:v>
      </x:c>
      <x:c r="D924" s="7" t="str">
        <x:v>MF-15</x:v>
      </x:c>
      <x:c r="E924" s="7" t="str">
        <x:v>STD-15-2</x:v>
      </x:c>
      <x:c r="F924" s="7" t="str">
        <x:v>OP-1</x:v>
      </x:c>
      <x:c r="G924" s="7" t="n">
        <x:v>2</x:v>
      </x:c>
      <x:c r="H924" s="7" t="str"/>
      <x:c r="I924" s="7" t="str"/>
      <x:c r="J924" s="7" t="str">
        <x:f>IF(OR(H924="",I924=""),"",I924-H924)</x:f>
      </x:c>
      <x:c r="K924" s="7" t="str"/>
      <x:c r="L924" s="7" t="str"/>
      <x:c r="M924" s="7" t="str"/>
      <x:c r="N924" s="7" t="str">
        <x:f>IF(M924="","OPEN",IF(OR(NOT(ISNUMBER(H924)),NOT(ISNUMBER(I924)),K924="",L924=""),"FAIL","PASS"))</x:f>
        <x:v>OPEN</x:v>
      </x:c>
    </x:row>
    <x:row r="925">
      <x:c r="B925" s="7" t="str">
        <x:v>TRO-B-15-S2-O2-R1</x:v>
      </x:c>
      <x:c r="C925" s="7" t="str">
        <x:v>BLD-B</x:v>
      </x:c>
      <x:c r="D925" s="7" t="str">
        <x:v>MF-15</x:v>
      </x:c>
      <x:c r="E925" s="7" t="str">
        <x:v>STD-15-2</x:v>
      </x:c>
      <x:c r="F925" s="7" t="str">
        <x:v>OP-2</x:v>
      </x:c>
      <x:c r="G925" s="7" t="n">
        <x:v>1</x:v>
      </x:c>
      <x:c r="H925" s="7" t="str"/>
      <x:c r="I925" s="7" t="str"/>
      <x:c r="J925" s="7" t="str">
        <x:f>IF(OR(H925="",I925=""),"",I925-H925)</x:f>
      </x:c>
      <x:c r="K925" s="7" t="str"/>
      <x:c r="L925" s="7" t="str"/>
      <x:c r="M925" s="7" t="str"/>
      <x:c r="N925" s="7" t="str">
        <x:f>IF(M925="","OPEN",IF(OR(NOT(ISNUMBER(H925)),NOT(ISNUMBER(I925)),K925="",L925=""),"FAIL","PASS"))</x:f>
        <x:v>OPEN</x:v>
      </x:c>
    </x:row>
    <x:row r="926">
      <x:c r="B926" s="7" t="str">
        <x:v>TRO-B-15-S2-O2-R2</x:v>
      </x:c>
      <x:c r="C926" s="7" t="str">
        <x:v>BLD-B</x:v>
      </x:c>
      <x:c r="D926" s="7" t="str">
        <x:v>MF-15</x:v>
      </x:c>
      <x:c r="E926" s="7" t="str">
        <x:v>STD-15-2</x:v>
      </x:c>
      <x:c r="F926" s="7" t="str">
        <x:v>OP-2</x:v>
      </x:c>
      <x:c r="G926" s="7" t="n">
        <x:v>2</x:v>
      </x:c>
      <x:c r="H926" s="7" t="str"/>
      <x:c r="I926" s="7" t="str"/>
      <x:c r="J926" s="7" t="str">
        <x:f>IF(OR(H926="",I926=""),"",I926-H926)</x:f>
      </x:c>
      <x:c r="K926" s="7" t="str"/>
      <x:c r="L926" s="7" t="str"/>
      <x:c r="M926" s="7" t="str"/>
      <x:c r="N926" s="7" t="str">
        <x:f>IF(M926="","OPEN",IF(OR(NOT(ISNUMBER(H926)),NOT(ISNUMBER(I926)),K926="",L926=""),"FAIL","PASS"))</x:f>
        <x:v>OPEN</x:v>
      </x:c>
    </x:row>
    <x:row r="927">
      <x:c r="B927" s="7" t="str">
        <x:v>TRO-B-15-S3-O1-R1</x:v>
      </x:c>
      <x:c r="C927" s="7" t="str">
        <x:v>BLD-B</x:v>
      </x:c>
      <x:c r="D927" s="7" t="str">
        <x:v>MF-15</x:v>
      </x:c>
      <x:c r="E927" s="7" t="str">
        <x:v>STD-15-3</x:v>
      </x:c>
      <x:c r="F927" s="7" t="str">
        <x:v>OP-1</x:v>
      </x:c>
      <x:c r="G927" s="7" t="n">
        <x:v>1</x:v>
      </x:c>
      <x:c r="H927" s="7" t="str"/>
      <x:c r="I927" s="7" t="str"/>
      <x:c r="J927" s="7" t="str">
        <x:f>IF(OR(H927="",I927=""),"",I927-H927)</x:f>
      </x:c>
      <x:c r="K927" s="7" t="str"/>
      <x:c r="L927" s="7" t="str"/>
      <x:c r="M927" s="7" t="str"/>
      <x:c r="N927" s="7" t="str">
        <x:f>IF(M927="","OPEN",IF(OR(NOT(ISNUMBER(H927)),NOT(ISNUMBER(I927)),K927="",L927=""),"FAIL","PASS"))</x:f>
        <x:v>OPEN</x:v>
      </x:c>
    </x:row>
    <x:row r="928">
      <x:c r="B928" s="7" t="str">
        <x:v>TRO-B-15-S3-O1-R2</x:v>
      </x:c>
      <x:c r="C928" s="7" t="str">
        <x:v>BLD-B</x:v>
      </x:c>
      <x:c r="D928" s="7" t="str">
        <x:v>MF-15</x:v>
      </x:c>
      <x:c r="E928" s="7" t="str">
        <x:v>STD-15-3</x:v>
      </x:c>
      <x:c r="F928" s="7" t="str">
        <x:v>OP-1</x:v>
      </x:c>
      <x:c r="G928" s="7" t="n">
        <x:v>2</x:v>
      </x:c>
      <x:c r="H928" s="7" t="str"/>
      <x:c r="I928" s="7" t="str"/>
      <x:c r="J928" s="7" t="str">
        <x:f>IF(OR(H928="",I928=""),"",I928-H928)</x:f>
      </x:c>
      <x:c r="K928" s="7" t="str"/>
      <x:c r="L928" s="7" t="str"/>
      <x:c r="M928" s="7" t="str"/>
      <x:c r="N928" s="7" t="str">
        <x:f>IF(M928="","OPEN",IF(OR(NOT(ISNUMBER(H928)),NOT(ISNUMBER(I928)),K928="",L928=""),"FAIL","PASS"))</x:f>
        <x:v>OPEN</x:v>
      </x:c>
    </x:row>
    <x:row r="929">
      <x:c r="B929" s="7" t="str">
        <x:v>TRO-B-15-S3-O2-R1</x:v>
      </x:c>
      <x:c r="C929" s="7" t="str">
        <x:v>BLD-B</x:v>
      </x:c>
      <x:c r="D929" s="7" t="str">
        <x:v>MF-15</x:v>
      </x:c>
      <x:c r="E929" s="7" t="str">
        <x:v>STD-15-3</x:v>
      </x:c>
      <x:c r="F929" s="7" t="str">
        <x:v>OP-2</x:v>
      </x:c>
      <x:c r="G929" s="7" t="n">
        <x:v>1</x:v>
      </x:c>
      <x:c r="H929" s="7" t="str"/>
      <x:c r="I929" s="7" t="str"/>
      <x:c r="J929" s="7" t="str">
        <x:f>IF(OR(H929="",I929=""),"",I929-H929)</x:f>
      </x:c>
      <x:c r="K929" s="7" t="str"/>
      <x:c r="L929" s="7" t="str"/>
      <x:c r="M929" s="7" t="str"/>
      <x:c r="N929" s="7" t="str">
        <x:f>IF(M929="","OPEN",IF(OR(NOT(ISNUMBER(H929)),NOT(ISNUMBER(I929)),K929="",L929=""),"FAIL","PASS"))</x:f>
        <x:v>OPEN</x:v>
      </x:c>
    </x:row>
    <x:row r="930">
      <x:c r="B930" s="7" t="str">
        <x:v>TRO-B-15-S3-O2-R2</x:v>
      </x:c>
      <x:c r="C930" s="7" t="str">
        <x:v>BLD-B</x:v>
      </x:c>
      <x:c r="D930" s="7" t="str">
        <x:v>MF-15</x:v>
      </x:c>
      <x:c r="E930" s="7" t="str">
        <x:v>STD-15-3</x:v>
      </x:c>
      <x:c r="F930" s="7" t="str">
        <x:v>OP-2</x:v>
      </x:c>
      <x:c r="G930" s="7" t="n">
        <x:v>2</x:v>
      </x:c>
      <x:c r="H930" s="7" t="str"/>
      <x:c r="I930" s="7" t="str"/>
      <x:c r="J930" s="7" t="str">
        <x:f>IF(OR(H930="",I930=""),"",I930-H930)</x:f>
      </x:c>
      <x:c r="K930" s="7" t="str"/>
      <x:c r="L930" s="7" t="str"/>
      <x:c r="M930" s="7" t="str"/>
      <x:c r="N930" s="7" t="str">
        <x:f>IF(M930="","OPEN",IF(OR(NOT(ISNUMBER(H930)),NOT(ISNUMBER(I930)),K930="",L930=""),"FAIL","PASS"))</x:f>
        <x:v>OPEN</x:v>
      </x:c>
    </x:row>
    <x:row r="931">
      <x:c r="B931" s="7" t="str">
        <x:v>TRO-B-15-S4-O1-R1</x:v>
      </x:c>
      <x:c r="C931" s="7" t="str">
        <x:v>BLD-B</x:v>
      </x:c>
      <x:c r="D931" s="7" t="str">
        <x:v>MF-15</x:v>
      </x:c>
      <x:c r="E931" s="7" t="str">
        <x:v>STD-15-4</x:v>
      </x:c>
      <x:c r="F931" s="7" t="str">
        <x:v>OP-1</x:v>
      </x:c>
      <x:c r="G931" s="7" t="n">
        <x:v>1</x:v>
      </x:c>
      <x:c r="H931" s="7" t="str"/>
      <x:c r="I931" s="7" t="str"/>
      <x:c r="J931" s="7" t="str">
        <x:f>IF(OR(H931="",I931=""),"",I931-H931)</x:f>
      </x:c>
      <x:c r="K931" s="7" t="str"/>
      <x:c r="L931" s="7" t="str"/>
      <x:c r="M931" s="7" t="str"/>
      <x:c r="N931" s="7" t="str">
        <x:f>IF(M931="","OPEN",IF(OR(NOT(ISNUMBER(H931)),NOT(ISNUMBER(I931)),K931="",L931=""),"FAIL","PASS"))</x:f>
        <x:v>OPEN</x:v>
      </x:c>
    </x:row>
    <x:row r="932">
      <x:c r="B932" s="7" t="str">
        <x:v>TRO-B-15-S4-O1-R2</x:v>
      </x:c>
      <x:c r="C932" s="7" t="str">
        <x:v>BLD-B</x:v>
      </x:c>
      <x:c r="D932" s="7" t="str">
        <x:v>MF-15</x:v>
      </x:c>
      <x:c r="E932" s="7" t="str">
        <x:v>STD-15-4</x:v>
      </x:c>
      <x:c r="F932" s="7" t="str">
        <x:v>OP-1</x:v>
      </x:c>
      <x:c r="G932" s="7" t="n">
        <x:v>2</x:v>
      </x:c>
      <x:c r="H932" s="7" t="str"/>
      <x:c r="I932" s="7" t="str"/>
      <x:c r="J932" s="7" t="str">
        <x:f>IF(OR(H932="",I932=""),"",I932-H932)</x:f>
      </x:c>
      <x:c r="K932" s="7" t="str"/>
      <x:c r="L932" s="7" t="str"/>
      <x:c r="M932" s="7" t="str"/>
      <x:c r="N932" s="7" t="str">
        <x:f>IF(M932="","OPEN",IF(OR(NOT(ISNUMBER(H932)),NOT(ISNUMBER(I932)),K932="",L932=""),"FAIL","PASS"))</x:f>
        <x:v>OPEN</x:v>
      </x:c>
    </x:row>
    <x:row r="933">
      <x:c r="B933" s="7" t="str">
        <x:v>TRO-B-15-S4-O2-R1</x:v>
      </x:c>
      <x:c r="C933" s="7" t="str">
        <x:v>BLD-B</x:v>
      </x:c>
      <x:c r="D933" s="7" t="str">
        <x:v>MF-15</x:v>
      </x:c>
      <x:c r="E933" s="7" t="str">
        <x:v>STD-15-4</x:v>
      </x:c>
      <x:c r="F933" s="7" t="str">
        <x:v>OP-2</x:v>
      </x:c>
      <x:c r="G933" s="7" t="n">
        <x:v>1</x:v>
      </x:c>
      <x:c r="H933" s="7" t="str"/>
      <x:c r="I933" s="7" t="str"/>
      <x:c r="J933" s="7" t="str">
        <x:f>IF(OR(H933="",I933=""),"",I933-H933)</x:f>
      </x:c>
      <x:c r="K933" s="7" t="str"/>
      <x:c r="L933" s="7" t="str"/>
      <x:c r="M933" s="7" t="str"/>
      <x:c r="N933" s="7" t="str">
        <x:f>IF(M933="","OPEN",IF(OR(NOT(ISNUMBER(H933)),NOT(ISNUMBER(I933)),K933="",L933=""),"FAIL","PASS"))</x:f>
        <x:v>OPEN</x:v>
      </x:c>
    </x:row>
    <x:row r="934">
      <x:c r="B934" s="7" t="str">
        <x:v>TRO-B-15-S4-O2-R2</x:v>
      </x:c>
      <x:c r="C934" s="7" t="str">
        <x:v>BLD-B</x:v>
      </x:c>
      <x:c r="D934" s="7" t="str">
        <x:v>MF-15</x:v>
      </x:c>
      <x:c r="E934" s="7" t="str">
        <x:v>STD-15-4</x:v>
      </x:c>
      <x:c r="F934" s="7" t="str">
        <x:v>OP-2</x:v>
      </x:c>
      <x:c r="G934" s="7" t="n">
        <x:v>2</x:v>
      </x:c>
      <x:c r="H934" s="7" t="str"/>
      <x:c r="I934" s="7" t="str"/>
      <x:c r="J934" s="7" t="str">
        <x:f>IF(OR(H934="",I934=""),"",I934-H934)</x:f>
      </x:c>
      <x:c r="K934" s="7" t="str"/>
      <x:c r="L934" s="7" t="str"/>
      <x:c r="M934" s="7" t="str"/>
      <x:c r="N934" s="7" t="str">
        <x:f>IF(M934="","OPEN",IF(OR(NOT(ISNUMBER(H934)),NOT(ISNUMBER(I934)),K934="",L934=""),"FAIL","PASS"))</x:f>
        <x:v>OPEN</x:v>
      </x:c>
    </x:row>
    <x:row r="935">
      <x:c r="B935" s="7" t="str">
        <x:v>TRO-B-15-S5-O1-R1</x:v>
      </x:c>
      <x:c r="C935" s="7" t="str">
        <x:v>BLD-B</x:v>
      </x:c>
      <x:c r="D935" s="7" t="str">
        <x:v>MF-15</x:v>
      </x:c>
      <x:c r="E935" s="7" t="str">
        <x:v>STD-15-5</x:v>
      </x:c>
      <x:c r="F935" s="7" t="str">
        <x:v>OP-1</x:v>
      </x:c>
      <x:c r="G935" s="7" t="n">
        <x:v>1</x:v>
      </x:c>
      <x:c r="H935" s="7" t="str"/>
      <x:c r="I935" s="7" t="str"/>
      <x:c r="J935" s="7" t="str">
        <x:f>IF(OR(H935="",I935=""),"",I935-H935)</x:f>
      </x:c>
      <x:c r="K935" s="7" t="str"/>
      <x:c r="L935" s="7" t="str"/>
      <x:c r="M935" s="7" t="str"/>
      <x:c r="N935" s="7" t="str">
        <x:f>IF(M935="","OPEN",IF(OR(NOT(ISNUMBER(H935)),NOT(ISNUMBER(I935)),K935="",L935=""),"FAIL","PASS"))</x:f>
        <x:v>OPEN</x:v>
      </x:c>
    </x:row>
    <x:row r="936">
      <x:c r="B936" s="7" t="str">
        <x:v>TRO-B-15-S5-O1-R2</x:v>
      </x:c>
      <x:c r="C936" s="7" t="str">
        <x:v>BLD-B</x:v>
      </x:c>
      <x:c r="D936" s="7" t="str">
        <x:v>MF-15</x:v>
      </x:c>
      <x:c r="E936" s="7" t="str">
        <x:v>STD-15-5</x:v>
      </x:c>
      <x:c r="F936" s="7" t="str">
        <x:v>OP-1</x:v>
      </x:c>
      <x:c r="G936" s="7" t="n">
        <x:v>2</x:v>
      </x:c>
      <x:c r="H936" s="7" t="str"/>
      <x:c r="I936" s="7" t="str"/>
      <x:c r="J936" s="7" t="str">
        <x:f>IF(OR(H936="",I936=""),"",I936-H936)</x:f>
      </x:c>
      <x:c r="K936" s="7" t="str"/>
      <x:c r="L936" s="7" t="str"/>
      <x:c r="M936" s="7" t="str"/>
      <x:c r="N936" s="7" t="str">
        <x:f>IF(M936="","OPEN",IF(OR(NOT(ISNUMBER(H936)),NOT(ISNUMBER(I936)),K936="",L936=""),"FAIL","PASS"))</x:f>
        <x:v>OPEN</x:v>
      </x:c>
    </x:row>
    <x:row r="937">
      <x:c r="B937" s="7" t="str">
        <x:v>TRO-B-15-S5-O2-R1</x:v>
      </x:c>
      <x:c r="C937" s="7" t="str">
        <x:v>BLD-B</x:v>
      </x:c>
      <x:c r="D937" s="7" t="str">
        <x:v>MF-15</x:v>
      </x:c>
      <x:c r="E937" s="7" t="str">
        <x:v>STD-15-5</x:v>
      </x:c>
      <x:c r="F937" s="7" t="str">
        <x:v>OP-2</x:v>
      </x:c>
      <x:c r="G937" s="7" t="n">
        <x:v>1</x:v>
      </x:c>
      <x:c r="H937" s="7" t="str"/>
      <x:c r="I937" s="7" t="str"/>
      <x:c r="J937" s="7" t="str">
        <x:f>IF(OR(H937="",I937=""),"",I937-H937)</x:f>
      </x:c>
      <x:c r="K937" s="7" t="str"/>
      <x:c r="L937" s="7" t="str"/>
      <x:c r="M937" s="7" t="str"/>
      <x:c r="N937" s="7" t="str">
        <x:f>IF(M937="","OPEN",IF(OR(NOT(ISNUMBER(H937)),NOT(ISNUMBER(I937)),K937="",L937=""),"FAIL","PASS"))</x:f>
        <x:v>OPEN</x:v>
      </x:c>
    </x:row>
    <x:row r="938">
      <x:c r="B938" s="7" t="str">
        <x:v>TRO-B-15-S5-O2-R2</x:v>
      </x:c>
      <x:c r="C938" s="7" t="str">
        <x:v>BLD-B</x:v>
      </x:c>
      <x:c r="D938" s="7" t="str">
        <x:v>MF-15</x:v>
      </x:c>
      <x:c r="E938" s="7" t="str">
        <x:v>STD-15-5</x:v>
      </x:c>
      <x:c r="F938" s="7" t="str">
        <x:v>OP-2</x:v>
      </x:c>
      <x:c r="G938" s="7" t="n">
        <x:v>2</x:v>
      </x:c>
      <x:c r="H938" s="7" t="str"/>
      <x:c r="I938" s="7" t="str"/>
      <x:c r="J938" s="7" t="str">
        <x:f>IF(OR(H938="",I938=""),"",I938-H938)</x:f>
      </x:c>
      <x:c r="K938" s="7" t="str"/>
      <x:c r="L938" s="7" t="str"/>
      <x:c r="M938" s="7" t="str"/>
      <x:c r="N938" s="7" t="str">
        <x:f>IF(M938="","OPEN",IF(OR(NOT(ISNUMBER(H938)),NOT(ISNUMBER(I938)),K938="",L938=""),"FAIL","PASS"))</x:f>
        <x:v>OPEN</x:v>
      </x:c>
    </x:row>
    <x:row r="939">
      <x:c r="B939" s="7" t="str">
        <x:v>TRO-B-15-S6-O1-R1</x:v>
      </x:c>
      <x:c r="C939" s="7" t="str">
        <x:v>BLD-B</x:v>
      </x:c>
      <x:c r="D939" s="7" t="str">
        <x:v>MF-15</x:v>
      </x:c>
      <x:c r="E939" s="7" t="str">
        <x:v>STD-15-6</x:v>
      </x:c>
      <x:c r="F939" s="7" t="str">
        <x:v>OP-1</x:v>
      </x:c>
      <x:c r="G939" s="7" t="n">
        <x:v>1</x:v>
      </x:c>
      <x:c r="H939" s="7" t="str"/>
      <x:c r="I939" s="7" t="str"/>
      <x:c r="J939" s="7" t="str">
        <x:f>IF(OR(H939="",I939=""),"",I939-H939)</x:f>
      </x:c>
      <x:c r="K939" s="7" t="str"/>
      <x:c r="L939" s="7" t="str"/>
      <x:c r="M939" s="7" t="str"/>
      <x:c r="N939" s="7" t="str">
        <x:f>IF(M939="","OPEN",IF(OR(NOT(ISNUMBER(H939)),NOT(ISNUMBER(I939)),K939="",L939=""),"FAIL","PASS"))</x:f>
        <x:v>OPEN</x:v>
      </x:c>
    </x:row>
    <x:row r="940">
      <x:c r="B940" s="7" t="str">
        <x:v>TRO-B-15-S6-O1-R2</x:v>
      </x:c>
      <x:c r="C940" s="7" t="str">
        <x:v>BLD-B</x:v>
      </x:c>
      <x:c r="D940" s="7" t="str">
        <x:v>MF-15</x:v>
      </x:c>
      <x:c r="E940" s="7" t="str">
        <x:v>STD-15-6</x:v>
      </x:c>
      <x:c r="F940" s="7" t="str">
        <x:v>OP-1</x:v>
      </x:c>
      <x:c r="G940" s="7" t="n">
        <x:v>2</x:v>
      </x:c>
      <x:c r="H940" s="7" t="str"/>
      <x:c r="I940" s="7" t="str"/>
      <x:c r="J940" s="7" t="str">
        <x:f>IF(OR(H940="",I940=""),"",I940-H940)</x:f>
      </x:c>
      <x:c r="K940" s="7" t="str"/>
      <x:c r="L940" s="7" t="str"/>
      <x:c r="M940" s="7" t="str"/>
      <x:c r="N940" s="7" t="str">
        <x:f>IF(M940="","OPEN",IF(OR(NOT(ISNUMBER(H940)),NOT(ISNUMBER(I940)),K940="",L940=""),"FAIL","PASS"))</x:f>
        <x:v>OPEN</x:v>
      </x:c>
    </x:row>
    <x:row r="941">
      <x:c r="B941" s="7" t="str">
        <x:v>TRO-B-15-S6-O2-R1</x:v>
      </x:c>
      <x:c r="C941" s="7" t="str">
        <x:v>BLD-B</x:v>
      </x:c>
      <x:c r="D941" s="7" t="str">
        <x:v>MF-15</x:v>
      </x:c>
      <x:c r="E941" s="7" t="str">
        <x:v>STD-15-6</x:v>
      </x:c>
      <x:c r="F941" s="7" t="str">
        <x:v>OP-2</x:v>
      </x:c>
      <x:c r="G941" s="7" t="n">
        <x:v>1</x:v>
      </x:c>
      <x:c r="H941" s="7" t="str"/>
      <x:c r="I941" s="7" t="str"/>
      <x:c r="J941" s="7" t="str">
        <x:f>IF(OR(H941="",I941=""),"",I941-H941)</x:f>
      </x:c>
      <x:c r="K941" s="7" t="str"/>
      <x:c r="L941" s="7" t="str"/>
      <x:c r="M941" s="7" t="str"/>
      <x:c r="N941" s="7" t="str">
        <x:f>IF(M941="","OPEN",IF(OR(NOT(ISNUMBER(H941)),NOT(ISNUMBER(I941)),K941="",L941=""),"FAIL","PASS"))</x:f>
        <x:v>OPEN</x:v>
      </x:c>
    </x:row>
    <x:row r="942">
      <x:c r="B942" s="7" t="str">
        <x:v>TRO-B-15-S6-O2-R2</x:v>
      </x:c>
      <x:c r="C942" s="7" t="str">
        <x:v>BLD-B</x:v>
      </x:c>
      <x:c r="D942" s="7" t="str">
        <x:v>MF-15</x:v>
      </x:c>
      <x:c r="E942" s="7" t="str">
        <x:v>STD-15-6</x:v>
      </x:c>
      <x:c r="F942" s="7" t="str">
        <x:v>OP-2</x:v>
      </x:c>
      <x:c r="G942" s="7" t="n">
        <x:v>2</x:v>
      </x:c>
      <x:c r="H942" s="7" t="str"/>
      <x:c r="I942" s="7" t="str"/>
      <x:c r="J942" s="7" t="str">
        <x:f>IF(OR(H942="",I942=""),"",I942-H942)</x:f>
      </x:c>
      <x:c r="K942" s="7" t="str"/>
      <x:c r="L942" s="7" t="str"/>
      <x:c r="M942" s="7" t="str"/>
      <x:c r="N942" s="7" t="str">
        <x:f>IF(M942="","OPEN",IF(OR(NOT(ISNUMBER(H942)),NOT(ISNUMBER(I942)),K942="",L942=""),"FAIL","PASS"))</x:f>
        <x:v>OPEN</x:v>
      </x:c>
    </x:row>
    <x:row r="943">
      <x:c r="B943" s="7" t="str">
        <x:v>TRO-B-16-S1-O1-R1</x:v>
      </x:c>
      <x:c r="C943" s="7" t="str">
        <x:v>BLD-B</x:v>
      </x:c>
      <x:c r="D943" s="7" t="str">
        <x:v>MF-16</x:v>
      </x:c>
      <x:c r="E943" s="7" t="str">
        <x:v>STD-16-1</x:v>
      </x:c>
      <x:c r="F943" s="7" t="str">
        <x:v>OP-1</x:v>
      </x:c>
      <x:c r="G943" s="7" t="n">
        <x:v>1</x:v>
      </x:c>
      <x:c r="H943" s="7" t="str"/>
      <x:c r="I943" s="7" t="str"/>
      <x:c r="J943" s="7" t="str">
        <x:f>IF(OR(H943="",I943=""),"",I943-H943)</x:f>
      </x:c>
      <x:c r="K943" s="7" t="str"/>
      <x:c r="L943" s="7" t="str"/>
      <x:c r="M943" s="7" t="str"/>
      <x:c r="N943" s="7" t="str">
        <x:f>IF(M943="","OPEN",IF(OR(NOT(ISNUMBER(H943)),NOT(ISNUMBER(I943)),K943="",L943=""),"FAIL","PASS"))</x:f>
        <x:v>OPEN</x:v>
      </x:c>
    </x:row>
    <x:row r="944">
      <x:c r="B944" s="7" t="str">
        <x:v>TRO-B-16-S1-O1-R2</x:v>
      </x:c>
      <x:c r="C944" s="7" t="str">
        <x:v>BLD-B</x:v>
      </x:c>
      <x:c r="D944" s="7" t="str">
        <x:v>MF-16</x:v>
      </x:c>
      <x:c r="E944" s="7" t="str">
        <x:v>STD-16-1</x:v>
      </x:c>
      <x:c r="F944" s="7" t="str">
        <x:v>OP-1</x:v>
      </x:c>
      <x:c r="G944" s="7" t="n">
        <x:v>2</x:v>
      </x:c>
      <x:c r="H944" s="7" t="str"/>
      <x:c r="I944" s="7" t="str"/>
      <x:c r="J944" s="7" t="str">
        <x:f>IF(OR(H944="",I944=""),"",I944-H944)</x:f>
      </x:c>
      <x:c r="K944" s="7" t="str"/>
      <x:c r="L944" s="7" t="str"/>
      <x:c r="M944" s="7" t="str"/>
      <x:c r="N944" s="7" t="str">
        <x:f>IF(M944="","OPEN",IF(OR(NOT(ISNUMBER(H944)),NOT(ISNUMBER(I944)),K944="",L944=""),"FAIL","PASS"))</x:f>
        <x:v>OPEN</x:v>
      </x:c>
    </x:row>
    <x:row r="945">
      <x:c r="B945" s="7" t="str">
        <x:v>TRO-B-16-S1-O2-R1</x:v>
      </x:c>
      <x:c r="C945" s="7" t="str">
        <x:v>BLD-B</x:v>
      </x:c>
      <x:c r="D945" s="7" t="str">
        <x:v>MF-16</x:v>
      </x:c>
      <x:c r="E945" s="7" t="str">
        <x:v>STD-16-1</x:v>
      </x:c>
      <x:c r="F945" s="7" t="str">
        <x:v>OP-2</x:v>
      </x:c>
      <x:c r="G945" s="7" t="n">
        <x:v>1</x:v>
      </x:c>
      <x:c r="H945" s="7" t="str"/>
      <x:c r="I945" s="7" t="str"/>
      <x:c r="J945" s="7" t="str">
        <x:f>IF(OR(H945="",I945=""),"",I945-H945)</x:f>
      </x:c>
      <x:c r="K945" s="7" t="str"/>
      <x:c r="L945" s="7" t="str"/>
      <x:c r="M945" s="7" t="str"/>
      <x:c r="N945" s="7" t="str">
        <x:f>IF(M945="","OPEN",IF(OR(NOT(ISNUMBER(H945)),NOT(ISNUMBER(I945)),K945="",L945=""),"FAIL","PASS"))</x:f>
        <x:v>OPEN</x:v>
      </x:c>
    </x:row>
    <x:row r="946">
      <x:c r="B946" s="7" t="str">
        <x:v>TRO-B-16-S1-O2-R2</x:v>
      </x:c>
      <x:c r="C946" s="7" t="str">
        <x:v>BLD-B</x:v>
      </x:c>
      <x:c r="D946" s="7" t="str">
        <x:v>MF-16</x:v>
      </x:c>
      <x:c r="E946" s="7" t="str">
        <x:v>STD-16-1</x:v>
      </x:c>
      <x:c r="F946" s="7" t="str">
        <x:v>OP-2</x:v>
      </x:c>
      <x:c r="G946" s="7" t="n">
        <x:v>2</x:v>
      </x:c>
      <x:c r="H946" s="7" t="str"/>
      <x:c r="I946" s="7" t="str"/>
      <x:c r="J946" s="7" t="str">
        <x:f>IF(OR(H946="",I946=""),"",I946-H946)</x:f>
      </x:c>
      <x:c r="K946" s="7" t="str"/>
      <x:c r="L946" s="7" t="str"/>
      <x:c r="M946" s="7" t="str"/>
      <x:c r="N946" s="7" t="str">
        <x:f>IF(M946="","OPEN",IF(OR(NOT(ISNUMBER(H946)),NOT(ISNUMBER(I946)),K946="",L946=""),"FAIL","PASS"))</x:f>
        <x:v>OPEN</x:v>
      </x:c>
    </x:row>
    <x:row r="947">
      <x:c r="B947" s="7" t="str">
        <x:v>TRO-B-16-S2-O1-R1</x:v>
      </x:c>
      <x:c r="C947" s="7" t="str">
        <x:v>BLD-B</x:v>
      </x:c>
      <x:c r="D947" s="7" t="str">
        <x:v>MF-16</x:v>
      </x:c>
      <x:c r="E947" s="7" t="str">
        <x:v>STD-16-2</x:v>
      </x:c>
      <x:c r="F947" s="7" t="str">
        <x:v>OP-1</x:v>
      </x:c>
      <x:c r="G947" s="7" t="n">
        <x:v>1</x:v>
      </x:c>
      <x:c r="H947" s="7" t="str"/>
      <x:c r="I947" s="7" t="str"/>
      <x:c r="J947" s="7" t="str">
        <x:f>IF(OR(H947="",I947=""),"",I947-H947)</x:f>
      </x:c>
      <x:c r="K947" s="7" t="str"/>
      <x:c r="L947" s="7" t="str"/>
      <x:c r="M947" s="7" t="str"/>
      <x:c r="N947" s="7" t="str">
        <x:f>IF(M947="","OPEN",IF(OR(NOT(ISNUMBER(H947)),NOT(ISNUMBER(I947)),K947="",L947=""),"FAIL","PASS"))</x:f>
        <x:v>OPEN</x:v>
      </x:c>
    </x:row>
    <x:row r="948">
      <x:c r="B948" s="7" t="str">
        <x:v>TRO-B-16-S2-O1-R2</x:v>
      </x:c>
      <x:c r="C948" s="7" t="str">
        <x:v>BLD-B</x:v>
      </x:c>
      <x:c r="D948" s="7" t="str">
        <x:v>MF-16</x:v>
      </x:c>
      <x:c r="E948" s="7" t="str">
        <x:v>STD-16-2</x:v>
      </x:c>
      <x:c r="F948" s="7" t="str">
        <x:v>OP-1</x:v>
      </x:c>
      <x:c r="G948" s="7" t="n">
        <x:v>2</x:v>
      </x:c>
      <x:c r="H948" s="7" t="str"/>
      <x:c r="I948" s="7" t="str"/>
      <x:c r="J948" s="7" t="str">
        <x:f>IF(OR(H948="",I948=""),"",I948-H948)</x:f>
      </x:c>
      <x:c r="K948" s="7" t="str"/>
      <x:c r="L948" s="7" t="str"/>
      <x:c r="M948" s="7" t="str"/>
      <x:c r="N948" s="7" t="str">
        <x:f>IF(M948="","OPEN",IF(OR(NOT(ISNUMBER(H948)),NOT(ISNUMBER(I948)),K948="",L948=""),"FAIL","PASS"))</x:f>
        <x:v>OPEN</x:v>
      </x:c>
    </x:row>
    <x:row r="949">
      <x:c r="B949" s="7" t="str">
        <x:v>TRO-B-16-S2-O2-R1</x:v>
      </x:c>
      <x:c r="C949" s="7" t="str">
        <x:v>BLD-B</x:v>
      </x:c>
      <x:c r="D949" s="7" t="str">
        <x:v>MF-16</x:v>
      </x:c>
      <x:c r="E949" s="7" t="str">
        <x:v>STD-16-2</x:v>
      </x:c>
      <x:c r="F949" s="7" t="str">
        <x:v>OP-2</x:v>
      </x:c>
      <x:c r="G949" s="7" t="n">
        <x:v>1</x:v>
      </x:c>
      <x:c r="H949" s="7" t="str"/>
      <x:c r="I949" s="7" t="str"/>
      <x:c r="J949" s="7" t="str">
        <x:f>IF(OR(H949="",I949=""),"",I949-H949)</x:f>
      </x:c>
      <x:c r="K949" s="7" t="str"/>
      <x:c r="L949" s="7" t="str"/>
      <x:c r="M949" s="7" t="str"/>
      <x:c r="N949" s="7" t="str">
        <x:f>IF(M949="","OPEN",IF(OR(NOT(ISNUMBER(H949)),NOT(ISNUMBER(I949)),K949="",L949=""),"FAIL","PASS"))</x:f>
        <x:v>OPEN</x:v>
      </x:c>
    </x:row>
    <x:row r="950">
      <x:c r="B950" s="7" t="str">
        <x:v>TRO-B-16-S2-O2-R2</x:v>
      </x:c>
      <x:c r="C950" s="7" t="str">
        <x:v>BLD-B</x:v>
      </x:c>
      <x:c r="D950" s="7" t="str">
        <x:v>MF-16</x:v>
      </x:c>
      <x:c r="E950" s="7" t="str">
        <x:v>STD-16-2</x:v>
      </x:c>
      <x:c r="F950" s="7" t="str">
        <x:v>OP-2</x:v>
      </x:c>
      <x:c r="G950" s="7" t="n">
        <x:v>2</x:v>
      </x:c>
      <x:c r="H950" s="7" t="str"/>
      <x:c r="I950" s="7" t="str"/>
      <x:c r="J950" s="7" t="str">
        <x:f>IF(OR(H950="",I950=""),"",I950-H950)</x:f>
      </x:c>
      <x:c r="K950" s="7" t="str"/>
      <x:c r="L950" s="7" t="str"/>
      <x:c r="M950" s="7" t="str"/>
      <x:c r="N950" s="7" t="str">
        <x:f>IF(M950="","OPEN",IF(OR(NOT(ISNUMBER(H950)),NOT(ISNUMBER(I950)),K950="",L950=""),"FAIL","PASS"))</x:f>
        <x:v>OPEN</x:v>
      </x:c>
    </x:row>
    <x:row r="951">
      <x:c r="B951" s="7" t="str">
        <x:v>TRO-B-16-S3-O1-R1</x:v>
      </x:c>
      <x:c r="C951" s="7" t="str">
        <x:v>BLD-B</x:v>
      </x:c>
      <x:c r="D951" s="7" t="str">
        <x:v>MF-16</x:v>
      </x:c>
      <x:c r="E951" s="7" t="str">
        <x:v>STD-16-3</x:v>
      </x:c>
      <x:c r="F951" s="7" t="str">
        <x:v>OP-1</x:v>
      </x:c>
      <x:c r="G951" s="7" t="n">
        <x:v>1</x:v>
      </x:c>
      <x:c r="H951" s="7" t="str"/>
      <x:c r="I951" s="7" t="str"/>
      <x:c r="J951" s="7" t="str">
        <x:f>IF(OR(H951="",I951=""),"",I951-H951)</x:f>
      </x:c>
      <x:c r="K951" s="7" t="str"/>
      <x:c r="L951" s="7" t="str"/>
      <x:c r="M951" s="7" t="str"/>
      <x:c r="N951" s="7" t="str">
        <x:f>IF(M951="","OPEN",IF(OR(NOT(ISNUMBER(H951)),NOT(ISNUMBER(I951)),K951="",L951=""),"FAIL","PASS"))</x:f>
        <x:v>OPEN</x:v>
      </x:c>
    </x:row>
    <x:row r="952">
      <x:c r="B952" s="7" t="str">
        <x:v>TRO-B-16-S3-O1-R2</x:v>
      </x:c>
      <x:c r="C952" s="7" t="str">
        <x:v>BLD-B</x:v>
      </x:c>
      <x:c r="D952" s="7" t="str">
        <x:v>MF-16</x:v>
      </x:c>
      <x:c r="E952" s="7" t="str">
        <x:v>STD-16-3</x:v>
      </x:c>
      <x:c r="F952" s="7" t="str">
        <x:v>OP-1</x:v>
      </x:c>
      <x:c r="G952" s="7" t="n">
        <x:v>2</x:v>
      </x:c>
      <x:c r="H952" s="7" t="str"/>
      <x:c r="I952" s="7" t="str"/>
      <x:c r="J952" s="7" t="str">
        <x:f>IF(OR(H952="",I952=""),"",I952-H952)</x:f>
      </x:c>
      <x:c r="K952" s="7" t="str"/>
      <x:c r="L952" s="7" t="str"/>
      <x:c r="M952" s="7" t="str"/>
      <x:c r="N952" s="7" t="str">
        <x:f>IF(M952="","OPEN",IF(OR(NOT(ISNUMBER(H952)),NOT(ISNUMBER(I952)),K952="",L952=""),"FAIL","PASS"))</x:f>
        <x:v>OPEN</x:v>
      </x:c>
    </x:row>
    <x:row r="953">
      <x:c r="B953" s="7" t="str">
        <x:v>TRO-B-16-S3-O2-R1</x:v>
      </x:c>
      <x:c r="C953" s="7" t="str">
        <x:v>BLD-B</x:v>
      </x:c>
      <x:c r="D953" s="7" t="str">
        <x:v>MF-16</x:v>
      </x:c>
      <x:c r="E953" s="7" t="str">
        <x:v>STD-16-3</x:v>
      </x:c>
      <x:c r="F953" s="7" t="str">
        <x:v>OP-2</x:v>
      </x:c>
      <x:c r="G953" s="7" t="n">
        <x:v>1</x:v>
      </x:c>
      <x:c r="H953" s="7" t="str"/>
      <x:c r="I953" s="7" t="str"/>
      <x:c r="J953" s="7" t="str">
        <x:f>IF(OR(H953="",I953=""),"",I953-H953)</x:f>
      </x:c>
      <x:c r="K953" s="7" t="str"/>
      <x:c r="L953" s="7" t="str"/>
      <x:c r="M953" s="7" t="str"/>
      <x:c r="N953" s="7" t="str">
        <x:f>IF(M953="","OPEN",IF(OR(NOT(ISNUMBER(H953)),NOT(ISNUMBER(I953)),K953="",L953=""),"FAIL","PASS"))</x:f>
        <x:v>OPEN</x:v>
      </x:c>
    </x:row>
    <x:row r="954">
      <x:c r="B954" s="7" t="str">
        <x:v>TRO-B-16-S3-O2-R2</x:v>
      </x:c>
      <x:c r="C954" s="7" t="str">
        <x:v>BLD-B</x:v>
      </x:c>
      <x:c r="D954" s="7" t="str">
        <x:v>MF-16</x:v>
      </x:c>
      <x:c r="E954" s="7" t="str">
        <x:v>STD-16-3</x:v>
      </x:c>
      <x:c r="F954" s="7" t="str">
        <x:v>OP-2</x:v>
      </x:c>
      <x:c r="G954" s="7" t="n">
        <x:v>2</x:v>
      </x:c>
      <x:c r="H954" s="7" t="str"/>
      <x:c r="I954" s="7" t="str"/>
      <x:c r="J954" s="7" t="str">
        <x:f>IF(OR(H954="",I954=""),"",I954-H954)</x:f>
      </x:c>
      <x:c r="K954" s="7" t="str"/>
      <x:c r="L954" s="7" t="str"/>
      <x:c r="M954" s="7" t="str"/>
      <x:c r="N954" s="7" t="str">
        <x:f>IF(M954="","OPEN",IF(OR(NOT(ISNUMBER(H954)),NOT(ISNUMBER(I954)),K954="",L954=""),"FAIL","PASS"))</x:f>
        <x:v>OPEN</x:v>
      </x:c>
    </x:row>
    <x:row r="955">
      <x:c r="B955" s="7" t="str">
        <x:v>TRO-B-16-S4-O1-R1</x:v>
      </x:c>
      <x:c r="C955" s="7" t="str">
        <x:v>BLD-B</x:v>
      </x:c>
      <x:c r="D955" s="7" t="str">
        <x:v>MF-16</x:v>
      </x:c>
      <x:c r="E955" s="7" t="str">
        <x:v>STD-16-4</x:v>
      </x:c>
      <x:c r="F955" s="7" t="str">
        <x:v>OP-1</x:v>
      </x:c>
      <x:c r="G955" s="7" t="n">
        <x:v>1</x:v>
      </x:c>
      <x:c r="H955" s="7" t="str"/>
      <x:c r="I955" s="7" t="str"/>
      <x:c r="J955" s="7" t="str">
        <x:f>IF(OR(H955="",I955=""),"",I955-H955)</x:f>
      </x:c>
      <x:c r="K955" s="7" t="str"/>
      <x:c r="L955" s="7" t="str"/>
      <x:c r="M955" s="7" t="str"/>
      <x:c r="N955" s="7" t="str">
        <x:f>IF(M955="","OPEN",IF(OR(NOT(ISNUMBER(H955)),NOT(ISNUMBER(I955)),K955="",L955=""),"FAIL","PASS"))</x:f>
        <x:v>OPEN</x:v>
      </x:c>
    </x:row>
    <x:row r="956">
      <x:c r="B956" s="7" t="str">
        <x:v>TRO-B-16-S4-O1-R2</x:v>
      </x:c>
      <x:c r="C956" s="7" t="str">
        <x:v>BLD-B</x:v>
      </x:c>
      <x:c r="D956" s="7" t="str">
        <x:v>MF-16</x:v>
      </x:c>
      <x:c r="E956" s="7" t="str">
        <x:v>STD-16-4</x:v>
      </x:c>
      <x:c r="F956" s="7" t="str">
        <x:v>OP-1</x:v>
      </x:c>
      <x:c r="G956" s="7" t="n">
        <x:v>2</x:v>
      </x:c>
      <x:c r="H956" s="7" t="str"/>
      <x:c r="I956" s="7" t="str"/>
      <x:c r="J956" s="7" t="str">
        <x:f>IF(OR(H956="",I956=""),"",I956-H956)</x:f>
      </x:c>
      <x:c r="K956" s="7" t="str"/>
      <x:c r="L956" s="7" t="str"/>
      <x:c r="M956" s="7" t="str"/>
      <x:c r="N956" s="7" t="str">
        <x:f>IF(M956="","OPEN",IF(OR(NOT(ISNUMBER(H956)),NOT(ISNUMBER(I956)),K956="",L956=""),"FAIL","PASS"))</x:f>
        <x:v>OPEN</x:v>
      </x:c>
    </x:row>
    <x:row r="957">
      <x:c r="B957" s="7" t="str">
        <x:v>TRO-B-16-S4-O2-R1</x:v>
      </x:c>
      <x:c r="C957" s="7" t="str">
        <x:v>BLD-B</x:v>
      </x:c>
      <x:c r="D957" s="7" t="str">
        <x:v>MF-16</x:v>
      </x:c>
      <x:c r="E957" s="7" t="str">
        <x:v>STD-16-4</x:v>
      </x:c>
      <x:c r="F957" s="7" t="str">
        <x:v>OP-2</x:v>
      </x:c>
      <x:c r="G957" s="7" t="n">
        <x:v>1</x:v>
      </x:c>
      <x:c r="H957" s="7" t="str"/>
      <x:c r="I957" s="7" t="str"/>
      <x:c r="J957" s="7" t="str">
        <x:f>IF(OR(H957="",I957=""),"",I957-H957)</x:f>
      </x:c>
      <x:c r="K957" s="7" t="str"/>
      <x:c r="L957" s="7" t="str"/>
      <x:c r="M957" s="7" t="str"/>
      <x:c r="N957" s="7" t="str">
        <x:f>IF(M957="","OPEN",IF(OR(NOT(ISNUMBER(H957)),NOT(ISNUMBER(I957)),K957="",L957=""),"FAIL","PASS"))</x:f>
        <x:v>OPEN</x:v>
      </x:c>
    </x:row>
    <x:row r="958">
      <x:c r="B958" s="7" t="str">
        <x:v>TRO-B-16-S4-O2-R2</x:v>
      </x:c>
      <x:c r="C958" s="7" t="str">
        <x:v>BLD-B</x:v>
      </x:c>
      <x:c r="D958" s="7" t="str">
        <x:v>MF-16</x:v>
      </x:c>
      <x:c r="E958" s="7" t="str">
        <x:v>STD-16-4</x:v>
      </x:c>
      <x:c r="F958" s="7" t="str">
        <x:v>OP-2</x:v>
      </x:c>
      <x:c r="G958" s="7" t="n">
        <x:v>2</x:v>
      </x:c>
      <x:c r="H958" s="7" t="str"/>
      <x:c r="I958" s="7" t="str"/>
      <x:c r="J958" s="7" t="str">
        <x:f>IF(OR(H958="",I958=""),"",I958-H958)</x:f>
      </x:c>
      <x:c r="K958" s="7" t="str"/>
      <x:c r="L958" s="7" t="str"/>
      <x:c r="M958" s="7" t="str"/>
      <x:c r="N958" s="7" t="str">
        <x:f>IF(M958="","OPEN",IF(OR(NOT(ISNUMBER(H958)),NOT(ISNUMBER(I958)),K958="",L958=""),"FAIL","PASS"))</x:f>
        <x:v>OPEN</x:v>
      </x:c>
    </x:row>
    <x:row r="959">
      <x:c r="B959" s="7" t="str">
        <x:v>TRO-B-16-S5-O1-R1</x:v>
      </x:c>
      <x:c r="C959" s="7" t="str">
        <x:v>BLD-B</x:v>
      </x:c>
      <x:c r="D959" s="7" t="str">
        <x:v>MF-16</x:v>
      </x:c>
      <x:c r="E959" s="7" t="str">
        <x:v>STD-16-5</x:v>
      </x:c>
      <x:c r="F959" s="7" t="str">
        <x:v>OP-1</x:v>
      </x:c>
      <x:c r="G959" s="7" t="n">
        <x:v>1</x:v>
      </x:c>
      <x:c r="H959" s="7" t="str"/>
      <x:c r="I959" s="7" t="str"/>
      <x:c r="J959" s="7" t="str">
        <x:f>IF(OR(H959="",I959=""),"",I959-H959)</x:f>
      </x:c>
      <x:c r="K959" s="7" t="str"/>
      <x:c r="L959" s="7" t="str"/>
      <x:c r="M959" s="7" t="str"/>
      <x:c r="N959" s="7" t="str">
        <x:f>IF(M959="","OPEN",IF(OR(NOT(ISNUMBER(H959)),NOT(ISNUMBER(I959)),K959="",L959=""),"FAIL","PASS"))</x:f>
        <x:v>OPEN</x:v>
      </x:c>
    </x:row>
    <x:row r="960">
      <x:c r="B960" s="7" t="str">
        <x:v>TRO-B-16-S5-O1-R2</x:v>
      </x:c>
      <x:c r="C960" s="7" t="str">
        <x:v>BLD-B</x:v>
      </x:c>
      <x:c r="D960" s="7" t="str">
        <x:v>MF-16</x:v>
      </x:c>
      <x:c r="E960" s="7" t="str">
        <x:v>STD-16-5</x:v>
      </x:c>
      <x:c r="F960" s="7" t="str">
        <x:v>OP-1</x:v>
      </x:c>
      <x:c r="G960" s="7" t="n">
        <x:v>2</x:v>
      </x:c>
      <x:c r="H960" s="7" t="str"/>
      <x:c r="I960" s="7" t="str"/>
      <x:c r="J960" s="7" t="str">
        <x:f>IF(OR(H960="",I960=""),"",I960-H960)</x:f>
      </x:c>
      <x:c r="K960" s="7" t="str"/>
      <x:c r="L960" s="7" t="str"/>
      <x:c r="M960" s="7" t="str"/>
      <x:c r="N960" s="7" t="str">
        <x:f>IF(M960="","OPEN",IF(OR(NOT(ISNUMBER(H960)),NOT(ISNUMBER(I960)),K960="",L960=""),"FAIL","PASS"))</x:f>
        <x:v>OPEN</x:v>
      </x:c>
    </x:row>
    <x:row r="961">
      <x:c r="B961" s="7" t="str">
        <x:v>TRO-B-16-S5-O2-R1</x:v>
      </x:c>
      <x:c r="C961" s="7" t="str">
        <x:v>BLD-B</x:v>
      </x:c>
      <x:c r="D961" s="7" t="str">
        <x:v>MF-16</x:v>
      </x:c>
      <x:c r="E961" s="7" t="str">
        <x:v>STD-16-5</x:v>
      </x:c>
      <x:c r="F961" s="7" t="str">
        <x:v>OP-2</x:v>
      </x:c>
      <x:c r="G961" s="7" t="n">
        <x:v>1</x:v>
      </x:c>
      <x:c r="H961" s="7" t="str"/>
      <x:c r="I961" s="7" t="str"/>
      <x:c r="J961" s="7" t="str">
        <x:f>IF(OR(H961="",I961=""),"",I961-H961)</x:f>
      </x:c>
      <x:c r="K961" s="7" t="str"/>
      <x:c r="L961" s="7" t="str"/>
      <x:c r="M961" s="7" t="str"/>
      <x:c r="N961" s="7" t="str">
        <x:f>IF(M961="","OPEN",IF(OR(NOT(ISNUMBER(H961)),NOT(ISNUMBER(I961)),K961="",L961=""),"FAIL","PASS"))</x:f>
        <x:v>OPEN</x:v>
      </x:c>
    </x:row>
    <x:row r="962">
      <x:c r="B962" s="7" t="str">
        <x:v>TRO-B-16-S5-O2-R2</x:v>
      </x:c>
      <x:c r="C962" s="7" t="str">
        <x:v>BLD-B</x:v>
      </x:c>
      <x:c r="D962" s="7" t="str">
        <x:v>MF-16</x:v>
      </x:c>
      <x:c r="E962" s="7" t="str">
        <x:v>STD-16-5</x:v>
      </x:c>
      <x:c r="F962" s="7" t="str">
        <x:v>OP-2</x:v>
      </x:c>
      <x:c r="G962" s="7" t="n">
        <x:v>2</x:v>
      </x:c>
      <x:c r="H962" s="7" t="str"/>
      <x:c r="I962" s="7" t="str"/>
      <x:c r="J962" s="7" t="str">
        <x:f>IF(OR(H962="",I962=""),"",I962-H962)</x:f>
      </x:c>
      <x:c r="K962" s="7" t="str"/>
      <x:c r="L962" s="7" t="str"/>
      <x:c r="M962" s="7" t="str"/>
      <x:c r="N962" s="7" t="str">
        <x:f>IF(M962="","OPEN",IF(OR(NOT(ISNUMBER(H962)),NOT(ISNUMBER(I962)),K962="",L962=""),"FAIL","PASS"))</x:f>
        <x:v>OPEN</x:v>
      </x:c>
    </x:row>
    <x:row r="963">
      <x:c r="B963" s="7" t="str">
        <x:v>TRO-B-16-S6-O1-R1</x:v>
      </x:c>
      <x:c r="C963" s="7" t="str">
        <x:v>BLD-B</x:v>
      </x:c>
      <x:c r="D963" s="7" t="str">
        <x:v>MF-16</x:v>
      </x:c>
      <x:c r="E963" s="7" t="str">
        <x:v>STD-16-6</x:v>
      </x:c>
      <x:c r="F963" s="7" t="str">
        <x:v>OP-1</x:v>
      </x:c>
      <x:c r="G963" s="7" t="n">
        <x:v>1</x:v>
      </x:c>
      <x:c r="H963" s="7" t="str"/>
      <x:c r="I963" s="7" t="str"/>
      <x:c r="J963" s="7" t="str">
        <x:f>IF(OR(H963="",I963=""),"",I963-H963)</x:f>
      </x:c>
      <x:c r="K963" s="7" t="str"/>
      <x:c r="L963" s="7" t="str"/>
      <x:c r="M963" s="7" t="str"/>
      <x:c r="N963" s="7" t="str">
        <x:f>IF(M963="","OPEN",IF(OR(NOT(ISNUMBER(H963)),NOT(ISNUMBER(I963)),K963="",L963=""),"FAIL","PASS"))</x:f>
        <x:v>OPEN</x:v>
      </x:c>
    </x:row>
    <x:row r="964">
      <x:c r="B964" s="7" t="str">
        <x:v>TRO-B-16-S6-O1-R2</x:v>
      </x:c>
      <x:c r="C964" s="7" t="str">
        <x:v>BLD-B</x:v>
      </x:c>
      <x:c r="D964" s="7" t="str">
        <x:v>MF-16</x:v>
      </x:c>
      <x:c r="E964" s="7" t="str">
        <x:v>STD-16-6</x:v>
      </x:c>
      <x:c r="F964" s="7" t="str">
        <x:v>OP-1</x:v>
      </x:c>
      <x:c r="G964" s="7" t="n">
        <x:v>2</x:v>
      </x:c>
      <x:c r="H964" s="7" t="str"/>
      <x:c r="I964" s="7" t="str"/>
      <x:c r="J964" s="7" t="str">
        <x:f>IF(OR(H964="",I964=""),"",I964-H964)</x:f>
      </x:c>
      <x:c r="K964" s="7" t="str"/>
      <x:c r="L964" s="7" t="str"/>
      <x:c r="M964" s="7" t="str"/>
      <x:c r="N964" s="7" t="str">
        <x:f>IF(M964="","OPEN",IF(OR(NOT(ISNUMBER(H964)),NOT(ISNUMBER(I964)),K964="",L964=""),"FAIL","PASS"))</x:f>
        <x:v>OPEN</x:v>
      </x:c>
    </x:row>
    <x:row r="965">
      <x:c r="B965" s="7" t="str">
        <x:v>TRO-B-16-S6-O2-R1</x:v>
      </x:c>
      <x:c r="C965" s="7" t="str">
        <x:v>BLD-B</x:v>
      </x:c>
      <x:c r="D965" s="7" t="str">
        <x:v>MF-16</x:v>
      </x:c>
      <x:c r="E965" s="7" t="str">
        <x:v>STD-16-6</x:v>
      </x:c>
      <x:c r="F965" s="7" t="str">
        <x:v>OP-2</x:v>
      </x:c>
      <x:c r="G965" s="7" t="n">
        <x:v>1</x:v>
      </x:c>
      <x:c r="H965" s="7" t="str"/>
      <x:c r="I965" s="7" t="str"/>
      <x:c r="J965" s="7" t="str">
        <x:f>IF(OR(H965="",I965=""),"",I965-H965)</x:f>
      </x:c>
      <x:c r="K965" s="7" t="str"/>
      <x:c r="L965" s="7" t="str"/>
      <x:c r="M965" s="7" t="str"/>
      <x:c r="N965" s="7" t="str">
        <x:f>IF(M965="","OPEN",IF(OR(NOT(ISNUMBER(H965)),NOT(ISNUMBER(I965)),K965="",L965=""),"FAIL","PASS"))</x:f>
        <x:v>OPEN</x:v>
      </x:c>
    </x:row>
    <x:row r="966">
      <x:c r="B966" s="7" t="str">
        <x:v>TRO-B-16-S6-O2-R2</x:v>
      </x:c>
      <x:c r="C966" s="7" t="str">
        <x:v>BLD-B</x:v>
      </x:c>
      <x:c r="D966" s="7" t="str">
        <x:v>MF-16</x:v>
      </x:c>
      <x:c r="E966" s="7" t="str">
        <x:v>STD-16-6</x:v>
      </x:c>
      <x:c r="F966" s="7" t="str">
        <x:v>OP-2</x:v>
      </x:c>
      <x:c r="G966" s="7" t="n">
        <x:v>2</x:v>
      </x:c>
      <x:c r="H966" s="7" t="str"/>
      <x:c r="I966" s="7" t="str"/>
      <x:c r="J966" s="7" t="str">
        <x:f>IF(OR(H966="",I966=""),"",I966-H966)</x:f>
      </x:c>
      <x:c r="K966" s="7" t="str"/>
      <x:c r="L966" s="7" t="str"/>
      <x:c r="M966" s="7" t="str"/>
      <x:c r="N966" s="7" t="str">
        <x:f>IF(M966="","OPEN",IF(OR(NOT(ISNUMBER(H966)),NOT(ISNUMBER(I966)),K966="",L966=""),"FAIL","PASS"))</x:f>
        <x:v>OPEN</x:v>
      </x:c>
    </x:row>
    <x:row r="967">
      <x:c r="B967" s="7" t="str">
        <x:v>TRO-B-17-S1-O1-R1</x:v>
      </x:c>
      <x:c r="C967" s="7" t="str">
        <x:v>BLD-B</x:v>
      </x:c>
      <x:c r="D967" s="7" t="str">
        <x:v>MF-17</x:v>
      </x:c>
      <x:c r="E967" s="7" t="str">
        <x:v>STD-17-1</x:v>
      </x:c>
      <x:c r="F967" s="7" t="str">
        <x:v>OP-1</x:v>
      </x:c>
      <x:c r="G967" s="7" t="n">
        <x:v>1</x:v>
      </x:c>
      <x:c r="H967" s="7" t="str"/>
      <x:c r="I967" s="7" t="str"/>
      <x:c r="J967" s="7" t="str">
        <x:f>IF(OR(H967="",I967=""),"",I967-H967)</x:f>
      </x:c>
      <x:c r="K967" s="7" t="str"/>
      <x:c r="L967" s="7" t="str"/>
      <x:c r="M967" s="7" t="str"/>
      <x:c r="N967" s="7" t="str">
        <x:f>IF(M967="","OPEN",IF(OR(NOT(ISNUMBER(H967)),NOT(ISNUMBER(I967)),K967="",L967=""),"FAIL","PASS"))</x:f>
        <x:v>OPEN</x:v>
      </x:c>
    </x:row>
    <x:row r="968">
      <x:c r="B968" s="7" t="str">
        <x:v>TRO-B-17-S1-O1-R2</x:v>
      </x:c>
      <x:c r="C968" s="7" t="str">
        <x:v>BLD-B</x:v>
      </x:c>
      <x:c r="D968" s="7" t="str">
        <x:v>MF-17</x:v>
      </x:c>
      <x:c r="E968" s="7" t="str">
        <x:v>STD-17-1</x:v>
      </x:c>
      <x:c r="F968" s="7" t="str">
        <x:v>OP-1</x:v>
      </x:c>
      <x:c r="G968" s="7" t="n">
        <x:v>2</x:v>
      </x:c>
      <x:c r="H968" s="7" t="str"/>
      <x:c r="I968" s="7" t="str"/>
      <x:c r="J968" s="7" t="str">
        <x:f>IF(OR(H968="",I968=""),"",I968-H968)</x:f>
      </x:c>
      <x:c r="K968" s="7" t="str"/>
      <x:c r="L968" s="7" t="str"/>
      <x:c r="M968" s="7" t="str"/>
      <x:c r="N968" s="7" t="str">
        <x:f>IF(M968="","OPEN",IF(OR(NOT(ISNUMBER(H968)),NOT(ISNUMBER(I968)),K968="",L968=""),"FAIL","PASS"))</x:f>
        <x:v>OPEN</x:v>
      </x:c>
    </x:row>
    <x:row r="969">
      <x:c r="B969" s="7" t="str">
        <x:v>TRO-B-17-S1-O2-R1</x:v>
      </x:c>
      <x:c r="C969" s="7" t="str">
        <x:v>BLD-B</x:v>
      </x:c>
      <x:c r="D969" s="7" t="str">
        <x:v>MF-17</x:v>
      </x:c>
      <x:c r="E969" s="7" t="str">
        <x:v>STD-17-1</x:v>
      </x:c>
      <x:c r="F969" s="7" t="str">
        <x:v>OP-2</x:v>
      </x:c>
      <x:c r="G969" s="7" t="n">
        <x:v>1</x:v>
      </x:c>
      <x:c r="H969" s="7" t="str"/>
      <x:c r="I969" s="7" t="str"/>
      <x:c r="J969" s="7" t="str">
        <x:f>IF(OR(H969="",I969=""),"",I969-H969)</x:f>
      </x:c>
      <x:c r="K969" s="7" t="str"/>
      <x:c r="L969" s="7" t="str"/>
      <x:c r="M969" s="7" t="str"/>
      <x:c r="N969" s="7" t="str">
        <x:f>IF(M969="","OPEN",IF(OR(NOT(ISNUMBER(H969)),NOT(ISNUMBER(I969)),K969="",L969=""),"FAIL","PASS"))</x:f>
        <x:v>OPEN</x:v>
      </x:c>
    </x:row>
    <x:row r="970">
      <x:c r="B970" s="7" t="str">
        <x:v>TRO-B-17-S1-O2-R2</x:v>
      </x:c>
      <x:c r="C970" s="7" t="str">
        <x:v>BLD-B</x:v>
      </x:c>
      <x:c r="D970" s="7" t="str">
        <x:v>MF-17</x:v>
      </x:c>
      <x:c r="E970" s="7" t="str">
        <x:v>STD-17-1</x:v>
      </x:c>
      <x:c r="F970" s="7" t="str">
        <x:v>OP-2</x:v>
      </x:c>
      <x:c r="G970" s="7" t="n">
        <x:v>2</x:v>
      </x:c>
      <x:c r="H970" s="7" t="str"/>
      <x:c r="I970" s="7" t="str"/>
      <x:c r="J970" s="7" t="str">
        <x:f>IF(OR(H970="",I970=""),"",I970-H970)</x:f>
      </x:c>
      <x:c r="K970" s="7" t="str"/>
      <x:c r="L970" s="7" t="str"/>
      <x:c r="M970" s="7" t="str"/>
      <x:c r="N970" s="7" t="str">
        <x:f>IF(M970="","OPEN",IF(OR(NOT(ISNUMBER(H970)),NOT(ISNUMBER(I970)),K970="",L970=""),"FAIL","PASS"))</x:f>
        <x:v>OPEN</x:v>
      </x:c>
    </x:row>
    <x:row r="971">
      <x:c r="B971" s="7" t="str">
        <x:v>TRO-B-17-S2-O1-R1</x:v>
      </x:c>
      <x:c r="C971" s="7" t="str">
        <x:v>BLD-B</x:v>
      </x:c>
      <x:c r="D971" s="7" t="str">
        <x:v>MF-17</x:v>
      </x:c>
      <x:c r="E971" s="7" t="str">
        <x:v>STD-17-2</x:v>
      </x:c>
      <x:c r="F971" s="7" t="str">
        <x:v>OP-1</x:v>
      </x:c>
      <x:c r="G971" s="7" t="n">
        <x:v>1</x:v>
      </x:c>
      <x:c r="H971" s="7" t="str"/>
      <x:c r="I971" s="7" t="str"/>
      <x:c r="J971" s="7" t="str">
        <x:f>IF(OR(H971="",I971=""),"",I971-H971)</x:f>
      </x:c>
      <x:c r="K971" s="7" t="str"/>
      <x:c r="L971" s="7" t="str"/>
      <x:c r="M971" s="7" t="str"/>
      <x:c r="N971" s="7" t="str">
        <x:f>IF(M971="","OPEN",IF(OR(NOT(ISNUMBER(H971)),NOT(ISNUMBER(I971)),K971="",L971=""),"FAIL","PASS"))</x:f>
        <x:v>OPEN</x:v>
      </x:c>
    </x:row>
    <x:row r="972">
      <x:c r="B972" s="7" t="str">
        <x:v>TRO-B-17-S2-O1-R2</x:v>
      </x:c>
      <x:c r="C972" s="7" t="str">
        <x:v>BLD-B</x:v>
      </x:c>
      <x:c r="D972" s="7" t="str">
        <x:v>MF-17</x:v>
      </x:c>
      <x:c r="E972" s="7" t="str">
        <x:v>STD-17-2</x:v>
      </x:c>
      <x:c r="F972" s="7" t="str">
        <x:v>OP-1</x:v>
      </x:c>
      <x:c r="G972" s="7" t="n">
        <x:v>2</x:v>
      </x:c>
      <x:c r="H972" s="7" t="str"/>
      <x:c r="I972" s="7" t="str"/>
      <x:c r="J972" s="7" t="str">
        <x:f>IF(OR(H972="",I972=""),"",I972-H972)</x:f>
      </x:c>
      <x:c r="K972" s="7" t="str"/>
      <x:c r="L972" s="7" t="str"/>
      <x:c r="M972" s="7" t="str"/>
      <x:c r="N972" s="7" t="str">
        <x:f>IF(M972="","OPEN",IF(OR(NOT(ISNUMBER(H972)),NOT(ISNUMBER(I972)),K972="",L972=""),"FAIL","PASS"))</x:f>
        <x:v>OPEN</x:v>
      </x:c>
    </x:row>
    <x:row r="973">
      <x:c r="B973" s="7" t="str">
        <x:v>TRO-B-17-S2-O2-R1</x:v>
      </x:c>
      <x:c r="C973" s="7" t="str">
        <x:v>BLD-B</x:v>
      </x:c>
      <x:c r="D973" s="7" t="str">
        <x:v>MF-17</x:v>
      </x:c>
      <x:c r="E973" s="7" t="str">
        <x:v>STD-17-2</x:v>
      </x:c>
      <x:c r="F973" s="7" t="str">
        <x:v>OP-2</x:v>
      </x:c>
      <x:c r="G973" s="7" t="n">
        <x:v>1</x:v>
      </x:c>
      <x:c r="H973" s="7" t="str"/>
      <x:c r="I973" s="7" t="str"/>
      <x:c r="J973" s="7" t="str">
        <x:f>IF(OR(H973="",I973=""),"",I973-H973)</x:f>
      </x:c>
      <x:c r="K973" s="7" t="str"/>
      <x:c r="L973" s="7" t="str"/>
      <x:c r="M973" s="7" t="str"/>
      <x:c r="N973" s="7" t="str">
        <x:f>IF(M973="","OPEN",IF(OR(NOT(ISNUMBER(H973)),NOT(ISNUMBER(I973)),K973="",L973=""),"FAIL","PASS"))</x:f>
        <x:v>OPEN</x:v>
      </x:c>
    </x:row>
    <x:row r="974">
      <x:c r="B974" s="7" t="str">
        <x:v>TRO-B-17-S2-O2-R2</x:v>
      </x:c>
      <x:c r="C974" s="7" t="str">
        <x:v>BLD-B</x:v>
      </x:c>
      <x:c r="D974" s="7" t="str">
        <x:v>MF-17</x:v>
      </x:c>
      <x:c r="E974" s="7" t="str">
        <x:v>STD-17-2</x:v>
      </x:c>
      <x:c r="F974" s="7" t="str">
        <x:v>OP-2</x:v>
      </x:c>
      <x:c r="G974" s="7" t="n">
        <x:v>2</x:v>
      </x:c>
      <x:c r="H974" s="7" t="str"/>
      <x:c r="I974" s="7" t="str"/>
      <x:c r="J974" s="7" t="str">
        <x:f>IF(OR(H974="",I974=""),"",I974-H974)</x:f>
      </x:c>
      <x:c r="K974" s="7" t="str"/>
      <x:c r="L974" s="7" t="str"/>
      <x:c r="M974" s="7" t="str"/>
      <x:c r="N974" s="7" t="str">
        <x:f>IF(M974="","OPEN",IF(OR(NOT(ISNUMBER(H974)),NOT(ISNUMBER(I974)),K974="",L974=""),"FAIL","PASS"))</x:f>
        <x:v>OPEN</x:v>
      </x:c>
    </x:row>
    <x:row r="975">
      <x:c r="B975" s="7" t="str">
        <x:v>TRO-B-17-S3-O1-R1</x:v>
      </x:c>
      <x:c r="C975" s="7" t="str">
        <x:v>BLD-B</x:v>
      </x:c>
      <x:c r="D975" s="7" t="str">
        <x:v>MF-17</x:v>
      </x:c>
      <x:c r="E975" s="7" t="str">
        <x:v>STD-17-3</x:v>
      </x:c>
      <x:c r="F975" s="7" t="str">
        <x:v>OP-1</x:v>
      </x:c>
      <x:c r="G975" s="7" t="n">
        <x:v>1</x:v>
      </x:c>
      <x:c r="H975" s="7" t="str"/>
      <x:c r="I975" s="7" t="str"/>
      <x:c r="J975" s="7" t="str">
        <x:f>IF(OR(H975="",I975=""),"",I975-H975)</x:f>
      </x:c>
      <x:c r="K975" s="7" t="str"/>
      <x:c r="L975" s="7" t="str"/>
      <x:c r="M975" s="7" t="str"/>
      <x:c r="N975" s="7" t="str">
        <x:f>IF(M975="","OPEN",IF(OR(NOT(ISNUMBER(H975)),NOT(ISNUMBER(I975)),K975="",L975=""),"FAIL","PASS"))</x:f>
        <x:v>OPEN</x:v>
      </x:c>
    </x:row>
    <x:row r="976">
      <x:c r="B976" s="7" t="str">
        <x:v>TRO-B-17-S3-O1-R2</x:v>
      </x:c>
      <x:c r="C976" s="7" t="str">
        <x:v>BLD-B</x:v>
      </x:c>
      <x:c r="D976" s="7" t="str">
        <x:v>MF-17</x:v>
      </x:c>
      <x:c r="E976" s="7" t="str">
        <x:v>STD-17-3</x:v>
      </x:c>
      <x:c r="F976" s="7" t="str">
        <x:v>OP-1</x:v>
      </x:c>
      <x:c r="G976" s="7" t="n">
        <x:v>2</x:v>
      </x:c>
      <x:c r="H976" s="7" t="str"/>
      <x:c r="I976" s="7" t="str"/>
      <x:c r="J976" s="7" t="str">
        <x:f>IF(OR(H976="",I976=""),"",I976-H976)</x:f>
      </x:c>
      <x:c r="K976" s="7" t="str"/>
      <x:c r="L976" s="7" t="str"/>
      <x:c r="M976" s="7" t="str"/>
      <x:c r="N976" s="7" t="str">
        <x:f>IF(M976="","OPEN",IF(OR(NOT(ISNUMBER(H976)),NOT(ISNUMBER(I976)),K976="",L976=""),"FAIL","PASS"))</x:f>
        <x:v>OPEN</x:v>
      </x:c>
    </x:row>
    <x:row r="977">
      <x:c r="B977" s="7" t="str">
        <x:v>TRO-B-17-S3-O2-R1</x:v>
      </x:c>
      <x:c r="C977" s="7" t="str">
        <x:v>BLD-B</x:v>
      </x:c>
      <x:c r="D977" s="7" t="str">
        <x:v>MF-17</x:v>
      </x:c>
      <x:c r="E977" s="7" t="str">
        <x:v>STD-17-3</x:v>
      </x:c>
      <x:c r="F977" s="7" t="str">
        <x:v>OP-2</x:v>
      </x:c>
      <x:c r="G977" s="7" t="n">
        <x:v>1</x:v>
      </x:c>
      <x:c r="H977" s="7" t="str"/>
      <x:c r="I977" s="7" t="str"/>
      <x:c r="J977" s="7" t="str">
        <x:f>IF(OR(H977="",I977=""),"",I977-H977)</x:f>
      </x:c>
      <x:c r="K977" s="7" t="str"/>
      <x:c r="L977" s="7" t="str"/>
      <x:c r="M977" s="7" t="str"/>
      <x:c r="N977" s="7" t="str">
        <x:f>IF(M977="","OPEN",IF(OR(NOT(ISNUMBER(H977)),NOT(ISNUMBER(I977)),K977="",L977=""),"FAIL","PASS"))</x:f>
        <x:v>OPEN</x:v>
      </x:c>
    </x:row>
    <x:row r="978">
      <x:c r="B978" s="7" t="str">
        <x:v>TRO-B-17-S3-O2-R2</x:v>
      </x:c>
      <x:c r="C978" s="7" t="str">
        <x:v>BLD-B</x:v>
      </x:c>
      <x:c r="D978" s="7" t="str">
        <x:v>MF-17</x:v>
      </x:c>
      <x:c r="E978" s="7" t="str">
        <x:v>STD-17-3</x:v>
      </x:c>
      <x:c r="F978" s="7" t="str">
        <x:v>OP-2</x:v>
      </x:c>
      <x:c r="G978" s="7" t="n">
        <x:v>2</x:v>
      </x:c>
      <x:c r="H978" s="7" t="str"/>
      <x:c r="I978" s="7" t="str"/>
      <x:c r="J978" s="7" t="str">
        <x:f>IF(OR(H978="",I978=""),"",I978-H978)</x:f>
      </x:c>
      <x:c r="K978" s="7" t="str"/>
      <x:c r="L978" s="7" t="str"/>
      <x:c r="M978" s="7" t="str"/>
      <x:c r="N978" s="7" t="str">
        <x:f>IF(M978="","OPEN",IF(OR(NOT(ISNUMBER(H978)),NOT(ISNUMBER(I978)),K978="",L978=""),"FAIL","PASS"))</x:f>
        <x:v>OPEN</x:v>
      </x:c>
    </x:row>
    <x:row r="979">
      <x:c r="B979" s="7" t="str">
        <x:v>TRO-B-17-S4-O1-R1</x:v>
      </x:c>
      <x:c r="C979" s="7" t="str">
        <x:v>BLD-B</x:v>
      </x:c>
      <x:c r="D979" s="7" t="str">
        <x:v>MF-17</x:v>
      </x:c>
      <x:c r="E979" s="7" t="str">
        <x:v>STD-17-4</x:v>
      </x:c>
      <x:c r="F979" s="7" t="str">
        <x:v>OP-1</x:v>
      </x:c>
      <x:c r="G979" s="7" t="n">
        <x:v>1</x:v>
      </x:c>
      <x:c r="H979" s="7" t="str"/>
      <x:c r="I979" s="7" t="str"/>
      <x:c r="J979" s="7" t="str">
        <x:f>IF(OR(H979="",I979=""),"",I979-H979)</x:f>
      </x:c>
      <x:c r="K979" s="7" t="str"/>
      <x:c r="L979" s="7" t="str"/>
      <x:c r="M979" s="7" t="str"/>
      <x:c r="N979" s="7" t="str">
        <x:f>IF(M979="","OPEN",IF(OR(NOT(ISNUMBER(H979)),NOT(ISNUMBER(I979)),K979="",L979=""),"FAIL","PASS"))</x:f>
        <x:v>OPEN</x:v>
      </x:c>
    </x:row>
    <x:row r="980">
      <x:c r="B980" s="7" t="str">
        <x:v>TRO-B-17-S4-O1-R2</x:v>
      </x:c>
      <x:c r="C980" s="7" t="str">
        <x:v>BLD-B</x:v>
      </x:c>
      <x:c r="D980" s="7" t="str">
        <x:v>MF-17</x:v>
      </x:c>
      <x:c r="E980" s="7" t="str">
        <x:v>STD-17-4</x:v>
      </x:c>
      <x:c r="F980" s="7" t="str">
        <x:v>OP-1</x:v>
      </x:c>
      <x:c r="G980" s="7" t="n">
        <x:v>2</x:v>
      </x:c>
      <x:c r="H980" s="7" t="str"/>
      <x:c r="I980" s="7" t="str"/>
      <x:c r="J980" s="7" t="str">
        <x:f>IF(OR(H980="",I980=""),"",I980-H980)</x:f>
      </x:c>
      <x:c r="K980" s="7" t="str"/>
      <x:c r="L980" s="7" t="str"/>
      <x:c r="M980" s="7" t="str"/>
      <x:c r="N980" s="7" t="str">
        <x:f>IF(M980="","OPEN",IF(OR(NOT(ISNUMBER(H980)),NOT(ISNUMBER(I980)),K980="",L980=""),"FAIL","PASS"))</x:f>
        <x:v>OPEN</x:v>
      </x:c>
    </x:row>
    <x:row r="981">
      <x:c r="B981" s="7" t="str">
        <x:v>TRO-B-17-S4-O2-R1</x:v>
      </x:c>
      <x:c r="C981" s="7" t="str">
        <x:v>BLD-B</x:v>
      </x:c>
      <x:c r="D981" s="7" t="str">
        <x:v>MF-17</x:v>
      </x:c>
      <x:c r="E981" s="7" t="str">
        <x:v>STD-17-4</x:v>
      </x:c>
      <x:c r="F981" s="7" t="str">
        <x:v>OP-2</x:v>
      </x:c>
      <x:c r="G981" s="7" t="n">
        <x:v>1</x:v>
      </x:c>
      <x:c r="H981" s="7" t="str"/>
      <x:c r="I981" s="7" t="str"/>
      <x:c r="J981" s="7" t="str">
        <x:f>IF(OR(H981="",I981=""),"",I981-H981)</x:f>
      </x:c>
      <x:c r="K981" s="7" t="str"/>
      <x:c r="L981" s="7" t="str"/>
      <x:c r="M981" s="7" t="str"/>
      <x:c r="N981" s="7" t="str">
        <x:f>IF(M981="","OPEN",IF(OR(NOT(ISNUMBER(H981)),NOT(ISNUMBER(I981)),K981="",L981=""),"FAIL","PASS"))</x:f>
        <x:v>OPEN</x:v>
      </x:c>
    </x:row>
    <x:row r="982">
      <x:c r="B982" s="7" t="str">
        <x:v>TRO-B-17-S4-O2-R2</x:v>
      </x:c>
      <x:c r="C982" s="7" t="str">
        <x:v>BLD-B</x:v>
      </x:c>
      <x:c r="D982" s="7" t="str">
        <x:v>MF-17</x:v>
      </x:c>
      <x:c r="E982" s="7" t="str">
        <x:v>STD-17-4</x:v>
      </x:c>
      <x:c r="F982" s="7" t="str">
        <x:v>OP-2</x:v>
      </x:c>
      <x:c r="G982" s="7" t="n">
        <x:v>2</x:v>
      </x:c>
      <x:c r="H982" s="7" t="str"/>
      <x:c r="I982" s="7" t="str"/>
      <x:c r="J982" s="7" t="str">
        <x:f>IF(OR(H982="",I982=""),"",I982-H982)</x:f>
      </x:c>
      <x:c r="K982" s="7" t="str"/>
      <x:c r="L982" s="7" t="str"/>
      <x:c r="M982" s="7" t="str"/>
      <x:c r="N982" s="7" t="str">
        <x:f>IF(M982="","OPEN",IF(OR(NOT(ISNUMBER(H982)),NOT(ISNUMBER(I982)),K982="",L982=""),"FAIL","PASS"))</x:f>
        <x:v>OPEN</x:v>
      </x:c>
    </x:row>
    <x:row r="983">
      <x:c r="B983" s="7" t="str">
        <x:v>TRO-B-17-S5-O1-R1</x:v>
      </x:c>
      <x:c r="C983" s="7" t="str">
        <x:v>BLD-B</x:v>
      </x:c>
      <x:c r="D983" s="7" t="str">
        <x:v>MF-17</x:v>
      </x:c>
      <x:c r="E983" s="7" t="str">
        <x:v>STD-17-5</x:v>
      </x:c>
      <x:c r="F983" s="7" t="str">
        <x:v>OP-1</x:v>
      </x:c>
      <x:c r="G983" s="7" t="n">
        <x:v>1</x:v>
      </x:c>
      <x:c r="H983" s="7" t="str"/>
      <x:c r="I983" s="7" t="str"/>
      <x:c r="J983" s="7" t="str">
        <x:f>IF(OR(H983="",I983=""),"",I983-H983)</x:f>
      </x:c>
      <x:c r="K983" s="7" t="str"/>
      <x:c r="L983" s="7" t="str"/>
      <x:c r="M983" s="7" t="str"/>
      <x:c r="N983" s="7" t="str">
        <x:f>IF(M983="","OPEN",IF(OR(NOT(ISNUMBER(H983)),NOT(ISNUMBER(I983)),K983="",L983=""),"FAIL","PASS"))</x:f>
        <x:v>OPEN</x:v>
      </x:c>
    </x:row>
    <x:row r="984">
      <x:c r="B984" s="7" t="str">
        <x:v>TRO-B-17-S5-O1-R2</x:v>
      </x:c>
      <x:c r="C984" s="7" t="str">
        <x:v>BLD-B</x:v>
      </x:c>
      <x:c r="D984" s="7" t="str">
        <x:v>MF-17</x:v>
      </x:c>
      <x:c r="E984" s="7" t="str">
        <x:v>STD-17-5</x:v>
      </x:c>
      <x:c r="F984" s="7" t="str">
        <x:v>OP-1</x:v>
      </x:c>
      <x:c r="G984" s="7" t="n">
        <x:v>2</x:v>
      </x:c>
      <x:c r="H984" s="7" t="str"/>
      <x:c r="I984" s="7" t="str"/>
      <x:c r="J984" s="7" t="str">
        <x:f>IF(OR(H984="",I984=""),"",I984-H984)</x:f>
      </x:c>
      <x:c r="K984" s="7" t="str"/>
      <x:c r="L984" s="7" t="str"/>
      <x:c r="M984" s="7" t="str"/>
      <x:c r="N984" s="7" t="str">
        <x:f>IF(M984="","OPEN",IF(OR(NOT(ISNUMBER(H984)),NOT(ISNUMBER(I984)),K984="",L984=""),"FAIL","PASS"))</x:f>
        <x:v>OPEN</x:v>
      </x:c>
    </x:row>
    <x:row r="985">
      <x:c r="B985" s="7" t="str">
        <x:v>TRO-B-17-S5-O2-R1</x:v>
      </x:c>
      <x:c r="C985" s="7" t="str">
        <x:v>BLD-B</x:v>
      </x:c>
      <x:c r="D985" s="7" t="str">
        <x:v>MF-17</x:v>
      </x:c>
      <x:c r="E985" s="7" t="str">
        <x:v>STD-17-5</x:v>
      </x:c>
      <x:c r="F985" s="7" t="str">
        <x:v>OP-2</x:v>
      </x:c>
      <x:c r="G985" s="7" t="n">
        <x:v>1</x:v>
      </x:c>
      <x:c r="H985" s="7" t="str"/>
      <x:c r="I985" s="7" t="str"/>
      <x:c r="J985" s="7" t="str">
        <x:f>IF(OR(H985="",I985=""),"",I985-H985)</x:f>
      </x:c>
      <x:c r="K985" s="7" t="str"/>
      <x:c r="L985" s="7" t="str"/>
      <x:c r="M985" s="7" t="str"/>
      <x:c r="N985" s="7" t="str">
        <x:f>IF(M985="","OPEN",IF(OR(NOT(ISNUMBER(H985)),NOT(ISNUMBER(I985)),K985="",L985=""),"FAIL","PASS"))</x:f>
        <x:v>OPEN</x:v>
      </x:c>
    </x:row>
    <x:row r="986">
      <x:c r="B986" s="7" t="str">
        <x:v>TRO-B-17-S5-O2-R2</x:v>
      </x:c>
      <x:c r="C986" s="7" t="str">
        <x:v>BLD-B</x:v>
      </x:c>
      <x:c r="D986" s="7" t="str">
        <x:v>MF-17</x:v>
      </x:c>
      <x:c r="E986" s="7" t="str">
        <x:v>STD-17-5</x:v>
      </x:c>
      <x:c r="F986" s="7" t="str">
        <x:v>OP-2</x:v>
      </x:c>
      <x:c r="G986" s="7" t="n">
        <x:v>2</x:v>
      </x:c>
      <x:c r="H986" s="7" t="str"/>
      <x:c r="I986" s="7" t="str"/>
      <x:c r="J986" s="7" t="str">
        <x:f>IF(OR(H986="",I986=""),"",I986-H986)</x:f>
      </x:c>
      <x:c r="K986" s="7" t="str"/>
      <x:c r="L986" s="7" t="str"/>
      <x:c r="M986" s="7" t="str"/>
      <x:c r="N986" s="7" t="str">
        <x:f>IF(M986="","OPEN",IF(OR(NOT(ISNUMBER(H986)),NOT(ISNUMBER(I986)),K986="",L986=""),"FAIL","PASS"))</x:f>
        <x:v>OPEN</x:v>
      </x:c>
    </x:row>
    <x:row r="987">
      <x:c r="B987" s="7" t="str">
        <x:v>TRO-B-17-S6-O1-R1</x:v>
      </x:c>
      <x:c r="C987" s="7" t="str">
        <x:v>BLD-B</x:v>
      </x:c>
      <x:c r="D987" s="7" t="str">
        <x:v>MF-17</x:v>
      </x:c>
      <x:c r="E987" s="7" t="str">
        <x:v>STD-17-6</x:v>
      </x:c>
      <x:c r="F987" s="7" t="str">
        <x:v>OP-1</x:v>
      </x:c>
      <x:c r="G987" s="7" t="n">
        <x:v>1</x:v>
      </x:c>
      <x:c r="H987" s="7" t="str"/>
      <x:c r="I987" s="7" t="str"/>
      <x:c r="J987" s="7" t="str">
        <x:f>IF(OR(H987="",I987=""),"",I987-H987)</x:f>
      </x:c>
      <x:c r="K987" s="7" t="str"/>
      <x:c r="L987" s="7" t="str"/>
      <x:c r="M987" s="7" t="str"/>
      <x:c r="N987" s="7" t="str">
        <x:f>IF(M987="","OPEN",IF(OR(NOT(ISNUMBER(H987)),NOT(ISNUMBER(I987)),K987="",L987=""),"FAIL","PASS"))</x:f>
        <x:v>OPEN</x:v>
      </x:c>
    </x:row>
    <x:row r="988">
      <x:c r="B988" s="7" t="str">
        <x:v>TRO-B-17-S6-O1-R2</x:v>
      </x:c>
      <x:c r="C988" s="7" t="str">
        <x:v>BLD-B</x:v>
      </x:c>
      <x:c r="D988" s="7" t="str">
        <x:v>MF-17</x:v>
      </x:c>
      <x:c r="E988" s="7" t="str">
        <x:v>STD-17-6</x:v>
      </x:c>
      <x:c r="F988" s="7" t="str">
        <x:v>OP-1</x:v>
      </x:c>
      <x:c r="G988" s="7" t="n">
        <x:v>2</x:v>
      </x:c>
      <x:c r="H988" s="7" t="str"/>
      <x:c r="I988" s="7" t="str"/>
      <x:c r="J988" s="7" t="str">
        <x:f>IF(OR(H988="",I988=""),"",I988-H988)</x:f>
      </x:c>
      <x:c r="K988" s="7" t="str"/>
      <x:c r="L988" s="7" t="str"/>
      <x:c r="M988" s="7" t="str"/>
      <x:c r="N988" s="7" t="str">
        <x:f>IF(M988="","OPEN",IF(OR(NOT(ISNUMBER(H988)),NOT(ISNUMBER(I988)),K988="",L988=""),"FAIL","PASS"))</x:f>
        <x:v>OPEN</x:v>
      </x:c>
    </x:row>
    <x:row r="989">
      <x:c r="B989" s="7" t="str">
        <x:v>TRO-B-17-S6-O2-R1</x:v>
      </x:c>
      <x:c r="C989" s="7" t="str">
        <x:v>BLD-B</x:v>
      </x:c>
      <x:c r="D989" s="7" t="str">
        <x:v>MF-17</x:v>
      </x:c>
      <x:c r="E989" s="7" t="str">
        <x:v>STD-17-6</x:v>
      </x:c>
      <x:c r="F989" s="7" t="str">
        <x:v>OP-2</x:v>
      </x:c>
      <x:c r="G989" s="7" t="n">
        <x:v>1</x:v>
      </x:c>
      <x:c r="H989" s="7" t="str"/>
      <x:c r="I989" s="7" t="str"/>
      <x:c r="J989" s="7" t="str">
        <x:f>IF(OR(H989="",I989=""),"",I989-H989)</x:f>
      </x:c>
      <x:c r="K989" s="7" t="str"/>
      <x:c r="L989" s="7" t="str"/>
      <x:c r="M989" s="7" t="str"/>
      <x:c r="N989" s="7" t="str">
        <x:f>IF(M989="","OPEN",IF(OR(NOT(ISNUMBER(H989)),NOT(ISNUMBER(I989)),K989="",L989=""),"FAIL","PASS"))</x:f>
        <x:v>OPEN</x:v>
      </x:c>
    </x:row>
    <x:row r="990">
      <x:c r="B990" s="7" t="str">
        <x:v>TRO-B-17-S6-O2-R2</x:v>
      </x:c>
      <x:c r="C990" s="7" t="str">
        <x:v>BLD-B</x:v>
      </x:c>
      <x:c r="D990" s="7" t="str">
        <x:v>MF-17</x:v>
      </x:c>
      <x:c r="E990" s="7" t="str">
        <x:v>STD-17-6</x:v>
      </x:c>
      <x:c r="F990" s="7" t="str">
        <x:v>OP-2</x:v>
      </x:c>
      <x:c r="G990" s="7" t="n">
        <x:v>2</x:v>
      </x:c>
      <x:c r="H990" s="7" t="str"/>
      <x:c r="I990" s="7" t="str"/>
      <x:c r="J990" s="7" t="str">
        <x:f>IF(OR(H990="",I990=""),"",I990-H990)</x:f>
      </x:c>
      <x:c r="K990" s="7" t="str"/>
      <x:c r="L990" s="7" t="str"/>
      <x:c r="M990" s="7" t="str"/>
      <x:c r="N990" s="7" t="str">
        <x:f>IF(M990="","OPEN",IF(OR(NOT(ISNUMBER(H990)),NOT(ISNUMBER(I990)),K990="",L990=""),"FAIL","PASS"))</x:f>
        <x:v>OPEN</x:v>
      </x:c>
    </x:row>
    <x:row r="991">
      <x:c r="B991" s="7" t="str">
        <x:v>TRO-B-18-S1-O1-R1</x:v>
      </x:c>
      <x:c r="C991" s="7" t="str">
        <x:v>BLD-B</x:v>
      </x:c>
      <x:c r="D991" s="7" t="str">
        <x:v>MF-18</x:v>
      </x:c>
      <x:c r="E991" s="7" t="str">
        <x:v>STD-18-1</x:v>
      </x:c>
      <x:c r="F991" s="7" t="str">
        <x:v>OP-1</x:v>
      </x:c>
      <x:c r="G991" s="7" t="n">
        <x:v>1</x:v>
      </x:c>
      <x:c r="H991" s="7" t="str"/>
      <x:c r="I991" s="7" t="str"/>
      <x:c r="J991" s="7" t="str">
        <x:f>IF(OR(H991="",I991=""),"",I991-H991)</x:f>
      </x:c>
      <x:c r="K991" s="7" t="str"/>
      <x:c r="L991" s="7" t="str"/>
      <x:c r="M991" s="7" t="str"/>
      <x:c r="N991" s="7" t="str">
        <x:f>IF(M991="","OPEN",IF(OR(NOT(ISNUMBER(H991)),NOT(ISNUMBER(I991)),K991="",L991=""),"FAIL","PASS"))</x:f>
        <x:v>OPEN</x:v>
      </x:c>
    </x:row>
    <x:row r="992">
      <x:c r="B992" s="7" t="str">
        <x:v>TRO-B-18-S1-O1-R2</x:v>
      </x:c>
      <x:c r="C992" s="7" t="str">
        <x:v>BLD-B</x:v>
      </x:c>
      <x:c r="D992" s="7" t="str">
        <x:v>MF-18</x:v>
      </x:c>
      <x:c r="E992" s="7" t="str">
        <x:v>STD-18-1</x:v>
      </x:c>
      <x:c r="F992" s="7" t="str">
        <x:v>OP-1</x:v>
      </x:c>
      <x:c r="G992" s="7" t="n">
        <x:v>2</x:v>
      </x:c>
      <x:c r="H992" s="7" t="str"/>
      <x:c r="I992" s="7" t="str"/>
      <x:c r="J992" s="7" t="str">
        <x:f>IF(OR(H992="",I992=""),"",I992-H992)</x:f>
      </x:c>
      <x:c r="K992" s="7" t="str"/>
      <x:c r="L992" s="7" t="str"/>
      <x:c r="M992" s="7" t="str"/>
      <x:c r="N992" s="7" t="str">
        <x:f>IF(M992="","OPEN",IF(OR(NOT(ISNUMBER(H992)),NOT(ISNUMBER(I992)),K992="",L992=""),"FAIL","PASS"))</x:f>
        <x:v>OPEN</x:v>
      </x:c>
    </x:row>
    <x:row r="993">
      <x:c r="B993" s="7" t="str">
        <x:v>TRO-B-18-S1-O2-R1</x:v>
      </x:c>
      <x:c r="C993" s="7" t="str">
        <x:v>BLD-B</x:v>
      </x:c>
      <x:c r="D993" s="7" t="str">
        <x:v>MF-18</x:v>
      </x:c>
      <x:c r="E993" s="7" t="str">
        <x:v>STD-18-1</x:v>
      </x:c>
      <x:c r="F993" s="7" t="str">
        <x:v>OP-2</x:v>
      </x:c>
      <x:c r="G993" s="7" t="n">
        <x:v>1</x:v>
      </x:c>
      <x:c r="H993" s="7" t="str"/>
      <x:c r="I993" s="7" t="str"/>
      <x:c r="J993" s="7" t="str">
        <x:f>IF(OR(H993="",I993=""),"",I993-H993)</x:f>
      </x:c>
      <x:c r="K993" s="7" t="str"/>
      <x:c r="L993" s="7" t="str"/>
      <x:c r="M993" s="7" t="str"/>
      <x:c r="N993" s="7" t="str">
        <x:f>IF(M993="","OPEN",IF(OR(NOT(ISNUMBER(H993)),NOT(ISNUMBER(I993)),K993="",L993=""),"FAIL","PASS"))</x:f>
        <x:v>OPEN</x:v>
      </x:c>
    </x:row>
    <x:row r="994">
      <x:c r="B994" s="7" t="str">
        <x:v>TRO-B-18-S1-O2-R2</x:v>
      </x:c>
      <x:c r="C994" s="7" t="str">
        <x:v>BLD-B</x:v>
      </x:c>
      <x:c r="D994" s="7" t="str">
        <x:v>MF-18</x:v>
      </x:c>
      <x:c r="E994" s="7" t="str">
        <x:v>STD-18-1</x:v>
      </x:c>
      <x:c r="F994" s="7" t="str">
        <x:v>OP-2</x:v>
      </x:c>
      <x:c r="G994" s="7" t="n">
        <x:v>2</x:v>
      </x:c>
      <x:c r="H994" s="7" t="str"/>
      <x:c r="I994" s="7" t="str"/>
      <x:c r="J994" s="7" t="str">
        <x:f>IF(OR(H994="",I994=""),"",I994-H994)</x:f>
      </x:c>
      <x:c r="K994" s="7" t="str"/>
      <x:c r="L994" s="7" t="str"/>
      <x:c r="M994" s="7" t="str"/>
      <x:c r="N994" s="7" t="str">
        <x:f>IF(M994="","OPEN",IF(OR(NOT(ISNUMBER(H994)),NOT(ISNUMBER(I994)),K994="",L994=""),"FAIL","PASS"))</x:f>
        <x:v>OPEN</x:v>
      </x:c>
    </x:row>
    <x:row r="995">
      <x:c r="B995" s="7" t="str">
        <x:v>TRO-B-18-S2-O1-R1</x:v>
      </x:c>
      <x:c r="C995" s="7" t="str">
        <x:v>BLD-B</x:v>
      </x:c>
      <x:c r="D995" s="7" t="str">
        <x:v>MF-18</x:v>
      </x:c>
      <x:c r="E995" s="7" t="str">
        <x:v>STD-18-2</x:v>
      </x:c>
      <x:c r="F995" s="7" t="str">
        <x:v>OP-1</x:v>
      </x:c>
      <x:c r="G995" s="7" t="n">
        <x:v>1</x:v>
      </x:c>
      <x:c r="H995" s="7" t="str"/>
      <x:c r="I995" s="7" t="str"/>
      <x:c r="J995" s="7" t="str">
        <x:f>IF(OR(H995="",I995=""),"",I995-H995)</x:f>
      </x:c>
      <x:c r="K995" s="7" t="str"/>
      <x:c r="L995" s="7" t="str"/>
      <x:c r="M995" s="7" t="str"/>
      <x:c r="N995" s="7" t="str">
        <x:f>IF(M995="","OPEN",IF(OR(NOT(ISNUMBER(H995)),NOT(ISNUMBER(I995)),K995="",L995=""),"FAIL","PASS"))</x:f>
        <x:v>OPEN</x:v>
      </x:c>
    </x:row>
    <x:row r="996">
      <x:c r="B996" s="7" t="str">
        <x:v>TRO-B-18-S2-O1-R2</x:v>
      </x:c>
      <x:c r="C996" s="7" t="str">
        <x:v>BLD-B</x:v>
      </x:c>
      <x:c r="D996" s="7" t="str">
        <x:v>MF-18</x:v>
      </x:c>
      <x:c r="E996" s="7" t="str">
        <x:v>STD-18-2</x:v>
      </x:c>
      <x:c r="F996" s="7" t="str">
        <x:v>OP-1</x:v>
      </x:c>
      <x:c r="G996" s="7" t="n">
        <x:v>2</x:v>
      </x:c>
      <x:c r="H996" s="7" t="str"/>
      <x:c r="I996" s="7" t="str"/>
      <x:c r="J996" s="7" t="str">
        <x:f>IF(OR(H996="",I996=""),"",I996-H996)</x:f>
      </x:c>
      <x:c r="K996" s="7" t="str"/>
      <x:c r="L996" s="7" t="str"/>
      <x:c r="M996" s="7" t="str"/>
      <x:c r="N996" s="7" t="str">
        <x:f>IF(M996="","OPEN",IF(OR(NOT(ISNUMBER(H996)),NOT(ISNUMBER(I996)),K996="",L996=""),"FAIL","PASS"))</x:f>
        <x:v>OPEN</x:v>
      </x:c>
    </x:row>
    <x:row r="997">
      <x:c r="B997" s="7" t="str">
        <x:v>TRO-B-18-S2-O2-R1</x:v>
      </x:c>
      <x:c r="C997" s="7" t="str">
        <x:v>BLD-B</x:v>
      </x:c>
      <x:c r="D997" s="7" t="str">
        <x:v>MF-18</x:v>
      </x:c>
      <x:c r="E997" s="7" t="str">
        <x:v>STD-18-2</x:v>
      </x:c>
      <x:c r="F997" s="7" t="str">
        <x:v>OP-2</x:v>
      </x:c>
      <x:c r="G997" s="7" t="n">
        <x:v>1</x:v>
      </x:c>
      <x:c r="H997" s="7" t="str"/>
      <x:c r="I997" s="7" t="str"/>
      <x:c r="J997" s="7" t="str">
        <x:f>IF(OR(H997="",I997=""),"",I997-H997)</x:f>
      </x:c>
      <x:c r="K997" s="7" t="str"/>
      <x:c r="L997" s="7" t="str"/>
      <x:c r="M997" s="7" t="str"/>
      <x:c r="N997" s="7" t="str">
        <x:f>IF(M997="","OPEN",IF(OR(NOT(ISNUMBER(H997)),NOT(ISNUMBER(I997)),K997="",L997=""),"FAIL","PASS"))</x:f>
        <x:v>OPEN</x:v>
      </x:c>
    </x:row>
    <x:row r="998">
      <x:c r="B998" s="7" t="str">
        <x:v>TRO-B-18-S2-O2-R2</x:v>
      </x:c>
      <x:c r="C998" s="7" t="str">
        <x:v>BLD-B</x:v>
      </x:c>
      <x:c r="D998" s="7" t="str">
        <x:v>MF-18</x:v>
      </x:c>
      <x:c r="E998" s="7" t="str">
        <x:v>STD-18-2</x:v>
      </x:c>
      <x:c r="F998" s="7" t="str">
        <x:v>OP-2</x:v>
      </x:c>
      <x:c r="G998" s="7" t="n">
        <x:v>2</x:v>
      </x:c>
      <x:c r="H998" s="7" t="str"/>
      <x:c r="I998" s="7" t="str"/>
      <x:c r="J998" s="7" t="str">
        <x:f>IF(OR(H998="",I998=""),"",I998-H998)</x:f>
      </x:c>
      <x:c r="K998" s="7" t="str"/>
      <x:c r="L998" s="7" t="str"/>
      <x:c r="M998" s="7" t="str"/>
      <x:c r="N998" s="7" t="str">
        <x:f>IF(M998="","OPEN",IF(OR(NOT(ISNUMBER(H998)),NOT(ISNUMBER(I998)),K998="",L998=""),"FAIL","PASS"))</x:f>
        <x:v>OPEN</x:v>
      </x:c>
    </x:row>
    <x:row r="999">
      <x:c r="B999" s="7" t="str">
        <x:v>TRO-B-18-S3-O1-R1</x:v>
      </x:c>
      <x:c r="C999" s="7" t="str">
        <x:v>BLD-B</x:v>
      </x:c>
      <x:c r="D999" s="7" t="str">
        <x:v>MF-18</x:v>
      </x:c>
      <x:c r="E999" s="7" t="str">
        <x:v>STD-18-3</x:v>
      </x:c>
      <x:c r="F999" s="7" t="str">
        <x:v>OP-1</x:v>
      </x:c>
      <x:c r="G999" s="7" t="n">
        <x:v>1</x:v>
      </x:c>
      <x:c r="H999" s="7" t="str"/>
      <x:c r="I999" s="7" t="str"/>
      <x:c r="J999" s="7" t="str">
        <x:f>IF(OR(H999="",I999=""),"",I999-H999)</x:f>
      </x:c>
      <x:c r="K999" s="7" t="str"/>
      <x:c r="L999" s="7" t="str"/>
      <x:c r="M999" s="7" t="str"/>
      <x:c r="N999" s="7" t="str">
        <x:f>IF(M999="","OPEN",IF(OR(NOT(ISNUMBER(H999)),NOT(ISNUMBER(I999)),K999="",L999=""),"FAIL","PASS"))</x:f>
        <x:v>OPEN</x:v>
      </x:c>
    </x:row>
    <x:row r="1000">
      <x:c r="B1000" s="7" t="str">
        <x:v>TRO-B-18-S3-O1-R2</x:v>
      </x:c>
      <x:c r="C1000" s="7" t="str">
        <x:v>BLD-B</x:v>
      </x:c>
      <x:c r="D1000" s="7" t="str">
        <x:v>MF-18</x:v>
      </x:c>
      <x:c r="E1000" s="7" t="str">
        <x:v>STD-18-3</x:v>
      </x:c>
      <x:c r="F1000" s="7" t="str">
        <x:v>OP-1</x:v>
      </x:c>
      <x:c r="G1000" s="7" t="n">
        <x:v>2</x:v>
      </x:c>
      <x:c r="H1000" s="7" t="str"/>
      <x:c r="I1000" s="7" t="str"/>
      <x:c r="J1000" s="7" t="str">
        <x:f>IF(OR(H1000="",I1000=""),"",I1000-H1000)</x:f>
      </x:c>
      <x:c r="K1000" s="7" t="str"/>
      <x:c r="L1000" s="7" t="str"/>
      <x:c r="M1000" s="7" t="str"/>
      <x:c r="N1000" s="7" t="str">
        <x:f>IF(M1000="","OPEN",IF(OR(NOT(ISNUMBER(H1000)),NOT(ISNUMBER(I1000)),K1000="",L1000=""),"FAIL","PASS"))</x:f>
        <x:v>OPEN</x:v>
      </x:c>
    </x:row>
    <x:row r="1001">
      <x:c r="B1001" s="7" t="str">
        <x:v>TRO-B-18-S3-O2-R1</x:v>
      </x:c>
      <x:c r="C1001" s="7" t="str">
        <x:v>BLD-B</x:v>
      </x:c>
      <x:c r="D1001" s="7" t="str">
        <x:v>MF-18</x:v>
      </x:c>
      <x:c r="E1001" s="7" t="str">
        <x:v>STD-18-3</x:v>
      </x:c>
      <x:c r="F1001" s="7" t="str">
        <x:v>OP-2</x:v>
      </x:c>
      <x:c r="G1001" s="7" t="n">
        <x:v>1</x:v>
      </x:c>
      <x:c r="H1001" s="7" t="str"/>
      <x:c r="I1001" s="7" t="str"/>
      <x:c r="J1001" s="7" t="str">
        <x:f>IF(OR(H1001="",I1001=""),"",I1001-H1001)</x:f>
      </x:c>
      <x:c r="K1001" s="7" t="str"/>
      <x:c r="L1001" s="7" t="str"/>
      <x:c r="M1001" s="7" t="str"/>
      <x:c r="N1001" s="7" t="str">
        <x:f>IF(M1001="","OPEN",IF(OR(NOT(ISNUMBER(H1001)),NOT(ISNUMBER(I1001)),K1001="",L1001=""),"FAIL","PASS"))</x:f>
        <x:v>OPEN</x:v>
      </x:c>
    </x:row>
    <x:row r="1002">
      <x:c r="B1002" s="7" t="str">
        <x:v>TRO-B-18-S3-O2-R2</x:v>
      </x:c>
      <x:c r="C1002" s="7" t="str">
        <x:v>BLD-B</x:v>
      </x:c>
      <x:c r="D1002" s="7" t="str">
        <x:v>MF-18</x:v>
      </x:c>
      <x:c r="E1002" s="7" t="str">
        <x:v>STD-18-3</x:v>
      </x:c>
      <x:c r="F1002" s="7" t="str">
        <x:v>OP-2</x:v>
      </x:c>
      <x:c r="G1002" s="7" t="n">
        <x:v>2</x:v>
      </x:c>
      <x:c r="H1002" s="7" t="str"/>
      <x:c r="I1002" s="7" t="str"/>
      <x:c r="J1002" s="7" t="str">
        <x:f>IF(OR(H1002="",I1002=""),"",I1002-H1002)</x:f>
      </x:c>
      <x:c r="K1002" s="7" t="str"/>
      <x:c r="L1002" s="7" t="str"/>
      <x:c r="M1002" s="7" t="str"/>
      <x:c r="N1002" s="7" t="str">
        <x:f>IF(M1002="","OPEN",IF(OR(NOT(ISNUMBER(H1002)),NOT(ISNUMBER(I1002)),K1002="",L1002=""),"FAIL","PASS"))</x:f>
        <x:v>OPEN</x:v>
      </x:c>
    </x:row>
    <x:row r="1003">
      <x:c r="B1003" s="7" t="str">
        <x:v>TRO-B-18-S4-O1-R1</x:v>
      </x:c>
      <x:c r="C1003" s="7" t="str">
        <x:v>BLD-B</x:v>
      </x:c>
      <x:c r="D1003" s="7" t="str">
        <x:v>MF-18</x:v>
      </x:c>
      <x:c r="E1003" s="7" t="str">
        <x:v>STD-18-4</x:v>
      </x:c>
      <x:c r="F1003" s="7" t="str">
        <x:v>OP-1</x:v>
      </x:c>
      <x:c r="G1003" s="7" t="n">
        <x:v>1</x:v>
      </x:c>
      <x:c r="H1003" s="7" t="str"/>
      <x:c r="I1003" s="7" t="str"/>
      <x:c r="J1003" s="7" t="str">
        <x:f>IF(OR(H1003="",I1003=""),"",I1003-H1003)</x:f>
      </x:c>
      <x:c r="K1003" s="7" t="str"/>
      <x:c r="L1003" s="7" t="str"/>
      <x:c r="M1003" s="7" t="str"/>
      <x:c r="N1003" s="7" t="str">
        <x:f>IF(M1003="","OPEN",IF(OR(NOT(ISNUMBER(H1003)),NOT(ISNUMBER(I1003)),K1003="",L1003=""),"FAIL","PASS"))</x:f>
        <x:v>OPEN</x:v>
      </x:c>
    </x:row>
    <x:row r="1004">
      <x:c r="B1004" s="7" t="str">
        <x:v>TRO-B-18-S4-O1-R2</x:v>
      </x:c>
      <x:c r="C1004" s="7" t="str">
        <x:v>BLD-B</x:v>
      </x:c>
      <x:c r="D1004" s="7" t="str">
        <x:v>MF-18</x:v>
      </x:c>
      <x:c r="E1004" s="7" t="str">
        <x:v>STD-18-4</x:v>
      </x:c>
      <x:c r="F1004" s="7" t="str">
        <x:v>OP-1</x:v>
      </x:c>
      <x:c r="G1004" s="7" t="n">
        <x:v>2</x:v>
      </x:c>
      <x:c r="H1004" s="7" t="str"/>
      <x:c r="I1004" s="7" t="str"/>
      <x:c r="J1004" s="7" t="str">
        <x:f>IF(OR(H1004="",I1004=""),"",I1004-H1004)</x:f>
      </x:c>
      <x:c r="K1004" s="7" t="str"/>
      <x:c r="L1004" s="7" t="str"/>
      <x:c r="M1004" s="7" t="str"/>
      <x:c r="N1004" s="7" t="str">
        <x:f>IF(M1004="","OPEN",IF(OR(NOT(ISNUMBER(H1004)),NOT(ISNUMBER(I1004)),K1004="",L1004=""),"FAIL","PASS"))</x:f>
        <x:v>OPEN</x:v>
      </x:c>
    </x:row>
    <x:row r="1005">
      <x:c r="B1005" s="7" t="str">
        <x:v>TRO-B-18-S4-O2-R1</x:v>
      </x:c>
      <x:c r="C1005" s="7" t="str">
        <x:v>BLD-B</x:v>
      </x:c>
      <x:c r="D1005" s="7" t="str">
        <x:v>MF-18</x:v>
      </x:c>
      <x:c r="E1005" s="7" t="str">
        <x:v>STD-18-4</x:v>
      </x:c>
      <x:c r="F1005" s="7" t="str">
        <x:v>OP-2</x:v>
      </x:c>
      <x:c r="G1005" s="7" t="n">
        <x:v>1</x:v>
      </x:c>
      <x:c r="H1005" s="7" t="str"/>
      <x:c r="I1005" s="7" t="str"/>
      <x:c r="J1005" s="7" t="str">
        <x:f>IF(OR(H1005="",I1005=""),"",I1005-H1005)</x:f>
      </x:c>
      <x:c r="K1005" s="7" t="str"/>
      <x:c r="L1005" s="7" t="str"/>
      <x:c r="M1005" s="7" t="str"/>
      <x:c r="N1005" s="7" t="str">
        <x:f>IF(M1005="","OPEN",IF(OR(NOT(ISNUMBER(H1005)),NOT(ISNUMBER(I1005)),K1005="",L1005=""),"FAIL","PASS"))</x:f>
        <x:v>OPEN</x:v>
      </x:c>
    </x:row>
    <x:row r="1006">
      <x:c r="B1006" s="7" t="str">
        <x:v>TRO-B-18-S4-O2-R2</x:v>
      </x:c>
      <x:c r="C1006" s="7" t="str">
        <x:v>BLD-B</x:v>
      </x:c>
      <x:c r="D1006" s="7" t="str">
        <x:v>MF-18</x:v>
      </x:c>
      <x:c r="E1006" s="7" t="str">
        <x:v>STD-18-4</x:v>
      </x:c>
      <x:c r="F1006" s="7" t="str">
        <x:v>OP-2</x:v>
      </x:c>
      <x:c r="G1006" s="7" t="n">
        <x:v>2</x:v>
      </x:c>
      <x:c r="H1006" s="7" t="str"/>
      <x:c r="I1006" s="7" t="str"/>
      <x:c r="J1006" s="7" t="str">
        <x:f>IF(OR(H1006="",I1006=""),"",I1006-H1006)</x:f>
      </x:c>
      <x:c r="K1006" s="7" t="str"/>
      <x:c r="L1006" s="7" t="str"/>
      <x:c r="M1006" s="7" t="str"/>
      <x:c r="N1006" s="7" t="str">
        <x:f>IF(M1006="","OPEN",IF(OR(NOT(ISNUMBER(H1006)),NOT(ISNUMBER(I1006)),K1006="",L1006=""),"FAIL","PASS"))</x:f>
        <x:v>OPEN</x:v>
      </x:c>
    </x:row>
    <x:row r="1007">
      <x:c r="B1007" s="7" t="str">
        <x:v>TRO-B-18-S5-O1-R1</x:v>
      </x:c>
      <x:c r="C1007" s="7" t="str">
        <x:v>BLD-B</x:v>
      </x:c>
      <x:c r="D1007" s="7" t="str">
        <x:v>MF-18</x:v>
      </x:c>
      <x:c r="E1007" s="7" t="str">
        <x:v>STD-18-5</x:v>
      </x:c>
      <x:c r="F1007" s="7" t="str">
        <x:v>OP-1</x:v>
      </x:c>
      <x:c r="G1007" s="7" t="n">
        <x:v>1</x:v>
      </x:c>
      <x:c r="H1007" s="7" t="str"/>
      <x:c r="I1007" s="7" t="str"/>
      <x:c r="J1007" s="7" t="str">
        <x:f>IF(OR(H1007="",I1007=""),"",I1007-H1007)</x:f>
      </x:c>
      <x:c r="K1007" s="7" t="str"/>
      <x:c r="L1007" s="7" t="str"/>
      <x:c r="M1007" s="7" t="str"/>
      <x:c r="N1007" s="7" t="str">
        <x:f>IF(M1007="","OPEN",IF(OR(NOT(ISNUMBER(H1007)),NOT(ISNUMBER(I1007)),K1007="",L1007=""),"FAIL","PASS"))</x:f>
        <x:v>OPEN</x:v>
      </x:c>
    </x:row>
    <x:row r="1008">
      <x:c r="B1008" s="7" t="str">
        <x:v>TRO-B-18-S5-O1-R2</x:v>
      </x:c>
      <x:c r="C1008" s="7" t="str">
        <x:v>BLD-B</x:v>
      </x:c>
      <x:c r="D1008" s="7" t="str">
        <x:v>MF-18</x:v>
      </x:c>
      <x:c r="E1008" s="7" t="str">
        <x:v>STD-18-5</x:v>
      </x:c>
      <x:c r="F1008" s="7" t="str">
        <x:v>OP-1</x:v>
      </x:c>
      <x:c r="G1008" s="7" t="n">
        <x:v>2</x:v>
      </x:c>
      <x:c r="H1008" s="7" t="str"/>
      <x:c r="I1008" s="7" t="str"/>
      <x:c r="J1008" s="7" t="str">
        <x:f>IF(OR(H1008="",I1008=""),"",I1008-H1008)</x:f>
      </x:c>
      <x:c r="K1008" s="7" t="str"/>
      <x:c r="L1008" s="7" t="str"/>
      <x:c r="M1008" s="7" t="str"/>
      <x:c r="N1008" s="7" t="str">
        <x:f>IF(M1008="","OPEN",IF(OR(NOT(ISNUMBER(H1008)),NOT(ISNUMBER(I1008)),K1008="",L1008=""),"FAIL","PASS"))</x:f>
        <x:v>OPEN</x:v>
      </x:c>
    </x:row>
    <x:row r="1009">
      <x:c r="B1009" s="7" t="str">
        <x:v>TRO-B-18-S5-O2-R1</x:v>
      </x:c>
      <x:c r="C1009" s="7" t="str">
        <x:v>BLD-B</x:v>
      </x:c>
      <x:c r="D1009" s="7" t="str">
        <x:v>MF-18</x:v>
      </x:c>
      <x:c r="E1009" s="7" t="str">
        <x:v>STD-18-5</x:v>
      </x:c>
      <x:c r="F1009" s="7" t="str">
        <x:v>OP-2</x:v>
      </x:c>
      <x:c r="G1009" s="7" t="n">
        <x:v>1</x:v>
      </x:c>
      <x:c r="H1009" s="7" t="str"/>
      <x:c r="I1009" s="7" t="str"/>
      <x:c r="J1009" s="7" t="str">
        <x:f>IF(OR(H1009="",I1009=""),"",I1009-H1009)</x:f>
      </x:c>
      <x:c r="K1009" s="7" t="str"/>
      <x:c r="L1009" s="7" t="str"/>
      <x:c r="M1009" s="7" t="str"/>
      <x:c r="N1009" s="7" t="str">
        <x:f>IF(M1009="","OPEN",IF(OR(NOT(ISNUMBER(H1009)),NOT(ISNUMBER(I1009)),K1009="",L1009=""),"FAIL","PASS"))</x:f>
        <x:v>OPEN</x:v>
      </x:c>
    </x:row>
    <x:row r="1010">
      <x:c r="B1010" s="7" t="str">
        <x:v>TRO-B-18-S5-O2-R2</x:v>
      </x:c>
      <x:c r="C1010" s="7" t="str">
        <x:v>BLD-B</x:v>
      </x:c>
      <x:c r="D1010" s="7" t="str">
        <x:v>MF-18</x:v>
      </x:c>
      <x:c r="E1010" s="7" t="str">
        <x:v>STD-18-5</x:v>
      </x:c>
      <x:c r="F1010" s="7" t="str">
        <x:v>OP-2</x:v>
      </x:c>
      <x:c r="G1010" s="7" t="n">
        <x:v>2</x:v>
      </x:c>
      <x:c r="H1010" s="7" t="str"/>
      <x:c r="I1010" s="7" t="str"/>
      <x:c r="J1010" s="7" t="str">
        <x:f>IF(OR(H1010="",I1010=""),"",I1010-H1010)</x:f>
      </x:c>
      <x:c r="K1010" s="7" t="str"/>
      <x:c r="L1010" s="7" t="str"/>
      <x:c r="M1010" s="7" t="str"/>
      <x:c r="N1010" s="7" t="str">
        <x:f>IF(M1010="","OPEN",IF(OR(NOT(ISNUMBER(H1010)),NOT(ISNUMBER(I1010)),K1010="",L1010=""),"FAIL","PASS"))</x:f>
        <x:v>OPEN</x:v>
      </x:c>
    </x:row>
    <x:row r="1011">
      <x:c r="B1011" s="7" t="str">
        <x:v>TRO-B-18-S6-O1-R1</x:v>
      </x:c>
      <x:c r="C1011" s="7" t="str">
        <x:v>BLD-B</x:v>
      </x:c>
      <x:c r="D1011" s="7" t="str">
        <x:v>MF-18</x:v>
      </x:c>
      <x:c r="E1011" s="7" t="str">
        <x:v>STD-18-6</x:v>
      </x:c>
      <x:c r="F1011" s="7" t="str">
        <x:v>OP-1</x:v>
      </x:c>
      <x:c r="G1011" s="7" t="n">
        <x:v>1</x:v>
      </x:c>
      <x:c r="H1011" s="7" t="str"/>
      <x:c r="I1011" s="7" t="str"/>
      <x:c r="J1011" s="7" t="str">
        <x:f>IF(OR(H1011="",I1011=""),"",I1011-H1011)</x:f>
      </x:c>
      <x:c r="K1011" s="7" t="str"/>
      <x:c r="L1011" s="7" t="str"/>
      <x:c r="M1011" s="7" t="str"/>
      <x:c r="N1011" s="7" t="str">
        <x:f>IF(M1011="","OPEN",IF(OR(NOT(ISNUMBER(H1011)),NOT(ISNUMBER(I1011)),K1011="",L1011=""),"FAIL","PASS"))</x:f>
        <x:v>OPEN</x:v>
      </x:c>
    </x:row>
    <x:row r="1012">
      <x:c r="B1012" s="7" t="str">
        <x:v>TRO-B-18-S6-O1-R2</x:v>
      </x:c>
      <x:c r="C1012" s="7" t="str">
        <x:v>BLD-B</x:v>
      </x:c>
      <x:c r="D1012" s="7" t="str">
        <x:v>MF-18</x:v>
      </x:c>
      <x:c r="E1012" s="7" t="str">
        <x:v>STD-18-6</x:v>
      </x:c>
      <x:c r="F1012" s="7" t="str">
        <x:v>OP-1</x:v>
      </x:c>
      <x:c r="G1012" s="7" t="n">
        <x:v>2</x:v>
      </x:c>
      <x:c r="H1012" s="7" t="str"/>
      <x:c r="I1012" s="7" t="str"/>
      <x:c r="J1012" s="7" t="str">
        <x:f>IF(OR(H1012="",I1012=""),"",I1012-H1012)</x:f>
      </x:c>
      <x:c r="K1012" s="7" t="str"/>
      <x:c r="L1012" s="7" t="str"/>
      <x:c r="M1012" s="7" t="str"/>
      <x:c r="N1012" s="7" t="str">
        <x:f>IF(M1012="","OPEN",IF(OR(NOT(ISNUMBER(H1012)),NOT(ISNUMBER(I1012)),K1012="",L1012=""),"FAIL","PASS"))</x:f>
        <x:v>OPEN</x:v>
      </x:c>
    </x:row>
    <x:row r="1013">
      <x:c r="B1013" s="7" t="str">
        <x:v>TRO-B-18-S6-O2-R1</x:v>
      </x:c>
      <x:c r="C1013" s="7" t="str">
        <x:v>BLD-B</x:v>
      </x:c>
      <x:c r="D1013" s="7" t="str">
        <x:v>MF-18</x:v>
      </x:c>
      <x:c r="E1013" s="7" t="str">
        <x:v>STD-18-6</x:v>
      </x:c>
      <x:c r="F1013" s="7" t="str">
        <x:v>OP-2</x:v>
      </x:c>
      <x:c r="G1013" s="7" t="n">
        <x:v>1</x:v>
      </x:c>
      <x:c r="H1013" s="7" t="str"/>
      <x:c r="I1013" s="7" t="str"/>
      <x:c r="J1013" s="7" t="str">
        <x:f>IF(OR(H1013="",I1013=""),"",I1013-H1013)</x:f>
      </x:c>
      <x:c r="K1013" s="7" t="str"/>
      <x:c r="L1013" s="7" t="str"/>
      <x:c r="M1013" s="7" t="str"/>
      <x:c r="N1013" s="7" t="str">
        <x:f>IF(M1013="","OPEN",IF(OR(NOT(ISNUMBER(H1013)),NOT(ISNUMBER(I1013)),K1013="",L1013=""),"FAIL","PASS"))</x:f>
        <x:v>OPEN</x:v>
      </x:c>
    </x:row>
    <x:row r="1014">
      <x:c r="B1014" s="7" t="str">
        <x:v>TRO-B-18-S6-O2-R2</x:v>
      </x:c>
      <x:c r="C1014" s="7" t="str">
        <x:v>BLD-B</x:v>
      </x:c>
      <x:c r="D1014" s="7" t="str">
        <x:v>MF-18</x:v>
      </x:c>
      <x:c r="E1014" s="7" t="str">
        <x:v>STD-18-6</x:v>
      </x:c>
      <x:c r="F1014" s="7" t="str">
        <x:v>OP-2</x:v>
      </x:c>
      <x:c r="G1014" s="7" t="n">
        <x:v>2</x:v>
      </x:c>
      <x:c r="H1014" s="7" t="str"/>
      <x:c r="I1014" s="7" t="str"/>
      <x:c r="J1014" s="7" t="str">
        <x:f>IF(OR(H1014="",I1014=""),"",I1014-H1014)</x:f>
      </x:c>
      <x:c r="K1014" s="7" t="str"/>
      <x:c r="L1014" s="7" t="str"/>
      <x:c r="M1014" s="7" t="str"/>
      <x:c r="N1014" s="7" t="str">
        <x:f>IF(M1014="","OPEN",IF(OR(NOT(ISNUMBER(H1014)),NOT(ISNUMBER(I1014)),K1014="",L1014=""),"FAIL","PASS"))</x:f>
        <x:v>OPEN</x:v>
      </x:c>
    </x:row>
    <x:row r="1015">
      <x:c r="B1015" s="7" t="str">
        <x:v>TRO-B-19-S1-O1-R1</x:v>
      </x:c>
      <x:c r="C1015" s="7" t="str">
        <x:v>BLD-B</x:v>
      </x:c>
      <x:c r="D1015" s="7" t="str">
        <x:v>MF-19</x:v>
      </x:c>
      <x:c r="E1015" s="7" t="str">
        <x:v>STD-19-1</x:v>
      </x:c>
      <x:c r="F1015" s="7" t="str">
        <x:v>OP-1</x:v>
      </x:c>
      <x:c r="G1015" s="7" t="n">
        <x:v>1</x:v>
      </x:c>
      <x:c r="H1015" s="7" t="str"/>
      <x:c r="I1015" s="7" t="str"/>
      <x:c r="J1015" s="7" t="str">
        <x:f>IF(OR(H1015="",I1015=""),"",I1015-H1015)</x:f>
      </x:c>
      <x:c r="K1015" s="7" t="str"/>
      <x:c r="L1015" s="7" t="str"/>
      <x:c r="M1015" s="7" t="str"/>
      <x:c r="N1015" s="7" t="str">
        <x:f>IF(M1015="","OPEN",IF(OR(NOT(ISNUMBER(H1015)),NOT(ISNUMBER(I1015)),K1015="",L1015=""),"FAIL","PASS"))</x:f>
        <x:v>OPEN</x:v>
      </x:c>
    </x:row>
    <x:row r="1016">
      <x:c r="B1016" s="7" t="str">
        <x:v>TRO-B-19-S1-O1-R2</x:v>
      </x:c>
      <x:c r="C1016" s="7" t="str">
        <x:v>BLD-B</x:v>
      </x:c>
      <x:c r="D1016" s="7" t="str">
        <x:v>MF-19</x:v>
      </x:c>
      <x:c r="E1016" s="7" t="str">
        <x:v>STD-19-1</x:v>
      </x:c>
      <x:c r="F1016" s="7" t="str">
        <x:v>OP-1</x:v>
      </x:c>
      <x:c r="G1016" s="7" t="n">
        <x:v>2</x:v>
      </x:c>
      <x:c r="H1016" s="7" t="str"/>
      <x:c r="I1016" s="7" t="str"/>
      <x:c r="J1016" s="7" t="str">
        <x:f>IF(OR(H1016="",I1016=""),"",I1016-H1016)</x:f>
      </x:c>
      <x:c r="K1016" s="7" t="str"/>
      <x:c r="L1016" s="7" t="str"/>
      <x:c r="M1016" s="7" t="str"/>
      <x:c r="N1016" s="7" t="str">
        <x:f>IF(M1016="","OPEN",IF(OR(NOT(ISNUMBER(H1016)),NOT(ISNUMBER(I1016)),K1016="",L1016=""),"FAIL","PASS"))</x:f>
        <x:v>OPEN</x:v>
      </x:c>
    </x:row>
    <x:row r="1017">
      <x:c r="B1017" s="7" t="str">
        <x:v>TRO-B-19-S1-O2-R1</x:v>
      </x:c>
      <x:c r="C1017" s="7" t="str">
        <x:v>BLD-B</x:v>
      </x:c>
      <x:c r="D1017" s="7" t="str">
        <x:v>MF-19</x:v>
      </x:c>
      <x:c r="E1017" s="7" t="str">
        <x:v>STD-19-1</x:v>
      </x:c>
      <x:c r="F1017" s="7" t="str">
        <x:v>OP-2</x:v>
      </x:c>
      <x:c r="G1017" s="7" t="n">
        <x:v>1</x:v>
      </x:c>
      <x:c r="H1017" s="7" t="str"/>
      <x:c r="I1017" s="7" t="str"/>
      <x:c r="J1017" s="7" t="str">
        <x:f>IF(OR(H1017="",I1017=""),"",I1017-H1017)</x:f>
      </x:c>
      <x:c r="K1017" s="7" t="str"/>
      <x:c r="L1017" s="7" t="str"/>
      <x:c r="M1017" s="7" t="str"/>
      <x:c r="N1017" s="7" t="str">
        <x:f>IF(M1017="","OPEN",IF(OR(NOT(ISNUMBER(H1017)),NOT(ISNUMBER(I1017)),K1017="",L1017=""),"FAIL","PASS"))</x:f>
        <x:v>OPEN</x:v>
      </x:c>
    </x:row>
    <x:row r="1018">
      <x:c r="B1018" s="7" t="str">
        <x:v>TRO-B-19-S1-O2-R2</x:v>
      </x:c>
      <x:c r="C1018" s="7" t="str">
        <x:v>BLD-B</x:v>
      </x:c>
      <x:c r="D1018" s="7" t="str">
        <x:v>MF-19</x:v>
      </x:c>
      <x:c r="E1018" s="7" t="str">
        <x:v>STD-19-1</x:v>
      </x:c>
      <x:c r="F1018" s="7" t="str">
        <x:v>OP-2</x:v>
      </x:c>
      <x:c r="G1018" s="7" t="n">
        <x:v>2</x:v>
      </x:c>
      <x:c r="H1018" s="7" t="str"/>
      <x:c r="I1018" s="7" t="str"/>
      <x:c r="J1018" s="7" t="str">
        <x:f>IF(OR(H1018="",I1018=""),"",I1018-H1018)</x:f>
      </x:c>
      <x:c r="K1018" s="7" t="str"/>
      <x:c r="L1018" s="7" t="str"/>
      <x:c r="M1018" s="7" t="str"/>
      <x:c r="N1018" s="7" t="str">
        <x:f>IF(M1018="","OPEN",IF(OR(NOT(ISNUMBER(H1018)),NOT(ISNUMBER(I1018)),K1018="",L1018=""),"FAIL","PASS"))</x:f>
        <x:v>OPEN</x:v>
      </x:c>
    </x:row>
    <x:row r="1019">
      <x:c r="B1019" s="7" t="str">
        <x:v>TRO-B-19-S2-O1-R1</x:v>
      </x:c>
      <x:c r="C1019" s="7" t="str">
        <x:v>BLD-B</x:v>
      </x:c>
      <x:c r="D1019" s="7" t="str">
        <x:v>MF-19</x:v>
      </x:c>
      <x:c r="E1019" s="7" t="str">
        <x:v>STD-19-2</x:v>
      </x:c>
      <x:c r="F1019" s="7" t="str">
        <x:v>OP-1</x:v>
      </x:c>
      <x:c r="G1019" s="7" t="n">
        <x:v>1</x:v>
      </x:c>
      <x:c r="H1019" s="7" t="str"/>
      <x:c r="I1019" s="7" t="str"/>
      <x:c r="J1019" s="7" t="str">
        <x:f>IF(OR(H1019="",I1019=""),"",I1019-H1019)</x:f>
      </x:c>
      <x:c r="K1019" s="7" t="str"/>
      <x:c r="L1019" s="7" t="str"/>
      <x:c r="M1019" s="7" t="str"/>
      <x:c r="N1019" s="7" t="str">
        <x:f>IF(M1019="","OPEN",IF(OR(NOT(ISNUMBER(H1019)),NOT(ISNUMBER(I1019)),K1019="",L1019=""),"FAIL","PASS"))</x:f>
        <x:v>OPEN</x:v>
      </x:c>
    </x:row>
    <x:row r="1020">
      <x:c r="B1020" s="7" t="str">
        <x:v>TRO-B-19-S2-O1-R2</x:v>
      </x:c>
      <x:c r="C1020" s="7" t="str">
        <x:v>BLD-B</x:v>
      </x:c>
      <x:c r="D1020" s="7" t="str">
        <x:v>MF-19</x:v>
      </x:c>
      <x:c r="E1020" s="7" t="str">
        <x:v>STD-19-2</x:v>
      </x:c>
      <x:c r="F1020" s="7" t="str">
        <x:v>OP-1</x:v>
      </x:c>
      <x:c r="G1020" s="7" t="n">
        <x:v>2</x:v>
      </x:c>
      <x:c r="H1020" s="7" t="str"/>
      <x:c r="I1020" s="7" t="str"/>
      <x:c r="J1020" s="7" t="str">
        <x:f>IF(OR(H1020="",I1020=""),"",I1020-H1020)</x:f>
      </x:c>
      <x:c r="K1020" s="7" t="str"/>
      <x:c r="L1020" s="7" t="str"/>
      <x:c r="M1020" s="7" t="str"/>
      <x:c r="N1020" s="7" t="str">
        <x:f>IF(M1020="","OPEN",IF(OR(NOT(ISNUMBER(H1020)),NOT(ISNUMBER(I1020)),K1020="",L1020=""),"FAIL","PASS"))</x:f>
        <x:v>OPEN</x:v>
      </x:c>
    </x:row>
    <x:row r="1021">
      <x:c r="B1021" s="7" t="str">
        <x:v>TRO-B-19-S2-O2-R1</x:v>
      </x:c>
      <x:c r="C1021" s="7" t="str">
        <x:v>BLD-B</x:v>
      </x:c>
      <x:c r="D1021" s="7" t="str">
        <x:v>MF-19</x:v>
      </x:c>
      <x:c r="E1021" s="7" t="str">
        <x:v>STD-19-2</x:v>
      </x:c>
      <x:c r="F1021" s="7" t="str">
        <x:v>OP-2</x:v>
      </x:c>
      <x:c r="G1021" s="7" t="n">
        <x:v>1</x:v>
      </x:c>
      <x:c r="H1021" s="7" t="str"/>
      <x:c r="I1021" s="7" t="str"/>
      <x:c r="J1021" s="7" t="str">
        <x:f>IF(OR(H1021="",I1021=""),"",I1021-H1021)</x:f>
      </x:c>
      <x:c r="K1021" s="7" t="str"/>
      <x:c r="L1021" s="7" t="str"/>
      <x:c r="M1021" s="7" t="str"/>
      <x:c r="N1021" s="7" t="str">
        <x:f>IF(M1021="","OPEN",IF(OR(NOT(ISNUMBER(H1021)),NOT(ISNUMBER(I1021)),K1021="",L1021=""),"FAIL","PASS"))</x:f>
        <x:v>OPEN</x:v>
      </x:c>
    </x:row>
    <x:row r="1022">
      <x:c r="B1022" s="7" t="str">
        <x:v>TRO-B-19-S2-O2-R2</x:v>
      </x:c>
      <x:c r="C1022" s="7" t="str">
        <x:v>BLD-B</x:v>
      </x:c>
      <x:c r="D1022" s="7" t="str">
        <x:v>MF-19</x:v>
      </x:c>
      <x:c r="E1022" s="7" t="str">
        <x:v>STD-19-2</x:v>
      </x:c>
      <x:c r="F1022" s="7" t="str">
        <x:v>OP-2</x:v>
      </x:c>
      <x:c r="G1022" s="7" t="n">
        <x:v>2</x:v>
      </x:c>
      <x:c r="H1022" s="7" t="str"/>
      <x:c r="I1022" s="7" t="str"/>
      <x:c r="J1022" s="7" t="str">
        <x:f>IF(OR(H1022="",I1022=""),"",I1022-H1022)</x:f>
      </x:c>
      <x:c r="K1022" s="7" t="str"/>
      <x:c r="L1022" s="7" t="str"/>
      <x:c r="M1022" s="7" t="str"/>
      <x:c r="N1022" s="7" t="str">
        <x:f>IF(M1022="","OPEN",IF(OR(NOT(ISNUMBER(H1022)),NOT(ISNUMBER(I1022)),K1022="",L1022=""),"FAIL","PASS"))</x:f>
        <x:v>OPEN</x:v>
      </x:c>
    </x:row>
    <x:row r="1023">
      <x:c r="B1023" s="7" t="str">
        <x:v>TRO-B-19-S3-O1-R1</x:v>
      </x:c>
      <x:c r="C1023" s="7" t="str">
        <x:v>BLD-B</x:v>
      </x:c>
      <x:c r="D1023" s="7" t="str">
        <x:v>MF-19</x:v>
      </x:c>
      <x:c r="E1023" s="7" t="str">
        <x:v>STD-19-3</x:v>
      </x:c>
      <x:c r="F1023" s="7" t="str">
        <x:v>OP-1</x:v>
      </x:c>
      <x:c r="G1023" s="7" t="n">
        <x:v>1</x:v>
      </x:c>
      <x:c r="H1023" s="7" t="str"/>
      <x:c r="I1023" s="7" t="str"/>
      <x:c r="J1023" s="7" t="str">
        <x:f>IF(OR(H1023="",I1023=""),"",I1023-H1023)</x:f>
      </x:c>
      <x:c r="K1023" s="7" t="str"/>
      <x:c r="L1023" s="7" t="str"/>
      <x:c r="M1023" s="7" t="str"/>
      <x:c r="N1023" s="7" t="str">
        <x:f>IF(M1023="","OPEN",IF(OR(NOT(ISNUMBER(H1023)),NOT(ISNUMBER(I1023)),K1023="",L1023=""),"FAIL","PASS"))</x:f>
        <x:v>OPEN</x:v>
      </x:c>
    </x:row>
    <x:row r="1024">
      <x:c r="B1024" s="7" t="str">
        <x:v>TRO-B-19-S3-O1-R2</x:v>
      </x:c>
      <x:c r="C1024" s="7" t="str">
        <x:v>BLD-B</x:v>
      </x:c>
      <x:c r="D1024" s="7" t="str">
        <x:v>MF-19</x:v>
      </x:c>
      <x:c r="E1024" s="7" t="str">
        <x:v>STD-19-3</x:v>
      </x:c>
      <x:c r="F1024" s="7" t="str">
        <x:v>OP-1</x:v>
      </x:c>
      <x:c r="G1024" s="7" t="n">
        <x:v>2</x:v>
      </x:c>
      <x:c r="H1024" s="7" t="str"/>
      <x:c r="I1024" s="7" t="str"/>
      <x:c r="J1024" s="7" t="str">
        <x:f>IF(OR(H1024="",I1024=""),"",I1024-H1024)</x:f>
      </x:c>
      <x:c r="K1024" s="7" t="str"/>
      <x:c r="L1024" s="7" t="str"/>
      <x:c r="M1024" s="7" t="str"/>
      <x:c r="N1024" s="7" t="str">
        <x:f>IF(M1024="","OPEN",IF(OR(NOT(ISNUMBER(H1024)),NOT(ISNUMBER(I1024)),K1024="",L1024=""),"FAIL","PASS"))</x:f>
        <x:v>OPEN</x:v>
      </x:c>
    </x:row>
    <x:row r="1025">
      <x:c r="B1025" s="7" t="str">
        <x:v>TRO-B-19-S3-O2-R1</x:v>
      </x:c>
      <x:c r="C1025" s="7" t="str">
        <x:v>BLD-B</x:v>
      </x:c>
      <x:c r="D1025" s="7" t="str">
        <x:v>MF-19</x:v>
      </x:c>
      <x:c r="E1025" s="7" t="str">
        <x:v>STD-19-3</x:v>
      </x:c>
      <x:c r="F1025" s="7" t="str">
        <x:v>OP-2</x:v>
      </x:c>
      <x:c r="G1025" s="7" t="n">
        <x:v>1</x:v>
      </x:c>
      <x:c r="H1025" s="7" t="str"/>
      <x:c r="I1025" s="7" t="str"/>
      <x:c r="J1025" s="7" t="str">
        <x:f>IF(OR(H1025="",I1025=""),"",I1025-H1025)</x:f>
      </x:c>
      <x:c r="K1025" s="7" t="str"/>
      <x:c r="L1025" s="7" t="str"/>
      <x:c r="M1025" s="7" t="str"/>
      <x:c r="N1025" s="7" t="str">
        <x:f>IF(M1025="","OPEN",IF(OR(NOT(ISNUMBER(H1025)),NOT(ISNUMBER(I1025)),K1025="",L1025=""),"FAIL","PASS"))</x:f>
        <x:v>OPEN</x:v>
      </x:c>
    </x:row>
    <x:row r="1026">
      <x:c r="B1026" s="7" t="str">
        <x:v>TRO-B-19-S3-O2-R2</x:v>
      </x:c>
      <x:c r="C1026" s="7" t="str">
        <x:v>BLD-B</x:v>
      </x:c>
      <x:c r="D1026" s="7" t="str">
        <x:v>MF-19</x:v>
      </x:c>
      <x:c r="E1026" s="7" t="str">
        <x:v>STD-19-3</x:v>
      </x:c>
      <x:c r="F1026" s="7" t="str">
        <x:v>OP-2</x:v>
      </x:c>
      <x:c r="G1026" s="7" t="n">
        <x:v>2</x:v>
      </x:c>
      <x:c r="H1026" s="7" t="str"/>
      <x:c r="I1026" s="7" t="str"/>
      <x:c r="J1026" s="7" t="str">
        <x:f>IF(OR(H1026="",I1026=""),"",I1026-H1026)</x:f>
      </x:c>
      <x:c r="K1026" s="7" t="str"/>
      <x:c r="L1026" s="7" t="str"/>
      <x:c r="M1026" s="7" t="str"/>
      <x:c r="N1026" s="7" t="str">
        <x:f>IF(M1026="","OPEN",IF(OR(NOT(ISNUMBER(H1026)),NOT(ISNUMBER(I1026)),K1026="",L1026=""),"FAIL","PASS"))</x:f>
        <x:v>OPEN</x:v>
      </x:c>
    </x:row>
    <x:row r="1027">
      <x:c r="B1027" s="7" t="str">
        <x:v>TRO-B-19-S4-O1-R1</x:v>
      </x:c>
      <x:c r="C1027" s="7" t="str">
        <x:v>BLD-B</x:v>
      </x:c>
      <x:c r="D1027" s="7" t="str">
        <x:v>MF-19</x:v>
      </x:c>
      <x:c r="E1027" s="7" t="str">
        <x:v>STD-19-4</x:v>
      </x:c>
      <x:c r="F1027" s="7" t="str">
        <x:v>OP-1</x:v>
      </x:c>
      <x:c r="G1027" s="7" t="n">
        <x:v>1</x:v>
      </x:c>
      <x:c r="H1027" s="7" t="str"/>
      <x:c r="I1027" s="7" t="str"/>
      <x:c r="J1027" s="7" t="str">
        <x:f>IF(OR(H1027="",I1027=""),"",I1027-H1027)</x:f>
      </x:c>
      <x:c r="K1027" s="7" t="str"/>
      <x:c r="L1027" s="7" t="str"/>
      <x:c r="M1027" s="7" t="str"/>
      <x:c r="N1027" s="7" t="str">
        <x:f>IF(M1027="","OPEN",IF(OR(NOT(ISNUMBER(H1027)),NOT(ISNUMBER(I1027)),K1027="",L1027=""),"FAIL","PASS"))</x:f>
        <x:v>OPEN</x:v>
      </x:c>
    </x:row>
    <x:row r="1028">
      <x:c r="B1028" s="7" t="str">
        <x:v>TRO-B-19-S4-O1-R2</x:v>
      </x:c>
      <x:c r="C1028" s="7" t="str">
        <x:v>BLD-B</x:v>
      </x:c>
      <x:c r="D1028" s="7" t="str">
        <x:v>MF-19</x:v>
      </x:c>
      <x:c r="E1028" s="7" t="str">
        <x:v>STD-19-4</x:v>
      </x:c>
      <x:c r="F1028" s="7" t="str">
        <x:v>OP-1</x:v>
      </x:c>
      <x:c r="G1028" s="7" t="n">
        <x:v>2</x:v>
      </x:c>
      <x:c r="H1028" s="7" t="str"/>
      <x:c r="I1028" s="7" t="str"/>
      <x:c r="J1028" s="7" t="str">
        <x:f>IF(OR(H1028="",I1028=""),"",I1028-H1028)</x:f>
      </x:c>
      <x:c r="K1028" s="7" t="str"/>
      <x:c r="L1028" s="7" t="str"/>
      <x:c r="M1028" s="7" t="str"/>
      <x:c r="N1028" s="7" t="str">
        <x:f>IF(M1028="","OPEN",IF(OR(NOT(ISNUMBER(H1028)),NOT(ISNUMBER(I1028)),K1028="",L1028=""),"FAIL","PASS"))</x:f>
        <x:v>OPEN</x:v>
      </x:c>
    </x:row>
    <x:row r="1029">
      <x:c r="B1029" s="7" t="str">
        <x:v>TRO-B-19-S4-O2-R1</x:v>
      </x:c>
      <x:c r="C1029" s="7" t="str">
        <x:v>BLD-B</x:v>
      </x:c>
      <x:c r="D1029" s="7" t="str">
        <x:v>MF-19</x:v>
      </x:c>
      <x:c r="E1029" s="7" t="str">
        <x:v>STD-19-4</x:v>
      </x:c>
      <x:c r="F1029" s="7" t="str">
        <x:v>OP-2</x:v>
      </x:c>
      <x:c r="G1029" s="7" t="n">
        <x:v>1</x:v>
      </x:c>
      <x:c r="H1029" s="7" t="str"/>
      <x:c r="I1029" s="7" t="str"/>
      <x:c r="J1029" s="7" t="str">
        <x:f>IF(OR(H1029="",I1029=""),"",I1029-H1029)</x:f>
      </x:c>
      <x:c r="K1029" s="7" t="str"/>
      <x:c r="L1029" s="7" t="str"/>
      <x:c r="M1029" s="7" t="str"/>
      <x:c r="N1029" s="7" t="str">
        <x:f>IF(M1029="","OPEN",IF(OR(NOT(ISNUMBER(H1029)),NOT(ISNUMBER(I1029)),K1029="",L1029=""),"FAIL","PASS"))</x:f>
        <x:v>OPEN</x:v>
      </x:c>
    </x:row>
    <x:row r="1030">
      <x:c r="B1030" s="7" t="str">
        <x:v>TRO-B-19-S4-O2-R2</x:v>
      </x:c>
      <x:c r="C1030" s="7" t="str">
        <x:v>BLD-B</x:v>
      </x:c>
      <x:c r="D1030" s="7" t="str">
        <x:v>MF-19</x:v>
      </x:c>
      <x:c r="E1030" s="7" t="str">
        <x:v>STD-19-4</x:v>
      </x:c>
      <x:c r="F1030" s="7" t="str">
        <x:v>OP-2</x:v>
      </x:c>
      <x:c r="G1030" s="7" t="n">
        <x:v>2</x:v>
      </x:c>
      <x:c r="H1030" s="7" t="str"/>
      <x:c r="I1030" s="7" t="str"/>
      <x:c r="J1030" s="7" t="str">
        <x:f>IF(OR(H1030="",I1030=""),"",I1030-H1030)</x:f>
      </x:c>
      <x:c r="K1030" s="7" t="str"/>
      <x:c r="L1030" s="7" t="str"/>
      <x:c r="M1030" s="7" t="str"/>
      <x:c r="N1030" s="7" t="str">
        <x:f>IF(M1030="","OPEN",IF(OR(NOT(ISNUMBER(H1030)),NOT(ISNUMBER(I1030)),K1030="",L1030=""),"FAIL","PASS"))</x:f>
        <x:v>OPEN</x:v>
      </x:c>
    </x:row>
    <x:row r="1031">
      <x:c r="B1031" s="7" t="str">
        <x:v>TRO-B-19-S5-O1-R1</x:v>
      </x:c>
      <x:c r="C1031" s="7" t="str">
        <x:v>BLD-B</x:v>
      </x:c>
      <x:c r="D1031" s="7" t="str">
        <x:v>MF-19</x:v>
      </x:c>
      <x:c r="E1031" s="7" t="str">
        <x:v>STD-19-5</x:v>
      </x:c>
      <x:c r="F1031" s="7" t="str">
        <x:v>OP-1</x:v>
      </x:c>
      <x:c r="G1031" s="7" t="n">
        <x:v>1</x:v>
      </x:c>
      <x:c r="H1031" s="7" t="str"/>
      <x:c r="I1031" s="7" t="str"/>
      <x:c r="J1031" s="7" t="str">
        <x:f>IF(OR(H1031="",I1031=""),"",I1031-H1031)</x:f>
      </x:c>
      <x:c r="K1031" s="7" t="str"/>
      <x:c r="L1031" s="7" t="str"/>
      <x:c r="M1031" s="7" t="str"/>
      <x:c r="N1031" s="7" t="str">
        <x:f>IF(M1031="","OPEN",IF(OR(NOT(ISNUMBER(H1031)),NOT(ISNUMBER(I1031)),K1031="",L1031=""),"FAIL","PASS"))</x:f>
        <x:v>OPEN</x:v>
      </x:c>
    </x:row>
    <x:row r="1032">
      <x:c r="B1032" s="7" t="str">
        <x:v>TRO-B-19-S5-O1-R2</x:v>
      </x:c>
      <x:c r="C1032" s="7" t="str">
        <x:v>BLD-B</x:v>
      </x:c>
      <x:c r="D1032" s="7" t="str">
        <x:v>MF-19</x:v>
      </x:c>
      <x:c r="E1032" s="7" t="str">
        <x:v>STD-19-5</x:v>
      </x:c>
      <x:c r="F1032" s="7" t="str">
        <x:v>OP-1</x:v>
      </x:c>
      <x:c r="G1032" s="7" t="n">
        <x:v>2</x:v>
      </x:c>
      <x:c r="H1032" s="7" t="str"/>
      <x:c r="I1032" s="7" t="str"/>
      <x:c r="J1032" s="7" t="str">
        <x:f>IF(OR(H1032="",I1032=""),"",I1032-H1032)</x:f>
      </x:c>
      <x:c r="K1032" s="7" t="str"/>
      <x:c r="L1032" s="7" t="str"/>
      <x:c r="M1032" s="7" t="str"/>
      <x:c r="N1032" s="7" t="str">
        <x:f>IF(M1032="","OPEN",IF(OR(NOT(ISNUMBER(H1032)),NOT(ISNUMBER(I1032)),K1032="",L1032=""),"FAIL","PASS"))</x:f>
        <x:v>OPEN</x:v>
      </x:c>
    </x:row>
    <x:row r="1033">
      <x:c r="B1033" s="7" t="str">
        <x:v>TRO-B-19-S5-O2-R1</x:v>
      </x:c>
      <x:c r="C1033" s="7" t="str">
        <x:v>BLD-B</x:v>
      </x:c>
      <x:c r="D1033" s="7" t="str">
        <x:v>MF-19</x:v>
      </x:c>
      <x:c r="E1033" s="7" t="str">
        <x:v>STD-19-5</x:v>
      </x:c>
      <x:c r="F1033" s="7" t="str">
        <x:v>OP-2</x:v>
      </x:c>
      <x:c r="G1033" s="7" t="n">
        <x:v>1</x:v>
      </x:c>
      <x:c r="H1033" s="7" t="str"/>
      <x:c r="I1033" s="7" t="str"/>
      <x:c r="J1033" s="7" t="str">
        <x:f>IF(OR(H1033="",I1033=""),"",I1033-H1033)</x:f>
      </x:c>
      <x:c r="K1033" s="7" t="str"/>
      <x:c r="L1033" s="7" t="str"/>
      <x:c r="M1033" s="7" t="str"/>
      <x:c r="N1033" s="7" t="str">
        <x:f>IF(M1033="","OPEN",IF(OR(NOT(ISNUMBER(H1033)),NOT(ISNUMBER(I1033)),K1033="",L1033=""),"FAIL","PASS"))</x:f>
        <x:v>OPEN</x:v>
      </x:c>
    </x:row>
    <x:row r="1034">
      <x:c r="B1034" s="7" t="str">
        <x:v>TRO-B-19-S5-O2-R2</x:v>
      </x:c>
      <x:c r="C1034" s="7" t="str">
        <x:v>BLD-B</x:v>
      </x:c>
      <x:c r="D1034" s="7" t="str">
        <x:v>MF-19</x:v>
      </x:c>
      <x:c r="E1034" s="7" t="str">
        <x:v>STD-19-5</x:v>
      </x:c>
      <x:c r="F1034" s="7" t="str">
        <x:v>OP-2</x:v>
      </x:c>
      <x:c r="G1034" s="7" t="n">
        <x:v>2</x:v>
      </x:c>
      <x:c r="H1034" s="7" t="str"/>
      <x:c r="I1034" s="7" t="str"/>
      <x:c r="J1034" s="7" t="str">
        <x:f>IF(OR(H1034="",I1034=""),"",I1034-H1034)</x:f>
      </x:c>
      <x:c r="K1034" s="7" t="str"/>
      <x:c r="L1034" s="7" t="str"/>
      <x:c r="M1034" s="7" t="str"/>
      <x:c r="N1034" s="7" t="str">
        <x:f>IF(M1034="","OPEN",IF(OR(NOT(ISNUMBER(H1034)),NOT(ISNUMBER(I1034)),K1034="",L1034=""),"FAIL","PASS"))</x:f>
        <x:v>OPEN</x:v>
      </x:c>
    </x:row>
    <x:row r="1035">
      <x:c r="B1035" s="7" t="str">
        <x:v>TRO-B-19-S6-O1-R1</x:v>
      </x:c>
      <x:c r="C1035" s="7" t="str">
        <x:v>BLD-B</x:v>
      </x:c>
      <x:c r="D1035" s="7" t="str">
        <x:v>MF-19</x:v>
      </x:c>
      <x:c r="E1035" s="7" t="str">
        <x:v>STD-19-6</x:v>
      </x:c>
      <x:c r="F1035" s="7" t="str">
        <x:v>OP-1</x:v>
      </x:c>
      <x:c r="G1035" s="7" t="n">
        <x:v>1</x:v>
      </x:c>
      <x:c r="H1035" s="7" t="str"/>
      <x:c r="I1035" s="7" t="str"/>
      <x:c r="J1035" s="7" t="str">
        <x:f>IF(OR(H1035="",I1035=""),"",I1035-H1035)</x:f>
      </x:c>
      <x:c r="K1035" s="7" t="str"/>
      <x:c r="L1035" s="7" t="str"/>
      <x:c r="M1035" s="7" t="str"/>
      <x:c r="N1035" s="7" t="str">
        <x:f>IF(M1035="","OPEN",IF(OR(NOT(ISNUMBER(H1035)),NOT(ISNUMBER(I1035)),K1035="",L1035=""),"FAIL","PASS"))</x:f>
        <x:v>OPEN</x:v>
      </x:c>
    </x:row>
    <x:row r="1036">
      <x:c r="B1036" s="7" t="str">
        <x:v>TRO-B-19-S6-O1-R2</x:v>
      </x:c>
      <x:c r="C1036" s="7" t="str">
        <x:v>BLD-B</x:v>
      </x:c>
      <x:c r="D1036" s="7" t="str">
        <x:v>MF-19</x:v>
      </x:c>
      <x:c r="E1036" s="7" t="str">
        <x:v>STD-19-6</x:v>
      </x:c>
      <x:c r="F1036" s="7" t="str">
        <x:v>OP-1</x:v>
      </x:c>
      <x:c r="G1036" s="7" t="n">
        <x:v>2</x:v>
      </x:c>
      <x:c r="H1036" s="7" t="str"/>
      <x:c r="I1036" s="7" t="str"/>
      <x:c r="J1036" s="7" t="str">
        <x:f>IF(OR(H1036="",I1036=""),"",I1036-H1036)</x:f>
      </x:c>
      <x:c r="K1036" s="7" t="str"/>
      <x:c r="L1036" s="7" t="str"/>
      <x:c r="M1036" s="7" t="str"/>
      <x:c r="N1036" s="7" t="str">
        <x:f>IF(M1036="","OPEN",IF(OR(NOT(ISNUMBER(H1036)),NOT(ISNUMBER(I1036)),K1036="",L1036=""),"FAIL","PASS"))</x:f>
        <x:v>OPEN</x:v>
      </x:c>
    </x:row>
    <x:row r="1037">
      <x:c r="B1037" s="7" t="str">
        <x:v>TRO-B-19-S6-O2-R1</x:v>
      </x:c>
      <x:c r="C1037" s="7" t="str">
        <x:v>BLD-B</x:v>
      </x:c>
      <x:c r="D1037" s="7" t="str">
        <x:v>MF-19</x:v>
      </x:c>
      <x:c r="E1037" s="7" t="str">
        <x:v>STD-19-6</x:v>
      </x:c>
      <x:c r="F1037" s="7" t="str">
        <x:v>OP-2</x:v>
      </x:c>
      <x:c r="G1037" s="7" t="n">
        <x:v>1</x:v>
      </x:c>
      <x:c r="H1037" s="7" t="str"/>
      <x:c r="I1037" s="7" t="str"/>
      <x:c r="J1037" s="7" t="str">
        <x:f>IF(OR(H1037="",I1037=""),"",I1037-H1037)</x:f>
      </x:c>
      <x:c r="K1037" s="7" t="str"/>
      <x:c r="L1037" s="7" t="str"/>
      <x:c r="M1037" s="7" t="str"/>
      <x:c r="N1037" s="7" t="str">
        <x:f>IF(M1037="","OPEN",IF(OR(NOT(ISNUMBER(H1037)),NOT(ISNUMBER(I1037)),K1037="",L1037=""),"FAIL","PASS"))</x:f>
        <x:v>OPEN</x:v>
      </x:c>
    </x:row>
    <x:row r="1038">
      <x:c r="B1038" s="7" t="str">
        <x:v>TRO-B-19-S6-O2-R2</x:v>
      </x:c>
      <x:c r="C1038" s="7" t="str">
        <x:v>BLD-B</x:v>
      </x:c>
      <x:c r="D1038" s="7" t="str">
        <x:v>MF-19</x:v>
      </x:c>
      <x:c r="E1038" s="7" t="str">
        <x:v>STD-19-6</x:v>
      </x:c>
      <x:c r="F1038" s="7" t="str">
        <x:v>OP-2</x:v>
      </x:c>
      <x:c r="G1038" s="7" t="n">
        <x:v>2</x:v>
      </x:c>
      <x:c r="H1038" s="7" t="str"/>
      <x:c r="I1038" s="7" t="str"/>
      <x:c r="J1038" s="7" t="str">
        <x:f>IF(OR(H1038="",I1038=""),"",I1038-H1038)</x:f>
      </x:c>
      <x:c r="K1038" s="7" t="str"/>
      <x:c r="L1038" s="7" t="str"/>
      <x:c r="M1038" s="7" t="str"/>
      <x:c r="N1038" s="7" t="str">
        <x:f>IF(M1038="","OPEN",IF(OR(NOT(ISNUMBER(H1038)),NOT(ISNUMBER(I1038)),K1038="",L1038=""),"FAIL","PASS"))</x:f>
        <x:v>OPEN</x:v>
      </x:c>
    </x:row>
    <x:row r="1039">
      <x:c r="B1039" s="7" t="str">
        <x:v>TRO-B-20-S1-O1-R1</x:v>
      </x:c>
      <x:c r="C1039" s="7" t="str">
        <x:v>BLD-B</x:v>
      </x:c>
      <x:c r="D1039" s="7" t="str">
        <x:v>MF-20</x:v>
      </x:c>
      <x:c r="E1039" s="7" t="str">
        <x:v>STD-20-1</x:v>
      </x:c>
      <x:c r="F1039" s="7" t="str">
        <x:v>OP-1</x:v>
      </x:c>
      <x:c r="G1039" s="7" t="n">
        <x:v>1</x:v>
      </x:c>
      <x:c r="H1039" s="7" t="str"/>
      <x:c r="I1039" s="7" t="str"/>
      <x:c r="J1039" s="7" t="str">
        <x:f>IF(OR(H1039="",I1039=""),"",I1039-H1039)</x:f>
      </x:c>
      <x:c r="K1039" s="7" t="str"/>
      <x:c r="L1039" s="7" t="str"/>
      <x:c r="M1039" s="7" t="str"/>
      <x:c r="N1039" s="7" t="str">
        <x:f>IF(M1039="","OPEN",IF(OR(NOT(ISNUMBER(H1039)),NOT(ISNUMBER(I1039)),K1039="",L1039=""),"FAIL","PASS"))</x:f>
        <x:v>OPEN</x:v>
      </x:c>
    </x:row>
    <x:row r="1040">
      <x:c r="B1040" s="7" t="str">
        <x:v>TRO-B-20-S1-O1-R2</x:v>
      </x:c>
      <x:c r="C1040" s="7" t="str">
        <x:v>BLD-B</x:v>
      </x:c>
      <x:c r="D1040" s="7" t="str">
        <x:v>MF-20</x:v>
      </x:c>
      <x:c r="E1040" s="7" t="str">
        <x:v>STD-20-1</x:v>
      </x:c>
      <x:c r="F1040" s="7" t="str">
        <x:v>OP-1</x:v>
      </x:c>
      <x:c r="G1040" s="7" t="n">
        <x:v>2</x:v>
      </x:c>
      <x:c r="H1040" s="7" t="str"/>
      <x:c r="I1040" s="7" t="str"/>
      <x:c r="J1040" s="7" t="str">
        <x:f>IF(OR(H1040="",I1040=""),"",I1040-H1040)</x:f>
      </x:c>
      <x:c r="K1040" s="7" t="str"/>
      <x:c r="L1040" s="7" t="str"/>
      <x:c r="M1040" s="7" t="str"/>
      <x:c r="N1040" s="7" t="str">
        <x:f>IF(M1040="","OPEN",IF(OR(NOT(ISNUMBER(H1040)),NOT(ISNUMBER(I1040)),K1040="",L1040=""),"FAIL","PASS"))</x:f>
        <x:v>OPEN</x:v>
      </x:c>
    </x:row>
    <x:row r="1041">
      <x:c r="B1041" s="7" t="str">
        <x:v>TRO-B-20-S1-O2-R1</x:v>
      </x:c>
      <x:c r="C1041" s="7" t="str">
        <x:v>BLD-B</x:v>
      </x:c>
      <x:c r="D1041" s="7" t="str">
        <x:v>MF-20</x:v>
      </x:c>
      <x:c r="E1041" s="7" t="str">
        <x:v>STD-20-1</x:v>
      </x:c>
      <x:c r="F1041" s="7" t="str">
        <x:v>OP-2</x:v>
      </x:c>
      <x:c r="G1041" s="7" t="n">
        <x:v>1</x:v>
      </x:c>
      <x:c r="H1041" s="7" t="str"/>
      <x:c r="I1041" s="7" t="str"/>
      <x:c r="J1041" s="7" t="str">
        <x:f>IF(OR(H1041="",I1041=""),"",I1041-H1041)</x:f>
      </x:c>
      <x:c r="K1041" s="7" t="str"/>
      <x:c r="L1041" s="7" t="str"/>
      <x:c r="M1041" s="7" t="str"/>
      <x:c r="N1041" s="7" t="str">
        <x:f>IF(M1041="","OPEN",IF(OR(NOT(ISNUMBER(H1041)),NOT(ISNUMBER(I1041)),K1041="",L1041=""),"FAIL","PASS"))</x:f>
        <x:v>OPEN</x:v>
      </x:c>
    </x:row>
    <x:row r="1042">
      <x:c r="B1042" s="7" t="str">
        <x:v>TRO-B-20-S1-O2-R2</x:v>
      </x:c>
      <x:c r="C1042" s="7" t="str">
        <x:v>BLD-B</x:v>
      </x:c>
      <x:c r="D1042" s="7" t="str">
        <x:v>MF-20</x:v>
      </x:c>
      <x:c r="E1042" s="7" t="str">
        <x:v>STD-20-1</x:v>
      </x:c>
      <x:c r="F1042" s="7" t="str">
        <x:v>OP-2</x:v>
      </x:c>
      <x:c r="G1042" s="7" t="n">
        <x:v>2</x:v>
      </x:c>
      <x:c r="H1042" s="7" t="str"/>
      <x:c r="I1042" s="7" t="str"/>
      <x:c r="J1042" s="7" t="str">
        <x:f>IF(OR(H1042="",I1042=""),"",I1042-H1042)</x:f>
      </x:c>
      <x:c r="K1042" s="7" t="str"/>
      <x:c r="L1042" s="7" t="str"/>
      <x:c r="M1042" s="7" t="str"/>
      <x:c r="N1042" s="7" t="str">
        <x:f>IF(M1042="","OPEN",IF(OR(NOT(ISNUMBER(H1042)),NOT(ISNUMBER(I1042)),K1042="",L1042=""),"FAIL","PASS"))</x:f>
        <x:v>OPEN</x:v>
      </x:c>
    </x:row>
    <x:row r="1043">
      <x:c r="B1043" s="7" t="str">
        <x:v>TRO-B-20-S2-O1-R1</x:v>
      </x:c>
      <x:c r="C1043" s="7" t="str">
        <x:v>BLD-B</x:v>
      </x:c>
      <x:c r="D1043" s="7" t="str">
        <x:v>MF-20</x:v>
      </x:c>
      <x:c r="E1043" s="7" t="str">
        <x:v>STD-20-2</x:v>
      </x:c>
      <x:c r="F1043" s="7" t="str">
        <x:v>OP-1</x:v>
      </x:c>
      <x:c r="G1043" s="7" t="n">
        <x:v>1</x:v>
      </x:c>
      <x:c r="H1043" s="7" t="str"/>
      <x:c r="I1043" s="7" t="str"/>
      <x:c r="J1043" s="7" t="str">
        <x:f>IF(OR(H1043="",I1043=""),"",I1043-H1043)</x:f>
      </x:c>
      <x:c r="K1043" s="7" t="str"/>
      <x:c r="L1043" s="7" t="str"/>
      <x:c r="M1043" s="7" t="str"/>
      <x:c r="N1043" s="7" t="str">
        <x:f>IF(M1043="","OPEN",IF(OR(NOT(ISNUMBER(H1043)),NOT(ISNUMBER(I1043)),K1043="",L1043=""),"FAIL","PASS"))</x:f>
        <x:v>OPEN</x:v>
      </x:c>
    </x:row>
    <x:row r="1044">
      <x:c r="B1044" s="7" t="str">
        <x:v>TRO-B-20-S2-O1-R2</x:v>
      </x:c>
      <x:c r="C1044" s="7" t="str">
        <x:v>BLD-B</x:v>
      </x:c>
      <x:c r="D1044" s="7" t="str">
        <x:v>MF-20</x:v>
      </x:c>
      <x:c r="E1044" s="7" t="str">
        <x:v>STD-20-2</x:v>
      </x:c>
      <x:c r="F1044" s="7" t="str">
        <x:v>OP-1</x:v>
      </x:c>
      <x:c r="G1044" s="7" t="n">
        <x:v>2</x:v>
      </x:c>
      <x:c r="H1044" s="7" t="str"/>
      <x:c r="I1044" s="7" t="str"/>
      <x:c r="J1044" s="7" t="str">
        <x:f>IF(OR(H1044="",I1044=""),"",I1044-H1044)</x:f>
      </x:c>
      <x:c r="K1044" s="7" t="str"/>
      <x:c r="L1044" s="7" t="str"/>
      <x:c r="M1044" s="7" t="str"/>
      <x:c r="N1044" s="7" t="str">
        <x:f>IF(M1044="","OPEN",IF(OR(NOT(ISNUMBER(H1044)),NOT(ISNUMBER(I1044)),K1044="",L1044=""),"FAIL","PASS"))</x:f>
        <x:v>OPEN</x:v>
      </x:c>
    </x:row>
    <x:row r="1045">
      <x:c r="B1045" s="7" t="str">
        <x:v>TRO-B-20-S2-O2-R1</x:v>
      </x:c>
      <x:c r="C1045" s="7" t="str">
        <x:v>BLD-B</x:v>
      </x:c>
      <x:c r="D1045" s="7" t="str">
        <x:v>MF-20</x:v>
      </x:c>
      <x:c r="E1045" s="7" t="str">
        <x:v>STD-20-2</x:v>
      </x:c>
      <x:c r="F1045" s="7" t="str">
        <x:v>OP-2</x:v>
      </x:c>
      <x:c r="G1045" s="7" t="n">
        <x:v>1</x:v>
      </x:c>
      <x:c r="H1045" s="7" t="str"/>
      <x:c r="I1045" s="7" t="str"/>
      <x:c r="J1045" s="7" t="str">
        <x:f>IF(OR(H1045="",I1045=""),"",I1045-H1045)</x:f>
      </x:c>
      <x:c r="K1045" s="7" t="str"/>
      <x:c r="L1045" s="7" t="str"/>
      <x:c r="M1045" s="7" t="str"/>
      <x:c r="N1045" s="7" t="str">
        <x:f>IF(M1045="","OPEN",IF(OR(NOT(ISNUMBER(H1045)),NOT(ISNUMBER(I1045)),K1045="",L1045=""),"FAIL","PASS"))</x:f>
        <x:v>OPEN</x:v>
      </x:c>
    </x:row>
    <x:row r="1046">
      <x:c r="B1046" s="7" t="str">
        <x:v>TRO-B-20-S2-O2-R2</x:v>
      </x:c>
      <x:c r="C1046" s="7" t="str">
        <x:v>BLD-B</x:v>
      </x:c>
      <x:c r="D1046" s="7" t="str">
        <x:v>MF-20</x:v>
      </x:c>
      <x:c r="E1046" s="7" t="str">
        <x:v>STD-20-2</x:v>
      </x:c>
      <x:c r="F1046" s="7" t="str">
        <x:v>OP-2</x:v>
      </x:c>
      <x:c r="G1046" s="7" t="n">
        <x:v>2</x:v>
      </x:c>
      <x:c r="H1046" s="7" t="str"/>
      <x:c r="I1046" s="7" t="str"/>
      <x:c r="J1046" s="7" t="str">
        <x:f>IF(OR(H1046="",I1046=""),"",I1046-H1046)</x:f>
      </x:c>
      <x:c r="K1046" s="7" t="str"/>
      <x:c r="L1046" s="7" t="str"/>
      <x:c r="M1046" s="7" t="str"/>
      <x:c r="N1046" s="7" t="str">
        <x:f>IF(M1046="","OPEN",IF(OR(NOT(ISNUMBER(H1046)),NOT(ISNUMBER(I1046)),K1046="",L1046=""),"FAIL","PASS"))</x:f>
        <x:v>OPEN</x:v>
      </x:c>
    </x:row>
    <x:row r="1047">
      <x:c r="B1047" s="7" t="str">
        <x:v>TRO-B-20-S3-O1-R1</x:v>
      </x:c>
      <x:c r="C1047" s="7" t="str">
        <x:v>BLD-B</x:v>
      </x:c>
      <x:c r="D1047" s="7" t="str">
        <x:v>MF-20</x:v>
      </x:c>
      <x:c r="E1047" s="7" t="str">
        <x:v>STD-20-3</x:v>
      </x:c>
      <x:c r="F1047" s="7" t="str">
        <x:v>OP-1</x:v>
      </x:c>
      <x:c r="G1047" s="7" t="n">
        <x:v>1</x:v>
      </x:c>
      <x:c r="H1047" s="7" t="str"/>
      <x:c r="I1047" s="7" t="str"/>
      <x:c r="J1047" s="7" t="str">
        <x:f>IF(OR(H1047="",I1047=""),"",I1047-H1047)</x:f>
      </x:c>
      <x:c r="K1047" s="7" t="str"/>
      <x:c r="L1047" s="7" t="str"/>
      <x:c r="M1047" s="7" t="str"/>
      <x:c r="N1047" s="7" t="str">
        <x:f>IF(M1047="","OPEN",IF(OR(NOT(ISNUMBER(H1047)),NOT(ISNUMBER(I1047)),K1047="",L1047=""),"FAIL","PASS"))</x:f>
        <x:v>OPEN</x:v>
      </x:c>
    </x:row>
    <x:row r="1048">
      <x:c r="B1048" s="7" t="str">
        <x:v>TRO-B-20-S3-O1-R2</x:v>
      </x:c>
      <x:c r="C1048" s="7" t="str">
        <x:v>BLD-B</x:v>
      </x:c>
      <x:c r="D1048" s="7" t="str">
        <x:v>MF-20</x:v>
      </x:c>
      <x:c r="E1048" s="7" t="str">
        <x:v>STD-20-3</x:v>
      </x:c>
      <x:c r="F1048" s="7" t="str">
        <x:v>OP-1</x:v>
      </x:c>
      <x:c r="G1048" s="7" t="n">
        <x:v>2</x:v>
      </x:c>
      <x:c r="H1048" s="7" t="str"/>
      <x:c r="I1048" s="7" t="str"/>
      <x:c r="J1048" s="7" t="str">
        <x:f>IF(OR(H1048="",I1048=""),"",I1048-H1048)</x:f>
      </x:c>
      <x:c r="K1048" s="7" t="str"/>
      <x:c r="L1048" s="7" t="str"/>
      <x:c r="M1048" s="7" t="str"/>
      <x:c r="N1048" s="7" t="str">
        <x:f>IF(M1048="","OPEN",IF(OR(NOT(ISNUMBER(H1048)),NOT(ISNUMBER(I1048)),K1048="",L1048=""),"FAIL","PASS"))</x:f>
        <x:v>OPEN</x:v>
      </x:c>
    </x:row>
    <x:row r="1049">
      <x:c r="B1049" s="7" t="str">
        <x:v>TRO-B-20-S3-O2-R1</x:v>
      </x:c>
      <x:c r="C1049" s="7" t="str">
        <x:v>BLD-B</x:v>
      </x:c>
      <x:c r="D1049" s="7" t="str">
        <x:v>MF-20</x:v>
      </x:c>
      <x:c r="E1049" s="7" t="str">
        <x:v>STD-20-3</x:v>
      </x:c>
      <x:c r="F1049" s="7" t="str">
        <x:v>OP-2</x:v>
      </x:c>
      <x:c r="G1049" s="7" t="n">
        <x:v>1</x:v>
      </x:c>
      <x:c r="H1049" s="7" t="str"/>
      <x:c r="I1049" s="7" t="str"/>
      <x:c r="J1049" s="7" t="str">
        <x:f>IF(OR(H1049="",I1049=""),"",I1049-H1049)</x:f>
      </x:c>
      <x:c r="K1049" s="7" t="str"/>
      <x:c r="L1049" s="7" t="str"/>
      <x:c r="M1049" s="7" t="str"/>
      <x:c r="N1049" s="7" t="str">
        <x:f>IF(M1049="","OPEN",IF(OR(NOT(ISNUMBER(H1049)),NOT(ISNUMBER(I1049)),K1049="",L1049=""),"FAIL","PASS"))</x:f>
        <x:v>OPEN</x:v>
      </x:c>
    </x:row>
    <x:row r="1050">
      <x:c r="B1050" s="7" t="str">
        <x:v>TRO-B-20-S3-O2-R2</x:v>
      </x:c>
      <x:c r="C1050" s="7" t="str">
        <x:v>BLD-B</x:v>
      </x:c>
      <x:c r="D1050" s="7" t="str">
        <x:v>MF-20</x:v>
      </x:c>
      <x:c r="E1050" s="7" t="str">
        <x:v>STD-20-3</x:v>
      </x:c>
      <x:c r="F1050" s="7" t="str">
        <x:v>OP-2</x:v>
      </x:c>
      <x:c r="G1050" s="7" t="n">
        <x:v>2</x:v>
      </x:c>
      <x:c r="H1050" s="7" t="str"/>
      <x:c r="I1050" s="7" t="str"/>
      <x:c r="J1050" s="7" t="str">
        <x:f>IF(OR(H1050="",I1050=""),"",I1050-H1050)</x:f>
      </x:c>
      <x:c r="K1050" s="7" t="str"/>
      <x:c r="L1050" s="7" t="str"/>
      <x:c r="M1050" s="7" t="str"/>
      <x:c r="N1050" s="7" t="str">
        <x:f>IF(M1050="","OPEN",IF(OR(NOT(ISNUMBER(H1050)),NOT(ISNUMBER(I1050)),K1050="",L1050=""),"FAIL","PASS"))</x:f>
        <x:v>OPEN</x:v>
      </x:c>
    </x:row>
    <x:row r="1051">
      <x:c r="B1051" s="7" t="str">
        <x:v>TRO-B-20-S4-O1-R1</x:v>
      </x:c>
      <x:c r="C1051" s="7" t="str">
        <x:v>BLD-B</x:v>
      </x:c>
      <x:c r="D1051" s="7" t="str">
        <x:v>MF-20</x:v>
      </x:c>
      <x:c r="E1051" s="7" t="str">
        <x:v>STD-20-4</x:v>
      </x:c>
      <x:c r="F1051" s="7" t="str">
        <x:v>OP-1</x:v>
      </x:c>
      <x:c r="G1051" s="7" t="n">
        <x:v>1</x:v>
      </x:c>
      <x:c r="H1051" s="7" t="str"/>
      <x:c r="I1051" s="7" t="str"/>
      <x:c r="J1051" s="7" t="str">
        <x:f>IF(OR(H1051="",I1051=""),"",I1051-H1051)</x:f>
      </x:c>
      <x:c r="K1051" s="7" t="str"/>
      <x:c r="L1051" s="7" t="str"/>
      <x:c r="M1051" s="7" t="str"/>
      <x:c r="N1051" s="7" t="str">
        <x:f>IF(M1051="","OPEN",IF(OR(NOT(ISNUMBER(H1051)),NOT(ISNUMBER(I1051)),K1051="",L1051=""),"FAIL","PASS"))</x:f>
        <x:v>OPEN</x:v>
      </x:c>
    </x:row>
    <x:row r="1052">
      <x:c r="B1052" s="7" t="str">
        <x:v>TRO-B-20-S4-O1-R2</x:v>
      </x:c>
      <x:c r="C1052" s="7" t="str">
        <x:v>BLD-B</x:v>
      </x:c>
      <x:c r="D1052" s="7" t="str">
        <x:v>MF-20</x:v>
      </x:c>
      <x:c r="E1052" s="7" t="str">
        <x:v>STD-20-4</x:v>
      </x:c>
      <x:c r="F1052" s="7" t="str">
        <x:v>OP-1</x:v>
      </x:c>
      <x:c r="G1052" s="7" t="n">
        <x:v>2</x:v>
      </x:c>
      <x:c r="H1052" s="7" t="str"/>
      <x:c r="I1052" s="7" t="str"/>
      <x:c r="J1052" s="7" t="str">
        <x:f>IF(OR(H1052="",I1052=""),"",I1052-H1052)</x:f>
      </x:c>
      <x:c r="K1052" s="7" t="str"/>
      <x:c r="L1052" s="7" t="str"/>
      <x:c r="M1052" s="7" t="str"/>
      <x:c r="N1052" s="7" t="str">
        <x:f>IF(M1052="","OPEN",IF(OR(NOT(ISNUMBER(H1052)),NOT(ISNUMBER(I1052)),K1052="",L1052=""),"FAIL","PASS"))</x:f>
        <x:v>OPEN</x:v>
      </x:c>
    </x:row>
    <x:row r="1053">
      <x:c r="B1053" s="7" t="str">
        <x:v>TRO-B-20-S4-O2-R1</x:v>
      </x:c>
      <x:c r="C1053" s="7" t="str">
        <x:v>BLD-B</x:v>
      </x:c>
      <x:c r="D1053" s="7" t="str">
        <x:v>MF-20</x:v>
      </x:c>
      <x:c r="E1053" s="7" t="str">
        <x:v>STD-20-4</x:v>
      </x:c>
      <x:c r="F1053" s="7" t="str">
        <x:v>OP-2</x:v>
      </x:c>
      <x:c r="G1053" s="7" t="n">
        <x:v>1</x:v>
      </x:c>
      <x:c r="H1053" s="7" t="str"/>
      <x:c r="I1053" s="7" t="str"/>
      <x:c r="J1053" s="7" t="str">
        <x:f>IF(OR(H1053="",I1053=""),"",I1053-H1053)</x:f>
      </x:c>
      <x:c r="K1053" s="7" t="str"/>
      <x:c r="L1053" s="7" t="str"/>
      <x:c r="M1053" s="7" t="str"/>
      <x:c r="N1053" s="7" t="str">
        <x:f>IF(M1053="","OPEN",IF(OR(NOT(ISNUMBER(H1053)),NOT(ISNUMBER(I1053)),K1053="",L1053=""),"FAIL","PASS"))</x:f>
        <x:v>OPEN</x:v>
      </x:c>
    </x:row>
    <x:row r="1054">
      <x:c r="B1054" s="7" t="str">
        <x:v>TRO-B-20-S4-O2-R2</x:v>
      </x:c>
      <x:c r="C1054" s="7" t="str">
        <x:v>BLD-B</x:v>
      </x:c>
      <x:c r="D1054" s="7" t="str">
        <x:v>MF-20</x:v>
      </x:c>
      <x:c r="E1054" s="7" t="str">
        <x:v>STD-20-4</x:v>
      </x:c>
      <x:c r="F1054" s="7" t="str">
        <x:v>OP-2</x:v>
      </x:c>
      <x:c r="G1054" s="7" t="n">
        <x:v>2</x:v>
      </x:c>
      <x:c r="H1054" s="7" t="str"/>
      <x:c r="I1054" s="7" t="str"/>
      <x:c r="J1054" s="7" t="str">
        <x:f>IF(OR(H1054="",I1054=""),"",I1054-H1054)</x:f>
      </x:c>
      <x:c r="K1054" s="7" t="str"/>
      <x:c r="L1054" s="7" t="str"/>
      <x:c r="M1054" s="7" t="str"/>
      <x:c r="N1054" s="7" t="str">
        <x:f>IF(M1054="","OPEN",IF(OR(NOT(ISNUMBER(H1054)),NOT(ISNUMBER(I1054)),K1054="",L1054=""),"FAIL","PASS"))</x:f>
        <x:v>OPEN</x:v>
      </x:c>
    </x:row>
    <x:row r="1055">
      <x:c r="B1055" s="7" t="str">
        <x:v>TRO-B-20-S5-O1-R1</x:v>
      </x:c>
      <x:c r="C1055" s="7" t="str">
        <x:v>BLD-B</x:v>
      </x:c>
      <x:c r="D1055" s="7" t="str">
        <x:v>MF-20</x:v>
      </x:c>
      <x:c r="E1055" s="7" t="str">
        <x:v>STD-20-5</x:v>
      </x:c>
      <x:c r="F1055" s="7" t="str">
        <x:v>OP-1</x:v>
      </x:c>
      <x:c r="G1055" s="7" t="n">
        <x:v>1</x:v>
      </x:c>
      <x:c r="H1055" s="7" t="str"/>
      <x:c r="I1055" s="7" t="str"/>
      <x:c r="J1055" s="7" t="str">
        <x:f>IF(OR(H1055="",I1055=""),"",I1055-H1055)</x:f>
      </x:c>
      <x:c r="K1055" s="7" t="str"/>
      <x:c r="L1055" s="7" t="str"/>
      <x:c r="M1055" s="7" t="str"/>
      <x:c r="N1055" s="7" t="str">
        <x:f>IF(M1055="","OPEN",IF(OR(NOT(ISNUMBER(H1055)),NOT(ISNUMBER(I1055)),K1055="",L1055=""),"FAIL","PASS"))</x:f>
        <x:v>OPEN</x:v>
      </x:c>
    </x:row>
    <x:row r="1056">
      <x:c r="B1056" s="7" t="str">
        <x:v>TRO-B-20-S5-O1-R2</x:v>
      </x:c>
      <x:c r="C1056" s="7" t="str">
        <x:v>BLD-B</x:v>
      </x:c>
      <x:c r="D1056" s="7" t="str">
        <x:v>MF-20</x:v>
      </x:c>
      <x:c r="E1056" s="7" t="str">
        <x:v>STD-20-5</x:v>
      </x:c>
      <x:c r="F1056" s="7" t="str">
        <x:v>OP-1</x:v>
      </x:c>
      <x:c r="G1056" s="7" t="n">
        <x:v>2</x:v>
      </x:c>
      <x:c r="H1056" s="7" t="str"/>
      <x:c r="I1056" s="7" t="str"/>
      <x:c r="J1056" s="7" t="str">
        <x:f>IF(OR(H1056="",I1056=""),"",I1056-H1056)</x:f>
      </x:c>
      <x:c r="K1056" s="7" t="str"/>
      <x:c r="L1056" s="7" t="str"/>
      <x:c r="M1056" s="7" t="str"/>
      <x:c r="N1056" s="7" t="str">
        <x:f>IF(M1056="","OPEN",IF(OR(NOT(ISNUMBER(H1056)),NOT(ISNUMBER(I1056)),K1056="",L1056=""),"FAIL","PASS"))</x:f>
        <x:v>OPEN</x:v>
      </x:c>
    </x:row>
    <x:row r="1057">
      <x:c r="B1057" s="7" t="str">
        <x:v>TRO-B-20-S5-O2-R1</x:v>
      </x:c>
      <x:c r="C1057" s="7" t="str">
        <x:v>BLD-B</x:v>
      </x:c>
      <x:c r="D1057" s="7" t="str">
        <x:v>MF-20</x:v>
      </x:c>
      <x:c r="E1057" s="7" t="str">
        <x:v>STD-20-5</x:v>
      </x:c>
      <x:c r="F1057" s="7" t="str">
        <x:v>OP-2</x:v>
      </x:c>
      <x:c r="G1057" s="7" t="n">
        <x:v>1</x:v>
      </x:c>
      <x:c r="H1057" s="7" t="str"/>
      <x:c r="I1057" s="7" t="str"/>
      <x:c r="J1057" s="7" t="str">
        <x:f>IF(OR(H1057="",I1057=""),"",I1057-H1057)</x:f>
      </x:c>
      <x:c r="K1057" s="7" t="str"/>
      <x:c r="L1057" s="7" t="str"/>
      <x:c r="M1057" s="7" t="str"/>
      <x:c r="N1057" s="7" t="str">
        <x:f>IF(M1057="","OPEN",IF(OR(NOT(ISNUMBER(H1057)),NOT(ISNUMBER(I1057)),K1057="",L1057=""),"FAIL","PASS"))</x:f>
        <x:v>OPEN</x:v>
      </x:c>
    </x:row>
    <x:row r="1058">
      <x:c r="B1058" s="7" t="str">
        <x:v>TRO-B-20-S5-O2-R2</x:v>
      </x:c>
      <x:c r="C1058" s="7" t="str">
        <x:v>BLD-B</x:v>
      </x:c>
      <x:c r="D1058" s="7" t="str">
        <x:v>MF-20</x:v>
      </x:c>
      <x:c r="E1058" s="7" t="str">
        <x:v>STD-20-5</x:v>
      </x:c>
      <x:c r="F1058" s="7" t="str">
        <x:v>OP-2</x:v>
      </x:c>
      <x:c r="G1058" s="7" t="n">
        <x:v>2</x:v>
      </x:c>
      <x:c r="H1058" s="7" t="str"/>
      <x:c r="I1058" s="7" t="str"/>
      <x:c r="J1058" s="7" t="str">
        <x:f>IF(OR(H1058="",I1058=""),"",I1058-H1058)</x:f>
      </x:c>
      <x:c r="K1058" s="7" t="str"/>
      <x:c r="L1058" s="7" t="str"/>
      <x:c r="M1058" s="7" t="str"/>
      <x:c r="N1058" s="7" t="str">
        <x:f>IF(M1058="","OPEN",IF(OR(NOT(ISNUMBER(H1058)),NOT(ISNUMBER(I1058)),K1058="",L1058=""),"FAIL","PASS"))</x:f>
        <x:v>OPEN</x:v>
      </x:c>
    </x:row>
    <x:row r="1059">
      <x:c r="B1059" s="7" t="str">
        <x:v>TRO-B-20-S6-O1-R1</x:v>
      </x:c>
      <x:c r="C1059" s="7" t="str">
        <x:v>BLD-B</x:v>
      </x:c>
      <x:c r="D1059" s="7" t="str">
        <x:v>MF-20</x:v>
      </x:c>
      <x:c r="E1059" s="7" t="str">
        <x:v>STD-20-6</x:v>
      </x:c>
      <x:c r="F1059" s="7" t="str">
        <x:v>OP-1</x:v>
      </x:c>
      <x:c r="G1059" s="7" t="n">
        <x:v>1</x:v>
      </x:c>
      <x:c r="H1059" s="7" t="str"/>
      <x:c r="I1059" s="7" t="str"/>
      <x:c r="J1059" s="7" t="str">
        <x:f>IF(OR(H1059="",I1059=""),"",I1059-H1059)</x:f>
      </x:c>
      <x:c r="K1059" s="7" t="str"/>
      <x:c r="L1059" s="7" t="str"/>
      <x:c r="M1059" s="7" t="str"/>
      <x:c r="N1059" s="7" t="str">
        <x:f>IF(M1059="","OPEN",IF(OR(NOT(ISNUMBER(H1059)),NOT(ISNUMBER(I1059)),K1059="",L1059=""),"FAIL","PASS"))</x:f>
        <x:v>OPEN</x:v>
      </x:c>
    </x:row>
    <x:row r="1060">
      <x:c r="B1060" s="7" t="str">
        <x:v>TRO-B-20-S6-O1-R2</x:v>
      </x:c>
      <x:c r="C1060" s="7" t="str">
        <x:v>BLD-B</x:v>
      </x:c>
      <x:c r="D1060" s="7" t="str">
        <x:v>MF-20</x:v>
      </x:c>
      <x:c r="E1060" s="7" t="str">
        <x:v>STD-20-6</x:v>
      </x:c>
      <x:c r="F1060" s="7" t="str">
        <x:v>OP-1</x:v>
      </x:c>
      <x:c r="G1060" s="7" t="n">
        <x:v>2</x:v>
      </x:c>
      <x:c r="H1060" s="7" t="str"/>
      <x:c r="I1060" s="7" t="str"/>
      <x:c r="J1060" s="7" t="str">
        <x:f>IF(OR(H1060="",I1060=""),"",I1060-H1060)</x:f>
      </x:c>
      <x:c r="K1060" s="7" t="str"/>
      <x:c r="L1060" s="7" t="str"/>
      <x:c r="M1060" s="7" t="str"/>
      <x:c r="N1060" s="7" t="str">
        <x:f>IF(M1060="","OPEN",IF(OR(NOT(ISNUMBER(H1060)),NOT(ISNUMBER(I1060)),K1060="",L1060=""),"FAIL","PASS"))</x:f>
        <x:v>OPEN</x:v>
      </x:c>
    </x:row>
    <x:row r="1061">
      <x:c r="B1061" s="7" t="str">
        <x:v>TRO-B-20-S6-O2-R1</x:v>
      </x:c>
      <x:c r="C1061" s="7" t="str">
        <x:v>BLD-B</x:v>
      </x:c>
      <x:c r="D1061" s="7" t="str">
        <x:v>MF-20</x:v>
      </x:c>
      <x:c r="E1061" s="7" t="str">
        <x:v>STD-20-6</x:v>
      </x:c>
      <x:c r="F1061" s="7" t="str">
        <x:v>OP-2</x:v>
      </x:c>
      <x:c r="G1061" s="7" t="n">
        <x:v>1</x:v>
      </x:c>
      <x:c r="H1061" s="7" t="str"/>
      <x:c r="I1061" s="7" t="str"/>
      <x:c r="J1061" s="7" t="str">
        <x:f>IF(OR(H1061="",I1061=""),"",I1061-H1061)</x:f>
      </x:c>
      <x:c r="K1061" s="7" t="str"/>
      <x:c r="L1061" s="7" t="str"/>
      <x:c r="M1061" s="7" t="str"/>
      <x:c r="N1061" s="7" t="str">
        <x:f>IF(M1061="","OPEN",IF(OR(NOT(ISNUMBER(H1061)),NOT(ISNUMBER(I1061)),K1061="",L1061=""),"FAIL","PASS"))</x:f>
        <x:v>OPEN</x:v>
      </x:c>
    </x:row>
    <x:row r="1062">
      <x:c r="B1062" s="7" t="str">
        <x:v>TRO-B-20-S6-O2-R2</x:v>
      </x:c>
      <x:c r="C1062" s="7" t="str">
        <x:v>BLD-B</x:v>
      </x:c>
      <x:c r="D1062" s="7" t="str">
        <x:v>MF-20</x:v>
      </x:c>
      <x:c r="E1062" s="7" t="str">
        <x:v>STD-20-6</x:v>
      </x:c>
      <x:c r="F1062" s="7" t="str">
        <x:v>OP-2</x:v>
      </x:c>
      <x:c r="G1062" s="7" t="n">
        <x:v>2</x:v>
      </x:c>
      <x:c r="H1062" s="7" t="str"/>
      <x:c r="I1062" s="7" t="str"/>
      <x:c r="J1062" s="7" t="str">
        <x:f>IF(OR(H1062="",I1062=""),"",I1062-H1062)</x:f>
      </x:c>
      <x:c r="K1062" s="7" t="str"/>
      <x:c r="L1062" s="7" t="str"/>
      <x:c r="M1062" s="7" t="str"/>
      <x:c r="N1062" s="7" t="str">
        <x:f>IF(M1062="","OPEN",IF(OR(NOT(ISNUMBER(H1062)),NOT(ISNUMBER(I1062)),K1062="",L1062=""),"FAIL","PASS"))</x:f>
        <x:v>OPEN</x:v>
      </x:c>
    </x:row>
    <x:row r="1063">
      <x:c r="B1063" s="7" t="str">
        <x:v>TRO-B-21-S1-O1-R1</x:v>
      </x:c>
      <x:c r="C1063" s="7" t="str">
        <x:v>BLD-B</x:v>
      </x:c>
      <x:c r="D1063" s="7" t="str">
        <x:v>MF-21</x:v>
      </x:c>
      <x:c r="E1063" s="7" t="str">
        <x:v>STD-21-1</x:v>
      </x:c>
      <x:c r="F1063" s="7" t="str">
        <x:v>OP-1</x:v>
      </x:c>
      <x:c r="G1063" s="7" t="n">
        <x:v>1</x:v>
      </x:c>
      <x:c r="H1063" s="7" t="str"/>
      <x:c r="I1063" s="7" t="str"/>
      <x:c r="J1063" s="7" t="str">
        <x:f>IF(OR(H1063="",I1063=""),"",I1063-H1063)</x:f>
      </x:c>
      <x:c r="K1063" s="7" t="str"/>
      <x:c r="L1063" s="7" t="str"/>
      <x:c r="M1063" s="7" t="str"/>
      <x:c r="N1063" s="7" t="str">
        <x:f>IF(M1063="","OPEN",IF(OR(NOT(ISNUMBER(H1063)),NOT(ISNUMBER(I1063)),K1063="",L1063=""),"FAIL","PASS"))</x:f>
        <x:v>OPEN</x:v>
      </x:c>
    </x:row>
    <x:row r="1064">
      <x:c r="B1064" s="7" t="str">
        <x:v>TRO-B-21-S1-O1-R2</x:v>
      </x:c>
      <x:c r="C1064" s="7" t="str">
        <x:v>BLD-B</x:v>
      </x:c>
      <x:c r="D1064" s="7" t="str">
        <x:v>MF-21</x:v>
      </x:c>
      <x:c r="E1064" s="7" t="str">
        <x:v>STD-21-1</x:v>
      </x:c>
      <x:c r="F1064" s="7" t="str">
        <x:v>OP-1</x:v>
      </x:c>
      <x:c r="G1064" s="7" t="n">
        <x:v>2</x:v>
      </x:c>
      <x:c r="H1064" s="7" t="str"/>
      <x:c r="I1064" s="7" t="str"/>
      <x:c r="J1064" s="7" t="str">
        <x:f>IF(OR(H1064="",I1064=""),"",I1064-H1064)</x:f>
      </x:c>
      <x:c r="K1064" s="7" t="str"/>
      <x:c r="L1064" s="7" t="str"/>
      <x:c r="M1064" s="7" t="str"/>
      <x:c r="N1064" s="7" t="str">
        <x:f>IF(M1064="","OPEN",IF(OR(NOT(ISNUMBER(H1064)),NOT(ISNUMBER(I1064)),K1064="",L1064=""),"FAIL","PASS"))</x:f>
        <x:v>OPEN</x:v>
      </x:c>
    </x:row>
    <x:row r="1065">
      <x:c r="B1065" s="7" t="str">
        <x:v>TRO-B-21-S1-O2-R1</x:v>
      </x:c>
      <x:c r="C1065" s="7" t="str">
        <x:v>BLD-B</x:v>
      </x:c>
      <x:c r="D1065" s="7" t="str">
        <x:v>MF-21</x:v>
      </x:c>
      <x:c r="E1065" s="7" t="str">
        <x:v>STD-21-1</x:v>
      </x:c>
      <x:c r="F1065" s="7" t="str">
        <x:v>OP-2</x:v>
      </x:c>
      <x:c r="G1065" s="7" t="n">
        <x:v>1</x:v>
      </x:c>
      <x:c r="H1065" s="7" t="str"/>
      <x:c r="I1065" s="7" t="str"/>
      <x:c r="J1065" s="7" t="str">
        <x:f>IF(OR(H1065="",I1065=""),"",I1065-H1065)</x:f>
      </x:c>
      <x:c r="K1065" s="7" t="str"/>
      <x:c r="L1065" s="7" t="str"/>
      <x:c r="M1065" s="7" t="str"/>
      <x:c r="N1065" s="7" t="str">
        <x:f>IF(M1065="","OPEN",IF(OR(NOT(ISNUMBER(H1065)),NOT(ISNUMBER(I1065)),K1065="",L1065=""),"FAIL","PASS"))</x:f>
        <x:v>OPEN</x:v>
      </x:c>
    </x:row>
    <x:row r="1066">
      <x:c r="B1066" s="7" t="str">
        <x:v>TRO-B-21-S1-O2-R2</x:v>
      </x:c>
      <x:c r="C1066" s="7" t="str">
        <x:v>BLD-B</x:v>
      </x:c>
      <x:c r="D1066" s="7" t="str">
        <x:v>MF-21</x:v>
      </x:c>
      <x:c r="E1066" s="7" t="str">
        <x:v>STD-21-1</x:v>
      </x:c>
      <x:c r="F1066" s="7" t="str">
        <x:v>OP-2</x:v>
      </x:c>
      <x:c r="G1066" s="7" t="n">
        <x:v>2</x:v>
      </x:c>
      <x:c r="H1066" s="7" t="str"/>
      <x:c r="I1066" s="7" t="str"/>
      <x:c r="J1066" s="7" t="str">
        <x:f>IF(OR(H1066="",I1066=""),"",I1066-H1066)</x:f>
      </x:c>
      <x:c r="K1066" s="7" t="str"/>
      <x:c r="L1066" s="7" t="str"/>
      <x:c r="M1066" s="7" t="str"/>
      <x:c r="N1066" s="7" t="str">
        <x:f>IF(M1066="","OPEN",IF(OR(NOT(ISNUMBER(H1066)),NOT(ISNUMBER(I1066)),K1066="",L1066=""),"FAIL","PASS"))</x:f>
        <x:v>OPEN</x:v>
      </x:c>
    </x:row>
    <x:row r="1067">
      <x:c r="B1067" s="7" t="str">
        <x:v>TRO-B-21-S2-O1-R1</x:v>
      </x:c>
      <x:c r="C1067" s="7" t="str">
        <x:v>BLD-B</x:v>
      </x:c>
      <x:c r="D1067" s="7" t="str">
        <x:v>MF-21</x:v>
      </x:c>
      <x:c r="E1067" s="7" t="str">
        <x:v>STD-21-2</x:v>
      </x:c>
      <x:c r="F1067" s="7" t="str">
        <x:v>OP-1</x:v>
      </x:c>
      <x:c r="G1067" s="7" t="n">
        <x:v>1</x:v>
      </x:c>
      <x:c r="H1067" s="7" t="str"/>
      <x:c r="I1067" s="7" t="str"/>
      <x:c r="J1067" s="7" t="str">
        <x:f>IF(OR(H1067="",I1067=""),"",I1067-H1067)</x:f>
      </x:c>
      <x:c r="K1067" s="7" t="str"/>
      <x:c r="L1067" s="7" t="str"/>
      <x:c r="M1067" s="7" t="str"/>
      <x:c r="N1067" s="7" t="str">
        <x:f>IF(M1067="","OPEN",IF(OR(NOT(ISNUMBER(H1067)),NOT(ISNUMBER(I1067)),K1067="",L1067=""),"FAIL","PASS"))</x:f>
        <x:v>OPEN</x:v>
      </x:c>
    </x:row>
    <x:row r="1068">
      <x:c r="B1068" s="7" t="str">
        <x:v>TRO-B-21-S2-O1-R2</x:v>
      </x:c>
      <x:c r="C1068" s="7" t="str">
        <x:v>BLD-B</x:v>
      </x:c>
      <x:c r="D1068" s="7" t="str">
        <x:v>MF-21</x:v>
      </x:c>
      <x:c r="E1068" s="7" t="str">
        <x:v>STD-21-2</x:v>
      </x:c>
      <x:c r="F1068" s="7" t="str">
        <x:v>OP-1</x:v>
      </x:c>
      <x:c r="G1068" s="7" t="n">
        <x:v>2</x:v>
      </x:c>
      <x:c r="H1068" s="7" t="str"/>
      <x:c r="I1068" s="7" t="str"/>
      <x:c r="J1068" s="7" t="str">
        <x:f>IF(OR(H1068="",I1068=""),"",I1068-H1068)</x:f>
      </x:c>
      <x:c r="K1068" s="7" t="str"/>
      <x:c r="L1068" s="7" t="str"/>
      <x:c r="M1068" s="7" t="str"/>
      <x:c r="N1068" s="7" t="str">
        <x:f>IF(M1068="","OPEN",IF(OR(NOT(ISNUMBER(H1068)),NOT(ISNUMBER(I1068)),K1068="",L1068=""),"FAIL","PASS"))</x:f>
        <x:v>OPEN</x:v>
      </x:c>
    </x:row>
    <x:row r="1069">
      <x:c r="B1069" s="7" t="str">
        <x:v>TRO-B-21-S2-O2-R1</x:v>
      </x:c>
      <x:c r="C1069" s="7" t="str">
        <x:v>BLD-B</x:v>
      </x:c>
      <x:c r="D1069" s="7" t="str">
        <x:v>MF-21</x:v>
      </x:c>
      <x:c r="E1069" s="7" t="str">
        <x:v>STD-21-2</x:v>
      </x:c>
      <x:c r="F1069" s="7" t="str">
        <x:v>OP-2</x:v>
      </x:c>
      <x:c r="G1069" s="7" t="n">
        <x:v>1</x:v>
      </x:c>
      <x:c r="H1069" s="7" t="str"/>
      <x:c r="I1069" s="7" t="str"/>
      <x:c r="J1069" s="7" t="str">
        <x:f>IF(OR(H1069="",I1069=""),"",I1069-H1069)</x:f>
      </x:c>
      <x:c r="K1069" s="7" t="str"/>
      <x:c r="L1069" s="7" t="str"/>
      <x:c r="M1069" s="7" t="str"/>
      <x:c r="N1069" s="7" t="str">
        <x:f>IF(M1069="","OPEN",IF(OR(NOT(ISNUMBER(H1069)),NOT(ISNUMBER(I1069)),K1069="",L1069=""),"FAIL","PASS"))</x:f>
        <x:v>OPEN</x:v>
      </x:c>
    </x:row>
    <x:row r="1070">
      <x:c r="B1070" s="7" t="str">
        <x:v>TRO-B-21-S2-O2-R2</x:v>
      </x:c>
      <x:c r="C1070" s="7" t="str">
        <x:v>BLD-B</x:v>
      </x:c>
      <x:c r="D1070" s="7" t="str">
        <x:v>MF-21</x:v>
      </x:c>
      <x:c r="E1070" s="7" t="str">
        <x:v>STD-21-2</x:v>
      </x:c>
      <x:c r="F1070" s="7" t="str">
        <x:v>OP-2</x:v>
      </x:c>
      <x:c r="G1070" s="7" t="n">
        <x:v>2</x:v>
      </x:c>
      <x:c r="H1070" s="7" t="str"/>
      <x:c r="I1070" s="7" t="str"/>
      <x:c r="J1070" s="7" t="str">
        <x:f>IF(OR(H1070="",I1070=""),"",I1070-H1070)</x:f>
      </x:c>
      <x:c r="K1070" s="7" t="str"/>
      <x:c r="L1070" s="7" t="str"/>
      <x:c r="M1070" s="7" t="str"/>
      <x:c r="N1070" s="7" t="str">
        <x:f>IF(M1070="","OPEN",IF(OR(NOT(ISNUMBER(H1070)),NOT(ISNUMBER(I1070)),K1070="",L1070=""),"FAIL","PASS"))</x:f>
        <x:v>OPEN</x:v>
      </x:c>
    </x:row>
    <x:row r="1071">
      <x:c r="B1071" s="7" t="str">
        <x:v>TRO-B-21-S3-O1-R1</x:v>
      </x:c>
      <x:c r="C1071" s="7" t="str">
        <x:v>BLD-B</x:v>
      </x:c>
      <x:c r="D1071" s="7" t="str">
        <x:v>MF-21</x:v>
      </x:c>
      <x:c r="E1071" s="7" t="str">
        <x:v>STD-21-3</x:v>
      </x:c>
      <x:c r="F1071" s="7" t="str">
        <x:v>OP-1</x:v>
      </x:c>
      <x:c r="G1071" s="7" t="n">
        <x:v>1</x:v>
      </x:c>
      <x:c r="H1071" s="7" t="str"/>
      <x:c r="I1071" s="7" t="str"/>
      <x:c r="J1071" s="7" t="str">
        <x:f>IF(OR(H1071="",I1071=""),"",I1071-H1071)</x:f>
      </x:c>
      <x:c r="K1071" s="7" t="str"/>
      <x:c r="L1071" s="7" t="str"/>
      <x:c r="M1071" s="7" t="str"/>
      <x:c r="N1071" s="7" t="str">
        <x:f>IF(M1071="","OPEN",IF(OR(NOT(ISNUMBER(H1071)),NOT(ISNUMBER(I1071)),K1071="",L1071=""),"FAIL","PASS"))</x:f>
        <x:v>OPEN</x:v>
      </x:c>
    </x:row>
    <x:row r="1072">
      <x:c r="B1072" s="7" t="str">
        <x:v>TRO-B-21-S3-O1-R2</x:v>
      </x:c>
      <x:c r="C1072" s="7" t="str">
        <x:v>BLD-B</x:v>
      </x:c>
      <x:c r="D1072" s="7" t="str">
        <x:v>MF-21</x:v>
      </x:c>
      <x:c r="E1072" s="7" t="str">
        <x:v>STD-21-3</x:v>
      </x:c>
      <x:c r="F1072" s="7" t="str">
        <x:v>OP-1</x:v>
      </x:c>
      <x:c r="G1072" s="7" t="n">
        <x:v>2</x:v>
      </x:c>
      <x:c r="H1072" s="7" t="str"/>
      <x:c r="I1072" s="7" t="str"/>
      <x:c r="J1072" s="7" t="str">
        <x:f>IF(OR(H1072="",I1072=""),"",I1072-H1072)</x:f>
      </x:c>
      <x:c r="K1072" s="7" t="str"/>
      <x:c r="L1072" s="7" t="str"/>
      <x:c r="M1072" s="7" t="str"/>
      <x:c r="N1072" s="7" t="str">
        <x:f>IF(M1072="","OPEN",IF(OR(NOT(ISNUMBER(H1072)),NOT(ISNUMBER(I1072)),K1072="",L1072=""),"FAIL","PASS"))</x:f>
        <x:v>OPEN</x:v>
      </x:c>
    </x:row>
    <x:row r="1073">
      <x:c r="B1073" s="7" t="str">
        <x:v>TRO-B-21-S3-O2-R1</x:v>
      </x:c>
      <x:c r="C1073" s="7" t="str">
        <x:v>BLD-B</x:v>
      </x:c>
      <x:c r="D1073" s="7" t="str">
        <x:v>MF-21</x:v>
      </x:c>
      <x:c r="E1073" s="7" t="str">
        <x:v>STD-21-3</x:v>
      </x:c>
      <x:c r="F1073" s="7" t="str">
        <x:v>OP-2</x:v>
      </x:c>
      <x:c r="G1073" s="7" t="n">
        <x:v>1</x:v>
      </x:c>
      <x:c r="H1073" s="7" t="str"/>
      <x:c r="I1073" s="7" t="str"/>
      <x:c r="J1073" s="7" t="str">
        <x:f>IF(OR(H1073="",I1073=""),"",I1073-H1073)</x:f>
      </x:c>
      <x:c r="K1073" s="7" t="str"/>
      <x:c r="L1073" s="7" t="str"/>
      <x:c r="M1073" s="7" t="str"/>
      <x:c r="N1073" s="7" t="str">
        <x:f>IF(M1073="","OPEN",IF(OR(NOT(ISNUMBER(H1073)),NOT(ISNUMBER(I1073)),K1073="",L1073=""),"FAIL","PASS"))</x:f>
        <x:v>OPEN</x:v>
      </x:c>
    </x:row>
    <x:row r="1074">
      <x:c r="B1074" s="7" t="str">
        <x:v>TRO-B-21-S3-O2-R2</x:v>
      </x:c>
      <x:c r="C1074" s="7" t="str">
        <x:v>BLD-B</x:v>
      </x:c>
      <x:c r="D1074" s="7" t="str">
        <x:v>MF-21</x:v>
      </x:c>
      <x:c r="E1074" s="7" t="str">
        <x:v>STD-21-3</x:v>
      </x:c>
      <x:c r="F1074" s="7" t="str">
        <x:v>OP-2</x:v>
      </x:c>
      <x:c r="G1074" s="7" t="n">
        <x:v>2</x:v>
      </x:c>
      <x:c r="H1074" s="7" t="str"/>
      <x:c r="I1074" s="7" t="str"/>
      <x:c r="J1074" s="7" t="str">
        <x:f>IF(OR(H1074="",I1074=""),"",I1074-H1074)</x:f>
      </x:c>
      <x:c r="K1074" s="7" t="str"/>
      <x:c r="L1074" s="7" t="str"/>
      <x:c r="M1074" s="7" t="str"/>
      <x:c r="N1074" s="7" t="str">
        <x:f>IF(M1074="","OPEN",IF(OR(NOT(ISNUMBER(H1074)),NOT(ISNUMBER(I1074)),K1074="",L1074=""),"FAIL","PASS"))</x:f>
        <x:v>OPEN</x:v>
      </x:c>
    </x:row>
    <x:row r="1075">
      <x:c r="B1075" s="7" t="str">
        <x:v>TRO-B-21-S4-O1-R1</x:v>
      </x:c>
      <x:c r="C1075" s="7" t="str">
        <x:v>BLD-B</x:v>
      </x:c>
      <x:c r="D1075" s="7" t="str">
        <x:v>MF-21</x:v>
      </x:c>
      <x:c r="E1075" s="7" t="str">
        <x:v>STD-21-4</x:v>
      </x:c>
      <x:c r="F1075" s="7" t="str">
        <x:v>OP-1</x:v>
      </x:c>
      <x:c r="G1075" s="7" t="n">
        <x:v>1</x:v>
      </x:c>
      <x:c r="H1075" s="7" t="str"/>
      <x:c r="I1075" s="7" t="str"/>
      <x:c r="J1075" s="7" t="str">
        <x:f>IF(OR(H1075="",I1075=""),"",I1075-H1075)</x:f>
      </x:c>
      <x:c r="K1075" s="7" t="str"/>
      <x:c r="L1075" s="7" t="str"/>
      <x:c r="M1075" s="7" t="str"/>
      <x:c r="N1075" s="7" t="str">
        <x:f>IF(M1075="","OPEN",IF(OR(NOT(ISNUMBER(H1075)),NOT(ISNUMBER(I1075)),K1075="",L1075=""),"FAIL","PASS"))</x:f>
        <x:v>OPEN</x:v>
      </x:c>
    </x:row>
    <x:row r="1076">
      <x:c r="B1076" s="7" t="str">
        <x:v>TRO-B-21-S4-O1-R2</x:v>
      </x:c>
      <x:c r="C1076" s="7" t="str">
        <x:v>BLD-B</x:v>
      </x:c>
      <x:c r="D1076" s="7" t="str">
        <x:v>MF-21</x:v>
      </x:c>
      <x:c r="E1076" s="7" t="str">
        <x:v>STD-21-4</x:v>
      </x:c>
      <x:c r="F1076" s="7" t="str">
        <x:v>OP-1</x:v>
      </x:c>
      <x:c r="G1076" s="7" t="n">
        <x:v>2</x:v>
      </x:c>
      <x:c r="H1076" s="7" t="str"/>
      <x:c r="I1076" s="7" t="str"/>
      <x:c r="J1076" s="7" t="str">
        <x:f>IF(OR(H1076="",I1076=""),"",I1076-H1076)</x:f>
      </x:c>
      <x:c r="K1076" s="7" t="str"/>
      <x:c r="L1076" s="7" t="str"/>
      <x:c r="M1076" s="7" t="str"/>
      <x:c r="N1076" s="7" t="str">
        <x:f>IF(M1076="","OPEN",IF(OR(NOT(ISNUMBER(H1076)),NOT(ISNUMBER(I1076)),K1076="",L1076=""),"FAIL","PASS"))</x:f>
        <x:v>OPEN</x:v>
      </x:c>
    </x:row>
    <x:row r="1077">
      <x:c r="B1077" s="7" t="str">
        <x:v>TRO-B-21-S4-O2-R1</x:v>
      </x:c>
      <x:c r="C1077" s="7" t="str">
        <x:v>BLD-B</x:v>
      </x:c>
      <x:c r="D1077" s="7" t="str">
        <x:v>MF-21</x:v>
      </x:c>
      <x:c r="E1077" s="7" t="str">
        <x:v>STD-21-4</x:v>
      </x:c>
      <x:c r="F1077" s="7" t="str">
        <x:v>OP-2</x:v>
      </x:c>
      <x:c r="G1077" s="7" t="n">
        <x:v>1</x:v>
      </x:c>
      <x:c r="H1077" s="7" t="str"/>
      <x:c r="I1077" s="7" t="str"/>
      <x:c r="J1077" s="7" t="str">
        <x:f>IF(OR(H1077="",I1077=""),"",I1077-H1077)</x:f>
      </x:c>
      <x:c r="K1077" s="7" t="str"/>
      <x:c r="L1077" s="7" t="str"/>
      <x:c r="M1077" s="7" t="str"/>
      <x:c r="N1077" s="7" t="str">
        <x:f>IF(M1077="","OPEN",IF(OR(NOT(ISNUMBER(H1077)),NOT(ISNUMBER(I1077)),K1077="",L1077=""),"FAIL","PASS"))</x:f>
        <x:v>OPEN</x:v>
      </x:c>
    </x:row>
    <x:row r="1078">
      <x:c r="B1078" s="7" t="str">
        <x:v>TRO-B-21-S4-O2-R2</x:v>
      </x:c>
      <x:c r="C1078" s="7" t="str">
        <x:v>BLD-B</x:v>
      </x:c>
      <x:c r="D1078" s="7" t="str">
        <x:v>MF-21</x:v>
      </x:c>
      <x:c r="E1078" s="7" t="str">
        <x:v>STD-21-4</x:v>
      </x:c>
      <x:c r="F1078" s="7" t="str">
        <x:v>OP-2</x:v>
      </x:c>
      <x:c r="G1078" s="7" t="n">
        <x:v>2</x:v>
      </x:c>
      <x:c r="H1078" s="7" t="str"/>
      <x:c r="I1078" s="7" t="str"/>
      <x:c r="J1078" s="7" t="str">
        <x:f>IF(OR(H1078="",I1078=""),"",I1078-H1078)</x:f>
      </x:c>
      <x:c r="K1078" s="7" t="str"/>
      <x:c r="L1078" s="7" t="str"/>
      <x:c r="M1078" s="7" t="str"/>
      <x:c r="N1078" s="7" t="str">
        <x:f>IF(M1078="","OPEN",IF(OR(NOT(ISNUMBER(H1078)),NOT(ISNUMBER(I1078)),K1078="",L1078=""),"FAIL","PASS"))</x:f>
        <x:v>OPEN</x:v>
      </x:c>
    </x:row>
    <x:row r="1079">
      <x:c r="B1079" s="7" t="str">
        <x:v>TRO-B-21-S5-O1-R1</x:v>
      </x:c>
      <x:c r="C1079" s="7" t="str">
        <x:v>BLD-B</x:v>
      </x:c>
      <x:c r="D1079" s="7" t="str">
        <x:v>MF-21</x:v>
      </x:c>
      <x:c r="E1079" s="7" t="str">
        <x:v>STD-21-5</x:v>
      </x:c>
      <x:c r="F1079" s="7" t="str">
        <x:v>OP-1</x:v>
      </x:c>
      <x:c r="G1079" s="7" t="n">
        <x:v>1</x:v>
      </x:c>
      <x:c r="H1079" s="7" t="str"/>
      <x:c r="I1079" s="7" t="str"/>
      <x:c r="J1079" s="7" t="str">
        <x:f>IF(OR(H1079="",I1079=""),"",I1079-H1079)</x:f>
      </x:c>
      <x:c r="K1079" s="7" t="str"/>
      <x:c r="L1079" s="7" t="str"/>
      <x:c r="M1079" s="7" t="str"/>
      <x:c r="N1079" s="7" t="str">
        <x:f>IF(M1079="","OPEN",IF(OR(NOT(ISNUMBER(H1079)),NOT(ISNUMBER(I1079)),K1079="",L1079=""),"FAIL","PASS"))</x:f>
        <x:v>OPEN</x:v>
      </x:c>
    </x:row>
    <x:row r="1080">
      <x:c r="B1080" s="7" t="str">
        <x:v>TRO-B-21-S5-O1-R2</x:v>
      </x:c>
      <x:c r="C1080" s="7" t="str">
        <x:v>BLD-B</x:v>
      </x:c>
      <x:c r="D1080" s="7" t="str">
        <x:v>MF-21</x:v>
      </x:c>
      <x:c r="E1080" s="7" t="str">
        <x:v>STD-21-5</x:v>
      </x:c>
      <x:c r="F1080" s="7" t="str">
        <x:v>OP-1</x:v>
      </x:c>
      <x:c r="G1080" s="7" t="n">
        <x:v>2</x:v>
      </x:c>
      <x:c r="H1080" s="7" t="str"/>
      <x:c r="I1080" s="7" t="str"/>
      <x:c r="J1080" s="7" t="str">
        <x:f>IF(OR(H1080="",I1080=""),"",I1080-H1080)</x:f>
      </x:c>
      <x:c r="K1080" s="7" t="str"/>
      <x:c r="L1080" s="7" t="str"/>
      <x:c r="M1080" s="7" t="str"/>
      <x:c r="N1080" s="7" t="str">
        <x:f>IF(M1080="","OPEN",IF(OR(NOT(ISNUMBER(H1080)),NOT(ISNUMBER(I1080)),K1080="",L1080=""),"FAIL","PASS"))</x:f>
        <x:v>OPEN</x:v>
      </x:c>
    </x:row>
    <x:row r="1081">
      <x:c r="B1081" s="7" t="str">
        <x:v>TRO-B-21-S5-O2-R1</x:v>
      </x:c>
      <x:c r="C1081" s="7" t="str">
        <x:v>BLD-B</x:v>
      </x:c>
      <x:c r="D1081" s="7" t="str">
        <x:v>MF-21</x:v>
      </x:c>
      <x:c r="E1081" s="7" t="str">
        <x:v>STD-21-5</x:v>
      </x:c>
      <x:c r="F1081" s="7" t="str">
        <x:v>OP-2</x:v>
      </x:c>
      <x:c r="G1081" s="7" t="n">
        <x:v>1</x:v>
      </x:c>
      <x:c r="H1081" s="7" t="str"/>
      <x:c r="I1081" s="7" t="str"/>
      <x:c r="J1081" s="7" t="str">
        <x:f>IF(OR(H1081="",I1081=""),"",I1081-H1081)</x:f>
      </x:c>
      <x:c r="K1081" s="7" t="str"/>
      <x:c r="L1081" s="7" t="str"/>
      <x:c r="M1081" s="7" t="str"/>
      <x:c r="N1081" s="7" t="str">
        <x:f>IF(M1081="","OPEN",IF(OR(NOT(ISNUMBER(H1081)),NOT(ISNUMBER(I1081)),K1081="",L1081=""),"FAIL","PASS"))</x:f>
        <x:v>OPEN</x:v>
      </x:c>
    </x:row>
    <x:row r="1082">
      <x:c r="B1082" s="7" t="str">
        <x:v>TRO-B-21-S5-O2-R2</x:v>
      </x:c>
      <x:c r="C1082" s="7" t="str">
        <x:v>BLD-B</x:v>
      </x:c>
      <x:c r="D1082" s="7" t="str">
        <x:v>MF-21</x:v>
      </x:c>
      <x:c r="E1082" s="7" t="str">
        <x:v>STD-21-5</x:v>
      </x:c>
      <x:c r="F1082" s="7" t="str">
        <x:v>OP-2</x:v>
      </x:c>
      <x:c r="G1082" s="7" t="n">
        <x:v>2</x:v>
      </x:c>
      <x:c r="H1082" s="7" t="str"/>
      <x:c r="I1082" s="7" t="str"/>
      <x:c r="J1082" s="7" t="str">
        <x:f>IF(OR(H1082="",I1082=""),"",I1082-H1082)</x:f>
      </x:c>
      <x:c r="K1082" s="7" t="str"/>
      <x:c r="L1082" s="7" t="str"/>
      <x:c r="M1082" s="7" t="str"/>
      <x:c r="N1082" s="7" t="str">
        <x:f>IF(M1082="","OPEN",IF(OR(NOT(ISNUMBER(H1082)),NOT(ISNUMBER(I1082)),K1082="",L1082=""),"FAIL","PASS"))</x:f>
        <x:v>OPEN</x:v>
      </x:c>
    </x:row>
    <x:row r="1083">
      <x:c r="B1083" s="7" t="str">
        <x:v>TRO-B-21-S6-O1-R1</x:v>
      </x:c>
      <x:c r="C1083" s="7" t="str">
        <x:v>BLD-B</x:v>
      </x:c>
      <x:c r="D1083" s="7" t="str">
        <x:v>MF-21</x:v>
      </x:c>
      <x:c r="E1083" s="7" t="str">
        <x:v>STD-21-6</x:v>
      </x:c>
      <x:c r="F1083" s="7" t="str">
        <x:v>OP-1</x:v>
      </x:c>
      <x:c r="G1083" s="7" t="n">
        <x:v>1</x:v>
      </x:c>
      <x:c r="H1083" s="7" t="str"/>
      <x:c r="I1083" s="7" t="str"/>
      <x:c r="J1083" s="7" t="str">
        <x:f>IF(OR(H1083="",I1083=""),"",I1083-H1083)</x:f>
      </x:c>
      <x:c r="K1083" s="7" t="str"/>
      <x:c r="L1083" s="7" t="str"/>
      <x:c r="M1083" s="7" t="str"/>
      <x:c r="N1083" s="7" t="str">
        <x:f>IF(M1083="","OPEN",IF(OR(NOT(ISNUMBER(H1083)),NOT(ISNUMBER(I1083)),K1083="",L1083=""),"FAIL","PASS"))</x:f>
        <x:v>OPEN</x:v>
      </x:c>
    </x:row>
    <x:row r="1084">
      <x:c r="B1084" s="7" t="str">
        <x:v>TRO-B-21-S6-O1-R2</x:v>
      </x:c>
      <x:c r="C1084" s="7" t="str">
        <x:v>BLD-B</x:v>
      </x:c>
      <x:c r="D1084" s="7" t="str">
        <x:v>MF-21</x:v>
      </x:c>
      <x:c r="E1084" s="7" t="str">
        <x:v>STD-21-6</x:v>
      </x:c>
      <x:c r="F1084" s="7" t="str">
        <x:v>OP-1</x:v>
      </x:c>
      <x:c r="G1084" s="7" t="n">
        <x:v>2</x:v>
      </x:c>
      <x:c r="H1084" s="7" t="str"/>
      <x:c r="I1084" s="7" t="str"/>
      <x:c r="J1084" s="7" t="str">
        <x:f>IF(OR(H1084="",I1084=""),"",I1084-H1084)</x:f>
      </x:c>
      <x:c r="K1084" s="7" t="str"/>
      <x:c r="L1084" s="7" t="str"/>
      <x:c r="M1084" s="7" t="str"/>
      <x:c r="N1084" s="7" t="str">
        <x:f>IF(M1084="","OPEN",IF(OR(NOT(ISNUMBER(H1084)),NOT(ISNUMBER(I1084)),K1084="",L1084=""),"FAIL","PASS"))</x:f>
        <x:v>OPEN</x:v>
      </x:c>
    </x:row>
    <x:row r="1085">
      <x:c r="B1085" s="7" t="str">
        <x:v>TRO-B-21-S6-O2-R1</x:v>
      </x:c>
      <x:c r="C1085" s="7" t="str">
        <x:v>BLD-B</x:v>
      </x:c>
      <x:c r="D1085" s="7" t="str">
        <x:v>MF-21</x:v>
      </x:c>
      <x:c r="E1085" s="7" t="str">
        <x:v>STD-21-6</x:v>
      </x:c>
      <x:c r="F1085" s="7" t="str">
        <x:v>OP-2</x:v>
      </x:c>
      <x:c r="G1085" s="7" t="n">
        <x:v>1</x:v>
      </x:c>
      <x:c r="H1085" s="7" t="str"/>
      <x:c r="I1085" s="7" t="str"/>
      <x:c r="J1085" s="7" t="str">
        <x:f>IF(OR(H1085="",I1085=""),"",I1085-H1085)</x:f>
      </x:c>
      <x:c r="K1085" s="7" t="str"/>
      <x:c r="L1085" s="7" t="str"/>
      <x:c r="M1085" s="7" t="str"/>
      <x:c r="N1085" s="7" t="str">
        <x:f>IF(M1085="","OPEN",IF(OR(NOT(ISNUMBER(H1085)),NOT(ISNUMBER(I1085)),K1085="",L1085=""),"FAIL","PASS"))</x:f>
        <x:v>OPEN</x:v>
      </x:c>
    </x:row>
    <x:row r="1086">
      <x:c r="B1086" s="7" t="str">
        <x:v>TRO-B-21-S6-O2-R2</x:v>
      </x:c>
      <x:c r="C1086" s="7" t="str">
        <x:v>BLD-B</x:v>
      </x:c>
      <x:c r="D1086" s="7" t="str">
        <x:v>MF-21</x:v>
      </x:c>
      <x:c r="E1086" s="7" t="str">
        <x:v>STD-21-6</x:v>
      </x:c>
      <x:c r="F1086" s="7" t="str">
        <x:v>OP-2</x:v>
      </x:c>
      <x:c r="G1086" s="7" t="n">
        <x:v>2</x:v>
      </x:c>
      <x:c r="H1086" s="7" t="str"/>
      <x:c r="I1086" s="7" t="str"/>
      <x:c r="J1086" s="7" t="str">
        <x:f>IF(OR(H1086="",I1086=""),"",I1086-H1086)</x:f>
      </x:c>
      <x:c r="K1086" s="7" t="str"/>
      <x:c r="L1086" s="7" t="str"/>
      <x:c r="M1086" s="7" t="str"/>
      <x:c r="N1086" s="7" t="str">
        <x:f>IF(M1086="","OPEN",IF(OR(NOT(ISNUMBER(H1086)),NOT(ISNUMBER(I1086)),K1086="",L1086=""),"FAIL","PASS"))</x:f>
        <x:v>OPEN</x:v>
      </x:c>
    </x:row>
    <x:row r="1087">
      <x:c r="B1087" s="7" t="str">
        <x:v>TRO-B-22-S1-O1-R1</x:v>
      </x:c>
      <x:c r="C1087" s="7" t="str">
        <x:v>BLD-B</x:v>
      </x:c>
      <x:c r="D1087" s="7" t="str">
        <x:v>MF-22</x:v>
      </x:c>
      <x:c r="E1087" s="7" t="str">
        <x:v>STD-22-1</x:v>
      </x:c>
      <x:c r="F1087" s="7" t="str">
        <x:v>OP-1</x:v>
      </x:c>
      <x:c r="G1087" s="7" t="n">
        <x:v>1</x:v>
      </x:c>
      <x:c r="H1087" s="7" t="str"/>
      <x:c r="I1087" s="7" t="str"/>
      <x:c r="J1087" s="7" t="str">
        <x:f>IF(OR(H1087="",I1087=""),"",I1087-H1087)</x:f>
      </x:c>
      <x:c r="K1087" s="7" t="str"/>
      <x:c r="L1087" s="7" t="str"/>
      <x:c r="M1087" s="7" t="str"/>
      <x:c r="N1087" s="7" t="str">
        <x:f>IF(M1087="","OPEN",IF(OR(NOT(ISNUMBER(H1087)),NOT(ISNUMBER(I1087)),K1087="",L1087=""),"FAIL","PASS"))</x:f>
        <x:v>OPEN</x:v>
      </x:c>
    </x:row>
    <x:row r="1088">
      <x:c r="B1088" s="7" t="str">
        <x:v>TRO-B-22-S1-O1-R2</x:v>
      </x:c>
      <x:c r="C1088" s="7" t="str">
        <x:v>BLD-B</x:v>
      </x:c>
      <x:c r="D1088" s="7" t="str">
        <x:v>MF-22</x:v>
      </x:c>
      <x:c r="E1088" s="7" t="str">
        <x:v>STD-22-1</x:v>
      </x:c>
      <x:c r="F1088" s="7" t="str">
        <x:v>OP-1</x:v>
      </x:c>
      <x:c r="G1088" s="7" t="n">
        <x:v>2</x:v>
      </x:c>
      <x:c r="H1088" s="7" t="str"/>
      <x:c r="I1088" s="7" t="str"/>
      <x:c r="J1088" s="7" t="str">
        <x:f>IF(OR(H1088="",I1088=""),"",I1088-H1088)</x:f>
      </x:c>
      <x:c r="K1088" s="7" t="str"/>
      <x:c r="L1088" s="7" t="str"/>
      <x:c r="M1088" s="7" t="str"/>
      <x:c r="N1088" s="7" t="str">
        <x:f>IF(M1088="","OPEN",IF(OR(NOT(ISNUMBER(H1088)),NOT(ISNUMBER(I1088)),K1088="",L1088=""),"FAIL","PASS"))</x:f>
        <x:v>OPEN</x:v>
      </x:c>
    </x:row>
    <x:row r="1089">
      <x:c r="B1089" s="7" t="str">
        <x:v>TRO-B-22-S1-O2-R1</x:v>
      </x:c>
      <x:c r="C1089" s="7" t="str">
        <x:v>BLD-B</x:v>
      </x:c>
      <x:c r="D1089" s="7" t="str">
        <x:v>MF-22</x:v>
      </x:c>
      <x:c r="E1089" s="7" t="str">
        <x:v>STD-22-1</x:v>
      </x:c>
      <x:c r="F1089" s="7" t="str">
        <x:v>OP-2</x:v>
      </x:c>
      <x:c r="G1089" s="7" t="n">
        <x:v>1</x:v>
      </x:c>
      <x:c r="H1089" s="7" t="str"/>
      <x:c r="I1089" s="7" t="str"/>
      <x:c r="J1089" s="7" t="str">
        <x:f>IF(OR(H1089="",I1089=""),"",I1089-H1089)</x:f>
      </x:c>
      <x:c r="K1089" s="7" t="str"/>
      <x:c r="L1089" s="7" t="str"/>
      <x:c r="M1089" s="7" t="str"/>
      <x:c r="N1089" s="7" t="str">
        <x:f>IF(M1089="","OPEN",IF(OR(NOT(ISNUMBER(H1089)),NOT(ISNUMBER(I1089)),K1089="",L1089=""),"FAIL","PASS"))</x:f>
        <x:v>OPEN</x:v>
      </x:c>
    </x:row>
    <x:row r="1090">
      <x:c r="B1090" s="7" t="str">
        <x:v>TRO-B-22-S1-O2-R2</x:v>
      </x:c>
      <x:c r="C1090" s="7" t="str">
        <x:v>BLD-B</x:v>
      </x:c>
      <x:c r="D1090" s="7" t="str">
        <x:v>MF-22</x:v>
      </x:c>
      <x:c r="E1090" s="7" t="str">
        <x:v>STD-22-1</x:v>
      </x:c>
      <x:c r="F1090" s="7" t="str">
        <x:v>OP-2</x:v>
      </x:c>
      <x:c r="G1090" s="7" t="n">
        <x:v>2</x:v>
      </x:c>
      <x:c r="H1090" s="7" t="str"/>
      <x:c r="I1090" s="7" t="str"/>
      <x:c r="J1090" s="7" t="str">
        <x:f>IF(OR(H1090="",I1090=""),"",I1090-H1090)</x:f>
      </x:c>
      <x:c r="K1090" s="7" t="str"/>
      <x:c r="L1090" s="7" t="str"/>
      <x:c r="M1090" s="7" t="str"/>
      <x:c r="N1090" s="7" t="str">
        <x:f>IF(M1090="","OPEN",IF(OR(NOT(ISNUMBER(H1090)),NOT(ISNUMBER(I1090)),K1090="",L1090=""),"FAIL","PASS"))</x:f>
        <x:v>OPEN</x:v>
      </x:c>
    </x:row>
    <x:row r="1091">
      <x:c r="B1091" s="7" t="str">
        <x:v>TRO-B-22-S2-O1-R1</x:v>
      </x:c>
      <x:c r="C1091" s="7" t="str">
        <x:v>BLD-B</x:v>
      </x:c>
      <x:c r="D1091" s="7" t="str">
        <x:v>MF-22</x:v>
      </x:c>
      <x:c r="E1091" s="7" t="str">
        <x:v>STD-22-2</x:v>
      </x:c>
      <x:c r="F1091" s="7" t="str">
        <x:v>OP-1</x:v>
      </x:c>
      <x:c r="G1091" s="7" t="n">
        <x:v>1</x:v>
      </x:c>
      <x:c r="H1091" s="7" t="str"/>
      <x:c r="I1091" s="7" t="str"/>
      <x:c r="J1091" s="7" t="str">
        <x:f>IF(OR(H1091="",I1091=""),"",I1091-H1091)</x:f>
      </x:c>
      <x:c r="K1091" s="7" t="str"/>
      <x:c r="L1091" s="7" t="str"/>
      <x:c r="M1091" s="7" t="str"/>
      <x:c r="N1091" s="7" t="str">
        <x:f>IF(M1091="","OPEN",IF(OR(NOT(ISNUMBER(H1091)),NOT(ISNUMBER(I1091)),K1091="",L1091=""),"FAIL","PASS"))</x:f>
        <x:v>OPEN</x:v>
      </x:c>
    </x:row>
    <x:row r="1092">
      <x:c r="B1092" s="7" t="str">
        <x:v>TRO-B-22-S2-O1-R2</x:v>
      </x:c>
      <x:c r="C1092" s="7" t="str">
        <x:v>BLD-B</x:v>
      </x:c>
      <x:c r="D1092" s="7" t="str">
        <x:v>MF-22</x:v>
      </x:c>
      <x:c r="E1092" s="7" t="str">
        <x:v>STD-22-2</x:v>
      </x:c>
      <x:c r="F1092" s="7" t="str">
        <x:v>OP-1</x:v>
      </x:c>
      <x:c r="G1092" s="7" t="n">
        <x:v>2</x:v>
      </x:c>
      <x:c r="H1092" s="7" t="str"/>
      <x:c r="I1092" s="7" t="str"/>
      <x:c r="J1092" s="7" t="str">
        <x:f>IF(OR(H1092="",I1092=""),"",I1092-H1092)</x:f>
      </x:c>
      <x:c r="K1092" s="7" t="str"/>
      <x:c r="L1092" s="7" t="str"/>
      <x:c r="M1092" s="7" t="str"/>
      <x:c r="N1092" s="7" t="str">
        <x:f>IF(M1092="","OPEN",IF(OR(NOT(ISNUMBER(H1092)),NOT(ISNUMBER(I1092)),K1092="",L1092=""),"FAIL","PASS"))</x:f>
        <x:v>OPEN</x:v>
      </x:c>
    </x:row>
    <x:row r="1093">
      <x:c r="B1093" s="7" t="str">
        <x:v>TRO-B-22-S2-O2-R1</x:v>
      </x:c>
      <x:c r="C1093" s="7" t="str">
        <x:v>BLD-B</x:v>
      </x:c>
      <x:c r="D1093" s="7" t="str">
        <x:v>MF-22</x:v>
      </x:c>
      <x:c r="E1093" s="7" t="str">
        <x:v>STD-22-2</x:v>
      </x:c>
      <x:c r="F1093" s="7" t="str">
        <x:v>OP-2</x:v>
      </x:c>
      <x:c r="G1093" s="7" t="n">
        <x:v>1</x:v>
      </x:c>
      <x:c r="H1093" s="7" t="str"/>
      <x:c r="I1093" s="7" t="str"/>
      <x:c r="J1093" s="7" t="str">
        <x:f>IF(OR(H1093="",I1093=""),"",I1093-H1093)</x:f>
      </x:c>
      <x:c r="K1093" s="7" t="str"/>
      <x:c r="L1093" s="7" t="str"/>
      <x:c r="M1093" s="7" t="str"/>
      <x:c r="N1093" s="7" t="str">
        <x:f>IF(M1093="","OPEN",IF(OR(NOT(ISNUMBER(H1093)),NOT(ISNUMBER(I1093)),K1093="",L1093=""),"FAIL","PASS"))</x:f>
        <x:v>OPEN</x:v>
      </x:c>
    </x:row>
    <x:row r="1094">
      <x:c r="B1094" s="7" t="str">
        <x:v>TRO-B-22-S2-O2-R2</x:v>
      </x:c>
      <x:c r="C1094" s="7" t="str">
        <x:v>BLD-B</x:v>
      </x:c>
      <x:c r="D1094" s="7" t="str">
        <x:v>MF-22</x:v>
      </x:c>
      <x:c r="E1094" s="7" t="str">
        <x:v>STD-22-2</x:v>
      </x:c>
      <x:c r="F1094" s="7" t="str">
        <x:v>OP-2</x:v>
      </x:c>
      <x:c r="G1094" s="7" t="n">
        <x:v>2</x:v>
      </x:c>
      <x:c r="H1094" s="7" t="str"/>
      <x:c r="I1094" s="7" t="str"/>
      <x:c r="J1094" s="7" t="str">
        <x:f>IF(OR(H1094="",I1094=""),"",I1094-H1094)</x:f>
      </x:c>
      <x:c r="K1094" s="7" t="str"/>
      <x:c r="L1094" s="7" t="str"/>
      <x:c r="M1094" s="7" t="str"/>
      <x:c r="N1094" s="7" t="str">
        <x:f>IF(M1094="","OPEN",IF(OR(NOT(ISNUMBER(H1094)),NOT(ISNUMBER(I1094)),K1094="",L1094=""),"FAIL","PASS"))</x:f>
        <x:v>OPEN</x:v>
      </x:c>
    </x:row>
    <x:row r="1095">
      <x:c r="B1095" s="7" t="str">
        <x:v>TRO-B-22-S3-O1-R1</x:v>
      </x:c>
      <x:c r="C1095" s="7" t="str">
        <x:v>BLD-B</x:v>
      </x:c>
      <x:c r="D1095" s="7" t="str">
        <x:v>MF-22</x:v>
      </x:c>
      <x:c r="E1095" s="7" t="str">
        <x:v>STD-22-3</x:v>
      </x:c>
      <x:c r="F1095" s="7" t="str">
        <x:v>OP-1</x:v>
      </x:c>
      <x:c r="G1095" s="7" t="n">
        <x:v>1</x:v>
      </x:c>
      <x:c r="H1095" s="7" t="str"/>
      <x:c r="I1095" s="7" t="str"/>
      <x:c r="J1095" s="7" t="str">
        <x:f>IF(OR(H1095="",I1095=""),"",I1095-H1095)</x:f>
      </x:c>
      <x:c r="K1095" s="7" t="str"/>
      <x:c r="L1095" s="7" t="str"/>
      <x:c r="M1095" s="7" t="str"/>
      <x:c r="N1095" s="7" t="str">
        <x:f>IF(M1095="","OPEN",IF(OR(NOT(ISNUMBER(H1095)),NOT(ISNUMBER(I1095)),K1095="",L1095=""),"FAIL","PASS"))</x:f>
        <x:v>OPEN</x:v>
      </x:c>
    </x:row>
    <x:row r="1096">
      <x:c r="B1096" s="7" t="str">
        <x:v>TRO-B-22-S3-O1-R2</x:v>
      </x:c>
      <x:c r="C1096" s="7" t="str">
        <x:v>BLD-B</x:v>
      </x:c>
      <x:c r="D1096" s="7" t="str">
        <x:v>MF-22</x:v>
      </x:c>
      <x:c r="E1096" s="7" t="str">
        <x:v>STD-22-3</x:v>
      </x:c>
      <x:c r="F1096" s="7" t="str">
        <x:v>OP-1</x:v>
      </x:c>
      <x:c r="G1096" s="7" t="n">
        <x:v>2</x:v>
      </x:c>
      <x:c r="H1096" s="7" t="str"/>
      <x:c r="I1096" s="7" t="str"/>
      <x:c r="J1096" s="7" t="str">
        <x:f>IF(OR(H1096="",I1096=""),"",I1096-H1096)</x:f>
      </x:c>
      <x:c r="K1096" s="7" t="str"/>
      <x:c r="L1096" s="7" t="str"/>
      <x:c r="M1096" s="7" t="str"/>
      <x:c r="N1096" s="7" t="str">
        <x:f>IF(M1096="","OPEN",IF(OR(NOT(ISNUMBER(H1096)),NOT(ISNUMBER(I1096)),K1096="",L1096=""),"FAIL","PASS"))</x:f>
        <x:v>OPEN</x:v>
      </x:c>
    </x:row>
    <x:row r="1097">
      <x:c r="B1097" s="7" t="str">
        <x:v>TRO-B-22-S3-O2-R1</x:v>
      </x:c>
      <x:c r="C1097" s="7" t="str">
        <x:v>BLD-B</x:v>
      </x:c>
      <x:c r="D1097" s="7" t="str">
        <x:v>MF-22</x:v>
      </x:c>
      <x:c r="E1097" s="7" t="str">
        <x:v>STD-22-3</x:v>
      </x:c>
      <x:c r="F1097" s="7" t="str">
        <x:v>OP-2</x:v>
      </x:c>
      <x:c r="G1097" s="7" t="n">
        <x:v>1</x:v>
      </x:c>
      <x:c r="H1097" s="7" t="str"/>
      <x:c r="I1097" s="7" t="str"/>
      <x:c r="J1097" s="7" t="str">
        <x:f>IF(OR(H1097="",I1097=""),"",I1097-H1097)</x:f>
      </x:c>
      <x:c r="K1097" s="7" t="str"/>
      <x:c r="L1097" s="7" t="str"/>
      <x:c r="M1097" s="7" t="str"/>
      <x:c r="N1097" s="7" t="str">
        <x:f>IF(M1097="","OPEN",IF(OR(NOT(ISNUMBER(H1097)),NOT(ISNUMBER(I1097)),K1097="",L1097=""),"FAIL","PASS"))</x:f>
        <x:v>OPEN</x:v>
      </x:c>
    </x:row>
    <x:row r="1098">
      <x:c r="B1098" s="7" t="str">
        <x:v>TRO-B-22-S3-O2-R2</x:v>
      </x:c>
      <x:c r="C1098" s="7" t="str">
        <x:v>BLD-B</x:v>
      </x:c>
      <x:c r="D1098" s="7" t="str">
        <x:v>MF-22</x:v>
      </x:c>
      <x:c r="E1098" s="7" t="str">
        <x:v>STD-22-3</x:v>
      </x:c>
      <x:c r="F1098" s="7" t="str">
        <x:v>OP-2</x:v>
      </x:c>
      <x:c r="G1098" s="7" t="n">
        <x:v>2</x:v>
      </x:c>
      <x:c r="H1098" s="7" t="str"/>
      <x:c r="I1098" s="7" t="str"/>
      <x:c r="J1098" s="7" t="str">
        <x:f>IF(OR(H1098="",I1098=""),"",I1098-H1098)</x:f>
      </x:c>
      <x:c r="K1098" s="7" t="str"/>
      <x:c r="L1098" s="7" t="str"/>
      <x:c r="M1098" s="7" t="str"/>
      <x:c r="N1098" s="7" t="str">
        <x:f>IF(M1098="","OPEN",IF(OR(NOT(ISNUMBER(H1098)),NOT(ISNUMBER(I1098)),K1098="",L1098=""),"FAIL","PASS"))</x:f>
        <x:v>OPEN</x:v>
      </x:c>
    </x:row>
    <x:row r="1099">
      <x:c r="B1099" s="7" t="str">
        <x:v>TRO-B-22-S4-O1-R1</x:v>
      </x:c>
      <x:c r="C1099" s="7" t="str">
        <x:v>BLD-B</x:v>
      </x:c>
      <x:c r="D1099" s="7" t="str">
        <x:v>MF-22</x:v>
      </x:c>
      <x:c r="E1099" s="7" t="str">
        <x:v>STD-22-4</x:v>
      </x:c>
      <x:c r="F1099" s="7" t="str">
        <x:v>OP-1</x:v>
      </x:c>
      <x:c r="G1099" s="7" t="n">
        <x:v>1</x:v>
      </x:c>
      <x:c r="H1099" s="7" t="str"/>
      <x:c r="I1099" s="7" t="str"/>
      <x:c r="J1099" s="7" t="str">
        <x:f>IF(OR(H1099="",I1099=""),"",I1099-H1099)</x:f>
      </x:c>
      <x:c r="K1099" s="7" t="str"/>
      <x:c r="L1099" s="7" t="str"/>
      <x:c r="M1099" s="7" t="str"/>
      <x:c r="N1099" s="7" t="str">
        <x:f>IF(M1099="","OPEN",IF(OR(NOT(ISNUMBER(H1099)),NOT(ISNUMBER(I1099)),K1099="",L1099=""),"FAIL","PASS"))</x:f>
        <x:v>OPEN</x:v>
      </x:c>
    </x:row>
    <x:row r="1100">
      <x:c r="B1100" s="7" t="str">
        <x:v>TRO-B-22-S4-O1-R2</x:v>
      </x:c>
      <x:c r="C1100" s="7" t="str">
        <x:v>BLD-B</x:v>
      </x:c>
      <x:c r="D1100" s="7" t="str">
        <x:v>MF-22</x:v>
      </x:c>
      <x:c r="E1100" s="7" t="str">
        <x:v>STD-22-4</x:v>
      </x:c>
      <x:c r="F1100" s="7" t="str">
        <x:v>OP-1</x:v>
      </x:c>
      <x:c r="G1100" s="7" t="n">
        <x:v>2</x:v>
      </x:c>
      <x:c r="H1100" s="7" t="str"/>
      <x:c r="I1100" s="7" t="str"/>
      <x:c r="J1100" s="7" t="str">
        <x:f>IF(OR(H1100="",I1100=""),"",I1100-H1100)</x:f>
      </x:c>
      <x:c r="K1100" s="7" t="str"/>
      <x:c r="L1100" s="7" t="str"/>
      <x:c r="M1100" s="7" t="str"/>
      <x:c r="N1100" s="7" t="str">
        <x:f>IF(M1100="","OPEN",IF(OR(NOT(ISNUMBER(H1100)),NOT(ISNUMBER(I1100)),K1100="",L1100=""),"FAIL","PASS"))</x:f>
        <x:v>OPEN</x:v>
      </x:c>
    </x:row>
    <x:row r="1101">
      <x:c r="B1101" s="7" t="str">
        <x:v>TRO-B-22-S4-O2-R1</x:v>
      </x:c>
      <x:c r="C1101" s="7" t="str">
        <x:v>BLD-B</x:v>
      </x:c>
      <x:c r="D1101" s="7" t="str">
        <x:v>MF-22</x:v>
      </x:c>
      <x:c r="E1101" s="7" t="str">
        <x:v>STD-22-4</x:v>
      </x:c>
      <x:c r="F1101" s="7" t="str">
        <x:v>OP-2</x:v>
      </x:c>
      <x:c r="G1101" s="7" t="n">
        <x:v>1</x:v>
      </x:c>
      <x:c r="H1101" s="7" t="str"/>
      <x:c r="I1101" s="7" t="str"/>
      <x:c r="J1101" s="7" t="str">
        <x:f>IF(OR(H1101="",I1101=""),"",I1101-H1101)</x:f>
      </x:c>
      <x:c r="K1101" s="7" t="str"/>
      <x:c r="L1101" s="7" t="str"/>
      <x:c r="M1101" s="7" t="str"/>
      <x:c r="N1101" s="7" t="str">
        <x:f>IF(M1101="","OPEN",IF(OR(NOT(ISNUMBER(H1101)),NOT(ISNUMBER(I1101)),K1101="",L1101=""),"FAIL","PASS"))</x:f>
        <x:v>OPEN</x:v>
      </x:c>
    </x:row>
    <x:row r="1102">
      <x:c r="B1102" s="7" t="str">
        <x:v>TRO-B-22-S4-O2-R2</x:v>
      </x:c>
      <x:c r="C1102" s="7" t="str">
        <x:v>BLD-B</x:v>
      </x:c>
      <x:c r="D1102" s="7" t="str">
        <x:v>MF-22</x:v>
      </x:c>
      <x:c r="E1102" s="7" t="str">
        <x:v>STD-22-4</x:v>
      </x:c>
      <x:c r="F1102" s="7" t="str">
        <x:v>OP-2</x:v>
      </x:c>
      <x:c r="G1102" s="7" t="n">
        <x:v>2</x:v>
      </x:c>
      <x:c r="H1102" s="7" t="str"/>
      <x:c r="I1102" s="7" t="str"/>
      <x:c r="J1102" s="7" t="str">
        <x:f>IF(OR(H1102="",I1102=""),"",I1102-H1102)</x:f>
      </x:c>
      <x:c r="K1102" s="7" t="str"/>
      <x:c r="L1102" s="7" t="str"/>
      <x:c r="M1102" s="7" t="str"/>
      <x:c r="N1102" s="7" t="str">
        <x:f>IF(M1102="","OPEN",IF(OR(NOT(ISNUMBER(H1102)),NOT(ISNUMBER(I1102)),K1102="",L1102=""),"FAIL","PASS"))</x:f>
        <x:v>OPEN</x:v>
      </x:c>
    </x:row>
    <x:row r="1103">
      <x:c r="B1103" s="7" t="str">
        <x:v>TRO-B-22-S5-O1-R1</x:v>
      </x:c>
      <x:c r="C1103" s="7" t="str">
        <x:v>BLD-B</x:v>
      </x:c>
      <x:c r="D1103" s="7" t="str">
        <x:v>MF-22</x:v>
      </x:c>
      <x:c r="E1103" s="7" t="str">
        <x:v>STD-22-5</x:v>
      </x:c>
      <x:c r="F1103" s="7" t="str">
        <x:v>OP-1</x:v>
      </x:c>
      <x:c r="G1103" s="7" t="n">
        <x:v>1</x:v>
      </x:c>
      <x:c r="H1103" s="7" t="str"/>
      <x:c r="I1103" s="7" t="str"/>
      <x:c r="J1103" s="7" t="str">
        <x:f>IF(OR(H1103="",I1103=""),"",I1103-H1103)</x:f>
      </x:c>
      <x:c r="K1103" s="7" t="str"/>
      <x:c r="L1103" s="7" t="str"/>
      <x:c r="M1103" s="7" t="str"/>
      <x:c r="N1103" s="7" t="str">
        <x:f>IF(M1103="","OPEN",IF(OR(NOT(ISNUMBER(H1103)),NOT(ISNUMBER(I1103)),K1103="",L1103=""),"FAIL","PASS"))</x:f>
        <x:v>OPEN</x:v>
      </x:c>
    </x:row>
    <x:row r="1104">
      <x:c r="B1104" s="7" t="str">
        <x:v>TRO-B-22-S5-O1-R2</x:v>
      </x:c>
      <x:c r="C1104" s="7" t="str">
        <x:v>BLD-B</x:v>
      </x:c>
      <x:c r="D1104" s="7" t="str">
        <x:v>MF-22</x:v>
      </x:c>
      <x:c r="E1104" s="7" t="str">
        <x:v>STD-22-5</x:v>
      </x:c>
      <x:c r="F1104" s="7" t="str">
        <x:v>OP-1</x:v>
      </x:c>
      <x:c r="G1104" s="7" t="n">
        <x:v>2</x:v>
      </x:c>
      <x:c r="H1104" s="7" t="str"/>
      <x:c r="I1104" s="7" t="str"/>
      <x:c r="J1104" s="7" t="str">
        <x:f>IF(OR(H1104="",I1104=""),"",I1104-H1104)</x:f>
      </x:c>
      <x:c r="K1104" s="7" t="str"/>
      <x:c r="L1104" s="7" t="str"/>
      <x:c r="M1104" s="7" t="str"/>
      <x:c r="N1104" s="7" t="str">
        <x:f>IF(M1104="","OPEN",IF(OR(NOT(ISNUMBER(H1104)),NOT(ISNUMBER(I1104)),K1104="",L1104=""),"FAIL","PASS"))</x:f>
        <x:v>OPEN</x:v>
      </x:c>
    </x:row>
    <x:row r="1105">
      <x:c r="B1105" s="7" t="str">
        <x:v>TRO-B-22-S5-O2-R1</x:v>
      </x:c>
      <x:c r="C1105" s="7" t="str">
        <x:v>BLD-B</x:v>
      </x:c>
      <x:c r="D1105" s="7" t="str">
        <x:v>MF-22</x:v>
      </x:c>
      <x:c r="E1105" s="7" t="str">
        <x:v>STD-22-5</x:v>
      </x:c>
      <x:c r="F1105" s="7" t="str">
        <x:v>OP-2</x:v>
      </x:c>
      <x:c r="G1105" s="7" t="n">
        <x:v>1</x:v>
      </x:c>
      <x:c r="H1105" s="7" t="str"/>
      <x:c r="I1105" s="7" t="str"/>
      <x:c r="J1105" s="7" t="str">
        <x:f>IF(OR(H1105="",I1105=""),"",I1105-H1105)</x:f>
      </x:c>
      <x:c r="K1105" s="7" t="str"/>
      <x:c r="L1105" s="7" t="str"/>
      <x:c r="M1105" s="7" t="str"/>
      <x:c r="N1105" s="7" t="str">
        <x:f>IF(M1105="","OPEN",IF(OR(NOT(ISNUMBER(H1105)),NOT(ISNUMBER(I1105)),K1105="",L1105=""),"FAIL","PASS"))</x:f>
        <x:v>OPEN</x:v>
      </x:c>
    </x:row>
    <x:row r="1106">
      <x:c r="B1106" s="7" t="str">
        <x:v>TRO-B-22-S5-O2-R2</x:v>
      </x:c>
      <x:c r="C1106" s="7" t="str">
        <x:v>BLD-B</x:v>
      </x:c>
      <x:c r="D1106" s="7" t="str">
        <x:v>MF-22</x:v>
      </x:c>
      <x:c r="E1106" s="7" t="str">
        <x:v>STD-22-5</x:v>
      </x:c>
      <x:c r="F1106" s="7" t="str">
        <x:v>OP-2</x:v>
      </x:c>
      <x:c r="G1106" s="7" t="n">
        <x:v>2</x:v>
      </x:c>
      <x:c r="H1106" s="7" t="str"/>
      <x:c r="I1106" s="7" t="str"/>
      <x:c r="J1106" s="7" t="str">
        <x:f>IF(OR(H1106="",I1106=""),"",I1106-H1106)</x:f>
      </x:c>
      <x:c r="K1106" s="7" t="str"/>
      <x:c r="L1106" s="7" t="str"/>
      <x:c r="M1106" s="7" t="str"/>
      <x:c r="N1106" s="7" t="str">
        <x:f>IF(M1106="","OPEN",IF(OR(NOT(ISNUMBER(H1106)),NOT(ISNUMBER(I1106)),K1106="",L1106=""),"FAIL","PASS"))</x:f>
        <x:v>OPEN</x:v>
      </x:c>
    </x:row>
    <x:row r="1107">
      <x:c r="B1107" s="7" t="str">
        <x:v>TRO-B-22-S6-O1-R1</x:v>
      </x:c>
      <x:c r="C1107" s="7" t="str">
        <x:v>BLD-B</x:v>
      </x:c>
      <x:c r="D1107" s="7" t="str">
        <x:v>MF-22</x:v>
      </x:c>
      <x:c r="E1107" s="7" t="str">
        <x:v>STD-22-6</x:v>
      </x:c>
      <x:c r="F1107" s="7" t="str">
        <x:v>OP-1</x:v>
      </x:c>
      <x:c r="G1107" s="7" t="n">
        <x:v>1</x:v>
      </x:c>
      <x:c r="H1107" s="7" t="str"/>
      <x:c r="I1107" s="7" t="str"/>
      <x:c r="J1107" s="7" t="str">
        <x:f>IF(OR(H1107="",I1107=""),"",I1107-H1107)</x:f>
      </x:c>
      <x:c r="K1107" s="7" t="str"/>
      <x:c r="L1107" s="7" t="str"/>
      <x:c r="M1107" s="7" t="str"/>
      <x:c r="N1107" s="7" t="str">
        <x:f>IF(M1107="","OPEN",IF(OR(NOT(ISNUMBER(H1107)),NOT(ISNUMBER(I1107)),K1107="",L1107=""),"FAIL","PASS"))</x:f>
        <x:v>OPEN</x:v>
      </x:c>
    </x:row>
    <x:row r="1108">
      <x:c r="B1108" s="7" t="str">
        <x:v>TRO-B-22-S6-O1-R2</x:v>
      </x:c>
      <x:c r="C1108" s="7" t="str">
        <x:v>BLD-B</x:v>
      </x:c>
      <x:c r="D1108" s="7" t="str">
        <x:v>MF-22</x:v>
      </x:c>
      <x:c r="E1108" s="7" t="str">
        <x:v>STD-22-6</x:v>
      </x:c>
      <x:c r="F1108" s="7" t="str">
        <x:v>OP-1</x:v>
      </x:c>
      <x:c r="G1108" s="7" t="n">
        <x:v>2</x:v>
      </x:c>
      <x:c r="H1108" s="7" t="str"/>
      <x:c r="I1108" s="7" t="str"/>
      <x:c r="J1108" s="7" t="str">
        <x:f>IF(OR(H1108="",I1108=""),"",I1108-H1108)</x:f>
      </x:c>
      <x:c r="K1108" s="7" t="str"/>
      <x:c r="L1108" s="7" t="str"/>
      <x:c r="M1108" s="7" t="str"/>
      <x:c r="N1108" s="7" t="str">
        <x:f>IF(M1108="","OPEN",IF(OR(NOT(ISNUMBER(H1108)),NOT(ISNUMBER(I1108)),K1108="",L1108=""),"FAIL","PASS"))</x:f>
        <x:v>OPEN</x:v>
      </x:c>
    </x:row>
    <x:row r="1109">
      <x:c r="B1109" s="7" t="str">
        <x:v>TRO-B-22-S6-O2-R1</x:v>
      </x:c>
      <x:c r="C1109" s="7" t="str">
        <x:v>BLD-B</x:v>
      </x:c>
      <x:c r="D1109" s="7" t="str">
        <x:v>MF-22</x:v>
      </x:c>
      <x:c r="E1109" s="7" t="str">
        <x:v>STD-22-6</x:v>
      </x:c>
      <x:c r="F1109" s="7" t="str">
        <x:v>OP-2</x:v>
      </x:c>
      <x:c r="G1109" s="7" t="n">
        <x:v>1</x:v>
      </x:c>
      <x:c r="H1109" s="7" t="str"/>
      <x:c r="I1109" s="7" t="str"/>
      <x:c r="J1109" s="7" t="str">
        <x:f>IF(OR(H1109="",I1109=""),"",I1109-H1109)</x:f>
      </x:c>
      <x:c r="K1109" s="7" t="str"/>
      <x:c r="L1109" s="7" t="str"/>
      <x:c r="M1109" s="7" t="str"/>
      <x:c r="N1109" s="7" t="str">
        <x:f>IF(M1109="","OPEN",IF(OR(NOT(ISNUMBER(H1109)),NOT(ISNUMBER(I1109)),K1109="",L1109=""),"FAIL","PASS"))</x:f>
        <x:v>OPEN</x:v>
      </x:c>
    </x:row>
    <x:row r="1110">
      <x:c r="B1110" s="7" t="str">
        <x:v>TRO-B-22-S6-O2-R2</x:v>
      </x:c>
      <x:c r="C1110" s="7" t="str">
        <x:v>BLD-B</x:v>
      </x:c>
      <x:c r="D1110" s="7" t="str">
        <x:v>MF-22</x:v>
      </x:c>
      <x:c r="E1110" s="7" t="str">
        <x:v>STD-22-6</x:v>
      </x:c>
      <x:c r="F1110" s="7" t="str">
        <x:v>OP-2</x:v>
      </x:c>
      <x:c r="G1110" s="7" t="n">
        <x:v>2</x:v>
      </x:c>
      <x:c r="H1110" s="7" t="str"/>
      <x:c r="I1110" s="7" t="str"/>
      <x:c r="J1110" s="7" t="str">
        <x:f>IF(OR(H1110="",I1110=""),"",I1110-H1110)</x:f>
      </x:c>
      <x:c r="K1110" s="7" t="str"/>
      <x:c r="L1110" s="7" t="str"/>
      <x:c r="M1110" s="7" t="str"/>
      <x:c r="N1110" s="7" t="str">
        <x:f>IF(M1110="","OPEN",IF(OR(NOT(ISNUMBER(H1110)),NOT(ISNUMBER(I1110)),K1110="",L1110=""),"FAIL","PASS"))</x:f>
        <x:v>OPEN</x:v>
      </x:c>
    </x:row>
    <x:row r="1111">
      <x:c r="B1111" s="7" t="str">
        <x:v>TRO-B-23-S1-O1-R1</x:v>
      </x:c>
      <x:c r="C1111" s="7" t="str">
        <x:v>BLD-B</x:v>
      </x:c>
      <x:c r="D1111" s="7" t="str">
        <x:v>MF-23</x:v>
      </x:c>
      <x:c r="E1111" s="7" t="str">
        <x:v>STD-23-1</x:v>
      </x:c>
      <x:c r="F1111" s="7" t="str">
        <x:v>OP-1</x:v>
      </x:c>
      <x:c r="G1111" s="7" t="n">
        <x:v>1</x:v>
      </x:c>
      <x:c r="H1111" s="7" t="str"/>
      <x:c r="I1111" s="7" t="str"/>
      <x:c r="J1111" s="7" t="str">
        <x:f>IF(OR(H1111="",I1111=""),"",I1111-H1111)</x:f>
      </x:c>
      <x:c r="K1111" s="7" t="str"/>
      <x:c r="L1111" s="7" t="str"/>
      <x:c r="M1111" s="7" t="str"/>
      <x:c r="N1111" s="7" t="str">
        <x:f>IF(M1111="","OPEN",IF(OR(NOT(ISNUMBER(H1111)),NOT(ISNUMBER(I1111)),K1111="",L1111=""),"FAIL","PASS"))</x:f>
        <x:v>OPEN</x:v>
      </x:c>
    </x:row>
    <x:row r="1112">
      <x:c r="B1112" s="7" t="str">
        <x:v>TRO-B-23-S1-O1-R2</x:v>
      </x:c>
      <x:c r="C1112" s="7" t="str">
        <x:v>BLD-B</x:v>
      </x:c>
      <x:c r="D1112" s="7" t="str">
        <x:v>MF-23</x:v>
      </x:c>
      <x:c r="E1112" s="7" t="str">
        <x:v>STD-23-1</x:v>
      </x:c>
      <x:c r="F1112" s="7" t="str">
        <x:v>OP-1</x:v>
      </x:c>
      <x:c r="G1112" s="7" t="n">
        <x:v>2</x:v>
      </x:c>
      <x:c r="H1112" s="7" t="str"/>
      <x:c r="I1112" s="7" t="str"/>
      <x:c r="J1112" s="7" t="str">
        <x:f>IF(OR(H1112="",I1112=""),"",I1112-H1112)</x:f>
      </x:c>
      <x:c r="K1112" s="7" t="str"/>
      <x:c r="L1112" s="7" t="str"/>
      <x:c r="M1112" s="7" t="str"/>
      <x:c r="N1112" s="7" t="str">
        <x:f>IF(M1112="","OPEN",IF(OR(NOT(ISNUMBER(H1112)),NOT(ISNUMBER(I1112)),K1112="",L1112=""),"FAIL","PASS"))</x:f>
        <x:v>OPEN</x:v>
      </x:c>
    </x:row>
    <x:row r="1113">
      <x:c r="B1113" s="7" t="str">
        <x:v>TRO-B-23-S1-O2-R1</x:v>
      </x:c>
      <x:c r="C1113" s="7" t="str">
        <x:v>BLD-B</x:v>
      </x:c>
      <x:c r="D1113" s="7" t="str">
        <x:v>MF-23</x:v>
      </x:c>
      <x:c r="E1113" s="7" t="str">
        <x:v>STD-23-1</x:v>
      </x:c>
      <x:c r="F1113" s="7" t="str">
        <x:v>OP-2</x:v>
      </x:c>
      <x:c r="G1113" s="7" t="n">
        <x:v>1</x:v>
      </x:c>
      <x:c r="H1113" s="7" t="str"/>
      <x:c r="I1113" s="7" t="str"/>
      <x:c r="J1113" s="7" t="str">
        <x:f>IF(OR(H1113="",I1113=""),"",I1113-H1113)</x:f>
      </x:c>
      <x:c r="K1113" s="7" t="str"/>
      <x:c r="L1113" s="7" t="str"/>
      <x:c r="M1113" s="7" t="str"/>
      <x:c r="N1113" s="7" t="str">
        <x:f>IF(M1113="","OPEN",IF(OR(NOT(ISNUMBER(H1113)),NOT(ISNUMBER(I1113)),K1113="",L1113=""),"FAIL","PASS"))</x:f>
        <x:v>OPEN</x:v>
      </x:c>
    </x:row>
    <x:row r="1114">
      <x:c r="B1114" s="7" t="str">
        <x:v>TRO-B-23-S1-O2-R2</x:v>
      </x:c>
      <x:c r="C1114" s="7" t="str">
        <x:v>BLD-B</x:v>
      </x:c>
      <x:c r="D1114" s="7" t="str">
        <x:v>MF-23</x:v>
      </x:c>
      <x:c r="E1114" s="7" t="str">
        <x:v>STD-23-1</x:v>
      </x:c>
      <x:c r="F1114" s="7" t="str">
        <x:v>OP-2</x:v>
      </x:c>
      <x:c r="G1114" s="7" t="n">
        <x:v>2</x:v>
      </x:c>
      <x:c r="H1114" s="7" t="str"/>
      <x:c r="I1114" s="7" t="str"/>
      <x:c r="J1114" s="7" t="str">
        <x:f>IF(OR(H1114="",I1114=""),"",I1114-H1114)</x:f>
      </x:c>
      <x:c r="K1114" s="7" t="str"/>
      <x:c r="L1114" s="7" t="str"/>
      <x:c r="M1114" s="7" t="str"/>
      <x:c r="N1114" s="7" t="str">
        <x:f>IF(M1114="","OPEN",IF(OR(NOT(ISNUMBER(H1114)),NOT(ISNUMBER(I1114)),K1114="",L1114=""),"FAIL","PASS"))</x:f>
        <x:v>OPEN</x:v>
      </x:c>
    </x:row>
    <x:row r="1115">
      <x:c r="B1115" s="7" t="str">
        <x:v>TRO-B-23-S2-O1-R1</x:v>
      </x:c>
      <x:c r="C1115" s="7" t="str">
        <x:v>BLD-B</x:v>
      </x:c>
      <x:c r="D1115" s="7" t="str">
        <x:v>MF-23</x:v>
      </x:c>
      <x:c r="E1115" s="7" t="str">
        <x:v>STD-23-2</x:v>
      </x:c>
      <x:c r="F1115" s="7" t="str">
        <x:v>OP-1</x:v>
      </x:c>
      <x:c r="G1115" s="7" t="n">
        <x:v>1</x:v>
      </x:c>
      <x:c r="H1115" s="7" t="str"/>
      <x:c r="I1115" s="7" t="str"/>
      <x:c r="J1115" s="7" t="str">
        <x:f>IF(OR(H1115="",I1115=""),"",I1115-H1115)</x:f>
      </x:c>
      <x:c r="K1115" s="7" t="str"/>
      <x:c r="L1115" s="7" t="str"/>
      <x:c r="M1115" s="7" t="str"/>
      <x:c r="N1115" s="7" t="str">
        <x:f>IF(M1115="","OPEN",IF(OR(NOT(ISNUMBER(H1115)),NOT(ISNUMBER(I1115)),K1115="",L1115=""),"FAIL","PASS"))</x:f>
        <x:v>OPEN</x:v>
      </x:c>
    </x:row>
    <x:row r="1116">
      <x:c r="B1116" s="7" t="str">
        <x:v>TRO-B-23-S2-O1-R2</x:v>
      </x:c>
      <x:c r="C1116" s="7" t="str">
        <x:v>BLD-B</x:v>
      </x:c>
      <x:c r="D1116" s="7" t="str">
        <x:v>MF-23</x:v>
      </x:c>
      <x:c r="E1116" s="7" t="str">
        <x:v>STD-23-2</x:v>
      </x:c>
      <x:c r="F1116" s="7" t="str">
        <x:v>OP-1</x:v>
      </x:c>
      <x:c r="G1116" s="7" t="n">
        <x:v>2</x:v>
      </x:c>
      <x:c r="H1116" s="7" t="str"/>
      <x:c r="I1116" s="7" t="str"/>
      <x:c r="J1116" s="7" t="str">
        <x:f>IF(OR(H1116="",I1116=""),"",I1116-H1116)</x:f>
      </x:c>
      <x:c r="K1116" s="7" t="str"/>
      <x:c r="L1116" s="7" t="str"/>
      <x:c r="M1116" s="7" t="str"/>
      <x:c r="N1116" s="7" t="str">
        <x:f>IF(M1116="","OPEN",IF(OR(NOT(ISNUMBER(H1116)),NOT(ISNUMBER(I1116)),K1116="",L1116=""),"FAIL","PASS"))</x:f>
        <x:v>OPEN</x:v>
      </x:c>
    </x:row>
    <x:row r="1117">
      <x:c r="B1117" s="7" t="str">
        <x:v>TRO-B-23-S2-O2-R1</x:v>
      </x:c>
      <x:c r="C1117" s="7" t="str">
        <x:v>BLD-B</x:v>
      </x:c>
      <x:c r="D1117" s="7" t="str">
        <x:v>MF-23</x:v>
      </x:c>
      <x:c r="E1117" s="7" t="str">
        <x:v>STD-23-2</x:v>
      </x:c>
      <x:c r="F1117" s="7" t="str">
        <x:v>OP-2</x:v>
      </x:c>
      <x:c r="G1117" s="7" t="n">
        <x:v>1</x:v>
      </x:c>
      <x:c r="H1117" s="7" t="str"/>
      <x:c r="I1117" s="7" t="str"/>
      <x:c r="J1117" s="7" t="str">
        <x:f>IF(OR(H1117="",I1117=""),"",I1117-H1117)</x:f>
      </x:c>
      <x:c r="K1117" s="7" t="str"/>
      <x:c r="L1117" s="7" t="str"/>
      <x:c r="M1117" s="7" t="str"/>
      <x:c r="N1117" s="7" t="str">
        <x:f>IF(M1117="","OPEN",IF(OR(NOT(ISNUMBER(H1117)),NOT(ISNUMBER(I1117)),K1117="",L1117=""),"FAIL","PASS"))</x:f>
        <x:v>OPEN</x:v>
      </x:c>
    </x:row>
    <x:row r="1118">
      <x:c r="B1118" s="7" t="str">
        <x:v>TRO-B-23-S2-O2-R2</x:v>
      </x:c>
      <x:c r="C1118" s="7" t="str">
        <x:v>BLD-B</x:v>
      </x:c>
      <x:c r="D1118" s="7" t="str">
        <x:v>MF-23</x:v>
      </x:c>
      <x:c r="E1118" s="7" t="str">
        <x:v>STD-23-2</x:v>
      </x:c>
      <x:c r="F1118" s="7" t="str">
        <x:v>OP-2</x:v>
      </x:c>
      <x:c r="G1118" s="7" t="n">
        <x:v>2</x:v>
      </x:c>
      <x:c r="H1118" s="7" t="str"/>
      <x:c r="I1118" s="7" t="str"/>
      <x:c r="J1118" s="7" t="str">
        <x:f>IF(OR(H1118="",I1118=""),"",I1118-H1118)</x:f>
      </x:c>
      <x:c r="K1118" s="7" t="str"/>
      <x:c r="L1118" s="7" t="str"/>
      <x:c r="M1118" s="7" t="str"/>
      <x:c r="N1118" s="7" t="str">
        <x:f>IF(M1118="","OPEN",IF(OR(NOT(ISNUMBER(H1118)),NOT(ISNUMBER(I1118)),K1118="",L1118=""),"FAIL","PASS"))</x:f>
        <x:v>OPEN</x:v>
      </x:c>
    </x:row>
    <x:row r="1119">
      <x:c r="B1119" s="7" t="str">
        <x:v>TRO-B-23-S3-O1-R1</x:v>
      </x:c>
      <x:c r="C1119" s="7" t="str">
        <x:v>BLD-B</x:v>
      </x:c>
      <x:c r="D1119" s="7" t="str">
        <x:v>MF-23</x:v>
      </x:c>
      <x:c r="E1119" s="7" t="str">
        <x:v>STD-23-3</x:v>
      </x:c>
      <x:c r="F1119" s="7" t="str">
        <x:v>OP-1</x:v>
      </x:c>
      <x:c r="G1119" s="7" t="n">
        <x:v>1</x:v>
      </x:c>
      <x:c r="H1119" s="7" t="str"/>
      <x:c r="I1119" s="7" t="str"/>
      <x:c r="J1119" s="7" t="str">
        <x:f>IF(OR(H1119="",I1119=""),"",I1119-H1119)</x:f>
      </x:c>
      <x:c r="K1119" s="7" t="str"/>
      <x:c r="L1119" s="7" t="str"/>
      <x:c r="M1119" s="7" t="str"/>
      <x:c r="N1119" s="7" t="str">
        <x:f>IF(M1119="","OPEN",IF(OR(NOT(ISNUMBER(H1119)),NOT(ISNUMBER(I1119)),K1119="",L1119=""),"FAIL","PASS"))</x:f>
        <x:v>OPEN</x:v>
      </x:c>
    </x:row>
    <x:row r="1120">
      <x:c r="B1120" s="7" t="str">
        <x:v>TRO-B-23-S3-O1-R2</x:v>
      </x:c>
      <x:c r="C1120" s="7" t="str">
        <x:v>BLD-B</x:v>
      </x:c>
      <x:c r="D1120" s="7" t="str">
        <x:v>MF-23</x:v>
      </x:c>
      <x:c r="E1120" s="7" t="str">
        <x:v>STD-23-3</x:v>
      </x:c>
      <x:c r="F1120" s="7" t="str">
        <x:v>OP-1</x:v>
      </x:c>
      <x:c r="G1120" s="7" t="n">
        <x:v>2</x:v>
      </x:c>
      <x:c r="H1120" s="7" t="str"/>
      <x:c r="I1120" s="7" t="str"/>
      <x:c r="J1120" s="7" t="str">
        <x:f>IF(OR(H1120="",I1120=""),"",I1120-H1120)</x:f>
      </x:c>
      <x:c r="K1120" s="7" t="str"/>
      <x:c r="L1120" s="7" t="str"/>
      <x:c r="M1120" s="7" t="str"/>
      <x:c r="N1120" s="7" t="str">
        <x:f>IF(M1120="","OPEN",IF(OR(NOT(ISNUMBER(H1120)),NOT(ISNUMBER(I1120)),K1120="",L1120=""),"FAIL","PASS"))</x:f>
        <x:v>OPEN</x:v>
      </x:c>
    </x:row>
    <x:row r="1121">
      <x:c r="B1121" s="7" t="str">
        <x:v>TRO-B-23-S3-O2-R1</x:v>
      </x:c>
      <x:c r="C1121" s="7" t="str">
        <x:v>BLD-B</x:v>
      </x:c>
      <x:c r="D1121" s="7" t="str">
        <x:v>MF-23</x:v>
      </x:c>
      <x:c r="E1121" s="7" t="str">
        <x:v>STD-23-3</x:v>
      </x:c>
      <x:c r="F1121" s="7" t="str">
        <x:v>OP-2</x:v>
      </x:c>
      <x:c r="G1121" s="7" t="n">
        <x:v>1</x:v>
      </x:c>
      <x:c r="H1121" s="7" t="str"/>
      <x:c r="I1121" s="7" t="str"/>
      <x:c r="J1121" s="7" t="str">
        <x:f>IF(OR(H1121="",I1121=""),"",I1121-H1121)</x:f>
      </x:c>
      <x:c r="K1121" s="7" t="str"/>
      <x:c r="L1121" s="7" t="str"/>
      <x:c r="M1121" s="7" t="str"/>
      <x:c r="N1121" s="7" t="str">
        <x:f>IF(M1121="","OPEN",IF(OR(NOT(ISNUMBER(H1121)),NOT(ISNUMBER(I1121)),K1121="",L1121=""),"FAIL","PASS"))</x:f>
        <x:v>OPEN</x:v>
      </x:c>
    </x:row>
    <x:row r="1122">
      <x:c r="B1122" s="7" t="str">
        <x:v>TRO-B-23-S3-O2-R2</x:v>
      </x:c>
      <x:c r="C1122" s="7" t="str">
        <x:v>BLD-B</x:v>
      </x:c>
      <x:c r="D1122" s="7" t="str">
        <x:v>MF-23</x:v>
      </x:c>
      <x:c r="E1122" s="7" t="str">
        <x:v>STD-23-3</x:v>
      </x:c>
      <x:c r="F1122" s="7" t="str">
        <x:v>OP-2</x:v>
      </x:c>
      <x:c r="G1122" s="7" t="n">
        <x:v>2</x:v>
      </x:c>
      <x:c r="H1122" s="7" t="str"/>
      <x:c r="I1122" s="7" t="str"/>
      <x:c r="J1122" s="7" t="str">
        <x:f>IF(OR(H1122="",I1122=""),"",I1122-H1122)</x:f>
      </x:c>
      <x:c r="K1122" s="7" t="str"/>
      <x:c r="L1122" s="7" t="str"/>
      <x:c r="M1122" s="7" t="str"/>
      <x:c r="N1122" s="7" t="str">
        <x:f>IF(M1122="","OPEN",IF(OR(NOT(ISNUMBER(H1122)),NOT(ISNUMBER(I1122)),K1122="",L1122=""),"FAIL","PASS"))</x:f>
        <x:v>OPEN</x:v>
      </x:c>
    </x:row>
    <x:row r="1123">
      <x:c r="B1123" s="7" t="str">
        <x:v>TRO-B-23-S4-O1-R1</x:v>
      </x:c>
      <x:c r="C1123" s="7" t="str">
        <x:v>BLD-B</x:v>
      </x:c>
      <x:c r="D1123" s="7" t="str">
        <x:v>MF-23</x:v>
      </x:c>
      <x:c r="E1123" s="7" t="str">
        <x:v>STD-23-4</x:v>
      </x:c>
      <x:c r="F1123" s="7" t="str">
        <x:v>OP-1</x:v>
      </x:c>
      <x:c r="G1123" s="7" t="n">
        <x:v>1</x:v>
      </x:c>
      <x:c r="H1123" s="7" t="str"/>
      <x:c r="I1123" s="7" t="str"/>
      <x:c r="J1123" s="7" t="str">
        <x:f>IF(OR(H1123="",I1123=""),"",I1123-H1123)</x:f>
      </x:c>
      <x:c r="K1123" s="7" t="str"/>
      <x:c r="L1123" s="7" t="str"/>
      <x:c r="M1123" s="7" t="str"/>
      <x:c r="N1123" s="7" t="str">
        <x:f>IF(M1123="","OPEN",IF(OR(NOT(ISNUMBER(H1123)),NOT(ISNUMBER(I1123)),K1123="",L1123=""),"FAIL","PASS"))</x:f>
        <x:v>OPEN</x:v>
      </x:c>
    </x:row>
    <x:row r="1124">
      <x:c r="B1124" s="7" t="str">
        <x:v>TRO-B-23-S4-O1-R2</x:v>
      </x:c>
      <x:c r="C1124" s="7" t="str">
        <x:v>BLD-B</x:v>
      </x:c>
      <x:c r="D1124" s="7" t="str">
        <x:v>MF-23</x:v>
      </x:c>
      <x:c r="E1124" s="7" t="str">
        <x:v>STD-23-4</x:v>
      </x:c>
      <x:c r="F1124" s="7" t="str">
        <x:v>OP-1</x:v>
      </x:c>
      <x:c r="G1124" s="7" t="n">
        <x:v>2</x:v>
      </x:c>
      <x:c r="H1124" s="7" t="str"/>
      <x:c r="I1124" s="7" t="str"/>
      <x:c r="J1124" s="7" t="str">
        <x:f>IF(OR(H1124="",I1124=""),"",I1124-H1124)</x:f>
      </x:c>
      <x:c r="K1124" s="7" t="str"/>
      <x:c r="L1124" s="7" t="str"/>
      <x:c r="M1124" s="7" t="str"/>
      <x:c r="N1124" s="7" t="str">
        <x:f>IF(M1124="","OPEN",IF(OR(NOT(ISNUMBER(H1124)),NOT(ISNUMBER(I1124)),K1124="",L1124=""),"FAIL","PASS"))</x:f>
        <x:v>OPEN</x:v>
      </x:c>
    </x:row>
    <x:row r="1125">
      <x:c r="B1125" s="7" t="str">
        <x:v>TRO-B-23-S4-O2-R1</x:v>
      </x:c>
      <x:c r="C1125" s="7" t="str">
        <x:v>BLD-B</x:v>
      </x:c>
      <x:c r="D1125" s="7" t="str">
        <x:v>MF-23</x:v>
      </x:c>
      <x:c r="E1125" s="7" t="str">
        <x:v>STD-23-4</x:v>
      </x:c>
      <x:c r="F1125" s="7" t="str">
        <x:v>OP-2</x:v>
      </x:c>
      <x:c r="G1125" s="7" t="n">
        <x:v>1</x:v>
      </x:c>
      <x:c r="H1125" s="7" t="str"/>
      <x:c r="I1125" s="7" t="str"/>
      <x:c r="J1125" s="7" t="str">
        <x:f>IF(OR(H1125="",I1125=""),"",I1125-H1125)</x:f>
      </x:c>
      <x:c r="K1125" s="7" t="str"/>
      <x:c r="L1125" s="7" t="str"/>
      <x:c r="M1125" s="7" t="str"/>
      <x:c r="N1125" s="7" t="str">
        <x:f>IF(M1125="","OPEN",IF(OR(NOT(ISNUMBER(H1125)),NOT(ISNUMBER(I1125)),K1125="",L1125=""),"FAIL","PASS"))</x:f>
        <x:v>OPEN</x:v>
      </x:c>
    </x:row>
    <x:row r="1126">
      <x:c r="B1126" s="7" t="str">
        <x:v>TRO-B-23-S4-O2-R2</x:v>
      </x:c>
      <x:c r="C1126" s="7" t="str">
        <x:v>BLD-B</x:v>
      </x:c>
      <x:c r="D1126" s="7" t="str">
        <x:v>MF-23</x:v>
      </x:c>
      <x:c r="E1126" s="7" t="str">
        <x:v>STD-23-4</x:v>
      </x:c>
      <x:c r="F1126" s="7" t="str">
        <x:v>OP-2</x:v>
      </x:c>
      <x:c r="G1126" s="7" t="n">
        <x:v>2</x:v>
      </x:c>
      <x:c r="H1126" s="7" t="str"/>
      <x:c r="I1126" s="7" t="str"/>
      <x:c r="J1126" s="7" t="str">
        <x:f>IF(OR(H1126="",I1126=""),"",I1126-H1126)</x:f>
      </x:c>
      <x:c r="K1126" s="7" t="str"/>
      <x:c r="L1126" s="7" t="str"/>
      <x:c r="M1126" s="7" t="str"/>
      <x:c r="N1126" s="7" t="str">
        <x:f>IF(M1126="","OPEN",IF(OR(NOT(ISNUMBER(H1126)),NOT(ISNUMBER(I1126)),K1126="",L1126=""),"FAIL","PASS"))</x:f>
        <x:v>OPEN</x:v>
      </x:c>
    </x:row>
    <x:row r="1127">
      <x:c r="B1127" s="7" t="str">
        <x:v>TRO-B-23-S5-O1-R1</x:v>
      </x:c>
      <x:c r="C1127" s="7" t="str">
        <x:v>BLD-B</x:v>
      </x:c>
      <x:c r="D1127" s="7" t="str">
        <x:v>MF-23</x:v>
      </x:c>
      <x:c r="E1127" s="7" t="str">
        <x:v>STD-23-5</x:v>
      </x:c>
      <x:c r="F1127" s="7" t="str">
        <x:v>OP-1</x:v>
      </x:c>
      <x:c r="G1127" s="7" t="n">
        <x:v>1</x:v>
      </x:c>
      <x:c r="H1127" s="7" t="str"/>
      <x:c r="I1127" s="7" t="str"/>
      <x:c r="J1127" s="7" t="str">
        <x:f>IF(OR(H1127="",I1127=""),"",I1127-H1127)</x:f>
      </x:c>
      <x:c r="K1127" s="7" t="str"/>
      <x:c r="L1127" s="7" t="str"/>
      <x:c r="M1127" s="7" t="str"/>
      <x:c r="N1127" s="7" t="str">
        <x:f>IF(M1127="","OPEN",IF(OR(NOT(ISNUMBER(H1127)),NOT(ISNUMBER(I1127)),K1127="",L1127=""),"FAIL","PASS"))</x:f>
        <x:v>OPEN</x:v>
      </x:c>
    </x:row>
    <x:row r="1128">
      <x:c r="B1128" s="7" t="str">
        <x:v>TRO-B-23-S5-O1-R2</x:v>
      </x:c>
      <x:c r="C1128" s="7" t="str">
        <x:v>BLD-B</x:v>
      </x:c>
      <x:c r="D1128" s="7" t="str">
        <x:v>MF-23</x:v>
      </x:c>
      <x:c r="E1128" s="7" t="str">
        <x:v>STD-23-5</x:v>
      </x:c>
      <x:c r="F1128" s="7" t="str">
        <x:v>OP-1</x:v>
      </x:c>
      <x:c r="G1128" s="7" t="n">
        <x:v>2</x:v>
      </x:c>
      <x:c r="H1128" s="7" t="str"/>
      <x:c r="I1128" s="7" t="str"/>
      <x:c r="J1128" s="7" t="str">
        <x:f>IF(OR(H1128="",I1128=""),"",I1128-H1128)</x:f>
      </x:c>
      <x:c r="K1128" s="7" t="str"/>
      <x:c r="L1128" s="7" t="str"/>
      <x:c r="M1128" s="7" t="str"/>
      <x:c r="N1128" s="7" t="str">
        <x:f>IF(M1128="","OPEN",IF(OR(NOT(ISNUMBER(H1128)),NOT(ISNUMBER(I1128)),K1128="",L1128=""),"FAIL","PASS"))</x:f>
        <x:v>OPEN</x:v>
      </x:c>
    </x:row>
    <x:row r="1129">
      <x:c r="B1129" s="7" t="str">
        <x:v>TRO-B-23-S5-O2-R1</x:v>
      </x:c>
      <x:c r="C1129" s="7" t="str">
        <x:v>BLD-B</x:v>
      </x:c>
      <x:c r="D1129" s="7" t="str">
        <x:v>MF-23</x:v>
      </x:c>
      <x:c r="E1129" s="7" t="str">
        <x:v>STD-23-5</x:v>
      </x:c>
      <x:c r="F1129" s="7" t="str">
        <x:v>OP-2</x:v>
      </x:c>
      <x:c r="G1129" s="7" t="n">
        <x:v>1</x:v>
      </x:c>
      <x:c r="H1129" s="7" t="str"/>
      <x:c r="I1129" s="7" t="str"/>
      <x:c r="J1129" s="7" t="str">
        <x:f>IF(OR(H1129="",I1129=""),"",I1129-H1129)</x:f>
      </x:c>
      <x:c r="K1129" s="7" t="str"/>
      <x:c r="L1129" s="7" t="str"/>
      <x:c r="M1129" s="7" t="str"/>
      <x:c r="N1129" s="7" t="str">
        <x:f>IF(M1129="","OPEN",IF(OR(NOT(ISNUMBER(H1129)),NOT(ISNUMBER(I1129)),K1129="",L1129=""),"FAIL","PASS"))</x:f>
        <x:v>OPEN</x:v>
      </x:c>
    </x:row>
    <x:row r="1130">
      <x:c r="B1130" s="7" t="str">
        <x:v>TRO-B-23-S5-O2-R2</x:v>
      </x:c>
      <x:c r="C1130" s="7" t="str">
        <x:v>BLD-B</x:v>
      </x:c>
      <x:c r="D1130" s="7" t="str">
        <x:v>MF-23</x:v>
      </x:c>
      <x:c r="E1130" s="7" t="str">
        <x:v>STD-23-5</x:v>
      </x:c>
      <x:c r="F1130" s="7" t="str">
        <x:v>OP-2</x:v>
      </x:c>
      <x:c r="G1130" s="7" t="n">
        <x:v>2</x:v>
      </x:c>
      <x:c r="H1130" s="7" t="str"/>
      <x:c r="I1130" s="7" t="str"/>
      <x:c r="J1130" s="7" t="str">
        <x:f>IF(OR(H1130="",I1130=""),"",I1130-H1130)</x:f>
      </x:c>
      <x:c r="K1130" s="7" t="str"/>
      <x:c r="L1130" s="7" t="str"/>
      <x:c r="M1130" s="7" t="str"/>
      <x:c r="N1130" s="7" t="str">
        <x:f>IF(M1130="","OPEN",IF(OR(NOT(ISNUMBER(H1130)),NOT(ISNUMBER(I1130)),K1130="",L1130=""),"FAIL","PASS"))</x:f>
        <x:v>OPEN</x:v>
      </x:c>
    </x:row>
    <x:row r="1131">
      <x:c r="B1131" s="7" t="str">
        <x:v>TRO-B-23-S6-O1-R1</x:v>
      </x:c>
      <x:c r="C1131" s="7" t="str">
        <x:v>BLD-B</x:v>
      </x:c>
      <x:c r="D1131" s="7" t="str">
        <x:v>MF-23</x:v>
      </x:c>
      <x:c r="E1131" s="7" t="str">
        <x:v>STD-23-6</x:v>
      </x:c>
      <x:c r="F1131" s="7" t="str">
        <x:v>OP-1</x:v>
      </x:c>
      <x:c r="G1131" s="7" t="n">
        <x:v>1</x:v>
      </x:c>
      <x:c r="H1131" s="7" t="str"/>
      <x:c r="I1131" s="7" t="str"/>
      <x:c r="J1131" s="7" t="str">
        <x:f>IF(OR(H1131="",I1131=""),"",I1131-H1131)</x:f>
      </x:c>
      <x:c r="K1131" s="7" t="str"/>
      <x:c r="L1131" s="7" t="str"/>
      <x:c r="M1131" s="7" t="str"/>
      <x:c r="N1131" s="7" t="str">
        <x:f>IF(M1131="","OPEN",IF(OR(NOT(ISNUMBER(H1131)),NOT(ISNUMBER(I1131)),K1131="",L1131=""),"FAIL","PASS"))</x:f>
        <x:v>OPEN</x:v>
      </x:c>
    </x:row>
    <x:row r="1132">
      <x:c r="B1132" s="7" t="str">
        <x:v>TRO-B-23-S6-O1-R2</x:v>
      </x:c>
      <x:c r="C1132" s="7" t="str">
        <x:v>BLD-B</x:v>
      </x:c>
      <x:c r="D1132" s="7" t="str">
        <x:v>MF-23</x:v>
      </x:c>
      <x:c r="E1132" s="7" t="str">
        <x:v>STD-23-6</x:v>
      </x:c>
      <x:c r="F1132" s="7" t="str">
        <x:v>OP-1</x:v>
      </x:c>
      <x:c r="G1132" s="7" t="n">
        <x:v>2</x:v>
      </x:c>
      <x:c r="H1132" s="7" t="str"/>
      <x:c r="I1132" s="7" t="str"/>
      <x:c r="J1132" s="7" t="str">
        <x:f>IF(OR(H1132="",I1132=""),"",I1132-H1132)</x:f>
      </x:c>
      <x:c r="K1132" s="7" t="str"/>
      <x:c r="L1132" s="7" t="str"/>
      <x:c r="M1132" s="7" t="str"/>
      <x:c r="N1132" s="7" t="str">
        <x:f>IF(M1132="","OPEN",IF(OR(NOT(ISNUMBER(H1132)),NOT(ISNUMBER(I1132)),K1132="",L1132=""),"FAIL","PASS"))</x:f>
        <x:v>OPEN</x:v>
      </x:c>
    </x:row>
    <x:row r="1133">
      <x:c r="B1133" s="7" t="str">
        <x:v>TRO-B-23-S6-O2-R1</x:v>
      </x:c>
      <x:c r="C1133" s="7" t="str">
        <x:v>BLD-B</x:v>
      </x:c>
      <x:c r="D1133" s="7" t="str">
        <x:v>MF-23</x:v>
      </x:c>
      <x:c r="E1133" s="7" t="str">
        <x:v>STD-23-6</x:v>
      </x:c>
      <x:c r="F1133" s="7" t="str">
        <x:v>OP-2</x:v>
      </x:c>
      <x:c r="G1133" s="7" t="n">
        <x:v>1</x:v>
      </x:c>
      <x:c r="H1133" s="7" t="str"/>
      <x:c r="I1133" s="7" t="str"/>
      <x:c r="J1133" s="7" t="str">
        <x:f>IF(OR(H1133="",I1133=""),"",I1133-H1133)</x:f>
      </x:c>
      <x:c r="K1133" s="7" t="str"/>
      <x:c r="L1133" s="7" t="str"/>
      <x:c r="M1133" s="7" t="str"/>
      <x:c r="N1133" s="7" t="str">
        <x:f>IF(M1133="","OPEN",IF(OR(NOT(ISNUMBER(H1133)),NOT(ISNUMBER(I1133)),K1133="",L1133=""),"FAIL","PASS"))</x:f>
        <x:v>OPEN</x:v>
      </x:c>
    </x:row>
    <x:row r="1134">
      <x:c r="B1134" s="7" t="str">
        <x:v>TRO-B-23-S6-O2-R2</x:v>
      </x:c>
      <x:c r="C1134" s="7" t="str">
        <x:v>BLD-B</x:v>
      </x:c>
      <x:c r="D1134" s="7" t="str">
        <x:v>MF-23</x:v>
      </x:c>
      <x:c r="E1134" s="7" t="str">
        <x:v>STD-23-6</x:v>
      </x:c>
      <x:c r="F1134" s="7" t="str">
        <x:v>OP-2</x:v>
      </x:c>
      <x:c r="G1134" s="7" t="n">
        <x:v>2</x:v>
      </x:c>
      <x:c r="H1134" s="7" t="str"/>
      <x:c r="I1134" s="7" t="str"/>
      <x:c r="J1134" s="7" t="str">
        <x:f>IF(OR(H1134="",I1134=""),"",I1134-H1134)</x:f>
      </x:c>
      <x:c r="K1134" s="7" t="str"/>
      <x:c r="L1134" s="7" t="str"/>
      <x:c r="M1134" s="7" t="str"/>
      <x:c r="N1134" s="7" t="str">
        <x:f>IF(M1134="","OPEN",IF(OR(NOT(ISNUMBER(H1134)),NOT(ISNUMBER(I1134)),K1134="",L1134=""),"FAIL","PASS"))</x:f>
        <x:v>OPEN</x:v>
      </x:c>
    </x:row>
    <x:row r="1135">
      <x:c r="B1135" s="7" t="str">
        <x:v>TRO-B-24-S1-O1-R1</x:v>
      </x:c>
      <x:c r="C1135" s="7" t="str">
        <x:v>BLD-B</x:v>
      </x:c>
      <x:c r="D1135" s="7" t="str">
        <x:v>MF-24</x:v>
      </x:c>
      <x:c r="E1135" s="7" t="str">
        <x:v>STD-24-1</x:v>
      </x:c>
      <x:c r="F1135" s="7" t="str">
        <x:v>OP-1</x:v>
      </x:c>
      <x:c r="G1135" s="7" t="n">
        <x:v>1</x:v>
      </x:c>
      <x:c r="H1135" s="7" t="str"/>
      <x:c r="I1135" s="7" t="str"/>
      <x:c r="J1135" s="7" t="str">
        <x:f>IF(OR(H1135="",I1135=""),"",I1135-H1135)</x:f>
      </x:c>
      <x:c r="K1135" s="7" t="str"/>
      <x:c r="L1135" s="7" t="str"/>
      <x:c r="M1135" s="7" t="str"/>
      <x:c r="N1135" s="7" t="str">
        <x:f>IF(M1135="","OPEN",IF(OR(NOT(ISNUMBER(H1135)),NOT(ISNUMBER(I1135)),K1135="",L1135=""),"FAIL","PASS"))</x:f>
        <x:v>OPEN</x:v>
      </x:c>
    </x:row>
    <x:row r="1136">
      <x:c r="B1136" s="7" t="str">
        <x:v>TRO-B-24-S1-O1-R2</x:v>
      </x:c>
      <x:c r="C1136" s="7" t="str">
        <x:v>BLD-B</x:v>
      </x:c>
      <x:c r="D1136" s="7" t="str">
        <x:v>MF-24</x:v>
      </x:c>
      <x:c r="E1136" s="7" t="str">
        <x:v>STD-24-1</x:v>
      </x:c>
      <x:c r="F1136" s="7" t="str">
        <x:v>OP-1</x:v>
      </x:c>
      <x:c r="G1136" s="7" t="n">
        <x:v>2</x:v>
      </x:c>
      <x:c r="H1136" s="7" t="str"/>
      <x:c r="I1136" s="7" t="str"/>
      <x:c r="J1136" s="7" t="str">
        <x:f>IF(OR(H1136="",I1136=""),"",I1136-H1136)</x:f>
      </x:c>
      <x:c r="K1136" s="7" t="str"/>
      <x:c r="L1136" s="7" t="str"/>
      <x:c r="M1136" s="7" t="str"/>
      <x:c r="N1136" s="7" t="str">
        <x:f>IF(M1136="","OPEN",IF(OR(NOT(ISNUMBER(H1136)),NOT(ISNUMBER(I1136)),K1136="",L1136=""),"FAIL","PASS"))</x:f>
        <x:v>OPEN</x:v>
      </x:c>
    </x:row>
    <x:row r="1137">
      <x:c r="B1137" s="7" t="str">
        <x:v>TRO-B-24-S1-O2-R1</x:v>
      </x:c>
      <x:c r="C1137" s="7" t="str">
        <x:v>BLD-B</x:v>
      </x:c>
      <x:c r="D1137" s="7" t="str">
        <x:v>MF-24</x:v>
      </x:c>
      <x:c r="E1137" s="7" t="str">
        <x:v>STD-24-1</x:v>
      </x:c>
      <x:c r="F1137" s="7" t="str">
        <x:v>OP-2</x:v>
      </x:c>
      <x:c r="G1137" s="7" t="n">
        <x:v>1</x:v>
      </x:c>
      <x:c r="H1137" s="7" t="str"/>
      <x:c r="I1137" s="7" t="str"/>
      <x:c r="J1137" s="7" t="str">
        <x:f>IF(OR(H1137="",I1137=""),"",I1137-H1137)</x:f>
      </x:c>
      <x:c r="K1137" s="7" t="str"/>
      <x:c r="L1137" s="7" t="str"/>
      <x:c r="M1137" s="7" t="str"/>
      <x:c r="N1137" s="7" t="str">
        <x:f>IF(M1137="","OPEN",IF(OR(NOT(ISNUMBER(H1137)),NOT(ISNUMBER(I1137)),K1137="",L1137=""),"FAIL","PASS"))</x:f>
        <x:v>OPEN</x:v>
      </x:c>
    </x:row>
    <x:row r="1138">
      <x:c r="B1138" s="7" t="str">
        <x:v>TRO-B-24-S1-O2-R2</x:v>
      </x:c>
      <x:c r="C1138" s="7" t="str">
        <x:v>BLD-B</x:v>
      </x:c>
      <x:c r="D1138" s="7" t="str">
        <x:v>MF-24</x:v>
      </x:c>
      <x:c r="E1138" s="7" t="str">
        <x:v>STD-24-1</x:v>
      </x:c>
      <x:c r="F1138" s="7" t="str">
        <x:v>OP-2</x:v>
      </x:c>
      <x:c r="G1138" s="7" t="n">
        <x:v>2</x:v>
      </x:c>
      <x:c r="H1138" s="7" t="str"/>
      <x:c r="I1138" s="7" t="str"/>
      <x:c r="J1138" s="7" t="str">
        <x:f>IF(OR(H1138="",I1138=""),"",I1138-H1138)</x:f>
      </x:c>
      <x:c r="K1138" s="7" t="str"/>
      <x:c r="L1138" s="7" t="str"/>
      <x:c r="M1138" s="7" t="str"/>
      <x:c r="N1138" s="7" t="str">
        <x:f>IF(M1138="","OPEN",IF(OR(NOT(ISNUMBER(H1138)),NOT(ISNUMBER(I1138)),K1138="",L1138=""),"FAIL","PASS"))</x:f>
        <x:v>OPEN</x:v>
      </x:c>
    </x:row>
    <x:row r="1139">
      <x:c r="B1139" s="7" t="str">
        <x:v>TRO-B-24-S2-O1-R1</x:v>
      </x:c>
      <x:c r="C1139" s="7" t="str">
        <x:v>BLD-B</x:v>
      </x:c>
      <x:c r="D1139" s="7" t="str">
        <x:v>MF-24</x:v>
      </x:c>
      <x:c r="E1139" s="7" t="str">
        <x:v>STD-24-2</x:v>
      </x:c>
      <x:c r="F1139" s="7" t="str">
        <x:v>OP-1</x:v>
      </x:c>
      <x:c r="G1139" s="7" t="n">
        <x:v>1</x:v>
      </x:c>
      <x:c r="H1139" s="7" t="str"/>
      <x:c r="I1139" s="7" t="str"/>
      <x:c r="J1139" s="7" t="str">
        <x:f>IF(OR(H1139="",I1139=""),"",I1139-H1139)</x:f>
      </x:c>
      <x:c r="K1139" s="7" t="str"/>
      <x:c r="L1139" s="7" t="str"/>
      <x:c r="M1139" s="7" t="str"/>
      <x:c r="N1139" s="7" t="str">
        <x:f>IF(M1139="","OPEN",IF(OR(NOT(ISNUMBER(H1139)),NOT(ISNUMBER(I1139)),K1139="",L1139=""),"FAIL","PASS"))</x:f>
        <x:v>OPEN</x:v>
      </x:c>
    </x:row>
    <x:row r="1140">
      <x:c r="B1140" s="7" t="str">
        <x:v>TRO-B-24-S2-O1-R2</x:v>
      </x:c>
      <x:c r="C1140" s="7" t="str">
        <x:v>BLD-B</x:v>
      </x:c>
      <x:c r="D1140" s="7" t="str">
        <x:v>MF-24</x:v>
      </x:c>
      <x:c r="E1140" s="7" t="str">
        <x:v>STD-24-2</x:v>
      </x:c>
      <x:c r="F1140" s="7" t="str">
        <x:v>OP-1</x:v>
      </x:c>
      <x:c r="G1140" s="7" t="n">
        <x:v>2</x:v>
      </x:c>
      <x:c r="H1140" s="7" t="str"/>
      <x:c r="I1140" s="7" t="str"/>
      <x:c r="J1140" s="7" t="str">
        <x:f>IF(OR(H1140="",I1140=""),"",I1140-H1140)</x:f>
      </x:c>
      <x:c r="K1140" s="7" t="str"/>
      <x:c r="L1140" s="7" t="str"/>
      <x:c r="M1140" s="7" t="str"/>
      <x:c r="N1140" s="7" t="str">
        <x:f>IF(M1140="","OPEN",IF(OR(NOT(ISNUMBER(H1140)),NOT(ISNUMBER(I1140)),K1140="",L1140=""),"FAIL","PASS"))</x:f>
        <x:v>OPEN</x:v>
      </x:c>
    </x:row>
    <x:row r="1141">
      <x:c r="B1141" s="7" t="str">
        <x:v>TRO-B-24-S2-O2-R1</x:v>
      </x:c>
      <x:c r="C1141" s="7" t="str">
        <x:v>BLD-B</x:v>
      </x:c>
      <x:c r="D1141" s="7" t="str">
        <x:v>MF-24</x:v>
      </x:c>
      <x:c r="E1141" s="7" t="str">
        <x:v>STD-24-2</x:v>
      </x:c>
      <x:c r="F1141" s="7" t="str">
        <x:v>OP-2</x:v>
      </x:c>
      <x:c r="G1141" s="7" t="n">
        <x:v>1</x:v>
      </x:c>
      <x:c r="H1141" s="7" t="str"/>
      <x:c r="I1141" s="7" t="str"/>
      <x:c r="J1141" s="7" t="str">
        <x:f>IF(OR(H1141="",I1141=""),"",I1141-H1141)</x:f>
      </x:c>
      <x:c r="K1141" s="7" t="str"/>
      <x:c r="L1141" s="7" t="str"/>
      <x:c r="M1141" s="7" t="str"/>
      <x:c r="N1141" s="7" t="str">
        <x:f>IF(M1141="","OPEN",IF(OR(NOT(ISNUMBER(H1141)),NOT(ISNUMBER(I1141)),K1141="",L1141=""),"FAIL","PASS"))</x:f>
        <x:v>OPEN</x:v>
      </x:c>
    </x:row>
    <x:row r="1142">
      <x:c r="B1142" s="7" t="str">
        <x:v>TRO-B-24-S2-O2-R2</x:v>
      </x:c>
      <x:c r="C1142" s="7" t="str">
        <x:v>BLD-B</x:v>
      </x:c>
      <x:c r="D1142" s="7" t="str">
        <x:v>MF-24</x:v>
      </x:c>
      <x:c r="E1142" s="7" t="str">
        <x:v>STD-24-2</x:v>
      </x:c>
      <x:c r="F1142" s="7" t="str">
        <x:v>OP-2</x:v>
      </x:c>
      <x:c r="G1142" s="7" t="n">
        <x:v>2</x:v>
      </x:c>
      <x:c r="H1142" s="7" t="str"/>
      <x:c r="I1142" s="7" t="str"/>
      <x:c r="J1142" s="7" t="str">
        <x:f>IF(OR(H1142="",I1142=""),"",I1142-H1142)</x:f>
      </x:c>
      <x:c r="K1142" s="7" t="str"/>
      <x:c r="L1142" s="7" t="str"/>
      <x:c r="M1142" s="7" t="str"/>
      <x:c r="N1142" s="7" t="str">
        <x:f>IF(M1142="","OPEN",IF(OR(NOT(ISNUMBER(H1142)),NOT(ISNUMBER(I1142)),K1142="",L1142=""),"FAIL","PASS"))</x:f>
        <x:v>OPEN</x:v>
      </x:c>
    </x:row>
    <x:row r="1143">
      <x:c r="B1143" s="7" t="str">
        <x:v>TRO-B-24-S3-O1-R1</x:v>
      </x:c>
      <x:c r="C1143" s="7" t="str">
        <x:v>BLD-B</x:v>
      </x:c>
      <x:c r="D1143" s="7" t="str">
        <x:v>MF-24</x:v>
      </x:c>
      <x:c r="E1143" s="7" t="str">
        <x:v>STD-24-3</x:v>
      </x:c>
      <x:c r="F1143" s="7" t="str">
        <x:v>OP-1</x:v>
      </x:c>
      <x:c r="G1143" s="7" t="n">
        <x:v>1</x:v>
      </x:c>
      <x:c r="H1143" s="7" t="str"/>
      <x:c r="I1143" s="7" t="str"/>
      <x:c r="J1143" s="7" t="str">
        <x:f>IF(OR(H1143="",I1143=""),"",I1143-H1143)</x:f>
      </x:c>
      <x:c r="K1143" s="7" t="str"/>
      <x:c r="L1143" s="7" t="str"/>
      <x:c r="M1143" s="7" t="str"/>
      <x:c r="N1143" s="7" t="str">
        <x:f>IF(M1143="","OPEN",IF(OR(NOT(ISNUMBER(H1143)),NOT(ISNUMBER(I1143)),K1143="",L1143=""),"FAIL","PASS"))</x:f>
        <x:v>OPEN</x:v>
      </x:c>
    </x:row>
    <x:row r="1144">
      <x:c r="B1144" s="7" t="str">
        <x:v>TRO-B-24-S3-O1-R2</x:v>
      </x:c>
      <x:c r="C1144" s="7" t="str">
        <x:v>BLD-B</x:v>
      </x:c>
      <x:c r="D1144" s="7" t="str">
        <x:v>MF-24</x:v>
      </x:c>
      <x:c r="E1144" s="7" t="str">
        <x:v>STD-24-3</x:v>
      </x:c>
      <x:c r="F1144" s="7" t="str">
        <x:v>OP-1</x:v>
      </x:c>
      <x:c r="G1144" s="7" t="n">
        <x:v>2</x:v>
      </x:c>
      <x:c r="H1144" s="7" t="str"/>
      <x:c r="I1144" s="7" t="str"/>
      <x:c r="J1144" s="7" t="str">
        <x:f>IF(OR(H1144="",I1144=""),"",I1144-H1144)</x:f>
      </x:c>
      <x:c r="K1144" s="7" t="str"/>
      <x:c r="L1144" s="7" t="str"/>
      <x:c r="M1144" s="7" t="str"/>
      <x:c r="N1144" s="7" t="str">
        <x:f>IF(M1144="","OPEN",IF(OR(NOT(ISNUMBER(H1144)),NOT(ISNUMBER(I1144)),K1144="",L1144=""),"FAIL","PASS"))</x:f>
        <x:v>OPEN</x:v>
      </x:c>
    </x:row>
    <x:row r="1145">
      <x:c r="B1145" s="7" t="str">
        <x:v>TRO-B-24-S3-O2-R1</x:v>
      </x:c>
      <x:c r="C1145" s="7" t="str">
        <x:v>BLD-B</x:v>
      </x:c>
      <x:c r="D1145" s="7" t="str">
        <x:v>MF-24</x:v>
      </x:c>
      <x:c r="E1145" s="7" t="str">
        <x:v>STD-24-3</x:v>
      </x:c>
      <x:c r="F1145" s="7" t="str">
        <x:v>OP-2</x:v>
      </x:c>
      <x:c r="G1145" s="7" t="n">
        <x:v>1</x:v>
      </x:c>
      <x:c r="H1145" s="7" t="str"/>
      <x:c r="I1145" s="7" t="str"/>
      <x:c r="J1145" s="7" t="str">
        <x:f>IF(OR(H1145="",I1145=""),"",I1145-H1145)</x:f>
      </x:c>
      <x:c r="K1145" s="7" t="str"/>
      <x:c r="L1145" s="7" t="str"/>
      <x:c r="M1145" s="7" t="str"/>
      <x:c r="N1145" s="7" t="str">
        <x:f>IF(M1145="","OPEN",IF(OR(NOT(ISNUMBER(H1145)),NOT(ISNUMBER(I1145)),K1145="",L1145=""),"FAIL","PASS"))</x:f>
        <x:v>OPEN</x:v>
      </x:c>
    </x:row>
    <x:row r="1146">
      <x:c r="B1146" s="7" t="str">
        <x:v>TRO-B-24-S3-O2-R2</x:v>
      </x:c>
      <x:c r="C1146" s="7" t="str">
        <x:v>BLD-B</x:v>
      </x:c>
      <x:c r="D1146" s="7" t="str">
        <x:v>MF-24</x:v>
      </x:c>
      <x:c r="E1146" s="7" t="str">
        <x:v>STD-24-3</x:v>
      </x:c>
      <x:c r="F1146" s="7" t="str">
        <x:v>OP-2</x:v>
      </x:c>
      <x:c r="G1146" s="7" t="n">
        <x:v>2</x:v>
      </x:c>
      <x:c r="H1146" s="7" t="str"/>
      <x:c r="I1146" s="7" t="str"/>
      <x:c r="J1146" s="7" t="str">
        <x:f>IF(OR(H1146="",I1146=""),"",I1146-H1146)</x:f>
      </x:c>
      <x:c r="K1146" s="7" t="str"/>
      <x:c r="L1146" s="7" t="str"/>
      <x:c r="M1146" s="7" t="str"/>
      <x:c r="N1146" s="7" t="str">
        <x:f>IF(M1146="","OPEN",IF(OR(NOT(ISNUMBER(H1146)),NOT(ISNUMBER(I1146)),K1146="",L1146=""),"FAIL","PASS"))</x:f>
        <x:v>OPEN</x:v>
      </x:c>
    </x:row>
    <x:row r="1147">
      <x:c r="B1147" s="7" t="str">
        <x:v>TRO-B-24-S4-O1-R1</x:v>
      </x:c>
      <x:c r="C1147" s="7" t="str">
        <x:v>BLD-B</x:v>
      </x:c>
      <x:c r="D1147" s="7" t="str">
        <x:v>MF-24</x:v>
      </x:c>
      <x:c r="E1147" s="7" t="str">
        <x:v>STD-24-4</x:v>
      </x:c>
      <x:c r="F1147" s="7" t="str">
        <x:v>OP-1</x:v>
      </x:c>
      <x:c r="G1147" s="7" t="n">
        <x:v>1</x:v>
      </x:c>
      <x:c r="H1147" s="7" t="str"/>
      <x:c r="I1147" s="7" t="str"/>
      <x:c r="J1147" s="7" t="str">
        <x:f>IF(OR(H1147="",I1147=""),"",I1147-H1147)</x:f>
      </x:c>
      <x:c r="K1147" s="7" t="str"/>
      <x:c r="L1147" s="7" t="str"/>
      <x:c r="M1147" s="7" t="str"/>
      <x:c r="N1147" s="7" t="str">
        <x:f>IF(M1147="","OPEN",IF(OR(NOT(ISNUMBER(H1147)),NOT(ISNUMBER(I1147)),K1147="",L1147=""),"FAIL","PASS"))</x:f>
        <x:v>OPEN</x:v>
      </x:c>
    </x:row>
    <x:row r="1148">
      <x:c r="B1148" s="7" t="str">
        <x:v>TRO-B-24-S4-O1-R2</x:v>
      </x:c>
      <x:c r="C1148" s="7" t="str">
        <x:v>BLD-B</x:v>
      </x:c>
      <x:c r="D1148" s="7" t="str">
        <x:v>MF-24</x:v>
      </x:c>
      <x:c r="E1148" s="7" t="str">
        <x:v>STD-24-4</x:v>
      </x:c>
      <x:c r="F1148" s="7" t="str">
        <x:v>OP-1</x:v>
      </x:c>
      <x:c r="G1148" s="7" t="n">
        <x:v>2</x:v>
      </x:c>
      <x:c r="H1148" s="7" t="str"/>
      <x:c r="I1148" s="7" t="str"/>
      <x:c r="J1148" s="7" t="str">
        <x:f>IF(OR(H1148="",I1148=""),"",I1148-H1148)</x:f>
      </x:c>
      <x:c r="K1148" s="7" t="str"/>
      <x:c r="L1148" s="7" t="str"/>
      <x:c r="M1148" s="7" t="str"/>
      <x:c r="N1148" s="7" t="str">
        <x:f>IF(M1148="","OPEN",IF(OR(NOT(ISNUMBER(H1148)),NOT(ISNUMBER(I1148)),K1148="",L1148=""),"FAIL","PASS"))</x:f>
        <x:v>OPEN</x:v>
      </x:c>
    </x:row>
    <x:row r="1149">
      <x:c r="B1149" s="7" t="str">
        <x:v>TRO-B-24-S4-O2-R1</x:v>
      </x:c>
      <x:c r="C1149" s="7" t="str">
        <x:v>BLD-B</x:v>
      </x:c>
      <x:c r="D1149" s="7" t="str">
        <x:v>MF-24</x:v>
      </x:c>
      <x:c r="E1149" s="7" t="str">
        <x:v>STD-24-4</x:v>
      </x:c>
      <x:c r="F1149" s="7" t="str">
        <x:v>OP-2</x:v>
      </x:c>
      <x:c r="G1149" s="7" t="n">
        <x:v>1</x:v>
      </x:c>
      <x:c r="H1149" s="7" t="str"/>
      <x:c r="I1149" s="7" t="str"/>
      <x:c r="J1149" s="7" t="str">
        <x:f>IF(OR(H1149="",I1149=""),"",I1149-H1149)</x:f>
      </x:c>
      <x:c r="K1149" s="7" t="str"/>
      <x:c r="L1149" s="7" t="str"/>
      <x:c r="M1149" s="7" t="str"/>
      <x:c r="N1149" s="7" t="str">
        <x:f>IF(M1149="","OPEN",IF(OR(NOT(ISNUMBER(H1149)),NOT(ISNUMBER(I1149)),K1149="",L1149=""),"FAIL","PASS"))</x:f>
        <x:v>OPEN</x:v>
      </x:c>
    </x:row>
    <x:row r="1150">
      <x:c r="B1150" s="7" t="str">
        <x:v>TRO-B-24-S4-O2-R2</x:v>
      </x:c>
      <x:c r="C1150" s="7" t="str">
        <x:v>BLD-B</x:v>
      </x:c>
      <x:c r="D1150" s="7" t="str">
        <x:v>MF-24</x:v>
      </x:c>
      <x:c r="E1150" s="7" t="str">
        <x:v>STD-24-4</x:v>
      </x:c>
      <x:c r="F1150" s="7" t="str">
        <x:v>OP-2</x:v>
      </x:c>
      <x:c r="G1150" s="7" t="n">
        <x:v>2</x:v>
      </x:c>
      <x:c r="H1150" s="7" t="str"/>
      <x:c r="I1150" s="7" t="str"/>
      <x:c r="J1150" s="7" t="str">
        <x:f>IF(OR(H1150="",I1150=""),"",I1150-H1150)</x:f>
      </x:c>
      <x:c r="K1150" s="7" t="str"/>
      <x:c r="L1150" s="7" t="str"/>
      <x:c r="M1150" s="7" t="str"/>
      <x:c r="N1150" s="7" t="str">
        <x:f>IF(M1150="","OPEN",IF(OR(NOT(ISNUMBER(H1150)),NOT(ISNUMBER(I1150)),K1150="",L1150=""),"FAIL","PASS"))</x:f>
        <x:v>OPEN</x:v>
      </x:c>
    </x:row>
    <x:row r="1151">
      <x:c r="B1151" s="7" t="str">
        <x:v>TRO-B-24-S5-O1-R1</x:v>
      </x:c>
      <x:c r="C1151" s="7" t="str">
        <x:v>BLD-B</x:v>
      </x:c>
      <x:c r="D1151" s="7" t="str">
        <x:v>MF-24</x:v>
      </x:c>
      <x:c r="E1151" s="7" t="str">
        <x:v>STD-24-5</x:v>
      </x:c>
      <x:c r="F1151" s="7" t="str">
        <x:v>OP-1</x:v>
      </x:c>
      <x:c r="G1151" s="7" t="n">
        <x:v>1</x:v>
      </x:c>
      <x:c r="H1151" s="7" t="str"/>
      <x:c r="I1151" s="7" t="str"/>
      <x:c r="J1151" s="7" t="str">
        <x:f>IF(OR(H1151="",I1151=""),"",I1151-H1151)</x:f>
      </x:c>
      <x:c r="K1151" s="7" t="str"/>
      <x:c r="L1151" s="7" t="str"/>
      <x:c r="M1151" s="7" t="str"/>
      <x:c r="N1151" s="7" t="str">
        <x:f>IF(M1151="","OPEN",IF(OR(NOT(ISNUMBER(H1151)),NOT(ISNUMBER(I1151)),K1151="",L1151=""),"FAIL","PASS"))</x:f>
        <x:v>OPEN</x:v>
      </x:c>
    </x:row>
    <x:row r="1152">
      <x:c r="B1152" s="7" t="str">
        <x:v>TRO-B-24-S5-O1-R2</x:v>
      </x:c>
      <x:c r="C1152" s="7" t="str">
        <x:v>BLD-B</x:v>
      </x:c>
      <x:c r="D1152" s="7" t="str">
        <x:v>MF-24</x:v>
      </x:c>
      <x:c r="E1152" s="7" t="str">
        <x:v>STD-24-5</x:v>
      </x:c>
      <x:c r="F1152" s="7" t="str">
        <x:v>OP-1</x:v>
      </x:c>
      <x:c r="G1152" s="7" t="n">
        <x:v>2</x:v>
      </x:c>
      <x:c r="H1152" s="7" t="str"/>
      <x:c r="I1152" s="7" t="str"/>
      <x:c r="J1152" s="7" t="str">
        <x:f>IF(OR(H1152="",I1152=""),"",I1152-H1152)</x:f>
      </x:c>
      <x:c r="K1152" s="7" t="str"/>
      <x:c r="L1152" s="7" t="str"/>
      <x:c r="M1152" s="7" t="str"/>
      <x:c r="N1152" s="7" t="str">
        <x:f>IF(M1152="","OPEN",IF(OR(NOT(ISNUMBER(H1152)),NOT(ISNUMBER(I1152)),K1152="",L1152=""),"FAIL","PASS"))</x:f>
        <x:v>OPEN</x:v>
      </x:c>
    </x:row>
    <x:row r="1153">
      <x:c r="B1153" s="7" t="str">
        <x:v>TRO-B-24-S5-O2-R1</x:v>
      </x:c>
      <x:c r="C1153" s="7" t="str">
        <x:v>BLD-B</x:v>
      </x:c>
      <x:c r="D1153" s="7" t="str">
        <x:v>MF-24</x:v>
      </x:c>
      <x:c r="E1153" s="7" t="str">
        <x:v>STD-24-5</x:v>
      </x:c>
      <x:c r="F1153" s="7" t="str">
        <x:v>OP-2</x:v>
      </x:c>
      <x:c r="G1153" s="7" t="n">
        <x:v>1</x:v>
      </x:c>
      <x:c r="H1153" s="7" t="str"/>
      <x:c r="I1153" s="7" t="str"/>
      <x:c r="J1153" s="7" t="str">
        <x:f>IF(OR(H1153="",I1153=""),"",I1153-H1153)</x:f>
      </x:c>
      <x:c r="K1153" s="7" t="str"/>
      <x:c r="L1153" s="7" t="str"/>
      <x:c r="M1153" s="7" t="str"/>
      <x:c r="N1153" s="7" t="str">
        <x:f>IF(M1153="","OPEN",IF(OR(NOT(ISNUMBER(H1153)),NOT(ISNUMBER(I1153)),K1153="",L1153=""),"FAIL","PASS"))</x:f>
        <x:v>OPEN</x:v>
      </x:c>
    </x:row>
    <x:row r="1154">
      <x:c r="B1154" s="7" t="str">
        <x:v>TRO-B-24-S5-O2-R2</x:v>
      </x:c>
      <x:c r="C1154" s="7" t="str">
        <x:v>BLD-B</x:v>
      </x:c>
      <x:c r="D1154" s="7" t="str">
        <x:v>MF-24</x:v>
      </x:c>
      <x:c r="E1154" s="7" t="str">
        <x:v>STD-24-5</x:v>
      </x:c>
      <x:c r="F1154" s="7" t="str">
        <x:v>OP-2</x:v>
      </x:c>
      <x:c r="G1154" s="7" t="n">
        <x:v>2</x:v>
      </x:c>
      <x:c r="H1154" s="7" t="str"/>
      <x:c r="I1154" s="7" t="str"/>
      <x:c r="J1154" s="7" t="str">
        <x:f>IF(OR(H1154="",I1154=""),"",I1154-H1154)</x:f>
      </x:c>
      <x:c r="K1154" s="7" t="str"/>
      <x:c r="L1154" s="7" t="str"/>
      <x:c r="M1154" s="7" t="str"/>
      <x:c r="N1154" s="7" t="str">
        <x:f>IF(M1154="","OPEN",IF(OR(NOT(ISNUMBER(H1154)),NOT(ISNUMBER(I1154)),K1154="",L1154=""),"FAIL","PASS"))</x:f>
        <x:v>OPEN</x:v>
      </x:c>
    </x:row>
    <x:row r="1155">
      <x:c r="B1155" s="7" t="str">
        <x:v>TRO-B-24-S6-O1-R1</x:v>
      </x:c>
      <x:c r="C1155" s="7" t="str">
        <x:v>BLD-B</x:v>
      </x:c>
      <x:c r="D1155" s="7" t="str">
        <x:v>MF-24</x:v>
      </x:c>
      <x:c r="E1155" s="7" t="str">
        <x:v>STD-24-6</x:v>
      </x:c>
      <x:c r="F1155" s="7" t="str">
        <x:v>OP-1</x:v>
      </x:c>
      <x:c r="G1155" s="7" t="n">
        <x:v>1</x:v>
      </x:c>
      <x:c r="H1155" s="7" t="str"/>
      <x:c r="I1155" s="7" t="str"/>
      <x:c r="J1155" s="7" t="str">
        <x:f>IF(OR(H1155="",I1155=""),"",I1155-H1155)</x:f>
      </x:c>
      <x:c r="K1155" s="7" t="str"/>
      <x:c r="L1155" s="7" t="str"/>
      <x:c r="M1155" s="7" t="str"/>
      <x:c r="N1155" s="7" t="str">
        <x:f>IF(M1155="","OPEN",IF(OR(NOT(ISNUMBER(H1155)),NOT(ISNUMBER(I1155)),K1155="",L1155=""),"FAIL","PASS"))</x:f>
        <x:v>OPEN</x:v>
      </x:c>
    </x:row>
    <x:row r="1156">
      <x:c r="B1156" s="7" t="str">
        <x:v>TRO-B-24-S6-O1-R2</x:v>
      </x:c>
      <x:c r="C1156" s="7" t="str">
        <x:v>BLD-B</x:v>
      </x:c>
      <x:c r="D1156" s="7" t="str">
        <x:v>MF-24</x:v>
      </x:c>
      <x:c r="E1156" s="7" t="str">
        <x:v>STD-24-6</x:v>
      </x:c>
      <x:c r="F1156" s="7" t="str">
        <x:v>OP-1</x:v>
      </x:c>
      <x:c r="G1156" s="7" t="n">
        <x:v>2</x:v>
      </x:c>
      <x:c r="H1156" s="7" t="str"/>
      <x:c r="I1156" s="7" t="str"/>
      <x:c r="J1156" s="7" t="str">
        <x:f>IF(OR(H1156="",I1156=""),"",I1156-H1156)</x:f>
      </x:c>
      <x:c r="K1156" s="7" t="str"/>
      <x:c r="L1156" s="7" t="str"/>
      <x:c r="M1156" s="7" t="str"/>
      <x:c r="N1156" s="7" t="str">
        <x:f>IF(M1156="","OPEN",IF(OR(NOT(ISNUMBER(H1156)),NOT(ISNUMBER(I1156)),K1156="",L1156=""),"FAIL","PASS"))</x:f>
        <x:v>OPEN</x:v>
      </x:c>
    </x:row>
    <x:row r="1157">
      <x:c r="B1157" s="7" t="str">
        <x:v>TRO-B-24-S6-O2-R1</x:v>
      </x:c>
      <x:c r="C1157" s="7" t="str">
        <x:v>BLD-B</x:v>
      </x:c>
      <x:c r="D1157" s="7" t="str">
        <x:v>MF-24</x:v>
      </x:c>
      <x:c r="E1157" s="7" t="str">
        <x:v>STD-24-6</x:v>
      </x:c>
      <x:c r="F1157" s="7" t="str">
        <x:v>OP-2</x:v>
      </x:c>
      <x:c r="G1157" s="7" t="n">
        <x:v>1</x:v>
      </x:c>
      <x:c r="H1157" s="7" t="str"/>
      <x:c r="I1157" s="7" t="str"/>
      <x:c r="J1157" s="7" t="str">
        <x:f>IF(OR(H1157="",I1157=""),"",I1157-H1157)</x:f>
      </x:c>
      <x:c r="K1157" s="7" t="str"/>
      <x:c r="L1157" s="7" t="str"/>
      <x:c r="M1157" s="7" t="str"/>
      <x:c r="N1157" s="7" t="str">
        <x:f>IF(M1157="","OPEN",IF(OR(NOT(ISNUMBER(H1157)),NOT(ISNUMBER(I1157)),K1157="",L1157=""),"FAIL","PASS"))</x:f>
        <x:v>OPEN</x:v>
      </x:c>
    </x:row>
    <x:row r="1158">
      <x:c r="B1158" s="7" t="str">
        <x:v>TRO-B-24-S6-O2-R2</x:v>
      </x:c>
      <x:c r="C1158" s="7" t="str">
        <x:v>BLD-B</x:v>
      </x:c>
      <x:c r="D1158" s="7" t="str">
        <x:v>MF-24</x:v>
      </x:c>
      <x:c r="E1158" s="7" t="str">
        <x:v>STD-24-6</x:v>
      </x:c>
      <x:c r="F1158" s="7" t="str">
        <x:v>OP-2</x:v>
      </x:c>
      <x:c r="G1158" s="7" t="n">
        <x:v>2</x:v>
      </x:c>
      <x:c r="H1158" s="7" t="str"/>
      <x:c r="I1158" s="7" t="str"/>
      <x:c r="J1158" s="7" t="str">
        <x:f>IF(OR(H1158="",I1158=""),"",I1158-H1158)</x:f>
      </x:c>
      <x:c r="K1158" s="7" t="str"/>
      <x:c r="L1158" s="7" t="str"/>
      <x:c r="M1158" s="7" t="str"/>
      <x:c r="N1158" s="7" t="str">
        <x:f>IF(M1158="","OPEN",IF(OR(NOT(ISNUMBER(H1158)),NOT(ISNUMBER(I1158)),K1158="",L1158=""),"FAIL","PASS"))</x:f>
        <x:v>OPEN</x:v>
      </x:c>
    </x:row>
    <x:row r="1159">
      <x:c r="B1159" s="7" t="str">
        <x:v>TRO-C-01-S1-O1-R1</x:v>
      </x:c>
      <x:c r="C1159" s="7" t="str">
        <x:v>BLD-C</x:v>
      </x:c>
      <x:c r="D1159" s="7" t="str">
        <x:v>MF-01</x:v>
      </x:c>
      <x:c r="E1159" s="7" t="str">
        <x:v>STD-01-1</x:v>
      </x:c>
      <x:c r="F1159" s="7" t="str">
        <x:v>OP-1</x:v>
      </x:c>
      <x:c r="G1159" s="7" t="n">
        <x:v>1</x:v>
      </x:c>
      <x:c r="H1159" s="7" t="str"/>
      <x:c r="I1159" s="7" t="str"/>
      <x:c r="J1159" s="7" t="str">
        <x:f>IF(OR(H1159="",I1159=""),"",I1159-H1159)</x:f>
      </x:c>
      <x:c r="K1159" s="7" t="str"/>
      <x:c r="L1159" s="7" t="str"/>
      <x:c r="M1159" s="7" t="str"/>
      <x:c r="N1159" s="7" t="str">
        <x:f>IF(M1159="","OPEN",IF(OR(NOT(ISNUMBER(H1159)),NOT(ISNUMBER(I1159)),K1159="",L1159=""),"FAIL","PASS"))</x:f>
        <x:v>OPEN</x:v>
      </x:c>
    </x:row>
    <x:row r="1160">
      <x:c r="B1160" s="7" t="str">
        <x:v>TRO-C-01-S1-O1-R2</x:v>
      </x:c>
      <x:c r="C1160" s="7" t="str">
        <x:v>BLD-C</x:v>
      </x:c>
      <x:c r="D1160" s="7" t="str">
        <x:v>MF-01</x:v>
      </x:c>
      <x:c r="E1160" s="7" t="str">
        <x:v>STD-01-1</x:v>
      </x:c>
      <x:c r="F1160" s="7" t="str">
        <x:v>OP-1</x:v>
      </x:c>
      <x:c r="G1160" s="7" t="n">
        <x:v>2</x:v>
      </x:c>
      <x:c r="H1160" s="7" t="str"/>
      <x:c r="I1160" s="7" t="str"/>
      <x:c r="J1160" s="7" t="str">
        <x:f>IF(OR(H1160="",I1160=""),"",I1160-H1160)</x:f>
      </x:c>
      <x:c r="K1160" s="7" t="str"/>
      <x:c r="L1160" s="7" t="str"/>
      <x:c r="M1160" s="7" t="str"/>
      <x:c r="N1160" s="7" t="str">
        <x:f>IF(M1160="","OPEN",IF(OR(NOT(ISNUMBER(H1160)),NOT(ISNUMBER(I1160)),K1160="",L1160=""),"FAIL","PASS"))</x:f>
        <x:v>OPEN</x:v>
      </x:c>
    </x:row>
    <x:row r="1161">
      <x:c r="B1161" s="7" t="str">
        <x:v>TRO-C-01-S1-O2-R1</x:v>
      </x:c>
      <x:c r="C1161" s="7" t="str">
        <x:v>BLD-C</x:v>
      </x:c>
      <x:c r="D1161" s="7" t="str">
        <x:v>MF-01</x:v>
      </x:c>
      <x:c r="E1161" s="7" t="str">
        <x:v>STD-01-1</x:v>
      </x:c>
      <x:c r="F1161" s="7" t="str">
        <x:v>OP-2</x:v>
      </x:c>
      <x:c r="G1161" s="7" t="n">
        <x:v>1</x:v>
      </x:c>
      <x:c r="H1161" s="7" t="str"/>
      <x:c r="I1161" s="7" t="str"/>
      <x:c r="J1161" s="7" t="str">
        <x:f>IF(OR(H1161="",I1161=""),"",I1161-H1161)</x:f>
      </x:c>
      <x:c r="K1161" s="7" t="str"/>
      <x:c r="L1161" s="7" t="str"/>
      <x:c r="M1161" s="7" t="str"/>
      <x:c r="N1161" s="7" t="str">
        <x:f>IF(M1161="","OPEN",IF(OR(NOT(ISNUMBER(H1161)),NOT(ISNUMBER(I1161)),K1161="",L1161=""),"FAIL","PASS"))</x:f>
        <x:v>OPEN</x:v>
      </x:c>
    </x:row>
    <x:row r="1162">
      <x:c r="B1162" s="7" t="str">
        <x:v>TRO-C-01-S1-O2-R2</x:v>
      </x:c>
      <x:c r="C1162" s="7" t="str">
        <x:v>BLD-C</x:v>
      </x:c>
      <x:c r="D1162" s="7" t="str">
        <x:v>MF-01</x:v>
      </x:c>
      <x:c r="E1162" s="7" t="str">
        <x:v>STD-01-1</x:v>
      </x:c>
      <x:c r="F1162" s="7" t="str">
        <x:v>OP-2</x:v>
      </x:c>
      <x:c r="G1162" s="7" t="n">
        <x:v>2</x:v>
      </x:c>
      <x:c r="H1162" s="7" t="str"/>
      <x:c r="I1162" s="7" t="str"/>
      <x:c r="J1162" s="7" t="str">
        <x:f>IF(OR(H1162="",I1162=""),"",I1162-H1162)</x:f>
      </x:c>
      <x:c r="K1162" s="7" t="str"/>
      <x:c r="L1162" s="7" t="str"/>
      <x:c r="M1162" s="7" t="str"/>
      <x:c r="N1162" s="7" t="str">
        <x:f>IF(M1162="","OPEN",IF(OR(NOT(ISNUMBER(H1162)),NOT(ISNUMBER(I1162)),K1162="",L1162=""),"FAIL","PASS"))</x:f>
        <x:v>OPEN</x:v>
      </x:c>
    </x:row>
    <x:row r="1163">
      <x:c r="B1163" s="7" t="str">
        <x:v>TRO-C-01-S2-O1-R1</x:v>
      </x:c>
      <x:c r="C1163" s="7" t="str">
        <x:v>BLD-C</x:v>
      </x:c>
      <x:c r="D1163" s="7" t="str">
        <x:v>MF-01</x:v>
      </x:c>
      <x:c r="E1163" s="7" t="str">
        <x:v>STD-01-2</x:v>
      </x:c>
      <x:c r="F1163" s="7" t="str">
        <x:v>OP-1</x:v>
      </x:c>
      <x:c r="G1163" s="7" t="n">
        <x:v>1</x:v>
      </x:c>
      <x:c r="H1163" s="7" t="str"/>
      <x:c r="I1163" s="7" t="str"/>
      <x:c r="J1163" s="7" t="str">
        <x:f>IF(OR(H1163="",I1163=""),"",I1163-H1163)</x:f>
      </x:c>
      <x:c r="K1163" s="7" t="str"/>
      <x:c r="L1163" s="7" t="str"/>
      <x:c r="M1163" s="7" t="str"/>
      <x:c r="N1163" s="7" t="str">
        <x:f>IF(M1163="","OPEN",IF(OR(NOT(ISNUMBER(H1163)),NOT(ISNUMBER(I1163)),K1163="",L1163=""),"FAIL","PASS"))</x:f>
        <x:v>OPEN</x:v>
      </x:c>
    </x:row>
    <x:row r="1164">
      <x:c r="B1164" s="7" t="str">
        <x:v>TRO-C-01-S2-O1-R2</x:v>
      </x:c>
      <x:c r="C1164" s="7" t="str">
        <x:v>BLD-C</x:v>
      </x:c>
      <x:c r="D1164" s="7" t="str">
        <x:v>MF-01</x:v>
      </x:c>
      <x:c r="E1164" s="7" t="str">
        <x:v>STD-01-2</x:v>
      </x:c>
      <x:c r="F1164" s="7" t="str">
        <x:v>OP-1</x:v>
      </x:c>
      <x:c r="G1164" s="7" t="n">
        <x:v>2</x:v>
      </x:c>
      <x:c r="H1164" s="7" t="str"/>
      <x:c r="I1164" s="7" t="str"/>
      <x:c r="J1164" s="7" t="str">
        <x:f>IF(OR(H1164="",I1164=""),"",I1164-H1164)</x:f>
      </x:c>
      <x:c r="K1164" s="7" t="str"/>
      <x:c r="L1164" s="7" t="str"/>
      <x:c r="M1164" s="7" t="str"/>
      <x:c r="N1164" s="7" t="str">
        <x:f>IF(M1164="","OPEN",IF(OR(NOT(ISNUMBER(H1164)),NOT(ISNUMBER(I1164)),K1164="",L1164=""),"FAIL","PASS"))</x:f>
        <x:v>OPEN</x:v>
      </x:c>
    </x:row>
    <x:row r="1165">
      <x:c r="B1165" s="7" t="str">
        <x:v>TRO-C-01-S2-O2-R1</x:v>
      </x:c>
      <x:c r="C1165" s="7" t="str">
        <x:v>BLD-C</x:v>
      </x:c>
      <x:c r="D1165" s="7" t="str">
        <x:v>MF-01</x:v>
      </x:c>
      <x:c r="E1165" s="7" t="str">
        <x:v>STD-01-2</x:v>
      </x:c>
      <x:c r="F1165" s="7" t="str">
        <x:v>OP-2</x:v>
      </x:c>
      <x:c r="G1165" s="7" t="n">
        <x:v>1</x:v>
      </x:c>
      <x:c r="H1165" s="7" t="str"/>
      <x:c r="I1165" s="7" t="str"/>
      <x:c r="J1165" s="7" t="str">
        <x:f>IF(OR(H1165="",I1165=""),"",I1165-H1165)</x:f>
      </x:c>
      <x:c r="K1165" s="7" t="str"/>
      <x:c r="L1165" s="7" t="str"/>
      <x:c r="M1165" s="7" t="str"/>
      <x:c r="N1165" s="7" t="str">
        <x:f>IF(M1165="","OPEN",IF(OR(NOT(ISNUMBER(H1165)),NOT(ISNUMBER(I1165)),K1165="",L1165=""),"FAIL","PASS"))</x:f>
        <x:v>OPEN</x:v>
      </x:c>
    </x:row>
    <x:row r="1166">
      <x:c r="B1166" s="7" t="str">
        <x:v>TRO-C-01-S2-O2-R2</x:v>
      </x:c>
      <x:c r="C1166" s="7" t="str">
        <x:v>BLD-C</x:v>
      </x:c>
      <x:c r="D1166" s="7" t="str">
        <x:v>MF-01</x:v>
      </x:c>
      <x:c r="E1166" s="7" t="str">
        <x:v>STD-01-2</x:v>
      </x:c>
      <x:c r="F1166" s="7" t="str">
        <x:v>OP-2</x:v>
      </x:c>
      <x:c r="G1166" s="7" t="n">
        <x:v>2</x:v>
      </x:c>
      <x:c r="H1166" s="7" t="str"/>
      <x:c r="I1166" s="7" t="str"/>
      <x:c r="J1166" s="7" t="str">
        <x:f>IF(OR(H1166="",I1166=""),"",I1166-H1166)</x:f>
      </x:c>
      <x:c r="K1166" s="7" t="str"/>
      <x:c r="L1166" s="7" t="str"/>
      <x:c r="M1166" s="7" t="str"/>
      <x:c r="N1166" s="7" t="str">
        <x:f>IF(M1166="","OPEN",IF(OR(NOT(ISNUMBER(H1166)),NOT(ISNUMBER(I1166)),K1166="",L1166=""),"FAIL","PASS"))</x:f>
        <x:v>OPEN</x:v>
      </x:c>
    </x:row>
    <x:row r="1167">
      <x:c r="B1167" s="7" t="str">
        <x:v>TRO-C-01-S3-O1-R1</x:v>
      </x:c>
      <x:c r="C1167" s="7" t="str">
        <x:v>BLD-C</x:v>
      </x:c>
      <x:c r="D1167" s="7" t="str">
        <x:v>MF-01</x:v>
      </x:c>
      <x:c r="E1167" s="7" t="str">
        <x:v>STD-01-3</x:v>
      </x:c>
      <x:c r="F1167" s="7" t="str">
        <x:v>OP-1</x:v>
      </x:c>
      <x:c r="G1167" s="7" t="n">
        <x:v>1</x:v>
      </x:c>
      <x:c r="H1167" s="7" t="str"/>
      <x:c r="I1167" s="7" t="str"/>
      <x:c r="J1167" s="7" t="str">
        <x:f>IF(OR(H1167="",I1167=""),"",I1167-H1167)</x:f>
      </x:c>
      <x:c r="K1167" s="7" t="str"/>
      <x:c r="L1167" s="7" t="str"/>
      <x:c r="M1167" s="7" t="str"/>
      <x:c r="N1167" s="7" t="str">
        <x:f>IF(M1167="","OPEN",IF(OR(NOT(ISNUMBER(H1167)),NOT(ISNUMBER(I1167)),K1167="",L1167=""),"FAIL","PASS"))</x:f>
        <x:v>OPEN</x:v>
      </x:c>
    </x:row>
    <x:row r="1168">
      <x:c r="B1168" s="7" t="str">
        <x:v>TRO-C-01-S3-O1-R2</x:v>
      </x:c>
      <x:c r="C1168" s="7" t="str">
        <x:v>BLD-C</x:v>
      </x:c>
      <x:c r="D1168" s="7" t="str">
        <x:v>MF-01</x:v>
      </x:c>
      <x:c r="E1168" s="7" t="str">
        <x:v>STD-01-3</x:v>
      </x:c>
      <x:c r="F1168" s="7" t="str">
        <x:v>OP-1</x:v>
      </x:c>
      <x:c r="G1168" s="7" t="n">
        <x:v>2</x:v>
      </x:c>
      <x:c r="H1168" s="7" t="str"/>
      <x:c r="I1168" s="7" t="str"/>
      <x:c r="J1168" s="7" t="str">
        <x:f>IF(OR(H1168="",I1168=""),"",I1168-H1168)</x:f>
      </x:c>
      <x:c r="K1168" s="7" t="str"/>
      <x:c r="L1168" s="7" t="str"/>
      <x:c r="M1168" s="7" t="str"/>
      <x:c r="N1168" s="7" t="str">
        <x:f>IF(M1168="","OPEN",IF(OR(NOT(ISNUMBER(H1168)),NOT(ISNUMBER(I1168)),K1168="",L1168=""),"FAIL","PASS"))</x:f>
        <x:v>OPEN</x:v>
      </x:c>
    </x:row>
    <x:row r="1169">
      <x:c r="B1169" s="7" t="str">
        <x:v>TRO-C-01-S3-O2-R1</x:v>
      </x:c>
      <x:c r="C1169" s="7" t="str">
        <x:v>BLD-C</x:v>
      </x:c>
      <x:c r="D1169" s="7" t="str">
        <x:v>MF-01</x:v>
      </x:c>
      <x:c r="E1169" s="7" t="str">
        <x:v>STD-01-3</x:v>
      </x:c>
      <x:c r="F1169" s="7" t="str">
        <x:v>OP-2</x:v>
      </x:c>
      <x:c r="G1169" s="7" t="n">
        <x:v>1</x:v>
      </x:c>
      <x:c r="H1169" s="7" t="str"/>
      <x:c r="I1169" s="7" t="str"/>
      <x:c r="J1169" s="7" t="str">
        <x:f>IF(OR(H1169="",I1169=""),"",I1169-H1169)</x:f>
      </x:c>
      <x:c r="K1169" s="7" t="str"/>
      <x:c r="L1169" s="7" t="str"/>
      <x:c r="M1169" s="7" t="str"/>
      <x:c r="N1169" s="7" t="str">
        <x:f>IF(M1169="","OPEN",IF(OR(NOT(ISNUMBER(H1169)),NOT(ISNUMBER(I1169)),K1169="",L1169=""),"FAIL","PASS"))</x:f>
        <x:v>OPEN</x:v>
      </x:c>
    </x:row>
    <x:row r="1170">
      <x:c r="B1170" s="7" t="str">
        <x:v>TRO-C-01-S3-O2-R2</x:v>
      </x:c>
      <x:c r="C1170" s="7" t="str">
        <x:v>BLD-C</x:v>
      </x:c>
      <x:c r="D1170" s="7" t="str">
        <x:v>MF-01</x:v>
      </x:c>
      <x:c r="E1170" s="7" t="str">
        <x:v>STD-01-3</x:v>
      </x:c>
      <x:c r="F1170" s="7" t="str">
        <x:v>OP-2</x:v>
      </x:c>
      <x:c r="G1170" s="7" t="n">
        <x:v>2</x:v>
      </x:c>
      <x:c r="H1170" s="7" t="str"/>
      <x:c r="I1170" s="7" t="str"/>
      <x:c r="J1170" s="7" t="str">
        <x:f>IF(OR(H1170="",I1170=""),"",I1170-H1170)</x:f>
      </x:c>
      <x:c r="K1170" s="7" t="str"/>
      <x:c r="L1170" s="7" t="str"/>
      <x:c r="M1170" s="7" t="str"/>
      <x:c r="N1170" s="7" t="str">
        <x:f>IF(M1170="","OPEN",IF(OR(NOT(ISNUMBER(H1170)),NOT(ISNUMBER(I1170)),K1170="",L1170=""),"FAIL","PASS"))</x:f>
        <x:v>OPEN</x:v>
      </x:c>
    </x:row>
    <x:row r="1171">
      <x:c r="B1171" s="7" t="str">
        <x:v>TRO-C-01-S4-O1-R1</x:v>
      </x:c>
      <x:c r="C1171" s="7" t="str">
        <x:v>BLD-C</x:v>
      </x:c>
      <x:c r="D1171" s="7" t="str">
        <x:v>MF-01</x:v>
      </x:c>
      <x:c r="E1171" s="7" t="str">
        <x:v>STD-01-4</x:v>
      </x:c>
      <x:c r="F1171" s="7" t="str">
        <x:v>OP-1</x:v>
      </x:c>
      <x:c r="G1171" s="7" t="n">
        <x:v>1</x:v>
      </x:c>
      <x:c r="H1171" s="7" t="str"/>
      <x:c r="I1171" s="7" t="str"/>
      <x:c r="J1171" s="7" t="str">
        <x:f>IF(OR(H1171="",I1171=""),"",I1171-H1171)</x:f>
      </x:c>
      <x:c r="K1171" s="7" t="str"/>
      <x:c r="L1171" s="7" t="str"/>
      <x:c r="M1171" s="7" t="str"/>
      <x:c r="N1171" s="7" t="str">
        <x:f>IF(M1171="","OPEN",IF(OR(NOT(ISNUMBER(H1171)),NOT(ISNUMBER(I1171)),K1171="",L1171=""),"FAIL","PASS"))</x:f>
        <x:v>OPEN</x:v>
      </x:c>
    </x:row>
    <x:row r="1172">
      <x:c r="B1172" s="7" t="str">
        <x:v>TRO-C-01-S4-O1-R2</x:v>
      </x:c>
      <x:c r="C1172" s="7" t="str">
        <x:v>BLD-C</x:v>
      </x:c>
      <x:c r="D1172" s="7" t="str">
        <x:v>MF-01</x:v>
      </x:c>
      <x:c r="E1172" s="7" t="str">
        <x:v>STD-01-4</x:v>
      </x:c>
      <x:c r="F1172" s="7" t="str">
        <x:v>OP-1</x:v>
      </x:c>
      <x:c r="G1172" s="7" t="n">
        <x:v>2</x:v>
      </x:c>
      <x:c r="H1172" s="7" t="str"/>
      <x:c r="I1172" s="7" t="str"/>
      <x:c r="J1172" s="7" t="str">
        <x:f>IF(OR(H1172="",I1172=""),"",I1172-H1172)</x:f>
      </x:c>
      <x:c r="K1172" s="7" t="str"/>
      <x:c r="L1172" s="7" t="str"/>
      <x:c r="M1172" s="7" t="str"/>
      <x:c r="N1172" s="7" t="str">
        <x:f>IF(M1172="","OPEN",IF(OR(NOT(ISNUMBER(H1172)),NOT(ISNUMBER(I1172)),K1172="",L1172=""),"FAIL","PASS"))</x:f>
        <x:v>OPEN</x:v>
      </x:c>
    </x:row>
    <x:row r="1173">
      <x:c r="B1173" s="7" t="str">
        <x:v>TRO-C-01-S4-O2-R1</x:v>
      </x:c>
      <x:c r="C1173" s="7" t="str">
        <x:v>BLD-C</x:v>
      </x:c>
      <x:c r="D1173" s="7" t="str">
        <x:v>MF-01</x:v>
      </x:c>
      <x:c r="E1173" s="7" t="str">
        <x:v>STD-01-4</x:v>
      </x:c>
      <x:c r="F1173" s="7" t="str">
        <x:v>OP-2</x:v>
      </x:c>
      <x:c r="G1173" s="7" t="n">
        <x:v>1</x:v>
      </x:c>
      <x:c r="H1173" s="7" t="str"/>
      <x:c r="I1173" s="7" t="str"/>
      <x:c r="J1173" s="7" t="str">
        <x:f>IF(OR(H1173="",I1173=""),"",I1173-H1173)</x:f>
      </x:c>
      <x:c r="K1173" s="7" t="str"/>
      <x:c r="L1173" s="7" t="str"/>
      <x:c r="M1173" s="7" t="str"/>
      <x:c r="N1173" s="7" t="str">
        <x:f>IF(M1173="","OPEN",IF(OR(NOT(ISNUMBER(H1173)),NOT(ISNUMBER(I1173)),K1173="",L1173=""),"FAIL","PASS"))</x:f>
        <x:v>OPEN</x:v>
      </x:c>
    </x:row>
    <x:row r="1174">
      <x:c r="B1174" s="7" t="str">
        <x:v>TRO-C-01-S4-O2-R2</x:v>
      </x:c>
      <x:c r="C1174" s="7" t="str">
        <x:v>BLD-C</x:v>
      </x:c>
      <x:c r="D1174" s="7" t="str">
        <x:v>MF-01</x:v>
      </x:c>
      <x:c r="E1174" s="7" t="str">
        <x:v>STD-01-4</x:v>
      </x:c>
      <x:c r="F1174" s="7" t="str">
        <x:v>OP-2</x:v>
      </x:c>
      <x:c r="G1174" s="7" t="n">
        <x:v>2</x:v>
      </x:c>
      <x:c r="H1174" s="7" t="str"/>
      <x:c r="I1174" s="7" t="str"/>
      <x:c r="J1174" s="7" t="str">
        <x:f>IF(OR(H1174="",I1174=""),"",I1174-H1174)</x:f>
      </x:c>
      <x:c r="K1174" s="7" t="str"/>
      <x:c r="L1174" s="7" t="str"/>
      <x:c r="M1174" s="7" t="str"/>
      <x:c r="N1174" s="7" t="str">
        <x:f>IF(M1174="","OPEN",IF(OR(NOT(ISNUMBER(H1174)),NOT(ISNUMBER(I1174)),K1174="",L1174=""),"FAIL","PASS"))</x:f>
        <x:v>OPEN</x:v>
      </x:c>
    </x:row>
    <x:row r="1175">
      <x:c r="B1175" s="7" t="str">
        <x:v>TRO-C-01-S5-O1-R1</x:v>
      </x:c>
      <x:c r="C1175" s="7" t="str">
        <x:v>BLD-C</x:v>
      </x:c>
      <x:c r="D1175" s="7" t="str">
        <x:v>MF-01</x:v>
      </x:c>
      <x:c r="E1175" s="7" t="str">
        <x:v>STD-01-5</x:v>
      </x:c>
      <x:c r="F1175" s="7" t="str">
        <x:v>OP-1</x:v>
      </x:c>
      <x:c r="G1175" s="7" t="n">
        <x:v>1</x:v>
      </x:c>
      <x:c r="H1175" s="7" t="str"/>
      <x:c r="I1175" s="7" t="str"/>
      <x:c r="J1175" s="7" t="str">
        <x:f>IF(OR(H1175="",I1175=""),"",I1175-H1175)</x:f>
      </x:c>
      <x:c r="K1175" s="7" t="str"/>
      <x:c r="L1175" s="7" t="str"/>
      <x:c r="M1175" s="7" t="str"/>
      <x:c r="N1175" s="7" t="str">
        <x:f>IF(M1175="","OPEN",IF(OR(NOT(ISNUMBER(H1175)),NOT(ISNUMBER(I1175)),K1175="",L1175=""),"FAIL","PASS"))</x:f>
        <x:v>OPEN</x:v>
      </x:c>
    </x:row>
    <x:row r="1176">
      <x:c r="B1176" s="7" t="str">
        <x:v>TRO-C-01-S5-O1-R2</x:v>
      </x:c>
      <x:c r="C1176" s="7" t="str">
        <x:v>BLD-C</x:v>
      </x:c>
      <x:c r="D1176" s="7" t="str">
        <x:v>MF-01</x:v>
      </x:c>
      <x:c r="E1176" s="7" t="str">
        <x:v>STD-01-5</x:v>
      </x:c>
      <x:c r="F1176" s="7" t="str">
        <x:v>OP-1</x:v>
      </x:c>
      <x:c r="G1176" s="7" t="n">
        <x:v>2</x:v>
      </x:c>
      <x:c r="H1176" s="7" t="str"/>
      <x:c r="I1176" s="7" t="str"/>
      <x:c r="J1176" s="7" t="str">
        <x:f>IF(OR(H1176="",I1176=""),"",I1176-H1176)</x:f>
      </x:c>
      <x:c r="K1176" s="7" t="str"/>
      <x:c r="L1176" s="7" t="str"/>
      <x:c r="M1176" s="7" t="str"/>
      <x:c r="N1176" s="7" t="str">
        <x:f>IF(M1176="","OPEN",IF(OR(NOT(ISNUMBER(H1176)),NOT(ISNUMBER(I1176)),K1176="",L1176=""),"FAIL","PASS"))</x:f>
        <x:v>OPEN</x:v>
      </x:c>
    </x:row>
    <x:row r="1177">
      <x:c r="B1177" s="7" t="str">
        <x:v>TRO-C-01-S5-O2-R1</x:v>
      </x:c>
      <x:c r="C1177" s="7" t="str">
        <x:v>BLD-C</x:v>
      </x:c>
      <x:c r="D1177" s="7" t="str">
        <x:v>MF-01</x:v>
      </x:c>
      <x:c r="E1177" s="7" t="str">
        <x:v>STD-01-5</x:v>
      </x:c>
      <x:c r="F1177" s="7" t="str">
        <x:v>OP-2</x:v>
      </x:c>
      <x:c r="G1177" s="7" t="n">
        <x:v>1</x:v>
      </x:c>
      <x:c r="H1177" s="7" t="str"/>
      <x:c r="I1177" s="7" t="str"/>
      <x:c r="J1177" s="7" t="str">
        <x:f>IF(OR(H1177="",I1177=""),"",I1177-H1177)</x:f>
      </x:c>
      <x:c r="K1177" s="7" t="str"/>
      <x:c r="L1177" s="7" t="str"/>
      <x:c r="M1177" s="7" t="str"/>
      <x:c r="N1177" s="7" t="str">
        <x:f>IF(M1177="","OPEN",IF(OR(NOT(ISNUMBER(H1177)),NOT(ISNUMBER(I1177)),K1177="",L1177=""),"FAIL","PASS"))</x:f>
        <x:v>OPEN</x:v>
      </x:c>
    </x:row>
    <x:row r="1178">
      <x:c r="B1178" s="7" t="str">
        <x:v>TRO-C-01-S5-O2-R2</x:v>
      </x:c>
      <x:c r="C1178" s="7" t="str">
        <x:v>BLD-C</x:v>
      </x:c>
      <x:c r="D1178" s="7" t="str">
        <x:v>MF-01</x:v>
      </x:c>
      <x:c r="E1178" s="7" t="str">
        <x:v>STD-01-5</x:v>
      </x:c>
      <x:c r="F1178" s="7" t="str">
        <x:v>OP-2</x:v>
      </x:c>
      <x:c r="G1178" s="7" t="n">
        <x:v>2</x:v>
      </x:c>
      <x:c r="H1178" s="7" t="str"/>
      <x:c r="I1178" s="7" t="str"/>
      <x:c r="J1178" s="7" t="str">
        <x:f>IF(OR(H1178="",I1178=""),"",I1178-H1178)</x:f>
      </x:c>
      <x:c r="K1178" s="7" t="str"/>
      <x:c r="L1178" s="7" t="str"/>
      <x:c r="M1178" s="7" t="str"/>
      <x:c r="N1178" s="7" t="str">
        <x:f>IF(M1178="","OPEN",IF(OR(NOT(ISNUMBER(H1178)),NOT(ISNUMBER(I1178)),K1178="",L1178=""),"FAIL","PASS"))</x:f>
        <x:v>OPEN</x:v>
      </x:c>
    </x:row>
    <x:row r="1179">
      <x:c r="B1179" s="7" t="str">
        <x:v>TRO-C-01-S6-O1-R1</x:v>
      </x:c>
      <x:c r="C1179" s="7" t="str">
        <x:v>BLD-C</x:v>
      </x:c>
      <x:c r="D1179" s="7" t="str">
        <x:v>MF-01</x:v>
      </x:c>
      <x:c r="E1179" s="7" t="str">
        <x:v>STD-01-6</x:v>
      </x:c>
      <x:c r="F1179" s="7" t="str">
        <x:v>OP-1</x:v>
      </x:c>
      <x:c r="G1179" s="7" t="n">
        <x:v>1</x:v>
      </x:c>
      <x:c r="H1179" s="7" t="str"/>
      <x:c r="I1179" s="7" t="str"/>
      <x:c r="J1179" s="7" t="str">
        <x:f>IF(OR(H1179="",I1179=""),"",I1179-H1179)</x:f>
      </x:c>
      <x:c r="K1179" s="7" t="str"/>
      <x:c r="L1179" s="7" t="str"/>
      <x:c r="M1179" s="7" t="str"/>
      <x:c r="N1179" s="7" t="str">
        <x:f>IF(M1179="","OPEN",IF(OR(NOT(ISNUMBER(H1179)),NOT(ISNUMBER(I1179)),K1179="",L1179=""),"FAIL","PASS"))</x:f>
        <x:v>OPEN</x:v>
      </x:c>
    </x:row>
    <x:row r="1180">
      <x:c r="B1180" s="7" t="str">
        <x:v>TRO-C-01-S6-O1-R2</x:v>
      </x:c>
      <x:c r="C1180" s="7" t="str">
        <x:v>BLD-C</x:v>
      </x:c>
      <x:c r="D1180" s="7" t="str">
        <x:v>MF-01</x:v>
      </x:c>
      <x:c r="E1180" s="7" t="str">
        <x:v>STD-01-6</x:v>
      </x:c>
      <x:c r="F1180" s="7" t="str">
        <x:v>OP-1</x:v>
      </x:c>
      <x:c r="G1180" s="7" t="n">
        <x:v>2</x:v>
      </x:c>
      <x:c r="H1180" s="7" t="str"/>
      <x:c r="I1180" s="7" t="str"/>
      <x:c r="J1180" s="7" t="str">
        <x:f>IF(OR(H1180="",I1180=""),"",I1180-H1180)</x:f>
      </x:c>
      <x:c r="K1180" s="7" t="str"/>
      <x:c r="L1180" s="7" t="str"/>
      <x:c r="M1180" s="7" t="str"/>
      <x:c r="N1180" s="7" t="str">
        <x:f>IF(M1180="","OPEN",IF(OR(NOT(ISNUMBER(H1180)),NOT(ISNUMBER(I1180)),K1180="",L1180=""),"FAIL","PASS"))</x:f>
        <x:v>OPEN</x:v>
      </x:c>
    </x:row>
    <x:row r="1181">
      <x:c r="B1181" s="7" t="str">
        <x:v>TRO-C-01-S6-O2-R1</x:v>
      </x:c>
      <x:c r="C1181" s="7" t="str">
        <x:v>BLD-C</x:v>
      </x:c>
      <x:c r="D1181" s="7" t="str">
        <x:v>MF-01</x:v>
      </x:c>
      <x:c r="E1181" s="7" t="str">
        <x:v>STD-01-6</x:v>
      </x:c>
      <x:c r="F1181" s="7" t="str">
        <x:v>OP-2</x:v>
      </x:c>
      <x:c r="G1181" s="7" t="n">
        <x:v>1</x:v>
      </x:c>
      <x:c r="H1181" s="7" t="str"/>
      <x:c r="I1181" s="7" t="str"/>
      <x:c r="J1181" s="7" t="str">
        <x:f>IF(OR(H1181="",I1181=""),"",I1181-H1181)</x:f>
      </x:c>
      <x:c r="K1181" s="7" t="str"/>
      <x:c r="L1181" s="7" t="str"/>
      <x:c r="M1181" s="7" t="str"/>
      <x:c r="N1181" s="7" t="str">
        <x:f>IF(M1181="","OPEN",IF(OR(NOT(ISNUMBER(H1181)),NOT(ISNUMBER(I1181)),K1181="",L1181=""),"FAIL","PASS"))</x:f>
        <x:v>OPEN</x:v>
      </x:c>
    </x:row>
    <x:row r="1182">
      <x:c r="B1182" s="7" t="str">
        <x:v>TRO-C-01-S6-O2-R2</x:v>
      </x:c>
      <x:c r="C1182" s="7" t="str">
        <x:v>BLD-C</x:v>
      </x:c>
      <x:c r="D1182" s="7" t="str">
        <x:v>MF-01</x:v>
      </x:c>
      <x:c r="E1182" s="7" t="str">
        <x:v>STD-01-6</x:v>
      </x:c>
      <x:c r="F1182" s="7" t="str">
        <x:v>OP-2</x:v>
      </x:c>
      <x:c r="G1182" s="7" t="n">
        <x:v>2</x:v>
      </x:c>
      <x:c r="H1182" s="7" t="str"/>
      <x:c r="I1182" s="7" t="str"/>
      <x:c r="J1182" s="7" t="str">
        <x:f>IF(OR(H1182="",I1182=""),"",I1182-H1182)</x:f>
      </x:c>
      <x:c r="K1182" s="7" t="str"/>
      <x:c r="L1182" s="7" t="str"/>
      <x:c r="M1182" s="7" t="str"/>
      <x:c r="N1182" s="7" t="str">
        <x:f>IF(M1182="","OPEN",IF(OR(NOT(ISNUMBER(H1182)),NOT(ISNUMBER(I1182)),K1182="",L1182=""),"FAIL","PASS"))</x:f>
        <x:v>OPEN</x:v>
      </x:c>
    </x:row>
    <x:row r="1183">
      <x:c r="B1183" s="7" t="str">
        <x:v>TRO-C-02-S1-O1-R1</x:v>
      </x:c>
      <x:c r="C1183" s="7" t="str">
        <x:v>BLD-C</x:v>
      </x:c>
      <x:c r="D1183" s="7" t="str">
        <x:v>MF-02</x:v>
      </x:c>
      <x:c r="E1183" s="7" t="str">
        <x:v>STD-02-1</x:v>
      </x:c>
      <x:c r="F1183" s="7" t="str">
        <x:v>OP-1</x:v>
      </x:c>
      <x:c r="G1183" s="7" t="n">
        <x:v>1</x:v>
      </x:c>
      <x:c r="H1183" s="7" t="str"/>
      <x:c r="I1183" s="7" t="str"/>
      <x:c r="J1183" s="7" t="str">
        <x:f>IF(OR(H1183="",I1183=""),"",I1183-H1183)</x:f>
      </x:c>
      <x:c r="K1183" s="7" t="str"/>
      <x:c r="L1183" s="7" t="str"/>
      <x:c r="M1183" s="7" t="str"/>
      <x:c r="N1183" s="7" t="str">
        <x:f>IF(M1183="","OPEN",IF(OR(NOT(ISNUMBER(H1183)),NOT(ISNUMBER(I1183)),K1183="",L1183=""),"FAIL","PASS"))</x:f>
        <x:v>OPEN</x:v>
      </x:c>
    </x:row>
    <x:row r="1184">
      <x:c r="B1184" s="7" t="str">
        <x:v>TRO-C-02-S1-O1-R2</x:v>
      </x:c>
      <x:c r="C1184" s="7" t="str">
        <x:v>BLD-C</x:v>
      </x:c>
      <x:c r="D1184" s="7" t="str">
        <x:v>MF-02</x:v>
      </x:c>
      <x:c r="E1184" s="7" t="str">
        <x:v>STD-02-1</x:v>
      </x:c>
      <x:c r="F1184" s="7" t="str">
        <x:v>OP-1</x:v>
      </x:c>
      <x:c r="G1184" s="7" t="n">
        <x:v>2</x:v>
      </x:c>
      <x:c r="H1184" s="7" t="str"/>
      <x:c r="I1184" s="7" t="str"/>
      <x:c r="J1184" s="7" t="str">
        <x:f>IF(OR(H1184="",I1184=""),"",I1184-H1184)</x:f>
      </x:c>
      <x:c r="K1184" s="7" t="str"/>
      <x:c r="L1184" s="7" t="str"/>
      <x:c r="M1184" s="7" t="str"/>
      <x:c r="N1184" s="7" t="str">
        <x:f>IF(M1184="","OPEN",IF(OR(NOT(ISNUMBER(H1184)),NOT(ISNUMBER(I1184)),K1184="",L1184=""),"FAIL","PASS"))</x:f>
        <x:v>OPEN</x:v>
      </x:c>
    </x:row>
    <x:row r="1185">
      <x:c r="B1185" s="7" t="str">
        <x:v>TRO-C-02-S1-O2-R1</x:v>
      </x:c>
      <x:c r="C1185" s="7" t="str">
        <x:v>BLD-C</x:v>
      </x:c>
      <x:c r="D1185" s="7" t="str">
        <x:v>MF-02</x:v>
      </x:c>
      <x:c r="E1185" s="7" t="str">
        <x:v>STD-02-1</x:v>
      </x:c>
      <x:c r="F1185" s="7" t="str">
        <x:v>OP-2</x:v>
      </x:c>
      <x:c r="G1185" s="7" t="n">
        <x:v>1</x:v>
      </x:c>
      <x:c r="H1185" s="7" t="str"/>
      <x:c r="I1185" s="7" t="str"/>
      <x:c r="J1185" s="7" t="str">
        <x:f>IF(OR(H1185="",I1185=""),"",I1185-H1185)</x:f>
      </x:c>
      <x:c r="K1185" s="7" t="str"/>
      <x:c r="L1185" s="7" t="str"/>
      <x:c r="M1185" s="7" t="str"/>
      <x:c r="N1185" s="7" t="str">
        <x:f>IF(M1185="","OPEN",IF(OR(NOT(ISNUMBER(H1185)),NOT(ISNUMBER(I1185)),K1185="",L1185=""),"FAIL","PASS"))</x:f>
        <x:v>OPEN</x:v>
      </x:c>
    </x:row>
    <x:row r="1186">
      <x:c r="B1186" s="7" t="str">
        <x:v>TRO-C-02-S1-O2-R2</x:v>
      </x:c>
      <x:c r="C1186" s="7" t="str">
        <x:v>BLD-C</x:v>
      </x:c>
      <x:c r="D1186" s="7" t="str">
        <x:v>MF-02</x:v>
      </x:c>
      <x:c r="E1186" s="7" t="str">
        <x:v>STD-02-1</x:v>
      </x:c>
      <x:c r="F1186" s="7" t="str">
        <x:v>OP-2</x:v>
      </x:c>
      <x:c r="G1186" s="7" t="n">
        <x:v>2</x:v>
      </x:c>
      <x:c r="H1186" s="7" t="str"/>
      <x:c r="I1186" s="7" t="str"/>
      <x:c r="J1186" s="7" t="str">
        <x:f>IF(OR(H1186="",I1186=""),"",I1186-H1186)</x:f>
      </x:c>
      <x:c r="K1186" s="7" t="str"/>
      <x:c r="L1186" s="7" t="str"/>
      <x:c r="M1186" s="7" t="str"/>
      <x:c r="N1186" s="7" t="str">
        <x:f>IF(M1186="","OPEN",IF(OR(NOT(ISNUMBER(H1186)),NOT(ISNUMBER(I1186)),K1186="",L1186=""),"FAIL","PASS"))</x:f>
        <x:v>OPEN</x:v>
      </x:c>
    </x:row>
    <x:row r="1187">
      <x:c r="B1187" s="7" t="str">
        <x:v>TRO-C-02-S2-O1-R1</x:v>
      </x:c>
      <x:c r="C1187" s="7" t="str">
        <x:v>BLD-C</x:v>
      </x:c>
      <x:c r="D1187" s="7" t="str">
        <x:v>MF-02</x:v>
      </x:c>
      <x:c r="E1187" s="7" t="str">
        <x:v>STD-02-2</x:v>
      </x:c>
      <x:c r="F1187" s="7" t="str">
        <x:v>OP-1</x:v>
      </x:c>
      <x:c r="G1187" s="7" t="n">
        <x:v>1</x:v>
      </x:c>
      <x:c r="H1187" s="7" t="str"/>
      <x:c r="I1187" s="7" t="str"/>
      <x:c r="J1187" s="7" t="str">
        <x:f>IF(OR(H1187="",I1187=""),"",I1187-H1187)</x:f>
      </x:c>
      <x:c r="K1187" s="7" t="str"/>
      <x:c r="L1187" s="7" t="str"/>
      <x:c r="M1187" s="7" t="str"/>
      <x:c r="N1187" s="7" t="str">
        <x:f>IF(M1187="","OPEN",IF(OR(NOT(ISNUMBER(H1187)),NOT(ISNUMBER(I1187)),K1187="",L1187=""),"FAIL","PASS"))</x:f>
        <x:v>OPEN</x:v>
      </x:c>
    </x:row>
    <x:row r="1188">
      <x:c r="B1188" s="7" t="str">
        <x:v>TRO-C-02-S2-O1-R2</x:v>
      </x:c>
      <x:c r="C1188" s="7" t="str">
        <x:v>BLD-C</x:v>
      </x:c>
      <x:c r="D1188" s="7" t="str">
        <x:v>MF-02</x:v>
      </x:c>
      <x:c r="E1188" s="7" t="str">
        <x:v>STD-02-2</x:v>
      </x:c>
      <x:c r="F1188" s="7" t="str">
        <x:v>OP-1</x:v>
      </x:c>
      <x:c r="G1188" s="7" t="n">
        <x:v>2</x:v>
      </x:c>
      <x:c r="H1188" s="7" t="str"/>
      <x:c r="I1188" s="7" t="str"/>
      <x:c r="J1188" s="7" t="str">
        <x:f>IF(OR(H1188="",I1188=""),"",I1188-H1188)</x:f>
      </x:c>
      <x:c r="K1188" s="7" t="str"/>
      <x:c r="L1188" s="7" t="str"/>
      <x:c r="M1188" s="7" t="str"/>
      <x:c r="N1188" s="7" t="str">
        <x:f>IF(M1188="","OPEN",IF(OR(NOT(ISNUMBER(H1188)),NOT(ISNUMBER(I1188)),K1188="",L1188=""),"FAIL","PASS"))</x:f>
        <x:v>OPEN</x:v>
      </x:c>
    </x:row>
    <x:row r="1189">
      <x:c r="B1189" s="7" t="str">
        <x:v>TRO-C-02-S2-O2-R1</x:v>
      </x:c>
      <x:c r="C1189" s="7" t="str">
        <x:v>BLD-C</x:v>
      </x:c>
      <x:c r="D1189" s="7" t="str">
        <x:v>MF-02</x:v>
      </x:c>
      <x:c r="E1189" s="7" t="str">
        <x:v>STD-02-2</x:v>
      </x:c>
      <x:c r="F1189" s="7" t="str">
        <x:v>OP-2</x:v>
      </x:c>
      <x:c r="G1189" s="7" t="n">
        <x:v>1</x:v>
      </x:c>
      <x:c r="H1189" s="7" t="str"/>
      <x:c r="I1189" s="7" t="str"/>
      <x:c r="J1189" s="7" t="str">
        <x:f>IF(OR(H1189="",I1189=""),"",I1189-H1189)</x:f>
      </x:c>
      <x:c r="K1189" s="7" t="str"/>
      <x:c r="L1189" s="7" t="str"/>
      <x:c r="M1189" s="7" t="str"/>
      <x:c r="N1189" s="7" t="str">
        <x:f>IF(M1189="","OPEN",IF(OR(NOT(ISNUMBER(H1189)),NOT(ISNUMBER(I1189)),K1189="",L1189=""),"FAIL","PASS"))</x:f>
        <x:v>OPEN</x:v>
      </x:c>
    </x:row>
    <x:row r="1190">
      <x:c r="B1190" s="7" t="str">
        <x:v>TRO-C-02-S2-O2-R2</x:v>
      </x:c>
      <x:c r="C1190" s="7" t="str">
        <x:v>BLD-C</x:v>
      </x:c>
      <x:c r="D1190" s="7" t="str">
        <x:v>MF-02</x:v>
      </x:c>
      <x:c r="E1190" s="7" t="str">
        <x:v>STD-02-2</x:v>
      </x:c>
      <x:c r="F1190" s="7" t="str">
        <x:v>OP-2</x:v>
      </x:c>
      <x:c r="G1190" s="7" t="n">
        <x:v>2</x:v>
      </x:c>
      <x:c r="H1190" s="7" t="str"/>
      <x:c r="I1190" s="7" t="str"/>
      <x:c r="J1190" s="7" t="str">
        <x:f>IF(OR(H1190="",I1190=""),"",I1190-H1190)</x:f>
      </x:c>
      <x:c r="K1190" s="7" t="str"/>
      <x:c r="L1190" s="7" t="str"/>
      <x:c r="M1190" s="7" t="str"/>
      <x:c r="N1190" s="7" t="str">
        <x:f>IF(M1190="","OPEN",IF(OR(NOT(ISNUMBER(H1190)),NOT(ISNUMBER(I1190)),K1190="",L1190=""),"FAIL","PASS"))</x:f>
        <x:v>OPEN</x:v>
      </x:c>
    </x:row>
    <x:row r="1191">
      <x:c r="B1191" s="7" t="str">
        <x:v>TRO-C-02-S3-O1-R1</x:v>
      </x:c>
      <x:c r="C1191" s="7" t="str">
        <x:v>BLD-C</x:v>
      </x:c>
      <x:c r="D1191" s="7" t="str">
        <x:v>MF-02</x:v>
      </x:c>
      <x:c r="E1191" s="7" t="str">
        <x:v>STD-02-3</x:v>
      </x:c>
      <x:c r="F1191" s="7" t="str">
        <x:v>OP-1</x:v>
      </x:c>
      <x:c r="G1191" s="7" t="n">
        <x:v>1</x:v>
      </x:c>
      <x:c r="H1191" s="7" t="str"/>
      <x:c r="I1191" s="7" t="str"/>
      <x:c r="J1191" s="7" t="str">
        <x:f>IF(OR(H1191="",I1191=""),"",I1191-H1191)</x:f>
      </x:c>
      <x:c r="K1191" s="7" t="str"/>
      <x:c r="L1191" s="7" t="str"/>
      <x:c r="M1191" s="7" t="str"/>
      <x:c r="N1191" s="7" t="str">
        <x:f>IF(M1191="","OPEN",IF(OR(NOT(ISNUMBER(H1191)),NOT(ISNUMBER(I1191)),K1191="",L1191=""),"FAIL","PASS"))</x:f>
        <x:v>OPEN</x:v>
      </x:c>
    </x:row>
    <x:row r="1192">
      <x:c r="B1192" s="7" t="str">
        <x:v>TRO-C-02-S3-O1-R2</x:v>
      </x:c>
      <x:c r="C1192" s="7" t="str">
        <x:v>BLD-C</x:v>
      </x:c>
      <x:c r="D1192" s="7" t="str">
        <x:v>MF-02</x:v>
      </x:c>
      <x:c r="E1192" s="7" t="str">
        <x:v>STD-02-3</x:v>
      </x:c>
      <x:c r="F1192" s="7" t="str">
        <x:v>OP-1</x:v>
      </x:c>
      <x:c r="G1192" s="7" t="n">
        <x:v>2</x:v>
      </x:c>
      <x:c r="H1192" s="7" t="str"/>
      <x:c r="I1192" s="7" t="str"/>
      <x:c r="J1192" s="7" t="str">
        <x:f>IF(OR(H1192="",I1192=""),"",I1192-H1192)</x:f>
      </x:c>
      <x:c r="K1192" s="7" t="str"/>
      <x:c r="L1192" s="7" t="str"/>
      <x:c r="M1192" s="7" t="str"/>
      <x:c r="N1192" s="7" t="str">
        <x:f>IF(M1192="","OPEN",IF(OR(NOT(ISNUMBER(H1192)),NOT(ISNUMBER(I1192)),K1192="",L1192=""),"FAIL","PASS"))</x:f>
        <x:v>OPEN</x:v>
      </x:c>
    </x:row>
    <x:row r="1193">
      <x:c r="B1193" s="7" t="str">
        <x:v>TRO-C-02-S3-O2-R1</x:v>
      </x:c>
      <x:c r="C1193" s="7" t="str">
        <x:v>BLD-C</x:v>
      </x:c>
      <x:c r="D1193" s="7" t="str">
        <x:v>MF-02</x:v>
      </x:c>
      <x:c r="E1193" s="7" t="str">
        <x:v>STD-02-3</x:v>
      </x:c>
      <x:c r="F1193" s="7" t="str">
        <x:v>OP-2</x:v>
      </x:c>
      <x:c r="G1193" s="7" t="n">
        <x:v>1</x:v>
      </x:c>
      <x:c r="H1193" s="7" t="str"/>
      <x:c r="I1193" s="7" t="str"/>
      <x:c r="J1193" s="7" t="str">
        <x:f>IF(OR(H1193="",I1193=""),"",I1193-H1193)</x:f>
      </x:c>
      <x:c r="K1193" s="7" t="str"/>
      <x:c r="L1193" s="7" t="str"/>
      <x:c r="M1193" s="7" t="str"/>
      <x:c r="N1193" s="7" t="str">
        <x:f>IF(M1193="","OPEN",IF(OR(NOT(ISNUMBER(H1193)),NOT(ISNUMBER(I1193)),K1193="",L1193=""),"FAIL","PASS"))</x:f>
        <x:v>OPEN</x:v>
      </x:c>
    </x:row>
    <x:row r="1194">
      <x:c r="B1194" s="7" t="str">
        <x:v>TRO-C-02-S3-O2-R2</x:v>
      </x:c>
      <x:c r="C1194" s="7" t="str">
        <x:v>BLD-C</x:v>
      </x:c>
      <x:c r="D1194" s="7" t="str">
        <x:v>MF-02</x:v>
      </x:c>
      <x:c r="E1194" s="7" t="str">
        <x:v>STD-02-3</x:v>
      </x:c>
      <x:c r="F1194" s="7" t="str">
        <x:v>OP-2</x:v>
      </x:c>
      <x:c r="G1194" s="7" t="n">
        <x:v>2</x:v>
      </x:c>
      <x:c r="H1194" s="7" t="str"/>
      <x:c r="I1194" s="7" t="str"/>
      <x:c r="J1194" s="7" t="str">
        <x:f>IF(OR(H1194="",I1194=""),"",I1194-H1194)</x:f>
      </x:c>
      <x:c r="K1194" s="7" t="str"/>
      <x:c r="L1194" s="7" t="str"/>
      <x:c r="M1194" s="7" t="str"/>
      <x:c r="N1194" s="7" t="str">
        <x:f>IF(M1194="","OPEN",IF(OR(NOT(ISNUMBER(H1194)),NOT(ISNUMBER(I1194)),K1194="",L1194=""),"FAIL","PASS"))</x:f>
        <x:v>OPEN</x:v>
      </x:c>
    </x:row>
    <x:row r="1195">
      <x:c r="B1195" s="7" t="str">
        <x:v>TRO-C-02-S4-O1-R1</x:v>
      </x:c>
      <x:c r="C1195" s="7" t="str">
        <x:v>BLD-C</x:v>
      </x:c>
      <x:c r="D1195" s="7" t="str">
        <x:v>MF-02</x:v>
      </x:c>
      <x:c r="E1195" s="7" t="str">
        <x:v>STD-02-4</x:v>
      </x:c>
      <x:c r="F1195" s="7" t="str">
        <x:v>OP-1</x:v>
      </x:c>
      <x:c r="G1195" s="7" t="n">
        <x:v>1</x:v>
      </x:c>
      <x:c r="H1195" s="7" t="str"/>
      <x:c r="I1195" s="7" t="str"/>
      <x:c r="J1195" s="7" t="str">
        <x:f>IF(OR(H1195="",I1195=""),"",I1195-H1195)</x:f>
      </x:c>
      <x:c r="K1195" s="7" t="str"/>
      <x:c r="L1195" s="7" t="str"/>
      <x:c r="M1195" s="7" t="str"/>
      <x:c r="N1195" s="7" t="str">
        <x:f>IF(M1195="","OPEN",IF(OR(NOT(ISNUMBER(H1195)),NOT(ISNUMBER(I1195)),K1195="",L1195=""),"FAIL","PASS"))</x:f>
        <x:v>OPEN</x:v>
      </x:c>
    </x:row>
    <x:row r="1196">
      <x:c r="B1196" s="7" t="str">
        <x:v>TRO-C-02-S4-O1-R2</x:v>
      </x:c>
      <x:c r="C1196" s="7" t="str">
        <x:v>BLD-C</x:v>
      </x:c>
      <x:c r="D1196" s="7" t="str">
        <x:v>MF-02</x:v>
      </x:c>
      <x:c r="E1196" s="7" t="str">
        <x:v>STD-02-4</x:v>
      </x:c>
      <x:c r="F1196" s="7" t="str">
        <x:v>OP-1</x:v>
      </x:c>
      <x:c r="G1196" s="7" t="n">
        <x:v>2</x:v>
      </x:c>
      <x:c r="H1196" s="7" t="str"/>
      <x:c r="I1196" s="7" t="str"/>
      <x:c r="J1196" s="7" t="str">
        <x:f>IF(OR(H1196="",I1196=""),"",I1196-H1196)</x:f>
      </x:c>
      <x:c r="K1196" s="7" t="str"/>
      <x:c r="L1196" s="7" t="str"/>
      <x:c r="M1196" s="7" t="str"/>
      <x:c r="N1196" s="7" t="str">
        <x:f>IF(M1196="","OPEN",IF(OR(NOT(ISNUMBER(H1196)),NOT(ISNUMBER(I1196)),K1196="",L1196=""),"FAIL","PASS"))</x:f>
        <x:v>OPEN</x:v>
      </x:c>
    </x:row>
    <x:row r="1197">
      <x:c r="B1197" s="7" t="str">
        <x:v>TRO-C-02-S4-O2-R1</x:v>
      </x:c>
      <x:c r="C1197" s="7" t="str">
        <x:v>BLD-C</x:v>
      </x:c>
      <x:c r="D1197" s="7" t="str">
        <x:v>MF-02</x:v>
      </x:c>
      <x:c r="E1197" s="7" t="str">
        <x:v>STD-02-4</x:v>
      </x:c>
      <x:c r="F1197" s="7" t="str">
        <x:v>OP-2</x:v>
      </x:c>
      <x:c r="G1197" s="7" t="n">
        <x:v>1</x:v>
      </x:c>
      <x:c r="H1197" s="7" t="str"/>
      <x:c r="I1197" s="7" t="str"/>
      <x:c r="J1197" s="7" t="str">
        <x:f>IF(OR(H1197="",I1197=""),"",I1197-H1197)</x:f>
      </x:c>
      <x:c r="K1197" s="7" t="str"/>
      <x:c r="L1197" s="7" t="str"/>
      <x:c r="M1197" s="7" t="str"/>
      <x:c r="N1197" s="7" t="str">
        <x:f>IF(M1197="","OPEN",IF(OR(NOT(ISNUMBER(H1197)),NOT(ISNUMBER(I1197)),K1197="",L1197=""),"FAIL","PASS"))</x:f>
        <x:v>OPEN</x:v>
      </x:c>
    </x:row>
    <x:row r="1198">
      <x:c r="B1198" s="7" t="str">
        <x:v>TRO-C-02-S4-O2-R2</x:v>
      </x:c>
      <x:c r="C1198" s="7" t="str">
        <x:v>BLD-C</x:v>
      </x:c>
      <x:c r="D1198" s="7" t="str">
        <x:v>MF-02</x:v>
      </x:c>
      <x:c r="E1198" s="7" t="str">
        <x:v>STD-02-4</x:v>
      </x:c>
      <x:c r="F1198" s="7" t="str">
        <x:v>OP-2</x:v>
      </x:c>
      <x:c r="G1198" s="7" t="n">
        <x:v>2</x:v>
      </x:c>
      <x:c r="H1198" s="7" t="str"/>
      <x:c r="I1198" s="7" t="str"/>
      <x:c r="J1198" s="7" t="str">
        <x:f>IF(OR(H1198="",I1198=""),"",I1198-H1198)</x:f>
      </x:c>
      <x:c r="K1198" s="7" t="str"/>
      <x:c r="L1198" s="7" t="str"/>
      <x:c r="M1198" s="7" t="str"/>
      <x:c r="N1198" s="7" t="str">
        <x:f>IF(M1198="","OPEN",IF(OR(NOT(ISNUMBER(H1198)),NOT(ISNUMBER(I1198)),K1198="",L1198=""),"FAIL","PASS"))</x:f>
        <x:v>OPEN</x:v>
      </x:c>
    </x:row>
    <x:row r="1199">
      <x:c r="B1199" s="7" t="str">
        <x:v>TRO-C-02-S5-O1-R1</x:v>
      </x:c>
      <x:c r="C1199" s="7" t="str">
        <x:v>BLD-C</x:v>
      </x:c>
      <x:c r="D1199" s="7" t="str">
        <x:v>MF-02</x:v>
      </x:c>
      <x:c r="E1199" s="7" t="str">
        <x:v>STD-02-5</x:v>
      </x:c>
      <x:c r="F1199" s="7" t="str">
        <x:v>OP-1</x:v>
      </x:c>
      <x:c r="G1199" s="7" t="n">
        <x:v>1</x:v>
      </x:c>
      <x:c r="H1199" s="7" t="str"/>
      <x:c r="I1199" s="7" t="str"/>
      <x:c r="J1199" s="7" t="str">
        <x:f>IF(OR(H1199="",I1199=""),"",I1199-H1199)</x:f>
      </x:c>
      <x:c r="K1199" s="7" t="str"/>
      <x:c r="L1199" s="7" t="str"/>
      <x:c r="M1199" s="7" t="str"/>
      <x:c r="N1199" s="7" t="str">
        <x:f>IF(M1199="","OPEN",IF(OR(NOT(ISNUMBER(H1199)),NOT(ISNUMBER(I1199)),K1199="",L1199=""),"FAIL","PASS"))</x:f>
        <x:v>OPEN</x:v>
      </x:c>
    </x:row>
    <x:row r="1200">
      <x:c r="B1200" s="7" t="str">
        <x:v>TRO-C-02-S5-O1-R2</x:v>
      </x:c>
      <x:c r="C1200" s="7" t="str">
        <x:v>BLD-C</x:v>
      </x:c>
      <x:c r="D1200" s="7" t="str">
        <x:v>MF-02</x:v>
      </x:c>
      <x:c r="E1200" s="7" t="str">
        <x:v>STD-02-5</x:v>
      </x:c>
      <x:c r="F1200" s="7" t="str">
        <x:v>OP-1</x:v>
      </x:c>
      <x:c r="G1200" s="7" t="n">
        <x:v>2</x:v>
      </x:c>
      <x:c r="H1200" s="7" t="str"/>
      <x:c r="I1200" s="7" t="str"/>
      <x:c r="J1200" s="7" t="str">
        <x:f>IF(OR(H1200="",I1200=""),"",I1200-H1200)</x:f>
      </x:c>
      <x:c r="K1200" s="7" t="str"/>
      <x:c r="L1200" s="7" t="str"/>
      <x:c r="M1200" s="7" t="str"/>
      <x:c r="N1200" s="7" t="str">
        <x:f>IF(M1200="","OPEN",IF(OR(NOT(ISNUMBER(H1200)),NOT(ISNUMBER(I1200)),K1200="",L1200=""),"FAIL","PASS"))</x:f>
        <x:v>OPEN</x:v>
      </x:c>
    </x:row>
    <x:row r="1201">
      <x:c r="B1201" s="7" t="str">
        <x:v>TRO-C-02-S5-O2-R1</x:v>
      </x:c>
      <x:c r="C1201" s="7" t="str">
        <x:v>BLD-C</x:v>
      </x:c>
      <x:c r="D1201" s="7" t="str">
        <x:v>MF-02</x:v>
      </x:c>
      <x:c r="E1201" s="7" t="str">
        <x:v>STD-02-5</x:v>
      </x:c>
      <x:c r="F1201" s="7" t="str">
        <x:v>OP-2</x:v>
      </x:c>
      <x:c r="G1201" s="7" t="n">
        <x:v>1</x:v>
      </x:c>
      <x:c r="H1201" s="7" t="str"/>
      <x:c r="I1201" s="7" t="str"/>
      <x:c r="J1201" s="7" t="str">
        <x:f>IF(OR(H1201="",I1201=""),"",I1201-H1201)</x:f>
      </x:c>
      <x:c r="K1201" s="7" t="str"/>
      <x:c r="L1201" s="7" t="str"/>
      <x:c r="M1201" s="7" t="str"/>
      <x:c r="N1201" s="7" t="str">
        <x:f>IF(M1201="","OPEN",IF(OR(NOT(ISNUMBER(H1201)),NOT(ISNUMBER(I1201)),K1201="",L1201=""),"FAIL","PASS"))</x:f>
        <x:v>OPEN</x:v>
      </x:c>
    </x:row>
    <x:row r="1202">
      <x:c r="B1202" s="7" t="str">
        <x:v>TRO-C-02-S5-O2-R2</x:v>
      </x:c>
      <x:c r="C1202" s="7" t="str">
        <x:v>BLD-C</x:v>
      </x:c>
      <x:c r="D1202" s="7" t="str">
        <x:v>MF-02</x:v>
      </x:c>
      <x:c r="E1202" s="7" t="str">
        <x:v>STD-02-5</x:v>
      </x:c>
      <x:c r="F1202" s="7" t="str">
        <x:v>OP-2</x:v>
      </x:c>
      <x:c r="G1202" s="7" t="n">
        <x:v>2</x:v>
      </x:c>
      <x:c r="H1202" s="7" t="str"/>
      <x:c r="I1202" s="7" t="str"/>
      <x:c r="J1202" s="7" t="str">
        <x:f>IF(OR(H1202="",I1202=""),"",I1202-H1202)</x:f>
      </x:c>
      <x:c r="K1202" s="7" t="str"/>
      <x:c r="L1202" s="7" t="str"/>
      <x:c r="M1202" s="7" t="str"/>
      <x:c r="N1202" s="7" t="str">
        <x:f>IF(M1202="","OPEN",IF(OR(NOT(ISNUMBER(H1202)),NOT(ISNUMBER(I1202)),K1202="",L1202=""),"FAIL","PASS"))</x:f>
        <x:v>OPEN</x:v>
      </x:c>
    </x:row>
    <x:row r="1203">
      <x:c r="B1203" s="7" t="str">
        <x:v>TRO-C-02-S6-O1-R1</x:v>
      </x:c>
      <x:c r="C1203" s="7" t="str">
        <x:v>BLD-C</x:v>
      </x:c>
      <x:c r="D1203" s="7" t="str">
        <x:v>MF-02</x:v>
      </x:c>
      <x:c r="E1203" s="7" t="str">
        <x:v>STD-02-6</x:v>
      </x:c>
      <x:c r="F1203" s="7" t="str">
        <x:v>OP-1</x:v>
      </x:c>
      <x:c r="G1203" s="7" t="n">
        <x:v>1</x:v>
      </x:c>
      <x:c r="H1203" s="7" t="str"/>
      <x:c r="I1203" s="7" t="str"/>
      <x:c r="J1203" s="7" t="str">
        <x:f>IF(OR(H1203="",I1203=""),"",I1203-H1203)</x:f>
      </x:c>
      <x:c r="K1203" s="7" t="str"/>
      <x:c r="L1203" s="7" t="str"/>
      <x:c r="M1203" s="7" t="str"/>
      <x:c r="N1203" s="7" t="str">
        <x:f>IF(M1203="","OPEN",IF(OR(NOT(ISNUMBER(H1203)),NOT(ISNUMBER(I1203)),K1203="",L1203=""),"FAIL","PASS"))</x:f>
        <x:v>OPEN</x:v>
      </x:c>
    </x:row>
    <x:row r="1204">
      <x:c r="B1204" s="7" t="str">
        <x:v>TRO-C-02-S6-O1-R2</x:v>
      </x:c>
      <x:c r="C1204" s="7" t="str">
        <x:v>BLD-C</x:v>
      </x:c>
      <x:c r="D1204" s="7" t="str">
        <x:v>MF-02</x:v>
      </x:c>
      <x:c r="E1204" s="7" t="str">
        <x:v>STD-02-6</x:v>
      </x:c>
      <x:c r="F1204" s="7" t="str">
        <x:v>OP-1</x:v>
      </x:c>
      <x:c r="G1204" s="7" t="n">
        <x:v>2</x:v>
      </x:c>
      <x:c r="H1204" s="7" t="str"/>
      <x:c r="I1204" s="7" t="str"/>
      <x:c r="J1204" s="7" t="str">
        <x:f>IF(OR(H1204="",I1204=""),"",I1204-H1204)</x:f>
      </x:c>
      <x:c r="K1204" s="7" t="str"/>
      <x:c r="L1204" s="7" t="str"/>
      <x:c r="M1204" s="7" t="str"/>
      <x:c r="N1204" s="7" t="str">
        <x:f>IF(M1204="","OPEN",IF(OR(NOT(ISNUMBER(H1204)),NOT(ISNUMBER(I1204)),K1204="",L1204=""),"FAIL","PASS"))</x:f>
        <x:v>OPEN</x:v>
      </x:c>
    </x:row>
    <x:row r="1205">
      <x:c r="B1205" s="7" t="str">
        <x:v>TRO-C-02-S6-O2-R1</x:v>
      </x:c>
      <x:c r="C1205" s="7" t="str">
        <x:v>BLD-C</x:v>
      </x:c>
      <x:c r="D1205" s="7" t="str">
        <x:v>MF-02</x:v>
      </x:c>
      <x:c r="E1205" s="7" t="str">
        <x:v>STD-02-6</x:v>
      </x:c>
      <x:c r="F1205" s="7" t="str">
        <x:v>OP-2</x:v>
      </x:c>
      <x:c r="G1205" s="7" t="n">
        <x:v>1</x:v>
      </x:c>
      <x:c r="H1205" s="7" t="str"/>
      <x:c r="I1205" s="7" t="str"/>
      <x:c r="J1205" s="7" t="str">
        <x:f>IF(OR(H1205="",I1205=""),"",I1205-H1205)</x:f>
      </x:c>
      <x:c r="K1205" s="7" t="str"/>
      <x:c r="L1205" s="7" t="str"/>
      <x:c r="M1205" s="7" t="str"/>
      <x:c r="N1205" s="7" t="str">
        <x:f>IF(M1205="","OPEN",IF(OR(NOT(ISNUMBER(H1205)),NOT(ISNUMBER(I1205)),K1205="",L1205=""),"FAIL","PASS"))</x:f>
        <x:v>OPEN</x:v>
      </x:c>
    </x:row>
    <x:row r="1206">
      <x:c r="B1206" s="7" t="str">
        <x:v>TRO-C-02-S6-O2-R2</x:v>
      </x:c>
      <x:c r="C1206" s="7" t="str">
        <x:v>BLD-C</x:v>
      </x:c>
      <x:c r="D1206" s="7" t="str">
        <x:v>MF-02</x:v>
      </x:c>
      <x:c r="E1206" s="7" t="str">
        <x:v>STD-02-6</x:v>
      </x:c>
      <x:c r="F1206" s="7" t="str">
        <x:v>OP-2</x:v>
      </x:c>
      <x:c r="G1206" s="7" t="n">
        <x:v>2</x:v>
      </x:c>
      <x:c r="H1206" s="7" t="str"/>
      <x:c r="I1206" s="7" t="str"/>
      <x:c r="J1206" s="7" t="str">
        <x:f>IF(OR(H1206="",I1206=""),"",I1206-H1206)</x:f>
      </x:c>
      <x:c r="K1206" s="7" t="str"/>
      <x:c r="L1206" s="7" t="str"/>
      <x:c r="M1206" s="7" t="str"/>
      <x:c r="N1206" s="7" t="str">
        <x:f>IF(M1206="","OPEN",IF(OR(NOT(ISNUMBER(H1206)),NOT(ISNUMBER(I1206)),K1206="",L1206=""),"FAIL","PASS"))</x:f>
        <x:v>OPEN</x:v>
      </x:c>
    </x:row>
    <x:row r="1207">
      <x:c r="B1207" s="7" t="str">
        <x:v>TRO-C-03-S1-O1-R1</x:v>
      </x:c>
      <x:c r="C1207" s="7" t="str">
        <x:v>BLD-C</x:v>
      </x:c>
      <x:c r="D1207" s="7" t="str">
        <x:v>MF-03</x:v>
      </x:c>
      <x:c r="E1207" s="7" t="str">
        <x:v>STD-03-1</x:v>
      </x:c>
      <x:c r="F1207" s="7" t="str">
        <x:v>OP-1</x:v>
      </x:c>
      <x:c r="G1207" s="7" t="n">
        <x:v>1</x:v>
      </x:c>
      <x:c r="H1207" s="7" t="str"/>
      <x:c r="I1207" s="7" t="str"/>
      <x:c r="J1207" s="7" t="str">
        <x:f>IF(OR(H1207="",I1207=""),"",I1207-H1207)</x:f>
      </x:c>
      <x:c r="K1207" s="7" t="str"/>
      <x:c r="L1207" s="7" t="str"/>
      <x:c r="M1207" s="7" t="str"/>
      <x:c r="N1207" s="7" t="str">
        <x:f>IF(M1207="","OPEN",IF(OR(NOT(ISNUMBER(H1207)),NOT(ISNUMBER(I1207)),K1207="",L1207=""),"FAIL","PASS"))</x:f>
        <x:v>OPEN</x:v>
      </x:c>
    </x:row>
    <x:row r="1208">
      <x:c r="B1208" s="7" t="str">
        <x:v>TRO-C-03-S1-O1-R2</x:v>
      </x:c>
      <x:c r="C1208" s="7" t="str">
        <x:v>BLD-C</x:v>
      </x:c>
      <x:c r="D1208" s="7" t="str">
        <x:v>MF-03</x:v>
      </x:c>
      <x:c r="E1208" s="7" t="str">
        <x:v>STD-03-1</x:v>
      </x:c>
      <x:c r="F1208" s="7" t="str">
        <x:v>OP-1</x:v>
      </x:c>
      <x:c r="G1208" s="7" t="n">
        <x:v>2</x:v>
      </x:c>
      <x:c r="H1208" s="7" t="str"/>
      <x:c r="I1208" s="7" t="str"/>
      <x:c r="J1208" s="7" t="str">
        <x:f>IF(OR(H1208="",I1208=""),"",I1208-H1208)</x:f>
      </x:c>
      <x:c r="K1208" s="7" t="str"/>
      <x:c r="L1208" s="7" t="str"/>
      <x:c r="M1208" s="7" t="str"/>
      <x:c r="N1208" s="7" t="str">
        <x:f>IF(M1208="","OPEN",IF(OR(NOT(ISNUMBER(H1208)),NOT(ISNUMBER(I1208)),K1208="",L1208=""),"FAIL","PASS"))</x:f>
        <x:v>OPEN</x:v>
      </x:c>
    </x:row>
    <x:row r="1209">
      <x:c r="B1209" s="7" t="str">
        <x:v>TRO-C-03-S1-O2-R1</x:v>
      </x:c>
      <x:c r="C1209" s="7" t="str">
        <x:v>BLD-C</x:v>
      </x:c>
      <x:c r="D1209" s="7" t="str">
        <x:v>MF-03</x:v>
      </x:c>
      <x:c r="E1209" s="7" t="str">
        <x:v>STD-03-1</x:v>
      </x:c>
      <x:c r="F1209" s="7" t="str">
        <x:v>OP-2</x:v>
      </x:c>
      <x:c r="G1209" s="7" t="n">
        <x:v>1</x:v>
      </x:c>
      <x:c r="H1209" s="7" t="str"/>
      <x:c r="I1209" s="7" t="str"/>
      <x:c r="J1209" s="7" t="str">
        <x:f>IF(OR(H1209="",I1209=""),"",I1209-H1209)</x:f>
      </x:c>
      <x:c r="K1209" s="7" t="str"/>
      <x:c r="L1209" s="7" t="str"/>
      <x:c r="M1209" s="7" t="str"/>
      <x:c r="N1209" s="7" t="str">
        <x:f>IF(M1209="","OPEN",IF(OR(NOT(ISNUMBER(H1209)),NOT(ISNUMBER(I1209)),K1209="",L1209=""),"FAIL","PASS"))</x:f>
        <x:v>OPEN</x:v>
      </x:c>
    </x:row>
    <x:row r="1210">
      <x:c r="B1210" s="7" t="str">
        <x:v>TRO-C-03-S1-O2-R2</x:v>
      </x:c>
      <x:c r="C1210" s="7" t="str">
        <x:v>BLD-C</x:v>
      </x:c>
      <x:c r="D1210" s="7" t="str">
        <x:v>MF-03</x:v>
      </x:c>
      <x:c r="E1210" s="7" t="str">
        <x:v>STD-03-1</x:v>
      </x:c>
      <x:c r="F1210" s="7" t="str">
        <x:v>OP-2</x:v>
      </x:c>
      <x:c r="G1210" s="7" t="n">
        <x:v>2</x:v>
      </x:c>
      <x:c r="H1210" s="7" t="str"/>
      <x:c r="I1210" s="7" t="str"/>
      <x:c r="J1210" s="7" t="str">
        <x:f>IF(OR(H1210="",I1210=""),"",I1210-H1210)</x:f>
      </x:c>
      <x:c r="K1210" s="7" t="str"/>
      <x:c r="L1210" s="7" t="str"/>
      <x:c r="M1210" s="7" t="str"/>
      <x:c r="N1210" s="7" t="str">
        <x:f>IF(M1210="","OPEN",IF(OR(NOT(ISNUMBER(H1210)),NOT(ISNUMBER(I1210)),K1210="",L1210=""),"FAIL","PASS"))</x:f>
        <x:v>OPEN</x:v>
      </x:c>
    </x:row>
    <x:row r="1211">
      <x:c r="B1211" s="7" t="str">
        <x:v>TRO-C-03-S2-O1-R1</x:v>
      </x:c>
      <x:c r="C1211" s="7" t="str">
        <x:v>BLD-C</x:v>
      </x:c>
      <x:c r="D1211" s="7" t="str">
        <x:v>MF-03</x:v>
      </x:c>
      <x:c r="E1211" s="7" t="str">
        <x:v>STD-03-2</x:v>
      </x:c>
      <x:c r="F1211" s="7" t="str">
        <x:v>OP-1</x:v>
      </x:c>
      <x:c r="G1211" s="7" t="n">
        <x:v>1</x:v>
      </x:c>
      <x:c r="H1211" s="7" t="str"/>
      <x:c r="I1211" s="7" t="str"/>
      <x:c r="J1211" s="7" t="str">
        <x:f>IF(OR(H1211="",I1211=""),"",I1211-H1211)</x:f>
      </x:c>
      <x:c r="K1211" s="7" t="str"/>
      <x:c r="L1211" s="7" t="str"/>
      <x:c r="M1211" s="7" t="str"/>
      <x:c r="N1211" s="7" t="str">
        <x:f>IF(M1211="","OPEN",IF(OR(NOT(ISNUMBER(H1211)),NOT(ISNUMBER(I1211)),K1211="",L1211=""),"FAIL","PASS"))</x:f>
        <x:v>OPEN</x:v>
      </x:c>
    </x:row>
    <x:row r="1212">
      <x:c r="B1212" s="7" t="str">
        <x:v>TRO-C-03-S2-O1-R2</x:v>
      </x:c>
      <x:c r="C1212" s="7" t="str">
        <x:v>BLD-C</x:v>
      </x:c>
      <x:c r="D1212" s="7" t="str">
        <x:v>MF-03</x:v>
      </x:c>
      <x:c r="E1212" s="7" t="str">
        <x:v>STD-03-2</x:v>
      </x:c>
      <x:c r="F1212" s="7" t="str">
        <x:v>OP-1</x:v>
      </x:c>
      <x:c r="G1212" s="7" t="n">
        <x:v>2</x:v>
      </x:c>
      <x:c r="H1212" s="7" t="str"/>
      <x:c r="I1212" s="7" t="str"/>
      <x:c r="J1212" s="7" t="str">
        <x:f>IF(OR(H1212="",I1212=""),"",I1212-H1212)</x:f>
      </x:c>
      <x:c r="K1212" s="7" t="str"/>
      <x:c r="L1212" s="7" t="str"/>
      <x:c r="M1212" s="7" t="str"/>
      <x:c r="N1212" s="7" t="str">
        <x:f>IF(M1212="","OPEN",IF(OR(NOT(ISNUMBER(H1212)),NOT(ISNUMBER(I1212)),K1212="",L1212=""),"FAIL","PASS"))</x:f>
        <x:v>OPEN</x:v>
      </x:c>
    </x:row>
    <x:row r="1213">
      <x:c r="B1213" s="7" t="str">
        <x:v>TRO-C-03-S2-O2-R1</x:v>
      </x:c>
      <x:c r="C1213" s="7" t="str">
        <x:v>BLD-C</x:v>
      </x:c>
      <x:c r="D1213" s="7" t="str">
        <x:v>MF-03</x:v>
      </x:c>
      <x:c r="E1213" s="7" t="str">
        <x:v>STD-03-2</x:v>
      </x:c>
      <x:c r="F1213" s="7" t="str">
        <x:v>OP-2</x:v>
      </x:c>
      <x:c r="G1213" s="7" t="n">
        <x:v>1</x:v>
      </x:c>
      <x:c r="H1213" s="7" t="str"/>
      <x:c r="I1213" s="7" t="str"/>
      <x:c r="J1213" s="7" t="str">
        <x:f>IF(OR(H1213="",I1213=""),"",I1213-H1213)</x:f>
      </x:c>
      <x:c r="K1213" s="7" t="str"/>
      <x:c r="L1213" s="7" t="str"/>
      <x:c r="M1213" s="7" t="str"/>
      <x:c r="N1213" s="7" t="str">
        <x:f>IF(M1213="","OPEN",IF(OR(NOT(ISNUMBER(H1213)),NOT(ISNUMBER(I1213)),K1213="",L1213=""),"FAIL","PASS"))</x:f>
        <x:v>OPEN</x:v>
      </x:c>
    </x:row>
    <x:row r="1214">
      <x:c r="B1214" s="7" t="str">
        <x:v>TRO-C-03-S2-O2-R2</x:v>
      </x:c>
      <x:c r="C1214" s="7" t="str">
        <x:v>BLD-C</x:v>
      </x:c>
      <x:c r="D1214" s="7" t="str">
        <x:v>MF-03</x:v>
      </x:c>
      <x:c r="E1214" s="7" t="str">
        <x:v>STD-03-2</x:v>
      </x:c>
      <x:c r="F1214" s="7" t="str">
        <x:v>OP-2</x:v>
      </x:c>
      <x:c r="G1214" s="7" t="n">
        <x:v>2</x:v>
      </x:c>
      <x:c r="H1214" s="7" t="str"/>
      <x:c r="I1214" s="7" t="str"/>
      <x:c r="J1214" s="7" t="str">
        <x:f>IF(OR(H1214="",I1214=""),"",I1214-H1214)</x:f>
      </x:c>
      <x:c r="K1214" s="7" t="str"/>
      <x:c r="L1214" s="7" t="str"/>
      <x:c r="M1214" s="7" t="str"/>
      <x:c r="N1214" s="7" t="str">
        <x:f>IF(M1214="","OPEN",IF(OR(NOT(ISNUMBER(H1214)),NOT(ISNUMBER(I1214)),K1214="",L1214=""),"FAIL","PASS"))</x:f>
        <x:v>OPEN</x:v>
      </x:c>
    </x:row>
    <x:row r="1215">
      <x:c r="B1215" s="7" t="str">
        <x:v>TRO-C-03-S3-O1-R1</x:v>
      </x:c>
      <x:c r="C1215" s="7" t="str">
        <x:v>BLD-C</x:v>
      </x:c>
      <x:c r="D1215" s="7" t="str">
        <x:v>MF-03</x:v>
      </x:c>
      <x:c r="E1215" s="7" t="str">
        <x:v>STD-03-3</x:v>
      </x:c>
      <x:c r="F1215" s="7" t="str">
        <x:v>OP-1</x:v>
      </x:c>
      <x:c r="G1215" s="7" t="n">
        <x:v>1</x:v>
      </x:c>
      <x:c r="H1215" s="7" t="str"/>
      <x:c r="I1215" s="7" t="str"/>
      <x:c r="J1215" s="7" t="str">
        <x:f>IF(OR(H1215="",I1215=""),"",I1215-H1215)</x:f>
      </x:c>
      <x:c r="K1215" s="7" t="str"/>
      <x:c r="L1215" s="7" t="str"/>
      <x:c r="M1215" s="7" t="str"/>
      <x:c r="N1215" s="7" t="str">
        <x:f>IF(M1215="","OPEN",IF(OR(NOT(ISNUMBER(H1215)),NOT(ISNUMBER(I1215)),K1215="",L1215=""),"FAIL","PASS"))</x:f>
        <x:v>OPEN</x:v>
      </x:c>
    </x:row>
    <x:row r="1216">
      <x:c r="B1216" s="7" t="str">
        <x:v>TRO-C-03-S3-O1-R2</x:v>
      </x:c>
      <x:c r="C1216" s="7" t="str">
        <x:v>BLD-C</x:v>
      </x:c>
      <x:c r="D1216" s="7" t="str">
        <x:v>MF-03</x:v>
      </x:c>
      <x:c r="E1216" s="7" t="str">
        <x:v>STD-03-3</x:v>
      </x:c>
      <x:c r="F1216" s="7" t="str">
        <x:v>OP-1</x:v>
      </x:c>
      <x:c r="G1216" s="7" t="n">
        <x:v>2</x:v>
      </x:c>
      <x:c r="H1216" s="7" t="str"/>
      <x:c r="I1216" s="7" t="str"/>
      <x:c r="J1216" s="7" t="str">
        <x:f>IF(OR(H1216="",I1216=""),"",I1216-H1216)</x:f>
      </x:c>
      <x:c r="K1216" s="7" t="str"/>
      <x:c r="L1216" s="7" t="str"/>
      <x:c r="M1216" s="7" t="str"/>
      <x:c r="N1216" s="7" t="str">
        <x:f>IF(M1216="","OPEN",IF(OR(NOT(ISNUMBER(H1216)),NOT(ISNUMBER(I1216)),K1216="",L1216=""),"FAIL","PASS"))</x:f>
        <x:v>OPEN</x:v>
      </x:c>
    </x:row>
    <x:row r="1217">
      <x:c r="B1217" s="7" t="str">
        <x:v>TRO-C-03-S3-O2-R1</x:v>
      </x:c>
      <x:c r="C1217" s="7" t="str">
        <x:v>BLD-C</x:v>
      </x:c>
      <x:c r="D1217" s="7" t="str">
        <x:v>MF-03</x:v>
      </x:c>
      <x:c r="E1217" s="7" t="str">
        <x:v>STD-03-3</x:v>
      </x:c>
      <x:c r="F1217" s="7" t="str">
        <x:v>OP-2</x:v>
      </x:c>
      <x:c r="G1217" s="7" t="n">
        <x:v>1</x:v>
      </x:c>
      <x:c r="H1217" s="7" t="str"/>
      <x:c r="I1217" s="7" t="str"/>
      <x:c r="J1217" s="7" t="str">
        <x:f>IF(OR(H1217="",I1217=""),"",I1217-H1217)</x:f>
      </x:c>
      <x:c r="K1217" s="7" t="str"/>
      <x:c r="L1217" s="7" t="str"/>
      <x:c r="M1217" s="7" t="str"/>
      <x:c r="N1217" s="7" t="str">
        <x:f>IF(M1217="","OPEN",IF(OR(NOT(ISNUMBER(H1217)),NOT(ISNUMBER(I1217)),K1217="",L1217=""),"FAIL","PASS"))</x:f>
        <x:v>OPEN</x:v>
      </x:c>
    </x:row>
    <x:row r="1218">
      <x:c r="B1218" s="7" t="str">
        <x:v>TRO-C-03-S3-O2-R2</x:v>
      </x:c>
      <x:c r="C1218" s="7" t="str">
        <x:v>BLD-C</x:v>
      </x:c>
      <x:c r="D1218" s="7" t="str">
        <x:v>MF-03</x:v>
      </x:c>
      <x:c r="E1218" s="7" t="str">
        <x:v>STD-03-3</x:v>
      </x:c>
      <x:c r="F1218" s="7" t="str">
        <x:v>OP-2</x:v>
      </x:c>
      <x:c r="G1218" s="7" t="n">
        <x:v>2</x:v>
      </x:c>
      <x:c r="H1218" s="7" t="str"/>
      <x:c r="I1218" s="7" t="str"/>
      <x:c r="J1218" s="7" t="str">
        <x:f>IF(OR(H1218="",I1218=""),"",I1218-H1218)</x:f>
      </x:c>
      <x:c r="K1218" s="7" t="str"/>
      <x:c r="L1218" s="7" t="str"/>
      <x:c r="M1218" s="7" t="str"/>
      <x:c r="N1218" s="7" t="str">
        <x:f>IF(M1218="","OPEN",IF(OR(NOT(ISNUMBER(H1218)),NOT(ISNUMBER(I1218)),K1218="",L1218=""),"FAIL","PASS"))</x:f>
        <x:v>OPEN</x:v>
      </x:c>
    </x:row>
    <x:row r="1219">
      <x:c r="B1219" s="7" t="str">
        <x:v>TRO-C-03-S4-O1-R1</x:v>
      </x:c>
      <x:c r="C1219" s="7" t="str">
        <x:v>BLD-C</x:v>
      </x:c>
      <x:c r="D1219" s="7" t="str">
        <x:v>MF-03</x:v>
      </x:c>
      <x:c r="E1219" s="7" t="str">
        <x:v>STD-03-4</x:v>
      </x:c>
      <x:c r="F1219" s="7" t="str">
        <x:v>OP-1</x:v>
      </x:c>
      <x:c r="G1219" s="7" t="n">
        <x:v>1</x:v>
      </x:c>
      <x:c r="H1219" s="7" t="str"/>
      <x:c r="I1219" s="7" t="str"/>
      <x:c r="J1219" s="7" t="str">
        <x:f>IF(OR(H1219="",I1219=""),"",I1219-H1219)</x:f>
      </x:c>
      <x:c r="K1219" s="7" t="str"/>
      <x:c r="L1219" s="7" t="str"/>
      <x:c r="M1219" s="7" t="str"/>
      <x:c r="N1219" s="7" t="str">
        <x:f>IF(M1219="","OPEN",IF(OR(NOT(ISNUMBER(H1219)),NOT(ISNUMBER(I1219)),K1219="",L1219=""),"FAIL","PASS"))</x:f>
        <x:v>OPEN</x:v>
      </x:c>
    </x:row>
    <x:row r="1220">
      <x:c r="B1220" s="7" t="str">
        <x:v>TRO-C-03-S4-O1-R2</x:v>
      </x:c>
      <x:c r="C1220" s="7" t="str">
        <x:v>BLD-C</x:v>
      </x:c>
      <x:c r="D1220" s="7" t="str">
        <x:v>MF-03</x:v>
      </x:c>
      <x:c r="E1220" s="7" t="str">
        <x:v>STD-03-4</x:v>
      </x:c>
      <x:c r="F1220" s="7" t="str">
        <x:v>OP-1</x:v>
      </x:c>
      <x:c r="G1220" s="7" t="n">
        <x:v>2</x:v>
      </x:c>
      <x:c r="H1220" s="7" t="str"/>
      <x:c r="I1220" s="7" t="str"/>
      <x:c r="J1220" s="7" t="str">
        <x:f>IF(OR(H1220="",I1220=""),"",I1220-H1220)</x:f>
      </x:c>
      <x:c r="K1220" s="7" t="str"/>
      <x:c r="L1220" s="7" t="str"/>
      <x:c r="M1220" s="7" t="str"/>
      <x:c r="N1220" s="7" t="str">
        <x:f>IF(M1220="","OPEN",IF(OR(NOT(ISNUMBER(H1220)),NOT(ISNUMBER(I1220)),K1220="",L1220=""),"FAIL","PASS"))</x:f>
        <x:v>OPEN</x:v>
      </x:c>
    </x:row>
    <x:row r="1221">
      <x:c r="B1221" s="7" t="str">
        <x:v>TRO-C-03-S4-O2-R1</x:v>
      </x:c>
      <x:c r="C1221" s="7" t="str">
        <x:v>BLD-C</x:v>
      </x:c>
      <x:c r="D1221" s="7" t="str">
        <x:v>MF-03</x:v>
      </x:c>
      <x:c r="E1221" s="7" t="str">
        <x:v>STD-03-4</x:v>
      </x:c>
      <x:c r="F1221" s="7" t="str">
        <x:v>OP-2</x:v>
      </x:c>
      <x:c r="G1221" s="7" t="n">
        <x:v>1</x:v>
      </x:c>
      <x:c r="H1221" s="7" t="str"/>
      <x:c r="I1221" s="7" t="str"/>
      <x:c r="J1221" s="7" t="str">
        <x:f>IF(OR(H1221="",I1221=""),"",I1221-H1221)</x:f>
      </x:c>
      <x:c r="K1221" s="7" t="str"/>
      <x:c r="L1221" s="7" t="str"/>
      <x:c r="M1221" s="7" t="str"/>
      <x:c r="N1221" s="7" t="str">
        <x:f>IF(M1221="","OPEN",IF(OR(NOT(ISNUMBER(H1221)),NOT(ISNUMBER(I1221)),K1221="",L1221=""),"FAIL","PASS"))</x:f>
        <x:v>OPEN</x:v>
      </x:c>
    </x:row>
    <x:row r="1222">
      <x:c r="B1222" s="7" t="str">
        <x:v>TRO-C-03-S4-O2-R2</x:v>
      </x:c>
      <x:c r="C1222" s="7" t="str">
        <x:v>BLD-C</x:v>
      </x:c>
      <x:c r="D1222" s="7" t="str">
        <x:v>MF-03</x:v>
      </x:c>
      <x:c r="E1222" s="7" t="str">
        <x:v>STD-03-4</x:v>
      </x:c>
      <x:c r="F1222" s="7" t="str">
        <x:v>OP-2</x:v>
      </x:c>
      <x:c r="G1222" s="7" t="n">
        <x:v>2</x:v>
      </x:c>
      <x:c r="H1222" s="7" t="str"/>
      <x:c r="I1222" s="7" t="str"/>
      <x:c r="J1222" s="7" t="str">
        <x:f>IF(OR(H1222="",I1222=""),"",I1222-H1222)</x:f>
      </x:c>
      <x:c r="K1222" s="7" t="str"/>
      <x:c r="L1222" s="7" t="str"/>
      <x:c r="M1222" s="7" t="str"/>
      <x:c r="N1222" s="7" t="str">
        <x:f>IF(M1222="","OPEN",IF(OR(NOT(ISNUMBER(H1222)),NOT(ISNUMBER(I1222)),K1222="",L1222=""),"FAIL","PASS"))</x:f>
        <x:v>OPEN</x:v>
      </x:c>
    </x:row>
    <x:row r="1223">
      <x:c r="B1223" s="7" t="str">
        <x:v>TRO-C-03-S5-O1-R1</x:v>
      </x:c>
      <x:c r="C1223" s="7" t="str">
        <x:v>BLD-C</x:v>
      </x:c>
      <x:c r="D1223" s="7" t="str">
        <x:v>MF-03</x:v>
      </x:c>
      <x:c r="E1223" s="7" t="str">
        <x:v>STD-03-5</x:v>
      </x:c>
      <x:c r="F1223" s="7" t="str">
        <x:v>OP-1</x:v>
      </x:c>
      <x:c r="G1223" s="7" t="n">
        <x:v>1</x:v>
      </x:c>
      <x:c r="H1223" s="7" t="str"/>
      <x:c r="I1223" s="7" t="str"/>
      <x:c r="J1223" s="7" t="str">
        <x:f>IF(OR(H1223="",I1223=""),"",I1223-H1223)</x:f>
      </x:c>
      <x:c r="K1223" s="7" t="str"/>
      <x:c r="L1223" s="7" t="str"/>
      <x:c r="M1223" s="7" t="str"/>
      <x:c r="N1223" s="7" t="str">
        <x:f>IF(M1223="","OPEN",IF(OR(NOT(ISNUMBER(H1223)),NOT(ISNUMBER(I1223)),K1223="",L1223=""),"FAIL","PASS"))</x:f>
        <x:v>OPEN</x:v>
      </x:c>
    </x:row>
    <x:row r="1224">
      <x:c r="B1224" s="7" t="str">
        <x:v>TRO-C-03-S5-O1-R2</x:v>
      </x:c>
      <x:c r="C1224" s="7" t="str">
        <x:v>BLD-C</x:v>
      </x:c>
      <x:c r="D1224" s="7" t="str">
        <x:v>MF-03</x:v>
      </x:c>
      <x:c r="E1224" s="7" t="str">
        <x:v>STD-03-5</x:v>
      </x:c>
      <x:c r="F1224" s="7" t="str">
        <x:v>OP-1</x:v>
      </x:c>
      <x:c r="G1224" s="7" t="n">
        <x:v>2</x:v>
      </x:c>
      <x:c r="H1224" s="7" t="str"/>
      <x:c r="I1224" s="7" t="str"/>
      <x:c r="J1224" s="7" t="str">
        <x:f>IF(OR(H1224="",I1224=""),"",I1224-H1224)</x:f>
      </x:c>
      <x:c r="K1224" s="7" t="str"/>
      <x:c r="L1224" s="7" t="str"/>
      <x:c r="M1224" s="7" t="str"/>
      <x:c r="N1224" s="7" t="str">
        <x:f>IF(M1224="","OPEN",IF(OR(NOT(ISNUMBER(H1224)),NOT(ISNUMBER(I1224)),K1224="",L1224=""),"FAIL","PASS"))</x:f>
        <x:v>OPEN</x:v>
      </x:c>
    </x:row>
    <x:row r="1225">
      <x:c r="B1225" s="7" t="str">
        <x:v>TRO-C-03-S5-O2-R1</x:v>
      </x:c>
      <x:c r="C1225" s="7" t="str">
        <x:v>BLD-C</x:v>
      </x:c>
      <x:c r="D1225" s="7" t="str">
        <x:v>MF-03</x:v>
      </x:c>
      <x:c r="E1225" s="7" t="str">
        <x:v>STD-03-5</x:v>
      </x:c>
      <x:c r="F1225" s="7" t="str">
        <x:v>OP-2</x:v>
      </x:c>
      <x:c r="G1225" s="7" t="n">
        <x:v>1</x:v>
      </x:c>
      <x:c r="H1225" s="7" t="str"/>
      <x:c r="I1225" s="7" t="str"/>
      <x:c r="J1225" s="7" t="str">
        <x:f>IF(OR(H1225="",I1225=""),"",I1225-H1225)</x:f>
      </x:c>
      <x:c r="K1225" s="7" t="str"/>
      <x:c r="L1225" s="7" t="str"/>
      <x:c r="M1225" s="7" t="str"/>
      <x:c r="N1225" s="7" t="str">
        <x:f>IF(M1225="","OPEN",IF(OR(NOT(ISNUMBER(H1225)),NOT(ISNUMBER(I1225)),K1225="",L1225=""),"FAIL","PASS"))</x:f>
        <x:v>OPEN</x:v>
      </x:c>
    </x:row>
    <x:row r="1226">
      <x:c r="B1226" s="7" t="str">
        <x:v>TRO-C-03-S5-O2-R2</x:v>
      </x:c>
      <x:c r="C1226" s="7" t="str">
        <x:v>BLD-C</x:v>
      </x:c>
      <x:c r="D1226" s="7" t="str">
        <x:v>MF-03</x:v>
      </x:c>
      <x:c r="E1226" s="7" t="str">
        <x:v>STD-03-5</x:v>
      </x:c>
      <x:c r="F1226" s="7" t="str">
        <x:v>OP-2</x:v>
      </x:c>
      <x:c r="G1226" s="7" t="n">
        <x:v>2</x:v>
      </x:c>
      <x:c r="H1226" s="7" t="str"/>
      <x:c r="I1226" s="7" t="str"/>
      <x:c r="J1226" s="7" t="str">
        <x:f>IF(OR(H1226="",I1226=""),"",I1226-H1226)</x:f>
      </x:c>
      <x:c r="K1226" s="7" t="str"/>
      <x:c r="L1226" s="7" t="str"/>
      <x:c r="M1226" s="7" t="str"/>
      <x:c r="N1226" s="7" t="str">
        <x:f>IF(M1226="","OPEN",IF(OR(NOT(ISNUMBER(H1226)),NOT(ISNUMBER(I1226)),K1226="",L1226=""),"FAIL","PASS"))</x:f>
        <x:v>OPEN</x:v>
      </x:c>
    </x:row>
    <x:row r="1227">
      <x:c r="B1227" s="7" t="str">
        <x:v>TRO-C-03-S6-O1-R1</x:v>
      </x:c>
      <x:c r="C1227" s="7" t="str">
        <x:v>BLD-C</x:v>
      </x:c>
      <x:c r="D1227" s="7" t="str">
        <x:v>MF-03</x:v>
      </x:c>
      <x:c r="E1227" s="7" t="str">
        <x:v>STD-03-6</x:v>
      </x:c>
      <x:c r="F1227" s="7" t="str">
        <x:v>OP-1</x:v>
      </x:c>
      <x:c r="G1227" s="7" t="n">
        <x:v>1</x:v>
      </x:c>
      <x:c r="H1227" s="7" t="str"/>
      <x:c r="I1227" s="7" t="str"/>
      <x:c r="J1227" s="7" t="str">
        <x:f>IF(OR(H1227="",I1227=""),"",I1227-H1227)</x:f>
      </x:c>
      <x:c r="K1227" s="7" t="str"/>
      <x:c r="L1227" s="7" t="str"/>
      <x:c r="M1227" s="7" t="str"/>
      <x:c r="N1227" s="7" t="str">
        <x:f>IF(M1227="","OPEN",IF(OR(NOT(ISNUMBER(H1227)),NOT(ISNUMBER(I1227)),K1227="",L1227=""),"FAIL","PASS"))</x:f>
        <x:v>OPEN</x:v>
      </x:c>
    </x:row>
    <x:row r="1228">
      <x:c r="B1228" s="7" t="str">
        <x:v>TRO-C-03-S6-O1-R2</x:v>
      </x:c>
      <x:c r="C1228" s="7" t="str">
        <x:v>BLD-C</x:v>
      </x:c>
      <x:c r="D1228" s="7" t="str">
        <x:v>MF-03</x:v>
      </x:c>
      <x:c r="E1228" s="7" t="str">
        <x:v>STD-03-6</x:v>
      </x:c>
      <x:c r="F1228" s="7" t="str">
        <x:v>OP-1</x:v>
      </x:c>
      <x:c r="G1228" s="7" t="n">
        <x:v>2</x:v>
      </x:c>
      <x:c r="H1228" s="7" t="str"/>
      <x:c r="I1228" s="7" t="str"/>
      <x:c r="J1228" s="7" t="str">
        <x:f>IF(OR(H1228="",I1228=""),"",I1228-H1228)</x:f>
      </x:c>
      <x:c r="K1228" s="7" t="str"/>
      <x:c r="L1228" s="7" t="str"/>
      <x:c r="M1228" s="7" t="str"/>
      <x:c r="N1228" s="7" t="str">
        <x:f>IF(M1228="","OPEN",IF(OR(NOT(ISNUMBER(H1228)),NOT(ISNUMBER(I1228)),K1228="",L1228=""),"FAIL","PASS"))</x:f>
        <x:v>OPEN</x:v>
      </x:c>
    </x:row>
    <x:row r="1229">
      <x:c r="B1229" s="7" t="str">
        <x:v>TRO-C-03-S6-O2-R1</x:v>
      </x:c>
      <x:c r="C1229" s="7" t="str">
        <x:v>BLD-C</x:v>
      </x:c>
      <x:c r="D1229" s="7" t="str">
        <x:v>MF-03</x:v>
      </x:c>
      <x:c r="E1229" s="7" t="str">
        <x:v>STD-03-6</x:v>
      </x:c>
      <x:c r="F1229" s="7" t="str">
        <x:v>OP-2</x:v>
      </x:c>
      <x:c r="G1229" s="7" t="n">
        <x:v>1</x:v>
      </x:c>
      <x:c r="H1229" s="7" t="str"/>
      <x:c r="I1229" s="7" t="str"/>
      <x:c r="J1229" s="7" t="str">
        <x:f>IF(OR(H1229="",I1229=""),"",I1229-H1229)</x:f>
      </x:c>
      <x:c r="K1229" s="7" t="str"/>
      <x:c r="L1229" s="7" t="str"/>
      <x:c r="M1229" s="7" t="str"/>
      <x:c r="N1229" s="7" t="str">
        <x:f>IF(M1229="","OPEN",IF(OR(NOT(ISNUMBER(H1229)),NOT(ISNUMBER(I1229)),K1229="",L1229=""),"FAIL","PASS"))</x:f>
        <x:v>OPEN</x:v>
      </x:c>
    </x:row>
    <x:row r="1230">
      <x:c r="B1230" s="7" t="str">
        <x:v>TRO-C-03-S6-O2-R2</x:v>
      </x:c>
      <x:c r="C1230" s="7" t="str">
        <x:v>BLD-C</x:v>
      </x:c>
      <x:c r="D1230" s="7" t="str">
        <x:v>MF-03</x:v>
      </x:c>
      <x:c r="E1230" s="7" t="str">
        <x:v>STD-03-6</x:v>
      </x:c>
      <x:c r="F1230" s="7" t="str">
        <x:v>OP-2</x:v>
      </x:c>
      <x:c r="G1230" s="7" t="n">
        <x:v>2</x:v>
      </x:c>
      <x:c r="H1230" s="7" t="str"/>
      <x:c r="I1230" s="7" t="str"/>
      <x:c r="J1230" s="7" t="str">
        <x:f>IF(OR(H1230="",I1230=""),"",I1230-H1230)</x:f>
      </x:c>
      <x:c r="K1230" s="7" t="str"/>
      <x:c r="L1230" s="7" t="str"/>
      <x:c r="M1230" s="7" t="str"/>
      <x:c r="N1230" s="7" t="str">
        <x:f>IF(M1230="","OPEN",IF(OR(NOT(ISNUMBER(H1230)),NOT(ISNUMBER(I1230)),K1230="",L1230=""),"FAIL","PASS"))</x:f>
        <x:v>OPEN</x:v>
      </x:c>
    </x:row>
    <x:row r="1231">
      <x:c r="B1231" s="7" t="str">
        <x:v>TRO-C-04-S1-O1-R1</x:v>
      </x:c>
      <x:c r="C1231" s="7" t="str">
        <x:v>BLD-C</x:v>
      </x:c>
      <x:c r="D1231" s="7" t="str">
        <x:v>MF-04</x:v>
      </x:c>
      <x:c r="E1231" s="7" t="str">
        <x:v>STD-04-1</x:v>
      </x:c>
      <x:c r="F1231" s="7" t="str">
        <x:v>OP-1</x:v>
      </x:c>
      <x:c r="G1231" s="7" t="n">
        <x:v>1</x:v>
      </x:c>
      <x:c r="H1231" s="7" t="str"/>
      <x:c r="I1231" s="7" t="str"/>
      <x:c r="J1231" s="7" t="str">
        <x:f>IF(OR(H1231="",I1231=""),"",I1231-H1231)</x:f>
      </x:c>
      <x:c r="K1231" s="7" t="str"/>
      <x:c r="L1231" s="7" t="str"/>
      <x:c r="M1231" s="7" t="str"/>
      <x:c r="N1231" s="7" t="str">
        <x:f>IF(M1231="","OPEN",IF(OR(NOT(ISNUMBER(H1231)),NOT(ISNUMBER(I1231)),K1231="",L1231=""),"FAIL","PASS"))</x:f>
        <x:v>OPEN</x:v>
      </x:c>
    </x:row>
    <x:row r="1232">
      <x:c r="B1232" s="7" t="str">
        <x:v>TRO-C-04-S1-O1-R2</x:v>
      </x:c>
      <x:c r="C1232" s="7" t="str">
        <x:v>BLD-C</x:v>
      </x:c>
      <x:c r="D1232" s="7" t="str">
        <x:v>MF-04</x:v>
      </x:c>
      <x:c r="E1232" s="7" t="str">
        <x:v>STD-04-1</x:v>
      </x:c>
      <x:c r="F1232" s="7" t="str">
        <x:v>OP-1</x:v>
      </x:c>
      <x:c r="G1232" s="7" t="n">
        <x:v>2</x:v>
      </x:c>
      <x:c r="H1232" s="7" t="str"/>
      <x:c r="I1232" s="7" t="str"/>
      <x:c r="J1232" s="7" t="str">
        <x:f>IF(OR(H1232="",I1232=""),"",I1232-H1232)</x:f>
      </x:c>
      <x:c r="K1232" s="7" t="str"/>
      <x:c r="L1232" s="7" t="str"/>
      <x:c r="M1232" s="7" t="str"/>
      <x:c r="N1232" s="7" t="str">
        <x:f>IF(M1232="","OPEN",IF(OR(NOT(ISNUMBER(H1232)),NOT(ISNUMBER(I1232)),K1232="",L1232=""),"FAIL","PASS"))</x:f>
        <x:v>OPEN</x:v>
      </x:c>
    </x:row>
    <x:row r="1233">
      <x:c r="B1233" s="7" t="str">
        <x:v>TRO-C-04-S1-O2-R1</x:v>
      </x:c>
      <x:c r="C1233" s="7" t="str">
        <x:v>BLD-C</x:v>
      </x:c>
      <x:c r="D1233" s="7" t="str">
        <x:v>MF-04</x:v>
      </x:c>
      <x:c r="E1233" s="7" t="str">
        <x:v>STD-04-1</x:v>
      </x:c>
      <x:c r="F1233" s="7" t="str">
        <x:v>OP-2</x:v>
      </x:c>
      <x:c r="G1233" s="7" t="n">
        <x:v>1</x:v>
      </x:c>
      <x:c r="H1233" s="7" t="str"/>
      <x:c r="I1233" s="7" t="str"/>
      <x:c r="J1233" s="7" t="str">
        <x:f>IF(OR(H1233="",I1233=""),"",I1233-H1233)</x:f>
      </x:c>
      <x:c r="K1233" s="7" t="str"/>
      <x:c r="L1233" s="7" t="str"/>
      <x:c r="M1233" s="7" t="str"/>
      <x:c r="N1233" s="7" t="str">
        <x:f>IF(M1233="","OPEN",IF(OR(NOT(ISNUMBER(H1233)),NOT(ISNUMBER(I1233)),K1233="",L1233=""),"FAIL","PASS"))</x:f>
        <x:v>OPEN</x:v>
      </x:c>
    </x:row>
    <x:row r="1234">
      <x:c r="B1234" s="7" t="str">
        <x:v>TRO-C-04-S1-O2-R2</x:v>
      </x:c>
      <x:c r="C1234" s="7" t="str">
        <x:v>BLD-C</x:v>
      </x:c>
      <x:c r="D1234" s="7" t="str">
        <x:v>MF-04</x:v>
      </x:c>
      <x:c r="E1234" s="7" t="str">
        <x:v>STD-04-1</x:v>
      </x:c>
      <x:c r="F1234" s="7" t="str">
        <x:v>OP-2</x:v>
      </x:c>
      <x:c r="G1234" s="7" t="n">
        <x:v>2</x:v>
      </x:c>
      <x:c r="H1234" s="7" t="str"/>
      <x:c r="I1234" s="7" t="str"/>
      <x:c r="J1234" s="7" t="str">
        <x:f>IF(OR(H1234="",I1234=""),"",I1234-H1234)</x:f>
      </x:c>
      <x:c r="K1234" s="7" t="str"/>
      <x:c r="L1234" s="7" t="str"/>
      <x:c r="M1234" s="7" t="str"/>
      <x:c r="N1234" s="7" t="str">
        <x:f>IF(M1234="","OPEN",IF(OR(NOT(ISNUMBER(H1234)),NOT(ISNUMBER(I1234)),K1234="",L1234=""),"FAIL","PASS"))</x:f>
        <x:v>OPEN</x:v>
      </x:c>
    </x:row>
    <x:row r="1235">
      <x:c r="B1235" s="7" t="str">
        <x:v>TRO-C-04-S2-O1-R1</x:v>
      </x:c>
      <x:c r="C1235" s="7" t="str">
        <x:v>BLD-C</x:v>
      </x:c>
      <x:c r="D1235" s="7" t="str">
        <x:v>MF-04</x:v>
      </x:c>
      <x:c r="E1235" s="7" t="str">
        <x:v>STD-04-2</x:v>
      </x:c>
      <x:c r="F1235" s="7" t="str">
        <x:v>OP-1</x:v>
      </x:c>
      <x:c r="G1235" s="7" t="n">
        <x:v>1</x:v>
      </x:c>
      <x:c r="H1235" s="7" t="str"/>
      <x:c r="I1235" s="7" t="str"/>
      <x:c r="J1235" s="7" t="str">
        <x:f>IF(OR(H1235="",I1235=""),"",I1235-H1235)</x:f>
      </x:c>
      <x:c r="K1235" s="7" t="str"/>
      <x:c r="L1235" s="7" t="str"/>
      <x:c r="M1235" s="7" t="str"/>
      <x:c r="N1235" s="7" t="str">
        <x:f>IF(M1235="","OPEN",IF(OR(NOT(ISNUMBER(H1235)),NOT(ISNUMBER(I1235)),K1235="",L1235=""),"FAIL","PASS"))</x:f>
        <x:v>OPEN</x:v>
      </x:c>
    </x:row>
    <x:row r="1236">
      <x:c r="B1236" s="7" t="str">
        <x:v>TRO-C-04-S2-O1-R2</x:v>
      </x:c>
      <x:c r="C1236" s="7" t="str">
        <x:v>BLD-C</x:v>
      </x:c>
      <x:c r="D1236" s="7" t="str">
        <x:v>MF-04</x:v>
      </x:c>
      <x:c r="E1236" s="7" t="str">
        <x:v>STD-04-2</x:v>
      </x:c>
      <x:c r="F1236" s="7" t="str">
        <x:v>OP-1</x:v>
      </x:c>
      <x:c r="G1236" s="7" t="n">
        <x:v>2</x:v>
      </x:c>
      <x:c r="H1236" s="7" t="str"/>
      <x:c r="I1236" s="7" t="str"/>
      <x:c r="J1236" s="7" t="str">
        <x:f>IF(OR(H1236="",I1236=""),"",I1236-H1236)</x:f>
      </x:c>
      <x:c r="K1236" s="7" t="str"/>
      <x:c r="L1236" s="7" t="str"/>
      <x:c r="M1236" s="7" t="str"/>
      <x:c r="N1236" s="7" t="str">
        <x:f>IF(M1236="","OPEN",IF(OR(NOT(ISNUMBER(H1236)),NOT(ISNUMBER(I1236)),K1236="",L1236=""),"FAIL","PASS"))</x:f>
        <x:v>OPEN</x:v>
      </x:c>
    </x:row>
    <x:row r="1237">
      <x:c r="B1237" s="7" t="str">
        <x:v>TRO-C-04-S2-O2-R1</x:v>
      </x:c>
      <x:c r="C1237" s="7" t="str">
        <x:v>BLD-C</x:v>
      </x:c>
      <x:c r="D1237" s="7" t="str">
        <x:v>MF-04</x:v>
      </x:c>
      <x:c r="E1237" s="7" t="str">
        <x:v>STD-04-2</x:v>
      </x:c>
      <x:c r="F1237" s="7" t="str">
        <x:v>OP-2</x:v>
      </x:c>
      <x:c r="G1237" s="7" t="n">
        <x:v>1</x:v>
      </x:c>
      <x:c r="H1237" s="7" t="str"/>
      <x:c r="I1237" s="7" t="str"/>
      <x:c r="J1237" s="7" t="str">
        <x:f>IF(OR(H1237="",I1237=""),"",I1237-H1237)</x:f>
      </x:c>
      <x:c r="K1237" s="7" t="str"/>
      <x:c r="L1237" s="7" t="str"/>
      <x:c r="M1237" s="7" t="str"/>
      <x:c r="N1237" s="7" t="str">
        <x:f>IF(M1237="","OPEN",IF(OR(NOT(ISNUMBER(H1237)),NOT(ISNUMBER(I1237)),K1237="",L1237=""),"FAIL","PASS"))</x:f>
        <x:v>OPEN</x:v>
      </x:c>
    </x:row>
    <x:row r="1238">
      <x:c r="B1238" s="7" t="str">
        <x:v>TRO-C-04-S2-O2-R2</x:v>
      </x:c>
      <x:c r="C1238" s="7" t="str">
        <x:v>BLD-C</x:v>
      </x:c>
      <x:c r="D1238" s="7" t="str">
        <x:v>MF-04</x:v>
      </x:c>
      <x:c r="E1238" s="7" t="str">
        <x:v>STD-04-2</x:v>
      </x:c>
      <x:c r="F1238" s="7" t="str">
        <x:v>OP-2</x:v>
      </x:c>
      <x:c r="G1238" s="7" t="n">
        <x:v>2</x:v>
      </x:c>
      <x:c r="H1238" s="7" t="str"/>
      <x:c r="I1238" s="7" t="str"/>
      <x:c r="J1238" s="7" t="str">
        <x:f>IF(OR(H1238="",I1238=""),"",I1238-H1238)</x:f>
      </x:c>
      <x:c r="K1238" s="7" t="str"/>
      <x:c r="L1238" s="7" t="str"/>
      <x:c r="M1238" s="7" t="str"/>
      <x:c r="N1238" s="7" t="str">
        <x:f>IF(M1238="","OPEN",IF(OR(NOT(ISNUMBER(H1238)),NOT(ISNUMBER(I1238)),K1238="",L1238=""),"FAIL","PASS"))</x:f>
        <x:v>OPEN</x:v>
      </x:c>
    </x:row>
    <x:row r="1239">
      <x:c r="B1239" s="7" t="str">
        <x:v>TRO-C-04-S3-O1-R1</x:v>
      </x:c>
      <x:c r="C1239" s="7" t="str">
        <x:v>BLD-C</x:v>
      </x:c>
      <x:c r="D1239" s="7" t="str">
        <x:v>MF-04</x:v>
      </x:c>
      <x:c r="E1239" s="7" t="str">
        <x:v>STD-04-3</x:v>
      </x:c>
      <x:c r="F1239" s="7" t="str">
        <x:v>OP-1</x:v>
      </x:c>
      <x:c r="G1239" s="7" t="n">
        <x:v>1</x:v>
      </x:c>
      <x:c r="H1239" s="7" t="str"/>
      <x:c r="I1239" s="7" t="str"/>
      <x:c r="J1239" s="7" t="str">
        <x:f>IF(OR(H1239="",I1239=""),"",I1239-H1239)</x:f>
      </x:c>
      <x:c r="K1239" s="7" t="str"/>
      <x:c r="L1239" s="7" t="str"/>
      <x:c r="M1239" s="7" t="str"/>
      <x:c r="N1239" s="7" t="str">
        <x:f>IF(M1239="","OPEN",IF(OR(NOT(ISNUMBER(H1239)),NOT(ISNUMBER(I1239)),K1239="",L1239=""),"FAIL","PASS"))</x:f>
        <x:v>OPEN</x:v>
      </x:c>
    </x:row>
    <x:row r="1240">
      <x:c r="B1240" s="7" t="str">
        <x:v>TRO-C-04-S3-O1-R2</x:v>
      </x:c>
      <x:c r="C1240" s="7" t="str">
        <x:v>BLD-C</x:v>
      </x:c>
      <x:c r="D1240" s="7" t="str">
        <x:v>MF-04</x:v>
      </x:c>
      <x:c r="E1240" s="7" t="str">
        <x:v>STD-04-3</x:v>
      </x:c>
      <x:c r="F1240" s="7" t="str">
        <x:v>OP-1</x:v>
      </x:c>
      <x:c r="G1240" s="7" t="n">
        <x:v>2</x:v>
      </x:c>
      <x:c r="H1240" s="7" t="str"/>
      <x:c r="I1240" s="7" t="str"/>
      <x:c r="J1240" s="7" t="str">
        <x:f>IF(OR(H1240="",I1240=""),"",I1240-H1240)</x:f>
      </x:c>
      <x:c r="K1240" s="7" t="str"/>
      <x:c r="L1240" s="7" t="str"/>
      <x:c r="M1240" s="7" t="str"/>
      <x:c r="N1240" s="7" t="str">
        <x:f>IF(M1240="","OPEN",IF(OR(NOT(ISNUMBER(H1240)),NOT(ISNUMBER(I1240)),K1240="",L1240=""),"FAIL","PASS"))</x:f>
        <x:v>OPEN</x:v>
      </x:c>
    </x:row>
    <x:row r="1241">
      <x:c r="B1241" s="7" t="str">
        <x:v>TRO-C-04-S3-O2-R1</x:v>
      </x:c>
      <x:c r="C1241" s="7" t="str">
        <x:v>BLD-C</x:v>
      </x:c>
      <x:c r="D1241" s="7" t="str">
        <x:v>MF-04</x:v>
      </x:c>
      <x:c r="E1241" s="7" t="str">
        <x:v>STD-04-3</x:v>
      </x:c>
      <x:c r="F1241" s="7" t="str">
        <x:v>OP-2</x:v>
      </x:c>
      <x:c r="G1241" s="7" t="n">
        <x:v>1</x:v>
      </x:c>
      <x:c r="H1241" s="7" t="str"/>
      <x:c r="I1241" s="7" t="str"/>
      <x:c r="J1241" s="7" t="str">
        <x:f>IF(OR(H1241="",I1241=""),"",I1241-H1241)</x:f>
      </x:c>
      <x:c r="K1241" s="7" t="str"/>
      <x:c r="L1241" s="7" t="str"/>
      <x:c r="M1241" s="7" t="str"/>
      <x:c r="N1241" s="7" t="str">
        <x:f>IF(M1241="","OPEN",IF(OR(NOT(ISNUMBER(H1241)),NOT(ISNUMBER(I1241)),K1241="",L1241=""),"FAIL","PASS"))</x:f>
        <x:v>OPEN</x:v>
      </x:c>
    </x:row>
    <x:row r="1242">
      <x:c r="B1242" s="7" t="str">
        <x:v>TRO-C-04-S3-O2-R2</x:v>
      </x:c>
      <x:c r="C1242" s="7" t="str">
        <x:v>BLD-C</x:v>
      </x:c>
      <x:c r="D1242" s="7" t="str">
        <x:v>MF-04</x:v>
      </x:c>
      <x:c r="E1242" s="7" t="str">
        <x:v>STD-04-3</x:v>
      </x:c>
      <x:c r="F1242" s="7" t="str">
        <x:v>OP-2</x:v>
      </x:c>
      <x:c r="G1242" s="7" t="n">
        <x:v>2</x:v>
      </x:c>
      <x:c r="H1242" s="7" t="str"/>
      <x:c r="I1242" s="7" t="str"/>
      <x:c r="J1242" s="7" t="str">
        <x:f>IF(OR(H1242="",I1242=""),"",I1242-H1242)</x:f>
      </x:c>
      <x:c r="K1242" s="7" t="str"/>
      <x:c r="L1242" s="7" t="str"/>
      <x:c r="M1242" s="7" t="str"/>
      <x:c r="N1242" s="7" t="str">
        <x:f>IF(M1242="","OPEN",IF(OR(NOT(ISNUMBER(H1242)),NOT(ISNUMBER(I1242)),K1242="",L1242=""),"FAIL","PASS"))</x:f>
        <x:v>OPEN</x:v>
      </x:c>
    </x:row>
    <x:row r="1243">
      <x:c r="B1243" s="7" t="str">
        <x:v>TRO-C-04-S4-O1-R1</x:v>
      </x:c>
      <x:c r="C1243" s="7" t="str">
        <x:v>BLD-C</x:v>
      </x:c>
      <x:c r="D1243" s="7" t="str">
        <x:v>MF-04</x:v>
      </x:c>
      <x:c r="E1243" s="7" t="str">
        <x:v>STD-04-4</x:v>
      </x:c>
      <x:c r="F1243" s="7" t="str">
        <x:v>OP-1</x:v>
      </x:c>
      <x:c r="G1243" s="7" t="n">
        <x:v>1</x:v>
      </x:c>
      <x:c r="H1243" s="7" t="str"/>
      <x:c r="I1243" s="7" t="str"/>
      <x:c r="J1243" s="7" t="str">
        <x:f>IF(OR(H1243="",I1243=""),"",I1243-H1243)</x:f>
      </x:c>
      <x:c r="K1243" s="7" t="str"/>
      <x:c r="L1243" s="7" t="str"/>
      <x:c r="M1243" s="7" t="str"/>
      <x:c r="N1243" s="7" t="str">
        <x:f>IF(M1243="","OPEN",IF(OR(NOT(ISNUMBER(H1243)),NOT(ISNUMBER(I1243)),K1243="",L1243=""),"FAIL","PASS"))</x:f>
        <x:v>OPEN</x:v>
      </x:c>
    </x:row>
    <x:row r="1244">
      <x:c r="B1244" s="7" t="str">
        <x:v>TRO-C-04-S4-O1-R2</x:v>
      </x:c>
      <x:c r="C1244" s="7" t="str">
        <x:v>BLD-C</x:v>
      </x:c>
      <x:c r="D1244" s="7" t="str">
        <x:v>MF-04</x:v>
      </x:c>
      <x:c r="E1244" s="7" t="str">
        <x:v>STD-04-4</x:v>
      </x:c>
      <x:c r="F1244" s="7" t="str">
        <x:v>OP-1</x:v>
      </x:c>
      <x:c r="G1244" s="7" t="n">
        <x:v>2</x:v>
      </x:c>
      <x:c r="H1244" s="7" t="str"/>
      <x:c r="I1244" s="7" t="str"/>
      <x:c r="J1244" s="7" t="str">
        <x:f>IF(OR(H1244="",I1244=""),"",I1244-H1244)</x:f>
      </x:c>
      <x:c r="K1244" s="7" t="str"/>
      <x:c r="L1244" s="7" t="str"/>
      <x:c r="M1244" s="7" t="str"/>
      <x:c r="N1244" s="7" t="str">
        <x:f>IF(M1244="","OPEN",IF(OR(NOT(ISNUMBER(H1244)),NOT(ISNUMBER(I1244)),K1244="",L1244=""),"FAIL","PASS"))</x:f>
        <x:v>OPEN</x:v>
      </x:c>
    </x:row>
    <x:row r="1245">
      <x:c r="B1245" s="7" t="str">
        <x:v>TRO-C-04-S4-O2-R1</x:v>
      </x:c>
      <x:c r="C1245" s="7" t="str">
        <x:v>BLD-C</x:v>
      </x:c>
      <x:c r="D1245" s="7" t="str">
        <x:v>MF-04</x:v>
      </x:c>
      <x:c r="E1245" s="7" t="str">
        <x:v>STD-04-4</x:v>
      </x:c>
      <x:c r="F1245" s="7" t="str">
        <x:v>OP-2</x:v>
      </x:c>
      <x:c r="G1245" s="7" t="n">
        <x:v>1</x:v>
      </x:c>
      <x:c r="H1245" s="7" t="str"/>
      <x:c r="I1245" s="7" t="str"/>
      <x:c r="J1245" s="7" t="str">
        <x:f>IF(OR(H1245="",I1245=""),"",I1245-H1245)</x:f>
      </x:c>
      <x:c r="K1245" s="7" t="str"/>
      <x:c r="L1245" s="7" t="str"/>
      <x:c r="M1245" s="7" t="str"/>
      <x:c r="N1245" s="7" t="str">
        <x:f>IF(M1245="","OPEN",IF(OR(NOT(ISNUMBER(H1245)),NOT(ISNUMBER(I1245)),K1245="",L1245=""),"FAIL","PASS"))</x:f>
        <x:v>OPEN</x:v>
      </x:c>
    </x:row>
    <x:row r="1246">
      <x:c r="B1246" s="7" t="str">
        <x:v>TRO-C-04-S4-O2-R2</x:v>
      </x:c>
      <x:c r="C1246" s="7" t="str">
        <x:v>BLD-C</x:v>
      </x:c>
      <x:c r="D1246" s="7" t="str">
        <x:v>MF-04</x:v>
      </x:c>
      <x:c r="E1246" s="7" t="str">
        <x:v>STD-04-4</x:v>
      </x:c>
      <x:c r="F1246" s="7" t="str">
        <x:v>OP-2</x:v>
      </x:c>
      <x:c r="G1246" s="7" t="n">
        <x:v>2</x:v>
      </x:c>
      <x:c r="H1246" s="7" t="str"/>
      <x:c r="I1246" s="7" t="str"/>
      <x:c r="J1246" s="7" t="str">
        <x:f>IF(OR(H1246="",I1246=""),"",I1246-H1246)</x:f>
      </x:c>
      <x:c r="K1246" s="7" t="str"/>
      <x:c r="L1246" s="7" t="str"/>
      <x:c r="M1246" s="7" t="str"/>
      <x:c r="N1246" s="7" t="str">
        <x:f>IF(M1246="","OPEN",IF(OR(NOT(ISNUMBER(H1246)),NOT(ISNUMBER(I1246)),K1246="",L1246=""),"FAIL","PASS"))</x:f>
        <x:v>OPEN</x:v>
      </x:c>
    </x:row>
    <x:row r="1247">
      <x:c r="B1247" s="7" t="str">
        <x:v>TRO-C-04-S5-O1-R1</x:v>
      </x:c>
      <x:c r="C1247" s="7" t="str">
        <x:v>BLD-C</x:v>
      </x:c>
      <x:c r="D1247" s="7" t="str">
        <x:v>MF-04</x:v>
      </x:c>
      <x:c r="E1247" s="7" t="str">
        <x:v>STD-04-5</x:v>
      </x:c>
      <x:c r="F1247" s="7" t="str">
        <x:v>OP-1</x:v>
      </x:c>
      <x:c r="G1247" s="7" t="n">
        <x:v>1</x:v>
      </x:c>
      <x:c r="H1247" s="7" t="str"/>
      <x:c r="I1247" s="7" t="str"/>
      <x:c r="J1247" s="7" t="str">
        <x:f>IF(OR(H1247="",I1247=""),"",I1247-H1247)</x:f>
      </x:c>
      <x:c r="K1247" s="7" t="str"/>
      <x:c r="L1247" s="7" t="str"/>
      <x:c r="M1247" s="7" t="str"/>
      <x:c r="N1247" s="7" t="str">
        <x:f>IF(M1247="","OPEN",IF(OR(NOT(ISNUMBER(H1247)),NOT(ISNUMBER(I1247)),K1247="",L1247=""),"FAIL","PASS"))</x:f>
        <x:v>OPEN</x:v>
      </x:c>
    </x:row>
    <x:row r="1248">
      <x:c r="B1248" s="7" t="str">
        <x:v>TRO-C-04-S5-O1-R2</x:v>
      </x:c>
      <x:c r="C1248" s="7" t="str">
        <x:v>BLD-C</x:v>
      </x:c>
      <x:c r="D1248" s="7" t="str">
        <x:v>MF-04</x:v>
      </x:c>
      <x:c r="E1248" s="7" t="str">
        <x:v>STD-04-5</x:v>
      </x:c>
      <x:c r="F1248" s="7" t="str">
        <x:v>OP-1</x:v>
      </x:c>
      <x:c r="G1248" s="7" t="n">
        <x:v>2</x:v>
      </x:c>
      <x:c r="H1248" s="7" t="str"/>
      <x:c r="I1248" s="7" t="str"/>
      <x:c r="J1248" s="7" t="str">
        <x:f>IF(OR(H1248="",I1248=""),"",I1248-H1248)</x:f>
      </x:c>
      <x:c r="K1248" s="7" t="str"/>
      <x:c r="L1248" s="7" t="str"/>
      <x:c r="M1248" s="7" t="str"/>
      <x:c r="N1248" s="7" t="str">
        <x:f>IF(M1248="","OPEN",IF(OR(NOT(ISNUMBER(H1248)),NOT(ISNUMBER(I1248)),K1248="",L1248=""),"FAIL","PASS"))</x:f>
        <x:v>OPEN</x:v>
      </x:c>
    </x:row>
    <x:row r="1249">
      <x:c r="B1249" s="7" t="str">
        <x:v>TRO-C-04-S5-O2-R1</x:v>
      </x:c>
      <x:c r="C1249" s="7" t="str">
        <x:v>BLD-C</x:v>
      </x:c>
      <x:c r="D1249" s="7" t="str">
        <x:v>MF-04</x:v>
      </x:c>
      <x:c r="E1249" s="7" t="str">
        <x:v>STD-04-5</x:v>
      </x:c>
      <x:c r="F1249" s="7" t="str">
        <x:v>OP-2</x:v>
      </x:c>
      <x:c r="G1249" s="7" t="n">
        <x:v>1</x:v>
      </x:c>
      <x:c r="H1249" s="7" t="str"/>
      <x:c r="I1249" s="7" t="str"/>
      <x:c r="J1249" s="7" t="str">
        <x:f>IF(OR(H1249="",I1249=""),"",I1249-H1249)</x:f>
      </x:c>
      <x:c r="K1249" s="7" t="str"/>
      <x:c r="L1249" s="7" t="str"/>
      <x:c r="M1249" s="7" t="str"/>
      <x:c r="N1249" s="7" t="str">
        <x:f>IF(M1249="","OPEN",IF(OR(NOT(ISNUMBER(H1249)),NOT(ISNUMBER(I1249)),K1249="",L1249=""),"FAIL","PASS"))</x:f>
        <x:v>OPEN</x:v>
      </x:c>
    </x:row>
    <x:row r="1250">
      <x:c r="B1250" s="7" t="str">
        <x:v>TRO-C-04-S5-O2-R2</x:v>
      </x:c>
      <x:c r="C1250" s="7" t="str">
        <x:v>BLD-C</x:v>
      </x:c>
      <x:c r="D1250" s="7" t="str">
        <x:v>MF-04</x:v>
      </x:c>
      <x:c r="E1250" s="7" t="str">
        <x:v>STD-04-5</x:v>
      </x:c>
      <x:c r="F1250" s="7" t="str">
        <x:v>OP-2</x:v>
      </x:c>
      <x:c r="G1250" s="7" t="n">
        <x:v>2</x:v>
      </x:c>
      <x:c r="H1250" s="7" t="str"/>
      <x:c r="I1250" s="7" t="str"/>
      <x:c r="J1250" s="7" t="str">
        <x:f>IF(OR(H1250="",I1250=""),"",I1250-H1250)</x:f>
      </x:c>
      <x:c r="K1250" s="7" t="str"/>
      <x:c r="L1250" s="7" t="str"/>
      <x:c r="M1250" s="7" t="str"/>
      <x:c r="N1250" s="7" t="str">
        <x:f>IF(M1250="","OPEN",IF(OR(NOT(ISNUMBER(H1250)),NOT(ISNUMBER(I1250)),K1250="",L1250=""),"FAIL","PASS"))</x:f>
        <x:v>OPEN</x:v>
      </x:c>
    </x:row>
    <x:row r="1251">
      <x:c r="B1251" s="7" t="str">
        <x:v>TRO-C-04-S6-O1-R1</x:v>
      </x:c>
      <x:c r="C1251" s="7" t="str">
        <x:v>BLD-C</x:v>
      </x:c>
      <x:c r="D1251" s="7" t="str">
        <x:v>MF-04</x:v>
      </x:c>
      <x:c r="E1251" s="7" t="str">
        <x:v>STD-04-6</x:v>
      </x:c>
      <x:c r="F1251" s="7" t="str">
        <x:v>OP-1</x:v>
      </x:c>
      <x:c r="G1251" s="7" t="n">
        <x:v>1</x:v>
      </x:c>
      <x:c r="H1251" s="7" t="str"/>
      <x:c r="I1251" s="7" t="str"/>
      <x:c r="J1251" s="7" t="str">
        <x:f>IF(OR(H1251="",I1251=""),"",I1251-H1251)</x:f>
      </x:c>
      <x:c r="K1251" s="7" t="str"/>
      <x:c r="L1251" s="7" t="str"/>
      <x:c r="M1251" s="7" t="str"/>
      <x:c r="N1251" s="7" t="str">
        <x:f>IF(M1251="","OPEN",IF(OR(NOT(ISNUMBER(H1251)),NOT(ISNUMBER(I1251)),K1251="",L1251=""),"FAIL","PASS"))</x:f>
        <x:v>OPEN</x:v>
      </x:c>
    </x:row>
    <x:row r="1252">
      <x:c r="B1252" s="7" t="str">
        <x:v>TRO-C-04-S6-O1-R2</x:v>
      </x:c>
      <x:c r="C1252" s="7" t="str">
        <x:v>BLD-C</x:v>
      </x:c>
      <x:c r="D1252" s="7" t="str">
        <x:v>MF-04</x:v>
      </x:c>
      <x:c r="E1252" s="7" t="str">
        <x:v>STD-04-6</x:v>
      </x:c>
      <x:c r="F1252" s="7" t="str">
        <x:v>OP-1</x:v>
      </x:c>
      <x:c r="G1252" s="7" t="n">
        <x:v>2</x:v>
      </x:c>
      <x:c r="H1252" s="7" t="str"/>
      <x:c r="I1252" s="7" t="str"/>
      <x:c r="J1252" s="7" t="str">
        <x:f>IF(OR(H1252="",I1252=""),"",I1252-H1252)</x:f>
      </x:c>
      <x:c r="K1252" s="7" t="str"/>
      <x:c r="L1252" s="7" t="str"/>
      <x:c r="M1252" s="7" t="str"/>
      <x:c r="N1252" s="7" t="str">
        <x:f>IF(M1252="","OPEN",IF(OR(NOT(ISNUMBER(H1252)),NOT(ISNUMBER(I1252)),K1252="",L1252=""),"FAIL","PASS"))</x:f>
        <x:v>OPEN</x:v>
      </x:c>
    </x:row>
    <x:row r="1253">
      <x:c r="B1253" s="7" t="str">
        <x:v>TRO-C-04-S6-O2-R1</x:v>
      </x:c>
      <x:c r="C1253" s="7" t="str">
        <x:v>BLD-C</x:v>
      </x:c>
      <x:c r="D1253" s="7" t="str">
        <x:v>MF-04</x:v>
      </x:c>
      <x:c r="E1253" s="7" t="str">
        <x:v>STD-04-6</x:v>
      </x:c>
      <x:c r="F1253" s="7" t="str">
        <x:v>OP-2</x:v>
      </x:c>
      <x:c r="G1253" s="7" t="n">
        <x:v>1</x:v>
      </x:c>
      <x:c r="H1253" s="7" t="str"/>
      <x:c r="I1253" s="7" t="str"/>
      <x:c r="J1253" s="7" t="str">
        <x:f>IF(OR(H1253="",I1253=""),"",I1253-H1253)</x:f>
      </x:c>
      <x:c r="K1253" s="7" t="str"/>
      <x:c r="L1253" s="7" t="str"/>
      <x:c r="M1253" s="7" t="str"/>
      <x:c r="N1253" s="7" t="str">
        <x:f>IF(M1253="","OPEN",IF(OR(NOT(ISNUMBER(H1253)),NOT(ISNUMBER(I1253)),K1253="",L1253=""),"FAIL","PASS"))</x:f>
        <x:v>OPEN</x:v>
      </x:c>
    </x:row>
    <x:row r="1254">
      <x:c r="B1254" s="7" t="str">
        <x:v>TRO-C-04-S6-O2-R2</x:v>
      </x:c>
      <x:c r="C1254" s="7" t="str">
        <x:v>BLD-C</x:v>
      </x:c>
      <x:c r="D1254" s="7" t="str">
        <x:v>MF-04</x:v>
      </x:c>
      <x:c r="E1254" s="7" t="str">
        <x:v>STD-04-6</x:v>
      </x:c>
      <x:c r="F1254" s="7" t="str">
        <x:v>OP-2</x:v>
      </x:c>
      <x:c r="G1254" s="7" t="n">
        <x:v>2</x:v>
      </x:c>
      <x:c r="H1254" s="7" t="str"/>
      <x:c r="I1254" s="7" t="str"/>
      <x:c r="J1254" s="7" t="str">
        <x:f>IF(OR(H1254="",I1254=""),"",I1254-H1254)</x:f>
      </x:c>
      <x:c r="K1254" s="7" t="str"/>
      <x:c r="L1254" s="7" t="str"/>
      <x:c r="M1254" s="7" t="str"/>
      <x:c r="N1254" s="7" t="str">
        <x:f>IF(M1254="","OPEN",IF(OR(NOT(ISNUMBER(H1254)),NOT(ISNUMBER(I1254)),K1254="",L1254=""),"FAIL","PASS"))</x:f>
        <x:v>OPEN</x:v>
      </x:c>
    </x:row>
    <x:row r="1255">
      <x:c r="B1255" s="7" t="str">
        <x:v>TRO-C-05-S1-O1-R1</x:v>
      </x:c>
      <x:c r="C1255" s="7" t="str">
        <x:v>BLD-C</x:v>
      </x:c>
      <x:c r="D1255" s="7" t="str">
        <x:v>MF-05</x:v>
      </x:c>
      <x:c r="E1255" s="7" t="str">
        <x:v>STD-05-1</x:v>
      </x:c>
      <x:c r="F1255" s="7" t="str">
        <x:v>OP-1</x:v>
      </x:c>
      <x:c r="G1255" s="7" t="n">
        <x:v>1</x:v>
      </x:c>
      <x:c r="H1255" s="7" t="str"/>
      <x:c r="I1255" s="7" t="str"/>
      <x:c r="J1255" s="7" t="str">
        <x:f>IF(OR(H1255="",I1255=""),"",I1255-H1255)</x:f>
      </x:c>
      <x:c r="K1255" s="7" t="str"/>
      <x:c r="L1255" s="7" t="str"/>
      <x:c r="M1255" s="7" t="str"/>
      <x:c r="N1255" s="7" t="str">
        <x:f>IF(M1255="","OPEN",IF(OR(NOT(ISNUMBER(H1255)),NOT(ISNUMBER(I1255)),K1255="",L1255=""),"FAIL","PASS"))</x:f>
        <x:v>OPEN</x:v>
      </x:c>
    </x:row>
    <x:row r="1256">
      <x:c r="B1256" s="7" t="str">
        <x:v>TRO-C-05-S1-O1-R2</x:v>
      </x:c>
      <x:c r="C1256" s="7" t="str">
        <x:v>BLD-C</x:v>
      </x:c>
      <x:c r="D1256" s="7" t="str">
        <x:v>MF-05</x:v>
      </x:c>
      <x:c r="E1256" s="7" t="str">
        <x:v>STD-05-1</x:v>
      </x:c>
      <x:c r="F1256" s="7" t="str">
        <x:v>OP-1</x:v>
      </x:c>
      <x:c r="G1256" s="7" t="n">
        <x:v>2</x:v>
      </x:c>
      <x:c r="H1256" s="7" t="str"/>
      <x:c r="I1256" s="7" t="str"/>
      <x:c r="J1256" s="7" t="str">
        <x:f>IF(OR(H1256="",I1256=""),"",I1256-H1256)</x:f>
      </x:c>
      <x:c r="K1256" s="7" t="str"/>
      <x:c r="L1256" s="7" t="str"/>
      <x:c r="M1256" s="7" t="str"/>
      <x:c r="N1256" s="7" t="str">
        <x:f>IF(M1256="","OPEN",IF(OR(NOT(ISNUMBER(H1256)),NOT(ISNUMBER(I1256)),K1256="",L1256=""),"FAIL","PASS"))</x:f>
        <x:v>OPEN</x:v>
      </x:c>
    </x:row>
    <x:row r="1257">
      <x:c r="B1257" s="7" t="str">
        <x:v>TRO-C-05-S1-O2-R1</x:v>
      </x:c>
      <x:c r="C1257" s="7" t="str">
        <x:v>BLD-C</x:v>
      </x:c>
      <x:c r="D1257" s="7" t="str">
        <x:v>MF-05</x:v>
      </x:c>
      <x:c r="E1257" s="7" t="str">
        <x:v>STD-05-1</x:v>
      </x:c>
      <x:c r="F1257" s="7" t="str">
        <x:v>OP-2</x:v>
      </x:c>
      <x:c r="G1257" s="7" t="n">
        <x:v>1</x:v>
      </x:c>
      <x:c r="H1257" s="7" t="str"/>
      <x:c r="I1257" s="7" t="str"/>
      <x:c r="J1257" s="7" t="str">
        <x:f>IF(OR(H1257="",I1257=""),"",I1257-H1257)</x:f>
      </x:c>
      <x:c r="K1257" s="7" t="str"/>
      <x:c r="L1257" s="7" t="str"/>
      <x:c r="M1257" s="7" t="str"/>
      <x:c r="N1257" s="7" t="str">
        <x:f>IF(M1257="","OPEN",IF(OR(NOT(ISNUMBER(H1257)),NOT(ISNUMBER(I1257)),K1257="",L1257=""),"FAIL","PASS"))</x:f>
        <x:v>OPEN</x:v>
      </x:c>
    </x:row>
    <x:row r="1258">
      <x:c r="B1258" s="7" t="str">
        <x:v>TRO-C-05-S1-O2-R2</x:v>
      </x:c>
      <x:c r="C1258" s="7" t="str">
        <x:v>BLD-C</x:v>
      </x:c>
      <x:c r="D1258" s="7" t="str">
        <x:v>MF-05</x:v>
      </x:c>
      <x:c r="E1258" s="7" t="str">
        <x:v>STD-05-1</x:v>
      </x:c>
      <x:c r="F1258" s="7" t="str">
        <x:v>OP-2</x:v>
      </x:c>
      <x:c r="G1258" s="7" t="n">
        <x:v>2</x:v>
      </x:c>
      <x:c r="H1258" s="7" t="str"/>
      <x:c r="I1258" s="7" t="str"/>
      <x:c r="J1258" s="7" t="str">
        <x:f>IF(OR(H1258="",I1258=""),"",I1258-H1258)</x:f>
      </x:c>
      <x:c r="K1258" s="7" t="str"/>
      <x:c r="L1258" s="7" t="str"/>
      <x:c r="M1258" s="7" t="str"/>
      <x:c r="N1258" s="7" t="str">
        <x:f>IF(M1258="","OPEN",IF(OR(NOT(ISNUMBER(H1258)),NOT(ISNUMBER(I1258)),K1258="",L1258=""),"FAIL","PASS"))</x:f>
        <x:v>OPEN</x:v>
      </x:c>
    </x:row>
    <x:row r="1259">
      <x:c r="B1259" s="7" t="str">
        <x:v>TRO-C-05-S2-O1-R1</x:v>
      </x:c>
      <x:c r="C1259" s="7" t="str">
        <x:v>BLD-C</x:v>
      </x:c>
      <x:c r="D1259" s="7" t="str">
        <x:v>MF-05</x:v>
      </x:c>
      <x:c r="E1259" s="7" t="str">
        <x:v>STD-05-2</x:v>
      </x:c>
      <x:c r="F1259" s="7" t="str">
        <x:v>OP-1</x:v>
      </x:c>
      <x:c r="G1259" s="7" t="n">
        <x:v>1</x:v>
      </x:c>
      <x:c r="H1259" s="7" t="str"/>
      <x:c r="I1259" s="7" t="str"/>
      <x:c r="J1259" s="7" t="str">
        <x:f>IF(OR(H1259="",I1259=""),"",I1259-H1259)</x:f>
      </x:c>
      <x:c r="K1259" s="7" t="str"/>
      <x:c r="L1259" s="7" t="str"/>
      <x:c r="M1259" s="7" t="str"/>
      <x:c r="N1259" s="7" t="str">
        <x:f>IF(M1259="","OPEN",IF(OR(NOT(ISNUMBER(H1259)),NOT(ISNUMBER(I1259)),K1259="",L1259=""),"FAIL","PASS"))</x:f>
        <x:v>OPEN</x:v>
      </x:c>
    </x:row>
    <x:row r="1260">
      <x:c r="B1260" s="7" t="str">
        <x:v>TRO-C-05-S2-O1-R2</x:v>
      </x:c>
      <x:c r="C1260" s="7" t="str">
        <x:v>BLD-C</x:v>
      </x:c>
      <x:c r="D1260" s="7" t="str">
        <x:v>MF-05</x:v>
      </x:c>
      <x:c r="E1260" s="7" t="str">
        <x:v>STD-05-2</x:v>
      </x:c>
      <x:c r="F1260" s="7" t="str">
        <x:v>OP-1</x:v>
      </x:c>
      <x:c r="G1260" s="7" t="n">
        <x:v>2</x:v>
      </x:c>
      <x:c r="H1260" s="7" t="str"/>
      <x:c r="I1260" s="7" t="str"/>
      <x:c r="J1260" s="7" t="str">
        <x:f>IF(OR(H1260="",I1260=""),"",I1260-H1260)</x:f>
      </x:c>
      <x:c r="K1260" s="7" t="str"/>
      <x:c r="L1260" s="7" t="str"/>
      <x:c r="M1260" s="7" t="str"/>
      <x:c r="N1260" s="7" t="str">
        <x:f>IF(M1260="","OPEN",IF(OR(NOT(ISNUMBER(H1260)),NOT(ISNUMBER(I1260)),K1260="",L1260=""),"FAIL","PASS"))</x:f>
        <x:v>OPEN</x:v>
      </x:c>
    </x:row>
    <x:row r="1261">
      <x:c r="B1261" s="7" t="str">
        <x:v>TRO-C-05-S2-O2-R1</x:v>
      </x:c>
      <x:c r="C1261" s="7" t="str">
        <x:v>BLD-C</x:v>
      </x:c>
      <x:c r="D1261" s="7" t="str">
        <x:v>MF-05</x:v>
      </x:c>
      <x:c r="E1261" s="7" t="str">
        <x:v>STD-05-2</x:v>
      </x:c>
      <x:c r="F1261" s="7" t="str">
        <x:v>OP-2</x:v>
      </x:c>
      <x:c r="G1261" s="7" t="n">
        <x:v>1</x:v>
      </x:c>
      <x:c r="H1261" s="7" t="str"/>
      <x:c r="I1261" s="7" t="str"/>
      <x:c r="J1261" s="7" t="str">
        <x:f>IF(OR(H1261="",I1261=""),"",I1261-H1261)</x:f>
      </x:c>
      <x:c r="K1261" s="7" t="str"/>
      <x:c r="L1261" s="7" t="str"/>
      <x:c r="M1261" s="7" t="str"/>
      <x:c r="N1261" s="7" t="str">
        <x:f>IF(M1261="","OPEN",IF(OR(NOT(ISNUMBER(H1261)),NOT(ISNUMBER(I1261)),K1261="",L1261=""),"FAIL","PASS"))</x:f>
        <x:v>OPEN</x:v>
      </x:c>
    </x:row>
    <x:row r="1262">
      <x:c r="B1262" s="7" t="str">
        <x:v>TRO-C-05-S2-O2-R2</x:v>
      </x:c>
      <x:c r="C1262" s="7" t="str">
        <x:v>BLD-C</x:v>
      </x:c>
      <x:c r="D1262" s="7" t="str">
        <x:v>MF-05</x:v>
      </x:c>
      <x:c r="E1262" s="7" t="str">
        <x:v>STD-05-2</x:v>
      </x:c>
      <x:c r="F1262" s="7" t="str">
        <x:v>OP-2</x:v>
      </x:c>
      <x:c r="G1262" s="7" t="n">
        <x:v>2</x:v>
      </x:c>
      <x:c r="H1262" s="7" t="str"/>
      <x:c r="I1262" s="7" t="str"/>
      <x:c r="J1262" s="7" t="str">
        <x:f>IF(OR(H1262="",I1262=""),"",I1262-H1262)</x:f>
      </x:c>
      <x:c r="K1262" s="7" t="str"/>
      <x:c r="L1262" s="7" t="str"/>
      <x:c r="M1262" s="7" t="str"/>
      <x:c r="N1262" s="7" t="str">
        <x:f>IF(M1262="","OPEN",IF(OR(NOT(ISNUMBER(H1262)),NOT(ISNUMBER(I1262)),K1262="",L1262=""),"FAIL","PASS"))</x:f>
        <x:v>OPEN</x:v>
      </x:c>
    </x:row>
    <x:row r="1263">
      <x:c r="B1263" s="7" t="str">
        <x:v>TRO-C-05-S3-O1-R1</x:v>
      </x:c>
      <x:c r="C1263" s="7" t="str">
        <x:v>BLD-C</x:v>
      </x:c>
      <x:c r="D1263" s="7" t="str">
        <x:v>MF-05</x:v>
      </x:c>
      <x:c r="E1263" s="7" t="str">
        <x:v>STD-05-3</x:v>
      </x:c>
      <x:c r="F1263" s="7" t="str">
        <x:v>OP-1</x:v>
      </x:c>
      <x:c r="G1263" s="7" t="n">
        <x:v>1</x:v>
      </x:c>
      <x:c r="H1263" s="7" t="str"/>
      <x:c r="I1263" s="7" t="str"/>
      <x:c r="J1263" s="7" t="str">
        <x:f>IF(OR(H1263="",I1263=""),"",I1263-H1263)</x:f>
      </x:c>
      <x:c r="K1263" s="7" t="str"/>
      <x:c r="L1263" s="7" t="str"/>
      <x:c r="M1263" s="7" t="str"/>
      <x:c r="N1263" s="7" t="str">
        <x:f>IF(M1263="","OPEN",IF(OR(NOT(ISNUMBER(H1263)),NOT(ISNUMBER(I1263)),K1263="",L1263=""),"FAIL","PASS"))</x:f>
        <x:v>OPEN</x:v>
      </x:c>
    </x:row>
    <x:row r="1264">
      <x:c r="B1264" s="7" t="str">
        <x:v>TRO-C-05-S3-O1-R2</x:v>
      </x:c>
      <x:c r="C1264" s="7" t="str">
        <x:v>BLD-C</x:v>
      </x:c>
      <x:c r="D1264" s="7" t="str">
        <x:v>MF-05</x:v>
      </x:c>
      <x:c r="E1264" s="7" t="str">
        <x:v>STD-05-3</x:v>
      </x:c>
      <x:c r="F1264" s="7" t="str">
        <x:v>OP-1</x:v>
      </x:c>
      <x:c r="G1264" s="7" t="n">
        <x:v>2</x:v>
      </x:c>
      <x:c r="H1264" s="7" t="str"/>
      <x:c r="I1264" s="7" t="str"/>
      <x:c r="J1264" s="7" t="str">
        <x:f>IF(OR(H1264="",I1264=""),"",I1264-H1264)</x:f>
      </x:c>
      <x:c r="K1264" s="7" t="str"/>
      <x:c r="L1264" s="7" t="str"/>
      <x:c r="M1264" s="7" t="str"/>
      <x:c r="N1264" s="7" t="str">
        <x:f>IF(M1264="","OPEN",IF(OR(NOT(ISNUMBER(H1264)),NOT(ISNUMBER(I1264)),K1264="",L1264=""),"FAIL","PASS"))</x:f>
        <x:v>OPEN</x:v>
      </x:c>
    </x:row>
    <x:row r="1265">
      <x:c r="B1265" s="7" t="str">
        <x:v>TRO-C-05-S3-O2-R1</x:v>
      </x:c>
      <x:c r="C1265" s="7" t="str">
        <x:v>BLD-C</x:v>
      </x:c>
      <x:c r="D1265" s="7" t="str">
        <x:v>MF-05</x:v>
      </x:c>
      <x:c r="E1265" s="7" t="str">
        <x:v>STD-05-3</x:v>
      </x:c>
      <x:c r="F1265" s="7" t="str">
        <x:v>OP-2</x:v>
      </x:c>
      <x:c r="G1265" s="7" t="n">
        <x:v>1</x:v>
      </x:c>
      <x:c r="H1265" s="7" t="str"/>
      <x:c r="I1265" s="7" t="str"/>
      <x:c r="J1265" s="7" t="str">
        <x:f>IF(OR(H1265="",I1265=""),"",I1265-H1265)</x:f>
      </x:c>
      <x:c r="K1265" s="7" t="str"/>
      <x:c r="L1265" s="7" t="str"/>
      <x:c r="M1265" s="7" t="str"/>
      <x:c r="N1265" s="7" t="str">
        <x:f>IF(M1265="","OPEN",IF(OR(NOT(ISNUMBER(H1265)),NOT(ISNUMBER(I1265)),K1265="",L1265=""),"FAIL","PASS"))</x:f>
        <x:v>OPEN</x:v>
      </x:c>
    </x:row>
    <x:row r="1266">
      <x:c r="B1266" s="7" t="str">
        <x:v>TRO-C-05-S3-O2-R2</x:v>
      </x:c>
      <x:c r="C1266" s="7" t="str">
        <x:v>BLD-C</x:v>
      </x:c>
      <x:c r="D1266" s="7" t="str">
        <x:v>MF-05</x:v>
      </x:c>
      <x:c r="E1266" s="7" t="str">
        <x:v>STD-05-3</x:v>
      </x:c>
      <x:c r="F1266" s="7" t="str">
        <x:v>OP-2</x:v>
      </x:c>
      <x:c r="G1266" s="7" t="n">
        <x:v>2</x:v>
      </x:c>
      <x:c r="H1266" s="7" t="str"/>
      <x:c r="I1266" s="7" t="str"/>
      <x:c r="J1266" s="7" t="str">
        <x:f>IF(OR(H1266="",I1266=""),"",I1266-H1266)</x:f>
      </x:c>
      <x:c r="K1266" s="7" t="str"/>
      <x:c r="L1266" s="7" t="str"/>
      <x:c r="M1266" s="7" t="str"/>
      <x:c r="N1266" s="7" t="str">
        <x:f>IF(M1266="","OPEN",IF(OR(NOT(ISNUMBER(H1266)),NOT(ISNUMBER(I1266)),K1266="",L1266=""),"FAIL","PASS"))</x:f>
        <x:v>OPEN</x:v>
      </x:c>
    </x:row>
    <x:row r="1267">
      <x:c r="B1267" s="7" t="str">
        <x:v>TRO-C-05-S4-O1-R1</x:v>
      </x:c>
      <x:c r="C1267" s="7" t="str">
        <x:v>BLD-C</x:v>
      </x:c>
      <x:c r="D1267" s="7" t="str">
        <x:v>MF-05</x:v>
      </x:c>
      <x:c r="E1267" s="7" t="str">
        <x:v>STD-05-4</x:v>
      </x:c>
      <x:c r="F1267" s="7" t="str">
        <x:v>OP-1</x:v>
      </x:c>
      <x:c r="G1267" s="7" t="n">
        <x:v>1</x:v>
      </x:c>
      <x:c r="H1267" s="7" t="str"/>
      <x:c r="I1267" s="7" t="str"/>
      <x:c r="J1267" s="7" t="str">
        <x:f>IF(OR(H1267="",I1267=""),"",I1267-H1267)</x:f>
      </x:c>
      <x:c r="K1267" s="7" t="str"/>
      <x:c r="L1267" s="7" t="str"/>
      <x:c r="M1267" s="7" t="str"/>
      <x:c r="N1267" s="7" t="str">
        <x:f>IF(M1267="","OPEN",IF(OR(NOT(ISNUMBER(H1267)),NOT(ISNUMBER(I1267)),K1267="",L1267=""),"FAIL","PASS"))</x:f>
        <x:v>OPEN</x:v>
      </x:c>
    </x:row>
    <x:row r="1268">
      <x:c r="B1268" s="7" t="str">
        <x:v>TRO-C-05-S4-O1-R2</x:v>
      </x:c>
      <x:c r="C1268" s="7" t="str">
        <x:v>BLD-C</x:v>
      </x:c>
      <x:c r="D1268" s="7" t="str">
        <x:v>MF-05</x:v>
      </x:c>
      <x:c r="E1268" s="7" t="str">
        <x:v>STD-05-4</x:v>
      </x:c>
      <x:c r="F1268" s="7" t="str">
        <x:v>OP-1</x:v>
      </x:c>
      <x:c r="G1268" s="7" t="n">
        <x:v>2</x:v>
      </x:c>
      <x:c r="H1268" s="7" t="str"/>
      <x:c r="I1268" s="7" t="str"/>
      <x:c r="J1268" s="7" t="str">
        <x:f>IF(OR(H1268="",I1268=""),"",I1268-H1268)</x:f>
      </x:c>
      <x:c r="K1268" s="7" t="str"/>
      <x:c r="L1268" s="7" t="str"/>
      <x:c r="M1268" s="7" t="str"/>
      <x:c r="N1268" s="7" t="str">
        <x:f>IF(M1268="","OPEN",IF(OR(NOT(ISNUMBER(H1268)),NOT(ISNUMBER(I1268)),K1268="",L1268=""),"FAIL","PASS"))</x:f>
        <x:v>OPEN</x:v>
      </x:c>
    </x:row>
    <x:row r="1269">
      <x:c r="B1269" s="7" t="str">
        <x:v>TRO-C-05-S4-O2-R1</x:v>
      </x:c>
      <x:c r="C1269" s="7" t="str">
        <x:v>BLD-C</x:v>
      </x:c>
      <x:c r="D1269" s="7" t="str">
        <x:v>MF-05</x:v>
      </x:c>
      <x:c r="E1269" s="7" t="str">
        <x:v>STD-05-4</x:v>
      </x:c>
      <x:c r="F1269" s="7" t="str">
        <x:v>OP-2</x:v>
      </x:c>
      <x:c r="G1269" s="7" t="n">
        <x:v>1</x:v>
      </x:c>
      <x:c r="H1269" s="7" t="str"/>
      <x:c r="I1269" s="7" t="str"/>
      <x:c r="J1269" s="7" t="str">
        <x:f>IF(OR(H1269="",I1269=""),"",I1269-H1269)</x:f>
      </x:c>
      <x:c r="K1269" s="7" t="str"/>
      <x:c r="L1269" s="7" t="str"/>
      <x:c r="M1269" s="7" t="str"/>
      <x:c r="N1269" s="7" t="str">
        <x:f>IF(M1269="","OPEN",IF(OR(NOT(ISNUMBER(H1269)),NOT(ISNUMBER(I1269)),K1269="",L1269=""),"FAIL","PASS"))</x:f>
        <x:v>OPEN</x:v>
      </x:c>
    </x:row>
    <x:row r="1270">
      <x:c r="B1270" s="7" t="str">
        <x:v>TRO-C-05-S4-O2-R2</x:v>
      </x:c>
      <x:c r="C1270" s="7" t="str">
        <x:v>BLD-C</x:v>
      </x:c>
      <x:c r="D1270" s="7" t="str">
        <x:v>MF-05</x:v>
      </x:c>
      <x:c r="E1270" s="7" t="str">
        <x:v>STD-05-4</x:v>
      </x:c>
      <x:c r="F1270" s="7" t="str">
        <x:v>OP-2</x:v>
      </x:c>
      <x:c r="G1270" s="7" t="n">
        <x:v>2</x:v>
      </x:c>
      <x:c r="H1270" s="7" t="str"/>
      <x:c r="I1270" s="7" t="str"/>
      <x:c r="J1270" s="7" t="str">
        <x:f>IF(OR(H1270="",I1270=""),"",I1270-H1270)</x:f>
      </x:c>
      <x:c r="K1270" s="7" t="str"/>
      <x:c r="L1270" s="7" t="str"/>
      <x:c r="M1270" s="7" t="str"/>
      <x:c r="N1270" s="7" t="str">
        <x:f>IF(M1270="","OPEN",IF(OR(NOT(ISNUMBER(H1270)),NOT(ISNUMBER(I1270)),K1270="",L1270=""),"FAIL","PASS"))</x:f>
        <x:v>OPEN</x:v>
      </x:c>
    </x:row>
    <x:row r="1271">
      <x:c r="B1271" s="7" t="str">
        <x:v>TRO-C-05-S5-O1-R1</x:v>
      </x:c>
      <x:c r="C1271" s="7" t="str">
        <x:v>BLD-C</x:v>
      </x:c>
      <x:c r="D1271" s="7" t="str">
        <x:v>MF-05</x:v>
      </x:c>
      <x:c r="E1271" s="7" t="str">
        <x:v>STD-05-5</x:v>
      </x:c>
      <x:c r="F1271" s="7" t="str">
        <x:v>OP-1</x:v>
      </x:c>
      <x:c r="G1271" s="7" t="n">
        <x:v>1</x:v>
      </x:c>
      <x:c r="H1271" s="7" t="str"/>
      <x:c r="I1271" s="7" t="str"/>
      <x:c r="J1271" s="7" t="str">
        <x:f>IF(OR(H1271="",I1271=""),"",I1271-H1271)</x:f>
      </x:c>
      <x:c r="K1271" s="7" t="str"/>
      <x:c r="L1271" s="7" t="str"/>
      <x:c r="M1271" s="7" t="str"/>
      <x:c r="N1271" s="7" t="str">
        <x:f>IF(M1271="","OPEN",IF(OR(NOT(ISNUMBER(H1271)),NOT(ISNUMBER(I1271)),K1271="",L1271=""),"FAIL","PASS"))</x:f>
        <x:v>OPEN</x:v>
      </x:c>
    </x:row>
    <x:row r="1272">
      <x:c r="B1272" s="7" t="str">
        <x:v>TRO-C-05-S5-O1-R2</x:v>
      </x:c>
      <x:c r="C1272" s="7" t="str">
        <x:v>BLD-C</x:v>
      </x:c>
      <x:c r="D1272" s="7" t="str">
        <x:v>MF-05</x:v>
      </x:c>
      <x:c r="E1272" s="7" t="str">
        <x:v>STD-05-5</x:v>
      </x:c>
      <x:c r="F1272" s="7" t="str">
        <x:v>OP-1</x:v>
      </x:c>
      <x:c r="G1272" s="7" t="n">
        <x:v>2</x:v>
      </x:c>
      <x:c r="H1272" s="7" t="str"/>
      <x:c r="I1272" s="7" t="str"/>
      <x:c r="J1272" s="7" t="str">
        <x:f>IF(OR(H1272="",I1272=""),"",I1272-H1272)</x:f>
      </x:c>
      <x:c r="K1272" s="7" t="str"/>
      <x:c r="L1272" s="7" t="str"/>
      <x:c r="M1272" s="7" t="str"/>
      <x:c r="N1272" s="7" t="str">
        <x:f>IF(M1272="","OPEN",IF(OR(NOT(ISNUMBER(H1272)),NOT(ISNUMBER(I1272)),K1272="",L1272=""),"FAIL","PASS"))</x:f>
        <x:v>OPEN</x:v>
      </x:c>
    </x:row>
    <x:row r="1273">
      <x:c r="B1273" s="7" t="str">
        <x:v>TRO-C-05-S5-O2-R1</x:v>
      </x:c>
      <x:c r="C1273" s="7" t="str">
        <x:v>BLD-C</x:v>
      </x:c>
      <x:c r="D1273" s="7" t="str">
        <x:v>MF-05</x:v>
      </x:c>
      <x:c r="E1273" s="7" t="str">
        <x:v>STD-05-5</x:v>
      </x:c>
      <x:c r="F1273" s="7" t="str">
        <x:v>OP-2</x:v>
      </x:c>
      <x:c r="G1273" s="7" t="n">
        <x:v>1</x:v>
      </x:c>
      <x:c r="H1273" s="7" t="str"/>
      <x:c r="I1273" s="7" t="str"/>
      <x:c r="J1273" s="7" t="str">
        <x:f>IF(OR(H1273="",I1273=""),"",I1273-H1273)</x:f>
      </x:c>
      <x:c r="K1273" s="7" t="str"/>
      <x:c r="L1273" s="7" t="str"/>
      <x:c r="M1273" s="7" t="str"/>
      <x:c r="N1273" s="7" t="str">
        <x:f>IF(M1273="","OPEN",IF(OR(NOT(ISNUMBER(H1273)),NOT(ISNUMBER(I1273)),K1273="",L1273=""),"FAIL","PASS"))</x:f>
        <x:v>OPEN</x:v>
      </x:c>
    </x:row>
    <x:row r="1274">
      <x:c r="B1274" s="7" t="str">
        <x:v>TRO-C-05-S5-O2-R2</x:v>
      </x:c>
      <x:c r="C1274" s="7" t="str">
        <x:v>BLD-C</x:v>
      </x:c>
      <x:c r="D1274" s="7" t="str">
        <x:v>MF-05</x:v>
      </x:c>
      <x:c r="E1274" s="7" t="str">
        <x:v>STD-05-5</x:v>
      </x:c>
      <x:c r="F1274" s="7" t="str">
        <x:v>OP-2</x:v>
      </x:c>
      <x:c r="G1274" s="7" t="n">
        <x:v>2</x:v>
      </x:c>
      <x:c r="H1274" s="7" t="str"/>
      <x:c r="I1274" s="7" t="str"/>
      <x:c r="J1274" s="7" t="str">
        <x:f>IF(OR(H1274="",I1274=""),"",I1274-H1274)</x:f>
      </x:c>
      <x:c r="K1274" s="7" t="str"/>
      <x:c r="L1274" s="7" t="str"/>
      <x:c r="M1274" s="7" t="str"/>
      <x:c r="N1274" s="7" t="str">
        <x:f>IF(M1274="","OPEN",IF(OR(NOT(ISNUMBER(H1274)),NOT(ISNUMBER(I1274)),K1274="",L1274=""),"FAIL","PASS"))</x:f>
        <x:v>OPEN</x:v>
      </x:c>
    </x:row>
    <x:row r="1275">
      <x:c r="B1275" s="7" t="str">
        <x:v>TRO-C-05-S6-O1-R1</x:v>
      </x:c>
      <x:c r="C1275" s="7" t="str">
        <x:v>BLD-C</x:v>
      </x:c>
      <x:c r="D1275" s="7" t="str">
        <x:v>MF-05</x:v>
      </x:c>
      <x:c r="E1275" s="7" t="str">
        <x:v>STD-05-6</x:v>
      </x:c>
      <x:c r="F1275" s="7" t="str">
        <x:v>OP-1</x:v>
      </x:c>
      <x:c r="G1275" s="7" t="n">
        <x:v>1</x:v>
      </x:c>
      <x:c r="H1275" s="7" t="str"/>
      <x:c r="I1275" s="7" t="str"/>
      <x:c r="J1275" s="7" t="str">
        <x:f>IF(OR(H1275="",I1275=""),"",I1275-H1275)</x:f>
      </x:c>
      <x:c r="K1275" s="7" t="str"/>
      <x:c r="L1275" s="7" t="str"/>
      <x:c r="M1275" s="7" t="str"/>
      <x:c r="N1275" s="7" t="str">
        <x:f>IF(M1275="","OPEN",IF(OR(NOT(ISNUMBER(H1275)),NOT(ISNUMBER(I1275)),K1275="",L1275=""),"FAIL","PASS"))</x:f>
        <x:v>OPEN</x:v>
      </x:c>
    </x:row>
    <x:row r="1276">
      <x:c r="B1276" s="7" t="str">
        <x:v>TRO-C-05-S6-O1-R2</x:v>
      </x:c>
      <x:c r="C1276" s="7" t="str">
        <x:v>BLD-C</x:v>
      </x:c>
      <x:c r="D1276" s="7" t="str">
        <x:v>MF-05</x:v>
      </x:c>
      <x:c r="E1276" s="7" t="str">
        <x:v>STD-05-6</x:v>
      </x:c>
      <x:c r="F1276" s="7" t="str">
        <x:v>OP-1</x:v>
      </x:c>
      <x:c r="G1276" s="7" t="n">
        <x:v>2</x:v>
      </x:c>
      <x:c r="H1276" s="7" t="str"/>
      <x:c r="I1276" s="7" t="str"/>
      <x:c r="J1276" s="7" t="str">
        <x:f>IF(OR(H1276="",I1276=""),"",I1276-H1276)</x:f>
      </x:c>
      <x:c r="K1276" s="7" t="str"/>
      <x:c r="L1276" s="7" t="str"/>
      <x:c r="M1276" s="7" t="str"/>
      <x:c r="N1276" s="7" t="str">
        <x:f>IF(M1276="","OPEN",IF(OR(NOT(ISNUMBER(H1276)),NOT(ISNUMBER(I1276)),K1276="",L1276=""),"FAIL","PASS"))</x:f>
        <x:v>OPEN</x:v>
      </x:c>
    </x:row>
    <x:row r="1277">
      <x:c r="B1277" s="7" t="str">
        <x:v>TRO-C-05-S6-O2-R1</x:v>
      </x:c>
      <x:c r="C1277" s="7" t="str">
        <x:v>BLD-C</x:v>
      </x:c>
      <x:c r="D1277" s="7" t="str">
        <x:v>MF-05</x:v>
      </x:c>
      <x:c r="E1277" s="7" t="str">
        <x:v>STD-05-6</x:v>
      </x:c>
      <x:c r="F1277" s="7" t="str">
        <x:v>OP-2</x:v>
      </x:c>
      <x:c r="G1277" s="7" t="n">
        <x:v>1</x:v>
      </x:c>
      <x:c r="H1277" s="7" t="str"/>
      <x:c r="I1277" s="7" t="str"/>
      <x:c r="J1277" s="7" t="str">
        <x:f>IF(OR(H1277="",I1277=""),"",I1277-H1277)</x:f>
      </x:c>
      <x:c r="K1277" s="7" t="str"/>
      <x:c r="L1277" s="7" t="str"/>
      <x:c r="M1277" s="7" t="str"/>
      <x:c r="N1277" s="7" t="str">
        <x:f>IF(M1277="","OPEN",IF(OR(NOT(ISNUMBER(H1277)),NOT(ISNUMBER(I1277)),K1277="",L1277=""),"FAIL","PASS"))</x:f>
        <x:v>OPEN</x:v>
      </x:c>
    </x:row>
    <x:row r="1278">
      <x:c r="B1278" s="7" t="str">
        <x:v>TRO-C-05-S6-O2-R2</x:v>
      </x:c>
      <x:c r="C1278" s="7" t="str">
        <x:v>BLD-C</x:v>
      </x:c>
      <x:c r="D1278" s="7" t="str">
        <x:v>MF-05</x:v>
      </x:c>
      <x:c r="E1278" s="7" t="str">
        <x:v>STD-05-6</x:v>
      </x:c>
      <x:c r="F1278" s="7" t="str">
        <x:v>OP-2</x:v>
      </x:c>
      <x:c r="G1278" s="7" t="n">
        <x:v>2</x:v>
      </x:c>
      <x:c r="H1278" s="7" t="str"/>
      <x:c r="I1278" s="7" t="str"/>
      <x:c r="J1278" s="7" t="str">
        <x:f>IF(OR(H1278="",I1278=""),"",I1278-H1278)</x:f>
      </x:c>
      <x:c r="K1278" s="7" t="str"/>
      <x:c r="L1278" s="7" t="str"/>
      <x:c r="M1278" s="7" t="str"/>
      <x:c r="N1278" s="7" t="str">
        <x:f>IF(M1278="","OPEN",IF(OR(NOT(ISNUMBER(H1278)),NOT(ISNUMBER(I1278)),K1278="",L1278=""),"FAIL","PASS"))</x:f>
        <x:v>OPEN</x:v>
      </x:c>
    </x:row>
    <x:row r="1279">
      <x:c r="B1279" s="7" t="str">
        <x:v>TRO-C-06-S1-O1-R1</x:v>
      </x:c>
      <x:c r="C1279" s="7" t="str">
        <x:v>BLD-C</x:v>
      </x:c>
      <x:c r="D1279" s="7" t="str">
        <x:v>MF-06</x:v>
      </x:c>
      <x:c r="E1279" s="7" t="str">
        <x:v>STD-06-1</x:v>
      </x:c>
      <x:c r="F1279" s="7" t="str">
        <x:v>OP-1</x:v>
      </x:c>
      <x:c r="G1279" s="7" t="n">
        <x:v>1</x:v>
      </x:c>
      <x:c r="H1279" s="7" t="str"/>
      <x:c r="I1279" s="7" t="str"/>
      <x:c r="J1279" s="7" t="str">
        <x:f>IF(OR(H1279="",I1279=""),"",I1279-H1279)</x:f>
      </x:c>
      <x:c r="K1279" s="7" t="str"/>
      <x:c r="L1279" s="7" t="str"/>
      <x:c r="M1279" s="7" t="str"/>
      <x:c r="N1279" s="7" t="str">
        <x:f>IF(M1279="","OPEN",IF(OR(NOT(ISNUMBER(H1279)),NOT(ISNUMBER(I1279)),K1279="",L1279=""),"FAIL","PASS"))</x:f>
        <x:v>OPEN</x:v>
      </x:c>
    </x:row>
    <x:row r="1280">
      <x:c r="B1280" s="7" t="str">
        <x:v>TRO-C-06-S1-O1-R2</x:v>
      </x:c>
      <x:c r="C1280" s="7" t="str">
        <x:v>BLD-C</x:v>
      </x:c>
      <x:c r="D1280" s="7" t="str">
        <x:v>MF-06</x:v>
      </x:c>
      <x:c r="E1280" s="7" t="str">
        <x:v>STD-06-1</x:v>
      </x:c>
      <x:c r="F1280" s="7" t="str">
        <x:v>OP-1</x:v>
      </x:c>
      <x:c r="G1280" s="7" t="n">
        <x:v>2</x:v>
      </x:c>
      <x:c r="H1280" s="7" t="str"/>
      <x:c r="I1280" s="7" t="str"/>
      <x:c r="J1280" s="7" t="str">
        <x:f>IF(OR(H1280="",I1280=""),"",I1280-H1280)</x:f>
      </x:c>
      <x:c r="K1280" s="7" t="str"/>
      <x:c r="L1280" s="7" t="str"/>
      <x:c r="M1280" s="7" t="str"/>
      <x:c r="N1280" s="7" t="str">
        <x:f>IF(M1280="","OPEN",IF(OR(NOT(ISNUMBER(H1280)),NOT(ISNUMBER(I1280)),K1280="",L1280=""),"FAIL","PASS"))</x:f>
        <x:v>OPEN</x:v>
      </x:c>
    </x:row>
    <x:row r="1281">
      <x:c r="B1281" s="7" t="str">
        <x:v>TRO-C-06-S1-O2-R1</x:v>
      </x:c>
      <x:c r="C1281" s="7" t="str">
        <x:v>BLD-C</x:v>
      </x:c>
      <x:c r="D1281" s="7" t="str">
        <x:v>MF-06</x:v>
      </x:c>
      <x:c r="E1281" s="7" t="str">
        <x:v>STD-06-1</x:v>
      </x:c>
      <x:c r="F1281" s="7" t="str">
        <x:v>OP-2</x:v>
      </x:c>
      <x:c r="G1281" s="7" t="n">
        <x:v>1</x:v>
      </x:c>
      <x:c r="H1281" s="7" t="str"/>
      <x:c r="I1281" s="7" t="str"/>
      <x:c r="J1281" s="7" t="str">
        <x:f>IF(OR(H1281="",I1281=""),"",I1281-H1281)</x:f>
      </x:c>
      <x:c r="K1281" s="7" t="str"/>
      <x:c r="L1281" s="7" t="str"/>
      <x:c r="M1281" s="7" t="str"/>
      <x:c r="N1281" s="7" t="str">
        <x:f>IF(M1281="","OPEN",IF(OR(NOT(ISNUMBER(H1281)),NOT(ISNUMBER(I1281)),K1281="",L1281=""),"FAIL","PASS"))</x:f>
        <x:v>OPEN</x:v>
      </x:c>
    </x:row>
    <x:row r="1282">
      <x:c r="B1282" s="7" t="str">
        <x:v>TRO-C-06-S1-O2-R2</x:v>
      </x:c>
      <x:c r="C1282" s="7" t="str">
        <x:v>BLD-C</x:v>
      </x:c>
      <x:c r="D1282" s="7" t="str">
        <x:v>MF-06</x:v>
      </x:c>
      <x:c r="E1282" s="7" t="str">
        <x:v>STD-06-1</x:v>
      </x:c>
      <x:c r="F1282" s="7" t="str">
        <x:v>OP-2</x:v>
      </x:c>
      <x:c r="G1282" s="7" t="n">
        <x:v>2</x:v>
      </x:c>
      <x:c r="H1282" s="7" t="str"/>
      <x:c r="I1282" s="7" t="str"/>
      <x:c r="J1282" s="7" t="str">
        <x:f>IF(OR(H1282="",I1282=""),"",I1282-H1282)</x:f>
      </x:c>
      <x:c r="K1282" s="7" t="str"/>
      <x:c r="L1282" s="7" t="str"/>
      <x:c r="M1282" s="7" t="str"/>
      <x:c r="N1282" s="7" t="str">
        <x:f>IF(M1282="","OPEN",IF(OR(NOT(ISNUMBER(H1282)),NOT(ISNUMBER(I1282)),K1282="",L1282=""),"FAIL","PASS"))</x:f>
        <x:v>OPEN</x:v>
      </x:c>
    </x:row>
    <x:row r="1283">
      <x:c r="B1283" s="7" t="str">
        <x:v>TRO-C-06-S2-O1-R1</x:v>
      </x:c>
      <x:c r="C1283" s="7" t="str">
        <x:v>BLD-C</x:v>
      </x:c>
      <x:c r="D1283" s="7" t="str">
        <x:v>MF-06</x:v>
      </x:c>
      <x:c r="E1283" s="7" t="str">
        <x:v>STD-06-2</x:v>
      </x:c>
      <x:c r="F1283" s="7" t="str">
        <x:v>OP-1</x:v>
      </x:c>
      <x:c r="G1283" s="7" t="n">
        <x:v>1</x:v>
      </x:c>
      <x:c r="H1283" s="7" t="str"/>
      <x:c r="I1283" s="7" t="str"/>
      <x:c r="J1283" s="7" t="str">
        <x:f>IF(OR(H1283="",I1283=""),"",I1283-H1283)</x:f>
      </x:c>
      <x:c r="K1283" s="7" t="str"/>
      <x:c r="L1283" s="7" t="str"/>
      <x:c r="M1283" s="7" t="str"/>
      <x:c r="N1283" s="7" t="str">
        <x:f>IF(M1283="","OPEN",IF(OR(NOT(ISNUMBER(H1283)),NOT(ISNUMBER(I1283)),K1283="",L1283=""),"FAIL","PASS"))</x:f>
        <x:v>OPEN</x:v>
      </x:c>
    </x:row>
    <x:row r="1284">
      <x:c r="B1284" s="7" t="str">
        <x:v>TRO-C-06-S2-O1-R2</x:v>
      </x:c>
      <x:c r="C1284" s="7" t="str">
        <x:v>BLD-C</x:v>
      </x:c>
      <x:c r="D1284" s="7" t="str">
        <x:v>MF-06</x:v>
      </x:c>
      <x:c r="E1284" s="7" t="str">
        <x:v>STD-06-2</x:v>
      </x:c>
      <x:c r="F1284" s="7" t="str">
        <x:v>OP-1</x:v>
      </x:c>
      <x:c r="G1284" s="7" t="n">
        <x:v>2</x:v>
      </x:c>
      <x:c r="H1284" s="7" t="str"/>
      <x:c r="I1284" s="7" t="str"/>
      <x:c r="J1284" s="7" t="str">
        <x:f>IF(OR(H1284="",I1284=""),"",I1284-H1284)</x:f>
      </x:c>
      <x:c r="K1284" s="7" t="str"/>
      <x:c r="L1284" s="7" t="str"/>
      <x:c r="M1284" s="7" t="str"/>
      <x:c r="N1284" s="7" t="str">
        <x:f>IF(M1284="","OPEN",IF(OR(NOT(ISNUMBER(H1284)),NOT(ISNUMBER(I1284)),K1284="",L1284=""),"FAIL","PASS"))</x:f>
        <x:v>OPEN</x:v>
      </x:c>
    </x:row>
    <x:row r="1285">
      <x:c r="B1285" s="7" t="str">
        <x:v>TRO-C-06-S2-O2-R1</x:v>
      </x:c>
      <x:c r="C1285" s="7" t="str">
        <x:v>BLD-C</x:v>
      </x:c>
      <x:c r="D1285" s="7" t="str">
        <x:v>MF-06</x:v>
      </x:c>
      <x:c r="E1285" s="7" t="str">
        <x:v>STD-06-2</x:v>
      </x:c>
      <x:c r="F1285" s="7" t="str">
        <x:v>OP-2</x:v>
      </x:c>
      <x:c r="G1285" s="7" t="n">
        <x:v>1</x:v>
      </x:c>
      <x:c r="H1285" s="7" t="str"/>
      <x:c r="I1285" s="7" t="str"/>
      <x:c r="J1285" s="7" t="str">
        <x:f>IF(OR(H1285="",I1285=""),"",I1285-H1285)</x:f>
      </x:c>
      <x:c r="K1285" s="7" t="str"/>
      <x:c r="L1285" s="7" t="str"/>
      <x:c r="M1285" s="7" t="str"/>
      <x:c r="N1285" s="7" t="str">
        <x:f>IF(M1285="","OPEN",IF(OR(NOT(ISNUMBER(H1285)),NOT(ISNUMBER(I1285)),K1285="",L1285=""),"FAIL","PASS"))</x:f>
        <x:v>OPEN</x:v>
      </x:c>
    </x:row>
    <x:row r="1286">
      <x:c r="B1286" s="7" t="str">
        <x:v>TRO-C-06-S2-O2-R2</x:v>
      </x:c>
      <x:c r="C1286" s="7" t="str">
        <x:v>BLD-C</x:v>
      </x:c>
      <x:c r="D1286" s="7" t="str">
        <x:v>MF-06</x:v>
      </x:c>
      <x:c r="E1286" s="7" t="str">
        <x:v>STD-06-2</x:v>
      </x:c>
      <x:c r="F1286" s="7" t="str">
        <x:v>OP-2</x:v>
      </x:c>
      <x:c r="G1286" s="7" t="n">
        <x:v>2</x:v>
      </x:c>
      <x:c r="H1286" s="7" t="str"/>
      <x:c r="I1286" s="7" t="str"/>
      <x:c r="J1286" s="7" t="str">
        <x:f>IF(OR(H1286="",I1286=""),"",I1286-H1286)</x:f>
      </x:c>
      <x:c r="K1286" s="7" t="str"/>
      <x:c r="L1286" s="7" t="str"/>
      <x:c r="M1286" s="7" t="str"/>
      <x:c r="N1286" s="7" t="str">
        <x:f>IF(M1286="","OPEN",IF(OR(NOT(ISNUMBER(H1286)),NOT(ISNUMBER(I1286)),K1286="",L1286=""),"FAIL","PASS"))</x:f>
        <x:v>OPEN</x:v>
      </x:c>
    </x:row>
    <x:row r="1287">
      <x:c r="B1287" s="7" t="str">
        <x:v>TRO-C-06-S3-O1-R1</x:v>
      </x:c>
      <x:c r="C1287" s="7" t="str">
        <x:v>BLD-C</x:v>
      </x:c>
      <x:c r="D1287" s="7" t="str">
        <x:v>MF-06</x:v>
      </x:c>
      <x:c r="E1287" s="7" t="str">
        <x:v>STD-06-3</x:v>
      </x:c>
      <x:c r="F1287" s="7" t="str">
        <x:v>OP-1</x:v>
      </x:c>
      <x:c r="G1287" s="7" t="n">
        <x:v>1</x:v>
      </x:c>
      <x:c r="H1287" s="7" t="str"/>
      <x:c r="I1287" s="7" t="str"/>
      <x:c r="J1287" s="7" t="str">
        <x:f>IF(OR(H1287="",I1287=""),"",I1287-H1287)</x:f>
      </x:c>
      <x:c r="K1287" s="7" t="str"/>
      <x:c r="L1287" s="7" t="str"/>
      <x:c r="M1287" s="7" t="str"/>
      <x:c r="N1287" s="7" t="str">
        <x:f>IF(M1287="","OPEN",IF(OR(NOT(ISNUMBER(H1287)),NOT(ISNUMBER(I1287)),K1287="",L1287=""),"FAIL","PASS"))</x:f>
        <x:v>OPEN</x:v>
      </x:c>
    </x:row>
    <x:row r="1288">
      <x:c r="B1288" s="7" t="str">
        <x:v>TRO-C-06-S3-O1-R2</x:v>
      </x:c>
      <x:c r="C1288" s="7" t="str">
        <x:v>BLD-C</x:v>
      </x:c>
      <x:c r="D1288" s="7" t="str">
        <x:v>MF-06</x:v>
      </x:c>
      <x:c r="E1288" s="7" t="str">
        <x:v>STD-06-3</x:v>
      </x:c>
      <x:c r="F1288" s="7" t="str">
        <x:v>OP-1</x:v>
      </x:c>
      <x:c r="G1288" s="7" t="n">
        <x:v>2</x:v>
      </x:c>
      <x:c r="H1288" s="7" t="str"/>
      <x:c r="I1288" s="7" t="str"/>
      <x:c r="J1288" s="7" t="str">
        <x:f>IF(OR(H1288="",I1288=""),"",I1288-H1288)</x:f>
      </x:c>
      <x:c r="K1288" s="7" t="str"/>
      <x:c r="L1288" s="7" t="str"/>
      <x:c r="M1288" s="7" t="str"/>
      <x:c r="N1288" s="7" t="str">
        <x:f>IF(M1288="","OPEN",IF(OR(NOT(ISNUMBER(H1288)),NOT(ISNUMBER(I1288)),K1288="",L1288=""),"FAIL","PASS"))</x:f>
        <x:v>OPEN</x:v>
      </x:c>
    </x:row>
    <x:row r="1289">
      <x:c r="B1289" s="7" t="str">
        <x:v>TRO-C-06-S3-O2-R1</x:v>
      </x:c>
      <x:c r="C1289" s="7" t="str">
        <x:v>BLD-C</x:v>
      </x:c>
      <x:c r="D1289" s="7" t="str">
        <x:v>MF-06</x:v>
      </x:c>
      <x:c r="E1289" s="7" t="str">
        <x:v>STD-06-3</x:v>
      </x:c>
      <x:c r="F1289" s="7" t="str">
        <x:v>OP-2</x:v>
      </x:c>
      <x:c r="G1289" s="7" t="n">
        <x:v>1</x:v>
      </x:c>
      <x:c r="H1289" s="7" t="str"/>
      <x:c r="I1289" s="7" t="str"/>
      <x:c r="J1289" s="7" t="str">
        <x:f>IF(OR(H1289="",I1289=""),"",I1289-H1289)</x:f>
      </x:c>
      <x:c r="K1289" s="7" t="str"/>
      <x:c r="L1289" s="7" t="str"/>
      <x:c r="M1289" s="7" t="str"/>
      <x:c r="N1289" s="7" t="str">
        <x:f>IF(M1289="","OPEN",IF(OR(NOT(ISNUMBER(H1289)),NOT(ISNUMBER(I1289)),K1289="",L1289=""),"FAIL","PASS"))</x:f>
        <x:v>OPEN</x:v>
      </x:c>
    </x:row>
    <x:row r="1290">
      <x:c r="B1290" s="7" t="str">
        <x:v>TRO-C-06-S3-O2-R2</x:v>
      </x:c>
      <x:c r="C1290" s="7" t="str">
        <x:v>BLD-C</x:v>
      </x:c>
      <x:c r="D1290" s="7" t="str">
        <x:v>MF-06</x:v>
      </x:c>
      <x:c r="E1290" s="7" t="str">
        <x:v>STD-06-3</x:v>
      </x:c>
      <x:c r="F1290" s="7" t="str">
        <x:v>OP-2</x:v>
      </x:c>
      <x:c r="G1290" s="7" t="n">
        <x:v>2</x:v>
      </x:c>
      <x:c r="H1290" s="7" t="str"/>
      <x:c r="I1290" s="7" t="str"/>
      <x:c r="J1290" s="7" t="str">
        <x:f>IF(OR(H1290="",I1290=""),"",I1290-H1290)</x:f>
      </x:c>
      <x:c r="K1290" s="7" t="str"/>
      <x:c r="L1290" s="7" t="str"/>
      <x:c r="M1290" s="7" t="str"/>
      <x:c r="N1290" s="7" t="str">
        <x:f>IF(M1290="","OPEN",IF(OR(NOT(ISNUMBER(H1290)),NOT(ISNUMBER(I1290)),K1290="",L1290=""),"FAIL","PASS"))</x:f>
        <x:v>OPEN</x:v>
      </x:c>
    </x:row>
    <x:row r="1291">
      <x:c r="B1291" s="7" t="str">
        <x:v>TRO-C-06-S4-O1-R1</x:v>
      </x:c>
      <x:c r="C1291" s="7" t="str">
        <x:v>BLD-C</x:v>
      </x:c>
      <x:c r="D1291" s="7" t="str">
        <x:v>MF-06</x:v>
      </x:c>
      <x:c r="E1291" s="7" t="str">
        <x:v>STD-06-4</x:v>
      </x:c>
      <x:c r="F1291" s="7" t="str">
        <x:v>OP-1</x:v>
      </x:c>
      <x:c r="G1291" s="7" t="n">
        <x:v>1</x:v>
      </x:c>
      <x:c r="H1291" s="7" t="str"/>
      <x:c r="I1291" s="7" t="str"/>
      <x:c r="J1291" s="7" t="str">
        <x:f>IF(OR(H1291="",I1291=""),"",I1291-H1291)</x:f>
      </x:c>
      <x:c r="K1291" s="7" t="str"/>
      <x:c r="L1291" s="7" t="str"/>
      <x:c r="M1291" s="7" t="str"/>
      <x:c r="N1291" s="7" t="str">
        <x:f>IF(M1291="","OPEN",IF(OR(NOT(ISNUMBER(H1291)),NOT(ISNUMBER(I1291)),K1291="",L1291=""),"FAIL","PASS"))</x:f>
        <x:v>OPEN</x:v>
      </x:c>
    </x:row>
    <x:row r="1292">
      <x:c r="B1292" s="7" t="str">
        <x:v>TRO-C-06-S4-O1-R2</x:v>
      </x:c>
      <x:c r="C1292" s="7" t="str">
        <x:v>BLD-C</x:v>
      </x:c>
      <x:c r="D1292" s="7" t="str">
        <x:v>MF-06</x:v>
      </x:c>
      <x:c r="E1292" s="7" t="str">
        <x:v>STD-06-4</x:v>
      </x:c>
      <x:c r="F1292" s="7" t="str">
        <x:v>OP-1</x:v>
      </x:c>
      <x:c r="G1292" s="7" t="n">
        <x:v>2</x:v>
      </x:c>
      <x:c r="H1292" s="7" t="str"/>
      <x:c r="I1292" s="7" t="str"/>
      <x:c r="J1292" s="7" t="str">
        <x:f>IF(OR(H1292="",I1292=""),"",I1292-H1292)</x:f>
      </x:c>
      <x:c r="K1292" s="7" t="str"/>
      <x:c r="L1292" s="7" t="str"/>
      <x:c r="M1292" s="7" t="str"/>
      <x:c r="N1292" s="7" t="str">
        <x:f>IF(M1292="","OPEN",IF(OR(NOT(ISNUMBER(H1292)),NOT(ISNUMBER(I1292)),K1292="",L1292=""),"FAIL","PASS"))</x:f>
        <x:v>OPEN</x:v>
      </x:c>
    </x:row>
    <x:row r="1293">
      <x:c r="B1293" s="7" t="str">
        <x:v>TRO-C-06-S4-O2-R1</x:v>
      </x:c>
      <x:c r="C1293" s="7" t="str">
        <x:v>BLD-C</x:v>
      </x:c>
      <x:c r="D1293" s="7" t="str">
        <x:v>MF-06</x:v>
      </x:c>
      <x:c r="E1293" s="7" t="str">
        <x:v>STD-06-4</x:v>
      </x:c>
      <x:c r="F1293" s="7" t="str">
        <x:v>OP-2</x:v>
      </x:c>
      <x:c r="G1293" s="7" t="n">
        <x:v>1</x:v>
      </x:c>
      <x:c r="H1293" s="7" t="str"/>
      <x:c r="I1293" s="7" t="str"/>
      <x:c r="J1293" s="7" t="str">
        <x:f>IF(OR(H1293="",I1293=""),"",I1293-H1293)</x:f>
      </x:c>
      <x:c r="K1293" s="7" t="str"/>
      <x:c r="L1293" s="7" t="str"/>
      <x:c r="M1293" s="7" t="str"/>
      <x:c r="N1293" s="7" t="str">
        <x:f>IF(M1293="","OPEN",IF(OR(NOT(ISNUMBER(H1293)),NOT(ISNUMBER(I1293)),K1293="",L1293=""),"FAIL","PASS"))</x:f>
        <x:v>OPEN</x:v>
      </x:c>
    </x:row>
    <x:row r="1294">
      <x:c r="B1294" s="7" t="str">
        <x:v>TRO-C-06-S4-O2-R2</x:v>
      </x:c>
      <x:c r="C1294" s="7" t="str">
        <x:v>BLD-C</x:v>
      </x:c>
      <x:c r="D1294" s="7" t="str">
        <x:v>MF-06</x:v>
      </x:c>
      <x:c r="E1294" s="7" t="str">
        <x:v>STD-06-4</x:v>
      </x:c>
      <x:c r="F1294" s="7" t="str">
        <x:v>OP-2</x:v>
      </x:c>
      <x:c r="G1294" s="7" t="n">
        <x:v>2</x:v>
      </x:c>
      <x:c r="H1294" s="7" t="str"/>
      <x:c r="I1294" s="7" t="str"/>
      <x:c r="J1294" s="7" t="str">
        <x:f>IF(OR(H1294="",I1294=""),"",I1294-H1294)</x:f>
      </x:c>
      <x:c r="K1294" s="7" t="str"/>
      <x:c r="L1294" s="7" t="str"/>
      <x:c r="M1294" s="7" t="str"/>
      <x:c r="N1294" s="7" t="str">
        <x:f>IF(M1294="","OPEN",IF(OR(NOT(ISNUMBER(H1294)),NOT(ISNUMBER(I1294)),K1294="",L1294=""),"FAIL","PASS"))</x:f>
        <x:v>OPEN</x:v>
      </x:c>
    </x:row>
    <x:row r="1295">
      <x:c r="B1295" s="7" t="str">
        <x:v>TRO-C-06-S5-O1-R1</x:v>
      </x:c>
      <x:c r="C1295" s="7" t="str">
        <x:v>BLD-C</x:v>
      </x:c>
      <x:c r="D1295" s="7" t="str">
        <x:v>MF-06</x:v>
      </x:c>
      <x:c r="E1295" s="7" t="str">
        <x:v>STD-06-5</x:v>
      </x:c>
      <x:c r="F1295" s="7" t="str">
        <x:v>OP-1</x:v>
      </x:c>
      <x:c r="G1295" s="7" t="n">
        <x:v>1</x:v>
      </x:c>
      <x:c r="H1295" s="7" t="str"/>
      <x:c r="I1295" s="7" t="str"/>
      <x:c r="J1295" s="7" t="str">
        <x:f>IF(OR(H1295="",I1295=""),"",I1295-H1295)</x:f>
      </x:c>
      <x:c r="K1295" s="7" t="str"/>
      <x:c r="L1295" s="7" t="str"/>
      <x:c r="M1295" s="7" t="str"/>
      <x:c r="N1295" s="7" t="str">
        <x:f>IF(M1295="","OPEN",IF(OR(NOT(ISNUMBER(H1295)),NOT(ISNUMBER(I1295)),K1295="",L1295=""),"FAIL","PASS"))</x:f>
        <x:v>OPEN</x:v>
      </x:c>
    </x:row>
    <x:row r="1296">
      <x:c r="B1296" s="7" t="str">
        <x:v>TRO-C-06-S5-O1-R2</x:v>
      </x:c>
      <x:c r="C1296" s="7" t="str">
        <x:v>BLD-C</x:v>
      </x:c>
      <x:c r="D1296" s="7" t="str">
        <x:v>MF-06</x:v>
      </x:c>
      <x:c r="E1296" s="7" t="str">
        <x:v>STD-06-5</x:v>
      </x:c>
      <x:c r="F1296" s="7" t="str">
        <x:v>OP-1</x:v>
      </x:c>
      <x:c r="G1296" s="7" t="n">
        <x:v>2</x:v>
      </x:c>
      <x:c r="H1296" s="7" t="str"/>
      <x:c r="I1296" s="7" t="str"/>
      <x:c r="J1296" s="7" t="str">
        <x:f>IF(OR(H1296="",I1296=""),"",I1296-H1296)</x:f>
      </x:c>
      <x:c r="K1296" s="7" t="str"/>
      <x:c r="L1296" s="7" t="str"/>
      <x:c r="M1296" s="7" t="str"/>
      <x:c r="N1296" s="7" t="str">
        <x:f>IF(M1296="","OPEN",IF(OR(NOT(ISNUMBER(H1296)),NOT(ISNUMBER(I1296)),K1296="",L1296=""),"FAIL","PASS"))</x:f>
        <x:v>OPEN</x:v>
      </x:c>
    </x:row>
    <x:row r="1297">
      <x:c r="B1297" s="7" t="str">
        <x:v>TRO-C-06-S5-O2-R1</x:v>
      </x:c>
      <x:c r="C1297" s="7" t="str">
        <x:v>BLD-C</x:v>
      </x:c>
      <x:c r="D1297" s="7" t="str">
        <x:v>MF-06</x:v>
      </x:c>
      <x:c r="E1297" s="7" t="str">
        <x:v>STD-06-5</x:v>
      </x:c>
      <x:c r="F1297" s="7" t="str">
        <x:v>OP-2</x:v>
      </x:c>
      <x:c r="G1297" s="7" t="n">
        <x:v>1</x:v>
      </x:c>
      <x:c r="H1297" s="7" t="str"/>
      <x:c r="I1297" s="7" t="str"/>
      <x:c r="J1297" s="7" t="str">
        <x:f>IF(OR(H1297="",I1297=""),"",I1297-H1297)</x:f>
      </x:c>
      <x:c r="K1297" s="7" t="str"/>
      <x:c r="L1297" s="7" t="str"/>
      <x:c r="M1297" s="7" t="str"/>
      <x:c r="N1297" s="7" t="str">
        <x:f>IF(M1297="","OPEN",IF(OR(NOT(ISNUMBER(H1297)),NOT(ISNUMBER(I1297)),K1297="",L1297=""),"FAIL","PASS"))</x:f>
        <x:v>OPEN</x:v>
      </x:c>
    </x:row>
    <x:row r="1298">
      <x:c r="B1298" s="7" t="str">
        <x:v>TRO-C-06-S5-O2-R2</x:v>
      </x:c>
      <x:c r="C1298" s="7" t="str">
        <x:v>BLD-C</x:v>
      </x:c>
      <x:c r="D1298" s="7" t="str">
        <x:v>MF-06</x:v>
      </x:c>
      <x:c r="E1298" s="7" t="str">
        <x:v>STD-06-5</x:v>
      </x:c>
      <x:c r="F1298" s="7" t="str">
        <x:v>OP-2</x:v>
      </x:c>
      <x:c r="G1298" s="7" t="n">
        <x:v>2</x:v>
      </x:c>
      <x:c r="H1298" s="7" t="str"/>
      <x:c r="I1298" s="7" t="str"/>
      <x:c r="J1298" s="7" t="str">
        <x:f>IF(OR(H1298="",I1298=""),"",I1298-H1298)</x:f>
      </x:c>
      <x:c r="K1298" s="7" t="str"/>
      <x:c r="L1298" s="7" t="str"/>
      <x:c r="M1298" s="7" t="str"/>
      <x:c r="N1298" s="7" t="str">
        <x:f>IF(M1298="","OPEN",IF(OR(NOT(ISNUMBER(H1298)),NOT(ISNUMBER(I1298)),K1298="",L1298=""),"FAIL","PASS"))</x:f>
        <x:v>OPEN</x:v>
      </x:c>
    </x:row>
    <x:row r="1299">
      <x:c r="B1299" s="7" t="str">
        <x:v>TRO-C-06-S6-O1-R1</x:v>
      </x:c>
      <x:c r="C1299" s="7" t="str">
        <x:v>BLD-C</x:v>
      </x:c>
      <x:c r="D1299" s="7" t="str">
        <x:v>MF-06</x:v>
      </x:c>
      <x:c r="E1299" s="7" t="str">
        <x:v>STD-06-6</x:v>
      </x:c>
      <x:c r="F1299" s="7" t="str">
        <x:v>OP-1</x:v>
      </x:c>
      <x:c r="G1299" s="7" t="n">
        <x:v>1</x:v>
      </x:c>
      <x:c r="H1299" s="7" t="str"/>
      <x:c r="I1299" s="7" t="str"/>
      <x:c r="J1299" s="7" t="str">
        <x:f>IF(OR(H1299="",I1299=""),"",I1299-H1299)</x:f>
      </x:c>
      <x:c r="K1299" s="7" t="str"/>
      <x:c r="L1299" s="7" t="str"/>
      <x:c r="M1299" s="7" t="str"/>
      <x:c r="N1299" s="7" t="str">
        <x:f>IF(M1299="","OPEN",IF(OR(NOT(ISNUMBER(H1299)),NOT(ISNUMBER(I1299)),K1299="",L1299=""),"FAIL","PASS"))</x:f>
        <x:v>OPEN</x:v>
      </x:c>
    </x:row>
    <x:row r="1300">
      <x:c r="B1300" s="7" t="str">
        <x:v>TRO-C-06-S6-O1-R2</x:v>
      </x:c>
      <x:c r="C1300" s="7" t="str">
        <x:v>BLD-C</x:v>
      </x:c>
      <x:c r="D1300" s="7" t="str">
        <x:v>MF-06</x:v>
      </x:c>
      <x:c r="E1300" s="7" t="str">
        <x:v>STD-06-6</x:v>
      </x:c>
      <x:c r="F1300" s="7" t="str">
        <x:v>OP-1</x:v>
      </x:c>
      <x:c r="G1300" s="7" t="n">
        <x:v>2</x:v>
      </x:c>
      <x:c r="H1300" s="7" t="str"/>
      <x:c r="I1300" s="7" t="str"/>
      <x:c r="J1300" s="7" t="str">
        <x:f>IF(OR(H1300="",I1300=""),"",I1300-H1300)</x:f>
      </x:c>
      <x:c r="K1300" s="7" t="str"/>
      <x:c r="L1300" s="7" t="str"/>
      <x:c r="M1300" s="7" t="str"/>
      <x:c r="N1300" s="7" t="str">
        <x:f>IF(M1300="","OPEN",IF(OR(NOT(ISNUMBER(H1300)),NOT(ISNUMBER(I1300)),K1300="",L1300=""),"FAIL","PASS"))</x:f>
        <x:v>OPEN</x:v>
      </x:c>
    </x:row>
    <x:row r="1301">
      <x:c r="B1301" s="7" t="str">
        <x:v>TRO-C-06-S6-O2-R1</x:v>
      </x:c>
      <x:c r="C1301" s="7" t="str">
        <x:v>BLD-C</x:v>
      </x:c>
      <x:c r="D1301" s="7" t="str">
        <x:v>MF-06</x:v>
      </x:c>
      <x:c r="E1301" s="7" t="str">
        <x:v>STD-06-6</x:v>
      </x:c>
      <x:c r="F1301" s="7" t="str">
        <x:v>OP-2</x:v>
      </x:c>
      <x:c r="G1301" s="7" t="n">
        <x:v>1</x:v>
      </x:c>
      <x:c r="H1301" s="7" t="str"/>
      <x:c r="I1301" s="7" t="str"/>
      <x:c r="J1301" s="7" t="str">
        <x:f>IF(OR(H1301="",I1301=""),"",I1301-H1301)</x:f>
      </x:c>
      <x:c r="K1301" s="7" t="str"/>
      <x:c r="L1301" s="7" t="str"/>
      <x:c r="M1301" s="7" t="str"/>
      <x:c r="N1301" s="7" t="str">
        <x:f>IF(M1301="","OPEN",IF(OR(NOT(ISNUMBER(H1301)),NOT(ISNUMBER(I1301)),K1301="",L1301=""),"FAIL","PASS"))</x:f>
        <x:v>OPEN</x:v>
      </x:c>
    </x:row>
    <x:row r="1302">
      <x:c r="B1302" s="7" t="str">
        <x:v>TRO-C-06-S6-O2-R2</x:v>
      </x:c>
      <x:c r="C1302" s="7" t="str">
        <x:v>BLD-C</x:v>
      </x:c>
      <x:c r="D1302" s="7" t="str">
        <x:v>MF-06</x:v>
      </x:c>
      <x:c r="E1302" s="7" t="str">
        <x:v>STD-06-6</x:v>
      </x:c>
      <x:c r="F1302" s="7" t="str">
        <x:v>OP-2</x:v>
      </x:c>
      <x:c r="G1302" s="7" t="n">
        <x:v>2</x:v>
      </x:c>
      <x:c r="H1302" s="7" t="str"/>
      <x:c r="I1302" s="7" t="str"/>
      <x:c r="J1302" s="7" t="str">
        <x:f>IF(OR(H1302="",I1302=""),"",I1302-H1302)</x:f>
      </x:c>
      <x:c r="K1302" s="7" t="str"/>
      <x:c r="L1302" s="7" t="str"/>
      <x:c r="M1302" s="7" t="str"/>
      <x:c r="N1302" s="7" t="str">
        <x:f>IF(M1302="","OPEN",IF(OR(NOT(ISNUMBER(H1302)),NOT(ISNUMBER(I1302)),K1302="",L1302=""),"FAIL","PASS"))</x:f>
        <x:v>OPEN</x:v>
      </x:c>
    </x:row>
    <x:row r="1303">
      <x:c r="B1303" s="7" t="str">
        <x:v>TRO-C-07-S1-O1-R1</x:v>
      </x:c>
      <x:c r="C1303" s="7" t="str">
        <x:v>BLD-C</x:v>
      </x:c>
      <x:c r="D1303" s="7" t="str">
        <x:v>MF-07</x:v>
      </x:c>
      <x:c r="E1303" s="7" t="str">
        <x:v>STD-07-1</x:v>
      </x:c>
      <x:c r="F1303" s="7" t="str">
        <x:v>OP-1</x:v>
      </x:c>
      <x:c r="G1303" s="7" t="n">
        <x:v>1</x:v>
      </x:c>
      <x:c r="H1303" s="7" t="str"/>
      <x:c r="I1303" s="7" t="str"/>
      <x:c r="J1303" s="7" t="str">
        <x:f>IF(OR(H1303="",I1303=""),"",I1303-H1303)</x:f>
      </x:c>
      <x:c r="K1303" s="7" t="str"/>
      <x:c r="L1303" s="7" t="str"/>
      <x:c r="M1303" s="7" t="str"/>
      <x:c r="N1303" s="7" t="str">
        <x:f>IF(M1303="","OPEN",IF(OR(NOT(ISNUMBER(H1303)),NOT(ISNUMBER(I1303)),K1303="",L1303=""),"FAIL","PASS"))</x:f>
        <x:v>OPEN</x:v>
      </x:c>
    </x:row>
    <x:row r="1304">
      <x:c r="B1304" s="7" t="str">
        <x:v>TRO-C-07-S1-O1-R2</x:v>
      </x:c>
      <x:c r="C1304" s="7" t="str">
        <x:v>BLD-C</x:v>
      </x:c>
      <x:c r="D1304" s="7" t="str">
        <x:v>MF-07</x:v>
      </x:c>
      <x:c r="E1304" s="7" t="str">
        <x:v>STD-07-1</x:v>
      </x:c>
      <x:c r="F1304" s="7" t="str">
        <x:v>OP-1</x:v>
      </x:c>
      <x:c r="G1304" s="7" t="n">
        <x:v>2</x:v>
      </x:c>
      <x:c r="H1304" s="7" t="str"/>
      <x:c r="I1304" s="7" t="str"/>
      <x:c r="J1304" s="7" t="str">
        <x:f>IF(OR(H1304="",I1304=""),"",I1304-H1304)</x:f>
      </x:c>
      <x:c r="K1304" s="7" t="str"/>
      <x:c r="L1304" s="7" t="str"/>
      <x:c r="M1304" s="7" t="str"/>
      <x:c r="N1304" s="7" t="str">
        <x:f>IF(M1304="","OPEN",IF(OR(NOT(ISNUMBER(H1304)),NOT(ISNUMBER(I1304)),K1304="",L1304=""),"FAIL","PASS"))</x:f>
        <x:v>OPEN</x:v>
      </x:c>
    </x:row>
    <x:row r="1305">
      <x:c r="B1305" s="7" t="str">
        <x:v>TRO-C-07-S1-O2-R1</x:v>
      </x:c>
      <x:c r="C1305" s="7" t="str">
        <x:v>BLD-C</x:v>
      </x:c>
      <x:c r="D1305" s="7" t="str">
        <x:v>MF-07</x:v>
      </x:c>
      <x:c r="E1305" s="7" t="str">
        <x:v>STD-07-1</x:v>
      </x:c>
      <x:c r="F1305" s="7" t="str">
        <x:v>OP-2</x:v>
      </x:c>
      <x:c r="G1305" s="7" t="n">
        <x:v>1</x:v>
      </x:c>
      <x:c r="H1305" s="7" t="str"/>
      <x:c r="I1305" s="7" t="str"/>
      <x:c r="J1305" s="7" t="str">
        <x:f>IF(OR(H1305="",I1305=""),"",I1305-H1305)</x:f>
      </x:c>
      <x:c r="K1305" s="7" t="str"/>
      <x:c r="L1305" s="7" t="str"/>
      <x:c r="M1305" s="7" t="str"/>
      <x:c r="N1305" s="7" t="str">
        <x:f>IF(M1305="","OPEN",IF(OR(NOT(ISNUMBER(H1305)),NOT(ISNUMBER(I1305)),K1305="",L1305=""),"FAIL","PASS"))</x:f>
        <x:v>OPEN</x:v>
      </x:c>
    </x:row>
    <x:row r="1306">
      <x:c r="B1306" s="7" t="str">
        <x:v>TRO-C-07-S1-O2-R2</x:v>
      </x:c>
      <x:c r="C1306" s="7" t="str">
        <x:v>BLD-C</x:v>
      </x:c>
      <x:c r="D1306" s="7" t="str">
        <x:v>MF-07</x:v>
      </x:c>
      <x:c r="E1306" s="7" t="str">
        <x:v>STD-07-1</x:v>
      </x:c>
      <x:c r="F1306" s="7" t="str">
        <x:v>OP-2</x:v>
      </x:c>
      <x:c r="G1306" s="7" t="n">
        <x:v>2</x:v>
      </x:c>
      <x:c r="H1306" s="7" t="str"/>
      <x:c r="I1306" s="7" t="str"/>
      <x:c r="J1306" s="7" t="str">
        <x:f>IF(OR(H1306="",I1306=""),"",I1306-H1306)</x:f>
      </x:c>
      <x:c r="K1306" s="7" t="str"/>
      <x:c r="L1306" s="7" t="str"/>
      <x:c r="M1306" s="7" t="str"/>
      <x:c r="N1306" s="7" t="str">
        <x:f>IF(M1306="","OPEN",IF(OR(NOT(ISNUMBER(H1306)),NOT(ISNUMBER(I1306)),K1306="",L1306=""),"FAIL","PASS"))</x:f>
        <x:v>OPEN</x:v>
      </x:c>
    </x:row>
    <x:row r="1307">
      <x:c r="B1307" s="7" t="str">
        <x:v>TRO-C-07-S2-O1-R1</x:v>
      </x:c>
      <x:c r="C1307" s="7" t="str">
        <x:v>BLD-C</x:v>
      </x:c>
      <x:c r="D1307" s="7" t="str">
        <x:v>MF-07</x:v>
      </x:c>
      <x:c r="E1307" s="7" t="str">
        <x:v>STD-07-2</x:v>
      </x:c>
      <x:c r="F1307" s="7" t="str">
        <x:v>OP-1</x:v>
      </x:c>
      <x:c r="G1307" s="7" t="n">
        <x:v>1</x:v>
      </x:c>
      <x:c r="H1307" s="7" t="str"/>
      <x:c r="I1307" s="7" t="str"/>
      <x:c r="J1307" s="7" t="str">
        <x:f>IF(OR(H1307="",I1307=""),"",I1307-H1307)</x:f>
      </x:c>
      <x:c r="K1307" s="7" t="str"/>
      <x:c r="L1307" s="7" t="str"/>
      <x:c r="M1307" s="7" t="str"/>
      <x:c r="N1307" s="7" t="str">
        <x:f>IF(M1307="","OPEN",IF(OR(NOT(ISNUMBER(H1307)),NOT(ISNUMBER(I1307)),K1307="",L1307=""),"FAIL","PASS"))</x:f>
        <x:v>OPEN</x:v>
      </x:c>
    </x:row>
    <x:row r="1308">
      <x:c r="B1308" s="7" t="str">
        <x:v>TRO-C-07-S2-O1-R2</x:v>
      </x:c>
      <x:c r="C1308" s="7" t="str">
        <x:v>BLD-C</x:v>
      </x:c>
      <x:c r="D1308" s="7" t="str">
        <x:v>MF-07</x:v>
      </x:c>
      <x:c r="E1308" s="7" t="str">
        <x:v>STD-07-2</x:v>
      </x:c>
      <x:c r="F1308" s="7" t="str">
        <x:v>OP-1</x:v>
      </x:c>
      <x:c r="G1308" s="7" t="n">
        <x:v>2</x:v>
      </x:c>
      <x:c r="H1308" s="7" t="str"/>
      <x:c r="I1308" s="7" t="str"/>
      <x:c r="J1308" s="7" t="str">
        <x:f>IF(OR(H1308="",I1308=""),"",I1308-H1308)</x:f>
      </x:c>
      <x:c r="K1308" s="7" t="str"/>
      <x:c r="L1308" s="7" t="str"/>
      <x:c r="M1308" s="7" t="str"/>
      <x:c r="N1308" s="7" t="str">
        <x:f>IF(M1308="","OPEN",IF(OR(NOT(ISNUMBER(H1308)),NOT(ISNUMBER(I1308)),K1308="",L1308=""),"FAIL","PASS"))</x:f>
        <x:v>OPEN</x:v>
      </x:c>
    </x:row>
    <x:row r="1309">
      <x:c r="B1309" s="7" t="str">
        <x:v>TRO-C-07-S2-O2-R1</x:v>
      </x:c>
      <x:c r="C1309" s="7" t="str">
        <x:v>BLD-C</x:v>
      </x:c>
      <x:c r="D1309" s="7" t="str">
        <x:v>MF-07</x:v>
      </x:c>
      <x:c r="E1309" s="7" t="str">
        <x:v>STD-07-2</x:v>
      </x:c>
      <x:c r="F1309" s="7" t="str">
        <x:v>OP-2</x:v>
      </x:c>
      <x:c r="G1309" s="7" t="n">
        <x:v>1</x:v>
      </x:c>
      <x:c r="H1309" s="7" t="str"/>
      <x:c r="I1309" s="7" t="str"/>
      <x:c r="J1309" s="7" t="str">
        <x:f>IF(OR(H1309="",I1309=""),"",I1309-H1309)</x:f>
      </x:c>
      <x:c r="K1309" s="7" t="str"/>
      <x:c r="L1309" s="7" t="str"/>
      <x:c r="M1309" s="7" t="str"/>
      <x:c r="N1309" s="7" t="str">
        <x:f>IF(M1309="","OPEN",IF(OR(NOT(ISNUMBER(H1309)),NOT(ISNUMBER(I1309)),K1309="",L1309=""),"FAIL","PASS"))</x:f>
        <x:v>OPEN</x:v>
      </x:c>
    </x:row>
    <x:row r="1310">
      <x:c r="B1310" s="7" t="str">
        <x:v>TRO-C-07-S2-O2-R2</x:v>
      </x:c>
      <x:c r="C1310" s="7" t="str">
        <x:v>BLD-C</x:v>
      </x:c>
      <x:c r="D1310" s="7" t="str">
        <x:v>MF-07</x:v>
      </x:c>
      <x:c r="E1310" s="7" t="str">
        <x:v>STD-07-2</x:v>
      </x:c>
      <x:c r="F1310" s="7" t="str">
        <x:v>OP-2</x:v>
      </x:c>
      <x:c r="G1310" s="7" t="n">
        <x:v>2</x:v>
      </x:c>
      <x:c r="H1310" s="7" t="str"/>
      <x:c r="I1310" s="7" t="str"/>
      <x:c r="J1310" s="7" t="str">
        <x:f>IF(OR(H1310="",I1310=""),"",I1310-H1310)</x:f>
      </x:c>
      <x:c r="K1310" s="7" t="str"/>
      <x:c r="L1310" s="7" t="str"/>
      <x:c r="M1310" s="7" t="str"/>
      <x:c r="N1310" s="7" t="str">
        <x:f>IF(M1310="","OPEN",IF(OR(NOT(ISNUMBER(H1310)),NOT(ISNUMBER(I1310)),K1310="",L1310=""),"FAIL","PASS"))</x:f>
        <x:v>OPEN</x:v>
      </x:c>
    </x:row>
    <x:row r="1311">
      <x:c r="B1311" s="7" t="str">
        <x:v>TRO-C-07-S3-O1-R1</x:v>
      </x:c>
      <x:c r="C1311" s="7" t="str">
        <x:v>BLD-C</x:v>
      </x:c>
      <x:c r="D1311" s="7" t="str">
        <x:v>MF-07</x:v>
      </x:c>
      <x:c r="E1311" s="7" t="str">
        <x:v>STD-07-3</x:v>
      </x:c>
      <x:c r="F1311" s="7" t="str">
        <x:v>OP-1</x:v>
      </x:c>
      <x:c r="G1311" s="7" t="n">
        <x:v>1</x:v>
      </x:c>
      <x:c r="H1311" s="7" t="str"/>
      <x:c r="I1311" s="7" t="str"/>
      <x:c r="J1311" s="7" t="str">
        <x:f>IF(OR(H1311="",I1311=""),"",I1311-H1311)</x:f>
      </x:c>
      <x:c r="K1311" s="7" t="str"/>
      <x:c r="L1311" s="7" t="str"/>
      <x:c r="M1311" s="7" t="str"/>
      <x:c r="N1311" s="7" t="str">
        <x:f>IF(M1311="","OPEN",IF(OR(NOT(ISNUMBER(H1311)),NOT(ISNUMBER(I1311)),K1311="",L1311=""),"FAIL","PASS"))</x:f>
        <x:v>OPEN</x:v>
      </x:c>
    </x:row>
    <x:row r="1312">
      <x:c r="B1312" s="7" t="str">
        <x:v>TRO-C-07-S3-O1-R2</x:v>
      </x:c>
      <x:c r="C1312" s="7" t="str">
        <x:v>BLD-C</x:v>
      </x:c>
      <x:c r="D1312" s="7" t="str">
        <x:v>MF-07</x:v>
      </x:c>
      <x:c r="E1312" s="7" t="str">
        <x:v>STD-07-3</x:v>
      </x:c>
      <x:c r="F1312" s="7" t="str">
        <x:v>OP-1</x:v>
      </x:c>
      <x:c r="G1312" s="7" t="n">
        <x:v>2</x:v>
      </x:c>
      <x:c r="H1312" s="7" t="str"/>
      <x:c r="I1312" s="7" t="str"/>
      <x:c r="J1312" s="7" t="str">
        <x:f>IF(OR(H1312="",I1312=""),"",I1312-H1312)</x:f>
      </x:c>
      <x:c r="K1312" s="7" t="str"/>
      <x:c r="L1312" s="7" t="str"/>
      <x:c r="M1312" s="7" t="str"/>
      <x:c r="N1312" s="7" t="str">
        <x:f>IF(M1312="","OPEN",IF(OR(NOT(ISNUMBER(H1312)),NOT(ISNUMBER(I1312)),K1312="",L1312=""),"FAIL","PASS"))</x:f>
        <x:v>OPEN</x:v>
      </x:c>
    </x:row>
    <x:row r="1313">
      <x:c r="B1313" s="7" t="str">
        <x:v>TRO-C-07-S3-O2-R1</x:v>
      </x:c>
      <x:c r="C1313" s="7" t="str">
        <x:v>BLD-C</x:v>
      </x:c>
      <x:c r="D1313" s="7" t="str">
        <x:v>MF-07</x:v>
      </x:c>
      <x:c r="E1313" s="7" t="str">
        <x:v>STD-07-3</x:v>
      </x:c>
      <x:c r="F1313" s="7" t="str">
        <x:v>OP-2</x:v>
      </x:c>
      <x:c r="G1313" s="7" t="n">
        <x:v>1</x:v>
      </x:c>
      <x:c r="H1313" s="7" t="str"/>
      <x:c r="I1313" s="7" t="str"/>
      <x:c r="J1313" s="7" t="str">
        <x:f>IF(OR(H1313="",I1313=""),"",I1313-H1313)</x:f>
      </x:c>
      <x:c r="K1313" s="7" t="str"/>
      <x:c r="L1313" s="7" t="str"/>
      <x:c r="M1313" s="7" t="str"/>
      <x:c r="N1313" s="7" t="str">
        <x:f>IF(M1313="","OPEN",IF(OR(NOT(ISNUMBER(H1313)),NOT(ISNUMBER(I1313)),K1313="",L1313=""),"FAIL","PASS"))</x:f>
        <x:v>OPEN</x:v>
      </x:c>
    </x:row>
    <x:row r="1314">
      <x:c r="B1314" s="7" t="str">
        <x:v>TRO-C-07-S3-O2-R2</x:v>
      </x:c>
      <x:c r="C1314" s="7" t="str">
        <x:v>BLD-C</x:v>
      </x:c>
      <x:c r="D1314" s="7" t="str">
        <x:v>MF-07</x:v>
      </x:c>
      <x:c r="E1314" s="7" t="str">
        <x:v>STD-07-3</x:v>
      </x:c>
      <x:c r="F1314" s="7" t="str">
        <x:v>OP-2</x:v>
      </x:c>
      <x:c r="G1314" s="7" t="n">
        <x:v>2</x:v>
      </x:c>
      <x:c r="H1314" s="7" t="str"/>
      <x:c r="I1314" s="7" t="str"/>
      <x:c r="J1314" s="7" t="str">
        <x:f>IF(OR(H1314="",I1314=""),"",I1314-H1314)</x:f>
      </x:c>
      <x:c r="K1314" s="7" t="str"/>
      <x:c r="L1314" s="7" t="str"/>
      <x:c r="M1314" s="7" t="str"/>
      <x:c r="N1314" s="7" t="str">
        <x:f>IF(M1314="","OPEN",IF(OR(NOT(ISNUMBER(H1314)),NOT(ISNUMBER(I1314)),K1314="",L1314=""),"FAIL","PASS"))</x:f>
        <x:v>OPEN</x:v>
      </x:c>
    </x:row>
    <x:row r="1315">
      <x:c r="B1315" s="7" t="str">
        <x:v>TRO-C-07-S4-O1-R1</x:v>
      </x:c>
      <x:c r="C1315" s="7" t="str">
        <x:v>BLD-C</x:v>
      </x:c>
      <x:c r="D1315" s="7" t="str">
        <x:v>MF-07</x:v>
      </x:c>
      <x:c r="E1315" s="7" t="str">
        <x:v>STD-07-4</x:v>
      </x:c>
      <x:c r="F1315" s="7" t="str">
        <x:v>OP-1</x:v>
      </x:c>
      <x:c r="G1315" s="7" t="n">
        <x:v>1</x:v>
      </x:c>
      <x:c r="H1315" s="7" t="str"/>
      <x:c r="I1315" s="7" t="str"/>
      <x:c r="J1315" s="7" t="str">
        <x:f>IF(OR(H1315="",I1315=""),"",I1315-H1315)</x:f>
      </x:c>
      <x:c r="K1315" s="7" t="str"/>
      <x:c r="L1315" s="7" t="str"/>
      <x:c r="M1315" s="7" t="str"/>
      <x:c r="N1315" s="7" t="str">
        <x:f>IF(M1315="","OPEN",IF(OR(NOT(ISNUMBER(H1315)),NOT(ISNUMBER(I1315)),K1315="",L1315=""),"FAIL","PASS"))</x:f>
        <x:v>OPEN</x:v>
      </x:c>
    </x:row>
    <x:row r="1316">
      <x:c r="B1316" s="7" t="str">
        <x:v>TRO-C-07-S4-O1-R2</x:v>
      </x:c>
      <x:c r="C1316" s="7" t="str">
        <x:v>BLD-C</x:v>
      </x:c>
      <x:c r="D1316" s="7" t="str">
        <x:v>MF-07</x:v>
      </x:c>
      <x:c r="E1316" s="7" t="str">
        <x:v>STD-07-4</x:v>
      </x:c>
      <x:c r="F1316" s="7" t="str">
        <x:v>OP-1</x:v>
      </x:c>
      <x:c r="G1316" s="7" t="n">
        <x:v>2</x:v>
      </x:c>
      <x:c r="H1316" s="7" t="str"/>
      <x:c r="I1316" s="7" t="str"/>
      <x:c r="J1316" s="7" t="str">
        <x:f>IF(OR(H1316="",I1316=""),"",I1316-H1316)</x:f>
      </x:c>
      <x:c r="K1316" s="7" t="str"/>
      <x:c r="L1316" s="7" t="str"/>
      <x:c r="M1316" s="7" t="str"/>
      <x:c r="N1316" s="7" t="str">
        <x:f>IF(M1316="","OPEN",IF(OR(NOT(ISNUMBER(H1316)),NOT(ISNUMBER(I1316)),K1316="",L1316=""),"FAIL","PASS"))</x:f>
        <x:v>OPEN</x:v>
      </x:c>
    </x:row>
    <x:row r="1317">
      <x:c r="B1317" s="7" t="str">
        <x:v>TRO-C-07-S4-O2-R1</x:v>
      </x:c>
      <x:c r="C1317" s="7" t="str">
        <x:v>BLD-C</x:v>
      </x:c>
      <x:c r="D1317" s="7" t="str">
        <x:v>MF-07</x:v>
      </x:c>
      <x:c r="E1317" s="7" t="str">
        <x:v>STD-07-4</x:v>
      </x:c>
      <x:c r="F1317" s="7" t="str">
        <x:v>OP-2</x:v>
      </x:c>
      <x:c r="G1317" s="7" t="n">
        <x:v>1</x:v>
      </x:c>
      <x:c r="H1317" s="7" t="str"/>
      <x:c r="I1317" s="7" t="str"/>
      <x:c r="J1317" s="7" t="str">
        <x:f>IF(OR(H1317="",I1317=""),"",I1317-H1317)</x:f>
      </x:c>
      <x:c r="K1317" s="7" t="str"/>
      <x:c r="L1317" s="7" t="str"/>
      <x:c r="M1317" s="7" t="str"/>
      <x:c r="N1317" s="7" t="str">
        <x:f>IF(M1317="","OPEN",IF(OR(NOT(ISNUMBER(H1317)),NOT(ISNUMBER(I1317)),K1317="",L1317=""),"FAIL","PASS"))</x:f>
        <x:v>OPEN</x:v>
      </x:c>
    </x:row>
    <x:row r="1318">
      <x:c r="B1318" s="7" t="str">
        <x:v>TRO-C-07-S4-O2-R2</x:v>
      </x:c>
      <x:c r="C1318" s="7" t="str">
        <x:v>BLD-C</x:v>
      </x:c>
      <x:c r="D1318" s="7" t="str">
        <x:v>MF-07</x:v>
      </x:c>
      <x:c r="E1318" s="7" t="str">
        <x:v>STD-07-4</x:v>
      </x:c>
      <x:c r="F1318" s="7" t="str">
        <x:v>OP-2</x:v>
      </x:c>
      <x:c r="G1318" s="7" t="n">
        <x:v>2</x:v>
      </x:c>
      <x:c r="H1318" s="7" t="str"/>
      <x:c r="I1318" s="7" t="str"/>
      <x:c r="J1318" s="7" t="str">
        <x:f>IF(OR(H1318="",I1318=""),"",I1318-H1318)</x:f>
      </x:c>
      <x:c r="K1318" s="7" t="str"/>
      <x:c r="L1318" s="7" t="str"/>
      <x:c r="M1318" s="7" t="str"/>
      <x:c r="N1318" s="7" t="str">
        <x:f>IF(M1318="","OPEN",IF(OR(NOT(ISNUMBER(H1318)),NOT(ISNUMBER(I1318)),K1318="",L1318=""),"FAIL","PASS"))</x:f>
        <x:v>OPEN</x:v>
      </x:c>
    </x:row>
    <x:row r="1319">
      <x:c r="B1319" s="7" t="str">
        <x:v>TRO-C-07-S5-O1-R1</x:v>
      </x:c>
      <x:c r="C1319" s="7" t="str">
        <x:v>BLD-C</x:v>
      </x:c>
      <x:c r="D1319" s="7" t="str">
        <x:v>MF-07</x:v>
      </x:c>
      <x:c r="E1319" s="7" t="str">
        <x:v>STD-07-5</x:v>
      </x:c>
      <x:c r="F1319" s="7" t="str">
        <x:v>OP-1</x:v>
      </x:c>
      <x:c r="G1319" s="7" t="n">
        <x:v>1</x:v>
      </x:c>
      <x:c r="H1319" s="7" t="str"/>
      <x:c r="I1319" s="7" t="str"/>
      <x:c r="J1319" s="7" t="str">
        <x:f>IF(OR(H1319="",I1319=""),"",I1319-H1319)</x:f>
      </x:c>
      <x:c r="K1319" s="7" t="str"/>
      <x:c r="L1319" s="7" t="str"/>
      <x:c r="M1319" s="7" t="str"/>
      <x:c r="N1319" s="7" t="str">
        <x:f>IF(M1319="","OPEN",IF(OR(NOT(ISNUMBER(H1319)),NOT(ISNUMBER(I1319)),K1319="",L1319=""),"FAIL","PASS"))</x:f>
        <x:v>OPEN</x:v>
      </x:c>
    </x:row>
    <x:row r="1320">
      <x:c r="B1320" s="7" t="str">
        <x:v>TRO-C-07-S5-O1-R2</x:v>
      </x:c>
      <x:c r="C1320" s="7" t="str">
        <x:v>BLD-C</x:v>
      </x:c>
      <x:c r="D1320" s="7" t="str">
        <x:v>MF-07</x:v>
      </x:c>
      <x:c r="E1320" s="7" t="str">
        <x:v>STD-07-5</x:v>
      </x:c>
      <x:c r="F1320" s="7" t="str">
        <x:v>OP-1</x:v>
      </x:c>
      <x:c r="G1320" s="7" t="n">
        <x:v>2</x:v>
      </x:c>
      <x:c r="H1320" s="7" t="str"/>
      <x:c r="I1320" s="7" t="str"/>
      <x:c r="J1320" s="7" t="str">
        <x:f>IF(OR(H1320="",I1320=""),"",I1320-H1320)</x:f>
      </x:c>
      <x:c r="K1320" s="7" t="str"/>
      <x:c r="L1320" s="7" t="str"/>
      <x:c r="M1320" s="7" t="str"/>
      <x:c r="N1320" s="7" t="str">
        <x:f>IF(M1320="","OPEN",IF(OR(NOT(ISNUMBER(H1320)),NOT(ISNUMBER(I1320)),K1320="",L1320=""),"FAIL","PASS"))</x:f>
        <x:v>OPEN</x:v>
      </x:c>
    </x:row>
    <x:row r="1321">
      <x:c r="B1321" s="7" t="str">
        <x:v>TRO-C-07-S5-O2-R1</x:v>
      </x:c>
      <x:c r="C1321" s="7" t="str">
        <x:v>BLD-C</x:v>
      </x:c>
      <x:c r="D1321" s="7" t="str">
        <x:v>MF-07</x:v>
      </x:c>
      <x:c r="E1321" s="7" t="str">
        <x:v>STD-07-5</x:v>
      </x:c>
      <x:c r="F1321" s="7" t="str">
        <x:v>OP-2</x:v>
      </x:c>
      <x:c r="G1321" s="7" t="n">
        <x:v>1</x:v>
      </x:c>
      <x:c r="H1321" s="7" t="str"/>
      <x:c r="I1321" s="7" t="str"/>
      <x:c r="J1321" s="7" t="str">
        <x:f>IF(OR(H1321="",I1321=""),"",I1321-H1321)</x:f>
      </x:c>
      <x:c r="K1321" s="7" t="str"/>
      <x:c r="L1321" s="7" t="str"/>
      <x:c r="M1321" s="7" t="str"/>
      <x:c r="N1321" s="7" t="str">
        <x:f>IF(M1321="","OPEN",IF(OR(NOT(ISNUMBER(H1321)),NOT(ISNUMBER(I1321)),K1321="",L1321=""),"FAIL","PASS"))</x:f>
        <x:v>OPEN</x:v>
      </x:c>
    </x:row>
    <x:row r="1322">
      <x:c r="B1322" s="7" t="str">
        <x:v>TRO-C-07-S5-O2-R2</x:v>
      </x:c>
      <x:c r="C1322" s="7" t="str">
        <x:v>BLD-C</x:v>
      </x:c>
      <x:c r="D1322" s="7" t="str">
        <x:v>MF-07</x:v>
      </x:c>
      <x:c r="E1322" s="7" t="str">
        <x:v>STD-07-5</x:v>
      </x:c>
      <x:c r="F1322" s="7" t="str">
        <x:v>OP-2</x:v>
      </x:c>
      <x:c r="G1322" s="7" t="n">
        <x:v>2</x:v>
      </x:c>
      <x:c r="H1322" s="7" t="str"/>
      <x:c r="I1322" s="7" t="str"/>
      <x:c r="J1322" s="7" t="str">
        <x:f>IF(OR(H1322="",I1322=""),"",I1322-H1322)</x:f>
      </x:c>
      <x:c r="K1322" s="7" t="str"/>
      <x:c r="L1322" s="7" t="str"/>
      <x:c r="M1322" s="7" t="str"/>
      <x:c r="N1322" s="7" t="str">
        <x:f>IF(M1322="","OPEN",IF(OR(NOT(ISNUMBER(H1322)),NOT(ISNUMBER(I1322)),K1322="",L1322=""),"FAIL","PASS"))</x:f>
        <x:v>OPEN</x:v>
      </x:c>
    </x:row>
    <x:row r="1323">
      <x:c r="B1323" s="7" t="str">
        <x:v>TRO-C-07-S6-O1-R1</x:v>
      </x:c>
      <x:c r="C1323" s="7" t="str">
        <x:v>BLD-C</x:v>
      </x:c>
      <x:c r="D1323" s="7" t="str">
        <x:v>MF-07</x:v>
      </x:c>
      <x:c r="E1323" s="7" t="str">
        <x:v>STD-07-6</x:v>
      </x:c>
      <x:c r="F1323" s="7" t="str">
        <x:v>OP-1</x:v>
      </x:c>
      <x:c r="G1323" s="7" t="n">
        <x:v>1</x:v>
      </x:c>
      <x:c r="H1323" s="7" t="str"/>
      <x:c r="I1323" s="7" t="str"/>
      <x:c r="J1323" s="7" t="str">
        <x:f>IF(OR(H1323="",I1323=""),"",I1323-H1323)</x:f>
      </x:c>
      <x:c r="K1323" s="7" t="str"/>
      <x:c r="L1323" s="7" t="str"/>
      <x:c r="M1323" s="7" t="str"/>
      <x:c r="N1323" s="7" t="str">
        <x:f>IF(M1323="","OPEN",IF(OR(NOT(ISNUMBER(H1323)),NOT(ISNUMBER(I1323)),K1323="",L1323=""),"FAIL","PASS"))</x:f>
        <x:v>OPEN</x:v>
      </x:c>
    </x:row>
    <x:row r="1324">
      <x:c r="B1324" s="7" t="str">
        <x:v>TRO-C-07-S6-O1-R2</x:v>
      </x:c>
      <x:c r="C1324" s="7" t="str">
        <x:v>BLD-C</x:v>
      </x:c>
      <x:c r="D1324" s="7" t="str">
        <x:v>MF-07</x:v>
      </x:c>
      <x:c r="E1324" s="7" t="str">
        <x:v>STD-07-6</x:v>
      </x:c>
      <x:c r="F1324" s="7" t="str">
        <x:v>OP-1</x:v>
      </x:c>
      <x:c r="G1324" s="7" t="n">
        <x:v>2</x:v>
      </x:c>
      <x:c r="H1324" s="7" t="str"/>
      <x:c r="I1324" s="7" t="str"/>
      <x:c r="J1324" s="7" t="str">
        <x:f>IF(OR(H1324="",I1324=""),"",I1324-H1324)</x:f>
      </x:c>
      <x:c r="K1324" s="7" t="str"/>
      <x:c r="L1324" s="7" t="str"/>
      <x:c r="M1324" s="7" t="str"/>
      <x:c r="N1324" s="7" t="str">
        <x:f>IF(M1324="","OPEN",IF(OR(NOT(ISNUMBER(H1324)),NOT(ISNUMBER(I1324)),K1324="",L1324=""),"FAIL","PASS"))</x:f>
        <x:v>OPEN</x:v>
      </x:c>
    </x:row>
    <x:row r="1325">
      <x:c r="B1325" s="7" t="str">
        <x:v>TRO-C-07-S6-O2-R1</x:v>
      </x:c>
      <x:c r="C1325" s="7" t="str">
        <x:v>BLD-C</x:v>
      </x:c>
      <x:c r="D1325" s="7" t="str">
        <x:v>MF-07</x:v>
      </x:c>
      <x:c r="E1325" s="7" t="str">
        <x:v>STD-07-6</x:v>
      </x:c>
      <x:c r="F1325" s="7" t="str">
        <x:v>OP-2</x:v>
      </x:c>
      <x:c r="G1325" s="7" t="n">
        <x:v>1</x:v>
      </x:c>
      <x:c r="H1325" s="7" t="str"/>
      <x:c r="I1325" s="7" t="str"/>
      <x:c r="J1325" s="7" t="str">
        <x:f>IF(OR(H1325="",I1325=""),"",I1325-H1325)</x:f>
      </x:c>
      <x:c r="K1325" s="7" t="str"/>
      <x:c r="L1325" s="7" t="str"/>
      <x:c r="M1325" s="7" t="str"/>
      <x:c r="N1325" s="7" t="str">
        <x:f>IF(M1325="","OPEN",IF(OR(NOT(ISNUMBER(H1325)),NOT(ISNUMBER(I1325)),K1325="",L1325=""),"FAIL","PASS"))</x:f>
        <x:v>OPEN</x:v>
      </x:c>
    </x:row>
    <x:row r="1326">
      <x:c r="B1326" s="7" t="str">
        <x:v>TRO-C-07-S6-O2-R2</x:v>
      </x:c>
      <x:c r="C1326" s="7" t="str">
        <x:v>BLD-C</x:v>
      </x:c>
      <x:c r="D1326" s="7" t="str">
        <x:v>MF-07</x:v>
      </x:c>
      <x:c r="E1326" s="7" t="str">
        <x:v>STD-07-6</x:v>
      </x:c>
      <x:c r="F1326" s="7" t="str">
        <x:v>OP-2</x:v>
      </x:c>
      <x:c r="G1326" s="7" t="n">
        <x:v>2</x:v>
      </x:c>
      <x:c r="H1326" s="7" t="str"/>
      <x:c r="I1326" s="7" t="str"/>
      <x:c r="J1326" s="7" t="str">
        <x:f>IF(OR(H1326="",I1326=""),"",I1326-H1326)</x:f>
      </x:c>
      <x:c r="K1326" s="7" t="str"/>
      <x:c r="L1326" s="7" t="str"/>
      <x:c r="M1326" s="7" t="str"/>
      <x:c r="N1326" s="7" t="str">
        <x:f>IF(M1326="","OPEN",IF(OR(NOT(ISNUMBER(H1326)),NOT(ISNUMBER(I1326)),K1326="",L1326=""),"FAIL","PASS"))</x:f>
        <x:v>OPEN</x:v>
      </x:c>
    </x:row>
    <x:row r="1327">
      <x:c r="B1327" s="7" t="str">
        <x:v>TRO-C-08-S1-O1-R1</x:v>
      </x:c>
      <x:c r="C1327" s="7" t="str">
        <x:v>BLD-C</x:v>
      </x:c>
      <x:c r="D1327" s="7" t="str">
        <x:v>MF-08</x:v>
      </x:c>
      <x:c r="E1327" s="7" t="str">
        <x:v>STD-08-1</x:v>
      </x:c>
      <x:c r="F1327" s="7" t="str">
        <x:v>OP-1</x:v>
      </x:c>
      <x:c r="G1327" s="7" t="n">
        <x:v>1</x:v>
      </x:c>
      <x:c r="H1327" s="7" t="str"/>
      <x:c r="I1327" s="7" t="str"/>
      <x:c r="J1327" s="7" t="str">
        <x:f>IF(OR(H1327="",I1327=""),"",I1327-H1327)</x:f>
      </x:c>
      <x:c r="K1327" s="7" t="str"/>
      <x:c r="L1327" s="7" t="str"/>
      <x:c r="M1327" s="7" t="str"/>
      <x:c r="N1327" s="7" t="str">
        <x:f>IF(M1327="","OPEN",IF(OR(NOT(ISNUMBER(H1327)),NOT(ISNUMBER(I1327)),K1327="",L1327=""),"FAIL","PASS"))</x:f>
        <x:v>OPEN</x:v>
      </x:c>
    </x:row>
    <x:row r="1328">
      <x:c r="B1328" s="7" t="str">
        <x:v>TRO-C-08-S1-O1-R2</x:v>
      </x:c>
      <x:c r="C1328" s="7" t="str">
        <x:v>BLD-C</x:v>
      </x:c>
      <x:c r="D1328" s="7" t="str">
        <x:v>MF-08</x:v>
      </x:c>
      <x:c r="E1328" s="7" t="str">
        <x:v>STD-08-1</x:v>
      </x:c>
      <x:c r="F1328" s="7" t="str">
        <x:v>OP-1</x:v>
      </x:c>
      <x:c r="G1328" s="7" t="n">
        <x:v>2</x:v>
      </x:c>
      <x:c r="H1328" s="7" t="str"/>
      <x:c r="I1328" s="7" t="str"/>
      <x:c r="J1328" s="7" t="str">
        <x:f>IF(OR(H1328="",I1328=""),"",I1328-H1328)</x:f>
      </x:c>
      <x:c r="K1328" s="7" t="str"/>
      <x:c r="L1328" s="7" t="str"/>
      <x:c r="M1328" s="7" t="str"/>
      <x:c r="N1328" s="7" t="str">
        <x:f>IF(M1328="","OPEN",IF(OR(NOT(ISNUMBER(H1328)),NOT(ISNUMBER(I1328)),K1328="",L1328=""),"FAIL","PASS"))</x:f>
        <x:v>OPEN</x:v>
      </x:c>
    </x:row>
    <x:row r="1329">
      <x:c r="B1329" s="7" t="str">
        <x:v>TRO-C-08-S1-O2-R1</x:v>
      </x:c>
      <x:c r="C1329" s="7" t="str">
        <x:v>BLD-C</x:v>
      </x:c>
      <x:c r="D1329" s="7" t="str">
        <x:v>MF-08</x:v>
      </x:c>
      <x:c r="E1329" s="7" t="str">
        <x:v>STD-08-1</x:v>
      </x:c>
      <x:c r="F1329" s="7" t="str">
        <x:v>OP-2</x:v>
      </x:c>
      <x:c r="G1329" s="7" t="n">
        <x:v>1</x:v>
      </x:c>
      <x:c r="H1329" s="7" t="str"/>
      <x:c r="I1329" s="7" t="str"/>
      <x:c r="J1329" s="7" t="str">
        <x:f>IF(OR(H1329="",I1329=""),"",I1329-H1329)</x:f>
      </x:c>
      <x:c r="K1329" s="7" t="str"/>
      <x:c r="L1329" s="7" t="str"/>
      <x:c r="M1329" s="7" t="str"/>
      <x:c r="N1329" s="7" t="str">
        <x:f>IF(M1329="","OPEN",IF(OR(NOT(ISNUMBER(H1329)),NOT(ISNUMBER(I1329)),K1329="",L1329=""),"FAIL","PASS"))</x:f>
        <x:v>OPEN</x:v>
      </x:c>
    </x:row>
    <x:row r="1330">
      <x:c r="B1330" s="7" t="str">
        <x:v>TRO-C-08-S1-O2-R2</x:v>
      </x:c>
      <x:c r="C1330" s="7" t="str">
        <x:v>BLD-C</x:v>
      </x:c>
      <x:c r="D1330" s="7" t="str">
        <x:v>MF-08</x:v>
      </x:c>
      <x:c r="E1330" s="7" t="str">
        <x:v>STD-08-1</x:v>
      </x:c>
      <x:c r="F1330" s="7" t="str">
        <x:v>OP-2</x:v>
      </x:c>
      <x:c r="G1330" s="7" t="n">
        <x:v>2</x:v>
      </x:c>
      <x:c r="H1330" s="7" t="str"/>
      <x:c r="I1330" s="7" t="str"/>
      <x:c r="J1330" s="7" t="str">
        <x:f>IF(OR(H1330="",I1330=""),"",I1330-H1330)</x:f>
      </x:c>
      <x:c r="K1330" s="7" t="str"/>
      <x:c r="L1330" s="7" t="str"/>
      <x:c r="M1330" s="7" t="str"/>
      <x:c r="N1330" s="7" t="str">
        <x:f>IF(M1330="","OPEN",IF(OR(NOT(ISNUMBER(H1330)),NOT(ISNUMBER(I1330)),K1330="",L1330=""),"FAIL","PASS"))</x:f>
        <x:v>OPEN</x:v>
      </x:c>
    </x:row>
    <x:row r="1331">
      <x:c r="B1331" s="7" t="str">
        <x:v>TRO-C-08-S2-O1-R1</x:v>
      </x:c>
      <x:c r="C1331" s="7" t="str">
        <x:v>BLD-C</x:v>
      </x:c>
      <x:c r="D1331" s="7" t="str">
        <x:v>MF-08</x:v>
      </x:c>
      <x:c r="E1331" s="7" t="str">
        <x:v>STD-08-2</x:v>
      </x:c>
      <x:c r="F1331" s="7" t="str">
        <x:v>OP-1</x:v>
      </x:c>
      <x:c r="G1331" s="7" t="n">
        <x:v>1</x:v>
      </x:c>
      <x:c r="H1331" s="7" t="str"/>
      <x:c r="I1331" s="7" t="str"/>
      <x:c r="J1331" s="7" t="str">
        <x:f>IF(OR(H1331="",I1331=""),"",I1331-H1331)</x:f>
      </x:c>
      <x:c r="K1331" s="7" t="str"/>
      <x:c r="L1331" s="7" t="str"/>
      <x:c r="M1331" s="7" t="str"/>
      <x:c r="N1331" s="7" t="str">
        <x:f>IF(M1331="","OPEN",IF(OR(NOT(ISNUMBER(H1331)),NOT(ISNUMBER(I1331)),K1331="",L1331=""),"FAIL","PASS"))</x:f>
        <x:v>OPEN</x:v>
      </x:c>
    </x:row>
    <x:row r="1332">
      <x:c r="B1332" s="7" t="str">
        <x:v>TRO-C-08-S2-O1-R2</x:v>
      </x:c>
      <x:c r="C1332" s="7" t="str">
        <x:v>BLD-C</x:v>
      </x:c>
      <x:c r="D1332" s="7" t="str">
        <x:v>MF-08</x:v>
      </x:c>
      <x:c r="E1332" s="7" t="str">
        <x:v>STD-08-2</x:v>
      </x:c>
      <x:c r="F1332" s="7" t="str">
        <x:v>OP-1</x:v>
      </x:c>
      <x:c r="G1332" s="7" t="n">
        <x:v>2</x:v>
      </x:c>
      <x:c r="H1332" s="7" t="str"/>
      <x:c r="I1332" s="7" t="str"/>
      <x:c r="J1332" s="7" t="str">
        <x:f>IF(OR(H1332="",I1332=""),"",I1332-H1332)</x:f>
      </x:c>
      <x:c r="K1332" s="7" t="str"/>
      <x:c r="L1332" s="7" t="str"/>
      <x:c r="M1332" s="7" t="str"/>
      <x:c r="N1332" s="7" t="str">
        <x:f>IF(M1332="","OPEN",IF(OR(NOT(ISNUMBER(H1332)),NOT(ISNUMBER(I1332)),K1332="",L1332=""),"FAIL","PASS"))</x:f>
        <x:v>OPEN</x:v>
      </x:c>
    </x:row>
    <x:row r="1333">
      <x:c r="B1333" s="7" t="str">
        <x:v>TRO-C-08-S2-O2-R1</x:v>
      </x:c>
      <x:c r="C1333" s="7" t="str">
        <x:v>BLD-C</x:v>
      </x:c>
      <x:c r="D1333" s="7" t="str">
        <x:v>MF-08</x:v>
      </x:c>
      <x:c r="E1333" s="7" t="str">
        <x:v>STD-08-2</x:v>
      </x:c>
      <x:c r="F1333" s="7" t="str">
        <x:v>OP-2</x:v>
      </x:c>
      <x:c r="G1333" s="7" t="n">
        <x:v>1</x:v>
      </x:c>
      <x:c r="H1333" s="7" t="str"/>
      <x:c r="I1333" s="7" t="str"/>
      <x:c r="J1333" s="7" t="str">
        <x:f>IF(OR(H1333="",I1333=""),"",I1333-H1333)</x:f>
      </x:c>
      <x:c r="K1333" s="7" t="str"/>
      <x:c r="L1333" s="7" t="str"/>
      <x:c r="M1333" s="7" t="str"/>
      <x:c r="N1333" s="7" t="str">
        <x:f>IF(M1333="","OPEN",IF(OR(NOT(ISNUMBER(H1333)),NOT(ISNUMBER(I1333)),K1333="",L1333=""),"FAIL","PASS"))</x:f>
        <x:v>OPEN</x:v>
      </x:c>
    </x:row>
    <x:row r="1334">
      <x:c r="B1334" s="7" t="str">
        <x:v>TRO-C-08-S2-O2-R2</x:v>
      </x:c>
      <x:c r="C1334" s="7" t="str">
        <x:v>BLD-C</x:v>
      </x:c>
      <x:c r="D1334" s="7" t="str">
        <x:v>MF-08</x:v>
      </x:c>
      <x:c r="E1334" s="7" t="str">
        <x:v>STD-08-2</x:v>
      </x:c>
      <x:c r="F1334" s="7" t="str">
        <x:v>OP-2</x:v>
      </x:c>
      <x:c r="G1334" s="7" t="n">
        <x:v>2</x:v>
      </x:c>
      <x:c r="H1334" s="7" t="str"/>
      <x:c r="I1334" s="7" t="str"/>
      <x:c r="J1334" s="7" t="str">
        <x:f>IF(OR(H1334="",I1334=""),"",I1334-H1334)</x:f>
      </x:c>
      <x:c r="K1334" s="7" t="str"/>
      <x:c r="L1334" s="7" t="str"/>
      <x:c r="M1334" s="7" t="str"/>
      <x:c r="N1334" s="7" t="str">
        <x:f>IF(M1334="","OPEN",IF(OR(NOT(ISNUMBER(H1334)),NOT(ISNUMBER(I1334)),K1334="",L1334=""),"FAIL","PASS"))</x:f>
        <x:v>OPEN</x:v>
      </x:c>
    </x:row>
    <x:row r="1335">
      <x:c r="B1335" s="7" t="str">
        <x:v>TRO-C-08-S3-O1-R1</x:v>
      </x:c>
      <x:c r="C1335" s="7" t="str">
        <x:v>BLD-C</x:v>
      </x:c>
      <x:c r="D1335" s="7" t="str">
        <x:v>MF-08</x:v>
      </x:c>
      <x:c r="E1335" s="7" t="str">
        <x:v>STD-08-3</x:v>
      </x:c>
      <x:c r="F1335" s="7" t="str">
        <x:v>OP-1</x:v>
      </x:c>
      <x:c r="G1335" s="7" t="n">
        <x:v>1</x:v>
      </x:c>
      <x:c r="H1335" s="7" t="str"/>
      <x:c r="I1335" s="7" t="str"/>
      <x:c r="J1335" s="7" t="str">
        <x:f>IF(OR(H1335="",I1335=""),"",I1335-H1335)</x:f>
      </x:c>
      <x:c r="K1335" s="7" t="str"/>
      <x:c r="L1335" s="7" t="str"/>
      <x:c r="M1335" s="7" t="str"/>
      <x:c r="N1335" s="7" t="str">
        <x:f>IF(M1335="","OPEN",IF(OR(NOT(ISNUMBER(H1335)),NOT(ISNUMBER(I1335)),K1335="",L1335=""),"FAIL","PASS"))</x:f>
        <x:v>OPEN</x:v>
      </x:c>
    </x:row>
    <x:row r="1336">
      <x:c r="B1336" s="7" t="str">
        <x:v>TRO-C-08-S3-O1-R2</x:v>
      </x:c>
      <x:c r="C1336" s="7" t="str">
        <x:v>BLD-C</x:v>
      </x:c>
      <x:c r="D1336" s="7" t="str">
        <x:v>MF-08</x:v>
      </x:c>
      <x:c r="E1336" s="7" t="str">
        <x:v>STD-08-3</x:v>
      </x:c>
      <x:c r="F1336" s="7" t="str">
        <x:v>OP-1</x:v>
      </x:c>
      <x:c r="G1336" s="7" t="n">
        <x:v>2</x:v>
      </x:c>
      <x:c r="H1336" s="7" t="str"/>
      <x:c r="I1336" s="7" t="str"/>
      <x:c r="J1336" s="7" t="str">
        <x:f>IF(OR(H1336="",I1336=""),"",I1336-H1336)</x:f>
      </x:c>
      <x:c r="K1336" s="7" t="str"/>
      <x:c r="L1336" s="7" t="str"/>
      <x:c r="M1336" s="7" t="str"/>
      <x:c r="N1336" s="7" t="str">
        <x:f>IF(M1336="","OPEN",IF(OR(NOT(ISNUMBER(H1336)),NOT(ISNUMBER(I1336)),K1336="",L1336=""),"FAIL","PASS"))</x:f>
        <x:v>OPEN</x:v>
      </x:c>
    </x:row>
    <x:row r="1337">
      <x:c r="B1337" s="7" t="str">
        <x:v>TRO-C-08-S3-O2-R1</x:v>
      </x:c>
      <x:c r="C1337" s="7" t="str">
        <x:v>BLD-C</x:v>
      </x:c>
      <x:c r="D1337" s="7" t="str">
        <x:v>MF-08</x:v>
      </x:c>
      <x:c r="E1337" s="7" t="str">
        <x:v>STD-08-3</x:v>
      </x:c>
      <x:c r="F1337" s="7" t="str">
        <x:v>OP-2</x:v>
      </x:c>
      <x:c r="G1337" s="7" t="n">
        <x:v>1</x:v>
      </x:c>
      <x:c r="H1337" s="7" t="str"/>
      <x:c r="I1337" s="7" t="str"/>
      <x:c r="J1337" s="7" t="str">
        <x:f>IF(OR(H1337="",I1337=""),"",I1337-H1337)</x:f>
      </x:c>
      <x:c r="K1337" s="7" t="str"/>
      <x:c r="L1337" s="7" t="str"/>
      <x:c r="M1337" s="7" t="str"/>
      <x:c r="N1337" s="7" t="str">
        <x:f>IF(M1337="","OPEN",IF(OR(NOT(ISNUMBER(H1337)),NOT(ISNUMBER(I1337)),K1337="",L1337=""),"FAIL","PASS"))</x:f>
        <x:v>OPEN</x:v>
      </x:c>
    </x:row>
    <x:row r="1338">
      <x:c r="B1338" s="7" t="str">
        <x:v>TRO-C-08-S3-O2-R2</x:v>
      </x:c>
      <x:c r="C1338" s="7" t="str">
        <x:v>BLD-C</x:v>
      </x:c>
      <x:c r="D1338" s="7" t="str">
        <x:v>MF-08</x:v>
      </x:c>
      <x:c r="E1338" s="7" t="str">
        <x:v>STD-08-3</x:v>
      </x:c>
      <x:c r="F1338" s="7" t="str">
        <x:v>OP-2</x:v>
      </x:c>
      <x:c r="G1338" s="7" t="n">
        <x:v>2</x:v>
      </x:c>
      <x:c r="H1338" s="7" t="str"/>
      <x:c r="I1338" s="7" t="str"/>
      <x:c r="J1338" s="7" t="str">
        <x:f>IF(OR(H1338="",I1338=""),"",I1338-H1338)</x:f>
      </x:c>
      <x:c r="K1338" s="7" t="str"/>
      <x:c r="L1338" s="7" t="str"/>
      <x:c r="M1338" s="7" t="str"/>
      <x:c r="N1338" s="7" t="str">
        <x:f>IF(M1338="","OPEN",IF(OR(NOT(ISNUMBER(H1338)),NOT(ISNUMBER(I1338)),K1338="",L1338=""),"FAIL","PASS"))</x:f>
        <x:v>OPEN</x:v>
      </x:c>
    </x:row>
    <x:row r="1339">
      <x:c r="B1339" s="7" t="str">
        <x:v>TRO-C-08-S4-O1-R1</x:v>
      </x:c>
      <x:c r="C1339" s="7" t="str">
        <x:v>BLD-C</x:v>
      </x:c>
      <x:c r="D1339" s="7" t="str">
        <x:v>MF-08</x:v>
      </x:c>
      <x:c r="E1339" s="7" t="str">
        <x:v>STD-08-4</x:v>
      </x:c>
      <x:c r="F1339" s="7" t="str">
        <x:v>OP-1</x:v>
      </x:c>
      <x:c r="G1339" s="7" t="n">
        <x:v>1</x:v>
      </x:c>
      <x:c r="H1339" s="7" t="str"/>
      <x:c r="I1339" s="7" t="str"/>
      <x:c r="J1339" s="7" t="str">
        <x:f>IF(OR(H1339="",I1339=""),"",I1339-H1339)</x:f>
      </x:c>
      <x:c r="K1339" s="7" t="str"/>
      <x:c r="L1339" s="7" t="str"/>
      <x:c r="M1339" s="7" t="str"/>
      <x:c r="N1339" s="7" t="str">
        <x:f>IF(M1339="","OPEN",IF(OR(NOT(ISNUMBER(H1339)),NOT(ISNUMBER(I1339)),K1339="",L1339=""),"FAIL","PASS"))</x:f>
        <x:v>OPEN</x:v>
      </x:c>
    </x:row>
    <x:row r="1340">
      <x:c r="B1340" s="7" t="str">
        <x:v>TRO-C-08-S4-O1-R2</x:v>
      </x:c>
      <x:c r="C1340" s="7" t="str">
        <x:v>BLD-C</x:v>
      </x:c>
      <x:c r="D1340" s="7" t="str">
        <x:v>MF-08</x:v>
      </x:c>
      <x:c r="E1340" s="7" t="str">
        <x:v>STD-08-4</x:v>
      </x:c>
      <x:c r="F1340" s="7" t="str">
        <x:v>OP-1</x:v>
      </x:c>
      <x:c r="G1340" s="7" t="n">
        <x:v>2</x:v>
      </x:c>
      <x:c r="H1340" s="7" t="str"/>
      <x:c r="I1340" s="7" t="str"/>
      <x:c r="J1340" s="7" t="str">
        <x:f>IF(OR(H1340="",I1340=""),"",I1340-H1340)</x:f>
      </x:c>
      <x:c r="K1340" s="7" t="str"/>
      <x:c r="L1340" s="7" t="str"/>
      <x:c r="M1340" s="7" t="str"/>
      <x:c r="N1340" s="7" t="str">
        <x:f>IF(M1340="","OPEN",IF(OR(NOT(ISNUMBER(H1340)),NOT(ISNUMBER(I1340)),K1340="",L1340=""),"FAIL","PASS"))</x:f>
        <x:v>OPEN</x:v>
      </x:c>
    </x:row>
    <x:row r="1341">
      <x:c r="B1341" s="7" t="str">
        <x:v>TRO-C-08-S4-O2-R1</x:v>
      </x:c>
      <x:c r="C1341" s="7" t="str">
        <x:v>BLD-C</x:v>
      </x:c>
      <x:c r="D1341" s="7" t="str">
        <x:v>MF-08</x:v>
      </x:c>
      <x:c r="E1341" s="7" t="str">
        <x:v>STD-08-4</x:v>
      </x:c>
      <x:c r="F1341" s="7" t="str">
        <x:v>OP-2</x:v>
      </x:c>
      <x:c r="G1341" s="7" t="n">
        <x:v>1</x:v>
      </x:c>
      <x:c r="H1341" s="7" t="str"/>
      <x:c r="I1341" s="7" t="str"/>
      <x:c r="J1341" s="7" t="str">
        <x:f>IF(OR(H1341="",I1341=""),"",I1341-H1341)</x:f>
      </x:c>
      <x:c r="K1341" s="7" t="str"/>
      <x:c r="L1341" s="7" t="str"/>
      <x:c r="M1341" s="7" t="str"/>
      <x:c r="N1341" s="7" t="str">
        <x:f>IF(M1341="","OPEN",IF(OR(NOT(ISNUMBER(H1341)),NOT(ISNUMBER(I1341)),K1341="",L1341=""),"FAIL","PASS"))</x:f>
        <x:v>OPEN</x:v>
      </x:c>
    </x:row>
    <x:row r="1342">
      <x:c r="B1342" s="7" t="str">
        <x:v>TRO-C-08-S4-O2-R2</x:v>
      </x:c>
      <x:c r="C1342" s="7" t="str">
        <x:v>BLD-C</x:v>
      </x:c>
      <x:c r="D1342" s="7" t="str">
        <x:v>MF-08</x:v>
      </x:c>
      <x:c r="E1342" s="7" t="str">
        <x:v>STD-08-4</x:v>
      </x:c>
      <x:c r="F1342" s="7" t="str">
        <x:v>OP-2</x:v>
      </x:c>
      <x:c r="G1342" s="7" t="n">
        <x:v>2</x:v>
      </x:c>
      <x:c r="H1342" s="7" t="str"/>
      <x:c r="I1342" s="7" t="str"/>
      <x:c r="J1342" s="7" t="str">
        <x:f>IF(OR(H1342="",I1342=""),"",I1342-H1342)</x:f>
      </x:c>
      <x:c r="K1342" s="7" t="str"/>
      <x:c r="L1342" s="7" t="str"/>
      <x:c r="M1342" s="7" t="str"/>
      <x:c r="N1342" s="7" t="str">
        <x:f>IF(M1342="","OPEN",IF(OR(NOT(ISNUMBER(H1342)),NOT(ISNUMBER(I1342)),K1342="",L1342=""),"FAIL","PASS"))</x:f>
        <x:v>OPEN</x:v>
      </x:c>
    </x:row>
    <x:row r="1343">
      <x:c r="B1343" s="7" t="str">
        <x:v>TRO-C-08-S5-O1-R1</x:v>
      </x:c>
      <x:c r="C1343" s="7" t="str">
        <x:v>BLD-C</x:v>
      </x:c>
      <x:c r="D1343" s="7" t="str">
        <x:v>MF-08</x:v>
      </x:c>
      <x:c r="E1343" s="7" t="str">
        <x:v>STD-08-5</x:v>
      </x:c>
      <x:c r="F1343" s="7" t="str">
        <x:v>OP-1</x:v>
      </x:c>
      <x:c r="G1343" s="7" t="n">
        <x:v>1</x:v>
      </x:c>
      <x:c r="H1343" s="7" t="str"/>
      <x:c r="I1343" s="7" t="str"/>
      <x:c r="J1343" s="7" t="str">
        <x:f>IF(OR(H1343="",I1343=""),"",I1343-H1343)</x:f>
      </x:c>
      <x:c r="K1343" s="7" t="str"/>
      <x:c r="L1343" s="7" t="str"/>
      <x:c r="M1343" s="7" t="str"/>
      <x:c r="N1343" s="7" t="str">
        <x:f>IF(M1343="","OPEN",IF(OR(NOT(ISNUMBER(H1343)),NOT(ISNUMBER(I1343)),K1343="",L1343=""),"FAIL","PASS"))</x:f>
        <x:v>OPEN</x:v>
      </x:c>
    </x:row>
    <x:row r="1344">
      <x:c r="B1344" s="7" t="str">
        <x:v>TRO-C-08-S5-O1-R2</x:v>
      </x:c>
      <x:c r="C1344" s="7" t="str">
        <x:v>BLD-C</x:v>
      </x:c>
      <x:c r="D1344" s="7" t="str">
        <x:v>MF-08</x:v>
      </x:c>
      <x:c r="E1344" s="7" t="str">
        <x:v>STD-08-5</x:v>
      </x:c>
      <x:c r="F1344" s="7" t="str">
        <x:v>OP-1</x:v>
      </x:c>
      <x:c r="G1344" s="7" t="n">
        <x:v>2</x:v>
      </x:c>
      <x:c r="H1344" s="7" t="str"/>
      <x:c r="I1344" s="7" t="str"/>
      <x:c r="J1344" s="7" t="str">
        <x:f>IF(OR(H1344="",I1344=""),"",I1344-H1344)</x:f>
      </x:c>
      <x:c r="K1344" s="7" t="str"/>
      <x:c r="L1344" s="7" t="str"/>
      <x:c r="M1344" s="7" t="str"/>
      <x:c r="N1344" s="7" t="str">
        <x:f>IF(M1344="","OPEN",IF(OR(NOT(ISNUMBER(H1344)),NOT(ISNUMBER(I1344)),K1344="",L1344=""),"FAIL","PASS"))</x:f>
        <x:v>OPEN</x:v>
      </x:c>
    </x:row>
    <x:row r="1345">
      <x:c r="B1345" s="7" t="str">
        <x:v>TRO-C-08-S5-O2-R1</x:v>
      </x:c>
      <x:c r="C1345" s="7" t="str">
        <x:v>BLD-C</x:v>
      </x:c>
      <x:c r="D1345" s="7" t="str">
        <x:v>MF-08</x:v>
      </x:c>
      <x:c r="E1345" s="7" t="str">
        <x:v>STD-08-5</x:v>
      </x:c>
      <x:c r="F1345" s="7" t="str">
        <x:v>OP-2</x:v>
      </x:c>
      <x:c r="G1345" s="7" t="n">
        <x:v>1</x:v>
      </x:c>
      <x:c r="H1345" s="7" t="str"/>
      <x:c r="I1345" s="7" t="str"/>
      <x:c r="J1345" s="7" t="str">
        <x:f>IF(OR(H1345="",I1345=""),"",I1345-H1345)</x:f>
      </x:c>
      <x:c r="K1345" s="7" t="str"/>
      <x:c r="L1345" s="7" t="str"/>
      <x:c r="M1345" s="7" t="str"/>
      <x:c r="N1345" s="7" t="str">
        <x:f>IF(M1345="","OPEN",IF(OR(NOT(ISNUMBER(H1345)),NOT(ISNUMBER(I1345)),K1345="",L1345=""),"FAIL","PASS"))</x:f>
        <x:v>OPEN</x:v>
      </x:c>
    </x:row>
    <x:row r="1346">
      <x:c r="B1346" s="7" t="str">
        <x:v>TRO-C-08-S5-O2-R2</x:v>
      </x:c>
      <x:c r="C1346" s="7" t="str">
        <x:v>BLD-C</x:v>
      </x:c>
      <x:c r="D1346" s="7" t="str">
        <x:v>MF-08</x:v>
      </x:c>
      <x:c r="E1346" s="7" t="str">
        <x:v>STD-08-5</x:v>
      </x:c>
      <x:c r="F1346" s="7" t="str">
        <x:v>OP-2</x:v>
      </x:c>
      <x:c r="G1346" s="7" t="n">
        <x:v>2</x:v>
      </x:c>
      <x:c r="H1346" s="7" t="str"/>
      <x:c r="I1346" s="7" t="str"/>
      <x:c r="J1346" s="7" t="str">
        <x:f>IF(OR(H1346="",I1346=""),"",I1346-H1346)</x:f>
      </x:c>
      <x:c r="K1346" s="7" t="str"/>
      <x:c r="L1346" s="7" t="str"/>
      <x:c r="M1346" s="7" t="str"/>
      <x:c r="N1346" s="7" t="str">
        <x:f>IF(M1346="","OPEN",IF(OR(NOT(ISNUMBER(H1346)),NOT(ISNUMBER(I1346)),K1346="",L1346=""),"FAIL","PASS"))</x:f>
        <x:v>OPEN</x:v>
      </x:c>
    </x:row>
    <x:row r="1347">
      <x:c r="B1347" s="7" t="str">
        <x:v>TRO-C-08-S6-O1-R1</x:v>
      </x:c>
      <x:c r="C1347" s="7" t="str">
        <x:v>BLD-C</x:v>
      </x:c>
      <x:c r="D1347" s="7" t="str">
        <x:v>MF-08</x:v>
      </x:c>
      <x:c r="E1347" s="7" t="str">
        <x:v>STD-08-6</x:v>
      </x:c>
      <x:c r="F1347" s="7" t="str">
        <x:v>OP-1</x:v>
      </x:c>
      <x:c r="G1347" s="7" t="n">
        <x:v>1</x:v>
      </x:c>
      <x:c r="H1347" s="7" t="str"/>
      <x:c r="I1347" s="7" t="str"/>
      <x:c r="J1347" s="7" t="str">
        <x:f>IF(OR(H1347="",I1347=""),"",I1347-H1347)</x:f>
      </x:c>
      <x:c r="K1347" s="7" t="str"/>
      <x:c r="L1347" s="7" t="str"/>
      <x:c r="M1347" s="7" t="str"/>
      <x:c r="N1347" s="7" t="str">
        <x:f>IF(M1347="","OPEN",IF(OR(NOT(ISNUMBER(H1347)),NOT(ISNUMBER(I1347)),K1347="",L1347=""),"FAIL","PASS"))</x:f>
        <x:v>OPEN</x:v>
      </x:c>
    </x:row>
    <x:row r="1348">
      <x:c r="B1348" s="7" t="str">
        <x:v>TRO-C-08-S6-O1-R2</x:v>
      </x:c>
      <x:c r="C1348" s="7" t="str">
        <x:v>BLD-C</x:v>
      </x:c>
      <x:c r="D1348" s="7" t="str">
        <x:v>MF-08</x:v>
      </x:c>
      <x:c r="E1348" s="7" t="str">
        <x:v>STD-08-6</x:v>
      </x:c>
      <x:c r="F1348" s="7" t="str">
        <x:v>OP-1</x:v>
      </x:c>
      <x:c r="G1348" s="7" t="n">
        <x:v>2</x:v>
      </x:c>
      <x:c r="H1348" s="7" t="str"/>
      <x:c r="I1348" s="7" t="str"/>
      <x:c r="J1348" s="7" t="str">
        <x:f>IF(OR(H1348="",I1348=""),"",I1348-H1348)</x:f>
      </x:c>
      <x:c r="K1348" s="7" t="str"/>
      <x:c r="L1348" s="7" t="str"/>
      <x:c r="M1348" s="7" t="str"/>
      <x:c r="N1348" s="7" t="str">
        <x:f>IF(M1348="","OPEN",IF(OR(NOT(ISNUMBER(H1348)),NOT(ISNUMBER(I1348)),K1348="",L1348=""),"FAIL","PASS"))</x:f>
        <x:v>OPEN</x:v>
      </x:c>
    </x:row>
    <x:row r="1349">
      <x:c r="B1349" s="7" t="str">
        <x:v>TRO-C-08-S6-O2-R1</x:v>
      </x:c>
      <x:c r="C1349" s="7" t="str">
        <x:v>BLD-C</x:v>
      </x:c>
      <x:c r="D1349" s="7" t="str">
        <x:v>MF-08</x:v>
      </x:c>
      <x:c r="E1349" s="7" t="str">
        <x:v>STD-08-6</x:v>
      </x:c>
      <x:c r="F1349" s="7" t="str">
        <x:v>OP-2</x:v>
      </x:c>
      <x:c r="G1349" s="7" t="n">
        <x:v>1</x:v>
      </x:c>
      <x:c r="H1349" s="7" t="str"/>
      <x:c r="I1349" s="7" t="str"/>
      <x:c r="J1349" s="7" t="str">
        <x:f>IF(OR(H1349="",I1349=""),"",I1349-H1349)</x:f>
      </x:c>
      <x:c r="K1349" s="7" t="str"/>
      <x:c r="L1349" s="7" t="str"/>
      <x:c r="M1349" s="7" t="str"/>
      <x:c r="N1349" s="7" t="str">
        <x:f>IF(M1349="","OPEN",IF(OR(NOT(ISNUMBER(H1349)),NOT(ISNUMBER(I1349)),K1349="",L1349=""),"FAIL","PASS"))</x:f>
        <x:v>OPEN</x:v>
      </x:c>
    </x:row>
    <x:row r="1350">
      <x:c r="B1350" s="7" t="str">
        <x:v>TRO-C-08-S6-O2-R2</x:v>
      </x:c>
      <x:c r="C1350" s="7" t="str">
        <x:v>BLD-C</x:v>
      </x:c>
      <x:c r="D1350" s="7" t="str">
        <x:v>MF-08</x:v>
      </x:c>
      <x:c r="E1350" s="7" t="str">
        <x:v>STD-08-6</x:v>
      </x:c>
      <x:c r="F1350" s="7" t="str">
        <x:v>OP-2</x:v>
      </x:c>
      <x:c r="G1350" s="7" t="n">
        <x:v>2</x:v>
      </x:c>
      <x:c r="H1350" s="7" t="str"/>
      <x:c r="I1350" s="7" t="str"/>
      <x:c r="J1350" s="7" t="str">
        <x:f>IF(OR(H1350="",I1350=""),"",I1350-H1350)</x:f>
      </x:c>
      <x:c r="K1350" s="7" t="str"/>
      <x:c r="L1350" s="7" t="str"/>
      <x:c r="M1350" s="7" t="str"/>
      <x:c r="N1350" s="7" t="str">
        <x:f>IF(M1350="","OPEN",IF(OR(NOT(ISNUMBER(H1350)),NOT(ISNUMBER(I1350)),K1350="",L1350=""),"FAIL","PASS"))</x:f>
        <x:v>OPEN</x:v>
      </x:c>
    </x:row>
    <x:row r="1351">
      <x:c r="B1351" s="7" t="str">
        <x:v>TRO-C-09-S1-O1-R1</x:v>
      </x:c>
      <x:c r="C1351" s="7" t="str">
        <x:v>BLD-C</x:v>
      </x:c>
      <x:c r="D1351" s="7" t="str">
        <x:v>MF-09</x:v>
      </x:c>
      <x:c r="E1351" s="7" t="str">
        <x:v>STD-09-1</x:v>
      </x:c>
      <x:c r="F1351" s="7" t="str">
        <x:v>OP-1</x:v>
      </x:c>
      <x:c r="G1351" s="7" t="n">
        <x:v>1</x:v>
      </x:c>
      <x:c r="H1351" s="7" t="str"/>
      <x:c r="I1351" s="7" t="str"/>
      <x:c r="J1351" s="7" t="str">
        <x:f>IF(OR(H1351="",I1351=""),"",I1351-H1351)</x:f>
      </x:c>
      <x:c r="K1351" s="7" t="str"/>
      <x:c r="L1351" s="7" t="str"/>
      <x:c r="M1351" s="7" t="str"/>
      <x:c r="N1351" s="7" t="str">
        <x:f>IF(M1351="","OPEN",IF(OR(NOT(ISNUMBER(H1351)),NOT(ISNUMBER(I1351)),K1351="",L1351=""),"FAIL","PASS"))</x:f>
        <x:v>OPEN</x:v>
      </x:c>
    </x:row>
    <x:row r="1352">
      <x:c r="B1352" s="7" t="str">
        <x:v>TRO-C-09-S1-O1-R2</x:v>
      </x:c>
      <x:c r="C1352" s="7" t="str">
        <x:v>BLD-C</x:v>
      </x:c>
      <x:c r="D1352" s="7" t="str">
        <x:v>MF-09</x:v>
      </x:c>
      <x:c r="E1352" s="7" t="str">
        <x:v>STD-09-1</x:v>
      </x:c>
      <x:c r="F1352" s="7" t="str">
        <x:v>OP-1</x:v>
      </x:c>
      <x:c r="G1352" s="7" t="n">
        <x:v>2</x:v>
      </x:c>
      <x:c r="H1352" s="7" t="str"/>
      <x:c r="I1352" s="7" t="str"/>
      <x:c r="J1352" s="7" t="str">
        <x:f>IF(OR(H1352="",I1352=""),"",I1352-H1352)</x:f>
      </x:c>
      <x:c r="K1352" s="7" t="str"/>
      <x:c r="L1352" s="7" t="str"/>
      <x:c r="M1352" s="7" t="str"/>
      <x:c r="N1352" s="7" t="str">
        <x:f>IF(M1352="","OPEN",IF(OR(NOT(ISNUMBER(H1352)),NOT(ISNUMBER(I1352)),K1352="",L1352=""),"FAIL","PASS"))</x:f>
        <x:v>OPEN</x:v>
      </x:c>
    </x:row>
    <x:row r="1353">
      <x:c r="B1353" s="7" t="str">
        <x:v>TRO-C-09-S1-O2-R1</x:v>
      </x:c>
      <x:c r="C1353" s="7" t="str">
        <x:v>BLD-C</x:v>
      </x:c>
      <x:c r="D1353" s="7" t="str">
        <x:v>MF-09</x:v>
      </x:c>
      <x:c r="E1353" s="7" t="str">
        <x:v>STD-09-1</x:v>
      </x:c>
      <x:c r="F1353" s="7" t="str">
        <x:v>OP-2</x:v>
      </x:c>
      <x:c r="G1353" s="7" t="n">
        <x:v>1</x:v>
      </x:c>
      <x:c r="H1353" s="7" t="str"/>
      <x:c r="I1353" s="7" t="str"/>
      <x:c r="J1353" s="7" t="str">
        <x:f>IF(OR(H1353="",I1353=""),"",I1353-H1353)</x:f>
      </x:c>
      <x:c r="K1353" s="7" t="str"/>
      <x:c r="L1353" s="7" t="str"/>
      <x:c r="M1353" s="7" t="str"/>
      <x:c r="N1353" s="7" t="str">
        <x:f>IF(M1353="","OPEN",IF(OR(NOT(ISNUMBER(H1353)),NOT(ISNUMBER(I1353)),K1353="",L1353=""),"FAIL","PASS"))</x:f>
        <x:v>OPEN</x:v>
      </x:c>
    </x:row>
    <x:row r="1354">
      <x:c r="B1354" s="7" t="str">
        <x:v>TRO-C-09-S1-O2-R2</x:v>
      </x:c>
      <x:c r="C1354" s="7" t="str">
        <x:v>BLD-C</x:v>
      </x:c>
      <x:c r="D1354" s="7" t="str">
        <x:v>MF-09</x:v>
      </x:c>
      <x:c r="E1354" s="7" t="str">
        <x:v>STD-09-1</x:v>
      </x:c>
      <x:c r="F1354" s="7" t="str">
        <x:v>OP-2</x:v>
      </x:c>
      <x:c r="G1354" s="7" t="n">
        <x:v>2</x:v>
      </x:c>
      <x:c r="H1354" s="7" t="str"/>
      <x:c r="I1354" s="7" t="str"/>
      <x:c r="J1354" s="7" t="str">
        <x:f>IF(OR(H1354="",I1354=""),"",I1354-H1354)</x:f>
      </x:c>
      <x:c r="K1354" s="7" t="str"/>
      <x:c r="L1354" s="7" t="str"/>
      <x:c r="M1354" s="7" t="str"/>
      <x:c r="N1354" s="7" t="str">
        <x:f>IF(M1354="","OPEN",IF(OR(NOT(ISNUMBER(H1354)),NOT(ISNUMBER(I1354)),K1354="",L1354=""),"FAIL","PASS"))</x:f>
        <x:v>OPEN</x:v>
      </x:c>
    </x:row>
    <x:row r="1355">
      <x:c r="B1355" s="7" t="str">
        <x:v>TRO-C-09-S2-O1-R1</x:v>
      </x:c>
      <x:c r="C1355" s="7" t="str">
        <x:v>BLD-C</x:v>
      </x:c>
      <x:c r="D1355" s="7" t="str">
        <x:v>MF-09</x:v>
      </x:c>
      <x:c r="E1355" s="7" t="str">
        <x:v>STD-09-2</x:v>
      </x:c>
      <x:c r="F1355" s="7" t="str">
        <x:v>OP-1</x:v>
      </x:c>
      <x:c r="G1355" s="7" t="n">
        <x:v>1</x:v>
      </x:c>
      <x:c r="H1355" s="7" t="str"/>
      <x:c r="I1355" s="7" t="str"/>
      <x:c r="J1355" s="7" t="str">
        <x:f>IF(OR(H1355="",I1355=""),"",I1355-H1355)</x:f>
      </x:c>
      <x:c r="K1355" s="7" t="str"/>
      <x:c r="L1355" s="7" t="str"/>
      <x:c r="M1355" s="7" t="str"/>
      <x:c r="N1355" s="7" t="str">
        <x:f>IF(M1355="","OPEN",IF(OR(NOT(ISNUMBER(H1355)),NOT(ISNUMBER(I1355)),K1355="",L1355=""),"FAIL","PASS"))</x:f>
        <x:v>OPEN</x:v>
      </x:c>
    </x:row>
    <x:row r="1356">
      <x:c r="B1356" s="7" t="str">
        <x:v>TRO-C-09-S2-O1-R2</x:v>
      </x:c>
      <x:c r="C1356" s="7" t="str">
        <x:v>BLD-C</x:v>
      </x:c>
      <x:c r="D1356" s="7" t="str">
        <x:v>MF-09</x:v>
      </x:c>
      <x:c r="E1356" s="7" t="str">
        <x:v>STD-09-2</x:v>
      </x:c>
      <x:c r="F1356" s="7" t="str">
        <x:v>OP-1</x:v>
      </x:c>
      <x:c r="G1356" s="7" t="n">
        <x:v>2</x:v>
      </x:c>
      <x:c r="H1356" s="7" t="str"/>
      <x:c r="I1356" s="7" t="str"/>
      <x:c r="J1356" s="7" t="str">
        <x:f>IF(OR(H1356="",I1356=""),"",I1356-H1356)</x:f>
      </x:c>
      <x:c r="K1356" s="7" t="str"/>
      <x:c r="L1356" s="7" t="str"/>
      <x:c r="M1356" s="7" t="str"/>
      <x:c r="N1356" s="7" t="str">
        <x:f>IF(M1356="","OPEN",IF(OR(NOT(ISNUMBER(H1356)),NOT(ISNUMBER(I1356)),K1356="",L1356=""),"FAIL","PASS"))</x:f>
        <x:v>OPEN</x:v>
      </x:c>
    </x:row>
    <x:row r="1357">
      <x:c r="B1357" s="7" t="str">
        <x:v>TRO-C-09-S2-O2-R1</x:v>
      </x:c>
      <x:c r="C1357" s="7" t="str">
        <x:v>BLD-C</x:v>
      </x:c>
      <x:c r="D1357" s="7" t="str">
        <x:v>MF-09</x:v>
      </x:c>
      <x:c r="E1357" s="7" t="str">
        <x:v>STD-09-2</x:v>
      </x:c>
      <x:c r="F1357" s="7" t="str">
        <x:v>OP-2</x:v>
      </x:c>
      <x:c r="G1357" s="7" t="n">
        <x:v>1</x:v>
      </x:c>
      <x:c r="H1357" s="7" t="str"/>
      <x:c r="I1357" s="7" t="str"/>
      <x:c r="J1357" s="7" t="str">
        <x:f>IF(OR(H1357="",I1357=""),"",I1357-H1357)</x:f>
      </x:c>
      <x:c r="K1357" s="7" t="str"/>
      <x:c r="L1357" s="7" t="str"/>
      <x:c r="M1357" s="7" t="str"/>
      <x:c r="N1357" s="7" t="str">
        <x:f>IF(M1357="","OPEN",IF(OR(NOT(ISNUMBER(H1357)),NOT(ISNUMBER(I1357)),K1357="",L1357=""),"FAIL","PASS"))</x:f>
        <x:v>OPEN</x:v>
      </x:c>
    </x:row>
    <x:row r="1358">
      <x:c r="B1358" s="7" t="str">
        <x:v>TRO-C-09-S2-O2-R2</x:v>
      </x:c>
      <x:c r="C1358" s="7" t="str">
        <x:v>BLD-C</x:v>
      </x:c>
      <x:c r="D1358" s="7" t="str">
        <x:v>MF-09</x:v>
      </x:c>
      <x:c r="E1358" s="7" t="str">
        <x:v>STD-09-2</x:v>
      </x:c>
      <x:c r="F1358" s="7" t="str">
        <x:v>OP-2</x:v>
      </x:c>
      <x:c r="G1358" s="7" t="n">
        <x:v>2</x:v>
      </x:c>
      <x:c r="H1358" s="7" t="str"/>
      <x:c r="I1358" s="7" t="str"/>
      <x:c r="J1358" s="7" t="str">
        <x:f>IF(OR(H1358="",I1358=""),"",I1358-H1358)</x:f>
      </x:c>
      <x:c r="K1358" s="7" t="str"/>
      <x:c r="L1358" s="7" t="str"/>
      <x:c r="M1358" s="7" t="str"/>
      <x:c r="N1358" s="7" t="str">
        <x:f>IF(M1358="","OPEN",IF(OR(NOT(ISNUMBER(H1358)),NOT(ISNUMBER(I1358)),K1358="",L1358=""),"FAIL","PASS"))</x:f>
        <x:v>OPEN</x:v>
      </x:c>
    </x:row>
    <x:row r="1359">
      <x:c r="B1359" s="7" t="str">
        <x:v>TRO-C-09-S3-O1-R1</x:v>
      </x:c>
      <x:c r="C1359" s="7" t="str">
        <x:v>BLD-C</x:v>
      </x:c>
      <x:c r="D1359" s="7" t="str">
        <x:v>MF-09</x:v>
      </x:c>
      <x:c r="E1359" s="7" t="str">
        <x:v>STD-09-3</x:v>
      </x:c>
      <x:c r="F1359" s="7" t="str">
        <x:v>OP-1</x:v>
      </x:c>
      <x:c r="G1359" s="7" t="n">
        <x:v>1</x:v>
      </x:c>
      <x:c r="H1359" s="7" t="str"/>
      <x:c r="I1359" s="7" t="str"/>
      <x:c r="J1359" s="7" t="str">
        <x:f>IF(OR(H1359="",I1359=""),"",I1359-H1359)</x:f>
      </x:c>
      <x:c r="K1359" s="7" t="str"/>
      <x:c r="L1359" s="7" t="str"/>
      <x:c r="M1359" s="7" t="str"/>
      <x:c r="N1359" s="7" t="str">
        <x:f>IF(M1359="","OPEN",IF(OR(NOT(ISNUMBER(H1359)),NOT(ISNUMBER(I1359)),K1359="",L1359=""),"FAIL","PASS"))</x:f>
        <x:v>OPEN</x:v>
      </x:c>
    </x:row>
    <x:row r="1360">
      <x:c r="B1360" s="7" t="str">
        <x:v>TRO-C-09-S3-O1-R2</x:v>
      </x:c>
      <x:c r="C1360" s="7" t="str">
        <x:v>BLD-C</x:v>
      </x:c>
      <x:c r="D1360" s="7" t="str">
        <x:v>MF-09</x:v>
      </x:c>
      <x:c r="E1360" s="7" t="str">
        <x:v>STD-09-3</x:v>
      </x:c>
      <x:c r="F1360" s="7" t="str">
        <x:v>OP-1</x:v>
      </x:c>
      <x:c r="G1360" s="7" t="n">
        <x:v>2</x:v>
      </x:c>
      <x:c r="H1360" s="7" t="str"/>
      <x:c r="I1360" s="7" t="str"/>
      <x:c r="J1360" s="7" t="str">
        <x:f>IF(OR(H1360="",I1360=""),"",I1360-H1360)</x:f>
      </x:c>
      <x:c r="K1360" s="7" t="str"/>
      <x:c r="L1360" s="7" t="str"/>
      <x:c r="M1360" s="7" t="str"/>
      <x:c r="N1360" s="7" t="str">
        <x:f>IF(M1360="","OPEN",IF(OR(NOT(ISNUMBER(H1360)),NOT(ISNUMBER(I1360)),K1360="",L1360=""),"FAIL","PASS"))</x:f>
        <x:v>OPEN</x:v>
      </x:c>
    </x:row>
    <x:row r="1361">
      <x:c r="B1361" s="7" t="str">
        <x:v>TRO-C-09-S3-O2-R1</x:v>
      </x:c>
      <x:c r="C1361" s="7" t="str">
        <x:v>BLD-C</x:v>
      </x:c>
      <x:c r="D1361" s="7" t="str">
        <x:v>MF-09</x:v>
      </x:c>
      <x:c r="E1361" s="7" t="str">
        <x:v>STD-09-3</x:v>
      </x:c>
      <x:c r="F1361" s="7" t="str">
        <x:v>OP-2</x:v>
      </x:c>
      <x:c r="G1361" s="7" t="n">
        <x:v>1</x:v>
      </x:c>
      <x:c r="H1361" s="7" t="str"/>
      <x:c r="I1361" s="7" t="str"/>
      <x:c r="J1361" s="7" t="str">
        <x:f>IF(OR(H1361="",I1361=""),"",I1361-H1361)</x:f>
      </x:c>
      <x:c r="K1361" s="7" t="str"/>
      <x:c r="L1361" s="7" t="str"/>
      <x:c r="M1361" s="7" t="str"/>
      <x:c r="N1361" s="7" t="str">
        <x:f>IF(M1361="","OPEN",IF(OR(NOT(ISNUMBER(H1361)),NOT(ISNUMBER(I1361)),K1361="",L1361=""),"FAIL","PASS"))</x:f>
        <x:v>OPEN</x:v>
      </x:c>
    </x:row>
    <x:row r="1362">
      <x:c r="B1362" s="7" t="str">
        <x:v>TRO-C-09-S3-O2-R2</x:v>
      </x:c>
      <x:c r="C1362" s="7" t="str">
        <x:v>BLD-C</x:v>
      </x:c>
      <x:c r="D1362" s="7" t="str">
        <x:v>MF-09</x:v>
      </x:c>
      <x:c r="E1362" s="7" t="str">
        <x:v>STD-09-3</x:v>
      </x:c>
      <x:c r="F1362" s="7" t="str">
        <x:v>OP-2</x:v>
      </x:c>
      <x:c r="G1362" s="7" t="n">
        <x:v>2</x:v>
      </x:c>
      <x:c r="H1362" s="7" t="str"/>
      <x:c r="I1362" s="7" t="str"/>
      <x:c r="J1362" s="7" t="str">
        <x:f>IF(OR(H1362="",I1362=""),"",I1362-H1362)</x:f>
      </x:c>
      <x:c r="K1362" s="7" t="str"/>
      <x:c r="L1362" s="7" t="str"/>
      <x:c r="M1362" s="7" t="str"/>
      <x:c r="N1362" s="7" t="str">
        <x:f>IF(M1362="","OPEN",IF(OR(NOT(ISNUMBER(H1362)),NOT(ISNUMBER(I1362)),K1362="",L1362=""),"FAIL","PASS"))</x:f>
        <x:v>OPEN</x:v>
      </x:c>
    </x:row>
    <x:row r="1363">
      <x:c r="B1363" s="7" t="str">
        <x:v>TRO-C-09-S4-O1-R1</x:v>
      </x:c>
      <x:c r="C1363" s="7" t="str">
        <x:v>BLD-C</x:v>
      </x:c>
      <x:c r="D1363" s="7" t="str">
        <x:v>MF-09</x:v>
      </x:c>
      <x:c r="E1363" s="7" t="str">
        <x:v>STD-09-4</x:v>
      </x:c>
      <x:c r="F1363" s="7" t="str">
        <x:v>OP-1</x:v>
      </x:c>
      <x:c r="G1363" s="7" t="n">
        <x:v>1</x:v>
      </x:c>
      <x:c r="H1363" s="7" t="str"/>
      <x:c r="I1363" s="7" t="str"/>
      <x:c r="J1363" s="7" t="str">
        <x:f>IF(OR(H1363="",I1363=""),"",I1363-H1363)</x:f>
      </x:c>
      <x:c r="K1363" s="7" t="str"/>
      <x:c r="L1363" s="7" t="str"/>
      <x:c r="M1363" s="7" t="str"/>
      <x:c r="N1363" s="7" t="str">
        <x:f>IF(M1363="","OPEN",IF(OR(NOT(ISNUMBER(H1363)),NOT(ISNUMBER(I1363)),K1363="",L1363=""),"FAIL","PASS"))</x:f>
        <x:v>OPEN</x:v>
      </x:c>
    </x:row>
    <x:row r="1364">
      <x:c r="B1364" s="7" t="str">
        <x:v>TRO-C-09-S4-O1-R2</x:v>
      </x:c>
      <x:c r="C1364" s="7" t="str">
        <x:v>BLD-C</x:v>
      </x:c>
      <x:c r="D1364" s="7" t="str">
        <x:v>MF-09</x:v>
      </x:c>
      <x:c r="E1364" s="7" t="str">
        <x:v>STD-09-4</x:v>
      </x:c>
      <x:c r="F1364" s="7" t="str">
        <x:v>OP-1</x:v>
      </x:c>
      <x:c r="G1364" s="7" t="n">
        <x:v>2</x:v>
      </x:c>
      <x:c r="H1364" s="7" t="str"/>
      <x:c r="I1364" s="7" t="str"/>
      <x:c r="J1364" s="7" t="str">
        <x:f>IF(OR(H1364="",I1364=""),"",I1364-H1364)</x:f>
      </x:c>
      <x:c r="K1364" s="7" t="str"/>
      <x:c r="L1364" s="7" t="str"/>
      <x:c r="M1364" s="7" t="str"/>
      <x:c r="N1364" s="7" t="str">
        <x:f>IF(M1364="","OPEN",IF(OR(NOT(ISNUMBER(H1364)),NOT(ISNUMBER(I1364)),K1364="",L1364=""),"FAIL","PASS"))</x:f>
        <x:v>OPEN</x:v>
      </x:c>
    </x:row>
    <x:row r="1365">
      <x:c r="B1365" s="7" t="str">
        <x:v>TRO-C-09-S4-O2-R1</x:v>
      </x:c>
      <x:c r="C1365" s="7" t="str">
        <x:v>BLD-C</x:v>
      </x:c>
      <x:c r="D1365" s="7" t="str">
        <x:v>MF-09</x:v>
      </x:c>
      <x:c r="E1365" s="7" t="str">
        <x:v>STD-09-4</x:v>
      </x:c>
      <x:c r="F1365" s="7" t="str">
        <x:v>OP-2</x:v>
      </x:c>
      <x:c r="G1365" s="7" t="n">
        <x:v>1</x:v>
      </x:c>
      <x:c r="H1365" s="7" t="str"/>
      <x:c r="I1365" s="7" t="str"/>
      <x:c r="J1365" s="7" t="str">
        <x:f>IF(OR(H1365="",I1365=""),"",I1365-H1365)</x:f>
      </x:c>
      <x:c r="K1365" s="7" t="str"/>
      <x:c r="L1365" s="7" t="str"/>
      <x:c r="M1365" s="7" t="str"/>
      <x:c r="N1365" s="7" t="str">
        <x:f>IF(M1365="","OPEN",IF(OR(NOT(ISNUMBER(H1365)),NOT(ISNUMBER(I1365)),K1365="",L1365=""),"FAIL","PASS"))</x:f>
        <x:v>OPEN</x:v>
      </x:c>
    </x:row>
    <x:row r="1366">
      <x:c r="B1366" s="7" t="str">
        <x:v>TRO-C-09-S4-O2-R2</x:v>
      </x:c>
      <x:c r="C1366" s="7" t="str">
        <x:v>BLD-C</x:v>
      </x:c>
      <x:c r="D1366" s="7" t="str">
        <x:v>MF-09</x:v>
      </x:c>
      <x:c r="E1366" s="7" t="str">
        <x:v>STD-09-4</x:v>
      </x:c>
      <x:c r="F1366" s="7" t="str">
        <x:v>OP-2</x:v>
      </x:c>
      <x:c r="G1366" s="7" t="n">
        <x:v>2</x:v>
      </x:c>
      <x:c r="H1366" s="7" t="str"/>
      <x:c r="I1366" s="7" t="str"/>
      <x:c r="J1366" s="7" t="str">
        <x:f>IF(OR(H1366="",I1366=""),"",I1366-H1366)</x:f>
      </x:c>
      <x:c r="K1366" s="7" t="str"/>
      <x:c r="L1366" s="7" t="str"/>
      <x:c r="M1366" s="7" t="str"/>
      <x:c r="N1366" s="7" t="str">
        <x:f>IF(M1366="","OPEN",IF(OR(NOT(ISNUMBER(H1366)),NOT(ISNUMBER(I1366)),K1366="",L1366=""),"FAIL","PASS"))</x:f>
        <x:v>OPEN</x:v>
      </x:c>
    </x:row>
    <x:row r="1367">
      <x:c r="B1367" s="7" t="str">
        <x:v>TRO-C-09-S5-O1-R1</x:v>
      </x:c>
      <x:c r="C1367" s="7" t="str">
        <x:v>BLD-C</x:v>
      </x:c>
      <x:c r="D1367" s="7" t="str">
        <x:v>MF-09</x:v>
      </x:c>
      <x:c r="E1367" s="7" t="str">
        <x:v>STD-09-5</x:v>
      </x:c>
      <x:c r="F1367" s="7" t="str">
        <x:v>OP-1</x:v>
      </x:c>
      <x:c r="G1367" s="7" t="n">
        <x:v>1</x:v>
      </x:c>
      <x:c r="H1367" s="7" t="str"/>
      <x:c r="I1367" s="7" t="str"/>
      <x:c r="J1367" s="7" t="str">
        <x:f>IF(OR(H1367="",I1367=""),"",I1367-H1367)</x:f>
      </x:c>
      <x:c r="K1367" s="7" t="str"/>
      <x:c r="L1367" s="7" t="str"/>
      <x:c r="M1367" s="7" t="str"/>
      <x:c r="N1367" s="7" t="str">
        <x:f>IF(M1367="","OPEN",IF(OR(NOT(ISNUMBER(H1367)),NOT(ISNUMBER(I1367)),K1367="",L1367=""),"FAIL","PASS"))</x:f>
        <x:v>OPEN</x:v>
      </x:c>
    </x:row>
    <x:row r="1368">
      <x:c r="B1368" s="7" t="str">
        <x:v>TRO-C-09-S5-O1-R2</x:v>
      </x:c>
      <x:c r="C1368" s="7" t="str">
        <x:v>BLD-C</x:v>
      </x:c>
      <x:c r="D1368" s="7" t="str">
        <x:v>MF-09</x:v>
      </x:c>
      <x:c r="E1368" s="7" t="str">
        <x:v>STD-09-5</x:v>
      </x:c>
      <x:c r="F1368" s="7" t="str">
        <x:v>OP-1</x:v>
      </x:c>
      <x:c r="G1368" s="7" t="n">
        <x:v>2</x:v>
      </x:c>
      <x:c r="H1368" s="7" t="str"/>
      <x:c r="I1368" s="7" t="str"/>
      <x:c r="J1368" s="7" t="str">
        <x:f>IF(OR(H1368="",I1368=""),"",I1368-H1368)</x:f>
      </x:c>
      <x:c r="K1368" s="7" t="str"/>
      <x:c r="L1368" s="7" t="str"/>
      <x:c r="M1368" s="7" t="str"/>
      <x:c r="N1368" s="7" t="str">
        <x:f>IF(M1368="","OPEN",IF(OR(NOT(ISNUMBER(H1368)),NOT(ISNUMBER(I1368)),K1368="",L1368=""),"FAIL","PASS"))</x:f>
        <x:v>OPEN</x:v>
      </x:c>
    </x:row>
    <x:row r="1369">
      <x:c r="B1369" s="7" t="str">
        <x:v>TRO-C-09-S5-O2-R1</x:v>
      </x:c>
      <x:c r="C1369" s="7" t="str">
        <x:v>BLD-C</x:v>
      </x:c>
      <x:c r="D1369" s="7" t="str">
        <x:v>MF-09</x:v>
      </x:c>
      <x:c r="E1369" s="7" t="str">
        <x:v>STD-09-5</x:v>
      </x:c>
      <x:c r="F1369" s="7" t="str">
        <x:v>OP-2</x:v>
      </x:c>
      <x:c r="G1369" s="7" t="n">
        <x:v>1</x:v>
      </x:c>
      <x:c r="H1369" s="7" t="str"/>
      <x:c r="I1369" s="7" t="str"/>
      <x:c r="J1369" s="7" t="str">
        <x:f>IF(OR(H1369="",I1369=""),"",I1369-H1369)</x:f>
      </x:c>
      <x:c r="K1369" s="7" t="str"/>
      <x:c r="L1369" s="7" t="str"/>
      <x:c r="M1369" s="7" t="str"/>
      <x:c r="N1369" s="7" t="str">
        <x:f>IF(M1369="","OPEN",IF(OR(NOT(ISNUMBER(H1369)),NOT(ISNUMBER(I1369)),K1369="",L1369=""),"FAIL","PASS"))</x:f>
        <x:v>OPEN</x:v>
      </x:c>
    </x:row>
    <x:row r="1370">
      <x:c r="B1370" s="7" t="str">
        <x:v>TRO-C-09-S5-O2-R2</x:v>
      </x:c>
      <x:c r="C1370" s="7" t="str">
        <x:v>BLD-C</x:v>
      </x:c>
      <x:c r="D1370" s="7" t="str">
        <x:v>MF-09</x:v>
      </x:c>
      <x:c r="E1370" s="7" t="str">
        <x:v>STD-09-5</x:v>
      </x:c>
      <x:c r="F1370" s="7" t="str">
        <x:v>OP-2</x:v>
      </x:c>
      <x:c r="G1370" s="7" t="n">
        <x:v>2</x:v>
      </x:c>
      <x:c r="H1370" s="7" t="str"/>
      <x:c r="I1370" s="7" t="str"/>
      <x:c r="J1370" s="7" t="str">
        <x:f>IF(OR(H1370="",I1370=""),"",I1370-H1370)</x:f>
      </x:c>
      <x:c r="K1370" s="7" t="str"/>
      <x:c r="L1370" s="7" t="str"/>
      <x:c r="M1370" s="7" t="str"/>
      <x:c r="N1370" s="7" t="str">
        <x:f>IF(M1370="","OPEN",IF(OR(NOT(ISNUMBER(H1370)),NOT(ISNUMBER(I1370)),K1370="",L1370=""),"FAIL","PASS"))</x:f>
        <x:v>OPEN</x:v>
      </x:c>
    </x:row>
    <x:row r="1371">
      <x:c r="B1371" s="7" t="str">
        <x:v>TRO-C-09-S6-O1-R1</x:v>
      </x:c>
      <x:c r="C1371" s="7" t="str">
        <x:v>BLD-C</x:v>
      </x:c>
      <x:c r="D1371" s="7" t="str">
        <x:v>MF-09</x:v>
      </x:c>
      <x:c r="E1371" s="7" t="str">
        <x:v>STD-09-6</x:v>
      </x:c>
      <x:c r="F1371" s="7" t="str">
        <x:v>OP-1</x:v>
      </x:c>
      <x:c r="G1371" s="7" t="n">
        <x:v>1</x:v>
      </x:c>
      <x:c r="H1371" s="7" t="str"/>
      <x:c r="I1371" s="7" t="str"/>
      <x:c r="J1371" s="7" t="str">
        <x:f>IF(OR(H1371="",I1371=""),"",I1371-H1371)</x:f>
      </x:c>
      <x:c r="K1371" s="7" t="str"/>
      <x:c r="L1371" s="7" t="str"/>
      <x:c r="M1371" s="7" t="str"/>
      <x:c r="N1371" s="7" t="str">
        <x:f>IF(M1371="","OPEN",IF(OR(NOT(ISNUMBER(H1371)),NOT(ISNUMBER(I1371)),K1371="",L1371=""),"FAIL","PASS"))</x:f>
        <x:v>OPEN</x:v>
      </x:c>
    </x:row>
    <x:row r="1372">
      <x:c r="B1372" s="7" t="str">
        <x:v>TRO-C-09-S6-O1-R2</x:v>
      </x:c>
      <x:c r="C1372" s="7" t="str">
        <x:v>BLD-C</x:v>
      </x:c>
      <x:c r="D1372" s="7" t="str">
        <x:v>MF-09</x:v>
      </x:c>
      <x:c r="E1372" s="7" t="str">
        <x:v>STD-09-6</x:v>
      </x:c>
      <x:c r="F1372" s="7" t="str">
        <x:v>OP-1</x:v>
      </x:c>
      <x:c r="G1372" s="7" t="n">
        <x:v>2</x:v>
      </x:c>
      <x:c r="H1372" s="7" t="str"/>
      <x:c r="I1372" s="7" t="str"/>
      <x:c r="J1372" s="7" t="str">
        <x:f>IF(OR(H1372="",I1372=""),"",I1372-H1372)</x:f>
      </x:c>
      <x:c r="K1372" s="7" t="str"/>
      <x:c r="L1372" s="7" t="str"/>
      <x:c r="M1372" s="7" t="str"/>
      <x:c r="N1372" s="7" t="str">
        <x:f>IF(M1372="","OPEN",IF(OR(NOT(ISNUMBER(H1372)),NOT(ISNUMBER(I1372)),K1372="",L1372=""),"FAIL","PASS"))</x:f>
        <x:v>OPEN</x:v>
      </x:c>
    </x:row>
    <x:row r="1373">
      <x:c r="B1373" s="7" t="str">
        <x:v>TRO-C-09-S6-O2-R1</x:v>
      </x:c>
      <x:c r="C1373" s="7" t="str">
        <x:v>BLD-C</x:v>
      </x:c>
      <x:c r="D1373" s="7" t="str">
        <x:v>MF-09</x:v>
      </x:c>
      <x:c r="E1373" s="7" t="str">
        <x:v>STD-09-6</x:v>
      </x:c>
      <x:c r="F1373" s="7" t="str">
        <x:v>OP-2</x:v>
      </x:c>
      <x:c r="G1373" s="7" t="n">
        <x:v>1</x:v>
      </x:c>
      <x:c r="H1373" s="7" t="str"/>
      <x:c r="I1373" s="7" t="str"/>
      <x:c r="J1373" s="7" t="str">
        <x:f>IF(OR(H1373="",I1373=""),"",I1373-H1373)</x:f>
      </x:c>
      <x:c r="K1373" s="7" t="str"/>
      <x:c r="L1373" s="7" t="str"/>
      <x:c r="M1373" s="7" t="str"/>
      <x:c r="N1373" s="7" t="str">
        <x:f>IF(M1373="","OPEN",IF(OR(NOT(ISNUMBER(H1373)),NOT(ISNUMBER(I1373)),K1373="",L1373=""),"FAIL","PASS"))</x:f>
        <x:v>OPEN</x:v>
      </x:c>
    </x:row>
    <x:row r="1374">
      <x:c r="B1374" s="7" t="str">
        <x:v>TRO-C-09-S6-O2-R2</x:v>
      </x:c>
      <x:c r="C1374" s="7" t="str">
        <x:v>BLD-C</x:v>
      </x:c>
      <x:c r="D1374" s="7" t="str">
        <x:v>MF-09</x:v>
      </x:c>
      <x:c r="E1374" s="7" t="str">
        <x:v>STD-09-6</x:v>
      </x:c>
      <x:c r="F1374" s="7" t="str">
        <x:v>OP-2</x:v>
      </x:c>
      <x:c r="G1374" s="7" t="n">
        <x:v>2</x:v>
      </x:c>
      <x:c r="H1374" s="7" t="str"/>
      <x:c r="I1374" s="7" t="str"/>
      <x:c r="J1374" s="7" t="str">
        <x:f>IF(OR(H1374="",I1374=""),"",I1374-H1374)</x:f>
      </x:c>
      <x:c r="K1374" s="7" t="str"/>
      <x:c r="L1374" s="7" t="str"/>
      <x:c r="M1374" s="7" t="str"/>
      <x:c r="N1374" s="7" t="str">
        <x:f>IF(M1374="","OPEN",IF(OR(NOT(ISNUMBER(H1374)),NOT(ISNUMBER(I1374)),K1374="",L1374=""),"FAIL","PASS"))</x:f>
        <x:v>OPEN</x:v>
      </x:c>
    </x:row>
    <x:row r="1375">
      <x:c r="B1375" s="7" t="str">
        <x:v>TRO-C-10-S1-O1-R1</x:v>
      </x:c>
      <x:c r="C1375" s="7" t="str">
        <x:v>BLD-C</x:v>
      </x:c>
      <x:c r="D1375" s="7" t="str">
        <x:v>MF-10</x:v>
      </x:c>
      <x:c r="E1375" s="7" t="str">
        <x:v>STD-10-1</x:v>
      </x:c>
      <x:c r="F1375" s="7" t="str">
        <x:v>OP-1</x:v>
      </x:c>
      <x:c r="G1375" s="7" t="n">
        <x:v>1</x:v>
      </x:c>
      <x:c r="H1375" s="7" t="str"/>
      <x:c r="I1375" s="7" t="str"/>
      <x:c r="J1375" s="7" t="str">
        <x:f>IF(OR(H1375="",I1375=""),"",I1375-H1375)</x:f>
      </x:c>
      <x:c r="K1375" s="7" t="str"/>
      <x:c r="L1375" s="7" t="str"/>
      <x:c r="M1375" s="7" t="str"/>
      <x:c r="N1375" s="7" t="str">
        <x:f>IF(M1375="","OPEN",IF(OR(NOT(ISNUMBER(H1375)),NOT(ISNUMBER(I1375)),K1375="",L1375=""),"FAIL","PASS"))</x:f>
        <x:v>OPEN</x:v>
      </x:c>
    </x:row>
    <x:row r="1376">
      <x:c r="B1376" s="7" t="str">
        <x:v>TRO-C-10-S1-O1-R2</x:v>
      </x:c>
      <x:c r="C1376" s="7" t="str">
        <x:v>BLD-C</x:v>
      </x:c>
      <x:c r="D1376" s="7" t="str">
        <x:v>MF-10</x:v>
      </x:c>
      <x:c r="E1376" s="7" t="str">
        <x:v>STD-10-1</x:v>
      </x:c>
      <x:c r="F1376" s="7" t="str">
        <x:v>OP-1</x:v>
      </x:c>
      <x:c r="G1376" s="7" t="n">
        <x:v>2</x:v>
      </x:c>
      <x:c r="H1376" s="7" t="str"/>
      <x:c r="I1376" s="7" t="str"/>
      <x:c r="J1376" s="7" t="str">
        <x:f>IF(OR(H1376="",I1376=""),"",I1376-H1376)</x:f>
      </x:c>
      <x:c r="K1376" s="7" t="str"/>
      <x:c r="L1376" s="7" t="str"/>
      <x:c r="M1376" s="7" t="str"/>
      <x:c r="N1376" s="7" t="str">
        <x:f>IF(M1376="","OPEN",IF(OR(NOT(ISNUMBER(H1376)),NOT(ISNUMBER(I1376)),K1376="",L1376=""),"FAIL","PASS"))</x:f>
        <x:v>OPEN</x:v>
      </x:c>
    </x:row>
    <x:row r="1377">
      <x:c r="B1377" s="7" t="str">
        <x:v>TRO-C-10-S1-O2-R1</x:v>
      </x:c>
      <x:c r="C1377" s="7" t="str">
        <x:v>BLD-C</x:v>
      </x:c>
      <x:c r="D1377" s="7" t="str">
        <x:v>MF-10</x:v>
      </x:c>
      <x:c r="E1377" s="7" t="str">
        <x:v>STD-10-1</x:v>
      </x:c>
      <x:c r="F1377" s="7" t="str">
        <x:v>OP-2</x:v>
      </x:c>
      <x:c r="G1377" s="7" t="n">
        <x:v>1</x:v>
      </x:c>
      <x:c r="H1377" s="7" t="str"/>
      <x:c r="I1377" s="7" t="str"/>
      <x:c r="J1377" s="7" t="str">
        <x:f>IF(OR(H1377="",I1377=""),"",I1377-H1377)</x:f>
      </x:c>
      <x:c r="K1377" s="7" t="str"/>
      <x:c r="L1377" s="7" t="str"/>
      <x:c r="M1377" s="7" t="str"/>
      <x:c r="N1377" s="7" t="str">
        <x:f>IF(M1377="","OPEN",IF(OR(NOT(ISNUMBER(H1377)),NOT(ISNUMBER(I1377)),K1377="",L1377=""),"FAIL","PASS"))</x:f>
        <x:v>OPEN</x:v>
      </x:c>
    </x:row>
    <x:row r="1378">
      <x:c r="B1378" s="7" t="str">
        <x:v>TRO-C-10-S1-O2-R2</x:v>
      </x:c>
      <x:c r="C1378" s="7" t="str">
        <x:v>BLD-C</x:v>
      </x:c>
      <x:c r="D1378" s="7" t="str">
        <x:v>MF-10</x:v>
      </x:c>
      <x:c r="E1378" s="7" t="str">
        <x:v>STD-10-1</x:v>
      </x:c>
      <x:c r="F1378" s="7" t="str">
        <x:v>OP-2</x:v>
      </x:c>
      <x:c r="G1378" s="7" t="n">
        <x:v>2</x:v>
      </x:c>
      <x:c r="H1378" s="7" t="str"/>
      <x:c r="I1378" s="7" t="str"/>
      <x:c r="J1378" s="7" t="str">
        <x:f>IF(OR(H1378="",I1378=""),"",I1378-H1378)</x:f>
      </x:c>
      <x:c r="K1378" s="7" t="str"/>
      <x:c r="L1378" s="7" t="str"/>
      <x:c r="M1378" s="7" t="str"/>
      <x:c r="N1378" s="7" t="str">
        <x:f>IF(M1378="","OPEN",IF(OR(NOT(ISNUMBER(H1378)),NOT(ISNUMBER(I1378)),K1378="",L1378=""),"FAIL","PASS"))</x:f>
        <x:v>OPEN</x:v>
      </x:c>
    </x:row>
    <x:row r="1379">
      <x:c r="B1379" s="7" t="str">
        <x:v>TRO-C-10-S2-O1-R1</x:v>
      </x:c>
      <x:c r="C1379" s="7" t="str">
        <x:v>BLD-C</x:v>
      </x:c>
      <x:c r="D1379" s="7" t="str">
        <x:v>MF-10</x:v>
      </x:c>
      <x:c r="E1379" s="7" t="str">
        <x:v>STD-10-2</x:v>
      </x:c>
      <x:c r="F1379" s="7" t="str">
        <x:v>OP-1</x:v>
      </x:c>
      <x:c r="G1379" s="7" t="n">
        <x:v>1</x:v>
      </x:c>
      <x:c r="H1379" s="7" t="str"/>
      <x:c r="I1379" s="7" t="str"/>
      <x:c r="J1379" s="7" t="str">
        <x:f>IF(OR(H1379="",I1379=""),"",I1379-H1379)</x:f>
      </x:c>
      <x:c r="K1379" s="7" t="str"/>
      <x:c r="L1379" s="7" t="str"/>
      <x:c r="M1379" s="7" t="str"/>
      <x:c r="N1379" s="7" t="str">
        <x:f>IF(M1379="","OPEN",IF(OR(NOT(ISNUMBER(H1379)),NOT(ISNUMBER(I1379)),K1379="",L1379=""),"FAIL","PASS"))</x:f>
        <x:v>OPEN</x:v>
      </x:c>
    </x:row>
    <x:row r="1380">
      <x:c r="B1380" s="7" t="str">
        <x:v>TRO-C-10-S2-O1-R2</x:v>
      </x:c>
      <x:c r="C1380" s="7" t="str">
        <x:v>BLD-C</x:v>
      </x:c>
      <x:c r="D1380" s="7" t="str">
        <x:v>MF-10</x:v>
      </x:c>
      <x:c r="E1380" s="7" t="str">
        <x:v>STD-10-2</x:v>
      </x:c>
      <x:c r="F1380" s="7" t="str">
        <x:v>OP-1</x:v>
      </x:c>
      <x:c r="G1380" s="7" t="n">
        <x:v>2</x:v>
      </x:c>
      <x:c r="H1380" s="7" t="str"/>
      <x:c r="I1380" s="7" t="str"/>
      <x:c r="J1380" s="7" t="str">
        <x:f>IF(OR(H1380="",I1380=""),"",I1380-H1380)</x:f>
      </x:c>
      <x:c r="K1380" s="7" t="str"/>
      <x:c r="L1380" s="7" t="str"/>
      <x:c r="M1380" s="7" t="str"/>
      <x:c r="N1380" s="7" t="str">
        <x:f>IF(M1380="","OPEN",IF(OR(NOT(ISNUMBER(H1380)),NOT(ISNUMBER(I1380)),K1380="",L1380=""),"FAIL","PASS"))</x:f>
        <x:v>OPEN</x:v>
      </x:c>
    </x:row>
    <x:row r="1381">
      <x:c r="B1381" s="7" t="str">
        <x:v>TRO-C-10-S2-O2-R1</x:v>
      </x:c>
      <x:c r="C1381" s="7" t="str">
        <x:v>BLD-C</x:v>
      </x:c>
      <x:c r="D1381" s="7" t="str">
        <x:v>MF-10</x:v>
      </x:c>
      <x:c r="E1381" s="7" t="str">
        <x:v>STD-10-2</x:v>
      </x:c>
      <x:c r="F1381" s="7" t="str">
        <x:v>OP-2</x:v>
      </x:c>
      <x:c r="G1381" s="7" t="n">
        <x:v>1</x:v>
      </x:c>
      <x:c r="H1381" s="7" t="str"/>
      <x:c r="I1381" s="7" t="str"/>
      <x:c r="J1381" s="7" t="str">
        <x:f>IF(OR(H1381="",I1381=""),"",I1381-H1381)</x:f>
      </x:c>
      <x:c r="K1381" s="7" t="str"/>
      <x:c r="L1381" s="7" t="str"/>
      <x:c r="M1381" s="7" t="str"/>
      <x:c r="N1381" s="7" t="str">
        <x:f>IF(M1381="","OPEN",IF(OR(NOT(ISNUMBER(H1381)),NOT(ISNUMBER(I1381)),K1381="",L1381=""),"FAIL","PASS"))</x:f>
        <x:v>OPEN</x:v>
      </x:c>
    </x:row>
    <x:row r="1382">
      <x:c r="B1382" s="7" t="str">
        <x:v>TRO-C-10-S2-O2-R2</x:v>
      </x:c>
      <x:c r="C1382" s="7" t="str">
        <x:v>BLD-C</x:v>
      </x:c>
      <x:c r="D1382" s="7" t="str">
        <x:v>MF-10</x:v>
      </x:c>
      <x:c r="E1382" s="7" t="str">
        <x:v>STD-10-2</x:v>
      </x:c>
      <x:c r="F1382" s="7" t="str">
        <x:v>OP-2</x:v>
      </x:c>
      <x:c r="G1382" s="7" t="n">
        <x:v>2</x:v>
      </x:c>
      <x:c r="H1382" s="7" t="str"/>
      <x:c r="I1382" s="7" t="str"/>
      <x:c r="J1382" s="7" t="str">
        <x:f>IF(OR(H1382="",I1382=""),"",I1382-H1382)</x:f>
      </x:c>
      <x:c r="K1382" s="7" t="str"/>
      <x:c r="L1382" s="7" t="str"/>
      <x:c r="M1382" s="7" t="str"/>
      <x:c r="N1382" s="7" t="str">
        <x:f>IF(M1382="","OPEN",IF(OR(NOT(ISNUMBER(H1382)),NOT(ISNUMBER(I1382)),K1382="",L1382=""),"FAIL","PASS"))</x:f>
        <x:v>OPEN</x:v>
      </x:c>
    </x:row>
    <x:row r="1383">
      <x:c r="B1383" s="7" t="str">
        <x:v>TRO-C-10-S3-O1-R1</x:v>
      </x:c>
      <x:c r="C1383" s="7" t="str">
        <x:v>BLD-C</x:v>
      </x:c>
      <x:c r="D1383" s="7" t="str">
        <x:v>MF-10</x:v>
      </x:c>
      <x:c r="E1383" s="7" t="str">
        <x:v>STD-10-3</x:v>
      </x:c>
      <x:c r="F1383" s="7" t="str">
        <x:v>OP-1</x:v>
      </x:c>
      <x:c r="G1383" s="7" t="n">
        <x:v>1</x:v>
      </x:c>
      <x:c r="H1383" s="7" t="str"/>
      <x:c r="I1383" s="7" t="str"/>
      <x:c r="J1383" s="7" t="str">
        <x:f>IF(OR(H1383="",I1383=""),"",I1383-H1383)</x:f>
      </x:c>
      <x:c r="K1383" s="7" t="str"/>
      <x:c r="L1383" s="7" t="str"/>
      <x:c r="M1383" s="7" t="str"/>
      <x:c r="N1383" s="7" t="str">
        <x:f>IF(M1383="","OPEN",IF(OR(NOT(ISNUMBER(H1383)),NOT(ISNUMBER(I1383)),K1383="",L1383=""),"FAIL","PASS"))</x:f>
        <x:v>OPEN</x:v>
      </x:c>
    </x:row>
    <x:row r="1384">
      <x:c r="B1384" s="7" t="str">
        <x:v>TRO-C-10-S3-O1-R2</x:v>
      </x:c>
      <x:c r="C1384" s="7" t="str">
        <x:v>BLD-C</x:v>
      </x:c>
      <x:c r="D1384" s="7" t="str">
        <x:v>MF-10</x:v>
      </x:c>
      <x:c r="E1384" s="7" t="str">
        <x:v>STD-10-3</x:v>
      </x:c>
      <x:c r="F1384" s="7" t="str">
        <x:v>OP-1</x:v>
      </x:c>
      <x:c r="G1384" s="7" t="n">
        <x:v>2</x:v>
      </x:c>
      <x:c r="H1384" s="7" t="str"/>
      <x:c r="I1384" s="7" t="str"/>
      <x:c r="J1384" s="7" t="str">
        <x:f>IF(OR(H1384="",I1384=""),"",I1384-H1384)</x:f>
      </x:c>
      <x:c r="K1384" s="7" t="str"/>
      <x:c r="L1384" s="7" t="str"/>
      <x:c r="M1384" s="7" t="str"/>
      <x:c r="N1384" s="7" t="str">
        <x:f>IF(M1384="","OPEN",IF(OR(NOT(ISNUMBER(H1384)),NOT(ISNUMBER(I1384)),K1384="",L1384=""),"FAIL","PASS"))</x:f>
        <x:v>OPEN</x:v>
      </x:c>
    </x:row>
    <x:row r="1385">
      <x:c r="B1385" s="7" t="str">
        <x:v>TRO-C-10-S3-O2-R1</x:v>
      </x:c>
      <x:c r="C1385" s="7" t="str">
        <x:v>BLD-C</x:v>
      </x:c>
      <x:c r="D1385" s="7" t="str">
        <x:v>MF-10</x:v>
      </x:c>
      <x:c r="E1385" s="7" t="str">
        <x:v>STD-10-3</x:v>
      </x:c>
      <x:c r="F1385" s="7" t="str">
        <x:v>OP-2</x:v>
      </x:c>
      <x:c r="G1385" s="7" t="n">
        <x:v>1</x:v>
      </x:c>
      <x:c r="H1385" s="7" t="str"/>
      <x:c r="I1385" s="7" t="str"/>
      <x:c r="J1385" s="7" t="str">
        <x:f>IF(OR(H1385="",I1385=""),"",I1385-H1385)</x:f>
      </x:c>
      <x:c r="K1385" s="7" t="str"/>
      <x:c r="L1385" s="7" t="str"/>
      <x:c r="M1385" s="7" t="str"/>
      <x:c r="N1385" s="7" t="str">
        <x:f>IF(M1385="","OPEN",IF(OR(NOT(ISNUMBER(H1385)),NOT(ISNUMBER(I1385)),K1385="",L1385=""),"FAIL","PASS"))</x:f>
        <x:v>OPEN</x:v>
      </x:c>
    </x:row>
    <x:row r="1386">
      <x:c r="B1386" s="7" t="str">
        <x:v>TRO-C-10-S3-O2-R2</x:v>
      </x:c>
      <x:c r="C1386" s="7" t="str">
        <x:v>BLD-C</x:v>
      </x:c>
      <x:c r="D1386" s="7" t="str">
        <x:v>MF-10</x:v>
      </x:c>
      <x:c r="E1386" s="7" t="str">
        <x:v>STD-10-3</x:v>
      </x:c>
      <x:c r="F1386" s="7" t="str">
        <x:v>OP-2</x:v>
      </x:c>
      <x:c r="G1386" s="7" t="n">
        <x:v>2</x:v>
      </x:c>
      <x:c r="H1386" s="7" t="str"/>
      <x:c r="I1386" s="7" t="str"/>
      <x:c r="J1386" s="7" t="str">
        <x:f>IF(OR(H1386="",I1386=""),"",I1386-H1386)</x:f>
      </x:c>
      <x:c r="K1386" s="7" t="str"/>
      <x:c r="L1386" s="7" t="str"/>
      <x:c r="M1386" s="7" t="str"/>
      <x:c r="N1386" s="7" t="str">
        <x:f>IF(M1386="","OPEN",IF(OR(NOT(ISNUMBER(H1386)),NOT(ISNUMBER(I1386)),K1386="",L1386=""),"FAIL","PASS"))</x:f>
        <x:v>OPEN</x:v>
      </x:c>
    </x:row>
    <x:row r="1387">
      <x:c r="B1387" s="7" t="str">
        <x:v>TRO-C-10-S4-O1-R1</x:v>
      </x:c>
      <x:c r="C1387" s="7" t="str">
        <x:v>BLD-C</x:v>
      </x:c>
      <x:c r="D1387" s="7" t="str">
        <x:v>MF-10</x:v>
      </x:c>
      <x:c r="E1387" s="7" t="str">
        <x:v>STD-10-4</x:v>
      </x:c>
      <x:c r="F1387" s="7" t="str">
        <x:v>OP-1</x:v>
      </x:c>
      <x:c r="G1387" s="7" t="n">
        <x:v>1</x:v>
      </x:c>
      <x:c r="H1387" s="7" t="str"/>
      <x:c r="I1387" s="7" t="str"/>
      <x:c r="J1387" s="7" t="str">
        <x:f>IF(OR(H1387="",I1387=""),"",I1387-H1387)</x:f>
      </x:c>
      <x:c r="K1387" s="7" t="str"/>
      <x:c r="L1387" s="7" t="str"/>
      <x:c r="M1387" s="7" t="str"/>
      <x:c r="N1387" s="7" t="str">
        <x:f>IF(M1387="","OPEN",IF(OR(NOT(ISNUMBER(H1387)),NOT(ISNUMBER(I1387)),K1387="",L1387=""),"FAIL","PASS"))</x:f>
        <x:v>OPEN</x:v>
      </x:c>
    </x:row>
    <x:row r="1388">
      <x:c r="B1388" s="7" t="str">
        <x:v>TRO-C-10-S4-O1-R2</x:v>
      </x:c>
      <x:c r="C1388" s="7" t="str">
        <x:v>BLD-C</x:v>
      </x:c>
      <x:c r="D1388" s="7" t="str">
        <x:v>MF-10</x:v>
      </x:c>
      <x:c r="E1388" s="7" t="str">
        <x:v>STD-10-4</x:v>
      </x:c>
      <x:c r="F1388" s="7" t="str">
        <x:v>OP-1</x:v>
      </x:c>
      <x:c r="G1388" s="7" t="n">
        <x:v>2</x:v>
      </x:c>
      <x:c r="H1388" s="7" t="str"/>
      <x:c r="I1388" s="7" t="str"/>
      <x:c r="J1388" s="7" t="str">
        <x:f>IF(OR(H1388="",I1388=""),"",I1388-H1388)</x:f>
      </x:c>
      <x:c r="K1388" s="7" t="str"/>
      <x:c r="L1388" s="7" t="str"/>
      <x:c r="M1388" s="7" t="str"/>
      <x:c r="N1388" s="7" t="str">
        <x:f>IF(M1388="","OPEN",IF(OR(NOT(ISNUMBER(H1388)),NOT(ISNUMBER(I1388)),K1388="",L1388=""),"FAIL","PASS"))</x:f>
        <x:v>OPEN</x:v>
      </x:c>
    </x:row>
    <x:row r="1389">
      <x:c r="B1389" s="7" t="str">
        <x:v>TRO-C-10-S4-O2-R1</x:v>
      </x:c>
      <x:c r="C1389" s="7" t="str">
        <x:v>BLD-C</x:v>
      </x:c>
      <x:c r="D1389" s="7" t="str">
        <x:v>MF-10</x:v>
      </x:c>
      <x:c r="E1389" s="7" t="str">
        <x:v>STD-10-4</x:v>
      </x:c>
      <x:c r="F1389" s="7" t="str">
        <x:v>OP-2</x:v>
      </x:c>
      <x:c r="G1389" s="7" t="n">
        <x:v>1</x:v>
      </x:c>
      <x:c r="H1389" s="7" t="str"/>
      <x:c r="I1389" s="7" t="str"/>
      <x:c r="J1389" s="7" t="str">
        <x:f>IF(OR(H1389="",I1389=""),"",I1389-H1389)</x:f>
      </x:c>
      <x:c r="K1389" s="7" t="str"/>
      <x:c r="L1389" s="7" t="str"/>
      <x:c r="M1389" s="7" t="str"/>
      <x:c r="N1389" s="7" t="str">
        <x:f>IF(M1389="","OPEN",IF(OR(NOT(ISNUMBER(H1389)),NOT(ISNUMBER(I1389)),K1389="",L1389=""),"FAIL","PASS"))</x:f>
        <x:v>OPEN</x:v>
      </x:c>
    </x:row>
    <x:row r="1390">
      <x:c r="B1390" s="7" t="str">
        <x:v>TRO-C-10-S4-O2-R2</x:v>
      </x:c>
      <x:c r="C1390" s="7" t="str">
        <x:v>BLD-C</x:v>
      </x:c>
      <x:c r="D1390" s="7" t="str">
        <x:v>MF-10</x:v>
      </x:c>
      <x:c r="E1390" s="7" t="str">
        <x:v>STD-10-4</x:v>
      </x:c>
      <x:c r="F1390" s="7" t="str">
        <x:v>OP-2</x:v>
      </x:c>
      <x:c r="G1390" s="7" t="n">
        <x:v>2</x:v>
      </x:c>
      <x:c r="H1390" s="7" t="str"/>
      <x:c r="I1390" s="7" t="str"/>
      <x:c r="J1390" s="7" t="str">
        <x:f>IF(OR(H1390="",I1390=""),"",I1390-H1390)</x:f>
      </x:c>
      <x:c r="K1390" s="7" t="str"/>
      <x:c r="L1390" s="7" t="str"/>
      <x:c r="M1390" s="7" t="str"/>
      <x:c r="N1390" s="7" t="str">
        <x:f>IF(M1390="","OPEN",IF(OR(NOT(ISNUMBER(H1390)),NOT(ISNUMBER(I1390)),K1390="",L1390=""),"FAIL","PASS"))</x:f>
        <x:v>OPEN</x:v>
      </x:c>
    </x:row>
    <x:row r="1391">
      <x:c r="B1391" s="7" t="str">
        <x:v>TRO-C-10-S5-O1-R1</x:v>
      </x:c>
      <x:c r="C1391" s="7" t="str">
        <x:v>BLD-C</x:v>
      </x:c>
      <x:c r="D1391" s="7" t="str">
        <x:v>MF-10</x:v>
      </x:c>
      <x:c r="E1391" s="7" t="str">
        <x:v>STD-10-5</x:v>
      </x:c>
      <x:c r="F1391" s="7" t="str">
        <x:v>OP-1</x:v>
      </x:c>
      <x:c r="G1391" s="7" t="n">
        <x:v>1</x:v>
      </x:c>
      <x:c r="H1391" s="7" t="str"/>
      <x:c r="I1391" s="7" t="str"/>
      <x:c r="J1391" s="7" t="str">
        <x:f>IF(OR(H1391="",I1391=""),"",I1391-H1391)</x:f>
      </x:c>
      <x:c r="K1391" s="7" t="str"/>
      <x:c r="L1391" s="7" t="str"/>
      <x:c r="M1391" s="7" t="str"/>
      <x:c r="N1391" s="7" t="str">
        <x:f>IF(M1391="","OPEN",IF(OR(NOT(ISNUMBER(H1391)),NOT(ISNUMBER(I1391)),K1391="",L1391=""),"FAIL","PASS"))</x:f>
        <x:v>OPEN</x:v>
      </x:c>
    </x:row>
    <x:row r="1392">
      <x:c r="B1392" s="7" t="str">
        <x:v>TRO-C-10-S5-O1-R2</x:v>
      </x:c>
      <x:c r="C1392" s="7" t="str">
        <x:v>BLD-C</x:v>
      </x:c>
      <x:c r="D1392" s="7" t="str">
        <x:v>MF-10</x:v>
      </x:c>
      <x:c r="E1392" s="7" t="str">
        <x:v>STD-10-5</x:v>
      </x:c>
      <x:c r="F1392" s="7" t="str">
        <x:v>OP-1</x:v>
      </x:c>
      <x:c r="G1392" s="7" t="n">
        <x:v>2</x:v>
      </x:c>
      <x:c r="H1392" s="7" t="str"/>
      <x:c r="I1392" s="7" t="str"/>
      <x:c r="J1392" s="7" t="str">
        <x:f>IF(OR(H1392="",I1392=""),"",I1392-H1392)</x:f>
      </x:c>
      <x:c r="K1392" s="7" t="str"/>
      <x:c r="L1392" s="7" t="str"/>
      <x:c r="M1392" s="7" t="str"/>
      <x:c r="N1392" s="7" t="str">
        <x:f>IF(M1392="","OPEN",IF(OR(NOT(ISNUMBER(H1392)),NOT(ISNUMBER(I1392)),K1392="",L1392=""),"FAIL","PASS"))</x:f>
        <x:v>OPEN</x:v>
      </x:c>
    </x:row>
    <x:row r="1393">
      <x:c r="B1393" s="7" t="str">
        <x:v>TRO-C-10-S5-O2-R1</x:v>
      </x:c>
      <x:c r="C1393" s="7" t="str">
        <x:v>BLD-C</x:v>
      </x:c>
      <x:c r="D1393" s="7" t="str">
        <x:v>MF-10</x:v>
      </x:c>
      <x:c r="E1393" s="7" t="str">
        <x:v>STD-10-5</x:v>
      </x:c>
      <x:c r="F1393" s="7" t="str">
        <x:v>OP-2</x:v>
      </x:c>
      <x:c r="G1393" s="7" t="n">
        <x:v>1</x:v>
      </x:c>
      <x:c r="H1393" s="7" t="str"/>
      <x:c r="I1393" s="7" t="str"/>
      <x:c r="J1393" s="7" t="str">
        <x:f>IF(OR(H1393="",I1393=""),"",I1393-H1393)</x:f>
      </x:c>
      <x:c r="K1393" s="7" t="str"/>
      <x:c r="L1393" s="7" t="str"/>
      <x:c r="M1393" s="7" t="str"/>
      <x:c r="N1393" s="7" t="str">
        <x:f>IF(M1393="","OPEN",IF(OR(NOT(ISNUMBER(H1393)),NOT(ISNUMBER(I1393)),K1393="",L1393=""),"FAIL","PASS"))</x:f>
        <x:v>OPEN</x:v>
      </x:c>
    </x:row>
    <x:row r="1394">
      <x:c r="B1394" s="7" t="str">
        <x:v>TRO-C-10-S5-O2-R2</x:v>
      </x:c>
      <x:c r="C1394" s="7" t="str">
        <x:v>BLD-C</x:v>
      </x:c>
      <x:c r="D1394" s="7" t="str">
        <x:v>MF-10</x:v>
      </x:c>
      <x:c r="E1394" s="7" t="str">
        <x:v>STD-10-5</x:v>
      </x:c>
      <x:c r="F1394" s="7" t="str">
        <x:v>OP-2</x:v>
      </x:c>
      <x:c r="G1394" s="7" t="n">
        <x:v>2</x:v>
      </x:c>
      <x:c r="H1394" s="7" t="str"/>
      <x:c r="I1394" s="7" t="str"/>
      <x:c r="J1394" s="7" t="str">
        <x:f>IF(OR(H1394="",I1394=""),"",I1394-H1394)</x:f>
      </x:c>
      <x:c r="K1394" s="7" t="str"/>
      <x:c r="L1394" s="7" t="str"/>
      <x:c r="M1394" s="7" t="str"/>
      <x:c r="N1394" s="7" t="str">
        <x:f>IF(M1394="","OPEN",IF(OR(NOT(ISNUMBER(H1394)),NOT(ISNUMBER(I1394)),K1394="",L1394=""),"FAIL","PASS"))</x:f>
        <x:v>OPEN</x:v>
      </x:c>
    </x:row>
    <x:row r="1395">
      <x:c r="B1395" s="7" t="str">
        <x:v>TRO-C-10-S6-O1-R1</x:v>
      </x:c>
      <x:c r="C1395" s="7" t="str">
        <x:v>BLD-C</x:v>
      </x:c>
      <x:c r="D1395" s="7" t="str">
        <x:v>MF-10</x:v>
      </x:c>
      <x:c r="E1395" s="7" t="str">
        <x:v>STD-10-6</x:v>
      </x:c>
      <x:c r="F1395" s="7" t="str">
        <x:v>OP-1</x:v>
      </x:c>
      <x:c r="G1395" s="7" t="n">
        <x:v>1</x:v>
      </x:c>
      <x:c r="H1395" s="7" t="str"/>
      <x:c r="I1395" s="7" t="str"/>
      <x:c r="J1395" s="7" t="str">
        <x:f>IF(OR(H1395="",I1395=""),"",I1395-H1395)</x:f>
      </x:c>
      <x:c r="K1395" s="7" t="str"/>
      <x:c r="L1395" s="7" t="str"/>
      <x:c r="M1395" s="7" t="str"/>
      <x:c r="N1395" s="7" t="str">
        <x:f>IF(M1395="","OPEN",IF(OR(NOT(ISNUMBER(H1395)),NOT(ISNUMBER(I1395)),K1395="",L1395=""),"FAIL","PASS"))</x:f>
        <x:v>OPEN</x:v>
      </x:c>
    </x:row>
    <x:row r="1396">
      <x:c r="B1396" s="7" t="str">
        <x:v>TRO-C-10-S6-O1-R2</x:v>
      </x:c>
      <x:c r="C1396" s="7" t="str">
        <x:v>BLD-C</x:v>
      </x:c>
      <x:c r="D1396" s="7" t="str">
        <x:v>MF-10</x:v>
      </x:c>
      <x:c r="E1396" s="7" t="str">
        <x:v>STD-10-6</x:v>
      </x:c>
      <x:c r="F1396" s="7" t="str">
        <x:v>OP-1</x:v>
      </x:c>
      <x:c r="G1396" s="7" t="n">
        <x:v>2</x:v>
      </x:c>
      <x:c r="H1396" s="7" t="str"/>
      <x:c r="I1396" s="7" t="str"/>
      <x:c r="J1396" s="7" t="str">
        <x:f>IF(OR(H1396="",I1396=""),"",I1396-H1396)</x:f>
      </x:c>
      <x:c r="K1396" s="7" t="str"/>
      <x:c r="L1396" s="7" t="str"/>
      <x:c r="M1396" s="7" t="str"/>
      <x:c r="N1396" s="7" t="str">
        <x:f>IF(M1396="","OPEN",IF(OR(NOT(ISNUMBER(H1396)),NOT(ISNUMBER(I1396)),K1396="",L1396=""),"FAIL","PASS"))</x:f>
        <x:v>OPEN</x:v>
      </x:c>
    </x:row>
    <x:row r="1397">
      <x:c r="B1397" s="7" t="str">
        <x:v>TRO-C-10-S6-O2-R1</x:v>
      </x:c>
      <x:c r="C1397" s="7" t="str">
        <x:v>BLD-C</x:v>
      </x:c>
      <x:c r="D1397" s="7" t="str">
        <x:v>MF-10</x:v>
      </x:c>
      <x:c r="E1397" s="7" t="str">
        <x:v>STD-10-6</x:v>
      </x:c>
      <x:c r="F1397" s="7" t="str">
        <x:v>OP-2</x:v>
      </x:c>
      <x:c r="G1397" s="7" t="n">
        <x:v>1</x:v>
      </x:c>
      <x:c r="H1397" s="7" t="str"/>
      <x:c r="I1397" s="7" t="str"/>
      <x:c r="J1397" s="7" t="str">
        <x:f>IF(OR(H1397="",I1397=""),"",I1397-H1397)</x:f>
      </x:c>
      <x:c r="K1397" s="7" t="str"/>
      <x:c r="L1397" s="7" t="str"/>
      <x:c r="M1397" s="7" t="str"/>
      <x:c r="N1397" s="7" t="str">
        <x:f>IF(M1397="","OPEN",IF(OR(NOT(ISNUMBER(H1397)),NOT(ISNUMBER(I1397)),K1397="",L1397=""),"FAIL","PASS"))</x:f>
        <x:v>OPEN</x:v>
      </x:c>
    </x:row>
    <x:row r="1398">
      <x:c r="B1398" s="7" t="str">
        <x:v>TRO-C-10-S6-O2-R2</x:v>
      </x:c>
      <x:c r="C1398" s="7" t="str">
        <x:v>BLD-C</x:v>
      </x:c>
      <x:c r="D1398" s="7" t="str">
        <x:v>MF-10</x:v>
      </x:c>
      <x:c r="E1398" s="7" t="str">
        <x:v>STD-10-6</x:v>
      </x:c>
      <x:c r="F1398" s="7" t="str">
        <x:v>OP-2</x:v>
      </x:c>
      <x:c r="G1398" s="7" t="n">
        <x:v>2</x:v>
      </x:c>
      <x:c r="H1398" s="7" t="str"/>
      <x:c r="I1398" s="7" t="str"/>
      <x:c r="J1398" s="7" t="str">
        <x:f>IF(OR(H1398="",I1398=""),"",I1398-H1398)</x:f>
      </x:c>
      <x:c r="K1398" s="7" t="str"/>
      <x:c r="L1398" s="7" t="str"/>
      <x:c r="M1398" s="7" t="str"/>
      <x:c r="N1398" s="7" t="str">
        <x:f>IF(M1398="","OPEN",IF(OR(NOT(ISNUMBER(H1398)),NOT(ISNUMBER(I1398)),K1398="",L1398=""),"FAIL","PASS"))</x:f>
        <x:v>OPEN</x:v>
      </x:c>
    </x:row>
    <x:row r="1399">
      <x:c r="B1399" s="7" t="str">
        <x:v>TRO-C-11-S1-O1-R1</x:v>
      </x:c>
      <x:c r="C1399" s="7" t="str">
        <x:v>BLD-C</x:v>
      </x:c>
      <x:c r="D1399" s="7" t="str">
        <x:v>MF-11</x:v>
      </x:c>
      <x:c r="E1399" s="7" t="str">
        <x:v>STD-11-1</x:v>
      </x:c>
      <x:c r="F1399" s="7" t="str">
        <x:v>OP-1</x:v>
      </x:c>
      <x:c r="G1399" s="7" t="n">
        <x:v>1</x:v>
      </x:c>
      <x:c r="H1399" s="7" t="str"/>
      <x:c r="I1399" s="7" t="str"/>
      <x:c r="J1399" s="7" t="str">
        <x:f>IF(OR(H1399="",I1399=""),"",I1399-H1399)</x:f>
      </x:c>
      <x:c r="K1399" s="7" t="str"/>
      <x:c r="L1399" s="7" t="str"/>
      <x:c r="M1399" s="7" t="str"/>
      <x:c r="N1399" s="7" t="str">
        <x:f>IF(M1399="","OPEN",IF(OR(NOT(ISNUMBER(H1399)),NOT(ISNUMBER(I1399)),K1399="",L1399=""),"FAIL","PASS"))</x:f>
        <x:v>OPEN</x:v>
      </x:c>
    </x:row>
    <x:row r="1400">
      <x:c r="B1400" s="7" t="str">
        <x:v>TRO-C-11-S1-O1-R2</x:v>
      </x:c>
      <x:c r="C1400" s="7" t="str">
        <x:v>BLD-C</x:v>
      </x:c>
      <x:c r="D1400" s="7" t="str">
        <x:v>MF-11</x:v>
      </x:c>
      <x:c r="E1400" s="7" t="str">
        <x:v>STD-11-1</x:v>
      </x:c>
      <x:c r="F1400" s="7" t="str">
        <x:v>OP-1</x:v>
      </x:c>
      <x:c r="G1400" s="7" t="n">
        <x:v>2</x:v>
      </x:c>
      <x:c r="H1400" s="7" t="str"/>
      <x:c r="I1400" s="7" t="str"/>
      <x:c r="J1400" s="7" t="str">
        <x:f>IF(OR(H1400="",I1400=""),"",I1400-H1400)</x:f>
      </x:c>
      <x:c r="K1400" s="7" t="str"/>
      <x:c r="L1400" s="7" t="str"/>
      <x:c r="M1400" s="7" t="str"/>
      <x:c r="N1400" s="7" t="str">
        <x:f>IF(M1400="","OPEN",IF(OR(NOT(ISNUMBER(H1400)),NOT(ISNUMBER(I1400)),K1400="",L1400=""),"FAIL","PASS"))</x:f>
        <x:v>OPEN</x:v>
      </x:c>
    </x:row>
    <x:row r="1401">
      <x:c r="B1401" s="7" t="str">
        <x:v>TRO-C-11-S1-O2-R1</x:v>
      </x:c>
      <x:c r="C1401" s="7" t="str">
        <x:v>BLD-C</x:v>
      </x:c>
      <x:c r="D1401" s="7" t="str">
        <x:v>MF-11</x:v>
      </x:c>
      <x:c r="E1401" s="7" t="str">
        <x:v>STD-11-1</x:v>
      </x:c>
      <x:c r="F1401" s="7" t="str">
        <x:v>OP-2</x:v>
      </x:c>
      <x:c r="G1401" s="7" t="n">
        <x:v>1</x:v>
      </x:c>
      <x:c r="H1401" s="7" t="str"/>
      <x:c r="I1401" s="7" t="str"/>
      <x:c r="J1401" s="7" t="str">
        <x:f>IF(OR(H1401="",I1401=""),"",I1401-H1401)</x:f>
      </x:c>
      <x:c r="K1401" s="7" t="str"/>
      <x:c r="L1401" s="7" t="str"/>
      <x:c r="M1401" s="7" t="str"/>
      <x:c r="N1401" s="7" t="str">
        <x:f>IF(M1401="","OPEN",IF(OR(NOT(ISNUMBER(H1401)),NOT(ISNUMBER(I1401)),K1401="",L1401=""),"FAIL","PASS"))</x:f>
        <x:v>OPEN</x:v>
      </x:c>
    </x:row>
    <x:row r="1402">
      <x:c r="B1402" s="7" t="str">
        <x:v>TRO-C-11-S1-O2-R2</x:v>
      </x:c>
      <x:c r="C1402" s="7" t="str">
        <x:v>BLD-C</x:v>
      </x:c>
      <x:c r="D1402" s="7" t="str">
        <x:v>MF-11</x:v>
      </x:c>
      <x:c r="E1402" s="7" t="str">
        <x:v>STD-11-1</x:v>
      </x:c>
      <x:c r="F1402" s="7" t="str">
        <x:v>OP-2</x:v>
      </x:c>
      <x:c r="G1402" s="7" t="n">
        <x:v>2</x:v>
      </x:c>
      <x:c r="H1402" s="7" t="str"/>
      <x:c r="I1402" s="7" t="str"/>
      <x:c r="J1402" s="7" t="str">
        <x:f>IF(OR(H1402="",I1402=""),"",I1402-H1402)</x:f>
      </x:c>
      <x:c r="K1402" s="7" t="str"/>
      <x:c r="L1402" s="7" t="str"/>
      <x:c r="M1402" s="7" t="str"/>
      <x:c r="N1402" s="7" t="str">
        <x:f>IF(M1402="","OPEN",IF(OR(NOT(ISNUMBER(H1402)),NOT(ISNUMBER(I1402)),K1402="",L1402=""),"FAIL","PASS"))</x:f>
        <x:v>OPEN</x:v>
      </x:c>
    </x:row>
    <x:row r="1403">
      <x:c r="B1403" s="7" t="str">
        <x:v>TRO-C-11-S2-O1-R1</x:v>
      </x:c>
      <x:c r="C1403" s="7" t="str">
        <x:v>BLD-C</x:v>
      </x:c>
      <x:c r="D1403" s="7" t="str">
        <x:v>MF-11</x:v>
      </x:c>
      <x:c r="E1403" s="7" t="str">
        <x:v>STD-11-2</x:v>
      </x:c>
      <x:c r="F1403" s="7" t="str">
        <x:v>OP-1</x:v>
      </x:c>
      <x:c r="G1403" s="7" t="n">
        <x:v>1</x:v>
      </x:c>
      <x:c r="H1403" s="7" t="str"/>
      <x:c r="I1403" s="7" t="str"/>
      <x:c r="J1403" s="7" t="str">
        <x:f>IF(OR(H1403="",I1403=""),"",I1403-H1403)</x:f>
      </x:c>
      <x:c r="K1403" s="7" t="str"/>
      <x:c r="L1403" s="7" t="str"/>
      <x:c r="M1403" s="7" t="str"/>
      <x:c r="N1403" s="7" t="str">
        <x:f>IF(M1403="","OPEN",IF(OR(NOT(ISNUMBER(H1403)),NOT(ISNUMBER(I1403)),K1403="",L1403=""),"FAIL","PASS"))</x:f>
        <x:v>OPEN</x:v>
      </x:c>
    </x:row>
    <x:row r="1404">
      <x:c r="B1404" s="7" t="str">
        <x:v>TRO-C-11-S2-O1-R2</x:v>
      </x:c>
      <x:c r="C1404" s="7" t="str">
        <x:v>BLD-C</x:v>
      </x:c>
      <x:c r="D1404" s="7" t="str">
        <x:v>MF-11</x:v>
      </x:c>
      <x:c r="E1404" s="7" t="str">
        <x:v>STD-11-2</x:v>
      </x:c>
      <x:c r="F1404" s="7" t="str">
        <x:v>OP-1</x:v>
      </x:c>
      <x:c r="G1404" s="7" t="n">
        <x:v>2</x:v>
      </x:c>
      <x:c r="H1404" s="7" t="str"/>
      <x:c r="I1404" s="7" t="str"/>
      <x:c r="J1404" s="7" t="str">
        <x:f>IF(OR(H1404="",I1404=""),"",I1404-H1404)</x:f>
      </x:c>
      <x:c r="K1404" s="7" t="str"/>
      <x:c r="L1404" s="7" t="str"/>
      <x:c r="M1404" s="7" t="str"/>
      <x:c r="N1404" s="7" t="str">
        <x:f>IF(M1404="","OPEN",IF(OR(NOT(ISNUMBER(H1404)),NOT(ISNUMBER(I1404)),K1404="",L1404=""),"FAIL","PASS"))</x:f>
        <x:v>OPEN</x:v>
      </x:c>
    </x:row>
    <x:row r="1405">
      <x:c r="B1405" s="7" t="str">
        <x:v>TRO-C-11-S2-O2-R1</x:v>
      </x:c>
      <x:c r="C1405" s="7" t="str">
        <x:v>BLD-C</x:v>
      </x:c>
      <x:c r="D1405" s="7" t="str">
        <x:v>MF-11</x:v>
      </x:c>
      <x:c r="E1405" s="7" t="str">
        <x:v>STD-11-2</x:v>
      </x:c>
      <x:c r="F1405" s="7" t="str">
        <x:v>OP-2</x:v>
      </x:c>
      <x:c r="G1405" s="7" t="n">
        <x:v>1</x:v>
      </x:c>
      <x:c r="H1405" s="7" t="str"/>
      <x:c r="I1405" s="7" t="str"/>
      <x:c r="J1405" s="7" t="str">
        <x:f>IF(OR(H1405="",I1405=""),"",I1405-H1405)</x:f>
      </x:c>
      <x:c r="K1405" s="7" t="str"/>
      <x:c r="L1405" s="7" t="str"/>
      <x:c r="M1405" s="7" t="str"/>
      <x:c r="N1405" s="7" t="str">
        <x:f>IF(M1405="","OPEN",IF(OR(NOT(ISNUMBER(H1405)),NOT(ISNUMBER(I1405)),K1405="",L1405=""),"FAIL","PASS"))</x:f>
        <x:v>OPEN</x:v>
      </x:c>
    </x:row>
    <x:row r="1406">
      <x:c r="B1406" s="7" t="str">
        <x:v>TRO-C-11-S2-O2-R2</x:v>
      </x:c>
      <x:c r="C1406" s="7" t="str">
        <x:v>BLD-C</x:v>
      </x:c>
      <x:c r="D1406" s="7" t="str">
        <x:v>MF-11</x:v>
      </x:c>
      <x:c r="E1406" s="7" t="str">
        <x:v>STD-11-2</x:v>
      </x:c>
      <x:c r="F1406" s="7" t="str">
        <x:v>OP-2</x:v>
      </x:c>
      <x:c r="G1406" s="7" t="n">
        <x:v>2</x:v>
      </x:c>
      <x:c r="H1406" s="7" t="str"/>
      <x:c r="I1406" s="7" t="str"/>
      <x:c r="J1406" s="7" t="str">
        <x:f>IF(OR(H1406="",I1406=""),"",I1406-H1406)</x:f>
      </x:c>
      <x:c r="K1406" s="7" t="str"/>
      <x:c r="L1406" s="7" t="str"/>
      <x:c r="M1406" s="7" t="str"/>
      <x:c r="N1406" s="7" t="str">
        <x:f>IF(M1406="","OPEN",IF(OR(NOT(ISNUMBER(H1406)),NOT(ISNUMBER(I1406)),K1406="",L1406=""),"FAIL","PASS"))</x:f>
        <x:v>OPEN</x:v>
      </x:c>
    </x:row>
    <x:row r="1407">
      <x:c r="B1407" s="7" t="str">
        <x:v>TRO-C-11-S3-O1-R1</x:v>
      </x:c>
      <x:c r="C1407" s="7" t="str">
        <x:v>BLD-C</x:v>
      </x:c>
      <x:c r="D1407" s="7" t="str">
        <x:v>MF-11</x:v>
      </x:c>
      <x:c r="E1407" s="7" t="str">
        <x:v>STD-11-3</x:v>
      </x:c>
      <x:c r="F1407" s="7" t="str">
        <x:v>OP-1</x:v>
      </x:c>
      <x:c r="G1407" s="7" t="n">
        <x:v>1</x:v>
      </x:c>
      <x:c r="H1407" s="7" t="str"/>
      <x:c r="I1407" s="7" t="str"/>
      <x:c r="J1407" s="7" t="str">
        <x:f>IF(OR(H1407="",I1407=""),"",I1407-H1407)</x:f>
      </x:c>
      <x:c r="K1407" s="7" t="str"/>
      <x:c r="L1407" s="7" t="str"/>
      <x:c r="M1407" s="7" t="str"/>
      <x:c r="N1407" s="7" t="str">
        <x:f>IF(M1407="","OPEN",IF(OR(NOT(ISNUMBER(H1407)),NOT(ISNUMBER(I1407)),K1407="",L1407=""),"FAIL","PASS"))</x:f>
        <x:v>OPEN</x:v>
      </x:c>
    </x:row>
    <x:row r="1408">
      <x:c r="B1408" s="7" t="str">
        <x:v>TRO-C-11-S3-O1-R2</x:v>
      </x:c>
      <x:c r="C1408" s="7" t="str">
        <x:v>BLD-C</x:v>
      </x:c>
      <x:c r="D1408" s="7" t="str">
        <x:v>MF-11</x:v>
      </x:c>
      <x:c r="E1408" s="7" t="str">
        <x:v>STD-11-3</x:v>
      </x:c>
      <x:c r="F1408" s="7" t="str">
        <x:v>OP-1</x:v>
      </x:c>
      <x:c r="G1408" s="7" t="n">
        <x:v>2</x:v>
      </x:c>
      <x:c r="H1408" s="7" t="str"/>
      <x:c r="I1408" s="7" t="str"/>
      <x:c r="J1408" s="7" t="str">
        <x:f>IF(OR(H1408="",I1408=""),"",I1408-H1408)</x:f>
      </x:c>
      <x:c r="K1408" s="7" t="str"/>
      <x:c r="L1408" s="7" t="str"/>
      <x:c r="M1408" s="7" t="str"/>
      <x:c r="N1408" s="7" t="str">
        <x:f>IF(M1408="","OPEN",IF(OR(NOT(ISNUMBER(H1408)),NOT(ISNUMBER(I1408)),K1408="",L1408=""),"FAIL","PASS"))</x:f>
        <x:v>OPEN</x:v>
      </x:c>
    </x:row>
    <x:row r="1409">
      <x:c r="B1409" s="7" t="str">
        <x:v>TRO-C-11-S3-O2-R1</x:v>
      </x:c>
      <x:c r="C1409" s="7" t="str">
        <x:v>BLD-C</x:v>
      </x:c>
      <x:c r="D1409" s="7" t="str">
        <x:v>MF-11</x:v>
      </x:c>
      <x:c r="E1409" s="7" t="str">
        <x:v>STD-11-3</x:v>
      </x:c>
      <x:c r="F1409" s="7" t="str">
        <x:v>OP-2</x:v>
      </x:c>
      <x:c r="G1409" s="7" t="n">
        <x:v>1</x:v>
      </x:c>
      <x:c r="H1409" s="7" t="str"/>
      <x:c r="I1409" s="7" t="str"/>
      <x:c r="J1409" s="7" t="str">
        <x:f>IF(OR(H1409="",I1409=""),"",I1409-H1409)</x:f>
      </x:c>
      <x:c r="K1409" s="7" t="str"/>
      <x:c r="L1409" s="7" t="str"/>
      <x:c r="M1409" s="7" t="str"/>
      <x:c r="N1409" s="7" t="str">
        <x:f>IF(M1409="","OPEN",IF(OR(NOT(ISNUMBER(H1409)),NOT(ISNUMBER(I1409)),K1409="",L1409=""),"FAIL","PASS"))</x:f>
        <x:v>OPEN</x:v>
      </x:c>
    </x:row>
    <x:row r="1410">
      <x:c r="B1410" s="7" t="str">
        <x:v>TRO-C-11-S3-O2-R2</x:v>
      </x:c>
      <x:c r="C1410" s="7" t="str">
        <x:v>BLD-C</x:v>
      </x:c>
      <x:c r="D1410" s="7" t="str">
        <x:v>MF-11</x:v>
      </x:c>
      <x:c r="E1410" s="7" t="str">
        <x:v>STD-11-3</x:v>
      </x:c>
      <x:c r="F1410" s="7" t="str">
        <x:v>OP-2</x:v>
      </x:c>
      <x:c r="G1410" s="7" t="n">
        <x:v>2</x:v>
      </x:c>
      <x:c r="H1410" s="7" t="str"/>
      <x:c r="I1410" s="7" t="str"/>
      <x:c r="J1410" s="7" t="str">
        <x:f>IF(OR(H1410="",I1410=""),"",I1410-H1410)</x:f>
      </x:c>
      <x:c r="K1410" s="7" t="str"/>
      <x:c r="L1410" s="7" t="str"/>
      <x:c r="M1410" s="7" t="str"/>
      <x:c r="N1410" s="7" t="str">
        <x:f>IF(M1410="","OPEN",IF(OR(NOT(ISNUMBER(H1410)),NOT(ISNUMBER(I1410)),K1410="",L1410=""),"FAIL","PASS"))</x:f>
        <x:v>OPEN</x:v>
      </x:c>
    </x:row>
    <x:row r="1411">
      <x:c r="B1411" s="7" t="str">
        <x:v>TRO-C-11-S4-O1-R1</x:v>
      </x:c>
      <x:c r="C1411" s="7" t="str">
        <x:v>BLD-C</x:v>
      </x:c>
      <x:c r="D1411" s="7" t="str">
        <x:v>MF-11</x:v>
      </x:c>
      <x:c r="E1411" s="7" t="str">
        <x:v>STD-11-4</x:v>
      </x:c>
      <x:c r="F1411" s="7" t="str">
        <x:v>OP-1</x:v>
      </x:c>
      <x:c r="G1411" s="7" t="n">
        <x:v>1</x:v>
      </x:c>
      <x:c r="H1411" s="7" t="str"/>
      <x:c r="I1411" s="7" t="str"/>
      <x:c r="J1411" s="7" t="str">
        <x:f>IF(OR(H1411="",I1411=""),"",I1411-H1411)</x:f>
      </x:c>
      <x:c r="K1411" s="7" t="str"/>
      <x:c r="L1411" s="7" t="str"/>
      <x:c r="M1411" s="7" t="str"/>
      <x:c r="N1411" s="7" t="str">
        <x:f>IF(M1411="","OPEN",IF(OR(NOT(ISNUMBER(H1411)),NOT(ISNUMBER(I1411)),K1411="",L1411=""),"FAIL","PASS"))</x:f>
        <x:v>OPEN</x:v>
      </x:c>
    </x:row>
    <x:row r="1412">
      <x:c r="B1412" s="7" t="str">
        <x:v>TRO-C-11-S4-O1-R2</x:v>
      </x:c>
      <x:c r="C1412" s="7" t="str">
        <x:v>BLD-C</x:v>
      </x:c>
      <x:c r="D1412" s="7" t="str">
        <x:v>MF-11</x:v>
      </x:c>
      <x:c r="E1412" s="7" t="str">
        <x:v>STD-11-4</x:v>
      </x:c>
      <x:c r="F1412" s="7" t="str">
        <x:v>OP-1</x:v>
      </x:c>
      <x:c r="G1412" s="7" t="n">
        <x:v>2</x:v>
      </x:c>
      <x:c r="H1412" s="7" t="str"/>
      <x:c r="I1412" s="7" t="str"/>
      <x:c r="J1412" s="7" t="str">
        <x:f>IF(OR(H1412="",I1412=""),"",I1412-H1412)</x:f>
      </x:c>
      <x:c r="K1412" s="7" t="str"/>
      <x:c r="L1412" s="7" t="str"/>
      <x:c r="M1412" s="7" t="str"/>
      <x:c r="N1412" s="7" t="str">
        <x:f>IF(M1412="","OPEN",IF(OR(NOT(ISNUMBER(H1412)),NOT(ISNUMBER(I1412)),K1412="",L1412=""),"FAIL","PASS"))</x:f>
        <x:v>OPEN</x:v>
      </x:c>
    </x:row>
    <x:row r="1413">
      <x:c r="B1413" s="7" t="str">
        <x:v>TRO-C-11-S4-O2-R1</x:v>
      </x:c>
      <x:c r="C1413" s="7" t="str">
        <x:v>BLD-C</x:v>
      </x:c>
      <x:c r="D1413" s="7" t="str">
        <x:v>MF-11</x:v>
      </x:c>
      <x:c r="E1413" s="7" t="str">
        <x:v>STD-11-4</x:v>
      </x:c>
      <x:c r="F1413" s="7" t="str">
        <x:v>OP-2</x:v>
      </x:c>
      <x:c r="G1413" s="7" t="n">
        <x:v>1</x:v>
      </x:c>
      <x:c r="H1413" s="7" t="str"/>
      <x:c r="I1413" s="7" t="str"/>
      <x:c r="J1413" s="7" t="str">
        <x:f>IF(OR(H1413="",I1413=""),"",I1413-H1413)</x:f>
      </x:c>
      <x:c r="K1413" s="7" t="str"/>
      <x:c r="L1413" s="7" t="str"/>
      <x:c r="M1413" s="7" t="str"/>
      <x:c r="N1413" s="7" t="str">
        <x:f>IF(M1413="","OPEN",IF(OR(NOT(ISNUMBER(H1413)),NOT(ISNUMBER(I1413)),K1413="",L1413=""),"FAIL","PASS"))</x:f>
        <x:v>OPEN</x:v>
      </x:c>
    </x:row>
    <x:row r="1414">
      <x:c r="B1414" s="7" t="str">
        <x:v>TRO-C-11-S4-O2-R2</x:v>
      </x:c>
      <x:c r="C1414" s="7" t="str">
        <x:v>BLD-C</x:v>
      </x:c>
      <x:c r="D1414" s="7" t="str">
        <x:v>MF-11</x:v>
      </x:c>
      <x:c r="E1414" s="7" t="str">
        <x:v>STD-11-4</x:v>
      </x:c>
      <x:c r="F1414" s="7" t="str">
        <x:v>OP-2</x:v>
      </x:c>
      <x:c r="G1414" s="7" t="n">
        <x:v>2</x:v>
      </x:c>
      <x:c r="H1414" s="7" t="str"/>
      <x:c r="I1414" s="7" t="str"/>
      <x:c r="J1414" s="7" t="str">
        <x:f>IF(OR(H1414="",I1414=""),"",I1414-H1414)</x:f>
      </x:c>
      <x:c r="K1414" s="7" t="str"/>
      <x:c r="L1414" s="7" t="str"/>
      <x:c r="M1414" s="7" t="str"/>
      <x:c r="N1414" s="7" t="str">
        <x:f>IF(M1414="","OPEN",IF(OR(NOT(ISNUMBER(H1414)),NOT(ISNUMBER(I1414)),K1414="",L1414=""),"FAIL","PASS"))</x:f>
        <x:v>OPEN</x:v>
      </x:c>
    </x:row>
    <x:row r="1415">
      <x:c r="B1415" s="7" t="str">
        <x:v>TRO-C-11-S5-O1-R1</x:v>
      </x:c>
      <x:c r="C1415" s="7" t="str">
        <x:v>BLD-C</x:v>
      </x:c>
      <x:c r="D1415" s="7" t="str">
        <x:v>MF-11</x:v>
      </x:c>
      <x:c r="E1415" s="7" t="str">
        <x:v>STD-11-5</x:v>
      </x:c>
      <x:c r="F1415" s="7" t="str">
        <x:v>OP-1</x:v>
      </x:c>
      <x:c r="G1415" s="7" t="n">
        <x:v>1</x:v>
      </x:c>
      <x:c r="H1415" s="7" t="str"/>
      <x:c r="I1415" s="7" t="str"/>
      <x:c r="J1415" s="7" t="str">
        <x:f>IF(OR(H1415="",I1415=""),"",I1415-H1415)</x:f>
      </x:c>
      <x:c r="K1415" s="7" t="str"/>
      <x:c r="L1415" s="7" t="str"/>
      <x:c r="M1415" s="7" t="str"/>
      <x:c r="N1415" s="7" t="str">
        <x:f>IF(M1415="","OPEN",IF(OR(NOT(ISNUMBER(H1415)),NOT(ISNUMBER(I1415)),K1415="",L1415=""),"FAIL","PASS"))</x:f>
        <x:v>OPEN</x:v>
      </x:c>
    </x:row>
    <x:row r="1416">
      <x:c r="B1416" s="7" t="str">
        <x:v>TRO-C-11-S5-O1-R2</x:v>
      </x:c>
      <x:c r="C1416" s="7" t="str">
        <x:v>BLD-C</x:v>
      </x:c>
      <x:c r="D1416" s="7" t="str">
        <x:v>MF-11</x:v>
      </x:c>
      <x:c r="E1416" s="7" t="str">
        <x:v>STD-11-5</x:v>
      </x:c>
      <x:c r="F1416" s="7" t="str">
        <x:v>OP-1</x:v>
      </x:c>
      <x:c r="G1416" s="7" t="n">
        <x:v>2</x:v>
      </x:c>
      <x:c r="H1416" s="7" t="str"/>
      <x:c r="I1416" s="7" t="str"/>
      <x:c r="J1416" s="7" t="str">
        <x:f>IF(OR(H1416="",I1416=""),"",I1416-H1416)</x:f>
      </x:c>
      <x:c r="K1416" s="7" t="str"/>
      <x:c r="L1416" s="7" t="str"/>
      <x:c r="M1416" s="7" t="str"/>
      <x:c r="N1416" s="7" t="str">
        <x:f>IF(M1416="","OPEN",IF(OR(NOT(ISNUMBER(H1416)),NOT(ISNUMBER(I1416)),K1416="",L1416=""),"FAIL","PASS"))</x:f>
        <x:v>OPEN</x:v>
      </x:c>
    </x:row>
    <x:row r="1417">
      <x:c r="B1417" s="7" t="str">
        <x:v>TRO-C-11-S5-O2-R1</x:v>
      </x:c>
      <x:c r="C1417" s="7" t="str">
        <x:v>BLD-C</x:v>
      </x:c>
      <x:c r="D1417" s="7" t="str">
        <x:v>MF-11</x:v>
      </x:c>
      <x:c r="E1417" s="7" t="str">
        <x:v>STD-11-5</x:v>
      </x:c>
      <x:c r="F1417" s="7" t="str">
        <x:v>OP-2</x:v>
      </x:c>
      <x:c r="G1417" s="7" t="n">
        <x:v>1</x:v>
      </x:c>
      <x:c r="H1417" s="7" t="str"/>
      <x:c r="I1417" s="7" t="str"/>
      <x:c r="J1417" s="7" t="str">
        <x:f>IF(OR(H1417="",I1417=""),"",I1417-H1417)</x:f>
      </x:c>
      <x:c r="K1417" s="7" t="str"/>
      <x:c r="L1417" s="7" t="str"/>
      <x:c r="M1417" s="7" t="str"/>
      <x:c r="N1417" s="7" t="str">
        <x:f>IF(M1417="","OPEN",IF(OR(NOT(ISNUMBER(H1417)),NOT(ISNUMBER(I1417)),K1417="",L1417=""),"FAIL","PASS"))</x:f>
        <x:v>OPEN</x:v>
      </x:c>
    </x:row>
    <x:row r="1418">
      <x:c r="B1418" s="7" t="str">
        <x:v>TRO-C-11-S5-O2-R2</x:v>
      </x:c>
      <x:c r="C1418" s="7" t="str">
        <x:v>BLD-C</x:v>
      </x:c>
      <x:c r="D1418" s="7" t="str">
        <x:v>MF-11</x:v>
      </x:c>
      <x:c r="E1418" s="7" t="str">
        <x:v>STD-11-5</x:v>
      </x:c>
      <x:c r="F1418" s="7" t="str">
        <x:v>OP-2</x:v>
      </x:c>
      <x:c r="G1418" s="7" t="n">
        <x:v>2</x:v>
      </x:c>
      <x:c r="H1418" s="7" t="str"/>
      <x:c r="I1418" s="7" t="str"/>
      <x:c r="J1418" s="7" t="str">
        <x:f>IF(OR(H1418="",I1418=""),"",I1418-H1418)</x:f>
      </x:c>
      <x:c r="K1418" s="7" t="str"/>
      <x:c r="L1418" s="7" t="str"/>
      <x:c r="M1418" s="7" t="str"/>
      <x:c r="N1418" s="7" t="str">
        <x:f>IF(M1418="","OPEN",IF(OR(NOT(ISNUMBER(H1418)),NOT(ISNUMBER(I1418)),K1418="",L1418=""),"FAIL","PASS"))</x:f>
        <x:v>OPEN</x:v>
      </x:c>
    </x:row>
    <x:row r="1419">
      <x:c r="B1419" s="7" t="str">
        <x:v>TRO-C-11-S6-O1-R1</x:v>
      </x:c>
      <x:c r="C1419" s="7" t="str">
        <x:v>BLD-C</x:v>
      </x:c>
      <x:c r="D1419" s="7" t="str">
        <x:v>MF-11</x:v>
      </x:c>
      <x:c r="E1419" s="7" t="str">
        <x:v>STD-11-6</x:v>
      </x:c>
      <x:c r="F1419" s="7" t="str">
        <x:v>OP-1</x:v>
      </x:c>
      <x:c r="G1419" s="7" t="n">
        <x:v>1</x:v>
      </x:c>
      <x:c r="H1419" s="7" t="str"/>
      <x:c r="I1419" s="7" t="str"/>
      <x:c r="J1419" s="7" t="str">
        <x:f>IF(OR(H1419="",I1419=""),"",I1419-H1419)</x:f>
      </x:c>
      <x:c r="K1419" s="7" t="str"/>
      <x:c r="L1419" s="7" t="str"/>
      <x:c r="M1419" s="7" t="str"/>
      <x:c r="N1419" s="7" t="str">
        <x:f>IF(M1419="","OPEN",IF(OR(NOT(ISNUMBER(H1419)),NOT(ISNUMBER(I1419)),K1419="",L1419=""),"FAIL","PASS"))</x:f>
        <x:v>OPEN</x:v>
      </x:c>
    </x:row>
    <x:row r="1420">
      <x:c r="B1420" s="7" t="str">
        <x:v>TRO-C-11-S6-O1-R2</x:v>
      </x:c>
      <x:c r="C1420" s="7" t="str">
        <x:v>BLD-C</x:v>
      </x:c>
      <x:c r="D1420" s="7" t="str">
        <x:v>MF-11</x:v>
      </x:c>
      <x:c r="E1420" s="7" t="str">
        <x:v>STD-11-6</x:v>
      </x:c>
      <x:c r="F1420" s="7" t="str">
        <x:v>OP-1</x:v>
      </x:c>
      <x:c r="G1420" s="7" t="n">
        <x:v>2</x:v>
      </x:c>
      <x:c r="H1420" s="7" t="str"/>
      <x:c r="I1420" s="7" t="str"/>
      <x:c r="J1420" s="7" t="str">
        <x:f>IF(OR(H1420="",I1420=""),"",I1420-H1420)</x:f>
      </x:c>
      <x:c r="K1420" s="7" t="str"/>
      <x:c r="L1420" s="7" t="str"/>
      <x:c r="M1420" s="7" t="str"/>
      <x:c r="N1420" s="7" t="str">
        <x:f>IF(M1420="","OPEN",IF(OR(NOT(ISNUMBER(H1420)),NOT(ISNUMBER(I1420)),K1420="",L1420=""),"FAIL","PASS"))</x:f>
        <x:v>OPEN</x:v>
      </x:c>
    </x:row>
    <x:row r="1421">
      <x:c r="B1421" s="7" t="str">
        <x:v>TRO-C-11-S6-O2-R1</x:v>
      </x:c>
      <x:c r="C1421" s="7" t="str">
        <x:v>BLD-C</x:v>
      </x:c>
      <x:c r="D1421" s="7" t="str">
        <x:v>MF-11</x:v>
      </x:c>
      <x:c r="E1421" s="7" t="str">
        <x:v>STD-11-6</x:v>
      </x:c>
      <x:c r="F1421" s="7" t="str">
        <x:v>OP-2</x:v>
      </x:c>
      <x:c r="G1421" s="7" t="n">
        <x:v>1</x:v>
      </x:c>
      <x:c r="H1421" s="7" t="str"/>
      <x:c r="I1421" s="7" t="str"/>
      <x:c r="J1421" s="7" t="str">
        <x:f>IF(OR(H1421="",I1421=""),"",I1421-H1421)</x:f>
      </x:c>
      <x:c r="K1421" s="7" t="str"/>
      <x:c r="L1421" s="7" t="str"/>
      <x:c r="M1421" s="7" t="str"/>
      <x:c r="N1421" s="7" t="str">
        <x:f>IF(M1421="","OPEN",IF(OR(NOT(ISNUMBER(H1421)),NOT(ISNUMBER(I1421)),K1421="",L1421=""),"FAIL","PASS"))</x:f>
        <x:v>OPEN</x:v>
      </x:c>
    </x:row>
    <x:row r="1422">
      <x:c r="B1422" s="7" t="str">
        <x:v>TRO-C-11-S6-O2-R2</x:v>
      </x:c>
      <x:c r="C1422" s="7" t="str">
        <x:v>BLD-C</x:v>
      </x:c>
      <x:c r="D1422" s="7" t="str">
        <x:v>MF-11</x:v>
      </x:c>
      <x:c r="E1422" s="7" t="str">
        <x:v>STD-11-6</x:v>
      </x:c>
      <x:c r="F1422" s="7" t="str">
        <x:v>OP-2</x:v>
      </x:c>
      <x:c r="G1422" s="7" t="n">
        <x:v>2</x:v>
      </x:c>
      <x:c r="H1422" s="7" t="str"/>
      <x:c r="I1422" s="7" t="str"/>
      <x:c r="J1422" s="7" t="str">
        <x:f>IF(OR(H1422="",I1422=""),"",I1422-H1422)</x:f>
      </x:c>
      <x:c r="K1422" s="7" t="str"/>
      <x:c r="L1422" s="7" t="str"/>
      <x:c r="M1422" s="7" t="str"/>
      <x:c r="N1422" s="7" t="str">
        <x:f>IF(M1422="","OPEN",IF(OR(NOT(ISNUMBER(H1422)),NOT(ISNUMBER(I1422)),K1422="",L1422=""),"FAIL","PASS"))</x:f>
        <x:v>OPEN</x:v>
      </x:c>
    </x:row>
    <x:row r="1423">
      <x:c r="B1423" s="7" t="str">
        <x:v>TRO-C-12-S1-O1-R1</x:v>
      </x:c>
      <x:c r="C1423" s="7" t="str">
        <x:v>BLD-C</x:v>
      </x:c>
      <x:c r="D1423" s="7" t="str">
        <x:v>MF-12</x:v>
      </x:c>
      <x:c r="E1423" s="7" t="str">
        <x:v>STD-12-1</x:v>
      </x:c>
      <x:c r="F1423" s="7" t="str">
        <x:v>OP-1</x:v>
      </x:c>
      <x:c r="G1423" s="7" t="n">
        <x:v>1</x:v>
      </x:c>
      <x:c r="H1423" s="7" t="str"/>
      <x:c r="I1423" s="7" t="str"/>
      <x:c r="J1423" s="7" t="str">
        <x:f>IF(OR(H1423="",I1423=""),"",I1423-H1423)</x:f>
      </x:c>
      <x:c r="K1423" s="7" t="str"/>
      <x:c r="L1423" s="7" t="str"/>
      <x:c r="M1423" s="7" t="str"/>
      <x:c r="N1423" s="7" t="str">
        <x:f>IF(M1423="","OPEN",IF(OR(NOT(ISNUMBER(H1423)),NOT(ISNUMBER(I1423)),K1423="",L1423=""),"FAIL","PASS"))</x:f>
        <x:v>OPEN</x:v>
      </x:c>
    </x:row>
    <x:row r="1424">
      <x:c r="B1424" s="7" t="str">
        <x:v>TRO-C-12-S1-O1-R2</x:v>
      </x:c>
      <x:c r="C1424" s="7" t="str">
        <x:v>BLD-C</x:v>
      </x:c>
      <x:c r="D1424" s="7" t="str">
        <x:v>MF-12</x:v>
      </x:c>
      <x:c r="E1424" s="7" t="str">
        <x:v>STD-12-1</x:v>
      </x:c>
      <x:c r="F1424" s="7" t="str">
        <x:v>OP-1</x:v>
      </x:c>
      <x:c r="G1424" s="7" t="n">
        <x:v>2</x:v>
      </x:c>
      <x:c r="H1424" s="7" t="str"/>
      <x:c r="I1424" s="7" t="str"/>
      <x:c r="J1424" s="7" t="str">
        <x:f>IF(OR(H1424="",I1424=""),"",I1424-H1424)</x:f>
      </x:c>
      <x:c r="K1424" s="7" t="str"/>
      <x:c r="L1424" s="7" t="str"/>
      <x:c r="M1424" s="7" t="str"/>
      <x:c r="N1424" s="7" t="str">
        <x:f>IF(M1424="","OPEN",IF(OR(NOT(ISNUMBER(H1424)),NOT(ISNUMBER(I1424)),K1424="",L1424=""),"FAIL","PASS"))</x:f>
        <x:v>OPEN</x:v>
      </x:c>
    </x:row>
    <x:row r="1425">
      <x:c r="B1425" s="7" t="str">
        <x:v>TRO-C-12-S1-O2-R1</x:v>
      </x:c>
      <x:c r="C1425" s="7" t="str">
        <x:v>BLD-C</x:v>
      </x:c>
      <x:c r="D1425" s="7" t="str">
        <x:v>MF-12</x:v>
      </x:c>
      <x:c r="E1425" s="7" t="str">
        <x:v>STD-12-1</x:v>
      </x:c>
      <x:c r="F1425" s="7" t="str">
        <x:v>OP-2</x:v>
      </x:c>
      <x:c r="G1425" s="7" t="n">
        <x:v>1</x:v>
      </x:c>
      <x:c r="H1425" s="7" t="str"/>
      <x:c r="I1425" s="7" t="str"/>
      <x:c r="J1425" s="7" t="str">
        <x:f>IF(OR(H1425="",I1425=""),"",I1425-H1425)</x:f>
      </x:c>
      <x:c r="K1425" s="7" t="str"/>
      <x:c r="L1425" s="7" t="str"/>
      <x:c r="M1425" s="7" t="str"/>
      <x:c r="N1425" s="7" t="str">
        <x:f>IF(M1425="","OPEN",IF(OR(NOT(ISNUMBER(H1425)),NOT(ISNUMBER(I1425)),K1425="",L1425=""),"FAIL","PASS"))</x:f>
        <x:v>OPEN</x:v>
      </x:c>
    </x:row>
    <x:row r="1426">
      <x:c r="B1426" s="7" t="str">
        <x:v>TRO-C-12-S1-O2-R2</x:v>
      </x:c>
      <x:c r="C1426" s="7" t="str">
        <x:v>BLD-C</x:v>
      </x:c>
      <x:c r="D1426" s="7" t="str">
        <x:v>MF-12</x:v>
      </x:c>
      <x:c r="E1426" s="7" t="str">
        <x:v>STD-12-1</x:v>
      </x:c>
      <x:c r="F1426" s="7" t="str">
        <x:v>OP-2</x:v>
      </x:c>
      <x:c r="G1426" s="7" t="n">
        <x:v>2</x:v>
      </x:c>
      <x:c r="H1426" s="7" t="str"/>
      <x:c r="I1426" s="7" t="str"/>
      <x:c r="J1426" s="7" t="str">
        <x:f>IF(OR(H1426="",I1426=""),"",I1426-H1426)</x:f>
      </x:c>
      <x:c r="K1426" s="7" t="str"/>
      <x:c r="L1426" s="7" t="str"/>
      <x:c r="M1426" s="7" t="str"/>
      <x:c r="N1426" s="7" t="str">
        <x:f>IF(M1426="","OPEN",IF(OR(NOT(ISNUMBER(H1426)),NOT(ISNUMBER(I1426)),K1426="",L1426=""),"FAIL","PASS"))</x:f>
        <x:v>OPEN</x:v>
      </x:c>
    </x:row>
    <x:row r="1427">
      <x:c r="B1427" s="7" t="str">
        <x:v>TRO-C-12-S2-O1-R1</x:v>
      </x:c>
      <x:c r="C1427" s="7" t="str">
        <x:v>BLD-C</x:v>
      </x:c>
      <x:c r="D1427" s="7" t="str">
        <x:v>MF-12</x:v>
      </x:c>
      <x:c r="E1427" s="7" t="str">
        <x:v>STD-12-2</x:v>
      </x:c>
      <x:c r="F1427" s="7" t="str">
        <x:v>OP-1</x:v>
      </x:c>
      <x:c r="G1427" s="7" t="n">
        <x:v>1</x:v>
      </x:c>
      <x:c r="H1427" s="7" t="str"/>
      <x:c r="I1427" s="7" t="str"/>
      <x:c r="J1427" s="7" t="str">
        <x:f>IF(OR(H1427="",I1427=""),"",I1427-H1427)</x:f>
      </x:c>
      <x:c r="K1427" s="7" t="str"/>
      <x:c r="L1427" s="7" t="str"/>
      <x:c r="M1427" s="7" t="str"/>
      <x:c r="N1427" s="7" t="str">
        <x:f>IF(M1427="","OPEN",IF(OR(NOT(ISNUMBER(H1427)),NOT(ISNUMBER(I1427)),K1427="",L1427=""),"FAIL","PASS"))</x:f>
        <x:v>OPEN</x:v>
      </x:c>
    </x:row>
    <x:row r="1428">
      <x:c r="B1428" s="7" t="str">
        <x:v>TRO-C-12-S2-O1-R2</x:v>
      </x:c>
      <x:c r="C1428" s="7" t="str">
        <x:v>BLD-C</x:v>
      </x:c>
      <x:c r="D1428" s="7" t="str">
        <x:v>MF-12</x:v>
      </x:c>
      <x:c r="E1428" s="7" t="str">
        <x:v>STD-12-2</x:v>
      </x:c>
      <x:c r="F1428" s="7" t="str">
        <x:v>OP-1</x:v>
      </x:c>
      <x:c r="G1428" s="7" t="n">
        <x:v>2</x:v>
      </x:c>
      <x:c r="H1428" s="7" t="str"/>
      <x:c r="I1428" s="7" t="str"/>
      <x:c r="J1428" s="7" t="str">
        <x:f>IF(OR(H1428="",I1428=""),"",I1428-H1428)</x:f>
      </x:c>
      <x:c r="K1428" s="7" t="str"/>
      <x:c r="L1428" s="7" t="str"/>
      <x:c r="M1428" s="7" t="str"/>
      <x:c r="N1428" s="7" t="str">
        <x:f>IF(M1428="","OPEN",IF(OR(NOT(ISNUMBER(H1428)),NOT(ISNUMBER(I1428)),K1428="",L1428=""),"FAIL","PASS"))</x:f>
        <x:v>OPEN</x:v>
      </x:c>
    </x:row>
    <x:row r="1429">
      <x:c r="B1429" s="7" t="str">
        <x:v>TRO-C-12-S2-O2-R1</x:v>
      </x:c>
      <x:c r="C1429" s="7" t="str">
        <x:v>BLD-C</x:v>
      </x:c>
      <x:c r="D1429" s="7" t="str">
        <x:v>MF-12</x:v>
      </x:c>
      <x:c r="E1429" s="7" t="str">
        <x:v>STD-12-2</x:v>
      </x:c>
      <x:c r="F1429" s="7" t="str">
        <x:v>OP-2</x:v>
      </x:c>
      <x:c r="G1429" s="7" t="n">
        <x:v>1</x:v>
      </x:c>
      <x:c r="H1429" s="7" t="str"/>
      <x:c r="I1429" s="7" t="str"/>
      <x:c r="J1429" s="7" t="str">
        <x:f>IF(OR(H1429="",I1429=""),"",I1429-H1429)</x:f>
      </x:c>
      <x:c r="K1429" s="7" t="str"/>
      <x:c r="L1429" s="7" t="str"/>
      <x:c r="M1429" s="7" t="str"/>
      <x:c r="N1429" s="7" t="str">
        <x:f>IF(M1429="","OPEN",IF(OR(NOT(ISNUMBER(H1429)),NOT(ISNUMBER(I1429)),K1429="",L1429=""),"FAIL","PASS"))</x:f>
        <x:v>OPEN</x:v>
      </x:c>
    </x:row>
    <x:row r="1430">
      <x:c r="B1430" s="7" t="str">
        <x:v>TRO-C-12-S2-O2-R2</x:v>
      </x:c>
      <x:c r="C1430" s="7" t="str">
        <x:v>BLD-C</x:v>
      </x:c>
      <x:c r="D1430" s="7" t="str">
        <x:v>MF-12</x:v>
      </x:c>
      <x:c r="E1430" s="7" t="str">
        <x:v>STD-12-2</x:v>
      </x:c>
      <x:c r="F1430" s="7" t="str">
        <x:v>OP-2</x:v>
      </x:c>
      <x:c r="G1430" s="7" t="n">
        <x:v>2</x:v>
      </x:c>
      <x:c r="H1430" s="7" t="str"/>
      <x:c r="I1430" s="7" t="str"/>
      <x:c r="J1430" s="7" t="str">
        <x:f>IF(OR(H1430="",I1430=""),"",I1430-H1430)</x:f>
      </x:c>
      <x:c r="K1430" s="7" t="str"/>
      <x:c r="L1430" s="7" t="str"/>
      <x:c r="M1430" s="7" t="str"/>
      <x:c r="N1430" s="7" t="str">
        <x:f>IF(M1430="","OPEN",IF(OR(NOT(ISNUMBER(H1430)),NOT(ISNUMBER(I1430)),K1430="",L1430=""),"FAIL","PASS"))</x:f>
        <x:v>OPEN</x:v>
      </x:c>
    </x:row>
    <x:row r="1431">
      <x:c r="B1431" s="7" t="str">
        <x:v>TRO-C-12-S3-O1-R1</x:v>
      </x:c>
      <x:c r="C1431" s="7" t="str">
        <x:v>BLD-C</x:v>
      </x:c>
      <x:c r="D1431" s="7" t="str">
        <x:v>MF-12</x:v>
      </x:c>
      <x:c r="E1431" s="7" t="str">
        <x:v>STD-12-3</x:v>
      </x:c>
      <x:c r="F1431" s="7" t="str">
        <x:v>OP-1</x:v>
      </x:c>
      <x:c r="G1431" s="7" t="n">
        <x:v>1</x:v>
      </x:c>
      <x:c r="H1431" s="7" t="str"/>
      <x:c r="I1431" s="7" t="str"/>
      <x:c r="J1431" s="7" t="str">
        <x:f>IF(OR(H1431="",I1431=""),"",I1431-H1431)</x:f>
      </x:c>
      <x:c r="K1431" s="7" t="str"/>
      <x:c r="L1431" s="7" t="str"/>
      <x:c r="M1431" s="7" t="str"/>
      <x:c r="N1431" s="7" t="str">
        <x:f>IF(M1431="","OPEN",IF(OR(NOT(ISNUMBER(H1431)),NOT(ISNUMBER(I1431)),K1431="",L1431=""),"FAIL","PASS"))</x:f>
        <x:v>OPEN</x:v>
      </x:c>
    </x:row>
    <x:row r="1432">
      <x:c r="B1432" s="7" t="str">
        <x:v>TRO-C-12-S3-O1-R2</x:v>
      </x:c>
      <x:c r="C1432" s="7" t="str">
        <x:v>BLD-C</x:v>
      </x:c>
      <x:c r="D1432" s="7" t="str">
        <x:v>MF-12</x:v>
      </x:c>
      <x:c r="E1432" s="7" t="str">
        <x:v>STD-12-3</x:v>
      </x:c>
      <x:c r="F1432" s="7" t="str">
        <x:v>OP-1</x:v>
      </x:c>
      <x:c r="G1432" s="7" t="n">
        <x:v>2</x:v>
      </x:c>
      <x:c r="H1432" s="7" t="str"/>
      <x:c r="I1432" s="7" t="str"/>
      <x:c r="J1432" s="7" t="str">
        <x:f>IF(OR(H1432="",I1432=""),"",I1432-H1432)</x:f>
      </x:c>
      <x:c r="K1432" s="7" t="str"/>
      <x:c r="L1432" s="7" t="str"/>
      <x:c r="M1432" s="7" t="str"/>
      <x:c r="N1432" s="7" t="str">
        <x:f>IF(M1432="","OPEN",IF(OR(NOT(ISNUMBER(H1432)),NOT(ISNUMBER(I1432)),K1432="",L1432=""),"FAIL","PASS"))</x:f>
        <x:v>OPEN</x:v>
      </x:c>
    </x:row>
    <x:row r="1433">
      <x:c r="B1433" s="7" t="str">
        <x:v>TRO-C-12-S3-O2-R1</x:v>
      </x:c>
      <x:c r="C1433" s="7" t="str">
        <x:v>BLD-C</x:v>
      </x:c>
      <x:c r="D1433" s="7" t="str">
        <x:v>MF-12</x:v>
      </x:c>
      <x:c r="E1433" s="7" t="str">
        <x:v>STD-12-3</x:v>
      </x:c>
      <x:c r="F1433" s="7" t="str">
        <x:v>OP-2</x:v>
      </x:c>
      <x:c r="G1433" s="7" t="n">
        <x:v>1</x:v>
      </x:c>
      <x:c r="H1433" s="7" t="str"/>
      <x:c r="I1433" s="7" t="str"/>
      <x:c r="J1433" s="7" t="str">
        <x:f>IF(OR(H1433="",I1433=""),"",I1433-H1433)</x:f>
      </x:c>
      <x:c r="K1433" s="7" t="str"/>
      <x:c r="L1433" s="7" t="str"/>
      <x:c r="M1433" s="7" t="str"/>
      <x:c r="N1433" s="7" t="str">
        <x:f>IF(M1433="","OPEN",IF(OR(NOT(ISNUMBER(H1433)),NOT(ISNUMBER(I1433)),K1433="",L1433=""),"FAIL","PASS"))</x:f>
        <x:v>OPEN</x:v>
      </x:c>
    </x:row>
    <x:row r="1434">
      <x:c r="B1434" s="7" t="str">
        <x:v>TRO-C-12-S3-O2-R2</x:v>
      </x:c>
      <x:c r="C1434" s="7" t="str">
        <x:v>BLD-C</x:v>
      </x:c>
      <x:c r="D1434" s="7" t="str">
        <x:v>MF-12</x:v>
      </x:c>
      <x:c r="E1434" s="7" t="str">
        <x:v>STD-12-3</x:v>
      </x:c>
      <x:c r="F1434" s="7" t="str">
        <x:v>OP-2</x:v>
      </x:c>
      <x:c r="G1434" s="7" t="n">
        <x:v>2</x:v>
      </x:c>
      <x:c r="H1434" s="7" t="str"/>
      <x:c r="I1434" s="7" t="str"/>
      <x:c r="J1434" s="7" t="str">
        <x:f>IF(OR(H1434="",I1434=""),"",I1434-H1434)</x:f>
      </x:c>
      <x:c r="K1434" s="7" t="str"/>
      <x:c r="L1434" s="7" t="str"/>
      <x:c r="M1434" s="7" t="str"/>
      <x:c r="N1434" s="7" t="str">
        <x:f>IF(M1434="","OPEN",IF(OR(NOT(ISNUMBER(H1434)),NOT(ISNUMBER(I1434)),K1434="",L1434=""),"FAIL","PASS"))</x:f>
        <x:v>OPEN</x:v>
      </x:c>
    </x:row>
    <x:row r="1435">
      <x:c r="B1435" s="7" t="str">
        <x:v>TRO-C-12-S4-O1-R1</x:v>
      </x:c>
      <x:c r="C1435" s="7" t="str">
        <x:v>BLD-C</x:v>
      </x:c>
      <x:c r="D1435" s="7" t="str">
        <x:v>MF-12</x:v>
      </x:c>
      <x:c r="E1435" s="7" t="str">
        <x:v>STD-12-4</x:v>
      </x:c>
      <x:c r="F1435" s="7" t="str">
        <x:v>OP-1</x:v>
      </x:c>
      <x:c r="G1435" s="7" t="n">
        <x:v>1</x:v>
      </x:c>
      <x:c r="H1435" s="7" t="str"/>
      <x:c r="I1435" s="7" t="str"/>
      <x:c r="J1435" s="7" t="str">
        <x:f>IF(OR(H1435="",I1435=""),"",I1435-H1435)</x:f>
      </x:c>
      <x:c r="K1435" s="7" t="str"/>
      <x:c r="L1435" s="7" t="str"/>
      <x:c r="M1435" s="7" t="str"/>
      <x:c r="N1435" s="7" t="str">
        <x:f>IF(M1435="","OPEN",IF(OR(NOT(ISNUMBER(H1435)),NOT(ISNUMBER(I1435)),K1435="",L1435=""),"FAIL","PASS"))</x:f>
        <x:v>OPEN</x:v>
      </x:c>
    </x:row>
    <x:row r="1436">
      <x:c r="B1436" s="7" t="str">
        <x:v>TRO-C-12-S4-O1-R2</x:v>
      </x:c>
      <x:c r="C1436" s="7" t="str">
        <x:v>BLD-C</x:v>
      </x:c>
      <x:c r="D1436" s="7" t="str">
        <x:v>MF-12</x:v>
      </x:c>
      <x:c r="E1436" s="7" t="str">
        <x:v>STD-12-4</x:v>
      </x:c>
      <x:c r="F1436" s="7" t="str">
        <x:v>OP-1</x:v>
      </x:c>
      <x:c r="G1436" s="7" t="n">
        <x:v>2</x:v>
      </x:c>
      <x:c r="H1436" s="7" t="str"/>
      <x:c r="I1436" s="7" t="str"/>
      <x:c r="J1436" s="7" t="str">
        <x:f>IF(OR(H1436="",I1436=""),"",I1436-H1436)</x:f>
      </x:c>
      <x:c r="K1436" s="7" t="str"/>
      <x:c r="L1436" s="7" t="str"/>
      <x:c r="M1436" s="7" t="str"/>
      <x:c r="N1436" s="7" t="str">
        <x:f>IF(M1436="","OPEN",IF(OR(NOT(ISNUMBER(H1436)),NOT(ISNUMBER(I1436)),K1436="",L1436=""),"FAIL","PASS"))</x:f>
        <x:v>OPEN</x:v>
      </x:c>
    </x:row>
    <x:row r="1437">
      <x:c r="B1437" s="7" t="str">
        <x:v>TRO-C-12-S4-O2-R1</x:v>
      </x:c>
      <x:c r="C1437" s="7" t="str">
        <x:v>BLD-C</x:v>
      </x:c>
      <x:c r="D1437" s="7" t="str">
        <x:v>MF-12</x:v>
      </x:c>
      <x:c r="E1437" s="7" t="str">
        <x:v>STD-12-4</x:v>
      </x:c>
      <x:c r="F1437" s="7" t="str">
        <x:v>OP-2</x:v>
      </x:c>
      <x:c r="G1437" s="7" t="n">
        <x:v>1</x:v>
      </x:c>
      <x:c r="H1437" s="7" t="str"/>
      <x:c r="I1437" s="7" t="str"/>
      <x:c r="J1437" s="7" t="str">
        <x:f>IF(OR(H1437="",I1437=""),"",I1437-H1437)</x:f>
      </x:c>
      <x:c r="K1437" s="7" t="str"/>
      <x:c r="L1437" s="7" t="str"/>
      <x:c r="M1437" s="7" t="str"/>
      <x:c r="N1437" s="7" t="str">
        <x:f>IF(M1437="","OPEN",IF(OR(NOT(ISNUMBER(H1437)),NOT(ISNUMBER(I1437)),K1437="",L1437=""),"FAIL","PASS"))</x:f>
        <x:v>OPEN</x:v>
      </x:c>
    </x:row>
    <x:row r="1438">
      <x:c r="B1438" s="7" t="str">
        <x:v>TRO-C-12-S4-O2-R2</x:v>
      </x:c>
      <x:c r="C1438" s="7" t="str">
        <x:v>BLD-C</x:v>
      </x:c>
      <x:c r="D1438" s="7" t="str">
        <x:v>MF-12</x:v>
      </x:c>
      <x:c r="E1438" s="7" t="str">
        <x:v>STD-12-4</x:v>
      </x:c>
      <x:c r="F1438" s="7" t="str">
        <x:v>OP-2</x:v>
      </x:c>
      <x:c r="G1438" s="7" t="n">
        <x:v>2</x:v>
      </x:c>
      <x:c r="H1438" s="7" t="str"/>
      <x:c r="I1438" s="7" t="str"/>
      <x:c r="J1438" s="7" t="str">
        <x:f>IF(OR(H1438="",I1438=""),"",I1438-H1438)</x:f>
      </x:c>
      <x:c r="K1438" s="7" t="str"/>
      <x:c r="L1438" s="7" t="str"/>
      <x:c r="M1438" s="7" t="str"/>
      <x:c r="N1438" s="7" t="str">
        <x:f>IF(M1438="","OPEN",IF(OR(NOT(ISNUMBER(H1438)),NOT(ISNUMBER(I1438)),K1438="",L1438=""),"FAIL","PASS"))</x:f>
        <x:v>OPEN</x:v>
      </x:c>
    </x:row>
    <x:row r="1439">
      <x:c r="B1439" s="7" t="str">
        <x:v>TRO-C-12-S5-O1-R1</x:v>
      </x:c>
      <x:c r="C1439" s="7" t="str">
        <x:v>BLD-C</x:v>
      </x:c>
      <x:c r="D1439" s="7" t="str">
        <x:v>MF-12</x:v>
      </x:c>
      <x:c r="E1439" s="7" t="str">
        <x:v>STD-12-5</x:v>
      </x:c>
      <x:c r="F1439" s="7" t="str">
        <x:v>OP-1</x:v>
      </x:c>
      <x:c r="G1439" s="7" t="n">
        <x:v>1</x:v>
      </x:c>
      <x:c r="H1439" s="7" t="str"/>
      <x:c r="I1439" s="7" t="str"/>
      <x:c r="J1439" s="7" t="str">
        <x:f>IF(OR(H1439="",I1439=""),"",I1439-H1439)</x:f>
      </x:c>
      <x:c r="K1439" s="7" t="str"/>
      <x:c r="L1439" s="7" t="str"/>
      <x:c r="M1439" s="7" t="str"/>
      <x:c r="N1439" s="7" t="str">
        <x:f>IF(M1439="","OPEN",IF(OR(NOT(ISNUMBER(H1439)),NOT(ISNUMBER(I1439)),K1439="",L1439=""),"FAIL","PASS"))</x:f>
        <x:v>OPEN</x:v>
      </x:c>
    </x:row>
    <x:row r="1440">
      <x:c r="B1440" s="7" t="str">
        <x:v>TRO-C-12-S5-O1-R2</x:v>
      </x:c>
      <x:c r="C1440" s="7" t="str">
        <x:v>BLD-C</x:v>
      </x:c>
      <x:c r="D1440" s="7" t="str">
        <x:v>MF-12</x:v>
      </x:c>
      <x:c r="E1440" s="7" t="str">
        <x:v>STD-12-5</x:v>
      </x:c>
      <x:c r="F1440" s="7" t="str">
        <x:v>OP-1</x:v>
      </x:c>
      <x:c r="G1440" s="7" t="n">
        <x:v>2</x:v>
      </x:c>
      <x:c r="H1440" s="7" t="str"/>
      <x:c r="I1440" s="7" t="str"/>
      <x:c r="J1440" s="7" t="str">
        <x:f>IF(OR(H1440="",I1440=""),"",I1440-H1440)</x:f>
      </x:c>
      <x:c r="K1440" s="7" t="str"/>
      <x:c r="L1440" s="7" t="str"/>
      <x:c r="M1440" s="7" t="str"/>
      <x:c r="N1440" s="7" t="str">
        <x:f>IF(M1440="","OPEN",IF(OR(NOT(ISNUMBER(H1440)),NOT(ISNUMBER(I1440)),K1440="",L1440=""),"FAIL","PASS"))</x:f>
        <x:v>OPEN</x:v>
      </x:c>
    </x:row>
    <x:row r="1441">
      <x:c r="B1441" s="7" t="str">
        <x:v>TRO-C-12-S5-O2-R1</x:v>
      </x:c>
      <x:c r="C1441" s="7" t="str">
        <x:v>BLD-C</x:v>
      </x:c>
      <x:c r="D1441" s="7" t="str">
        <x:v>MF-12</x:v>
      </x:c>
      <x:c r="E1441" s="7" t="str">
        <x:v>STD-12-5</x:v>
      </x:c>
      <x:c r="F1441" s="7" t="str">
        <x:v>OP-2</x:v>
      </x:c>
      <x:c r="G1441" s="7" t="n">
        <x:v>1</x:v>
      </x:c>
      <x:c r="H1441" s="7" t="str"/>
      <x:c r="I1441" s="7" t="str"/>
      <x:c r="J1441" s="7" t="str">
        <x:f>IF(OR(H1441="",I1441=""),"",I1441-H1441)</x:f>
      </x:c>
      <x:c r="K1441" s="7" t="str"/>
      <x:c r="L1441" s="7" t="str"/>
      <x:c r="M1441" s="7" t="str"/>
      <x:c r="N1441" s="7" t="str">
        <x:f>IF(M1441="","OPEN",IF(OR(NOT(ISNUMBER(H1441)),NOT(ISNUMBER(I1441)),K1441="",L1441=""),"FAIL","PASS"))</x:f>
        <x:v>OPEN</x:v>
      </x:c>
    </x:row>
    <x:row r="1442">
      <x:c r="B1442" s="7" t="str">
        <x:v>TRO-C-12-S5-O2-R2</x:v>
      </x:c>
      <x:c r="C1442" s="7" t="str">
        <x:v>BLD-C</x:v>
      </x:c>
      <x:c r="D1442" s="7" t="str">
        <x:v>MF-12</x:v>
      </x:c>
      <x:c r="E1442" s="7" t="str">
        <x:v>STD-12-5</x:v>
      </x:c>
      <x:c r="F1442" s="7" t="str">
        <x:v>OP-2</x:v>
      </x:c>
      <x:c r="G1442" s="7" t="n">
        <x:v>2</x:v>
      </x:c>
      <x:c r="H1442" s="7" t="str"/>
      <x:c r="I1442" s="7" t="str"/>
      <x:c r="J1442" s="7" t="str">
        <x:f>IF(OR(H1442="",I1442=""),"",I1442-H1442)</x:f>
      </x:c>
      <x:c r="K1442" s="7" t="str"/>
      <x:c r="L1442" s="7" t="str"/>
      <x:c r="M1442" s="7" t="str"/>
      <x:c r="N1442" s="7" t="str">
        <x:f>IF(M1442="","OPEN",IF(OR(NOT(ISNUMBER(H1442)),NOT(ISNUMBER(I1442)),K1442="",L1442=""),"FAIL","PASS"))</x:f>
        <x:v>OPEN</x:v>
      </x:c>
    </x:row>
    <x:row r="1443">
      <x:c r="B1443" s="7" t="str">
        <x:v>TRO-C-12-S6-O1-R1</x:v>
      </x:c>
      <x:c r="C1443" s="7" t="str">
        <x:v>BLD-C</x:v>
      </x:c>
      <x:c r="D1443" s="7" t="str">
        <x:v>MF-12</x:v>
      </x:c>
      <x:c r="E1443" s="7" t="str">
        <x:v>STD-12-6</x:v>
      </x:c>
      <x:c r="F1443" s="7" t="str">
        <x:v>OP-1</x:v>
      </x:c>
      <x:c r="G1443" s="7" t="n">
        <x:v>1</x:v>
      </x:c>
      <x:c r="H1443" s="7" t="str"/>
      <x:c r="I1443" s="7" t="str"/>
      <x:c r="J1443" s="7" t="str">
        <x:f>IF(OR(H1443="",I1443=""),"",I1443-H1443)</x:f>
      </x:c>
      <x:c r="K1443" s="7" t="str"/>
      <x:c r="L1443" s="7" t="str"/>
      <x:c r="M1443" s="7" t="str"/>
      <x:c r="N1443" s="7" t="str">
        <x:f>IF(M1443="","OPEN",IF(OR(NOT(ISNUMBER(H1443)),NOT(ISNUMBER(I1443)),K1443="",L1443=""),"FAIL","PASS"))</x:f>
        <x:v>OPEN</x:v>
      </x:c>
    </x:row>
    <x:row r="1444">
      <x:c r="B1444" s="7" t="str">
        <x:v>TRO-C-12-S6-O1-R2</x:v>
      </x:c>
      <x:c r="C1444" s="7" t="str">
        <x:v>BLD-C</x:v>
      </x:c>
      <x:c r="D1444" s="7" t="str">
        <x:v>MF-12</x:v>
      </x:c>
      <x:c r="E1444" s="7" t="str">
        <x:v>STD-12-6</x:v>
      </x:c>
      <x:c r="F1444" s="7" t="str">
        <x:v>OP-1</x:v>
      </x:c>
      <x:c r="G1444" s="7" t="n">
        <x:v>2</x:v>
      </x:c>
      <x:c r="H1444" s="7" t="str"/>
      <x:c r="I1444" s="7" t="str"/>
      <x:c r="J1444" s="7" t="str">
        <x:f>IF(OR(H1444="",I1444=""),"",I1444-H1444)</x:f>
      </x:c>
      <x:c r="K1444" s="7" t="str"/>
      <x:c r="L1444" s="7" t="str"/>
      <x:c r="M1444" s="7" t="str"/>
      <x:c r="N1444" s="7" t="str">
        <x:f>IF(M1444="","OPEN",IF(OR(NOT(ISNUMBER(H1444)),NOT(ISNUMBER(I1444)),K1444="",L1444=""),"FAIL","PASS"))</x:f>
        <x:v>OPEN</x:v>
      </x:c>
    </x:row>
    <x:row r="1445">
      <x:c r="B1445" s="7" t="str">
        <x:v>TRO-C-12-S6-O2-R1</x:v>
      </x:c>
      <x:c r="C1445" s="7" t="str">
        <x:v>BLD-C</x:v>
      </x:c>
      <x:c r="D1445" s="7" t="str">
        <x:v>MF-12</x:v>
      </x:c>
      <x:c r="E1445" s="7" t="str">
        <x:v>STD-12-6</x:v>
      </x:c>
      <x:c r="F1445" s="7" t="str">
        <x:v>OP-2</x:v>
      </x:c>
      <x:c r="G1445" s="7" t="n">
        <x:v>1</x:v>
      </x:c>
      <x:c r="H1445" s="7" t="str"/>
      <x:c r="I1445" s="7" t="str"/>
      <x:c r="J1445" s="7" t="str">
        <x:f>IF(OR(H1445="",I1445=""),"",I1445-H1445)</x:f>
      </x:c>
      <x:c r="K1445" s="7" t="str"/>
      <x:c r="L1445" s="7" t="str"/>
      <x:c r="M1445" s="7" t="str"/>
      <x:c r="N1445" s="7" t="str">
        <x:f>IF(M1445="","OPEN",IF(OR(NOT(ISNUMBER(H1445)),NOT(ISNUMBER(I1445)),K1445="",L1445=""),"FAIL","PASS"))</x:f>
        <x:v>OPEN</x:v>
      </x:c>
    </x:row>
    <x:row r="1446">
      <x:c r="B1446" s="7" t="str">
        <x:v>TRO-C-12-S6-O2-R2</x:v>
      </x:c>
      <x:c r="C1446" s="7" t="str">
        <x:v>BLD-C</x:v>
      </x:c>
      <x:c r="D1446" s="7" t="str">
        <x:v>MF-12</x:v>
      </x:c>
      <x:c r="E1446" s="7" t="str">
        <x:v>STD-12-6</x:v>
      </x:c>
      <x:c r="F1446" s="7" t="str">
        <x:v>OP-2</x:v>
      </x:c>
      <x:c r="G1446" s="7" t="n">
        <x:v>2</x:v>
      </x:c>
      <x:c r="H1446" s="7" t="str"/>
      <x:c r="I1446" s="7" t="str"/>
      <x:c r="J1446" s="7" t="str">
        <x:f>IF(OR(H1446="",I1446=""),"",I1446-H1446)</x:f>
      </x:c>
      <x:c r="K1446" s="7" t="str"/>
      <x:c r="L1446" s="7" t="str"/>
      <x:c r="M1446" s="7" t="str"/>
      <x:c r="N1446" s="7" t="str">
        <x:f>IF(M1446="","OPEN",IF(OR(NOT(ISNUMBER(H1446)),NOT(ISNUMBER(I1446)),K1446="",L1446=""),"FAIL","PASS"))</x:f>
        <x:v>OPEN</x:v>
      </x:c>
    </x:row>
    <x:row r="1447">
      <x:c r="B1447" s="7" t="str">
        <x:v>TRO-C-13-S1-O1-R1</x:v>
      </x:c>
      <x:c r="C1447" s="7" t="str">
        <x:v>BLD-C</x:v>
      </x:c>
      <x:c r="D1447" s="7" t="str">
        <x:v>MF-13</x:v>
      </x:c>
      <x:c r="E1447" s="7" t="str">
        <x:v>STD-13-1</x:v>
      </x:c>
      <x:c r="F1447" s="7" t="str">
        <x:v>OP-1</x:v>
      </x:c>
      <x:c r="G1447" s="7" t="n">
        <x:v>1</x:v>
      </x:c>
      <x:c r="H1447" s="7" t="str"/>
      <x:c r="I1447" s="7" t="str"/>
      <x:c r="J1447" s="7" t="str">
        <x:f>IF(OR(H1447="",I1447=""),"",I1447-H1447)</x:f>
      </x:c>
      <x:c r="K1447" s="7" t="str"/>
      <x:c r="L1447" s="7" t="str"/>
      <x:c r="M1447" s="7" t="str"/>
      <x:c r="N1447" s="7" t="str">
        <x:f>IF(M1447="","OPEN",IF(OR(NOT(ISNUMBER(H1447)),NOT(ISNUMBER(I1447)),K1447="",L1447=""),"FAIL","PASS"))</x:f>
        <x:v>OPEN</x:v>
      </x:c>
    </x:row>
    <x:row r="1448">
      <x:c r="B1448" s="7" t="str">
        <x:v>TRO-C-13-S1-O1-R2</x:v>
      </x:c>
      <x:c r="C1448" s="7" t="str">
        <x:v>BLD-C</x:v>
      </x:c>
      <x:c r="D1448" s="7" t="str">
        <x:v>MF-13</x:v>
      </x:c>
      <x:c r="E1448" s="7" t="str">
        <x:v>STD-13-1</x:v>
      </x:c>
      <x:c r="F1448" s="7" t="str">
        <x:v>OP-1</x:v>
      </x:c>
      <x:c r="G1448" s="7" t="n">
        <x:v>2</x:v>
      </x:c>
      <x:c r="H1448" s="7" t="str"/>
      <x:c r="I1448" s="7" t="str"/>
      <x:c r="J1448" s="7" t="str">
        <x:f>IF(OR(H1448="",I1448=""),"",I1448-H1448)</x:f>
      </x:c>
      <x:c r="K1448" s="7" t="str"/>
      <x:c r="L1448" s="7" t="str"/>
      <x:c r="M1448" s="7" t="str"/>
      <x:c r="N1448" s="7" t="str">
        <x:f>IF(M1448="","OPEN",IF(OR(NOT(ISNUMBER(H1448)),NOT(ISNUMBER(I1448)),K1448="",L1448=""),"FAIL","PASS"))</x:f>
        <x:v>OPEN</x:v>
      </x:c>
    </x:row>
    <x:row r="1449">
      <x:c r="B1449" s="7" t="str">
        <x:v>TRO-C-13-S1-O2-R1</x:v>
      </x:c>
      <x:c r="C1449" s="7" t="str">
        <x:v>BLD-C</x:v>
      </x:c>
      <x:c r="D1449" s="7" t="str">
        <x:v>MF-13</x:v>
      </x:c>
      <x:c r="E1449" s="7" t="str">
        <x:v>STD-13-1</x:v>
      </x:c>
      <x:c r="F1449" s="7" t="str">
        <x:v>OP-2</x:v>
      </x:c>
      <x:c r="G1449" s="7" t="n">
        <x:v>1</x:v>
      </x:c>
      <x:c r="H1449" s="7" t="str"/>
      <x:c r="I1449" s="7" t="str"/>
      <x:c r="J1449" s="7" t="str">
        <x:f>IF(OR(H1449="",I1449=""),"",I1449-H1449)</x:f>
      </x:c>
      <x:c r="K1449" s="7" t="str"/>
      <x:c r="L1449" s="7" t="str"/>
      <x:c r="M1449" s="7" t="str"/>
      <x:c r="N1449" s="7" t="str">
        <x:f>IF(M1449="","OPEN",IF(OR(NOT(ISNUMBER(H1449)),NOT(ISNUMBER(I1449)),K1449="",L1449=""),"FAIL","PASS"))</x:f>
        <x:v>OPEN</x:v>
      </x:c>
    </x:row>
    <x:row r="1450">
      <x:c r="B1450" s="7" t="str">
        <x:v>TRO-C-13-S1-O2-R2</x:v>
      </x:c>
      <x:c r="C1450" s="7" t="str">
        <x:v>BLD-C</x:v>
      </x:c>
      <x:c r="D1450" s="7" t="str">
        <x:v>MF-13</x:v>
      </x:c>
      <x:c r="E1450" s="7" t="str">
        <x:v>STD-13-1</x:v>
      </x:c>
      <x:c r="F1450" s="7" t="str">
        <x:v>OP-2</x:v>
      </x:c>
      <x:c r="G1450" s="7" t="n">
        <x:v>2</x:v>
      </x:c>
      <x:c r="H1450" s="7" t="str"/>
      <x:c r="I1450" s="7" t="str"/>
      <x:c r="J1450" s="7" t="str">
        <x:f>IF(OR(H1450="",I1450=""),"",I1450-H1450)</x:f>
      </x:c>
      <x:c r="K1450" s="7" t="str"/>
      <x:c r="L1450" s="7" t="str"/>
      <x:c r="M1450" s="7" t="str"/>
      <x:c r="N1450" s="7" t="str">
        <x:f>IF(M1450="","OPEN",IF(OR(NOT(ISNUMBER(H1450)),NOT(ISNUMBER(I1450)),K1450="",L1450=""),"FAIL","PASS"))</x:f>
        <x:v>OPEN</x:v>
      </x:c>
    </x:row>
    <x:row r="1451">
      <x:c r="B1451" s="7" t="str">
        <x:v>TRO-C-13-S2-O1-R1</x:v>
      </x:c>
      <x:c r="C1451" s="7" t="str">
        <x:v>BLD-C</x:v>
      </x:c>
      <x:c r="D1451" s="7" t="str">
        <x:v>MF-13</x:v>
      </x:c>
      <x:c r="E1451" s="7" t="str">
        <x:v>STD-13-2</x:v>
      </x:c>
      <x:c r="F1451" s="7" t="str">
        <x:v>OP-1</x:v>
      </x:c>
      <x:c r="G1451" s="7" t="n">
        <x:v>1</x:v>
      </x:c>
      <x:c r="H1451" s="7" t="str"/>
      <x:c r="I1451" s="7" t="str"/>
      <x:c r="J1451" s="7" t="str">
        <x:f>IF(OR(H1451="",I1451=""),"",I1451-H1451)</x:f>
      </x:c>
      <x:c r="K1451" s="7" t="str"/>
      <x:c r="L1451" s="7" t="str"/>
      <x:c r="M1451" s="7" t="str"/>
      <x:c r="N1451" s="7" t="str">
        <x:f>IF(M1451="","OPEN",IF(OR(NOT(ISNUMBER(H1451)),NOT(ISNUMBER(I1451)),K1451="",L1451=""),"FAIL","PASS"))</x:f>
        <x:v>OPEN</x:v>
      </x:c>
    </x:row>
    <x:row r="1452">
      <x:c r="B1452" s="7" t="str">
        <x:v>TRO-C-13-S2-O1-R2</x:v>
      </x:c>
      <x:c r="C1452" s="7" t="str">
        <x:v>BLD-C</x:v>
      </x:c>
      <x:c r="D1452" s="7" t="str">
        <x:v>MF-13</x:v>
      </x:c>
      <x:c r="E1452" s="7" t="str">
        <x:v>STD-13-2</x:v>
      </x:c>
      <x:c r="F1452" s="7" t="str">
        <x:v>OP-1</x:v>
      </x:c>
      <x:c r="G1452" s="7" t="n">
        <x:v>2</x:v>
      </x:c>
      <x:c r="H1452" s="7" t="str"/>
      <x:c r="I1452" s="7" t="str"/>
      <x:c r="J1452" s="7" t="str">
        <x:f>IF(OR(H1452="",I1452=""),"",I1452-H1452)</x:f>
      </x:c>
      <x:c r="K1452" s="7" t="str"/>
      <x:c r="L1452" s="7" t="str"/>
      <x:c r="M1452" s="7" t="str"/>
      <x:c r="N1452" s="7" t="str">
        <x:f>IF(M1452="","OPEN",IF(OR(NOT(ISNUMBER(H1452)),NOT(ISNUMBER(I1452)),K1452="",L1452=""),"FAIL","PASS"))</x:f>
        <x:v>OPEN</x:v>
      </x:c>
    </x:row>
    <x:row r="1453">
      <x:c r="B1453" s="7" t="str">
        <x:v>TRO-C-13-S2-O2-R1</x:v>
      </x:c>
      <x:c r="C1453" s="7" t="str">
        <x:v>BLD-C</x:v>
      </x:c>
      <x:c r="D1453" s="7" t="str">
        <x:v>MF-13</x:v>
      </x:c>
      <x:c r="E1453" s="7" t="str">
        <x:v>STD-13-2</x:v>
      </x:c>
      <x:c r="F1453" s="7" t="str">
        <x:v>OP-2</x:v>
      </x:c>
      <x:c r="G1453" s="7" t="n">
        <x:v>1</x:v>
      </x:c>
      <x:c r="H1453" s="7" t="str"/>
      <x:c r="I1453" s="7" t="str"/>
      <x:c r="J1453" s="7" t="str">
        <x:f>IF(OR(H1453="",I1453=""),"",I1453-H1453)</x:f>
      </x:c>
      <x:c r="K1453" s="7" t="str"/>
      <x:c r="L1453" s="7" t="str"/>
      <x:c r="M1453" s="7" t="str"/>
      <x:c r="N1453" s="7" t="str">
        <x:f>IF(M1453="","OPEN",IF(OR(NOT(ISNUMBER(H1453)),NOT(ISNUMBER(I1453)),K1453="",L1453=""),"FAIL","PASS"))</x:f>
        <x:v>OPEN</x:v>
      </x:c>
    </x:row>
    <x:row r="1454">
      <x:c r="B1454" s="7" t="str">
        <x:v>TRO-C-13-S2-O2-R2</x:v>
      </x:c>
      <x:c r="C1454" s="7" t="str">
        <x:v>BLD-C</x:v>
      </x:c>
      <x:c r="D1454" s="7" t="str">
        <x:v>MF-13</x:v>
      </x:c>
      <x:c r="E1454" s="7" t="str">
        <x:v>STD-13-2</x:v>
      </x:c>
      <x:c r="F1454" s="7" t="str">
        <x:v>OP-2</x:v>
      </x:c>
      <x:c r="G1454" s="7" t="n">
        <x:v>2</x:v>
      </x:c>
      <x:c r="H1454" s="7" t="str"/>
      <x:c r="I1454" s="7" t="str"/>
      <x:c r="J1454" s="7" t="str">
        <x:f>IF(OR(H1454="",I1454=""),"",I1454-H1454)</x:f>
      </x:c>
      <x:c r="K1454" s="7" t="str"/>
      <x:c r="L1454" s="7" t="str"/>
      <x:c r="M1454" s="7" t="str"/>
      <x:c r="N1454" s="7" t="str">
        <x:f>IF(M1454="","OPEN",IF(OR(NOT(ISNUMBER(H1454)),NOT(ISNUMBER(I1454)),K1454="",L1454=""),"FAIL","PASS"))</x:f>
        <x:v>OPEN</x:v>
      </x:c>
    </x:row>
    <x:row r="1455">
      <x:c r="B1455" s="7" t="str">
        <x:v>TRO-C-13-S3-O1-R1</x:v>
      </x:c>
      <x:c r="C1455" s="7" t="str">
        <x:v>BLD-C</x:v>
      </x:c>
      <x:c r="D1455" s="7" t="str">
        <x:v>MF-13</x:v>
      </x:c>
      <x:c r="E1455" s="7" t="str">
        <x:v>STD-13-3</x:v>
      </x:c>
      <x:c r="F1455" s="7" t="str">
        <x:v>OP-1</x:v>
      </x:c>
      <x:c r="G1455" s="7" t="n">
        <x:v>1</x:v>
      </x:c>
      <x:c r="H1455" s="7" t="str"/>
      <x:c r="I1455" s="7" t="str"/>
      <x:c r="J1455" s="7" t="str">
        <x:f>IF(OR(H1455="",I1455=""),"",I1455-H1455)</x:f>
      </x:c>
      <x:c r="K1455" s="7" t="str"/>
      <x:c r="L1455" s="7" t="str"/>
      <x:c r="M1455" s="7" t="str"/>
      <x:c r="N1455" s="7" t="str">
        <x:f>IF(M1455="","OPEN",IF(OR(NOT(ISNUMBER(H1455)),NOT(ISNUMBER(I1455)),K1455="",L1455=""),"FAIL","PASS"))</x:f>
        <x:v>OPEN</x:v>
      </x:c>
    </x:row>
    <x:row r="1456">
      <x:c r="B1456" s="7" t="str">
        <x:v>TRO-C-13-S3-O1-R2</x:v>
      </x:c>
      <x:c r="C1456" s="7" t="str">
        <x:v>BLD-C</x:v>
      </x:c>
      <x:c r="D1456" s="7" t="str">
        <x:v>MF-13</x:v>
      </x:c>
      <x:c r="E1456" s="7" t="str">
        <x:v>STD-13-3</x:v>
      </x:c>
      <x:c r="F1456" s="7" t="str">
        <x:v>OP-1</x:v>
      </x:c>
      <x:c r="G1456" s="7" t="n">
        <x:v>2</x:v>
      </x:c>
      <x:c r="H1456" s="7" t="str"/>
      <x:c r="I1456" s="7" t="str"/>
      <x:c r="J1456" s="7" t="str">
        <x:f>IF(OR(H1456="",I1456=""),"",I1456-H1456)</x:f>
      </x:c>
      <x:c r="K1456" s="7" t="str"/>
      <x:c r="L1456" s="7" t="str"/>
      <x:c r="M1456" s="7" t="str"/>
      <x:c r="N1456" s="7" t="str">
        <x:f>IF(M1456="","OPEN",IF(OR(NOT(ISNUMBER(H1456)),NOT(ISNUMBER(I1456)),K1456="",L1456=""),"FAIL","PASS"))</x:f>
        <x:v>OPEN</x:v>
      </x:c>
    </x:row>
    <x:row r="1457">
      <x:c r="B1457" s="7" t="str">
        <x:v>TRO-C-13-S3-O2-R1</x:v>
      </x:c>
      <x:c r="C1457" s="7" t="str">
        <x:v>BLD-C</x:v>
      </x:c>
      <x:c r="D1457" s="7" t="str">
        <x:v>MF-13</x:v>
      </x:c>
      <x:c r="E1457" s="7" t="str">
        <x:v>STD-13-3</x:v>
      </x:c>
      <x:c r="F1457" s="7" t="str">
        <x:v>OP-2</x:v>
      </x:c>
      <x:c r="G1457" s="7" t="n">
        <x:v>1</x:v>
      </x:c>
      <x:c r="H1457" s="7" t="str"/>
      <x:c r="I1457" s="7" t="str"/>
      <x:c r="J1457" s="7" t="str">
        <x:f>IF(OR(H1457="",I1457=""),"",I1457-H1457)</x:f>
      </x:c>
      <x:c r="K1457" s="7" t="str"/>
      <x:c r="L1457" s="7" t="str"/>
      <x:c r="M1457" s="7" t="str"/>
      <x:c r="N1457" s="7" t="str">
        <x:f>IF(M1457="","OPEN",IF(OR(NOT(ISNUMBER(H1457)),NOT(ISNUMBER(I1457)),K1457="",L1457=""),"FAIL","PASS"))</x:f>
        <x:v>OPEN</x:v>
      </x:c>
    </x:row>
    <x:row r="1458">
      <x:c r="B1458" s="7" t="str">
        <x:v>TRO-C-13-S3-O2-R2</x:v>
      </x:c>
      <x:c r="C1458" s="7" t="str">
        <x:v>BLD-C</x:v>
      </x:c>
      <x:c r="D1458" s="7" t="str">
        <x:v>MF-13</x:v>
      </x:c>
      <x:c r="E1458" s="7" t="str">
        <x:v>STD-13-3</x:v>
      </x:c>
      <x:c r="F1458" s="7" t="str">
        <x:v>OP-2</x:v>
      </x:c>
      <x:c r="G1458" s="7" t="n">
        <x:v>2</x:v>
      </x:c>
      <x:c r="H1458" s="7" t="str"/>
      <x:c r="I1458" s="7" t="str"/>
      <x:c r="J1458" s="7" t="str">
        <x:f>IF(OR(H1458="",I1458=""),"",I1458-H1458)</x:f>
      </x:c>
      <x:c r="K1458" s="7" t="str"/>
      <x:c r="L1458" s="7" t="str"/>
      <x:c r="M1458" s="7" t="str"/>
      <x:c r="N1458" s="7" t="str">
        <x:f>IF(M1458="","OPEN",IF(OR(NOT(ISNUMBER(H1458)),NOT(ISNUMBER(I1458)),K1458="",L1458=""),"FAIL","PASS"))</x:f>
        <x:v>OPEN</x:v>
      </x:c>
    </x:row>
    <x:row r="1459">
      <x:c r="B1459" s="7" t="str">
        <x:v>TRO-C-13-S4-O1-R1</x:v>
      </x:c>
      <x:c r="C1459" s="7" t="str">
        <x:v>BLD-C</x:v>
      </x:c>
      <x:c r="D1459" s="7" t="str">
        <x:v>MF-13</x:v>
      </x:c>
      <x:c r="E1459" s="7" t="str">
        <x:v>STD-13-4</x:v>
      </x:c>
      <x:c r="F1459" s="7" t="str">
        <x:v>OP-1</x:v>
      </x:c>
      <x:c r="G1459" s="7" t="n">
        <x:v>1</x:v>
      </x:c>
      <x:c r="H1459" s="7" t="str"/>
      <x:c r="I1459" s="7" t="str"/>
      <x:c r="J1459" s="7" t="str">
        <x:f>IF(OR(H1459="",I1459=""),"",I1459-H1459)</x:f>
      </x:c>
      <x:c r="K1459" s="7" t="str"/>
      <x:c r="L1459" s="7" t="str"/>
      <x:c r="M1459" s="7" t="str"/>
      <x:c r="N1459" s="7" t="str">
        <x:f>IF(M1459="","OPEN",IF(OR(NOT(ISNUMBER(H1459)),NOT(ISNUMBER(I1459)),K1459="",L1459=""),"FAIL","PASS"))</x:f>
        <x:v>OPEN</x:v>
      </x:c>
    </x:row>
    <x:row r="1460">
      <x:c r="B1460" s="7" t="str">
        <x:v>TRO-C-13-S4-O1-R2</x:v>
      </x:c>
      <x:c r="C1460" s="7" t="str">
        <x:v>BLD-C</x:v>
      </x:c>
      <x:c r="D1460" s="7" t="str">
        <x:v>MF-13</x:v>
      </x:c>
      <x:c r="E1460" s="7" t="str">
        <x:v>STD-13-4</x:v>
      </x:c>
      <x:c r="F1460" s="7" t="str">
        <x:v>OP-1</x:v>
      </x:c>
      <x:c r="G1460" s="7" t="n">
        <x:v>2</x:v>
      </x:c>
      <x:c r="H1460" s="7" t="str"/>
      <x:c r="I1460" s="7" t="str"/>
      <x:c r="J1460" s="7" t="str">
        <x:f>IF(OR(H1460="",I1460=""),"",I1460-H1460)</x:f>
      </x:c>
      <x:c r="K1460" s="7" t="str"/>
      <x:c r="L1460" s="7" t="str"/>
      <x:c r="M1460" s="7" t="str"/>
      <x:c r="N1460" s="7" t="str">
        <x:f>IF(M1460="","OPEN",IF(OR(NOT(ISNUMBER(H1460)),NOT(ISNUMBER(I1460)),K1460="",L1460=""),"FAIL","PASS"))</x:f>
        <x:v>OPEN</x:v>
      </x:c>
    </x:row>
    <x:row r="1461">
      <x:c r="B1461" s="7" t="str">
        <x:v>TRO-C-13-S4-O2-R1</x:v>
      </x:c>
      <x:c r="C1461" s="7" t="str">
        <x:v>BLD-C</x:v>
      </x:c>
      <x:c r="D1461" s="7" t="str">
        <x:v>MF-13</x:v>
      </x:c>
      <x:c r="E1461" s="7" t="str">
        <x:v>STD-13-4</x:v>
      </x:c>
      <x:c r="F1461" s="7" t="str">
        <x:v>OP-2</x:v>
      </x:c>
      <x:c r="G1461" s="7" t="n">
        <x:v>1</x:v>
      </x:c>
      <x:c r="H1461" s="7" t="str"/>
      <x:c r="I1461" s="7" t="str"/>
      <x:c r="J1461" s="7" t="str">
        <x:f>IF(OR(H1461="",I1461=""),"",I1461-H1461)</x:f>
      </x:c>
      <x:c r="K1461" s="7" t="str"/>
      <x:c r="L1461" s="7" t="str"/>
      <x:c r="M1461" s="7" t="str"/>
      <x:c r="N1461" s="7" t="str">
        <x:f>IF(M1461="","OPEN",IF(OR(NOT(ISNUMBER(H1461)),NOT(ISNUMBER(I1461)),K1461="",L1461=""),"FAIL","PASS"))</x:f>
        <x:v>OPEN</x:v>
      </x:c>
    </x:row>
    <x:row r="1462">
      <x:c r="B1462" s="7" t="str">
        <x:v>TRO-C-13-S4-O2-R2</x:v>
      </x:c>
      <x:c r="C1462" s="7" t="str">
        <x:v>BLD-C</x:v>
      </x:c>
      <x:c r="D1462" s="7" t="str">
        <x:v>MF-13</x:v>
      </x:c>
      <x:c r="E1462" s="7" t="str">
        <x:v>STD-13-4</x:v>
      </x:c>
      <x:c r="F1462" s="7" t="str">
        <x:v>OP-2</x:v>
      </x:c>
      <x:c r="G1462" s="7" t="n">
        <x:v>2</x:v>
      </x:c>
      <x:c r="H1462" s="7" t="str"/>
      <x:c r="I1462" s="7" t="str"/>
      <x:c r="J1462" s="7" t="str">
        <x:f>IF(OR(H1462="",I1462=""),"",I1462-H1462)</x:f>
      </x:c>
      <x:c r="K1462" s="7" t="str"/>
      <x:c r="L1462" s="7" t="str"/>
      <x:c r="M1462" s="7" t="str"/>
      <x:c r="N1462" s="7" t="str">
        <x:f>IF(M1462="","OPEN",IF(OR(NOT(ISNUMBER(H1462)),NOT(ISNUMBER(I1462)),K1462="",L1462=""),"FAIL","PASS"))</x:f>
        <x:v>OPEN</x:v>
      </x:c>
    </x:row>
    <x:row r="1463">
      <x:c r="B1463" s="7" t="str">
        <x:v>TRO-C-13-S5-O1-R1</x:v>
      </x:c>
      <x:c r="C1463" s="7" t="str">
        <x:v>BLD-C</x:v>
      </x:c>
      <x:c r="D1463" s="7" t="str">
        <x:v>MF-13</x:v>
      </x:c>
      <x:c r="E1463" s="7" t="str">
        <x:v>STD-13-5</x:v>
      </x:c>
      <x:c r="F1463" s="7" t="str">
        <x:v>OP-1</x:v>
      </x:c>
      <x:c r="G1463" s="7" t="n">
        <x:v>1</x:v>
      </x:c>
      <x:c r="H1463" s="7" t="str"/>
      <x:c r="I1463" s="7" t="str"/>
      <x:c r="J1463" s="7" t="str">
        <x:f>IF(OR(H1463="",I1463=""),"",I1463-H1463)</x:f>
      </x:c>
      <x:c r="K1463" s="7" t="str"/>
      <x:c r="L1463" s="7" t="str"/>
      <x:c r="M1463" s="7" t="str"/>
      <x:c r="N1463" s="7" t="str">
        <x:f>IF(M1463="","OPEN",IF(OR(NOT(ISNUMBER(H1463)),NOT(ISNUMBER(I1463)),K1463="",L1463=""),"FAIL","PASS"))</x:f>
        <x:v>OPEN</x:v>
      </x:c>
    </x:row>
    <x:row r="1464">
      <x:c r="B1464" s="7" t="str">
        <x:v>TRO-C-13-S5-O1-R2</x:v>
      </x:c>
      <x:c r="C1464" s="7" t="str">
        <x:v>BLD-C</x:v>
      </x:c>
      <x:c r="D1464" s="7" t="str">
        <x:v>MF-13</x:v>
      </x:c>
      <x:c r="E1464" s="7" t="str">
        <x:v>STD-13-5</x:v>
      </x:c>
      <x:c r="F1464" s="7" t="str">
        <x:v>OP-1</x:v>
      </x:c>
      <x:c r="G1464" s="7" t="n">
        <x:v>2</x:v>
      </x:c>
      <x:c r="H1464" s="7" t="str"/>
      <x:c r="I1464" s="7" t="str"/>
      <x:c r="J1464" s="7" t="str">
        <x:f>IF(OR(H1464="",I1464=""),"",I1464-H1464)</x:f>
      </x:c>
      <x:c r="K1464" s="7" t="str"/>
      <x:c r="L1464" s="7" t="str"/>
      <x:c r="M1464" s="7" t="str"/>
      <x:c r="N1464" s="7" t="str">
        <x:f>IF(M1464="","OPEN",IF(OR(NOT(ISNUMBER(H1464)),NOT(ISNUMBER(I1464)),K1464="",L1464=""),"FAIL","PASS"))</x:f>
        <x:v>OPEN</x:v>
      </x:c>
    </x:row>
    <x:row r="1465">
      <x:c r="B1465" s="7" t="str">
        <x:v>TRO-C-13-S5-O2-R1</x:v>
      </x:c>
      <x:c r="C1465" s="7" t="str">
        <x:v>BLD-C</x:v>
      </x:c>
      <x:c r="D1465" s="7" t="str">
        <x:v>MF-13</x:v>
      </x:c>
      <x:c r="E1465" s="7" t="str">
        <x:v>STD-13-5</x:v>
      </x:c>
      <x:c r="F1465" s="7" t="str">
        <x:v>OP-2</x:v>
      </x:c>
      <x:c r="G1465" s="7" t="n">
        <x:v>1</x:v>
      </x:c>
      <x:c r="H1465" s="7" t="str"/>
      <x:c r="I1465" s="7" t="str"/>
      <x:c r="J1465" s="7" t="str">
        <x:f>IF(OR(H1465="",I1465=""),"",I1465-H1465)</x:f>
      </x:c>
      <x:c r="K1465" s="7" t="str"/>
      <x:c r="L1465" s="7" t="str"/>
      <x:c r="M1465" s="7" t="str"/>
      <x:c r="N1465" s="7" t="str">
        <x:f>IF(M1465="","OPEN",IF(OR(NOT(ISNUMBER(H1465)),NOT(ISNUMBER(I1465)),K1465="",L1465=""),"FAIL","PASS"))</x:f>
        <x:v>OPEN</x:v>
      </x:c>
    </x:row>
    <x:row r="1466">
      <x:c r="B1466" s="7" t="str">
        <x:v>TRO-C-13-S5-O2-R2</x:v>
      </x:c>
      <x:c r="C1466" s="7" t="str">
        <x:v>BLD-C</x:v>
      </x:c>
      <x:c r="D1466" s="7" t="str">
        <x:v>MF-13</x:v>
      </x:c>
      <x:c r="E1466" s="7" t="str">
        <x:v>STD-13-5</x:v>
      </x:c>
      <x:c r="F1466" s="7" t="str">
        <x:v>OP-2</x:v>
      </x:c>
      <x:c r="G1466" s="7" t="n">
        <x:v>2</x:v>
      </x:c>
      <x:c r="H1466" s="7" t="str"/>
      <x:c r="I1466" s="7" t="str"/>
      <x:c r="J1466" s="7" t="str">
        <x:f>IF(OR(H1466="",I1466=""),"",I1466-H1466)</x:f>
      </x:c>
      <x:c r="K1466" s="7" t="str"/>
      <x:c r="L1466" s="7" t="str"/>
      <x:c r="M1466" s="7" t="str"/>
      <x:c r="N1466" s="7" t="str">
        <x:f>IF(M1466="","OPEN",IF(OR(NOT(ISNUMBER(H1466)),NOT(ISNUMBER(I1466)),K1466="",L1466=""),"FAIL","PASS"))</x:f>
        <x:v>OPEN</x:v>
      </x:c>
    </x:row>
    <x:row r="1467">
      <x:c r="B1467" s="7" t="str">
        <x:v>TRO-C-13-S6-O1-R1</x:v>
      </x:c>
      <x:c r="C1467" s="7" t="str">
        <x:v>BLD-C</x:v>
      </x:c>
      <x:c r="D1467" s="7" t="str">
        <x:v>MF-13</x:v>
      </x:c>
      <x:c r="E1467" s="7" t="str">
        <x:v>STD-13-6</x:v>
      </x:c>
      <x:c r="F1467" s="7" t="str">
        <x:v>OP-1</x:v>
      </x:c>
      <x:c r="G1467" s="7" t="n">
        <x:v>1</x:v>
      </x:c>
      <x:c r="H1467" s="7" t="str"/>
      <x:c r="I1467" s="7" t="str"/>
      <x:c r="J1467" s="7" t="str">
        <x:f>IF(OR(H1467="",I1467=""),"",I1467-H1467)</x:f>
      </x:c>
      <x:c r="K1467" s="7" t="str"/>
      <x:c r="L1467" s="7" t="str"/>
      <x:c r="M1467" s="7" t="str"/>
      <x:c r="N1467" s="7" t="str">
        <x:f>IF(M1467="","OPEN",IF(OR(NOT(ISNUMBER(H1467)),NOT(ISNUMBER(I1467)),K1467="",L1467=""),"FAIL","PASS"))</x:f>
        <x:v>OPEN</x:v>
      </x:c>
    </x:row>
    <x:row r="1468">
      <x:c r="B1468" s="7" t="str">
        <x:v>TRO-C-13-S6-O1-R2</x:v>
      </x:c>
      <x:c r="C1468" s="7" t="str">
        <x:v>BLD-C</x:v>
      </x:c>
      <x:c r="D1468" s="7" t="str">
        <x:v>MF-13</x:v>
      </x:c>
      <x:c r="E1468" s="7" t="str">
        <x:v>STD-13-6</x:v>
      </x:c>
      <x:c r="F1468" s="7" t="str">
        <x:v>OP-1</x:v>
      </x:c>
      <x:c r="G1468" s="7" t="n">
        <x:v>2</x:v>
      </x:c>
      <x:c r="H1468" s="7" t="str"/>
      <x:c r="I1468" s="7" t="str"/>
      <x:c r="J1468" s="7" t="str">
        <x:f>IF(OR(H1468="",I1468=""),"",I1468-H1468)</x:f>
      </x:c>
      <x:c r="K1468" s="7" t="str"/>
      <x:c r="L1468" s="7" t="str"/>
      <x:c r="M1468" s="7" t="str"/>
      <x:c r="N1468" s="7" t="str">
        <x:f>IF(M1468="","OPEN",IF(OR(NOT(ISNUMBER(H1468)),NOT(ISNUMBER(I1468)),K1468="",L1468=""),"FAIL","PASS"))</x:f>
        <x:v>OPEN</x:v>
      </x:c>
    </x:row>
    <x:row r="1469">
      <x:c r="B1469" s="7" t="str">
        <x:v>TRO-C-13-S6-O2-R1</x:v>
      </x:c>
      <x:c r="C1469" s="7" t="str">
        <x:v>BLD-C</x:v>
      </x:c>
      <x:c r="D1469" s="7" t="str">
        <x:v>MF-13</x:v>
      </x:c>
      <x:c r="E1469" s="7" t="str">
        <x:v>STD-13-6</x:v>
      </x:c>
      <x:c r="F1469" s="7" t="str">
        <x:v>OP-2</x:v>
      </x:c>
      <x:c r="G1469" s="7" t="n">
        <x:v>1</x:v>
      </x:c>
      <x:c r="H1469" s="7" t="str"/>
      <x:c r="I1469" s="7" t="str"/>
      <x:c r="J1469" s="7" t="str">
        <x:f>IF(OR(H1469="",I1469=""),"",I1469-H1469)</x:f>
      </x:c>
      <x:c r="K1469" s="7" t="str"/>
      <x:c r="L1469" s="7" t="str"/>
      <x:c r="M1469" s="7" t="str"/>
      <x:c r="N1469" s="7" t="str">
        <x:f>IF(M1469="","OPEN",IF(OR(NOT(ISNUMBER(H1469)),NOT(ISNUMBER(I1469)),K1469="",L1469=""),"FAIL","PASS"))</x:f>
        <x:v>OPEN</x:v>
      </x:c>
    </x:row>
    <x:row r="1470">
      <x:c r="B1470" s="7" t="str">
        <x:v>TRO-C-13-S6-O2-R2</x:v>
      </x:c>
      <x:c r="C1470" s="7" t="str">
        <x:v>BLD-C</x:v>
      </x:c>
      <x:c r="D1470" s="7" t="str">
        <x:v>MF-13</x:v>
      </x:c>
      <x:c r="E1470" s="7" t="str">
        <x:v>STD-13-6</x:v>
      </x:c>
      <x:c r="F1470" s="7" t="str">
        <x:v>OP-2</x:v>
      </x:c>
      <x:c r="G1470" s="7" t="n">
        <x:v>2</x:v>
      </x:c>
      <x:c r="H1470" s="7" t="str"/>
      <x:c r="I1470" s="7" t="str"/>
      <x:c r="J1470" s="7" t="str">
        <x:f>IF(OR(H1470="",I1470=""),"",I1470-H1470)</x:f>
      </x:c>
      <x:c r="K1470" s="7" t="str"/>
      <x:c r="L1470" s="7" t="str"/>
      <x:c r="M1470" s="7" t="str"/>
      <x:c r="N1470" s="7" t="str">
        <x:f>IF(M1470="","OPEN",IF(OR(NOT(ISNUMBER(H1470)),NOT(ISNUMBER(I1470)),K1470="",L1470=""),"FAIL","PASS"))</x:f>
        <x:v>OPEN</x:v>
      </x:c>
    </x:row>
    <x:row r="1471">
      <x:c r="B1471" s="7" t="str">
        <x:v>TRO-C-14-S1-O1-R1</x:v>
      </x:c>
      <x:c r="C1471" s="7" t="str">
        <x:v>BLD-C</x:v>
      </x:c>
      <x:c r="D1471" s="7" t="str">
        <x:v>MF-14</x:v>
      </x:c>
      <x:c r="E1471" s="7" t="str">
        <x:v>STD-14-1</x:v>
      </x:c>
      <x:c r="F1471" s="7" t="str">
        <x:v>OP-1</x:v>
      </x:c>
      <x:c r="G1471" s="7" t="n">
        <x:v>1</x:v>
      </x:c>
      <x:c r="H1471" s="7" t="str"/>
      <x:c r="I1471" s="7" t="str"/>
      <x:c r="J1471" s="7" t="str">
        <x:f>IF(OR(H1471="",I1471=""),"",I1471-H1471)</x:f>
      </x:c>
      <x:c r="K1471" s="7" t="str"/>
      <x:c r="L1471" s="7" t="str"/>
      <x:c r="M1471" s="7" t="str"/>
      <x:c r="N1471" s="7" t="str">
        <x:f>IF(M1471="","OPEN",IF(OR(NOT(ISNUMBER(H1471)),NOT(ISNUMBER(I1471)),K1471="",L1471=""),"FAIL","PASS"))</x:f>
        <x:v>OPEN</x:v>
      </x:c>
    </x:row>
    <x:row r="1472">
      <x:c r="B1472" s="7" t="str">
        <x:v>TRO-C-14-S1-O1-R2</x:v>
      </x:c>
      <x:c r="C1472" s="7" t="str">
        <x:v>BLD-C</x:v>
      </x:c>
      <x:c r="D1472" s="7" t="str">
        <x:v>MF-14</x:v>
      </x:c>
      <x:c r="E1472" s="7" t="str">
        <x:v>STD-14-1</x:v>
      </x:c>
      <x:c r="F1472" s="7" t="str">
        <x:v>OP-1</x:v>
      </x:c>
      <x:c r="G1472" s="7" t="n">
        <x:v>2</x:v>
      </x:c>
      <x:c r="H1472" s="7" t="str"/>
      <x:c r="I1472" s="7" t="str"/>
      <x:c r="J1472" s="7" t="str">
        <x:f>IF(OR(H1472="",I1472=""),"",I1472-H1472)</x:f>
      </x:c>
      <x:c r="K1472" s="7" t="str"/>
      <x:c r="L1472" s="7" t="str"/>
      <x:c r="M1472" s="7" t="str"/>
      <x:c r="N1472" s="7" t="str">
        <x:f>IF(M1472="","OPEN",IF(OR(NOT(ISNUMBER(H1472)),NOT(ISNUMBER(I1472)),K1472="",L1472=""),"FAIL","PASS"))</x:f>
        <x:v>OPEN</x:v>
      </x:c>
    </x:row>
    <x:row r="1473">
      <x:c r="B1473" s="7" t="str">
        <x:v>TRO-C-14-S1-O2-R1</x:v>
      </x:c>
      <x:c r="C1473" s="7" t="str">
        <x:v>BLD-C</x:v>
      </x:c>
      <x:c r="D1473" s="7" t="str">
        <x:v>MF-14</x:v>
      </x:c>
      <x:c r="E1473" s="7" t="str">
        <x:v>STD-14-1</x:v>
      </x:c>
      <x:c r="F1473" s="7" t="str">
        <x:v>OP-2</x:v>
      </x:c>
      <x:c r="G1473" s="7" t="n">
        <x:v>1</x:v>
      </x:c>
      <x:c r="H1473" s="7" t="str"/>
      <x:c r="I1473" s="7" t="str"/>
      <x:c r="J1473" s="7" t="str">
        <x:f>IF(OR(H1473="",I1473=""),"",I1473-H1473)</x:f>
      </x:c>
      <x:c r="K1473" s="7" t="str"/>
      <x:c r="L1473" s="7" t="str"/>
      <x:c r="M1473" s="7" t="str"/>
      <x:c r="N1473" s="7" t="str">
        <x:f>IF(M1473="","OPEN",IF(OR(NOT(ISNUMBER(H1473)),NOT(ISNUMBER(I1473)),K1473="",L1473=""),"FAIL","PASS"))</x:f>
        <x:v>OPEN</x:v>
      </x:c>
    </x:row>
    <x:row r="1474">
      <x:c r="B1474" s="7" t="str">
        <x:v>TRO-C-14-S1-O2-R2</x:v>
      </x:c>
      <x:c r="C1474" s="7" t="str">
        <x:v>BLD-C</x:v>
      </x:c>
      <x:c r="D1474" s="7" t="str">
        <x:v>MF-14</x:v>
      </x:c>
      <x:c r="E1474" s="7" t="str">
        <x:v>STD-14-1</x:v>
      </x:c>
      <x:c r="F1474" s="7" t="str">
        <x:v>OP-2</x:v>
      </x:c>
      <x:c r="G1474" s="7" t="n">
        <x:v>2</x:v>
      </x:c>
      <x:c r="H1474" s="7" t="str"/>
      <x:c r="I1474" s="7" t="str"/>
      <x:c r="J1474" s="7" t="str">
        <x:f>IF(OR(H1474="",I1474=""),"",I1474-H1474)</x:f>
      </x:c>
      <x:c r="K1474" s="7" t="str"/>
      <x:c r="L1474" s="7" t="str"/>
      <x:c r="M1474" s="7" t="str"/>
      <x:c r="N1474" s="7" t="str">
        <x:f>IF(M1474="","OPEN",IF(OR(NOT(ISNUMBER(H1474)),NOT(ISNUMBER(I1474)),K1474="",L1474=""),"FAIL","PASS"))</x:f>
        <x:v>OPEN</x:v>
      </x:c>
    </x:row>
    <x:row r="1475">
      <x:c r="B1475" s="7" t="str">
        <x:v>TRO-C-14-S2-O1-R1</x:v>
      </x:c>
      <x:c r="C1475" s="7" t="str">
        <x:v>BLD-C</x:v>
      </x:c>
      <x:c r="D1475" s="7" t="str">
        <x:v>MF-14</x:v>
      </x:c>
      <x:c r="E1475" s="7" t="str">
        <x:v>STD-14-2</x:v>
      </x:c>
      <x:c r="F1475" s="7" t="str">
        <x:v>OP-1</x:v>
      </x:c>
      <x:c r="G1475" s="7" t="n">
        <x:v>1</x:v>
      </x:c>
      <x:c r="H1475" s="7" t="str"/>
      <x:c r="I1475" s="7" t="str"/>
      <x:c r="J1475" s="7" t="str">
        <x:f>IF(OR(H1475="",I1475=""),"",I1475-H1475)</x:f>
      </x:c>
      <x:c r="K1475" s="7" t="str"/>
      <x:c r="L1475" s="7" t="str"/>
      <x:c r="M1475" s="7" t="str"/>
      <x:c r="N1475" s="7" t="str">
        <x:f>IF(M1475="","OPEN",IF(OR(NOT(ISNUMBER(H1475)),NOT(ISNUMBER(I1475)),K1475="",L1475=""),"FAIL","PASS"))</x:f>
        <x:v>OPEN</x:v>
      </x:c>
    </x:row>
    <x:row r="1476">
      <x:c r="B1476" s="7" t="str">
        <x:v>TRO-C-14-S2-O1-R2</x:v>
      </x:c>
      <x:c r="C1476" s="7" t="str">
        <x:v>BLD-C</x:v>
      </x:c>
      <x:c r="D1476" s="7" t="str">
        <x:v>MF-14</x:v>
      </x:c>
      <x:c r="E1476" s="7" t="str">
        <x:v>STD-14-2</x:v>
      </x:c>
      <x:c r="F1476" s="7" t="str">
        <x:v>OP-1</x:v>
      </x:c>
      <x:c r="G1476" s="7" t="n">
        <x:v>2</x:v>
      </x:c>
      <x:c r="H1476" s="7" t="str"/>
      <x:c r="I1476" s="7" t="str"/>
      <x:c r="J1476" s="7" t="str">
        <x:f>IF(OR(H1476="",I1476=""),"",I1476-H1476)</x:f>
      </x:c>
      <x:c r="K1476" s="7" t="str"/>
      <x:c r="L1476" s="7" t="str"/>
      <x:c r="M1476" s="7" t="str"/>
      <x:c r="N1476" s="7" t="str">
        <x:f>IF(M1476="","OPEN",IF(OR(NOT(ISNUMBER(H1476)),NOT(ISNUMBER(I1476)),K1476="",L1476=""),"FAIL","PASS"))</x:f>
        <x:v>OPEN</x:v>
      </x:c>
    </x:row>
    <x:row r="1477">
      <x:c r="B1477" s="7" t="str">
        <x:v>TRO-C-14-S2-O2-R1</x:v>
      </x:c>
      <x:c r="C1477" s="7" t="str">
        <x:v>BLD-C</x:v>
      </x:c>
      <x:c r="D1477" s="7" t="str">
        <x:v>MF-14</x:v>
      </x:c>
      <x:c r="E1477" s="7" t="str">
        <x:v>STD-14-2</x:v>
      </x:c>
      <x:c r="F1477" s="7" t="str">
        <x:v>OP-2</x:v>
      </x:c>
      <x:c r="G1477" s="7" t="n">
        <x:v>1</x:v>
      </x:c>
      <x:c r="H1477" s="7" t="str"/>
      <x:c r="I1477" s="7" t="str"/>
      <x:c r="J1477" s="7" t="str">
        <x:f>IF(OR(H1477="",I1477=""),"",I1477-H1477)</x:f>
      </x:c>
      <x:c r="K1477" s="7" t="str"/>
      <x:c r="L1477" s="7" t="str"/>
      <x:c r="M1477" s="7" t="str"/>
      <x:c r="N1477" s="7" t="str">
        <x:f>IF(M1477="","OPEN",IF(OR(NOT(ISNUMBER(H1477)),NOT(ISNUMBER(I1477)),K1477="",L1477=""),"FAIL","PASS"))</x:f>
        <x:v>OPEN</x:v>
      </x:c>
    </x:row>
    <x:row r="1478">
      <x:c r="B1478" s="7" t="str">
        <x:v>TRO-C-14-S2-O2-R2</x:v>
      </x:c>
      <x:c r="C1478" s="7" t="str">
        <x:v>BLD-C</x:v>
      </x:c>
      <x:c r="D1478" s="7" t="str">
        <x:v>MF-14</x:v>
      </x:c>
      <x:c r="E1478" s="7" t="str">
        <x:v>STD-14-2</x:v>
      </x:c>
      <x:c r="F1478" s="7" t="str">
        <x:v>OP-2</x:v>
      </x:c>
      <x:c r="G1478" s="7" t="n">
        <x:v>2</x:v>
      </x:c>
      <x:c r="H1478" s="7" t="str"/>
      <x:c r="I1478" s="7" t="str"/>
      <x:c r="J1478" s="7" t="str">
        <x:f>IF(OR(H1478="",I1478=""),"",I1478-H1478)</x:f>
      </x:c>
      <x:c r="K1478" s="7" t="str"/>
      <x:c r="L1478" s="7" t="str"/>
      <x:c r="M1478" s="7" t="str"/>
      <x:c r="N1478" s="7" t="str">
        <x:f>IF(M1478="","OPEN",IF(OR(NOT(ISNUMBER(H1478)),NOT(ISNUMBER(I1478)),K1478="",L1478=""),"FAIL","PASS"))</x:f>
        <x:v>OPEN</x:v>
      </x:c>
    </x:row>
    <x:row r="1479">
      <x:c r="B1479" s="7" t="str">
        <x:v>TRO-C-14-S3-O1-R1</x:v>
      </x:c>
      <x:c r="C1479" s="7" t="str">
        <x:v>BLD-C</x:v>
      </x:c>
      <x:c r="D1479" s="7" t="str">
        <x:v>MF-14</x:v>
      </x:c>
      <x:c r="E1479" s="7" t="str">
        <x:v>STD-14-3</x:v>
      </x:c>
      <x:c r="F1479" s="7" t="str">
        <x:v>OP-1</x:v>
      </x:c>
      <x:c r="G1479" s="7" t="n">
        <x:v>1</x:v>
      </x:c>
      <x:c r="H1479" s="7" t="str"/>
      <x:c r="I1479" s="7" t="str"/>
      <x:c r="J1479" s="7" t="str">
        <x:f>IF(OR(H1479="",I1479=""),"",I1479-H1479)</x:f>
      </x:c>
      <x:c r="K1479" s="7" t="str"/>
      <x:c r="L1479" s="7" t="str"/>
      <x:c r="M1479" s="7" t="str"/>
      <x:c r="N1479" s="7" t="str">
        <x:f>IF(M1479="","OPEN",IF(OR(NOT(ISNUMBER(H1479)),NOT(ISNUMBER(I1479)),K1479="",L1479=""),"FAIL","PASS"))</x:f>
        <x:v>OPEN</x:v>
      </x:c>
    </x:row>
    <x:row r="1480">
      <x:c r="B1480" s="7" t="str">
        <x:v>TRO-C-14-S3-O1-R2</x:v>
      </x:c>
      <x:c r="C1480" s="7" t="str">
        <x:v>BLD-C</x:v>
      </x:c>
      <x:c r="D1480" s="7" t="str">
        <x:v>MF-14</x:v>
      </x:c>
      <x:c r="E1480" s="7" t="str">
        <x:v>STD-14-3</x:v>
      </x:c>
      <x:c r="F1480" s="7" t="str">
        <x:v>OP-1</x:v>
      </x:c>
      <x:c r="G1480" s="7" t="n">
        <x:v>2</x:v>
      </x:c>
      <x:c r="H1480" s="7" t="str"/>
      <x:c r="I1480" s="7" t="str"/>
      <x:c r="J1480" s="7" t="str">
        <x:f>IF(OR(H1480="",I1480=""),"",I1480-H1480)</x:f>
      </x:c>
      <x:c r="K1480" s="7" t="str"/>
      <x:c r="L1480" s="7" t="str"/>
      <x:c r="M1480" s="7" t="str"/>
      <x:c r="N1480" s="7" t="str">
        <x:f>IF(M1480="","OPEN",IF(OR(NOT(ISNUMBER(H1480)),NOT(ISNUMBER(I1480)),K1480="",L1480=""),"FAIL","PASS"))</x:f>
        <x:v>OPEN</x:v>
      </x:c>
    </x:row>
    <x:row r="1481">
      <x:c r="B1481" s="7" t="str">
        <x:v>TRO-C-14-S3-O2-R1</x:v>
      </x:c>
      <x:c r="C1481" s="7" t="str">
        <x:v>BLD-C</x:v>
      </x:c>
      <x:c r="D1481" s="7" t="str">
        <x:v>MF-14</x:v>
      </x:c>
      <x:c r="E1481" s="7" t="str">
        <x:v>STD-14-3</x:v>
      </x:c>
      <x:c r="F1481" s="7" t="str">
        <x:v>OP-2</x:v>
      </x:c>
      <x:c r="G1481" s="7" t="n">
        <x:v>1</x:v>
      </x:c>
      <x:c r="H1481" s="7" t="str"/>
      <x:c r="I1481" s="7" t="str"/>
      <x:c r="J1481" s="7" t="str">
        <x:f>IF(OR(H1481="",I1481=""),"",I1481-H1481)</x:f>
      </x:c>
      <x:c r="K1481" s="7" t="str"/>
      <x:c r="L1481" s="7" t="str"/>
      <x:c r="M1481" s="7" t="str"/>
      <x:c r="N1481" s="7" t="str">
        <x:f>IF(M1481="","OPEN",IF(OR(NOT(ISNUMBER(H1481)),NOT(ISNUMBER(I1481)),K1481="",L1481=""),"FAIL","PASS"))</x:f>
        <x:v>OPEN</x:v>
      </x:c>
    </x:row>
    <x:row r="1482">
      <x:c r="B1482" s="7" t="str">
        <x:v>TRO-C-14-S3-O2-R2</x:v>
      </x:c>
      <x:c r="C1482" s="7" t="str">
        <x:v>BLD-C</x:v>
      </x:c>
      <x:c r="D1482" s="7" t="str">
        <x:v>MF-14</x:v>
      </x:c>
      <x:c r="E1482" s="7" t="str">
        <x:v>STD-14-3</x:v>
      </x:c>
      <x:c r="F1482" s="7" t="str">
        <x:v>OP-2</x:v>
      </x:c>
      <x:c r="G1482" s="7" t="n">
        <x:v>2</x:v>
      </x:c>
      <x:c r="H1482" s="7" t="str"/>
      <x:c r="I1482" s="7" t="str"/>
      <x:c r="J1482" s="7" t="str">
        <x:f>IF(OR(H1482="",I1482=""),"",I1482-H1482)</x:f>
      </x:c>
      <x:c r="K1482" s="7" t="str"/>
      <x:c r="L1482" s="7" t="str"/>
      <x:c r="M1482" s="7" t="str"/>
      <x:c r="N1482" s="7" t="str">
        <x:f>IF(M1482="","OPEN",IF(OR(NOT(ISNUMBER(H1482)),NOT(ISNUMBER(I1482)),K1482="",L1482=""),"FAIL","PASS"))</x:f>
        <x:v>OPEN</x:v>
      </x:c>
    </x:row>
    <x:row r="1483">
      <x:c r="B1483" s="7" t="str">
        <x:v>TRO-C-14-S4-O1-R1</x:v>
      </x:c>
      <x:c r="C1483" s="7" t="str">
        <x:v>BLD-C</x:v>
      </x:c>
      <x:c r="D1483" s="7" t="str">
        <x:v>MF-14</x:v>
      </x:c>
      <x:c r="E1483" s="7" t="str">
        <x:v>STD-14-4</x:v>
      </x:c>
      <x:c r="F1483" s="7" t="str">
        <x:v>OP-1</x:v>
      </x:c>
      <x:c r="G1483" s="7" t="n">
        <x:v>1</x:v>
      </x:c>
      <x:c r="H1483" s="7" t="str"/>
      <x:c r="I1483" s="7" t="str"/>
      <x:c r="J1483" s="7" t="str">
        <x:f>IF(OR(H1483="",I1483=""),"",I1483-H1483)</x:f>
      </x:c>
      <x:c r="K1483" s="7" t="str"/>
      <x:c r="L1483" s="7" t="str"/>
      <x:c r="M1483" s="7" t="str"/>
      <x:c r="N1483" s="7" t="str">
        <x:f>IF(M1483="","OPEN",IF(OR(NOT(ISNUMBER(H1483)),NOT(ISNUMBER(I1483)),K1483="",L1483=""),"FAIL","PASS"))</x:f>
        <x:v>OPEN</x:v>
      </x:c>
    </x:row>
    <x:row r="1484">
      <x:c r="B1484" s="7" t="str">
        <x:v>TRO-C-14-S4-O1-R2</x:v>
      </x:c>
      <x:c r="C1484" s="7" t="str">
        <x:v>BLD-C</x:v>
      </x:c>
      <x:c r="D1484" s="7" t="str">
        <x:v>MF-14</x:v>
      </x:c>
      <x:c r="E1484" s="7" t="str">
        <x:v>STD-14-4</x:v>
      </x:c>
      <x:c r="F1484" s="7" t="str">
        <x:v>OP-1</x:v>
      </x:c>
      <x:c r="G1484" s="7" t="n">
        <x:v>2</x:v>
      </x:c>
      <x:c r="H1484" s="7" t="str"/>
      <x:c r="I1484" s="7" t="str"/>
      <x:c r="J1484" s="7" t="str">
        <x:f>IF(OR(H1484="",I1484=""),"",I1484-H1484)</x:f>
      </x:c>
      <x:c r="K1484" s="7" t="str"/>
      <x:c r="L1484" s="7" t="str"/>
      <x:c r="M1484" s="7" t="str"/>
      <x:c r="N1484" s="7" t="str">
        <x:f>IF(M1484="","OPEN",IF(OR(NOT(ISNUMBER(H1484)),NOT(ISNUMBER(I1484)),K1484="",L1484=""),"FAIL","PASS"))</x:f>
        <x:v>OPEN</x:v>
      </x:c>
    </x:row>
    <x:row r="1485">
      <x:c r="B1485" s="7" t="str">
        <x:v>TRO-C-14-S4-O2-R1</x:v>
      </x:c>
      <x:c r="C1485" s="7" t="str">
        <x:v>BLD-C</x:v>
      </x:c>
      <x:c r="D1485" s="7" t="str">
        <x:v>MF-14</x:v>
      </x:c>
      <x:c r="E1485" s="7" t="str">
        <x:v>STD-14-4</x:v>
      </x:c>
      <x:c r="F1485" s="7" t="str">
        <x:v>OP-2</x:v>
      </x:c>
      <x:c r="G1485" s="7" t="n">
        <x:v>1</x:v>
      </x:c>
      <x:c r="H1485" s="7" t="str"/>
      <x:c r="I1485" s="7" t="str"/>
      <x:c r="J1485" s="7" t="str">
        <x:f>IF(OR(H1485="",I1485=""),"",I1485-H1485)</x:f>
      </x:c>
      <x:c r="K1485" s="7" t="str"/>
      <x:c r="L1485" s="7" t="str"/>
      <x:c r="M1485" s="7" t="str"/>
      <x:c r="N1485" s="7" t="str">
        <x:f>IF(M1485="","OPEN",IF(OR(NOT(ISNUMBER(H1485)),NOT(ISNUMBER(I1485)),K1485="",L1485=""),"FAIL","PASS"))</x:f>
        <x:v>OPEN</x:v>
      </x:c>
    </x:row>
    <x:row r="1486">
      <x:c r="B1486" s="7" t="str">
        <x:v>TRO-C-14-S4-O2-R2</x:v>
      </x:c>
      <x:c r="C1486" s="7" t="str">
        <x:v>BLD-C</x:v>
      </x:c>
      <x:c r="D1486" s="7" t="str">
        <x:v>MF-14</x:v>
      </x:c>
      <x:c r="E1486" s="7" t="str">
        <x:v>STD-14-4</x:v>
      </x:c>
      <x:c r="F1486" s="7" t="str">
        <x:v>OP-2</x:v>
      </x:c>
      <x:c r="G1486" s="7" t="n">
        <x:v>2</x:v>
      </x:c>
      <x:c r="H1486" s="7" t="str"/>
      <x:c r="I1486" s="7" t="str"/>
      <x:c r="J1486" s="7" t="str">
        <x:f>IF(OR(H1486="",I1486=""),"",I1486-H1486)</x:f>
      </x:c>
      <x:c r="K1486" s="7" t="str"/>
      <x:c r="L1486" s="7" t="str"/>
      <x:c r="M1486" s="7" t="str"/>
      <x:c r="N1486" s="7" t="str">
        <x:f>IF(M1486="","OPEN",IF(OR(NOT(ISNUMBER(H1486)),NOT(ISNUMBER(I1486)),K1486="",L1486=""),"FAIL","PASS"))</x:f>
        <x:v>OPEN</x:v>
      </x:c>
    </x:row>
    <x:row r="1487">
      <x:c r="B1487" s="7" t="str">
        <x:v>TRO-C-14-S5-O1-R1</x:v>
      </x:c>
      <x:c r="C1487" s="7" t="str">
        <x:v>BLD-C</x:v>
      </x:c>
      <x:c r="D1487" s="7" t="str">
        <x:v>MF-14</x:v>
      </x:c>
      <x:c r="E1487" s="7" t="str">
        <x:v>STD-14-5</x:v>
      </x:c>
      <x:c r="F1487" s="7" t="str">
        <x:v>OP-1</x:v>
      </x:c>
      <x:c r="G1487" s="7" t="n">
        <x:v>1</x:v>
      </x:c>
      <x:c r="H1487" s="7" t="str"/>
      <x:c r="I1487" s="7" t="str"/>
      <x:c r="J1487" s="7" t="str">
        <x:f>IF(OR(H1487="",I1487=""),"",I1487-H1487)</x:f>
      </x:c>
      <x:c r="K1487" s="7" t="str"/>
      <x:c r="L1487" s="7" t="str"/>
      <x:c r="M1487" s="7" t="str"/>
      <x:c r="N1487" s="7" t="str">
        <x:f>IF(M1487="","OPEN",IF(OR(NOT(ISNUMBER(H1487)),NOT(ISNUMBER(I1487)),K1487="",L1487=""),"FAIL","PASS"))</x:f>
        <x:v>OPEN</x:v>
      </x:c>
    </x:row>
    <x:row r="1488">
      <x:c r="B1488" s="7" t="str">
        <x:v>TRO-C-14-S5-O1-R2</x:v>
      </x:c>
      <x:c r="C1488" s="7" t="str">
        <x:v>BLD-C</x:v>
      </x:c>
      <x:c r="D1488" s="7" t="str">
        <x:v>MF-14</x:v>
      </x:c>
      <x:c r="E1488" s="7" t="str">
        <x:v>STD-14-5</x:v>
      </x:c>
      <x:c r="F1488" s="7" t="str">
        <x:v>OP-1</x:v>
      </x:c>
      <x:c r="G1488" s="7" t="n">
        <x:v>2</x:v>
      </x:c>
      <x:c r="H1488" s="7" t="str"/>
      <x:c r="I1488" s="7" t="str"/>
      <x:c r="J1488" s="7" t="str">
        <x:f>IF(OR(H1488="",I1488=""),"",I1488-H1488)</x:f>
      </x:c>
      <x:c r="K1488" s="7" t="str"/>
      <x:c r="L1488" s="7" t="str"/>
      <x:c r="M1488" s="7" t="str"/>
      <x:c r="N1488" s="7" t="str">
        <x:f>IF(M1488="","OPEN",IF(OR(NOT(ISNUMBER(H1488)),NOT(ISNUMBER(I1488)),K1488="",L1488=""),"FAIL","PASS"))</x:f>
        <x:v>OPEN</x:v>
      </x:c>
    </x:row>
    <x:row r="1489">
      <x:c r="B1489" s="7" t="str">
        <x:v>TRO-C-14-S5-O2-R1</x:v>
      </x:c>
      <x:c r="C1489" s="7" t="str">
        <x:v>BLD-C</x:v>
      </x:c>
      <x:c r="D1489" s="7" t="str">
        <x:v>MF-14</x:v>
      </x:c>
      <x:c r="E1489" s="7" t="str">
        <x:v>STD-14-5</x:v>
      </x:c>
      <x:c r="F1489" s="7" t="str">
        <x:v>OP-2</x:v>
      </x:c>
      <x:c r="G1489" s="7" t="n">
        <x:v>1</x:v>
      </x:c>
      <x:c r="H1489" s="7" t="str"/>
      <x:c r="I1489" s="7" t="str"/>
      <x:c r="J1489" s="7" t="str">
        <x:f>IF(OR(H1489="",I1489=""),"",I1489-H1489)</x:f>
      </x:c>
      <x:c r="K1489" s="7" t="str"/>
      <x:c r="L1489" s="7" t="str"/>
      <x:c r="M1489" s="7" t="str"/>
      <x:c r="N1489" s="7" t="str">
        <x:f>IF(M1489="","OPEN",IF(OR(NOT(ISNUMBER(H1489)),NOT(ISNUMBER(I1489)),K1489="",L1489=""),"FAIL","PASS"))</x:f>
        <x:v>OPEN</x:v>
      </x:c>
    </x:row>
    <x:row r="1490">
      <x:c r="B1490" s="7" t="str">
        <x:v>TRO-C-14-S5-O2-R2</x:v>
      </x:c>
      <x:c r="C1490" s="7" t="str">
        <x:v>BLD-C</x:v>
      </x:c>
      <x:c r="D1490" s="7" t="str">
        <x:v>MF-14</x:v>
      </x:c>
      <x:c r="E1490" s="7" t="str">
        <x:v>STD-14-5</x:v>
      </x:c>
      <x:c r="F1490" s="7" t="str">
        <x:v>OP-2</x:v>
      </x:c>
      <x:c r="G1490" s="7" t="n">
        <x:v>2</x:v>
      </x:c>
      <x:c r="H1490" s="7" t="str"/>
      <x:c r="I1490" s="7" t="str"/>
      <x:c r="J1490" s="7" t="str">
        <x:f>IF(OR(H1490="",I1490=""),"",I1490-H1490)</x:f>
      </x:c>
      <x:c r="K1490" s="7" t="str"/>
      <x:c r="L1490" s="7" t="str"/>
      <x:c r="M1490" s="7" t="str"/>
      <x:c r="N1490" s="7" t="str">
        <x:f>IF(M1490="","OPEN",IF(OR(NOT(ISNUMBER(H1490)),NOT(ISNUMBER(I1490)),K1490="",L1490=""),"FAIL","PASS"))</x:f>
        <x:v>OPEN</x:v>
      </x:c>
    </x:row>
    <x:row r="1491">
      <x:c r="B1491" s="7" t="str">
        <x:v>TRO-C-14-S6-O1-R1</x:v>
      </x:c>
      <x:c r="C1491" s="7" t="str">
        <x:v>BLD-C</x:v>
      </x:c>
      <x:c r="D1491" s="7" t="str">
        <x:v>MF-14</x:v>
      </x:c>
      <x:c r="E1491" s="7" t="str">
        <x:v>STD-14-6</x:v>
      </x:c>
      <x:c r="F1491" s="7" t="str">
        <x:v>OP-1</x:v>
      </x:c>
      <x:c r="G1491" s="7" t="n">
        <x:v>1</x:v>
      </x:c>
      <x:c r="H1491" s="7" t="str"/>
      <x:c r="I1491" s="7" t="str"/>
      <x:c r="J1491" s="7" t="str">
        <x:f>IF(OR(H1491="",I1491=""),"",I1491-H1491)</x:f>
      </x:c>
      <x:c r="K1491" s="7" t="str"/>
      <x:c r="L1491" s="7" t="str"/>
      <x:c r="M1491" s="7" t="str"/>
      <x:c r="N1491" s="7" t="str">
        <x:f>IF(M1491="","OPEN",IF(OR(NOT(ISNUMBER(H1491)),NOT(ISNUMBER(I1491)),K1491="",L1491=""),"FAIL","PASS"))</x:f>
        <x:v>OPEN</x:v>
      </x:c>
    </x:row>
    <x:row r="1492">
      <x:c r="B1492" s="7" t="str">
        <x:v>TRO-C-14-S6-O1-R2</x:v>
      </x:c>
      <x:c r="C1492" s="7" t="str">
        <x:v>BLD-C</x:v>
      </x:c>
      <x:c r="D1492" s="7" t="str">
        <x:v>MF-14</x:v>
      </x:c>
      <x:c r="E1492" s="7" t="str">
        <x:v>STD-14-6</x:v>
      </x:c>
      <x:c r="F1492" s="7" t="str">
        <x:v>OP-1</x:v>
      </x:c>
      <x:c r="G1492" s="7" t="n">
        <x:v>2</x:v>
      </x:c>
      <x:c r="H1492" s="7" t="str"/>
      <x:c r="I1492" s="7" t="str"/>
      <x:c r="J1492" s="7" t="str">
        <x:f>IF(OR(H1492="",I1492=""),"",I1492-H1492)</x:f>
      </x:c>
      <x:c r="K1492" s="7" t="str"/>
      <x:c r="L1492" s="7" t="str"/>
      <x:c r="M1492" s="7" t="str"/>
      <x:c r="N1492" s="7" t="str">
        <x:f>IF(M1492="","OPEN",IF(OR(NOT(ISNUMBER(H1492)),NOT(ISNUMBER(I1492)),K1492="",L1492=""),"FAIL","PASS"))</x:f>
        <x:v>OPEN</x:v>
      </x:c>
    </x:row>
    <x:row r="1493">
      <x:c r="B1493" s="7" t="str">
        <x:v>TRO-C-14-S6-O2-R1</x:v>
      </x:c>
      <x:c r="C1493" s="7" t="str">
        <x:v>BLD-C</x:v>
      </x:c>
      <x:c r="D1493" s="7" t="str">
        <x:v>MF-14</x:v>
      </x:c>
      <x:c r="E1493" s="7" t="str">
        <x:v>STD-14-6</x:v>
      </x:c>
      <x:c r="F1493" s="7" t="str">
        <x:v>OP-2</x:v>
      </x:c>
      <x:c r="G1493" s="7" t="n">
        <x:v>1</x:v>
      </x:c>
      <x:c r="H1493" s="7" t="str"/>
      <x:c r="I1493" s="7" t="str"/>
      <x:c r="J1493" s="7" t="str">
        <x:f>IF(OR(H1493="",I1493=""),"",I1493-H1493)</x:f>
      </x:c>
      <x:c r="K1493" s="7" t="str"/>
      <x:c r="L1493" s="7" t="str"/>
      <x:c r="M1493" s="7" t="str"/>
      <x:c r="N1493" s="7" t="str">
        <x:f>IF(M1493="","OPEN",IF(OR(NOT(ISNUMBER(H1493)),NOT(ISNUMBER(I1493)),K1493="",L1493=""),"FAIL","PASS"))</x:f>
        <x:v>OPEN</x:v>
      </x:c>
    </x:row>
    <x:row r="1494">
      <x:c r="B1494" s="7" t="str">
        <x:v>TRO-C-14-S6-O2-R2</x:v>
      </x:c>
      <x:c r="C1494" s="7" t="str">
        <x:v>BLD-C</x:v>
      </x:c>
      <x:c r="D1494" s="7" t="str">
        <x:v>MF-14</x:v>
      </x:c>
      <x:c r="E1494" s="7" t="str">
        <x:v>STD-14-6</x:v>
      </x:c>
      <x:c r="F1494" s="7" t="str">
        <x:v>OP-2</x:v>
      </x:c>
      <x:c r="G1494" s="7" t="n">
        <x:v>2</x:v>
      </x:c>
      <x:c r="H1494" s="7" t="str"/>
      <x:c r="I1494" s="7" t="str"/>
      <x:c r="J1494" s="7" t="str">
        <x:f>IF(OR(H1494="",I1494=""),"",I1494-H1494)</x:f>
      </x:c>
      <x:c r="K1494" s="7" t="str"/>
      <x:c r="L1494" s="7" t="str"/>
      <x:c r="M1494" s="7" t="str"/>
      <x:c r="N1494" s="7" t="str">
        <x:f>IF(M1494="","OPEN",IF(OR(NOT(ISNUMBER(H1494)),NOT(ISNUMBER(I1494)),K1494="",L1494=""),"FAIL","PASS"))</x:f>
        <x:v>OPEN</x:v>
      </x:c>
    </x:row>
    <x:row r="1495">
      <x:c r="B1495" s="7" t="str">
        <x:v>TRO-C-15-S1-O1-R1</x:v>
      </x:c>
      <x:c r="C1495" s="7" t="str">
        <x:v>BLD-C</x:v>
      </x:c>
      <x:c r="D1495" s="7" t="str">
        <x:v>MF-15</x:v>
      </x:c>
      <x:c r="E1495" s="7" t="str">
        <x:v>STD-15-1</x:v>
      </x:c>
      <x:c r="F1495" s="7" t="str">
        <x:v>OP-1</x:v>
      </x:c>
      <x:c r="G1495" s="7" t="n">
        <x:v>1</x:v>
      </x:c>
      <x:c r="H1495" s="7" t="str"/>
      <x:c r="I1495" s="7" t="str"/>
      <x:c r="J1495" s="7" t="str">
        <x:f>IF(OR(H1495="",I1495=""),"",I1495-H1495)</x:f>
      </x:c>
      <x:c r="K1495" s="7" t="str"/>
      <x:c r="L1495" s="7" t="str"/>
      <x:c r="M1495" s="7" t="str"/>
      <x:c r="N1495" s="7" t="str">
        <x:f>IF(M1495="","OPEN",IF(OR(NOT(ISNUMBER(H1495)),NOT(ISNUMBER(I1495)),K1495="",L1495=""),"FAIL","PASS"))</x:f>
        <x:v>OPEN</x:v>
      </x:c>
    </x:row>
    <x:row r="1496">
      <x:c r="B1496" s="7" t="str">
        <x:v>TRO-C-15-S1-O1-R2</x:v>
      </x:c>
      <x:c r="C1496" s="7" t="str">
        <x:v>BLD-C</x:v>
      </x:c>
      <x:c r="D1496" s="7" t="str">
        <x:v>MF-15</x:v>
      </x:c>
      <x:c r="E1496" s="7" t="str">
        <x:v>STD-15-1</x:v>
      </x:c>
      <x:c r="F1496" s="7" t="str">
        <x:v>OP-1</x:v>
      </x:c>
      <x:c r="G1496" s="7" t="n">
        <x:v>2</x:v>
      </x:c>
      <x:c r="H1496" s="7" t="str"/>
      <x:c r="I1496" s="7" t="str"/>
      <x:c r="J1496" s="7" t="str">
        <x:f>IF(OR(H1496="",I1496=""),"",I1496-H1496)</x:f>
      </x:c>
      <x:c r="K1496" s="7" t="str"/>
      <x:c r="L1496" s="7" t="str"/>
      <x:c r="M1496" s="7" t="str"/>
      <x:c r="N1496" s="7" t="str">
        <x:f>IF(M1496="","OPEN",IF(OR(NOT(ISNUMBER(H1496)),NOT(ISNUMBER(I1496)),K1496="",L1496=""),"FAIL","PASS"))</x:f>
        <x:v>OPEN</x:v>
      </x:c>
    </x:row>
    <x:row r="1497">
      <x:c r="B1497" s="7" t="str">
        <x:v>TRO-C-15-S1-O2-R1</x:v>
      </x:c>
      <x:c r="C1497" s="7" t="str">
        <x:v>BLD-C</x:v>
      </x:c>
      <x:c r="D1497" s="7" t="str">
        <x:v>MF-15</x:v>
      </x:c>
      <x:c r="E1497" s="7" t="str">
        <x:v>STD-15-1</x:v>
      </x:c>
      <x:c r="F1497" s="7" t="str">
        <x:v>OP-2</x:v>
      </x:c>
      <x:c r="G1497" s="7" t="n">
        <x:v>1</x:v>
      </x:c>
      <x:c r="H1497" s="7" t="str"/>
      <x:c r="I1497" s="7" t="str"/>
      <x:c r="J1497" s="7" t="str">
        <x:f>IF(OR(H1497="",I1497=""),"",I1497-H1497)</x:f>
      </x:c>
      <x:c r="K1497" s="7" t="str"/>
      <x:c r="L1497" s="7" t="str"/>
      <x:c r="M1497" s="7" t="str"/>
      <x:c r="N1497" s="7" t="str">
        <x:f>IF(M1497="","OPEN",IF(OR(NOT(ISNUMBER(H1497)),NOT(ISNUMBER(I1497)),K1497="",L1497=""),"FAIL","PASS"))</x:f>
        <x:v>OPEN</x:v>
      </x:c>
    </x:row>
    <x:row r="1498">
      <x:c r="B1498" s="7" t="str">
        <x:v>TRO-C-15-S1-O2-R2</x:v>
      </x:c>
      <x:c r="C1498" s="7" t="str">
        <x:v>BLD-C</x:v>
      </x:c>
      <x:c r="D1498" s="7" t="str">
        <x:v>MF-15</x:v>
      </x:c>
      <x:c r="E1498" s="7" t="str">
        <x:v>STD-15-1</x:v>
      </x:c>
      <x:c r="F1498" s="7" t="str">
        <x:v>OP-2</x:v>
      </x:c>
      <x:c r="G1498" s="7" t="n">
        <x:v>2</x:v>
      </x:c>
      <x:c r="H1498" s="7" t="str"/>
      <x:c r="I1498" s="7" t="str"/>
      <x:c r="J1498" s="7" t="str">
        <x:f>IF(OR(H1498="",I1498=""),"",I1498-H1498)</x:f>
      </x:c>
      <x:c r="K1498" s="7" t="str"/>
      <x:c r="L1498" s="7" t="str"/>
      <x:c r="M1498" s="7" t="str"/>
      <x:c r="N1498" s="7" t="str">
        <x:f>IF(M1498="","OPEN",IF(OR(NOT(ISNUMBER(H1498)),NOT(ISNUMBER(I1498)),K1498="",L1498=""),"FAIL","PASS"))</x:f>
        <x:v>OPEN</x:v>
      </x:c>
    </x:row>
    <x:row r="1499">
      <x:c r="B1499" s="7" t="str">
        <x:v>TRO-C-15-S2-O1-R1</x:v>
      </x:c>
      <x:c r="C1499" s="7" t="str">
        <x:v>BLD-C</x:v>
      </x:c>
      <x:c r="D1499" s="7" t="str">
        <x:v>MF-15</x:v>
      </x:c>
      <x:c r="E1499" s="7" t="str">
        <x:v>STD-15-2</x:v>
      </x:c>
      <x:c r="F1499" s="7" t="str">
        <x:v>OP-1</x:v>
      </x:c>
      <x:c r="G1499" s="7" t="n">
        <x:v>1</x:v>
      </x:c>
      <x:c r="H1499" s="7" t="str"/>
      <x:c r="I1499" s="7" t="str"/>
      <x:c r="J1499" s="7" t="str">
        <x:f>IF(OR(H1499="",I1499=""),"",I1499-H1499)</x:f>
      </x:c>
      <x:c r="K1499" s="7" t="str"/>
      <x:c r="L1499" s="7" t="str"/>
      <x:c r="M1499" s="7" t="str"/>
      <x:c r="N1499" s="7" t="str">
        <x:f>IF(M1499="","OPEN",IF(OR(NOT(ISNUMBER(H1499)),NOT(ISNUMBER(I1499)),K1499="",L1499=""),"FAIL","PASS"))</x:f>
        <x:v>OPEN</x:v>
      </x:c>
    </x:row>
    <x:row r="1500">
      <x:c r="B1500" s="7" t="str">
        <x:v>TRO-C-15-S2-O1-R2</x:v>
      </x:c>
      <x:c r="C1500" s="7" t="str">
        <x:v>BLD-C</x:v>
      </x:c>
      <x:c r="D1500" s="7" t="str">
        <x:v>MF-15</x:v>
      </x:c>
      <x:c r="E1500" s="7" t="str">
        <x:v>STD-15-2</x:v>
      </x:c>
      <x:c r="F1500" s="7" t="str">
        <x:v>OP-1</x:v>
      </x:c>
      <x:c r="G1500" s="7" t="n">
        <x:v>2</x:v>
      </x:c>
      <x:c r="H1500" s="7" t="str"/>
      <x:c r="I1500" s="7" t="str"/>
      <x:c r="J1500" s="7" t="str">
        <x:f>IF(OR(H1500="",I1500=""),"",I1500-H1500)</x:f>
      </x:c>
      <x:c r="K1500" s="7" t="str"/>
      <x:c r="L1500" s="7" t="str"/>
      <x:c r="M1500" s="7" t="str"/>
      <x:c r="N1500" s="7" t="str">
        <x:f>IF(M1500="","OPEN",IF(OR(NOT(ISNUMBER(H1500)),NOT(ISNUMBER(I1500)),K1500="",L1500=""),"FAIL","PASS"))</x:f>
        <x:v>OPEN</x:v>
      </x:c>
    </x:row>
    <x:row r="1501">
      <x:c r="B1501" s="7" t="str">
        <x:v>TRO-C-15-S2-O2-R1</x:v>
      </x:c>
      <x:c r="C1501" s="7" t="str">
        <x:v>BLD-C</x:v>
      </x:c>
      <x:c r="D1501" s="7" t="str">
        <x:v>MF-15</x:v>
      </x:c>
      <x:c r="E1501" s="7" t="str">
        <x:v>STD-15-2</x:v>
      </x:c>
      <x:c r="F1501" s="7" t="str">
        <x:v>OP-2</x:v>
      </x:c>
      <x:c r="G1501" s="7" t="n">
        <x:v>1</x:v>
      </x:c>
      <x:c r="H1501" s="7" t="str"/>
      <x:c r="I1501" s="7" t="str"/>
      <x:c r="J1501" s="7" t="str">
        <x:f>IF(OR(H1501="",I1501=""),"",I1501-H1501)</x:f>
      </x:c>
      <x:c r="K1501" s="7" t="str"/>
      <x:c r="L1501" s="7" t="str"/>
      <x:c r="M1501" s="7" t="str"/>
      <x:c r="N1501" s="7" t="str">
        <x:f>IF(M1501="","OPEN",IF(OR(NOT(ISNUMBER(H1501)),NOT(ISNUMBER(I1501)),K1501="",L1501=""),"FAIL","PASS"))</x:f>
        <x:v>OPEN</x:v>
      </x:c>
    </x:row>
    <x:row r="1502">
      <x:c r="B1502" s="7" t="str">
        <x:v>TRO-C-15-S2-O2-R2</x:v>
      </x:c>
      <x:c r="C1502" s="7" t="str">
        <x:v>BLD-C</x:v>
      </x:c>
      <x:c r="D1502" s="7" t="str">
        <x:v>MF-15</x:v>
      </x:c>
      <x:c r="E1502" s="7" t="str">
        <x:v>STD-15-2</x:v>
      </x:c>
      <x:c r="F1502" s="7" t="str">
        <x:v>OP-2</x:v>
      </x:c>
      <x:c r="G1502" s="7" t="n">
        <x:v>2</x:v>
      </x:c>
      <x:c r="H1502" s="7" t="str"/>
      <x:c r="I1502" s="7" t="str"/>
      <x:c r="J1502" s="7" t="str">
        <x:f>IF(OR(H1502="",I1502=""),"",I1502-H1502)</x:f>
      </x:c>
      <x:c r="K1502" s="7" t="str"/>
      <x:c r="L1502" s="7" t="str"/>
      <x:c r="M1502" s="7" t="str"/>
      <x:c r="N1502" s="7" t="str">
        <x:f>IF(M1502="","OPEN",IF(OR(NOT(ISNUMBER(H1502)),NOT(ISNUMBER(I1502)),K1502="",L1502=""),"FAIL","PASS"))</x:f>
        <x:v>OPEN</x:v>
      </x:c>
    </x:row>
    <x:row r="1503">
      <x:c r="B1503" s="7" t="str">
        <x:v>TRO-C-15-S3-O1-R1</x:v>
      </x:c>
      <x:c r="C1503" s="7" t="str">
        <x:v>BLD-C</x:v>
      </x:c>
      <x:c r="D1503" s="7" t="str">
        <x:v>MF-15</x:v>
      </x:c>
      <x:c r="E1503" s="7" t="str">
        <x:v>STD-15-3</x:v>
      </x:c>
      <x:c r="F1503" s="7" t="str">
        <x:v>OP-1</x:v>
      </x:c>
      <x:c r="G1503" s="7" t="n">
        <x:v>1</x:v>
      </x:c>
      <x:c r="H1503" s="7" t="str"/>
      <x:c r="I1503" s="7" t="str"/>
      <x:c r="J1503" s="7" t="str">
        <x:f>IF(OR(H1503="",I1503=""),"",I1503-H1503)</x:f>
      </x:c>
      <x:c r="K1503" s="7" t="str"/>
      <x:c r="L1503" s="7" t="str"/>
      <x:c r="M1503" s="7" t="str"/>
      <x:c r="N1503" s="7" t="str">
        <x:f>IF(M1503="","OPEN",IF(OR(NOT(ISNUMBER(H1503)),NOT(ISNUMBER(I1503)),K1503="",L1503=""),"FAIL","PASS"))</x:f>
        <x:v>OPEN</x:v>
      </x:c>
    </x:row>
    <x:row r="1504">
      <x:c r="B1504" s="7" t="str">
        <x:v>TRO-C-15-S3-O1-R2</x:v>
      </x:c>
      <x:c r="C1504" s="7" t="str">
        <x:v>BLD-C</x:v>
      </x:c>
      <x:c r="D1504" s="7" t="str">
        <x:v>MF-15</x:v>
      </x:c>
      <x:c r="E1504" s="7" t="str">
        <x:v>STD-15-3</x:v>
      </x:c>
      <x:c r="F1504" s="7" t="str">
        <x:v>OP-1</x:v>
      </x:c>
      <x:c r="G1504" s="7" t="n">
        <x:v>2</x:v>
      </x:c>
      <x:c r="H1504" s="7" t="str"/>
      <x:c r="I1504" s="7" t="str"/>
      <x:c r="J1504" s="7" t="str">
        <x:f>IF(OR(H1504="",I1504=""),"",I1504-H1504)</x:f>
      </x:c>
      <x:c r="K1504" s="7" t="str"/>
      <x:c r="L1504" s="7" t="str"/>
      <x:c r="M1504" s="7" t="str"/>
      <x:c r="N1504" s="7" t="str">
        <x:f>IF(M1504="","OPEN",IF(OR(NOT(ISNUMBER(H1504)),NOT(ISNUMBER(I1504)),K1504="",L1504=""),"FAIL","PASS"))</x:f>
        <x:v>OPEN</x:v>
      </x:c>
    </x:row>
    <x:row r="1505">
      <x:c r="B1505" s="7" t="str">
        <x:v>TRO-C-15-S3-O2-R1</x:v>
      </x:c>
      <x:c r="C1505" s="7" t="str">
        <x:v>BLD-C</x:v>
      </x:c>
      <x:c r="D1505" s="7" t="str">
        <x:v>MF-15</x:v>
      </x:c>
      <x:c r="E1505" s="7" t="str">
        <x:v>STD-15-3</x:v>
      </x:c>
      <x:c r="F1505" s="7" t="str">
        <x:v>OP-2</x:v>
      </x:c>
      <x:c r="G1505" s="7" t="n">
        <x:v>1</x:v>
      </x:c>
      <x:c r="H1505" s="7" t="str"/>
      <x:c r="I1505" s="7" t="str"/>
      <x:c r="J1505" s="7" t="str">
        <x:f>IF(OR(H1505="",I1505=""),"",I1505-H1505)</x:f>
      </x:c>
      <x:c r="K1505" s="7" t="str"/>
      <x:c r="L1505" s="7" t="str"/>
      <x:c r="M1505" s="7" t="str"/>
      <x:c r="N1505" s="7" t="str">
        <x:f>IF(M1505="","OPEN",IF(OR(NOT(ISNUMBER(H1505)),NOT(ISNUMBER(I1505)),K1505="",L1505=""),"FAIL","PASS"))</x:f>
        <x:v>OPEN</x:v>
      </x:c>
    </x:row>
    <x:row r="1506">
      <x:c r="B1506" s="7" t="str">
        <x:v>TRO-C-15-S3-O2-R2</x:v>
      </x:c>
      <x:c r="C1506" s="7" t="str">
        <x:v>BLD-C</x:v>
      </x:c>
      <x:c r="D1506" s="7" t="str">
        <x:v>MF-15</x:v>
      </x:c>
      <x:c r="E1506" s="7" t="str">
        <x:v>STD-15-3</x:v>
      </x:c>
      <x:c r="F1506" s="7" t="str">
        <x:v>OP-2</x:v>
      </x:c>
      <x:c r="G1506" s="7" t="n">
        <x:v>2</x:v>
      </x:c>
      <x:c r="H1506" s="7" t="str"/>
      <x:c r="I1506" s="7" t="str"/>
      <x:c r="J1506" s="7" t="str">
        <x:f>IF(OR(H1506="",I1506=""),"",I1506-H1506)</x:f>
      </x:c>
      <x:c r="K1506" s="7" t="str"/>
      <x:c r="L1506" s="7" t="str"/>
      <x:c r="M1506" s="7" t="str"/>
      <x:c r="N1506" s="7" t="str">
        <x:f>IF(M1506="","OPEN",IF(OR(NOT(ISNUMBER(H1506)),NOT(ISNUMBER(I1506)),K1506="",L1506=""),"FAIL","PASS"))</x:f>
        <x:v>OPEN</x:v>
      </x:c>
    </x:row>
    <x:row r="1507">
      <x:c r="B1507" s="7" t="str">
        <x:v>TRO-C-15-S4-O1-R1</x:v>
      </x:c>
      <x:c r="C1507" s="7" t="str">
        <x:v>BLD-C</x:v>
      </x:c>
      <x:c r="D1507" s="7" t="str">
        <x:v>MF-15</x:v>
      </x:c>
      <x:c r="E1507" s="7" t="str">
        <x:v>STD-15-4</x:v>
      </x:c>
      <x:c r="F1507" s="7" t="str">
        <x:v>OP-1</x:v>
      </x:c>
      <x:c r="G1507" s="7" t="n">
        <x:v>1</x:v>
      </x:c>
      <x:c r="H1507" s="7" t="str"/>
      <x:c r="I1507" s="7" t="str"/>
      <x:c r="J1507" s="7" t="str">
        <x:f>IF(OR(H1507="",I1507=""),"",I1507-H1507)</x:f>
      </x:c>
      <x:c r="K1507" s="7" t="str"/>
      <x:c r="L1507" s="7" t="str"/>
      <x:c r="M1507" s="7" t="str"/>
      <x:c r="N1507" s="7" t="str">
        <x:f>IF(M1507="","OPEN",IF(OR(NOT(ISNUMBER(H1507)),NOT(ISNUMBER(I1507)),K1507="",L1507=""),"FAIL","PASS"))</x:f>
        <x:v>OPEN</x:v>
      </x:c>
    </x:row>
    <x:row r="1508">
      <x:c r="B1508" s="7" t="str">
        <x:v>TRO-C-15-S4-O1-R2</x:v>
      </x:c>
      <x:c r="C1508" s="7" t="str">
        <x:v>BLD-C</x:v>
      </x:c>
      <x:c r="D1508" s="7" t="str">
        <x:v>MF-15</x:v>
      </x:c>
      <x:c r="E1508" s="7" t="str">
        <x:v>STD-15-4</x:v>
      </x:c>
      <x:c r="F1508" s="7" t="str">
        <x:v>OP-1</x:v>
      </x:c>
      <x:c r="G1508" s="7" t="n">
        <x:v>2</x:v>
      </x:c>
      <x:c r="H1508" s="7" t="str"/>
      <x:c r="I1508" s="7" t="str"/>
      <x:c r="J1508" s="7" t="str">
        <x:f>IF(OR(H1508="",I1508=""),"",I1508-H1508)</x:f>
      </x:c>
      <x:c r="K1508" s="7" t="str"/>
      <x:c r="L1508" s="7" t="str"/>
      <x:c r="M1508" s="7" t="str"/>
      <x:c r="N1508" s="7" t="str">
        <x:f>IF(M1508="","OPEN",IF(OR(NOT(ISNUMBER(H1508)),NOT(ISNUMBER(I1508)),K1508="",L1508=""),"FAIL","PASS"))</x:f>
        <x:v>OPEN</x:v>
      </x:c>
    </x:row>
    <x:row r="1509">
      <x:c r="B1509" s="7" t="str">
        <x:v>TRO-C-15-S4-O2-R1</x:v>
      </x:c>
      <x:c r="C1509" s="7" t="str">
        <x:v>BLD-C</x:v>
      </x:c>
      <x:c r="D1509" s="7" t="str">
        <x:v>MF-15</x:v>
      </x:c>
      <x:c r="E1509" s="7" t="str">
        <x:v>STD-15-4</x:v>
      </x:c>
      <x:c r="F1509" s="7" t="str">
        <x:v>OP-2</x:v>
      </x:c>
      <x:c r="G1509" s="7" t="n">
        <x:v>1</x:v>
      </x:c>
      <x:c r="H1509" s="7" t="str"/>
      <x:c r="I1509" s="7" t="str"/>
      <x:c r="J1509" s="7" t="str">
        <x:f>IF(OR(H1509="",I1509=""),"",I1509-H1509)</x:f>
      </x:c>
      <x:c r="K1509" s="7" t="str"/>
      <x:c r="L1509" s="7" t="str"/>
      <x:c r="M1509" s="7" t="str"/>
      <x:c r="N1509" s="7" t="str">
        <x:f>IF(M1509="","OPEN",IF(OR(NOT(ISNUMBER(H1509)),NOT(ISNUMBER(I1509)),K1509="",L1509=""),"FAIL","PASS"))</x:f>
        <x:v>OPEN</x:v>
      </x:c>
    </x:row>
    <x:row r="1510">
      <x:c r="B1510" s="7" t="str">
        <x:v>TRO-C-15-S4-O2-R2</x:v>
      </x:c>
      <x:c r="C1510" s="7" t="str">
        <x:v>BLD-C</x:v>
      </x:c>
      <x:c r="D1510" s="7" t="str">
        <x:v>MF-15</x:v>
      </x:c>
      <x:c r="E1510" s="7" t="str">
        <x:v>STD-15-4</x:v>
      </x:c>
      <x:c r="F1510" s="7" t="str">
        <x:v>OP-2</x:v>
      </x:c>
      <x:c r="G1510" s="7" t="n">
        <x:v>2</x:v>
      </x:c>
      <x:c r="H1510" s="7" t="str"/>
      <x:c r="I1510" s="7" t="str"/>
      <x:c r="J1510" s="7" t="str">
        <x:f>IF(OR(H1510="",I1510=""),"",I1510-H1510)</x:f>
      </x:c>
      <x:c r="K1510" s="7" t="str"/>
      <x:c r="L1510" s="7" t="str"/>
      <x:c r="M1510" s="7" t="str"/>
      <x:c r="N1510" s="7" t="str">
        <x:f>IF(M1510="","OPEN",IF(OR(NOT(ISNUMBER(H1510)),NOT(ISNUMBER(I1510)),K1510="",L1510=""),"FAIL","PASS"))</x:f>
        <x:v>OPEN</x:v>
      </x:c>
    </x:row>
    <x:row r="1511">
      <x:c r="B1511" s="7" t="str">
        <x:v>TRO-C-15-S5-O1-R1</x:v>
      </x:c>
      <x:c r="C1511" s="7" t="str">
        <x:v>BLD-C</x:v>
      </x:c>
      <x:c r="D1511" s="7" t="str">
        <x:v>MF-15</x:v>
      </x:c>
      <x:c r="E1511" s="7" t="str">
        <x:v>STD-15-5</x:v>
      </x:c>
      <x:c r="F1511" s="7" t="str">
        <x:v>OP-1</x:v>
      </x:c>
      <x:c r="G1511" s="7" t="n">
        <x:v>1</x:v>
      </x:c>
      <x:c r="H1511" s="7" t="str"/>
      <x:c r="I1511" s="7" t="str"/>
      <x:c r="J1511" s="7" t="str">
        <x:f>IF(OR(H1511="",I1511=""),"",I1511-H1511)</x:f>
      </x:c>
      <x:c r="K1511" s="7" t="str"/>
      <x:c r="L1511" s="7" t="str"/>
      <x:c r="M1511" s="7" t="str"/>
      <x:c r="N1511" s="7" t="str">
        <x:f>IF(M1511="","OPEN",IF(OR(NOT(ISNUMBER(H1511)),NOT(ISNUMBER(I1511)),K1511="",L1511=""),"FAIL","PASS"))</x:f>
        <x:v>OPEN</x:v>
      </x:c>
    </x:row>
    <x:row r="1512">
      <x:c r="B1512" s="7" t="str">
        <x:v>TRO-C-15-S5-O1-R2</x:v>
      </x:c>
      <x:c r="C1512" s="7" t="str">
        <x:v>BLD-C</x:v>
      </x:c>
      <x:c r="D1512" s="7" t="str">
        <x:v>MF-15</x:v>
      </x:c>
      <x:c r="E1512" s="7" t="str">
        <x:v>STD-15-5</x:v>
      </x:c>
      <x:c r="F1512" s="7" t="str">
        <x:v>OP-1</x:v>
      </x:c>
      <x:c r="G1512" s="7" t="n">
        <x:v>2</x:v>
      </x:c>
      <x:c r="H1512" s="7" t="str"/>
      <x:c r="I1512" s="7" t="str"/>
      <x:c r="J1512" s="7" t="str">
        <x:f>IF(OR(H1512="",I1512=""),"",I1512-H1512)</x:f>
      </x:c>
      <x:c r="K1512" s="7" t="str"/>
      <x:c r="L1512" s="7" t="str"/>
      <x:c r="M1512" s="7" t="str"/>
      <x:c r="N1512" s="7" t="str">
        <x:f>IF(M1512="","OPEN",IF(OR(NOT(ISNUMBER(H1512)),NOT(ISNUMBER(I1512)),K1512="",L1512=""),"FAIL","PASS"))</x:f>
        <x:v>OPEN</x:v>
      </x:c>
    </x:row>
    <x:row r="1513">
      <x:c r="B1513" s="7" t="str">
        <x:v>TRO-C-15-S5-O2-R1</x:v>
      </x:c>
      <x:c r="C1513" s="7" t="str">
        <x:v>BLD-C</x:v>
      </x:c>
      <x:c r="D1513" s="7" t="str">
        <x:v>MF-15</x:v>
      </x:c>
      <x:c r="E1513" s="7" t="str">
        <x:v>STD-15-5</x:v>
      </x:c>
      <x:c r="F1513" s="7" t="str">
        <x:v>OP-2</x:v>
      </x:c>
      <x:c r="G1513" s="7" t="n">
        <x:v>1</x:v>
      </x:c>
      <x:c r="H1513" s="7" t="str"/>
      <x:c r="I1513" s="7" t="str"/>
      <x:c r="J1513" s="7" t="str">
        <x:f>IF(OR(H1513="",I1513=""),"",I1513-H1513)</x:f>
      </x:c>
      <x:c r="K1513" s="7" t="str"/>
      <x:c r="L1513" s="7" t="str"/>
      <x:c r="M1513" s="7" t="str"/>
      <x:c r="N1513" s="7" t="str">
        <x:f>IF(M1513="","OPEN",IF(OR(NOT(ISNUMBER(H1513)),NOT(ISNUMBER(I1513)),K1513="",L1513=""),"FAIL","PASS"))</x:f>
        <x:v>OPEN</x:v>
      </x:c>
    </x:row>
    <x:row r="1514">
      <x:c r="B1514" s="7" t="str">
        <x:v>TRO-C-15-S5-O2-R2</x:v>
      </x:c>
      <x:c r="C1514" s="7" t="str">
        <x:v>BLD-C</x:v>
      </x:c>
      <x:c r="D1514" s="7" t="str">
        <x:v>MF-15</x:v>
      </x:c>
      <x:c r="E1514" s="7" t="str">
        <x:v>STD-15-5</x:v>
      </x:c>
      <x:c r="F1514" s="7" t="str">
        <x:v>OP-2</x:v>
      </x:c>
      <x:c r="G1514" s="7" t="n">
        <x:v>2</x:v>
      </x:c>
      <x:c r="H1514" s="7" t="str"/>
      <x:c r="I1514" s="7" t="str"/>
      <x:c r="J1514" s="7" t="str">
        <x:f>IF(OR(H1514="",I1514=""),"",I1514-H1514)</x:f>
      </x:c>
      <x:c r="K1514" s="7" t="str"/>
      <x:c r="L1514" s="7" t="str"/>
      <x:c r="M1514" s="7" t="str"/>
      <x:c r="N1514" s="7" t="str">
        <x:f>IF(M1514="","OPEN",IF(OR(NOT(ISNUMBER(H1514)),NOT(ISNUMBER(I1514)),K1514="",L1514=""),"FAIL","PASS"))</x:f>
        <x:v>OPEN</x:v>
      </x:c>
    </x:row>
    <x:row r="1515">
      <x:c r="B1515" s="7" t="str">
        <x:v>TRO-C-15-S6-O1-R1</x:v>
      </x:c>
      <x:c r="C1515" s="7" t="str">
        <x:v>BLD-C</x:v>
      </x:c>
      <x:c r="D1515" s="7" t="str">
        <x:v>MF-15</x:v>
      </x:c>
      <x:c r="E1515" s="7" t="str">
        <x:v>STD-15-6</x:v>
      </x:c>
      <x:c r="F1515" s="7" t="str">
        <x:v>OP-1</x:v>
      </x:c>
      <x:c r="G1515" s="7" t="n">
        <x:v>1</x:v>
      </x:c>
      <x:c r="H1515" s="7" t="str"/>
      <x:c r="I1515" s="7" t="str"/>
      <x:c r="J1515" s="7" t="str">
        <x:f>IF(OR(H1515="",I1515=""),"",I1515-H1515)</x:f>
      </x:c>
      <x:c r="K1515" s="7" t="str"/>
      <x:c r="L1515" s="7" t="str"/>
      <x:c r="M1515" s="7" t="str"/>
      <x:c r="N1515" s="7" t="str">
        <x:f>IF(M1515="","OPEN",IF(OR(NOT(ISNUMBER(H1515)),NOT(ISNUMBER(I1515)),K1515="",L1515=""),"FAIL","PASS"))</x:f>
        <x:v>OPEN</x:v>
      </x:c>
    </x:row>
    <x:row r="1516">
      <x:c r="B1516" s="7" t="str">
        <x:v>TRO-C-15-S6-O1-R2</x:v>
      </x:c>
      <x:c r="C1516" s="7" t="str">
        <x:v>BLD-C</x:v>
      </x:c>
      <x:c r="D1516" s="7" t="str">
        <x:v>MF-15</x:v>
      </x:c>
      <x:c r="E1516" s="7" t="str">
        <x:v>STD-15-6</x:v>
      </x:c>
      <x:c r="F1516" s="7" t="str">
        <x:v>OP-1</x:v>
      </x:c>
      <x:c r="G1516" s="7" t="n">
        <x:v>2</x:v>
      </x:c>
      <x:c r="H1516" s="7" t="str"/>
      <x:c r="I1516" s="7" t="str"/>
      <x:c r="J1516" s="7" t="str">
        <x:f>IF(OR(H1516="",I1516=""),"",I1516-H1516)</x:f>
      </x:c>
      <x:c r="K1516" s="7" t="str"/>
      <x:c r="L1516" s="7" t="str"/>
      <x:c r="M1516" s="7" t="str"/>
      <x:c r="N1516" s="7" t="str">
        <x:f>IF(M1516="","OPEN",IF(OR(NOT(ISNUMBER(H1516)),NOT(ISNUMBER(I1516)),K1516="",L1516=""),"FAIL","PASS"))</x:f>
        <x:v>OPEN</x:v>
      </x:c>
    </x:row>
    <x:row r="1517">
      <x:c r="B1517" s="7" t="str">
        <x:v>TRO-C-15-S6-O2-R1</x:v>
      </x:c>
      <x:c r="C1517" s="7" t="str">
        <x:v>BLD-C</x:v>
      </x:c>
      <x:c r="D1517" s="7" t="str">
        <x:v>MF-15</x:v>
      </x:c>
      <x:c r="E1517" s="7" t="str">
        <x:v>STD-15-6</x:v>
      </x:c>
      <x:c r="F1517" s="7" t="str">
        <x:v>OP-2</x:v>
      </x:c>
      <x:c r="G1517" s="7" t="n">
        <x:v>1</x:v>
      </x:c>
      <x:c r="H1517" s="7" t="str"/>
      <x:c r="I1517" s="7" t="str"/>
      <x:c r="J1517" s="7" t="str">
        <x:f>IF(OR(H1517="",I1517=""),"",I1517-H1517)</x:f>
      </x:c>
      <x:c r="K1517" s="7" t="str"/>
      <x:c r="L1517" s="7" t="str"/>
      <x:c r="M1517" s="7" t="str"/>
      <x:c r="N1517" s="7" t="str">
        <x:f>IF(M1517="","OPEN",IF(OR(NOT(ISNUMBER(H1517)),NOT(ISNUMBER(I1517)),K1517="",L1517=""),"FAIL","PASS"))</x:f>
        <x:v>OPEN</x:v>
      </x:c>
    </x:row>
    <x:row r="1518">
      <x:c r="B1518" s="7" t="str">
        <x:v>TRO-C-15-S6-O2-R2</x:v>
      </x:c>
      <x:c r="C1518" s="7" t="str">
        <x:v>BLD-C</x:v>
      </x:c>
      <x:c r="D1518" s="7" t="str">
        <x:v>MF-15</x:v>
      </x:c>
      <x:c r="E1518" s="7" t="str">
        <x:v>STD-15-6</x:v>
      </x:c>
      <x:c r="F1518" s="7" t="str">
        <x:v>OP-2</x:v>
      </x:c>
      <x:c r="G1518" s="7" t="n">
        <x:v>2</x:v>
      </x:c>
      <x:c r="H1518" s="7" t="str"/>
      <x:c r="I1518" s="7" t="str"/>
      <x:c r="J1518" s="7" t="str">
        <x:f>IF(OR(H1518="",I1518=""),"",I1518-H1518)</x:f>
      </x:c>
      <x:c r="K1518" s="7" t="str"/>
      <x:c r="L1518" s="7" t="str"/>
      <x:c r="M1518" s="7" t="str"/>
      <x:c r="N1518" s="7" t="str">
        <x:f>IF(M1518="","OPEN",IF(OR(NOT(ISNUMBER(H1518)),NOT(ISNUMBER(I1518)),K1518="",L1518=""),"FAIL","PASS"))</x:f>
        <x:v>OPEN</x:v>
      </x:c>
    </x:row>
    <x:row r="1519">
      <x:c r="B1519" s="7" t="str">
        <x:v>TRO-C-16-S1-O1-R1</x:v>
      </x:c>
      <x:c r="C1519" s="7" t="str">
        <x:v>BLD-C</x:v>
      </x:c>
      <x:c r="D1519" s="7" t="str">
        <x:v>MF-16</x:v>
      </x:c>
      <x:c r="E1519" s="7" t="str">
        <x:v>STD-16-1</x:v>
      </x:c>
      <x:c r="F1519" s="7" t="str">
        <x:v>OP-1</x:v>
      </x:c>
      <x:c r="G1519" s="7" t="n">
        <x:v>1</x:v>
      </x:c>
      <x:c r="H1519" s="7" t="str"/>
      <x:c r="I1519" s="7" t="str"/>
      <x:c r="J1519" s="7" t="str">
        <x:f>IF(OR(H1519="",I1519=""),"",I1519-H1519)</x:f>
      </x:c>
      <x:c r="K1519" s="7" t="str"/>
      <x:c r="L1519" s="7" t="str"/>
      <x:c r="M1519" s="7" t="str"/>
      <x:c r="N1519" s="7" t="str">
        <x:f>IF(M1519="","OPEN",IF(OR(NOT(ISNUMBER(H1519)),NOT(ISNUMBER(I1519)),K1519="",L1519=""),"FAIL","PASS"))</x:f>
        <x:v>OPEN</x:v>
      </x:c>
    </x:row>
    <x:row r="1520">
      <x:c r="B1520" s="7" t="str">
        <x:v>TRO-C-16-S1-O1-R2</x:v>
      </x:c>
      <x:c r="C1520" s="7" t="str">
        <x:v>BLD-C</x:v>
      </x:c>
      <x:c r="D1520" s="7" t="str">
        <x:v>MF-16</x:v>
      </x:c>
      <x:c r="E1520" s="7" t="str">
        <x:v>STD-16-1</x:v>
      </x:c>
      <x:c r="F1520" s="7" t="str">
        <x:v>OP-1</x:v>
      </x:c>
      <x:c r="G1520" s="7" t="n">
        <x:v>2</x:v>
      </x:c>
      <x:c r="H1520" s="7" t="str"/>
      <x:c r="I1520" s="7" t="str"/>
      <x:c r="J1520" s="7" t="str">
        <x:f>IF(OR(H1520="",I1520=""),"",I1520-H1520)</x:f>
      </x:c>
      <x:c r="K1520" s="7" t="str"/>
      <x:c r="L1520" s="7" t="str"/>
      <x:c r="M1520" s="7" t="str"/>
      <x:c r="N1520" s="7" t="str">
        <x:f>IF(M1520="","OPEN",IF(OR(NOT(ISNUMBER(H1520)),NOT(ISNUMBER(I1520)),K1520="",L1520=""),"FAIL","PASS"))</x:f>
        <x:v>OPEN</x:v>
      </x:c>
    </x:row>
    <x:row r="1521">
      <x:c r="B1521" s="7" t="str">
        <x:v>TRO-C-16-S1-O2-R1</x:v>
      </x:c>
      <x:c r="C1521" s="7" t="str">
        <x:v>BLD-C</x:v>
      </x:c>
      <x:c r="D1521" s="7" t="str">
        <x:v>MF-16</x:v>
      </x:c>
      <x:c r="E1521" s="7" t="str">
        <x:v>STD-16-1</x:v>
      </x:c>
      <x:c r="F1521" s="7" t="str">
        <x:v>OP-2</x:v>
      </x:c>
      <x:c r="G1521" s="7" t="n">
        <x:v>1</x:v>
      </x:c>
      <x:c r="H1521" s="7" t="str"/>
      <x:c r="I1521" s="7" t="str"/>
      <x:c r="J1521" s="7" t="str">
        <x:f>IF(OR(H1521="",I1521=""),"",I1521-H1521)</x:f>
      </x:c>
      <x:c r="K1521" s="7" t="str"/>
      <x:c r="L1521" s="7" t="str"/>
      <x:c r="M1521" s="7" t="str"/>
      <x:c r="N1521" s="7" t="str">
        <x:f>IF(M1521="","OPEN",IF(OR(NOT(ISNUMBER(H1521)),NOT(ISNUMBER(I1521)),K1521="",L1521=""),"FAIL","PASS"))</x:f>
        <x:v>OPEN</x:v>
      </x:c>
    </x:row>
    <x:row r="1522">
      <x:c r="B1522" s="7" t="str">
        <x:v>TRO-C-16-S1-O2-R2</x:v>
      </x:c>
      <x:c r="C1522" s="7" t="str">
        <x:v>BLD-C</x:v>
      </x:c>
      <x:c r="D1522" s="7" t="str">
        <x:v>MF-16</x:v>
      </x:c>
      <x:c r="E1522" s="7" t="str">
        <x:v>STD-16-1</x:v>
      </x:c>
      <x:c r="F1522" s="7" t="str">
        <x:v>OP-2</x:v>
      </x:c>
      <x:c r="G1522" s="7" t="n">
        <x:v>2</x:v>
      </x:c>
      <x:c r="H1522" s="7" t="str"/>
      <x:c r="I1522" s="7" t="str"/>
      <x:c r="J1522" s="7" t="str">
        <x:f>IF(OR(H1522="",I1522=""),"",I1522-H1522)</x:f>
      </x:c>
      <x:c r="K1522" s="7" t="str"/>
      <x:c r="L1522" s="7" t="str"/>
      <x:c r="M1522" s="7" t="str"/>
      <x:c r="N1522" s="7" t="str">
        <x:f>IF(M1522="","OPEN",IF(OR(NOT(ISNUMBER(H1522)),NOT(ISNUMBER(I1522)),K1522="",L1522=""),"FAIL","PASS"))</x:f>
        <x:v>OPEN</x:v>
      </x:c>
    </x:row>
    <x:row r="1523">
      <x:c r="B1523" s="7" t="str">
        <x:v>TRO-C-16-S2-O1-R1</x:v>
      </x:c>
      <x:c r="C1523" s="7" t="str">
        <x:v>BLD-C</x:v>
      </x:c>
      <x:c r="D1523" s="7" t="str">
        <x:v>MF-16</x:v>
      </x:c>
      <x:c r="E1523" s="7" t="str">
        <x:v>STD-16-2</x:v>
      </x:c>
      <x:c r="F1523" s="7" t="str">
        <x:v>OP-1</x:v>
      </x:c>
      <x:c r="G1523" s="7" t="n">
        <x:v>1</x:v>
      </x:c>
      <x:c r="H1523" s="7" t="str"/>
      <x:c r="I1523" s="7" t="str"/>
      <x:c r="J1523" s="7" t="str">
        <x:f>IF(OR(H1523="",I1523=""),"",I1523-H1523)</x:f>
      </x:c>
      <x:c r="K1523" s="7" t="str"/>
      <x:c r="L1523" s="7" t="str"/>
      <x:c r="M1523" s="7" t="str"/>
      <x:c r="N1523" s="7" t="str">
        <x:f>IF(M1523="","OPEN",IF(OR(NOT(ISNUMBER(H1523)),NOT(ISNUMBER(I1523)),K1523="",L1523=""),"FAIL","PASS"))</x:f>
        <x:v>OPEN</x:v>
      </x:c>
    </x:row>
    <x:row r="1524">
      <x:c r="B1524" s="7" t="str">
        <x:v>TRO-C-16-S2-O1-R2</x:v>
      </x:c>
      <x:c r="C1524" s="7" t="str">
        <x:v>BLD-C</x:v>
      </x:c>
      <x:c r="D1524" s="7" t="str">
        <x:v>MF-16</x:v>
      </x:c>
      <x:c r="E1524" s="7" t="str">
        <x:v>STD-16-2</x:v>
      </x:c>
      <x:c r="F1524" s="7" t="str">
        <x:v>OP-1</x:v>
      </x:c>
      <x:c r="G1524" s="7" t="n">
        <x:v>2</x:v>
      </x:c>
      <x:c r="H1524" s="7" t="str"/>
      <x:c r="I1524" s="7" t="str"/>
      <x:c r="J1524" s="7" t="str">
        <x:f>IF(OR(H1524="",I1524=""),"",I1524-H1524)</x:f>
      </x:c>
      <x:c r="K1524" s="7" t="str"/>
      <x:c r="L1524" s="7" t="str"/>
      <x:c r="M1524" s="7" t="str"/>
      <x:c r="N1524" s="7" t="str">
        <x:f>IF(M1524="","OPEN",IF(OR(NOT(ISNUMBER(H1524)),NOT(ISNUMBER(I1524)),K1524="",L1524=""),"FAIL","PASS"))</x:f>
        <x:v>OPEN</x:v>
      </x:c>
    </x:row>
    <x:row r="1525">
      <x:c r="B1525" s="7" t="str">
        <x:v>TRO-C-16-S2-O2-R1</x:v>
      </x:c>
      <x:c r="C1525" s="7" t="str">
        <x:v>BLD-C</x:v>
      </x:c>
      <x:c r="D1525" s="7" t="str">
        <x:v>MF-16</x:v>
      </x:c>
      <x:c r="E1525" s="7" t="str">
        <x:v>STD-16-2</x:v>
      </x:c>
      <x:c r="F1525" s="7" t="str">
        <x:v>OP-2</x:v>
      </x:c>
      <x:c r="G1525" s="7" t="n">
        <x:v>1</x:v>
      </x:c>
      <x:c r="H1525" s="7" t="str"/>
      <x:c r="I1525" s="7" t="str"/>
      <x:c r="J1525" s="7" t="str">
        <x:f>IF(OR(H1525="",I1525=""),"",I1525-H1525)</x:f>
      </x:c>
      <x:c r="K1525" s="7" t="str"/>
      <x:c r="L1525" s="7" t="str"/>
      <x:c r="M1525" s="7" t="str"/>
      <x:c r="N1525" s="7" t="str">
        <x:f>IF(M1525="","OPEN",IF(OR(NOT(ISNUMBER(H1525)),NOT(ISNUMBER(I1525)),K1525="",L1525=""),"FAIL","PASS"))</x:f>
        <x:v>OPEN</x:v>
      </x:c>
    </x:row>
    <x:row r="1526">
      <x:c r="B1526" s="7" t="str">
        <x:v>TRO-C-16-S2-O2-R2</x:v>
      </x:c>
      <x:c r="C1526" s="7" t="str">
        <x:v>BLD-C</x:v>
      </x:c>
      <x:c r="D1526" s="7" t="str">
        <x:v>MF-16</x:v>
      </x:c>
      <x:c r="E1526" s="7" t="str">
        <x:v>STD-16-2</x:v>
      </x:c>
      <x:c r="F1526" s="7" t="str">
        <x:v>OP-2</x:v>
      </x:c>
      <x:c r="G1526" s="7" t="n">
        <x:v>2</x:v>
      </x:c>
      <x:c r="H1526" s="7" t="str"/>
      <x:c r="I1526" s="7" t="str"/>
      <x:c r="J1526" s="7" t="str">
        <x:f>IF(OR(H1526="",I1526=""),"",I1526-H1526)</x:f>
      </x:c>
      <x:c r="K1526" s="7" t="str"/>
      <x:c r="L1526" s="7" t="str"/>
      <x:c r="M1526" s="7" t="str"/>
      <x:c r="N1526" s="7" t="str">
        <x:f>IF(M1526="","OPEN",IF(OR(NOT(ISNUMBER(H1526)),NOT(ISNUMBER(I1526)),K1526="",L1526=""),"FAIL","PASS"))</x:f>
        <x:v>OPEN</x:v>
      </x:c>
    </x:row>
    <x:row r="1527">
      <x:c r="B1527" s="7" t="str">
        <x:v>TRO-C-16-S3-O1-R1</x:v>
      </x:c>
      <x:c r="C1527" s="7" t="str">
        <x:v>BLD-C</x:v>
      </x:c>
      <x:c r="D1527" s="7" t="str">
        <x:v>MF-16</x:v>
      </x:c>
      <x:c r="E1527" s="7" t="str">
        <x:v>STD-16-3</x:v>
      </x:c>
      <x:c r="F1527" s="7" t="str">
        <x:v>OP-1</x:v>
      </x:c>
      <x:c r="G1527" s="7" t="n">
        <x:v>1</x:v>
      </x:c>
      <x:c r="H1527" s="7" t="str"/>
      <x:c r="I1527" s="7" t="str"/>
      <x:c r="J1527" s="7" t="str">
        <x:f>IF(OR(H1527="",I1527=""),"",I1527-H1527)</x:f>
      </x:c>
      <x:c r="K1527" s="7" t="str"/>
      <x:c r="L1527" s="7" t="str"/>
      <x:c r="M1527" s="7" t="str"/>
      <x:c r="N1527" s="7" t="str">
        <x:f>IF(M1527="","OPEN",IF(OR(NOT(ISNUMBER(H1527)),NOT(ISNUMBER(I1527)),K1527="",L1527=""),"FAIL","PASS"))</x:f>
        <x:v>OPEN</x:v>
      </x:c>
    </x:row>
    <x:row r="1528">
      <x:c r="B1528" s="7" t="str">
        <x:v>TRO-C-16-S3-O1-R2</x:v>
      </x:c>
      <x:c r="C1528" s="7" t="str">
        <x:v>BLD-C</x:v>
      </x:c>
      <x:c r="D1528" s="7" t="str">
        <x:v>MF-16</x:v>
      </x:c>
      <x:c r="E1528" s="7" t="str">
        <x:v>STD-16-3</x:v>
      </x:c>
      <x:c r="F1528" s="7" t="str">
        <x:v>OP-1</x:v>
      </x:c>
      <x:c r="G1528" s="7" t="n">
        <x:v>2</x:v>
      </x:c>
      <x:c r="H1528" s="7" t="str"/>
      <x:c r="I1528" s="7" t="str"/>
      <x:c r="J1528" s="7" t="str">
        <x:f>IF(OR(H1528="",I1528=""),"",I1528-H1528)</x:f>
      </x:c>
      <x:c r="K1528" s="7" t="str"/>
      <x:c r="L1528" s="7" t="str"/>
      <x:c r="M1528" s="7" t="str"/>
      <x:c r="N1528" s="7" t="str">
        <x:f>IF(M1528="","OPEN",IF(OR(NOT(ISNUMBER(H1528)),NOT(ISNUMBER(I1528)),K1528="",L1528=""),"FAIL","PASS"))</x:f>
        <x:v>OPEN</x:v>
      </x:c>
    </x:row>
    <x:row r="1529">
      <x:c r="B1529" s="7" t="str">
        <x:v>TRO-C-16-S3-O2-R1</x:v>
      </x:c>
      <x:c r="C1529" s="7" t="str">
        <x:v>BLD-C</x:v>
      </x:c>
      <x:c r="D1529" s="7" t="str">
        <x:v>MF-16</x:v>
      </x:c>
      <x:c r="E1529" s="7" t="str">
        <x:v>STD-16-3</x:v>
      </x:c>
      <x:c r="F1529" s="7" t="str">
        <x:v>OP-2</x:v>
      </x:c>
      <x:c r="G1529" s="7" t="n">
        <x:v>1</x:v>
      </x:c>
      <x:c r="H1529" s="7" t="str"/>
      <x:c r="I1529" s="7" t="str"/>
      <x:c r="J1529" s="7" t="str">
        <x:f>IF(OR(H1529="",I1529=""),"",I1529-H1529)</x:f>
      </x:c>
      <x:c r="K1529" s="7" t="str"/>
      <x:c r="L1529" s="7" t="str"/>
      <x:c r="M1529" s="7" t="str"/>
      <x:c r="N1529" s="7" t="str">
        <x:f>IF(M1529="","OPEN",IF(OR(NOT(ISNUMBER(H1529)),NOT(ISNUMBER(I1529)),K1529="",L1529=""),"FAIL","PASS"))</x:f>
        <x:v>OPEN</x:v>
      </x:c>
    </x:row>
    <x:row r="1530">
      <x:c r="B1530" s="7" t="str">
        <x:v>TRO-C-16-S3-O2-R2</x:v>
      </x:c>
      <x:c r="C1530" s="7" t="str">
        <x:v>BLD-C</x:v>
      </x:c>
      <x:c r="D1530" s="7" t="str">
        <x:v>MF-16</x:v>
      </x:c>
      <x:c r="E1530" s="7" t="str">
        <x:v>STD-16-3</x:v>
      </x:c>
      <x:c r="F1530" s="7" t="str">
        <x:v>OP-2</x:v>
      </x:c>
      <x:c r="G1530" s="7" t="n">
        <x:v>2</x:v>
      </x:c>
      <x:c r="H1530" s="7" t="str"/>
      <x:c r="I1530" s="7" t="str"/>
      <x:c r="J1530" s="7" t="str">
        <x:f>IF(OR(H1530="",I1530=""),"",I1530-H1530)</x:f>
      </x:c>
      <x:c r="K1530" s="7" t="str"/>
      <x:c r="L1530" s="7" t="str"/>
      <x:c r="M1530" s="7" t="str"/>
      <x:c r="N1530" s="7" t="str">
        <x:f>IF(M1530="","OPEN",IF(OR(NOT(ISNUMBER(H1530)),NOT(ISNUMBER(I1530)),K1530="",L1530=""),"FAIL","PASS"))</x:f>
        <x:v>OPEN</x:v>
      </x:c>
    </x:row>
    <x:row r="1531">
      <x:c r="B1531" s="7" t="str">
        <x:v>TRO-C-16-S4-O1-R1</x:v>
      </x:c>
      <x:c r="C1531" s="7" t="str">
        <x:v>BLD-C</x:v>
      </x:c>
      <x:c r="D1531" s="7" t="str">
        <x:v>MF-16</x:v>
      </x:c>
      <x:c r="E1531" s="7" t="str">
        <x:v>STD-16-4</x:v>
      </x:c>
      <x:c r="F1531" s="7" t="str">
        <x:v>OP-1</x:v>
      </x:c>
      <x:c r="G1531" s="7" t="n">
        <x:v>1</x:v>
      </x:c>
      <x:c r="H1531" s="7" t="str"/>
      <x:c r="I1531" s="7" t="str"/>
      <x:c r="J1531" s="7" t="str">
        <x:f>IF(OR(H1531="",I1531=""),"",I1531-H1531)</x:f>
      </x:c>
      <x:c r="K1531" s="7" t="str"/>
      <x:c r="L1531" s="7" t="str"/>
      <x:c r="M1531" s="7" t="str"/>
      <x:c r="N1531" s="7" t="str">
        <x:f>IF(M1531="","OPEN",IF(OR(NOT(ISNUMBER(H1531)),NOT(ISNUMBER(I1531)),K1531="",L1531=""),"FAIL","PASS"))</x:f>
        <x:v>OPEN</x:v>
      </x:c>
    </x:row>
    <x:row r="1532">
      <x:c r="B1532" s="7" t="str">
        <x:v>TRO-C-16-S4-O1-R2</x:v>
      </x:c>
      <x:c r="C1532" s="7" t="str">
        <x:v>BLD-C</x:v>
      </x:c>
      <x:c r="D1532" s="7" t="str">
        <x:v>MF-16</x:v>
      </x:c>
      <x:c r="E1532" s="7" t="str">
        <x:v>STD-16-4</x:v>
      </x:c>
      <x:c r="F1532" s="7" t="str">
        <x:v>OP-1</x:v>
      </x:c>
      <x:c r="G1532" s="7" t="n">
        <x:v>2</x:v>
      </x:c>
      <x:c r="H1532" s="7" t="str"/>
      <x:c r="I1532" s="7" t="str"/>
      <x:c r="J1532" s="7" t="str">
        <x:f>IF(OR(H1532="",I1532=""),"",I1532-H1532)</x:f>
      </x:c>
      <x:c r="K1532" s="7" t="str"/>
      <x:c r="L1532" s="7" t="str"/>
      <x:c r="M1532" s="7" t="str"/>
      <x:c r="N1532" s="7" t="str">
        <x:f>IF(M1532="","OPEN",IF(OR(NOT(ISNUMBER(H1532)),NOT(ISNUMBER(I1532)),K1532="",L1532=""),"FAIL","PASS"))</x:f>
        <x:v>OPEN</x:v>
      </x:c>
    </x:row>
    <x:row r="1533">
      <x:c r="B1533" s="7" t="str">
        <x:v>TRO-C-16-S4-O2-R1</x:v>
      </x:c>
      <x:c r="C1533" s="7" t="str">
        <x:v>BLD-C</x:v>
      </x:c>
      <x:c r="D1533" s="7" t="str">
        <x:v>MF-16</x:v>
      </x:c>
      <x:c r="E1533" s="7" t="str">
        <x:v>STD-16-4</x:v>
      </x:c>
      <x:c r="F1533" s="7" t="str">
        <x:v>OP-2</x:v>
      </x:c>
      <x:c r="G1533" s="7" t="n">
        <x:v>1</x:v>
      </x:c>
      <x:c r="H1533" s="7" t="str"/>
      <x:c r="I1533" s="7" t="str"/>
      <x:c r="J1533" s="7" t="str">
        <x:f>IF(OR(H1533="",I1533=""),"",I1533-H1533)</x:f>
      </x:c>
      <x:c r="K1533" s="7" t="str"/>
      <x:c r="L1533" s="7" t="str"/>
      <x:c r="M1533" s="7" t="str"/>
      <x:c r="N1533" s="7" t="str">
        <x:f>IF(M1533="","OPEN",IF(OR(NOT(ISNUMBER(H1533)),NOT(ISNUMBER(I1533)),K1533="",L1533=""),"FAIL","PASS"))</x:f>
        <x:v>OPEN</x:v>
      </x:c>
    </x:row>
    <x:row r="1534">
      <x:c r="B1534" s="7" t="str">
        <x:v>TRO-C-16-S4-O2-R2</x:v>
      </x:c>
      <x:c r="C1534" s="7" t="str">
        <x:v>BLD-C</x:v>
      </x:c>
      <x:c r="D1534" s="7" t="str">
        <x:v>MF-16</x:v>
      </x:c>
      <x:c r="E1534" s="7" t="str">
        <x:v>STD-16-4</x:v>
      </x:c>
      <x:c r="F1534" s="7" t="str">
        <x:v>OP-2</x:v>
      </x:c>
      <x:c r="G1534" s="7" t="n">
        <x:v>2</x:v>
      </x:c>
      <x:c r="H1534" s="7" t="str"/>
      <x:c r="I1534" s="7" t="str"/>
      <x:c r="J1534" s="7" t="str">
        <x:f>IF(OR(H1534="",I1534=""),"",I1534-H1534)</x:f>
      </x:c>
      <x:c r="K1534" s="7" t="str"/>
      <x:c r="L1534" s="7" t="str"/>
      <x:c r="M1534" s="7" t="str"/>
      <x:c r="N1534" s="7" t="str">
        <x:f>IF(M1534="","OPEN",IF(OR(NOT(ISNUMBER(H1534)),NOT(ISNUMBER(I1534)),K1534="",L1534=""),"FAIL","PASS"))</x:f>
        <x:v>OPEN</x:v>
      </x:c>
    </x:row>
    <x:row r="1535">
      <x:c r="B1535" s="7" t="str">
        <x:v>TRO-C-16-S5-O1-R1</x:v>
      </x:c>
      <x:c r="C1535" s="7" t="str">
        <x:v>BLD-C</x:v>
      </x:c>
      <x:c r="D1535" s="7" t="str">
        <x:v>MF-16</x:v>
      </x:c>
      <x:c r="E1535" s="7" t="str">
        <x:v>STD-16-5</x:v>
      </x:c>
      <x:c r="F1535" s="7" t="str">
        <x:v>OP-1</x:v>
      </x:c>
      <x:c r="G1535" s="7" t="n">
        <x:v>1</x:v>
      </x:c>
      <x:c r="H1535" s="7" t="str"/>
      <x:c r="I1535" s="7" t="str"/>
      <x:c r="J1535" s="7" t="str">
        <x:f>IF(OR(H1535="",I1535=""),"",I1535-H1535)</x:f>
      </x:c>
      <x:c r="K1535" s="7" t="str"/>
      <x:c r="L1535" s="7" t="str"/>
      <x:c r="M1535" s="7" t="str"/>
      <x:c r="N1535" s="7" t="str">
        <x:f>IF(M1535="","OPEN",IF(OR(NOT(ISNUMBER(H1535)),NOT(ISNUMBER(I1535)),K1535="",L1535=""),"FAIL","PASS"))</x:f>
        <x:v>OPEN</x:v>
      </x:c>
    </x:row>
    <x:row r="1536">
      <x:c r="B1536" s="7" t="str">
        <x:v>TRO-C-16-S5-O1-R2</x:v>
      </x:c>
      <x:c r="C1536" s="7" t="str">
        <x:v>BLD-C</x:v>
      </x:c>
      <x:c r="D1536" s="7" t="str">
        <x:v>MF-16</x:v>
      </x:c>
      <x:c r="E1536" s="7" t="str">
        <x:v>STD-16-5</x:v>
      </x:c>
      <x:c r="F1536" s="7" t="str">
        <x:v>OP-1</x:v>
      </x:c>
      <x:c r="G1536" s="7" t="n">
        <x:v>2</x:v>
      </x:c>
      <x:c r="H1536" s="7" t="str"/>
      <x:c r="I1536" s="7" t="str"/>
      <x:c r="J1536" s="7" t="str">
        <x:f>IF(OR(H1536="",I1536=""),"",I1536-H1536)</x:f>
      </x:c>
      <x:c r="K1536" s="7" t="str"/>
      <x:c r="L1536" s="7" t="str"/>
      <x:c r="M1536" s="7" t="str"/>
      <x:c r="N1536" s="7" t="str">
        <x:f>IF(M1536="","OPEN",IF(OR(NOT(ISNUMBER(H1536)),NOT(ISNUMBER(I1536)),K1536="",L1536=""),"FAIL","PASS"))</x:f>
        <x:v>OPEN</x:v>
      </x:c>
    </x:row>
    <x:row r="1537">
      <x:c r="B1537" s="7" t="str">
        <x:v>TRO-C-16-S5-O2-R1</x:v>
      </x:c>
      <x:c r="C1537" s="7" t="str">
        <x:v>BLD-C</x:v>
      </x:c>
      <x:c r="D1537" s="7" t="str">
        <x:v>MF-16</x:v>
      </x:c>
      <x:c r="E1537" s="7" t="str">
        <x:v>STD-16-5</x:v>
      </x:c>
      <x:c r="F1537" s="7" t="str">
        <x:v>OP-2</x:v>
      </x:c>
      <x:c r="G1537" s="7" t="n">
        <x:v>1</x:v>
      </x:c>
      <x:c r="H1537" s="7" t="str"/>
      <x:c r="I1537" s="7" t="str"/>
      <x:c r="J1537" s="7" t="str">
        <x:f>IF(OR(H1537="",I1537=""),"",I1537-H1537)</x:f>
      </x:c>
      <x:c r="K1537" s="7" t="str"/>
      <x:c r="L1537" s="7" t="str"/>
      <x:c r="M1537" s="7" t="str"/>
      <x:c r="N1537" s="7" t="str">
        <x:f>IF(M1537="","OPEN",IF(OR(NOT(ISNUMBER(H1537)),NOT(ISNUMBER(I1537)),K1537="",L1537=""),"FAIL","PASS"))</x:f>
        <x:v>OPEN</x:v>
      </x:c>
    </x:row>
    <x:row r="1538">
      <x:c r="B1538" s="7" t="str">
        <x:v>TRO-C-16-S5-O2-R2</x:v>
      </x:c>
      <x:c r="C1538" s="7" t="str">
        <x:v>BLD-C</x:v>
      </x:c>
      <x:c r="D1538" s="7" t="str">
        <x:v>MF-16</x:v>
      </x:c>
      <x:c r="E1538" s="7" t="str">
        <x:v>STD-16-5</x:v>
      </x:c>
      <x:c r="F1538" s="7" t="str">
        <x:v>OP-2</x:v>
      </x:c>
      <x:c r="G1538" s="7" t="n">
        <x:v>2</x:v>
      </x:c>
      <x:c r="H1538" s="7" t="str"/>
      <x:c r="I1538" s="7" t="str"/>
      <x:c r="J1538" s="7" t="str">
        <x:f>IF(OR(H1538="",I1538=""),"",I1538-H1538)</x:f>
      </x:c>
      <x:c r="K1538" s="7" t="str"/>
      <x:c r="L1538" s="7" t="str"/>
      <x:c r="M1538" s="7" t="str"/>
      <x:c r="N1538" s="7" t="str">
        <x:f>IF(M1538="","OPEN",IF(OR(NOT(ISNUMBER(H1538)),NOT(ISNUMBER(I1538)),K1538="",L1538=""),"FAIL","PASS"))</x:f>
        <x:v>OPEN</x:v>
      </x:c>
    </x:row>
    <x:row r="1539">
      <x:c r="B1539" s="7" t="str">
        <x:v>TRO-C-16-S6-O1-R1</x:v>
      </x:c>
      <x:c r="C1539" s="7" t="str">
        <x:v>BLD-C</x:v>
      </x:c>
      <x:c r="D1539" s="7" t="str">
        <x:v>MF-16</x:v>
      </x:c>
      <x:c r="E1539" s="7" t="str">
        <x:v>STD-16-6</x:v>
      </x:c>
      <x:c r="F1539" s="7" t="str">
        <x:v>OP-1</x:v>
      </x:c>
      <x:c r="G1539" s="7" t="n">
        <x:v>1</x:v>
      </x:c>
      <x:c r="H1539" s="7" t="str"/>
      <x:c r="I1539" s="7" t="str"/>
      <x:c r="J1539" s="7" t="str">
        <x:f>IF(OR(H1539="",I1539=""),"",I1539-H1539)</x:f>
      </x:c>
      <x:c r="K1539" s="7" t="str"/>
      <x:c r="L1539" s="7" t="str"/>
      <x:c r="M1539" s="7" t="str"/>
      <x:c r="N1539" s="7" t="str">
        <x:f>IF(M1539="","OPEN",IF(OR(NOT(ISNUMBER(H1539)),NOT(ISNUMBER(I1539)),K1539="",L1539=""),"FAIL","PASS"))</x:f>
        <x:v>OPEN</x:v>
      </x:c>
    </x:row>
    <x:row r="1540">
      <x:c r="B1540" s="7" t="str">
        <x:v>TRO-C-16-S6-O1-R2</x:v>
      </x:c>
      <x:c r="C1540" s="7" t="str">
        <x:v>BLD-C</x:v>
      </x:c>
      <x:c r="D1540" s="7" t="str">
        <x:v>MF-16</x:v>
      </x:c>
      <x:c r="E1540" s="7" t="str">
        <x:v>STD-16-6</x:v>
      </x:c>
      <x:c r="F1540" s="7" t="str">
        <x:v>OP-1</x:v>
      </x:c>
      <x:c r="G1540" s="7" t="n">
        <x:v>2</x:v>
      </x:c>
      <x:c r="H1540" s="7" t="str"/>
      <x:c r="I1540" s="7" t="str"/>
      <x:c r="J1540" s="7" t="str">
        <x:f>IF(OR(H1540="",I1540=""),"",I1540-H1540)</x:f>
      </x:c>
      <x:c r="K1540" s="7" t="str"/>
      <x:c r="L1540" s="7" t="str"/>
      <x:c r="M1540" s="7" t="str"/>
      <x:c r="N1540" s="7" t="str">
        <x:f>IF(M1540="","OPEN",IF(OR(NOT(ISNUMBER(H1540)),NOT(ISNUMBER(I1540)),K1540="",L1540=""),"FAIL","PASS"))</x:f>
        <x:v>OPEN</x:v>
      </x:c>
    </x:row>
    <x:row r="1541">
      <x:c r="B1541" s="7" t="str">
        <x:v>TRO-C-16-S6-O2-R1</x:v>
      </x:c>
      <x:c r="C1541" s="7" t="str">
        <x:v>BLD-C</x:v>
      </x:c>
      <x:c r="D1541" s="7" t="str">
        <x:v>MF-16</x:v>
      </x:c>
      <x:c r="E1541" s="7" t="str">
        <x:v>STD-16-6</x:v>
      </x:c>
      <x:c r="F1541" s="7" t="str">
        <x:v>OP-2</x:v>
      </x:c>
      <x:c r="G1541" s="7" t="n">
        <x:v>1</x:v>
      </x:c>
      <x:c r="H1541" s="7" t="str"/>
      <x:c r="I1541" s="7" t="str"/>
      <x:c r="J1541" s="7" t="str">
        <x:f>IF(OR(H1541="",I1541=""),"",I1541-H1541)</x:f>
      </x:c>
      <x:c r="K1541" s="7" t="str"/>
      <x:c r="L1541" s="7" t="str"/>
      <x:c r="M1541" s="7" t="str"/>
      <x:c r="N1541" s="7" t="str">
        <x:f>IF(M1541="","OPEN",IF(OR(NOT(ISNUMBER(H1541)),NOT(ISNUMBER(I1541)),K1541="",L1541=""),"FAIL","PASS"))</x:f>
        <x:v>OPEN</x:v>
      </x:c>
    </x:row>
    <x:row r="1542">
      <x:c r="B1542" s="7" t="str">
        <x:v>TRO-C-16-S6-O2-R2</x:v>
      </x:c>
      <x:c r="C1542" s="7" t="str">
        <x:v>BLD-C</x:v>
      </x:c>
      <x:c r="D1542" s="7" t="str">
        <x:v>MF-16</x:v>
      </x:c>
      <x:c r="E1542" s="7" t="str">
        <x:v>STD-16-6</x:v>
      </x:c>
      <x:c r="F1542" s="7" t="str">
        <x:v>OP-2</x:v>
      </x:c>
      <x:c r="G1542" s="7" t="n">
        <x:v>2</x:v>
      </x:c>
      <x:c r="H1542" s="7" t="str"/>
      <x:c r="I1542" s="7" t="str"/>
      <x:c r="J1542" s="7" t="str">
        <x:f>IF(OR(H1542="",I1542=""),"",I1542-H1542)</x:f>
      </x:c>
      <x:c r="K1542" s="7" t="str"/>
      <x:c r="L1542" s="7" t="str"/>
      <x:c r="M1542" s="7" t="str"/>
      <x:c r="N1542" s="7" t="str">
        <x:f>IF(M1542="","OPEN",IF(OR(NOT(ISNUMBER(H1542)),NOT(ISNUMBER(I1542)),K1542="",L1542=""),"FAIL","PASS"))</x:f>
        <x:v>OPEN</x:v>
      </x:c>
    </x:row>
    <x:row r="1543">
      <x:c r="B1543" s="7" t="str">
        <x:v>TRO-C-17-S1-O1-R1</x:v>
      </x:c>
      <x:c r="C1543" s="7" t="str">
        <x:v>BLD-C</x:v>
      </x:c>
      <x:c r="D1543" s="7" t="str">
        <x:v>MF-17</x:v>
      </x:c>
      <x:c r="E1543" s="7" t="str">
        <x:v>STD-17-1</x:v>
      </x:c>
      <x:c r="F1543" s="7" t="str">
        <x:v>OP-1</x:v>
      </x:c>
      <x:c r="G1543" s="7" t="n">
        <x:v>1</x:v>
      </x:c>
      <x:c r="H1543" s="7" t="str"/>
      <x:c r="I1543" s="7" t="str"/>
      <x:c r="J1543" s="7" t="str">
        <x:f>IF(OR(H1543="",I1543=""),"",I1543-H1543)</x:f>
      </x:c>
      <x:c r="K1543" s="7" t="str"/>
      <x:c r="L1543" s="7" t="str"/>
      <x:c r="M1543" s="7" t="str"/>
      <x:c r="N1543" s="7" t="str">
        <x:f>IF(M1543="","OPEN",IF(OR(NOT(ISNUMBER(H1543)),NOT(ISNUMBER(I1543)),K1543="",L1543=""),"FAIL","PASS"))</x:f>
        <x:v>OPEN</x:v>
      </x:c>
    </x:row>
    <x:row r="1544">
      <x:c r="B1544" s="7" t="str">
        <x:v>TRO-C-17-S1-O1-R2</x:v>
      </x:c>
      <x:c r="C1544" s="7" t="str">
        <x:v>BLD-C</x:v>
      </x:c>
      <x:c r="D1544" s="7" t="str">
        <x:v>MF-17</x:v>
      </x:c>
      <x:c r="E1544" s="7" t="str">
        <x:v>STD-17-1</x:v>
      </x:c>
      <x:c r="F1544" s="7" t="str">
        <x:v>OP-1</x:v>
      </x:c>
      <x:c r="G1544" s="7" t="n">
        <x:v>2</x:v>
      </x:c>
      <x:c r="H1544" s="7" t="str"/>
      <x:c r="I1544" s="7" t="str"/>
      <x:c r="J1544" s="7" t="str">
        <x:f>IF(OR(H1544="",I1544=""),"",I1544-H1544)</x:f>
      </x:c>
      <x:c r="K1544" s="7" t="str"/>
      <x:c r="L1544" s="7" t="str"/>
      <x:c r="M1544" s="7" t="str"/>
      <x:c r="N1544" s="7" t="str">
        <x:f>IF(M1544="","OPEN",IF(OR(NOT(ISNUMBER(H1544)),NOT(ISNUMBER(I1544)),K1544="",L1544=""),"FAIL","PASS"))</x:f>
        <x:v>OPEN</x:v>
      </x:c>
    </x:row>
    <x:row r="1545">
      <x:c r="B1545" s="7" t="str">
        <x:v>TRO-C-17-S1-O2-R1</x:v>
      </x:c>
      <x:c r="C1545" s="7" t="str">
        <x:v>BLD-C</x:v>
      </x:c>
      <x:c r="D1545" s="7" t="str">
        <x:v>MF-17</x:v>
      </x:c>
      <x:c r="E1545" s="7" t="str">
        <x:v>STD-17-1</x:v>
      </x:c>
      <x:c r="F1545" s="7" t="str">
        <x:v>OP-2</x:v>
      </x:c>
      <x:c r="G1545" s="7" t="n">
        <x:v>1</x:v>
      </x:c>
      <x:c r="H1545" s="7" t="str"/>
      <x:c r="I1545" s="7" t="str"/>
      <x:c r="J1545" s="7" t="str">
        <x:f>IF(OR(H1545="",I1545=""),"",I1545-H1545)</x:f>
      </x:c>
      <x:c r="K1545" s="7" t="str"/>
      <x:c r="L1545" s="7" t="str"/>
      <x:c r="M1545" s="7" t="str"/>
      <x:c r="N1545" s="7" t="str">
        <x:f>IF(M1545="","OPEN",IF(OR(NOT(ISNUMBER(H1545)),NOT(ISNUMBER(I1545)),K1545="",L1545=""),"FAIL","PASS"))</x:f>
        <x:v>OPEN</x:v>
      </x:c>
    </x:row>
    <x:row r="1546">
      <x:c r="B1546" s="7" t="str">
        <x:v>TRO-C-17-S1-O2-R2</x:v>
      </x:c>
      <x:c r="C1546" s="7" t="str">
        <x:v>BLD-C</x:v>
      </x:c>
      <x:c r="D1546" s="7" t="str">
        <x:v>MF-17</x:v>
      </x:c>
      <x:c r="E1546" s="7" t="str">
        <x:v>STD-17-1</x:v>
      </x:c>
      <x:c r="F1546" s="7" t="str">
        <x:v>OP-2</x:v>
      </x:c>
      <x:c r="G1546" s="7" t="n">
        <x:v>2</x:v>
      </x:c>
      <x:c r="H1546" s="7" t="str"/>
      <x:c r="I1546" s="7" t="str"/>
      <x:c r="J1546" s="7" t="str">
        <x:f>IF(OR(H1546="",I1546=""),"",I1546-H1546)</x:f>
      </x:c>
      <x:c r="K1546" s="7" t="str"/>
      <x:c r="L1546" s="7" t="str"/>
      <x:c r="M1546" s="7" t="str"/>
      <x:c r="N1546" s="7" t="str">
        <x:f>IF(M1546="","OPEN",IF(OR(NOT(ISNUMBER(H1546)),NOT(ISNUMBER(I1546)),K1546="",L1546=""),"FAIL","PASS"))</x:f>
        <x:v>OPEN</x:v>
      </x:c>
    </x:row>
    <x:row r="1547">
      <x:c r="B1547" s="7" t="str">
        <x:v>TRO-C-17-S2-O1-R1</x:v>
      </x:c>
      <x:c r="C1547" s="7" t="str">
        <x:v>BLD-C</x:v>
      </x:c>
      <x:c r="D1547" s="7" t="str">
        <x:v>MF-17</x:v>
      </x:c>
      <x:c r="E1547" s="7" t="str">
        <x:v>STD-17-2</x:v>
      </x:c>
      <x:c r="F1547" s="7" t="str">
        <x:v>OP-1</x:v>
      </x:c>
      <x:c r="G1547" s="7" t="n">
        <x:v>1</x:v>
      </x:c>
      <x:c r="H1547" s="7" t="str"/>
      <x:c r="I1547" s="7" t="str"/>
      <x:c r="J1547" s="7" t="str">
        <x:f>IF(OR(H1547="",I1547=""),"",I1547-H1547)</x:f>
      </x:c>
      <x:c r="K1547" s="7" t="str"/>
      <x:c r="L1547" s="7" t="str"/>
      <x:c r="M1547" s="7" t="str"/>
      <x:c r="N1547" s="7" t="str">
        <x:f>IF(M1547="","OPEN",IF(OR(NOT(ISNUMBER(H1547)),NOT(ISNUMBER(I1547)),K1547="",L1547=""),"FAIL","PASS"))</x:f>
        <x:v>OPEN</x:v>
      </x:c>
    </x:row>
    <x:row r="1548">
      <x:c r="B1548" s="7" t="str">
        <x:v>TRO-C-17-S2-O1-R2</x:v>
      </x:c>
      <x:c r="C1548" s="7" t="str">
        <x:v>BLD-C</x:v>
      </x:c>
      <x:c r="D1548" s="7" t="str">
        <x:v>MF-17</x:v>
      </x:c>
      <x:c r="E1548" s="7" t="str">
        <x:v>STD-17-2</x:v>
      </x:c>
      <x:c r="F1548" s="7" t="str">
        <x:v>OP-1</x:v>
      </x:c>
      <x:c r="G1548" s="7" t="n">
        <x:v>2</x:v>
      </x:c>
      <x:c r="H1548" s="7" t="str"/>
      <x:c r="I1548" s="7" t="str"/>
      <x:c r="J1548" s="7" t="str">
        <x:f>IF(OR(H1548="",I1548=""),"",I1548-H1548)</x:f>
      </x:c>
      <x:c r="K1548" s="7" t="str"/>
      <x:c r="L1548" s="7" t="str"/>
      <x:c r="M1548" s="7" t="str"/>
      <x:c r="N1548" s="7" t="str">
        <x:f>IF(M1548="","OPEN",IF(OR(NOT(ISNUMBER(H1548)),NOT(ISNUMBER(I1548)),K1548="",L1548=""),"FAIL","PASS"))</x:f>
        <x:v>OPEN</x:v>
      </x:c>
    </x:row>
    <x:row r="1549">
      <x:c r="B1549" s="7" t="str">
        <x:v>TRO-C-17-S2-O2-R1</x:v>
      </x:c>
      <x:c r="C1549" s="7" t="str">
        <x:v>BLD-C</x:v>
      </x:c>
      <x:c r="D1549" s="7" t="str">
        <x:v>MF-17</x:v>
      </x:c>
      <x:c r="E1549" s="7" t="str">
        <x:v>STD-17-2</x:v>
      </x:c>
      <x:c r="F1549" s="7" t="str">
        <x:v>OP-2</x:v>
      </x:c>
      <x:c r="G1549" s="7" t="n">
        <x:v>1</x:v>
      </x:c>
      <x:c r="H1549" s="7" t="str"/>
      <x:c r="I1549" s="7" t="str"/>
      <x:c r="J1549" s="7" t="str">
        <x:f>IF(OR(H1549="",I1549=""),"",I1549-H1549)</x:f>
      </x:c>
      <x:c r="K1549" s="7" t="str"/>
      <x:c r="L1549" s="7" t="str"/>
      <x:c r="M1549" s="7" t="str"/>
      <x:c r="N1549" s="7" t="str">
        <x:f>IF(M1549="","OPEN",IF(OR(NOT(ISNUMBER(H1549)),NOT(ISNUMBER(I1549)),K1549="",L1549=""),"FAIL","PASS"))</x:f>
        <x:v>OPEN</x:v>
      </x:c>
    </x:row>
    <x:row r="1550">
      <x:c r="B1550" s="7" t="str">
        <x:v>TRO-C-17-S2-O2-R2</x:v>
      </x:c>
      <x:c r="C1550" s="7" t="str">
        <x:v>BLD-C</x:v>
      </x:c>
      <x:c r="D1550" s="7" t="str">
        <x:v>MF-17</x:v>
      </x:c>
      <x:c r="E1550" s="7" t="str">
        <x:v>STD-17-2</x:v>
      </x:c>
      <x:c r="F1550" s="7" t="str">
        <x:v>OP-2</x:v>
      </x:c>
      <x:c r="G1550" s="7" t="n">
        <x:v>2</x:v>
      </x:c>
      <x:c r="H1550" s="7" t="str"/>
      <x:c r="I1550" s="7" t="str"/>
      <x:c r="J1550" s="7" t="str">
        <x:f>IF(OR(H1550="",I1550=""),"",I1550-H1550)</x:f>
      </x:c>
      <x:c r="K1550" s="7" t="str"/>
      <x:c r="L1550" s="7" t="str"/>
      <x:c r="M1550" s="7" t="str"/>
      <x:c r="N1550" s="7" t="str">
        <x:f>IF(M1550="","OPEN",IF(OR(NOT(ISNUMBER(H1550)),NOT(ISNUMBER(I1550)),K1550="",L1550=""),"FAIL","PASS"))</x:f>
        <x:v>OPEN</x:v>
      </x:c>
    </x:row>
    <x:row r="1551">
      <x:c r="B1551" s="7" t="str">
        <x:v>TRO-C-17-S3-O1-R1</x:v>
      </x:c>
      <x:c r="C1551" s="7" t="str">
        <x:v>BLD-C</x:v>
      </x:c>
      <x:c r="D1551" s="7" t="str">
        <x:v>MF-17</x:v>
      </x:c>
      <x:c r="E1551" s="7" t="str">
        <x:v>STD-17-3</x:v>
      </x:c>
      <x:c r="F1551" s="7" t="str">
        <x:v>OP-1</x:v>
      </x:c>
      <x:c r="G1551" s="7" t="n">
        <x:v>1</x:v>
      </x:c>
      <x:c r="H1551" s="7" t="str"/>
      <x:c r="I1551" s="7" t="str"/>
      <x:c r="J1551" s="7" t="str">
        <x:f>IF(OR(H1551="",I1551=""),"",I1551-H1551)</x:f>
      </x:c>
      <x:c r="K1551" s="7" t="str"/>
      <x:c r="L1551" s="7" t="str"/>
      <x:c r="M1551" s="7" t="str"/>
      <x:c r="N1551" s="7" t="str">
        <x:f>IF(M1551="","OPEN",IF(OR(NOT(ISNUMBER(H1551)),NOT(ISNUMBER(I1551)),K1551="",L1551=""),"FAIL","PASS"))</x:f>
        <x:v>OPEN</x:v>
      </x:c>
    </x:row>
    <x:row r="1552">
      <x:c r="B1552" s="7" t="str">
        <x:v>TRO-C-17-S3-O1-R2</x:v>
      </x:c>
      <x:c r="C1552" s="7" t="str">
        <x:v>BLD-C</x:v>
      </x:c>
      <x:c r="D1552" s="7" t="str">
        <x:v>MF-17</x:v>
      </x:c>
      <x:c r="E1552" s="7" t="str">
        <x:v>STD-17-3</x:v>
      </x:c>
      <x:c r="F1552" s="7" t="str">
        <x:v>OP-1</x:v>
      </x:c>
      <x:c r="G1552" s="7" t="n">
        <x:v>2</x:v>
      </x:c>
      <x:c r="H1552" s="7" t="str"/>
      <x:c r="I1552" s="7" t="str"/>
      <x:c r="J1552" s="7" t="str">
        <x:f>IF(OR(H1552="",I1552=""),"",I1552-H1552)</x:f>
      </x:c>
      <x:c r="K1552" s="7" t="str"/>
      <x:c r="L1552" s="7" t="str"/>
      <x:c r="M1552" s="7" t="str"/>
      <x:c r="N1552" s="7" t="str">
        <x:f>IF(M1552="","OPEN",IF(OR(NOT(ISNUMBER(H1552)),NOT(ISNUMBER(I1552)),K1552="",L1552=""),"FAIL","PASS"))</x:f>
        <x:v>OPEN</x:v>
      </x:c>
    </x:row>
    <x:row r="1553">
      <x:c r="B1553" s="7" t="str">
        <x:v>TRO-C-17-S3-O2-R1</x:v>
      </x:c>
      <x:c r="C1553" s="7" t="str">
        <x:v>BLD-C</x:v>
      </x:c>
      <x:c r="D1553" s="7" t="str">
        <x:v>MF-17</x:v>
      </x:c>
      <x:c r="E1553" s="7" t="str">
        <x:v>STD-17-3</x:v>
      </x:c>
      <x:c r="F1553" s="7" t="str">
        <x:v>OP-2</x:v>
      </x:c>
      <x:c r="G1553" s="7" t="n">
        <x:v>1</x:v>
      </x:c>
      <x:c r="H1553" s="7" t="str"/>
      <x:c r="I1553" s="7" t="str"/>
      <x:c r="J1553" s="7" t="str">
        <x:f>IF(OR(H1553="",I1553=""),"",I1553-H1553)</x:f>
      </x:c>
      <x:c r="K1553" s="7" t="str"/>
      <x:c r="L1553" s="7" t="str"/>
      <x:c r="M1553" s="7" t="str"/>
      <x:c r="N1553" s="7" t="str">
        <x:f>IF(M1553="","OPEN",IF(OR(NOT(ISNUMBER(H1553)),NOT(ISNUMBER(I1553)),K1553="",L1553=""),"FAIL","PASS"))</x:f>
        <x:v>OPEN</x:v>
      </x:c>
    </x:row>
    <x:row r="1554">
      <x:c r="B1554" s="7" t="str">
        <x:v>TRO-C-17-S3-O2-R2</x:v>
      </x:c>
      <x:c r="C1554" s="7" t="str">
        <x:v>BLD-C</x:v>
      </x:c>
      <x:c r="D1554" s="7" t="str">
        <x:v>MF-17</x:v>
      </x:c>
      <x:c r="E1554" s="7" t="str">
        <x:v>STD-17-3</x:v>
      </x:c>
      <x:c r="F1554" s="7" t="str">
        <x:v>OP-2</x:v>
      </x:c>
      <x:c r="G1554" s="7" t="n">
        <x:v>2</x:v>
      </x:c>
      <x:c r="H1554" s="7" t="str"/>
      <x:c r="I1554" s="7" t="str"/>
      <x:c r="J1554" s="7" t="str">
        <x:f>IF(OR(H1554="",I1554=""),"",I1554-H1554)</x:f>
      </x:c>
      <x:c r="K1554" s="7" t="str"/>
      <x:c r="L1554" s="7" t="str"/>
      <x:c r="M1554" s="7" t="str"/>
      <x:c r="N1554" s="7" t="str">
        <x:f>IF(M1554="","OPEN",IF(OR(NOT(ISNUMBER(H1554)),NOT(ISNUMBER(I1554)),K1554="",L1554=""),"FAIL","PASS"))</x:f>
        <x:v>OPEN</x:v>
      </x:c>
    </x:row>
    <x:row r="1555">
      <x:c r="B1555" s="7" t="str">
        <x:v>TRO-C-17-S4-O1-R1</x:v>
      </x:c>
      <x:c r="C1555" s="7" t="str">
        <x:v>BLD-C</x:v>
      </x:c>
      <x:c r="D1555" s="7" t="str">
        <x:v>MF-17</x:v>
      </x:c>
      <x:c r="E1555" s="7" t="str">
        <x:v>STD-17-4</x:v>
      </x:c>
      <x:c r="F1555" s="7" t="str">
        <x:v>OP-1</x:v>
      </x:c>
      <x:c r="G1555" s="7" t="n">
        <x:v>1</x:v>
      </x:c>
      <x:c r="H1555" s="7" t="str"/>
      <x:c r="I1555" s="7" t="str"/>
      <x:c r="J1555" s="7" t="str">
        <x:f>IF(OR(H1555="",I1555=""),"",I1555-H1555)</x:f>
      </x:c>
      <x:c r="K1555" s="7" t="str"/>
      <x:c r="L1555" s="7" t="str"/>
      <x:c r="M1555" s="7" t="str"/>
      <x:c r="N1555" s="7" t="str">
        <x:f>IF(M1555="","OPEN",IF(OR(NOT(ISNUMBER(H1555)),NOT(ISNUMBER(I1555)),K1555="",L1555=""),"FAIL","PASS"))</x:f>
        <x:v>OPEN</x:v>
      </x:c>
    </x:row>
    <x:row r="1556">
      <x:c r="B1556" s="7" t="str">
        <x:v>TRO-C-17-S4-O1-R2</x:v>
      </x:c>
      <x:c r="C1556" s="7" t="str">
        <x:v>BLD-C</x:v>
      </x:c>
      <x:c r="D1556" s="7" t="str">
        <x:v>MF-17</x:v>
      </x:c>
      <x:c r="E1556" s="7" t="str">
        <x:v>STD-17-4</x:v>
      </x:c>
      <x:c r="F1556" s="7" t="str">
        <x:v>OP-1</x:v>
      </x:c>
      <x:c r="G1556" s="7" t="n">
        <x:v>2</x:v>
      </x:c>
      <x:c r="H1556" s="7" t="str"/>
      <x:c r="I1556" s="7" t="str"/>
      <x:c r="J1556" s="7" t="str">
        <x:f>IF(OR(H1556="",I1556=""),"",I1556-H1556)</x:f>
      </x:c>
      <x:c r="K1556" s="7" t="str"/>
      <x:c r="L1556" s="7" t="str"/>
      <x:c r="M1556" s="7" t="str"/>
      <x:c r="N1556" s="7" t="str">
        <x:f>IF(M1556="","OPEN",IF(OR(NOT(ISNUMBER(H1556)),NOT(ISNUMBER(I1556)),K1556="",L1556=""),"FAIL","PASS"))</x:f>
        <x:v>OPEN</x:v>
      </x:c>
    </x:row>
    <x:row r="1557">
      <x:c r="B1557" s="7" t="str">
        <x:v>TRO-C-17-S4-O2-R1</x:v>
      </x:c>
      <x:c r="C1557" s="7" t="str">
        <x:v>BLD-C</x:v>
      </x:c>
      <x:c r="D1557" s="7" t="str">
        <x:v>MF-17</x:v>
      </x:c>
      <x:c r="E1557" s="7" t="str">
        <x:v>STD-17-4</x:v>
      </x:c>
      <x:c r="F1557" s="7" t="str">
        <x:v>OP-2</x:v>
      </x:c>
      <x:c r="G1557" s="7" t="n">
        <x:v>1</x:v>
      </x:c>
      <x:c r="H1557" s="7" t="str"/>
      <x:c r="I1557" s="7" t="str"/>
      <x:c r="J1557" s="7" t="str">
        <x:f>IF(OR(H1557="",I1557=""),"",I1557-H1557)</x:f>
      </x:c>
      <x:c r="K1557" s="7" t="str"/>
      <x:c r="L1557" s="7" t="str"/>
      <x:c r="M1557" s="7" t="str"/>
      <x:c r="N1557" s="7" t="str">
        <x:f>IF(M1557="","OPEN",IF(OR(NOT(ISNUMBER(H1557)),NOT(ISNUMBER(I1557)),K1557="",L1557=""),"FAIL","PASS"))</x:f>
        <x:v>OPEN</x:v>
      </x:c>
    </x:row>
    <x:row r="1558">
      <x:c r="B1558" s="7" t="str">
        <x:v>TRO-C-17-S4-O2-R2</x:v>
      </x:c>
      <x:c r="C1558" s="7" t="str">
        <x:v>BLD-C</x:v>
      </x:c>
      <x:c r="D1558" s="7" t="str">
        <x:v>MF-17</x:v>
      </x:c>
      <x:c r="E1558" s="7" t="str">
        <x:v>STD-17-4</x:v>
      </x:c>
      <x:c r="F1558" s="7" t="str">
        <x:v>OP-2</x:v>
      </x:c>
      <x:c r="G1558" s="7" t="n">
        <x:v>2</x:v>
      </x:c>
      <x:c r="H1558" s="7" t="str"/>
      <x:c r="I1558" s="7" t="str"/>
      <x:c r="J1558" s="7" t="str">
        <x:f>IF(OR(H1558="",I1558=""),"",I1558-H1558)</x:f>
      </x:c>
      <x:c r="K1558" s="7" t="str"/>
      <x:c r="L1558" s="7" t="str"/>
      <x:c r="M1558" s="7" t="str"/>
      <x:c r="N1558" s="7" t="str">
        <x:f>IF(M1558="","OPEN",IF(OR(NOT(ISNUMBER(H1558)),NOT(ISNUMBER(I1558)),K1558="",L1558=""),"FAIL","PASS"))</x:f>
        <x:v>OPEN</x:v>
      </x:c>
    </x:row>
    <x:row r="1559">
      <x:c r="B1559" s="7" t="str">
        <x:v>TRO-C-17-S5-O1-R1</x:v>
      </x:c>
      <x:c r="C1559" s="7" t="str">
        <x:v>BLD-C</x:v>
      </x:c>
      <x:c r="D1559" s="7" t="str">
        <x:v>MF-17</x:v>
      </x:c>
      <x:c r="E1559" s="7" t="str">
        <x:v>STD-17-5</x:v>
      </x:c>
      <x:c r="F1559" s="7" t="str">
        <x:v>OP-1</x:v>
      </x:c>
      <x:c r="G1559" s="7" t="n">
        <x:v>1</x:v>
      </x:c>
      <x:c r="H1559" s="7" t="str"/>
      <x:c r="I1559" s="7" t="str"/>
      <x:c r="J1559" s="7" t="str">
        <x:f>IF(OR(H1559="",I1559=""),"",I1559-H1559)</x:f>
      </x:c>
      <x:c r="K1559" s="7" t="str"/>
      <x:c r="L1559" s="7" t="str"/>
      <x:c r="M1559" s="7" t="str"/>
      <x:c r="N1559" s="7" t="str">
        <x:f>IF(M1559="","OPEN",IF(OR(NOT(ISNUMBER(H1559)),NOT(ISNUMBER(I1559)),K1559="",L1559=""),"FAIL","PASS"))</x:f>
        <x:v>OPEN</x:v>
      </x:c>
    </x:row>
    <x:row r="1560">
      <x:c r="B1560" s="7" t="str">
        <x:v>TRO-C-17-S5-O1-R2</x:v>
      </x:c>
      <x:c r="C1560" s="7" t="str">
        <x:v>BLD-C</x:v>
      </x:c>
      <x:c r="D1560" s="7" t="str">
        <x:v>MF-17</x:v>
      </x:c>
      <x:c r="E1560" s="7" t="str">
        <x:v>STD-17-5</x:v>
      </x:c>
      <x:c r="F1560" s="7" t="str">
        <x:v>OP-1</x:v>
      </x:c>
      <x:c r="G1560" s="7" t="n">
        <x:v>2</x:v>
      </x:c>
      <x:c r="H1560" s="7" t="str"/>
      <x:c r="I1560" s="7" t="str"/>
      <x:c r="J1560" s="7" t="str">
        <x:f>IF(OR(H1560="",I1560=""),"",I1560-H1560)</x:f>
      </x:c>
      <x:c r="K1560" s="7" t="str"/>
      <x:c r="L1560" s="7" t="str"/>
      <x:c r="M1560" s="7" t="str"/>
      <x:c r="N1560" s="7" t="str">
        <x:f>IF(M1560="","OPEN",IF(OR(NOT(ISNUMBER(H1560)),NOT(ISNUMBER(I1560)),K1560="",L1560=""),"FAIL","PASS"))</x:f>
        <x:v>OPEN</x:v>
      </x:c>
    </x:row>
    <x:row r="1561">
      <x:c r="B1561" s="7" t="str">
        <x:v>TRO-C-17-S5-O2-R1</x:v>
      </x:c>
      <x:c r="C1561" s="7" t="str">
        <x:v>BLD-C</x:v>
      </x:c>
      <x:c r="D1561" s="7" t="str">
        <x:v>MF-17</x:v>
      </x:c>
      <x:c r="E1561" s="7" t="str">
        <x:v>STD-17-5</x:v>
      </x:c>
      <x:c r="F1561" s="7" t="str">
        <x:v>OP-2</x:v>
      </x:c>
      <x:c r="G1561" s="7" t="n">
        <x:v>1</x:v>
      </x:c>
      <x:c r="H1561" s="7" t="str"/>
      <x:c r="I1561" s="7" t="str"/>
      <x:c r="J1561" s="7" t="str">
        <x:f>IF(OR(H1561="",I1561=""),"",I1561-H1561)</x:f>
      </x:c>
      <x:c r="K1561" s="7" t="str"/>
      <x:c r="L1561" s="7" t="str"/>
      <x:c r="M1561" s="7" t="str"/>
      <x:c r="N1561" s="7" t="str">
        <x:f>IF(M1561="","OPEN",IF(OR(NOT(ISNUMBER(H1561)),NOT(ISNUMBER(I1561)),K1561="",L1561=""),"FAIL","PASS"))</x:f>
        <x:v>OPEN</x:v>
      </x:c>
    </x:row>
    <x:row r="1562">
      <x:c r="B1562" s="7" t="str">
        <x:v>TRO-C-17-S5-O2-R2</x:v>
      </x:c>
      <x:c r="C1562" s="7" t="str">
        <x:v>BLD-C</x:v>
      </x:c>
      <x:c r="D1562" s="7" t="str">
        <x:v>MF-17</x:v>
      </x:c>
      <x:c r="E1562" s="7" t="str">
        <x:v>STD-17-5</x:v>
      </x:c>
      <x:c r="F1562" s="7" t="str">
        <x:v>OP-2</x:v>
      </x:c>
      <x:c r="G1562" s="7" t="n">
        <x:v>2</x:v>
      </x:c>
      <x:c r="H1562" s="7" t="str"/>
      <x:c r="I1562" s="7" t="str"/>
      <x:c r="J1562" s="7" t="str">
        <x:f>IF(OR(H1562="",I1562=""),"",I1562-H1562)</x:f>
      </x:c>
      <x:c r="K1562" s="7" t="str"/>
      <x:c r="L1562" s="7" t="str"/>
      <x:c r="M1562" s="7" t="str"/>
      <x:c r="N1562" s="7" t="str">
        <x:f>IF(M1562="","OPEN",IF(OR(NOT(ISNUMBER(H1562)),NOT(ISNUMBER(I1562)),K1562="",L1562=""),"FAIL","PASS"))</x:f>
        <x:v>OPEN</x:v>
      </x:c>
    </x:row>
    <x:row r="1563">
      <x:c r="B1563" s="7" t="str">
        <x:v>TRO-C-17-S6-O1-R1</x:v>
      </x:c>
      <x:c r="C1563" s="7" t="str">
        <x:v>BLD-C</x:v>
      </x:c>
      <x:c r="D1563" s="7" t="str">
        <x:v>MF-17</x:v>
      </x:c>
      <x:c r="E1563" s="7" t="str">
        <x:v>STD-17-6</x:v>
      </x:c>
      <x:c r="F1563" s="7" t="str">
        <x:v>OP-1</x:v>
      </x:c>
      <x:c r="G1563" s="7" t="n">
        <x:v>1</x:v>
      </x:c>
      <x:c r="H1563" s="7" t="str"/>
      <x:c r="I1563" s="7" t="str"/>
      <x:c r="J1563" s="7" t="str">
        <x:f>IF(OR(H1563="",I1563=""),"",I1563-H1563)</x:f>
      </x:c>
      <x:c r="K1563" s="7" t="str"/>
      <x:c r="L1563" s="7" t="str"/>
      <x:c r="M1563" s="7" t="str"/>
      <x:c r="N1563" s="7" t="str">
        <x:f>IF(M1563="","OPEN",IF(OR(NOT(ISNUMBER(H1563)),NOT(ISNUMBER(I1563)),K1563="",L1563=""),"FAIL","PASS"))</x:f>
        <x:v>OPEN</x:v>
      </x:c>
    </x:row>
    <x:row r="1564">
      <x:c r="B1564" s="7" t="str">
        <x:v>TRO-C-17-S6-O1-R2</x:v>
      </x:c>
      <x:c r="C1564" s="7" t="str">
        <x:v>BLD-C</x:v>
      </x:c>
      <x:c r="D1564" s="7" t="str">
        <x:v>MF-17</x:v>
      </x:c>
      <x:c r="E1564" s="7" t="str">
        <x:v>STD-17-6</x:v>
      </x:c>
      <x:c r="F1564" s="7" t="str">
        <x:v>OP-1</x:v>
      </x:c>
      <x:c r="G1564" s="7" t="n">
        <x:v>2</x:v>
      </x:c>
      <x:c r="H1564" s="7" t="str"/>
      <x:c r="I1564" s="7" t="str"/>
      <x:c r="J1564" s="7" t="str">
        <x:f>IF(OR(H1564="",I1564=""),"",I1564-H1564)</x:f>
      </x:c>
      <x:c r="K1564" s="7" t="str"/>
      <x:c r="L1564" s="7" t="str"/>
      <x:c r="M1564" s="7" t="str"/>
      <x:c r="N1564" s="7" t="str">
        <x:f>IF(M1564="","OPEN",IF(OR(NOT(ISNUMBER(H1564)),NOT(ISNUMBER(I1564)),K1564="",L1564=""),"FAIL","PASS"))</x:f>
        <x:v>OPEN</x:v>
      </x:c>
    </x:row>
    <x:row r="1565">
      <x:c r="B1565" s="7" t="str">
        <x:v>TRO-C-17-S6-O2-R1</x:v>
      </x:c>
      <x:c r="C1565" s="7" t="str">
        <x:v>BLD-C</x:v>
      </x:c>
      <x:c r="D1565" s="7" t="str">
        <x:v>MF-17</x:v>
      </x:c>
      <x:c r="E1565" s="7" t="str">
        <x:v>STD-17-6</x:v>
      </x:c>
      <x:c r="F1565" s="7" t="str">
        <x:v>OP-2</x:v>
      </x:c>
      <x:c r="G1565" s="7" t="n">
        <x:v>1</x:v>
      </x:c>
      <x:c r="H1565" s="7" t="str"/>
      <x:c r="I1565" s="7" t="str"/>
      <x:c r="J1565" s="7" t="str">
        <x:f>IF(OR(H1565="",I1565=""),"",I1565-H1565)</x:f>
      </x:c>
      <x:c r="K1565" s="7" t="str"/>
      <x:c r="L1565" s="7" t="str"/>
      <x:c r="M1565" s="7" t="str"/>
      <x:c r="N1565" s="7" t="str">
        <x:f>IF(M1565="","OPEN",IF(OR(NOT(ISNUMBER(H1565)),NOT(ISNUMBER(I1565)),K1565="",L1565=""),"FAIL","PASS"))</x:f>
        <x:v>OPEN</x:v>
      </x:c>
    </x:row>
    <x:row r="1566">
      <x:c r="B1566" s="7" t="str">
        <x:v>TRO-C-17-S6-O2-R2</x:v>
      </x:c>
      <x:c r="C1566" s="7" t="str">
        <x:v>BLD-C</x:v>
      </x:c>
      <x:c r="D1566" s="7" t="str">
        <x:v>MF-17</x:v>
      </x:c>
      <x:c r="E1566" s="7" t="str">
        <x:v>STD-17-6</x:v>
      </x:c>
      <x:c r="F1566" s="7" t="str">
        <x:v>OP-2</x:v>
      </x:c>
      <x:c r="G1566" s="7" t="n">
        <x:v>2</x:v>
      </x:c>
      <x:c r="H1566" s="7" t="str"/>
      <x:c r="I1566" s="7" t="str"/>
      <x:c r="J1566" s="7" t="str">
        <x:f>IF(OR(H1566="",I1566=""),"",I1566-H1566)</x:f>
      </x:c>
      <x:c r="K1566" s="7" t="str"/>
      <x:c r="L1566" s="7" t="str"/>
      <x:c r="M1566" s="7" t="str"/>
      <x:c r="N1566" s="7" t="str">
        <x:f>IF(M1566="","OPEN",IF(OR(NOT(ISNUMBER(H1566)),NOT(ISNUMBER(I1566)),K1566="",L1566=""),"FAIL","PASS"))</x:f>
        <x:v>OPEN</x:v>
      </x:c>
    </x:row>
    <x:row r="1567">
      <x:c r="B1567" s="7" t="str">
        <x:v>TRO-C-18-S1-O1-R1</x:v>
      </x:c>
      <x:c r="C1567" s="7" t="str">
        <x:v>BLD-C</x:v>
      </x:c>
      <x:c r="D1567" s="7" t="str">
        <x:v>MF-18</x:v>
      </x:c>
      <x:c r="E1567" s="7" t="str">
        <x:v>STD-18-1</x:v>
      </x:c>
      <x:c r="F1567" s="7" t="str">
        <x:v>OP-1</x:v>
      </x:c>
      <x:c r="G1567" s="7" t="n">
        <x:v>1</x:v>
      </x:c>
      <x:c r="H1567" s="7" t="str"/>
      <x:c r="I1567" s="7" t="str"/>
      <x:c r="J1567" s="7" t="str">
        <x:f>IF(OR(H1567="",I1567=""),"",I1567-H1567)</x:f>
      </x:c>
      <x:c r="K1567" s="7" t="str"/>
      <x:c r="L1567" s="7" t="str"/>
      <x:c r="M1567" s="7" t="str"/>
      <x:c r="N1567" s="7" t="str">
        <x:f>IF(M1567="","OPEN",IF(OR(NOT(ISNUMBER(H1567)),NOT(ISNUMBER(I1567)),K1567="",L1567=""),"FAIL","PASS"))</x:f>
        <x:v>OPEN</x:v>
      </x:c>
    </x:row>
    <x:row r="1568">
      <x:c r="B1568" s="7" t="str">
        <x:v>TRO-C-18-S1-O1-R2</x:v>
      </x:c>
      <x:c r="C1568" s="7" t="str">
        <x:v>BLD-C</x:v>
      </x:c>
      <x:c r="D1568" s="7" t="str">
        <x:v>MF-18</x:v>
      </x:c>
      <x:c r="E1568" s="7" t="str">
        <x:v>STD-18-1</x:v>
      </x:c>
      <x:c r="F1568" s="7" t="str">
        <x:v>OP-1</x:v>
      </x:c>
      <x:c r="G1568" s="7" t="n">
        <x:v>2</x:v>
      </x:c>
      <x:c r="H1568" s="7" t="str"/>
      <x:c r="I1568" s="7" t="str"/>
      <x:c r="J1568" s="7" t="str">
        <x:f>IF(OR(H1568="",I1568=""),"",I1568-H1568)</x:f>
      </x:c>
      <x:c r="K1568" s="7" t="str"/>
      <x:c r="L1568" s="7" t="str"/>
      <x:c r="M1568" s="7" t="str"/>
      <x:c r="N1568" s="7" t="str">
        <x:f>IF(M1568="","OPEN",IF(OR(NOT(ISNUMBER(H1568)),NOT(ISNUMBER(I1568)),K1568="",L1568=""),"FAIL","PASS"))</x:f>
        <x:v>OPEN</x:v>
      </x:c>
    </x:row>
    <x:row r="1569">
      <x:c r="B1569" s="7" t="str">
        <x:v>TRO-C-18-S1-O2-R1</x:v>
      </x:c>
      <x:c r="C1569" s="7" t="str">
        <x:v>BLD-C</x:v>
      </x:c>
      <x:c r="D1569" s="7" t="str">
        <x:v>MF-18</x:v>
      </x:c>
      <x:c r="E1569" s="7" t="str">
        <x:v>STD-18-1</x:v>
      </x:c>
      <x:c r="F1569" s="7" t="str">
        <x:v>OP-2</x:v>
      </x:c>
      <x:c r="G1569" s="7" t="n">
        <x:v>1</x:v>
      </x:c>
      <x:c r="H1569" s="7" t="str"/>
      <x:c r="I1569" s="7" t="str"/>
      <x:c r="J1569" s="7" t="str">
        <x:f>IF(OR(H1569="",I1569=""),"",I1569-H1569)</x:f>
      </x:c>
      <x:c r="K1569" s="7" t="str"/>
      <x:c r="L1569" s="7" t="str"/>
      <x:c r="M1569" s="7" t="str"/>
      <x:c r="N1569" s="7" t="str">
        <x:f>IF(M1569="","OPEN",IF(OR(NOT(ISNUMBER(H1569)),NOT(ISNUMBER(I1569)),K1569="",L1569=""),"FAIL","PASS"))</x:f>
        <x:v>OPEN</x:v>
      </x:c>
    </x:row>
    <x:row r="1570">
      <x:c r="B1570" s="7" t="str">
        <x:v>TRO-C-18-S1-O2-R2</x:v>
      </x:c>
      <x:c r="C1570" s="7" t="str">
        <x:v>BLD-C</x:v>
      </x:c>
      <x:c r="D1570" s="7" t="str">
        <x:v>MF-18</x:v>
      </x:c>
      <x:c r="E1570" s="7" t="str">
        <x:v>STD-18-1</x:v>
      </x:c>
      <x:c r="F1570" s="7" t="str">
        <x:v>OP-2</x:v>
      </x:c>
      <x:c r="G1570" s="7" t="n">
        <x:v>2</x:v>
      </x:c>
      <x:c r="H1570" s="7" t="str"/>
      <x:c r="I1570" s="7" t="str"/>
      <x:c r="J1570" s="7" t="str">
        <x:f>IF(OR(H1570="",I1570=""),"",I1570-H1570)</x:f>
      </x:c>
      <x:c r="K1570" s="7" t="str"/>
      <x:c r="L1570" s="7" t="str"/>
      <x:c r="M1570" s="7" t="str"/>
      <x:c r="N1570" s="7" t="str">
        <x:f>IF(M1570="","OPEN",IF(OR(NOT(ISNUMBER(H1570)),NOT(ISNUMBER(I1570)),K1570="",L1570=""),"FAIL","PASS"))</x:f>
        <x:v>OPEN</x:v>
      </x:c>
    </x:row>
    <x:row r="1571">
      <x:c r="B1571" s="7" t="str">
        <x:v>TRO-C-18-S2-O1-R1</x:v>
      </x:c>
      <x:c r="C1571" s="7" t="str">
        <x:v>BLD-C</x:v>
      </x:c>
      <x:c r="D1571" s="7" t="str">
        <x:v>MF-18</x:v>
      </x:c>
      <x:c r="E1571" s="7" t="str">
        <x:v>STD-18-2</x:v>
      </x:c>
      <x:c r="F1571" s="7" t="str">
        <x:v>OP-1</x:v>
      </x:c>
      <x:c r="G1571" s="7" t="n">
        <x:v>1</x:v>
      </x:c>
      <x:c r="H1571" s="7" t="str"/>
      <x:c r="I1571" s="7" t="str"/>
      <x:c r="J1571" s="7" t="str">
        <x:f>IF(OR(H1571="",I1571=""),"",I1571-H1571)</x:f>
      </x:c>
      <x:c r="K1571" s="7" t="str"/>
      <x:c r="L1571" s="7" t="str"/>
      <x:c r="M1571" s="7" t="str"/>
      <x:c r="N1571" s="7" t="str">
        <x:f>IF(M1571="","OPEN",IF(OR(NOT(ISNUMBER(H1571)),NOT(ISNUMBER(I1571)),K1571="",L1571=""),"FAIL","PASS"))</x:f>
        <x:v>OPEN</x:v>
      </x:c>
    </x:row>
    <x:row r="1572">
      <x:c r="B1572" s="7" t="str">
        <x:v>TRO-C-18-S2-O1-R2</x:v>
      </x:c>
      <x:c r="C1572" s="7" t="str">
        <x:v>BLD-C</x:v>
      </x:c>
      <x:c r="D1572" s="7" t="str">
        <x:v>MF-18</x:v>
      </x:c>
      <x:c r="E1572" s="7" t="str">
        <x:v>STD-18-2</x:v>
      </x:c>
      <x:c r="F1572" s="7" t="str">
        <x:v>OP-1</x:v>
      </x:c>
      <x:c r="G1572" s="7" t="n">
        <x:v>2</x:v>
      </x:c>
      <x:c r="H1572" s="7" t="str"/>
      <x:c r="I1572" s="7" t="str"/>
      <x:c r="J1572" s="7" t="str">
        <x:f>IF(OR(H1572="",I1572=""),"",I1572-H1572)</x:f>
      </x:c>
      <x:c r="K1572" s="7" t="str"/>
      <x:c r="L1572" s="7" t="str"/>
      <x:c r="M1572" s="7" t="str"/>
      <x:c r="N1572" s="7" t="str">
        <x:f>IF(M1572="","OPEN",IF(OR(NOT(ISNUMBER(H1572)),NOT(ISNUMBER(I1572)),K1572="",L1572=""),"FAIL","PASS"))</x:f>
        <x:v>OPEN</x:v>
      </x:c>
    </x:row>
    <x:row r="1573">
      <x:c r="B1573" s="7" t="str">
        <x:v>TRO-C-18-S2-O2-R1</x:v>
      </x:c>
      <x:c r="C1573" s="7" t="str">
        <x:v>BLD-C</x:v>
      </x:c>
      <x:c r="D1573" s="7" t="str">
        <x:v>MF-18</x:v>
      </x:c>
      <x:c r="E1573" s="7" t="str">
        <x:v>STD-18-2</x:v>
      </x:c>
      <x:c r="F1573" s="7" t="str">
        <x:v>OP-2</x:v>
      </x:c>
      <x:c r="G1573" s="7" t="n">
        <x:v>1</x:v>
      </x:c>
      <x:c r="H1573" s="7" t="str"/>
      <x:c r="I1573" s="7" t="str"/>
      <x:c r="J1573" s="7" t="str">
        <x:f>IF(OR(H1573="",I1573=""),"",I1573-H1573)</x:f>
      </x:c>
      <x:c r="K1573" s="7" t="str"/>
      <x:c r="L1573" s="7" t="str"/>
      <x:c r="M1573" s="7" t="str"/>
      <x:c r="N1573" s="7" t="str">
        <x:f>IF(M1573="","OPEN",IF(OR(NOT(ISNUMBER(H1573)),NOT(ISNUMBER(I1573)),K1573="",L1573=""),"FAIL","PASS"))</x:f>
        <x:v>OPEN</x:v>
      </x:c>
    </x:row>
    <x:row r="1574">
      <x:c r="B1574" s="7" t="str">
        <x:v>TRO-C-18-S2-O2-R2</x:v>
      </x:c>
      <x:c r="C1574" s="7" t="str">
        <x:v>BLD-C</x:v>
      </x:c>
      <x:c r="D1574" s="7" t="str">
        <x:v>MF-18</x:v>
      </x:c>
      <x:c r="E1574" s="7" t="str">
        <x:v>STD-18-2</x:v>
      </x:c>
      <x:c r="F1574" s="7" t="str">
        <x:v>OP-2</x:v>
      </x:c>
      <x:c r="G1574" s="7" t="n">
        <x:v>2</x:v>
      </x:c>
      <x:c r="H1574" s="7" t="str"/>
      <x:c r="I1574" s="7" t="str"/>
      <x:c r="J1574" s="7" t="str">
        <x:f>IF(OR(H1574="",I1574=""),"",I1574-H1574)</x:f>
      </x:c>
      <x:c r="K1574" s="7" t="str"/>
      <x:c r="L1574" s="7" t="str"/>
      <x:c r="M1574" s="7" t="str"/>
      <x:c r="N1574" s="7" t="str">
        <x:f>IF(M1574="","OPEN",IF(OR(NOT(ISNUMBER(H1574)),NOT(ISNUMBER(I1574)),K1574="",L1574=""),"FAIL","PASS"))</x:f>
        <x:v>OPEN</x:v>
      </x:c>
    </x:row>
    <x:row r="1575">
      <x:c r="B1575" s="7" t="str">
        <x:v>TRO-C-18-S3-O1-R1</x:v>
      </x:c>
      <x:c r="C1575" s="7" t="str">
        <x:v>BLD-C</x:v>
      </x:c>
      <x:c r="D1575" s="7" t="str">
        <x:v>MF-18</x:v>
      </x:c>
      <x:c r="E1575" s="7" t="str">
        <x:v>STD-18-3</x:v>
      </x:c>
      <x:c r="F1575" s="7" t="str">
        <x:v>OP-1</x:v>
      </x:c>
      <x:c r="G1575" s="7" t="n">
        <x:v>1</x:v>
      </x:c>
      <x:c r="H1575" s="7" t="str"/>
      <x:c r="I1575" s="7" t="str"/>
      <x:c r="J1575" s="7" t="str">
        <x:f>IF(OR(H1575="",I1575=""),"",I1575-H1575)</x:f>
      </x:c>
      <x:c r="K1575" s="7" t="str"/>
      <x:c r="L1575" s="7" t="str"/>
      <x:c r="M1575" s="7" t="str"/>
      <x:c r="N1575" s="7" t="str">
        <x:f>IF(M1575="","OPEN",IF(OR(NOT(ISNUMBER(H1575)),NOT(ISNUMBER(I1575)),K1575="",L1575=""),"FAIL","PASS"))</x:f>
        <x:v>OPEN</x:v>
      </x:c>
    </x:row>
    <x:row r="1576">
      <x:c r="B1576" s="7" t="str">
        <x:v>TRO-C-18-S3-O1-R2</x:v>
      </x:c>
      <x:c r="C1576" s="7" t="str">
        <x:v>BLD-C</x:v>
      </x:c>
      <x:c r="D1576" s="7" t="str">
        <x:v>MF-18</x:v>
      </x:c>
      <x:c r="E1576" s="7" t="str">
        <x:v>STD-18-3</x:v>
      </x:c>
      <x:c r="F1576" s="7" t="str">
        <x:v>OP-1</x:v>
      </x:c>
      <x:c r="G1576" s="7" t="n">
        <x:v>2</x:v>
      </x:c>
      <x:c r="H1576" s="7" t="str"/>
      <x:c r="I1576" s="7" t="str"/>
      <x:c r="J1576" s="7" t="str">
        <x:f>IF(OR(H1576="",I1576=""),"",I1576-H1576)</x:f>
      </x:c>
      <x:c r="K1576" s="7" t="str"/>
      <x:c r="L1576" s="7" t="str"/>
      <x:c r="M1576" s="7" t="str"/>
      <x:c r="N1576" s="7" t="str">
        <x:f>IF(M1576="","OPEN",IF(OR(NOT(ISNUMBER(H1576)),NOT(ISNUMBER(I1576)),K1576="",L1576=""),"FAIL","PASS"))</x:f>
        <x:v>OPEN</x:v>
      </x:c>
    </x:row>
    <x:row r="1577">
      <x:c r="B1577" s="7" t="str">
        <x:v>TRO-C-18-S3-O2-R1</x:v>
      </x:c>
      <x:c r="C1577" s="7" t="str">
        <x:v>BLD-C</x:v>
      </x:c>
      <x:c r="D1577" s="7" t="str">
        <x:v>MF-18</x:v>
      </x:c>
      <x:c r="E1577" s="7" t="str">
        <x:v>STD-18-3</x:v>
      </x:c>
      <x:c r="F1577" s="7" t="str">
        <x:v>OP-2</x:v>
      </x:c>
      <x:c r="G1577" s="7" t="n">
        <x:v>1</x:v>
      </x:c>
      <x:c r="H1577" s="7" t="str"/>
      <x:c r="I1577" s="7" t="str"/>
      <x:c r="J1577" s="7" t="str">
        <x:f>IF(OR(H1577="",I1577=""),"",I1577-H1577)</x:f>
      </x:c>
      <x:c r="K1577" s="7" t="str"/>
      <x:c r="L1577" s="7" t="str"/>
      <x:c r="M1577" s="7" t="str"/>
      <x:c r="N1577" s="7" t="str">
        <x:f>IF(M1577="","OPEN",IF(OR(NOT(ISNUMBER(H1577)),NOT(ISNUMBER(I1577)),K1577="",L1577=""),"FAIL","PASS"))</x:f>
        <x:v>OPEN</x:v>
      </x:c>
    </x:row>
    <x:row r="1578">
      <x:c r="B1578" s="7" t="str">
        <x:v>TRO-C-18-S3-O2-R2</x:v>
      </x:c>
      <x:c r="C1578" s="7" t="str">
        <x:v>BLD-C</x:v>
      </x:c>
      <x:c r="D1578" s="7" t="str">
        <x:v>MF-18</x:v>
      </x:c>
      <x:c r="E1578" s="7" t="str">
        <x:v>STD-18-3</x:v>
      </x:c>
      <x:c r="F1578" s="7" t="str">
        <x:v>OP-2</x:v>
      </x:c>
      <x:c r="G1578" s="7" t="n">
        <x:v>2</x:v>
      </x:c>
      <x:c r="H1578" s="7" t="str"/>
      <x:c r="I1578" s="7" t="str"/>
      <x:c r="J1578" s="7" t="str">
        <x:f>IF(OR(H1578="",I1578=""),"",I1578-H1578)</x:f>
      </x:c>
      <x:c r="K1578" s="7" t="str"/>
      <x:c r="L1578" s="7" t="str"/>
      <x:c r="M1578" s="7" t="str"/>
      <x:c r="N1578" s="7" t="str">
        <x:f>IF(M1578="","OPEN",IF(OR(NOT(ISNUMBER(H1578)),NOT(ISNUMBER(I1578)),K1578="",L1578=""),"FAIL","PASS"))</x:f>
        <x:v>OPEN</x:v>
      </x:c>
    </x:row>
    <x:row r="1579">
      <x:c r="B1579" s="7" t="str">
        <x:v>TRO-C-18-S4-O1-R1</x:v>
      </x:c>
      <x:c r="C1579" s="7" t="str">
        <x:v>BLD-C</x:v>
      </x:c>
      <x:c r="D1579" s="7" t="str">
        <x:v>MF-18</x:v>
      </x:c>
      <x:c r="E1579" s="7" t="str">
        <x:v>STD-18-4</x:v>
      </x:c>
      <x:c r="F1579" s="7" t="str">
        <x:v>OP-1</x:v>
      </x:c>
      <x:c r="G1579" s="7" t="n">
        <x:v>1</x:v>
      </x:c>
      <x:c r="H1579" s="7" t="str"/>
      <x:c r="I1579" s="7" t="str"/>
      <x:c r="J1579" s="7" t="str">
        <x:f>IF(OR(H1579="",I1579=""),"",I1579-H1579)</x:f>
      </x:c>
      <x:c r="K1579" s="7" t="str"/>
      <x:c r="L1579" s="7" t="str"/>
      <x:c r="M1579" s="7" t="str"/>
      <x:c r="N1579" s="7" t="str">
        <x:f>IF(M1579="","OPEN",IF(OR(NOT(ISNUMBER(H1579)),NOT(ISNUMBER(I1579)),K1579="",L1579=""),"FAIL","PASS"))</x:f>
        <x:v>OPEN</x:v>
      </x:c>
    </x:row>
    <x:row r="1580">
      <x:c r="B1580" s="7" t="str">
        <x:v>TRO-C-18-S4-O1-R2</x:v>
      </x:c>
      <x:c r="C1580" s="7" t="str">
        <x:v>BLD-C</x:v>
      </x:c>
      <x:c r="D1580" s="7" t="str">
        <x:v>MF-18</x:v>
      </x:c>
      <x:c r="E1580" s="7" t="str">
        <x:v>STD-18-4</x:v>
      </x:c>
      <x:c r="F1580" s="7" t="str">
        <x:v>OP-1</x:v>
      </x:c>
      <x:c r="G1580" s="7" t="n">
        <x:v>2</x:v>
      </x:c>
      <x:c r="H1580" s="7" t="str"/>
      <x:c r="I1580" s="7" t="str"/>
      <x:c r="J1580" s="7" t="str">
        <x:f>IF(OR(H1580="",I1580=""),"",I1580-H1580)</x:f>
      </x:c>
      <x:c r="K1580" s="7" t="str"/>
      <x:c r="L1580" s="7" t="str"/>
      <x:c r="M1580" s="7" t="str"/>
      <x:c r="N1580" s="7" t="str">
        <x:f>IF(M1580="","OPEN",IF(OR(NOT(ISNUMBER(H1580)),NOT(ISNUMBER(I1580)),K1580="",L1580=""),"FAIL","PASS"))</x:f>
        <x:v>OPEN</x:v>
      </x:c>
    </x:row>
    <x:row r="1581">
      <x:c r="B1581" s="7" t="str">
        <x:v>TRO-C-18-S4-O2-R1</x:v>
      </x:c>
      <x:c r="C1581" s="7" t="str">
        <x:v>BLD-C</x:v>
      </x:c>
      <x:c r="D1581" s="7" t="str">
        <x:v>MF-18</x:v>
      </x:c>
      <x:c r="E1581" s="7" t="str">
        <x:v>STD-18-4</x:v>
      </x:c>
      <x:c r="F1581" s="7" t="str">
        <x:v>OP-2</x:v>
      </x:c>
      <x:c r="G1581" s="7" t="n">
        <x:v>1</x:v>
      </x:c>
      <x:c r="H1581" s="7" t="str"/>
      <x:c r="I1581" s="7" t="str"/>
      <x:c r="J1581" s="7" t="str">
        <x:f>IF(OR(H1581="",I1581=""),"",I1581-H1581)</x:f>
      </x:c>
      <x:c r="K1581" s="7" t="str"/>
      <x:c r="L1581" s="7" t="str"/>
      <x:c r="M1581" s="7" t="str"/>
      <x:c r="N1581" s="7" t="str">
        <x:f>IF(M1581="","OPEN",IF(OR(NOT(ISNUMBER(H1581)),NOT(ISNUMBER(I1581)),K1581="",L1581=""),"FAIL","PASS"))</x:f>
        <x:v>OPEN</x:v>
      </x:c>
    </x:row>
    <x:row r="1582">
      <x:c r="B1582" s="7" t="str">
        <x:v>TRO-C-18-S4-O2-R2</x:v>
      </x:c>
      <x:c r="C1582" s="7" t="str">
        <x:v>BLD-C</x:v>
      </x:c>
      <x:c r="D1582" s="7" t="str">
        <x:v>MF-18</x:v>
      </x:c>
      <x:c r="E1582" s="7" t="str">
        <x:v>STD-18-4</x:v>
      </x:c>
      <x:c r="F1582" s="7" t="str">
        <x:v>OP-2</x:v>
      </x:c>
      <x:c r="G1582" s="7" t="n">
        <x:v>2</x:v>
      </x:c>
      <x:c r="H1582" s="7" t="str"/>
      <x:c r="I1582" s="7" t="str"/>
      <x:c r="J1582" s="7" t="str">
        <x:f>IF(OR(H1582="",I1582=""),"",I1582-H1582)</x:f>
      </x:c>
      <x:c r="K1582" s="7" t="str"/>
      <x:c r="L1582" s="7" t="str"/>
      <x:c r="M1582" s="7" t="str"/>
      <x:c r="N1582" s="7" t="str">
        <x:f>IF(M1582="","OPEN",IF(OR(NOT(ISNUMBER(H1582)),NOT(ISNUMBER(I1582)),K1582="",L1582=""),"FAIL","PASS"))</x:f>
        <x:v>OPEN</x:v>
      </x:c>
    </x:row>
    <x:row r="1583">
      <x:c r="B1583" s="7" t="str">
        <x:v>TRO-C-18-S5-O1-R1</x:v>
      </x:c>
      <x:c r="C1583" s="7" t="str">
        <x:v>BLD-C</x:v>
      </x:c>
      <x:c r="D1583" s="7" t="str">
        <x:v>MF-18</x:v>
      </x:c>
      <x:c r="E1583" s="7" t="str">
        <x:v>STD-18-5</x:v>
      </x:c>
      <x:c r="F1583" s="7" t="str">
        <x:v>OP-1</x:v>
      </x:c>
      <x:c r="G1583" s="7" t="n">
        <x:v>1</x:v>
      </x:c>
      <x:c r="H1583" s="7" t="str"/>
      <x:c r="I1583" s="7" t="str"/>
      <x:c r="J1583" s="7" t="str">
        <x:f>IF(OR(H1583="",I1583=""),"",I1583-H1583)</x:f>
      </x:c>
      <x:c r="K1583" s="7" t="str"/>
      <x:c r="L1583" s="7" t="str"/>
      <x:c r="M1583" s="7" t="str"/>
      <x:c r="N1583" s="7" t="str">
        <x:f>IF(M1583="","OPEN",IF(OR(NOT(ISNUMBER(H1583)),NOT(ISNUMBER(I1583)),K1583="",L1583=""),"FAIL","PASS"))</x:f>
        <x:v>OPEN</x:v>
      </x:c>
    </x:row>
    <x:row r="1584">
      <x:c r="B1584" s="7" t="str">
        <x:v>TRO-C-18-S5-O1-R2</x:v>
      </x:c>
      <x:c r="C1584" s="7" t="str">
        <x:v>BLD-C</x:v>
      </x:c>
      <x:c r="D1584" s="7" t="str">
        <x:v>MF-18</x:v>
      </x:c>
      <x:c r="E1584" s="7" t="str">
        <x:v>STD-18-5</x:v>
      </x:c>
      <x:c r="F1584" s="7" t="str">
        <x:v>OP-1</x:v>
      </x:c>
      <x:c r="G1584" s="7" t="n">
        <x:v>2</x:v>
      </x:c>
      <x:c r="H1584" s="7" t="str"/>
      <x:c r="I1584" s="7" t="str"/>
      <x:c r="J1584" s="7" t="str">
        <x:f>IF(OR(H1584="",I1584=""),"",I1584-H1584)</x:f>
      </x:c>
      <x:c r="K1584" s="7" t="str"/>
      <x:c r="L1584" s="7" t="str"/>
      <x:c r="M1584" s="7" t="str"/>
      <x:c r="N1584" s="7" t="str">
        <x:f>IF(M1584="","OPEN",IF(OR(NOT(ISNUMBER(H1584)),NOT(ISNUMBER(I1584)),K1584="",L1584=""),"FAIL","PASS"))</x:f>
        <x:v>OPEN</x:v>
      </x:c>
    </x:row>
    <x:row r="1585">
      <x:c r="B1585" s="7" t="str">
        <x:v>TRO-C-18-S5-O2-R1</x:v>
      </x:c>
      <x:c r="C1585" s="7" t="str">
        <x:v>BLD-C</x:v>
      </x:c>
      <x:c r="D1585" s="7" t="str">
        <x:v>MF-18</x:v>
      </x:c>
      <x:c r="E1585" s="7" t="str">
        <x:v>STD-18-5</x:v>
      </x:c>
      <x:c r="F1585" s="7" t="str">
        <x:v>OP-2</x:v>
      </x:c>
      <x:c r="G1585" s="7" t="n">
        <x:v>1</x:v>
      </x:c>
      <x:c r="H1585" s="7" t="str"/>
      <x:c r="I1585" s="7" t="str"/>
      <x:c r="J1585" s="7" t="str">
        <x:f>IF(OR(H1585="",I1585=""),"",I1585-H1585)</x:f>
      </x:c>
      <x:c r="K1585" s="7" t="str"/>
      <x:c r="L1585" s="7" t="str"/>
      <x:c r="M1585" s="7" t="str"/>
      <x:c r="N1585" s="7" t="str">
        <x:f>IF(M1585="","OPEN",IF(OR(NOT(ISNUMBER(H1585)),NOT(ISNUMBER(I1585)),K1585="",L1585=""),"FAIL","PASS"))</x:f>
        <x:v>OPEN</x:v>
      </x:c>
    </x:row>
    <x:row r="1586">
      <x:c r="B1586" s="7" t="str">
        <x:v>TRO-C-18-S5-O2-R2</x:v>
      </x:c>
      <x:c r="C1586" s="7" t="str">
        <x:v>BLD-C</x:v>
      </x:c>
      <x:c r="D1586" s="7" t="str">
        <x:v>MF-18</x:v>
      </x:c>
      <x:c r="E1586" s="7" t="str">
        <x:v>STD-18-5</x:v>
      </x:c>
      <x:c r="F1586" s="7" t="str">
        <x:v>OP-2</x:v>
      </x:c>
      <x:c r="G1586" s="7" t="n">
        <x:v>2</x:v>
      </x:c>
      <x:c r="H1586" s="7" t="str"/>
      <x:c r="I1586" s="7" t="str"/>
      <x:c r="J1586" s="7" t="str">
        <x:f>IF(OR(H1586="",I1586=""),"",I1586-H1586)</x:f>
      </x:c>
      <x:c r="K1586" s="7" t="str"/>
      <x:c r="L1586" s="7" t="str"/>
      <x:c r="M1586" s="7" t="str"/>
      <x:c r="N1586" s="7" t="str">
        <x:f>IF(M1586="","OPEN",IF(OR(NOT(ISNUMBER(H1586)),NOT(ISNUMBER(I1586)),K1586="",L1586=""),"FAIL","PASS"))</x:f>
        <x:v>OPEN</x:v>
      </x:c>
    </x:row>
    <x:row r="1587">
      <x:c r="B1587" s="7" t="str">
        <x:v>TRO-C-18-S6-O1-R1</x:v>
      </x:c>
      <x:c r="C1587" s="7" t="str">
        <x:v>BLD-C</x:v>
      </x:c>
      <x:c r="D1587" s="7" t="str">
        <x:v>MF-18</x:v>
      </x:c>
      <x:c r="E1587" s="7" t="str">
        <x:v>STD-18-6</x:v>
      </x:c>
      <x:c r="F1587" s="7" t="str">
        <x:v>OP-1</x:v>
      </x:c>
      <x:c r="G1587" s="7" t="n">
        <x:v>1</x:v>
      </x:c>
      <x:c r="H1587" s="7" t="str"/>
      <x:c r="I1587" s="7" t="str"/>
      <x:c r="J1587" s="7" t="str">
        <x:f>IF(OR(H1587="",I1587=""),"",I1587-H1587)</x:f>
      </x:c>
      <x:c r="K1587" s="7" t="str"/>
      <x:c r="L1587" s="7" t="str"/>
      <x:c r="M1587" s="7" t="str"/>
      <x:c r="N1587" s="7" t="str">
        <x:f>IF(M1587="","OPEN",IF(OR(NOT(ISNUMBER(H1587)),NOT(ISNUMBER(I1587)),K1587="",L1587=""),"FAIL","PASS"))</x:f>
        <x:v>OPEN</x:v>
      </x:c>
    </x:row>
    <x:row r="1588">
      <x:c r="B1588" s="7" t="str">
        <x:v>TRO-C-18-S6-O1-R2</x:v>
      </x:c>
      <x:c r="C1588" s="7" t="str">
        <x:v>BLD-C</x:v>
      </x:c>
      <x:c r="D1588" s="7" t="str">
        <x:v>MF-18</x:v>
      </x:c>
      <x:c r="E1588" s="7" t="str">
        <x:v>STD-18-6</x:v>
      </x:c>
      <x:c r="F1588" s="7" t="str">
        <x:v>OP-1</x:v>
      </x:c>
      <x:c r="G1588" s="7" t="n">
        <x:v>2</x:v>
      </x:c>
      <x:c r="H1588" s="7" t="str"/>
      <x:c r="I1588" s="7" t="str"/>
      <x:c r="J1588" s="7" t="str">
        <x:f>IF(OR(H1588="",I1588=""),"",I1588-H1588)</x:f>
      </x:c>
      <x:c r="K1588" s="7" t="str"/>
      <x:c r="L1588" s="7" t="str"/>
      <x:c r="M1588" s="7" t="str"/>
      <x:c r="N1588" s="7" t="str">
        <x:f>IF(M1588="","OPEN",IF(OR(NOT(ISNUMBER(H1588)),NOT(ISNUMBER(I1588)),K1588="",L1588=""),"FAIL","PASS"))</x:f>
        <x:v>OPEN</x:v>
      </x:c>
    </x:row>
    <x:row r="1589">
      <x:c r="B1589" s="7" t="str">
        <x:v>TRO-C-18-S6-O2-R1</x:v>
      </x:c>
      <x:c r="C1589" s="7" t="str">
        <x:v>BLD-C</x:v>
      </x:c>
      <x:c r="D1589" s="7" t="str">
        <x:v>MF-18</x:v>
      </x:c>
      <x:c r="E1589" s="7" t="str">
        <x:v>STD-18-6</x:v>
      </x:c>
      <x:c r="F1589" s="7" t="str">
        <x:v>OP-2</x:v>
      </x:c>
      <x:c r="G1589" s="7" t="n">
        <x:v>1</x:v>
      </x:c>
      <x:c r="H1589" s="7" t="str"/>
      <x:c r="I1589" s="7" t="str"/>
      <x:c r="J1589" s="7" t="str">
        <x:f>IF(OR(H1589="",I1589=""),"",I1589-H1589)</x:f>
      </x:c>
      <x:c r="K1589" s="7" t="str"/>
      <x:c r="L1589" s="7" t="str"/>
      <x:c r="M1589" s="7" t="str"/>
      <x:c r="N1589" s="7" t="str">
        <x:f>IF(M1589="","OPEN",IF(OR(NOT(ISNUMBER(H1589)),NOT(ISNUMBER(I1589)),K1589="",L1589=""),"FAIL","PASS"))</x:f>
        <x:v>OPEN</x:v>
      </x:c>
    </x:row>
    <x:row r="1590">
      <x:c r="B1590" s="7" t="str">
        <x:v>TRO-C-18-S6-O2-R2</x:v>
      </x:c>
      <x:c r="C1590" s="7" t="str">
        <x:v>BLD-C</x:v>
      </x:c>
      <x:c r="D1590" s="7" t="str">
        <x:v>MF-18</x:v>
      </x:c>
      <x:c r="E1590" s="7" t="str">
        <x:v>STD-18-6</x:v>
      </x:c>
      <x:c r="F1590" s="7" t="str">
        <x:v>OP-2</x:v>
      </x:c>
      <x:c r="G1590" s="7" t="n">
        <x:v>2</x:v>
      </x:c>
      <x:c r="H1590" s="7" t="str"/>
      <x:c r="I1590" s="7" t="str"/>
      <x:c r="J1590" s="7" t="str">
        <x:f>IF(OR(H1590="",I1590=""),"",I1590-H1590)</x:f>
      </x:c>
      <x:c r="K1590" s="7" t="str"/>
      <x:c r="L1590" s="7" t="str"/>
      <x:c r="M1590" s="7" t="str"/>
      <x:c r="N1590" s="7" t="str">
        <x:f>IF(M1590="","OPEN",IF(OR(NOT(ISNUMBER(H1590)),NOT(ISNUMBER(I1590)),K1590="",L1590=""),"FAIL","PASS"))</x:f>
        <x:v>OPEN</x:v>
      </x:c>
    </x:row>
    <x:row r="1591">
      <x:c r="B1591" s="7" t="str">
        <x:v>TRO-C-19-S1-O1-R1</x:v>
      </x:c>
      <x:c r="C1591" s="7" t="str">
        <x:v>BLD-C</x:v>
      </x:c>
      <x:c r="D1591" s="7" t="str">
        <x:v>MF-19</x:v>
      </x:c>
      <x:c r="E1591" s="7" t="str">
        <x:v>STD-19-1</x:v>
      </x:c>
      <x:c r="F1591" s="7" t="str">
        <x:v>OP-1</x:v>
      </x:c>
      <x:c r="G1591" s="7" t="n">
        <x:v>1</x:v>
      </x:c>
      <x:c r="H1591" s="7" t="str"/>
      <x:c r="I1591" s="7" t="str"/>
      <x:c r="J1591" s="7" t="str">
        <x:f>IF(OR(H1591="",I1591=""),"",I1591-H1591)</x:f>
      </x:c>
      <x:c r="K1591" s="7" t="str"/>
      <x:c r="L1591" s="7" t="str"/>
      <x:c r="M1591" s="7" t="str"/>
      <x:c r="N1591" s="7" t="str">
        <x:f>IF(M1591="","OPEN",IF(OR(NOT(ISNUMBER(H1591)),NOT(ISNUMBER(I1591)),K1591="",L1591=""),"FAIL","PASS"))</x:f>
        <x:v>OPEN</x:v>
      </x:c>
    </x:row>
    <x:row r="1592">
      <x:c r="B1592" s="7" t="str">
        <x:v>TRO-C-19-S1-O1-R2</x:v>
      </x:c>
      <x:c r="C1592" s="7" t="str">
        <x:v>BLD-C</x:v>
      </x:c>
      <x:c r="D1592" s="7" t="str">
        <x:v>MF-19</x:v>
      </x:c>
      <x:c r="E1592" s="7" t="str">
        <x:v>STD-19-1</x:v>
      </x:c>
      <x:c r="F1592" s="7" t="str">
        <x:v>OP-1</x:v>
      </x:c>
      <x:c r="G1592" s="7" t="n">
        <x:v>2</x:v>
      </x:c>
      <x:c r="H1592" s="7" t="str"/>
      <x:c r="I1592" s="7" t="str"/>
      <x:c r="J1592" s="7" t="str">
        <x:f>IF(OR(H1592="",I1592=""),"",I1592-H1592)</x:f>
      </x:c>
      <x:c r="K1592" s="7" t="str"/>
      <x:c r="L1592" s="7" t="str"/>
      <x:c r="M1592" s="7" t="str"/>
      <x:c r="N1592" s="7" t="str">
        <x:f>IF(M1592="","OPEN",IF(OR(NOT(ISNUMBER(H1592)),NOT(ISNUMBER(I1592)),K1592="",L1592=""),"FAIL","PASS"))</x:f>
        <x:v>OPEN</x:v>
      </x:c>
    </x:row>
    <x:row r="1593">
      <x:c r="B1593" s="7" t="str">
        <x:v>TRO-C-19-S1-O2-R1</x:v>
      </x:c>
      <x:c r="C1593" s="7" t="str">
        <x:v>BLD-C</x:v>
      </x:c>
      <x:c r="D1593" s="7" t="str">
        <x:v>MF-19</x:v>
      </x:c>
      <x:c r="E1593" s="7" t="str">
        <x:v>STD-19-1</x:v>
      </x:c>
      <x:c r="F1593" s="7" t="str">
        <x:v>OP-2</x:v>
      </x:c>
      <x:c r="G1593" s="7" t="n">
        <x:v>1</x:v>
      </x:c>
      <x:c r="H1593" s="7" t="str"/>
      <x:c r="I1593" s="7" t="str"/>
      <x:c r="J1593" s="7" t="str">
        <x:f>IF(OR(H1593="",I1593=""),"",I1593-H1593)</x:f>
      </x:c>
      <x:c r="K1593" s="7" t="str"/>
      <x:c r="L1593" s="7" t="str"/>
      <x:c r="M1593" s="7" t="str"/>
      <x:c r="N1593" s="7" t="str">
        <x:f>IF(M1593="","OPEN",IF(OR(NOT(ISNUMBER(H1593)),NOT(ISNUMBER(I1593)),K1593="",L1593=""),"FAIL","PASS"))</x:f>
        <x:v>OPEN</x:v>
      </x:c>
    </x:row>
    <x:row r="1594">
      <x:c r="B1594" s="7" t="str">
        <x:v>TRO-C-19-S1-O2-R2</x:v>
      </x:c>
      <x:c r="C1594" s="7" t="str">
        <x:v>BLD-C</x:v>
      </x:c>
      <x:c r="D1594" s="7" t="str">
        <x:v>MF-19</x:v>
      </x:c>
      <x:c r="E1594" s="7" t="str">
        <x:v>STD-19-1</x:v>
      </x:c>
      <x:c r="F1594" s="7" t="str">
        <x:v>OP-2</x:v>
      </x:c>
      <x:c r="G1594" s="7" t="n">
        <x:v>2</x:v>
      </x:c>
      <x:c r="H1594" s="7" t="str"/>
      <x:c r="I1594" s="7" t="str"/>
      <x:c r="J1594" s="7" t="str">
        <x:f>IF(OR(H1594="",I1594=""),"",I1594-H1594)</x:f>
      </x:c>
      <x:c r="K1594" s="7" t="str"/>
      <x:c r="L1594" s="7" t="str"/>
      <x:c r="M1594" s="7" t="str"/>
      <x:c r="N1594" s="7" t="str">
        <x:f>IF(M1594="","OPEN",IF(OR(NOT(ISNUMBER(H1594)),NOT(ISNUMBER(I1594)),K1594="",L1594=""),"FAIL","PASS"))</x:f>
        <x:v>OPEN</x:v>
      </x:c>
    </x:row>
    <x:row r="1595">
      <x:c r="B1595" s="7" t="str">
        <x:v>TRO-C-19-S2-O1-R1</x:v>
      </x:c>
      <x:c r="C1595" s="7" t="str">
        <x:v>BLD-C</x:v>
      </x:c>
      <x:c r="D1595" s="7" t="str">
        <x:v>MF-19</x:v>
      </x:c>
      <x:c r="E1595" s="7" t="str">
        <x:v>STD-19-2</x:v>
      </x:c>
      <x:c r="F1595" s="7" t="str">
        <x:v>OP-1</x:v>
      </x:c>
      <x:c r="G1595" s="7" t="n">
        <x:v>1</x:v>
      </x:c>
      <x:c r="H1595" s="7" t="str"/>
      <x:c r="I1595" s="7" t="str"/>
      <x:c r="J1595" s="7" t="str">
        <x:f>IF(OR(H1595="",I1595=""),"",I1595-H1595)</x:f>
      </x:c>
      <x:c r="K1595" s="7" t="str"/>
      <x:c r="L1595" s="7" t="str"/>
      <x:c r="M1595" s="7" t="str"/>
      <x:c r="N1595" s="7" t="str">
        <x:f>IF(M1595="","OPEN",IF(OR(NOT(ISNUMBER(H1595)),NOT(ISNUMBER(I1595)),K1595="",L1595=""),"FAIL","PASS"))</x:f>
        <x:v>OPEN</x:v>
      </x:c>
    </x:row>
    <x:row r="1596">
      <x:c r="B1596" s="7" t="str">
        <x:v>TRO-C-19-S2-O1-R2</x:v>
      </x:c>
      <x:c r="C1596" s="7" t="str">
        <x:v>BLD-C</x:v>
      </x:c>
      <x:c r="D1596" s="7" t="str">
        <x:v>MF-19</x:v>
      </x:c>
      <x:c r="E1596" s="7" t="str">
        <x:v>STD-19-2</x:v>
      </x:c>
      <x:c r="F1596" s="7" t="str">
        <x:v>OP-1</x:v>
      </x:c>
      <x:c r="G1596" s="7" t="n">
        <x:v>2</x:v>
      </x:c>
      <x:c r="H1596" s="7" t="str"/>
      <x:c r="I1596" s="7" t="str"/>
      <x:c r="J1596" s="7" t="str">
        <x:f>IF(OR(H1596="",I1596=""),"",I1596-H1596)</x:f>
      </x:c>
      <x:c r="K1596" s="7" t="str"/>
      <x:c r="L1596" s="7" t="str"/>
      <x:c r="M1596" s="7" t="str"/>
      <x:c r="N1596" s="7" t="str">
        <x:f>IF(M1596="","OPEN",IF(OR(NOT(ISNUMBER(H1596)),NOT(ISNUMBER(I1596)),K1596="",L1596=""),"FAIL","PASS"))</x:f>
        <x:v>OPEN</x:v>
      </x:c>
    </x:row>
    <x:row r="1597">
      <x:c r="B1597" s="7" t="str">
        <x:v>TRO-C-19-S2-O2-R1</x:v>
      </x:c>
      <x:c r="C1597" s="7" t="str">
        <x:v>BLD-C</x:v>
      </x:c>
      <x:c r="D1597" s="7" t="str">
        <x:v>MF-19</x:v>
      </x:c>
      <x:c r="E1597" s="7" t="str">
        <x:v>STD-19-2</x:v>
      </x:c>
      <x:c r="F1597" s="7" t="str">
        <x:v>OP-2</x:v>
      </x:c>
      <x:c r="G1597" s="7" t="n">
        <x:v>1</x:v>
      </x:c>
      <x:c r="H1597" s="7" t="str"/>
      <x:c r="I1597" s="7" t="str"/>
      <x:c r="J1597" s="7" t="str">
        <x:f>IF(OR(H1597="",I1597=""),"",I1597-H1597)</x:f>
      </x:c>
      <x:c r="K1597" s="7" t="str"/>
      <x:c r="L1597" s="7" t="str"/>
      <x:c r="M1597" s="7" t="str"/>
      <x:c r="N1597" s="7" t="str">
        <x:f>IF(M1597="","OPEN",IF(OR(NOT(ISNUMBER(H1597)),NOT(ISNUMBER(I1597)),K1597="",L1597=""),"FAIL","PASS"))</x:f>
        <x:v>OPEN</x:v>
      </x:c>
    </x:row>
    <x:row r="1598">
      <x:c r="B1598" s="7" t="str">
        <x:v>TRO-C-19-S2-O2-R2</x:v>
      </x:c>
      <x:c r="C1598" s="7" t="str">
        <x:v>BLD-C</x:v>
      </x:c>
      <x:c r="D1598" s="7" t="str">
        <x:v>MF-19</x:v>
      </x:c>
      <x:c r="E1598" s="7" t="str">
        <x:v>STD-19-2</x:v>
      </x:c>
      <x:c r="F1598" s="7" t="str">
        <x:v>OP-2</x:v>
      </x:c>
      <x:c r="G1598" s="7" t="n">
        <x:v>2</x:v>
      </x:c>
      <x:c r="H1598" s="7" t="str"/>
      <x:c r="I1598" s="7" t="str"/>
      <x:c r="J1598" s="7" t="str">
        <x:f>IF(OR(H1598="",I1598=""),"",I1598-H1598)</x:f>
      </x:c>
      <x:c r="K1598" s="7" t="str"/>
      <x:c r="L1598" s="7" t="str"/>
      <x:c r="M1598" s="7" t="str"/>
      <x:c r="N1598" s="7" t="str">
        <x:f>IF(M1598="","OPEN",IF(OR(NOT(ISNUMBER(H1598)),NOT(ISNUMBER(I1598)),K1598="",L1598=""),"FAIL","PASS"))</x:f>
        <x:v>OPEN</x:v>
      </x:c>
    </x:row>
    <x:row r="1599">
      <x:c r="B1599" s="7" t="str">
        <x:v>TRO-C-19-S3-O1-R1</x:v>
      </x:c>
      <x:c r="C1599" s="7" t="str">
        <x:v>BLD-C</x:v>
      </x:c>
      <x:c r="D1599" s="7" t="str">
        <x:v>MF-19</x:v>
      </x:c>
      <x:c r="E1599" s="7" t="str">
        <x:v>STD-19-3</x:v>
      </x:c>
      <x:c r="F1599" s="7" t="str">
        <x:v>OP-1</x:v>
      </x:c>
      <x:c r="G1599" s="7" t="n">
        <x:v>1</x:v>
      </x:c>
      <x:c r="H1599" s="7" t="str"/>
      <x:c r="I1599" s="7" t="str"/>
      <x:c r="J1599" s="7" t="str">
        <x:f>IF(OR(H1599="",I1599=""),"",I1599-H1599)</x:f>
      </x:c>
      <x:c r="K1599" s="7" t="str"/>
      <x:c r="L1599" s="7" t="str"/>
      <x:c r="M1599" s="7" t="str"/>
      <x:c r="N1599" s="7" t="str">
        <x:f>IF(M1599="","OPEN",IF(OR(NOT(ISNUMBER(H1599)),NOT(ISNUMBER(I1599)),K1599="",L1599=""),"FAIL","PASS"))</x:f>
        <x:v>OPEN</x:v>
      </x:c>
    </x:row>
    <x:row r="1600">
      <x:c r="B1600" s="7" t="str">
        <x:v>TRO-C-19-S3-O1-R2</x:v>
      </x:c>
      <x:c r="C1600" s="7" t="str">
        <x:v>BLD-C</x:v>
      </x:c>
      <x:c r="D1600" s="7" t="str">
        <x:v>MF-19</x:v>
      </x:c>
      <x:c r="E1600" s="7" t="str">
        <x:v>STD-19-3</x:v>
      </x:c>
      <x:c r="F1600" s="7" t="str">
        <x:v>OP-1</x:v>
      </x:c>
      <x:c r="G1600" s="7" t="n">
        <x:v>2</x:v>
      </x:c>
      <x:c r="H1600" s="7" t="str"/>
      <x:c r="I1600" s="7" t="str"/>
      <x:c r="J1600" s="7" t="str">
        <x:f>IF(OR(H1600="",I1600=""),"",I1600-H1600)</x:f>
      </x:c>
      <x:c r="K1600" s="7" t="str"/>
      <x:c r="L1600" s="7" t="str"/>
      <x:c r="M1600" s="7" t="str"/>
      <x:c r="N1600" s="7" t="str">
        <x:f>IF(M1600="","OPEN",IF(OR(NOT(ISNUMBER(H1600)),NOT(ISNUMBER(I1600)),K1600="",L1600=""),"FAIL","PASS"))</x:f>
        <x:v>OPEN</x:v>
      </x:c>
    </x:row>
    <x:row r="1601">
      <x:c r="B1601" s="7" t="str">
        <x:v>TRO-C-19-S3-O2-R1</x:v>
      </x:c>
      <x:c r="C1601" s="7" t="str">
        <x:v>BLD-C</x:v>
      </x:c>
      <x:c r="D1601" s="7" t="str">
        <x:v>MF-19</x:v>
      </x:c>
      <x:c r="E1601" s="7" t="str">
        <x:v>STD-19-3</x:v>
      </x:c>
      <x:c r="F1601" s="7" t="str">
        <x:v>OP-2</x:v>
      </x:c>
      <x:c r="G1601" s="7" t="n">
        <x:v>1</x:v>
      </x:c>
      <x:c r="H1601" s="7" t="str"/>
      <x:c r="I1601" s="7" t="str"/>
      <x:c r="J1601" s="7" t="str">
        <x:f>IF(OR(H1601="",I1601=""),"",I1601-H1601)</x:f>
      </x:c>
      <x:c r="K1601" s="7" t="str"/>
      <x:c r="L1601" s="7" t="str"/>
      <x:c r="M1601" s="7" t="str"/>
      <x:c r="N1601" s="7" t="str">
        <x:f>IF(M1601="","OPEN",IF(OR(NOT(ISNUMBER(H1601)),NOT(ISNUMBER(I1601)),K1601="",L1601=""),"FAIL","PASS"))</x:f>
        <x:v>OPEN</x:v>
      </x:c>
    </x:row>
    <x:row r="1602">
      <x:c r="B1602" s="7" t="str">
        <x:v>TRO-C-19-S3-O2-R2</x:v>
      </x:c>
      <x:c r="C1602" s="7" t="str">
        <x:v>BLD-C</x:v>
      </x:c>
      <x:c r="D1602" s="7" t="str">
        <x:v>MF-19</x:v>
      </x:c>
      <x:c r="E1602" s="7" t="str">
        <x:v>STD-19-3</x:v>
      </x:c>
      <x:c r="F1602" s="7" t="str">
        <x:v>OP-2</x:v>
      </x:c>
      <x:c r="G1602" s="7" t="n">
        <x:v>2</x:v>
      </x:c>
      <x:c r="H1602" s="7" t="str"/>
      <x:c r="I1602" s="7" t="str"/>
      <x:c r="J1602" s="7" t="str">
        <x:f>IF(OR(H1602="",I1602=""),"",I1602-H1602)</x:f>
      </x:c>
      <x:c r="K1602" s="7" t="str"/>
      <x:c r="L1602" s="7" t="str"/>
      <x:c r="M1602" s="7" t="str"/>
      <x:c r="N1602" s="7" t="str">
        <x:f>IF(M1602="","OPEN",IF(OR(NOT(ISNUMBER(H1602)),NOT(ISNUMBER(I1602)),K1602="",L1602=""),"FAIL","PASS"))</x:f>
        <x:v>OPEN</x:v>
      </x:c>
    </x:row>
    <x:row r="1603">
      <x:c r="B1603" s="7" t="str">
        <x:v>TRO-C-19-S4-O1-R1</x:v>
      </x:c>
      <x:c r="C1603" s="7" t="str">
        <x:v>BLD-C</x:v>
      </x:c>
      <x:c r="D1603" s="7" t="str">
        <x:v>MF-19</x:v>
      </x:c>
      <x:c r="E1603" s="7" t="str">
        <x:v>STD-19-4</x:v>
      </x:c>
      <x:c r="F1603" s="7" t="str">
        <x:v>OP-1</x:v>
      </x:c>
      <x:c r="G1603" s="7" t="n">
        <x:v>1</x:v>
      </x:c>
      <x:c r="H1603" s="7" t="str"/>
      <x:c r="I1603" s="7" t="str"/>
      <x:c r="J1603" s="7" t="str">
        <x:f>IF(OR(H1603="",I1603=""),"",I1603-H1603)</x:f>
      </x:c>
      <x:c r="K1603" s="7" t="str"/>
      <x:c r="L1603" s="7" t="str"/>
      <x:c r="M1603" s="7" t="str"/>
      <x:c r="N1603" s="7" t="str">
        <x:f>IF(M1603="","OPEN",IF(OR(NOT(ISNUMBER(H1603)),NOT(ISNUMBER(I1603)),K1603="",L1603=""),"FAIL","PASS"))</x:f>
        <x:v>OPEN</x:v>
      </x:c>
    </x:row>
    <x:row r="1604">
      <x:c r="B1604" s="7" t="str">
        <x:v>TRO-C-19-S4-O1-R2</x:v>
      </x:c>
      <x:c r="C1604" s="7" t="str">
        <x:v>BLD-C</x:v>
      </x:c>
      <x:c r="D1604" s="7" t="str">
        <x:v>MF-19</x:v>
      </x:c>
      <x:c r="E1604" s="7" t="str">
        <x:v>STD-19-4</x:v>
      </x:c>
      <x:c r="F1604" s="7" t="str">
        <x:v>OP-1</x:v>
      </x:c>
      <x:c r="G1604" s="7" t="n">
        <x:v>2</x:v>
      </x:c>
      <x:c r="H1604" s="7" t="str"/>
      <x:c r="I1604" s="7" t="str"/>
      <x:c r="J1604" s="7" t="str">
        <x:f>IF(OR(H1604="",I1604=""),"",I1604-H1604)</x:f>
      </x:c>
      <x:c r="K1604" s="7" t="str"/>
      <x:c r="L1604" s="7" t="str"/>
      <x:c r="M1604" s="7" t="str"/>
      <x:c r="N1604" s="7" t="str">
        <x:f>IF(M1604="","OPEN",IF(OR(NOT(ISNUMBER(H1604)),NOT(ISNUMBER(I1604)),K1604="",L1604=""),"FAIL","PASS"))</x:f>
        <x:v>OPEN</x:v>
      </x:c>
    </x:row>
    <x:row r="1605">
      <x:c r="B1605" s="7" t="str">
        <x:v>TRO-C-19-S4-O2-R1</x:v>
      </x:c>
      <x:c r="C1605" s="7" t="str">
        <x:v>BLD-C</x:v>
      </x:c>
      <x:c r="D1605" s="7" t="str">
        <x:v>MF-19</x:v>
      </x:c>
      <x:c r="E1605" s="7" t="str">
        <x:v>STD-19-4</x:v>
      </x:c>
      <x:c r="F1605" s="7" t="str">
        <x:v>OP-2</x:v>
      </x:c>
      <x:c r="G1605" s="7" t="n">
        <x:v>1</x:v>
      </x:c>
      <x:c r="H1605" s="7" t="str"/>
      <x:c r="I1605" s="7" t="str"/>
      <x:c r="J1605" s="7" t="str">
        <x:f>IF(OR(H1605="",I1605=""),"",I1605-H1605)</x:f>
      </x:c>
      <x:c r="K1605" s="7" t="str"/>
      <x:c r="L1605" s="7" t="str"/>
      <x:c r="M1605" s="7" t="str"/>
      <x:c r="N1605" s="7" t="str">
        <x:f>IF(M1605="","OPEN",IF(OR(NOT(ISNUMBER(H1605)),NOT(ISNUMBER(I1605)),K1605="",L1605=""),"FAIL","PASS"))</x:f>
        <x:v>OPEN</x:v>
      </x:c>
    </x:row>
    <x:row r="1606">
      <x:c r="B1606" s="7" t="str">
        <x:v>TRO-C-19-S4-O2-R2</x:v>
      </x:c>
      <x:c r="C1606" s="7" t="str">
        <x:v>BLD-C</x:v>
      </x:c>
      <x:c r="D1606" s="7" t="str">
        <x:v>MF-19</x:v>
      </x:c>
      <x:c r="E1606" s="7" t="str">
        <x:v>STD-19-4</x:v>
      </x:c>
      <x:c r="F1606" s="7" t="str">
        <x:v>OP-2</x:v>
      </x:c>
      <x:c r="G1606" s="7" t="n">
        <x:v>2</x:v>
      </x:c>
      <x:c r="H1606" s="7" t="str"/>
      <x:c r="I1606" s="7" t="str"/>
      <x:c r="J1606" s="7" t="str">
        <x:f>IF(OR(H1606="",I1606=""),"",I1606-H1606)</x:f>
      </x:c>
      <x:c r="K1606" s="7" t="str"/>
      <x:c r="L1606" s="7" t="str"/>
      <x:c r="M1606" s="7" t="str"/>
      <x:c r="N1606" s="7" t="str">
        <x:f>IF(M1606="","OPEN",IF(OR(NOT(ISNUMBER(H1606)),NOT(ISNUMBER(I1606)),K1606="",L1606=""),"FAIL","PASS"))</x:f>
        <x:v>OPEN</x:v>
      </x:c>
    </x:row>
    <x:row r="1607">
      <x:c r="B1607" s="7" t="str">
        <x:v>TRO-C-19-S5-O1-R1</x:v>
      </x:c>
      <x:c r="C1607" s="7" t="str">
        <x:v>BLD-C</x:v>
      </x:c>
      <x:c r="D1607" s="7" t="str">
        <x:v>MF-19</x:v>
      </x:c>
      <x:c r="E1607" s="7" t="str">
        <x:v>STD-19-5</x:v>
      </x:c>
      <x:c r="F1607" s="7" t="str">
        <x:v>OP-1</x:v>
      </x:c>
      <x:c r="G1607" s="7" t="n">
        <x:v>1</x:v>
      </x:c>
      <x:c r="H1607" s="7" t="str"/>
      <x:c r="I1607" s="7" t="str"/>
      <x:c r="J1607" s="7" t="str">
        <x:f>IF(OR(H1607="",I1607=""),"",I1607-H1607)</x:f>
      </x:c>
      <x:c r="K1607" s="7" t="str"/>
      <x:c r="L1607" s="7" t="str"/>
      <x:c r="M1607" s="7" t="str"/>
      <x:c r="N1607" s="7" t="str">
        <x:f>IF(M1607="","OPEN",IF(OR(NOT(ISNUMBER(H1607)),NOT(ISNUMBER(I1607)),K1607="",L1607=""),"FAIL","PASS"))</x:f>
        <x:v>OPEN</x:v>
      </x:c>
    </x:row>
    <x:row r="1608">
      <x:c r="B1608" s="7" t="str">
        <x:v>TRO-C-19-S5-O1-R2</x:v>
      </x:c>
      <x:c r="C1608" s="7" t="str">
        <x:v>BLD-C</x:v>
      </x:c>
      <x:c r="D1608" s="7" t="str">
        <x:v>MF-19</x:v>
      </x:c>
      <x:c r="E1608" s="7" t="str">
        <x:v>STD-19-5</x:v>
      </x:c>
      <x:c r="F1608" s="7" t="str">
        <x:v>OP-1</x:v>
      </x:c>
      <x:c r="G1608" s="7" t="n">
        <x:v>2</x:v>
      </x:c>
      <x:c r="H1608" s="7" t="str"/>
      <x:c r="I1608" s="7" t="str"/>
      <x:c r="J1608" s="7" t="str">
        <x:f>IF(OR(H1608="",I1608=""),"",I1608-H1608)</x:f>
      </x:c>
      <x:c r="K1608" s="7" t="str"/>
      <x:c r="L1608" s="7" t="str"/>
      <x:c r="M1608" s="7" t="str"/>
      <x:c r="N1608" s="7" t="str">
        <x:f>IF(M1608="","OPEN",IF(OR(NOT(ISNUMBER(H1608)),NOT(ISNUMBER(I1608)),K1608="",L1608=""),"FAIL","PASS"))</x:f>
        <x:v>OPEN</x:v>
      </x:c>
    </x:row>
    <x:row r="1609">
      <x:c r="B1609" s="7" t="str">
        <x:v>TRO-C-19-S5-O2-R1</x:v>
      </x:c>
      <x:c r="C1609" s="7" t="str">
        <x:v>BLD-C</x:v>
      </x:c>
      <x:c r="D1609" s="7" t="str">
        <x:v>MF-19</x:v>
      </x:c>
      <x:c r="E1609" s="7" t="str">
        <x:v>STD-19-5</x:v>
      </x:c>
      <x:c r="F1609" s="7" t="str">
        <x:v>OP-2</x:v>
      </x:c>
      <x:c r="G1609" s="7" t="n">
        <x:v>1</x:v>
      </x:c>
      <x:c r="H1609" s="7" t="str"/>
      <x:c r="I1609" s="7" t="str"/>
      <x:c r="J1609" s="7" t="str">
        <x:f>IF(OR(H1609="",I1609=""),"",I1609-H1609)</x:f>
      </x:c>
      <x:c r="K1609" s="7" t="str"/>
      <x:c r="L1609" s="7" t="str"/>
      <x:c r="M1609" s="7" t="str"/>
      <x:c r="N1609" s="7" t="str">
        <x:f>IF(M1609="","OPEN",IF(OR(NOT(ISNUMBER(H1609)),NOT(ISNUMBER(I1609)),K1609="",L1609=""),"FAIL","PASS"))</x:f>
        <x:v>OPEN</x:v>
      </x:c>
    </x:row>
    <x:row r="1610">
      <x:c r="B1610" s="7" t="str">
        <x:v>TRO-C-19-S5-O2-R2</x:v>
      </x:c>
      <x:c r="C1610" s="7" t="str">
        <x:v>BLD-C</x:v>
      </x:c>
      <x:c r="D1610" s="7" t="str">
        <x:v>MF-19</x:v>
      </x:c>
      <x:c r="E1610" s="7" t="str">
        <x:v>STD-19-5</x:v>
      </x:c>
      <x:c r="F1610" s="7" t="str">
        <x:v>OP-2</x:v>
      </x:c>
      <x:c r="G1610" s="7" t="n">
        <x:v>2</x:v>
      </x:c>
      <x:c r="H1610" s="7" t="str"/>
      <x:c r="I1610" s="7" t="str"/>
      <x:c r="J1610" s="7" t="str">
        <x:f>IF(OR(H1610="",I1610=""),"",I1610-H1610)</x:f>
      </x:c>
      <x:c r="K1610" s="7" t="str"/>
      <x:c r="L1610" s="7" t="str"/>
      <x:c r="M1610" s="7" t="str"/>
      <x:c r="N1610" s="7" t="str">
        <x:f>IF(M1610="","OPEN",IF(OR(NOT(ISNUMBER(H1610)),NOT(ISNUMBER(I1610)),K1610="",L1610=""),"FAIL","PASS"))</x:f>
        <x:v>OPEN</x:v>
      </x:c>
    </x:row>
    <x:row r="1611">
      <x:c r="B1611" s="7" t="str">
        <x:v>TRO-C-19-S6-O1-R1</x:v>
      </x:c>
      <x:c r="C1611" s="7" t="str">
        <x:v>BLD-C</x:v>
      </x:c>
      <x:c r="D1611" s="7" t="str">
        <x:v>MF-19</x:v>
      </x:c>
      <x:c r="E1611" s="7" t="str">
        <x:v>STD-19-6</x:v>
      </x:c>
      <x:c r="F1611" s="7" t="str">
        <x:v>OP-1</x:v>
      </x:c>
      <x:c r="G1611" s="7" t="n">
        <x:v>1</x:v>
      </x:c>
      <x:c r="H1611" s="7" t="str"/>
      <x:c r="I1611" s="7" t="str"/>
      <x:c r="J1611" s="7" t="str">
        <x:f>IF(OR(H1611="",I1611=""),"",I1611-H1611)</x:f>
      </x:c>
      <x:c r="K1611" s="7" t="str"/>
      <x:c r="L1611" s="7" t="str"/>
      <x:c r="M1611" s="7" t="str"/>
      <x:c r="N1611" s="7" t="str">
        <x:f>IF(M1611="","OPEN",IF(OR(NOT(ISNUMBER(H1611)),NOT(ISNUMBER(I1611)),K1611="",L1611=""),"FAIL","PASS"))</x:f>
        <x:v>OPEN</x:v>
      </x:c>
    </x:row>
    <x:row r="1612">
      <x:c r="B1612" s="7" t="str">
        <x:v>TRO-C-19-S6-O1-R2</x:v>
      </x:c>
      <x:c r="C1612" s="7" t="str">
        <x:v>BLD-C</x:v>
      </x:c>
      <x:c r="D1612" s="7" t="str">
        <x:v>MF-19</x:v>
      </x:c>
      <x:c r="E1612" s="7" t="str">
        <x:v>STD-19-6</x:v>
      </x:c>
      <x:c r="F1612" s="7" t="str">
        <x:v>OP-1</x:v>
      </x:c>
      <x:c r="G1612" s="7" t="n">
        <x:v>2</x:v>
      </x:c>
      <x:c r="H1612" s="7" t="str"/>
      <x:c r="I1612" s="7" t="str"/>
      <x:c r="J1612" s="7" t="str">
        <x:f>IF(OR(H1612="",I1612=""),"",I1612-H1612)</x:f>
      </x:c>
      <x:c r="K1612" s="7" t="str"/>
      <x:c r="L1612" s="7" t="str"/>
      <x:c r="M1612" s="7" t="str"/>
      <x:c r="N1612" s="7" t="str">
        <x:f>IF(M1612="","OPEN",IF(OR(NOT(ISNUMBER(H1612)),NOT(ISNUMBER(I1612)),K1612="",L1612=""),"FAIL","PASS"))</x:f>
        <x:v>OPEN</x:v>
      </x:c>
    </x:row>
    <x:row r="1613">
      <x:c r="B1613" s="7" t="str">
        <x:v>TRO-C-19-S6-O2-R1</x:v>
      </x:c>
      <x:c r="C1613" s="7" t="str">
        <x:v>BLD-C</x:v>
      </x:c>
      <x:c r="D1613" s="7" t="str">
        <x:v>MF-19</x:v>
      </x:c>
      <x:c r="E1613" s="7" t="str">
        <x:v>STD-19-6</x:v>
      </x:c>
      <x:c r="F1613" s="7" t="str">
        <x:v>OP-2</x:v>
      </x:c>
      <x:c r="G1613" s="7" t="n">
        <x:v>1</x:v>
      </x:c>
      <x:c r="H1613" s="7" t="str"/>
      <x:c r="I1613" s="7" t="str"/>
      <x:c r="J1613" s="7" t="str">
        <x:f>IF(OR(H1613="",I1613=""),"",I1613-H1613)</x:f>
      </x:c>
      <x:c r="K1613" s="7" t="str"/>
      <x:c r="L1613" s="7" t="str"/>
      <x:c r="M1613" s="7" t="str"/>
      <x:c r="N1613" s="7" t="str">
        <x:f>IF(M1613="","OPEN",IF(OR(NOT(ISNUMBER(H1613)),NOT(ISNUMBER(I1613)),K1613="",L1613=""),"FAIL","PASS"))</x:f>
        <x:v>OPEN</x:v>
      </x:c>
    </x:row>
    <x:row r="1614">
      <x:c r="B1614" s="7" t="str">
        <x:v>TRO-C-19-S6-O2-R2</x:v>
      </x:c>
      <x:c r="C1614" s="7" t="str">
        <x:v>BLD-C</x:v>
      </x:c>
      <x:c r="D1614" s="7" t="str">
        <x:v>MF-19</x:v>
      </x:c>
      <x:c r="E1614" s="7" t="str">
        <x:v>STD-19-6</x:v>
      </x:c>
      <x:c r="F1614" s="7" t="str">
        <x:v>OP-2</x:v>
      </x:c>
      <x:c r="G1614" s="7" t="n">
        <x:v>2</x:v>
      </x:c>
      <x:c r="H1614" s="7" t="str"/>
      <x:c r="I1614" s="7" t="str"/>
      <x:c r="J1614" s="7" t="str">
        <x:f>IF(OR(H1614="",I1614=""),"",I1614-H1614)</x:f>
      </x:c>
      <x:c r="K1614" s="7" t="str"/>
      <x:c r="L1614" s="7" t="str"/>
      <x:c r="M1614" s="7" t="str"/>
      <x:c r="N1614" s="7" t="str">
        <x:f>IF(M1614="","OPEN",IF(OR(NOT(ISNUMBER(H1614)),NOT(ISNUMBER(I1614)),K1614="",L1614=""),"FAIL","PASS"))</x:f>
        <x:v>OPEN</x:v>
      </x:c>
    </x:row>
    <x:row r="1615">
      <x:c r="B1615" s="7" t="str">
        <x:v>TRO-C-20-S1-O1-R1</x:v>
      </x:c>
      <x:c r="C1615" s="7" t="str">
        <x:v>BLD-C</x:v>
      </x:c>
      <x:c r="D1615" s="7" t="str">
        <x:v>MF-20</x:v>
      </x:c>
      <x:c r="E1615" s="7" t="str">
        <x:v>STD-20-1</x:v>
      </x:c>
      <x:c r="F1615" s="7" t="str">
        <x:v>OP-1</x:v>
      </x:c>
      <x:c r="G1615" s="7" t="n">
        <x:v>1</x:v>
      </x:c>
      <x:c r="H1615" s="7" t="str"/>
      <x:c r="I1615" s="7" t="str"/>
      <x:c r="J1615" s="7" t="str">
        <x:f>IF(OR(H1615="",I1615=""),"",I1615-H1615)</x:f>
      </x:c>
      <x:c r="K1615" s="7" t="str"/>
      <x:c r="L1615" s="7" t="str"/>
      <x:c r="M1615" s="7" t="str"/>
      <x:c r="N1615" s="7" t="str">
        <x:f>IF(M1615="","OPEN",IF(OR(NOT(ISNUMBER(H1615)),NOT(ISNUMBER(I1615)),K1615="",L1615=""),"FAIL","PASS"))</x:f>
        <x:v>OPEN</x:v>
      </x:c>
    </x:row>
    <x:row r="1616">
      <x:c r="B1616" s="7" t="str">
        <x:v>TRO-C-20-S1-O1-R2</x:v>
      </x:c>
      <x:c r="C1616" s="7" t="str">
        <x:v>BLD-C</x:v>
      </x:c>
      <x:c r="D1616" s="7" t="str">
        <x:v>MF-20</x:v>
      </x:c>
      <x:c r="E1616" s="7" t="str">
        <x:v>STD-20-1</x:v>
      </x:c>
      <x:c r="F1616" s="7" t="str">
        <x:v>OP-1</x:v>
      </x:c>
      <x:c r="G1616" s="7" t="n">
        <x:v>2</x:v>
      </x:c>
      <x:c r="H1616" s="7" t="str"/>
      <x:c r="I1616" s="7" t="str"/>
      <x:c r="J1616" s="7" t="str">
        <x:f>IF(OR(H1616="",I1616=""),"",I1616-H1616)</x:f>
      </x:c>
      <x:c r="K1616" s="7" t="str"/>
      <x:c r="L1616" s="7" t="str"/>
      <x:c r="M1616" s="7" t="str"/>
      <x:c r="N1616" s="7" t="str">
        <x:f>IF(M1616="","OPEN",IF(OR(NOT(ISNUMBER(H1616)),NOT(ISNUMBER(I1616)),K1616="",L1616=""),"FAIL","PASS"))</x:f>
        <x:v>OPEN</x:v>
      </x:c>
    </x:row>
    <x:row r="1617">
      <x:c r="B1617" s="7" t="str">
        <x:v>TRO-C-20-S1-O2-R1</x:v>
      </x:c>
      <x:c r="C1617" s="7" t="str">
        <x:v>BLD-C</x:v>
      </x:c>
      <x:c r="D1617" s="7" t="str">
        <x:v>MF-20</x:v>
      </x:c>
      <x:c r="E1617" s="7" t="str">
        <x:v>STD-20-1</x:v>
      </x:c>
      <x:c r="F1617" s="7" t="str">
        <x:v>OP-2</x:v>
      </x:c>
      <x:c r="G1617" s="7" t="n">
        <x:v>1</x:v>
      </x:c>
      <x:c r="H1617" s="7" t="str"/>
      <x:c r="I1617" s="7" t="str"/>
      <x:c r="J1617" s="7" t="str">
        <x:f>IF(OR(H1617="",I1617=""),"",I1617-H1617)</x:f>
      </x:c>
      <x:c r="K1617" s="7" t="str"/>
      <x:c r="L1617" s="7" t="str"/>
      <x:c r="M1617" s="7" t="str"/>
      <x:c r="N1617" s="7" t="str">
        <x:f>IF(M1617="","OPEN",IF(OR(NOT(ISNUMBER(H1617)),NOT(ISNUMBER(I1617)),K1617="",L1617=""),"FAIL","PASS"))</x:f>
        <x:v>OPEN</x:v>
      </x:c>
    </x:row>
    <x:row r="1618">
      <x:c r="B1618" s="7" t="str">
        <x:v>TRO-C-20-S1-O2-R2</x:v>
      </x:c>
      <x:c r="C1618" s="7" t="str">
        <x:v>BLD-C</x:v>
      </x:c>
      <x:c r="D1618" s="7" t="str">
        <x:v>MF-20</x:v>
      </x:c>
      <x:c r="E1618" s="7" t="str">
        <x:v>STD-20-1</x:v>
      </x:c>
      <x:c r="F1618" s="7" t="str">
        <x:v>OP-2</x:v>
      </x:c>
      <x:c r="G1618" s="7" t="n">
        <x:v>2</x:v>
      </x:c>
      <x:c r="H1618" s="7" t="str"/>
      <x:c r="I1618" s="7" t="str"/>
      <x:c r="J1618" s="7" t="str">
        <x:f>IF(OR(H1618="",I1618=""),"",I1618-H1618)</x:f>
      </x:c>
      <x:c r="K1618" s="7" t="str"/>
      <x:c r="L1618" s="7" t="str"/>
      <x:c r="M1618" s="7" t="str"/>
      <x:c r="N1618" s="7" t="str">
        <x:f>IF(M1618="","OPEN",IF(OR(NOT(ISNUMBER(H1618)),NOT(ISNUMBER(I1618)),K1618="",L1618=""),"FAIL","PASS"))</x:f>
        <x:v>OPEN</x:v>
      </x:c>
    </x:row>
    <x:row r="1619">
      <x:c r="B1619" s="7" t="str">
        <x:v>TRO-C-20-S2-O1-R1</x:v>
      </x:c>
      <x:c r="C1619" s="7" t="str">
        <x:v>BLD-C</x:v>
      </x:c>
      <x:c r="D1619" s="7" t="str">
        <x:v>MF-20</x:v>
      </x:c>
      <x:c r="E1619" s="7" t="str">
        <x:v>STD-20-2</x:v>
      </x:c>
      <x:c r="F1619" s="7" t="str">
        <x:v>OP-1</x:v>
      </x:c>
      <x:c r="G1619" s="7" t="n">
        <x:v>1</x:v>
      </x:c>
      <x:c r="H1619" s="7" t="str"/>
      <x:c r="I1619" s="7" t="str"/>
      <x:c r="J1619" s="7" t="str">
        <x:f>IF(OR(H1619="",I1619=""),"",I1619-H1619)</x:f>
      </x:c>
      <x:c r="K1619" s="7" t="str"/>
      <x:c r="L1619" s="7" t="str"/>
      <x:c r="M1619" s="7" t="str"/>
      <x:c r="N1619" s="7" t="str">
        <x:f>IF(M1619="","OPEN",IF(OR(NOT(ISNUMBER(H1619)),NOT(ISNUMBER(I1619)),K1619="",L1619=""),"FAIL","PASS"))</x:f>
        <x:v>OPEN</x:v>
      </x:c>
    </x:row>
    <x:row r="1620">
      <x:c r="B1620" s="7" t="str">
        <x:v>TRO-C-20-S2-O1-R2</x:v>
      </x:c>
      <x:c r="C1620" s="7" t="str">
        <x:v>BLD-C</x:v>
      </x:c>
      <x:c r="D1620" s="7" t="str">
        <x:v>MF-20</x:v>
      </x:c>
      <x:c r="E1620" s="7" t="str">
        <x:v>STD-20-2</x:v>
      </x:c>
      <x:c r="F1620" s="7" t="str">
        <x:v>OP-1</x:v>
      </x:c>
      <x:c r="G1620" s="7" t="n">
        <x:v>2</x:v>
      </x:c>
      <x:c r="H1620" s="7" t="str"/>
      <x:c r="I1620" s="7" t="str"/>
      <x:c r="J1620" s="7" t="str">
        <x:f>IF(OR(H1620="",I1620=""),"",I1620-H1620)</x:f>
      </x:c>
      <x:c r="K1620" s="7" t="str"/>
      <x:c r="L1620" s="7" t="str"/>
      <x:c r="M1620" s="7" t="str"/>
      <x:c r="N1620" s="7" t="str">
        <x:f>IF(M1620="","OPEN",IF(OR(NOT(ISNUMBER(H1620)),NOT(ISNUMBER(I1620)),K1620="",L1620=""),"FAIL","PASS"))</x:f>
        <x:v>OPEN</x:v>
      </x:c>
    </x:row>
    <x:row r="1621">
      <x:c r="B1621" s="7" t="str">
        <x:v>TRO-C-20-S2-O2-R1</x:v>
      </x:c>
      <x:c r="C1621" s="7" t="str">
        <x:v>BLD-C</x:v>
      </x:c>
      <x:c r="D1621" s="7" t="str">
        <x:v>MF-20</x:v>
      </x:c>
      <x:c r="E1621" s="7" t="str">
        <x:v>STD-20-2</x:v>
      </x:c>
      <x:c r="F1621" s="7" t="str">
        <x:v>OP-2</x:v>
      </x:c>
      <x:c r="G1621" s="7" t="n">
        <x:v>1</x:v>
      </x:c>
      <x:c r="H1621" s="7" t="str"/>
      <x:c r="I1621" s="7" t="str"/>
      <x:c r="J1621" s="7" t="str">
        <x:f>IF(OR(H1621="",I1621=""),"",I1621-H1621)</x:f>
      </x:c>
      <x:c r="K1621" s="7" t="str"/>
      <x:c r="L1621" s="7" t="str"/>
      <x:c r="M1621" s="7" t="str"/>
      <x:c r="N1621" s="7" t="str">
        <x:f>IF(M1621="","OPEN",IF(OR(NOT(ISNUMBER(H1621)),NOT(ISNUMBER(I1621)),K1621="",L1621=""),"FAIL","PASS"))</x:f>
        <x:v>OPEN</x:v>
      </x:c>
    </x:row>
    <x:row r="1622">
      <x:c r="B1622" s="7" t="str">
        <x:v>TRO-C-20-S2-O2-R2</x:v>
      </x:c>
      <x:c r="C1622" s="7" t="str">
        <x:v>BLD-C</x:v>
      </x:c>
      <x:c r="D1622" s="7" t="str">
        <x:v>MF-20</x:v>
      </x:c>
      <x:c r="E1622" s="7" t="str">
        <x:v>STD-20-2</x:v>
      </x:c>
      <x:c r="F1622" s="7" t="str">
        <x:v>OP-2</x:v>
      </x:c>
      <x:c r="G1622" s="7" t="n">
        <x:v>2</x:v>
      </x:c>
      <x:c r="H1622" s="7" t="str"/>
      <x:c r="I1622" s="7" t="str"/>
      <x:c r="J1622" s="7" t="str">
        <x:f>IF(OR(H1622="",I1622=""),"",I1622-H1622)</x:f>
      </x:c>
      <x:c r="K1622" s="7" t="str"/>
      <x:c r="L1622" s="7" t="str"/>
      <x:c r="M1622" s="7" t="str"/>
      <x:c r="N1622" s="7" t="str">
        <x:f>IF(M1622="","OPEN",IF(OR(NOT(ISNUMBER(H1622)),NOT(ISNUMBER(I1622)),K1622="",L1622=""),"FAIL","PASS"))</x:f>
        <x:v>OPEN</x:v>
      </x:c>
    </x:row>
    <x:row r="1623">
      <x:c r="B1623" s="7" t="str">
        <x:v>TRO-C-20-S3-O1-R1</x:v>
      </x:c>
      <x:c r="C1623" s="7" t="str">
        <x:v>BLD-C</x:v>
      </x:c>
      <x:c r="D1623" s="7" t="str">
        <x:v>MF-20</x:v>
      </x:c>
      <x:c r="E1623" s="7" t="str">
        <x:v>STD-20-3</x:v>
      </x:c>
      <x:c r="F1623" s="7" t="str">
        <x:v>OP-1</x:v>
      </x:c>
      <x:c r="G1623" s="7" t="n">
        <x:v>1</x:v>
      </x:c>
      <x:c r="H1623" s="7" t="str"/>
      <x:c r="I1623" s="7" t="str"/>
      <x:c r="J1623" s="7" t="str">
        <x:f>IF(OR(H1623="",I1623=""),"",I1623-H1623)</x:f>
      </x:c>
      <x:c r="K1623" s="7" t="str"/>
      <x:c r="L1623" s="7" t="str"/>
      <x:c r="M1623" s="7" t="str"/>
      <x:c r="N1623" s="7" t="str">
        <x:f>IF(M1623="","OPEN",IF(OR(NOT(ISNUMBER(H1623)),NOT(ISNUMBER(I1623)),K1623="",L1623=""),"FAIL","PASS"))</x:f>
        <x:v>OPEN</x:v>
      </x:c>
    </x:row>
    <x:row r="1624">
      <x:c r="B1624" s="7" t="str">
        <x:v>TRO-C-20-S3-O1-R2</x:v>
      </x:c>
      <x:c r="C1624" s="7" t="str">
        <x:v>BLD-C</x:v>
      </x:c>
      <x:c r="D1624" s="7" t="str">
        <x:v>MF-20</x:v>
      </x:c>
      <x:c r="E1624" s="7" t="str">
        <x:v>STD-20-3</x:v>
      </x:c>
      <x:c r="F1624" s="7" t="str">
        <x:v>OP-1</x:v>
      </x:c>
      <x:c r="G1624" s="7" t="n">
        <x:v>2</x:v>
      </x:c>
      <x:c r="H1624" s="7" t="str"/>
      <x:c r="I1624" s="7" t="str"/>
      <x:c r="J1624" s="7" t="str">
        <x:f>IF(OR(H1624="",I1624=""),"",I1624-H1624)</x:f>
      </x:c>
      <x:c r="K1624" s="7" t="str"/>
      <x:c r="L1624" s="7" t="str"/>
      <x:c r="M1624" s="7" t="str"/>
      <x:c r="N1624" s="7" t="str">
        <x:f>IF(M1624="","OPEN",IF(OR(NOT(ISNUMBER(H1624)),NOT(ISNUMBER(I1624)),K1624="",L1624=""),"FAIL","PASS"))</x:f>
        <x:v>OPEN</x:v>
      </x:c>
    </x:row>
    <x:row r="1625">
      <x:c r="B1625" s="7" t="str">
        <x:v>TRO-C-20-S3-O2-R1</x:v>
      </x:c>
      <x:c r="C1625" s="7" t="str">
        <x:v>BLD-C</x:v>
      </x:c>
      <x:c r="D1625" s="7" t="str">
        <x:v>MF-20</x:v>
      </x:c>
      <x:c r="E1625" s="7" t="str">
        <x:v>STD-20-3</x:v>
      </x:c>
      <x:c r="F1625" s="7" t="str">
        <x:v>OP-2</x:v>
      </x:c>
      <x:c r="G1625" s="7" t="n">
        <x:v>1</x:v>
      </x:c>
      <x:c r="H1625" s="7" t="str"/>
      <x:c r="I1625" s="7" t="str"/>
      <x:c r="J1625" s="7" t="str">
        <x:f>IF(OR(H1625="",I1625=""),"",I1625-H1625)</x:f>
      </x:c>
      <x:c r="K1625" s="7" t="str"/>
      <x:c r="L1625" s="7" t="str"/>
      <x:c r="M1625" s="7" t="str"/>
      <x:c r="N1625" s="7" t="str">
        <x:f>IF(M1625="","OPEN",IF(OR(NOT(ISNUMBER(H1625)),NOT(ISNUMBER(I1625)),K1625="",L1625=""),"FAIL","PASS"))</x:f>
        <x:v>OPEN</x:v>
      </x:c>
    </x:row>
    <x:row r="1626">
      <x:c r="B1626" s="7" t="str">
        <x:v>TRO-C-20-S3-O2-R2</x:v>
      </x:c>
      <x:c r="C1626" s="7" t="str">
        <x:v>BLD-C</x:v>
      </x:c>
      <x:c r="D1626" s="7" t="str">
        <x:v>MF-20</x:v>
      </x:c>
      <x:c r="E1626" s="7" t="str">
        <x:v>STD-20-3</x:v>
      </x:c>
      <x:c r="F1626" s="7" t="str">
        <x:v>OP-2</x:v>
      </x:c>
      <x:c r="G1626" s="7" t="n">
        <x:v>2</x:v>
      </x:c>
      <x:c r="H1626" s="7" t="str"/>
      <x:c r="I1626" s="7" t="str"/>
      <x:c r="J1626" s="7" t="str">
        <x:f>IF(OR(H1626="",I1626=""),"",I1626-H1626)</x:f>
      </x:c>
      <x:c r="K1626" s="7" t="str"/>
      <x:c r="L1626" s="7" t="str"/>
      <x:c r="M1626" s="7" t="str"/>
      <x:c r="N1626" s="7" t="str">
        <x:f>IF(M1626="","OPEN",IF(OR(NOT(ISNUMBER(H1626)),NOT(ISNUMBER(I1626)),K1626="",L1626=""),"FAIL","PASS"))</x:f>
        <x:v>OPEN</x:v>
      </x:c>
    </x:row>
    <x:row r="1627">
      <x:c r="B1627" s="7" t="str">
        <x:v>TRO-C-20-S4-O1-R1</x:v>
      </x:c>
      <x:c r="C1627" s="7" t="str">
        <x:v>BLD-C</x:v>
      </x:c>
      <x:c r="D1627" s="7" t="str">
        <x:v>MF-20</x:v>
      </x:c>
      <x:c r="E1627" s="7" t="str">
        <x:v>STD-20-4</x:v>
      </x:c>
      <x:c r="F1627" s="7" t="str">
        <x:v>OP-1</x:v>
      </x:c>
      <x:c r="G1627" s="7" t="n">
        <x:v>1</x:v>
      </x:c>
      <x:c r="H1627" s="7" t="str"/>
      <x:c r="I1627" s="7" t="str"/>
      <x:c r="J1627" s="7" t="str">
        <x:f>IF(OR(H1627="",I1627=""),"",I1627-H1627)</x:f>
      </x:c>
      <x:c r="K1627" s="7" t="str"/>
      <x:c r="L1627" s="7" t="str"/>
      <x:c r="M1627" s="7" t="str"/>
      <x:c r="N1627" s="7" t="str">
        <x:f>IF(M1627="","OPEN",IF(OR(NOT(ISNUMBER(H1627)),NOT(ISNUMBER(I1627)),K1627="",L1627=""),"FAIL","PASS"))</x:f>
        <x:v>OPEN</x:v>
      </x:c>
    </x:row>
    <x:row r="1628">
      <x:c r="B1628" s="7" t="str">
        <x:v>TRO-C-20-S4-O1-R2</x:v>
      </x:c>
      <x:c r="C1628" s="7" t="str">
        <x:v>BLD-C</x:v>
      </x:c>
      <x:c r="D1628" s="7" t="str">
        <x:v>MF-20</x:v>
      </x:c>
      <x:c r="E1628" s="7" t="str">
        <x:v>STD-20-4</x:v>
      </x:c>
      <x:c r="F1628" s="7" t="str">
        <x:v>OP-1</x:v>
      </x:c>
      <x:c r="G1628" s="7" t="n">
        <x:v>2</x:v>
      </x:c>
      <x:c r="H1628" s="7" t="str"/>
      <x:c r="I1628" s="7" t="str"/>
      <x:c r="J1628" s="7" t="str">
        <x:f>IF(OR(H1628="",I1628=""),"",I1628-H1628)</x:f>
      </x:c>
      <x:c r="K1628" s="7" t="str"/>
      <x:c r="L1628" s="7" t="str"/>
      <x:c r="M1628" s="7" t="str"/>
      <x:c r="N1628" s="7" t="str">
        <x:f>IF(M1628="","OPEN",IF(OR(NOT(ISNUMBER(H1628)),NOT(ISNUMBER(I1628)),K1628="",L1628=""),"FAIL","PASS"))</x:f>
        <x:v>OPEN</x:v>
      </x:c>
    </x:row>
    <x:row r="1629">
      <x:c r="B1629" s="7" t="str">
        <x:v>TRO-C-20-S4-O2-R1</x:v>
      </x:c>
      <x:c r="C1629" s="7" t="str">
        <x:v>BLD-C</x:v>
      </x:c>
      <x:c r="D1629" s="7" t="str">
        <x:v>MF-20</x:v>
      </x:c>
      <x:c r="E1629" s="7" t="str">
        <x:v>STD-20-4</x:v>
      </x:c>
      <x:c r="F1629" s="7" t="str">
        <x:v>OP-2</x:v>
      </x:c>
      <x:c r="G1629" s="7" t="n">
        <x:v>1</x:v>
      </x:c>
      <x:c r="H1629" s="7" t="str"/>
      <x:c r="I1629" s="7" t="str"/>
      <x:c r="J1629" s="7" t="str">
        <x:f>IF(OR(H1629="",I1629=""),"",I1629-H1629)</x:f>
      </x:c>
      <x:c r="K1629" s="7" t="str"/>
      <x:c r="L1629" s="7" t="str"/>
      <x:c r="M1629" s="7" t="str"/>
      <x:c r="N1629" s="7" t="str">
        <x:f>IF(M1629="","OPEN",IF(OR(NOT(ISNUMBER(H1629)),NOT(ISNUMBER(I1629)),K1629="",L1629=""),"FAIL","PASS"))</x:f>
        <x:v>OPEN</x:v>
      </x:c>
    </x:row>
    <x:row r="1630">
      <x:c r="B1630" s="7" t="str">
        <x:v>TRO-C-20-S4-O2-R2</x:v>
      </x:c>
      <x:c r="C1630" s="7" t="str">
        <x:v>BLD-C</x:v>
      </x:c>
      <x:c r="D1630" s="7" t="str">
        <x:v>MF-20</x:v>
      </x:c>
      <x:c r="E1630" s="7" t="str">
        <x:v>STD-20-4</x:v>
      </x:c>
      <x:c r="F1630" s="7" t="str">
        <x:v>OP-2</x:v>
      </x:c>
      <x:c r="G1630" s="7" t="n">
        <x:v>2</x:v>
      </x:c>
      <x:c r="H1630" s="7" t="str"/>
      <x:c r="I1630" s="7" t="str"/>
      <x:c r="J1630" s="7" t="str">
        <x:f>IF(OR(H1630="",I1630=""),"",I1630-H1630)</x:f>
      </x:c>
      <x:c r="K1630" s="7" t="str"/>
      <x:c r="L1630" s="7" t="str"/>
      <x:c r="M1630" s="7" t="str"/>
      <x:c r="N1630" s="7" t="str">
        <x:f>IF(M1630="","OPEN",IF(OR(NOT(ISNUMBER(H1630)),NOT(ISNUMBER(I1630)),K1630="",L1630=""),"FAIL","PASS"))</x:f>
        <x:v>OPEN</x:v>
      </x:c>
    </x:row>
    <x:row r="1631">
      <x:c r="B1631" s="7" t="str">
        <x:v>TRO-C-20-S5-O1-R1</x:v>
      </x:c>
      <x:c r="C1631" s="7" t="str">
        <x:v>BLD-C</x:v>
      </x:c>
      <x:c r="D1631" s="7" t="str">
        <x:v>MF-20</x:v>
      </x:c>
      <x:c r="E1631" s="7" t="str">
        <x:v>STD-20-5</x:v>
      </x:c>
      <x:c r="F1631" s="7" t="str">
        <x:v>OP-1</x:v>
      </x:c>
      <x:c r="G1631" s="7" t="n">
        <x:v>1</x:v>
      </x:c>
      <x:c r="H1631" s="7" t="str"/>
      <x:c r="I1631" s="7" t="str"/>
      <x:c r="J1631" s="7" t="str">
        <x:f>IF(OR(H1631="",I1631=""),"",I1631-H1631)</x:f>
      </x:c>
      <x:c r="K1631" s="7" t="str"/>
      <x:c r="L1631" s="7" t="str"/>
      <x:c r="M1631" s="7" t="str"/>
      <x:c r="N1631" s="7" t="str">
        <x:f>IF(M1631="","OPEN",IF(OR(NOT(ISNUMBER(H1631)),NOT(ISNUMBER(I1631)),K1631="",L1631=""),"FAIL","PASS"))</x:f>
        <x:v>OPEN</x:v>
      </x:c>
    </x:row>
    <x:row r="1632">
      <x:c r="B1632" s="7" t="str">
        <x:v>TRO-C-20-S5-O1-R2</x:v>
      </x:c>
      <x:c r="C1632" s="7" t="str">
        <x:v>BLD-C</x:v>
      </x:c>
      <x:c r="D1632" s="7" t="str">
        <x:v>MF-20</x:v>
      </x:c>
      <x:c r="E1632" s="7" t="str">
        <x:v>STD-20-5</x:v>
      </x:c>
      <x:c r="F1632" s="7" t="str">
        <x:v>OP-1</x:v>
      </x:c>
      <x:c r="G1632" s="7" t="n">
        <x:v>2</x:v>
      </x:c>
      <x:c r="H1632" s="7" t="str"/>
      <x:c r="I1632" s="7" t="str"/>
      <x:c r="J1632" s="7" t="str">
        <x:f>IF(OR(H1632="",I1632=""),"",I1632-H1632)</x:f>
      </x:c>
      <x:c r="K1632" s="7" t="str"/>
      <x:c r="L1632" s="7" t="str"/>
      <x:c r="M1632" s="7" t="str"/>
      <x:c r="N1632" s="7" t="str">
        <x:f>IF(M1632="","OPEN",IF(OR(NOT(ISNUMBER(H1632)),NOT(ISNUMBER(I1632)),K1632="",L1632=""),"FAIL","PASS"))</x:f>
        <x:v>OPEN</x:v>
      </x:c>
    </x:row>
    <x:row r="1633">
      <x:c r="B1633" s="7" t="str">
        <x:v>TRO-C-20-S5-O2-R1</x:v>
      </x:c>
      <x:c r="C1633" s="7" t="str">
        <x:v>BLD-C</x:v>
      </x:c>
      <x:c r="D1633" s="7" t="str">
        <x:v>MF-20</x:v>
      </x:c>
      <x:c r="E1633" s="7" t="str">
        <x:v>STD-20-5</x:v>
      </x:c>
      <x:c r="F1633" s="7" t="str">
        <x:v>OP-2</x:v>
      </x:c>
      <x:c r="G1633" s="7" t="n">
        <x:v>1</x:v>
      </x:c>
      <x:c r="H1633" s="7" t="str"/>
      <x:c r="I1633" s="7" t="str"/>
      <x:c r="J1633" s="7" t="str">
        <x:f>IF(OR(H1633="",I1633=""),"",I1633-H1633)</x:f>
      </x:c>
      <x:c r="K1633" s="7" t="str"/>
      <x:c r="L1633" s="7" t="str"/>
      <x:c r="M1633" s="7" t="str"/>
      <x:c r="N1633" s="7" t="str">
        <x:f>IF(M1633="","OPEN",IF(OR(NOT(ISNUMBER(H1633)),NOT(ISNUMBER(I1633)),K1633="",L1633=""),"FAIL","PASS"))</x:f>
        <x:v>OPEN</x:v>
      </x:c>
    </x:row>
    <x:row r="1634">
      <x:c r="B1634" s="7" t="str">
        <x:v>TRO-C-20-S5-O2-R2</x:v>
      </x:c>
      <x:c r="C1634" s="7" t="str">
        <x:v>BLD-C</x:v>
      </x:c>
      <x:c r="D1634" s="7" t="str">
        <x:v>MF-20</x:v>
      </x:c>
      <x:c r="E1634" s="7" t="str">
        <x:v>STD-20-5</x:v>
      </x:c>
      <x:c r="F1634" s="7" t="str">
        <x:v>OP-2</x:v>
      </x:c>
      <x:c r="G1634" s="7" t="n">
        <x:v>2</x:v>
      </x:c>
      <x:c r="H1634" s="7" t="str"/>
      <x:c r="I1634" s="7" t="str"/>
      <x:c r="J1634" s="7" t="str">
        <x:f>IF(OR(H1634="",I1634=""),"",I1634-H1634)</x:f>
      </x:c>
      <x:c r="K1634" s="7" t="str"/>
      <x:c r="L1634" s="7" t="str"/>
      <x:c r="M1634" s="7" t="str"/>
      <x:c r="N1634" s="7" t="str">
        <x:f>IF(M1634="","OPEN",IF(OR(NOT(ISNUMBER(H1634)),NOT(ISNUMBER(I1634)),K1634="",L1634=""),"FAIL","PASS"))</x:f>
        <x:v>OPEN</x:v>
      </x:c>
    </x:row>
    <x:row r="1635">
      <x:c r="B1635" s="7" t="str">
        <x:v>TRO-C-20-S6-O1-R1</x:v>
      </x:c>
      <x:c r="C1635" s="7" t="str">
        <x:v>BLD-C</x:v>
      </x:c>
      <x:c r="D1635" s="7" t="str">
        <x:v>MF-20</x:v>
      </x:c>
      <x:c r="E1635" s="7" t="str">
        <x:v>STD-20-6</x:v>
      </x:c>
      <x:c r="F1635" s="7" t="str">
        <x:v>OP-1</x:v>
      </x:c>
      <x:c r="G1635" s="7" t="n">
        <x:v>1</x:v>
      </x:c>
      <x:c r="H1635" s="7" t="str"/>
      <x:c r="I1635" s="7" t="str"/>
      <x:c r="J1635" s="7" t="str">
        <x:f>IF(OR(H1635="",I1635=""),"",I1635-H1635)</x:f>
      </x:c>
      <x:c r="K1635" s="7" t="str"/>
      <x:c r="L1635" s="7" t="str"/>
      <x:c r="M1635" s="7" t="str"/>
      <x:c r="N1635" s="7" t="str">
        <x:f>IF(M1635="","OPEN",IF(OR(NOT(ISNUMBER(H1635)),NOT(ISNUMBER(I1635)),K1635="",L1635=""),"FAIL","PASS"))</x:f>
        <x:v>OPEN</x:v>
      </x:c>
    </x:row>
    <x:row r="1636">
      <x:c r="B1636" s="7" t="str">
        <x:v>TRO-C-20-S6-O1-R2</x:v>
      </x:c>
      <x:c r="C1636" s="7" t="str">
        <x:v>BLD-C</x:v>
      </x:c>
      <x:c r="D1636" s="7" t="str">
        <x:v>MF-20</x:v>
      </x:c>
      <x:c r="E1636" s="7" t="str">
        <x:v>STD-20-6</x:v>
      </x:c>
      <x:c r="F1636" s="7" t="str">
        <x:v>OP-1</x:v>
      </x:c>
      <x:c r="G1636" s="7" t="n">
        <x:v>2</x:v>
      </x:c>
      <x:c r="H1636" s="7" t="str"/>
      <x:c r="I1636" s="7" t="str"/>
      <x:c r="J1636" s="7" t="str">
        <x:f>IF(OR(H1636="",I1636=""),"",I1636-H1636)</x:f>
      </x:c>
      <x:c r="K1636" s="7" t="str"/>
      <x:c r="L1636" s="7" t="str"/>
      <x:c r="M1636" s="7" t="str"/>
      <x:c r="N1636" s="7" t="str">
        <x:f>IF(M1636="","OPEN",IF(OR(NOT(ISNUMBER(H1636)),NOT(ISNUMBER(I1636)),K1636="",L1636=""),"FAIL","PASS"))</x:f>
        <x:v>OPEN</x:v>
      </x:c>
    </x:row>
    <x:row r="1637">
      <x:c r="B1637" s="7" t="str">
        <x:v>TRO-C-20-S6-O2-R1</x:v>
      </x:c>
      <x:c r="C1637" s="7" t="str">
        <x:v>BLD-C</x:v>
      </x:c>
      <x:c r="D1637" s="7" t="str">
        <x:v>MF-20</x:v>
      </x:c>
      <x:c r="E1637" s="7" t="str">
        <x:v>STD-20-6</x:v>
      </x:c>
      <x:c r="F1637" s="7" t="str">
        <x:v>OP-2</x:v>
      </x:c>
      <x:c r="G1637" s="7" t="n">
        <x:v>1</x:v>
      </x:c>
      <x:c r="H1637" s="7" t="str"/>
      <x:c r="I1637" s="7" t="str"/>
      <x:c r="J1637" s="7" t="str">
        <x:f>IF(OR(H1637="",I1637=""),"",I1637-H1637)</x:f>
      </x:c>
      <x:c r="K1637" s="7" t="str"/>
      <x:c r="L1637" s="7" t="str"/>
      <x:c r="M1637" s="7" t="str"/>
      <x:c r="N1637" s="7" t="str">
        <x:f>IF(M1637="","OPEN",IF(OR(NOT(ISNUMBER(H1637)),NOT(ISNUMBER(I1637)),K1637="",L1637=""),"FAIL","PASS"))</x:f>
        <x:v>OPEN</x:v>
      </x:c>
    </x:row>
    <x:row r="1638">
      <x:c r="B1638" s="7" t="str">
        <x:v>TRO-C-20-S6-O2-R2</x:v>
      </x:c>
      <x:c r="C1638" s="7" t="str">
        <x:v>BLD-C</x:v>
      </x:c>
      <x:c r="D1638" s="7" t="str">
        <x:v>MF-20</x:v>
      </x:c>
      <x:c r="E1638" s="7" t="str">
        <x:v>STD-20-6</x:v>
      </x:c>
      <x:c r="F1638" s="7" t="str">
        <x:v>OP-2</x:v>
      </x:c>
      <x:c r="G1638" s="7" t="n">
        <x:v>2</x:v>
      </x:c>
      <x:c r="H1638" s="7" t="str"/>
      <x:c r="I1638" s="7" t="str"/>
      <x:c r="J1638" s="7" t="str">
        <x:f>IF(OR(H1638="",I1638=""),"",I1638-H1638)</x:f>
      </x:c>
      <x:c r="K1638" s="7" t="str"/>
      <x:c r="L1638" s="7" t="str"/>
      <x:c r="M1638" s="7" t="str"/>
      <x:c r="N1638" s="7" t="str">
        <x:f>IF(M1638="","OPEN",IF(OR(NOT(ISNUMBER(H1638)),NOT(ISNUMBER(I1638)),K1638="",L1638=""),"FAIL","PASS"))</x:f>
        <x:v>OPEN</x:v>
      </x:c>
    </x:row>
    <x:row r="1639">
      <x:c r="B1639" s="7" t="str">
        <x:v>TRO-C-21-S1-O1-R1</x:v>
      </x:c>
      <x:c r="C1639" s="7" t="str">
        <x:v>BLD-C</x:v>
      </x:c>
      <x:c r="D1639" s="7" t="str">
        <x:v>MF-21</x:v>
      </x:c>
      <x:c r="E1639" s="7" t="str">
        <x:v>STD-21-1</x:v>
      </x:c>
      <x:c r="F1639" s="7" t="str">
        <x:v>OP-1</x:v>
      </x:c>
      <x:c r="G1639" s="7" t="n">
        <x:v>1</x:v>
      </x:c>
      <x:c r="H1639" s="7" t="str"/>
      <x:c r="I1639" s="7" t="str"/>
      <x:c r="J1639" s="7" t="str">
        <x:f>IF(OR(H1639="",I1639=""),"",I1639-H1639)</x:f>
      </x:c>
      <x:c r="K1639" s="7" t="str"/>
      <x:c r="L1639" s="7" t="str"/>
      <x:c r="M1639" s="7" t="str"/>
      <x:c r="N1639" s="7" t="str">
        <x:f>IF(M1639="","OPEN",IF(OR(NOT(ISNUMBER(H1639)),NOT(ISNUMBER(I1639)),K1639="",L1639=""),"FAIL","PASS"))</x:f>
        <x:v>OPEN</x:v>
      </x:c>
    </x:row>
    <x:row r="1640">
      <x:c r="B1640" s="7" t="str">
        <x:v>TRO-C-21-S1-O1-R2</x:v>
      </x:c>
      <x:c r="C1640" s="7" t="str">
        <x:v>BLD-C</x:v>
      </x:c>
      <x:c r="D1640" s="7" t="str">
        <x:v>MF-21</x:v>
      </x:c>
      <x:c r="E1640" s="7" t="str">
        <x:v>STD-21-1</x:v>
      </x:c>
      <x:c r="F1640" s="7" t="str">
        <x:v>OP-1</x:v>
      </x:c>
      <x:c r="G1640" s="7" t="n">
        <x:v>2</x:v>
      </x:c>
      <x:c r="H1640" s="7" t="str"/>
      <x:c r="I1640" s="7" t="str"/>
      <x:c r="J1640" s="7" t="str">
        <x:f>IF(OR(H1640="",I1640=""),"",I1640-H1640)</x:f>
      </x:c>
      <x:c r="K1640" s="7" t="str"/>
      <x:c r="L1640" s="7" t="str"/>
      <x:c r="M1640" s="7" t="str"/>
      <x:c r="N1640" s="7" t="str">
        <x:f>IF(M1640="","OPEN",IF(OR(NOT(ISNUMBER(H1640)),NOT(ISNUMBER(I1640)),K1640="",L1640=""),"FAIL","PASS"))</x:f>
        <x:v>OPEN</x:v>
      </x:c>
    </x:row>
    <x:row r="1641">
      <x:c r="B1641" s="7" t="str">
        <x:v>TRO-C-21-S1-O2-R1</x:v>
      </x:c>
      <x:c r="C1641" s="7" t="str">
        <x:v>BLD-C</x:v>
      </x:c>
      <x:c r="D1641" s="7" t="str">
        <x:v>MF-21</x:v>
      </x:c>
      <x:c r="E1641" s="7" t="str">
        <x:v>STD-21-1</x:v>
      </x:c>
      <x:c r="F1641" s="7" t="str">
        <x:v>OP-2</x:v>
      </x:c>
      <x:c r="G1641" s="7" t="n">
        <x:v>1</x:v>
      </x:c>
      <x:c r="H1641" s="7" t="str"/>
      <x:c r="I1641" s="7" t="str"/>
      <x:c r="J1641" s="7" t="str">
        <x:f>IF(OR(H1641="",I1641=""),"",I1641-H1641)</x:f>
      </x:c>
      <x:c r="K1641" s="7" t="str"/>
      <x:c r="L1641" s="7" t="str"/>
      <x:c r="M1641" s="7" t="str"/>
      <x:c r="N1641" s="7" t="str">
        <x:f>IF(M1641="","OPEN",IF(OR(NOT(ISNUMBER(H1641)),NOT(ISNUMBER(I1641)),K1641="",L1641=""),"FAIL","PASS"))</x:f>
        <x:v>OPEN</x:v>
      </x:c>
    </x:row>
    <x:row r="1642">
      <x:c r="B1642" s="7" t="str">
        <x:v>TRO-C-21-S1-O2-R2</x:v>
      </x:c>
      <x:c r="C1642" s="7" t="str">
        <x:v>BLD-C</x:v>
      </x:c>
      <x:c r="D1642" s="7" t="str">
        <x:v>MF-21</x:v>
      </x:c>
      <x:c r="E1642" s="7" t="str">
        <x:v>STD-21-1</x:v>
      </x:c>
      <x:c r="F1642" s="7" t="str">
        <x:v>OP-2</x:v>
      </x:c>
      <x:c r="G1642" s="7" t="n">
        <x:v>2</x:v>
      </x:c>
      <x:c r="H1642" s="7" t="str"/>
      <x:c r="I1642" s="7" t="str"/>
      <x:c r="J1642" s="7" t="str">
        <x:f>IF(OR(H1642="",I1642=""),"",I1642-H1642)</x:f>
      </x:c>
      <x:c r="K1642" s="7" t="str"/>
      <x:c r="L1642" s="7" t="str"/>
      <x:c r="M1642" s="7" t="str"/>
      <x:c r="N1642" s="7" t="str">
        <x:f>IF(M1642="","OPEN",IF(OR(NOT(ISNUMBER(H1642)),NOT(ISNUMBER(I1642)),K1642="",L1642=""),"FAIL","PASS"))</x:f>
        <x:v>OPEN</x:v>
      </x:c>
    </x:row>
    <x:row r="1643">
      <x:c r="B1643" s="7" t="str">
        <x:v>TRO-C-21-S2-O1-R1</x:v>
      </x:c>
      <x:c r="C1643" s="7" t="str">
        <x:v>BLD-C</x:v>
      </x:c>
      <x:c r="D1643" s="7" t="str">
        <x:v>MF-21</x:v>
      </x:c>
      <x:c r="E1643" s="7" t="str">
        <x:v>STD-21-2</x:v>
      </x:c>
      <x:c r="F1643" s="7" t="str">
        <x:v>OP-1</x:v>
      </x:c>
      <x:c r="G1643" s="7" t="n">
        <x:v>1</x:v>
      </x:c>
      <x:c r="H1643" s="7" t="str"/>
      <x:c r="I1643" s="7" t="str"/>
      <x:c r="J1643" s="7" t="str">
        <x:f>IF(OR(H1643="",I1643=""),"",I1643-H1643)</x:f>
      </x:c>
      <x:c r="K1643" s="7" t="str"/>
      <x:c r="L1643" s="7" t="str"/>
      <x:c r="M1643" s="7" t="str"/>
      <x:c r="N1643" s="7" t="str">
        <x:f>IF(M1643="","OPEN",IF(OR(NOT(ISNUMBER(H1643)),NOT(ISNUMBER(I1643)),K1643="",L1643=""),"FAIL","PASS"))</x:f>
        <x:v>OPEN</x:v>
      </x:c>
    </x:row>
    <x:row r="1644">
      <x:c r="B1644" s="7" t="str">
        <x:v>TRO-C-21-S2-O1-R2</x:v>
      </x:c>
      <x:c r="C1644" s="7" t="str">
        <x:v>BLD-C</x:v>
      </x:c>
      <x:c r="D1644" s="7" t="str">
        <x:v>MF-21</x:v>
      </x:c>
      <x:c r="E1644" s="7" t="str">
        <x:v>STD-21-2</x:v>
      </x:c>
      <x:c r="F1644" s="7" t="str">
        <x:v>OP-1</x:v>
      </x:c>
      <x:c r="G1644" s="7" t="n">
        <x:v>2</x:v>
      </x:c>
      <x:c r="H1644" s="7" t="str"/>
      <x:c r="I1644" s="7" t="str"/>
      <x:c r="J1644" s="7" t="str">
        <x:f>IF(OR(H1644="",I1644=""),"",I1644-H1644)</x:f>
      </x:c>
      <x:c r="K1644" s="7" t="str"/>
      <x:c r="L1644" s="7" t="str"/>
      <x:c r="M1644" s="7" t="str"/>
      <x:c r="N1644" s="7" t="str">
        <x:f>IF(M1644="","OPEN",IF(OR(NOT(ISNUMBER(H1644)),NOT(ISNUMBER(I1644)),K1644="",L1644=""),"FAIL","PASS"))</x:f>
        <x:v>OPEN</x:v>
      </x:c>
    </x:row>
    <x:row r="1645">
      <x:c r="B1645" s="7" t="str">
        <x:v>TRO-C-21-S2-O2-R1</x:v>
      </x:c>
      <x:c r="C1645" s="7" t="str">
        <x:v>BLD-C</x:v>
      </x:c>
      <x:c r="D1645" s="7" t="str">
        <x:v>MF-21</x:v>
      </x:c>
      <x:c r="E1645" s="7" t="str">
        <x:v>STD-21-2</x:v>
      </x:c>
      <x:c r="F1645" s="7" t="str">
        <x:v>OP-2</x:v>
      </x:c>
      <x:c r="G1645" s="7" t="n">
        <x:v>1</x:v>
      </x:c>
      <x:c r="H1645" s="7" t="str"/>
      <x:c r="I1645" s="7" t="str"/>
      <x:c r="J1645" s="7" t="str">
        <x:f>IF(OR(H1645="",I1645=""),"",I1645-H1645)</x:f>
      </x:c>
      <x:c r="K1645" s="7" t="str"/>
      <x:c r="L1645" s="7" t="str"/>
      <x:c r="M1645" s="7" t="str"/>
      <x:c r="N1645" s="7" t="str">
        <x:f>IF(M1645="","OPEN",IF(OR(NOT(ISNUMBER(H1645)),NOT(ISNUMBER(I1645)),K1645="",L1645=""),"FAIL","PASS"))</x:f>
        <x:v>OPEN</x:v>
      </x:c>
    </x:row>
    <x:row r="1646">
      <x:c r="B1646" s="7" t="str">
        <x:v>TRO-C-21-S2-O2-R2</x:v>
      </x:c>
      <x:c r="C1646" s="7" t="str">
        <x:v>BLD-C</x:v>
      </x:c>
      <x:c r="D1646" s="7" t="str">
        <x:v>MF-21</x:v>
      </x:c>
      <x:c r="E1646" s="7" t="str">
        <x:v>STD-21-2</x:v>
      </x:c>
      <x:c r="F1646" s="7" t="str">
        <x:v>OP-2</x:v>
      </x:c>
      <x:c r="G1646" s="7" t="n">
        <x:v>2</x:v>
      </x:c>
      <x:c r="H1646" s="7" t="str"/>
      <x:c r="I1646" s="7" t="str"/>
      <x:c r="J1646" s="7" t="str">
        <x:f>IF(OR(H1646="",I1646=""),"",I1646-H1646)</x:f>
      </x:c>
      <x:c r="K1646" s="7" t="str"/>
      <x:c r="L1646" s="7" t="str"/>
      <x:c r="M1646" s="7" t="str"/>
      <x:c r="N1646" s="7" t="str">
        <x:f>IF(M1646="","OPEN",IF(OR(NOT(ISNUMBER(H1646)),NOT(ISNUMBER(I1646)),K1646="",L1646=""),"FAIL","PASS"))</x:f>
        <x:v>OPEN</x:v>
      </x:c>
    </x:row>
    <x:row r="1647">
      <x:c r="B1647" s="7" t="str">
        <x:v>TRO-C-21-S3-O1-R1</x:v>
      </x:c>
      <x:c r="C1647" s="7" t="str">
        <x:v>BLD-C</x:v>
      </x:c>
      <x:c r="D1647" s="7" t="str">
        <x:v>MF-21</x:v>
      </x:c>
      <x:c r="E1647" s="7" t="str">
        <x:v>STD-21-3</x:v>
      </x:c>
      <x:c r="F1647" s="7" t="str">
        <x:v>OP-1</x:v>
      </x:c>
      <x:c r="G1647" s="7" t="n">
        <x:v>1</x:v>
      </x:c>
      <x:c r="H1647" s="7" t="str"/>
      <x:c r="I1647" s="7" t="str"/>
      <x:c r="J1647" s="7" t="str">
        <x:f>IF(OR(H1647="",I1647=""),"",I1647-H1647)</x:f>
      </x:c>
      <x:c r="K1647" s="7" t="str"/>
      <x:c r="L1647" s="7" t="str"/>
      <x:c r="M1647" s="7" t="str"/>
      <x:c r="N1647" s="7" t="str">
        <x:f>IF(M1647="","OPEN",IF(OR(NOT(ISNUMBER(H1647)),NOT(ISNUMBER(I1647)),K1647="",L1647=""),"FAIL","PASS"))</x:f>
        <x:v>OPEN</x:v>
      </x:c>
    </x:row>
    <x:row r="1648">
      <x:c r="B1648" s="7" t="str">
        <x:v>TRO-C-21-S3-O1-R2</x:v>
      </x:c>
      <x:c r="C1648" s="7" t="str">
        <x:v>BLD-C</x:v>
      </x:c>
      <x:c r="D1648" s="7" t="str">
        <x:v>MF-21</x:v>
      </x:c>
      <x:c r="E1648" s="7" t="str">
        <x:v>STD-21-3</x:v>
      </x:c>
      <x:c r="F1648" s="7" t="str">
        <x:v>OP-1</x:v>
      </x:c>
      <x:c r="G1648" s="7" t="n">
        <x:v>2</x:v>
      </x:c>
      <x:c r="H1648" s="7" t="str"/>
      <x:c r="I1648" s="7" t="str"/>
      <x:c r="J1648" s="7" t="str">
        <x:f>IF(OR(H1648="",I1648=""),"",I1648-H1648)</x:f>
      </x:c>
      <x:c r="K1648" s="7" t="str"/>
      <x:c r="L1648" s="7" t="str"/>
      <x:c r="M1648" s="7" t="str"/>
      <x:c r="N1648" s="7" t="str">
        <x:f>IF(M1648="","OPEN",IF(OR(NOT(ISNUMBER(H1648)),NOT(ISNUMBER(I1648)),K1648="",L1648=""),"FAIL","PASS"))</x:f>
        <x:v>OPEN</x:v>
      </x:c>
    </x:row>
    <x:row r="1649">
      <x:c r="B1649" s="7" t="str">
        <x:v>TRO-C-21-S3-O2-R1</x:v>
      </x:c>
      <x:c r="C1649" s="7" t="str">
        <x:v>BLD-C</x:v>
      </x:c>
      <x:c r="D1649" s="7" t="str">
        <x:v>MF-21</x:v>
      </x:c>
      <x:c r="E1649" s="7" t="str">
        <x:v>STD-21-3</x:v>
      </x:c>
      <x:c r="F1649" s="7" t="str">
        <x:v>OP-2</x:v>
      </x:c>
      <x:c r="G1649" s="7" t="n">
        <x:v>1</x:v>
      </x:c>
      <x:c r="H1649" s="7" t="str"/>
      <x:c r="I1649" s="7" t="str"/>
      <x:c r="J1649" s="7" t="str">
        <x:f>IF(OR(H1649="",I1649=""),"",I1649-H1649)</x:f>
      </x:c>
      <x:c r="K1649" s="7" t="str"/>
      <x:c r="L1649" s="7" t="str"/>
      <x:c r="M1649" s="7" t="str"/>
      <x:c r="N1649" s="7" t="str">
        <x:f>IF(M1649="","OPEN",IF(OR(NOT(ISNUMBER(H1649)),NOT(ISNUMBER(I1649)),K1649="",L1649=""),"FAIL","PASS"))</x:f>
        <x:v>OPEN</x:v>
      </x:c>
    </x:row>
    <x:row r="1650">
      <x:c r="B1650" s="7" t="str">
        <x:v>TRO-C-21-S3-O2-R2</x:v>
      </x:c>
      <x:c r="C1650" s="7" t="str">
        <x:v>BLD-C</x:v>
      </x:c>
      <x:c r="D1650" s="7" t="str">
        <x:v>MF-21</x:v>
      </x:c>
      <x:c r="E1650" s="7" t="str">
        <x:v>STD-21-3</x:v>
      </x:c>
      <x:c r="F1650" s="7" t="str">
        <x:v>OP-2</x:v>
      </x:c>
      <x:c r="G1650" s="7" t="n">
        <x:v>2</x:v>
      </x:c>
      <x:c r="H1650" s="7" t="str"/>
      <x:c r="I1650" s="7" t="str"/>
      <x:c r="J1650" s="7" t="str">
        <x:f>IF(OR(H1650="",I1650=""),"",I1650-H1650)</x:f>
      </x:c>
      <x:c r="K1650" s="7" t="str"/>
      <x:c r="L1650" s="7" t="str"/>
      <x:c r="M1650" s="7" t="str"/>
      <x:c r="N1650" s="7" t="str">
        <x:f>IF(M1650="","OPEN",IF(OR(NOT(ISNUMBER(H1650)),NOT(ISNUMBER(I1650)),K1650="",L1650=""),"FAIL","PASS"))</x:f>
        <x:v>OPEN</x:v>
      </x:c>
    </x:row>
    <x:row r="1651">
      <x:c r="B1651" s="7" t="str">
        <x:v>TRO-C-21-S4-O1-R1</x:v>
      </x:c>
      <x:c r="C1651" s="7" t="str">
        <x:v>BLD-C</x:v>
      </x:c>
      <x:c r="D1651" s="7" t="str">
        <x:v>MF-21</x:v>
      </x:c>
      <x:c r="E1651" s="7" t="str">
        <x:v>STD-21-4</x:v>
      </x:c>
      <x:c r="F1651" s="7" t="str">
        <x:v>OP-1</x:v>
      </x:c>
      <x:c r="G1651" s="7" t="n">
        <x:v>1</x:v>
      </x:c>
      <x:c r="H1651" s="7" t="str"/>
      <x:c r="I1651" s="7" t="str"/>
      <x:c r="J1651" s="7" t="str">
        <x:f>IF(OR(H1651="",I1651=""),"",I1651-H1651)</x:f>
      </x:c>
      <x:c r="K1651" s="7" t="str"/>
      <x:c r="L1651" s="7" t="str"/>
      <x:c r="M1651" s="7" t="str"/>
      <x:c r="N1651" s="7" t="str">
        <x:f>IF(M1651="","OPEN",IF(OR(NOT(ISNUMBER(H1651)),NOT(ISNUMBER(I1651)),K1651="",L1651=""),"FAIL","PASS"))</x:f>
        <x:v>OPEN</x:v>
      </x:c>
    </x:row>
    <x:row r="1652">
      <x:c r="B1652" s="7" t="str">
        <x:v>TRO-C-21-S4-O1-R2</x:v>
      </x:c>
      <x:c r="C1652" s="7" t="str">
        <x:v>BLD-C</x:v>
      </x:c>
      <x:c r="D1652" s="7" t="str">
        <x:v>MF-21</x:v>
      </x:c>
      <x:c r="E1652" s="7" t="str">
        <x:v>STD-21-4</x:v>
      </x:c>
      <x:c r="F1652" s="7" t="str">
        <x:v>OP-1</x:v>
      </x:c>
      <x:c r="G1652" s="7" t="n">
        <x:v>2</x:v>
      </x:c>
      <x:c r="H1652" s="7" t="str"/>
      <x:c r="I1652" s="7" t="str"/>
      <x:c r="J1652" s="7" t="str">
        <x:f>IF(OR(H1652="",I1652=""),"",I1652-H1652)</x:f>
      </x:c>
      <x:c r="K1652" s="7" t="str"/>
      <x:c r="L1652" s="7" t="str"/>
      <x:c r="M1652" s="7" t="str"/>
      <x:c r="N1652" s="7" t="str">
        <x:f>IF(M1652="","OPEN",IF(OR(NOT(ISNUMBER(H1652)),NOT(ISNUMBER(I1652)),K1652="",L1652=""),"FAIL","PASS"))</x:f>
        <x:v>OPEN</x:v>
      </x:c>
    </x:row>
    <x:row r="1653">
      <x:c r="B1653" s="7" t="str">
        <x:v>TRO-C-21-S4-O2-R1</x:v>
      </x:c>
      <x:c r="C1653" s="7" t="str">
        <x:v>BLD-C</x:v>
      </x:c>
      <x:c r="D1653" s="7" t="str">
        <x:v>MF-21</x:v>
      </x:c>
      <x:c r="E1653" s="7" t="str">
        <x:v>STD-21-4</x:v>
      </x:c>
      <x:c r="F1653" s="7" t="str">
        <x:v>OP-2</x:v>
      </x:c>
      <x:c r="G1653" s="7" t="n">
        <x:v>1</x:v>
      </x:c>
      <x:c r="H1653" s="7" t="str"/>
      <x:c r="I1653" s="7" t="str"/>
      <x:c r="J1653" s="7" t="str">
        <x:f>IF(OR(H1653="",I1653=""),"",I1653-H1653)</x:f>
      </x:c>
      <x:c r="K1653" s="7" t="str"/>
      <x:c r="L1653" s="7" t="str"/>
      <x:c r="M1653" s="7" t="str"/>
      <x:c r="N1653" s="7" t="str">
        <x:f>IF(M1653="","OPEN",IF(OR(NOT(ISNUMBER(H1653)),NOT(ISNUMBER(I1653)),K1653="",L1653=""),"FAIL","PASS"))</x:f>
        <x:v>OPEN</x:v>
      </x:c>
    </x:row>
    <x:row r="1654">
      <x:c r="B1654" s="7" t="str">
        <x:v>TRO-C-21-S4-O2-R2</x:v>
      </x:c>
      <x:c r="C1654" s="7" t="str">
        <x:v>BLD-C</x:v>
      </x:c>
      <x:c r="D1654" s="7" t="str">
        <x:v>MF-21</x:v>
      </x:c>
      <x:c r="E1654" s="7" t="str">
        <x:v>STD-21-4</x:v>
      </x:c>
      <x:c r="F1654" s="7" t="str">
        <x:v>OP-2</x:v>
      </x:c>
      <x:c r="G1654" s="7" t="n">
        <x:v>2</x:v>
      </x:c>
      <x:c r="H1654" s="7" t="str"/>
      <x:c r="I1654" s="7" t="str"/>
      <x:c r="J1654" s="7" t="str">
        <x:f>IF(OR(H1654="",I1654=""),"",I1654-H1654)</x:f>
      </x:c>
      <x:c r="K1654" s="7" t="str"/>
      <x:c r="L1654" s="7" t="str"/>
      <x:c r="M1654" s="7" t="str"/>
      <x:c r="N1654" s="7" t="str">
        <x:f>IF(M1654="","OPEN",IF(OR(NOT(ISNUMBER(H1654)),NOT(ISNUMBER(I1654)),K1654="",L1654=""),"FAIL","PASS"))</x:f>
        <x:v>OPEN</x:v>
      </x:c>
    </x:row>
    <x:row r="1655">
      <x:c r="B1655" s="7" t="str">
        <x:v>TRO-C-21-S5-O1-R1</x:v>
      </x:c>
      <x:c r="C1655" s="7" t="str">
        <x:v>BLD-C</x:v>
      </x:c>
      <x:c r="D1655" s="7" t="str">
        <x:v>MF-21</x:v>
      </x:c>
      <x:c r="E1655" s="7" t="str">
        <x:v>STD-21-5</x:v>
      </x:c>
      <x:c r="F1655" s="7" t="str">
        <x:v>OP-1</x:v>
      </x:c>
      <x:c r="G1655" s="7" t="n">
        <x:v>1</x:v>
      </x:c>
      <x:c r="H1655" s="7" t="str"/>
      <x:c r="I1655" s="7" t="str"/>
      <x:c r="J1655" s="7" t="str">
        <x:f>IF(OR(H1655="",I1655=""),"",I1655-H1655)</x:f>
      </x:c>
      <x:c r="K1655" s="7" t="str"/>
      <x:c r="L1655" s="7" t="str"/>
      <x:c r="M1655" s="7" t="str"/>
      <x:c r="N1655" s="7" t="str">
        <x:f>IF(M1655="","OPEN",IF(OR(NOT(ISNUMBER(H1655)),NOT(ISNUMBER(I1655)),K1655="",L1655=""),"FAIL","PASS"))</x:f>
        <x:v>OPEN</x:v>
      </x:c>
    </x:row>
    <x:row r="1656">
      <x:c r="B1656" s="7" t="str">
        <x:v>TRO-C-21-S5-O1-R2</x:v>
      </x:c>
      <x:c r="C1656" s="7" t="str">
        <x:v>BLD-C</x:v>
      </x:c>
      <x:c r="D1656" s="7" t="str">
        <x:v>MF-21</x:v>
      </x:c>
      <x:c r="E1656" s="7" t="str">
        <x:v>STD-21-5</x:v>
      </x:c>
      <x:c r="F1656" s="7" t="str">
        <x:v>OP-1</x:v>
      </x:c>
      <x:c r="G1656" s="7" t="n">
        <x:v>2</x:v>
      </x:c>
      <x:c r="H1656" s="7" t="str"/>
      <x:c r="I1656" s="7" t="str"/>
      <x:c r="J1656" s="7" t="str">
        <x:f>IF(OR(H1656="",I1656=""),"",I1656-H1656)</x:f>
      </x:c>
      <x:c r="K1656" s="7" t="str"/>
      <x:c r="L1656" s="7" t="str"/>
      <x:c r="M1656" s="7" t="str"/>
      <x:c r="N1656" s="7" t="str">
        <x:f>IF(M1656="","OPEN",IF(OR(NOT(ISNUMBER(H1656)),NOT(ISNUMBER(I1656)),K1656="",L1656=""),"FAIL","PASS"))</x:f>
        <x:v>OPEN</x:v>
      </x:c>
    </x:row>
    <x:row r="1657">
      <x:c r="B1657" s="7" t="str">
        <x:v>TRO-C-21-S5-O2-R1</x:v>
      </x:c>
      <x:c r="C1657" s="7" t="str">
        <x:v>BLD-C</x:v>
      </x:c>
      <x:c r="D1657" s="7" t="str">
        <x:v>MF-21</x:v>
      </x:c>
      <x:c r="E1657" s="7" t="str">
        <x:v>STD-21-5</x:v>
      </x:c>
      <x:c r="F1657" s="7" t="str">
        <x:v>OP-2</x:v>
      </x:c>
      <x:c r="G1657" s="7" t="n">
        <x:v>1</x:v>
      </x:c>
      <x:c r="H1657" s="7" t="str"/>
      <x:c r="I1657" s="7" t="str"/>
      <x:c r="J1657" s="7" t="str">
        <x:f>IF(OR(H1657="",I1657=""),"",I1657-H1657)</x:f>
      </x:c>
      <x:c r="K1657" s="7" t="str"/>
      <x:c r="L1657" s="7" t="str"/>
      <x:c r="M1657" s="7" t="str"/>
      <x:c r="N1657" s="7" t="str">
        <x:f>IF(M1657="","OPEN",IF(OR(NOT(ISNUMBER(H1657)),NOT(ISNUMBER(I1657)),K1657="",L1657=""),"FAIL","PASS"))</x:f>
        <x:v>OPEN</x:v>
      </x:c>
    </x:row>
    <x:row r="1658">
      <x:c r="B1658" s="7" t="str">
        <x:v>TRO-C-21-S5-O2-R2</x:v>
      </x:c>
      <x:c r="C1658" s="7" t="str">
        <x:v>BLD-C</x:v>
      </x:c>
      <x:c r="D1658" s="7" t="str">
        <x:v>MF-21</x:v>
      </x:c>
      <x:c r="E1658" s="7" t="str">
        <x:v>STD-21-5</x:v>
      </x:c>
      <x:c r="F1658" s="7" t="str">
        <x:v>OP-2</x:v>
      </x:c>
      <x:c r="G1658" s="7" t="n">
        <x:v>2</x:v>
      </x:c>
      <x:c r="H1658" s="7" t="str"/>
      <x:c r="I1658" s="7" t="str"/>
      <x:c r="J1658" s="7" t="str">
        <x:f>IF(OR(H1658="",I1658=""),"",I1658-H1658)</x:f>
      </x:c>
      <x:c r="K1658" s="7" t="str"/>
      <x:c r="L1658" s="7" t="str"/>
      <x:c r="M1658" s="7" t="str"/>
      <x:c r="N1658" s="7" t="str">
        <x:f>IF(M1658="","OPEN",IF(OR(NOT(ISNUMBER(H1658)),NOT(ISNUMBER(I1658)),K1658="",L1658=""),"FAIL","PASS"))</x:f>
        <x:v>OPEN</x:v>
      </x:c>
    </x:row>
    <x:row r="1659">
      <x:c r="B1659" s="7" t="str">
        <x:v>TRO-C-21-S6-O1-R1</x:v>
      </x:c>
      <x:c r="C1659" s="7" t="str">
        <x:v>BLD-C</x:v>
      </x:c>
      <x:c r="D1659" s="7" t="str">
        <x:v>MF-21</x:v>
      </x:c>
      <x:c r="E1659" s="7" t="str">
        <x:v>STD-21-6</x:v>
      </x:c>
      <x:c r="F1659" s="7" t="str">
        <x:v>OP-1</x:v>
      </x:c>
      <x:c r="G1659" s="7" t="n">
        <x:v>1</x:v>
      </x:c>
      <x:c r="H1659" s="7" t="str"/>
      <x:c r="I1659" s="7" t="str"/>
      <x:c r="J1659" s="7" t="str">
        <x:f>IF(OR(H1659="",I1659=""),"",I1659-H1659)</x:f>
      </x:c>
      <x:c r="K1659" s="7" t="str"/>
      <x:c r="L1659" s="7" t="str"/>
      <x:c r="M1659" s="7" t="str"/>
      <x:c r="N1659" s="7" t="str">
        <x:f>IF(M1659="","OPEN",IF(OR(NOT(ISNUMBER(H1659)),NOT(ISNUMBER(I1659)),K1659="",L1659=""),"FAIL","PASS"))</x:f>
        <x:v>OPEN</x:v>
      </x:c>
    </x:row>
    <x:row r="1660">
      <x:c r="B1660" s="7" t="str">
        <x:v>TRO-C-21-S6-O1-R2</x:v>
      </x:c>
      <x:c r="C1660" s="7" t="str">
        <x:v>BLD-C</x:v>
      </x:c>
      <x:c r="D1660" s="7" t="str">
        <x:v>MF-21</x:v>
      </x:c>
      <x:c r="E1660" s="7" t="str">
        <x:v>STD-21-6</x:v>
      </x:c>
      <x:c r="F1660" s="7" t="str">
        <x:v>OP-1</x:v>
      </x:c>
      <x:c r="G1660" s="7" t="n">
        <x:v>2</x:v>
      </x:c>
      <x:c r="H1660" s="7" t="str"/>
      <x:c r="I1660" s="7" t="str"/>
      <x:c r="J1660" s="7" t="str">
        <x:f>IF(OR(H1660="",I1660=""),"",I1660-H1660)</x:f>
      </x:c>
      <x:c r="K1660" s="7" t="str"/>
      <x:c r="L1660" s="7" t="str"/>
      <x:c r="M1660" s="7" t="str"/>
      <x:c r="N1660" s="7" t="str">
        <x:f>IF(M1660="","OPEN",IF(OR(NOT(ISNUMBER(H1660)),NOT(ISNUMBER(I1660)),K1660="",L1660=""),"FAIL","PASS"))</x:f>
        <x:v>OPEN</x:v>
      </x:c>
    </x:row>
    <x:row r="1661">
      <x:c r="B1661" s="7" t="str">
        <x:v>TRO-C-21-S6-O2-R1</x:v>
      </x:c>
      <x:c r="C1661" s="7" t="str">
        <x:v>BLD-C</x:v>
      </x:c>
      <x:c r="D1661" s="7" t="str">
        <x:v>MF-21</x:v>
      </x:c>
      <x:c r="E1661" s="7" t="str">
        <x:v>STD-21-6</x:v>
      </x:c>
      <x:c r="F1661" s="7" t="str">
        <x:v>OP-2</x:v>
      </x:c>
      <x:c r="G1661" s="7" t="n">
        <x:v>1</x:v>
      </x:c>
      <x:c r="H1661" s="7" t="str"/>
      <x:c r="I1661" s="7" t="str"/>
      <x:c r="J1661" s="7" t="str">
        <x:f>IF(OR(H1661="",I1661=""),"",I1661-H1661)</x:f>
      </x:c>
      <x:c r="K1661" s="7" t="str"/>
      <x:c r="L1661" s="7" t="str"/>
      <x:c r="M1661" s="7" t="str"/>
      <x:c r="N1661" s="7" t="str">
        <x:f>IF(M1661="","OPEN",IF(OR(NOT(ISNUMBER(H1661)),NOT(ISNUMBER(I1661)),K1661="",L1661=""),"FAIL","PASS"))</x:f>
        <x:v>OPEN</x:v>
      </x:c>
    </x:row>
    <x:row r="1662">
      <x:c r="B1662" s="7" t="str">
        <x:v>TRO-C-21-S6-O2-R2</x:v>
      </x:c>
      <x:c r="C1662" s="7" t="str">
        <x:v>BLD-C</x:v>
      </x:c>
      <x:c r="D1662" s="7" t="str">
        <x:v>MF-21</x:v>
      </x:c>
      <x:c r="E1662" s="7" t="str">
        <x:v>STD-21-6</x:v>
      </x:c>
      <x:c r="F1662" s="7" t="str">
        <x:v>OP-2</x:v>
      </x:c>
      <x:c r="G1662" s="7" t="n">
        <x:v>2</x:v>
      </x:c>
      <x:c r="H1662" s="7" t="str"/>
      <x:c r="I1662" s="7" t="str"/>
      <x:c r="J1662" s="7" t="str">
        <x:f>IF(OR(H1662="",I1662=""),"",I1662-H1662)</x:f>
      </x:c>
      <x:c r="K1662" s="7" t="str"/>
      <x:c r="L1662" s="7" t="str"/>
      <x:c r="M1662" s="7" t="str"/>
      <x:c r="N1662" s="7" t="str">
        <x:f>IF(M1662="","OPEN",IF(OR(NOT(ISNUMBER(H1662)),NOT(ISNUMBER(I1662)),K1662="",L1662=""),"FAIL","PASS"))</x:f>
        <x:v>OPEN</x:v>
      </x:c>
    </x:row>
    <x:row r="1663">
      <x:c r="B1663" s="7" t="str">
        <x:v>TRO-C-22-S1-O1-R1</x:v>
      </x:c>
      <x:c r="C1663" s="7" t="str">
        <x:v>BLD-C</x:v>
      </x:c>
      <x:c r="D1663" s="7" t="str">
        <x:v>MF-22</x:v>
      </x:c>
      <x:c r="E1663" s="7" t="str">
        <x:v>STD-22-1</x:v>
      </x:c>
      <x:c r="F1663" s="7" t="str">
        <x:v>OP-1</x:v>
      </x:c>
      <x:c r="G1663" s="7" t="n">
        <x:v>1</x:v>
      </x:c>
      <x:c r="H1663" s="7" t="str"/>
      <x:c r="I1663" s="7" t="str"/>
      <x:c r="J1663" s="7" t="str">
        <x:f>IF(OR(H1663="",I1663=""),"",I1663-H1663)</x:f>
      </x:c>
      <x:c r="K1663" s="7" t="str"/>
      <x:c r="L1663" s="7" t="str"/>
      <x:c r="M1663" s="7" t="str"/>
      <x:c r="N1663" s="7" t="str">
        <x:f>IF(M1663="","OPEN",IF(OR(NOT(ISNUMBER(H1663)),NOT(ISNUMBER(I1663)),K1663="",L1663=""),"FAIL","PASS"))</x:f>
        <x:v>OPEN</x:v>
      </x:c>
    </x:row>
    <x:row r="1664">
      <x:c r="B1664" s="7" t="str">
        <x:v>TRO-C-22-S1-O1-R2</x:v>
      </x:c>
      <x:c r="C1664" s="7" t="str">
        <x:v>BLD-C</x:v>
      </x:c>
      <x:c r="D1664" s="7" t="str">
        <x:v>MF-22</x:v>
      </x:c>
      <x:c r="E1664" s="7" t="str">
        <x:v>STD-22-1</x:v>
      </x:c>
      <x:c r="F1664" s="7" t="str">
        <x:v>OP-1</x:v>
      </x:c>
      <x:c r="G1664" s="7" t="n">
        <x:v>2</x:v>
      </x:c>
      <x:c r="H1664" s="7" t="str"/>
      <x:c r="I1664" s="7" t="str"/>
      <x:c r="J1664" s="7" t="str">
        <x:f>IF(OR(H1664="",I1664=""),"",I1664-H1664)</x:f>
      </x:c>
      <x:c r="K1664" s="7" t="str"/>
      <x:c r="L1664" s="7" t="str"/>
      <x:c r="M1664" s="7" t="str"/>
      <x:c r="N1664" s="7" t="str">
        <x:f>IF(M1664="","OPEN",IF(OR(NOT(ISNUMBER(H1664)),NOT(ISNUMBER(I1664)),K1664="",L1664=""),"FAIL","PASS"))</x:f>
        <x:v>OPEN</x:v>
      </x:c>
    </x:row>
    <x:row r="1665">
      <x:c r="B1665" s="7" t="str">
        <x:v>TRO-C-22-S1-O2-R1</x:v>
      </x:c>
      <x:c r="C1665" s="7" t="str">
        <x:v>BLD-C</x:v>
      </x:c>
      <x:c r="D1665" s="7" t="str">
        <x:v>MF-22</x:v>
      </x:c>
      <x:c r="E1665" s="7" t="str">
        <x:v>STD-22-1</x:v>
      </x:c>
      <x:c r="F1665" s="7" t="str">
        <x:v>OP-2</x:v>
      </x:c>
      <x:c r="G1665" s="7" t="n">
        <x:v>1</x:v>
      </x:c>
      <x:c r="H1665" s="7" t="str"/>
      <x:c r="I1665" s="7" t="str"/>
      <x:c r="J1665" s="7" t="str">
        <x:f>IF(OR(H1665="",I1665=""),"",I1665-H1665)</x:f>
      </x:c>
      <x:c r="K1665" s="7" t="str"/>
      <x:c r="L1665" s="7" t="str"/>
      <x:c r="M1665" s="7" t="str"/>
      <x:c r="N1665" s="7" t="str">
        <x:f>IF(M1665="","OPEN",IF(OR(NOT(ISNUMBER(H1665)),NOT(ISNUMBER(I1665)),K1665="",L1665=""),"FAIL","PASS"))</x:f>
        <x:v>OPEN</x:v>
      </x:c>
    </x:row>
    <x:row r="1666">
      <x:c r="B1666" s="7" t="str">
        <x:v>TRO-C-22-S1-O2-R2</x:v>
      </x:c>
      <x:c r="C1666" s="7" t="str">
        <x:v>BLD-C</x:v>
      </x:c>
      <x:c r="D1666" s="7" t="str">
        <x:v>MF-22</x:v>
      </x:c>
      <x:c r="E1666" s="7" t="str">
        <x:v>STD-22-1</x:v>
      </x:c>
      <x:c r="F1666" s="7" t="str">
        <x:v>OP-2</x:v>
      </x:c>
      <x:c r="G1666" s="7" t="n">
        <x:v>2</x:v>
      </x:c>
      <x:c r="H1666" s="7" t="str"/>
      <x:c r="I1666" s="7" t="str"/>
      <x:c r="J1666" s="7" t="str">
        <x:f>IF(OR(H1666="",I1666=""),"",I1666-H1666)</x:f>
      </x:c>
      <x:c r="K1666" s="7" t="str"/>
      <x:c r="L1666" s="7" t="str"/>
      <x:c r="M1666" s="7" t="str"/>
      <x:c r="N1666" s="7" t="str">
        <x:f>IF(M1666="","OPEN",IF(OR(NOT(ISNUMBER(H1666)),NOT(ISNUMBER(I1666)),K1666="",L1666=""),"FAIL","PASS"))</x:f>
        <x:v>OPEN</x:v>
      </x:c>
    </x:row>
    <x:row r="1667">
      <x:c r="B1667" s="7" t="str">
        <x:v>TRO-C-22-S2-O1-R1</x:v>
      </x:c>
      <x:c r="C1667" s="7" t="str">
        <x:v>BLD-C</x:v>
      </x:c>
      <x:c r="D1667" s="7" t="str">
        <x:v>MF-22</x:v>
      </x:c>
      <x:c r="E1667" s="7" t="str">
        <x:v>STD-22-2</x:v>
      </x:c>
      <x:c r="F1667" s="7" t="str">
        <x:v>OP-1</x:v>
      </x:c>
      <x:c r="G1667" s="7" t="n">
        <x:v>1</x:v>
      </x:c>
      <x:c r="H1667" s="7" t="str"/>
      <x:c r="I1667" s="7" t="str"/>
      <x:c r="J1667" s="7" t="str">
        <x:f>IF(OR(H1667="",I1667=""),"",I1667-H1667)</x:f>
      </x:c>
      <x:c r="K1667" s="7" t="str"/>
      <x:c r="L1667" s="7" t="str"/>
      <x:c r="M1667" s="7" t="str"/>
      <x:c r="N1667" s="7" t="str">
        <x:f>IF(M1667="","OPEN",IF(OR(NOT(ISNUMBER(H1667)),NOT(ISNUMBER(I1667)),K1667="",L1667=""),"FAIL","PASS"))</x:f>
        <x:v>OPEN</x:v>
      </x:c>
    </x:row>
    <x:row r="1668">
      <x:c r="B1668" s="7" t="str">
        <x:v>TRO-C-22-S2-O1-R2</x:v>
      </x:c>
      <x:c r="C1668" s="7" t="str">
        <x:v>BLD-C</x:v>
      </x:c>
      <x:c r="D1668" s="7" t="str">
        <x:v>MF-22</x:v>
      </x:c>
      <x:c r="E1668" s="7" t="str">
        <x:v>STD-22-2</x:v>
      </x:c>
      <x:c r="F1668" s="7" t="str">
        <x:v>OP-1</x:v>
      </x:c>
      <x:c r="G1668" s="7" t="n">
        <x:v>2</x:v>
      </x:c>
      <x:c r="H1668" s="7" t="str"/>
      <x:c r="I1668" s="7" t="str"/>
      <x:c r="J1668" s="7" t="str">
        <x:f>IF(OR(H1668="",I1668=""),"",I1668-H1668)</x:f>
      </x:c>
      <x:c r="K1668" s="7" t="str"/>
      <x:c r="L1668" s="7" t="str"/>
      <x:c r="M1668" s="7" t="str"/>
      <x:c r="N1668" s="7" t="str">
        <x:f>IF(M1668="","OPEN",IF(OR(NOT(ISNUMBER(H1668)),NOT(ISNUMBER(I1668)),K1668="",L1668=""),"FAIL","PASS"))</x:f>
        <x:v>OPEN</x:v>
      </x:c>
    </x:row>
    <x:row r="1669">
      <x:c r="B1669" s="7" t="str">
        <x:v>TRO-C-22-S2-O2-R1</x:v>
      </x:c>
      <x:c r="C1669" s="7" t="str">
        <x:v>BLD-C</x:v>
      </x:c>
      <x:c r="D1669" s="7" t="str">
        <x:v>MF-22</x:v>
      </x:c>
      <x:c r="E1669" s="7" t="str">
        <x:v>STD-22-2</x:v>
      </x:c>
      <x:c r="F1669" s="7" t="str">
        <x:v>OP-2</x:v>
      </x:c>
      <x:c r="G1669" s="7" t="n">
        <x:v>1</x:v>
      </x:c>
      <x:c r="H1669" s="7" t="str"/>
      <x:c r="I1669" s="7" t="str"/>
      <x:c r="J1669" s="7" t="str">
        <x:f>IF(OR(H1669="",I1669=""),"",I1669-H1669)</x:f>
      </x:c>
      <x:c r="K1669" s="7" t="str"/>
      <x:c r="L1669" s="7" t="str"/>
      <x:c r="M1669" s="7" t="str"/>
      <x:c r="N1669" s="7" t="str">
        <x:f>IF(M1669="","OPEN",IF(OR(NOT(ISNUMBER(H1669)),NOT(ISNUMBER(I1669)),K1669="",L1669=""),"FAIL","PASS"))</x:f>
        <x:v>OPEN</x:v>
      </x:c>
    </x:row>
    <x:row r="1670">
      <x:c r="B1670" s="7" t="str">
        <x:v>TRO-C-22-S2-O2-R2</x:v>
      </x:c>
      <x:c r="C1670" s="7" t="str">
        <x:v>BLD-C</x:v>
      </x:c>
      <x:c r="D1670" s="7" t="str">
        <x:v>MF-22</x:v>
      </x:c>
      <x:c r="E1670" s="7" t="str">
        <x:v>STD-22-2</x:v>
      </x:c>
      <x:c r="F1670" s="7" t="str">
        <x:v>OP-2</x:v>
      </x:c>
      <x:c r="G1670" s="7" t="n">
        <x:v>2</x:v>
      </x:c>
      <x:c r="H1670" s="7" t="str"/>
      <x:c r="I1670" s="7" t="str"/>
      <x:c r="J1670" s="7" t="str">
        <x:f>IF(OR(H1670="",I1670=""),"",I1670-H1670)</x:f>
      </x:c>
      <x:c r="K1670" s="7" t="str"/>
      <x:c r="L1670" s="7" t="str"/>
      <x:c r="M1670" s="7" t="str"/>
      <x:c r="N1670" s="7" t="str">
        <x:f>IF(M1670="","OPEN",IF(OR(NOT(ISNUMBER(H1670)),NOT(ISNUMBER(I1670)),K1670="",L1670=""),"FAIL","PASS"))</x:f>
        <x:v>OPEN</x:v>
      </x:c>
    </x:row>
    <x:row r="1671">
      <x:c r="B1671" s="7" t="str">
        <x:v>TRO-C-22-S3-O1-R1</x:v>
      </x:c>
      <x:c r="C1671" s="7" t="str">
        <x:v>BLD-C</x:v>
      </x:c>
      <x:c r="D1671" s="7" t="str">
        <x:v>MF-22</x:v>
      </x:c>
      <x:c r="E1671" s="7" t="str">
        <x:v>STD-22-3</x:v>
      </x:c>
      <x:c r="F1671" s="7" t="str">
        <x:v>OP-1</x:v>
      </x:c>
      <x:c r="G1671" s="7" t="n">
        <x:v>1</x:v>
      </x:c>
      <x:c r="H1671" s="7" t="str"/>
      <x:c r="I1671" s="7" t="str"/>
      <x:c r="J1671" s="7" t="str">
        <x:f>IF(OR(H1671="",I1671=""),"",I1671-H1671)</x:f>
      </x:c>
      <x:c r="K1671" s="7" t="str"/>
      <x:c r="L1671" s="7" t="str"/>
      <x:c r="M1671" s="7" t="str"/>
      <x:c r="N1671" s="7" t="str">
        <x:f>IF(M1671="","OPEN",IF(OR(NOT(ISNUMBER(H1671)),NOT(ISNUMBER(I1671)),K1671="",L1671=""),"FAIL","PASS"))</x:f>
        <x:v>OPEN</x:v>
      </x:c>
    </x:row>
    <x:row r="1672">
      <x:c r="B1672" s="7" t="str">
        <x:v>TRO-C-22-S3-O1-R2</x:v>
      </x:c>
      <x:c r="C1672" s="7" t="str">
        <x:v>BLD-C</x:v>
      </x:c>
      <x:c r="D1672" s="7" t="str">
        <x:v>MF-22</x:v>
      </x:c>
      <x:c r="E1672" s="7" t="str">
        <x:v>STD-22-3</x:v>
      </x:c>
      <x:c r="F1672" s="7" t="str">
        <x:v>OP-1</x:v>
      </x:c>
      <x:c r="G1672" s="7" t="n">
        <x:v>2</x:v>
      </x:c>
      <x:c r="H1672" s="7" t="str"/>
      <x:c r="I1672" s="7" t="str"/>
      <x:c r="J1672" s="7" t="str">
        <x:f>IF(OR(H1672="",I1672=""),"",I1672-H1672)</x:f>
      </x:c>
      <x:c r="K1672" s="7" t="str"/>
      <x:c r="L1672" s="7" t="str"/>
      <x:c r="M1672" s="7" t="str"/>
      <x:c r="N1672" s="7" t="str">
        <x:f>IF(M1672="","OPEN",IF(OR(NOT(ISNUMBER(H1672)),NOT(ISNUMBER(I1672)),K1672="",L1672=""),"FAIL","PASS"))</x:f>
        <x:v>OPEN</x:v>
      </x:c>
    </x:row>
    <x:row r="1673">
      <x:c r="B1673" s="7" t="str">
        <x:v>TRO-C-22-S3-O2-R1</x:v>
      </x:c>
      <x:c r="C1673" s="7" t="str">
        <x:v>BLD-C</x:v>
      </x:c>
      <x:c r="D1673" s="7" t="str">
        <x:v>MF-22</x:v>
      </x:c>
      <x:c r="E1673" s="7" t="str">
        <x:v>STD-22-3</x:v>
      </x:c>
      <x:c r="F1673" s="7" t="str">
        <x:v>OP-2</x:v>
      </x:c>
      <x:c r="G1673" s="7" t="n">
        <x:v>1</x:v>
      </x:c>
      <x:c r="H1673" s="7" t="str"/>
      <x:c r="I1673" s="7" t="str"/>
      <x:c r="J1673" s="7" t="str">
        <x:f>IF(OR(H1673="",I1673=""),"",I1673-H1673)</x:f>
      </x:c>
      <x:c r="K1673" s="7" t="str"/>
      <x:c r="L1673" s="7" t="str"/>
      <x:c r="M1673" s="7" t="str"/>
      <x:c r="N1673" s="7" t="str">
        <x:f>IF(M1673="","OPEN",IF(OR(NOT(ISNUMBER(H1673)),NOT(ISNUMBER(I1673)),K1673="",L1673=""),"FAIL","PASS"))</x:f>
        <x:v>OPEN</x:v>
      </x:c>
    </x:row>
    <x:row r="1674">
      <x:c r="B1674" s="7" t="str">
        <x:v>TRO-C-22-S3-O2-R2</x:v>
      </x:c>
      <x:c r="C1674" s="7" t="str">
        <x:v>BLD-C</x:v>
      </x:c>
      <x:c r="D1674" s="7" t="str">
        <x:v>MF-22</x:v>
      </x:c>
      <x:c r="E1674" s="7" t="str">
        <x:v>STD-22-3</x:v>
      </x:c>
      <x:c r="F1674" s="7" t="str">
        <x:v>OP-2</x:v>
      </x:c>
      <x:c r="G1674" s="7" t="n">
        <x:v>2</x:v>
      </x:c>
      <x:c r="H1674" s="7" t="str"/>
      <x:c r="I1674" s="7" t="str"/>
      <x:c r="J1674" s="7" t="str">
        <x:f>IF(OR(H1674="",I1674=""),"",I1674-H1674)</x:f>
      </x:c>
      <x:c r="K1674" s="7" t="str"/>
      <x:c r="L1674" s="7" t="str"/>
      <x:c r="M1674" s="7" t="str"/>
      <x:c r="N1674" s="7" t="str">
        <x:f>IF(M1674="","OPEN",IF(OR(NOT(ISNUMBER(H1674)),NOT(ISNUMBER(I1674)),K1674="",L1674=""),"FAIL","PASS"))</x:f>
        <x:v>OPEN</x:v>
      </x:c>
    </x:row>
    <x:row r="1675">
      <x:c r="B1675" s="7" t="str">
        <x:v>TRO-C-22-S4-O1-R1</x:v>
      </x:c>
      <x:c r="C1675" s="7" t="str">
        <x:v>BLD-C</x:v>
      </x:c>
      <x:c r="D1675" s="7" t="str">
        <x:v>MF-22</x:v>
      </x:c>
      <x:c r="E1675" s="7" t="str">
        <x:v>STD-22-4</x:v>
      </x:c>
      <x:c r="F1675" s="7" t="str">
        <x:v>OP-1</x:v>
      </x:c>
      <x:c r="G1675" s="7" t="n">
        <x:v>1</x:v>
      </x:c>
      <x:c r="H1675" s="7" t="str"/>
      <x:c r="I1675" s="7" t="str"/>
      <x:c r="J1675" s="7" t="str">
        <x:f>IF(OR(H1675="",I1675=""),"",I1675-H1675)</x:f>
      </x:c>
      <x:c r="K1675" s="7" t="str"/>
      <x:c r="L1675" s="7" t="str"/>
      <x:c r="M1675" s="7" t="str"/>
      <x:c r="N1675" s="7" t="str">
        <x:f>IF(M1675="","OPEN",IF(OR(NOT(ISNUMBER(H1675)),NOT(ISNUMBER(I1675)),K1675="",L1675=""),"FAIL","PASS"))</x:f>
        <x:v>OPEN</x:v>
      </x:c>
    </x:row>
    <x:row r="1676">
      <x:c r="B1676" s="7" t="str">
        <x:v>TRO-C-22-S4-O1-R2</x:v>
      </x:c>
      <x:c r="C1676" s="7" t="str">
        <x:v>BLD-C</x:v>
      </x:c>
      <x:c r="D1676" s="7" t="str">
        <x:v>MF-22</x:v>
      </x:c>
      <x:c r="E1676" s="7" t="str">
        <x:v>STD-22-4</x:v>
      </x:c>
      <x:c r="F1676" s="7" t="str">
        <x:v>OP-1</x:v>
      </x:c>
      <x:c r="G1676" s="7" t="n">
        <x:v>2</x:v>
      </x:c>
      <x:c r="H1676" s="7" t="str"/>
      <x:c r="I1676" s="7" t="str"/>
      <x:c r="J1676" s="7" t="str">
        <x:f>IF(OR(H1676="",I1676=""),"",I1676-H1676)</x:f>
      </x:c>
      <x:c r="K1676" s="7" t="str"/>
      <x:c r="L1676" s="7" t="str"/>
      <x:c r="M1676" s="7" t="str"/>
      <x:c r="N1676" s="7" t="str">
        <x:f>IF(M1676="","OPEN",IF(OR(NOT(ISNUMBER(H1676)),NOT(ISNUMBER(I1676)),K1676="",L1676=""),"FAIL","PASS"))</x:f>
        <x:v>OPEN</x:v>
      </x:c>
    </x:row>
    <x:row r="1677">
      <x:c r="B1677" s="7" t="str">
        <x:v>TRO-C-22-S4-O2-R1</x:v>
      </x:c>
      <x:c r="C1677" s="7" t="str">
        <x:v>BLD-C</x:v>
      </x:c>
      <x:c r="D1677" s="7" t="str">
        <x:v>MF-22</x:v>
      </x:c>
      <x:c r="E1677" s="7" t="str">
        <x:v>STD-22-4</x:v>
      </x:c>
      <x:c r="F1677" s="7" t="str">
        <x:v>OP-2</x:v>
      </x:c>
      <x:c r="G1677" s="7" t="n">
        <x:v>1</x:v>
      </x:c>
      <x:c r="H1677" s="7" t="str"/>
      <x:c r="I1677" s="7" t="str"/>
      <x:c r="J1677" s="7" t="str">
        <x:f>IF(OR(H1677="",I1677=""),"",I1677-H1677)</x:f>
      </x:c>
      <x:c r="K1677" s="7" t="str"/>
      <x:c r="L1677" s="7" t="str"/>
      <x:c r="M1677" s="7" t="str"/>
      <x:c r="N1677" s="7" t="str">
        <x:f>IF(M1677="","OPEN",IF(OR(NOT(ISNUMBER(H1677)),NOT(ISNUMBER(I1677)),K1677="",L1677=""),"FAIL","PASS"))</x:f>
        <x:v>OPEN</x:v>
      </x:c>
    </x:row>
    <x:row r="1678">
      <x:c r="B1678" s="7" t="str">
        <x:v>TRO-C-22-S4-O2-R2</x:v>
      </x:c>
      <x:c r="C1678" s="7" t="str">
        <x:v>BLD-C</x:v>
      </x:c>
      <x:c r="D1678" s="7" t="str">
        <x:v>MF-22</x:v>
      </x:c>
      <x:c r="E1678" s="7" t="str">
        <x:v>STD-22-4</x:v>
      </x:c>
      <x:c r="F1678" s="7" t="str">
        <x:v>OP-2</x:v>
      </x:c>
      <x:c r="G1678" s="7" t="n">
        <x:v>2</x:v>
      </x:c>
      <x:c r="H1678" s="7" t="str"/>
      <x:c r="I1678" s="7" t="str"/>
      <x:c r="J1678" s="7" t="str">
        <x:f>IF(OR(H1678="",I1678=""),"",I1678-H1678)</x:f>
      </x:c>
      <x:c r="K1678" s="7" t="str"/>
      <x:c r="L1678" s="7" t="str"/>
      <x:c r="M1678" s="7" t="str"/>
      <x:c r="N1678" s="7" t="str">
        <x:f>IF(M1678="","OPEN",IF(OR(NOT(ISNUMBER(H1678)),NOT(ISNUMBER(I1678)),K1678="",L1678=""),"FAIL","PASS"))</x:f>
        <x:v>OPEN</x:v>
      </x:c>
    </x:row>
    <x:row r="1679">
      <x:c r="B1679" s="7" t="str">
        <x:v>TRO-C-22-S5-O1-R1</x:v>
      </x:c>
      <x:c r="C1679" s="7" t="str">
        <x:v>BLD-C</x:v>
      </x:c>
      <x:c r="D1679" s="7" t="str">
        <x:v>MF-22</x:v>
      </x:c>
      <x:c r="E1679" s="7" t="str">
        <x:v>STD-22-5</x:v>
      </x:c>
      <x:c r="F1679" s="7" t="str">
        <x:v>OP-1</x:v>
      </x:c>
      <x:c r="G1679" s="7" t="n">
        <x:v>1</x:v>
      </x:c>
      <x:c r="H1679" s="7" t="str"/>
      <x:c r="I1679" s="7" t="str"/>
      <x:c r="J1679" s="7" t="str">
        <x:f>IF(OR(H1679="",I1679=""),"",I1679-H1679)</x:f>
      </x:c>
      <x:c r="K1679" s="7" t="str"/>
      <x:c r="L1679" s="7" t="str"/>
      <x:c r="M1679" s="7" t="str"/>
      <x:c r="N1679" s="7" t="str">
        <x:f>IF(M1679="","OPEN",IF(OR(NOT(ISNUMBER(H1679)),NOT(ISNUMBER(I1679)),K1679="",L1679=""),"FAIL","PASS"))</x:f>
        <x:v>OPEN</x:v>
      </x:c>
    </x:row>
    <x:row r="1680">
      <x:c r="B1680" s="7" t="str">
        <x:v>TRO-C-22-S5-O1-R2</x:v>
      </x:c>
      <x:c r="C1680" s="7" t="str">
        <x:v>BLD-C</x:v>
      </x:c>
      <x:c r="D1680" s="7" t="str">
        <x:v>MF-22</x:v>
      </x:c>
      <x:c r="E1680" s="7" t="str">
        <x:v>STD-22-5</x:v>
      </x:c>
      <x:c r="F1680" s="7" t="str">
        <x:v>OP-1</x:v>
      </x:c>
      <x:c r="G1680" s="7" t="n">
        <x:v>2</x:v>
      </x:c>
      <x:c r="H1680" s="7" t="str"/>
      <x:c r="I1680" s="7" t="str"/>
      <x:c r="J1680" s="7" t="str">
        <x:f>IF(OR(H1680="",I1680=""),"",I1680-H1680)</x:f>
      </x:c>
      <x:c r="K1680" s="7" t="str"/>
      <x:c r="L1680" s="7" t="str"/>
      <x:c r="M1680" s="7" t="str"/>
      <x:c r="N1680" s="7" t="str">
        <x:f>IF(M1680="","OPEN",IF(OR(NOT(ISNUMBER(H1680)),NOT(ISNUMBER(I1680)),K1680="",L1680=""),"FAIL","PASS"))</x:f>
        <x:v>OPEN</x:v>
      </x:c>
    </x:row>
    <x:row r="1681">
      <x:c r="B1681" s="7" t="str">
        <x:v>TRO-C-22-S5-O2-R1</x:v>
      </x:c>
      <x:c r="C1681" s="7" t="str">
        <x:v>BLD-C</x:v>
      </x:c>
      <x:c r="D1681" s="7" t="str">
        <x:v>MF-22</x:v>
      </x:c>
      <x:c r="E1681" s="7" t="str">
        <x:v>STD-22-5</x:v>
      </x:c>
      <x:c r="F1681" s="7" t="str">
        <x:v>OP-2</x:v>
      </x:c>
      <x:c r="G1681" s="7" t="n">
        <x:v>1</x:v>
      </x:c>
      <x:c r="H1681" s="7" t="str"/>
      <x:c r="I1681" s="7" t="str"/>
      <x:c r="J1681" s="7" t="str">
        <x:f>IF(OR(H1681="",I1681=""),"",I1681-H1681)</x:f>
      </x:c>
      <x:c r="K1681" s="7" t="str"/>
      <x:c r="L1681" s="7" t="str"/>
      <x:c r="M1681" s="7" t="str"/>
      <x:c r="N1681" s="7" t="str">
        <x:f>IF(M1681="","OPEN",IF(OR(NOT(ISNUMBER(H1681)),NOT(ISNUMBER(I1681)),K1681="",L1681=""),"FAIL","PASS"))</x:f>
        <x:v>OPEN</x:v>
      </x:c>
    </x:row>
    <x:row r="1682">
      <x:c r="B1682" s="7" t="str">
        <x:v>TRO-C-22-S5-O2-R2</x:v>
      </x:c>
      <x:c r="C1682" s="7" t="str">
        <x:v>BLD-C</x:v>
      </x:c>
      <x:c r="D1682" s="7" t="str">
        <x:v>MF-22</x:v>
      </x:c>
      <x:c r="E1682" s="7" t="str">
        <x:v>STD-22-5</x:v>
      </x:c>
      <x:c r="F1682" s="7" t="str">
        <x:v>OP-2</x:v>
      </x:c>
      <x:c r="G1682" s="7" t="n">
        <x:v>2</x:v>
      </x:c>
      <x:c r="H1682" s="7" t="str"/>
      <x:c r="I1682" s="7" t="str"/>
      <x:c r="J1682" s="7" t="str">
        <x:f>IF(OR(H1682="",I1682=""),"",I1682-H1682)</x:f>
      </x:c>
      <x:c r="K1682" s="7" t="str"/>
      <x:c r="L1682" s="7" t="str"/>
      <x:c r="M1682" s="7" t="str"/>
      <x:c r="N1682" s="7" t="str">
        <x:f>IF(M1682="","OPEN",IF(OR(NOT(ISNUMBER(H1682)),NOT(ISNUMBER(I1682)),K1682="",L1682=""),"FAIL","PASS"))</x:f>
        <x:v>OPEN</x:v>
      </x:c>
    </x:row>
    <x:row r="1683">
      <x:c r="B1683" s="7" t="str">
        <x:v>TRO-C-22-S6-O1-R1</x:v>
      </x:c>
      <x:c r="C1683" s="7" t="str">
        <x:v>BLD-C</x:v>
      </x:c>
      <x:c r="D1683" s="7" t="str">
        <x:v>MF-22</x:v>
      </x:c>
      <x:c r="E1683" s="7" t="str">
        <x:v>STD-22-6</x:v>
      </x:c>
      <x:c r="F1683" s="7" t="str">
        <x:v>OP-1</x:v>
      </x:c>
      <x:c r="G1683" s="7" t="n">
        <x:v>1</x:v>
      </x:c>
      <x:c r="H1683" s="7" t="str"/>
      <x:c r="I1683" s="7" t="str"/>
      <x:c r="J1683" s="7" t="str">
        <x:f>IF(OR(H1683="",I1683=""),"",I1683-H1683)</x:f>
      </x:c>
      <x:c r="K1683" s="7" t="str"/>
      <x:c r="L1683" s="7" t="str"/>
      <x:c r="M1683" s="7" t="str"/>
      <x:c r="N1683" s="7" t="str">
        <x:f>IF(M1683="","OPEN",IF(OR(NOT(ISNUMBER(H1683)),NOT(ISNUMBER(I1683)),K1683="",L1683=""),"FAIL","PASS"))</x:f>
        <x:v>OPEN</x:v>
      </x:c>
    </x:row>
    <x:row r="1684">
      <x:c r="B1684" s="7" t="str">
        <x:v>TRO-C-22-S6-O1-R2</x:v>
      </x:c>
      <x:c r="C1684" s="7" t="str">
        <x:v>BLD-C</x:v>
      </x:c>
      <x:c r="D1684" s="7" t="str">
        <x:v>MF-22</x:v>
      </x:c>
      <x:c r="E1684" s="7" t="str">
        <x:v>STD-22-6</x:v>
      </x:c>
      <x:c r="F1684" s="7" t="str">
        <x:v>OP-1</x:v>
      </x:c>
      <x:c r="G1684" s="7" t="n">
        <x:v>2</x:v>
      </x:c>
      <x:c r="H1684" s="7" t="str"/>
      <x:c r="I1684" s="7" t="str"/>
      <x:c r="J1684" s="7" t="str">
        <x:f>IF(OR(H1684="",I1684=""),"",I1684-H1684)</x:f>
      </x:c>
      <x:c r="K1684" s="7" t="str"/>
      <x:c r="L1684" s="7" t="str"/>
      <x:c r="M1684" s="7" t="str"/>
      <x:c r="N1684" s="7" t="str">
        <x:f>IF(M1684="","OPEN",IF(OR(NOT(ISNUMBER(H1684)),NOT(ISNUMBER(I1684)),K1684="",L1684=""),"FAIL","PASS"))</x:f>
        <x:v>OPEN</x:v>
      </x:c>
    </x:row>
    <x:row r="1685">
      <x:c r="B1685" s="7" t="str">
        <x:v>TRO-C-22-S6-O2-R1</x:v>
      </x:c>
      <x:c r="C1685" s="7" t="str">
        <x:v>BLD-C</x:v>
      </x:c>
      <x:c r="D1685" s="7" t="str">
        <x:v>MF-22</x:v>
      </x:c>
      <x:c r="E1685" s="7" t="str">
        <x:v>STD-22-6</x:v>
      </x:c>
      <x:c r="F1685" s="7" t="str">
        <x:v>OP-2</x:v>
      </x:c>
      <x:c r="G1685" s="7" t="n">
        <x:v>1</x:v>
      </x:c>
      <x:c r="H1685" s="7" t="str"/>
      <x:c r="I1685" s="7" t="str"/>
      <x:c r="J1685" s="7" t="str">
        <x:f>IF(OR(H1685="",I1685=""),"",I1685-H1685)</x:f>
      </x:c>
      <x:c r="K1685" s="7" t="str"/>
      <x:c r="L1685" s="7" t="str"/>
      <x:c r="M1685" s="7" t="str"/>
      <x:c r="N1685" s="7" t="str">
        <x:f>IF(M1685="","OPEN",IF(OR(NOT(ISNUMBER(H1685)),NOT(ISNUMBER(I1685)),K1685="",L1685=""),"FAIL","PASS"))</x:f>
        <x:v>OPEN</x:v>
      </x:c>
    </x:row>
    <x:row r="1686">
      <x:c r="B1686" s="7" t="str">
        <x:v>TRO-C-22-S6-O2-R2</x:v>
      </x:c>
      <x:c r="C1686" s="7" t="str">
        <x:v>BLD-C</x:v>
      </x:c>
      <x:c r="D1686" s="7" t="str">
        <x:v>MF-22</x:v>
      </x:c>
      <x:c r="E1686" s="7" t="str">
        <x:v>STD-22-6</x:v>
      </x:c>
      <x:c r="F1686" s="7" t="str">
        <x:v>OP-2</x:v>
      </x:c>
      <x:c r="G1686" s="7" t="n">
        <x:v>2</x:v>
      </x:c>
      <x:c r="H1686" s="7" t="str"/>
      <x:c r="I1686" s="7" t="str"/>
      <x:c r="J1686" s="7" t="str">
        <x:f>IF(OR(H1686="",I1686=""),"",I1686-H1686)</x:f>
      </x:c>
      <x:c r="K1686" s="7" t="str"/>
      <x:c r="L1686" s="7" t="str"/>
      <x:c r="M1686" s="7" t="str"/>
      <x:c r="N1686" s="7" t="str">
        <x:f>IF(M1686="","OPEN",IF(OR(NOT(ISNUMBER(H1686)),NOT(ISNUMBER(I1686)),K1686="",L1686=""),"FAIL","PASS"))</x:f>
        <x:v>OPEN</x:v>
      </x:c>
    </x:row>
    <x:row r="1687">
      <x:c r="B1687" s="7" t="str">
        <x:v>TRO-C-23-S1-O1-R1</x:v>
      </x:c>
      <x:c r="C1687" s="7" t="str">
        <x:v>BLD-C</x:v>
      </x:c>
      <x:c r="D1687" s="7" t="str">
        <x:v>MF-23</x:v>
      </x:c>
      <x:c r="E1687" s="7" t="str">
        <x:v>STD-23-1</x:v>
      </x:c>
      <x:c r="F1687" s="7" t="str">
        <x:v>OP-1</x:v>
      </x:c>
      <x:c r="G1687" s="7" t="n">
        <x:v>1</x:v>
      </x:c>
      <x:c r="H1687" s="7" t="str"/>
      <x:c r="I1687" s="7" t="str"/>
      <x:c r="J1687" s="7" t="str">
        <x:f>IF(OR(H1687="",I1687=""),"",I1687-H1687)</x:f>
      </x:c>
      <x:c r="K1687" s="7" t="str"/>
      <x:c r="L1687" s="7" t="str"/>
      <x:c r="M1687" s="7" t="str"/>
      <x:c r="N1687" s="7" t="str">
        <x:f>IF(M1687="","OPEN",IF(OR(NOT(ISNUMBER(H1687)),NOT(ISNUMBER(I1687)),K1687="",L1687=""),"FAIL","PASS"))</x:f>
        <x:v>OPEN</x:v>
      </x:c>
    </x:row>
    <x:row r="1688">
      <x:c r="B1688" s="7" t="str">
        <x:v>TRO-C-23-S1-O1-R2</x:v>
      </x:c>
      <x:c r="C1688" s="7" t="str">
        <x:v>BLD-C</x:v>
      </x:c>
      <x:c r="D1688" s="7" t="str">
        <x:v>MF-23</x:v>
      </x:c>
      <x:c r="E1688" s="7" t="str">
        <x:v>STD-23-1</x:v>
      </x:c>
      <x:c r="F1688" s="7" t="str">
        <x:v>OP-1</x:v>
      </x:c>
      <x:c r="G1688" s="7" t="n">
        <x:v>2</x:v>
      </x:c>
      <x:c r="H1688" s="7" t="str"/>
      <x:c r="I1688" s="7" t="str"/>
      <x:c r="J1688" s="7" t="str">
        <x:f>IF(OR(H1688="",I1688=""),"",I1688-H1688)</x:f>
      </x:c>
      <x:c r="K1688" s="7" t="str"/>
      <x:c r="L1688" s="7" t="str"/>
      <x:c r="M1688" s="7" t="str"/>
      <x:c r="N1688" s="7" t="str">
        <x:f>IF(M1688="","OPEN",IF(OR(NOT(ISNUMBER(H1688)),NOT(ISNUMBER(I1688)),K1688="",L1688=""),"FAIL","PASS"))</x:f>
        <x:v>OPEN</x:v>
      </x:c>
    </x:row>
    <x:row r="1689">
      <x:c r="B1689" s="7" t="str">
        <x:v>TRO-C-23-S1-O2-R1</x:v>
      </x:c>
      <x:c r="C1689" s="7" t="str">
        <x:v>BLD-C</x:v>
      </x:c>
      <x:c r="D1689" s="7" t="str">
        <x:v>MF-23</x:v>
      </x:c>
      <x:c r="E1689" s="7" t="str">
        <x:v>STD-23-1</x:v>
      </x:c>
      <x:c r="F1689" s="7" t="str">
        <x:v>OP-2</x:v>
      </x:c>
      <x:c r="G1689" s="7" t="n">
        <x:v>1</x:v>
      </x:c>
      <x:c r="H1689" s="7" t="str"/>
      <x:c r="I1689" s="7" t="str"/>
      <x:c r="J1689" s="7" t="str">
        <x:f>IF(OR(H1689="",I1689=""),"",I1689-H1689)</x:f>
      </x:c>
      <x:c r="K1689" s="7" t="str"/>
      <x:c r="L1689" s="7" t="str"/>
      <x:c r="M1689" s="7" t="str"/>
      <x:c r="N1689" s="7" t="str">
        <x:f>IF(M1689="","OPEN",IF(OR(NOT(ISNUMBER(H1689)),NOT(ISNUMBER(I1689)),K1689="",L1689=""),"FAIL","PASS"))</x:f>
        <x:v>OPEN</x:v>
      </x:c>
    </x:row>
    <x:row r="1690">
      <x:c r="B1690" s="7" t="str">
        <x:v>TRO-C-23-S1-O2-R2</x:v>
      </x:c>
      <x:c r="C1690" s="7" t="str">
        <x:v>BLD-C</x:v>
      </x:c>
      <x:c r="D1690" s="7" t="str">
        <x:v>MF-23</x:v>
      </x:c>
      <x:c r="E1690" s="7" t="str">
        <x:v>STD-23-1</x:v>
      </x:c>
      <x:c r="F1690" s="7" t="str">
        <x:v>OP-2</x:v>
      </x:c>
      <x:c r="G1690" s="7" t="n">
        <x:v>2</x:v>
      </x:c>
      <x:c r="H1690" s="7" t="str"/>
      <x:c r="I1690" s="7" t="str"/>
      <x:c r="J1690" s="7" t="str">
        <x:f>IF(OR(H1690="",I1690=""),"",I1690-H1690)</x:f>
      </x:c>
      <x:c r="K1690" s="7" t="str"/>
      <x:c r="L1690" s="7" t="str"/>
      <x:c r="M1690" s="7" t="str"/>
      <x:c r="N1690" s="7" t="str">
        <x:f>IF(M1690="","OPEN",IF(OR(NOT(ISNUMBER(H1690)),NOT(ISNUMBER(I1690)),K1690="",L1690=""),"FAIL","PASS"))</x:f>
        <x:v>OPEN</x:v>
      </x:c>
    </x:row>
    <x:row r="1691">
      <x:c r="B1691" s="7" t="str">
        <x:v>TRO-C-23-S2-O1-R1</x:v>
      </x:c>
      <x:c r="C1691" s="7" t="str">
        <x:v>BLD-C</x:v>
      </x:c>
      <x:c r="D1691" s="7" t="str">
        <x:v>MF-23</x:v>
      </x:c>
      <x:c r="E1691" s="7" t="str">
        <x:v>STD-23-2</x:v>
      </x:c>
      <x:c r="F1691" s="7" t="str">
        <x:v>OP-1</x:v>
      </x:c>
      <x:c r="G1691" s="7" t="n">
        <x:v>1</x:v>
      </x:c>
      <x:c r="H1691" s="7" t="str"/>
      <x:c r="I1691" s="7" t="str"/>
      <x:c r="J1691" s="7" t="str">
        <x:f>IF(OR(H1691="",I1691=""),"",I1691-H1691)</x:f>
      </x:c>
      <x:c r="K1691" s="7" t="str"/>
      <x:c r="L1691" s="7" t="str"/>
      <x:c r="M1691" s="7" t="str"/>
      <x:c r="N1691" s="7" t="str">
        <x:f>IF(M1691="","OPEN",IF(OR(NOT(ISNUMBER(H1691)),NOT(ISNUMBER(I1691)),K1691="",L1691=""),"FAIL","PASS"))</x:f>
        <x:v>OPEN</x:v>
      </x:c>
    </x:row>
    <x:row r="1692">
      <x:c r="B1692" s="7" t="str">
        <x:v>TRO-C-23-S2-O1-R2</x:v>
      </x:c>
      <x:c r="C1692" s="7" t="str">
        <x:v>BLD-C</x:v>
      </x:c>
      <x:c r="D1692" s="7" t="str">
        <x:v>MF-23</x:v>
      </x:c>
      <x:c r="E1692" s="7" t="str">
        <x:v>STD-23-2</x:v>
      </x:c>
      <x:c r="F1692" s="7" t="str">
        <x:v>OP-1</x:v>
      </x:c>
      <x:c r="G1692" s="7" t="n">
        <x:v>2</x:v>
      </x:c>
      <x:c r="H1692" s="7" t="str"/>
      <x:c r="I1692" s="7" t="str"/>
      <x:c r="J1692" s="7" t="str">
        <x:f>IF(OR(H1692="",I1692=""),"",I1692-H1692)</x:f>
      </x:c>
      <x:c r="K1692" s="7" t="str"/>
      <x:c r="L1692" s="7" t="str"/>
      <x:c r="M1692" s="7" t="str"/>
      <x:c r="N1692" s="7" t="str">
        <x:f>IF(M1692="","OPEN",IF(OR(NOT(ISNUMBER(H1692)),NOT(ISNUMBER(I1692)),K1692="",L1692=""),"FAIL","PASS"))</x:f>
        <x:v>OPEN</x:v>
      </x:c>
    </x:row>
    <x:row r="1693">
      <x:c r="B1693" s="7" t="str">
        <x:v>TRO-C-23-S2-O2-R1</x:v>
      </x:c>
      <x:c r="C1693" s="7" t="str">
        <x:v>BLD-C</x:v>
      </x:c>
      <x:c r="D1693" s="7" t="str">
        <x:v>MF-23</x:v>
      </x:c>
      <x:c r="E1693" s="7" t="str">
        <x:v>STD-23-2</x:v>
      </x:c>
      <x:c r="F1693" s="7" t="str">
        <x:v>OP-2</x:v>
      </x:c>
      <x:c r="G1693" s="7" t="n">
        <x:v>1</x:v>
      </x:c>
      <x:c r="H1693" s="7" t="str"/>
      <x:c r="I1693" s="7" t="str"/>
      <x:c r="J1693" s="7" t="str">
        <x:f>IF(OR(H1693="",I1693=""),"",I1693-H1693)</x:f>
      </x:c>
      <x:c r="K1693" s="7" t="str"/>
      <x:c r="L1693" s="7" t="str"/>
      <x:c r="M1693" s="7" t="str"/>
      <x:c r="N1693" s="7" t="str">
        <x:f>IF(M1693="","OPEN",IF(OR(NOT(ISNUMBER(H1693)),NOT(ISNUMBER(I1693)),K1693="",L1693=""),"FAIL","PASS"))</x:f>
        <x:v>OPEN</x:v>
      </x:c>
    </x:row>
    <x:row r="1694">
      <x:c r="B1694" s="7" t="str">
        <x:v>TRO-C-23-S2-O2-R2</x:v>
      </x:c>
      <x:c r="C1694" s="7" t="str">
        <x:v>BLD-C</x:v>
      </x:c>
      <x:c r="D1694" s="7" t="str">
        <x:v>MF-23</x:v>
      </x:c>
      <x:c r="E1694" s="7" t="str">
        <x:v>STD-23-2</x:v>
      </x:c>
      <x:c r="F1694" s="7" t="str">
        <x:v>OP-2</x:v>
      </x:c>
      <x:c r="G1694" s="7" t="n">
        <x:v>2</x:v>
      </x:c>
      <x:c r="H1694" s="7" t="str"/>
      <x:c r="I1694" s="7" t="str"/>
      <x:c r="J1694" s="7" t="str">
        <x:f>IF(OR(H1694="",I1694=""),"",I1694-H1694)</x:f>
      </x:c>
      <x:c r="K1694" s="7" t="str"/>
      <x:c r="L1694" s="7" t="str"/>
      <x:c r="M1694" s="7" t="str"/>
      <x:c r="N1694" s="7" t="str">
        <x:f>IF(M1694="","OPEN",IF(OR(NOT(ISNUMBER(H1694)),NOT(ISNUMBER(I1694)),K1694="",L1694=""),"FAIL","PASS"))</x:f>
        <x:v>OPEN</x:v>
      </x:c>
    </x:row>
    <x:row r="1695">
      <x:c r="B1695" s="7" t="str">
        <x:v>TRO-C-23-S3-O1-R1</x:v>
      </x:c>
      <x:c r="C1695" s="7" t="str">
        <x:v>BLD-C</x:v>
      </x:c>
      <x:c r="D1695" s="7" t="str">
        <x:v>MF-23</x:v>
      </x:c>
      <x:c r="E1695" s="7" t="str">
        <x:v>STD-23-3</x:v>
      </x:c>
      <x:c r="F1695" s="7" t="str">
        <x:v>OP-1</x:v>
      </x:c>
      <x:c r="G1695" s="7" t="n">
        <x:v>1</x:v>
      </x:c>
      <x:c r="H1695" s="7" t="str"/>
      <x:c r="I1695" s="7" t="str"/>
      <x:c r="J1695" s="7" t="str">
        <x:f>IF(OR(H1695="",I1695=""),"",I1695-H1695)</x:f>
      </x:c>
      <x:c r="K1695" s="7" t="str"/>
      <x:c r="L1695" s="7" t="str"/>
      <x:c r="M1695" s="7" t="str"/>
      <x:c r="N1695" s="7" t="str">
        <x:f>IF(M1695="","OPEN",IF(OR(NOT(ISNUMBER(H1695)),NOT(ISNUMBER(I1695)),K1695="",L1695=""),"FAIL","PASS"))</x:f>
        <x:v>OPEN</x:v>
      </x:c>
    </x:row>
    <x:row r="1696">
      <x:c r="B1696" s="7" t="str">
        <x:v>TRO-C-23-S3-O1-R2</x:v>
      </x:c>
      <x:c r="C1696" s="7" t="str">
        <x:v>BLD-C</x:v>
      </x:c>
      <x:c r="D1696" s="7" t="str">
        <x:v>MF-23</x:v>
      </x:c>
      <x:c r="E1696" s="7" t="str">
        <x:v>STD-23-3</x:v>
      </x:c>
      <x:c r="F1696" s="7" t="str">
        <x:v>OP-1</x:v>
      </x:c>
      <x:c r="G1696" s="7" t="n">
        <x:v>2</x:v>
      </x:c>
      <x:c r="H1696" s="7" t="str"/>
      <x:c r="I1696" s="7" t="str"/>
      <x:c r="J1696" s="7" t="str">
        <x:f>IF(OR(H1696="",I1696=""),"",I1696-H1696)</x:f>
      </x:c>
      <x:c r="K1696" s="7" t="str"/>
      <x:c r="L1696" s="7" t="str"/>
      <x:c r="M1696" s="7" t="str"/>
      <x:c r="N1696" s="7" t="str">
        <x:f>IF(M1696="","OPEN",IF(OR(NOT(ISNUMBER(H1696)),NOT(ISNUMBER(I1696)),K1696="",L1696=""),"FAIL","PASS"))</x:f>
        <x:v>OPEN</x:v>
      </x:c>
    </x:row>
    <x:row r="1697">
      <x:c r="B1697" s="7" t="str">
        <x:v>TRO-C-23-S3-O2-R1</x:v>
      </x:c>
      <x:c r="C1697" s="7" t="str">
        <x:v>BLD-C</x:v>
      </x:c>
      <x:c r="D1697" s="7" t="str">
        <x:v>MF-23</x:v>
      </x:c>
      <x:c r="E1697" s="7" t="str">
        <x:v>STD-23-3</x:v>
      </x:c>
      <x:c r="F1697" s="7" t="str">
        <x:v>OP-2</x:v>
      </x:c>
      <x:c r="G1697" s="7" t="n">
        <x:v>1</x:v>
      </x:c>
      <x:c r="H1697" s="7" t="str"/>
      <x:c r="I1697" s="7" t="str"/>
      <x:c r="J1697" s="7" t="str">
        <x:f>IF(OR(H1697="",I1697=""),"",I1697-H1697)</x:f>
      </x:c>
      <x:c r="K1697" s="7" t="str"/>
      <x:c r="L1697" s="7" t="str"/>
      <x:c r="M1697" s="7" t="str"/>
      <x:c r="N1697" s="7" t="str">
        <x:f>IF(M1697="","OPEN",IF(OR(NOT(ISNUMBER(H1697)),NOT(ISNUMBER(I1697)),K1697="",L1697=""),"FAIL","PASS"))</x:f>
        <x:v>OPEN</x:v>
      </x:c>
    </x:row>
    <x:row r="1698">
      <x:c r="B1698" s="7" t="str">
        <x:v>TRO-C-23-S3-O2-R2</x:v>
      </x:c>
      <x:c r="C1698" s="7" t="str">
        <x:v>BLD-C</x:v>
      </x:c>
      <x:c r="D1698" s="7" t="str">
        <x:v>MF-23</x:v>
      </x:c>
      <x:c r="E1698" s="7" t="str">
        <x:v>STD-23-3</x:v>
      </x:c>
      <x:c r="F1698" s="7" t="str">
        <x:v>OP-2</x:v>
      </x:c>
      <x:c r="G1698" s="7" t="n">
        <x:v>2</x:v>
      </x:c>
      <x:c r="H1698" s="7" t="str"/>
      <x:c r="I1698" s="7" t="str"/>
      <x:c r="J1698" s="7" t="str">
        <x:f>IF(OR(H1698="",I1698=""),"",I1698-H1698)</x:f>
      </x:c>
      <x:c r="K1698" s="7" t="str"/>
      <x:c r="L1698" s="7" t="str"/>
      <x:c r="M1698" s="7" t="str"/>
      <x:c r="N1698" s="7" t="str">
        <x:f>IF(M1698="","OPEN",IF(OR(NOT(ISNUMBER(H1698)),NOT(ISNUMBER(I1698)),K1698="",L1698=""),"FAIL","PASS"))</x:f>
        <x:v>OPEN</x:v>
      </x:c>
    </x:row>
    <x:row r="1699">
      <x:c r="B1699" s="7" t="str">
        <x:v>TRO-C-23-S4-O1-R1</x:v>
      </x:c>
      <x:c r="C1699" s="7" t="str">
        <x:v>BLD-C</x:v>
      </x:c>
      <x:c r="D1699" s="7" t="str">
        <x:v>MF-23</x:v>
      </x:c>
      <x:c r="E1699" s="7" t="str">
        <x:v>STD-23-4</x:v>
      </x:c>
      <x:c r="F1699" s="7" t="str">
        <x:v>OP-1</x:v>
      </x:c>
      <x:c r="G1699" s="7" t="n">
        <x:v>1</x:v>
      </x:c>
      <x:c r="H1699" s="7" t="str"/>
      <x:c r="I1699" s="7" t="str"/>
      <x:c r="J1699" s="7" t="str">
        <x:f>IF(OR(H1699="",I1699=""),"",I1699-H1699)</x:f>
      </x:c>
      <x:c r="K1699" s="7" t="str"/>
      <x:c r="L1699" s="7" t="str"/>
      <x:c r="M1699" s="7" t="str"/>
      <x:c r="N1699" s="7" t="str">
        <x:f>IF(M1699="","OPEN",IF(OR(NOT(ISNUMBER(H1699)),NOT(ISNUMBER(I1699)),K1699="",L1699=""),"FAIL","PASS"))</x:f>
        <x:v>OPEN</x:v>
      </x:c>
    </x:row>
    <x:row r="1700">
      <x:c r="B1700" s="7" t="str">
        <x:v>TRO-C-23-S4-O1-R2</x:v>
      </x:c>
      <x:c r="C1700" s="7" t="str">
        <x:v>BLD-C</x:v>
      </x:c>
      <x:c r="D1700" s="7" t="str">
        <x:v>MF-23</x:v>
      </x:c>
      <x:c r="E1700" s="7" t="str">
        <x:v>STD-23-4</x:v>
      </x:c>
      <x:c r="F1700" s="7" t="str">
        <x:v>OP-1</x:v>
      </x:c>
      <x:c r="G1700" s="7" t="n">
        <x:v>2</x:v>
      </x:c>
      <x:c r="H1700" s="7" t="str"/>
      <x:c r="I1700" s="7" t="str"/>
      <x:c r="J1700" s="7" t="str">
        <x:f>IF(OR(H1700="",I1700=""),"",I1700-H1700)</x:f>
      </x:c>
      <x:c r="K1700" s="7" t="str"/>
      <x:c r="L1700" s="7" t="str"/>
      <x:c r="M1700" s="7" t="str"/>
      <x:c r="N1700" s="7" t="str">
        <x:f>IF(M1700="","OPEN",IF(OR(NOT(ISNUMBER(H1700)),NOT(ISNUMBER(I1700)),K1700="",L1700=""),"FAIL","PASS"))</x:f>
        <x:v>OPEN</x:v>
      </x:c>
    </x:row>
    <x:row r="1701">
      <x:c r="B1701" s="7" t="str">
        <x:v>TRO-C-23-S4-O2-R1</x:v>
      </x:c>
      <x:c r="C1701" s="7" t="str">
        <x:v>BLD-C</x:v>
      </x:c>
      <x:c r="D1701" s="7" t="str">
        <x:v>MF-23</x:v>
      </x:c>
      <x:c r="E1701" s="7" t="str">
        <x:v>STD-23-4</x:v>
      </x:c>
      <x:c r="F1701" s="7" t="str">
        <x:v>OP-2</x:v>
      </x:c>
      <x:c r="G1701" s="7" t="n">
        <x:v>1</x:v>
      </x:c>
      <x:c r="H1701" s="7" t="str"/>
      <x:c r="I1701" s="7" t="str"/>
      <x:c r="J1701" s="7" t="str">
        <x:f>IF(OR(H1701="",I1701=""),"",I1701-H1701)</x:f>
      </x:c>
      <x:c r="K1701" s="7" t="str"/>
      <x:c r="L1701" s="7" t="str"/>
      <x:c r="M1701" s="7" t="str"/>
      <x:c r="N1701" s="7" t="str">
        <x:f>IF(M1701="","OPEN",IF(OR(NOT(ISNUMBER(H1701)),NOT(ISNUMBER(I1701)),K1701="",L1701=""),"FAIL","PASS"))</x:f>
        <x:v>OPEN</x:v>
      </x:c>
    </x:row>
    <x:row r="1702">
      <x:c r="B1702" s="7" t="str">
        <x:v>TRO-C-23-S4-O2-R2</x:v>
      </x:c>
      <x:c r="C1702" s="7" t="str">
        <x:v>BLD-C</x:v>
      </x:c>
      <x:c r="D1702" s="7" t="str">
        <x:v>MF-23</x:v>
      </x:c>
      <x:c r="E1702" s="7" t="str">
        <x:v>STD-23-4</x:v>
      </x:c>
      <x:c r="F1702" s="7" t="str">
        <x:v>OP-2</x:v>
      </x:c>
      <x:c r="G1702" s="7" t="n">
        <x:v>2</x:v>
      </x:c>
      <x:c r="H1702" s="7" t="str"/>
      <x:c r="I1702" s="7" t="str"/>
      <x:c r="J1702" s="7" t="str">
        <x:f>IF(OR(H1702="",I1702=""),"",I1702-H1702)</x:f>
      </x:c>
      <x:c r="K1702" s="7" t="str"/>
      <x:c r="L1702" s="7" t="str"/>
      <x:c r="M1702" s="7" t="str"/>
      <x:c r="N1702" s="7" t="str">
        <x:f>IF(M1702="","OPEN",IF(OR(NOT(ISNUMBER(H1702)),NOT(ISNUMBER(I1702)),K1702="",L1702=""),"FAIL","PASS"))</x:f>
        <x:v>OPEN</x:v>
      </x:c>
    </x:row>
    <x:row r="1703">
      <x:c r="B1703" s="7" t="str">
        <x:v>TRO-C-23-S5-O1-R1</x:v>
      </x:c>
      <x:c r="C1703" s="7" t="str">
        <x:v>BLD-C</x:v>
      </x:c>
      <x:c r="D1703" s="7" t="str">
        <x:v>MF-23</x:v>
      </x:c>
      <x:c r="E1703" s="7" t="str">
        <x:v>STD-23-5</x:v>
      </x:c>
      <x:c r="F1703" s="7" t="str">
        <x:v>OP-1</x:v>
      </x:c>
      <x:c r="G1703" s="7" t="n">
        <x:v>1</x:v>
      </x:c>
      <x:c r="H1703" s="7" t="str"/>
      <x:c r="I1703" s="7" t="str"/>
      <x:c r="J1703" s="7" t="str">
        <x:f>IF(OR(H1703="",I1703=""),"",I1703-H1703)</x:f>
      </x:c>
      <x:c r="K1703" s="7" t="str"/>
      <x:c r="L1703" s="7" t="str"/>
      <x:c r="M1703" s="7" t="str"/>
      <x:c r="N1703" s="7" t="str">
        <x:f>IF(M1703="","OPEN",IF(OR(NOT(ISNUMBER(H1703)),NOT(ISNUMBER(I1703)),K1703="",L1703=""),"FAIL","PASS"))</x:f>
        <x:v>OPEN</x:v>
      </x:c>
    </x:row>
    <x:row r="1704">
      <x:c r="B1704" s="7" t="str">
        <x:v>TRO-C-23-S5-O1-R2</x:v>
      </x:c>
      <x:c r="C1704" s="7" t="str">
        <x:v>BLD-C</x:v>
      </x:c>
      <x:c r="D1704" s="7" t="str">
        <x:v>MF-23</x:v>
      </x:c>
      <x:c r="E1704" s="7" t="str">
        <x:v>STD-23-5</x:v>
      </x:c>
      <x:c r="F1704" s="7" t="str">
        <x:v>OP-1</x:v>
      </x:c>
      <x:c r="G1704" s="7" t="n">
        <x:v>2</x:v>
      </x:c>
      <x:c r="H1704" s="7" t="str"/>
      <x:c r="I1704" s="7" t="str"/>
      <x:c r="J1704" s="7" t="str">
        <x:f>IF(OR(H1704="",I1704=""),"",I1704-H1704)</x:f>
      </x:c>
      <x:c r="K1704" s="7" t="str"/>
      <x:c r="L1704" s="7" t="str"/>
      <x:c r="M1704" s="7" t="str"/>
      <x:c r="N1704" s="7" t="str">
        <x:f>IF(M1704="","OPEN",IF(OR(NOT(ISNUMBER(H1704)),NOT(ISNUMBER(I1704)),K1704="",L1704=""),"FAIL","PASS"))</x:f>
        <x:v>OPEN</x:v>
      </x:c>
    </x:row>
    <x:row r="1705">
      <x:c r="B1705" s="7" t="str">
        <x:v>TRO-C-23-S5-O2-R1</x:v>
      </x:c>
      <x:c r="C1705" s="7" t="str">
        <x:v>BLD-C</x:v>
      </x:c>
      <x:c r="D1705" s="7" t="str">
        <x:v>MF-23</x:v>
      </x:c>
      <x:c r="E1705" s="7" t="str">
        <x:v>STD-23-5</x:v>
      </x:c>
      <x:c r="F1705" s="7" t="str">
        <x:v>OP-2</x:v>
      </x:c>
      <x:c r="G1705" s="7" t="n">
        <x:v>1</x:v>
      </x:c>
      <x:c r="H1705" s="7" t="str"/>
      <x:c r="I1705" s="7" t="str"/>
      <x:c r="J1705" s="7" t="str">
        <x:f>IF(OR(H1705="",I1705=""),"",I1705-H1705)</x:f>
      </x:c>
      <x:c r="K1705" s="7" t="str"/>
      <x:c r="L1705" s="7" t="str"/>
      <x:c r="M1705" s="7" t="str"/>
      <x:c r="N1705" s="7" t="str">
        <x:f>IF(M1705="","OPEN",IF(OR(NOT(ISNUMBER(H1705)),NOT(ISNUMBER(I1705)),K1705="",L1705=""),"FAIL","PASS"))</x:f>
        <x:v>OPEN</x:v>
      </x:c>
    </x:row>
    <x:row r="1706">
      <x:c r="B1706" s="7" t="str">
        <x:v>TRO-C-23-S5-O2-R2</x:v>
      </x:c>
      <x:c r="C1706" s="7" t="str">
        <x:v>BLD-C</x:v>
      </x:c>
      <x:c r="D1706" s="7" t="str">
        <x:v>MF-23</x:v>
      </x:c>
      <x:c r="E1706" s="7" t="str">
        <x:v>STD-23-5</x:v>
      </x:c>
      <x:c r="F1706" s="7" t="str">
        <x:v>OP-2</x:v>
      </x:c>
      <x:c r="G1706" s="7" t="n">
        <x:v>2</x:v>
      </x:c>
      <x:c r="H1706" s="7" t="str"/>
      <x:c r="I1706" s="7" t="str"/>
      <x:c r="J1706" s="7" t="str">
        <x:f>IF(OR(H1706="",I1706=""),"",I1706-H1706)</x:f>
      </x:c>
      <x:c r="K1706" s="7" t="str"/>
      <x:c r="L1706" s="7" t="str"/>
      <x:c r="M1706" s="7" t="str"/>
      <x:c r="N1706" s="7" t="str">
        <x:f>IF(M1706="","OPEN",IF(OR(NOT(ISNUMBER(H1706)),NOT(ISNUMBER(I1706)),K1706="",L1706=""),"FAIL","PASS"))</x:f>
        <x:v>OPEN</x:v>
      </x:c>
    </x:row>
    <x:row r="1707">
      <x:c r="B1707" s="7" t="str">
        <x:v>TRO-C-23-S6-O1-R1</x:v>
      </x:c>
      <x:c r="C1707" s="7" t="str">
        <x:v>BLD-C</x:v>
      </x:c>
      <x:c r="D1707" s="7" t="str">
        <x:v>MF-23</x:v>
      </x:c>
      <x:c r="E1707" s="7" t="str">
        <x:v>STD-23-6</x:v>
      </x:c>
      <x:c r="F1707" s="7" t="str">
        <x:v>OP-1</x:v>
      </x:c>
      <x:c r="G1707" s="7" t="n">
        <x:v>1</x:v>
      </x:c>
      <x:c r="H1707" s="7" t="str"/>
      <x:c r="I1707" s="7" t="str"/>
      <x:c r="J1707" s="7" t="str">
        <x:f>IF(OR(H1707="",I1707=""),"",I1707-H1707)</x:f>
      </x:c>
      <x:c r="K1707" s="7" t="str"/>
      <x:c r="L1707" s="7" t="str"/>
      <x:c r="M1707" s="7" t="str"/>
      <x:c r="N1707" s="7" t="str">
        <x:f>IF(M1707="","OPEN",IF(OR(NOT(ISNUMBER(H1707)),NOT(ISNUMBER(I1707)),K1707="",L1707=""),"FAIL","PASS"))</x:f>
        <x:v>OPEN</x:v>
      </x:c>
    </x:row>
    <x:row r="1708">
      <x:c r="B1708" s="7" t="str">
        <x:v>TRO-C-23-S6-O1-R2</x:v>
      </x:c>
      <x:c r="C1708" s="7" t="str">
        <x:v>BLD-C</x:v>
      </x:c>
      <x:c r="D1708" s="7" t="str">
        <x:v>MF-23</x:v>
      </x:c>
      <x:c r="E1708" s="7" t="str">
        <x:v>STD-23-6</x:v>
      </x:c>
      <x:c r="F1708" s="7" t="str">
        <x:v>OP-1</x:v>
      </x:c>
      <x:c r="G1708" s="7" t="n">
        <x:v>2</x:v>
      </x:c>
      <x:c r="H1708" s="7" t="str"/>
      <x:c r="I1708" s="7" t="str"/>
      <x:c r="J1708" s="7" t="str">
        <x:f>IF(OR(H1708="",I1708=""),"",I1708-H1708)</x:f>
      </x:c>
      <x:c r="K1708" s="7" t="str"/>
      <x:c r="L1708" s="7" t="str"/>
      <x:c r="M1708" s="7" t="str"/>
      <x:c r="N1708" s="7" t="str">
        <x:f>IF(M1708="","OPEN",IF(OR(NOT(ISNUMBER(H1708)),NOT(ISNUMBER(I1708)),K1708="",L1708=""),"FAIL","PASS"))</x:f>
        <x:v>OPEN</x:v>
      </x:c>
    </x:row>
    <x:row r="1709">
      <x:c r="B1709" s="7" t="str">
        <x:v>TRO-C-23-S6-O2-R1</x:v>
      </x:c>
      <x:c r="C1709" s="7" t="str">
        <x:v>BLD-C</x:v>
      </x:c>
      <x:c r="D1709" s="7" t="str">
        <x:v>MF-23</x:v>
      </x:c>
      <x:c r="E1709" s="7" t="str">
        <x:v>STD-23-6</x:v>
      </x:c>
      <x:c r="F1709" s="7" t="str">
        <x:v>OP-2</x:v>
      </x:c>
      <x:c r="G1709" s="7" t="n">
        <x:v>1</x:v>
      </x:c>
      <x:c r="H1709" s="7" t="str"/>
      <x:c r="I1709" s="7" t="str"/>
      <x:c r="J1709" s="7" t="str">
        <x:f>IF(OR(H1709="",I1709=""),"",I1709-H1709)</x:f>
      </x:c>
      <x:c r="K1709" s="7" t="str"/>
      <x:c r="L1709" s="7" t="str"/>
      <x:c r="M1709" s="7" t="str"/>
      <x:c r="N1709" s="7" t="str">
        <x:f>IF(M1709="","OPEN",IF(OR(NOT(ISNUMBER(H1709)),NOT(ISNUMBER(I1709)),K1709="",L1709=""),"FAIL","PASS"))</x:f>
        <x:v>OPEN</x:v>
      </x:c>
    </x:row>
    <x:row r="1710">
      <x:c r="B1710" s="7" t="str">
        <x:v>TRO-C-23-S6-O2-R2</x:v>
      </x:c>
      <x:c r="C1710" s="7" t="str">
        <x:v>BLD-C</x:v>
      </x:c>
      <x:c r="D1710" s="7" t="str">
        <x:v>MF-23</x:v>
      </x:c>
      <x:c r="E1710" s="7" t="str">
        <x:v>STD-23-6</x:v>
      </x:c>
      <x:c r="F1710" s="7" t="str">
        <x:v>OP-2</x:v>
      </x:c>
      <x:c r="G1710" s="7" t="n">
        <x:v>2</x:v>
      </x:c>
      <x:c r="H1710" s="7" t="str"/>
      <x:c r="I1710" s="7" t="str"/>
      <x:c r="J1710" s="7" t="str">
        <x:f>IF(OR(H1710="",I1710=""),"",I1710-H1710)</x:f>
      </x:c>
      <x:c r="K1710" s="7" t="str"/>
      <x:c r="L1710" s="7" t="str"/>
      <x:c r="M1710" s="7" t="str"/>
      <x:c r="N1710" s="7" t="str">
        <x:f>IF(M1710="","OPEN",IF(OR(NOT(ISNUMBER(H1710)),NOT(ISNUMBER(I1710)),K1710="",L1710=""),"FAIL","PASS"))</x:f>
        <x:v>OPEN</x:v>
      </x:c>
    </x:row>
    <x:row r="1711">
      <x:c r="B1711" s="7" t="str">
        <x:v>TRO-C-24-S1-O1-R1</x:v>
      </x:c>
      <x:c r="C1711" s="7" t="str">
        <x:v>BLD-C</x:v>
      </x:c>
      <x:c r="D1711" s="7" t="str">
        <x:v>MF-24</x:v>
      </x:c>
      <x:c r="E1711" s="7" t="str">
        <x:v>STD-24-1</x:v>
      </x:c>
      <x:c r="F1711" s="7" t="str">
        <x:v>OP-1</x:v>
      </x:c>
      <x:c r="G1711" s="7" t="n">
        <x:v>1</x:v>
      </x:c>
      <x:c r="H1711" s="7" t="str"/>
      <x:c r="I1711" s="7" t="str"/>
      <x:c r="J1711" s="7" t="str">
        <x:f>IF(OR(H1711="",I1711=""),"",I1711-H1711)</x:f>
      </x:c>
      <x:c r="K1711" s="7" t="str"/>
      <x:c r="L1711" s="7" t="str"/>
      <x:c r="M1711" s="7" t="str"/>
      <x:c r="N1711" s="7" t="str">
        <x:f>IF(M1711="","OPEN",IF(OR(NOT(ISNUMBER(H1711)),NOT(ISNUMBER(I1711)),K1711="",L1711=""),"FAIL","PASS"))</x:f>
        <x:v>OPEN</x:v>
      </x:c>
    </x:row>
    <x:row r="1712">
      <x:c r="B1712" s="7" t="str">
        <x:v>TRO-C-24-S1-O1-R2</x:v>
      </x:c>
      <x:c r="C1712" s="7" t="str">
        <x:v>BLD-C</x:v>
      </x:c>
      <x:c r="D1712" s="7" t="str">
        <x:v>MF-24</x:v>
      </x:c>
      <x:c r="E1712" s="7" t="str">
        <x:v>STD-24-1</x:v>
      </x:c>
      <x:c r="F1712" s="7" t="str">
        <x:v>OP-1</x:v>
      </x:c>
      <x:c r="G1712" s="7" t="n">
        <x:v>2</x:v>
      </x:c>
      <x:c r="H1712" s="7" t="str"/>
      <x:c r="I1712" s="7" t="str"/>
      <x:c r="J1712" s="7" t="str">
        <x:f>IF(OR(H1712="",I1712=""),"",I1712-H1712)</x:f>
      </x:c>
      <x:c r="K1712" s="7" t="str"/>
      <x:c r="L1712" s="7" t="str"/>
      <x:c r="M1712" s="7" t="str"/>
      <x:c r="N1712" s="7" t="str">
        <x:f>IF(M1712="","OPEN",IF(OR(NOT(ISNUMBER(H1712)),NOT(ISNUMBER(I1712)),K1712="",L1712=""),"FAIL","PASS"))</x:f>
        <x:v>OPEN</x:v>
      </x:c>
    </x:row>
    <x:row r="1713">
      <x:c r="B1713" s="7" t="str">
        <x:v>TRO-C-24-S1-O2-R1</x:v>
      </x:c>
      <x:c r="C1713" s="7" t="str">
        <x:v>BLD-C</x:v>
      </x:c>
      <x:c r="D1713" s="7" t="str">
        <x:v>MF-24</x:v>
      </x:c>
      <x:c r="E1713" s="7" t="str">
        <x:v>STD-24-1</x:v>
      </x:c>
      <x:c r="F1713" s="7" t="str">
        <x:v>OP-2</x:v>
      </x:c>
      <x:c r="G1713" s="7" t="n">
        <x:v>1</x:v>
      </x:c>
      <x:c r="H1713" s="7" t="str"/>
      <x:c r="I1713" s="7" t="str"/>
      <x:c r="J1713" s="7" t="str">
        <x:f>IF(OR(H1713="",I1713=""),"",I1713-H1713)</x:f>
      </x:c>
      <x:c r="K1713" s="7" t="str"/>
      <x:c r="L1713" s="7" t="str"/>
      <x:c r="M1713" s="7" t="str"/>
      <x:c r="N1713" s="7" t="str">
        <x:f>IF(M1713="","OPEN",IF(OR(NOT(ISNUMBER(H1713)),NOT(ISNUMBER(I1713)),K1713="",L1713=""),"FAIL","PASS"))</x:f>
        <x:v>OPEN</x:v>
      </x:c>
    </x:row>
    <x:row r="1714">
      <x:c r="B1714" s="7" t="str">
        <x:v>TRO-C-24-S1-O2-R2</x:v>
      </x:c>
      <x:c r="C1714" s="7" t="str">
        <x:v>BLD-C</x:v>
      </x:c>
      <x:c r="D1714" s="7" t="str">
        <x:v>MF-24</x:v>
      </x:c>
      <x:c r="E1714" s="7" t="str">
        <x:v>STD-24-1</x:v>
      </x:c>
      <x:c r="F1714" s="7" t="str">
        <x:v>OP-2</x:v>
      </x:c>
      <x:c r="G1714" s="7" t="n">
        <x:v>2</x:v>
      </x:c>
      <x:c r="H1714" s="7" t="str"/>
      <x:c r="I1714" s="7" t="str"/>
      <x:c r="J1714" s="7" t="str">
        <x:f>IF(OR(H1714="",I1714=""),"",I1714-H1714)</x:f>
      </x:c>
      <x:c r="K1714" s="7" t="str"/>
      <x:c r="L1714" s="7" t="str"/>
      <x:c r="M1714" s="7" t="str"/>
      <x:c r="N1714" s="7" t="str">
        <x:f>IF(M1714="","OPEN",IF(OR(NOT(ISNUMBER(H1714)),NOT(ISNUMBER(I1714)),K1714="",L1714=""),"FAIL","PASS"))</x:f>
        <x:v>OPEN</x:v>
      </x:c>
    </x:row>
    <x:row r="1715">
      <x:c r="B1715" s="7" t="str">
        <x:v>TRO-C-24-S2-O1-R1</x:v>
      </x:c>
      <x:c r="C1715" s="7" t="str">
        <x:v>BLD-C</x:v>
      </x:c>
      <x:c r="D1715" s="7" t="str">
        <x:v>MF-24</x:v>
      </x:c>
      <x:c r="E1715" s="7" t="str">
        <x:v>STD-24-2</x:v>
      </x:c>
      <x:c r="F1715" s="7" t="str">
        <x:v>OP-1</x:v>
      </x:c>
      <x:c r="G1715" s="7" t="n">
        <x:v>1</x:v>
      </x:c>
      <x:c r="H1715" s="7" t="str"/>
      <x:c r="I1715" s="7" t="str"/>
      <x:c r="J1715" s="7" t="str">
        <x:f>IF(OR(H1715="",I1715=""),"",I1715-H1715)</x:f>
      </x:c>
      <x:c r="K1715" s="7" t="str"/>
      <x:c r="L1715" s="7" t="str"/>
      <x:c r="M1715" s="7" t="str"/>
      <x:c r="N1715" s="7" t="str">
        <x:f>IF(M1715="","OPEN",IF(OR(NOT(ISNUMBER(H1715)),NOT(ISNUMBER(I1715)),K1715="",L1715=""),"FAIL","PASS"))</x:f>
        <x:v>OPEN</x:v>
      </x:c>
    </x:row>
    <x:row r="1716">
      <x:c r="B1716" s="7" t="str">
        <x:v>TRO-C-24-S2-O1-R2</x:v>
      </x:c>
      <x:c r="C1716" s="7" t="str">
        <x:v>BLD-C</x:v>
      </x:c>
      <x:c r="D1716" s="7" t="str">
        <x:v>MF-24</x:v>
      </x:c>
      <x:c r="E1716" s="7" t="str">
        <x:v>STD-24-2</x:v>
      </x:c>
      <x:c r="F1716" s="7" t="str">
        <x:v>OP-1</x:v>
      </x:c>
      <x:c r="G1716" s="7" t="n">
        <x:v>2</x:v>
      </x:c>
      <x:c r="H1716" s="7" t="str"/>
      <x:c r="I1716" s="7" t="str"/>
      <x:c r="J1716" s="7" t="str">
        <x:f>IF(OR(H1716="",I1716=""),"",I1716-H1716)</x:f>
      </x:c>
      <x:c r="K1716" s="7" t="str"/>
      <x:c r="L1716" s="7" t="str"/>
      <x:c r="M1716" s="7" t="str"/>
      <x:c r="N1716" s="7" t="str">
        <x:f>IF(M1716="","OPEN",IF(OR(NOT(ISNUMBER(H1716)),NOT(ISNUMBER(I1716)),K1716="",L1716=""),"FAIL","PASS"))</x:f>
        <x:v>OPEN</x:v>
      </x:c>
    </x:row>
    <x:row r="1717">
      <x:c r="B1717" s="7" t="str">
        <x:v>TRO-C-24-S2-O2-R1</x:v>
      </x:c>
      <x:c r="C1717" s="7" t="str">
        <x:v>BLD-C</x:v>
      </x:c>
      <x:c r="D1717" s="7" t="str">
        <x:v>MF-24</x:v>
      </x:c>
      <x:c r="E1717" s="7" t="str">
        <x:v>STD-24-2</x:v>
      </x:c>
      <x:c r="F1717" s="7" t="str">
        <x:v>OP-2</x:v>
      </x:c>
      <x:c r="G1717" s="7" t="n">
        <x:v>1</x:v>
      </x:c>
      <x:c r="H1717" s="7" t="str"/>
      <x:c r="I1717" s="7" t="str"/>
      <x:c r="J1717" s="7" t="str">
        <x:f>IF(OR(H1717="",I1717=""),"",I1717-H1717)</x:f>
      </x:c>
      <x:c r="K1717" s="7" t="str"/>
      <x:c r="L1717" s="7" t="str"/>
      <x:c r="M1717" s="7" t="str"/>
      <x:c r="N1717" s="7" t="str">
        <x:f>IF(M1717="","OPEN",IF(OR(NOT(ISNUMBER(H1717)),NOT(ISNUMBER(I1717)),K1717="",L1717=""),"FAIL","PASS"))</x:f>
        <x:v>OPEN</x:v>
      </x:c>
    </x:row>
    <x:row r="1718">
      <x:c r="B1718" s="7" t="str">
        <x:v>TRO-C-24-S2-O2-R2</x:v>
      </x:c>
      <x:c r="C1718" s="7" t="str">
        <x:v>BLD-C</x:v>
      </x:c>
      <x:c r="D1718" s="7" t="str">
        <x:v>MF-24</x:v>
      </x:c>
      <x:c r="E1718" s="7" t="str">
        <x:v>STD-24-2</x:v>
      </x:c>
      <x:c r="F1718" s="7" t="str">
        <x:v>OP-2</x:v>
      </x:c>
      <x:c r="G1718" s="7" t="n">
        <x:v>2</x:v>
      </x:c>
      <x:c r="H1718" s="7" t="str"/>
      <x:c r="I1718" s="7" t="str"/>
      <x:c r="J1718" s="7" t="str">
        <x:f>IF(OR(H1718="",I1718=""),"",I1718-H1718)</x:f>
      </x:c>
      <x:c r="K1718" s="7" t="str"/>
      <x:c r="L1718" s="7" t="str"/>
      <x:c r="M1718" s="7" t="str"/>
      <x:c r="N1718" s="7" t="str">
        <x:f>IF(M1718="","OPEN",IF(OR(NOT(ISNUMBER(H1718)),NOT(ISNUMBER(I1718)),K1718="",L1718=""),"FAIL","PASS"))</x:f>
        <x:v>OPEN</x:v>
      </x:c>
    </x:row>
    <x:row r="1719">
      <x:c r="B1719" s="7" t="str">
        <x:v>TRO-C-24-S3-O1-R1</x:v>
      </x:c>
      <x:c r="C1719" s="7" t="str">
        <x:v>BLD-C</x:v>
      </x:c>
      <x:c r="D1719" s="7" t="str">
        <x:v>MF-24</x:v>
      </x:c>
      <x:c r="E1719" s="7" t="str">
        <x:v>STD-24-3</x:v>
      </x:c>
      <x:c r="F1719" s="7" t="str">
        <x:v>OP-1</x:v>
      </x:c>
      <x:c r="G1719" s="7" t="n">
        <x:v>1</x:v>
      </x:c>
      <x:c r="H1719" s="7" t="str"/>
      <x:c r="I1719" s="7" t="str"/>
      <x:c r="J1719" s="7" t="str">
        <x:f>IF(OR(H1719="",I1719=""),"",I1719-H1719)</x:f>
      </x:c>
      <x:c r="K1719" s="7" t="str"/>
      <x:c r="L1719" s="7" t="str"/>
      <x:c r="M1719" s="7" t="str"/>
      <x:c r="N1719" s="7" t="str">
        <x:f>IF(M1719="","OPEN",IF(OR(NOT(ISNUMBER(H1719)),NOT(ISNUMBER(I1719)),K1719="",L1719=""),"FAIL","PASS"))</x:f>
        <x:v>OPEN</x:v>
      </x:c>
    </x:row>
    <x:row r="1720">
      <x:c r="B1720" s="7" t="str">
        <x:v>TRO-C-24-S3-O1-R2</x:v>
      </x:c>
      <x:c r="C1720" s="7" t="str">
        <x:v>BLD-C</x:v>
      </x:c>
      <x:c r="D1720" s="7" t="str">
        <x:v>MF-24</x:v>
      </x:c>
      <x:c r="E1720" s="7" t="str">
        <x:v>STD-24-3</x:v>
      </x:c>
      <x:c r="F1720" s="7" t="str">
        <x:v>OP-1</x:v>
      </x:c>
      <x:c r="G1720" s="7" t="n">
        <x:v>2</x:v>
      </x:c>
      <x:c r="H1720" s="7" t="str"/>
      <x:c r="I1720" s="7" t="str"/>
      <x:c r="J1720" s="7" t="str">
        <x:f>IF(OR(H1720="",I1720=""),"",I1720-H1720)</x:f>
      </x:c>
      <x:c r="K1720" s="7" t="str"/>
      <x:c r="L1720" s="7" t="str"/>
      <x:c r="M1720" s="7" t="str"/>
      <x:c r="N1720" s="7" t="str">
        <x:f>IF(M1720="","OPEN",IF(OR(NOT(ISNUMBER(H1720)),NOT(ISNUMBER(I1720)),K1720="",L1720=""),"FAIL","PASS"))</x:f>
        <x:v>OPEN</x:v>
      </x:c>
    </x:row>
    <x:row r="1721">
      <x:c r="B1721" s="7" t="str">
        <x:v>TRO-C-24-S3-O2-R1</x:v>
      </x:c>
      <x:c r="C1721" s="7" t="str">
        <x:v>BLD-C</x:v>
      </x:c>
      <x:c r="D1721" s="7" t="str">
        <x:v>MF-24</x:v>
      </x:c>
      <x:c r="E1721" s="7" t="str">
        <x:v>STD-24-3</x:v>
      </x:c>
      <x:c r="F1721" s="7" t="str">
        <x:v>OP-2</x:v>
      </x:c>
      <x:c r="G1721" s="7" t="n">
        <x:v>1</x:v>
      </x:c>
      <x:c r="H1721" s="7" t="str"/>
      <x:c r="I1721" s="7" t="str"/>
      <x:c r="J1721" s="7" t="str">
        <x:f>IF(OR(H1721="",I1721=""),"",I1721-H1721)</x:f>
      </x:c>
      <x:c r="K1721" s="7" t="str"/>
      <x:c r="L1721" s="7" t="str"/>
      <x:c r="M1721" s="7" t="str"/>
      <x:c r="N1721" s="7" t="str">
        <x:f>IF(M1721="","OPEN",IF(OR(NOT(ISNUMBER(H1721)),NOT(ISNUMBER(I1721)),K1721="",L1721=""),"FAIL","PASS"))</x:f>
        <x:v>OPEN</x:v>
      </x:c>
    </x:row>
    <x:row r="1722">
      <x:c r="B1722" s="7" t="str">
        <x:v>TRO-C-24-S3-O2-R2</x:v>
      </x:c>
      <x:c r="C1722" s="7" t="str">
        <x:v>BLD-C</x:v>
      </x:c>
      <x:c r="D1722" s="7" t="str">
        <x:v>MF-24</x:v>
      </x:c>
      <x:c r="E1722" s="7" t="str">
        <x:v>STD-24-3</x:v>
      </x:c>
      <x:c r="F1722" s="7" t="str">
        <x:v>OP-2</x:v>
      </x:c>
      <x:c r="G1722" s="7" t="n">
        <x:v>2</x:v>
      </x:c>
      <x:c r="H1722" s="7" t="str"/>
      <x:c r="I1722" s="7" t="str"/>
      <x:c r="J1722" s="7" t="str">
        <x:f>IF(OR(H1722="",I1722=""),"",I1722-H1722)</x:f>
      </x:c>
      <x:c r="K1722" s="7" t="str"/>
      <x:c r="L1722" s="7" t="str"/>
      <x:c r="M1722" s="7" t="str"/>
      <x:c r="N1722" s="7" t="str">
        <x:f>IF(M1722="","OPEN",IF(OR(NOT(ISNUMBER(H1722)),NOT(ISNUMBER(I1722)),K1722="",L1722=""),"FAIL","PASS"))</x:f>
        <x:v>OPEN</x:v>
      </x:c>
    </x:row>
    <x:row r="1723">
      <x:c r="B1723" s="7" t="str">
        <x:v>TRO-C-24-S4-O1-R1</x:v>
      </x:c>
      <x:c r="C1723" s="7" t="str">
        <x:v>BLD-C</x:v>
      </x:c>
      <x:c r="D1723" s="7" t="str">
        <x:v>MF-24</x:v>
      </x:c>
      <x:c r="E1723" s="7" t="str">
        <x:v>STD-24-4</x:v>
      </x:c>
      <x:c r="F1723" s="7" t="str">
        <x:v>OP-1</x:v>
      </x:c>
      <x:c r="G1723" s="7" t="n">
        <x:v>1</x:v>
      </x:c>
      <x:c r="H1723" s="7" t="str"/>
      <x:c r="I1723" s="7" t="str"/>
      <x:c r="J1723" s="7" t="str">
        <x:f>IF(OR(H1723="",I1723=""),"",I1723-H1723)</x:f>
      </x:c>
      <x:c r="K1723" s="7" t="str"/>
      <x:c r="L1723" s="7" t="str"/>
      <x:c r="M1723" s="7" t="str"/>
      <x:c r="N1723" s="7" t="str">
        <x:f>IF(M1723="","OPEN",IF(OR(NOT(ISNUMBER(H1723)),NOT(ISNUMBER(I1723)),K1723="",L1723=""),"FAIL","PASS"))</x:f>
        <x:v>OPEN</x:v>
      </x:c>
    </x:row>
    <x:row r="1724">
      <x:c r="B1724" s="7" t="str">
        <x:v>TRO-C-24-S4-O1-R2</x:v>
      </x:c>
      <x:c r="C1724" s="7" t="str">
        <x:v>BLD-C</x:v>
      </x:c>
      <x:c r="D1724" s="7" t="str">
        <x:v>MF-24</x:v>
      </x:c>
      <x:c r="E1724" s="7" t="str">
        <x:v>STD-24-4</x:v>
      </x:c>
      <x:c r="F1724" s="7" t="str">
        <x:v>OP-1</x:v>
      </x:c>
      <x:c r="G1724" s="7" t="n">
        <x:v>2</x:v>
      </x:c>
      <x:c r="H1724" s="7" t="str"/>
      <x:c r="I1724" s="7" t="str"/>
      <x:c r="J1724" s="7" t="str">
        <x:f>IF(OR(H1724="",I1724=""),"",I1724-H1724)</x:f>
      </x:c>
      <x:c r="K1724" s="7" t="str"/>
      <x:c r="L1724" s="7" t="str"/>
      <x:c r="M1724" s="7" t="str"/>
      <x:c r="N1724" s="7" t="str">
        <x:f>IF(M1724="","OPEN",IF(OR(NOT(ISNUMBER(H1724)),NOT(ISNUMBER(I1724)),K1724="",L1724=""),"FAIL","PASS"))</x:f>
        <x:v>OPEN</x:v>
      </x:c>
    </x:row>
    <x:row r="1725">
      <x:c r="B1725" s="7" t="str">
        <x:v>TRO-C-24-S4-O2-R1</x:v>
      </x:c>
      <x:c r="C1725" s="7" t="str">
        <x:v>BLD-C</x:v>
      </x:c>
      <x:c r="D1725" s="7" t="str">
        <x:v>MF-24</x:v>
      </x:c>
      <x:c r="E1725" s="7" t="str">
        <x:v>STD-24-4</x:v>
      </x:c>
      <x:c r="F1725" s="7" t="str">
        <x:v>OP-2</x:v>
      </x:c>
      <x:c r="G1725" s="7" t="n">
        <x:v>1</x:v>
      </x:c>
      <x:c r="H1725" s="7" t="str"/>
      <x:c r="I1725" s="7" t="str"/>
      <x:c r="J1725" s="7" t="str">
        <x:f>IF(OR(H1725="",I1725=""),"",I1725-H1725)</x:f>
      </x:c>
      <x:c r="K1725" s="7" t="str"/>
      <x:c r="L1725" s="7" t="str"/>
      <x:c r="M1725" s="7" t="str"/>
      <x:c r="N1725" s="7" t="str">
        <x:f>IF(M1725="","OPEN",IF(OR(NOT(ISNUMBER(H1725)),NOT(ISNUMBER(I1725)),K1725="",L1725=""),"FAIL","PASS"))</x:f>
        <x:v>OPEN</x:v>
      </x:c>
    </x:row>
    <x:row r="1726">
      <x:c r="B1726" s="7" t="str">
        <x:v>TRO-C-24-S4-O2-R2</x:v>
      </x:c>
      <x:c r="C1726" s="7" t="str">
        <x:v>BLD-C</x:v>
      </x:c>
      <x:c r="D1726" s="7" t="str">
        <x:v>MF-24</x:v>
      </x:c>
      <x:c r="E1726" s="7" t="str">
        <x:v>STD-24-4</x:v>
      </x:c>
      <x:c r="F1726" s="7" t="str">
        <x:v>OP-2</x:v>
      </x:c>
      <x:c r="G1726" s="7" t="n">
        <x:v>2</x:v>
      </x:c>
      <x:c r="H1726" s="7" t="str"/>
      <x:c r="I1726" s="7" t="str"/>
      <x:c r="J1726" s="7" t="str">
        <x:f>IF(OR(H1726="",I1726=""),"",I1726-H1726)</x:f>
      </x:c>
      <x:c r="K1726" s="7" t="str"/>
      <x:c r="L1726" s="7" t="str"/>
      <x:c r="M1726" s="7" t="str"/>
      <x:c r="N1726" s="7" t="str">
        <x:f>IF(M1726="","OPEN",IF(OR(NOT(ISNUMBER(H1726)),NOT(ISNUMBER(I1726)),K1726="",L1726=""),"FAIL","PASS"))</x:f>
        <x:v>OPEN</x:v>
      </x:c>
    </x:row>
    <x:row r="1727">
      <x:c r="B1727" s="7" t="str">
        <x:v>TRO-C-24-S5-O1-R1</x:v>
      </x:c>
      <x:c r="C1727" s="7" t="str">
        <x:v>BLD-C</x:v>
      </x:c>
      <x:c r="D1727" s="7" t="str">
        <x:v>MF-24</x:v>
      </x:c>
      <x:c r="E1727" s="7" t="str">
        <x:v>STD-24-5</x:v>
      </x:c>
      <x:c r="F1727" s="7" t="str">
        <x:v>OP-1</x:v>
      </x:c>
      <x:c r="G1727" s="7" t="n">
        <x:v>1</x:v>
      </x:c>
      <x:c r="H1727" s="7" t="str"/>
      <x:c r="I1727" s="7" t="str"/>
      <x:c r="J1727" s="7" t="str">
        <x:f>IF(OR(H1727="",I1727=""),"",I1727-H1727)</x:f>
      </x:c>
      <x:c r="K1727" s="7" t="str"/>
      <x:c r="L1727" s="7" t="str"/>
      <x:c r="M1727" s="7" t="str"/>
      <x:c r="N1727" s="7" t="str">
        <x:f>IF(M1727="","OPEN",IF(OR(NOT(ISNUMBER(H1727)),NOT(ISNUMBER(I1727)),K1727="",L1727=""),"FAIL","PASS"))</x:f>
        <x:v>OPEN</x:v>
      </x:c>
    </x:row>
    <x:row r="1728">
      <x:c r="B1728" s="7" t="str">
        <x:v>TRO-C-24-S5-O1-R2</x:v>
      </x:c>
      <x:c r="C1728" s="7" t="str">
        <x:v>BLD-C</x:v>
      </x:c>
      <x:c r="D1728" s="7" t="str">
        <x:v>MF-24</x:v>
      </x:c>
      <x:c r="E1728" s="7" t="str">
        <x:v>STD-24-5</x:v>
      </x:c>
      <x:c r="F1728" s="7" t="str">
        <x:v>OP-1</x:v>
      </x:c>
      <x:c r="G1728" s="7" t="n">
        <x:v>2</x:v>
      </x:c>
      <x:c r="H1728" s="7" t="str"/>
      <x:c r="I1728" s="7" t="str"/>
      <x:c r="J1728" s="7" t="str">
        <x:f>IF(OR(H1728="",I1728=""),"",I1728-H1728)</x:f>
      </x:c>
      <x:c r="K1728" s="7" t="str"/>
      <x:c r="L1728" s="7" t="str"/>
      <x:c r="M1728" s="7" t="str"/>
      <x:c r="N1728" s="7" t="str">
        <x:f>IF(M1728="","OPEN",IF(OR(NOT(ISNUMBER(H1728)),NOT(ISNUMBER(I1728)),K1728="",L1728=""),"FAIL","PASS"))</x:f>
        <x:v>OPEN</x:v>
      </x:c>
    </x:row>
    <x:row r="1729">
      <x:c r="B1729" s="7" t="str">
        <x:v>TRO-C-24-S5-O2-R1</x:v>
      </x:c>
      <x:c r="C1729" s="7" t="str">
        <x:v>BLD-C</x:v>
      </x:c>
      <x:c r="D1729" s="7" t="str">
        <x:v>MF-24</x:v>
      </x:c>
      <x:c r="E1729" s="7" t="str">
        <x:v>STD-24-5</x:v>
      </x:c>
      <x:c r="F1729" s="7" t="str">
        <x:v>OP-2</x:v>
      </x:c>
      <x:c r="G1729" s="7" t="n">
        <x:v>1</x:v>
      </x:c>
      <x:c r="H1729" s="7" t="str"/>
      <x:c r="I1729" s="7" t="str"/>
      <x:c r="J1729" s="7" t="str">
        <x:f>IF(OR(H1729="",I1729=""),"",I1729-H1729)</x:f>
      </x:c>
      <x:c r="K1729" s="7" t="str"/>
      <x:c r="L1729" s="7" t="str"/>
      <x:c r="M1729" s="7" t="str"/>
      <x:c r="N1729" s="7" t="str">
        <x:f>IF(M1729="","OPEN",IF(OR(NOT(ISNUMBER(H1729)),NOT(ISNUMBER(I1729)),K1729="",L1729=""),"FAIL","PASS"))</x:f>
        <x:v>OPEN</x:v>
      </x:c>
    </x:row>
    <x:row r="1730">
      <x:c r="B1730" s="7" t="str">
        <x:v>TRO-C-24-S5-O2-R2</x:v>
      </x:c>
      <x:c r="C1730" s="7" t="str">
        <x:v>BLD-C</x:v>
      </x:c>
      <x:c r="D1730" s="7" t="str">
        <x:v>MF-24</x:v>
      </x:c>
      <x:c r="E1730" s="7" t="str">
        <x:v>STD-24-5</x:v>
      </x:c>
      <x:c r="F1730" s="7" t="str">
        <x:v>OP-2</x:v>
      </x:c>
      <x:c r="G1730" s="7" t="n">
        <x:v>2</x:v>
      </x:c>
      <x:c r="H1730" s="7" t="str"/>
      <x:c r="I1730" s="7" t="str"/>
      <x:c r="J1730" s="7" t="str">
        <x:f>IF(OR(H1730="",I1730=""),"",I1730-H1730)</x:f>
      </x:c>
      <x:c r="K1730" s="7" t="str"/>
      <x:c r="L1730" s="7" t="str"/>
      <x:c r="M1730" s="7" t="str"/>
      <x:c r="N1730" s="7" t="str">
        <x:f>IF(M1730="","OPEN",IF(OR(NOT(ISNUMBER(H1730)),NOT(ISNUMBER(I1730)),K1730="",L1730=""),"FAIL","PASS"))</x:f>
        <x:v>OPEN</x:v>
      </x:c>
    </x:row>
    <x:row r="1731">
      <x:c r="B1731" s="7" t="str">
        <x:v>TRO-C-24-S6-O1-R1</x:v>
      </x:c>
      <x:c r="C1731" s="7" t="str">
        <x:v>BLD-C</x:v>
      </x:c>
      <x:c r="D1731" s="7" t="str">
        <x:v>MF-24</x:v>
      </x:c>
      <x:c r="E1731" s="7" t="str">
        <x:v>STD-24-6</x:v>
      </x:c>
      <x:c r="F1731" s="7" t="str">
        <x:v>OP-1</x:v>
      </x:c>
      <x:c r="G1731" s="7" t="n">
        <x:v>1</x:v>
      </x:c>
      <x:c r="H1731" s="7" t="str"/>
      <x:c r="I1731" s="7" t="str"/>
      <x:c r="J1731" s="7" t="str">
        <x:f>IF(OR(H1731="",I1731=""),"",I1731-H1731)</x:f>
      </x:c>
      <x:c r="K1731" s="7" t="str"/>
      <x:c r="L1731" s="7" t="str"/>
      <x:c r="M1731" s="7" t="str"/>
      <x:c r="N1731" s="7" t="str">
        <x:f>IF(M1731="","OPEN",IF(OR(NOT(ISNUMBER(H1731)),NOT(ISNUMBER(I1731)),K1731="",L1731=""),"FAIL","PASS"))</x:f>
        <x:v>OPEN</x:v>
      </x:c>
    </x:row>
    <x:row r="1732">
      <x:c r="B1732" s="7" t="str">
        <x:v>TRO-C-24-S6-O1-R2</x:v>
      </x:c>
      <x:c r="C1732" s="7" t="str">
        <x:v>BLD-C</x:v>
      </x:c>
      <x:c r="D1732" s="7" t="str">
        <x:v>MF-24</x:v>
      </x:c>
      <x:c r="E1732" s="7" t="str">
        <x:v>STD-24-6</x:v>
      </x:c>
      <x:c r="F1732" s="7" t="str">
        <x:v>OP-1</x:v>
      </x:c>
      <x:c r="G1732" s="7" t="n">
        <x:v>2</x:v>
      </x:c>
      <x:c r="H1732" s="7" t="str"/>
      <x:c r="I1732" s="7" t="str"/>
      <x:c r="J1732" s="7" t="str">
        <x:f>IF(OR(H1732="",I1732=""),"",I1732-H1732)</x:f>
      </x:c>
      <x:c r="K1732" s="7" t="str"/>
      <x:c r="L1732" s="7" t="str"/>
      <x:c r="M1732" s="7" t="str"/>
      <x:c r="N1732" s="7" t="str">
        <x:f>IF(M1732="","OPEN",IF(OR(NOT(ISNUMBER(H1732)),NOT(ISNUMBER(I1732)),K1732="",L1732=""),"FAIL","PASS"))</x:f>
        <x:v>OPEN</x:v>
      </x:c>
    </x:row>
    <x:row r="1733">
      <x:c r="B1733" s="7" t="str">
        <x:v>TRO-C-24-S6-O2-R1</x:v>
      </x:c>
      <x:c r="C1733" s="7" t="str">
        <x:v>BLD-C</x:v>
      </x:c>
      <x:c r="D1733" s="7" t="str">
        <x:v>MF-24</x:v>
      </x:c>
      <x:c r="E1733" s="7" t="str">
        <x:v>STD-24-6</x:v>
      </x:c>
      <x:c r="F1733" s="7" t="str">
        <x:v>OP-2</x:v>
      </x:c>
      <x:c r="G1733" s="7" t="n">
        <x:v>1</x:v>
      </x:c>
      <x:c r="H1733" s="7" t="str"/>
      <x:c r="I1733" s="7" t="str"/>
      <x:c r="J1733" s="7" t="str">
        <x:f>IF(OR(H1733="",I1733=""),"",I1733-H1733)</x:f>
      </x:c>
      <x:c r="K1733" s="7" t="str"/>
      <x:c r="L1733" s="7" t="str"/>
      <x:c r="M1733" s="7" t="str"/>
      <x:c r="N1733" s="7" t="str">
        <x:f>IF(M1733="","OPEN",IF(OR(NOT(ISNUMBER(H1733)),NOT(ISNUMBER(I1733)),K1733="",L1733=""),"FAIL","PASS"))</x:f>
        <x:v>OPEN</x:v>
      </x:c>
    </x:row>
    <x:row r="1734">
      <x:c r="B1734" s="7" t="str">
        <x:v>TRO-C-24-S6-O2-R2</x:v>
      </x:c>
      <x:c r="C1734" s="7" t="str">
        <x:v>BLD-C</x:v>
      </x:c>
      <x:c r="D1734" s="7" t="str">
        <x:v>MF-24</x:v>
      </x:c>
      <x:c r="E1734" s="7" t="str">
        <x:v>STD-24-6</x:v>
      </x:c>
      <x:c r="F1734" s="7" t="str">
        <x:v>OP-2</x:v>
      </x:c>
      <x:c r="G1734" s="7" t="n">
        <x:v>2</x:v>
      </x:c>
      <x:c r="H1734" s="7" t="str"/>
      <x:c r="I1734" s="7" t="str"/>
      <x:c r="J1734" s="7" t="str">
        <x:f>IF(OR(H1734="",I1734=""),"",I1734-H1734)</x:f>
      </x:c>
      <x:c r="K1734" s="7" t="str"/>
      <x:c r="L1734" s="7" t="str"/>
      <x:c r="M1734" s="7" t="str"/>
      <x:c r="N1734" s="7" t="str">
        <x:f>IF(M1734="","OPEN",IF(OR(NOT(ISNUMBER(H1734)),NOT(ISNUMBER(I1734)),K1734="",L1734=""),"FAIL","PASS"))</x:f>
        <x:v>OPEN</x:v>
      </x:c>
    </x:row>
  </x:sheetData>
  <x:conditionalFormatting sqref="N7:N1734">
    <x:cfRule type="containsText" dxfId="48" priority="1" operator="containsText" text="FAIL"/>
    <x:cfRule type="containsText" dxfId="49" priority="2" operator="containsText" text="BLOCKED"/>
    <x:cfRule type="containsText" dxfId="50" priority="3" operator="containsText" text="OPEN"/>
    <x:cfRule type="containsText" dxfId="51" priority="4" operator="containsText" text="DORMANT"/>
    <x:cfRule type="containsText" dxfId="52" priority="5" operator="containsText" text="REVIEW"/>
    <x:cfRule type="containsText" dxfId="53" priority="6" operator="containsText" text="PASS"/>
  </x:conditionalFormatting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22" hidden="0" customWidth="1"/>
    <x:col min="3" max="3" width="17" hidden="0" customWidth="1"/>
    <x:col min="4" max="4" width="14" hidden="0" customWidth="1"/>
    <x:col min="5" max="5" width="13" hidden="0" customWidth="1"/>
    <x:col min="6" max="6" width="13" hidden="0" customWidth="1"/>
    <x:col min="7" max="7" width="16" hidden="0" customWidth="1"/>
    <x:col min="8" max="8" width="15" hidden="0" customWidth="1"/>
    <x:col min="9" max="9" width="21" hidden="0" customWidth="1"/>
    <x:col min="10" max="10" width="21" hidden="0" customWidth="1"/>
    <x:col min="11" max="11" width="31" hidden="0" customWidth="1"/>
    <x:col min="12" max="12" width="14" hidden="0" customWidth="1"/>
  </x:cols>
  <x:sheetData>
    <x:row r="2">
      <x:c r="B2" s="1" t="str">
        <x:v>Eighteen committed build slots</x:v>
      </x:c>
    </x:row>
    <x:row r="3">
      <x:c r="B3" s="2" t="str">
        <x:v>Sequence is frozen before fabrication. Start, completion and route identity remain physical records.</x:v>
      </x:c>
    </x:row>
    <x:row r="6" ht="24" customHeight="1">
      <x:c r="B6" s="6" t="str">
        <x:v>Slot</x:v>
      </x:c>
      <x:c r="C6" s="6" t="str">
        <x:v>Article</x:v>
      </x:c>
      <x:c r="D6" s="6" t="str">
        <x:v>Builder</x:v>
      </x:c>
      <x:c r="E6" s="6" t="str">
        <x:v>Lineage</x:v>
      </x:c>
      <x:c r="F6" s="6" t="str">
        <x:v>Sequence</x:v>
      </x:c>
      <x:c r="G6" s="6" t="str">
        <x:v>Start month</x:v>
      </x:c>
      <x:c r="H6" s="6" t="str">
        <x:v>End month</x:v>
      </x:c>
      <x:c r="I6" s="6" t="str">
        <x:v>Started UTC</x:v>
      </x:c>
      <x:c r="J6" s="6" t="str">
        <x:v>Completed UTC</x:v>
      </x:c>
      <x:c r="K6" s="6" t="str">
        <x:v>Route identity</x:v>
      </x:c>
      <x:c r="L6" s="6" t="str">
        <x:v>State</x:v>
      </x:c>
    </x:row>
    <x:row r="7">
      <x:c r="B7" s="7" t="str">
        <x:v>SEQ-PEA-A-X1</x:v>
      </x:c>
      <x:c r="C7" s="7" t="str">
        <x:v>PEA-A-X1</x:v>
      </x:c>
      <x:c r="D7" s="7" t="str">
        <x:v>BLD-A</x:v>
      </x:c>
      <x:c r="E7" s="7" t="str">
        <x:v>BL-X</x:v>
      </x:c>
      <x:c r="F7" s="7" t="n">
        <x:v>1</x:v>
      </x:c>
      <x:c r="G7" s="7" t="n">
        <x:v>7</x:v>
      </x:c>
      <x:c r="H7" s="7" t="n">
        <x:v>8</x:v>
      </x:c>
      <x:c r="I7" s="7" t="str"/>
      <x:c r="J7" s="7" t="str"/>
      <x:c r="K7" s="7" t="str"/>
      <x:c r="L7" s="7" t="str">
        <x:f>IF(J7="","OPEN",IF(OR(I7="",K7=""),"FAIL","PASS"))</x:f>
        <x:v>OPEN</x:v>
      </x:c>
    </x:row>
    <x:row r="8">
      <x:c r="B8" s="7" t="str">
        <x:v>SEQ-PEA-A-X2</x:v>
      </x:c>
      <x:c r="C8" s="7" t="str">
        <x:v>PEA-A-X2</x:v>
      </x:c>
      <x:c r="D8" s="7" t="str">
        <x:v>BLD-A</x:v>
      </x:c>
      <x:c r="E8" s="7" t="str">
        <x:v>BL-X</x:v>
      </x:c>
      <x:c r="F8" s="7" t="n">
        <x:v>4</x:v>
      </x:c>
      <x:c r="G8" s="7" t="n">
        <x:v>10</x:v>
      </x:c>
      <x:c r="H8" s="7" t="n">
        <x:v>11</x:v>
      </x:c>
      <x:c r="I8" s="7" t="str"/>
      <x:c r="J8" s="7" t="str"/>
      <x:c r="K8" s="7" t="str"/>
      <x:c r="L8" s="7" t="str">
        <x:f>IF(J8="","OPEN",IF(OR(I8="",K8=""),"FAIL","PASS"))</x:f>
        <x:v>OPEN</x:v>
      </x:c>
    </x:row>
    <x:row r="9">
      <x:c r="B9" s="7" t="str">
        <x:v>SEQ-PEA-A-X3</x:v>
      </x:c>
      <x:c r="C9" s="7" t="str">
        <x:v>PEA-A-X3</x:v>
      </x:c>
      <x:c r="D9" s="7" t="str">
        <x:v>BLD-A</x:v>
      </x:c>
      <x:c r="E9" s="7" t="str">
        <x:v>BL-X</x:v>
      </x:c>
      <x:c r="F9" s="7" t="n">
        <x:v>5</x:v>
      </x:c>
      <x:c r="G9" s="7" t="n">
        <x:v>11</x:v>
      </x:c>
      <x:c r="H9" s="7" t="n">
        <x:v>12</x:v>
      </x:c>
      <x:c r="I9" s="7" t="str"/>
      <x:c r="J9" s="7" t="str"/>
      <x:c r="K9" s="7" t="str"/>
      <x:c r="L9" s="7" t="str">
        <x:f>IF(J9="","OPEN",IF(OR(I9="",K9=""),"FAIL","PASS"))</x:f>
        <x:v>OPEN</x:v>
      </x:c>
    </x:row>
    <x:row r="10">
      <x:c r="B10" s="7" t="str">
        <x:v>SEQ-PEA-A-Y1</x:v>
      </x:c>
      <x:c r="C10" s="7" t="str">
        <x:v>PEA-A-Y1</x:v>
      </x:c>
      <x:c r="D10" s="7" t="str">
        <x:v>BLD-A</x:v>
      </x:c>
      <x:c r="E10" s="7" t="str">
        <x:v>BL-Y</x:v>
      </x:c>
      <x:c r="F10" s="7" t="n">
        <x:v>2</x:v>
      </x:c>
      <x:c r="G10" s="7" t="n">
        <x:v>8</x:v>
      </x:c>
      <x:c r="H10" s="7" t="n">
        <x:v>9</x:v>
      </x:c>
      <x:c r="I10" s="7" t="str"/>
      <x:c r="J10" s="7" t="str"/>
      <x:c r="K10" s="7" t="str"/>
      <x:c r="L10" s="7" t="str">
        <x:f>IF(J10="","OPEN",IF(OR(I10="",K10=""),"FAIL","PASS"))</x:f>
        <x:v>OPEN</x:v>
      </x:c>
    </x:row>
    <x:row r="11">
      <x:c r="B11" s="7" t="str">
        <x:v>SEQ-PEA-A-Y2</x:v>
      </x:c>
      <x:c r="C11" s="7" t="str">
        <x:v>PEA-A-Y2</x:v>
      </x:c>
      <x:c r="D11" s="7" t="str">
        <x:v>BLD-A</x:v>
      </x:c>
      <x:c r="E11" s="7" t="str">
        <x:v>BL-Y</x:v>
      </x:c>
      <x:c r="F11" s="7" t="n">
        <x:v>3</x:v>
      </x:c>
      <x:c r="G11" s="7" t="n">
        <x:v>9</x:v>
      </x:c>
      <x:c r="H11" s="7" t="n">
        <x:v>10</x:v>
      </x:c>
      <x:c r="I11" s="7" t="str"/>
      <x:c r="J11" s="7" t="str"/>
      <x:c r="K11" s="7" t="str"/>
      <x:c r="L11" s="7" t="str">
        <x:f>IF(J11="","OPEN",IF(OR(I11="",K11=""),"FAIL","PASS"))</x:f>
        <x:v>OPEN</x:v>
      </x:c>
    </x:row>
    <x:row r="12">
      <x:c r="B12" s="7" t="str">
        <x:v>SEQ-PEA-A-Y3</x:v>
      </x:c>
      <x:c r="C12" s="7" t="str">
        <x:v>PEA-A-Y3</x:v>
      </x:c>
      <x:c r="D12" s="7" t="str">
        <x:v>BLD-A</x:v>
      </x:c>
      <x:c r="E12" s="7" t="str">
        <x:v>BL-Y</x:v>
      </x:c>
      <x:c r="F12" s="7" t="n">
        <x:v>6</x:v>
      </x:c>
      <x:c r="G12" s="7" t="n">
        <x:v>12</x:v>
      </x:c>
      <x:c r="H12" s="7" t="n">
        <x:v>13</x:v>
      </x:c>
      <x:c r="I12" s="7" t="str"/>
      <x:c r="J12" s="7" t="str"/>
      <x:c r="K12" s="7" t="str"/>
      <x:c r="L12" s="7" t="str">
        <x:f>IF(J12="","OPEN",IF(OR(I12="",K12=""),"FAIL","PASS"))</x:f>
        <x:v>OPEN</x:v>
      </x:c>
    </x:row>
    <x:row r="13">
      <x:c r="B13" s="7" t="str">
        <x:v>SEQ-PEA-B-X1</x:v>
      </x:c>
      <x:c r="C13" s="7" t="str">
        <x:v>PEA-B-X1</x:v>
      </x:c>
      <x:c r="D13" s="7" t="str">
        <x:v>BLD-B</x:v>
      </x:c>
      <x:c r="E13" s="7" t="str">
        <x:v>BL-X</x:v>
      </x:c>
      <x:c r="F13" s="7" t="n">
        <x:v>2</x:v>
      </x:c>
      <x:c r="G13" s="7" t="n">
        <x:v>8</x:v>
      </x:c>
      <x:c r="H13" s="7" t="n">
        <x:v>9</x:v>
      </x:c>
      <x:c r="I13" s="7" t="str"/>
      <x:c r="J13" s="7" t="str"/>
      <x:c r="K13" s="7" t="str"/>
      <x:c r="L13" s="7" t="str">
        <x:f>IF(J13="","OPEN",IF(OR(I13="",K13=""),"FAIL","PASS"))</x:f>
        <x:v>OPEN</x:v>
      </x:c>
    </x:row>
    <x:row r="14">
      <x:c r="B14" s="7" t="str">
        <x:v>SEQ-PEA-B-X2</x:v>
      </x:c>
      <x:c r="C14" s="7" t="str">
        <x:v>PEA-B-X2</x:v>
      </x:c>
      <x:c r="D14" s="7" t="str">
        <x:v>BLD-B</x:v>
      </x:c>
      <x:c r="E14" s="7" t="str">
        <x:v>BL-X</x:v>
      </x:c>
      <x:c r="F14" s="7" t="n">
        <x:v>3</x:v>
      </x:c>
      <x:c r="G14" s="7" t="n">
        <x:v>9</x:v>
      </x:c>
      <x:c r="H14" s="7" t="n">
        <x:v>10</x:v>
      </x:c>
      <x:c r="I14" s="7" t="str"/>
      <x:c r="J14" s="7" t="str"/>
      <x:c r="K14" s="7" t="str"/>
      <x:c r="L14" s="7" t="str">
        <x:f>IF(J14="","OPEN",IF(OR(I14="",K14=""),"FAIL","PASS"))</x:f>
        <x:v>OPEN</x:v>
      </x:c>
    </x:row>
    <x:row r="15">
      <x:c r="B15" s="7" t="str">
        <x:v>SEQ-PEA-B-X3</x:v>
      </x:c>
      <x:c r="C15" s="7" t="str">
        <x:v>PEA-B-X3</x:v>
      </x:c>
      <x:c r="D15" s="7" t="str">
        <x:v>BLD-B</x:v>
      </x:c>
      <x:c r="E15" s="7" t="str">
        <x:v>BL-X</x:v>
      </x:c>
      <x:c r="F15" s="7" t="n">
        <x:v>6</x:v>
      </x:c>
      <x:c r="G15" s="7" t="n">
        <x:v>12</x:v>
      </x:c>
      <x:c r="H15" s="7" t="n">
        <x:v>13</x:v>
      </x:c>
      <x:c r="I15" s="7" t="str"/>
      <x:c r="J15" s="7" t="str"/>
      <x:c r="K15" s="7" t="str"/>
      <x:c r="L15" s="7" t="str">
        <x:f>IF(J15="","OPEN",IF(OR(I15="",K15=""),"FAIL","PASS"))</x:f>
        <x:v>OPEN</x:v>
      </x:c>
    </x:row>
    <x:row r="16">
      <x:c r="B16" s="7" t="str">
        <x:v>SEQ-PEA-B-Y1</x:v>
      </x:c>
      <x:c r="C16" s="7" t="str">
        <x:v>PEA-B-Y1</x:v>
      </x:c>
      <x:c r="D16" s="7" t="str">
        <x:v>BLD-B</x:v>
      </x:c>
      <x:c r="E16" s="7" t="str">
        <x:v>BL-Y</x:v>
      </x:c>
      <x:c r="F16" s="7" t="n">
        <x:v>1</x:v>
      </x:c>
      <x:c r="G16" s="7" t="n">
        <x:v>7</x:v>
      </x:c>
      <x:c r="H16" s="7" t="n">
        <x:v>8</x:v>
      </x:c>
      <x:c r="I16" s="7" t="str"/>
      <x:c r="J16" s="7" t="str"/>
      <x:c r="K16" s="7" t="str"/>
      <x:c r="L16" s="7" t="str">
        <x:f>IF(J16="","OPEN",IF(OR(I16="",K16=""),"FAIL","PASS"))</x:f>
        <x:v>OPEN</x:v>
      </x:c>
    </x:row>
    <x:row r="17">
      <x:c r="B17" s="7" t="str">
        <x:v>SEQ-PEA-B-Y2</x:v>
      </x:c>
      <x:c r="C17" s="7" t="str">
        <x:v>PEA-B-Y2</x:v>
      </x:c>
      <x:c r="D17" s="7" t="str">
        <x:v>BLD-B</x:v>
      </x:c>
      <x:c r="E17" s="7" t="str">
        <x:v>BL-Y</x:v>
      </x:c>
      <x:c r="F17" s="7" t="n">
        <x:v>4</x:v>
      </x:c>
      <x:c r="G17" s="7" t="n">
        <x:v>10</x:v>
      </x:c>
      <x:c r="H17" s="7" t="n">
        <x:v>11</x:v>
      </x:c>
      <x:c r="I17" s="7" t="str"/>
      <x:c r="J17" s="7" t="str"/>
      <x:c r="K17" s="7" t="str"/>
      <x:c r="L17" s="7" t="str">
        <x:f>IF(J17="","OPEN",IF(OR(I17="",K17=""),"FAIL","PASS"))</x:f>
        <x:v>OPEN</x:v>
      </x:c>
    </x:row>
    <x:row r="18">
      <x:c r="B18" s="7" t="str">
        <x:v>SEQ-PEA-B-Y3</x:v>
      </x:c>
      <x:c r="C18" s="7" t="str">
        <x:v>PEA-B-Y3</x:v>
      </x:c>
      <x:c r="D18" s="7" t="str">
        <x:v>BLD-B</x:v>
      </x:c>
      <x:c r="E18" s="7" t="str">
        <x:v>BL-Y</x:v>
      </x:c>
      <x:c r="F18" s="7" t="n">
        <x:v>5</x:v>
      </x:c>
      <x:c r="G18" s="7" t="n">
        <x:v>11</x:v>
      </x:c>
      <x:c r="H18" s="7" t="n">
        <x:v>12</x:v>
      </x:c>
      <x:c r="I18" s="7" t="str"/>
      <x:c r="J18" s="7" t="str"/>
      <x:c r="K18" s="7" t="str"/>
      <x:c r="L18" s="7" t="str">
        <x:f>IF(J18="","OPEN",IF(OR(I18="",K18=""),"FAIL","PASS"))</x:f>
        <x:v>OPEN</x:v>
      </x:c>
    </x:row>
    <x:row r="19">
      <x:c r="B19" s="7" t="str">
        <x:v>SEQ-PEA-C-X1</x:v>
      </x:c>
      <x:c r="C19" s="7" t="str">
        <x:v>PEA-C-X1</x:v>
      </x:c>
      <x:c r="D19" s="7" t="str">
        <x:v>BLD-C</x:v>
      </x:c>
      <x:c r="E19" s="7" t="str">
        <x:v>BL-X</x:v>
      </x:c>
      <x:c r="F19" s="7" t="n">
        <x:v>5</x:v>
      </x:c>
      <x:c r="G19" s="7" t="n">
        <x:v>11</x:v>
      </x:c>
      <x:c r="H19" s="7" t="n">
        <x:v>12</x:v>
      </x:c>
      <x:c r="I19" s="7" t="str"/>
      <x:c r="J19" s="7" t="str"/>
      <x:c r="K19" s="7" t="str"/>
      <x:c r="L19" s="7" t="str">
        <x:f>IF(J19="","OPEN",IF(OR(I19="",K19=""),"FAIL","PASS"))</x:f>
        <x:v>OPEN</x:v>
      </x:c>
    </x:row>
    <x:row r="20">
      <x:c r="B20" s="7" t="str">
        <x:v>SEQ-PEA-C-X2</x:v>
      </x:c>
      <x:c r="C20" s="7" t="str">
        <x:v>PEA-C-X2</x:v>
      </x:c>
      <x:c r="D20" s="7" t="str">
        <x:v>BLD-C</x:v>
      </x:c>
      <x:c r="E20" s="7" t="str">
        <x:v>BL-X</x:v>
      </x:c>
      <x:c r="F20" s="7" t="n">
        <x:v>1</x:v>
      </x:c>
      <x:c r="G20" s="7" t="n">
        <x:v>7</x:v>
      </x:c>
      <x:c r="H20" s="7" t="n">
        <x:v>8</x:v>
      </x:c>
      <x:c r="I20" s="7" t="str"/>
      <x:c r="J20" s="7" t="str"/>
      <x:c r="K20" s="7" t="str"/>
      <x:c r="L20" s="7" t="str">
        <x:f>IF(J20="","OPEN",IF(OR(I20="",K20=""),"FAIL","PASS"))</x:f>
        <x:v>OPEN</x:v>
      </x:c>
    </x:row>
    <x:row r="21">
      <x:c r="B21" s="7" t="str">
        <x:v>SEQ-PEA-C-X3</x:v>
      </x:c>
      <x:c r="C21" s="7" t="str">
        <x:v>PEA-C-X3</x:v>
      </x:c>
      <x:c r="D21" s="7" t="str">
        <x:v>BLD-C</x:v>
      </x:c>
      <x:c r="E21" s="7" t="str">
        <x:v>BL-X</x:v>
      </x:c>
      <x:c r="F21" s="7" t="n">
        <x:v>4</x:v>
      </x:c>
      <x:c r="G21" s="7" t="n">
        <x:v>10</x:v>
      </x:c>
      <x:c r="H21" s="7" t="n">
        <x:v>11</x:v>
      </x:c>
      <x:c r="I21" s="7" t="str"/>
      <x:c r="J21" s="7" t="str"/>
      <x:c r="K21" s="7" t="str"/>
      <x:c r="L21" s="7" t="str">
        <x:f>IF(J21="","OPEN",IF(OR(I21="",K21=""),"FAIL","PASS"))</x:f>
        <x:v>OPEN</x:v>
      </x:c>
    </x:row>
    <x:row r="22">
      <x:c r="B22" s="7" t="str">
        <x:v>SEQ-PEA-C-Y1</x:v>
      </x:c>
      <x:c r="C22" s="7" t="str">
        <x:v>PEA-C-Y1</x:v>
      </x:c>
      <x:c r="D22" s="7" t="str">
        <x:v>BLD-C</x:v>
      </x:c>
      <x:c r="E22" s="7" t="str">
        <x:v>BL-Y</x:v>
      </x:c>
      <x:c r="F22" s="7" t="n">
        <x:v>6</x:v>
      </x:c>
      <x:c r="G22" s="7" t="n">
        <x:v>12</x:v>
      </x:c>
      <x:c r="H22" s="7" t="n">
        <x:v>13</x:v>
      </x:c>
      <x:c r="I22" s="7" t="str"/>
      <x:c r="J22" s="7" t="str"/>
      <x:c r="K22" s="7" t="str"/>
      <x:c r="L22" s="7" t="str">
        <x:f>IF(J22="","OPEN",IF(OR(I22="",K22=""),"FAIL","PASS"))</x:f>
        <x:v>OPEN</x:v>
      </x:c>
    </x:row>
    <x:row r="23">
      <x:c r="B23" s="7" t="str">
        <x:v>SEQ-PEA-C-Y2</x:v>
      </x:c>
      <x:c r="C23" s="7" t="str">
        <x:v>PEA-C-Y2</x:v>
      </x:c>
      <x:c r="D23" s="7" t="str">
        <x:v>BLD-C</x:v>
      </x:c>
      <x:c r="E23" s="7" t="str">
        <x:v>BL-Y</x:v>
      </x:c>
      <x:c r="F23" s="7" t="n">
        <x:v>2</x:v>
      </x:c>
      <x:c r="G23" s="7" t="n">
        <x:v>8</x:v>
      </x:c>
      <x:c r="H23" s="7" t="n">
        <x:v>9</x:v>
      </x:c>
      <x:c r="I23" s="7" t="str"/>
      <x:c r="J23" s="7" t="str"/>
      <x:c r="K23" s="7" t="str"/>
      <x:c r="L23" s="7" t="str">
        <x:f>IF(J23="","OPEN",IF(OR(I23="",K23=""),"FAIL","PASS"))</x:f>
        <x:v>OPEN</x:v>
      </x:c>
    </x:row>
    <x:row r="24">
      <x:c r="B24" s="7" t="str">
        <x:v>SEQ-PEA-C-Y3</x:v>
      </x:c>
      <x:c r="C24" s="7" t="str">
        <x:v>PEA-C-Y3</x:v>
      </x:c>
      <x:c r="D24" s="7" t="str">
        <x:v>BLD-C</x:v>
      </x:c>
      <x:c r="E24" s="7" t="str">
        <x:v>BL-Y</x:v>
      </x:c>
      <x:c r="F24" s="7" t="n">
        <x:v>3</x:v>
      </x:c>
      <x:c r="G24" s="7" t="n">
        <x:v>9</x:v>
      </x:c>
      <x:c r="H24" s="7" t="n">
        <x:v>10</x:v>
      </x:c>
      <x:c r="I24" s="7" t="str"/>
      <x:c r="J24" s="7" t="str"/>
      <x:c r="K24" s="7" t="str"/>
      <x:c r="L24" s="7" t="str">
        <x:f>IF(J24="","OPEN",IF(OR(I24="",K24=""),"FAIL","PASS"))</x:f>
        <x:v>OPEN</x:v>
      </x:c>
    </x:row>
  </x:sheetData>
  <x:conditionalFormatting sqref="L7:L24">
    <x:cfRule type="containsText" dxfId="54" priority="1" operator="containsText" text="FAIL"/>
    <x:cfRule type="containsText" dxfId="55" priority="2" operator="containsText" text="BLOCKED"/>
    <x:cfRule type="containsText" dxfId="56" priority="3" operator="containsText" text="OPEN"/>
    <x:cfRule type="containsText" dxfId="57" priority="4" operator="containsText" text="DORMANT"/>
    <x:cfRule type="containsText" dxfId="58" priority="5" operator="containsText" text="REVIEW"/>
    <x:cfRule type="containsText" dxfId="59" priority="6" operator="containsText" text="PASS"/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27" hidden="0" customWidth="1"/>
    <x:col min="3" max="3" width="17" hidden="0" customWidth="1"/>
    <x:col min="4" max="4" width="14" hidden="0" customWidth="1"/>
    <x:col min="5" max="5" width="13" hidden="0" customWidth="1"/>
    <x:col min="6" max="6" width="14" hidden="0" customWidth="1"/>
    <x:col min="7" max="7" width="31" hidden="0" customWidth="1"/>
    <x:col min="8" max="8" width="32" hidden="0" customWidth="1"/>
    <x:col min="9" max="9" width="22" hidden="0" customWidth="1"/>
    <x:col min="10" max="10" width="34" hidden="0" customWidth="1"/>
    <x:col min="11" max="11" width="21" hidden="0" customWidth="1"/>
    <x:col min="12" max="12" width="14" hidden="0" customWidth="1"/>
  </x:cols>
  <x:sheetData>
    <x:row r="2">
      <x:c r="B2" s="1" t="str">
        <x:v>Three hundred sixty article-section travelers</x:v>
      </x:c>
    </x:row>
    <x:row r="3">
      <x:c r="B3" s="2" t="str">
        <x:v>A released drawing does not populate an as-built identity.</x:v>
      </x:c>
    </x:row>
    <x:row r="6" ht="24" customHeight="1">
      <x:c r="B6" s="6" t="str">
        <x:v>Traveler</x:v>
      </x:c>
      <x:c r="C6" s="6" t="str">
        <x:v>Article</x:v>
      </x:c>
      <x:c r="D6" s="6" t="str">
        <x:v>Builder</x:v>
      </x:c>
      <x:c r="E6" s="6" t="str">
        <x:v>Lineage</x:v>
      </x:c>
      <x:c r="F6" s="6" t="str">
        <x:v>Section</x:v>
      </x:c>
      <x:c r="G6" s="6" t="str">
        <x:v>Section name</x:v>
      </x:c>
      <x:c r="H6" s="6" t="str">
        <x:v>As-built identity</x:v>
      </x:c>
      <x:c r="I6" s="6" t="str">
        <x:v>Operator</x:v>
      </x:c>
      <x:c r="J6" s="6" t="str">
        <x:v>Observed state</x:v>
      </x:c>
      <x:c r="K6" s="6" t="str">
        <x:v>Accepted UTC</x:v>
      </x:c>
      <x:c r="L6" s="6" t="str">
        <x:v>State</x:v>
      </x:c>
    </x:row>
    <x:row r="7">
      <x:c r="B7" s="7" t="str">
        <x:v>TRV-PEA-A-X1-01</x:v>
      </x:c>
      <x:c r="C7" s="7" t="str">
        <x:v>PEA-A-X1</x:v>
      </x:c>
      <x:c r="D7" s="7" t="str">
        <x:v>BLD-A</x:v>
      </x:c>
      <x:c r="E7" s="7" t="str">
        <x:v>BL-X</x:v>
      </x:c>
      <x:c r="F7" s="7" t="str">
        <x:v>CS-01</x:v>
      </x:c>
      <x:c r="G7" s="7" t="str">
        <x:v>public datum</x:v>
      </x:c>
      <x:c r="H7" s="7" t="str"/>
      <x:c r="I7" s="7" t="str"/>
      <x:c r="J7" s="7" t="str"/>
      <x:c r="K7" s="7" t="str"/>
      <x:c r="L7" s="7" t="str">
        <x:f>IF(K7="","OPEN",IF(OR(H7="",I7="",J7=""),"FAIL","PASS"))</x:f>
        <x:v>OPEN</x:v>
      </x:c>
    </x:row>
    <x:row r="8">
      <x:c r="B8" s="7" t="str">
        <x:v>TRV-PEA-A-X1-02</x:v>
      </x:c>
      <x:c r="C8" s="7" t="str">
        <x:v>PEA-A-X1</x:v>
      </x:c>
      <x:c r="D8" s="7" t="str">
        <x:v>BLD-A</x:v>
      </x:c>
      <x:c r="E8" s="7" t="str">
        <x:v>BL-X</x:v>
      </x:c>
      <x:c r="F8" s="7" t="str">
        <x:v>CS-02</x:v>
      </x:c>
      <x:c r="G8" s="7" t="str">
        <x:v>primary frame</x:v>
      </x:c>
      <x:c r="H8" s="7" t="str"/>
      <x:c r="I8" s="7" t="str"/>
      <x:c r="J8" s="7" t="str"/>
      <x:c r="K8" s="7" t="str"/>
      <x:c r="L8" s="7" t="str">
        <x:f>IF(K8="","OPEN",IF(OR(H8="",I8="",J8=""),"FAIL","PASS"))</x:f>
        <x:v>OPEN</x:v>
      </x:c>
    </x:row>
    <x:row r="9">
      <x:c r="B9" s="7" t="str">
        <x:v>TRV-PEA-A-X1-03</x:v>
      </x:c>
      <x:c r="C9" s="7" t="str">
        <x:v>PEA-A-X1</x:v>
      </x:c>
      <x:c r="D9" s="7" t="str">
        <x:v>BLD-A</x:v>
      </x:c>
      <x:c r="E9" s="7" t="str">
        <x:v>BL-X</x:v>
      </x:c>
      <x:c r="F9" s="7" t="str">
        <x:v>CS-03</x:v>
      </x:c>
      <x:c r="G9" s="7" t="str">
        <x:v>source-surrogate vessel</x:v>
      </x:c>
      <x:c r="H9" s="7" t="str"/>
      <x:c r="I9" s="7" t="str"/>
      <x:c r="J9" s="7" t="str"/>
      <x:c r="K9" s="7" t="str"/>
      <x:c r="L9" s="7" t="str">
        <x:f>IF(K9="","OPEN",IF(OR(H9="",I9="",J9=""),"FAIL","PASS"))</x:f>
        <x:v>OPEN</x:v>
      </x:c>
    </x:row>
    <x:row r="10">
      <x:c r="B10" s="7" t="str">
        <x:v>TRV-PEA-A-X1-04</x:v>
      </x:c>
      <x:c r="C10" s="7" t="str">
        <x:v>PEA-A-X1</x:v>
      </x:c>
      <x:c r="D10" s="7" t="str">
        <x:v>BLD-A</x:v>
      </x:c>
      <x:c r="E10" s="7" t="str">
        <x:v>BL-X</x:v>
      </x:c>
      <x:c r="F10" s="7" t="str">
        <x:v>CS-04</x:v>
      </x:c>
      <x:c r="G10" s="7" t="str">
        <x:v>capsule dock</x:v>
      </x:c>
      <x:c r="H10" s="7" t="str"/>
      <x:c r="I10" s="7" t="str"/>
      <x:c r="J10" s="7" t="str"/>
      <x:c r="K10" s="7" t="str"/>
      <x:c r="L10" s="7" t="str">
        <x:f>IF(K10="","OPEN",IF(OR(H10="",I10="",J10=""),"FAIL","PASS"))</x:f>
        <x:v>OPEN</x:v>
      </x:c>
    </x:row>
    <x:row r="11">
      <x:c r="B11" s="7" t="str">
        <x:v>TRV-PEA-A-X1-05</x:v>
      </x:c>
      <x:c r="C11" s="7" t="str">
        <x:v>PEA-A-X1</x:v>
      </x:c>
      <x:c r="D11" s="7" t="str">
        <x:v>BLD-A</x:v>
      </x:c>
      <x:c r="E11" s="7" t="str">
        <x:v>BL-X</x:v>
      </x:c>
      <x:c r="F11" s="7" t="str">
        <x:v>CS-05</x:v>
      </x:c>
      <x:c r="G11" s="7" t="str">
        <x:v>40 mm insert</x:v>
      </x:c>
      <x:c r="H11" s="7" t="str"/>
      <x:c r="I11" s="7" t="str"/>
      <x:c r="J11" s="7" t="str"/>
      <x:c r="K11" s="7" t="str"/>
      <x:c r="L11" s="7" t="str">
        <x:f>IF(K11="","OPEN",IF(OR(H11="",I11="",J11=""),"FAIL","PASS"))</x:f>
        <x:v>OPEN</x:v>
      </x:c>
    </x:row>
    <x:row r="12">
      <x:c r="B12" s="7" t="str">
        <x:v>TRV-PEA-A-X1-06</x:v>
      </x:c>
      <x:c r="C12" s="7" t="str">
        <x:v>PEA-A-X1</x:v>
      </x:c>
      <x:c r="D12" s="7" t="str">
        <x:v>BLD-A</x:v>
      </x:c>
      <x:c r="E12" s="7" t="str">
        <x:v>BL-X</x:v>
      </x:c>
      <x:c r="F12" s="7" t="str">
        <x:v>CS-06</x:v>
      </x:c>
      <x:c r="G12" s="7" t="str">
        <x:v>dispenser</x:v>
      </x:c>
      <x:c r="H12" s="7" t="str"/>
      <x:c r="I12" s="7" t="str"/>
      <x:c r="J12" s="7" t="str"/>
      <x:c r="K12" s="7" t="str"/>
      <x:c r="L12" s="7" t="str">
        <x:f>IF(K12="","OPEN",IF(OR(H12="",I12="",J12=""),"FAIL","PASS"))</x:f>
        <x:v>OPEN</x:v>
      </x:c>
    </x:row>
    <x:row r="13">
      <x:c r="B13" s="7" t="str">
        <x:v>TRV-PEA-A-X1-07</x:v>
      </x:c>
      <x:c r="C13" s="7" t="str">
        <x:v>PEA-A-X1</x:v>
      </x:c>
      <x:c r="D13" s="7" t="str">
        <x:v>BLD-A</x:v>
      </x:c>
      <x:c r="E13" s="7" t="str">
        <x:v>BL-X</x:v>
      </x:c>
      <x:c r="F13" s="7" t="str">
        <x:v>CS-07</x:v>
      </x:c>
      <x:c r="G13" s="7" t="str">
        <x:v>inner pan</x:v>
      </x:c>
      <x:c r="H13" s="7" t="str"/>
      <x:c r="I13" s="7" t="str"/>
      <x:c r="J13" s="7" t="str"/>
      <x:c r="K13" s="7" t="str"/>
      <x:c r="L13" s="7" t="str">
        <x:f>IF(K13="","OPEN",IF(OR(H13="",I13="",J13=""),"FAIL","PASS"))</x:f>
        <x:v>OPEN</x:v>
      </x:c>
    </x:row>
    <x:row r="14">
      <x:c r="B14" s="7" t="str">
        <x:v>TRV-PEA-A-X1-08</x:v>
      </x:c>
      <x:c r="C14" s="7" t="str">
        <x:v>PEA-A-X1</x:v>
      </x:c>
      <x:c r="D14" s="7" t="str">
        <x:v>BLD-A</x:v>
      </x:c>
      <x:c r="E14" s="7" t="str">
        <x:v>BL-X</x:v>
      </x:c>
      <x:c r="F14" s="7" t="str">
        <x:v>CS-08</x:v>
      </x:c>
      <x:c r="G14" s="7" t="str">
        <x:v>normal source route</x:v>
      </x:c>
      <x:c r="H14" s="7" t="str"/>
      <x:c r="I14" s="7" t="str"/>
      <x:c r="J14" s="7" t="str"/>
      <x:c r="K14" s="7" t="str"/>
      <x:c r="L14" s="7" t="str">
        <x:f>IF(K14="","OPEN",IF(OR(H14="",I14="",J14=""),"FAIL","PASS"))</x:f>
        <x:v>OPEN</x:v>
      </x:c>
    </x:row>
    <x:row r="15">
      <x:c r="B15" s="7" t="str">
        <x:v>TRV-PEA-A-X1-09</x:v>
      </x:c>
      <x:c r="C15" s="7" t="str">
        <x:v>PEA-A-X1</x:v>
      </x:c>
      <x:c r="D15" s="7" t="str">
        <x:v>BLD-A</x:v>
      </x:c>
      <x:c r="E15" s="7" t="str">
        <x:v>BL-X</x:v>
      </x:c>
      <x:c r="F15" s="7" t="str">
        <x:v>CS-09</x:v>
      </x:c>
      <x:c r="G15" s="7" t="str">
        <x:v>casualty source route</x:v>
      </x:c>
      <x:c r="H15" s="7" t="str"/>
      <x:c r="I15" s="7" t="str"/>
      <x:c r="J15" s="7" t="str"/>
      <x:c r="K15" s="7" t="str"/>
      <x:c r="L15" s="7" t="str">
        <x:f>IF(K15="","OPEN",IF(OR(H15="",I15="",J15=""),"FAIL","PASS"))</x:f>
        <x:v>OPEN</x:v>
      </x:c>
    </x:row>
    <x:row r="16">
      <x:c r="B16" s="7" t="str">
        <x:v>TRV-PEA-A-X1-10</x:v>
      </x:c>
      <x:c r="C16" s="7" t="str">
        <x:v>PEA-A-X1</x:v>
      </x:c>
      <x:c r="D16" s="7" t="str">
        <x:v>BLD-A</x:v>
      </x:c>
      <x:c r="E16" s="7" t="str">
        <x:v>BL-X</x:v>
      </x:c>
      <x:c r="F16" s="7" t="str">
        <x:v>CS-10</x:v>
      </x:c>
      <x:c r="G16" s="7" t="str">
        <x:v>normal source receiver</x:v>
      </x:c>
      <x:c r="H16" s="7" t="str"/>
      <x:c r="I16" s="7" t="str"/>
      <x:c r="J16" s="7" t="str"/>
      <x:c r="K16" s="7" t="str"/>
      <x:c r="L16" s="7" t="str">
        <x:f>IF(K16="","OPEN",IF(OR(H16="",I16="",J16=""),"FAIL","PASS"))</x:f>
        <x:v>OPEN</x:v>
      </x:c>
    </x:row>
    <x:row r="17">
      <x:c r="B17" s="7" t="str">
        <x:v>TRV-PEA-A-X1-11</x:v>
      </x:c>
      <x:c r="C17" s="7" t="str">
        <x:v>PEA-A-X1</x:v>
      </x:c>
      <x:c r="D17" s="7" t="str">
        <x:v>BLD-A</x:v>
      </x:c>
      <x:c r="E17" s="7" t="str">
        <x:v>BL-X</x:v>
      </x:c>
      <x:c r="F17" s="7" t="str">
        <x:v>CS-11</x:v>
      </x:c>
      <x:c r="G17" s="7" t="str">
        <x:v>casualty source interface</x:v>
      </x:c>
      <x:c r="H17" s="7" t="str"/>
      <x:c r="I17" s="7" t="str"/>
      <x:c r="J17" s="7" t="str"/>
      <x:c r="K17" s="7" t="str"/>
      <x:c r="L17" s="7" t="str">
        <x:f>IF(K17="","OPEN",IF(OR(H17="",I17="",J17=""),"FAIL","PASS"))</x:f>
        <x:v>OPEN</x:v>
      </x:c>
    </x:row>
    <x:row r="18">
      <x:c r="B18" s="7" t="str">
        <x:v>TRV-PEA-A-X1-12</x:v>
      </x:c>
      <x:c r="C18" s="7" t="str">
        <x:v>PEA-A-X1</x:v>
      </x:c>
      <x:c r="D18" s="7" t="str">
        <x:v>BLD-A</x:v>
      </x:c>
      <x:c r="E18" s="7" t="str">
        <x:v>BL-X</x:v>
      </x:c>
      <x:c r="F18" s="7" t="str">
        <x:v>CS-12</x:v>
      </x:c>
      <x:c r="G18" s="7" t="str">
        <x:v>candidate-water isolation</x:v>
      </x:c>
      <x:c r="H18" s="7" t="str"/>
      <x:c r="I18" s="7" t="str"/>
      <x:c r="J18" s="7" t="str"/>
      <x:c r="K18" s="7" t="str"/>
      <x:c r="L18" s="7" t="str">
        <x:f>IF(K18="","OPEN",IF(OR(H18="",I18="",J18=""),"FAIL","PASS"))</x:f>
        <x:v>OPEN</x:v>
      </x:c>
    </x:row>
    <x:row r="19">
      <x:c r="B19" s="7" t="str">
        <x:v>TRV-PEA-A-X1-13</x:v>
      </x:c>
      <x:c r="C19" s="7" t="str">
        <x:v>PEA-A-X1</x:v>
      </x:c>
      <x:c r="D19" s="7" t="str">
        <x:v>BLD-A</x:v>
      </x:c>
      <x:c r="E19" s="7" t="str">
        <x:v>BL-X</x:v>
      </x:c>
      <x:c r="F19" s="7" t="str">
        <x:v>CS-13</x:v>
      </x:c>
      <x:c r="G19" s="7" t="str">
        <x:v>public-water isolation</x:v>
      </x:c>
      <x:c r="H19" s="7" t="str"/>
      <x:c r="I19" s="7" t="str"/>
      <x:c r="J19" s="7" t="str"/>
      <x:c r="K19" s="7" t="str"/>
      <x:c r="L19" s="7" t="str">
        <x:f>IF(K19="","OPEN",IF(OR(H19="",I19="",J19=""),"FAIL","PASS"))</x:f>
        <x:v>OPEN</x:v>
      </x:c>
    </x:row>
    <x:row r="20">
      <x:c r="B20" s="7" t="str">
        <x:v>TRV-PEA-A-X1-14</x:v>
      </x:c>
      <x:c r="C20" s="7" t="str">
        <x:v>PEA-A-X1</x:v>
      </x:c>
      <x:c r="D20" s="7" t="str">
        <x:v>BLD-A</x:v>
      </x:c>
      <x:c r="E20" s="7" t="str">
        <x:v>BL-X</x:v>
      </x:c>
      <x:c r="F20" s="7" t="str">
        <x:v>CS-14</x:v>
      </x:c>
      <x:c r="G20" s="7" t="str">
        <x:v>casualty-water interface</x:v>
      </x:c>
      <x:c r="H20" s="7" t="str"/>
      <x:c r="I20" s="7" t="str"/>
      <x:c r="J20" s="7" t="str"/>
      <x:c r="K20" s="7" t="str"/>
      <x:c r="L20" s="7" t="str">
        <x:f>IF(K20="","OPEN",IF(OR(H20="",I20="",J20=""),"FAIL","PASS"))</x:f>
        <x:v>OPEN</x:v>
      </x:c>
    </x:row>
    <x:row r="21">
      <x:c r="B21" s="7" t="str">
        <x:v>TRV-PEA-A-X1-15</x:v>
      </x:c>
      <x:c r="C21" s="7" t="str">
        <x:v>PEA-A-X1</x:v>
      </x:c>
      <x:c r="D21" s="7" t="str">
        <x:v>BLD-A</x:v>
      </x:c>
      <x:c r="E21" s="7" t="str">
        <x:v>BL-X</x:v>
      </x:c>
      <x:c r="F21" s="7" t="str">
        <x:v>CS-15</x:v>
      </x:c>
      <x:c r="G21" s="7" t="str">
        <x:v>final control assembly</x:v>
      </x:c>
      <x:c r="H21" s="7" t="str"/>
      <x:c r="I21" s="7" t="str"/>
      <x:c r="J21" s="7" t="str"/>
      <x:c r="K21" s="7" t="str"/>
      <x:c r="L21" s="7" t="str">
        <x:f>IF(K21="","OPEN",IF(OR(H21="",I21="",J21=""),"FAIL","PASS"))</x:f>
        <x:v>OPEN</x:v>
      </x:c>
    </x:row>
    <x:row r="22">
      <x:c r="B22" s="7" t="str">
        <x:v>TRV-PEA-A-X1-16</x:v>
      </x:c>
      <x:c r="C22" s="7" t="str">
        <x:v>PEA-A-X1</x:v>
      </x:c>
      <x:c r="D22" s="7" t="str">
        <x:v>BLD-A</x:v>
      </x:c>
      <x:c r="E22" s="7" t="str">
        <x:v>BL-X</x:v>
      </x:c>
      <x:c r="F22" s="7" t="str">
        <x:v>CS-16</x:v>
      </x:c>
      <x:c r="G22" s="7" t="str">
        <x:v>independent safety energy</x:v>
      </x:c>
      <x:c r="H22" s="7" t="str"/>
      <x:c r="I22" s="7" t="str"/>
      <x:c r="J22" s="7" t="str"/>
      <x:c r="K22" s="7" t="str"/>
      <x:c r="L22" s="7" t="str">
        <x:f>IF(K22="","OPEN",IF(OR(H22="",I22="",J22=""),"FAIL","PASS"))</x:f>
        <x:v>OPEN</x:v>
      </x:c>
    </x:row>
    <x:row r="23">
      <x:c r="B23" s="7" t="str">
        <x:v>TRV-PEA-A-X1-17</x:v>
      </x:c>
      <x:c r="C23" s="7" t="str">
        <x:v>PEA-A-X1</x:v>
      </x:c>
      <x:c r="D23" s="7" t="str">
        <x:v>BLD-A</x:v>
      </x:c>
      <x:c r="E23" s="7" t="str">
        <x:v>BL-X</x:v>
      </x:c>
      <x:c r="F23" s="7" t="str">
        <x:v>CS-17</x:v>
      </x:c>
      <x:c r="G23" s="7" t="str">
        <x:v>measurement frame</x:v>
      </x:c>
      <x:c r="H23" s="7" t="str"/>
      <x:c r="I23" s="7" t="str"/>
      <x:c r="J23" s="7" t="str"/>
      <x:c r="K23" s="7" t="str"/>
      <x:c r="L23" s="7" t="str">
        <x:f>IF(K23="","OPEN",IF(OR(H23="",I23="",J23=""),"FAIL","PASS"))</x:f>
        <x:v>OPEN</x:v>
      </x:c>
    </x:row>
    <x:row r="24">
      <x:c r="B24" s="7" t="str">
        <x:v>TRV-PEA-A-X1-18</x:v>
      </x:c>
      <x:c r="C24" s="7" t="str">
        <x:v>PEA-A-X1</x:v>
      </x:c>
      <x:c r="D24" s="7" t="str">
        <x:v>BLD-A</x:v>
      </x:c>
      <x:c r="E24" s="7" t="str">
        <x:v>BL-X</x:v>
      </x:c>
      <x:c r="F24" s="7" t="str">
        <x:v>CS-18</x:v>
      </x:c>
      <x:c r="G24" s="7" t="str">
        <x:v>causal time and evidence</x:v>
      </x:c>
      <x:c r="H24" s="7" t="str"/>
      <x:c r="I24" s="7" t="str"/>
      <x:c r="J24" s="7" t="str"/>
      <x:c r="K24" s="7" t="str"/>
      <x:c r="L24" s="7" t="str">
        <x:f>IF(K24="","OPEN",IF(OR(H24="",I24="",J24=""),"FAIL","PASS"))</x:f>
        <x:v>OPEN</x:v>
      </x:c>
    </x:row>
    <x:row r="25">
      <x:c r="B25" s="7" t="str">
        <x:v>TRV-PEA-A-X1-19</x:v>
      </x:c>
      <x:c r="C25" s="7" t="str">
        <x:v>PEA-A-X1</x:v>
      </x:c>
      <x:c r="D25" s="7" t="str">
        <x:v>BLD-A</x:v>
      </x:c>
      <x:c r="E25" s="7" t="str">
        <x:v>BL-X</x:v>
      </x:c>
      <x:c r="F25" s="7" t="str">
        <x:v>CS-19</x:v>
      </x:c>
      <x:c r="G25" s="7" t="str">
        <x:v>rescue and access</x:v>
      </x:c>
      <x:c r="H25" s="7" t="str"/>
      <x:c r="I25" s="7" t="str"/>
      <x:c r="J25" s="7" t="str"/>
      <x:c r="K25" s="7" t="str"/>
      <x:c r="L25" s="7" t="str">
        <x:f>IF(K25="","OPEN",IF(OR(H25="",I25="",J25=""),"FAIL","PASS"))</x:f>
        <x:v>OPEN</x:v>
      </x:c>
    </x:row>
    <x:row r="26">
      <x:c r="B26" s="7" t="str">
        <x:v>TRV-PEA-A-X1-20</x:v>
      </x:c>
      <x:c r="C26" s="7" t="str">
        <x:v>PEA-A-X1</x:v>
      </x:c>
      <x:c r="D26" s="7" t="str">
        <x:v>BLD-A</x:v>
      </x:c>
      <x:c r="E26" s="7" t="str">
        <x:v>BL-X</x:v>
      </x:c>
      <x:c r="F26" s="7" t="str">
        <x:v>CS-20</x:v>
      </x:c>
      <x:c r="G26" s="7" t="str">
        <x:v>environmental boundary</x:v>
      </x:c>
      <x:c r="H26" s="7" t="str"/>
      <x:c r="I26" s="7" t="str"/>
      <x:c r="J26" s="7" t="str"/>
      <x:c r="K26" s="7" t="str"/>
      <x:c r="L26" s="7" t="str">
        <x:f>IF(K26="","OPEN",IF(OR(H26="",I26="",J26=""),"FAIL","PASS"))</x:f>
        <x:v>OPEN</x:v>
      </x:c>
    </x:row>
    <x:row r="27">
      <x:c r="B27" s="7" t="str">
        <x:v>TRV-PEA-A-X2-01</x:v>
      </x:c>
      <x:c r="C27" s="7" t="str">
        <x:v>PEA-A-X2</x:v>
      </x:c>
      <x:c r="D27" s="7" t="str">
        <x:v>BLD-A</x:v>
      </x:c>
      <x:c r="E27" s="7" t="str">
        <x:v>BL-X</x:v>
      </x:c>
      <x:c r="F27" s="7" t="str">
        <x:v>CS-01</x:v>
      </x:c>
      <x:c r="G27" s="7" t="str">
        <x:v>public datum</x:v>
      </x:c>
      <x:c r="H27" s="7" t="str"/>
      <x:c r="I27" s="7" t="str"/>
      <x:c r="J27" s="7" t="str"/>
      <x:c r="K27" s="7" t="str"/>
      <x:c r="L27" s="7" t="str">
        <x:f>IF(K27="","OPEN",IF(OR(H27="",I27="",J27=""),"FAIL","PASS"))</x:f>
        <x:v>OPEN</x:v>
      </x:c>
    </x:row>
    <x:row r="28">
      <x:c r="B28" s="7" t="str">
        <x:v>TRV-PEA-A-X2-02</x:v>
      </x:c>
      <x:c r="C28" s="7" t="str">
        <x:v>PEA-A-X2</x:v>
      </x:c>
      <x:c r="D28" s="7" t="str">
        <x:v>BLD-A</x:v>
      </x:c>
      <x:c r="E28" s="7" t="str">
        <x:v>BL-X</x:v>
      </x:c>
      <x:c r="F28" s="7" t="str">
        <x:v>CS-02</x:v>
      </x:c>
      <x:c r="G28" s="7" t="str">
        <x:v>primary frame</x:v>
      </x:c>
      <x:c r="H28" s="7" t="str"/>
      <x:c r="I28" s="7" t="str"/>
      <x:c r="J28" s="7" t="str"/>
      <x:c r="K28" s="7" t="str"/>
      <x:c r="L28" s="7" t="str">
        <x:f>IF(K28="","OPEN",IF(OR(H28="",I28="",J28=""),"FAIL","PASS"))</x:f>
        <x:v>OPEN</x:v>
      </x:c>
    </x:row>
    <x:row r="29">
      <x:c r="B29" s="7" t="str">
        <x:v>TRV-PEA-A-X2-03</x:v>
      </x:c>
      <x:c r="C29" s="7" t="str">
        <x:v>PEA-A-X2</x:v>
      </x:c>
      <x:c r="D29" s="7" t="str">
        <x:v>BLD-A</x:v>
      </x:c>
      <x:c r="E29" s="7" t="str">
        <x:v>BL-X</x:v>
      </x:c>
      <x:c r="F29" s="7" t="str">
        <x:v>CS-03</x:v>
      </x:c>
      <x:c r="G29" s="7" t="str">
        <x:v>source-surrogate vessel</x:v>
      </x:c>
      <x:c r="H29" s="7" t="str"/>
      <x:c r="I29" s="7" t="str"/>
      <x:c r="J29" s="7" t="str"/>
      <x:c r="K29" s="7" t="str"/>
      <x:c r="L29" s="7" t="str">
        <x:f>IF(K29="","OPEN",IF(OR(H29="",I29="",J29=""),"FAIL","PASS"))</x:f>
        <x:v>OPEN</x:v>
      </x:c>
    </x:row>
    <x:row r="30">
      <x:c r="B30" s="7" t="str">
        <x:v>TRV-PEA-A-X2-04</x:v>
      </x:c>
      <x:c r="C30" s="7" t="str">
        <x:v>PEA-A-X2</x:v>
      </x:c>
      <x:c r="D30" s="7" t="str">
        <x:v>BLD-A</x:v>
      </x:c>
      <x:c r="E30" s="7" t="str">
        <x:v>BL-X</x:v>
      </x:c>
      <x:c r="F30" s="7" t="str">
        <x:v>CS-04</x:v>
      </x:c>
      <x:c r="G30" s="7" t="str">
        <x:v>capsule dock</x:v>
      </x:c>
      <x:c r="H30" s="7" t="str"/>
      <x:c r="I30" s="7" t="str"/>
      <x:c r="J30" s="7" t="str"/>
      <x:c r="K30" s="7" t="str"/>
      <x:c r="L30" s="7" t="str">
        <x:f>IF(K30="","OPEN",IF(OR(H30="",I30="",J30=""),"FAIL","PASS"))</x:f>
        <x:v>OPEN</x:v>
      </x:c>
    </x:row>
    <x:row r="31">
      <x:c r="B31" s="7" t="str">
        <x:v>TRV-PEA-A-X2-05</x:v>
      </x:c>
      <x:c r="C31" s="7" t="str">
        <x:v>PEA-A-X2</x:v>
      </x:c>
      <x:c r="D31" s="7" t="str">
        <x:v>BLD-A</x:v>
      </x:c>
      <x:c r="E31" s="7" t="str">
        <x:v>BL-X</x:v>
      </x:c>
      <x:c r="F31" s="7" t="str">
        <x:v>CS-05</x:v>
      </x:c>
      <x:c r="G31" s="7" t="str">
        <x:v>40 mm insert</x:v>
      </x:c>
      <x:c r="H31" s="7" t="str"/>
      <x:c r="I31" s="7" t="str"/>
      <x:c r="J31" s="7" t="str"/>
      <x:c r="K31" s="7" t="str"/>
      <x:c r="L31" s="7" t="str">
        <x:f>IF(K31="","OPEN",IF(OR(H31="",I31="",J31=""),"FAIL","PASS"))</x:f>
        <x:v>OPEN</x:v>
      </x:c>
    </x:row>
    <x:row r="32">
      <x:c r="B32" s="7" t="str">
        <x:v>TRV-PEA-A-X2-06</x:v>
      </x:c>
      <x:c r="C32" s="7" t="str">
        <x:v>PEA-A-X2</x:v>
      </x:c>
      <x:c r="D32" s="7" t="str">
        <x:v>BLD-A</x:v>
      </x:c>
      <x:c r="E32" s="7" t="str">
        <x:v>BL-X</x:v>
      </x:c>
      <x:c r="F32" s="7" t="str">
        <x:v>CS-06</x:v>
      </x:c>
      <x:c r="G32" s="7" t="str">
        <x:v>dispenser</x:v>
      </x:c>
      <x:c r="H32" s="7" t="str"/>
      <x:c r="I32" s="7" t="str"/>
      <x:c r="J32" s="7" t="str"/>
      <x:c r="K32" s="7" t="str"/>
      <x:c r="L32" s="7" t="str">
        <x:f>IF(K32="","OPEN",IF(OR(H32="",I32="",J32=""),"FAIL","PASS"))</x:f>
        <x:v>OPEN</x:v>
      </x:c>
    </x:row>
    <x:row r="33">
      <x:c r="B33" s="7" t="str">
        <x:v>TRV-PEA-A-X2-07</x:v>
      </x:c>
      <x:c r="C33" s="7" t="str">
        <x:v>PEA-A-X2</x:v>
      </x:c>
      <x:c r="D33" s="7" t="str">
        <x:v>BLD-A</x:v>
      </x:c>
      <x:c r="E33" s="7" t="str">
        <x:v>BL-X</x:v>
      </x:c>
      <x:c r="F33" s="7" t="str">
        <x:v>CS-07</x:v>
      </x:c>
      <x:c r="G33" s="7" t="str">
        <x:v>inner pan</x:v>
      </x:c>
      <x:c r="H33" s="7" t="str"/>
      <x:c r="I33" s="7" t="str"/>
      <x:c r="J33" s="7" t="str"/>
      <x:c r="K33" s="7" t="str"/>
      <x:c r="L33" s="7" t="str">
        <x:f>IF(K33="","OPEN",IF(OR(H33="",I33="",J33=""),"FAIL","PASS"))</x:f>
        <x:v>OPEN</x:v>
      </x:c>
    </x:row>
    <x:row r="34">
      <x:c r="B34" s="7" t="str">
        <x:v>TRV-PEA-A-X2-08</x:v>
      </x:c>
      <x:c r="C34" s="7" t="str">
        <x:v>PEA-A-X2</x:v>
      </x:c>
      <x:c r="D34" s="7" t="str">
        <x:v>BLD-A</x:v>
      </x:c>
      <x:c r="E34" s="7" t="str">
        <x:v>BL-X</x:v>
      </x:c>
      <x:c r="F34" s="7" t="str">
        <x:v>CS-08</x:v>
      </x:c>
      <x:c r="G34" s="7" t="str">
        <x:v>normal source route</x:v>
      </x:c>
      <x:c r="H34" s="7" t="str"/>
      <x:c r="I34" s="7" t="str"/>
      <x:c r="J34" s="7" t="str"/>
      <x:c r="K34" s="7" t="str"/>
      <x:c r="L34" s="7" t="str">
        <x:f>IF(K34="","OPEN",IF(OR(H34="",I34="",J34=""),"FAIL","PASS"))</x:f>
        <x:v>OPEN</x:v>
      </x:c>
    </x:row>
    <x:row r="35">
      <x:c r="B35" s="7" t="str">
        <x:v>TRV-PEA-A-X2-09</x:v>
      </x:c>
      <x:c r="C35" s="7" t="str">
        <x:v>PEA-A-X2</x:v>
      </x:c>
      <x:c r="D35" s="7" t="str">
        <x:v>BLD-A</x:v>
      </x:c>
      <x:c r="E35" s="7" t="str">
        <x:v>BL-X</x:v>
      </x:c>
      <x:c r="F35" s="7" t="str">
        <x:v>CS-09</x:v>
      </x:c>
      <x:c r="G35" s="7" t="str">
        <x:v>casualty source route</x:v>
      </x:c>
      <x:c r="H35" s="7" t="str"/>
      <x:c r="I35" s="7" t="str"/>
      <x:c r="J35" s="7" t="str"/>
      <x:c r="K35" s="7" t="str"/>
      <x:c r="L35" s="7" t="str">
        <x:f>IF(K35="","OPEN",IF(OR(H35="",I35="",J35=""),"FAIL","PASS"))</x:f>
        <x:v>OPEN</x:v>
      </x:c>
    </x:row>
    <x:row r="36">
      <x:c r="B36" s="7" t="str">
        <x:v>TRV-PEA-A-X2-10</x:v>
      </x:c>
      <x:c r="C36" s="7" t="str">
        <x:v>PEA-A-X2</x:v>
      </x:c>
      <x:c r="D36" s="7" t="str">
        <x:v>BLD-A</x:v>
      </x:c>
      <x:c r="E36" s="7" t="str">
        <x:v>BL-X</x:v>
      </x:c>
      <x:c r="F36" s="7" t="str">
        <x:v>CS-10</x:v>
      </x:c>
      <x:c r="G36" s="7" t="str">
        <x:v>normal source receiver</x:v>
      </x:c>
      <x:c r="H36" s="7" t="str"/>
      <x:c r="I36" s="7" t="str"/>
      <x:c r="J36" s="7" t="str"/>
      <x:c r="K36" s="7" t="str"/>
      <x:c r="L36" s="7" t="str">
        <x:f>IF(K36="","OPEN",IF(OR(H36="",I36="",J36=""),"FAIL","PASS"))</x:f>
        <x:v>OPEN</x:v>
      </x:c>
    </x:row>
    <x:row r="37">
      <x:c r="B37" s="7" t="str">
        <x:v>TRV-PEA-A-X2-11</x:v>
      </x:c>
      <x:c r="C37" s="7" t="str">
        <x:v>PEA-A-X2</x:v>
      </x:c>
      <x:c r="D37" s="7" t="str">
        <x:v>BLD-A</x:v>
      </x:c>
      <x:c r="E37" s="7" t="str">
        <x:v>BL-X</x:v>
      </x:c>
      <x:c r="F37" s="7" t="str">
        <x:v>CS-11</x:v>
      </x:c>
      <x:c r="G37" s="7" t="str">
        <x:v>casualty source interface</x:v>
      </x:c>
      <x:c r="H37" s="7" t="str"/>
      <x:c r="I37" s="7" t="str"/>
      <x:c r="J37" s="7" t="str"/>
      <x:c r="K37" s="7" t="str"/>
      <x:c r="L37" s="7" t="str">
        <x:f>IF(K37="","OPEN",IF(OR(H37="",I37="",J37=""),"FAIL","PASS"))</x:f>
        <x:v>OPEN</x:v>
      </x:c>
    </x:row>
    <x:row r="38">
      <x:c r="B38" s="7" t="str">
        <x:v>TRV-PEA-A-X2-12</x:v>
      </x:c>
      <x:c r="C38" s="7" t="str">
        <x:v>PEA-A-X2</x:v>
      </x:c>
      <x:c r="D38" s="7" t="str">
        <x:v>BLD-A</x:v>
      </x:c>
      <x:c r="E38" s="7" t="str">
        <x:v>BL-X</x:v>
      </x:c>
      <x:c r="F38" s="7" t="str">
        <x:v>CS-12</x:v>
      </x:c>
      <x:c r="G38" s="7" t="str">
        <x:v>candidate-water isolation</x:v>
      </x:c>
      <x:c r="H38" s="7" t="str"/>
      <x:c r="I38" s="7" t="str"/>
      <x:c r="J38" s="7" t="str"/>
      <x:c r="K38" s="7" t="str"/>
      <x:c r="L38" s="7" t="str">
        <x:f>IF(K38="","OPEN",IF(OR(H38="",I38="",J38=""),"FAIL","PASS"))</x:f>
        <x:v>OPEN</x:v>
      </x:c>
    </x:row>
    <x:row r="39">
      <x:c r="B39" s="7" t="str">
        <x:v>TRV-PEA-A-X2-13</x:v>
      </x:c>
      <x:c r="C39" s="7" t="str">
        <x:v>PEA-A-X2</x:v>
      </x:c>
      <x:c r="D39" s="7" t="str">
        <x:v>BLD-A</x:v>
      </x:c>
      <x:c r="E39" s="7" t="str">
        <x:v>BL-X</x:v>
      </x:c>
      <x:c r="F39" s="7" t="str">
        <x:v>CS-13</x:v>
      </x:c>
      <x:c r="G39" s="7" t="str">
        <x:v>public-water isolation</x:v>
      </x:c>
      <x:c r="H39" s="7" t="str"/>
      <x:c r="I39" s="7" t="str"/>
      <x:c r="J39" s="7" t="str"/>
      <x:c r="K39" s="7" t="str"/>
      <x:c r="L39" s="7" t="str">
        <x:f>IF(K39="","OPEN",IF(OR(H39="",I39="",J39=""),"FAIL","PASS"))</x:f>
        <x:v>OPEN</x:v>
      </x:c>
    </x:row>
    <x:row r="40">
      <x:c r="B40" s="7" t="str">
        <x:v>TRV-PEA-A-X2-14</x:v>
      </x:c>
      <x:c r="C40" s="7" t="str">
        <x:v>PEA-A-X2</x:v>
      </x:c>
      <x:c r="D40" s="7" t="str">
        <x:v>BLD-A</x:v>
      </x:c>
      <x:c r="E40" s="7" t="str">
        <x:v>BL-X</x:v>
      </x:c>
      <x:c r="F40" s="7" t="str">
        <x:v>CS-14</x:v>
      </x:c>
      <x:c r="G40" s="7" t="str">
        <x:v>casualty-water interface</x:v>
      </x:c>
      <x:c r="H40" s="7" t="str"/>
      <x:c r="I40" s="7" t="str"/>
      <x:c r="J40" s="7" t="str"/>
      <x:c r="K40" s="7" t="str"/>
      <x:c r="L40" s="7" t="str">
        <x:f>IF(K40="","OPEN",IF(OR(H40="",I40="",J40=""),"FAIL","PASS"))</x:f>
        <x:v>OPEN</x:v>
      </x:c>
    </x:row>
    <x:row r="41">
      <x:c r="B41" s="7" t="str">
        <x:v>TRV-PEA-A-X2-15</x:v>
      </x:c>
      <x:c r="C41" s="7" t="str">
        <x:v>PEA-A-X2</x:v>
      </x:c>
      <x:c r="D41" s="7" t="str">
        <x:v>BLD-A</x:v>
      </x:c>
      <x:c r="E41" s="7" t="str">
        <x:v>BL-X</x:v>
      </x:c>
      <x:c r="F41" s="7" t="str">
        <x:v>CS-15</x:v>
      </x:c>
      <x:c r="G41" s="7" t="str">
        <x:v>final control assembly</x:v>
      </x:c>
      <x:c r="H41" s="7" t="str"/>
      <x:c r="I41" s="7" t="str"/>
      <x:c r="J41" s="7" t="str"/>
      <x:c r="K41" s="7" t="str"/>
      <x:c r="L41" s="7" t="str">
        <x:f>IF(K41="","OPEN",IF(OR(H41="",I41="",J41=""),"FAIL","PASS"))</x:f>
        <x:v>OPEN</x:v>
      </x:c>
    </x:row>
    <x:row r="42">
      <x:c r="B42" s="7" t="str">
        <x:v>TRV-PEA-A-X2-16</x:v>
      </x:c>
      <x:c r="C42" s="7" t="str">
        <x:v>PEA-A-X2</x:v>
      </x:c>
      <x:c r="D42" s="7" t="str">
        <x:v>BLD-A</x:v>
      </x:c>
      <x:c r="E42" s="7" t="str">
        <x:v>BL-X</x:v>
      </x:c>
      <x:c r="F42" s="7" t="str">
        <x:v>CS-16</x:v>
      </x:c>
      <x:c r="G42" s="7" t="str">
        <x:v>independent safety energy</x:v>
      </x:c>
      <x:c r="H42" s="7" t="str"/>
      <x:c r="I42" s="7" t="str"/>
      <x:c r="J42" s="7" t="str"/>
      <x:c r="K42" s="7" t="str"/>
      <x:c r="L42" s="7" t="str">
        <x:f>IF(K42="","OPEN",IF(OR(H42="",I42="",J42=""),"FAIL","PASS"))</x:f>
        <x:v>OPEN</x:v>
      </x:c>
    </x:row>
    <x:row r="43">
      <x:c r="B43" s="7" t="str">
        <x:v>TRV-PEA-A-X2-17</x:v>
      </x:c>
      <x:c r="C43" s="7" t="str">
        <x:v>PEA-A-X2</x:v>
      </x:c>
      <x:c r="D43" s="7" t="str">
        <x:v>BLD-A</x:v>
      </x:c>
      <x:c r="E43" s="7" t="str">
        <x:v>BL-X</x:v>
      </x:c>
      <x:c r="F43" s="7" t="str">
        <x:v>CS-17</x:v>
      </x:c>
      <x:c r="G43" s="7" t="str">
        <x:v>measurement frame</x:v>
      </x:c>
      <x:c r="H43" s="7" t="str"/>
      <x:c r="I43" s="7" t="str"/>
      <x:c r="J43" s="7" t="str"/>
      <x:c r="K43" s="7" t="str"/>
      <x:c r="L43" s="7" t="str">
        <x:f>IF(K43="","OPEN",IF(OR(H43="",I43="",J43=""),"FAIL","PASS"))</x:f>
        <x:v>OPEN</x:v>
      </x:c>
    </x:row>
    <x:row r="44">
      <x:c r="B44" s="7" t="str">
        <x:v>TRV-PEA-A-X2-18</x:v>
      </x:c>
      <x:c r="C44" s="7" t="str">
        <x:v>PEA-A-X2</x:v>
      </x:c>
      <x:c r="D44" s="7" t="str">
        <x:v>BLD-A</x:v>
      </x:c>
      <x:c r="E44" s="7" t="str">
        <x:v>BL-X</x:v>
      </x:c>
      <x:c r="F44" s="7" t="str">
        <x:v>CS-18</x:v>
      </x:c>
      <x:c r="G44" s="7" t="str">
        <x:v>causal time and evidence</x:v>
      </x:c>
      <x:c r="H44" s="7" t="str"/>
      <x:c r="I44" s="7" t="str"/>
      <x:c r="J44" s="7" t="str"/>
      <x:c r="K44" s="7" t="str"/>
      <x:c r="L44" s="7" t="str">
        <x:f>IF(K44="","OPEN",IF(OR(H44="",I44="",J44=""),"FAIL","PASS"))</x:f>
        <x:v>OPEN</x:v>
      </x:c>
    </x:row>
    <x:row r="45">
      <x:c r="B45" s="7" t="str">
        <x:v>TRV-PEA-A-X2-19</x:v>
      </x:c>
      <x:c r="C45" s="7" t="str">
        <x:v>PEA-A-X2</x:v>
      </x:c>
      <x:c r="D45" s="7" t="str">
        <x:v>BLD-A</x:v>
      </x:c>
      <x:c r="E45" s="7" t="str">
        <x:v>BL-X</x:v>
      </x:c>
      <x:c r="F45" s="7" t="str">
        <x:v>CS-19</x:v>
      </x:c>
      <x:c r="G45" s="7" t="str">
        <x:v>rescue and access</x:v>
      </x:c>
      <x:c r="H45" s="7" t="str"/>
      <x:c r="I45" s="7" t="str"/>
      <x:c r="J45" s="7" t="str"/>
      <x:c r="K45" s="7" t="str"/>
      <x:c r="L45" s="7" t="str">
        <x:f>IF(K45="","OPEN",IF(OR(H45="",I45="",J45=""),"FAIL","PASS"))</x:f>
        <x:v>OPEN</x:v>
      </x:c>
    </x:row>
    <x:row r="46">
      <x:c r="B46" s="7" t="str">
        <x:v>TRV-PEA-A-X2-20</x:v>
      </x:c>
      <x:c r="C46" s="7" t="str">
        <x:v>PEA-A-X2</x:v>
      </x:c>
      <x:c r="D46" s="7" t="str">
        <x:v>BLD-A</x:v>
      </x:c>
      <x:c r="E46" s="7" t="str">
        <x:v>BL-X</x:v>
      </x:c>
      <x:c r="F46" s="7" t="str">
        <x:v>CS-20</x:v>
      </x:c>
      <x:c r="G46" s="7" t="str">
        <x:v>environmental boundary</x:v>
      </x:c>
      <x:c r="H46" s="7" t="str"/>
      <x:c r="I46" s="7" t="str"/>
      <x:c r="J46" s="7" t="str"/>
      <x:c r="K46" s="7" t="str"/>
      <x:c r="L46" s="7" t="str">
        <x:f>IF(K46="","OPEN",IF(OR(H46="",I46="",J46=""),"FAIL","PASS"))</x:f>
        <x:v>OPEN</x:v>
      </x:c>
    </x:row>
    <x:row r="47">
      <x:c r="B47" s="7" t="str">
        <x:v>TRV-PEA-A-X3-01</x:v>
      </x:c>
      <x:c r="C47" s="7" t="str">
        <x:v>PEA-A-X3</x:v>
      </x:c>
      <x:c r="D47" s="7" t="str">
        <x:v>BLD-A</x:v>
      </x:c>
      <x:c r="E47" s="7" t="str">
        <x:v>BL-X</x:v>
      </x:c>
      <x:c r="F47" s="7" t="str">
        <x:v>CS-01</x:v>
      </x:c>
      <x:c r="G47" s="7" t="str">
        <x:v>public datum</x:v>
      </x:c>
      <x:c r="H47" s="7" t="str"/>
      <x:c r="I47" s="7" t="str"/>
      <x:c r="J47" s="7" t="str"/>
      <x:c r="K47" s="7" t="str"/>
      <x:c r="L47" s="7" t="str">
        <x:f>IF(K47="","OPEN",IF(OR(H47="",I47="",J47=""),"FAIL","PASS"))</x:f>
        <x:v>OPEN</x:v>
      </x:c>
    </x:row>
    <x:row r="48">
      <x:c r="B48" s="7" t="str">
        <x:v>TRV-PEA-A-X3-02</x:v>
      </x:c>
      <x:c r="C48" s="7" t="str">
        <x:v>PEA-A-X3</x:v>
      </x:c>
      <x:c r="D48" s="7" t="str">
        <x:v>BLD-A</x:v>
      </x:c>
      <x:c r="E48" s="7" t="str">
        <x:v>BL-X</x:v>
      </x:c>
      <x:c r="F48" s="7" t="str">
        <x:v>CS-02</x:v>
      </x:c>
      <x:c r="G48" s="7" t="str">
        <x:v>primary frame</x:v>
      </x:c>
      <x:c r="H48" s="7" t="str"/>
      <x:c r="I48" s="7" t="str"/>
      <x:c r="J48" s="7" t="str"/>
      <x:c r="K48" s="7" t="str"/>
      <x:c r="L48" s="7" t="str">
        <x:f>IF(K48="","OPEN",IF(OR(H48="",I48="",J48=""),"FAIL","PASS"))</x:f>
        <x:v>OPEN</x:v>
      </x:c>
    </x:row>
    <x:row r="49">
      <x:c r="B49" s="7" t="str">
        <x:v>TRV-PEA-A-X3-03</x:v>
      </x:c>
      <x:c r="C49" s="7" t="str">
        <x:v>PEA-A-X3</x:v>
      </x:c>
      <x:c r="D49" s="7" t="str">
        <x:v>BLD-A</x:v>
      </x:c>
      <x:c r="E49" s="7" t="str">
        <x:v>BL-X</x:v>
      </x:c>
      <x:c r="F49" s="7" t="str">
        <x:v>CS-03</x:v>
      </x:c>
      <x:c r="G49" s="7" t="str">
        <x:v>source-surrogate vessel</x:v>
      </x:c>
      <x:c r="H49" s="7" t="str"/>
      <x:c r="I49" s="7" t="str"/>
      <x:c r="J49" s="7" t="str"/>
      <x:c r="K49" s="7" t="str"/>
      <x:c r="L49" s="7" t="str">
        <x:f>IF(K49="","OPEN",IF(OR(H49="",I49="",J49=""),"FAIL","PASS"))</x:f>
        <x:v>OPEN</x:v>
      </x:c>
    </x:row>
    <x:row r="50">
      <x:c r="B50" s="7" t="str">
        <x:v>TRV-PEA-A-X3-04</x:v>
      </x:c>
      <x:c r="C50" s="7" t="str">
        <x:v>PEA-A-X3</x:v>
      </x:c>
      <x:c r="D50" s="7" t="str">
        <x:v>BLD-A</x:v>
      </x:c>
      <x:c r="E50" s="7" t="str">
        <x:v>BL-X</x:v>
      </x:c>
      <x:c r="F50" s="7" t="str">
        <x:v>CS-04</x:v>
      </x:c>
      <x:c r="G50" s="7" t="str">
        <x:v>capsule dock</x:v>
      </x:c>
      <x:c r="H50" s="7" t="str"/>
      <x:c r="I50" s="7" t="str"/>
      <x:c r="J50" s="7" t="str"/>
      <x:c r="K50" s="7" t="str"/>
      <x:c r="L50" s="7" t="str">
        <x:f>IF(K50="","OPEN",IF(OR(H50="",I50="",J50=""),"FAIL","PASS"))</x:f>
        <x:v>OPEN</x:v>
      </x:c>
    </x:row>
    <x:row r="51">
      <x:c r="B51" s="7" t="str">
        <x:v>TRV-PEA-A-X3-05</x:v>
      </x:c>
      <x:c r="C51" s="7" t="str">
        <x:v>PEA-A-X3</x:v>
      </x:c>
      <x:c r="D51" s="7" t="str">
        <x:v>BLD-A</x:v>
      </x:c>
      <x:c r="E51" s="7" t="str">
        <x:v>BL-X</x:v>
      </x:c>
      <x:c r="F51" s="7" t="str">
        <x:v>CS-05</x:v>
      </x:c>
      <x:c r="G51" s="7" t="str">
        <x:v>40 mm insert</x:v>
      </x:c>
      <x:c r="H51" s="7" t="str"/>
      <x:c r="I51" s="7" t="str"/>
      <x:c r="J51" s="7" t="str"/>
      <x:c r="K51" s="7" t="str"/>
      <x:c r="L51" s="7" t="str">
        <x:f>IF(K51="","OPEN",IF(OR(H51="",I51="",J51=""),"FAIL","PASS"))</x:f>
        <x:v>OPEN</x:v>
      </x:c>
    </x:row>
    <x:row r="52">
      <x:c r="B52" s="7" t="str">
        <x:v>TRV-PEA-A-X3-06</x:v>
      </x:c>
      <x:c r="C52" s="7" t="str">
        <x:v>PEA-A-X3</x:v>
      </x:c>
      <x:c r="D52" s="7" t="str">
        <x:v>BLD-A</x:v>
      </x:c>
      <x:c r="E52" s="7" t="str">
        <x:v>BL-X</x:v>
      </x:c>
      <x:c r="F52" s="7" t="str">
        <x:v>CS-06</x:v>
      </x:c>
      <x:c r="G52" s="7" t="str">
        <x:v>dispenser</x:v>
      </x:c>
      <x:c r="H52" s="7" t="str"/>
      <x:c r="I52" s="7" t="str"/>
      <x:c r="J52" s="7" t="str"/>
      <x:c r="K52" s="7" t="str"/>
      <x:c r="L52" s="7" t="str">
        <x:f>IF(K52="","OPEN",IF(OR(H52="",I52="",J52=""),"FAIL","PASS"))</x:f>
        <x:v>OPEN</x:v>
      </x:c>
    </x:row>
    <x:row r="53">
      <x:c r="B53" s="7" t="str">
        <x:v>TRV-PEA-A-X3-07</x:v>
      </x:c>
      <x:c r="C53" s="7" t="str">
        <x:v>PEA-A-X3</x:v>
      </x:c>
      <x:c r="D53" s="7" t="str">
        <x:v>BLD-A</x:v>
      </x:c>
      <x:c r="E53" s="7" t="str">
        <x:v>BL-X</x:v>
      </x:c>
      <x:c r="F53" s="7" t="str">
        <x:v>CS-07</x:v>
      </x:c>
      <x:c r="G53" s="7" t="str">
        <x:v>inner pan</x:v>
      </x:c>
      <x:c r="H53" s="7" t="str"/>
      <x:c r="I53" s="7" t="str"/>
      <x:c r="J53" s="7" t="str"/>
      <x:c r="K53" s="7" t="str"/>
      <x:c r="L53" s="7" t="str">
        <x:f>IF(K53="","OPEN",IF(OR(H53="",I53="",J53=""),"FAIL","PASS"))</x:f>
        <x:v>OPEN</x:v>
      </x:c>
    </x:row>
    <x:row r="54">
      <x:c r="B54" s="7" t="str">
        <x:v>TRV-PEA-A-X3-08</x:v>
      </x:c>
      <x:c r="C54" s="7" t="str">
        <x:v>PEA-A-X3</x:v>
      </x:c>
      <x:c r="D54" s="7" t="str">
        <x:v>BLD-A</x:v>
      </x:c>
      <x:c r="E54" s="7" t="str">
        <x:v>BL-X</x:v>
      </x:c>
      <x:c r="F54" s="7" t="str">
        <x:v>CS-08</x:v>
      </x:c>
      <x:c r="G54" s="7" t="str">
        <x:v>normal source route</x:v>
      </x:c>
      <x:c r="H54" s="7" t="str"/>
      <x:c r="I54" s="7" t="str"/>
      <x:c r="J54" s="7" t="str"/>
      <x:c r="K54" s="7" t="str"/>
      <x:c r="L54" s="7" t="str">
        <x:f>IF(K54="","OPEN",IF(OR(H54="",I54="",J54=""),"FAIL","PASS"))</x:f>
        <x:v>OPEN</x:v>
      </x:c>
    </x:row>
    <x:row r="55">
      <x:c r="B55" s="7" t="str">
        <x:v>TRV-PEA-A-X3-09</x:v>
      </x:c>
      <x:c r="C55" s="7" t="str">
        <x:v>PEA-A-X3</x:v>
      </x:c>
      <x:c r="D55" s="7" t="str">
        <x:v>BLD-A</x:v>
      </x:c>
      <x:c r="E55" s="7" t="str">
        <x:v>BL-X</x:v>
      </x:c>
      <x:c r="F55" s="7" t="str">
        <x:v>CS-09</x:v>
      </x:c>
      <x:c r="G55" s="7" t="str">
        <x:v>casualty source route</x:v>
      </x:c>
      <x:c r="H55" s="7" t="str"/>
      <x:c r="I55" s="7" t="str"/>
      <x:c r="J55" s="7" t="str"/>
      <x:c r="K55" s="7" t="str"/>
      <x:c r="L55" s="7" t="str">
        <x:f>IF(K55="","OPEN",IF(OR(H55="",I55="",J55=""),"FAIL","PASS"))</x:f>
        <x:v>OPEN</x:v>
      </x:c>
    </x:row>
    <x:row r="56">
      <x:c r="B56" s="7" t="str">
        <x:v>TRV-PEA-A-X3-10</x:v>
      </x:c>
      <x:c r="C56" s="7" t="str">
        <x:v>PEA-A-X3</x:v>
      </x:c>
      <x:c r="D56" s="7" t="str">
        <x:v>BLD-A</x:v>
      </x:c>
      <x:c r="E56" s="7" t="str">
        <x:v>BL-X</x:v>
      </x:c>
      <x:c r="F56" s="7" t="str">
        <x:v>CS-10</x:v>
      </x:c>
      <x:c r="G56" s="7" t="str">
        <x:v>normal source receiver</x:v>
      </x:c>
      <x:c r="H56" s="7" t="str"/>
      <x:c r="I56" s="7" t="str"/>
      <x:c r="J56" s="7" t="str"/>
      <x:c r="K56" s="7" t="str"/>
      <x:c r="L56" s="7" t="str">
        <x:f>IF(K56="","OPEN",IF(OR(H56="",I56="",J56=""),"FAIL","PASS"))</x:f>
        <x:v>OPEN</x:v>
      </x:c>
    </x:row>
    <x:row r="57">
      <x:c r="B57" s="7" t="str">
        <x:v>TRV-PEA-A-X3-11</x:v>
      </x:c>
      <x:c r="C57" s="7" t="str">
        <x:v>PEA-A-X3</x:v>
      </x:c>
      <x:c r="D57" s="7" t="str">
        <x:v>BLD-A</x:v>
      </x:c>
      <x:c r="E57" s="7" t="str">
        <x:v>BL-X</x:v>
      </x:c>
      <x:c r="F57" s="7" t="str">
        <x:v>CS-11</x:v>
      </x:c>
      <x:c r="G57" s="7" t="str">
        <x:v>casualty source interface</x:v>
      </x:c>
      <x:c r="H57" s="7" t="str"/>
      <x:c r="I57" s="7" t="str"/>
      <x:c r="J57" s="7" t="str"/>
      <x:c r="K57" s="7" t="str"/>
      <x:c r="L57" s="7" t="str">
        <x:f>IF(K57="","OPEN",IF(OR(H57="",I57="",J57=""),"FAIL","PASS"))</x:f>
        <x:v>OPEN</x:v>
      </x:c>
    </x:row>
    <x:row r="58">
      <x:c r="B58" s="7" t="str">
        <x:v>TRV-PEA-A-X3-12</x:v>
      </x:c>
      <x:c r="C58" s="7" t="str">
        <x:v>PEA-A-X3</x:v>
      </x:c>
      <x:c r="D58" s="7" t="str">
        <x:v>BLD-A</x:v>
      </x:c>
      <x:c r="E58" s="7" t="str">
        <x:v>BL-X</x:v>
      </x:c>
      <x:c r="F58" s="7" t="str">
        <x:v>CS-12</x:v>
      </x:c>
      <x:c r="G58" s="7" t="str">
        <x:v>candidate-water isolation</x:v>
      </x:c>
      <x:c r="H58" s="7" t="str"/>
      <x:c r="I58" s="7" t="str"/>
      <x:c r="J58" s="7" t="str"/>
      <x:c r="K58" s="7" t="str"/>
      <x:c r="L58" s="7" t="str">
        <x:f>IF(K58="","OPEN",IF(OR(H58="",I58="",J58=""),"FAIL","PASS"))</x:f>
        <x:v>OPEN</x:v>
      </x:c>
    </x:row>
    <x:row r="59">
      <x:c r="B59" s="7" t="str">
        <x:v>TRV-PEA-A-X3-13</x:v>
      </x:c>
      <x:c r="C59" s="7" t="str">
        <x:v>PEA-A-X3</x:v>
      </x:c>
      <x:c r="D59" s="7" t="str">
        <x:v>BLD-A</x:v>
      </x:c>
      <x:c r="E59" s="7" t="str">
        <x:v>BL-X</x:v>
      </x:c>
      <x:c r="F59" s="7" t="str">
        <x:v>CS-13</x:v>
      </x:c>
      <x:c r="G59" s="7" t="str">
        <x:v>public-water isolation</x:v>
      </x:c>
      <x:c r="H59" s="7" t="str"/>
      <x:c r="I59" s="7" t="str"/>
      <x:c r="J59" s="7" t="str"/>
      <x:c r="K59" s="7" t="str"/>
      <x:c r="L59" s="7" t="str">
        <x:f>IF(K59="","OPEN",IF(OR(H59="",I59="",J59=""),"FAIL","PASS"))</x:f>
        <x:v>OPEN</x:v>
      </x:c>
    </x:row>
    <x:row r="60">
      <x:c r="B60" s="7" t="str">
        <x:v>TRV-PEA-A-X3-14</x:v>
      </x:c>
      <x:c r="C60" s="7" t="str">
        <x:v>PEA-A-X3</x:v>
      </x:c>
      <x:c r="D60" s="7" t="str">
        <x:v>BLD-A</x:v>
      </x:c>
      <x:c r="E60" s="7" t="str">
        <x:v>BL-X</x:v>
      </x:c>
      <x:c r="F60" s="7" t="str">
        <x:v>CS-14</x:v>
      </x:c>
      <x:c r="G60" s="7" t="str">
        <x:v>casualty-water interface</x:v>
      </x:c>
      <x:c r="H60" s="7" t="str"/>
      <x:c r="I60" s="7" t="str"/>
      <x:c r="J60" s="7" t="str"/>
      <x:c r="K60" s="7" t="str"/>
      <x:c r="L60" s="7" t="str">
        <x:f>IF(K60="","OPEN",IF(OR(H60="",I60="",J60=""),"FAIL","PASS"))</x:f>
        <x:v>OPEN</x:v>
      </x:c>
    </x:row>
    <x:row r="61">
      <x:c r="B61" s="7" t="str">
        <x:v>TRV-PEA-A-X3-15</x:v>
      </x:c>
      <x:c r="C61" s="7" t="str">
        <x:v>PEA-A-X3</x:v>
      </x:c>
      <x:c r="D61" s="7" t="str">
        <x:v>BLD-A</x:v>
      </x:c>
      <x:c r="E61" s="7" t="str">
        <x:v>BL-X</x:v>
      </x:c>
      <x:c r="F61" s="7" t="str">
        <x:v>CS-15</x:v>
      </x:c>
      <x:c r="G61" s="7" t="str">
        <x:v>final control assembly</x:v>
      </x:c>
      <x:c r="H61" s="7" t="str"/>
      <x:c r="I61" s="7" t="str"/>
      <x:c r="J61" s="7" t="str"/>
      <x:c r="K61" s="7" t="str"/>
      <x:c r="L61" s="7" t="str">
        <x:f>IF(K61="","OPEN",IF(OR(H61="",I61="",J61=""),"FAIL","PASS"))</x:f>
        <x:v>OPEN</x:v>
      </x:c>
    </x:row>
    <x:row r="62">
      <x:c r="B62" s="7" t="str">
        <x:v>TRV-PEA-A-X3-16</x:v>
      </x:c>
      <x:c r="C62" s="7" t="str">
        <x:v>PEA-A-X3</x:v>
      </x:c>
      <x:c r="D62" s="7" t="str">
        <x:v>BLD-A</x:v>
      </x:c>
      <x:c r="E62" s="7" t="str">
        <x:v>BL-X</x:v>
      </x:c>
      <x:c r="F62" s="7" t="str">
        <x:v>CS-16</x:v>
      </x:c>
      <x:c r="G62" s="7" t="str">
        <x:v>independent safety energy</x:v>
      </x:c>
      <x:c r="H62" s="7" t="str"/>
      <x:c r="I62" s="7" t="str"/>
      <x:c r="J62" s="7" t="str"/>
      <x:c r="K62" s="7" t="str"/>
      <x:c r="L62" s="7" t="str">
        <x:f>IF(K62="","OPEN",IF(OR(H62="",I62="",J62=""),"FAIL","PASS"))</x:f>
        <x:v>OPEN</x:v>
      </x:c>
    </x:row>
    <x:row r="63">
      <x:c r="B63" s="7" t="str">
        <x:v>TRV-PEA-A-X3-17</x:v>
      </x:c>
      <x:c r="C63" s="7" t="str">
        <x:v>PEA-A-X3</x:v>
      </x:c>
      <x:c r="D63" s="7" t="str">
        <x:v>BLD-A</x:v>
      </x:c>
      <x:c r="E63" s="7" t="str">
        <x:v>BL-X</x:v>
      </x:c>
      <x:c r="F63" s="7" t="str">
        <x:v>CS-17</x:v>
      </x:c>
      <x:c r="G63" s="7" t="str">
        <x:v>measurement frame</x:v>
      </x:c>
      <x:c r="H63" s="7" t="str"/>
      <x:c r="I63" s="7" t="str"/>
      <x:c r="J63" s="7" t="str"/>
      <x:c r="K63" s="7" t="str"/>
      <x:c r="L63" s="7" t="str">
        <x:f>IF(K63="","OPEN",IF(OR(H63="",I63="",J63=""),"FAIL","PASS"))</x:f>
        <x:v>OPEN</x:v>
      </x:c>
    </x:row>
    <x:row r="64">
      <x:c r="B64" s="7" t="str">
        <x:v>TRV-PEA-A-X3-18</x:v>
      </x:c>
      <x:c r="C64" s="7" t="str">
        <x:v>PEA-A-X3</x:v>
      </x:c>
      <x:c r="D64" s="7" t="str">
        <x:v>BLD-A</x:v>
      </x:c>
      <x:c r="E64" s="7" t="str">
        <x:v>BL-X</x:v>
      </x:c>
      <x:c r="F64" s="7" t="str">
        <x:v>CS-18</x:v>
      </x:c>
      <x:c r="G64" s="7" t="str">
        <x:v>causal time and evidence</x:v>
      </x:c>
      <x:c r="H64" s="7" t="str"/>
      <x:c r="I64" s="7" t="str"/>
      <x:c r="J64" s="7" t="str"/>
      <x:c r="K64" s="7" t="str"/>
      <x:c r="L64" s="7" t="str">
        <x:f>IF(K64="","OPEN",IF(OR(H64="",I64="",J64=""),"FAIL","PASS"))</x:f>
        <x:v>OPEN</x:v>
      </x:c>
    </x:row>
    <x:row r="65">
      <x:c r="B65" s="7" t="str">
        <x:v>TRV-PEA-A-X3-19</x:v>
      </x:c>
      <x:c r="C65" s="7" t="str">
        <x:v>PEA-A-X3</x:v>
      </x:c>
      <x:c r="D65" s="7" t="str">
        <x:v>BLD-A</x:v>
      </x:c>
      <x:c r="E65" s="7" t="str">
        <x:v>BL-X</x:v>
      </x:c>
      <x:c r="F65" s="7" t="str">
        <x:v>CS-19</x:v>
      </x:c>
      <x:c r="G65" s="7" t="str">
        <x:v>rescue and access</x:v>
      </x:c>
      <x:c r="H65" s="7" t="str"/>
      <x:c r="I65" s="7" t="str"/>
      <x:c r="J65" s="7" t="str"/>
      <x:c r="K65" s="7" t="str"/>
      <x:c r="L65" s="7" t="str">
        <x:f>IF(K65="","OPEN",IF(OR(H65="",I65="",J65=""),"FAIL","PASS"))</x:f>
        <x:v>OPEN</x:v>
      </x:c>
    </x:row>
    <x:row r="66">
      <x:c r="B66" s="7" t="str">
        <x:v>TRV-PEA-A-X3-20</x:v>
      </x:c>
      <x:c r="C66" s="7" t="str">
        <x:v>PEA-A-X3</x:v>
      </x:c>
      <x:c r="D66" s="7" t="str">
        <x:v>BLD-A</x:v>
      </x:c>
      <x:c r="E66" s="7" t="str">
        <x:v>BL-X</x:v>
      </x:c>
      <x:c r="F66" s="7" t="str">
        <x:v>CS-20</x:v>
      </x:c>
      <x:c r="G66" s="7" t="str">
        <x:v>environmental boundary</x:v>
      </x:c>
      <x:c r="H66" s="7" t="str"/>
      <x:c r="I66" s="7" t="str"/>
      <x:c r="J66" s="7" t="str"/>
      <x:c r="K66" s="7" t="str"/>
      <x:c r="L66" s="7" t="str">
        <x:f>IF(K66="","OPEN",IF(OR(H66="",I66="",J66=""),"FAIL","PASS"))</x:f>
        <x:v>OPEN</x:v>
      </x:c>
    </x:row>
    <x:row r="67">
      <x:c r="B67" s="7" t="str">
        <x:v>TRV-PEA-A-Y1-01</x:v>
      </x:c>
      <x:c r="C67" s="7" t="str">
        <x:v>PEA-A-Y1</x:v>
      </x:c>
      <x:c r="D67" s="7" t="str">
        <x:v>BLD-A</x:v>
      </x:c>
      <x:c r="E67" s="7" t="str">
        <x:v>BL-Y</x:v>
      </x:c>
      <x:c r="F67" s="7" t="str">
        <x:v>CS-01</x:v>
      </x:c>
      <x:c r="G67" s="7" t="str">
        <x:v>public datum</x:v>
      </x:c>
      <x:c r="H67" s="7" t="str"/>
      <x:c r="I67" s="7" t="str"/>
      <x:c r="J67" s="7" t="str"/>
      <x:c r="K67" s="7" t="str"/>
      <x:c r="L67" s="7" t="str">
        <x:f>IF(K67="","OPEN",IF(OR(H67="",I67="",J67=""),"FAIL","PASS"))</x:f>
        <x:v>OPEN</x:v>
      </x:c>
    </x:row>
    <x:row r="68">
      <x:c r="B68" s="7" t="str">
        <x:v>TRV-PEA-A-Y1-02</x:v>
      </x:c>
      <x:c r="C68" s="7" t="str">
        <x:v>PEA-A-Y1</x:v>
      </x:c>
      <x:c r="D68" s="7" t="str">
        <x:v>BLD-A</x:v>
      </x:c>
      <x:c r="E68" s="7" t="str">
        <x:v>BL-Y</x:v>
      </x:c>
      <x:c r="F68" s="7" t="str">
        <x:v>CS-02</x:v>
      </x:c>
      <x:c r="G68" s="7" t="str">
        <x:v>primary frame</x:v>
      </x:c>
      <x:c r="H68" s="7" t="str"/>
      <x:c r="I68" s="7" t="str"/>
      <x:c r="J68" s="7" t="str"/>
      <x:c r="K68" s="7" t="str"/>
      <x:c r="L68" s="7" t="str">
        <x:f>IF(K68="","OPEN",IF(OR(H68="",I68="",J68=""),"FAIL","PASS"))</x:f>
        <x:v>OPEN</x:v>
      </x:c>
    </x:row>
    <x:row r="69">
      <x:c r="B69" s="7" t="str">
        <x:v>TRV-PEA-A-Y1-03</x:v>
      </x:c>
      <x:c r="C69" s="7" t="str">
        <x:v>PEA-A-Y1</x:v>
      </x:c>
      <x:c r="D69" s="7" t="str">
        <x:v>BLD-A</x:v>
      </x:c>
      <x:c r="E69" s="7" t="str">
        <x:v>BL-Y</x:v>
      </x:c>
      <x:c r="F69" s="7" t="str">
        <x:v>CS-03</x:v>
      </x:c>
      <x:c r="G69" s="7" t="str">
        <x:v>source-surrogate vessel</x:v>
      </x:c>
      <x:c r="H69" s="7" t="str"/>
      <x:c r="I69" s="7" t="str"/>
      <x:c r="J69" s="7" t="str"/>
      <x:c r="K69" s="7" t="str"/>
      <x:c r="L69" s="7" t="str">
        <x:f>IF(K69="","OPEN",IF(OR(H69="",I69="",J69=""),"FAIL","PASS"))</x:f>
        <x:v>OPEN</x:v>
      </x:c>
    </x:row>
    <x:row r="70">
      <x:c r="B70" s="7" t="str">
        <x:v>TRV-PEA-A-Y1-04</x:v>
      </x:c>
      <x:c r="C70" s="7" t="str">
        <x:v>PEA-A-Y1</x:v>
      </x:c>
      <x:c r="D70" s="7" t="str">
        <x:v>BLD-A</x:v>
      </x:c>
      <x:c r="E70" s="7" t="str">
        <x:v>BL-Y</x:v>
      </x:c>
      <x:c r="F70" s="7" t="str">
        <x:v>CS-04</x:v>
      </x:c>
      <x:c r="G70" s="7" t="str">
        <x:v>capsule dock</x:v>
      </x:c>
      <x:c r="H70" s="7" t="str"/>
      <x:c r="I70" s="7" t="str"/>
      <x:c r="J70" s="7" t="str"/>
      <x:c r="K70" s="7" t="str"/>
      <x:c r="L70" s="7" t="str">
        <x:f>IF(K70="","OPEN",IF(OR(H70="",I70="",J70=""),"FAIL","PASS"))</x:f>
        <x:v>OPEN</x:v>
      </x:c>
    </x:row>
    <x:row r="71">
      <x:c r="B71" s="7" t="str">
        <x:v>TRV-PEA-A-Y1-05</x:v>
      </x:c>
      <x:c r="C71" s="7" t="str">
        <x:v>PEA-A-Y1</x:v>
      </x:c>
      <x:c r="D71" s="7" t="str">
        <x:v>BLD-A</x:v>
      </x:c>
      <x:c r="E71" s="7" t="str">
        <x:v>BL-Y</x:v>
      </x:c>
      <x:c r="F71" s="7" t="str">
        <x:v>CS-05</x:v>
      </x:c>
      <x:c r="G71" s="7" t="str">
        <x:v>40 mm insert</x:v>
      </x:c>
      <x:c r="H71" s="7" t="str"/>
      <x:c r="I71" s="7" t="str"/>
      <x:c r="J71" s="7" t="str"/>
      <x:c r="K71" s="7" t="str"/>
      <x:c r="L71" s="7" t="str">
        <x:f>IF(K71="","OPEN",IF(OR(H71="",I71="",J71=""),"FAIL","PASS"))</x:f>
        <x:v>OPEN</x:v>
      </x:c>
    </x:row>
    <x:row r="72">
      <x:c r="B72" s="7" t="str">
        <x:v>TRV-PEA-A-Y1-06</x:v>
      </x:c>
      <x:c r="C72" s="7" t="str">
        <x:v>PEA-A-Y1</x:v>
      </x:c>
      <x:c r="D72" s="7" t="str">
        <x:v>BLD-A</x:v>
      </x:c>
      <x:c r="E72" s="7" t="str">
        <x:v>BL-Y</x:v>
      </x:c>
      <x:c r="F72" s="7" t="str">
        <x:v>CS-06</x:v>
      </x:c>
      <x:c r="G72" s="7" t="str">
        <x:v>dispenser</x:v>
      </x:c>
      <x:c r="H72" s="7" t="str"/>
      <x:c r="I72" s="7" t="str"/>
      <x:c r="J72" s="7" t="str"/>
      <x:c r="K72" s="7" t="str"/>
      <x:c r="L72" s="7" t="str">
        <x:f>IF(K72="","OPEN",IF(OR(H72="",I72="",J72=""),"FAIL","PASS"))</x:f>
        <x:v>OPEN</x:v>
      </x:c>
    </x:row>
    <x:row r="73">
      <x:c r="B73" s="7" t="str">
        <x:v>TRV-PEA-A-Y1-07</x:v>
      </x:c>
      <x:c r="C73" s="7" t="str">
        <x:v>PEA-A-Y1</x:v>
      </x:c>
      <x:c r="D73" s="7" t="str">
        <x:v>BLD-A</x:v>
      </x:c>
      <x:c r="E73" s="7" t="str">
        <x:v>BL-Y</x:v>
      </x:c>
      <x:c r="F73" s="7" t="str">
        <x:v>CS-07</x:v>
      </x:c>
      <x:c r="G73" s="7" t="str">
        <x:v>inner pan</x:v>
      </x:c>
      <x:c r="H73" s="7" t="str"/>
      <x:c r="I73" s="7" t="str"/>
      <x:c r="J73" s="7" t="str"/>
      <x:c r="K73" s="7" t="str"/>
      <x:c r="L73" s="7" t="str">
        <x:f>IF(K73="","OPEN",IF(OR(H73="",I73="",J73=""),"FAIL","PASS"))</x:f>
        <x:v>OPEN</x:v>
      </x:c>
    </x:row>
    <x:row r="74">
      <x:c r="B74" s="7" t="str">
        <x:v>TRV-PEA-A-Y1-08</x:v>
      </x:c>
      <x:c r="C74" s="7" t="str">
        <x:v>PEA-A-Y1</x:v>
      </x:c>
      <x:c r="D74" s="7" t="str">
        <x:v>BLD-A</x:v>
      </x:c>
      <x:c r="E74" s="7" t="str">
        <x:v>BL-Y</x:v>
      </x:c>
      <x:c r="F74" s="7" t="str">
        <x:v>CS-08</x:v>
      </x:c>
      <x:c r="G74" s="7" t="str">
        <x:v>normal source route</x:v>
      </x:c>
      <x:c r="H74" s="7" t="str"/>
      <x:c r="I74" s="7" t="str"/>
      <x:c r="J74" s="7" t="str"/>
      <x:c r="K74" s="7" t="str"/>
      <x:c r="L74" s="7" t="str">
        <x:f>IF(K74="","OPEN",IF(OR(H74="",I74="",J74=""),"FAIL","PASS"))</x:f>
        <x:v>OPEN</x:v>
      </x:c>
    </x:row>
    <x:row r="75">
      <x:c r="B75" s="7" t="str">
        <x:v>TRV-PEA-A-Y1-09</x:v>
      </x:c>
      <x:c r="C75" s="7" t="str">
        <x:v>PEA-A-Y1</x:v>
      </x:c>
      <x:c r="D75" s="7" t="str">
        <x:v>BLD-A</x:v>
      </x:c>
      <x:c r="E75" s="7" t="str">
        <x:v>BL-Y</x:v>
      </x:c>
      <x:c r="F75" s="7" t="str">
        <x:v>CS-09</x:v>
      </x:c>
      <x:c r="G75" s="7" t="str">
        <x:v>casualty source route</x:v>
      </x:c>
      <x:c r="H75" s="7" t="str"/>
      <x:c r="I75" s="7" t="str"/>
      <x:c r="J75" s="7" t="str"/>
      <x:c r="K75" s="7" t="str"/>
      <x:c r="L75" s="7" t="str">
        <x:f>IF(K75="","OPEN",IF(OR(H75="",I75="",J75=""),"FAIL","PASS"))</x:f>
        <x:v>OPEN</x:v>
      </x:c>
    </x:row>
    <x:row r="76">
      <x:c r="B76" s="7" t="str">
        <x:v>TRV-PEA-A-Y1-10</x:v>
      </x:c>
      <x:c r="C76" s="7" t="str">
        <x:v>PEA-A-Y1</x:v>
      </x:c>
      <x:c r="D76" s="7" t="str">
        <x:v>BLD-A</x:v>
      </x:c>
      <x:c r="E76" s="7" t="str">
        <x:v>BL-Y</x:v>
      </x:c>
      <x:c r="F76" s="7" t="str">
        <x:v>CS-10</x:v>
      </x:c>
      <x:c r="G76" s="7" t="str">
        <x:v>normal source receiver</x:v>
      </x:c>
      <x:c r="H76" s="7" t="str"/>
      <x:c r="I76" s="7" t="str"/>
      <x:c r="J76" s="7" t="str"/>
      <x:c r="K76" s="7" t="str"/>
      <x:c r="L76" s="7" t="str">
        <x:f>IF(K76="","OPEN",IF(OR(H76="",I76="",J76=""),"FAIL","PASS"))</x:f>
        <x:v>OPEN</x:v>
      </x:c>
    </x:row>
    <x:row r="77">
      <x:c r="B77" s="7" t="str">
        <x:v>TRV-PEA-A-Y1-11</x:v>
      </x:c>
      <x:c r="C77" s="7" t="str">
        <x:v>PEA-A-Y1</x:v>
      </x:c>
      <x:c r="D77" s="7" t="str">
        <x:v>BLD-A</x:v>
      </x:c>
      <x:c r="E77" s="7" t="str">
        <x:v>BL-Y</x:v>
      </x:c>
      <x:c r="F77" s="7" t="str">
        <x:v>CS-11</x:v>
      </x:c>
      <x:c r="G77" s="7" t="str">
        <x:v>casualty source interface</x:v>
      </x:c>
      <x:c r="H77" s="7" t="str"/>
      <x:c r="I77" s="7" t="str"/>
      <x:c r="J77" s="7" t="str"/>
      <x:c r="K77" s="7" t="str"/>
      <x:c r="L77" s="7" t="str">
        <x:f>IF(K77="","OPEN",IF(OR(H77="",I77="",J77=""),"FAIL","PASS"))</x:f>
        <x:v>OPEN</x:v>
      </x:c>
    </x:row>
    <x:row r="78">
      <x:c r="B78" s="7" t="str">
        <x:v>TRV-PEA-A-Y1-12</x:v>
      </x:c>
      <x:c r="C78" s="7" t="str">
        <x:v>PEA-A-Y1</x:v>
      </x:c>
      <x:c r="D78" s="7" t="str">
        <x:v>BLD-A</x:v>
      </x:c>
      <x:c r="E78" s="7" t="str">
        <x:v>BL-Y</x:v>
      </x:c>
      <x:c r="F78" s="7" t="str">
        <x:v>CS-12</x:v>
      </x:c>
      <x:c r="G78" s="7" t="str">
        <x:v>candidate-water isolation</x:v>
      </x:c>
      <x:c r="H78" s="7" t="str"/>
      <x:c r="I78" s="7" t="str"/>
      <x:c r="J78" s="7" t="str"/>
      <x:c r="K78" s="7" t="str"/>
      <x:c r="L78" s="7" t="str">
        <x:f>IF(K78="","OPEN",IF(OR(H78="",I78="",J78=""),"FAIL","PASS"))</x:f>
        <x:v>OPEN</x:v>
      </x:c>
    </x:row>
    <x:row r="79">
      <x:c r="B79" s="7" t="str">
        <x:v>TRV-PEA-A-Y1-13</x:v>
      </x:c>
      <x:c r="C79" s="7" t="str">
        <x:v>PEA-A-Y1</x:v>
      </x:c>
      <x:c r="D79" s="7" t="str">
        <x:v>BLD-A</x:v>
      </x:c>
      <x:c r="E79" s="7" t="str">
        <x:v>BL-Y</x:v>
      </x:c>
      <x:c r="F79" s="7" t="str">
        <x:v>CS-13</x:v>
      </x:c>
      <x:c r="G79" s="7" t="str">
        <x:v>public-water isolation</x:v>
      </x:c>
      <x:c r="H79" s="7" t="str"/>
      <x:c r="I79" s="7" t="str"/>
      <x:c r="J79" s="7" t="str"/>
      <x:c r="K79" s="7" t="str"/>
      <x:c r="L79" s="7" t="str">
        <x:f>IF(K79="","OPEN",IF(OR(H79="",I79="",J79=""),"FAIL","PASS"))</x:f>
        <x:v>OPEN</x:v>
      </x:c>
    </x:row>
    <x:row r="80">
      <x:c r="B80" s="7" t="str">
        <x:v>TRV-PEA-A-Y1-14</x:v>
      </x:c>
      <x:c r="C80" s="7" t="str">
        <x:v>PEA-A-Y1</x:v>
      </x:c>
      <x:c r="D80" s="7" t="str">
        <x:v>BLD-A</x:v>
      </x:c>
      <x:c r="E80" s="7" t="str">
        <x:v>BL-Y</x:v>
      </x:c>
      <x:c r="F80" s="7" t="str">
        <x:v>CS-14</x:v>
      </x:c>
      <x:c r="G80" s="7" t="str">
        <x:v>casualty-water interface</x:v>
      </x:c>
      <x:c r="H80" s="7" t="str"/>
      <x:c r="I80" s="7" t="str"/>
      <x:c r="J80" s="7" t="str"/>
      <x:c r="K80" s="7" t="str"/>
      <x:c r="L80" s="7" t="str">
        <x:f>IF(K80="","OPEN",IF(OR(H80="",I80="",J80=""),"FAIL","PASS"))</x:f>
        <x:v>OPEN</x:v>
      </x:c>
    </x:row>
    <x:row r="81">
      <x:c r="B81" s="7" t="str">
        <x:v>TRV-PEA-A-Y1-15</x:v>
      </x:c>
      <x:c r="C81" s="7" t="str">
        <x:v>PEA-A-Y1</x:v>
      </x:c>
      <x:c r="D81" s="7" t="str">
        <x:v>BLD-A</x:v>
      </x:c>
      <x:c r="E81" s="7" t="str">
        <x:v>BL-Y</x:v>
      </x:c>
      <x:c r="F81" s="7" t="str">
        <x:v>CS-15</x:v>
      </x:c>
      <x:c r="G81" s="7" t="str">
        <x:v>final control assembly</x:v>
      </x:c>
      <x:c r="H81" s="7" t="str"/>
      <x:c r="I81" s="7" t="str"/>
      <x:c r="J81" s="7" t="str"/>
      <x:c r="K81" s="7" t="str"/>
      <x:c r="L81" s="7" t="str">
        <x:f>IF(K81="","OPEN",IF(OR(H81="",I81="",J81=""),"FAIL","PASS"))</x:f>
        <x:v>OPEN</x:v>
      </x:c>
    </x:row>
    <x:row r="82">
      <x:c r="B82" s="7" t="str">
        <x:v>TRV-PEA-A-Y1-16</x:v>
      </x:c>
      <x:c r="C82" s="7" t="str">
        <x:v>PEA-A-Y1</x:v>
      </x:c>
      <x:c r="D82" s="7" t="str">
        <x:v>BLD-A</x:v>
      </x:c>
      <x:c r="E82" s="7" t="str">
        <x:v>BL-Y</x:v>
      </x:c>
      <x:c r="F82" s="7" t="str">
        <x:v>CS-16</x:v>
      </x:c>
      <x:c r="G82" s="7" t="str">
        <x:v>independent safety energy</x:v>
      </x:c>
      <x:c r="H82" s="7" t="str"/>
      <x:c r="I82" s="7" t="str"/>
      <x:c r="J82" s="7" t="str"/>
      <x:c r="K82" s="7" t="str"/>
      <x:c r="L82" s="7" t="str">
        <x:f>IF(K82="","OPEN",IF(OR(H82="",I82="",J82=""),"FAIL","PASS"))</x:f>
        <x:v>OPEN</x:v>
      </x:c>
    </x:row>
    <x:row r="83">
      <x:c r="B83" s="7" t="str">
        <x:v>TRV-PEA-A-Y1-17</x:v>
      </x:c>
      <x:c r="C83" s="7" t="str">
        <x:v>PEA-A-Y1</x:v>
      </x:c>
      <x:c r="D83" s="7" t="str">
        <x:v>BLD-A</x:v>
      </x:c>
      <x:c r="E83" s="7" t="str">
        <x:v>BL-Y</x:v>
      </x:c>
      <x:c r="F83" s="7" t="str">
        <x:v>CS-17</x:v>
      </x:c>
      <x:c r="G83" s="7" t="str">
        <x:v>measurement frame</x:v>
      </x:c>
      <x:c r="H83" s="7" t="str"/>
      <x:c r="I83" s="7" t="str"/>
      <x:c r="J83" s="7" t="str"/>
      <x:c r="K83" s="7" t="str"/>
      <x:c r="L83" s="7" t="str">
        <x:f>IF(K83="","OPEN",IF(OR(H83="",I83="",J83=""),"FAIL","PASS"))</x:f>
        <x:v>OPEN</x:v>
      </x:c>
    </x:row>
    <x:row r="84">
      <x:c r="B84" s="7" t="str">
        <x:v>TRV-PEA-A-Y1-18</x:v>
      </x:c>
      <x:c r="C84" s="7" t="str">
        <x:v>PEA-A-Y1</x:v>
      </x:c>
      <x:c r="D84" s="7" t="str">
        <x:v>BLD-A</x:v>
      </x:c>
      <x:c r="E84" s="7" t="str">
        <x:v>BL-Y</x:v>
      </x:c>
      <x:c r="F84" s="7" t="str">
        <x:v>CS-18</x:v>
      </x:c>
      <x:c r="G84" s="7" t="str">
        <x:v>causal time and evidence</x:v>
      </x:c>
      <x:c r="H84" s="7" t="str"/>
      <x:c r="I84" s="7" t="str"/>
      <x:c r="J84" s="7" t="str"/>
      <x:c r="K84" s="7" t="str"/>
      <x:c r="L84" s="7" t="str">
        <x:f>IF(K84="","OPEN",IF(OR(H84="",I84="",J84=""),"FAIL","PASS"))</x:f>
        <x:v>OPEN</x:v>
      </x:c>
    </x:row>
    <x:row r="85">
      <x:c r="B85" s="7" t="str">
        <x:v>TRV-PEA-A-Y1-19</x:v>
      </x:c>
      <x:c r="C85" s="7" t="str">
        <x:v>PEA-A-Y1</x:v>
      </x:c>
      <x:c r="D85" s="7" t="str">
        <x:v>BLD-A</x:v>
      </x:c>
      <x:c r="E85" s="7" t="str">
        <x:v>BL-Y</x:v>
      </x:c>
      <x:c r="F85" s="7" t="str">
        <x:v>CS-19</x:v>
      </x:c>
      <x:c r="G85" s="7" t="str">
        <x:v>rescue and access</x:v>
      </x:c>
      <x:c r="H85" s="7" t="str"/>
      <x:c r="I85" s="7" t="str"/>
      <x:c r="J85" s="7" t="str"/>
      <x:c r="K85" s="7" t="str"/>
      <x:c r="L85" s="7" t="str">
        <x:f>IF(K85="","OPEN",IF(OR(H85="",I85="",J85=""),"FAIL","PASS"))</x:f>
        <x:v>OPEN</x:v>
      </x:c>
    </x:row>
    <x:row r="86">
      <x:c r="B86" s="7" t="str">
        <x:v>TRV-PEA-A-Y1-20</x:v>
      </x:c>
      <x:c r="C86" s="7" t="str">
        <x:v>PEA-A-Y1</x:v>
      </x:c>
      <x:c r="D86" s="7" t="str">
        <x:v>BLD-A</x:v>
      </x:c>
      <x:c r="E86" s="7" t="str">
        <x:v>BL-Y</x:v>
      </x:c>
      <x:c r="F86" s="7" t="str">
        <x:v>CS-20</x:v>
      </x:c>
      <x:c r="G86" s="7" t="str">
        <x:v>environmental boundary</x:v>
      </x:c>
      <x:c r="H86" s="7" t="str"/>
      <x:c r="I86" s="7" t="str"/>
      <x:c r="J86" s="7" t="str"/>
      <x:c r="K86" s="7" t="str"/>
      <x:c r="L86" s="7" t="str">
        <x:f>IF(K86="","OPEN",IF(OR(H86="",I86="",J86=""),"FAIL","PASS"))</x:f>
        <x:v>OPEN</x:v>
      </x:c>
    </x:row>
    <x:row r="87">
      <x:c r="B87" s="7" t="str">
        <x:v>TRV-PEA-A-Y2-01</x:v>
      </x:c>
      <x:c r="C87" s="7" t="str">
        <x:v>PEA-A-Y2</x:v>
      </x:c>
      <x:c r="D87" s="7" t="str">
        <x:v>BLD-A</x:v>
      </x:c>
      <x:c r="E87" s="7" t="str">
        <x:v>BL-Y</x:v>
      </x:c>
      <x:c r="F87" s="7" t="str">
        <x:v>CS-01</x:v>
      </x:c>
      <x:c r="G87" s="7" t="str">
        <x:v>public datum</x:v>
      </x:c>
      <x:c r="H87" s="7" t="str"/>
      <x:c r="I87" s="7" t="str"/>
      <x:c r="J87" s="7" t="str"/>
      <x:c r="K87" s="7" t="str"/>
      <x:c r="L87" s="7" t="str">
        <x:f>IF(K87="","OPEN",IF(OR(H87="",I87="",J87=""),"FAIL","PASS"))</x:f>
        <x:v>OPEN</x:v>
      </x:c>
    </x:row>
    <x:row r="88">
      <x:c r="B88" s="7" t="str">
        <x:v>TRV-PEA-A-Y2-02</x:v>
      </x:c>
      <x:c r="C88" s="7" t="str">
        <x:v>PEA-A-Y2</x:v>
      </x:c>
      <x:c r="D88" s="7" t="str">
        <x:v>BLD-A</x:v>
      </x:c>
      <x:c r="E88" s="7" t="str">
        <x:v>BL-Y</x:v>
      </x:c>
      <x:c r="F88" s="7" t="str">
        <x:v>CS-02</x:v>
      </x:c>
      <x:c r="G88" s="7" t="str">
        <x:v>primary frame</x:v>
      </x:c>
      <x:c r="H88" s="7" t="str"/>
      <x:c r="I88" s="7" t="str"/>
      <x:c r="J88" s="7" t="str"/>
      <x:c r="K88" s="7" t="str"/>
      <x:c r="L88" s="7" t="str">
        <x:f>IF(K88="","OPEN",IF(OR(H88="",I88="",J88=""),"FAIL","PASS"))</x:f>
        <x:v>OPEN</x:v>
      </x:c>
    </x:row>
    <x:row r="89">
      <x:c r="B89" s="7" t="str">
        <x:v>TRV-PEA-A-Y2-03</x:v>
      </x:c>
      <x:c r="C89" s="7" t="str">
        <x:v>PEA-A-Y2</x:v>
      </x:c>
      <x:c r="D89" s="7" t="str">
        <x:v>BLD-A</x:v>
      </x:c>
      <x:c r="E89" s="7" t="str">
        <x:v>BL-Y</x:v>
      </x:c>
      <x:c r="F89" s="7" t="str">
        <x:v>CS-03</x:v>
      </x:c>
      <x:c r="G89" s="7" t="str">
        <x:v>source-surrogate vessel</x:v>
      </x:c>
      <x:c r="H89" s="7" t="str"/>
      <x:c r="I89" s="7" t="str"/>
      <x:c r="J89" s="7" t="str"/>
      <x:c r="K89" s="7" t="str"/>
      <x:c r="L89" s="7" t="str">
        <x:f>IF(K89="","OPEN",IF(OR(H89="",I89="",J89=""),"FAIL","PASS"))</x:f>
        <x:v>OPEN</x:v>
      </x:c>
    </x:row>
    <x:row r="90">
      <x:c r="B90" s="7" t="str">
        <x:v>TRV-PEA-A-Y2-04</x:v>
      </x:c>
      <x:c r="C90" s="7" t="str">
        <x:v>PEA-A-Y2</x:v>
      </x:c>
      <x:c r="D90" s="7" t="str">
        <x:v>BLD-A</x:v>
      </x:c>
      <x:c r="E90" s="7" t="str">
        <x:v>BL-Y</x:v>
      </x:c>
      <x:c r="F90" s="7" t="str">
        <x:v>CS-04</x:v>
      </x:c>
      <x:c r="G90" s="7" t="str">
        <x:v>capsule dock</x:v>
      </x:c>
      <x:c r="H90" s="7" t="str"/>
      <x:c r="I90" s="7" t="str"/>
      <x:c r="J90" s="7" t="str"/>
      <x:c r="K90" s="7" t="str"/>
      <x:c r="L90" s="7" t="str">
        <x:f>IF(K90="","OPEN",IF(OR(H90="",I90="",J90=""),"FAIL","PASS"))</x:f>
        <x:v>OPEN</x:v>
      </x:c>
    </x:row>
    <x:row r="91">
      <x:c r="B91" s="7" t="str">
        <x:v>TRV-PEA-A-Y2-05</x:v>
      </x:c>
      <x:c r="C91" s="7" t="str">
        <x:v>PEA-A-Y2</x:v>
      </x:c>
      <x:c r="D91" s="7" t="str">
        <x:v>BLD-A</x:v>
      </x:c>
      <x:c r="E91" s="7" t="str">
        <x:v>BL-Y</x:v>
      </x:c>
      <x:c r="F91" s="7" t="str">
        <x:v>CS-05</x:v>
      </x:c>
      <x:c r="G91" s="7" t="str">
        <x:v>40 mm insert</x:v>
      </x:c>
      <x:c r="H91" s="7" t="str"/>
      <x:c r="I91" s="7" t="str"/>
      <x:c r="J91" s="7" t="str"/>
      <x:c r="K91" s="7" t="str"/>
      <x:c r="L91" s="7" t="str">
        <x:f>IF(K91="","OPEN",IF(OR(H91="",I91="",J91=""),"FAIL","PASS"))</x:f>
        <x:v>OPEN</x:v>
      </x:c>
    </x:row>
    <x:row r="92">
      <x:c r="B92" s="7" t="str">
        <x:v>TRV-PEA-A-Y2-06</x:v>
      </x:c>
      <x:c r="C92" s="7" t="str">
        <x:v>PEA-A-Y2</x:v>
      </x:c>
      <x:c r="D92" s="7" t="str">
        <x:v>BLD-A</x:v>
      </x:c>
      <x:c r="E92" s="7" t="str">
        <x:v>BL-Y</x:v>
      </x:c>
      <x:c r="F92" s="7" t="str">
        <x:v>CS-06</x:v>
      </x:c>
      <x:c r="G92" s="7" t="str">
        <x:v>dispenser</x:v>
      </x:c>
      <x:c r="H92" s="7" t="str"/>
      <x:c r="I92" s="7" t="str"/>
      <x:c r="J92" s="7" t="str"/>
      <x:c r="K92" s="7" t="str"/>
      <x:c r="L92" s="7" t="str">
        <x:f>IF(K92="","OPEN",IF(OR(H92="",I92="",J92=""),"FAIL","PASS"))</x:f>
        <x:v>OPEN</x:v>
      </x:c>
    </x:row>
    <x:row r="93">
      <x:c r="B93" s="7" t="str">
        <x:v>TRV-PEA-A-Y2-07</x:v>
      </x:c>
      <x:c r="C93" s="7" t="str">
        <x:v>PEA-A-Y2</x:v>
      </x:c>
      <x:c r="D93" s="7" t="str">
        <x:v>BLD-A</x:v>
      </x:c>
      <x:c r="E93" s="7" t="str">
        <x:v>BL-Y</x:v>
      </x:c>
      <x:c r="F93" s="7" t="str">
        <x:v>CS-07</x:v>
      </x:c>
      <x:c r="G93" s="7" t="str">
        <x:v>inner pan</x:v>
      </x:c>
      <x:c r="H93" s="7" t="str"/>
      <x:c r="I93" s="7" t="str"/>
      <x:c r="J93" s="7" t="str"/>
      <x:c r="K93" s="7" t="str"/>
      <x:c r="L93" s="7" t="str">
        <x:f>IF(K93="","OPEN",IF(OR(H93="",I93="",J93=""),"FAIL","PASS"))</x:f>
        <x:v>OPEN</x:v>
      </x:c>
    </x:row>
    <x:row r="94">
      <x:c r="B94" s="7" t="str">
        <x:v>TRV-PEA-A-Y2-08</x:v>
      </x:c>
      <x:c r="C94" s="7" t="str">
        <x:v>PEA-A-Y2</x:v>
      </x:c>
      <x:c r="D94" s="7" t="str">
        <x:v>BLD-A</x:v>
      </x:c>
      <x:c r="E94" s="7" t="str">
        <x:v>BL-Y</x:v>
      </x:c>
      <x:c r="F94" s="7" t="str">
        <x:v>CS-08</x:v>
      </x:c>
      <x:c r="G94" s="7" t="str">
        <x:v>normal source route</x:v>
      </x:c>
      <x:c r="H94" s="7" t="str"/>
      <x:c r="I94" s="7" t="str"/>
      <x:c r="J94" s="7" t="str"/>
      <x:c r="K94" s="7" t="str"/>
      <x:c r="L94" s="7" t="str">
        <x:f>IF(K94="","OPEN",IF(OR(H94="",I94="",J94=""),"FAIL","PASS"))</x:f>
        <x:v>OPEN</x:v>
      </x:c>
    </x:row>
    <x:row r="95">
      <x:c r="B95" s="7" t="str">
        <x:v>TRV-PEA-A-Y2-09</x:v>
      </x:c>
      <x:c r="C95" s="7" t="str">
        <x:v>PEA-A-Y2</x:v>
      </x:c>
      <x:c r="D95" s="7" t="str">
        <x:v>BLD-A</x:v>
      </x:c>
      <x:c r="E95" s="7" t="str">
        <x:v>BL-Y</x:v>
      </x:c>
      <x:c r="F95" s="7" t="str">
        <x:v>CS-09</x:v>
      </x:c>
      <x:c r="G95" s="7" t="str">
        <x:v>casualty source route</x:v>
      </x:c>
      <x:c r="H95" s="7" t="str"/>
      <x:c r="I95" s="7" t="str"/>
      <x:c r="J95" s="7" t="str"/>
      <x:c r="K95" s="7" t="str"/>
      <x:c r="L95" s="7" t="str">
        <x:f>IF(K95="","OPEN",IF(OR(H95="",I95="",J95=""),"FAIL","PASS"))</x:f>
        <x:v>OPEN</x:v>
      </x:c>
    </x:row>
    <x:row r="96">
      <x:c r="B96" s="7" t="str">
        <x:v>TRV-PEA-A-Y2-10</x:v>
      </x:c>
      <x:c r="C96" s="7" t="str">
        <x:v>PEA-A-Y2</x:v>
      </x:c>
      <x:c r="D96" s="7" t="str">
        <x:v>BLD-A</x:v>
      </x:c>
      <x:c r="E96" s="7" t="str">
        <x:v>BL-Y</x:v>
      </x:c>
      <x:c r="F96" s="7" t="str">
        <x:v>CS-10</x:v>
      </x:c>
      <x:c r="G96" s="7" t="str">
        <x:v>normal source receiver</x:v>
      </x:c>
      <x:c r="H96" s="7" t="str"/>
      <x:c r="I96" s="7" t="str"/>
      <x:c r="J96" s="7" t="str"/>
      <x:c r="K96" s="7" t="str"/>
      <x:c r="L96" s="7" t="str">
        <x:f>IF(K96="","OPEN",IF(OR(H96="",I96="",J96=""),"FAIL","PASS"))</x:f>
        <x:v>OPEN</x:v>
      </x:c>
    </x:row>
    <x:row r="97">
      <x:c r="B97" s="7" t="str">
        <x:v>TRV-PEA-A-Y2-11</x:v>
      </x:c>
      <x:c r="C97" s="7" t="str">
        <x:v>PEA-A-Y2</x:v>
      </x:c>
      <x:c r="D97" s="7" t="str">
        <x:v>BLD-A</x:v>
      </x:c>
      <x:c r="E97" s="7" t="str">
        <x:v>BL-Y</x:v>
      </x:c>
      <x:c r="F97" s="7" t="str">
        <x:v>CS-11</x:v>
      </x:c>
      <x:c r="G97" s="7" t="str">
        <x:v>casualty source interface</x:v>
      </x:c>
      <x:c r="H97" s="7" t="str"/>
      <x:c r="I97" s="7" t="str"/>
      <x:c r="J97" s="7" t="str"/>
      <x:c r="K97" s="7" t="str"/>
      <x:c r="L97" s="7" t="str">
        <x:f>IF(K97="","OPEN",IF(OR(H97="",I97="",J97=""),"FAIL","PASS"))</x:f>
        <x:v>OPEN</x:v>
      </x:c>
    </x:row>
    <x:row r="98">
      <x:c r="B98" s="7" t="str">
        <x:v>TRV-PEA-A-Y2-12</x:v>
      </x:c>
      <x:c r="C98" s="7" t="str">
        <x:v>PEA-A-Y2</x:v>
      </x:c>
      <x:c r="D98" s="7" t="str">
        <x:v>BLD-A</x:v>
      </x:c>
      <x:c r="E98" s="7" t="str">
        <x:v>BL-Y</x:v>
      </x:c>
      <x:c r="F98" s="7" t="str">
        <x:v>CS-12</x:v>
      </x:c>
      <x:c r="G98" s="7" t="str">
        <x:v>candidate-water isolation</x:v>
      </x:c>
      <x:c r="H98" s="7" t="str"/>
      <x:c r="I98" s="7" t="str"/>
      <x:c r="J98" s="7" t="str"/>
      <x:c r="K98" s="7" t="str"/>
      <x:c r="L98" s="7" t="str">
        <x:f>IF(K98="","OPEN",IF(OR(H98="",I98="",J98=""),"FAIL","PASS"))</x:f>
        <x:v>OPEN</x:v>
      </x:c>
    </x:row>
    <x:row r="99">
      <x:c r="B99" s="7" t="str">
        <x:v>TRV-PEA-A-Y2-13</x:v>
      </x:c>
      <x:c r="C99" s="7" t="str">
        <x:v>PEA-A-Y2</x:v>
      </x:c>
      <x:c r="D99" s="7" t="str">
        <x:v>BLD-A</x:v>
      </x:c>
      <x:c r="E99" s="7" t="str">
        <x:v>BL-Y</x:v>
      </x:c>
      <x:c r="F99" s="7" t="str">
        <x:v>CS-13</x:v>
      </x:c>
      <x:c r="G99" s="7" t="str">
        <x:v>public-water isolation</x:v>
      </x:c>
      <x:c r="H99" s="7" t="str"/>
      <x:c r="I99" s="7" t="str"/>
      <x:c r="J99" s="7" t="str"/>
      <x:c r="K99" s="7" t="str"/>
      <x:c r="L99" s="7" t="str">
        <x:f>IF(K99="","OPEN",IF(OR(H99="",I99="",J99=""),"FAIL","PASS"))</x:f>
        <x:v>OPEN</x:v>
      </x:c>
    </x:row>
    <x:row r="100">
      <x:c r="B100" s="7" t="str">
        <x:v>TRV-PEA-A-Y2-14</x:v>
      </x:c>
      <x:c r="C100" s="7" t="str">
        <x:v>PEA-A-Y2</x:v>
      </x:c>
      <x:c r="D100" s="7" t="str">
        <x:v>BLD-A</x:v>
      </x:c>
      <x:c r="E100" s="7" t="str">
        <x:v>BL-Y</x:v>
      </x:c>
      <x:c r="F100" s="7" t="str">
        <x:v>CS-14</x:v>
      </x:c>
      <x:c r="G100" s="7" t="str">
        <x:v>casualty-water interface</x:v>
      </x:c>
      <x:c r="H100" s="7" t="str"/>
      <x:c r="I100" s="7" t="str"/>
      <x:c r="J100" s="7" t="str"/>
      <x:c r="K100" s="7" t="str"/>
      <x:c r="L100" s="7" t="str">
        <x:f>IF(K100="","OPEN",IF(OR(H100="",I100="",J100=""),"FAIL","PASS"))</x:f>
        <x:v>OPEN</x:v>
      </x:c>
    </x:row>
    <x:row r="101">
      <x:c r="B101" s="7" t="str">
        <x:v>TRV-PEA-A-Y2-15</x:v>
      </x:c>
      <x:c r="C101" s="7" t="str">
        <x:v>PEA-A-Y2</x:v>
      </x:c>
      <x:c r="D101" s="7" t="str">
        <x:v>BLD-A</x:v>
      </x:c>
      <x:c r="E101" s="7" t="str">
        <x:v>BL-Y</x:v>
      </x:c>
      <x:c r="F101" s="7" t="str">
        <x:v>CS-15</x:v>
      </x:c>
      <x:c r="G101" s="7" t="str">
        <x:v>final control assembly</x:v>
      </x:c>
      <x:c r="H101" s="7" t="str"/>
      <x:c r="I101" s="7" t="str"/>
      <x:c r="J101" s="7" t="str"/>
      <x:c r="K101" s="7" t="str"/>
      <x:c r="L101" s="7" t="str">
        <x:f>IF(K101="","OPEN",IF(OR(H101="",I101="",J101=""),"FAIL","PASS"))</x:f>
        <x:v>OPEN</x:v>
      </x:c>
    </x:row>
    <x:row r="102">
      <x:c r="B102" s="7" t="str">
        <x:v>TRV-PEA-A-Y2-16</x:v>
      </x:c>
      <x:c r="C102" s="7" t="str">
        <x:v>PEA-A-Y2</x:v>
      </x:c>
      <x:c r="D102" s="7" t="str">
        <x:v>BLD-A</x:v>
      </x:c>
      <x:c r="E102" s="7" t="str">
        <x:v>BL-Y</x:v>
      </x:c>
      <x:c r="F102" s="7" t="str">
        <x:v>CS-16</x:v>
      </x:c>
      <x:c r="G102" s="7" t="str">
        <x:v>independent safety energy</x:v>
      </x:c>
      <x:c r="H102" s="7" t="str"/>
      <x:c r="I102" s="7" t="str"/>
      <x:c r="J102" s="7" t="str"/>
      <x:c r="K102" s="7" t="str"/>
      <x:c r="L102" s="7" t="str">
        <x:f>IF(K102="","OPEN",IF(OR(H102="",I102="",J102=""),"FAIL","PASS"))</x:f>
        <x:v>OPEN</x:v>
      </x:c>
    </x:row>
    <x:row r="103">
      <x:c r="B103" s="7" t="str">
        <x:v>TRV-PEA-A-Y2-17</x:v>
      </x:c>
      <x:c r="C103" s="7" t="str">
        <x:v>PEA-A-Y2</x:v>
      </x:c>
      <x:c r="D103" s="7" t="str">
        <x:v>BLD-A</x:v>
      </x:c>
      <x:c r="E103" s="7" t="str">
        <x:v>BL-Y</x:v>
      </x:c>
      <x:c r="F103" s="7" t="str">
        <x:v>CS-17</x:v>
      </x:c>
      <x:c r="G103" s="7" t="str">
        <x:v>measurement frame</x:v>
      </x:c>
      <x:c r="H103" s="7" t="str"/>
      <x:c r="I103" s="7" t="str"/>
      <x:c r="J103" s="7" t="str"/>
      <x:c r="K103" s="7" t="str"/>
      <x:c r="L103" s="7" t="str">
        <x:f>IF(K103="","OPEN",IF(OR(H103="",I103="",J103=""),"FAIL","PASS"))</x:f>
        <x:v>OPEN</x:v>
      </x:c>
    </x:row>
    <x:row r="104">
      <x:c r="B104" s="7" t="str">
        <x:v>TRV-PEA-A-Y2-18</x:v>
      </x:c>
      <x:c r="C104" s="7" t="str">
        <x:v>PEA-A-Y2</x:v>
      </x:c>
      <x:c r="D104" s="7" t="str">
        <x:v>BLD-A</x:v>
      </x:c>
      <x:c r="E104" s="7" t="str">
        <x:v>BL-Y</x:v>
      </x:c>
      <x:c r="F104" s="7" t="str">
        <x:v>CS-18</x:v>
      </x:c>
      <x:c r="G104" s="7" t="str">
        <x:v>causal time and evidence</x:v>
      </x:c>
      <x:c r="H104" s="7" t="str"/>
      <x:c r="I104" s="7" t="str"/>
      <x:c r="J104" s="7" t="str"/>
      <x:c r="K104" s="7" t="str"/>
      <x:c r="L104" s="7" t="str">
        <x:f>IF(K104="","OPEN",IF(OR(H104="",I104="",J104=""),"FAIL","PASS"))</x:f>
        <x:v>OPEN</x:v>
      </x:c>
    </x:row>
    <x:row r="105">
      <x:c r="B105" s="7" t="str">
        <x:v>TRV-PEA-A-Y2-19</x:v>
      </x:c>
      <x:c r="C105" s="7" t="str">
        <x:v>PEA-A-Y2</x:v>
      </x:c>
      <x:c r="D105" s="7" t="str">
        <x:v>BLD-A</x:v>
      </x:c>
      <x:c r="E105" s="7" t="str">
        <x:v>BL-Y</x:v>
      </x:c>
      <x:c r="F105" s="7" t="str">
        <x:v>CS-19</x:v>
      </x:c>
      <x:c r="G105" s="7" t="str">
        <x:v>rescue and access</x:v>
      </x:c>
      <x:c r="H105" s="7" t="str"/>
      <x:c r="I105" s="7" t="str"/>
      <x:c r="J105" s="7" t="str"/>
      <x:c r="K105" s="7" t="str"/>
      <x:c r="L105" s="7" t="str">
        <x:f>IF(K105="","OPEN",IF(OR(H105="",I105="",J105=""),"FAIL","PASS"))</x:f>
        <x:v>OPEN</x:v>
      </x:c>
    </x:row>
    <x:row r="106">
      <x:c r="B106" s="7" t="str">
        <x:v>TRV-PEA-A-Y2-20</x:v>
      </x:c>
      <x:c r="C106" s="7" t="str">
        <x:v>PEA-A-Y2</x:v>
      </x:c>
      <x:c r="D106" s="7" t="str">
        <x:v>BLD-A</x:v>
      </x:c>
      <x:c r="E106" s="7" t="str">
        <x:v>BL-Y</x:v>
      </x:c>
      <x:c r="F106" s="7" t="str">
        <x:v>CS-20</x:v>
      </x:c>
      <x:c r="G106" s="7" t="str">
        <x:v>environmental boundary</x:v>
      </x:c>
      <x:c r="H106" s="7" t="str"/>
      <x:c r="I106" s="7" t="str"/>
      <x:c r="J106" s="7" t="str"/>
      <x:c r="K106" s="7" t="str"/>
      <x:c r="L106" s="7" t="str">
        <x:f>IF(K106="","OPEN",IF(OR(H106="",I106="",J106=""),"FAIL","PASS"))</x:f>
        <x:v>OPEN</x:v>
      </x:c>
    </x:row>
    <x:row r="107">
      <x:c r="B107" s="7" t="str">
        <x:v>TRV-PEA-A-Y3-01</x:v>
      </x:c>
      <x:c r="C107" s="7" t="str">
        <x:v>PEA-A-Y3</x:v>
      </x:c>
      <x:c r="D107" s="7" t="str">
        <x:v>BLD-A</x:v>
      </x:c>
      <x:c r="E107" s="7" t="str">
        <x:v>BL-Y</x:v>
      </x:c>
      <x:c r="F107" s="7" t="str">
        <x:v>CS-01</x:v>
      </x:c>
      <x:c r="G107" s="7" t="str">
        <x:v>public datum</x:v>
      </x:c>
      <x:c r="H107" s="7" t="str"/>
      <x:c r="I107" s="7" t="str"/>
      <x:c r="J107" s="7" t="str"/>
      <x:c r="K107" s="7" t="str"/>
      <x:c r="L107" s="7" t="str">
        <x:f>IF(K107="","OPEN",IF(OR(H107="",I107="",J107=""),"FAIL","PASS"))</x:f>
        <x:v>OPEN</x:v>
      </x:c>
    </x:row>
    <x:row r="108">
      <x:c r="B108" s="7" t="str">
        <x:v>TRV-PEA-A-Y3-02</x:v>
      </x:c>
      <x:c r="C108" s="7" t="str">
        <x:v>PEA-A-Y3</x:v>
      </x:c>
      <x:c r="D108" s="7" t="str">
        <x:v>BLD-A</x:v>
      </x:c>
      <x:c r="E108" s="7" t="str">
        <x:v>BL-Y</x:v>
      </x:c>
      <x:c r="F108" s="7" t="str">
        <x:v>CS-02</x:v>
      </x:c>
      <x:c r="G108" s="7" t="str">
        <x:v>primary frame</x:v>
      </x:c>
      <x:c r="H108" s="7" t="str"/>
      <x:c r="I108" s="7" t="str"/>
      <x:c r="J108" s="7" t="str"/>
      <x:c r="K108" s="7" t="str"/>
      <x:c r="L108" s="7" t="str">
        <x:f>IF(K108="","OPEN",IF(OR(H108="",I108="",J108=""),"FAIL","PASS"))</x:f>
        <x:v>OPEN</x:v>
      </x:c>
    </x:row>
    <x:row r="109">
      <x:c r="B109" s="7" t="str">
        <x:v>TRV-PEA-A-Y3-03</x:v>
      </x:c>
      <x:c r="C109" s="7" t="str">
        <x:v>PEA-A-Y3</x:v>
      </x:c>
      <x:c r="D109" s="7" t="str">
        <x:v>BLD-A</x:v>
      </x:c>
      <x:c r="E109" s="7" t="str">
        <x:v>BL-Y</x:v>
      </x:c>
      <x:c r="F109" s="7" t="str">
        <x:v>CS-03</x:v>
      </x:c>
      <x:c r="G109" s="7" t="str">
        <x:v>source-surrogate vessel</x:v>
      </x:c>
      <x:c r="H109" s="7" t="str"/>
      <x:c r="I109" s="7" t="str"/>
      <x:c r="J109" s="7" t="str"/>
      <x:c r="K109" s="7" t="str"/>
      <x:c r="L109" s="7" t="str">
        <x:f>IF(K109="","OPEN",IF(OR(H109="",I109="",J109=""),"FAIL","PASS"))</x:f>
        <x:v>OPEN</x:v>
      </x:c>
    </x:row>
    <x:row r="110">
      <x:c r="B110" s="7" t="str">
        <x:v>TRV-PEA-A-Y3-04</x:v>
      </x:c>
      <x:c r="C110" s="7" t="str">
        <x:v>PEA-A-Y3</x:v>
      </x:c>
      <x:c r="D110" s="7" t="str">
        <x:v>BLD-A</x:v>
      </x:c>
      <x:c r="E110" s="7" t="str">
        <x:v>BL-Y</x:v>
      </x:c>
      <x:c r="F110" s="7" t="str">
        <x:v>CS-04</x:v>
      </x:c>
      <x:c r="G110" s="7" t="str">
        <x:v>capsule dock</x:v>
      </x:c>
      <x:c r="H110" s="7" t="str"/>
      <x:c r="I110" s="7" t="str"/>
      <x:c r="J110" s="7" t="str"/>
      <x:c r="K110" s="7" t="str"/>
      <x:c r="L110" s="7" t="str">
        <x:f>IF(K110="","OPEN",IF(OR(H110="",I110="",J110=""),"FAIL","PASS"))</x:f>
        <x:v>OPEN</x:v>
      </x:c>
    </x:row>
    <x:row r="111">
      <x:c r="B111" s="7" t="str">
        <x:v>TRV-PEA-A-Y3-05</x:v>
      </x:c>
      <x:c r="C111" s="7" t="str">
        <x:v>PEA-A-Y3</x:v>
      </x:c>
      <x:c r="D111" s="7" t="str">
        <x:v>BLD-A</x:v>
      </x:c>
      <x:c r="E111" s="7" t="str">
        <x:v>BL-Y</x:v>
      </x:c>
      <x:c r="F111" s="7" t="str">
        <x:v>CS-05</x:v>
      </x:c>
      <x:c r="G111" s="7" t="str">
        <x:v>40 mm insert</x:v>
      </x:c>
      <x:c r="H111" s="7" t="str"/>
      <x:c r="I111" s="7" t="str"/>
      <x:c r="J111" s="7" t="str"/>
      <x:c r="K111" s="7" t="str"/>
      <x:c r="L111" s="7" t="str">
        <x:f>IF(K111="","OPEN",IF(OR(H111="",I111="",J111=""),"FAIL","PASS"))</x:f>
        <x:v>OPEN</x:v>
      </x:c>
    </x:row>
    <x:row r="112">
      <x:c r="B112" s="7" t="str">
        <x:v>TRV-PEA-A-Y3-06</x:v>
      </x:c>
      <x:c r="C112" s="7" t="str">
        <x:v>PEA-A-Y3</x:v>
      </x:c>
      <x:c r="D112" s="7" t="str">
        <x:v>BLD-A</x:v>
      </x:c>
      <x:c r="E112" s="7" t="str">
        <x:v>BL-Y</x:v>
      </x:c>
      <x:c r="F112" s="7" t="str">
        <x:v>CS-06</x:v>
      </x:c>
      <x:c r="G112" s="7" t="str">
        <x:v>dispenser</x:v>
      </x:c>
      <x:c r="H112" s="7" t="str"/>
      <x:c r="I112" s="7" t="str"/>
      <x:c r="J112" s="7" t="str"/>
      <x:c r="K112" s="7" t="str"/>
      <x:c r="L112" s="7" t="str">
        <x:f>IF(K112="","OPEN",IF(OR(H112="",I112="",J112=""),"FAIL","PASS"))</x:f>
        <x:v>OPEN</x:v>
      </x:c>
    </x:row>
    <x:row r="113">
      <x:c r="B113" s="7" t="str">
        <x:v>TRV-PEA-A-Y3-07</x:v>
      </x:c>
      <x:c r="C113" s="7" t="str">
        <x:v>PEA-A-Y3</x:v>
      </x:c>
      <x:c r="D113" s="7" t="str">
        <x:v>BLD-A</x:v>
      </x:c>
      <x:c r="E113" s="7" t="str">
        <x:v>BL-Y</x:v>
      </x:c>
      <x:c r="F113" s="7" t="str">
        <x:v>CS-07</x:v>
      </x:c>
      <x:c r="G113" s="7" t="str">
        <x:v>inner pan</x:v>
      </x:c>
      <x:c r="H113" s="7" t="str"/>
      <x:c r="I113" s="7" t="str"/>
      <x:c r="J113" s="7" t="str"/>
      <x:c r="K113" s="7" t="str"/>
      <x:c r="L113" s="7" t="str">
        <x:f>IF(K113="","OPEN",IF(OR(H113="",I113="",J113=""),"FAIL","PASS"))</x:f>
        <x:v>OPEN</x:v>
      </x:c>
    </x:row>
    <x:row r="114">
      <x:c r="B114" s="7" t="str">
        <x:v>TRV-PEA-A-Y3-08</x:v>
      </x:c>
      <x:c r="C114" s="7" t="str">
        <x:v>PEA-A-Y3</x:v>
      </x:c>
      <x:c r="D114" s="7" t="str">
        <x:v>BLD-A</x:v>
      </x:c>
      <x:c r="E114" s="7" t="str">
        <x:v>BL-Y</x:v>
      </x:c>
      <x:c r="F114" s="7" t="str">
        <x:v>CS-08</x:v>
      </x:c>
      <x:c r="G114" s="7" t="str">
        <x:v>normal source route</x:v>
      </x:c>
      <x:c r="H114" s="7" t="str"/>
      <x:c r="I114" s="7" t="str"/>
      <x:c r="J114" s="7" t="str"/>
      <x:c r="K114" s="7" t="str"/>
      <x:c r="L114" s="7" t="str">
        <x:f>IF(K114="","OPEN",IF(OR(H114="",I114="",J114=""),"FAIL","PASS"))</x:f>
        <x:v>OPEN</x:v>
      </x:c>
    </x:row>
    <x:row r="115">
      <x:c r="B115" s="7" t="str">
        <x:v>TRV-PEA-A-Y3-09</x:v>
      </x:c>
      <x:c r="C115" s="7" t="str">
        <x:v>PEA-A-Y3</x:v>
      </x:c>
      <x:c r="D115" s="7" t="str">
        <x:v>BLD-A</x:v>
      </x:c>
      <x:c r="E115" s="7" t="str">
        <x:v>BL-Y</x:v>
      </x:c>
      <x:c r="F115" s="7" t="str">
        <x:v>CS-09</x:v>
      </x:c>
      <x:c r="G115" s="7" t="str">
        <x:v>casualty source route</x:v>
      </x:c>
      <x:c r="H115" s="7" t="str"/>
      <x:c r="I115" s="7" t="str"/>
      <x:c r="J115" s="7" t="str"/>
      <x:c r="K115" s="7" t="str"/>
      <x:c r="L115" s="7" t="str">
        <x:f>IF(K115="","OPEN",IF(OR(H115="",I115="",J115=""),"FAIL","PASS"))</x:f>
        <x:v>OPEN</x:v>
      </x:c>
    </x:row>
    <x:row r="116">
      <x:c r="B116" s="7" t="str">
        <x:v>TRV-PEA-A-Y3-10</x:v>
      </x:c>
      <x:c r="C116" s="7" t="str">
        <x:v>PEA-A-Y3</x:v>
      </x:c>
      <x:c r="D116" s="7" t="str">
        <x:v>BLD-A</x:v>
      </x:c>
      <x:c r="E116" s="7" t="str">
        <x:v>BL-Y</x:v>
      </x:c>
      <x:c r="F116" s="7" t="str">
        <x:v>CS-10</x:v>
      </x:c>
      <x:c r="G116" s="7" t="str">
        <x:v>normal source receiver</x:v>
      </x:c>
      <x:c r="H116" s="7" t="str"/>
      <x:c r="I116" s="7" t="str"/>
      <x:c r="J116" s="7" t="str"/>
      <x:c r="K116" s="7" t="str"/>
      <x:c r="L116" s="7" t="str">
        <x:f>IF(K116="","OPEN",IF(OR(H116="",I116="",J116=""),"FAIL","PASS"))</x:f>
        <x:v>OPEN</x:v>
      </x:c>
    </x:row>
    <x:row r="117">
      <x:c r="B117" s="7" t="str">
        <x:v>TRV-PEA-A-Y3-11</x:v>
      </x:c>
      <x:c r="C117" s="7" t="str">
        <x:v>PEA-A-Y3</x:v>
      </x:c>
      <x:c r="D117" s="7" t="str">
        <x:v>BLD-A</x:v>
      </x:c>
      <x:c r="E117" s="7" t="str">
        <x:v>BL-Y</x:v>
      </x:c>
      <x:c r="F117" s="7" t="str">
        <x:v>CS-11</x:v>
      </x:c>
      <x:c r="G117" s="7" t="str">
        <x:v>casualty source interface</x:v>
      </x:c>
      <x:c r="H117" s="7" t="str"/>
      <x:c r="I117" s="7" t="str"/>
      <x:c r="J117" s="7" t="str"/>
      <x:c r="K117" s="7" t="str"/>
      <x:c r="L117" s="7" t="str">
        <x:f>IF(K117="","OPEN",IF(OR(H117="",I117="",J117=""),"FAIL","PASS"))</x:f>
        <x:v>OPEN</x:v>
      </x:c>
    </x:row>
    <x:row r="118">
      <x:c r="B118" s="7" t="str">
        <x:v>TRV-PEA-A-Y3-12</x:v>
      </x:c>
      <x:c r="C118" s="7" t="str">
        <x:v>PEA-A-Y3</x:v>
      </x:c>
      <x:c r="D118" s="7" t="str">
        <x:v>BLD-A</x:v>
      </x:c>
      <x:c r="E118" s="7" t="str">
        <x:v>BL-Y</x:v>
      </x:c>
      <x:c r="F118" s="7" t="str">
        <x:v>CS-12</x:v>
      </x:c>
      <x:c r="G118" s="7" t="str">
        <x:v>candidate-water isolation</x:v>
      </x:c>
      <x:c r="H118" s="7" t="str"/>
      <x:c r="I118" s="7" t="str"/>
      <x:c r="J118" s="7" t="str"/>
      <x:c r="K118" s="7" t="str"/>
      <x:c r="L118" s="7" t="str">
        <x:f>IF(K118="","OPEN",IF(OR(H118="",I118="",J118=""),"FAIL","PASS"))</x:f>
        <x:v>OPEN</x:v>
      </x:c>
    </x:row>
    <x:row r="119">
      <x:c r="B119" s="7" t="str">
        <x:v>TRV-PEA-A-Y3-13</x:v>
      </x:c>
      <x:c r="C119" s="7" t="str">
        <x:v>PEA-A-Y3</x:v>
      </x:c>
      <x:c r="D119" s="7" t="str">
        <x:v>BLD-A</x:v>
      </x:c>
      <x:c r="E119" s="7" t="str">
        <x:v>BL-Y</x:v>
      </x:c>
      <x:c r="F119" s="7" t="str">
        <x:v>CS-13</x:v>
      </x:c>
      <x:c r="G119" s="7" t="str">
        <x:v>public-water isolation</x:v>
      </x:c>
      <x:c r="H119" s="7" t="str"/>
      <x:c r="I119" s="7" t="str"/>
      <x:c r="J119" s="7" t="str"/>
      <x:c r="K119" s="7" t="str"/>
      <x:c r="L119" s="7" t="str">
        <x:f>IF(K119="","OPEN",IF(OR(H119="",I119="",J119=""),"FAIL","PASS"))</x:f>
        <x:v>OPEN</x:v>
      </x:c>
    </x:row>
    <x:row r="120">
      <x:c r="B120" s="7" t="str">
        <x:v>TRV-PEA-A-Y3-14</x:v>
      </x:c>
      <x:c r="C120" s="7" t="str">
        <x:v>PEA-A-Y3</x:v>
      </x:c>
      <x:c r="D120" s="7" t="str">
        <x:v>BLD-A</x:v>
      </x:c>
      <x:c r="E120" s="7" t="str">
        <x:v>BL-Y</x:v>
      </x:c>
      <x:c r="F120" s="7" t="str">
        <x:v>CS-14</x:v>
      </x:c>
      <x:c r="G120" s="7" t="str">
        <x:v>casualty-water interface</x:v>
      </x:c>
      <x:c r="H120" s="7" t="str"/>
      <x:c r="I120" s="7" t="str"/>
      <x:c r="J120" s="7" t="str"/>
      <x:c r="K120" s="7" t="str"/>
      <x:c r="L120" s="7" t="str">
        <x:f>IF(K120="","OPEN",IF(OR(H120="",I120="",J120=""),"FAIL","PASS"))</x:f>
        <x:v>OPEN</x:v>
      </x:c>
    </x:row>
    <x:row r="121">
      <x:c r="B121" s="7" t="str">
        <x:v>TRV-PEA-A-Y3-15</x:v>
      </x:c>
      <x:c r="C121" s="7" t="str">
        <x:v>PEA-A-Y3</x:v>
      </x:c>
      <x:c r="D121" s="7" t="str">
        <x:v>BLD-A</x:v>
      </x:c>
      <x:c r="E121" s="7" t="str">
        <x:v>BL-Y</x:v>
      </x:c>
      <x:c r="F121" s="7" t="str">
        <x:v>CS-15</x:v>
      </x:c>
      <x:c r="G121" s="7" t="str">
        <x:v>final control assembly</x:v>
      </x:c>
      <x:c r="H121" s="7" t="str"/>
      <x:c r="I121" s="7" t="str"/>
      <x:c r="J121" s="7" t="str"/>
      <x:c r="K121" s="7" t="str"/>
      <x:c r="L121" s="7" t="str">
        <x:f>IF(K121="","OPEN",IF(OR(H121="",I121="",J121=""),"FAIL","PASS"))</x:f>
        <x:v>OPEN</x:v>
      </x:c>
    </x:row>
    <x:row r="122">
      <x:c r="B122" s="7" t="str">
        <x:v>TRV-PEA-A-Y3-16</x:v>
      </x:c>
      <x:c r="C122" s="7" t="str">
        <x:v>PEA-A-Y3</x:v>
      </x:c>
      <x:c r="D122" s="7" t="str">
        <x:v>BLD-A</x:v>
      </x:c>
      <x:c r="E122" s="7" t="str">
        <x:v>BL-Y</x:v>
      </x:c>
      <x:c r="F122" s="7" t="str">
        <x:v>CS-16</x:v>
      </x:c>
      <x:c r="G122" s="7" t="str">
        <x:v>independent safety energy</x:v>
      </x:c>
      <x:c r="H122" s="7" t="str"/>
      <x:c r="I122" s="7" t="str"/>
      <x:c r="J122" s="7" t="str"/>
      <x:c r="K122" s="7" t="str"/>
      <x:c r="L122" s="7" t="str">
        <x:f>IF(K122="","OPEN",IF(OR(H122="",I122="",J122=""),"FAIL","PASS"))</x:f>
        <x:v>OPEN</x:v>
      </x:c>
    </x:row>
    <x:row r="123">
      <x:c r="B123" s="7" t="str">
        <x:v>TRV-PEA-A-Y3-17</x:v>
      </x:c>
      <x:c r="C123" s="7" t="str">
        <x:v>PEA-A-Y3</x:v>
      </x:c>
      <x:c r="D123" s="7" t="str">
        <x:v>BLD-A</x:v>
      </x:c>
      <x:c r="E123" s="7" t="str">
        <x:v>BL-Y</x:v>
      </x:c>
      <x:c r="F123" s="7" t="str">
        <x:v>CS-17</x:v>
      </x:c>
      <x:c r="G123" s="7" t="str">
        <x:v>measurement frame</x:v>
      </x:c>
      <x:c r="H123" s="7" t="str"/>
      <x:c r="I123" s="7" t="str"/>
      <x:c r="J123" s="7" t="str"/>
      <x:c r="K123" s="7" t="str"/>
      <x:c r="L123" s="7" t="str">
        <x:f>IF(K123="","OPEN",IF(OR(H123="",I123="",J123=""),"FAIL","PASS"))</x:f>
        <x:v>OPEN</x:v>
      </x:c>
    </x:row>
    <x:row r="124">
      <x:c r="B124" s="7" t="str">
        <x:v>TRV-PEA-A-Y3-18</x:v>
      </x:c>
      <x:c r="C124" s="7" t="str">
        <x:v>PEA-A-Y3</x:v>
      </x:c>
      <x:c r="D124" s="7" t="str">
        <x:v>BLD-A</x:v>
      </x:c>
      <x:c r="E124" s="7" t="str">
        <x:v>BL-Y</x:v>
      </x:c>
      <x:c r="F124" s="7" t="str">
        <x:v>CS-18</x:v>
      </x:c>
      <x:c r="G124" s="7" t="str">
        <x:v>causal time and evidence</x:v>
      </x:c>
      <x:c r="H124" s="7" t="str"/>
      <x:c r="I124" s="7" t="str"/>
      <x:c r="J124" s="7" t="str"/>
      <x:c r="K124" s="7" t="str"/>
      <x:c r="L124" s="7" t="str">
        <x:f>IF(K124="","OPEN",IF(OR(H124="",I124="",J124=""),"FAIL","PASS"))</x:f>
        <x:v>OPEN</x:v>
      </x:c>
    </x:row>
    <x:row r="125">
      <x:c r="B125" s="7" t="str">
        <x:v>TRV-PEA-A-Y3-19</x:v>
      </x:c>
      <x:c r="C125" s="7" t="str">
        <x:v>PEA-A-Y3</x:v>
      </x:c>
      <x:c r="D125" s="7" t="str">
        <x:v>BLD-A</x:v>
      </x:c>
      <x:c r="E125" s="7" t="str">
        <x:v>BL-Y</x:v>
      </x:c>
      <x:c r="F125" s="7" t="str">
        <x:v>CS-19</x:v>
      </x:c>
      <x:c r="G125" s="7" t="str">
        <x:v>rescue and access</x:v>
      </x:c>
      <x:c r="H125" s="7" t="str"/>
      <x:c r="I125" s="7" t="str"/>
      <x:c r="J125" s="7" t="str"/>
      <x:c r="K125" s="7" t="str"/>
      <x:c r="L125" s="7" t="str">
        <x:f>IF(K125="","OPEN",IF(OR(H125="",I125="",J125=""),"FAIL","PASS"))</x:f>
        <x:v>OPEN</x:v>
      </x:c>
    </x:row>
    <x:row r="126">
      <x:c r="B126" s="7" t="str">
        <x:v>TRV-PEA-A-Y3-20</x:v>
      </x:c>
      <x:c r="C126" s="7" t="str">
        <x:v>PEA-A-Y3</x:v>
      </x:c>
      <x:c r="D126" s="7" t="str">
        <x:v>BLD-A</x:v>
      </x:c>
      <x:c r="E126" s="7" t="str">
        <x:v>BL-Y</x:v>
      </x:c>
      <x:c r="F126" s="7" t="str">
        <x:v>CS-20</x:v>
      </x:c>
      <x:c r="G126" s="7" t="str">
        <x:v>environmental boundary</x:v>
      </x:c>
      <x:c r="H126" s="7" t="str"/>
      <x:c r="I126" s="7" t="str"/>
      <x:c r="J126" s="7" t="str"/>
      <x:c r="K126" s="7" t="str"/>
      <x:c r="L126" s="7" t="str">
        <x:f>IF(K126="","OPEN",IF(OR(H126="",I126="",J126=""),"FAIL","PASS"))</x:f>
        <x:v>OPEN</x:v>
      </x:c>
    </x:row>
    <x:row r="127">
      <x:c r="B127" s="7" t="str">
        <x:v>TRV-PEA-B-X1-01</x:v>
      </x:c>
      <x:c r="C127" s="7" t="str">
        <x:v>PEA-B-X1</x:v>
      </x:c>
      <x:c r="D127" s="7" t="str">
        <x:v>BLD-B</x:v>
      </x:c>
      <x:c r="E127" s="7" t="str">
        <x:v>BL-X</x:v>
      </x:c>
      <x:c r="F127" s="7" t="str">
        <x:v>CS-01</x:v>
      </x:c>
      <x:c r="G127" s="7" t="str">
        <x:v>public datum</x:v>
      </x:c>
      <x:c r="H127" s="7" t="str"/>
      <x:c r="I127" s="7" t="str"/>
      <x:c r="J127" s="7" t="str"/>
      <x:c r="K127" s="7" t="str"/>
      <x:c r="L127" s="7" t="str">
        <x:f>IF(K127="","OPEN",IF(OR(H127="",I127="",J127=""),"FAIL","PASS"))</x:f>
        <x:v>OPEN</x:v>
      </x:c>
    </x:row>
    <x:row r="128">
      <x:c r="B128" s="7" t="str">
        <x:v>TRV-PEA-B-X1-02</x:v>
      </x:c>
      <x:c r="C128" s="7" t="str">
        <x:v>PEA-B-X1</x:v>
      </x:c>
      <x:c r="D128" s="7" t="str">
        <x:v>BLD-B</x:v>
      </x:c>
      <x:c r="E128" s="7" t="str">
        <x:v>BL-X</x:v>
      </x:c>
      <x:c r="F128" s="7" t="str">
        <x:v>CS-02</x:v>
      </x:c>
      <x:c r="G128" s="7" t="str">
        <x:v>primary frame</x:v>
      </x:c>
      <x:c r="H128" s="7" t="str"/>
      <x:c r="I128" s="7" t="str"/>
      <x:c r="J128" s="7" t="str"/>
      <x:c r="K128" s="7" t="str"/>
      <x:c r="L128" s="7" t="str">
        <x:f>IF(K128="","OPEN",IF(OR(H128="",I128="",J128=""),"FAIL","PASS"))</x:f>
        <x:v>OPEN</x:v>
      </x:c>
    </x:row>
    <x:row r="129">
      <x:c r="B129" s="7" t="str">
        <x:v>TRV-PEA-B-X1-03</x:v>
      </x:c>
      <x:c r="C129" s="7" t="str">
        <x:v>PEA-B-X1</x:v>
      </x:c>
      <x:c r="D129" s="7" t="str">
        <x:v>BLD-B</x:v>
      </x:c>
      <x:c r="E129" s="7" t="str">
        <x:v>BL-X</x:v>
      </x:c>
      <x:c r="F129" s="7" t="str">
        <x:v>CS-03</x:v>
      </x:c>
      <x:c r="G129" s="7" t="str">
        <x:v>source-surrogate vessel</x:v>
      </x:c>
      <x:c r="H129" s="7" t="str"/>
      <x:c r="I129" s="7" t="str"/>
      <x:c r="J129" s="7" t="str"/>
      <x:c r="K129" s="7" t="str"/>
      <x:c r="L129" s="7" t="str">
        <x:f>IF(K129="","OPEN",IF(OR(H129="",I129="",J129=""),"FAIL","PASS"))</x:f>
        <x:v>OPEN</x:v>
      </x:c>
    </x:row>
    <x:row r="130">
      <x:c r="B130" s="7" t="str">
        <x:v>TRV-PEA-B-X1-04</x:v>
      </x:c>
      <x:c r="C130" s="7" t="str">
        <x:v>PEA-B-X1</x:v>
      </x:c>
      <x:c r="D130" s="7" t="str">
        <x:v>BLD-B</x:v>
      </x:c>
      <x:c r="E130" s="7" t="str">
        <x:v>BL-X</x:v>
      </x:c>
      <x:c r="F130" s="7" t="str">
        <x:v>CS-04</x:v>
      </x:c>
      <x:c r="G130" s="7" t="str">
        <x:v>capsule dock</x:v>
      </x:c>
      <x:c r="H130" s="7" t="str"/>
      <x:c r="I130" s="7" t="str"/>
      <x:c r="J130" s="7" t="str"/>
      <x:c r="K130" s="7" t="str"/>
      <x:c r="L130" s="7" t="str">
        <x:f>IF(K130="","OPEN",IF(OR(H130="",I130="",J130=""),"FAIL","PASS"))</x:f>
        <x:v>OPEN</x:v>
      </x:c>
    </x:row>
    <x:row r="131">
      <x:c r="B131" s="7" t="str">
        <x:v>TRV-PEA-B-X1-05</x:v>
      </x:c>
      <x:c r="C131" s="7" t="str">
        <x:v>PEA-B-X1</x:v>
      </x:c>
      <x:c r="D131" s="7" t="str">
        <x:v>BLD-B</x:v>
      </x:c>
      <x:c r="E131" s="7" t="str">
        <x:v>BL-X</x:v>
      </x:c>
      <x:c r="F131" s="7" t="str">
        <x:v>CS-05</x:v>
      </x:c>
      <x:c r="G131" s="7" t="str">
        <x:v>40 mm insert</x:v>
      </x:c>
      <x:c r="H131" s="7" t="str"/>
      <x:c r="I131" s="7" t="str"/>
      <x:c r="J131" s="7" t="str"/>
      <x:c r="K131" s="7" t="str"/>
      <x:c r="L131" s="7" t="str">
        <x:f>IF(K131="","OPEN",IF(OR(H131="",I131="",J131=""),"FAIL","PASS"))</x:f>
        <x:v>OPEN</x:v>
      </x:c>
    </x:row>
    <x:row r="132">
      <x:c r="B132" s="7" t="str">
        <x:v>TRV-PEA-B-X1-06</x:v>
      </x:c>
      <x:c r="C132" s="7" t="str">
        <x:v>PEA-B-X1</x:v>
      </x:c>
      <x:c r="D132" s="7" t="str">
        <x:v>BLD-B</x:v>
      </x:c>
      <x:c r="E132" s="7" t="str">
        <x:v>BL-X</x:v>
      </x:c>
      <x:c r="F132" s="7" t="str">
        <x:v>CS-06</x:v>
      </x:c>
      <x:c r="G132" s="7" t="str">
        <x:v>dispenser</x:v>
      </x:c>
      <x:c r="H132" s="7" t="str"/>
      <x:c r="I132" s="7" t="str"/>
      <x:c r="J132" s="7" t="str"/>
      <x:c r="K132" s="7" t="str"/>
      <x:c r="L132" s="7" t="str">
        <x:f>IF(K132="","OPEN",IF(OR(H132="",I132="",J132=""),"FAIL","PASS"))</x:f>
        <x:v>OPEN</x:v>
      </x:c>
    </x:row>
    <x:row r="133">
      <x:c r="B133" s="7" t="str">
        <x:v>TRV-PEA-B-X1-07</x:v>
      </x:c>
      <x:c r="C133" s="7" t="str">
        <x:v>PEA-B-X1</x:v>
      </x:c>
      <x:c r="D133" s="7" t="str">
        <x:v>BLD-B</x:v>
      </x:c>
      <x:c r="E133" s="7" t="str">
        <x:v>BL-X</x:v>
      </x:c>
      <x:c r="F133" s="7" t="str">
        <x:v>CS-07</x:v>
      </x:c>
      <x:c r="G133" s="7" t="str">
        <x:v>inner pan</x:v>
      </x:c>
      <x:c r="H133" s="7" t="str"/>
      <x:c r="I133" s="7" t="str"/>
      <x:c r="J133" s="7" t="str"/>
      <x:c r="K133" s="7" t="str"/>
      <x:c r="L133" s="7" t="str">
        <x:f>IF(K133="","OPEN",IF(OR(H133="",I133="",J133=""),"FAIL","PASS"))</x:f>
        <x:v>OPEN</x:v>
      </x:c>
    </x:row>
    <x:row r="134">
      <x:c r="B134" s="7" t="str">
        <x:v>TRV-PEA-B-X1-08</x:v>
      </x:c>
      <x:c r="C134" s="7" t="str">
        <x:v>PEA-B-X1</x:v>
      </x:c>
      <x:c r="D134" s="7" t="str">
        <x:v>BLD-B</x:v>
      </x:c>
      <x:c r="E134" s="7" t="str">
        <x:v>BL-X</x:v>
      </x:c>
      <x:c r="F134" s="7" t="str">
        <x:v>CS-08</x:v>
      </x:c>
      <x:c r="G134" s="7" t="str">
        <x:v>normal source route</x:v>
      </x:c>
      <x:c r="H134" s="7" t="str"/>
      <x:c r="I134" s="7" t="str"/>
      <x:c r="J134" s="7" t="str"/>
      <x:c r="K134" s="7" t="str"/>
      <x:c r="L134" s="7" t="str">
        <x:f>IF(K134="","OPEN",IF(OR(H134="",I134="",J134=""),"FAIL","PASS"))</x:f>
        <x:v>OPEN</x:v>
      </x:c>
    </x:row>
    <x:row r="135">
      <x:c r="B135" s="7" t="str">
        <x:v>TRV-PEA-B-X1-09</x:v>
      </x:c>
      <x:c r="C135" s="7" t="str">
        <x:v>PEA-B-X1</x:v>
      </x:c>
      <x:c r="D135" s="7" t="str">
        <x:v>BLD-B</x:v>
      </x:c>
      <x:c r="E135" s="7" t="str">
        <x:v>BL-X</x:v>
      </x:c>
      <x:c r="F135" s="7" t="str">
        <x:v>CS-09</x:v>
      </x:c>
      <x:c r="G135" s="7" t="str">
        <x:v>casualty source route</x:v>
      </x:c>
      <x:c r="H135" s="7" t="str"/>
      <x:c r="I135" s="7" t="str"/>
      <x:c r="J135" s="7" t="str"/>
      <x:c r="K135" s="7" t="str"/>
      <x:c r="L135" s="7" t="str">
        <x:f>IF(K135="","OPEN",IF(OR(H135="",I135="",J135=""),"FAIL","PASS"))</x:f>
        <x:v>OPEN</x:v>
      </x:c>
    </x:row>
    <x:row r="136">
      <x:c r="B136" s="7" t="str">
        <x:v>TRV-PEA-B-X1-10</x:v>
      </x:c>
      <x:c r="C136" s="7" t="str">
        <x:v>PEA-B-X1</x:v>
      </x:c>
      <x:c r="D136" s="7" t="str">
        <x:v>BLD-B</x:v>
      </x:c>
      <x:c r="E136" s="7" t="str">
        <x:v>BL-X</x:v>
      </x:c>
      <x:c r="F136" s="7" t="str">
        <x:v>CS-10</x:v>
      </x:c>
      <x:c r="G136" s="7" t="str">
        <x:v>normal source receiver</x:v>
      </x:c>
      <x:c r="H136" s="7" t="str"/>
      <x:c r="I136" s="7" t="str"/>
      <x:c r="J136" s="7" t="str"/>
      <x:c r="K136" s="7" t="str"/>
      <x:c r="L136" s="7" t="str">
        <x:f>IF(K136="","OPEN",IF(OR(H136="",I136="",J136=""),"FAIL","PASS"))</x:f>
        <x:v>OPEN</x:v>
      </x:c>
    </x:row>
    <x:row r="137">
      <x:c r="B137" s="7" t="str">
        <x:v>TRV-PEA-B-X1-11</x:v>
      </x:c>
      <x:c r="C137" s="7" t="str">
        <x:v>PEA-B-X1</x:v>
      </x:c>
      <x:c r="D137" s="7" t="str">
        <x:v>BLD-B</x:v>
      </x:c>
      <x:c r="E137" s="7" t="str">
        <x:v>BL-X</x:v>
      </x:c>
      <x:c r="F137" s="7" t="str">
        <x:v>CS-11</x:v>
      </x:c>
      <x:c r="G137" s="7" t="str">
        <x:v>casualty source interface</x:v>
      </x:c>
      <x:c r="H137" s="7" t="str"/>
      <x:c r="I137" s="7" t="str"/>
      <x:c r="J137" s="7" t="str"/>
      <x:c r="K137" s="7" t="str"/>
      <x:c r="L137" s="7" t="str">
        <x:f>IF(K137="","OPEN",IF(OR(H137="",I137="",J137=""),"FAIL","PASS"))</x:f>
        <x:v>OPEN</x:v>
      </x:c>
    </x:row>
    <x:row r="138">
      <x:c r="B138" s="7" t="str">
        <x:v>TRV-PEA-B-X1-12</x:v>
      </x:c>
      <x:c r="C138" s="7" t="str">
        <x:v>PEA-B-X1</x:v>
      </x:c>
      <x:c r="D138" s="7" t="str">
        <x:v>BLD-B</x:v>
      </x:c>
      <x:c r="E138" s="7" t="str">
        <x:v>BL-X</x:v>
      </x:c>
      <x:c r="F138" s="7" t="str">
        <x:v>CS-12</x:v>
      </x:c>
      <x:c r="G138" s="7" t="str">
        <x:v>candidate-water isolation</x:v>
      </x:c>
      <x:c r="H138" s="7" t="str"/>
      <x:c r="I138" s="7" t="str"/>
      <x:c r="J138" s="7" t="str"/>
      <x:c r="K138" s="7" t="str"/>
      <x:c r="L138" s="7" t="str">
        <x:f>IF(K138="","OPEN",IF(OR(H138="",I138="",J138=""),"FAIL","PASS"))</x:f>
        <x:v>OPEN</x:v>
      </x:c>
    </x:row>
    <x:row r="139">
      <x:c r="B139" s="7" t="str">
        <x:v>TRV-PEA-B-X1-13</x:v>
      </x:c>
      <x:c r="C139" s="7" t="str">
        <x:v>PEA-B-X1</x:v>
      </x:c>
      <x:c r="D139" s="7" t="str">
        <x:v>BLD-B</x:v>
      </x:c>
      <x:c r="E139" s="7" t="str">
        <x:v>BL-X</x:v>
      </x:c>
      <x:c r="F139" s="7" t="str">
        <x:v>CS-13</x:v>
      </x:c>
      <x:c r="G139" s="7" t="str">
        <x:v>public-water isolation</x:v>
      </x:c>
      <x:c r="H139" s="7" t="str"/>
      <x:c r="I139" s="7" t="str"/>
      <x:c r="J139" s="7" t="str"/>
      <x:c r="K139" s="7" t="str"/>
      <x:c r="L139" s="7" t="str">
        <x:f>IF(K139="","OPEN",IF(OR(H139="",I139="",J139=""),"FAIL","PASS"))</x:f>
        <x:v>OPEN</x:v>
      </x:c>
    </x:row>
    <x:row r="140">
      <x:c r="B140" s="7" t="str">
        <x:v>TRV-PEA-B-X1-14</x:v>
      </x:c>
      <x:c r="C140" s="7" t="str">
        <x:v>PEA-B-X1</x:v>
      </x:c>
      <x:c r="D140" s="7" t="str">
        <x:v>BLD-B</x:v>
      </x:c>
      <x:c r="E140" s="7" t="str">
        <x:v>BL-X</x:v>
      </x:c>
      <x:c r="F140" s="7" t="str">
        <x:v>CS-14</x:v>
      </x:c>
      <x:c r="G140" s="7" t="str">
        <x:v>casualty-water interface</x:v>
      </x:c>
      <x:c r="H140" s="7" t="str"/>
      <x:c r="I140" s="7" t="str"/>
      <x:c r="J140" s="7" t="str"/>
      <x:c r="K140" s="7" t="str"/>
      <x:c r="L140" s="7" t="str">
        <x:f>IF(K140="","OPEN",IF(OR(H140="",I140="",J140=""),"FAIL","PASS"))</x:f>
        <x:v>OPEN</x:v>
      </x:c>
    </x:row>
    <x:row r="141">
      <x:c r="B141" s="7" t="str">
        <x:v>TRV-PEA-B-X1-15</x:v>
      </x:c>
      <x:c r="C141" s="7" t="str">
        <x:v>PEA-B-X1</x:v>
      </x:c>
      <x:c r="D141" s="7" t="str">
        <x:v>BLD-B</x:v>
      </x:c>
      <x:c r="E141" s="7" t="str">
        <x:v>BL-X</x:v>
      </x:c>
      <x:c r="F141" s="7" t="str">
        <x:v>CS-15</x:v>
      </x:c>
      <x:c r="G141" s="7" t="str">
        <x:v>final control assembly</x:v>
      </x:c>
      <x:c r="H141" s="7" t="str"/>
      <x:c r="I141" s="7" t="str"/>
      <x:c r="J141" s="7" t="str"/>
      <x:c r="K141" s="7" t="str"/>
      <x:c r="L141" s="7" t="str">
        <x:f>IF(K141="","OPEN",IF(OR(H141="",I141="",J141=""),"FAIL","PASS"))</x:f>
        <x:v>OPEN</x:v>
      </x:c>
    </x:row>
    <x:row r="142">
      <x:c r="B142" s="7" t="str">
        <x:v>TRV-PEA-B-X1-16</x:v>
      </x:c>
      <x:c r="C142" s="7" t="str">
        <x:v>PEA-B-X1</x:v>
      </x:c>
      <x:c r="D142" s="7" t="str">
        <x:v>BLD-B</x:v>
      </x:c>
      <x:c r="E142" s="7" t="str">
        <x:v>BL-X</x:v>
      </x:c>
      <x:c r="F142" s="7" t="str">
        <x:v>CS-16</x:v>
      </x:c>
      <x:c r="G142" s="7" t="str">
        <x:v>independent safety energy</x:v>
      </x:c>
      <x:c r="H142" s="7" t="str"/>
      <x:c r="I142" s="7" t="str"/>
      <x:c r="J142" s="7" t="str"/>
      <x:c r="K142" s="7" t="str"/>
      <x:c r="L142" s="7" t="str">
        <x:f>IF(K142="","OPEN",IF(OR(H142="",I142="",J142=""),"FAIL","PASS"))</x:f>
        <x:v>OPEN</x:v>
      </x:c>
    </x:row>
    <x:row r="143">
      <x:c r="B143" s="7" t="str">
        <x:v>TRV-PEA-B-X1-17</x:v>
      </x:c>
      <x:c r="C143" s="7" t="str">
        <x:v>PEA-B-X1</x:v>
      </x:c>
      <x:c r="D143" s="7" t="str">
        <x:v>BLD-B</x:v>
      </x:c>
      <x:c r="E143" s="7" t="str">
        <x:v>BL-X</x:v>
      </x:c>
      <x:c r="F143" s="7" t="str">
        <x:v>CS-17</x:v>
      </x:c>
      <x:c r="G143" s="7" t="str">
        <x:v>measurement frame</x:v>
      </x:c>
      <x:c r="H143" s="7" t="str"/>
      <x:c r="I143" s="7" t="str"/>
      <x:c r="J143" s="7" t="str"/>
      <x:c r="K143" s="7" t="str"/>
      <x:c r="L143" s="7" t="str">
        <x:f>IF(K143="","OPEN",IF(OR(H143="",I143="",J143=""),"FAIL","PASS"))</x:f>
        <x:v>OPEN</x:v>
      </x:c>
    </x:row>
    <x:row r="144">
      <x:c r="B144" s="7" t="str">
        <x:v>TRV-PEA-B-X1-18</x:v>
      </x:c>
      <x:c r="C144" s="7" t="str">
        <x:v>PEA-B-X1</x:v>
      </x:c>
      <x:c r="D144" s="7" t="str">
        <x:v>BLD-B</x:v>
      </x:c>
      <x:c r="E144" s="7" t="str">
        <x:v>BL-X</x:v>
      </x:c>
      <x:c r="F144" s="7" t="str">
        <x:v>CS-18</x:v>
      </x:c>
      <x:c r="G144" s="7" t="str">
        <x:v>causal time and evidence</x:v>
      </x:c>
      <x:c r="H144" s="7" t="str"/>
      <x:c r="I144" s="7" t="str"/>
      <x:c r="J144" s="7" t="str"/>
      <x:c r="K144" s="7" t="str"/>
      <x:c r="L144" s="7" t="str">
        <x:f>IF(K144="","OPEN",IF(OR(H144="",I144="",J144=""),"FAIL","PASS"))</x:f>
        <x:v>OPEN</x:v>
      </x:c>
    </x:row>
    <x:row r="145">
      <x:c r="B145" s="7" t="str">
        <x:v>TRV-PEA-B-X1-19</x:v>
      </x:c>
      <x:c r="C145" s="7" t="str">
        <x:v>PEA-B-X1</x:v>
      </x:c>
      <x:c r="D145" s="7" t="str">
        <x:v>BLD-B</x:v>
      </x:c>
      <x:c r="E145" s="7" t="str">
        <x:v>BL-X</x:v>
      </x:c>
      <x:c r="F145" s="7" t="str">
        <x:v>CS-19</x:v>
      </x:c>
      <x:c r="G145" s="7" t="str">
        <x:v>rescue and access</x:v>
      </x:c>
      <x:c r="H145" s="7" t="str"/>
      <x:c r="I145" s="7" t="str"/>
      <x:c r="J145" s="7" t="str"/>
      <x:c r="K145" s="7" t="str"/>
      <x:c r="L145" s="7" t="str">
        <x:f>IF(K145="","OPEN",IF(OR(H145="",I145="",J145=""),"FAIL","PASS"))</x:f>
        <x:v>OPEN</x:v>
      </x:c>
    </x:row>
    <x:row r="146">
      <x:c r="B146" s="7" t="str">
        <x:v>TRV-PEA-B-X1-20</x:v>
      </x:c>
      <x:c r="C146" s="7" t="str">
        <x:v>PEA-B-X1</x:v>
      </x:c>
      <x:c r="D146" s="7" t="str">
        <x:v>BLD-B</x:v>
      </x:c>
      <x:c r="E146" s="7" t="str">
        <x:v>BL-X</x:v>
      </x:c>
      <x:c r="F146" s="7" t="str">
        <x:v>CS-20</x:v>
      </x:c>
      <x:c r="G146" s="7" t="str">
        <x:v>environmental boundary</x:v>
      </x:c>
      <x:c r="H146" s="7" t="str"/>
      <x:c r="I146" s="7" t="str"/>
      <x:c r="J146" s="7" t="str"/>
      <x:c r="K146" s="7" t="str"/>
      <x:c r="L146" s="7" t="str">
        <x:f>IF(K146="","OPEN",IF(OR(H146="",I146="",J146=""),"FAIL","PASS"))</x:f>
        <x:v>OPEN</x:v>
      </x:c>
    </x:row>
    <x:row r="147">
      <x:c r="B147" s="7" t="str">
        <x:v>TRV-PEA-B-X2-01</x:v>
      </x:c>
      <x:c r="C147" s="7" t="str">
        <x:v>PEA-B-X2</x:v>
      </x:c>
      <x:c r="D147" s="7" t="str">
        <x:v>BLD-B</x:v>
      </x:c>
      <x:c r="E147" s="7" t="str">
        <x:v>BL-X</x:v>
      </x:c>
      <x:c r="F147" s="7" t="str">
        <x:v>CS-01</x:v>
      </x:c>
      <x:c r="G147" s="7" t="str">
        <x:v>public datum</x:v>
      </x:c>
      <x:c r="H147" s="7" t="str"/>
      <x:c r="I147" s="7" t="str"/>
      <x:c r="J147" s="7" t="str"/>
      <x:c r="K147" s="7" t="str"/>
      <x:c r="L147" s="7" t="str">
        <x:f>IF(K147="","OPEN",IF(OR(H147="",I147="",J147=""),"FAIL","PASS"))</x:f>
        <x:v>OPEN</x:v>
      </x:c>
    </x:row>
    <x:row r="148">
      <x:c r="B148" s="7" t="str">
        <x:v>TRV-PEA-B-X2-02</x:v>
      </x:c>
      <x:c r="C148" s="7" t="str">
        <x:v>PEA-B-X2</x:v>
      </x:c>
      <x:c r="D148" s="7" t="str">
        <x:v>BLD-B</x:v>
      </x:c>
      <x:c r="E148" s="7" t="str">
        <x:v>BL-X</x:v>
      </x:c>
      <x:c r="F148" s="7" t="str">
        <x:v>CS-02</x:v>
      </x:c>
      <x:c r="G148" s="7" t="str">
        <x:v>primary frame</x:v>
      </x:c>
      <x:c r="H148" s="7" t="str"/>
      <x:c r="I148" s="7" t="str"/>
      <x:c r="J148" s="7" t="str"/>
      <x:c r="K148" s="7" t="str"/>
      <x:c r="L148" s="7" t="str">
        <x:f>IF(K148="","OPEN",IF(OR(H148="",I148="",J148=""),"FAIL","PASS"))</x:f>
        <x:v>OPEN</x:v>
      </x:c>
    </x:row>
    <x:row r="149">
      <x:c r="B149" s="7" t="str">
        <x:v>TRV-PEA-B-X2-03</x:v>
      </x:c>
      <x:c r="C149" s="7" t="str">
        <x:v>PEA-B-X2</x:v>
      </x:c>
      <x:c r="D149" s="7" t="str">
        <x:v>BLD-B</x:v>
      </x:c>
      <x:c r="E149" s="7" t="str">
        <x:v>BL-X</x:v>
      </x:c>
      <x:c r="F149" s="7" t="str">
        <x:v>CS-03</x:v>
      </x:c>
      <x:c r="G149" s="7" t="str">
        <x:v>source-surrogate vessel</x:v>
      </x:c>
      <x:c r="H149" s="7" t="str"/>
      <x:c r="I149" s="7" t="str"/>
      <x:c r="J149" s="7" t="str"/>
      <x:c r="K149" s="7" t="str"/>
      <x:c r="L149" s="7" t="str">
        <x:f>IF(K149="","OPEN",IF(OR(H149="",I149="",J149=""),"FAIL","PASS"))</x:f>
        <x:v>OPEN</x:v>
      </x:c>
    </x:row>
    <x:row r="150">
      <x:c r="B150" s="7" t="str">
        <x:v>TRV-PEA-B-X2-04</x:v>
      </x:c>
      <x:c r="C150" s="7" t="str">
        <x:v>PEA-B-X2</x:v>
      </x:c>
      <x:c r="D150" s="7" t="str">
        <x:v>BLD-B</x:v>
      </x:c>
      <x:c r="E150" s="7" t="str">
        <x:v>BL-X</x:v>
      </x:c>
      <x:c r="F150" s="7" t="str">
        <x:v>CS-04</x:v>
      </x:c>
      <x:c r="G150" s="7" t="str">
        <x:v>capsule dock</x:v>
      </x:c>
      <x:c r="H150" s="7" t="str"/>
      <x:c r="I150" s="7" t="str"/>
      <x:c r="J150" s="7" t="str"/>
      <x:c r="K150" s="7" t="str"/>
      <x:c r="L150" s="7" t="str">
        <x:f>IF(K150="","OPEN",IF(OR(H150="",I150="",J150=""),"FAIL","PASS"))</x:f>
        <x:v>OPEN</x:v>
      </x:c>
    </x:row>
    <x:row r="151">
      <x:c r="B151" s="7" t="str">
        <x:v>TRV-PEA-B-X2-05</x:v>
      </x:c>
      <x:c r="C151" s="7" t="str">
        <x:v>PEA-B-X2</x:v>
      </x:c>
      <x:c r="D151" s="7" t="str">
        <x:v>BLD-B</x:v>
      </x:c>
      <x:c r="E151" s="7" t="str">
        <x:v>BL-X</x:v>
      </x:c>
      <x:c r="F151" s="7" t="str">
        <x:v>CS-05</x:v>
      </x:c>
      <x:c r="G151" s="7" t="str">
        <x:v>40 mm insert</x:v>
      </x:c>
      <x:c r="H151" s="7" t="str"/>
      <x:c r="I151" s="7" t="str"/>
      <x:c r="J151" s="7" t="str"/>
      <x:c r="K151" s="7" t="str"/>
      <x:c r="L151" s="7" t="str">
        <x:f>IF(K151="","OPEN",IF(OR(H151="",I151="",J151=""),"FAIL","PASS"))</x:f>
        <x:v>OPEN</x:v>
      </x:c>
    </x:row>
    <x:row r="152">
      <x:c r="B152" s="7" t="str">
        <x:v>TRV-PEA-B-X2-06</x:v>
      </x:c>
      <x:c r="C152" s="7" t="str">
        <x:v>PEA-B-X2</x:v>
      </x:c>
      <x:c r="D152" s="7" t="str">
        <x:v>BLD-B</x:v>
      </x:c>
      <x:c r="E152" s="7" t="str">
        <x:v>BL-X</x:v>
      </x:c>
      <x:c r="F152" s="7" t="str">
        <x:v>CS-06</x:v>
      </x:c>
      <x:c r="G152" s="7" t="str">
        <x:v>dispenser</x:v>
      </x:c>
      <x:c r="H152" s="7" t="str"/>
      <x:c r="I152" s="7" t="str"/>
      <x:c r="J152" s="7" t="str"/>
      <x:c r="K152" s="7" t="str"/>
      <x:c r="L152" s="7" t="str">
        <x:f>IF(K152="","OPEN",IF(OR(H152="",I152="",J152=""),"FAIL","PASS"))</x:f>
        <x:v>OPEN</x:v>
      </x:c>
    </x:row>
    <x:row r="153">
      <x:c r="B153" s="7" t="str">
        <x:v>TRV-PEA-B-X2-07</x:v>
      </x:c>
      <x:c r="C153" s="7" t="str">
        <x:v>PEA-B-X2</x:v>
      </x:c>
      <x:c r="D153" s="7" t="str">
        <x:v>BLD-B</x:v>
      </x:c>
      <x:c r="E153" s="7" t="str">
        <x:v>BL-X</x:v>
      </x:c>
      <x:c r="F153" s="7" t="str">
        <x:v>CS-07</x:v>
      </x:c>
      <x:c r="G153" s="7" t="str">
        <x:v>inner pan</x:v>
      </x:c>
      <x:c r="H153" s="7" t="str"/>
      <x:c r="I153" s="7" t="str"/>
      <x:c r="J153" s="7" t="str"/>
      <x:c r="K153" s="7" t="str"/>
      <x:c r="L153" s="7" t="str">
        <x:f>IF(K153="","OPEN",IF(OR(H153="",I153="",J153=""),"FAIL","PASS"))</x:f>
        <x:v>OPEN</x:v>
      </x:c>
    </x:row>
    <x:row r="154">
      <x:c r="B154" s="7" t="str">
        <x:v>TRV-PEA-B-X2-08</x:v>
      </x:c>
      <x:c r="C154" s="7" t="str">
        <x:v>PEA-B-X2</x:v>
      </x:c>
      <x:c r="D154" s="7" t="str">
        <x:v>BLD-B</x:v>
      </x:c>
      <x:c r="E154" s="7" t="str">
        <x:v>BL-X</x:v>
      </x:c>
      <x:c r="F154" s="7" t="str">
        <x:v>CS-08</x:v>
      </x:c>
      <x:c r="G154" s="7" t="str">
        <x:v>normal source route</x:v>
      </x:c>
      <x:c r="H154" s="7" t="str"/>
      <x:c r="I154" s="7" t="str"/>
      <x:c r="J154" s="7" t="str"/>
      <x:c r="K154" s="7" t="str"/>
      <x:c r="L154" s="7" t="str">
        <x:f>IF(K154="","OPEN",IF(OR(H154="",I154="",J154=""),"FAIL","PASS"))</x:f>
        <x:v>OPEN</x:v>
      </x:c>
    </x:row>
    <x:row r="155">
      <x:c r="B155" s="7" t="str">
        <x:v>TRV-PEA-B-X2-09</x:v>
      </x:c>
      <x:c r="C155" s="7" t="str">
        <x:v>PEA-B-X2</x:v>
      </x:c>
      <x:c r="D155" s="7" t="str">
        <x:v>BLD-B</x:v>
      </x:c>
      <x:c r="E155" s="7" t="str">
        <x:v>BL-X</x:v>
      </x:c>
      <x:c r="F155" s="7" t="str">
        <x:v>CS-09</x:v>
      </x:c>
      <x:c r="G155" s="7" t="str">
        <x:v>casualty source route</x:v>
      </x:c>
      <x:c r="H155" s="7" t="str"/>
      <x:c r="I155" s="7" t="str"/>
      <x:c r="J155" s="7" t="str"/>
      <x:c r="K155" s="7" t="str"/>
      <x:c r="L155" s="7" t="str">
        <x:f>IF(K155="","OPEN",IF(OR(H155="",I155="",J155=""),"FAIL","PASS"))</x:f>
        <x:v>OPEN</x:v>
      </x:c>
    </x:row>
    <x:row r="156">
      <x:c r="B156" s="7" t="str">
        <x:v>TRV-PEA-B-X2-10</x:v>
      </x:c>
      <x:c r="C156" s="7" t="str">
        <x:v>PEA-B-X2</x:v>
      </x:c>
      <x:c r="D156" s="7" t="str">
        <x:v>BLD-B</x:v>
      </x:c>
      <x:c r="E156" s="7" t="str">
        <x:v>BL-X</x:v>
      </x:c>
      <x:c r="F156" s="7" t="str">
        <x:v>CS-10</x:v>
      </x:c>
      <x:c r="G156" s="7" t="str">
        <x:v>normal source receiver</x:v>
      </x:c>
      <x:c r="H156" s="7" t="str"/>
      <x:c r="I156" s="7" t="str"/>
      <x:c r="J156" s="7" t="str"/>
      <x:c r="K156" s="7" t="str"/>
      <x:c r="L156" s="7" t="str">
        <x:f>IF(K156="","OPEN",IF(OR(H156="",I156="",J156=""),"FAIL","PASS"))</x:f>
        <x:v>OPEN</x:v>
      </x:c>
    </x:row>
    <x:row r="157">
      <x:c r="B157" s="7" t="str">
        <x:v>TRV-PEA-B-X2-11</x:v>
      </x:c>
      <x:c r="C157" s="7" t="str">
        <x:v>PEA-B-X2</x:v>
      </x:c>
      <x:c r="D157" s="7" t="str">
        <x:v>BLD-B</x:v>
      </x:c>
      <x:c r="E157" s="7" t="str">
        <x:v>BL-X</x:v>
      </x:c>
      <x:c r="F157" s="7" t="str">
        <x:v>CS-11</x:v>
      </x:c>
      <x:c r="G157" s="7" t="str">
        <x:v>casualty source interface</x:v>
      </x:c>
      <x:c r="H157" s="7" t="str"/>
      <x:c r="I157" s="7" t="str"/>
      <x:c r="J157" s="7" t="str"/>
      <x:c r="K157" s="7" t="str"/>
      <x:c r="L157" s="7" t="str">
        <x:f>IF(K157="","OPEN",IF(OR(H157="",I157="",J157=""),"FAIL","PASS"))</x:f>
        <x:v>OPEN</x:v>
      </x:c>
    </x:row>
    <x:row r="158">
      <x:c r="B158" s="7" t="str">
        <x:v>TRV-PEA-B-X2-12</x:v>
      </x:c>
      <x:c r="C158" s="7" t="str">
        <x:v>PEA-B-X2</x:v>
      </x:c>
      <x:c r="D158" s="7" t="str">
        <x:v>BLD-B</x:v>
      </x:c>
      <x:c r="E158" s="7" t="str">
        <x:v>BL-X</x:v>
      </x:c>
      <x:c r="F158" s="7" t="str">
        <x:v>CS-12</x:v>
      </x:c>
      <x:c r="G158" s="7" t="str">
        <x:v>candidate-water isolation</x:v>
      </x:c>
      <x:c r="H158" s="7" t="str"/>
      <x:c r="I158" s="7" t="str"/>
      <x:c r="J158" s="7" t="str"/>
      <x:c r="K158" s="7" t="str"/>
      <x:c r="L158" s="7" t="str">
        <x:f>IF(K158="","OPEN",IF(OR(H158="",I158="",J158=""),"FAIL","PASS"))</x:f>
        <x:v>OPEN</x:v>
      </x:c>
    </x:row>
    <x:row r="159">
      <x:c r="B159" s="7" t="str">
        <x:v>TRV-PEA-B-X2-13</x:v>
      </x:c>
      <x:c r="C159" s="7" t="str">
        <x:v>PEA-B-X2</x:v>
      </x:c>
      <x:c r="D159" s="7" t="str">
        <x:v>BLD-B</x:v>
      </x:c>
      <x:c r="E159" s="7" t="str">
        <x:v>BL-X</x:v>
      </x:c>
      <x:c r="F159" s="7" t="str">
        <x:v>CS-13</x:v>
      </x:c>
      <x:c r="G159" s="7" t="str">
        <x:v>public-water isolation</x:v>
      </x:c>
      <x:c r="H159" s="7" t="str"/>
      <x:c r="I159" s="7" t="str"/>
      <x:c r="J159" s="7" t="str"/>
      <x:c r="K159" s="7" t="str"/>
      <x:c r="L159" s="7" t="str">
        <x:f>IF(K159="","OPEN",IF(OR(H159="",I159="",J159=""),"FAIL","PASS"))</x:f>
        <x:v>OPEN</x:v>
      </x:c>
    </x:row>
    <x:row r="160">
      <x:c r="B160" s="7" t="str">
        <x:v>TRV-PEA-B-X2-14</x:v>
      </x:c>
      <x:c r="C160" s="7" t="str">
        <x:v>PEA-B-X2</x:v>
      </x:c>
      <x:c r="D160" s="7" t="str">
        <x:v>BLD-B</x:v>
      </x:c>
      <x:c r="E160" s="7" t="str">
        <x:v>BL-X</x:v>
      </x:c>
      <x:c r="F160" s="7" t="str">
        <x:v>CS-14</x:v>
      </x:c>
      <x:c r="G160" s="7" t="str">
        <x:v>casualty-water interface</x:v>
      </x:c>
      <x:c r="H160" s="7" t="str"/>
      <x:c r="I160" s="7" t="str"/>
      <x:c r="J160" s="7" t="str"/>
      <x:c r="K160" s="7" t="str"/>
      <x:c r="L160" s="7" t="str">
        <x:f>IF(K160="","OPEN",IF(OR(H160="",I160="",J160=""),"FAIL","PASS"))</x:f>
        <x:v>OPEN</x:v>
      </x:c>
    </x:row>
    <x:row r="161">
      <x:c r="B161" s="7" t="str">
        <x:v>TRV-PEA-B-X2-15</x:v>
      </x:c>
      <x:c r="C161" s="7" t="str">
        <x:v>PEA-B-X2</x:v>
      </x:c>
      <x:c r="D161" s="7" t="str">
        <x:v>BLD-B</x:v>
      </x:c>
      <x:c r="E161" s="7" t="str">
        <x:v>BL-X</x:v>
      </x:c>
      <x:c r="F161" s="7" t="str">
        <x:v>CS-15</x:v>
      </x:c>
      <x:c r="G161" s="7" t="str">
        <x:v>final control assembly</x:v>
      </x:c>
      <x:c r="H161" s="7" t="str"/>
      <x:c r="I161" s="7" t="str"/>
      <x:c r="J161" s="7" t="str"/>
      <x:c r="K161" s="7" t="str"/>
      <x:c r="L161" s="7" t="str">
        <x:f>IF(K161="","OPEN",IF(OR(H161="",I161="",J161=""),"FAIL","PASS"))</x:f>
        <x:v>OPEN</x:v>
      </x:c>
    </x:row>
    <x:row r="162">
      <x:c r="B162" s="7" t="str">
        <x:v>TRV-PEA-B-X2-16</x:v>
      </x:c>
      <x:c r="C162" s="7" t="str">
        <x:v>PEA-B-X2</x:v>
      </x:c>
      <x:c r="D162" s="7" t="str">
        <x:v>BLD-B</x:v>
      </x:c>
      <x:c r="E162" s="7" t="str">
        <x:v>BL-X</x:v>
      </x:c>
      <x:c r="F162" s="7" t="str">
        <x:v>CS-16</x:v>
      </x:c>
      <x:c r="G162" s="7" t="str">
        <x:v>independent safety energy</x:v>
      </x:c>
      <x:c r="H162" s="7" t="str"/>
      <x:c r="I162" s="7" t="str"/>
      <x:c r="J162" s="7" t="str"/>
      <x:c r="K162" s="7" t="str"/>
      <x:c r="L162" s="7" t="str">
        <x:f>IF(K162="","OPEN",IF(OR(H162="",I162="",J162=""),"FAIL","PASS"))</x:f>
        <x:v>OPEN</x:v>
      </x:c>
    </x:row>
    <x:row r="163">
      <x:c r="B163" s="7" t="str">
        <x:v>TRV-PEA-B-X2-17</x:v>
      </x:c>
      <x:c r="C163" s="7" t="str">
        <x:v>PEA-B-X2</x:v>
      </x:c>
      <x:c r="D163" s="7" t="str">
        <x:v>BLD-B</x:v>
      </x:c>
      <x:c r="E163" s="7" t="str">
        <x:v>BL-X</x:v>
      </x:c>
      <x:c r="F163" s="7" t="str">
        <x:v>CS-17</x:v>
      </x:c>
      <x:c r="G163" s="7" t="str">
        <x:v>measurement frame</x:v>
      </x:c>
      <x:c r="H163" s="7" t="str"/>
      <x:c r="I163" s="7" t="str"/>
      <x:c r="J163" s="7" t="str"/>
      <x:c r="K163" s="7" t="str"/>
      <x:c r="L163" s="7" t="str">
        <x:f>IF(K163="","OPEN",IF(OR(H163="",I163="",J163=""),"FAIL","PASS"))</x:f>
        <x:v>OPEN</x:v>
      </x:c>
    </x:row>
    <x:row r="164">
      <x:c r="B164" s="7" t="str">
        <x:v>TRV-PEA-B-X2-18</x:v>
      </x:c>
      <x:c r="C164" s="7" t="str">
        <x:v>PEA-B-X2</x:v>
      </x:c>
      <x:c r="D164" s="7" t="str">
        <x:v>BLD-B</x:v>
      </x:c>
      <x:c r="E164" s="7" t="str">
        <x:v>BL-X</x:v>
      </x:c>
      <x:c r="F164" s="7" t="str">
        <x:v>CS-18</x:v>
      </x:c>
      <x:c r="G164" s="7" t="str">
        <x:v>causal time and evidence</x:v>
      </x:c>
      <x:c r="H164" s="7" t="str"/>
      <x:c r="I164" s="7" t="str"/>
      <x:c r="J164" s="7" t="str"/>
      <x:c r="K164" s="7" t="str"/>
      <x:c r="L164" s="7" t="str">
        <x:f>IF(K164="","OPEN",IF(OR(H164="",I164="",J164=""),"FAIL","PASS"))</x:f>
        <x:v>OPEN</x:v>
      </x:c>
    </x:row>
    <x:row r="165">
      <x:c r="B165" s="7" t="str">
        <x:v>TRV-PEA-B-X2-19</x:v>
      </x:c>
      <x:c r="C165" s="7" t="str">
        <x:v>PEA-B-X2</x:v>
      </x:c>
      <x:c r="D165" s="7" t="str">
        <x:v>BLD-B</x:v>
      </x:c>
      <x:c r="E165" s="7" t="str">
        <x:v>BL-X</x:v>
      </x:c>
      <x:c r="F165" s="7" t="str">
        <x:v>CS-19</x:v>
      </x:c>
      <x:c r="G165" s="7" t="str">
        <x:v>rescue and access</x:v>
      </x:c>
      <x:c r="H165" s="7" t="str"/>
      <x:c r="I165" s="7" t="str"/>
      <x:c r="J165" s="7" t="str"/>
      <x:c r="K165" s="7" t="str"/>
      <x:c r="L165" s="7" t="str">
        <x:f>IF(K165="","OPEN",IF(OR(H165="",I165="",J165=""),"FAIL","PASS"))</x:f>
        <x:v>OPEN</x:v>
      </x:c>
    </x:row>
    <x:row r="166">
      <x:c r="B166" s="7" t="str">
        <x:v>TRV-PEA-B-X2-20</x:v>
      </x:c>
      <x:c r="C166" s="7" t="str">
        <x:v>PEA-B-X2</x:v>
      </x:c>
      <x:c r="D166" s="7" t="str">
        <x:v>BLD-B</x:v>
      </x:c>
      <x:c r="E166" s="7" t="str">
        <x:v>BL-X</x:v>
      </x:c>
      <x:c r="F166" s="7" t="str">
        <x:v>CS-20</x:v>
      </x:c>
      <x:c r="G166" s="7" t="str">
        <x:v>environmental boundary</x:v>
      </x:c>
      <x:c r="H166" s="7" t="str"/>
      <x:c r="I166" s="7" t="str"/>
      <x:c r="J166" s="7" t="str"/>
      <x:c r="K166" s="7" t="str"/>
      <x:c r="L166" s="7" t="str">
        <x:f>IF(K166="","OPEN",IF(OR(H166="",I166="",J166=""),"FAIL","PASS"))</x:f>
        <x:v>OPEN</x:v>
      </x:c>
    </x:row>
    <x:row r="167">
      <x:c r="B167" s="7" t="str">
        <x:v>TRV-PEA-B-X3-01</x:v>
      </x:c>
      <x:c r="C167" s="7" t="str">
        <x:v>PEA-B-X3</x:v>
      </x:c>
      <x:c r="D167" s="7" t="str">
        <x:v>BLD-B</x:v>
      </x:c>
      <x:c r="E167" s="7" t="str">
        <x:v>BL-X</x:v>
      </x:c>
      <x:c r="F167" s="7" t="str">
        <x:v>CS-01</x:v>
      </x:c>
      <x:c r="G167" s="7" t="str">
        <x:v>public datum</x:v>
      </x:c>
      <x:c r="H167" s="7" t="str"/>
      <x:c r="I167" s="7" t="str"/>
      <x:c r="J167" s="7" t="str"/>
      <x:c r="K167" s="7" t="str"/>
      <x:c r="L167" s="7" t="str">
        <x:f>IF(K167="","OPEN",IF(OR(H167="",I167="",J167=""),"FAIL","PASS"))</x:f>
        <x:v>OPEN</x:v>
      </x:c>
    </x:row>
    <x:row r="168">
      <x:c r="B168" s="7" t="str">
        <x:v>TRV-PEA-B-X3-02</x:v>
      </x:c>
      <x:c r="C168" s="7" t="str">
        <x:v>PEA-B-X3</x:v>
      </x:c>
      <x:c r="D168" s="7" t="str">
        <x:v>BLD-B</x:v>
      </x:c>
      <x:c r="E168" s="7" t="str">
        <x:v>BL-X</x:v>
      </x:c>
      <x:c r="F168" s="7" t="str">
        <x:v>CS-02</x:v>
      </x:c>
      <x:c r="G168" s="7" t="str">
        <x:v>primary frame</x:v>
      </x:c>
      <x:c r="H168" s="7" t="str"/>
      <x:c r="I168" s="7" t="str"/>
      <x:c r="J168" s="7" t="str"/>
      <x:c r="K168" s="7" t="str"/>
      <x:c r="L168" s="7" t="str">
        <x:f>IF(K168="","OPEN",IF(OR(H168="",I168="",J168=""),"FAIL","PASS"))</x:f>
        <x:v>OPEN</x:v>
      </x:c>
    </x:row>
    <x:row r="169">
      <x:c r="B169" s="7" t="str">
        <x:v>TRV-PEA-B-X3-03</x:v>
      </x:c>
      <x:c r="C169" s="7" t="str">
        <x:v>PEA-B-X3</x:v>
      </x:c>
      <x:c r="D169" s="7" t="str">
        <x:v>BLD-B</x:v>
      </x:c>
      <x:c r="E169" s="7" t="str">
        <x:v>BL-X</x:v>
      </x:c>
      <x:c r="F169" s="7" t="str">
        <x:v>CS-03</x:v>
      </x:c>
      <x:c r="G169" s="7" t="str">
        <x:v>source-surrogate vessel</x:v>
      </x:c>
      <x:c r="H169" s="7" t="str"/>
      <x:c r="I169" s="7" t="str"/>
      <x:c r="J169" s="7" t="str"/>
      <x:c r="K169" s="7" t="str"/>
      <x:c r="L169" s="7" t="str">
        <x:f>IF(K169="","OPEN",IF(OR(H169="",I169="",J169=""),"FAIL","PASS"))</x:f>
        <x:v>OPEN</x:v>
      </x:c>
    </x:row>
    <x:row r="170">
      <x:c r="B170" s="7" t="str">
        <x:v>TRV-PEA-B-X3-04</x:v>
      </x:c>
      <x:c r="C170" s="7" t="str">
        <x:v>PEA-B-X3</x:v>
      </x:c>
      <x:c r="D170" s="7" t="str">
        <x:v>BLD-B</x:v>
      </x:c>
      <x:c r="E170" s="7" t="str">
        <x:v>BL-X</x:v>
      </x:c>
      <x:c r="F170" s="7" t="str">
        <x:v>CS-04</x:v>
      </x:c>
      <x:c r="G170" s="7" t="str">
        <x:v>capsule dock</x:v>
      </x:c>
      <x:c r="H170" s="7" t="str"/>
      <x:c r="I170" s="7" t="str"/>
      <x:c r="J170" s="7" t="str"/>
      <x:c r="K170" s="7" t="str"/>
      <x:c r="L170" s="7" t="str">
        <x:f>IF(K170="","OPEN",IF(OR(H170="",I170="",J170=""),"FAIL","PASS"))</x:f>
        <x:v>OPEN</x:v>
      </x:c>
    </x:row>
    <x:row r="171">
      <x:c r="B171" s="7" t="str">
        <x:v>TRV-PEA-B-X3-05</x:v>
      </x:c>
      <x:c r="C171" s="7" t="str">
        <x:v>PEA-B-X3</x:v>
      </x:c>
      <x:c r="D171" s="7" t="str">
        <x:v>BLD-B</x:v>
      </x:c>
      <x:c r="E171" s="7" t="str">
        <x:v>BL-X</x:v>
      </x:c>
      <x:c r="F171" s="7" t="str">
        <x:v>CS-05</x:v>
      </x:c>
      <x:c r="G171" s="7" t="str">
        <x:v>40 mm insert</x:v>
      </x:c>
      <x:c r="H171" s="7" t="str"/>
      <x:c r="I171" s="7" t="str"/>
      <x:c r="J171" s="7" t="str"/>
      <x:c r="K171" s="7" t="str"/>
      <x:c r="L171" s="7" t="str">
        <x:f>IF(K171="","OPEN",IF(OR(H171="",I171="",J171=""),"FAIL","PASS"))</x:f>
        <x:v>OPEN</x:v>
      </x:c>
    </x:row>
    <x:row r="172">
      <x:c r="B172" s="7" t="str">
        <x:v>TRV-PEA-B-X3-06</x:v>
      </x:c>
      <x:c r="C172" s="7" t="str">
        <x:v>PEA-B-X3</x:v>
      </x:c>
      <x:c r="D172" s="7" t="str">
        <x:v>BLD-B</x:v>
      </x:c>
      <x:c r="E172" s="7" t="str">
        <x:v>BL-X</x:v>
      </x:c>
      <x:c r="F172" s="7" t="str">
        <x:v>CS-06</x:v>
      </x:c>
      <x:c r="G172" s="7" t="str">
        <x:v>dispenser</x:v>
      </x:c>
      <x:c r="H172" s="7" t="str"/>
      <x:c r="I172" s="7" t="str"/>
      <x:c r="J172" s="7" t="str"/>
      <x:c r="K172" s="7" t="str"/>
      <x:c r="L172" s="7" t="str">
        <x:f>IF(K172="","OPEN",IF(OR(H172="",I172="",J172=""),"FAIL","PASS"))</x:f>
        <x:v>OPEN</x:v>
      </x:c>
    </x:row>
    <x:row r="173">
      <x:c r="B173" s="7" t="str">
        <x:v>TRV-PEA-B-X3-07</x:v>
      </x:c>
      <x:c r="C173" s="7" t="str">
        <x:v>PEA-B-X3</x:v>
      </x:c>
      <x:c r="D173" s="7" t="str">
        <x:v>BLD-B</x:v>
      </x:c>
      <x:c r="E173" s="7" t="str">
        <x:v>BL-X</x:v>
      </x:c>
      <x:c r="F173" s="7" t="str">
        <x:v>CS-07</x:v>
      </x:c>
      <x:c r="G173" s="7" t="str">
        <x:v>inner pan</x:v>
      </x:c>
      <x:c r="H173" s="7" t="str"/>
      <x:c r="I173" s="7" t="str"/>
      <x:c r="J173" s="7" t="str"/>
      <x:c r="K173" s="7" t="str"/>
      <x:c r="L173" s="7" t="str">
        <x:f>IF(K173="","OPEN",IF(OR(H173="",I173="",J173=""),"FAIL","PASS"))</x:f>
        <x:v>OPEN</x:v>
      </x:c>
    </x:row>
    <x:row r="174">
      <x:c r="B174" s="7" t="str">
        <x:v>TRV-PEA-B-X3-08</x:v>
      </x:c>
      <x:c r="C174" s="7" t="str">
        <x:v>PEA-B-X3</x:v>
      </x:c>
      <x:c r="D174" s="7" t="str">
        <x:v>BLD-B</x:v>
      </x:c>
      <x:c r="E174" s="7" t="str">
        <x:v>BL-X</x:v>
      </x:c>
      <x:c r="F174" s="7" t="str">
        <x:v>CS-08</x:v>
      </x:c>
      <x:c r="G174" s="7" t="str">
        <x:v>normal source route</x:v>
      </x:c>
      <x:c r="H174" s="7" t="str"/>
      <x:c r="I174" s="7" t="str"/>
      <x:c r="J174" s="7" t="str"/>
      <x:c r="K174" s="7" t="str"/>
      <x:c r="L174" s="7" t="str">
        <x:f>IF(K174="","OPEN",IF(OR(H174="",I174="",J174=""),"FAIL","PASS"))</x:f>
        <x:v>OPEN</x:v>
      </x:c>
    </x:row>
    <x:row r="175">
      <x:c r="B175" s="7" t="str">
        <x:v>TRV-PEA-B-X3-09</x:v>
      </x:c>
      <x:c r="C175" s="7" t="str">
        <x:v>PEA-B-X3</x:v>
      </x:c>
      <x:c r="D175" s="7" t="str">
        <x:v>BLD-B</x:v>
      </x:c>
      <x:c r="E175" s="7" t="str">
        <x:v>BL-X</x:v>
      </x:c>
      <x:c r="F175" s="7" t="str">
        <x:v>CS-09</x:v>
      </x:c>
      <x:c r="G175" s="7" t="str">
        <x:v>casualty source route</x:v>
      </x:c>
      <x:c r="H175" s="7" t="str"/>
      <x:c r="I175" s="7" t="str"/>
      <x:c r="J175" s="7" t="str"/>
      <x:c r="K175" s="7" t="str"/>
      <x:c r="L175" s="7" t="str">
        <x:f>IF(K175="","OPEN",IF(OR(H175="",I175="",J175=""),"FAIL","PASS"))</x:f>
        <x:v>OPEN</x:v>
      </x:c>
    </x:row>
    <x:row r="176">
      <x:c r="B176" s="7" t="str">
        <x:v>TRV-PEA-B-X3-10</x:v>
      </x:c>
      <x:c r="C176" s="7" t="str">
        <x:v>PEA-B-X3</x:v>
      </x:c>
      <x:c r="D176" s="7" t="str">
        <x:v>BLD-B</x:v>
      </x:c>
      <x:c r="E176" s="7" t="str">
        <x:v>BL-X</x:v>
      </x:c>
      <x:c r="F176" s="7" t="str">
        <x:v>CS-10</x:v>
      </x:c>
      <x:c r="G176" s="7" t="str">
        <x:v>normal source receiver</x:v>
      </x:c>
      <x:c r="H176" s="7" t="str"/>
      <x:c r="I176" s="7" t="str"/>
      <x:c r="J176" s="7" t="str"/>
      <x:c r="K176" s="7" t="str"/>
      <x:c r="L176" s="7" t="str">
        <x:f>IF(K176="","OPEN",IF(OR(H176="",I176="",J176=""),"FAIL","PASS"))</x:f>
        <x:v>OPEN</x:v>
      </x:c>
    </x:row>
    <x:row r="177">
      <x:c r="B177" s="7" t="str">
        <x:v>TRV-PEA-B-X3-11</x:v>
      </x:c>
      <x:c r="C177" s="7" t="str">
        <x:v>PEA-B-X3</x:v>
      </x:c>
      <x:c r="D177" s="7" t="str">
        <x:v>BLD-B</x:v>
      </x:c>
      <x:c r="E177" s="7" t="str">
        <x:v>BL-X</x:v>
      </x:c>
      <x:c r="F177" s="7" t="str">
        <x:v>CS-11</x:v>
      </x:c>
      <x:c r="G177" s="7" t="str">
        <x:v>casualty source interface</x:v>
      </x:c>
      <x:c r="H177" s="7" t="str"/>
      <x:c r="I177" s="7" t="str"/>
      <x:c r="J177" s="7" t="str"/>
      <x:c r="K177" s="7" t="str"/>
      <x:c r="L177" s="7" t="str">
        <x:f>IF(K177="","OPEN",IF(OR(H177="",I177="",J177=""),"FAIL","PASS"))</x:f>
        <x:v>OPEN</x:v>
      </x:c>
    </x:row>
    <x:row r="178">
      <x:c r="B178" s="7" t="str">
        <x:v>TRV-PEA-B-X3-12</x:v>
      </x:c>
      <x:c r="C178" s="7" t="str">
        <x:v>PEA-B-X3</x:v>
      </x:c>
      <x:c r="D178" s="7" t="str">
        <x:v>BLD-B</x:v>
      </x:c>
      <x:c r="E178" s="7" t="str">
        <x:v>BL-X</x:v>
      </x:c>
      <x:c r="F178" s="7" t="str">
        <x:v>CS-12</x:v>
      </x:c>
      <x:c r="G178" s="7" t="str">
        <x:v>candidate-water isolation</x:v>
      </x:c>
      <x:c r="H178" s="7" t="str"/>
      <x:c r="I178" s="7" t="str"/>
      <x:c r="J178" s="7" t="str"/>
      <x:c r="K178" s="7" t="str"/>
      <x:c r="L178" s="7" t="str">
        <x:f>IF(K178="","OPEN",IF(OR(H178="",I178="",J178=""),"FAIL","PASS"))</x:f>
        <x:v>OPEN</x:v>
      </x:c>
    </x:row>
    <x:row r="179">
      <x:c r="B179" s="7" t="str">
        <x:v>TRV-PEA-B-X3-13</x:v>
      </x:c>
      <x:c r="C179" s="7" t="str">
        <x:v>PEA-B-X3</x:v>
      </x:c>
      <x:c r="D179" s="7" t="str">
        <x:v>BLD-B</x:v>
      </x:c>
      <x:c r="E179" s="7" t="str">
        <x:v>BL-X</x:v>
      </x:c>
      <x:c r="F179" s="7" t="str">
        <x:v>CS-13</x:v>
      </x:c>
      <x:c r="G179" s="7" t="str">
        <x:v>public-water isolation</x:v>
      </x:c>
      <x:c r="H179" s="7" t="str"/>
      <x:c r="I179" s="7" t="str"/>
      <x:c r="J179" s="7" t="str"/>
      <x:c r="K179" s="7" t="str"/>
      <x:c r="L179" s="7" t="str">
        <x:f>IF(K179="","OPEN",IF(OR(H179="",I179="",J179=""),"FAIL","PASS"))</x:f>
        <x:v>OPEN</x:v>
      </x:c>
    </x:row>
    <x:row r="180">
      <x:c r="B180" s="7" t="str">
        <x:v>TRV-PEA-B-X3-14</x:v>
      </x:c>
      <x:c r="C180" s="7" t="str">
        <x:v>PEA-B-X3</x:v>
      </x:c>
      <x:c r="D180" s="7" t="str">
        <x:v>BLD-B</x:v>
      </x:c>
      <x:c r="E180" s="7" t="str">
        <x:v>BL-X</x:v>
      </x:c>
      <x:c r="F180" s="7" t="str">
        <x:v>CS-14</x:v>
      </x:c>
      <x:c r="G180" s="7" t="str">
        <x:v>casualty-water interface</x:v>
      </x:c>
      <x:c r="H180" s="7" t="str"/>
      <x:c r="I180" s="7" t="str"/>
      <x:c r="J180" s="7" t="str"/>
      <x:c r="K180" s="7" t="str"/>
      <x:c r="L180" s="7" t="str">
        <x:f>IF(K180="","OPEN",IF(OR(H180="",I180="",J180=""),"FAIL","PASS"))</x:f>
        <x:v>OPEN</x:v>
      </x:c>
    </x:row>
    <x:row r="181">
      <x:c r="B181" s="7" t="str">
        <x:v>TRV-PEA-B-X3-15</x:v>
      </x:c>
      <x:c r="C181" s="7" t="str">
        <x:v>PEA-B-X3</x:v>
      </x:c>
      <x:c r="D181" s="7" t="str">
        <x:v>BLD-B</x:v>
      </x:c>
      <x:c r="E181" s="7" t="str">
        <x:v>BL-X</x:v>
      </x:c>
      <x:c r="F181" s="7" t="str">
        <x:v>CS-15</x:v>
      </x:c>
      <x:c r="G181" s="7" t="str">
        <x:v>final control assembly</x:v>
      </x:c>
      <x:c r="H181" s="7" t="str"/>
      <x:c r="I181" s="7" t="str"/>
      <x:c r="J181" s="7" t="str"/>
      <x:c r="K181" s="7" t="str"/>
      <x:c r="L181" s="7" t="str">
        <x:f>IF(K181="","OPEN",IF(OR(H181="",I181="",J181=""),"FAIL","PASS"))</x:f>
        <x:v>OPEN</x:v>
      </x:c>
    </x:row>
    <x:row r="182">
      <x:c r="B182" s="7" t="str">
        <x:v>TRV-PEA-B-X3-16</x:v>
      </x:c>
      <x:c r="C182" s="7" t="str">
        <x:v>PEA-B-X3</x:v>
      </x:c>
      <x:c r="D182" s="7" t="str">
        <x:v>BLD-B</x:v>
      </x:c>
      <x:c r="E182" s="7" t="str">
        <x:v>BL-X</x:v>
      </x:c>
      <x:c r="F182" s="7" t="str">
        <x:v>CS-16</x:v>
      </x:c>
      <x:c r="G182" s="7" t="str">
        <x:v>independent safety energy</x:v>
      </x:c>
      <x:c r="H182" s="7" t="str"/>
      <x:c r="I182" s="7" t="str"/>
      <x:c r="J182" s="7" t="str"/>
      <x:c r="K182" s="7" t="str"/>
      <x:c r="L182" s="7" t="str">
        <x:f>IF(K182="","OPEN",IF(OR(H182="",I182="",J182=""),"FAIL","PASS"))</x:f>
        <x:v>OPEN</x:v>
      </x:c>
    </x:row>
    <x:row r="183">
      <x:c r="B183" s="7" t="str">
        <x:v>TRV-PEA-B-X3-17</x:v>
      </x:c>
      <x:c r="C183" s="7" t="str">
        <x:v>PEA-B-X3</x:v>
      </x:c>
      <x:c r="D183" s="7" t="str">
        <x:v>BLD-B</x:v>
      </x:c>
      <x:c r="E183" s="7" t="str">
        <x:v>BL-X</x:v>
      </x:c>
      <x:c r="F183" s="7" t="str">
        <x:v>CS-17</x:v>
      </x:c>
      <x:c r="G183" s="7" t="str">
        <x:v>measurement frame</x:v>
      </x:c>
      <x:c r="H183" s="7" t="str"/>
      <x:c r="I183" s="7" t="str"/>
      <x:c r="J183" s="7" t="str"/>
      <x:c r="K183" s="7" t="str"/>
      <x:c r="L183" s="7" t="str">
        <x:f>IF(K183="","OPEN",IF(OR(H183="",I183="",J183=""),"FAIL","PASS"))</x:f>
        <x:v>OPEN</x:v>
      </x:c>
    </x:row>
    <x:row r="184">
      <x:c r="B184" s="7" t="str">
        <x:v>TRV-PEA-B-X3-18</x:v>
      </x:c>
      <x:c r="C184" s="7" t="str">
        <x:v>PEA-B-X3</x:v>
      </x:c>
      <x:c r="D184" s="7" t="str">
        <x:v>BLD-B</x:v>
      </x:c>
      <x:c r="E184" s="7" t="str">
        <x:v>BL-X</x:v>
      </x:c>
      <x:c r="F184" s="7" t="str">
        <x:v>CS-18</x:v>
      </x:c>
      <x:c r="G184" s="7" t="str">
        <x:v>causal time and evidence</x:v>
      </x:c>
      <x:c r="H184" s="7" t="str"/>
      <x:c r="I184" s="7" t="str"/>
      <x:c r="J184" s="7" t="str"/>
      <x:c r="K184" s="7" t="str"/>
      <x:c r="L184" s="7" t="str">
        <x:f>IF(K184="","OPEN",IF(OR(H184="",I184="",J184=""),"FAIL","PASS"))</x:f>
        <x:v>OPEN</x:v>
      </x:c>
    </x:row>
    <x:row r="185">
      <x:c r="B185" s="7" t="str">
        <x:v>TRV-PEA-B-X3-19</x:v>
      </x:c>
      <x:c r="C185" s="7" t="str">
        <x:v>PEA-B-X3</x:v>
      </x:c>
      <x:c r="D185" s="7" t="str">
        <x:v>BLD-B</x:v>
      </x:c>
      <x:c r="E185" s="7" t="str">
        <x:v>BL-X</x:v>
      </x:c>
      <x:c r="F185" s="7" t="str">
        <x:v>CS-19</x:v>
      </x:c>
      <x:c r="G185" s="7" t="str">
        <x:v>rescue and access</x:v>
      </x:c>
      <x:c r="H185" s="7" t="str"/>
      <x:c r="I185" s="7" t="str"/>
      <x:c r="J185" s="7" t="str"/>
      <x:c r="K185" s="7" t="str"/>
      <x:c r="L185" s="7" t="str">
        <x:f>IF(K185="","OPEN",IF(OR(H185="",I185="",J185=""),"FAIL","PASS"))</x:f>
        <x:v>OPEN</x:v>
      </x:c>
    </x:row>
    <x:row r="186">
      <x:c r="B186" s="7" t="str">
        <x:v>TRV-PEA-B-X3-20</x:v>
      </x:c>
      <x:c r="C186" s="7" t="str">
        <x:v>PEA-B-X3</x:v>
      </x:c>
      <x:c r="D186" s="7" t="str">
        <x:v>BLD-B</x:v>
      </x:c>
      <x:c r="E186" s="7" t="str">
        <x:v>BL-X</x:v>
      </x:c>
      <x:c r="F186" s="7" t="str">
        <x:v>CS-20</x:v>
      </x:c>
      <x:c r="G186" s="7" t="str">
        <x:v>environmental boundary</x:v>
      </x:c>
      <x:c r="H186" s="7" t="str"/>
      <x:c r="I186" s="7" t="str"/>
      <x:c r="J186" s="7" t="str"/>
      <x:c r="K186" s="7" t="str"/>
      <x:c r="L186" s="7" t="str">
        <x:f>IF(K186="","OPEN",IF(OR(H186="",I186="",J186=""),"FAIL","PASS"))</x:f>
        <x:v>OPEN</x:v>
      </x:c>
    </x:row>
    <x:row r="187">
      <x:c r="B187" s="7" t="str">
        <x:v>TRV-PEA-B-Y1-01</x:v>
      </x:c>
      <x:c r="C187" s="7" t="str">
        <x:v>PEA-B-Y1</x:v>
      </x:c>
      <x:c r="D187" s="7" t="str">
        <x:v>BLD-B</x:v>
      </x:c>
      <x:c r="E187" s="7" t="str">
        <x:v>BL-Y</x:v>
      </x:c>
      <x:c r="F187" s="7" t="str">
        <x:v>CS-01</x:v>
      </x:c>
      <x:c r="G187" s="7" t="str">
        <x:v>public datum</x:v>
      </x:c>
      <x:c r="H187" s="7" t="str"/>
      <x:c r="I187" s="7" t="str"/>
      <x:c r="J187" s="7" t="str"/>
      <x:c r="K187" s="7" t="str"/>
      <x:c r="L187" s="7" t="str">
        <x:f>IF(K187="","OPEN",IF(OR(H187="",I187="",J187=""),"FAIL","PASS"))</x:f>
        <x:v>OPEN</x:v>
      </x:c>
    </x:row>
    <x:row r="188">
      <x:c r="B188" s="7" t="str">
        <x:v>TRV-PEA-B-Y1-02</x:v>
      </x:c>
      <x:c r="C188" s="7" t="str">
        <x:v>PEA-B-Y1</x:v>
      </x:c>
      <x:c r="D188" s="7" t="str">
        <x:v>BLD-B</x:v>
      </x:c>
      <x:c r="E188" s="7" t="str">
        <x:v>BL-Y</x:v>
      </x:c>
      <x:c r="F188" s="7" t="str">
        <x:v>CS-02</x:v>
      </x:c>
      <x:c r="G188" s="7" t="str">
        <x:v>primary frame</x:v>
      </x:c>
      <x:c r="H188" s="7" t="str"/>
      <x:c r="I188" s="7" t="str"/>
      <x:c r="J188" s="7" t="str"/>
      <x:c r="K188" s="7" t="str"/>
      <x:c r="L188" s="7" t="str">
        <x:f>IF(K188="","OPEN",IF(OR(H188="",I188="",J188=""),"FAIL","PASS"))</x:f>
        <x:v>OPEN</x:v>
      </x:c>
    </x:row>
    <x:row r="189">
      <x:c r="B189" s="7" t="str">
        <x:v>TRV-PEA-B-Y1-03</x:v>
      </x:c>
      <x:c r="C189" s="7" t="str">
        <x:v>PEA-B-Y1</x:v>
      </x:c>
      <x:c r="D189" s="7" t="str">
        <x:v>BLD-B</x:v>
      </x:c>
      <x:c r="E189" s="7" t="str">
        <x:v>BL-Y</x:v>
      </x:c>
      <x:c r="F189" s="7" t="str">
        <x:v>CS-03</x:v>
      </x:c>
      <x:c r="G189" s="7" t="str">
        <x:v>source-surrogate vessel</x:v>
      </x:c>
      <x:c r="H189" s="7" t="str"/>
      <x:c r="I189" s="7" t="str"/>
      <x:c r="J189" s="7" t="str"/>
      <x:c r="K189" s="7" t="str"/>
      <x:c r="L189" s="7" t="str">
        <x:f>IF(K189="","OPEN",IF(OR(H189="",I189="",J189=""),"FAIL","PASS"))</x:f>
        <x:v>OPEN</x:v>
      </x:c>
    </x:row>
    <x:row r="190">
      <x:c r="B190" s="7" t="str">
        <x:v>TRV-PEA-B-Y1-04</x:v>
      </x:c>
      <x:c r="C190" s="7" t="str">
        <x:v>PEA-B-Y1</x:v>
      </x:c>
      <x:c r="D190" s="7" t="str">
        <x:v>BLD-B</x:v>
      </x:c>
      <x:c r="E190" s="7" t="str">
        <x:v>BL-Y</x:v>
      </x:c>
      <x:c r="F190" s="7" t="str">
        <x:v>CS-04</x:v>
      </x:c>
      <x:c r="G190" s="7" t="str">
        <x:v>capsule dock</x:v>
      </x:c>
      <x:c r="H190" s="7" t="str"/>
      <x:c r="I190" s="7" t="str"/>
      <x:c r="J190" s="7" t="str"/>
      <x:c r="K190" s="7" t="str"/>
      <x:c r="L190" s="7" t="str">
        <x:f>IF(K190="","OPEN",IF(OR(H190="",I190="",J190=""),"FAIL","PASS"))</x:f>
        <x:v>OPEN</x:v>
      </x:c>
    </x:row>
    <x:row r="191">
      <x:c r="B191" s="7" t="str">
        <x:v>TRV-PEA-B-Y1-05</x:v>
      </x:c>
      <x:c r="C191" s="7" t="str">
        <x:v>PEA-B-Y1</x:v>
      </x:c>
      <x:c r="D191" s="7" t="str">
        <x:v>BLD-B</x:v>
      </x:c>
      <x:c r="E191" s="7" t="str">
        <x:v>BL-Y</x:v>
      </x:c>
      <x:c r="F191" s="7" t="str">
        <x:v>CS-05</x:v>
      </x:c>
      <x:c r="G191" s="7" t="str">
        <x:v>40 mm insert</x:v>
      </x:c>
      <x:c r="H191" s="7" t="str"/>
      <x:c r="I191" s="7" t="str"/>
      <x:c r="J191" s="7" t="str"/>
      <x:c r="K191" s="7" t="str"/>
      <x:c r="L191" s="7" t="str">
        <x:f>IF(K191="","OPEN",IF(OR(H191="",I191="",J191=""),"FAIL","PASS"))</x:f>
        <x:v>OPEN</x:v>
      </x:c>
    </x:row>
    <x:row r="192">
      <x:c r="B192" s="7" t="str">
        <x:v>TRV-PEA-B-Y1-06</x:v>
      </x:c>
      <x:c r="C192" s="7" t="str">
        <x:v>PEA-B-Y1</x:v>
      </x:c>
      <x:c r="D192" s="7" t="str">
        <x:v>BLD-B</x:v>
      </x:c>
      <x:c r="E192" s="7" t="str">
        <x:v>BL-Y</x:v>
      </x:c>
      <x:c r="F192" s="7" t="str">
        <x:v>CS-06</x:v>
      </x:c>
      <x:c r="G192" s="7" t="str">
        <x:v>dispenser</x:v>
      </x:c>
      <x:c r="H192" s="7" t="str"/>
      <x:c r="I192" s="7" t="str"/>
      <x:c r="J192" s="7" t="str"/>
      <x:c r="K192" s="7" t="str"/>
      <x:c r="L192" s="7" t="str">
        <x:f>IF(K192="","OPEN",IF(OR(H192="",I192="",J192=""),"FAIL","PASS"))</x:f>
        <x:v>OPEN</x:v>
      </x:c>
    </x:row>
    <x:row r="193">
      <x:c r="B193" s="7" t="str">
        <x:v>TRV-PEA-B-Y1-07</x:v>
      </x:c>
      <x:c r="C193" s="7" t="str">
        <x:v>PEA-B-Y1</x:v>
      </x:c>
      <x:c r="D193" s="7" t="str">
        <x:v>BLD-B</x:v>
      </x:c>
      <x:c r="E193" s="7" t="str">
        <x:v>BL-Y</x:v>
      </x:c>
      <x:c r="F193" s="7" t="str">
        <x:v>CS-07</x:v>
      </x:c>
      <x:c r="G193" s="7" t="str">
        <x:v>inner pan</x:v>
      </x:c>
      <x:c r="H193" s="7" t="str"/>
      <x:c r="I193" s="7" t="str"/>
      <x:c r="J193" s="7" t="str"/>
      <x:c r="K193" s="7" t="str"/>
      <x:c r="L193" s="7" t="str">
        <x:f>IF(K193="","OPEN",IF(OR(H193="",I193="",J193=""),"FAIL","PASS"))</x:f>
        <x:v>OPEN</x:v>
      </x:c>
    </x:row>
    <x:row r="194">
      <x:c r="B194" s="7" t="str">
        <x:v>TRV-PEA-B-Y1-08</x:v>
      </x:c>
      <x:c r="C194" s="7" t="str">
        <x:v>PEA-B-Y1</x:v>
      </x:c>
      <x:c r="D194" s="7" t="str">
        <x:v>BLD-B</x:v>
      </x:c>
      <x:c r="E194" s="7" t="str">
        <x:v>BL-Y</x:v>
      </x:c>
      <x:c r="F194" s="7" t="str">
        <x:v>CS-08</x:v>
      </x:c>
      <x:c r="G194" s="7" t="str">
        <x:v>normal source route</x:v>
      </x:c>
      <x:c r="H194" s="7" t="str"/>
      <x:c r="I194" s="7" t="str"/>
      <x:c r="J194" s="7" t="str"/>
      <x:c r="K194" s="7" t="str"/>
      <x:c r="L194" s="7" t="str">
        <x:f>IF(K194="","OPEN",IF(OR(H194="",I194="",J194=""),"FAIL","PASS"))</x:f>
        <x:v>OPEN</x:v>
      </x:c>
    </x:row>
    <x:row r="195">
      <x:c r="B195" s="7" t="str">
        <x:v>TRV-PEA-B-Y1-09</x:v>
      </x:c>
      <x:c r="C195" s="7" t="str">
        <x:v>PEA-B-Y1</x:v>
      </x:c>
      <x:c r="D195" s="7" t="str">
        <x:v>BLD-B</x:v>
      </x:c>
      <x:c r="E195" s="7" t="str">
        <x:v>BL-Y</x:v>
      </x:c>
      <x:c r="F195" s="7" t="str">
        <x:v>CS-09</x:v>
      </x:c>
      <x:c r="G195" s="7" t="str">
        <x:v>casualty source route</x:v>
      </x:c>
      <x:c r="H195" s="7" t="str"/>
      <x:c r="I195" s="7" t="str"/>
      <x:c r="J195" s="7" t="str"/>
      <x:c r="K195" s="7" t="str"/>
      <x:c r="L195" s="7" t="str">
        <x:f>IF(K195="","OPEN",IF(OR(H195="",I195="",J195=""),"FAIL","PASS"))</x:f>
        <x:v>OPEN</x:v>
      </x:c>
    </x:row>
    <x:row r="196">
      <x:c r="B196" s="7" t="str">
        <x:v>TRV-PEA-B-Y1-10</x:v>
      </x:c>
      <x:c r="C196" s="7" t="str">
        <x:v>PEA-B-Y1</x:v>
      </x:c>
      <x:c r="D196" s="7" t="str">
        <x:v>BLD-B</x:v>
      </x:c>
      <x:c r="E196" s="7" t="str">
        <x:v>BL-Y</x:v>
      </x:c>
      <x:c r="F196" s="7" t="str">
        <x:v>CS-10</x:v>
      </x:c>
      <x:c r="G196" s="7" t="str">
        <x:v>normal source receiver</x:v>
      </x:c>
      <x:c r="H196" s="7" t="str"/>
      <x:c r="I196" s="7" t="str"/>
      <x:c r="J196" s="7" t="str"/>
      <x:c r="K196" s="7" t="str"/>
      <x:c r="L196" s="7" t="str">
        <x:f>IF(K196="","OPEN",IF(OR(H196="",I196="",J196=""),"FAIL","PASS"))</x:f>
        <x:v>OPEN</x:v>
      </x:c>
    </x:row>
    <x:row r="197">
      <x:c r="B197" s="7" t="str">
        <x:v>TRV-PEA-B-Y1-11</x:v>
      </x:c>
      <x:c r="C197" s="7" t="str">
        <x:v>PEA-B-Y1</x:v>
      </x:c>
      <x:c r="D197" s="7" t="str">
        <x:v>BLD-B</x:v>
      </x:c>
      <x:c r="E197" s="7" t="str">
        <x:v>BL-Y</x:v>
      </x:c>
      <x:c r="F197" s="7" t="str">
        <x:v>CS-11</x:v>
      </x:c>
      <x:c r="G197" s="7" t="str">
        <x:v>casualty source interface</x:v>
      </x:c>
      <x:c r="H197" s="7" t="str"/>
      <x:c r="I197" s="7" t="str"/>
      <x:c r="J197" s="7" t="str"/>
      <x:c r="K197" s="7" t="str"/>
      <x:c r="L197" s="7" t="str">
        <x:f>IF(K197="","OPEN",IF(OR(H197="",I197="",J197=""),"FAIL","PASS"))</x:f>
        <x:v>OPEN</x:v>
      </x:c>
    </x:row>
    <x:row r="198">
      <x:c r="B198" s="7" t="str">
        <x:v>TRV-PEA-B-Y1-12</x:v>
      </x:c>
      <x:c r="C198" s="7" t="str">
        <x:v>PEA-B-Y1</x:v>
      </x:c>
      <x:c r="D198" s="7" t="str">
        <x:v>BLD-B</x:v>
      </x:c>
      <x:c r="E198" s="7" t="str">
        <x:v>BL-Y</x:v>
      </x:c>
      <x:c r="F198" s="7" t="str">
        <x:v>CS-12</x:v>
      </x:c>
      <x:c r="G198" s="7" t="str">
        <x:v>candidate-water isolation</x:v>
      </x:c>
      <x:c r="H198" s="7" t="str"/>
      <x:c r="I198" s="7" t="str"/>
      <x:c r="J198" s="7" t="str"/>
      <x:c r="K198" s="7" t="str"/>
      <x:c r="L198" s="7" t="str">
        <x:f>IF(K198="","OPEN",IF(OR(H198="",I198="",J198=""),"FAIL","PASS"))</x:f>
        <x:v>OPEN</x:v>
      </x:c>
    </x:row>
    <x:row r="199">
      <x:c r="B199" s="7" t="str">
        <x:v>TRV-PEA-B-Y1-13</x:v>
      </x:c>
      <x:c r="C199" s="7" t="str">
        <x:v>PEA-B-Y1</x:v>
      </x:c>
      <x:c r="D199" s="7" t="str">
        <x:v>BLD-B</x:v>
      </x:c>
      <x:c r="E199" s="7" t="str">
        <x:v>BL-Y</x:v>
      </x:c>
      <x:c r="F199" s="7" t="str">
        <x:v>CS-13</x:v>
      </x:c>
      <x:c r="G199" s="7" t="str">
        <x:v>public-water isolation</x:v>
      </x:c>
      <x:c r="H199" s="7" t="str"/>
      <x:c r="I199" s="7" t="str"/>
      <x:c r="J199" s="7" t="str"/>
      <x:c r="K199" s="7" t="str"/>
      <x:c r="L199" s="7" t="str">
        <x:f>IF(K199="","OPEN",IF(OR(H199="",I199="",J199=""),"FAIL","PASS"))</x:f>
        <x:v>OPEN</x:v>
      </x:c>
    </x:row>
    <x:row r="200">
      <x:c r="B200" s="7" t="str">
        <x:v>TRV-PEA-B-Y1-14</x:v>
      </x:c>
      <x:c r="C200" s="7" t="str">
        <x:v>PEA-B-Y1</x:v>
      </x:c>
      <x:c r="D200" s="7" t="str">
        <x:v>BLD-B</x:v>
      </x:c>
      <x:c r="E200" s="7" t="str">
        <x:v>BL-Y</x:v>
      </x:c>
      <x:c r="F200" s="7" t="str">
        <x:v>CS-14</x:v>
      </x:c>
      <x:c r="G200" s="7" t="str">
        <x:v>casualty-water interface</x:v>
      </x:c>
      <x:c r="H200" s="7" t="str"/>
      <x:c r="I200" s="7" t="str"/>
      <x:c r="J200" s="7" t="str"/>
      <x:c r="K200" s="7" t="str"/>
      <x:c r="L200" s="7" t="str">
        <x:f>IF(K200="","OPEN",IF(OR(H200="",I200="",J200=""),"FAIL","PASS"))</x:f>
        <x:v>OPEN</x:v>
      </x:c>
    </x:row>
    <x:row r="201">
      <x:c r="B201" s="7" t="str">
        <x:v>TRV-PEA-B-Y1-15</x:v>
      </x:c>
      <x:c r="C201" s="7" t="str">
        <x:v>PEA-B-Y1</x:v>
      </x:c>
      <x:c r="D201" s="7" t="str">
        <x:v>BLD-B</x:v>
      </x:c>
      <x:c r="E201" s="7" t="str">
        <x:v>BL-Y</x:v>
      </x:c>
      <x:c r="F201" s="7" t="str">
        <x:v>CS-15</x:v>
      </x:c>
      <x:c r="G201" s="7" t="str">
        <x:v>final control assembly</x:v>
      </x:c>
      <x:c r="H201" s="7" t="str"/>
      <x:c r="I201" s="7" t="str"/>
      <x:c r="J201" s="7" t="str"/>
      <x:c r="K201" s="7" t="str"/>
      <x:c r="L201" s="7" t="str">
        <x:f>IF(K201="","OPEN",IF(OR(H201="",I201="",J201=""),"FAIL","PASS"))</x:f>
        <x:v>OPEN</x:v>
      </x:c>
    </x:row>
    <x:row r="202">
      <x:c r="B202" s="7" t="str">
        <x:v>TRV-PEA-B-Y1-16</x:v>
      </x:c>
      <x:c r="C202" s="7" t="str">
        <x:v>PEA-B-Y1</x:v>
      </x:c>
      <x:c r="D202" s="7" t="str">
        <x:v>BLD-B</x:v>
      </x:c>
      <x:c r="E202" s="7" t="str">
        <x:v>BL-Y</x:v>
      </x:c>
      <x:c r="F202" s="7" t="str">
        <x:v>CS-16</x:v>
      </x:c>
      <x:c r="G202" s="7" t="str">
        <x:v>independent safety energy</x:v>
      </x:c>
      <x:c r="H202" s="7" t="str"/>
      <x:c r="I202" s="7" t="str"/>
      <x:c r="J202" s="7" t="str"/>
      <x:c r="K202" s="7" t="str"/>
      <x:c r="L202" s="7" t="str">
        <x:f>IF(K202="","OPEN",IF(OR(H202="",I202="",J202=""),"FAIL","PASS"))</x:f>
        <x:v>OPEN</x:v>
      </x:c>
    </x:row>
    <x:row r="203">
      <x:c r="B203" s="7" t="str">
        <x:v>TRV-PEA-B-Y1-17</x:v>
      </x:c>
      <x:c r="C203" s="7" t="str">
        <x:v>PEA-B-Y1</x:v>
      </x:c>
      <x:c r="D203" s="7" t="str">
        <x:v>BLD-B</x:v>
      </x:c>
      <x:c r="E203" s="7" t="str">
        <x:v>BL-Y</x:v>
      </x:c>
      <x:c r="F203" s="7" t="str">
        <x:v>CS-17</x:v>
      </x:c>
      <x:c r="G203" s="7" t="str">
        <x:v>measurement frame</x:v>
      </x:c>
      <x:c r="H203" s="7" t="str"/>
      <x:c r="I203" s="7" t="str"/>
      <x:c r="J203" s="7" t="str"/>
      <x:c r="K203" s="7" t="str"/>
      <x:c r="L203" s="7" t="str">
        <x:f>IF(K203="","OPEN",IF(OR(H203="",I203="",J203=""),"FAIL","PASS"))</x:f>
        <x:v>OPEN</x:v>
      </x:c>
    </x:row>
    <x:row r="204">
      <x:c r="B204" s="7" t="str">
        <x:v>TRV-PEA-B-Y1-18</x:v>
      </x:c>
      <x:c r="C204" s="7" t="str">
        <x:v>PEA-B-Y1</x:v>
      </x:c>
      <x:c r="D204" s="7" t="str">
        <x:v>BLD-B</x:v>
      </x:c>
      <x:c r="E204" s="7" t="str">
        <x:v>BL-Y</x:v>
      </x:c>
      <x:c r="F204" s="7" t="str">
        <x:v>CS-18</x:v>
      </x:c>
      <x:c r="G204" s="7" t="str">
        <x:v>causal time and evidence</x:v>
      </x:c>
      <x:c r="H204" s="7" t="str"/>
      <x:c r="I204" s="7" t="str"/>
      <x:c r="J204" s="7" t="str"/>
      <x:c r="K204" s="7" t="str"/>
      <x:c r="L204" s="7" t="str">
        <x:f>IF(K204="","OPEN",IF(OR(H204="",I204="",J204=""),"FAIL","PASS"))</x:f>
        <x:v>OPEN</x:v>
      </x:c>
    </x:row>
    <x:row r="205">
      <x:c r="B205" s="7" t="str">
        <x:v>TRV-PEA-B-Y1-19</x:v>
      </x:c>
      <x:c r="C205" s="7" t="str">
        <x:v>PEA-B-Y1</x:v>
      </x:c>
      <x:c r="D205" s="7" t="str">
        <x:v>BLD-B</x:v>
      </x:c>
      <x:c r="E205" s="7" t="str">
        <x:v>BL-Y</x:v>
      </x:c>
      <x:c r="F205" s="7" t="str">
        <x:v>CS-19</x:v>
      </x:c>
      <x:c r="G205" s="7" t="str">
        <x:v>rescue and access</x:v>
      </x:c>
      <x:c r="H205" s="7" t="str"/>
      <x:c r="I205" s="7" t="str"/>
      <x:c r="J205" s="7" t="str"/>
      <x:c r="K205" s="7" t="str"/>
      <x:c r="L205" s="7" t="str">
        <x:f>IF(K205="","OPEN",IF(OR(H205="",I205="",J205=""),"FAIL","PASS"))</x:f>
        <x:v>OPEN</x:v>
      </x:c>
    </x:row>
    <x:row r="206">
      <x:c r="B206" s="7" t="str">
        <x:v>TRV-PEA-B-Y1-20</x:v>
      </x:c>
      <x:c r="C206" s="7" t="str">
        <x:v>PEA-B-Y1</x:v>
      </x:c>
      <x:c r="D206" s="7" t="str">
        <x:v>BLD-B</x:v>
      </x:c>
      <x:c r="E206" s="7" t="str">
        <x:v>BL-Y</x:v>
      </x:c>
      <x:c r="F206" s="7" t="str">
        <x:v>CS-20</x:v>
      </x:c>
      <x:c r="G206" s="7" t="str">
        <x:v>environmental boundary</x:v>
      </x:c>
      <x:c r="H206" s="7" t="str"/>
      <x:c r="I206" s="7" t="str"/>
      <x:c r="J206" s="7" t="str"/>
      <x:c r="K206" s="7" t="str"/>
      <x:c r="L206" s="7" t="str">
        <x:f>IF(K206="","OPEN",IF(OR(H206="",I206="",J206=""),"FAIL","PASS"))</x:f>
        <x:v>OPEN</x:v>
      </x:c>
    </x:row>
    <x:row r="207">
      <x:c r="B207" s="7" t="str">
        <x:v>TRV-PEA-B-Y2-01</x:v>
      </x:c>
      <x:c r="C207" s="7" t="str">
        <x:v>PEA-B-Y2</x:v>
      </x:c>
      <x:c r="D207" s="7" t="str">
        <x:v>BLD-B</x:v>
      </x:c>
      <x:c r="E207" s="7" t="str">
        <x:v>BL-Y</x:v>
      </x:c>
      <x:c r="F207" s="7" t="str">
        <x:v>CS-01</x:v>
      </x:c>
      <x:c r="G207" s="7" t="str">
        <x:v>public datum</x:v>
      </x:c>
      <x:c r="H207" s="7" t="str"/>
      <x:c r="I207" s="7" t="str"/>
      <x:c r="J207" s="7" t="str"/>
      <x:c r="K207" s="7" t="str"/>
      <x:c r="L207" s="7" t="str">
        <x:f>IF(K207="","OPEN",IF(OR(H207="",I207="",J207=""),"FAIL","PASS"))</x:f>
        <x:v>OPEN</x:v>
      </x:c>
    </x:row>
    <x:row r="208">
      <x:c r="B208" s="7" t="str">
        <x:v>TRV-PEA-B-Y2-02</x:v>
      </x:c>
      <x:c r="C208" s="7" t="str">
        <x:v>PEA-B-Y2</x:v>
      </x:c>
      <x:c r="D208" s="7" t="str">
        <x:v>BLD-B</x:v>
      </x:c>
      <x:c r="E208" s="7" t="str">
        <x:v>BL-Y</x:v>
      </x:c>
      <x:c r="F208" s="7" t="str">
        <x:v>CS-02</x:v>
      </x:c>
      <x:c r="G208" s="7" t="str">
        <x:v>primary frame</x:v>
      </x:c>
      <x:c r="H208" s="7" t="str"/>
      <x:c r="I208" s="7" t="str"/>
      <x:c r="J208" s="7" t="str"/>
      <x:c r="K208" s="7" t="str"/>
      <x:c r="L208" s="7" t="str">
        <x:f>IF(K208="","OPEN",IF(OR(H208="",I208="",J208=""),"FAIL","PASS"))</x:f>
        <x:v>OPEN</x:v>
      </x:c>
    </x:row>
    <x:row r="209">
      <x:c r="B209" s="7" t="str">
        <x:v>TRV-PEA-B-Y2-03</x:v>
      </x:c>
      <x:c r="C209" s="7" t="str">
        <x:v>PEA-B-Y2</x:v>
      </x:c>
      <x:c r="D209" s="7" t="str">
        <x:v>BLD-B</x:v>
      </x:c>
      <x:c r="E209" s="7" t="str">
        <x:v>BL-Y</x:v>
      </x:c>
      <x:c r="F209" s="7" t="str">
        <x:v>CS-03</x:v>
      </x:c>
      <x:c r="G209" s="7" t="str">
        <x:v>source-surrogate vessel</x:v>
      </x:c>
      <x:c r="H209" s="7" t="str"/>
      <x:c r="I209" s="7" t="str"/>
      <x:c r="J209" s="7" t="str"/>
      <x:c r="K209" s="7" t="str"/>
      <x:c r="L209" s="7" t="str">
        <x:f>IF(K209="","OPEN",IF(OR(H209="",I209="",J209=""),"FAIL","PASS"))</x:f>
        <x:v>OPEN</x:v>
      </x:c>
    </x:row>
    <x:row r="210">
      <x:c r="B210" s="7" t="str">
        <x:v>TRV-PEA-B-Y2-04</x:v>
      </x:c>
      <x:c r="C210" s="7" t="str">
        <x:v>PEA-B-Y2</x:v>
      </x:c>
      <x:c r="D210" s="7" t="str">
        <x:v>BLD-B</x:v>
      </x:c>
      <x:c r="E210" s="7" t="str">
        <x:v>BL-Y</x:v>
      </x:c>
      <x:c r="F210" s="7" t="str">
        <x:v>CS-04</x:v>
      </x:c>
      <x:c r="G210" s="7" t="str">
        <x:v>capsule dock</x:v>
      </x:c>
      <x:c r="H210" s="7" t="str"/>
      <x:c r="I210" s="7" t="str"/>
      <x:c r="J210" s="7" t="str"/>
      <x:c r="K210" s="7" t="str"/>
      <x:c r="L210" s="7" t="str">
        <x:f>IF(K210="","OPEN",IF(OR(H210="",I210="",J210=""),"FAIL","PASS"))</x:f>
        <x:v>OPEN</x:v>
      </x:c>
    </x:row>
    <x:row r="211">
      <x:c r="B211" s="7" t="str">
        <x:v>TRV-PEA-B-Y2-05</x:v>
      </x:c>
      <x:c r="C211" s="7" t="str">
        <x:v>PEA-B-Y2</x:v>
      </x:c>
      <x:c r="D211" s="7" t="str">
        <x:v>BLD-B</x:v>
      </x:c>
      <x:c r="E211" s="7" t="str">
        <x:v>BL-Y</x:v>
      </x:c>
      <x:c r="F211" s="7" t="str">
        <x:v>CS-05</x:v>
      </x:c>
      <x:c r="G211" s="7" t="str">
        <x:v>40 mm insert</x:v>
      </x:c>
      <x:c r="H211" s="7" t="str"/>
      <x:c r="I211" s="7" t="str"/>
      <x:c r="J211" s="7" t="str"/>
      <x:c r="K211" s="7" t="str"/>
      <x:c r="L211" s="7" t="str">
        <x:f>IF(K211="","OPEN",IF(OR(H211="",I211="",J211=""),"FAIL","PASS"))</x:f>
        <x:v>OPEN</x:v>
      </x:c>
    </x:row>
    <x:row r="212">
      <x:c r="B212" s="7" t="str">
        <x:v>TRV-PEA-B-Y2-06</x:v>
      </x:c>
      <x:c r="C212" s="7" t="str">
        <x:v>PEA-B-Y2</x:v>
      </x:c>
      <x:c r="D212" s="7" t="str">
        <x:v>BLD-B</x:v>
      </x:c>
      <x:c r="E212" s="7" t="str">
        <x:v>BL-Y</x:v>
      </x:c>
      <x:c r="F212" s="7" t="str">
        <x:v>CS-06</x:v>
      </x:c>
      <x:c r="G212" s="7" t="str">
        <x:v>dispenser</x:v>
      </x:c>
      <x:c r="H212" s="7" t="str"/>
      <x:c r="I212" s="7" t="str"/>
      <x:c r="J212" s="7" t="str"/>
      <x:c r="K212" s="7" t="str"/>
      <x:c r="L212" s="7" t="str">
        <x:f>IF(K212="","OPEN",IF(OR(H212="",I212="",J212=""),"FAIL","PASS"))</x:f>
        <x:v>OPEN</x:v>
      </x:c>
    </x:row>
    <x:row r="213">
      <x:c r="B213" s="7" t="str">
        <x:v>TRV-PEA-B-Y2-07</x:v>
      </x:c>
      <x:c r="C213" s="7" t="str">
        <x:v>PEA-B-Y2</x:v>
      </x:c>
      <x:c r="D213" s="7" t="str">
        <x:v>BLD-B</x:v>
      </x:c>
      <x:c r="E213" s="7" t="str">
        <x:v>BL-Y</x:v>
      </x:c>
      <x:c r="F213" s="7" t="str">
        <x:v>CS-07</x:v>
      </x:c>
      <x:c r="G213" s="7" t="str">
        <x:v>inner pan</x:v>
      </x:c>
      <x:c r="H213" s="7" t="str"/>
      <x:c r="I213" s="7" t="str"/>
      <x:c r="J213" s="7" t="str"/>
      <x:c r="K213" s="7" t="str"/>
      <x:c r="L213" s="7" t="str">
        <x:f>IF(K213="","OPEN",IF(OR(H213="",I213="",J213=""),"FAIL","PASS"))</x:f>
        <x:v>OPEN</x:v>
      </x:c>
    </x:row>
    <x:row r="214">
      <x:c r="B214" s="7" t="str">
        <x:v>TRV-PEA-B-Y2-08</x:v>
      </x:c>
      <x:c r="C214" s="7" t="str">
        <x:v>PEA-B-Y2</x:v>
      </x:c>
      <x:c r="D214" s="7" t="str">
        <x:v>BLD-B</x:v>
      </x:c>
      <x:c r="E214" s="7" t="str">
        <x:v>BL-Y</x:v>
      </x:c>
      <x:c r="F214" s="7" t="str">
        <x:v>CS-08</x:v>
      </x:c>
      <x:c r="G214" s="7" t="str">
        <x:v>normal source route</x:v>
      </x:c>
      <x:c r="H214" s="7" t="str"/>
      <x:c r="I214" s="7" t="str"/>
      <x:c r="J214" s="7" t="str"/>
      <x:c r="K214" s="7" t="str"/>
      <x:c r="L214" s="7" t="str">
        <x:f>IF(K214="","OPEN",IF(OR(H214="",I214="",J214=""),"FAIL","PASS"))</x:f>
        <x:v>OPEN</x:v>
      </x:c>
    </x:row>
    <x:row r="215">
      <x:c r="B215" s="7" t="str">
        <x:v>TRV-PEA-B-Y2-09</x:v>
      </x:c>
      <x:c r="C215" s="7" t="str">
        <x:v>PEA-B-Y2</x:v>
      </x:c>
      <x:c r="D215" s="7" t="str">
        <x:v>BLD-B</x:v>
      </x:c>
      <x:c r="E215" s="7" t="str">
        <x:v>BL-Y</x:v>
      </x:c>
      <x:c r="F215" s="7" t="str">
        <x:v>CS-09</x:v>
      </x:c>
      <x:c r="G215" s="7" t="str">
        <x:v>casualty source route</x:v>
      </x:c>
      <x:c r="H215" s="7" t="str"/>
      <x:c r="I215" s="7" t="str"/>
      <x:c r="J215" s="7" t="str"/>
      <x:c r="K215" s="7" t="str"/>
      <x:c r="L215" s="7" t="str">
        <x:f>IF(K215="","OPEN",IF(OR(H215="",I215="",J215=""),"FAIL","PASS"))</x:f>
        <x:v>OPEN</x:v>
      </x:c>
    </x:row>
    <x:row r="216">
      <x:c r="B216" s="7" t="str">
        <x:v>TRV-PEA-B-Y2-10</x:v>
      </x:c>
      <x:c r="C216" s="7" t="str">
        <x:v>PEA-B-Y2</x:v>
      </x:c>
      <x:c r="D216" s="7" t="str">
        <x:v>BLD-B</x:v>
      </x:c>
      <x:c r="E216" s="7" t="str">
        <x:v>BL-Y</x:v>
      </x:c>
      <x:c r="F216" s="7" t="str">
        <x:v>CS-10</x:v>
      </x:c>
      <x:c r="G216" s="7" t="str">
        <x:v>normal source receiver</x:v>
      </x:c>
      <x:c r="H216" s="7" t="str"/>
      <x:c r="I216" s="7" t="str"/>
      <x:c r="J216" s="7" t="str"/>
      <x:c r="K216" s="7" t="str"/>
      <x:c r="L216" s="7" t="str">
        <x:f>IF(K216="","OPEN",IF(OR(H216="",I216="",J216=""),"FAIL","PASS"))</x:f>
        <x:v>OPEN</x:v>
      </x:c>
    </x:row>
    <x:row r="217">
      <x:c r="B217" s="7" t="str">
        <x:v>TRV-PEA-B-Y2-11</x:v>
      </x:c>
      <x:c r="C217" s="7" t="str">
        <x:v>PEA-B-Y2</x:v>
      </x:c>
      <x:c r="D217" s="7" t="str">
        <x:v>BLD-B</x:v>
      </x:c>
      <x:c r="E217" s="7" t="str">
        <x:v>BL-Y</x:v>
      </x:c>
      <x:c r="F217" s="7" t="str">
        <x:v>CS-11</x:v>
      </x:c>
      <x:c r="G217" s="7" t="str">
        <x:v>casualty source interface</x:v>
      </x:c>
      <x:c r="H217" s="7" t="str"/>
      <x:c r="I217" s="7" t="str"/>
      <x:c r="J217" s="7" t="str"/>
      <x:c r="K217" s="7" t="str"/>
      <x:c r="L217" s="7" t="str">
        <x:f>IF(K217="","OPEN",IF(OR(H217="",I217="",J217=""),"FAIL","PASS"))</x:f>
        <x:v>OPEN</x:v>
      </x:c>
    </x:row>
    <x:row r="218">
      <x:c r="B218" s="7" t="str">
        <x:v>TRV-PEA-B-Y2-12</x:v>
      </x:c>
      <x:c r="C218" s="7" t="str">
        <x:v>PEA-B-Y2</x:v>
      </x:c>
      <x:c r="D218" s="7" t="str">
        <x:v>BLD-B</x:v>
      </x:c>
      <x:c r="E218" s="7" t="str">
        <x:v>BL-Y</x:v>
      </x:c>
      <x:c r="F218" s="7" t="str">
        <x:v>CS-12</x:v>
      </x:c>
      <x:c r="G218" s="7" t="str">
        <x:v>candidate-water isolation</x:v>
      </x:c>
      <x:c r="H218" s="7" t="str"/>
      <x:c r="I218" s="7" t="str"/>
      <x:c r="J218" s="7" t="str"/>
      <x:c r="K218" s="7" t="str"/>
      <x:c r="L218" s="7" t="str">
        <x:f>IF(K218="","OPEN",IF(OR(H218="",I218="",J218=""),"FAIL","PASS"))</x:f>
        <x:v>OPEN</x:v>
      </x:c>
    </x:row>
    <x:row r="219">
      <x:c r="B219" s="7" t="str">
        <x:v>TRV-PEA-B-Y2-13</x:v>
      </x:c>
      <x:c r="C219" s="7" t="str">
        <x:v>PEA-B-Y2</x:v>
      </x:c>
      <x:c r="D219" s="7" t="str">
        <x:v>BLD-B</x:v>
      </x:c>
      <x:c r="E219" s="7" t="str">
        <x:v>BL-Y</x:v>
      </x:c>
      <x:c r="F219" s="7" t="str">
        <x:v>CS-13</x:v>
      </x:c>
      <x:c r="G219" s="7" t="str">
        <x:v>public-water isolation</x:v>
      </x:c>
      <x:c r="H219" s="7" t="str"/>
      <x:c r="I219" s="7" t="str"/>
      <x:c r="J219" s="7" t="str"/>
      <x:c r="K219" s="7" t="str"/>
      <x:c r="L219" s="7" t="str">
        <x:f>IF(K219="","OPEN",IF(OR(H219="",I219="",J219=""),"FAIL","PASS"))</x:f>
        <x:v>OPEN</x:v>
      </x:c>
    </x:row>
    <x:row r="220">
      <x:c r="B220" s="7" t="str">
        <x:v>TRV-PEA-B-Y2-14</x:v>
      </x:c>
      <x:c r="C220" s="7" t="str">
        <x:v>PEA-B-Y2</x:v>
      </x:c>
      <x:c r="D220" s="7" t="str">
        <x:v>BLD-B</x:v>
      </x:c>
      <x:c r="E220" s="7" t="str">
        <x:v>BL-Y</x:v>
      </x:c>
      <x:c r="F220" s="7" t="str">
        <x:v>CS-14</x:v>
      </x:c>
      <x:c r="G220" s="7" t="str">
        <x:v>casualty-water interface</x:v>
      </x:c>
      <x:c r="H220" s="7" t="str"/>
      <x:c r="I220" s="7" t="str"/>
      <x:c r="J220" s="7" t="str"/>
      <x:c r="K220" s="7" t="str"/>
      <x:c r="L220" s="7" t="str">
        <x:f>IF(K220="","OPEN",IF(OR(H220="",I220="",J220=""),"FAIL","PASS"))</x:f>
        <x:v>OPEN</x:v>
      </x:c>
    </x:row>
    <x:row r="221">
      <x:c r="B221" s="7" t="str">
        <x:v>TRV-PEA-B-Y2-15</x:v>
      </x:c>
      <x:c r="C221" s="7" t="str">
        <x:v>PEA-B-Y2</x:v>
      </x:c>
      <x:c r="D221" s="7" t="str">
        <x:v>BLD-B</x:v>
      </x:c>
      <x:c r="E221" s="7" t="str">
        <x:v>BL-Y</x:v>
      </x:c>
      <x:c r="F221" s="7" t="str">
        <x:v>CS-15</x:v>
      </x:c>
      <x:c r="G221" s="7" t="str">
        <x:v>final control assembly</x:v>
      </x:c>
      <x:c r="H221" s="7" t="str"/>
      <x:c r="I221" s="7" t="str"/>
      <x:c r="J221" s="7" t="str"/>
      <x:c r="K221" s="7" t="str"/>
      <x:c r="L221" s="7" t="str">
        <x:f>IF(K221="","OPEN",IF(OR(H221="",I221="",J221=""),"FAIL","PASS"))</x:f>
        <x:v>OPEN</x:v>
      </x:c>
    </x:row>
    <x:row r="222">
      <x:c r="B222" s="7" t="str">
        <x:v>TRV-PEA-B-Y2-16</x:v>
      </x:c>
      <x:c r="C222" s="7" t="str">
        <x:v>PEA-B-Y2</x:v>
      </x:c>
      <x:c r="D222" s="7" t="str">
        <x:v>BLD-B</x:v>
      </x:c>
      <x:c r="E222" s="7" t="str">
        <x:v>BL-Y</x:v>
      </x:c>
      <x:c r="F222" s="7" t="str">
        <x:v>CS-16</x:v>
      </x:c>
      <x:c r="G222" s="7" t="str">
        <x:v>independent safety energy</x:v>
      </x:c>
      <x:c r="H222" s="7" t="str"/>
      <x:c r="I222" s="7" t="str"/>
      <x:c r="J222" s="7" t="str"/>
      <x:c r="K222" s="7" t="str"/>
      <x:c r="L222" s="7" t="str">
        <x:f>IF(K222="","OPEN",IF(OR(H222="",I222="",J222=""),"FAIL","PASS"))</x:f>
        <x:v>OPEN</x:v>
      </x:c>
    </x:row>
    <x:row r="223">
      <x:c r="B223" s="7" t="str">
        <x:v>TRV-PEA-B-Y2-17</x:v>
      </x:c>
      <x:c r="C223" s="7" t="str">
        <x:v>PEA-B-Y2</x:v>
      </x:c>
      <x:c r="D223" s="7" t="str">
        <x:v>BLD-B</x:v>
      </x:c>
      <x:c r="E223" s="7" t="str">
        <x:v>BL-Y</x:v>
      </x:c>
      <x:c r="F223" s="7" t="str">
        <x:v>CS-17</x:v>
      </x:c>
      <x:c r="G223" s="7" t="str">
        <x:v>measurement frame</x:v>
      </x:c>
      <x:c r="H223" s="7" t="str"/>
      <x:c r="I223" s="7" t="str"/>
      <x:c r="J223" s="7" t="str"/>
      <x:c r="K223" s="7" t="str"/>
      <x:c r="L223" s="7" t="str">
        <x:f>IF(K223="","OPEN",IF(OR(H223="",I223="",J223=""),"FAIL","PASS"))</x:f>
        <x:v>OPEN</x:v>
      </x:c>
    </x:row>
    <x:row r="224">
      <x:c r="B224" s="7" t="str">
        <x:v>TRV-PEA-B-Y2-18</x:v>
      </x:c>
      <x:c r="C224" s="7" t="str">
        <x:v>PEA-B-Y2</x:v>
      </x:c>
      <x:c r="D224" s="7" t="str">
        <x:v>BLD-B</x:v>
      </x:c>
      <x:c r="E224" s="7" t="str">
        <x:v>BL-Y</x:v>
      </x:c>
      <x:c r="F224" s="7" t="str">
        <x:v>CS-18</x:v>
      </x:c>
      <x:c r="G224" s="7" t="str">
        <x:v>causal time and evidence</x:v>
      </x:c>
      <x:c r="H224" s="7" t="str"/>
      <x:c r="I224" s="7" t="str"/>
      <x:c r="J224" s="7" t="str"/>
      <x:c r="K224" s="7" t="str"/>
      <x:c r="L224" s="7" t="str">
        <x:f>IF(K224="","OPEN",IF(OR(H224="",I224="",J224=""),"FAIL","PASS"))</x:f>
        <x:v>OPEN</x:v>
      </x:c>
    </x:row>
    <x:row r="225">
      <x:c r="B225" s="7" t="str">
        <x:v>TRV-PEA-B-Y2-19</x:v>
      </x:c>
      <x:c r="C225" s="7" t="str">
        <x:v>PEA-B-Y2</x:v>
      </x:c>
      <x:c r="D225" s="7" t="str">
        <x:v>BLD-B</x:v>
      </x:c>
      <x:c r="E225" s="7" t="str">
        <x:v>BL-Y</x:v>
      </x:c>
      <x:c r="F225" s="7" t="str">
        <x:v>CS-19</x:v>
      </x:c>
      <x:c r="G225" s="7" t="str">
        <x:v>rescue and access</x:v>
      </x:c>
      <x:c r="H225" s="7" t="str"/>
      <x:c r="I225" s="7" t="str"/>
      <x:c r="J225" s="7" t="str"/>
      <x:c r="K225" s="7" t="str"/>
      <x:c r="L225" s="7" t="str">
        <x:f>IF(K225="","OPEN",IF(OR(H225="",I225="",J225=""),"FAIL","PASS"))</x:f>
        <x:v>OPEN</x:v>
      </x:c>
    </x:row>
    <x:row r="226">
      <x:c r="B226" s="7" t="str">
        <x:v>TRV-PEA-B-Y2-20</x:v>
      </x:c>
      <x:c r="C226" s="7" t="str">
        <x:v>PEA-B-Y2</x:v>
      </x:c>
      <x:c r="D226" s="7" t="str">
        <x:v>BLD-B</x:v>
      </x:c>
      <x:c r="E226" s="7" t="str">
        <x:v>BL-Y</x:v>
      </x:c>
      <x:c r="F226" s="7" t="str">
        <x:v>CS-20</x:v>
      </x:c>
      <x:c r="G226" s="7" t="str">
        <x:v>environmental boundary</x:v>
      </x:c>
      <x:c r="H226" s="7" t="str"/>
      <x:c r="I226" s="7" t="str"/>
      <x:c r="J226" s="7" t="str"/>
      <x:c r="K226" s="7" t="str"/>
      <x:c r="L226" s="7" t="str">
        <x:f>IF(K226="","OPEN",IF(OR(H226="",I226="",J226=""),"FAIL","PASS"))</x:f>
        <x:v>OPEN</x:v>
      </x:c>
    </x:row>
    <x:row r="227">
      <x:c r="B227" s="7" t="str">
        <x:v>TRV-PEA-B-Y3-01</x:v>
      </x:c>
      <x:c r="C227" s="7" t="str">
        <x:v>PEA-B-Y3</x:v>
      </x:c>
      <x:c r="D227" s="7" t="str">
        <x:v>BLD-B</x:v>
      </x:c>
      <x:c r="E227" s="7" t="str">
        <x:v>BL-Y</x:v>
      </x:c>
      <x:c r="F227" s="7" t="str">
        <x:v>CS-01</x:v>
      </x:c>
      <x:c r="G227" s="7" t="str">
        <x:v>public datum</x:v>
      </x:c>
      <x:c r="H227" s="7" t="str"/>
      <x:c r="I227" s="7" t="str"/>
      <x:c r="J227" s="7" t="str"/>
      <x:c r="K227" s="7" t="str"/>
      <x:c r="L227" s="7" t="str">
        <x:f>IF(K227="","OPEN",IF(OR(H227="",I227="",J227=""),"FAIL","PASS"))</x:f>
        <x:v>OPEN</x:v>
      </x:c>
    </x:row>
    <x:row r="228">
      <x:c r="B228" s="7" t="str">
        <x:v>TRV-PEA-B-Y3-02</x:v>
      </x:c>
      <x:c r="C228" s="7" t="str">
        <x:v>PEA-B-Y3</x:v>
      </x:c>
      <x:c r="D228" s="7" t="str">
        <x:v>BLD-B</x:v>
      </x:c>
      <x:c r="E228" s="7" t="str">
        <x:v>BL-Y</x:v>
      </x:c>
      <x:c r="F228" s="7" t="str">
        <x:v>CS-02</x:v>
      </x:c>
      <x:c r="G228" s="7" t="str">
        <x:v>primary frame</x:v>
      </x:c>
      <x:c r="H228" s="7" t="str"/>
      <x:c r="I228" s="7" t="str"/>
      <x:c r="J228" s="7" t="str"/>
      <x:c r="K228" s="7" t="str"/>
      <x:c r="L228" s="7" t="str">
        <x:f>IF(K228="","OPEN",IF(OR(H228="",I228="",J228=""),"FAIL","PASS"))</x:f>
        <x:v>OPEN</x:v>
      </x:c>
    </x:row>
    <x:row r="229">
      <x:c r="B229" s="7" t="str">
        <x:v>TRV-PEA-B-Y3-03</x:v>
      </x:c>
      <x:c r="C229" s="7" t="str">
        <x:v>PEA-B-Y3</x:v>
      </x:c>
      <x:c r="D229" s="7" t="str">
        <x:v>BLD-B</x:v>
      </x:c>
      <x:c r="E229" s="7" t="str">
        <x:v>BL-Y</x:v>
      </x:c>
      <x:c r="F229" s="7" t="str">
        <x:v>CS-03</x:v>
      </x:c>
      <x:c r="G229" s="7" t="str">
        <x:v>source-surrogate vessel</x:v>
      </x:c>
      <x:c r="H229" s="7" t="str"/>
      <x:c r="I229" s="7" t="str"/>
      <x:c r="J229" s="7" t="str"/>
      <x:c r="K229" s="7" t="str"/>
      <x:c r="L229" s="7" t="str">
        <x:f>IF(K229="","OPEN",IF(OR(H229="",I229="",J229=""),"FAIL","PASS"))</x:f>
        <x:v>OPEN</x:v>
      </x:c>
    </x:row>
    <x:row r="230">
      <x:c r="B230" s="7" t="str">
        <x:v>TRV-PEA-B-Y3-04</x:v>
      </x:c>
      <x:c r="C230" s="7" t="str">
        <x:v>PEA-B-Y3</x:v>
      </x:c>
      <x:c r="D230" s="7" t="str">
        <x:v>BLD-B</x:v>
      </x:c>
      <x:c r="E230" s="7" t="str">
        <x:v>BL-Y</x:v>
      </x:c>
      <x:c r="F230" s="7" t="str">
        <x:v>CS-04</x:v>
      </x:c>
      <x:c r="G230" s="7" t="str">
        <x:v>capsule dock</x:v>
      </x:c>
      <x:c r="H230" s="7" t="str"/>
      <x:c r="I230" s="7" t="str"/>
      <x:c r="J230" s="7" t="str"/>
      <x:c r="K230" s="7" t="str"/>
      <x:c r="L230" s="7" t="str">
        <x:f>IF(K230="","OPEN",IF(OR(H230="",I230="",J230=""),"FAIL","PASS"))</x:f>
        <x:v>OPEN</x:v>
      </x:c>
    </x:row>
    <x:row r="231">
      <x:c r="B231" s="7" t="str">
        <x:v>TRV-PEA-B-Y3-05</x:v>
      </x:c>
      <x:c r="C231" s="7" t="str">
        <x:v>PEA-B-Y3</x:v>
      </x:c>
      <x:c r="D231" s="7" t="str">
        <x:v>BLD-B</x:v>
      </x:c>
      <x:c r="E231" s="7" t="str">
        <x:v>BL-Y</x:v>
      </x:c>
      <x:c r="F231" s="7" t="str">
        <x:v>CS-05</x:v>
      </x:c>
      <x:c r="G231" s="7" t="str">
        <x:v>40 mm insert</x:v>
      </x:c>
      <x:c r="H231" s="7" t="str"/>
      <x:c r="I231" s="7" t="str"/>
      <x:c r="J231" s="7" t="str"/>
      <x:c r="K231" s="7" t="str"/>
      <x:c r="L231" s="7" t="str">
        <x:f>IF(K231="","OPEN",IF(OR(H231="",I231="",J231=""),"FAIL","PASS"))</x:f>
        <x:v>OPEN</x:v>
      </x:c>
    </x:row>
    <x:row r="232">
      <x:c r="B232" s="7" t="str">
        <x:v>TRV-PEA-B-Y3-06</x:v>
      </x:c>
      <x:c r="C232" s="7" t="str">
        <x:v>PEA-B-Y3</x:v>
      </x:c>
      <x:c r="D232" s="7" t="str">
        <x:v>BLD-B</x:v>
      </x:c>
      <x:c r="E232" s="7" t="str">
        <x:v>BL-Y</x:v>
      </x:c>
      <x:c r="F232" s="7" t="str">
        <x:v>CS-06</x:v>
      </x:c>
      <x:c r="G232" s="7" t="str">
        <x:v>dispenser</x:v>
      </x:c>
      <x:c r="H232" s="7" t="str"/>
      <x:c r="I232" s="7" t="str"/>
      <x:c r="J232" s="7" t="str"/>
      <x:c r="K232" s="7" t="str"/>
      <x:c r="L232" s="7" t="str">
        <x:f>IF(K232="","OPEN",IF(OR(H232="",I232="",J232=""),"FAIL","PASS"))</x:f>
        <x:v>OPEN</x:v>
      </x:c>
    </x:row>
    <x:row r="233">
      <x:c r="B233" s="7" t="str">
        <x:v>TRV-PEA-B-Y3-07</x:v>
      </x:c>
      <x:c r="C233" s="7" t="str">
        <x:v>PEA-B-Y3</x:v>
      </x:c>
      <x:c r="D233" s="7" t="str">
        <x:v>BLD-B</x:v>
      </x:c>
      <x:c r="E233" s="7" t="str">
        <x:v>BL-Y</x:v>
      </x:c>
      <x:c r="F233" s="7" t="str">
        <x:v>CS-07</x:v>
      </x:c>
      <x:c r="G233" s="7" t="str">
        <x:v>inner pan</x:v>
      </x:c>
      <x:c r="H233" s="7" t="str"/>
      <x:c r="I233" s="7" t="str"/>
      <x:c r="J233" s="7" t="str"/>
      <x:c r="K233" s="7" t="str"/>
      <x:c r="L233" s="7" t="str">
        <x:f>IF(K233="","OPEN",IF(OR(H233="",I233="",J233=""),"FAIL","PASS"))</x:f>
        <x:v>OPEN</x:v>
      </x:c>
    </x:row>
    <x:row r="234">
      <x:c r="B234" s="7" t="str">
        <x:v>TRV-PEA-B-Y3-08</x:v>
      </x:c>
      <x:c r="C234" s="7" t="str">
        <x:v>PEA-B-Y3</x:v>
      </x:c>
      <x:c r="D234" s="7" t="str">
        <x:v>BLD-B</x:v>
      </x:c>
      <x:c r="E234" s="7" t="str">
        <x:v>BL-Y</x:v>
      </x:c>
      <x:c r="F234" s="7" t="str">
        <x:v>CS-08</x:v>
      </x:c>
      <x:c r="G234" s="7" t="str">
        <x:v>normal source route</x:v>
      </x:c>
      <x:c r="H234" s="7" t="str"/>
      <x:c r="I234" s="7" t="str"/>
      <x:c r="J234" s="7" t="str"/>
      <x:c r="K234" s="7" t="str"/>
      <x:c r="L234" s="7" t="str">
        <x:f>IF(K234="","OPEN",IF(OR(H234="",I234="",J234=""),"FAIL","PASS"))</x:f>
        <x:v>OPEN</x:v>
      </x:c>
    </x:row>
    <x:row r="235">
      <x:c r="B235" s="7" t="str">
        <x:v>TRV-PEA-B-Y3-09</x:v>
      </x:c>
      <x:c r="C235" s="7" t="str">
        <x:v>PEA-B-Y3</x:v>
      </x:c>
      <x:c r="D235" s="7" t="str">
        <x:v>BLD-B</x:v>
      </x:c>
      <x:c r="E235" s="7" t="str">
        <x:v>BL-Y</x:v>
      </x:c>
      <x:c r="F235" s="7" t="str">
        <x:v>CS-09</x:v>
      </x:c>
      <x:c r="G235" s="7" t="str">
        <x:v>casualty source route</x:v>
      </x:c>
      <x:c r="H235" s="7" t="str"/>
      <x:c r="I235" s="7" t="str"/>
      <x:c r="J235" s="7" t="str"/>
      <x:c r="K235" s="7" t="str"/>
      <x:c r="L235" s="7" t="str">
        <x:f>IF(K235="","OPEN",IF(OR(H235="",I235="",J235=""),"FAIL","PASS"))</x:f>
        <x:v>OPEN</x:v>
      </x:c>
    </x:row>
    <x:row r="236">
      <x:c r="B236" s="7" t="str">
        <x:v>TRV-PEA-B-Y3-10</x:v>
      </x:c>
      <x:c r="C236" s="7" t="str">
        <x:v>PEA-B-Y3</x:v>
      </x:c>
      <x:c r="D236" s="7" t="str">
        <x:v>BLD-B</x:v>
      </x:c>
      <x:c r="E236" s="7" t="str">
        <x:v>BL-Y</x:v>
      </x:c>
      <x:c r="F236" s="7" t="str">
        <x:v>CS-10</x:v>
      </x:c>
      <x:c r="G236" s="7" t="str">
        <x:v>normal source receiver</x:v>
      </x:c>
      <x:c r="H236" s="7" t="str"/>
      <x:c r="I236" s="7" t="str"/>
      <x:c r="J236" s="7" t="str"/>
      <x:c r="K236" s="7" t="str"/>
      <x:c r="L236" s="7" t="str">
        <x:f>IF(K236="","OPEN",IF(OR(H236="",I236="",J236=""),"FAIL","PASS"))</x:f>
        <x:v>OPEN</x:v>
      </x:c>
    </x:row>
    <x:row r="237">
      <x:c r="B237" s="7" t="str">
        <x:v>TRV-PEA-B-Y3-11</x:v>
      </x:c>
      <x:c r="C237" s="7" t="str">
        <x:v>PEA-B-Y3</x:v>
      </x:c>
      <x:c r="D237" s="7" t="str">
        <x:v>BLD-B</x:v>
      </x:c>
      <x:c r="E237" s="7" t="str">
        <x:v>BL-Y</x:v>
      </x:c>
      <x:c r="F237" s="7" t="str">
        <x:v>CS-11</x:v>
      </x:c>
      <x:c r="G237" s="7" t="str">
        <x:v>casualty source interface</x:v>
      </x:c>
      <x:c r="H237" s="7" t="str"/>
      <x:c r="I237" s="7" t="str"/>
      <x:c r="J237" s="7" t="str"/>
      <x:c r="K237" s="7" t="str"/>
      <x:c r="L237" s="7" t="str">
        <x:f>IF(K237="","OPEN",IF(OR(H237="",I237="",J237=""),"FAIL","PASS"))</x:f>
        <x:v>OPEN</x:v>
      </x:c>
    </x:row>
    <x:row r="238">
      <x:c r="B238" s="7" t="str">
        <x:v>TRV-PEA-B-Y3-12</x:v>
      </x:c>
      <x:c r="C238" s="7" t="str">
        <x:v>PEA-B-Y3</x:v>
      </x:c>
      <x:c r="D238" s="7" t="str">
        <x:v>BLD-B</x:v>
      </x:c>
      <x:c r="E238" s="7" t="str">
        <x:v>BL-Y</x:v>
      </x:c>
      <x:c r="F238" s="7" t="str">
        <x:v>CS-12</x:v>
      </x:c>
      <x:c r="G238" s="7" t="str">
        <x:v>candidate-water isolation</x:v>
      </x:c>
      <x:c r="H238" s="7" t="str"/>
      <x:c r="I238" s="7" t="str"/>
      <x:c r="J238" s="7" t="str"/>
      <x:c r="K238" s="7" t="str"/>
      <x:c r="L238" s="7" t="str">
        <x:f>IF(K238="","OPEN",IF(OR(H238="",I238="",J238=""),"FAIL","PASS"))</x:f>
        <x:v>OPEN</x:v>
      </x:c>
    </x:row>
    <x:row r="239">
      <x:c r="B239" s="7" t="str">
        <x:v>TRV-PEA-B-Y3-13</x:v>
      </x:c>
      <x:c r="C239" s="7" t="str">
        <x:v>PEA-B-Y3</x:v>
      </x:c>
      <x:c r="D239" s="7" t="str">
        <x:v>BLD-B</x:v>
      </x:c>
      <x:c r="E239" s="7" t="str">
        <x:v>BL-Y</x:v>
      </x:c>
      <x:c r="F239" s="7" t="str">
        <x:v>CS-13</x:v>
      </x:c>
      <x:c r="G239" s="7" t="str">
        <x:v>public-water isolation</x:v>
      </x:c>
      <x:c r="H239" s="7" t="str"/>
      <x:c r="I239" s="7" t="str"/>
      <x:c r="J239" s="7" t="str"/>
      <x:c r="K239" s="7" t="str"/>
      <x:c r="L239" s="7" t="str">
        <x:f>IF(K239="","OPEN",IF(OR(H239="",I239="",J239=""),"FAIL","PASS"))</x:f>
        <x:v>OPEN</x:v>
      </x:c>
    </x:row>
    <x:row r="240">
      <x:c r="B240" s="7" t="str">
        <x:v>TRV-PEA-B-Y3-14</x:v>
      </x:c>
      <x:c r="C240" s="7" t="str">
        <x:v>PEA-B-Y3</x:v>
      </x:c>
      <x:c r="D240" s="7" t="str">
        <x:v>BLD-B</x:v>
      </x:c>
      <x:c r="E240" s="7" t="str">
        <x:v>BL-Y</x:v>
      </x:c>
      <x:c r="F240" s="7" t="str">
        <x:v>CS-14</x:v>
      </x:c>
      <x:c r="G240" s="7" t="str">
        <x:v>casualty-water interface</x:v>
      </x:c>
      <x:c r="H240" s="7" t="str"/>
      <x:c r="I240" s="7" t="str"/>
      <x:c r="J240" s="7" t="str"/>
      <x:c r="K240" s="7" t="str"/>
      <x:c r="L240" s="7" t="str">
        <x:f>IF(K240="","OPEN",IF(OR(H240="",I240="",J240=""),"FAIL","PASS"))</x:f>
        <x:v>OPEN</x:v>
      </x:c>
    </x:row>
    <x:row r="241">
      <x:c r="B241" s="7" t="str">
        <x:v>TRV-PEA-B-Y3-15</x:v>
      </x:c>
      <x:c r="C241" s="7" t="str">
        <x:v>PEA-B-Y3</x:v>
      </x:c>
      <x:c r="D241" s="7" t="str">
        <x:v>BLD-B</x:v>
      </x:c>
      <x:c r="E241" s="7" t="str">
        <x:v>BL-Y</x:v>
      </x:c>
      <x:c r="F241" s="7" t="str">
        <x:v>CS-15</x:v>
      </x:c>
      <x:c r="G241" s="7" t="str">
        <x:v>final control assembly</x:v>
      </x:c>
      <x:c r="H241" s="7" t="str"/>
      <x:c r="I241" s="7" t="str"/>
      <x:c r="J241" s="7" t="str"/>
      <x:c r="K241" s="7" t="str"/>
      <x:c r="L241" s="7" t="str">
        <x:f>IF(K241="","OPEN",IF(OR(H241="",I241="",J241=""),"FAIL","PASS"))</x:f>
        <x:v>OPEN</x:v>
      </x:c>
    </x:row>
    <x:row r="242">
      <x:c r="B242" s="7" t="str">
        <x:v>TRV-PEA-B-Y3-16</x:v>
      </x:c>
      <x:c r="C242" s="7" t="str">
        <x:v>PEA-B-Y3</x:v>
      </x:c>
      <x:c r="D242" s="7" t="str">
        <x:v>BLD-B</x:v>
      </x:c>
      <x:c r="E242" s="7" t="str">
        <x:v>BL-Y</x:v>
      </x:c>
      <x:c r="F242" s="7" t="str">
        <x:v>CS-16</x:v>
      </x:c>
      <x:c r="G242" s="7" t="str">
        <x:v>independent safety energy</x:v>
      </x:c>
      <x:c r="H242" s="7" t="str"/>
      <x:c r="I242" s="7" t="str"/>
      <x:c r="J242" s="7" t="str"/>
      <x:c r="K242" s="7" t="str"/>
      <x:c r="L242" s="7" t="str">
        <x:f>IF(K242="","OPEN",IF(OR(H242="",I242="",J242=""),"FAIL","PASS"))</x:f>
        <x:v>OPEN</x:v>
      </x:c>
    </x:row>
    <x:row r="243">
      <x:c r="B243" s="7" t="str">
        <x:v>TRV-PEA-B-Y3-17</x:v>
      </x:c>
      <x:c r="C243" s="7" t="str">
        <x:v>PEA-B-Y3</x:v>
      </x:c>
      <x:c r="D243" s="7" t="str">
        <x:v>BLD-B</x:v>
      </x:c>
      <x:c r="E243" s="7" t="str">
        <x:v>BL-Y</x:v>
      </x:c>
      <x:c r="F243" s="7" t="str">
        <x:v>CS-17</x:v>
      </x:c>
      <x:c r="G243" s="7" t="str">
        <x:v>measurement frame</x:v>
      </x:c>
      <x:c r="H243" s="7" t="str"/>
      <x:c r="I243" s="7" t="str"/>
      <x:c r="J243" s="7" t="str"/>
      <x:c r="K243" s="7" t="str"/>
      <x:c r="L243" s="7" t="str">
        <x:f>IF(K243="","OPEN",IF(OR(H243="",I243="",J243=""),"FAIL","PASS"))</x:f>
        <x:v>OPEN</x:v>
      </x:c>
    </x:row>
    <x:row r="244">
      <x:c r="B244" s="7" t="str">
        <x:v>TRV-PEA-B-Y3-18</x:v>
      </x:c>
      <x:c r="C244" s="7" t="str">
        <x:v>PEA-B-Y3</x:v>
      </x:c>
      <x:c r="D244" s="7" t="str">
        <x:v>BLD-B</x:v>
      </x:c>
      <x:c r="E244" s="7" t="str">
        <x:v>BL-Y</x:v>
      </x:c>
      <x:c r="F244" s="7" t="str">
        <x:v>CS-18</x:v>
      </x:c>
      <x:c r="G244" s="7" t="str">
        <x:v>causal time and evidence</x:v>
      </x:c>
      <x:c r="H244" s="7" t="str"/>
      <x:c r="I244" s="7" t="str"/>
      <x:c r="J244" s="7" t="str"/>
      <x:c r="K244" s="7" t="str"/>
      <x:c r="L244" s="7" t="str">
        <x:f>IF(K244="","OPEN",IF(OR(H244="",I244="",J244=""),"FAIL","PASS"))</x:f>
        <x:v>OPEN</x:v>
      </x:c>
    </x:row>
    <x:row r="245">
      <x:c r="B245" s="7" t="str">
        <x:v>TRV-PEA-B-Y3-19</x:v>
      </x:c>
      <x:c r="C245" s="7" t="str">
        <x:v>PEA-B-Y3</x:v>
      </x:c>
      <x:c r="D245" s="7" t="str">
        <x:v>BLD-B</x:v>
      </x:c>
      <x:c r="E245" s="7" t="str">
        <x:v>BL-Y</x:v>
      </x:c>
      <x:c r="F245" s="7" t="str">
        <x:v>CS-19</x:v>
      </x:c>
      <x:c r="G245" s="7" t="str">
        <x:v>rescue and access</x:v>
      </x:c>
      <x:c r="H245" s="7" t="str"/>
      <x:c r="I245" s="7" t="str"/>
      <x:c r="J245" s="7" t="str"/>
      <x:c r="K245" s="7" t="str"/>
      <x:c r="L245" s="7" t="str">
        <x:f>IF(K245="","OPEN",IF(OR(H245="",I245="",J245=""),"FAIL","PASS"))</x:f>
        <x:v>OPEN</x:v>
      </x:c>
    </x:row>
    <x:row r="246">
      <x:c r="B246" s="7" t="str">
        <x:v>TRV-PEA-B-Y3-20</x:v>
      </x:c>
      <x:c r="C246" s="7" t="str">
        <x:v>PEA-B-Y3</x:v>
      </x:c>
      <x:c r="D246" s="7" t="str">
        <x:v>BLD-B</x:v>
      </x:c>
      <x:c r="E246" s="7" t="str">
        <x:v>BL-Y</x:v>
      </x:c>
      <x:c r="F246" s="7" t="str">
        <x:v>CS-20</x:v>
      </x:c>
      <x:c r="G246" s="7" t="str">
        <x:v>environmental boundary</x:v>
      </x:c>
      <x:c r="H246" s="7" t="str"/>
      <x:c r="I246" s="7" t="str"/>
      <x:c r="J246" s="7" t="str"/>
      <x:c r="K246" s="7" t="str"/>
      <x:c r="L246" s="7" t="str">
        <x:f>IF(K246="","OPEN",IF(OR(H246="",I246="",J246=""),"FAIL","PASS"))</x:f>
        <x:v>OPEN</x:v>
      </x:c>
    </x:row>
    <x:row r="247">
      <x:c r="B247" s="7" t="str">
        <x:v>TRV-PEA-C-X1-01</x:v>
      </x:c>
      <x:c r="C247" s="7" t="str">
        <x:v>PEA-C-X1</x:v>
      </x:c>
      <x:c r="D247" s="7" t="str">
        <x:v>BLD-C</x:v>
      </x:c>
      <x:c r="E247" s="7" t="str">
        <x:v>BL-X</x:v>
      </x:c>
      <x:c r="F247" s="7" t="str">
        <x:v>CS-01</x:v>
      </x:c>
      <x:c r="G247" s="7" t="str">
        <x:v>public datum</x:v>
      </x:c>
      <x:c r="H247" s="7" t="str"/>
      <x:c r="I247" s="7" t="str"/>
      <x:c r="J247" s="7" t="str"/>
      <x:c r="K247" s="7" t="str"/>
      <x:c r="L247" s="7" t="str">
        <x:f>IF(K247="","OPEN",IF(OR(H247="",I247="",J247=""),"FAIL","PASS"))</x:f>
        <x:v>OPEN</x:v>
      </x:c>
    </x:row>
    <x:row r="248">
      <x:c r="B248" s="7" t="str">
        <x:v>TRV-PEA-C-X1-02</x:v>
      </x:c>
      <x:c r="C248" s="7" t="str">
        <x:v>PEA-C-X1</x:v>
      </x:c>
      <x:c r="D248" s="7" t="str">
        <x:v>BLD-C</x:v>
      </x:c>
      <x:c r="E248" s="7" t="str">
        <x:v>BL-X</x:v>
      </x:c>
      <x:c r="F248" s="7" t="str">
        <x:v>CS-02</x:v>
      </x:c>
      <x:c r="G248" s="7" t="str">
        <x:v>primary frame</x:v>
      </x:c>
      <x:c r="H248" s="7" t="str"/>
      <x:c r="I248" s="7" t="str"/>
      <x:c r="J248" s="7" t="str"/>
      <x:c r="K248" s="7" t="str"/>
      <x:c r="L248" s="7" t="str">
        <x:f>IF(K248="","OPEN",IF(OR(H248="",I248="",J248=""),"FAIL","PASS"))</x:f>
        <x:v>OPEN</x:v>
      </x:c>
    </x:row>
    <x:row r="249">
      <x:c r="B249" s="7" t="str">
        <x:v>TRV-PEA-C-X1-03</x:v>
      </x:c>
      <x:c r="C249" s="7" t="str">
        <x:v>PEA-C-X1</x:v>
      </x:c>
      <x:c r="D249" s="7" t="str">
        <x:v>BLD-C</x:v>
      </x:c>
      <x:c r="E249" s="7" t="str">
        <x:v>BL-X</x:v>
      </x:c>
      <x:c r="F249" s="7" t="str">
        <x:v>CS-03</x:v>
      </x:c>
      <x:c r="G249" s="7" t="str">
        <x:v>source-surrogate vessel</x:v>
      </x:c>
      <x:c r="H249" s="7" t="str"/>
      <x:c r="I249" s="7" t="str"/>
      <x:c r="J249" s="7" t="str"/>
      <x:c r="K249" s="7" t="str"/>
      <x:c r="L249" s="7" t="str">
        <x:f>IF(K249="","OPEN",IF(OR(H249="",I249="",J249=""),"FAIL","PASS"))</x:f>
        <x:v>OPEN</x:v>
      </x:c>
    </x:row>
    <x:row r="250">
      <x:c r="B250" s="7" t="str">
        <x:v>TRV-PEA-C-X1-04</x:v>
      </x:c>
      <x:c r="C250" s="7" t="str">
        <x:v>PEA-C-X1</x:v>
      </x:c>
      <x:c r="D250" s="7" t="str">
        <x:v>BLD-C</x:v>
      </x:c>
      <x:c r="E250" s="7" t="str">
        <x:v>BL-X</x:v>
      </x:c>
      <x:c r="F250" s="7" t="str">
        <x:v>CS-04</x:v>
      </x:c>
      <x:c r="G250" s="7" t="str">
        <x:v>capsule dock</x:v>
      </x:c>
      <x:c r="H250" s="7" t="str"/>
      <x:c r="I250" s="7" t="str"/>
      <x:c r="J250" s="7" t="str"/>
      <x:c r="K250" s="7" t="str"/>
      <x:c r="L250" s="7" t="str">
        <x:f>IF(K250="","OPEN",IF(OR(H250="",I250="",J250=""),"FAIL","PASS"))</x:f>
        <x:v>OPEN</x:v>
      </x:c>
    </x:row>
    <x:row r="251">
      <x:c r="B251" s="7" t="str">
        <x:v>TRV-PEA-C-X1-05</x:v>
      </x:c>
      <x:c r="C251" s="7" t="str">
        <x:v>PEA-C-X1</x:v>
      </x:c>
      <x:c r="D251" s="7" t="str">
        <x:v>BLD-C</x:v>
      </x:c>
      <x:c r="E251" s="7" t="str">
        <x:v>BL-X</x:v>
      </x:c>
      <x:c r="F251" s="7" t="str">
        <x:v>CS-05</x:v>
      </x:c>
      <x:c r="G251" s="7" t="str">
        <x:v>40 mm insert</x:v>
      </x:c>
      <x:c r="H251" s="7" t="str"/>
      <x:c r="I251" s="7" t="str"/>
      <x:c r="J251" s="7" t="str"/>
      <x:c r="K251" s="7" t="str"/>
      <x:c r="L251" s="7" t="str">
        <x:f>IF(K251="","OPEN",IF(OR(H251="",I251="",J251=""),"FAIL","PASS"))</x:f>
        <x:v>OPEN</x:v>
      </x:c>
    </x:row>
    <x:row r="252">
      <x:c r="B252" s="7" t="str">
        <x:v>TRV-PEA-C-X1-06</x:v>
      </x:c>
      <x:c r="C252" s="7" t="str">
        <x:v>PEA-C-X1</x:v>
      </x:c>
      <x:c r="D252" s="7" t="str">
        <x:v>BLD-C</x:v>
      </x:c>
      <x:c r="E252" s="7" t="str">
        <x:v>BL-X</x:v>
      </x:c>
      <x:c r="F252" s="7" t="str">
        <x:v>CS-06</x:v>
      </x:c>
      <x:c r="G252" s="7" t="str">
        <x:v>dispenser</x:v>
      </x:c>
      <x:c r="H252" s="7" t="str"/>
      <x:c r="I252" s="7" t="str"/>
      <x:c r="J252" s="7" t="str"/>
      <x:c r="K252" s="7" t="str"/>
      <x:c r="L252" s="7" t="str">
        <x:f>IF(K252="","OPEN",IF(OR(H252="",I252="",J252=""),"FAIL","PASS"))</x:f>
        <x:v>OPEN</x:v>
      </x:c>
    </x:row>
    <x:row r="253">
      <x:c r="B253" s="7" t="str">
        <x:v>TRV-PEA-C-X1-07</x:v>
      </x:c>
      <x:c r="C253" s="7" t="str">
        <x:v>PEA-C-X1</x:v>
      </x:c>
      <x:c r="D253" s="7" t="str">
        <x:v>BLD-C</x:v>
      </x:c>
      <x:c r="E253" s="7" t="str">
        <x:v>BL-X</x:v>
      </x:c>
      <x:c r="F253" s="7" t="str">
        <x:v>CS-07</x:v>
      </x:c>
      <x:c r="G253" s="7" t="str">
        <x:v>inner pan</x:v>
      </x:c>
      <x:c r="H253" s="7" t="str"/>
      <x:c r="I253" s="7" t="str"/>
      <x:c r="J253" s="7" t="str"/>
      <x:c r="K253" s="7" t="str"/>
      <x:c r="L253" s="7" t="str">
        <x:f>IF(K253="","OPEN",IF(OR(H253="",I253="",J253=""),"FAIL","PASS"))</x:f>
        <x:v>OPEN</x:v>
      </x:c>
    </x:row>
    <x:row r="254">
      <x:c r="B254" s="7" t="str">
        <x:v>TRV-PEA-C-X1-08</x:v>
      </x:c>
      <x:c r="C254" s="7" t="str">
        <x:v>PEA-C-X1</x:v>
      </x:c>
      <x:c r="D254" s="7" t="str">
        <x:v>BLD-C</x:v>
      </x:c>
      <x:c r="E254" s="7" t="str">
        <x:v>BL-X</x:v>
      </x:c>
      <x:c r="F254" s="7" t="str">
        <x:v>CS-08</x:v>
      </x:c>
      <x:c r="G254" s="7" t="str">
        <x:v>normal source route</x:v>
      </x:c>
      <x:c r="H254" s="7" t="str"/>
      <x:c r="I254" s="7" t="str"/>
      <x:c r="J254" s="7" t="str"/>
      <x:c r="K254" s="7" t="str"/>
      <x:c r="L254" s="7" t="str">
        <x:f>IF(K254="","OPEN",IF(OR(H254="",I254="",J254=""),"FAIL","PASS"))</x:f>
        <x:v>OPEN</x:v>
      </x:c>
    </x:row>
    <x:row r="255">
      <x:c r="B255" s="7" t="str">
        <x:v>TRV-PEA-C-X1-09</x:v>
      </x:c>
      <x:c r="C255" s="7" t="str">
        <x:v>PEA-C-X1</x:v>
      </x:c>
      <x:c r="D255" s="7" t="str">
        <x:v>BLD-C</x:v>
      </x:c>
      <x:c r="E255" s="7" t="str">
        <x:v>BL-X</x:v>
      </x:c>
      <x:c r="F255" s="7" t="str">
        <x:v>CS-09</x:v>
      </x:c>
      <x:c r="G255" s="7" t="str">
        <x:v>casualty source route</x:v>
      </x:c>
      <x:c r="H255" s="7" t="str"/>
      <x:c r="I255" s="7" t="str"/>
      <x:c r="J255" s="7" t="str"/>
      <x:c r="K255" s="7" t="str"/>
      <x:c r="L255" s="7" t="str">
        <x:f>IF(K255="","OPEN",IF(OR(H255="",I255="",J255=""),"FAIL","PASS"))</x:f>
        <x:v>OPEN</x:v>
      </x:c>
    </x:row>
    <x:row r="256">
      <x:c r="B256" s="7" t="str">
        <x:v>TRV-PEA-C-X1-10</x:v>
      </x:c>
      <x:c r="C256" s="7" t="str">
        <x:v>PEA-C-X1</x:v>
      </x:c>
      <x:c r="D256" s="7" t="str">
        <x:v>BLD-C</x:v>
      </x:c>
      <x:c r="E256" s="7" t="str">
        <x:v>BL-X</x:v>
      </x:c>
      <x:c r="F256" s="7" t="str">
        <x:v>CS-10</x:v>
      </x:c>
      <x:c r="G256" s="7" t="str">
        <x:v>normal source receiver</x:v>
      </x:c>
      <x:c r="H256" s="7" t="str"/>
      <x:c r="I256" s="7" t="str"/>
      <x:c r="J256" s="7" t="str"/>
      <x:c r="K256" s="7" t="str"/>
      <x:c r="L256" s="7" t="str">
        <x:f>IF(K256="","OPEN",IF(OR(H256="",I256="",J256=""),"FAIL","PASS"))</x:f>
        <x:v>OPEN</x:v>
      </x:c>
    </x:row>
    <x:row r="257">
      <x:c r="B257" s="7" t="str">
        <x:v>TRV-PEA-C-X1-11</x:v>
      </x:c>
      <x:c r="C257" s="7" t="str">
        <x:v>PEA-C-X1</x:v>
      </x:c>
      <x:c r="D257" s="7" t="str">
        <x:v>BLD-C</x:v>
      </x:c>
      <x:c r="E257" s="7" t="str">
        <x:v>BL-X</x:v>
      </x:c>
      <x:c r="F257" s="7" t="str">
        <x:v>CS-11</x:v>
      </x:c>
      <x:c r="G257" s="7" t="str">
        <x:v>casualty source interface</x:v>
      </x:c>
      <x:c r="H257" s="7" t="str"/>
      <x:c r="I257" s="7" t="str"/>
      <x:c r="J257" s="7" t="str"/>
      <x:c r="K257" s="7" t="str"/>
      <x:c r="L257" s="7" t="str">
        <x:f>IF(K257="","OPEN",IF(OR(H257="",I257="",J257=""),"FAIL","PASS"))</x:f>
        <x:v>OPEN</x:v>
      </x:c>
    </x:row>
    <x:row r="258">
      <x:c r="B258" s="7" t="str">
        <x:v>TRV-PEA-C-X1-12</x:v>
      </x:c>
      <x:c r="C258" s="7" t="str">
        <x:v>PEA-C-X1</x:v>
      </x:c>
      <x:c r="D258" s="7" t="str">
        <x:v>BLD-C</x:v>
      </x:c>
      <x:c r="E258" s="7" t="str">
        <x:v>BL-X</x:v>
      </x:c>
      <x:c r="F258" s="7" t="str">
        <x:v>CS-12</x:v>
      </x:c>
      <x:c r="G258" s="7" t="str">
        <x:v>candidate-water isolation</x:v>
      </x:c>
      <x:c r="H258" s="7" t="str"/>
      <x:c r="I258" s="7" t="str"/>
      <x:c r="J258" s="7" t="str"/>
      <x:c r="K258" s="7" t="str"/>
      <x:c r="L258" s="7" t="str">
        <x:f>IF(K258="","OPEN",IF(OR(H258="",I258="",J258=""),"FAIL","PASS"))</x:f>
        <x:v>OPEN</x:v>
      </x:c>
    </x:row>
    <x:row r="259">
      <x:c r="B259" s="7" t="str">
        <x:v>TRV-PEA-C-X1-13</x:v>
      </x:c>
      <x:c r="C259" s="7" t="str">
        <x:v>PEA-C-X1</x:v>
      </x:c>
      <x:c r="D259" s="7" t="str">
        <x:v>BLD-C</x:v>
      </x:c>
      <x:c r="E259" s="7" t="str">
        <x:v>BL-X</x:v>
      </x:c>
      <x:c r="F259" s="7" t="str">
        <x:v>CS-13</x:v>
      </x:c>
      <x:c r="G259" s="7" t="str">
        <x:v>public-water isolation</x:v>
      </x:c>
      <x:c r="H259" s="7" t="str"/>
      <x:c r="I259" s="7" t="str"/>
      <x:c r="J259" s="7" t="str"/>
      <x:c r="K259" s="7" t="str"/>
      <x:c r="L259" s="7" t="str">
        <x:f>IF(K259="","OPEN",IF(OR(H259="",I259="",J259=""),"FAIL","PASS"))</x:f>
        <x:v>OPEN</x:v>
      </x:c>
    </x:row>
    <x:row r="260">
      <x:c r="B260" s="7" t="str">
        <x:v>TRV-PEA-C-X1-14</x:v>
      </x:c>
      <x:c r="C260" s="7" t="str">
        <x:v>PEA-C-X1</x:v>
      </x:c>
      <x:c r="D260" s="7" t="str">
        <x:v>BLD-C</x:v>
      </x:c>
      <x:c r="E260" s="7" t="str">
        <x:v>BL-X</x:v>
      </x:c>
      <x:c r="F260" s="7" t="str">
        <x:v>CS-14</x:v>
      </x:c>
      <x:c r="G260" s="7" t="str">
        <x:v>casualty-water interface</x:v>
      </x:c>
      <x:c r="H260" s="7" t="str"/>
      <x:c r="I260" s="7" t="str"/>
      <x:c r="J260" s="7" t="str"/>
      <x:c r="K260" s="7" t="str"/>
      <x:c r="L260" s="7" t="str">
        <x:f>IF(K260="","OPEN",IF(OR(H260="",I260="",J260=""),"FAIL","PASS"))</x:f>
        <x:v>OPEN</x:v>
      </x:c>
    </x:row>
    <x:row r="261">
      <x:c r="B261" s="7" t="str">
        <x:v>TRV-PEA-C-X1-15</x:v>
      </x:c>
      <x:c r="C261" s="7" t="str">
        <x:v>PEA-C-X1</x:v>
      </x:c>
      <x:c r="D261" s="7" t="str">
        <x:v>BLD-C</x:v>
      </x:c>
      <x:c r="E261" s="7" t="str">
        <x:v>BL-X</x:v>
      </x:c>
      <x:c r="F261" s="7" t="str">
        <x:v>CS-15</x:v>
      </x:c>
      <x:c r="G261" s="7" t="str">
        <x:v>final control assembly</x:v>
      </x:c>
      <x:c r="H261" s="7" t="str"/>
      <x:c r="I261" s="7" t="str"/>
      <x:c r="J261" s="7" t="str"/>
      <x:c r="K261" s="7" t="str"/>
      <x:c r="L261" s="7" t="str">
        <x:f>IF(K261="","OPEN",IF(OR(H261="",I261="",J261=""),"FAIL","PASS"))</x:f>
        <x:v>OPEN</x:v>
      </x:c>
    </x:row>
    <x:row r="262">
      <x:c r="B262" s="7" t="str">
        <x:v>TRV-PEA-C-X1-16</x:v>
      </x:c>
      <x:c r="C262" s="7" t="str">
        <x:v>PEA-C-X1</x:v>
      </x:c>
      <x:c r="D262" s="7" t="str">
        <x:v>BLD-C</x:v>
      </x:c>
      <x:c r="E262" s="7" t="str">
        <x:v>BL-X</x:v>
      </x:c>
      <x:c r="F262" s="7" t="str">
        <x:v>CS-16</x:v>
      </x:c>
      <x:c r="G262" s="7" t="str">
        <x:v>independent safety energy</x:v>
      </x:c>
      <x:c r="H262" s="7" t="str"/>
      <x:c r="I262" s="7" t="str"/>
      <x:c r="J262" s="7" t="str"/>
      <x:c r="K262" s="7" t="str"/>
      <x:c r="L262" s="7" t="str">
        <x:f>IF(K262="","OPEN",IF(OR(H262="",I262="",J262=""),"FAIL","PASS"))</x:f>
        <x:v>OPEN</x:v>
      </x:c>
    </x:row>
    <x:row r="263">
      <x:c r="B263" s="7" t="str">
        <x:v>TRV-PEA-C-X1-17</x:v>
      </x:c>
      <x:c r="C263" s="7" t="str">
        <x:v>PEA-C-X1</x:v>
      </x:c>
      <x:c r="D263" s="7" t="str">
        <x:v>BLD-C</x:v>
      </x:c>
      <x:c r="E263" s="7" t="str">
        <x:v>BL-X</x:v>
      </x:c>
      <x:c r="F263" s="7" t="str">
        <x:v>CS-17</x:v>
      </x:c>
      <x:c r="G263" s="7" t="str">
        <x:v>measurement frame</x:v>
      </x:c>
      <x:c r="H263" s="7" t="str"/>
      <x:c r="I263" s="7" t="str"/>
      <x:c r="J263" s="7" t="str"/>
      <x:c r="K263" s="7" t="str"/>
      <x:c r="L263" s="7" t="str">
        <x:f>IF(K263="","OPEN",IF(OR(H263="",I263="",J263=""),"FAIL","PASS"))</x:f>
        <x:v>OPEN</x:v>
      </x:c>
    </x:row>
    <x:row r="264">
      <x:c r="B264" s="7" t="str">
        <x:v>TRV-PEA-C-X1-18</x:v>
      </x:c>
      <x:c r="C264" s="7" t="str">
        <x:v>PEA-C-X1</x:v>
      </x:c>
      <x:c r="D264" s="7" t="str">
        <x:v>BLD-C</x:v>
      </x:c>
      <x:c r="E264" s="7" t="str">
        <x:v>BL-X</x:v>
      </x:c>
      <x:c r="F264" s="7" t="str">
        <x:v>CS-18</x:v>
      </x:c>
      <x:c r="G264" s="7" t="str">
        <x:v>causal time and evidence</x:v>
      </x:c>
      <x:c r="H264" s="7" t="str"/>
      <x:c r="I264" s="7" t="str"/>
      <x:c r="J264" s="7" t="str"/>
      <x:c r="K264" s="7" t="str"/>
      <x:c r="L264" s="7" t="str">
        <x:f>IF(K264="","OPEN",IF(OR(H264="",I264="",J264=""),"FAIL","PASS"))</x:f>
        <x:v>OPEN</x:v>
      </x:c>
    </x:row>
    <x:row r="265">
      <x:c r="B265" s="7" t="str">
        <x:v>TRV-PEA-C-X1-19</x:v>
      </x:c>
      <x:c r="C265" s="7" t="str">
        <x:v>PEA-C-X1</x:v>
      </x:c>
      <x:c r="D265" s="7" t="str">
        <x:v>BLD-C</x:v>
      </x:c>
      <x:c r="E265" s="7" t="str">
        <x:v>BL-X</x:v>
      </x:c>
      <x:c r="F265" s="7" t="str">
        <x:v>CS-19</x:v>
      </x:c>
      <x:c r="G265" s="7" t="str">
        <x:v>rescue and access</x:v>
      </x:c>
      <x:c r="H265" s="7" t="str"/>
      <x:c r="I265" s="7" t="str"/>
      <x:c r="J265" s="7" t="str"/>
      <x:c r="K265" s="7" t="str"/>
      <x:c r="L265" s="7" t="str">
        <x:f>IF(K265="","OPEN",IF(OR(H265="",I265="",J265=""),"FAIL","PASS"))</x:f>
        <x:v>OPEN</x:v>
      </x:c>
    </x:row>
    <x:row r="266">
      <x:c r="B266" s="7" t="str">
        <x:v>TRV-PEA-C-X1-20</x:v>
      </x:c>
      <x:c r="C266" s="7" t="str">
        <x:v>PEA-C-X1</x:v>
      </x:c>
      <x:c r="D266" s="7" t="str">
        <x:v>BLD-C</x:v>
      </x:c>
      <x:c r="E266" s="7" t="str">
        <x:v>BL-X</x:v>
      </x:c>
      <x:c r="F266" s="7" t="str">
        <x:v>CS-20</x:v>
      </x:c>
      <x:c r="G266" s="7" t="str">
        <x:v>environmental boundary</x:v>
      </x:c>
      <x:c r="H266" s="7" t="str"/>
      <x:c r="I266" s="7" t="str"/>
      <x:c r="J266" s="7" t="str"/>
      <x:c r="K266" s="7" t="str"/>
      <x:c r="L266" s="7" t="str">
        <x:f>IF(K266="","OPEN",IF(OR(H266="",I266="",J266=""),"FAIL","PASS"))</x:f>
        <x:v>OPEN</x:v>
      </x:c>
    </x:row>
    <x:row r="267">
      <x:c r="B267" s="7" t="str">
        <x:v>TRV-PEA-C-X2-01</x:v>
      </x:c>
      <x:c r="C267" s="7" t="str">
        <x:v>PEA-C-X2</x:v>
      </x:c>
      <x:c r="D267" s="7" t="str">
        <x:v>BLD-C</x:v>
      </x:c>
      <x:c r="E267" s="7" t="str">
        <x:v>BL-X</x:v>
      </x:c>
      <x:c r="F267" s="7" t="str">
        <x:v>CS-01</x:v>
      </x:c>
      <x:c r="G267" s="7" t="str">
        <x:v>public datum</x:v>
      </x:c>
      <x:c r="H267" s="7" t="str"/>
      <x:c r="I267" s="7" t="str"/>
      <x:c r="J267" s="7" t="str"/>
      <x:c r="K267" s="7" t="str"/>
      <x:c r="L267" s="7" t="str">
        <x:f>IF(K267="","OPEN",IF(OR(H267="",I267="",J267=""),"FAIL","PASS"))</x:f>
        <x:v>OPEN</x:v>
      </x:c>
    </x:row>
    <x:row r="268">
      <x:c r="B268" s="7" t="str">
        <x:v>TRV-PEA-C-X2-02</x:v>
      </x:c>
      <x:c r="C268" s="7" t="str">
        <x:v>PEA-C-X2</x:v>
      </x:c>
      <x:c r="D268" s="7" t="str">
        <x:v>BLD-C</x:v>
      </x:c>
      <x:c r="E268" s="7" t="str">
        <x:v>BL-X</x:v>
      </x:c>
      <x:c r="F268" s="7" t="str">
        <x:v>CS-02</x:v>
      </x:c>
      <x:c r="G268" s="7" t="str">
        <x:v>primary frame</x:v>
      </x:c>
      <x:c r="H268" s="7" t="str"/>
      <x:c r="I268" s="7" t="str"/>
      <x:c r="J268" s="7" t="str"/>
      <x:c r="K268" s="7" t="str"/>
      <x:c r="L268" s="7" t="str">
        <x:f>IF(K268="","OPEN",IF(OR(H268="",I268="",J268=""),"FAIL","PASS"))</x:f>
        <x:v>OPEN</x:v>
      </x:c>
    </x:row>
    <x:row r="269">
      <x:c r="B269" s="7" t="str">
        <x:v>TRV-PEA-C-X2-03</x:v>
      </x:c>
      <x:c r="C269" s="7" t="str">
        <x:v>PEA-C-X2</x:v>
      </x:c>
      <x:c r="D269" s="7" t="str">
        <x:v>BLD-C</x:v>
      </x:c>
      <x:c r="E269" s="7" t="str">
        <x:v>BL-X</x:v>
      </x:c>
      <x:c r="F269" s="7" t="str">
        <x:v>CS-03</x:v>
      </x:c>
      <x:c r="G269" s="7" t="str">
        <x:v>source-surrogate vessel</x:v>
      </x:c>
      <x:c r="H269" s="7" t="str"/>
      <x:c r="I269" s="7" t="str"/>
      <x:c r="J269" s="7" t="str"/>
      <x:c r="K269" s="7" t="str"/>
      <x:c r="L269" s="7" t="str">
        <x:f>IF(K269="","OPEN",IF(OR(H269="",I269="",J269=""),"FAIL","PASS"))</x:f>
        <x:v>OPEN</x:v>
      </x:c>
    </x:row>
    <x:row r="270">
      <x:c r="B270" s="7" t="str">
        <x:v>TRV-PEA-C-X2-04</x:v>
      </x:c>
      <x:c r="C270" s="7" t="str">
        <x:v>PEA-C-X2</x:v>
      </x:c>
      <x:c r="D270" s="7" t="str">
        <x:v>BLD-C</x:v>
      </x:c>
      <x:c r="E270" s="7" t="str">
        <x:v>BL-X</x:v>
      </x:c>
      <x:c r="F270" s="7" t="str">
        <x:v>CS-04</x:v>
      </x:c>
      <x:c r="G270" s="7" t="str">
        <x:v>capsule dock</x:v>
      </x:c>
      <x:c r="H270" s="7" t="str"/>
      <x:c r="I270" s="7" t="str"/>
      <x:c r="J270" s="7" t="str"/>
      <x:c r="K270" s="7" t="str"/>
      <x:c r="L270" s="7" t="str">
        <x:f>IF(K270="","OPEN",IF(OR(H270="",I270="",J270=""),"FAIL","PASS"))</x:f>
        <x:v>OPEN</x:v>
      </x:c>
    </x:row>
    <x:row r="271">
      <x:c r="B271" s="7" t="str">
        <x:v>TRV-PEA-C-X2-05</x:v>
      </x:c>
      <x:c r="C271" s="7" t="str">
        <x:v>PEA-C-X2</x:v>
      </x:c>
      <x:c r="D271" s="7" t="str">
        <x:v>BLD-C</x:v>
      </x:c>
      <x:c r="E271" s="7" t="str">
        <x:v>BL-X</x:v>
      </x:c>
      <x:c r="F271" s="7" t="str">
        <x:v>CS-05</x:v>
      </x:c>
      <x:c r="G271" s="7" t="str">
        <x:v>40 mm insert</x:v>
      </x:c>
      <x:c r="H271" s="7" t="str"/>
      <x:c r="I271" s="7" t="str"/>
      <x:c r="J271" s="7" t="str"/>
      <x:c r="K271" s="7" t="str"/>
      <x:c r="L271" s="7" t="str">
        <x:f>IF(K271="","OPEN",IF(OR(H271="",I271="",J271=""),"FAIL","PASS"))</x:f>
        <x:v>OPEN</x:v>
      </x:c>
    </x:row>
    <x:row r="272">
      <x:c r="B272" s="7" t="str">
        <x:v>TRV-PEA-C-X2-06</x:v>
      </x:c>
      <x:c r="C272" s="7" t="str">
        <x:v>PEA-C-X2</x:v>
      </x:c>
      <x:c r="D272" s="7" t="str">
        <x:v>BLD-C</x:v>
      </x:c>
      <x:c r="E272" s="7" t="str">
        <x:v>BL-X</x:v>
      </x:c>
      <x:c r="F272" s="7" t="str">
        <x:v>CS-06</x:v>
      </x:c>
      <x:c r="G272" s="7" t="str">
        <x:v>dispenser</x:v>
      </x:c>
      <x:c r="H272" s="7" t="str"/>
      <x:c r="I272" s="7" t="str"/>
      <x:c r="J272" s="7" t="str"/>
      <x:c r="K272" s="7" t="str"/>
      <x:c r="L272" s="7" t="str">
        <x:f>IF(K272="","OPEN",IF(OR(H272="",I272="",J272=""),"FAIL","PASS"))</x:f>
        <x:v>OPEN</x:v>
      </x:c>
    </x:row>
    <x:row r="273">
      <x:c r="B273" s="7" t="str">
        <x:v>TRV-PEA-C-X2-07</x:v>
      </x:c>
      <x:c r="C273" s="7" t="str">
        <x:v>PEA-C-X2</x:v>
      </x:c>
      <x:c r="D273" s="7" t="str">
        <x:v>BLD-C</x:v>
      </x:c>
      <x:c r="E273" s="7" t="str">
        <x:v>BL-X</x:v>
      </x:c>
      <x:c r="F273" s="7" t="str">
        <x:v>CS-07</x:v>
      </x:c>
      <x:c r="G273" s="7" t="str">
        <x:v>inner pan</x:v>
      </x:c>
      <x:c r="H273" s="7" t="str"/>
      <x:c r="I273" s="7" t="str"/>
      <x:c r="J273" s="7" t="str"/>
      <x:c r="K273" s="7" t="str"/>
      <x:c r="L273" s="7" t="str">
        <x:f>IF(K273="","OPEN",IF(OR(H273="",I273="",J273=""),"FAIL","PASS"))</x:f>
        <x:v>OPEN</x:v>
      </x:c>
    </x:row>
    <x:row r="274">
      <x:c r="B274" s="7" t="str">
        <x:v>TRV-PEA-C-X2-08</x:v>
      </x:c>
      <x:c r="C274" s="7" t="str">
        <x:v>PEA-C-X2</x:v>
      </x:c>
      <x:c r="D274" s="7" t="str">
        <x:v>BLD-C</x:v>
      </x:c>
      <x:c r="E274" s="7" t="str">
        <x:v>BL-X</x:v>
      </x:c>
      <x:c r="F274" s="7" t="str">
        <x:v>CS-08</x:v>
      </x:c>
      <x:c r="G274" s="7" t="str">
        <x:v>normal source route</x:v>
      </x:c>
      <x:c r="H274" s="7" t="str"/>
      <x:c r="I274" s="7" t="str"/>
      <x:c r="J274" s="7" t="str"/>
      <x:c r="K274" s="7" t="str"/>
      <x:c r="L274" s="7" t="str">
        <x:f>IF(K274="","OPEN",IF(OR(H274="",I274="",J274=""),"FAIL","PASS"))</x:f>
        <x:v>OPEN</x:v>
      </x:c>
    </x:row>
    <x:row r="275">
      <x:c r="B275" s="7" t="str">
        <x:v>TRV-PEA-C-X2-09</x:v>
      </x:c>
      <x:c r="C275" s="7" t="str">
        <x:v>PEA-C-X2</x:v>
      </x:c>
      <x:c r="D275" s="7" t="str">
        <x:v>BLD-C</x:v>
      </x:c>
      <x:c r="E275" s="7" t="str">
        <x:v>BL-X</x:v>
      </x:c>
      <x:c r="F275" s="7" t="str">
        <x:v>CS-09</x:v>
      </x:c>
      <x:c r="G275" s="7" t="str">
        <x:v>casualty source route</x:v>
      </x:c>
      <x:c r="H275" s="7" t="str"/>
      <x:c r="I275" s="7" t="str"/>
      <x:c r="J275" s="7" t="str"/>
      <x:c r="K275" s="7" t="str"/>
      <x:c r="L275" s="7" t="str">
        <x:f>IF(K275="","OPEN",IF(OR(H275="",I275="",J275=""),"FAIL","PASS"))</x:f>
        <x:v>OPEN</x:v>
      </x:c>
    </x:row>
    <x:row r="276">
      <x:c r="B276" s="7" t="str">
        <x:v>TRV-PEA-C-X2-10</x:v>
      </x:c>
      <x:c r="C276" s="7" t="str">
        <x:v>PEA-C-X2</x:v>
      </x:c>
      <x:c r="D276" s="7" t="str">
        <x:v>BLD-C</x:v>
      </x:c>
      <x:c r="E276" s="7" t="str">
        <x:v>BL-X</x:v>
      </x:c>
      <x:c r="F276" s="7" t="str">
        <x:v>CS-10</x:v>
      </x:c>
      <x:c r="G276" s="7" t="str">
        <x:v>normal source receiver</x:v>
      </x:c>
      <x:c r="H276" s="7" t="str"/>
      <x:c r="I276" s="7" t="str"/>
      <x:c r="J276" s="7" t="str"/>
      <x:c r="K276" s="7" t="str"/>
      <x:c r="L276" s="7" t="str">
        <x:f>IF(K276="","OPEN",IF(OR(H276="",I276="",J276=""),"FAIL","PASS"))</x:f>
        <x:v>OPEN</x:v>
      </x:c>
    </x:row>
    <x:row r="277">
      <x:c r="B277" s="7" t="str">
        <x:v>TRV-PEA-C-X2-11</x:v>
      </x:c>
      <x:c r="C277" s="7" t="str">
        <x:v>PEA-C-X2</x:v>
      </x:c>
      <x:c r="D277" s="7" t="str">
        <x:v>BLD-C</x:v>
      </x:c>
      <x:c r="E277" s="7" t="str">
        <x:v>BL-X</x:v>
      </x:c>
      <x:c r="F277" s="7" t="str">
        <x:v>CS-11</x:v>
      </x:c>
      <x:c r="G277" s="7" t="str">
        <x:v>casualty source interface</x:v>
      </x:c>
      <x:c r="H277" s="7" t="str"/>
      <x:c r="I277" s="7" t="str"/>
      <x:c r="J277" s="7" t="str"/>
      <x:c r="K277" s="7" t="str"/>
      <x:c r="L277" s="7" t="str">
        <x:f>IF(K277="","OPEN",IF(OR(H277="",I277="",J277=""),"FAIL","PASS"))</x:f>
        <x:v>OPEN</x:v>
      </x:c>
    </x:row>
    <x:row r="278">
      <x:c r="B278" s="7" t="str">
        <x:v>TRV-PEA-C-X2-12</x:v>
      </x:c>
      <x:c r="C278" s="7" t="str">
        <x:v>PEA-C-X2</x:v>
      </x:c>
      <x:c r="D278" s="7" t="str">
        <x:v>BLD-C</x:v>
      </x:c>
      <x:c r="E278" s="7" t="str">
        <x:v>BL-X</x:v>
      </x:c>
      <x:c r="F278" s="7" t="str">
        <x:v>CS-12</x:v>
      </x:c>
      <x:c r="G278" s="7" t="str">
        <x:v>candidate-water isolation</x:v>
      </x:c>
      <x:c r="H278" s="7" t="str"/>
      <x:c r="I278" s="7" t="str"/>
      <x:c r="J278" s="7" t="str"/>
      <x:c r="K278" s="7" t="str"/>
      <x:c r="L278" s="7" t="str">
        <x:f>IF(K278="","OPEN",IF(OR(H278="",I278="",J278=""),"FAIL","PASS"))</x:f>
        <x:v>OPEN</x:v>
      </x:c>
    </x:row>
    <x:row r="279">
      <x:c r="B279" s="7" t="str">
        <x:v>TRV-PEA-C-X2-13</x:v>
      </x:c>
      <x:c r="C279" s="7" t="str">
        <x:v>PEA-C-X2</x:v>
      </x:c>
      <x:c r="D279" s="7" t="str">
        <x:v>BLD-C</x:v>
      </x:c>
      <x:c r="E279" s="7" t="str">
        <x:v>BL-X</x:v>
      </x:c>
      <x:c r="F279" s="7" t="str">
        <x:v>CS-13</x:v>
      </x:c>
      <x:c r="G279" s="7" t="str">
        <x:v>public-water isolation</x:v>
      </x:c>
      <x:c r="H279" s="7" t="str"/>
      <x:c r="I279" s="7" t="str"/>
      <x:c r="J279" s="7" t="str"/>
      <x:c r="K279" s="7" t="str"/>
      <x:c r="L279" s="7" t="str">
        <x:f>IF(K279="","OPEN",IF(OR(H279="",I279="",J279=""),"FAIL","PASS"))</x:f>
        <x:v>OPEN</x:v>
      </x:c>
    </x:row>
    <x:row r="280">
      <x:c r="B280" s="7" t="str">
        <x:v>TRV-PEA-C-X2-14</x:v>
      </x:c>
      <x:c r="C280" s="7" t="str">
        <x:v>PEA-C-X2</x:v>
      </x:c>
      <x:c r="D280" s="7" t="str">
        <x:v>BLD-C</x:v>
      </x:c>
      <x:c r="E280" s="7" t="str">
        <x:v>BL-X</x:v>
      </x:c>
      <x:c r="F280" s="7" t="str">
        <x:v>CS-14</x:v>
      </x:c>
      <x:c r="G280" s="7" t="str">
        <x:v>casualty-water interface</x:v>
      </x:c>
      <x:c r="H280" s="7" t="str"/>
      <x:c r="I280" s="7" t="str"/>
      <x:c r="J280" s="7" t="str"/>
      <x:c r="K280" s="7" t="str"/>
      <x:c r="L280" s="7" t="str">
        <x:f>IF(K280="","OPEN",IF(OR(H280="",I280="",J280=""),"FAIL","PASS"))</x:f>
        <x:v>OPEN</x:v>
      </x:c>
    </x:row>
    <x:row r="281">
      <x:c r="B281" s="7" t="str">
        <x:v>TRV-PEA-C-X2-15</x:v>
      </x:c>
      <x:c r="C281" s="7" t="str">
        <x:v>PEA-C-X2</x:v>
      </x:c>
      <x:c r="D281" s="7" t="str">
        <x:v>BLD-C</x:v>
      </x:c>
      <x:c r="E281" s="7" t="str">
        <x:v>BL-X</x:v>
      </x:c>
      <x:c r="F281" s="7" t="str">
        <x:v>CS-15</x:v>
      </x:c>
      <x:c r="G281" s="7" t="str">
        <x:v>final control assembly</x:v>
      </x:c>
      <x:c r="H281" s="7" t="str"/>
      <x:c r="I281" s="7" t="str"/>
      <x:c r="J281" s="7" t="str"/>
      <x:c r="K281" s="7" t="str"/>
      <x:c r="L281" s="7" t="str">
        <x:f>IF(K281="","OPEN",IF(OR(H281="",I281="",J281=""),"FAIL","PASS"))</x:f>
        <x:v>OPEN</x:v>
      </x:c>
    </x:row>
    <x:row r="282">
      <x:c r="B282" s="7" t="str">
        <x:v>TRV-PEA-C-X2-16</x:v>
      </x:c>
      <x:c r="C282" s="7" t="str">
        <x:v>PEA-C-X2</x:v>
      </x:c>
      <x:c r="D282" s="7" t="str">
        <x:v>BLD-C</x:v>
      </x:c>
      <x:c r="E282" s="7" t="str">
        <x:v>BL-X</x:v>
      </x:c>
      <x:c r="F282" s="7" t="str">
        <x:v>CS-16</x:v>
      </x:c>
      <x:c r="G282" s="7" t="str">
        <x:v>independent safety energy</x:v>
      </x:c>
      <x:c r="H282" s="7" t="str"/>
      <x:c r="I282" s="7" t="str"/>
      <x:c r="J282" s="7" t="str"/>
      <x:c r="K282" s="7" t="str"/>
      <x:c r="L282" s="7" t="str">
        <x:f>IF(K282="","OPEN",IF(OR(H282="",I282="",J282=""),"FAIL","PASS"))</x:f>
        <x:v>OPEN</x:v>
      </x:c>
    </x:row>
    <x:row r="283">
      <x:c r="B283" s="7" t="str">
        <x:v>TRV-PEA-C-X2-17</x:v>
      </x:c>
      <x:c r="C283" s="7" t="str">
        <x:v>PEA-C-X2</x:v>
      </x:c>
      <x:c r="D283" s="7" t="str">
        <x:v>BLD-C</x:v>
      </x:c>
      <x:c r="E283" s="7" t="str">
        <x:v>BL-X</x:v>
      </x:c>
      <x:c r="F283" s="7" t="str">
        <x:v>CS-17</x:v>
      </x:c>
      <x:c r="G283" s="7" t="str">
        <x:v>measurement frame</x:v>
      </x:c>
      <x:c r="H283" s="7" t="str"/>
      <x:c r="I283" s="7" t="str"/>
      <x:c r="J283" s="7" t="str"/>
      <x:c r="K283" s="7" t="str"/>
      <x:c r="L283" s="7" t="str">
        <x:f>IF(K283="","OPEN",IF(OR(H283="",I283="",J283=""),"FAIL","PASS"))</x:f>
        <x:v>OPEN</x:v>
      </x:c>
    </x:row>
    <x:row r="284">
      <x:c r="B284" s="7" t="str">
        <x:v>TRV-PEA-C-X2-18</x:v>
      </x:c>
      <x:c r="C284" s="7" t="str">
        <x:v>PEA-C-X2</x:v>
      </x:c>
      <x:c r="D284" s="7" t="str">
        <x:v>BLD-C</x:v>
      </x:c>
      <x:c r="E284" s="7" t="str">
        <x:v>BL-X</x:v>
      </x:c>
      <x:c r="F284" s="7" t="str">
        <x:v>CS-18</x:v>
      </x:c>
      <x:c r="G284" s="7" t="str">
        <x:v>causal time and evidence</x:v>
      </x:c>
      <x:c r="H284" s="7" t="str"/>
      <x:c r="I284" s="7" t="str"/>
      <x:c r="J284" s="7" t="str"/>
      <x:c r="K284" s="7" t="str"/>
      <x:c r="L284" s="7" t="str">
        <x:f>IF(K284="","OPEN",IF(OR(H284="",I284="",J284=""),"FAIL","PASS"))</x:f>
        <x:v>OPEN</x:v>
      </x:c>
    </x:row>
    <x:row r="285">
      <x:c r="B285" s="7" t="str">
        <x:v>TRV-PEA-C-X2-19</x:v>
      </x:c>
      <x:c r="C285" s="7" t="str">
        <x:v>PEA-C-X2</x:v>
      </x:c>
      <x:c r="D285" s="7" t="str">
        <x:v>BLD-C</x:v>
      </x:c>
      <x:c r="E285" s="7" t="str">
        <x:v>BL-X</x:v>
      </x:c>
      <x:c r="F285" s="7" t="str">
        <x:v>CS-19</x:v>
      </x:c>
      <x:c r="G285" s="7" t="str">
        <x:v>rescue and access</x:v>
      </x:c>
      <x:c r="H285" s="7" t="str"/>
      <x:c r="I285" s="7" t="str"/>
      <x:c r="J285" s="7" t="str"/>
      <x:c r="K285" s="7" t="str"/>
      <x:c r="L285" s="7" t="str">
        <x:f>IF(K285="","OPEN",IF(OR(H285="",I285="",J285=""),"FAIL","PASS"))</x:f>
        <x:v>OPEN</x:v>
      </x:c>
    </x:row>
    <x:row r="286">
      <x:c r="B286" s="7" t="str">
        <x:v>TRV-PEA-C-X2-20</x:v>
      </x:c>
      <x:c r="C286" s="7" t="str">
        <x:v>PEA-C-X2</x:v>
      </x:c>
      <x:c r="D286" s="7" t="str">
        <x:v>BLD-C</x:v>
      </x:c>
      <x:c r="E286" s="7" t="str">
        <x:v>BL-X</x:v>
      </x:c>
      <x:c r="F286" s="7" t="str">
        <x:v>CS-20</x:v>
      </x:c>
      <x:c r="G286" s="7" t="str">
        <x:v>environmental boundary</x:v>
      </x:c>
      <x:c r="H286" s="7" t="str"/>
      <x:c r="I286" s="7" t="str"/>
      <x:c r="J286" s="7" t="str"/>
      <x:c r="K286" s="7" t="str"/>
      <x:c r="L286" s="7" t="str">
        <x:f>IF(K286="","OPEN",IF(OR(H286="",I286="",J286=""),"FAIL","PASS"))</x:f>
        <x:v>OPEN</x:v>
      </x:c>
    </x:row>
    <x:row r="287">
      <x:c r="B287" s="7" t="str">
        <x:v>TRV-PEA-C-X3-01</x:v>
      </x:c>
      <x:c r="C287" s="7" t="str">
        <x:v>PEA-C-X3</x:v>
      </x:c>
      <x:c r="D287" s="7" t="str">
        <x:v>BLD-C</x:v>
      </x:c>
      <x:c r="E287" s="7" t="str">
        <x:v>BL-X</x:v>
      </x:c>
      <x:c r="F287" s="7" t="str">
        <x:v>CS-01</x:v>
      </x:c>
      <x:c r="G287" s="7" t="str">
        <x:v>public datum</x:v>
      </x:c>
      <x:c r="H287" s="7" t="str"/>
      <x:c r="I287" s="7" t="str"/>
      <x:c r="J287" s="7" t="str"/>
      <x:c r="K287" s="7" t="str"/>
      <x:c r="L287" s="7" t="str">
        <x:f>IF(K287="","OPEN",IF(OR(H287="",I287="",J287=""),"FAIL","PASS"))</x:f>
        <x:v>OPEN</x:v>
      </x:c>
    </x:row>
    <x:row r="288">
      <x:c r="B288" s="7" t="str">
        <x:v>TRV-PEA-C-X3-02</x:v>
      </x:c>
      <x:c r="C288" s="7" t="str">
        <x:v>PEA-C-X3</x:v>
      </x:c>
      <x:c r="D288" s="7" t="str">
        <x:v>BLD-C</x:v>
      </x:c>
      <x:c r="E288" s="7" t="str">
        <x:v>BL-X</x:v>
      </x:c>
      <x:c r="F288" s="7" t="str">
        <x:v>CS-02</x:v>
      </x:c>
      <x:c r="G288" s="7" t="str">
        <x:v>primary frame</x:v>
      </x:c>
      <x:c r="H288" s="7" t="str"/>
      <x:c r="I288" s="7" t="str"/>
      <x:c r="J288" s="7" t="str"/>
      <x:c r="K288" s="7" t="str"/>
      <x:c r="L288" s="7" t="str">
        <x:f>IF(K288="","OPEN",IF(OR(H288="",I288="",J288=""),"FAIL","PASS"))</x:f>
        <x:v>OPEN</x:v>
      </x:c>
    </x:row>
    <x:row r="289">
      <x:c r="B289" s="7" t="str">
        <x:v>TRV-PEA-C-X3-03</x:v>
      </x:c>
      <x:c r="C289" s="7" t="str">
        <x:v>PEA-C-X3</x:v>
      </x:c>
      <x:c r="D289" s="7" t="str">
        <x:v>BLD-C</x:v>
      </x:c>
      <x:c r="E289" s="7" t="str">
        <x:v>BL-X</x:v>
      </x:c>
      <x:c r="F289" s="7" t="str">
        <x:v>CS-03</x:v>
      </x:c>
      <x:c r="G289" s="7" t="str">
        <x:v>source-surrogate vessel</x:v>
      </x:c>
      <x:c r="H289" s="7" t="str"/>
      <x:c r="I289" s="7" t="str"/>
      <x:c r="J289" s="7" t="str"/>
      <x:c r="K289" s="7" t="str"/>
      <x:c r="L289" s="7" t="str">
        <x:f>IF(K289="","OPEN",IF(OR(H289="",I289="",J289=""),"FAIL","PASS"))</x:f>
        <x:v>OPEN</x:v>
      </x:c>
    </x:row>
    <x:row r="290">
      <x:c r="B290" s="7" t="str">
        <x:v>TRV-PEA-C-X3-04</x:v>
      </x:c>
      <x:c r="C290" s="7" t="str">
        <x:v>PEA-C-X3</x:v>
      </x:c>
      <x:c r="D290" s="7" t="str">
        <x:v>BLD-C</x:v>
      </x:c>
      <x:c r="E290" s="7" t="str">
        <x:v>BL-X</x:v>
      </x:c>
      <x:c r="F290" s="7" t="str">
        <x:v>CS-04</x:v>
      </x:c>
      <x:c r="G290" s="7" t="str">
        <x:v>capsule dock</x:v>
      </x:c>
      <x:c r="H290" s="7" t="str"/>
      <x:c r="I290" s="7" t="str"/>
      <x:c r="J290" s="7" t="str"/>
      <x:c r="K290" s="7" t="str"/>
      <x:c r="L290" s="7" t="str">
        <x:f>IF(K290="","OPEN",IF(OR(H290="",I290="",J290=""),"FAIL","PASS"))</x:f>
        <x:v>OPEN</x:v>
      </x:c>
    </x:row>
    <x:row r="291">
      <x:c r="B291" s="7" t="str">
        <x:v>TRV-PEA-C-X3-05</x:v>
      </x:c>
      <x:c r="C291" s="7" t="str">
        <x:v>PEA-C-X3</x:v>
      </x:c>
      <x:c r="D291" s="7" t="str">
        <x:v>BLD-C</x:v>
      </x:c>
      <x:c r="E291" s="7" t="str">
        <x:v>BL-X</x:v>
      </x:c>
      <x:c r="F291" s="7" t="str">
        <x:v>CS-05</x:v>
      </x:c>
      <x:c r="G291" s="7" t="str">
        <x:v>40 mm insert</x:v>
      </x:c>
      <x:c r="H291" s="7" t="str"/>
      <x:c r="I291" s="7" t="str"/>
      <x:c r="J291" s="7" t="str"/>
      <x:c r="K291" s="7" t="str"/>
      <x:c r="L291" s="7" t="str">
        <x:f>IF(K291="","OPEN",IF(OR(H291="",I291="",J291=""),"FAIL","PASS"))</x:f>
        <x:v>OPEN</x:v>
      </x:c>
    </x:row>
    <x:row r="292">
      <x:c r="B292" s="7" t="str">
        <x:v>TRV-PEA-C-X3-06</x:v>
      </x:c>
      <x:c r="C292" s="7" t="str">
        <x:v>PEA-C-X3</x:v>
      </x:c>
      <x:c r="D292" s="7" t="str">
        <x:v>BLD-C</x:v>
      </x:c>
      <x:c r="E292" s="7" t="str">
        <x:v>BL-X</x:v>
      </x:c>
      <x:c r="F292" s="7" t="str">
        <x:v>CS-06</x:v>
      </x:c>
      <x:c r="G292" s="7" t="str">
        <x:v>dispenser</x:v>
      </x:c>
      <x:c r="H292" s="7" t="str"/>
      <x:c r="I292" s="7" t="str"/>
      <x:c r="J292" s="7" t="str"/>
      <x:c r="K292" s="7" t="str"/>
      <x:c r="L292" s="7" t="str">
        <x:f>IF(K292="","OPEN",IF(OR(H292="",I292="",J292=""),"FAIL","PASS"))</x:f>
        <x:v>OPEN</x:v>
      </x:c>
    </x:row>
    <x:row r="293">
      <x:c r="B293" s="7" t="str">
        <x:v>TRV-PEA-C-X3-07</x:v>
      </x:c>
      <x:c r="C293" s="7" t="str">
        <x:v>PEA-C-X3</x:v>
      </x:c>
      <x:c r="D293" s="7" t="str">
        <x:v>BLD-C</x:v>
      </x:c>
      <x:c r="E293" s="7" t="str">
        <x:v>BL-X</x:v>
      </x:c>
      <x:c r="F293" s="7" t="str">
        <x:v>CS-07</x:v>
      </x:c>
      <x:c r="G293" s="7" t="str">
        <x:v>inner pan</x:v>
      </x:c>
      <x:c r="H293" s="7" t="str"/>
      <x:c r="I293" s="7" t="str"/>
      <x:c r="J293" s="7" t="str"/>
      <x:c r="K293" s="7" t="str"/>
      <x:c r="L293" s="7" t="str">
        <x:f>IF(K293="","OPEN",IF(OR(H293="",I293="",J293=""),"FAIL","PASS"))</x:f>
        <x:v>OPEN</x:v>
      </x:c>
    </x:row>
    <x:row r="294">
      <x:c r="B294" s="7" t="str">
        <x:v>TRV-PEA-C-X3-08</x:v>
      </x:c>
      <x:c r="C294" s="7" t="str">
        <x:v>PEA-C-X3</x:v>
      </x:c>
      <x:c r="D294" s="7" t="str">
        <x:v>BLD-C</x:v>
      </x:c>
      <x:c r="E294" s="7" t="str">
        <x:v>BL-X</x:v>
      </x:c>
      <x:c r="F294" s="7" t="str">
        <x:v>CS-08</x:v>
      </x:c>
      <x:c r="G294" s="7" t="str">
        <x:v>normal source route</x:v>
      </x:c>
      <x:c r="H294" s="7" t="str"/>
      <x:c r="I294" s="7" t="str"/>
      <x:c r="J294" s="7" t="str"/>
      <x:c r="K294" s="7" t="str"/>
      <x:c r="L294" s="7" t="str">
        <x:f>IF(K294="","OPEN",IF(OR(H294="",I294="",J294=""),"FAIL","PASS"))</x:f>
        <x:v>OPEN</x:v>
      </x:c>
    </x:row>
    <x:row r="295">
      <x:c r="B295" s="7" t="str">
        <x:v>TRV-PEA-C-X3-09</x:v>
      </x:c>
      <x:c r="C295" s="7" t="str">
        <x:v>PEA-C-X3</x:v>
      </x:c>
      <x:c r="D295" s="7" t="str">
        <x:v>BLD-C</x:v>
      </x:c>
      <x:c r="E295" s="7" t="str">
        <x:v>BL-X</x:v>
      </x:c>
      <x:c r="F295" s="7" t="str">
        <x:v>CS-09</x:v>
      </x:c>
      <x:c r="G295" s="7" t="str">
        <x:v>casualty source route</x:v>
      </x:c>
      <x:c r="H295" s="7" t="str"/>
      <x:c r="I295" s="7" t="str"/>
      <x:c r="J295" s="7" t="str"/>
      <x:c r="K295" s="7" t="str"/>
      <x:c r="L295" s="7" t="str">
        <x:f>IF(K295="","OPEN",IF(OR(H295="",I295="",J295=""),"FAIL","PASS"))</x:f>
        <x:v>OPEN</x:v>
      </x:c>
    </x:row>
    <x:row r="296">
      <x:c r="B296" s="7" t="str">
        <x:v>TRV-PEA-C-X3-10</x:v>
      </x:c>
      <x:c r="C296" s="7" t="str">
        <x:v>PEA-C-X3</x:v>
      </x:c>
      <x:c r="D296" s="7" t="str">
        <x:v>BLD-C</x:v>
      </x:c>
      <x:c r="E296" s="7" t="str">
        <x:v>BL-X</x:v>
      </x:c>
      <x:c r="F296" s="7" t="str">
        <x:v>CS-10</x:v>
      </x:c>
      <x:c r="G296" s="7" t="str">
        <x:v>normal source receiver</x:v>
      </x:c>
      <x:c r="H296" s="7" t="str"/>
      <x:c r="I296" s="7" t="str"/>
      <x:c r="J296" s="7" t="str"/>
      <x:c r="K296" s="7" t="str"/>
      <x:c r="L296" s="7" t="str">
        <x:f>IF(K296="","OPEN",IF(OR(H296="",I296="",J296=""),"FAIL","PASS"))</x:f>
        <x:v>OPEN</x:v>
      </x:c>
    </x:row>
    <x:row r="297">
      <x:c r="B297" s="7" t="str">
        <x:v>TRV-PEA-C-X3-11</x:v>
      </x:c>
      <x:c r="C297" s="7" t="str">
        <x:v>PEA-C-X3</x:v>
      </x:c>
      <x:c r="D297" s="7" t="str">
        <x:v>BLD-C</x:v>
      </x:c>
      <x:c r="E297" s="7" t="str">
        <x:v>BL-X</x:v>
      </x:c>
      <x:c r="F297" s="7" t="str">
        <x:v>CS-11</x:v>
      </x:c>
      <x:c r="G297" s="7" t="str">
        <x:v>casualty source interface</x:v>
      </x:c>
      <x:c r="H297" s="7" t="str"/>
      <x:c r="I297" s="7" t="str"/>
      <x:c r="J297" s="7" t="str"/>
      <x:c r="K297" s="7" t="str"/>
      <x:c r="L297" s="7" t="str">
        <x:f>IF(K297="","OPEN",IF(OR(H297="",I297="",J297=""),"FAIL","PASS"))</x:f>
        <x:v>OPEN</x:v>
      </x:c>
    </x:row>
    <x:row r="298">
      <x:c r="B298" s="7" t="str">
        <x:v>TRV-PEA-C-X3-12</x:v>
      </x:c>
      <x:c r="C298" s="7" t="str">
        <x:v>PEA-C-X3</x:v>
      </x:c>
      <x:c r="D298" s="7" t="str">
        <x:v>BLD-C</x:v>
      </x:c>
      <x:c r="E298" s="7" t="str">
        <x:v>BL-X</x:v>
      </x:c>
      <x:c r="F298" s="7" t="str">
        <x:v>CS-12</x:v>
      </x:c>
      <x:c r="G298" s="7" t="str">
        <x:v>candidate-water isolation</x:v>
      </x:c>
      <x:c r="H298" s="7" t="str"/>
      <x:c r="I298" s="7" t="str"/>
      <x:c r="J298" s="7" t="str"/>
      <x:c r="K298" s="7" t="str"/>
      <x:c r="L298" s="7" t="str">
        <x:f>IF(K298="","OPEN",IF(OR(H298="",I298="",J298=""),"FAIL","PASS"))</x:f>
        <x:v>OPEN</x:v>
      </x:c>
    </x:row>
    <x:row r="299">
      <x:c r="B299" s="7" t="str">
        <x:v>TRV-PEA-C-X3-13</x:v>
      </x:c>
      <x:c r="C299" s="7" t="str">
        <x:v>PEA-C-X3</x:v>
      </x:c>
      <x:c r="D299" s="7" t="str">
        <x:v>BLD-C</x:v>
      </x:c>
      <x:c r="E299" s="7" t="str">
        <x:v>BL-X</x:v>
      </x:c>
      <x:c r="F299" s="7" t="str">
        <x:v>CS-13</x:v>
      </x:c>
      <x:c r="G299" s="7" t="str">
        <x:v>public-water isolation</x:v>
      </x:c>
      <x:c r="H299" s="7" t="str"/>
      <x:c r="I299" s="7" t="str"/>
      <x:c r="J299" s="7" t="str"/>
      <x:c r="K299" s="7" t="str"/>
      <x:c r="L299" s="7" t="str">
        <x:f>IF(K299="","OPEN",IF(OR(H299="",I299="",J299=""),"FAIL","PASS"))</x:f>
        <x:v>OPEN</x:v>
      </x:c>
    </x:row>
    <x:row r="300">
      <x:c r="B300" s="7" t="str">
        <x:v>TRV-PEA-C-X3-14</x:v>
      </x:c>
      <x:c r="C300" s="7" t="str">
        <x:v>PEA-C-X3</x:v>
      </x:c>
      <x:c r="D300" s="7" t="str">
        <x:v>BLD-C</x:v>
      </x:c>
      <x:c r="E300" s="7" t="str">
        <x:v>BL-X</x:v>
      </x:c>
      <x:c r="F300" s="7" t="str">
        <x:v>CS-14</x:v>
      </x:c>
      <x:c r="G300" s="7" t="str">
        <x:v>casualty-water interface</x:v>
      </x:c>
      <x:c r="H300" s="7" t="str"/>
      <x:c r="I300" s="7" t="str"/>
      <x:c r="J300" s="7" t="str"/>
      <x:c r="K300" s="7" t="str"/>
      <x:c r="L300" s="7" t="str">
        <x:f>IF(K300="","OPEN",IF(OR(H300="",I300="",J300=""),"FAIL","PASS"))</x:f>
        <x:v>OPEN</x:v>
      </x:c>
    </x:row>
    <x:row r="301">
      <x:c r="B301" s="7" t="str">
        <x:v>TRV-PEA-C-X3-15</x:v>
      </x:c>
      <x:c r="C301" s="7" t="str">
        <x:v>PEA-C-X3</x:v>
      </x:c>
      <x:c r="D301" s="7" t="str">
        <x:v>BLD-C</x:v>
      </x:c>
      <x:c r="E301" s="7" t="str">
        <x:v>BL-X</x:v>
      </x:c>
      <x:c r="F301" s="7" t="str">
        <x:v>CS-15</x:v>
      </x:c>
      <x:c r="G301" s="7" t="str">
        <x:v>final control assembly</x:v>
      </x:c>
      <x:c r="H301" s="7" t="str"/>
      <x:c r="I301" s="7" t="str"/>
      <x:c r="J301" s="7" t="str"/>
      <x:c r="K301" s="7" t="str"/>
      <x:c r="L301" s="7" t="str">
        <x:f>IF(K301="","OPEN",IF(OR(H301="",I301="",J301=""),"FAIL","PASS"))</x:f>
        <x:v>OPEN</x:v>
      </x:c>
    </x:row>
    <x:row r="302">
      <x:c r="B302" s="7" t="str">
        <x:v>TRV-PEA-C-X3-16</x:v>
      </x:c>
      <x:c r="C302" s="7" t="str">
        <x:v>PEA-C-X3</x:v>
      </x:c>
      <x:c r="D302" s="7" t="str">
        <x:v>BLD-C</x:v>
      </x:c>
      <x:c r="E302" s="7" t="str">
        <x:v>BL-X</x:v>
      </x:c>
      <x:c r="F302" s="7" t="str">
        <x:v>CS-16</x:v>
      </x:c>
      <x:c r="G302" s="7" t="str">
        <x:v>independent safety energy</x:v>
      </x:c>
      <x:c r="H302" s="7" t="str"/>
      <x:c r="I302" s="7" t="str"/>
      <x:c r="J302" s="7" t="str"/>
      <x:c r="K302" s="7" t="str"/>
      <x:c r="L302" s="7" t="str">
        <x:f>IF(K302="","OPEN",IF(OR(H302="",I302="",J302=""),"FAIL","PASS"))</x:f>
        <x:v>OPEN</x:v>
      </x:c>
    </x:row>
    <x:row r="303">
      <x:c r="B303" s="7" t="str">
        <x:v>TRV-PEA-C-X3-17</x:v>
      </x:c>
      <x:c r="C303" s="7" t="str">
        <x:v>PEA-C-X3</x:v>
      </x:c>
      <x:c r="D303" s="7" t="str">
        <x:v>BLD-C</x:v>
      </x:c>
      <x:c r="E303" s="7" t="str">
        <x:v>BL-X</x:v>
      </x:c>
      <x:c r="F303" s="7" t="str">
        <x:v>CS-17</x:v>
      </x:c>
      <x:c r="G303" s="7" t="str">
        <x:v>measurement frame</x:v>
      </x:c>
      <x:c r="H303" s="7" t="str"/>
      <x:c r="I303" s="7" t="str"/>
      <x:c r="J303" s="7" t="str"/>
      <x:c r="K303" s="7" t="str"/>
      <x:c r="L303" s="7" t="str">
        <x:f>IF(K303="","OPEN",IF(OR(H303="",I303="",J303=""),"FAIL","PASS"))</x:f>
        <x:v>OPEN</x:v>
      </x:c>
    </x:row>
    <x:row r="304">
      <x:c r="B304" s="7" t="str">
        <x:v>TRV-PEA-C-X3-18</x:v>
      </x:c>
      <x:c r="C304" s="7" t="str">
        <x:v>PEA-C-X3</x:v>
      </x:c>
      <x:c r="D304" s="7" t="str">
        <x:v>BLD-C</x:v>
      </x:c>
      <x:c r="E304" s="7" t="str">
        <x:v>BL-X</x:v>
      </x:c>
      <x:c r="F304" s="7" t="str">
        <x:v>CS-18</x:v>
      </x:c>
      <x:c r="G304" s="7" t="str">
        <x:v>causal time and evidence</x:v>
      </x:c>
      <x:c r="H304" s="7" t="str"/>
      <x:c r="I304" s="7" t="str"/>
      <x:c r="J304" s="7" t="str"/>
      <x:c r="K304" s="7" t="str"/>
      <x:c r="L304" s="7" t="str">
        <x:f>IF(K304="","OPEN",IF(OR(H304="",I304="",J304=""),"FAIL","PASS"))</x:f>
        <x:v>OPEN</x:v>
      </x:c>
    </x:row>
    <x:row r="305">
      <x:c r="B305" s="7" t="str">
        <x:v>TRV-PEA-C-X3-19</x:v>
      </x:c>
      <x:c r="C305" s="7" t="str">
        <x:v>PEA-C-X3</x:v>
      </x:c>
      <x:c r="D305" s="7" t="str">
        <x:v>BLD-C</x:v>
      </x:c>
      <x:c r="E305" s="7" t="str">
        <x:v>BL-X</x:v>
      </x:c>
      <x:c r="F305" s="7" t="str">
        <x:v>CS-19</x:v>
      </x:c>
      <x:c r="G305" s="7" t="str">
        <x:v>rescue and access</x:v>
      </x:c>
      <x:c r="H305" s="7" t="str"/>
      <x:c r="I305" s="7" t="str"/>
      <x:c r="J305" s="7" t="str"/>
      <x:c r="K305" s="7" t="str"/>
      <x:c r="L305" s="7" t="str">
        <x:f>IF(K305="","OPEN",IF(OR(H305="",I305="",J305=""),"FAIL","PASS"))</x:f>
        <x:v>OPEN</x:v>
      </x:c>
    </x:row>
    <x:row r="306">
      <x:c r="B306" s="7" t="str">
        <x:v>TRV-PEA-C-X3-20</x:v>
      </x:c>
      <x:c r="C306" s="7" t="str">
        <x:v>PEA-C-X3</x:v>
      </x:c>
      <x:c r="D306" s="7" t="str">
        <x:v>BLD-C</x:v>
      </x:c>
      <x:c r="E306" s="7" t="str">
        <x:v>BL-X</x:v>
      </x:c>
      <x:c r="F306" s="7" t="str">
        <x:v>CS-20</x:v>
      </x:c>
      <x:c r="G306" s="7" t="str">
        <x:v>environmental boundary</x:v>
      </x:c>
      <x:c r="H306" s="7" t="str"/>
      <x:c r="I306" s="7" t="str"/>
      <x:c r="J306" s="7" t="str"/>
      <x:c r="K306" s="7" t="str"/>
      <x:c r="L306" s="7" t="str">
        <x:f>IF(K306="","OPEN",IF(OR(H306="",I306="",J306=""),"FAIL","PASS"))</x:f>
        <x:v>OPEN</x:v>
      </x:c>
    </x:row>
    <x:row r="307">
      <x:c r="B307" s="7" t="str">
        <x:v>TRV-PEA-C-Y1-01</x:v>
      </x:c>
      <x:c r="C307" s="7" t="str">
        <x:v>PEA-C-Y1</x:v>
      </x:c>
      <x:c r="D307" s="7" t="str">
        <x:v>BLD-C</x:v>
      </x:c>
      <x:c r="E307" s="7" t="str">
        <x:v>BL-Y</x:v>
      </x:c>
      <x:c r="F307" s="7" t="str">
        <x:v>CS-01</x:v>
      </x:c>
      <x:c r="G307" s="7" t="str">
        <x:v>public datum</x:v>
      </x:c>
      <x:c r="H307" s="7" t="str"/>
      <x:c r="I307" s="7" t="str"/>
      <x:c r="J307" s="7" t="str"/>
      <x:c r="K307" s="7" t="str"/>
      <x:c r="L307" s="7" t="str">
        <x:f>IF(K307="","OPEN",IF(OR(H307="",I307="",J307=""),"FAIL","PASS"))</x:f>
        <x:v>OPEN</x:v>
      </x:c>
    </x:row>
    <x:row r="308">
      <x:c r="B308" s="7" t="str">
        <x:v>TRV-PEA-C-Y1-02</x:v>
      </x:c>
      <x:c r="C308" s="7" t="str">
        <x:v>PEA-C-Y1</x:v>
      </x:c>
      <x:c r="D308" s="7" t="str">
        <x:v>BLD-C</x:v>
      </x:c>
      <x:c r="E308" s="7" t="str">
        <x:v>BL-Y</x:v>
      </x:c>
      <x:c r="F308" s="7" t="str">
        <x:v>CS-02</x:v>
      </x:c>
      <x:c r="G308" s="7" t="str">
        <x:v>primary frame</x:v>
      </x:c>
      <x:c r="H308" s="7" t="str"/>
      <x:c r="I308" s="7" t="str"/>
      <x:c r="J308" s="7" t="str"/>
      <x:c r="K308" s="7" t="str"/>
      <x:c r="L308" s="7" t="str">
        <x:f>IF(K308="","OPEN",IF(OR(H308="",I308="",J308=""),"FAIL","PASS"))</x:f>
        <x:v>OPEN</x:v>
      </x:c>
    </x:row>
    <x:row r="309">
      <x:c r="B309" s="7" t="str">
        <x:v>TRV-PEA-C-Y1-03</x:v>
      </x:c>
      <x:c r="C309" s="7" t="str">
        <x:v>PEA-C-Y1</x:v>
      </x:c>
      <x:c r="D309" s="7" t="str">
        <x:v>BLD-C</x:v>
      </x:c>
      <x:c r="E309" s="7" t="str">
        <x:v>BL-Y</x:v>
      </x:c>
      <x:c r="F309" s="7" t="str">
        <x:v>CS-03</x:v>
      </x:c>
      <x:c r="G309" s="7" t="str">
        <x:v>source-surrogate vessel</x:v>
      </x:c>
      <x:c r="H309" s="7" t="str"/>
      <x:c r="I309" s="7" t="str"/>
      <x:c r="J309" s="7" t="str"/>
      <x:c r="K309" s="7" t="str"/>
      <x:c r="L309" s="7" t="str">
        <x:f>IF(K309="","OPEN",IF(OR(H309="",I309="",J309=""),"FAIL","PASS"))</x:f>
        <x:v>OPEN</x:v>
      </x:c>
    </x:row>
    <x:row r="310">
      <x:c r="B310" s="7" t="str">
        <x:v>TRV-PEA-C-Y1-04</x:v>
      </x:c>
      <x:c r="C310" s="7" t="str">
        <x:v>PEA-C-Y1</x:v>
      </x:c>
      <x:c r="D310" s="7" t="str">
        <x:v>BLD-C</x:v>
      </x:c>
      <x:c r="E310" s="7" t="str">
        <x:v>BL-Y</x:v>
      </x:c>
      <x:c r="F310" s="7" t="str">
        <x:v>CS-04</x:v>
      </x:c>
      <x:c r="G310" s="7" t="str">
        <x:v>capsule dock</x:v>
      </x:c>
      <x:c r="H310" s="7" t="str"/>
      <x:c r="I310" s="7" t="str"/>
      <x:c r="J310" s="7" t="str"/>
      <x:c r="K310" s="7" t="str"/>
      <x:c r="L310" s="7" t="str">
        <x:f>IF(K310="","OPEN",IF(OR(H310="",I310="",J310=""),"FAIL","PASS"))</x:f>
        <x:v>OPEN</x:v>
      </x:c>
    </x:row>
    <x:row r="311">
      <x:c r="B311" s="7" t="str">
        <x:v>TRV-PEA-C-Y1-05</x:v>
      </x:c>
      <x:c r="C311" s="7" t="str">
        <x:v>PEA-C-Y1</x:v>
      </x:c>
      <x:c r="D311" s="7" t="str">
        <x:v>BLD-C</x:v>
      </x:c>
      <x:c r="E311" s="7" t="str">
        <x:v>BL-Y</x:v>
      </x:c>
      <x:c r="F311" s="7" t="str">
        <x:v>CS-05</x:v>
      </x:c>
      <x:c r="G311" s="7" t="str">
        <x:v>40 mm insert</x:v>
      </x:c>
      <x:c r="H311" s="7" t="str"/>
      <x:c r="I311" s="7" t="str"/>
      <x:c r="J311" s="7" t="str"/>
      <x:c r="K311" s="7" t="str"/>
      <x:c r="L311" s="7" t="str">
        <x:f>IF(K311="","OPEN",IF(OR(H311="",I311="",J311=""),"FAIL","PASS"))</x:f>
        <x:v>OPEN</x:v>
      </x:c>
    </x:row>
    <x:row r="312">
      <x:c r="B312" s="7" t="str">
        <x:v>TRV-PEA-C-Y1-06</x:v>
      </x:c>
      <x:c r="C312" s="7" t="str">
        <x:v>PEA-C-Y1</x:v>
      </x:c>
      <x:c r="D312" s="7" t="str">
        <x:v>BLD-C</x:v>
      </x:c>
      <x:c r="E312" s="7" t="str">
        <x:v>BL-Y</x:v>
      </x:c>
      <x:c r="F312" s="7" t="str">
        <x:v>CS-06</x:v>
      </x:c>
      <x:c r="G312" s="7" t="str">
        <x:v>dispenser</x:v>
      </x:c>
      <x:c r="H312" s="7" t="str"/>
      <x:c r="I312" s="7" t="str"/>
      <x:c r="J312" s="7" t="str"/>
      <x:c r="K312" s="7" t="str"/>
      <x:c r="L312" s="7" t="str">
        <x:f>IF(K312="","OPEN",IF(OR(H312="",I312="",J312=""),"FAIL","PASS"))</x:f>
        <x:v>OPEN</x:v>
      </x:c>
    </x:row>
    <x:row r="313">
      <x:c r="B313" s="7" t="str">
        <x:v>TRV-PEA-C-Y1-07</x:v>
      </x:c>
      <x:c r="C313" s="7" t="str">
        <x:v>PEA-C-Y1</x:v>
      </x:c>
      <x:c r="D313" s="7" t="str">
        <x:v>BLD-C</x:v>
      </x:c>
      <x:c r="E313" s="7" t="str">
        <x:v>BL-Y</x:v>
      </x:c>
      <x:c r="F313" s="7" t="str">
        <x:v>CS-07</x:v>
      </x:c>
      <x:c r="G313" s="7" t="str">
        <x:v>inner pan</x:v>
      </x:c>
      <x:c r="H313" s="7" t="str"/>
      <x:c r="I313" s="7" t="str"/>
      <x:c r="J313" s="7" t="str"/>
      <x:c r="K313" s="7" t="str"/>
      <x:c r="L313" s="7" t="str">
        <x:f>IF(K313="","OPEN",IF(OR(H313="",I313="",J313=""),"FAIL","PASS"))</x:f>
        <x:v>OPEN</x:v>
      </x:c>
    </x:row>
    <x:row r="314">
      <x:c r="B314" s="7" t="str">
        <x:v>TRV-PEA-C-Y1-08</x:v>
      </x:c>
      <x:c r="C314" s="7" t="str">
        <x:v>PEA-C-Y1</x:v>
      </x:c>
      <x:c r="D314" s="7" t="str">
        <x:v>BLD-C</x:v>
      </x:c>
      <x:c r="E314" s="7" t="str">
        <x:v>BL-Y</x:v>
      </x:c>
      <x:c r="F314" s="7" t="str">
        <x:v>CS-08</x:v>
      </x:c>
      <x:c r="G314" s="7" t="str">
        <x:v>normal source route</x:v>
      </x:c>
      <x:c r="H314" s="7" t="str"/>
      <x:c r="I314" s="7" t="str"/>
      <x:c r="J314" s="7" t="str"/>
      <x:c r="K314" s="7" t="str"/>
      <x:c r="L314" s="7" t="str">
        <x:f>IF(K314="","OPEN",IF(OR(H314="",I314="",J314=""),"FAIL","PASS"))</x:f>
        <x:v>OPEN</x:v>
      </x:c>
    </x:row>
    <x:row r="315">
      <x:c r="B315" s="7" t="str">
        <x:v>TRV-PEA-C-Y1-09</x:v>
      </x:c>
      <x:c r="C315" s="7" t="str">
        <x:v>PEA-C-Y1</x:v>
      </x:c>
      <x:c r="D315" s="7" t="str">
        <x:v>BLD-C</x:v>
      </x:c>
      <x:c r="E315" s="7" t="str">
        <x:v>BL-Y</x:v>
      </x:c>
      <x:c r="F315" s="7" t="str">
        <x:v>CS-09</x:v>
      </x:c>
      <x:c r="G315" s="7" t="str">
        <x:v>casualty source route</x:v>
      </x:c>
      <x:c r="H315" s="7" t="str"/>
      <x:c r="I315" s="7" t="str"/>
      <x:c r="J315" s="7" t="str"/>
      <x:c r="K315" s="7" t="str"/>
      <x:c r="L315" s="7" t="str">
        <x:f>IF(K315="","OPEN",IF(OR(H315="",I315="",J315=""),"FAIL","PASS"))</x:f>
        <x:v>OPEN</x:v>
      </x:c>
    </x:row>
    <x:row r="316">
      <x:c r="B316" s="7" t="str">
        <x:v>TRV-PEA-C-Y1-10</x:v>
      </x:c>
      <x:c r="C316" s="7" t="str">
        <x:v>PEA-C-Y1</x:v>
      </x:c>
      <x:c r="D316" s="7" t="str">
        <x:v>BLD-C</x:v>
      </x:c>
      <x:c r="E316" s="7" t="str">
        <x:v>BL-Y</x:v>
      </x:c>
      <x:c r="F316" s="7" t="str">
        <x:v>CS-10</x:v>
      </x:c>
      <x:c r="G316" s="7" t="str">
        <x:v>normal source receiver</x:v>
      </x:c>
      <x:c r="H316" s="7" t="str"/>
      <x:c r="I316" s="7" t="str"/>
      <x:c r="J316" s="7" t="str"/>
      <x:c r="K316" s="7" t="str"/>
      <x:c r="L316" s="7" t="str">
        <x:f>IF(K316="","OPEN",IF(OR(H316="",I316="",J316=""),"FAIL","PASS"))</x:f>
        <x:v>OPEN</x:v>
      </x:c>
    </x:row>
    <x:row r="317">
      <x:c r="B317" s="7" t="str">
        <x:v>TRV-PEA-C-Y1-11</x:v>
      </x:c>
      <x:c r="C317" s="7" t="str">
        <x:v>PEA-C-Y1</x:v>
      </x:c>
      <x:c r="D317" s="7" t="str">
        <x:v>BLD-C</x:v>
      </x:c>
      <x:c r="E317" s="7" t="str">
        <x:v>BL-Y</x:v>
      </x:c>
      <x:c r="F317" s="7" t="str">
        <x:v>CS-11</x:v>
      </x:c>
      <x:c r="G317" s="7" t="str">
        <x:v>casualty source interface</x:v>
      </x:c>
      <x:c r="H317" s="7" t="str"/>
      <x:c r="I317" s="7" t="str"/>
      <x:c r="J317" s="7" t="str"/>
      <x:c r="K317" s="7" t="str"/>
      <x:c r="L317" s="7" t="str">
        <x:f>IF(K317="","OPEN",IF(OR(H317="",I317="",J317=""),"FAIL","PASS"))</x:f>
        <x:v>OPEN</x:v>
      </x:c>
    </x:row>
    <x:row r="318">
      <x:c r="B318" s="7" t="str">
        <x:v>TRV-PEA-C-Y1-12</x:v>
      </x:c>
      <x:c r="C318" s="7" t="str">
        <x:v>PEA-C-Y1</x:v>
      </x:c>
      <x:c r="D318" s="7" t="str">
        <x:v>BLD-C</x:v>
      </x:c>
      <x:c r="E318" s="7" t="str">
        <x:v>BL-Y</x:v>
      </x:c>
      <x:c r="F318" s="7" t="str">
        <x:v>CS-12</x:v>
      </x:c>
      <x:c r="G318" s="7" t="str">
        <x:v>candidate-water isolation</x:v>
      </x:c>
      <x:c r="H318" s="7" t="str"/>
      <x:c r="I318" s="7" t="str"/>
      <x:c r="J318" s="7" t="str"/>
      <x:c r="K318" s="7" t="str"/>
      <x:c r="L318" s="7" t="str">
        <x:f>IF(K318="","OPEN",IF(OR(H318="",I318="",J318=""),"FAIL","PASS"))</x:f>
        <x:v>OPEN</x:v>
      </x:c>
    </x:row>
    <x:row r="319">
      <x:c r="B319" s="7" t="str">
        <x:v>TRV-PEA-C-Y1-13</x:v>
      </x:c>
      <x:c r="C319" s="7" t="str">
        <x:v>PEA-C-Y1</x:v>
      </x:c>
      <x:c r="D319" s="7" t="str">
        <x:v>BLD-C</x:v>
      </x:c>
      <x:c r="E319" s="7" t="str">
        <x:v>BL-Y</x:v>
      </x:c>
      <x:c r="F319" s="7" t="str">
        <x:v>CS-13</x:v>
      </x:c>
      <x:c r="G319" s="7" t="str">
        <x:v>public-water isolation</x:v>
      </x:c>
      <x:c r="H319" s="7" t="str"/>
      <x:c r="I319" s="7" t="str"/>
      <x:c r="J319" s="7" t="str"/>
      <x:c r="K319" s="7" t="str"/>
      <x:c r="L319" s="7" t="str">
        <x:f>IF(K319="","OPEN",IF(OR(H319="",I319="",J319=""),"FAIL","PASS"))</x:f>
        <x:v>OPEN</x:v>
      </x:c>
    </x:row>
    <x:row r="320">
      <x:c r="B320" s="7" t="str">
        <x:v>TRV-PEA-C-Y1-14</x:v>
      </x:c>
      <x:c r="C320" s="7" t="str">
        <x:v>PEA-C-Y1</x:v>
      </x:c>
      <x:c r="D320" s="7" t="str">
        <x:v>BLD-C</x:v>
      </x:c>
      <x:c r="E320" s="7" t="str">
        <x:v>BL-Y</x:v>
      </x:c>
      <x:c r="F320" s="7" t="str">
        <x:v>CS-14</x:v>
      </x:c>
      <x:c r="G320" s="7" t="str">
        <x:v>casualty-water interface</x:v>
      </x:c>
      <x:c r="H320" s="7" t="str"/>
      <x:c r="I320" s="7" t="str"/>
      <x:c r="J320" s="7" t="str"/>
      <x:c r="K320" s="7" t="str"/>
      <x:c r="L320" s="7" t="str">
        <x:f>IF(K320="","OPEN",IF(OR(H320="",I320="",J320=""),"FAIL","PASS"))</x:f>
        <x:v>OPEN</x:v>
      </x:c>
    </x:row>
    <x:row r="321">
      <x:c r="B321" s="7" t="str">
        <x:v>TRV-PEA-C-Y1-15</x:v>
      </x:c>
      <x:c r="C321" s="7" t="str">
        <x:v>PEA-C-Y1</x:v>
      </x:c>
      <x:c r="D321" s="7" t="str">
        <x:v>BLD-C</x:v>
      </x:c>
      <x:c r="E321" s="7" t="str">
        <x:v>BL-Y</x:v>
      </x:c>
      <x:c r="F321" s="7" t="str">
        <x:v>CS-15</x:v>
      </x:c>
      <x:c r="G321" s="7" t="str">
        <x:v>final control assembly</x:v>
      </x:c>
      <x:c r="H321" s="7" t="str"/>
      <x:c r="I321" s="7" t="str"/>
      <x:c r="J321" s="7" t="str"/>
      <x:c r="K321" s="7" t="str"/>
      <x:c r="L321" s="7" t="str">
        <x:f>IF(K321="","OPEN",IF(OR(H321="",I321="",J321=""),"FAIL","PASS"))</x:f>
        <x:v>OPEN</x:v>
      </x:c>
    </x:row>
    <x:row r="322">
      <x:c r="B322" s="7" t="str">
        <x:v>TRV-PEA-C-Y1-16</x:v>
      </x:c>
      <x:c r="C322" s="7" t="str">
        <x:v>PEA-C-Y1</x:v>
      </x:c>
      <x:c r="D322" s="7" t="str">
        <x:v>BLD-C</x:v>
      </x:c>
      <x:c r="E322" s="7" t="str">
        <x:v>BL-Y</x:v>
      </x:c>
      <x:c r="F322" s="7" t="str">
        <x:v>CS-16</x:v>
      </x:c>
      <x:c r="G322" s="7" t="str">
        <x:v>independent safety energy</x:v>
      </x:c>
      <x:c r="H322" s="7" t="str"/>
      <x:c r="I322" s="7" t="str"/>
      <x:c r="J322" s="7" t="str"/>
      <x:c r="K322" s="7" t="str"/>
      <x:c r="L322" s="7" t="str">
        <x:f>IF(K322="","OPEN",IF(OR(H322="",I322="",J322=""),"FAIL","PASS"))</x:f>
        <x:v>OPEN</x:v>
      </x:c>
    </x:row>
    <x:row r="323">
      <x:c r="B323" s="7" t="str">
        <x:v>TRV-PEA-C-Y1-17</x:v>
      </x:c>
      <x:c r="C323" s="7" t="str">
        <x:v>PEA-C-Y1</x:v>
      </x:c>
      <x:c r="D323" s="7" t="str">
        <x:v>BLD-C</x:v>
      </x:c>
      <x:c r="E323" s="7" t="str">
        <x:v>BL-Y</x:v>
      </x:c>
      <x:c r="F323" s="7" t="str">
        <x:v>CS-17</x:v>
      </x:c>
      <x:c r="G323" s="7" t="str">
        <x:v>measurement frame</x:v>
      </x:c>
      <x:c r="H323" s="7" t="str"/>
      <x:c r="I323" s="7" t="str"/>
      <x:c r="J323" s="7" t="str"/>
      <x:c r="K323" s="7" t="str"/>
      <x:c r="L323" s="7" t="str">
        <x:f>IF(K323="","OPEN",IF(OR(H323="",I323="",J323=""),"FAIL","PASS"))</x:f>
        <x:v>OPEN</x:v>
      </x:c>
    </x:row>
    <x:row r="324">
      <x:c r="B324" s="7" t="str">
        <x:v>TRV-PEA-C-Y1-18</x:v>
      </x:c>
      <x:c r="C324" s="7" t="str">
        <x:v>PEA-C-Y1</x:v>
      </x:c>
      <x:c r="D324" s="7" t="str">
        <x:v>BLD-C</x:v>
      </x:c>
      <x:c r="E324" s="7" t="str">
        <x:v>BL-Y</x:v>
      </x:c>
      <x:c r="F324" s="7" t="str">
        <x:v>CS-18</x:v>
      </x:c>
      <x:c r="G324" s="7" t="str">
        <x:v>causal time and evidence</x:v>
      </x:c>
      <x:c r="H324" s="7" t="str"/>
      <x:c r="I324" s="7" t="str"/>
      <x:c r="J324" s="7" t="str"/>
      <x:c r="K324" s="7" t="str"/>
      <x:c r="L324" s="7" t="str">
        <x:f>IF(K324="","OPEN",IF(OR(H324="",I324="",J324=""),"FAIL","PASS"))</x:f>
        <x:v>OPEN</x:v>
      </x:c>
    </x:row>
    <x:row r="325">
      <x:c r="B325" s="7" t="str">
        <x:v>TRV-PEA-C-Y1-19</x:v>
      </x:c>
      <x:c r="C325" s="7" t="str">
        <x:v>PEA-C-Y1</x:v>
      </x:c>
      <x:c r="D325" s="7" t="str">
        <x:v>BLD-C</x:v>
      </x:c>
      <x:c r="E325" s="7" t="str">
        <x:v>BL-Y</x:v>
      </x:c>
      <x:c r="F325" s="7" t="str">
        <x:v>CS-19</x:v>
      </x:c>
      <x:c r="G325" s="7" t="str">
        <x:v>rescue and access</x:v>
      </x:c>
      <x:c r="H325" s="7" t="str"/>
      <x:c r="I325" s="7" t="str"/>
      <x:c r="J325" s="7" t="str"/>
      <x:c r="K325" s="7" t="str"/>
      <x:c r="L325" s="7" t="str">
        <x:f>IF(K325="","OPEN",IF(OR(H325="",I325="",J325=""),"FAIL","PASS"))</x:f>
        <x:v>OPEN</x:v>
      </x:c>
    </x:row>
    <x:row r="326">
      <x:c r="B326" s="7" t="str">
        <x:v>TRV-PEA-C-Y1-20</x:v>
      </x:c>
      <x:c r="C326" s="7" t="str">
        <x:v>PEA-C-Y1</x:v>
      </x:c>
      <x:c r="D326" s="7" t="str">
        <x:v>BLD-C</x:v>
      </x:c>
      <x:c r="E326" s="7" t="str">
        <x:v>BL-Y</x:v>
      </x:c>
      <x:c r="F326" s="7" t="str">
        <x:v>CS-20</x:v>
      </x:c>
      <x:c r="G326" s="7" t="str">
        <x:v>environmental boundary</x:v>
      </x:c>
      <x:c r="H326" s="7" t="str"/>
      <x:c r="I326" s="7" t="str"/>
      <x:c r="J326" s="7" t="str"/>
      <x:c r="K326" s="7" t="str"/>
      <x:c r="L326" s="7" t="str">
        <x:f>IF(K326="","OPEN",IF(OR(H326="",I326="",J326=""),"FAIL","PASS"))</x:f>
        <x:v>OPEN</x:v>
      </x:c>
    </x:row>
    <x:row r="327">
      <x:c r="B327" s="7" t="str">
        <x:v>TRV-PEA-C-Y2-01</x:v>
      </x:c>
      <x:c r="C327" s="7" t="str">
        <x:v>PEA-C-Y2</x:v>
      </x:c>
      <x:c r="D327" s="7" t="str">
        <x:v>BLD-C</x:v>
      </x:c>
      <x:c r="E327" s="7" t="str">
        <x:v>BL-Y</x:v>
      </x:c>
      <x:c r="F327" s="7" t="str">
        <x:v>CS-01</x:v>
      </x:c>
      <x:c r="G327" s="7" t="str">
        <x:v>public datum</x:v>
      </x:c>
      <x:c r="H327" s="7" t="str"/>
      <x:c r="I327" s="7" t="str"/>
      <x:c r="J327" s="7" t="str"/>
      <x:c r="K327" s="7" t="str"/>
      <x:c r="L327" s="7" t="str">
        <x:f>IF(K327="","OPEN",IF(OR(H327="",I327="",J327=""),"FAIL","PASS"))</x:f>
        <x:v>OPEN</x:v>
      </x:c>
    </x:row>
    <x:row r="328">
      <x:c r="B328" s="7" t="str">
        <x:v>TRV-PEA-C-Y2-02</x:v>
      </x:c>
      <x:c r="C328" s="7" t="str">
        <x:v>PEA-C-Y2</x:v>
      </x:c>
      <x:c r="D328" s="7" t="str">
        <x:v>BLD-C</x:v>
      </x:c>
      <x:c r="E328" s="7" t="str">
        <x:v>BL-Y</x:v>
      </x:c>
      <x:c r="F328" s="7" t="str">
        <x:v>CS-02</x:v>
      </x:c>
      <x:c r="G328" s="7" t="str">
        <x:v>primary frame</x:v>
      </x:c>
      <x:c r="H328" s="7" t="str"/>
      <x:c r="I328" s="7" t="str"/>
      <x:c r="J328" s="7" t="str"/>
      <x:c r="K328" s="7" t="str"/>
      <x:c r="L328" s="7" t="str">
        <x:f>IF(K328="","OPEN",IF(OR(H328="",I328="",J328=""),"FAIL","PASS"))</x:f>
        <x:v>OPEN</x:v>
      </x:c>
    </x:row>
    <x:row r="329">
      <x:c r="B329" s="7" t="str">
        <x:v>TRV-PEA-C-Y2-03</x:v>
      </x:c>
      <x:c r="C329" s="7" t="str">
        <x:v>PEA-C-Y2</x:v>
      </x:c>
      <x:c r="D329" s="7" t="str">
        <x:v>BLD-C</x:v>
      </x:c>
      <x:c r="E329" s="7" t="str">
        <x:v>BL-Y</x:v>
      </x:c>
      <x:c r="F329" s="7" t="str">
        <x:v>CS-03</x:v>
      </x:c>
      <x:c r="G329" s="7" t="str">
        <x:v>source-surrogate vessel</x:v>
      </x:c>
      <x:c r="H329" s="7" t="str"/>
      <x:c r="I329" s="7" t="str"/>
      <x:c r="J329" s="7" t="str"/>
      <x:c r="K329" s="7" t="str"/>
      <x:c r="L329" s="7" t="str">
        <x:f>IF(K329="","OPEN",IF(OR(H329="",I329="",J329=""),"FAIL","PASS"))</x:f>
        <x:v>OPEN</x:v>
      </x:c>
    </x:row>
    <x:row r="330">
      <x:c r="B330" s="7" t="str">
        <x:v>TRV-PEA-C-Y2-04</x:v>
      </x:c>
      <x:c r="C330" s="7" t="str">
        <x:v>PEA-C-Y2</x:v>
      </x:c>
      <x:c r="D330" s="7" t="str">
        <x:v>BLD-C</x:v>
      </x:c>
      <x:c r="E330" s="7" t="str">
        <x:v>BL-Y</x:v>
      </x:c>
      <x:c r="F330" s="7" t="str">
        <x:v>CS-04</x:v>
      </x:c>
      <x:c r="G330" s="7" t="str">
        <x:v>capsule dock</x:v>
      </x:c>
      <x:c r="H330" s="7" t="str"/>
      <x:c r="I330" s="7" t="str"/>
      <x:c r="J330" s="7" t="str"/>
      <x:c r="K330" s="7" t="str"/>
      <x:c r="L330" s="7" t="str">
        <x:f>IF(K330="","OPEN",IF(OR(H330="",I330="",J330=""),"FAIL","PASS"))</x:f>
        <x:v>OPEN</x:v>
      </x:c>
    </x:row>
    <x:row r="331">
      <x:c r="B331" s="7" t="str">
        <x:v>TRV-PEA-C-Y2-05</x:v>
      </x:c>
      <x:c r="C331" s="7" t="str">
        <x:v>PEA-C-Y2</x:v>
      </x:c>
      <x:c r="D331" s="7" t="str">
        <x:v>BLD-C</x:v>
      </x:c>
      <x:c r="E331" s="7" t="str">
        <x:v>BL-Y</x:v>
      </x:c>
      <x:c r="F331" s="7" t="str">
        <x:v>CS-05</x:v>
      </x:c>
      <x:c r="G331" s="7" t="str">
        <x:v>40 mm insert</x:v>
      </x:c>
      <x:c r="H331" s="7" t="str"/>
      <x:c r="I331" s="7" t="str"/>
      <x:c r="J331" s="7" t="str"/>
      <x:c r="K331" s="7" t="str"/>
      <x:c r="L331" s="7" t="str">
        <x:f>IF(K331="","OPEN",IF(OR(H331="",I331="",J331=""),"FAIL","PASS"))</x:f>
        <x:v>OPEN</x:v>
      </x:c>
    </x:row>
    <x:row r="332">
      <x:c r="B332" s="7" t="str">
        <x:v>TRV-PEA-C-Y2-06</x:v>
      </x:c>
      <x:c r="C332" s="7" t="str">
        <x:v>PEA-C-Y2</x:v>
      </x:c>
      <x:c r="D332" s="7" t="str">
        <x:v>BLD-C</x:v>
      </x:c>
      <x:c r="E332" s="7" t="str">
        <x:v>BL-Y</x:v>
      </x:c>
      <x:c r="F332" s="7" t="str">
        <x:v>CS-06</x:v>
      </x:c>
      <x:c r="G332" s="7" t="str">
        <x:v>dispenser</x:v>
      </x:c>
      <x:c r="H332" s="7" t="str"/>
      <x:c r="I332" s="7" t="str"/>
      <x:c r="J332" s="7" t="str"/>
      <x:c r="K332" s="7" t="str"/>
      <x:c r="L332" s="7" t="str">
        <x:f>IF(K332="","OPEN",IF(OR(H332="",I332="",J332=""),"FAIL","PASS"))</x:f>
        <x:v>OPEN</x:v>
      </x:c>
    </x:row>
    <x:row r="333">
      <x:c r="B333" s="7" t="str">
        <x:v>TRV-PEA-C-Y2-07</x:v>
      </x:c>
      <x:c r="C333" s="7" t="str">
        <x:v>PEA-C-Y2</x:v>
      </x:c>
      <x:c r="D333" s="7" t="str">
        <x:v>BLD-C</x:v>
      </x:c>
      <x:c r="E333" s="7" t="str">
        <x:v>BL-Y</x:v>
      </x:c>
      <x:c r="F333" s="7" t="str">
        <x:v>CS-07</x:v>
      </x:c>
      <x:c r="G333" s="7" t="str">
        <x:v>inner pan</x:v>
      </x:c>
      <x:c r="H333" s="7" t="str"/>
      <x:c r="I333" s="7" t="str"/>
      <x:c r="J333" s="7" t="str"/>
      <x:c r="K333" s="7" t="str"/>
      <x:c r="L333" s="7" t="str">
        <x:f>IF(K333="","OPEN",IF(OR(H333="",I333="",J333=""),"FAIL","PASS"))</x:f>
        <x:v>OPEN</x:v>
      </x:c>
    </x:row>
    <x:row r="334">
      <x:c r="B334" s="7" t="str">
        <x:v>TRV-PEA-C-Y2-08</x:v>
      </x:c>
      <x:c r="C334" s="7" t="str">
        <x:v>PEA-C-Y2</x:v>
      </x:c>
      <x:c r="D334" s="7" t="str">
        <x:v>BLD-C</x:v>
      </x:c>
      <x:c r="E334" s="7" t="str">
        <x:v>BL-Y</x:v>
      </x:c>
      <x:c r="F334" s="7" t="str">
        <x:v>CS-08</x:v>
      </x:c>
      <x:c r="G334" s="7" t="str">
        <x:v>normal source route</x:v>
      </x:c>
      <x:c r="H334" s="7" t="str"/>
      <x:c r="I334" s="7" t="str"/>
      <x:c r="J334" s="7" t="str"/>
      <x:c r="K334" s="7" t="str"/>
      <x:c r="L334" s="7" t="str">
        <x:f>IF(K334="","OPEN",IF(OR(H334="",I334="",J334=""),"FAIL","PASS"))</x:f>
        <x:v>OPEN</x:v>
      </x:c>
    </x:row>
    <x:row r="335">
      <x:c r="B335" s="7" t="str">
        <x:v>TRV-PEA-C-Y2-09</x:v>
      </x:c>
      <x:c r="C335" s="7" t="str">
        <x:v>PEA-C-Y2</x:v>
      </x:c>
      <x:c r="D335" s="7" t="str">
        <x:v>BLD-C</x:v>
      </x:c>
      <x:c r="E335" s="7" t="str">
        <x:v>BL-Y</x:v>
      </x:c>
      <x:c r="F335" s="7" t="str">
        <x:v>CS-09</x:v>
      </x:c>
      <x:c r="G335" s="7" t="str">
        <x:v>casualty source route</x:v>
      </x:c>
      <x:c r="H335" s="7" t="str"/>
      <x:c r="I335" s="7" t="str"/>
      <x:c r="J335" s="7" t="str"/>
      <x:c r="K335" s="7" t="str"/>
      <x:c r="L335" s="7" t="str">
        <x:f>IF(K335="","OPEN",IF(OR(H335="",I335="",J335=""),"FAIL","PASS"))</x:f>
        <x:v>OPEN</x:v>
      </x:c>
    </x:row>
    <x:row r="336">
      <x:c r="B336" s="7" t="str">
        <x:v>TRV-PEA-C-Y2-10</x:v>
      </x:c>
      <x:c r="C336" s="7" t="str">
        <x:v>PEA-C-Y2</x:v>
      </x:c>
      <x:c r="D336" s="7" t="str">
        <x:v>BLD-C</x:v>
      </x:c>
      <x:c r="E336" s="7" t="str">
        <x:v>BL-Y</x:v>
      </x:c>
      <x:c r="F336" s="7" t="str">
        <x:v>CS-10</x:v>
      </x:c>
      <x:c r="G336" s="7" t="str">
        <x:v>normal source receiver</x:v>
      </x:c>
      <x:c r="H336" s="7" t="str"/>
      <x:c r="I336" s="7" t="str"/>
      <x:c r="J336" s="7" t="str"/>
      <x:c r="K336" s="7" t="str"/>
      <x:c r="L336" s="7" t="str">
        <x:f>IF(K336="","OPEN",IF(OR(H336="",I336="",J336=""),"FAIL","PASS"))</x:f>
        <x:v>OPEN</x:v>
      </x:c>
    </x:row>
    <x:row r="337">
      <x:c r="B337" s="7" t="str">
        <x:v>TRV-PEA-C-Y2-11</x:v>
      </x:c>
      <x:c r="C337" s="7" t="str">
        <x:v>PEA-C-Y2</x:v>
      </x:c>
      <x:c r="D337" s="7" t="str">
        <x:v>BLD-C</x:v>
      </x:c>
      <x:c r="E337" s="7" t="str">
        <x:v>BL-Y</x:v>
      </x:c>
      <x:c r="F337" s="7" t="str">
        <x:v>CS-11</x:v>
      </x:c>
      <x:c r="G337" s="7" t="str">
        <x:v>casualty source interface</x:v>
      </x:c>
      <x:c r="H337" s="7" t="str"/>
      <x:c r="I337" s="7" t="str"/>
      <x:c r="J337" s="7" t="str"/>
      <x:c r="K337" s="7" t="str"/>
      <x:c r="L337" s="7" t="str">
        <x:f>IF(K337="","OPEN",IF(OR(H337="",I337="",J337=""),"FAIL","PASS"))</x:f>
        <x:v>OPEN</x:v>
      </x:c>
    </x:row>
    <x:row r="338">
      <x:c r="B338" s="7" t="str">
        <x:v>TRV-PEA-C-Y2-12</x:v>
      </x:c>
      <x:c r="C338" s="7" t="str">
        <x:v>PEA-C-Y2</x:v>
      </x:c>
      <x:c r="D338" s="7" t="str">
        <x:v>BLD-C</x:v>
      </x:c>
      <x:c r="E338" s="7" t="str">
        <x:v>BL-Y</x:v>
      </x:c>
      <x:c r="F338" s="7" t="str">
        <x:v>CS-12</x:v>
      </x:c>
      <x:c r="G338" s="7" t="str">
        <x:v>candidate-water isolation</x:v>
      </x:c>
      <x:c r="H338" s="7" t="str"/>
      <x:c r="I338" s="7" t="str"/>
      <x:c r="J338" s="7" t="str"/>
      <x:c r="K338" s="7" t="str"/>
      <x:c r="L338" s="7" t="str">
        <x:f>IF(K338="","OPEN",IF(OR(H338="",I338="",J338=""),"FAIL","PASS"))</x:f>
        <x:v>OPEN</x:v>
      </x:c>
    </x:row>
    <x:row r="339">
      <x:c r="B339" s="7" t="str">
        <x:v>TRV-PEA-C-Y2-13</x:v>
      </x:c>
      <x:c r="C339" s="7" t="str">
        <x:v>PEA-C-Y2</x:v>
      </x:c>
      <x:c r="D339" s="7" t="str">
        <x:v>BLD-C</x:v>
      </x:c>
      <x:c r="E339" s="7" t="str">
        <x:v>BL-Y</x:v>
      </x:c>
      <x:c r="F339" s="7" t="str">
        <x:v>CS-13</x:v>
      </x:c>
      <x:c r="G339" s="7" t="str">
        <x:v>public-water isolation</x:v>
      </x:c>
      <x:c r="H339" s="7" t="str"/>
      <x:c r="I339" s="7" t="str"/>
      <x:c r="J339" s="7" t="str"/>
      <x:c r="K339" s="7" t="str"/>
      <x:c r="L339" s="7" t="str">
        <x:f>IF(K339="","OPEN",IF(OR(H339="",I339="",J339=""),"FAIL","PASS"))</x:f>
        <x:v>OPEN</x:v>
      </x:c>
    </x:row>
    <x:row r="340">
      <x:c r="B340" s="7" t="str">
        <x:v>TRV-PEA-C-Y2-14</x:v>
      </x:c>
      <x:c r="C340" s="7" t="str">
        <x:v>PEA-C-Y2</x:v>
      </x:c>
      <x:c r="D340" s="7" t="str">
        <x:v>BLD-C</x:v>
      </x:c>
      <x:c r="E340" s="7" t="str">
        <x:v>BL-Y</x:v>
      </x:c>
      <x:c r="F340" s="7" t="str">
        <x:v>CS-14</x:v>
      </x:c>
      <x:c r="G340" s="7" t="str">
        <x:v>casualty-water interface</x:v>
      </x:c>
      <x:c r="H340" s="7" t="str"/>
      <x:c r="I340" s="7" t="str"/>
      <x:c r="J340" s="7" t="str"/>
      <x:c r="K340" s="7" t="str"/>
      <x:c r="L340" s="7" t="str">
        <x:f>IF(K340="","OPEN",IF(OR(H340="",I340="",J340=""),"FAIL","PASS"))</x:f>
        <x:v>OPEN</x:v>
      </x:c>
    </x:row>
    <x:row r="341">
      <x:c r="B341" s="7" t="str">
        <x:v>TRV-PEA-C-Y2-15</x:v>
      </x:c>
      <x:c r="C341" s="7" t="str">
        <x:v>PEA-C-Y2</x:v>
      </x:c>
      <x:c r="D341" s="7" t="str">
        <x:v>BLD-C</x:v>
      </x:c>
      <x:c r="E341" s="7" t="str">
        <x:v>BL-Y</x:v>
      </x:c>
      <x:c r="F341" s="7" t="str">
        <x:v>CS-15</x:v>
      </x:c>
      <x:c r="G341" s="7" t="str">
        <x:v>final control assembly</x:v>
      </x:c>
      <x:c r="H341" s="7" t="str"/>
      <x:c r="I341" s="7" t="str"/>
      <x:c r="J341" s="7" t="str"/>
      <x:c r="K341" s="7" t="str"/>
      <x:c r="L341" s="7" t="str">
        <x:f>IF(K341="","OPEN",IF(OR(H341="",I341="",J341=""),"FAIL","PASS"))</x:f>
        <x:v>OPEN</x:v>
      </x:c>
    </x:row>
    <x:row r="342">
      <x:c r="B342" s="7" t="str">
        <x:v>TRV-PEA-C-Y2-16</x:v>
      </x:c>
      <x:c r="C342" s="7" t="str">
        <x:v>PEA-C-Y2</x:v>
      </x:c>
      <x:c r="D342" s="7" t="str">
        <x:v>BLD-C</x:v>
      </x:c>
      <x:c r="E342" s="7" t="str">
        <x:v>BL-Y</x:v>
      </x:c>
      <x:c r="F342" s="7" t="str">
        <x:v>CS-16</x:v>
      </x:c>
      <x:c r="G342" s="7" t="str">
        <x:v>independent safety energy</x:v>
      </x:c>
      <x:c r="H342" s="7" t="str"/>
      <x:c r="I342" s="7" t="str"/>
      <x:c r="J342" s="7" t="str"/>
      <x:c r="K342" s="7" t="str"/>
      <x:c r="L342" s="7" t="str">
        <x:f>IF(K342="","OPEN",IF(OR(H342="",I342="",J342=""),"FAIL","PASS"))</x:f>
        <x:v>OPEN</x:v>
      </x:c>
    </x:row>
    <x:row r="343">
      <x:c r="B343" s="7" t="str">
        <x:v>TRV-PEA-C-Y2-17</x:v>
      </x:c>
      <x:c r="C343" s="7" t="str">
        <x:v>PEA-C-Y2</x:v>
      </x:c>
      <x:c r="D343" s="7" t="str">
        <x:v>BLD-C</x:v>
      </x:c>
      <x:c r="E343" s="7" t="str">
        <x:v>BL-Y</x:v>
      </x:c>
      <x:c r="F343" s="7" t="str">
        <x:v>CS-17</x:v>
      </x:c>
      <x:c r="G343" s="7" t="str">
        <x:v>measurement frame</x:v>
      </x:c>
      <x:c r="H343" s="7" t="str"/>
      <x:c r="I343" s="7" t="str"/>
      <x:c r="J343" s="7" t="str"/>
      <x:c r="K343" s="7" t="str"/>
      <x:c r="L343" s="7" t="str">
        <x:f>IF(K343="","OPEN",IF(OR(H343="",I343="",J343=""),"FAIL","PASS"))</x:f>
        <x:v>OPEN</x:v>
      </x:c>
    </x:row>
    <x:row r="344">
      <x:c r="B344" s="7" t="str">
        <x:v>TRV-PEA-C-Y2-18</x:v>
      </x:c>
      <x:c r="C344" s="7" t="str">
        <x:v>PEA-C-Y2</x:v>
      </x:c>
      <x:c r="D344" s="7" t="str">
        <x:v>BLD-C</x:v>
      </x:c>
      <x:c r="E344" s="7" t="str">
        <x:v>BL-Y</x:v>
      </x:c>
      <x:c r="F344" s="7" t="str">
        <x:v>CS-18</x:v>
      </x:c>
      <x:c r="G344" s="7" t="str">
        <x:v>causal time and evidence</x:v>
      </x:c>
      <x:c r="H344" s="7" t="str"/>
      <x:c r="I344" s="7" t="str"/>
      <x:c r="J344" s="7" t="str"/>
      <x:c r="K344" s="7" t="str"/>
      <x:c r="L344" s="7" t="str">
        <x:f>IF(K344="","OPEN",IF(OR(H344="",I344="",J344=""),"FAIL","PASS"))</x:f>
        <x:v>OPEN</x:v>
      </x:c>
    </x:row>
    <x:row r="345">
      <x:c r="B345" s="7" t="str">
        <x:v>TRV-PEA-C-Y2-19</x:v>
      </x:c>
      <x:c r="C345" s="7" t="str">
        <x:v>PEA-C-Y2</x:v>
      </x:c>
      <x:c r="D345" s="7" t="str">
        <x:v>BLD-C</x:v>
      </x:c>
      <x:c r="E345" s="7" t="str">
        <x:v>BL-Y</x:v>
      </x:c>
      <x:c r="F345" s="7" t="str">
        <x:v>CS-19</x:v>
      </x:c>
      <x:c r="G345" s="7" t="str">
        <x:v>rescue and access</x:v>
      </x:c>
      <x:c r="H345" s="7" t="str"/>
      <x:c r="I345" s="7" t="str"/>
      <x:c r="J345" s="7" t="str"/>
      <x:c r="K345" s="7" t="str"/>
      <x:c r="L345" s="7" t="str">
        <x:f>IF(K345="","OPEN",IF(OR(H345="",I345="",J345=""),"FAIL","PASS"))</x:f>
        <x:v>OPEN</x:v>
      </x:c>
    </x:row>
    <x:row r="346">
      <x:c r="B346" s="7" t="str">
        <x:v>TRV-PEA-C-Y2-20</x:v>
      </x:c>
      <x:c r="C346" s="7" t="str">
        <x:v>PEA-C-Y2</x:v>
      </x:c>
      <x:c r="D346" s="7" t="str">
        <x:v>BLD-C</x:v>
      </x:c>
      <x:c r="E346" s="7" t="str">
        <x:v>BL-Y</x:v>
      </x:c>
      <x:c r="F346" s="7" t="str">
        <x:v>CS-20</x:v>
      </x:c>
      <x:c r="G346" s="7" t="str">
        <x:v>environmental boundary</x:v>
      </x:c>
      <x:c r="H346" s="7" t="str"/>
      <x:c r="I346" s="7" t="str"/>
      <x:c r="J346" s="7" t="str"/>
      <x:c r="K346" s="7" t="str"/>
      <x:c r="L346" s="7" t="str">
        <x:f>IF(K346="","OPEN",IF(OR(H346="",I346="",J346=""),"FAIL","PASS"))</x:f>
        <x:v>OPEN</x:v>
      </x:c>
    </x:row>
    <x:row r="347">
      <x:c r="B347" s="7" t="str">
        <x:v>TRV-PEA-C-Y3-01</x:v>
      </x:c>
      <x:c r="C347" s="7" t="str">
        <x:v>PEA-C-Y3</x:v>
      </x:c>
      <x:c r="D347" s="7" t="str">
        <x:v>BLD-C</x:v>
      </x:c>
      <x:c r="E347" s="7" t="str">
        <x:v>BL-Y</x:v>
      </x:c>
      <x:c r="F347" s="7" t="str">
        <x:v>CS-01</x:v>
      </x:c>
      <x:c r="G347" s="7" t="str">
        <x:v>public datum</x:v>
      </x:c>
      <x:c r="H347" s="7" t="str"/>
      <x:c r="I347" s="7" t="str"/>
      <x:c r="J347" s="7" t="str"/>
      <x:c r="K347" s="7" t="str"/>
      <x:c r="L347" s="7" t="str">
        <x:f>IF(K347="","OPEN",IF(OR(H347="",I347="",J347=""),"FAIL","PASS"))</x:f>
        <x:v>OPEN</x:v>
      </x:c>
    </x:row>
    <x:row r="348">
      <x:c r="B348" s="7" t="str">
        <x:v>TRV-PEA-C-Y3-02</x:v>
      </x:c>
      <x:c r="C348" s="7" t="str">
        <x:v>PEA-C-Y3</x:v>
      </x:c>
      <x:c r="D348" s="7" t="str">
        <x:v>BLD-C</x:v>
      </x:c>
      <x:c r="E348" s="7" t="str">
        <x:v>BL-Y</x:v>
      </x:c>
      <x:c r="F348" s="7" t="str">
        <x:v>CS-02</x:v>
      </x:c>
      <x:c r="G348" s="7" t="str">
        <x:v>primary frame</x:v>
      </x:c>
      <x:c r="H348" s="7" t="str"/>
      <x:c r="I348" s="7" t="str"/>
      <x:c r="J348" s="7" t="str"/>
      <x:c r="K348" s="7" t="str"/>
      <x:c r="L348" s="7" t="str">
        <x:f>IF(K348="","OPEN",IF(OR(H348="",I348="",J348=""),"FAIL","PASS"))</x:f>
        <x:v>OPEN</x:v>
      </x:c>
    </x:row>
    <x:row r="349">
      <x:c r="B349" s="7" t="str">
        <x:v>TRV-PEA-C-Y3-03</x:v>
      </x:c>
      <x:c r="C349" s="7" t="str">
        <x:v>PEA-C-Y3</x:v>
      </x:c>
      <x:c r="D349" s="7" t="str">
        <x:v>BLD-C</x:v>
      </x:c>
      <x:c r="E349" s="7" t="str">
        <x:v>BL-Y</x:v>
      </x:c>
      <x:c r="F349" s="7" t="str">
        <x:v>CS-03</x:v>
      </x:c>
      <x:c r="G349" s="7" t="str">
        <x:v>source-surrogate vessel</x:v>
      </x:c>
      <x:c r="H349" s="7" t="str"/>
      <x:c r="I349" s="7" t="str"/>
      <x:c r="J349" s="7" t="str"/>
      <x:c r="K349" s="7" t="str"/>
      <x:c r="L349" s="7" t="str">
        <x:f>IF(K349="","OPEN",IF(OR(H349="",I349="",J349=""),"FAIL","PASS"))</x:f>
        <x:v>OPEN</x:v>
      </x:c>
    </x:row>
    <x:row r="350">
      <x:c r="B350" s="7" t="str">
        <x:v>TRV-PEA-C-Y3-04</x:v>
      </x:c>
      <x:c r="C350" s="7" t="str">
        <x:v>PEA-C-Y3</x:v>
      </x:c>
      <x:c r="D350" s="7" t="str">
        <x:v>BLD-C</x:v>
      </x:c>
      <x:c r="E350" s="7" t="str">
        <x:v>BL-Y</x:v>
      </x:c>
      <x:c r="F350" s="7" t="str">
        <x:v>CS-04</x:v>
      </x:c>
      <x:c r="G350" s="7" t="str">
        <x:v>capsule dock</x:v>
      </x:c>
      <x:c r="H350" s="7" t="str"/>
      <x:c r="I350" s="7" t="str"/>
      <x:c r="J350" s="7" t="str"/>
      <x:c r="K350" s="7" t="str"/>
      <x:c r="L350" s="7" t="str">
        <x:f>IF(K350="","OPEN",IF(OR(H350="",I350="",J350=""),"FAIL","PASS"))</x:f>
        <x:v>OPEN</x:v>
      </x:c>
    </x:row>
    <x:row r="351">
      <x:c r="B351" s="7" t="str">
        <x:v>TRV-PEA-C-Y3-05</x:v>
      </x:c>
      <x:c r="C351" s="7" t="str">
        <x:v>PEA-C-Y3</x:v>
      </x:c>
      <x:c r="D351" s="7" t="str">
        <x:v>BLD-C</x:v>
      </x:c>
      <x:c r="E351" s="7" t="str">
        <x:v>BL-Y</x:v>
      </x:c>
      <x:c r="F351" s="7" t="str">
        <x:v>CS-05</x:v>
      </x:c>
      <x:c r="G351" s="7" t="str">
        <x:v>40 mm insert</x:v>
      </x:c>
      <x:c r="H351" s="7" t="str"/>
      <x:c r="I351" s="7" t="str"/>
      <x:c r="J351" s="7" t="str"/>
      <x:c r="K351" s="7" t="str"/>
      <x:c r="L351" s="7" t="str">
        <x:f>IF(K351="","OPEN",IF(OR(H351="",I351="",J351=""),"FAIL","PASS"))</x:f>
        <x:v>OPEN</x:v>
      </x:c>
    </x:row>
    <x:row r="352">
      <x:c r="B352" s="7" t="str">
        <x:v>TRV-PEA-C-Y3-06</x:v>
      </x:c>
      <x:c r="C352" s="7" t="str">
        <x:v>PEA-C-Y3</x:v>
      </x:c>
      <x:c r="D352" s="7" t="str">
        <x:v>BLD-C</x:v>
      </x:c>
      <x:c r="E352" s="7" t="str">
        <x:v>BL-Y</x:v>
      </x:c>
      <x:c r="F352" s="7" t="str">
        <x:v>CS-06</x:v>
      </x:c>
      <x:c r="G352" s="7" t="str">
        <x:v>dispenser</x:v>
      </x:c>
      <x:c r="H352" s="7" t="str"/>
      <x:c r="I352" s="7" t="str"/>
      <x:c r="J352" s="7" t="str"/>
      <x:c r="K352" s="7" t="str"/>
      <x:c r="L352" s="7" t="str">
        <x:f>IF(K352="","OPEN",IF(OR(H352="",I352="",J352=""),"FAIL","PASS"))</x:f>
        <x:v>OPEN</x:v>
      </x:c>
    </x:row>
    <x:row r="353">
      <x:c r="B353" s="7" t="str">
        <x:v>TRV-PEA-C-Y3-07</x:v>
      </x:c>
      <x:c r="C353" s="7" t="str">
        <x:v>PEA-C-Y3</x:v>
      </x:c>
      <x:c r="D353" s="7" t="str">
        <x:v>BLD-C</x:v>
      </x:c>
      <x:c r="E353" s="7" t="str">
        <x:v>BL-Y</x:v>
      </x:c>
      <x:c r="F353" s="7" t="str">
        <x:v>CS-07</x:v>
      </x:c>
      <x:c r="G353" s="7" t="str">
        <x:v>inner pan</x:v>
      </x:c>
      <x:c r="H353" s="7" t="str"/>
      <x:c r="I353" s="7" t="str"/>
      <x:c r="J353" s="7" t="str"/>
      <x:c r="K353" s="7" t="str"/>
      <x:c r="L353" s="7" t="str">
        <x:f>IF(K353="","OPEN",IF(OR(H353="",I353="",J353=""),"FAIL","PASS"))</x:f>
        <x:v>OPEN</x:v>
      </x:c>
    </x:row>
    <x:row r="354">
      <x:c r="B354" s="7" t="str">
        <x:v>TRV-PEA-C-Y3-08</x:v>
      </x:c>
      <x:c r="C354" s="7" t="str">
        <x:v>PEA-C-Y3</x:v>
      </x:c>
      <x:c r="D354" s="7" t="str">
        <x:v>BLD-C</x:v>
      </x:c>
      <x:c r="E354" s="7" t="str">
        <x:v>BL-Y</x:v>
      </x:c>
      <x:c r="F354" s="7" t="str">
        <x:v>CS-08</x:v>
      </x:c>
      <x:c r="G354" s="7" t="str">
        <x:v>normal source route</x:v>
      </x:c>
      <x:c r="H354" s="7" t="str"/>
      <x:c r="I354" s="7" t="str"/>
      <x:c r="J354" s="7" t="str"/>
      <x:c r="K354" s="7" t="str"/>
      <x:c r="L354" s="7" t="str">
        <x:f>IF(K354="","OPEN",IF(OR(H354="",I354="",J354=""),"FAIL","PASS"))</x:f>
        <x:v>OPEN</x:v>
      </x:c>
    </x:row>
    <x:row r="355">
      <x:c r="B355" s="7" t="str">
        <x:v>TRV-PEA-C-Y3-09</x:v>
      </x:c>
      <x:c r="C355" s="7" t="str">
        <x:v>PEA-C-Y3</x:v>
      </x:c>
      <x:c r="D355" s="7" t="str">
        <x:v>BLD-C</x:v>
      </x:c>
      <x:c r="E355" s="7" t="str">
        <x:v>BL-Y</x:v>
      </x:c>
      <x:c r="F355" s="7" t="str">
        <x:v>CS-09</x:v>
      </x:c>
      <x:c r="G355" s="7" t="str">
        <x:v>casualty source route</x:v>
      </x:c>
      <x:c r="H355" s="7" t="str"/>
      <x:c r="I355" s="7" t="str"/>
      <x:c r="J355" s="7" t="str"/>
      <x:c r="K355" s="7" t="str"/>
      <x:c r="L355" s="7" t="str">
        <x:f>IF(K355="","OPEN",IF(OR(H355="",I355="",J355=""),"FAIL","PASS"))</x:f>
        <x:v>OPEN</x:v>
      </x:c>
    </x:row>
    <x:row r="356">
      <x:c r="B356" s="7" t="str">
        <x:v>TRV-PEA-C-Y3-10</x:v>
      </x:c>
      <x:c r="C356" s="7" t="str">
        <x:v>PEA-C-Y3</x:v>
      </x:c>
      <x:c r="D356" s="7" t="str">
        <x:v>BLD-C</x:v>
      </x:c>
      <x:c r="E356" s="7" t="str">
        <x:v>BL-Y</x:v>
      </x:c>
      <x:c r="F356" s="7" t="str">
        <x:v>CS-10</x:v>
      </x:c>
      <x:c r="G356" s="7" t="str">
        <x:v>normal source receiver</x:v>
      </x:c>
      <x:c r="H356" s="7" t="str"/>
      <x:c r="I356" s="7" t="str"/>
      <x:c r="J356" s="7" t="str"/>
      <x:c r="K356" s="7" t="str"/>
      <x:c r="L356" s="7" t="str">
        <x:f>IF(K356="","OPEN",IF(OR(H356="",I356="",J356=""),"FAIL","PASS"))</x:f>
        <x:v>OPEN</x:v>
      </x:c>
    </x:row>
    <x:row r="357">
      <x:c r="B357" s="7" t="str">
        <x:v>TRV-PEA-C-Y3-11</x:v>
      </x:c>
      <x:c r="C357" s="7" t="str">
        <x:v>PEA-C-Y3</x:v>
      </x:c>
      <x:c r="D357" s="7" t="str">
        <x:v>BLD-C</x:v>
      </x:c>
      <x:c r="E357" s="7" t="str">
        <x:v>BL-Y</x:v>
      </x:c>
      <x:c r="F357" s="7" t="str">
        <x:v>CS-11</x:v>
      </x:c>
      <x:c r="G357" s="7" t="str">
        <x:v>casualty source interface</x:v>
      </x:c>
      <x:c r="H357" s="7" t="str"/>
      <x:c r="I357" s="7" t="str"/>
      <x:c r="J357" s="7" t="str"/>
      <x:c r="K357" s="7" t="str"/>
      <x:c r="L357" s="7" t="str">
        <x:f>IF(K357="","OPEN",IF(OR(H357="",I357="",J357=""),"FAIL","PASS"))</x:f>
        <x:v>OPEN</x:v>
      </x:c>
    </x:row>
    <x:row r="358">
      <x:c r="B358" s="7" t="str">
        <x:v>TRV-PEA-C-Y3-12</x:v>
      </x:c>
      <x:c r="C358" s="7" t="str">
        <x:v>PEA-C-Y3</x:v>
      </x:c>
      <x:c r="D358" s="7" t="str">
        <x:v>BLD-C</x:v>
      </x:c>
      <x:c r="E358" s="7" t="str">
        <x:v>BL-Y</x:v>
      </x:c>
      <x:c r="F358" s="7" t="str">
        <x:v>CS-12</x:v>
      </x:c>
      <x:c r="G358" s="7" t="str">
        <x:v>candidate-water isolation</x:v>
      </x:c>
      <x:c r="H358" s="7" t="str"/>
      <x:c r="I358" s="7" t="str"/>
      <x:c r="J358" s="7" t="str"/>
      <x:c r="K358" s="7" t="str"/>
      <x:c r="L358" s="7" t="str">
        <x:f>IF(K358="","OPEN",IF(OR(H358="",I358="",J358=""),"FAIL","PASS"))</x:f>
        <x:v>OPEN</x:v>
      </x:c>
    </x:row>
    <x:row r="359">
      <x:c r="B359" s="7" t="str">
        <x:v>TRV-PEA-C-Y3-13</x:v>
      </x:c>
      <x:c r="C359" s="7" t="str">
        <x:v>PEA-C-Y3</x:v>
      </x:c>
      <x:c r="D359" s="7" t="str">
        <x:v>BLD-C</x:v>
      </x:c>
      <x:c r="E359" s="7" t="str">
        <x:v>BL-Y</x:v>
      </x:c>
      <x:c r="F359" s="7" t="str">
        <x:v>CS-13</x:v>
      </x:c>
      <x:c r="G359" s="7" t="str">
        <x:v>public-water isolation</x:v>
      </x:c>
      <x:c r="H359" s="7" t="str"/>
      <x:c r="I359" s="7" t="str"/>
      <x:c r="J359" s="7" t="str"/>
      <x:c r="K359" s="7" t="str"/>
      <x:c r="L359" s="7" t="str">
        <x:f>IF(K359="","OPEN",IF(OR(H359="",I359="",J359=""),"FAIL","PASS"))</x:f>
        <x:v>OPEN</x:v>
      </x:c>
    </x:row>
    <x:row r="360">
      <x:c r="B360" s="7" t="str">
        <x:v>TRV-PEA-C-Y3-14</x:v>
      </x:c>
      <x:c r="C360" s="7" t="str">
        <x:v>PEA-C-Y3</x:v>
      </x:c>
      <x:c r="D360" s="7" t="str">
        <x:v>BLD-C</x:v>
      </x:c>
      <x:c r="E360" s="7" t="str">
        <x:v>BL-Y</x:v>
      </x:c>
      <x:c r="F360" s="7" t="str">
        <x:v>CS-14</x:v>
      </x:c>
      <x:c r="G360" s="7" t="str">
        <x:v>casualty-water interface</x:v>
      </x:c>
      <x:c r="H360" s="7" t="str"/>
      <x:c r="I360" s="7" t="str"/>
      <x:c r="J360" s="7" t="str"/>
      <x:c r="K360" s="7" t="str"/>
      <x:c r="L360" s="7" t="str">
        <x:f>IF(K360="","OPEN",IF(OR(H360="",I360="",J360=""),"FAIL","PASS"))</x:f>
        <x:v>OPEN</x:v>
      </x:c>
    </x:row>
    <x:row r="361">
      <x:c r="B361" s="7" t="str">
        <x:v>TRV-PEA-C-Y3-15</x:v>
      </x:c>
      <x:c r="C361" s="7" t="str">
        <x:v>PEA-C-Y3</x:v>
      </x:c>
      <x:c r="D361" s="7" t="str">
        <x:v>BLD-C</x:v>
      </x:c>
      <x:c r="E361" s="7" t="str">
        <x:v>BL-Y</x:v>
      </x:c>
      <x:c r="F361" s="7" t="str">
        <x:v>CS-15</x:v>
      </x:c>
      <x:c r="G361" s="7" t="str">
        <x:v>final control assembly</x:v>
      </x:c>
      <x:c r="H361" s="7" t="str"/>
      <x:c r="I361" s="7" t="str"/>
      <x:c r="J361" s="7" t="str"/>
      <x:c r="K361" s="7" t="str"/>
      <x:c r="L361" s="7" t="str">
        <x:f>IF(K361="","OPEN",IF(OR(H361="",I361="",J361=""),"FAIL","PASS"))</x:f>
        <x:v>OPEN</x:v>
      </x:c>
    </x:row>
    <x:row r="362">
      <x:c r="B362" s="7" t="str">
        <x:v>TRV-PEA-C-Y3-16</x:v>
      </x:c>
      <x:c r="C362" s="7" t="str">
        <x:v>PEA-C-Y3</x:v>
      </x:c>
      <x:c r="D362" s="7" t="str">
        <x:v>BLD-C</x:v>
      </x:c>
      <x:c r="E362" s="7" t="str">
        <x:v>BL-Y</x:v>
      </x:c>
      <x:c r="F362" s="7" t="str">
        <x:v>CS-16</x:v>
      </x:c>
      <x:c r="G362" s="7" t="str">
        <x:v>independent safety energy</x:v>
      </x:c>
      <x:c r="H362" s="7" t="str"/>
      <x:c r="I362" s="7" t="str"/>
      <x:c r="J362" s="7" t="str"/>
      <x:c r="K362" s="7" t="str"/>
      <x:c r="L362" s="7" t="str">
        <x:f>IF(K362="","OPEN",IF(OR(H362="",I362="",J362=""),"FAIL","PASS"))</x:f>
        <x:v>OPEN</x:v>
      </x:c>
    </x:row>
    <x:row r="363">
      <x:c r="B363" s="7" t="str">
        <x:v>TRV-PEA-C-Y3-17</x:v>
      </x:c>
      <x:c r="C363" s="7" t="str">
        <x:v>PEA-C-Y3</x:v>
      </x:c>
      <x:c r="D363" s="7" t="str">
        <x:v>BLD-C</x:v>
      </x:c>
      <x:c r="E363" s="7" t="str">
        <x:v>BL-Y</x:v>
      </x:c>
      <x:c r="F363" s="7" t="str">
        <x:v>CS-17</x:v>
      </x:c>
      <x:c r="G363" s="7" t="str">
        <x:v>measurement frame</x:v>
      </x:c>
      <x:c r="H363" s="7" t="str"/>
      <x:c r="I363" s="7" t="str"/>
      <x:c r="J363" s="7" t="str"/>
      <x:c r="K363" s="7" t="str"/>
      <x:c r="L363" s="7" t="str">
        <x:f>IF(K363="","OPEN",IF(OR(H363="",I363="",J363=""),"FAIL","PASS"))</x:f>
        <x:v>OPEN</x:v>
      </x:c>
    </x:row>
    <x:row r="364">
      <x:c r="B364" s="7" t="str">
        <x:v>TRV-PEA-C-Y3-18</x:v>
      </x:c>
      <x:c r="C364" s="7" t="str">
        <x:v>PEA-C-Y3</x:v>
      </x:c>
      <x:c r="D364" s="7" t="str">
        <x:v>BLD-C</x:v>
      </x:c>
      <x:c r="E364" s="7" t="str">
        <x:v>BL-Y</x:v>
      </x:c>
      <x:c r="F364" s="7" t="str">
        <x:v>CS-18</x:v>
      </x:c>
      <x:c r="G364" s="7" t="str">
        <x:v>causal time and evidence</x:v>
      </x:c>
      <x:c r="H364" s="7" t="str"/>
      <x:c r="I364" s="7" t="str"/>
      <x:c r="J364" s="7" t="str"/>
      <x:c r="K364" s="7" t="str"/>
      <x:c r="L364" s="7" t="str">
        <x:f>IF(K364="","OPEN",IF(OR(H364="",I364="",J364=""),"FAIL","PASS"))</x:f>
        <x:v>OPEN</x:v>
      </x:c>
    </x:row>
    <x:row r="365">
      <x:c r="B365" s="7" t="str">
        <x:v>TRV-PEA-C-Y3-19</x:v>
      </x:c>
      <x:c r="C365" s="7" t="str">
        <x:v>PEA-C-Y3</x:v>
      </x:c>
      <x:c r="D365" s="7" t="str">
        <x:v>BLD-C</x:v>
      </x:c>
      <x:c r="E365" s="7" t="str">
        <x:v>BL-Y</x:v>
      </x:c>
      <x:c r="F365" s="7" t="str">
        <x:v>CS-19</x:v>
      </x:c>
      <x:c r="G365" s="7" t="str">
        <x:v>rescue and access</x:v>
      </x:c>
      <x:c r="H365" s="7" t="str"/>
      <x:c r="I365" s="7" t="str"/>
      <x:c r="J365" s="7" t="str"/>
      <x:c r="K365" s="7" t="str"/>
      <x:c r="L365" s="7" t="str">
        <x:f>IF(K365="","OPEN",IF(OR(H365="",I365="",J365=""),"FAIL","PASS"))</x:f>
        <x:v>OPEN</x:v>
      </x:c>
    </x:row>
    <x:row r="366">
      <x:c r="B366" s="7" t="str">
        <x:v>TRV-PEA-C-Y3-20</x:v>
      </x:c>
      <x:c r="C366" s="7" t="str">
        <x:v>PEA-C-Y3</x:v>
      </x:c>
      <x:c r="D366" s="7" t="str">
        <x:v>BLD-C</x:v>
      </x:c>
      <x:c r="E366" s="7" t="str">
        <x:v>BL-Y</x:v>
      </x:c>
      <x:c r="F366" s="7" t="str">
        <x:v>CS-20</x:v>
      </x:c>
      <x:c r="G366" s="7" t="str">
        <x:v>environmental boundary</x:v>
      </x:c>
      <x:c r="H366" s="7" t="str"/>
      <x:c r="I366" s="7" t="str"/>
      <x:c r="J366" s="7" t="str"/>
      <x:c r="K366" s="7" t="str"/>
      <x:c r="L366" s="7" t="str">
        <x:f>IF(K366="","OPEN",IF(OR(H366="",I366="",J366=""),"FAIL","PASS"))</x:f>
        <x:v>OPEN</x:v>
      </x:c>
    </x:row>
  </x:sheetData>
  <x:conditionalFormatting sqref="L7:L366">
    <x:cfRule type="containsText" dxfId="60" priority="1" operator="containsText" text="FAIL"/>
    <x:cfRule type="containsText" dxfId="61" priority="2" operator="containsText" text="BLOCKED"/>
    <x:cfRule type="containsText" dxfId="62" priority="3" operator="containsText" text="OPEN"/>
    <x:cfRule type="containsText" dxfId="63" priority="4" operator="containsText" text="DORMANT"/>
    <x:cfRule type="containsText" dxfId="64" priority="5" operator="containsText" text="REVIEW"/>
    <x:cfRule type="containsText" dxfId="65" priority="6" operator="containsText" text="PASS"/>
  </x:conditionalFormatting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29" hidden="0" customWidth="1"/>
    <x:col min="3" max="3" width="17" hidden="0" customWidth="1"/>
    <x:col min="4" max="4" width="14" hidden="0" customWidth="1"/>
    <x:col min="5" max="5" width="13" hidden="0" customWidth="1"/>
    <x:col min="6" max="6" width="12" hidden="0" customWidth="1"/>
    <x:col min="7" max="7" width="31" hidden="0" customWidth="1"/>
    <x:col min="8" max="8" width="36" hidden="0" customWidth="1"/>
    <x:col min="9" max="9" width="36" hidden="0" customWidth="1"/>
    <x:col min="10" max="10" width="21" hidden="0" customWidth="1"/>
    <x:col min="11" max="11" width="14" hidden="0" customWidth="1"/>
  </x:cols>
  <x:sheetData>
    <x:row r="2">
      <x:c r="B2" s="1" t="str">
        <x:v>Seven hundred twenty adjacent-process coupons</x:v>
      </x:c>
    </x:row>
    <x:row r="3">
      <x:c r="B3" s="2" t="str">
        <x:v>Coupon truth remains distinct from article conformity and stays attached to the same material and process ancestry.</x:v>
      </x:c>
    </x:row>
    <x:row r="6" ht="24" customHeight="1">
      <x:c r="B6" s="6" t="str">
        <x:v>Coupon</x:v>
      </x:c>
      <x:c r="C6" s="6" t="str">
        <x:v>Article</x:v>
      </x:c>
      <x:c r="D6" s="6" t="str">
        <x:v>Builder</x:v>
      </x:c>
      <x:c r="E6" s="6" t="str">
        <x:v>Lineage</x:v>
      </x:c>
      <x:c r="F6" s="6" t="str">
        <x:v>Class</x:v>
      </x:c>
      <x:c r="G6" s="6" t="str">
        <x:v>Object</x:v>
      </x:c>
      <x:c r="H6" s="6" t="str">
        <x:v>Observed result</x:v>
      </x:c>
      <x:c r="I6" s="6" t="str">
        <x:v>Destructive truth</x:v>
      </x:c>
      <x:c r="J6" s="6" t="str">
        <x:v>Accepted UTC</x:v>
      </x:c>
      <x:c r="K6" s="6" t="str">
        <x:v>State</x:v>
      </x:c>
    </x:row>
    <x:row r="7">
      <x:c r="B7" s="7" t="str">
        <x:v>CPN-PEA-A-X1-CJ-1</x:v>
      </x:c>
      <x:c r="C7" s="7" t="str">
        <x:v>PEA-A-X1</x:v>
      </x:c>
      <x:c r="D7" s="7" t="str">
        <x:v>BLD-A</x:v>
      </x:c>
      <x:c r="E7" s="7" t="str">
        <x:v>BL-X</x:v>
      </x:c>
      <x:c r="F7" s="7" t="str">
        <x:v>CJ</x:v>
      </x:c>
      <x:c r="G7" s="7" t="str">
        <x:v>joint or weld</x:v>
      </x:c>
      <x:c r="H7" s="7" t="str"/>
      <x:c r="I7" s="7" t="str"/>
      <x:c r="J7" s="7" t="str"/>
      <x:c r="K7" s="7" t="str">
        <x:f>IF(J7="","OPEN",IF(OR(H7="",I7=""),"FAIL","PASS"))</x:f>
        <x:v>OPEN</x:v>
      </x:c>
    </x:row>
    <x:row r="8">
      <x:c r="B8" s="7" t="str">
        <x:v>CPN-PEA-A-X1-CJ-2</x:v>
      </x:c>
      <x:c r="C8" s="7" t="str">
        <x:v>PEA-A-X1</x:v>
      </x:c>
      <x:c r="D8" s="7" t="str">
        <x:v>BLD-A</x:v>
      </x:c>
      <x:c r="E8" s="7" t="str">
        <x:v>BL-X</x:v>
      </x:c>
      <x:c r="F8" s="7" t="str">
        <x:v>CJ</x:v>
      </x:c>
      <x:c r="G8" s="7" t="str">
        <x:v>joint or weld</x:v>
      </x:c>
      <x:c r="H8" s="7" t="str"/>
      <x:c r="I8" s="7" t="str"/>
      <x:c r="J8" s="7" t="str"/>
      <x:c r="K8" s="7" t="str">
        <x:f>IF(J8="","OPEN",IF(OR(H8="",I8=""),"FAIL","PASS"))</x:f>
        <x:v>OPEN</x:v>
      </x:c>
    </x:row>
    <x:row r="9">
      <x:c r="B9" s="7" t="str">
        <x:v>CPN-PEA-A-X1-CJ-3</x:v>
      </x:c>
      <x:c r="C9" s="7" t="str">
        <x:v>PEA-A-X1</x:v>
      </x:c>
      <x:c r="D9" s="7" t="str">
        <x:v>BLD-A</x:v>
      </x:c>
      <x:c r="E9" s="7" t="str">
        <x:v>BL-X</x:v>
      </x:c>
      <x:c r="F9" s="7" t="str">
        <x:v>CJ</x:v>
      </x:c>
      <x:c r="G9" s="7" t="str">
        <x:v>joint or weld</x:v>
      </x:c>
      <x:c r="H9" s="7" t="str"/>
      <x:c r="I9" s="7" t="str"/>
      <x:c r="J9" s="7" t="str"/>
      <x:c r="K9" s="7" t="str">
        <x:f>IF(J9="","OPEN",IF(OR(H9="",I9=""),"FAIL","PASS"))</x:f>
        <x:v>OPEN</x:v>
      </x:c>
    </x:row>
    <x:row r="10">
      <x:c r="B10" s="7" t="str">
        <x:v>CPN-PEA-A-X1-CJ-4</x:v>
      </x:c>
      <x:c r="C10" s="7" t="str">
        <x:v>PEA-A-X1</x:v>
      </x:c>
      <x:c r="D10" s="7" t="str">
        <x:v>BLD-A</x:v>
      </x:c>
      <x:c r="E10" s="7" t="str">
        <x:v>BL-X</x:v>
      </x:c>
      <x:c r="F10" s="7" t="str">
        <x:v>CJ</x:v>
      </x:c>
      <x:c r="G10" s="7" t="str">
        <x:v>joint or weld</x:v>
      </x:c>
      <x:c r="H10" s="7" t="str"/>
      <x:c r="I10" s="7" t="str"/>
      <x:c r="J10" s="7" t="str"/>
      <x:c r="K10" s="7" t="str">
        <x:f>IF(J10="","OPEN",IF(OR(H10="",I10=""),"FAIL","PASS"))</x:f>
        <x:v>OPEN</x:v>
      </x:c>
    </x:row>
    <x:row r="11">
      <x:c r="B11" s="7" t="str">
        <x:v>CPN-PEA-A-X1-CJ-5</x:v>
      </x:c>
      <x:c r="C11" s="7" t="str">
        <x:v>PEA-A-X1</x:v>
      </x:c>
      <x:c r="D11" s="7" t="str">
        <x:v>BLD-A</x:v>
      </x:c>
      <x:c r="E11" s="7" t="str">
        <x:v>BL-X</x:v>
      </x:c>
      <x:c r="F11" s="7" t="str">
        <x:v>CJ</x:v>
      </x:c>
      <x:c r="G11" s="7" t="str">
        <x:v>joint or weld</x:v>
      </x:c>
      <x:c r="H11" s="7" t="str"/>
      <x:c r="I11" s="7" t="str"/>
      <x:c r="J11" s="7" t="str"/>
      <x:c r="K11" s="7" t="str">
        <x:f>IF(J11="","OPEN",IF(OR(H11="",I11=""),"FAIL","PASS"))</x:f>
        <x:v>OPEN</x:v>
      </x:c>
    </x:row>
    <x:row r="12">
      <x:c r="B12" s="7" t="str">
        <x:v>CPN-PEA-A-X1-CJ-6</x:v>
      </x:c>
      <x:c r="C12" s="7" t="str">
        <x:v>PEA-A-X1</x:v>
      </x:c>
      <x:c r="D12" s="7" t="str">
        <x:v>BLD-A</x:v>
      </x:c>
      <x:c r="E12" s="7" t="str">
        <x:v>BL-X</x:v>
      </x:c>
      <x:c r="F12" s="7" t="str">
        <x:v>CJ</x:v>
      </x:c>
      <x:c r="G12" s="7" t="str">
        <x:v>joint or weld</x:v>
      </x:c>
      <x:c r="H12" s="7" t="str"/>
      <x:c r="I12" s="7" t="str"/>
      <x:c r="J12" s="7" t="str"/>
      <x:c r="K12" s="7" t="str">
        <x:f>IF(J12="","OPEN",IF(OR(H12="",I12=""),"FAIL","PASS"))</x:f>
        <x:v>OPEN</x:v>
      </x:c>
    </x:row>
    <x:row r="13">
      <x:c r="B13" s="7" t="str">
        <x:v>CPN-PEA-A-X1-CJ-7</x:v>
      </x:c>
      <x:c r="C13" s="7" t="str">
        <x:v>PEA-A-X1</x:v>
      </x:c>
      <x:c r="D13" s="7" t="str">
        <x:v>BLD-A</x:v>
      </x:c>
      <x:c r="E13" s="7" t="str">
        <x:v>BL-X</x:v>
      </x:c>
      <x:c r="F13" s="7" t="str">
        <x:v>CJ</x:v>
      </x:c>
      <x:c r="G13" s="7" t="str">
        <x:v>joint or weld</x:v>
      </x:c>
      <x:c r="H13" s="7" t="str"/>
      <x:c r="I13" s="7" t="str"/>
      <x:c r="J13" s="7" t="str"/>
      <x:c r="K13" s="7" t="str">
        <x:f>IF(J13="","OPEN",IF(OR(H13="",I13=""),"FAIL","PASS"))</x:f>
        <x:v>OPEN</x:v>
      </x:c>
    </x:row>
    <x:row r="14">
      <x:c r="B14" s="7" t="str">
        <x:v>CPN-PEA-A-X1-CJ-8</x:v>
      </x:c>
      <x:c r="C14" s="7" t="str">
        <x:v>PEA-A-X1</x:v>
      </x:c>
      <x:c r="D14" s="7" t="str">
        <x:v>BLD-A</x:v>
      </x:c>
      <x:c r="E14" s="7" t="str">
        <x:v>BL-X</x:v>
      </x:c>
      <x:c r="F14" s="7" t="str">
        <x:v>CJ</x:v>
      </x:c>
      <x:c r="G14" s="7" t="str">
        <x:v>joint or weld</x:v>
      </x:c>
      <x:c r="H14" s="7" t="str"/>
      <x:c r="I14" s="7" t="str"/>
      <x:c r="J14" s="7" t="str"/>
      <x:c r="K14" s="7" t="str">
        <x:f>IF(J14="","OPEN",IF(OR(H14="",I14=""),"FAIL","PASS"))</x:f>
        <x:v>OPEN</x:v>
      </x:c>
    </x:row>
    <x:row r="15">
      <x:c r="B15" s="7" t="str">
        <x:v>CPN-PEA-A-X1-SE-1</x:v>
      </x:c>
      <x:c r="C15" s="7" t="str">
        <x:v>PEA-A-X1</x:v>
      </x:c>
      <x:c r="D15" s="7" t="str">
        <x:v>BLD-A</x:v>
      </x:c>
      <x:c r="E15" s="7" t="str">
        <x:v>BL-X</x:v>
      </x:c>
      <x:c r="F15" s="7" t="str">
        <x:v>SE</x:v>
      </x:c>
      <x:c r="G15" s="7" t="str">
        <x:v>seal and gasket</x:v>
      </x:c>
      <x:c r="H15" s="7" t="str"/>
      <x:c r="I15" s="7" t="str"/>
      <x:c r="J15" s="7" t="str"/>
      <x:c r="K15" s="7" t="str">
        <x:f>IF(J15="","OPEN",IF(OR(H15="",I15=""),"FAIL","PASS"))</x:f>
        <x:v>OPEN</x:v>
      </x:c>
    </x:row>
    <x:row r="16">
      <x:c r="B16" s="7" t="str">
        <x:v>CPN-PEA-A-X1-SE-2</x:v>
      </x:c>
      <x:c r="C16" s="7" t="str">
        <x:v>PEA-A-X1</x:v>
      </x:c>
      <x:c r="D16" s="7" t="str">
        <x:v>BLD-A</x:v>
      </x:c>
      <x:c r="E16" s="7" t="str">
        <x:v>BL-X</x:v>
      </x:c>
      <x:c r="F16" s="7" t="str">
        <x:v>SE</x:v>
      </x:c>
      <x:c r="G16" s="7" t="str">
        <x:v>seal and gasket</x:v>
      </x:c>
      <x:c r="H16" s="7" t="str"/>
      <x:c r="I16" s="7" t="str"/>
      <x:c r="J16" s="7" t="str"/>
      <x:c r="K16" s="7" t="str">
        <x:f>IF(J16="","OPEN",IF(OR(H16="",I16=""),"FAIL","PASS"))</x:f>
        <x:v>OPEN</x:v>
      </x:c>
    </x:row>
    <x:row r="17">
      <x:c r="B17" s="7" t="str">
        <x:v>CPN-PEA-A-X1-SE-3</x:v>
      </x:c>
      <x:c r="C17" s="7" t="str">
        <x:v>PEA-A-X1</x:v>
      </x:c>
      <x:c r="D17" s="7" t="str">
        <x:v>BLD-A</x:v>
      </x:c>
      <x:c r="E17" s="7" t="str">
        <x:v>BL-X</x:v>
      </x:c>
      <x:c r="F17" s="7" t="str">
        <x:v>SE</x:v>
      </x:c>
      <x:c r="G17" s="7" t="str">
        <x:v>seal and gasket</x:v>
      </x:c>
      <x:c r="H17" s="7" t="str"/>
      <x:c r="I17" s="7" t="str"/>
      <x:c r="J17" s="7" t="str"/>
      <x:c r="K17" s="7" t="str">
        <x:f>IF(J17="","OPEN",IF(OR(H17="",I17=""),"FAIL","PASS"))</x:f>
        <x:v>OPEN</x:v>
      </x:c>
    </x:row>
    <x:row r="18">
      <x:c r="B18" s="7" t="str">
        <x:v>CPN-PEA-A-X1-SE-4</x:v>
      </x:c>
      <x:c r="C18" s="7" t="str">
        <x:v>PEA-A-X1</x:v>
      </x:c>
      <x:c r="D18" s="7" t="str">
        <x:v>BLD-A</x:v>
      </x:c>
      <x:c r="E18" s="7" t="str">
        <x:v>BL-X</x:v>
      </x:c>
      <x:c r="F18" s="7" t="str">
        <x:v>SE</x:v>
      </x:c>
      <x:c r="G18" s="7" t="str">
        <x:v>seal and gasket</x:v>
      </x:c>
      <x:c r="H18" s="7" t="str"/>
      <x:c r="I18" s="7" t="str"/>
      <x:c r="J18" s="7" t="str"/>
      <x:c r="K18" s="7" t="str">
        <x:f>IF(J18="","OPEN",IF(OR(H18="",I18=""),"FAIL","PASS"))</x:f>
        <x:v>OPEN</x:v>
      </x:c>
    </x:row>
    <x:row r="19">
      <x:c r="B19" s="7" t="str">
        <x:v>CPN-PEA-A-X1-SE-5</x:v>
      </x:c>
      <x:c r="C19" s="7" t="str">
        <x:v>PEA-A-X1</x:v>
      </x:c>
      <x:c r="D19" s="7" t="str">
        <x:v>BLD-A</x:v>
      </x:c>
      <x:c r="E19" s="7" t="str">
        <x:v>BL-X</x:v>
      </x:c>
      <x:c r="F19" s="7" t="str">
        <x:v>SE</x:v>
      </x:c>
      <x:c r="G19" s="7" t="str">
        <x:v>seal and gasket</x:v>
      </x:c>
      <x:c r="H19" s="7" t="str"/>
      <x:c r="I19" s="7" t="str"/>
      <x:c r="J19" s="7" t="str"/>
      <x:c r="K19" s="7" t="str">
        <x:f>IF(J19="","OPEN",IF(OR(H19="",I19=""),"FAIL","PASS"))</x:f>
        <x:v>OPEN</x:v>
      </x:c>
    </x:row>
    <x:row r="20">
      <x:c r="B20" s="7" t="str">
        <x:v>CPN-PEA-A-X1-SE-6</x:v>
      </x:c>
      <x:c r="C20" s="7" t="str">
        <x:v>PEA-A-X1</x:v>
      </x:c>
      <x:c r="D20" s="7" t="str">
        <x:v>BLD-A</x:v>
      </x:c>
      <x:c r="E20" s="7" t="str">
        <x:v>BL-X</x:v>
      </x:c>
      <x:c r="F20" s="7" t="str">
        <x:v>SE</x:v>
      </x:c>
      <x:c r="G20" s="7" t="str">
        <x:v>seal and gasket</x:v>
      </x:c>
      <x:c r="H20" s="7" t="str"/>
      <x:c r="I20" s="7" t="str"/>
      <x:c r="J20" s="7" t="str"/>
      <x:c r="K20" s="7" t="str">
        <x:f>IF(J20="","OPEN",IF(OR(H20="",I20=""),"FAIL","PASS"))</x:f>
        <x:v>OPEN</x:v>
      </x:c>
    </x:row>
    <x:row r="21">
      <x:c r="B21" s="7" t="str">
        <x:v>CPN-PEA-A-X1-SE-7</x:v>
      </x:c>
      <x:c r="C21" s="7" t="str">
        <x:v>PEA-A-X1</x:v>
      </x:c>
      <x:c r="D21" s="7" t="str">
        <x:v>BLD-A</x:v>
      </x:c>
      <x:c r="E21" s="7" t="str">
        <x:v>BL-X</x:v>
      </x:c>
      <x:c r="F21" s="7" t="str">
        <x:v>SE</x:v>
      </x:c>
      <x:c r="G21" s="7" t="str">
        <x:v>seal and gasket</x:v>
      </x:c>
      <x:c r="H21" s="7" t="str"/>
      <x:c r="I21" s="7" t="str"/>
      <x:c r="J21" s="7" t="str"/>
      <x:c r="K21" s="7" t="str">
        <x:f>IF(J21="","OPEN",IF(OR(H21="",I21=""),"FAIL","PASS"))</x:f>
        <x:v>OPEN</x:v>
      </x:c>
    </x:row>
    <x:row r="22">
      <x:c r="B22" s="7" t="str">
        <x:v>CPN-PEA-A-X1-SE-8</x:v>
      </x:c>
      <x:c r="C22" s="7" t="str">
        <x:v>PEA-A-X1</x:v>
      </x:c>
      <x:c r="D22" s="7" t="str">
        <x:v>BLD-A</x:v>
      </x:c>
      <x:c r="E22" s="7" t="str">
        <x:v>BL-X</x:v>
      </x:c>
      <x:c r="F22" s="7" t="str">
        <x:v>SE</x:v>
      </x:c>
      <x:c r="G22" s="7" t="str">
        <x:v>seal and gasket</x:v>
      </x:c>
      <x:c r="H22" s="7" t="str"/>
      <x:c r="I22" s="7" t="str"/>
      <x:c r="J22" s="7" t="str"/>
      <x:c r="K22" s="7" t="str">
        <x:f>IF(J22="","OPEN",IF(OR(H22="",I22=""),"FAIL","PASS"))</x:f>
        <x:v>OPEN</x:v>
      </x:c>
    </x:row>
    <x:row r="23">
      <x:c r="B23" s="7" t="str">
        <x:v>CPN-PEA-A-X1-SF-1</x:v>
      </x:c>
      <x:c r="C23" s="7" t="str">
        <x:v>PEA-A-X1</x:v>
      </x:c>
      <x:c r="D23" s="7" t="str">
        <x:v>BLD-A</x:v>
      </x:c>
      <x:c r="E23" s="7" t="str">
        <x:v>BL-X</x:v>
      </x:c>
      <x:c r="F23" s="7" t="str">
        <x:v>SF</x:v>
      </x:c>
      <x:c r="G23" s="7" t="str">
        <x:v>wetted surface</x:v>
      </x:c>
      <x:c r="H23" s="7" t="str"/>
      <x:c r="I23" s="7" t="str"/>
      <x:c r="J23" s="7" t="str"/>
      <x:c r="K23" s="7" t="str">
        <x:f>IF(J23="","OPEN",IF(OR(H23="",I23=""),"FAIL","PASS"))</x:f>
        <x:v>OPEN</x:v>
      </x:c>
    </x:row>
    <x:row r="24">
      <x:c r="B24" s="7" t="str">
        <x:v>CPN-PEA-A-X1-SF-2</x:v>
      </x:c>
      <x:c r="C24" s="7" t="str">
        <x:v>PEA-A-X1</x:v>
      </x:c>
      <x:c r="D24" s="7" t="str">
        <x:v>BLD-A</x:v>
      </x:c>
      <x:c r="E24" s="7" t="str">
        <x:v>BL-X</x:v>
      </x:c>
      <x:c r="F24" s="7" t="str">
        <x:v>SF</x:v>
      </x:c>
      <x:c r="G24" s="7" t="str">
        <x:v>wetted surface</x:v>
      </x:c>
      <x:c r="H24" s="7" t="str"/>
      <x:c r="I24" s="7" t="str"/>
      <x:c r="J24" s="7" t="str"/>
      <x:c r="K24" s="7" t="str">
        <x:f>IF(J24="","OPEN",IF(OR(H24="",I24=""),"FAIL","PASS"))</x:f>
        <x:v>OPEN</x:v>
      </x:c>
    </x:row>
    <x:row r="25">
      <x:c r="B25" s="7" t="str">
        <x:v>CPN-PEA-A-X1-SF-3</x:v>
      </x:c>
      <x:c r="C25" s="7" t="str">
        <x:v>PEA-A-X1</x:v>
      </x:c>
      <x:c r="D25" s="7" t="str">
        <x:v>BLD-A</x:v>
      </x:c>
      <x:c r="E25" s="7" t="str">
        <x:v>BL-X</x:v>
      </x:c>
      <x:c r="F25" s="7" t="str">
        <x:v>SF</x:v>
      </x:c>
      <x:c r="G25" s="7" t="str">
        <x:v>wetted surface</x:v>
      </x:c>
      <x:c r="H25" s="7" t="str"/>
      <x:c r="I25" s="7" t="str"/>
      <x:c r="J25" s="7" t="str"/>
      <x:c r="K25" s="7" t="str">
        <x:f>IF(J25="","OPEN",IF(OR(H25="",I25=""),"FAIL","PASS"))</x:f>
        <x:v>OPEN</x:v>
      </x:c>
    </x:row>
    <x:row r="26">
      <x:c r="B26" s="7" t="str">
        <x:v>CPN-PEA-A-X1-SF-4</x:v>
      </x:c>
      <x:c r="C26" s="7" t="str">
        <x:v>PEA-A-X1</x:v>
      </x:c>
      <x:c r="D26" s="7" t="str">
        <x:v>BLD-A</x:v>
      </x:c>
      <x:c r="E26" s="7" t="str">
        <x:v>BL-X</x:v>
      </x:c>
      <x:c r="F26" s="7" t="str">
        <x:v>SF</x:v>
      </x:c>
      <x:c r="G26" s="7" t="str">
        <x:v>wetted surface</x:v>
      </x:c>
      <x:c r="H26" s="7" t="str"/>
      <x:c r="I26" s="7" t="str"/>
      <x:c r="J26" s="7" t="str"/>
      <x:c r="K26" s="7" t="str">
        <x:f>IF(J26="","OPEN",IF(OR(H26="",I26=""),"FAIL","PASS"))</x:f>
        <x:v>OPEN</x:v>
      </x:c>
    </x:row>
    <x:row r="27">
      <x:c r="B27" s="7" t="str">
        <x:v>CPN-PEA-A-X1-SF-5</x:v>
      </x:c>
      <x:c r="C27" s="7" t="str">
        <x:v>PEA-A-X1</x:v>
      </x:c>
      <x:c r="D27" s="7" t="str">
        <x:v>BLD-A</x:v>
      </x:c>
      <x:c r="E27" s="7" t="str">
        <x:v>BL-X</x:v>
      </x:c>
      <x:c r="F27" s="7" t="str">
        <x:v>SF</x:v>
      </x:c>
      <x:c r="G27" s="7" t="str">
        <x:v>wetted surface</x:v>
      </x:c>
      <x:c r="H27" s="7" t="str"/>
      <x:c r="I27" s="7" t="str"/>
      <x:c r="J27" s="7" t="str"/>
      <x:c r="K27" s="7" t="str">
        <x:f>IF(J27="","OPEN",IF(OR(H27="",I27=""),"FAIL","PASS"))</x:f>
        <x:v>OPEN</x:v>
      </x:c>
    </x:row>
    <x:row r="28">
      <x:c r="B28" s="7" t="str">
        <x:v>CPN-PEA-A-X1-SF-6</x:v>
      </x:c>
      <x:c r="C28" s="7" t="str">
        <x:v>PEA-A-X1</x:v>
      </x:c>
      <x:c r="D28" s="7" t="str">
        <x:v>BLD-A</x:v>
      </x:c>
      <x:c r="E28" s="7" t="str">
        <x:v>BL-X</x:v>
      </x:c>
      <x:c r="F28" s="7" t="str">
        <x:v>SF</x:v>
      </x:c>
      <x:c r="G28" s="7" t="str">
        <x:v>wetted surface</x:v>
      </x:c>
      <x:c r="H28" s="7" t="str"/>
      <x:c r="I28" s="7" t="str"/>
      <x:c r="J28" s="7" t="str"/>
      <x:c r="K28" s="7" t="str">
        <x:f>IF(J28="","OPEN",IF(OR(H28="",I28=""),"FAIL","PASS"))</x:f>
        <x:v>OPEN</x:v>
      </x:c>
    </x:row>
    <x:row r="29">
      <x:c r="B29" s="7" t="str">
        <x:v>CPN-PEA-A-X1-SF-7</x:v>
      </x:c>
      <x:c r="C29" s="7" t="str">
        <x:v>PEA-A-X1</x:v>
      </x:c>
      <x:c r="D29" s="7" t="str">
        <x:v>BLD-A</x:v>
      </x:c>
      <x:c r="E29" s="7" t="str">
        <x:v>BL-X</x:v>
      </x:c>
      <x:c r="F29" s="7" t="str">
        <x:v>SF</x:v>
      </x:c>
      <x:c r="G29" s="7" t="str">
        <x:v>wetted surface</x:v>
      </x:c>
      <x:c r="H29" s="7" t="str"/>
      <x:c r="I29" s="7" t="str"/>
      <x:c r="J29" s="7" t="str"/>
      <x:c r="K29" s="7" t="str">
        <x:f>IF(J29="","OPEN",IF(OR(H29="",I29=""),"FAIL","PASS"))</x:f>
        <x:v>OPEN</x:v>
      </x:c>
    </x:row>
    <x:row r="30">
      <x:c r="B30" s="7" t="str">
        <x:v>CPN-PEA-A-X1-SF-8</x:v>
      </x:c>
      <x:c r="C30" s="7" t="str">
        <x:v>PEA-A-X1</x:v>
      </x:c>
      <x:c r="D30" s="7" t="str">
        <x:v>BLD-A</x:v>
      </x:c>
      <x:c r="E30" s="7" t="str">
        <x:v>BL-X</x:v>
      </x:c>
      <x:c r="F30" s="7" t="str">
        <x:v>SF</x:v>
      </x:c>
      <x:c r="G30" s="7" t="str">
        <x:v>wetted surface</x:v>
      </x:c>
      <x:c r="H30" s="7" t="str"/>
      <x:c r="I30" s="7" t="str"/>
      <x:c r="J30" s="7" t="str"/>
      <x:c r="K30" s="7" t="str">
        <x:f>IF(J30="","OPEN",IF(OR(H30="",I30=""),"FAIL","PASS"))</x:f>
        <x:v>OPEN</x:v>
      </x:c>
    </x:row>
    <x:row r="31">
      <x:c r="B31" s="7" t="str">
        <x:v>CPN-PEA-A-X1-CP-1</x:v>
      </x:c>
      <x:c r="C31" s="7" t="str">
        <x:v>PEA-A-X1</x:v>
      </x:c>
      <x:c r="D31" s="7" t="str">
        <x:v>BLD-A</x:v>
      </x:c>
      <x:c r="E31" s="7" t="str">
        <x:v>BL-X</x:v>
      </x:c>
      <x:c r="F31" s="7" t="str">
        <x:v>CP</x:v>
      </x:c>
      <x:c r="G31" s="7" t="str">
        <x:v>penetration</x:v>
      </x:c>
      <x:c r="H31" s="7" t="str"/>
      <x:c r="I31" s="7" t="str"/>
      <x:c r="J31" s="7" t="str"/>
      <x:c r="K31" s="7" t="str">
        <x:f>IF(J31="","OPEN",IF(OR(H31="",I31=""),"FAIL","PASS"))</x:f>
        <x:v>OPEN</x:v>
      </x:c>
    </x:row>
    <x:row r="32">
      <x:c r="B32" s="7" t="str">
        <x:v>CPN-PEA-A-X1-CP-2</x:v>
      </x:c>
      <x:c r="C32" s="7" t="str">
        <x:v>PEA-A-X1</x:v>
      </x:c>
      <x:c r="D32" s="7" t="str">
        <x:v>BLD-A</x:v>
      </x:c>
      <x:c r="E32" s="7" t="str">
        <x:v>BL-X</x:v>
      </x:c>
      <x:c r="F32" s="7" t="str">
        <x:v>CP</x:v>
      </x:c>
      <x:c r="G32" s="7" t="str">
        <x:v>penetration</x:v>
      </x:c>
      <x:c r="H32" s="7" t="str"/>
      <x:c r="I32" s="7" t="str"/>
      <x:c r="J32" s="7" t="str"/>
      <x:c r="K32" s="7" t="str">
        <x:f>IF(J32="","OPEN",IF(OR(H32="",I32=""),"FAIL","PASS"))</x:f>
        <x:v>OPEN</x:v>
      </x:c>
    </x:row>
    <x:row r="33">
      <x:c r="B33" s="7" t="str">
        <x:v>CPN-PEA-A-X1-CP-3</x:v>
      </x:c>
      <x:c r="C33" s="7" t="str">
        <x:v>PEA-A-X1</x:v>
      </x:c>
      <x:c r="D33" s="7" t="str">
        <x:v>BLD-A</x:v>
      </x:c>
      <x:c r="E33" s="7" t="str">
        <x:v>BL-X</x:v>
      </x:c>
      <x:c r="F33" s="7" t="str">
        <x:v>CP</x:v>
      </x:c>
      <x:c r="G33" s="7" t="str">
        <x:v>penetration</x:v>
      </x:c>
      <x:c r="H33" s="7" t="str"/>
      <x:c r="I33" s="7" t="str"/>
      <x:c r="J33" s="7" t="str"/>
      <x:c r="K33" s="7" t="str">
        <x:f>IF(J33="","OPEN",IF(OR(H33="",I33=""),"FAIL","PASS"))</x:f>
        <x:v>OPEN</x:v>
      </x:c>
    </x:row>
    <x:row r="34">
      <x:c r="B34" s="7" t="str">
        <x:v>CPN-PEA-A-X1-CP-4</x:v>
      </x:c>
      <x:c r="C34" s="7" t="str">
        <x:v>PEA-A-X1</x:v>
      </x:c>
      <x:c r="D34" s="7" t="str">
        <x:v>BLD-A</x:v>
      </x:c>
      <x:c r="E34" s="7" t="str">
        <x:v>BL-X</x:v>
      </x:c>
      <x:c r="F34" s="7" t="str">
        <x:v>CP</x:v>
      </x:c>
      <x:c r="G34" s="7" t="str">
        <x:v>penetration</x:v>
      </x:c>
      <x:c r="H34" s="7" t="str"/>
      <x:c r="I34" s="7" t="str"/>
      <x:c r="J34" s="7" t="str"/>
      <x:c r="K34" s="7" t="str">
        <x:f>IF(J34="","OPEN",IF(OR(H34="",I34=""),"FAIL","PASS"))</x:f>
        <x:v>OPEN</x:v>
      </x:c>
    </x:row>
    <x:row r="35">
      <x:c r="B35" s="7" t="str">
        <x:v>CPN-PEA-A-X1-CP-5</x:v>
      </x:c>
      <x:c r="C35" s="7" t="str">
        <x:v>PEA-A-X1</x:v>
      </x:c>
      <x:c r="D35" s="7" t="str">
        <x:v>BLD-A</x:v>
      </x:c>
      <x:c r="E35" s="7" t="str">
        <x:v>BL-X</x:v>
      </x:c>
      <x:c r="F35" s="7" t="str">
        <x:v>CP</x:v>
      </x:c>
      <x:c r="G35" s="7" t="str">
        <x:v>penetration</x:v>
      </x:c>
      <x:c r="H35" s="7" t="str"/>
      <x:c r="I35" s="7" t="str"/>
      <x:c r="J35" s="7" t="str"/>
      <x:c r="K35" s="7" t="str">
        <x:f>IF(J35="","OPEN",IF(OR(H35="",I35=""),"FAIL","PASS"))</x:f>
        <x:v>OPEN</x:v>
      </x:c>
    </x:row>
    <x:row r="36">
      <x:c r="B36" s="7" t="str">
        <x:v>CPN-PEA-A-X1-CP-6</x:v>
      </x:c>
      <x:c r="C36" s="7" t="str">
        <x:v>PEA-A-X1</x:v>
      </x:c>
      <x:c r="D36" s="7" t="str">
        <x:v>BLD-A</x:v>
      </x:c>
      <x:c r="E36" s="7" t="str">
        <x:v>BL-X</x:v>
      </x:c>
      <x:c r="F36" s="7" t="str">
        <x:v>CP</x:v>
      </x:c>
      <x:c r="G36" s="7" t="str">
        <x:v>penetration</x:v>
      </x:c>
      <x:c r="H36" s="7" t="str"/>
      <x:c r="I36" s="7" t="str"/>
      <x:c r="J36" s="7" t="str"/>
      <x:c r="K36" s="7" t="str">
        <x:f>IF(J36="","OPEN",IF(OR(H36="",I36=""),"FAIL","PASS"))</x:f>
        <x:v>OPEN</x:v>
      </x:c>
    </x:row>
    <x:row r="37">
      <x:c r="B37" s="7" t="str">
        <x:v>CPN-PEA-A-X1-CP-7</x:v>
      </x:c>
      <x:c r="C37" s="7" t="str">
        <x:v>PEA-A-X1</x:v>
      </x:c>
      <x:c r="D37" s="7" t="str">
        <x:v>BLD-A</x:v>
      </x:c>
      <x:c r="E37" s="7" t="str">
        <x:v>BL-X</x:v>
      </x:c>
      <x:c r="F37" s="7" t="str">
        <x:v>CP</x:v>
      </x:c>
      <x:c r="G37" s="7" t="str">
        <x:v>penetration</x:v>
      </x:c>
      <x:c r="H37" s="7" t="str"/>
      <x:c r="I37" s="7" t="str"/>
      <x:c r="J37" s="7" t="str"/>
      <x:c r="K37" s="7" t="str">
        <x:f>IF(J37="","OPEN",IF(OR(H37="",I37=""),"FAIL","PASS"))</x:f>
        <x:v>OPEN</x:v>
      </x:c>
    </x:row>
    <x:row r="38">
      <x:c r="B38" s="7" t="str">
        <x:v>CPN-PEA-A-X1-CP-8</x:v>
      </x:c>
      <x:c r="C38" s="7" t="str">
        <x:v>PEA-A-X1</x:v>
      </x:c>
      <x:c r="D38" s="7" t="str">
        <x:v>BLD-A</x:v>
      </x:c>
      <x:c r="E38" s="7" t="str">
        <x:v>BL-X</x:v>
      </x:c>
      <x:c r="F38" s="7" t="str">
        <x:v>CP</x:v>
      </x:c>
      <x:c r="G38" s="7" t="str">
        <x:v>penetration</x:v>
      </x:c>
      <x:c r="H38" s="7" t="str"/>
      <x:c r="I38" s="7" t="str"/>
      <x:c r="J38" s="7" t="str"/>
      <x:c r="K38" s="7" t="str">
        <x:f>IF(J38="","OPEN",IF(OR(H38="",I38=""),"FAIL","PASS"))</x:f>
        <x:v>OPEN</x:v>
      </x:c>
    </x:row>
    <x:row r="39">
      <x:c r="B39" s="7" t="str">
        <x:v>CPN-PEA-A-X1-SM-1</x:v>
      </x:c>
      <x:c r="C39" s="7" t="str">
        <x:v>PEA-A-X1</x:v>
      </x:c>
      <x:c r="D39" s="7" t="str">
        <x:v>BLD-A</x:v>
      </x:c>
      <x:c r="E39" s="7" t="str">
        <x:v>BL-X</x:v>
      </x:c>
      <x:c r="F39" s="7" t="str">
        <x:v>SM</x:v>
      </x:c>
      <x:c r="G39" s="7" t="str">
        <x:v>sensor mount and datum</x:v>
      </x:c>
      <x:c r="H39" s="7" t="str"/>
      <x:c r="I39" s="7" t="str"/>
      <x:c r="J39" s="7" t="str"/>
      <x:c r="K39" s="7" t="str">
        <x:f>IF(J39="","OPEN",IF(OR(H39="",I39=""),"FAIL","PASS"))</x:f>
        <x:v>OPEN</x:v>
      </x:c>
    </x:row>
    <x:row r="40">
      <x:c r="B40" s="7" t="str">
        <x:v>CPN-PEA-A-X1-SM-2</x:v>
      </x:c>
      <x:c r="C40" s="7" t="str">
        <x:v>PEA-A-X1</x:v>
      </x:c>
      <x:c r="D40" s="7" t="str">
        <x:v>BLD-A</x:v>
      </x:c>
      <x:c r="E40" s="7" t="str">
        <x:v>BL-X</x:v>
      </x:c>
      <x:c r="F40" s="7" t="str">
        <x:v>SM</x:v>
      </x:c>
      <x:c r="G40" s="7" t="str">
        <x:v>sensor mount and datum</x:v>
      </x:c>
      <x:c r="H40" s="7" t="str"/>
      <x:c r="I40" s="7" t="str"/>
      <x:c r="J40" s="7" t="str"/>
      <x:c r="K40" s="7" t="str">
        <x:f>IF(J40="","OPEN",IF(OR(H40="",I40=""),"FAIL","PASS"))</x:f>
        <x:v>OPEN</x:v>
      </x:c>
    </x:row>
    <x:row r="41">
      <x:c r="B41" s="7" t="str">
        <x:v>CPN-PEA-A-X1-SM-3</x:v>
      </x:c>
      <x:c r="C41" s="7" t="str">
        <x:v>PEA-A-X1</x:v>
      </x:c>
      <x:c r="D41" s="7" t="str">
        <x:v>BLD-A</x:v>
      </x:c>
      <x:c r="E41" s="7" t="str">
        <x:v>BL-X</x:v>
      </x:c>
      <x:c r="F41" s="7" t="str">
        <x:v>SM</x:v>
      </x:c>
      <x:c r="G41" s="7" t="str">
        <x:v>sensor mount and datum</x:v>
      </x:c>
      <x:c r="H41" s="7" t="str"/>
      <x:c r="I41" s="7" t="str"/>
      <x:c r="J41" s="7" t="str"/>
      <x:c r="K41" s="7" t="str">
        <x:f>IF(J41="","OPEN",IF(OR(H41="",I41=""),"FAIL","PASS"))</x:f>
        <x:v>OPEN</x:v>
      </x:c>
    </x:row>
    <x:row r="42">
      <x:c r="B42" s="7" t="str">
        <x:v>CPN-PEA-A-X1-SM-4</x:v>
      </x:c>
      <x:c r="C42" s="7" t="str">
        <x:v>PEA-A-X1</x:v>
      </x:c>
      <x:c r="D42" s="7" t="str">
        <x:v>BLD-A</x:v>
      </x:c>
      <x:c r="E42" s="7" t="str">
        <x:v>BL-X</x:v>
      </x:c>
      <x:c r="F42" s="7" t="str">
        <x:v>SM</x:v>
      </x:c>
      <x:c r="G42" s="7" t="str">
        <x:v>sensor mount and datum</x:v>
      </x:c>
      <x:c r="H42" s="7" t="str"/>
      <x:c r="I42" s="7" t="str"/>
      <x:c r="J42" s="7" t="str"/>
      <x:c r="K42" s="7" t="str">
        <x:f>IF(J42="","OPEN",IF(OR(H42="",I42=""),"FAIL","PASS"))</x:f>
        <x:v>OPEN</x:v>
      </x:c>
    </x:row>
    <x:row r="43">
      <x:c r="B43" s="7" t="str">
        <x:v>CPN-PEA-A-X1-SM-5</x:v>
      </x:c>
      <x:c r="C43" s="7" t="str">
        <x:v>PEA-A-X1</x:v>
      </x:c>
      <x:c r="D43" s="7" t="str">
        <x:v>BLD-A</x:v>
      </x:c>
      <x:c r="E43" s="7" t="str">
        <x:v>BL-X</x:v>
      </x:c>
      <x:c r="F43" s="7" t="str">
        <x:v>SM</x:v>
      </x:c>
      <x:c r="G43" s="7" t="str">
        <x:v>sensor mount and datum</x:v>
      </x:c>
      <x:c r="H43" s="7" t="str"/>
      <x:c r="I43" s="7" t="str"/>
      <x:c r="J43" s="7" t="str"/>
      <x:c r="K43" s="7" t="str">
        <x:f>IF(J43="","OPEN",IF(OR(H43="",I43=""),"FAIL","PASS"))</x:f>
        <x:v>OPEN</x:v>
      </x:c>
    </x:row>
    <x:row r="44">
      <x:c r="B44" s="7" t="str">
        <x:v>CPN-PEA-A-X1-SM-6</x:v>
      </x:c>
      <x:c r="C44" s="7" t="str">
        <x:v>PEA-A-X1</x:v>
      </x:c>
      <x:c r="D44" s="7" t="str">
        <x:v>BLD-A</x:v>
      </x:c>
      <x:c r="E44" s="7" t="str">
        <x:v>BL-X</x:v>
      </x:c>
      <x:c r="F44" s="7" t="str">
        <x:v>SM</x:v>
      </x:c>
      <x:c r="G44" s="7" t="str">
        <x:v>sensor mount and datum</x:v>
      </x:c>
      <x:c r="H44" s="7" t="str"/>
      <x:c r="I44" s="7" t="str"/>
      <x:c r="J44" s="7" t="str"/>
      <x:c r="K44" s="7" t="str">
        <x:f>IF(J44="","OPEN",IF(OR(H44="",I44=""),"FAIL","PASS"))</x:f>
        <x:v>OPEN</x:v>
      </x:c>
    </x:row>
    <x:row r="45">
      <x:c r="B45" s="7" t="str">
        <x:v>CPN-PEA-A-X1-SM-7</x:v>
      </x:c>
      <x:c r="C45" s="7" t="str">
        <x:v>PEA-A-X1</x:v>
      </x:c>
      <x:c r="D45" s="7" t="str">
        <x:v>BLD-A</x:v>
      </x:c>
      <x:c r="E45" s="7" t="str">
        <x:v>BL-X</x:v>
      </x:c>
      <x:c r="F45" s="7" t="str">
        <x:v>SM</x:v>
      </x:c>
      <x:c r="G45" s="7" t="str">
        <x:v>sensor mount and datum</x:v>
      </x:c>
      <x:c r="H45" s="7" t="str"/>
      <x:c r="I45" s="7" t="str"/>
      <x:c r="J45" s="7" t="str"/>
      <x:c r="K45" s="7" t="str">
        <x:f>IF(J45="","OPEN",IF(OR(H45="",I45=""),"FAIL","PASS"))</x:f>
        <x:v>OPEN</x:v>
      </x:c>
    </x:row>
    <x:row r="46">
      <x:c r="B46" s="7" t="str">
        <x:v>CPN-PEA-A-X1-SM-8</x:v>
      </x:c>
      <x:c r="C46" s="7" t="str">
        <x:v>PEA-A-X1</x:v>
      </x:c>
      <x:c r="D46" s="7" t="str">
        <x:v>BLD-A</x:v>
      </x:c>
      <x:c r="E46" s="7" t="str">
        <x:v>BL-X</x:v>
      </x:c>
      <x:c r="F46" s="7" t="str">
        <x:v>SM</x:v>
      </x:c>
      <x:c r="G46" s="7" t="str">
        <x:v>sensor mount and datum</x:v>
      </x:c>
      <x:c r="H46" s="7" t="str"/>
      <x:c r="I46" s="7" t="str"/>
      <x:c r="J46" s="7" t="str"/>
      <x:c r="K46" s="7" t="str">
        <x:f>IF(J46="","OPEN",IF(OR(H46="",I46=""),"FAIL","PASS"))</x:f>
        <x:v>OPEN</x:v>
      </x:c>
    </x:row>
    <x:row r="47">
      <x:c r="B47" s="7" t="str">
        <x:v>CPN-PEA-A-X2-CJ-1</x:v>
      </x:c>
      <x:c r="C47" s="7" t="str">
        <x:v>PEA-A-X2</x:v>
      </x:c>
      <x:c r="D47" s="7" t="str">
        <x:v>BLD-A</x:v>
      </x:c>
      <x:c r="E47" s="7" t="str">
        <x:v>BL-X</x:v>
      </x:c>
      <x:c r="F47" s="7" t="str">
        <x:v>CJ</x:v>
      </x:c>
      <x:c r="G47" s="7" t="str">
        <x:v>joint or weld</x:v>
      </x:c>
      <x:c r="H47" s="7" t="str"/>
      <x:c r="I47" s="7" t="str"/>
      <x:c r="J47" s="7" t="str"/>
      <x:c r="K47" s="7" t="str">
        <x:f>IF(J47="","OPEN",IF(OR(H47="",I47=""),"FAIL","PASS"))</x:f>
        <x:v>OPEN</x:v>
      </x:c>
    </x:row>
    <x:row r="48">
      <x:c r="B48" s="7" t="str">
        <x:v>CPN-PEA-A-X2-CJ-2</x:v>
      </x:c>
      <x:c r="C48" s="7" t="str">
        <x:v>PEA-A-X2</x:v>
      </x:c>
      <x:c r="D48" s="7" t="str">
        <x:v>BLD-A</x:v>
      </x:c>
      <x:c r="E48" s="7" t="str">
        <x:v>BL-X</x:v>
      </x:c>
      <x:c r="F48" s="7" t="str">
        <x:v>CJ</x:v>
      </x:c>
      <x:c r="G48" s="7" t="str">
        <x:v>joint or weld</x:v>
      </x:c>
      <x:c r="H48" s="7" t="str"/>
      <x:c r="I48" s="7" t="str"/>
      <x:c r="J48" s="7" t="str"/>
      <x:c r="K48" s="7" t="str">
        <x:f>IF(J48="","OPEN",IF(OR(H48="",I48=""),"FAIL","PASS"))</x:f>
        <x:v>OPEN</x:v>
      </x:c>
    </x:row>
    <x:row r="49">
      <x:c r="B49" s="7" t="str">
        <x:v>CPN-PEA-A-X2-CJ-3</x:v>
      </x:c>
      <x:c r="C49" s="7" t="str">
        <x:v>PEA-A-X2</x:v>
      </x:c>
      <x:c r="D49" s="7" t="str">
        <x:v>BLD-A</x:v>
      </x:c>
      <x:c r="E49" s="7" t="str">
        <x:v>BL-X</x:v>
      </x:c>
      <x:c r="F49" s="7" t="str">
        <x:v>CJ</x:v>
      </x:c>
      <x:c r="G49" s="7" t="str">
        <x:v>joint or weld</x:v>
      </x:c>
      <x:c r="H49" s="7" t="str"/>
      <x:c r="I49" s="7" t="str"/>
      <x:c r="J49" s="7" t="str"/>
      <x:c r="K49" s="7" t="str">
        <x:f>IF(J49="","OPEN",IF(OR(H49="",I49=""),"FAIL","PASS"))</x:f>
        <x:v>OPEN</x:v>
      </x:c>
    </x:row>
    <x:row r="50">
      <x:c r="B50" s="7" t="str">
        <x:v>CPN-PEA-A-X2-CJ-4</x:v>
      </x:c>
      <x:c r="C50" s="7" t="str">
        <x:v>PEA-A-X2</x:v>
      </x:c>
      <x:c r="D50" s="7" t="str">
        <x:v>BLD-A</x:v>
      </x:c>
      <x:c r="E50" s="7" t="str">
        <x:v>BL-X</x:v>
      </x:c>
      <x:c r="F50" s="7" t="str">
        <x:v>CJ</x:v>
      </x:c>
      <x:c r="G50" s="7" t="str">
        <x:v>joint or weld</x:v>
      </x:c>
      <x:c r="H50" s="7" t="str"/>
      <x:c r="I50" s="7" t="str"/>
      <x:c r="J50" s="7" t="str"/>
      <x:c r="K50" s="7" t="str">
        <x:f>IF(J50="","OPEN",IF(OR(H50="",I50=""),"FAIL","PASS"))</x:f>
        <x:v>OPEN</x:v>
      </x:c>
    </x:row>
    <x:row r="51">
      <x:c r="B51" s="7" t="str">
        <x:v>CPN-PEA-A-X2-CJ-5</x:v>
      </x:c>
      <x:c r="C51" s="7" t="str">
        <x:v>PEA-A-X2</x:v>
      </x:c>
      <x:c r="D51" s="7" t="str">
        <x:v>BLD-A</x:v>
      </x:c>
      <x:c r="E51" s="7" t="str">
        <x:v>BL-X</x:v>
      </x:c>
      <x:c r="F51" s="7" t="str">
        <x:v>CJ</x:v>
      </x:c>
      <x:c r="G51" s="7" t="str">
        <x:v>joint or weld</x:v>
      </x:c>
      <x:c r="H51" s="7" t="str"/>
      <x:c r="I51" s="7" t="str"/>
      <x:c r="J51" s="7" t="str"/>
      <x:c r="K51" s="7" t="str">
        <x:f>IF(J51="","OPEN",IF(OR(H51="",I51=""),"FAIL","PASS"))</x:f>
        <x:v>OPEN</x:v>
      </x:c>
    </x:row>
    <x:row r="52">
      <x:c r="B52" s="7" t="str">
        <x:v>CPN-PEA-A-X2-CJ-6</x:v>
      </x:c>
      <x:c r="C52" s="7" t="str">
        <x:v>PEA-A-X2</x:v>
      </x:c>
      <x:c r="D52" s="7" t="str">
        <x:v>BLD-A</x:v>
      </x:c>
      <x:c r="E52" s="7" t="str">
        <x:v>BL-X</x:v>
      </x:c>
      <x:c r="F52" s="7" t="str">
        <x:v>CJ</x:v>
      </x:c>
      <x:c r="G52" s="7" t="str">
        <x:v>joint or weld</x:v>
      </x:c>
      <x:c r="H52" s="7" t="str"/>
      <x:c r="I52" s="7" t="str"/>
      <x:c r="J52" s="7" t="str"/>
      <x:c r="K52" s="7" t="str">
        <x:f>IF(J52="","OPEN",IF(OR(H52="",I52=""),"FAIL","PASS"))</x:f>
        <x:v>OPEN</x:v>
      </x:c>
    </x:row>
    <x:row r="53">
      <x:c r="B53" s="7" t="str">
        <x:v>CPN-PEA-A-X2-CJ-7</x:v>
      </x:c>
      <x:c r="C53" s="7" t="str">
        <x:v>PEA-A-X2</x:v>
      </x:c>
      <x:c r="D53" s="7" t="str">
        <x:v>BLD-A</x:v>
      </x:c>
      <x:c r="E53" s="7" t="str">
        <x:v>BL-X</x:v>
      </x:c>
      <x:c r="F53" s="7" t="str">
        <x:v>CJ</x:v>
      </x:c>
      <x:c r="G53" s="7" t="str">
        <x:v>joint or weld</x:v>
      </x:c>
      <x:c r="H53" s="7" t="str"/>
      <x:c r="I53" s="7" t="str"/>
      <x:c r="J53" s="7" t="str"/>
      <x:c r="K53" s="7" t="str">
        <x:f>IF(J53="","OPEN",IF(OR(H53="",I53=""),"FAIL","PASS"))</x:f>
        <x:v>OPEN</x:v>
      </x:c>
    </x:row>
    <x:row r="54">
      <x:c r="B54" s="7" t="str">
        <x:v>CPN-PEA-A-X2-CJ-8</x:v>
      </x:c>
      <x:c r="C54" s="7" t="str">
        <x:v>PEA-A-X2</x:v>
      </x:c>
      <x:c r="D54" s="7" t="str">
        <x:v>BLD-A</x:v>
      </x:c>
      <x:c r="E54" s="7" t="str">
        <x:v>BL-X</x:v>
      </x:c>
      <x:c r="F54" s="7" t="str">
        <x:v>CJ</x:v>
      </x:c>
      <x:c r="G54" s="7" t="str">
        <x:v>joint or weld</x:v>
      </x:c>
      <x:c r="H54" s="7" t="str"/>
      <x:c r="I54" s="7" t="str"/>
      <x:c r="J54" s="7" t="str"/>
      <x:c r="K54" s="7" t="str">
        <x:f>IF(J54="","OPEN",IF(OR(H54="",I54=""),"FAIL","PASS"))</x:f>
        <x:v>OPEN</x:v>
      </x:c>
    </x:row>
    <x:row r="55">
      <x:c r="B55" s="7" t="str">
        <x:v>CPN-PEA-A-X2-SE-1</x:v>
      </x:c>
      <x:c r="C55" s="7" t="str">
        <x:v>PEA-A-X2</x:v>
      </x:c>
      <x:c r="D55" s="7" t="str">
        <x:v>BLD-A</x:v>
      </x:c>
      <x:c r="E55" s="7" t="str">
        <x:v>BL-X</x:v>
      </x:c>
      <x:c r="F55" s="7" t="str">
        <x:v>SE</x:v>
      </x:c>
      <x:c r="G55" s="7" t="str">
        <x:v>seal and gasket</x:v>
      </x:c>
      <x:c r="H55" s="7" t="str"/>
      <x:c r="I55" s="7" t="str"/>
      <x:c r="J55" s="7" t="str"/>
      <x:c r="K55" s="7" t="str">
        <x:f>IF(J55="","OPEN",IF(OR(H55="",I55=""),"FAIL","PASS"))</x:f>
        <x:v>OPEN</x:v>
      </x:c>
    </x:row>
    <x:row r="56">
      <x:c r="B56" s="7" t="str">
        <x:v>CPN-PEA-A-X2-SE-2</x:v>
      </x:c>
      <x:c r="C56" s="7" t="str">
        <x:v>PEA-A-X2</x:v>
      </x:c>
      <x:c r="D56" s="7" t="str">
        <x:v>BLD-A</x:v>
      </x:c>
      <x:c r="E56" s="7" t="str">
        <x:v>BL-X</x:v>
      </x:c>
      <x:c r="F56" s="7" t="str">
        <x:v>SE</x:v>
      </x:c>
      <x:c r="G56" s="7" t="str">
        <x:v>seal and gasket</x:v>
      </x:c>
      <x:c r="H56" s="7" t="str"/>
      <x:c r="I56" s="7" t="str"/>
      <x:c r="J56" s="7" t="str"/>
      <x:c r="K56" s="7" t="str">
        <x:f>IF(J56="","OPEN",IF(OR(H56="",I56=""),"FAIL","PASS"))</x:f>
        <x:v>OPEN</x:v>
      </x:c>
    </x:row>
    <x:row r="57">
      <x:c r="B57" s="7" t="str">
        <x:v>CPN-PEA-A-X2-SE-3</x:v>
      </x:c>
      <x:c r="C57" s="7" t="str">
        <x:v>PEA-A-X2</x:v>
      </x:c>
      <x:c r="D57" s="7" t="str">
        <x:v>BLD-A</x:v>
      </x:c>
      <x:c r="E57" s="7" t="str">
        <x:v>BL-X</x:v>
      </x:c>
      <x:c r="F57" s="7" t="str">
        <x:v>SE</x:v>
      </x:c>
      <x:c r="G57" s="7" t="str">
        <x:v>seal and gasket</x:v>
      </x:c>
      <x:c r="H57" s="7" t="str"/>
      <x:c r="I57" s="7" t="str"/>
      <x:c r="J57" s="7" t="str"/>
      <x:c r="K57" s="7" t="str">
        <x:f>IF(J57="","OPEN",IF(OR(H57="",I57=""),"FAIL","PASS"))</x:f>
        <x:v>OPEN</x:v>
      </x:c>
    </x:row>
    <x:row r="58">
      <x:c r="B58" s="7" t="str">
        <x:v>CPN-PEA-A-X2-SE-4</x:v>
      </x:c>
      <x:c r="C58" s="7" t="str">
        <x:v>PEA-A-X2</x:v>
      </x:c>
      <x:c r="D58" s="7" t="str">
        <x:v>BLD-A</x:v>
      </x:c>
      <x:c r="E58" s="7" t="str">
        <x:v>BL-X</x:v>
      </x:c>
      <x:c r="F58" s="7" t="str">
        <x:v>SE</x:v>
      </x:c>
      <x:c r="G58" s="7" t="str">
        <x:v>seal and gasket</x:v>
      </x:c>
      <x:c r="H58" s="7" t="str"/>
      <x:c r="I58" s="7" t="str"/>
      <x:c r="J58" s="7" t="str"/>
      <x:c r="K58" s="7" t="str">
        <x:f>IF(J58="","OPEN",IF(OR(H58="",I58=""),"FAIL","PASS"))</x:f>
        <x:v>OPEN</x:v>
      </x:c>
    </x:row>
    <x:row r="59">
      <x:c r="B59" s="7" t="str">
        <x:v>CPN-PEA-A-X2-SE-5</x:v>
      </x:c>
      <x:c r="C59" s="7" t="str">
        <x:v>PEA-A-X2</x:v>
      </x:c>
      <x:c r="D59" s="7" t="str">
        <x:v>BLD-A</x:v>
      </x:c>
      <x:c r="E59" s="7" t="str">
        <x:v>BL-X</x:v>
      </x:c>
      <x:c r="F59" s="7" t="str">
        <x:v>SE</x:v>
      </x:c>
      <x:c r="G59" s="7" t="str">
        <x:v>seal and gasket</x:v>
      </x:c>
      <x:c r="H59" s="7" t="str"/>
      <x:c r="I59" s="7" t="str"/>
      <x:c r="J59" s="7" t="str"/>
      <x:c r="K59" s="7" t="str">
        <x:f>IF(J59="","OPEN",IF(OR(H59="",I59=""),"FAIL","PASS"))</x:f>
        <x:v>OPEN</x:v>
      </x:c>
    </x:row>
    <x:row r="60">
      <x:c r="B60" s="7" t="str">
        <x:v>CPN-PEA-A-X2-SE-6</x:v>
      </x:c>
      <x:c r="C60" s="7" t="str">
        <x:v>PEA-A-X2</x:v>
      </x:c>
      <x:c r="D60" s="7" t="str">
        <x:v>BLD-A</x:v>
      </x:c>
      <x:c r="E60" s="7" t="str">
        <x:v>BL-X</x:v>
      </x:c>
      <x:c r="F60" s="7" t="str">
        <x:v>SE</x:v>
      </x:c>
      <x:c r="G60" s="7" t="str">
        <x:v>seal and gasket</x:v>
      </x:c>
      <x:c r="H60" s="7" t="str"/>
      <x:c r="I60" s="7" t="str"/>
      <x:c r="J60" s="7" t="str"/>
      <x:c r="K60" s="7" t="str">
        <x:f>IF(J60="","OPEN",IF(OR(H60="",I60=""),"FAIL","PASS"))</x:f>
        <x:v>OPEN</x:v>
      </x:c>
    </x:row>
    <x:row r="61">
      <x:c r="B61" s="7" t="str">
        <x:v>CPN-PEA-A-X2-SE-7</x:v>
      </x:c>
      <x:c r="C61" s="7" t="str">
        <x:v>PEA-A-X2</x:v>
      </x:c>
      <x:c r="D61" s="7" t="str">
        <x:v>BLD-A</x:v>
      </x:c>
      <x:c r="E61" s="7" t="str">
        <x:v>BL-X</x:v>
      </x:c>
      <x:c r="F61" s="7" t="str">
        <x:v>SE</x:v>
      </x:c>
      <x:c r="G61" s="7" t="str">
        <x:v>seal and gasket</x:v>
      </x:c>
      <x:c r="H61" s="7" t="str"/>
      <x:c r="I61" s="7" t="str"/>
      <x:c r="J61" s="7" t="str"/>
      <x:c r="K61" s="7" t="str">
        <x:f>IF(J61="","OPEN",IF(OR(H61="",I61=""),"FAIL","PASS"))</x:f>
        <x:v>OPEN</x:v>
      </x:c>
    </x:row>
    <x:row r="62">
      <x:c r="B62" s="7" t="str">
        <x:v>CPN-PEA-A-X2-SE-8</x:v>
      </x:c>
      <x:c r="C62" s="7" t="str">
        <x:v>PEA-A-X2</x:v>
      </x:c>
      <x:c r="D62" s="7" t="str">
        <x:v>BLD-A</x:v>
      </x:c>
      <x:c r="E62" s="7" t="str">
        <x:v>BL-X</x:v>
      </x:c>
      <x:c r="F62" s="7" t="str">
        <x:v>SE</x:v>
      </x:c>
      <x:c r="G62" s="7" t="str">
        <x:v>seal and gasket</x:v>
      </x:c>
      <x:c r="H62" s="7" t="str"/>
      <x:c r="I62" s="7" t="str"/>
      <x:c r="J62" s="7" t="str"/>
      <x:c r="K62" s="7" t="str">
        <x:f>IF(J62="","OPEN",IF(OR(H62="",I62=""),"FAIL","PASS"))</x:f>
        <x:v>OPEN</x:v>
      </x:c>
    </x:row>
    <x:row r="63">
      <x:c r="B63" s="7" t="str">
        <x:v>CPN-PEA-A-X2-SF-1</x:v>
      </x:c>
      <x:c r="C63" s="7" t="str">
        <x:v>PEA-A-X2</x:v>
      </x:c>
      <x:c r="D63" s="7" t="str">
        <x:v>BLD-A</x:v>
      </x:c>
      <x:c r="E63" s="7" t="str">
        <x:v>BL-X</x:v>
      </x:c>
      <x:c r="F63" s="7" t="str">
        <x:v>SF</x:v>
      </x:c>
      <x:c r="G63" s="7" t="str">
        <x:v>wetted surface</x:v>
      </x:c>
      <x:c r="H63" s="7" t="str"/>
      <x:c r="I63" s="7" t="str"/>
      <x:c r="J63" s="7" t="str"/>
      <x:c r="K63" s="7" t="str">
        <x:f>IF(J63="","OPEN",IF(OR(H63="",I63=""),"FAIL","PASS"))</x:f>
        <x:v>OPEN</x:v>
      </x:c>
    </x:row>
    <x:row r="64">
      <x:c r="B64" s="7" t="str">
        <x:v>CPN-PEA-A-X2-SF-2</x:v>
      </x:c>
      <x:c r="C64" s="7" t="str">
        <x:v>PEA-A-X2</x:v>
      </x:c>
      <x:c r="D64" s="7" t="str">
        <x:v>BLD-A</x:v>
      </x:c>
      <x:c r="E64" s="7" t="str">
        <x:v>BL-X</x:v>
      </x:c>
      <x:c r="F64" s="7" t="str">
        <x:v>SF</x:v>
      </x:c>
      <x:c r="G64" s="7" t="str">
        <x:v>wetted surface</x:v>
      </x:c>
      <x:c r="H64" s="7" t="str"/>
      <x:c r="I64" s="7" t="str"/>
      <x:c r="J64" s="7" t="str"/>
      <x:c r="K64" s="7" t="str">
        <x:f>IF(J64="","OPEN",IF(OR(H64="",I64=""),"FAIL","PASS"))</x:f>
        <x:v>OPEN</x:v>
      </x:c>
    </x:row>
    <x:row r="65">
      <x:c r="B65" s="7" t="str">
        <x:v>CPN-PEA-A-X2-SF-3</x:v>
      </x:c>
      <x:c r="C65" s="7" t="str">
        <x:v>PEA-A-X2</x:v>
      </x:c>
      <x:c r="D65" s="7" t="str">
        <x:v>BLD-A</x:v>
      </x:c>
      <x:c r="E65" s="7" t="str">
        <x:v>BL-X</x:v>
      </x:c>
      <x:c r="F65" s="7" t="str">
        <x:v>SF</x:v>
      </x:c>
      <x:c r="G65" s="7" t="str">
        <x:v>wetted surface</x:v>
      </x:c>
      <x:c r="H65" s="7" t="str"/>
      <x:c r="I65" s="7" t="str"/>
      <x:c r="J65" s="7" t="str"/>
      <x:c r="K65" s="7" t="str">
        <x:f>IF(J65="","OPEN",IF(OR(H65="",I65=""),"FAIL","PASS"))</x:f>
        <x:v>OPEN</x:v>
      </x:c>
    </x:row>
    <x:row r="66">
      <x:c r="B66" s="7" t="str">
        <x:v>CPN-PEA-A-X2-SF-4</x:v>
      </x:c>
      <x:c r="C66" s="7" t="str">
        <x:v>PEA-A-X2</x:v>
      </x:c>
      <x:c r="D66" s="7" t="str">
        <x:v>BLD-A</x:v>
      </x:c>
      <x:c r="E66" s="7" t="str">
        <x:v>BL-X</x:v>
      </x:c>
      <x:c r="F66" s="7" t="str">
        <x:v>SF</x:v>
      </x:c>
      <x:c r="G66" s="7" t="str">
        <x:v>wetted surface</x:v>
      </x:c>
      <x:c r="H66" s="7" t="str"/>
      <x:c r="I66" s="7" t="str"/>
      <x:c r="J66" s="7" t="str"/>
      <x:c r="K66" s="7" t="str">
        <x:f>IF(J66="","OPEN",IF(OR(H66="",I66=""),"FAIL","PASS"))</x:f>
        <x:v>OPEN</x:v>
      </x:c>
    </x:row>
    <x:row r="67">
      <x:c r="B67" s="7" t="str">
        <x:v>CPN-PEA-A-X2-SF-5</x:v>
      </x:c>
      <x:c r="C67" s="7" t="str">
        <x:v>PEA-A-X2</x:v>
      </x:c>
      <x:c r="D67" s="7" t="str">
        <x:v>BLD-A</x:v>
      </x:c>
      <x:c r="E67" s="7" t="str">
        <x:v>BL-X</x:v>
      </x:c>
      <x:c r="F67" s="7" t="str">
        <x:v>SF</x:v>
      </x:c>
      <x:c r="G67" s="7" t="str">
        <x:v>wetted surface</x:v>
      </x:c>
      <x:c r="H67" s="7" t="str"/>
      <x:c r="I67" s="7" t="str"/>
      <x:c r="J67" s="7" t="str"/>
      <x:c r="K67" s="7" t="str">
        <x:f>IF(J67="","OPEN",IF(OR(H67="",I67=""),"FAIL","PASS"))</x:f>
        <x:v>OPEN</x:v>
      </x:c>
    </x:row>
    <x:row r="68">
      <x:c r="B68" s="7" t="str">
        <x:v>CPN-PEA-A-X2-SF-6</x:v>
      </x:c>
      <x:c r="C68" s="7" t="str">
        <x:v>PEA-A-X2</x:v>
      </x:c>
      <x:c r="D68" s="7" t="str">
        <x:v>BLD-A</x:v>
      </x:c>
      <x:c r="E68" s="7" t="str">
        <x:v>BL-X</x:v>
      </x:c>
      <x:c r="F68" s="7" t="str">
        <x:v>SF</x:v>
      </x:c>
      <x:c r="G68" s="7" t="str">
        <x:v>wetted surface</x:v>
      </x:c>
      <x:c r="H68" s="7" t="str"/>
      <x:c r="I68" s="7" t="str"/>
      <x:c r="J68" s="7" t="str"/>
      <x:c r="K68" s="7" t="str">
        <x:f>IF(J68="","OPEN",IF(OR(H68="",I68=""),"FAIL","PASS"))</x:f>
        <x:v>OPEN</x:v>
      </x:c>
    </x:row>
    <x:row r="69">
      <x:c r="B69" s="7" t="str">
        <x:v>CPN-PEA-A-X2-SF-7</x:v>
      </x:c>
      <x:c r="C69" s="7" t="str">
        <x:v>PEA-A-X2</x:v>
      </x:c>
      <x:c r="D69" s="7" t="str">
        <x:v>BLD-A</x:v>
      </x:c>
      <x:c r="E69" s="7" t="str">
        <x:v>BL-X</x:v>
      </x:c>
      <x:c r="F69" s="7" t="str">
        <x:v>SF</x:v>
      </x:c>
      <x:c r="G69" s="7" t="str">
        <x:v>wetted surface</x:v>
      </x:c>
      <x:c r="H69" s="7" t="str"/>
      <x:c r="I69" s="7" t="str"/>
      <x:c r="J69" s="7" t="str"/>
      <x:c r="K69" s="7" t="str">
        <x:f>IF(J69="","OPEN",IF(OR(H69="",I69=""),"FAIL","PASS"))</x:f>
        <x:v>OPEN</x:v>
      </x:c>
    </x:row>
    <x:row r="70">
      <x:c r="B70" s="7" t="str">
        <x:v>CPN-PEA-A-X2-SF-8</x:v>
      </x:c>
      <x:c r="C70" s="7" t="str">
        <x:v>PEA-A-X2</x:v>
      </x:c>
      <x:c r="D70" s="7" t="str">
        <x:v>BLD-A</x:v>
      </x:c>
      <x:c r="E70" s="7" t="str">
        <x:v>BL-X</x:v>
      </x:c>
      <x:c r="F70" s="7" t="str">
        <x:v>SF</x:v>
      </x:c>
      <x:c r="G70" s="7" t="str">
        <x:v>wetted surface</x:v>
      </x:c>
      <x:c r="H70" s="7" t="str"/>
      <x:c r="I70" s="7" t="str"/>
      <x:c r="J70" s="7" t="str"/>
      <x:c r="K70" s="7" t="str">
        <x:f>IF(J70="","OPEN",IF(OR(H70="",I70=""),"FAIL","PASS"))</x:f>
        <x:v>OPEN</x:v>
      </x:c>
    </x:row>
    <x:row r="71">
      <x:c r="B71" s="7" t="str">
        <x:v>CPN-PEA-A-X2-CP-1</x:v>
      </x:c>
      <x:c r="C71" s="7" t="str">
        <x:v>PEA-A-X2</x:v>
      </x:c>
      <x:c r="D71" s="7" t="str">
        <x:v>BLD-A</x:v>
      </x:c>
      <x:c r="E71" s="7" t="str">
        <x:v>BL-X</x:v>
      </x:c>
      <x:c r="F71" s="7" t="str">
        <x:v>CP</x:v>
      </x:c>
      <x:c r="G71" s="7" t="str">
        <x:v>penetration</x:v>
      </x:c>
      <x:c r="H71" s="7" t="str"/>
      <x:c r="I71" s="7" t="str"/>
      <x:c r="J71" s="7" t="str"/>
      <x:c r="K71" s="7" t="str">
        <x:f>IF(J71="","OPEN",IF(OR(H71="",I71=""),"FAIL","PASS"))</x:f>
        <x:v>OPEN</x:v>
      </x:c>
    </x:row>
    <x:row r="72">
      <x:c r="B72" s="7" t="str">
        <x:v>CPN-PEA-A-X2-CP-2</x:v>
      </x:c>
      <x:c r="C72" s="7" t="str">
        <x:v>PEA-A-X2</x:v>
      </x:c>
      <x:c r="D72" s="7" t="str">
        <x:v>BLD-A</x:v>
      </x:c>
      <x:c r="E72" s="7" t="str">
        <x:v>BL-X</x:v>
      </x:c>
      <x:c r="F72" s="7" t="str">
        <x:v>CP</x:v>
      </x:c>
      <x:c r="G72" s="7" t="str">
        <x:v>penetration</x:v>
      </x:c>
      <x:c r="H72" s="7" t="str"/>
      <x:c r="I72" s="7" t="str"/>
      <x:c r="J72" s="7" t="str"/>
      <x:c r="K72" s="7" t="str">
        <x:f>IF(J72="","OPEN",IF(OR(H72="",I72=""),"FAIL","PASS"))</x:f>
        <x:v>OPEN</x:v>
      </x:c>
    </x:row>
    <x:row r="73">
      <x:c r="B73" s="7" t="str">
        <x:v>CPN-PEA-A-X2-CP-3</x:v>
      </x:c>
      <x:c r="C73" s="7" t="str">
        <x:v>PEA-A-X2</x:v>
      </x:c>
      <x:c r="D73" s="7" t="str">
        <x:v>BLD-A</x:v>
      </x:c>
      <x:c r="E73" s="7" t="str">
        <x:v>BL-X</x:v>
      </x:c>
      <x:c r="F73" s="7" t="str">
        <x:v>CP</x:v>
      </x:c>
      <x:c r="G73" s="7" t="str">
        <x:v>penetration</x:v>
      </x:c>
      <x:c r="H73" s="7" t="str"/>
      <x:c r="I73" s="7" t="str"/>
      <x:c r="J73" s="7" t="str"/>
      <x:c r="K73" s="7" t="str">
        <x:f>IF(J73="","OPEN",IF(OR(H73="",I73=""),"FAIL","PASS"))</x:f>
        <x:v>OPEN</x:v>
      </x:c>
    </x:row>
    <x:row r="74">
      <x:c r="B74" s="7" t="str">
        <x:v>CPN-PEA-A-X2-CP-4</x:v>
      </x:c>
      <x:c r="C74" s="7" t="str">
        <x:v>PEA-A-X2</x:v>
      </x:c>
      <x:c r="D74" s="7" t="str">
        <x:v>BLD-A</x:v>
      </x:c>
      <x:c r="E74" s="7" t="str">
        <x:v>BL-X</x:v>
      </x:c>
      <x:c r="F74" s="7" t="str">
        <x:v>CP</x:v>
      </x:c>
      <x:c r="G74" s="7" t="str">
        <x:v>penetration</x:v>
      </x:c>
      <x:c r="H74" s="7" t="str"/>
      <x:c r="I74" s="7" t="str"/>
      <x:c r="J74" s="7" t="str"/>
      <x:c r="K74" s="7" t="str">
        <x:f>IF(J74="","OPEN",IF(OR(H74="",I74=""),"FAIL","PASS"))</x:f>
        <x:v>OPEN</x:v>
      </x:c>
    </x:row>
    <x:row r="75">
      <x:c r="B75" s="7" t="str">
        <x:v>CPN-PEA-A-X2-CP-5</x:v>
      </x:c>
      <x:c r="C75" s="7" t="str">
        <x:v>PEA-A-X2</x:v>
      </x:c>
      <x:c r="D75" s="7" t="str">
        <x:v>BLD-A</x:v>
      </x:c>
      <x:c r="E75" s="7" t="str">
        <x:v>BL-X</x:v>
      </x:c>
      <x:c r="F75" s="7" t="str">
        <x:v>CP</x:v>
      </x:c>
      <x:c r="G75" s="7" t="str">
        <x:v>penetration</x:v>
      </x:c>
      <x:c r="H75" s="7" t="str"/>
      <x:c r="I75" s="7" t="str"/>
      <x:c r="J75" s="7" t="str"/>
      <x:c r="K75" s="7" t="str">
        <x:f>IF(J75="","OPEN",IF(OR(H75="",I75=""),"FAIL","PASS"))</x:f>
        <x:v>OPEN</x:v>
      </x:c>
    </x:row>
    <x:row r="76">
      <x:c r="B76" s="7" t="str">
        <x:v>CPN-PEA-A-X2-CP-6</x:v>
      </x:c>
      <x:c r="C76" s="7" t="str">
        <x:v>PEA-A-X2</x:v>
      </x:c>
      <x:c r="D76" s="7" t="str">
        <x:v>BLD-A</x:v>
      </x:c>
      <x:c r="E76" s="7" t="str">
        <x:v>BL-X</x:v>
      </x:c>
      <x:c r="F76" s="7" t="str">
        <x:v>CP</x:v>
      </x:c>
      <x:c r="G76" s="7" t="str">
        <x:v>penetration</x:v>
      </x:c>
      <x:c r="H76" s="7" t="str"/>
      <x:c r="I76" s="7" t="str"/>
      <x:c r="J76" s="7" t="str"/>
      <x:c r="K76" s="7" t="str">
        <x:f>IF(J76="","OPEN",IF(OR(H76="",I76=""),"FAIL","PASS"))</x:f>
        <x:v>OPEN</x:v>
      </x:c>
    </x:row>
    <x:row r="77">
      <x:c r="B77" s="7" t="str">
        <x:v>CPN-PEA-A-X2-CP-7</x:v>
      </x:c>
      <x:c r="C77" s="7" t="str">
        <x:v>PEA-A-X2</x:v>
      </x:c>
      <x:c r="D77" s="7" t="str">
        <x:v>BLD-A</x:v>
      </x:c>
      <x:c r="E77" s="7" t="str">
        <x:v>BL-X</x:v>
      </x:c>
      <x:c r="F77" s="7" t="str">
        <x:v>CP</x:v>
      </x:c>
      <x:c r="G77" s="7" t="str">
        <x:v>penetration</x:v>
      </x:c>
      <x:c r="H77" s="7" t="str"/>
      <x:c r="I77" s="7" t="str"/>
      <x:c r="J77" s="7" t="str"/>
      <x:c r="K77" s="7" t="str">
        <x:f>IF(J77="","OPEN",IF(OR(H77="",I77=""),"FAIL","PASS"))</x:f>
        <x:v>OPEN</x:v>
      </x:c>
    </x:row>
    <x:row r="78">
      <x:c r="B78" s="7" t="str">
        <x:v>CPN-PEA-A-X2-CP-8</x:v>
      </x:c>
      <x:c r="C78" s="7" t="str">
        <x:v>PEA-A-X2</x:v>
      </x:c>
      <x:c r="D78" s="7" t="str">
        <x:v>BLD-A</x:v>
      </x:c>
      <x:c r="E78" s="7" t="str">
        <x:v>BL-X</x:v>
      </x:c>
      <x:c r="F78" s="7" t="str">
        <x:v>CP</x:v>
      </x:c>
      <x:c r="G78" s="7" t="str">
        <x:v>penetration</x:v>
      </x:c>
      <x:c r="H78" s="7" t="str"/>
      <x:c r="I78" s="7" t="str"/>
      <x:c r="J78" s="7" t="str"/>
      <x:c r="K78" s="7" t="str">
        <x:f>IF(J78="","OPEN",IF(OR(H78="",I78=""),"FAIL","PASS"))</x:f>
        <x:v>OPEN</x:v>
      </x:c>
    </x:row>
    <x:row r="79">
      <x:c r="B79" s="7" t="str">
        <x:v>CPN-PEA-A-X2-SM-1</x:v>
      </x:c>
      <x:c r="C79" s="7" t="str">
        <x:v>PEA-A-X2</x:v>
      </x:c>
      <x:c r="D79" s="7" t="str">
        <x:v>BLD-A</x:v>
      </x:c>
      <x:c r="E79" s="7" t="str">
        <x:v>BL-X</x:v>
      </x:c>
      <x:c r="F79" s="7" t="str">
        <x:v>SM</x:v>
      </x:c>
      <x:c r="G79" s="7" t="str">
        <x:v>sensor mount and datum</x:v>
      </x:c>
      <x:c r="H79" s="7" t="str"/>
      <x:c r="I79" s="7" t="str"/>
      <x:c r="J79" s="7" t="str"/>
      <x:c r="K79" s="7" t="str">
        <x:f>IF(J79="","OPEN",IF(OR(H79="",I79=""),"FAIL","PASS"))</x:f>
        <x:v>OPEN</x:v>
      </x:c>
    </x:row>
    <x:row r="80">
      <x:c r="B80" s="7" t="str">
        <x:v>CPN-PEA-A-X2-SM-2</x:v>
      </x:c>
      <x:c r="C80" s="7" t="str">
        <x:v>PEA-A-X2</x:v>
      </x:c>
      <x:c r="D80" s="7" t="str">
        <x:v>BLD-A</x:v>
      </x:c>
      <x:c r="E80" s="7" t="str">
        <x:v>BL-X</x:v>
      </x:c>
      <x:c r="F80" s="7" t="str">
        <x:v>SM</x:v>
      </x:c>
      <x:c r="G80" s="7" t="str">
        <x:v>sensor mount and datum</x:v>
      </x:c>
      <x:c r="H80" s="7" t="str"/>
      <x:c r="I80" s="7" t="str"/>
      <x:c r="J80" s="7" t="str"/>
      <x:c r="K80" s="7" t="str">
        <x:f>IF(J80="","OPEN",IF(OR(H80="",I80=""),"FAIL","PASS"))</x:f>
        <x:v>OPEN</x:v>
      </x:c>
    </x:row>
    <x:row r="81">
      <x:c r="B81" s="7" t="str">
        <x:v>CPN-PEA-A-X2-SM-3</x:v>
      </x:c>
      <x:c r="C81" s="7" t="str">
        <x:v>PEA-A-X2</x:v>
      </x:c>
      <x:c r="D81" s="7" t="str">
        <x:v>BLD-A</x:v>
      </x:c>
      <x:c r="E81" s="7" t="str">
        <x:v>BL-X</x:v>
      </x:c>
      <x:c r="F81" s="7" t="str">
        <x:v>SM</x:v>
      </x:c>
      <x:c r="G81" s="7" t="str">
        <x:v>sensor mount and datum</x:v>
      </x:c>
      <x:c r="H81" s="7" t="str"/>
      <x:c r="I81" s="7" t="str"/>
      <x:c r="J81" s="7" t="str"/>
      <x:c r="K81" s="7" t="str">
        <x:f>IF(J81="","OPEN",IF(OR(H81="",I81=""),"FAIL","PASS"))</x:f>
        <x:v>OPEN</x:v>
      </x:c>
    </x:row>
    <x:row r="82">
      <x:c r="B82" s="7" t="str">
        <x:v>CPN-PEA-A-X2-SM-4</x:v>
      </x:c>
      <x:c r="C82" s="7" t="str">
        <x:v>PEA-A-X2</x:v>
      </x:c>
      <x:c r="D82" s="7" t="str">
        <x:v>BLD-A</x:v>
      </x:c>
      <x:c r="E82" s="7" t="str">
        <x:v>BL-X</x:v>
      </x:c>
      <x:c r="F82" s="7" t="str">
        <x:v>SM</x:v>
      </x:c>
      <x:c r="G82" s="7" t="str">
        <x:v>sensor mount and datum</x:v>
      </x:c>
      <x:c r="H82" s="7" t="str"/>
      <x:c r="I82" s="7" t="str"/>
      <x:c r="J82" s="7" t="str"/>
      <x:c r="K82" s="7" t="str">
        <x:f>IF(J82="","OPEN",IF(OR(H82="",I82=""),"FAIL","PASS"))</x:f>
        <x:v>OPEN</x:v>
      </x:c>
    </x:row>
    <x:row r="83">
      <x:c r="B83" s="7" t="str">
        <x:v>CPN-PEA-A-X2-SM-5</x:v>
      </x:c>
      <x:c r="C83" s="7" t="str">
        <x:v>PEA-A-X2</x:v>
      </x:c>
      <x:c r="D83" s="7" t="str">
        <x:v>BLD-A</x:v>
      </x:c>
      <x:c r="E83" s="7" t="str">
        <x:v>BL-X</x:v>
      </x:c>
      <x:c r="F83" s="7" t="str">
        <x:v>SM</x:v>
      </x:c>
      <x:c r="G83" s="7" t="str">
        <x:v>sensor mount and datum</x:v>
      </x:c>
      <x:c r="H83" s="7" t="str"/>
      <x:c r="I83" s="7" t="str"/>
      <x:c r="J83" s="7" t="str"/>
      <x:c r="K83" s="7" t="str">
        <x:f>IF(J83="","OPEN",IF(OR(H83="",I83=""),"FAIL","PASS"))</x:f>
        <x:v>OPEN</x:v>
      </x:c>
    </x:row>
    <x:row r="84">
      <x:c r="B84" s="7" t="str">
        <x:v>CPN-PEA-A-X2-SM-6</x:v>
      </x:c>
      <x:c r="C84" s="7" t="str">
        <x:v>PEA-A-X2</x:v>
      </x:c>
      <x:c r="D84" s="7" t="str">
        <x:v>BLD-A</x:v>
      </x:c>
      <x:c r="E84" s="7" t="str">
        <x:v>BL-X</x:v>
      </x:c>
      <x:c r="F84" s="7" t="str">
        <x:v>SM</x:v>
      </x:c>
      <x:c r="G84" s="7" t="str">
        <x:v>sensor mount and datum</x:v>
      </x:c>
      <x:c r="H84" s="7" t="str"/>
      <x:c r="I84" s="7" t="str"/>
      <x:c r="J84" s="7" t="str"/>
      <x:c r="K84" s="7" t="str">
        <x:f>IF(J84="","OPEN",IF(OR(H84="",I84=""),"FAIL","PASS"))</x:f>
        <x:v>OPEN</x:v>
      </x:c>
    </x:row>
    <x:row r="85">
      <x:c r="B85" s="7" t="str">
        <x:v>CPN-PEA-A-X2-SM-7</x:v>
      </x:c>
      <x:c r="C85" s="7" t="str">
        <x:v>PEA-A-X2</x:v>
      </x:c>
      <x:c r="D85" s="7" t="str">
        <x:v>BLD-A</x:v>
      </x:c>
      <x:c r="E85" s="7" t="str">
        <x:v>BL-X</x:v>
      </x:c>
      <x:c r="F85" s="7" t="str">
        <x:v>SM</x:v>
      </x:c>
      <x:c r="G85" s="7" t="str">
        <x:v>sensor mount and datum</x:v>
      </x:c>
      <x:c r="H85" s="7" t="str"/>
      <x:c r="I85" s="7" t="str"/>
      <x:c r="J85" s="7" t="str"/>
      <x:c r="K85" s="7" t="str">
        <x:f>IF(J85="","OPEN",IF(OR(H85="",I85=""),"FAIL","PASS"))</x:f>
        <x:v>OPEN</x:v>
      </x:c>
    </x:row>
    <x:row r="86">
      <x:c r="B86" s="7" t="str">
        <x:v>CPN-PEA-A-X2-SM-8</x:v>
      </x:c>
      <x:c r="C86" s="7" t="str">
        <x:v>PEA-A-X2</x:v>
      </x:c>
      <x:c r="D86" s="7" t="str">
        <x:v>BLD-A</x:v>
      </x:c>
      <x:c r="E86" s="7" t="str">
        <x:v>BL-X</x:v>
      </x:c>
      <x:c r="F86" s="7" t="str">
        <x:v>SM</x:v>
      </x:c>
      <x:c r="G86" s="7" t="str">
        <x:v>sensor mount and datum</x:v>
      </x:c>
      <x:c r="H86" s="7" t="str"/>
      <x:c r="I86" s="7" t="str"/>
      <x:c r="J86" s="7" t="str"/>
      <x:c r="K86" s="7" t="str">
        <x:f>IF(J86="","OPEN",IF(OR(H86="",I86=""),"FAIL","PASS"))</x:f>
        <x:v>OPEN</x:v>
      </x:c>
    </x:row>
    <x:row r="87">
      <x:c r="B87" s="7" t="str">
        <x:v>CPN-PEA-A-X3-CJ-1</x:v>
      </x:c>
      <x:c r="C87" s="7" t="str">
        <x:v>PEA-A-X3</x:v>
      </x:c>
      <x:c r="D87" s="7" t="str">
        <x:v>BLD-A</x:v>
      </x:c>
      <x:c r="E87" s="7" t="str">
        <x:v>BL-X</x:v>
      </x:c>
      <x:c r="F87" s="7" t="str">
        <x:v>CJ</x:v>
      </x:c>
      <x:c r="G87" s="7" t="str">
        <x:v>joint or weld</x:v>
      </x:c>
      <x:c r="H87" s="7" t="str"/>
      <x:c r="I87" s="7" t="str"/>
      <x:c r="J87" s="7" t="str"/>
      <x:c r="K87" s="7" t="str">
        <x:f>IF(J87="","OPEN",IF(OR(H87="",I87=""),"FAIL","PASS"))</x:f>
        <x:v>OPEN</x:v>
      </x:c>
    </x:row>
    <x:row r="88">
      <x:c r="B88" s="7" t="str">
        <x:v>CPN-PEA-A-X3-CJ-2</x:v>
      </x:c>
      <x:c r="C88" s="7" t="str">
        <x:v>PEA-A-X3</x:v>
      </x:c>
      <x:c r="D88" s="7" t="str">
        <x:v>BLD-A</x:v>
      </x:c>
      <x:c r="E88" s="7" t="str">
        <x:v>BL-X</x:v>
      </x:c>
      <x:c r="F88" s="7" t="str">
        <x:v>CJ</x:v>
      </x:c>
      <x:c r="G88" s="7" t="str">
        <x:v>joint or weld</x:v>
      </x:c>
      <x:c r="H88" s="7" t="str"/>
      <x:c r="I88" s="7" t="str"/>
      <x:c r="J88" s="7" t="str"/>
      <x:c r="K88" s="7" t="str">
        <x:f>IF(J88="","OPEN",IF(OR(H88="",I88=""),"FAIL","PASS"))</x:f>
        <x:v>OPEN</x:v>
      </x:c>
    </x:row>
    <x:row r="89">
      <x:c r="B89" s="7" t="str">
        <x:v>CPN-PEA-A-X3-CJ-3</x:v>
      </x:c>
      <x:c r="C89" s="7" t="str">
        <x:v>PEA-A-X3</x:v>
      </x:c>
      <x:c r="D89" s="7" t="str">
        <x:v>BLD-A</x:v>
      </x:c>
      <x:c r="E89" s="7" t="str">
        <x:v>BL-X</x:v>
      </x:c>
      <x:c r="F89" s="7" t="str">
        <x:v>CJ</x:v>
      </x:c>
      <x:c r="G89" s="7" t="str">
        <x:v>joint or weld</x:v>
      </x:c>
      <x:c r="H89" s="7" t="str"/>
      <x:c r="I89" s="7" t="str"/>
      <x:c r="J89" s="7" t="str"/>
      <x:c r="K89" s="7" t="str">
        <x:f>IF(J89="","OPEN",IF(OR(H89="",I89=""),"FAIL","PASS"))</x:f>
        <x:v>OPEN</x:v>
      </x:c>
    </x:row>
    <x:row r="90">
      <x:c r="B90" s="7" t="str">
        <x:v>CPN-PEA-A-X3-CJ-4</x:v>
      </x:c>
      <x:c r="C90" s="7" t="str">
        <x:v>PEA-A-X3</x:v>
      </x:c>
      <x:c r="D90" s="7" t="str">
        <x:v>BLD-A</x:v>
      </x:c>
      <x:c r="E90" s="7" t="str">
        <x:v>BL-X</x:v>
      </x:c>
      <x:c r="F90" s="7" t="str">
        <x:v>CJ</x:v>
      </x:c>
      <x:c r="G90" s="7" t="str">
        <x:v>joint or weld</x:v>
      </x:c>
      <x:c r="H90" s="7" t="str"/>
      <x:c r="I90" s="7" t="str"/>
      <x:c r="J90" s="7" t="str"/>
      <x:c r="K90" s="7" t="str">
        <x:f>IF(J90="","OPEN",IF(OR(H90="",I90=""),"FAIL","PASS"))</x:f>
        <x:v>OPEN</x:v>
      </x:c>
    </x:row>
    <x:row r="91">
      <x:c r="B91" s="7" t="str">
        <x:v>CPN-PEA-A-X3-CJ-5</x:v>
      </x:c>
      <x:c r="C91" s="7" t="str">
        <x:v>PEA-A-X3</x:v>
      </x:c>
      <x:c r="D91" s="7" t="str">
        <x:v>BLD-A</x:v>
      </x:c>
      <x:c r="E91" s="7" t="str">
        <x:v>BL-X</x:v>
      </x:c>
      <x:c r="F91" s="7" t="str">
        <x:v>CJ</x:v>
      </x:c>
      <x:c r="G91" s="7" t="str">
        <x:v>joint or weld</x:v>
      </x:c>
      <x:c r="H91" s="7" t="str"/>
      <x:c r="I91" s="7" t="str"/>
      <x:c r="J91" s="7" t="str"/>
      <x:c r="K91" s="7" t="str">
        <x:f>IF(J91="","OPEN",IF(OR(H91="",I91=""),"FAIL","PASS"))</x:f>
        <x:v>OPEN</x:v>
      </x:c>
    </x:row>
    <x:row r="92">
      <x:c r="B92" s="7" t="str">
        <x:v>CPN-PEA-A-X3-CJ-6</x:v>
      </x:c>
      <x:c r="C92" s="7" t="str">
        <x:v>PEA-A-X3</x:v>
      </x:c>
      <x:c r="D92" s="7" t="str">
        <x:v>BLD-A</x:v>
      </x:c>
      <x:c r="E92" s="7" t="str">
        <x:v>BL-X</x:v>
      </x:c>
      <x:c r="F92" s="7" t="str">
        <x:v>CJ</x:v>
      </x:c>
      <x:c r="G92" s="7" t="str">
        <x:v>joint or weld</x:v>
      </x:c>
      <x:c r="H92" s="7" t="str"/>
      <x:c r="I92" s="7" t="str"/>
      <x:c r="J92" s="7" t="str"/>
      <x:c r="K92" s="7" t="str">
        <x:f>IF(J92="","OPEN",IF(OR(H92="",I92=""),"FAIL","PASS"))</x:f>
        <x:v>OPEN</x:v>
      </x:c>
    </x:row>
    <x:row r="93">
      <x:c r="B93" s="7" t="str">
        <x:v>CPN-PEA-A-X3-CJ-7</x:v>
      </x:c>
      <x:c r="C93" s="7" t="str">
        <x:v>PEA-A-X3</x:v>
      </x:c>
      <x:c r="D93" s="7" t="str">
        <x:v>BLD-A</x:v>
      </x:c>
      <x:c r="E93" s="7" t="str">
        <x:v>BL-X</x:v>
      </x:c>
      <x:c r="F93" s="7" t="str">
        <x:v>CJ</x:v>
      </x:c>
      <x:c r="G93" s="7" t="str">
        <x:v>joint or weld</x:v>
      </x:c>
      <x:c r="H93" s="7" t="str"/>
      <x:c r="I93" s="7" t="str"/>
      <x:c r="J93" s="7" t="str"/>
      <x:c r="K93" s="7" t="str">
        <x:f>IF(J93="","OPEN",IF(OR(H93="",I93=""),"FAIL","PASS"))</x:f>
        <x:v>OPEN</x:v>
      </x:c>
    </x:row>
    <x:row r="94">
      <x:c r="B94" s="7" t="str">
        <x:v>CPN-PEA-A-X3-CJ-8</x:v>
      </x:c>
      <x:c r="C94" s="7" t="str">
        <x:v>PEA-A-X3</x:v>
      </x:c>
      <x:c r="D94" s="7" t="str">
        <x:v>BLD-A</x:v>
      </x:c>
      <x:c r="E94" s="7" t="str">
        <x:v>BL-X</x:v>
      </x:c>
      <x:c r="F94" s="7" t="str">
        <x:v>CJ</x:v>
      </x:c>
      <x:c r="G94" s="7" t="str">
        <x:v>joint or weld</x:v>
      </x:c>
      <x:c r="H94" s="7" t="str"/>
      <x:c r="I94" s="7" t="str"/>
      <x:c r="J94" s="7" t="str"/>
      <x:c r="K94" s="7" t="str">
        <x:f>IF(J94="","OPEN",IF(OR(H94="",I94=""),"FAIL","PASS"))</x:f>
        <x:v>OPEN</x:v>
      </x:c>
    </x:row>
    <x:row r="95">
      <x:c r="B95" s="7" t="str">
        <x:v>CPN-PEA-A-X3-SE-1</x:v>
      </x:c>
      <x:c r="C95" s="7" t="str">
        <x:v>PEA-A-X3</x:v>
      </x:c>
      <x:c r="D95" s="7" t="str">
        <x:v>BLD-A</x:v>
      </x:c>
      <x:c r="E95" s="7" t="str">
        <x:v>BL-X</x:v>
      </x:c>
      <x:c r="F95" s="7" t="str">
        <x:v>SE</x:v>
      </x:c>
      <x:c r="G95" s="7" t="str">
        <x:v>seal and gasket</x:v>
      </x:c>
      <x:c r="H95" s="7" t="str"/>
      <x:c r="I95" s="7" t="str"/>
      <x:c r="J95" s="7" t="str"/>
      <x:c r="K95" s="7" t="str">
        <x:f>IF(J95="","OPEN",IF(OR(H95="",I95=""),"FAIL","PASS"))</x:f>
        <x:v>OPEN</x:v>
      </x:c>
    </x:row>
    <x:row r="96">
      <x:c r="B96" s="7" t="str">
        <x:v>CPN-PEA-A-X3-SE-2</x:v>
      </x:c>
      <x:c r="C96" s="7" t="str">
        <x:v>PEA-A-X3</x:v>
      </x:c>
      <x:c r="D96" s="7" t="str">
        <x:v>BLD-A</x:v>
      </x:c>
      <x:c r="E96" s="7" t="str">
        <x:v>BL-X</x:v>
      </x:c>
      <x:c r="F96" s="7" t="str">
        <x:v>SE</x:v>
      </x:c>
      <x:c r="G96" s="7" t="str">
        <x:v>seal and gasket</x:v>
      </x:c>
      <x:c r="H96" s="7" t="str"/>
      <x:c r="I96" s="7" t="str"/>
      <x:c r="J96" s="7" t="str"/>
      <x:c r="K96" s="7" t="str">
        <x:f>IF(J96="","OPEN",IF(OR(H96="",I96=""),"FAIL","PASS"))</x:f>
        <x:v>OPEN</x:v>
      </x:c>
    </x:row>
    <x:row r="97">
      <x:c r="B97" s="7" t="str">
        <x:v>CPN-PEA-A-X3-SE-3</x:v>
      </x:c>
      <x:c r="C97" s="7" t="str">
        <x:v>PEA-A-X3</x:v>
      </x:c>
      <x:c r="D97" s="7" t="str">
        <x:v>BLD-A</x:v>
      </x:c>
      <x:c r="E97" s="7" t="str">
        <x:v>BL-X</x:v>
      </x:c>
      <x:c r="F97" s="7" t="str">
        <x:v>SE</x:v>
      </x:c>
      <x:c r="G97" s="7" t="str">
        <x:v>seal and gasket</x:v>
      </x:c>
      <x:c r="H97" s="7" t="str"/>
      <x:c r="I97" s="7" t="str"/>
      <x:c r="J97" s="7" t="str"/>
      <x:c r="K97" s="7" t="str">
        <x:f>IF(J97="","OPEN",IF(OR(H97="",I97=""),"FAIL","PASS"))</x:f>
        <x:v>OPEN</x:v>
      </x:c>
    </x:row>
    <x:row r="98">
      <x:c r="B98" s="7" t="str">
        <x:v>CPN-PEA-A-X3-SE-4</x:v>
      </x:c>
      <x:c r="C98" s="7" t="str">
        <x:v>PEA-A-X3</x:v>
      </x:c>
      <x:c r="D98" s="7" t="str">
        <x:v>BLD-A</x:v>
      </x:c>
      <x:c r="E98" s="7" t="str">
        <x:v>BL-X</x:v>
      </x:c>
      <x:c r="F98" s="7" t="str">
        <x:v>SE</x:v>
      </x:c>
      <x:c r="G98" s="7" t="str">
        <x:v>seal and gasket</x:v>
      </x:c>
      <x:c r="H98" s="7" t="str"/>
      <x:c r="I98" s="7" t="str"/>
      <x:c r="J98" s="7" t="str"/>
      <x:c r="K98" s="7" t="str">
        <x:f>IF(J98="","OPEN",IF(OR(H98="",I98=""),"FAIL","PASS"))</x:f>
        <x:v>OPEN</x:v>
      </x:c>
    </x:row>
    <x:row r="99">
      <x:c r="B99" s="7" t="str">
        <x:v>CPN-PEA-A-X3-SE-5</x:v>
      </x:c>
      <x:c r="C99" s="7" t="str">
        <x:v>PEA-A-X3</x:v>
      </x:c>
      <x:c r="D99" s="7" t="str">
        <x:v>BLD-A</x:v>
      </x:c>
      <x:c r="E99" s="7" t="str">
        <x:v>BL-X</x:v>
      </x:c>
      <x:c r="F99" s="7" t="str">
        <x:v>SE</x:v>
      </x:c>
      <x:c r="G99" s="7" t="str">
        <x:v>seal and gasket</x:v>
      </x:c>
      <x:c r="H99" s="7" t="str"/>
      <x:c r="I99" s="7" t="str"/>
      <x:c r="J99" s="7" t="str"/>
      <x:c r="K99" s="7" t="str">
        <x:f>IF(J99="","OPEN",IF(OR(H99="",I99=""),"FAIL","PASS"))</x:f>
        <x:v>OPEN</x:v>
      </x:c>
    </x:row>
    <x:row r="100">
      <x:c r="B100" s="7" t="str">
        <x:v>CPN-PEA-A-X3-SE-6</x:v>
      </x:c>
      <x:c r="C100" s="7" t="str">
        <x:v>PEA-A-X3</x:v>
      </x:c>
      <x:c r="D100" s="7" t="str">
        <x:v>BLD-A</x:v>
      </x:c>
      <x:c r="E100" s="7" t="str">
        <x:v>BL-X</x:v>
      </x:c>
      <x:c r="F100" s="7" t="str">
        <x:v>SE</x:v>
      </x:c>
      <x:c r="G100" s="7" t="str">
        <x:v>seal and gasket</x:v>
      </x:c>
      <x:c r="H100" s="7" t="str"/>
      <x:c r="I100" s="7" t="str"/>
      <x:c r="J100" s="7" t="str"/>
      <x:c r="K100" s="7" t="str">
        <x:f>IF(J100="","OPEN",IF(OR(H100="",I100=""),"FAIL","PASS"))</x:f>
        <x:v>OPEN</x:v>
      </x:c>
    </x:row>
    <x:row r="101">
      <x:c r="B101" s="7" t="str">
        <x:v>CPN-PEA-A-X3-SE-7</x:v>
      </x:c>
      <x:c r="C101" s="7" t="str">
        <x:v>PEA-A-X3</x:v>
      </x:c>
      <x:c r="D101" s="7" t="str">
        <x:v>BLD-A</x:v>
      </x:c>
      <x:c r="E101" s="7" t="str">
        <x:v>BL-X</x:v>
      </x:c>
      <x:c r="F101" s="7" t="str">
        <x:v>SE</x:v>
      </x:c>
      <x:c r="G101" s="7" t="str">
        <x:v>seal and gasket</x:v>
      </x:c>
      <x:c r="H101" s="7" t="str"/>
      <x:c r="I101" s="7" t="str"/>
      <x:c r="J101" s="7" t="str"/>
      <x:c r="K101" s="7" t="str">
        <x:f>IF(J101="","OPEN",IF(OR(H101="",I101=""),"FAIL","PASS"))</x:f>
        <x:v>OPEN</x:v>
      </x:c>
    </x:row>
    <x:row r="102">
      <x:c r="B102" s="7" t="str">
        <x:v>CPN-PEA-A-X3-SE-8</x:v>
      </x:c>
      <x:c r="C102" s="7" t="str">
        <x:v>PEA-A-X3</x:v>
      </x:c>
      <x:c r="D102" s="7" t="str">
        <x:v>BLD-A</x:v>
      </x:c>
      <x:c r="E102" s="7" t="str">
        <x:v>BL-X</x:v>
      </x:c>
      <x:c r="F102" s="7" t="str">
        <x:v>SE</x:v>
      </x:c>
      <x:c r="G102" s="7" t="str">
        <x:v>seal and gasket</x:v>
      </x:c>
      <x:c r="H102" s="7" t="str"/>
      <x:c r="I102" s="7" t="str"/>
      <x:c r="J102" s="7" t="str"/>
      <x:c r="K102" s="7" t="str">
        <x:f>IF(J102="","OPEN",IF(OR(H102="",I102=""),"FAIL","PASS"))</x:f>
        <x:v>OPEN</x:v>
      </x:c>
    </x:row>
    <x:row r="103">
      <x:c r="B103" s="7" t="str">
        <x:v>CPN-PEA-A-X3-SF-1</x:v>
      </x:c>
      <x:c r="C103" s="7" t="str">
        <x:v>PEA-A-X3</x:v>
      </x:c>
      <x:c r="D103" s="7" t="str">
        <x:v>BLD-A</x:v>
      </x:c>
      <x:c r="E103" s="7" t="str">
        <x:v>BL-X</x:v>
      </x:c>
      <x:c r="F103" s="7" t="str">
        <x:v>SF</x:v>
      </x:c>
      <x:c r="G103" s="7" t="str">
        <x:v>wetted surface</x:v>
      </x:c>
      <x:c r="H103" s="7" t="str"/>
      <x:c r="I103" s="7" t="str"/>
      <x:c r="J103" s="7" t="str"/>
      <x:c r="K103" s="7" t="str">
        <x:f>IF(J103="","OPEN",IF(OR(H103="",I103=""),"FAIL","PASS"))</x:f>
        <x:v>OPEN</x:v>
      </x:c>
    </x:row>
    <x:row r="104">
      <x:c r="B104" s="7" t="str">
        <x:v>CPN-PEA-A-X3-SF-2</x:v>
      </x:c>
      <x:c r="C104" s="7" t="str">
        <x:v>PEA-A-X3</x:v>
      </x:c>
      <x:c r="D104" s="7" t="str">
        <x:v>BLD-A</x:v>
      </x:c>
      <x:c r="E104" s="7" t="str">
        <x:v>BL-X</x:v>
      </x:c>
      <x:c r="F104" s="7" t="str">
        <x:v>SF</x:v>
      </x:c>
      <x:c r="G104" s="7" t="str">
        <x:v>wetted surface</x:v>
      </x:c>
      <x:c r="H104" s="7" t="str"/>
      <x:c r="I104" s="7" t="str"/>
      <x:c r="J104" s="7" t="str"/>
      <x:c r="K104" s="7" t="str">
        <x:f>IF(J104="","OPEN",IF(OR(H104="",I104=""),"FAIL","PASS"))</x:f>
        <x:v>OPEN</x:v>
      </x:c>
    </x:row>
    <x:row r="105">
      <x:c r="B105" s="7" t="str">
        <x:v>CPN-PEA-A-X3-SF-3</x:v>
      </x:c>
      <x:c r="C105" s="7" t="str">
        <x:v>PEA-A-X3</x:v>
      </x:c>
      <x:c r="D105" s="7" t="str">
        <x:v>BLD-A</x:v>
      </x:c>
      <x:c r="E105" s="7" t="str">
        <x:v>BL-X</x:v>
      </x:c>
      <x:c r="F105" s="7" t="str">
        <x:v>SF</x:v>
      </x:c>
      <x:c r="G105" s="7" t="str">
        <x:v>wetted surface</x:v>
      </x:c>
      <x:c r="H105" s="7" t="str"/>
      <x:c r="I105" s="7" t="str"/>
      <x:c r="J105" s="7" t="str"/>
      <x:c r="K105" s="7" t="str">
        <x:f>IF(J105="","OPEN",IF(OR(H105="",I105=""),"FAIL","PASS"))</x:f>
        <x:v>OPEN</x:v>
      </x:c>
    </x:row>
    <x:row r="106">
      <x:c r="B106" s="7" t="str">
        <x:v>CPN-PEA-A-X3-SF-4</x:v>
      </x:c>
      <x:c r="C106" s="7" t="str">
        <x:v>PEA-A-X3</x:v>
      </x:c>
      <x:c r="D106" s="7" t="str">
        <x:v>BLD-A</x:v>
      </x:c>
      <x:c r="E106" s="7" t="str">
        <x:v>BL-X</x:v>
      </x:c>
      <x:c r="F106" s="7" t="str">
        <x:v>SF</x:v>
      </x:c>
      <x:c r="G106" s="7" t="str">
        <x:v>wetted surface</x:v>
      </x:c>
      <x:c r="H106" s="7" t="str"/>
      <x:c r="I106" s="7" t="str"/>
      <x:c r="J106" s="7" t="str"/>
      <x:c r="K106" s="7" t="str">
        <x:f>IF(J106="","OPEN",IF(OR(H106="",I106=""),"FAIL","PASS"))</x:f>
        <x:v>OPEN</x:v>
      </x:c>
    </x:row>
    <x:row r="107">
      <x:c r="B107" s="7" t="str">
        <x:v>CPN-PEA-A-X3-SF-5</x:v>
      </x:c>
      <x:c r="C107" s="7" t="str">
        <x:v>PEA-A-X3</x:v>
      </x:c>
      <x:c r="D107" s="7" t="str">
        <x:v>BLD-A</x:v>
      </x:c>
      <x:c r="E107" s="7" t="str">
        <x:v>BL-X</x:v>
      </x:c>
      <x:c r="F107" s="7" t="str">
        <x:v>SF</x:v>
      </x:c>
      <x:c r="G107" s="7" t="str">
        <x:v>wetted surface</x:v>
      </x:c>
      <x:c r="H107" s="7" t="str"/>
      <x:c r="I107" s="7" t="str"/>
      <x:c r="J107" s="7" t="str"/>
      <x:c r="K107" s="7" t="str">
        <x:f>IF(J107="","OPEN",IF(OR(H107="",I107=""),"FAIL","PASS"))</x:f>
        <x:v>OPEN</x:v>
      </x:c>
    </x:row>
    <x:row r="108">
      <x:c r="B108" s="7" t="str">
        <x:v>CPN-PEA-A-X3-SF-6</x:v>
      </x:c>
      <x:c r="C108" s="7" t="str">
        <x:v>PEA-A-X3</x:v>
      </x:c>
      <x:c r="D108" s="7" t="str">
        <x:v>BLD-A</x:v>
      </x:c>
      <x:c r="E108" s="7" t="str">
        <x:v>BL-X</x:v>
      </x:c>
      <x:c r="F108" s="7" t="str">
        <x:v>SF</x:v>
      </x:c>
      <x:c r="G108" s="7" t="str">
        <x:v>wetted surface</x:v>
      </x:c>
      <x:c r="H108" s="7" t="str"/>
      <x:c r="I108" s="7" t="str"/>
      <x:c r="J108" s="7" t="str"/>
      <x:c r="K108" s="7" t="str">
        <x:f>IF(J108="","OPEN",IF(OR(H108="",I108=""),"FAIL","PASS"))</x:f>
        <x:v>OPEN</x:v>
      </x:c>
    </x:row>
    <x:row r="109">
      <x:c r="B109" s="7" t="str">
        <x:v>CPN-PEA-A-X3-SF-7</x:v>
      </x:c>
      <x:c r="C109" s="7" t="str">
        <x:v>PEA-A-X3</x:v>
      </x:c>
      <x:c r="D109" s="7" t="str">
        <x:v>BLD-A</x:v>
      </x:c>
      <x:c r="E109" s="7" t="str">
        <x:v>BL-X</x:v>
      </x:c>
      <x:c r="F109" s="7" t="str">
        <x:v>SF</x:v>
      </x:c>
      <x:c r="G109" s="7" t="str">
        <x:v>wetted surface</x:v>
      </x:c>
      <x:c r="H109" s="7" t="str"/>
      <x:c r="I109" s="7" t="str"/>
      <x:c r="J109" s="7" t="str"/>
      <x:c r="K109" s="7" t="str">
        <x:f>IF(J109="","OPEN",IF(OR(H109="",I109=""),"FAIL","PASS"))</x:f>
        <x:v>OPEN</x:v>
      </x:c>
    </x:row>
    <x:row r="110">
      <x:c r="B110" s="7" t="str">
        <x:v>CPN-PEA-A-X3-SF-8</x:v>
      </x:c>
      <x:c r="C110" s="7" t="str">
        <x:v>PEA-A-X3</x:v>
      </x:c>
      <x:c r="D110" s="7" t="str">
        <x:v>BLD-A</x:v>
      </x:c>
      <x:c r="E110" s="7" t="str">
        <x:v>BL-X</x:v>
      </x:c>
      <x:c r="F110" s="7" t="str">
        <x:v>SF</x:v>
      </x:c>
      <x:c r="G110" s="7" t="str">
        <x:v>wetted surface</x:v>
      </x:c>
      <x:c r="H110" s="7" t="str"/>
      <x:c r="I110" s="7" t="str"/>
      <x:c r="J110" s="7" t="str"/>
      <x:c r="K110" s="7" t="str">
        <x:f>IF(J110="","OPEN",IF(OR(H110="",I110=""),"FAIL","PASS"))</x:f>
        <x:v>OPEN</x:v>
      </x:c>
    </x:row>
    <x:row r="111">
      <x:c r="B111" s="7" t="str">
        <x:v>CPN-PEA-A-X3-CP-1</x:v>
      </x:c>
      <x:c r="C111" s="7" t="str">
        <x:v>PEA-A-X3</x:v>
      </x:c>
      <x:c r="D111" s="7" t="str">
        <x:v>BLD-A</x:v>
      </x:c>
      <x:c r="E111" s="7" t="str">
        <x:v>BL-X</x:v>
      </x:c>
      <x:c r="F111" s="7" t="str">
        <x:v>CP</x:v>
      </x:c>
      <x:c r="G111" s="7" t="str">
        <x:v>penetration</x:v>
      </x:c>
      <x:c r="H111" s="7" t="str"/>
      <x:c r="I111" s="7" t="str"/>
      <x:c r="J111" s="7" t="str"/>
      <x:c r="K111" s="7" t="str">
        <x:f>IF(J111="","OPEN",IF(OR(H111="",I111=""),"FAIL","PASS"))</x:f>
        <x:v>OPEN</x:v>
      </x:c>
    </x:row>
    <x:row r="112">
      <x:c r="B112" s="7" t="str">
        <x:v>CPN-PEA-A-X3-CP-2</x:v>
      </x:c>
      <x:c r="C112" s="7" t="str">
        <x:v>PEA-A-X3</x:v>
      </x:c>
      <x:c r="D112" s="7" t="str">
        <x:v>BLD-A</x:v>
      </x:c>
      <x:c r="E112" s="7" t="str">
        <x:v>BL-X</x:v>
      </x:c>
      <x:c r="F112" s="7" t="str">
        <x:v>CP</x:v>
      </x:c>
      <x:c r="G112" s="7" t="str">
        <x:v>penetration</x:v>
      </x:c>
      <x:c r="H112" s="7" t="str"/>
      <x:c r="I112" s="7" t="str"/>
      <x:c r="J112" s="7" t="str"/>
      <x:c r="K112" s="7" t="str">
        <x:f>IF(J112="","OPEN",IF(OR(H112="",I112=""),"FAIL","PASS"))</x:f>
        <x:v>OPEN</x:v>
      </x:c>
    </x:row>
    <x:row r="113">
      <x:c r="B113" s="7" t="str">
        <x:v>CPN-PEA-A-X3-CP-3</x:v>
      </x:c>
      <x:c r="C113" s="7" t="str">
        <x:v>PEA-A-X3</x:v>
      </x:c>
      <x:c r="D113" s="7" t="str">
        <x:v>BLD-A</x:v>
      </x:c>
      <x:c r="E113" s="7" t="str">
        <x:v>BL-X</x:v>
      </x:c>
      <x:c r="F113" s="7" t="str">
        <x:v>CP</x:v>
      </x:c>
      <x:c r="G113" s="7" t="str">
        <x:v>penetration</x:v>
      </x:c>
      <x:c r="H113" s="7" t="str"/>
      <x:c r="I113" s="7" t="str"/>
      <x:c r="J113" s="7" t="str"/>
      <x:c r="K113" s="7" t="str">
        <x:f>IF(J113="","OPEN",IF(OR(H113="",I113=""),"FAIL","PASS"))</x:f>
        <x:v>OPEN</x:v>
      </x:c>
    </x:row>
    <x:row r="114">
      <x:c r="B114" s="7" t="str">
        <x:v>CPN-PEA-A-X3-CP-4</x:v>
      </x:c>
      <x:c r="C114" s="7" t="str">
        <x:v>PEA-A-X3</x:v>
      </x:c>
      <x:c r="D114" s="7" t="str">
        <x:v>BLD-A</x:v>
      </x:c>
      <x:c r="E114" s="7" t="str">
        <x:v>BL-X</x:v>
      </x:c>
      <x:c r="F114" s="7" t="str">
        <x:v>CP</x:v>
      </x:c>
      <x:c r="G114" s="7" t="str">
        <x:v>penetration</x:v>
      </x:c>
      <x:c r="H114" s="7" t="str"/>
      <x:c r="I114" s="7" t="str"/>
      <x:c r="J114" s="7" t="str"/>
      <x:c r="K114" s="7" t="str">
        <x:f>IF(J114="","OPEN",IF(OR(H114="",I114=""),"FAIL","PASS"))</x:f>
        <x:v>OPEN</x:v>
      </x:c>
    </x:row>
    <x:row r="115">
      <x:c r="B115" s="7" t="str">
        <x:v>CPN-PEA-A-X3-CP-5</x:v>
      </x:c>
      <x:c r="C115" s="7" t="str">
        <x:v>PEA-A-X3</x:v>
      </x:c>
      <x:c r="D115" s="7" t="str">
        <x:v>BLD-A</x:v>
      </x:c>
      <x:c r="E115" s="7" t="str">
        <x:v>BL-X</x:v>
      </x:c>
      <x:c r="F115" s="7" t="str">
        <x:v>CP</x:v>
      </x:c>
      <x:c r="G115" s="7" t="str">
        <x:v>penetration</x:v>
      </x:c>
      <x:c r="H115" s="7" t="str"/>
      <x:c r="I115" s="7" t="str"/>
      <x:c r="J115" s="7" t="str"/>
      <x:c r="K115" s="7" t="str">
        <x:f>IF(J115="","OPEN",IF(OR(H115="",I115=""),"FAIL","PASS"))</x:f>
        <x:v>OPEN</x:v>
      </x:c>
    </x:row>
    <x:row r="116">
      <x:c r="B116" s="7" t="str">
        <x:v>CPN-PEA-A-X3-CP-6</x:v>
      </x:c>
      <x:c r="C116" s="7" t="str">
        <x:v>PEA-A-X3</x:v>
      </x:c>
      <x:c r="D116" s="7" t="str">
        <x:v>BLD-A</x:v>
      </x:c>
      <x:c r="E116" s="7" t="str">
        <x:v>BL-X</x:v>
      </x:c>
      <x:c r="F116" s="7" t="str">
        <x:v>CP</x:v>
      </x:c>
      <x:c r="G116" s="7" t="str">
        <x:v>penetration</x:v>
      </x:c>
      <x:c r="H116" s="7" t="str"/>
      <x:c r="I116" s="7" t="str"/>
      <x:c r="J116" s="7" t="str"/>
      <x:c r="K116" s="7" t="str">
        <x:f>IF(J116="","OPEN",IF(OR(H116="",I116=""),"FAIL","PASS"))</x:f>
        <x:v>OPEN</x:v>
      </x:c>
    </x:row>
    <x:row r="117">
      <x:c r="B117" s="7" t="str">
        <x:v>CPN-PEA-A-X3-CP-7</x:v>
      </x:c>
      <x:c r="C117" s="7" t="str">
        <x:v>PEA-A-X3</x:v>
      </x:c>
      <x:c r="D117" s="7" t="str">
        <x:v>BLD-A</x:v>
      </x:c>
      <x:c r="E117" s="7" t="str">
        <x:v>BL-X</x:v>
      </x:c>
      <x:c r="F117" s="7" t="str">
        <x:v>CP</x:v>
      </x:c>
      <x:c r="G117" s="7" t="str">
        <x:v>penetration</x:v>
      </x:c>
      <x:c r="H117" s="7" t="str"/>
      <x:c r="I117" s="7" t="str"/>
      <x:c r="J117" s="7" t="str"/>
      <x:c r="K117" s="7" t="str">
        <x:f>IF(J117="","OPEN",IF(OR(H117="",I117=""),"FAIL","PASS"))</x:f>
        <x:v>OPEN</x:v>
      </x:c>
    </x:row>
    <x:row r="118">
      <x:c r="B118" s="7" t="str">
        <x:v>CPN-PEA-A-X3-CP-8</x:v>
      </x:c>
      <x:c r="C118" s="7" t="str">
        <x:v>PEA-A-X3</x:v>
      </x:c>
      <x:c r="D118" s="7" t="str">
        <x:v>BLD-A</x:v>
      </x:c>
      <x:c r="E118" s="7" t="str">
        <x:v>BL-X</x:v>
      </x:c>
      <x:c r="F118" s="7" t="str">
        <x:v>CP</x:v>
      </x:c>
      <x:c r="G118" s="7" t="str">
        <x:v>penetration</x:v>
      </x:c>
      <x:c r="H118" s="7" t="str"/>
      <x:c r="I118" s="7" t="str"/>
      <x:c r="J118" s="7" t="str"/>
      <x:c r="K118" s="7" t="str">
        <x:f>IF(J118="","OPEN",IF(OR(H118="",I118=""),"FAIL","PASS"))</x:f>
        <x:v>OPEN</x:v>
      </x:c>
    </x:row>
    <x:row r="119">
      <x:c r="B119" s="7" t="str">
        <x:v>CPN-PEA-A-X3-SM-1</x:v>
      </x:c>
      <x:c r="C119" s="7" t="str">
        <x:v>PEA-A-X3</x:v>
      </x:c>
      <x:c r="D119" s="7" t="str">
        <x:v>BLD-A</x:v>
      </x:c>
      <x:c r="E119" s="7" t="str">
        <x:v>BL-X</x:v>
      </x:c>
      <x:c r="F119" s="7" t="str">
        <x:v>SM</x:v>
      </x:c>
      <x:c r="G119" s="7" t="str">
        <x:v>sensor mount and datum</x:v>
      </x:c>
      <x:c r="H119" s="7" t="str"/>
      <x:c r="I119" s="7" t="str"/>
      <x:c r="J119" s="7" t="str"/>
      <x:c r="K119" s="7" t="str">
        <x:f>IF(J119="","OPEN",IF(OR(H119="",I119=""),"FAIL","PASS"))</x:f>
        <x:v>OPEN</x:v>
      </x:c>
    </x:row>
    <x:row r="120">
      <x:c r="B120" s="7" t="str">
        <x:v>CPN-PEA-A-X3-SM-2</x:v>
      </x:c>
      <x:c r="C120" s="7" t="str">
        <x:v>PEA-A-X3</x:v>
      </x:c>
      <x:c r="D120" s="7" t="str">
        <x:v>BLD-A</x:v>
      </x:c>
      <x:c r="E120" s="7" t="str">
        <x:v>BL-X</x:v>
      </x:c>
      <x:c r="F120" s="7" t="str">
        <x:v>SM</x:v>
      </x:c>
      <x:c r="G120" s="7" t="str">
        <x:v>sensor mount and datum</x:v>
      </x:c>
      <x:c r="H120" s="7" t="str"/>
      <x:c r="I120" s="7" t="str"/>
      <x:c r="J120" s="7" t="str"/>
      <x:c r="K120" s="7" t="str">
        <x:f>IF(J120="","OPEN",IF(OR(H120="",I120=""),"FAIL","PASS"))</x:f>
        <x:v>OPEN</x:v>
      </x:c>
    </x:row>
    <x:row r="121">
      <x:c r="B121" s="7" t="str">
        <x:v>CPN-PEA-A-X3-SM-3</x:v>
      </x:c>
      <x:c r="C121" s="7" t="str">
        <x:v>PEA-A-X3</x:v>
      </x:c>
      <x:c r="D121" s="7" t="str">
        <x:v>BLD-A</x:v>
      </x:c>
      <x:c r="E121" s="7" t="str">
        <x:v>BL-X</x:v>
      </x:c>
      <x:c r="F121" s="7" t="str">
        <x:v>SM</x:v>
      </x:c>
      <x:c r="G121" s="7" t="str">
        <x:v>sensor mount and datum</x:v>
      </x:c>
      <x:c r="H121" s="7" t="str"/>
      <x:c r="I121" s="7" t="str"/>
      <x:c r="J121" s="7" t="str"/>
      <x:c r="K121" s="7" t="str">
        <x:f>IF(J121="","OPEN",IF(OR(H121="",I121=""),"FAIL","PASS"))</x:f>
        <x:v>OPEN</x:v>
      </x:c>
    </x:row>
    <x:row r="122">
      <x:c r="B122" s="7" t="str">
        <x:v>CPN-PEA-A-X3-SM-4</x:v>
      </x:c>
      <x:c r="C122" s="7" t="str">
        <x:v>PEA-A-X3</x:v>
      </x:c>
      <x:c r="D122" s="7" t="str">
        <x:v>BLD-A</x:v>
      </x:c>
      <x:c r="E122" s="7" t="str">
        <x:v>BL-X</x:v>
      </x:c>
      <x:c r="F122" s="7" t="str">
        <x:v>SM</x:v>
      </x:c>
      <x:c r="G122" s="7" t="str">
        <x:v>sensor mount and datum</x:v>
      </x:c>
      <x:c r="H122" s="7" t="str"/>
      <x:c r="I122" s="7" t="str"/>
      <x:c r="J122" s="7" t="str"/>
      <x:c r="K122" s="7" t="str">
        <x:f>IF(J122="","OPEN",IF(OR(H122="",I122=""),"FAIL","PASS"))</x:f>
        <x:v>OPEN</x:v>
      </x:c>
    </x:row>
    <x:row r="123">
      <x:c r="B123" s="7" t="str">
        <x:v>CPN-PEA-A-X3-SM-5</x:v>
      </x:c>
      <x:c r="C123" s="7" t="str">
        <x:v>PEA-A-X3</x:v>
      </x:c>
      <x:c r="D123" s="7" t="str">
        <x:v>BLD-A</x:v>
      </x:c>
      <x:c r="E123" s="7" t="str">
        <x:v>BL-X</x:v>
      </x:c>
      <x:c r="F123" s="7" t="str">
        <x:v>SM</x:v>
      </x:c>
      <x:c r="G123" s="7" t="str">
        <x:v>sensor mount and datum</x:v>
      </x:c>
      <x:c r="H123" s="7" t="str"/>
      <x:c r="I123" s="7" t="str"/>
      <x:c r="J123" s="7" t="str"/>
      <x:c r="K123" s="7" t="str">
        <x:f>IF(J123="","OPEN",IF(OR(H123="",I123=""),"FAIL","PASS"))</x:f>
        <x:v>OPEN</x:v>
      </x:c>
    </x:row>
    <x:row r="124">
      <x:c r="B124" s="7" t="str">
        <x:v>CPN-PEA-A-X3-SM-6</x:v>
      </x:c>
      <x:c r="C124" s="7" t="str">
        <x:v>PEA-A-X3</x:v>
      </x:c>
      <x:c r="D124" s="7" t="str">
        <x:v>BLD-A</x:v>
      </x:c>
      <x:c r="E124" s="7" t="str">
        <x:v>BL-X</x:v>
      </x:c>
      <x:c r="F124" s="7" t="str">
        <x:v>SM</x:v>
      </x:c>
      <x:c r="G124" s="7" t="str">
        <x:v>sensor mount and datum</x:v>
      </x:c>
      <x:c r="H124" s="7" t="str"/>
      <x:c r="I124" s="7" t="str"/>
      <x:c r="J124" s="7" t="str"/>
      <x:c r="K124" s="7" t="str">
        <x:f>IF(J124="","OPEN",IF(OR(H124="",I124=""),"FAIL","PASS"))</x:f>
        <x:v>OPEN</x:v>
      </x:c>
    </x:row>
    <x:row r="125">
      <x:c r="B125" s="7" t="str">
        <x:v>CPN-PEA-A-X3-SM-7</x:v>
      </x:c>
      <x:c r="C125" s="7" t="str">
        <x:v>PEA-A-X3</x:v>
      </x:c>
      <x:c r="D125" s="7" t="str">
        <x:v>BLD-A</x:v>
      </x:c>
      <x:c r="E125" s="7" t="str">
        <x:v>BL-X</x:v>
      </x:c>
      <x:c r="F125" s="7" t="str">
        <x:v>SM</x:v>
      </x:c>
      <x:c r="G125" s="7" t="str">
        <x:v>sensor mount and datum</x:v>
      </x:c>
      <x:c r="H125" s="7" t="str"/>
      <x:c r="I125" s="7" t="str"/>
      <x:c r="J125" s="7" t="str"/>
      <x:c r="K125" s="7" t="str">
        <x:f>IF(J125="","OPEN",IF(OR(H125="",I125=""),"FAIL","PASS"))</x:f>
        <x:v>OPEN</x:v>
      </x:c>
    </x:row>
    <x:row r="126">
      <x:c r="B126" s="7" t="str">
        <x:v>CPN-PEA-A-X3-SM-8</x:v>
      </x:c>
      <x:c r="C126" s="7" t="str">
        <x:v>PEA-A-X3</x:v>
      </x:c>
      <x:c r="D126" s="7" t="str">
        <x:v>BLD-A</x:v>
      </x:c>
      <x:c r="E126" s="7" t="str">
        <x:v>BL-X</x:v>
      </x:c>
      <x:c r="F126" s="7" t="str">
        <x:v>SM</x:v>
      </x:c>
      <x:c r="G126" s="7" t="str">
        <x:v>sensor mount and datum</x:v>
      </x:c>
      <x:c r="H126" s="7" t="str"/>
      <x:c r="I126" s="7" t="str"/>
      <x:c r="J126" s="7" t="str"/>
      <x:c r="K126" s="7" t="str">
        <x:f>IF(J126="","OPEN",IF(OR(H126="",I126=""),"FAIL","PASS"))</x:f>
        <x:v>OPEN</x:v>
      </x:c>
    </x:row>
    <x:row r="127">
      <x:c r="B127" s="7" t="str">
        <x:v>CPN-PEA-A-Y1-CJ-1</x:v>
      </x:c>
      <x:c r="C127" s="7" t="str">
        <x:v>PEA-A-Y1</x:v>
      </x:c>
      <x:c r="D127" s="7" t="str">
        <x:v>BLD-A</x:v>
      </x:c>
      <x:c r="E127" s="7" t="str">
        <x:v>BL-Y</x:v>
      </x:c>
      <x:c r="F127" s="7" t="str">
        <x:v>CJ</x:v>
      </x:c>
      <x:c r="G127" s="7" t="str">
        <x:v>joint or weld</x:v>
      </x:c>
      <x:c r="H127" s="7" t="str"/>
      <x:c r="I127" s="7" t="str"/>
      <x:c r="J127" s="7" t="str"/>
      <x:c r="K127" s="7" t="str">
        <x:f>IF(J127="","OPEN",IF(OR(H127="",I127=""),"FAIL","PASS"))</x:f>
        <x:v>OPEN</x:v>
      </x:c>
    </x:row>
    <x:row r="128">
      <x:c r="B128" s="7" t="str">
        <x:v>CPN-PEA-A-Y1-CJ-2</x:v>
      </x:c>
      <x:c r="C128" s="7" t="str">
        <x:v>PEA-A-Y1</x:v>
      </x:c>
      <x:c r="D128" s="7" t="str">
        <x:v>BLD-A</x:v>
      </x:c>
      <x:c r="E128" s="7" t="str">
        <x:v>BL-Y</x:v>
      </x:c>
      <x:c r="F128" s="7" t="str">
        <x:v>CJ</x:v>
      </x:c>
      <x:c r="G128" s="7" t="str">
        <x:v>joint or weld</x:v>
      </x:c>
      <x:c r="H128" s="7" t="str"/>
      <x:c r="I128" s="7" t="str"/>
      <x:c r="J128" s="7" t="str"/>
      <x:c r="K128" s="7" t="str">
        <x:f>IF(J128="","OPEN",IF(OR(H128="",I128=""),"FAIL","PASS"))</x:f>
        <x:v>OPEN</x:v>
      </x:c>
    </x:row>
    <x:row r="129">
      <x:c r="B129" s="7" t="str">
        <x:v>CPN-PEA-A-Y1-CJ-3</x:v>
      </x:c>
      <x:c r="C129" s="7" t="str">
        <x:v>PEA-A-Y1</x:v>
      </x:c>
      <x:c r="D129" s="7" t="str">
        <x:v>BLD-A</x:v>
      </x:c>
      <x:c r="E129" s="7" t="str">
        <x:v>BL-Y</x:v>
      </x:c>
      <x:c r="F129" s="7" t="str">
        <x:v>CJ</x:v>
      </x:c>
      <x:c r="G129" s="7" t="str">
        <x:v>joint or weld</x:v>
      </x:c>
      <x:c r="H129" s="7" t="str"/>
      <x:c r="I129" s="7" t="str"/>
      <x:c r="J129" s="7" t="str"/>
      <x:c r="K129" s="7" t="str">
        <x:f>IF(J129="","OPEN",IF(OR(H129="",I129=""),"FAIL","PASS"))</x:f>
        <x:v>OPEN</x:v>
      </x:c>
    </x:row>
    <x:row r="130">
      <x:c r="B130" s="7" t="str">
        <x:v>CPN-PEA-A-Y1-CJ-4</x:v>
      </x:c>
      <x:c r="C130" s="7" t="str">
        <x:v>PEA-A-Y1</x:v>
      </x:c>
      <x:c r="D130" s="7" t="str">
        <x:v>BLD-A</x:v>
      </x:c>
      <x:c r="E130" s="7" t="str">
        <x:v>BL-Y</x:v>
      </x:c>
      <x:c r="F130" s="7" t="str">
        <x:v>CJ</x:v>
      </x:c>
      <x:c r="G130" s="7" t="str">
        <x:v>joint or weld</x:v>
      </x:c>
      <x:c r="H130" s="7" t="str"/>
      <x:c r="I130" s="7" t="str"/>
      <x:c r="J130" s="7" t="str"/>
      <x:c r="K130" s="7" t="str">
        <x:f>IF(J130="","OPEN",IF(OR(H130="",I130=""),"FAIL","PASS"))</x:f>
        <x:v>OPEN</x:v>
      </x:c>
    </x:row>
    <x:row r="131">
      <x:c r="B131" s="7" t="str">
        <x:v>CPN-PEA-A-Y1-CJ-5</x:v>
      </x:c>
      <x:c r="C131" s="7" t="str">
        <x:v>PEA-A-Y1</x:v>
      </x:c>
      <x:c r="D131" s="7" t="str">
        <x:v>BLD-A</x:v>
      </x:c>
      <x:c r="E131" s="7" t="str">
        <x:v>BL-Y</x:v>
      </x:c>
      <x:c r="F131" s="7" t="str">
        <x:v>CJ</x:v>
      </x:c>
      <x:c r="G131" s="7" t="str">
        <x:v>joint or weld</x:v>
      </x:c>
      <x:c r="H131" s="7" t="str"/>
      <x:c r="I131" s="7" t="str"/>
      <x:c r="J131" s="7" t="str"/>
      <x:c r="K131" s="7" t="str">
        <x:f>IF(J131="","OPEN",IF(OR(H131="",I131=""),"FAIL","PASS"))</x:f>
        <x:v>OPEN</x:v>
      </x:c>
    </x:row>
    <x:row r="132">
      <x:c r="B132" s="7" t="str">
        <x:v>CPN-PEA-A-Y1-CJ-6</x:v>
      </x:c>
      <x:c r="C132" s="7" t="str">
        <x:v>PEA-A-Y1</x:v>
      </x:c>
      <x:c r="D132" s="7" t="str">
        <x:v>BLD-A</x:v>
      </x:c>
      <x:c r="E132" s="7" t="str">
        <x:v>BL-Y</x:v>
      </x:c>
      <x:c r="F132" s="7" t="str">
        <x:v>CJ</x:v>
      </x:c>
      <x:c r="G132" s="7" t="str">
        <x:v>joint or weld</x:v>
      </x:c>
      <x:c r="H132" s="7" t="str"/>
      <x:c r="I132" s="7" t="str"/>
      <x:c r="J132" s="7" t="str"/>
      <x:c r="K132" s="7" t="str">
        <x:f>IF(J132="","OPEN",IF(OR(H132="",I132=""),"FAIL","PASS"))</x:f>
        <x:v>OPEN</x:v>
      </x:c>
    </x:row>
    <x:row r="133">
      <x:c r="B133" s="7" t="str">
        <x:v>CPN-PEA-A-Y1-CJ-7</x:v>
      </x:c>
      <x:c r="C133" s="7" t="str">
        <x:v>PEA-A-Y1</x:v>
      </x:c>
      <x:c r="D133" s="7" t="str">
        <x:v>BLD-A</x:v>
      </x:c>
      <x:c r="E133" s="7" t="str">
        <x:v>BL-Y</x:v>
      </x:c>
      <x:c r="F133" s="7" t="str">
        <x:v>CJ</x:v>
      </x:c>
      <x:c r="G133" s="7" t="str">
        <x:v>joint or weld</x:v>
      </x:c>
      <x:c r="H133" s="7" t="str"/>
      <x:c r="I133" s="7" t="str"/>
      <x:c r="J133" s="7" t="str"/>
      <x:c r="K133" s="7" t="str">
        <x:f>IF(J133="","OPEN",IF(OR(H133="",I133=""),"FAIL","PASS"))</x:f>
        <x:v>OPEN</x:v>
      </x:c>
    </x:row>
    <x:row r="134">
      <x:c r="B134" s="7" t="str">
        <x:v>CPN-PEA-A-Y1-CJ-8</x:v>
      </x:c>
      <x:c r="C134" s="7" t="str">
        <x:v>PEA-A-Y1</x:v>
      </x:c>
      <x:c r="D134" s="7" t="str">
        <x:v>BLD-A</x:v>
      </x:c>
      <x:c r="E134" s="7" t="str">
        <x:v>BL-Y</x:v>
      </x:c>
      <x:c r="F134" s="7" t="str">
        <x:v>CJ</x:v>
      </x:c>
      <x:c r="G134" s="7" t="str">
        <x:v>joint or weld</x:v>
      </x:c>
      <x:c r="H134" s="7" t="str"/>
      <x:c r="I134" s="7" t="str"/>
      <x:c r="J134" s="7" t="str"/>
      <x:c r="K134" s="7" t="str">
        <x:f>IF(J134="","OPEN",IF(OR(H134="",I134=""),"FAIL","PASS"))</x:f>
        <x:v>OPEN</x:v>
      </x:c>
    </x:row>
    <x:row r="135">
      <x:c r="B135" s="7" t="str">
        <x:v>CPN-PEA-A-Y1-SE-1</x:v>
      </x:c>
      <x:c r="C135" s="7" t="str">
        <x:v>PEA-A-Y1</x:v>
      </x:c>
      <x:c r="D135" s="7" t="str">
        <x:v>BLD-A</x:v>
      </x:c>
      <x:c r="E135" s="7" t="str">
        <x:v>BL-Y</x:v>
      </x:c>
      <x:c r="F135" s="7" t="str">
        <x:v>SE</x:v>
      </x:c>
      <x:c r="G135" s="7" t="str">
        <x:v>seal and gasket</x:v>
      </x:c>
      <x:c r="H135" s="7" t="str"/>
      <x:c r="I135" s="7" t="str"/>
      <x:c r="J135" s="7" t="str"/>
      <x:c r="K135" s="7" t="str">
        <x:f>IF(J135="","OPEN",IF(OR(H135="",I135=""),"FAIL","PASS"))</x:f>
        <x:v>OPEN</x:v>
      </x:c>
    </x:row>
    <x:row r="136">
      <x:c r="B136" s="7" t="str">
        <x:v>CPN-PEA-A-Y1-SE-2</x:v>
      </x:c>
      <x:c r="C136" s="7" t="str">
        <x:v>PEA-A-Y1</x:v>
      </x:c>
      <x:c r="D136" s="7" t="str">
        <x:v>BLD-A</x:v>
      </x:c>
      <x:c r="E136" s="7" t="str">
        <x:v>BL-Y</x:v>
      </x:c>
      <x:c r="F136" s="7" t="str">
        <x:v>SE</x:v>
      </x:c>
      <x:c r="G136" s="7" t="str">
        <x:v>seal and gasket</x:v>
      </x:c>
      <x:c r="H136" s="7" t="str"/>
      <x:c r="I136" s="7" t="str"/>
      <x:c r="J136" s="7" t="str"/>
      <x:c r="K136" s="7" t="str">
        <x:f>IF(J136="","OPEN",IF(OR(H136="",I136=""),"FAIL","PASS"))</x:f>
        <x:v>OPEN</x:v>
      </x:c>
    </x:row>
    <x:row r="137">
      <x:c r="B137" s="7" t="str">
        <x:v>CPN-PEA-A-Y1-SE-3</x:v>
      </x:c>
      <x:c r="C137" s="7" t="str">
        <x:v>PEA-A-Y1</x:v>
      </x:c>
      <x:c r="D137" s="7" t="str">
        <x:v>BLD-A</x:v>
      </x:c>
      <x:c r="E137" s="7" t="str">
        <x:v>BL-Y</x:v>
      </x:c>
      <x:c r="F137" s="7" t="str">
        <x:v>SE</x:v>
      </x:c>
      <x:c r="G137" s="7" t="str">
        <x:v>seal and gasket</x:v>
      </x:c>
      <x:c r="H137" s="7" t="str"/>
      <x:c r="I137" s="7" t="str"/>
      <x:c r="J137" s="7" t="str"/>
      <x:c r="K137" s="7" t="str">
        <x:f>IF(J137="","OPEN",IF(OR(H137="",I137=""),"FAIL","PASS"))</x:f>
        <x:v>OPEN</x:v>
      </x:c>
    </x:row>
    <x:row r="138">
      <x:c r="B138" s="7" t="str">
        <x:v>CPN-PEA-A-Y1-SE-4</x:v>
      </x:c>
      <x:c r="C138" s="7" t="str">
        <x:v>PEA-A-Y1</x:v>
      </x:c>
      <x:c r="D138" s="7" t="str">
        <x:v>BLD-A</x:v>
      </x:c>
      <x:c r="E138" s="7" t="str">
        <x:v>BL-Y</x:v>
      </x:c>
      <x:c r="F138" s="7" t="str">
        <x:v>SE</x:v>
      </x:c>
      <x:c r="G138" s="7" t="str">
        <x:v>seal and gasket</x:v>
      </x:c>
      <x:c r="H138" s="7" t="str"/>
      <x:c r="I138" s="7" t="str"/>
      <x:c r="J138" s="7" t="str"/>
      <x:c r="K138" s="7" t="str">
        <x:f>IF(J138="","OPEN",IF(OR(H138="",I138=""),"FAIL","PASS"))</x:f>
        <x:v>OPEN</x:v>
      </x:c>
    </x:row>
    <x:row r="139">
      <x:c r="B139" s="7" t="str">
        <x:v>CPN-PEA-A-Y1-SE-5</x:v>
      </x:c>
      <x:c r="C139" s="7" t="str">
        <x:v>PEA-A-Y1</x:v>
      </x:c>
      <x:c r="D139" s="7" t="str">
        <x:v>BLD-A</x:v>
      </x:c>
      <x:c r="E139" s="7" t="str">
        <x:v>BL-Y</x:v>
      </x:c>
      <x:c r="F139" s="7" t="str">
        <x:v>SE</x:v>
      </x:c>
      <x:c r="G139" s="7" t="str">
        <x:v>seal and gasket</x:v>
      </x:c>
      <x:c r="H139" s="7" t="str"/>
      <x:c r="I139" s="7" t="str"/>
      <x:c r="J139" s="7" t="str"/>
      <x:c r="K139" s="7" t="str">
        <x:f>IF(J139="","OPEN",IF(OR(H139="",I139=""),"FAIL","PASS"))</x:f>
        <x:v>OPEN</x:v>
      </x:c>
    </x:row>
    <x:row r="140">
      <x:c r="B140" s="7" t="str">
        <x:v>CPN-PEA-A-Y1-SE-6</x:v>
      </x:c>
      <x:c r="C140" s="7" t="str">
        <x:v>PEA-A-Y1</x:v>
      </x:c>
      <x:c r="D140" s="7" t="str">
        <x:v>BLD-A</x:v>
      </x:c>
      <x:c r="E140" s="7" t="str">
        <x:v>BL-Y</x:v>
      </x:c>
      <x:c r="F140" s="7" t="str">
        <x:v>SE</x:v>
      </x:c>
      <x:c r="G140" s="7" t="str">
        <x:v>seal and gasket</x:v>
      </x:c>
      <x:c r="H140" s="7" t="str"/>
      <x:c r="I140" s="7" t="str"/>
      <x:c r="J140" s="7" t="str"/>
      <x:c r="K140" s="7" t="str">
        <x:f>IF(J140="","OPEN",IF(OR(H140="",I140=""),"FAIL","PASS"))</x:f>
        <x:v>OPEN</x:v>
      </x:c>
    </x:row>
    <x:row r="141">
      <x:c r="B141" s="7" t="str">
        <x:v>CPN-PEA-A-Y1-SE-7</x:v>
      </x:c>
      <x:c r="C141" s="7" t="str">
        <x:v>PEA-A-Y1</x:v>
      </x:c>
      <x:c r="D141" s="7" t="str">
        <x:v>BLD-A</x:v>
      </x:c>
      <x:c r="E141" s="7" t="str">
        <x:v>BL-Y</x:v>
      </x:c>
      <x:c r="F141" s="7" t="str">
        <x:v>SE</x:v>
      </x:c>
      <x:c r="G141" s="7" t="str">
        <x:v>seal and gasket</x:v>
      </x:c>
      <x:c r="H141" s="7" t="str"/>
      <x:c r="I141" s="7" t="str"/>
      <x:c r="J141" s="7" t="str"/>
      <x:c r="K141" s="7" t="str">
        <x:f>IF(J141="","OPEN",IF(OR(H141="",I141=""),"FAIL","PASS"))</x:f>
        <x:v>OPEN</x:v>
      </x:c>
    </x:row>
    <x:row r="142">
      <x:c r="B142" s="7" t="str">
        <x:v>CPN-PEA-A-Y1-SE-8</x:v>
      </x:c>
      <x:c r="C142" s="7" t="str">
        <x:v>PEA-A-Y1</x:v>
      </x:c>
      <x:c r="D142" s="7" t="str">
        <x:v>BLD-A</x:v>
      </x:c>
      <x:c r="E142" s="7" t="str">
        <x:v>BL-Y</x:v>
      </x:c>
      <x:c r="F142" s="7" t="str">
        <x:v>SE</x:v>
      </x:c>
      <x:c r="G142" s="7" t="str">
        <x:v>seal and gasket</x:v>
      </x:c>
      <x:c r="H142" s="7" t="str"/>
      <x:c r="I142" s="7" t="str"/>
      <x:c r="J142" s="7" t="str"/>
      <x:c r="K142" s="7" t="str">
        <x:f>IF(J142="","OPEN",IF(OR(H142="",I142=""),"FAIL","PASS"))</x:f>
        <x:v>OPEN</x:v>
      </x:c>
    </x:row>
    <x:row r="143">
      <x:c r="B143" s="7" t="str">
        <x:v>CPN-PEA-A-Y1-SF-1</x:v>
      </x:c>
      <x:c r="C143" s="7" t="str">
        <x:v>PEA-A-Y1</x:v>
      </x:c>
      <x:c r="D143" s="7" t="str">
        <x:v>BLD-A</x:v>
      </x:c>
      <x:c r="E143" s="7" t="str">
        <x:v>BL-Y</x:v>
      </x:c>
      <x:c r="F143" s="7" t="str">
        <x:v>SF</x:v>
      </x:c>
      <x:c r="G143" s="7" t="str">
        <x:v>wetted surface</x:v>
      </x:c>
      <x:c r="H143" s="7" t="str"/>
      <x:c r="I143" s="7" t="str"/>
      <x:c r="J143" s="7" t="str"/>
      <x:c r="K143" s="7" t="str">
        <x:f>IF(J143="","OPEN",IF(OR(H143="",I143=""),"FAIL","PASS"))</x:f>
        <x:v>OPEN</x:v>
      </x:c>
    </x:row>
    <x:row r="144">
      <x:c r="B144" s="7" t="str">
        <x:v>CPN-PEA-A-Y1-SF-2</x:v>
      </x:c>
      <x:c r="C144" s="7" t="str">
        <x:v>PEA-A-Y1</x:v>
      </x:c>
      <x:c r="D144" s="7" t="str">
        <x:v>BLD-A</x:v>
      </x:c>
      <x:c r="E144" s="7" t="str">
        <x:v>BL-Y</x:v>
      </x:c>
      <x:c r="F144" s="7" t="str">
        <x:v>SF</x:v>
      </x:c>
      <x:c r="G144" s="7" t="str">
        <x:v>wetted surface</x:v>
      </x:c>
      <x:c r="H144" s="7" t="str"/>
      <x:c r="I144" s="7" t="str"/>
      <x:c r="J144" s="7" t="str"/>
      <x:c r="K144" s="7" t="str">
        <x:f>IF(J144="","OPEN",IF(OR(H144="",I144=""),"FAIL","PASS"))</x:f>
        <x:v>OPEN</x:v>
      </x:c>
    </x:row>
    <x:row r="145">
      <x:c r="B145" s="7" t="str">
        <x:v>CPN-PEA-A-Y1-SF-3</x:v>
      </x:c>
      <x:c r="C145" s="7" t="str">
        <x:v>PEA-A-Y1</x:v>
      </x:c>
      <x:c r="D145" s="7" t="str">
        <x:v>BLD-A</x:v>
      </x:c>
      <x:c r="E145" s="7" t="str">
        <x:v>BL-Y</x:v>
      </x:c>
      <x:c r="F145" s="7" t="str">
        <x:v>SF</x:v>
      </x:c>
      <x:c r="G145" s="7" t="str">
        <x:v>wetted surface</x:v>
      </x:c>
      <x:c r="H145" s="7" t="str"/>
      <x:c r="I145" s="7" t="str"/>
      <x:c r="J145" s="7" t="str"/>
      <x:c r="K145" s="7" t="str">
        <x:f>IF(J145="","OPEN",IF(OR(H145="",I145=""),"FAIL","PASS"))</x:f>
        <x:v>OPEN</x:v>
      </x:c>
    </x:row>
    <x:row r="146">
      <x:c r="B146" s="7" t="str">
        <x:v>CPN-PEA-A-Y1-SF-4</x:v>
      </x:c>
      <x:c r="C146" s="7" t="str">
        <x:v>PEA-A-Y1</x:v>
      </x:c>
      <x:c r="D146" s="7" t="str">
        <x:v>BLD-A</x:v>
      </x:c>
      <x:c r="E146" s="7" t="str">
        <x:v>BL-Y</x:v>
      </x:c>
      <x:c r="F146" s="7" t="str">
        <x:v>SF</x:v>
      </x:c>
      <x:c r="G146" s="7" t="str">
        <x:v>wetted surface</x:v>
      </x:c>
      <x:c r="H146" s="7" t="str"/>
      <x:c r="I146" s="7" t="str"/>
      <x:c r="J146" s="7" t="str"/>
      <x:c r="K146" s="7" t="str">
        <x:f>IF(J146="","OPEN",IF(OR(H146="",I146=""),"FAIL","PASS"))</x:f>
        <x:v>OPEN</x:v>
      </x:c>
    </x:row>
    <x:row r="147">
      <x:c r="B147" s="7" t="str">
        <x:v>CPN-PEA-A-Y1-SF-5</x:v>
      </x:c>
      <x:c r="C147" s="7" t="str">
        <x:v>PEA-A-Y1</x:v>
      </x:c>
      <x:c r="D147" s="7" t="str">
        <x:v>BLD-A</x:v>
      </x:c>
      <x:c r="E147" s="7" t="str">
        <x:v>BL-Y</x:v>
      </x:c>
      <x:c r="F147" s="7" t="str">
        <x:v>SF</x:v>
      </x:c>
      <x:c r="G147" s="7" t="str">
        <x:v>wetted surface</x:v>
      </x:c>
      <x:c r="H147" s="7" t="str"/>
      <x:c r="I147" s="7" t="str"/>
      <x:c r="J147" s="7" t="str"/>
      <x:c r="K147" s="7" t="str">
        <x:f>IF(J147="","OPEN",IF(OR(H147="",I147=""),"FAIL","PASS"))</x:f>
        <x:v>OPEN</x:v>
      </x:c>
    </x:row>
    <x:row r="148">
      <x:c r="B148" s="7" t="str">
        <x:v>CPN-PEA-A-Y1-SF-6</x:v>
      </x:c>
      <x:c r="C148" s="7" t="str">
        <x:v>PEA-A-Y1</x:v>
      </x:c>
      <x:c r="D148" s="7" t="str">
        <x:v>BLD-A</x:v>
      </x:c>
      <x:c r="E148" s="7" t="str">
        <x:v>BL-Y</x:v>
      </x:c>
      <x:c r="F148" s="7" t="str">
        <x:v>SF</x:v>
      </x:c>
      <x:c r="G148" s="7" t="str">
        <x:v>wetted surface</x:v>
      </x:c>
      <x:c r="H148" s="7" t="str"/>
      <x:c r="I148" s="7" t="str"/>
      <x:c r="J148" s="7" t="str"/>
      <x:c r="K148" s="7" t="str">
        <x:f>IF(J148="","OPEN",IF(OR(H148="",I148=""),"FAIL","PASS"))</x:f>
        <x:v>OPEN</x:v>
      </x:c>
    </x:row>
    <x:row r="149">
      <x:c r="B149" s="7" t="str">
        <x:v>CPN-PEA-A-Y1-SF-7</x:v>
      </x:c>
      <x:c r="C149" s="7" t="str">
        <x:v>PEA-A-Y1</x:v>
      </x:c>
      <x:c r="D149" s="7" t="str">
        <x:v>BLD-A</x:v>
      </x:c>
      <x:c r="E149" s="7" t="str">
        <x:v>BL-Y</x:v>
      </x:c>
      <x:c r="F149" s="7" t="str">
        <x:v>SF</x:v>
      </x:c>
      <x:c r="G149" s="7" t="str">
        <x:v>wetted surface</x:v>
      </x:c>
      <x:c r="H149" s="7" t="str"/>
      <x:c r="I149" s="7" t="str"/>
      <x:c r="J149" s="7" t="str"/>
      <x:c r="K149" s="7" t="str">
        <x:f>IF(J149="","OPEN",IF(OR(H149="",I149=""),"FAIL","PASS"))</x:f>
        <x:v>OPEN</x:v>
      </x:c>
    </x:row>
    <x:row r="150">
      <x:c r="B150" s="7" t="str">
        <x:v>CPN-PEA-A-Y1-SF-8</x:v>
      </x:c>
      <x:c r="C150" s="7" t="str">
        <x:v>PEA-A-Y1</x:v>
      </x:c>
      <x:c r="D150" s="7" t="str">
        <x:v>BLD-A</x:v>
      </x:c>
      <x:c r="E150" s="7" t="str">
        <x:v>BL-Y</x:v>
      </x:c>
      <x:c r="F150" s="7" t="str">
        <x:v>SF</x:v>
      </x:c>
      <x:c r="G150" s="7" t="str">
        <x:v>wetted surface</x:v>
      </x:c>
      <x:c r="H150" s="7" t="str"/>
      <x:c r="I150" s="7" t="str"/>
      <x:c r="J150" s="7" t="str"/>
      <x:c r="K150" s="7" t="str">
        <x:f>IF(J150="","OPEN",IF(OR(H150="",I150=""),"FAIL","PASS"))</x:f>
        <x:v>OPEN</x:v>
      </x:c>
    </x:row>
    <x:row r="151">
      <x:c r="B151" s="7" t="str">
        <x:v>CPN-PEA-A-Y1-CP-1</x:v>
      </x:c>
      <x:c r="C151" s="7" t="str">
        <x:v>PEA-A-Y1</x:v>
      </x:c>
      <x:c r="D151" s="7" t="str">
        <x:v>BLD-A</x:v>
      </x:c>
      <x:c r="E151" s="7" t="str">
        <x:v>BL-Y</x:v>
      </x:c>
      <x:c r="F151" s="7" t="str">
        <x:v>CP</x:v>
      </x:c>
      <x:c r="G151" s="7" t="str">
        <x:v>penetration</x:v>
      </x:c>
      <x:c r="H151" s="7" t="str"/>
      <x:c r="I151" s="7" t="str"/>
      <x:c r="J151" s="7" t="str"/>
      <x:c r="K151" s="7" t="str">
        <x:f>IF(J151="","OPEN",IF(OR(H151="",I151=""),"FAIL","PASS"))</x:f>
        <x:v>OPEN</x:v>
      </x:c>
    </x:row>
    <x:row r="152">
      <x:c r="B152" s="7" t="str">
        <x:v>CPN-PEA-A-Y1-CP-2</x:v>
      </x:c>
      <x:c r="C152" s="7" t="str">
        <x:v>PEA-A-Y1</x:v>
      </x:c>
      <x:c r="D152" s="7" t="str">
        <x:v>BLD-A</x:v>
      </x:c>
      <x:c r="E152" s="7" t="str">
        <x:v>BL-Y</x:v>
      </x:c>
      <x:c r="F152" s="7" t="str">
        <x:v>CP</x:v>
      </x:c>
      <x:c r="G152" s="7" t="str">
        <x:v>penetration</x:v>
      </x:c>
      <x:c r="H152" s="7" t="str"/>
      <x:c r="I152" s="7" t="str"/>
      <x:c r="J152" s="7" t="str"/>
      <x:c r="K152" s="7" t="str">
        <x:f>IF(J152="","OPEN",IF(OR(H152="",I152=""),"FAIL","PASS"))</x:f>
        <x:v>OPEN</x:v>
      </x:c>
    </x:row>
    <x:row r="153">
      <x:c r="B153" s="7" t="str">
        <x:v>CPN-PEA-A-Y1-CP-3</x:v>
      </x:c>
      <x:c r="C153" s="7" t="str">
        <x:v>PEA-A-Y1</x:v>
      </x:c>
      <x:c r="D153" s="7" t="str">
        <x:v>BLD-A</x:v>
      </x:c>
      <x:c r="E153" s="7" t="str">
        <x:v>BL-Y</x:v>
      </x:c>
      <x:c r="F153" s="7" t="str">
        <x:v>CP</x:v>
      </x:c>
      <x:c r="G153" s="7" t="str">
        <x:v>penetration</x:v>
      </x:c>
      <x:c r="H153" s="7" t="str"/>
      <x:c r="I153" s="7" t="str"/>
      <x:c r="J153" s="7" t="str"/>
      <x:c r="K153" s="7" t="str">
        <x:f>IF(J153="","OPEN",IF(OR(H153="",I153=""),"FAIL","PASS"))</x:f>
        <x:v>OPEN</x:v>
      </x:c>
    </x:row>
    <x:row r="154">
      <x:c r="B154" s="7" t="str">
        <x:v>CPN-PEA-A-Y1-CP-4</x:v>
      </x:c>
      <x:c r="C154" s="7" t="str">
        <x:v>PEA-A-Y1</x:v>
      </x:c>
      <x:c r="D154" s="7" t="str">
        <x:v>BLD-A</x:v>
      </x:c>
      <x:c r="E154" s="7" t="str">
        <x:v>BL-Y</x:v>
      </x:c>
      <x:c r="F154" s="7" t="str">
        <x:v>CP</x:v>
      </x:c>
      <x:c r="G154" s="7" t="str">
        <x:v>penetration</x:v>
      </x:c>
      <x:c r="H154" s="7" t="str"/>
      <x:c r="I154" s="7" t="str"/>
      <x:c r="J154" s="7" t="str"/>
      <x:c r="K154" s="7" t="str">
        <x:f>IF(J154="","OPEN",IF(OR(H154="",I154=""),"FAIL","PASS"))</x:f>
        <x:v>OPEN</x:v>
      </x:c>
    </x:row>
    <x:row r="155">
      <x:c r="B155" s="7" t="str">
        <x:v>CPN-PEA-A-Y1-CP-5</x:v>
      </x:c>
      <x:c r="C155" s="7" t="str">
        <x:v>PEA-A-Y1</x:v>
      </x:c>
      <x:c r="D155" s="7" t="str">
        <x:v>BLD-A</x:v>
      </x:c>
      <x:c r="E155" s="7" t="str">
        <x:v>BL-Y</x:v>
      </x:c>
      <x:c r="F155" s="7" t="str">
        <x:v>CP</x:v>
      </x:c>
      <x:c r="G155" s="7" t="str">
        <x:v>penetration</x:v>
      </x:c>
      <x:c r="H155" s="7" t="str"/>
      <x:c r="I155" s="7" t="str"/>
      <x:c r="J155" s="7" t="str"/>
      <x:c r="K155" s="7" t="str">
        <x:f>IF(J155="","OPEN",IF(OR(H155="",I155=""),"FAIL","PASS"))</x:f>
        <x:v>OPEN</x:v>
      </x:c>
    </x:row>
    <x:row r="156">
      <x:c r="B156" s="7" t="str">
        <x:v>CPN-PEA-A-Y1-CP-6</x:v>
      </x:c>
      <x:c r="C156" s="7" t="str">
        <x:v>PEA-A-Y1</x:v>
      </x:c>
      <x:c r="D156" s="7" t="str">
        <x:v>BLD-A</x:v>
      </x:c>
      <x:c r="E156" s="7" t="str">
        <x:v>BL-Y</x:v>
      </x:c>
      <x:c r="F156" s="7" t="str">
        <x:v>CP</x:v>
      </x:c>
      <x:c r="G156" s="7" t="str">
        <x:v>penetration</x:v>
      </x:c>
      <x:c r="H156" s="7" t="str"/>
      <x:c r="I156" s="7" t="str"/>
      <x:c r="J156" s="7" t="str"/>
      <x:c r="K156" s="7" t="str">
        <x:f>IF(J156="","OPEN",IF(OR(H156="",I156=""),"FAIL","PASS"))</x:f>
        <x:v>OPEN</x:v>
      </x:c>
    </x:row>
    <x:row r="157">
      <x:c r="B157" s="7" t="str">
        <x:v>CPN-PEA-A-Y1-CP-7</x:v>
      </x:c>
      <x:c r="C157" s="7" t="str">
        <x:v>PEA-A-Y1</x:v>
      </x:c>
      <x:c r="D157" s="7" t="str">
        <x:v>BLD-A</x:v>
      </x:c>
      <x:c r="E157" s="7" t="str">
        <x:v>BL-Y</x:v>
      </x:c>
      <x:c r="F157" s="7" t="str">
        <x:v>CP</x:v>
      </x:c>
      <x:c r="G157" s="7" t="str">
        <x:v>penetration</x:v>
      </x:c>
      <x:c r="H157" s="7" t="str"/>
      <x:c r="I157" s="7" t="str"/>
      <x:c r="J157" s="7" t="str"/>
      <x:c r="K157" s="7" t="str">
        <x:f>IF(J157="","OPEN",IF(OR(H157="",I157=""),"FAIL","PASS"))</x:f>
        <x:v>OPEN</x:v>
      </x:c>
    </x:row>
    <x:row r="158">
      <x:c r="B158" s="7" t="str">
        <x:v>CPN-PEA-A-Y1-CP-8</x:v>
      </x:c>
      <x:c r="C158" s="7" t="str">
        <x:v>PEA-A-Y1</x:v>
      </x:c>
      <x:c r="D158" s="7" t="str">
        <x:v>BLD-A</x:v>
      </x:c>
      <x:c r="E158" s="7" t="str">
        <x:v>BL-Y</x:v>
      </x:c>
      <x:c r="F158" s="7" t="str">
        <x:v>CP</x:v>
      </x:c>
      <x:c r="G158" s="7" t="str">
        <x:v>penetration</x:v>
      </x:c>
      <x:c r="H158" s="7" t="str"/>
      <x:c r="I158" s="7" t="str"/>
      <x:c r="J158" s="7" t="str"/>
      <x:c r="K158" s="7" t="str">
        <x:f>IF(J158="","OPEN",IF(OR(H158="",I158=""),"FAIL","PASS"))</x:f>
        <x:v>OPEN</x:v>
      </x:c>
    </x:row>
    <x:row r="159">
      <x:c r="B159" s="7" t="str">
        <x:v>CPN-PEA-A-Y1-SM-1</x:v>
      </x:c>
      <x:c r="C159" s="7" t="str">
        <x:v>PEA-A-Y1</x:v>
      </x:c>
      <x:c r="D159" s="7" t="str">
        <x:v>BLD-A</x:v>
      </x:c>
      <x:c r="E159" s="7" t="str">
        <x:v>BL-Y</x:v>
      </x:c>
      <x:c r="F159" s="7" t="str">
        <x:v>SM</x:v>
      </x:c>
      <x:c r="G159" s="7" t="str">
        <x:v>sensor mount and datum</x:v>
      </x:c>
      <x:c r="H159" s="7" t="str"/>
      <x:c r="I159" s="7" t="str"/>
      <x:c r="J159" s="7" t="str"/>
      <x:c r="K159" s="7" t="str">
        <x:f>IF(J159="","OPEN",IF(OR(H159="",I159=""),"FAIL","PASS"))</x:f>
        <x:v>OPEN</x:v>
      </x:c>
    </x:row>
    <x:row r="160">
      <x:c r="B160" s="7" t="str">
        <x:v>CPN-PEA-A-Y1-SM-2</x:v>
      </x:c>
      <x:c r="C160" s="7" t="str">
        <x:v>PEA-A-Y1</x:v>
      </x:c>
      <x:c r="D160" s="7" t="str">
        <x:v>BLD-A</x:v>
      </x:c>
      <x:c r="E160" s="7" t="str">
        <x:v>BL-Y</x:v>
      </x:c>
      <x:c r="F160" s="7" t="str">
        <x:v>SM</x:v>
      </x:c>
      <x:c r="G160" s="7" t="str">
        <x:v>sensor mount and datum</x:v>
      </x:c>
      <x:c r="H160" s="7" t="str"/>
      <x:c r="I160" s="7" t="str"/>
      <x:c r="J160" s="7" t="str"/>
      <x:c r="K160" s="7" t="str">
        <x:f>IF(J160="","OPEN",IF(OR(H160="",I160=""),"FAIL","PASS"))</x:f>
        <x:v>OPEN</x:v>
      </x:c>
    </x:row>
    <x:row r="161">
      <x:c r="B161" s="7" t="str">
        <x:v>CPN-PEA-A-Y1-SM-3</x:v>
      </x:c>
      <x:c r="C161" s="7" t="str">
        <x:v>PEA-A-Y1</x:v>
      </x:c>
      <x:c r="D161" s="7" t="str">
        <x:v>BLD-A</x:v>
      </x:c>
      <x:c r="E161" s="7" t="str">
        <x:v>BL-Y</x:v>
      </x:c>
      <x:c r="F161" s="7" t="str">
        <x:v>SM</x:v>
      </x:c>
      <x:c r="G161" s="7" t="str">
        <x:v>sensor mount and datum</x:v>
      </x:c>
      <x:c r="H161" s="7" t="str"/>
      <x:c r="I161" s="7" t="str"/>
      <x:c r="J161" s="7" t="str"/>
      <x:c r="K161" s="7" t="str">
        <x:f>IF(J161="","OPEN",IF(OR(H161="",I161=""),"FAIL","PASS"))</x:f>
        <x:v>OPEN</x:v>
      </x:c>
    </x:row>
    <x:row r="162">
      <x:c r="B162" s="7" t="str">
        <x:v>CPN-PEA-A-Y1-SM-4</x:v>
      </x:c>
      <x:c r="C162" s="7" t="str">
        <x:v>PEA-A-Y1</x:v>
      </x:c>
      <x:c r="D162" s="7" t="str">
        <x:v>BLD-A</x:v>
      </x:c>
      <x:c r="E162" s="7" t="str">
        <x:v>BL-Y</x:v>
      </x:c>
      <x:c r="F162" s="7" t="str">
        <x:v>SM</x:v>
      </x:c>
      <x:c r="G162" s="7" t="str">
        <x:v>sensor mount and datum</x:v>
      </x:c>
      <x:c r="H162" s="7" t="str"/>
      <x:c r="I162" s="7" t="str"/>
      <x:c r="J162" s="7" t="str"/>
      <x:c r="K162" s="7" t="str">
        <x:f>IF(J162="","OPEN",IF(OR(H162="",I162=""),"FAIL","PASS"))</x:f>
        <x:v>OPEN</x:v>
      </x:c>
    </x:row>
    <x:row r="163">
      <x:c r="B163" s="7" t="str">
        <x:v>CPN-PEA-A-Y1-SM-5</x:v>
      </x:c>
      <x:c r="C163" s="7" t="str">
        <x:v>PEA-A-Y1</x:v>
      </x:c>
      <x:c r="D163" s="7" t="str">
        <x:v>BLD-A</x:v>
      </x:c>
      <x:c r="E163" s="7" t="str">
        <x:v>BL-Y</x:v>
      </x:c>
      <x:c r="F163" s="7" t="str">
        <x:v>SM</x:v>
      </x:c>
      <x:c r="G163" s="7" t="str">
        <x:v>sensor mount and datum</x:v>
      </x:c>
      <x:c r="H163" s="7" t="str"/>
      <x:c r="I163" s="7" t="str"/>
      <x:c r="J163" s="7" t="str"/>
      <x:c r="K163" s="7" t="str">
        <x:f>IF(J163="","OPEN",IF(OR(H163="",I163=""),"FAIL","PASS"))</x:f>
        <x:v>OPEN</x:v>
      </x:c>
    </x:row>
    <x:row r="164">
      <x:c r="B164" s="7" t="str">
        <x:v>CPN-PEA-A-Y1-SM-6</x:v>
      </x:c>
      <x:c r="C164" s="7" t="str">
        <x:v>PEA-A-Y1</x:v>
      </x:c>
      <x:c r="D164" s="7" t="str">
        <x:v>BLD-A</x:v>
      </x:c>
      <x:c r="E164" s="7" t="str">
        <x:v>BL-Y</x:v>
      </x:c>
      <x:c r="F164" s="7" t="str">
        <x:v>SM</x:v>
      </x:c>
      <x:c r="G164" s="7" t="str">
        <x:v>sensor mount and datum</x:v>
      </x:c>
      <x:c r="H164" s="7" t="str"/>
      <x:c r="I164" s="7" t="str"/>
      <x:c r="J164" s="7" t="str"/>
      <x:c r="K164" s="7" t="str">
        <x:f>IF(J164="","OPEN",IF(OR(H164="",I164=""),"FAIL","PASS"))</x:f>
        <x:v>OPEN</x:v>
      </x:c>
    </x:row>
    <x:row r="165">
      <x:c r="B165" s="7" t="str">
        <x:v>CPN-PEA-A-Y1-SM-7</x:v>
      </x:c>
      <x:c r="C165" s="7" t="str">
        <x:v>PEA-A-Y1</x:v>
      </x:c>
      <x:c r="D165" s="7" t="str">
        <x:v>BLD-A</x:v>
      </x:c>
      <x:c r="E165" s="7" t="str">
        <x:v>BL-Y</x:v>
      </x:c>
      <x:c r="F165" s="7" t="str">
        <x:v>SM</x:v>
      </x:c>
      <x:c r="G165" s="7" t="str">
        <x:v>sensor mount and datum</x:v>
      </x:c>
      <x:c r="H165" s="7" t="str"/>
      <x:c r="I165" s="7" t="str"/>
      <x:c r="J165" s="7" t="str"/>
      <x:c r="K165" s="7" t="str">
        <x:f>IF(J165="","OPEN",IF(OR(H165="",I165=""),"FAIL","PASS"))</x:f>
        <x:v>OPEN</x:v>
      </x:c>
    </x:row>
    <x:row r="166">
      <x:c r="B166" s="7" t="str">
        <x:v>CPN-PEA-A-Y1-SM-8</x:v>
      </x:c>
      <x:c r="C166" s="7" t="str">
        <x:v>PEA-A-Y1</x:v>
      </x:c>
      <x:c r="D166" s="7" t="str">
        <x:v>BLD-A</x:v>
      </x:c>
      <x:c r="E166" s="7" t="str">
        <x:v>BL-Y</x:v>
      </x:c>
      <x:c r="F166" s="7" t="str">
        <x:v>SM</x:v>
      </x:c>
      <x:c r="G166" s="7" t="str">
        <x:v>sensor mount and datum</x:v>
      </x:c>
      <x:c r="H166" s="7" t="str"/>
      <x:c r="I166" s="7" t="str"/>
      <x:c r="J166" s="7" t="str"/>
      <x:c r="K166" s="7" t="str">
        <x:f>IF(J166="","OPEN",IF(OR(H166="",I166=""),"FAIL","PASS"))</x:f>
        <x:v>OPEN</x:v>
      </x:c>
    </x:row>
    <x:row r="167">
      <x:c r="B167" s="7" t="str">
        <x:v>CPN-PEA-A-Y2-CJ-1</x:v>
      </x:c>
      <x:c r="C167" s="7" t="str">
        <x:v>PEA-A-Y2</x:v>
      </x:c>
      <x:c r="D167" s="7" t="str">
        <x:v>BLD-A</x:v>
      </x:c>
      <x:c r="E167" s="7" t="str">
        <x:v>BL-Y</x:v>
      </x:c>
      <x:c r="F167" s="7" t="str">
        <x:v>CJ</x:v>
      </x:c>
      <x:c r="G167" s="7" t="str">
        <x:v>joint or weld</x:v>
      </x:c>
      <x:c r="H167" s="7" t="str"/>
      <x:c r="I167" s="7" t="str"/>
      <x:c r="J167" s="7" t="str"/>
      <x:c r="K167" s="7" t="str">
        <x:f>IF(J167="","OPEN",IF(OR(H167="",I167=""),"FAIL","PASS"))</x:f>
        <x:v>OPEN</x:v>
      </x:c>
    </x:row>
    <x:row r="168">
      <x:c r="B168" s="7" t="str">
        <x:v>CPN-PEA-A-Y2-CJ-2</x:v>
      </x:c>
      <x:c r="C168" s="7" t="str">
        <x:v>PEA-A-Y2</x:v>
      </x:c>
      <x:c r="D168" s="7" t="str">
        <x:v>BLD-A</x:v>
      </x:c>
      <x:c r="E168" s="7" t="str">
        <x:v>BL-Y</x:v>
      </x:c>
      <x:c r="F168" s="7" t="str">
        <x:v>CJ</x:v>
      </x:c>
      <x:c r="G168" s="7" t="str">
        <x:v>joint or weld</x:v>
      </x:c>
      <x:c r="H168" s="7" t="str"/>
      <x:c r="I168" s="7" t="str"/>
      <x:c r="J168" s="7" t="str"/>
      <x:c r="K168" s="7" t="str">
        <x:f>IF(J168="","OPEN",IF(OR(H168="",I168=""),"FAIL","PASS"))</x:f>
        <x:v>OPEN</x:v>
      </x:c>
    </x:row>
    <x:row r="169">
      <x:c r="B169" s="7" t="str">
        <x:v>CPN-PEA-A-Y2-CJ-3</x:v>
      </x:c>
      <x:c r="C169" s="7" t="str">
        <x:v>PEA-A-Y2</x:v>
      </x:c>
      <x:c r="D169" s="7" t="str">
        <x:v>BLD-A</x:v>
      </x:c>
      <x:c r="E169" s="7" t="str">
        <x:v>BL-Y</x:v>
      </x:c>
      <x:c r="F169" s="7" t="str">
        <x:v>CJ</x:v>
      </x:c>
      <x:c r="G169" s="7" t="str">
        <x:v>joint or weld</x:v>
      </x:c>
      <x:c r="H169" s="7" t="str"/>
      <x:c r="I169" s="7" t="str"/>
      <x:c r="J169" s="7" t="str"/>
      <x:c r="K169" s="7" t="str">
        <x:f>IF(J169="","OPEN",IF(OR(H169="",I169=""),"FAIL","PASS"))</x:f>
        <x:v>OPEN</x:v>
      </x:c>
    </x:row>
    <x:row r="170">
      <x:c r="B170" s="7" t="str">
        <x:v>CPN-PEA-A-Y2-CJ-4</x:v>
      </x:c>
      <x:c r="C170" s="7" t="str">
        <x:v>PEA-A-Y2</x:v>
      </x:c>
      <x:c r="D170" s="7" t="str">
        <x:v>BLD-A</x:v>
      </x:c>
      <x:c r="E170" s="7" t="str">
        <x:v>BL-Y</x:v>
      </x:c>
      <x:c r="F170" s="7" t="str">
        <x:v>CJ</x:v>
      </x:c>
      <x:c r="G170" s="7" t="str">
        <x:v>joint or weld</x:v>
      </x:c>
      <x:c r="H170" s="7" t="str"/>
      <x:c r="I170" s="7" t="str"/>
      <x:c r="J170" s="7" t="str"/>
      <x:c r="K170" s="7" t="str">
        <x:f>IF(J170="","OPEN",IF(OR(H170="",I170=""),"FAIL","PASS"))</x:f>
        <x:v>OPEN</x:v>
      </x:c>
    </x:row>
    <x:row r="171">
      <x:c r="B171" s="7" t="str">
        <x:v>CPN-PEA-A-Y2-CJ-5</x:v>
      </x:c>
      <x:c r="C171" s="7" t="str">
        <x:v>PEA-A-Y2</x:v>
      </x:c>
      <x:c r="D171" s="7" t="str">
        <x:v>BLD-A</x:v>
      </x:c>
      <x:c r="E171" s="7" t="str">
        <x:v>BL-Y</x:v>
      </x:c>
      <x:c r="F171" s="7" t="str">
        <x:v>CJ</x:v>
      </x:c>
      <x:c r="G171" s="7" t="str">
        <x:v>joint or weld</x:v>
      </x:c>
      <x:c r="H171" s="7" t="str"/>
      <x:c r="I171" s="7" t="str"/>
      <x:c r="J171" s="7" t="str"/>
      <x:c r="K171" s="7" t="str">
        <x:f>IF(J171="","OPEN",IF(OR(H171="",I171=""),"FAIL","PASS"))</x:f>
        <x:v>OPEN</x:v>
      </x:c>
    </x:row>
    <x:row r="172">
      <x:c r="B172" s="7" t="str">
        <x:v>CPN-PEA-A-Y2-CJ-6</x:v>
      </x:c>
      <x:c r="C172" s="7" t="str">
        <x:v>PEA-A-Y2</x:v>
      </x:c>
      <x:c r="D172" s="7" t="str">
        <x:v>BLD-A</x:v>
      </x:c>
      <x:c r="E172" s="7" t="str">
        <x:v>BL-Y</x:v>
      </x:c>
      <x:c r="F172" s="7" t="str">
        <x:v>CJ</x:v>
      </x:c>
      <x:c r="G172" s="7" t="str">
        <x:v>joint or weld</x:v>
      </x:c>
      <x:c r="H172" s="7" t="str"/>
      <x:c r="I172" s="7" t="str"/>
      <x:c r="J172" s="7" t="str"/>
      <x:c r="K172" s="7" t="str">
        <x:f>IF(J172="","OPEN",IF(OR(H172="",I172=""),"FAIL","PASS"))</x:f>
        <x:v>OPEN</x:v>
      </x:c>
    </x:row>
    <x:row r="173">
      <x:c r="B173" s="7" t="str">
        <x:v>CPN-PEA-A-Y2-CJ-7</x:v>
      </x:c>
      <x:c r="C173" s="7" t="str">
        <x:v>PEA-A-Y2</x:v>
      </x:c>
      <x:c r="D173" s="7" t="str">
        <x:v>BLD-A</x:v>
      </x:c>
      <x:c r="E173" s="7" t="str">
        <x:v>BL-Y</x:v>
      </x:c>
      <x:c r="F173" s="7" t="str">
        <x:v>CJ</x:v>
      </x:c>
      <x:c r="G173" s="7" t="str">
        <x:v>joint or weld</x:v>
      </x:c>
      <x:c r="H173" s="7" t="str"/>
      <x:c r="I173" s="7" t="str"/>
      <x:c r="J173" s="7" t="str"/>
      <x:c r="K173" s="7" t="str">
        <x:f>IF(J173="","OPEN",IF(OR(H173="",I173=""),"FAIL","PASS"))</x:f>
        <x:v>OPEN</x:v>
      </x:c>
    </x:row>
    <x:row r="174">
      <x:c r="B174" s="7" t="str">
        <x:v>CPN-PEA-A-Y2-CJ-8</x:v>
      </x:c>
      <x:c r="C174" s="7" t="str">
        <x:v>PEA-A-Y2</x:v>
      </x:c>
      <x:c r="D174" s="7" t="str">
        <x:v>BLD-A</x:v>
      </x:c>
      <x:c r="E174" s="7" t="str">
        <x:v>BL-Y</x:v>
      </x:c>
      <x:c r="F174" s="7" t="str">
        <x:v>CJ</x:v>
      </x:c>
      <x:c r="G174" s="7" t="str">
        <x:v>joint or weld</x:v>
      </x:c>
      <x:c r="H174" s="7" t="str"/>
      <x:c r="I174" s="7" t="str"/>
      <x:c r="J174" s="7" t="str"/>
      <x:c r="K174" s="7" t="str">
        <x:f>IF(J174="","OPEN",IF(OR(H174="",I174=""),"FAIL","PASS"))</x:f>
        <x:v>OPEN</x:v>
      </x:c>
    </x:row>
    <x:row r="175">
      <x:c r="B175" s="7" t="str">
        <x:v>CPN-PEA-A-Y2-SE-1</x:v>
      </x:c>
      <x:c r="C175" s="7" t="str">
        <x:v>PEA-A-Y2</x:v>
      </x:c>
      <x:c r="D175" s="7" t="str">
        <x:v>BLD-A</x:v>
      </x:c>
      <x:c r="E175" s="7" t="str">
        <x:v>BL-Y</x:v>
      </x:c>
      <x:c r="F175" s="7" t="str">
        <x:v>SE</x:v>
      </x:c>
      <x:c r="G175" s="7" t="str">
        <x:v>seal and gasket</x:v>
      </x:c>
      <x:c r="H175" s="7" t="str"/>
      <x:c r="I175" s="7" t="str"/>
      <x:c r="J175" s="7" t="str"/>
      <x:c r="K175" s="7" t="str">
        <x:f>IF(J175="","OPEN",IF(OR(H175="",I175=""),"FAIL","PASS"))</x:f>
        <x:v>OPEN</x:v>
      </x:c>
    </x:row>
    <x:row r="176">
      <x:c r="B176" s="7" t="str">
        <x:v>CPN-PEA-A-Y2-SE-2</x:v>
      </x:c>
      <x:c r="C176" s="7" t="str">
        <x:v>PEA-A-Y2</x:v>
      </x:c>
      <x:c r="D176" s="7" t="str">
        <x:v>BLD-A</x:v>
      </x:c>
      <x:c r="E176" s="7" t="str">
        <x:v>BL-Y</x:v>
      </x:c>
      <x:c r="F176" s="7" t="str">
        <x:v>SE</x:v>
      </x:c>
      <x:c r="G176" s="7" t="str">
        <x:v>seal and gasket</x:v>
      </x:c>
      <x:c r="H176" s="7" t="str"/>
      <x:c r="I176" s="7" t="str"/>
      <x:c r="J176" s="7" t="str"/>
      <x:c r="K176" s="7" t="str">
        <x:f>IF(J176="","OPEN",IF(OR(H176="",I176=""),"FAIL","PASS"))</x:f>
        <x:v>OPEN</x:v>
      </x:c>
    </x:row>
    <x:row r="177">
      <x:c r="B177" s="7" t="str">
        <x:v>CPN-PEA-A-Y2-SE-3</x:v>
      </x:c>
      <x:c r="C177" s="7" t="str">
        <x:v>PEA-A-Y2</x:v>
      </x:c>
      <x:c r="D177" s="7" t="str">
        <x:v>BLD-A</x:v>
      </x:c>
      <x:c r="E177" s="7" t="str">
        <x:v>BL-Y</x:v>
      </x:c>
      <x:c r="F177" s="7" t="str">
        <x:v>SE</x:v>
      </x:c>
      <x:c r="G177" s="7" t="str">
        <x:v>seal and gasket</x:v>
      </x:c>
      <x:c r="H177" s="7" t="str"/>
      <x:c r="I177" s="7" t="str"/>
      <x:c r="J177" s="7" t="str"/>
      <x:c r="K177" s="7" t="str">
        <x:f>IF(J177="","OPEN",IF(OR(H177="",I177=""),"FAIL","PASS"))</x:f>
        <x:v>OPEN</x:v>
      </x:c>
    </x:row>
    <x:row r="178">
      <x:c r="B178" s="7" t="str">
        <x:v>CPN-PEA-A-Y2-SE-4</x:v>
      </x:c>
      <x:c r="C178" s="7" t="str">
        <x:v>PEA-A-Y2</x:v>
      </x:c>
      <x:c r="D178" s="7" t="str">
        <x:v>BLD-A</x:v>
      </x:c>
      <x:c r="E178" s="7" t="str">
        <x:v>BL-Y</x:v>
      </x:c>
      <x:c r="F178" s="7" t="str">
        <x:v>SE</x:v>
      </x:c>
      <x:c r="G178" s="7" t="str">
        <x:v>seal and gasket</x:v>
      </x:c>
      <x:c r="H178" s="7" t="str"/>
      <x:c r="I178" s="7" t="str"/>
      <x:c r="J178" s="7" t="str"/>
      <x:c r="K178" s="7" t="str">
        <x:f>IF(J178="","OPEN",IF(OR(H178="",I178=""),"FAIL","PASS"))</x:f>
        <x:v>OPEN</x:v>
      </x:c>
    </x:row>
    <x:row r="179">
      <x:c r="B179" s="7" t="str">
        <x:v>CPN-PEA-A-Y2-SE-5</x:v>
      </x:c>
      <x:c r="C179" s="7" t="str">
        <x:v>PEA-A-Y2</x:v>
      </x:c>
      <x:c r="D179" s="7" t="str">
        <x:v>BLD-A</x:v>
      </x:c>
      <x:c r="E179" s="7" t="str">
        <x:v>BL-Y</x:v>
      </x:c>
      <x:c r="F179" s="7" t="str">
        <x:v>SE</x:v>
      </x:c>
      <x:c r="G179" s="7" t="str">
        <x:v>seal and gasket</x:v>
      </x:c>
      <x:c r="H179" s="7" t="str"/>
      <x:c r="I179" s="7" t="str"/>
      <x:c r="J179" s="7" t="str"/>
      <x:c r="K179" s="7" t="str">
        <x:f>IF(J179="","OPEN",IF(OR(H179="",I179=""),"FAIL","PASS"))</x:f>
        <x:v>OPEN</x:v>
      </x:c>
    </x:row>
    <x:row r="180">
      <x:c r="B180" s="7" t="str">
        <x:v>CPN-PEA-A-Y2-SE-6</x:v>
      </x:c>
      <x:c r="C180" s="7" t="str">
        <x:v>PEA-A-Y2</x:v>
      </x:c>
      <x:c r="D180" s="7" t="str">
        <x:v>BLD-A</x:v>
      </x:c>
      <x:c r="E180" s="7" t="str">
        <x:v>BL-Y</x:v>
      </x:c>
      <x:c r="F180" s="7" t="str">
        <x:v>SE</x:v>
      </x:c>
      <x:c r="G180" s="7" t="str">
        <x:v>seal and gasket</x:v>
      </x:c>
      <x:c r="H180" s="7" t="str"/>
      <x:c r="I180" s="7" t="str"/>
      <x:c r="J180" s="7" t="str"/>
      <x:c r="K180" s="7" t="str">
        <x:f>IF(J180="","OPEN",IF(OR(H180="",I180=""),"FAIL","PASS"))</x:f>
        <x:v>OPEN</x:v>
      </x:c>
    </x:row>
    <x:row r="181">
      <x:c r="B181" s="7" t="str">
        <x:v>CPN-PEA-A-Y2-SE-7</x:v>
      </x:c>
      <x:c r="C181" s="7" t="str">
        <x:v>PEA-A-Y2</x:v>
      </x:c>
      <x:c r="D181" s="7" t="str">
        <x:v>BLD-A</x:v>
      </x:c>
      <x:c r="E181" s="7" t="str">
        <x:v>BL-Y</x:v>
      </x:c>
      <x:c r="F181" s="7" t="str">
        <x:v>SE</x:v>
      </x:c>
      <x:c r="G181" s="7" t="str">
        <x:v>seal and gasket</x:v>
      </x:c>
      <x:c r="H181" s="7" t="str"/>
      <x:c r="I181" s="7" t="str"/>
      <x:c r="J181" s="7" t="str"/>
      <x:c r="K181" s="7" t="str">
        <x:f>IF(J181="","OPEN",IF(OR(H181="",I181=""),"FAIL","PASS"))</x:f>
        <x:v>OPEN</x:v>
      </x:c>
    </x:row>
    <x:row r="182">
      <x:c r="B182" s="7" t="str">
        <x:v>CPN-PEA-A-Y2-SE-8</x:v>
      </x:c>
      <x:c r="C182" s="7" t="str">
        <x:v>PEA-A-Y2</x:v>
      </x:c>
      <x:c r="D182" s="7" t="str">
        <x:v>BLD-A</x:v>
      </x:c>
      <x:c r="E182" s="7" t="str">
        <x:v>BL-Y</x:v>
      </x:c>
      <x:c r="F182" s="7" t="str">
        <x:v>SE</x:v>
      </x:c>
      <x:c r="G182" s="7" t="str">
        <x:v>seal and gasket</x:v>
      </x:c>
      <x:c r="H182" s="7" t="str"/>
      <x:c r="I182" s="7" t="str"/>
      <x:c r="J182" s="7" t="str"/>
      <x:c r="K182" s="7" t="str">
        <x:f>IF(J182="","OPEN",IF(OR(H182="",I182=""),"FAIL","PASS"))</x:f>
        <x:v>OPEN</x:v>
      </x:c>
    </x:row>
    <x:row r="183">
      <x:c r="B183" s="7" t="str">
        <x:v>CPN-PEA-A-Y2-SF-1</x:v>
      </x:c>
      <x:c r="C183" s="7" t="str">
        <x:v>PEA-A-Y2</x:v>
      </x:c>
      <x:c r="D183" s="7" t="str">
        <x:v>BLD-A</x:v>
      </x:c>
      <x:c r="E183" s="7" t="str">
        <x:v>BL-Y</x:v>
      </x:c>
      <x:c r="F183" s="7" t="str">
        <x:v>SF</x:v>
      </x:c>
      <x:c r="G183" s="7" t="str">
        <x:v>wetted surface</x:v>
      </x:c>
      <x:c r="H183" s="7" t="str"/>
      <x:c r="I183" s="7" t="str"/>
      <x:c r="J183" s="7" t="str"/>
      <x:c r="K183" s="7" t="str">
        <x:f>IF(J183="","OPEN",IF(OR(H183="",I183=""),"FAIL","PASS"))</x:f>
        <x:v>OPEN</x:v>
      </x:c>
    </x:row>
    <x:row r="184">
      <x:c r="B184" s="7" t="str">
        <x:v>CPN-PEA-A-Y2-SF-2</x:v>
      </x:c>
      <x:c r="C184" s="7" t="str">
        <x:v>PEA-A-Y2</x:v>
      </x:c>
      <x:c r="D184" s="7" t="str">
        <x:v>BLD-A</x:v>
      </x:c>
      <x:c r="E184" s="7" t="str">
        <x:v>BL-Y</x:v>
      </x:c>
      <x:c r="F184" s="7" t="str">
        <x:v>SF</x:v>
      </x:c>
      <x:c r="G184" s="7" t="str">
        <x:v>wetted surface</x:v>
      </x:c>
      <x:c r="H184" s="7" t="str"/>
      <x:c r="I184" s="7" t="str"/>
      <x:c r="J184" s="7" t="str"/>
      <x:c r="K184" s="7" t="str">
        <x:f>IF(J184="","OPEN",IF(OR(H184="",I184=""),"FAIL","PASS"))</x:f>
        <x:v>OPEN</x:v>
      </x:c>
    </x:row>
    <x:row r="185">
      <x:c r="B185" s="7" t="str">
        <x:v>CPN-PEA-A-Y2-SF-3</x:v>
      </x:c>
      <x:c r="C185" s="7" t="str">
        <x:v>PEA-A-Y2</x:v>
      </x:c>
      <x:c r="D185" s="7" t="str">
        <x:v>BLD-A</x:v>
      </x:c>
      <x:c r="E185" s="7" t="str">
        <x:v>BL-Y</x:v>
      </x:c>
      <x:c r="F185" s="7" t="str">
        <x:v>SF</x:v>
      </x:c>
      <x:c r="G185" s="7" t="str">
        <x:v>wetted surface</x:v>
      </x:c>
      <x:c r="H185" s="7" t="str"/>
      <x:c r="I185" s="7" t="str"/>
      <x:c r="J185" s="7" t="str"/>
      <x:c r="K185" s="7" t="str">
        <x:f>IF(J185="","OPEN",IF(OR(H185="",I185=""),"FAIL","PASS"))</x:f>
        <x:v>OPEN</x:v>
      </x:c>
    </x:row>
    <x:row r="186">
      <x:c r="B186" s="7" t="str">
        <x:v>CPN-PEA-A-Y2-SF-4</x:v>
      </x:c>
      <x:c r="C186" s="7" t="str">
        <x:v>PEA-A-Y2</x:v>
      </x:c>
      <x:c r="D186" s="7" t="str">
        <x:v>BLD-A</x:v>
      </x:c>
      <x:c r="E186" s="7" t="str">
        <x:v>BL-Y</x:v>
      </x:c>
      <x:c r="F186" s="7" t="str">
        <x:v>SF</x:v>
      </x:c>
      <x:c r="G186" s="7" t="str">
        <x:v>wetted surface</x:v>
      </x:c>
      <x:c r="H186" s="7" t="str"/>
      <x:c r="I186" s="7" t="str"/>
      <x:c r="J186" s="7" t="str"/>
      <x:c r="K186" s="7" t="str">
        <x:f>IF(J186="","OPEN",IF(OR(H186="",I186=""),"FAIL","PASS"))</x:f>
        <x:v>OPEN</x:v>
      </x:c>
    </x:row>
    <x:row r="187">
      <x:c r="B187" s="7" t="str">
        <x:v>CPN-PEA-A-Y2-SF-5</x:v>
      </x:c>
      <x:c r="C187" s="7" t="str">
        <x:v>PEA-A-Y2</x:v>
      </x:c>
      <x:c r="D187" s="7" t="str">
        <x:v>BLD-A</x:v>
      </x:c>
      <x:c r="E187" s="7" t="str">
        <x:v>BL-Y</x:v>
      </x:c>
      <x:c r="F187" s="7" t="str">
        <x:v>SF</x:v>
      </x:c>
      <x:c r="G187" s="7" t="str">
        <x:v>wetted surface</x:v>
      </x:c>
      <x:c r="H187" s="7" t="str"/>
      <x:c r="I187" s="7" t="str"/>
      <x:c r="J187" s="7" t="str"/>
      <x:c r="K187" s="7" t="str">
        <x:f>IF(J187="","OPEN",IF(OR(H187="",I187=""),"FAIL","PASS"))</x:f>
        <x:v>OPEN</x:v>
      </x:c>
    </x:row>
    <x:row r="188">
      <x:c r="B188" s="7" t="str">
        <x:v>CPN-PEA-A-Y2-SF-6</x:v>
      </x:c>
      <x:c r="C188" s="7" t="str">
        <x:v>PEA-A-Y2</x:v>
      </x:c>
      <x:c r="D188" s="7" t="str">
        <x:v>BLD-A</x:v>
      </x:c>
      <x:c r="E188" s="7" t="str">
        <x:v>BL-Y</x:v>
      </x:c>
      <x:c r="F188" s="7" t="str">
        <x:v>SF</x:v>
      </x:c>
      <x:c r="G188" s="7" t="str">
        <x:v>wetted surface</x:v>
      </x:c>
      <x:c r="H188" s="7" t="str"/>
      <x:c r="I188" s="7" t="str"/>
      <x:c r="J188" s="7" t="str"/>
      <x:c r="K188" s="7" t="str">
        <x:f>IF(J188="","OPEN",IF(OR(H188="",I188=""),"FAIL","PASS"))</x:f>
        <x:v>OPEN</x:v>
      </x:c>
    </x:row>
    <x:row r="189">
      <x:c r="B189" s="7" t="str">
        <x:v>CPN-PEA-A-Y2-SF-7</x:v>
      </x:c>
      <x:c r="C189" s="7" t="str">
        <x:v>PEA-A-Y2</x:v>
      </x:c>
      <x:c r="D189" s="7" t="str">
        <x:v>BLD-A</x:v>
      </x:c>
      <x:c r="E189" s="7" t="str">
        <x:v>BL-Y</x:v>
      </x:c>
      <x:c r="F189" s="7" t="str">
        <x:v>SF</x:v>
      </x:c>
      <x:c r="G189" s="7" t="str">
        <x:v>wetted surface</x:v>
      </x:c>
      <x:c r="H189" s="7" t="str"/>
      <x:c r="I189" s="7" t="str"/>
      <x:c r="J189" s="7" t="str"/>
      <x:c r="K189" s="7" t="str">
        <x:f>IF(J189="","OPEN",IF(OR(H189="",I189=""),"FAIL","PASS"))</x:f>
        <x:v>OPEN</x:v>
      </x:c>
    </x:row>
    <x:row r="190">
      <x:c r="B190" s="7" t="str">
        <x:v>CPN-PEA-A-Y2-SF-8</x:v>
      </x:c>
      <x:c r="C190" s="7" t="str">
        <x:v>PEA-A-Y2</x:v>
      </x:c>
      <x:c r="D190" s="7" t="str">
        <x:v>BLD-A</x:v>
      </x:c>
      <x:c r="E190" s="7" t="str">
        <x:v>BL-Y</x:v>
      </x:c>
      <x:c r="F190" s="7" t="str">
        <x:v>SF</x:v>
      </x:c>
      <x:c r="G190" s="7" t="str">
        <x:v>wetted surface</x:v>
      </x:c>
      <x:c r="H190" s="7" t="str"/>
      <x:c r="I190" s="7" t="str"/>
      <x:c r="J190" s="7" t="str"/>
      <x:c r="K190" s="7" t="str">
        <x:f>IF(J190="","OPEN",IF(OR(H190="",I190=""),"FAIL","PASS"))</x:f>
        <x:v>OPEN</x:v>
      </x:c>
    </x:row>
    <x:row r="191">
      <x:c r="B191" s="7" t="str">
        <x:v>CPN-PEA-A-Y2-CP-1</x:v>
      </x:c>
      <x:c r="C191" s="7" t="str">
        <x:v>PEA-A-Y2</x:v>
      </x:c>
      <x:c r="D191" s="7" t="str">
        <x:v>BLD-A</x:v>
      </x:c>
      <x:c r="E191" s="7" t="str">
        <x:v>BL-Y</x:v>
      </x:c>
      <x:c r="F191" s="7" t="str">
        <x:v>CP</x:v>
      </x:c>
      <x:c r="G191" s="7" t="str">
        <x:v>penetration</x:v>
      </x:c>
      <x:c r="H191" s="7" t="str"/>
      <x:c r="I191" s="7" t="str"/>
      <x:c r="J191" s="7" t="str"/>
      <x:c r="K191" s="7" t="str">
        <x:f>IF(J191="","OPEN",IF(OR(H191="",I191=""),"FAIL","PASS"))</x:f>
        <x:v>OPEN</x:v>
      </x:c>
    </x:row>
    <x:row r="192">
      <x:c r="B192" s="7" t="str">
        <x:v>CPN-PEA-A-Y2-CP-2</x:v>
      </x:c>
      <x:c r="C192" s="7" t="str">
        <x:v>PEA-A-Y2</x:v>
      </x:c>
      <x:c r="D192" s="7" t="str">
        <x:v>BLD-A</x:v>
      </x:c>
      <x:c r="E192" s="7" t="str">
        <x:v>BL-Y</x:v>
      </x:c>
      <x:c r="F192" s="7" t="str">
        <x:v>CP</x:v>
      </x:c>
      <x:c r="G192" s="7" t="str">
        <x:v>penetration</x:v>
      </x:c>
      <x:c r="H192" s="7" t="str"/>
      <x:c r="I192" s="7" t="str"/>
      <x:c r="J192" s="7" t="str"/>
      <x:c r="K192" s="7" t="str">
        <x:f>IF(J192="","OPEN",IF(OR(H192="",I192=""),"FAIL","PASS"))</x:f>
        <x:v>OPEN</x:v>
      </x:c>
    </x:row>
    <x:row r="193">
      <x:c r="B193" s="7" t="str">
        <x:v>CPN-PEA-A-Y2-CP-3</x:v>
      </x:c>
      <x:c r="C193" s="7" t="str">
        <x:v>PEA-A-Y2</x:v>
      </x:c>
      <x:c r="D193" s="7" t="str">
        <x:v>BLD-A</x:v>
      </x:c>
      <x:c r="E193" s="7" t="str">
        <x:v>BL-Y</x:v>
      </x:c>
      <x:c r="F193" s="7" t="str">
        <x:v>CP</x:v>
      </x:c>
      <x:c r="G193" s="7" t="str">
        <x:v>penetration</x:v>
      </x:c>
      <x:c r="H193" s="7" t="str"/>
      <x:c r="I193" s="7" t="str"/>
      <x:c r="J193" s="7" t="str"/>
      <x:c r="K193" s="7" t="str">
        <x:f>IF(J193="","OPEN",IF(OR(H193="",I193=""),"FAIL","PASS"))</x:f>
        <x:v>OPEN</x:v>
      </x:c>
    </x:row>
    <x:row r="194">
      <x:c r="B194" s="7" t="str">
        <x:v>CPN-PEA-A-Y2-CP-4</x:v>
      </x:c>
      <x:c r="C194" s="7" t="str">
        <x:v>PEA-A-Y2</x:v>
      </x:c>
      <x:c r="D194" s="7" t="str">
        <x:v>BLD-A</x:v>
      </x:c>
      <x:c r="E194" s="7" t="str">
        <x:v>BL-Y</x:v>
      </x:c>
      <x:c r="F194" s="7" t="str">
        <x:v>CP</x:v>
      </x:c>
      <x:c r="G194" s="7" t="str">
        <x:v>penetration</x:v>
      </x:c>
      <x:c r="H194" s="7" t="str"/>
      <x:c r="I194" s="7" t="str"/>
      <x:c r="J194" s="7" t="str"/>
      <x:c r="K194" s="7" t="str">
        <x:f>IF(J194="","OPEN",IF(OR(H194="",I194=""),"FAIL","PASS"))</x:f>
        <x:v>OPEN</x:v>
      </x:c>
    </x:row>
    <x:row r="195">
      <x:c r="B195" s="7" t="str">
        <x:v>CPN-PEA-A-Y2-CP-5</x:v>
      </x:c>
      <x:c r="C195" s="7" t="str">
        <x:v>PEA-A-Y2</x:v>
      </x:c>
      <x:c r="D195" s="7" t="str">
        <x:v>BLD-A</x:v>
      </x:c>
      <x:c r="E195" s="7" t="str">
        <x:v>BL-Y</x:v>
      </x:c>
      <x:c r="F195" s="7" t="str">
        <x:v>CP</x:v>
      </x:c>
      <x:c r="G195" s="7" t="str">
        <x:v>penetration</x:v>
      </x:c>
      <x:c r="H195" s="7" t="str"/>
      <x:c r="I195" s="7" t="str"/>
      <x:c r="J195" s="7" t="str"/>
      <x:c r="K195" s="7" t="str">
        <x:f>IF(J195="","OPEN",IF(OR(H195="",I195=""),"FAIL","PASS"))</x:f>
        <x:v>OPEN</x:v>
      </x:c>
    </x:row>
    <x:row r="196">
      <x:c r="B196" s="7" t="str">
        <x:v>CPN-PEA-A-Y2-CP-6</x:v>
      </x:c>
      <x:c r="C196" s="7" t="str">
        <x:v>PEA-A-Y2</x:v>
      </x:c>
      <x:c r="D196" s="7" t="str">
        <x:v>BLD-A</x:v>
      </x:c>
      <x:c r="E196" s="7" t="str">
        <x:v>BL-Y</x:v>
      </x:c>
      <x:c r="F196" s="7" t="str">
        <x:v>CP</x:v>
      </x:c>
      <x:c r="G196" s="7" t="str">
        <x:v>penetration</x:v>
      </x:c>
      <x:c r="H196" s="7" t="str"/>
      <x:c r="I196" s="7" t="str"/>
      <x:c r="J196" s="7" t="str"/>
      <x:c r="K196" s="7" t="str">
        <x:f>IF(J196="","OPEN",IF(OR(H196="",I196=""),"FAIL","PASS"))</x:f>
        <x:v>OPEN</x:v>
      </x:c>
    </x:row>
    <x:row r="197">
      <x:c r="B197" s="7" t="str">
        <x:v>CPN-PEA-A-Y2-CP-7</x:v>
      </x:c>
      <x:c r="C197" s="7" t="str">
        <x:v>PEA-A-Y2</x:v>
      </x:c>
      <x:c r="D197" s="7" t="str">
        <x:v>BLD-A</x:v>
      </x:c>
      <x:c r="E197" s="7" t="str">
        <x:v>BL-Y</x:v>
      </x:c>
      <x:c r="F197" s="7" t="str">
        <x:v>CP</x:v>
      </x:c>
      <x:c r="G197" s="7" t="str">
        <x:v>penetration</x:v>
      </x:c>
      <x:c r="H197" s="7" t="str"/>
      <x:c r="I197" s="7" t="str"/>
      <x:c r="J197" s="7" t="str"/>
      <x:c r="K197" s="7" t="str">
        <x:f>IF(J197="","OPEN",IF(OR(H197="",I197=""),"FAIL","PASS"))</x:f>
        <x:v>OPEN</x:v>
      </x:c>
    </x:row>
    <x:row r="198">
      <x:c r="B198" s="7" t="str">
        <x:v>CPN-PEA-A-Y2-CP-8</x:v>
      </x:c>
      <x:c r="C198" s="7" t="str">
        <x:v>PEA-A-Y2</x:v>
      </x:c>
      <x:c r="D198" s="7" t="str">
        <x:v>BLD-A</x:v>
      </x:c>
      <x:c r="E198" s="7" t="str">
        <x:v>BL-Y</x:v>
      </x:c>
      <x:c r="F198" s="7" t="str">
        <x:v>CP</x:v>
      </x:c>
      <x:c r="G198" s="7" t="str">
        <x:v>penetration</x:v>
      </x:c>
      <x:c r="H198" s="7" t="str"/>
      <x:c r="I198" s="7" t="str"/>
      <x:c r="J198" s="7" t="str"/>
      <x:c r="K198" s="7" t="str">
        <x:f>IF(J198="","OPEN",IF(OR(H198="",I198=""),"FAIL","PASS"))</x:f>
        <x:v>OPEN</x:v>
      </x:c>
    </x:row>
    <x:row r="199">
      <x:c r="B199" s="7" t="str">
        <x:v>CPN-PEA-A-Y2-SM-1</x:v>
      </x:c>
      <x:c r="C199" s="7" t="str">
        <x:v>PEA-A-Y2</x:v>
      </x:c>
      <x:c r="D199" s="7" t="str">
        <x:v>BLD-A</x:v>
      </x:c>
      <x:c r="E199" s="7" t="str">
        <x:v>BL-Y</x:v>
      </x:c>
      <x:c r="F199" s="7" t="str">
        <x:v>SM</x:v>
      </x:c>
      <x:c r="G199" s="7" t="str">
        <x:v>sensor mount and datum</x:v>
      </x:c>
      <x:c r="H199" s="7" t="str"/>
      <x:c r="I199" s="7" t="str"/>
      <x:c r="J199" s="7" t="str"/>
      <x:c r="K199" s="7" t="str">
        <x:f>IF(J199="","OPEN",IF(OR(H199="",I199=""),"FAIL","PASS"))</x:f>
        <x:v>OPEN</x:v>
      </x:c>
    </x:row>
    <x:row r="200">
      <x:c r="B200" s="7" t="str">
        <x:v>CPN-PEA-A-Y2-SM-2</x:v>
      </x:c>
      <x:c r="C200" s="7" t="str">
        <x:v>PEA-A-Y2</x:v>
      </x:c>
      <x:c r="D200" s="7" t="str">
        <x:v>BLD-A</x:v>
      </x:c>
      <x:c r="E200" s="7" t="str">
        <x:v>BL-Y</x:v>
      </x:c>
      <x:c r="F200" s="7" t="str">
        <x:v>SM</x:v>
      </x:c>
      <x:c r="G200" s="7" t="str">
        <x:v>sensor mount and datum</x:v>
      </x:c>
      <x:c r="H200" s="7" t="str"/>
      <x:c r="I200" s="7" t="str"/>
      <x:c r="J200" s="7" t="str"/>
      <x:c r="K200" s="7" t="str">
        <x:f>IF(J200="","OPEN",IF(OR(H200="",I200=""),"FAIL","PASS"))</x:f>
        <x:v>OPEN</x:v>
      </x:c>
    </x:row>
    <x:row r="201">
      <x:c r="B201" s="7" t="str">
        <x:v>CPN-PEA-A-Y2-SM-3</x:v>
      </x:c>
      <x:c r="C201" s="7" t="str">
        <x:v>PEA-A-Y2</x:v>
      </x:c>
      <x:c r="D201" s="7" t="str">
        <x:v>BLD-A</x:v>
      </x:c>
      <x:c r="E201" s="7" t="str">
        <x:v>BL-Y</x:v>
      </x:c>
      <x:c r="F201" s="7" t="str">
        <x:v>SM</x:v>
      </x:c>
      <x:c r="G201" s="7" t="str">
        <x:v>sensor mount and datum</x:v>
      </x:c>
      <x:c r="H201" s="7" t="str"/>
      <x:c r="I201" s="7" t="str"/>
      <x:c r="J201" s="7" t="str"/>
      <x:c r="K201" s="7" t="str">
        <x:f>IF(J201="","OPEN",IF(OR(H201="",I201=""),"FAIL","PASS"))</x:f>
        <x:v>OPEN</x:v>
      </x:c>
    </x:row>
    <x:row r="202">
      <x:c r="B202" s="7" t="str">
        <x:v>CPN-PEA-A-Y2-SM-4</x:v>
      </x:c>
      <x:c r="C202" s="7" t="str">
        <x:v>PEA-A-Y2</x:v>
      </x:c>
      <x:c r="D202" s="7" t="str">
        <x:v>BLD-A</x:v>
      </x:c>
      <x:c r="E202" s="7" t="str">
        <x:v>BL-Y</x:v>
      </x:c>
      <x:c r="F202" s="7" t="str">
        <x:v>SM</x:v>
      </x:c>
      <x:c r="G202" s="7" t="str">
        <x:v>sensor mount and datum</x:v>
      </x:c>
      <x:c r="H202" s="7" t="str"/>
      <x:c r="I202" s="7" t="str"/>
      <x:c r="J202" s="7" t="str"/>
      <x:c r="K202" s="7" t="str">
        <x:f>IF(J202="","OPEN",IF(OR(H202="",I202=""),"FAIL","PASS"))</x:f>
        <x:v>OPEN</x:v>
      </x:c>
    </x:row>
    <x:row r="203">
      <x:c r="B203" s="7" t="str">
        <x:v>CPN-PEA-A-Y2-SM-5</x:v>
      </x:c>
      <x:c r="C203" s="7" t="str">
        <x:v>PEA-A-Y2</x:v>
      </x:c>
      <x:c r="D203" s="7" t="str">
        <x:v>BLD-A</x:v>
      </x:c>
      <x:c r="E203" s="7" t="str">
        <x:v>BL-Y</x:v>
      </x:c>
      <x:c r="F203" s="7" t="str">
        <x:v>SM</x:v>
      </x:c>
      <x:c r="G203" s="7" t="str">
        <x:v>sensor mount and datum</x:v>
      </x:c>
      <x:c r="H203" s="7" t="str"/>
      <x:c r="I203" s="7" t="str"/>
      <x:c r="J203" s="7" t="str"/>
      <x:c r="K203" s="7" t="str">
        <x:f>IF(J203="","OPEN",IF(OR(H203="",I203=""),"FAIL","PASS"))</x:f>
        <x:v>OPEN</x:v>
      </x:c>
    </x:row>
    <x:row r="204">
      <x:c r="B204" s="7" t="str">
        <x:v>CPN-PEA-A-Y2-SM-6</x:v>
      </x:c>
      <x:c r="C204" s="7" t="str">
        <x:v>PEA-A-Y2</x:v>
      </x:c>
      <x:c r="D204" s="7" t="str">
        <x:v>BLD-A</x:v>
      </x:c>
      <x:c r="E204" s="7" t="str">
        <x:v>BL-Y</x:v>
      </x:c>
      <x:c r="F204" s="7" t="str">
        <x:v>SM</x:v>
      </x:c>
      <x:c r="G204" s="7" t="str">
        <x:v>sensor mount and datum</x:v>
      </x:c>
      <x:c r="H204" s="7" t="str"/>
      <x:c r="I204" s="7" t="str"/>
      <x:c r="J204" s="7" t="str"/>
      <x:c r="K204" s="7" t="str">
        <x:f>IF(J204="","OPEN",IF(OR(H204="",I204=""),"FAIL","PASS"))</x:f>
        <x:v>OPEN</x:v>
      </x:c>
    </x:row>
    <x:row r="205">
      <x:c r="B205" s="7" t="str">
        <x:v>CPN-PEA-A-Y2-SM-7</x:v>
      </x:c>
      <x:c r="C205" s="7" t="str">
        <x:v>PEA-A-Y2</x:v>
      </x:c>
      <x:c r="D205" s="7" t="str">
        <x:v>BLD-A</x:v>
      </x:c>
      <x:c r="E205" s="7" t="str">
        <x:v>BL-Y</x:v>
      </x:c>
      <x:c r="F205" s="7" t="str">
        <x:v>SM</x:v>
      </x:c>
      <x:c r="G205" s="7" t="str">
        <x:v>sensor mount and datum</x:v>
      </x:c>
      <x:c r="H205" s="7" t="str"/>
      <x:c r="I205" s="7" t="str"/>
      <x:c r="J205" s="7" t="str"/>
      <x:c r="K205" s="7" t="str">
        <x:f>IF(J205="","OPEN",IF(OR(H205="",I205=""),"FAIL","PASS"))</x:f>
        <x:v>OPEN</x:v>
      </x:c>
    </x:row>
    <x:row r="206">
      <x:c r="B206" s="7" t="str">
        <x:v>CPN-PEA-A-Y2-SM-8</x:v>
      </x:c>
      <x:c r="C206" s="7" t="str">
        <x:v>PEA-A-Y2</x:v>
      </x:c>
      <x:c r="D206" s="7" t="str">
        <x:v>BLD-A</x:v>
      </x:c>
      <x:c r="E206" s="7" t="str">
        <x:v>BL-Y</x:v>
      </x:c>
      <x:c r="F206" s="7" t="str">
        <x:v>SM</x:v>
      </x:c>
      <x:c r="G206" s="7" t="str">
        <x:v>sensor mount and datum</x:v>
      </x:c>
      <x:c r="H206" s="7" t="str"/>
      <x:c r="I206" s="7" t="str"/>
      <x:c r="J206" s="7" t="str"/>
      <x:c r="K206" s="7" t="str">
        <x:f>IF(J206="","OPEN",IF(OR(H206="",I206=""),"FAIL","PASS"))</x:f>
        <x:v>OPEN</x:v>
      </x:c>
    </x:row>
    <x:row r="207">
      <x:c r="B207" s="7" t="str">
        <x:v>CPN-PEA-A-Y3-CJ-1</x:v>
      </x:c>
      <x:c r="C207" s="7" t="str">
        <x:v>PEA-A-Y3</x:v>
      </x:c>
      <x:c r="D207" s="7" t="str">
        <x:v>BLD-A</x:v>
      </x:c>
      <x:c r="E207" s="7" t="str">
        <x:v>BL-Y</x:v>
      </x:c>
      <x:c r="F207" s="7" t="str">
        <x:v>CJ</x:v>
      </x:c>
      <x:c r="G207" s="7" t="str">
        <x:v>joint or weld</x:v>
      </x:c>
      <x:c r="H207" s="7" t="str"/>
      <x:c r="I207" s="7" t="str"/>
      <x:c r="J207" s="7" t="str"/>
      <x:c r="K207" s="7" t="str">
        <x:f>IF(J207="","OPEN",IF(OR(H207="",I207=""),"FAIL","PASS"))</x:f>
        <x:v>OPEN</x:v>
      </x:c>
    </x:row>
    <x:row r="208">
      <x:c r="B208" s="7" t="str">
        <x:v>CPN-PEA-A-Y3-CJ-2</x:v>
      </x:c>
      <x:c r="C208" s="7" t="str">
        <x:v>PEA-A-Y3</x:v>
      </x:c>
      <x:c r="D208" s="7" t="str">
        <x:v>BLD-A</x:v>
      </x:c>
      <x:c r="E208" s="7" t="str">
        <x:v>BL-Y</x:v>
      </x:c>
      <x:c r="F208" s="7" t="str">
        <x:v>CJ</x:v>
      </x:c>
      <x:c r="G208" s="7" t="str">
        <x:v>joint or weld</x:v>
      </x:c>
      <x:c r="H208" s="7" t="str"/>
      <x:c r="I208" s="7" t="str"/>
      <x:c r="J208" s="7" t="str"/>
      <x:c r="K208" s="7" t="str">
        <x:f>IF(J208="","OPEN",IF(OR(H208="",I208=""),"FAIL","PASS"))</x:f>
        <x:v>OPEN</x:v>
      </x:c>
    </x:row>
    <x:row r="209">
      <x:c r="B209" s="7" t="str">
        <x:v>CPN-PEA-A-Y3-CJ-3</x:v>
      </x:c>
      <x:c r="C209" s="7" t="str">
        <x:v>PEA-A-Y3</x:v>
      </x:c>
      <x:c r="D209" s="7" t="str">
        <x:v>BLD-A</x:v>
      </x:c>
      <x:c r="E209" s="7" t="str">
        <x:v>BL-Y</x:v>
      </x:c>
      <x:c r="F209" s="7" t="str">
        <x:v>CJ</x:v>
      </x:c>
      <x:c r="G209" s="7" t="str">
        <x:v>joint or weld</x:v>
      </x:c>
      <x:c r="H209" s="7" t="str"/>
      <x:c r="I209" s="7" t="str"/>
      <x:c r="J209" s="7" t="str"/>
      <x:c r="K209" s="7" t="str">
        <x:f>IF(J209="","OPEN",IF(OR(H209="",I209=""),"FAIL","PASS"))</x:f>
        <x:v>OPEN</x:v>
      </x:c>
    </x:row>
    <x:row r="210">
      <x:c r="B210" s="7" t="str">
        <x:v>CPN-PEA-A-Y3-CJ-4</x:v>
      </x:c>
      <x:c r="C210" s="7" t="str">
        <x:v>PEA-A-Y3</x:v>
      </x:c>
      <x:c r="D210" s="7" t="str">
        <x:v>BLD-A</x:v>
      </x:c>
      <x:c r="E210" s="7" t="str">
        <x:v>BL-Y</x:v>
      </x:c>
      <x:c r="F210" s="7" t="str">
        <x:v>CJ</x:v>
      </x:c>
      <x:c r="G210" s="7" t="str">
        <x:v>joint or weld</x:v>
      </x:c>
      <x:c r="H210" s="7" t="str"/>
      <x:c r="I210" s="7" t="str"/>
      <x:c r="J210" s="7" t="str"/>
      <x:c r="K210" s="7" t="str">
        <x:f>IF(J210="","OPEN",IF(OR(H210="",I210=""),"FAIL","PASS"))</x:f>
        <x:v>OPEN</x:v>
      </x:c>
    </x:row>
    <x:row r="211">
      <x:c r="B211" s="7" t="str">
        <x:v>CPN-PEA-A-Y3-CJ-5</x:v>
      </x:c>
      <x:c r="C211" s="7" t="str">
        <x:v>PEA-A-Y3</x:v>
      </x:c>
      <x:c r="D211" s="7" t="str">
        <x:v>BLD-A</x:v>
      </x:c>
      <x:c r="E211" s="7" t="str">
        <x:v>BL-Y</x:v>
      </x:c>
      <x:c r="F211" s="7" t="str">
        <x:v>CJ</x:v>
      </x:c>
      <x:c r="G211" s="7" t="str">
        <x:v>joint or weld</x:v>
      </x:c>
      <x:c r="H211" s="7" t="str"/>
      <x:c r="I211" s="7" t="str"/>
      <x:c r="J211" s="7" t="str"/>
      <x:c r="K211" s="7" t="str">
        <x:f>IF(J211="","OPEN",IF(OR(H211="",I211=""),"FAIL","PASS"))</x:f>
        <x:v>OPEN</x:v>
      </x:c>
    </x:row>
    <x:row r="212">
      <x:c r="B212" s="7" t="str">
        <x:v>CPN-PEA-A-Y3-CJ-6</x:v>
      </x:c>
      <x:c r="C212" s="7" t="str">
        <x:v>PEA-A-Y3</x:v>
      </x:c>
      <x:c r="D212" s="7" t="str">
        <x:v>BLD-A</x:v>
      </x:c>
      <x:c r="E212" s="7" t="str">
        <x:v>BL-Y</x:v>
      </x:c>
      <x:c r="F212" s="7" t="str">
        <x:v>CJ</x:v>
      </x:c>
      <x:c r="G212" s="7" t="str">
        <x:v>joint or weld</x:v>
      </x:c>
      <x:c r="H212" s="7" t="str"/>
      <x:c r="I212" s="7" t="str"/>
      <x:c r="J212" s="7" t="str"/>
      <x:c r="K212" s="7" t="str">
        <x:f>IF(J212="","OPEN",IF(OR(H212="",I212=""),"FAIL","PASS"))</x:f>
        <x:v>OPEN</x:v>
      </x:c>
    </x:row>
    <x:row r="213">
      <x:c r="B213" s="7" t="str">
        <x:v>CPN-PEA-A-Y3-CJ-7</x:v>
      </x:c>
      <x:c r="C213" s="7" t="str">
        <x:v>PEA-A-Y3</x:v>
      </x:c>
      <x:c r="D213" s="7" t="str">
        <x:v>BLD-A</x:v>
      </x:c>
      <x:c r="E213" s="7" t="str">
        <x:v>BL-Y</x:v>
      </x:c>
      <x:c r="F213" s="7" t="str">
        <x:v>CJ</x:v>
      </x:c>
      <x:c r="G213" s="7" t="str">
        <x:v>joint or weld</x:v>
      </x:c>
      <x:c r="H213" s="7" t="str"/>
      <x:c r="I213" s="7" t="str"/>
      <x:c r="J213" s="7" t="str"/>
      <x:c r="K213" s="7" t="str">
        <x:f>IF(J213="","OPEN",IF(OR(H213="",I213=""),"FAIL","PASS"))</x:f>
        <x:v>OPEN</x:v>
      </x:c>
    </x:row>
    <x:row r="214">
      <x:c r="B214" s="7" t="str">
        <x:v>CPN-PEA-A-Y3-CJ-8</x:v>
      </x:c>
      <x:c r="C214" s="7" t="str">
        <x:v>PEA-A-Y3</x:v>
      </x:c>
      <x:c r="D214" s="7" t="str">
        <x:v>BLD-A</x:v>
      </x:c>
      <x:c r="E214" s="7" t="str">
        <x:v>BL-Y</x:v>
      </x:c>
      <x:c r="F214" s="7" t="str">
        <x:v>CJ</x:v>
      </x:c>
      <x:c r="G214" s="7" t="str">
        <x:v>joint or weld</x:v>
      </x:c>
      <x:c r="H214" s="7" t="str"/>
      <x:c r="I214" s="7" t="str"/>
      <x:c r="J214" s="7" t="str"/>
      <x:c r="K214" s="7" t="str">
        <x:f>IF(J214="","OPEN",IF(OR(H214="",I214=""),"FAIL","PASS"))</x:f>
        <x:v>OPEN</x:v>
      </x:c>
    </x:row>
    <x:row r="215">
      <x:c r="B215" s="7" t="str">
        <x:v>CPN-PEA-A-Y3-SE-1</x:v>
      </x:c>
      <x:c r="C215" s="7" t="str">
        <x:v>PEA-A-Y3</x:v>
      </x:c>
      <x:c r="D215" s="7" t="str">
        <x:v>BLD-A</x:v>
      </x:c>
      <x:c r="E215" s="7" t="str">
        <x:v>BL-Y</x:v>
      </x:c>
      <x:c r="F215" s="7" t="str">
        <x:v>SE</x:v>
      </x:c>
      <x:c r="G215" s="7" t="str">
        <x:v>seal and gasket</x:v>
      </x:c>
      <x:c r="H215" s="7" t="str"/>
      <x:c r="I215" s="7" t="str"/>
      <x:c r="J215" s="7" t="str"/>
      <x:c r="K215" s="7" t="str">
        <x:f>IF(J215="","OPEN",IF(OR(H215="",I215=""),"FAIL","PASS"))</x:f>
        <x:v>OPEN</x:v>
      </x:c>
    </x:row>
    <x:row r="216">
      <x:c r="B216" s="7" t="str">
        <x:v>CPN-PEA-A-Y3-SE-2</x:v>
      </x:c>
      <x:c r="C216" s="7" t="str">
        <x:v>PEA-A-Y3</x:v>
      </x:c>
      <x:c r="D216" s="7" t="str">
        <x:v>BLD-A</x:v>
      </x:c>
      <x:c r="E216" s="7" t="str">
        <x:v>BL-Y</x:v>
      </x:c>
      <x:c r="F216" s="7" t="str">
        <x:v>SE</x:v>
      </x:c>
      <x:c r="G216" s="7" t="str">
        <x:v>seal and gasket</x:v>
      </x:c>
      <x:c r="H216" s="7" t="str"/>
      <x:c r="I216" s="7" t="str"/>
      <x:c r="J216" s="7" t="str"/>
      <x:c r="K216" s="7" t="str">
        <x:f>IF(J216="","OPEN",IF(OR(H216="",I216=""),"FAIL","PASS"))</x:f>
        <x:v>OPEN</x:v>
      </x:c>
    </x:row>
    <x:row r="217">
      <x:c r="B217" s="7" t="str">
        <x:v>CPN-PEA-A-Y3-SE-3</x:v>
      </x:c>
      <x:c r="C217" s="7" t="str">
        <x:v>PEA-A-Y3</x:v>
      </x:c>
      <x:c r="D217" s="7" t="str">
        <x:v>BLD-A</x:v>
      </x:c>
      <x:c r="E217" s="7" t="str">
        <x:v>BL-Y</x:v>
      </x:c>
      <x:c r="F217" s="7" t="str">
        <x:v>SE</x:v>
      </x:c>
      <x:c r="G217" s="7" t="str">
        <x:v>seal and gasket</x:v>
      </x:c>
      <x:c r="H217" s="7" t="str"/>
      <x:c r="I217" s="7" t="str"/>
      <x:c r="J217" s="7" t="str"/>
      <x:c r="K217" s="7" t="str">
        <x:f>IF(J217="","OPEN",IF(OR(H217="",I217=""),"FAIL","PASS"))</x:f>
        <x:v>OPEN</x:v>
      </x:c>
    </x:row>
    <x:row r="218">
      <x:c r="B218" s="7" t="str">
        <x:v>CPN-PEA-A-Y3-SE-4</x:v>
      </x:c>
      <x:c r="C218" s="7" t="str">
        <x:v>PEA-A-Y3</x:v>
      </x:c>
      <x:c r="D218" s="7" t="str">
        <x:v>BLD-A</x:v>
      </x:c>
      <x:c r="E218" s="7" t="str">
        <x:v>BL-Y</x:v>
      </x:c>
      <x:c r="F218" s="7" t="str">
        <x:v>SE</x:v>
      </x:c>
      <x:c r="G218" s="7" t="str">
        <x:v>seal and gasket</x:v>
      </x:c>
      <x:c r="H218" s="7" t="str"/>
      <x:c r="I218" s="7" t="str"/>
      <x:c r="J218" s="7" t="str"/>
      <x:c r="K218" s="7" t="str">
        <x:f>IF(J218="","OPEN",IF(OR(H218="",I218=""),"FAIL","PASS"))</x:f>
        <x:v>OPEN</x:v>
      </x:c>
    </x:row>
    <x:row r="219">
      <x:c r="B219" s="7" t="str">
        <x:v>CPN-PEA-A-Y3-SE-5</x:v>
      </x:c>
      <x:c r="C219" s="7" t="str">
        <x:v>PEA-A-Y3</x:v>
      </x:c>
      <x:c r="D219" s="7" t="str">
        <x:v>BLD-A</x:v>
      </x:c>
      <x:c r="E219" s="7" t="str">
        <x:v>BL-Y</x:v>
      </x:c>
      <x:c r="F219" s="7" t="str">
        <x:v>SE</x:v>
      </x:c>
      <x:c r="G219" s="7" t="str">
        <x:v>seal and gasket</x:v>
      </x:c>
      <x:c r="H219" s="7" t="str"/>
      <x:c r="I219" s="7" t="str"/>
      <x:c r="J219" s="7" t="str"/>
      <x:c r="K219" s="7" t="str">
        <x:f>IF(J219="","OPEN",IF(OR(H219="",I219=""),"FAIL","PASS"))</x:f>
        <x:v>OPEN</x:v>
      </x:c>
    </x:row>
    <x:row r="220">
      <x:c r="B220" s="7" t="str">
        <x:v>CPN-PEA-A-Y3-SE-6</x:v>
      </x:c>
      <x:c r="C220" s="7" t="str">
        <x:v>PEA-A-Y3</x:v>
      </x:c>
      <x:c r="D220" s="7" t="str">
        <x:v>BLD-A</x:v>
      </x:c>
      <x:c r="E220" s="7" t="str">
        <x:v>BL-Y</x:v>
      </x:c>
      <x:c r="F220" s="7" t="str">
        <x:v>SE</x:v>
      </x:c>
      <x:c r="G220" s="7" t="str">
        <x:v>seal and gasket</x:v>
      </x:c>
      <x:c r="H220" s="7" t="str"/>
      <x:c r="I220" s="7" t="str"/>
      <x:c r="J220" s="7" t="str"/>
      <x:c r="K220" s="7" t="str">
        <x:f>IF(J220="","OPEN",IF(OR(H220="",I220=""),"FAIL","PASS"))</x:f>
        <x:v>OPEN</x:v>
      </x:c>
    </x:row>
    <x:row r="221">
      <x:c r="B221" s="7" t="str">
        <x:v>CPN-PEA-A-Y3-SE-7</x:v>
      </x:c>
      <x:c r="C221" s="7" t="str">
        <x:v>PEA-A-Y3</x:v>
      </x:c>
      <x:c r="D221" s="7" t="str">
        <x:v>BLD-A</x:v>
      </x:c>
      <x:c r="E221" s="7" t="str">
        <x:v>BL-Y</x:v>
      </x:c>
      <x:c r="F221" s="7" t="str">
        <x:v>SE</x:v>
      </x:c>
      <x:c r="G221" s="7" t="str">
        <x:v>seal and gasket</x:v>
      </x:c>
      <x:c r="H221" s="7" t="str"/>
      <x:c r="I221" s="7" t="str"/>
      <x:c r="J221" s="7" t="str"/>
      <x:c r="K221" s="7" t="str">
        <x:f>IF(J221="","OPEN",IF(OR(H221="",I221=""),"FAIL","PASS"))</x:f>
        <x:v>OPEN</x:v>
      </x:c>
    </x:row>
    <x:row r="222">
      <x:c r="B222" s="7" t="str">
        <x:v>CPN-PEA-A-Y3-SE-8</x:v>
      </x:c>
      <x:c r="C222" s="7" t="str">
        <x:v>PEA-A-Y3</x:v>
      </x:c>
      <x:c r="D222" s="7" t="str">
        <x:v>BLD-A</x:v>
      </x:c>
      <x:c r="E222" s="7" t="str">
        <x:v>BL-Y</x:v>
      </x:c>
      <x:c r="F222" s="7" t="str">
        <x:v>SE</x:v>
      </x:c>
      <x:c r="G222" s="7" t="str">
        <x:v>seal and gasket</x:v>
      </x:c>
      <x:c r="H222" s="7" t="str"/>
      <x:c r="I222" s="7" t="str"/>
      <x:c r="J222" s="7" t="str"/>
      <x:c r="K222" s="7" t="str">
        <x:f>IF(J222="","OPEN",IF(OR(H222="",I222=""),"FAIL","PASS"))</x:f>
        <x:v>OPEN</x:v>
      </x:c>
    </x:row>
    <x:row r="223">
      <x:c r="B223" s="7" t="str">
        <x:v>CPN-PEA-A-Y3-SF-1</x:v>
      </x:c>
      <x:c r="C223" s="7" t="str">
        <x:v>PEA-A-Y3</x:v>
      </x:c>
      <x:c r="D223" s="7" t="str">
        <x:v>BLD-A</x:v>
      </x:c>
      <x:c r="E223" s="7" t="str">
        <x:v>BL-Y</x:v>
      </x:c>
      <x:c r="F223" s="7" t="str">
        <x:v>SF</x:v>
      </x:c>
      <x:c r="G223" s="7" t="str">
        <x:v>wetted surface</x:v>
      </x:c>
      <x:c r="H223" s="7" t="str"/>
      <x:c r="I223" s="7" t="str"/>
      <x:c r="J223" s="7" t="str"/>
      <x:c r="K223" s="7" t="str">
        <x:f>IF(J223="","OPEN",IF(OR(H223="",I223=""),"FAIL","PASS"))</x:f>
        <x:v>OPEN</x:v>
      </x:c>
    </x:row>
    <x:row r="224">
      <x:c r="B224" s="7" t="str">
        <x:v>CPN-PEA-A-Y3-SF-2</x:v>
      </x:c>
      <x:c r="C224" s="7" t="str">
        <x:v>PEA-A-Y3</x:v>
      </x:c>
      <x:c r="D224" s="7" t="str">
        <x:v>BLD-A</x:v>
      </x:c>
      <x:c r="E224" s="7" t="str">
        <x:v>BL-Y</x:v>
      </x:c>
      <x:c r="F224" s="7" t="str">
        <x:v>SF</x:v>
      </x:c>
      <x:c r="G224" s="7" t="str">
        <x:v>wetted surface</x:v>
      </x:c>
      <x:c r="H224" s="7" t="str"/>
      <x:c r="I224" s="7" t="str"/>
      <x:c r="J224" s="7" t="str"/>
      <x:c r="K224" s="7" t="str">
        <x:f>IF(J224="","OPEN",IF(OR(H224="",I224=""),"FAIL","PASS"))</x:f>
        <x:v>OPEN</x:v>
      </x:c>
    </x:row>
    <x:row r="225">
      <x:c r="B225" s="7" t="str">
        <x:v>CPN-PEA-A-Y3-SF-3</x:v>
      </x:c>
      <x:c r="C225" s="7" t="str">
        <x:v>PEA-A-Y3</x:v>
      </x:c>
      <x:c r="D225" s="7" t="str">
        <x:v>BLD-A</x:v>
      </x:c>
      <x:c r="E225" s="7" t="str">
        <x:v>BL-Y</x:v>
      </x:c>
      <x:c r="F225" s="7" t="str">
        <x:v>SF</x:v>
      </x:c>
      <x:c r="G225" s="7" t="str">
        <x:v>wetted surface</x:v>
      </x:c>
      <x:c r="H225" s="7" t="str"/>
      <x:c r="I225" s="7" t="str"/>
      <x:c r="J225" s="7" t="str"/>
      <x:c r="K225" s="7" t="str">
        <x:f>IF(J225="","OPEN",IF(OR(H225="",I225=""),"FAIL","PASS"))</x:f>
        <x:v>OPEN</x:v>
      </x:c>
    </x:row>
    <x:row r="226">
      <x:c r="B226" s="7" t="str">
        <x:v>CPN-PEA-A-Y3-SF-4</x:v>
      </x:c>
      <x:c r="C226" s="7" t="str">
        <x:v>PEA-A-Y3</x:v>
      </x:c>
      <x:c r="D226" s="7" t="str">
        <x:v>BLD-A</x:v>
      </x:c>
      <x:c r="E226" s="7" t="str">
        <x:v>BL-Y</x:v>
      </x:c>
      <x:c r="F226" s="7" t="str">
        <x:v>SF</x:v>
      </x:c>
      <x:c r="G226" s="7" t="str">
        <x:v>wetted surface</x:v>
      </x:c>
      <x:c r="H226" s="7" t="str"/>
      <x:c r="I226" s="7" t="str"/>
      <x:c r="J226" s="7" t="str"/>
      <x:c r="K226" s="7" t="str">
        <x:f>IF(J226="","OPEN",IF(OR(H226="",I226=""),"FAIL","PASS"))</x:f>
        <x:v>OPEN</x:v>
      </x:c>
    </x:row>
    <x:row r="227">
      <x:c r="B227" s="7" t="str">
        <x:v>CPN-PEA-A-Y3-SF-5</x:v>
      </x:c>
      <x:c r="C227" s="7" t="str">
        <x:v>PEA-A-Y3</x:v>
      </x:c>
      <x:c r="D227" s="7" t="str">
        <x:v>BLD-A</x:v>
      </x:c>
      <x:c r="E227" s="7" t="str">
        <x:v>BL-Y</x:v>
      </x:c>
      <x:c r="F227" s="7" t="str">
        <x:v>SF</x:v>
      </x:c>
      <x:c r="G227" s="7" t="str">
        <x:v>wetted surface</x:v>
      </x:c>
      <x:c r="H227" s="7" t="str"/>
      <x:c r="I227" s="7" t="str"/>
      <x:c r="J227" s="7" t="str"/>
      <x:c r="K227" s="7" t="str">
        <x:f>IF(J227="","OPEN",IF(OR(H227="",I227=""),"FAIL","PASS"))</x:f>
        <x:v>OPEN</x:v>
      </x:c>
    </x:row>
    <x:row r="228">
      <x:c r="B228" s="7" t="str">
        <x:v>CPN-PEA-A-Y3-SF-6</x:v>
      </x:c>
      <x:c r="C228" s="7" t="str">
        <x:v>PEA-A-Y3</x:v>
      </x:c>
      <x:c r="D228" s="7" t="str">
        <x:v>BLD-A</x:v>
      </x:c>
      <x:c r="E228" s="7" t="str">
        <x:v>BL-Y</x:v>
      </x:c>
      <x:c r="F228" s="7" t="str">
        <x:v>SF</x:v>
      </x:c>
      <x:c r="G228" s="7" t="str">
        <x:v>wetted surface</x:v>
      </x:c>
      <x:c r="H228" s="7" t="str"/>
      <x:c r="I228" s="7" t="str"/>
      <x:c r="J228" s="7" t="str"/>
      <x:c r="K228" s="7" t="str">
        <x:f>IF(J228="","OPEN",IF(OR(H228="",I228=""),"FAIL","PASS"))</x:f>
        <x:v>OPEN</x:v>
      </x:c>
    </x:row>
    <x:row r="229">
      <x:c r="B229" s="7" t="str">
        <x:v>CPN-PEA-A-Y3-SF-7</x:v>
      </x:c>
      <x:c r="C229" s="7" t="str">
        <x:v>PEA-A-Y3</x:v>
      </x:c>
      <x:c r="D229" s="7" t="str">
        <x:v>BLD-A</x:v>
      </x:c>
      <x:c r="E229" s="7" t="str">
        <x:v>BL-Y</x:v>
      </x:c>
      <x:c r="F229" s="7" t="str">
        <x:v>SF</x:v>
      </x:c>
      <x:c r="G229" s="7" t="str">
        <x:v>wetted surface</x:v>
      </x:c>
      <x:c r="H229" s="7" t="str"/>
      <x:c r="I229" s="7" t="str"/>
      <x:c r="J229" s="7" t="str"/>
      <x:c r="K229" s="7" t="str">
        <x:f>IF(J229="","OPEN",IF(OR(H229="",I229=""),"FAIL","PASS"))</x:f>
        <x:v>OPEN</x:v>
      </x:c>
    </x:row>
    <x:row r="230">
      <x:c r="B230" s="7" t="str">
        <x:v>CPN-PEA-A-Y3-SF-8</x:v>
      </x:c>
      <x:c r="C230" s="7" t="str">
        <x:v>PEA-A-Y3</x:v>
      </x:c>
      <x:c r="D230" s="7" t="str">
        <x:v>BLD-A</x:v>
      </x:c>
      <x:c r="E230" s="7" t="str">
        <x:v>BL-Y</x:v>
      </x:c>
      <x:c r="F230" s="7" t="str">
        <x:v>SF</x:v>
      </x:c>
      <x:c r="G230" s="7" t="str">
        <x:v>wetted surface</x:v>
      </x:c>
      <x:c r="H230" s="7" t="str"/>
      <x:c r="I230" s="7" t="str"/>
      <x:c r="J230" s="7" t="str"/>
      <x:c r="K230" s="7" t="str">
        <x:f>IF(J230="","OPEN",IF(OR(H230="",I230=""),"FAIL","PASS"))</x:f>
        <x:v>OPEN</x:v>
      </x:c>
    </x:row>
    <x:row r="231">
      <x:c r="B231" s="7" t="str">
        <x:v>CPN-PEA-A-Y3-CP-1</x:v>
      </x:c>
      <x:c r="C231" s="7" t="str">
        <x:v>PEA-A-Y3</x:v>
      </x:c>
      <x:c r="D231" s="7" t="str">
        <x:v>BLD-A</x:v>
      </x:c>
      <x:c r="E231" s="7" t="str">
        <x:v>BL-Y</x:v>
      </x:c>
      <x:c r="F231" s="7" t="str">
        <x:v>CP</x:v>
      </x:c>
      <x:c r="G231" s="7" t="str">
        <x:v>penetration</x:v>
      </x:c>
      <x:c r="H231" s="7" t="str"/>
      <x:c r="I231" s="7" t="str"/>
      <x:c r="J231" s="7" t="str"/>
      <x:c r="K231" s="7" t="str">
        <x:f>IF(J231="","OPEN",IF(OR(H231="",I231=""),"FAIL","PASS"))</x:f>
        <x:v>OPEN</x:v>
      </x:c>
    </x:row>
    <x:row r="232">
      <x:c r="B232" s="7" t="str">
        <x:v>CPN-PEA-A-Y3-CP-2</x:v>
      </x:c>
      <x:c r="C232" s="7" t="str">
        <x:v>PEA-A-Y3</x:v>
      </x:c>
      <x:c r="D232" s="7" t="str">
        <x:v>BLD-A</x:v>
      </x:c>
      <x:c r="E232" s="7" t="str">
        <x:v>BL-Y</x:v>
      </x:c>
      <x:c r="F232" s="7" t="str">
        <x:v>CP</x:v>
      </x:c>
      <x:c r="G232" s="7" t="str">
        <x:v>penetration</x:v>
      </x:c>
      <x:c r="H232" s="7" t="str"/>
      <x:c r="I232" s="7" t="str"/>
      <x:c r="J232" s="7" t="str"/>
      <x:c r="K232" s="7" t="str">
        <x:f>IF(J232="","OPEN",IF(OR(H232="",I232=""),"FAIL","PASS"))</x:f>
        <x:v>OPEN</x:v>
      </x:c>
    </x:row>
    <x:row r="233">
      <x:c r="B233" s="7" t="str">
        <x:v>CPN-PEA-A-Y3-CP-3</x:v>
      </x:c>
      <x:c r="C233" s="7" t="str">
        <x:v>PEA-A-Y3</x:v>
      </x:c>
      <x:c r="D233" s="7" t="str">
        <x:v>BLD-A</x:v>
      </x:c>
      <x:c r="E233" s="7" t="str">
        <x:v>BL-Y</x:v>
      </x:c>
      <x:c r="F233" s="7" t="str">
        <x:v>CP</x:v>
      </x:c>
      <x:c r="G233" s="7" t="str">
        <x:v>penetration</x:v>
      </x:c>
      <x:c r="H233" s="7" t="str"/>
      <x:c r="I233" s="7" t="str"/>
      <x:c r="J233" s="7" t="str"/>
      <x:c r="K233" s="7" t="str">
        <x:f>IF(J233="","OPEN",IF(OR(H233="",I233=""),"FAIL","PASS"))</x:f>
        <x:v>OPEN</x:v>
      </x:c>
    </x:row>
    <x:row r="234">
      <x:c r="B234" s="7" t="str">
        <x:v>CPN-PEA-A-Y3-CP-4</x:v>
      </x:c>
      <x:c r="C234" s="7" t="str">
        <x:v>PEA-A-Y3</x:v>
      </x:c>
      <x:c r="D234" s="7" t="str">
        <x:v>BLD-A</x:v>
      </x:c>
      <x:c r="E234" s="7" t="str">
        <x:v>BL-Y</x:v>
      </x:c>
      <x:c r="F234" s="7" t="str">
        <x:v>CP</x:v>
      </x:c>
      <x:c r="G234" s="7" t="str">
        <x:v>penetration</x:v>
      </x:c>
      <x:c r="H234" s="7" t="str"/>
      <x:c r="I234" s="7" t="str"/>
      <x:c r="J234" s="7" t="str"/>
      <x:c r="K234" s="7" t="str">
        <x:f>IF(J234="","OPEN",IF(OR(H234="",I234=""),"FAIL","PASS"))</x:f>
        <x:v>OPEN</x:v>
      </x:c>
    </x:row>
    <x:row r="235">
      <x:c r="B235" s="7" t="str">
        <x:v>CPN-PEA-A-Y3-CP-5</x:v>
      </x:c>
      <x:c r="C235" s="7" t="str">
        <x:v>PEA-A-Y3</x:v>
      </x:c>
      <x:c r="D235" s="7" t="str">
        <x:v>BLD-A</x:v>
      </x:c>
      <x:c r="E235" s="7" t="str">
        <x:v>BL-Y</x:v>
      </x:c>
      <x:c r="F235" s="7" t="str">
        <x:v>CP</x:v>
      </x:c>
      <x:c r="G235" s="7" t="str">
        <x:v>penetration</x:v>
      </x:c>
      <x:c r="H235" s="7" t="str"/>
      <x:c r="I235" s="7" t="str"/>
      <x:c r="J235" s="7" t="str"/>
      <x:c r="K235" s="7" t="str">
        <x:f>IF(J235="","OPEN",IF(OR(H235="",I235=""),"FAIL","PASS"))</x:f>
        <x:v>OPEN</x:v>
      </x:c>
    </x:row>
    <x:row r="236">
      <x:c r="B236" s="7" t="str">
        <x:v>CPN-PEA-A-Y3-CP-6</x:v>
      </x:c>
      <x:c r="C236" s="7" t="str">
        <x:v>PEA-A-Y3</x:v>
      </x:c>
      <x:c r="D236" s="7" t="str">
        <x:v>BLD-A</x:v>
      </x:c>
      <x:c r="E236" s="7" t="str">
        <x:v>BL-Y</x:v>
      </x:c>
      <x:c r="F236" s="7" t="str">
        <x:v>CP</x:v>
      </x:c>
      <x:c r="G236" s="7" t="str">
        <x:v>penetration</x:v>
      </x:c>
      <x:c r="H236" s="7" t="str"/>
      <x:c r="I236" s="7" t="str"/>
      <x:c r="J236" s="7" t="str"/>
      <x:c r="K236" s="7" t="str">
        <x:f>IF(J236="","OPEN",IF(OR(H236="",I236=""),"FAIL","PASS"))</x:f>
        <x:v>OPEN</x:v>
      </x:c>
    </x:row>
    <x:row r="237">
      <x:c r="B237" s="7" t="str">
        <x:v>CPN-PEA-A-Y3-CP-7</x:v>
      </x:c>
      <x:c r="C237" s="7" t="str">
        <x:v>PEA-A-Y3</x:v>
      </x:c>
      <x:c r="D237" s="7" t="str">
        <x:v>BLD-A</x:v>
      </x:c>
      <x:c r="E237" s="7" t="str">
        <x:v>BL-Y</x:v>
      </x:c>
      <x:c r="F237" s="7" t="str">
        <x:v>CP</x:v>
      </x:c>
      <x:c r="G237" s="7" t="str">
        <x:v>penetration</x:v>
      </x:c>
      <x:c r="H237" s="7" t="str"/>
      <x:c r="I237" s="7" t="str"/>
      <x:c r="J237" s="7" t="str"/>
      <x:c r="K237" s="7" t="str">
        <x:f>IF(J237="","OPEN",IF(OR(H237="",I237=""),"FAIL","PASS"))</x:f>
        <x:v>OPEN</x:v>
      </x:c>
    </x:row>
    <x:row r="238">
      <x:c r="B238" s="7" t="str">
        <x:v>CPN-PEA-A-Y3-CP-8</x:v>
      </x:c>
      <x:c r="C238" s="7" t="str">
        <x:v>PEA-A-Y3</x:v>
      </x:c>
      <x:c r="D238" s="7" t="str">
        <x:v>BLD-A</x:v>
      </x:c>
      <x:c r="E238" s="7" t="str">
        <x:v>BL-Y</x:v>
      </x:c>
      <x:c r="F238" s="7" t="str">
        <x:v>CP</x:v>
      </x:c>
      <x:c r="G238" s="7" t="str">
        <x:v>penetration</x:v>
      </x:c>
      <x:c r="H238" s="7" t="str"/>
      <x:c r="I238" s="7" t="str"/>
      <x:c r="J238" s="7" t="str"/>
      <x:c r="K238" s="7" t="str">
        <x:f>IF(J238="","OPEN",IF(OR(H238="",I238=""),"FAIL","PASS"))</x:f>
        <x:v>OPEN</x:v>
      </x:c>
    </x:row>
    <x:row r="239">
      <x:c r="B239" s="7" t="str">
        <x:v>CPN-PEA-A-Y3-SM-1</x:v>
      </x:c>
      <x:c r="C239" s="7" t="str">
        <x:v>PEA-A-Y3</x:v>
      </x:c>
      <x:c r="D239" s="7" t="str">
        <x:v>BLD-A</x:v>
      </x:c>
      <x:c r="E239" s="7" t="str">
        <x:v>BL-Y</x:v>
      </x:c>
      <x:c r="F239" s="7" t="str">
        <x:v>SM</x:v>
      </x:c>
      <x:c r="G239" s="7" t="str">
        <x:v>sensor mount and datum</x:v>
      </x:c>
      <x:c r="H239" s="7" t="str"/>
      <x:c r="I239" s="7" t="str"/>
      <x:c r="J239" s="7" t="str"/>
      <x:c r="K239" s="7" t="str">
        <x:f>IF(J239="","OPEN",IF(OR(H239="",I239=""),"FAIL","PASS"))</x:f>
        <x:v>OPEN</x:v>
      </x:c>
    </x:row>
    <x:row r="240">
      <x:c r="B240" s="7" t="str">
        <x:v>CPN-PEA-A-Y3-SM-2</x:v>
      </x:c>
      <x:c r="C240" s="7" t="str">
        <x:v>PEA-A-Y3</x:v>
      </x:c>
      <x:c r="D240" s="7" t="str">
        <x:v>BLD-A</x:v>
      </x:c>
      <x:c r="E240" s="7" t="str">
        <x:v>BL-Y</x:v>
      </x:c>
      <x:c r="F240" s="7" t="str">
        <x:v>SM</x:v>
      </x:c>
      <x:c r="G240" s="7" t="str">
        <x:v>sensor mount and datum</x:v>
      </x:c>
      <x:c r="H240" s="7" t="str"/>
      <x:c r="I240" s="7" t="str"/>
      <x:c r="J240" s="7" t="str"/>
      <x:c r="K240" s="7" t="str">
        <x:f>IF(J240="","OPEN",IF(OR(H240="",I240=""),"FAIL","PASS"))</x:f>
        <x:v>OPEN</x:v>
      </x:c>
    </x:row>
    <x:row r="241">
      <x:c r="B241" s="7" t="str">
        <x:v>CPN-PEA-A-Y3-SM-3</x:v>
      </x:c>
      <x:c r="C241" s="7" t="str">
        <x:v>PEA-A-Y3</x:v>
      </x:c>
      <x:c r="D241" s="7" t="str">
        <x:v>BLD-A</x:v>
      </x:c>
      <x:c r="E241" s="7" t="str">
        <x:v>BL-Y</x:v>
      </x:c>
      <x:c r="F241" s="7" t="str">
        <x:v>SM</x:v>
      </x:c>
      <x:c r="G241" s="7" t="str">
        <x:v>sensor mount and datum</x:v>
      </x:c>
      <x:c r="H241" s="7" t="str"/>
      <x:c r="I241" s="7" t="str"/>
      <x:c r="J241" s="7" t="str"/>
      <x:c r="K241" s="7" t="str">
        <x:f>IF(J241="","OPEN",IF(OR(H241="",I241=""),"FAIL","PASS"))</x:f>
        <x:v>OPEN</x:v>
      </x:c>
    </x:row>
    <x:row r="242">
      <x:c r="B242" s="7" t="str">
        <x:v>CPN-PEA-A-Y3-SM-4</x:v>
      </x:c>
      <x:c r="C242" s="7" t="str">
        <x:v>PEA-A-Y3</x:v>
      </x:c>
      <x:c r="D242" s="7" t="str">
        <x:v>BLD-A</x:v>
      </x:c>
      <x:c r="E242" s="7" t="str">
        <x:v>BL-Y</x:v>
      </x:c>
      <x:c r="F242" s="7" t="str">
        <x:v>SM</x:v>
      </x:c>
      <x:c r="G242" s="7" t="str">
        <x:v>sensor mount and datum</x:v>
      </x:c>
      <x:c r="H242" s="7" t="str"/>
      <x:c r="I242" s="7" t="str"/>
      <x:c r="J242" s="7" t="str"/>
      <x:c r="K242" s="7" t="str">
        <x:f>IF(J242="","OPEN",IF(OR(H242="",I242=""),"FAIL","PASS"))</x:f>
        <x:v>OPEN</x:v>
      </x:c>
    </x:row>
    <x:row r="243">
      <x:c r="B243" s="7" t="str">
        <x:v>CPN-PEA-A-Y3-SM-5</x:v>
      </x:c>
      <x:c r="C243" s="7" t="str">
        <x:v>PEA-A-Y3</x:v>
      </x:c>
      <x:c r="D243" s="7" t="str">
        <x:v>BLD-A</x:v>
      </x:c>
      <x:c r="E243" s="7" t="str">
        <x:v>BL-Y</x:v>
      </x:c>
      <x:c r="F243" s="7" t="str">
        <x:v>SM</x:v>
      </x:c>
      <x:c r="G243" s="7" t="str">
        <x:v>sensor mount and datum</x:v>
      </x:c>
      <x:c r="H243" s="7" t="str"/>
      <x:c r="I243" s="7" t="str"/>
      <x:c r="J243" s="7" t="str"/>
      <x:c r="K243" s="7" t="str">
        <x:f>IF(J243="","OPEN",IF(OR(H243="",I243=""),"FAIL","PASS"))</x:f>
        <x:v>OPEN</x:v>
      </x:c>
    </x:row>
    <x:row r="244">
      <x:c r="B244" s="7" t="str">
        <x:v>CPN-PEA-A-Y3-SM-6</x:v>
      </x:c>
      <x:c r="C244" s="7" t="str">
        <x:v>PEA-A-Y3</x:v>
      </x:c>
      <x:c r="D244" s="7" t="str">
        <x:v>BLD-A</x:v>
      </x:c>
      <x:c r="E244" s="7" t="str">
        <x:v>BL-Y</x:v>
      </x:c>
      <x:c r="F244" s="7" t="str">
        <x:v>SM</x:v>
      </x:c>
      <x:c r="G244" s="7" t="str">
        <x:v>sensor mount and datum</x:v>
      </x:c>
      <x:c r="H244" s="7" t="str"/>
      <x:c r="I244" s="7" t="str"/>
      <x:c r="J244" s="7" t="str"/>
      <x:c r="K244" s="7" t="str">
        <x:f>IF(J244="","OPEN",IF(OR(H244="",I244=""),"FAIL","PASS"))</x:f>
        <x:v>OPEN</x:v>
      </x:c>
    </x:row>
    <x:row r="245">
      <x:c r="B245" s="7" t="str">
        <x:v>CPN-PEA-A-Y3-SM-7</x:v>
      </x:c>
      <x:c r="C245" s="7" t="str">
        <x:v>PEA-A-Y3</x:v>
      </x:c>
      <x:c r="D245" s="7" t="str">
        <x:v>BLD-A</x:v>
      </x:c>
      <x:c r="E245" s="7" t="str">
        <x:v>BL-Y</x:v>
      </x:c>
      <x:c r="F245" s="7" t="str">
        <x:v>SM</x:v>
      </x:c>
      <x:c r="G245" s="7" t="str">
        <x:v>sensor mount and datum</x:v>
      </x:c>
      <x:c r="H245" s="7" t="str"/>
      <x:c r="I245" s="7" t="str"/>
      <x:c r="J245" s="7" t="str"/>
      <x:c r="K245" s="7" t="str">
        <x:f>IF(J245="","OPEN",IF(OR(H245="",I245=""),"FAIL","PASS"))</x:f>
        <x:v>OPEN</x:v>
      </x:c>
    </x:row>
    <x:row r="246">
      <x:c r="B246" s="7" t="str">
        <x:v>CPN-PEA-A-Y3-SM-8</x:v>
      </x:c>
      <x:c r="C246" s="7" t="str">
        <x:v>PEA-A-Y3</x:v>
      </x:c>
      <x:c r="D246" s="7" t="str">
        <x:v>BLD-A</x:v>
      </x:c>
      <x:c r="E246" s="7" t="str">
        <x:v>BL-Y</x:v>
      </x:c>
      <x:c r="F246" s="7" t="str">
        <x:v>SM</x:v>
      </x:c>
      <x:c r="G246" s="7" t="str">
        <x:v>sensor mount and datum</x:v>
      </x:c>
      <x:c r="H246" s="7" t="str"/>
      <x:c r="I246" s="7" t="str"/>
      <x:c r="J246" s="7" t="str"/>
      <x:c r="K246" s="7" t="str">
        <x:f>IF(J246="","OPEN",IF(OR(H246="",I246=""),"FAIL","PASS"))</x:f>
        <x:v>OPEN</x:v>
      </x:c>
    </x:row>
    <x:row r="247">
      <x:c r="B247" s="7" t="str">
        <x:v>CPN-PEA-B-X1-CJ-1</x:v>
      </x:c>
      <x:c r="C247" s="7" t="str">
        <x:v>PEA-B-X1</x:v>
      </x:c>
      <x:c r="D247" s="7" t="str">
        <x:v>BLD-B</x:v>
      </x:c>
      <x:c r="E247" s="7" t="str">
        <x:v>BL-X</x:v>
      </x:c>
      <x:c r="F247" s="7" t="str">
        <x:v>CJ</x:v>
      </x:c>
      <x:c r="G247" s="7" t="str">
        <x:v>joint or weld</x:v>
      </x:c>
      <x:c r="H247" s="7" t="str"/>
      <x:c r="I247" s="7" t="str"/>
      <x:c r="J247" s="7" t="str"/>
      <x:c r="K247" s="7" t="str">
        <x:f>IF(J247="","OPEN",IF(OR(H247="",I247=""),"FAIL","PASS"))</x:f>
        <x:v>OPEN</x:v>
      </x:c>
    </x:row>
    <x:row r="248">
      <x:c r="B248" s="7" t="str">
        <x:v>CPN-PEA-B-X1-CJ-2</x:v>
      </x:c>
      <x:c r="C248" s="7" t="str">
        <x:v>PEA-B-X1</x:v>
      </x:c>
      <x:c r="D248" s="7" t="str">
        <x:v>BLD-B</x:v>
      </x:c>
      <x:c r="E248" s="7" t="str">
        <x:v>BL-X</x:v>
      </x:c>
      <x:c r="F248" s="7" t="str">
        <x:v>CJ</x:v>
      </x:c>
      <x:c r="G248" s="7" t="str">
        <x:v>joint or weld</x:v>
      </x:c>
      <x:c r="H248" s="7" t="str"/>
      <x:c r="I248" s="7" t="str"/>
      <x:c r="J248" s="7" t="str"/>
      <x:c r="K248" s="7" t="str">
        <x:f>IF(J248="","OPEN",IF(OR(H248="",I248=""),"FAIL","PASS"))</x:f>
        <x:v>OPEN</x:v>
      </x:c>
    </x:row>
    <x:row r="249">
      <x:c r="B249" s="7" t="str">
        <x:v>CPN-PEA-B-X1-CJ-3</x:v>
      </x:c>
      <x:c r="C249" s="7" t="str">
        <x:v>PEA-B-X1</x:v>
      </x:c>
      <x:c r="D249" s="7" t="str">
        <x:v>BLD-B</x:v>
      </x:c>
      <x:c r="E249" s="7" t="str">
        <x:v>BL-X</x:v>
      </x:c>
      <x:c r="F249" s="7" t="str">
        <x:v>CJ</x:v>
      </x:c>
      <x:c r="G249" s="7" t="str">
        <x:v>joint or weld</x:v>
      </x:c>
      <x:c r="H249" s="7" t="str"/>
      <x:c r="I249" s="7" t="str"/>
      <x:c r="J249" s="7" t="str"/>
      <x:c r="K249" s="7" t="str">
        <x:f>IF(J249="","OPEN",IF(OR(H249="",I249=""),"FAIL","PASS"))</x:f>
        <x:v>OPEN</x:v>
      </x:c>
    </x:row>
    <x:row r="250">
      <x:c r="B250" s="7" t="str">
        <x:v>CPN-PEA-B-X1-CJ-4</x:v>
      </x:c>
      <x:c r="C250" s="7" t="str">
        <x:v>PEA-B-X1</x:v>
      </x:c>
      <x:c r="D250" s="7" t="str">
        <x:v>BLD-B</x:v>
      </x:c>
      <x:c r="E250" s="7" t="str">
        <x:v>BL-X</x:v>
      </x:c>
      <x:c r="F250" s="7" t="str">
        <x:v>CJ</x:v>
      </x:c>
      <x:c r="G250" s="7" t="str">
        <x:v>joint or weld</x:v>
      </x:c>
      <x:c r="H250" s="7" t="str"/>
      <x:c r="I250" s="7" t="str"/>
      <x:c r="J250" s="7" t="str"/>
      <x:c r="K250" s="7" t="str">
        <x:f>IF(J250="","OPEN",IF(OR(H250="",I250=""),"FAIL","PASS"))</x:f>
        <x:v>OPEN</x:v>
      </x:c>
    </x:row>
    <x:row r="251">
      <x:c r="B251" s="7" t="str">
        <x:v>CPN-PEA-B-X1-CJ-5</x:v>
      </x:c>
      <x:c r="C251" s="7" t="str">
        <x:v>PEA-B-X1</x:v>
      </x:c>
      <x:c r="D251" s="7" t="str">
        <x:v>BLD-B</x:v>
      </x:c>
      <x:c r="E251" s="7" t="str">
        <x:v>BL-X</x:v>
      </x:c>
      <x:c r="F251" s="7" t="str">
        <x:v>CJ</x:v>
      </x:c>
      <x:c r="G251" s="7" t="str">
        <x:v>joint or weld</x:v>
      </x:c>
      <x:c r="H251" s="7" t="str"/>
      <x:c r="I251" s="7" t="str"/>
      <x:c r="J251" s="7" t="str"/>
      <x:c r="K251" s="7" t="str">
        <x:f>IF(J251="","OPEN",IF(OR(H251="",I251=""),"FAIL","PASS"))</x:f>
        <x:v>OPEN</x:v>
      </x:c>
    </x:row>
    <x:row r="252">
      <x:c r="B252" s="7" t="str">
        <x:v>CPN-PEA-B-X1-CJ-6</x:v>
      </x:c>
      <x:c r="C252" s="7" t="str">
        <x:v>PEA-B-X1</x:v>
      </x:c>
      <x:c r="D252" s="7" t="str">
        <x:v>BLD-B</x:v>
      </x:c>
      <x:c r="E252" s="7" t="str">
        <x:v>BL-X</x:v>
      </x:c>
      <x:c r="F252" s="7" t="str">
        <x:v>CJ</x:v>
      </x:c>
      <x:c r="G252" s="7" t="str">
        <x:v>joint or weld</x:v>
      </x:c>
      <x:c r="H252" s="7" t="str"/>
      <x:c r="I252" s="7" t="str"/>
      <x:c r="J252" s="7" t="str"/>
      <x:c r="K252" s="7" t="str">
        <x:f>IF(J252="","OPEN",IF(OR(H252="",I252=""),"FAIL","PASS"))</x:f>
        <x:v>OPEN</x:v>
      </x:c>
    </x:row>
    <x:row r="253">
      <x:c r="B253" s="7" t="str">
        <x:v>CPN-PEA-B-X1-CJ-7</x:v>
      </x:c>
      <x:c r="C253" s="7" t="str">
        <x:v>PEA-B-X1</x:v>
      </x:c>
      <x:c r="D253" s="7" t="str">
        <x:v>BLD-B</x:v>
      </x:c>
      <x:c r="E253" s="7" t="str">
        <x:v>BL-X</x:v>
      </x:c>
      <x:c r="F253" s="7" t="str">
        <x:v>CJ</x:v>
      </x:c>
      <x:c r="G253" s="7" t="str">
        <x:v>joint or weld</x:v>
      </x:c>
      <x:c r="H253" s="7" t="str"/>
      <x:c r="I253" s="7" t="str"/>
      <x:c r="J253" s="7" t="str"/>
      <x:c r="K253" s="7" t="str">
        <x:f>IF(J253="","OPEN",IF(OR(H253="",I253=""),"FAIL","PASS"))</x:f>
        <x:v>OPEN</x:v>
      </x:c>
    </x:row>
    <x:row r="254">
      <x:c r="B254" s="7" t="str">
        <x:v>CPN-PEA-B-X1-CJ-8</x:v>
      </x:c>
      <x:c r="C254" s="7" t="str">
        <x:v>PEA-B-X1</x:v>
      </x:c>
      <x:c r="D254" s="7" t="str">
        <x:v>BLD-B</x:v>
      </x:c>
      <x:c r="E254" s="7" t="str">
        <x:v>BL-X</x:v>
      </x:c>
      <x:c r="F254" s="7" t="str">
        <x:v>CJ</x:v>
      </x:c>
      <x:c r="G254" s="7" t="str">
        <x:v>joint or weld</x:v>
      </x:c>
      <x:c r="H254" s="7" t="str"/>
      <x:c r="I254" s="7" t="str"/>
      <x:c r="J254" s="7" t="str"/>
      <x:c r="K254" s="7" t="str">
        <x:f>IF(J254="","OPEN",IF(OR(H254="",I254=""),"FAIL","PASS"))</x:f>
        <x:v>OPEN</x:v>
      </x:c>
    </x:row>
    <x:row r="255">
      <x:c r="B255" s="7" t="str">
        <x:v>CPN-PEA-B-X1-SE-1</x:v>
      </x:c>
      <x:c r="C255" s="7" t="str">
        <x:v>PEA-B-X1</x:v>
      </x:c>
      <x:c r="D255" s="7" t="str">
        <x:v>BLD-B</x:v>
      </x:c>
      <x:c r="E255" s="7" t="str">
        <x:v>BL-X</x:v>
      </x:c>
      <x:c r="F255" s="7" t="str">
        <x:v>SE</x:v>
      </x:c>
      <x:c r="G255" s="7" t="str">
        <x:v>seal and gasket</x:v>
      </x:c>
      <x:c r="H255" s="7" t="str"/>
      <x:c r="I255" s="7" t="str"/>
      <x:c r="J255" s="7" t="str"/>
      <x:c r="K255" s="7" t="str">
        <x:f>IF(J255="","OPEN",IF(OR(H255="",I255=""),"FAIL","PASS"))</x:f>
        <x:v>OPEN</x:v>
      </x:c>
    </x:row>
    <x:row r="256">
      <x:c r="B256" s="7" t="str">
        <x:v>CPN-PEA-B-X1-SE-2</x:v>
      </x:c>
      <x:c r="C256" s="7" t="str">
        <x:v>PEA-B-X1</x:v>
      </x:c>
      <x:c r="D256" s="7" t="str">
        <x:v>BLD-B</x:v>
      </x:c>
      <x:c r="E256" s="7" t="str">
        <x:v>BL-X</x:v>
      </x:c>
      <x:c r="F256" s="7" t="str">
        <x:v>SE</x:v>
      </x:c>
      <x:c r="G256" s="7" t="str">
        <x:v>seal and gasket</x:v>
      </x:c>
      <x:c r="H256" s="7" t="str"/>
      <x:c r="I256" s="7" t="str"/>
      <x:c r="J256" s="7" t="str"/>
      <x:c r="K256" s="7" t="str">
        <x:f>IF(J256="","OPEN",IF(OR(H256="",I256=""),"FAIL","PASS"))</x:f>
        <x:v>OPEN</x:v>
      </x:c>
    </x:row>
    <x:row r="257">
      <x:c r="B257" s="7" t="str">
        <x:v>CPN-PEA-B-X1-SE-3</x:v>
      </x:c>
      <x:c r="C257" s="7" t="str">
        <x:v>PEA-B-X1</x:v>
      </x:c>
      <x:c r="D257" s="7" t="str">
        <x:v>BLD-B</x:v>
      </x:c>
      <x:c r="E257" s="7" t="str">
        <x:v>BL-X</x:v>
      </x:c>
      <x:c r="F257" s="7" t="str">
        <x:v>SE</x:v>
      </x:c>
      <x:c r="G257" s="7" t="str">
        <x:v>seal and gasket</x:v>
      </x:c>
      <x:c r="H257" s="7" t="str"/>
      <x:c r="I257" s="7" t="str"/>
      <x:c r="J257" s="7" t="str"/>
      <x:c r="K257" s="7" t="str">
        <x:f>IF(J257="","OPEN",IF(OR(H257="",I257=""),"FAIL","PASS"))</x:f>
        <x:v>OPEN</x:v>
      </x:c>
    </x:row>
    <x:row r="258">
      <x:c r="B258" s="7" t="str">
        <x:v>CPN-PEA-B-X1-SE-4</x:v>
      </x:c>
      <x:c r="C258" s="7" t="str">
        <x:v>PEA-B-X1</x:v>
      </x:c>
      <x:c r="D258" s="7" t="str">
        <x:v>BLD-B</x:v>
      </x:c>
      <x:c r="E258" s="7" t="str">
        <x:v>BL-X</x:v>
      </x:c>
      <x:c r="F258" s="7" t="str">
        <x:v>SE</x:v>
      </x:c>
      <x:c r="G258" s="7" t="str">
        <x:v>seal and gasket</x:v>
      </x:c>
      <x:c r="H258" s="7" t="str"/>
      <x:c r="I258" s="7" t="str"/>
      <x:c r="J258" s="7" t="str"/>
      <x:c r="K258" s="7" t="str">
        <x:f>IF(J258="","OPEN",IF(OR(H258="",I258=""),"FAIL","PASS"))</x:f>
        <x:v>OPEN</x:v>
      </x:c>
    </x:row>
    <x:row r="259">
      <x:c r="B259" s="7" t="str">
        <x:v>CPN-PEA-B-X1-SE-5</x:v>
      </x:c>
      <x:c r="C259" s="7" t="str">
        <x:v>PEA-B-X1</x:v>
      </x:c>
      <x:c r="D259" s="7" t="str">
        <x:v>BLD-B</x:v>
      </x:c>
      <x:c r="E259" s="7" t="str">
        <x:v>BL-X</x:v>
      </x:c>
      <x:c r="F259" s="7" t="str">
        <x:v>SE</x:v>
      </x:c>
      <x:c r="G259" s="7" t="str">
        <x:v>seal and gasket</x:v>
      </x:c>
      <x:c r="H259" s="7" t="str"/>
      <x:c r="I259" s="7" t="str"/>
      <x:c r="J259" s="7" t="str"/>
      <x:c r="K259" s="7" t="str">
        <x:f>IF(J259="","OPEN",IF(OR(H259="",I259=""),"FAIL","PASS"))</x:f>
        <x:v>OPEN</x:v>
      </x:c>
    </x:row>
    <x:row r="260">
      <x:c r="B260" s="7" t="str">
        <x:v>CPN-PEA-B-X1-SE-6</x:v>
      </x:c>
      <x:c r="C260" s="7" t="str">
        <x:v>PEA-B-X1</x:v>
      </x:c>
      <x:c r="D260" s="7" t="str">
        <x:v>BLD-B</x:v>
      </x:c>
      <x:c r="E260" s="7" t="str">
        <x:v>BL-X</x:v>
      </x:c>
      <x:c r="F260" s="7" t="str">
        <x:v>SE</x:v>
      </x:c>
      <x:c r="G260" s="7" t="str">
        <x:v>seal and gasket</x:v>
      </x:c>
      <x:c r="H260" s="7" t="str"/>
      <x:c r="I260" s="7" t="str"/>
      <x:c r="J260" s="7" t="str"/>
      <x:c r="K260" s="7" t="str">
        <x:f>IF(J260="","OPEN",IF(OR(H260="",I260=""),"FAIL","PASS"))</x:f>
        <x:v>OPEN</x:v>
      </x:c>
    </x:row>
    <x:row r="261">
      <x:c r="B261" s="7" t="str">
        <x:v>CPN-PEA-B-X1-SE-7</x:v>
      </x:c>
      <x:c r="C261" s="7" t="str">
        <x:v>PEA-B-X1</x:v>
      </x:c>
      <x:c r="D261" s="7" t="str">
        <x:v>BLD-B</x:v>
      </x:c>
      <x:c r="E261" s="7" t="str">
        <x:v>BL-X</x:v>
      </x:c>
      <x:c r="F261" s="7" t="str">
        <x:v>SE</x:v>
      </x:c>
      <x:c r="G261" s="7" t="str">
        <x:v>seal and gasket</x:v>
      </x:c>
      <x:c r="H261" s="7" t="str"/>
      <x:c r="I261" s="7" t="str"/>
      <x:c r="J261" s="7" t="str"/>
      <x:c r="K261" s="7" t="str">
        <x:f>IF(J261="","OPEN",IF(OR(H261="",I261=""),"FAIL","PASS"))</x:f>
        <x:v>OPEN</x:v>
      </x:c>
    </x:row>
    <x:row r="262">
      <x:c r="B262" s="7" t="str">
        <x:v>CPN-PEA-B-X1-SE-8</x:v>
      </x:c>
      <x:c r="C262" s="7" t="str">
        <x:v>PEA-B-X1</x:v>
      </x:c>
      <x:c r="D262" s="7" t="str">
        <x:v>BLD-B</x:v>
      </x:c>
      <x:c r="E262" s="7" t="str">
        <x:v>BL-X</x:v>
      </x:c>
      <x:c r="F262" s="7" t="str">
        <x:v>SE</x:v>
      </x:c>
      <x:c r="G262" s="7" t="str">
        <x:v>seal and gasket</x:v>
      </x:c>
      <x:c r="H262" s="7" t="str"/>
      <x:c r="I262" s="7" t="str"/>
      <x:c r="J262" s="7" t="str"/>
      <x:c r="K262" s="7" t="str">
        <x:f>IF(J262="","OPEN",IF(OR(H262="",I262=""),"FAIL","PASS"))</x:f>
        <x:v>OPEN</x:v>
      </x:c>
    </x:row>
    <x:row r="263">
      <x:c r="B263" s="7" t="str">
        <x:v>CPN-PEA-B-X1-SF-1</x:v>
      </x:c>
      <x:c r="C263" s="7" t="str">
        <x:v>PEA-B-X1</x:v>
      </x:c>
      <x:c r="D263" s="7" t="str">
        <x:v>BLD-B</x:v>
      </x:c>
      <x:c r="E263" s="7" t="str">
        <x:v>BL-X</x:v>
      </x:c>
      <x:c r="F263" s="7" t="str">
        <x:v>SF</x:v>
      </x:c>
      <x:c r="G263" s="7" t="str">
        <x:v>wetted surface</x:v>
      </x:c>
      <x:c r="H263" s="7" t="str"/>
      <x:c r="I263" s="7" t="str"/>
      <x:c r="J263" s="7" t="str"/>
      <x:c r="K263" s="7" t="str">
        <x:f>IF(J263="","OPEN",IF(OR(H263="",I263=""),"FAIL","PASS"))</x:f>
        <x:v>OPEN</x:v>
      </x:c>
    </x:row>
    <x:row r="264">
      <x:c r="B264" s="7" t="str">
        <x:v>CPN-PEA-B-X1-SF-2</x:v>
      </x:c>
      <x:c r="C264" s="7" t="str">
        <x:v>PEA-B-X1</x:v>
      </x:c>
      <x:c r="D264" s="7" t="str">
        <x:v>BLD-B</x:v>
      </x:c>
      <x:c r="E264" s="7" t="str">
        <x:v>BL-X</x:v>
      </x:c>
      <x:c r="F264" s="7" t="str">
        <x:v>SF</x:v>
      </x:c>
      <x:c r="G264" s="7" t="str">
        <x:v>wetted surface</x:v>
      </x:c>
      <x:c r="H264" s="7" t="str"/>
      <x:c r="I264" s="7" t="str"/>
      <x:c r="J264" s="7" t="str"/>
      <x:c r="K264" s="7" t="str">
        <x:f>IF(J264="","OPEN",IF(OR(H264="",I264=""),"FAIL","PASS"))</x:f>
        <x:v>OPEN</x:v>
      </x:c>
    </x:row>
    <x:row r="265">
      <x:c r="B265" s="7" t="str">
        <x:v>CPN-PEA-B-X1-SF-3</x:v>
      </x:c>
      <x:c r="C265" s="7" t="str">
        <x:v>PEA-B-X1</x:v>
      </x:c>
      <x:c r="D265" s="7" t="str">
        <x:v>BLD-B</x:v>
      </x:c>
      <x:c r="E265" s="7" t="str">
        <x:v>BL-X</x:v>
      </x:c>
      <x:c r="F265" s="7" t="str">
        <x:v>SF</x:v>
      </x:c>
      <x:c r="G265" s="7" t="str">
        <x:v>wetted surface</x:v>
      </x:c>
      <x:c r="H265" s="7" t="str"/>
      <x:c r="I265" s="7" t="str"/>
      <x:c r="J265" s="7" t="str"/>
      <x:c r="K265" s="7" t="str">
        <x:f>IF(J265="","OPEN",IF(OR(H265="",I265=""),"FAIL","PASS"))</x:f>
        <x:v>OPEN</x:v>
      </x:c>
    </x:row>
    <x:row r="266">
      <x:c r="B266" s="7" t="str">
        <x:v>CPN-PEA-B-X1-SF-4</x:v>
      </x:c>
      <x:c r="C266" s="7" t="str">
        <x:v>PEA-B-X1</x:v>
      </x:c>
      <x:c r="D266" s="7" t="str">
        <x:v>BLD-B</x:v>
      </x:c>
      <x:c r="E266" s="7" t="str">
        <x:v>BL-X</x:v>
      </x:c>
      <x:c r="F266" s="7" t="str">
        <x:v>SF</x:v>
      </x:c>
      <x:c r="G266" s="7" t="str">
        <x:v>wetted surface</x:v>
      </x:c>
      <x:c r="H266" s="7" t="str"/>
      <x:c r="I266" s="7" t="str"/>
      <x:c r="J266" s="7" t="str"/>
      <x:c r="K266" s="7" t="str">
        <x:f>IF(J266="","OPEN",IF(OR(H266="",I266=""),"FAIL","PASS"))</x:f>
        <x:v>OPEN</x:v>
      </x:c>
    </x:row>
    <x:row r="267">
      <x:c r="B267" s="7" t="str">
        <x:v>CPN-PEA-B-X1-SF-5</x:v>
      </x:c>
      <x:c r="C267" s="7" t="str">
        <x:v>PEA-B-X1</x:v>
      </x:c>
      <x:c r="D267" s="7" t="str">
        <x:v>BLD-B</x:v>
      </x:c>
      <x:c r="E267" s="7" t="str">
        <x:v>BL-X</x:v>
      </x:c>
      <x:c r="F267" s="7" t="str">
        <x:v>SF</x:v>
      </x:c>
      <x:c r="G267" s="7" t="str">
        <x:v>wetted surface</x:v>
      </x:c>
      <x:c r="H267" s="7" t="str"/>
      <x:c r="I267" s="7" t="str"/>
      <x:c r="J267" s="7" t="str"/>
      <x:c r="K267" s="7" t="str">
        <x:f>IF(J267="","OPEN",IF(OR(H267="",I267=""),"FAIL","PASS"))</x:f>
        <x:v>OPEN</x:v>
      </x:c>
    </x:row>
    <x:row r="268">
      <x:c r="B268" s="7" t="str">
        <x:v>CPN-PEA-B-X1-SF-6</x:v>
      </x:c>
      <x:c r="C268" s="7" t="str">
        <x:v>PEA-B-X1</x:v>
      </x:c>
      <x:c r="D268" s="7" t="str">
        <x:v>BLD-B</x:v>
      </x:c>
      <x:c r="E268" s="7" t="str">
        <x:v>BL-X</x:v>
      </x:c>
      <x:c r="F268" s="7" t="str">
        <x:v>SF</x:v>
      </x:c>
      <x:c r="G268" s="7" t="str">
        <x:v>wetted surface</x:v>
      </x:c>
      <x:c r="H268" s="7" t="str"/>
      <x:c r="I268" s="7" t="str"/>
      <x:c r="J268" s="7" t="str"/>
      <x:c r="K268" s="7" t="str">
        <x:f>IF(J268="","OPEN",IF(OR(H268="",I268=""),"FAIL","PASS"))</x:f>
        <x:v>OPEN</x:v>
      </x:c>
    </x:row>
    <x:row r="269">
      <x:c r="B269" s="7" t="str">
        <x:v>CPN-PEA-B-X1-SF-7</x:v>
      </x:c>
      <x:c r="C269" s="7" t="str">
        <x:v>PEA-B-X1</x:v>
      </x:c>
      <x:c r="D269" s="7" t="str">
        <x:v>BLD-B</x:v>
      </x:c>
      <x:c r="E269" s="7" t="str">
        <x:v>BL-X</x:v>
      </x:c>
      <x:c r="F269" s="7" t="str">
        <x:v>SF</x:v>
      </x:c>
      <x:c r="G269" s="7" t="str">
        <x:v>wetted surface</x:v>
      </x:c>
      <x:c r="H269" s="7" t="str"/>
      <x:c r="I269" s="7" t="str"/>
      <x:c r="J269" s="7" t="str"/>
      <x:c r="K269" s="7" t="str">
        <x:f>IF(J269="","OPEN",IF(OR(H269="",I269=""),"FAIL","PASS"))</x:f>
        <x:v>OPEN</x:v>
      </x:c>
    </x:row>
    <x:row r="270">
      <x:c r="B270" s="7" t="str">
        <x:v>CPN-PEA-B-X1-SF-8</x:v>
      </x:c>
      <x:c r="C270" s="7" t="str">
        <x:v>PEA-B-X1</x:v>
      </x:c>
      <x:c r="D270" s="7" t="str">
        <x:v>BLD-B</x:v>
      </x:c>
      <x:c r="E270" s="7" t="str">
        <x:v>BL-X</x:v>
      </x:c>
      <x:c r="F270" s="7" t="str">
        <x:v>SF</x:v>
      </x:c>
      <x:c r="G270" s="7" t="str">
        <x:v>wetted surface</x:v>
      </x:c>
      <x:c r="H270" s="7" t="str"/>
      <x:c r="I270" s="7" t="str"/>
      <x:c r="J270" s="7" t="str"/>
      <x:c r="K270" s="7" t="str">
        <x:f>IF(J270="","OPEN",IF(OR(H270="",I270=""),"FAIL","PASS"))</x:f>
        <x:v>OPEN</x:v>
      </x:c>
    </x:row>
    <x:row r="271">
      <x:c r="B271" s="7" t="str">
        <x:v>CPN-PEA-B-X1-CP-1</x:v>
      </x:c>
      <x:c r="C271" s="7" t="str">
        <x:v>PEA-B-X1</x:v>
      </x:c>
      <x:c r="D271" s="7" t="str">
        <x:v>BLD-B</x:v>
      </x:c>
      <x:c r="E271" s="7" t="str">
        <x:v>BL-X</x:v>
      </x:c>
      <x:c r="F271" s="7" t="str">
        <x:v>CP</x:v>
      </x:c>
      <x:c r="G271" s="7" t="str">
        <x:v>penetration</x:v>
      </x:c>
      <x:c r="H271" s="7" t="str"/>
      <x:c r="I271" s="7" t="str"/>
      <x:c r="J271" s="7" t="str"/>
      <x:c r="K271" s="7" t="str">
        <x:f>IF(J271="","OPEN",IF(OR(H271="",I271=""),"FAIL","PASS"))</x:f>
        <x:v>OPEN</x:v>
      </x:c>
    </x:row>
    <x:row r="272">
      <x:c r="B272" s="7" t="str">
        <x:v>CPN-PEA-B-X1-CP-2</x:v>
      </x:c>
      <x:c r="C272" s="7" t="str">
        <x:v>PEA-B-X1</x:v>
      </x:c>
      <x:c r="D272" s="7" t="str">
        <x:v>BLD-B</x:v>
      </x:c>
      <x:c r="E272" s="7" t="str">
        <x:v>BL-X</x:v>
      </x:c>
      <x:c r="F272" s="7" t="str">
        <x:v>CP</x:v>
      </x:c>
      <x:c r="G272" s="7" t="str">
        <x:v>penetration</x:v>
      </x:c>
      <x:c r="H272" s="7" t="str"/>
      <x:c r="I272" s="7" t="str"/>
      <x:c r="J272" s="7" t="str"/>
      <x:c r="K272" s="7" t="str">
        <x:f>IF(J272="","OPEN",IF(OR(H272="",I272=""),"FAIL","PASS"))</x:f>
        <x:v>OPEN</x:v>
      </x:c>
    </x:row>
    <x:row r="273">
      <x:c r="B273" s="7" t="str">
        <x:v>CPN-PEA-B-X1-CP-3</x:v>
      </x:c>
      <x:c r="C273" s="7" t="str">
        <x:v>PEA-B-X1</x:v>
      </x:c>
      <x:c r="D273" s="7" t="str">
        <x:v>BLD-B</x:v>
      </x:c>
      <x:c r="E273" s="7" t="str">
        <x:v>BL-X</x:v>
      </x:c>
      <x:c r="F273" s="7" t="str">
        <x:v>CP</x:v>
      </x:c>
      <x:c r="G273" s="7" t="str">
        <x:v>penetration</x:v>
      </x:c>
      <x:c r="H273" s="7" t="str"/>
      <x:c r="I273" s="7" t="str"/>
      <x:c r="J273" s="7" t="str"/>
      <x:c r="K273" s="7" t="str">
        <x:f>IF(J273="","OPEN",IF(OR(H273="",I273=""),"FAIL","PASS"))</x:f>
        <x:v>OPEN</x:v>
      </x:c>
    </x:row>
    <x:row r="274">
      <x:c r="B274" s="7" t="str">
        <x:v>CPN-PEA-B-X1-CP-4</x:v>
      </x:c>
      <x:c r="C274" s="7" t="str">
        <x:v>PEA-B-X1</x:v>
      </x:c>
      <x:c r="D274" s="7" t="str">
        <x:v>BLD-B</x:v>
      </x:c>
      <x:c r="E274" s="7" t="str">
        <x:v>BL-X</x:v>
      </x:c>
      <x:c r="F274" s="7" t="str">
        <x:v>CP</x:v>
      </x:c>
      <x:c r="G274" s="7" t="str">
        <x:v>penetration</x:v>
      </x:c>
      <x:c r="H274" s="7" t="str"/>
      <x:c r="I274" s="7" t="str"/>
      <x:c r="J274" s="7" t="str"/>
      <x:c r="K274" s="7" t="str">
        <x:f>IF(J274="","OPEN",IF(OR(H274="",I274=""),"FAIL","PASS"))</x:f>
        <x:v>OPEN</x:v>
      </x:c>
    </x:row>
    <x:row r="275">
      <x:c r="B275" s="7" t="str">
        <x:v>CPN-PEA-B-X1-CP-5</x:v>
      </x:c>
      <x:c r="C275" s="7" t="str">
        <x:v>PEA-B-X1</x:v>
      </x:c>
      <x:c r="D275" s="7" t="str">
        <x:v>BLD-B</x:v>
      </x:c>
      <x:c r="E275" s="7" t="str">
        <x:v>BL-X</x:v>
      </x:c>
      <x:c r="F275" s="7" t="str">
        <x:v>CP</x:v>
      </x:c>
      <x:c r="G275" s="7" t="str">
        <x:v>penetration</x:v>
      </x:c>
      <x:c r="H275" s="7" t="str"/>
      <x:c r="I275" s="7" t="str"/>
      <x:c r="J275" s="7" t="str"/>
      <x:c r="K275" s="7" t="str">
        <x:f>IF(J275="","OPEN",IF(OR(H275="",I275=""),"FAIL","PASS"))</x:f>
        <x:v>OPEN</x:v>
      </x:c>
    </x:row>
    <x:row r="276">
      <x:c r="B276" s="7" t="str">
        <x:v>CPN-PEA-B-X1-CP-6</x:v>
      </x:c>
      <x:c r="C276" s="7" t="str">
        <x:v>PEA-B-X1</x:v>
      </x:c>
      <x:c r="D276" s="7" t="str">
        <x:v>BLD-B</x:v>
      </x:c>
      <x:c r="E276" s="7" t="str">
        <x:v>BL-X</x:v>
      </x:c>
      <x:c r="F276" s="7" t="str">
        <x:v>CP</x:v>
      </x:c>
      <x:c r="G276" s="7" t="str">
        <x:v>penetration</x:v>
      </x:c>
      <x:c r="H276" s="7" t="str"/>
      <x:c r="I276" s="7" t="str"/>
      <x:c r="J276" s="7" t="str"/>
      <x:c r="K276" s="7" t="str">
        <x:f>IF(J276="","OPEN",IF(OR(H276="",I276=""),"FAIL","PASS"))</x:f>
        <x:v>OPEN</x:v>
      </x:c>
    </x:row>
    <x:row r="277">
      <x:c r="B277" s="7" t="str">
        <x:v>CPN-PEA-B-X1-CP-7</x:v>
      </x:c>
      <x:c r="C277" s="7" t="str">
        <x:v>PEA-B-X1</x:v>
      </x:c>
      <x:c r="D277" s="7" t="str">
        <x:v>BLD-B</x:v>
      </x:c>
      <x:c r="E277" s="7" t="str">
        <x:v>BL-X</x:v>
      </x:c>
      <x:c r="F277" s="7" t="str">
        <x:v>CP</x:v>
      </x:c>
      <x:c r="G277" s="7" t="str">
        <x:v>penetration</x:v>
      </x:c>
      <x:c r="H277" s="7" t="str"/>
      <x:c r="I277" s="7" t="str"/>
      <x:c r="J277" s="7" t="str"/>
      <x:c r="K277" s="7" t="str">
        <x:f>IF(J277="","OPEN",IF(OR(H277="",I277=""),"FAIL","PASS"))</x:f>
        <x:v>OPEN</x:v>
      </x:c>
    </x:row>
    <x:row r="278">
      <x:c r="B278" s="7" t="str">
        <x:v>CPN-PEA-B-X1-CP-8</x:v>
      </x:c>
      <x:c r="C278" s="7" t="str">
        <x:v>PEA-B-X1</x:v>
      </x:c>
      <x:c r="D278" s="7" t="str">
        <x:v>BLD-B</x:v>
      </x:c>
      <x:c r="E278" s="7" t="str">
        <x:v>BL-X</x:v>
      </x:c>
      <x:c r="F278" s="7" t="str">
        <x:v>CP</x:v>
      </x:c>
      <x:c r="G278" s="7" t="str">
        <x:v>penetration</x:v>
      </x:c>
      <x:c r="H278" s="7" t="str"/>
      <x:c r="I278" s="7" t="str"/>
      <x:c r="J278" s="7" t="str"/>
      <x:c r="K278" s="7" t="str">
        <x:f>IF(J278="","OPEN",IF(OR(H278="",I278=""),"FAIL","PASS"))</x:f>
        <x:v>OPEN</x:v>
      </x:c>
    </x:row>
    <x:row r="279">
      <x:c r="B279" s="7" t="str">
        <x:v>CPN-PEA-B-X1-SM-1</x:v>
      </x:c>
      <x:c r="C279" s="7" t="str">
        <x:v>PEA-B-X1</x:v>
      </x:c>
      <x:c r="D279" s="7" t="str">
        <x:v>BLD-B</x:v>
      </x:c>
      <x:c r="E279" s="7" t="str">
        <x:v>BL-X</x:v>
      </x:c>
      <x:c r="F279" s="7" t="str">
        <x:v>SM</x:v>
      </x:c>
      <x:c r="G279" s="7" t="str">
        <x:v>sensor mount and datum</x:v>
      </x:c>
      <x:c r="H279" s="7" t="str"/>
      <x:c r="I279" s="7" t="str"/>
      <x:c r="J279" s="7" t="str"/>
      <x:c r="K279" s="7" t="str">
        <x:f>IF(J279="","OPEN",IF(OR(H279="",I279=""),"FAIL","PASS"))</x:f>
        <x:v>OPEN</x:v>
      </x:c>
    </x:row>
    <x:row r="280">
      <x:c r="B280" s="7" t="str">
        <x:v>CPN-PEA-B-X1-SM-2</x:v>
      </x:c>
      <x:c r="C280" s="7" t="str">
        <x:v>PEA-B-X1</x:v>
      </x:c>
      <x:c r="D280" s="7" t="str">
        <x:v>BLD-B</x:v>
      </x:c>
      <x:c r="E280" s="7" t="str">
        <x:v>BL-X</x:v>
      </x:c>
      <x:c r="F280" s="7" t="str">
        <x:v>SM</x:v>
      </x:c>
      <x:c r="G280" s="7" t="str">
        <x:v>sensor mount and datum</x:v>
      </x:c>
      <x:c r="H280" s="7" t="str"/>
      <x:c r="I280" s="7" t="str"/>
      <x:c r="J280" s="7" t="str"/>
      <x:c r="K280" s="7" t="str">
        <x:f>IF(J280="","OPEN",IF(OR(H280="",I280=""),"FAIL","PASS"))</x:f>
        <x:v>OPEN</x:v>
      </x:c>
    </x:row>
    <x:row r="281">
      <x:c r="B281" s="7" t="str">
        <x:v>CPN-PEA-B-X1-SM-3</x:v>
      </x:c>
      <x:c r="C281" s="7" t="str">
        <x:v>PEA-B-X1</x:v>
      </x:c>
      <x:c r="D281" s="7" t="str">
        <x:v>BLD-B</x:v>
      </x:c>
      <x:c r="E281" s="7" t="str">
        <x:v>BL-X</x:v>
      </x:c>
      <x:c r="F281" s="7" t="str">
        <x:v>SM</x:v>
      </x:c>
      <x:c r="G281" s="7" t="str">
        <x:v>sensor mount and datum</x:v>
      </x:c>
      <x:c r="H281" s="7" t="str"/>
      <x:c r="I281" s="7" t="str"/>
      <x:c r="J281" s="7" t="str"/>
      <x:c r="K281" s="7" t="str">
        <x:f>IF(J281="","OPEN",IF(OR(H281="",I281=""),"FAIL","PASS"))</x:f>
        <x:v>OPEN</x:v>
      </x:c>
    </x:row>
    <x:row r="282">
      <x:c r="B282" s="7" t="str">
        <x:v>CPN-PEA-B-X1-SM-4</x:v>
      </x:c>
      <x:c r="C282" s="7" t="str">
        <x:v>PEA-B-X1</x:v>
      </x:c>
      <x:c r="D282" s="7" t="str">
        <x:v>BLD-B</x:v>
      </x:c>
      <x:c r="E282" s="7" t="str">
        <x:v>BL-X</x:v>
      </x:c>
      <x:c r="F282" s="7" t="str">
        <x:v>SM</x:v>
      </x:c>
      <x:c r="G282" s="7" t="str">
        <x:v>sensor mount and datum</x:v>
      </x:c>
      <x:c r="H282" s="7" t="str"/>
      <x:c r="I282" s="7" t="str"/>
      <x:c r="J282" s="7" t="str"/>
      <x:c r="K282" s="7" t="str">
        <x:f>IF(J282="","OPEN",IF(OR(H282="",I282=""),"FAIL","PASS"))</x:f>
        <x:v>OPEN</x:v>
      </x:c>
    </x:row>
    <x:row r="283">
      <x:c r="B283" s="7" t="str">
        <x:v>CPN-PEA-B-X1-SM-5</x:v>
      </x:c>
      <x:c r="C283" s="7" t="str">
        <x:v>PEA-B-X1</x:v>
      </x:c>
      <x:c r="D283" s="7" t="str">
        <x:v>BLD-B</x:v>
      </x:c>
      <x:c r="E283" s="7" t="str">
        <x:v>BL-X</x:v>
      </x:c>
      <x:c r="F283" s="7" t="str">
        <x:v>SM</x:v>
      </x:c>
      <x:c r="G283" s="7" t="str">
        <x:v>sensor mount and datum</x:v>
      </x:c>
      <x:c r="H283" s="7" t="str"/>
      <x:c r="I283" s="7" t="str"/>
      <x:c r="J283" s="7" t="str"/>
      <x:c r="K283" s="7" t="str">
        <x:f>IF(J283="","OPEN",IF(OR(H283="",I283=""),"FAIL","PASS"))</x:f>
        <x:v>OPEN</x:v>
      </x:c>
    </x:row>
    <x:row r="284">
      <x:c r="B284" s="7" t="str">
        <x:v>CPN-PEA-B-X1-SM-6</x:v>
      </x:c>
      <x:c r="C284" s="7" t="str">
        <x:v>PEA-B-X1</x:v>
      </x:c>
      <x:c r="D284" s="7" t="str">
        <x:v>BLD-B</x:v>
      </x:c>
      <x:c r="E284" s="7" t="str">
        <x:v>BL-X</x:v>
      </x:c>
      <x:c r="F284" s="7" t="str">
        <x:v>SM</x:v>
      </x:c>
      <x:c r="G284" s="7" t="str">
        <x:v>sensor mount and datum</x:v>
      </x:c>
      <x:c r="H284" s="7" t="str"/>
      <x:c r="I284" s="7" t="str"/>
      <x:c r="J284" s="7" t="str"/>
      <x:c r="K284" s="7" t="str">
        <x:f>IF(J284="","OPEN",IF(OR(H284="",I284=""),"FAIL","PASS"))</x:f>
        <x:v>OPEN</x:v>
      </x:c>
    </x:row>
    <x:row r="285">
      <x:c r="B285" s="7" t="str">
        <x:v>CPN-PEA-B-X1-SM-7</x:v>
      </x:c>
      <x:c r="C285" s="7" t="str">
        <x:v>PEA-B-X1</x:v>
      </x:c>
      <x:c r="D285" s="7" t="str">
        <x:v>BLD-B</x:v>
      </x:c>
      <x:c r="E285" s="7" t="str">
        <x:v>BL-X</x:v>
      </x:c>
      <x:c r="F285" s="7" t="str">
        <x:v>SM</x:v>
      </x:c>
      <x:c r="G285" s="7" t="str">
        <x:v>sensor mount and datum</x:v>
      </x:c>
      <x:c r="H285" s="7" t="str"/>
      <x:c r="I285" s="7" t="str"/>
      <x:c r="J285" s="7" t="str"/>
      <x:c r="K285" s="7" t="str">
        <x:f>IF(J285="","OPEN",IF(OR(H285="",I285=""),"FAIL","PASS"))</x:f>
        <x:v>OPEN</x:v>
      </x:c>
    </x:row>
    <x:row r="286">
      <x:c r="B286" s="7" t="str">
        <x:v>CPN-PEA-B-X1-SM-8</x:v>
      </x:c>
      <x:c r="C286" s="7" t="str">
        <x:v>PEA-B-X1</x:v>
      </x:c>
      <x:c r="D286" s="7" t="str">
        <x:v>BLD-B</x:v>
      </x:c>
      <x:c r="E286" s="7" t="str">
        <x:v>BL-X</x:v>
      </x:c>
      <x:c r="F286" s="7" t="str">
        <x:v>SM</x:v>
      </x:c>
      <x:c r="G286" s="7" t="str">
        <x:v>sensor mount and datum</x:v>
      </x:c>
      <x:c r="H286" s="7" t="str"/>
      <x:c r="I286" s="7" t="str"/>
      <x:c r="J286" s="7" t="str"/>
      <x:c r="K286" s="7" t="str">
        <x:f>IF(J286="","OPEN",IF(OR(H286="",I286=""),"FAIL","PASS"))</x:f>
        <x:v>OPEN</x:v>
      </x:c>
    </x:row>
    <x:row r="287">
      <x:c r="B287" s="7" t="str">
        <x:v>CPN-PEA-B-X2-CJ-1</x:v>
      </x:c>
      <x:c r="C287" s="7" t="str">
        <x:v>PEA-B-X2</x:v>
      </x:c>
      <x:c r="D287" s="7" t="str">
        <x:v>BLD-B</x:v>
      </x:c>
      <x:c r="E287" s="7" t="str">
        <x:v>BL-X</x:v>
      </x:c>
      <x:c r="F287" s="7" t="str">
        <x:v>CJ</x:v>
      </x:c>
      <x:c r="G287" s="7" t="str">
        <x:v>joint or weld</x:v>
      </x:c>
      <x:c r="H287" s="7" t="str"/>
      <x:c r="I287" s="7" t="str"/>
      <x:c r="J287" s="7" t="str"/>
      <x:c r="K287" s="7" t="str">
        <x:f>IF(J287="","OPEN",IF(OR(H287="",I287=""),"FAIL","PASS"))</x:f>
        <x:v>OPEN</x:v>
      </x:c>
    </x:row>
    <x:row r="288">
      <x:c r="B288" s="7" t="str">
        <x:v>CPN-PEA-B-X2-CJ-2</x:v>
      </x:c>
      <x:c r="C288" s="7" t="str">
        <x:v>PEA-B-X2</x:v>
      </x:c>
      <x:c r="D288" s="7" t="str">
        <x:v>BLD-B</x:v>
      </x:c>
      <x:c r="E288" s="7" t="str">
        <x:v>BL-X</x:v>
      </x:c>
      <x:c r="F288" s="7" t="str">
        <x:v>CJ</x:v>
      </x:c>
      <x:c r="G288" s="7" t="str">
        <x:v>joint or weld</x:v>
      </x:c>
      <x:c r="H288" s="7" t="str"/>
      <x:c r="I288" s="7" t="str"/>
      <x:c r="J288" s="7" t="str"/>
      <x:c r="K288" s="7" t="str">
        <x:f>IF(J288="","OPEN",IF(OR(H288="",I288=""),"FAIL","PASS"))</x:f>
        <x:v>OPEN</x:v>
      </x:c>
    </x:row>
    <x:row r="289">
      <x:c r="B289" s="7" t="str">
        <x:v>CPN-PEA-B-X2-CJ-3</x:v>
      </x:c>
      <x:c r="C289" s="7" t="str">
        <x:v>PEA-B-X2</x:v>
      </x:c>
      <x:c r="D289" s="7" t="str">
        <x:v>BLD-B</x:v>
      </x:c>
      <x:c r="E289" s="7" t="str">
        <x:v>BL-X</x:v>
      </x:c>
      <x:c r="F289" s="7" t="str">
        <x:v>CJ</x:v>
      </x:c>
      <x:c r="G289" s="7" t="str">
        <x:v>joint or weld</x:v>
      </x:c>
      <x:c r="H289" s="7" t="str"/>
      <x:c r="I289" s="7" t="str"/>
      <x:c r="J289" s="7" t="str"/>
      <x:c r="K289" s="7" t="str">
        <x:f>IF(J289="","OPEN",IF(OR(H289="",I289=""),"FAIL","PASS"))</x:f>
        <x:v>OPEN</x:v>
      </x:c>
    </x:row>
    <x:row r="290">
      <x:c r="B290" s="7" t="str">
        <x:v>CPN-PEA-B-X2-CJ-4</x:v>
      </x:c>
      <x:c r="C290" s="7" t="str">
        <x:v>PEA-B-X2</x:v>
      </x:c>
      <x:c r="D290" s="7" t="str">
        <x:v>BLD-B</x:v>
      </x:c>
      <x:c r="E290" s="7" t="str">
        <x:v>BL-X</x:v>
      </x:c>
      <x:c r="F290" s="7" t="str">
        <x:v>CJ</x:v>
      </x:c>
      <x:c r="G290" s="7" t="str">
        <x:v>joint or weld</x:v>
      </x:c>
      <x:c r="H290" s="7" t="str"/>
      <x:c r="I290" s="7" t="str"/>
      <x:c r="J290" s="7" t="str"/>
      <x:c r="K290" s="7" t="str">
        <x:f>IF(J290="","OPEN",IF(OR(H290="",I290=""),"FAIL","PASS"))</x:f>
        <x:v>OPEN</x:v>
      </x:c>
    </x:row>
    <x:row r="291">
      <x:c r="B291" s="7" t="str">
        <x:v>CPN-PEA-B-X2-CJ-5</x:v>
      </x:c>
      <x:c r="C291" s="7" t="str">
        <x:v>PEA-B-X2</x:v>
      </x:c>
      <x:c r="D291" s="7" t="str">
        <x:v>BLD-B</x:v>
      </x:c>
      <x:c r="E291" s="7" t="str">
        <x:v>BL-X</x:v>
      </x:c>
      <x:c r="F291" s="7" t="str">
        <x:v>CJ</x:v>
      </x:c>
      <x:c r="G291" s="7" t="str">
        <x:v>joint or weld</x:v>
      </x:c>
      <x:c r="H291" s="7" t="str"/>
      <x:c r="I291" s="7" t="str"/>
      <x:c r="J291" s="7" t="str"/>
      <x:c r="K291" s="7" t="str">
        <x:f>IF(J291="","OPEN",IF(OR(H291="",I291=""),"FAIL","PASS"))</x:f>
        <x:v>OPEN</x:v>
      </x:c>
    </x:row>
    <x:row r="292">
      <x:c r="B292" s="7" t="str">
        <x:v>CPN-PEA-B-X2-CJ-6</x:v>
      </x:c>
      <x:c r="C292" s="7" t="str">
        <x:v>PEA-B-X2</x:v>
      </x:c>
      <x:c r="D292" s="7" t="str">
        <x:v>BLD-B</x:v>
      </x:c>
      <x:c r="E292" s="7" t="str">
        <x:v>BL-X</x:v>
      </x:c>
      <x:c r="F292" s="7" t="str">
        <x:v>CJ</x:v>
      </x:c>
      <x:c r="G292" s="7" t="str">
        <x:v>joint or weld</x:v>
      </x:c>
      <x:c r="H292" s="7" t="str"/>
      <x:c r="I292" s="7" t="str"/>
      <x:c r="J292" s="7" t="str"/>
      <x:c r="K292" s="7" t="str">
        <x:f>IF(J292="","OPEN",IF(OR(H292="",I292=""),"FAIL","PASS"))</x:f>
        <x:v>OPEN</x:v>
      </x:c>
    </x:row>
    <x:row r="293">
      <x:c r="B293" s="7" t="str">
        <x:v>CPN-PEA-B-X2-CJ-7</x:v>
      </x:c>
      <x:c r="C293" s="7" t="str">
        <x:v>PEA-B-X2</x:v>
      </x:c>
      <x:c r="D293" s="7" t="str">
        <x:v>BLD-B</x:v>
      </x:c>
      <x:c r="E293" s="7" t="str">
        <x:v>BL-X</x:v>
      </x:c>
      <x:c r="F293" s="7" t="str">
        <x:v>CJ</x:v>
      </x:c>
      <x:c r="G293" s="7" t="str">
        <x:v>joint or weld</x:v>
      </x:c>
      <x:c r="H293" s="7" t="str"/>
      <x:c r="I293" s="7" t="str"/>
      <x:c r="J293" s="7" t="str"/>
      <x:c r="K293" s="7" t="str">
        <x:f>IF(J293="","OPEN",IF(OR(H293="",I293=""),"FAIL","PASS"))</x:f>
        <x:v>OPEN</x:v>
      </x:c>
    </x:row>
    <x:row r="294">
      <x:c r="B294" s="7" t="str">
        <x:v>CPN-PEA-B-X2-CJ-8</x:v>
      </x:c>
      <x:c r="C294" s="7" t="str">
        <x:v>PEA-B-X2</x:v>
      </x:c>
      <x:c r="D294" s="7" t="str">
        <x:v>BLD-B</x:v>
      </x:c>
      <x:c r="E294" s="7" t="str">
        <x:v>BL-X</x:v>
      </x:c>
      <x:c r="F294" s="7" t="str">
        <x:v>CJ</x:v>
      </x:c>
      <x:c r="G294" s="7" t="str">
        <x:v>joint or weld</x:v>
      </x:c>
      <x:c r="H294" s="7" t="str"/>
      <x:c r="I294" s="7" t="str"/>
      <x:c r="J294" s="7" t="str"/>
      <x:c r="K294" s="7" t="str">
        <x:f>IF(J294="","OPEN",IF(OR(H294="",I294=""),"FAIL","PASS"))</x:f>
        <x:v>OPEN</x:v>
      </x:c>
    </x:row>
    <x:row r="295">
      <x:c r="B295" s="7" t="str">
        <x:v>CPN-PEA-B-X2-SE-1</x:v>
      </x:c>
      <x:c r="C295" s="7" t="str">
        <x:v>PEA-B-X2</x:v>
      </x:c>
      <x:c r="D295" s="7" t="str">
        <x:v>BLD-B</x:v>
      </x:c>
      <x:c r="E295" s="7" t="str">
        <x:v>BL-X</x:v>
      </x:c>
      <x:c r="F295" s="7" t="str">
        <x:v>SE</x:v>
      </x:c>
      <x:c r="G295" s="7" t="str">
        <x:v>seal and gasket</x:v>
      </x:c>
      <x:c r="H295" s="7" t="str"/>
      <x:c r="I295" s="7" t="str"/>
      <x:c r="J295" s="7" t="str"/>
      <x:c r="K295" s="7" t="str">
        <x:f>IF(J295="","OPEN",IF(OR(H295="",I295=""),"FAIL","PASS"))</x:f>
        <x:v>OPEN</x:v>
      </x:c>
    </x:row>
    <x:row r="296">
      <x:c r="B296" s="7" t="str">
        <x:v>CPN-PEA-B-X2-SE-2</x:v>
      </x:c>
      <x:c r="C296" s="7" t="str">
        <x:v>PEA-B-X2</x:v>
      </x:c>
      <x:c r="D296" s="7" t="str">
        <x:v>BLD-B</x:v>
      </x:c>
      <x:c r="E296" s="7" t="str">
        <x:v>BL-X</x:v>
      </x:c>
      <x:c r="F296" s="7" t="str">
        <x:v>SE</x:v>
      </x:c>
      <x:c r="G296" s="7" t="str">
        <x:v>seal and gasket</x:v>
      </x:c>
      <x:c r="H296" s="7" t="str"/>
      <x:c r="I296" s="7" t="str"/>
      <x:c r="J296" s="7" t="str"/>
      <x:c r="K296" s="7" t="str">
        <x:f>IF(J296="","OPEN",IF(OR(H296="",I296=""),"FAIL","PASS"))</x:f>
        <x:v>OPEN</x:v>
      </x:c>
    </x:row>
    <x:row r="297">
      <x:c r="B297" s="7" t="str">
        <x:v>CPN-PEA-B-X2-SE-3</x:v>
      </x:c>
      <x:c r="C297" s="7" t="str">
        <x:v>PEA-B-X2</x:v>
      </x:c>
      <x:c r="D297" s="7" t="str">
        <x:v>BLD-B</x:v>
      </x:c>
      <x:c r="E297" s="7" t="str">
        <x:v>BL-X</x:v>
      </x:c>
      <x:c r="F297" s="7" t="str">
        <x:v>SE</x:v>
      </x:c>
      <x:c r="G297" s="7" t="str">
        <x:v>seal and gasket</x:v>
      </x:c>
      <x:c r="H297" s="7" t="str"/>
      <x:c r="I297" s="7" t="str"/>
      <x:c r="J297" s="7" t="str"/>
      <x:c r="K297" s="7" t="str">
        <x:f>IF(J297="","OPEN",IF(OR(H297="",I297=""),"FAIL","PASS"))</x:f>
        <x:v>OPEN</x:v>
      </x:c>
    </x:row>
    <x:row r="298">
      <x:c r="B298" s="7" t="str">
        <x:v>CPN-PEA-B-X2-SE-4</x:v>
      </x:c>
      <x:c r="C298" s="7" t="str">
        <x:v>PEA-B-X2</x:v>
      </x:c>
      <x:c r="D298" s="7" t="str">
        <x:v>BLD-B</x:v>
      </x:c>
      <x:c r="E298" s="7" t="str">
        <x:v>BL-X</x:v>
      </x:c>
      <x:c r="F298" s="7" t="str">
        <x:v>SE</x:v>
      </x:c>
      <x:c r="G298" s="7" t="str">
        <x:v>seal and gasket</x:v>
      </x:c>
      <x:c r="H298" s="7" t="str"/>
      <x:c r="I298" s="7" t="str"/>
      <x:c r="J298" s="7" t="str"/>
      <x:c r="K298" s="7" t="str">
        <x:f>IF(J298="","OPEN",IF(OR(H298="",I298=""),"FAIL","PASS"))</x:f>
        <x:v>OPEN</x:v>
      </x:c>
    </x:row>
    <x:row r="299">
      <x:c r="B299" s="7" t="str">
        <x:v>CPN-PEA-B-X2-SE-5</x:v>
      </x:c>
      <x:c r="C299" s="7" t="str">
        <x:v>PEA-B-X2</x:v>
      </x:c>
      <x:c r="D299" s="7" t="str">
        <x:v>BLD-B</x:v>
      </x:c>
      <x:c r="E299" s="7" t="str">
        <x:v>BL-X</x:v>
      </x:c>
      <x:c r="F299" s="7" t="str">
        <x:v>SE</x:v>
      </x:c>
      <x:c r="G299" s="7" t="str">
        <x:v>seal and gasket</x:v>
      </x:c>
      <x:c r="H299" s="7" t="str"/>
      <x:c r="I299" s="7" t="str"/>
      <x:c r="J299" s="7" t="str"/>
      <x:c r="K299" s="7" t="str">
        <x:f>IF(J299="","OPEN",IF(OR(H299="",I299=""),"FAIL","PASS"))</x:f>
        <x:v>OPEN</x:v>
      </x:c>
    </x:row>
    <x:row r="300">
      <x:c r="B300" s="7" t="str">
        <x:v>CPN-PEA-B-X2-SE-6</x:v>
      </x:c>
      <x:c r="C300" s="7" t="str">
        <x:v>PEA-B-X2</x:v>
      </x:c>
      <x:c r="D300" s="7" t="str">
        <x:v>BLD-B</x:v>
      </x:c>
      <x:c r="E300" s="7" t="str">
        <x:v>BL-X</x:v>
      </x:c>
      <x:c r="F300" s="7" t="str">
        <x:v>SE</x:v>
      </x:c>
      <x:c r="G300" s="7" t="str">
        <x:v>seal and gasket</x:v>
      </x:c>
      <x:c r="H300" s="7" t="str"/>
      <x:c r="I300" s="7" t="str"/>
      <x:c r="J300" s="7" t="str"/>
      <x:c r="K300" s="7" t="str">
        <x:f>IF(J300="","OPEN",IF(OR(H300="",I300=""),"FAIL","PASS"))</x:f>
        <x:v>OPEN</x:v>
      </x:c>
    </x:row>
    <x:row r="301">
      <x:c r="B301" s="7" t="str">
        <x:v>CPN-PEA-B-X2-SE-7</x:v>
      </x:c>
      <x:c r="C301" s="7" t="str">
        <x:v>PEA-B-X2</x:v>
      </x:c>
      <x:c r="D301" s="7" t="str">
        <x:v>BLD-B</x:v>
      </x:c>
      <x:c r="E301" s="7" t="str">
        <x:v>BL-X</x:v>
      </x:c>
      <x:c r="F301" s="7" t="str">
        <x:v>SE</x:v>
      </x:c>
      <x:c r="G301" s="7" t="str">
        <x:v>seal and gasket</x:v>
      </x:c>
      <x:c r="H301" s="7" t="str"/>
      <x:c r="I301" s="7" t="str"/>
      <x:c r="J301" s="7" t="str"/>
      <x:c r="K301" s="7" t="str">
        <x:f>IF(J301="","OPEN",IF(OR(H301="",I301=""),"FAIL","PASS"))</x:f>
        <x:v>OPEN</x:v>
      </x:c>
    </x:row>
    <x:row r="302">
      <x:c r="B302" s="7" t="str">
        <x:v>CPN-PEA-B-X2-SE-8</x:v>
      </x:c>
      <x:c r="C302" s="7" t="str">
        <x:v>PEA-B-X2</x:v>
      </x:c>
      <x:c r="D302" s="7" t="str">
        <x:v>BLD-B</x:v>
      </x:c>
      <x:c r="E302" s="7" t="str">
        <x:v>BL-X</x:v>
      </x:c>
      <x:c r="F302" s="7" t="str">
        <x:v>SE</x:v>
      </x:c>
      <x:c r="G302" s="7" t="str">
        <x:v>seal and gasket</x:v>
      </x:c>
      <x:c r="H302" s="7" t="str"/>
      <x:c r="I302" s="7" t="str"/>
      <x:c r="J302" s="7" t="str"/>
      <x:c r="K302" s="7" t="str">
        <x:f>IF(J302="","OPEN",IF(OR(H302="",I302=""),"FAIL","PASS"))</x:f>
        <x:v>OPEN</x:v>
      </x:c>
    </x:row>
    <x:row r="303">
      <x:c r="B303" s="7" t="str">
        <x:v>CPN-PEA-B-X2-SF-1</x:v>
      </x:c>
      <x:c r="C303" s="7" t="str">
        <x:v>PEA-B-X2</x:v>
      </x:c>
      <x:c r="D303" s="7" t="str">
        <x:v>BLD-B</x:v>
      </x:c>
      <x:c r="E303" s="7" t="str">
        <x:v>BL-X</x:v>
      </x:c>
      <x:c r="F303" s="7" t="str">
        <x:v>SF</x:v>
      </x:c>
      <x:c r="G303" s="7" t="str">
        <x:v>wetted surface</x:v>
      </x:c>
      <x:c r="H303" s="7" t="str"/>
      <x:c r="I303" s="7" t="str"/>
      <x:c r="J303" s="7" t="str"/>
      <x:c r="K303" s="7" t="str">
        <x:f>IF(J303="","OPEN",IF(OR(H303="",I303=""),"FAIL","PASS"))</x:f>
        <x:v>OPEN</x:v>
      </x:c>
    </x:row>
    <x:row r="304">
      <x:c r="B304" s="7" t="str">
        <x:v>CPN-PEA-B-X2-SF-2</x:v>
      </x:c>
      <x:c r="C304" s="7" t="str">
        <x:v>PEA-B-X2</x:v>
      </x:c>
      <x:c r="D304" s="7" t="str">
        <x:v>BLD-B</x:v>
      </x:c>
      <x:c r="E304" s="7" t="str">
        <x:v>BL-X</x:v>
      </x:c>
      <x:c r="F304" s="7" t="str">
        <x:v>SF</x:v>
      </x:c>
      <x:c r="G304" s="7" t="str">
        <x:v>wetted surface</x:v>
      </x:c>
      <x:c r="H304" s="7" t="str"/>
      <x:c r="I304" s="7" t="str"/>
      <x:c r="J304" s="7" t="str"/>
      <x:c r="K304" s="7" t="str">
        <x:f>IF(J304="","OPEN",IF(OR(H304="",I304=""),"FAIL","PASS"))</x:f>
        <x:v>OPEN</x:v>
      </x:c>
    </x:row>
    <x:row r="305">
      <x:c r="B305" s="7" t="str">
        <x:v>CPN-PEA-B-X2-SF-3</x:v>
      </x:c>
      <x:c r="C305" s="7" t="str">
        <x:v>PEA-B-X2</x:v>
      </x:c>
      <x:c r="D305" s="7" t="str">
        <x:v>BLD-B</x:v>
      </x:c>
      <x:c r="E305" s="7" t="str">
        <x:v>BL-X</x:v>
      </x:c>
      <x:c r="F305" s="7" t="str">
        <x:v>SF</x:v>
      </x:c>
      <x:c r="G305" s="7" t="str">
        <x:v>wetted surface</x:v>
      </x:c>
      <x:c r="H305" s="7" t="str"/>
      <x:c r="I305" s="7" t="str"/>
      <x:c r="J305" s="7" t="str"/>
      <x:c r="K305" s="7" t="str">
        <x:f>IF(J305="","OPEN",IF(OR(H305="",I305=""),"FAIL","PASS"))</x:f>
        <x:v>OPEN</x:v>
      </x:c>
    </x:row>
    <x:row r="306">
      <x:c r="B306" s="7" t="str">
        <x:v>CPN-PEA-B-X2-SF-4</x:v>
      </x:c>
      <x:c r="C306" s="7" t="str">
        <x:v>PEA-B-X2</x:v>
      </x:c>
      <x:c r="D306" s="7" t="str">
        <x:v>BLD-B</x:v>
      </x:c>
      <x:c r="E306" s="7" t="str">
        <x:v>BL-X</x:v>
      </x:c>
      <x:c r="F306" s="7" t="str">
        <x:v>SF</x:v>
      </x:c>
      <x:c r="G306" s="7" t="str">
        <x:v>wetted surface</x:v>
      </x:c>
      <x:c r="H306" s="7" t="str"/>
      <x:c r="I306" s="7" t="str"/>
      <x:c r="J306" s="7" t="str"/>
      <x:c r="K306" s="7" t="str">
        <x:f>IF(J306="","OPEN",IF(OR(H306="",I306=""),"FAIL","PASS"))</x:f>
        <x:v>OPEN</x:v>
      </x:c>
    </x:row>
    <x:row r="307">
      <x:c r="B307" s="7" t="str">
        <x:v>CPN-PEA-B-X2-SF-5</x:v>
      </x:c>
      <x:c r="C307" s="7" t="str">
        <x:v>PEA-B-X2</x:v>
      </x:c>
      <x:c r="D307" s="7" t="str">
        <x:v>BLD-B</x:v>
      </x:c>
      <x:c r="E307" s="7" t="str">
        <x:v>BL-X</x:v>
      </x:c>
      <x:c r="F307" s="7" t="str">
        <x:v>SF</x:v>
      </x:c>
      <x:c r="G307" s="7" t="str">
        <x:v>wetted surface</x:v>
      </x:c>
      <x:c r="H307" s="7" t="str"/>
      <x:c r="I307" s="7" t="str"/>
      <x:c r="J307" s="7" t="str"/>
      <x:c r="K307" s="7" t="str">
        <x:f>IF(J307="","OPEN",IF(OR(H307="",I307=""),"FAIL","PASS"))</x:f>
        <x:v>OPEN</x:v>
      </x:c>
    </x:row>
    <x:row r="308">
      <x:c r="B308" s="7" t="str">
        <x:v>CPN-PEA-B-X2-SF-6</x:v>
      </x:c>
      <x:c r="C308" s="7" t="str">
        <x:v>PEA-B-X2</x:v>
      </x:c>
      <x:c r="D308" s="7" t="str">
        <x:v>BLD-B</x:v>
      </x:c>
      <x:c r="E308" s="7" t="str">
        <x:v>BL-X</x:v>
      </x:c>
      <x:c r="F308" s="7" t="str">
        <x:v>SF</x:v>
      </x:c>
      <x:c r="G308" s="7" t="str">
        <x:v>wetted surface</x:v>
      </x:c>
      <x:c r="H308" s="7" t="str"/>
      <x:c r="I308" s="7" t="str"/>
      <x:c r="J308" s="7" t="str"/>
      <x:c r="K308" s="7" t="str">
        <x:f>IF(J308="","OPEN",IF(OR(H308="",I308=""),"FAIL","PASS"))</x:f>
        <x:v>OPEN</x:v>
      </x:c>
    </x:row>
    <x:row r="309">
      <x:c r="B309" s="7" t="str">
        <x:v>CPN-PEA-B-X2-SF-7</x:v>
      </x:c>
      <x:c r="C309" s="7" t="str">
        <x:v>PEA-B-X2</x:v>
      </x:c>
      <x:c r="D309" s="7" t="str">
        <x:v>BLD-B</x:v>
      </x:c>
      <x:c r="E309" s="7" t="str">
        <x:v>BL-X</x:v>
      </x:c>
      <x:c r="F309" s="7" t="str">
        <x:v>SF</x:v>
      </x:c>
      <x:c r="G309" s="7" t="str">
        <x:v>wetted surface</x:v>
      </x:c>
      <x:c r="H309" s="7" t="str"/>
      <x:c r="I309" s="7" t="str"/>
      <x:c r="J309" s="7" t="str"/>
      <x:c r="K309" s="7" t="str">
        <x:f>IF(J309="","OPEN",IF(OR(H309="",I309=""),"FAIL","PASS"))</x:f>
        <x:v>OPEN</x:v>
      </x:c>
    </x:row>
    <x:row r="310">
      <x:c r="B310" s="7" t="str">
        <x:v>CPN-PEA-B-X2-SF-8</x:v>
      </x:c>
      <x:c r="C310" s="7" t="str">
        <x:v>PEA-B-X2</x:v>
      </x:c>
      <x:c r="D310" s="7" t="str">
        <x:v>BLD-B</x:v>
      </x:c>
      <x:c r="E310" s="7" t="str">
        <x:v>BL-X</x:v>
      </x:c>
      <x:c r="F310" s="7" t="str">
        <x:v>SF</x:v>
      </x:c>
      <x:c r="G310" s="7" t="str">
        <x:v>wetted surface</x:v>
      </x:c>
      <x:c r="H310" s="7" t="str"/>
      <x:c r="I310" s="7" t="str"/>
      <x:c r="J310" s="7" t="str"/>
      <x:c r="K310" s="7" t="str">
        <x:f>IF(J310="","OPEN",IF(OR(H310="",I310=""),"FAIL","PASS"))</x:f>
        <x:v>OPEN</x:v>
      </x:c>
    </x:row>
    <x:row r="311">
      <x:c r="B311" s="7" t="str">
        <x:v>CPN-PEA-B-X2-CP-1</x:v>
      </x:c>
      <x:c r="C311" s="7" t="str">
        <x:v>PEA-B-X2</x:v>
      </x:c>
      <x:c r="D311" s="7" t="str">
        <x:v>BLD-B</x:v>
      </x:c>
      <x:c r="E311" s="7" t="str">
        <x:v>BL-X</x:v>
      </x:c>
      <x:c r="F311" s="7" t="str">
        <x:v>CP</x:v>
      </x:c>
      <x:c r="G311" s="7" t="str">
        <x:v>penetration</x:v>
      </x:c>
      <x:c r="H311" s="7" t="str"/>
      <x:c r="I311" s="7" t="str"/>
      <x:c r="J311" s="7" t="str"/>
      <x:c r="K311" s="7" t="str">
        <x:f>IF(J311="","OPEN",IF(OR(H311="",I311=""),"FAIL","PASS"))</x:f>
        <x:v>OPEN</x:v>
      </x:c>
    </x:row>
    <x:row r="312">
      <x:c r="B312" s="7" t="str">
        <x:v>CPN-PEA-B-X2-CP-2</x:v>
      </x:c>
      <x:c r="C312" s="7" t="str">
        <x:v>PEA-B-X2</x:v>
      </x:c>
      <x:c r="D312" s="7" t="str">
        <x:v>BLD-B</x:v>
      </x:c>
      <x:c r="E312" s="7" t="str">
        <x:v>BL-X</x:v>
      </x:c>
      <x:c r="F312" s="7" t="str">
        <x:v>CP</x:v>
      </x:c>
      <x:c r="G312" s="7" t="str">
        <x:v>penetration</x:v>
      </x:c>
      <x:c r="H312" s="7" t="str"/>
      <x:c r="I312" s="7" t="str"/>
      <x:c r="J312" s="7" t="str"/>
      <x:c r="K312" s="7" t="str">
        <x:f>IF(J312="","OPEN",IF(OR(H312="",I312=""),"FAIL","PASS"))</x:f>
        <x:v>OPEN</x:v>
      </x:c>
    </x:row>
    <x:row r="313">
      <x:c r="B313" s="7" t="str">
        <x:v>CPN-PEA-B-X2-CP-3</x:v>
      </x:c>
      <x:c r="C313" s="7" t="str">
        <x:v>PEA-B-X2</x:v>
      </x:c>
      <x:c r="D313" s="7" t="str">
        <x:v>BLD-B</x:v>
      </x:c>
      <x:c r="E313" s="7" t="str">
        <x:v>BL-X</x:v>
      </x:c>
      <x:c r="F313" s="7" t="str">
        <x:v>CP</x:v>
      </x:c>
      <x:c r="G313" s="7" t="str">
        <x:v>penetration</x:v>
      </x:c>
      <x:c r="H313" s="7" t="str"/>
      <x:c r="I313" s="7" t="str"/>
      <x:c r="J313" s="7" t="str"/>
      <x:c r="K313" s="7" t="str">
        <x:f>IF(J313="","OPEN",IF(OR(H313="",I313=""),"FAIL","PASS"))</x:f>
        <x:v>OPEN</x:v>
      </x:c>
    </x:row>
    <x:row r="314">
      <x:c r="B314" s="7" t="str">
        <x:v>CPN-PEA-B-X2-CP-4</x:v>
      </x:c>
      <x:c r="C314" s="7" t="str">
        <x:v>PEA-B-X2</x:v>
      </x:c>
      <x:c r="D314" s="7" t="str">
        <x:v>BLD-B</x:v>
      </x:c>
      <x:c r="E314" s="7" t="str">
        <x:v>BL-X</x:v>
      </x:c>
      <x:c r="F314" s="7" t="str">
        <x:v>CP</x:v>
      </x:c>
      <x:c r="G314" s="7" t="str">
        <x:v>penetration</x:v>
      </x:c>
      <x:c r="H314" s="7" t="str"/>
      <x:c r="I314" s="7" t="str"/>
      <x:c r="J314" s="7" t="str"/>
      <x:c r="K314" s="7" t="str">
        <x:f>IF(J314="","OPEN",IF(OR(H314="",I314=""),"FAIL","PASS"))</x:f>
        <x:v>OPEN</x:v>
      </x:c>
    </x:row>
    <x:row r="315">
      <x:c r="B315" s="7" t="str">
        <x:v>CPN-PEA-B-X2-CP-5</x:v>
      </x:c>
      <x:c r="C315" s="7" t="str">
        <x:v>PEA-B-X2</x:v>
      </x:c>
      <x:c r="D315" s="7" t="str">
        <x:v>BLD-B</x:v>
      </x:c>
      <x:c r="E315" s="7" t="str">
        <x:v>BL-X</x:v>
      </x:c>
      <x:c r="F315" s="7" t="str">
        <x:v>CP</x:v>
      </x:c>
      <x:c r="G315" s="7" t="str">
        <x:v>penetration</x:v>
      </x:c>
      <x:c r="H315" s="7" t="str"/>
      <x:c r="I315" s="7" t="str"/>
      <x:c r="J315" s="7" t="str"/>
      <x:c r="K315" s="7" t="str">
        <x:f>IF(J315="","OPEN",IF(OR(H315="",I315=""),"FAIL","PASS"))</x:f>
        <x:v>OPEN</x:v>
      </x:c>
    </x:row>
    <x:row r="316">
      <x:c r="B316" s="7" t="str">
        <x:v>CPN-PEA-B-X2-CP-6</x:v>
      </x:c>
      <x:c r="C316" s="7" t="str">
        <x:v>PEA-B-X2</x:v>
      </x:c>
      <x:c r="D316" s="7" t="str">
        <x:v>BLD-B</x:v>
      </x:c>
      <x:c r="E316" s="7" t="str">
        <x:v>BL-X</x:v>
      </x:c>
      <x:c r="F316" s="7" t="str">
        <x:v>CP</x:v>
      </x:c>
      <x:c r="G316" s="7" t="str">
        <x:v>penetration</x:v>
      </x:c>
      <x:c r="H316" s="7" t="str"/>
      <x:c r="I316" s="7" t="str"/>
      <x:c r="J316" s="7" t="str"/>
      <x:c r="K316" s="7" t="str">
        <x:f>IF(J316="","OPEN",IF(OR(H316="",I316=""),"FAIL","PASS"))</x:f>
        <x:v>OPEN</x:v>
      </x:c>
    </x:row>
    <x:row r="317">
      <x:c r="B317" s="7" t="str">
        <x:v>CPN-PEA-B-X2-CP-7</x:v>
      </x:c>
      <x:c r="C317" s="7" t="str">
        <x:v>PEA-B-X2</x:v>
      </x:c>
      <x:c r="D317" s="7" t="str">
        <x:v>BLD-B</x:v>
      </x:c>
      <x:c r="E317" s="7" t="str">
        <x:v>BL-X</x:v>
      </x:c>
      <x:c r="F317" s="7" t="str">
        <x:v>CP</x:v>
      </x:c>
      <x:c r="G317" s="7" t="str">
        <x:v>penetration</x:v>
      </x:c>
      <x:c r="H317" s="7" t="str"/>
      <x:c r="I317" s="7" t="str"/>
      <x:c r="J317" s="7" t="str"/>
      <x:c r="K317" s="7" t="str">
        <x:f>IF(J317="","OPEN",IF(OR(H317="",I317=""),"FAIL","PASS"))</x:f>
        <x:v>OPEN</x:v>
      </x:c>
    </x:row>
    <x:row r="318">
      <x:c r="B318" s="7" t="str">
        <x:v>CPN-PEA-B-X2-CP-8</x:v>
      </x:c>
      <x:c r="C318" s="7" t="str">
        <x:v>PEA-B-X2</x:v>
      </x:c>
      <x:c r="D318" s="7" t="str">
        <x:v>BLD-B</x:v>
      </x:c>
      <x:c r="E318" s="7" t="str">
        <x:v>BL-X</x:v>
      </x:c>
      <x:c r="F318" s="7" t="str">
        <x:v>CP</x:v>
      </x:c>
      <x:c r="G318" s="7" t="str">
        <x:v>penetration</x:v>
      </x:c>
      <x:c r="H318" s="7" t="str"/>
      <x:c r="I318" s="7" t="str"/>
      <x:c r="J318" s="7" t="str"/>
      <x:c r="K318" s="7" t="str">
        <x:f>IF(J318="","OPEN",IF(OR(H318="",I318=""),"FAIL","PASS"))</x:f>
        <x:v>OPEN</x:v>
      </x:c>
    </x:row>
    <x:row r="319">
      <x:c r="B319" s="7" t="str">
        <x:v>CPN-PEA-B-X2-SM-1</x:v>
      </x:c>
      <x:c r="C319" s="7" t="str">
        <x:v>PEA-B-X2</x:v>
      </x:c>
      <x:c r="D319" s="7" t="str">
        <x:v>BLD-B</x:v>
      </x:c>
      <x:c r="E319" s="7" t="str">
        <x:v>BL-X</x:v>
      </x:c>
      <x:c r="F319" s="7" t="str">
        <x:v>SM</x:v>
      </x:c>
      <x:c r="G319" s="7" t="str">
        <x:v>sensor mount and datum</x:v>
      </x:c>
      <x:c r="H319" s="7" t="str"/>
      <x:c r="I319" s="7" t="str"/>
      <x:c r="J319" s="7" t="str"/>
      <x:c r="K319" s="7" t="str">
        <x:f>IF(J319="","OPEN",IF(OR(H319="",I319=""),"FAIL","PASS"))</x:f>
        <x:v>OPEN</x:v>
      </x:c>
    </x:row>
    <x:row r="320">
      <x:c r="B320" s="7" t="str">
        <x:v>CPN-PEA-B-X2-SM-2</x:v>
      </x:c>
      <x:c r="C320" s="7" t="str">
        <x:v>PEA-B-X2</x:v>
      </x:c>
      <x:c r="D320" s="7" t="str">
        <x:v>BLD-B</x:v>
      </x:c>
      <x:c r="E320" s="7" t="str">
        <x:v>BL-X</x:v>
      </x:c>
      <x:c r="F320" s="7" t="str">
        <x:v>SM</x:v>
      </x:c>
      <x:c r="G320" s="7" t="str">
        <x:v>sensor mount and datum</x:v>
      </x:c>
      <x:c r="H320" s="7" t="str"/>
      <x:c r="I320" s="7" t="str"/>
      <x:c r="J320" s="7" t="str"/>
      <x:c r="K320" s="7" t="str">
        <x:f>IF(J320="","OPEN",IF(OR(H320="",I320=""),"FAIL","PASS"))</x:f>
        <x:v>OPEN</x:v>
      </x:c>
    </x:row>
    <x:row r="321">
      <x:c r="B321" s="7" t="str">
        <x:v>CPN-PEA-B-X2-SM-3</x:v>
      </x:c>
      <x:c r="C321" s="7" t="str">
        <x:v>PEA-B-X2</x:v>
      </x:c>
      <x:c r="D321" s="7" t="str">
        <x:v>BLD-B</x:v>
      </x:c>
      <x:c r="E321" s="7" t="str">
        <x:v>BL-X</x:v>
      </x:c>
      <x:c r="F321" s="7" t="str">
        <x:v>SM</x:v>
      </x:c>
      <x:c r="G321" s="7" t="str">
        <x:v>sensor mount and datum</x:v>
      </x:c>
      <x:c r="H321" s="7" t="str"/>
      <x:c r="I321" s="7" t="str"/>
      <x:c r="J321" s="7" t="str"/>
      <x:c r="K321" s="7" t="str">
        <x:f>IF(J321="","OPEN",IF(OR(H321="",I321=""),"FAIL","PASS"))</x:f>
        <x:v>OPEN</x:v>
      </x:c>
    </x:row>
    <x:row r="322">
      <x:c r="B322" s="7" t="str">
        <x:v>CPN-PEA-B-X2-SM-4</x:v>
      </x:c>
      <x:c r="C322" s="7" t="str">
        <x:v>PEA-B-X2</x:v>
      </x:c>
      <x:c r="D322" s="7" t="str">
        <x:v>BLD-B</x:v>
      </x:c>
      <x:c r="E322" s="7" t="str">
        <x:v>BL-X</x:v>
      </x:c>
      <x:c r="F322" s="7" t="str">
        <x:v>SM</x:v>
      </x:c>
      <x:c r="G322" s="7" t="str">
        <x:v>sensor mount and datum</x:v>
      </x:c>
      <x:c r="H322" s="7" t="str"/>
      <x:c r="I322" s="7" t="str"/>
      <x:c r="J322" s="7" t="str"/>
      <x:c r="K322" s="7" t="str">
        <x:f>IF(J322="","OPEN",IF(OR(H322="",I322=""),"FAIL","PASS"))</x:f>
        <x:v>OPEN</x:v>
      </x:c>
    </x:row>
    <x:row r="323">
      <x:c r="B323" s="7" t="str">
        <x:v>CPN-PEA-B-X2-SM-5</x:v>
      </x:c>
      <x:c r="C323" s="7" t="str">
        <x:v>PEA-B-X2</x:v>
      </x:c>
      <x:c r="D323" s="7" t="str">
        <x:v>BLD-B</x:v>
      </x:c>
      <x:c r="E323" s="7" t="str">
        <x:v>BL-X</x:v>
      </x:c>
      <x:c r="F323" s="7" t="str">
        <x:v>SM</x:v>
      </x:c>
      <x:c r="G323" s="7" t="str">
        <x:v>sensor mount and datum</x:v>
      </x:c>
      <x:c r="H323" s="7" t="str"/>
      <x:c r="I323" s="7" t="str"/>
      <x:c r="J323" s="7" t="str"/>
      <x:c r="K323" s="7" t="str">
        <x:f>IF(J323="","OPEN",IF(OR(H323="",I323=""),"FAIL","PASS"))</x:f>
        <x:v>OPEN</x:v>
      </x:c>
    </x:row>
    <x:row r="324">
      <x:c r="B324" s="7" t="str">
        <x:v>CPN-PEA-B-X2-SM-6</x:v>
      </x:c>
      <x:c r="C324" s="7" t="str">
        <x:v>PEA-B-X2</x:v>
      </x:c>
      <x:c r="D324" s="7" t="str">
        <x:v>BLD-B</x:v>
      </x:c>
      <x:c r="E324" s="7" t="str">
        <x:v>BL-X</x:v>
      </x:c>
      <x:c r="F324" s="7" t="str">
        <x:v>SM</x:v>
      </x:c>
      <x:c r="G324" s="7" t="str">
        <x:v>sensor mount and datum</x:v>
      </x:c>
      <x:c r="H324" s="7" t="str"/>
      <x:c r="I324" s="7" t="str"/>
      <x:c r="J324" s="7" t="str"/>
      <x:c r="K324" s="7" t="str">
        <x:f>IF(J324="","OPEN",IF(OR(H324="",I324=""),"FAIL","PASS"))</x:f>
        <x:v>OPEN</x:v>
      </x:c>
    </x:row>
    <x:row r="325">
      <x:c r="B325" s="7" t="str">
        <x:v>CPN-PEA-B-X2-SM-7</x:v>
      </x:c>
      <x:c r="C325" s="7" t="str">
        <x:v>PEA-B-X2</x:v>
      </x:c>
      <x:c r="D325" s="7" t="str">
        <x:v>BLD-B</x:v>
      </x:c>
      <x:c r="E325" s="7" t="str">
        <x:v>BL-X</x:v>
      </x:c>
      <x:c r="F325" s="7" t="str">
        <x:v>SM</x:v>
      </x:c>
      <x:c r="G325" s="7" t="str">
        <x:v>sensor mount and datum</x:v>
      </x:c>
      <x:c r="H325" s="7" t="str"/>
      <x:c r="I325" s="7" t="str"/>
      <x:c r="J325" s="7" t="str"/>
      <x:c r="K325" s="7" t="str">
        <x:f>IF(J325="","OPEN",IF(OR(H325="",I325=""),"FAIL","PASS"))</x:f>
        <x:v>OPEN</x:v>
      </x:c>
    </x:row>
    <x:row r="326">
      <x:c r="B326" s="7" t="str">
        <x:v>CPN-PEA-B-X2-SM-8</x:v>
      </x:c>
      <x:c r="C326" s="7" t="str">
        <x:v>PEA-B-X2</x:v>
      </x:c>
      <x:c r="D326" s="7" t="str">
        <x:v>BLD-B</x:v>
      </x:c>
      <x:c r="E326" s="7" t="str">
        <x:v>BL-X</x:v>
      </x:c>
      <x:c r="F326" s="7" t="str">
        <x:v>SM</x:v>
      </x:c>
      <x:c r="G326" s="7" t="str">
        <x:v>sensor mount and datum</x:v>
      </x:c>
      <x:c r="H326" s="7" t="str"/>
      <x:c r="I326" s="7" t="str"/>
      <x:c r="J326" s="7" t="str"/>
      <x:c r="K326" s="7" t="str">
        <x:f>IF(J326="","OPEN",IF(OR(H326="",I326=""),"FAIL","PASS"))</x:f>
        <x:v>OPEN</x:v>
      </x:c>
    </x:row>
    <x:row r="327">
      <x:c r="B327" s="7" t="str">
        <x:v>CPN-PEA-B-X3-CJ-1</x:v>
      </x:c>
      <x:c r="C327" s="7" t="str">
        <x:v>PEA-B-X3</x:v>
      </x:c>
      <x:c r="D327" s="7" t="str">
        <x:v>BLD-B</x:v>
      </x:c>
      <x:c r="E327" s="7" t="str">
        <x:v>BL-X</x:v>
      </x:c>
      <x:c r="F327" s="7" t="str">
        <x:v>CJ</x:v>
      </x:c>
      <x:c r="G327" s="7" t="str">
        <x:v>joint or weld</x:v>
      </x:c>
      <x:c r="H327" s="7" t="str"/>
      <x:c r="I327" s="7" t="str"/>
      <x:c r="J327" s="7" t="str"/>
      <x:c r="K327" s="7" t="str">
        <x:f>IF(J327="","OPEN",IF(OR(H327="",I327=""),"FAIL","PASS"))</x:f>
        <x:v>OPEN</x:v>
      </x:c>
    </x:row>
    <x:row r="328">
      <x:c r="B328" s="7" t="str">
        <x:v>CPN-PEA-B-X3-CJ-2</x:v>
      </x:c>
      <x:c r="C328" s="7" t="str">
        <x:v>PEA-B-X3</x:v>
      </x:c>
      <x:c r="D328" s="7" t="str">
        <x:v>BLD-B</x:v>
      </x:c>
      <x:c r="E328" s="7" t="str">
        <x:v>BL-X</x:v>
      </x:c>
      <x:c r="F328" s="7" t="str">
        <x:v>CJ</x:v>
      </x:c>
      <x:c r="G328" s="7" t="str">
        <x:v>joint or weld</x:v>
      </x:c>
      <x:c r="H328" s="7" t="str"/>
      <x:c r="I328" s="7" t="str"/>
      <x:c r="J328" s="7" t="str"/>
      <x:c r="K328" s="7" t="str">
        <x:f>IF(J328="","OPEN",IF(OR(H328="",I328=""),"FAIL","PASS"))</x:f>
        <x:v>OPEN</x:v>
      </x:c>
    </x:row>
    <x:row r="329">
      <x:c r="B329" s="7" t="str">
        <x:v>CPN-PEA-B-X3-CJ-3</x:v>
      </x:c>
      <x:c r="C329" s="7" t="str">
        <x:v>PEA-B-X3</x:v>
      </x:c>
      <x:c r="D329" s="7" t="str">
        <x:v>BLD-B</x:v>
      </x:c>
      <x:c r="E329" s="7" t="str">
        <x:v>BL-X</x:v>
      </x:c>
      <x:c r="F329" s="7" t="str">
        <x:v>CJ</x:v>
      </x:c>
      <x:c r="G329" s="7" t="str">
        <x:v>joint or weld</x:v>
      </x:c>
      <x:c r="H329" s="7" t="str"/>
      <x:c r="I329" s="7" t="str"/>
      <x:c r="J329" s="7" t="str"/>
      <x:c r="K329" s="7" t="str">
        <x:f>IF(J329="","OPEN",IF(OR(H329="",I329=""),"FAIL","PASS"))</x:f>
        <x:v>OPEN</x:v>
      </x:c>
    </x:row>
    <x:row r="330">
      <x:c r="B330" s="7" t="str">
        <x:v>CPN-PEA-B-X3-CJ-4</x:v>
      </x:c>
      <x:c r="C330" s="7" t="str">
        <x:v>PEA-B-X3</x:v>
      </x:c>
      <x:c r="D330" s="7" t="str">
        <x:v>BLD-B</x:v>
      </x:c>
      <x:c r="E330" s="7" t="str">
        <x:v>BL-X</x:v>
      </x:c>
      <x:c r="F330" s="7" t="str">
        <x:v>CJ</x:v>
      </x:c>
      <x:c r="G330" s="7" t="str">
        <x:v>joint or weld</x:v>
      </x:c>
      <x:c r="H330" s="7" t="str"/>
      <x:c r="I330" s="7" t="str"/>
      <x:c r="J330" s="7" t="str"/>
      <x:c r="K330" s="7" t="str">
        <x:f>IF(J330="","OPEN",IF(OR(H330="",I330=""),"FAIL","PASS"))</x:f>
        <x:v>OPEN</x:v>
      </x:c>
    </x:row>
    <x:row r="331">
      <x:c r="B331" s="7" t="str">
        <x:v>CPN-PEA-B-X3-CJ-5</x:v>
      </x:c>
      <x:c r="C331" s="7" t="str">
        <x:v>PEA-B-X3</x:v>
      </x:c>
      <x:c r="D331" s="7" t="str">
        <x:v>BLD-B</x:v>
      </x:c>
      <x:c r="E331" s="7" t="str">
        <x:v>BL-X</x:v>
      </x:c>
      <x:c r="F331" s="7" t="str">
        <x:v>CJ</x:v>
      </x:c>
      <x:c r="G331" s="7" t="str">
        <x:v>joint or weld</x:v>
      </x:c>
      <x:c r="H331" s="7" t="str"/>
      <x:c r="I331" s="7" t="str"/>
      <x:c r="J331" s="7" t="str"/>
      <x:c r="K331" s="7" t="str">
        <x:f>IF(J331="","OPEN",IF(OR(H331="",I331=""),"FAIL","PASS"))</x:f>
        <x:v>OPEN</x:v>
      </x:c>
    </x:row>
    <x:row r="332">
      <x:c r="B332" s="7" t="str">
        <x:v>CPN-PEA-B-X3-CJ-6</x:v>
      </x:c>
      <x:c r="C332" s="7" t="str">
        <x:v>PEA-B-X3</x:v>
      </x:c>
      <x:c r="D332" s="7" t="str">
        <x:v>BLD-B</x:v>
      </x:c>
      <x:c r="E332" s="7" t="str">
        <x:v>BL-X</x:v>
      </x:c>
      <x:c r="F332" s="7" t="str">
        <x:v>CJ</x:v>
      </x:c>
      <x:c r="G332" s="7" t="str">
        <x:v>joint or weld</x:v>
      </x:c>
      <x:c r="H332" s="7" t="str"/>
      <x:c r="I332" s="7" t="str"/>
      <x:c r="J332" s="7" t="str"/>
      <x:c r="K332" s="7" t="str">
        <x:f>IF(J332="","OPEN",IF(OR(H332="",I332=""),"FAIL","PASS"))</x:f>
        <x:v>OPEN</x:v>
      </x:c>
    </x:row>
    <x:row r="333">
      <x:c r="B333" s="7" t="str">
        <x:v>CPN-PEA-B-X3-CJ-7</x:v>
      </x:c>
      <x:c r="C333" s="7" t="str">
        <x:v>PEA-B-X3</x:v>
      </x:c>
      <x:c r="D333" s="7" t="str">
        <x:v>BLD-B</x:v>
      </x:c>
      <x:c r="E333" s="7" t="str">
        <x:v>BL-X</x:v>
      </x:c>
      <x:c r="F333" s="7" t="str">
        <x:v>CJ</x:v>
      </x:c>
      <x:c r="G333" s="7" t="str">
        <x:v>joint or weld</x:v>
      </x:c>
      <x:c r="H333" s="7" t="str"/>
      <x:c r="I333" s="7" t="str"/>
      <x:c r="J333" s="7" t="str"/>
      <x:c r="K333" s="7" t="str">
        <x:f>IF(J333="","OPEN",IF(OR(H333="",I333=""),"FAIL","PASS"))</x:f>
        <x:v>OPEN</x:v>
      </x:c>
    </x:row>
    <x:row r="334">
      <x:c r="B334" s="7" t="str">
        <x:v>CPN-PEA-B-X3-CJ-8</x:v>
      </x:c>
      <x:c r="C334" s="7" t="str">
        <x:v>PEA-B-X3</x:v>
      </x:c>
      <x:c r="D334" s="7" t="str">
        <x:v>BLD-B</x:v>
      </x:c>
      <x:c r="E334" s="7" t="str">
        <x:v>BL-X</x:v>
      </x:c>
      <x:c r="F334" s="7" t="str">
        <x:v>CJ</x:v>
      </x:c>
      <x:c r="G334" s="7" t="str">
        <x:v>joint or weld</x:v>
      </x:c>
      <x:c r="H334" s="7" t="str"/>
      <x:c r="I334" s="7" t="str"/>
      <x:c r="J334" s="7" t="str"/>
      <x:c r="K334" s="7" t="str">
        <x:f>IF(J334="","OPEN",IF(OR(H334="",I334=""),"FAIL","PASS"))</x:f>
        <x:v>OPEN</x:v>
      </x:c>
    </x:row>
    <x:row r="335">
      <x:c r="B335" s="7" t="str">
        <x:v>CPN-PEA-B-X3-SE-1</x:v>
      </x:c>
      <x:c r="C335" s="7" t="str">
        <x:v>PEA-B-X3</x:v>
      </x:c>
      <x:c r="D335" s="7" t="str">
        <x:v>BLD-B</x:v>
      </x:c>
      <x:c r="E335" s="7" t="str">
        <x:v>BL-X</x:v>
      </x:c>
      <x:c r="F335" s="7" t="str">
        <x:v>SE</x:v>
      </x:c>
      <x:c r="G335" s="7" t="str">
        <x:v>seal and gasket</x:v>
      </x:c>
      <x:c r="H335" s="7" t="str"/>
      <x:c r="I335" s="7" t="str"/>
      <x:c r="J335" s="7" t="str"/>
      <x:c r="K335" s="7" t="str">
        <x:f>IF(J335="","OPEN",IF(OR(H335="",I335=""),"FAIL","PASS"))</x:f>
        <x:v>OPEN</x:v>
      </x:c>
    </x:row>
    <x:row r="336">
      <x:c r="B336" s="7" t="str">
        <x:v>CPN-PEA-B-X3-SE-2</x:v>
      </x:c>
      <x:c r="C336" s="7" t="str">
        <x:v>PEA-B-X3</x:v>
      </x:c>
      <x:c r="D336" s="7" t="str">
        <x:v>BLD-B</x:v>
      </x:c>
      <x:c r="E336" s="7" t="str">
        <x:v>BL-X</x:v>
      </x:c>
      <x:c r="F336" s="7" t="str">
        <x:v>SE</x:v>
      </x:c>
      <x:c r="G336" s="7" t="str">
        <x:v>seal and gasket</x:v>
      </x:c>
      <x:c r="H336" s="7" t="str"/>
      <x:c r="I336" s="7" t="str"/>
      <x:c r="J336" s="7" t="str"/>
      <x:c r="K336" s="7" t="str">
        <x:f>IF(J336="","OPEN",IF(OR(H336="",I336=""),"FAIL","PASS"))</x:f>
        <x:v>OPEN</x:v>
      </x:c>
    </x:row>
    <x:row r="337">
      <x:c r="B337" s="7" t="str">
        <x:v>CPN-PEA-B-X3-SE-3</x:v>
      </x:c>
      <x:c r="C337" s="7" t="str">
        <x:v>PEA-B-X3</x:v>
      </x:c>
      <x:c r="D337" s="7" t="str">
        <x:v>BLD-B</x:v>
      </x:c>
      <x:c r="E337" s="7" t="str">
        <x:v>BL-X</x:v>
      </x:c>
      <x:c r="F337" s="7" t="str">
        <x:v>SE</x:v>
      </x:c>
      <x:c r="G337" s="7" t="str">
        <x:v>seal and gasket</x:v>
      </x:c>
      <x:c r="H337" s="7" t="str"/>
      <x:c r="I337" s="7" t="str"/>
      <x:c r="J337" s="7" t="str"/>
      <x:c r="K337" s="7" t="str">
        <x:f>IF(J337="","OPEN",IF(OR(H337="",I337=""),"FAIL","PASS"))</x:f>
        <x:v>OPEN</x:v>
      </x:c>
    </x:row>
    <x:row r="338">
      <x:c r="B338" s="7" t="str">
        <x:v>CPN-PEA-B-X3-SE-4</x:v>
      </x:c>
      <x:c r="C338" s="7" t="str">
        <x:v>PEA-B-X3</x:v>
      </x:c>
      <x:c r="D338" s="7" t="str">
        <x:v>BLD-B</x:v>
      </x:c>
      <x:c r="E338" s="7" t="str">
        <x:v>BL-X</x:v>
      </x:c>
      <x:c r="F338" s="7" t="str">
        <x:v>SE</x:v>
      </x:c>
      <x:c r="G338" s="7" t="str">
        <x:v>seal and gasket</x:v>
      </x:c>
      <x:c r="H338" s="7" t="str"/>
      <x:c r="I338" s="7" t="str"/>
      <x:c r="J338" s="7" t="str"/>
      <x:c r="K338" s="7" t="str">
        <x:f>IF(J338="","OPEN",IF(OR(H338="",I338=""),"FAIL","PASS"))</x:f>
        <x:v>OPEN</x:v>
      </x:c>
    </x:row>
    <x:row r="339">
      <x:c r="B339" s="7" t="str">
        <x:v>CPN-PEA-B-X3-SE-5</x:v>
      </x:c>
      <x:c r="C339" s="7" t="str">
        <x:v>PEA-B-X3</x:v>
      </x:c>
      <x:c r="D339" s="7" t="str">
        <x:v>BLD-B</x:v>
      </x:c>
      <x:c r="E339" s="7" t="str">
        <x:v>BL-X</x:v>
      </x:c>
      <x:c r="F339" s="7" t="str">
        <x:v>SE</x:v>
      </x:c>
      <x:c r="G339" s="7" t="str">
        <x:v>seal and gasket</x:v>
      </x:c>
      <x:c r="H339" s="7" t="str"/>
      <x:c r="I339" s="7" t="str"/>
      <x:c r="J339" s="7" t="str"/>
      <x:c r="K339" s="7" t="str">
        <x:f>IF(J339="","OPEN",IF(OR(H339="",I339=""),"FAIL","PASS"))</x:f>
        <x:v>OPEN</x:v>
      </x:c>
    </x:row>
    <x:row r="340">
      <x:c r="B340" s="7" t="str">
        <x:v>CPN-PEA-B-X3-SE-6</x:v>
      </x:c>
      <x:c r="C340" s="7" t="str">
        <x:v>PEA-B-X3</x:v>
      </x:c>
      <x:c r="D340" s="7" t="str">
        <x:v>BLD-B</x:v>
      </x:c>
      <x:c r="E340" s="7" t="str">
        <x:v>BL-X</x:v>
      </x:c>
      <x:c r="F340" s="7" t="str">
        <x:v>SE</x:v>
      </x:c>
      <x:c r="G340" s="7" t="str">
        <x:v>seal and gasket</x:v>
      </x:c>
      <x:c r="H340" s="7" t="str"/>
      <x:c r="I340" s="7" t="str"/>
      <x:c r="J340" s="7" t="str"/>
      <x:c r="K340" s="7" t="str">
        <x:f>IF(J340="","OPEN",IF(OR(H340="",I340=""),"FAIL","PASS"))</x:f>
        <x:v>OPEN</x:v>
      </x:c>
    </x:row>
    <x:row r="341">
      <x:c r="B341" s="7" t="str">
        <x:v>CPN-PEA-B-X3-SE-7</x:v>
      </x:c>
      <x:c r="C341" s="7" t="str">
        <x:v>PEA-B-X3</x:v>
      </x:c>
      <x:c r="D341" s="7" t="str">
        <x:v>BLD-B</x:v>
      </x:c>
      <x:c r="E341" s="7" t="str">
        <x:v>BL-X</x:v>
      </x:c>
      <x:c r="F341" s="7" t="str">
        <x:v>SE</x:v>
      </x:c>
      <x:c r="G341" s="7" t="str">
        <x:v>seal and gasket</x:v>
      </x:c>
      <x:c r="H341" s="7" t="str"/>
      <x:c r="I341" s="7" t="str"/>
      <x:c r="J341" s="7" t="str"/>
      <x:c r="K341" s="7" t="str">
        <x:f>IF(J341="","OPEN",IF(OR(H341="",I341=""),"FAIL","PASS"))</x:f>
        <x:v>OPEN</x:v>
      </x:c>
    </x:row>
    <x:row r="342">
      <x:c r="B342" s="7" t="str">
        <x:v>CPN-PEA-B-X3-SE-8</x:v>
      </x:c>
      <x:c r="C342" s="7" t="str">
        <x:v>PEA-B-X3</x:v>
      </x:c>
      <x:c r="D342" s="7" t="str">
        <x:v>BLD-B</x:v>
      </x:c>
      <x:c r="E342" s="7" t="str">
        <x:v>BL-X</x:v>
      </x:c>
      <x:c r="F342" s="7" t="str">
        <x:v>SE</x:v>
      </x:c>
      <x:c r="G342" s="7" t="str">
        <x:v>seal and gasket</x:v>
      </x:c>
      <x:c r="H342" s="7" t="str"/>
      <x:c r="I342" s="7" t="str"/>
      <x:c r="J342" s="7" t="str"/>
      <x:c r="K342" s="7" t="str">
        <x:f>IF(J342="","OPEN",IF(OR(H342="",I342=""),"FAIL","PASS"))</x:f>
        <x:v>OPEN</x:v>
      </x:c>
    </x:row>
    <x:row r="343">
      <x:c r="B343" s="7" t="str">
        <x:v>CPN-PEA-B-X3-SF-1</x:v>
      </x:c>
      <x:c r="C343" s="7" t="str">
        <x:v>PEA-B-X3</x:v>
      </x:c>
      <x:c r="D343" s="7" t="str">
        <x:v>BLD-B</x:v>
      </x:c>
      <x:c r="E343" s="7" t="str">
        <x:v>BL-X</x:v>
      </x:c>
      <x:c r="F343" s="7" t="str">
        <x:v>SF</x:v>
      </x:c>
      <x:c r="G343" s="7" t="str">
        <x:v>wetted surface</x:v>
      </x:c>
      <x:c r="H343" s="7" t="str"/>
      <x:c r="I343" s="7" t="str"/>
      <x:c r="J343" s="7" t="str"/>
      <x:c r="K343" s="7" t="str">
        <x:f>IF(J343="","OPEN",IF(OR(H343="",I343=""),"FAIL","PASS"))</x:f>
        <x:v>OPEN</x:v>
      </x:c>
    </x:row>
    <x:row r="344">
      <x:c r="B344" s="7" t="str">
        <x:v>CPN-PEA-B-X3-SF-2</x:v>
      </x:c>
      <x:c r="C344" s="7" t="str">
        <x:v>PEA-B-X3</x:v>
      </x:c>
      <x:c r="D344" s="7" t="str">
        <x:v>BLD-B</x:v>
      </x:c>
      <x:c r="E344" s="7" t="str">
        <x:v>BL-X</x:v>
      </x:c>
      <x:c r="F344" s="7" t="str">
        <x:v>SF</x:v>
      </x:c>
      <x:c r="G344" s="7" t="str">
        <x:v>wetted surface</x:v>
      </x:c>
      <x:c r="H344" s="7" t="str"/>
      <x:c r="I344" s="7" t="str"/>
      <x:c r="J344" s="7" t="str"/>
      <x:c r="K344" s="7" t="str">
        <x:f>IF(J344="","OPEN",IF(OR(H344="",I344=""),"FAIL","PASS"))</x:f>
        <x:v>OPEN</x:v>
      </x:c>
    </x:row>
    <x:row r="345">
      <x:c r="B345" s="7" t="str">
        <x:v>CPN-PEA-B-X3-SF-3</x:v>
      </x:c>
      <x:c r="C345" s="7" t="str">
        <x:v>PEA-B-X3</x:v>
      </x:c>
      <x:c r="D345" s="7" t="str">
        <x:v>BLD-B</x:v>
      </x:c>
      <x:c r="E345" s="7" t="str">
        <x:v>BL-X</x:v>
      </x:c>
      <x:c r="F345" s="7" t="str">
        <x:v>SF</x:v>
      </x:c>
      <x:c r="G345" s="7" t="str">
        <x:v>wetted surface</x:v>
      </x:c>
      <x:c r="H345" s="7" t="str"/>
      <x:c r="I345" s="7" t="str"/>
      <x:c r="J345" s="7" t="str"/>
      <x:c r="K345" s="7" t="str">
        <x:f>IF(J345="","OPEN",IF(OR(H345="",I345=""),"FAIL","PASS"))</x:f>
        <x:v>OPEN</x:v>
      </x:c>
    </x:row>
    <x:row r="346">
      <x:c r="B346" s="7" t="str">
        <x:v>CPN-PEA-B-X3-SF-4</x:v>
      </x:c>
      <x:c r="C346" s="7" t="str">
        <x:v>PEA-B-X3</x:v>
      </x:c>
      <x:c r="D346" s="7" t="str">
        <x:v>BLD-B</x:v>
      </x:c>
      <x:c r="E346" s="7" t="str">
        <x:v>BL-X</x:v>
      </x:c>
      <x:c r="F346" s="7" t="str">
        <x:v>SF</x:v>
      </x:c>
      <x:c r="G346" s="7" t="str">
        <x:v>wetted surface</x:v>
      </x:c>
      <x:c r="H346" s="7" t="str"/>
      <x:c r="I346" s="7" t="str"/>
      <x:c r="J346" s="7" t="str"/>
      <x:c r="K346" s="7" t="str">
        <x:f>IF(J346="","OPEN",IF(OR(H346="",I346=""),"FAIL","PASS"))</x:f>
        <x:v>OPEN</x:v>
      </x:c>
    </x:row>
    <x:row r="347">
      <x:c r="B347" s="7" t="str">
        <x:v>CPN-PEA-B-X3-SF-5</x:v>
      </x:c>
      <x:c r="C347" s="7" t="str">
        <x:v>PEA-B-X3</x:v>
      </x:c>
      <x:c r="D347" s="7" t="str">
        <x:v>BLD-B</x:v>
      </x:c>
      <x:c r="E347" s="7" t="str">
        <x:v>BL-X</x:v>
      </x:c>
      <x:c r="F347" s="7" t="str">
        <x:v>SF</x:v>
      </x:c>
      <x:c r="G347" s="7" t="str">
        <x:v>wetted surface</x:v>
      </x:c>
      <x:c r="H347" s="7" t="str"/>
      <x:c r="I347" s="7" t="str"/>
      <x:c r="J347" s="7" t="str"/>
      <x:c r="K347" s="7" t="str">
        <x:f>IF(J347="","OPEN",IF(OR(H347="",I347=""),"FAIL","PASS"))</x:f>
        <x:v>OPEN</x:v>
      </x:c>
    </x:row>
    <x:row r="348">
      <x:c r="B348" s="7" t="str">
        <x:v>CPN-PEA-B-X3-SF-6</x:v>
      </x:c>
      <x:c r="C348" s="7" t="str">
        <x:v>PEA-B-X3</x:v>
      </x:c>
      <x:c r="D348" s="7" t="str">
        <x:v>BLD-B</x:v>
      </x:c>
      <x:c r="E348" s="7" t="str">
        <x:v>BL-X</x:v>
      </x:c>
      <x:c r="F348" s="7" t="str">
        <x:v>SF</x:v>
      </x:c>
      <x:c r="G348" s="7" t="str">
        <x:v>wetted surface</x:v>
      </x:c>
      <x:c r="H348" s="7" t="str"/>
      <x:c r="I348" s="7" t="str"/>
      <x:c r="J348" s="7" t="str"/>
      <x:c r="K348" s="7" t="str">
        <x:f>IF(J348="","OPEN",IF(OR(H348="",I348=""),"FAIL","PASS"))</x:f>
        <x:v>OPEN</x:v>
      </x:c>
    </x:row>
    <x:row r="349">
      <x:c r="B349" s="7" t="str">
        <x:v>CPN-PEA-B-X3-SF-7</x:v>
      </x:c>
      <x:c r="C349" s="7" t="str">
        <x:v>PEA-B-X3</x:v>
      </x:c>
      <x:c r="D349" s="7" t="str">
        <x:v>BLD-B</x:v>
      </x:c>
      <x:c r="E349" s="7" t="str">
        <x:v>BL-X</x:v>
      </x:c>
      <x:c r="F349" s="7" t="str">
        <x:v>SF</x:v>
      </x:c>
      <x:c r="G349" s="7" t="str">
        <x:v>wetted surface</x:v>
      </x:c>
      <x:c r="H349" s="7" t="str"/>
      <x:c r="I349" s="7" t="str"/>
      <x:c r="J349" s="7" t="str"/>
      <x:c r="K349" s="7" t="str">
        <x:f>IF(J349="","OPEN",IF(OR(H349="",I349=""),"FAIL","PASS"))</x:f>
        <x:v>OPEN</x:v>
      </x:c>
    </x:row>
    <x:row r="350">
      <x:c r="B350" s="7" t="str">
        <x:v>CPN-PEA-B-X3-SF-8</x:v>
      </x:c>
      <x:c r="C350" s="7" t="str">
        <x:v>PEA-B-X3</x:v>
      </x:c>
      <x:c r="D350" s="7" t="str">
        <x:v>BLD-B</x:v>
      </x:c>
      <x:c r="E350" s="7" t="str">
        <x:v>BL-X</x:v>
      </x:c>
      <x:c r="F350" s="7" t="str">
        <x:v>SF</x:v>
      </x:c>
      <x:c r="G350" s="7" t="str">
        <x:v>wetted surface</x:v>
      </x:c>
      <x:c r="H350" s="7" t="str"/>
      <x:c r="I350" s="7" t="str"/>
      <x:c r="J350" s="7" t="str"/>
      <x:c r="K350" s="7" t="str">
        <x:f>IF(J350="","OPEN",IF(OR(H350="",I350=""),"FAIL","PASS"))</x:f>
        <x:v>OPEN</x:v>
      </x:c>
    </x:row>
    <x:row r="351">
      <x:c r="B351" s="7" t="str">
        <x:v>CPN-PEA-B-X3-CP-1</x:v>
      </x:c>
      <x:c r="C351" s="7" t="str">
        <x:v>PEA-B-X3</x:v>
      </x:c>
      <x:c r="D351" s="7" t="str">
        <x:v>BLD-B</x:v>
      </x:c>
      <x:c r="E351" s="7" t="str">
        <x:v>BL-X</x:v>
      </x:c>
      <x:c r="F351" s="7" t="str">
        <x:v>CP</x:v>
      </x:c>
      <x:c r="G351" s="7" t="str">
        <x:v>penetration</x:v>
      </x:c>
      <x:c r="H351" s="7" t="str"/>
      <x:c r="I351" s="7" t="str"/>
      <x:c r="J351" s="7" t="str"/>
      <x:c r="K351" s="7" t="str">
        <x:f>IF(J351="","OPEN",IF(OR(H351="",I351=""),"FAIL","PASS"))</x:f>
        <x:v>OPEN</x:v>
      </x:c>
    </x:row>
    <x:row r="352">
      <x:c r="B352" s="7" t="str">
        <x:v>CPN-PEA-B-X3-CP-2</x:v>
      </x:c>
      <x:c r="C352" s="7" t="str">
        <x:v>PEA-B-X3</x:v>
      </x:c>
      <x:c r="D352" s="7" t="str">
        <x:v>BLD-B</x:v>
      </x:c>
      <x:c r="E352" s="7" t="str">
        <x:v>BL-X</x:v>
      </x:c>
      <x:c r="F352" s="7" t="str">
        <x:v>CP</x:v>
      </x:c>
      <x:c r="G352" s="7" t="str">
        <x:v>penetration</x:v>
      </x:c>
      <x:c r="H352" s="7" t="str"/>
      <x:c r="I352" s="7" t="str"/>
      <x:c r="J352" s="7" t="str"/>
      <x:c r="K352" s="7" t="str">
        <x:f>IF(J352="","OPEN",IF(OR(H352="",I352=""),"FAIL","PASS"))</x:f>
        <x:v>OPEN</x:v>
      </x:c>
    </x:row>
    <x:row r="353">
      <x:c r="B353" s="7" t="str">
        <x:v>CPN-PEA-B-X3-CP-3</x:v>
      </x:c>
      <x:c r="C353" s="7" t="str">
        <x:v>PEA-B-X3</x:v>
      </x:c>
      <x:c r="D353" s="7" t="str">
        <x:v>BLD-B</x:v>
      </x:c>
      <x:c r="E353" s="7" t="str">
        <x:v>BL-X</x:v>
      </x:c>
      <x:c r="F353" s="7" t="str">
        <x:v>CP</x:v>
      </x:c>
      <x:c r="G353" s="7" t="str">
        <x:v>penetration</x:v>
      </x:c>
      <x:c r="H353" s="7" t="str"/>
      <x:c r="I353" s="7" t="str"/>
      <x:c r="J353" s="7" t="str"/>
      <x:c r="K353" s="7" t="str">
        <x:f>IF(J353="","OPEN",IF(OR(H353="",I353=""),"FAIL","PASS"))</x:f>
        <x:v>OPEN</x:v>
      </x:c>
    </x:row>
    <x:row r="354">
      <x:c r="B354" s="7" t="str">
        <x:v>CPN-PEA-B-X3-CP-4</x:v>
      </x:c>
      <x:c r="C354" s="7" t="str">
        <x:v>PEA-B-X3</x:v>
      </x:c>
      <x:c r="D354" s="7" t="str">
        <x:v>BLD-B</x:v>
      </x:c>
      <x:c r="E354" s="7" t="str">
        <x:v>BL-X</x:v>
      </x:c>
      <x:c r="F354" s="7" t="str">
        <x:v>CP</x:v>
      </x:c>
      <x:c r="G354" s="7" t="str">
        <x:v>penetration</x:v>
      </x:c>
      <x:c r="H354" s="7" t="str"/>
      <x:c r="I354" s="7" t="str"/>
      <x:c r="J354" s="7" t="str"/>
      <x:c r="K354" s="7" t="str">
        <x:f>IF(J354="","OPEN",IF(OR(H354="",I354=""),"FAIL","PASS"))</x:f>
        <x:v>OPEN</x:v>
      </x:c>
    </x:row>
    <x:row r="355">
      <x:c r="B355" s="7" t="str">
        <x:v>CPN-PEA-B-X3-CP-5</x:v>
      </x:c>
      <x:c r="C355" s="7" t="str">
        <x:v>PEA-B-X3</x:v>
      </x:c>
      <x:c r="D355" s="7" t="str">
        <x:v>BLD-B</x:v>
      </x:c>
      <x:c r="E355" s="7" t="str">
        <x:v>BL-X</x:v>
      </x:c>
      <x:c r="F355" s="7" t="str">
        <x:v>CP</x:v>
      </x:c>
      <x:c r="G355" s="7" t="str">
        <x:v>penetration</x:v>
      </x:c>
      <x:c r="H355" s="7" t="str"/>
      <x:c r="I355" s="7" t="str"/>
      <x:c r="J355" s="7" t="str"/>
      <x:c r="K355" s="7" t="str">
        <x:f>IF(J355="","OPEN",IF(OR(H355="",I355=""),"FAIL","PASS"))</x:f>
        <x:v>OPEN</x:v>
      </x:c>
    </x:row>
    <x:row r="356">
      <x:c r="B356" s="7" t="str">
        <x:v>CPN-PEA-B-X3-CP-6</x:v>
      </x:c>
      <x:c r="C356" s="7" t="str">
        <x:v>PEA-B-X3</x:v>
      </x:c>
      <x:c r="D356" s="7" t="str">
        <x:v>BLD-B</x:v>
      </x:c>
      <x:c r="E356" s="7" t="str">
        <x:v>BL-X</x:v>
      </x:c>
      <x:c r="F356" s="7" t="str">
        <x:v>CP</x:v>
      </x:c>
      <x:c r="G356" s="7" t="str">
        <x:v>penetration</x:v>
      </x:c>
      <x:c r="H356" s="7" t="str"/>
      <x:c r="I356" s="7" t="str"/>
      <x:c r="J356" s="7" t="str"/>
      <x:c r="K356" s="7" t="str">
        <x:f>IF(J356="","OPEN",IF(OR(H356="",I356=""),"FAIL","PASS"))</x:f>
        <x:v>OPEN</x:v>
      </x:c>
    </x:row>
    <x:row r="357">
      <x:c r="B357" s="7" t="str">
        <x:v>CPN-PEA-B-X3-CP-7</x:v>
      </x:c>
      <x:c r="C357" s="7" t="str">
        <x:v>PEA-B-X3</x:v>
      </x:c>
      <x:c r="D357" s="7" t="str">
        <x:v>BLD-B</x:v>
      </x:c>
      <x:c r="E357" s="7" t="str">
        <x:v>BL-X</x:v>
      </x:c>
      <x:c r="F357" s="7" t="str">
        <x:v>CP</x:v>
      </x:c>
      <x:c r="G357" s="7" t="str">
        <x:v>penetration</x:v>
      </x:c>
      <x:c r="H357" s="7" t="str"/>
      <x:c r="I357" s="7" t="str"/>
      <x:c r="J357" s="7" t="str"/>
      <x:c r="K357" s="7" t="str">
        <x:f>IF(J357="","OPEN",IF(OR(H357="",I357=""),"FAIL","PASS"))</x:f>
        <x:v>OPEN</x:v>
      </x:c>
    </x:row>
    <x:row r="358">
      <x:c r="B358" s="7" t="str">
        <x:v>CPN-PEA-B-X3-CP-8</x:v>
      </x:c>
      <x:c r="C358" s="7" t="str">
        <x:v>PEA-B-X3</x:v>
      </x:c>
      <x:c r="D358" s="7" t="str">
        <x:v>BLD-B</x:v>
      </x:c>
      <x:c r="E358" s="7" t="str">
        <x:v>BL-X</x:v>
      </x:c>
      <x:c r="F358" s="7" t="str">
        <x:v>CP</x:v>
      </x:c>
      <x:c r="G358" s="7" t="str">
        <x:v>penetration</x:v>
      </x:c>
      <x:c r="H358" s="7" t="str"/>
      <x:c r="I358" s="7" t="str"/>
      <x:c r="J358" s="7" t="str"/>
      <x:c r="K358" s="7" t="str">
        <x:f>IF(J358="","OPEN",IF(OR(H358="",I358=""),"FAIL","PASS"))</x:f>
        <x:v>OPEN</x:v>
      </x:c>
    </x:row>
    <x:row r="359">
      <x:c r="B359" s="7" t="str">
        <x:v>CPN-PEA-B-X3-SM-1</x:v>
      </x:c>
      <x:c r="C359" s="7" t="str">
        <x:v>PEA-B-X3</x:v>
      </x:c>
      <x:c r="D359" s="7" t="str">
        <x:v>BLD-B</x:v>
      </x:c>
      <x:c r="E359" s="7" t="str">
        <x:v>BL-X</x:v>
      </x:c>
      <x:c r="F359" s="7" t="str">
        <x:v>SM</x:v>
      </x:c>
      <x:c r="G359" s="7" t="str">
        <x:v>sensor mount and datum</x:v>
      </x:c>
      <x:c r="H359" s="7" t="str"/>
      <x:c r="I359" s="7" t="str"/>
      <x:c r="J359" s="7" t="str"/>
      <x:c r="K359" s="7" t="str">
        <x:f>IF(J359="","OPEN",IF(OR(H359="",I359=""),"FAIL","PASS"))</x:f>
        <x:v>OPEN</x:v>
      </x:c>
    </x:row>
    <x:row r="360">
      <x:c r="B360" s="7" t="str">
        <x:v>CPN-PEA-B-X3-SM-2</x:v>
      </x:c>
      <x:c r="C360" s="7" t="str">
        <x:v>PEA-B-X3</x:v>
      </x:c>
      <x:c r="D360" s="7" t="str">
        <x:v>BLD-B</x:v>
      </x:c>
      <x:c r="E360" s="7" t="str">
        <x:v>BL-X</x:v>
      </x:c>
      <x:c r="F360" s="7" t="str">
        <x:v>SM</x:v>
      </x:c>
      <x:c r="G360" s="7" t="str">
        <x:v>sensor mount and datum</x:v>
      </x:c>
      <x:c r="H360" s="7" t="str"/>
      <x:c r="I360" s="7" t="str"/>
      <x:c r="J360" s="7" t="str"/>
      <x:c r="K360" s="7" t="str">
        <x:f>IF(J360="","OPEN",IF(OR(H360="",I360=""),"FAIL","PASS"))</x:f>
        <x:v>OPEN</x:v>
      </x:c>
    </x:row>
    <x:row r="361">
      <x:c r="B361" s="7" t="str">
        <x:v>CPN-PEA-B-X3-SM-3</x:v>
      </x:c>
      <x:c r="C361" s="7" t="str">
        <x:v>PEA-B-X3</x:v>
      </x:c>
      <x:c r="D361" s="7" t="str">
        <x:v>BLD-B</x:v>
      </x:c>
      <x:c r="E361" s="7" t="str">
        <x:v>BL-X</x:v>
      </x:c>
      <x:c r="F361" s="7" t="str">
        <x:v>SM</x:v>
      </x:c>
      <x:c r="G361" s="7" t="str">
        <x:v>sensor mount and datum</x:v>
      </x:c>
      <x:c r="H361" s="7" t="str"/>
      <x:c r="I361" s="7" t="str"/>
      <x:c r="J361" s="7" t="str"/>
      <x:c r="K361" s="7" t="str">
        <x:f>IF(J361="","OPEN",IF(OR(H361="",I361=""),"FAIL","PASS"))</x:f>
        <x:v>OPEN</x:v>
      </x:c>
    </x:row>
    <x:row r="362">
      <x:c r="B362" s="7" t="str">
        <x:v>CPN-PEA-B-X3-SM-4</x:v>
      </x:c>
      <x:c r="C362" s="7" t="str">
        <x:v>PEA-B-X3</x:v>
      </x:c>
      <x:c r="D362" s="7" t="str">
        <x:v>BLD-B</x:v>
      </x:c>
      <x:c r="E362" s="7" t="str">
        <x:v>BL-X</x:v>
      </x:c>
      <x:c r="F362" s="7" t="str">
        <x:v>SM</x:v>
      </x:c>
      <x:c r="G362" s="7" t="str">
        <x:v>sensor mount and datum</x:v>
      </x:c>
      <x:c r="H362" s="7" t="str"/>
      <x:c r="I362" s="7" t="str"/>
      <x:c r="J362" s="7" t="str"/>
      <x:c r="K362" s="7" t="str">
        <x:f>IF(J362="","OPEN",IF(OR(H362="",I362=""),"FAIL","PASS"))</x:f>
        <x:v>OPEN</x:v>
      </x:c>
    </x:row>
    <x:row r="363">
      <x:c r="B363" s="7" t="str">
        <x:v>CPN-PEA-B-X3-SM-5</x:v>
      </x:c>
      <x:c r="C363" s="7" t="str">
        <x:v>PEA-B-X3</x:v>
      </x:c>
      <x:c r="D363" s="7" t="str">
        <x:v>BLD-B</x:v>
      </x:c>
      <x:c r="E363" s="7" t="str">
        <x:v>BL-X</x:v>
      </x:c>
      <x:c r="F363" s="7" t="str">
        <x:v>SM</x:v>
      </x:c>
      <x:c r="G363" s="7" t="str">
        <x:v>sensor mount and datum</x:v>
      </x:c>
      <x:c r="H363" s="7" t="str"/>
      <x:c r="I363" s="7" t="str"/>
      <x:c r="J363" s="7" t="str"/>
      <x:c r="K363" s="7" t="str">
        <x:f>IF(J363="","OPEN",IF(OR(H363="",I363=""),"FAIL","PASS"))</x:f>
        <x:v>OPEN</x:v>
      </x:c>
    </x:row>
    <x:row r="364">
      <x:c r="B364" s="7" t="str">
        <x:v>CPN-PEA-B-X3-SM-6</x:v>
      </x:c>
      <x:c r="C364" s="7" t="str">
        <x:v>PEA-B-X3</x:v>
      </x:c>
      <x:c r="D364" s="7" t="str">
        <x:v>BLD-B</x:v>
      </x:c>
      <x:c r="E364" s="7" t="str">
        <x:v>BL-X</x:v>
      </x:c>
      <x:c r="F364" s="7" t="str">
        <x:v>SM</x:v>
      </x:c>
      <x:c r="G364" s="7" t="str">
        <x:v>sensor mount and datum</x:v>
      </x:c>
      <x:c r="H364" s="7" t="str"/>
      <x:c r="I364" s="7" t="str"/>
      <x:c r="J364" s="7" t="str"/>
      <x:c r="K364" s="7" t="str">
        <x:f>IF(J364="","OPEN",IF(OR(H364="",I364=""),"FAIL","PASS"))</x:f>
        <x:v>OPEN</x:v>
      </x:c>
    </x:row>
    <x:row r="365">
      <x:c r="B365" s="7" t="str">
        <x:v>CPN-PEA-B-X3-SM-7</x:v>
      </x:c>
      <x:c r="C365" s="7" t="str">
        <x:v>PEA-B-X3</x:v>
      </x:c>
      <x:c r="D365" s="7" t="str">
        <x:v>BLD-B</x:v>
      </x:c>
      <x:c r="E365" s="7" t="str">
        <x:v>BL-X</x:v>
      </x:c>
      <x:c r="F365" s="7" t="str">
        <x:v>SM</x:v>
      </x:c>
      <x:c r="G365" s="7" t="str">
        <x:v>sensor mount and datum</x:v>
      </x:c>
      <x:c r="H365" s="7" t="str"/>
      <x:c r="I365" s="7" t="str"/>
      <x:c r="J365" s="7" t="str"/>
      <x:c r="K365" s="7" t="str">
        <x:f>IF(J365="","OPEN",IF(OR(H365="",I365=""),"FAIL","PASS"))</x:f>
        <x:v>OPEN</x:v>
      </x:c>
    </x:row>
    <x:row r="366">
      <x:c r="B366" s="7" t="str">
        <x:v>CPN-PEA-B-X3-SM-8</x:v>
      </x:c>
      <x:c r="C366" s="7" t="str">
        <x:v>PEA-B-X3</x:v>
      </x:c>
      <x:c r="D366" s="7" t="str">
        <x:v>BLD-B</x:v>
      </x:c>
      <x:c r="E366" s="7" t="str">
        <x:v>BL-X</x:v>
      </x:c>
      <x:c r="F366" s="7" t="str">
        <x:v>SM</x:v>
      </x:c>
      <x:c r="G366" s="7" t="str">
        <x:v>sensor mount and datum</x:v>
      </x:c>
      <x:c r="H366" s="7" t="str"/>
      <x:c r="I366" s="7" t="str"/>
      <x:c r="J366" s="7" t="str"/>
      <x:c r="K366" s="7" t="str">
        <x:f>IF(J366="","OPEN",IF(OR(H366="",I366=""),"FAIL","PASS"))</x:f>
        <x:v>OPEN</x:v>
      </x:c>
    </x:row>
    <x:row r="367">
      <x:c r="B367" s="7" t="str">
        <x:v>CPN-PEA-B-Y1-CJ-1</x:v>
      </x:c>
      <x:c r="C367" s="7" t="str">
        <x:v>PEA-B-Y1</x:v>
      </x:c>
      <x:c r="D367" s="7" t="str">
        <x:v>BLD-B</x:v>
      </x:c>
      <x:c r="E367" s="7" t="str">
        <x:v>BL-Y</x:v>
      </x:c>
      <x:c r="F367" s="7" t="str">
        <x:v>CJ</x:v>
      </x:c>
      <x:c r="G367" s="7" t="str">
        <x:v>joint or weld</x:v>
      </x:c>
      <x:c r="H367" s="7" t="str"/>
      <x:c r="I367" s="7" t="str"/>
      <x:c r="J367" s="7" t="str"/>
      <x:c r="K367" s="7" t="str">
        <x:f>IF(J367="","OPEN",IF(OR(H367="",I367=""),"FAIL","PASS"))</x:f>
        <x:v>OPEN</x:v>
      </x:c>
    </x:row>
    <x:row r="368">
      <x:c r="B368" s="7" t="str">
        <x:v>CPN-PEA-B-Y1-CJ-2</x:v>
      </x:c>
      <x:c r="C368" s="7" t="str">
        <x:v>PEA-B-Y1</x:v>
      </x:c>
      <x:c r="D368" s="7" t="str">
        <x:v>BLD-B</x:v>
      </x:c>
      <x:c r="E368" s="7" t="str">
        <x:v>BL-Y</x:v>
      </x:c>
      <x:c r="F368" s="7" t="str">
        <x:v>CJ</x:v>
      </x:c>
      <x:c r="G368" s="7" t="str">
        <x:v>joint or weld</x:v>
      </x:c>
      <x:c r="H368" s="7" t="str"/>
      <x:c r="I368" s="7" t="str"/>
      <x:c r="J368" s="7" t="str"/>
      <x:c r="K368" s="7" t="str">
        <x:f>IF(J368="","OPEN",IF(OR(H368="",I368=""),"FAIL","PASS"))</x:f>
        <x:v>OPEN</x:v>
      </x:c>
    </x:row>
    <x:row r="369">
      <x:c r="B369" s="7" t="str">
        <x:v>CPN-PEA-B-Y1-CJ-3</x:v>
      </x:c>
      <x:c r="C369" s="7" t="str">
        <x:v>PEA-B-Y1</x:v>
      </x:c>
      <x:c r="D369" s="7" t="str">
        <x:v>BLD-B</x:v>
      </x:c>
      <x:c r="E369" s="7" t="str">
        <x:v>BL-Y</x:v>
      </x:c>
      <x:c r="F369" s="7" t="str">
        <x:v>CJ</x:v>
      </x:c>
      <x:c r="G369" s="7" t="str">
        <x:v>joint or weld</x:v>
      </x:c>
      <x:c r="H369" s="7" t="str"/>
      <x:c r="I369" s="7" t="str"/>
      <x:c r="J369" s="7" t="str"/>
      <x:c r="K369" s="7" t="str">
        <x:f>IF(J369="","OPEN",IF(OR(H369="",I369=""),"FAIL","PASS"))</x:f>
        <x:v>OPEN</x:v>
      </x:c>
    </x:row>
    <x:row r="370">
      <x:c r="B370" s="7" t="str">
        <x:v>CPN-PEA-B-Y1-CJ-4</x:v>
      </x:c>
      <x:c r="C370" s="7" t="str">
        <x:v>PEA-B-Y1</x:v>
      </x:c>
      <x:c r="D370" s="7" t="str">
        <x:v>BLD-B</x:v>
      </x:c>
      <x:c r="E370" s="7" t="str">
        <x:v>BL-Y</x:v>
      </x:c>
      <x:c r="F370" s="7" t="str">
        <x:v>CJ</x:v>
      </x:c>
      <x:c r="G370" s="7" t="str">
        <x:v>joint or weld</x:v>
      </x:c>
      <x:c r="H370" s="7" t="str"/>
      <x:c r="I370" s="7" t="str"/>
      <x:c r="J370" s="7" t="str"/>
      <x:c r="K370" s="7" t="str">
        <x:f>IF(J370="","OPEN",IF(OR(H370="",I370=""),"FAIL","PASS"))</x:f>
        <x:v>OPEN</x:v>
      </x:c>
    </x:row>
    <x:row r="371">
      <x:c r="B371" s="7" t="str">
        <x:v>CPN-PEA-B-Y1-CJ-5</x:v>
      </x:c>
      <x:c r="C371" s="7" t="str">
        <x:v>PEA-B-Y1</x:v>
      </x:c>
      <x:c r="D371" s="7" t="str">
        <x:v>BLD-B</x:v>
      </x:c>
      <x:c r="E371" s="7" t="str">
        <x:v>BL-Y</x:v>
      </x:c>
      <x:c r="F371" s="7" t="str">
        <x:v>CJ</x:v>
      </x:c>
      <x:c r="G371" s="7" t="str">
        <x:v>joint or weld</x:v>
      </x:c>
      <x:c r="H371" s="7" t="str"/>
      <x:c r="I371" s="7" t="str"/>
      <x:c r="J371" s="7" t="str"/>
      <x:c r="K371" s="7" t="str">
        <x:f>IF(J371="","OPEN",IF(OR(H371="",I371=""),"FAIL","PASS"))</x:f>
        <x:v>OPEN</x:v>
      </x:c>
    </x:row>
    <x:row r="372">
      <x:c r="B372" s="7" t="str">
        <x:v>CPN-PEA-B-Y1-CJ-6</x:v>
      </x:c>
      <x:c r="C372" s="7" t="str">
        <x:v>PEA-B-Y1</x:v>
      </x:c>
      <x:c r="D372" s="7" t="str">
        <x:v>BLD-B</x:v>
      </x:c>
      <x:c r="E372" s="7" t="str">
        <x:v>BL-Y</x:v>
      </x:c>
      <x:c r="F372" s="7" t="str">
        <x:v>CJ</x:v>
      </x:c>
      <x:c r="G372" s="7" t="str">
        <x:v>joint or weld</x:v>
      </x:c>
      <x:c r="H372" s="7" t="str"/>
      <x:c r="I372" s="7" t="str"/>
      <x:c r="J372" s="7" t="str"/>
      <x:c r="K372" s="7" t="str">
        <x:f>IF(J372="","OPEN",IF(OR(H372="",I372=""),"FAIL","PASS"))</x:f>
        <x:v>OPEN</x:v>
      </x:c>
    </x:row>
    <x:row r="373">
      <x:c r="B373" s="7" t="str">
        <x:v>CPN-PEA-B-Y1-CJ-7</x:v>
      </x:c>
      <x:c r="C373" s="7" t="str">
        <x:v>PEA-B-Y1</x:v>
      </x:c>
      <x:c r="D373" s="7" t="str">
        <x:v>BLD-B</x:v>
      </x:c>
      <x:c r="E373" s="7" t="str">
        <x:v>BL-Y</x:v>
      </x:c>
      <x:c r="F373" s="7" t="str">
        <x:v>CJ</x:v>
      </x:c>
      <x:c r="G373" s="7" t="str">
        <x:v>joint or weld</x:v>
      </x:c>
      <x:c r="H373" s="7" t="str"/>
      <x:c r="I373" s="7" t="str"/>
      <x:c r="J373" s="7" t="str"/>
      <x:c r="K373" s="7" t="str">
        <x:f>IF(J373="","OPEN",IF(OR(H373="",I373=""),"FAIL","PASS"))</x:f>
        <x:v>OPEN</x:v>
      </x:c>
    </x:row>
    <x:row r="374">
      <x:c r="B374" s="7" t="str">
        <x:v>CPN-PEA-B-Y1-CJ-8</x:v>
      </x:c>
      <x:c r="C374" s="7" t="str">
        <x:v>PEA-B-Y1</x:v>
      </x:c>
      <x:c r="D374" s="7" t="str">
        <x:v>BLD-B</x:v>
      </x:c>
      <x:c r="E374" s="7" t="str">
        <x:v>BL-Y</x:v>
      </x:c>
      <x:c r="F374" s="7" t="str">
        <x:v>CJ</x:v>
      </x:c>
      <x:c r="G374" s="7" t="str">
        <x:v>joint or weld</x:v>
      </x:c>
      <x:c r="H374" s="7" t="str"/>
      <x:c r="I374" s="7" t="str"/>
      <x:c r="J374" s="7" t="str"/>
      <x:c r="K374" s="7" t="str">
        <x:f>IF(J374="","OPEN",IF(OR(H374="",I374=""),"FAIL","PASS"))</x:f>
        <x:v>OPEN</x:v>
      </x:c>
    </x:row>
    <x:row r="375">
      <x:c r="B375" s="7" t="str">
        <x:v>CPN-PEA-B-Y1-SE-1</x:v>
      </x:c>
      <x:c r="C375" s="7" t="str">
        <x:v>PEA-B-Y1</x:v>
      </x:c>
      <x:c r="D375" s="7" t="str">
        <x:v>BLD-B</x:v>
      </x:c>
      <x:c r="E375" s="7" t="str">
        <x:v>BL-Y</x:v>
      </x:c>
      <x:c r="F375" s="7" t="str">
        <x:v>SE</x:v>
      </x:c>
      <x:c r="G375" s="7" t="str">
        <x:v>seal and gasket</x:v>
      </x:c>
      <x:c r="H375" s="7" t="str"/>
      <x:c r="I375" s="7" t="str"/>
      <x:c r="J375" s="7" t="str"/>
      <x:c r="K375" s="7" t="str">
        <x:f>IF(J375="","OPEN",IF(OR(H375="",I375=""),"FAIL","PASS"))</x:f>
        <x:v>OPEN</x:v>
      </x:c>
    </x:row>
    <x:row r="376">
      <x:c r="B376" s="7" t="str">
        <x:v>CPN-PEA-B-Y1-SE-2</x:v>
      </x:c>
      <x:c r="C376" s="7" t="str">
        <x:v>PEA-B-Y1</x:v>
      </x:c>
      <x:c r="D376" s="7" t="str">
        <x:v>BLD-B</x:v>
      </x:c>
      <x:c r="E376" s="7" t="str">
        <x:v>BL-Y</x:v>
      </x:c>
      <x:c r="F376" s="7" t="str">
        <x:v>SE</x:v>
      </x:c>
      <x:c r="G376" s="7" t="str">
        <x:v>seal and gasket</x:v>
      </x:c>
      <x:c r="H376" s="7" t="str"/>
      <x:c r="I376" s="7" t="str"/>
      <x:c r="J376" s="7" t="str"/>
      <x:c r="K376" s="7" t="str">
        <x:f>IF(J376="","OPEN",IF(OR(H376="",I376=""),"FAIL","PASS"))</x:f>
        <x:v>OPEN</x:v>
      </x:c>
    </x:row>
    <x:row r="377">
      <x:c r="B377" s="7" t="str">
        <x:v>CPN-PEA-B-Y1-SE-3</x:v>
      </x:c>
      <x:c r="C377" s="7" t="str">
        <x:v>PEA-B-Y1</x:v>
      </x:c>
      <x:c r="D377" s="7" t="str">
        <x:v>BLD-B</x:v>
      </x:c>
      <x:c r="E377" s="7" t="str">
        <x:v>BL-Y</x:v>
      </x:c>
      <x:c r="F377" s="7" t="str">
        <x:v>SE</x:v>
      </x:c>
      <x:c r="G377" s="7" t="str">
        <x:v>seal and gasket</x:v>
      </x:c>
      <x:c r="H377" s="7" t="str"/>
      <x:c r="I377" s="7" t="str"/>
      <x:c r="J377" s="7" t="str"/>
      <x:c r="K377" s="7" t="str">
        <x:f>IF(J377="","OPEN",IF(OR(H377="",I377=""),"FAIL","PASS"))</x:f>
        <x:v>OPEN</x:v>
      </x:c>
    </x:row>
    <x:row r="378">
      <x:c r="B378" s="7" t="str">
        <x:v>CPN-PEA-B-Y1-SE-4</x:v>
      </x:c>
      <x:c r="C378" s="7" t="str">
        <x:v>PEA-B-Y1</x:v>
      </x:c>
      <x:c r="D378" s="7" t="str">
        <x:v>BLD-B</x:v>
      </x:c>
      <x:c r="E378" s="7" t="str">
        <x:v>BL-Y</x:v>
      </x:c>
      <x:c r="F378" s="7" t="str">
        <x:v>SE</x:v>
      </x:c>
      <x:c r="G378" s="7" t="str">
        <x:v>seal and gasket</x:v>
      </x:c>
      <x:c r="H378" s="7" t="str"/>
      <x:c r="I378" s="7" t="str"/>
      <x:c r="J378" s="7" t="str"/>
      <x:c r="K378" s="7" t="str">
        <x:f>IF(J378="","OPEN",IF(OR(H378="",I378=""),"FAIL","PASS"))</x:f>
        <x:v>OPEN</x:v>
      </x:c>
    </x:row>
    <x:row r="379">
      <x:c r="B379" s="7" t="str">
        <x:v>CPN-PEA-B-Y1-SE-5</x:v>
      </x:c>
      <x:c r="C379" s="7" t="str">
        <x:v>PEA-B-Y1</x:v>
      </x:c>
      <x:c r="D379" s="7" t="str">
        <x:v>BLD-B</x:v>
      </x:c>
      <x:c r="E379" s="7" t="str">
        <x:v>BL-Y</x:v>
      </x:c>
      <x:c r="F379" s="7" t="str">
        <x:v>SE</x:v>
      </x:c>
      <x:c r="G379" s="7" t="str">
        <x:v>seal and gasket</x:v>
      </x:c>
      <x:c r="H379" s="7" t="str"/>
      <x:c r="I379" s="7" t="str"/>
      <x:c r="J379" s="7" t="str"/>
      <x:c r="K379" s="7" t="str">
        <x:f>IF(J379="","OPEN",IF(OR(H379="",I379=""),"FAIL","PASS"))</x:f>
        <x:v>OPEN</x:v>
      </x:c>
    </x:row>
    <x:row r="380">
      <x:c r="B380" s="7" t="str">
        <x:v>CPN-PEA-B-Y1-SE-6</x:v>
      </x:c>
      <x:c r="C380" s="7" t="str">
        <x:v>PEA-B-Y1</x:v>
      </x:c>
      <x:c r="D380" s="7" t="str">
        <x:v>BLD-B</x:v>
      </x:c>
      <x:c r="E380" s="7" t="str">
        <x:v>BL-Y</x:v>
      </x:c>
      <x:c r="F380" s="7" t="str">
        <x:v>SE</x:v>
      </x:c>
      <x:c r="G380" s="7" t="str">
        <x:v>seal and gasket</x:v>
      </x:c>
      <x:c r="H380" s="7" t="str"/>
      <x:c r="I380" s="7" t="str"/>
      <x:c r="J380" s="7" t="str"/>
      <x:c r="K380" s="7" t="str">
        <x:f>IF(J380="","OPEN",IF(OR(H380="",I380=""),"FAIL","PASS"))</x:f>
        <x:v>OPEN</x:v>
      </x:c>
    </x:row>
    <x:row r="381">
      <x:c r="B381" s="7" t="str">
        <x:v>CPN-PEA-B-Y1-SE-7</x:v>
      </x:c>
      <x:c r="C381" s="7" t="str">
        <x:v>PEA-B-Y1</x:v>
      </x:c>
      <x:c r="D381" s="7" t="str">
        <x:v>BLD-B</x:v>
      </x:c>
      <x:c r="E381" s="7" t="str">
        <x:v>BL-Y</x:v>
      </x:c>
      <x:c r="F381" s="7" t="str">
        <x:v>SE</x:v>
      </x:c>
      <x:c r="G381" s="7" t="str">
        <x:v>seal and gasket</x:v>
      </x:c>
      <x:c r="H381" s="7" t="str"/>
      <x:c r="I381" s="7" t="str"/>
      <x:c r="J381" s="7" t="str"/>
      <x:c r="K381" s="7" t="str">
        <x:f>IF(J381="","OPEN",IF(OR(H381="",I381=""),"FAIL","PASS"))</x:f>
        <x:v>OPEN</x:v>
      </x:c>
    </x:row>
    <x:row r="382">
      <x:c r="B382" s="7" t="str">
        <x:v>CPN-PEA-B-Y1-SE-8</x:v>
      </x:c>
      <x:c r="C382" s="7" t="str">
        <x:v>PEA-B-Y1</x:v>
      </x:c>
      <x:c r="D382" s="7" t="str">
        <x:v>BLD-B</x:v>
      </x:c>
      <x:c r="E382" s="7" t="str">
        <x:v>BL-Y</x:v>
      </x:c>
      <x:c r="F382" s="7" t="str">
        <x:v>SE</x:v>
      </x:c>
      <x:c r="G382" s="7" t="str">
        <x:v>seal and gasket</x:v>
      </x:c>
      <x:c r="H382" s="7" t="str"/>
      <x:c r="I382" s="7" t="str"/>
      <x:c r="J382" s="7" t="str"/>
      <x:c r="K382" s="7" t="str">
        <x:f>IF(J382="","OPEN",IF(OR(H382="",I382=""),"FAIL","PASS"))</x:f>
        <x:v>OPEN</x:v>
      </x:c>
    </x:row>
    <x:row r="383">
      <x:c r="B383" s="7" t="str">
        <x:v>CPN-PEA-B-Y1-SF-1</x:v>
      </x:c>
      <x:c r="C383" s="7" t="str">
        <x:v>PEA-B-Y1</x:v>
      </x:c>
      <x:c r="D383" s="7" t="str">
        <x:v>BLD-B</x:v>
      </x:c>
      <x:c r="E383" s="7" t="str">
        <x:v>BL-Y</x:v>
      </x:c>
      <x:c r="F383" s="7" t="str">
        <x:v>SF</x:v>
      </x:c>
      <x:c r="G383" s="7" t="str">
        <x:v>wetted surface</x:v>
      </x:c>
      <x:c r="H383" s="7" t="str"/>
      <x:c r="I383" s="7" t="str"/>
      <x:c r="J383" s="7" t="str"/>
      <x:c r="K383" s="7" t="str">
        <x:f>IF(J383="","OPEN",IF(OR(H383="",I383=""),"FAIL","PASS"))</x:f>
        <x:v>OPEN</x:v>
      </x:c>
    </x:row>
    <x:row r="384">
      <x:c r="B384" s="7" t="str">
        <x:v>CPN-PEA-B-Y1-SF-2</x:v>
      </x:c>
      <x:c r="C384" s="7" t="str">
        <x:v>PEA-B-Y1</x:v>
      </x:c>
      <x:c r="D384" s="7" t="str">
        <x:v>BLD-B</x:v>
      </x:c>
      <x:c r="E384" s="7" t="str">
        <x:v>BL-Y</x:v>
      </x:c>
      <x:c r="F384" s="7" t="str">
        <x:v>SF</x:v>
      </x:c>
      <x:c r="G384" s="7" t="str">
        <x:v>wetted surface</x:v>
      </x:c>
      <x:c r="H384" s="7" t="str"/>
      <x:c r="I384" s="7" t="str"/>
      <x:c r="J384" s="7" t="str"/>
      <x:c r="K384" s="7" t="str">
        <x:f>IF(J384="","OPEN",IF(OR(H384="",I384=""),"FAIL","PASS"))</x:f>
        <x:v>OPEN</x:v>
      </x:c>
    </x:row>
    <x:row r="385">
      <x:c r="B385" s="7" t="str">
        <x:v>CPN-PEA-B-Y1-SF-3</x:v>
      </x:c>
      <x:c r="C385" s="7" t="str">
        <x:v>PEA-B-Y1</x:v>
      </x:c>
      <x:c r="D385" s="7" t="str">
        <x:v>BLD-B</x:v>
      </x:c>
      <x:c r="E385" s="7" t="str">
        <x:v>BL-Y</x:v>
      </x:c>
      <x:c r="F385" s="7" t="str">
        <x:v>SF</x:v>
      </x:c>
      <x:c r="G385" s="7" t="str">
        <x:v>wetted surface</x:v>
      </x:c>
      <x:c r="H385" s="7" t="str"/>
      <x:c r="I385" s="7" t="str"/>
      <x:c r="J385" s="7" t="str"/>
      <x:c r="K385" s="7" t="str">
        <x:f>IF(J385="","OPEN",IF(OR(H385="",I385=""),"FAIL","PASS"))</x:f>
        <x:v>OPEN</x:v>
      </x:c>
    </x:row>
    <x:row r="386">
      <x:c r="B386" s="7" t="str">
        <x:v>CPN-PEA-B-Y1-SF-4</x:v>
      </x:c>
      <x:c r="C386" s="7" t="str">
        <x:v>PEA-B-Y1</x:v>
      </x:c>
      <x:c r="D386" s="7" t="str">
        <x:v>BLD-B</x:v>
      </x:c>
      <x:c r="E386" s="7" t="str">
        <x:v>BL-Y</x:v>
      </x:c>
      <x:c r="F386" s="7" t="str">
        <x:v>SF</x:v>
      </x:c>
      <x:c r="G386" s="7" t="str">
        <x:v>wetted surface</x:v>
      </x:c>
      <x:c r="H386" s="7" t="str"/>
      <x:c r="I386" s="7" t="str"/>
      <x:c r="J386" s="7" t="str"/>
      <x:c r="K386" s="7" t="str">
        <x:f>IF(J386="","OPEN",IF(OR(H386="",I386=""),"FAIL","PASS"))</x:f>
        <x:v>OPEN</x:v>
      </x:c>
    </x:row>
    <x:row r="387">
      <x:c r="B387" s="7" t="str">
        <x:v>CPN-PEA-B-Y1-SF-5</x:v>
      </x:c>
      <x:c r="C387" s="7" t="str">
        <x:v>PEA-B-Y1</x:v>
      </x:c>
      <x:c r="D387" s="7" t="str">
        <x:v>BLD-B</x:v>
      </x:c>
      <x:c r="E387" s="7" t="str">
        <x:v>BL-Y</x:v>
      </x:c>
      <x:c r="F387" s="7" t="str">
        <x:v>SF</x:v>
      </x:c>
      <x:c r="G387" s="7" t="str">
        <x:v>wetted surface</x:v>
      </x:c>
      <x:c r="H387" s="7" t="str"/>
      <x:c r="I387" s="7" t="str"/>
      <x:c r="J387" s="7" t="str"/>
      <x:c r="K387" s="7" t="str">
        <x:f>IF(J387="","OPEN",IF(OR(H387="",I387=""),"FAIL","PASS"))</x:f>
        <x:v>OPEN</x:v>
      </x:c>
    </x:row>
    <x:row r="388">
      <x:c r="B388" s="7" t="str">
        <x:v>CPN-PEA-B-Y1-SF-6</x:v>
      </x:c>
      <x:c r="C388" s="7" t="str">
        <x:v>PEA-B-Y1</x:v>
      </x:c>
      <x:c r="D388" s="7" t="str">
        <x:v>BLD-B</x:v>
      </x:c>
      <x:c r="E388" s="7" t="str">
        <x:v>BL-Y</x:v>
      </x:c>
      <x:c r="F388" s="7" t="str">
        <x:v>SF</x:v>
      </x:c>
      <x:c r="G388" s="7" t="str">
        <x:v>wetted surface</x:v>
      </x:c>
      <x:c r="H388" s="7" t="str"/>
      <x:c r="I388" s="7" t="str"/>
      <x:c r="J388" s="7" t="str"/>
      <x:c r="K388" s="7" t="str">
        <x:f>IF(J388="","OPEN",IF(OR(H388="",I388=""),"FAIL","PASS"))</x:f>
        <x:v>OPEN</x:v>
      </x:c>
    </x:row>
    <x:row r="389">
      <x:c r="B389" s="7" t="str">
        <x:v>CPN-PEA-B-Y1-SF-7</x:v>
      </x:c>
      <x:c r="C389" s="7" t="str">
        <x:v>PEA-B-Y1</x:v>
      </x:c>
      <x:c r="D389" s="7" t="str">
        <x:v>BLD-B</x:v>
      </x:c>
      <x:c r="E389" s="7" t="str">
        <x:v>BL-Y</x:v>
      </x:c>
      <x:c r="F389" s="7" t="str">
        <x:v>SF</x:v>
      </x:c>
      <x:c r="G389" s="7" t="str">
        <x:v>wetted surface</x:v>
      </x:c>
      <x:c r="H389" s="7" t="str"/>
      <x:c r="I389" s="7" t="str"/>
      <x:c r="J389" s="7" t="str"/>
      <x:c r="K389" s="7" t="str">
        <x:f>IF(J389="","OPEN",IF(OR(H389="",I389=""),"FAIL","PASS"))</x:f>
        <x:v>OPEN</x:v>
      </x:c>
    </x:row>
    <x:row r="390">
      <x:c r="B390" s="7" t="str">
        <x:v>CPN-PEA-B-Y1-SF-8</x:v>
      </x:c>
      <x:c r="C390" s="7" t="str">
        <x:v>PEA-B-Y1</x:v>
      </x:c>
      <x:c r="D390" s="7" t="str">
        <x:v>BLD-B</x:v>
      </x:c>
      <x:c r="E390" s="7" t="str">
        <x:v>BL-Y</x:v>
      </x:c>
      <x:c r="F390" s="7" t="str">
        <x:v>SF</x:v>
      </x:c>
      <x:c r="G390" s="7" t="str">
        <x:v>wetted surface</x:v>
      </x:c>
      <x:c r="H390" s="7" t="str"/>
      <x:c r="I390" s="7" t="str"/>
      <x:c r="J390" s="7" t="str"/>
      <x:c r="K390" s="7" t="str">
        <x:f>IF(J390="","OPEN",IF(OR(H390="",I390=""),"FAIL","PASS"))</x:f>
        <x:v>OPEN</x:v>
      </x:c>
    </x:row>
    <x:row r="391">
      <x:c r="B391" s="7" t="str">
        <x:v>CPN-PEA-B-Y1-CP-1</x:v>
      </x:c>
      <x:c r="C391" s="7" t="str">
        <x:v>PEA-B-Y1</x:v>
      </x:c>
      <x:c r="D391" s="7" t="str">
        <x:v>BLD-B</x:v>
      </x:c>
      <x:c r="E391" s="7" t="str">
        <x:v>BL-Y</x:v>
      </x:c>
      <x:c r="F391" s="7" t="str">
        <x:v>CP</x:v>
      </x:c>
      <x:c r="G391" s="7" t="str">
        <x:v>penetration</x:v>
      </x:c>
      <x:c r="H391" s="7" t="str"/>
      <x:c r="I391" s="7" t="str"/>
      <x:c r="J391" s="7" t="str"/>
      <x:c r="K391" s="7" t="str">
        <x:f>IF(J391="","OPEN",IF(OR(H391="",I391=""),"FAIL","PASS"))</x:f>
        <x:v>OPEN</x:v>
      </x:c>
    </x:row>
    <x:row r="392">
      <x:c r="B392" s="7" t="str">
        <x:v>CPN-PEA-B-Y1-CP-2</x:v>
      </x:c>
      <x:c r="C392" s="7" t="str">
        <x:v>PEA-B-Y1</x:v>
      </x:c>
      <x:c r="D392" s="7" t="str">
        <x:v>BLD-B</x:v>
      </x:c>
      <x:c r="E392" s="7" t="str">
        <x:v>BL-Y</x:v>
      </x:c>
      <x:c r="F392" s="7" t="str">
        <x:v>CP</x:v>
      </x:c>
      <x:c r="G392" s="7" t="str">
        <x:v>penetration</x:v>
      </x:c>
      <x:c r="H392" s="7" t="str"/>
      <x:c r="I392" s="7" t="str"/>
      <x:c r="J392" s="7" t="str"/>
      <x:c r="K392" s="7" t="str">
        <x:f>IF(J392="","OPEN",IF(OR(H392="",I392=""),"FAIL","PASS"))</x:f>
        <x:v>OPEN</x:v>
      </x:c>
    </x:row>
    <x:row r="393">
      <x:c r="B393" s="7" t="str">
        <x:v>CPN-PEA-B-Y1-CP-3</x:v>
      </x:c>
      <x:c r="C393" s="7" t="str">
        <x:v>PEA-B-Y1</x:v>
      </x:c>
      <x:c r="D393" s="7" t="str">
        <x:v>BLD-B</x:v>
      </x:c>
      <x:c r="E393" s="7" t="str">
        <x:v>BL-Y</x:v>
      </x:c>
      <x:c r="F393" s="7" t="str">
        <x:v>CP</x:v>
      </x:c>
      <x:c r="G393" s="7" t="str">
        <x:v>penetration</x:v>
      </x:c>
      <x:c r="H393" s="7" t="str"/>
      <x:c r="I393" s="7" t="str"/>
      <x:c r="J393" s="7" t="str"/>
      <x:c r="K393" s="7" t="str">
        <x:f>IF(J393="","OPEN",IF(OR(H393="",I393=""),"FAIL","PASS"))</x:f>
        <x:v>OPEN</x:v>
      </x:c>
    </x:row>
    <x:row r="394">
      <x:c r="B394" s="7" t="str">
        <x:v>CPN-PEA-B-Y1-CP-4</x:v>
      </x:c>
      <x:c r="C394" s="7" t="str">
        <x:v>PEA-B-Y1</x:v>
      </x:c>
      <x:c r="D394" s="7" t="str">
        <x:v>BLD-B</x:v>
      </x:c>
      <x:c r="E394" s="7" t="str">
        <x:v>BL-Y</x:v>
      </x:c>
      <x:c r="F394" s="7" t="str">
        <x:v>CP</x:v>
      </x:c>
      <x:c r="G394" s="7" t="str">
        <x:v>penetration</x:v>
      </x:c>
      <x:c r="H394" s="7" t="str"/>
      <x:c r="I394" s="7" t="str"/>
      <x:c r="J394" s="7" t="str"/>
      <x:c r="K394" s="7" t="str">
        <x:f>IF(J394="","OPEN",IF(OR(H394="",I394=""),"FAIL","PASS"))</x:f>
        <x:v>OPEN</x:v>
      </x:c>
    </x:row>
    <x:row r="395">
      <x:c r="B395" s="7" t="str">
        <x:v>CPN-PEA-B-Y1-CP-5</x:v>
      </x:c>
      <x:c r="C395" s="7" t="str">
        <x:v>PEA-B-Y1</x:v>
      </x:c>
      <x:c r="D395" s="7" t="str">
        <x:v>BLD-B</x:v>
      </x:c>
      <x:c r="E395" s="7" t="str">
        <x:v>BL-Y</x:v>
      </x:c>
      <x:c r="F395" s="7" t="str">
        <x:v>CP</x:v>
      </x:c>
      <x:c r="G395" s="7" t="str">
        <x:v>penetration</x:v>
      </x:c>
      <x:c r="H395" s="7" t="str"/>
      <x:c r="I395" s="7" t="str"/>
      <x:c r="J395" s="7" t="str"/>
      <x:c r="K395" s="7" t="str">
        <x:f>IF(J395="","OPEN",IF(OR(H395="",I395=""),"FAIL","PASS"))</x:f>
        <x:v>OPEN</x:v>
      </x:c>
    </x:row>
    <x:row r="396">
      <x:c r="B396" s="7" t="str">
        <x:v>CPN-PEA-B-Y1-CP-6</x:v>
      </x:c>
      <x:c r="C396" s="7" t="str">
        <x:v>PEA-B-Y1</x:v>
      </x:c>
      <x:c r="D396" s="7" t="str">
        <x:v>BLD-B</x:v>
      </x:c>
      <x:c r="E396" s="7" t="str">
        <x:v>BL-Y</x:v>
      </x:c>
      <x:c r="F396" s="7" t="str">
        <x:v>CP</x:v>
      </x:c>
      <x:c r="G396" s="7" t="str">
        <x:v>penetration</x:v>
      </x:c>
      <x:c r="H396" s="7" t="str"/>
      <x:c r="I396" s="7" t="str"/>
      <x:c r="J396" s="7" t="str"/>
      <x:c r="K396" s="7" t="str">
        <x:f>IF(J396="","OPEN",IF(OR(H396="",I396=""),"FAIL","PASS"))</x:f>
        <x:v>OPEN</x:v>
      </x:c>
    </x:row>
    <x:row r="397">
      <x:c r="B397" s="7" t="str">
        <x:v>CPN-PEA-B-Y1-CP-7</x:v>
      </x:c>
      <x:c r="C397" s="7" t="str">
        <x:v>PEA-B-Y1</x:v>
      </x:c>
      <x:c r="D397" s="7" t="str">
        <x:v>BLD-B</x:v>
      </x:c>
      <x:c r="E397" s="7" t="str">
        <x:v>BL-Y</x:v>
      </x:c>
      <x:c r="F397" s="7" t="str">
        <x:v>CP</x:v>
      </x:c>
      <x:c r="G397" s="7" t="str">
        <x:v>penetration</x:v>
      </x:c>
      <x:c r="H397" s="7" t="str"/>
      <x:c r="I397" s="7" t="str"/>
      <x:c r="J397" s="7" t="str"/>
      <x:c r="K397" s="7" t="str">
        <x:f>IF(J397="","OPEN",IF(OR(H397="",I397=""),"FAIL","PASS"))</x:f>
        <x:v>OPEN</x:v>
      </x:c>
    </x:row>
    <x:row r="398">
      <x:c r="B398" s="7" t="str">
        <x:v>CPN-PEA-B-Y1-CP-8</x:v>
      </x:c>
      <x:c r="C398" s="7" t="str">
        <x:v>PEA-B-Y1</x:v>
      </x:c>
      <x:c r="D398" s="7" t="str">
        <x:v>BLD-B</x:v>
      </x:c>
      <x:c r="E398" s="7" t="str">
        <x:v>BL-Y</x:v>
      </x:c>
      <x:c r="F398" s="7" t="str">
        <x:v>CP</x:v>
      </x:c>
      <x:c r="G398" s="7" t="str">
        <x:v>penetration</x:v>
      </x:c>
      <x:c r="H398" s="7" t="str"/>
      <x:c r="I398" s="7" t="str"/>
      <x:c r="J398" s="7" t="str"/>
      <x:c r="K398" s="7" t="str">
        <x:f>IF(J398="","OPEN",IF(OR(H398="",I398=""),"FAIL","PASS"))</x:f>
        <x:v>OPEN</x:v>
      </x:c>
    </x:row>
    <x:row r="399">
      <x:c r="B399" s="7" t="str">
        <x:v>CPN-PEA-B-Y1-SM-1</x:v>
      </x:c>
      <x:c r="C399" s="7" t="str">
        <x:v>PEA-B-Y1</x:v>
      </x:c>
      <x:c r="D399" s="7" t="str">
        <x:v>BLD-B</x:v>
      </x:c>
      <x:c r="E399" s="7" t="str">
        <x:v>BL-Y</x:v>
      </x:c>
      <x:c r="F399" s="7" t="str">
        <x:v>SM</x:v>
      </x:c>
      <x:c r="G399" s="7" t="str">
        <x:v>sensor mount and datum</x:v>
      </x:c>
      <x:c r="H399" s="7" t="str"/>
      <x:c r="I399" s="7" t="str"/>
      <x:c r="J399" s="7" t="str"/>
      <x:c r="K399" s="7" t="str">
        <x:f>IF(J399="","OPEN",IF(OR(H399="",I399=""),"FAIL","PASS"))</x:f>
        <x:v>OPEN</x:v>
      </x:c>
    </x:row>
    <x:row r="400">
      <x:c r="B400" s="7" t="str">
        <x:v>CPN-PEA-B-Y1-SM-2</x:v>
      </x:c>
      <x:c r="C400" s="7" t="str">
        <x:v>PEA-B-Y1</x:v>
      </x:c>
      <x:c r="D400" s="7" t="str">
        <x:v>BLD-B</x:v>
      </x:c>
      <x:c r="E400" s="7" t="str">
        <x:v>BL-Y</x:v>
      </x:c>
      <x:c r="F400" s="7" t="str">
        <x:v>SM</x:v>
      </x:c>
      <x:c r="G400" s="7" t="str">
        <x:v>sensor mount and datum</x:v>
      </x:c>
      <x:c r="H400" s="7" t="str"/>
      <x:c r="I400" s="7" t="str"/>
      <x:c r="J400" s="7" t="str"/>
      <x:c r="K400" s="7" t="str">
        <x:f>IF(J400="","OPEN",IF(OR(H400="",I400=""),"FAIL","PASS"))</x:f>
        <x:v>OPEN</x:v>
      </x:c>
    </x:row>
    <x:row r="401">
      <x:c r="B401" s="7" t="str">
        <x:v>CPN-PEA-B-Y1-SM-3</x:v>
      </x:c>
      <x:c r="C401" s="7" t="str">
        <x:v>PEA-B-Y1</x:v>
      </x:c>
      <x:c r="D401" s="7" t="str">
        <x:v>BLD-B</x:v>
      </x:c>
      <x:c r="E401" s="7" t="str">
        <x:v>BL-Y</x:v>
      </x:c>
      <x:c r="F401" s="7" t="str">
        <x:v>SM</x:v>
      </x:c>
      <x:c r="G401" s="7" t="str">
        <x:v>sensor mount and datum</x:v>
      </x:c>
      <x:c r="H401" s="7" t="str"/>
      <x:c r="I401" s="7" t="str"/>
      <x:c r="J401" s="7" t="str"/>
      <x:c r="K401" s="7" t="str">
        <x:f>IF(J401="","OPEN",IF(OR(H401="",I401=""),"FAIL","PASS"))</x:f>
        <x:v>OPEN</x:v>
      </x:c>
    </x:row>
    <x:row r="402">
      <x:c r="B402" s="7" t="str">
        <x:v>CPN-PEA-B-Y1-SM-4</x:v>
      </x:c>
      <x:c r="C402" s="7" t="str">
        <x:v>PEA-B-Y1</x:v>
      </x:c>
      <x:c r="D402" s="7" t="str">
        <x:v>BLD-B</x:v>
      </x:c>
      <x:c r="E402" s="7" t="str">
        <x:v>BL-Y</x:v>
      </x:c>
      <x:c r="F402" s="7" t="str">
        <x:v>SM</x:v>
      </x:c>
      <x:c r="G402" s="7" t="str">
        <x:v>sensor mount and datum</x:v>
      </x:c>
      <x:c r="H402" s="7" t="str"/>
      <x:c r="I402" s="7" t="str"/>
      <x:c r="J402" s="7" t="str"/>
      <x:c r="K402" s="7" t="str">
        <x:f>IF(J402="","OPEN",IF(OR(H402="",I402=""),"FAIL","PASS"))</x:f>
        <x:v>OPEN</x:v>
      </x:c>
    </x:row>
    <x:row r="403">
      <x:c r="B403" s="7" t="str">
        <x:v>CPN-PEA-B-Y1-SM-5</x:v>
      </x:c>
      <x:c r="C403" s="7" t="str">
        <x:v>PEA-B-Y1</x:v>
      </x:c>
      <x:c r="D403" s="7" t="str">
        <x:v>BLD-B</x:v>
      </x:c>
      <x:c r="E403" s="7" t="str">
        <x:v>BL-Y</x:v>
      </x:c>
      <x:c r="F403" s="7" t="str">
        <x:v>SM</x:v>
      </x:c>
      <x:c r="G403" s="7" t="str">
        <x:v>sensor mount and datum</x:v>
      </x:c>
      <x:c r="H403" s="7" t="str"/>
      <x:c r="I403" s="7" t="str"/>
      <x:c r="J403" s="7" t="str"/>
      <x:c r="K403" s="7" t="str">
        <x:f>IF(J403="","OPEN",IF(OR(H403="",I403=""),"FAIL","PASS"))</x:f>
        <x:v>OPEN</x:v>
      </x:c>
    </x:row>
    <x:row r="404">
      <x:c r="B404" s="7" t="str">
        <x:v>CPN-PEA-B-Y1-SM-6</x:v>
      </x:c>
      <x:c r="C404" s="7" t="str">
        <x:v>PEA-B-Y1</x:v>
      </x:c>
      <x:c r="D404" s="7" t="str">
        <x:v>BLD-B</x:v>
      </x:c>
      <x:c r="E404" s="7" t="str">
        <x:v>BL-Y</x:v>
      </x:c>
      <x:c r="F404" s="7" t="str">
        <x:v>SM</x:v>
      </x:c>
      <x:c r="G404" s="7" t="str">
        <x:v>sensor mount and datum</x:v>
      </x:c>
      <x:c r="H404" s="7" t="str"/>
      <x:c r="I404" s="7" t="str"/>
      <x:c r="J404" s="7" t="str"/>
      <x:c r="K404" s="7" t="str">
        <x:f>IF(J404="","OPEN",IF(OR(H404="",I404=""),"FAIL","PASS"))</x:f>
        <x:v>OPEN</x:v>
      </x:c>
    </x:row>
    <x:row r="405">
      <x:c r="B405" s="7" t="str">
        <x:v>CPN-PEA-B-Y1-SM-7</x:v>
      </x:c>
      <x:c r="C405" s="7" t="str">
        <x:v>PEA-B-Y1</x:v>
      </x:c>
      <x:c r="D405" s="7" t="str">
        <x:v>BLD-B</x:v>
      </x:c>
      <x:c r="E405" s="7" t="str">
        <x:v>BL-Y</x:v>
      </x:c>
      <x:c r="F405" s="7" t="str">
        <x:v>SM</x:v>
      </x:c>
      <x:c r="G405" s="7" t="str">
        <x:v>sensor mount and datum</x:v>
      </x:c>
      <x:c r="H405" s="7" t="str"/>
      <x:c r="I405" s="7" t="str"/>
      <x:c r="J405" s="7" t="str"/>
      <x:c r="K405" s="7" t="str">
        <x:f>IF(J405="","OPEN",IF(OR(H405="",I405=""),"FAIL","PASS"))</x:f>
        <x:v>OPEN</x:v>
      </x:c>
    </x:row>
    <x:row r="406">
      <x:c r="B406" s="7" t="str">
        <x:v>CPN-PEA-B-Y1-SM-8</x:v>
      </x:c>
      <x:c r="C406" s="7" t="str">
        <x:v>PEA-B-Y1</x:v>
      </x:c>
      <x:c r="D406" s="7" t="str">
        <x:v>BLD-B</x:v>
      </x:c>
      <x:c r="E406" s="7" t="str">
        <x:v>BL-Y</x:v>
      </x:c>
      <x:c r="F406" s="7" t="str">
        <x:v>SM</x:v>
      </x:c>
      <x:c r="G406" s="7" t="str">
        <x:v>sensor mount and datum</x:v>
      </x:c>
      <x:c r="H406" s="7" t="str"/>
      <x:c r="I406" s="7" t="str"/>
      <x:c r="J406" s="7" t="str"/>
      <x:c r="K406" s="7" t="str">
        <x:f>IF(J406="","OPEN",IF(OR(H406="",I406=""),"FAIL","PASS"))</x:f>
        <x:v>OPEN</x:v>
      </x:c>
    </x:row>
    <x:row r="407">
      <x:c r="B407" s="7" t="str">
        <x:v>CPN-PEA-B-Y2-CJ-1</x:v>
      </x:c>
      <x:c r="C407" s="7" t="str">
        <x:v>PEA-B-Y2</x:v>
      </x:c>
      <x:c r="D407" s="7" t="str">
        <x:v>BLD-B</x:v>
      </x:c>
      <x:c r="E407" s="7" t="str">
        <x:v>BL-Y</x:v>
      </x:c>
      <x:c r="F407" s="7" t="str">
        <x:v>CJ</x:v>
      </x:c>
      <x:c r="G407" s="7" t="str">
        <x:v>joint or weld</x:v>
      </x:c>
      <x:c r="H407" s="7" t="str"/>
      <x:c r="I407" s="7" t="str"/>
      <x:c r="J407" s="7" t="str"/>
      <x:c r="K407" s="7" t="str">
        <x:f>IF(J407="","OPEN",IF(OR(H407="",I407=""),"FAIL","PASS"))</x:f>
        <x:v>OPEN</x:v>
      </x:c>
    </x:row>
    <x:row r="408">
      <x:c r="B408" s="7" t="str">
        <x:v>CPN-PEA-B-Y2-CJ-2</x:v>
      </x:c>
      <x:c r="C408" s="7" t="str">
        <x:v>PEA-B-Y2</x:v>
      </x:c>
      <x:c r="D408" s="7" t="str">
        <x:v>BLD-B</x:v>
      </x:c>
      <x:c r="E408" s="7" t="str">
        <x:v>BL-Y</x:v>
      </x:c>
      <x:c r="F408" s="7" t="str">
        <x:v>CJ</x:v>
      </x:c>
      <x:c r="G408" s="7" t="str">
        <x:v>joint or weld</x:v>
      </x:c>
      <x:c r="H408" s="7" t="str"/>
      <x:c r="I408" s="7" t="str"/>
      <x:c r="J408" s="7" t="str"/>
      <x:c r="K408" s="7" t="str">
        <x:f>IF(J408="","OPEN",IF(OR(H408="",I408=""),"FAIL","PASS"))</x:f>
        <x:v>OPEN</x:v>
      </x:c>
    </x:row>
    <x:row r="409">
      <x:c r="B409" s="7" t="str">
        <x:v>CPN-PEA-B-Y2-CJ-3</x:v>
      </x:c>
      <x:c r="C409" s="7" t="str">
        <x:v>PEA-B-Y2</x:v>
      </x:c>
      <x:c r="D409" s="7" t="str">
        <x:v>BLD-B</x:v>
      </x:c>
      <x:c r="E409" s="7" t="str">
        <x:v>BL-Y</x:v>
      </x:c>
      <x:c r="F409" s="7" t="str">
        <x:v>CJ</x:v>
      </x:c>
      <x:c r="G409" s="7" t="str">
        <x:v>joint or weld</x:v>
      </x:c>
      <x:c r="H409" s="7" t="str"/>
      <x:c r="I409" s="7" t="str"/>
      <x:c r="J409" s="7" t="str"/>
      <x:c r="K409" s="7" t="str">
        <x:f>IF(J409="","OPEN",IF(OR(H409="",I409=""),"FAIL","PASS"))</x:f>
        <x:v>OPEN</x:v>
      </x:c>
    </x:row>
    <x:row r="410">
      <x:c r="B410" s="7" t="str">
        <x:v>CPN-PEA-B-Y2-CJ-4</x:v>
      </x:c>
      <x:c r="C410" s="7" t="str">
        <x:v>PEA-B-Y2</x:v>
      </x:c>
      <x:c r="D410" s="7" t="str">
        <x:v>BLD-B</x:v>
      </x:c>
      <x:c r="E410" s="7" t="str">
        <x:v>BL-Y</x:v>
      </x:c>
      <x:c r="F410" s="7" t="str">
        <x:v>CJ</x:v>
      </x:c>
      <x:c r="G410" s="7" t="str">
        <x:v>joint or weld</x:v>
      </x:c>
      <x:c r="H410" s="7" t="str"/>
      <x:c r="I410" s="7" t="str"/>
      <x:c r="J410" s="7" t="str"/>
      <x:c r="K410" s="7" t="str">
        <x:f>IF(J410="","OPEN",IF(OR(H410="",I410=""),"FAIL","PASS"))</x:f>
        <x:v>OPEN</x:v>
      </x:c>
    </x:row>
    <x:row r="411">
      <x:c r="B411" s="7" t="str">
        <x:v>CPN-PEA-B-Y2-CJ-5</x:v>
      </x:c>
      <x:c r="C411" s="7" t="str">
        <x:v>PEA-B-Y2</x:v>
      </x:c>
      <x:c r="D411" s="7" t="str">
        <x:v>BLD-B</x:v>
      </x:c>
      <x:c r="E411" s="7" t="str">
        <x:v>BL-Y</x:v>
      </x:c>
      <x:c r="F411" s="7" t="str">
        <x:v>CJ</x:v>
      </x:c>
      <x:c r="G411" s="7" t="str">
        <x:v>joint or weld</x:v>
      </x:c>
      <x:c r="H411" s="7" t="str"/>
      <x:c r="I411" s="7" t="str"/>
      <x:c r="J411" s="7" t="str"/>
      <x:c r="K411" s="7" t="str">
        <x:f>IF(J411="","OPEN",IF(OR(H411="",I411=""),"FAIL","PASS"))</x:f>
        <x:v>OPEN</x:v>
      </x:c>
    </x:row>
    <x:row r="412">
      <x:c r="B412" s="7" t="str">
        <x:v>CPN-PEA-B-Y2-CJ-6</x:v>
      </x:c>
      <x:c r="C412" s="7" t="str">
        <x:v>PEA-B-Y2</x:v>
      </x:c>
      <x:c r="D412" s="7" t="str">
        <x:v>BLD-B</x:v>
      </x:c>
      <x:c r="E412" s="7" t="str">
        <x:v>BL-Y</x:v>
      </x:c>
      <x:c r="F412" s="7" t="str">
        <x:v>CJ</x:v>
      </x:c>
      <x:c r="G412" s="7" t="str">
        <x:v>joint or weld</x:v>
      </x:c>
      <x:c r="H412" s="7" t="str"/>
      <x:c r="I412" s="7" t="str"/>
      <x:c r="J412" s="7" t="str"/>
      <x:c r="K412" s="7" t="str">
        <x:f>IF(J412="","OPEN",IF(OR(H412="",I412=""),"FAIL","PASS"))</x:f>
        <x:v>OPEN</x:v>
      </x:c>
    </x:row>
    <x:row r="413">
      <x:c r="B413" s="7" t="str">
        <x:v>CPN-PEA-B-Y2-CJ-7</x:v>
      </x:c>
      <x:c r="C413" s="7" t="str">
        <x:v>PEA-B-Y2</x:v>
      </x:c>
      <x:c r="D413" s="7" t="str">
        <x:v>BLD-B</x:v>
      </x:c>
      <x:c r="E413" s="7" t="str">
        <x:v>BL-Y</x:v>
      </x:c>
      <x:c r="F413" s="7" t="str">
        <x:v>CJ</x:v>
      </x:c>
      <x:c r="G413" s="7" t="str">
        <x:v>joint or weld</x:v>
      </x:c>
      <x:c r="H413" s="7" t="str"/>
      <x:c r="I413" s="7" t="str"/>
      <x:c r="J413" s="7" t="str"/>
      <x:c r="K413" s="7" t="str">
        <x:f>IF(J413="","OPEN",IF(OR(H413="",I413=""),"FAIL","PASS"))</x:f>
        <x:v>OPEN</x:v>
      </x:c>
    </x:row>
    <x:row r="414">
      <x:c r="B414" s="7" t="str">
        <x:v>CPN-PEA-B-Y2-CJ-8</x:v>
      </x:c>
      <x:c r="C414" s="7" t="str">
        <x:v>PEA-B-Y2</x:v>
      </x:c>
      <x:c r="D414" s="7" t="str">
        <x:v>BLD-B</x:v>
      </x:c>
      <x:c r="E414" s="7" t="str">
        <x:v>BL-Y</x:v>
      </x:c>
      <x:c r="F414" s="7" t="str">
        <x:v>CJ</x:v>
      </x:c>
      <x:c r="G414" s="7" t="str">
        <x:v>joint or weld</x:v>
      </x:c>
      <x:c r="H414" s="7" t="str"/>
      <x:c r="I414" s="7" t="str"/>
      <x:c r="J414" s="7" t="str"/>
      <x:c r="K414" s="7" t="str">
        <x:f>IF(J414="","OPEN",IF(OR(H414="",I414=""),"FAIL","PASS"))</x:f>
        <x:v>OPEN</x:v>
      </x:c>
    </x:row>
    <x:row r="415">
      <x:c r="B415" s="7" t="str">
        <x:v>CPN-PEA-B-Y2-SE-1</x:v>
      </x:c>
      <x:c r="C415" s="7" t="str">
        <x:v>PEA-B-Y2</x:v>
      </x:c>
      <x:c r="D415" s="7" t="str">
        <x:v>BLD-B</x:v>
      </x:c>
      <x:c r="E415" s="7" t="str">
        <x:v>BL-Y</x:v>
      </x:c>
      <x:c r="F415" s="7" t="str">
        <x:v>SE</x:v>
      </x:c>
      <x:c r="G415" s="7" t="str">
        <x:v>seal and gasket</x:v>
      </x:c>
      <x:c r="H415" s="7" t="str"/>
      <x:c r="I415" s="7" t="str"/>
      <x:c r="J415" s="7" t="str"/>
      <x:c r="K415" s="7" t="str">
        <x:f>IF(J415="","OPEN",IF(OR(H415="",I415=""),"FAIL","PASS"))</x:f>
        <x:v>OPEN</x:v>
      </x:c>
    </x:row>
    <x:row r="416">
      <x:c r="B416" s="7" t="str">
        <x:v>CPN-PEA-B-Y2-SE-2</x:v>
      </x:c>
      <x:c r="C416" s="7" t="str">
        <x:v>PEA-B-Y2</x:v>
      </x:c>
      <x:c r="D416" s="7" t="str">
        <x:v>BLD-B</x:v>
      </x:c>
      <x:c r="E416" s="7" t="str">
        <x:v>BL-Y</x:v>
      </x:c>
      <x:c r="F416" s="7" t="str">
        <x:v>SE</x:v>
      </x:c>
      <x:c r="G416" s="7" t="str">
        <x:v>seal and gasket</x:v>
      </x:c>
      <x:c r="H416" s="7" t="str"/>
      <x:c r="I416" s="7" t="str"/>
      <x:c r="J416" s="7" t="str"/>
      <x:c r="K416" s="7" t="str">
        <x:f>IF(J416="","OPEN",IF(OR(H416="",I416=""),"FAIL","PASS"))</x:f>
        <x:v>OPEN</x:v>
      </x:c>
    </x:row>
    <x:row r="417">
      <x:c r="B417" s="7" t="str">
        <x:v>CPN-PEA-B-Y2-SE-3</x:v>
      </x:c>
      <x:c r="C417" s="7" t="str">
        <x:v>PEA-B-Y2</x:v>
      </x:c>
      <x:c r="D417" s="7" t="str">
        <x:v>BLD-B</x:v>
      </x:c>
      <x:c r="E417" s="7" t="str">
        <x:v>BL-Y</x:v>
      </x:c>
      <x:c r="F417" s="7" t="str">
        <x:v>SE</x:v>
      </x:c>
      <x:c r="G417" s="7" t="str">
        <x:v>seal and gasket</x:v>
      </x:c>
      <x:c r="H417" s="7" t="str"/>
      <x:c r="I417" s="7" t="str"/>
      <x:c r="J417" s="7" t="str"/>
      <x:c r="K417" s="7" t="str">
        <x:f>IF(J417="","OPEN",IF(OR(H417="",I417=""),"FAIL","PASS"))</x:f>
        <x:v>OPEN</x:v>
      </x:c>
    </x:row>
    <x:row r="418">
      <x:c r="B418" s="7" t="str">
        <x:v>CPN-PEA-B-Y2-SE-4</x:v>
      </x:c>
      <x:c r="C418" s="7" t="str">
        <x:v>PEA-B-Y2</x:v>
      </x:c>
      <x:c r="D418" s="7" t="str">
        <x:v>BLD-B</x:v>
      </x:c>
      <x:c r="E418" s="7" t="str">
        <x:v>BL-Y</x:v>
      </x:c>
      <x:c r="F418" s="7" t="str">
        <x:v>SE</x:v>
      </x:c>
      <x:c r="G418" s="7" t="str">
        <x:v>seal and gasket</x:v>
      </x:c>
      <x:c r="H418" s="7" t="str"/>
      <x:c r="I418" s="7" t="str"/>
      <x:c r="J418" s="7" t="str"/>
      <x:c r="K418" s="7" t="str">
        <x:f>IF(J418="","OPEN",IF(OR(H418="",I418=""),"FAIL","PASS"))</x:f>
        <x:v>OPEN</x:v>
      </x:c>
    </x:row>
    <x:row r="419">
      <x:c r="B419" s="7" t="str">
        <x:v>CPN-PEA-B-Y2-SE-5</x:v>
      </x:c>
      <x:c r="C419" s="7" t="str">
        <x:v>PEA-B-Y2</x:v>
      </x:c>
      <x:c r="D419" s="7" t="str">
        <x:v>BLD-B</x:v>
      </x:c>
      <x:c r="E419" s="7" t="str">
        <x:v>BL-Y</x:v>
      </x:c>
      <x:c r="F419" s="7" t="str">
        <x:v>SE</x:v>
      </x:c>
      <x:c r="G419" s="7" t="str">
        <x:v>seal and gasket</x:v>
      </x:c>
      <x:c r="H419" s="7" t="str"/>
      <x:c r="I419" s="7" t="str"/>
      <x:c r="J419" s="7" t="str"/>
      <x:c r="K419" s="7" t="str">
        <x:f>IF(J419="","OPEN",IF(OR(H419="",I419=""),"FAIL","PASS"))</x:f>
        <x:v>OPEN</x:v>
      </x:c>
    </x:row>
    <x:row r="420">
      <x:c r="B420" s="7" t="str">
        <x:v>CPN-PEA-B-Y2-SE-6</x:v>
      </x:c>
      <x:c r="C420" s="7" t="str">
        <x:v>PEA-B-Y2</x:v>
      </x:c>
      <x:c r="D420" s="7" t="str">
        <x:v>BLD-B</x:v>
      </x:c>
      <x:c r="E420" s="7" t="str">
        <x:v>BL-Y</x:v>
      </x:c>
      <x:c r="F420" s="7" t="str">
        <x:v>SE</x:v>
      </x:c>
      <x:c r="G420" s="7" t="str">
        <x:v>seal and gasket</x:v>
      </x:c>
      <x:c r="H420" s="7" t="str"/>
      <x:c r="I420" s="7" t="str"/>
      <x:c r="J420" s="7" t="str"/>
      <x:c r="K420" s="7" t="str">
        <x:f>IF(J420="","OPEN",IF(OR(H420="",I420=""),"FAIL","PASS"))</x:f>
        <x:v>OPEN</x:v>
      </x:c>
    </x:row>
    <x:row r="421">
      <x:c r="B421" s="7" t="str">
        <x:v>CPN-PEA-B-Y2-SE-7</x:v>
      </x:c>
      <x:c r="C421" s="7" t="str">
        <x:v>PEA-B-Y2</x:v>
      </x:c>
      <x:c r="D421" s="7" t="str">
        <x:v>BLD-B</x:v>
      </x:c>
      <x:c r="E421" s="7" t="str">
        <x:v>BL-Y</x:v>
      </x:c>
      <x:c r="F421" s="7" t="str">
        <x:v>SE</x:v>
      </x:c>
      <x:c r="G421" s="7" t="str">
        <x:v>seal and gasket</x:v>
      </x:c>
      <x:c r="H421" s="7" t="str"/>
      <x:c r="I421" s="7" t="str"/>
      <x:c r="J421" s="7" t="str"/>
      <x:c r="K421" s="7" t="str">
        <x:f>IF(J421="","OPEN",IF(OR(H421="",I421=""),"FAIL","PASS"))</x:f>
        <x:v>OPEN</x:v>
      </x:c>
    </x:row>
    <x:row r="422">
      <x:c r="B422" s="7" t="str">
        <x:v>CPN-PEA-B-Y2-SE-8</x:v>
      </x:c>
      <x:c r="C422" s="7" t="str">
        <x:v>PEA-B-Y2</x:v>
      </x:c>
      <x:c r="D422" s="7" t="str">
        <x:v>BLD-B</x:v>
      </x:c>
      <x:c r="E422" s="7" t="str">
        <x:v>BL-Y</x:v>
      </x:c>
      <x:c r="F422" s="7" t="str">
        <x:v>SE</x:v>
      </x:c>
      <x:c r="G422" s="7" t="str">
        <x:v>seal and gasket</x:v>
      </x:c>
      <x:c r="H422" s="7" t="str"/>
      <x:c r="I422" s="7" t="str"/>
      <x:c r="J422" s="7" t="str"/>
      <x:c r="K422" s="7" t="str">
        <x:f>IF(J422="","OPEN",IF(OR(H422="",I422=""),"FAIL","PASS"))</x:f>
        <x:v>OPEN</x:v>
      </x:c>
    </x:row>
    <x:row r="423">
      <x:c r="B423" s="7" t="str">
        <x:v>CPN-PEA-B-Y2-SF-1</x:v>
      </x:c>
      <x:c r="C423" s="7" t="str">
        <x:v>PEA-B-Y2</x:v>
      </x:c>
      <x:c r="D423" s="7" t="str">
        <x:v>BLD-B</x:v>
      </x:c>
      <x:c r="E423" s="7" t="str">
        <x:v>BL-Y</x:v>
      </x:c>
      <x:c r="F423" s="7" t="str">
        <x:v>SF</x:v>
      </x:c>
      <x:c r="G423" s="7" t="str">
        <x:v>wetted surface</x:v>
      </x:c>
      <x:c r="H423" s="7" t="str"/>
      <x:c r="I423" s="7" t="str"/>
      <x:c r="J423" s="7" t="str"/>
      <x:c r="K423" s="7" t="str">
        <x:f>IF(J423="","OPEN",IF(OR(H423="",I423=""),"FAIL","PASS"))</x:f>
        <x:v>OPEN</x:v>
      </x:c>
    </x:row>
    <x:row r="424">
      <x:c r="B424" s="7" t="str">
        <x:v>CPN-PEA-B-Y2-SF-2</x:v>
      </x:c>
      <x:c r="C424" s="7" t="str">
        <x:v>PEA-B-Y2</x:v>
      </x:c>
      <x:c r="D424" s="7" t="str">
        <x:v>BLD-B</x:v>
      </x:c>
      <x:c r="E424" s="7" t="str">
        <x:v>BL-Y</x:v>
      </x:c>
      <x:c r="F424" s="7" t="str">
        <x:v>SF</x:v>
      </x:c>
      <x:c r="G424" s="7" t="str">
        <x:v>wetted surface</x:v>
      </x:c>
      <x:c r="H424" s="7" t="str"/>
      <x:c r="I424" s="7" t="str"/>
      <x:c r="J424" s="7" t="str"/>
      <x:c r="K424" s="7" t="str">
        <x:f>IF(J424="","OPEN",IF(OR(H424="",I424=""),"FAIL","PASS"))</x:f>
        <x:v>OPEN</x:v>
      </x:c>
    </x:row>
    <x:row r="425">
      <x:c r="B425" s="7" t="str">
        <x:v>CPN-PEA-B-Y2-SF-3</x:v>
      </x:c>
      <x:c r="C425" s="7" t="str">
        <x:v>PEA-B-Y2</x:v>
      </x:c>
      <x:c r="D425" s="7" t="str">
        <x:v>BLD-B</x:v>
      </x:c>
      <x:c r="E425" s="7" t="str">
        <x:v>BL-Y</x:v>
      </x:c>
      <x:c r="F425" s="7" t="str">
        <x:v>SF</x:v>
      </x:c>
      <x:c r="G425" s="7" t="str">
        <x:v>wetted surface</x:v>
      </x:c>
      <x:c r="H425" s="7" t="str"/>
      <x:c r="I425" s="7" t="str"/>
      <x:c r="J425" s="7" t="str"/>
      <x:c r="K425" s="7" t="str">
        <x:f>IF(J425="","OPEN",IF(OR(H425="",I425=""),"FAIL","PASS"))</x:f>
        <x:v>OPEN</x:v>
      </x:c>
    </x:row>
    <x:row r="426">
      <x:c r="B426" s="7" t="str">
        <x:v>CPN-PEA-B-Y2-SF-4</x:v>
      </x:c>
      <x:c r="C426" s="7" t="str">
        <x:v>PEA-B-Y2</x:v>
      </x:c>
      <x:c r="D426" s="7" t="str">
        <x:v>BLD-B</x:v>
      </x:c>
      <x:c r="E426" s="7" t="str">
        <x:v>BL-Y</x:v>
      </x:c>
      <x:c r="F426" s="7" t="str">
        <x:v>SF</x:v>
      </x:c>
      <x:c r="G426" s="7" t="str">
        <x:v>wetted surface</x:v>
      </x:c>
      <x:c r="H426" s="7" t="str"/>
      <x:c r="I426" s="7" t="str"/>
      <x:c r="J426" s="7" t="str"/>
      <x:c r="K426" s="7" t="str">
        <x:f>IF(J426="","OPEN",IF(OR(H426="",I426=""),"FAIL","PASS"))</x:f>
        <x:v>OPEN</x:v>
      </x:c>
    </x:row>
    <x:row r="427">
      <x:c r="B427" s="7" t="str">
        <x:v>CPN-PEA-B-Y2-SF-5</x:v>
      </x:c>
      <x:c r="C427" s="7" t="str">
        <x:v>PEA-B-Y2</x:v>
      </x:c>
      <x:c r="D427" s="7" t="str">
        <x:v>BLD-B</x:v>
      </x:c>
      <x:c r="E427" s="7" t="str">
        <x:v>BL-Y</x:v>
      </x:c>
      <x:c r="F427" s="7" t="str">
        <x:v>SF</x:v>
      </x:c>
      <x:c r="G427" s="7" t="str">
        <x:v>wetted surface</x:v>
      </x:c>
      <x:c r="H427" s="7" t="str"/>
      <x:c r="I427" s="7" t="str"/>
      <x:c r="J427" s="7" t="str"/>
      <x:c r="K427" s="7" t="str">
        <x:f>IF(J427="","OPEN",IF(OR(H427="",I427=""),"FAIL","PASS"))</x:f>
        <x:v>OPEN</x:v>
      </x:c>
    </x:row>
    <x:row r="428">
      <x:c r="B428" s="7" t="str">
        <x:v>CPN-PEA-B-Y2-SF-6</x:v>
      </x:c>
      <x:c r="C428" s="7" t="str">
        <x:v>PEA-B-Y2</x:v>
      </x:c>
      <x:c r="D428" s="7" t="str">
        <x:v>BLD-B</x:v>
      </x:c>
      <x:c r="E428" s="7" t="str">
        <x:v>BL-Y</x:v>
      </x:c>
      <x:c r="F428" s="7" t="str">
        <x:v>SF</x:v>
      </x:c>
      <x:c r="G428" s="7" t="str">
        <x:v>wetted surface</x:v>
      </x:c>
      <x:c r="H428" s="7" t="str"/>
      <x:c r="I428" s="7" t="str"/>
      <x:c r="J428" s="7" t="str"/>
      <x:c r="K428" s="7" t="str">
        <x:f>IF(J428="","OPEN",IF(OR(H428="",I428=""),"FAIL","PASS"))</x:f>
        <x:v>OPEN</x:v>
      </x:c>
    </x:row>
    <x:row r="429">
      <x:c r="B429" s="7" t="str">
        <x:v>CPN-PEA-B-Y2-SF-7</x:v>
      </x:c>
      <x:c r="C429" s="7" t="str">
        <x:v>PEA-B-Y2</x:v>
      </x:c>
      <x:c r="D429" s="7" t="str">
        <x:v>BLD-B</x:v>
      </x:c>
      <x:c r="E429" s="7" t="str">
        <x:v>BL-Y</x:v>
      </x:c>
      <x:c r="F429" s="7" t="str">
        <x:v>SF</x:v>
      </x:c>
      <x:c r="G429" s="7" t="str">
        <x:v>wetted surface</x:v>
      </x:c>
      <x:c r="H429" s="7" t="str"/>
      <x:c r="I429" s="7" t="str"/>
      <x:c r="J429" s="7" t="str"/>
      <x:c r="K429" s="7" t="str">
        <x:f>IF(J429="","OPEN",IF(OR(H429="",I429=""),"FAIL","PASS"))</x:f>
        <x:v>OPEN</x:v>
      </x:c>
    </x:row>
    <x:row r="430">
      <x:c r="B430" s="7" t="str">
        <x:v>CPN-PEA-B-Y2-SF-8</x:v>
      </x:c>
      <x:c r="C430" s="7" t="str">
        <x:v>PEA-B-Y2</x:v>
      </x:c>
      <x:c r="D430" s="7" t="str">
        <x:v>BLD-B</x:v>
      </x:c>
      <x:c r="E430" s="7" t="str">
        <x:v>BL-Y</x:v>
      </x:c>
      <x:c r="F430" s="7" t="str">
        <x:v>SF</x:v>
      </x:c>
      <x:c r="G430" s="7" t="str">
        <x:v>wetted surface</x:v>
      </x:c>
      <x:c r="H430" s="7" t="str"/>
      <x:c r="I430" s="7" t="str"/>
      <x:c r="J430" s="7" t="str"/>
      <x:c r="K430" s="7" t="str">
        <x:f>IF(J430="","OPEN",IF(OR(H430="",I430=""),"FAIL","PASS"))</x:f>
        <x:v>OPEN</x:v>
      </x:c>
    </x:row>
    <x:row r="431">
      <x:c r="B431" s="7" t="str">
        <x:v>CPN-PEA-B-Y2-CP-1</x:v>
      </x:c>
      <x:c r="C431" s="7" t="str">
        <x:v>PEA-B-Y2</x:v>
      </x:c>
      <x:c r="D431" s="7" t="str">
        <x:v>BLD-B</x:v>
      </x:c>
      <x:c r="E431" s="7" t="str">
        <x:v>BL-Y</x:v>
      </x:c>
      <x:c r="F431" s="7" t="str">
        <x:v>CP</x:v>
      </x:c>
      <x:c r="G431" s="7" t="str">
        <x:v>penetration</x:v>
      </x:c>
      <x:c r="H431" s="7" t="str"/>
      <x:c r="I431" s="7" t="str"/>
      <x:c r="J431" s="7" t="str"/>
      <x:c r="K431" s="7" t="str">
        <x:f>IF(J431="","OPEN",IF(OR(H431="",I431=""),"FAIL","PASS"))</x:f>
        <x:v>OPEN</x:v>
      </x:c>
    </x:row>
    <x:row r="432">
      <x:c r="B432" s="7" t="str">
        <x:v>CPN-PEA-B-Y2-CP-2</x:v>
      </x:c>
      <x:c r="C432" s="7" t="str">
        <x:v>PEA-B-Y2</x:v>
      </x:c>
      <x:c r="D432" s="7" t="str">
        <x:v>BLD-B</x:v>
      </x:c>
      <x:c r="E432" s="7" t="str">
        <x:v>BL-Y</x:v>
      </x:c>
      <x:c r="F432" s="7" t="str">
        <x:v>CP</x:v>
      </x:c>
      <x:c r="G432" s="7" t="str">
        <x:v>penetration</x:v>
      </x:c>
      <x:c r="H432" s="7" t="str"/>
      <x:c r="I432" s="7" t="str"/>
      <x:c r="J432" s="7" t="str"/>
      <x:c r="K432" s="7" t="str">
        <x:f>IF(J432="","OPEN",IF(OR(H432="",I432=""),"FAIL","PASS"))</x:f>
        <x:v>OPEN</x:v>
      </x:c>
    </x:row>
    <x:row r="433">
      <x:c r="B433" s="7" t="str">
        <x:v>CPN-PEA-B-Y2-CP-3</x:v>
      </x:c>
      <x:c r="C433" s="7" t="str">
        <x:v>PEA-B-Y2</x:v>
      </x:c>
      <x:c r="D433" s="7" t="str">
        <x:v>BLD-B</x:v>
      </x:c>
      <x:c r="E433" s="7" t="str">
        <x:v>BL-Y</x:v>
      </x:c>
      <x:c r="F433" s="7" t="str">
        <x:v>CP</x:v>
      </x:c>
      <x:c r="G433" s="7" t="str">
        <x:v>penetration</x:v>
      </x:c>
      <x:c r="H433" s="7" t="str"/>
      <x:c r="I433" s="7" t="str"/>
      <x:c r="J433" s="7" t="str"/>
      <x:c r="K433" s="7" t="str">
        <x:f>IF(J433="","OPEN",IF(OR(H433="",I433=""),"FAIL","PASS"))</x:f>
        <x:v>OPEN</x:v>
      </x:c>
    </x:row>
    <x:row r="434">
      <x:c r="B434" s="7" t="str">
        <x:v>CPN-PEA-B-Y2-CP-4</x:v>
      </x:c>
      <x:c r="C434" s="7" t="str">
        <x:v>PEA-B-Y2</x:v>
      </x:c>
      <x:c r="D434" s="7" t="str">
        <x:v>BLD-B</x:v>
      </x:c>
      <x:c r="E434" s="7" t="str">
        <x:v>BL-Y</x:v>
      </x:c>
      <x:c r="F434" s="7" t="str">
        <x:v>CP</x:v>
      </x:c>
      <x:c r="G434" s="7" t="str">
        <x:v>penetration</x:v>
      </x:c>
      <x:c r="H434" s="7" t="str"/>
      <x:c r="I434" s="7" t="str"/>
      <x:c r="J434" s="7" t="str"/>
      <x:c r="K434" s="7" t="str">
        <x:f>IF(J434="","OPEN",IF(OR(H434="",I434=""),"FAIL","PASS"))</x:f>
        <x:v>OPEN</x:v>
      </x:c>
    </x:row>
    <x:row r="435">
      <x:c r="B435" s="7" t="str">
        <x:v>CPN-PEA-B-Y2-CP-5</x:v>
      </x:c>
      <x:c r="C435" s="7" t="str">
        <x:v>PEA-B-Y2</x:v>
      </x:c>
      <x:c r="D435" s="7" t="str">
        <x:v>BLD-B</x:v>
      </x:c>
      <x:c r="E435" s="7" t="str">
        <x:v>BL-Y</x:v>
      </x:c>
      <x:c r="F435" s="7" t="str">
        <x:v>CP</x:v>
      </x:c>
      <x:c r="G435" s="7" t="str">
        <x:v>penetration</x:v>
      </x:c>
      <x:c r="H435" s="7" t="str"/>
      <x:c r="I435" s="7" t="str"/>
      <x:c r="J435" s="7" t="str"/>
      <x:c r="K435" s="7" t="str">
        <x:f>IF(J435="","OPEN",IF(OR(H435="",I435=""),"FAIL","PASS"))</x:f>
        <x:v>OPEN</x:v>
      </x:c>
    </x:row>
    <x:row r="436">
      <x:c r="B436" s="7" t="str">
        <x:v>CPN-PEA-B-Y2-CP-6</x:v>
      </x:c>
      <x:c r="C436" s="7" t="str">
        <x:v>PEA-B-Y2</x:v>
      </x:c>
      <x:c r="D436" s="7" t="str">
        <x:v>BLD-B</x:v>
      </x:c>
      <x:c r="E436" s="7" t="str">
        <x:v>BL-Y</x:v>
      </x:c>
      <x:c r="F436" s="7" t="str">
        <x:v>CP</x:v>
      </x:c>
      <x:c r="G436" s="7" t="str">
        <x:v>penetration</x:v>
      </x:c>
      <x:c r="H436" s="7" t="str"/>
      <x:c r="I436" s="7" t="str"/>
      <x:c r="J436" s="7" t="str"/>
      <x:c r="K436" s="7" t="str">
        <x:f>IF(J436="","OPEN",IF(OR(H436="",I436=""),"FAIL","PASS"))</x:f>
        <x:v>OPEN</x:v>
      </x:c>
    </x:row>
    <x:row r="437">
      <x:c r="B437" s="7" t="str">
        <x:v>CPN-PEA-B-Y2-CP-7</x:v>
      </x:c>
      <x:c r="C437" s="7" t="str">
        <x:v>PEA-B-Y2</x:v>
      </x:c>
      <x:c r="D437" s="7" t="str">
        <x:v>BLD-B</x:v>
      </x:c>
      <x:c r="E437" s="7" t="str">
        <x:v>BL-Y</x:v>
      </x:c>
      <x:c r="F437" s="7" t="str">
        <x:v>CP</x:v>
      </x:c>
      <x:c r="G437" s="7" t="str">
        <x:v>penetration</x:v>
      </x:c>
      <x:c r="H437" s="7" t="str"/>
      <x:c r="I437" s="7" t="str"/>
      <x:c r="J437" s="7" t="str"/>
      <x:c r="K437" s="7" t="str">
        <x:f>IF(J437="","OPEN",IF(OR(H437="",I437=""),"FAIL","PASS"))</x:f>
        <x:v>OPEN</x:v>
      </x:c>
    </x:row>
    <x:row r="438">
      <x:c r="B438" s="7" t="str">
        <x:v>CPN-PEA-B-Y2-CP-8</x:v>
      </x:c>
      <x:c r="C438" s="7" t="str">
        <x:v>PEA-B-Y2</x:v>
      </x:c>
      <x:c r="D438" s="7" t="str">
        <x:v>BLD-B</x:v>
      </x:c>
      <x:c r="E438" s="7" t="str">
        <x:v>BL-Y</x:v>
      </x:c>
      <x:c r="F438" s="7" t="str">
        <x:v>CP</x:v>
      </x:c>
      <x:c r="G438" s="7" t="str">
        <x:v>penetration</x:v>
      </x:c>
      <x:c r="H438" s="7" t="str"/>
      <x:c r="I438" s="7" t="str"/>
      <x:c r="J438" s="7" t="str"/>
      <x:c r="K438" s="7" t="str">
        <x:f>IF(J438="","OPEN",IF(OR(H438="",I438=""),"FAIL","PASS"))</x:f>
        <x:v>OPEN</x:v>
      </x:c>
    </x:row>
    <x:row r="439">
      <x:c r="B439" s="7" t="str">
        <x:v>CPN-PEA-B-Y2-SM-1</x:v>
      </x:c>
      <x:c r="C439" s="7" t="str">
        <x:v>PEA-B-Y2</x:v>
      </x:c>
      <x:c r="D439" s="7" t="str">
        <x:v>BLD-B</x:v>
      </x:c>
      <x:c r="E439" s="7" t="str">
        <x:v>BL-Y</x:v>
      </x:c>
      <x:c r="F439" s="7" t="str">
        <x:v>SM</x:v>
      </x:c>
      <x:c r="G439" s="7" t="str">
        <x:v>sensor mount and datum</x:v>
      </x:c>
      <x:c r="H439" s="7" t="str"/>
      <x:c r="I439" s="7" t="str"/>
      <x:c r="J439" s="7" t="str"/>
      <x:c r="K439" s="7" t="str">
        <x:f>IF(J439="","OPEN",IF(OR(H439="",I439=""),"FAIL","PASS"))</x:f>
        <x:v>OPEN</x:v>
      </x:c>
    </x:row>
    <x:row r="440">
      <x:c r="B440" s="7" t="str">
        <x:v>CPN-PEA-B-Y2-SM-2</x:v>
      </x:c>
      <x:c r="C440" s="7" t="str">
        <x:v>PEA-B-Y2</x:v>
      </x:c>
      <x:c r="D440" s="7" t="str">
        <x:v>BLD-B</x:v>
      </x:c>
      <x:c r="E440" s="7" t="str">
        <x:v>BL-Y</x:v>
      </x:c>
      <x:c r="F440" s="7" t="str">
        <x:v>SM</x:v>
      </x:c>
      <x:c r="G440" s="7" t="str">
        <x:v>sensor mount and datum</x:v>
      </x:c>
      <x:c r="H440" s="7" t="str"/>
      <x:c r="I440" s="7" t="str"/>
      <x:c r="J440" s="7" t="str"/>
      <x:c r="K440" s="7" t="str">
        <x:f>IF(J440="","OPEN",IF(OR(H440="",I440=""),"FAIL","PASS"))</x:f>
        <x:v>OPEN</x:v>
      </x:c>
    </x:row>
    <x:row r="441">
      <x:c r="B441" s="7" t="str">
        <x:v>CPN-PEA-B-Y2-SM-3</x:v>
      </x:c>
      <x:c r="C441" s="7" t="str">
        <x:v>PEA-B-Y2</x:v>
      </x:c>
      <x:c r="D441" s="7" t="str">
        <x:v>BLD-B</x:v>
      </x:c>
      <x:c r="E441" s="7" t="str">
        <x:v>BL-Y</x:v>
      </x:c>
      <x:c r="F441" s="7" t="str">
        <x:v>SM</x:v>
      </x:c>
      <x:c r="G441" s="7" t="str">
        <x:v>sensor mount and datum</x:v>
      </x:c>
      <x:c r="H441" s="7" t="str"/>
      <x:c r="I441" s="7" t="str"/>
      <x:c r="J441" s="7" t="str"/>
      <x:c r="K441" s="7" t="str">
        <x:f>IF(J441="","OPEN",IF(OR(H441="",I441=""),"FAIL","PASS"))</x:f>
        <x:v>OPEN</x:v>
      </x:c>
    </x:row>
    <x:row r="442">
      <x:c r="B442" s="7" t="str">
        <x:v>CPN-PEA-B-Y2-SM-4</x:v>
      </x:c>
      <x:c r="C442" s="7" t="str">
        <x:v>PEA-B-Y2</x:v>
      </x:c>
      <x:c r="D442" s="7" t="str">
        <x:v>BLD-B</x:v>
      </x:c>
      <x:c r="E442" s="7" t="str">
        <x:v>BL-Y</x:v>
      </x:c>
      <x:c r="F442" s="7" t="str">
        <x:v>SM</x:v>
      </x:c>
      <x:c r="G442" s="7" t="str">
        <x:v>sensor mount and datum</x:v>
      </x:c>
      <x:c r="H442" s="7" t="str"/>
      <x:c r="I442" s="7" t="str"/>
      <x:c r="J442" s="7" t="str"/>
      <x:c r="K442" s="7" t="str">
        <x:f>IF(J442="","OPEN",IF(OR(H442="",I442=""),"FAIL","PASS"))</x:f>
        <x:v>OPEN</x:v>
      </x:c>
    </x:row>
    <x:row r="443">
      <x:c r="B443" s="7" t="str">
        <x:v>CPN-PEA-B-Y2-SM-5</x:v>
      </x:c>
      <x:c r="C443" s="7" t="str">
        <x:v>PEA-B-Y2</x:v>
      </x:c>
      <x:c r="D443" s="7" t="str">
        <x:v>BLD-B</x:v>
      </x:c>
      <x:c r="E443" s="7" t="str">
        <x:v>BL-Y</x:v>
      </x:c>
      <x:c r="F443" s="7" t="str">
        <x:v>SM</x:v>
      </x:c>
      <x:c r="G443" s="7" t="str">
        <x:v>sensor mount and datum</x:v>
      </x:c>
      <x:c r="H443" s="7" t="str"/>
      <x:c r="I443" s="7" t="str"/>
      <x:c r="J443" s="7" t="str"/>
      <x:c r="K443" s="7" t="str">
        <x:f>IF(J443="","OPEN",IF(OR(H443="",I443=""),"FAIL","PASS"))</x:f>
        <x:v>OPEN</x:v>
      </x:c>
    </x:row>
    <x:row r="444">
      <x:c r="B444" s="7" t="str">
        <x:v>CPN-PEA-B-Y2-SM-6</x:v>
      </x:c>
      <x:c r="C444" s="7" t="str">
        <x:v>PEA-B-Y2</x:v>
      </x:c>
      <x:c r="D444" s="7" t="str">
        <x:v>BLD-B</x:v>
      </x:c>
      <x:c r="E444" s="7" t="str">
        <x:v>BL-Y</x:v>
      </x:c>
      <x:c r="F444" s="7" t="str">
        <x:v>SM</x:v>
      </x:c>
      <x:c r="G444" s="7" t="str">
        <x:v>sensor mount and datum</x:v>
      </x:c>
      <x:c r="H444" s="7" t="str"/>
      <x:c r="I444" s="7" t="str"/>
      <x:c r="J444" s="7" t="str"/>
      <x:c r="K444" s="7" t="str">
        <x:f>IF(J444="","OPEN",IF(OR(H444="",I444=""),"FAIL","PASS"))</x:f>
        <x:v>OPEN</x:v>
      </x:c>
    </x:row>
    <x:row r="445">
      <x:c r="B445" s="7" t="str">
        <x:v>CPN-PEA-B-Y2-SM-7</x:v>
      </x:c>
      <x:c r="C445" s="7" t="str">
        <x:v>PEA-B-Y2</x:v>
      </x:c>
      <x:c r="D445" s="7" t="str">
        <x:v>BLD-B</x:v>
      </x:c>
      <x:c r="E445" s="7" t="str">
        <x:v>BL-Y</x:v>
      </x:c>
      <x:c r="F445" s="7" t="str">
        <x:v>SM</x:v>
      </x:c>
      <x:c r="G445" s="7" t="str">
        <x:v>sensor mount and datum</x:v>
      </x:c>
      <x:c r="H445" s="7" t="str"/>
      <x:c r="I445" s="7" t="str"/>
      <x:c r="J445" s="7" t="str"/>
      <x:c r="K445" s="7" t="str">
        <x:f>IF(J445="","OPEN",IF(OR(H445="",I445=""),"FAIL","PASS"))</x:f>
        <x:v>OPEN</x:v>
      </x:c>
    </x:row>
    <x:row r="446">
      <x:c r="B446" s="7" t="str">
        <x:v>CPN-PEA-B-Y2-SM-8</x:v>
      </x:c>
      <x:c r="C446" s="7" t="str">
        <x:v>PEA-B-Y2</x:v>
      </x:c>
      <x:c r="D446" s="7" t="str">
        <x:v>BLD-B</x:v>
      </x:c>
      <x:c r="E446" s="7" t="str">
        <x:v>BL-Y</x:v>
      </x:c>
      <x:c r="F446" s="7" t="str">
        <x:v>SM</x:v>
      </x:c>
      <x:c r="G446" s="7" t="str">
        <x:v>sensor mount and datum</x:v>
      </x:c>
      <x:c r="H446" s="7" t="str"/>
      <x:c r="I446" s="7" t="str"/>
      <x:c r="J446" s="7" t="str"/>
      <x:c r="K446" s="7" t="str">
        <x:f>IF(J446="","OPEN",IF(OR(H446="",I446=""),"FAIL","PASS"))</x:f>
        <x:v>OPEN</x:v>
      </x:c>
    </x:row>
    <x:row r="447">
      <x:c r="B447" s="7" t="str">
        <x:v>CPN-PEA-B-Y3-CJ-1</x:v>
      </x:c>
      <x:c r="C447" s="7" t="str">
        <x:v>PEA-B-Y3</x:v>
      </x:c>
      <x:c r="D447" s="7" t="str">
        <x:v>BLD-B</x:v>
      </x:c>
      <x:c r="E447" s="7" t="str">
        <x:v>BL-Y</x:v>
      </x:c>
      <x:c r="F447" s="7" t="str">
        <x:v>CJ</x:v>
      </x:c>
      <x:c r="G447" s="7" t="str">
        <x:v>joint or weld</x:v>
      </x:c>
      <x:c r="H447" s="7" t="str"/>
      <x:c r="I447" s="7" t="str"/>
      <x:c r="J447" s="7" t="str"/>
      <x:c r="K447" s="7" t="str">
        <x:f>IF(J447="","OPEN",IF(OR(H447="",I447=""),"FAIL","PASS"))</x:f>
        <x:v>OPEN</x:v>
      </x:c>
    </x:row>
    <x:row r="448">
      <x:c r="B448" s="7" t="str">
        <x:v>CPN-PEA-B-Y3-CJ-2</x:v>
      </x:c>
      <x:c r="C448" s="7" t="str">
        <x:v>PEA-B-Y3</x:v>
      </x:c>
      <x:c r="D448" s="7" t="str">
        <x:v>BLD-B</x:v>
      </x:c>
      <x:c r="E448" s="7" t="str">
        <x:v>BL-Y</x:v>
      </x:c>
      <x:c r="F448" s="7" t="str">
        <x:v>CJ</x:v>
      </x:c>
      <x:c r="G448" s="7" t="str">
        <x:v>joint or weld</x:v>
      </x:c>
      <x:c r="H448" s="7" t="str"/>
      <x:c r="I448" s="7" t="str"/>
      <x:c r="J448" s="7" t="str"/>
      <x:c r="K448" s="7" t="str">
        <x:f>IF(J448="","OPEN",IF(OR(H448="",I448=""),"FAIL","PASS"))</x:f>
        <x:v>OPEN</x:v>
      </x:c>
    </x:row>
    <x:row r="449">
      <x:c r="B449" s="7" t="str">
        <x:v>CPN-PEA-B-Y3-CJ-3</x:v>
      </x:c>
      <x:c r="C449" s="7" t="str">
        <x:v>PEA-B-Y3</x:v>
      </x:c>
      <x:c r="D449" s="7" t="str">
        <x:v>BLD-B</x:v>
      </x:c>
      <x:c r="E449" s="7" t="str">
        <x:v>BL-Y</x:v>
      </x:c>
      <x:c r="F449" s="7" t="str">
        <x:v>CJ</x:v>
      </x:c>
      <x:c r="G449" s="7" t="str">
        <x:v>joint or weld</x:v>
      </x:c>
      <x:c r="H449" s="7" t="str"/>
      <x:c r="I449" s="7" t="str"/>
      <x:c r="J449" s="7" t="str"/>
      <x:c r="K449" s="7" t="str">
        <x:f>IF(J449="","OPEN",IF(OR(H449="",I449=""),"FAIL","PASS"))</x:f>
        <x:v>OPEN</x:v>
      </x:c>
    </x:row>
    <x:row r="450">
      <x:c r="B450" s="7" t="str">
        <x:v>CPN-PEA-B-Y3-CJ-4</x:v>
      </x:c>
      <x:c r="C450" s="7" t="str">
        <x:v>PEA-B-Y3</x:v>
      </x:c>
      <x:c r="D450" s="7" t="str">
        <x:v>BLD-B</x:v>
      </x:c>
      <x:c r="E450" s="7" t="str">
        <x:v>BL-Y</x:v>
      </x:c>
      <x:c r="F450" s="7" t="str">
        <x:v>CJ</x:v>
      </x:c>
      <x:c r="G450" s="7" t="str">
        <x:v>joint or weld</x:v>
      </x:c>
      <x:c r="H450" s="7" t="str"/>
      <x:c r="I450" s="7" t="str"/>
      <x:c r="J450" s="7" t="str"/>
      <x:c r="K450" s="7" t="str">
        <x:f>IF(J450="","OPEN",IF(OR(H450="",I450=""),"FAIL","PASS"))</x:f>
        <x:v>OPEN</x:v>
      </x:c>
    </x:row>
    <x:row r="451">
      <x:c r="B451" s="7" t="str">
        <x:v>CPN-PEA-B-Y3-CJ-5</x:v>
      </x:c>
      <x:c r="C451" s="7" t="str">
        <x:v>PEA-B-Y3</x:v>
      </x:c>
      <x:c r="D451" s="7" t="str">
        <x:v>BLD-B</x:v>
      </x:c>
      <x:c r="E451" s="7" t="str">
        <x:v>BL-Y</x:v>
      </x:c>
      <x:c r="F451" s="7" t="str">
        <x:v>CJ</x:v>
      </x:c>
      <x:c r="G451" s="7" t="str">
        <x:v>joint or weld</x:v>
      </x:c>
      <x:c r="H451" s="7" t="str"/>
      <x:c r="I451" s="7" t="str"/>
      <x:c r="J451" s="7" t="str"/>
      <x:c r="K451" s="7" t="str">
        <x:f>IF(J451="","OPEN",IF(OR(H451="",I451=""),"FAIL","PASS"))</x:f>
        <x:v>OPEN</x:v>
      </x:c>
    </x:row>
    <x:row r="452">
      <x:c r="B452" s="7" t="str">
        <x:v>CPN-PEA-B-Y3-CJ-6</x:v>
      </x:c>
      <x:c r="C452" s="7" t="str">
        <x:v>PEA-B-Y3</x:v>
      </x:c>
      <x:c r="D452" s="7" t="str">
        <x:v>BLD-B</x:v>
      </x:c>
      <x:c r="E452" s="7" t="str">
        <x:v>BL-Y</x:v>
      </x:c>
      <x:c r="F452" s="7" t="str">
        <x:v>CJ</x:v>
      </x:c>
      <x:c r="G452" s="7" t="str">
        <x:v>joint or weld</x:v>
      </x:c>
      <x:c r="H452" s="7" t="str"/>
      <x:c r="I452" s="7" t="str"/>
      <x:c r="J452" s="7" t="str"/>
      <x:c r="K452" s="7" t="str">
        <x:f>IF(J452="","OPEN",IF(OR(H452="",I452=""),"FAIL","PASS"))</x:f>
        <x:v>OPEN</x:v>
      </x:c>
    </x:row>
    <x:row r="453">
      <x:c r="B453" s="7" t="str">
        <x:v>CPN-PEA-B-Y3-CJ-7</x:v>
      </x:c>
      <x:c r="C453" s="7" t="str">
        <x:v>PEA-B-Y3</x:v>
      </x:c>
      <x:c r="D453" s="7" t="str">
        <x:v>BLD-B</x:v>
      </x:c>
      <x:c r="E453" s="7" t="str">
        <x:v>BL-Y</x:v>
      </x:c>
      <x:c r="F453" s="7" t="str">
        <x:v>CJ</x:v>
      </x:c>
      <x:c r="G453" s="7" t="str">
        <x:v>joint or weld</x:v>
      </x:c>
      <x:c r="H453" s="7" t="str"/>
      <x:c r="I453" s="7" t="str"/>
      <x:c r="J453" s="7" t="str"/>
      <x:c r="K453" s="7" t="str">
        <x:f>IF(J453="","OPEN",IF(OR(H453="",I453=""),"FAIL","PASS"))</x:f>
        <x:v>OPEN</x:v>
      </x:c>
    </x:row>
    <x:row r="454">
      <x:c r="B454" s="7" t="str">
        <x:v>CPN-PEA-B-Y3-CJ-8</x:v>
      </x:c>
      <x:c r="C454" s="7" t="str">
        <x:v>PEA-B-Y3</x:v>
      </x:c>
      <x:c r="D454" s="7" t="str">
        <x:v>BLD-B</x:v>
      </x:c>
      <x:c r="E454" s="7" t="str">
        <x:v>BL-Y</x:v>
      </x:c>
      <x:c r="F454" s="7" t="str">
        <x:v>CJ</x:v>
      </x:c>
      <x:c r="G454" s="7" t="str">
        <x:v>joint or weld</x:v>
      </x:c>
      <x:c r="H454" s="7" t="str"/>
      <x:c r="I454" s="7" t="str"/>
      <x:c r="J454" s="7" t="str"/>
      <x:c r="K454" s="7" t="str">
        <x:f>IF(J454="","OPEN",IF(OR(H454="",I454=""),"FAIL","PASS"))</x:f>
        <x:v>OPEN</x:v>
      </x:c>
    </x:row>
    <x:row r="455">
      <x:c r="B455" s="7" t="str">
        <x:v>CPN-PEA-B-Y3-SE-1</x:v>
      </x:c>
      <x:c r="C455" s="7" t="str">
        <x:v>PEA-B-Y3</x:v>
      </x:c>
      <x:c r="D455" s="7" t="str">
        <x:v>BLD-B</x:v>
      </x:c>
      <x:c r="E455" s="7" t="str">
        <x:v>BL-Y</x:v>
      </x:c>
      <x:c r="F455" s="7" t="str">
        <x:v>SE</x:v>
      </x:c>
      <x:c r="G455" s="7" t="str">
        <x:v>seal and gasket</x:v>
      </x:c>
      <x:c r="H455" s="7" t="str"/>
      <x:c r="I455" s="7" t="str"/>
      <x:c r="J455" s="7" t="str"/>
      <x:c r="K455" s="7" t="str">
        <x:f>IF(J455="","OPEN",IF(OR(H455="",I455=""),"FAIL","PASS"))</x:f>
        <x:v>OPEN</x:v>
      </x:c>
    </x:row>
    <x:row r="456">
      <x:c r="B456" s="7" t="str">
        <x:v>CPN-PEA-B-Y3-SE-2</x:v>
      </x:c>
      <x:c r="C456" s="7" t="str">
        <x:v>PEA-B-Y3</x:v>
      </x:c>
      <x:c r="D456" s="7" t="str">
        <x:v>BLD-B</x:v>
      </x:c>
      <x:c r="E456" s="7" t="str">
        <x:v>BL-Y</x:v>
      </x:c>
      <x:c r="F456" s="7" t="str">
        <x:v>SE</x:v>
      </x:c>
      <x:c r="G456" s="7" t="str">
        <x:v>seal and gasket</x:v>
      </x:c>
      <x:c r="H456" s="7" t="str"/>
      <x:c r="I456" s="7" t="str"/>
      <x:c r="J456" s="7" t="str"/>
      <x:c r="K456" s="7" t="str">
        <x:f>IF(J456="","OPEN",IF(OR(H456="",I456=""),"FAIL","PASS"))</x:f>
        <x:v>OPEN</x:v>
      </x:c>
    </x:row>
    <x:row r="457">
      <x:c r="B457" s="7" t="str">
        <x:v>CPN-PEA-B-Y3-SE-3</x:v>
      </x:c>
      <x:c r="C457" s="7" t="str">
        <x:v>PEA-B-Y3</x:v>
      </x:c>
      <x:c r="D457" s="7" t="str">
        <x:v>BLD-B</x:v>
      </x:c>
      <x:c r="E457" s="7" t="str">
        <x:v>BL-Y</x:v>
      </x:c>
      <x:c r="F457" s="7" t="str">
        <x:v>SE</x:v>
      </x:c>
      <x:c r="G457" s="7" t="str">
        <x:v>seal and gasket</x:v>
      </x:c>
      <x:c r="H457" s="7" t="str"/>
      <x:c r="I457" s="7" t="str"/>
      <x:c r="J457" s="7" t="str"/>
      <x:c r="K457" s="7" t="str">
        <x:f>IF(J457="","OPEN",IF(OR(H457="",I457=""),"FAIL","PASS"))</x:f>
        <x:v>OPEN</x:v>
      </x:c>
    </x:row>
    <x:row r="458">
      <x:c r="B458" s="7" t="str">
        <x:v>CPN-PEA-B-Y3-SE-4</x:v>
      </x:c>
      <x:c r="C458" s="7" t="str">
        <x:v>PEA-B-Y3</x:v>
      </x:c>
      <x:c r="D458" s="7" t="str">
        <x:v>BLD-B</x:v>
      </x:c>
      <x:c r="E458" s="7" t="str">
        <x:v>BL-Y</x:v>
      </x:c>
      <x:c r="F458" s="7" t="str">
        <x:v>SE</x:v>
      </x:c>
      <x:c r="G458" s="7" t="str">
        <x:v>seal and gasket</x:v>
      </x:c>
      <x:c r="H458" s="7" t="str"/>
      <x:c r="I458" s="7" t="str"/>
      <x:c r="J458" s="7" t="str"/>
      <x:c r="K458" s="7" t="str">
        <x:f>IF(J458="","OPEN",IF(OR(H458="",I458=""),"FAIL","PASS"))</x:f>
        <x:v>OPEN</x:v>
      </x:c>
    </x:row>
    <x:row r="459">
      <x:c r="B459" s="7" t="str">
        <x:v>CPN-PEA-B-Y3-SE-5</x:v>
      </x:c>
      <x:c r="C459" s="7" t="str">
        <x:v>PEA-B-Y3</x:v>
      </x:c>
      <x:c r="D459" s="7" t="str">
        <x:v>BLD-B</x:v>
      </x:c>
      <x:c r="E459" s="7" t="str">
        <x:v>BL-Y</x:v>
      </x:c>
      <x:c r="F459" s="7" t="str">
        <x:v>SE</x:v>
      </x:c>
      <x:c r="G459" s="7" t="str">
        <x:v>seal and gasket</x:v>
      </x:c>
      <x:c r="H459" s="7" t="str"/>
      <x:c r="I459" s="7" t="str"/>
      <x:c r="J459" s="7" t="str"/>
      <x:c r="K459" s="7" t="str">
        <x:f>IF(J459="","OPEN",IF(OR(H459="",I459=""),"FAIL","PASS"))</x:f>
        <x:v>OPEN</x:v>
      </x:c>
    </x:row>
    <x:row r="460">
      <x:c r="B460" s="7" t="str">
        <x:v>CPN-PEA-B-Y3-SE-6</x:v>
      </x:c>
      <x:c r="C460" s="7" t="str">
        <x:v>PEA-B-Y3</x:v>
      </x:c>
      <x:c r="D460" s="7" t="str">
        <x:v>BLD-B</x:v>
      </x:c>
      <x:c r="E460" s="7" t="str">
        <x:v>BL-Y</x:v>
      </x:c>
      <x:c r="F460" s="7" t="str">
        <x:v>SE</x:v>
      </x:c>
      <x:c r="G460" s="7" t="str">
        <x:v>seal and gasket</x:v>
      </x:c>
      <x:c r="H460" s="7" t="str"/>
      <x:c r="I460" s="7" t="str"/>
      <x:c r="J460" s="7" t="str"/>
      <x:c r="K460" s="7" t="str">
        <x:f>IF(J460="","OPEN",IF(OR(H460="",I460=""),"FAIL","PASS"))</x:f>
        <x:v>OPEN</x:v>
      </x:c>
    </x:row>
    <x:row r="461">
      <x:c r="B461" s="7" t="str">
        <x:v>CPN-PEA-B-Y3-SE-7</x:v>
      </x:c>
      <x:c r="C461" s="7" t="str">
        <x:v>PEA-B-Y3</x:v>
      </x:c>
      <x:c r="D461" s="7" t="str">
        <x:v>BLD-B</x:v>
      </x:c>
      <x:c r="E461" s="7" t="str">
        <x:v>BL-Y</x:v>
      </x:c>
      <x:c r="F461" s="7" t="str">
        <x:v>SE</x:v>
      </x:c>
      <x:c r="G461" s="7" t="str">
        <x:v>seal and gasket</x:v>
      </x:c>
      <x:c r="H461" s="7" t="str"/>
      <x:c r="I461" s="7" t="str"/>
      <x:c r="J461" s="7" t="str"/>
      <x:c r="K461" s="7" t="str">
        <x:f>IF(J461="","OPEN",IF(OR(H461="",I461=""),"FAIL","PASS"))</x:f>
        <x:v>OPEN</x:v>
      </x:c>
    </x:row>
    <x:row r="462">
      <x:c r="B462" s="7" t="str">
        <x:v>CPN-PEA-B-Y3-SE-8</x:v>
      </x:c>
      <x:c r="C462" s="7" t="str">
        <x:v>PEA-B-Y3</x:v>
      </x:c>
      <x:c r="D462" s="7" t="str">
        <x:v>BLD-B</x:v>
      </x:c>
      <x:c r="E462" s="7" t="str">
        <x:v>BL-Y</x:v>
      </x:c>
      <x:c r="F462" s="7" t="str">
        <x:v>SE</x:v>
      </x:c>
      <x:c r="G462" s="7" t="str">
        <x:v>seal and gasket</x:v>
      </x:c>
      <x:c r="H462" s="7" t="str"/>
      <x:c r="I462" s="7" t="str"/>
      <x:c r="J462" s="7" t="str"/>
      <x:c r="K462" s="7" t="str">
        <x:f>IF(J462="","OPEN",IF(OR(H462="",I462=""),"FAIL","PASS"))</x:f>
        <x:v>OPEN</x:v>
      </x:c>
    </x:row>
    <x:row r="463">
      <x:c r="B463" s="7" t="str">
        <x:v>CPN-PEA-B-Y3-SF-1</x:v>
      </x:c>
      <x:c r="C463" s="7" t="str">
        <x:v>PEA-B-Y3</x:v>
      </x:c>
      <x:c r="D463" s="7" t="str">
        <x:v>BLD-B</x:v>
      </x:c>
      <x:c r="E463" s="7" t="str">
        <x:v>BL-Y</x:v>
      </x:c>
      <x:c r="F463" s="7" t="str">
        <x:v>SF</x:v>
      </x:c>
      <x:c r="G463" s="7" t="str">
        <x:v>wetted surface</x:v>
      </x:c>
      <x:c r="H463" s="7" t="str"/>
      <x:c r="I463" s="7" t="str"/>
      <x:c r="J463" s="7" t="str"/>
      <x:c r="K463" s="7" t="str">
        <x:f>IF(J463="","OPEN",IF(OR(H463="",I463=""),"FAIL","PASS"))</x:f>
        <x:v>OPEN</x:v>
      </x:c>
    </x:row>
    <x:row r="464">
      <x:c r="B464" s="7" t="str">
        <x:v>CPN-PEA-B-Y3-SF-2</x:v>
      </x:c>
      <x:c r="C464" s="7" t="str">
        <x:v>PEA-B-Y3</x:v>
      </x:c>
      <x:c r="D464" s="7" t="str">
        <x:v>BLD-B</x:v>
      </x:c>
      <x:c r="E464" s="7" t="str">
        <x:v>BL-Y</x:v>
      </x:c>
      <x:c r="F464" s="7" t="str">
        <x:v>SF</x:v>
      </x:c>
      <x:c r="G464" s="7" t="str">
        <x:v>wetted surface</x:v>
      </x:c>
      <x:c r="H464" s="7" t="str"/>
      <x:c r="I464" s="7" t="str"/>
      <x:c r="J464" s="7" t="str"/>
      <x:c r="K464" s="7" t="str">
        <x:f>IF(J464="","OPEN",IF(OR(H464="",I464=""),"FAIL","PASS"))</x:f>
        <x:v>OPEN</x:v>
      </x:c>
    </x:row>
    <x:row r="465">
      <x:c r="B465" s="7" t="str">
        <x:v>CPN-PEA-B-Y3-SF-3</x:v>
      </x:c>
      <x:c r="C465" s="7" t="str">
        <x:v>PEA-B-Y3</x:v>
      </x:c>
      <x:c r="D465" s="7" t="str">
        <x:v>BLD-B</x:v>
      </x:c>
      <x:c r="E465" s="7" t="str">
        <x:v>BL-Y</x:v>
      </x:c>
      <x:c r="F465" s="7" t="str">
        <x:v>SF</x:v>
      </x:c>
      <x:c r="G465" s="7" t="str">
        <x:v>wetted surface</x:v>
      </x:c>
      <x:c r="H465" s="7" t="str"/>
      <x:c r="I465" s="7" t="str"/>
      <x:c r="J465" s="7" t="str"/>
      <x:c r="K465" s="7" t="str">
        <x:f>IF(J465="","OPEN",IF(OR(H465="",I465=""),"FAIL","PASS"))</x:f>
        <x:v>OPEN</x:v>
      </x:c>
    </x:row>
    <x:row r="466">
      <x:c r="B466" s="7" t="str">
        <x:v>CPN-PEA-B-Y3-SF-4</x:v>
      </x:c>
      <x:c r="C466" s="7" t="str">
        <x:v>PEA-B-Y3</x:v>
      </x:c>
      <x:c r="D466" s="7" t="str">
        <x:v>BLD-B</x:v>
      </x:c>
      <x:c r="E466" s="7" t="str">
        <x:v>BL-Y</x:v>
      </x:c>
      <x:c r="F466" s="7" t="str">
        <x:v>SF</x:v>
      </x:c>
      <x:c r="G466" s="7" t="str">
        <x:v>wetted surface</x:v>
      </x:c>
      <x:c r="H466" s="7" t="str"/>
      <x:c r="I466" s="7" t="str"/>
      <x:c r="J466" s="7" t="str"/>
      <x:c r="K466" s="7" t="str">
        <x:f>IF(J466="","OPEN",IF(OR(H466="",I466=""),"FAIL","PASS"))</x:f>
        <x:v>OPEN</x:v>
      </x:c>
    </x:row>
    <x:row r="467">
      <x:c r="B467" s="7" t="str">
        <x:v>CPN-PEA-B-Y3-SF-5</x:v>
      </x:c>
      <x:c r="C467" s="7" t="str">
        <x:v>PEA-B-Y3</x:v>
      </x:c>
      <x:c r="D467" s="7" t="str">
        <x:v>BLD-B</x:v>
      </x:c>
      <x:c r="E467" s="7" t="str">
        <x:v>BL-Y</x:v>
      </x:c>
      <x:c r="F467" s="7" t="str">
        <x:v>SF</x:v>
      </x:c>
      <x:c r="G467" s="7" t="str">
        <x:v>wetted surface</x:v>
      </x:c>
      <x:c r="H467" s="7" t="str"/>
      <x:c r="I467" s="7" t="str"/>
      <x:c r="J467" s="7" t="str"/>
      <x:c r="K467" s="7" t="str">
        <x:f>IF(J467="","OPEN",IF(OR(H467="",I467=""),"FAIL","PASS"))</x:f>
        <x:v>OPEN</x:v>
      </x:c>
    </x:row>
    <x:row r="468">
      <x:c r="B468" s="7" t="str">
        <x:v>CPN-PEA-B-Y3-SF-6</x:v>
      </x:c>
      <x:c r="C468" s="7" t="str">
        <x:v>PEA-B-Y3</x:v>
      </x:c>
      <x:c r="D468" s="7" t="str">
        <x:v>BLD-B</x:v>
      </x:c>
      <x:c r="E468" s="7" t="str">
        <x:v>BL-Y</x:v>
      </x:c>
      <x:c r="F468" s="7" t="str">
        <x:v>SF</x:v>
      </x:c>
      <x:c r="G468" s="7" t="str">
        <x:v>wetted surface</x:v>
      </x:c>
      <x:c r="H468" s="7" t="str"/>
      <x:c r="I468" s="7" t="str"/>
      <x:c r="J468" s="7" t="str"/>
      <x:c r="K468" s="7" t="str">
        <x:f>IF(J468="","OPEN",IF(OR(H468="",I468=""),"FAIL","PASS"))</x:f>
        <x:v>OPEN</x:v>
      </x:c>
    </x:row>
    <x:row r="469">
      <x:c r="B469" s="7" t="str">
        <x:v>CPN-PEA-B-Y3-SF-7</x:v>
      </x:c>
      <x:c r="C469" s="7" t="str">
        <x:v>PEA-B-Y3</x:v>
      </x:c>
      <x:c r="D469" s="7" t="str">
        <x:v>BLD-B</x:v>
      </x:c>
      <x:c r="E469" s="7" t="str">
        <x:v>BL-Y</x:v>
      </x:c>
      <x:c r="F469" s="7" t="str">
        <x:v>SF</x:v>
      </x:c>
      <x:c r="G469" s="7" t="str">
        <x:v>wetted surface</x:v>
      </x:c>
      <x:c r="H469" s="7" t="str"/>
      <x:c r="I469" s="7" t="str"/>
      <x:c r="J469" s="7" t="str"/>
      <x:c r="K469" s="7" t="str">
        <x:f>IF(J469="","OPEN",IF(OR(H469="",I469=""),"FAIL","PASS"))</x:f>
        <x:v>OPEN</x:v>
      </x:c>
    </x:row>
    <x:row r="470">
      <x:c r="B470" s="7" t="str">
        <x:v>CPN-PEA-B-Y3-SF-8</x:v>
      </x:c>
      <x:c r="C470" s="7" t="str">
        <x:v>PEA-B-Y3</x:v>
      </x:c>
      <x:c r="D470" s="7" t="str">
        <x:v>BLD-B</x:v>
      </x:c>
      <x:c r="E470" s="7" t="str">
        <x:v>BL-Y</x:v>
      </x:c>
      <x:c r="F470" s="7" t="str">
        <x:v>SF</x:v>
      </x:c>
      <x:c r="G470" s="7" t="str">
        <x:v>wetted surface</x:v>
      </x:c>
      <x:c r="H470" s="7" t="str"/>
      <x:c r="I470" s="7" t="str"/>
      <x:c r="J470" s="7" t="str"/>
      <x:c r="K470" s="7" t="str">
        <x:f>IF(J470="","OPEN",IF(OR(H470="",I470=""),"FAIL","PASS"))</x:f>
        <x:v>OPEN</x:v>
      </x:c>
    </x:row>
    <x:row r="471">
      <x:c r="B471" s="7" t="str">
        <x:v>CPN-PEA-B-Y3-CP-1</x:v>
      </x:c>
      <x:c r="C471" s="7" t="str">
        <x:v>PEA-B-Y3</x:v>
      </x:c>
      <x:c r="D471" s="7" t="str">
        <x:v>BLD-B</x:v>
      </x:c>
      <x:c r="E471" s="7" t="str">
        <x:v>BL-Y</x:v>
      </x:c>
      <x:c r="F471" s="7" t="str">
        <x:v>CP</x:v>
      </x:c>
      <x:c r="G471" s="7" t="str">
        <x:v>penetration</x:v>
      </x:c>
      <x:c r="H471" s="7" t="str"/>
      <x:c r="I471" s="7" t="str"/>
      <x:c r="J471" s="7" t="str"/>
      <x:c r="K471" s="7" t="str">
        <x:f>IF(J471="","OPEN",IF(OR(H471="",I471=""),"FAIL","PASS"))</x:f>
        <x:v>OPEN</x:v>
      </x:c>
    </x:row>
    <x:row r="472">
      <x:c r="B472" s="7" t="str">
        <x:v>CPN-PEA-B-Y3-CP-2</x:v>
      </x:c>
      <x:c r="C472" s="7" t="str">
        <x:v>PEA-B-Y3</x:v>
      </x:c>
      <x:c r="D472" s="7" t="str">
        <x:v>BLD-B</x:v>
      </x:c>
      <x:c r="E472" s="7" t="str">
        <x:v>BL-Y</x:v>
      </x:c>
      <x:c r="F472" s="7" t="str">
        <x:v>CP</x:v>
      </x:c>
      <x:c r="G472" s="7" t="str">
        <x:v>penetration</x:v>
      </x:c>
      <x:c r="H472" s="7" t="str"/>
      <x:c r="I472" s="7" t="str"/>
      <x:c r="J472" s="7" t="str"/>
      <x:c r="K472" s="7" t="str">
        <x:f>IF(J472="","OPEN",IF(OR(H472="",I472=""),"FAIL","PASS"))</x:f>
        <x:v>OPEN</x:v>
      </x:c>
    </x:row>
    <x:row r="473">
      <x:c r="B473" s="7" t="str">
        <x:v>CPN-PEA-B-Y3-CP-3</x:v>
      </x:c>
      <x:c r="C473" s="7" t="str">
        <x:v>PEA-B-Y3</x:v>
      </x:c>
      <x:c r="D473" s="7" t="str">
        <x:v>BLD-B</x:v>
      </x:c>
      <x:c r="E473" s="7" t="str">
        <x:v>BL-Y</x:v>
      </x:c>
      <x:c r="F473" s="7" t="str">
        <x:v>CP</x:v>
      </x:c>
      <x:c r="G473" s="7" t="str">
        <x:v>penetration</x:v>
      </x:c>
      <x:c r="H473" s="7" t="str"/>
      <x:c r="I473" s="7" t="str"/>
      <x:c r="J473" s="7" t="str"/>
      <x:c r="K473" s="7" t="str">
        <x:f>IF(J473="","OPEN",IF(OR(H473="",I473=""),"FAIL","PASS"))</x:f>
        <x:v>OPEN</x:v>
      </x:c>
    </x:row>
    <x:row r="474">
      <x:c r="B474" s="7" t="str">
        <x:v>CPN-PEA-B-Y3-CP-4</x:v>
      </x:c>
      <x:c r="C474" s="7" t="str">
        <x:v>PEA-B-Y3</x:v>
      </x:c>
      <x:c r="D474" s="7" t="str">
        <x:v>BLD-B</x:v>
      </x:c>
      <x:c r="E474" s="7" t="str">
        <x:v>BL-Y</x:v>
      </x:c>
      <x:c r="F474" s="7" t="str">
        <x:v>CP</x:v>
      </x:c>
      <x:c r="G474" s="7" t="str">
        <x:v>penetration</x:v>
      </x:c>
      <x:c r="H474" s="7" t="str"/>
      <x:c r="I474" s="7" t="str"/>
      <x:c r="J474" s="7" t="str"/>
      <x:c r="K474" s="7" t="str">
        <x:f>IF(J474="","OPEN",IF(OR(H474="",I474=""),"FAIL","PASS"))</x:f>
        <x:v>OPEN</x:v>
      </x:c>
    </x:row>
    <x:row r="475">
      <x:c r="B475" s="7" t="str">
        <x:v>CPN-PEA-B-Y3-CP-5</x:v>
      </x:c>
      <x:c r="C475" s="7" t="str">
        <x:v>PEA-B-Y3</x:v>
      </x:c>
      <x:c r="D475" s="7" t="str">
        <x:v>BLD-B</x:v>
      </x:c>
      <x:c r="E475" s="7" t="str">
        <x:v>BL-Y</x:v>
      </x:c>
      <x:c r="F475" s="7" t="str">
        <x:v>CP</x:v>
      </x:c>
      <x:c r="G475" s="7" t="str">
        <x:v>penetration</x:v>
      </x:c>
      <x:c r="H475" s="7" t="str"/>
      <x:c r="I475" s="7" t="str"/>
      <x:c r="J475" s="7" t="str"/>
      <x:c r="K475" s="7" t="str">
        <x:f>IF(J475="","OPEN",IF(OR(H475="",I475=""),"FAIL","PASS"))</x:f>
        <x:v>OPEN</x:v>
      </x:c>
    </x:row>
    <x:row r="476">
      <x:c r="B476" s="7" t="str">
        <x:v>CPN-PEA-B-Y3-CP-6</x:v>
      </x:c>
      <x:c r="C476" s="7" t="str">
        <x:v>PEA-B-Y3</x:v>
      </x:c>
      <x:c r="D476" s="7" t="str">
        <x:v>BLD-B</x:v>
      </x:c>
      <x:c r="E476" s="7" t="str">
        <x:v>BL-Y</x:v>
      </x:c>
      <x:c r="F476" s="7" t="str">
        <x:v>CP</x:v>
      </x:c>
      <x:c r="G476" s="7" t="str">
        <x:v>penetration</x:v>
      </x:c>
      <x:c r="H476" s="7" t="str"/>
      <x:c r="I476" s="7" t="str"/>
      <x:c r="J476" s="7" t="str"/>
      <x:c r="K476" s="7" t="str">
        <x:f>IF(J476="","OPEN",IF(OR(H476="",I476=""),"FAIL","PASS"))</x:f>
        <x:v>OPEN</x:v>
      </x:c>
    </x:row>
    <x:row r="477">
      <x:c r="B477" s="7" t="str">
        <x:v>CPN-PEA-B-Y3-CP-7</x:v>
      </x:c>
      <x:c r="C477" s="7" t="str">
        <x:v>PEA-B-Y3</x:v>
      </x:c>
      <x:c r="D477" s="7" t="str">
        <x:v>BLD-B</x:v>
      </x:c>
      <x:c r="E477" s="7" t="str">
        <x:v>BL-Y</x:v>
      </x:c>
      <x:c r="F477" s="7" t="str">
        <x:v>CP</x:v>
      </x:c>
      <x:c r="G477" s="7" t="str">
        <x:v>penetration</x:v>
      </x:c>
      <x:c r="H477" s="7" t="str"/>
      <x:c r="I477" s="7" t="str"/>
      <x:c r="J477" s="7" t="str"/>
      <x:c r="K477" s="7" t="str">
        <x:f>IF(J477="","OPEN",IF(OR(H477="",I477=""),"FAIL","PASS"))</x:f>
        <x:v>OPEN</x:v>
      </x:c>
    </x:row>
    <x:row r="478">
      <x:c r="B478" s="7" t="str">
        <x:v>CPN-PEA-B-Y3-CP-8</x:v>
      </x:c>
      <x:c r="C478" s="7" t="str">
        <x:v>PEA-B-Y3</x:v>
      </x:c>
      <x:c r="D478" s="7" t="str">
        <x:v>BLD-B</x:v>
      </x:c>
      <x:c r="E478" s="7" t="str">
        <x:v>BL-Y</x:v>
      </x:c>
      <x:c r="F478" s="7" t="str">
        <x:v>CP</x:v>
      </x:c>
      <x:c r="G478" s="7" t="str">
        <x:v>penetration</x:v>
      </x:c>
      <x:c r="H478" s="7" t="str"/>
      <x:c r="I478" s="7" t="str"/>
      <x:c r="J478" s="7" t="str"/>
      <x:c r="K478" s="7" t="str">
        <x:f>IF(J478="","OPEN",IF(OR(H478="",I478=""),"FAIL","PASS"))</x:f>
        <x:v>OPEN</x:v>
      </x:c>
    </x:row>
    <x:row r="479">
      <x:c r="B479" s="7" t="str">
        <x:v>CPN-PEA-B-Y3-SM-1</x:v>
      </x:c>
      <x:c r="C479" s="7" t="str">
        <x:v>PEA-B-Y3</x:v>
      </x:c>
      <x:c r="D479" s="7" t="str">
        <x:v>BLD-B</x:v>
      </x:c>
      <x:c r="E479" s="7" t="str">
        <x:v>BL-Y</x:v>
      </x:c>
      <x:c r="F479" s="7" t="str">
        <x:v>SM</x:v>
      </x:c>
      <x:c r="G479" s="7" t="str">
        <x:v>sensor mount and datum</x:v>
      </x:c>
      <x:c r="H479" s="7" t="str"/>
      <x:c r="I479" s="7" t="str"/>
      <x:c r="J479" s="7" t="str"/>
      <x:c r="K479" s="7" t="str">
        <x:f>IF(J479="","OPEN",IF(OR(H479="",I479=""),"FAIL","PASS"))</x:f>
        <x:v>OPEN</x:v>
      </x:c>
    </x:row>
    <x:row r="480">
      <x:c r="B480" s="7" t="str">
        <x:v>CPN-PEA-B-Y3-SM-2</x:v>
      </x:c>
      <x:c r="C480" s="7" t="str">
        <x:v>PEA-B-Y3</x:v>
      </x:c>
      <x:c r="D480" s="7" t="str">
        <x:v>BLD-B</x:v>
      </x:c>
      <x:c r="E480" s="7" t="str">
        <x:v>BL-Y</x:v>
      </x:c>
      <x:c r="F480" s="7" t="str">
        <x:v>SM</x:v>
      </x:c>
      <x:c r="G480" s="7" t="str">
        <x:v>sensor mount and datum</x:v>
      </x:c>
      <x:c r="H480" s="7" t="str"/>
      <x:c r="I480" s="7" t="str"/>
      <x:c r="J480" s="7" t="str"/>
      <x:c r="K480" s="7" t="str">
        <x:f>IF(J480="","OPEN",IF(OR(H480="",I480=""),"FAIL","PASS"))</x:f>
        <x:v>OPEN</x:v>
      </x:c>
    </x:row>
    <x:row r="481">
      <x:c r="B481" s="7" t="str">
        <x:v>CPN-PEA-B-Y3-SM-3</x:v>
      </x:c>
      <x:c r="C481" s="7" t="str">
        <x:v>PEA-B-Y3</x:v>
      </x:c>
      <x:c r="D481" s="7" t="str">
        <x:v>BLD-B</x:v>
      </x:c>
      <x:c r="E481" s="7" t="str">
        <x:v>BL-Y</x:v>
      </x:c>
      <x:c r="F481" s="7" t="str">
        <x:v>SM</x:v>
      </x:c>
      <x:c r="G481" s="7" t="str">
        <x:v>sensor mount and datum</x:v>
      </x:c>
      <x:c r="H481" s="7" t="str"/>
      <x:c r="I481" s="7" t="str"/>
      <x:c r="J481" s="7" t="str"/>
      <x:c r="K481" s="7" t="str">
        <x:f>IF(J481="","OPEN",IF(OR(H481="",I481=""),"FAIL","PASS"))</x:f>
        <x:v>OPEN</x:v>
      </x:c>
    </x:row>
    <x:row r="482">
      <x:c r="B482" s="7" t="str">
        <x:v>CPN-PEA-B-Y3-SM-4</x:v>
      </x:c>
      <x:c r="C482" s="7" t="str">
        <x:v>PEA-B-Y3</x:v>
      </x:c>
      <x:c r="D482" s="7" t="str">
        <x:v>BLD-B</x:v>
      </x:c>
      <x:c r="E482" s="7" t="str">
        <x:v>BL-Y</x:v>
      </x:c>
      <x:c r="F482" s="7" t="str">
        <x:v>SM</x:v>
      </x:c>
      <x:c r="G482" s="7" t="str">
        <x:v>sensor mount and datum</x:v>
      </x:c>
      <x:c r="H482" s="7" t="str"/>
      <x:c r="I482" s="7" t="str"/>
      <x:c r="J482" s="7" t="str"/>
      <x:c r="K482" s="7" t="str">
        <x:f>IF(J482="","OPEN",IF(OR(H482="",I482=""),"FAIL","PASS"))</x:f>
        <x:v>OPEN</x:v>
      </x:c>
    </x:row>
    <x:row r="483">
      <x:c r="B483" s="7" t="str">
        <x:v>CPN-PEA-B-Y3-SM-5</x:v>
      </x:c>
      <x:c r="C483" s="7" t="str">
        <x:v>PEA-B-Y3</x:v>
      </x:c>
      <x:c r="D483" s="7" t="str">
        <x:v>BLD-B</x:v>
      </x:c>
      <x:c r="E483" s="7" t="str">
        <x:v>BL-Y</x:v>
      </x:c>
      <x:c r="F483" s="7" t="str">
        <x:v>SM</x:v>
      </x:c>
      <x:c r="G483" s="7" t="str">
        <x:v>sensor mount and datum</x:v>
      </x:c>
      <x:c r="H483" s="7" t="str"/>
      <x:c r="I483" s="7" t="str"/>
      <x:c r="J483" s="7" t="str"/>
      <x:c r="K483" s="7" t="str">
        <x:f>IF(J483="","OPEN",IF(OR(H483="",I483=""),"FAIL","PASS"))</x:f>
        <x:v>OPEN</x:v>
      </x:c>
    </x:row>
    <x:row r="484">
      <x:c r="B484" s="7" t="str">
        <x:v>CPN-PEA-B-Y3-SM-6</x:v>
      </x:c>
      <x:c r="C484" s="7" t="str">
        <x:v>PEA-B-Y3</x:v>
      </x:c>
      <x:c r="D484" s="7" t="str">
        <x:v>BLD-B</x:v>
      </x:c>
      <x:c r="E484" s="7" t="str">
        <x:v>BL-Y</x:v>
      </x:c>
      <x:c r="F484" s="7" t="str">
        <x:v>SM</x:v>
      </x:c>
      <x:c r="G484" s="7" t="str">
        <x:v>sensor mount and datum</x:v>
      </x:c>
      <x:c r="H484" s="7" t="str"/>
      <x:c r="I484" s="7" t="str"/>
      <x:c r="J484" s="7" t="str"/>
      <x:c r="K484" s="7" t="str">
        <x:f>IF(J484="","OPEN",IF(OR(H484="",I484=""),"FAIL","PASS"))</x:f>
        <x:v>OPEN</x:v>
      </x:c>
    </x:row>
    <x:row r="485">
      <x:c r="B485" s="7" t="str">
        <x:v>CPN-PEA-B-Y3-SM-7</x:v>
      </x:c>
      <x:c r="C485" s="7" t="str">
        <x:v>PEA-B-Y3</x:v>
      </x:c>
      <x:c r="D485" s="7" t="str">
        <x:v>BLD-B</x:v>
      </x:c>
      <x:c r="E485" s="7" t="str">
        <x:v>BL-Y</x:v>
      </x:c>
      <x:c r="F485" s="7" t="str">
        <x:v>SM</x:v>
      </x:c>
      <x:c r="G485" s="7" t="str">
        <x:v>sensor mount and datum</x:v>
      </x:c>
      <x:c r="H485" s="7" t="str"/>
      <x:c r="I485" s="7" t="str"/>
      <x:c r="J485" s="7" t="str"/>
      <x:c r="K485" s="7" t="str">
        <x:f>IF(J485="","OPEN",IF(OR(H485="",I485=""),"FAIL","PASS"))</x:f>
        <x:v>OPEN</x:v>
      </x:c>
    </x:row>
    <x:row r="486">
      <x:c r="B486" s="7" t="str">
        <x:v>CPN-PEA-B-Y3-SM-8</x:v>
      </x:c>
      <x:c r="C486" s="7" t="str">
        <x:v>PEA-B-Y3</x:v>
      </x:c>
      <x:c r="D486" s="7" t="str">
        <x:v>BLD-B</x:v>
      </x:c>
      <x:c r="E486" s="7" t="str">
        <x:v>BL-Y</x:v>
      </x:c>
      <x:c r="F486" s="7" t="str">
        <x:v>SM</x:v>
      </x:c>
      <x:c r="G486" s="7" t="str">
        <x:v>sensor mount and datum</x:v>
      </x:c>
      <x:c r="H486" s="7" t="str"/>
      <x:c r="I486" s="7" t="str"/>
      <x:c r="J486" s="7" t="str"/>
      <x:c r="K486" s="7" t="str">
        <x:f>IF(J486="","OPEN",IF(OR(H486="",I486=""),"FAIL","PASS"))</x:f>
        <x:v>OPEN</x:v>
      </x:c>
    </x:row>
    <x:row r="487">
      <x:c r="B487" s="7" t="str">
        <x:v>CPN-PEA-C-X1-CJ-1</x:v>
      </x:c>
      <x:c r="C487" s="7" t="str">
        <x:v>PEA-C-X1</x:v>
      </x:c>
      <x:c r="D487" s="7" t="str">
        <x:v>BLD-C</x:v>
      </x:c>
      <x:c r="E487" s="7" t="str">
        <x:v>BL-X</x:v>
      </x:c>
      <x:c r="F487" s="7" t="str">
        <x:v>CJ</x:v>
      </x:c>
      <x:c r="G487" s="7" t="str">
        <x:v>joint or weld</x:v>
      </x:c>
      <x:c r="H487" s="7" t="str"/>
      <x:c r="I487" s="7" t="str"/>
      <x:c r="J487" s="7" t="str"/>
      <x:c r="K487" s="7" t="str">
        <x:f>IF(J487="","OPEN",IF(OR(H487="",I487=""),"FAIL","PASS"))</x:f>
        <x:v>OPEN</x:v>
      </x:c>
    </x:row>
    <x:row r="488">
      <x:c r="B488" s="7" t="str">
        <x:v>CPN-PEA-C-X1-CJ-2</x:v>
      </x:c>
      <x:c r="C488" s="7" t="str">
        <x:v>PEA-C-X1</x:v>
      </x:c>
      <x:c r="D488" s="7" t="str">
        <x:v>BLD-C</x:v>
      </x:c>
      <x:c r="E488" s="7" t="str">
        <x:v>BL-X</x:v>
      </x:c>
      <x:c r="F488" s="7" t="str">
        <x:v>CJ</x:v>
      </x:c>
      <x:c r="G488" s="7" t="str">
        <x:v>joint or weld</x:v>
      </x:c>
      <x:c r="H488" s="7" t="str"/>
      <x:c r="I488" s="7" t="str"/>
      <x:c r="J488" s="7" t="str"/>
      <x:c r="K488" s="7" t="str">
        <x:f>IF(J488="","OPEN",IF(OR(H488="",I488=""),"FAIL","PASS"))</x:f>
        <x:v>OPEN</x:v>
      </x:c>
    </x:row>
    <x:row r="489">
      <x:c r="B489" s="7" t="str">
        <x:v>CPN-PEA-C-X1-CJ-3</x:v>
      </x:c>
      <x:c r="C489" s="7" t="str">
        <x:v>PEA-C-X1</x:v>
      </x:c>
      <x:c r="D489" s="7" t="str">
        <x:v>BLD-C</x:v>
      </x:c>
      <x:c r="E489" s="7" t="str">
        <x:v>BL-X</x:v>
      </x:c>
      <x:c r="F489" s="7" t="str">
        <x:v>CJ</x:v>
      </x:c>
      <x:c r="G489" s="7" t="str">
        <x:v>joint or weld</x:v>
      </x:c>
      <x:c r="H489" s="7" t="str"/>
      <x:c r="I489" s="7" t="str"/>
      <x:c r="J489" s="7" t="str"/>
      <x:c r="K489" s="7" t="str">
        <x:f>IF(J489="","OPEN",IF(OR(H489="",I489=""),"FAIL","PASS"))</x:f>
        <x:v>OPEN</x:v>
      </x:c>
    </x:row>
    <x:row r="490">
      <x:c r="B490" s="7" t="str">
        <x:v>CPN-PEA-C-X1-CJ-4</x:v>
      </x:c>
      <x:c r="C490" s="7" t="str">
        <x:v>PEA-C-X1</x:v>
      </x:c>
      <x:c r="D490" s="7" t="str">
        <x:v>BLD-C</x:v>
      </x:c>
      <x:c r="E490" s="7" t="str">
        <x:v>BL-X</x:v>
      </x:c>
      <x:c r="F490" s="7" t="str">
        <x:v>CJ</x:v>
      </x:c>
      <x:c r="G490" s="7" t="str">
        <x:v>joint or weld</x:v>
      </x:c>
      <x:c r="H490" s="7" t="str"/>
      <x:c r="I490" s="7" t="str"/>
      <x:c r="J490" s="7" t="str"/>
      <x:c r="K490" s="7" t="str">
        <x:f>IF(J490="","OPEN",IF(OR(H490="",I490=""),"FAIL","PASS"))</x:f>
        <x:v>OPEN</x:v>
      </x:c>
    </x:row>
    <x:row r="491">
      <x:c r="B491" s="7" t="str">
        <x:v>CPN-PEA-C-X1-CJ-5</x:v>
      </x:c>
      <x:c r="C491" s="7" t="str">
        <x:v>PEA-C-X1</x:v>
      </x:c>
      <x:c r="D491" s="7" t="str">
        <x:v>BLD-C</x:v>
      </x:c>
      <x:c r="E491" s="7" t="str">
        <x:v>BL-X</x:v>
      </x:c>
      <x:c r="F491" s="7" t="str">
        <x:v>CJ</x:v>
      </x:c>
      <x:c r="G491" s="7" t="str">
        <x:v>joint or weld</x:v>
      </x:c>
      <x:c r="H491" s="7" t="str"/>
      <x:c r="I491" s="7" t="str"/>
      <x:c r="J491" s="7" t="str"/>
      <x:c r="K491" s="7" t="str">
        <x:f>IF(J491="","OPEN",IF(OR(H491="",I491=""),"FAIL","PASS"))</x:f>
        <x:v>OPEN</x:v>
      </x:c>
    </x:row>
    <x:row r="492">
      <x:c r="B492" s="7" t="str">
        <x:v>CPN-PEA-C-X1-CJ-6</x:v>
      </x:c>
      <x:c r="C492" s="7" t="str">
        <x:v>PEA-C-X1</x:v>
      </x:c>
      <x:c r="D492" s="7" t="str">
        <x:v>BLD-C</x:v>
      </x:c>
      <x:c r="E492" s="7" t="str">
        <x:v>BL-X</x:v>
      </x:c>
      <x:c r="F492" s="7" t="str">
        <x:v>CJ</x:v>
      </x:c>
      <x:c r="G492" s="7" t="str">
        <x:v>joint or weld</x:v>
      </x:c>
      <x:c r="H492" s="7" t="str"/>
      <x:c r="I492" s="7" t="str"/>
      <x:c r="J492" s="7" t="str"/>
      <x:c r="K492" s="7" t="str">
        <x:f>IF(J492="","OPEN",IF(OR(H492="",I492=""),"FAIL","PASS"))</x:f>
        <x:v>OPEN</x:v>
      </x:c>
    </x:row>
    <x:row r="493">
      <x:c r="B493" s="7" t="str">
        <x:v>CPN-PEA-C-X1-CJ-7</x:v>
      </x:c>
      <x:c r="C493" s="7" t="str">
        <x:v>PEA-C-X1</x:v>
      </x:c>
      <x:c r="D493" s="7" t="str">
        <x:v>BLD-C</x:v>
      </x:c>
      <x:c r="E493" s="7" t="str">
        <x:v>BL-X</x:v>
      </x:c>
      <x:c r="F493" s="7" t="str">
        <x:v>CJ</x:v>
      </x:c>
      <x:c r="G493" s="7" t="str">
        <x:v>joint or weld</x:v>
      </x:c>
      <x:c r="H493" s="7" t="str"/>
      <x:c r="I493" s="7" t="str"/>
      <x:c r="J493" s="7" t="str"/>
      <x:c r="K493" s="7" t="str">
        <x:f>IF(J493="","OPEN",IF(OR(H493="",I493=""),"FAIL","PASS"))</x:f>
        <x:v>OPEN</x:v>
      </x:c>
    </x:row>
    <x:row r="494">
      <x:c r="B494" s="7" t="str">
        <x:v>CPN-PEA-C-X1-CJ-8</x:v>
      </x:c>
      <x:c r="C494" s="7" t="str">
        <x:v>PEA-C-X1</x:v>
      </x:c>
      <x:c r="D494" s="7" t="str">
        <x:v>BLD-C</x:v>
      </x:c>
      <x:c r="E494" s="7" t="str">
        <x:v>BL-X</x:v>
      </x:c>
      <x:c r="F494" s="7" t="str">
        <x:v>CJ</x:v>
      </x:c>
      <x:c r="G494" s="7" t="str">
        <x:v>joint or weld</x:v>
      </x:c>
      <x:c r="H494" s="7" t="str"/>
      <x:c r="I494" s="7" t="str"/>
      <x:c r="J494" s="7" t="str"/>
      <x:c r="K494" s="7" t="str">
        <x:f>IF(J494="","OPEN",IF(OR(H494="",I494=""),"FAIL","PASS"))</x:f>
        <x:v>OPEN</x:v>
      </x:c>
    </x:row>
    <x:row r="495">
      <x:c r="B495" s="7" t="str">
        <x:v>CPN-PEA-C-X1-SE-1</x:v>
      </x:c>
      <x:c r="C495" s="7" t="str">
        <x:v>PEA-C-X1</x:v>
      </x:c>
      <x:c r="D495" s="7" t="str">
        <x:v>BLD-C</x:v>
      </x:c>
      <x:c r="E495" s="7" t="str">
        <x:v>BL-X</x:v>
      </x:c>
      <x:c r="F495" s="7" t="str">
        <x:v>SE</x:v>
      </x:c>
      <x:c r="G495" s="7" t="str">
        <x:v>seal and gasket</x:v>
      </x:c>
      <x:c r="H495" s="7" t="str"/>
      <x:c r="I495" s="7" t="str"/>
      <x:c r="J495" s="7" t="str"/>
      <x:c r="K495" s="7" t="str">
        <x:f>IF(J495="","OPEN",IF(OR(H495="",I495=""),"FAIL","PASS"))</x:f>
        <x:v>OPEN</x:v>
      </x:c>
    </x:row>
    <x:row r="496">
      <x:c r="B496" s="7" t="str">
        <x:v>CPN-PEA-C-X1-SE-2</x:v>
      </x:c>
      <x:c r="C496" s="7" t="str">
        <x:v>PEA-C-X1</x:v>
      </x:c>
      <x:c r="D496" s="7" t="str">
        <x:v>BLD-C</x:v>
      </x:c>
      <x:c r="E496" s="7" t="str">
        <x:v>BL-X</x:v>
      </x:c>
      <x:c r="F496" s="7" t="str">
        <x:v>SE</x:v>
      </x:c>
      <x:c r="G496" s="7" t="str">
        <x:v>seal and gasket</x:v>
      </x:c>
      <x:c r="H496" s="7" t="str"/>
      <x:c r="I496" s="7" t="str"/>
      <x:c r="J496" s="7" t="str"/>
      <x:c r="K496" s="7" t="str">
        <x:f>IF(J496="","OPEN",IF(OR(H496="",I496=""),"FAIL","PASS"))</x:f>
        <x:v>OPEN</x:v>
      </x:c>
    </x:row>
    <x:row r="497">
      <x:c r="B497" s="7" t="str">
        <x:v>CPN-PEA-C-X1-SE-3</x:v>
      </x:c>
      <x:c r="C497" s="7" t="str">
        <x:v>PEA-C-X1</x:v>
      </x:c>
      <x:c r="D497" s="7" t="str">
        <x:v>BLD-C</x:v>
      </x:c>
      <x:c r="E497" s="7" t="str">
        <x:v>BL-X</x:v>
      </x:c>
      <x:c r="F497" s="7" t="str">
        <x:v>SE</x:v>
      </x:c>
      <x:c r="G497" s="7" t="str">
        <x:v>seal and gasket</x:v>
      </x:c>
      <x:c r="H497" s="7" t="str"/>
      <x:c r="I497" s="7" t="str"/>
      <x:c r="J497" s="7" t="str"/>
      <x:c r="K497" s="7" t="str">
        <x:f>IF(J497="","OPEN",IF(OR(H497="",I497=""),"FAIL","PASS"))</x:f>
        <x:v>OPEN</x:v>
      </x:c>
    </x:row>
    <x:row r="498">
      <x:c r="B498" s="7" t="str">
        <x:v>CPN-PEA-C-X1-SE-4</x:v>
      </x:c>
      <x:c r="C498" s="7" t="str">
        <x:v>PEA-C-X1</x:v>
      </x:c>
      <x:c r="D498" s="7" t="str">
        <x:v>BLD-C</x:v>
      </x:c>
      <x:c r="E498" s="7" t="str">
        <x:v>BL-X</x:v>
      </x:c>
      <x:c r="F498" s="7" t="str">
        <x:v>SE</x:v>
      </x:c>
      <x:c r="G498" s="7" t="str">
        <x:v>seal and gasket</x:v>
      </x:c>
      <x:c r="H498" s="7" t="str"/>
      <x:c r="I498" s="7" t="str"/>
      <x:c r="J498" s="7" t="str"/>
      <x:c r="K498" s="7" t="str">
        <x:f>IF(J498="","OPEN",IF(OR(H498="",I498=""),"FAIL","PASS"))</x:f>
        <x:v>OPEN</x:v>
      </x:c>
    </x:row>
    <x:row r="499">
      <x:c r="B499" s="7" t="str">
        <x:v>CPN-PEA-C-X1-SE-5</x:v>
      </x:c>
      <x:c r="C499" s="7" t="str">
        <x:v>PEA-C-X1</x:v>
      </x:c>
      <x:c r="D499" s="7" t="str">
        <x:v>BLD-C</x:v>
      </x:c>
      <x:c r="E499" s="7" t="str">
        <x:v>BL-X</x:v>
      </x:c>
      <x:c r="F499" s="7" t="str">
        <x:v>SE</x:v>
      </x:c>
      <x:c r="G499" s="7" t="str">
        <x:v>seal and gasket</x:v>
      </x:c>
      <x:c r="H499" s="7" t="str"/>
      <x:c r="I499" s="7" t="str"/>
      <x:c r="J499" s="7" t="str"/>
      <x:c r="K499" s="7" t="str">
        <x:f>IF(J499="","OPEN",IF(OR(H499="",I499=""),"FAIL","PASS"))</x:f>
        <x:v>OPEN</x:v>
      </x:c>
    </x:row>
    <x:row r="500">
      <x:c r="B500" s="7" t="str">
        <x:v>CPN-PEA-C-X1-SE-6</x:v>
      </x:c>
      <x:c r="C500" s="7" t="str">
        <x:v>PEA-C-X1</x:v>
      </x:c>
      <x:c r="D500" s="7" t="str">
        <x:v>BLD-C</x:v>
      </x:c>
      <x:c r="E500" s="7" t="str">
        <x:v>BL-X</x:v>
      </x:c>
      <x:c r="F500" s="7" t="str">
        <x:v>SE</x:v>
      </x:c>
      <x:c r="G500" s="7" t="str">
        <x:v>seal and gasket</x:v>
      </x:c>
      <x:c r="H500" s="7" t="str"/>
      <x:c r="I500" s="7" t="str"/>
      <x:c r="J500" s="7" t="str"/>
      <x:c r="K500" s="7" t="str">
        <x:f>IF(J500="","OPEN",IF(OR(H500="",I500=""),"FAIL","PASS"))</x:f>
        <x:v>OPEN</x:v>
      </x:c>
    </x:row>
    <x:row r="501">
      <x:c r="B501" s="7" t="str">
        <x:v>CPN-PEA-C-X1-SE-7</x:v>
      </x:c>
      <x:c r="C501" s="7" t="str">
        <x:v>PEA-C-X1</x:v>
      </x:c>
      <x:c r="D501" s="7" t="str">
        <x:v>BLD-C</x:v>
      </x:c>
      <x:c r="E501" s="7" t="str">
        <x:v>BL-X</x:v>
      </x:c>
      <x:c r="F501" s="7" t="str">
        <x:v>SE</x:v>
      </x:c>
      <x:c r="G501" s="7" t="str">
        <x:v>seal and gasket</x:v>
      </x:c>
      <x:c r="H501" s="7" t="str"/>
      <x:c r="I501" s="7" t="str"/>
      <x:c r="J501" s="7" t="str"/>
      <x:c r="K501" s="7" t="str">
        <x:f>IF(J501="","OPEN",IF(OR(H501="",I501=""),"FAIL","PASS"))</x:f>
        <x:v>OPEN</x:v>
      </x:c>
    </x:row>
    <x:row r="502">
      <x:c r="B502" s="7" t="str">
        <x:v>CPN-PEA-C-X1-SE-8</x:v>
      </x:c>
      <x:c r="C502" s="7" t="str">
        <x:v>PEA-C-X1</x:v>
      </x:c>
      <x:c r="D502" s="7" t="str">
        <x:v>BLD-C</x:v>
      </x:c>
      <x:c r="E502" s="7" t="str">
        <x:v>BL-X</x:v>
      </x:c>
      <x:c r="F502" s="7" t="str">
        <x:v>SE</x:v>
      </x:c>
      <x:c r="G502" s="7" t="str">
        <x:v>seal and gasket</x:v>
      </x:c>
      <x:c r="H502" s="7" t="str"/>
      <x:c r="I502" s="7" t="str"/>
      <x:c r="J502" s="7" t="str"/>
      <x:c r="K502" s="7" t="str">
        <x:f>IF(J502="","OPEN",IF(OR(H502="",I502=""),"FAIL","PASS"))</x:f>
        <x:v>OPEN</x:v>
      </x:c>
    </x:row>
    <x:row r="503">
      <x:c r="B503" s="7" t="str">
        <x:v>CPN-PEA-C-X1-SF-1</x:v>
      </x:c>
      <x:c r="C503" s="7" t="str">
        <x:v>PEA-C-X1</x:v>
      </x:c>
      <x:c r="D503" s="7" t="str">
        <x:v>BLD-C</x:v>
      </x:c>
      <x:c r="E503" s="7" t="str">
        <x:v>BL-X</x:v>
      </x:c>
      <x:c r="F503" s="7" t="str">
        <x:v>SF</x:v>
      </x:c>
      <x:c r="G503" s="7" t="str">
        <x:v>wetted surface</x:v>
      </x:c>
      <x:c r="H503" s="7" t="str"/>
      <x:c r="I503" s="7" t="str"/>
      <x:c r="J503" s="7" t="str"/>
      <x:c r="K503" s="7" t="str">
        <x:f>IF(J503="","OPEN",IF(OR(H503="",I503=""),"FAIL","PASS"))</x:f>
        <x:v>OPEN</x:v>
      </x:c>
    </x:row>
    <x:row r="504">
      <x:c r="B504" s="7" t="str">
        <x:v>CPN-PEA-C-X1-SF-2</x:v>
      </x:c>
      <x:c r="C504" s="7" t="str">
        <x:v>PEA-C-X1</x:v>
      </x:c>
      <x:c r="D504" s="7" t="str">
        <x:v>BLD-C</x:v>
      </x:c>
      <x:c r="E504" s="7" t="str">
        <x:v>BL-X</x:v>
      </x:c>
      <x:c r="F504" s="7" t="str">
        <x:v>SF</x:v>
      </x:c>
      <x:c r="G504" s="7" t="str">
        <x:v>wetted surface</x:v>
      </x:c>
      <x:c r="H504" s="7" t="str"/>
      <x:c r="I504" s="7" t="str"/>
      <x:c r="J504" s="7" t="str"/>
      <x:c r="K504" s="7" t="str">
        <x:f>IF(J504="","OPEN",IF(OR(H504="",I504=""),"FAIL","PASS"))</x:f>
        <x:v>OPEN</x:v>
      </x:c>
    </x:row>
    <x:row r="505">
      <x:c r="B505" s="7" t="str">
        <x:v>CPN-PEA-C-X1-SF-3</x:v>
      </x:c>
      <x:c r="C505" s="7" t="str">
        <x:v>PEA-C-X1</x:v>
      </x:c>
      <x:c r="D505" s="7" t="str">
        <x:v>BLD-C</x:v>
      </x:c>
      <x:c r="E505" s="7" t="str">
        <x:v>BL-X</x:v>
      </x:c>
      <x:c r="F505" s="7" t="str">
        <x:v>SF</x:v>
      </x:c>
      <x:c r="G505" s="7" t="str">
        <x:v>wetted surface</x:v>
      </x:c>
      <x:c r="H505" s="7" t="str"/>
      <x:c r="I505" s="7" t="str"/>
      <x:c r="J505" s="7" t="str"/>
      <x:c r="K505" s="7" t="str">
        <x:f>IF(J505="","OPEN",IF(OR(H505="",I505=""),"FAIL","PASS"))</x:f>
        <x:v>OPEN</x:v>
      </x:c>
    </x:row>
    <x:row r="506">
      <x:c r="B506" s="7" t="str">
        <x:v>CPN-PEA-C-X1-SF-4</x:v>
      </x:c>
      <x:c r="C506" s="7" t="str">
        <x:v>PEA-C-X1</x:v>
      </x:c>
      <x:c r="D506" s="7" t="str">
        <x:v>BLD-C</x:v>
      </x:c>
      <x:c r="E506" s="7" t="str">
        <x:v>BL-X</x:v>
      </x:c>
      <x:c r="F506" s="7" t="str">
        <x:v>SF</x:v>
      </x:c>
      <x:c r="G506" s="7" t="str">
        <x:v>wetted surface</x:v>
      </x:c>
      <x:c r="H506" s="7" t="str"/>
      <x:c r="I506" s="7" t="str"/>
      <x:c r="J506" s="7" t="str"/>
      <x:c r="K506" s="7" t="str">
        <x:f>IF(J506="","OPEN",IF(OR(H506="",I506=""),"FAIL","PASS"))</x:f>
        <x:v>OPEN</x:v>
      </x:c>
    </x:row>
    <x:row r="507">
      <x:c r="B507" s="7" t="str">
        <x:v>CPN-PEA-C-X1-SF-5</x:v>
      </x:c>
      <x:c r="C507" s="7" t="str">
        <x:v>PEA-C-X1</x:v>
      </x:c>
      <x:c r="D507" s="7" t="str">
        <x:v>BLD-C</x:v>
      </x:c>
      <x:c r="E507" s="7" t="str">
        <x:v>BL-X</x:v>
      </x:c>
      <x:c r="F507" s="7" t="str">
        <x:v>SF</x:v>
      </x:c>
      <x:c r="G507" s="7" t="str">
        <x:v>wetted surface</x:v>
      </x:c>
      <x:c r="H507" s="7" t="str"/>
      <x:c r="I507" s="7" t="str"/>
      <x:c r="J507" s="7" t="str"/>
      <x:c r="K507" s="7" t="str">
        <x:f>IF(J507="","OPEN",IF(OR(H507="",I507=""),"FAIL","PASS"))</x:f>
        <x:v>OPEN</x:v>
      </x:c>
    </x:row>
    <x:row r="508">
      <x:c r="B508" s="7" t="str">
        <x:v>CPN-PEA-C-X1-SF-6</x:v>
      </x:c>
      <x:c r="C508" s="7" t="str">
        <x:v>PEA-C-X1</x:v>
      </x:c>
      <x:c r="D508" s="7" t="str">
        <x:v>BLD-C</x:v>
      </x:c>
      <x:c r="E508" s="7" t="str">
        <x:v>BL-X</x:v>
      </x:c>
      <x:c r="F508" s="7" t="str">
        <x:v>SF</x:v>
      </x:c>
      <x:c r="G508" s="7" t="str">
        <x:v>wetted surface</x:v>
      </x:c>
      <x:c r="H508" s="7" t="str"/>
      <x:c r="I508" s="7" t="str"/>
      <x:c r="J508" s="7" t="str"/>
      <x:c r="K508" s="7" t="str">
        <x:f>IF(J508="","OPEN",IF(OR(H508="",I508=""),"FAIL","PASS"))</x:f>
        <x:v>OPEN</x:v>
      </x:c>
    </x:row>
    <x:row r="509">
      <x:c r="B509" s="7" t="str">
        <x:v>CPN-PEA-C-X1-SF-7</x:v>
      </x:c>
      <x:c r="C509" s="7" t="str">
        <x:v>PEA-C-X1</x:v>
      </x:c>
      <x:c r="D509" s="7" t="str">
        <x:v>BLD-C</x:v>
      </x:c>
      <x:c r="E509" s="7" t="str">
        <x:v>BL-X</x:v>
      </x:c>
      <x:c r="F509" s="7" t="str">
        <x:v>SF</x:v>
      </x:c>
      <x:c r="G509" s="7" t="str">
        <x:v>wetted surface</x:v>
      </x:c>
      <x:c r="H509" s="7" t="str"/>
      <x:c r="I509" s="7" t="str"/>
      <x:c r="J509" s="7" t="str"/>
      <x:c r="K509" s="7" t="str">
        <x:f>IF(J509="","OPEN",IF(OR(H509="",I509=""),"FAIL","PASS"))</x:f>
        <x:v>OPEN</x:v>
      </x:c>
    </x:row>
    <x:row r="510">
      <x:c r="B510" s="7" t="str">
        <x:v>CPN-PEA-C-X1-SF-8</x:v>
      </x:c>
      <x:c r="C510" s="7" t="str">
        <x:v>PEA-C-X1</x:v>
      </x:c>
      <x:c r="D510" s="7" t="str">
        <x:v>BLD-C</x:v>
      </x:c>
      <x:c r="E510" s="7" t="str">
        <x:v>BL-X</x:v>
      </x:c>
      <x:c r="F510" s="7" t="str">
        <x:v>SF</x:v>
      </x:c>
      <x:c r="G510" s="7" t="str">
        <x:v>wetted surface</x:v>
      </x:c>
      <x:c r="H510" s="7" t="str"/>
      <x:c r="I510" s="7" t="str"/>
      <x:c r="J510" s="7" t="str"/>
      <x:c r="K510" s="7" t="str">
        <x:f>IF(J510="","OPEN",IF(OR(H510="",I510=""),"FAIL","PASS"))</x:f>
        <x:v>OPEN</x:v>
      </x:c>
    </x:row>
    <x:row r="511">
      <x:c r="B511" s="7" t="str">
        <x:v>CPN-PEA-C-X1-CP-1</x:v>
      </x:c>
      <x:c r="C511" s="7" t="str">
        <x:v>PEA-C-X1</x:v>
      </x:c>
      <x:c r="D511" s="7" t="str">
        <x:v>BLD-C</x:v>
      </x:c>
      <x:c r="E511" s="7" t="str">
        <x:v>BL-X</x:v>
      </x:c>
      <x:c r="F511" s="7" t="str">
        <x:v>CP</x:v>
      </x:c>
      <x:c r="G511" s="7" t="str">
        <x:v>penetration</x:v>
      </x:c>
      <x:c r="H511" s="7" t="str"/>
      <x:c r="I511" s="7" t="str"/>
      <x:c r="J511" s="7" t="str"/>
      <x:c r="K511" s="7" t="str">
        <x:f>IF(J511="","OPEN",IF(OR(H511="",I511=""),"FAIL","PASS"))</x:f>
        <x:v>OPEN</x:v>
      </x:c>
    </x:row>
    <x:row r="512">
      <x:c r="B512" s="7" t="str">
        <x:v>CPN-PEA-C-X1-CP-2</x:v>
      </x:c>
      <x:c r="C512" s="7" t="str">
        <x:v>PEA-C-X1</x:v>
      </x:c>
      <x:c r="D512" s="7" t="str">
        <x:v>BLD-C</x:v>
      </x:c>
      <x:c r="E512" s="7" t="str">
        <x:v>BL-X</x:v>
      </x:c>
      <x:c r="F512" s="7" t="str">
        <x:v>CP</x:v>
      </x:c>
      <x:c r="G512" s="7" t="str">
        <x:v>penetration</x:v>
      </x:c>
      <x:c r="H512" s="7" t="str"/>
      <x:c r="I512" s="7" t="str"/>
      <x:c r="J512" s="7" t="str"/>
      <x:c r="K512" s="7" t="str">
        <x:f>IF(J512="","OPEN",IF(OR(H512="",I512=""),"FAIL","PASS"))</x:f>
        <x:v>OPEN</x:v>
      </x:c>
    </x:row>
    <x:row r="513">
      <x:c r="B513" s="7" t="str">
        <x:v>CPN-PEA-C-X1-CP-3</x:v>
      </x:c>
      <x:c r="C513" s="7" t="str">
        <x:v>PEA-C-X1</x:v>
      </x:c>
      <x:c r="D513" s="7" t="str">
        <x:v>BLD-C</x:v>
      </x:c>
      <x:c r="E513" s="7" t="str">
        <x:v>BL-X</x:v>
      </x:c>
      <x:c r="F513" s="7" t="str">
        <x:v>CP</x:v>
      </x:c>
      <x:c r="G513" s="7" t="str">
        <x:v>penetration</x:v>
      </x:c>
      <x:c r="H513" s="7" t="str"/>
      <x:c r="I513" s="7" t="str"/>
      <x:c r="J513" s="7" t="str"/>
      <x:c r="K513" s="7" t="str">
        <x:f>IF(J513="","OPEN",IF(OR(H513="",I513=""),"FAIL","PASS"))</x:f>
        <x:v>OPEN</x:v>
      </x:c>
    </x:row>
    <x:row r="514">
      <x:c r="B514" s="7" t="str">
        <x:v>CPN-PEA-C-X1-CP-4</x:v>
      </x:c>
      <x:c r="C514" s="7" t="str">
        <x:v>PEA-C-X1</x:v>
      </x:c>
      <x:c r="D514" s="7" t="str">
        <x:v>BLD-C</x:v>
      </x:c>
      <x:c r="E514" s="7" t="str">
        <x:v>BL-X</x:v>
      </x:c>
      <x:c r="F514" s="7" t="str">
        <x:v>CP</x:v>
      </x:c>
      <x:c r="G514" s="7" t="str">
        <x:v>penetration</x:v>
      </x:c>
      <x:c r="H514" s="7" t="str"/>
      <x:c r="I514" s="7" t="str"/>
      <x:c r="J514" s="7" t="str"/>
      <x:c r="K514" s="7" t="str">
        <x:f>IF(J514="","OPEN",IF(OR(H514="",I514=""),"FAIL","PASS"))</x:f>
        <x:v>OPEN</x:v>
      </x:c>
    </x:row>
    <x:row r="515">
      <x:c r="B515" s="7" t="str">
        <x:v>CPN-PEA-C-X1-CP-5</x:v>
      </x:c>
      <x:c r="C515" s="7" t="str">
        <x:v>PEA-C-X1</x:v>
      </x:c>
      <x:c r="D515" s="7" t="str">
        <x:v>BLD-C</x:v>
      </x:c>
      <x:c r="E515" s="7" t="str">
        <x:v>BL-X</x:v>
      </x:c>
      <x:c r="F515" s="7" t="str">
        <x:v>CP</x:v>
      </x:c>
      <x:c r="G515" s="7" t="str">
        <x:v>penetration</x:v>
      </x:c>
      <x:c r="H515" s="7" t="str"/>
      <x:c r="I515" s="7" t="str"/>
      <x:c r="J515" s="7" t="str"/>
      <x:c r="K515" s="7" t="str">
        <x:f>IF(J515="","OPEN",IF(OR(H515="",I515=""),"FAIL","PASS"))</x:f>
        <x:v>OPEN</x:v>
      </x:c>
    </x:row>
    <x:row r="516">
      <x:c r="B516" s="7" t="str">
        <x:v>CPN-PEA-C-X1-CP-6</x:v>
      </x:c>
      <x:c r="C516" s="7" t="str">
        <x:v>PEA-C-X1</x:v>
      </x:c>
      <x:c r="D516" s="7" t="str">
        <x:v>BLD-C</x:v>
      </x:c>
      <x:c r="E516" s="7" t="str">
        <x:v>BL-X</x:v>
      </x:c>
      <x:c r="F516" s="7" t="str">
        <x:v>CP</x:v>
      </x:c>
      <x:c r="G516" s="7" t="str">
        <x:v>penetration</x:v>
      </x:c>
      <x:c r="H516" s="7" t="str"/>
      <x:c r="I516" s="7" t="str"/>
      <x:c r="J516" s="7" t="str"/>
      <x:c r="K516" s="7" t="str">
        <x:f>IF(J516="","OPEN",IF(OR(H516="",I516=""),"FAIL","PASS"))</x:f>
        <x:v>OPEN</x:v>
      </x:c>
    </x:row>
    <x:row r="517">
      <x:c r="B517" s="7" t="str">
        <x:v>CPN-PEA-C-X1-CP-7</x:v>
      </x:c>
      <x:c r="C517" s="7" t="str">
        <x:v>PEA-C-X1</x:v>
      </x:c>
      <x:c r="D517" s="7" t="str">
        <x:v>BLD-C</x:v>
      </x:c>
      <x:c r="E517" s="7" t="str">
        <x:v>BL-X</x:v>
      </x:c>
      <x:c r="F517" s="7" t="str">
        <x:v>CP</x:v>
      </x:c>
      <x:c r="G517" s="7" t="str">
        <x:v>penetration</x:v>
      </x:c>
      <x:c r="H517" s="7" t="str"/>
      <x:c r="I517" s="7" t="str"/>
      <x:c r="J517" s="7" t="str"/>
      <x:c r="K517" s="7" t="str">
        <x:f>IF(J517="","OPEN",IF(OR(H517="",I517=""),"FAIL","PASS"))</x:f>
        <x:v>OPEN</x:v>
      </x:c>
    </x:row>
    <x:row r="518">
      <x:c r="B518" s="7" t="str">
        <x:v>CPN-PEA-C-X1-CP-8</x:v>
      </x:c>
      <x:c r="C518" s="7" t="str">
        <x:v>PEA-C-X1</x:v>
      </x:c>
      <x:c r="D518" s="7" t="str">
        <x:v>BLD-C</x:v>
      </x:c>
      <x:c r="E518" s="7" t="str">
        <x:v>BL-X</x:v>
      </x:c>
      <x:c r="F518" s="7" t="str">
        <x:v>CP</x:v>
      </x:c>
      <x:c r="G518" s="7" t="str">
        <x:v>penetration</x:v>
      </x:c>
      <x:c r="H518" s="7" t="str"/>
      <x:c r="I518" s="7" t="str"/>
      <x:c r="J518" s="7" t="str"/>
      <x:c r="K518" s="7" t="str">
        <x:f>IF(J518="","OPEN",IF(OR(H518="",I518=""),"FAIL","PASS"))</x:f>
        <x:v>OPEN</x:v>
      </x:c>
    </x:row>
    <x:row r="519">
      <x:c r="B519" s="7" t="str">
        <x:v>CPN-PEA-C-X1-SM-1</x:v>
      </x:c>
      <x:c r="C519" s="7" t="str">
        <x:v>PEA-C-X1</x:v>
      </x:c>
      <x:c r="D519" s="7" t="str">
        <x:v>BLD-C</x:v>
      </x:c>
      <x:c r="E519" s="7" t="str">
        <x:v>BL-X</x:v>
      </x:c>
      <x:c r="F519" s="7" t="str">
        <x:v>SM</x:v>
      </x:c>
      <x:c r="G519" s="7" t="str">
        <x:v>sensor mount and datum</x:v>
      </x:c>
      <x:c r="H519" s="7" t="str"/>
      <x:c r="I519" s="7" t="str"/>
      <x:c r="J519" s="7" t="str"/>
      <x:c r="K519" s="7" t="str">
        <x:f>IF(J519="","OPEN",IF(OR(H519="",I519=""),"FAIL","PASS"))</x:f>
        <x:v>OPEN</x:v>
      </x:c>
    </x:row>
    <x:row r="520">
      <x:c r="B520" s="7" t="str">
        <x:v>CPN-PEA-C-X1-SM-2</x:v>
      </x:c>
      <x:c r="C520" s="7" t="str">
        <x:v>PEA-C-X1</x:v>
      </x:c>
      <x:c r="D520" s="7" t="str">
        <x:v>BLD-C</x:v>
      </x:c>
      <x:c r="E520" s="7" t="str">
        <x:v>BL-X</x:v>
      </x:c>
      <x:c r="F520" s="7" t="str">
        <x:v>SM</x:v>
      </x:c>
      <x:c r="G520" s="7" t="str">
        <x:v>sensor mount and datum</x:v>
      </x:c>
      <x:c r="H520" s="7" t="str"/>
      <x:c r="I520" s="7" t="str"/>
      <x:c r="J520" s="7" t="str"/>
      <x:c r="K520" s="7" t="str">
        <x:f>IF(J520="","OPEN",IF(OR(H520="",I520=""),"FAIL","PASS"))</x:f>
        <x:v>OPEN</x:v>
      </x:c>
    </x:row>
    <x:row r="521">
      <x:c r="B521" s="7" t="str">
        <x:v>CPN-PEA-C-X1-SM-3</x:v>
      </x:c>
      <x:c r="C521" s="7" t="str">
        <x:v>PEA-C-X1</x:v>
      </x:c>
      <x:c r="D521" s="7" t="str">
        <x:v>BLD-C</x:v>
      </x:c>
      <x:c r="E521" s="7" t="str">
        <x:v>BL-X</x:v>
      </x:c>
      <x:c r="F521" s="7" t="str">
        <x:v>SM</x:v>
      </x:c>
      <x:c r="G521" s="7" t="str">
        <x:v>sensor mount and datum</x:v>
      </x:c>
      <x:c r="H521" s="7" t="str"/>
      <x:c r="I521" s="7" t="str"/>
      <x:c r="J521" s="7" t="str"/>
      <x:c r="K521" s="7" t="str">
        <x:f>IF(J521="","OPEN",IF(OR(H521="",I521=""),"FAIL","PASS"))</x:f>
        <x:v>OPEN</x:v>
      </x:c>
    </x:row>
    <x:row r="522">
      <x:c r="B522" s="7" t="str">
        <x:v>CPN-PEA-C-X1-SM-4</x:v>
      </x:c>
      <x:c r="C522" s="7" t="str">
        <x:v>PEA-C-X1</x:v>
      </x:c>
      <x:c r="D522" s="7" t="str">
        <x:v>BLD-C</x:v>
      </x:c>
      <x:c r="E522" s="7" t="str">
        <x:v>BL-X</x:v>
      </x:c>
      <x:c r="F522" s="7" t="str">
        <x:v>SM</x:v>
      </x:c>
      <x:c r="G522" s="7" t="str">
        <x:v>sensor mount and datum</x:v>
      </x:c>
      <x:c r="H522" s="7" t="str"/>
      <x:c r="I522" s="7" t="str"/>
      <x:c r="J522" s="7" t="str"/>
      <x:c r="K522" s="7" t="str">
        <x:f>IF(J522="","OPEN",IF(OR(H522="",I522=""),"FAIL","PASS"))</x:f>
        <x:v>OPEN</x:v>
      </x:c>
    </x:row>
    <x:row r="523">
      <x:c r="B523" s="7" t="str">
        <x:v>CPN-PEA-C-X1-SM-5</x:v>
      </x:c>
      <x:c r="C523" s="7" t="str">
        <x:v>PEA-C-X1</x:v>
      </x:c>
      <x:c r="D523" s="7" t="str">
        <x:v>BLD-C</x:v>
      </x:c>
      <x:c r="E523" s="7" t="str">
        <x:v>BL-X</x:v>
      </x:c>
      <x:c r="F523" s="7" t="str">
        <x:v>SM</x:v>
      </x:c>
      <x:c r="G523" s="7" t="str">
        <x:v>sensor mount and datum</x:v>
      </x:c>
      <x:c r="H523" s="7" t="str"/>
      <x:c r="I523" s="7" t="str"/>
      <x:c r="J523" s="7" t="str"/>
      <x:c r="K523" s="7" t="str">
        <x:f>IF(J523="","OPEN",IF(OR(H523="",I523=""),"FAIL","PASS"))</x:f>
        <x:v>OPEN</x:v>
      </x:c>
    </x:row>
    <x:row r="524">
      <x:c r="B524" s="7" t="str">
        <x:v>CPN-PEA-C-X1-SM-6</x:v>
      </x:c>
      <x:c r="C524" s="7" t="str">
        <x:v>PEA-C-X1</x:v>
      </x:c>
      <x:c r="D524" s="7" t="str">
        <x:v>BLD-C</x:v>
      </x:c>
      <x:c r="E524" s="7" t="str">
        <x:v>BL-X</x:v>
      </x:c>
      <x:c r="F524" s="7" t="str">
        <x:v>SM</x:v>
      </x:c>
      <x:c r="G524" s="7" t="str">
        <x:v>sensor mount and datum</x:v>
      </x:c>
      <x:c r="H524" s="7" t="str"/>
      <x:c r="I524" s="7" t="str"/>
      <x:c r="J524" s="7" t="str"/>
      <x:c r="K524" s="7" t="str">
        <x:f>IF(J524="","OPEN",IF(OR(H524="",I524=""),"FAIL","PASS"))</x:f>
        <x:v>OPEN</x:v>
      </x:c>
    </x:row>
    <x:row r="525">
      <x:c r="B525" s="7" t="str">
        <x:v>CPN-PEA-C-X1-SM-7</x:v>
      </x:c>
      <x:c r="C525" s="7" t="str">
        <x:v>PEA-C-X1</x:v>
      </x:c>
      <x:c r="D525" s="7" t="str">
        <x:v>BLD-C</x:v>
      </x:c>
      <x:c r="E525" s="7" t="str">
        <x:v>BL-X</x:v>
      </x:c>
      <x:c r="F525" s="7" t="str">
        <x:v>SM</x:v>
      </x:c>
      <x:c r="G525" s="7" t="str">
        <x:v>sensor mount and datum</x:v>
      </x:c>
      <x:c r="H525" s="7" t="str"/>
      <x:c r="I525" s="7" t="str"/>
      <x:c r="J525" s="7" t="str"/>
      <x:c r="K525" s="7" t="str">
        <x:f>IF(J525="","OPEN",IF(OR(H525="",I525=""),"FAIL","PASS"))</x:f>
        <x:v>OPEN</x:v>
      </x:c>
    </x:row>
    <x:row r="526">
      <x:c r="B526" s="7" t="str">
        <x:v>CPN-PEA-C-X1-SM-8</x:v>
      </x:c>
      <x:c r="C526" s="7" t="str">
        <x:v>PEA-C-X1</x:v>
      </x:c>
      <x:c r="D526" s="7" t="str">
        <x:v>BLD-C</x:v>
      </x:c>
      <x:c r="E526" s="7" t="str">
        <x:v>BL-X</x:v>
      </x:c>
      <x:c r="F526" s="7" t="str">
        <x:v>SM</x:v>
      </x:c>
      <x:c r="G526" s="7" t="str">
        <x:v>sensor mount and datum</x:v>
      </x:c>
      <x:c r="H526" s="7" t="str"/>
      <x:c r="I526" s="7" t="str"/>
      <x:c r="J526" s="7" t="str"/>
      <x:c r="K526" s="7" t="str">
        <x:f>IF(J526="","OPEN",IF(OR(H526="",I526=""),"FAIL","PASS"))</x:f>
        <x:v>OPEN</x:v>
      </x:c>
    </x:row>
    <x:row r="527">
      <x:c r="B527" s="7" t="str">
        <x:v>CPN-PEA-C-X2-CJ-1</x:v>
      </x:c>
      <x:c r="C527" s="7" t="str">
        <x:v>PEA-C-X2</x:v>
      </x:c>
      <x:c r="D527" s="7" t="str">
        <x:v>BLD-C</x:v>
      </x:c>
      <x:c r="E527" s="7" t="str">
        <x:v>BL-X</x:v>
      </x:c>
      <x:c r="F527" s="7" t="str">
        <x:v>CJ</x:v>
      </x:c>
      <x:c r="G527" s="7" t="str">
        <x:v>joint or weld</x:v>
      </x:c>
      <x:c r="H527" s="7" t="str"/>
      <x:c r="I527" s="7" t="str"/>
      <x:c r="J527" s="7" t="str"/>
      <x:c r="K527" s="7" t="str">
        <x:f>IF(J527="","OPEN",IF(OR(H527="",I527=""),"FAIL","PASS"))</x:f>
        <x:v>OPEN</x:v>
      </x:c>
    </x:row>
    <x:row r="528">
      <x:c r="B528" s="7" t="str">
        <x:v>CPN-PEA-C-X2-CJ-2</x:v>
      </x:c>
      <x:c r="C528" s="7" t="str">
        <x:v>PEA-C-X2</x:v>
      </x:c>
      <x:c r="D528" s="7" t="str">
        <x:v>BLD-C</x:v>
      </x:c>
      <x:c r="E528" s="7" t="str">
        <x:v>BL-X</x:v>
      </x:c>
      <x:c r="F528" s="7" t="str">
        <x:v>CJ</x:v>
      </x:c>
      <x:c r="G528" s="7" t="str">
        <x:v>joint or weld</x:v>
      </x:c>
      <x:c r="H528" s="7" t="str"/>
      <x:c r="I528" s="7" t="str"/>
      <x:c r="J528" s="7" t="str"/>
      <x:c r="K528" s="7" t="str">
        <x:f>IF(J528="","OPEN",IF(OR(H528="",I528=""),"FAIL","PASS"))</x:f>
        <x:v>OPEN</x:v>
      </x:c>
    </x:row>
    <x:row r="529">
      <x:c r="B529" s="7" t="str">
        <x:v>CPN-PEA-C-X2-CJ-3</x:v>
      </x:c>
      <x:c r="C529" s="7" t="str">
        <x:v>PEA-C-X2</x:v>
      </x:c>
      <x:c r="D529" s="7" t="str">
        <x:v>BLD-C</x:v>
      </x:c>
      <x:c r="E529" s="7" t="str">
        <x:v>BL-X</x:v>
      </x:c>
      <x:c r="F529" s="7" t="str">
        <x:v>CJ</x:v>
      </x:c>
      <x:c r="G529" s="7" t="str">
        <x:v>joint or weld</x:v>
      </x:c>
      <x:c r="H529" s="7" t="str"/>
      <x:c r="I529" s="7" t="str"/>
      <x:c r="J529" s="7" t="str"/>
      <x:c r="K529" s="7" t="str">
        <x:f>IF(J529="","OPEN",IF(OR(H529="",I529=""),"FAIL","PASS"))</x:f>
        <x:v>OPEN</x:v>
      </x:c>
    </x:row>
    <x:row r="530">
      <x:c r="B530" s="7" t="str">
        <x:v>CPN-PEA-C-X2-CJ-4</x:v>
      </x:c>
      <x:c r="C530" s="7" t="str">
        <x:v>PEA-C-X2</x:v>
      </x:c>
      <x:c r="D530" s="7" t="str">
        <x:v>BLD-C</x:v>
      </x:c>
      <x:c r="E530" s="7" t="str">
        <x:v>BL-X</x:v>
      </x:c>
      <x:c r="F530" s="7" t="str">
        <x:v>CJ</x:v>
      </x:c>
      <x:c r="G530" s="7" t="str">
        <x:v>joint or weld</x:v>
      </x:c>
      <x:c r="H530" s="7" t="str"/>
      <x:c r="I530" s="7" t="str"/>
      <x:c r="J530" s="7" t="str"/>
      <x:c r="K530" s="7" t="str">
        <x:f>IF(J530="","OPEN",IF(OR(H530="",I530=""),"FAIL","PASS"))</x:f>
        <x:v>OPEN</x:v>
      </x:c>
    </x:row>
    <x:row r="531">
      <x:c r="B531" s="7" t="str">
        <x:v>CPN-PEA-C-X2-CJ-5</x:v>
      </x:c>
      <x:c r="C531" s="7" t="str">
        <x:v>PEA-C-X2</x:v>
      </x:c>
      <x:c r="D531" s="7" t="str">
        <x:v>BLD-C</x:v>
      </x:c>
      <x:c r="E531" s="7" t="str">
        <x:v>BL-X</x:v>
      </x:c>
      <x:c r="F531" s="7" t="str">
        <x:v>CJ</x:v>
      </x:c>
      <x:c r="G531" s="7" t="str">
        <x:v>joint or weld</x:v>
      </x:c>
      <x:c r="H531" s="7" t="str"/>
      <x:c r="I531" s="7" t="str"/>
      <x:c r="J531" s="7" t="str"/>
      <x:c r="K531" s="7" t="str">
        <x:f>IF(J531="","OPEN",IF(OR(H531="",I531=""),"FAIL","PASS"))</x:f>
        <x:v>OPEN</x:v>
      </x:c>
    </x:row>
    <x:row r="532">
      <x:c r="B532" s="7" t="str">
        <x:v>CPN-PEA-C-X2-CJ-6</x:v>
      </x:c>
      <x:c r="C532" s="7" t="str">
        <x:v>PEA-C-X2</x:v>
      </x:c>
      <x:c r="D532" s="7" t="str">
        <x:v>BLD-C</x:v>
      </x:c>
      <x:c r="E532" s="7" t="str">
        <x:v>BL-X</x:v>
      </x:c>
      <x:c r="F532" s="7" t="str">
        <x:v>CJ</x:v>
      </x:c>
      <x:c r="G532" s="7" t="str">
        <x:v>joint or weld</x:v>
      </x:c>
      <x:c r="H532" s="7" t="str"/>
      <x:c r="I532" s="7" t="str"/>
      <x:c r="J532" s="7" t="str"/>
      <x:c r="K532" s="7" t="str">
        <x:f>IF(J532="","OPEN",IF(OR(H532="",I532=""),"FAIL","PASS"))</x:f>
        <x:v>OPEN</x:v>
      </x:c>
    </x:row>
    <x:row r="533">
      <x:c r="B533" s="7" t="str">
        <x:v>CPN-PEA-C-X2-CJ-7</x:v>
      </x:c>
      <x:c r="C533" s="7" t="str">
        <x:v>PEA-C-X2</x:v>
      </x:c>
      <x:c r="D533" s="7" t="str">
        <x:v>BLD-C</x:v>
      </x:c>
      <x:c r="E533" s="7" t="str">
        <x:v>BL-X</x:v>
      </x:c>
      <x:c r="F533" s="7" t="str">
        <x:v>CJ</x:v>
      </x:c>
      <x:c r="G533" s="7" t="str">
        <x:v>joint or weld</x:v>
      </x:c>
      <x:c r="H533" s="7" t="str"/>
      <x:c r="I533" s="7" t="str"/>
      <x:c r="J533" s="7" t="str"/>
      <x:c r="K533" s="7" t="str">
        <x:f>IF(J533="","OPEN",IF(OR(H533="",I533=""),"FAIL","PASS"))</x:f>
        <x:v>OPEN</x:v>
      </x:c>
    </x:row>
    <x:row r="534">
      <x:c r="B534" s="7" t="str">
        <x:v>CPN-PEA-C-X2-CJ-8</x:v>
      </x:c>
      <x:c r="C534" s="7" t="str">
        <x:v>PEA-C-X2</x:v>
      </x:c>
      <x:c r="D534" s="7" t="str">
        <x:v>BLD-C</x:v>
      </x:c>
      <x:c r="E534" s="7" t="str">
        <x:v>BL-X</x:v>
      </x:c>
      <x:c r="F534" s="7" t="str">
        <x:v>CJ</x:v>
      </x:c>
      <x:c r="G534" s="7" t="str">
        <x:v>joint or weld</x:v>
      </x:c>
      <x:c r="H534" s="7" t="str"/>
      <x:c r="I534" s="7" t="str"/>
      <x:c r="J534" s="7" t="str"/>
      <x:c r="K534" s="7" t="str">
        <x:f>IF(J534="","OPEN",IF(OR(H534="",I534=""),"FAIL","PASS"))</x:f>
        <x:v>OPEN</x:v>
      </x:c>
    </x:row>
    <x:row r="535">
      <x:c r="B535" s="7" t="str">
        <x:v>CPN-PEA-C-X2-SE-1</x:v>
      </x:c>
      <x:c r="C535" s="7" t="str">
        <x:v>PEA-C-X2</x:v>
      </x:c>
      <x:c r="D535" s="7" t="str">
        <x:v>BLD-C</x:v>
      </x:c>
      <x:c r="E535" s="7" t="str">
        <x:v>BL-X</x:v>
      </x:c>
      <x:c r="F535" s="7" t="str">
        <x:v>SE</x:v>
      </x:c>
      <x:c r="G535" s="7" t="str">
        <x:v>seal and gasket</x:v>
      </x:c>
      <x:c r="H535" s="7" t="str"/>
      <x:c r="I535" s="7" t="str"/>
      <x:c r="J535" s="7" t="str"/>
      <x:c r="K535" s="7" t="str">
        <x:f>IF(J535="","OPEN",IF(OR(H535="",I535=""),"FAIL","PASS"))</x:f>
        <x:v>OPEN</x:v>
      </x:c>
    </x:row>
    <x:row r="536">
      <x:c r="B536" s="7" t="str">
        <x:v>CPN-PEA-C-X2-SE-2</x:v>
      </x:c>
      <x:c r="C536" s="7" t="str">
        <x:v>PEA-C-X2</x:v>
      </x:c>
      <x:c r="D536" s="7" t="str">
        <x:v>BLD-C</x:v>
      </x:c>
      <x:c r="E536" s="7" t="str">
        <x:v>BL-X</x:v>
      </x:c>
      <x:c r="F536" s="7" t="str">
        <x:v>SE</x:v>
      </x:c>
      <x:c r="G536" s="7" t="str">
        <x:v>seal and gasket</x:v>
      </x:c>
      <x:c r="H536" s="7" t="str"/>
      <x:c r="I536" s="7" t="str"/>
      <x:c r="J536" s="7" t="str"/>
      <x:c r="K536" s="7" t="str">
        <x:f>IF(J536="","OPEN",IF(OR(H536="",I536=""),"FAIL","PASS"))</x:f>
        <x:v>OPEN</x:v>
      </x:c>
    </x:row>
    <x:row r="537">
      <x:c r="B537" s="7" t="str">
        <x:v>CPN-PEA-C-X2-SE-3</x:v>
      </x:c>
      <x:c r="C537" s="7" t="str">
        <x:v>PEA-C-X2</x:v>
      </x:c>
      <x:c r="D537" s="7" t="str">
        <x:v>BLD-C</x:v>
      </x:c>
      <x:c r="E537" s="7" t="str">
        <x:v>BL-X</x:v>
      </x:c>
      <x:c r="F537" s="7" t="str">
        <x:v>SE</x:v>
      </x:c>
      <x:c r="G537" s="7" t="str">
        <x:v>seal and gasket</x:v>
      </x:c>
      <x:c r="H537" s="7" t="str"/>
      <x:c r="I537" s="7" t="str"/>
      <x:c r="J537" s="7" t="str"/>
      <x:c r="K537" s="7" t="str">
        <x:f>IF(J537="","OPEN",IF(OR(H537="",I537=""),"FAIL","PASS"))</x:f>
        <x:v>OPEN</x:v>
      </x:c>
    </x:row>
    <x:row r="538">
      <x:c r="B538" s="7" t="str">
        <x:v>CPN-PEA-C-X2-SE-4</x:v>
      </x:c>
      <x:c r="C538" s="7" t="str">
        <x:v>PEA-C-X2</x:v>
      </x:c>
      <x:c r="D538" s="7" t="str">
        <x:v>BLD-C</x:v>
      </x:c>
      <x:c r="E538" s="7" t="str">
        <x:v>BL-X</x:v>
      </x:c>
      <x:c r="F538" s="7" t="str">
        <x:v>SE</x:v>
      </x:c>
      <x:c r="G538" s="7" t="str">
        <x:v>seal and gasket</x:v>
      </x:c>
      <x:c r="H538" s="7" t="str"/>
      <x:c r="I538" s="7" t="str"/>
      <x:c r="J538" s="7" t="str"/>
      <x:c r="K538" s="7" t="str">
        <x:f>IF(J538="","OPEN",IF(OR(H538="",I538=""),"FAIL","PASS"))</x:f>
        <x:v>OPEN</x:v>
      </x:c>
    </x:row>
    <x:row r="539">
      <x:c r="B539" s="7" t="str">
        <x:v>CPN-PEA-C-X2-SE-5</x:v>
      </x:c>
      <x:c r="C539" s="7" t="str">
        <x:v>PEA-C-X2</x:v>
      </x:c>
      <x:c r="D539" s="7" t="str">
        <x:v>BLD-C</x:v>
      </x:c>
      <x:c r="E539" s="7" t="str">
        <x:v>BL-X</x:v>
      </x:c>
      <x:c r="F539" s="7" t="str">
        <x:v>SE</x:v>
      </x:c>
      <x:c r="G539" s="7" t="str">
        <x:v>seal and gasket</x:v>
      </x:c>
      <x:c r="H539" s="7" t="str"/>
      <x:c r="I539" s="7" t="str"/>
      <x:c r="J539" s="7" t="str"/>
      <x:c r="K539" s="7" t="str">
        <x:f>IF(J539="","OPEN",IF(OR(H539="",I539=""),"FAIL","PASS"))</x:f>
        <x:v>OPEN</x:v>
      </x:c>
    </x:row>
    <x:row r="540">
      <x:c r="B540" s="7" t="str">
        <x:v>CPN-PEA-C-X2-SE-6</x:v>
      </x:c>
      <x:c r="C540" s="7" t="str">
        <x:v>PEA-C-X2</x:v>
      </x:c>
      <x:c r="D540" s="7" t="str">
        <x:v>BLD-C</x:v>
      </x:c>
      <x:c r="E540" s="7" t="str">
        <x:v>BL-X</x:v>
      </x:c>
      <x:c r="F540" s="7" t="str">
        <x:v>SE</x:v>
      </x:c>
      <x:c r="G540" s="7" t="str">
        <x:v>seal and gasket</x:v>
      </x:c>
      <x:c r="H540" s="7" t="str"/>
      <x:c r="I540" s="7" t="str"/>
      <x:c r="J540" s="7" t="str"/>
      <x:c r="K540" s="7" t="str">
        <x:f>IF(J540="","OPEN",IF(OR(H540="",I540=""),"FAIL","PASS"))</x:f>
        <x:v>OPEN</x:v>
      </x:c>
    </x:row>
    <x:row r="541">
      <x:c r="B541" s="7" t="str">
        <x:v>CPN-PEA-C-X2-SE-7</x:v>
      </x:c>
      <x:c r="C541" s="7" t="str">
        <x:v>PEA-C-X2</x:v>
      </x:c>
      <x:c r="D541" s="7" t="str">
        <x:v>BLD-C</x:v>
      </x:c>
      <x:c r="E541" s="7" t="str">
        <x:v>BL-X</x:v>
      </x:c>
      <x:c r="F541" s="7" t="str">
        <x:v>SE</x:v>
      </x:c>
      <x:c r="G541" s="7" t="str">
        <x:v>seal and gasket</x:v>
      </x:c>
      <x:c r="H541" s="7" t="str"/>
      <x:c r="I541" s="7" t="str"/>
      <x:c r="J541" s="7" t="str"/>
      <x:c r="K541" s="7" t="str">
        <x:f>IF(J541="","OPEN",IF(OR(H541="",I541=""),"FAIL","PASS"))</x:f>
        <x:v>OPEN</x:v>
      </x:c>
    </x:row>
    <x:row r="542">
      <x:c r="B542" s="7" t="str">
        <x:v>CPN-PEA-C-X2-SE-8</x:v>
      </x:c>
      <x:c r="C542" s="7" t="str">
        <x:v>PEA-C-X2</x:v>
      </x:c>
      <x:c r="D542" s="7" t="str">
        <x:v>BLD-C</x:v>
      </x:c>
      <x:c r="E542" s="7" t="str">
        <x:v>BL-X</x:v>
      </x:c>
      <x:c r="F542" s="7" t="str">
        <x:v>SE</x:v>
      </x:c>
      <x:c r="G542" s="7" t="str">
        <x:v>seal and gasket</x:v>
      </x:c>
      <x:c r="H542" s="7" t="str"/>
      <x:c r="I542" s="7" t="str"/>
      <x:c r="J542" s="7" t="str"/>
      <x:c r="K542" s="7" t="str">
        <x:f>IF(J542="","OPEN",IF(OR(H542="",I542=""),"FAIL","PASS"))</x:f>
        <x:v>OPEN</x:v>
      </x:c>
    </x:row>
    <x:row r="543">
      <x:c r="B543" s="7" t="str">
        <x:v>CPN-PEA-C-X2-SF-1</x:v>
      </x:c>
      <x:c r="C543" s="7" t="str">
        <x:v>PEA-C-X2</x:v>
      </x:c>
      <x:c r="D543" s="7" t="str">
        <x:v>BLD-C</x:v>
      </x:c>
      <x:c r="E543" s="7" t="str">
        <x:v>BL-X</x:v>
      </x:c>
      <x:c r="F543" s="7" t="str">
        <x:v>SF</x:v>
      </x:c>
      <x:c r="G543" s="7" t="str">
        <x:v>wetted surface</x:v>
      </x:c>
      <x:c r="H543" s="7" t="str"/>
      <x:c r="I543" s="7" t="str"/>
      <x:c r="J543" s="7" t="str"/>
      <x:c r="K543" s="7" t="str">
        <x:f>IF(J543="","OPEN",IF(OR(H543="",I543=""),"FAIL","PASS"))</x:f>
        <x:v>OPEN</x:v>
      </x:c>
    </x:row>
    <x:row r="544">
      <x:c r="B544" s="7" t="str">
        <x:v>CPN-PEA-C-X2-SF-2</x:v>
      </x:c>
      <x:c r="C544" s="7" t="str">
        <x:v>PEA-C-X2</x:v>
      </x:c>
      <x:c r="D544" s="7" t="str">
        <x:v>BLD-C</x:v>
      </x:c>
      <x:c r="E544" s="7" t="str">
        <x:v>BL-X</x:v>
      </x:c>
      <x:c r="F544" s="7" t="str">
        <x:v>SF</x:v>
      </x:c>
      <x:c r="G544" s="7" t="str">
        <x:v>wetted surface</x:v>
      </x:c>
      <x:c r="H544" s="7" t="str"/>
      <x:c r="I544" s="7" t="str"/>
      <x:c r="J544" s="7" t="str"/>
      <x:c r="K544" s="7" t="str">
        <x:f>IF(J544="","OPEN",IF(OR(H544="",I544=""),"FAIL","PASS"))</x:f>
        <x:v>OPEN</x:v>
      </x:c>
    </x:row>
    <x:row r="545">
      <x:c r="B545" s="7" t="str">
        <x:v>CPN-PEA-C-X2-SF-3</x:v>
      </x:c>
      <x:c r="C545" s="7" t="str">
        <x:v>PEA-C-X2</x:v>
      </x:c>
      <x:c r="D545" s="7" t="str">
        <x:v>BLD-C</x:v>
      </x:c>
      <x:c r="E545" s="7" t="str">
        <x:v>BL-X</x:v>
      </x:c>
      <x:c r="F545" s="7" t="str">
        <x:v>SF</x:v>
      </x:c>
      <x:c r="G545" s="7" t="str">
        <x:v>wetted surface</x:v>
      </x:c>
      <x:c r="H545" s="7" t="str"/>
      <x:c r="I545" s="7" t="str"/>
      <x:c r="J545" s="7" t="str"/>
      <x:c r="K545" s="7" t="str">
        <x:f>IF(J545="","OPEN",IF(OR(H545="",I545=""),"FAIL","PASS"))</x:f>
        <x:v>OPEN</x:v>
      </x:c>
    </x:row>
    <x:row r="546">
      <x:c r="B546" s="7" t="str">
        <x:v>CPN-PEA-C-X2-SF-4</x:v>
      </x:c>
      <x:c r="C546" s="7" t="str">
        <x:v>PEA-C-X2</x:v>
      </x:c>
      <x:c r="D546" s="7" t="str">
        <x:v>BLD-C</x:v>
      </x:c>
      <x:c r="E546" s="7" t="str">
        <x:v>BL-X</x:v>
      </x:c>
      <x:c r="F546" s="7" t="str">
        <x:v>SF</x:v>
      </x:c>
      <x:c r="G546" s="7" t="str">
        <x:v>wetted surface</x:v>
      </x:c>
      <x:c r="H546" s="7" t="str"/>
      <x:c r="I546" s="7" t="str"/>
      <x:c r="J546" s="7" t="str"/>
      <x:c r="K546" s="7" t="str">
        <x:f>IF(J546="","OPEN",IF(OR(H546="",I546=""),"FAIL","PASS"))</x:f>
        <x:v>OPEN</x:v>
      </x:c>
    </x:row>
    <x:row r="547">
      <x:c r="B547" s="7" t="str">
        <x:v>CPN-PEA-C-X2-SF-5</x:v>
      </x:c>
      <x:c r="C547" s="7" t="str">
        <x:v>PEA-C-X2</x:v>
      </x:c>
      <x:c r="D547" s="7" t="str">
        <x:v>BLD-C</x:v>
      </x:c>
      <x:c r="E547" s="7" t="str">
        <x:v>BL-X</x:v>
      </x:c>
      <x:c r="F547" s="7" t="str">
        <x:v>SF</x:v>
      </x:c>
      <x:c r="G547" s="7" t="str">
        <x:v>wetted surface</x:v>
      </x:c>
      <x:c r="H547" s="7" t="str"/>
      <x:c r="I547" s="7" t="str"/>
      <x:c r="J547" s="7" t="str"/>
      <x:c r="K547" s="7" t="str">
        <x:f>IF(J547="","OPEN",IF(OR(H547="",I547=""),"FAIL","PASS"))</x:f>
        <x:v>OPEN</x:v>
      </x:c>
    </x:row>
    <x:row r="548">
      <x:c r="B548" s="7" t="str">
        <x:v>CPN-PEA-C-X2-SF-6</x:v>
      </x:c>
      <x:c r="C548" s="7" t="str">
        <x:v>PEA-C-X2</x:v>
      </x:c>
      <x:c r="D548" s="7" t="str">
        <x:v>BLD-C</x:v>
      </x:c>
      <x:c r="E548" s="7" t="str">
        <x:v>BL-X</x:v>
      </x:c>
      <x:c r="F548" s="7" t="str">
        <x:v>SF</x:v>
      </x:c>
      <x:c r="G548" s="7" t="str">
        <x:v>wetted surface</x:v>
      </x:c>
      <x:c r="H548" s="7" t="str"/>
      <x:c r="I548" s="7" t="str"/>
      <x:c r="J548" s="7" t="str"/>
      <x:c r="K548" s="7" t="str">
        <x:f>IF(J548="","OPEN",IF(OR(H548="",I548=""),"FAIL","PASS"))</x:f>
        <x:v>OPEN</x:v>
      </x:c>
    </x:row>
    <x:row r="549">
      <x:c r="B549" s="7" t="str">
        <x:v>CPN-PEA-C-X2-SF-7</x:v>
      </x:c>
      <x:c r="C549" s="7" t="str">
        <x:v>PEA-C-X2</x:v>
      </x:c>
      <x:c r="D549" s="7" t="str">
        <x:v>BLD-C</x:v>
      </x:c>
      <x:c r="E549" s="7" t="str">
        <x:v>BL-X</x:v>
      </x:c>
      <x:c r="F549" s="7" t="str">
        <x:v>SF</x:v>
      </x:c>
      <x:c r="G549" s="7" t="str">
        <x:v>wetted surface</x:v>
      </x:c>
      <x:c r="H549" s="7" t="str"/>
      <x:c r="I549" s="7" t="str"/>
      <x:c r="J549" s="7" t="str"/>
      <x:c r="K549" s="7" t="str">
        <x:f>IF(J549="","OPEN",IF(OR(H549="",I549=""),"FAIL","PASS"))</x:f>
        <x:v>OPEN</x:v>
      </x:c>
    </x:row>
    <x:row r="550">
      <x:c r="B550" s="7" t="str">
        <x:v>CPN-PEA-C-X2-SF-8</x:v>
      </x:c>
      <x:c r="C550" s="7" t="str">
        <x:v>PEA-C-X2</x:v>
      </x:c>
      <x:c r="D550" s="7" t="str">
        <x:v>BLD-C</x:v>
      </x:c>
      <x:c r="E550" s="7" t="str">
        <x:v>BL-X</x:v>
      </x:c>
      <x:c r="F550" s="7" t="str">
        <x:v>SF</x:v>
      </x:c>
      <x:c r="G550" s="7" t="str">
        <x:v>wetted surface</x:v>
      </x:c>
      <x:c r="H550" s="7" t="str"/>
      <x:c r="I550" s="7" t="str"/>
      <x:c r="J550" s="7" t="str"/>
      <x:c r="K550" s="7" t="str">
        <x:f>IF(J550="","OPEN",IF(OR(H550="",I550=""),"FAIL","PASS"))</x:f>
        <x:v>OPEN</x:v>
      </x:c>
    </x:row>
    <x:row r="551">
      <x:c r="B551" s="7" t="str">
        <x:v>CPN-PEA-C-X2-CP-1</x:v>
      </x:c>
      <x:c r="C551" s="7" t="str">
        <x:v>PEA-C-X2</x:v>
      </x:c>
      <x:c r="D551" s="7" t="str">
        <x:v>BLD-C</x:v>
      </x:c>
      <x:c r="E551" s="7" t="str">
        <x:v>BL-X</x:v>
      </x:c>
      <x:c r="F551" s="7" t="str">
        <x:v>CP</x:v>
      </x:c>
      <x:c r="G551" s="7" t="str">
        <x:v>penetration</x:v>
      </x:c>
      <x:c r="H551" s="7" t="str"/>
      <x:c r="I551" s="7" t="str"/>
      <x:c r="J551" s="7" t="str"/>
      <x:c r="K551" s="7" t="str">
        <x:f>IF(J551="","OPEN",IF(OR(H551="",I551=""),"FAIL","PASS"))</x:f>
        <x:v>OPEN</x:v>
      </x:c>
    </x:row>
    <x:row r="552">
      <x:c r="B552" s="7" t="str">
        <x:v>CPN-PEA-C-X2-CP-2</x:v>
      </x:c>
      <x:c r="C552" s="7" t="str">
        <x:v>PEA-C-X2</x:v>
      </x:c>
      <x:c r="D552" s="7" t="str">
        <x:v>BLD-C</x:v>
      </x:c>
      <x:c r="E552" s="7" t="str">
        <x:v>BL-X</x:v>
      </x:c>
      <x:c r="F552" s="7" t="str">
        <x:v>CP</x:v>
      </x:c>
      <x:c r="G552" s="7" t="str">
        <x:v>penetration</x:v>
      </x:c>
      <x:c r="H552" s="7" t="str"/>
      <x:c r="I552" s="7" t="str"/>
      <x:c r="J552" s="7" t="str"/>
      <x:c r="K552" s="7" t="str">
        <x:f>IF(J552="","OPEN",IF(OR(H552="",I552=""),"FAIL","PASS"))</x:f>
        <x:v>OPEN</x:v>
      </x:c>
    </x:row>
    <x:row r="553">
      <x:c r="B553" s="7" t="str">
        <x:v>CPN-PEA-C-X2-CP-3</x:v>
      </x:c>
      <x:c r="C553" s="7" t="str">
        <x:v>PEA-C-X2</x:v>
      </x:c>
      <x:c r="D553" s="7" t="str">
        <x:v>BLD-C</x:v>
      </x:c>
      <x:c r="E553" s="7" t="str">
        <x:v>BL-X</x:v>
      </x:c>
      <x:c r="F553" s="7" t="str">
        <x:v>CP</x:v>
      </x:c>
      <x:c r="G553" s="7" t="str">
        <x:v>penetration</x:v>
      </x:c>
      <x:c r="H553" s="7" t="str"/>
      <x:c r="I553" s="7" t="str"/>
      <x:c r="J553" s="7" t="str"/>
      <x:c r="K553" s="7" t="str">
        <x:f>IF(J553="","OPEN",IF(OR(H553="",I553=""),"FAIL","PASS"))</x:f>
        <x:v>OPEN</x:v>
      </x:c>
    </x:row>
    <x:row r="554">
      <x:c r="B554" s="7" t="str">
        <x:v>CPN-PEA-C-X2-CP-4</x:v>
      </x:c>
      <x:c r="C554" s="7" t="str">
        <x:v>PEA-C-X2</x:v>
      </x:c>
      <x:c r="D554" s="7" t="str">
        <x:v>BLD-C</x:v>
      </x:c>
      <x:c r="E554" s="7" t="str">
        <x:v>BL-X</x:v>
      </x:c>
      <x:c r="F554" s="7" t="str">
        <x:v>CP</x:v>
      </x:c>
      <x:c r="G554" s="7" t="str">
        <x:v>penetration</x:v>
      </x:c>
      <x:c r="H554" s="7" t="str"/>
      <x:c r="I554" s="7" t="str"/>
      <x:c r="J554" s="7" t="str"/>
      <x:c r="K554" s="7" t="str">
        <x:f>IF(J554="","OPEN",IF(OR(H554="",I554=""),"FAIL","PASS"))</x:f>
        <x:v>OPEN</x:v>
      </x:c>
    </x:row>
    <x:row r="555">
      <x:c r="B555" s="7" t="str">
        <x:v>CPN-PEA-C-X2-CP-5</x:v>
      </x:c>
      <x:c r="C555" s="7" t="str">
        <x:v>PEA-C-X2</x:v>
      </x:c>
      <x:c r="D555" s="7" t="str">
        <x:v>BLD-C</x:v>
      </x:c>
      <x:c r="E555" s="7" t="str">
        <x:v>BL-X</x:v>
      </x:c>
      <x:c r="F555" s="7" t="str">
        <x:v>CP</x:v>
      </x:c>
      <x:c r="G555" s="7" t="str">
        <x:v>penetration</x:v>
      </x:c>
      <x:c r="H555" s="7" t="str"/>
      <x:c r="I555" s="7" t="str"/>
      <x:c r="J555" s="7" t="str"/>
      <x:c r="K555" s="7" t="str">
        <x:f>IF(J555="","OPEN",IF(OR(H555="",I555=""),"FAIL","PASS"))</x:f>
        <x:v>OPEN</x:v>
      </x:c>
    </x:row>
    <x:row r="556">
      <x:c r="B556" s="7" t="str">
        <x:v>CPN-PEA-C-X2-CP-6</x:v>
      </x:c>
      <x:c r="C556" s="7" t="str">
        <x:v>PEA-C-X2</x:v>
      </x:c>
      <x:c r="D556" s="7" t="str">
        <x:v>BLD-C</x:v>
      </x:c>
      <x:c r="E556" s="7" t="str">
        <x:v>BL-X</x:v>
      </x:c>
      <x:c r="F556" s="7" t="str">
        <x:v>CP</x:v>
      </x:c>
      <x:c r="G556" s="7" t="str">
        <x:v>penetration</x:v>
      </x:c>
      <x:c r="H556" s="7" t="str"/>
      <x:c r="I556" s="7" t="str"/>
      <x:c r="J556" s="7" t="str"/>
      <x:c r="K556" s="7" t="str">
        <x:f>IF(J556="","OPEN",IF(OR(H556="",I556=""),"FAIL","PASS"))</x:f>
        <x:v>OPEN</x:v>
      </x:c>
    </x:row>
    <x:row r="557">
      <x:c r="B557" s="7" t="str">
        <x:v>CPN-PEA-C-X2-CP-7</x:v>
      </x:c>
      <x:c r="C557" s="7" t="str">
        <x:v>PEA-C-X2</x:v>
      </x:c>
      <x:c r="D557" s="7" t="str">
        <x:v>BLD-C</x:v>
      </x:c>
      <x:c r="E557" s="7" t="str">
        <x:v>BL-X</x:v>
      </x:c>
      <x:c r="F557" s="7" t="str">
        <x:v>CP</x:v>
      </x:c>
      <x:c r="G557" s="7" t="str">
        <x:v>penetration</x:v>
      </x:c>
      <x:c r="H557" s="7" t="str"/>
      <x:c r="I557" s="7" t="str"/>
      <x:c r="J557" s="7" t="str"/>
      <x:c r="K557" s="7" t="str">
        <x:f>IF(J557="","OPEN",IF(OR(H557="",I557=""),"FAIL","PASS"))</x:f>
        <x:v>OPEN</x:v>
      </x:c>
    </x:row>
    <x:row r="558">
      <x:c r="B558" s="7" t="str">
        <x:v>CPN-PEA-C-X2-CP-8</x:v>
      </x:c>
      <x:c r="C558" s="7" t="str">
        <x:v>PEA-C-X2</x:v>
      </x:c>
      <x:c r="D558" s="7" t="str">
        <x:v>BLD-C</x:v>
      </x:c>
      <x:c r="E558" s="7" t="str">
        <x:v>BL-X</x:v>
      </x:c>
      <x:c r="F558" s="7" t="str">
        <x:v>CP</x:v>
      </x:c>
      <x:c r="G558" s="7" t="str">
        <x:v>penetration</x:v>
      </x:c>
      <x:c r="H558" s="7" t="str"/>
      <x:c r="I558" s="7" t="str"/>
      <x:c r="J558" s="7" t="str"/>
      <x:c r="K558" s="7" t="str">
        <x:f>IF(J558="","OPEN",IF(OR(H558="",I558=""),"FAIL","PASS"))</x:f>
        <x:v>OPEN</x:v>
      </x:c>
    </x:row>
    <x:row r="559">
      <x:c r="B559" s="7" t="str">
        <x:v>CPN-PEA-C-X2-SM-1</x:v>
      </x:c>
      <x:c r="C559" s="7" t="str">
        <x:v>PEA-C-X2</x:v>
      </x:c>
      <x:c r="D559" s="7" t="str">
        <x:v>BLD-C</x:v>
      </x:c>
      <x:c r="E559" s="7" t="str">
        <x:v>BL-X</x:v>
      </x:c>
      <x:c r="F559" s="7" t="str">
        <x:v>SM</x:v>
      </x:c>
      <x:c r="G559" s="7" t="str">
        <x:v>sensor mount and datum</x:v>
      </x:c>
      <x:c r="H559" s="7" t="str"/>
      <x:c r="I559" s="7" t="str"/>
      <x:c r="J559" s="7" t="str"/>
      <x:c r="K559" s="7" t="str">
        <x:f>IF(J559="","OPEN",IF(OR(H559="",I559=""),"FAIL","PASS"))</x:f>
        <x:v>OPEN</x:v>
      </x:c>
    </x:row>
    <x:row r="560">
      <x:c r="B560" s="7" t="str">
        <x:v>CPN-PEA-C-X2-SM-2</x:v>
      </x:c>
      <x:c r="C560" s="7" t="str">
        <x:v>PEA-C-X2</x:v>
      </x:c>
      <x:c r="D560" s="7" t="str">
        <x:v>BLD-C</x:v>
      </x:c>
      <x:c r="E560" s="7" t="str">
        <x:v>BL-X</x:v>
      </x:c>
      <x:c r="F560" s="7" t="str">
        <x:v>SM</x:v>
      </x:c>
      <x:c r="G560" s="7" t="str">
        <x:v>sensor mount and datum</x:v>
      </x:c>
      <x:c r="H560" s="7" t="str"/>
      <x:c r="I560" s="7" t="str"/>
      <x:c r="J560" s="7" t="str"/>
      <x:c r="K560" s="7" t="str">
        <x:f>IF(J560="","OPEN",IF(OR(H560="",I560=""),"FAIL","PASS"))</x:f>
        <x:v>OPEN</x:v>
      </x:c>
    </x:row>
    <x:row r="561">
      <x:c r="B561" s="7" t="str">
        <x:v>CPN-PEA-C-X2-SM-3</x:v>
      </x:c>
      <x:c r="C561" s="7" t="str">
        <x:v>PEA-C-X2</x:v>
      </x:c>
      <x:c r="D561" s="7" t="str">
        <x:v>BLD-C</x:v>
      </x:c>
      <x:c r="E561" s="7" t="str">
        <x:v>BL-X</x:v>
      </x:c>
      <x:c r="F561" s="7" t="str">
        <x:v>SM</x:v>
      </x:c>
      <x:c r="G561" s="7" t="str">
        <x:v>sensor mount and datum</x:v>
      </x:c>
      <x:c r="H561" s="7" t="str"/>
      <x:c r="I561" s="7" t="str"/>
      <x:c r="J561" s="7" t="str"/>
      <x:c r="K561" s="7" t="str">
        <x:f>IF(J561="","OPEN",IF(OR(H561="",I561=""),"FAIL","PASS"))</x:f>
        <x:v>OPEN</x:v>
      </x:c>
    </x:row>
    <x:row r="562">
      <x:c r="B562" s="7" t="str">
        <x:v>CPN-PEA-C-X2-SM-4</x:v>
      </x:c>
      <x:c r="C562" s="7" t="str">
        <x:v>PEA-C-X2</x:v>
      </x:c>
      <x:c r="D562" s="7" t="str">
        <x:v>BLD-C</x:v>
      </x:c>
      <x:c r="E562" s="7" t="str">
        <x:v>BL-X</x:v>
      </x:c>
      <x:c r="F562" s="7" t="str">
        <x:v>SM</x:v>
      </x:c>
      <x:c r="G562" s="7" t="str">
        <x:v>sensor mount and datum</x:v>
      </x:c>
      <x:c r="H562" s="7" t="str"/>
      <x:c r="I562" s="7" t="str"/>
      <x:c r="J562" s="7" t="str"/>
      <x:c r="K562" s="7" t="str">
        <x:f>IF(J562="","OPEN",IF(OR(H562="",I562=""),"FAIL","PASS"))</x:f>
        <x:v>OPEN</x:v>
      </x:c>
    </x:row>
    <x:row r="563">
      <x:c r="B563" s="7" t="str">
        <x:v>CPN-PEA-C-X2-SM-5</x:v>
      </x:c>
      <x:c r="C563" s="7" t="str">
        <x:v>PEA-C-X2</x:v>
      </x:c>
      <x:c r="D563" s="7" t="str">
        <x:v>BLD-C</x:v>
      </x:c>
      <x:c r="E563" s="7" t="str">
        <x:v>BL-X</x:v>
      </x:c>
      <x:c r="F563" s="7" t="str">
        <x:v>SM</x:v>
      </x:c>
      <x:c r="G563" s="7" t="str">
        <x:v>sensor mount and datum</x:v>
      </x:c>
      <x:c r="H563" s="7" t="str"/>
      <x:c r="I563" s="7" t="str"/>
      <x:c r="J563" s="7" t="str"/>
      <x:c r="K563" s="7" t="str">
        <x:f>IF(J563="","OPEN",IF(OR(H563="",I563=""),"FAIL","PASS"))</x:f>
        <x:v>OPEN</x:v>
      </x:c>
    </x:row>
    <x:row r="564">
      <x:c r="B564" s="7" t="str">
        <x:v>CPN-PEA-C-X2-SM-6</x:v>
      </x:c>
      <x:c r="C564" s="7" t="str">
        <x:v>PEA-C-X2</x:v>
      </x:c>
      <x:c r="D564" s="7" t="str">
        <x:v>BLD-C</x:v>
      </x:c>
      <x:c r="E564" s="7" t="str">
        <x:v>BL-X</x:v>
      </x:c>
      <x:c r="F564" s="7" t="str">
        <x:v>SM</x:v>
      </x:c>
      <x:c r="G564" s="7" t="str">
        <x:v>sensor mount and datum</x:v>
      </x:c>
      <x:c r="H564" s="7" t="str"/>
      <x:c r="I564" s="7" t="str"/>
      <x:c r="J564" s="7" t="str"/>
      <x:c r="K564" s="7" t="str">
        <x:f>IF(J564="","OPEN",IF(OR(H564="",I564=""),"FAIL","PASS"))</x:f>
        <x:v>OPEN</x:v>
      </x:c>
    </x:row>
    <x:row r="565">
      <x:c r="B565" s="7" t="str">
        <x:v>CPN-PEA-C-X2-SM-7</x:v>
      </x:c>
      <x:c r="C565" s="7" t="str">
        <x:v>PEA-C-X2</x:v>
      </x:c>
      <x:c r="D565" s="7" t="str">
        <x:v>BLD-C</x:v>
      </x:c>
      <x:c r="E565" s="7" t="str">
        <x:v>BL-X</x:v>
      </x:c>
      <x:c r="F565" s="7" t="str">
        <x:v>SM</x:v>
      </x:c>
      <x:c r="G565" s="7" t="str">
        <x:v>sensor mount and datum</x:v>
      </x:c>
      <x:c r="H565" s="7" t="str"/>
      <x:c r="I565" s="7" t="str"/>
      <x:c r="J565" s="7" t="str"/>
      <x:c r="K565" s="7" t="str">
        <x:f>IF(J565="","OPEN",IF(OR(H565="",I565=""),"FAIL","PASS"))</x:f>
        <x:v>OPEN</x:v>
      </x:c>
    </x:row>
    <x:row r="566">
      <x:c r="B566" s="7" t="str">
        <x:v>CPN-PEA-C-X2-SM-8</x:v>
      </x:c>
      <x:c r="C566" s="7" t="str">
        <x:v>PEA-C-X2</x:v>
      </x:c>
      <x:c r="D566" s="7" t="str">
        <x:v>BLD-C</x:v>
      </x:c>
      <x:c r="E566" s="7" t="str">
        <x:v>BL-X</x:v>
      </x:c>
      <x:c r="F566" s="7" t="str">
        <x:v>SM</x:v>
      </x:c>
      <x:c r="G566" s="7" t="str">
        <x:v>sensor mount and datum</x:v>
      </x:c>
      <x:c r="H566" s="7" t="str"/>
      <x:c r="I566" s="7" t="str"/>
      <x:c r="J566" s="7" t="str"/>
      <x:c r="K566" s="7" t="str">
        <x:f>IF(J566="","OPEN",IF(OR(H566="",I566=""),"FAIL","PASS"))</x:f>
        <x:v>OPEN</x:v>
      </x:c>
    </x:row>
    <x:row r="567">
      <x:c r="B567" s="7" t="str">
        <x:v>CPN-PEA-C-X3-CJ-1</x:v>
      </x:c>
      <x:c r="C567" s="7" t="str">
        <x:v>PEA-C-X3</x:v>
      </x:c>
      <x:c r="D567" s="7" t="str">
        <x:v>BLD-C</x:v>
      </x:c>
      <x:c r="E567" s="7" t="str">
        <x:v>BL-X</x:v>
      </x:c>
      <x:c r="F567" s="7" t="str">
        <x:v>CJ</x:v>
      </x:c>
      <x:c r="G567" s="7" t="str">
        <x:v>joint or weld</x:v>
      </x:c>
      <x:c r="H567" s="7" t="str"/>
      <x:c r="I567" s="7" t="str"/>
      <x:c r="J567" s="7" t="str"/>
      <x:c r="K567" s="7" t="str">
        <x:f>IF(J567="","OPEN",IF(OR(H567="",I567=""),"FAIL","PASS"))</x:f>
        <x:v>OPEN</x:v>
      </x:c>
    </x:row>
    <x:row r="568">
      <x:c r="B568" s="7" t="str">
        <x:v>CPN-PEA-C-X3-CJ-2</x:v>
      </x:c>
      <x:c r="C568" s="7" t="str">
        <x:v>PEA-C-X3</x:v>
      </x:c>
      <x:c r="D568" s="7" t="str">
        <x:v>BLD-C</x:v>
      </x:c>
      <x:c r="E568" s="7" t="str">
        <x:v>BL-X</x:v>
      </x:c>
      <x:c r="F568" s="7" t="str">
        <x:v>CJ</x:v>
      </x:c>
      <x:c r="G568" s="7" t="str">
        <x:v>joint or weld</x:v>
      </x:c>
      <x:c r="H568" s="7" t="str"/>
      <x:c r="I568" s="7" t="str"/>
      <x:c r="J568" s="7" t="str"/>
      <x:c r="K568" s="7" t="str">
        <x:f>IF(J568="","OPEN",IF(OR(H568="",I568=""),"FAIL","PASS"))</x:f>
        <x:v>OPEN</x:v>
      </x:c>
    </x:row>
    <x:row r="569">
      <x:c r="B569" s="7" t="str">
        <x:v>CPN-PEA-C-X3-CJ-3</x:v>
      </x:c>
      <x:c r="C569" s="7" t="str">
        <x:v>PEA-C-X3</x:v>
      </x:c>
      <x:c r="D569" s="7" t="str">
        <x:v>BLD-C</x:v>
      </x:c>
      <x:c r="E569" s="7" t="str">
        <x:v>BL-X</x:v>
      </x:c>
      <x:c r="F569" s="7" t="str">
        <x:v>CJ</x:v>
      </x:c>
      <x:c r="G569" s="7" t="str">
        <x:v>joint or weld</x:v>
      </x:c>
      <x:c r="H569" s="7" t="str"/>
      <x:c r="I569" s="7" t="str"/>
      <x:c r="J569" s="7" t="str"/>
      <x:c r="K569" s="7" t="str">
        <x:f>IF(J569="","OPEN",IF(OR(H569="",I569=""),"FAIL","PASS"))</x:f>
        <x:v>OPEN</x:v>
      </x:c>
    </x:row>
    <x:row r="570">
      <x:c r="B570" s="7" t="str">
        <x:v>CPN-PEA-C-X3-CJ-4</x:v>
      </x:c>
      <x:c r="C570" s="7" t="str">
        <x:v>PEA-C-X3</x:v>
      </x:c>
      <x:c r="D570" s="7" t="str">
        <x:v>BLD-C</x:v>
      </x:c>
      <x:c r="E570" s="7" t="str">
        <x:v>BL-X</x:v>
      </x:c>
      <x:c r="F570" s="7" t="str">
        <x:v>CJ</x:v>
      </x:c>
      <x:c r="G570" s="7" t="str">
        <x:v>joint or weld</x:v>
      </x:c>
      <x:c r="H570" s="7" t="str"/>
      <x:c r="I570" s="7" t="str"/>
      <x:c r="J570" s="7" t="str"/>
      <x:c r="K570" s="7" t="str">
        <x:f>IF(J570="","OPEN",IF(OR(H570="",I570=""),"FAIL","PASS"))</x:f>
        <x:v>OPEN</x:v>
      </x:c>
    </x:row>
    <x:row r="571">
      <x:c r="B571" s="7" t="str">
        <x:v>CPN-PEA-C-X3-CJ-5</x:v>
      </x:c>
      <x:c r="C571" s="7" t="str">
        <x:v>PEA-C-X3</x:v>
      </x:c>
      <x:c r="D571" s="7" t="str">
        <x:v>BLD-C</x:v>
      </x:c>
      <x:c r="E571" s="7" t="str">
        <x:v>BL-X</x:v>
      </x:c>
      <x:c r="F571" s="7" t="str">
        <x:v>CJ</x:v>
      </x:c>
      <x:c r="G571" s="7" t="str">
        <x:v>joint or weld</x:v>
      </x:c>
      <x:c r="H571" s="7" t="str"/>
      <x:c r="I571" s="7" t="str"/>
      <x:c r="J571" s="7" t="str"/>
      <x:c r="K571" s="7" t="str">
        <x:f>IF(J571="","OPEN",IF(OR(H571="",I571=""),"FAIL","PASS"))</x:f>
        <x:v>OPEN</x:v>
      </x:c>
    </x:row>
    <x:row r="572">
      <x:c r="B572" s="7" t="str">
        <x:v>CPN-PEA-C-X3-CJ-6</x:v>
      </x:c>
      <x:c r="C572" s="7" t="str">
        <x:v>PEA-C-X3</x:v>
      </x:c>
      <x:c r="D572" s="7" t="str">
        <x:v>BLD-C</x:v>
      </x:c>
      <x:c r="E572" s="7" t="str">
        <x:v>BL-X</x:v>
      </x:c>
      <x:c r="F572" s="7" t="str">
        <x:v>CJ</x:v>
      </x:c>
      <x:c r="G572" s="7" t="str">
        <x:v>joint or weld</x:v>
      </x:c>
      <x:c r="H572" s="7" t="str"/>
      <x:c r="I572" s="7" t="str"/>
      <x:c r="J572" s="7" t="str"/>
      <x:c r="K572" s="7" t="str">
        <x:f>IF(J572="","OPEN",IF(OR(H572="",I572=""),"FAIL","PASS"))</x:f>
        <x:v>OPEN</x:v>
      </x:c>
    </x:row>
    <x:row r="573">
      <x:c r="B573" s="7" t="str">
        <x:v>CPN-PEA-C-X3-CJ-7</x:v>
      </x:c>
      <x:c r="C573" s="7" t="str">
        <x:v>PEA-C-X3</x:v>
      </x:c>
      <x:c r="D573" s="7" t="str">
        <x:v>BLD-C</x:v>
      </x:c>
      <x:c r="E573" s="7" t="str">
        <x:v>BL-X</x:v>
      </x:c>
      <x:c r="F573" s="7" t="str">
        <x:v>CJ</x:v>
      </x:c>
      <x:c r="G573" s="7" t="str">
        <x:v>joint or weld</x:v>
      </x:c>
      <x:c r="H573" s="7" t="str"/>
      <x:c r="I573" s="7" t="str"/>
      <x:c r="J573" s="7" t="str"/>
      <x:c r="K573" s="7" t="str">
        <x:f>IF(J573="","OPEN",IF(OR(H573="",I573=""),"FAIL","PASS"))</x:f>
        <x:v>OPEN</x:v>
      </x:c>
    </x:row>
    <x:row r="574">
      <x:c r="B574" s="7" t="str">
        <x:v>CPN-PEA-C-X3-CJ-8</x:v>
      </x:c>
      <x:c r="C574" s="7" t="str">
        <x:v>PEA-C-X3</x:v>
      </x:c>
      <x:c r="D574" s="7" t="str">
        <x:v>BLD-C</x:v>
      </x:c>
      <x:c r="E574" s="7" t="str">
        <x:v>BL-X</x:v>
      </x:c>
      <x:c r="F574" s="7" t="str">
        <x:v>CJ</x:v>
      </x:c>
      <x:c r="G574" s="7" t="str">
        <x:v>joint or weld</x:v>
      </x:c>
      <x:c r="H574" s="7" t="str"/>
      <x:c r="I574" s="7" t="str"/>
      <x:c r="J574" s="7" t="str"/>
      <x:c r="K574" s="7" t="str">
        <x:f>IF(J574="","OPEN",IF(OR(H574="",I574=""),"FAIL","PASS"))</x:f>
        <x:v>OPEN</x:v>
      </x:c>
    </x:row>
    <x:row r="575">
      <x:c r="B575" s="7" t="str">
        <x:v>CPN-PEA-C-X3-SE-1</x:v>
      </x:c>
      <x:c r="C575" s="7" t="str">
        <x:v>PEA-C-X3</x:v>
      </x:c>
      <x:c r="D575" s="7" t="str">
        <x:v>BLD-C</x:v>
      </x:c>
      <x:c r="E575" s="7" t="str">
        <x:v>BL-X</x:v>
      </x:c>
      <x:c r="F575" s="7" t="str">
        <x:v>SE</x:v>
      </x:c>
      <x:c r="G575" s="7" t="str">
        <x:v>seal and gasket</x:v>
      </x:c>
      <x:c r="H575" s="7" t="str"/>
      <x:c r="I575" s="7" t="str"/>
      <x:c r="J575" s="7" t="str"/>
      <x:c r="K575" s="7" t="str">
        <x:f>IF(J575="","OPEN",IF(OR(H575="",I575=""),"FAIL","PASS"))</x:f>
        <x:v>OPEN</x:v>
      </x:c>
    </x:row>
    <x:row r="576">
      <x:c r="B576" s="7" t="str">
        <x:v>CPN-PEA-C-X3-SE-2</x:v>
      </x:c>
      <x:c r="C576" s="7" t="str">
        <x:v>PEA-C-X3</x:v>
      </x:c>
      <x:c r="D576" s="7" t="str">
        <x:v>BLD-C</x:v>
      </x:c>
      <x:c r="E576" s="7" t="str">
        <x:v>BL-X</x:v>
      </x:c>
      <x:c r="F576" s="7" t="str">
        <x:v>SE</x:v>
      </x:c>
      <x:c r="G576" s="7" t="str">
        <x:v>seal and gasket</x:v>
      </x:c>
      <x:c r="H576" s="7" t="str"/>
      <x:c r="I576" s="7" t="str"/>
      <x:c r="J576" s="7" t="str"/>
      <x:c r="K576" s="7" t="str">
        <x:f>IF(J576="","OPEN",IF(OR(H576="",I576=""),"FAIL","PASS"))</x:f>
        <x:v>OPEN</x:v>
      </x:c>
    </x:row>
    <x:row r="577">
      <x:c r="B577" s="7" t="str">
        <x:v>CPN-PEA-C-X3-SE-3</x:v>
      </x:c>
      <x:c r="C577" s="7" t="str">
        <x:v>PEA-C-X3</x:v>
      </x:c>
      <x:c r="D577" s="7" t="str">
        <x:v>BLD-C</x:v>
      </x:c>
      <x:c r="E577" s="7" t="str">
        <x:v>BL-X</x:v>
      </x:c>
      <x:c r="F577" s="7" t="str">
        <x:v>SE</x:v>
      </x:c>
      <x:c r="G577" s="7" t="str">
        <x:v>seal and gasket</x:v>
      </x:c>
      <x:c r="H577" s="7" t="str"/>
      <x:c r="I577" s="7" t="str"/>
      <x:c r="J577" s="7" t="str"/>
      <x:c r="K577" s="7" t="str">
        <x:f>IF(J577="","OPEN",IF(OR(H577="",I577=""),"FAIL","PASS"))</x:f>
        <x:v>OPEN</x:v>
      </x:c>
    </x:row>
    <x:row r="578">
      <x:c r="B578" s="7" t="str">
        <x:v>CPN-PEA-C-X3-SE-4</x:v>
      </x:c>
      <x:c r="C578" s="7" t="str">
        <x:v>PEA-C-X3</x:v>
      </x:c>
      <x:c r="D578" s="7" t="str">
        <x:v>BLD-C</x:v>
      </x:c>
      <x:c r="E578" s="7" t="str">
        <x:v>BL-X</x:v>
      </x:c>
      <x:c r="F578" s="7" t="str">
        <x:v>SE</x:v>
      </x:c>
      <x:c r="G578" s="7" t="str">
        <x:v>seal and gasket</x:v>
      </x:c>
      <x:c r="H578" s="7" t="str"/>
      <x:c r="I578" s="7" t="str"/>
      <x:c r="J578" s="7" t="str"/>
      <x:c r="K578" s="7" t="str">
        <x:f>IF(J578="","OPEN",IF(OR(H578="",I578=""),"FAIL","PASS"))</x:f>
        <x:v>OPEN</x:v>
      </x:c>
    </x:row>
    <x:row r="579">
      <x:c r="B579" s="7" t="str">
        <x:v>CPN-PEA-C-X3-SE-5</x:v>
      </x:c>
      <x:c r="C579" s="7" t="str">
        <x:v>PEA-C-X3</x:v>
      </x:c>
      <x:c r="D579" s="7" t="str">
        <x:v>BLD-C</x:v>
      </x:c>
      <x:c r="E579" s="7" t="str">
        <x:v>BL-X</x:v>
      </x:c>
      <x:c r="F579" s="7" t="str">
        <x:v>SE</x:v>
      </x:c>
      <x:c r="G579" s="7" t="str">
        <x:v>seal and gasket</x:v>
      </x:c>
      <x:c r="H579" s="7" t="str"/>
      <x:c r="I579" s="7" t="str"/>
      <x:c r="J579" s="7" t="str"/>
      <x:c r="K579" s="7" t="str">
        <x:f>IF(J579="","OPEN",IF(OR(H579="",I579=""),"FAIL","PASS"))</x:f>
        <x:v>OPEN</x:v>
      </x:c>
    </x:row>
    <x:row r="580">
      <x:c r="B580" s="7" t="str">
        <x:v>CPN-PEA-C-X3-SE-6</x:v>
      </x:c>
      <x:c r="C580" s="7" t="str">
        <x:v>PEA-C-X3</x:v>
      </x:c>
      <x:c r="D580" s="7" t="str">
        <x:v>BLD-C</x:v>
      </x:c>
      <x:c r="E580" s="7" t="str">
        <x:v>BL-X</x:v>
      </x:c>
      <x:c r="F580" s="7" t="str">
        <x:v>SE</x:v>
      </x:c>
      <x:c r="G580" s="7" t="str">
        <x:v>seal and gasket</x:v>
      </x:c>
      <x:c r="H580" s="7" t="str"/>
      <x:c r="I580" s="7" t="str"/>
      <x:c r="J580" s="7" t="str"/>
      <x:c r="K580" s="7" t="str">
        <x:f>IF(J580="","OPEN",IF(OR(H580="",I580=""),"FAIL","PASS"))</x:f>
        <x:v>OPEN</x:v>
      </x:c>
    </x:row>
    <x:row r="581">
      <x:c r="B581" s="7" t="str">
        <x:v>CPN-PEA-C-X3-SE-7</x:v>
      </x:c>
      <x:c r="C581" s="7" t="str">
        <x:v>PEA-C-X3</x:v>
      </x:c>
      <x:c r="D581" s="7" t="str">
        <x:v>BLD-C</x:v>
      </x:c>
      <x:c r="E581" s="7" t="str">
        <x:v>BL-X</x:v>
      </x:c>
      <x:c r="F581" s="7" t="str">
        <x:v>SE</x:v>
      </x:c>
      <x:c r="G581" s="7" t="str">
        <x:v>seal and gasket</x:v>
      </x:c>
      <x:c r="H581" s="7" t="str"/>
      <x:c r="I581" s="7" t="str"/>
      <x:c r="J581" s="7" t="str"/>
      <x:c r="K581" s="7" t="str">
        <x:f>IF(J581="","OPEN",IF(OR(H581="",I581=""),"FAIL","PASS"))</x:f>
        <x:v>OPEN</x:v>
      </x:c>
    </x:row>
    <x:row r="582">
      <x:c r="B582" s="7" t="str">
        <x:v>CPN-PEA-C-X3-SE-8</x:v>
      </x:c>
      <x:c r="C582" s="7" t="str">
        <x:v>PEA-C-X3</x:v>
      </x:c>
      <x:c r="D582" s="7" t="str">
        <x:v>BLD-C</x:v>
      </x:c>
      <x:c r="E582" s="7" t="str">
        <x:v>BL-X</x:v>
      </x:c>
      <x:c r="F582" s="7" t="str">
        <x:v>SE</x:v>
      </x:c>
      <x:c r="G582" s="7" t="str">
        <x:v>seal and gasket</x:v>
      </x:c>
      <x:c r="H582" s="7" t="str"/>
      <x:c r="I582" s="7" t="str"/>
      <x:c r="J582" s="7" t="str"/>
      <x:c r="K582" s="7" t="str">
        <x:f>IF(J582="","OPEN",IF(OR(H582="",I582=""),"FAIL","PASS"))</x:f>
        <x:v>OPEN</x:v>
      </x:c>
    </x:row>
    <x:row r="583">
      <x:c r="B583" s="7" t="str">
        <x:v>CPN-PEA-C-X3-SF-1</x:v>
      </x:c>
      <x:c r="C583" s="7" t="str">
        <x:v>PEA-C-X3</x:v>
      </x:c>
      <x:c r="D583" s="7" t="str">
        <x:v>BLD-C</x:v>
      </x:c>
      <x:c r="E583" s="7" t="str">
        <x:v>BL-X</x:v>
      </x:c>
      <x:c r="F583" s="7" t="str">
        <x:v>SF</x:v>
      </x:c>
      <x:c r="G583" s="7" t="str">
        <x:v>wetted surface</x:v>
      </x:c>
      <x:c r="H583" s="7" t="str"/>
      <x:c r="I583" s="7" t="str"/>
      <x:c r="J583" s="7" t="str"/>
      <x:c r="K583" s="7" t="str">
        <x:f>IF(J583="","OPEN",IF(OR(H583="",I583=""),"FAIL","PASS"))</x:f>
        <x:v>OPEN</x:v>
      </x:c>
    </x:row>
    <x:row r="584">
      <x:c r="B584" s="7" t="str">
        <x:v>CPN-PEA-C-X3-SF-2</x:v>
      </x:c>
      <x:c r="C584" s="7" t="str">
        <x:v>PEA-C-X3</x:v>
      </x:c>
      <x:c r="D584" s="7" t="str">
        <x:v>BLD-C</x:v>
      </x:c>
      <x:c r="E584" s="7" t="str">
        <x:v>BL-X</x:v>
      </x:c>
      <x:c r="F584" s="7" t="str">
        <x:v>SF</x:v>
      </x:c>
      <x:c r="G584" s="7" t="str">
        <x:v>wetted surface</x:v>
      </x:c>
      <x:c r="H584" s="7" t="str"/>
      <x:c r="I584" s="7" t="str"/>
      <x:c r="J584" s="7" t="str"/>
      <x:c r="K584" s="7" t="str">
        <x:f>IF(J584="","OPEN",IF(OR(H584="",I584=""),"FAIL","PASS"))</x:f>
        <x:v>OPEN</x:v>
      </x:c>
    </x:row>
    <x:row r="585">
      <x:c r="B585" s="7" t="str">
        <x:v>CPN-PEA-C-X3-SF-3</x:v>
      </x:c>
      <x:c r="C585" s="7" t="str">
        <x:v>PEA-C-X3</x:v>
      </x:c>
      <x:c r="D585" s="7" t="str">
        <x:v>BLD-C</x:v>
      </x:c>
      <x:c r="E585" s="7" t="str">
        <x:v>BL-X</x:v>
      </x:c>
      <x:c r="F585" s="7" t="str">
        <x:v>SF</x:v>
      </x:c>
      <x:c r="G585" s="7" t="str">
        <x:v>wetted surface</x:v>
      </x:c>
      <x:c r="H585" s="7" t="str"/>
      <x:c r="I585" s="7" t="str"/>
      <x:c r="J585" s="7" t="str"/>
      <x:c r="K585" s="7" t="str">
        <x:f>IF(J585="","OPEN",IF(OR(H585="",I585=""),"FAIL","PASS"))</x:f>
        <x:v>OPEN</x:v>
      </x:c>
    </x:row>
    <x:row r="586">
      <x:c r="B586" s="7" t="str">
        <x:v>CPN-PEA-C-X3-SF-4</x:v>
      </x:c>
      <x:c r="C586" s="7" t="str">
        <x:v>PEA-C-X3</x:v>
      </x:c>
      <x:c r="D586" s="7" t="str">
        <x:v>BLD-C</x:v>
      </x:c>
      <x:c r="E586" s="7" t="str">
        <x:v>BL-X</x:v>
      </x:c>
      <x:c r="F586" s="7" t="str">
        <x:v>SF</x:v>
      </x:c>
      <x:c r="G586" s="7" t="str">
        <x:v>wetted surface</x:v>
      </x:c>
      <x:c r="H586" s="7" t="str"/>
      <x:c r="I586" s="7" t="str"/>
      <x:c r="J586" s="7" t="str"/>
      <x:c r="K586" s="7" t="str">
        <x:f>IF(J586="","OPEN",IF(OR(H586="",I586=""),"FAIL","PASS"))</x:f>
        <x:v>OPEN</x:v>
      </x:c>
    </x:row>
    <x:row r="587">
      <x:c r="B587" s="7" t="str">
        <x:v>CPN-PEA-C-X3-SF-5</x:v>
      </x:c>
      <x:c r="C587" s="7" t="str">
        <x:v>PEA-C-X3</x:v>
      </x:c>
      <x:c r="D587" s="7" t="str">
        <x:v>BLD-C</x:v>
      </x:c>
      <x:c r="E587" s="7" t="str">
        <x:v>BL-X</x:v>
      </x:c>
      <x:c r="F587" s="7" t="str">
        <x:v>SF</x:v>
      </x:c>
      <x:c r="G587" s="7" t="str">
        <x:v>wetted surface</x:v>
      </x:c>
      <x:c r="H587" s="7" t="str"/>
      <x:c r="I587" s="7" t="str"/>
      <x:c r="J587" s="7" t="str"/>
      <x:c r="K587" s="7" t="str">
        <x:f>IF(J587="","OPEN",IF(OR(H587="",I587=""),"FAIL","PASS"))</x:f>
        <x:v>OPEN</x:v>
      </x:c>
    </x:row>
    <x:row r="588">
      <x:c r="B588" s="7" t="str">
        <x:v>CPN-PEA-C-X3-SF-6</x:v>
      </x:c>
      <x:c r="C588" s="7" t="str">
        <x:v>PEA-C-X3</x:v>
      </x:c>
      <x:c r="D588" s="7" t="str">
        <x:v>BLD-C</x:v>
      </x:c>
      <x:c r="E588" s="7" t="str">
        <x:v>BL-X</x:v>
      </x:c>
      <x:c r="F588" s="7" t="str">
        <x:v>SF</x:v>
      </x:c>
      <x:c r="G588" s="7" t="str">
        <x:v>wetted surface</x:v>
      </x:c>
      <x:c r="H588" s="7" t="str"/>
      <x:c r="I588" s="7" t="str"/>
      <x:c r="J588" s="7" t="str"/>
      <x:c r="K588" s="7" t="str">
        <x:f>IF(J588="","OPEN",IF(OR(H588="",I588=""),"FAIL","PASS"))</x:f>
        <x:v>OPEN</x:v>
      </x:c>
    </x:row>
    <x:row r="589">
      <x:c r="B589" s="7" t="str">
        <x:v>CPN-PEA-C-X3-SF-7</x:v>
      </x:c>
      <x:c r="C589" s="7" t="str">
        <x:v>PEA-C-X3</x:v>
      </x:c>
      <x:c r="D589" s="7" t="str">
        <x:v>BLD-C</x:v>
      </x:c>
      <x:c r="E589" s="7" t="str">
        <x:v>BL-X</x:v>
      </x:c>
      <x:c r="F589" s="7" t="str">
        <x:v>SF</x:v>
      </x:c>
      <x:c r="G589" s="7" t="str">
        <x:v>wetted surface</x:v>
      </x:c>
      <x:c r="H589" s="7" t="str"/>
      <x:c r="I589" s="7" t="str"/>
      <x:c r="J589" s="7" t="str"/>
      <x:c r="K589" s="7" t="str">
        <x:f>IF(J589="","OPEN",IF(OR(H589="",I589=""),"FAIL","PASS"))</x:f>
        <x:v>OPEN</x:v>
      </x:c>
    </x:row>
    <x:row r="590">
      <x:c r="B590" s="7" t="str">
        <x:v>CPN-PEA-C-X3-SF-8</x:v>
      </x:c>
      <x:c r="C590" s="7" t="str">
        <x:v>PEA-C-X3</x:v>
      </x:c>
      <x:c r="D590" s="7" t="str">
        <x:v>BLD-C</x:v>
      </x:c>
      <x:c r="E590" s="7" t="str">
        <x:v>BL-X</x:v>
      </x:c>
      <x:c r="F590" s="7" t="str">
        <x:v>SF</x:v>
      </x:c>
      <x:c r="G590" s="7" t="str">
        <x:v>wetted surface</x:v>
      </x:c>
      <x:c r="H590" s="7" t="str"/>
      <x:c r="I590" s="7" t="str"/>
      <x:c r="J590" s="7" t="str"/>
      <x:c r="K590" s="7" t="str">
        <x:f>IF(J590="","OPEN",IF(OR(H590="",I590=""),"FAIL","PASS"))</x:f>
        <x:v>OPEN</x:v>
      </x:c>
    </x:row>
    <x:row r="591">
      <x:c r="B591" s="7" t="str">
        <x:v>CPN-PEA-C-X3-CP-1</x:v>
      </x:c>
      <x:c r="C591" s="7" t="str">
        <x:v>PEA-C-X3</x:v>
      </x:c>
      <x:c r="D591" s="7" t="str">
        <x:v>BLD-C</x:v>
      </x:c>
      <x:c r="E591" s="7" t="str">
        <x:v>BL-X</x:v>
      </x:c>
      <x:c r="F591" s="7" t="str">
        <x:v>CP</x:v>
      </x:c>
      <x:c r="G591" s="7" t="str">
        <x:v>penetration</x:v>
      </x:c>
      <x:c r="H591" s="7" t="str"/>
      <x:c r="I591" s="7" t="str"/>
      <x:c r="J591" s="7" t="str"/>
      <x:c r="K591" s="7" t="str">
        <x:f>IF(J591="","OPEN",IF(OR(H591="",I591=""),"FAIL","PASS"))</x:f>
        <x:v>OPEN</x:v>
      </x:c>
    </x:row>
    <x:row r="592">
      <x:c r="B592" s="7" t="str">
        <x:v>CPN-PEA-C-X3-CP-2</x:v>
      </x:c>
      <x:c r="C592" s="7" t="str">
        <x:v>PEA-C-X3</x:v>
      </x:c>
      <x:c r="D592" s="7" t="str">
        <x:v>BLD-C</x:v>
      </x:c>
      <x:c r="E592" s="7" t="str">
        <x:v>BL-X</x:v>
      </x:c>
      <x:c r="F592" s="7" t="str">
        <x:v>CP</x:v>
      </x:c>
      <x:c r="G592" s="7" t="str">
        <x:v>penetration</x:v>
      </x:c>
      <x:c r="H592" s="7" t="str"/>
      <x:c r="I592" s="7" t="str"/>
      <x:c r="J592" s="7" t="str"/>
      <x:c r="K592" s="7" t="str">
        <x:f>IF(J592="","OPEN",IF(OR(H592="",I592=""),"FAIL","PASS"))</x:f>
        <x:v>OPEN</x:v>
      </x:c>
    </x:row>
    <x:row r="593">
      <x:c r="B593" s="7" t="str">
        <x:v>CPN-PEA-C-X3-CP-3</x:v>
      </x:c>
      <x:c r="C593" s="7" t="str">
        <x:v>PEA-C-X3</x:v>
      </x:c>
      <x:c r="D593" s="7" t="str">
        <x:v>BLD-C</x:v>
      </x:c>
      <x:c r="E593" s="7" t="str">
        <x:v>BL-X</x:v>
      </x:c>
      <x:c r="F593" s="7" t="str">
        <x:v>CP</x:v>
      </x:c>
      <x:c r="G593" s="7" t="str">
        <x:v>penetration</x:v>
      </x:c>
      <x:c r="H593" s="7" t="str"/>
      <x:c r="I593" s="7" t="str"/>
      <x:c r="J593" s="7" t="str"/>
      <x:c r="K593" s="7" t="str">
        <x:f>IF(J593="","OPEN",IF(OR(H593="",I593=""),"FAIL","PASS"))</x:f>
        <x:v>OPEN</x:v>
      </x:c>
    </x:row>
    <x:row r="594">
      <x:c r="B594" s="7" t="str">
        <x:v>CPN-PEA-C-X3-CP-4</x:v>
      </x:c>
      <x:c r="C594" s="7" t="str">
        <x:v>PEA-C-X3</x:v>
      </x:c>
      <x:c r="D594" s="7" t="str">
        <x:v>BLD-C</x:v>
      </x:c>
      <x:c r="E594" s="7" t="str">
        <x:v>BL-X</x:v>
      </x:c>
      <x:c r="F594" s="7" t="str">
        <x:v>CP</x:v>
      </x:c>
      <x:c r="G594" s="7" t="str">
        <x:v>penetration</x:v>
      </x:c>
      <x:c r="H594" s="7" t="str"/>
      <x:c r="I594" s="7" t="str"/>
      <x:c r="J594" s="7" t="str"/>
      <x:c r="K594" s="7" t="str">
        <x:f>IF(J594="","OPEN",IF(OR(H594="",I594=""),"FAIL","PASS"))</x:f>
        <x:v>OPEN</x:v>
      </x:c>
    </x:row>
    <x:row r="595">
      <x:c r="B595" s="7" t="str">
        <x:v>CPN-PEA-C-X3-CP-5</x:v>
      </x:c>
      <x:c r="C595" s="7" t="str">
        <x:v>PEA-C-X3</x:v>
      </x:c>
      <x:c r="D595" s="7" t="str">
        <x:v>BLD-C</x:v>
      </x:c>
      <x:c r="E595" s="7" t="str">
        <x:v>BL-X</x:v>
      </x:c>
      <x:c r="F595" s="7" t="str">
        <x:v>CP</x:v>
      </x:c>
      <x:c r="G595" s="7" t="str">
        <x:v>penetration</x:v>
      </x:c>
      <x:c r="H595" s="7" t="str"/>
      <x:c r="I595" s="7" t="str"/>
      <x:c r="J595" s="7" t="str"/>
      <x:c r="K595" s="7" t="str">
        <x:f>IF(J595="","OPEN",IF(OR(H595="",I595=""),"FAIL","PASS"))</x:f>
        <x:v>OPEN</x:v>
      </x:c>
    </x:row>
    <x:row r="596">
      <x:c r="B596" s="7" t="str">
        <x:v>CPN-PEA-C-X3-CP-6</x:v>
      </x:c>
      <x:c r="C596" s="7" t="str">
        <x:v>PEA-C-X3</x:v>
      </x:c>
      <x:c r="D596" s="7" t="str">
        <x:v>BLD-C</x:v>
      </x:c>
      <x:c r="E596" s="7" t="str">
        <x:v>BL-X</x:v>
      </x:c>
      <x:c r="F596" s="7" t="str">
        <x:v>CP</x:v>
      </x:c>
      <x:c r="G596" s="7" t="str">
        <x:v>penetration</x:v>
      </x:c>
      <x:c r="H596" s="7" t="str"/>
      <x:c r="I596" s="7" t="str"/>
      <x:c r="J596" s="7" t="str"/>
      <x:c r="K596" s="7" t="str">
        <x:f>IF(J596="","OPEN",IF(OR(H596="",I596=""),"FAIL","PASS"))</x:f>
        <x:v>OPEN</x:v>
      </x:c>
    </x:row>
    <x:row r="597">
      <x:c r="B597" s="7" t="str">
        <x:v>CPN-PEA-C-X3-CP-7</x:v>
      </x:c>
      <x:c r="C597" s="7" t="str">
        <x:v>PEA-C-X3</x:v>
      </x:c>
      <x:c r="D597" s="7" t="str">
        <x:v>BLD-C</x:v>
      </x:c>
      <x:c r="E597" s="7" t="str">
        <x:v>BL-X</x:v>
      </x:c>
      <x:c r="F597" s="7" t="str">
        <x:v>CP</x:v>
      </x:c>
      <x:c r="G597" s="7" t="str">
        <x:v>penetration</x:v>
      </x:c>
      <x:c r="H597" s="7" t="str"/>
      <x:c r="I597" s="7" t="str"/>
      <x:c r="J597" s="7" t="str"/>
      <x:c r="K597" s="7" t="str">
        <x:f>IF(J597="","OPEN",IF(OR(H597="",I597=""),"FAIL","PASS"))</x:f>
        <x:v>OPEN</x:v>
      </x:c>
    </x:row>
    <x:row r="598">
      <x:c r="B598" s="7" t="str">
        <x:v>CPN-PEA-C-X3-CP-8</x:v>
      </x:c>
      <x:c r="C598" s="7" t="str">
        <x:v>PEA-C-X3</x:v>
      </x:c>
      <x:c r="D598" s="7" t="str">
        <x:v>BLD-C</x:v>
      </x:c>
      <x:c r="E598" s="7" t="str">
        <x:v>BL-X</x:v>
      </x:c>
      <x:c r="F598" s="7" t="str">
        <x:v>CP</x:v>
      </x:c>
      <x:c r="G598" s="7" t="str">
        <x:v>penetration</x:v>
      </x:c>
      <x:c r="H598" s="7" t="str"/>
      <x:c r="I598" s="7" t="str"/>
      <x:c r="J598" s="7" t="str"/>
      <x:c r="K598" s="7" t="str">
        <x:f>IF(J598="","OPEN",IF(OR(H598="",I598=""),"FAIL","PASS"))</x:f>
        <x:v>OPEN</x:v>
      </x:c>
    </x:row>
    <x:row r="599">
      <x:c r="B599" s="7" t="str">
        <x:v>CPN-PEA-C-X3-SM-1</x:v>
      </x:c>
      <x:c r="C599" s="7" t="str">
        <x:v>PEA-C-X3</x:v>
      </x:c>
      <x:c r="D599" s="7" t="str">
        <x:v>BLD-C</x:v>
      </x:c>
      <x:c r="E599" s="7" t="str">
        <x:v>BL-X</x:v>
      </x:c>
      <x:c r="F599" s="7" t="str">
        <x:v>SM</x:v>
      </x:c>
      <x:c r="G599" s="7" t="str">
        <x:v>sensor mount and datum</x:v>
      </x:c>
      <x:c r="H599" s="7" t="str"/>
      <x:c r="I599" s="7" t="str"/>
      <x:c r="J599" s="7" t="str"/>
      <x:c r="K599" s="7" t="str">
        <x:f>IF(J599="","OPEN",IF(OR(H599="",I599=""),"FAIL","PASS"))</x:f>
        <x:v>OPEN</x:v>
      </x:c>
    </x:row>
    <x:row r="600">
      <x:c r="B600" s="7" t="str">
        <x:v>CPN-PEA-C-X3-SM-2</x:v>
      </x:c>
      <x:c r="C600" s="7" t="str">
        <x:v>PEA-C-X3</x:v>
      </x:c>
      <x:c r="D600" s="7" t="str">
        <x:v>BLD-C</x:v>
      </x:c>
      <x:c r="E600" s="7" t="str">
        <x:v>BL-X</x:v>
      </x:c>
      <x:c r="F600" s="7" t="str">
        <x:v>SM</x:v>
      </x:c>
      <x:c r="G600" s="7" t="str">
        <x:v>sensor mount and datum</x:v>
      </x:c>
      <x:c r="H600" s="7" t="str"/>
      <x:c r="I600" s="7" t="str"/>
      <x:c r="J600" s="7" t="str"/>
      <x:c r="K600" s="7" t="str">
        <x:f>IF(J600="","OPEN",IF(OR(H600="",I600=""),"FAIL","PASS"))</x:f>
        <x:v>OPEN</x:v>
      </x:c>
    </x:row>
    <x:row r="601">
      <x:c r="B601" s="7" t="str">
        <x:v>CPN-PEA-C-X3-SM-3</x:v>
      </x:c>
      <x:c r="C601" s="7" t="str">
        <x:v>PEA-C-X3</x:v>
      </x:c>
      <x:c r="D601" s="7" t="str">
        <x:v>BLD-C</x:v>
      </x:c>
      <x:c r="E601" s="7" t="str">
        <x:v>BL-X</x:v>
      </x:c>
      <x:c r="F601" s="7" t="str">
        <x:v>SM</x:v>
      </x:c>
      <x:c r="G601" s="7" t="str">
        <x:v>sensor mount and datum</x:v>
      </x:c>
      <x:c r="H601" s="7" t="str"/>
      <x:c r="I601" s="7" t="str"/>
      <x:c r="J601" s="7" t="str"/>
      <x:c r="K601" s="7" t="str">
        <x:f>IF(J601="","OPEN",IF(OR(H601="",I601=""),"FAIL","PASS"))</x:f>
        <x:v>OPEN</x:v>
      </x:c>
    </x:row>
    <x:row r="602">
      <x:c r="B602" s="7" t="str">
        <x:v>CPN-PEA-C-X3-SM-4</x:v>
      </x:c>
      <x:c r="C602" s="7" t="str">
        <x:v>PEA-C-X3</x:v>
      </x:c>
      <x:c r="D602" s="7" t="str">
        <x:v>BLD-C</x:v>
      </x:c>
      <x:c r="E602" s="7" t="str">
        <x:v>BL-X</x:v>
      </x:c>
      <x:c r="F602" s="7" t="str">
        <x:v>SM</x:v>
      </x:c>
      <x:c r="G602" s="7" t="str">
        <x:v>sensor mount and datum</x:v>
      </x:c>
      <x:c r="H602" s="7" t="str"/>
      <x:c r="I602" s="7" t="str"/>
      <x:c r="J602" s="7" t="str"/>
      <x:c r="K602" s="7" t="str">
        <x:f>IF(J602="","OPEN",IF(OR(H602="",I602=""),"FAIL","PASS"))</x:f>
        <x:v>OPEN</x:v>
      </x:c>
    </x:row>
    <x:row r="603">
      <x:c r="B603" s="7" t="str">
        <x:v>CPN-PEA-C-X3-SM-5</x:v>
      </x:c>
      <x:c r="C603" s="7" t="str">
        <x:v>PEA-C-X3</x:v>
      </x:c>
      <x:c r="D603" s="7" t="str">
        <x:v>BLD-C</x:v>
      </x:c>
      <x:c r="E603" s="7" t="str">
        <x:v>BL-X</x:v>
      </x:c>
      <x:c r="F603" s="7" t="str">
        <x:v>SM</x:v>
      </x:c>
      <x:c r="G603" s="7" t="str">
        <x:v>sensor mount and datum</x:v>
      </x:c>
      <x:c r="H603" s="7" t="str"/>
      <x:c r="I603" s="7" t="str"/>
      <x:c r="J603" s="7" t="str"/>
      <x:c r="K603" s="7" t="str">
        <x:f>IF(J603="","OPEN",IF(OR(H603="",I603=""),"FAIL","PASS"))</x:f>
        <x:v>OPEN</x:v>
      </x:c>
    </x:row>
    <x:row r="604">
      <x:c r="B604" s="7" t="str">
        <x:v>CPN-PEA-C-X3-SM-6</x:v>
      </x:c>
      <x:c r="C604" s="7" t="str">
        <x:v>PEA-C-X3</x:v>
      </x:c>
      <x:c r="D604" s="7" t="str">
        <x:v>BLD-C</x:v>
      </x:c>
      <x:c r="E604" s="7" t="str">
        <x:v>BL-X</x:v>
      </x:c>
      <x:c r="F604" s="7" t="str">
        <x:v>SM</x:v>
      </x:c>
      <x:c r="G604" s="7" t="str">
        <x:v>sensor mount and datum</x:v>
      </x:c>
      <x:c r="H604" s="7" t="str"/>
      <x:c r="I604" s="7" t="str"/>
      <x:c r="J604" s="7" t="str"/>
      <x:c r="K604" s="7" t="str">
        <x:f>IF(J604="","OPEN",IF(OR(H604="",I604=""),"FAIL","PASS"))</x:f>
        <x:v>OPEN</x:v>
      </x:c>
    </x:row>
    <x:row r="605">
      <x:c r="B605" s="7" t="str">
        <x:v>CPN-PEA-C-X3-SM-7</x:v>
      </x:c>
      <x:c r="C605" s="7" t="str">
        <x:v>PEA-C-X3</x:v>
      </x:c>
      <x:c r="D605" s="7" t="str">
        <x:v>BLD-C</x:v>
      </x:c>
      <x:c r="E605" s="7" t="str">
        <x:v>BL-X</x:v>
      </x:c>
      <x:c r="F605" s="7" t="str">
        <x:v>SM</x:v>
      </x:c>
      <x:c r="G605" s="7" t="str">
        <x:v>sensor mount and datum</x:v>
      </x:c>
      <x:c r="H605" s="7" t="str"/>
      <x:c r="I605" s="7" t="str"/>
      <x:c r="J605" s="7" t="str"/>
      <x:c r="K605" s="7" t="str">
        <x:f>IF(J605="","OPEN",IF(OR(H605="",I605=""),"FAIL","PASS"))</x:f>
        <x:v>OPEN</x:v>
      </x:c>
    </x:row>
    <x:row r="606">
      <x:c r="B606" s="7" t="str">
        <x:v>CPN-PEA-C-X3-SM-8</x:v>
      </x:c>
      <x:c r="C606" s="7" t="str">
        <x:v>PEA-C-X3</x:v>
      </x:c>
      <x:c r="D606" s="7" t="str">
        <x:v>BLD-C</x:v>
      </x:c>
      <x:c r="E606" s="7" t="str">
        <x:v>BL-X</x:v>
      </x:c>
      <x:c r="F606" s="7" t="str">
        <x:v>SM</x:v>
      </x:c>
      <x:c r="G606" s="7" t="str">
        <x:v>sensor mount and datum</x:v>
      </x:c>
      <x:c r="H606" s="7" t="str"/>
      <x:c r="I606" s="7" t="str"/>
      <x:c r="J606" s="7" t="str"/>
      <x:c r="K606" s="7" t="str">
        <x:f>IF(J606="","OPEN",IF(OR(H606="",I606=""),"FAIL","PASS"))</x:f>
        <x:v>OPEN</x:v>
      </x:c>
    </x:row>
    <x:row r="607">
      <x:c r="B607" s="7" t="str">
        <x:v>CPN-PEA-C-Y1-CJ-1</x:v>
      </x:c>
      <x:c r="C607" s="7" t="str">
        <x:v>PEA-C-Y1</x:v>
      </x:c>
      <x:c r="D607" s="7" t="str">
        <x:v>BLD-C</x:v>
      </x:c>
      <x:c r="E607" s="7" t="str">
        <x:v>BL-Y</x:v>
      </x:c>
      <x:c r="F607" s="7" t="str">
        <x:v>CJ</x:v>
      </x:c>
      <x:c r="G607" s="7" t="str">
        <x:v>joint or weld</x:v>
      </x:c>
      <x:c r="H607" s="7" t="str"/>
      <x:c r="I607" s="7" t="str"/>
      <x:c r="J607" s="7" t="str"/>
      <x:c r="K607" s="7" t="str">
        <x:f>IF(J607="","OPEN",IF(OR(H607="",I607=""),"FAIL","PASS"))</x:f>
        <x:v>OPEN</x:v>
      </x:c>
    </x:row>
    <x:row r="608">
      <x:c r="B608" s="7" t="str">
        <x:v>CPN-PEA-C-Y1-CJ-2</x:v>
      </x:c>
      <x:c r="C608" s="7" t="str">
        <x:v>PEA-C-Y1</x:v>
      </x:c>
      <x:c r="D608" s="7" t="str">
        <x:v>BLD-C</x:v>
      </x:c>
      <x:c r="E608" s="7" t="str">
        <x:v>BL-Y</x:v>
      </x:c>
      <x:c r="F608" s="7" t="str">
        <x:v>CJ</x:v>
      </x:c>
      <x:c r="G608" s="7" t="str">
        <x:v>joint or weld</x:v>
      </x:c>
      <x:c r="H608" s="7" t="str"/>
      <x:c r="I608" s="7" t="str"/>
      <x:c r="J608" s="7" t="str"/>
      <x:c r="K608" s="7" t="str">
        <x:f>IF(J608="","OPEN",IF(OR(H608="",I608=""),"FAIL","PASS"))</x:f>
        <x:v>OPEN</x:v>
      </x:c>
    </x:row>
    <x:row r="609">
      <x:c r="B609" s="7" t="str">
        <x:v>CPN-PEA-C-Y1-CJ-3</x:v>
      </x:c>
      <x:c r="C609" s="7" t="str">
        <x:v>PEA-C-Y1</x:v>
      </x:c>
      <x:c r="D609" s="7" t="str">
        <x:v>BLD-C</x:v>
      </x:c>
      <x:c r="E609" s="7" t="str">
        <x:v>BL-Y</x:v>
      </x:c>
      <x:c r="F609" s="7" t="str">
        <x:v>CJ</x:v>
      </x:c>
      <x:c r="G609" s="7" t="str">
        <x:v>joint or weld</x:v>
      </x:c>
      <x:c r="H609" s="7" t="str"/>
      <x:c r="I609" s="7" t="str"/>
      <x:c r="J609" s="7" t="str"/>
      <x:c r="K609" s="7" t="str">
        <x:f>IF(J609="","OPEN",IF(OR(H609="",I609=""),"FAIL","PASS"))</x:f>
        <x:v>OPEN</x:v>
      </x:c>
    </x:row>
    <x:row r="610">
      <x:c r="B610" s="7" t="str">
        <x:v>CPN-PEA-C-Y1-CJ-4</x:v>
      </x:c>
      <x:c r="C610" s="7" t="str">
        <x:v>PEA-C-Y1</x:v>
      </x:c>
      <x:c r="D610" s="7" t="str">
        <x:v>BLD-C</x:v>
      </x:c>
      <x:c r="E610" s="7" t="str">
        <x:v>BL-Y</x:v>
      </x:c>
      <x:c r="F610" s="7" t="str">
        <x:v>CJ</x:v>
      </x:c>
      <x:c r="G610" s="7" t="str">
        <x:v>joint or weld</x:v>
      </x:c>
      <x:c r="H610" s="7" t="str"/>
      <x:c r="I610" s="7" t="str"/>
      <x:c r="J610" s="7" t="str"/>
      <x:c r="K610" s="7" t="str">
        <x:f>IF(J610="","OPEN",IF(OR(H610="",I610=""),"FAIL","PASS"))</x:f>
        <x:v>OPEN</x:v>
      </x:c>
    </x:row>
    <x:row r="611">
      <x:c r="B611" s="7" t="str">
        <x:v>CPN-PEA-C-Y1-CJ-5</x:v>
      </x:c>
      <x:c r="C611" s="7" t="str">
        <x:v>PEA-C-Y1</x:v>
      </x:c>
      <x:c r="D611" s="7" t="str">
        <x:v>BLD-C</x:v>
      </x:c>
      <x:c r="E611" s="7" t="str">
        <x:v>BL-Y</x:v>
      </x:c>
      <x:c r="F611" s="7" t="str">
        <x:v>CJ</x:v>
      </x:c>
      <x:c r="G611" s="7" t="str">
        <x:v>joint or weld</x:v>
      </x:c>
      <x:c r="H611" s="7" t="str"/>
      <x:c r="I611" s="7" t="str"/>
      <x:c r="J611" s="7" t="str"/>
      <x:c r="K611" s="7" t="str">
        <x:f>IF(J611="","OPEN",IF(OR(H611="",I611=""),"FAIL","PASS"))</x:f>
        <x:v>OPEN</x:v>
      </x:c>
    </x:row>
    <x:row r="612">
      <x:c r="B612" s="7" t="str">
        <x:v>CPN-PEA-C-Y1-CJ-6</x:v>
      </x:c>
      <x:c r="C612" s="7" t="str">
        <x:v>PEA-C-Y1</x:v>
      </x:c>
      <x:c r="D612" s="7" t="str">
        <x:v>BLD-C</x:v>
      </x:c>
      <x:c r="E612" s="7" t="str">
        <x:v>BL-Y</x:v>
      </x:c>
      <x:c r="F612" s="7" t="str">
        <x:v>CJ</x:v>
      </x:c>
      <x:c r="G612" s="7" t="str">
        <x:v>joint or weld</x:v>
      </x:c>
      <x:c r="H612" s="7" t="str"/>
      <x:c r="I612" s="7" t="str"/>
      <x:c r="J612" s="7" t="str"/>
      <x:c r="K612" s="7" t="str">
        <x:f>IF(J612="","OPEN",IF(OR(H612="",I612=""),"FAIL","PASS"))</x:f>
        <x:v>OPEN</x:v>
      </x:c>
    </x:row>
    <x:row r="613">
      <x:c r="B613" s="7" t="str">
        <x:v>CPN-PEA-C-Y1-CJ-7</x:v>
      </x:c>
      <x:c r="C613" s="7" t="str">
        <x:v>PEA-C-Y1</x:v>
      </x:c>
      <x:c r="D613" s="7" t="str">
        <x:v>BLD-C</x:v>
      </x:c>
      <x:c r="E613" s="7" t="str">
        <x:v>BL-Y</x:v>
      </x:c>
      <x:c r="F613" s="7" t="str">
        <x:v>CJ</x:v>
      </x:c>
      <x:c r="G613" s="7" t="str">
        <x:v>joint or weld</x:v>
      </x:c>
      <x:c r="H613" s="7" t="str"/>
      <x:c r="I613" s="7" t="str"/>
      <x:c r="J613" s="7" t="str"/>
      <x:c r="K613" s="7" t="str">
        <x:f>IF(J613="","OPEN",IF(OR(H613="",I613=""),"FAIL","PASS"))</x:f>
        <x:v>OPEN</x:v>
      </x:c>
    </x:row>
    <x:row r="614">
      <x:c r="B614" s="7" t="str">
        <x:v>CPN-PEA-C-Y1-CJ-8</x:v>
      </x:c>
      <x:c r="C614" s="7" t="str">
        <x:v>PEA-C-Y1</x:v>
      </x:c>
      <x:c r="D614" s="7" t="str">
        <x:v>BLD-C</x:v>
      </x:c>
      <x:c r="E614" s="7" t="str">
        <x:v>BL-Y</x:v>
      </x:c>
      <x:c r="F614" s="7" t="str">
        <x:v>CJ</x:v>
      </x:c>
      <x:c r="G614" s="7" t="str">
        <x:v>joint or weld</x:v>
      </x:c>
      <x:c r="H614" s="7" t="str"/>
      <x:c r="I614" s="7" t="str"/>
      <x:c r="J614" s="7" t="str"/>
      <x:c r="K614" s="7" t="str">
        <x:f>IF(J614="","OPEN",IF(OR(H614="",I614=""),"FAIL","PASS"))</x:f>
        <x:v>OPEN</x:v>
      </x:c>
    </x:row>
    <x:row r="615">
      <x:c r="B615" s="7" t="str">
        <x:v>CPN-PEA-C-Y1-SE-1</x:v>
      </x:c>
      <x:c r="C615" s="7" t="str">
        <x:v>PEA-C-Y1</x:v>
      </x:c>
      <x:c r="D615" s="7" t="str">
        <x:v>BLD-C</x:v>
      </x:c>
      <x:c r="E615" s="7" t="str">
        <x:v>BL-Y</x:v>
      </x:c>
      <x:c r="F615" s="7" t="str">
        <x:v>SE</x:v>
      </x:c>
      <x:c r="G615" s="7" t="str">
        <x:v>seal and gasket</x:v>
      </x:c>
      <x:c r="H615" s="7" t="str"/>
      <x:c r="I615" s="7" t="str"/>
      <x:c r="J615" s="7" t="str"/>
      <x:c r="K615" s="7" t="str">
        <x:f>IF(J615="","OPEN",IF(OR(H615="",I615=""),"FAIL","PASS"))</x:f>
        <x:v>OPEN</x:v>
      </x:c>
    </x:row>
    <x:row r="616">
      <x:c r="B616" s="7" t="str">
        <x:v>CPN-PEA-C-Y1-SE-2</x:v>
      </x:c>
      <x:c r="C616" s="7" t="str">
        <x:v>PEA-C-Y1</x:v>
      </x:c>
      <x:c r="D616" s="7" t="str">
        <x:v>BLD-C</x:v>
      </x:c>
      <x:c r="E616" s="7" t="str">
        <x:v>BL-Y</x:v>
      </x:c>
      <x:c r="F616" s="7" t="str">
        <x:v>SE</x:v>
      </x:c>
      <x:c r="G616" s="7" t="str">
        <x:v>seal and gasket</x:v>
      </x:c>
      <x:c r="H616" s="7" t="str"/>
      <x:c r="I616" s="7" t="str"/>
      <x:c r="J616" s="7" t="str"/>
      <x:c r="K616" s="7" t="str">
        <x:f>IF(J616="","OPEN",IF(OR(H616="",I616=""),"FAIL","PASS"))</x:f>
        <x:v>OPEN</x:v>
      </x:c>
    </x:row>
    <x:row r="617">
      <x:c r="B617" s="7" t="str">
        <x:v>CPN-PEA-C-Y1-SE-3</x:v>
      </x:c>
      <x:c r="C617" s="7" t="str">
        <x:v>PEA-C-Y1</x:v>
      </x:c>
      <x:c r="D617" s="7" t="str">
        <x:v>BLD-C</x:v>
      </x:c>
      <x:c r="E617" s="7" t="str">
        <x:v>BL-Y</x:v>
      </x:c>
      <x:c r="F617" s="7" t="str">
        <x:v>SE</x:v>
      </x:c>
      <x:c r="G617" s="7" t="str">
        <x:v>seal and gasket</x:v>
      </x:c>
      <x:c r="H617" s="7" t="str"/>
      <x:c r="I617" s="7" t="str"/>
      <x:c r="J617" s="7" t="str"/>
      <x:c r="K617" s="7" t="str">
        <x:f>IF(J617="","OPEN",IF(OR(H617="",I617=""),"FAIL","PASS"))</x:f>
        <x:v>OPEN</x:v>
      </x:c>
    </x:row>
    <x:row r="618">
      <x:c r="B618" s="7" t="str">
        <x:v>CPN-PEA-C-Y1-SE-4</x:v>
      </x:c>
      <x:c r="C618" s="7" t="str">
        <x:v>PEA-C-Y1</x:v>
      </x:c>
      <x:c r="D618" s="7" t="str">
        <x:v>BLD-C</x:v>
      </x:c>
      <x:c r="E618" s="7" t="str">
        <x:v>BL-Y</x:v>
      </x:c>
      <x:c r="F618" s="7" t="str">
        <x:v>SE</x:v>
      </x:c>
      <x:c r="G618" s="7" t="str">
        <x:v>seal and gasket</x:v>
      </x:c>
      <x:c r="H618" s="7" t="str"/>
      <x:c r="I618" s="7" t="str"/>
      <x:c r="J618" s="7" t="str"/>
      <x:c r="K618" s="7" t="str">
        <x:f>IF(J618="","OPEN",IF(OR(H618="",I618=""),"FAIL","PASS"))</x:f>
        <x:v>OPEN</x:v>
      </x:c>
    </x:row>
    <x:row r="619">
      <x:c r="B619" s="7" t="str">
        <x:v>CPN-PEA-C-Y1-SE-5</x:v>
      </x:c>
      <x:c r="C619" s="7" t="str">
        <x:v>PEA-C-Y1</x:v>
      </x:c>
      <x:c r="D619" s="7" t="str">
        <x:v>BLD-C</x:v>
      </x:c>
      <x:c r="E619" s="7" t="str">
        <x:v>BL-Y</x:v>
      </x:c>
      <x:c r="F619" s="7" t="str">
        <x:v>SE</x:v>
      </x:c>
      <x:c r="G619" s="7" t="str">
        <x:v>seal and gasket</x:v>
      </x:c>
      <x:c r="H619" s="7" t="str"/>
      <x:c r="I619" s="7" t="str"/>
      <x:c r="J619" s="7" t="str"/>
      <x:c r="K619" s="7" t="str">
        <x:f>IF(J619="","OPEN",IF(OR(H619="",I619=""),"FAIL","PASS"))</x:f>
        <x:v>OPEN</x:v>
      </x:c>
    </x:row>
    <x:row r="620">
      <x:c r="B620" s="7" t="str">
        <x:v>CPN-PEA-C-Y1-SE-6</x:v>
      </x:c>
      <x:c r="C620" s="7" t="str">
        <x:v>PEA-C-Y1</x:v>
      </x:c>
      <x:c r="D620" s="7" t="str">
        <x:v>BLD-C</x:v>
      </x:c>
      <x:c r="E620" s="7" t="str">
        <x:v>BL-Y</x:v>
      </x:c>
      <x:c r="F620" s="7" t="str">
        <x:v>SE</x:v>
      </x:c>
      <x:c r="G620" s="7" t="str">
        <x:v>seal and gasket</x:v>
      </x:c>
      <x:c r="H620" s="7" t="str"/>
      <x:c r="I620" s="7" t="str"/>
      <x:c r="J620" s="7" t="str"/>
      <x:c r="K620" s="7" t="str">
        <x:f>IF(J620="","OPEN",IF(OR(H620="",I620=""),"FAIL","PASS"))</x:f>
        <x:v>OPEN</x:v>
      </x:c>
    </x:row>
    <x:row r="621">
      <x:c r="B621" s="7" t="str">
        <x:v>CPN-PEA-C-Y1-SE-7</x:v>
      </x:c>
      <x:c r="C621" s="7" t="str">
        <x:v>PEA-C-Y1</x:v>
      </x:c>
      <x:c r="D621" s="7" t="str">
        <x:v>BLD-C</x:v>
      </x:c>
      <x:c r="E621" s="7" t="str">
        <x:v>BL-Y</x:v>
      </x:c>
      <x:c r="F621" s="7" t="str">
        <x:v>SE</x:v>
      </x:c>
      <x:c r="G621" s="7" t="str">
        <x:v>seal and gasket</x:v>
      </x:c>
      <x:c r="H621" s="7" t="str"/>
      <x:c r="I621" s="7" t="str"/>
      <x:c r="J621" s="7" t="str"/>
      <x:c r="K621" s="7" t="str">
        <x:f>IF(J621="","OPEN",IF(OR(H621="",I621=""),"FAIL","PASS"))</x:f>
        <x:v>OPEN</x:v>
      </x:c>
    </x:row>
    <x:row r="622">
      <x:c r="B622" s="7" t="str">
        <x:v>CPN-PEA-C-Y1-SE-8</x:v>
      </x:c>
      <x:c r="C622" s="7" t="str">
        <x:v>PEA-C-Y1</x:v>
      </x:c>
      <x:c r="D622" s="7" t="str">
        <x:v>BLD-C</x:v>
      </x:c>
      <x:c r="E622" s="7" t="str">
        <x:v>BL-Y</x:v>
      </x:c>
      <x:c r="F622" s="7" t="str">
        <x:v>SE</x:v>
      </x:c>
      <x:c r="G622" s="7" t="str">
        <x:v>seal and gasket</x:v>
      </x:c>
      <x:c r="H622" s="7" t="str"/>
      <x:c r="I622" s="7" t="str"/>
      <x:c r="J622" s="7" t="str"/>
      <x:c r="K622" s="7" t="str">
        <x:f>IF(J622="","OPEN",IF(OR(H622="",I622=""),"FAIL","PASS"))</x:f>
        <x:v>OPEN</x:v>
      </x:c>
    </x:row>
    <x:row r="623">
      <x:c r="B623" s="7" t="str">
        <x:v>CPN-PEA-C-Y1-SF-1</x:v>
      </x:c>
      <x:c r="C623" s="7" t="str">
        <x:v>PEA-C-Y1</x:v>
      </x:c>
      <x:c r="D623" s="7" t="str">
        <x:v>BLD-C</x:v>
      </x:c>
      <x:c r="E623" s="7" t="str">
        <x:v>BL-Y</x:v>
      </x:c>
      <x:c r="F623" s="7" t="str">
        <x:v>SF</x:v>
      </x:c>
      <x:c r="G623" s="7" t="str">
        <x:v>wetted surface</x:v>
      </x:c>
      <x:c r="H623" s="7" t="str"/>
      <x:c r="I623" s="7" t="str"/>
      <x:c r="J623" s="7" t="str"/>
      <x:c r="K623" s="7" t="str">
        <x:f>IF(J623="","OPEN",IF(OR(H623="",I623=""),"FAIL","PASS"))</x:f>
        <x:v>OPEN</x:v>
      </x:c>
    </x:row>
    <x:row r="624">
      <x:c r="B624" s="7" t="str">
        <x:v>CPN-PEA-C-Y1-SF-2</x:v>
      </x:c>
      <x:c r="C624" s="7" t="str">
        <x:v>PEA-C-Y1</x:v>
      </x:c>
      <x:c r="D624" s="7" t="str">
        <x:v>BLD-C</x:v>
      </x:c>
      <x:c r="E624" s="7" t="str">
        <x:v>BL-Y</x:v>
      </x:c>
      <x:c r="F624" s="7" t="str">
        <x:v>SF</x:v>
      </x:c>
      <x:c r="G624" s="7" t="str">
        <x:v>wetted surface</x:v>
      </x:c>
      <x:c r="H624" s="7" t="str"/>
      <x:c r="I624" s="7" t="str"/>
      <x:c r="J624" s="7" t="str"/>
      <x:c r="K624" s="7" t="str">
        <x:f>IF(J624="","OPEN",IF(OR(H624="",I624=""),"FAIL","PASS"))</x:f>
        <x:v>OPEN</x:v>
      </x:c>
    </x:row>
    <x:row r="625">
      <x:c r="B625" s="7" t="str">
        <x:v>CPN-PEA-C-Y1-SF-3</x:v>
      </x:c>
      <x:c r="C625" s="7" t="str">
        <x:v>PEA-C-Y1</x:v>
      </x:c>
      <x:c r="D625" s="7" t="str">
        <x:v>BLD-C</x:v>
      </x:c>
      <x:c r="E625" s="7" t="str">
        <x:v>BL-Y</x:v>
      </x:c>
      <x:c r="F625" s="7" t="str">
        <x:v>SF</x:v>
      </x:c>
      <x:c r="G625" s="7" t="str">
        <x:v>wetted surface</x:v>
      </x:c>
      <x:c r="H625" s="7" t="str"/>
      <x:c r="I625" s="7" t="str"/>
      <x:c r="J625" s="7" t="str"/>
      <x:c r="K625" s="7" t="str">
        <x:f>IF(J625="","OPEN",IF(OR(H625="",I625=""),"FAIL","PASS"))</x:f>
        <x:v>OPEN</x:v>
      </x:c>
    </x:row>
    <x:row r="626">
      <x:c r="B626" s="7" t="str">
        <x:v>CPN-PEA-C-Y1-SF-4</x:v>
      </x:c>
      <x:c r="C626" s="7" t="str">
        <x:v>PEA-C-Y1</x:v>
      </x:c>
      <x:c r="D626" s="7" t="str">
        <x:v>BLD-C</x:v>
      </x:c>
      <x:c r="E626" s="7" t="str">
        <x:v>BL-Y</x:v>
      </x:c>
      <x:c r="F626" s="7" t="str">
        <x:v>SF</x:v>
      </x:c>
      <x:c r="G626" s="7" t="str">
        <x:v>wetted surface</x:v>
      </x:c>
      <x:c r="H626" s="7" t="str"/>
      <x:c r="I626" s="7" t="str"/>
      <x:c r="J626" s="7" t="str"/>
      <x:c r="K626" s="7" t="str">
        <x:f>IF(J626="","OPEN",IF(OR(H626="",I626=""),"FAIL","PASS"))</x:f>
        <x:v>OPEN</x:v>
      </x:c>
    </x:row>
    <x:row r="627">
      <x:c r="B627" s="7" t="str">
        <x:v>CPN-PEA-C-Y1-SF-5</x:v>
      </x:c>
      <x:c r="C627" s="7" t="str">
        <x:v>PEA-C-Y1</x:v>
      </x:c>
      <x:c r="D627" s="7" t="str">
        <x:v>BLD-C</x:v>
      </x:c>
      <x:c r="E627" s="7" t="str">
        <x:v>BL-Y</x:v>
      </x:c>
      <x:c r="F627" s="7" t="str">
        <x:v>SF</x:v>
      </x:c>
      <x:c r="G627" s="7" t="str">
        <x:v>wetted surface</x:v>
      </x:c>
      <x:c r="H627" s="7" t="str"/>
      <x:c r="I627" s="7" t="str"/>
      <x:c r="J627" s="7" t="str"/>
      <x:c r="K627" s="7" t="str">
        <x:f>IF(J627="","OPEN",IF(OR(H627="",I627=""),"FAIL","PASS"))</x:f>
        <x:v>OPEN</x:v>
      </x:c>
    </x:row>
    <x:row r="628">
      <x:c r="B628" s="7" t="str">
        <x:v>CPN-PEA-C-Y1-SF-6</x:v>
      </x:c>
      <x:c r="C628" s="7" t="str">
        <x:v>PEA-C-Y1</x:v>
      </x:c>
      <x:c r="D628" s="7" t="str">
        <x:v>BLD-C</x:v>
      </x:c>
      <x:c r="E628" s="7" t="str">
        <x:v>BL-Y</x:v>
      </x:c>
      <x:c r="F628" s="7" t="str">
        <x:v>SF</x:v>
      </x:c>
      <x:c r="G628" s="7" t="str">
        <x:v>wetted surface</x:v>
      </x:c>
      <x:c r="H628" s="7" t="str"/>
      <x:c r="I628" s="7" t="str"/>
      <x:c r="J628" s="7" t="str"/>
      <x:c r="K628" s="7" t="str">
        <x:f>IF(J628="","OPEN",IF(OR(H628="",I628=""),"FAIL","PASS"))</x:f>
        <x:v>OPEN</x:v>
      </x:c>
    </x:row>
    <x:row r="629">
      <x:c r="B629" s="7" t="str">
        <x:v>CPN-PEA-C-Y1-SF-7</x:v>
      </x:c>
      <x:c r="C629" s="7" t="str">
        <x:v>PEA-C-Y1</x:v>
      </x:c>
      <x:c r="D629" s="7" t="str">
        <x:v>BLD-C</x:v>
      </x:c>
      <x:c r="E629" s="7" t="str">
        <x:v>BL-Y</x:v>
      </x:c>
      <x:c r="F629" s="7" t="str">
        <x:v>SF</x:v>
      </x:c>
      <x:c r="G629" s="7" t="str">
        <x:v>wetted surface</x:v>
      </x:c>
      <x:c r="H629" s="7" t="str"/>
      <x:c r="I629" s="7" t="str"/>
      <x:c r="J629" s="7" t="str"/>
      <x:c r="K629" s="7" t="str">
        <x:f>IF(J629="","OPEN",IF(OR(H629="",I629=""),"FAIL","PASS"))</x:f>
        <x:v>OPEN</x:v>
      </x:c>
    </x:row>
    <x:row r="630">
      <x:c r="B630" s="7" t="str">
        <x:v>CPN-PEA-C-Y1-SF-8</x:v>
      </x:c>
      <x:c r="C630" s="7" t="str">
        <x:v>PEA-C-Y1</x:v>
      </x:c>
      <x:c r="D630" s="7" t="str">
        <x:v>BLD-C</x:v>
      </x:c>
      <x:c r="E630" s="7" t="str">
        <x:v>BL-Y</x:v>
      </x:c>
      <x:c r="F630" s="7" t="str">
        <x:v>SF</x:v>
      </x:c>
      <x:c r="G630" s="7" t="str">
        <x:v>wetted surface</x:v>
      </x:c>
      <x:c r="H630" s="7" t="str"/>
      <x:c r="I630" s="7" t="str"/>
      <x:c r="J630" s="7" t="str"/>
      <x:c r="K630" s="7" t="str">
        <x:f>IF(J630="","OPEN",IF(OR(H630="",I630=""),"FAIL","PASS"))</x:f>
        <x:v>OPEN</x:v>
      </x:c>
    </x:row>
    <x:row r="631">
      <x:c r="B631" s="7" t="str">
        <x:v>CPN-PEA-C-Y1-CP-1</x:v>
      </x:c>
      <x:c r="C631" s="7" t="str">
        <x:v>PEA-C-Y1</x:v>
      </x:c>
      <x:c r="D631" s="7" t="str">
        <x:v>BLD-C</x:v>
      </x:c>
      <x:c r="E631" s="7" t="str">
        <x:v>BL-Y</x:v>
      </x:c>
      <x:c r="F631" s="7" t="str">
        <x:v>CP</x:v>
      </x:c>
      <x:c r="G631" s="7" t="str">
        <x:v>penetration</x:v>
      </x:c>
      <x:c r="H631" s="7" t="str"/>
      <x:c r="I631" s="7" t="str"/>
      <x:c r="J631" s="7" t="str"/>
      <x:c r="K631" s="7" t="str">
        <x:f>IF(J631="","OPEN",IF(OR(H631="",I631=""),"FAIL","PASS"))</x:f>
        <x:v>OPEN</x:v>
      </x:c>
    </x:row>
    <x:row r="632">
      <x:c r="B632" s="7" t="str">
        <x:v>CPN-PEA-C-Y1-CP-2</x:v>
      </x:c>
      <x:c r="C632" s="7" t="str">
        <x:v>PEA-C-Y1</x:v>
      </x:c>
      <x:c r="D632" s="7" t="str">
        <x:v>BLD-C</x:v>
      </x:c>
      <x:c r="E632" s="7" t="str">
        <x:v>BL-Y</x:v>
      </x:c>
      <x:c r="F632" s="7" t="str">
        <x:v>CP</x:v>
      </x:c>
      <x:c r="G632" s="7" t="str">
        <x:v>penetration</x:v>
      </x:c>
      <x:c r="H632" s="7" t="str"/>
      <x:c r="I632" s="7" t="str"/>
      <x:c r="J632" s="7" t="str"/>
      <x:c r="K632" s="7" t="str">
        <x:f>IF(J632="","OPEN",IF(OR(H632="",I632=""),"FAIL","PASS"))</x:f>
        <x:v>OPEN</x:v>
      </x:c>
    </x:row>
    <x:row r="633">
      <x:c r="B633" s="7" t="str">
        <x:v>CPN-PEA-C-Y1-CP-3</x:v>
      </x:c>
      <x:c r="C633" s="7" t="str">
        <x:v>PEA-C-Y1</x:v>
      </x:c>
      <x:c r="D633" s="7" t="str">
        <x:v>BLD-C</x:v>
      </x:c>
      <x:c r="E633" s="7" t="str">
        <x:v>BL-Y</x:v>
      </x:c>
      <x:c r="F633" s="7" t="str">
        <x:v>CP</x:v>
      </x:c>
      <x:c r="G633" s="7" t="str">
        <x:v>penetration</x:v>
      </x:c>
      <x:c r="H633" s="7" t="str"/>
      <x:c r="I633" s="7" t="str"/>
      <x:c r="J633" s="7" t="str"/>
      <x:c r="K633" s="7" t="str">
        <x:f>IF(J633="","OPEN",IF(OR(H633="",I633=""),"FAIL","PASS"))</x:f>
        <x:v>OPEN</x:v>
      </x:c>
    </x:row>
    <x:row r="634">
      <x:c r="B634" s="7" t="str">
        <x:v>CPN-PEA-C-Y1-CP-4</x:v>
      </x:c>
      <x:c r="C634" s="7" t="str">
        <x:v>PEA-C-Y1</x:v>
      </x:c>
      <x:c r="D634" s="7" t="str">
        <x:v>BLD-C</x:v>
      </x:c>
      <x:c r="E634" s="7" t="str">
        <x:v>BL-Y</x:v>
      </x:c>
      <x:c r="F634" s="7" t="str">
        <x:v>CP</x:v>
      </x:c>
      <x:c r="G634" s="7" t="str">
        <x:v>penetration</x:v>
      </x:c>
      <x:c r="H634" s="7" t="str"/>
      <x:c r="I634" s="7" t="str"/>
      <x:c r="J634" s="7" t="str"/>
      <x:c r="K634" s="7" t="str">
        <x:f>IF(J634="","OPEN",IF(OR(H634="",I634=""),"FAIL","PASS"))</x:f>
        <x:v>OPEN</x:v>
      </x:c>
    </x:row>
    <x:row r="635">
      <x:c r="B635" s="7" t="str">
        <x:v>CPN-PEA-C-Y1-CP-5</x:v>
      </x:c>
      <x:c r="C635" s="7" t="str">
        <x:v>PEA-C-Y1</x:v>
      </x:c>
      <x:c r="D635" s="7" t="str">
        <x:v>BLD-C</x:v>
      </x:c>
      <x:c r="E635" s="7" t="str">
        <x:v>BL-Y</x:v>
      </x:c>
      <x:c r="F635" s="7" t="str">
        <x:v>CP</x:v>
      </x:c>
      <x:c r="G635" s="7" t="str">
        <x:v>penetration</x:v>
      </x:c>
      <x:c r="H635" s="7" t="str"/>
      <x:c r="I635" s="7" t="str"/>
      <x:c r="J635" s="7" t="str"/>
      <x:c r="K635" s="7" t="str">
        <x:f>IF(J635="","OPEN",IF(OR(H635="",I635=""),"FAIL","PASS"))</x:f>
        <x:v>OPEN</x:v>
      </x:c>
    </x:row>
    <x:row r="636">
      <x:c r="B636" s="7" t="str">
        <x:v>CPN-PEA-C-Y1-CP-6</x:v>
      </x:c>
      <x:c r="C636" s="7" t="str">
        <x:v>PEA-C-Y1</x:v>
      </x:c>
      <x:c r="D636" s="7" t="str">
        <x:v>BLD-C</x:v>
      </x:c>
      <x:c r="E636" s="7" t="str">
        <x:v>BL-Y</x:v>
      </x:c>
      <x:c r="F636" s="7" t="str">
        <x:v>CP</x:v>
      </x:c>
      <x:c r="G636" s="7" t="str">
        <x:v>penetration</x:v>
      </x:c>
      <x:c r="H636" s="7" t="str"/>
      <x:c r="I636" s="7" t="str"/>
      <x:c r="J636" s="7" t="str"/>
      <x:c r="K636" s="7" t="str">
        <x:f>IF(J636="","OPEN",IF(OR(H636="",I636=""),"FAIL","PASS"))</x:f>
        <x:v>OPEN</x:v>
      </x:c>
    </x:row>
    <x:row r="637">
      <x:c r="B637" s="7" t="str">
        <x:v>CPN-PEA-C-Y1-CP-7</x:v>
      </x:c>
      <x:c r="C637" s="7" t="str">
        <x:v>PEA-C-Y1</x:v>
      </x:c>
      <x:c r="D637" s="7" t="str">
        <x:v>BLD-C</x:v>
      </x:c>
      <x:c r="E637" s="7" t="str">
        <x:v>BL-Y</x:v>
      </x:c>
      <x:c r="F637" s="7" t="str">
        <x:v>CP</x:v>
      </x:c>
      <x:c r="G637" s="7" t="str">
        <x:v>penetration</x:v>
      </x:c>
      <x:c r="H637" s="7" t="str"/>
      <x:c r="I637" s="7" t="str"/>
      <x:c r="J637" s="7" t="str"/>
      <x:c r="K637" s="7" t="str">
        <x:f>IF(J637="","OPEN",IF(OR(H637="",I637=""),"FAIL","PASS"))</x:f>
        <x:v>OPEN</x:v>
      </x:c>
    </x:row>
    <x:row r="638">
      <x:c r="B638" s="7" t="str">
        <x:v>CPN-PEA-C-Y1-CP-8</x:v>
      </x:c>
      <x:c r="C638" s="7" t="str">
        <x:v>PEA-C-Y1</x:v>
      </x:c>
      <x:c r="D638" s="7" t="str">
        <x:v>BLD-C</x:v>
      </x:c>
      <x:c r="E638" s="7" t="str">
        <x:v>BL-Y</x:v>
      </x:c>
      <x:c r="F638" s="7" t="str">
        <x:v>CP</x:v>
      </x:c>
      <x:c r="G638" s="7" t="str">
        <x:v>penetration</x:v>
      </x:c>
      <x:c r="H638" s="7" t="str"/>
      <x:c r="I638" s="7" t="str"/>
      <x:c r="J638" s="7" t="str"/>
      <x:c r="K638" s="7" t="str">
        <x:f>IF(J638="","OPEN",IF(OR(H638="",I638=""),"FAIL","PASS"))</x:f>
        <x:v>OPEN</x:v>
      </x:c>
    </x:row>
    <x:row r="639">
      <x:c r="B639" s="7" t="str">
        <x:v>CPN-PEA-C-Y1-SM-1</x:v>
      </x:c>
      <x:c r="C639" s="7" t="str">
        <x:v>PEA-C-Y1</x:v>
      </x:c>
      <x:c r="D639" s="7" t="str">
        <x:v>BLD-C</x:v>
      </x:c>
      <x:c r="E639" s="7" t="str">
        <x:v>BL-Y</x:v>
      </x:c>
      <x:c r="F639" s="7" t="str">
        <x:v>SM</x:v>
      </x:c>
      <x:c r="G639" s="7" t="str">
        <x:v>sensor mount and datum</x:v>
      </x:c>
      <x:c r="H639" s="7" t="str"/>
      <x:c r="I639" s="7" t="str"/>
      <x:c r="J639" s="7" t="str"/>
      <x:c r="K639" s="7" t="str">
        <x:f>IF(J639="","OPEN",IF(OR(H639="",I639=""),"FAIL","PASS"))</x:f>
        <x:v>OPEN</x:v>
      </x:c>
    </x:row>
    <x:row r="640">
      <x:c r="B640" s="7" t="str">
        <x:v>CPN-PEA-C-Y1-SM-2</x:v>
      </x:c>
      <x:c r="C640" s="7" t="str">
        <x:v>PEA-C-Y1</x:v>
      </x:c>
      <x:c r="D640" s="7" t="str">
        <x:v>BLD-C</x:v>
      </x:c>
      <x:c r="E640" s="7" t="str">
        <x:v>BL-Y</x:v>
      </x:c>
      <x:c r="F640" s="7" t="str">
        <x:v>SM</x:v>
      </x:c>
      <x:c r="G640" s="7" t="str">
        <x:v>sensor mount and datum</x:v>
      </x:c>
      <x:c r="H640" s="7" t="str"/>
      <x:c r="I640" s="7" t="str"/>
      <x:c r="J640" s="7" t="str"/>
      <x:c r="K640" s="7" t="str">
        <x:f>IF(J640="","OPEN",IF(OR(H640="",I640=""),"FAIL","PASS"))</x:f>
        <x:v>OPEN</x:v>
      </x:c>
    </x:row>
    <x:row r="641">
      <x:c r="B641" s="7" t="str">
        <x:v>CPN-PEA-C-Y1-SM-3</x:v>
      </x:c>
      <x:c r="C641" s="7" t="str">
        <x:v>PEA-C-Y1</x:v>
      </x:c>
      <x:c r="D641" s="7" t="str">
        <x:v>BLD-C</x:v>
      </x:c>
      <x:c r="E641" s="7" t="str">
        <x:v>BL-Y</x:v>
      </x:c>
      <x:c r="F641" s="7" t="str">
        <x:v>SM</x:v>
      </x:c>
      <x:c r="G641" s="7" t="str">
        <x:v>sensor mount and datum</x:v>
      </x:c>
      <x:c r="H641" s="7" t="str"/>
      <x:c r="I641" s="7" t="str"/>
      <x:c r="J641" s="7" t="str"/>
      <x:c r="K641" s="7" t="str">
        <x:f>IF(J641="","OPEN",IF(OR(H641="",I641=""),"FAIL","PASS"))</x:f>
        <x:v>OPEN</x:v>
      </x:c>
    </x:row>
    <x:row r="642">
      <x:c r="B642" s="7" t="str">
        <x:v>CPN-PEA-C-Y1-SM-4</x:v>
      </x:c>
      <x:c r="C642" s="7" t="str">
        <x:v>PEA-C-Y1</x:v>
      </x:c>
      <x:c r="D642" s="7" t="str">
        <x:v>BLD-C</x:v>
      </x:c>
      <x:c r="E642" s="7" t="str">
        <x:v>BL-Y</x:v>
      </x:c>
      <x:c r="F642" s="7" t="str">
        <x:v>SM</x:v>
      </x:c>
      <x:c r="G642" s="7" t="str">
        <x:v>sensor mount and datum</x:v>
      </x:c>
      <x:c r="H642" s="7" t="str"/>
      <x:c r="I642" s="7" t="str"/>
      <x:c r="J642" s="7" t="str"/>
      <x:c r="K642" s="7" t="str">
        <x:f>IF(J642="","OPEN",IF(OR(H642="",I642=""),"FAIL","PASS"))</x:f>
        <x:v>OPEN</x:v>
      </x:c>
    </x:row>
    <x:row r="643">
      <x:c r="B643" s="7" t="str">
        <x:v>CPN-PEA-C-Y1-SM-5</x:v>
      </x:c>
      <x:c r="C643" s="7" t="str">
        <x:v>PEA-C-Y1</x:v>
      </x:c>
      <x:c r="D643" s="7" t="str">
        <x:v>BLD-C</x:v>
      </x:c>
      <x:c r="E643" s="7" t="str">
        <x:v>BL-Y</x:v>
      </x:c>
      <x:c r="F643" s="7" t="str">
        <x:v>SM</x:v>
      </x:c>
      <x:c r="G643" s="7" t="str">
        <x:v>sensor mount and datum</x:v>
      </x:c>
      <x:c r="H643" s="7" t="str"/>
      <x:c r="I643" s="7" t="str"/>
      <x:c r="J643" s="7" t="str"/>
      <x:c r="K643" s="7" t="str">
        <x:f>IF(J643="","OPEN",IF(OR(H643="",I643=""),"FAIL","PASS"))</x:f>
        <x:v>OPEN</x:v>
      </x:c>
    </x:row>
    <x:row r="644">
      <x:c r="B644" s="7" t="str">
        <x:v>CPN-PEA-C-Y1-SM-6</x:v>
      </x:c>
      <x:c r="C644" s="7" t="str">
        <x:v>PEA-C-Y1</x:v>
      </x:c>
      <x:c r="D644" s="7" t="str">
        <x:v>BLD-C</x:v>
      </x:c>
      <x:c r="E644" s="7" t="str">
        <x:v>BL-Y</x:v>
      </x:c>
      <x:c r="F644" s="7" t="str">
        <x:v>SM</x:v>
      </x:c>
      <x:c r="G644" s="7" t="str">
        <x:v>sensor mount and datum</x:v>
      </x:c>
      <x:c r="H644" s="7" t="str"/>
      <x:c r="I644" s="7" t="str"/>
      <x:c r="J644" s="7" t="str"/>
      <x:c r="K644" s="7" t="str">
        <x:f>IF(J644="","OPEN",IF(OR(H644="",I644=""),"FAIL","PASS"))</x:f>
        <x:v>OPEN</x:v>
      </x:c>
    </x:row>
    <x:row r="645">
      <x:c r="B645" s="7" t="str">
        <x:v>CPN-PEA-C-Y1-SM-7</x:v>
      </x:c>
      <x:c r="C645" s="7" t="str">
        <x:v>PEA-C-Y1</x:v>
      </x:c>
      <x:c r="D645" s="7" t="str">
        <x:v>BLD-C</x:v>
      </x:c>
      <x:c r="E645" s="7" t="str">
        <x:v>BL-Y</x:v>
      </x:c>
      <x:c r="F645" s="7" t="str">
        <x:v>SM</x:v>
      </x:c>
      <x:c r="G645" s="7" t="str">
        <x:v>sensor mount and datum</x:v>
      </x:c>
      <x:c r="H645" s="7" t="str"/>
      <x:c r="I645" s="7" t="str"/>
      <x:c r="J645" s="7" t="str"/>
      <x:c r="K645" s="7" t="str">
        <x:f>IF(J645="","OPEN",IF(OR(H645="",I645=""),"FAIL","PASS"))</x:f>
        <x:v>OPEN</x:v>
      </x:c>
    </x:row>
    <x:row r="646">
      <x:c r="B646" s="7" t="str">
        <x:v>CPN-PEA-C-Y1-SM-8</x:v>
      </x:c>
      <x:c r="C646" s="7" t="str">
        <x:v>PEA-C-Y1</x:v>
      </x:c>
      <x:c r="D646" s="7" t="str">
        <x:v>BLD-C</x:v>
      </x:c>
      <x:c r="E646" s="7" t="str">
        <x:v>BL-Y</x:v>
      </x:c>
      <x:c r="F646" s="7" t="str">
        <x:v>SM</x:v>
      </x:c>
      <x:c r="G646" s="7" t="str">
        <x:v>sensor mount and datum</x:v>
      </x:c>
      <x:c r="H646" s="7" t="str"/>
      <x:c r="I646" s="7" t="str"/>
      <x:c r="J646" s="7" t="str"/>
      <x:c r="K646" s="7" t="str">
        <x:f>IF(J646="","OPEN",IF(OR(H646="",I646=""),"FAIL","PASS"))</x:f>
        <x:v>OPEN</x:v>
      </x:c>
    </x:row>
    <x:row r="647">
      <x:c r="B647" s="7" t="str">
        <x:v>CPN-PEA-C-Y2-CJ-1</x:v>
      </x:c>
      <x:c r="C647" s="7" t="str">
        <x:v>PEA-C-Y2</x:v>
      </x:c>
      <x:c r="D647" s="7" t="str">
        <x:v>BLD-C</x:v>
      </x:c>
      <x:c r="E647" s="7" t="str">
        <x:v>BL-Y</x:v>
      </x:c>
      <x:c r="F647" s="7" t="str">
        <x:v>CJ</x:v>
      </x:c>
      <x:c r="G647" s="7" t="str">
        <x:v>joint or weld</x:v>
      </x:c>
      <x:c r="H647" s="7" t="str"/>
      <x:c r="I647" s="7" t="str"/>
      <x:c r="J647" s="7" t="str"/>
      <x:c r="K647" s="7" t="str">
        <x:f>IF(J647="","OPEN",IF(OR(H647="",I647=""),"FAIL","PASS"))</x:f>
        <x:v>OPEN</x:v>
      </x:c>
    </x:row>
    <x:row r="648">
      <x:c r="B648" s="7" t="str">
        <x:v>CPN-PEA-C-Y2-CJ-2</x:v>
      </x:c>
      <x:c r="C648" s="7" t="str">
        <x:v>PEA-C-Y2</x:v>
      </x:c>
      <x:c r="D648" s="7" t="str">
        <x:v>BLD-C</x:v>
      </x:c>
      <x:c r="E648" s="7" t="str">
        <x:v>BL-Y</x:v>
      </x:c>
      <x:c r="F648" s="7" t="str">
        <x:v>CJ</x:v>
      </x:c>
      <x:c r="G648" s="7" t="str">
        <x:v>joint or weld</x:v>
      </x:c>
      <x:c r="H648" s="7" t="str"/>
      <x:c r="I648" s="7" t="str"/>
      <x:c r="J648" s="7" t="str"/>
      <x:c r="K648" s="7" t="str">
        <x:f>IF(J648="","OPEN",IF(OR(H648="",I648=""),"FAIL","PASS"))</x:f>
        <x:v>OPEN</x:v>
      </x:c>
    </x:row>
    <x:row r="649">
      <x:c r="B649" s="7" t="str">
        <x:v>CPN-PEA-C-Y2-CJ-3</x:v>
      </x:c>
      <x:c r="C649" s="7" t="str">
        <x:v>PEA-C-Y2</x:v>
      </x:c>
      <x:c r="D649" s="7" t="str">
        <x:v>BLD-C</x:v>
      </x:c>
      <x:c r="E649" s="7" t="str">
        <x:v>BL-Y</x:v>
      </x:c>
      <x:c r="F649" s="7" t="str">
        <x:v>CJ</x:v>
      </x:c>
      <x:c r="G649" s="7" t="str">
        <x:v>joint or weld</x:v>
      </x:c>
      <x:c r="H649" s="7" t="str"/>
      <x:c r="I649" s="7" t="str"/>
      <x:c r="J649" s="7" t="str"/>
      <x:c r="K649" s="7" t="str">
        <x:f>IF(J649="","OPEN",IF(OR(H649="",I649=""),"FAIL","PASS"))</x:f>
        <x:v>OPEN</x:v>
      </x:c>
    </x:row>
    <x:row r="650">
      <x:c r="B650" s="7" t="str">
        <x:v>CPN-PEA-C-Y2-CJ-4</x:v>
      </x:c>
      <x:c r="C650" s="7" t="str">
        <x:v>PEA-C-Y2</x:v>
      </x:c>
      <x:c r="D650" s="7" t="str">
        <x:v>BLD-C</x:v>
      </x:c>
      <x:c r="E650" s="7" t="str">
        <x:v>BL-Y</x:v>
      </x:c>
      <x:c r="F650" s="7" t="str">
        <x:v>CJ</x:v>
      </x:c>
      <x:c r="G650" s="7" t="str">
        <x:v>joint or weld</x:v>
      </x:c>
      <x:c r="H650" s="7" t="str"/>
      <x:c r="I650" s="7" t="str"/>
      <x:c r="J650" s="7" t="str"/>
      <x:c r="K650" s="7" t="str">
        <x:f>IF(J650="","OPEN",IF(OR(H650="",I650=""),"FAIL","PASS"))</x:f>
        <x:v>OPEN</x:v>
      </x:c>
    </x:row>
    <x:row r="651">
      <x:c r="B651" s="7" t="str">
        <x:v>CPN-PEA-C-Y2-CJ-5</x:v>
      </x:c>
      <x:c r="C651" s="7" t="str">
        <x:v>PEA-C-Y2</x:v>
      </x:c>
      <x:c r="D651" s="7" t="str">
        <x:v>BLD-C</x:v>
      </x:c>
      <x:c r="E651" s="7" t="str">
        <x:v>BL-Y</x:v>
      </x:c>
      <x:c r="F651" s="7" t="str">
        <x:v>CJ</x:v>
      </x:c>
      <x:c r="G651" s="7" t="str">
        <x:v>joint or weld</x:v>
      </x:c>
      <x:c r="H651" s="7" t="str"/>
      <x:c r="I651" s="7" t="str"/>
      <x:c r="J651" s="7" t="str"/>
      <x:c r="K651" s="7" t="str">
        <x:f>IF(J651="","OPEN",IF(OR(H651="",I651=""),"FAIL","PASS"))</x:f>
        <x:v>OPEN</x:v>
      </x:c>
    </x:row>
    <x:row r="652">
      <x:c r="B652" s="7" t="str">
        <x:v>CPN-PEA-C-Y2-CJ-6</x:v>
      </x:c>
      <x:c r="C652" s="7" t="str">
        <x:v>PEA-C-Y2</x:v>
      </x:c>
      <x:c r="D652" s="7" t="str">
        <x:v>BLD-C</x:v>
      </x:c>
      <x:c r="E652" s="7" t="str">
        <x:v>BL-Y</x:v>
      </x:c>
      <x:c r="F652" s="7" t="str">
        <x:v>CJ</x:v>
      </x:c>
      <x:c r="G652" s="7" t="str">
        <x:v>joint or weld</x:v>
      </x:c>
      <x:c r="H652" s="7" t="str"/>
      <x:c r="I652" s="7" t="str"/>
      <x:c r="J652" s="7" t="str"/>
      <x:c r="K652" s="7" t="str">
        <x:f>IF(J652="","OPEN",IF(OR(H652="",I652=""),"FAIL","PASS"))</x:f>
        <x:v>OPEN</x:v>
      </x:c>
    </x:row>
    <x:row r="653">
      <x:c r="B653" s="7" t="str">
        <x:v>CPN-PEA-C-Y2-CJ-7</x:v>
      </x:c>
      <x:c r="C653" s="7" t="str">
        <x:v>PEA-C-Y2</x:v>
      </x:c>
      <x:c r="D653" s="7" t="str">
        <x:v>BLD-C</x:v>
      </x:c>
      <x:c r="E653" s="7" t="str">
        <x:v>BL-Y</x:v>
      </x:c>
      <x:c r="F653" s="7" t="str">
        <x:v>CJ</x:v>
      </x:c>
      <x:c r="G653" s="7" t="str">
        <x:v>joint or weld</x:v>
      </x:c>
      <x:c r="H653" s="7" t="str"/>
      <x:c r="I653" s="7" t="str"/>
      <x:c r="J653" s="7" t="str"/>
      <x:c r="K653" s="7" t="str">
        <x:f>IF(J653="","OPEN",IF(OR(H653="",I653=""),"FAIL","PASS"))</x:f>
        <x:v>OPEN</x:v>
      </x:c>
    </x:row>
    <x:row r="654">
      <x:c r="B654" s="7" t="str">
        <x:v>CPN-PEA-C-Y2-CJ-8</x:v>
      </x:c>
      <x:c r="C654" s="7" t="str">
        <x:v>PEA-C-Y2</x:v>
      </x:c>
      <x:c r="D654" s="7" t="str">
        <x:v>BLD-C</x:v>
      </x:c>
      <x:c r="E654" s="7" t="str">
        <x:v>BL-Y</x:v>
      </x:c>
      <x:c r="F654" s="7" t="str">
        <x:v>CJ</x:v>
      </x:c>
      <x:c r="G654" s="7" t="str">
        <x:v>joint or weld</x:v>
      </x:c>
      <x:c r="H654" s="7" t="str"/>
      <x:c r="I654" s="7" t="str"/>
      <x:c r="J654" s="7" t="str"/>
      <x:c r="K654" s="7" t="str">
        <x:f>IF(J654="","OPEN",IF(OR(H654="",I654=""),"FAIL","PASS"))</x:f>
        <x:v>OPEN</x:v>
      </x:c>
    </x:row>
    <x:row r="655">
      <x:c r="B655" s="7" t="str">
        <x:v>CPN-PEA-C-Y2-SE-1</x:v>
      </x:c>
      <x:c r="C655" s="7" t="str">
        <x:v>PEA-C-Y2</x:v>
      </x:c>
      <x:c r="D655" s="7" t="str">
        <x:v>BLD-C</x:v>
      </x:c>
      <x:c r="E655" s="7" t="str">
        <x:v>BL-Y</x:v>
      </x:c>
      <x:c r="F655" s="7" t="str">
        <x:v>SE</x:v>
      </x:c>
      <x:c r="G655" s="7" t="str">
        <x:v>seal and gasket</x:v>
      </x:c>
      <x:c r="H655" s="7" t="str"/>
      <x:c r="I655" s="7" t="str"/>
      <x:c r="J655" s="7" t="str"/>
      <x:c r="K655" s="7" t="str">
        <x:f>IF(J655="","OPEN",IF(OR(H655="",I655=""),"FAIL","PASS"))</x:f>
        <x:v>OPEN</x:v>
      </x:c>
    </x:row>
    <x:row r="656">
      <x:c r="B656" s="7" t="str">
        <x:v>CPN-PEA-C-Y2-SE-2</x:v>
      </x:c>
      <x:c r="C656" s="7" t="str">
        <x:v>PEA-C-Y2</x:v>
      </x:c>
      <x:c r="D656" s="7" t="str">
        <x:v>BLD-C</x:v>
      </x:c>
      <x:c r="E656" s="7" t="str">
        <x:v>BL-Y</x:v>
      </x:c>
      <x:c r="F656" s="7" t="str">
        <x:v>SE</x:v>
      </x:c>
      <x:c r="G656" s="7" t="str">
        <x:v>seal and gasket</x:v>
      </x:c>
      <x:c r="H656" s="7" t="str"/>
      <x:c r="I656" s="7" t="str"/>
      <x:c r="J656" s="7" t="str"/>
      <x:c r="K656" s="7" t="str">
        <x:f>IF(J656="","OPEN",IF(OR(H656="",I656=""),"FAIL","PASS"))</x:f>
        <x:v>OPEN</x:v>
      </x:c>
    </x:row>
    <x:row r="657">
      <x:c r="B657" s="7" t="str">
        <x:v>CPN-PEA-C-Y2-SE-3</x:v>
      </x:c>
      <x:c r="C657" s="7" t="str">
        <x:v>PEA-C-Y2</x:v>
      </x:c>
      <x:c r="D657" s="7" t="str">
        <x:v>BLD-C</x:v>
      </x:c>
      <x:c r="E657" s="7" t="str">
        <x:v>BL-Y</x:v>
      </x:c>
      <x:c r="F657" s="7" t="str">
        <x:v>SE</x:v>
      </x:c>
      <x:c r="G657" s="7" t="str">
        <x:v>seal and gasket</x:v>
      </x:c>
      <x:c r="H657" s="7" t="str"/>
      <x:c r="I657" s="7" t="str"/>
      <x:c r="J657" s="7" t="str"/>
      <x:c r="K657" s="7" t="str">
        <x:f>IF(J657="","OPEN",IF(OR(H657="",I657=""),"FAIL","PASS"))</x:f>
        <x:v>OPEN</x:v>
      </x:c>
    </x:row>
    <x:row r="658">
      <x:c r="B658" s="7" t="str">
        <x:v>CPN-PEA-C-Y2-SE-4</x:v>
      </x:c>
      <x:c r="C658" s="7" t="str">
        <x:v>PEA-C-Y2</x:v>
      </x:c>
      <x:c r="D658" s="7" t="str">
        <x:v>BLD-C</x:v>
      </x:c>
      <x:c r="E658" s="7" t="str">
        <x:v>BL-Y</x:v>
      </x:c>
      <x:c r="F658" s="7" t="str">
        <x:v>SE</x:v>
      </x:c>
      <x:c r="G658" s="7" t="str">
        <x:v>seal and gasket</x:v>
      </x:c>
      <x:c r="H658" s="7" t="str"/>
      <x:c r="I658" s="7" t="str"/>
      <x:c r="J658" s="7" t="str"/>
      <x:c r="K658" s="7" t="str">
        <x:f>IF(J658="","OPEN",IF(OR(H658="",I658=""),"FAIL","PASS"))</x:f>
        <x:v>OPEN</x:v>
      </x:c>
    </x:row>
    <x:row r="659">
      <x:c r="B659" s="7" t="str">
        <x:v>CPN-PEA-C-Y2-SE-5</x:v>
      </x:c>
      <x:c r="C659" s="7" t="str">
        <x:v>PEA-C-Y2</x:v>
      </x:c>
      <x:c r="D659" s="7" t="str">
        <x:v>BLD-C</x:v>
      </x:c>
      <x:c r="E659" s="7" t="str">
        <x:v>BL-Y</x:v>
      </x:c>
      <x:c r="F659" s="7" t="str">
        <x:v>SE</x:v>
      </x:c>
      <x:c r="G659" s="7" t="str">
        <x:v>seal and gasket</x:v>
      </x:c>
      <x:c r="H659" s="7" t="str"/>
      <x:c r="I659" s="7" t="str"/>
      <x:c r="J659" s="7" t="str"/>
      <x:c r="K659" s="7" t="str">
        <x:f>IF(J659="","OPEN",IF(OR(H659="",I659=""),"FAIL","PASS"))</x:f>
        <x:v>OPEN</x:v>
      </x:c>
    </x:row>
    <x:row r="660">
      <x:c r="B660" s="7" t="str">
        <x:v>CPN-PEA-C-Y2-SE-6</x:v>
      </x:c>
      <x:c r="C660" s="7" t="str">
        <x:v>PEA-C-Y2</x:v>
      </x:c>
      <x:c r="D660" s="7" t="str">
        <x:v>BLD-C</x:v>
      </x:c>
      <x:c r="E660" s="7" t="str">
        <x:v>BL-Y</x:v>
      </x:c>
      <x:c r="F660" s="7" t="str">
        <x:v>SE</x:v>
      </x:c>
      <x:c r="G660" s="7" t="str">
        <x:v>seal and gasket</x:v>
      </x:c>
      <x:c r="H660" s="7" t="str"/>
      <x:c r="I660" s="7" t="str"/>
      <x:c r="J660" s="7" t="str"/>
      <x:c r="K660" s="7" t="str">
        <x:f>IF(J660="","OPEN",IF(OR(H660="",I660=""),"FAIL","PASS"))</x:f>
        <x:v>OPEN</x:v>
      </x:c>
    </x:row>
    <x:row r="661">
      <x:c r="B661" s="7" t="str">
        <x:v>CPN-PEA-C-Y2-SE-7</x:v>
      </x:c>
      <x:c r="C661" s="7" t="str">
        <x:v>PEA-C-Y2</x:v>
      </x:c>
      <x:c r="D661" s="7" t="str">
        <x:v>BLD-C</x:v>
      </x:c>
      <x:c r="E661" s="7" t="str">
        <x:v>BL-Y</x:v>
      </x:c>
      <x:c r="F661" s="7" t="str">
        <x:v>SE</x:v>
      </x:c>
      <x:c r="G661" s="7" t="str">
        <x:v>seal and gasket</x:v>
      </x:c>
      <x:c r="H661" s="7" t="str"/>
      <x:c r="I661" s="7" t="str"/>
      <x:c r="J661" s="7" t="str"/>
      <x:c r="K661" s="7" t="str">
        <x:f>IF(J661="","OPEN",IF(OR(H661="",I661=""),"FAIL","PASS"))</x:f>
        <x:v>OPEN</x:v>
      </x:c>
    </x:row>
    <x:row r="662">
      <x:c r="B662" s="7" t="str">
        <x:v>CPN-PEA-C-Y2-SE-8</x:v>
      </x:c>
      <x:c r="C662" s="7" t="str">
        <x:v>PEA-C-Y2</x:v>
      </x:c>
      <x:c r="D662" s="7" t="str">
        <x:v>BLD-C</x:v>
      </x:c>
      <x:c r="E662" s="7" t="str">
        <x:v>BL-Y</x:v>
      </x:c>
      <x:c r="F662" s="7" t="str">
        <x:v>SE</x:v>
      </x:c>
      <x:c r="G662" s="7" t="str">
        <x:v>seal and gasket</x:v>
      </x:c>
      <x:c r="H662" s="7" t="str"/>
      <x:c r="I662" s="7" t="str"/>
      <x:c r="J662" s="7" t="str"/>
      <x:c r="K662" s="7" t="str">
        <x:f>IF(J662="","OPEN",IF(OR(H662="",I662=""),"FAIL","PASS"))</x:f>
        <x:v>OPEN</x:v>
      </x:c>
    </x:row>
    <x:row r="663">
      <x:c r="B663" s="7" t="str">
        <x:v>CPN-PEA-C-Y2-SF-1</x:v>
      </x:c>
      <x:c r="C663" s="7" t="str">
        <x:v>PEA-C-Y2</x:v>
      </x:c>
      <x:c r="D663" s="7" t="str">
        <x:v>BLD-C</x:v>
      </x:c>
      <x:c r="E663" s="7" t="str">
        <x:v>BL-Y</x:v>
      </x:c>
      <x:c r="F663" s="7" t="str">
        <x:v>SF</x:v>
      </x:c>
      <x:c r="G663" s="7" t="str">
        <x:v>wetted surface</x:v>
      </x:c>
      <x:c r="H663" s="7" t="str"/>
      <x:c r="I663" s="7" t="str"/>
      <x:c r="J663" s="7" t="str"/>
      <x:c r="K663" s="7" t="str">
        <x:f>IF(J663="","OPEN",IF(OR(H663="",I663=""),"FAIL","PASS"))</x:f>
        <x:v>OPEN</x:v>
      </x:c>
    </x:row>
    <x:row r="664">
      <x:c r="B664" s="7" t="str">
        <x:v>CPN-PEA-C-Y2-SF-2</x:v>
      </x:c>
      <x:c r="C664" s="7" t="str">
        <x:v>PEA-C-Y2</x:v>
      </x:c>
      <x:c r="D664" s="7" t="str">
        <x:v>BLD-C</x:v>
      </x:c>
      <x:c r="E664" s="7" t="str">
        <x:v>BL-Y</x:v>
      </x:c>
      <x:c r="F664" s="7" t="str">
        <x:v>SF</x:v>
      </x:c>
      <x:c r="G664" s="7" t="str">
        <x:v>wetted surface</x:v>
      </x:c>
      <x:c r="H664" s="7" t="str"/>
      <x:c r="I664" s="7" t="str"/>
      <x:c r="J664" s="7" t="str"/>
      <x:c r="K664" s="7" t="str">
        <x:f>IF(J664="","OPEN",IF(OR(H664="",I664=""),"FAIL","PASS"))</x:f>
        <x:v>OPEN</x:v>
      </x:c>
    </x:row>
    <x:row r="665">
      <x:c r="B665" s="7" t="str">
        <x:v>CPN-PEA-C-Y2-SF-3</x:v>
      </x:c>
      <x:c r="C665" s="7" t="str">
        <x:v>PEA-C-Y2</x:v>
      </x:c>
      <x:c r="D665" s="7" t="str">
        <x:v>BLD-C</x:v>
      </x:c>
      <x:c r="E665" s="7" t="str">
        <x:v>BL-Y</x:v>
      </x:c>
      <x:c r="F665" s="7" t="str">
        <x:v>SF</x:v>
      </x:c>
      <x:c r="G665" s="7" t="str">
        <x:v>wetted surface</x:v>
      </x:c>
      <x:c r="H665" s="7" t="str"/>
      <x:c r="I665" s="7" t="str"/>
      <x:c r="J665" s="7" t="str"/>
      <x:c r="K665" s="7" t="str">
        <x:f>IF(J665="","OPEN",IF(OR(H665="",I665=""),"FAIL","PASS"))</x:f>
        <x:v>OPEN</x:v>
      </x:c>
    </x:row>
    <x:row r="666">
      <x:c r="B666" s="7" t="str">
        <x:v>CPN-PEA-C-Y2-SF-4</x:v>
      </x:c>
      <x:c r="C666" s="7" t="str">
        <x:v>PEA-C-Y2</x:v>
      </x:c>
      <x:c r="D666" s="7" t="str">
        <x:v>BLD-C</x:v>
      </x:c>
      <x:c r="E666" s="7" t="str">
        <x:v>BL-Y</x:v>
      </x:c>
      <x:c r="F666" s="7" t="str">
        <x:v>SF</x:v>
      </x:c>
      <x:c r="G666" s="7" t="str">
        <x:v>wetted surface</x:v>
      </x:c>
      <x:c r="H666" s="7" t="str"/>
      <x:c r="I666" s="7" t="str"/>
      <x:c r="J666" s="7" t="str"/>
      <x:c r="K666" s="7" t="str">
        <x:f>IF(J666="","OPEN",IF(OR(H666="",I666=""),"FAIL","PASS"))</x:f>
        <x:v>OPEN</x:v>
      </x:c>
    </x:row>
    <x:row r="667">
      <x:c r="B667" s="7" t="str">
        <x:v>CPN-PEA-C-Y2-SF-5</x:v>
      </x:c>
      <x:c r="C667" s="7" t="str">
        <x:v>PEA-C-Y2</x:v>
      </x:c>
      <x:c r="D667" s="7" t="str">
        <x:v>BLD-C</x:v>
      </x:c>
      <x:c r="E667" s="7" t="str">
        <x:v>BL-Y</x:v>
      </x:c>
      <x:c r="F667" s="7" t="str">
        <x:v>SF</x:v>
      </x:c>
      <x:c r="G667" s="7" t="str">
        <x:v>wetted surface</x:v>
      </x:c>
      <x:c r="H667" s="7" t="str"/>
      <x:c r="I667" s="7" t="str"/>
      <x:c r="J667" s="7" t="str"/>
      <x:c r="K667" s="7" t="str">
        <x:f>IF(J667="","OPEN",IF(OR(H667="",I667=""),"FAIL","PASS"))</x:f>
        <x:v>OPEN</x:v>
      </x:c>
    </x:row>
    <x:row r="668">
      <x:c r="B668" s="7" t="str">
        <x:v>CPN-PEA-C-Y2-SF-6</x:v>
      </x:c>
      <x:c r="C668" s="7" t="str">
        <x:v>PEA-C-Y2</x:v>
      </x:c>
      <x:c r="D668" s="7" t="str">
        <x:v>BLD-C</x:v>
      </x:c>
      <x:c r="E668" s="7" t="str">
        <x:v>BL-Y</x:v>
      </x:c>
      <x:c r="F668" s="7" t="str">
        <x:v>SF</x:v>
      </x:c>
      <x:c r="G668" s="7" t="str">
        <x:v>wetted surface</x:v>
      </x:c>
      <x:c r="H668" s="7" t="str"/>
      <x:c r="I668" s="7" t="str"/>
      <x:c r="J668" s="7" t="str"/>
      <x:c r="K668" s="7" t="str">
        <x:f>IF(J668="","OPEN",IF(OR(H668="",I668=""),"FAIL","PASS"))</x:f>
        <x:v>OPEN</x:v>
      </x:c>
    </x:row>
    <x:row r="669">
      <x:c r="B669" s="7" t="str">
        <x:v>CPN-PEA-C-Y2-SF-7</x:v>
      </x:c>
      <x:c r="C669" s="7" t="str">
        <x:v>PEA-C-Y2</x:v>
      </x:c>
      <x:c r="D669" s="7" t="str">
        <x:v>BLD-C</x:v>
      </x:c>
      <x:c r="E669" s="7" t="str">
        <x:v>BL-Y</x:v>
      </x:c>
      <x:c r="F669" s="7" t="str">
        <x:v>SF</x:v>
      </x:c>
      <x:c r="G669" s="7" t="str">
        <x:v>wetted surface</x:v>
      </x:c>
      <x:c r="H669" s="7" t="str"/>
      <x:c r="I669" s="7" t="str"/>
      <x:c r="J669" s="7" t="str"/>
      <x:c r="K669" s="7" t="str">
        <x:f>IF(J669="","OPEN",IF(OR(H669="",I669=""),"FAIL","PASS"))</x:f>
        <x:v>OPEN</x:v>
      </x:c>
    </x:row>
    <x:row r="670">
      <x:c r="B670" s="7" t="str">
        <x:v>CPN-PEA-C-Y2-SF-8</x:v>
      </x:c>
      <x:c r="C670" s="7" t="str">
        <x:v>PEA-C-Y2</x:v>
      </x:c>
      <x:c r="D670" s="7" t="str">
        <x:v>BLD-C</x:v>
      </x:c>
      <x:c r="E670" s="7" t="str">
        <x:v>BL-Y</x:v>
      </x:c>
      <x:c r="F670" s="7" t="str">
        <x:v>SF</x:v>
      </x:c>
      <x:c r="G670" s="7" t="str">
        <x:v>wetted surface</x:v>
      </x:c>
      <x:c r="H670" s="7" t="str"/>
      <x:c r="I670" s="7" t="str"/>
      <x:c r="J670" s="7" t="str"/>
      <x:c r="K670" s="7" t="str">
        <x:f>IF(J670="","OPEN",IF(OR(H670="",I670=""),"FAIL","PASS"))</x:f>
        <x:v>OPEN</x:v>
      </x:c>
    </x:row>
    <x:row r="671">
      <x:c r="B671" s="7" t="str">
        <x:v>CPN-PEA-C-Y2-CP-1</x:v>
      </x:c>
      <x:c r="C671" s="7" t="str">
        <x:v>PEA-C-Y2</x:v>
      </x:c>
      <x:c r="D671" s="7" t="str">
        <x:v>BLD-C</x:v>
      </x:c>
      <x:c r="E671" s="7" t="str">
        <x:v>BL-Y</x:v>
      </x:c>
      <x:c r="F671" s="7" t="str">
        <x:v>CP</x:v>
      </x:c>
      <x:c r="G671" s="7" t="str">
        <x:v>penetration</x:v>
      </x:c>
      <x:c r="H671" s="7" t="str"/>
      <x:c r="I671" s="7" t="str"/>
      <x:c r="J671" s="7" t="str"/>
      <x:c r="K671" s="7" t="str">
        <x:f>IF(J671="","OPEN",IF(OR(H671="",I671=""),"FAIL","PASS"))</x:f>
        <x:v>OPEN</x:v>
      </x:c>
    </x:row>
    <x:row r="672">
      <x:c r="B672" s="7" t="str">
        <x:v>CPN-PEA-C-Y2-CP-2</x:v>
      </x:c>
      <x:c r="C672" s="7" t="str">
        <x:v>PEA-C-Y2</x:v>
      </x:c>
      <x:c r="D672" s="7" t="str">
        <x:v>BLD-C</x:v>
      </x:c>
      <x:c r="E672" s="7" t="str">
        <x:v>BL-Y</x:v>
      </x:c>
      <x:c r="F672" s="7" t="str">
        <x:v>CP</x:v>
      </x:c>
      <x:c r="G672" s="7" t="str">
        <x:v>penetration</x:v>
      </x:c>
      <x:c r="H672" s="7" t="str"/>
      <x:c r="I672" s="7" t="str"/>
      <x:c r="J672" s="7" t="str"/>
      <x:c r="K672" s="7" t="str">
        <x:f>IF(J672="","OPEN",IF(OR(H672="",I672=""),"FAIL","PASS"))</x:f>
        <x:v>OPEN</x:v>
      </x:c>
    </x:row>
    <x:row r="673">
      <x:c r="B673" s="7" t="str">
        <x:v>CPN-PEA-C-Y2-CP-3</x:v>
      </x:c>
      <x:c r="C673" s="7" t="str">
        <x:v>PEA-C-Y2</x:v>
      </x:c>
      <x:c r="D673" s="7" t="str">
        <x:v>BLD-C</x:v>
      </x:c>
      <x:c r="E673" s="7" t="str">
        <x:v>BL-Y</x:v>
      </x:c>
      <x:c r="F673" s="7" t="str">
        <x:v>CP</x:v>
      </x:c>
      <x:c r="G673" s="7" t="str">
        <x:v>penetration</x:v>
      </x:c>
      <x:c r="H673" s="7" t="str"/>
      <x:c r="I673" s="7" t="str"/>
      <x:c r="J673" s="7" t="str"/>
      <x:c r="K673" s="7" t="str">
        <x:f>IF(J673="","OPEN",IF(OR(H673="",I673=""),"FAIL","PASS"))</x:f>
        <x:v>OPEN</x:v>
      </x:c>
    </x:row>
    <x:row r="674">
      <x:c r="B674" s="7" t="str">
        <x:v>CPN-PEA-C-Y2-CP-4</x:v>
      </x:c>
      <x:c r="C674" s="7" t="str">
        <x:v>PEA-C-Y2</x:v>
      </x:c>
      <x:c r="D674" s="7" t="str">
        <x:v>BLD-C</x:v>
      </x:c>
      <x:c r="E674" s="7" t="str">
        <x:v>BL-Y</x:v>
      </x:c>
      <x:c r="F674" s="7" t="str">
        <x:v>CP</x:v>
      </x:c>
      <x:c r="G674" s="7" t="str">
        <x:v>penetration</x:v>
      </x:c>
      <x:c r="H674" s="7" t="str"/>
      <x:c r="I674" s="7" t="str"/>
      <x:c r="J674" s="7" t="str"/>
      <x:c r="K674" s="7" t="str">
        <x:f>IF(J674="","OPEN",IF(OR(H674="",I674=""),"FAIL","PASS"))</x:f>
        <x:v>OPEN</x:v>
      </x:c>
    </x:row>
    <x:row r="675">
      <x:c r="B675" s="7" t="str">
        <x:v>CPN-PEA-C-Y2-CP-5</x:v>
      </x:c>
      <x:c r="C675" s="7" t="str">
        <x:v>PEA-C-Y2</x:v>
      </x:c>
      <x:c r="D675" s="7" t="str">
        <x:v>BLD-C</x:v>
      </x:c>
      <x:c r="E675" s="7" t="str">
        <x:v>BL-Y</x:v>
      </x:c>
      <x:c r="F675" s="7" t="str">
        <x:v>CP</x:v>
      </x:c>
      <x:c r="G675" s="7" t="str">
        <x:v>penetration</x:v>
      </x:c>
      <x:c r="H675" s="7" t="str"/>
      <x:c r="I675" s="7" t="str"/>
      <x:c r="J675" s="7" t="str"/>
      <x:c r="K675" s="7" t="str">
        <x:f>IF(J675="","OPEN",IF(OR(H675="",I675=""),"FAIL","PASS"))</x:f>
        <x:v>OPEN</x:v>
      </x:c>
    </x:row>
    <x:row r="676">
      <x:c r="B676" s="7" t="str">
        <x:v>CPN-PEA-C-Y2-CP-6</x:v>
      </x:c>
      <x:c r="C676" s="7" t="str">
        <x:v>PEA-C-Y2</x:v>
      </x:c>
      <x:c r="D676" s="7" t="str">
        <x:v>BLD-C</x:v>
      </x:c>
      <x:c r="E676" s="7" t="str">
        <x:v>BL-Y</x:v>
      </x:c>
      <x:c r="F676" s="7" t="str">
        <x:v>CP</x:v>
      </x:c>
      <x:c r="G676" s="7" t="str">
        <x:v>penetration</x:v>
      </x:c>
      <x:c r="H676" s="7" t="str"/>
      <x:c r="I676" s="7" t="str"/>
      <x:c r="J676" s="7" t="str"/>
      <x:c r="K676" s="7" t="str">
        <x:f>IF(J676="","OPEN",IF(OR(H676="",I676=""),"FAIL","PASS"))</x:f>
        <x:v>OPEN</x:v>
      </x:c>
    </x:row>
    <x:row r="677">
      <x:c r="B677" s="7" t="str">
        <x:v>CPN-PEA-C-Y2-CP-7</x:v>
      </x:c>
      <x:c r="C677" s="7" t="str">
        <x:v>PEA-C-Y2</x:v>
      </x:c>
      <x:c r="D677" s="7" t="str">
        <x:v>BLD-C</x:v>
      </x:c>
      <x:c r="E677" s="7" t="str">
        <x:v>BL-Y</x:v>
      </x:c>
      <x:c r="F677" s="7" t="str">
        <x:v>CP</x:v>
      </x:c>
      <x:c r="G677" s="7" t="str">
        <x:v>penetration</x:v>
      </x:c>
      <x:c r="H677" s="7" t="str"/>
      <x:c r="I677" s="7" t="str"/>
      <x:c r="J677" s="7" t="str"/>
      <x:c r="K677" s="7" t="str">
        <x:f>IF(J677="","OPEN",IF(OR(H677="",I677=""),"FAIL","PASS"))</x:f>
        <x:v>OPEN</x:v>
      </x:c>
    </x:row>
    <x:row r="678">
      <x:c r="B678" s="7" t="str">
        <x:v>CPN-PEA-C-Y2-CP-8</x:v>
      </x:c>
      <x:c r="C678" s="7" t="str">
        <x:v>PEA-C-Y2</x:v>
      </x:c>
      <x:c r="D678" s="7" t="str">
        <x:v>BLD-C</x:v>
      </x:c>
      <x:c r="E678" s="7" t="str">
        <x:v>BL-Y</x:v>
      </x:c>
      <x:c r="F678" s="7" t="str">
        <x:v>CP</x:v>
      </x:c>
      <x:c r="G678" s="7" t="str">
        <x:v>penetration</x:v>
      </x:c>
      <x:c r="H678" s="7" t="str"/>
      <x:c r="I678" s="7" t="str"/>
      <x:c r="J678" s="7" t="str"/>
      <x:c r="K678" s="7" t="str">
        <x:f>IF(J678="","OPEN",IF(OR(H678="",I678=""),"FAIL","PASS"))</x:f>
        <x:v>OPEN</x:v>
      </x:c>
    </x:row>
    <x:row r="679">
      <x:c r="B679" s="7" t="str">
        <x:v>CPN-PEA-C-Y2-SM-1</x:v>
      </x:c>
      <x:c r="C679" s="7" t="str">
        <x:v>PEA-C-Y2</x:v>
      </x:c>
      <x:c r="D679" s="7" t="str">
        <x:v>BLD-C</x:v>
      </x:c>
      <x:c r="E679" s="7" t="str">
        <x:v>BL-Y</x:v>
      </x:c>
      <x:c r="F679" s="7" t="str">
        <x:v>SM</x:v>
      </x:c>
      <x:c r="G679" s="7" t="str">
        <x:v>sensor mount and datum</x:v>
      </x:c>
      <x:c r="H679" s="7" t="str"/>
      <x:c r="I679" s="7" t="str"/>
      <x:c r="J679" s="7" t="str"/>
      <x:c r="K679" s="7" t="str">
        <x:f>IF(J679="","OPEN",IF(OR(H679="",I679=""),"FAIL","PASS"))</x:f>
        <x:v>OPEN</x:v>
      </x:c>
    </x:row>
    <x:row r="680">
      <x:c r="B680" s="7" t="str">
        <x:v>CPN-PEA-C-Y2-SM-2</x:v>
      </x:c>
      <x:c r="C680" s="7" t="str">
        <x:v>PEA-C-Y2</x:v>
      </x:c>
      <x:c r="D680" s="7" t="str">
        <x:v>BLD-C</x:v>
      </x:c>
      <x:c r="E680" s="7" t="str">
        <x:v>BL-Y</x:v>
      </x:c>
      <x:c r="F680" s="7" t="str">
        <x:v>SM</x:v>
      </x:c>
      <x:c r="G680" s="7" t="str">
        <x:v>sensor mount and datum</x:v>
      </x:c>
      <x:c r="H680" s="7" t="str"/>
      <x:c r="I680" s="7" t="str"/>
      <x:c r="J680" s="7" t="str"/>
      <x:c r="K680" s="7" t="str">
        <x:f>IF(J680="","OPEN",IF(OR(H680="",I680=""),"FAIL","PASS"))</x:f>
        <x:v>OPEN</x:v>
      </x:c>
    </x:row>
    <x:row r="681">
      <x:c r="B681" s="7" t="str">
        <x:v>CPN-PEA-C-Y2-SM-3</x:v>
      </x:c>
      <x:c r="C681" s="7" t="str">
        <x:v>PEA-C-Y2</x:v>
      </x:c>
      <x:c r="D681" s="7" t="str">
        <x:v>BLD-C</x:v>
      </x:c>
      <x:c r="E681" s="7" t="str">
        <x:v>BL-Y</x:v>
      </x:c>
      <x:c r="F681" s="7" t="str">
        <x:v>SM</x:v>
      </x:c>
      <x:c r="G681" s="7" t="str">
        <x:v>sensor mount and datum</x:v>
      </x:c>
      <x:c r="H681" s="7" t="str"/>
      <x:c r="I681" s="7" t="str"/>
      <x:c r="J681" s="7" t="str"/>
      <x:c r="K681" s="7" t="str">
        <x:f>IF(J681="","OPEN",IF(OR(H681="",I681=""),"FAIL","PASS"))</x:f>
        <x:v>OPEN</x:v>
      </x:c>
    </x:row>
    <x:row r="682">
      <x:c r="B682" s="7" t="str">
        <x:v>CPN-PEA-C-Y2-SM-4</x:v>
      </x:c>
      <x:c r="C682" s="7" t="str">
        <x:v>PEA-C-Y2</x:v>
      </x:c>
      <x:c r="D682" s="7" t="str">
        <x:v>BLD-C</x:v>
      </x:c>
      <x:c r="E682" s="7" t="str">
        <x:v>BL-Y</x:v>
      </x:c>
      <x:c r="F682" s="7" t="str">
        <x:v>SM</x:v>
      </x:c>
      <x:c r="G682" s="7" t="str">
        <x:v>sensor mount and datum</x:v>
      </x:c>
      <x:c r="H682" s="7" t="str"/>
      <x:c r="I682" s="7" t="str"/>
      <x:c r="J682" s="7" t="str"/>
      <x:c r="K682" s="7" t="str">
        <x:f>IF(J682="","OPEN",IF(OR(H682="",I682=""),"FAIL","PASS"))</x:f>
        <x:v>OPEN</x:v>
      </x:c>
    </x:row>
    <x:row r="683">
      <x:c r="B683" s="7" t="str">
        <x:v>CPN-PEA-C-Y2-SM-5</x:v>
      </x:c>
      <x:c r="C683" s="7" t="str">
        <x:v>PEA-C-Y2</x:v>
      </x:c>
      <x:c r="D683" s="7" t="str">
        <x:v>BLD-C</x:v>
      </x:c>
      <x:c r="E683" s="7" t="str">
        <x:v>BL-Y</x:v>
      </x:c>
      <x:c r="F683" s="7" t="str">
        <x:v>SM</x:v>
      </x:c>
      <x:c r="G683" s="7" t="str">
        <x:v>sensor mount and datum</x:v>
      </x:c>
      <x:c r="H683" s="7" t="str"/>
      <x:c r="I683" s="7" t="str"/>
      <x:c r="J683" s="7" t="str"/>
      <x:c r="K683" s="7" t="str">
        <x:f>IF(J683="","OPEN",IF(OR(H683="",I683=""),"FAIL","PASS"))</x:f>
        <x:v>OPEN</x:v>
      </x:c>
    </x:row>
    <x:row r="684">
      <x:c r="B684" s="7" t="str">
        <x:v>CPN-PEA-C-Y2-SM-6</x:v>
      </x:c>
      <x:c r="C684" s="7" t="str">
        <x:v>PEA-C-Y2</x:v>
      </x:c>
      <x:c r="D684" s="7" t="str">
        <x:v>BLD-C</x:v>
      </x:c>
      <x:c r="E684" s="7" t="str">
        <x:v>BL-Y</x:v>
      </x:c>
      <x:c r="F684" s="7" t="str">
        <x:v>SM</x:v>
      </x:c>
      <x:c r="G684" s="7" t="str">
        <x:v>sensor mount and datum</x:v>
      </x:c>
      <x:c r="H684" s="7" t="str"/>
      <x:c r="I684" s="7" t="str"/>
      <x:c r="J684" s="7" t="str"/>
      <x:c r="K684" s="7" t="str">
        <x:f>IF(J684="","OPEN",IF(OR(H684="",I684=""),"FAIL","PASS"))</x:f>
        <x:v>OPEN</x:v>
      </x:c>
    </x:row>
    <x:row r="685">
      <x:c r="B685" s="7" t="str">
        <x:v>CPN-PEA-C-Y2-SM-7</x:v>
      </x:c>
      <x:c r="C685" s="7" t="str">
        <x:v>PEA-C-Y2</x:v>
      </x:c>
      <x:c r="D685" s="7" t="str">
        <x:v>BLD-C</x:v>
      </x:c>
      <x:c r="E685" s="7" t="str">
        <x:v>BL-Y</x:v>
      </x:c>
      <x:c r="F685" s="7" t="str">
        <x:v>SM</x:v>
      </x:c>
      <x:c r="G685" s="7" t="str">
        <x:v>sensor mount and datum</x:v>
      </x:c>
      <x:c r="H685" s="7" t="str"/>
      <x:c r="I685" s="7" t="str"/>
      <x:c r="J685" s="7" t="str"/>
      <x:c r="K685" s="7" t="str">
        <x:f>IF(J685="","OPEN",IF(OR(H685="",I685=""),"FAIL","PASS"))</x:f>
        <x:v>OPEN</x:v>
      </x:c>
    </x:row>
    <x:row r="686">
      <x:c r="B686" s="7" t="str">
        <x:v>CPN-PEA-C-Y2-SM-8</x:v>
      </x:c>
      <x:c r="C686" s="7" t="str">
        <x:v>PEA-C-Y2</x:v>
      </x:c>
      <x:c r="D686" s="7" t="str">
        <x:v>BLD-C</x:v>
      </x:c>
      <x:c r="E686" s="7" t="str">
        <x:v>BL-Y</x:v>
      </x:c>
      <x:c r="F686" s="7" t="str">
        <x:v>SM</x:v>
      </x:c>
      <x:c r="G686" s="7" t="str">
        <x:v>sensor mount and datum</x:v>
      </x:c>
      <x:c r="H686" s="7" t="str"/>
      <x:c r="I686" s="7" t="str"/>
      <x:c r="J686" s="7" t="str"/>
      <x:c r="K686" s="7" t="str">
        <x:f>IF(J686="","OPEN",IF(OR(H686="",I686=""),"FAIL","PASS"))</x:f>
        <x:v>OPEN</x:v>
      </x:c>
    </x:row>
    <x:row r="687">
      <x:c r="B687" s="7" t="str">
        <x:v>CPN-PEA-C-Y3-CJ-1</x:v>
      </x:c>
      <x:c r="C687" s="7" t="str">
        <x:v>PEA-C-Y3</x:v>
      </x:c>
      <x:c r="D687" s="7" t="str">
        <x:v>BLD-C</x:v>
      </x:c>
      <x:c r="E687" s="7" t="str">
        <x:v>BL-Y</x:v>
      </x:c>
      <x:c r="F687" s="7" t="str">
        <x:v>CJ</x:v>
      </x:c>
      <x:c r="G687" s="7" t="str">
        <x:v>joint or weld</x:v>
      </x:c>
      <x:c r="H687" s="7" t="str"/>
      <x:c r="I687" s="7" t="str"/>
      <x:c r="J687" s="7" t="str"/>
      <x:c r="K687" s="7" t="str">
        <x:f>IF(J687="","OPEN",IF(OR(H687="",I687=""),"FAIL","PASS"))</x:f>
        <x:v>OPEN</x:v>
      </x:c>
    </x:row>
    <x:row r="688">
      <x:c r="B688" s="7" t="str">
        <x:v>CPN-PEA-C-Y3-CJ-2</x:v>
      </x:c>
      <x:c r="C688" s="7" t="str">
        <x:v>PEA-C-Y3</x:v>
      </x:c>
      <x:c r="D688" s="7" t="str">
        <x:v>BLD-C</x:v>
      </x:c>
      <x:c r="E688" s="7" t="str">
        <x:v>BL-Y</x:v>
      </x:c>
      <x:c r="F688" s="7" t="str">
        <x:v>CJ</x:v>
      </x:c>
      <x:c r="G688" s="7" t="str">
        <x:v>joint or weld</x:v>
      </x:c>
      <x:c r="H688" s="7" t="str"/>
      <x:c r="I688" s="7" t="str"/>
      <x:c r="J688" s="7" t="str"/>
      <x:c r="K688" s="7" t="str">
        <x:f>IF(J688="","OPEN",IF(OR(H688="",I688=""),"FAIL","PASS"))</x:f>
        <x:v>OPEN</x:v>
      </x:c>
    </x:row>
    <x:row r="689">
      <x:c r="B689" s="7" t="str">
        <x:v>CPN-PEA-C-Y3-CJ-3</x:v>
      </x:c>
      <x:c r="C689" s="7" t="str">
        <x:v>PEA-C-Y3</x:v>
      </x:c>
      <x:c r="D689" s="7" t="str">
        <x:v>BLD-C</x:v>
      </x:c>
      <x:c r="E689" s="7" t="str">
        <x:v>BL-Y</x:v>
      </x:c>
      <x:c r="F689" s="7" t="str">
        <x:v>CJ</x:v>
      </x:c>
      <x:c r="G689" s="7" t="str">
        <x:v>joint or weld</x:v>
      </x:c>
      <x:c r="H689" s="7" t="str"/>
      <x:c r="I689" s="7" t="str"/>
      <x:c r="J689" s="7" t="str"/>
      <x:c r="K689" s="7" t="str">
        <x:f>IF(J689="","OPEN",IF(OR(H689="",I689=""),"FAIL","PASS"))</x:f>
        <x:v>OPEN</x:v>
      </x:c>
    </x:row>
    <x:row r="690">
      <x:c r="B690" s="7" t="str">
        <x:v>CPN-PEA-C-Y3-CJ-4</x:v>
      </x:c>
      <x:c r="C690" s="7" t="str">
        <x:v>PEA-C-Y3</x:v>
      </x:c>
      <x:c r="D690" s="7" t="str">
        <x:v>BLD-C</x:v>
      </x:c>
      <x:c r="E690" s="7" t="str">
        <x:v>BL-Y</x:v>
      </x:c>
      <x:c r="F690" s="7" t="str">
        <x:v>CJ</x:v>
      </x:c>
      <x:c r="G690" s="7" t="str">
        <x:v>joint or weld</x:v>
      </x:c>
      <x:c r="H690" s="7" t="str"/>
      <x:c r="I690" s="7" t="str"/>
      <x:c r="J690" s="7" t="str"/>
      <x:c r="K690" s="7" t="str">
        <x:f>IF(J690="","OPEN",IF(OR(H690="",I690=""),"FAIL","PASS"))</x:f>
        <x:v>OPEN</x:v>
      </x:c>
    </x:row>
    <x:row r="691">
      <x:c r="B691" s="7" t="str">
        <x:v>CPN-PEA-C-Y3-CJ-5</x:v>
      </x:c>
      <x:c r="C691" s="7" t="str">
        <x:v>PEA-C-Y3</x:v>
      </x:c>
      <x:c r="D691" s="7" t="str">
        <x:v>BLD-C</x:v>
      </x:c>
      <x:c r="E691" s="7" t="str">
        <x:v>BL-Y</x:v>
      </x:c>
      <x:c r="F691" s="7" t="str">
        <x:v>CJ</x:v>
      </x:c>
      <x:c r="G691" s="7" t="str">
        <x:v>joint or weld</x:v>
      </x:c>
      <x:c r="H691" s="7" t="str"/>
      <x:c r="I691" s="7" t="str"/>
      <x:c r="J691" s="7" t="str"/>
      <x:c r="K691" s="7" t="str">
        <x:f>IF(J691="","OPEN",IF(OR(H691="",I691=""),"FAIL","PASS"))</x:f>
        <x:v>OPEN</x:v>
      </x:c>
    </x:row>
    <x:row r="692">
      <x:c r="B692" s="7" t="str">
        <x:v>CPN-PEA-C-Y3-CJ-6</x:v>
      </x:c>
      <x:c r="C692" s="7" t="str">
        <x:v>PEA-C-Y3</x:v>
      </x:c>
      <x:c r="D692" s="7" t="str">
        <x:v>BLD-C</x:v>
      </x:c>
      <x:c r="E692" s="7" t="str">
        <x:v>BL-Y</x:v>
      </x:c>
      <x:c r="F692" s="7" t="str">
        <x:v>CJ</x:v>
      </x:c>
      <x:c r="G692" s="7" t="str">
        <x:v>joint or weld</x:v>
      </x:c>
      <x:c r="H692" s="7" t="str"/>
      <x:c r="I692" s="7" t="str"/>
      <x:c r="J692" s="7" t="str"/>
      <x:c r="K692" s="7" t="str">
        <x:f>IF(J692="","OPEN",IF(OR(H692="",I692=""),"FAIL","PASS"))</x:f>
        <x:v>OPEN</x:v>
      </x:c>
    </x:row>
    <x:row r="693">
      <x:c r="B693" s="7" t="str">
        <x:v>CPN-PEA-C-Y3-CJ-7</x:v>
      </x:c>
      <x:c r="C693" s="7" t="str">
        <x:v>PEA-C-Y3</x:v>
      </x:c>
      <x:c r="D693" s="7" t="str">
        <x:v>BLD-C</x:v>
      </x:c>
      <x:c r="E693" s="7" t="str">
        <x:v>BL-Y</x:v>
      </x:c>
      <x:c r="F693" s="7" t="str">
        <x:v>CJ</x:v>
      </x:c>
      <x:c r="G693" s="7" t="str">
        <x:v>joint or weld</x:v>
      </x:c>
      <x:c r="H693" s="7" t="str"/>
      <x:c r="I693" s="7" t="str"/>
      <x:c r="J693" s="7" t="str"/>
      <x:c r="K693" s="7" t="str">
        <x:f>IF(J693="","OPEN",IF(OR(H693="",I693=""),"FAIL","PASS"))</x:f>
        <x:v>OPEN</x:v>
      </x:c>
    </x:row>
    <x:row r="694">
      <x:c r="B694" s="7" t="str">
        <x:v>CPN-PEA-C-Y3-CJ-8</x:v>
      </x:c>
      <x:c r="C694" s="7" t="str">
        <x:v>PEA-C-Y3</x:v>
      </x:c>
      <x:c r="D694" s="7" t="str">
        <x:v>BLD-C</x:v>
      </x:c>
      <x:c r="E694" s="7" t="str">
        <x:v>BL-Y</x:v>
      </x:c>
      <x:c r="F694" s="7" t="str">
        <x:v>CJ</x:v>
      </x:c>
      <x:c r="G694" s="7" t="str">
        <x:v>joint or weld</x:v>
      </x:c>
      <x:c r="H694" s="7" t="str"/>
      <x:c r="I694" s="7" t="str"/>
      <x:c r="J694" s="7" t="str"/>
      <x:c r="K694" s="7" t="str">
        <x:f>IF(J694="","OPEN",IF(OR(H694="",I694=""),"FAIL","PASS"))</x:f>
        <x:v>OPEN</x:v>
      </x:c>
    </x:row>
    <x:row r="695">
      <x:c r="B695" s="7" t="str">
        <x:v>CPN-PEA-C-Y3-SE-1</x:v>
      </x:c>
      <x:c r="C695" s="7" t="str">
        <x:v>PEA-C-Y3</x:v>
      </x:c>
      <x:c r="D695" s="7" t="str">
        <x:v>BLD-C</x:v>
      </x:c>
      <x:c r="E695" s="7" t="str">
        <x:v>BL-Y</x:v>
      </x:c>
      <x:c r="F695" s="7" t="str">
        <x:v>SE</x:v>
      </x:c>
      <x:c r="G695" s="7" t="str">
        <x:v>seal and gasket</x:v>
      </x:c>
      <x:c r="H695" s="7" t="str"/>
      <x:c r="I695" s="7" t="str"/>
      <x:c r="J695" s="7" t="str"/>
      <x:c r="K695" s="7" t="str">
        <x:f>IF(J695="","OPEN",IF(OR(H695="",I695=""),"FAIL","PASS"))</x:f>
        <x:v>OPEN</x:v>
      </x:c>
    </x:row>
    <x:row r="696">
      <x:c r="B696" s="7" t="str">
        <x:v>CPN-PEA-C-Y3-SE-2</x:v>
      </x:c>
      <x:c r="C696" s="7" t="str">
        <x:v>PEA-C-Y3</x:v>
      </x:c>
      <x:c r="D696" s="7" t="str">
        <x:v>BLD-C</x:v>
      </x:c>
      <x:c r="E696" s="7" t="str">
        <x:v>BL-Y</x:v>
      </x:c>
      <x:c r="F696" s="7" t="str">
        <x:v>SE</x:v>
      </x:c>
      <x:c r="G696" s="7" t="str">
        <x:v>seal and gasket</x:v>
      </x:c>
      <x:c r="H696" s="7" t="str"/>
      <x:c r="I696" s="7" t="str"/>
      <x:c r="J696" s="7" t="str"/>
      <x:c r="K696" s="7" t="str">
        <x:f>IF(J696="","OPEN",IF(OR(H696="",I696=""),"FAIL","PASS"))</x:f>
        <x:v>OPEN</x:v>
      </x:c>
    </x:row>
    <x:row r="697">
      <x:c r="B697" s="7" t="str">
        <x:v>CPN-PEA-C-Y3-SE-3</x:v>
      </x:c>
      <x:c r="C697" s="7" t="str">
        <x:v>PEA-C-Y3</x:v>
      </x:c>
      <x:c r="D697" s="7" t="str">
        <x:v>BLD-C</x:v>
      </x:c>
      <x:c r="E697" s="7" t="str">
        <x:v>BL-Y</x:v>
      </x:c>
      <x:c r="F697" s="7" t="str">
        <x:v>SE</x:v>
      </x:c>
      <x:c r="G697" s="7" t="str">
        <x:v>seal and gasket</x:v>
      </x:c>
      <x:c r="H697" s="7" t="str"/>
      <x:c r="I697" s="7" t="str"/>
      <x:c r="J697" s="7" t="str"/>
      <x:c r="K697" s="7" t="str">
        <x:f>IF(J697="","OPEN",IF(OR(H697="",I697=""),"FAIL","PASS"))</x:f>
        <x:v>OPEN</x:v>
      </x:c>
    </x:row>
    <x:row r="698">
      <x:c r="B698" s="7" t="str">
        <x:v>CPN-PEA-C-Y3-SE-4</x:v>
      </x:c>
      <x:c r="C698" s="7" t="str">
        <x:v>PEA-C-Y3</x:v>
      </x:c>
      <x:c r="D698" s="7" t="str">
        <x:v>BLD-C</x:v>
      </x:c>
      <x:c r="E698" s="7" t="str">
        <x:v>BL-Y</x:v>
      </x:c>
      <x:c r="F698" s="7" t="str">
        <x:v>SE</x:v>
      </x:c>
      <x:c r="G698" s="7" t="str">
        <x:v>seal and gasket</x:v>
      </x:c>
      <x:c r="H698" s="7" t="str"/>
      <x:c r="I698" s="7" t="str"/>
      <x:c r="J698" s="7" t="str"/>
      <x:c r="K698" s="7" t="str">
        <x:f>IF(J698="","OPEN",IF(OR(H698="",I698=""),"FAIL","PASS"))</x:f>
        <x:v>OPEN</x:v>
      </x:c>
    </x:row>
    <x:row r="699">
      <x:c r="B699" s="7" t="str">
        <x:v>CPN-PEA-C-Y3-SE-5</x:v>
      </x:c>
      <x:c r="C699" s="7" t="str">
        <x:v>PEA-C-Y3</x:v>
      </x:c>
      <x:c r="D699" s="7" t="str">
        <x:v>BLD-C</x:v>
      </x:c>
      <x:c r="E699" s="7" t="str">
        <x:v>BL-Y</x:v>
      </x:c>
      <x:c r="F699" s="7" t="str">
        <x:v>SE</x:v>
      </x:c>
      <x:c r="G699" s="7" t="str">
        <x:v>seal and gasket</x:v>
      </x:c>
      <x:c r="H699" s="7" t="str"/>
      <x:c r="I699" s="7" t="str"/>
      <x:c r="J699" s="7" t="str"/>
      <x:c r="K699" s="7" t="str">
        <x:f>IF(J699="","OPEN",IF(OR(H699="",I699=""),"FAIL","PASS"))</x:f>
        <x:v>OPEN</x:v>
      </x:c>
    </x:row>
    <x:row r="700">
      <x:c r="B700" s="7" t="str">
        <x:v>CPN-PEA-C-Y3-SE-6</x:v>
      </x:c>
      <x:c r="C700" s="7" t="str">
        <x:v>PEA-C-Y3</x:v>
      </x:c>
      <x:c r="D700" s="7" t="str">
        <x:v>BLD-C</x:v>
      </x:c>
      <x:c r="E700" s="7" t="str">
        <x:v>BL-Y</x:v>
      </x:c>
      <x:c r="F700" s="7" t="str">
        <x:v>SE</x:v>
      </x:c>
      <x:c r="G700" s="7" t="str">
        <x:v>seal and gasket</x:v>
      </x:c>
      <x:c r="H700" s="7" t="str"/>
      <x:c r="I700" s="7" t="str"/>
      <x:c r="J700" s="7" t="str"/>
      <x:c r="K700" s="7" t="str">
        <x:f>IF(J700="","OPEN",IF(OR(H700="",I700=""),"FAIL","PASS"))</x:f>
        <x:v>OPEN</x:v>
      </x:c>
    </x:row>
    <x:row r="701">
      <x:c r="B701" s="7" t="str">
        <x:v>CPN-PEA-C-Y3-SE-7</x:v>
      </x:c>
      <x:c r="C701" s="7" t="str">
        <x:v>PEA-C-Y3</x:v>
      </x:c>
      <x:c r="D701" s="7" t="str">
        <x:v>BLD-C</x:v>
      </x:c>
      <x:c r="E701" s="7" t="str">
        <x:v>BL-Y</x:v>
      </x:c>
      <x:c r="F701" s="7" t="str">
        <x:v>SE</x:v>
      </x:c>
      <x:c r="G701" s="7" t="str">
        <x:v>seal and gasket</x:v>
      </x:c>
      <x:c r="H701" s="7" t="str"/>
      <x:c r="I701" s="7" t="str"/>
      <x:c r="J701" s="7" t="str"/>
      <x:c r="K701" s="7" t="str">
        <x:f>IF(J701="","OPEN",IF(OR(H701="",I701=""),"FAIL","PASS"))</x:f>
        <x:v>OPEN</x:v>
      </x:c>
    </x:row>
    <x:row r="702">
      <x:c r="B702" s="7" t="str">
        <x:v>CPN-PEA-C-Y3-SE-8</x:v>
      </x:c>
      <x:c r="C702" s="7" t="str">
        <x:v>PEA-C-Y3</x:v>
      </x:c>
      <x:c r="D702" s="7" t="str">
        <x:v>BLD-C</x:v>
      </x:c>
      <x:c r="E702" s="7" t="str">
        <x:v>BL-Y</x:v>
      </x:c>
      <x:c r="F702" s="7" t="str">
        <x:v>SE</x:v>
      </x:c>
      <x:c r="G702" s="7" t="str">
        <x:v>seal and gasket</x:v>
      </x:c>
      <x:c r="H702" s="7" t="str"/>
      <x:c r="I702" s="7" t="str"/>
      <x:c r="J702" s="7" t="str"/>
      <x:c r="K702" s="7" t="str">
        <x:f>IF(J702="","OPEN",IF(OR(H702="",I702=""),"FAIL","PASS"))</x:f>
        <x:v>OPEN</x:v>
      </x:c>
    </x:row>
    <x:row r="703">
      <x:c r="B703" s="7" t="str">
        <x:v>CPN-PEA-C-Y3-SF-1</x:v>
      </x:c>
      <x:c r="C703" s="7" t="str">
        <x:v>PEA-C-Y3</x:v>
      </x:c>
      <x:c r="D703" s="7" t="str">
        <x:v>BLD-C</x:v>
      </x:c>
      <x:c r="E703" s="7" t="str">
        <x:v>BL-Y</x:v>
      </x:c>
      <x:c r="F703" s="7" t="str">
        <x:v>SF</x:v>
      </x:c>
      <x:c r="G703" s="7" t="str">
        <x:v>wetted surface</x:v>
      </x:c>
      <x:c r="H703" s="7" t="str"/>
      <x:c r="I703" s="7" t="str"/>
      <x:c r="J703" s="7" t="str"/>
      <x:c r="K703" s="7" t="str">
        <x:f>IF(J703="","OPEN",IF(OR(H703="",I703=""),"FAIL","PASS"))</x:f>
        <x:v>OPEN</x:v>
      </x:c>
    </x:row>
    <x:row r="704">
      <x:c r="B704" s="7" t="str">
        <x:v>CPN-PEA-C-Y3-SF-2</x:v>
      </x:c>
      <x:c r="C704" s="7" t="str">
        <x:v>PEA-C-Y3</x:v>
      </x:c>
      <x:c r="D704" s="7" t="str">
        <x:v>BLD-C</x:v>
      </x:c>
      <x:c r="E704" s="7" t="str">
        <x:v>BL-Y</x:v>
      </x:c>
      <x:c r="F704" s="7" t="str">
        <x:v>SF</x:v>
      </x:c>
      <x:c r="G704" s="7" t="str">
        <x:v>wetted surface</x:v>
      </x:c>
      <x:c r="H704" s="7" t="str"/>
      <x:c r="I704" s="7" t="str"/>
      <x:c r="J704" s="7" t="str"/>
      <x:c r="K704" s="7" t="str">
        <x:f>IF(J704="","OPEN",IF(OR(H704="",I704=""),"FAIL","PASS"))</x:f>
        <x:v>OPEN</x:v>
      </x:c>
    </x:row>
    <x:row r="705">
      <x:c r="B705" s="7" t="str">
        <x:v>CPN-PEA-C-Y3-SF-3</x:v>
      </x:c>
      <x:c r="C705" s="7" t="str">
        <x:v>PEA-C-Y3</x:v>
      </x:c>
      <x:c r="D705" s="7" t="str">
        <x:v>BLD-C</x:v>
      </x:c>
      <x:c r="E705" s="7" t="str">
        <x:v>BL-Y</x:v>
      </x:c>
      <x:c r="F705" s="7" t="str">
        <x:v>SF</x:v>
      </x:c>
      <x:c r="G705" s="7" t="str">
        <x:v>wetted surface</x:v>
      </x:c>
      <x:c r="H705" s="7" t="str"/>
      <x:c r="I705" s="7" t="str"/>
      <x:c r="J705" s="7" t="str"/>
      <x:c r="K705" s="7" t="str">
        <x:f>IF(J705="","OPEN",IF(OR(H705="",I705=""),"FAIL","PASS"))</x:f>
        <x:v>OPEN</x:v>
      </x:c>
    </x:row>
    <x:row r="706">
      <x:c r="B706" s="7" t="str">
        <x:v>CPN-PEA-C-Y3-SF-4</x:v>
      </x:c>
      <x:c r="C706" s="7" t="str">
        <x:v>PEA-C-Y3</x:v>
      </x:c>
      <x:c r="D706" s="7" t="str">
        <x:v>BLD-C</x:v>
      </x:c>
      <x:c r="E706" s="7" t="str">
        <x:v>BL-Y</x:v>
      </x:c>
      <x:c r="F706" s="7" t="str">
        <x:v>SF</x:v>
      </x:c>
      <x:c r="G706" s="7" t="str">
        <x:v>wetted surface</x:v>
      </x:c>
      <x:c r="H706" s="7" t="str"/>
      <x:c r="I706" s="7" t="str"/>
      <x:c r="J706" s="7" t="str"/>
      <x:c r="K706" s="7" t="str">
        <x:f>IF(J706="","OPEN",IF(OR(H706="",I706=""),"FAIL","PASS"))</x:f>
        <x:v>OPEN</x:v>
      </x:c>
    </x:row>
    <x:row r="707">
      <x:c r="B707" s="7" t="str">
        <x:v>CPN-PEA-C-Y3-SF-5</x:v>
      </x:c>
      <x:c r="C707" s="7" t="str">
        <x:v>PEA-C-Y3</x:v>
      </x:c>
      <x:c r="D707" s="7" t="str">
        <x:v>BLD-C</x:v>
      </x:c>
      <x:c r="E707" s="7" t="str">
        <x:v>BL-Y</x:v>
      </x:c>
      <x:c r="F707" s="7" t="str">
        <x:v>SF</x:v>
      </x:c>
      <x:c r="G707" s="7" t="str">
        <x:v>wetted surface</x:v>
      </x:c>
      <x:c r="H707" s="7" t="str"/>
      <x:c r="I707" s="7" t="str"/>
      <x:c r="J707" s="7" t="str"/>
      <x:c r="K707" s="7" t="str">
        <x:f>IF(J707="","OPEN",IF(OR(H707="",I707=""),"FAIL","PASS"))</x:f>
        <x:v>OPEN</x:v>
      </x:c>
    </x:row>
    <x:row r="708">
      <x:c r="B708" s="7" t="str">
        <x:v>CPN-PEA-C-Y3-SF-6</x:v>
      </x:c>
      <x:c r="C708" s="7" t="str">
        <x:v>PEA-C-Y3</x:v>
      </x:c>
      <x:c r="D708" s="7" t="str">
        <x:v>BLD-C</x:v>
      </x:c>
      <x:c r="E708" s="7" t="str">
        <x:v>BL-Y</x:v>
      </x:c>
      <x:c r="F708" s="7" t="str">
        <x:v>SF</x:v>
      </x:c>
      <x:c r="G708" s="7" t="str">
        <x:v>wetted surface</x:v>
      </x:c>
      <x:c r="H708" s="7" t="str"/>
      <x:c r="I708" s="7" t="str"/>
      <x:c r="J708" s="7" t="str"/>
      <x:c r="K708" s="7" t="str">
        <x:f>IF(J708="","OPEN",IF(OR(H708="",I708=""),"FAIL","PASS"))</x:f>
        <x:v>OPEN</x:v>
      </x:c>
    </x:row>
    <x:row r="709">
      <x:c r="B709" s="7" t="str">
        <x:v>CPN-PEA-C-Y3-SF-7</x:v>
      </x:c>
      <x:c r="C709" s="7" t="str">
        <x:v>PEA-C-Y3</x:v>
      </x:c>
      <x:c r="D709" s="7" t="str">
        <x:v>BLD-C</x:v>
      </x:c>
      <x:c r="E709" s="7" t="str">
        <x:v>BL-Y</x:v>
      </x:c>
      <x:c r="F709" s="7" t="str">
        <x:v>SF</x:v>
      </x:c>
      <x:c r="G709" s="7" t="str">
        <x:v>wetted surface</x:v>
      </x:c>
      <x:c r="H709" s="7" t="str"/>
      <x:c r="I709" s="7" t="str"/>
      <x:c r="J709" s="7" t="str"/>
      <x:c r="K709" s="7" t="str">
        <x:f>IF(J709="","OPEN",IF(OR(H709="",I709=""),"FAIL","PASS"))</x:f>
        <x:v>OPEN</x:v>
      </x:c>
    </x:row>
    <x:row r="710">
      <x:c r="B710" s="7" t="str">
        <x:v>CPN-PEA-C-Y3-SF-8</x:v>
      </x:c>
      <x:c r="C710" s="7" t="str">
        <x:v>PEA-C-Y3</x:v>
      </x:c>
      <x:c r="D710" s="7" t="str">
        <x:v>BLD-C</x:v>
      </x:c>
      <x:c r="E710" s="7" t="str">
        <x:v>BL-Y</x:v>
      </x:c>
      <x:c r="F710" s="7" t="str">
        <x:v>SF</x:v>
      </x:c>
      <x:c r="G710" s="7" t="str">
        <x:v>wetted surface</x:v>
      </x:c>
      <x:c r="H710" s="7" t="str"/>
      <x:c r="I710" s="7" t="str"/>
      <x:c r="J710" s="7" t="str"/>
      <x:c r="K710" s="7" t="str">
        <x:f>IF(J710="","OPEN",IF(OR(H710="",I710=""),"FAIL","PASS"))</x:f>
        <x:v>OPEN</x:v>
      </x:c>
    </x:row>
    <x:row r="711">
      <x:c r="B711" s="7" t="str">
        <x:v>CPN-PEA-C-Y3-CP-1</x:v>
      </x:c>
      <x:c r="C711" s="7" t="str">
        <x:v>PEA-C-Y3</x:v>
      </x:c>
      <x:c r="D711" s="7" t="str">
        <x:v>BLD-C</x:v>
      </x:c>
      <x:c r="E711" s="7" t="str">
        <x:v>BL-Y</x:v>
      </x:c>
      <x:c r="F711" s="7" t="str">
        <x:v>CP</x:v>
      </x:c>
      <x:c r="G711" s="7" t="str">
        <x:v>penetration</x:v>
      </x:c>
      <x:c r="H711" s="7" t="str"/>
      <x:c r="I711" s="7" t="str"/>
      <x:c r="J711" s="7" t="str"/>
      <x:c r="K711" s="7" t="str">
        <x:f>IF(J711="","OPEN",IF(OR(H711="",I711=""),"FAIL","PASS"))</x:f>
        <x:v>OPEN</x:v>
      </x:c>
    </x:row>
    <x:row r="712">
      <x:c r="B712" s="7" t="str">
        <x:v>CPN-PEA-C-Y3-CP-2</x:v>
      </x:c>
      <x:c r="C712" s="7" t="str">
        <x:v>PEA-C-Y3</x:v>
      </x:c>
      <x:c r="D712" s="7" t="str">
        <x:v>BLD-C</x:v>
      </x:c>
      <x:c r="E712" s="7" t="str">
        <x:v>BL-Y</x:v>
      </x:c>
      <x:c r="F712" s="7" t="str">
        <x:v>CP</x:v>
      </x:c>
      <x:c r="G712" s="7" t="str">
        <x:v>penetration</x:v>
      </x:c>
      <x:c r="H712" s="7" t="str"/>
      <x:c r="I712" s="7" t="str"/>
      <x:c r="J712" s="7" t="str"/>
      <x:c r="K712" s="7" t="str">
        <x:f>IF(J712="","OPEN",IF(OR(H712="",I712=""),"FAIL","PASS"))</x:f>
        <x:v>OPEN</x:v>
      </x:c>
    </x:row>
    <x:row r="713">
      <x:c r="B713" s="7" t="str">
        <x:v>CPN-PEA-C-Y3-CP-3</x:v>
      </x:c>
      <x:c r="C713" s="7" t="str">
        <x:v>PEA-C-Y3</x:v>
      </x:c>
      <x:c r="D713" s="7" t="str">
        <x:v>BLD-C</x:v>
      </x:c>
      <x:c r="E713" s="7" t="str">
        <x:v>BL-Y</x:v>
      </x:c>
      <x:c r="F713" s="7" t="str">
        <x:v>CP</x:v>
      </x:c>
      <x:c r="G713" s="7" t="str">
        <x:v>penetration</x:v>
      </x:c>
      <x:c r="H713" s="7" t="str"/>
      <x:c r="I713" s="7" t="str"/>
      <x:c r="J713" s="7" t="str"/>
      <x:c r="K713" s="7" t="str">
        <x:f>IF(J713="","OPEN",IF(OR(H713="",I713=""),"FAIL","PASS"))</x:f>
        <x:v>OPEN</x:v>
      </x:c>
    </x:row>
    <x:row r="714">
      <x:c r="B714" s="7" t="str">
        <x:v>CPN-PEA-C-Y3-CP-4</x:v>
      </x:c>
      <x:c r="C714" s="7" t="str">
        <x:v>PEA-C-Y3</x:v>
      </x:c>
      <x:c r="D714" s="7" t="str">
        <x:v>BLD-C</x:v>
      </x:c>
      <x:c r="E714" s="7" t="str">
        <x:v>BL-Y</x:v>
      </x:c>
      <x:c r="F714" s="7" t="str">
        <x:v>CP</x:v>
      </x:c>
      <x:c r="G714" s="7" t="str">
        <x:v>penetration</x:v>
      </x:c>
      <x:c r="H714" s="7" t="str"/>
      <x:c r="I714" s="7" t="str"/>
      <x:c r="J714" s="7" t="str"/>
      <x:c r="K714" s="7" t="str">
        <x:f>IF(J714="","OPEN",IF(OR(H714="",I714=""),"FAIL","PASS"))</x:f>
        <x:v>OPEN</x:v>
      </x:c>
    </x:row>
    <x:row r="715">
      <x:c r="B715" s="7" t="str">
        <x:v>CPN-PEA-C-Y3-CP-5</x:v>
      </x:c>
      <x:c r="C715" s="7" t="str">
        <x:v>PEA-C-Y3</x:v>
      </x:c>
      <x:c r="D715" s="7" t="str">
        <x:v>BLD-C</x:v>
      </x:c>
      <x:c r="E715" s="7" t="str">
        <x:v>BL-Y</x:v>
      </x:c>
      <x:c r="F715" s="7" t="str">
        <x:v>CP</x:v>
      </x:c>
      <x:c r="G715" s="7" t="str">
        <x:v>penetration</x:v>
      </x:c>
      <x:c r="H715" s="7" t="str"/>
      <x:c r="I715" s="7" t="str"/>
      <x:c r="J715" s="7" t="str"/>
      <x:c r="K715" s="7" t="str">
        <x:f>IF(J715="","OPEN",IF(OR(H715="",I715=""),"FAIL","PASS"))</x:f>
        <x:v>OPEN</x:v>
      </x:c>
    </x:row>
    <x:row r="716">
      <x:c r="B716" s="7" t="str">
        <x:v>CPN-PEA-C-Y3-CP-6</x:v>
      </x:c>
      <x:c r="C716" s="7" t="str">
        <x:v>PEA-C-Y3</x:v>
      </x:c>
      <x:c r="D716" s="7" t="str">
        <x:v>BLD-C</x:v>
      </x:c>
      <x:c r="E716" s="7" t="str">
        <x:v>BL-Y</x:v>
      </x:c>
      <x:c r="F716" s="7" t="str">
        <x:v>CP</x:v>
      </x:c>
      <x:c r="G716" s="7" t="str">
        <x:v>penetration</x:v>
      </x:c>
      <x:c r="H716" s="7" t="str"/>
      <x:c r="I716" s="7" t="str"/>
      <x:c r="J716" s="7" t="str"/>
      <x:c r="K716" s="7" t="str">
        <x:f>IF(J716="","OPEN",IF(OR(H716="",I716=""),"FAIL","PASS"))</x:f>
        <x:v>OPEN</x:v>
      </x:c>
    </x:row>
    <x:row r="717">
      <x:c r="B717" s="7" t="str">
        <x:v>CPN-PEA-C-Y3-CP-7</x:v>
      </x:c>
      <x:c r="C717" s="7" t="str">
        <x:v>PEA-C-Y3</x:v>
      </x:c>
      <x:c r="D717" s="7" t="str">
        <x:v>BLD-C</x:v>
      </x:c>
      <x:c r="E717" s="7" t="str">
        <x:v>BL-Y</x:v>
      </x:c>
      <x:c r="F717" s="7" t="str">
        <x:v>CP</x:v>
      </x:c>
      <x:c r="G717" s="7" t="str">
        <x:v>penetration</x:v>
      </x:c>
      <x:c r="H717" s="7" t="str"/>
      <x:c r="I717" s="7" t="str"/>
      <x:c r="J717" s="7" t="str"/>
      <x:c r="K717" s="7" t="str">
        <x:f>IF(J717="","OPEN",IF(OR(H717="",I717=""),"FAIL","PASS"))</x:f>
        <x:v>OPEN</x:v>
      </x:c>
    </x:row>
    <x:row r="718">
      <x:c r="B718" s="7" t="str">
        <x:v>CPN-PEA-C-Y3-CP-8</x:v>
      </x:c>
      <x:c r="C718" s="7" t="str">
        <x:v>PEA-C-Y3</x:v>
      </x:c>
      <x:c r="D718" s="7" t="str">
        <x:v>BLD-C</x:v>
      </x:c>
      <x:c r="E718" s="7" t="str">
        <x:v>BL-Y</x:v>
      </x:c>
      <x:c r="F718" s="7" t="str">
        <x:v>CP</x:v>
      </x:c>
      <x:c r="G718" s="7" t="str">
        <x:v>penetration</x:v>
      </x:c>
      <x:c r="H718" s="7" t="str"/>
      <x:c r="I718" s="7" t="str"/>
      <x:c r="J718" s="7" t="str"/>
      <x:c r="K718" s="7" t="str">
        <x:f>IF(J718="","OPEN",IF(OR(H718="",I718=""),"FAIL","PASS"))</x:f>
        <x:v>OPEN</x:v>
      </x:c>
    </x:row>
    <x:row r="719">
      <x:c r="B719" s="7" t="str">
        <x:v>CPN-PEA-C-Y3-SM-1</x:v>
      </x:c>
      <x:c r="C719" s="7" t="str">
        <x:v>PEA-C-Y3</x:v>
      </x:c>
      <x:c r="D719" s="7" t="str">
        <x:v>BLD-C</x:v>
      </x:c>
      <x:c r="E719" s="7" t="str">
        <x:v>BL-Y</x:v>
      </x:c>
      <x:c r="F719" s="7" t="str">
        <x:v>SM</x:v>
      </x:c>
      <x:c r="G719" s="7" t="str">
        <x:v>sensor mount and datum</x:v>
      </x:c>
      <x:c r="H719" s="7" t="str"/>
      <x:c r="I719" s="7" t="str"/>
      <x:c r="J719" s="7" t="str"/>
      <x:c r="K719" s="7" t="str">
        <x:f>IF(J719="","OPEN",IF(OR(H719="",I719=""),"FAIL","PASS"))</x:f>
        <x:v>OPEN</x:v>
      </x:c>
    </x:row>
    <x:row r="720">
      <x:c r="B720" s="7" t="str">
        <x:v>CPN-PEA-C-Y3-SM-2</x:v>
      </x:c>
      <x:c r="C720" s="7" t="str">
        <x:v>PEA-C-Y3</x:v>
      </x:c>
      <x:c r="D720" s="7" t="str">
        <x:v>BLD-C</x:v>
      </x:c>
      <x:c r="E720" s="7" t="str">
        <x:v>BL-Y</x:v>
      </x:c>
      <x:c r="F720" s="7" t="str">
        <x:v>SM</x:v>
      </x:c>
      <x:c r="G720" s="7" t="str">
        <x:v>sensor mount and datum</x:v>
      </x:c>
      <x:c r="H720" s="7" t="str"/>
      <x:c r="I720" s="7" t="str"/>
      <x:c r="J720" s="7" t="str"/>
      <x:c r="K720" s="7" t="str">
        <x:f>IF(J720="","OPEN",IF(OR(H720="",I720=""),"FAIL","PASS"))</x:f>
        <x:v>OPEN</x:v>
      </x:c>
    </x:row>
    <x:row r="721">
      <x:c r="B721" s="7" t="str">
        <x:v>CPN-PEA-C-Y3-SM-3</x:v>
      </x:c>
      <x:c r="C721" s="7" t="str">
        <x:v>PEA-C-Y3</x:v>
      </x:c>
      <x:c r="D721" s="7" t="str">
        <x:v>BLD-C</x:v>
      </x:c>
      <x:c r="E721" s="7" t="str">
        <x:v>BL-Y</x:v>
      </x:c>
      <x:c r="F721" s="7" t="str">
        <x:v>SM</x:v>
      </x:c>
      <x:c r="G721" s="7" t="str">
        <x:v>sensor mount and datum</x:v>
      </x:c>
      <x:c r="H721" s="7" t="str"/>
      <x:c r="I721" s="7" t="str"/>
      <x:c r="J721" s="7" t="str"/>
      <x:c r="K721" s="7" t="str">
        <x:f>IF(J721="","OPEN",IF(OR(H721="",I721=""),"FAIL","PASS"))</x:f>
        <x:v>OPEN</x:v>
      </x:c>
    </x:row>
    <x:row r="722">
      <x:c r="B722" s="7" t="str">
        <x:v>CPN-PEA-C-Y3-SM-4</x:v>
      </x:c>
      <x:c r="C722" s="7" t="str">
        <x:v>PEA-C-Y3</x:v>
      </x:c>
      <x:c r="D722" s="7" t="str">
        <x:v>BLD-C</x:v>
      </x:c>
      <x:c r="E722" s="7" t="str">
        <x:v>BL-Y</x:v>
      </x:c>
      <x:c r="F722" s="7" t="str">
        <x:v>SM</x:v>
      </x:c>
      <x:c r="G722" s="7" t="str">
        <x:v>sensor mount and datum</x:v>
      </x:c>
      <x:c r="H722" s="7" t="str"/>
      <x:c r="I722" s="7" t="str"/>
      <x:c r="J722" s="7" t="str"/>
      <x:c r="K722" s="7" t="str">
        <x:f>IF(J722="","OPEN",IF(OR(H722="",I722=""),"FAIL","PASS"))</x:f>
        <x:v>OPEN</x:v>
      </x:c>
    </x:row>
    <x:row r="723">
      <x:c r="B723" s="7" t="str">
        <x:v>CPN-PEA-C-Y3-SM-5</x:v>
      </x:c>
      <x:c r="C723" s="7" t="str">
        <x:v>PEA-C-Y3</x:v>
      </x:c>
      <x:c r="D723" s="7" t="str">
        <x:v>BLD-C</x:v>
      </x:c>
      <x:c r="E723" s="7" t="str">
        <x:v>BL-Y</x:v>
      </x:c>
      <x:c r="F723" s="7" t="str">
        <x:v>SM</x:v>
      </x:c>
      <x:c r="G723" s="7" t="str">
        <x:v>sensor mount and datum</x:v>
      </x:c>
      <x:c r="H723" s="7" t="str"/>
      <x:c r="I723" s="7" t="str"/>
      <x:c r="J723" s="7" t="str"/>
      <x:c r="K723" s="7" t="str">
        <x:f>IF(J723="","OPEN",IF(OR(H723="",I723=""),"FAIL","PASS"))</x:f>
        <x:v>OPEN</x:v>
      </x:c>
    </x:row>
    <x:row r="724">
      <x:c r="B724" s="7" t="str">
        <x:v>CPN-PEA-C-Y3-SM-6</x:v>
      </x:c>
      <x:c r="C724" s="7" t="str">
        <x:v>PEA-C-Y3</x:v>
      </x:c>
      <x:c r="D724" s="7" t="str">
        <x:v>BLD-C</x:v>
      </x:c>
      <x:c r="E724" s="7" t="str">
        <x:v>BL-Y</x:v>
      </x:c>
      <x:c r="F724" s="7" t="str">
        <x:v>SM</x:v>
      </x:c>
      <x:c r="G724" s="7" t="str">
        <x:v>sensor mount and datum</x:v>
      </x:c>
      <x:c r="H724" s="7" t="str"/>
      <x:c r="I724" s="7" t="str"/>
      <x:c r="J724" s="7" t="str"/>
      <x:c r="K724" s="7" t="str">
        <x:f>IF(J724="","OPEN",IF(OR(H724="",I724=""),"FAIL","PASS"))</x:f>
        <x:v>OPEN</x:v>
      </x:c>
    </x:row>
    <x:row r="725">
      <x:c r="B725" s="7" t="str">
        <x:v>CPN-PEA-C-Y3-SM-7</x:v>
      </x:c>
      <x:c r="C725" s="7" t="str">
        <x:v>PEA-C-Y3</x:v>
      </x:c>
      <x:c r="D725" s="7" t="str">
        <x:v>BLD-C</x:v>
      </x:c>
      <x:c r="E725" s="7" t="str">
        <x:v>BL-Y</x:v>
      </x:c>
      <x:c r="F725" s="7" t="str">
        <x:v>SM</x:v>
      </x:c>
      <x:c r="G725" s="7" t="str">
        <x:v>sensor mount and datum</x:v>
      </x:c>
      <x:c r="H725" s="7" t="str"/>
      <x:c r="I725" s="7" t="str"/>
      <x:c r="J725" s="7" t="str"/>
      <x:c r="K725" s="7" t="str">
        <x:f>IF(J725="","OPEN",IF(OR(H725="",I725=""),"FAIL","PASS"))</x:f>
        <x:v>OPEN</x:v>
      </x:c>
    </x:row>
    <x:row r="726">
      <x:c r="B726" s="7" t="str">
        <x:v>CPN-PEA-C-Y3-SM-8</x:v>
      </x:c>
      <x:c r="C726" s="7" t="str">
        <x:v>PEA-C-Y3</x:v>
      </x:c>
      <x:c r="D726" s="7" t="str">
        <x:v>BLD-C</x:v>
      </x:c>
      <x:c r="E726" s="7" t="str">
        <x:v>BL-Y</x:v>
      </x:c>
      <x:c r="F726" s="7" t="str">
        <x:v>SM</x:v>
      </x:c>
      <x:c r="G726" s="7" t="str">
        <x:v>sensor mount and datum</x:v>
      </x:c>
      <x:c r="H726" s="7" t="str"/>
      <x:c r="I726" s="7" t="str"/>
      <x:c r="J726" s="7" t="str"/>
      <x:c r="K726" s="7" t="str">
        <x:f>IF(J726="","OPEN",IF(OR(H726="",I726=""),"FAIL","PASS"))</x:f>
        <x:v>OPEN</x:v>
      </x:c>
    </x:row>
  </x:sheetData>
  <x:conditionalFormatting sqref="K7:K726">
    <x:cfRule type="containsText" dxfId="66" priority="1" operator="containsText" text="FAIL"/>
    <x:cfRule type="containsText" dxfId="67" priority="2" operator="containsText" text="BLOCKED"/>
    <x:cfRule type="containsText" dxfId="68" priority="3" operator="containsText" text="OPEN"/>
    <x:cfRule type="containsText" dxfId="69" priority="4" operator="containsText" text="DORMANT"/>
    <x:cfRule type="containsText" dxfId="70" priority="5" operator="containsText" text="REVIEW"/>
    <x:cfRule type="containsText" dxfId="71" priority="6" operator="containsText" text="PASS"/>
  </x:conditionalFormatting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31" hidden="0" customWidth="1"/>
    <x:col min="3" max="3" width="27" hidden="0" customWidth="1"/>
    <x:col min="4" max="4" width="17" hidden="0" customWidth="1"/>
    <x:col min="5" max="5" width="14" hidden="0" customWidth="1"/>
    <x:col min="6" max="6" width="13" hidden="0" customWidth="1"/>
    <x:col min="7" max="7" width="14" hidden="0" customWidth="1"/>
    <x:col min="8" max="8" width="53" hidden="0" customWidth="1"/>
    <x:col min="9" max="9" width="39" hidden="0" customWidth="1"/>
    <x:col min="10" max="10" width="29" hidden="0" customWidth="1"/>
    <x:col min="11" max="11" width="21" hidden="0" customWidth="1"/>
    <x:col min="12" max="12" width="14" hidden="0" customWidth="1"/>
  </x:cols>
  <x:sheetData>
    <x:row r="2">
      <x:c r="B2" s="1" t="str">
        <x:v>Three hundred sixty production examinations</x:v>
      </x:c>
    </x:row>
    <x:row r="3">
      <x:c r="B3" s="2" t="str">
        <x:v>Every critical section is examined. Production acceptance does not use a reduced AQL sample for safety functions.</x:v>
      </x:c>
    </x:row>
    <x:row r="6" ht="24" customHeight="1">
      <x:c r="B6" s="6" t="str">
        <x:v>Record</x:v>
      </x:c>
      <x:c r="C6" s="6" t="str">
        <x:v>Traveler</x:v>
      </x:c>
      <x:c r="D6" s="6" t="str">
        <x:v>Article</x:v>
      </x:c>
      <x:c r="E6" s="6" t="str">
        <x:v>Builder</x:v>
      </x:c>
      <x:c r="F6" s="6" t="str">
        <x:v>Lineage</x:v>
      </x:c>
      <x:c r="G6" s="6" t="str">
        <x:v>Section</x:v>
      </x:c>
      <x:c r="H6" s="6" t="str">
        <x:v>Required method</x:v>
      </x:c>
      <x:c r="I6" s="6" t="str">
        <x:v>Instrument and calibration</x:v>
      </x:c>
      <x:c r="J6" s="6" t="str">
        <x:v>Observed disposition</x:v>
      </x:c>
      <x:c r="K6" s="6" t="str">
        <x:v>Accepted UTC</x:v>
      </x:c>
      <x:c r="L6" s="6" t="str">
        <x:v>State</x:v>
      </x:c>
    </x:row>
    <x:row r="7" ht="38" customHeight="1">
      <x:c r="B7" s="7" t="str">
        <x:v>NDE-TRV-PEA-A-X1-01</x:v>
      </x:c>
      <x:c r="C7" s="7" t="str">
        <x:v>TRV-PEA-A-X1-01</x:v>
      </x:c>
      <x:c r="D7" s="7" t="str">
        <x:v>PEA-A-X1</x:v>
      </x:c>
      <x:c r="E7" s="7" t="str">
        <x:v>BLD-A</x:v>
      </x:c>
      <x:c r="F7" s="7" t="str">
        <x:v>BL-X</x:v>
      </x:c>
      <x:c r="G7" s="7" t="str">
        <x:v>CS-01</x:v>
      </x:c>
      <x:c r="H7" s="10" t="str">
        <x:v>mechanism-specific production inspection</x:v>
      </x:c>
      <x:c r="I7" s="7" t="str"/>
      <x:c r="J7" s="7" t="str"/>
      <x:c r="K7" s="7" t="str"/>
      <x:c r="L7" s="7" t="str">
        <x:f>IF(K7="","OPEN",IF(OR(I7="",J7=""),"FAIL","PASS"))</x:f>
        <x:v>OPEN</x:v>
      </x:c>
    </x:row>
    <x:row r="8" ht="38" customHeight="1">
      <x:c r="B8" s="7" t="str">
        <x:v>NDE-TRV-PEA-A-X1-02</x:v>
      </x:c>
      <x:c r="C8" s="7" t="str">
        <x:v>TRV-PEA-A-X1-02</x:v>
      </x:c>
      <x:c r="D8" s="7" t="str">
        <x:v>PEA-A-X1</x:v>
      </x:c>
      <x:c r="E8" s="7" t="str">
        <x:v>BLD-A</x:v>
      </x:c>
      <x:c r="F8" s="7" t="str">
        <x:v>BL-X</x:v>
      </x:c>
      <x:c r="G8" s="7" t="str">
        <x:v>CS-02</x:v>
      </x:c>
      <x:c r="H8" s="10" t="str">
        <x:v>mechanism-specific production inspection</x:v>
      </x:c>
      <x:c r="I8" s="7" t="str"/>
      <x:c r="J8" s="7" t="str"/>
      <x:c r="K8" s="7" t="str"/>
      <x:c r="L8" s="7" t="str">
        <x:f>IF(K8="","OPEN",IF(OR(I8="",J8=""),"FAIL","PASS"))</x:f>
        <x:v>OPEN</x:v>
      </x:c>
    </x:row>
    <x:row r="9" ht="38" customHeight="1">
      <x:c r="B9" s="7" t="str">
        <x:v>NDE-TRV-PEA-A-X1-03</x:v>
      </x:c>
      <x:c r="C9" s="7" t="str">
        <x:v>TRV-PEA-A-X1-03</x:v>
      </x:c>
      <x:c r="D9" s="7" t="str">
        <x:v>PEA-A-X1</x:v>
      </x:c>
      <x:c r="E9" s="7" t="str">
        <x:v>BLD-A</x:v>
      </x:c>
      <x:c r="F9" s="7" t="str">
        <x:v>BL-X</x:v>
      </x:c>
      <x:c r="G9" s="7" t="str">
        <x:v>CS-03</x:v>
      </x:c>
      <x:c r="H9" s="10" t="str">
        <x:v>mechanism-specific production inspection</x:v>
      </x:c>
      <x:c r="I9" s="7" t="str"/>
      <x:c r="J9" s="7" t="str"/>
      <x:c r="K9" s="7" t="str"/>
      <x:c r="L9" s="7" t="str">
        <x:f>IF(K9="","OPEN",IF(OR(I9="",J9=""),"FAIL","PASS"))</x:f>
        <x:v>OPEN</x:v>
      </x:c>
    </x:row>
    <x:row r="10" ht="38" customHeight="1">
      <x:c r="B10" s="7" t="str">
        <x:v>NDE-TRV-PEA-A-X1-04</x:v>
      </x:c>
      <x:c r="C10" s="7" t="str">
        <x:v>TRV-PEA-A-X1-04</x:v>
      </x:c>
      <x:c r="D10" s="7" t="str">
        <x:v>PEA-A-X1</x:v>
      </x:c>
      <x:c r="E10" s="7" t="str">
        <x:v>BLD-A</x:v>
      </x:c>
      <x:c r="F10" s="7" t="str">
        <x:v>BL-X</x:v>
      </x:c>
      <x:c r="G10" s="7" t="str">
        <x:v>CS-04</x:v>
      </x:c>
      <x:c r="H10" s="10" t="str">
        <x:v>mechanism-specific production inspection</x:v>
      </x:c>
      <x:c r="I10" s="7" t="str"/>
      <x:c r="J10" s="7" t="str"/>
      <x:c r="K10" s="7" t="str"/>
      <x:c r="L10" s="7" t="str">
        <x:f>IF(K10="","OPEN",IF(OR(I10="",J10=""),"FAIL","PASS"))</x:f>
        <x:v>OPEN</x:v>
      </x:c>
    </x:row>
    <x:row r="11" ht="38" customHeight="1">
      <x:c r="B11" s="7" t="str">
        <x:v>NDE-TRV-PEA-A-X1-05</x:v>
      </x:c>
      <x:c r="C11" s="7" t="str">
        <x:v>TRV-PEA-A-X1-05</x:v>
      </x:c>
      <x:c r="D11" s="7" t="str">
        <x:v>PEA-A-X1</x:v>
      </x:c>
      <x:c r="E11" s="7" t="str">
        <x:v>BLD-A</x:v>
      </x:c>
      <x:c r="F11" s="7" t="str">
        <x:v>BL-X</x:v>
      </x:c>
      <x:c r="G11" s="7" t="str">
        <x:v>CS-05</x:v>
      </x:c>
      <x:c r="H11" s="10" t="str">
        <x:v>mechanism-specific production inspection</x:v>
      </x:c>
      <x:c r="I11" s="7" t="str"/>
      <x:c r="J11" s="7" t="str"/>
      <x:c r="K11" s="7" t="str"/>
      <x:c r="L11" s="7" t="str">
        <x:f>IF(K11="","OPEN",IF(OR(I11="",J11=""),"FAIL","PASS"))</x:f>
        <x:v>OPEN</x:v>
      </x:c>
    </x:row>
    <x:row r="12" ht="38" customHeight="1">
      <x:c r="B12" s="7" t="str">
        <x:v>NDE-TRV-PEA-A-X1-06</x:v>
      </x:c>
      <x:c r="C12" s="7" t="str">
        <x:v>TRV-PEA-A-X1-06</x:v>
      </x:c>
      <x:c r="D12" s="7" t="str">
        <x:v>PEA-A-X1</x:v>
      </x:c>
      <x:c r="E12" s="7" t="str">
        <x:v>BLD-A</x:v>
      </x:c>
      <x:c r="F12" s="7" t="str">
        <x:v>BL-X</x:v>
      </x:c>
      <x:c r="G12" s="7" t="str">
        <x:v>CS-06</x:v>
      </x:c>
      <x:c r="H12" s="10" t="str">
        <x:v>mechanism-specific production inspection</x:v>
      </x:c>
      <x:c r="I12" s="7" t="str"/>
      <x:c r="J12" s="7" t="str"/>
      <x:c r="K12" s="7" t="str"/>
      <x:c r="L12" s="7" t="str">
        <x:f>IF(K12="","OPEN",IF(OR(I12="",J12=""),"FAIL","PASS"))</x:f>
        <x:v>OPEN</x:v>
      </x:c>
    </x:row>
    <x:row r="13" ht="38" customHeight="1">
      <x:c r="B13" s="7" t="str">
        <x:v>NDE-TRV-PEA-A-X1-07</x:v>
      </x:c>
      <x:c r="C13" s="7" t="str">
        <x:v>TRV-PEA-A-X1-07</x:v>
      </x:c>
      <x:c r="D13" s="7" t="str">
        <x:v>PEA-A-X1</x:v>
      </x:c>
      <x:c r="E13" s="7" t="str">
        <x:v>BLD-A</x:v>
      </x:c>
      <x:c r="F13" s="7" t="str">
        <x:v>BL-X</x:v>
      </x:c>
      <x:c r="G13" s="7" t="str">
        <x:v>CS-07</x:v>
      </x:c>
      <x:c r="H13" s="10" t="str">
        <x:v>mechanism-specific production inspection</x:v>
      </x:c>
      <x:c r="I13" s="7" t="str"/>
      <x:c r="J13" s="7" t="str"/>
      <x:c r="K13" s="7" t="str"/>
      <x:c r="L13" s="7" t="str">
        <x:f>IF(K13="","OPEN",IF(OR(I13="",J13=""),"FAIL","PASS"))</x:f>
        <x:v>OPEN</x:v>
      </x:c>
    </x:row>
    <x:row r="14" ht="38" customHeight="1">
      <x:c r="B14" s="7" t="str">
        <x:v>NDE-TRV-PEA-A-X1-08</x:v>
      </x:c>
      <x:c r="C14" s="7" t="str">
        <x:v>TRV-PEA-A-X1-08</x:v>
      </x:c>
      <x:c r="D14" s="7" t="str">
        <x:v>PEA-A-X1</x:v>
      </x:c>
      <x:c r="E14" s="7" t="str">
        <x:v>BLD-A</x:v>
      </x:c>
      <x:c r="F14" s="7" t="str">
        <x:v>BL-X</x:v>
      </x:c>
      <x:c r="G14" s="7" t="str">
        <x:v>CS-08</x:v>
      </x:c>
      <x:c r="H14" s="10" t="str">
        <x:v>mechanism-specific production inspection</x:v>
      </x:c>
      <x:c r="I14" s="7" t="str"/>
      <x:c r="J14" s="7" t="str"/>
      <x:c r="K14" s="7" t="str"/>
      <x:c r="L14" s="7" t="str">
        <x:f>IF(K14="","OPEN",IF(OR(I14="",J14=""),"FAIL","PASS"))</x:f>
        <x:v>OPEN</x:v>
      </x:c>
    </x:row>
    <x:row r="15" ht="38" customHeight="1">
      <x:c r="B15" s="7" t="str">
        <x:v>NDE-TRV-PEA-A-X1-09</x:v>
      </x:c>
      <x:c r="C15" s="7" t="str">
        <x:v>TRV-PEA-A-X1-09</x:v>
      </x:c>
      <x:c r="D15" s="7" t="str">
        <x:v>PEA-A-X1</x:v>
      </x:c>
      <x:c r="E15" s="7" t="str">
        <x:v>BLD-A</x:v>
      </x:c>
      <x:c r="F15" s="7" t="str">
        <x:v>BL-X</x:v>
      </x:c>
      <x:c r="G15" s="7" t="str">
        <x:v>CS-09</x:v>
      </x:c>
      <x:c r="H15" s="10" t="str">
        <x:v>mechanism-specific production inspection</x:v>
      </x:c>
      <x:c r="I15" s="7" t="str"/>
      <x:c r="J15" s="7" t="str"/>
      <x:c r="K15" s="7" t="str"/>
      <x:c r="L15" s="7" t="str">
        <x:f>IF(K15="","OPEN",IF(OR(I15="",J15=""),"FAIL","PASS"))</x:f>
        <x:v>OPEN</x:v>
      </x:c>
    </x:row>
    <x:row r="16" ht="38" customHeight="1">
      <x:c r="B16" s="7" t="str">
        <x:v>NDE-TRV-PEA-A-X1-10</x:v>
      </x:c>
      <x:c r="C16" s="7" t="str">
        <x:v>TRV-PEA-A-X1-10</x:v>
      </x:c>
      <x:c r="D16" s="7" t="str">
        <x:v>PEA-A-X1</x:v>
      </x:c>
      <x:c r="E16" s="7" t="str">
        <x:v>BLD-A</x:v>
      </x:c>
      <x:c r="F16" s="7" t="str">
        <x:v>BL-X</x:v>
      </x:c>
      <x:c r="G16" s="7" t="str">
        <x:v>CS-10</x:v>
      </x:c>
      <x:c r="H16" s="10" t="str">
        <x:v>mechanism-specific production inspection</x:v>
      </x:c>
      <x:c r="I16" s="7" t="str"/>
      <x:c r="J16" s="7" t="str"/>
      <x:c r="K16" s="7" t="str"/>
      <x:c r="L16" s="7" t="str">
        <x:f>IF(K16="","OPEN",IF(OR(I16="",J16=""),"FAIL","PASS"))</x:f>
        <x:v>OPEN</x:v>
      </x:c>
    </x:row>
    <x:row r="17" ht="38" customHeight="1">
      <x:c r="B17" s="7" t="str">
        <x:v>NDE-TRV-PEA-A-X1-11</x:v>
      </x:c>
      <x:c r="C17" s="7" t="str">
        <x:v>TRV-PEA-A-X1-11</x:v>
      </x:c>
      <x:c r="D17" s="7" t="str">
        <x:v>PEA-A-X1</x:v>
      </x:c>
      <x:c r="E17" s="7" t="str">
        <x:v>BLD-A</x:v>
      </x:c>
      <x:c r="F17" s="7" t="str">
        <x:v>BL-X</x:v>
      </x:c>
      <x:c r="G17" s="7" t="str">
        <x:v>CS-11</x:v>
      </x:c>
      <x:c r="H17" s="10" t="str">
        <x:v>mechanism-specific production inspection</x:v>
      </x:c>
      <x:c r="I17" s="7" t="str"/>
      <x:c r="J17" s="7" t="str"/>
      <x:c r="K17" s="7" t="str"/>
      <x:c r="L17" s="7" t="str">
        <x:f>IF(K17="","OPEN",IF(OR(I17="",J17=""),"FAIL","PASS"))</x:f>
        <x:v>OPEN</x:v>
      </x:c>
    </x:row>
    <x:row r="18" ht="38" customHeight="1">
      <x:c r="B18" s="7" t="str">
        <x:v>NDE-TRV-PEA-A-X1-12</x:v>
      </x:c>
      <x:c r="C18" s="7" t="str">
        <x:v>TRV-PEA-A-X1-12</x:v>
      </x:c>
      <x:c r="D18" s="7" t="str">
        <x:v>PEA-A-X1</x:v>
      </x:c>
      <x:c r="E18" s="7" t="str">
        <x:v>BLD-A</x:v>
      </x:c>
      <x:c r="F18" s="7" t="str">
        <x:v>BL-X</x:v>
      </x:c>
      <x:c r="G18" s="7" t="str">
        <x:v>CS-12</x:v>
      </x:c>
      <x:c r="H18" s="10" t="str">
        <x:v>mechanism-specific production inspection</x:v>
      </x:c>
      <x:c r="I18" s="7" t="str"/>
      <x:c r="J18" s="7" t="str"/>
      <x:c r="K18" s="7" t="str"/>
      <x:c r="L18" s="7" t="str">
        <x:f>IF(K18="","OPEN",IF(OR(I18="",J18=""),"FAIL","PASS"))</x:f>
        <x:v>OPEN</x:v>
      </x:c>
    </x:row>
    <x:row r="19" ht="38" customHeight="1">
      <x:c r="B19" s="7" t="str">
        <x:v>NDE-TRV-PEA-A-X1-13</x:v>
      </x:c>
      <x:c r="C19" s="7" t="str">
        <x:v>TRV-PEA-A-X1-13</x:v>
      </x:c>
      <x:c r="D19" s="7" t="str">
        <x:v>PEA-A-X1</x:v>
      </x:c>
      <x:c r="E19" s="7" t="str">
        <x:v>BLD-A</x:v>
      </x:c>
      <x:c r="F19" s="7" t="str">
        <x:v>BL-X</x:v>
      </x:c>
      <x:c r="G19" s="7" t="str">
        <x:v>CS-13</x:v>
      </x:c>
      <x:c r="H19" s="10" t="str">
        <x:v>mechanism-specific production inspection</x:v>
      </x:c>
      <x:c r="I19" s="7" t="str"/>
      <x:c r="J19" s="7" t="str"/>
      <x:c r="K19" s="7" t="str"/>
      <x:c r="L19" s="7" t="str">
        <x:f>IF(K19="","OPEN",IF(OR(I19="",J19=""),"FAIL","PASS"))</x:f>
        <x:v>OPEN</x:v>
      </x:c>
    </x:row>
    <x:row r="20" ht="38" customHeight="1">
      <x:c r="B20" s="7" t="str">
        <x:v>NDE-TRV-PEA-A-X1-14</x:v>
      </x:c>
      <x:c r="C20" s="7" t="str">
        <x:v>TRV-PEA-A-X1-14</x:v>
      </x:c>
      <x:c r="D20" s="7" t="str">
        <x:v>PEA-A-X1</x:v>
      </x:c>
      <x:c r="E20" s="7" t="str">
        <x:v>BLD-A</x:v>
      </x:c>
      <x:c r="F20" s="7" t="str">
        <x:v>BL-X</x:v>
      </x:c>
      <x:c r="G20" s="7" t="str">
        <x:v>CS-14</x:v>
      </x:c>
      <x:c r="H20" s="10" t="str">
        <x:v>mechanism-specific production inspection</x:v>
      </x:c>
      <x:c r="I20" s="7" t="str"/>
      <x:c r="J20" s="7" t="str"/>
      <x:c r="K20" s="7" t="str"/>
      <x:c r="L20" s="7" t="str">
        <x:f>IF(K20="","OPEN",IF(OR(I20="",J20=""),"FAIL","PASS"))</x:f>
        <x:v>OPEN</x:v>
      </x:c>
    </x:row>
    <x:row r="21" ht="38" customHeight="1">
      <x:c r="B21" s="7" t="str">
        <x:v>NDE-TRV-PEA-A-X1-15</x:v>
      </x:c>
      <x:c r="C21" s="7" t="str">
        <x:v>TRV-PEA-A-X1-15</x:v>
      </x:c>
      <x:c r="D21" s="7" t="str">
        <x:v>PEA-A-X1</x:v>
      </x:c>
      <x:c r="E21" s="7" t="str">
        <x:v>BLD-A</x:v>
      </x:c>
      <x:c r="F21" s="7" t="str">
        <x:v>BL-X</x:v>
      </x:c>
      <x:c r="G21" s="7" t="str">
        <x:v>CS-15</x:v>
      </x:c>
      <x:c r="H21" s="10" t="str">
        <x:v>mechanism-specific production inspection</x:v>
      </x:c>
      <x:c r="I21" s="7" t="str"/>
      <x:c r="J21" s="7" t="str"/>
      <x:c r="K21" s="7" t="str"/>
      <x:c r="L21" s="7" t="str">
        <x:f>IF(K21="","OPEN",IF(OR(I21="",J21=""),"FAIL","PASS"))</x:f>
        <x:v>OPEN</x:v>
      </x:c>
    </x:row>
    <x:row r="22" ht="38" customHeight="1">
      <x:c r="B22" s="7" t="str">
        <x:v>NDE-TRV-PEA-A-X1-16</x:v>
      </x:c>
      <x:c r="C22" s="7" t="str">
        <x:v>TRV-PEA-A-X1-16</x:v>
      </x:c>
      <x:c r="D22" s="7" t="str">
        <x:v>PEA-A-X1</x:v>
      </x:c>
      <x:c r="E22" s="7" t="str">
        <x:v>BLD-A</x:v>
      </x:c>
      <x:c r="F22" s="7" t="str">
        <x:v>BL-X</x:v>
      </x:c>
      <x:c r="G22" s="7" t="str">
        <x:v>CS-16</x:v>
      </x:c>
      <x:c r="H22" s="10" t="str">
        <x:v>mechanism-specific production inspection</x:v>
      </x:c>
      <x:c r="I22" s="7" t="str"/>
      <x:c r="J22" s="7" t="str"/>
      <x:c r="K22" s="7" t="str"/>
      <x:c r="L22" s="7" t="str">
        <x:f>IF(K22="","OPEN",IF(OR(I22="",J22=""),"FAIL","PASS"))</x:f>
        <x:v>OPEN</x:v>
      </x:c>
    </x:row>
    <x:row r="23" ht="38" customHeight="1">
      <x:c r="B23" s="7" t="str">
        <x:v>NDE-TRV-PEA-A-X1-17</x:v>
      </x:c>
      <x:c r="C23" s="7" t="str">
        <x:v>TRV-PEA-A-X1-17</x:v>
      </x:c>
      <x:c r="D23" s="7" t="str">
        <x:v>PEA-A-X1</x:v>
      </x:c>
      <x:c r="E23" s="7" t="str">
        <x:v>BLD-A</x:v>
      </x:c>
      <x:c r="F23" s="7" t="str">
        <x:v>BL-X</x:v>
      </x:c>
      <x:c r="G23" s="7" t="str">
        <x:v>CS-17</x:v>
      </x:c>
      <x:c r="H23" s="10" t="str">
        <x:v>mechanism-specific production inspection</x:v>
      </x:c>
      <x:c r="I23" s="7" t="str"/>
      <x:c r="J23" s="7" t="str"/>
      <x:c r="K23" s="7" t="str"/>
      <x:c r="L23" s="7" t="str">
        <x:f>IF(K23="","OPEN",IF(OR(I23="",J23=""),"FAIL","PASS"))</x:f>
        <x:v>OPEN</x:v>
      </x:c>
    </x:row>
    <x:row r="24" ht="38" customHeight="1">
      <x:c r="B24" s="7" t="str">
        <x:v>NDE-TRV-PEA-A-X1-18</x:v>
      </x:c>
      <x:c r="C24" s="7" t="str">
        <x:v>TRV-PEA-A-X1-18</x:v>
      </x:c>
      <x:c r="D24" s="7" t="str">
        <x:v>PEA-A-X1</x:v>
      </x:c>
      <x:c r="E24" s="7" t="str">
        <x:v>BLD-A</x:v>
      </x:c>
      <x:c r="F24" s="7" t="str">
        <x:v>BL-X</x:v>
      </x:c>
      <x:c r="G24" s="7" t="str">
        <x:v>CS-18</x:v>
      </x:c>
      <x:c r="H24" s="10" t="str">
        <x:v>mechanism-specific production inspection</x:v>
      </x:c>
      <x:c r="I24" s="7" t="str"/>
      <x:c r="J24" s="7" t="str"/>
      <x:c r="K24" s="7" t="str"/>
      <x:c r="L24" s="7" t="str">
        <x:f>IF(K24="","OPEN",IF(OR(I24="",J24=""),"FAIL","PASS"))</x:f>
        <x:v>OPEN</x:v>
      </x:c>
    </x:row>
    <x:row r="25" ht="38" customHeight="1">
      <x:c r="B25" s="7" t="str">
        <x:v>NDE-TRV-PEA-A-X1-19</x:v>
      </x:c>
      <x:c r="C25" s="7" t="str">
        <x:v>TRV-PEA-A-X1-19</x:v>
      </x:c>
      <x:c r="D25" s="7" t="str">
        <x:v>PEA-A-X1</x:v>
      </x:c>
      <x:c r="E25" s="7" t="str">
        <x:v>BLD-A</x:v>
      </x:c>
      <x:c r="F25" s="7" t="str">
        <x:v>BL-X</x:v>
      </x:c>
      <x:c r="G25" s="7" t="str">
        <x:v>CS-19</x:v>
      </x:c>
      <x:c r="H25" s="10" t="str">
        <x:v>mechanism-specific production inspection</x:v>
      </x:c>
      <x:c r="I25" s="7" t="str"/>
      <x:c r="J25" s="7" t="str"/>
      <x:c r="K25" s="7" t="str"/>
      <x:c r="L25" s="7" t="str">
        <x:f>IF(K25="","OPEN",IF(OR(I25="",J25=""),"FAIL","PASS"))</x:f>
        <x:v>OPEN</x:v>
      </x:c>
    </x:row>
    <x:row r="26" ht="38" customHeight="1">
      <x:c r="B26" s="7" t="str">
        <x:v>NDE-TRV-PEA-A-X1-20</x:v>
      </x:c>
      <x:c r="C26" s="7" t="str">
        <x:v>TRV-PEA-A-X1-20</x:v>
      </x:c>
      <x:c r="D26" s="7" t="str">
        <x:v>PEA-A-X1</x:v>
      </x:c>
      <x:c r="E26" s="7" t="str">
        <x:v>BLD-A</x:v>
      </x:c>
      <x:c r="F26" s="7" t="str">
        <x:v>BL-X</x:v>
      </x:c>
      <x:c r="G26" s="7" t="str">
        <x:v>CS-20</x:v>
      </x:c>
      <x:c r="H26" s="10" t="str">
        <x:v>mechanism-specific production inspection</x:v>
      </x:c>
      <x:c r="I26" s="7" t="str"/>
      <x:c r="J26" s="7" t="str"/>
      <x:c r="K26" s="7" t="str"/>
      <x:c r="L26" s="7" t="str">
        <x:f>IF(K26="","OPEN",IF(OR(I26="",J26=""),"FAIL","PASS"))</x:f>
        <x:v>OPEN</x:v>
      </x:c>
    </x:row>
    <x:row r="27" ht="38" customHeight="1">
      <x:c r="B27" s="7" t="str">
        <x:v>NDE-TRV-PEA-A-X2-01</x:v>
      </x:c>
      <x:c r="C27" s="7" t="str">
        <x:v>TRV-PEA-A-X2-01</x:v>
      </x:c>
      <x:c r="D27" s="7" t="str">
        <x:v>PEA-A-X2</x:v>
      </x:c>
      <x:c r="E27" s="7" t="str">
        <x:v>BLD-A</x:v>
      </x:c>
      <x:c r="F27" s="7" t="str">
        <x:v>BL-X</x:v>
      </x:c>
      <x:c r="G27" s="7" t="str">
        <x:v>CS-01</x:v>
      </x:c>
      <x:c r="H27" s="10" t="str">
        <x:v>mechanism-specific production inspection</x:v>
      </x:c>
      <x:c r="I27" s="7" t="str"/>
      <x:c r="J27" s="7" t="str"/>
      <x:c r="K27" s="7" t="str"/>
      <x:c r="L27" s="7" t="str">
        <x:f>IF(K27="","OPEN",IF(OR(I27="",J27=""),"FAIL","PASS"))</x:f>
        <x:v>OPEN</x:v>
      </x:c>
    </x:row>
    <x:row r="28" ht="38" customHeight="1">
      <x:c r="B28" s="7" t="str">
        <x:v>NDE-TRV-PEA-A-X2-02</x:v>
      </x:c>
      <x:c r="C28" s="7" t="str">
        <x:v>TRV-PEA-A-X2-02</x:v>
      </x:c>
      <x:c r="D28" s="7" t="str">
        <x:v>PEA-A-X2</x:v>
      </x:c>
      <x:c r="E28" s="7" t="str">
        <x:v>BLD-A</x:v>
      </x:c>
      <x:c r="F28" s="7" t="str">
        <x:v>BL-X</x:v>
      </x:c>
      <x:c r="G28" s="7" t="str">
        <x:v>CS-02</x:v>
      </x:c>
      <x:c r="H28" s="10" t="str">
        <x:v>mechanism-specific production inspection</x:v>
      </x:c>
      <x:c r="I28" s="7" t="str"/>
      <x:c r="J28" s="7" t="str"/>
      <x:c r="K28" s="7" t="str"/>
      <x:c r="L28" s="7" t="str">
        <x:f>IF(K28="","OPEN",IF(OR(I28="",J28=""),"FAIL","PASS"))</x:f>
        <x:v>OPEN</x:v>
      </x:c>
    </x:row>
    <x:row r="29" ht="38" customHeight="1">
      <x:c r="B29" s="7" t="str">
        <x:v>NDE-TRV-PEA-A-X2-03</x:v>
      </x:c>
      <x:c r="C29" s="7" t="str">
        <x:v>TRV-PEA-A-X2-03</x:v>
      </x:c>
      <x:c r="D29" s="7" t="str">
        <x:v>PEA-A-X2</x:v>
      </x:c>
      <x:c r="E29" s="7" t="str">
        <x:v>BLD-A</x:v>
      </x:c>
      <x:c r="F29" s="7" t="str">
        <x:v>BL-X</x:v>
      </x:c>
      <x:c r="G29" s="7" t="str">
        <x:v>CS-03</x:v>
      </x:c>
      <x:c r="H29" s="10" t="str">
        <x:v>mechanism-specific production inspection</x:v>
      </x:c>
      <x:c r="I29" s="7" t="str"/>
      <x:c r="J29" s="7" t="str"/>
      <x:c r="K29" s="7" t="str"/>
      <x:c r="L29" s="7" t="str">
        <x:f>IF(K29="","OPEN",IF(OR(I29="",J29=""),"FAIL","PASS"))</x:f>
        <x:v>OPEN</x:v>
      </x:c>
    </x:row>
    <x:row r="30" ht="38" customHeight="1">
      <x:c r="B30" s="7" t="str">
        <x:v>NDE-TRV-PEA-A-X2-04</x:v>
      </x:c>
      <x:c r="C30" s="7" t="str">
        <x:v>TRV-PEA-A-X2-04</x:v>
      </x:c>
      <x:c r="D30" s="7" t="str">
        <x:v>PEA-A-X2</x:v>
      </x:c>
      <x:c r="E30" s="7" t="str">
        <x:v>BLD-A</x:v>
      </x:c>
      <x:c r="F30" s="7" t="str">
        <x:v>BL-X</x:v>
      </x:c>
      <x:c r="G30" s="7" t="str">
        <x:v>CS-04</x:v>
      </x:c>
      <x:c r="H30" s="10" t="str">
        <x:v>mechanism-specific production inspection</x:v>
      </x:c>
      <x:c r="I30" s="7" t="str"/>
      <x:c r="J30" s="7" t="str"/>
      <x:c r="K30" s="7" t="str"/>
      <x:c r="L30" s="7" t="str">
        <x:f>IF(K30="","OPEN",IF(OR(I30="",J30=""),"FAIL","PASS"))</x:f>
        <x:v>OPEN</x:v>
      </x:c>
    </x:row>
    <x:row r="31" ht="38" customHeight="1">
      <x:c r="B31" s="7" t="str">
        <x:v>NDE-TRV-PEA-A-X2-05</x:v>
      </x:c>
      <x:c r="C31" s="7" t="str">
        <x:v>TRV-PEA-A-X2-05</x:v>
      </x:c>
      <x:c r="D31" s="7" t="str">
        <x:v>PEA-A-X2</x:v>
      </x:c>
      <x:c r="E31" s="7" t="str">
        <x:v>BLD-A</x:v>
      </x:c>
      <x:c r="F31" s="7" t="str">
        <x:v>BL-X</x:v>
      </x:c>
      <x:c r="G31" s="7" t="str">
        <x:v>CS-05</x:v>
      </x:c>
      <x:c r="H31" s="10" t="str">
        <x:v>mechanism-specific production inspection</x:v>
      </x:c>
      <x:c r="I31" s="7" t="str"/>
      <x:c r="J31" s="7" t="str"/>
      <x:c r="K31" s="7" t="str"/>
      <x:c r="L31" s="7" t="str">
        <x:f>IF(K31="","OPEN",IF(OR(I31="",J31=""),"FAIL","PASS"))</x:f>
        <x:v>OPEN</x:v>
      </x:c>
    </x:row>
    <x:row r="32" ht="38" customHeight="1">
      <x:c r="B32" s="7" t="str">
        <x:v>NDE-TRV-PEA-A-X2-06</x:v>
      </x:c>
      <x:c r="C32" s="7" t="str">
        <x:v>TRV-PEA-A-X2-06</x:v>
      </x:c>
      <x:c r="D32" s="7" t="str">
        <x:v>PEA-A-X2</x:v>
      </x:c>
      <x:c r="E32" s="7" t="str">
        <x:v>BLD-A</x:v>
      </x:c>
      <x:c r="F32" s="7" t="str">
        <x:v>BL-X</x:v>
      </x:c>
      <x:c r="G32" s="7" t="str">
        <x:v>CS-06</x:v>
      </x:c>
      <x:c r="H32" s="10" t="str">
        <x:v>mechanism-specific production inspection</x:v>
      </x:c>
      <x:c r="I32" s="7" t="str"/>
      <x:c r="J32" s="7" t="str"/>
      <x:c r="K32" s="7" t="str"/>
      <x:c r="L32" s="7" t="str">
        <x:f>IF(K32="","OPEN",IF(OR(I32="",J32=""),"FAIL","PASS"))</x:f>
        <x:v>OPEN</x:v>
      </x:c>
    </x:row>
    <x:row r="33" ht="38" customHeight="1">
      <x:c r="B33" s="7" t="str">
        <x:v>NDE-TRV-PEA-A-X2-07</x:v>
      </x:c>
      <x:c r="C33" s="7" t="str">
        <x:v>TRV-PEA-A-X2-07</x:v>
      </x:c>
      <x:c r="D33" s="7" t="str">
        <x:v>PEA-A-X2</x:v>
      </x:c>
      <x:c r="E33" s="7" t="str">
        <x:v>BLD-A</x:v>
      </x:c>
      <x:c r="F33" s="7" t="str">
        <x:v>BL-X</x:v>
      </x:c>
      <x:c r="G33" s="7" t="str">
        <x:v>CS-07</x:v>
      </x:c>
      <x:c r="H33" s="10" t="str">
        <x:v>mechanism-specific production inspection</x:v>
      </x:c>
      <x:c r="I33" s="7" t="str"/>
      <x:c r="J33" s="7" t="str"/>
      <x:c r="K33" s="7" t="str"/>
      <x:c r="L33" s="7" t="str">
        <x:f>IF(K33="","OPEN",IF(OR(I33="",J33=""),"FAIL","PASS"))</x:f>
        <x:v>OPEN</x:v>
      </x:c>
    </x:row>
    <x:row r="34" ht="38" customHeight="1">
      <x:c r="B34" s="7" t="str">
        <x:v>NDE-TRV-PEA-A-X2-08</x:v>
      </x:c>
      <x:c r="C34" s="7" t="str">
        <x:v>TRV-PEA-A-X2-08</x:v>
      </x:c>
      <x:c r="D34" s="7" t="str">
        <x:v>PEA-A-X2</x:v>
      </x:c>
      <x:c r="E34" s="7" t="str">
        <x:v>BLD-A</x:v>
      </x:c>
      <x:c r="F34" s="7" t="str">
        <x:v>BL-X</x:v>
      </x:c>
      <x:c r="G34" s="7" t="str">
        <x:v>CS-08</x:v>
      </x:c>
      <x:c r="H34" s="10" t="str">
        <x:v>mechanism-specific production inspection</x:v>
      </x:c>
      <x:c r="I34" s="7" t="str"/>
      <x:c r="J34" s="7" t="str"/>
      <x:c r="K34" s="7" t="str"/>
      <x:c r="L34" s="7" t="str">
        <x:f>IF(K34="","OPEN",IF(OR(I34="",J34=""),"FAIL","PASS"))</x:f>
        <x:v>OPEN</x:v>
      </x:c>
    </x:row>
    <x:row r="35" ht="38" customHeight="1">
      <x:c r="B35" s="7" t="str">
        <x:v>NDE-TRV-PEA-A-X2-09</x:v>
      </x:c>
      <x:c r="C35" s="7" t="str">
        <x:v>TRV-PEA-A-X2-09</x:v>
      </x:c>
      <x:c r="D35" s="7" t="str">
        <x:v>PEA-A-X2</x:v>
      </x:c>
      <x:c r="E35" s="7" t="str">
        <x:v>BLD-A</x:v>
      </x:c>
      <x:c r="F35" s="7" t="str">
        <x:v>BL-X</x:v>
      </x:c>
      <x:c r="G35" s="7" t="str">
        <x:v>CS-09</x:v>
      </x:c>
      <x:c r="H35" s="10" t="str">
        <x:v>mechanism-specific production inspection</x:v>
      </x:c>
      <x:c r="I35" s="7" t="str"/>
      <x:c r="J35" s="7" t="str"/>
      <x:c r="K35" s="7" t="str"/>
      <x:c r="L35" s="7" t="str">
        <x:f>IF(K35="","OPEN",IF(OR(I35="",J35=""),"FAIL","PASS"))</x:f>
        <x:v>OPEN</x:v>
      </x:c>
    </x:row>
    <x:row r="36" ht="38" customHeight="1">
      <x:c r="B36" s="7" t="str">
        <x:v>NDE-TRV-PEA-A-X2-10</x:v>
      </x:c>
      <x:c r="C36" s="7" t="str">
        <x:v>TRV-PEA-A-X2-10</x:v>
      </x:c>
      <x:c r="D36" s="7" t="str">
        <x:v>PEA-A-X2</x:v>
      </x:c>
      <x:c r="E36" s="7" t="str">
        <x:v>BLD-A</x:v>
      </x:c>
      <x:c r="F36" s="7" t="str">
        <x:v>BL-X</x:v>
      </x:c>
      <x:c r="G36" s="7" t="str">
        <x:v>CS-10</x:v>
      </x:c>
      <x:c r="H36" s="10" t="str">
        <x:v>mechanism-specific production inspection</x:v>
      </x:c>
      <x:c r="I36" s="7" t="str"/>
      <x:c r="J36" s="7" t="str"/>
      <x:c r="K36" s="7" t="str"/>
      <x:c r="L36" s="7" t="str">
        <x:f>IF(K36="","OPEN",IF(OR(I36="",J36=""),"FAIL","PASS"))</x:f>
        <x:v>OPEN</x:v>
      </x:c>
    </x:row>
    <x:row r="37" ht="38" customHeight="1">
      <x:c r="B37" s="7" t="str">
        <x:v>NDE-TRV-PEA-A-X2-11</x:v>
      </x:c>
      <x:c r="C37" s="7" t="str">
        <x:v>TRV-PEA-A-X2-11</x:v>
      </x:c>
      <x:c r="D37" s="7" t="str">
        <x:v>PEA-A-X2</x:v>
      </x:c>
      <x:c r="E37" s="7" t="str">
        <x:v>BLD-A</x:v>
      </x:c>
      <x:c r="F37" s="7" t="str">
        <x:v>BL-X</x:v>
      </x:c>
      <x:c r="G37" s="7" t="str">
        <x:v>CS-11</x:v>
      </x:c>
      <x:c r="H37" s="10" t="str">
        <x:v>mechanism-specific production inspection</x:v>
      </x:c>
      <x:c r="I37" s="7" t="str"/>
      <x:c r="J37" s="7" t="str"/>
      <x:c r="K37" s="7" t="str"/>
      <x:c r="L37" s="7" t="str">
        <x:f>IF(K37="","OPEN",IF(OR(I37="",J37=""),"FAIL","PASS"))</x:f>
        <x:v>OPEN</x:v>
      </x:c>
    </x:row>
    <x:row r="38" ht="38" customHeight="1">
      <x:c r="B38" s="7" t="str">
        <x:v>NDE-TRV-PEA-A-X2-12</x:v>
      </x:c>
      <x:c r="C38" s="7" t="str">
        <x:v>TRV-PEA-A-X2-12</x:v>
      </x:c>
      <x:c r="D38" s="7" t="str">
        <x:v>PEA-A-X2</x:v>
      </x:c>
      <x:c r="E38" s="7" t="str">
        <x:v>BLD-A</x:v>
      </x:c>
      <x:c r="F38" s="7" t="str">
        <x:v>BL-X</x:v>
      </x:c>
      <x:c r="G38" s="7" t="str">
        <x:v>CS-12</x:v>
      </x:c>
      <x:c r="H38" s="10" t="str">
        <x:v>mechanism-specific production inspection</x:v>
      </x:c>
      <x:c r="I38" s="7" t="str"/>
      <x:c r="J38" s="7" t="str"/>
      <x:c r="K38" s="7" t="str"/>
      <x:c r="L38" s="7" t="str">
        <x:f>IF(K38="","OPEN",IF(OR(I38="",J38=""),"FAIL","PASS"))</x:f>
        <x:v>OPEN</x:v>
      </x:c>
    </x:row>
    <x:row r="39" ht="38" customHeight="1">
      <x:c r="B39" s="7" t="str">
        <x:v>NDE-TRV-PEA-A-X2-13</x:v>
      </x:c>
      <x:c r="C39" s="7" t="str">
        <x:v>TRV-PEA-A-X2-13</x:v>
      </x:c>
      <x:c r="D39" s="7" t="str">
        <x:v>PEA-A-X2</x:v>
      </x:c>
      <x:c r="E39" s="7" t="str">
        <x:v>BLD-A</x:v>
      </x:c>
      <x:c r="F39" s="7" t="str">
        <x:v>BL-X</x:v>
      </x:c>
      <x:c r="G39" s="7" t="str">
        <x:v>CS-13</x:v>
      </x:c>
      <x:c r="H39" s="10" t="str">
        <x:v>mechanism-specific production inspection</x:v>
      </x:c>
      <x:c r="I39" s="7" t="str"/>
      <x:c r="J39" s="7" t="str"/>
      <x:c r="K39" s="7" t="str"/>
      <x:c r="L39" s="7" t="str">
        <x:f>IF(K39="","OPEN",IF(OR(I39="",J39=""),"FAIL","PASS"))</x:f>
        <x:v>OPEN</x:v>
      </x:c>
    </x:row>
    <x:row r="40" ht="38" customHeight="1">
      <x:c r="B40" s="7" t="str">
        <x:v>NDE-TRV-PEA-A-X2-14</x:v>
      </x:c>
      <x:c r="C40" s="7" t="str">
        <x:v>TRV-PEA-A-X2-14</x:v>
      </x:c>
      <x:c r="D40" s="7" t="str">
        <x:v>PEA-A-X2</x:v>
      </x:c>
      <x:c r="E40" s="7" t="str">
        <x:v>BLD-A</x:v>
      </x:c>
      <x:c r="F40" s="7" t="str">
        <x:v>BL-X</x:v>
      </x:c>
      <x:c r="G40" s="7" t="str">
        <x:v>CS-14</x:v>
      </x:c>
      <x:c r="H40" s="10" t="str">
        <x:v>mechanism-specific production inspection</x:v>
      </x:c>
      <x:c r="I40" s="7" t="str"/>
      <x:c r="J40" s="7" t="str"/>
      <x:c r="K40" s="7" t="str"/>
      <x:c r="L40" s="7" t="str">
        <x:f>IF(K40="","OPEN",IF(OR(I40="",J40=""),"FAIL","PASS"))</x:f>
        <x:v>OPEN</x:v>
      </x:c>
    </x:row>
    <x:row r="41" ht="38" customHeight="1">
      <x:c r="B41" s="7" t="str">
        <x:v>NDE-TRV-PEA-A-X2-15</x:v>
      </x:c>
      <x:c r="C41" s="7" t="str">
        <x:v>TRV-PEA-A-X2-15</x:v>
      </x:c>
      <x:c r="D41" s="7" t="str">
        <x:v>PEA-A-X2</x:v>
      </x:c>
      <x:c r="E41" s="7" t="str">
        <x:v>BLD-A</x:v>
      </x:c>
      <x:c r="F41" s="7" t="str">
        <x:v>BL-X</x:v>
      </x:c>
      <x:c r="G41" s="7" t="str">
        <x:v>CS-15</x:v>
      </x:c>
      <x:c r="H41" s="10" t="str">
        <x:v>mechanism-specific production inspection</x:v>
      </x:c>
      <x:c r="I41" s="7" t="str"/>
      <x:c r="J41" s="7" t="str"/>
      <x:c r="K41" s="7" t="str"/>
      <x:c r="L41" s="7" t="str">
        <x:f>IF(K41="","OPEN",IF(OR(I41="",J41=""),"FAIL","PASS"))</x:f>
        <x:v>OPEN</x:v>
      </x:c>
    </x:row>
    <x:row r="42" ht="38" customHeight="1">
      <x:c r="B42" s="7" t="str">
        <x:v>NDE-TRV-PEA-A-X2-16</x:v>
      </x:c>
      <x:c r="C42" s="7" t="str">
        <x:v>TRV-PEA-A-X2-16</x:v>
      </x:c>
      <x:c r="D42" s="7" t="str">
        <x:v>PEA-A-X2</x:v>
      </x:c>
      <x:c r="E42" s="7" t="str">
        <x:v>BLD-A</x:v>
      </x:c>
      <x:c r="F42" s="7" t="str">
        <x:v>BL-X</x:v>
      </x:c>
      <x:c r="G42" s="7" t="str">
        <x:v>CS-16</x:v>
      </x:c>
      <x:c r="H42" s="10" t="str">
        <x:v>mechanism-specific production inspection</x:v>
      </x:c>
      <x:c r="I42" s="7" t="str"/>
      <x:c r="J42" s="7" t="str"/>
      <x:c r="K42" s="7" t="str"/>
      <x:c r="L42" s="7" t="str">
        <x:f>IF(K42="","OPEN",IF(OR(I42="",J42=""),"FAIL","PASS"))</x:f>
        <x:v>OPEN</x:v>
      </x:c>
    </x:row>
    <x:row r="43" ht="38" customHeight="1">
      <x:c r="B43" s="7" t="str">
        <x:v>NDE-TRV-PEA-A-X2-17</x:v>
      </x:c>
      <x:c r="C43" s="7" t="str">
        <x:v>TRV-PEA-A-X2-17</x:v>
      </x:c>
      <x:c r="D43" s="7" t="str">
        <x:v>PEA-A-X2</x:v>
      </x:c>
      <x:c r="E43" s="7" t="str">
        <x:v>BLD-A</x:v>
      </x:c>
      <x:c r="F43" s="7" t="str">
        <x:v>BL-X</x:v>
      </x:c>
      <x:c r="G43" s="7" t="str">
        <x:v>CS-17</x:v>
      </x:c>
      <x:c r="H43" s="10" t="str">
        <x:v>mechanism-specific production inspection</x:v>
      </x:c>
      <x:c r="I43" s="7" t="str"/>
      <x:c r="J43" s="7" t="str"/>
      <x:c r="K43" s="7" t="str"/>
      <x:c r="L43" s="7" t="str">
        <x:f>IF(K43="","OPEN",IF(OR(I43="",J43=""),"FAIL","PASS"))</x:f>
        <x:v>OPEN</x:v>
      </x:c>
    </x:row>
    <x:row r="44" ht="38" customHeight="1">
      <x:c r="B44" s="7" t="str">
        <x:v>NDE-TRV-PEA-A-X2-18</x:v>
      </x:c>
      <x:c r="C44" s="7" t="str">
        <x:v>TRV-PEA-A-X2-18</x:v>
      </x:c>
      <x:c r="D44" s="7" t="str">
        <x:v>PEA-A-X2</x:v>
      </x:c>
      <x:c r="E44" s="7" t="str">
        <x:v>BLD-A</x:v>
      </x:c>
      <x:c r="F44" s="7" t="str">
        <x:v>BL-X</x:v>
      </x:c>
      <x:c r="G44" s="7" t="str">
        <x:v>CS-18</x:v>
      </x:c>
      <x:c r="H44" s="10" t="str">
        <x:v>mechanism-specific production inspection</x:v>
      </x:c>
      <x:c r="I44" s="7" t="str"/>
      <x:c r="J44" s="7" t="str"/>
      <x:c r="K44" s="7" t="str"/>
      <x:c r="L44" s="7" t="str">
        <x:f>IF(K44="","OPEN",IF(OR(I44="",J44=""),"FAIL","PASS"))</x:f>
        <x:v>OPEN</x:v>
      </x:c>
    </x:row>
    <x:row r="45" ht="38" customHeight="1">
      <x:c r="B45" s="7" t="str">
        <x:v>NDE-TRV-PEA-A-X2-19</x:v>
      </x:c>
      <x:c r="C45" s="7" t="str">
        <x:v>TRV-PEA-A-X2-19</x:v>
      </x:c>
      <x:c r="D45" s="7" t="str">
        <x:v>PEA-A-X2</x:v>
      </x:c>
      <x:c r="E45" s="7" t="str">
        <x:v>BLD-A</x:v>
      </x:c>
      <x:c r="F45" s="7" t="str">
        <x:v>BL-X</x:v>
      </x:c>
      <x:c r="G45" s="7" t="str">
        <x:v>CS-19</x:v>
      </x:c>
      <x:c r="H45" s="10" t="str">
        <x:v>mechanism-specific production inspection</x:v>
      </x:c>
      <x:c r="I45" s="7" t="str"/>
      <x:c r="J45" s="7" t="str"/>
      <x:c r="K45" s="7" t="str"/>
      <x:c r="L45" s="7" t="str">
        <x:f>IF(K45="","OPEN",IF(OR(I45="",J45=""),"FAIL","PASS"))</x:f>
        <x:v>OPEN</x:v>
      </x:c>
    </x:row>
    <x:row r="46" ht="38" customHeight="1">
      <x:c r="B46" s="7" t="str">
        <x:v>NDE-TRV-PEA-A-X2-20</x:v>
      </x:c>
      <x:c r="C46" s="7" t="str">
        <x:v>TRV-PEA-A-X2-20</x:v>
      </x:c>
      <x:c r="D46" s="7" t="str">
        <x:v>PEA-A-X2</x:v>
      </x:c>
      <x:c r="E46" s="7" t="str">
        <x:v>BLD-A</x:v>
      </x:c>
      <x:c r="F46" s="7" t="str">
        <x:v>BL-X</x:v>
      </x:c>
      <x:c r="G46" s="7" t="str">
        <x:v>CS-20</x:v>
      </x:c>
      <x:c r="H46" s="10" t="str">
        <x:v>mechanism-specific production inspection</x:v>
      </x:c>
      <x:c r="I46" s="7" t="str"/>
      <x:c r="J46" s="7" t="str"/>
      <x:c r="K46" s="7" t="str"/>
      <x:c r="L46" s="7" t="str">
        <x:f>IF(K46="","OPEN",IF(OR(I46="",J46=""),"FAIL","PASS"))</x:f>
        <x:v>OPEN</x:v>
      </x:c>
    </x:row>
    <x:row r="47" ht="38" customHeight="1">
      <x:c r="B47" s="7" t="str">
        <x:v>NDE-TRV-PEA-A-X3-01</x:v>
      </x:c>
      <x:c r="C47" s="7" t="str">
        <x:v>TRV-PEA-A-X3-01</x:v>
      </x:c>
      <x:c r="D47" s="7" t="str">
        <x:v>PEA-A-X3</x:v>
      </x:c>
      <x:c r="E47" s="7" t="str">
        <x:v>BLD-A</x:v>
      </x:c>
      <x:c r="F47" s="7" t="str">
        <x:v>BL-X</x:v>
      </x:c>
      <x:c r="G47" s="7" t="str">
        <x:v>CS-01</x:v>
      </x:c>
      <x:c r="H47" s="10" t="str">
        <x:v>mechanism-specific production inspection</x:v>
      </x:c>
      <x:c r="I47" s="7" t="str"/>
      <x:c r="J47" s="7" t="str"/>
      <x:c r="K47" s="7" t="str"/>
      <x:c r="L47" s="7" t="str">
        <x:f>IF(K47="","OPEN",IF(OR(I47="",J47=""),"FAIL","PASS"))</x:f>
        <x:v>OPEN</x:v>
      </x:c>
    </x:row>
    <x:row r="48" ht="38" customHeight="1">
      <x:c r="B48" s="7" t="str">
        <x:v>NDE-TRV-PEA-A-X3-02</x:v>
      </x:c>
      <x:c r="C48" s="7" t="str">
        <x:v>TRV-PEA-A-X3-02</x:v>
      </x:c>
      <x:c r="D48" s="7" t="str">
        <x:v>PEA-A-X3</x:v>
      </x:c>
      <x:c r="E48" s="7" t="str">
        <x:v>BLD-A</x:v>
      </x:c>
      <x:c r="F48" s="7" t="str">
        <x:v>BL-X</x:v>
      </x:c>
      <x:c r="G48" s="7" t="str">
        <x:v>CS-02</x:v>
      </x:c>
      <x:c r="H48" s="10" t="str">
        <x:v>mechanism-specific production inspection</x:v>
      </x:c>
      <x:c r="I48" s="7" t="str"/>
      <x:c r="J48" s="7" t="str"/>
      <x:c r="K48" s="7" t="str"/>
      <x:c r="L48" s="7" t="str">
        <x:f>IF(K48="","OPEN",IF(OR(I48="",J48=""),"FAIL","PASS"))</x:f>
        <x:v>OPEN</x:v>
      </x:c>
    </x:row>
    <x:row r="49" ht="38" customHeight="1">
      <x:c r="B49" s="7" t="str">
        <x:v>NDE-TRV-PEA-A-X3-03</x:v>
      </x:c>
      <x:c r="C49" s="7" t="str">
        <x:v>TRV-PEA-A-X3-03</x:v>
      </x:c>
      <x:c r="D49" s="7" t="str">
        <x:v>PEA-A-X3</x:v>
      </x:c>
      <x:c r="E49" s="7" t="str">
        <x:v>BLD-A</x:v>
      </x:c>
      <x:c r="F49" s="7" t="str">
        <x:v>BL-X</x:v>
      </x:c>
      <x:c r="G49" s="7" t="str">
        <x:v>CS-03</x:v>
      </x:c>
      <x:c r="H49" s="10" t="str">
        <x:v>mechanism-specific production inspection</x:v>
      </x:c>
      <x:c r="I49" s="7" t="str"/>
      <x:c r="J49" s="7" t="str"/>
      <x:c r="K49" s="7" t="str"/>
      <x:c r="L49" s="7" t="str">
        <x:f>IF(K49="","OPEN",IF(OR(I49="",J49=""),"FAIL","PASS"))</x:f>
        <x:v>OPEN</x:v>
      </x:c>
    </x:row>
    <x:row r="50" ht="38" customHeight="1">
      <x:c r="B50" s="7" t="str">
        <x:v>NDE-TRV-PEA-A-X3-04</x:v>
      </x:c>
      <x:c r="C50" s="7" t="str">
        <x:v>TRV-PEA-A-X3-04</x:v>
      </x:c>
      <x:c r="D50" s="7" t="str">
        <x:v>PEA-A-X3</x:v>
      </x:c>
      <x:c r="E50" s="7" t="str">
        <x:v>BLD-A</x:v>
      </x:c>
      <x:c r="F50" s="7" t="str">
        <x:v>BL-X</x:v>
      </x:c>
      <x:c r="G50" s="7" t="str">
        <x:v>CS-04</x:v>
      </x:c>
      <x:c r="H50" s="10" t="str">
        <x:v>mechanism-specific production inspection</x:v>
      </x:c>
      <x:c r="I50" s="7" t="str"/>
      <x:c r="J50" s="7" t="str"/>
      <x:c r="K50" s="7" t="str"/>
      <x:c r="L50" s="7" t="str">
        <x:f>IF(K50="","OPEN",IF(OR(I50="",J50=""),"FAIL","PASS"))</x:f>
        <x:v>OPEN</x:v>
      </x:c>
    </x:row>
    <x:row r="51" ht="38" customHeight="1">
      <x:c r="B51" s="7" t="str">
        <x:v>NDE-TRV-PEA-A-X3-05</x:v>
      </x:c>
      <x:c r="C51" s="7" t="str">
        <x:v>TRV-PEA-A-X3-05</x:v>
      </x:c>
      <x:c r="D51" s="7" t="str">
        <x:v>PEA-A-X3</x:v>
      </x:c>
      <x:c r="E51" s="7" t="str">
        <x:v>BLD-A</x:v>
      </x:c>
      <x:c r="F51" s="7" t="str">
        <x:v>BL-X</x:v>
      </x:c>
      <x:c r="G51" s="7" t="str">
        <x:v>CS-05</x:v>
      </x:c>
      <x:c r="H51" s="10" t="str">
        <x:v>mechanism-specific production inspection</x:v>
      </x:c>
      <x:c r="I51" s="7" t="str"/>
      <x:c r="J51" s="7" t="str"/>
      <x:c r="K51" s="7" t="str"/>
      <x:c r="L51" s="7" t="str">
        <x:f>IF(K51="","OPEN",IF(OR(I51="",J51=""),"FAIL","PASS"))</x:f>
        <x:v>OPEN</x:v>
      </x:c>
    </x:row>
    <x:row r="52" ht="38" customHeight="1">
      <x:c r="B52" s="7" t="str">
        <x:v>NDE-TRV-PEA-A-X3-06</x:v>
      </x:c>
      <x:c r="C52" s="7" t="str">
        <x:v>TRV-PEA-A-X3-06</x:v>
      </x:c>
      <x:c r="D52" s="7" t="str">
        <x:v>PEA-A-X3</x:v>
      </x:c>
      <x:c r="E52" s="7" t="str">
        <x:v>BLD-A</x:v>
      </x:c>
      <x:c r="F52" s="7" t="str">
        <x:v>BL-X</x:v>
      </x:c>
      <x:c r="G52" s="7" t="str">
        <x:v>CS-06</x:v>
      </x:c>
      <x:c r="H52" s="10" t="str">
        <x:v>mechanism-specific production inspection</x:v>
      </x:c>
      <x:c r="I52" s="7" t="str"/>
      <x:c r="J52" s="7" t="str"/>
      <x:c r="K52" s="7" t="str"/>
      <x:c r="L52" s="7" t="str">
        <x:f>IF(K52="","OPEN",IF(OR(I52="",J52=""),"FAIL","PASS"))</x:f>
        <x:v>OPEN</x:v>
      </x:c>
    </x:row>
    <x:row r="53" ht="38" customHeight="1">
      <x:c r="B53" s="7" t="str">
        <x:v>NDE-TRV-PEA-A-X3-07</x:v>
      </x:c>
      <x:c r="C53" s="7" t="str">
        <x:v>TRV-PEA-A-X3-07</x:v>
      </x:c>
      <x:c r="D53" s="7" t="str">
        <x:v>PEA-A-X3</x:v>
      </x:c>
      <x:c r="E53" s="7" t="str">
        <x:v>BLD-A</x:v>
      </x:c>
      <x:c r="F53" s="7" t="str">
        <x:v>BL-X</x:v>
      </x:c>
      <x:c r="G53" s="7" t="str">
        <x:v>CS-07</x:v>
      </x:c>
      <x:c r="H53" s="10" t="str">
        <x:v>mechanism-specific production inspection</x:v>
      </x:c>
      <x:c r="I53" s="7" t="str"/>
      <x:c r="J53" s="7" t="str"/>
      <x:c r="K53" s="7" t="str"/>
      <x:c r="L53" s="7" t="str">
        <x:f>IF(K53="","OPEN",IF(OR(I53="",J53=""),"FAIL","PASS"))</x:f>
        <x:v>OPEN</x:v>
      </x:c>
    </x:row>
    <x:row r="54" ht="38" customHeight="1">
      <x:c r="B54" s="7" t="str">
        <x:v>NDE-TRV-PEA-A-X3-08</x:v>
      </x:c>
      <x:c r="C54" s="7" t="str">
        <x:v>TRV-PEA-A-X3-08</x:v>
      </x:c>
      <x:c r="D54" s="7" t="str">
        <x:v>PEA-A-X3</x:v>
      </x:c>
      <x:c r="E54" s="7" t="str">
        <x:v>BLD-A</x:v>
      </x:c>
      <x:c r="F54" s="7" t="str">
        <x:v>BL-X</x:v>
      </x:c>
      <x:c r="G54" s="7" t="str">
        <x:v>CS-08</x:v>
      </x:c>
      <x:c r="H54" s="10" t="str">
        <x:v>mechanism-specific production inspection</x:v>
      </x:c>
      <x:c r="I54" s="7" t="str"/>
      <x:c r="J54" s="7" t="str"/>
      <x:c r="K54" s="7" t="str"/>
      <x:c r="L54" s="7" t="str">
        <x:f>IF(K54="","OPEN",IF(OR(I54="",J54=""),"FAIL","PASS"))</x:f>
        <x:v>OPEN</x:v>
      </x:c>
    </x:row>
    <x:row r="55" ht="38" customHeight="1">
      <x:c r="B55" s="7" t="str">
        <x:v>NDE-TRV-PEA-A-X3-09</x:v>
      </x:c>
      <x:c r="C55" s="7" t="str">
        <x:v>TRV-PEA-A-X3-09</x:v>
      </x:c>
      <x:c r="D55" s="7" t="str">
        <x:v>PEA-A-X3</x:v>
      </x:c>
      <x:c r="E55" s="7" t="str">
        <x:v>BLD-A</x:v>
      </x:c>
      <x:c r="F55" s="7" t="str">
        <x:v>BL-X</x:v>
      </x:c>
      <x:c r="G55" s="7" t="str">
        <x:v>CS-09</x:v>
      </x:c>
      <x:c r="H55" s="10" t="str">
        <x:v>mechanism-specific production inspection</x:v>
      </x:c>
      <x:c r="I55" s="7" t="str"/>
      <x:c r="J55" s="7" t="str"/>
      <x:c r="K55" s="7" t="str"/>
      <x:c r="L55" s="7" t="str">
        <x:f>IF(K55="","OPEN",IF(OR(I55="",J55=""),"FAIL","PASS"))</x:f>
        <x:v>OPEN</x:v>
      </x:c>
    </x:row>
    <x:row r="56" ht="38" customHeight="1">
      <x:c r="B56" s="7" t="str">
        <x:v>NDE-TRV-PEA-A-X3-10</x:v>
      </x:c>
      <x:c r="C56" s="7" t="str">
        <x:v>TRV-PEA-A-X3-10</x:v>
      </x:c>
      <x:c r="D56" s="7" t="str">
        <x:v>PEA-A-X3</x:v>
      </x:c>
      <x:c r="E56" s="7" t="str">
        <x:v>BLD-A</x:v>
      </x:c>
      <x:c r="F56" s="7" t="str">
        <x:v>BL-X</x:v>
      </x:c>
      <x:c r="G56" s="7" t="str">
        <x:v>CS-10</x:v>
      </x:c>
      <x:c r="H56" s="10" t="str">
        <x:v>mechanism-specific production inspection</x:v>
      </x:c>
      <x:c r="I56" s="7" t="str"/>
      <x:c r="J56" s="7" t="str"/>
      <x:c r="K56" s="7" t="str"/>
      <x:c r="L56" s="7" t="str">
        <x:f>IF(K56="","OPEN",IF(OR(I56="",J56=""),"FAIL","PASS"))</x:f>
        <x:v>OPEN</x:v>
      </x:c>
    </x:row>
    <x:row r="57" ht="38" customHeight="1">
      <x:c r="B57" s="7" t="str">
        <x:v>NDE-TRV-PEA-A-X3-11</x:v>
      </x:c>
      <x:c r="C57" s="7" t="str">
        <x:v>TRV-PEA-A-X3-11</x:v>
      </x:c>
      <x:c r="D57" s="7" t="str">
        <x:v>PEA-A-X3</x:v>
      </x:c>
      <x:c r="E57" s="7" t="str">
        <x:v>BLD-A</x:v>
      </x:c>
      <x:c r="F57" s="7" t="str">
        <x:v>BL-X</x:v>
      </x:c>
      <x:c r="G57" s="7" t="str">
        <x:v>CS-11</x:v>
      </x:c>
      <x:c r="H57" s="10" t="str">
        <x:v>mechanism-specific production inspection</x:v>
      </x:c>
      <x:c r="I57" s="7" t="str"/>
      <x:c r="J57" s="7" t="str"/>
      <x:c r="K57" s="7" t="str"/>
      <x:c r="L57" s="7" t="str">
        <x:f>IF(K57="","OPEN",IF(OR(I57="",J57=""),"FAIL","PASS"))</x:f>
        <x:v>OPEN</x:v>
      </x:c>
    </x:row>
    <x:row r="58" ht="38" customHeight="1">
      <x:c r="B58" s="7" t="str">
        <x:v>NDE-TRV-PEA-A-X3-12</x:v>
      </x:c>
      <x:c r="C58" s="7" t="str">
        <x:v>TRV-PEA-A-X3-12</x:v>
      </x:c>
      <x:c r="D58" s="7" t="str">
        <x:v>PEA-A-X3</x:v>
      </x:c>
      <x:c r="E58" s="7" t="str">
        <x:v>BLD-A</x:v>
      </x:c>
      <x:c r="F58" s="7" t="str">
        <x:v>BL-X</x:v>
      </x:c>
      <x:c r="G58" s="7" t="str">
        <x:v>CS-12</x:v>
      </x:c>
      <x:c r="H58" s="10" t="str">
        <x:v>mechanism-specific production inspection</x:v>
      </x:c>
      <x:c r="I58" s="7" t="str"/>
      <x:c r="J58" s="7" t="str"/>
      <x:c r="K58" s="7" t="str"/>
      <x:c r="L58" s="7" t="str">
        <x:f>IF(K58="","OPEN",IF(OR(I58="",J58=""),"FAIL","PASS"))</x:f>
        <x:v>OPEN</x:v>
      </x:c>
    </x:row>
    <x:row r="59" ht="38" customHeight="1">
      <x:c r="B59" s="7" t="str">
        <x:v>NDE-TRV-PEA-A-X3-13</x:v>
      </x:c>
      <x:c r="C59" s="7" t="str">
        <x:v>TRV-PEA-A-X3-13</x:v>
      </x:c>
      <x:c r="D59" s="7" t="str">
        <x:v>PEA-A-X3</x:v>
      </x:c>
      <x:c r="E59" s="7" t="str">
        <x:v>BLD-A</x:v>
      </x:c>
      <x:c r="F59" s="7" t="str">
        <x:v>BL-X</x:v>
      </x:c>
      <x:c r="G59" s="7" t="str">
        <x:v>CS-13</x:v>
      </x:c>
      <x:c r="H59" s="10" t="str">
        <x:v>mechanism-specific production inspection</x:v>
      </x:c>
      <x:c r="I59" s="7" t="str"/>
      <x:c r="J59" s="7" t="str"/>
      <x:c r="K59" s="7" t="str"/>
      <x:c r="L59" s="7" t="str">
        <x:f>IF(K59="","OPEN",IF(OR(I59="",J59=""),"FAIL","PASS"))</x:f>
        <x:v>OPEN</x:v>
      </x:c>
    </x:row>
    <x:row r="60" ht="38" customHeight="1">
      <x:c r="B60" s="7" t="str">
        <x:v>NDE-TRV-PEA-A-X3-14</x:v>
      </x:c>
      <x:c r="C60" s="7" t="str">
        <x:v>TRV-PEA-A-X3-14</x:v>
      </x:c>
      <x:c r="D60" s="7" t="str">
        <x:v>PEA-A-X3</x:v>
      </x:c>
      <x:c r="E60" s="7" t="str">
        <x:v>BLD-A</x:v>
      </x:c>
      <x:c r="F60" s="7" t="str">
        <x:v>BL-X</x:v>
      </x:c>
      <x:c r="G60" s="7" t="str">
        <x:v>CS-14</x:v>
      </x:c>
      <x:c r="H60" s="10" t="str">
        <x:v>mechanism-specific production inspection</x:v>
      </x:c>
      <x:c r="I60" s="7" t="str"/>
      <x:c r="J60" s="7" t="str"/>
      <x:c r="K60" s="7" t="str"/>
      <x:c r="L60" s="7" t="str">
        <x:f>IF(K60="","OPEN",IF(OR(I60="",J60=""),"FAIL","PASS"))</x:f>
        <x:v>OPEN</x:v>
      </x:c>
    </x:row>
    <x:row r="61" ht="38" customHeight="1">
      <x:c r="B61" s="7" t="str">
        <x:v>NDE-TRV-PEA-A-X3-15</x:v>
      </x:c>
      <x:c r="C61" s="7" t="str">
        <x:v>TRV-PEA-A-X3-15</x:v>
      </x:c>
      <x:c r="D61" s="7" t="str">
        <x:v>PEA-A-X3</x:v>
      </x:c>
      <x:c r="E61" s="7" t="str">
        <x:v>BLD-A</x:v>
      </x:c>
      <x:c r="F61" s="7" t="str">
        <x:v>BL-X</x:v>
      </x:c>
      <x:c r="G61" s="7" t="str">
        <x:v>CS-15</x:v>
      </x:c>
      <x:c r="H61" s="10" t="str">
        <x:v>mechanism-specific production inspection</x:v>
      </x:c>
      <x:c r="I61" s="7" t="str"/>
      <x:c r="J61" s="7" t="str"/>
      <x:c r="K61" s="7" t="str"/>
      <x:c r="L61" s="7" t="str">
        <x:f>IF(K61="","OPEN",IF(OR(I61="",J61=""),"FAIL","PASS"))</x:f>
        <x:v>OPEN</x:v>
      </x:c>
    </x:row>
    <x:row r="62" ht="38" customHeight="1">
      <x:c r="B62" s="7" t="str">
        <x:v>NDE-TRV-PEA-A-X3-16</x:v>
      </x:c>
      <x:c r="C62" s="7" t="str">
        <x:v>TRV-PEA-A-X3-16</x:v>
      </x:c>
      <x:c r="D62" s="7" t="str">
        <x:v>PEA-A-X3</x:v>
      </x:c>
      <x:c r="E62" s="7" t="str">
        <x:v>BLD-A</x:v>
      </x:c>
      <x:c r="F62" s="7" t="str">
        <x:v>BL-X</x:v>
      </x:c>
      <x:c r="G62" s="7" t="str">
        <x:v>CS-16</x:v>
      </x:c>
      <x:c r="H62" s="10" t="str">
        <x:v>mechanism-specific production inspection</x:v>
      </x:c>
      <x:c r="I62" s="7" t="str"/>
      <x:c r="J62" s="7" t="str"/>
      <x:c r="K62" s="7" t="str"/>
      <x:c r="L62" s="7" t="str">
        <x:f>IF(K62="","OPEN",IF(OR(I62="",J62=""),"FAIL","PASS"))</x:f>
        <x:v>OPEN</x:v>
      </x:c>
    </x:row>
    <x:row r="63" ht="38" customHeight="1">
      <x:c r="B63" s="7" t="str">
        <x:v>NDE-TRV-PEA-A-X3-17</x:v>
      </x:c>
      <x:c r="C63" s="7" t="str">
        <x:v>TRV-PEA-A-X3-17</x:v>
      </x:c>
      <x:c r="D63" s="7" t="str">
        <x:v>PEA-A-X3</x:v>
      </x:c>
      <x:c r="E63" s="7" t="str">
        <x:v>BLD-A</x:v>
      </x:c>
      <x:c r="F63" s="7" t="str">
        <x:v>BL-X</x:v>
      </x:c>
      <x:c r="G63" s="7" t="str">
        <x:v>CS-17</x:v>
      </x:c>
      <x:c r="H63" s="10" t="str">
        <x:v>mechanism-specific production inspection</x:v>
      </x:c>
      <x:c r="I63" s="7" t="str"/>
      <x:c r="J63" s="7" t="str"/>
      <x:c r="K63" s="7" t="str"/>
      <x:c r="L63" s="7" t="str">
        <x:f>IF(K63="","OPEN",IF(OR(I63="",J63=""),"FAIL","PASS"))</x:f>
        <x:v>OPEN</x:v>
      </x:c>
    </x:row>
    <x:row r="64" ht="38" customHeight="1">
      <x:c r="B64" s="7" t="str">
        <x:v>NDE-TRV-PEA-A-X3-18</x:v>
      </x:c>
      <x:c r="C64" s="7" t="str">
        <x:v>TRV-PEA-A-X3-18</x:v>
      </x:c>
      <x:c r="D64" s="7" t="str">
        <x:v>PEA-A-X3</x:v>
      </x:c>
      <x:c r="E64" s="7" t="str">
        <x:v>BLD-A</x:v>
      </x:c>
      <x:c r="F64" s="7" t="str">
        <x:v>BL-X</x:v>
      </x:c>
      <x:c r="G64" s="7" t="str">
        <x:v>CS-18</x:v>
      </x:c>
      <x:c r="H64" s="10" t="str">
        <x:v>mechanism-specific production inspection</x:v>
      </x:c>
      <x:c r="I64" s="7" t="str"/>
      <x:c r="J64" s="7" t="str"/>
      <x:c r="K64" s="7" t="str"/>
      <x:c r="L64" s="7" t="str">
        <x:f>IF(K64="","OPEN",IF(OR(I64="",J64=""),"FAIL","PASS"))</x:f>
        <x:v>OPEN</x:v>
      </x:c>
    </x:row>
    <x:row r="65" ht="38" customHeight="1">
      <x:c r="B65" s="7" t="str">
        <x:v>NDE-TRV-PEA-A-X3-19</x:v>
      </x:c>
      <x:c r="C65" s="7" t="str">
        <x:v>TRV-PEA-A-X3-19</x:v>
      </x:c>
      <x:c r="D65" s="7" t="str">
        <x:v>PEA-A-X3</x:v>
      </x:c>
      <x:c r="E65" s="7" t="str">
        <x:v>BLD-A</x:v>
      </x:c>
      <x:c r="F65" s="7" t="str">
        <x:v>BL-X</x:v>
      </x:c>
      <x:c r="G65" s="7" t="str">
        <x:v>CS-19</x:v>
      </x:c>
      <x:c r="H65" s="10" t="str">
        <x:v>mechanism-specific production inspection</x:v>
      </x:c>
      <x:c r="I65" s="7" t="str"/>
      <x:c r="J65" s="7" t="str"/>
      <x:c r="K65" s="7" t="str"/>
      <x:c r="L65" s="7" t="str">
        <x:f>IF(K65="","OPEN",IF(OR(I65="",J65=""),"FAIL","PASS"))</x:f>
        <x:v>OPEN</x:v>
      </x:c>
    </x:row>
    <x:row r="66" ht="38" customHeight="1">
      <x:c r="B66" s="7" t="str">
        <x:v>NDE-TRV-PEA-A-X3-20</x:v>
      </x:c>
      <x:c r="C66" s="7" t="str">
        <x:v>TRV-PEA-A-X3-20</x:v>
      </x:c>
      <x:c r="D66" s="7" t="str">
        <x:v>PEA-A-X3</x:v>
      </x:c>
      <x:c r="E66" s="7" t="str">
        <x:v>BLD-A</x:v>
      </x:c>
      <x:c r="F66" s="7" t="str">
        <x:v>BL-X</x:v>
      </x:c>
      <x:c r="G66" s="7" t="str">
        <x:v>CS-20</x:v>
      </x:c>
      <x:c r="H66" s="10" t="str">
        <x:v>mechanism-specific production inspection</x:v>
      </x:c>
      <x:c r="I66" s="7" t="str"/>
      <x:c r="J66" s="7" t="str"/>
      <x:c r="K66" s="7" t="str"/>
      <x:c r="L66" s="7" t="str">
        <x:f>IF(K66="","OPEN",IF(OR(I66="",J66=""),"FAIL","PASS"))</x:f>
        <x:v>OPEN</x:v>
      </x:c>
    </x:row>
    <x:row r="67" ht="38" customHeight="1">
      <x:c r="B67" s="7" t="str">
        <x:v>NDE-TRV-PEA-A-Y1-01</x:v>
      </x:c>
      <x:c r="C67" s="7" t="str">
        <x:v>TRV-PEA-A-Y1-01</x:v>
      </x:c>
      <x:c r="D67" s="7" t="str">
        <x:v>PEA-A-Y1</x:v>
      </x:c>
      <x:c r="E67" s="7" t="str">
        <x:v>BLD-A</x:v>
      </x:c>
      <x:c r="F67" s="7" t="str">
        <x:v>BL-Y</x:v>
      </x:c>
      <x:c r="G67" s="7" t="str">
        <x:v>CS-01</x:v>
      </x:c>
      <x:c r="H67" s="10" t="str">
        <x:v>mechanism-specific production inspection</x:v>
      </x:c>
      <x:c r="I67" s="7" t="str"/>
      <x:c r="J67" s="7" t="str"/>
      <x:c r="K67" s="7" t="str"/>
      <x:c r="L67" s="7" t="str">
        <x:f>IF(K67="","OPEN",IF(OR(I67="",J67=""),"FAIL","PASS"))</x:f>
        <x:v>OPEN</x:v>
      </x:c>
    </x:row>
    <x:row r="68" ht="38" customHeight="1">
      <x:c r="B68" s="7" t="str">
        <x:v>NDE-TRV-PEA-A-Y1-02</x:v>
      </x:c>
      <x:c r="C68" s="7" t="str">
        <x:v>TRV-PEA-A-Y1-02</x:v>
      </x:c>
      <x:c r="D68" s="7" t="str">
        <x:v>PEA-A-Y1</x:v>
      </x:c>
      <x:c r="E68" s="7" t="str">
        <x:v>BLD-A</x:v>
      </x:c>
      <x:c r="F68" s="7" t="str">
        <x:v>BL-Y</x:v>
      </x:c>
      <x:c r="G68" s="7" t="str">
        <x:v>CS-02</x:v>
      </x:c>
      <x:c r="H68" s="10" t="str">
        <x:v>mechanism-specific production inspection</x:v>
      </x:c>
      <x:c r="I68" s="7" t="str"/>
      <x:c r="J68" s="7" t="str"/>
      <x:c r="K68" s="7" t="str"/>
      <x:c r="L68" s="7" t="str">
        <x:f>IF(K68="","OPEN",IF(OR(I68="",J68=""),"FAIL","PASS"))</x:f>
        <x:v>OPEN</x:v>
      </x:c>
    </x:row>
    <x:row r="69" ht="38" customHeight="1">
      <x:c r="B69" s="7" t="str">
        <x:v>NDE-TRV-PEA-A-Y1-03</x:v>
      </x:c>
      <x:c r="C69" s="7" t="str">
        <x:v>TRV-PEA-A-Y1-03</x:v>
      </x:c>
      <x:c r="D69" s="7" t="str">
        <x:v>PEA-A-Y1</x:v>
      </x:c>
      <x:c r="E69" s="7" t="str">
        <x:v>BLD-A</x:v>
      </x:c>
      <x:c r="F69" s="7" t="str">
        <x:v>BL-Y</x:v>
      </x:c>
      <x:c r="G69" s="7" t="str">
        <x:v>CS-03</x:v>
      </x:c>
      <x:c r="H69" s="10" t="str">
        <x:v>mechanism-specific production inspection</x:v>
      </x:c>
      <x:c r="I69" s="7" t="str"/>
      <x:c r="J69" s="7" t="str"/>
      <x:c r="K69" s="7" t="str"/>
      <x:c r="L69" s="7" t="str">
        <x:f>IF(K69="","OPEN",IF(OR(I69="",J69=""),"FAIL","PASS"))</x:f>
        <x:v>OPEN</x:v>
      </x:c>
    </x:row>
    <x:row r="70" ht="38" customHeight="1">
      <x:c r="B70" s="7" t="str">
        <x:v>NDE-TRV-PEA-A-Y1-04</x:v>
      </x:c>
      <x:c r="C70" s="7" t="str">
        <x:v>TRV-PEA-A-Y1-04</x:v>
      </x:c>
      <x:c r="D70" s="7" t="str">
        <x:v>PEA-A-Y1</x:v>
      </x:c>
      <x:c r="E70" s="7" t="str">
        <x:v>BLD-A</x:v>
      </x:c>
      <x:c r="F70" s="7" t="str">
        <x:v>BL-Y</x:v>
      </x:c>
      <x:c r="G70" s="7" t="str">
        <x:v>CS-04</x:v>
      </x:c>
      <x:c r="H70" s="10" t="str">
        <x:v>mechanism-specific production inspection</x:v>
      </x:c>
      <x:c r="I70" s="7" t="str"/>
      <x:c r="J70" s="7" t="str"/>
      <x:c r="K70" s="7" t="str"/>
      <x:c r="L70" s="7" t="str">
        <x:f>IF(K70="","OPEN",IF(OR(I70="",J70=""),"FAIL","PASS"))</x:f>
        <x:v>OPEN</x:v>
      </x:c>
    </x:row>
    <x:row r="71" ht="38" customHeight="1">
      <x:c r="B71" s="7" t="str">
        <x:v>NDE-TRV-PEA-A-Y1-05</x:v>
      </x:c>
      <x:c r="C71" s="7" t="str">
        <x:v>TRV-PEA-A-Y1-05</x:v>
      </x:c>
      <x:c r="D71" s="7" t="str">
        <x:v>PEA-A-Y1</x:v>
      </x:c>
      <x:c r="E71" s="7" t="str">
        <x:v>BLD-A</x:v>
      </x:c>
      <x:c r="F71" s="7" t="str">
        <x:v>BL-Y</x:v>
      </x:c>
      <x:c r="G71" s="7" t="str">
        <x:v>CS-05</x:v>
      </x:c>
      <x:c r="H71" s="10" t="str">
        <x:v>mechanism-specific production inspection</x:v>
      </x:c>
      <x:c r="I71" s="7" t="str"/>
      <x:c r="J71" s="7" t="str"/>
      <x:c r="K71" s="7" t="str"/>
      <x:c r="L71" s="7" t="str">
        <x:f>IF(K71="","OPEN",IF(OR(I71="",J71=""),"FAIL","PASS"))</x:f>
        <x:v>OPEN</x:v>
      </x:c>
    </x:row>
    <x:row r="72" ht="38" customHeight="1">
      <x:c r="B72" s="7" t="str">
        <x:v>NDE-TRV-PEA-A-Y1-06</x:v>
      </x:c>
      <x:c r="C72" s="7" t="str">
        <x:v>TRV-PEA-A-Y1-06</x:v>
      </x:c>
      <x:c r="D72" s="7" t="str">
        <x:v>PEA-A-Y1</x:v>
      </x:c>
      <x:c r="E72" s="7" t="str">
        <x:v>BLD-A</x:v>
      </x:c>
      <x:c r="F72" s="7" t="str">
        <x:v>BL-Y</x:v>
      </x:c>
      <x:c r="G72" s="7" t="str">
        <x:v>CS-06</x:v>
      </x:c>
      <x:c r="H72" s="10" t="str">
        <x:v>mechanism-specific production inspection</x:v>
      </x:c>
      <x:c r="I72" s="7" t="str"/>
      <x:c r="J72" s="7" t="str"/>
      <x:c r="K72" s="7" t="str"/>
      <x:c r="L72" s="7" t="str">
        <x:f>IF(K72="","OPEN",IF(OR(I72="",J72=""),"FAIL","PASS"))</x:f>
        <x:v>OPEN</x:v>
      </x:c>
    </x:row>
    <x:row r="73" ht="38" customHeight="1">
      <x:c r="B73" s="7" t="str">
        <x:v>NDE-TRV-PEA-A-Y1-07</x:v>
      </x:c>
      <x:c r="C73" s="7" t="str">
        <x:v>TRV-PEA-A-Y1-07</x:v>
      </x:c>
      <x:c r="D73" s="7" t="str">
        <x:v>PEA-A-Y1</x:v>
      </x:c>
      <x:c r="E73" s="7" t="str">
        <x:v>BLD-A</x:v>
      </x:c>
      <x:c r="F73" s="7" t="str">
        <x:v>BL-Y</x:v>
      </x:c>
      <x:c r="G73" s="7" t="str">
        <x:v>CS-07</x:v>
      </x:c>
      <x:c r="H73" s="10" t="str">
        <x:v>mechanism-specific production inspection</x:v>
      </x:c>
      <x:c r="I73" s="7" t="str"/>
      <x:c r="J73" s="7" t="str"/>
      <x:c r="K73" s="7" t="str"/>
      <x:c r="L73" s="7" t="str">
        <x:f>IF(K73="","OPEN",IF(OR(I73="",J73=""),"FAIL","PASS"))</x:f>
        <x:v>OPEN</x:v>
      </x:c>
    </x:row>
    <x:row r="74" ht="38" customHeight="1">
      <x:c r="B74" s="7" t="str">
        <x:v>NDE-TRV-PEA-A-Y1-08</x:v>
      </x:c>
      <x:c r="C74" s="7" t="str">
        <x:v>TRV-PEA-A-Y1-08</x:v>
      </x:c>
      <x:c r="D74" s="7" t="str">
        <x:v>PEA-A-Y1</x:v>
      </x:c>
      <x:c r="E74" s="7" t="str">
        <x:v>BLD-A</x:v>
      </x:c>
      <x:c r="F74" s="7" t="str">
        <x:v>BL-Y</x:v>
      </x:c>
      <x:c r="G74" s="7" t="str">
        <x:v>CS-08</x:v>
      </x:c>
      <x:c r="H74" s="10" t="str">
        <x:v>mechanism-specific production inspection</x:v>
      </x:c>
      <x:c r="I74" s="7" t="str"/>
      <x:c r="J74" s="7" t="str"/>
      <x:c r="K74" s="7" t="str"/>
      <x:c r="L74" s="7" t="str">
        <x:f>IF(K74="","OPEN",IF(OR(I74="",J74=""),"FAIL","PASS"))</x:f>
        <x:v>OPEN</x:v>
      </x:c>
    </x:row>
    <x:row r="75" ht="38" customHeight="1">
      <x:c r="B75" s="7" t="str">
        <x:v>NDE-TRV-PEA-A-Y1-09</x:v>
      </x:c>
      <x:c r="C75" s="7" t="str">
        <x:v>TRV-PEA-A-Y1-09</x:v>
      </x:c>
      <x:c r="D75" s="7" t="str">
        <x:v>PEA-A-Y1</x:v>
      </x:c>
      <x:c r="E75" s="7" t="str">
        <x:v>BLD-A</x:v>
      </x:c>
      <x:c r="F75" s="7" t="str">
        <x:v>BL-Y</x:v>
      </x:c>
      <x:c r="G75" s="7" t="str">
        <x:v>CS-09</x:v>
      </x:c>
      <x:c r="H75" s="10" t="str">
        <x:v>mechanism-specific production inspection</x:v>
      </x:c>
      <x:c r="I75" s="7" t="str"/>
      <x:c r="J75" s="7" t="str"/>
      <x:c r="K75" s="7" t="str"/>
      <x:c r="L75" s="7" t="str">
        <x:f>IF(K75="","OPEN",IF(OR(I75="",J75=""),"FAIL","PASS"))</x:f>
        <x:v>OPEN</x:v>
      </x:c>
    </x:row>
    <x:row r="76" ht="38" customHeight="1">
      <x:c r="B76" s="7" t="str">
        <x:v>NDE-TRV-PEA-A-Y1-10</x:v>
      </x:c>
      <x:c r="C76" s="7" t="str">
        <x:v>TRV-PEA-A-Y1-10</x:v>
      </x:c>
      <x:c r="D76" s="7" t="str">
        <x:v>PEA-A-Y1</x:v>
      </x:c>
      <x:c r="E76" s="7" t="str">
        <x:v>BLD-A</x:v>
      </x:c>
      <x:c r="F76" s="7" t="str">
        <x:v>BL-Y</x:v>
      </x:c>
      <x:c r="G76" s="7" t="str">
        <x:v>CS-10</x:v>
      </x:c>
      <x:c r="H76" s="10" t="str">
        <x:v>mechanism-specific production inspection</x:v>
      </x:c>
      <x:c r="I76" s="7" t="str"/>
      <x:c r="J76" s="7" t="str"/>
      <x:c r="K76" s="7" t="str"/>
      <x:c r="L76" s="7" t="str">
        <x:f>IF(K76="","OPEN",IF(OR(I76="",J76=""),"FAIL","PASS"))</x:f>
        <x:v>OPEN</x:v>
      </x:c>
    </x:row>
    <x:row r="77" ht="38" customHeight="1">
      <x:c r="B77" s="7" t="str">
        <x:v>NDE-TRV-PEA-A-Y1-11</x:v>
      </x:c>
      <x:c r="C77" s="7" t="str">
        <x:v>TRV-PEA-A-Y1-11</x:v>
      </x:c>
      <x:c r="D77" s="7" t="str">
        <x:v>PEA-A-Y1</x:v>
      </x:c>
      <x:c r="E77" s="7" t="str">
        <x:v>BLD-A</x:v>
      </x:c>
      <x:c r="F77" s="7" t="str">
        <x:v>BL-Y</x:v>
      </x:c>
      <x:c r="G77" s="7" t="str">
        <x:v>CS-11</x:v>
      </x:c>
      <x:c r="H77" s="10" t="str">
        <x:v>mechanism-specific production inspection</x:v>
      </x:c>
      <x:c r="I77" s="7" t="str"/>
      <x:c r="J77" s="7" t="str"/>
      <x:c r="K77" s="7" t="str"/>
      <x:c r="L77" s="7" t="str">
        <x:f>IF(K77="","OPEN",IF(OR(I77="",J77=""),"FAIL","PASS"))</x:f>
        <x:v>OPEN</x:v>
      </x:c>
    </x:row>
    <x:row r="78" ht="38" customHeight="1">
      <x:c r="B78" s="7" t="str">
        <x:v>NDE-TRV-PEA-A-Y1-12</x:v>
      </x:c>
      <x:c r="C78" s="7" t="str">
        <x:v>TRV-PEA-A-Y1-12</x:v>
      </x:c>
      <x:c r="D78" s="7" t="str">
        <x:v>PEA-A-Y1</x:v>
      </x:c>
      <x:c r="E78" s="7" t="str">
        <x:v>BLD-A</x:v>
      </x:c>
      <x:c r="F78" s="7" t="str">
        <x:v>BL-Y</x:v>
      </x:c>
      <x:c r="G78" s="7" t="str">
        <x:v>CS-12</x:v>
      </x:c>
      <x:c r="H78" s="10" t="str">
        <x:v>mechanism-specific production inspection</x:v>
      </x:c>
      <x:c r="I78" s="7" t="str"/>
      <x:c r="J78" s="7" t="str"/>
      <x:c r="K78" s="7" t="str"/>
      <x:c r="L78" s="7" t="str">
        <x:f>IF(K78="","OPEN",IF(OR(I78="",J78=""),"FAIL","PASS"))</x:f>
        <x:v>OPEN</x:v>
      </x:c>
    </x:row>
    <x:row r="79" ht="38" customHeight="1">
      <x:c r="B79" s="7" t="str">
        <x:v>NDE-TRV-PEA-A-Y1-13</x:v>
      </x:c>
      <x:c r="C79" s="7" t="str">
        <x:v>TRV-PEA-A-Y1-13</x:v>
      </x:c>
      <x:c r="D79" s="7" t="str">
        <x:v>PEA-A-Y1</x:v>
      </x:c>
      <x:c r="E79" s="7" t="str">
        <x:v>BLD-A</x:v>
      </x:c>
      <x:c r="F79" s="7" t="str">
        <x:v>BL-Y</x:v>
      </x:c>
      <x:c r="G79" s="7" t="str">
        <x:v>CS-13</x:v>
      </x:c>
      <x:c r="H79" s="10" t="str">
        <x:v>mechanism-specific production inspection</x:v>
      </x:c>
      <x:c r="I79" s="7" t="str"/>
      <x:c r="J79" s="7" t="str"/>
      <x:c r="K79" s="7" t="str"/>
      <x:c r="L79" s="7" t="str">
        <x:f>IF(K79="","OPEN",IF(OR(I79="",J79=""),"FAIL","PASS"))</x:f>
        <x:v>OPEN</x:v>
      </x:c>
    </x:row>
    <x:row r="80" ht="38" customHeight="1">
      <x:c r="B80" s="7" t="str">
        <x:v>NDE-TRV-PEA-A-Y1-14</x:v>
      </x:c>
      <x:c r="C80" s="7" t="str">
        <x:v>TRV-PEA-A-Y1-14</x:v>
      </x:c>
      <x:c r="D80" s="7" t="str">
        <x:v>PEA-A-Y1</x:v>
      </x:c>
      <x:c r="E80" s="7" t="str">
        <x:v>BLD-A</x:v>
      </x:c>
      <x:c r="F80" s="7" t="str">
        <x:v>BL-Y</x:v>
      </x:c>
      <x:c r="G80" s="7" t="str">
        <x:v>CS-14</x:v>
      </x:c>
      <x:c r="H80" s="10" t="str">
        <x:v>mechanism-specific production inspection</x:v>
      </x:c>
      <x:c r="I80" s="7" t="str"/>
      <x:c r="J80" s="7" t="str"/>
      <x:c r="K80" s="7" t="str"/>
      <x:c r="L80" s="7" t="str">
        <x:f>IF(K80="","OPEN",IF(OR(I80="",J80=""),"FAIL","PASS"))</x:f>
        <x:v>OPEN</x:v>
      </x:c>
    </x:row>
    <x:row r="81" ht="38" customHeight="1">
      <x:c r="B81" s="7" t="str">
        <x:v>NDE-TRV-PEA-A-Y1-15</x:v>
      </x:c>
      <x:c r="C81" s="7" t="str">
        <x:v>TRV-PEA-A-Y1-15</x:v>
      </x:c>
      <x:c r="D81" s="7" t="str">
        <x:v>PEA-A-Y1</x:v>
      </x:c>
      <x:c r="E81" s="7" t="str">
        <x:v>BLD-A</x:v>
      </x:c>
      <x:c r="F81" s="7" t="str">
        <x:v>BL-Y</x:v>
      </x:c>
      <x:c r="G81" s="7" t="str">
        <x:v>CS-15</x:v>
      </x:c>
      <x:c r="H81" s="10" t="str">
        <x:v>mechanism-specific production inspection</x:v>
      </x:c>
      <x:c r="I81" s="7" t="str"/>
      <x:c r="J81" s="7" t="str"/>
      <x:c r="K81" s="7" t="str"/>
      <x:c r="L81" s="7" t="str">
        <x:f>IF(K81="","OPEN",IF(OR(I81="",J81=""),"FAIL","PASS"))</x:f>
        <x:v>OPEN</x:v>
      </x:c>
    </x:row>
    <x:row r="82" ht="38" customHeight="1">
      <x:c r="B82" s="7" t="str">
        <x:v>NDE-TRV-PEA-A-Y1-16</x:v>
      </x:c>
      <x:c r="C82" s="7" t="str">
        <x:v>TRV-PEA-A-Y1-16</x:v>
      </x:c>
      <x:c r="D82" s="7" t="str">
        <x:v>PEA-A-Y1</x:v>
      </x:c>
      <x:c r="E82" s="7" t="str">
        <x:v>BLD-A</x:v>
      </x:c>
      <x:c r="F82" s="7" t="str">
        <x:v>BL-Y</x:v>
      </x:c>
      <x:c r="G82" s="7" t="str">
        <x:v>CS-16</x:v>
      </x:c>
      <x:c r="H82" s="10" t="str">
        <x:v>mechanism-specific production inspection</x:v>
      </x:c>
      <x:c r="I82" s="7" t="str"/>
      <x:c r="J82" s="7" t="str"/>
      <x:c r="K82" s="7" t="str"/>
      <x:c r="L82" s="7" t="str">
        <x:f>IF(K82="","OPEN",IF(OR(I82="",J82=""),"FAIL","PASS"))</x:f>
        <x:v>OPEN</x:v>
      </x:c>
    </x:row>
    <x:row r="83" ht="38" customHeight="1">
      <x:c r="B83" s="7" t="str">
        <x:v>NDE-TRV-PEA-A-Y1-17</x:v>
      </x:c>
      <x:c r="C83" s="7" t="str">
        <x:v>TRV-PEA-A-Y1-17</x:v>
      </x:c>
      <x:c r="D83" s="7" t="str">
        <x:v>PEA-A-Y1</x:v>
      </x:c>
      <x:c r="E83" s="7" t="str">
        <x:v>BLD-A</x:v>
      </x:c>
      <x:c r="F83" s="7" t="str">
        <x:v>BL-Y</x:v>
      </x:c>
      <x:c r="G83" s="7" t="str">
        <x:v>CS-17</x:v>
      </x:c>
      <x:c r="H83" s="10" t="str">
        <x:v>mechanism-specific production inspection</x:v>
      </x:c>
      <x:c r="I83" s="7" t="str"/>
      <x:c r="J83" s="7" t="str"/>
      <x:c r="K83" s="7" t="str"/>
      <x:c r="L83" s="7" t="str">
        <x:f>IF(K83="","OPEN",IF(OR(I83="",J83=""),"FAIL","PASS"))</x:f>
        <x:v>OPEN</x:v>
      </x:c>
    </x:row>
    <x:row r="84" ht="38" customHeight="1">
      <x:c r="B84" s="7" t="str">
        <x:v>NDE-TRV-PEA-A-Y1-18</x:v>
      </x:c>
      <x:c r="C84" s="7" t="str">
        <x:v>TRV-PEA-A-Y1-18</x:v>
      </x:c>
      <x:c r="D84" s="7" t="str">
        <x:v>PEA-A-Y1</x:v>
      </x:c>
      <x:c r="E84" s="7" t="str">
        <x:v>BLD-A</x:v>
      </x:c>
      <x:c r="F84" s="7" t="str">
        <x:v>BL-Y</x:v>
      </x:c>
      <x:c r="G84" s="7" t="str">
        <x:v>CS-18</x:v>
      </x:c>
      <x:c r="H84" s="10" t="str">
        <x:v>mechanism-specific production inspection</x:v>
      </x:c>
      <x:c r="I84" s="7" t="str"/>
      <x:c r="J84" s="7" t="str"/>
      <x:c r="K84" s="7" t="str"/>
      <x:c r="L84" s="7" t="str">
        <x:f>IF(K84="","OPEN",IF(OR(I84="",J84=""),"FAIL","PASS"))</x:f>
        <x:v>OPEN</x:v>
      </x:c>
    </x:row>
    <x:row r="85" ht="38" customHeight="1">
      <x:c r="B85" s="7" t="str">
        <x:v>NDE-TRV-PEA-A-Y1-19</x:v>
      </x:c>
      <x:c r="C85" s="7" t="str">
        <x:v>TRV-PEA-A-Y1-19</x:v>
      </x:c>
      <x:c r="D85" s="7" t="str">
        <x:v>PEA-A-Y1</x:v>
      </x:c>
      <x:c r="E85" s="7" t="str">
        <x:v>BLD-A</x:v>
      </x:c>
      <x:c r="F85" s="7" t="str">
        <x:v>BL-Y</x:v>
      </x:c>
      <x:c r="G85" s="7" t="str">
        <x:v>CS-19</x:v>
      </x:c>
      <x:c r="H85" s="10" t="str">
        <x:v>mechanism-specific production inspection</x:v>
      </x:c>
      <x:c r="I85" s="7" t="str"/>
      <x:c r="J85" s="7" t="str"/>
      <x:c r="K85" s="7" t="str"/>
      <x:c r="L85" s="7" t="str">
        <x:f>IF(K85="","OPEN",IF(OR(I85="",J85=""),"FAIL","PASS"))</x:f>
        <x:v>OPEN</x:v>
      </x:c>
    </x:row>
    <x:row r="86" ht="38" customHeight="1">
      <x:c r="B86" s="7" t="str">
        <x:v>NDE-TRV-PEA-A-Y1-20</x:v>
      </x:c>
      <x:c r="C86" s="7" t="str">
        <x:v>TRV-PEA-A-Y1-20</x:v>
      </x:c>
      <x:c r="D86" s="7" t="str">
        <x:v>PEA-A-Y1</x:v>
      </x:c>
      <x:c r="E86" s="7" t="str">
        <x:v>BLD-A</x:v>
      </x:c>
      <x:c r="F86" s="7" t="str">
        <x:v>BL-Y</x:v>
      </x:c>
      <x:c r="G86" s="7" t="str">
        <x:v>CS-20</x:v>
      </x:c>
      <x:c r="H86" s="10" t="str">
        <x:v>mechanism-specific production inspection</x:v>
      </x:c>
      <x:c r="I86" s="7" t="str"/>
      <x:c r="J86" s="7" t="str"/>
      <x:c r="K86" s="7" t="str"/>
      <x:c r="L86" s="7" t="str">
        <x:f>IF(K86="","OPEN",IF(OR(I86="",J86=""),"FAIL","PASS"))</x:f>
        <x:v>OPEN</x:v>
      </x:c>
    </x:row>
    <x:row r="87" ht="38" customHeight="1">
      <x:c r="B87" s="7" t="str">
        <x:v>NDE-TRV-PEA-A-Y2-01</x:v>
      </x:c>
      <x:c r="C87" s="7" t="str">
        <x:v>TRV-PEA-A-Y2-01</x:v>
      </x:c>
      <x:c r="D87" s="7" t="str">
        <x:v>PEA-A-Y2</x:v>
      </x:c>
      <x:c r="E87" s="7" t="str">
        <x:v>BLD-A</x:v>
      </x:c>
      <x:c r="F87" s="7" t="str">
        <x:v>BL-Y</x:v>
      </x:c>
      <x:c r="G87" s="7" t="str">
        <x:v>CS-01</x:v>
      </x:c>
      <x:c r="H87" s="10" t="str">
        <x:v>mechanism-specific production inspection</x:v>
      </x:c>
      <x:c r="I87" s="7" t="str"/>
      <x:c r="J87" s="7" t="str"/>
      <x:c r="K87" s="7" t="str"/>
      <x:c r="L87" s="7" t="str">
        <x:f>IF(K87="","OPEN",IF(OR(I87="",J87=""),"FAIL","PASS"))</x:f>
        <x:v>OPEN</x:v>
      </x:c>
    </x:row>
    <x:row r="88" ht="38" customHeight="1">
      <x:c r="B88" s="7" t="str">
        <x:v>NDE-TRV-PEA-A-Y2-02</x:v>
      </x:c>
      <x:c r="C88" s="7" t="str">
        <x:v>TRV-PEA-A-Y2-02</x:v>
      </x:c>
      <x:c r="D88" s="7" t="str">
        <x:v>PEA-A-Y2</x:v>
      </x:c>
      <x:c r="E88" s="7" t="str">
        <x:v>BLD-A</x:v>
      </x:c>
      <x:c r="F88" s="7" t="str">
        <x:v>BL-Y</x:v>
      </x:c>
      <x:c r="G88" s="7" t="str">
        <x:v>CS-02</x:v>
      </x:c>
      <x:c r="H88" s="10" t="str">
        <x:v>mechanism-specific production inspection</x:v>
      </x:c>
      <x:c r="I88" s="7" t="str"/>
      <x:c r="J88" s="7" t="str"/>
      <x:c r="K88" s="7" t="str"/>
      <x:c r="L88" s="7" t="str">
        <x:f>IF(K88="","OPEN",IF(OR(I88="",J88=""),"FAIL","PASS"))</x:f>
        <x:v>OPEN</x:v>
      </x:c>
    </x:row>
    <x:row r="89" ht="38" customHeight="1">
      <x:c r="B89" s="7" t="str">
        <x:v>NDE-TRV-PEA-A-Y2-03</x:v>
      </x:c>
      <x:c r="C89" s="7" t="str">
        <x:v>TRV-PEA-A-Y2-03</x:v>
      </x:c>
      <x:c r="D89" s="7" t="str">
        <x:v>PEA-A-Y2</x:v>
      </x:c>
      <x:c r="E89" s="7" t="str">
        <x:v>BLD-A</x:v>
      </x:c>
      <x:c r="F89" s="7" t="str">
        <x:v>BL-Y</x:v>
      </x:c>
      <x:c r="G89" s="7" t="str">
        <x:v>CS-03</x:v>
      </x:c>
      <x:c r="H89" s="10" t="str">
        <x:v>mechanism-specific production inspection</x:v>
      </x:c>
      <x:c r="I89" s="7" t="str"/>
      <x:c r="J89" s="7" t="str"/>
      <x:c r="K89" s="7" t="str"/>
      <x:c r="L89" s="7" t="str">
        <x:f>IF(K89="","OPEN",IF(OR(I89="",J89=""),"FAIL","PASS"))</x:f>
        <x:v>OPEN</x:v>
      </x:c>
    </x:row>
    <x:row r="90" ht="38" customHeight="1">
      <x:c r="B90" s="7" t="str">
        <x:v>NDE-TRV-PEA-A-Y2-04</x:v>
      </x:c>
      <x:c r="C90" s="7" t="str">
        <x:v>TRV-PEA-A-Y2-04</x:v>
      </x:c>
      <x:c r="D90" s="7" t="str">
        <x:v>PEA-A-Y2</x:v>
      </x:c>
      <x:c r="E90" s="7" t="str">
        <x:v>BLD-A</x:v>
      </x:c>
      <x:c r="F90" s="7" t="str">
        <x:v>BL-Y</x:v>
      </x:c>
      <x:c r="G90" s="7" t="str">
        <x:v>CS-04</x:v>
      </x:c>
      <x:c r="H90" s="10" t="str">
        <x:v>mechanism-specific production inspection</x:v>
      </x:c>
      <x:c r="I90" s="7" t="str"/>
      <x:c r="J90" s="7" t="str"/>
      <x:c r="K90" s="7" t="str"/>
      <x:c r="L90" s="7" t="str">
        <x:f>IF(K90="","OPEN",IF(OR(I90="",J90=""),"FAIL","PASS"))</x:f>
        <x:v>OPEN</x:v>
      </x:c>
    </x:row>
    <x:row r="91" ht="38" customHeight="1">
      <x:c r="B91" s="7" t="str">
        <x:v>NDE-TRV-PEA-A-Y2-05</x:v>
      </x:c>
      <x:c r="C91" s="7" t="str">
        <x:v>TRV-PEA-A-Y2-05</x:v>
      </x:c>
      <x:c r="D91" s="7" t="str">
        <x:v>PEA-A-Y2</x:v>
      </x:c>
      <x:c r="E91" s="7" t="str">
        <x:v>BLD-A</x:v>
      </x:c>
      <x:c r="F91" s="7" t="str">
        <x:v>BL-Y</x:v>
      </x:c>
      <x:c r="G91" s="7" t="str">
        <x:v>CS-05</x:v>
      </x:c>
      <x:c r="H91" s="10" t="str">
        <x:v>mechanism-specific production inspection</x:v>
      </x:c>
      <x:c r="I91" s="7" t="str"/>
      <x:c r="J91" s="7" t="str"/>
      <x:c r="K91" s="7" t="str"/>
      <x:c r="L91" s="7" t="str">
        <x:f>IF(K91="","OPEN",IF(OR(I91="",J91=""),"FAIL","PASS"))</x:f>
        <x:v>OPEN</x:v>
      </x:c>
    </x:row>
    <x:row r="92" ht="38" customHeight="1">
      <x:c r="B92" s="7" t="str">
        <x:v>NDE-TRV-PEA-A-Y2-06</x:v>
      </x:c>
      <x:c r="C92" s="7" t="str">
        <x:v>TRV-PEA-A-Y2-06</x:v>
      </x:c>
      <x:c r="D92" s="7" t="str">
        <x:v>PEA-A-Y2</x:v>
      </x:c>
      <x:c r="E92" s="7" t="str">
        <x:v>BLD-A</x:v>
      </x:c>
      <x:c r="F92" s="7" t="str">
        <x:v>BL-Y</x:v>
      </x:c>
      <x:c r="G92" s="7" t="str">
        <x:v>CS-06</x:v>
      </x:c>
      <x:c r="H92" s="10" t="str">
        <x:v>mechanism-specific production inspection</x:v>
      </x:c>
      <x:c r="I92" s="7" t="str"/>
      <x:c r="J92" s="7" t="str"/>
      <x:c r="K92" s="7" t="str"/>
      <x:c r="L92" s="7" t="str">
        <x:f>IF(K92="","OPEN",IF(OR(I92="",J92=""),"FAIL","PASS"))</x:f>
        <x:v>OPEN</x:v>
      </x:c>
    </x:row>
    <x:row r="93" ht="38" customHeight="1">
      <x:c r="B93" s="7" t="str">
        <x:v>NDE-TRV-PEA-A-Y2-07</x:v>
      </x:c>
      <x:c r="C93" s="7" t="str">
        <x:v>TRV-PEA-A-Y2-07</x:v>
      </x:c>
      <x:c r="D93" s="7" t="str">
        <x:v>PEA-A-Y2</x:v>
      </x:c>
      <x:c r="E93" s="7" t="str">
        <x:v>BLD-A</x:v>
      </x:c>
      <x:c r="F93" s="7" t="str">
        <x:v>BL-Y</x:v>
      </x:c>
      <x:c r="G93" s="7" t="str">
        <x:v>CS-07</x:v>
      </x:c>
      <x:c r="H93" s="10" t="str">
        <x:v>mechanism-specific production inspection</x:v>
      </x:c>
      <x:c r="I93" s="7" t="str"/>
      <x:c r="J93" s="7" t="str"/>
      <x:c r="K93" s="7" t="str"/>
      <x:c r="L93" s="7" t="str">
        <x:f>IF(K93="","OPEN",IF(OR(I93="",J93=""),"FAIL","PASS"))</x:f>
        <x:v>OPEN</x:v>
      </x:c>
    </x:row>
    <x:row r="94" ht="38" customHeight="1">
      <x:c r="B94" s="7" t="str">
        <x:v>NDE-TRV-PEA-A-Y2-08</x:v>
      </x:c>
      <x:c r="C94" s="7" t="str">
        <x:v>TRV-PEA-A-Y2-08</x:v>
      </x:c>
      <x:c r="D94" s="7" t="str">
        <x:v>PEA-A-Y2</x:v>
      </x:c>
      <x:c r="E94" s="7" t="str">
        <x:v>BLD-A</x:v>
      </x:c>
      <x:c r="F94" s="7" t="str">
        <x:v>BL-Y</x:v>
      </x:c>
      <x:c r="G94" s="7" t="str">
        <x:v>CS-08</x:v>
      </x:c>
      <x:c r="H94" s="10" t="str">
        <x:v>mechanism-specific production inspection</x:v>
      </x:c>
      <x:c r="I94" s="7" t="str"/>
      <x:c r="J94" s="7" t="str"/>
      <x:c r="K94" s="7" t="str"/>
      <x:c r="L94" s="7" t="str">
        <x:f>IF(K94="","OPEN",IF(OR(I94="",J94=""),"FAIL","PASS"))</x:f>
        <x:v>OPEN</x:v>
      </x:c>
    </x:row>
    <x:row r="95" ht="38" customHeight="1">
      <x:c r="B95" s="7" t="str">
        <x:v>NDE-TRV-PEA-A-Y2-09</x:v>
      </x:c>
      <x:c r="C95" s="7" t="str">
        <x:v>TRV-PEA-A-Y2-09</x:v>
      </x:c>
      <x:c r="D95" s="7" t="str">
        <x:v>PEA-A-Y2</x:v>
      </x:c>
      <x:c r="E95" s="7" t="str">
        <x:v>BLD-A</x:v>
      </x:c>
      <x:c r="F95" s="7" t="str">
        <x:v>BL-Y</x:v>
      </x:c>
      <x:c r="G95" s="7" t="str">
        <x:v>CS-09</x:v>
      </x:c>
      <x:c r="H95" s="10" t="str">
        <x:v>mechanism-specific production inspection</x:v>
      </x:c>
      <x:c r="I95" s="7" t="str"/>
      <x:c r="J95" s="7" t="str"/>
      <x:c r="K95" s="7" t="str"/>
      <x:c r="L95" s="7" t="str">
        <x:f>IF(K95="","OPEN",IF(OR(I95="",J95=""),"FAIL","PASS"))</x:f>
        <x:v>OPEN</x:v>
      </x:c>
    </x:row>
    <x:row r="96" ht="38" customHeight="1">
      <x:c r="B96" s="7" t="str">
        <x:v>NDE-TRV-PEA-A-Y2-10</x:v>
      </x:c>
      <x:c r="C96" s="7" t="str">
        <x:v>TRV-PEA-A-Y2-10</x:v>
      </x:c>
      <x:c r="D96" s="7" t="str">
        <x:v>PEA-A-Y2</x:v>
      </x:c>
      <x:c r="E96" s="7" t="str">
        <x:v>BLD-A</x:v>
      </x:c>
      <x:c r="F96" s="7" t="str">
        <x:v>BL-Y</x:v>
      </x:c>
      <x:c r="G96" s="7" t="str">
        <x:v>CS-10</x:v>
      </x:c>
      <x:c r="H96" s="10" t="str">
        <x:v>mechanism-specific production inspection</x:v>
      </x:c>
      <x:c r="I96" s="7" t="str"/>
      <x:c r="J96" s="7" t="str"/>
      <x:c r="K96" s="7" t="str"/>
      <x:c r="L96" s="7" t="str">
        <x:f>IF(K96="","OPEN",IF(OR(I96="",J96=""),"FAIL","PASS"))</x:f>
        <x:v>OPEN</x:v>
      </x:c>
    </x:row>
    <x:row r="97" ht="38" customHeight="1">
      <x:c r="B97" s="7" t="str">
        <x:v>NDE-TRV-PEA-A-Y2-11</x:v>
      </x:c>
      <x:c r="C97" s="7" t="str">
        <x:v>TRV-PEA-A-Y2-11</x:v>
      </x:c>
      <x:c r="D97" s="7" t="str">
        <x:v>PEA-A-Y2</x:v>
      </x:c>
      <x:c r="E97" s="7" t="str">
        <x:v>BLD-A</x:v>
      </x:c>
      <x:c r="F97" s="7" t="str">
        <x:v>BL-Y</x:v>
      </x:c>
      <x:c r="G97" s="7" t="str">
        <x:v>CS-11</x:v>
      </x:c>
      <x:c r="H97" s="10" t="str">
        <x:v>mechanism-specific production inspection</x:v>
      </x:c>
      <x:c r="I97" s="7" t="str"/>
      <x:c r="J97" s="7" t="str"/>
      <x:c r="K97" s="7" t="str"/>
      <x:c r="L97" s="7" t="str">
        <x:f>IF(K97="","OPEN",IF(OR(I97="",J97=""),"FAIL","PASS"))</x:f>
        <x:v>OPEN</x:v>
      </x:c>
    </x:row>
    <x:row r="98" ht="38" customHeight="1">
      <x:c r="B98" s="7" t="str">
        <x:v>NDE-TRV-PEA-A-Y2-12</x:v>
      </x:c>
      <x:c r="C98" s="7" t="str">
        <x:v>TRV-PEA-A-Y2-12</x:v>
      </x:c>
      <x:c r="D98" s="7" t="str">
        <x:v>PEA-A-Y2</x:v>
      </x:c>
      <x:c r="E98" s="7" t="str">
        <x:v>BLD-A</x:v>
      </x:c>
      <x:c r="F98" s="7" t="str">
        <x:v>BL-Y</x:v>
      </x:c>
      <x:c r="G98" s="7" t="str">
        <x:v>CS-12</x:v>
      </x:c>
      <x:c r="H98" s="10" t="str">
        <x:v>mechanism-specific production inspection</x:v>
      </x:c>
      <x:c r="I98" s="7" t="str"/>
      <x:c r="J98" s="7" t="str"/>
      <x:c r="K98" s="7" t="str"/>
      <x:c r="L98" s="7" t="str">
        <x:f>IF(K98="","OPEN",IF(OR(I98="",J98=""),"FAIL","PASS"))</x:f>
        <x:v>OPEN</x:v>
      </x:c>
    </x:row>
    <x:row r="99" ht="38" customHeight="1">
      <x:c r="B99" s="7" t="str">
        <x:v>NDE-TRV-PEA-A-Y2-13</x:v>
      </x:c>
      <x:c r="C99" s="7" t="str">
        <x:v>TRV-PEA-A-Y2-13</x:v>
      </x:c>
      <x:c r="D99" s="7" t="str">
        <x:v>PEA-A-Y2</x:v>
      </x:c>
      <x:c r="E99" s="7" t="str">
        <x:v>BLD-A</x:v>
      </x:c>
      <x:c r="F99" s="7" t="str">
        <x:v>BL-Y</x:v>
      </x:c>
      <x:c r="G99" s="7" t="str">
        <x:v>CS-13</x:v>
      </x:c>
      <x:c r="H99" s="10" t="str">
        <x:v>mechanism-specific production inspection</x:v>
      </x:c>
      <x:c r="I99" s="7" t="str"/>
      <x:c r="J99" s="7" t="str"/>
      <x:c r="K99" s="7" t="str"/>
      <x:c r="L99" s="7" t="str">
        <x:f>IF(K99="","OPEN",IF(OR(I99="",J99=""),"FAIL","PASS"))</x:f>
        <x:v>OPEN</x:v>
      </x:c>
    </x:row>
    <x:row r="100" ht="38" customHeight="1">
      <x:c r="B100" s="7" t="str">
        <x:v>NDE-TRV-PEA-A-Y2-14</x:v>
      </x:c>
      <x:c r="C100" s="7" t="str">
        <x:v>TRV-PEA-A-Y2-14</x:v>
      </x:c>
      <x:c r="D100" s="7" t="str">
        <x:v>PEA-A-Y2</x:v>
      </x:c>
      <x:c r="E100" s="7" t="str">
        <x:v>BLD-A</x:v>
      </x:c>
      <x:c r="F100" s="7" t="str">
        <x:v>BL-Y</x:v>
      </x:c>
      <x:c r="G100" s="7" t="str">
        <x:v>CS-14</x:v>
      </x:c>
      <x:c r="H100" s="10" t="str">
        <x:v>mechanism-specific production inspection</x:v>
      </x:c>
      <x:c r="I100" s="7" t="str"/>
      <x:c r="J100" s="7" t="str"/>
      <x:c r="K100" s="7" t="str"/>
      <x:c r="L100" s="7" t="str">
        <x:f>IF(K100="","OPEN",IF(OR(I100="",J100=""),"FAIL","PASS"))</x:f>
        <x:v>OPEN</x:v>
      </x:c>
    </x:row>
    <x:row r="101" ht="38" customHeight="1">
      <x:c r="B101" s="7" t="str">
        <x:v>NDE-TRV-PEA-A-Y2-15</x:v>
      </x:c>
      <x:c r="C101" s="7" t="str">
        <x:v>TRV-PEA-A-Y2-15</x:v>
      </x:c>
      <x:c r="D101" s="7" t="str">
        <x:v>PEA-A-Y2</x:v>
      </x:c>
      <x:c r="E101" s="7" t="str">
        <x:v>BLD-A</x:v>
      </x:c>
      <x:c r="F101" s="7" t="str">
        <x:v>BL-Y</x:v>
      </x:c>
      <x:c r="G101" s="7" t="str">
        <x:v>CS-15</x:v>
      </x:c>
      <x:c r="H101" s="10" t="str">
        <x:v>mechanism-specific production inspection</x:v>
      </x:c>
      <x:c r="I101" s="7" t="str"/>
      <x:c r="J101" s="7" t="str"/>
      <x:c r="K101" s="7" t="str"/>
      <x:c r="L101" s="7" t="str">
        <x:f>IF(K101="","OPEN",IF(OR(I101="",J101=""),"FAIL","PASS"))</x:f>
        <x:v>OPEN</x:v>
      </x:c>
    </x:row>
    <x:row r="102" ht="38" customHeight="1">
      <x:c r="B102" s="7" t="str">
        <x:v>NDE-TRV-PEA-A-Y2-16</x:v>
      </x:c>
      <x:c r="C102" s="7" t="str">
        <x:v>TRV-PEA-A-Y2-16</x:v>
      </x:c>
      <x:c r="D102" s="7" t="str">
        <x:v>PEA-A-Y2</x:v>
      </x:c>
      <x:c r="E102" s="7" t="str">
        <x:v>BLD-A</x:v>
      </x:c>
      <x:c r="F102" s="7" t="str">
        <x:v>BL-Y</x:v>
      </x:c>
      <x:c r="G102" s="7" t="str">
        <x:v>CS-16</x:v>
      </x:c>
      <x:c r="H102" s="10" t="str">
        <x:v>mechanism-specific production inspection</x:v>
      </x:c>
      <x:c r="I102" s="7" t="str"/>
      <x:c r="J102" s="7" t="str"/>
      <x:c r="K102" s="7" t="str"/>
      <x:c r="L102" s="7" t="str">
        <x:f>IF(K102="","OPEN",IF(OR(I102="",J102=""),"FAIL","PASS"))</x:f>
        <x:v>OPEN</x:v>
      </x:c>
    </x:row>
    <x:row r="103" ht="38" customHeight="1">
      <x:c r="B103" s="7" t="str">
        <x:v>NDE-TRV-PEA-A-Y2-17</x:v>
      </x:c>
      <x:c r="C103" s="7" t="str">
        <x:v>TRV-PEA-A-Y2-17</x:v>
      </x:c>
      <x:c r="D103" s="7" t="str">
        <x:v>PEA-A-Y2</x:v>
      </x:c>
      <x:c r="E103" s="7" t="str">
        <x:v>BLD-A</x:v>
      </x:c>
      <x:c r="F103" s="7" t="str">
        <x:v>BL-Y</x:v>
      </x:c>
      <x:c r="G103" s="7" t="str">
        <x:v>CS-17</x:v>
      </x:c>
      <x:c r="H103" s="10" t="str">
        <x:v>mechanism-specific production inspection</x:v>
      </x:c>
      <x:c r="I103" s="7" t="str"/>
      <x:c r="J103" s="7" t="str"/>
      <x:c r="K103" s="7" t="str"/>
      <x:c r="L103" s="7" t="str">
        <x:f>IF(K103="","OPEN",IF(OR(I103="",J103=""),"FAIL","PASS"))</x:f>
        <x:v>OPEN</x:v>
      </x:c>
    </x:row>
    <x:row r="104" ht="38" customHeight="1">
      <x:c r="B104" s="7" t="str">
        <x:v>NDE-TRV-PEA-A-Y2-18</x:v>
      </x:c>
      <x:c r="C104" s="7" t="str">
        <x:v>TRV-PEA-A-Y2-18</x:v>
      </x:c>
      <x:c r="D104" s="7" t="str">
        <x:v>PEA-A-Y2</x:v>
      </x:c>
      <x:c r="E104" s="7" t="str">
        <x:v>BLD-A</x:v>
      </x:c>
      <x:c r="F104" s="7" t="str">
        <x:v>BL-Y</x:v>
      </x:c>
      <x:c r="G104" s="7" t="str">
        <x:v>CS-18</x:v>
      </x:c>
      <x:c r="H104" s="10" t="str">
        <x:v>mechanism-specific production inspection</x:v>
      </x:c>
      <x:c r="I104" s="7" t="str"/>
      <x:c r="J104" s="7" t="str"/>
      <x:c r="K104" s="7" t="str"/>
      <x:c r="L104" s="7" t="str">
        <x:f>IF(K104="","OPEN",IF(OR(I104="",J104=""),"FAIL","PASS"))</x:f>
        <x:v>OPEN</x:v>
      </x:c>
    </x:row>
    <x:row r="105" ht="38" customHeight="1">
      <x:c r="B105" s="7" t="str">
        <x:v>NDE-TRV-PEA-A-Y2-19</x:v>
      </x:c>
      <x:c r="C105" s="7" t="str">
        <x:v>TRV-PEA-A-Y2-19</x:v>
      </x:c>
      <x:c r="D105" s="7" t="str">
        <x:v>PEA-A-Y2</x:v>
      </x:c>
      <x:c r="E105" s="7" t="str">
        <x:v>BLD-A</x:v>
      </x:c>
      <x:c r="F105" s="7" t="str">
        <x:v>BL-Y</x:v>
      </x:c>
      <x:c r="G105" s="7" t="str">
        <x:v>CS-19</x:v>
      </x:c>
      <x:c r="H105" s="10" t="str">
        <x:v>mechanism-specific production inspection</x:v>
      </x:c>
      <x:c r="I105" s="7" t="str"/>
      <x:c r="J105" s="7" t="str"/>
      <x:c r="K105" s="7" t="str"/>
      <x:c r="L105" s="7" t="str">
        <x:f>IF(K105="","OPEN",IF(OR(I105="",J105=""),"FAIL","PASS"))</x:f>
        <x:v>OPEN</x:v>
      </x:c>
    </x:row>
    <x:row r="106" ht="38" customHeight="1">
      <x:c r="B106" s="7" t="str">
        <x:v>NDE-TRV-PEA-A-Y2-20</x:v>
      </x:c>
      <x:c r="C106" s="7" t="str">
        <x:v>TRV-PEA-A-Y2-20</x:v>
      </x:c>
      <x:c r="D106" s="7" t="str">
        <x:v>PEA-A-Y2</x:v>
      </x:c>
      <x:c r="E106" s="7" t="str">
        <x:v>BLD-A</x:v>
      </x:c>
      <x:c r="F106" s="7" t="str">
        <x:v>BL-Y</x:v>
      </x:c>
      <x:c r="G106" s="7" t="str">
        <x:v>CS-20</x:v>
      </x:c>
      <x:c r="H106" s="10" t="str">
        <x:v>mechanism-specific production inspection</x:v>
      </x:c>
      <x:c r="I106" s="7" t="str"/>
      <x:c r="J106" s="7" t="str"/>
      <x:c r="K106" s="7" t="str"/>
      <x:c r="L106" s="7" t="str">
        <x:f>IF(K106="","OPEN",IF(OR(I106="",J106=""),"FAIL","PASS"))</x:f>
        <x:v>OPEN</x:v>
      </x:c>
    </x:row>
    <x:row r="107" ht="38" customHeight="1">
      <x:c r="B107" s="7" t="str">
        <x:v>NDE-TRV-PEA-A-Y3-01</x:v>
      </x:c>
      <x:c r="C107" s="7" t="str">
        <x:v>TRV-PEA-A-Y3-01</x:v>
      </x:c>
      <x:c r="D107" s="7" t="str">
        <x:v>PEA-A-Y3</x:v>
      </x:c>
      <x:c r="E107" s="7" t="str">
        <x:v>BLD-A</x:v>
      </x:c>
      <x:c r="F107" s="7" t="str">
        <x:v>BL-Y</x:v>
      </x:c>
      <x:c r="G107" s="7" t="str">
        <x:v>CS-01</x:v>
      </x:c>
      <x:c r="H107" s="10" t="str">
        <x:v>mechanism-specific production inspection</x:v>
      </x:c>
      <x:c r="I107" s="7" t="str"/>
      <x:c r="J107" s="7" t="str"/>
      <x:c r="K107" s="7" t="str"/>
      <x:c r="L107" s="7" t="str">
        <x:f>IF(K107="","OPEN",IF(OR(I107="",J107=""),"FAIL","PASS"))</x:f>
        <x:v>OPEN</x:v>
      </x:c>
    </x:row>
    <x:row r="108" ht="38" customHeight="1">
      <x:c r="B108" s="7" t="str">
        <x:v>NDE-TRV-PEA-A-Y3-02</x:v>
      </x:c>
      <x:c r="C108" s="7" t="str">
        <x:v>TRV-PEA-A-Y3-02</x:v>
      </x:c>
      <x:c r="D108" s="7" t="str">
        <x:v>PEA-A-Y3</x:v>
      </x:c>
      <x:c r="E108" s="7" t="str">
        <x:v>BLD-A</x:v>
      </x:c>
      <x:c r="F108" s="7" t="str">
        <x:v>BL-Y</x:v>
      </x:c>
      <x:c r="G108" s="7" t="str">
        <x:v>CS-02</x:v>
      </x:c>
      <x:c r="H108" s="10" t="str">
        <x:v>mechanism-specific production inspection</x:v>
      </x:c>
      <x:c r="I108" s="7" t="str"/>
      <x:c r="J108" s="7" t="str"/>
      <x:c r="K108" s="7" t="str"/>
      <x:c r="L108" s="7" t="str">
        <x:f>IF(K108="","OPEN",IF(OR(I108="",J108=""),"FAIL","PASS"))</x:f>
        <x:v>OPEN</x:v>
      </x:c>
    </x:row>
    <x:row r="109" ht="38" customHeight="1">
      <x:c r="B109" s="7" t="str">
        <x:v>NDE-TRV-PEA-A-Y3-03</x:v>
      </x:c>
      <x:c r="C109" s="7" t="str">
        <x:v>TRV-PEA-A-Y3-03</x:v>
      </x:c>
      <x:c r="D109" s="7" t="str">
        <x:v>PEA-A-Y3</x:v>
      </x:c>
      <x:c r="E109" s="7" t="str">
        <x:v>BLD-A</x:v>
      </x:c>
      <x:c r="F109" s="7" t="str">
        <x:v>BL-Y</x:v>
      </x:c>
      <x:c r="G109" s="7" t="str">
        <x:v>CS-03</x:v>
      </x:c>
      <x:c r="H109" s="10" t="str">
        <x:v>mechanism-specific production inspection</x:v>
      </x:c>
      <x:c r="I109" s="7" t="str"/>
      <x:c r="J109" s="7" t="str"/>
      <x:c r="K109" s="7" t="str"/>
      <x:c r="L109" s="7" t="str">
        <x:f>IF(K109="","OPEN",IF(OR(I109="",J109=""),"FAIL","PASS"))</x:f>
        <x:v>OPEN</x:v>
      </x:c>
    </x:row>
    <x:row r="110" ht="38" customHeight="1">
      <x:c r="B110" s="7" t="str">
        <x:v>NDE-TRV-PEA-A-Y3-04</x:v>
      </x:c>
      <x:c r="C110" s="7" t="str">
        <x:v>TRV-PEA-A-Y3-04</x:v>
      </x:c>
      <x:c r="D110" s="7" t="str">
        <x:v>PEA-A-Y3</x:v>
      </x:c>
      <x:c r="E110" s="7" t="str">
        <x:v>BLD-A</x:v>
      </x:c>
      <x:c r="F110" s="7" t="str">
        <x:v>BL-Y</x:v>
      </x:c>
      <x:c r="G110" s="7" t="str">
        <x:v>CS-04</x:v>
      </x:c>
      <x:c r="H110" s="10" t="str">
        <x:v>mechanism-specific production inspection</x:v>
      </x:c>
      <x:c r="I110" s="7" t="str"/>
      <x:c r="J110" s="7" t="str"/>
      <x:c r="K110" s="7" t="str"/>
      <x:c r="L110" s="7" t="str">
        <x:f>IF(K110="","OPEN",IF(OR(I110="",J110=""),"FAIL","PASS"))</x:f>
        <x:v>OPEN</x:v>
      </x:c>
    </x:row>
    <x:row r="111" ht="38" customHeight="1">
      <x:c r="B111" s="7" t="str">
        <x:v>NDE-TRV-PEA-A-Y3-05</x:v>
      </x:c>
      <x:c r="C111" s="7" t="str">
        <x:v>TRV-PEA-A-Y3-05</x:v>
      </x:c>
      <x:c r="D111" s="7" t="str">
        <x:v>PEA-A-Y3</x:v>
      </x:c>
      <x:c r="E111" s="7" t="str">
        <x:v>BLD-A</x:v>
      </x:c>
      <x:c r="F111" s="7" t="str">
        <x:v>BL-Y</x:v>
      </x:c>
      <x:c r="G111" s="7" t="str">
        <x:v>CS-05</x:v>
      </x:c>
      <x:c r="H111" s="10" t="str">
        <x:v>mechanism-specific production inspection</x:v>
      </x:c>
      <x:c r="I111" s="7" t="str"/>
      <x:c r="J111" s="7" t="str"/>
      <x:c r="K111" s="7" t="str"/>
      <x:c r="L111" s="7" t="str">
        <x:f>IF(K111="","OPEN",IF(OR(I111="",J111=""),"FAIL","PASS"))</x:f>
        <x:v>OPEN</x:v>
      </x:c>
    </x:row>
    <x:row r="112" ht="38" customHeight="1">
      <x:c r="B112" s="7" t="str">
        <x:v>NDE-TRV-PEA-A-Y3-06</x:v>
      </x:c>
      <x:c r="C112" s="7" t="str">
        <x:v>TRV-PEA-A-Y3-06</x:v>
      </x:c>
      <x:c r="D112" s="7" t="str">
        <x:v>PEA-A-Y3</x:v>
      </x:c>
      <x:c r="E112" s="7" t="str">
        <x:v>BLD-A</x:v>
      </x:c>
      <x:c r="F112" s="7" t="str">
        <x:v>BL-Y</x:v>
      </x:c>
      <x:c r="G112" s="7" t="str">
        <x:v>CS-06</x:v>
      </x:c>
      <x:c r="H112" s="10" t="str">
        <x:v>mechanism-specific production inspection</x:v>
      </x:c>
      <x:c r="I112" s="7" t="str"/>
      <x:c r="J112" s="7" t="str"/>
      <x:c r="K112" s="7" t="str"/>
      <x:c r="L112" s="7" t="str">
        <x:f>IF(K112="","OPEN",IF(OR(I112="",J112=""),"FAIL","PASS"))</x:f>
        <x:v>OPEN</x:v>
      </x:c>
    </x:row>
    <x:row r="113" ht="38" customHeight="1">
      <x:c r="B113" s="7" t="str">
        <x:v>NDE-TRV-PEA-A-Y3-07</x:v>
      </x:c>
      <x:c r="C113" s="7" t="str">
        <x:v>TRV-PEA-A-Y3-07</x:v>
      </x:c>
      <x:c r="D113" s="7" t="str">
        <x:v>PEA-A-Y3</x:v>
      </x:c>
      <x:c r="E113" s="7" t="str">
        <x:v>BLD-A</x:v>
      </x:c>
      <x:c r="F113" s="7" t="str">
        <x:v>BL-Y</x:v>
      </x:c>
      <x:c r="G113" s="7" t="str">
        <x:v>CS-07</x:v>
      </x:c>
      <x:c r="H113" s="10" t="str">
        <x:v>mechanism-specific production inspection</x:v>
      </x:c>
      <x:c r="I113" s="7" t="str"/>
      <x:c r="J113" s="7" t="str"/>
      <x:c r="K113" s="7" t="str"/>
      <x:c r="L113" s="7" t="str">
        <x:f>IF(K113="","OPEN",IF(OR(I113="",J113=""),"FAIL","PASS"))</x:f>
        <x:v>OPEN</x:v>
      </x:c>
    </x:row>
    <x:row r="114" ht="38" customHeight="1">
      <x:c r="B114" s="7" t="str">
        <x:v>NDE-TRV-PEA-A-Y3-08</x:v>
      </x:c>
      <x:c r="C114" s="7" t="str">
        <x:v>TRV-PEA-A-Y3-08</x:v>
      </x:c>
      <x:c r="D114" s="7" t="str">
        <x:v>PEA-A-Y3</x:v>
      </x:c>
      <x:c r="E114" s="7" t="str">
        <x:v>BLD-A</x:v>
      </x:c>
      <x:c r="F114" s="7" t="str">
        <x:v>BL-Y</x:v>
      </x:c>
      <x:c r="G114" s="7" t="str">
        <x:v>CS-08</x:v>
      </x:c>
      <x:c r="H114" s="10" t="str">
        <x:v>mechanism-specific production inspection</x:v>
      </x:c>
      <x:c r="I114" s="7" t="str"/>
      <x:c r="J114" s="7" t="str"/>
      <x:c r="K114" s="7" t="str"/>
      <x:c r="L114" s="7" t="str">
        <x:f>IF(K114="","OPEN",IF(OR(I114="",J114=""),"FAIL","PASS"))</x:f>
        <x:v>OPEN</x:v>
      </x:c>
    </x:row>
    <x:row r="115" ht="38" customHeight="1">
      <x:c r="B115" s="7" t="str">
        <x:v>NDE-TRV-PEA-A-Y3-09</x:v>
      </x:c>
      <x:c r="C115" s="7" t="str">
        <x:v>TRV-PEA-A-Y3-09</x:v>
      </x:c>
      <x:c r="D115" s="7" t="str">
        <x:v>PEA-A-Y3</x:v>
      </x:c>
      <x:c r="E115" s="7" t="str">
        <x:v>BLD-A</x:v>
      </x:c>
      <x:c r="F115" s="7" t="str">
        <x:v>BL-Y</x:v>
      </x:c>
      <x:c r="G115" s="7" t="str">
        <x:v>CS-09</x:v>
      </x:c>
      <x:c r="H115" s="10" t="str">
        <x:v>mechanism-specific production inspection</x:v>
      </x:c>
      <x:c r="I115" s="7" t="str"/>
      <x:c r="J115" s="7" t="str"/>
      <x:c r="K115" s="7" t="str"/>
      <x:c r="L115" s="7" t="str">
        <x:f>IF(K115="","OPEN",IF(OR(I115="",J115=""),"FAIL","PASS"))</x:f>
        <x:v>OPEN</x:v>
      </x:c>
    </x:row>
    <x:row r="116" ht="38" customHeight="1">
      <x:c r="B116" s="7" t="str">
        <x:v>NDE-TRV-PEA-A-Y3-10</x:v>
      </x:c>
      <x:c r="C116" s="7" t="str">
        <x:v>TRV-PEA-A-Y3-10</x:v>
      </x:c>
      <x:c r="D116" s="7" t="str">
        <x:v>PEA-A-Y3</x:v>
      </x:c>
      <x:c r="E116" s="7" t="str">
        <x:v>BLD-A</x:v>
      </x:c>
      <x:c r="F116" s="7" t="str">
        <x:v>BL-Y</x:v>
      </x:c>
      <x:c r="G116" s="7" t="str">
        <x:v>CS-10</x:v>
      </x:c>
      <x:c r="H116" s="10" t="str">
        <x:v>mechanism-specific production inspection</x:v>
      </x:c>
      <x:c r="I116" s="7" t="str"/>
      <x:c r="J116" s="7" t="str"/>
      <x:c r="K116" s="7" t="str"/>
      <x:c r="L116" s="7" t="str">
        <x:f>IF(K116="","OPEN",IF(OR(I116="",J116=""),"FAIL","PASS"))</x:f>
        <x:v>OPEN</x:v>
      </x:c>
    </x:row>
    <x:row r="117" ht="38" customHeight="1">
      <x:c r="B117" s="7" t="str">
        <x:v>NDE-TRV-PEA-A-Y3-11</x:v>
      </x:c>
      <x:c r="C117" s="7" t="str">
        <x:v>TRV-PEA-A-Y3-11</x:v>
      </x:c>
      <x:c r="D117" s="7" t="str">
        <x:v>PEA-A-Y3</x:v>
      </x:c>
      <x:c r="E117" s="7" t="str">
        <x:v>BLD-A</x:v>
      </x:c>
      <x:c r="F117" s="7" t="str">
        <x:v>BL-Y</x:v>
      </x:c>
      <x:c r="G117" s="7" t="str">
        <x:v>CS-11</x:v>
      </x:c>
      <x:c r="H117" s="10" t="str">
        <x:v>mechanism-specific production inspection</x:v>
      </x:c>
      <x:c r="I117" s="7" t="str"/>
      <x:c r="J117" s="7" t="str"/>
      <x:c r="K117" s="7" t="str"/>
      <x:c r="L117" s="7" t="str">
        <x:f>IF(K117="","OPEN",IF(OR(I117="",J117=""),"FAIL","PASS"))</x:f>
        <x:v>OPEN</x:v>
      </x:c>
    </x:row>
    <x:row r="118" ht="38" customHeight="1">
      <x:c r="B118" s="7" t="str">
        <x:v>NDE-TRV-PEA-A-Y3-12</x:v>
      </x:c>
      <x:c r="C118" s="7" t="str">
        <x:v>TRV-PEA-A-Y3-12</x:v>
      </x:c>
      <x:c r="D118" s="7" t="str">
        <x:v>PEA-A-Y3</x:v>
      </x:c>
      <x:c r="E118" s="7" t="str">
        <x:v>BLD-A</x:v>
      </x:c>
      <x:c r="F118" s="7" t="str">
        <x:v>BL-Y</x:v>
      </x:c>
      <x:c r="G118" s="7" t="str">
        <x:v>CS-12</x:v>
      </x:c>
      <x:c r="H118" s="10" t="str">
        <x:v>mechanism-specific production inspection</x:v>
      </x:c>
      <x:c r="I118" s="7" t="str"/>
      <x:c r="J118" s="7" t="str"/>
      <x:c r="K118" s="7" t="str"/>
      <x:c r="L118" s="7" t="str">
        <x:f>IF(K118="","OPEN",IF(OR(I118="",J118=""),"FAIL","PASS"))</x:f>
        <x:v>OPEN</x:v>
      </x:c>
    </x:row>
    <x:row r="119" ht="38" customHeight="1">
      <x:c r="B119" s="7" t="str">
        <x:v>NDE-TRV-PEA-A-Y3-13</x:v>
      </x:c>
      <x:c r="C119" s="7" t="str">
        <x:v>TRV-PEA-A-Y3-13</x:v>
      </x:c>
      <x:c r="D119" s="7" t="str">
        <x:v>PEA-A-Y3</x:v>
      </x:c>
      <x:c r="E119" s="7" t="str">
        <x:v>BLD-A</x:v>
      </x:c>
      <x:c r="F119" s="7" t="str">
        <x:v>BL-Y</x:v>
      </x:c>
      <x:c r="G119" s="7" t="str">
        <x:v>CS-13</x:v>
      </x:c>
      <x:c r="H119" s="10" t="str">
        <x:v>mechanism-specific production inspection</x:v>
      </x:c>
      <x:c r="I119" s="7" t="str"/>
      <x:c r="J119" s="7" t="str"/>
      <x:c r="K119" s="7" t="str"/>
      <x:c r="L119" s="7" t="str">
        <x:f>IF(K119="","OPEN",IF(OR(I119="",J119=""),"FAIL","PASS"))</x:f>
        <x:v>OPEN</x:v>
      </x:c>
    </x:row>
    <x:row r="120" ht="38" customHeight="1">
      <x:c r="B120" s="7" t="str">
        <x:v>NDE-TRV-PEA-A-Y3-14</x:v>
      </x:c>
      <x:c r="C120" s="7" t="str">
        <x:v>TRV-PEA-A-Y3-14</x:v>
      </x:c>
      <x:c r="D120" s="7" t="str">
        <x:v>PEA-A-Y3</x:v>
      </x:c>
      <x:c r="E120" s="7" t="str">
        <x:v>BLD-A</x:v>
      </x:c>
      <x:c r="F120" s="7" t="str">
        <x:v>BL-Y</x:v>
      </x:c>
      <x:c r="G120" s="7" t="str">
        <x:v>CS-14</x:v>
      </x:c>
      <x:c r="H120" s="10" t="str">
        <x:v>mechanism-specific production inspection</x:v>
      </x:c>
      <x:c r="I120" s="7" t="str"/>
      <x:c r="J120" s="7" t="str"/>
      <x:c r="K120" s="7" t="str"/>
      <x:c r="L120" s="7" t="str">
        <x:f>IF(K120="","OPEN",IF(OR(I120="",J120=""),"FAIL","PASS"))</x:f>
        <x:v>OPEN</x:v>
      </x:c>
    </x:row>
    <x:row r="121" ht="38" customHeight="1">
      <x:c r="B121" s="7" t="str">
        <x:v>NDE-TRV-PEA-A-Y3-15</x:v>
      </x:c>
      <x:c r="C121" s="7" t="str">
        <x:v>TRV-PEA-A-Y3-15</x:v>
      </x:c>
      <x:c r="D121" s="7" t="str">
        <x:v>PEA-A-Y3</x:v>
      </x:c>
      <x:c r="E121" s="7" t="str">
        <x:v>BLD-A</x:v>
      </x:c>
      <x:c r="F121" s="7" t="str">
        <x:v>BL-Y</x:v>
      </x:c>
      <x:c r="G121" s="7" t="str">
        <x:v>CS-15</x:v>
      </x:c>
      <x:c r="H121" s="10" t="str">
        <x:v>mechanism-specific production inspection</x:v>
      </x:c>
      <x:c r="I121" s="7" t="str"/>
      <x:c r="J121" s="7" t="str"/>
      <x:c r="K121" s="7" t="str"/>
      <x:c r="L121" s="7" t="str">
        <x:f>IF(K121="","OPEN",IF(OR(I121="",J121=""),"FAIL","PASS"))</x:f>
        <x:v>OPEN</x:v>
      </x:c>
    </x:row>
    <x:row r="122" ht="38" customHeight="1">
      <x:c r="B122" s="7" t="str">
        <x:v>NDE-TRV-PEA-A-Y3-16</x:v>
      </x:c>
      <x:c r="C122" s="7" t="str">
        <x:v>TRV-PEA-A-Y3-16</x:v>
      </x:c>
      <x:c r="D122" s="7" t="str">
        <x:v>PEA-A-Y3</x:v>
      </x:c>
      <x:c r="E122" s="7" t="str">
        <x:v>BLD-A</x:v>
      </x:c>
      <x:c r="F122" s="7" t="str">
        <x:v>BL-Y</x:v>
      </x:c>
      <x:c r="G122" s="7" t="str">
        <x:v>CS-16</x:v>
      </x:c>
      <x:c r="H122" s="10" t="str">
        <x:v>mechanism-specific production inspection</x:v>
      </x:c>
      <x:c r="I122" s="7" t="str"/>
      <x:c r="J122" s="7" t="str"/>
      <x:c r="K122" s="7" t="str"/>
      <x:c r="L122" s="7" t="str">
        <x:f>IF(K122="","OPEN",IF(OR(I122="",J122=""),"FAIL","PASS"))</x:f>
        <x:v>OPEN</x:v>
      </x:c>
    </x:row>
    <x:row r="123" ht="38" customHeight="1">
      <x:c r="B123" s="7" t="str">
        <x:v>NDE-TRV-PEA-A-Y3-17</x:v>
      </x:c>
      <x:c r="C123" s="7" t="str">
        <x:v>TRV-PEA-A-Y3-17</x:v>
      </x:c>
      <x:c r="D123" s="7" t="str">
        <x:v>PEA-A-Y3</x:v>
      </x:c>
      <x:c r="E123" s="7" t="str">
        <x:v>BLD-A</x:v>
      </x:c>
      <x:c r="F123" s="7" t="str">
        <x:v>BL-Y</x:v>
      </x:c>
      <x:c r="G123" s="7" t="str">
        <x:v>CS-17</x:v>
      </x:c>
      <x:c r="H123" s="10" t="str">
        <x:v>mechanism-specific production inspection</x:v>
      </x:c>
      <x:c r="I123" s="7" t="str"/>
      <x:c r="J123" s="7" t="str"/>
      <x:c r="K123" s="7" t="str"/>
      <x:c r="L123" s="7" t="str">
        <x:f>IF(K123="","OPEN",IF(OR(I123="",J123=""),"FAIL","PASS"))</x:f>
        <x:v>OPEN</x:v>
      </x:c>
    </x:row>
    <x:row r="124" ht="38" customHeight="1">
      <x:c r="B124" s="7" t="str">
        <x:v>NDE-TRV-PEA-A-Y3-18</x:v>
      </x:c>
      <x:c r="C124" s="7" t="str">
        <x:v>TRV-PEA-A-Y3-18</x:v>
      </x:c>
      <x:c r="D124" s="7" t="str">
        <x:v>PEA-A-Y3</x:v>
      </x:c>
      <x:c r="E124" s="7" t="str">
        <x:v>BLD-A</x:v>
      </x:c>
      <x:c r="F124" s="7" t="str">
        <x:v>BL-Y</x:v>
      </x:c>
      <x:c r="G124" s="7" t="str">
        <x:v>CS-18</x:v>
      </x:c>
      <x:c r="H124" s="10" t="str">
        <x:v>mechanism-specific production inspection</x:v>
      </x:c>
      <x:c r="I124" s="7" t="str"/>
      <x:c r="J124" s="7" t="str"/>
      <x:c r="K124" s="7" t="str"/>
      <x:c r="L124" s="7" t="str">
        <x:f>IF(K124="","OPEN",IF(OR(I124="",J124=""),"FAIL","PASS"))</x:f>
        <x:v>OPEN</x:v>
      </x:c>
    </x:row>
    <x:row r="125" ht="38" customHeight="1">
      <x:c r="B125" s="7" t="str">
        <x:v>NDE-TRV-PEA-A-Y3-19</x:v>
      </x:c>
      <x:c r="C125" s="7" t="str">
        <x:v>TRV-PEA-A-Y3-19</x:v>
      </x:c>
      <x:c r="D125" s="7" t="str">
        <x:v>PEA-A-Y3</x:v>
      </x:c>
      <x:c r="E125" s="7" t="str">
        <x:v>BLD-A</x:v>
      </x:c>
      <x:c r="F125" s="7" t="str">
        <x:v>BL-Y</x:v>
      </x:c>
      <x:c r="G125" s="7" t="str">
        <x:v>CS-19</x:v>
      </x:c>
      <x:c r="H125" s="10" t="str">
        <x:v>mechanism-specific production inspection</x:v>
      </x:c>
      <x:c r="I125" s="7" t="str"/>
      <x:c r="J125" s="7" t="str"/>
      <x:c r="K125" s="7" t="str"/>
      <x:c r="L125" s="7" t="str">
        <x:f>IF(K125="","OPEN",IF(OR(I125="",J125=""),"FAIL","PASS"))</x:f>
        <x:v>OPEN</x:v>
      </x:c>
    </x:row>
    <x:row r="126" ht="38" customHeight="1">
      <x:c r="B126" s="7" t="str">
        <x:v>NDE-TRV-PEA-A-Y3-20</x:v>
      </x:c>
      <x:c r="C126" s="7" t="str">
        <x:v>TRV-PEA-A-Y3-20</x:v>
      </x:c>
      <x:c r="D126" s="7" t="str">
        <x:v>PEA-A-Y3</x:v>
      </x:c>
      <x:c r="E126" s="7" t="str">
        <x:v>BLD-A</x:v>
      </x:c>
      <x:c r="F126" s="7" t="str">
        <x:v>BL-Y</x:v>
      </x:c>
      <x:c r="G126" s="7" t="str">
        <x:v>CS-20</x:v>
      </x:c>
      <x:c r="H126" s="10" t="str">
        <x:v>mechanism-specific production inspection</x:v>
      </x:c>
      <x:c r="I126" s="7" t="str"/>
      <x:c r="J126" s="7" t="str"/>
      <x:c r="K126" s="7" t="str"/>
      <x:c r="L126" s="7" t="str">
        <x:f>IF(K126="","OPEN",IF(OR(I126="",J126=""),"FAIL","PASS"))</x:f>
        <x:v>OPEN</x:v>
      </x:c>
    </x:row>
    <x:row r="127" ht="38" customHeight="1">
      <x:c r="B127" s="7" t="str">
        <x:v>NDE-TRV-PEA-B-X1-01</x:v>
      </x:c>
      <x:c r="C127" s="7" t="str">
        <x:v>TRV-PEA-B-X1-01</x:v>
      </x:c>
      <x:c r="D127" s="7" t="str">
        <x:v>PEA-B-X1</x:v>
      </x:c>
      <x:c r="E127" s="7" t="str">
        <x:v>BLD-B</x:v>
      </x:c>
      <x:c r="F127" s="7" t="str">
        <x:v>BL-X</x:v>
      </x:c>
      <x:c r="G127" s="7" t="str">
        <x:v>CS-01</x:v>
      </x:c>
      <x:c r="H127" s="10" t="str">
        <x:v>mechanism-specific production inspection</x:v>
      </x:c>
      <x:c r="I127" s="7" t="str"/>
      <x:c r="J127" s="7" t="str"/>
      <x:c r="K127" s="7" t="str"/>
      <x:c r="L127" s="7" t="str">
        <x:f>IF(K127="","OPEN",IF(OR(I127="",J127=""),"FAIL","PASS"))</x:f>
        <x:v>OPEN</x:v>
      </x:c>
    </x:row>
    <x:row r="128" ht="38" customHeight="1">
      <x:c r="B128" s="7" t="str">
        <x:v>NDE-TRV-PEA-B-X1-02</x:v>
      </x:c>
      <x:c r="C128" s="7" t="str">
        <x:v>TRV-PEA-B-X1-02</x:v>
      </x:c>
      <x:c r="D128" s="7" t="str">
        <x:v>PEA-B-X1</x:v>
      </x:c>
      <x:c r="E128" s="7" t="str">
        <x:v>BLD-B</x:v>
      </x:c>
      <x:c r="F128" s="7" t="str">
        <x:v>BL-X</x:v>
      </x:c>
      <x:c r="G128" s="7" t="str">
        <x:v>CS-02</x:v>
      </x:c>
      <x:c r="H128" s="10" t="str">
        <x:v>mechanism-specific production inspection</x:v>
      </x:c>
      <x:c r="I128" s="7" t="str"/>
      <x:c r="J128" s="7" t="str"/>
      <x:c r="K128" s="7" t="str"/>
      <x:c r="L128" s="7" t="str">
        <x:f>IF(K128="","OPEN",IF(OR(I128="",J128=""),"FAIL","PASS"))</x:f>
        <x:v>OPEN</x:v>
      </x:c>
    </x:row>
    <x:row r="129" ht="38" customHeight="1">
      <x:c r="B129" s="7" t="str">
        <x:v>NDE-TRV-PEA-B-X1-03</x:v>
      </x:c>
      <x:c r="C129" s="7" t="str">
        <x:v>TRV-PEA-B-X1-03</x:v>
      </x:c>
      <x:c r="D129" s="7" t="str">
        <x:v>PEA-B-X1</x:v>
      </x:c>
      <x:c r="E129" s="7" t="str">
        <x:v>BLD-B</x:v>
      </x:c>
      <x:c r="F129" s="7" t="str">
        <x:v>BL-X</x:v>
      </x:c>
      <x:c r="G129" s="7" t="str">
        <x:v>CS-03</x:v>
      </x:c>
      <x:c r="H129" s="10" t="str">
        <x:v>mechanism-specific production inspection</x:v>
      </x:c>
      <x:c r="I129" s="7" t="str"/>
      <x:c r="J129" s="7" t="str"/>
      <x:c r="K129" s="7" t="str"/>
      <x:c r="L129" s="7" t="str">
        <x:f>IF(K129="","OPEN",IF(OR(I129="",J129=""),"FAIL","PASS"))</x:f>
        <x:v>OPEN</x:v>
      </x:c>
    </x:row>
    <x:row r="130" ht="38" customHeight="1">
      <x:c r="B130" s="7" t="str">
        <x:v>NDE-TRV-PEA-B-X1-04</x:v>
      </x:c>
      <x:c r="C130" s="7" t="str">
        <x:v>TRV-PEA-B-X1-04</x:v>
      </x:c>
      <x:c r="D130" s="7" t="str">
        <x:v>PEA-B-X1</x:v>
      </x:c>
      <x:c r="E130" s="7" t="str">
        <x:v>BLD-B</x:v>
      </x:c>
      <x:c r="F130" s="7" t="str">
        <x:v>BL-X</x:v>
      </x:c>
      <x:c r="G130" s="7" t="str">
        <x:v>CS-04</x:v>
      </x:c>
      <x:c r="H130" s="10" t="str">
        <x:v>mechanism-specific production inspection</x:v>
      </x:c>
      <x:c r="I130" s="7" t="str"/>
      <x:c r="J130" s="7" t="str"/>
      <x:c r="K130" s="7" t="str"/>
      <x:c r="L130" s="7" t="str">
        <x:f>IF(K130="","OPEN",IF(OR(I130="",J130=""),"FAIL","PASS"))</x:f>
        <x:v>OPEN</x:v>
      </x:c>
    </x:row>
    <x:row r="131" ht="38" customHeight="1">
      <x:c r="B131" s="7" t="str">
        <x:v>NDE-TRV-PEA-B-X1-05</x:v>
      </x:c>
      <x:c r="C131" s="7" t="str">
        <x:v>TRV-PEA-B-X1-05</x:v>
      </x:c>
      <x:c r="D131" s="7" t="str">
        <x:v>PEA-B-X1</x:v>
      </x:c>
      <x:c r="E131" s="7" t="str">
        <x:v>BLD-B</x:v>
      </x:c>
      <x:c r="F131" s="7" t="str">
        <x:v>BL-X</x:v>
      </x:c>
      <x:c r="G131" s="7" t="str">
        <x:v>CS-05</x:v>
      </x:c>
      <x:c r="H131" s="10" t="str">
        <x:v>mechanism-specific production inspection</x:v>
      </x:c>
      <x:c r="I131" s="7" t="str"/>
      <x:c r="J131" s="7" t="str"/>
      <x:c r="K131" s="7" t="str"/>
      <x:c r="L131" s="7" t="str">
        <x:f>IF(K131="","OPEN",IF(OR(I131="",J131=""),"FAIL","PASS"))</x:f>
        <x:v>OPEN</x:v>
      </x:c>
    </x:row>
    <x:row r="132" ht="38" customHeight="1">
      <x:c r="B132" s="7" t="str">
        <x:v>NDE-TRV-PEA-B-X1-06</x:v>
      </x:c>
      <x:c r="C132" s="7" t="str">
        <x:v>TRV-PEA-B-X1-06</x:v>
      </x:c>
      <x:c r="D132" s="7" t="str">
        <x:v>PEA-B-X1</x:v>
      </x:c>
      <x:c r="E132" s="7" t="str">
        <x:v>BLD-B</x:v>
      </x:c>
      <x:c r="F132" s="7" t="str">
        <x:v>BL-X</x:v>
      </x:c>
      <x:c r="G132" s="7" t="str">
        <x:v>CS-06</x:v>
      </x:c>
      <x:c r="H132" s="10" t="str">
        <x:v>mechanism-specific production inspection</x:v>
      </x:c>
      <x:c r="I132" s="7" t="str"/>
      <x:c r="J132" s="7" t="str"/>
      <x:c r="K132" s="7" t="str"/>
      <x:c r="L132" s="7" t="str">
        <x:f>IF(K132="","OPEN",IF(OR(I132="",J132=""),"FAIL","PASS"))</x:f>
        <x:v>OPEN</x:v>
      </x:c>
    </x:row>
    <x:row r="133" ht="38" customHeight="1">
      <x:c r="B133" s="7" t="str">
        <x:v>NDE-TRV-PEA-B-X1-07</x:v>
      </x:c>
      <x:c r="C133" s="7" t="str">
        <x:v>TRV-PEA-B-X1-07</x:v>
      </x:c>
      <x:c r="D133" s="7" t="str">
        <x:v>PEA-B-X1</x:v>
      </x:c>
      <x:c r="E133" s="7" t="str">
        <x:v>BLD-B</x:v>
      </x:c>
      <x:c r="F133" s="7" t="str">
        <x:v>BL-X</x:v>
      </x:c>
      <x:c r="G133" s="7" t="str">
        <x:v>CS-07</x:v>
      </x:c>
      <x:c r="H133" s="10" t="str">
        <x:v>mechanism-specific production inspection</x:v>
      </x:c>
      <x:c r="I133" s="7" t="str"/>
      <x:c r="J133" s="7" t="str"/>
      <x:c r="K133" s="7" t="str"/>
      <x:c r="L133" s="7" t="str">
        <x:f>IF(K133="","OPEN",IF(OR(I133="",J133=""),"FAIL","PASS"))</x:f>
        <x:v>OPEN</x:v>
      </x:c>
    </x:row>
    <x:row r="134" ht="38" customHeight="1">
      <x:c r="B134" s="7" t="str">
        <x:v>NDE-TRV-PEA-B-X1-08</x:v>
      </x:c>
      <x:c r="C134" s="7" t="str">
        <x:v>TRV-PEA-B-X1-08</x:v>
      </x:c>
      <x:c r="D134" s="7" t="str">
        <x:v>PEA-B-X1</x:v>
      </x:c>
      <x:c r="E134" s="7" t="str">
        <x:v>BLD-B</x:v>
      </x:c>
      <x:c r="F134" s="7" t="str">
        <x:v>BL-X</x:v>
      </x:c>
      <x:c r="G134" s="7" t="str">
        <x:v>CS-08</x:v>
      </x:c>
      <x:c r="H134" s="10" t="str">
        <x:v>mechanism-specific production inspection</x:v>
      </x:c>
      <x:c r="I134" s="7" t="str"/>
      <x:c r="J134" s="7" t="str"/>
      <x:c r="K134" s="7" t="str"/>
      <x:c r="L134" s="7" t="str">
        <x:f>IF(K134="","OPEN",IF(OR(I134="",J134=""),"FAIL","PASS"))</x:f>
        <x:v>OPEN</x:v>
      </x:c>
    </x:row>
    <x:row r="135" ht="38" customHeight="1">
      <x:c r="B135" s="7" t="str">
        <x:v>NDE-TRV-PEA-B-X1-09</x:v>
      </x:c>
      <x:c r="C135" s="7" t="str">
        <x:v>TRV-PEA-B-X1-09</x:v>
      </x:c>
      <x:c r="D135" s="7" t="str">
        <x:v>PEA-B-X1</x:v>
      </x:c>
      <x:c r="E135" s="7" t="str">
        <x:v>BLD-B</x:v>
      </x:c>
      <x:c r="F135" s="7" t="str">
        <x:v>BL-X</x:v>
      </x:c>
      <x:c r="G135" s="7" t="str">
        <x:v>CS-09</x:v>
      </x:c>
      <x:c r="H135" s="10" t="str">
        <x:v>mechanism-specific production inspection</x:v>
      </x:c>
      <x:c r="I135" s="7" t="str"/>
      <x:c r="J135" s="7" t="str"/>
      <x:c r="K135" s="7" t="str"/>
      <x:c r="L135" s="7" t="str">
        <x:f>IF(K135="","OPEN",IF(OR(I135="",J135=""),"FAIL","PASS"))</x:f>
        <x:v>OPEN</x:v>
      </x:c>
    </x:row>
    <x:row r="136" ht="38" customHeight="1">
      <x:c r="B136" s="7" t="str">
        <x:v>NDE-TRV-PEA-B-X1-10</x:v>
      </x:c>
      <x:c r="C136" s="7" t="str">
        <x:v>TRV-PEA-B-X1-10</x:v>
      </x:c>
      <x:c r="D136" s="7" t="str">
        <x:v>PEA-B-X1</x:v>
      </x:c>
      <x:c r="E136" s="7" t="str">
        <x:v>BLD-B</x:v>
      </x:c>
      <x:c r="F136" s="7" t="str">
        <x:v>BL-X</x:v>
      </x:c>
      <x:c r="G136" s="7" t="str">
        <x:v>CS-10</x:v>
      </x:c>
      <x:c r="H136" s="10" t="str">
        <x:v>mechanism-specific production inspection</x:v>
      </x:c>
      <x:c r="I136" s="7" t="str"/>
      <x:c r="J136" s="7" t="str"/>
      <x:c r="K136" s="7" t="str"/>
      <x:c r="L136" s="7" t="str">
        <x:f>IF(K136="","OPEN",IF(OR(I136="",J136=""),"FAIL","PASS"))</x:f>
        <x:v>OPEN</x:v>
      </x:c>
    </x:row>
    <x:row r="137" ht="38" customHeight="1">
      <x:c r="B137" s="7" t="str">
        <x:v>NDE-TRV-PEA-B-X1-11</x:v>
      </x:c>
      <x:c r="C137" s="7" t="str">
        <x:v>TRV-PEA-B-X1-11</x:v>
      </x:c>
      <x:c r="D137" s="7" t="str">
        <x:v>PEA-B-X1</x:v>
      </x:c>
      <x:c r="E137" s="7" t="str">
        <x:v>BLD-B</x:v>
      </x:c>
      <x:c r="F137" s="7" t="str">
        <x:v>BL-X</x:v>
      </x:c>
      <x:c r="G137" s="7" t="str">
        <x:v>CS-11</x:v>
      </x:c>
      <x:c r="H137" s="10" t="str">
        <x:v>mechanism-specific production inspection</x:v>
      </x:c>
      <x:c r="I137" s="7" t="str"/>
      <x:c r="J137" s="7" t="str"/>
      <x:c r="K137" s="7" t="str"/>
      <x:c r="L137" s="7" t="str">
        <x:f>IF(K137="","OPEN",IF(OR(I137="",J137=""),"FAIL","PASS"))</x:f>
        <x:v>OPEN</x:v>
      </x:c>
    </x:row>
    <x:row r="138" ht="38" customHeight="1">
      <x:c r="B138" s="7" t="str">
        <x:v>NDE-TRV-PEA-B-X1-12</x:v>
      </x:c>
      <x:c r="C138" s="7" t="str">
        <x:v>TRV-PEA-B-X1-12</x:v>
      </x:c>
      <x:c r="D138" s="7" t="str">
        <x:v>PEA-B-X1</x:v>
      </x:c>
      <x:c r="E138" s="7" t="str">
        <x:v>BLD-B</x:v>
      </x:c>
      <x:c r="F138" s="7" t="str">
        <x:v>BL-X</x:v>
      </x:c>
      <x:c r="G138" s="7" t="str">
        <x:v>CS-12</x:v>
      </x:c>
      <x:c r="H138" s="10" t="str">
        <x:v>mechanism-specific production inspection</x:v>
      </x:c>
      <x:c r="I138" s="7" t="str"/>
      <x:c r="J138" s="7" t="str"/>
      <x:c r="K138" s="7" t="str"/>
      <x:c r="L138" s="7" t="str">
        <x:f>IF(K138="","OPEN",IF(OR(I138="",J138=""),"FAIL","PASS"))</x:f>
        <x:v>OPEN</x:v>
      </x:c>
    </x:row>
    <x:row r="139" ht="38" customHeight="1">
      <x:c r="B139" s="7" t="str">
        <x:v>NDE-TRV-PEA-B-X1-13</x:v>
      </x:c>
      <x:c r="C139" s="7" t="str">
        <x:v>TRV-PEA-B-X1-13</x:v>
      </x:c>
      <x:c r="D139" s="7" t="str">
        <x:v>PEA-B-X1</x:v>
      </x:c>
      <x:c r="E139" s="7" t="str">
        <x:v>BLD-B</x:v>
      </x:c>
      <x:c r="F139" s="7" t="str">
        <x:v>BL-X</x:v>
      </x:c>
      <x:c r="G139" s="7" t="str">
        <x:v>CS-13</x:v>
      </x:c>
      <x:c r="H139" s="10" t="str">
        <x:v>mechanism-specific production inspection</x:v>
      </x:c>
      <x:c r="I139" s="7" t="str"/>
      <x:c r="J139" s="7" t="str"/>
      <x:c r="K139" s="7" t="str"/>
      <x:c r="L139" s="7" t="str">
        <x:f>IF(K139="","OPEN",IF(OR(I139="",J139=""),"FAIL","PASS"))</x:f>
        <x:v>OPEN</x:v>
      </x:c>
    </x:row>
    <x:row r="140" ht="38" customHeight="1">
      <x:c r="B140" s="7" t="str">
        <x:v>NDE-TRV-PEA-B-X1-14</x:v>
      </x:c>
      <x:c r="C140" s="7" t="str">
        <x:v>TRV-PEA-B-X1-14</x:v>
      </x:c>
      <x:c r="D140" s="7" t="str">
        <x:v>PEA-B-X1</x:v>
      </x:c>
      <x:c r="E140" s="7" t="str">
        <x:v>BLD-B</x:v>
      </x:c>
      <x:c r="F140" s="7" t="str">
        <x:v>BL-X</x:v>
      </x:c>
      <x:c r="G140" s="7" t="str">
        <x:v>CS-14</x:v>
      </x:c>
      <x:c r="H140" s="10" t="str">
        <x:v>mechanism-specific production inspection</x:v>
      </x:c>
      <x:c r="I140" s="7" t="str"/>
      <x:c r="J140" s="7" t="str"/>
      <x:c r="K140" s="7" t="str"/>
      <x:c r="L140" s="7" t="str">
        <x:f>IF(K140="","OPEN",IF(OR(I140="",J140=""),"FAIL","PASS"))</x:f>
        <x:v>OPEN</x:v>
      </x:c>
    </x:row>
    <x:row r="141" ht="38" customHeight="1">
      <x:c r="B141" s="7" t="str">
        <x:v>NDE-TRV-PEA-B-X1-15</x:v>
      </x:c>
      <x:c r="C141" s="7" t="str">
        <x:v>TRV-PEA-B-X1-15</x:v>
      </x:c>
      <x:c r="D141" s="7" t="str">
        <x:v>PEA-B-X1</x:v>
      </x:c>
      <x:c r="E141" s="7" t="str">
        <x:v>BLD-B</x:v>
      </x:c>
      <x:c r="F141" s="7" t="str">
        <x:v>BL-X</x:v>
      </x:c>
      <x:c r="G141" s="7" t="str">
        <x:v>CS-15</x:v>
      </x:c>
      <x:c r="H141" s="10" t="str">
        <x:v>mechanism-specific production inspection</x:v>
      </x:c>
      <x:c r="I141" s="7" t="str"/>
      <x:c r="J141" s="7" t="str"/>
      <x:c r="K141" s="7" t="str"/>
      <x:c r="L141" s="7" t="str">
        <x:f>IF(K141="","OPEN",IF(OR(I141="",J141=""),"FAIL","PASS"))</x:f>
        <x:v>OPEN</x:v>
      </x:c>
    </x:row>
    <x:row r="142" ht="38" customHeight="1">
      <x:c r="B142" s="7" t="str">
        <x:v>NDE-TRV-PEA-B-X1-16</x:v>
      </x:c>
      <x:c r="C142" s="7" t="str">
        <x:v>TRV-PEA-B-X1-16</x:v>
      </x:c>
      <x:c r="D142" s="7" t="str">
        <x:v>PEA-B-X1</x:v>
      </x:c>
      <x:c r="E142" s="7" t="str">
        <x:v>BLD-B</x:v>
      </x:c>
      <x:c r="F142" s="7" t="str">
        <x:v>BL-X</x:v>
      </x:c>
      <x:c r="G142" s="7" t="str">
        <x:v>CS-16</x:v>
      </x:c>
      <x:c r="H142" s="10" t="str">
        <x:v>mechanism-specific production inspection</x:v>
      </x:c>
      <x:c r="I142" s="7" t="str"/>
      <x:c r="J142" s="7" t="str"/>
      <x:c r="K142" s="7" t="str"/>
      <x:c r="L142" s="7" t="str">
        <x:f>IF(K142="","OPEN",IF(OR(I142="",J142=""),"FAIL","PASS"))</x:f>
        <x:v>OPEN</x:v>
      </x:c>
    </x:row>
    <x:row r="143" ht="38" customHeight="1">
      <x:c r="B143" s="7" t="str">
        <x:v>NDE-TRV-PEA-B-X1-17</x:v>
      </x:c>
      <x:c r="C143" s="7" t="str">
        <x:v>TRV-PEA-B-X1-17</x:v>
      </x:c>
      <x:c r="D143" s="7" t="str">
        <x:v>PEA-B-X1</x:v>
      </x:c>
      <x:c r="E143" s="7" t="str">
        <x:v>BLD-B</x:v>
      </x:c>
      <x:c r="F143" s="7" t="str">
        <x:v>BL-X</x:v>
      </x:c>
      <x:c r="G143" s="7" t="str">
        <x:v>CS-17</x:v>
      </x:c>
      <x:c r="H143" s="10" t="str">
        <x:v>mechanism-specific production inspection</x:v>
      </x:c>
      <x:c r="I143" s="7" t="str"/>
      <x:c r="J143" s="7" t="str"/>
      <x:c r="K143" s="7" t="str"/>
      <x:c r="L143" s="7" t="str">
        <x:f>IF(K143="","OPEN",IF(OR(I143="",J143=""),"FAIL","PASS"))</x:f>
        <x:v>OPEN</x:v>
      </x:c>
    </x:row>
    <x:row r="144" ht="38" customHeight="1">
      <x:c r="B144" s="7" t="str">
        <x:v>NDE-TRV-PEA-B-X1-18</x:v>
      </x:c>
      <x:c r="C144" s="7" t="str">
        <x:v>TRV-PEA-B-X1-18</x:v>
      </x:c>
      <x:c r="D144" s="7" t="str">
        <x:v>PEA-B-X1</x:v>
      </x:c>
      <x:c r="E144" s="7" t="str">
        <x:v>BLD-B</x:v>
      </x:c>
      <x:c r="F144" s="7" t="str">
        <x:v>BL-X</x:v>
      </x:c>
      <x:c r="G144" s="7" t="str">
        <x:v>CS-18</x:v>
      </x:c>
      <x:c r="H144" s="10" t="str">
        <x:v>mechanism-specific production inspection</x:v>
      </x:c>
      <x:c r="I144" s="7" t="str"/>
      <x:c r="J144" s="7" t="str"/>
      <x:c r="K144" s="7" t="str"/>
      <x:c r="L144" s="7" t="str">
        <x:f>IF(K144="","OPEN",IF(OR(I144="",J144=""),"FAIL","PASS"))</x:f>
        <x:v>OPEN</x:v>
      </x:c>
    </x:row>
    <x:row r="145" ht="38" customHeight="1">
      <x:c r="B145" s="7" t="str">
        <x:v>NDE-TRV-PEA-B-X1-19</x:v>
      </x:c>
      <x:c r="C145" s="7" t="str">
        <x:v>TRV-PEA-B-X1-19</x:v>
      </x:c>
      <x:c r="D145" s="7" t="str">
        <x:v>PEA-B-X1</x:v>
      </x:c>
      <x:c r="E145" s="7" t="str">
        <x:v>BLD-B</x:v>
      </x:c>
      <x:c r="F145" s="7" t="str">
        <x:v>BL-X</x:v>
      </x:c>
      <x:c r="G145" s="7" t="str">
        <x:v>CS-19</x:v>
      </x:c>
      <x:c r="H145" s="10" t="str">
        <x:v>mechanism-specific production inspection</x:v>
      </x:c>
      <x:c r="I145" s="7" t="str"/>
      <x:c r="J145" s="7" t="str"/>
      <x:c r="K145" s="7" t="str"/>
      <x:c r="L145" s="7" t="str">
        <x:f>IF(K145="","OPEN",IF(OR(I145="",J145=""),"FAIL","PASS"))</x:f>
        <x:v>OPEN</x:v>
      </x:c>
    </x:row>
    <x:row r="146" ht="38" customHeight="1">
      <x:c r="B146" s="7" t="str">
        <x:v>NDE-TRV-PEA-B-X1-20</x:v>
      </x:c>
      <x:c r="C146" s="7" t="str">
        <x:v>TRV-PEA-B-X1-20</x:v>
      </x:c>
      <x:c r="D146" s="7" t="str">
        <x:v>PEA-B-X1</x:v>
      </x:c>
      <x:c r="E146" s="7" t="str">
        <x:v>BLD-B</x:v>
      </x:c>
      <x:c r="F146" s="7" t="str">
        <x:v>BL-X</x:v>
      </x:c>
      <x:c r="G146" s="7" t="str">
        <x:v>CS-20</x:v>
      </x:c>
      <x:c r="H146" s="10" t="str">
        <x:v>mechanism-specific production inspection</x:v>
      </x:c>
      <x:c r="I146" s="7" t="str"/>
      <x:c r="J146" s="7" t="str"/>
      <x:c r="K146" s="7" t="str"/>
      <x:c r="L146" s="7" t="str">
        <x:f>IF(K146="","OPEN",IF(OR(I146="",J146=""),"FAIL","PASS"))</x:f>
        <x:v>OPEN</x:v>
      </x:c>
    </x:row>
    <x:row r="147" ht="38" customHeight="1">
      <x:c r="B147" s="7" t="str">
        <x:v>NDE-TRV-PEA-B-X2-01</x:v>
      </x:c>
      <x:c r="C147" s="7" t="str">
        <x:v>TRV-PEA-B-X2-01</x:v>
      </x:c>
      <x:c r="D147" s="7" t="str">
        <x:v>PEA-B-X2</x:v>
      </x:c>
      <x:c r="E147" s="7" t="str">
        <x:v>BLD-B</x:v>
      </x:c>
      <x:c r="F147" s="7" t="str">
        <x:v>BL-X</x:v>
      </x:c>
      <x:c r="G147" s="7" t="str">
        <x:v>CS-01</x:v>
      </x:c>
      <x:c r="H147" s="10" t="str">
        <x:v>mechanism-specific production inspection</x:v>
      </x:c>
      <x:c r="I147" s="7" t="str"/>
      <x:c r="J147" s="7" t="str"/>
      <x:c r="K147" s="7" t="str"/>
      <x:c r="L147" s="7" t="str">
        <x:f>IF(K147="","OPEN",IF(OR(I147="",J147=""),"FAIL","PASS"))</x:f>
        <x:v>OPEN</x:v>
      </x:c>
    </x:row>
    <x:row r="148" ht="38" customHeight="1">
      <x:c r="B148" s="7" t="str">
        <x:v>NDE-TRV-PEA-B-X2-02</x:v>
      </x:c>
      <x:c r="C148" s="7" t="str">
        <x:v>TRV-PEA-B-X2-02</x:v>
      </x:c>
      <x:c r="D148" s="7" t="str">
        <x:v>PEA-B-X2</x:v>
      </x:c>
      <x:c r="E148" s="7" t="str">
        <x:v>BLD-B</x:v>
      </x:c>
      <x:c r="F148" s="7" t="str">
        <x:v>BL-X</x:v>
      </x:c>
      <x:c r="G148" s="7" t="str">
        <x:v>CS-02</x:v>
      </x:c>
      <x:c r="H148" s="10" t="str">
        <x:v>mechanism-specific production inspection</x:v>
      </x:c>
      <x:c r="I148" s="7" t="str"/>
      <x:c r="J148" s="7" t="str"/>
      <x:c r="K148" s="7" t="str"/>
      <x:c r="L148" s="7" t="str">
        <x:f>IF(K148="","OPEN",IF(OR(I148="",J148=""),"FAIL","PASS"))</x:f>
        <x:v>OPEN</x:v>
      </x:c>
    </x:row>
    <x:row r="149" ht="38" customHeight="1">
      <x:c r="B149" s="7" t="str">
        <x:v>NDE-TRV-PEA-B-X2-03</x:v>
      </x:c>
      <x:c r="C149" s="7" t="str">
        <x:v>TRV-PEA-B-X2-03</x:v>
      </x:c>
      <x:c r="D149" s="7" t="str">
        <x:v>PEA-B-X2</x:v>
      </x:c>
      <x:c r="E149" s="7" t="str">
        <x:v>BLD-B</x:v>
      </x:c>
      <x:c r="F149" s="7" t="str">
        <x:v>BL-X</x:v>
      </x:c>
      <x:c r="G149" s="7" t="str">
        <x:v>CS-03</x:v>
      </x:c>
      <x:c r="H149" s="10" t="str">
        <x:v>mechanism-specific production inspection</x:v>
      </x:c>
      <x:c r="I149" s="7" t="str"/>
      <x:c r="J149" s="7" t="str"/>
      <x:c r="K149" s="7" t="str"/>
      <x:c r="L149" s="7" t="str">
        <x:f>IF(K149="","OPEN",IF(OR(I149="",J149=""),"FAIL","PASS"))</x:f>
        <x:v>OPEN</x:v>
      </x:c>
    </x:row>
    <x:row r="150" ht="38" customHeight="1">
      <x:c r="B150" s="7" t="str">
        <x:v>NDE-TRV-PEA-B-X2-04</x:v>
      </x:c>
      <x:c r="C150" s="7" t="str">
        <x:v>TRV-PEA-B-X2-04</x:v>
      </x:c>
      <x:c r="D150" s="7" t="str">
        <x:v>PEA-B-X2</x:v>
      </x:c>
      <x:c r="E150" s="7" t="str">
        <x:v>BLD-B</x:v>
      </x:c>
      <x:c r="F150" s="7" t="str">
        <x:v>BL-X</x:v>
      </x:c>
      <x:c r="G150" s="7" t="str">
        <x:v>CS-04</x:v>
      </x:c>
      <x:c r="H150" s="10" t="str">
        <x:v>mechanism-specific production inspection</x:v>
      </x:c>
      <x:c r="I150" s="7" t="str"/>
      <x:c r="J150" s="7" t="str"/>
      <x:c r="K150" s="7" t="str"/>
      <x:c r="L150" s="7" t="str">
        <x:f>IF(K150="","OPEN",IF(OR(I150="",J150=""),"FAIL","PASS"))</x:f>
        <x:v>OPEN</x:v>
      </x:c>
    </x:row>
    <x:row r="151" ht="38" customHeight="1">
      <x:c r="B151" s="7" t="str">
        <x:v>NDE-TRV-PEA-B-X2-05</x:v>
      </x:c>
      <x:c r="C151" s="7" t="str">
        <x:v>TRV-PEA-B-X2-05</x:v>
      </x:c>
      <x:c r="D151" s="7" t="str">
        <x:v>PEA-B-X2</x:v>
      </x:c>
      <x:c r="E151" s="7" t="str">
        <x:v>BLD-B</x:v>
      </x:c>
      <x:c r="F151" s="7" t="str">
        <x:v>BL-X</x:v>
      </x:c>
      <x:c r="G151" s="7" t="str">
        <x:v>CS-05</x:v>
      </x:c>
      <x:c r="H151" s="10" t="str">
        <x:v>mechanism-specific production inspection</x:v>
      </x:c>
      <x:c r="I151" s="7" t="str"/>
      <x:c r="J151" s="7" t="str"/>
      <x:c r="K151" s="7" t="str"/>
      <x:c r="L151" s="7" t="str">
        <x:f>IF(K151="","OPEN",IF(OR(I151="",J151=""),"FAIL","PASS"))</x:f>
        <x:v>OPEN</x:v>
      </x:c>
    </x:row>
    <x:row r="152" ht="38" customHeight="1">
      <x:c r="B152" s="7" t="str">
        <x:v>NDE-TRV-PEA-B-X2-06</x:v>
      </x:c>
      <x:c r="C152" s="7" t="str">
        <x:v>TRV-PEA-B-X2-06</x:v>
      </x:c>
      <x:c r="D152" s="7" t="str">
        <x:v>PEA-B-X2</x:v>
      </x:c>
      <x:c r="E152" s="7" t="str">
        <x:v>BLD-B</x:v>
      </x:c>
      <x:c r="F152" s="7" t="str">
        <x:v>BL-X</x:v>
      </x:c>
      <x:c r="G152" s="7" t="str">
        <x:v>CS-06</x:v>
      </x:c>
      <x:c r="H152" s="10" t="str">
        <x:v>mechanism-specific production inspection</x:v>
      </x:c>
      <x:c r="I152" s="7" t="str"/>
      <x:c r="J152" s="7" t="str"/>
      <x:c r="K152" s="7" t="str"/>
      <x:c r="L152" s="7" t="str">
        <x:f>IF(K152="","OPEN",IF(OR(I152="",J152=""),"FAIL","PASS"))</x:f>
        <x:v>OPEN</x:v>
      </x:c>
    </x:row>
    <x:row r="153" ht="38" customHeight="1">
      <x:c r="B153" s="7" t="str">
        <x:v>NDE-TRV-PEA-B-X2-07</x:v>
      </x:c>
      <x:c r="C153" s="7" t="str">
        <x:v>TRV-PEA-B-X2-07</x:v>
      </x:c>
      <x:c r="D153" s="7" t="str">
        <x:v>PEA-B-X2</x:v>
      </x:c>
      <x:c r="E153" s="7" t="str">
        <x:v>BLD-B</x:v>
      </x:c>
      <x:c r="F153" s="7" t="str">
        <x:v>BL-X</x:v>
      </x:c>
      <x:c r="G153" s="7" t="str">
        <x:v>CS-07</x:v>
      </x:c>
      <x:c r="H153" s="10" t="str">
        <x:v>mechanism-specific production inspection</x:v>
      </x:c>
      <x:c r="I153" s="7" t="str"/>
      <x:c r="J153" s="7" t="str"/>
      <x:c r="K153" s="7" t="str"/>
      <x:c r="L153" s="7" t="str">
        <x:f>IF(K153="","OPEN",IF(OR(I153="",J153=""),"FAIL","PASS"))</x:f>
        <x:v>OPEN</x:v>
      </x:c>
    </x:row>
    <x:row r="154" ht="38" customHeight="1">
      <x:c r="B154" s="7" t="str">
        <x:v>NDE-TRV-PEA-B-X2-08</x:v>
      </x:c>
      <x:c r="C154" s="7" t="str">
        <x:v>TRV-PEA-B-X2-08</x:v>
      </x:c>
      <x:c r="D154" s="7" t="str">
        <x:v>PEA-B-X2</x:v>
      </x:c>
      <x:c r="E154" s="7" t="str">
        <x:v>BLD-B</x:v>
      </x:c>
      <x:c r="F154" s="7" t="str">
        <x:v>BL-X</x:v>
      </x:c>
      <x:c r="G154" s="7" t="str">
        <x:v>CS-08</x:v>
      </x:c>
      <x:c r="H154" s="10" t="str">
        <x:v>mechanism-specific production inspection</x:v>
      </x:c>
      <x:c r="I154" s="7" t="str"/>
      <x:c r="J154" s="7" t="str"/>
      <x:c r="K154" s="7" t="str"/>
      <x:c r="L154" s="7" t="str">
        <x:f>IF(K154="","OPEN",IF(OR(I154="",J154=""),"FAIL","PASS"))</x:f>
        <x:v>OPEN</x:v>
      </x:c>
    </x:row>
    <x:row r="155" ht="38" customHeight="1">
      <x:c r="B155" s="7" t="str">
        <x:v>NDE-TRV-PEA-B-X2-09</x:v>
      </x:c>
      <x:c r="C155" s="7" t="str">
        <x:v>TRV-PEA-B-X2-09</x:v>
      </x:c>
      <x:c r="D155" s="7" t="str">
        <x:v>PEA-B-X2</x:v>
      </x:c>
      <x:c r="E155" s="7" t="str">
        <x:v>BLD-B</x:v>
      </x:c>
      <x:c r="F155" s="7" t="str">
        <x:v>BL-X</x:v>
      </x:c>
      <x:c r="G155" s="7" t="str">
        <x:v>CS-09</x:v>
      </x:c>
      <x:c r="H155" s="10" t="str">
        <x:v>mechanism-specific production inspection</x:v>
      </x:c>
      <x:c r="I155" s="7" t="str"/>
      <x:c r="J155" s="7" t="str"/>
      <x:c r="K155" s="7" t="str"/>
      <x:c r="L155" s="7" t="str">
        <x:f>IF(K155="","OPEN",IF(OR(I155="",J155=""),"FAIL","PASS"))</x:f>
        <x:v>OPEN</x:v>
      </x:c>
    </x:row>
    <x:row r="156" ht="38" customHeight="1">
      <x:c r="B156" s="7" t="str">
        <x:v>NDE-TRV-PEA-B-X2-10</x:v>
      </x:c>
      <x:c r="C156" s="7" t="str">
        <x:v>TRV-PEA-B-X2-10</x:v>
      </x:c>
      <x:c r="D156" s="7" t="str">
        <x:v>PEA-B-X2</x:v>
      </x:c>
      <x:c r="E156" s="7" t="str">
        <x:v>BLD-B</x:v>
      </x:c>
      <x:c r="F156" s="7" t="str">
        <x:v>BL-X</x:v>
      </x:c>
      <x:c r="G156" s="7" t="str">
        <x:v>CS-10</x:v>
      </x:c>
      <x:c r="H156" s="10" t="str">
        <x:v>mechanism-specific production inspection</x:v>
      </x:c>
      <x:c r="I156" s="7" t="str"/>
      <x:c r="J156" s="7" t="str"/>
      <x:c r="K156" s="7" t="str"/>
      <x:c r="L156" s="7" t="str">
        <x:f>IF(K156="","OPEN",IF(OR(I156="",J156=""),"FAIL","PASS"))</x:f>
        <x:v>OPEN</x:v>
      </x:c>
    </x:row>
    <x:row r="157" ht="38" customHeight="1">
      <x:c r="B157" s="7" t="str">
        <x:v>NDE-TRV-PEA-B-X2-11</x:v>
      </x:c>
      <x:c r="C157" s="7" t="str">
        <x:v>TRV-PEA-B-X2-11</x:v>
      </x:c>
      <x:c r="D157" s="7" t="str">
        <x:v>PEA-B-X2</x:v>
      </x:c>
      <x:c r="E157" s="7" t="str">
        <x:v>BLD-B</x:v>
      </x:c>
      <x:c r="F157" s="7" t="str">
        <x:v>BL-X</x:v>
      </x:c>
      <x:c r="G157" s="7" t="str">
        <x:v>CS-11</x:v>
      </x:c>
      <x:c r="H157" s="10" t="str">
        <x:v>mechanism-specific production inspection</x:v>
      </x:c>
      <x:c r="I157" s="7" t="str"/>
      <x:c r="J157" s="7" t="str"/>
      <x:c r="K157" s="7" t="str"/>
      <x:c r="L157" s="7" t="str">
        <x:f>IF(K157="","OPEN",IF(OR(I157="",J157=""),"FAIL","PASS"))</x:f>
        <x:v>OPEN</x:v>
      </x:c>
    </x:row>
    <x:row r="158" ht="38" customHeight="1">
      <x:c r="B158" s="7" t="str">
        <x:v>NDE-TRV-PEA-B-X2-12</x:v>
      </x:c>
      <x:c r="C158" s="7" t="str">
        <x:v>TRV-PEA-B-X2-12</x:v>
      </x:c>
      <x:c r="D158" s="7" t="str">
        <x:v>PEA-B-X2</x:v>
      </x:c>
      <x:c r="E158" s="7" t="str">
        <x:v>BLD-B</x:v>
      </x:c>
      <x:c r="F158" s="7" t="str">
        <x:v>BL-X</x:v>
      </x:c>
      <x:c r="G158" s="7" t="str">
        <x:v>CS-12</x:v>
      </x:c>
      <x:c r="H158" s="10" t="str">
        <x:v>mechanism-specific production inspection</x:v>
      </x:c>
      <x:c r="I158" s="7" t="str"/>
      <x:c r="J158" s="7" t="str"/>
      <x:c r="K158" s="7" t="str"/>
      <x:c r="L158" s="7" t="str">
        <x:f>IF(K158="","OPEN",IF(OR(I158="",J158=""),"FAIL","PASS"))</x:f>
        <x:v>OPEN</x:v>
      </x:c>
    </x:row>
    <x:row r="159" ht="38" customHeight="1">
      <x:c r="B159" s="7" t="str">
        <x:v>NDE-TRV-PEA-B-X2-13</x:v>
      </x:c>
      <x:c r="C159" s="7" t="str">
        <x:v>TRV-PEA-B-X2-13</x:v>
      </x:c>
      <x:c r="D159" s="7" t="str">
        <x:v>PEA-B-X2</x:v>
      </x:c>
      <x:c r="E159" s="7" t="str">
        <x:v>BLD-B</x:v>
      </x:c>
      <x:c r="F159" s="7" t="str">
        <x:v>BL-X</x:v>
      </x:c>
      <x:c r="G159" s="7" t="str">
        <x:v>CS-13</x:v>
      </x:c>
      <x:c r="H159" s="10" t="str">
        <x:v>mechanism-specific production inspection</x:v>
      </x:c>
      <x:c r="I159" s="7" t="str"/>
      <x:c r="J159" s="7" t="str"/>
      <x:c r="K159" s="7" t="str"/>
      <x:c r="L159" s="7" t="str">
        <x:f>IF(K159="","OPEN",IF(OR(I159="",J159=""),"FAIL","PASS"))</x:f>
        <x:v>OPEN</x:v>
      </x:c>
    </x:row>
    <x:row r="160" ht="38" customHeight="1">
      <x:c r="B160" s="7" t="str">
        <x:v>NDE-TRV-PEA-B-X2-14</x:v>
      </x:c>
      <x:c r="C160" s="7" t="str">
        <x:v>TRV-PEA-B-X2-14</x:v>
      </x:c>
      <x:c r="D160" s="7" t="str">
        <x:v>PEA-B-X2</x:v>
      </x:c>
      <x:c r="E160" s="7" t="str">
        <x:v>BLD-B</x:v>
      </x:c>
      <x:c r="F160" s="7" t="str">
        <x:v>BL-X</x:v>
      </x:c>
      <x:c r="G160" s="7" t="str">
        <x:v>CS-14</x:v>
      </x:c>
      <x:c r="H160" s="10" t="str">
        <x:v>mechanism-specific production inspection</x:v>
      </x:c>
      <x:c r="I160" s="7" t="str"/>
      <x:c r="J160" s="7" t="str"/>
      <x:c r="K160" s="7" t="str"/>
      <x:c r="L160" s="7" t="str">
        <x:f>IF(K160="","OPEN",IF(OR(I160="",J160=""),"FAIL","PASS"))</x:f>
        <x:v>OPEN</x:v>
      </x:c>
    </x:row>
    <x:row r="161" ht="38" customHeight="1">
      <x:c r="B161" s="7" t="str">
        <x:v>NDE-TRV-PEA-B-X2-15</x:v>
      </x:c>
      <x:c r="C161" s="7" t="str">
        <x:v>TRV-PEA-B-X2-15</x:v>
      </x:c>
      <x:c r="D161" s="7" t="str">
        <x:v>PEA-B-X2</x:v>
      </x:c>
      <x:c r="E161" s="7" t="str">
        <x:v>BLD-B</x:v>
      </x:c>
      <x:c r="F161" s="7" t="str">
        <x:v>BL-X</x:v>
      </x:c>
      <x:c r="G161" s="7" t="str">
        <x:v>CS-15</x:v>
      </x:c>
      <x:c r="H161" s="10" t="str">
        <x:v>mechanism-specific production inspection</x:v>
      </x:c>
      <x:c r="I161" s="7" t="str"/>
      <x:c r="J161" s="7" t="str"/>
      <x:c r="K161" s="7" t="str"/>
      <x:c r="L161" s="7" t="str">
        <x:f>IF(K161="","OPEN",IF(OR(I161="",J161=""),"FAIL","PASS"))</x:f>
        <x:v>OPEN</x:v>
      </x:c>
    </x:row>
    <x:row r="162" ht="38" customHeight="1">
      <x:c r="B162" s="7" t="str">
        <x:v>NDE-TRV-PEA-B-X2-16</x:v>
      </x:c>
      <x:c r="C162" s="7" t="str">
        <x:v>TRV-PEA-B-X2-16</x:v>
      </x:c>
      <x:c r="D162" s="7" t="str">
        <x:v>PEA-B-X2</x:v>
      </x:c>
      <x:c r="E162" s="7" t="str">
        <x:v>BLD-B</x:v>
      </x:c>
      <x:c r="F162" s="7" t="str">
        <x:v>BL-X</x:v>
      </x:c>
      <x:c r="G162" s="7" t="str">
        <x:v>CS-16</x:v>
      </x:c>
      <x:c r="H162" s="10" t="str">
        <x:v>mechanism-specific production inspection</x:v>
      </x:c>
      <x:c r="I162" s="7" t="str"/>
      <x:c r="J162" s="7" t="str"/>
      <x:c r="K162" s="7" t="str"/>
      <x:c r="L162" s="7" t="str">
        <x:f>IF(K162="","OPEN",IF(OR(I162="",J162=""),"FAIL","PASS"))</x:f>
        <x:v>OPEN</x:v>
      </x:c>
    </x:row>
    <x:row r="163" ht="38" customHeight="1">
      <x:c r="B163" s="7" t="str">
        <x:v>NDE-TRV-PEA-B-X2-17</x:v>
      </x:c>
      <x:c r="C163" s="7" t="str">
        <x:v>TRV-PEA-B-X2-17</x:v>
      </x:c>
      <x:c r="D163" s="7" t="str">
        <x:v>PEA-B-X2</x:v>
      </x:c>
      <x:c r="E163" s="7" t="str">
        <x:v>BLD-B</x:v>
      </x:c>
      <x:c r="F163" s="7" t="str">
        <x:v>BL-X</x:v>
      </x:c>
      <x:c r="G163" s="7" t="str">
        <x:v>CS-17</x:v>
      </x:c>
      <x:c r="H163" s="10" t="str">
        <x:v>mechanism-specific production inspection</x:v>
      </x:c>
      <x:c r="I163" s="7" t="str"/>
      <x:c r="J163" s="7" t="str"/>
      <x:c r="K163" s="7" t="str"/>
      <x:c r="L163" s="7" t="str">
        <x:f>IF(K163="","OPEN",IF(OR(I163="",J163=""),"FAIL","PASS"))</x:f>
        <x:v>OPEN</x:v>
      </x:c>
    </x:row>
    <x:row r="164" ht="38" customHeight="1">
      <x:c r="B164" s="7" t="str">
        <x:v>NDE-TRV-PEA-B-X2-18</x:v>
      </x:c>
      <x:c r="C164" s="7" t="str">
        <x:v>TRV-PEA-B-X2-18</x:v>
      </x:c>
      <x:c r="D164" s="7" t="str">
        <x:v>PEA-B-X2</x:v>
      </x:c>
      <x:c r="E164" s="7" t="str">
        <x:v>BLD-B</x:v>
      </x:c>
      <x:c r="F164" s="7" t="str">
        <x:v>BL-X</x:v>
      </x:c>
      <x:c r="G164" s="7" t="str">
        <x:v>CS-18</x:v>
      </x:c>
      <x:c r="H164" s="10" t="str">
        <x:v>mechanism-specific production inspection</x:v>
      </x:c>
      <x:c r="I164" s="7" t="str"/>
      <x:c r="J164" s="7" t="str"/>
      <x:c r="K164" s="7" t="str"/>
      <x:c r="L164" s="7" t="str">
        <x:f>IF(K164="","OPEN",IF(OR(I164="",J164=""),"FAIL","PASS"))</x:f>
        <x:v>OPEN</x:v>
      </x:c>
    </x:row>
    <x:row r="165" ht="38" customHeight="1">
      <x:c r="B165" s="7" t="str">
        <x:v>NDE-TRV-PEA-B-X2-19</x:v>
      </x:c>
      <x:c r="C165" s="7" t="str">
        <x:v>TRV-PEA-B-X2-19</x:v>
      </x:c>
      <x:c r="D165" s="7" t="str">
        <x:v>PEA-B-X2</x:v>
      </x:c>
      <x:c r="E165" s="7" t="str">
        <x:v>BLD-B</x:v>
      </x:c>
      <x:c r="F165" s="7" t="str">
        <x:v>BL-X</x:v>
      </x:c>
      <x:c r="G165" s="7" t="str">
        <x:v>CS-19</x:v>
      </x:c>
      <x:c r="H165" s="10" t="str">
        <x:v>mechanism-specific production inspection</x:v>
      </x:c>
      <x:c r="I165" s="7" t="str"/>
      <x:c r="J165" s="7" t="str"/>
      <x:c r="K165" s="7" t="str"/>
      <x:c r="L165" s="7" t="str">
        <x:f>IF(K165="","OPEN",IF(OR(I165="",J165=""),"FAIL","PASS"))</x:f>
        <x:v>OPEN</x:v>
      </x:c>
    </x:row>
    <x:row r="166" ht="38" customHeight="1">
      <x:c r="B166" s="7" t="str">
        <x:v>NDE-TRV-PEA-B-X2-20</x:v>
      </x:c>
      <x:c r="C166" s="7" t="str">
        <x:v>TRV-PEA-B-X2-20</x:v>
      </x:c>
      <x:c r="D166" s="7" t="str">
        <x:v>PEA-B-X2</x:v>
      </x:c>
      <x:c r="E166" s="7" t="str">
        <x:v>BLD-B</x:v>
      </x:c>
      <x:c r="F166" s="7" t="str">
        <x:v>BL-X</x:v>
      </x:c>
      <x:c r="G166" s="7" t="str">
        <x:v>CS-20</x:v>
      </x:c>
      <x:c r="H166" s="10" t="str">
        <x:v>mechanism-specific production inspection</x:v>
      </x:c>
      <x:c r="I166" s="7" t="str"/>
      <x:c r="J166" s="7" t="str"/>
      <x:c r="K166" s="7" t="str"/>
      <x:c r="L166" s="7" t="str">
        <x:f>IF(K166="","OPEN",IF(OR(I166="",J166=""),"FAIL","PASS"))</x:f>
        <x:v>OPEN</x:v>
      </x:c>
    </x:row>
    <x:row r="167" ht="38" customHeight="1">
      <x:c r="B167" s="7" t="str">
        <x:v>NDE-TRV-PEA-B-X3-01</x:v>
      </x:c>
      <x:c r="C167" s="7" t="str">
        <x:v>TRV-PEA-B-X3-01</x:v>
      </x:c>
      <x:c r="D167" s="7" t="str">
        <x:v>PEA-B-X3</x:v>
      </x:c>
      <x:c r="E167" s="7" t="str">
        <x:v>BLD-B</x:v>
      </x:c>
      <x:c r="F167" s="7" t="str">
        <x:v>BL-X</x:v>
      </x:c>
      <x:c r="G167" s="7" t="str">
        <x:v>CS-01</x:v>
      </x:c>
      <x:c r="H167" s="10" t="str">
        <x:v>mechanism-specific production inspection</x:v>
      </x:c>
      <x:c r="I167" s="7" t="str"/>
      <x:c r="J167" s="7" t="str"/>
      <x:c r="K167" s="7" t="str"/>
      <x:c r="L167" s="7" t="str">
        <x:f>IF(K167="","OPEN",IF(OR(I167="",J167=""),"FAIL","PASS"))</x:f>
        <x:v>OPEN</x:v>
      </x:c>
    </x:row>
    <x:row r="168" ht="38" customHeight="1">
      <x:c r="B168" s="7" t="str">
        <x:v>NDE-TRV-PEA-B-X3-02</x:v>
      </x:c>
      <x:c r="C168" s="7" t="str">
        <x:v>TRV-PEA-B-X3-02</x:v>
      </x:c>
      <x:c r="D168" s="7" t="str">
        <x:v>PEA-B-X3</x:v>
      </x:c>
      <x:c r="E168" s="7" t="str">
        <x:v>BLD-B</x:v>
      </x:c>
      <x:c r="F168" s="7" t="str">
        <x:v>BL-X</x:v>
      </x:c>
      <x:c r="G168" s="7" t="str">
        <x:v>CS-02</x:v>
      </x:c>
      <x:c r="H168" s="10" t="str">
        <x:v>mechanism-specific production inspection</x:v>
      </x:c>
      <x:c r="I168" s="7" t="str"/>
      <x:c r="J168" s="7" t="str"/>
      <x:c r="K168" s="7" t="str"/>
      <x:c r="L168" s="7" t="str">
        <x:f>IF(K168="","OPEN",IF(OR(I168="",J168=""),"FAIL","PASS"))</x:f>
        <x:v>OPEN</x:v>
      </x:c>
    </x:row>
    <x:row r="169" ht="38" customHeight="1">
      <x:c r="B169" s="7" t="str">
        <x:v>NDE-TRV-PEA-B-X3-03</x:v>
      </x:c>
      <x:c r="C169" s="7" t="str">
        <x:v>TRV-PEA-B-X3-03</x:v>
      </x:c>
      <x:c r="D169" s="7" t="str">
        <x:v>PEA-B-X3</x:v>
      </x:c>
      <x:c r="E169" s="7" t="str">
        <x:v>BLD-B</x:v>
      </x:c>
      <x:c r="F169" s="7" t="str">
        <x:v>BL-X</x:v>
      </x:c>
      <x:c r="G169" s="7" t="str">
        <x:v>CS-03</x:v>
      </x:c>
      <x:c r="H169" s="10" t="str">
        <x:v>mechanism-specific production inspection</x:v>
      </x:c>
      <x:c r="I169" s="7" t="str"/>
      <x:c r="J169" s="7" t="str"/>
      <x:c r="K169" s="7" t="str"/>
      <x:c r="L169" s="7" t="str">
        <x:f>IF(K169="","OPEN",IF(OR(I169="",J169=""),"FAIL","PASS"))</x:f>
        <x:v>OPEN</x:v>
      </x:c>
    </x:row>
    <x:row r="170" ht="38" customHeight="1">
      <x:c r="B170" s="7" t="str">
        <x:v>NDE-TRV-PEA-B-X3-04</x:v>
      </x:c>
      <x:c r="C170" s="7" t="str">
        <x:v>TRV-PEA-B-X3-04</x:v>
      </x:c>
      <x:c r="D170" s="7" t="str">
        <x:v>PEA-B-X3</x:v>
      </x:c>
      <x:c r="E170" s="7" t="str">
        <x:v>BLD-B</x:v>
      </x:c>
      <x:c r="F170" s="7" t="str">
        <x:v>BL-X</x:v>
      </x:c>
      <x:c r="G170" s="7" t="str">
        <x:v>CS-04</x:v>
      </x:c>
      <x:c r="H170" s="10" t="str">
        <x:v>mechanism-specific production inspection</x:v>
      </x:c>
      <x:c r="I170" s="7" t="str"/>
      <x:c r="J170" s="7" t="str"/>
      <x:c r="K170" s="7" t="str"/>
      <x:c r="L170" s="7" t="str">
        <x:f>IF(K170="","OPEN",IF(OR(I170="",J170=""),"FAIL","PASS"))</x:f>
        <x:v>OPEN</x:v>
      </x:c>
    </x:row>
    <x:row r="171" ht="38" customHeight="1">
      <x:c r="B171" s="7" t="str">
        <x:v>NDE-TRV-PEA-B-X3-05</x:v>
      </x:c>
      <x:c r="C171" s="7" t="str">
        <x:v>TRV-PEA-B-X3-05</x:v>
      </x:c>
      <x:c r="D171" s="7" t="str">
        <x:v>PEA-B-X3</x:v>
      </x:c>
      <x:c r="E171" s="7" t="str">
        <x:v>BLD-B</x:v>
      </x:c>
      <x:c r="F171" s="7" t="str">
        <x:v>BL-X</x:v>
      </x:c>
      <x:c r="G171" s="7" t="str">
        <x:v>CS-05</x:v>
      </x:c>
      <x:c r="H171" s="10" t="str">
        <x:v>mechanism-specific production inspection</x:v>
      </x:c>
      <x:c r="I171" s="7" t="str"/>
      <x:c r="J171" s="7" t="str"/>
      <x:c r="K171" s="7" t="str"/>
      <x:c r="L171" s="7" t="str">
        <x:f>IF(K171="","OPEN",IF(OR(I171="",J171=""),"FAIL","PASS"))</x:f>
        <x:v>OPEN</x:v>
      </x:c>
    </x:row>
    <x:row r="172" ht="38" customHeight="1">
      <x:c r="B172" s="7" t="str">
        <x:v>NDE-TRV-PEA-B-X3-06</x:v>
      </x:c>
      <x:c r="C172" s="7" t="str">
        <x:v>TRV-PEA-B-X3-06</x:v>
      </x:c>
      <x:c r="D172" s="7" t="str">
        <x:v>PEA-B-X3</x:v>
      </x:c>
      <x:c r="E172" s="7" t="str">
        <x:v>BLD-B</x:v>
      </x:c>
      <x:c r="F172" s="7" t="str">
        <x:v>BL-X</x:v>
      </x:c>
      <x:c r="G172" s="7" t="str">
        <x:v>CS-06</x:v>
      </x:c>
      <x:c r="H172" s="10" t="str">
        <x:v>mechanism-specific production inspection</x:v>
      </x:c>
      <x:c r="I172" s="7" t="str"/>
      <x:c r="J172" s="7" t="str"/>
      <x:c r="K172" s="7" t="str"/>
      <x:c r="L172" s="7" t="str">
        <x:f>IF(K172="","OPEN",IF(OR(I172="",J172=""),"FAIL","PASS"))</x:f>
        <x:v>OPEN</x:v>
      </x:c>
    </x:row>
    <x:row r="173" ht="38" customHeight="1">
      <x:c r="B173" s="7" t="str">
        <x:v>NDE-TRV-PEA-B-X3-07</x:v>
      </x:c>
      <x:c r="C173" s="7" t="str">
        <x:v>TRV-PEA-B-X3-07</x:v>
      </x:c>
      <x:c r="D173" s="7" t="str">
        <x:v>PEA-B-X3</x:v>
      </x:c>
      <x:c r="E173" s="7" t="str">
        <x:v>BLD-B</x:v>
      </x:c>
      <x:c r="F173" s="7" t="str">
        <x:v>BL-X</x:v>
      </x:c>
      <x:c r="G173" s="7" t="str">
        <x:v>CS-07</x:v>
      </x:c>
      <x:c r="H173" s="10" t="str">
        <x:v>mechanism-specific production inspection</x:v>
      </x:c>
      <x:c r="I173" s="7" t="str"/>
      <x:c r="J173" s="7" t="str"/>
      <x:c r="K173" s="7" t="str"/>
      <x:c r="L173" s="7" t="str">
        <x:f>IF(K173="","OPEN",IF(OR(I173="",J173=""),"FAIL","PASS"))</x:f>
        <x:v>OPEN</x:v>
      </x:c>
    </x:row>
    <x:row r="174" ht="38" customHeight="1">
      <x:c r="B174" s="7" t="str">
        <x:v>NDE-TRV-PEA-B-X3-08</x:v>
      </x:c>
      <x:c r="C174" s="7" t="str">
        <x:v>TRV-PEA-B-X3-08</x:v>
      </x:c>
      <x:c r="D174" s="7" t="str">
        <x:v>PEA-B-X3</x:v>
      </x:c>
      <x:c r="E174" s="7" t="str">
        <x:v>BLD-B</x:v>
      </x:c>
      <x:c r="F174" s="7" t="str">
        <x:v>BL-X</x:v>
      </x:c>
      <x:c r="G174" s="7" t="str">
        <x:v>CS-08</x:v>
      </x:c>
      <x:c r="H174" s="10" t="str">
        <x:v>mechanism-specific production inspection</x:v>
      </x:c>
      <x:c r="I174" s="7" t="str"/>
      <x:c r="J174" s="7" t="str"/>
      <x:c r="K174" s="7" t="str"/>
      <x:c r="L174" s="7" t="str">
        <x:f>IF(K174="","OPEN",IF(OR(I174="",J174=""),"FAIL","PASS"))</x:f>
        <x:v>OPEN</x:v>
      </x:c>
    </x:row>
    <x:row r="175" ht="38" customHeight="1">
      <x:c r="B175" s="7" t="str">
        <x:v>NDE-TRV-PEA-B-X3-09</x:v>
      </x:c>
      <x:c r="C175" s="7" t="str">
        <x:v>TRV-PEA-B-X3-09</x:v>
      </x:c>
      <x:c r="D175" s="7" t="str">
        <x:v>PEA-B-X3</x:v>
      </x:c>
      <x:c r="E175" s="7" t="str">
        <x:v>BLD-B</x:v>
      </x:c>
      <x:c r="F175" s="7" t="str">
        <x:v>BL-X</x:v>
      </x:c>
      <x:c r="G175" s="7" t="str">
        <x:v>CS-09</x:v>
      </x:c>
      <x:c r="H175" s="10" t="str">
        <x:v>mechanism-specific production inspection</x:v>
      </x:c>
      <x:c r="I175" s="7" t="str"/>
      <x:c r="J175" s="7" t="str"/>
      <x:c r="K175" s="7" t="str"/>
      <x:c r="L175" s="7" t="str">
        <x:f>IF(K175="","OPEN",IF(OR(I175="",J175=""),"FAIL","PASS"))</x:f>
        <x:v>OPEN</x:v>
      </x:c>
    </x:row>
    <x:row r="176" ht="38" customHeight="1">
      <x:c r="B176" s="7" t="str">
        <x:v>NDE-TRV-PEA-B-X3-10</x:v>
      </x:c>
      <x:c r="C176" s="7" t="str">
        <x:v>TRV-PEA-B-X3-10</x:v>
      </x:c>
      <x:c r="D176" s="7" t="str">
        <x:v>PEA-B-X3</x:v>
      </x:c>
      <x:c r="E176" s="7" t="str">
        <x:v>BLD-B</x:v>
      </x:c>
      <x:c r="F176" s="7" t="str">
        <x:v>BL-X</x:v>
      </x:c>
      <x:c r="G176" s="7" t="str">
        <x:v>CS-10</x:v>
      </x:c>
      <x:c r="H176" s="10" t="str">
        <x:v>mechanism-specific production inspection</x:v>
      </x:c>
      <x:c r="I176" s="7" t="str"/>
      <x:c r="J176" s="7" t="str"/>
      <x:c r="K176" s="7" t="str"/>
      <x:c r="L176" s="7" t="str">
        <x:f>IF(K176="","OPEN",IF(OR(I176="",J176=""),"FAIL","PASS"))</x:f>
        <x:v>OPEN</x:v>
      </x:c>
    </x:row>
    <x:row r="177" ht="38" customHeight="1">
      <x:c r="B177" s="7" t="str">
        <x:v>NDE-TRV-PEA-B-X3-11</x:v>
      </x:c>
      <x:c r="C177" s="7" t="str">
        <x:v>TRV-PEA-B-X3-11</x:v>
      </x:c>
      <x:c r="D177" s="7" t="str">
        <x:v>PEA-B-X3</x:v>
      </x:c>
      <x:c r="E177" s="7" t="str">
        <x:v>BLD-B</x:v>
      </x:c>
      <x:c r="F177" s="7" t="str">
        <x:v>BL-X</x:v>
      </x:c>
      <x:c r="G177" s="7" t="str">
        <x:v>CS-11</x:v>
      </x:c>
      <x:c r="H177" s="10" t="str">
        <x:v>mechanism-specific production inspection</x:v>
      </x:c>
      <x:c r="I177" s="7" t="str"/>
      <x:c r="J177" s="7" t="str"/>
      <x:c r="K177" s="7" t="str"/>
      <x:c r="L177" s="7" t="str">
        <x:f>IF(K177="","OPEN",IF(OR(I177="",J177=""),"FAIL","PASS"))</x:f>
        <x:v>OPEN</x:v>
      </x:c>
    </x:row>
    <x:row r="178" ht="38" customHeight="1">
      <x:c r="B178" s="7" t="str">
        <x:v>NDE-TRV-PEA-B-X3-12</x:v>
      </x:c>
      <x:c r="C178" s="7" t="str">
        <x:v>TRV-PEA-B-X3-12</x:v>
      </x:c>
      <x:c r="D178" s="7" t="str">
        <x:v>PEA-B-X3</x:v>
      </x:c>
      <x:c r="E178" s="7" t="str">
        <x:v>BLD-B</x:v>
      </x:c>
      <x:c r="F178" s="7" t="str">
        <x:v>BL-X</x:v>
      </x:c>
      <x:c r="G178" s="7" t="str">
        <x:v>CS-12</x:v>
      </x:c>
      <x:c r="H178" s="10" t="str">
        <x:v>mechanism-specific production inspection</x:v>
      </x:c>
      <x:c r="I178" s="7" t="str"/>
      <x:c r="J178" s="7" t="str"/>
      <x:c r="K178" s="7" t="str"/>
      <x:c r="L178" s="7" t="str">
        <x:f>IF(K178="","OPEN",IF(OR(I178="",J178=""),"FAIL","PASS"))</x:f>
        <x:v>OPEN</x:v>
      </x:c>
    </x:row>
    <x:row r="179" ht="38" customHeight="1">
      <x:c r="B179" s="7" t="str">
        <x:v>NDE-TRV-PEA-B-X3-13</x:v>
      </x:c>
      <x:c r="C179" s="7" t="str">
        <x:v>TRV-PEA-B-X3-13</x:v>
      </x:c>
      <x:c r="D179" s="7" t="str">
        <x:v>PEA-B-X3</x:v>
      </x:c>
      <x:c r="E179" s="7" t="str">
        <x:v>BLD-B</x:v>
      </x:c>
      <x:c r="F179" s="7" t="str">
        <x:v>BL-X</x:v>
      </x:c>
      <x:c r="G179" s="7" t="str">
        <x:v>CS-13</x:v>
      </x:c>
      <x:c r="H179" s="10" t="str">
        <x:v>mechanism-specific production inspection</x:v>
      </x:c>
      <x:c r="I179" s="7" t="str"/>
      <x:c r="J179" s="7" t="str"/>
      <x:c r="K179" s="7" t="str"/>
      <x:c r="L179" s="7" t="str">
        <x:f>IF(K179="","OPEN",IF(OR(I179="",J179=""),"FAIL","PASS"))</x:f>
        <x:v>OPEN</x:v>
      </x:c>
    </x:row>
    <x:row r="180" ht="38" customHeight="1">
      <x:c r="B180" s="7" t="str">
        <x:v>NDE-TRV-PEA-B-X3-14</x:v>
      </x:c>
      <x:c r="C180" s="7" t="str">
        <x:v>TRV-PEA-B-X3-14</x:v>
      </x:c>
      <x:c r="D180" s="7" t="str">
        <x:v>PEA-B-X3</x:v>
      </x:c>
      <x:c r="E180" s="7" t="str">
        <x:v>BLD-B</x:v>
      </x:c>
      <x:c r="F180" s="7" t="str">
        <x:v>BL-X</x:v>
      </x:c>
      <x:c r="G180" s="7" t="str">
        <x:v>CS-14</x:v>
      </x:c>
      <x:c r="H180" s="10" t="str">
        <x:v>mechanism-specific production inspection</x:v>
      </x:c>
      <x:c r="I180" s="7" t="str"/>
      <x:c r="J180" s="7" t="str"/>
      <x:c r="K180" s="7" t="str"/>
      <x:c r="L180" s="7" t="str">
        <x:f>IF(K180="","OPEN",IF(OR(I180="",J180=""),"FAIL","PASS"))</x:f>
        <x:v>OPEN</x:v>
      </x:c>
    </x:row>
    <x:row r="181" ht="38" customHeight="1">
      <x:c r="B181" s="7" t="str">
        <x:v>NDE-TRV-PEA-B-X3-15</x:v>
      </x:c>
      <x:c r="C181" s="7" t="str">
        <x:v>TRV-PEA-B-X3-15</x:v>
      </x:c>
      <x:c r="D181" s="7" t="str">
        <x:v>PEA-B-X3</x:v>
      </x:c>
      <x:c r="E181" s="7" t="str">
        <x:v>BLD-B</x:v>
      </x:c>
      <x:c r="F181" s="7" t="str">
        <x:v>BL-X</x:v>
      </x:c>
      <x:c r="G181" s="7" t="str">
        <x:v>CS-15</x:v>
      </x:c>
      <x:c r="H181" s="10" t="str">
        <x:v>mechanism-specific production inspection</x:v>
      </x:c>
      <x:c r="I181" s="7" t="str"/>
      <x:c r="J181" s="7" t="str"/>
      <x:c r="K181" s="7" t="str"/>
      <x:c r="L181" s="7" t="str">
        <x:f>IF(K181="","OPEN",IF(OR(I181="",J181=""),"FAIL","PASS"))</x:f>
        <x:v>OPEN</x:v>
      </x:c>
    </x:row>
    <x:row r="182" ht="38" customHeight="1">
      <x:c r="B182" s="7" t="str">
        <x:v>NDE-TRV-PEA-B-X3-16</x:v>
      </x:c>
      <x:c r="C182" s="7" t="str">
        <x:v>TRV-PEA-B-X3-16</x:v>
      </x:c>
      <x:c r="D182" s="7" t="str">
        <x:v>PEA-B-X3</x:v>
      </x:c>
      <x:c r="E182" s="7" t="str">
        <x:v>BLD-B</x:v>
      </x:c>
      <x:c r="F182" s="7" t="str">
        <x:v>BL-X</x:v>
      </x:c>
      <x:c r="G182" s="7" t="str">
        <x:v>CS-16</x:v>
      </x:c>
      <x:c r="H182" s="10" t="str">
        <x:v>mechanism-specific production inspection</x:v>
      </x:c>
      <x:c r="I182" s="7" t="str"/>
      <x:c r="J182" s="7" t="str"/>
      <x:c r="K182" s="7" t="str"/>
      <x:c r="L182" s="7" t="str">
        <x:f>IF(K182="","OPEN",IF(OR(I182="",J182=""),"FAIL","PASS"))</x:f>
        <x:v>OPEN</x:v>
      </x:c>
    </x:row>
    <x:row r="183" ht="38" customHeight="1">
      <x:c r="B183" s="7" t="str">
        <x:v>NDE-TRV-PEA-B-X3-17</x:v>
      </x:c>
      <x:c r="C183" s="7" t="str">
        <x:v>TRV-PEA-B-X3-17</x:v>
      </x:c>
      <x:c r="D183" s="7" t="str">
        <x:v>PEA-B-X3</x:v>
      </x:c>
      <x:c r="E183" s="7" t="str">
        <x:v>BLD-B</x:v>
      </x:c>
      <x:c r="F183" s="7" t="str">
        <x:v>BL-X</x:v>
      </x:c>
      <x:c r="G183" s="7" t="str">
        <x:v>CS-17</x:v>
      </x:c>
      <x:c r="H183" s="10" t="str">
        <x:v>mechanism-specific production inspection</x:v>
      </x:c>
      <x:c r="I183" s="7" t="str"/>
      <x:c r="J183" s="7" t="str"/>
      <x:c r="K183" s="7" t="str"/>
      <x:c r="L183" s="7" t="str">
        <x:f>IF(K183="","OPEN",IF(OR(I183="",J183=""),"FAIL","PASS"))</x:f>
        <x:v>OPEN</x:v>
      </x:c>
    </x:row>
    <x:row r="184" ht="38" customHeight="1">
      <x:c r="B184" s="7" t="str">
        <x:v>NDE-TRV-PEA-B-X3-18</x:v>
      </x:c>
      <x:c r="C184" s="7" t="str">
        <x:v>TRV-PEA-B-X3-18</x:v>
      </x:c>
      <x:c r="D184" s="7" t="str">
        <x:v>PEA-B-X3</x:v>
      </x:c>
      <x:c r="E184" s="7" t="str">
        <x:v>BLD-B</x:v>
      </x:c>
      <x:c r="F184" s="7" t="str">
        <x:v>BL-X</x:v>
      </x:c>
      <x:c r="G184" s="7" t="str">
        <x:v>CS-18</x:v>
      </x:c>
      <x:c r="H184" s="10" t="str">
        <x:v>mechanism-specific production inspection</x:v>
      </x:c>
      <x:c r="I184" s="7" t="str"/>
      <x:c r="J184" s="7" t="str"/>
      <x:c r="K184" s="7" t="str"/>
      <x:c r="L184" s="7" t="str">
        <x:f>IF(K184="","OPEN",IF(OR(I184="",J184=""),"FAIL","PASS"))</x:f>
        <x:v>OPEN</x:v>
      </x:c>
    </x:row>
    <x:row r="185" ht="38" customHeight="1">
      <x:c r="B185" s="7" t="str">
        <x:v>NDE-TRV-PEA-B-X3-19</x:v>
      </x:c>
      <x:c r="C185" s="7" t="str">
        <x:v>TRV-PEA-B-X3-19</x:v>
      </x:c>
      <x:c r="D185" s="7" t="str">
        <x:v>PEA-B-X3</x:v>
      </x:c>
      <x:c r="E185" s="7" t="str">
        <x:v>BLD-B</x:v>
      </x:c>
      <x:c r="F185" s="7" t="str">
        <x:v>BL-X</x:v>
      </x:c>
      <x:c r="G185" s="7" t="str">
        <x:v>CS-19</x:v>
      </x:c>
      <x:c r="H185" s="10" t="str">
        <x:v>mechanism-specific production inspection</x:v>
      </x:c>
      <x:c r="I185" s="7" t="str"/>
      <x:c r="J185" s="7" t="str"/>
      <x:c r="K185" s="7" t="str"/>
      <x:c r="L185" s="7" t="str">
        <x:f>IF(K185="","OPEN",IF(OR(I185="",J185=""),"FAIL","PASS"))</x:f>
        <x:v>OPEN</x:v>
      </x:c>
    </x:row>
    <x:row r="186" ht="38" customHeight="1">
      <x:c r="B186" s="7" t="str">
        <x:v>NDE-TRV-PEA-B-X3-20</x:v>
      </x:c>
      <x:c r="C186" s="7" t="str">
        <x:v>TRV-PEA-B-X3-20</x:v>
      </x:c>
      <x:c r="D186" s="7" t="str">
        <x:v>PEA-B-X3</x:v>
      </x:c>
      <x:c r="E186" s="7" t="str">
        <x:v>BLD-B</x:v>
      </x:c>
      <x:c r="F186" s="7" t="str">
        <x:v>BL-X</x:v>
      </x:c>
      <x:c r="G186" s="7" t="str">
        <x:v>CS-20</x:v>
      </x:c>
      <x:c r="H186" s="10" t="str">
        <x:v>mechanism-specific production inspection</x:v>
      </x:c>
      <x:c r="I186" s="7" t="str"/>
      <x:c r="J186" s="7" t="str"/>
      <x:c r="K186" s="7" t="str"/>
      <x:c r="L186" s="7" t="str">
        <x:f>IF(K186="","OPEN",IF(OR(I186="",J186=""),"FAIL","PASS"))</x:f>
        <x:v>OPEN</x:v>
      </x:c>
    </x:row>
    <x:row r="187" ht="38" customHeight="1">
      <x:c r="B187" s="7" t="str">
        <x:v>NDE-TRV-PEA-B-Y1-01</x:v>
      </x:c>
      <x:c r="C187" s="7" t="str">
        <x:v>TRV-PEA-B-Y1-01</x:v>
      </x:c>
      <x:c r="D187" s="7" t="str">
        <x:v>PEA-B-Y1</x:v>
      </x:c>
      <x:c r="E187" s="7" t="str">
        <x:v>BLD-B</x:v>
      </x:c>
      <x:c r="F187" s="7" t="str">
        <x:v>BL-Y</x:v>
      </x:c>
      <x:c r="G187" s="7" t="str">
        <x:v>CS-01</x:v>
      </x:c>
      <x:c r="H187" s="10" t="str">
        <x:v>mechanism-specific production inspection</x:v>
      </x:c>
      <x:c r="I187" s="7" t="str"/>
      <x:c r="J187" s="7" t="str"/>
      <x:c r="K187" s="7" t="str"/>
      <x:c r="L187" s="7" t="str">
        <x:f>IF(K187="","OPEN",IF(OR(I187="",J187=""),"FAIL","PASS"))</x:f>
        <x:v>OPEN</x:v>
      </x:c>
    </x:row>
    <x:row r="188" ht="38" customHeight="1">
      <x:c r="B188" s="7" t="str">
        <x:v>NDE-TRV-PEA-B-Y1-02</x:v>
      </x:c>
      <x:c r="C188" s="7" t="str">
        <x:v>TRV-PEA-B-Y1-02</x:v>
      </x:c>
      <x:c r="D188" s="7" t="str">
        <x:v>PEA-B-Y1</x:v>
      </x:c>
      <x:c r="E188" s="7" t="str">
        <x:v>BLD-B</x:v>
      </x:c>
      <x:c r="F188" s="7" t="str">
        <x:v>BL-Y</x:v>
      </x:c>
      <x:c r="G188" s="7" t="str">
        <x:v>CS-02</x:v>
      </x:c>
      <x:c r="H188" s="10" t="str">
        <x:v>mechanism-specific production inspection</x:v>
      </x:c>
      <x:c r="I188" s="7" t="str"/>
      <x:c r="J188" s="7" t="str"/>
      <x:c r="K188" s="7" t="str"/>
      <x:c r="L188" s="7" t="str">
        <x:f>IF(K188="","OPEN",IF(OR(I188="",J188=""),"FAIL","PASS"))</x:f>
        <x:v>OPEN</x:v>
      </x:c>
    </x:row>
    <x:row r="189" ht="38" customHeight="1">
      <x:c r="B189" s="7" t="str">
        <x:v>NDE-TRV-PEA-B-Y1-03</x:v>
      </x:c>
      <x:c r="C189" s="7" t="str">
        <x:v>TRV-PEA-B-Y1-03</x:v>
      </x:c>
      <x:c r="D189" s="7" t="str">
        <x:v>PEA-B-Y1</x:v>
      </x:c>
      <x:c r="E189" s="7" t="str">
        <x:v>BLD-B</x:v>
      </x:c>
      <x:c r="F189" s="7" t="str">
        <x:v>BL-Y</x:v>
      </x:c>
      <x:c r="G189" s="7" t="str">
        <x:v>CS-03</x:v>
      </x:c>
      <x:c r="H189" s="10" t="str">
        <x:v>mechanism-specific production inspection</x:v>
      </x:c>
      <x:c r="I189" s="7" t="str"/>
      <x:c r="J189" s="7" t="str"/>
      <x:c r="K189" s="7" t="str"/>
      <x:c r="L189" s="7" t="str">
        <x:f>IF(K189="","OPEN",IF(OR(I189="",J189=""),"FAIL","PASS"))</x:f>
        <x:v>OPEN</x:v>
      </x:c>
    </x:row>
    <x:row r="190" ht="38" customHeight="1">
      <x:c r="B190" s="7" t="str">
        <x:v>NDE-TRV-PEA-B-Y1-04</x:v>
      </x:c>
      <x:c r="C190" s="7" t="str">
        <x:v>TRV-PEA-B-Y1-04</x:v>
      </x:c>
      <x:c r="D190" s="7" t="str">
        <x:v>PEA-B-Y1</x:v>
      </x:c>
      <x:c r="E190" s="7" t="str">
        <x:v>BLD-B</x:v>
      </x:c>
      <x:c r="F190" s="7" t="str">
        <x:v>BL-Y</x:v>
      </x:c>
      <x:c r="G190" s="7" t="str">
        <x:v>CS-04</x:v>
      </x:c>
      <x:c r="H190" s="10" t="str">
        <x:v>mechanism-specific production inspection</x:v>
      </x:c>
      <x:c r="I190" s="7" t="str"/>
      <x:c r="J190" s="7" t="str"/>
      <x:c r="K190" s="7" t="str"/>
      <x:c r="L190" s="7" t="str">
        <x:f>IF(K190="","OPEN",IF(OR(I190="",J190=""),"FAIL","PASS"))</x:f>
        <x:v>OPEN</x:v>
      </x:c>
    </x:row>
    <x:row r="191" ht="38" customHeight="1">
      <x:c r="B191" s="7" t="str">
        <x:v>NDE-TRV-PEA-B-Y1-05</x:v>
      </x:c>
      <x:c r="C191" s="7" t="str">
        <x:v>TRV-PEA-B-Y1-05</x:v>
      </x:c>
      <x:c r="D191" s="7" t="str">
        <x:v>PEA-B-Y1</x:v>
      </x:c>
      <x:c r="E191" s="7" t="str">
        <x:v>BLD-B</x:v>
      </x:c>
      <x:c r="F191" s="7" t="str">
        <x:v>BL-Y</x:v>
      </x:c>
      <x:c r="G191" s="7" t="str">
        <x:v>CS-05</x:v>
      </x:c>
      <x:c r="H191" s="10" t="str">
        <x:v>mechanism-specific production inspection</x:v>
      </x:c>
      <x:c r="I191" s="7" t="str"/>
      <x:c r="J191" s="7" t="str"/>
      <x:c r="K191" s="7" t="str"/>
      <x:c r="L191" s="7" t="str">
        <x:f>IF(K191="","OPEN",IF(OR(I191="",J191=""),"FAIL","PASS"))</x:f>
        <x:v>OPEN</x:v>
      </x:c>
    </x:row>
    <x:row r="192" ht="38" customHeight="1">
      <x:c r="B192" s="7" t="str">
        <x:v>NDE-TRV-PEA-B-Y1-06</x:v>
      </x:c>
      <x:c r="C192" s="7" t="str">
        <x:v>TRV-PEA-B-Y1-06</x:v>
      </x:c>
      <x:c r="D192" s="7" t="str">
        <x:v>PEA-B-Y1</x:v>
      </x:c>
      <x:c r="E192" s="7" t="str">
        <x:v>BLD-B</x:v>
      </x:c>
      <x:c r="F192" s="7" t="str">
        <x:v>BL-Y</x:v>
      </x:c>
      <x:c r="G192" s="7" t="str">
        <x:v>CS-06</x:v>
      </x:c>
      <x:c r="H192" s="10" t="str">
        <x:v>mechanism-specific production inspection</x:v>
      </x:c>
      <x:c r="I192" s="7" t="str"/>
      <x:c r="J192" s="7" t="str"/>
      <x:c r="K192" s="7" t="str"/>
      <x:c r="L192" s="7" t="str">
        <x:f>IF(K192="","OPEN",IF(OR(I192="",J192=""),"FAIL","PASS"))</x:f>
        <x:v>OPEN</x:v>
      </x:c>
    </x:row>
    <x:row r="193" ht="38" customHeight="1">
      <x:c r="B193" s="7" t="str">
        <x:v>NDE-TRV-PEA-B-Y1-07</x:v>
      </x:c>
      <x:c r="C193" s="7" t="str">
        <x:v>TRV-PEA-B-Y1-07</x:v>
      </x:c>
      <x:c r="D193" s="7" t="str">
        <x:v>PEA-B-Y1</x:v>
      </x:c>
      <x:c r="E193" s="7" t="str">
        <x:v>BLD-B</x:v>
      </x:c>
      <x:c r="F193" s="7" t="str">
        <x:v>BL-Y</x:v>
      </x:c>
      <x:c r="G193" s="7" t="str">
        <x:v>CS-07</x:v>
      </x:c>
      <x:c r="H193" s="10" t="str">
        <x:v>mechanism-specific production inspection</x:v>
      </x:c>
      <x:c r="I193" s="7" t="str"/>
      <x:c r="J193" s="7" t="str"/>
      <x:c r="K193" s="7" t="str"/>
      <x:c r="L193" s="7" t="str">
        <x:f>IF(K193="","OPEN",IF(OR(I193="",J193=""),"FAIL","PASS"))</x:f>
        <x:v>OPEN</x:v>
      </x:c>
    </x:row>
    <x:row r="194" ht="38" customHeight="1">
      <x:c r="B194" s="7" t="str">
        <x:v>NDE-TRV-PEA-B-Y1-08</x:v>
      </x:c>
      <x:c r="C194" s="7" t="str">
        <x:v>TRV-PEA-B-Y1-08</x:v>
      </x:c>
      <x:c r="D194" s="7" t="str">
        <x:v>PEA-B-Y1</x:v>
      </x:c>
      <x:c r="E194" s="7" t="str">
        <x:v>BLD-B</x:v>
      </x:c>
      <x:c r="F194" s="7" t="str">
        <x:v>BL-Y</x:v>
      </x:c>
      <x:c r="G194" s="7" t="str">
        <x:v>CS-08</x:v>
      </x:c>
      <x:c r="H194" s="10" t="str">
        <x:v>mechanism-specific production inspection</x:v>
      </x:c>
      <x:c r="I194" s="7" t="str"/>
      <x:c r="J194" s="7" t="str"/>
      <x:c r="K194" s="7" t="str"/>
      <x:c r="L194" s="7" t="str">
        <x:f>IF(K194="","OPEN",IF(OR(I194="",J194=""),"FAIL","PASS"))</x:f>
        <x:v>OPEN</x:v>
      </x:c>
    </x:row>
    <x:row r="195" ht="38" customHeight="1">
      <x:c r="B195" s="7" t="str">
        <x:v>NDE-TRV-PEA-B-Y1-09</x:v>
      </x:c>
      <x:c r="C195" s="7" t="str">
        <x:v>TRV-PEA-B-Y1-09</x:v>
      </x:c>
      <x:c r="D195" s="7" t="str">
        <x:v>PEA-B-Y1</x:v>
      </x:c>
      <x:c r="E195" s="7" t="str">
        <x:v>BLD-B</x:v>
      </x:c>
      <x:c r="F195" s="7" t="str">
        <x:v>BL-Y</x:v>
      </x:c>
      <x:c r="G195" s="7" t="str">
        <x:v>CS-09</x:v>
      </x:c>
      <x:c r="H195" s="10" t="str">
        <x:v>mechanism-specific production inspection</x:v>
      </x:c>
      <x:c r="I195" s="7" t="str"/>
      <x:c r="J195" s="7" t="str"/>
      <x:c r="K195" s="7" t="str"/>
      <x:c r="L195" s="7" t="str">
        <x:f>IF(K195="","OPEN",IF(OR(I195="",J195=""),"FAIL","PASS"))</x:f>
        <x:v>OPEN</x:v>
      </x:c>
    </x:row>
    <x:row r="196" ht="38" customHeight="1">
      <x:c r="B196" s="7" t="str">
        <x:v>NDE-TRV-PEA-B-Y1-10</x:v>
      </x:c>
      <x:c r="C196" s="7" t="str">
        <x:v>TRV-PEA-B-Y1-10</x:v>
      </x:c>
      <x:c r="D196" s="7" t="str">
        <x:v>PEA-B-Y1</x:v>
      </x:c>
      <x:c r="E196" s="7" t="str">
        <x:v>BLD-B</x:v>
      </x:c>
      <x:c r="F196" s="7" t="str">
        <x:v>BL-Y</x:v>
      </x:c>
      <x:c r="G196" s="7" t="str">
        <x:v>CS-10</x:v>
      </x:c>
      <x:c r="H196" s="10" t="str">
        <x:v>mechanism-specific production inspection</x:v>
      </x:c>
      <x:c r="I196" s="7" t="str"/>
      <x:c r="J196" s="7" t="str"/>
      <x:c r="K196" s="7" t="str"/>
      <x:c r="L196" s="7" t="str">
        <x:f>IF(K196="","OPEN",IF(OR(I196="",J196=""),"FAIL","PASS"))</x:f>
        <x:v>OPEN</x:v>
      </x:c>
    </x:row>
    <x:row r="197" ht="38" customHeight="1">
      <x:c r="B197" s="7" t="str">
        <x:v>NDE-TRV-PEA-B-Y1-11</x:v>
      </x:c>
      <x:c r="C197" s="7" t="str">
        <x:v>TRV-PEA-B-Y1-11</x:v>
      </x:c>
      <x:c r="D197" s="7" t="str">
        <x:v>PEA-B-Y1</x:v>
      </x:c>
      <x:c r="E197" s="7" t="str">
        <x:v>BLD-B</x:v>
      </x:c>
      <x:c r="F197" s="7" t="str">
        <x:v>BL-Y</x:v>
      </x:c>
      <x:c r="G197" s="7" t="str">
        <x:v>CS-11</x:v>
      </x:c>
      <x:c r="H197" s="10" t="str">
        <x:v>mechanism-specific production inspection</x:v>
      </x:c>
      <x:c r="I197" s="7" t="str"/>
      <x:c r="J197" s="7" t="str"/>
      <x:c r="K197" s="7" t="str"/>
      <x:c r="L197" s="7" t="str">
        <x:f>IF(K197="","OPEN",IF(OR(I197="",J197=""),"FAIL","PASS"))</x:f>
        <x:v>OPEN</x:v>
      </x:c>
    </x:row>
    <x:row r="198" ht="38" customHeight="1">
      <x:c r="B198" s="7" t="str">
        <x:v>NDE-TRV-PEA-B-Y1-12</x:v>
      </x:c>
      <x:c r="C198" s="7" t="str">
        <x:v>TRV-PEA-B-Y1-12</x:v>
      </x:c>
      <x:c r="D198" s="7" t="str">
        <x:v>PEA-B-Y1</x:v>
      </x:c>
      <x:c r="E198" s="7" t="str">
        <x:v>BLD-B</x:v>
      </x:c>
      <x:c r="F198" s="7" t="str">
        <x:v>BL-Y</x:v>
      </x:c>
      <x:c r="G198" s="7" t="str">
        <x:v>CS-12</x:v>
      </x:c>
      <x:c r="H198" s="10" t="str">
        <x:v>mechanism-specific production inspection</x:v>
      </x:c>
      <x:c r="I198" s="7" t="str"/>
      <x:c r="J198" s="7" t="str"/>
      <x:c r="K198" s="7" t="str"/>
      <x:c r="L198" s="7" t="str">
        <x:f>IF(K198="","OPEN",IF(OR(I198="",J198=""),"FAIL","PASS"))</x:f>
        <x:v>OPEN</x:v>
      </x:c>
    </x:row>
    <x:row r="199" ht="38" customHeight="1">
      <x:c r="B199" s="7" t="str">
        <x:v>NDE-TRV-PEA-B-Y1-13</x:v>
      </x:c>
      <x:c r="C199" s="7" t="str">
        <x:v>TRV-PEA-B-Y1-13</x:v>
      </x:c>
      <x:c r="D199" s="7" t="str">
        <x:v>PEA-B-Y1</x:v>
      </x:c>
      <x:c r="E199" s="7" t="str">
        <x:v>BLD-B</x:v>
      </x:c>
      <x:c r="F199" s="7" t="str">
        <x:v>BL-Y</x:v>
      </x:c>
      <x:c r="G199" s="7" t="str">
        <x:v>CS-13</x:v>
      </x:c>
      <x:c r="H199" s="10" t="str">
        <x:v>mechanism-specific production inspection</x:v>
      </x:c>
      <x:c r="I199" s="7" t="str"/>
      <x:c r="J199" s="7" t="str"/>
      <x:c r="K199" s="7" t="str"/>
      <x:c r="L199" s="7" t="str">
        <x:f>IF(K199="","OPEN",IF(OR(I199="",J199=""),"FAIL","PASS"))</x:f>
        <x:v>OPEN</x:v>
      </x:c>
    </x:row>
    <x:row r="200" ht="38" customHeight="1">
      <x:c r="B200" s="7" t="str">
        <x:v>NDE-TRV-PEA-B-Y1-14</x:v>
      </x:c>
      <x:c r="C200" s="7" t="str">
        <x:v>TRV-PEA-B-Y1-14</x:v>
      </x:c>
      <x:c r="D200" s="7" t="str">
        <x:v>PEA-B-Y1</x:v>
      </x:c>
      <x:c r="E200" s="7" t="str">
        <x:v>BLD-B</x:v>
      </x:c>
      <x:c r="F200" s="7" t="str">
        <x:v>BL-Y</x:v>
      </x:c>
      <x:c r="G200" s="7" t="str">
        <x:v>CS-14</x:v>
      </x:c>
      <x:c r="H200" s="10" t="str">
        <x:v>mechanism-specific production inspection</x:v>
      </x:c>
      <x:c r="I200" s="7" t="str"/>
      <x:c r="J200" s="7" t="str"/>
      <x:c r="K200" s="7" t="str"/>
      <x:c r="L200" s="7" t="str">
        <x:f>IF(K200="","OPEN",IF(OR(I200="",J200=""),"FAIL","PASS"))</x:f>
        <x:v>OPEN</x:v>
      </x:c>
    </x:row>
    <x:row r="201" ht="38" customHeight="1">
      <x:c r="B201" s="7" t="str">
        <x:v>NDE-TRV-PEA-B-Y1-15</x:v>
      </x:c>
      <x:c r="C201" s="7" t="str">
        <x:v>TRV-PEA-B-Y1-15</x:v>
      </x:c>
      <x:c r="D201" s="7" t="str">
        <x:v>PEA-B-Y1</x:v>
      </x:c>
      <x:c r="E201" s="7" t="str">
        <x:v>BLD-B</x:v>
      </x:c>
      <x:c r="F201" s="7" t="str">
        <x:v>BL-Y</x:v>
      </x:c>
      <x:c r="G201" s="7" t="str">
        <x:v>CS-15</x:v>
      </x:c>
      <x:c r="H201" s="10" t="str">
        <x:v>mechanism-specific production inspection</x:v>
      </x:c>
      <x:c r="I201" s="7" t="str"/>
      <x:c r="J201" s="7" t="str"/>
      <x:c r="K201" s="7" t="str"/>
      <x:c r="L201" s="7" t="str">
        <x:f>IF(K201="","OPEN",IF(OR(I201="",J201=""),"FAIL","PASS"))</x:f>
        <x:v>OPEN</x:v>
      </x:c>
    </x:row>
    <x:row r="202" ht="38" customHeight="1">
      <x:c r="B202" s="7" t="str">
        <x:v>NDE-TRV-PEA-B-Y1-16</x:v>
      </x:c>
      <x:c r="C202" s="7" t="str">
        <x:v>TRV-PEA-B-Y1-16</x:v>
      </x:c>
      <x:c r="D202" s="7" t="str">
        <x:v>PEA-B-Y1</x:v>
      </x:c>
      <x:c r="E202" s="7" t="str">
        <x:v>BLD-B</x:v>
      </x:c>
      <x:c r="F202" s="7" t="str">
        <x:v>BL-Y</x:v>
      </x:c>
      <x:c r="G202" s="7" t="str">
        <x:v>CS-16</x:v>
      </x:c>
      <x:c r="H202" s="10" t="str">
        <x:v>mechanism-specific production inspection</x:v>
      </x:c>
      <x:c r="I202" s="7" t="str"/>
      <x:c r="J202" s="7" t="str"/>
      <x:c r="K202" s="7" t="str"/>
      <x:c r="L202" s="7" t="str">
        <x:f>IF(K202="","OPEN",IF(OR(I202="",J202=""),"FAIL","PASS"))</x:f>
        <x:v>OPEN</x:v>
      </x:c>
    </x:row>
    <x:row r="203" ht="38" customHeight="1">
      <x:c r="B203" s="7" t="str">
        <x:v>NDE-TRV-PEA-B-Y1-17</x:v>
      </x:c>
      <x:c r="C203" s="7" t="str">
        <x:v>TRV-PEA-B-Y1-17</x:v>
      </x:c>
      <x:c r="D203" s="7" t="str">
        <x:v>PEA-B-Y1</x:v>
      </x:c>
      <x:c r="E203" s="7" t="str">
        <x:v>BLD-B</x:v>
      </x:c>
      <x:c r="F203" s="7" t="str">
        <x:v>BL-Y</x:v>
      </x:c>
      <x:c r="G203" s="7" t="str">
        <x:v>CS-17</x:v>
      </x:c>
      <x:c r="H203" s="10" t="str">
        <x:v>mechanism-specific production inspection</x:v>
      </x:c>
      <x:c r="I203" s="7" t="str"/>
      <x:c r="J203" s="7" t="str"/>
      <x:c r="K203" s="7" t="str"/>
      <x:c r="L203" s="7" t="str">
        <x:f>IF(K203="","OPEN",IF(OR(I203="",J203=""),"FAIL","PASS"))</x:f>
        <x:v>OPEN</x:v>
      </x:c>
    </x:row>
    <x:row r="204" ht="38" customHeight="1">
      <x:c r="B204" s="7" t="str">
        <x:v>NDE-TRV-PEA-B-Y1-18</x:v>
      </x:c>
      <x:c r="C204" s="7" t="str">
        <x:v>TRV-PEA-B-Y1-18</x:v>
      </x:c>
      <x:c r="D204" s="7" t="str">
        <x:v>PEA-B-Y1</x:v>
      </x:c>
      <x:c r="E204" s="7" t="str">
        <x:v>BLD-B</x:v>
      </x:c>
      <x:c r="F204" s="7" t="str">
        <x:v>BL-Y</x:v>
      </x:c>
      <x:c r="G204" s="7" t="str">
        <x:v>CS-18</x:v>
      </x:c>
      <x:c r="H204" s="10" t="str">
        <x:v>mechanism-specific production inspection</x:v>
      </x:c>
      <x:c r="I204" s="7" t="str"/>
      <x:c r="J204" s="7" t="str"/>
      <x:c r="K204" s="7" t="str"/>
      <x:c r="L204" s="7" t="str">
        <x:f>IF(K204="","OPEN",IF(OR(I204="",J204=""),"FAIL","PASS"))</x:f>
        <x:v>OPEN</x:v>
      </x:c>
    </x:row>
    <x:row r="205" ht="38" customHeight="1">
      <x:c r="B205" s="7" t="str">
        <x:v>NDE-TRV-PEA-B-Y1-19</x:v>
      </x:c>
      <x:c r="C205" s="7" t="str">
        <x:v>TRV-PEA-B-Y1-19</x:v>
      </x:c>
      <x:c r="D205" s="7" t="str">
        <x:v>PEA-B-Y1</x:v>
      </x:c>
      <x:c r="E205" s="7" t="str">
        <x:v>BLD-B</x:v>
      </x:c>
      <x:c r="F205" s="7" t="str">
        <x:v>BL-Y</x:v>
      </x:c>
      <x:c r="G205" s="7" t="str">
        <x:v>CS-19</x:v>
      </x:c>
      <x:c r="H205" s="10" t="str">
        <x:v>mechanism-specific production inspection</x:v>
      </x:c>
      <x:c r="I205" s="7" t="str"/>
      <x:c r="J205" s="7" t="str"/>
      <x:c r="K205" s="7" t="str"/>
      <x:c r="L205" s="7" t="str">
        <x:f>IF(K205="","OPEN",IF(OR(I205="",J205=""),"FAIL","PASS"))</x:f>
        <x:v>OPEN</x:v>
      </x:c>
    </x:row>
    <x:row r="206" ht="38" customHeight="1">
      <x:c r="B206" s="7" t="str">
        <x:v>NDE-TRV-PEA-B-Y1-20</x:v>
      </x:c>
      <x:c r="C206" s="7" t="str">
        <x:v>TRV-PEA-B-Y1-20</x:v>
      </x:c>
      <x:c r="D206" s="7" t="str">
        <x:v>PEA-B-Y1</x:v>
      </x:c>
      <x:c r="E206" s="7" t="str">
        <x:v>BLD-B</x:v>
      </x:c>
      <x:c r="F206" s="7" t="str">
        <x:v>BL-Y</x:v>
      </x:c>
      <x:c r="G206" s="7" t="str">
        <x:v>CS-20</x:v>
      </x:c>
      <x:c r="H206" s="10" t="str">
        <x:v>mechanism-specific production inspection</x:v>
      </x:c>
      <x:c r="I206" s="7" t="str"/>
      <x:c r="J206" s="7" t="str"/>
      <x:c r="K206" s="7" t="str"/>
      <x:c r="L206" s="7" t="str">
        <x:f>IF(K206="","OPEN",IF(OR(I206="",J206=""),"FAIL","PASS"))</x:f>
        <x:v>OPEN</x:v>
      </x:c>
    </x:row>
    <x:row r="207" ht="38" customHeight="1">
      <x:c r="B207" s="7" t="str">
        <x:v>NDE-TRV-PEA-B-Y2-01</x:v>
      </x:c>
      <x:c r="C207" s="7" t="str">
        <x:v>TRV-PEA-B-Y2-01</x:v>
      </x:c>
      <x:c r="D207" s="7" t="str">
        <x:v>PEA-B-Y2</x:v>
      </x:c>
      <x:c r="E207" s="7" t="str">
        <x:v>BLD-B</x:v>
      </x:c>
      <x:c r="F207" s="7" t="str">
        <x:v>BL-Y</x:v>
      </x:c>
      <x:c r="G207" s="7" t="str">
        <x:v>CS-01</x:v>
      </x:c>
      <x:c r="H207" s="10" t="str">
        <x:v>mechanism-specific production inspection</x:v>
      </x:c>
      <x:c r="I207" s="7" t="str"/>
      <x:c r="J207" s="7" t="str"/>
      <x:c r="K207" s="7" t="str"/>
      <x:c r="L207" s="7" t="str">
        <x:f>IF(K207="","OPEN",IF(OR(I207="",J207=""),"FAIL","PASS"))</x:f>
        <x:v>OPEN</x:v>
      </x:c>
    </x:row>
    <x:row r="208" ht="38" customHeight="1">
      <x:c r="B208" s="7" t="str">
        <x:v>NDE-TRV-PEA-B-Y2-02</x:v>
      </x:c>
      <x:c r="C208" s="7" t="str">
        <x:v>TRV-PEA-B-Y2-02</x:v>
      </x:c>
      <x:c r="D208" s="7" t="str">
        <x:v>PEA-B-Y2</x:v>
      </x:c>
      <x:c r="E208" s="7" t="str">
        <x:v>BLD-B</x:v>
      </x:c>
      <x:c r="F208" s="7" t="str">
        <x:v>BL-Y</x:v>
      </x:c>
      <x:c r="G208" s="7" t="str">
        <x:v>CS-02</x:v>
      </x:c>
      <x:c r="H208" s="10" t="str">
        <x:v>mechanism-specific production inspection</x:v>
      </x:c>
      <x:c r="I208" s="7" t="str"/>
      <x:c r="J208" s="7" t="str"/>
      <x:c r="K208" s="7" t="str"/>
      <x:c r="L208" s="7" t="str">
        <x:f>IF(K208="","OPEN",IF(OR(I208="",J208=""),"FAIL","PASS"))</x:f>
        <x:v>OPEN</x:v>
      </x:c>
    </x:row>
    <x:row r="209" ht="38" customHeight="1">
      <x:c r="B209" s="7" t="str">
        <x:v>NDE-TRV-PEA-B-Y2-03</x:v>
      </x:c>
      <x:c r="C209" s="7" t="str">
        <x:v>TRV-PEA-B-Y2-03</x:v>
      </x:c>
      <x:c r="D209" s="7" t="str">
        <x:v>PEA-B-Y2</x:v>
      </x:c>
      <x:c r="E209" s="7" t="str">
        <x:v>BLD-B</x:v>
      </x:c>
      <x:c r="F209" s="7" t="str">
        <x:v>BL-Y</x:v>
      </x:c>
      <x:c r="G209" s="7" t="str">
        <x:v>CS-03</x:v>
      </x:c>
      <x:c r="H209" s="10" t="str">
        <x:v>mechanism-specific production inspection</x:v>
      </x:c>
      <x:c r="I209" s="7" t="str"/>
      <x:c r="J209" s="7" t="str"/>
      <x:c r="K209" s="7" t="str"/>
      <x:c r="L209" s="7" t="str">
        <x:f>IF(K209="","OPEN",IF(OR(I209="",J209=""),"FAIL","PASS"))</x:f>
        <x:v>OPEN</x:v>
      </x:c>
    </x:row>
    <x:row r="210" ht="38" customHeight="1">
      <x:c r="B210" s="7" t="str">
        <x:v>NDE-TRV-PEA-B-Y2-04</x:v>
      </x:c>
      <x:c r="C210" s="7" t="str">
        <x:v>TRV-PEA-B-Y2-04</x:v>
      </x:c>
      <x:c r="D210" s="7" t="str">
        <x:v>PEA-B-Y2</x:v>
      </x:c>
      <x:c r="E210" s="7" t="str">
        <x:v>BLD-B</x:v>
      </x:c>
      <x:c r="F210" s="7" t="str">
        <x:v>BL-Y</x:v>
      </x:c>
      <x:c r="G210" s="7" t="str">
        <x:v>CS-04</x:v>
      </x:c>
      <x:c r="H210" s="10" t="str">
        <x:v>mechanism-specific production inspection</x:v>
      </x:c>
      <x:c r="I210" s="7" t="str"/>
      <x:c r="J210" s="7" t="str"/>
      <x:c r="K210" s="7" t="str"/>
      <x:c r="L210" s="7" t="str">
        <x:f>IF(K210="","OPEN",IF(OR(I210="",J210=""),"FAIL","PASS"))</x:f>
        <x:v>OPEN</x:v>
      </x:c>
    </x:row>
    <x:row r="211" ht="38" customHeight="1">
      <x:c r="B211" s="7" t="str">
        <x:v>NDE-TRV-PEA-B-Y2-05</x:v>
      </x:c>
      <x:c r="C211" s="7" t="str">
        <x:v>TRV-PEA-B-Y2-05</x:v>
      </x:c>
      <x:c r="D211" s="7" t="str">
        <x:v>PEA-B-Y2</x:v>
      </x:c>
      <x:c r="E211" s="7" t="str">
        <x:v>BLD-B</x:v>
      </x:c>
      <x:c r="F211" s="7" t="str">
        <x:v>BL-Y</x:v>
      </x:c>
      <x:c r="G211" s="7" t="str">
        <x:v>CS-05</x:v>
      </x:c>
      <x:c r="H211" s="10" t="str">
        <x:v>mechanism-specific production inspection</x:v>
      </x:c>
      <x:c r="I211" s="7" t="str"/>
      <x:c r="J211" s="7" t="str"/>
      <x:c r="K211" s="7" t="str"/>
      <x:c r="L211" s="7" t="str">
        <x:f>IF(K211="","OPEN",IF(OR(I211="",J211=""),"FAIL","PASS"))</x:f>
        <x:v>OPEN</x:v>
      </x:c>
    </x:row>
    <x:row r="212" ht="38" customHeight="1">
      <x:c r="B212" s="7" t="str">
        <x:v>NDE-TRV-PEA-B-Y2-06</x:v>
      </x:c>
      <x:c r="C212" s="7" t="str">
        <x:v>TRV-PEA-B-Y2-06</x:v>
      </x:c>
      <x:c r="D212" s="7" t="str">
        <x:v>PEA-B-Y2</x:v>
      </x:c>
      <x:c r="E212" s="7" t="str">
        <x:v>BLD-B</x:v>
      </x:c>
      <x:c r="F212" s="7" t="str">
        <x:v>BL-Y</x:v>
      </x:c>
      <x:c r="G212" s="7" t="str">
        <x:v>CS-06</x:v>
      </x:c>
      <x:c r="H212" s="10" t="str">
        <x:v>mechanism-specific production inspection</x:v>
      </x:c>
      <x:c r="I212" s="7" t="str"/>
      <x:c r="J212" s="7" t="str"/>
      <x:c r="K212" s="7" t="str"/>
      <x:c r="L212" s="7" t="str">
        <x:f>IF(K212="","OPEN",IF(OR(I212="",J212=""),"FAIL","PASS"))</x:f>
        <x:v>OPEN</x:v>
      </x:c>
    </x:row>
    <x:row r="213" ht="38" customHeight="1">
      <x:c r="B213" s="7" t="str">
        <x:v>NDE-TRV-PEA-B-Y2-07</x:v>
      </x:c>
      <x:c r="C213" s="7" t="str">
        <x:v>TRV-PEA-B-Y2-07</x:v>
      </x:c>
      <x:c r="D213" s="7" t="str">
        <x:v>PEA-B-Y2</x:v>
      </x:c>
      <x:c r="E213" s="7" t="str">
        <x:v>BLD-B</x:v>
      </x:c>
      <x:c r="F213" s="7" t="str">
        <x:v>BL-Y</x:v>
      </x:c>
      <x:c r="G213" s="7" t="str">
        <x:v>CS-07</x:v>
      </x:c>
      <x:c r="H213" s="10" t="str">
        <x:v>mechanism-specific production inspection</x:v>
      </x:c>
      <x:c r="I213" s="7" t="str"/>
      <x:c r="J213" s="7" t="str"/>
      <x:c r="K213" s="7" t="str"/>
      <x:c r="L213" s="7" t="str">
        <x:f>IF(K213="","OPEN",IF(OR(I213="",J213=""),"FAIL","PASS"))</x:f>
        <x:v>OPEN</x:v>
      </x:c>
    </x:row>
    <x:row r="214" ht="38" customHeight="1">
      <x:c r="B214" s="7" t="str">
        <x:v>NDE-TRV-PEA-B-Y2-08</x:v>
      </x:c>
      <x:c r="C214" s="7" t="str">
        <x:v>TRV-PEA-B-Y2-08</x:v>
      </x:c>
      <x:c r="D214" s="7" t="str">
        <x:v>PEA-B-Y2</x:v>
      </x:c>
      <x:c r="E214" s="7" t="str">
        <x:v>BLD-B</x:v>
      </x:c>
      <x:c r="F214" s="7" t="str">
        <x:v>BL-Y</x:v>
      </x:c>
      <x:c r="G214" s="7" t="str">
        <x:v>CS-08</x:v>
      </x:c>
      <x:c r="H214" s="10" t="str">
        <x:v>mechanism-specific production inspection</x:v>
      </x:c>
      <x:c r="I214" s="7" t="str"/>
      <x:c r="J214" s="7" t="str"/>
      <x:c r="K214" s="7" t="str"/>
      <x:c r="L214" s="7" t="str">
        <x:f>IF(K214="","OPEN",IF(OR(I214="",J214=""),"FAIL","PASS"))</x:f>
        <x:v>OPEN</x:v>
      </x:c>
    </x:row>
    <x:row r="215" ht="38" customHeight="1">
      <x:c r="B215" s="7" t="str">
        <x:v>NDE-TRV-PEA-B-Y2-09</x:v>
      </x:c>
      <x:c r="C215" s="7" t="str">
        <x:v>TRV-PEA-B-Y2-09</x:v>
      </x:c>
      <x:c r="D215" s="7" t="str">
        <x:v>PEA-B-Y2</x:v>
      </x:c>
      <x:c r="E215" s="7" t="str">
        <x:v>BLD-B</x:v>
      </x:c>
      <x:c r="F215" s="7" t="str">
        <x:v>BL-Y</x:v>
      </x:c>
      <x:c r="G215" s="7" t="str">
        <x:v>CS-09</x:v>
      </x:c>
      <x:c r="H215" s="10" t="str">
        <x:v>mechanism-specific production inspection</x:v>
      </x:c>
      <x:c r="I215" s="7" t="str"/>
      <x:c r="J215" s="7" t="str"/>
      <x:c r="K215" s="7" t="str"/>
      <x:c r="L215" s="7" t="str">
        <x:f>IF(K215="","OPEN",IF(OR(I215="",J215=""),"FAIL","PASS"))</x:f>
        <x:v>OPEN</x:v>
      </x:c>
    </x:row>
    <x:row r="216" ht="38" customHeight="1">
      <x:c r="B216" s="7" t="str">
        <x:v>NDE-TRV-PEA-B-Y2-10</x:v>
      </x:c>
      <x:c r="C216" s="7" t="str">
        <x:v>TRV-PEA-B-Y2-10</x:v>
      </x:c>
      <x:c r="D216" s="7" t="str">
        <x:v>PEA-B-Y2</x:v>
      </x:c>
      <x:c r="E216" s="7" t="str">
        <x:v>BLD-B</x:v>
      </x:c>
      <x:c r="F216" s="7" t="str">
        <x:v>BL-Y</x:v>
      </x:c>
      <x:c r="G216" s="7" t="str">
        <x:v>CS-10</x:v>
      </x:c>
      <x:c r="H216" s="10" t="str">
        <x:v>mechanism-specific production inspection</x:v>
      </x:c>
      <x:c r="I216" s="7" t="str"/>
      <x:c r="J216" s="7" t="str"/>
      <x:c r="K216" s="7" t="str"/>
      <x:c r="L216" s="7" t="str">
        <x:f>IF(K216="","OPEN",IF(OR(I216="",J216=""),"FAIL","PASS"))</x:f>
        <x:v>OPEN</x:v>
      </x:c>
    </x:row>
    <x:row r="217" ht="38" customHeight="1">
      <x:c r="B217" s="7" t="str">
        <x:v>NDE-TRV-PEA-B-Y2-11</x:v>
      </x:c>
      <x:c r="C217" s="7" t="str">
        <x:v>TRV-PEA-B-Y2-11</x:v>
      </x:c>
      <x:c r="D217" s="7" t="str">
        <x:v>PEA-B-Y2</x:v>
      </x:c>
      <x:c r="E217" s="7" t="str">
        <x:v>BLD-B</x:v>
      </x:c>
      <x:c r="F217" s="7" t="str">
        <x:v>BL-Y</x:v>
      </x:c>
      <x:c r="G217" s="7" t="str">
        <x:v>CS-11</x:v>
      </x:c>
      <x:c r="H217" s="10" t="str">
        <x:v>mechanism-specific production inspection</x:v>
      </x:c>
      <x:c r="I217" s="7" t="str"/>
      <x:c r="J217" s="7" t="str"/>
      <x:c r="K217" s="7" t="str"/>
      <x:c r="L217" s="7" t="str">
        <x:f>IF(K217="","OPEN",IF(OR(I217="",J217=""),"FAIL","PASS"))</x:f>
        <x:v>OPEN</x:v>
      </x:c>
    </x:row>
    <x:row r="218" ht="38" customHeight="1">
      <x:c r="B218" s="7" t="str">
        <x:v>NDE-TRV-PEA-B-Y2-12</x:v>
      </x:c>
      <x:c r="C218" s="7" t="str">
        <x:v>TRV-PEA-B-Y2-12</x:v>
      </x:c>
      <x:c r="D218" s="7" t="str">
        <x:v>PEA-B-Y2</x:v>
      </x:c>
      <x:c r="E218" s="7" t="str">
        <x:v>BLD-B</x:v>
      </x:c>
      <x:c r="F218" s="7" t="str">
        <x:v>BL-Y</x:v>
      </x:c>
      <x:c r="G218" s="7" t="str">
        <x:v>CS-12</x:v>
      </x:c>
      <x:c r="H218" s="10" t="str">
        <x:v>mechanism-specific production inspection</x:v>
      </x:c>
      <x:c r="I218" s="7" t="str"/>
      <x:c r="J218" s="7" t="str"/>
      <x:c r="K218" s="7" t="str"/>
      <x:c r="L218" s="7" t="str">
        <x:f>IF(K218="","OPEN",IF(OR(I218="",J218=""),"FAIL","PASS"))</x:f>
        <x:v>OPEN</x:v>
      </x:c>
    </x:row>
    <x:row r="219" ht="38" customHeight="1">
      <x:c r="B219" s="7" t="str">
        <x:v>NDE-TRV-PEA-B-Y2-13</x:v>
      </x:c>
      <x:c r="C219" s="7" t="str">
        <x:v>TRV-PEA-B-Y2-13</x:v>
      </x:c>
      <x:c r="D219" s="7" t="str">
        <x:v>PEA-B-Y2</x:v>
      </x:c>
      <x:c r="E219" s="7" t="str">
        <x:v>BLD-B</x:v>
      </x:c>
      <x:c r="F219" s="7" t="str">
        <x:v>BL-Y</x:v>
      </x:c>
      <x:c r="G219" s="7" t="str">
        <x:v>CS-13</x:v>
      </x:c>
      <x:c r="H219" s="10" t="str">
        <x:v>mechanism-specific production inspection</x:v>
      </x:c>
      <x:c r="I219" s="7" t="str"/>
      <x:c r="J219" s="7" t="str"/>
      <x:c r="K219" s="7" t="str"/>
      <x:c r="L219" s="7" t="str">
        <x:f>IF(K219="","OPEN",IF(OR(I219="",J219=""),"FAIL","PASS"))</x:f>
        <x:v>OPEN</x:v>
      </x:c>
    </x:row>
    <x:row r="220" ht="38" customHeight="1">
      <x:c r="B220" s="7" t="str">
        <x:v>NDE-TRV-PEA-B-Y2-14</x:v>
      </x:c>
      <x:c r="C220" s="7" t="str">
        <x:v>TRV-PEA-B-Y2-14</x:v>
      </x:c>
      <x:c r="D220" s="7" t="str">
        <x:v>PEA-B-Y2</x:v>
      </x:c>
      <x:c r="E220" s="7" t="str">
        <x:v>BLD-B</x:v>
      </x:c>
      <x:c r="F220" s="7" t="str">
        <x:v>BL-Y</x:v>
      </x:c>
      <x:c r="G220" s="7" t="str">
        <x:v>CS-14</x:v>
      </x:c>
      <x:c r="H220" s="10" t="str">
        <x:v>mechanism-specific production inspection</x:v>
      </x:c>
      <x:c r="I220" s="7" t="str"/>
      <x:c r="J220" s="7" t="str"/>
      <x:c r="K220" s="7" t="str"/>
      <x:c r="L220" s="7" t="str">
        <x:f>IF(K220="","OPEN",IF(OR(I220="",J220=""),"FAIL","PASS"))</x:f>
        <x:v>OPEN</x:v>
      </x:c>
    </x:row>
    <x:row r="221" ht="38" customHeight="1">
      <x:c r="B221" s="7" t="str">
        <x:v>NDE-TRV-PEA-B-Y2-15</x:v>
      </x:c>
      <x:c r="C221" s="7" t="str">
        <x:v>TRV-PEA-B-Y2-15</x:v>
      </x:c>
      <x:c r="D221" s="7" t="str">
        <x:v>PEA-B-Y2</x:v>
      </x:c>
      <x:c r="E221" s="7" t="str">
        <x:v>BLD-B</x:v>
      </x:c>
      <x:c r="F221" s="7" t="str">
        <x:v>BL-Y</x:v>
      </x:c>
      <x:c r="G221" s="7" t="str">
        <x:v>CS-15</x:v>
      </x:c>
      <x:c r="H221" s="10" t="str">
        <x:v>mechanism-specific production inspection</x:v>
      </x:c>
      <x:c r="I221" s="7" t="str"/>
      <x:c r="J221" s="7" t="str"/>
      <x:c r="K221" s="7" t="str"/>
      <x:c r="L221" s="7" t="str">
        <x:f>IF(K221="","OPEN",IF(OR(I221="",J221=""),"FAIL","PASS"))</x:f>
        <x:v>OPEN</x:v>
      </x:c>
    </x:row>
    <x:row r="222" ht="38" customHeight="1">
      <x:c r="B222" s="7" t="str">
        <x:v>NDE-TRV-PEA-B-Y2-16</x:v>
      </x:c>
      <x:c r="C222" s="7" t="str">
        <x:v>TRV-PEA-B-Y2-16</x:v>
      </x:c>
      <x:c r="D222" s="7" t="str">
        <x:v>PEA-B-Y2</x:v>
      </x:c>
      <x:c r="E222" s="7" t="str">
        <x:v>BLD-B</x:v>
      </x:c>
      <x:c r="F222" s="7" t="str">
        <x:v>BL-Y</x:v>
      </x:c>
      <x:c r="G222" s="7" t="str">
        <x:v>CS-16</x:v>
      </x:c>
      <x:c r="H222" s="10" t="str">
        <x:v>mechanism-specific production inspection</x:v>
      </x:c>
      <x:c r="I222" s="7" t="str"/>
      <x:c r="J222" s="7" t="str"/>
      <x:c r="K222" s="7" t="str"/>
      <x:c r="L222" s="7" t="str">
        <x:f>IF(K222="","OPEN",IF(OR(I222="",J222=""),"FAIL","PASS"))</x:f>
        <x:v>OPEN</x:v>
      </x:c>
    </x:row>
    <x:row r="223" ht="38" customHeight="1">
      <x:c r="B223" s="7" t="str">
        <x:v>NDE-TRV-PEA-B-Y2-17</x:v>
      </x:c>
      <x:c r="C223" s="7" t="str">
        <x:v>TRV-PEA-B-Y2-17</x:v>
      </x:c>
      <x:c r="D223" s="7" t="str">
        <x:v>PEA-B-Y2</x:v>
      </x:c>
      <x:c r="E223" s="7" t="str">
        <x:v>BLD-B</x:v>
      </x:c>
      <x:c r="F223" s="7" t="str">
        <x:v>BL-Y</x:v>
      </x:c>
      <x:c r="G223" s="7" t="str">
        <x:v>CS-17</x:v>
      </x:c>
      <x:c r="H223" s="10" t="str">
        <x:v>mechanism-specific production inspection</x:v>
      </x:c>
      <x:c r="I223" s="7" t="str"/>
      <x:c r="J223" s="7" t="str"/>
      <x:c r="K223" s="7" t="str"/>
      <x:c r="L223" s="7" t="str">
        <x:f>IF(K223="","OPEN",IF(OR(I223="",J223=""),"FAIL","PASS"))</x:f>
        <x:v>OPEN</x:v>
      </x:c>
    </x:row>
    <x:row r="224" ht="38" customHeight="1">
      <x:c r="B224" s="7" t="str">
        <x:v>NDE-TRV-PEA-B-Y2-18</x:v>
      </x:c>
      <x:c r="C224" s="7" t="str">
        <x:v>TRV-PEA-B-Y2-18</x:v>
      </x:c>
      <x:c r="D224" s="7" t="str">
        <x:v>PEA-B-Y2</x:v>
      </x:c>
      <x:c r="E224" s="7" t="str">
        <x:v>BLD-B</x:v>
      </x:c>
      <x:c r="F224" s="7" t="str">
        <x:v>BL-Y</x:v>
      </x:c>
      <x:c r="G224" s="7" t="str">
        <x:v>CS-18</x:v>
      </x:c>
      <x:c r="H224" s="10" t="str">
        <x:v>mechanism-specific production inspection</x:v>
      </x:c>
      <x:c r="I224" s="7" t="str"/>
      <x:c r="J224" s="7" t="str"/>
      <x:c r="K224" s="7" t="str"/>
      <x:c r="L224" s="7" t="str">
        <x:f>IF(K224="","OPEN",IF(OR(I224="",J224=""),"FAIL","PASS"))</x:f>
        <x:v>OPEN</x:v>
      </x:c>
    </x:row>
    <x:row r="225" ht="38" customHeight="1">
      <x:c r="B225" s="7" t="str">
        <x:v>NDE-TRV-PEA-B-Y2-19</x:v>
      </x:c>
      <x:c r="C225" s="7" t="str">
        <x:v>TRV-PEA-B-Y2-19</x:v>
      </x:c>
      <x:c r="D225" s="7" t="str">
        <x:v>PEA-B-Y2</x:v>
      </x:c>
      <x:c r="E225" s="7" t="str">
        <x:v>BLD-B</x:v>
      </x:c>
      <x:c r="F225" s="7" t="str">
        <x:v>BL-Y</x:v>
      </x:c>
      <x:c r="G225" s="7" t="str">
        <x:v>CS-19</x:v>
      </x:c>
      <x:c r="H225" s="10" t="str">
        <x:v>mechanism-specific production inspection</x:v>
      </x:c>
      <x:c r="I225" s="7" t="str"/>
      <x:c r="J225" s="7" t="str"/>
      <x:c r="K225" s="7" t="str"/>
      <x:c r="L225" s="7" t="str">
        <x:f>IF(K225="","OPEN",IF(OR(I225="",J225=""),"FAIL","PASS"))</x:f>
        <x:v>OPEN</x:v>
      </x:c>
    </x:row>
    <x:row r="226" ht="38" customHeight="1">
      <x:c r="B226" s="7" t="str">
        <x:v>NDE-TRV-PEA-B-Y2-20</x:v>
      </x:c>
      <x:c r="C226" s="7" t="str">
        <x:v>TRV-PEA-B-Y2-20</x:v>
      </x:c>
      <x:c r="D226" s="7" t="str">
        <x:v>PEA-B-Y2</x:v>
      </x:c>
      <x:c r="E226" s="7" t="str">
        <x:v>BLD-B</x:v>
      </x:c>
      <x:c r="F226" s="7" t="str">
        <x:v>BL-Y</x:v>
      </x:c>
      <x:c r="G226" s="7" t="str">
        <x:v>CS-20</x:v>
      </x:c>
      <x:c r="H226" s="10" t="str">
        <x:v>mechanism-specific production inspection</x:v>
      </x:c>
      <x:c r="I226" s="7" t="str"/>
      <x:c r="J226" s="7" t="str"/>
      <x:c r="K226" s="7" t="str"/>
      <x:c r="L226" s="7" t="str">
        <x:f>IF(K226="","OPEN",IF(OR(I226="",J226=""),"FAIL","PASS"))</x:f>
        <x:v>OPEN</x:v>
      </x:c>
    </x:row>
    <x:row r="227" ht="38" customHeight="1">
      <x:c r="B227" s="7" t="str">
        <x:v>NDE-TRV-PEA-B-Y3-01</x:v>
      </x:c>
      <x:c r="C227" s="7" t="str">
        <x:v>TRV-PEA-B-Y3-01</x:v>
      </x:c>
      <x:c r="D227" s="7" t="str">
        <x:v>PEA-B-Y3</x:v>
      </x:c>
      <x:c r="E227" s="7" t="str">
        <x:v>BLD-B</x:v>
      </x:c>
      <x:c r="F227" s="7" t="str">
        <x:v>BL-Y</x:v>
      </x:c>
      <x:c r="G227" s="7" t="str">
        <x:v>CS-01</x:v>
      </x:c>
      <x:c r="H227" s="10" t="str">
        <x:v>mechanism-specific production inspection</x:v>
      </x:c>
      <x:c r="I227" s="7" t="str"/>
      <x:c r="J227" s="7" t="str"/>
      <x:c r="K227" s="7" t="str"/>
      <x:c r="L227" s="7" t="str">
        <x:f>IF(K227="","OPEN",IF(OR(I227="",J227=""),"FAIL","PASS"))</x:f>
        <x:v>OPEN</x:v>
      </x:c>
    </x:row>
    <x:row r="228" ht="38" customHeight="1">
      <x:c r="B228" s="7" t="str">
        <x:v>NDE-TRV-PEA-B-Y3-02</x:v>
      </x:c>
      <x:c r="C228" s="7" t="str">
        <x:v>TRV-PEA-B-Y3-02</x:v>
      </x:c>
      <x:c r="D228" s="7" t="str">
        <x:v>PEA-B-Y3</x:v>
      </x:c>
      <x:c r="E228" s="7" t="str">
        <x:v>BLD-B</x:v>
      </x:c>
      <x:c r="F228" s="7" t="str">
        <x:v>BL-Y</x:v>
      </x:c>
      <x:c r="G228" s="7" t="str">
        <x:v>CS-02</x:v>
      </x:c>
      <x:c r="H228" s="10" t="str">
        <x:v>mechanism-specific production inspection</x:v>
      </x:c>
      <x:c r="I228" s="7" t="str"/>
      <x:c r="J228" s="7" t="str"/>
      <x:c r="K228" s="7" t="str"/>
      <x:c r="L228" s="7" t="str">
        <x:f>IF(K228="","OPEN",IF(OR(I228="",J228=""),"FAIL","PASS"))</x:f>
        <x:v>OPEN</x:v>
      </x:c>
    </x:row>
    <x:row r="229" ht="38" customHeight="1">
      <x:c r="B229" s="7" t="str">
        <x:v>NDE-TRV-PEA-B-Y3-03</x:v>
      </x:c>
      <x:c r="C229" s="7" t="str">
        <x:v>TRV-PEA-B-Y3-03</x:v>
      </x:c>
      <x:c r="D229" s="7" t="str">
        <x:v>PEA-B-Y3</x:v>
      </x:c>
      <x:c r="E229" s="7" t="str">
        <x:v>BLD-B</x:v>
      </x:c>
      <x:c r="F229" s="7" t="str">
        <x:v>BL-Y</x:v>
      </x:c>
      <x:c r="G229" s="7" t="str">
        <x:v>CS-03</x:v>
      </x:c>
      <x:c r="H229" s="10" t="str">
        <x:v>mechanism-specific production inspection</x:v>
      </x:c>
      <x:c r="I229" s="7" t="str"/>
      <x:c r="J229" s="7" t="str"/>
      <x:c r="K229" s="7" t="str"/>
      <x:c r="L229" s="7" t="str">
        <x:f>IF(K229="","OPEN",IF(OR(I229="",J229=""),"FAIL","PASS"))</x:f>
        <x:v>OPEN</x:v>
      </x:c>
    </x:row>
    <x:row r="230" ht="38" customHeight="1">
      <x:c r="B230" s="7" t="str">
        <x:v>NDE-TRV-PEA-B-Y3-04</x:v>
      </x:c>
      <x:c r="C230" s="7" t="str">
        <x:v>TRV-PEA-B-Y3-04</x:v>
      </x:c>
      <x:c r="D230" s="7" t="str">
        <x:v>PEA-B-Y3</x:v>
      </x:c>
      <x:c r="E230" s="7" t="str">
        <x:v>BLD-B</x:v>
      </x:c>
      <x:c r="F230" s="7" t="str">
        <x:v>BL-Y</x:v>
      </x:c>
      <x:c r="G230" s="7" t="str">
        <x:v>CS-04</x:v>
      </x:c>
      <x:c r="H230" s="10" t="str">
        <x:v>mechanism-specific production inspection</x:v>
      </x:c>
      <x:c r="I230" s="7" t="str"/>
      <x:c r="J230" s="7" t="str"/>
      <x:c r="K230" s="7" t="str"/>
      <x:c r="L230" s="7" t="str">
        <x:f>IF(K230="","OPEN",IF(OR(I230="",J230=""),"FAIL","PASS"))</x:f>
        <x:v>OPEN</x:v>
      </x:c>
    </x:row>
    <x:row r="231" ht="38" customHeight="1">
      <x:c r="B231" s="7" t="str">
        <x:v>NDE-TRV-PEA-B-Y3-05</x:v>
      </x:c>
      <x:c r="C231" s="7" t="str">
        <x:v>TRV-PEA-B-Y3-05</x:v>
      </x:c>
      <x:c r="D231" s="7" t="str">
        <x:v>PEA-B-Y3</x:v>
      </x:c>
      <x:c r="E231" s="7" t="str">
        <x:v>BLD-B</x:v>
      </x:c>
      <x:c r="F231" s="7" t="str">
        <x:v>BL-Y</x:v>
      </x:c>
      <x:c r="G231" s="7" t="str">
        <x:v>CS-05</x:v>
      </x:c>
      <x:c r="H231" s="10" t="str">
        <x:v>mechanism-specific production inspection</x:v>
      </x:c>
      <x:c r="I231" s="7" t="str"/>
      <x:c r="J231" s="7" t="str"/>
      <x:c r="K231" s="7" t="str"/>
      <x:c r="L231" s="7" t="str">
        <x:f>IF(K231="","OPEN",IF(OR(I231="",J231=""),"FAIL","PASS"))</x:f>
        <x:v>OPEN</x:v>
      </x:c>
    </x:row>
    <x:row r="232" ht="38" customHeight="1">
      <x:c r="B232" s="7" t="str">
        <x:v>NDE-TRV-PEA-B-Y3-06</x:v>
      </x:c>
      <x:c r="C232" s="7" t="str">
        <x:v>TRV-PEA-B-Y3-06</x:v>
      </x:c>
      <x:c r="D232" s="7" t="str">
        <x:v>PEA-B-Y3</x:v>
      </x:c>
      <x:c r="E232" s="7" t="str">
        <x:v>BLD-B</x:v>
      </x:c>
      <x:c r="F232" s="7" t="str">
        <x:v>BL-Y</x:v>
      </x:c>
      <x:c r="G232" s="7" t="str">
        <x:v>CS-06</x:v>
      </x:c>
      <x:c r="H232" s="10" t="str">
        <x:v>mechanism-specific production inspection</x:v>
      </x:c>
      <x:c r="I232" s="7" t="str"/>
      <x:c r="J232" s="7" t="str"/>
      <x:c r="K232" s="7" t="str"/>
      <x:c r="L232" s="7" t="str">
        <x:f>IF(K232="","OPEN",IF(OR(I232="",J232=""),"FAIL","PASS"))</x:f>
        <x:v>OPEN</x:v>
      </x:c>
    </x:row>
    <x:row r="233" ht="38" customHeight="1">
      <x:c r="B233" s="7" t="str">
        <x:v>NDE-TRV-PEA-B-Y3-07</x:v>
      </x:c>
      <x:c r="C233" s="7" t="str">
        <x:v>TRV-PEA-B-Y3-07</x:v>
      </x:c>
      <x:c r="D233" s="7" t="str">
        <x:v>PEA-B-Y3</x:v>
      </x:c>
      <x:c r="E233" s="7" t="str">
        <x:v>BLD-B</x:v>
      </x:c>
      <x:c r="F233" s="7" t="str">
        <x:v>BL-Y</x:v>
      </x:c>
      <x:c r="G233" s="7" t="str">
        <x:v>CS-07</x:v>
      </x:c>
      <x:c r="H233" s="10" t="str">
        <x:v>mechanism-specific production inspection</x:v>
      </x:c>
      <x:c r="I233" s="7" t="str"/>
      <x:c r="J233" s="7" t="str"/>
      <x:c r="K233" s="7" t="str"/>
      <x:c r="L233" s="7" t="str">
        <x:f>IF(K233="","OPEN",IF(OR(I233="",J233=""),"FAIL","PASS"))</x:f>
        <x:v>OPEN</x:v>
      </x:c>
    </x:row>
    <x:row r="234" ht="38" customHeight="1">
      <x:c r="B234" s="7" t="str">
        <x:v>NDE-TRV-PEA-B-Y3-08</x:v>
      </x:c>
      <x:c r="C234" s="7" t="str">
        <x:v>TRV-PEA-B-Y3-08</x:v>
      </x:c>
      <x:c r="D234" s="7" t="str">
        <x:v>PEA-B-Y3</x:v>
      </x:c>
      <x:c r="E234" s="7" t="str">
        <x:v>BLD-B</x:v>
      </x:c>
      <x:c r="F234" s="7" t="str">
        <x:v>BL-Y</x:v>
      </x:c>
      <x:c r="G234" s="7" t="str">
        <x:v>CS-08</x:v>
      </x:c>
      <x:c r="H234" s="10" t="str">
        <x:v>mechanism-specific production inspection</x:v>
      </x:c>
      <x:c r="I234" s="7" t="str"/>
      <x:c r="J234" s="7" t="str"/>
      <x:c r="K234" s="7" t="str"/>
      <x:c r="L234" s="7" t="str">
        <x:f>IF(K234="","OPEN",IF(OR(I234="",J234=""),"FAIL","PASS"))</x:f>
        <x:v>OPEN</x:v>
      </x:c>
    </x:row>
    <x:row r="235" ht="38" customHeight="1">
      <x:c r="B235" s="7" t="str">
        <x:v>NDE-TRV-PEA-B-Y3-09</x:v>
      </x:c>
      <x:c r="C235" s="7" t="str">
        <x:v>TRV-PEA-B-Y3-09</x:v>
      </x:c>
      <x:c r="D235" s="7" t="str">
        <x:v>PEA-B-Y3</x:v>
      </x:c>
      <x:c r="E235" s="7" t="str">
        <x:v>BLD-B</x:v>
      </x:c>
      <x:c r="F235" s="7" t="str">
        <x:v>BL-Y</x:v>
      </x:c>
      <x:c r="G235" s="7" t="str">
        <x:v>CS-09</x:v>
      </x:c>
      <x:c r="H235" s="10" t="str">
        <x:v>mechanism-specific production inspection</x:v>
      </x:c>
      <x:c r="I235" s="7" t="str"/>
      <x:c r="J235" s="7" t="str"/>
      <x:c r="K235" s="7" t="str"/>
      <x:c r="L235" s="7" t="str">
        <x:f>IF(K235="","OPEN",IF(OR(I235="",J235=""),"FAIL","PASS"))</x:f>
        <x:v>OPEN</x:v>
      </x:c>
    </x:row>
    <x:row r="236" ht="38" customHeight="1">
      <x:c r="B236" s="7" t="str">
        <x:v>NDE-TRV-PEA-B-Y3-10</x:v>
      </x:c>
      <x:c r="C236" s="7" t="str">
        <x:v>TRV-PEA-B-Y3-10</x:v>
      </x:c>
      <x:c r="D236" s="7" t="str">
        <x:v>PEA-B-Y3</x:v>
      </x:c>
      <x:c r="E236" s="7" t="str">
        <x:v>BLD-B</x:v>
      </x:c>
      <x:c r="F236" s="7" t="str">
        <x:v>BL-Y</x:v>
      </x:c>
      <x:c r="G236" s="7" t="str">
        <x:v>CS-10</x:v>
      </x:c>
      <x:c r="H236" s="10" t="str">
        <x:v>mechanism-specific production inspection</x:v>
      </x:c>
      <x:c r="I236" s="7" t="str"/>
      <x:c r="J236" s="7" t="str"/>
      <x:c r="K236" s="7" t="str"/>
      <x:c r="L236" s="7" t="str">
        <x:f>IF(K236="","OPEN",IF(OR(I236="",J236=""),"FAIL","PASS"))</x:f>
        <x:v>OPEN</x:v>
      </x:c>
    </x:row>
    <x:row r="237" ht="38" customHeight="1">
      <x:c r="B237" s="7" t="str">
        <x:v>NDE-TRV-PEA-B-Y3-11</x:v>
      </x:c>
      <x:c r="C237" s="7" t="str">
        <x:v>TRV-PEA-B-Y3-11</x:v>
      </x:c>
      <x:c r="D237" s="7" t="str">
        <x:v>PEA-B-Y3</x:v>
      </x:c>
      <x:c r="E237" s="7" t="str">
        <x:v>BLD-B</x:v>
      </x:c>
      <x:c r="F237" s="7" t="str">
        <x:v>BL-Y</x:v>
      </x:c>
      <x:c r="G237" s="7" t="str">
        <x:v>CS-11</x:v>
      </x:c>
      <x:c r="H237" s="10" t="str">
        <x:v>mechanism-specific production inspection</x:v>
      </x:c>
      <x:c r="I237" s="7" t="str"/>
      <x:c r="J237" s="7" t="str"/>
      <x:c r="K237" s="7" t="str"/>
      <x:c r="L237" s="7" t="str">
        <x:f>IF(K237="","OPEN",IF(OR(I237="",J237=""),"FAIL","PASS"))</x:f>
        <x:v>OPEN</x:v>
      </x:c>
    </x:row>
    <x:row r="238" ht="38" customHeight="1">
      <x:c r="B238" s="7" t="str">
        <x:v>NDE-TRV-PEA-B-Y3-12</x:v>
      </x:c>
      <x:c r="C238" s="7" t="str">
        <x:v>TRV-PEA-B-Y3-12</x:v>
      </x:c>
      <x:c r="D238" s="7" t="str">
        <x:v>PEA-B-Y3</x:v>
      </x:c>
      <x:c r="E238" s="7" t="str">
        <x:v>BLD-B</x:v>
      </x:c>
      <x:c r="F238" s="7" t="str">
        <x:v>BL-Y</x:v>
      </x:c>
      <x:c r="G238" s="7" t="str">
        <x:v>CS-12</x:v>
      </x:c>
      <x:c r="H238" s="10" t="str">
        <x:v>mechanism-specific production inspection</x:v>
      </x:c>
      <x:c r="I238" s="7" t="str"/>
      <x:c r="J238" s="7" t="str"/>
      <x:c r="K238" s="7" t="str"/>
      <x:c r="L238" s="7" t="str">
        <x:f>IF(K238="","OPEN",IF(OR(I238="",J238=""),"FAIL","PASS"))</x:f>
        <x:v>OPEN</x:v>
      </x:c>
    </x:row>
    <x:row r="239" ht="38" customHeight="1">
      <x:c r="B239" s="7" t="str">
        <x:v>NDE-TRV-PEA-B-Y3-13</x:v>
      </x:c>
      <x:c r="C239" s="7" t="str">
        <x:v>TRV-PEA-B-Y3-13</x:v>
      </x:c>
      <x:c r="D239" s="7" t="str">
        <x:v>PEA-B-Y3</x:v>
      </x:c>
      <x:c r="E239" s="7" t="str">
        <x:v>BLD-B</x:v>
      </x:c>
      <x:c r="F239" s="7" t="str">
        <x:v>BL-Y</x:v>
      </x:c>
      <x:c r="G239" s="7" t="str">
        <x:v>CS-13</x:v>
      </x:c>
      <x:c r="H239" s="10" t="str">
        <x:v>mechanism-specific production inspection</x:v>
      </x:c>
      <x:c r="I239" s="7" t="str"/>
      <x:c r="J239" s="7" t="str"/>
      <x:c r="K239" s="7" t="str"/>
      <x:c r="L239" s="7" t="str">
        <x:f>IF(K239="","OPEN",IF(OR(I239="",J239=""),"FAIL","PASS"))</x:f>
        <x:v>OPEN</x:v>
      </x:c>
    </x:row>
    <x:row r="240" ht="38" customHeight="1">
      <x:c r="B240" s="7" t="str">
        <x:v>NDE-TRV-PEA-B-Y3-14</x:v>
      </x:c>
      <x:c r="C240" s="7" t="str">
        <x:v>TRV-PEA-B-Y3-14</x:v>
      </x:c>
      <x:c r="D240" s="7" t="str">
        <x:v>PEA-B-Y3</x:v>
      </x:c>
      <x:c r="E240" s="7" t="str">
        <x:v>BLD-B</x:v>
      </x:c>
      <x:c r="F240" s="7" t="str">
        <x:v>BL-Y</x:v>
      </x:c>
      <x:c r="G240" s="7" t="str">
        <x:v>CS-14</x:v>
      </x:c>
      <x:c r="H240" s="10" t="str">
        <x:v>mechanism-specific production inspection</x:v>
      </x:c>
      <x:c r="I240" s="7" t="str"/>
      <x:c r="J240" s="7" t="str"/>
      <x:c r="K240" s="7" t="str"/>
      <x:c r="L240" s="7" t="str">
        <x:f>IF(K240="","OPEN",IF(OR(I240="",J240=""),"FAIL","PASS"))</x:f>
        <x:v>OPEN</x:v>
      </x:c>
    </x:row>
    <x:row r="241" ht="38" customHeight="1">
      <x:c r="B241" s="7" t="str">
        <x:v>NDE-TRV-PEA-B-Y3-15</x:v>
      </x:c>
      <x:c r="C241" s="7" t="str">
        <x:v>TRV-PEA-B-Y3-15</x:v>
      </x:c>
      <x:c r="D241" s="7" t="str">
        <x:v>PEA-B-Y3</x:v>
      </x:c>
      <x:c r="E241" s="7" t="str">
        <x:v>BLD-B</x:v>
      </x:c>
      <x:c r="F241" s="7" t="str">
        <x:v>BL-Y</x:v>
      </x:c>
      <x:c r="G241" s="7" t="str">
        <x:v>CS-15</x:v>
      </x:c>
      <x:c r="H241" s="10" t="str">
        <x:v>mechanism-specific production inspection</x:v>
      </x:c>
      <x:c r="I241" s="7" t="str"/>
      <x:c r="J241" s="7" t="str"/>
      <x:c r="K241" s="7" t="str"/>
      <x:c r="L241" s="7" t="str">
        <x:f>IF(K241="","OPEN",IF(OR(I241="",J241=""),"FAIL","PASS"))</x:f>
        <x:v>OPEN</x:v>
      </x:c>
    </x:row>
    <x:row r="242" ht="38" customHeight="1">
      <x:c r="B242" s="7" t="str">
        <x:v>NDE-TRV-PEA-B-Y3-16</x:v>
      </x:c>
      <x:c r="C242" s="7" t="str">
        <x:v>TRV-PEA-B-Y3-16</x:v>
      </x:c>
      <x:c r="D242" s="7" t="str">
        <x:v>PEA-B-Y3</x:v>
      </x:c>
      <x:c r="E242" s="7" t="str">
        <x:v>BLD-B</x:v>
      </x:c>
      <x:c r="F242" s="7" t="str">
        <x:v>BL-Y</x:v>
      </x:c>
      <x:c r="G242" s="7" t="str">
        <x:v>CS-16</x:v>
      </x:c>
      <x:c r="H242" s="10" t="str">
        <x:v>mechanism-specific production inspection</x:v>
      </x:c>
      <x:c r="I242" s="7" t="str"/>
      <x:c r="J242" s="7" t="str"/>
      <x:c r="K242" s="7" t="str"/>
      <x:c r="L242" s="7" t="str">
        <x:f>IF(K242="","OPEN",IF(OR(I242="",J242=""),"FAIL","PASS"))</x:f>
        <x:v>OPEN</x:v>
      </x:c>
    </x:row>
    <x:row r="243" ht="38" customHeight="1">
      <x:c r="B243" s="7" t="str">
        <x:v>NDE-TRV-PEA-B-Y3-17</x:v>
      </x:c>
      <x:c r="C243" s="7" t="str">
        <x:v>TRV-PEA-B-Y3-17</x:v>
      </x:c>
      <x:c r="D243" s="7" t="str">
        <x:v>PEA-B-Y3</x:v>
      </x:c>
      <x:c r="E243" s="7" t="str">
        <x:v>BLD-B</x:v>
      </x:c>
      <x:c r="F243" s="7" t="str">
        <x:v>BL-Y</x:v>
      </x:c>
      <x:c r="G243" s="7" t="str">
        <x:v>CS-17</x:v>
      </x:c>
      <x:c r="H243" s="10" t="str">
        <x:v>mechanism-specific production inspection</x:v>
      </x:c>
      <x:c r="I243" s="7" t="str"/>
      <x:c r="J243" s="7" t="str"/>
      <x:c r="K243" s="7" t="str"/>
      <x:c r="L243" s="7" t="str">
        <x:f>IF(K243="","OPEN",IF(OR(I243="",J243=""),"FAIL","PASS"))</x:f>
        <x:v>OPEN</x:v>
      </x:c>
    </x:row>
    <x:row r="244" ht="38" customHeight="1">
      <x:c r="B244" s="7" t="str">
        <x:v>NDE-TRV-PEA-B-Y3-18</x:v>
      </x:c>
      <x:c r="C244" s="7" t="str">
        <x:v>TRV-PEA-B-Y3-18</x:v>
      </x:c>
      <x:c r="D244" s="7" t="str">
        <x:v>PEA-B-Y3</x:v>
      </x:c>
      <x:c r="E244" s="7" t="str">
        <x:v>BLD-B</x:v>
      </x:c>
      <x:c r="F244" s="7" t="str">
        <x:v>BL-Y</x:v>
      </x:c>
      <x:c r="G244" s="7" t="str">
        <x:v>CS-18</x:v>
      </x:c>
      <x:c r="H244" s="10" t="str">
        <x:v>mechanism-specific production inspection</x:v>
      </x:c>
      <x:c r="I244" s="7" t="str"/>
      <x:c r="J244" s="7" t="str"/>
      <x:c r="K244" s="7" t="str"/>
      <x:c r="L244" s="7" t="str">
        <x:f>IF(K244="","OPEN",IF(OR(I244="",J244=""),"FAIL","PASS"))</x:f>
        <x:v>OPEN</x:v>
      </x:c>
    </x:row>
    <x:row r="245" ht="38" customHeight="1">
      <x:c r="B245" s="7" t="str">
        <x:v>NDE-TRV-PEA-B-Y3-19</x:v>
      </x:c>
      <x:c r="C245" s="7" t="str">
        <x:v>TRV-PEA-B-Y3-19</x:v>
      </x:c>
      <x:c r="D245" s="7" t="str">
        <x:v>PEA-B-Y3</x:v>
      </x:c>
      <x:c r="E245" s="7" t="str">
        <x:v>BLD-B</x:v>
      </x:c>
      <x:c r="F245" s="7" t="str">
        <x:v>BL-Y</x:v>
      </x:c>
      <x:c r="G245" s="7" t="str">
        <x:v>CS-19</x:v>
      </x:c>
      <x:c r="H245" s="10" t="str">
        <x:v>mechanism-specific production inspection</x:v>
      </x:c>
      <x:c r="I245" s="7" t="str"/>
      <x:c r="J245" s="7" t="str"/>
      <x:c r="K245" s="7" t="str"/>
      <x:c r="L245" s="7" t="str">
        <x:f>IF(K245="","OPEN",IF(OR(I245="",J245=""),"FAIL","PASS"))</x:f>
        <x:v>OPEN</x:v>
      </x:c>
    </x:row>
    <x:row r="246" ht="38" customHeight="1">
      <x:c r="B246" s="7" t="str">
        <x:v>NDE-TRV-PEA-B-Y3-20</x:v>
      </x:c>
      <x:c r="C246" s="7" t="str">
        <x:v>TRV-PEA-B-Y3-20</x:v>
      </x:c>
      <x:c r="D246" s="7" t="str">
        <x:v>PEA-B-Y3</x:v>
      </x:c>
      <x:c r="E246" s="7" t="str">
        <x:v>BLD-B</x:v>
      </x:c>
      <x:c r="F246" s="7" t="str">
        <x:v>BL-Y</x:v>
      </x:c>
      <x:c r="G246" s="7" t="str">
        <x:v>CS-20</x:v>
      </x:c>
      <x:c r="H246" s="10" t="str">
        <x:v>mechanism-specific production inspection</x:v>
      </x:c>
      <x:c r="I246" s="7" t="str"/>
      <x:c r="J246" s="7" t="str"/>
      <x:c r="K246" s="7" t="str"/>
      <x:c r="L246" s="7" t="str">
        <x:f>IF(K246="","OPEN",IF(OR(I246="",J246=""),"FAIL","PASS"))</x:f>
        <x:v>OPEN</x:v>
      </x:c>
    </x:row>
    <x:row r="247" ht="38" customHeight="1">
      <x:c r="B247" s="7" t="str">
        <x:v>NDE-TRV-PEA-C-X1-01</x:v>
      </x:c>
      <x:c r="C247" s="7" t="str">
        <x:v>TRV-PEA-C-X1-01</x:v>
      </x:c>
      <x:c r="D247" s="7" t="str">
        <x:v>PEA-C-X1</x:v>
      </x:c>
      <x:c r="E247" s="7" t="str">
        <x:v>BLD-C</x:v>
      </x:c>
      <x:c r="F247" s="7" t="str">
        <x:v>BL-X</x:v>
      </x:c>
      <x:c r="G247" s="7" t="str">
        <x:v>CS-01</x:v>
      </x:c>
      <x:c r="H247" s="10" t="str">
        <x:v>mechanism-specific production inspection</x:v>
      </x:c>
      <x:c r="I247" s="7" t="str"/>
      <x:c r="J247" s="7" t="str"/>
      <x:c r="K247" s="7" t="str"/>
      <x:c r="L247" s="7" t="str">
        <x:f>IF(K247="","OPEN",IF(OR(I247="",J247=""),"FAIL","PASS"))</x:f>
        <x:v>OPEN</x:v>
      </x:c>
    </x:row>
    <x:row r="248" ht="38" customHeight="1">
      <x:c r="B248" s="7" t="str">
        <x:v>NDE-TRV-PEA-C-X1-02</x:v>
      </x:c>
      <x:c r="C248" s="7" t="str">
        <x:v>TRV-PEA-C-X1-02</x:v>
      </x:c>
      <x:c r="D248" s="7" t="str">
        <x:v>PEA-C-X1</x:v>
      </x:c>
      <x:c r="E248" s="7" t="str">
        <x:v>BLD-C</x:v>
      </x:c>
      <x:c r="F248" s="7" t="str">
        <x:v>BL-X</x:v>
      </x:c>
      <x:c r="G248" s="7" t="str">
        <x:v>CS-02</x:v>
      </x:c>
      <x:c r="H248" s="10" t="str">
        <x:v>mechanism-specific production inspection</x:v>
      </x:c>
      <x:c r="I248" s="7" t="str"/>
      <x:c r="J248" s="7" t="str"/>
      <x:c r="K248" s="7" t="str"/>
      <x:c r="L248" s="7" t="str">
        <x:f>IF(K248="","OPEN",IF(OR(I248="",J248=""),"FAIL","PASS"))</x:f>
        <x:v>OPEN</x:v>
      </x:c>
    </x:row>
    <x:row r="249" ht="38" customHeight="1">
      <x:c r="B249" s="7" t="str">
        <x:v>NDE-TRV-PEA-C-X1-03</x:v>
      </x:c>
      <x:c r="C249" s="7" t="str">
        <x:v>TRV-PEA-C-X1-03</x:v>
      </x:c>
      <x:c r="D249" s="7" t="str">
        <x:v>PEA-C-X1</x:v>
      </x:c>
      <x:c r="E249" s="7" t="str">
        <x:v>BLD-C</x:v>
      </x:c>
      <x:c r="F249" s="7" t="str">
        <x:v>BL-X</x:v>
      </x:c>
      <x:c r="G249" s="7" t="str">
        <x:v>CS-03</x:v>
      </x:c>
      <x:c r="H249" s="10" t="str">
        <x:v>mechanism-specific production inspection</x:v>
      </x:c>
      <x:c r="I249" s="7" t="str"/>
      <x:c r="J249" s="7" t="str"/>
      <x:c r="K249" s="7" t="str"/>
      <x:c r="L249" s="7" t="str">
        <x:f>IF(K249="","OPEN",IF(OR(I249="",J249=""),"FAIL","PASS"))</x:f>
        <x:v>OPEN</x:v>
      </x:c>
    </x:row>
    <x:row r="250" ht="38" customHeight="1">
      <x:c r="B250" s="7" t="str">
        <x:v>NDE-TRV-PEA-C-X1-04</x:v>
      </x:c>
      <x:c r="C250" s="7" t="str">
        <x:v>TRV-PEA-C-X1-04</x:v>
      </x:c>
      <x:c r="D250" s="7" t="str">
        <x:v>PEA-C-X1</x:v>
      </x:c>
      <x:c r="E250" s="7" t="str">
        <x:v>BLD-C</x:v>
      </x:c>
      <x:c r="F250" s="7" t="str">
        <x:v>BL-X</x:v>
      </x:c>
      <x:c r="G250" s="7" t="str">
        <x:v>CS-04</x:v>
      </x:c>
      <x:c r="H250" s="10" t="str">
        <x:v>mechanism-specific production inspection</x:v>
      </x:c>
      <x:c r="I250" s="7" t="str"/>
      <x:c r="J250" s="7" t="str"/>
      <x:c r="K250" s="7" t="str"/>
      <x:c r="L250" s="7" t="str">
        <x:f>IF(K250="","OPEN",IF(OR(I250="",J250=""),"FAIL","PASS"))</x:f>
        <x:v>OPEN</x:v>
      </x:c>
    </x:row>
    <x:row r="251" ht="38" customHeight="1">
      <x:c r="B251" s="7" t="str">
        <x:v>NDE-TRV-PEA-C-X1-05</x:v>
      </x:c>
      <x:c r="C251" s="7" t="str">
        <x:v>TRV-PEA-C-X1-05</x:v>
      </x:c>
      <x:c r="D251" s="7" t="str">
        <x:v>PEA-C-X1</x:v>
      </x:c>
      <x:c r="E251" s="7" t="str">
        <x:v>BLD-C</x:v>
      </x:c>
      <x:c r="F251" s="7" t="str">
        <x:v>BL-X</x:v>
      </x:c>
      <x:c r="G251" s="7" t="str">
        <x:v>CS-05</x:v>
      </x:c>
      <x:c r="H251" s="10" t="str">
        <x:v>mechanism-specific production inspection</x:v>
      </x:c>
      <x:c r="I251" s="7" t="str"/>
      <x:c r="J251" s="7" t="str"/>
      <x:c r="K251" s="7" t="str"/>
      <x:c r="L251" s="7" t="str">
        <x:f>IF(K251="","OPEN",IF(OR(I251="",J251=""),"FAIL","PASS"))</x:f>
        <x:v>OPEN</x:v>
      </x:c>
    </x:row>
    <x:row r="252" ht="38" customHeight="1">
      <x:c r="B252" s="7" t="str">
        <x:v>NDE-TRV-PEA-C-X1-06</x:v>
      </x:c>
      <x:c r="C252" s="7" t="str">
        <x:v>TRV-PEA-C-X1-06</x:v>
      </x:c>
      <x:c r="D252" s="7" t="str">
        <x:v>PEA-C-X1</x:v>
      </x:c>
      <x:c r="E252" s="7" t="str">
        <x:v>BLD-C</x:v>
      </x:c>
      <x:c r="F252" s="7" t="str">
        <x:v>BL-X</x:v>
      </x:c>
      <x:c r="G252" s="7" t="str">
        <x:v>CS-06</x:v>
      </x:c>
      <x:c r="H252" s="10" t="str">
        <x:v>mechanism-specific production inspection</x:v>
      </x:c>
      <x:c r="I252" s="7" t="str"/>
      <x:c r="J252" s="7" t="str"/>
      <x:c r="K252" s="7" t="str"/>
      <x:c r="L252" s="7" t="str">
        <x:f>IF(K252="","OPEN",IF(OR(I252="",J252=""),"FAIL","PASS"))</x:f>
        <x:v>OPEN</x:v>
      </x:c>
    </x:row>
    <x:row r="253" ht="38" customHeight="1">
      <x:c r="B253" s="7" t="str">
        <x:v>NDE-TRV-PEA-C-X1-07</x:v>
      </x:c>
      <x:c r="C253" s="7" t="str">
        <x:v>TRV-PEA-C-X1-07</x:v>
      </x:c>
      <x:c r="D253" s="7" t="str">
        <x:v>PEA-C-X1</x:v>
      </x:c>
      <x:c r="E253" s="7" t="str">
        <x:v>BLD-C</x:v>
      </x:c>
      <x:c r="F253" s="7" t="str">
        <x:v>BL-X</x:v>
      </x:c>
      <x:c r="G253" s="7" t="str">
        <x:v>CS-07</x:v>
      </x:c>
      <x:c r="H253" s="10" t="str">
        <x:v>mechanism-specific production inspection</x:v>
      </x:c>
      <x:c r="I253" s="7" t="str"/>
      <x:c r="J253" s="7" t="str"/>
      <x:c r="K253" s="7" t="str"/>
      <x:c r="L253" s="7" t="str">
        <x:f>IF(K253="","OPEN",IF(OR(I253="",J253=""),"FAIL","PASS"))</x:f>
        <x:v>OPEN</x:v>
      </x:c>
    </x:row>
    <x:row r="254" ht="38" customHeight="1">
      <x:c r="B254" s="7" t="str">
        <x:v>NDE-TRV-PEA-C-X1-08</x:v>
      </x:c>
      <x:c r="C254" s="7" t="str">
        <x:v>TRV-PEA-C-X1-08</x:v>
      </x:c>
      <x:c r="D254" s="7" t="str">
        <x:v>PEA-C-X1</x:v>
      </x:c>
      <x:c r="E254" s="7" t="str">
        <x:v>BLD-C</x:v>
      </x:c>
      <x:c r="F254" s="7" t="str">
        <x:v>BL-X</x:v>
      </x:c>
      <x:c r="G254" s="7" t="str">
        <x:v>CS-08</x:v>
      </x:c>
      <x:c r="H254" s="10" t="str">
        <x:v>mechanism-specific production inspection</x:v>
      </x:c>
      <x:c r="I254" s="7" t="str"/>
      <x:c r="J254" s="7" t="str"/>
      <x:c r="K254" s="7" t="str"/>
      <x:c r="L254" s="7" t="str">
        <x:f>IF(K254="","OPEN",IF(OR(I254="",J254=""),"FAIL","PASS"))</x:f>
        <x:v>OPEN</x:v>
      </x:c>
    </x:row>
    <x:row r="255" ht="38" customHeight="1">
      <x:c r="B255" s="7" t="str">
        <x:v>NDE-TRV-PEA-C-X1-09</x:v>
      </x:c>
      <x:c r="C255" s="7" t="str">
        <x:v>TRV-PEA-C-X1-09</x:v>
      </x:c>
      <x:c r="D255" s="7" t="str">
        <x:v>PEA-C-X1</x:v>
      </x:c>
      <x:c r="E255" s="7" t="str">
        <x:v>BLD-C</x:v>
      </x:c>
      <x:c r="F255" s="7" t="str">
        <x:v>BL-X</x:v>
      </x:c>
      <x:c r="G255" s="7" t="str">
        <x:v>CS-09</x:v>
      </x:c>
      <x:c r="H255" s="10" t="str">
        <x:v>mechanism-specific production inspection</x:v>
      </x:c>
      <x:c r="I255" s="7" t="str"/>
      <x:c r="J255" s="7" t="str"/>
      <x:c r="K255" s="7" t="str"/>
      <x:c r="L255" s="7" t="str">
        <x:f>IF(K255="","OPEN",IF(OR(I255="",J255=""),"FAIL","PASS"))</x:f>
        <x:v>OPEN</x:v>
      </x:c>
    </x:row>
    <x:row r="256" ht="38" customHeight="1">
      <x:c r="B256" s="7" t="str">
        <x:v>NDE-TRV-PEA-C-X1-10</x:v>
      </x:c>
      <x:c r="C256" s="7" t="str">
        <x:v>TRV-PEA-C-X1-10</x:v>
      </x:c>
      <x:c r="D256" s="7" t="str">
        <x:v>PEA-C-X1</x:v>
      </x:c>
      <x:c r="E256" s="7" t="str">
        <x:v>BLD-C</x:v>
      </x:c>
      <x:c r="F256" s="7" t="str">
        <x:v>BL-X</x:v>
      </x:c>
      <x:c r="G256" s="7" t="str">
        <x:v>CS-10</x:v>
      </x:c>
      <x:c r="H256" s="10" t="str">
        <x:v>mechanism-specific production inspection</x:v>
      </x:c>
      <x:c r="I256" s="7" t="str"/>
      <x:c r="J256" s="7" t="str"/>
      <x:c r="K256" s="7" t="str"/>
      <x:c r="L256" s="7" t="str">
        <x:f>IF(K256="","OPEN",IF(OR(I256="",J256=""),"FAIL","PASS"))</x:f>
        <x:v>OPEN</x:v>
      </x:c>
    </x:row>
    <x:row r="257" ht="38" customHeight="1">
      <x:c r="B257" s="7" t="str">
        <x:v>NDE-TRV-PEA-C-X1-11</x:v>
      </x:c>
      <x:c r="C257" s="7" t="str">
        <x:v>TRV-PEA-C-X1-11</x:v>
      </x:c>
      <x:c r="D257" s="7" t="str">
        <x:v>PEA-C-X1</x:v>
      </x:c>
      <x:c r="E257" s="7" t="str">
        <x:v>BLD-C</x:v>
      </x:c>
      <x:c r="F257" s="7" t="str">
        <x:v>BL-X</x:v>
      </x:c>
      <x:c r="G257" s="7" t="str">
        <x:v>CS-11</x:v>
      </x:c>
      <x:c r="H257" s="10" t="str">
        <x:v>mechanism-specific production inspection</x:v>
      </x:c>
      <x:c r="I257" s="7" t="str"/>
      <x:c r="J257" s="7" t="str"/>
      <x:c r="K257" s="7" t="str"/>
      <x:c r="L257" s="7" t="str">
        <x:f>IF(K257="","OPEN",IF(OR(I257="",J257=""),"FAIL","PASS"))</x:f>
        <x:v>OPEN</x:v>
      </x:c>
    </x:row>
    <x:row r="258" ht="38" customHeight="1">
      <x:c r="B258" s="7" t="str">
        <x:v>NDE-TRV-PEA-C-X1-12</x:v>
      </x:c>
      <x:c r="C258" s="7" t="str">
        <x:v>TRV-PEA-C-X1-12</x:v>
      </x:c>
      <x:c r="D258" s="7" t="str">
        <x:v>PEA-C-X1</x:v>
      </x:c>
      <x:c r="E258" s="7" t="str">
        <x:v>BLD-C</x:v>
      </x:c>
      <x:c r="F258" s="7" t="str">
        <x:v>BL-X</x:v>
      </x:c>
      <x:c r="G258" s="7" t="str">
        <x:v>CS-12</x:v>
      </x:c>
      <x:c r="H258" s="10" t="str">
        <x:v>mechanism-specific production inspection</x:v>
      </x:c>
      <x:c r="I258" s="7" t="str"/>
      <x:c r="J258" s="7" t="str"/>
      <x:c r="K258" s="7" t="str"/>
      <x:c r="L258" s="7" t="str">
        <x:f>IF(K258="","OPEN",IF(OR(I258="",J258=""),"FAIL","PASS"))</x:f>
        <x:v>OPEN</x:v>
      </x:c>
    </x:row>
    <x:row r="259" ht="38" customHeight="1">
      <x:c r="B259" s="7" t="str">
        <x:v>NDE-TRV-PEA-C-X1-13</x:v>
      </x:c>
      <x:c r="C259" s="7" t="str">
        <x:v>TRV-PEA-C-X1-13</x:v>
      </x:c>
      <x:c r="D259" s="7" t="str">
        <x:v>PEA-C-X1</x:v>
      </x:c>
      <x:c r="E259" s="7" t="str">
        <x:v>BLD-C</x:v>
      </x:c>
      <x:c r="F259" s="7" t="str">
        <x:v>BL-X</x:v>
      </x:c>
      <x:c r="G259" s="7" t="str">
        <x:v>CS-13</x:v>
      </x:c>
      <x:c r="H259" s="10" t="str">
        <x:v>mechanism-specific production inspection</x:v>
      </x:c>
      <x:c r="I259" s="7" t="str"/>
      <x:c r="J259" s="7" t="str"/>
      <x:c r="K259" s="7" t="str"/>
      <x:c r="L259" s="7" t="str">
        <x:f>IF(K259="","OPEN",IF(OR(I259="",J259=""),"FAIL","PASS"))</x:f>
        <x:v>OPEN</x:v>
      </x:c>
    </x:row>
    <x:row r="260" ht="38" customHeight="1">
      <x:c r="B260" s="7" t="str">
        <x:v>NDE-TRV-PEA-C-X1-14</x:v>
      </x:c>
      <x:c r="C260" s="7" t="str">
        <x:v>TRV-PEA-C-X1-14</x:v>
      </x:c>
      <x:c r="D260" s="7" t="str">
        <x:v>PEA-C-X1</x:v>
      </x:c>
      <x:c r="E260" s="7" t="str">
        <x:v>BLD-C</x:v>
      </x:c>
      <x:c r="F260" s="7" t="str">
        <x:v>BL-X</x:v>
      </x:c>
      <x:c r="G260" s="7" t="str">
        <x:v>CS-14</x:v>
      </x:c>
      <x:c r="H260" s="10" t="str">
        <x:v>mechanism-specific production inspection</x:v>
      </x:c>
      <x:c r="I260" s="7" t="str"/>
      <x:c r="J260" s="7" t="str"/>
      <x:c r="K260" s="7" t="str"/>
      <x:c r="L260" s="7" t="str">
        <x:f>IF(K260="","OPEN",IF(OR(I260="",J260=""),"FAIL","PASS"))</x:f>
        <x:v>OPEN</x:v>
      </x:c>
    </x:row>
    <x:row r="261" ht="38" customHeight="1">
      <x:c r="B261" s="7" t="str">
        <x:v>NDE-TRV-PEA-C-X1-15</x:v>
      </x:c>
      <x:c r="C261" s="7" t="str">
        <x:v>TRV-PEA-C-X1-15</x:v>
      </x:c>
      <x:c r="D261" s="7" t="str">
        <x:v>PEA-C-X1</x:v>
      </x:c>
      <x:c r="E261" s="7" t="str">
        <x:v>BLD-C</x:v>
      </x:c>
      <x:c r="F261" s="7" t="str">
        <x:v>BL-X</x:v>
      </x:c>
      <x:c r="G261" s="7" t="str">
        <x:v>CS-15</x:v>
      </x:c>
      <x:c r="H261" s="10" t="str">
        <x:v>mechanism-specific production inspection</x:v>
      </x:c>
      <x:c r="I261" s="7" t="str"/>
      <x:c r="J261" s="7" t="str"/>
      <x:c r="K261" s="7" t="str"/>
      <x:c r="L261" s="7" t="str">
        <x:f>IF(K261="","OPEN",IF(OR(I261="",J261=""),"FAIL","PASS"))</x:f>
        <x:v>OPEN</x:v>
      </x:c>
    </x:row>
    <x:row r="262" ht="38" customHeight="1">
      <x:c r="B262" s="7" t="str">
        <x:v>NDE-TRV-PEA-C-X1-16</x:v>
      </x:c>
      <x:c r="C262" s="7" t="str">
        <x:v>TRV-PEA-C-X1-16</x:v>
      </x:c>
      <x:c r="D262" s="7" t="str">
        <x:v>PEA-C-X1</x:v>
      </x:c>
      <x:c r="E262" s="7" t="str">
        <x:v>BLD-C</x:v>
      </x:c>
      <x:c r="F262" s="7" t="str">
        <x:v>BL-X</x:v>
      </x:c>
      <x:c r="G262" s="7" t="str">
        <x:v>CS-16</x:v>
      </x:c>
      <x:c r="H262" s="10" t="str">
        <x:v>mechanism-specific production inspection</x:v>
      </x:c>
      <x:c r="I262" s="7" t="str"/>
      <x:c r="J262" s="7" t="str"/>
      <x:c r="K262" s="7" t="str"/>
      <x:c r="L262" s="7" t="str">
        <x:f>IF(K262="","OPEN",IF(OR(I262="",J262=""),"FAIL","PASS"))</x:f>
        <x:v>OPEN</x:v>
      </x:c>
    </x:row>
    <x:row r="263" ht="38" customHeight="1">
      <x:c r="B263" s="7" t="str">
        <x:v>NDE-TRV-PEA-C-X1-17</x:v>
      </x:c>
      <x:c r="C263" s="7" t="str">
        <x:v>TRV-PEA-C-X1-17</x:v>
      </x:c>
      <x:c r="D263" s="7" t="str">
        <x:v>PEA-C-X1</x:v>
      </x:c>
      <x:c r="E263" s="7" t="str">
        <x:v>BLD-C</x:v>
      </x:c>
      <x:c r="F263" s="7" t="str">
        <x:v>BL-X</x:v>
      </x:c>
      <x:c r="G263" s="7" t="str">
        <x:v>CS-17</x:v>
      </x:c>
      <x:c r="H263" s="10" t="str">
        <x:v>mechanism-specific production inspection</x:v>
      </x:c>
      <x:c r="I263" s="7" t="str"/>
      <x:c r="J263" s="7" t="str"/>
      <x:c r="K263" s="7" t="str"/>
      <x:c r="L263" s="7" t="str">
        <x:f>IF(K263="","OPEN",IF(OR(I263="",J263=""),"FAIL","PASS"))</x:f>
        <x:v>OPEN</x:v>
      </x:c>
    </x:row>
    <x:row r="264" ht="38" customHeight="1">
      <x:c r="B264" s="7" t="str">
        <x:v>NDE-TRV-PEA-C-X1-18</x:v>
      </x:c>
      <x:c r="C264" s="7" t="str">
        <x:v>TRV-PEA-C-X1-18</x:v>
      </x:c>
      <x:c r="D264" s="7" t="str">
        <x:v>PEA-C-X1</x:v>
      </x:c>
      <x:c r="E264" s="7" t="str">
        <x:v>BLD-C</x:v>
      </x:c>
      <x:c r="F264" s="7" t="str">
        <x:v>BL-X</x:v>
      </x:c>
      <x:c r="G264" s="7" t="str">
        <x:v>CS-18</x:v>
      </x:c>
      <x:c r="H264" s="10" t="str">
        <x:v>mechanism-specific production inspection</x:v>
      </x:c>
      <x:c r="I264" s="7" t="str"/>
      <x:c r="J264" s="7" t="str"/>
      <x:c r="K264" s="7" t="str"/>
      <x:c r="L264" s="7" t="str">
        <x:f>IF(K264="","OPEN",IF(OR(I264="",J264=""),"FAIL","PASS"))</x:f>
        <x:v>OPEN</x:v>
      </x:c>
    </x:row>
    <x:row r="265" ht="38" customHeight="1">
      <x:c r="B265" s="7" t="str">
        <x:v>NDE-TRV-PEA-C-X1-19</x:v>
      </x:c>
      <x:c r="C265" s="7" t="str">
        <x:v>TRV-PEA-C-X1-19</x:v>
      </x:c>
      <x:c r="D265" s="7" t="str">
        <x:v>PEA-C-X1</x:v>
      </x:c>
      <x:c r="E265" s="7" t="str">
        <x:v>BLD-C</x:v>
      </x:c>
      <x:c r="F265" s="7" t="str">
        <x:v>BL-X</x:v>
      </x:c>
      <x:c r="G265" s="7" t="str">
        <x:v>CS-19</x:v>
      </x:c>
      <x:c r="H265" s="10" t="str">
        <x:v>mechanism-specific production inspection</x:v>
      </x:c>
      <x:c r="I265" s="7" t="str"/>
      <x:c r="J265" s="7" t="str"/>
      <x:c r="K265" s="7" t="str"/>
      <x:c r="L265" s="7" t="str">
        <x:f>IF(K265="","OPEN",IF(OR(I265="",J265=""),"FAIL","PASS"))</x:f>
        <x:v>OPEN</x:v>
      </x:c>
    </x:row>
    <x:row r="266" ht="38" customHeight="1">
      <x:c r="B266" s="7" t="str">
        <x:v>NDE-TRV-PEA-C-X1-20</x:v>
      </x:c>
      <x:c r="C266" s="7" t="str">
        <x:v>TRV-PEA-C-X1-20</x:v>
      </x:c>
      <x:c r="D266" s="7" t="str">
        <x:v>PEA-C-X1</x:v>
      </x:c>
      <x:c r="E266" s="7" t="str">
        <x:v>BLD-C</x:v>
      </x:c>
      <x:c r="F266" s="7" t="str">
        <x:v>BL-X</x:v>
      </x:c>
      <x:c r="G266" s="7" t="str">
        <x:v>CS-20</x:v>
      </x:c>
      <x:c r="H266" s="10" t="str">
        <x:v>mechanism-specific production inspection</x:v>
      </x:c>
      <x:c r="I266" s="7" t="str"/>
      <x:c r="J266" s="7" t="str"/>
      <x:c r="K266" s="7" t="str"/>
      <x:c r="L266" s="7" t="str">
        <x:f>IF(K266="","OPEN",IF(OR(I266="",J266=""),"FAIL","PASS"))</x:f>
        <x:v>OPEN</x:v>
      </x:c>
    </x:row>
    <x:row r="267" ht="38" customHeight="1">
      <x:c r="B267" s="7" t="str">
        <x:v>NDE-TRV-PEA-C-X2-01</x:v>
      </x:c>
      <x:c r="C267" s="7" t="str">
        <x:v>TRV-PEA-C-X2-01</x:v>
      </x:c>
      <x:c r="D267" s="7" t="str">
        <x:v>PEA-C-X2</x:v>
      </x:c>
      <x:c r="E267" s="7" t="str">
        <x:v>BLD-C</x:v>
      </x:c>
      <x:c r="F267" s="7" t="str">
        <x:v>BL-X</x:v>
      </x:c>
      <x:c r="G267" s="7" t="str">
        <x:v>CS-01</x:v>
      </x:c>
      <x:c r="H267" s="10" t="str">
        <x:v>mechanism-specific production inspection</x:v>
      </x:c>
      <x:c r="I267" s="7" t="str"/>
      <x:c r="J267" s="7" t="str"/>
      <x:c r="K267" s="7" t="str"/>
      <x:c r="L267" s="7" t="str">
        <x:f>IF(K267="","OPEN",IF(OR(I267="",J267=""),"FAIL","PASS"))</x:f>
        <x:v>OPEN</x:v>
      </x:c>
    </x:row>
    <x:row r="268" ht="38" customHeight="1">
      <x:c r="B268" s="7" t="str">
        <x:v>NDE-TRV-PEA-C-X2-02</x:v>
      </x:c>
      <x:c r="C268" s="7" t="str">
        <x:v>TRV-PEA-C-X2-02</x:v>
      </x:c>
      <x:c r="D268" s="7" t="str">
        <x:v>PEA-C-X2</x:v>
      </x:c>
      <x:c r="E268" s="7" t="str">
        <x:v>BLD-C</x:v>
      </x:c>
      <x:c r="F268" s="7" t="str">
        <x:v>BL-X</x:v>
      </x:c>
      <x:c r="G268" s="7" t="str">
        <x:v>CS-02</x:v>
      </x:c>
      <x:c r="H268" s="10" t="str">
        <x:v>mechanism-specific production inspection</x:v>
      </x:c>
      <x:c r="I268" s="7" t="str"/>
      <x:c r="J268" s="7" t="str"/>
      <x:c r="K268" s="7" t="str"/>
      <x:c r="L268" s="7" t="str">
        <x:f>IF(K268="","OPEN",IF(OR(I268="",J268=""),"FAIL","PASS"))</x:f>
        <x:v>OPEN</x:v>
      </x:c>
    </x:row>
    <x:row r="269" ht="38" customHeight="1">
      <x:c r="B269" s="7" t="str">
        <x:v>NDE-TRV-PEA-C-X2-03</x:v>
      </x:c>
      <x:c r="C269" s="7" t="str">
        <x:v>TRV-PEA-C-X2-03</x:v>
      </x:c>
      <x:c r="D269" s="7" t="str">
        <x:v>PEA-C-X2</x:v>
      </x:c>
      <x:c r="E269" s="7" t="str">
        <x:v>BLD-C</x:v>
      </x:c>
      <x:c r="F269" s="7" t="str">
        <x:v>BL-X</x:v>
      </x:c>
      <x:c r="G269" s="7" t="str">
        <x:v>CS-03</x:v>
      </x:c>
      <x:c r="H269" s="10" t="str">
        <x:v>mechanism-specific production inspection</x:v>
      </x:c>
      <x:c r="I269" s="7" t="str"/>
      <x:c r="J269" s="7" t="str"/>
      <x:c r="K269" s="7" t="str"/>
      <x:c r="L269" s="7" t="str">
        <x:f>IF(K269="","OPEN",IF(OR(I269="",J269=""),"FAIL","PASS"))</x:f>
        <x:v>OPEN</x:v>
      </x:c>
    </x:row>
    <x:row r="270" ht="38" customHeight="1">
      <x:c r="B270" s="7" t="str">
        <x:v>NDE-TRV-PEA-C-X2-04</x:v>
      </x:c>
      <x:c r="C270" s="7" t="str">
        <x:v>TRV-PEA-C-X2-04</x:v>
      </x:c>
      <x:c r="D270" s="7" t="str">
        <x:v>PEA-C-X2</x:v>
      </x:c>
      <x:c r="E270" s="7" t="str">
        <x:v>BLD-C</x:v>
      </x:c>
      <x:c r="F270" s="7" t="str">
        <x:v>BL-X</x:v>
      </x:c>
      <x:c r="G270" s="7" t="str">
        <x:v>CS-04</x:v>
      </x:c>
      <x:c r="H270" s="10" t="str">
        <x:v>mechanism-specific production inspection</x:v>
      </x:c>
      <x:c r="I270" s="7" t="str"/>
      <x:c r="J270" s="7" t="str"/>
      <x:c r="K270" s="7" t="str"/>
      <x:c r="L270" s="7" t="str">
        <x:f>IF(K270="","OPEN",IF(OR(I270="",J270=""),"FAIL","PASS"))</x:f>
        <x:v>OPEN</x:v>
      </x:c>
    </x:row>
    <x:row r="271" ht="38" customHeight="1">
      <x:c r="B271" s="7" t="str">
        <x:v>NDE-TRV-PEA-C-X2-05</x:v>
      </x:c>
      <x:c r="C271" s="7" t="str">
        <x:v>TRV-PEA-C-X2-05</x:v>
      </x:c>
      <x:c r="D271" s="7" t="str">
        <x:v>PEA-C-X2</x:v>
      </x:c>
      <x:c r="E271" s="7" t="str">
        <x:v>BLD-C</x:v>
      </x:c>
      <x:c r="F271" s="7" t="str">
        <x:v>BL-X</x:v>
      </x:c>
      <x:c r="G271" s="7" t="str">
        <x:v>CS-05</x:v>
      </x:c>
      <x:c r="H271" s="10" t="str">
        <x:v>mechanism-specific production inspection</x:v>
      </x:c>
      <x:c r="I271" s="7" t="str"/>
      <x:c r="J271" s="7" t="str"/>
      <x:c r="K271" s="7" t="str"/>
      <x:c r="L271" s="7" t="str">
        <x:f>IF(K271="","OPEN",IF(OR(I271="",J271=""),"FAIL","PASS"))</x:f>
        <x:v>OPEN</x:v>
      </x:c>
    </x:row>
    <x:row r="272" ht="38" customHeight="1">
      <x:c r="B272" s="7" t="str">
        <x:v>NDE-TRV-PEA-C-X2-06</x:v>
      </x:c>
      <x:c r="C272" s="7" t="str">
        <x:v>TRV-PEA-C-X2-06</x:v>
      </x:c>
      <x:c r="D272" s="7" t="str">
        <x:v>PEA-C-X2</x:v>
      </x:c>
      <x:c r="E272" s="7" t="str">
        <x:v>BLD-C</x:v>
      </x:c>
      <x:c r="F272" s="7" t="str">
        <x:v>BL-X</x:v>
      </x:c>
      <x:c r="G272" s="7" t="str">
        <x:v>CS-06</x:v>
      </x:c>
      <x:c r="H272" s="10" t="str">
        <x:v>mechanism-specific production inspection</x:v>
      </x:c>
      <x:c r="I272" s="7" t="str"/>
      <x:c r="J272" s="7" t="str"/>
      <x:c r="K272" s="7" t="str"/>
      <x:c r="L272" s="7" t="str">
        <x:f>IF(K272="","OPEN",IF(OR(I272="",J272=""),"FAIL","PASS"))</x:f>
        <x:v>OPEN</x:v>
      </x:c>
    </x:row>
    <x:row r="273" ht="38" customHeight="1">
      <x:c r="B273" s="7" t="str">
        <x:v>NDE-TRV-PEA-C-X2-07</x:v>
      </x:c>
      <x:c r="C273" s="7" t="str">
        <x:v>TRV-PEA-C-X2-07</x:v>
      </x:c>
      <x:c r="D273" s="7" t="str">
        <x:v>PEA-C-X2</x:v>
      </x:c>
      <x:c r="E273" s="7" t="str">
        <x:v>BLD-C</x:v>
      </x:c>
      <x:c r="F273" s="7" t="str">
        <x:v>BL-X</x:v>
      </x:c>
      <x:c r="G273" s="7" t="str">
        <x:v>CS-07</x:v>
      </x:c>
      <x:c r="H273" s="10" t="str">
        <x:v>mechanism-specific production inspection</x:v>
      </x:c>
      <x:c r="I273" s="7" t="str"/>
      <x:c r="J273" s="7" t="str"/>
      <x:c r="K273" s="7" t="str"/>
      <x:c r="L273" s="7" t="str">
        <x:f>IF(K273="","OPEN",IF(OR(I273="",J273=""),"FAIL","PASS"))</x:f>
        <x:v>OPEN</x:v>
      </x:c>
    </x:row>
    <x:row r="274" ht="38" customHeight="1">
      <x:c r="B274" s="7" t="str">
        <x:v>NDE-TRV-PEA-C-X2-08</x:v>
      </x:c>
      <x:c r="C274" s="7" t="str">
        <x:v>TRV-PEA-C-X2-08</x:v>
      </x:c>
      <x:c r="D274" s="7" t="str">
        <x:v>PEA-C-X2</x:v>
      </x:c>
      <x:c r="E274" s="7" t="str">
        <x:v>BLD-C</x:v>
      </x:c>
      <x:c r="F274" s="7" t="str">
        <x:v>BL-X</x:v>
      </x:c>
      <x:c r="G274" s="7" t="str">
        <x:v>CS-08</x:v>
      </x:c>
      <x:c r="H274" s="10" t="str">
        <x:v>mechanism-specific production inspection</x:v>
      </x:c>
      <x:c r="I274" s="7" t="str"/>
      <x:c r="J274" s="7" t="str"/>
      <x:c r="K274" s="7" t="str"/>
      <x:c r="L274" s="7" t="str">
        <x:f>IF(K274="","OPEN",IF(OR(I274="",J274=""),"FAIL","PASS"))</x:f>
        <x:v>OPEN</x:v>
      </x:c>
    </x:row>
    <x:row r="275" ht="38" customHeight="1">
      <x:c r="B275" s="7" t="str">
        <x:v>NDE-TRV-PEA-C-X2-09</x:v>
      </x:c>
      <x:c r="C275" s="7" t="str">
        <x:v>TRV-PEA-C-X2-09</x:v>
      </x:c>
      <x:c r="D275" s="7" t="str">
        <x:v>PEA-C-X2</x:v>
      </x:c>
      <x:c r="E275" s="7" t="str">
        <x:v>BLD-C</x:v>
      </x:c>
      <x:c r="F275" s="7" t="str">
        <x:v>BL-X</x:v>
      </x:c>
      <x:c r="G275" s="7" t="str">
        <x:v>CS-09</x:v>
      </x:c>
      <x:c r="H275" s="10" t="str">
        <x:v>mechanism-specific production inspection</x:v>
      </x:c>
      <x:c r="I275" s="7" t="str"/>
      <x:c r="J275" s="7" t="str"/>
      <x:c r="K275" s="7" t="str"/>
      <x:c r="L275" s="7" t="str">
        <x:f>IF(K275="","OPEN",IF(OR(I275="",J275=""),"FAIL","PASS"))</x:f>
        <x:v>OPEN</x:v>
      </x:c>
    </x:row>
    <x:row r="276" ht="38" customHeight="1">
      <x:c r="B276" s="7" t="str">
        <x:v>NDE-TRV-PEA-C-X2-10</x:v>
      </x:c>
      <x:c r="C276" s="7" t="str">
        <x:v>TRV-PEA-C-X2-10</x:v>
      </x:c>
      <x:c r="D276" s="7" t="str">
        <x:v>PEA-C-X2</x:v>
      </x:c>
      <x:c r="E276" s="7" t="str">
        <x:v>BLD-C</x:v>
      </x:c>
      <x:c r="F276" s="7" t="str">
        <x:v>BL-X</x:v>
      </x:c>
      <x:c r="G276" s="7" t="str">
        <x:v>CS-10</x:v>
      </x:c>
      <x:c r="H276" s="10" t="str">
        <x:v>mechanism-specific production inspection</x:v>
      </x:c>
      <x:c r="I276" s="7" t="str"/>
      <x:c r="J276" s="7" t="str"/>
      <x:c r="K276" s="7" t="str"/>
      <x:c r="L276" s="7" t="str">
        <x:f>IF(K276="","OPEN",IF(OR(I276="",J276=""),"FAIL","PASS"))</x:f>
        <x:v>OPEN</x:v>
      </x:c>
    </x:row>
    <x:row r="277" ht="38" customHeight="1">
      <x:c r="B277" s="7" t="str">
        <x:v>NDE-TRV-PEA-C-X2-11</x:v>
      </x:c>
      <x:c r="C277" s="7" t="str">
        <x:v>TRV-PEA-C-X2-11</x:v>
      </x:c>
      <x:c r="D277" s="7" t="str">
        <x:v>PEA-C-X2</x:v>
      </x:c>
      <x:c r="E277" s="7" t="str">
        <x:v>BLD-C</x:v>
      </x:c>
      <x:c r="F277" s="7" t="str">
        <x:v>BL-X</x:v>
      </x:c>
      <x:c r="G277" s="7" t="str">
        <x:v>CS-11</x:v>
      </x:c>
      <x:c r="H277" s="10" t="str">
        <x:v>mechanism-specific production inspection</x:v>
      </x:c>
      <x:c r="I277" s="7" t="str"/>
      <x:c r="J277" s="7" t="str"/>
      <x:c r="K277" s="7" t="str"/>
      <x:c r="L277" s="7" t="str">
        <x:f>IF(K277="","OPEN",IF(OR(I277="",J277=""),"FAIL","PASS"))</x:f>
        <x:v>OPEN</x:v>
      </x:c>
    </x:row>
    <x:row r="278" ht="38" customHeight="1">
      <x:c r="B278" s="7" t="str">
        <x:v>NDE-TRV-PEA-C-X2-12</x:v>
      </x:c>
      <x:c r="C278" s="7" t="str">
        <x:v>TRV-PEA-C-X2-12</x:v>
      </x:c>
      <x:c r="D278" s="7" t="str">
        <x:v>PEA-C-X2</x:v>
      </x:c>
      <x:c r="E278" s="7" t="str">
        <x:v>BLD-C</x:v>
      </x:c>
      <x:c r="F278" s="7" t="str">
        <x:v>BL-X</x:v>
      </x:c>
      <x:c r="G278" s="7" t="str">
        <x:v>CS-12</x:v>
      </x:c>
      <x:c r="H278" s="10" t="str">
        <x:v>mechanism-specific production inspection</x:v>
      </x:c>
      <x:c r="I278" s="7" t="str"/>
      <x:c r="J278" s="7" t="str"/>
      <x:c r="K278" s="7" t="str"/>
      <x:c r="L278" s="7" t="str">
        <x:f>IF(K278="","OPEN",IF(OR(I278="",J278=""),"FAIL","PASS"))</x:f>
        <x:v>OPEN</x:v>
      </x:c>
    </x:row>
    <x:row r="279" ht="38" customHeight="1">
      <x:c r="B279" s="7" t="str">
        <x:v>NDE-TRV-PEA-C-X2-13</x:v>
      </x:c>
      <x:c r="C279" s="7" t="str">
        <x:v>TRV-PEA-C-X2-13</x:v>
      </x:c>
      <x:c r="D279" s="7" t="str">
        <x:v>PEA-C-X2</x:v>
      </x:c>
      <x:c r="E279" s="7" t="str">
        <x:v>BLD-C</x:v>
      </x:c>
      <x:c r="F279" s="7" t="str">
        <x:v>BL-X</x:v>
      </x:c>
      <x:c r="G279" s="7" t="str">
        <x:v>CS-13</x:v>
      </x:c>
      <x:c r="H279" s="10" t="str">
        <x:v>mechanism-specific production inspection</x:v>
      </x:c>
      <x:c r="I279" s="7" t="str"/>
      <x:c r="J279" s="7" t="str"/>
      <x:c r="K279" s="7" t="str"/>
      <x:c r="L279" s="7" t="str">
        <x:f>IF(K279="","OPEN",IF(OR(I279="",J279=""),"FAIL","PASS"))</x:f>
        <x:v>OPEN</x:v>
      </x:c>
    </x:row>
    <x:row r="280" ht="38" customHeight="1">
      <x:c r="B280" s="7" t="str">
        <x:v>NDE-TRV-PEA-C-X2-14</x:v>
      </x:c>
      <x:c r="C280" s="7" t="str">
        <x:v>TRV-PEA-C-X2-14</x:v>
      </x:c>
      <x:c r="D280" s="7" t="str">
        <x:v>PEA-C-X2</x:v>
      </x:c>
      <x:c r="E280" s="7" t="str">
        <x:v>BLD-C</x:v>
      </x:c>
      <x:c r="F280" s="7" t="str">
        <x:v>BL-X</x:v>
      </x:c>
      <x:c r="G280" s="7" t="str">
        <x:v>CS-14</x:v>
      </x:c>
      <x:c r="H280" s="10" t="str">
        <x:v>mechanism-specific production inspection</x:v>
      </x:c>
      <x:c r="I280" s="7" t="str"/>
      <x:c r="J280" s="7" t="str"/>
      <x:c r="K280" s="7" t="str"/>
      <x:c r="L280" s="7" t="str">
        <x:f>IF(K280="","OPEN",IF(OR(I280="",J280=""),"FAIL","PASS"))</x:f>
        <x:v>OPEN</x:v>
      </x:c>
    </x:row>
    <x:row r="281" ht="38" customHeight="1">
      <x:c r="B281" s="7" t="str">
        <x:v>NDE-TRV-PEA-C-X2-15</x:v>
      </x:c>
      <x:c r="C281" s="7" t="str">
        <x:v>TRV-PEA-C-X2-15</x:v>
      </x:c>
      <x:c r="D281" s="7" t="str">
        <x:v>PEA-C-X2</x:v>
      </x:c>
      <x:c r="E281" s="7" t="str">
        <x:v>BLD-C</x:v>
      </x:c>
      <x:c r="F281" s="7" t="str">
        <x:v>BL-X</x:v>
      </x:c>
      <x:c r="G281" s="7" t="str">
        <x:v>CS-15</x:v>
      </x:c>
      <x:c r="H281" s="10" t="str">
        <x:v>mechanism-specific production inspection</x:v>
      </x:c>
      <x:c r="I281" s="7" t="str"/>
      <x:c r="J281" s="7" t="str"/>
      <x:c r="K281" s="7" t="str"/>
      <x:c r="L281" s="7" t="str">
        <x:f>IF(K281="","OPEN",IF(OR(I281="",J281=""),"FAIL","PASS"))</x:f>
        <x:v>OPEN</x:v>
      </x:c>
    </x:row>
    <x:row r="282" ht="38" customHeight="1">
      <x:c r="B282" s="7" t="str">
        <x:v>NDE-TRV-PEA-C-X2-16</x:v>
      </x:c>
      <x:c r="C282" s="7" t="str">
        <x:v>TRV-PEA-C-X2-16</x:v>
      </x:c>
      <x:c r="D282" s="7" t="str">
        <x:v>PEA-C-X2</x:v>
      </x:c>
      <x:c r="E282" s="7" t="str">
        <x:v>BLD-C</x:v>
      </x:c>
      <x:c r="F282" s="7" t="str">
        <x:v>BL-X</x:v>
      </x:c>
      <x:c r="G282" s="7" t="str">
        <x:v>CS-16</x:v>
      </x:c>
      <x:c r="H282" s="10" t="str">
        <x:v>mechanism-specific production inspection</x:v>
      </x:c>
      <x:c r="I282" s="7" t="str"/>
      <x:c r="J282" s="7" t="str"/>
      <x:c r="K282" s="7" t="str"/>
      <x:c r="L282" s="7" t="str">
        <x:f>IF(K282="","OPEN",IF(OR(I282="",J282=""),"FAIL","PASS"))</x:f>
        <x:v>OPEN</x:v>
      </x:c>
    </x:row>
    <x:row r="283" ht="38" customHeight="1">
      <x:c r="B283" s="7" t="str">
        <x:v>NDE-TRV-PEA-C-X2-17</x:v>
      </x:c>
      <x:c r="C283" s="7" t="str">
        <x:v>TRV-PEA-C-X2-17</x:v>
      </x:c>
      <x:c r="D283" s="7" t="str">
        <x:v>PEA-C-X2</x:v>
      </x:c>
      <x:c r="E283" s="7" t="str">
        <x:v>BLD-C</x:v>
      </x:c>
      <x:c r="F283" s="7" t="str">
        <x:v>BL-X</x:v>
      </x:c>
      <x:c r="G283" s="7" t="str">
        <x:v>CS-17</x:v>
      </x:c>
      <x:c r="H283" s="10" t="str">
        <x:v>mechanism-specific production inspection</x:v>
      </x:c>
      <x:c r="I283" s="7" t="str"/>
      <x:c r="J283" s="7" t="str"/>
      <x:c r="K283" s="7" t="str"/>
      <x:c r="L283" s="7" t="str">
        <x:f>IF(K283="","OPEN",IF(OR(I283="",J283=""),"FAIL","PASS"))</x:f>
        <x:v>OPEN</x:v>
      </x:c>
    </x:row>
    <x:row r="284" ht="38" customHeight="1">
      <x:c r="B284" s="7" t="str">
        <x:v>NDE-TRV-PEA-C-X2-18</x:v>
      </x:c>
      <x:c r="C284" s="7" t="str">
        <x:v>TRV-PEA-C-X2-18</x:v>
      </x:c>
      <x:c r="D284" s="7" t="str">
        <x:v>PEA-C-X2</x:v>
      </x:c>
      <x:c r="E284" s="7" t="str">
        <x:v>BLD-C</x:v>
      </x:c>
      <x:c r="F284" s="7" t="str">
        <x:v>BL-X</x:v>
      </x:c>
      <x:c r="G284" s="7" t="str">
        <x:v>CS-18</x:v>
      </x:c>
      <x:c r="H284" s="10" t="str">
        <x:v>mechanism-specific production inspection</x:v>
      </x:c>
      <x:c r="I284" s="7" t="str"/>
      <x:c r="J284" s="7" t="str"/>
      <x:c r="K284" s="7" t="str"/>
      <x:c r="L284" s="7" t="str">
        <x:f>IF(K284="","OPEN",IF(OR(I284="",J284=""),"FAIL","PASS"))</x:f>
        <x:v>OPEN</x:v>
      </x:c>
    </x:row>
    <x:row r="285" ht="38" customHeight="1">
      <x:c r="B285" s="7" t="str">
        <x:v>NDE-TRV-PEA-C-X2-19</x:v>
      </x:c>
      <x:c r="C285" s="7" t="str">
        <x:v>TRV-PEA-C-X2-19</x:v>
      </x:c>
      <x:c r="D285" s="7" t="str">
        <x:v>PEA-C-X2</x:v>
      </x:c>
      <x:c r="E285" s="7" t="str">
        <x:v>BLD-C</x:v>
      </x:c>
      <x:c r="F285" s="7" t="str">
        <x:v>BL-X</x:v>
      </x:c>
      <x:c r="G285" s="7" t="str">
        <x:v>CS-19</x:v>
      </x:c>
      <x:c r="H285" s="10" t="str">
        <x:v>mechanism-specific production inspection</x:v>
      </x:c>
      <x:c r="I285" s="7" t="str"/>
      <x:c r="J285" s="7" t="str"/>
      <x:c r="K285" s="7" t="str"/>
      <x:c r="L285" s="7" t="str">
        <x:f>IF(K285="","OPEN",IF(OR(I285="",J285=""),"FAIL","PASS"))</x:f>
        <x:v>OPEN</x:v>
      </x:c>
    </x:row>
    <x:row r="286" ht="38" customHeight="1">
      <x:c r="B286" s="7" t="str">
        <x:v>NDE-TRV-PEA-C-X2-20</x:v>
      </x:c>
      <x:c r="C286" s="7" t="str">
        <x:v>TRV-PEA-C-X2-20</x:v>
      </x:c>
      <x:c r="D286" s="7" t="str">
        <x:v>PEA-C-X2</x:v>
      </x:c>
      <x:c r="E286" s="7" t="str">
        <x:v>BLD-C</x:v>
      </x:c>
      <x:c r="F286" s="7" t="str">
        <x:v>BL-X</x:v>
      </x:c>
      <x:c r="G286" s="7" t="str">
        <x:v>CS-20</x:v>
      </x:c>
      <x:c r="H286" s="10" t="str">
        <x:v>mechanism-specific production inspection</x:v>
      </x:c>
      <x:c r="I286" s="7" t="str"/>
      <x:c r="J286" s="7" t="str"/>
      <x:c r="K286" s="7" t="str"/>
      <x:c r="L286" s="7" t="str">
        <x:f>IF(K286="","OPEN",IF(OR(I286="",J286=""),"FAIL","PASS"))</x:f>
        <x:v>OPEN</x:v>
      </x:c>
    </x:row>
    <x:row r="287" ht="38" customHeight="1">
      <x:c r="B287" s="7" t="str">
        <x:v>NDE-TRV-PEA-C-X3-01</x:v>
      </x:c>
      <x:c r="C287" s="7" t="str">
        <x:v>TRV-PEA-C-X3-01</x:v>
      </x:c>
      <x:c r="D287" s="7" t="str">
        <x:v>PEA-C-X3</x:v>
      </x:c>
      <x:c r="E287" s="7" t="str">
        <x:v>BLD-C</x:v>
      </x:c>
      <x:c r="F287" s="7" t="str">
        <x:v>BL-X</x:v>
      </x:c>
      <x:c r="G287" s="7" t="str">
        <x:v>CS-01</x:v>
      </x:c>
      <x:c r="H287" s="10" t="str">
        <x:v>mechanism-specific production inspection</x:v>
      </x:c>
      <x:c r="I287" s="7" t="str"/>
      <x:c r="J287" s="7" t="str"/>
      <x:c r="K287" s="7" t="str"/>
      <x:c r="L287" s="7" t="str">
        <x:f>IF(K287="","OPEN",IF(OR(I287="",J287=""),"FAIL","PASS"))</x:f>
        <x:v>OPEN</x:v>
      </x:c>
    </x:row>
    <x:row r="288" ht="38" customHeight="1">
      <x:c r="B288" s="7" t="str">
        <x:v>NDE-TRV-PEA-C-X3-02</x:v>
      </x:c>
      <x:c r="C288" s="7" t="str">
        <x:v>TRV-PEA-C-X3-02</x:v>
      </x:c>
      <x:c r="D288" s="7" t="str">
        <x:v>PEA-C-X3</x:v>
      </x:c>
      <x:c r="E288" s="7" t="str">
        <x:v>BLD-C</x:v>
      </x:c>
      <x:c r="F288" s="7" t="str">
        <x:v>BL-X</x:v>
      </x:c>
      <x:c r="G288" s="7" t="str">
        <x:v>CS-02</x:v>
      </x:c>
      <x:c r="H288" s="10" t="str">
        <x:v>mechanism-specific production inspection</x:v>
      </x:c>
      <x:c r="I288" s="7" t="str"/>
      <x:c r="J288" s="7" t="str"/>
      <x:c r="K288" s="7" t="str"/>
      <x:c r="L288" s="7" t="str">
        <x:f>IF(K288="","OPEN",IF(OR(I288="",J288=""),"FAIL","PASS"))</x:f>
        <x:v>OPEN</x:v>
      </x:c>
    </x:row>
    <x:row r="289" ht="38" customHeight="1">
      <x:c r="B289" s="7" t="str">
        <x:v>NDE-TRV-PEA-C-X3-03</x:v>
      </x:c>
      <x:c r="C289" s="7" t="str">
        <x:v>TRV-PEA-C-X3-03</x:v>
      </x:c>
      <x:c r="D289" s="7" t="str">
        <x:v>PEA-C-X3</x:v>
      </x:c>
      <x:c r="E289" s="7" t="str">
        <x:v>BLD-C</x:v>
      </x:c>
      <x:c r="F289" s="7" t="str">
        <x:v>BL-X</x:v>
      </x:c>
      <x:c r="G289" s="7" t="str">
        <x:v>CS-03</x:v>
      </x:c>
      <x:c r="H289" s="10" t="str">
        <x:v>mechanism-specific production inspection</x:v>
      </x:c>
      <x:c r="I289" s="7" t="str"/>
      <x:c r="J289" s="7" t="str"/>
      <x:c r="K289" s="7" t="str"/>
      <x:c r="L289" s="7" t="str">
        <x:f>IF(K289="","OPEN",IF(OR(I289="",J289=""),"FAIL","PASS"))</x:f>
        <x:v>OPEN</x:v>
      </x:c>
    </x:row>
    <x:row r="290" ht="38" customHeight="1">
      <x:c r="B290" s="7" t="str">
        <x:v>NDE-TRV-PEA-C-X3-04</x:v>
      </x:c>
      <x:c r="C290" s="7" t="str">
        <x:v>TRV-PEA-C-X3-04</x:v>
      </x:c>
      <x:c r="D290" s="7" t="str">
        <x:v>PEA-C-X3</x:v>
      </x:c>
      <x:c r="E290" s="7" t="str">
        <x:v>BLD-C</x:v>
      </x:c>
      <x:c r="F290" s="7" t="str">
        <x:v>BL-X</x:v>
      </x:c>
      <x:c r="G290" s="7" t="str">
        <x:v>CS-04</x:v>
      </x:c>
      <x:c r="H290" s="10" t="str">
        <x:v>mechanism-specific production inspection</x:v>
      </x:c>
      <x:c r="I290" s="7" t="str"/>
      <x:c r="J290" s="7" t="str"/>
      <x:c r="K290" s="7" t="str"/>
      <x:c r="L290" s="7" t="str">
        <x:f>IF(K290="","OPEN",IF(OR(I290="",J290=""),"FAIL","PASS"))</x:f>
        <x:v>OPEN</x:v>
      </x:c>
    </x:row>
    <x:row r="291" ht="38" customHeight="1">
      <x:c r="B291" s="7" t="str">
        <x:v>NDE-TRV-PEA-C-X3-05</x:v>
      </x:c>
      <x:c r="C291" s="7" t="str">
        <x:v>TRV-PEA-C-X3-05</x:v>
      </x:c>
      <x:c r="D291" s="7" t="str">
        <x:v>PEA-C-X3</x:v>
      </x:c>
      <x:c r="E291" s="7" t="str">
        <x:v>BLD-C</x:v>
      </x:c>
      <x:c r="F291" s="7" t="str">
        <x:v>BL-X</x:v>
      </x:c>
      <x:c r="G291" s="7" t="str">
        <x:v>CS-05</x:v>
      </x:c>
      <x:c r="H291" s="10" t="str">
        <x:v>mechanism-specific production inspection</x:v>
      </x:c>
      <x:c r="I291" s="7" t="str"/>
      <x:c r="J291" s="7" t="str"/>
      <x:c r="K291" s="7" t="str"/>
      <x:c r="L291" s="7" t="str">
        <x:f>IF(K291="","OPEN",IF(OR(I291="",J291=""),"FAIL","PASS"))</x:f>
        <x:v>OPEN</x:v>
      </x:c>
    </x:row>
    <x:row r="292" ht="38" customHeight="1">
      <x:c r="B292" s="7" t="str">
        <x:v>NDE-TRV-PEA-C-X3-06</x:v>
      </x:c>
      <x:c r="C292" s="7" t="str">
        <x:v>TRV-PEA-C-X3-06</x:v>
      </x:c>
      <x:c r="D292" s="7" t="str">
        <x:v>PEA-C-X3</x:v>
      </x:c>
      <x:c r="E292" s="7" t="str">
        <x:v>BLD-C</x:v>
      </x:c>
      <x:c r="F292" s="7" t="str">
        <x:v>BL-X</x:v>
      </x:c>
      <x:c r="G292" s="7" t="str">
        <x:v>CS-06</x:v>
      </x:c>
      <x:c r="H292" s="10" t="str">
        <x:v>mechanism-specific production inspection</x:v>
      </x:c>
      <x:c r="I292" s="7" t="str"/>
      <x:c r="J292" s="7" t="str"/>
      <x:c r="K292" s="7" t="str"/>
      <x:c r="L292" s="7" t="str">
        <x:f>IF(K292="","OPEN",IF(OR(I292="",J292=""),"FAIL","PASS"))</x:f>
        <x:v>OPEN</x:v>
      </x:c>
    </x:row>
    <x:row r="293" ht="38" customHeight="1">
      <x:c r="B293" s="7" t="str">
        <x:v>NDE-TRV-PEA-C-X3-07</x:v>
      </x:c>
      <x:c r="C293" s="7" t="str">
        <x:v>TRV-PEA-C-X3-07</x:v>
      </x:c>
      <x:c r="D293" s="7" t="str">
        <x:v>PEA-C-X3</x:v>
      </x:c>
      <x:c r="E293" s="7" t="str">
        <x:v>BLD-C</x:v>
      </x:c>
      <x:c r="F293" s="7" t="str">
        <x:v>BL-X</x:v>
      </x:c>
      <x:c r="G293" s="7" t="str">
        <x:v>CS-07</x:v>
      </x:c>
      <x:c r="H293" s="10" t="str">
        <x:v>mechanism-specific production inspection</x:v>
      </x:c>
      <x:c r="I293" s="7" t="str"/>
      <x:c r="J293" s="7" t="str"/>
      <x:c r="K293" s="7" t="str"/>
      <x:c r="L293" s="7" t="str">
        <x:f>IF(K293="","OPEN",IF(OR(I293="",J293=""),"FAIL","PASS"))</x:f>
        <x:v>OPEN</x:v>
      </x:c>
    </x:row>
    <x:row r="294" ht="38" customHeight="1">
      <x:c r="B294" s="7" t="str">
        <x:v>NDE-TRV-PEA-C-X3-08</x:v>
      </x:c>
      <x:c r="C294" s="7" t="str">
        <x:v>TRV-PEA-C-X3-08</x:v>
      </x:c>
      <x:c r="D294" s="7" t="str">
        <x:v>PEA-C-X3</x:v>
      </x:c>
      <x:c r="E294" s="7" t="str">
        <x:v>BLD-C</x:v>
      </x:c>
      <x:c r="F294" s="7" t="str">
        <x:v>BL-X</x:v>
      </x:c>
      <x:c r="G294" s="7" t="str">
        <x:v>CS-08</x:v>
      </x:c>
      <x:c r="H294" s="10" t="str">
        <x:v>mechanism-specific production inspection</x:v>
      </x:c>
      <x:c r="I294" s="7" t="str"/>
      <x:c r="J294" s="7" t="str"/>
      <x:c r="K294" s="7" t="str"/>
      <x:c r="L294" s="7" t="str">
        <x:f>IF(K294="","OPEN",IF(OR(I294="",J294=""),"FAIL","PASS"))</x:f>
        <x:v>OPEN</x:v>
      </x:c>
    </x:row>
    <x:row r="295" ht="38" customHeight="1">
      <x:c r="B295" s="7" t="str">
        <x:v>NDE-TRV-PEA-C-X3-09</x:v>
      </x:c>
      <x:c r="C295" s="7" t="str">
        <x:v>TRV-PEA-C-X3-09</x:v>
      </x:c>
      <x:c r="D295" s="7" t="str">
        <x:v>PEA-C-X3</x:v>
      </x:c>
      <x:c r="E295" s="7" t="str">
        <x:v>BLD-C</x:v>
      </x:c>
      <x:c r="F295" s="7" t="str">
        <x:v>BL-X</x:v>
      </x:c>
      <x:c r="G295" s="7" t="str">
        <x:v>CS-09</x:v>
      </x:c>
      <x:c r="H295" s="10" t="str">
        <x:v>mechanism-specific production inspection</x:v>
      </x:c>
      <x:c r="I295" s="7" t="str"/>
      <x:c r="J295" s="7" t="str"/>
      <x:c r="K295" s="7" t="str"/>
      <x:c r="L295" s="7" t="str">
        <x:f>IF(K295="","OPEN",IF(OR(I295="",J295=""),"FAIL","PASS"))</x:f>
        <x:v>OPEN</x:v>
      </x:c>
    </x:row>
    <x:row r="296" ht="38" customHeight="1">
      <x:c r="B296" s="7" t="str">
        <x:v>NDE-TRV-PEA-C-X3-10</x:v>
      </x:c>
      <x:c r="C296" s="7" t="str">
        <x:v>TRV-PEA-C-X3-10</x:v>
      </x:c>
      <x:c r="D296" s="7" t="str">
        <x:v>PEA-C-X3</x:v>
      </x:c>
      <x:c r="E296" s="7" t="str">
        <x:v>BLD-C</x:v>
      </x:c>
      <x:c r="F296" s="7" t="str">
        <x:v>BL-X</x:v>
      </x:c>
      <x:c r="G296" s="7" t="str">
        <x:v>CS-10</x:v>
      </x:c>
      <x:c r="H296" s="10" t="str">
        <x:v>mechanism-specific production inspection</x:v>
      </x:c>
      <x:c r="I296" s="7" t="str"/>
      <x:c r="J296" s="7" t="str"/>
      <x:c r="K296" s="7" t="str"/>
      <x:c r="L296" s="7" t="str">
        <x:f>IF(K296="","OPEN",IF(OR(I296="",J296=""),"FAIL","PASS"))</x:f>
        <x:v>OPEN</x:v>
      </x:c>
    </x:row>
    <x:row r="297" ht="38" customHeight="1">
      <x:c r="B297" s="7" t="str">
        <x:v>NDE-TRV-PEA-C-X3-11</x:v>
      </x:c>
      <x:c r="C297" s="7" t="str">
        <x:v>TRV-PEA-C-X3-11</x:v>
      </x:c>
      <x:c r="D297" s="7" t="str">
        <x:v>PEA-C-X3</x:v>
      </x:c>
      <x:c r="E297" s="7" t="str">
        <x:v>BLD-C</x:v>
      </x:c>
      <x:c r="F297" s="7" t="str">
        <x:v>BL-X</x:v>
      </x:c>
      <x:c r="G297" s="7" t="str">
        <x:v>CS-11</x:v>
      </x:c>
      <x:c r="H297" s="10" t="str">
        <x:v>mechanism-specific production inspection</x:v>
      </x:c>
      <x:c r="I297" s="7" t="str"/>
      <x:c r="J297" s="7" t="str"/>
      <x:c r="K297" s="7" t="str"/>
      <x:c r="L297" s="7" t="str">
        <x:f>IF(K297="","OPEN",IF(OR(I297="",J297=""),"FAIL","PASS"))</x:f>
        <x:v>OPEN</x:v>
      </x:c>
    </x:row>
    <x:row r="298" ht="38" customHeight="1">
      <x:c r="B298" s="7" t="str">
        <x:v>NDE-TRV-PEA-C-X3-12</x:v>
      </x:c>
      <x:c r="C298" s="7" t="str">
        <x:v>TRV-PEA-C-X3-12</x:v>
      </x:c>
      <x:c r="D298" s="7" t="str">
        <x:v>PEA-C-X3</x:v>
      </x:c>
      <x:c r="E298" s="7" t="str">
        <x:v>BLD-C</x:v>
      </x:c>
      <x:c r="F298" s="7" t="str">
        <x:v>BL-X</x:v>
      </x:c>
      <x:c r="G298" s="7" t="str">
        <x:v>CS-12</x:v>
      </x:c>
      <x:c r="H298" s="10" t="str">
        <x:v>mechanism-specific production inspection</x:v>
      </x:c>
      <x:c r="I298" s="7" t="str"/>
      <x:c r="J298" s="7" t="str"/>
      <x:c r="K298" s="7" t="str"/>
      <x:c r="L298" s="7" t="str">
        <x:f>IF(K298="","OPEN",IF(OR(I298="",J298=""),"FAIL","PASS"))</x:f>
        <x:v>OPEN</x:v>
      </x:c>
    </x:row>
    <x:row r="299" ht="38" customHeight="1">
      <x:c r="B299" s="7" t="str">
        <x:v>NDE-TRV-PEA-C-X3-13</x:v>
      </x:c>
      <x:c r="C299" s="7" t="str">
        <x:v>TRV-PEA-C-X3-13</x:v>
      </x:c>
      <x:c r="D299" s="7" t="str">
        <x:v>PEA-C-X3</x:v>
      </x:c>
      <x:c r="E299" s="7" t="str">
        <x:v>BLD-C</x:v>
      </x:c>
      <x:c r="F299" s="7" t="str">
        <x:v>BL-X</x:v>
      </x:c>
      <x:c r="G299" s="7" t="str">
        <x:v>CS-13</x:v>
      </x:c>
      <x:c r="H299" s="10" t="str">
        <x:v>mechanism-specific production inspection</x:v>
      </x:c>
      <x:c r="I299" s="7" t="str"/>
      <x:c r="J299" s="7" t="str"/>
      <x:c r="K299" s="7" t="str"/>
      <x:c r="L299" s="7" t="str">
        <x:f>IF(K299="","OPEN",IF(OR(I299="",J299=""),"FAIL","PASS"))</x:f>
        <x:v>OPEN</x:v>
      </x:c>
    </x:row>
    <x:row r="300" ht="38" customHeight="1">
      <x:c r="B300" s="7" t="str">
        <x:v>NDE-TRV-PEA-C-X3-14</x:v>
      </x:c>
      <x:c r="C300" s="7" t="str">
        <x:v>TRV-PEA-C-X3-14</x:v>
      </x:c>
      <x:c r="D300" s="7" t="str">
        <x:v>PEA-C-X3</x:v>
      </x:c>
      <x:c r="E300" s="7" t="str">
        <x:v>BLD-C</x:v>
      </x:c>
      <x:c r="F300" s="7" t="str">
        <x:v>BL-X</x:v>
      </x:c>
      <x:c r="G300" s="7" t="str">
        <x:v>CS-14</x:v>
      </x:c>
      <x:c r="H300" s="10" t="str">
        <x:v>mechanism-specific production inspection</x:v>
      </x:c>
      <x:c r="I300" s="7" t="str"/>
      <x:c r="J300" s="7" t="str"/>
      <x:c r="K300" s="7" t="str"/>
      <x:c r="L300" s="7" t="str">
        <x:f>IF(K300="","OPEN",IF(OR(I300="",J300=""),"FAIL","PASS"))</x:f>
        <x:v>OPEN</x:v>
      </x:c>
    </x:row>
    <x:row r="301" ht="38" customHeight="1">
      <x:c r="B301" s="7" t="str">
        <x:v>NDE-TRV-PEA-C-X3-15</x:v>
      </x:c>
      <x:c r="C301" s="7" t="str">
        <x:v>TRV-PEA-C-X3-15</x:v>
      </x:c>
      <x:c r="D301" s="7" t="str">
        <x:v>PEA-C-X3</x:v>
      </x:c>
      <x:c r="E301" s="7" t="str">
        <x:v>BLD-C</x:v>
      </x:c>
      <x:c r="F301" s="7" t="str">
        <x:v>BL-X</x:v>
      </x:c>
      <x:c r="G301" s="7" t="str">
        <x:v>CS-15</x:v>
      </x:c>
      <x:c r="H301" s="10" t="str">
        <x:v>mechanism-specific production inspection</x:v>
      </x:c>
      <x:c r="I301" s="7" t="str"/>
      <x:c r="J301" s="7" t="str"/>
      <x:c r="K301" s="7" t="str"/>
      <x:c r="L301" s="7" t="str">
        <x:f>IF(K301="","OPEN",IF(OR(I301="",J301=""),"FAIL","PASS"))</x:f>
        <x:v>OPEN</x:v>
      </x:c>
    </x:row>
    <x:row r="302" ht="38" customHeight="1">
      <x:c r="B302" s="7" t="str">
        <x:v>NDE-TRV-PEA-C-X3-16</x:v>
      </x:c>
      <x:c r="C302" s="7" t="str">
        <x:v>TRV-PEA-C-X3-16</x:v>
      </x:c>
      <x:c r="D302" s="7" t="str">
        <x:v>PEA-C-X3</x:v>
      </x:c>
      <x:c r="E302" s="7" t="str">
        <x:v>BLD-C</x:v>
      </x:c>
      <x:c r="F302" s="7" t="str">
        <x:v>BL-X</x:v>
      </x:c>
      <x:c r="G302" s="7" t="str">
        <x:v>CS-16</x:v>
      </x:c>
      <x:c r="H302" s="10" t="str">
        <x:v>mechanism-specific production inspection</x:v>
      </x:c>
      <x:c r="I302" s="7" t="str"/>
      <x:c r="J302" s="7" t="str"/>
      <x:c r="K302" s="7" t="str"/>
      <x:c r="L302" s="7" t="str">
        <x:f>IF(K302="","OPEN",IF(OR(I302="",J302=""),"FAIL","PASS"))</x:f>
        <x:v>OPEN</x:v>
      </x:c>
    </x:row>
    <x:row r="303" ht="38" customHeight="1">
      <x:c r="B303" s="7" t="str">
        <x:v>NDE-TRV-PEA-C-X3-17</x:v>
      </x:c>
      <x:c r="C303" s="7" t="str">
        <x:v>TRV-PEA-C-X3-17</x:v>
      </x:c>
      <x:c r="D303" s="7" t="str">
        <x:v>PEA-C-X3</x:v>
      </x:c>
      <x:c r="E303" s="7" t="str">
        <x:v>BLD-C</x:v>
      </x:c>
      <x:c r="F303" s="7" t="str">
        <x:v>BL-X</x:v>
      </x:c>
      <x:c r="G303" s="7" t="str">
        <x:v>CS-17</x:v>
      </x:c>
      <x:c r="H303" s="10" t="str">
        <x:v>mechanism-specific production inspection</x:v>
      </x:c>
      <x:c r="I303" s="7" t="str"/>
      <x:c r="J303" s="7" t="str"/>
      <x:c r="K303" s="7" t="str"/>
      <x:c r="L303" s="7" t="str">
        <x:f>IF(K303="","OPEN",IF(OR(I303="",J303=""),"FAIL","PASS"))</x:f>
        <x:v>OPEN</x:v>
      </x:c>
    </x:row>
    <x:row r="304" ht="38" customHeight="1">
      <x:c r="B304" s="7" t="str">
        <x:v>NDE-TRV-PEA-C-X3-18</x:v>
      </x:c>
      <x:c r="C304" s="7" t="str">
        <x:v>TRV-PEA-C-X3-18</x:v>
      </x:c>
      <x:c r="D304" s="7" t="str">
        <x:v>PEA-C-X3</x:v>
      </x:c>
      <x:c r="E304" s="7" t="str">
        <x:v>BLD-C</x:v>
      </x:c>
      <x:c r="F304" s="7" t="str">
        <x:v>BL-X</x:v>
      </x:c>
      <x:c r="G304" s="7" t="str">
        <x:v>CS-18</x:v>
      </x:c>
      <x:c r="H304" s="10" t="str">
        <x:v>mechanism-specific production inspection</x:v>
      </x:c>
      <x:c r="I304" s="7" t="str"/>
      <x:c r="J304" s="7" t="str"/>
      <x:c r="K304" s="7" t="str"/>
      <x:c r="L304" s="7" t="str">
        <x:f>IF(K304="","OPEN",IF(OR(I304="",J304=""),"FAIL","PASS"))</x:f>
        <x:v>OPEN</x:v>
      </x:c>
    </x:row>
    <x:row r="305" ht="38" customHeight="1">
      <x:c r="B305" s="7" t="str">
        <x:v>NDE-TRV-PEA-C-X3-19</x:v>
      </x:c>
      <x:c r="C305" s="7" t="str">
        <x:v>TRV-PEA-C-X3-19</x:v>
      </x:c>
      <x:c r="D305" s="7" t="str">
        <x:v>PEA-C-X3</x:v>
      </x:c>
      <x:c r="E305" s="7" t="str">
        <x:v>BLD-C</x:v>
      </x:c>
      <x:c r="F305" s="7" t="str">
        <x:v>BL-X</x:v>
      </x:c>
      <x:c r="G305" s="7" t="str">
        <x:v>CS-19</x:v>
      </x:c>
      <x:c r="H305" s="10" t="str">
        <x:v>mechanism-specific production inspection</x:v>
      </x:c>
      <x:c r="I305" s="7" t="str"/>
      <x:c r="J305" s="7" t="str"/>
      <x:c r="K305" s="7" t="str"/>
      <x:c r="L305" s="7" t="str">
        <x:f>IF(K305="","OPEN",IF(OR(I305="",J305=""),"FAIL","PASS"))</x:f>
        <x:v>OPEN</x:v>
      </x:c>
    </x:row>
    <x:row r="306" ht="38" customHeight="1">
      <x:c r="B306" s="7" t="str">
        <x:v>NDE-TRV-PEA-C-X3-20</x:v>
      </x:c>
      <x:c r="C306" s="7" t="str">
        <x:v>TRV-PEA-C-X3-20</x:v>
      </x:c>
      <x:c r="D306" s="7" t="str">
        <x:v>PEA-C-X3</x:v>
      </x:c>
      <x:c r="E306" s="7" t="str">
        <x:v>BLD-C</x:v>
      </x:c>
      <x:c r="F306" s="7" t="str">
        <x:v>BL-X</x:v>
      </x:c>
      <x:c r="G306" s="7" t="str">
        <x:v>CS-20</x:v>
      </x:c>
      <x:c r="H306" s="10" t="str">
        <x:v>mechanism-specific production inspection</x:v>
      </x:c>
      <x:c r="I306" s="7" t="str"/>
      <x:c r="J306" s="7" t="str"/>
      <x:c r="K306" s="7" t="str"/>
      <x:c r="L306" s="7" t="str">
        <x:f>IF(K306="","OPEN",IF(OR(I306="",J306=""),"FAIL","PASS"))</x:f>
        <x:v>OPEN</x:v>
      </x:c>
    </x:row>
    <x:row r="307" ht="38" customHeight="1">
      <x:c r="B307" s="7" t="str">
        <x:v>NDE-TRV-PEA-C-Y1-01</x:v>
      </x:c>
      <x:c r="C307" s="7" t="str">
        <x:v>TRV-PEA-C-Y1-01</x:v>
      </x:c>
      <x:c r="D307" s="7" t="str">
        <x:v>PEA-C-Y1</x:v>
      </x:c>
      <x:c r="E307" s="7" t="str">
        <x:v>BLD-C</x:v>
      </x:c>
      <x:c r="F307" s="7" t="str">
        <x:v>BL-Y</x:v>
      </x:c>
      <x:c r="G307" s="7" t="str">
        <x:v>CS-01</x:v>
      </x:c>
      <x:c r="H307" s="10" t="str">
        <x:v>mechanism-specific production inspection</x:v>
      </x:c>
      <x:c r="I307" s="7" t="str"/>
      <x:c r="J307" s="7" t="str"/>
      <x:c r="K307" s="7" t="str"/>
      <x:c r="L307" s="7" t="str">
        <x:f>IF(K307="","OPEN",IF(OR(I307="",J307=""),"FAIL","PASS"))</x:f>
        <x:v>OPEN</x:v>
      </x:c>
    </x:row>
    <x:row r="308" ht="38" customHeight="1">
      <x:c r="B308" s="7" t="str">
        <x:v>NDE-TRV-PEA-C-Y1-02</x:v>
      </x:c>
      <x:c r="C308" s="7" t="str">
        <x:v>TRV-PEA-C-Y1-02</x:v>
      </x:c>
      <x:c r="D308" s="7" t="str">
        <x:v>PEA-C-Y1</x:v>
      </x:c>
      <x:c r="E308" s="7" t="str">
        <x:v>BLD-C</x:v>
      </x:c>
      <x:c r="F308" s="7" t="str">
        <x:v>BL-Y</x:v>
      </x:c>
      <x:c r="G308" s="7" t="str">
        <x:v>CS-02</x:v>
      </x:c>
      <x:c r="H308" s="10" t="str">
        <x:v>mechanism-specific production inspection</x:v>
      </x:c>
      <x:c r="I308" s="7" t="str"/>
      <x:c r="J308" s="7" t="str"/>
      <x:c r="K308" s="7" t="str"/>
      <x:c r="L308" s="7" t="str">
        <x:f>IF(K308="","OPEN",IF(OR(I308="",J308=""),"FAIL","PASS"))</x:f>
        <x:v>OPEN</x:v>
      </x:c>
    </x:row>
    <x:row r="309" ht="38" customHeight="1">
      <x:c r="B309" s="7" t="str">
        <x:v>NDE-TRV-PEA-C-Y1-03</x:v>
      </x:c>
      <x:c r="C309" s="7" t="str">
        <x:v>TRV-PEA-C-Y1-03</x:v>
      </x:c>
      <x:c r="D309" s="7" t="str">
        <x:v>PEA-C-Y1</x:v>
      </x:c>
      <x:c r="E309" s="7" t="str">
        <x:v>BLD-C</x:v>
      </x:c>
      <x:c r="F309" s="7" t="str">
        <x:v>BL-Y</x:v>
      </x:c>
      <x:c r="G309" s="7" t="str">
        <x:v>CS-03</x:v>
      </x:c>
      <x:c r="H309" s="10" t="str">
        <x:v>mechanism-specific production inspection</x:v>
      </x:c>
      <x:c r="I309" s="7" t="str"/>
      <x:c r="J309" s="7" t="str"/>
      <x:c r="K309" s="7" t="str"/>
      <x:c r="L309" s="7" t="str">
        <x:f>IF(K309="","OPEN",IF(OR(I309="",J309=""),"FAIL","PASS"))</x:f>
        <x:v>OPEN</x:v>
      </x:c>
    </x:row>
    <x:row r="310" ht="38" customHeight="1">
      <x:c r="B310" s="7" t="str">
        <x:v>NDE-TRV-PEA-C-Y1-04</x:v>
      </x:c>
      <x:c r="C310" s="7" t="str">
        <x:v>TRV-PEA-C-Y1-04</x:v>
      </x:c>
      <x:c r="D310" s="7" t="str">
        <x:v>PEA-C-Y1</x:v>
      </x:c>
      <x:c r="E310" s="7" t="str">
        <x:v>BLD-C</x:v>
      </x:c>
      <x:c r="F310" s="7" t="str">
        <x:v>BL-Y</x:v>
      </x:c>
      <x:c r="G310" s="7" t="str">
        <x:v>CS-04</x:v>
      </x:c>
      <x:c r="H310" s="10" t="str">
        <x:v>mechanism-specific production inspection</x:v>
      </x:c>
      <x:c r="I310" s="7" t="str"/>
      <x:c r="J310" s="7" t="str"/>
      <x:c r="K310" s="7" t="str"/>
      <x:c r="L310" s="7" t="str">
        <x:f>IF(K310="","OPEN",IF(OR(I310="",J310=""),"FAIL","PASS"))</x:f>
        <x:v>OPEN</x:v>
      </x:c>
    </x:row>
    <x:row r="311" ht="38" customHeight="1">
      <x:c r="B311" s="7" t="str">
        <x:v>NDE-TRV-PEA-C-Y1-05</x:v>
      </x:c>
      <x:c r="C311" s="7" t="str">
        <x:v>TRV-PEA-C-Y1-05</x:v>
      </x:c>
      <x:c r="D311" s="7" t="str">
        <x:v>PEA-C-Y1</x:v>
      </x:c>
      <x:c r="E311" s="7" t="str">
        <x:v>BLD-C</x:v>
      </x:c>
      <x:c r="F311" s="7" t="str">
        <x:v>BL-Y</x:v>
      </x:c>
      <x:c r="G311" s="7" t="str">
        <x:v>CS-05</x:v>
      </x:c>
      <x:c r="H311" s="10" t="str">
        <x:v>mechanism-specific production inspection</x:v>
      </x:c>
      <x:c r="I311" s="7" t="str"/>
      <x:c r="J311" s="7" t="str"/>
      <x:c r="K311" s="7" t="str"/>
      <x:c r="L311" s="7" t="str">
        <x:f>IF(K311="","OPEN",IF(OR(I311="",J311=""),"FAIL","PASS"))</x:f>
        <x:v>OPEN</x:v>
      </x:c>
    </x:row>
    <x:row r="312" ht="38" customHeight="1">
      <x:c r="B312" s="7" t="str">
        <x:v>NDE-TRV-PEA-C-Y1-06</x:v>
      </x:c>
      <x:c r="C312" s="7" t="str">
        <x:v>TRV-PEA-C-Y1-06</x:v>
      </x:c>
      <x:c r="D312" s="7" t="str">
        <x:v>PEA-C-Y1</x:v>
      </x:c>
      <x:c r="E312" s="7" t="str">
        <x:v>BLD-C</x:v>
      </x:c>
      <x:c r="F312" s="7" t="str">
        <x:v>BL-Y</x:v>
      </x:c>
      <x:c r="G312" s="7" t="str">
        <x:v>CS-06</x:v>
      </x:c>
      <x:c r="H312" s="10" t="str">
        <x:v>mechanism-specific production inspection</x:v>
      </x:c>
      <x:c r="I312" s="7" t="str"/>
      <x:c r="J312" s="7" t="str"/>
      <x:c r="K312" s="7" t="str"/>
      <x:c r="L312" s="7" t="str">
        <x:f>IF(K312="","OPEN",IF(OR(I312="",J312=""),"FAIL","PASS"))</x:f>
        <x:v>OPEN</x:v>
      </x:c>
    </x:row>
    <x:row r="313" ht="38" customHeight="1">
      <x:c r="B313" s="7" t="str">
        <x:v>NDE-TRV-PEA-C-Y1-07</x:v>
      </x:c>
      <x:c r="C313" s="7" t="str">
        <x:v>TRV-PEA-C-Y1-07</x:v>
      </x:c>
      <x:c r="D313" s="7" t="str">
        <x:v>PEA-C-Y1</x:v>
      </x:c>
      <x:c r="E313" s="7" t="str">
        <x:v>BLD-C</x:v>
      </x:c>
      <x:c r="F313" s="7" t="str">
        <x:v>BL-Y</x:v>
      </x:c>
      <x:c r="G313" s="7" t="str">
        <x:v>CS-07</x:v>
      </x:c>
      <x:c r="H313" s="10" t="str">
        <x:v>mechanism-specific production inspection</x:v>
      </x:c>
      <x:c r="I313" s="7" t="str"/>
      <x:c r="J313" s="7" t="str"/>
      <x:c r="K313" s="7" t="str"/>
      <x:c r="L313" s="7" t="str">
        <x:f>IF(K313="","OPEN",IF(OR(I313="",J313=""),"FAIL","PASS"))</x:f>
        <x:v>OPEN</x:v>
      </x:c>
    </x:row>
    <x:row r="314" ht="38" customHeight="1">
      <x:c r="B314" s="7" t="str">
        <x:v>NDE-TRV-PEA-C-Y1-08</x:v>
      </x:c>
      <x:c r="C314" s="7" t="str">
        <x:v>TRV-PEA-C-Y1-08</x:v>
      </x:c>
      <x:c r="D314" s="7" t="str">
        <x:v>PEA-C-Y1</x:v>
      </x:c>
      <x:c r="E314" s="7" t="str">
        <x:v>BLD-C</x:v>
      </x:c>
      <x:c r="F314" s="7" t="str">
        <x:v>BL-Y</x:v>
      </x:c>
      <x:c r="G314" s="7" t="str">
        <x:v>CS-08</x:v>
      </x:c>
      <x:c r="H314" s="10" t="str">
        <x:v>mechanism-specific production inspection</x:v>
      </x:c>
      <x:c r="I314" s="7" t="str"/>
      <x:c r="J314" s="7" t="str"/>
      <x:c r="K314" s="7" t="str"/>
      <x:c r="L314" s="7" t="str">
        <x:f>IF(K314="","OPEN",IF(OR(I314="",J314=""),"FAIL","PASS"))</x:f>
        <x:v>OPEN</x:v>
      </x:c>
    </x:row>
    <x:row r="315" ht="38" customHeight="1">
      <x:c r="B315" s="7" t="str">
        <x:v>NDE-TRV-PEA-C-Y1-09</x:v>
      </x:c>
      <x:c r="C315" s="7" t="str">
        <x:v>TRV-PEA-C-Y1-09</x:v>
      </x:c>
      <x:c r="D315" s="7" t="str">
        <x:v>PEA-C-Y1</x:v>
      </x:c>
      <x:c r="E315" s="7" t="str">
        <x:v>BLD-C</x:v>
      </x:c>
      <x:c r="F315" s="7" t="str">
        <x:v>BL-Y</x:v>
      </x:c>
      <x:c r="G315" s="7" t="str">
        <x:v>CS-09</x:v>
      </x:c>
      <x:c r="H315" s="10" t="str">
        <x:v>mechanism-specific production inspection</x:v>
      </x:c>
      <x:c r="I315" s="7" t="str"/>
      <x:c r="J315" s="7" t="str"/>
      <x:c r="K315" s="7" t="str"/>
      <x:c r="L315" s="7" t="str">
        <x:f>IF(K315="","OPEN",IF(OR(I315="",J315=""),"FAIL","PASS"))</x:f>
        <x:v>OPEN</x:v>
      </x:c>
    </x:row>
    <x:row r="316" ht="38" customHeight="1">
      <x:c r="B316" s="7" t="str">
        <x:v>NDE-TRV-PEA-C-Y1-10</x:v>
      </x:c>
      <x:c r="C316" s="7" t="str">
        <x:v>TRV-PEA-C-Y1-10</x:v>
      </x:c>
      <x:c r="D316" s="7" t="str">
        <x:v>PEA-C-Y1</x:v>
      </x:c>
      <x:c r="E316" s="7" t="str">
        <x:v>BLD-C</x:v>
      </x:c>
      <x:c r="F316" s="7" t="str">
        <x:v>BL-Y</x:v>
      </x:c>
      <x:c r="G316" s="7" t="str">
        <x:v>CS-10</x:v>
      </x:c>
      <x:c r="H316" s="10" t="str">
        <x:v>mechanism-specific production inspection</x:v>
      </x:c>
      <x:c r="I316" s="7" t="str"/>
      <x:c r="J316" s="7" t="str"/>
      <x:c r="K316" s="7" t="str"/>
      <x:c r="L316" s="7" t="str">
        <x:f>IF(K316="","OPEN",IF(OR(I316="",J316=""),"FAIL","PASS"))</x:f>
        <x:v>OPEN</x:v>
      </x:c>
    </x:row>
    <x:row r="317" ht="38" customHeight="1">
      <x:c r="B317" s="7" t="str">
        <x:v>NDE-TRV-PEA-C-Y1-11</x:v>
      </x:c>
      <x:c r="C317" s="7" t="str">
        <x:v>TRV-PEA-C-Y1-11</x:v>
      </x:c>
      <x:c r="D317" s="7" t="str">
        <x:v>PEA-C-Y1</x:v>
      </x:c>
      <x:c r="E317" s="7" t="str">
        <x:v>BLD-C</x:v>
      </x:c>
      <x:c r="F317" s="7" t="str">
        <x:v>BL-Y</x:v>
      </x:c>
      <x:c r="G317" s="7" t="str">
        <x:v>CS-11</x:v>
      </x:c>
      <x:c r="H317" s="10" t="str">
        <x:v>mechanism-specific production inspection</x:v>
      </x:c>
      <x:c r="I317" s="7" t="str"/>
      <x:c r="J317" s="7" t="str"/>
      <x:c r="K317" s="7" t="str"/>
      <x:c r="L317" s="7" t="str">
        <x:f>IF(K317="","OPEN",IF(OR(I317="",J317=""),"FAIL","PASS"))</x:f>
        <x:v>OPEN</x:v>
      </x:c>
    </x:row>
    <x:row r="318" ht="38" customHeight="1">
      <x:c r="B318" s="7" t="str">
        <x:v>NDE-TRV-PEA-C-Y1-12</x:v>
      </x:c>
      <x:c r="C318" s="7" t="str">
        <x:v>TRV-PEA-C-Y1-12</x:v>
      </x:c>
      <x:c r="D318" s="7" t="str">
        <x:v>PEA-C-Y1</x:v>
      </x:c>
      <x:c r="E318" s="7" t="str">
        <x:v>BLD-C</x:v>
      </x:c>
      <x:c r="F318" s="7" t="str">
        <x:v>BL-Y</x:v>
      </x:c>
      <x:c r="G318" s="7" t="str">
        <x:v>CS-12</x:v>
      </x:c>
      <x:c r="H318" s="10" t="str">
        <x:v>mechanism-specific production inspection</x:v>
      </x:c>
      <x:c r="I318" s="7" t="str"/>
      <x:c r="J318" s="7" t="str"/>
      <x:c r="K318" s="7" t="str"/>
      <x:c r="L318" s="7" t="str">
        <x:f>IF(K318="","OPEN",IF(OR(I318="",J318=""),"FAIL","PASS"))</x:f>
        <x:v>OPEN</x:v>
      </x:c>
    </x:row>
    <x:row r="319" ht="38" customHeight="1">
      <x:c r="B319" s="7" t="str">
        <x:v>NDE-TRV-PEA-C-Y1-13</x:v>
      </x:c>
      <x:c r="C319" s="7" t="str">
        <x:v>TRV-PEA-C-Y1-13</x:v>
      </x:c>
      <x:c r="D319" s="7" t="str">
        <x:v>PEA-C-Y1</x:v>
      </x:c>
      <x:c r="E319" s="7" t="str">
        <x:v>BLD-C</x:v>
      </x:c>
      <x:c r="F319" s="7" t="str">
        <x:v>BL-Y</x:v>
      </x:c>
      <x:c r="G319" s="7" t="str">
        <x:v>CS-13</x:v>
      </x:c>
      <x:c r="H319" s="10" t="str">
        <x:v>mechanism-specific production inspection</x:v>
      </x:c>
      <x:c r="I319" s="7" t="str"/>
      <x:c r="J319" s="7" t="str"/>
      <x:c r="K319" s="7" t="str"/>
      <x:c r="L319" s="7" t="str">
        <x:f>IF(K319="","OPEN",IF(OR(I319="",J319=""),"FAIL","PASS"))</x:f>
        <x:v>OPEN</x:v>
      </x:c>
    </x:row>
    <x:row r="320" ht="38" customHeight="1">
      <x:c r="B320" s="7" t="str">
        <x:v>NDE-TRV-PEA-C-Y1-14</x:v>
      </x:c>
      <x:c r="C320" s="7" t="str">
        <x:v>TRV-PEA-C-Y1-14</x:v>
      </x:c>
      <x:c r="D320" s="7" t="str">
        <x:v>PEA-C-Y1</x:v>
      </x:c>
      <x:c r="E320" s="7" t="str">
        <x:v>BLD-C</x:v>
      </x:c>
      <x:c r="F320" s="7" t="str">
        <x:v>BL-Y</x:v>
      </x:c>
      <x:c r="G320" s="7" t="str">
        <x:v>CS-14</x:v>
      </x:c>
      <x:c r="H320" s="10" t="str">
        <x:v>mechanism-specific production inspection</x:v>
      </x:c>
      <x:c r="I320" s="7" t="str"/>
      <x:c r="J320" s="7" t="str"/>
      <x:c r="K320" s="7" t="str"/>
      <x:c r="L320" s="7" t="str">
        <x:f>IF(K320="","OPEN",IF(OR(I320="",J320=""),"FAIL","PASS"))</x:f>
        <x:v>OPEN</x:v>
      </x:c>
    </x:row>
    <x:row r="321" ht="38" customHeight="1">
      <x:c r="B321" s="7" t="str">
        <x:v>NDE-TRV-PEA-C-Y1-15</x:v>
      </x:c>
      <x:c r="C321" s="7" t="str">
        <x:v>TRV-PEA-C-Y1-15</x:v>
      </x:c>
      <x:c r="D321" s="7" t="str">
        <x:v>PEA-C-Y1</x:v>
      </x:c>
      <x:c r="E321" s="7" t="str">
        <x:v>BLD-C</x:v>
      </x:c>
      <x:c r="F321" s="7" t="str">
        <x:v>BL-Y</x:v>
      </x:c>
      <x:c r="G321" s="7" t="str">
        <x:v>CS-15</x:v>
      </x:c>
      <x:c r="H321" s="10" t="str">
        <x:v>mechanism-specific production inspection</x:v>
      </x:c>
      <x:c r="I321" s="7" t="str"/>
      <x:c r="J321" s="7" t="str"/>
      <x:c r="K321" s="7" t="str"/>
      <x:c r="L321" s="7" t="str">
        <x:f>IF(K321="","OPEN",IF(OR(I321="",J321=""),"FAIL","PASS"))</x:f>
        <x:v>OPEN</x:v>
      </x:c>
    </x:row>
    <x:row r="322" ht="38" customHeight="1">
      <x:c r="B322" s="7" t="str">
        <x:v>NDE-TRV-PEA-C-Y1-16</x:v>
      </x:c>
      <x:c r="C322" s="7" t="str">
        <x:v>TRV-PEA-C-Y1-16</x:v>
      </x:c>
      <x:c r="D322" s="7" t="str">
        <x:v>PEA-C-Y1</x:v>
      </x:c>
      <x:c r="E322" s="7" t="str">
        <x:v>BLD-C</x:v>
      </x:c>
      <x:c r="F322" s="7" t="str">
        <x:v>BL-Y</x:v>
      </x:c>
      <x:c r="G322" s="7" t="str">
        <x:v>CS-16</x:v>
      </x:c>
      <x:c r="H322" s="10" t="str">
        <x:v>mechanism-specific production inspection</x:v>
      </x:c>
      <x:c r="I322" s="7" t="str"/>
      <x:c r="J322" s="7" t="str"/>
      <x:c r="K322" s="7" t="str"/>
      <x:c r="L322" s="7" t="str">
        <x:f>IF(K322="","OPEN",IF(OR(I322="",J322=""),"FAIL","PASS"))</x:f>
        <x:v>OPEN</x:v>
      </x:c>
    </x:row>
    <x:row r="323" ht="38" customHeight="1">
      <x:c r="B323" s="7" t="str">
        <x:v>NDE-TRV-PEA-C-Y1-17</x:v>
      </x:c>
      <x:c r="C323" s="7" t="str">
        <x:v>TRV-PEA-C-Y1-17</x:v>
      </x:c>
      <x:c r="D323" s="7" t="str">
        <x:v>PEA-C-Y1</x:v>
      </x:c>
      <x:c r="E323" s="7" t="str">
        <x:v>BLD-C</x:v>
      </x:c>
      <x:c r="F323" s="7" t="str">
        <x:v>BL-Y</x:v>
      </x:c>
      <x:c r="G323" s="7" t="str">
        <x:v>CS-17</x:v>
      </x:c>
      <x:c r="H323" s="10" t="str">
        <x:v>mechanism-specific production inspection</x:v>
      </x:c>
      <x:c r="I323" s="7" t="str"/>
      <x:c r="J323" s="7" t="str"/>
      <x:c r="K323" s="7" t="str"/>
      <x:c r="L323" s="7" t="str">
        <x:f>IF(K323="","OPEN",IF(OR(I323="",J323=""),"FAIL","PASS"))</x:f>
        <x:v>OPEN</x:v>
      </x:c>
    </x:row>
    <x:row r="324" ht="38" customHeight="1">
      <x:c r="B324" s="7" t="str">
        <x:v>NDE-TRV-PEA-C-Y1-18</x:v>
      </x:c>
      <x:c r="C324" s="7" t="str">
        <x:v>TRV-PEA-C-Y1-18</x:v>
      </x:c>
      <x:c r="D324" s="7" t="str">
        <x:v>PEA-C-Y1</x:v>
      </x:c>
      <x:c r="E324" s="7" t="str">
        <x:v>BLD-C</x:v>
      </x:c>
      <x:c r="F324" s="7" t="str">
        <x:v>BL-Y</x:v>
      </x:c>
      <x:c r="G324" s="7" t="str">
        <x:v>CS-18</x:v>
      </x:c>
      <x:c r="H324" s="10" t="str">
        <x:v>mechanism-specific production inspection</x:v>
      </x:c>
      <x:c r="I324" s="7" t="str"/>
      <x:c r="J324" s="7" t="str"/>
      <x:c r="K324" s="7" t="str"/>
      <x:c r="L324" s="7" t="str">
        <x:f>IF(K324="","OPEN",IF(OR(I324="",J324=""),"FAIL","PASS"))</x:f>
        <x:v>OPEN</x:v>
      </x:c>
    </x:row>
    <x:row r="325" ht="38" customHeight="1">
      <x:c r="B325" s="7" t="str">
        <x:v>NDE-TRV-PEA-C-Y1-19</x:v>
      </x:c>
      <x:c r="C325" s="7" t="str">
        <x:v>TRV-PEA-C-Y1-19</x:v>
      </x:c>
      <x:c r="D325" s="7" t="str">
        <x:v>PEA-C-Y1</x:v>
      </x:c>
      <x:c r="E325" s="7" t="str">
        <x:v>BLD-C</x:v>
      </x:c>
      <x:c r="F325" s="7" t="str">
        <x:v>BL-Y</x:v>
      </x:c>
      <x:c r="G325" s="7" t="str">
        <x:v>CS-19</x:v>
      </x:c>
      <x:c r="H325" s="10" t="str">
        <x:v>mechanism-specific production inspection</x:v>
      </x:c>
      <x:c r="I325" s="7" t="str"/>
      <x:c r="J325" s="7" t="str"/>
      <x:c r="K325" s="7" t="str"/>
      <x:c r="L325" s="7" t="str">
        <x:f>IF(K325="","OPEN",IF(OR(I325="",J325=""),"FAIL","PASS"))</x:f>
        <x:v>OPEN</x:v>
      </x:c>
    </x:row>
    <x:row r="326" ht="38" customHeight="1">
      <x:c r="B326" s="7" t="str">
        <x:v>NDE-TRV-PEA-C-Y1-20</x:v>
      </x:c>
      <x:c r="C326" s="7" t="str">
        <x:v>TRV-PEA-C-Y1-20</x:v>
      </x:c>
      <x:c r="D326" s="7" t="str">
        <x:v>PEA-C-Y1</x:v>
      </x:c>
      <x:c r="E326" s="7" t="str">
        <x:v>BLD-C</x:v>
      </x:c>
      <x:c r="F326" s="7" t="str">
        <x:v>BL-Y</x:v>
      </x:c>
      <x:c r="G326" s="7" t="str">
        <x:v>CS-20</x:v>
      </x:c>
      <x:c r="H326" s="10" t="str">
        <x:v>mechanism-specific production inspection</x:v>
      </x:c>
      <x:c r="I326" s="7" t="str"/>
      <x:c r="J326" s="7" t="str"/>
      <x:c r="K326" s="7" t="str"/>
      <x:c r="L326" s="7" t="str">
        <x:f>IF(K326="","OPEN",IF(OR(I326="",J326=""),"FAIL","PASS"))</x:f>
        <x:v>OPEN</x:v>
      </x:c>
    </x:row>
    <x:row r="327" ht="38" customHeight="1">
      <x:c r="B327" s="7" t="str">
        <x:v>NDE-TRV-PEA-C-Y2-01</x:v>
      </x:c>
      <x:c r="C327" s="7" t="str">
        <x:v>TRV-PEA-C-Y2-01</x:v>
      </x:c>
      <x:c r="D327" s="7" t="str">
        <x:v>PEA-C-Y2</x:v>
      </x:c>
      <x:c r="E327" s="7" t="str">
        <x:v>BLD-C</x:v>
      </x:c>
      <x:c r="F327" s="7" t="str">
        <x:v>BL-Y</x:v>
      </x:c>
      <x:c r="G327" s="7" t="str">
        <x:v>CS-01</x:v>
      </x:c>
      <x:c r="H327" s="10" t="str">
        <x:v>mechanism-specific production inspection</x:v>
      </x:c>
      <x:c r="I327" s="7" t="str"/>
      <x:c r="J327" s="7" t="str"/>
      <x:c r="K327" s="7" t="str"/>
      <x:c r="L327" s="7" t="str">
        <x:f>IF(K327="","OPEN",IF(OR(I327="",J327=""),"FAIL","PASS"))</x:f>
        <x:v>OPEN</x:v>
      </x:c>
    </x:row>
    <x:row r="328" ht="38" customHeight="1">
      <x:c r="B328" s="7" t="str">
        <x:v>NDE-TRV-PEA-C-Y2-02</x:v>
      </x:c>
      <x:c r="C328" s="7" t="str">
        <x:v>TRV-PEA-C-Y2-02</x:v>
      </x:c>
      <x:c r="D328" s="7" t="str">
        <x:v>PEA-C-Y2</x:v>
      </x:c>
      <x:c r="E328" s="7" t="str">
        <x:v>BLD-C</x:v>
      </x:c>
      <x:c r="F328" s="7" t="str">
        <x:v>BL-Y</x:v>
      </x:c>
      <x:c r="G328" s="7" t="str">
        <x:v>CS-02</x:v>
      </x:c>
      <x:c r="H328" s="10" t="str">
        <x:v>mechanism-specific production inspection</x:v>
      </x:c>
      <x:c r="I328" s="7" t="str"/>
      <x:c r="J328" s="7" t="str"/>
      <x:c r="K328" s="7" t="str"/>
      <x:c r="L328" s="7" t="str">
        <x:f>IF(K328="","OPEN",IF(OR(I328="",J328=""),"FAIL","PASS"))</x:f>
        <x:v>OPEN</x:v>
      </x:c>
    </x:row>
    <x:row r="329" ht="38" customHeight="1">
      <x:c r="B329" s="7" t="str">
        <x:v>NDE-TRV-PEA-C-Y2-03</x:v>
      </x:c>
      <x:c r="C329" s="7" t="str">
        <x:v>TRV-PEA-C-Y2-03</x:v>
      </x:c>
      <x:c r="D329" s="7" t="str">
        <x:v>PEA-C-Y2</x:v>
      </x:c>
      <x:c r="E329" s="7" t="str">
        <x:v>BLD-C</x:v>
      </x:c>
      <x:c r="F329" s="7" t="str">
        <x:v>BL-Y</x:v>
      </x:c>
      <x:c r="G329" s="7" t="str">
        <x:v>CS-03</x:v>
      </x:c>
      <x:c r="H329" s="10" t="str">
        <x:v>mechanism-specific production inspection</x:v>
      </x:c>
      <x:c r="I329" s="7" t="str"/>
      <x:c r="J329" s="7" t="str"/>
      <x:c r="K329" s="7" t="str"/>
      <x:c r="L329" s="7" t="str">
        <x:f>IF(K329="","OPEN",IF(OR(I329="",J329=""),"FAIL","PASS"))</x:f>
        <x:v>OPEN</x:v>
      </x:c>
    </x:row>
    <x:row r="330" ht="38" customHeight="1">
      <x:c r="B330" s="7" t="str">
        <x:v>NDE-TRV-PEA-C-Y2-04</x:v>
      </x:c>
      <x:c r="C330" s="7" t="str">
        <x:v>TRV-PEA-C-Y2-04</x:v>
      </x:c>
      <x:c r="D330" s="7" t="str">
        <x:v>PEA-C-Y2</x:v>
      </x:c>
      <x:c r="E330" s="7" t="str">
        <x:v>BLD-C</x:v>
      </x:c>
      <x:c r="F330" s="7" t="str">
        <x:v>BL-Y</x:v>
      </x:c>
      <x:c r="G330" s="7" t="str">
        <x:v>CS-04</x:v>
      </x:c>
      <x:c r="H330" s="10" t="str">
        <x:v>mechanism-specific production inspection</x:v>
      </x:c>
      <x:c r="I330" s="7" t="str"/>
      <x:c r="J330" s="7" t="str"/>
      <x:c r="K330" s="7" t="str"/>
      <x:c r="L330" s="7" t="str">
        <x:f>IF(K330="","OPEN",IF(OR(I330="",J330=""),"FAIL","PASS"))</x:f>
        <x:v>OPEN</x:v>
      </x:c>
    </x:row>
    <x:row r="331" ht="38" customHeight="1">
      <x:c r="B331" s="7" t="str">
        <x:v>NDE-TRV-PEA-C-Y2-05</x:v>
      </x:c>
      <x:c r="C331" s="7" t="str">
        <x:v>TRV-PEA-C-Y2-05</x:v>
      </x:c>
      <x:c r="D331" s="7" t="str">
        <x:v>PEA-C-Y2</x:v>
      </x:c>
      <x:c r="E331" s="7" t="str">
        <x:v>BLD-C</x:v>
      </x:c>
      <x:c r="F331" s="7" t="str">
        <x:v>BL-Y</x:v>
      </x:c>
      <x:c r="G331" s="7" t="str">
        <x:v>CS-05</x:v>
      </x:c>
      <x:c r="H331" s="10" t="str">
        <x:v>mechanism-specific production inspection</x:v>
      </x:c>
      <x:c r="I331" s="7" t="str"/>
      <x:c r="J331" s="7" t="str"/>
      <x:c r="K331" s="7" t="str"/>
      <x:c r="L331" s="7" t="str">
        <x:f>IF(K331="","OPEN",IF(OR(I331="",J331=""),"FAIL","PASS"))</x:f>
        <x:v>OPEN</x:v>
      </x:c>
    </x:row>
    <x:row r="332" ht="38" customHeight="1">
      <x:c r="B332" s="7" t="str">
        <x:v>NDE-TRV-PEA-C-Y2-06</x:v>
      </x:c>
      <x:c r="C332" s="7" t="str">
        <x:v>TRV-PEA-C-Y2-06</x:v>
      </x:c>
      <x:c r="D332" s="7" t="str">
        <x:v>PEA-C-Y2</x:v>
      </x:c>
      <x:c r="E332" s="7" t="str">
        <x:v>BLD-C</x:v>
      </x:c>
      <x:c r="F332" s="7" t="str">
        <x:v>BL-Y</x:v>
      </x:c>
      <x:c r="G332" s="7" t="str">
        <x:v>CS-06</x:v>
      </x:c>
      <x:c r="H332" s="10" t="str">
        <x:v>mechanism-specific production inspection</x:v>
      </x:c>
      <x:c r="I332" s="7" t="str"/>
      <x:c r="J332" s="7" t="str"/>
      <x:c r="K332" s="7" t="str"/>
      <x:c r="L332" s="7" t="str">
        <x:f>IF(K332="","OPEN",IF(OR(I332="",J332=""),"FAIL","PASS"))</x:f>
        <x:v>OPEN</x:v>
      </x:c>
    </x:row>
    <x:row r="333" ht="38" customHeight="1">
      <x:c r="B333" s="7" t="str">
        <x:v>NDE-TRV-PEA-C-Y2-07</x:v>
      </x:c>
      <x:c r="C333" s="7" t="str">
        <x:v>TRV-PEA-C-Y2-07</x:v>
      </x:c>
      <x:c r="D333" s="7" t="str">
        <x:v>PEA-C-Y2</x:v>
      </x:c>
      <x:c r="E333" s="7" t="str">
        <x:v>BLD-C</x:v>
      </x:c>
      <x:c r="F333" s="7" t="str">
        <x:v>BL-Y</x:v>
      </x:c>
      <x:c r="G333" s="7" t="str">
        <x:v>CS-07</x:v>
      </x:c>
      <x:c r="H333" s="10" t="str">
        <x:v>mechanism-specific production inspection</x:v>
      </x:c>
      <x:c r="I333" s="7" t="str"/>
      <x:c r="J333" s="7" t="str"/>
      <x:c r="K333" s="7" t="str"/>
      <x:c r="L333" s="7" t="str">
        <x:f>IF(K333="","OPEN",IF(OR(I333="",J333=""),"FAIL","PASS"))</x:f>
        <x:v>OPEN</x:v>
      </x:c>
    </x:row>
    <x:row r="334" ht="38" customHeight="1">
      <x:c r="B334" s="7" t="str">
        <x:v>NDE-TRV-PEA-C-Y2-08</x:v>
      </x:c>
      <x:c r="C334" s="7" t="str">
        <x:v>TRV-PEA-C-Y2-08</x:v>
      </x:c>
      <x:c r="D334" s="7" t="str">
        <x:v>PEA-C-Y2</x:v>
      </x:c>
      <x:c r="E334" s="7" t="str">
        <x:v>BLD-C</x:v>
      </x:c>
      <x:c r="F334" s="7" t="str">
        <x:v>BL-Y</x:v>
      </x:c>
      <x:c r="G334" s="7" t="str">
        <x:v>CS-08</x:v>
      </x:c>
      <x:c r="H334" s="10" t="str">
        <x:v>mechanism-specific production inspection</x:v>
      </x:c>
      <x:c r="I334" s="7" t="str"/>
      <x:c r="J334" s="7" t="str"/>
      <x:c r="K334" s="7" t="str"/>
      <x:c r="L334" s="7" t="str">
        <x:f>IF(K334="","OPEN",IF(OR(I334="",J334=""),"FAIL","PASS"))</x:f>
        <x:v>OPEN</x:v>
      </x:c>
    </x:row>
    <x:row r="335" ht="38" customHeight="1">
      <x:c r="B335" s="7" t="str">
        <x:v>NDE-TRV-PEA-C-Y2-09</x:v>
      </x:c>
      <x:c r="C335" s="7" t="str">
        <x:v>TRV-PEA-C-Y2-09</x:v>
      </x:c>
      <x:c r="D335" s="7" t="str">
        <x:v>PEA-C-Y2</x:v>
      </x:c>
      <x:c r="E335" s="7" t="str">
        <x:v>BLD-C</x:v>
      </x:c>
      <x:c r="F335" s="7" t="str">
        <x:v>BL-Y</x:v>
      </x:c>
      <x:c r="G335" s="7" t="str">
        <x:v>CS-09</x:v>
      </x:c>
      <x:c r="H335" s="10" t="str">
        <x:v>mechanism-specific production inspection</x:v>
      </x:c>
      <x:c r="I335" s="7" t="str"/>
      <x:c r="J335" s="7" t="str"/>
      <x:c r="K335" s="7" t="str"/>
      <x:c r="L335" s="7" t="str">
        <x:f>IF(K335="","OPEN",IF(OR(I335="",J335=""),"FAIL","PASS"))</x:f>
        <x:v>OPEN</x:v>
      </x:c>
    </x:row>
    <x:row r="336" ht="38" customHeight="1">
      <x:c r="B336" s="7" t="str">
        <x:v>NDE-TRV-PEA-C-Y2-10</x:v>
      </x:c>
      <x:c r="C336" s="7" t="str">
        <x:v>TRV-PEA-C-Y2-10</x:v>
      </x:c>
      <x:c r="D336" s="7" t="str">
        <x:v>PEA-C-Y2</x:v>
      </x:c>
      <x:c r="E336" s="7" t="str">
        <x:v>BLD-C</x:v>
      </x:c>
      <x:c r="F336" s="7" t="str">
        <x:v>BL-Y</x:v>
      </x:c>
      <x:c r="G336" s="7" t="str">
        <x:v>CS-10</x:v>
      </x:c>
      <x:c r="H336" s="10" t="str">
        <x:v>mechanism-specific production inspection</x:v>
      </x:c>
      <x:c r="I336" s="7" t="str"/>
      <x:c r="J336" s="7" t="str"/>
      <x:c r="K336" s="7" t="str"/>
      <x:c r="L336" s="7" t="str">
        <x:f>IF(K336="","OPEN",IF(OR(I336="",J336=""),"FAIL","PASS"))</x:f>
        <x:v>OPEN</x:v>
      </x:c>
    </x:row>
    <x:row r="337" ht="38" customHeight="1">
      <x:c r="B337" s="7" t="str">
        <x:v>NDE-TRV-PEA-C-Y2-11</x:v>
      </x:c>
      <x:c r="C337" s="7" t="str">
        <x:v>TRV-PEA-C-Y2-11</x:v>
      </x:c>
      <x:c r="D337" s="7" t="str">
        <x:v>PEA-C-Y2</x:v>
      </x:c>
      <x:c r="E337" s="7" t="str">
        <x:v>BLD-C</x:v>
      </x:c>
      <x:c r="F337" s="7" t="str">
        <x:v>BL-Y</x:v>
      </x:c>
      <x:c r="G337" s="7" t="str">
        <x:v>CS-11</x:v>
      </x:c>
      <x:c r="H337" s="10" t="str">
        <x:v>mechanism-specific production inspection</x:v>
      </x:c>
      <x:c r="I337" s="7" t="str"/>
      <x:c r="J337" s="7" t="str"/>
      <x:c r="K337" s="7" t="str"/>
      <x:c r="L337" s="7" t="str">
        <x:f>IF(K337="","OPEN",IF(OR(I337="",J337=""),"FAIL","PASS"))</x:f>
        <x:v>OPEN</x:v>
      </x:c>
    </x:row>
    <x:row r="338" ht="38" customHeight="1">
      <x:c r="B338" s="7" t="str">
        <x:v>NDE-TRV-PEA-C-Y2-12</x:v>
      </x:c>
      <x:c r="C338" s="7" t="str">
        <x:v>TRV-PEA-C-Y2-12</x:v>
      </x:c>
      <x:c r="D338" s="7" t="str">
        <x:v>PEA-C-Y2</x:v>
      </x:c>
      <x:c r="E338" s="7" t="str">
        <x:v>BLD-C</x:v>
      </x:c>
      <x:c r="F338" s="7" t="str">
        <x:v>BL-Y</x:v>
      </x:c>
      <x:c r="G338" s="7" t="str">
        <x:v>CS-12</x:v>
      </x:c>
      <x:c r="H338" s="10" t="str">
        <x:v>mechanism-specific production inspection</x:v>
      </x:c>
      <x:c r="I338" s="7" t="str"/>
      <x:c r="J338" s="7" t="str"/>
      <x:c r="K338" s="7" t="str"/>
      <x:c r="L338" s="7" t="str">
        <x:f>IF(K338="","OPEN",IF(OR(I338="",J338=""),"FAIL","PASS"))</x:f>
        <x:v>OPEN</x:v>
      </x:c>
    </x:row>
    <x:row r="339" ht="38" customHeight="1">
      <x:c r="B339" s="7" t="str">
        <x:v>NDE-TRV-PEA-C-Y2-13</x:v>
      </x:c>
      <x:c r="C339" s="7" t="str">
        <x:v>TRV-PEA-C-Y2-13</x:v>
      </x:c>
      <x:c r="D339" s="7" t="str">
        <x:v>PEA-C-Y2</x:v>
      </x:c>
      <x:c r="E339" s="7" t="str">
        <x:v>BLD-C</x:v>
      </x:c>
      <x:c r="F339" s="7" t="str">
        <x:v>BL-Y</x:v>
      </x:c>
      <x:c r="G339" s="7" t="str">
        <x:v>CS-13</x:v>
      </x:c>
      <x:c r="H339" s="10" t="str">
        <x:v>mechanism-specific production inspection</x:v>
      </x:c>
      <x:c r="I339" s="7" t="str"/>
      <x:c r="J339" s="7" t="str"/>
      <x:c r="K339" s="7" t="str"/>
      <x:c r="L339" s="7" t="str">
        <x:f>IF(K339="","OPEN",IF(OR(I339="",J339=""),"FAIL","PASS"))</x:f>
        <x:v>OPEN</x:v>
      </x:c>
    </x:row>
    <x:row r="340" ht="38" customHeight="1">
      <x:c r="B340" s="7" t="str">
        <x:v>NDE-TRV-PEA-C-Y2-14</x:v>
      </x:c>
      <x:c r="C340" s="7" t="str">
        <x:v>TRV-PEA-C-Y2-14</x:v>
      </x:c>
      <x:c r="D340" s="7" t="str">
        <x:v>PEA-C-Y2</x:v>
      </x:c>
      <x:c r="E340" s="7" t="str">
        <x:v>BLD-C</x:v>
      </x:c>
      <x:c r="F340" s="7" t="str">
        <x:v>BL-Y</x:v>
      </x:c>
      <x:c r="G340" s="7" t="str">
        <x:v>CS-14</x:v>
      </x:c>
      <x:c r="H340" s="10" t="str">
        <x:v>mechanism-specific production inspection</x:v>
      </x:c>
      <x:c r="I340" s="7" t="str"/>
      <x:c r="J340" s="7" t="str"/>
      <x:c r="K340" s="7" t="str"/>
      <x:c r="L340" s="7" t="str">
        <x:f>IF(K340="","OPEN",IF(OR(I340="",J340=""),"FAIL","PASS"))</x:f>
        <x:v>OPEN</x:v>
      </x:c>
    </x:row>
    <x:row r="341" ht="38" customHeight="1">
      <x:c r="B341" s="7" t="str">
        <x:v>NDE-TRV-PEA-C-Y2-15</x:v>
      </x:c>
      <x:c r="C341" s="7" t="str">
        <x:v>TRV-PEA-C-Y2-15</x:v>
      </x:c>
      <x:c r="D341" s="7" t="str">
        <x:v>PEA-C-Y2</x:v>
      </x:c>
      <x:c r="E341" s="7" t="str">
        <x:v>BLD-C</x:v>
      </x:c>
      <x:c r="F341" s="7" t="str">
        <x:v>BL-Y</x:v>
      </x:c>
      <x:c r="G341" s="7" t="str">
        <x:v>CS-15</x:v>
      </x:c>
      <x:c r="H341" s="10" t="str">
        <x:v>mechanism-specific production inspection</x:v>
      </x:c>
      <x:c r="I341" s="7" t="str"/>
      <x:c r="J341" s="7" t="str"/>
      <x:c r="K341" s="7" t="str"/>
      <x:c r="L341" s="7" t="str">
        <x:f>IF(K341="","OPEN",IF(OR(I341="",J341=""),"FAIL","PASS"))</x:f>
        <x:v>OPEN</x:v>
      </x:c>
    </x:row>
    <x:row r="342" ht="38" customHeight="1">
      <x:c r="B342" s="7" t="str">
        <x:v>NDE-TRV-PEA-C-Y2-16</x:v>
      </x:c>
      <x:c r="C342" s="7" t="str">
        <x:v>TRV-PEA-C-Y2-16</x:v>
      </x:c>
      <x:c r="D342" s="7" t="str">
        <x:v>PEA-C-Y2</x:v>
      </x:c>
      <x:c r="E342" s="7" t="str">
        <x:v>BLD-C</x:v>
      </x:c>
      <x:c r="F342" s="7" t="str">
        <x:v>BL-Y</x:v>
      </x:c>
      <x:c r="G342" s="7" t="str">
        <x:v>CS-16</x:v>
      </x:c>
      <x:c r="H342" s="10" t="str">
        <x:v>mechanism-specific production inspection</x:v>
      </x:c>
      <x:c r="I342" s="7" t="str"/>
      <x:c r="J342" s="7" t="str"/>
      <x:c r="K342" s="7" t="str"/>
      <x:c r="L342" s="7" t="str">
        <x:f>IF(K342="","OPEN",IF(OR(I342="",J342=""),"FAIL","PASS"))</x:f>
        <x:v>OPEN</x:v>
      </x:c>
    </x:row>
    <x:row r="343" ht="38" customHeight="1">
      <x:c r="B343" s="7" t="str">
        <x:v>NDE-TRV-PEA-C-Y2-17</x:v>
      </x:c>
      <x:c r="C343" s="7" t="str">
        <x:v>TRV-PEA-C-Y2-17</x:v>
      </x:c>
      <x:c r="D343" s="7" t="str">
        <x:v>PEA-C-Y2</x:v>
      </x:c>
      <x:c r="E343" s="7" t="str">
        <x:v>BLD-C</x:v>
      </x:c>
      <x:c r="F343" s="7" t="str">
        <x:v>BL-Y</x:v>
      </x:c>
      <x:c r="G343" s="7" t="str">
        <x:v>CS-17</x:v>
      </x:c>
      <x:c r="H343" s="10" t="str">
        <x:v>mechanism-specific production inspection</x:v>
      </x:c>
      <x:c r="I343" s="7" t="str"/>
      <x:c r="J343" s="7" t="str"/>
      <x:c r="K343" s="7" t="str"/>
      <x:c r="L343" s="7" t="str">
        <x:f>IF(K343="","OPEN",IF(OR(I343="",J343=""),"FAIL","PASS"))</x:f>
        <x:v>OPEN</x:v>
      </x:c>
    </x:row>
    <x:row r="344" ht="38" customHeight="1">
      <x:c r="B344" s="7" t="str">
        <x:v>NDE-TRV-PEA-C-Y2-18</x:v>
      </x:c>
      <x:c r="C344" s="7" t="str">
        <x:v>TRV-PEA-C-Y2-18</x:v>
      </x:c>
      <x:c r="D344" s="7" t="str">
        <x:v>PEA-C-Y2</x:v>
      </x:c>
      <x:c r="E344" s="7" t="str">
        <x:v>BLD-C</x:v>
      </x:c>
      <x:c r="F344" s="7" t="str">
        <x:v>BL-Y</x:v>
      </x:c>
      <x:c r="G344" s="7" t="str">
        <x:v>CS-18</x:v>
      </x:c>
      <x:c r="H344" s="10" t="str">
        <x:v>mechanism-specific production inspection</x:v>
      </x:c>
      <x:c r="I344" s="7" t="str"/>
      <x:c r="J344" s="7" t="str"/>
      <x:c r="K344" s="7" t="str"/>
      <x:c r="L344" s="7" t="str">
        <x:f>IF(K344="","OPEN",IF(OR(I344="",J344=""),"FAIL","PASS"))</x:f>
        <x:v>OPEN</x:v>
      </x:c>
    </x:row>
    <x:row r="345" ht="38" customHeight="1">
      <x:c r="B345" s="7" t="str">
        <x:v>NDE-TRV-PEA-C-Y2-19</x:v>
      </x:c>
      <x:c r="C345" s="7" t="str">
        <x:v>TRV-PEA-C-Y2-19</x:v>
      </x:c>
      <x:c r="D345" s="7" t="str">
        <x:v>PEA-C-Y2</x:v>
      </x:c>
      <x:c r="E345" s="7" t="str">
        <x:v>BLD-C</x:v>
      </x:c>
      <x:c r="F345" s="7" t="str">
        <x:v>BL-Y</x:v>
      </x:c>
      <x:c r="G345" s="7" t="str">
        <x:v>CS-19</x:v>
      </x:c>
      <x:c r="H345" s="10" t="str">
        <x:v>mechanism-specific production inspection</x:v>
      </x:c>
      <x:c r="I345" s="7" t="str"/>
      <x:c r="J345" s="7" t="str"/>
      <x:c r="K345" s="7" t="str"/>
      <x:c r="L345" s="7" t="str">
        <x:f>IF(K345="","OPEN",IF(OR(I345="",J345=""),"FAIL","PASS"))</x:f>
        <x:v>OPEN</x:v>
      </x:c>
    </x:row>
    <x:row r="346" ht="38" customHeight="1">
      <x:c r="B346" s="7" t="str">
        <x:v>NDE-TRV-PEA-C-Y2-20</x:v>
      </x:c>
      <x:c r="C346" s="7" t="str">
        <x:v>TRV-PEA-C-Y2-20</x:v>
      </x:c>
      <x:c r="D346" s="7" t="str">
        <x:v>PEA-C-Y2</x:v>
      </x:c>
      <x:c r="E346" s="7" t="str">
        <x:v>BLD-C</x:v>
      </x:c>
      <x:c r="F346" s="7" t="str">
        <x:v>BL-Y</x:v>
      </x:c>
      <x:c r="G346" s="7" t="str">
        <x:v>CS-20</x:v>
      </x:c>
      <x:c r="H346" s="10" t="str">
        <x:v>mechanism-specific production inspection</x:v>
      </x:c>
      <x:c r="I346" s="7" t="str"/>
      <x:c r="J346" s="7" t="str"/>
      <x:c r="K346" s="7" t="str"/>
      <x:c r="L346" s="7" t="str">
        <x:f>IF(K346="","OPEN",IF(OR(I346="",J346=""),"FAIL","PASS"))</x:f>
        <x:v>OPEN</x:v>
      </x:c>
    </x:row>
    <x:row r="347" ht="38" customHeight="1">
      <x:c r="B347" s="7" t="str">
        <x:v>NDE-TRV-PEA-C-Y3-01</x:v>
      </x:c>
      <x:c r="C347" s="7" t="str">
        <x:v>TRV-PEA-C-Y3-01</x:v>
      </x:c>
      <x:c r="D347" s="7" t="str">
        <x:v>PEA-C-Y3</x:v>
      </x:c>
      <x:c r="E347" s="7" t="str">
        <x:v>BLD-C</x:v>
      </x:c>
      <x:c r="F347" s="7" t="str">
        <x:v>BL-Y</x:v>
      </x:c>
      <x:c r="G347" s="7" t="str">
        <x:v>CS-01</x:v>
      </x:c>
      <x:c r="H347" s="10" t="str">
        <x:v>mechanism-specific production inspection</x:v>
      </x:c>
      <x:c r="I347" s="7" t="str"/>
      <x:c r="J347" s="7" t="str"/>
      <x:c r="K347" s="7" t="str"/>
      <x:c r="L347" s="7" t="str">
        <x:f>IF(K347="","OPEN",IF(OR(I347="",J347=""),"FAIL","PASS"))</x:f>
        <x:v>OPEN</x:v>
      </x:c>
    </x:row>
    <x:row r="348" ht="38" customHeight="1">
      <x:c r="B348" s="7" t="str">
        <x:v>NDE-TRV-PEA-C-Y3-02</x:v>
      </x:c>
      <x:c r="C348" s="7" t="str">
        <x:v>TRV-PEA-C-Y3-02</x:v>
      </x:c>
      <x:c r="D348" s="7" t="str">
        <x:v>PEA-C-Y3</x:v>
      </x:c>
      <x:c r="E348" s="7" t="str">
        <x:v>BLD-C</x:v>
      </x:c>
      <x:c r="F348" s="7" t="str">
        <x:v>BL-Y</x:v>
      </x:c>
      <x:c r="G348" s="7" t="str">
        <x:v>CS-02</x:v>
      </x:c>
      <x:c r="H348" s="10" t="str">
        <x:v>mechanism-specific production inspection</x:v>
      </x:c>
      <x:c r="I348" s="7" t="str"/>
      <x:c r="J348" s="7" t="str"/>
      <x:c r="K348" s="7" t="str"/>
      <x:c r="L348" s="7" t="str">
        <x:f>IF(K348="","OPEN",IF(OR(I348="",J348=""),"FAIL","PASS"))</x:f>
        <x:v>OPEN</x:v>
      </x:c>
    </x:row>
    <x:row r="349" ht="38" customHeight="1">
      <x:c r="B349" s="7" t="str">
        <x:v>NDE-TRV-PEA-C-Y3-03</x:v>
      </x:c>
      <x:c r="C349" s="7" t="str">
        <x:v>TRV-PEA-C-Y3-03</x:v>
      </x:c>
      <x:c r="D349" s="7" t="str">
        <x:v>PEA-C-Y3</x:v>
      </x:c>
      <x:c r="E349" s="7" t="str">
        <x:v>BLD-C</x:v>
      </x:c>
      <x:c r="F349" s="7" t="str">
        <x:v>BL-Y</x:v>
      </x:c>
      <x:c r="G349" s="7" t="str">
        <x:v>CS-03</x:v>
      </x:c>
      <x:c r="H349" s="10" t="str">
        <x:v>mechanism-specific production inspection</x:v>
      </x:c>
      <x:c r="I349" s="7" t="str"/>
      <x:c r="J349" s="7" t="str"/>
      <x:c r="K349" s="7" t="str"/>
      <x:c r="L349" s="7" t="str">
        <x:f>IF(K349="","OPEN",IF(OR(I349="",J349=""),"FAIL","PASS"))</x:f>
        <x:v>OPEN</x:v>
      </x:c>
    </x:row>
    <x:row r="350" ht="38" customHeight="1">
      <x:c r="B350" s="7" t="str">
        <x:v>NDE-TRV-PEA-C-Y3-04</x:v>
      </x:c>
      <x:c r="C350" s="7" t="str">
        <x:v>TRV-PEA-C-Y3-04</x:v>
      </x:c>
      <x:c r="D350" s="7" t="str">
        <x:v>PEA-C-Y3</x:v>
      </x:c>
      <x:c r="E350" s="7" t="str">
        <x:v>BLD-C</x:v>
      </x:c>
      <x:c r="F350" s="7" t="str">
        <x:v>BL-Y</x:v>
      </x:c>
      <x:c r="G350" s="7" t="str">
        <x:v>CS-04</x:v>
      </x:c>
      <x:c r="H350" s="10" t="str">
        <x:v>mechanism-specific production inspection</x:v>
      </x:c>
      <x:c r="I350" s="7" t="str"/>
      <x:c r="J350" s="7" t="str"/>
      <x:c r="K350" s="7" t="str"/>
      <x:c r="L350" s="7" t="str">
        <x:f>IF(K350="","OPEN",IF(OR(I350="",J350=""),"FAIL","PASS"))</x:f>
        <x:v>OPEN</x:v>
      </x:c>
    </x:row>
    <x:row r="351" ht="38" customHeight="1">
      <x:c r="B351" s="7" t="str">
        <x:v>NDE-TRV-PEA-C-Y3-05</x:v>
      </x:c>
      <x:c r="C351" s="7" t="str">
        <x:v>TRV-PEA-C-Y3-05</x:v>
      </x:c>
      <x:c r="D351" s="7" t="str">
        <x:v>PEA-C-Y3</x:v>
      </x:c>
      <x:c r="E351" s="7" t="str">
        <x:v>BLD-C</x:v>
      </x:c>
      <x:c r="F351" s="7" t="str">
        <x:v>BL-Y</x:v>
      </x:c>
      <x:c r="G351" s="7" t="str">
        <x:v>CS-05</x:v>
      </x:c>
      <x:c r="H351" s="10" t="str">
        <x:v>mechanism-specific production inspection</x:v>
      </x:c>
      <x:c r="I351" s="7" t="str"/>
      <x:c r="J351" s="7" t="str"/>
      <x:c r="K351" s="7" t="str"/>
      <x:c r="L351" s="7" t="str">
        <x:f>IF(K351="","OPEN",IF(OR(I351="",J351=""),"FAIL","PASS"))</x:f>
        <x:v>OPEN</x:v>
      </x:c>
    </x:row>
    <x:row r="352" ht="38" customHeight="1">
      <x:c r="B352" s="7" t="str">
        <x:v>NDE-TRV-PEA-C-Y3-06</x:v>
      </x:c>
      <x:c r="C352" s="7" t="str">
        <x:v>TRV-PEA-C-Y3-06</x:v>
      </x:c>
      <x:c r="D352" s="7" t="str">
        <x:v>PEA-C-Y3</x:v>
      </x:c>
      <x:c r="E352" s="7" t="str">
        <x:v>BLD-C</x:v>
      </x:c>
      <x:c r="F352" s="7" t="str">
        <x:v>BL-Y</x:v>
      </x:c>
      <x:c r="G352" s="7" t="str">
        <x:v>CS-06</x:v>
      </x:c>
      <x:c r="H352" s="10" t="str">
        <x:v>mechanism-specific production inspection</x:v>
      </x:c>
      <x:c r="I352" s="7" t="str"/>
      <x:c r="J352" s="7" t="str"/>
      <x:c r="K352" s="7" t="str"/>
      <x:c r="L352" s="7" t="str">
        <x:f>IF(K352="","OPEN",IF(OR(I352="",J352=""),"FAIL","PASS"))</x:f>
        <x:v>OPEN</x:v>
      </x:c>
    </x:row>
    <x:row r="353" ht="38" customHeight="1">
      <x:c r="B353" s="7" t="str">
        <x:v>NDE-TRV-PEA-C-Y3-07</x:v>
      </x:c>
      <x:c r="C353" s="7" t="str">
        <x:v>TRV-PEA-C-Y3-07</x:v>
      </x:c>
      <x:c r="D353" s="7" t="str">
        <x:v>PEA-C-Y3</x:v>
      </x:c>
      <x:c r="E353" s="7" t="str">
        <x:v>BLD-C</x:v>
      </x:c>
      <x:c r="F353" s="7" t="str">
        <x:v>BL-Y</x:v>
      </x:c>
      <x:c r="G353" s="7" t="str">
        <x:v>CS-07</x:v>
      </x:c>
      <x:c r="H353" s="10" t="str">
        <x:v>mechanism-specific production inspection</x:v>
      </x:c>
      <x:c r="I353" s="7" t="str"/>
      <x:c r="J353" s="7" t="str"/>
      <x:c r="K353" s="7" t="str"/>
      <x:c r="L353" s="7" t="str">
        <x:f>IF(K353="","OPEN",IF(OR(I353="",J353=""),"FAIL","PASS"))</x:f>
        <x:v>OPEN</x:v>
      </x:c>
    </x:row>
    <x:row r="354" ht="38" customHeight="1">
      <x:c r="B354" s="7" t="str">
        <x:v>NDE-TRV-PEA-C-Y3-08</x:v>
      </x:c>
      <x:c r="C354" s="7" t="str">
        <x:v>TRV-PEA-C-Y3-08</x:v>
      </x:c>
      <x:c r="D354" s="7" t="str">
        <x:v>PEA-C-Y3</x:v>
      </x:c>
      <x:c r="E354" s="7" t="str">
        <x:v>BLD-C</x:v>
      </x:c>
      <x:c r="F354" s="7" t="str">
        <x:v>BL-Y</x:v>
      </x:c>
      <x:c r="G354" s="7" t="str">
        <x:v>CS-08</x:v>
      </x:c>
      <x:c r="H354" s="10" t="str">
        <x:v>mechanism-specific production inspection</x:v>
      </x:c>
      <x:c r="I354" s="7" t="str"/>
      <x:c r="J354" s="7" t="str"/>
      <x:c r="K354" s="7" t="str"/>
      <x:c r="L354" s="7" t="str">
        <x:f>IF(K354="","OPEN",IF(OR(I354="",J354=""),"FAIL","PASS"))</x:f>
        <x:v>OPEN</x:v>
      </x:c>
    </x:row>
    <x:row r="355" ht="38" customHeight="1">
      <x:c r="B355" s="7" t="str">
        <x:v>NDE-TRV-PEA-C-Y3-09</x:v>
      </x:c>
      <x:c r="C355" s="7" t="str">
        <x:v>TRV-PEA-C-Y3-09</x:v>
      </x:c>
      <x:c r="D355" s="7" t="str">
        <x:v>PEA-C-Y3</x:v>
      </x:c>
      <x:c r="E355" s="7" t="str">
        <x:v>BLD-C</x:v>
      </x:c>
      <x:c r="F355" s="7" t="str">
        <x:v>BL-Y</x:v>
      </x:c>
      <x:c r="G355" s="7" t="str">
        <x:v>CS-09</x:v>
      </x:c>
      <x:c r="H355" s="10" t="str">
        <x:v>mechanism-specific production inspection</x:v>
      </x:c>
      <x:c r="I355" s="7" t="str"/>
      <x:c r="J355" s="7" t="str"/>
      <x:c r="K355" s="7" t="str"/>
      <x:c r="L355" s="7" t="str">
        <x:f>IF(K355="","OPEN",IF(OR(I355="",J355=""),"FAIL","PASS"))</x:f>
        <x:v>OPEN</x:v>
      </x:c>
    </x:row>
    <x:row r="356" ht="38" customHeight="1">
      <x:c r="B356" s="7" t="str">
        <x:v>NDE-TRV-PEA-C-Y3-10</x:v>
      </x:c>
      <x:c r="C356" s="7" t="str">
        <x:v>TRV-PEA-C-Y3-10</x:v>
      </x:c>
      <x:c r="D356" s="7" t="str">
        <x:v>PEA-C-Y3</x:v>
      </x:c>
      <x:c r="E356" s="7" t="str">
        <x:v>BLD-C</x:v>
      </x:c>
      <x:c r="F356" s="7" t="str">
        <x:v>BL-Y</x:v>
      </x:c>
      <x:c r="G356" s="7" t="str">
        <x:v>CS-10</x:v>
      </x:c>
      <x:c r="H356" s="10" t="str">
        <x:v>mechanism-specific production inspection</x:v>
      </x:c>
      <x:c r="I356" s="7" t="str"/>
      <x:c r="J356" s="7" t="str"/>
      <x:c r="K356" s="7" t="str"/>
      <x:c r="L356" s="7" t="str">
        <x:f>IF(K356="","OPEN",IF(OR(I356="",J356=""),"FAIL","PASS"))</x:f>
        <x:v>OPEN</x:v>
      </x:c>
    </x:row>
    <x:row r="357" ht="38" customHeight="1">
      <x:c r="B357" s="7" t="str">
        <x:v>NDE-TRV-PEA-C-Y3-11</x:v>
      </x:c>
      <x:c r="C357" s="7" t="str">
        <x:v>TRV-PEA-C-Y3-11</x:v>
      </x:c>
      <x:c r="D357" s="7" t="str">
        <x:v>PEA-C-Y3</x:v>
      </x:c>
      <x:c r="E357" s="7" t="str">
        <x:v>BLD-C</x:v>
      </x:c>
      <x:c r="F357" s="7" t="str">
        <x:v>BL-Y</x:v>
      </x:c>
      <x:c r="G357" s="7" t="str">
        <x:v>CS-11</x:v>
      </x:c>
      <x:c r="H357" s="10" t="str">
        <x:v>mechanism-specific production inspection</x:v>
      </x:c>
      <x:c r="I357" s="7" t="str"/>
      <x:c r="J357" s="7" t="str"/>
      <x:c r="K357" s="7" t="str"/>
      <x:c r="L357" s="7" t="str">
        <x:f>IF(K357="","OPEN",IF(OR(I357="",J357=""),"FAIL","PASS"))</x:f>
        <x:v>OPEN</x:v>
      </x:c>
    </x:row>
    <x:row r="358" ht="38" customHeight="1">
      <x:c r="B358" s="7" t="str">
        <x:v>NDE-TRV-PEA-C-Y3-12</x:v>
      </x:c>
      <x:c r="C358" s="7" t="str">
        <x:v>TRV-PEA-C-Y3-12</x:v>
      </x:c>
      <x:c r="D358" s="7" t="str">
        <x:v>PEA-C-Y3</x:v>
      </x:c>
      <x:c r="E358" s="7" t="str">
        <x:v>BLD-C</x:v>
      </x:c>
      <x:c r="F358" s="7" t="str">
        <x:v>BL-Y</x:v>
      </x:c>
      <x:c r="G358" s="7" t="str">
        <x:v>CS-12</x:v>
      </x:c>
      <x:c r="H358" s="10" t="str">
        <x:v>mechanism-specific production inspection</x:v>
      </x:c>
      <x:c r="I358" s="7" t="str"/>
      <x:c r="J358" s="7" t="str"/>
      <x:c r="K358" s="7" t="str"/>
      <x:c r="L358" s="7" t="str">
        <x:f>IF(K358="","OPEN",IF(OR(I358="",J358=""),"FAIL","PASS"))</x:f>
        <x:v>OPEN</x:v>
      </x:c>
    </x:row>
    <x:row r="359" ht="38" customHeight="1">
      <x:c r="B359" s="7" t="str">
        <x:v>NDE-TRV-PEA-C-Y3-13</x:v>
      </x:c>
      <x:c r="C359" s="7" t="str">
        <x:v>TRV-PEA-C-Y3-13</x:v>
      </x:c>
      <x:c r="D359" s="7" t="str">
        <x:v>PEA-C-Y3</x:v>
      </x:c>
      <x:c r="E359" s="7" t="str">
        <x:v>BLD-C</x:v>
      </x:c>
      <x:c r="F359" s="7" t="str">
        <x:v>BL-Y</x:v>
      </x:c>
      <x:c r="G359" s="7" t="str">
        <x:v>CS-13</x:v>
      </x:c>
      <x:c r="H359" s="10" t="str">
        <x:v>mechanism-specific production inspection</x:v>
      </x:c>
      <x:c r="I359" s="7" t="str"/>
      <x:c r="J359" s="7" t="str"/>
      <x:c r="K359" s="7" t="str"/>
      <x:c r="L359" s="7" t="str">
        <x:f>IF(K359="","OPEN",IF(OR(I359="",J359=""),"FAIL","PASS"))</x:f>
        <x:v>OPEN</x:v>
      </x:c>
    </x:row>
    <x:row r="360" ht="38" customHeight="1">
      <x:c r="B360" s="7" t="str">
        <x:v>NDE-TRV-PEA-C-Y3-14</x:v>
      </x:c>
      <x:c r="C360" s="7" t="str">
        <x:v>TRV-PEA-C-Y3-14</x:v>
      </x:c>
      <x:c r="D360" s="7" t="str">
        <x:v>PEA-C-Y3</x:v>
      </x:c>
      <x:c r="E360" s="7" t="str">
        <x:v>BLD-C</x:v>
      </x:c>
      <x:c r="F360" s="7" t="str">
        <x:v>BL-Y</x:v>
      </x:c>
      <x:c r="G360" s="7" t="str">
        <x:v>CS-14</x:v>
      </x:c>
      <x:c r="H360" s="10" t="str">
        <x:v>mechanism-specific production inspection</x:v>
      </x:c>
      <x:c r="I360" s="7" t="str"/>
      <x:c r="J360" s="7" t="str"/>
      <x:c r="K360" s="7" t="str"/>
      <x:c r="L360" s="7" t="str">
        <x:f>IF(K360="","OPEN",IF(OR(I360="",J360=""),"FAIL","PASS"))</x:f>
        <x:v>OPEN</x:v>
      </x:c>
    </x:row>
    <x:row r="361" ht="38" customHeight="1">
      <x:c r="B361" s="7" t="str">
        <x:v>NDE-TRV-PEA-C-Y3-15</x:v>
      </x:c>
      <x:c r="C361" s="7" t="str">
        <x:v>TRV-PEA-C-Y3-15</x:v>
      </x:c>
      <x:c r="D361" s="7" t="str">
        <x:v>PEA-C-Y3</x:v>
      </x:c>
      <x:c r="E361" s="7" t="str">
        <x:v>BLD-C</x:v>
      </x:c>
      <x:c r="F361" s="7" t="str">
        <x:v>BL-Y</x:v>
      </x:c>
      <x:c r="G361" s="7" t="str">
        <x:v>CS-15</x:v>
      </x:c>
      <x:c r="H361" s="10" t="str">
        <x:v>mechanism-specific production inspection</x:v>
      </x:c>
      <x:c r="I361" s="7" t="str"/>
      <x:c r="J361" s="7" t="str"/>
      <x:c r="K361" s="7" t="str"/>
      <x:c r="L361" s="7" t="str">
        <x:f>IF(K361="","OPEN",IF(OR(I361="",J361=""),"FAIL","PASS"))</x:f>
        <x:v>OPEN</x:v>
      </x:c>
    </x:row>
    <x:row r="362" ht="38" customHeight="1">
      <x:c r="B362" s="7" t="str">
        <x:v>NDE-TRV-PEA-C-Y3-16</x:v>
      </x:c>
      <x:c r="C362" s="7" t="str">
        <x:v>TRV-PEA-C-Y3-16</x:v>
      </x:c>
      <x:c r="D362" s="7" t="str">
        <x:v>PEA-C-Y3</x:v>
      </x:c>
      <x:c r="E362" s="7" t="str">
        <x:v>BLD-C</x:v>
      </x:c>
      <x:c r="F362" s="7" t="str">
        <x:v>BL-Y</x:v>
      </x:c>
      <x:c r="G362" s="7" t="str">
        <x:v>CS-16</x:v>
      </x:c>
      <x:c r="H362" s="10" t="str">
        <x:v>mechanism-specific production inspection</x:v>
      </x:c>
      <x:c r="I362" s="7" t="str"/>
      <x:c r="J362" s="7" t="str"/>
      <x:c r="K362" s="7" t="str"/>
      <x:c r="L362" s="7" t="str">
        <x:f>IF(K362="","OPEN",IF(OR(I362="",J362=""),"FAIL","PASS"))</x:f>
        <x:v>OPEN</x:v>
      </x:c>
    </x:row>
    <x:row r="363" ht="38" customHeight="1">
      <x:c r="B363" s="7" t="str">
        <x:v>NDE-TRV-PEA-C-Y3-17</x:v>
      </x:c>
      <x:c r="C363" s="7" t="str">
        <x:v>TRV-PEA-C-Y3-17</x:v>
      </x:c>
      <x:c r="D363" s="7" t="str">
        <x:v>PEA-C-Y3</x:v>
      </x:c>
      <x:c r="E363" s="7" t="str">
        <x:v>BLD-C</x:v>
      </x:c>
      <x:c r="F363" s="7" t="str">
        <x:v>BL-Y</x:v>
      </x:c>
      <x:c r="G363" s="7" t="str">
        <x:v>CS-17</x:v>
      </x:c>
      <x:c r="H363" s="10" t="str">
        <x:v>mechanism-specific production inspection</x:v>
      </x:c>
      <x:c r="I363" s="7" t="str"/>
      <x:c r="J363" s="7" t="str"/>
      <x:c r="K363" s="7" t="str"/>
      <x:c r="L363" s="7" t="str">
        <x:f>IF(K363="","OPEN",IF(OR(I363="",J363=""),"FAIL","PASS"))</x:f>
        <x:v>OPEN</x:v>
      </x:c>
    </x:row>
    <x:row r="364" ht="38" customHeight="1">
      <x:c r="B364" s="7" t="str">
        <x:v>NDE-TRV-PEA-C-Y3-18</x:v>
      </x:c>
      <x:c r="C364" s="7" t="str">
        <x:v>TRV-PEA-C-Y3-18</x:v>
      </x:c>
      <x:c r="D364" s="7" t="str">
        <x:v>PEA-C-Y3</x:v>
      </x:c>
      <x:c r="E364" s="7" t="str">
        <x:v>BLD-C</x:v>
      </x:c>
      <x:c r="F364" s="7" t="str">
        <x:v>BL-Y</x:v>
      </x:c>
      <x:c r="G364" s="7" t="str">
        <x:v>CS-18</x:v>
      </x:c>
      <x:c r="H364" s="10" t="str">
        <x:v>mechanism-specific production inspection</x:v>
      </x:c>
      <x:c r="I364" s="7" t="str"/>
      <x:c r="J364" s="7" t="str"/>
      <x:c r="K364" s="7" t="str"/>
      <x:c r="L364" s="7" t="str">
        <x:f>IF(K364="","OPEN",IF(OR(I364="",J364=""),"FAIL","PASS"))</x:f>
        <x:v>OPEN</x:v>
      </x:c>
    </x:row>
    <x:row r="365" ht="38" customHeight="1">
      <x:c r="B365" s="7" t="str">
        <x:v>NDE-TRV-PEA-C-Y3-19</x:v>
      </x:c>
      <x:c r="C365" s="7" t="str">
        <x:v>TRV-PEA-C-Y3-19</x:v>
      </x:c>
      <x:c r="D365" s="7" t="str">
        <x:v>PEA-C-Y3</x:v>
      </x:c>
      <x:c r="E365" s="7" t="str">
        <x:v>BLD-C</x:v>
      </x:c>
      <x:c r="F365" s="7" t="str">
        <x:v>BL-Y</x:v>
      </x:c>
      <x:c r="G365" s="7" t="str">
        <x:v>CS-19</x:v>
      </x:c>
      <x:c r="H365" s="10" t="str">
        <x:v>mechanism-specific production inspection</x:v>
      </x:c>
      <x:c r="I365" s="7" t="str"/>
      <x:c r="J365" s="7" t="str"/>
      <x:c r="K365" s="7" t="str"/>
      <x:c r="L365" s="7" t="str">
        <x:f>IF(K365="","OPEN",IF(OR(I365="",J365=""),"FAIL","PASS"))</x:f>
        <x:v>OPEN</x:v>
      </x:c>
    </x:row>
    <x:row r="366" ht="38" customHeight="1">
      <x:c r="B366" s="7" t="str">
        <x:v>NDE-TRV-PEA-C-Y3-20</x:v>
      </x:c>
      <x:c r="C366" s="7" t="str">
        <x:v>TRV-PEA-C-Y3-20</x:v>
      </x:c>
      <x:c r="D366" s="7" t="str">
        <x:v>PEA-C-Y3</x:v>
      </x:c>
      <x:c r="E366" s="7" t="str">
        <x:v>BLD-C</x:v>
      </x:c>
      <x:c r="F366" s="7" t="str">
        <x:v>BL-Y</x:v>
      </x:c>
      <x:c r="G366" s="7" t="str">
        <x:v>CS-20</x:v>
      </x:c>
      <x:c r="H366" s="10" t="str">
        <x:v>mechanism-specific production inspection</x:v>
      </x:c>
      <x:c r="I366" s="7" t="str"/>
      <x:c r="J366" s="7" t="str"/>
      <x:c r="K366" s="7" t="str"/>
      <x:c r="L366" s="7" t="str">
        <x:f>IF(K366="","OPEN",IF(OR(I366="",J366=""),"FAIL","PASS"))</x:f>
        <x:v>OPEN</x:v>
      </x:c>
    </x:row>
  </x:sheetData>
  <x:conditionalFormatting sqref="L7:L366">
    <x:cfRule type="containsText" dxfId="72" priority="1" operator="containsText" text="FAIL"/>
    <x:cfRule type="containsText" dxfId="73" priority="2" operator="containsText" text="BLOCKED"/>
    <x:cfRule type="containsText" dxfId="74" priority="3" operator="containsText" text="OPEN"/>
    <x:cfRule type="containsText" dxfId="75" priority="4" operator="containsText" text="DORMANT"/>
    <x:cfRule type="containsText" dxfId="76" priority="5" operator="containsText" text="REVIEW"/>
    <x:cfRule type="containsText" dxfId="77" priority="6" operator="containsText" text="PASS"/>
  </x:conditionalFormatting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25" hidden="0" customWidth="1"/>
    <x:col min="3" max="3" width="17" hidden="0" customWidth="1"/>
    <x:col min="4" max="4" width="14" hidden="0" customWidth="1"/>
    <x:col min="5" max="5" width="13" hidden="0" customWidth="1"/>
    <x:col min="6" max="6" width="12" hidden="0" customWidth="1"/>
    <x:col min="7" max="7" width="55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21" hidden="0" customWidth="1"/>
    <x:col min="13" max="13" width="14" hidden="0" customWidth="1"/>
  </x:cols>
  <x:sheetData>
    <x:row r="2">
      <x:c r="B2" s="1" t="str">
        <x:v>Ninety article-joint records</x:v>
      </x:c>
    </x:row>
    <x:row r="3">
      <x:c r="B3" s="2" t="str">
        <x:v>The fused and serviceable lineages retain unlike governing variables under the same public geometry.</x:v>
      </x:c>
    </x:row>
    <x:row r="6" ht="24" customHeight="1">
      <x:c r="B6" s="6" t="str">
        <x:v>Joint</x:v>
      </x:c>
      <x:c r="C6" s="6" t="str">
        <x:v>Article</x:v>
      </x:c>
      <x:c r="D6" s="6" t="str">
        <x:v>Builder</x:v>
      </x:c>
      <x:c r="E6" s="6" t="str">
        <x:v>Lineage</x:v>
      </x:c>
      <x:c r="F6" s="6" t="str">
        <x:v>Station</x:v>
      </x:c>
      <x:c r="G6" s="6" t="str">
        <x:v>Governing variables</x:v>
      </x:c>
      <x:c r="H6" s="6" t="str">
        <x:v>Observed 1</x:v>
      </x:c>
      <x:c r="I6" s="6" t="str">
        <x:v>Observed 2</x:v>
      </x:c>
      <x:c r="J6" s="6" t="str">
        <x:v>Observed 3</x:v>
      </x:c>
      <x:c r="K6" s="6" t="str">
        <x:v>Observed 4</x:v>
      </x:c>
      <x:c r="L6" s="6" t="str">
        <x:v>Accepted UTC</x:v>
      </x:c>
      <x:c r="M6" s="6" t="str">
        <x:v>State</x:v>
      </x:c>
    </x:row>
    <x:row r="7" ht="38" customHeight="1">
      <x:c r="B7" s="7" t="str">
        <x:v>JNT-PEA-A-X1-1</x:v>
      </x:c>
      <x:c r="C7" s="7" t="str">
        <x:v>PEA-A-X1</x:v>
      </x:c>
      <x:c r="D7" s="7" t="str">
        <x:v>BLD-A</x:v>
      </x:c>
      <x:c r="E7" s="7" t="str">
        <x:v>BL-X</x:v>
      </x:c>
      <x:c r="F7" s="7" t="str">
        <x:v>J1</x:v>
      </x:c>
      <x:c r="G7" s="10" t="str">
        <x:v>purge / heat / mismatch / gap</x:v>
      </x:c>
      <x:c r="H7" s="7" t="str"/>
      <x:c r="I7" s="7" t="str"/>
      <x:c r="J7" s="7" t="str"/>
      <x:c r="K7" s="7" t="str"/>
      <x:c r="L7" s="7" t="str"/>
      <x:c r="M7" s="7" t="str">
        <x:f>IF(L7="","OPEN",IF(OR(H7="",I7="",J7="",K7=""),"FAIL","PASS"))</x:f>
        <x:v>OPEN</x:v>
      </x:c>
    </x:row>
    <x:row r="8" ht="38" customHeight="1">
      <x:c r="B8" s="7" t="str">
        <x:v>JNT-PEA-A-X1-2</x:v>
      </x:c>
      <x:c r="C8" s="7" t="str">
        <x:v>PEA-A-X1</x:v>
      </x:c>
      <x:c r="D8" s="7" t="str">
        <x:v>BLD-A</x:v>
      </x:c>
      <x:c r="E8" s="7" t="str">
        <x:v>BL-X</x:v>
      </x:c>
      <x:c r="F8" s="7" t="str">
        <x:v>J2</x:v>
      </x:c>
      <x:c r="G8" s="10" t="str">
        <x:v>purge / heat / mismatch / gap</x:v>
      </x:c>
      <x:c r="H8" s="7" t="str"/>
      <x:c r="I8" s="7" t="str"/>
      <x:c r="J8" s="7" t="str"/>
      <x:c r="K8" s="7" t="str"/>
      <x:c r="L8" s="7" t="str"/>
      <x:c r="M8" s="7" t="str">
        <x:f>IF(L8="","OPEN",IF(OR(H8="",I8="",J8="",K8=""),"FAIL","PASS"))</x:f>
        <x:v>OPEN</x:v>
      </x:c>
    </x:row>
    <x:row r="9" ht="38" customHeight="1">
      <x:c r="B9" s="7" t="str">
        <x:v>JNT-PEA-A-X1-3</x:v>
      </x:c>
      <x:c r="C9" s="7" t="str">
        <x:v>PEA-A-X1</x:v>
      </x:c>
      <x:c r="D9" s="7" t="str">
        <x:v>BLD-A</x:v>
      </x:c>
      <x:c r="E9" s="7" t="str">
        <x:v>BL-X</x:v>
      </x:c>
      <x:c r="F9" s="7" t="str">
        <x:v>J3</x:v>
      </x:c>
      <x:c r="G9" s="10" t="str">
        <x:v>purge / heat / mismatch / gap</x:v>
      </x:c>
      <x:c r="H9" s="7" t="str"/>
      <x:c r="I9" s="7" t="str"/>
      <x:c r="J9" s="7" t="str"/>
      <x:c r="K9" s="7" t="str"/>
      <x:c r="L9" s="7" t="str"/>
      <x:c r="M9" s="7" t="str">
        <x:f>IF(L9="","OPEN",IF(OR(H9="",I9="",J9="",K9=""),"FAIL","PASS"))</x:f>
        <x:v>OPEN</x:v>
      </x:c>
    </x:row>
    <x:row r="10" ht="38" customHeight="1">
      <x:c r="B10" s="7" t="str">
        <x:v>JNT-PEA-A-X1-4</x:v>
      </x:c>
      <x:c r="C10" s="7" t="str">
        <x:v>PEA-A-X1</x:v>
      </x:c>
      <x:c r="D10" s="7" t="str">
        <x:v>BLD-A</x:v>
      </x:c>
      <x:c r="E10" s="7" t="str">
        <x:v>BL-X</x:v>
      </x:c>
      <x:c r="F10" s="7" t="str">
        <x:v>J4</x:v>
      </x:c>
      <x:c r="G10" s="10" t="str">
        <x:v>purge / heat / mismatch / gap</x:v>
      </x:c>
      <x:c r="H10" s="7" t="str"/>
      <x:c r="I10" s="7" t="str"/>
      <x:c r="J10" s="7" t="str"/>
      <x:c r="K10" s="7" t="str"/>
      <x:c r="L10" s="7" t="str"/>
      <x:c r="M10" s="7" t="str">
        <x:f>IF(L10="","OPEN",IF(OR(H10="",I10="",J10="",K10=""),"FAIL","PASS"))</x:f>
        <x:v>OPEN</x:v>
      </x:c>
    </x:row>
    <x:row r="11" ht="38" customHeight="1">
      <x:c r="B11" s="7" t="str">
        <x:v>JNT-PEA-A-X1-5</x:v>
      </x:c>
      <x:c r="C11" s="7" t="str">
        <x:v>PEA-A-X1</x:v>
      </x:c>
      <x:c r="D11" s="7" t="str">
        <x:v>BLD-A</x:v>
      </x:c>
      <x:c r="E11" s="7" t="str">
        <x:v>BL-X</x:v>
      </x:c>
      <x:c r="F11" s="7" t="str">
        <x:v>J5</x:v>
      </x:c>
      <x:c r="G11" s="10" t="str">
        <x:v>purge / heat / mismatch / gap</x:v>
      </x:c>
      <x:c r="H11" s="7" t="str"/>
      <x:c r="I11" s="7" t="str"/>
      <x:c r="J11" s="7" t="str"/>
      <x:c r="K11" s="7" t="str"/>
      <x:c r="L11" s="7" t="str"/>
      <x:c r="M11" s="7" t="str">
        <x:f>IF(L11="","OPEN",IF(OR(H11="",I11="",J11="",K11=""),"FAIL","PASS"))</x:f>
        <x:v>OPEN</x:v>
      </x:c>
    </x:row>
    <x:row r="12" ht="38" customHeight="1">
      <x:c r="B12" s="7" t="str">
        <x:v>JNT-PEA-A-X2-1</x:v>
      </x:c>
      <x:c r="C12" s="7" t="str">
        <x:v>PEA-A-X2</x:v>
      </x:c>
      <x:c r="D12" s="7" t="str">
        <x:v>BLD-A</x:v>
      </x:c>
      <x:c r="E12" s="7" t="str">
        <x:v>BL-X</x:v>
      </x:c>
      <x:c r="F12" s="7" t="str">
        <x:v>J1</x:v>
      </x:c>
      <x:c r="G12" s="10" t="str">
        <x:v>purge / heat / mismatch / gap</x:v>
      </x:c>
      <x:c r="H12" s="7" t="str"/>
      <x:c r="I12" s="7" t="str"/>
      <x:c r="J12" s="7" t="str"/>
      <x:c r="K12" s="7" t="str"/>
      <x:c r="L12" s="7" t="str"/>
      <x:c r="M12" s="7" t="str">
        <x:f>IF(L12="","OPEN",IF(OR(H12="",I12="",J12="",K12=""),"FAIL","PASS"))</x:f>
        <x:v>OPEN</x:v>
      </x:c>
    </x:row>
    <x:row r="13" ht="38" customHeight="1">
      <x:c r="B13" s="7" t="str">
        <x:v>JNT-PEA-A-X2-2</x:v>
      </x:c>
      <x:c r="C13" s="7" t="str">
        <x:v>PEA-A-X2</x:v>
      </x:c>
      <x:c r="D13" s="7" t="str">
        <x:v>BLD-A</x:v>
      </x:c>
      <x:c r="E13" s="7" t="str">
        <x:v>BL-X</x:v>
      </x:c>
      <x:c r="F13" s="7" t="str">
        <x:v>J2</x:v>
      </x:c>
      <x:c r="G13" s="10" t="str">
        <x:v>purge / heat / mismatch / gap</x:v>
      </x:c>
      <x:c r="H13" s="7" t="str"/>
      <x:c r="I13" s="7" t="str"/>
      <x:c r="J13" s="7" t="str"/>
      <x:c r="K13" s="7" t="str"/>
      <x:c r="L13" s="7" t="str"/>
      <x:c r="M13" s="7" t="str">
        <x:f>IF(L13="","OPEN",IF(OR(H13="",I13="",J13="",K13=""),"FAIL","PASS"))</x:f>
        <x:v>OPEN</x:v>
      </x:c>
    </x:row>
    <x:row r="14" ht="38" customHeight="1">
      <x:c r="B14" s="7" t="str">
        <x:v>JNT-PEA-A-X2-3</x:v>
      </x:c>
      <x:c r="C14" s="7" t="str">
        <x:v>PEA-A-X2</x:v>
      </x:c>
      <x:c r="D14" s="7" t="str">
        <x:v>BLD-A</x:v>
      </x:c>
      <x:c r="E14" s="7" t="str">
        <x:v>BL-X</x:v>
      </x:c>
      <x:c r="F14" s="7" t="str">
        <x:v>J3</x:v>
      </x:c>
      <x:c r="G14" s="10" t="str">
        <x:v>purge / heat / mismatch / gap</x:v>
      </x:c>
      <x:c r="H14" s="7" t="str"/>
      <x:c r="I14" s="7" t="str"/>
      <x:c r="J14" s="7" t="str"/>
      <x:c r="K14" s="7" t="str"/>
      <x:c r="L14" s="7" t="str"/>
      <x:c r="M14" s="7" t="str">
        <x:f>IF(L14="","OPEN",IF(OR(H14="",I14="",J14="",K14=""),"FAIL","PASS"))</x:f>
        <x:v>OPEN</x:v>
      </x:c>
    </x:row>
    <x:row r="15" ht="38" customHeight="1">
      <x:c r="B15" s="7" t="str">
        <x:v>JNT-PEA-A-X2-4</x:v>
      </x:c>
      <x:c r="C15" s="7" t="str">
        <x:v>PEA-A-X2</x:v>
      </x:c>
      <x:c r="D15" s="7" t="str">
        <x:v>BLD-A</x:v>
      </x:c>
      <x:c r="E15" s="7" t="str">
        <x:v>BL-X</x:v>
      </x:c>
      <x:c r="F15" s="7" t="str">
        <x:v>J4</x:v>
      </x:c>
      <x:c r="G15" s="10" t="str">
        <x:v>purge / heat / mismatch / gap</x:v>
      </x:c>
      <x:c r="H15" s="7" t="str"/>
      <x:c r="I15" s="7" t="str"/>
      <x:c r="J15" s="7" t="str"/>
      <x:c r="K15" s="7" t="str"/>
      <x:c r="L15" s="7" t="str"/>
      <x:c r="M15" s="7" t="str">
        <x:f>IF(L15="","OPEN",IF(OR(H15="",I15="",J15="",K15=""),"FAIL","PASS"))</x:f>
        <x:v>OPEN</x:v>
      </x:c>
    </x:row>
    <x:row r="16" ht="38" customHeight="1">
      <x:c r="B16" s="7" t="str">
        <x:v>JNT-PEA-A-X2-5</x:v>
      </x:c>
      <x:c r="C16" s="7" t="str">
        <x:v>PEA-A-X2</x:v>
      </x:c>
      <x:c r="D16" s="7" t="str">
        <x:v>BLD-A</x:v>
      </x:c>
      <x:c r="E16" s="7" t="str">
        <x:v>BL-X</x:v>
      </x:c>
      <x:c r="F16" s="7" t="str">
        <x:v>J5</x:v>
      </x:c>
      <x:c r="G16" s="10" t="str">
        <x:v>purge / heat / mismatch / gap</x:v>
      </x:c>
      <x:c r="H16" s="7" t="str"/>
      <x:c r="I16" s="7" t="str"/>
      <x:c r="J16" s="7" t="str"/>
      <x:c r="K16" s="7" t="str"/>
      <x:c r="L16" s="7" t="str"/>
      <x:c r="M16" s="7" t="str">
        <x:f>IF(L16="","OPEN",IF(OR(H16="",I16="",J16="",K16=""),"FAIL","PASS"))</x:f>
        <x:v>OPEN</x:v>
      </x:c>
    </x:row>
    <x:row r="17" ht="38" customHeight="1">
      <x:c r="B17" s="7" t="str">
        <x:v>JNT-PEA-A-X3-1</x:v>
      </x:c>
      <x:c r="C17" s="7" t="str">
        <x:v>PEA-A-X3</x:v>
      </x:c>
      <x:c r="D17" s="7" t="str">
        <x:v>BLD-A</x:v>
      </x:c>
      <x:c r="E17" s="7" t="str">
        <x:v>BL-X</x:v>
      </x:c>
      <x:c r="F17" s="7" t="str">
        <x:v>J1</x:v>
      </x:c>
      <x:c r="G17" s="10" t="str">
        <x:v>purge / heat / mismatch / gap</x:v>
      </x:c>
      <x:c r="H17" s="7" t="str"/>
      <x:c r="I17" s="7" t="str"/>
      <x:c r="J17" s="7" t="str"/>
      <x:c r="K17" s="7" t="str"/>
      <x:c r="L17" s="7" t="str"/>
      <x:c r="M17" s="7" t="str">
        <x:f>IF(L17="","OPEN",IF(OR(H17="",I17="",J17="",K17=""),"FAIL","PASS"))</x:f>
        <x:v>OPEN</x:v>
      </x:c>
    </x:row>
    <x:row r="18" ht="38" customHeight="1">
      <x:c r="B18" s="7" t="str">
        <x:v>JNT-PEA-A-X3-2</x:v>
      </x:c>
      <x:c r="C18" s="7" t="str">
        <x:v>PEA-A-X3</x:v>
      </x:c>
      <x:c r="D18" s="7" t="str">
        <x:v>BLD-A</x:v>
      </x:c>
      <x:c r="E18" s="7" t="str">
        <x:v>BL-X</x:v>
      </x:c>
      <x:c r="F18" s="7" t="str">
        <x:v>J2</x:v>
      </x:c>
      <x:c r="G18" s="10" t="str">
        <x:v>purge / heat / mismatch / gap</x:v>
      </x:c>
      <x:c r="H18" s="7" t="str"/>
      <x:c r="I18" s="7" t="str"/>
      <x:c r="J18" s="7" t="str"/>
      <x:c r="K18" s="7" t="str"/>
      <x:c r="L18" s="7" t="str"/>
      <x:c r="M18" s="7" t="str">
        <x:f>IF(L18="","OPEN",IF(OR(H18="",I18="",J18="",K18=""),"FAIL","PASS"))</x:f>
        <x:v>OPEN</x:v>
      </x:c>
    </x:row>
    <x:row r="19" ht="38" customHeight="1">
      <x:c r="B19" s="7" t="str">
        <x:v>JNT-PEA-A-X3-3</x:v>
      </x:c>
      <x:c r="C19" s="7" t="str">
        <x:v>PEA-A-X3</x:v>
      </x:c>
      <x:c r="D19" s="7" t="str">
        <x:v>BLD-A</x:v>
      </x:c>
      <x:c r="E19" s="7" t="str">
        <x:v>BL-X</x:v>
      </x:c>
      <x:c r="F19" s="7" t="str">
        <x:v>J3</x:v>
      </x:c>
      <x:c r="G19" s="10" t="str">
        <x:v>purge / heat / mismatch / gap</x:v>
      </x:c>
      <x:c r="H19" s="7" t="str"/>
      <x:c r="I19" s="7" t="str"/>
      <x:c r="J19" s="7" t="str"/>
      <x:c r="K19" s="7" t="str"/>
      <x:c r="L19" s="7" t="str"/>
      <x:c r="M19" s="7" t="str">
        <x:f>IF(L19="","OPEN",IF(OR(H19="",I19="",J19="",K19=""),"FAIL","PASS"))</x:f>
        <x:v>OPEN</x:v>
      </x:c>
    </x:row>
    <x:row r="20" ht="38" customHeight="1">
      <x:c r="B20" s="7" t="str">
        <x:v>JNT-PEA-A-X3-4</x:v>
      </x:c>
      <x:c r="C20" s="7" t="str">
        <x:v>PEA-A-X3</x:v>
      </x:c>
      <x:c r="D20" s="7" t="str">
        <x:v>BLD-A</x:v>
      </x:c>
      <x:c r="E20" s="7" t="str">
        <x:v>BL-X</x:v>
      </x:c>
      <x:c r="F20" s="7" t="str">
        <x:v>J4</x:v>
      </x:c>
      <x:c r="G20" s="10" t="str">
        <x:v>purge / heat / mismatch / gap</x:v>
      </x:c>
      <x:c r="H20" s="7" t="str"/>
      <x:c r="I20" s="7" t="str"/>
      <x:c r="J20" s="7" t="str"/>
      <x:c r="K20" s="7" t="str"/>
      <x:c r="L20" s="7" t="str"/>
      <x:c r="M20" s="7" t="str">
        <x:f>IF(L20="","OPEN",IF(OR(H20="",I20="",J20="",K20=""),"FAIL","PASS"))</x:f>
        <x:v>OPEN</x:v>
      </x:c>
    </x:row>
    <x:row r="21" ht="38" customHeight="1">
      <x:c r="B21" s="7" t="str">
        <x:v>JNT-PEA-A-X3-5</x:v>
      </x:c>
      <x:c r="C21" s="7" t="str">
        <x:v>PEA-A-X3</x:v>
      </x:c>
      <x:c r="D21" s="7" t="str">
        <x:v>BLD-A</x:v>
      </x:c>
      <x:c r="E21" s="7" t="str">
        <x:v>BL-X</x:v>
      </x:c>
      <x:c r="F21" s="7" t="str">
        <x:v>J5</x:v>
      </x:c>
      <x:c r="G21" s="10" t="str">
        <x:v>purge / heat / mismatch / gap</x:v>
      </x:c>
      <x:c r="H21" s="7" t="str"/>
      <x:c r="I21" s="7" t="str"/>
      <x:c r="J21" s="7" t="str"/>
      <x:c r="K21" s="7" t="str"/>
      <x:c r="L21" s="7" t="str"/>
      <x:c r="M21" s="7" t="str">
        <x:f>IF(L21="","OPEN",IF(OR(H21="",I21="",J21="",K21=""),"FAIL","PASS"))</x:f>
        <x:v>OPEN</x:v>
      </x:c>
    </x:row>
    <x:row r="22" ht="38" customHeight="1">
      <x:c r="B22" s="7" t="str">
        <x:v>JNT-PEA-A-Y1-1</x:v>
      </x:c>
      <x:c r="C22" s="7" t="str">
        <x:v>PEA-A-Y1</x:v>
      </x:c>
      <x:c r="D22" s="7" t="str">
        <x:v>BLD-A</x:v>
      </x:c>
      <x:c r="E22" s="7" t="str">
        <x:v>BL-Y</x:v>
      </x:c>
      <x:c r="F22" s="7" t="str">
        <x:v>J1</x:v>
      </x:c>
      <x:c r="G22" s="10" t="str">
        <x:v>preload / compression / registration / interspace</x:v>
      </x:c>
      <x:c r="H22" s="7" t="str"/>
      <x:c r="I22" s="7" t="str"/>
      <x:c r="J22" s="7" t="str"/>
      <x:c r="K22" s="7" t="str"/>
      <x:c r="L22" s="7" t="str"/>
      <x:c r="M22" s="7" t="str">
        <x:f>IF(L22="","OPEN",IF(OR(H22="",I22="",J22="",K22=""),"FAIL","PASS"))</x:f>
        <x:v>OPEN</x:v>
      </x:c>
    </x:row>
    <x:row r="23" ht="38" customHeight="1">
      <x:c r="B23" s="7" t="str">
        <x:v>JNT-PEA-A-Y1-2</x:v>
      </x:c>
      <x:c r="C23" s="7" t="str">
        <x:v>PEA-A-Y1</x:v>
      </x:c>
      <x:c r="D23" s="7" t="str">
        <x:v>BLD-A</x:v>
      </x:c>
      <x:c r="E23" s="7" t="str">
        <x:v>BL-Y</x:v>
      </x:c>
      <x:c r="F23" s="7" t="str">
        <x:v>J2</x:v>
      </x:c>
      <x:c r="G23" s="10" t="str">
        <x:v>preload / compression / registration / interspace</x:v>
      </x:c>
      <x:c r="H23" s="7" t="str"/>
      <x:c r="I23" s="7" t="str"/>
      <x:c r="J23" s="7" t="str"/>
      <x:c r="K23" s="7" t="str"/>
      <x:c r="L23" s="7" t="str"/>
      <x:c r="M23" s="7" t="str">
        <x:f>IF(L23="","OPEN",IF(OR(H23="",I23="",J23="",K23=""),"FAIL","PASS"))</x:f>
        <x:v>OPEN</x:v>
      </x:c>
    </x:row>
    <x:row r="24" ht="38" customHeight="1">
      <x:c r="B24" s="7" t="str">
        <x:v>JNT-PEA-A-Y1-3</x:v>
      </x:c>
      <x:c r="C24" s="7" t="str">
        <x:v>PEA-A-Y1</x:v>
      </x:c>
      <x:c r="D24" s="7" t="str">
        <x:v>BLD-A</x:v>
      </x:c>
      <x:c r="E24" s="7" t="str">
        <x:v>BL-Y</x:v>
      </x:c>
      <x:c r="F24" s="7" t="str">
        <x:v>J3</x:v>
      </x:c>
      <x:c r="G24" s="10" t="str">
        <x:v>preload / compression / registration / interspace</x:v>
      </x:c>
      <x:c r="H24" s="7" t="str"/>
      <x:c r="I24" s="7" t="str"/>
      <x:c r="J24" s="7" t="str"/>
      <x:c r="K24" s="7" t="str"/>
      <x:c r="L24" s="7" t="str"/>
      <x:c r="M24" s="7" t="str">
        <x:f>IF(L24="","OPEN",IF(OR(H24="",I24="",J24="",K24=""),"FAIL","PASS"))</x:f>
        <x:v>OPEN</x:v>
      </x:c>
    </x:row>
    <x:row r="25" ht="38" customHeight="1">
      <x:c r="B25" s="7" t="str">
        <x:v>JNT-PEA-A-Y1-4</x:v>
      </x:c>
      <x:c r="C25" s="7" t="str">
        <x:v>PEA-A-Y1</x:v>
      </x:c>
      <x:c r="D25" s="7" t="str">
        <x:v>BLD-A</x:v>
      </x:c>
      <x:c r="E25" s="7" t="str">
        <x:v>BL-Y</x:v>
      </x:c>
      <x:c r="F25" s="7" t="str">
        <x:v>J4</x:v>
      </x:c>
      <x:c r="G25" s="10" t="str">
        <x:v>preload / compression / registration / interspace</x:v>
      </x:c>
      <x:c r="H25" s="7" t="str"/>
      <x:c r="I25" s="7" t="str"/>
      <x:c r="J25" s="7" t="str"/>
      <x:c r="K25" s="7" t="str"/>
      <x:c r="L25" s="7" t="str"/>
      <x:c r="M25" s="7" t="str">
        <x:f>IF(L25="","OPEN",IF(OR(H25="",I25="",J25="",K25=""),"FAIL","PASS"))</x:f>
        <x:v>OPEN</x:v>
      </x:c>
    </x:row>
    <x:row r="26" ht="38" customHeight="1">
      <x:c r="B26" s="7" t="str">
        <x:v>JNT-PEA-A-Y1-5</x:v>
      </x:c>
      <x:c r="C26" s="7" t="str">
        <x:v>PEA-A-Y1</x:v>
      </x:c>
      <x:c r="D26" s="7" t="str">
        <x:v>BLD-A</x:v>
      </x:c>
      <x:c r="E26" s="7" t="str">
        <x:v>BL-Y</x:v>
      </x:c>
      <x:c r="F26" s="7" t="str">
        <x:v>J5</x:v>
      </x:c>
      <x:c r="G26" s="10" t="str">
        <x:v>preload / compression / registration / interspace</x:v>
      </x:c>
      <x:c r="H26" s="7" t="str"/>
      <x:c r="I26" s="7" t="str"/>
      <x:c r="J26" s="7" t="str"/>
      <x:c r="K26" s="7" t="str"/>
      <x:c r="L26" s="7" t="str"/>
      <x:c r="M26" s="7" t="str">
        <x:f>IF(L26="","OPEN",IF(OR(H26="",I26="",J26="",K26=""),"FAIL","PASS"))</x:f>
        <x:v>OPEN</x:v>
      </x:c>
    </x:row>
    <x:row r="27" ht="38" customHeight="1">
      <x:c r="B27" s="7" t="str">
        <x:v>JNT-PEA-A-Y2-1</x:v>
      </x:c>
      <x:c r="C27" s="7" t="str">
        <x:v>PEA-A-Y2</x:v>
      </x:c>
      <x:c r="D27" s="7" t="str">
        <x:v>BLD-A</x:v>
      </x:c>
      <x:c r="E27" s="7" t="str">
        <x:v>BL-Y</x:v>
      </x:c>
      <x:c r="F27" s="7" t="str">
        <x:v>J1</x:v>
      </x:c>
      <x:c r="G27" s="10" t="str">
        <x:v>preload / compression / registration / interspace</x:v>
      </x:c>
      <x:c r="H27" s="7" t="str"/>
      <x:c r="I27" s="7" t="str"/>
      <x:c r="J27" s="7" t="str"/>
      <x:c r="K27" s="7" t="str"/>
      <x:c r="L27" s="7" t="str"/>
      <x:c r="M27" s="7" t="str">
        <x:f>IF(L27="","OPEN",IF(OR(H27="",I27="",J27="",K27=""),"FAIL","PASS"))</x:f>
        <x:v>OPEN</x:v>
      </x:c>
    </x:row>
    <x:row r="28" ht="38" customHeight="1">
      <x:c r="B28" s="7" t="str">
        <x:v>JNT-PEA-A-Y2-2</x:v>
      </x:c>
      <x:c r="C28" s="7" t="str">
        <x:v>PEA-A-Y2</x:v>
      </x:c>
      <x:c r="D28" s="7" t="str">
        <x:v>BLD-A</x:v>
      </x:c>
      <x:c r="E28" s="7" t="str">
        <x:v>BL-Y</x:v>
      </x:c>
      <x:c r="F28" s="7" t="str">
        <x:v>J2</x:v>
      </x:c>
      <x:c r="G28" s="10" t="str">
        <x:v>preload / compression / registration / interspace</x:v>
      </x:c>
      <x:c r="H28" s="7" t="str"/>
      <x:c r="I28" s="7" t="str"/>
      <x:c r="J28" s="7" t="str"/>
      <x:c r="K28" s="7" t="str"/>
      <x:c r="L28" s="7" t="str"/>
      <x:c r="M28" s="7" t="str">
        <x:f>IF(L28="","OPEN",IF(OR(H28="",I28="",J28="",K28=""),"FAIL","PASS"))</x:f>
        <x:v>OPEN</x:v>
      </x:c>
    </x:row>
    <x:row r="29" ht="38" customHeight="1">
      <x:c r="B29" s="7" t="str">
        <x:v>JNT-PEA-A-Y2-3</x:v>
      </x:c>
      <x:c r="C29" s="7" t="str">
        <x:v>PEA-A-Y2</x:v>
      </x:c>
      <x:c r="D29" s="7" t="str">
        <x:v>BLD-A</x:v>
      </x:c>
      <x:c r="E29" s="7" t="str">
        <x:v>BL-Y</x:v>
      </x:c>
      <x:c r="F29" s="7" t="str">
        <x:v>J3</x:v>
      </x:c>
      <x:c r="G29" s="10" t="str">
        <x:v>preload / compression / registration / interspace</x:v>
      </x:c>
      <x:c r="H29" s="7" t="str"/>
      <x:c r="I29" s="7" t="str"/>
      <x:c r="J29" s="7" t="str"/>
      <x:c r="K29" s="7" t="str"/>
      <x:c r="L29" s="7" t="str"/>
      <x:c r="M29" s="7" t="str">
        <x:f>IF(L29="","OPEN",IF(OR(H29="",I29="",J29="",K29=""),"FAIL","PASS"))</x:f>
        <x:v>OPEN</x:v>
      </x:c>
    </x:row>
    <x:row r="30" ht="38" customHeight="1">
      <x:c r="B30" s="7" t="str">
        <x:v>JNT-PEA-A-Y2-4</x:v>
      </x:c>
      <x:c r="C30" s="7" t="str">
        <x:v>PEA-A-Y2</x:v>
      </x:c>
      <x:c r="D30" s="7" t="str">
        <x:v>BLD-A</x:v>
      </x:c>
      <x:c r="E30" s="7" t="str">
        <x:v>BL-Y</x:v>
      </x:c>
      <x:c r="F30" s="7" t="str">
        <x:v>J4</x:v>
      </x:c>
      <x:c r="G30" s="10" t="str">
        <x:v>preload / compression / registration / interspace</x:v>
      </x:c>
      <x:c r="H30" s="7" t="str"/>
      <x:c r="I30" s="7" t="str"/>
      <x:c r="J30" s="7" t="str"/>
      <x:c r="K30" s="7" t="str"/>
      <x:c r="L30" s="7" t="str"/>
      <x:c r="M30" s="7" t="str">
        <x:f>IF(L30="","OPEN",IF(OR(H30="",I30="",J30="",K30=""),"FAIL","PASS"))</x:f>
        <x:v>OPEN</x:v>
      </x:c>
    </x:row>
    <x:row r="31" ht="38" customHeight="1">
      <x:c r="B31" s="7" t="str">
        <x:v>JNT-PEA-A-Y2-5</x:v>
      </x:c>
      <x:c r="C31" s="7" t="str">
        <x:v>PEA-A-Y2</x:v>
      </x:c>
      <x:c r="D31" s="7" t="str">
        <x:v>BLD-A</x:v>
      </x:c>
      <x:c r="E31" s="7" t="str">
        <x:v>BL-Y</x:v>
      </x:c>
      <x:c r="F31" s="7" t="str">
        <x:v>J5</x:v>
      </x:c>
      <x:c r="G31" s="10" t="str">
        <x:v>preload / compression / registration / interspace</x:v>
      </x:c>
      <x:c r="H31" s="7" t="str"/>
      <x:c r="I31" s="7" t="str"/>
      <x:c r="J31" s="7" t="str"/>
      <x:c r="K31" s="7" t="str"/>
      <x:c r="L31" s="7" t="str"/>
      <x:c r="M31" s="7" t="str">
        <x:f>IF(L31="","OPEN",IF(OR(H31="",I31="",J31="",K31=""),"FAIL","PASS"))</x:f>
        <x:v>OPEN</x:v>
      </x:c>
    </x:row>
    <x:row r="32" ht="38" customHeight="1">
      <x:c r="B32" s="7" t="str">
        <x:v>JNT-PEA-A-Y3-1</x:v>
      </x:c>
      <x:c r="C32" s="7" t="str">
        <x:v>PEA-A-Y3</x:v>
      </x:c>
      <x:c r="D32" s="7" t="str">
        <x:v>BLD-A</x:v>
      </x:c>
      <x:c r="E32" s="7" t="str">
        <x:v>BL-Y</x:v>
      </x:c>
      <x:c r="F32" s="7" t="str">
        <x:v>J1</x:v>
      </x:c>
      <x:c r="G32" s="10" t="str">
        <x:v>preload / compression / registration / interspace</x:v>
      </x:c>
      <x:c r="H32" s="7" t="str"/>
      <x:c r="I32" s="7" t="str"/>
      <x:c r="J32" s="7" t="str"/>
      <x:c r="K32" s="7" t="str"/>
      <x:c r="L32" s="7" t="str"/>
      <x:c r="M32" s="7" t="str">
        <x:f>IF(L32="","OPEN",IF(OR(H32="",I32="",J32="",K32=""),"FAIL","PASS"))</x:f>
        <x:v>OPEN</x:v>
      </x:c>
    </x:row>
    <x:row r="33" ht="38" customHeight="1">
      <x:c r="B33" s="7" t="str">
        <x:v>JNT-PEA-A-Y3-2</x:v>
      </x:c>
      <x:c r="C33" s="7" t="str">
        <x:v>PEA-A-Y3</x:v>
      </x:c>
      <x:c r="D33" s="7" t="str">
        <x:v>BLD-A</x:v>
      </x:c>
      <x:c r="E33" s="7" t="str">
        <x:v>BL-Y</x:v>
      </x:c>
      <x:c r="F33" s="7" t="str">
        <x:v>J2</x:v>
      </x:c>
      <x:c r="G33" s="10" t="str">
        <x:v>preload / compression / registration / interspace</x:v>
      </x:c>
      <x:c r="H33" s="7" t="str"/>
      <x:c r="I33" s="7" t="str"/>
      <x:c r="J33" s="7" t="str"/>
      <x:c r="K33" s="7" t="str"/>
      <x:c r="L33" s="7" t="str"/>
      <x:c r="M33" s="7" t="str">
        <x:f>IF(L33="","OPEN",IF(OR(H33="",I33="",J33="",K33=""),"FAIL","PASS"))</x:f>
        <x:v>OPEN</x:v>
      </x:c>
    </x:row>
    <x:row r="34" ht="38" customHeight="1">
      <x:c r="B34" s="7" t="str">
        <x:v>JNT-PEA-A-Y3-3</x:v>
      </x:c>
      <x:c r="C34" s="7" t="str">
        <x:v>PEA-A-Y3</x:v>
      </x:c>
      <x:c r="D34" s="7" t="str">
        <x:v>BLD-A</x:v>
      </x:c>
      <x:c r="E34" s="7" t="str">
        <x:v>BL-Y</x:v>
      </x:c>
      <x:c r="F34" s="7" t="str">
        <x:v>J3</x:v>
      </x:c>
      <x:c r="G34" s="10" t="str">
        <x:v>preload / compression / registration / interspace</x:v>
      </x:c>
      <x:c r="H34" s="7" t="str"/>
      <x:c r="I34" s="7" t="str"/>
      <x:c r="J34" s="7" t="str"/>
      <x:c r="K34" s="7" t="str"/>
      <x:c r="L34" s="7" t="str"/>
      <x:c r="M34" s="7" t="str">
        <x:f>IF(L34="","OPEN",IF(OR(H34="",I34="",J34="",K34=""),"FAIL","PASS"))</x:f>
        <x:v>OPEN</x:v>
      </x:c>
    </x:row>
    <x:row r="35" ht="38" customHeight="1">
      <x:c r="B35" s="7" t="str">
        <x:v>JNT-PEA-A-Y3-4</x:v>
      </x:c>
      <x:c r="C35" s="7" t="str">
        <x:v>PEA-A-Y3</x:v>
      </x:c>
      <x:c r="D35" s="7" t="str">
        <x:v>BLD-A</x:v>
      </x:c>
      <x:c r="E35" s="7" t="str">
        <x:v>BL-Y</x:v>
      </x:c>
      <x:c r="F35" s="7" t="str">
        <x:v>J4</x:v>
      </x:c>
      <x:c r="G35" s="10" t="str">
        <x:v>preload / compression / registration / interspace</x:v>
      </x:c>
      <x:c r="H35" s="7" t="str"/>
      <x:c r="I35" s="7" t="str"/>
      <x:c r="J35" s="7" t="str"/>
      <x:c r="K35" s="7" t="str"/>
      <x:c r="L35" s="7" t="str"/>
      <x:c r="M35" s="7" t="str">
        <x:f>IF(L35="","OPEN",IF(OR(H35="",I35="",J35="",K35=""),"FAIL","PASS"))</x:f>
        <x:v>OPEN</x:v>
      </x:c>
    </x:row>
    <x:row r="36" ht="38" customHeight="1">
      <x:c r="B36" s="7" t="str">
        <x:v>JNT-PEA-A-Y3-5</x:v>
      </x:c>
      <x:c r="C36" s="7" t="str">
        <x:v>PEA-A-Y3</x:v>
      </x:c>
      <x:c r="D36" s="7" t="str">
        <x:v>BLD-A</x:v>
      </x:c>
      <x:c r="E36" s="7" t="str">
        <x:v>BL-Y</x:v>
      </x:c>
      <x:c r="F36" s="7" t="str">
        <x:v>J5</x:v>
      </x:c>
      <x:c r="G36" s="10" t="str">
        <x:v>preload / compression / registration / interspace</x:v>
      </x:c>
      <x:c r="H36" s="7" t="str"/>
      <x:c r="I36" s="7" t="str"/>
      <x:c r="J36" s="7" t="str"/>
      <x:c r="K36" s="7" t="str"/>
      <x:c r="L36" s="7" t="str"/>
      <x:c r="M36" s="7" t="str">
        <x:f>IF(L36="","OPEN",IF(OR(H36="",I36="",J36="",K36=""),"FAIL","PASS"))</x:f>
        <x:v>OPEN</x:v>
      </x:c>
    </x:row>
    <x:row r="37" ht="38" customHeight="1">
      <x:c r="B37" s="7" t="str">
        <x:v>JNT-PEA-B-X1-1</x:v>
      </x:c>
      <x:c r="C37" s="7" t="str">
        <x:v>PEA-B-X1</x:v>
      </x:c>
      <x:c r="D37" s="7" t="str">
        <x:v>BLD-B</x:v>
      </x:c>
      <x:c r="E37" s="7" t="str">
        <x:v>BL-X</x:v>
      </x:c>
      <x:c r="F37" s="7" t="str">
        <x:v>J1</x:v>
      </x:c>
      <x:c r="G37" s="10" t="str">
        <x:v>purge / heat / mismatch / gap</x:v>
      </x:c>
      <x:c r="H37" s="7" t="str"/>
      <x:c r="I37" s="7" t="str"/>
      <x:c r="J37" s="7" t="str"/>
      <x:c r="K37" s="7" t="str"/>
      <x:c r="L37" s="7" t="str"/>
      <x:c r="M37" s="7" t="str">
        <x:f>IF(L37="","OPEN",IF(OR(H37="",I37="",J37="",K37=""),"FAIL","PASS"))</x:f>
        <x:v>OPEN</x:v>
      </x:c>
    </x:row>
    <x:row r="38" ht="38" customHeight="1">
      <x:c r="B38" s="7" t="str">
        <x:v>JNT-PEA-B-X1-2</x:v>
      </x:c>
      <x:c r="C38" s="7" t="str">
        <x:v>PEA-B-X1</x:v>
      </x:c>
      <x:c r="D38" s="7" t="str">
        <x:v>BLD-B</x:v>
      </x:c>
      <x:c r="E38" s="7" t="str">
        <x:v>BL-X</x:v>
      </x:c>
      <x:c r="F38" s="7" t="str">
        <x:v>J2</x:v>
      </x:c>
      <x:c r="G38" s="10" t="str">
        <x:v>purge / heat / mismatch / gap</x:v>
      </x:c>
      <x:c r="H38" s="7" t="str"/>
      <x:c r="I38" s="7" t="str"/>
      <x:c r="J38" s="7" t="str"/>
      <x:c r="K38" s="7" t="str"/>
      <x:c r="L38" s="7" t="str"/>
      <x:c r="M38" s="7" t="str">
        <x:f>IF(L38="","OPEN",IF(OR(H38="",I38="",J38="",K38=""),"FAIL","PASS"))</x:f>
        <x:v>OPEN</x:v>
      </x:c>
    </x:row>
    <x:row r="39" ht="38" customHeight="1">
      <x:c r="B39" s="7" t="str">
        <x:v>JNT-PEA-B-X1-3</x:v>
      </x:c>
      <x:c r="C39" s="7" t="str">
        <x:v>PEA-B-X1</x:v>
      </x:c>
      <x:c r="D39" s="7" t="str">
        <x:v>BLD-B</x:v>
      </x:c>
      <x:c r="E39" s="7" t="str">
        <x:v>BL-X</x:v>
      </x:c>
      <x:c r="F39" s="7" t="str">
        <x:v>J3</x:v>
      </x:c>
      <x:c r="G39" s="10" t="str">
        <x:v>purge / heat / mismatch / gap</x:v>
      </x:c>
      <x:c r="H39" s="7" t="str"/>
      <x:c r="I39" s="7" t="str"/>
      <x:c r="J39" s="7" t="str"/>
      <x:c r="K39" s="7" t="str"/>
      <x:c r="L39" s="7" t="str"/>
      <x:c r="M39" s="7" t="str">
        <x:f>IF(L39="","OPEN",IF(OR(H39="",I39="",J39="",K39=""),"FAIL","PASS"))</x:f>
        <x:v>OPEN</x:v>
      </x:c>
    </x:row>
    <x:row r="40" ht="38" customHeight="1">
      <x:c r="B40" s="7" t="str">
        <x:v>JNT-PEA-B-X1-4</x:v>
      </x:c>
      <x:c r="C40" s="7" t="str">
        <x:v>PEA-B-X1</x:v>
      </x:c>
      <x:c r="D40" s="7" t="str">
        <x:v>BLD-B</x:v>
      </x:c>
      <x:c r="E40" s="7" t="str">
        <x:v>BL-X</x:v>
      </x:c>
      <x:c r="F40" s="7" t="str">
        <x:v>J4</x:v>
      </x:c>
      <x:c r="G40" s="10" t="str">
        <x:v>purge / heat / mismatch / gap</x:v>
      </x:c>
      <x:c r="H40" s="7" t="str"/>
      <x:c r="I40" s="7" t="str"/>
      <x:c r="J40" s="7" t="str"/>
      <x:c r="K40" s="7" t="str"/>
      <x:c r="L40" s="7" t="str"/>
      <x:c r="M40" s="7" t="str">
        <x:f>IF(L40="","OPEN",IF(OR(H40="",I40="",J40="",K40=""),"FAIL","PASS"))</x:f>
        <x:v>OPEN</x:v>
      </x:c>
    </x:row>
    <x:row r="41" ht="38" customHeight="1">
      <x:c r="B41" s="7" t="str">
        <x:v>JNT-PEA-B-X1-5</x:v>
      </x:c>
      <x:c r="C41" s="7" t="str">
        <x:v>PEA-B-X1</x:v>
      </x:c>
      <x:c r="D41" s="7" t="str">
        <x:v>BLD-B</x:v>
      </x:c>
      <x:c r="E41" s="7" t="str">
        <x:v>BL-X</x:v>
      </x:c>
      <x:c r="F41" s="7" t="str">
        <x:v>J5</x:v>
      </x:c>
      <x:c r="G41" s="10" t="str">
        <x:v>purge / heat / mismatch / gap</x:v>
      </x:c>
      <x:c r="H41" s="7" t="str"/>
      <x:c r="I41" s="7" t="str"/>
      <x:c r="J41" s="7" t="str"/>
      <x:c r="K41" s="7" t="str"/>
      <x:c r="L41" s="7" t="str"/>
      <x:c r="M41" s="7" t="str">
        <x:f>IF(L41="","OPEN",IF(OR(H41="",I41="",J41="",K41=""),"FAIL","PASS"))</x:f>
        <x:v>OPEN</x:v>
      </x:c>
    </x:row>
    <x:row r="42" ht="38" customHeight="1">
      <x:c r="B42" s="7" t="str">
        <x:v>JNT-PEA-B-X2-1</x:v>
      </x:c>
      <x:c r="C42" s="7" t="str">
        <x:v>PEA-B-X2</x:v>
      </x:c>
      <x:c r="D42" s="7" t="str">
        <x:v>BLD-B</x:v>
      </x:c>
      <x:c r="E42" s="7" t="str">
        <x:v>BL-X</x:v>
      </x:c>
      <x:c r="F42" s="7" t="str">
        <x:v>J1</x:v>
      </x:c>
      <x:c r="G42" s="10" t="str">
        <x:v>purge / heat / mismatch / gap</x:v>
      </x:c>
      <x:c r="H42" s="7" t="str"/>
      <x:c r="I42" s="7" t="str"/>
      <x:c r="J42" s="7" t="str"/>
      <x:c r="K42" s="7" t="str"/>
      <x:c r="L42" s="7" t="str"/>
      <x:c r="M42" s="7" t="str">
        <x:f>IF(L42="","OPEN",IF(OR(H42="",I42="",J42="",K42=""),"FAIL","PASS"))</x:f>
        <x:v>OPEN</x:v>
      </x:c>
    </x:row>
    <x:row r="43" ht="38" customHeight="1">
      <x:c r="B43" s="7" t="str">
        <x:v>JNT-PEA-B-X2-2</x:v>
      </x:c>
      <x:c r="C43" s="7" t="str">
        <x:v>PEA-B-X2</x:v>
      </x:c>
      <x:c r="D43" s="7" t="str">
        <x:v>BLD-B</x:v>
      </x:c>
      <x:c r="E43" s="7" t="str">
        <x:v>BL-X</x:v>
      </x:c>
      <x:c r="F43" s="7" t="str">
        <x:v>J2</x:v>
      </x:c>
      <x:c r="G43" s="10" t="str">
        <x:v>purge / heat / mismatch / gap</x:v>
      </x:c>
      <x:c r="H43" s="7" t="str"/>
      <x:c r="I43" s="7" t="str"/>
      <x:c r="J43" s="7" t="str"/>
      <x:c r="K43" s="7" t="str"/>
      <x:c r="L43" s="7" t="str"/>
      <x:c r="M43" s="7" t="str">
        <x:f>IF(L43="","OPEN",IF(OR(H43="",I43="",J43="",K43=""),"FAIL","PASS"))</x:f>
        <x:v>OPEN</x:v>
      </x:c>
    </x:row>
    <x:row r="44" ht="38" customHeight="1">
      <x:c r="B44" s="7" t="str">
        <x:v>JNT-PEA-B-X2-3</x:v>
      </x:c>
      <x:c r="C44" s="7" t="str">
        <x:v>PEA-B-X2</x:v>
      </x:c>
      <x:c r="D44" s="7" t="str">
        <x:v>BLD-B</x:v>
      </x:c>
      <x:c r="E44" s="7" t="str">
        <x:v>BL-X</x:v>
      </x:c>
      <x:c r="F44" s="7" t="str">
        <x:v>J3</x:v>
      </x:c>
      <x:c r="G44" s="10" t="str">
        <x:v>purge / heat / mismatch / gap</x:v>
      </x:c>
      <x:c r="H44" s="7" t="str"/>
      <x:c r="I44" s="7" t="str"/>
      <x:c r="J44" s="7" t="str"/>
      <x:c r="K44" s="7" t="str"/>
      <x:c r="L44" s="7" t="str"/>
      <x:c r="M44" s="7" t="str">
        <x:f>IF(L44="","OPEN",IF(OR(H44="",I44="",J44="",K44=""),"FAIL","PASS"))</x:f>
        <x:v>OPEN</x:v>
      </x:c>
    </x:row>
    <x:row r="45" ht="38" customHeight="1">
      <x:c r="B45" s="7" t="str">
        <x:v>JNT-PEA-B-X2-4</x:v>
      </x:c>
      <x:c r="C45" s="7" t="str">
        <x:v>PEA-B-X2</x:v>
      </x:c>
      <x:c r="D45" s="7" t="str">
        <x:v>BLD-B</x:v>
      </x:c>
      <x:c r="E45" s="7" t="str">
        <x:v>BL-X</x:v>
      </x:c>
      <x:c r="F45" s="7" t="str">
        <x:v>J4</x:v>
      </x:c>
      <x:c r="G45" s="10" t="str">
        <x:v>purge / heat / mismatch / gap</x:v>
      </x:c>
      <x:c r="H45" s="7" t="str"/>
      <x:c r="I45" s="7" t="str"/>
      <x:c r="J45" s="7" t="str"/>
      <x:c r="K45" s="7" t="str"/>
      <x:c r="L45" s="7" t="str"/>
      <x:c r="M45" s="7" t="str">
        <x:f>IF(L45="","OPEN",IF(OR(H45="",I45="",J45="",K45=""),"FAIL","PASS"))</x:f>
        <x:v>OPEN</x:v>
      </x:c>
    </x:row>
    <x:row r="46" ht="38" customHeight="1">
      <x:c r="B46" s="7" t="str">
        <x:v>JNT-PEA-B-X2-5</x:v>
      </x:c>
      <x:c r="C46" s="7" t="str">
        <x:v>PEA-B-X2</x:v>
      </x:c>
      <x:c r="D46" s="7" t="str">
        <x:v>BLD-B</x:v>
      </x:c>
      <x:c r="E46" s="7" t="str">
        <x:v>BL-X</x:v>
      </x:c>
      <x:c r="F46" s="7" t="str">
        <x:v>J5</x:v>
      </x:c>
      <x:c r="G46" s="10" t="str">
        <x:v>purge / heat / mismatch / gap</x:v>
      </x:c>
      <x:c r="H46" s="7" t="str"/>
      <x:c r="I46" s="7" t="str"/>
      <x:c r="J46" s="7" t="str"/>
      <x:c r="K46" s="7" t="str"/>
      <x:c r="L46" s="7" t="str"/>
      <x:c r="M46" s="7" t="str">
        <x:f>IF(L46="","OPEN",IF(OR(H46="",I46="",J46="",K46=""),"FAIL","PASS"))</x:f>
        <x:v>OPEN</x:v>
      </x:c>
    </x:row>
    <x:row r="47" ht="38" customHeight="1">
      <x:c r="B47" s="7" t="str">
        <x:v>JNT-PEA-B-X3-1</x:v>
      </x:c>
      <x:c r="C47" s="7" t="str">
        <x:v>PEA-B-X3</x:v>
      </x:c>
      <x:c r="D47" s="7" t="str">
        <x:v>BLD-B</x:v>
      </x:c>
      <x:c r="E47" s="7" t="str">
        <x:v>BL-X</x:v>
      </x:c>
      <x:c r="F47" s="7" t="str">
        <x:v>J1</x:v>
      </x:c>
      <x:c r="G47" s="10" t="str">
        <x:v>purge / heat / mismatch / gap</x:v>
      </x:c>
      <x:c r="H47" s="7" t="str"/>
      <x:c r="I47" s="7" t="str"/>
      <x:c r="J47" s="7" t="str"/>
      <x:c r="K47" s="7" t="str"/>
      <x:c r="L47" s="7" t="str"/>
      <x:c r="M47" s="7" t="str">
        <x:f>IF(L47="","OPEN",IF(OR(H47="",I47="",J47="",K47=""),"FAIL","PASS"))</x:f>
        <x:v>OPEN</x:v>
      </x:c>
    </x:row>
    <x:row r="48" ht="38" customHeight="1">
      <x:c r="B48" s="7" t="str">
        <x:v>JNT-PEA-B-X3-2</x:v>
      </x:c>
      <x:c r="C48" s="7" t="str">
        <x:v>PEA-B-X3</x:v>
      </x:c>
      <x:c r="D48" s="7" t="str">
        <x:v>BLD-B</x:v>
      </x:c>
      <x:c r="E48" s="7" t="str">
        <x:v>BL-X</x:v>
      </x:c>
      <x:c r="F48" s="7" t="str">
        <x:v>J2</x:v>
      </x:c>
      <x:c r="G48" s="10" t="str">
        <x:v>purge / heat / mismatch / gap</x:v>
      </x:c>
      <x:c r="H48" s="7" t="str"/>
      <x:c r="I48" s="7" t="str"/>
      <x:c r="J48" s="7" t="str"/>
      <x:c r="K48" s="7" t="str"/>
      <x:c r="L48" s="7" t="str"/>
      <x:c r="M48" s="7" t="str">
        <x:f>IF(L48="","OPEN",IF(OR(H48="",I48="",J48="",K48=""),"FAIL","PASS"))</x:f>
        <x:v>OPEN</x:v>
      </x:c>
    </x:row>
    <x:row r="49" ht="38" customHeight="1">
      <x:c r="B49" s="7" t="str">
        <x:v>JNT-PEA-B-X3-3</x:v>
      </x:c>
      <x:c r="C49" s="7" t="str">
        <x:v>PEA-B-X3</x:v>
      </x:c>
      <x:c r="D49" s="7" t="str">
        <x:v>BLD-B</x:v>
      </x:c>
      <x:c r="E49" s="7" t="str">
        <x:v>BL-X</x:v>
      </x:c>
      <x:c r="F49" s="7" t="str">
        <x:v>J3</x:v>
      </x:c>
      <x:c r="G49" s="10" t="str">
        <x:v>purge / heat / mismatch / gap</x:v>
      </x:c>
      <x:c r="H49" s="7" t="str"/>
      <x:c r="I49" s="7" t="str"/>
      <x:c r="J49" s="7" t="str"/>
      <x:c r="K49" s="7" t="str"/>
      <x:c r="L49" s="7" t="str"/>
      <x:c r="M49" s="7" t="str">
        <x:f>IF(L49="","OPEN",IF(OR(H49="",I49="",J49="",K49=""),"FAIL","PASS"))</x:f>
        <x:v>OPEN</x:v>
      </x:c>
    </x:row>
    <x:row r="50" ht="38" customHeight="1">
      <x:c r="B50" s="7" t="str">
        <x:v>JNT-PEA-B-X3-4</x:v>
      </x:c>
      <x:c r="C50" s="7" t="str">
        <x:v>PEA-B-X3</x:v>
      </x:c>
      <x:c r="D50" s="7" t="str">
        <x:v>BLD-B</x:v>
      </x:c>
      <x:c r="E50" s="7" t="str">
        <x:v>BL-X</x:v>
      </x:c>
      <x:c r="F50" s="7" t="str">
        <x:v>J4</x:v>
      </x:c>
      <x:c r="G50" s="10" t="str">
        <x:v>purge / heat / mismatch / gap</x:v>
      </x:c>
      <x:c r="H50" s="7" t="str"/>
      <x:c r="I50" s="7" t="str"/>
      <x:c r="J50" s="7" t="str"/>
      <x:c r="K50" s="7" t="str"/>
      <x:c r="L50" s="7" t="str"/>
      <x:c r="M50" s="7" t="str">
        <x:f>IF(L50="","OPEN",IF(OR(H50="",I50="",J50="",K50=""),"FAIL","PASS"))</x:f>
        <x:v>OPEN</x:v>
      </x:c>
    </x:row>
    <x:row r="51" ht="38" customHeight="1">
      <x:c r="B51" s="7" t="str">
        <x:v>JNT-PEA-B-X3-5</x:v>
      </x:c>
      <x:c r="C51" s="7" t="str">
        <x:v>PEA-B-X3</x:v>
      </x:c>
      <x:c r="D51" s="7" t="str">
        <x:v>BLD-B</x:v>
      </x:c>
      <x:c r="E51" s="7" t="str">
        <x:v>BL-X</x:v>
      </x:c>
      <x:c r="F51" s="7" t="str">
        <x:v>J5</x:v>
      </x:c>
      <x:c r="G51" s="10" t="str">
        <x:v>purge / heat / mismatch / gap</x:v>
      </x:c>
      <x:c r="H51" s="7" t="str"/>
      <x:c r="I51" s="7" t="str"/>
      <x:c r="J51" s="7" t="str"/>
      <x:c r="K51" s="7" t="str"/>
      <x:c r="L51" s="7" t="str"/>
      <x:c r="M51" s="7" t="str">
        <x:f>IF(L51="","OPEN",IF(OR(H51="",I51="",J51="",K51=""),"FAIL","PASS"))</x:f>
        <x:v>OPEN</x:v>
      </x:c>
    </x:row>
    <x:row r="52" ht="38" customHeight="1">
      <x:c r="B52" s="7" t="str">
        <x:v>JNT-PEA-B-Y1-1</x:v>
      </x:c>
      <x:c r="C52" s="7" t="str">
        <x:v>PEA-B-Y1</x:v>
      </x:c>
      <x:c r="D52" s="7" t="str">
        <x:v>BLD-B</x:v>
      </x:c>
      <x:c r="E52" s="7" t="str">
        <x:v>BL-Y</x:v>
      </x:c>
      <x:c r="F52" s="7" t="str">
        <x:v>J1</x:v>
      </x:c>
      <x:c r="G52" s="10" t="str">
        <x:v>preload / compression / registration / interspace</x:v>
      </x:c>
      <x:c r="H52" s="7" t="str"/>
      <x:c r="I52" s="7" t="str"/>
      <x:c r="J52" s="7" t="str"/>
      <x:c r="K52" s="7" t="str"/>
      <x:c r="L52" s="7" t="str"/>
      <x:c r="M52" s="7" t="str">
        <x:f>IF(L52="","OPEN",IF(OR(H52="",I52="",J52="",K52=""),"FAIL","PASS"))</x:f>
        <x:v>OPEN</x:v>
      </x:c>
    </x:row>
    <x:row r="53" ht="38" customHeight="1">
      <x:c r="B53" s="7" t="str">
        <x:v>JNT-PEA-B-Y1-2</x:v>
      </x:c>
      <x:c r="C53" s="7" t="str">
        <x:v>PEA-B-Y1</x:v>
      </x:c>
      <x:c r="D53" s="7" t="str">
        <x:v>BLD-B</x:v>
      </x:c>
      <x:c r="E53" s="7" t="str">
        <x:v>BL-Y</x:v>
      </x:c>
      <x:c r="F53" s="7" t="str">
        <x:v>J2</x:v>
      </x:c>
      <x:c r="G53" s="10" t="str">
        <x:v>preload / compression / registration / interspace</x:v>
      </x:c>
      <x:c r="H53" s="7" t="str"/>
      <x:c r="I53" s="7" t="str"/>
      <x:c r="J53" s="7" t="str"/>
      <x:c r="K53" s="7" t="str"/>
      <x:c r="L53" s="7" t="str"/>
      <x:c r="M53" s="7" t="str">
        <x:f>IF(L53="","OPEN",IF(OR(H53="",I53="",J53="",K53=""),"FAIL","PASS"))</x:f>
        <x:v>OPEN</x:v>
      </x:c>
    </x:row>
    <x:row r="54" ht="38" customHeight="1">
      <x:c r="B54" s="7" t="str">
        <x:v>JNT-PEA-B-Y1-3</x:v>
      </x:c>
      <x:c r="C54" s="7" t="str">
        <x:v>PEA-B-Y1</x:v>
      </x:c>
      <x:c r="D54" s="7" t="str">
        <x:v>BLD-B</x:v>
      </x:c>
      <x:c r="E54" s="7" t="str">
        <x:v>BL-Y</x:v>
      </x:c>
      <x:c r="F54" s="7" t="str">
        <x:v>J3</x:v>
      </x:c>
      <x:c r="G54" s="10" t="str">
        <x:v>preload / compression / registration / interspace</x:v>
      </x:c>
      <x:c r="H54" s="7" t="str"/>
      <x:c r="I54" s="7" t="str"/>
      <x:c r="J54" s="7" t="str"/>
      <x:c r="K54" s="7" t="str"/>
      <x:c r="L54" s="7" t="str"/>
      <x:c r="M54" s="7" t="str">
        <x:f>IF(L54="","OPEN",IF(OR(H54="",I54="",J54="",K54=""),"FAIL","PASS"))</x:f>
        <x:v>OPEN</x:v>
      </x:c>
    </x:row>
    <x:row r="55" ht="38" customHeight="1">
      <x:c r="B55" s="7" t="str">
        <x:v>JNT-PEA-B-Y1-4</x:v>
      </x:c>
      <x:c r="C55" s="7" t="str">
        <x:v>PEA-B-Y1</x:v>
      </x:c>
      <x:c r="D55" s="7" t="str">
        <x:v>BLD-B</x:v>
      </x:c>
      <x:c r="E55" s="7" t="str">
        <x:v>BL-Y</x:v>
      </x:c>
      <x:c r="F55" s="7" t="str">
        <x:v>J4</x:v>
      </x:c>
      <x:c r="G55" s="10" t="str">
        <x:v>preload / compression / registration / interspace</x:v>
      </x:c>
      <x:c r="H55" s="7" t="str"/>
      <x:c r="I55" s="7" t="str"/>
      <x:c r="J55" s="7" t="str"/>
      <x:c r="K55" s="7" t="str"/>
      <x:c r="L55" s="7" t="str"/>
      <x:c r="M55" s="7" t="str">
        <x:f>IF(L55="","OPEN",IF(OR(H55="",I55="",J55="",K55=""),"FAIL","PASS"))</x:f>
        <x:v>OPEN</x:v>
      </x:c>
    </x:row>
    <x:row r="56" ht="38" customHeight="1">
      <x:c r="B56" s="7" t="str">
        <x:v>JNT-PEA-B-Y1-5</x:v>
      </x:c>
      <x:c r="C56" s="7" t="str">
        <x:v>PEA-B-Y1</x:v>
      </x:c>
      <x:c r="D56" s="7" t="str">
        <x:v>BLD-B</x:v>
      </x:c>
      <x:c r="E56" s="7" t="str">
        <x:v>BL-Y</x:v>
      </x:c>
      <x:c r="F56" s="7" t="str">
        <x:v>J5</x:v>
      </x:c>
      <x:c r="G56" s="10" t="str">
        <x:v>preload / compression / registration / interspace</x:v>
      </x:c>
      <x:c r="H56" s="7" t="str"/>
      <x:c r="I56" s="7" t="str"/>
      <x:c r="J56" s="7" t="str"/>
      <x:c r="K56" s="7" t="str"/>
      <x:c r="L56" s="7" t="str"/>
      <x:c r="M56" s="7" t="str">
        <x:f>IF(L56="","OPEN",IF(OR(H56="",I56="",J56="",K56=""),"FAIL","PASS"))</x:f>
        <x:v>OPEN</x:v>
      </x:c>
    </x:row>
    <x:row r="57" ht="38" customHeight="1">
      <x:c r="B57" s="7" t="str">
        <x:v>JNT-PEA-B-Y2-1</x:v>
      </x:c>
      <x:c r="C57" s="7" t="str">
        <x:v>PEA-B-Y2</x:v>
      </x:c>
      <x:c r="D57" s="7" t="str">
        <x:v>BLD-B</x:v>
      </x:c>
      <x:c r="E57" s="7" t="str">
        <x:v>BL-Y</x:v>
      </x:c>
      <x:c r="F57" s="7" t="str">
        <x:v>J1</x:v>
      </x:c>
      <x:c r="G57" s="10" t="str">
        <x:v>preload / compression / registration / interspace</x:v>
      </x:c>
      <x:c r="H57" s="7" t="str"/>
      <x:c r="I57" s="7" t="str"/>
      <x:c r="J57" s="7" t="str"/>
      <x:c r="K57" s="7" t="str"/>
      <x:c r="L57" s="7" t="str"/>
      <x:c r="M57" s="7" t="str">
        <x:f>IF(L57="","OPEN",IF(OR(H57="",I57="",J57="",K57=""),"FAIL","PASS"))</x:f>
        <x:v>OPEN</x:v>
      </x:c>
    </x:row>
    <x:row r="58" ht="38" customHeight="1">
      <x:c r="B58" s="7" t="str">
        <x:v>JNT-PEA-B-Y2-2</x:v>
      </x:c>
      <x:c r="C58" s="7" t="str">
        <x:v>PEA-B-Y2</x:v>
      </x:c>
      <x:c r="D58" s="7" t="str">
        <x:v>BLD-B</x:v>
      </x:c>
      <x:c r="E58" s="7" t="str">
        <x:v>BL-Y</x:v>
      </x:c>
      <x:c r="F58" s="7" t="str">
        <x:v>J2</x:v>
      </x:c>
      <x:c r="G58" s="10" t="str">
        <x:v>preload / compression / registration / interspace</x:v>
      </x:c>
      <x:c r="H58" s="7" t="str"/>
      <x:c r="I58" s="7" t="str"/>
      <x:c r="J58" s="7" t="str"/>
      <x:c r="K58" s="7" t="str"/>
      <x:c r="L58" s="7" t="str"/>
      <x:c r="M58" s="7" t="str">
        <x:f>IF(L58="","OPEN",IF(OR(H58="",I58="",J58="",K58=""),"FAIL","PASS"))</x:f>
        <x:v>OPEN</x:v>
      </x:c>
    </x:row>
    <x:row r="59" ht="38" customHeight="1">
      <x:c r="B59" s="7" t="str">
        <x:v>JNT-PEA-B-Y2-3</x:v>
      </x:c>
      <x:c r="C59" s="7" t="str">
        <x:v>PEA-B-Y2</x:v>
      </x:c>
      <x:c r="D59" s="7" t="str">
        <x:v>BLD-B</x:v>
      </x:c>
      <x:c r="E59" s="7" t="str">
        <x:v>BL-Y</x:v>
      </x:c>
      <x:c r="F59" s="7" t="str">
        <x:v>J3</x:v>
      </x:c>
      <x:c r="G59" s="10" t="str">
        <x:v>preload / compression / registration / interspace</x:v>
      </x:c>
      <x:c r="H59" s="7" t="str"/>
      <x:c r="I59" s="7" t="str"/>
      <x:c r="J59" s="7" t="str"/>
      <x:c r="K59" s="7" t="str"/>
      <x:c r="L59" s="7" t="str"/>
      <x:c r="M59" s="7" t="str">
        <x:f>IF(L59="","OPEN",IF(OR(H59="",I59="",J59="",K59=""),"FAIL","PASS"))</x:f>
        <x:v>OPEN</x:v>
      </x:c>
    </x:row>
    <x:row r="60" ht="38" customHeight="1">
      <x:c r="B60" s="7" t="str">
        <x:v>JNT-PEA-B-Y2-4</x:v>
      </x:c>
      <x:c r="C60" s="7" t="str">
        <x:v>PEA-B-Y2</x:v>
      </x:c>
      <x:c r="D60" s="7" t="str">
        <x:v>BLD-B</x:v>
      </x:c>
      <x:c r="E60" s="7" t="str">
        <x:v>BL-Y</x:v>
      </x:c>
      <x:c r="F60" s="7" t="str">
        <x:v>J4</x:v>
      </x:c>
      <x:c r="G60" s="10" t="str">
        <x:v>preload / compression / registration / interspace</x:v>
      </x:c>
      <x:c r="H60" s="7" t="str"/>
      <x:c r="I60" s="7" t="str"/>
      <x:c r="J60" s="7" t="str"/>
      <x:c r="K60" s="7" t="str"/>
      <x:c r="L60" s="7" t="str"/>
      <x:c r="M60" s="7" t="str">
        <x:f>IF(L60="","OPEN",IF(OR(H60="",I60="",J60="",K60=""),"FAIL","PASS"))</x:f>
        <x:v>OPEN</x:v>
      </x:c>
    </x:row>
    <x:row r="61" ht="38" customHeight="1">
      <x:c r="B61" s="7" t="str">
        <x:v>JNT-PEA-B-Y2-5</x:v>
      </x:c>
      <x:c r="C61" s="7" t="str">
        <x:v>PEA-B-Y2</x:v>
      </x:c>
      <x:c r="D61" s="7" t="str">
        <x:v>BLD-B</x:v>
      </x:c>
      <x:c r="E61" s="7" t="str">
        <x:v>BL-Y</x:v>
      </x:c>
      <x:c r="F61" s="7" t="str">
        <x:v>J5</x:v>
      </x:c>
      <x:c r="G61" s="10" t="str">
        <x:v>preload / compression / registration / interspace</x:v>
      </x:c>
      <x:c r="H61" s="7" t="str"/>
      <x:c r="I61" s="7" t="str"/>
      <x:c r="J61" s="7" t="str"/>
      <x:c r="K61" s="7" t="str"/>
      <x:c r="L61" s="7" t="str"/>
      <x:c r="M61" s="7" t="str">
        <x:f>IF(L61="","OPEN",IF(OR(H61="",I61="",J61="",K61=""),"FAIL","PASS"))</x:f>
        <x:v>OPEN</x:v>
      </x:c>
    </x:row>
    <x:row r="62" ht="38" customHeight="1">
      <x:c r="B62" s="7" t="str">
        <x:v>JNT-PEA-B-Y3-1</x:v>
      </x:c>
      <x:c r="C62" s="7" t="str">
        <x:v>PEA-B-Y3</x:v>
      </x:c>
      <x:c r="D62" s="7" t="str">
        <x:v>BLD-B</x:v>
      </x:c>
      <x:c r="E62" s="7" t="str">
        <x:v>BL-Y</x:v>
      </x:c>
      <x:c r="F62" s="7" t="str">
        <x:v>J1</x:v>
      </x:c>
      <x:c r="G62" s="10" t="str">
        <x:v>preload / compression / registration / interspace</x:v>
      </x:c>
      <x:c r="H62" s="7" t="str"/>
      <x:c r="I62" s="7" t="str"/>
      <x:c r="J62" s="7" t="str"/>
      <x:c r="K62" s="7" t="str"/>
      <x:c r="L62" s="7" t="str"/>
      <x:c r="M62" s="7" t="str">
        <x:f>IF(L62="","OPEN",IF(OR(H62="",I62="",J62="",K62=""),"FAIL","PASS"))</x:f>
        <x:v>OPEN</x:v>
      </x:c>
    </x:row>
    <x:row r="63" ht="38" customHeight="1">
      <x:c r="B63" s="7" t="str">
        <x:v>JNT-PEA-B-Y3-2</x:v>
      </x:c>
      <x:c r="C63" s="7" t="str">
        <x:v>PEA-B-Y3</x:v>
      </x:c>
      <x:c r="D63" s="7" t="str">
        <x:v>BLD-B</x:v>
      </x:c>
      <x:c r="E63" s="7" t="str">
        <x:v>BL-Y</x:v>
      </x:c>
      <x:c r="F63" s="7" t="str">
        <x:v>J2</x:v>
      </x:c>
      <x:c r="G63" s="10" t="str">
        <x:v>preload / compression / registration / interspace</x:v>
      </x:c>
      <x:c r="H63" s="7" t="str"/>
      <x:c r="I63" s="7" t="str"/>
      <x:c r="J63" s="7" t="str"/>
      <x:c r="K63" s="7" t="str"/>
      <x:c r="L63" s="7" t="str"/>
      <x:c r="M63" s="7" t="str">
        <x:f>IF(L63="","OPEN",IF(OR(H63="",I63="",J63="",K63=""),"FAIL","PASS"))</x:f>
        <x:v>OPEN</x:v>
      </x:c>
    </x:row>
    <x:row r="64" ht="38" customHeight="1">
      <x:c r="B64" s="7" t="str">
        <x:v>JNT-PEA-B-Y3-3</x:v>
      </x:c>
      <x:c r="C64" s="7" t="str">
        <x:v>PEA-B-Y3</x:v>
      </x:c>
      <x:c r="D64" s="7" t="str">
        <x:v>BLD-B</x:v>
      </x:c>
      <x:c r="E64" s="7" t="str">
        <x:v>BL-Y</x:v>
      </x:c>
      <x:c r="F64" s="7" t="str">
        <x:v>J3</x:v>
      </x:c>
      <x:c r="G64" s="10" t="str">
        <x:v>preload / compression / registration / interspace</x:v>
      </x:c>
      <x:c r="H64" s="7" t="str"/>
      <x:c r="I64" s="7" t="str"/>
      <x:c r="J64" s="7" t="str"/>
      <x:c r="K64" s="7" t="str"/>
      <x:c r="L64" s="7" t="str"/>
      <x:c r="M64" s="7" t="str">
        <x:f>IF(L64="","OPEN",IF(OR(H64="",I64="",J64="",K64=""),"FAIL","PASS"))</x:f>
        <x:v>OPEN</x:v>
      </x:c>
    </x:row>
    <x:row r="65" ht="38" customHeight="1">
      <x:c r="B65" s="7" t="str">
        <x:v>JNT-PEA-B-Y3-4</x:v>
      </x:c>
      <x:c r="C65" s="7" t="str">
        <x:v>PEA-B-Y3</x:v>
      </x:c>
      <x:c r="D65" s="7" t="str">
        <x:v>BLD-B</x:v>
      </x:c>
      <x:c r="E65" s="7" t="str">
        <x:v>BL-Y</x:v>
      </x:c>
      <x:c r="F65" s="7" t="str">
        <x:v>J4</x:v>
      </x:c>
      <x:c r="G65" s="10" t="str">
        <x:v>preload / compression / registration / interspace</x:v>
      </x:c>
      <x:c r="H65" s="7" t="str"/>
      <x:c r="I65" s="7" t="str"/>
      <x:c r="J65" s="7" t="str"/>
      <x:c r="K65" s="7" t="str"/>
      <x:c r="L65" s="7" t="str"/>
      <x:c r="M65" s="7" t="str">
        <x:f>IF(L65="","OPEN",IF(OR(H65="",I65="",J65="",K65=""),"FAIL","PASS"))</x:f>
        <x:v>OPEN</x:v>
      </x:c>
    </x:row>
    <x:row r="66" ht="38" customHeight="1">
      <x:c r="B66" s="7" t="str">
        <x:v>JNT-PEA-B-Y3-5</x:v>
      </x:c>
      <x:c r="C66" s="7" t="str">
        <x:v>PEA-B-Y3</x:v>
      </x:c>
      <x:c r="D66" s="7" t="str">
        <x:v>BLD-B</x:v>
      </x:c>
      <x:c r="E66" s="7" t="str">
        <x:v>BL-Y</x:v>
      </x:c>
      <x:c r="F66" s="7" t="str">
        <x:v>J5</x:v>
      </x:c>
      <x:c r="G66" s="10" t="str">
        <x:v>preload / compression / registration / interspace</x:v>
      </x:c>
      <x:c r="H66" s="7" t="str"/>
      <x:c r="I66" s="7" t="str"/>
      <x:c r="J66" s="7" t="str"/>
      <x:c r="K66" s="7" t="str"/>
      <x:c r="L66" s="7" t="str"/>
      <x:c r="M66" s="7" t="str">
        <x:f>IF(L66="","OPEN",IF(OR(H66="",I66="",J66="",K66=""),"FAIL","PASS"))</x:f>
        <x:v>OPEN</x:v>
      </x:c>
    </x:row>
    <x:row r="67" ht="38" customHeight="1">
      <x:c r="B67" s="7" t="str">
        <x:v>JNT-PEA-C-X1-1</x:v>
      </x:c>
      <x:c r="C67" s="7" t="str">
        <x:v>PEA-C-X1</x:v>
      </x:c>
      <x:c r="D67" s="7" t="str">
        <x:v>BLD-C</x:v>
      </x:c>
      <x:c r="E67" s="7" t="str">
        <x:v>BL-X</x:v>
      </x:c>
      <x:c r="F67" s="7" t="str">
        <x:v>J1</x:v>
      </x:c>
      <x:c r="G67" s="10" t="str">
        <x:v>purge / heat / mismatch / gap</x:v>
      </x:c>
      <x:c r="H67" s="7" t="str"/>
      <x:c r="I67" s="7" t="str"/>
      <x:c r="J67" s="7" t="str"/>
      <x:c r="K67" s="7" t="str"/>
      <x:c r="L67" s="7" t="str"/>
      <x:c r="M67" s="7" t="str">
        <x:f>IF(L67="","OPEN",IF(OR(H67="",I67="",J67="",K67=""),"FAIL","PASS"))</x:f>
        <x:v>OPEN</x:v>
      </x:c>
    </x:row>
    <x:row r="68" ht="38" customHeight="1">
      <x:c r="B68" s="7" t="str">
        <x:v>JNT-PEA-C-X1-2</x:v>
      </x:c>
      <x:c r="C68" s="7" t="str">
        <x:v>PEA-C-X1</x:v>
      </x:c>
      <x:c r="D68" s="7" t="str">
        <x:v>BLD-C</x:v>
      </x:c>
      <x:c r="E68" s="7" t="str">
        <x:v>BL-X</x:v>
      </x:c>
      <x:c r="F68" s="7" t="str">
        <x:v>J2</x:v>
      </x:c>
      <x:c r="G68" s="10" t="str">
        <x:v>purge / heat / mismatch / gap</x:v>
      </x:c>
      <x:c r="H68" s="7" t="str"/>
      <x:c r="I68" s="7" t="str"/>
      <x:c r="J68" s="7" t="str"/>
      <x:c r="K68" s="7" t="str"/>
      <x:c r="L68" s="7" t="str"/>
      <x:c r="M68" s="7" t="str">
        <x:f>IF(L68="","OPEN",IF(OR(H68="",I68="",J68="",K68=""),"FAIL","PASS"))</x:f>
        <x:v>OPEN</x:v>
      </x:c>
    </x:row>
    <x:row r="69" ht="38" customHeight="1">
      <x:c r="B69" s="7" t="str">
        <x:v>JNT-PEA-C-X1-3</x:v>
      </x:c>
      <x:c r="C69" s="7" t="str">
        <x:v>PEA-C-X1</x:v>
      </x:c>
      <x:c r="D69" s="7" t="str">
        <x:v>BLD-C</x:v>
      </x:c>
      <x:c r="E69" s="7" t="str">
        <x:v>BL-X</x:v>
      </x:c>
      <x:c r="F69" s="7" t="str">
        <x:v>J3</x:v>
      </x:c>
      <x:c r="G69" s="10" t="str">
        <x:v>purge / heat / mismatch / gap</x:v>
      </x:c>
      <x:c r="H69" s="7" t="str"/>
      <x:c r="I69" s="7" t="str"/>
      <x:c r="J69" s="7" t="str"/>
      <x:c r="K69" s="7" t="str"/>
      <x:c r="L69" s="7" t="str"/>
      <x:c r="M69" s="7" t="str">
        <x:f>IF(L69="","OPEN",IF(OR(H69="",I69="",J69="",K69=""),"FAIL","PASS"))</x:f>
        <x:v>OPEN</x:v>
      </x:c>
    </x:row>
    <x:row r="70" ht="38" customHeight="1">
      <x:c r="B70" s="7" t="str">
        <x:v>JNT-PEA-C-X1-4</x:v>
      </x:c>
      <x:c r="C70" s="7" t="str">
        <x:v>PEA-C-X1</x:v>
      </x:c>
      <x:c r="D70" s="7" t="str">
        <x:v>BLD-C</x:v>
      </x:c>
      <x:c r="E70" s="7" t="str">
        <x:v>BL-X</x:v>
      </x:c>
      <x:c r="F70" s="7" t="str">
        <x:v>J4</x:v>
      </x:c>
      <x:c r="G70" s="10" t="str">
        <x:v>purge / heat / mismatch / gap</x:v>
      </x:c>
      <x:c r="H70" s="7" t="str"/>
      <x:c r="I70" s="7" t="str"/>
      <x:c r="J70" s="7" t="str"/>
      <x:c r="K70" s="7" t="str"/>
      <x:c r="L70" s="7" t="str"/>
      <x:c r="M70" s="7" t="str">
        <x:f>IF(L70="","OPEN",IF(OR(H70="",I70="",J70="",K70=""),"FAIL","PASS"))</x:f>
        <x:v>OPEN</x:v>
      </x:c>
    </x:row>
    <x:row r="71" ht="38" customHeight="1">
      <x:c r="B71" s="7" t="str">
        <x:v>JNT-PEA-C-X1-5</x:v>
      </x:c>
      <x:c r="C71" s="7" t="str">
        <x:v>PEA-C-X1</x:v>
      </x:c>
      <x:c r="D71" s="7" t="str">
        <x:v>BLD-C</x:v>
      </x:c>
      <x:c r="E71" s="7" t="str">
        <x:v>BL-X</x:v>
      </x:c>
      <x:c r="F71" s="7" t="str">
        <x:v>J5</x:v>
      </x:c>
      <x:c r="G71" s="10" t="str">
        <x:v>purge / heat / mismatch / gap</x:v>
      </x:c>
      <x:c r="H71" s="7" t="str"/>
      <x:c r="I71" s="7" t="str"/>
      <x:c r="J71" s="7" t="str"/>
      <x:c r="K71" s="7" t="str"/>
      <x:c r="L71" s="7" t="str"/>
      <x:c r="M71" s="7" t="str">
        <x:f>IF(L71="","OPEN",IF(OR(H71="",I71="",J71="",K71=""),"FAIL","PASS"))</x:f>
        <x:v>OPEN</x:v>
      </x:c>
    </x:row>
    <x:row r="72" ht="38" customHeight="1">
      <x:c r="B72" s="7" t="str">
        <x:v>JNT-PEA-C-X2-1</x:v>
      </x:c>
      <x:c r="C72" s="7" t="str">
        <x:v>PEA-C-X2</x:v>
      </x:c>
      <x:c r="D72" s="7" t="str">
        <x:v>BLD-C</x:v>
      </x:c>
      <x:c r="E72" s="7" t="str">
        <x:v>BL-X</x:v>
      </x:c>
      <x:c r="F72" s="7" t="str">
        <x:v>J1</x:v>
      </x:c>
      <x:c r="G72" s="10" t="str">
        <x:v>purge / heat / mismatch / gap</x:v>
      </x:c>
      <x:c r="H72" s="7" t="str"/>
      <x:c r="I72" s="7" t="str"/>
      <x:c r="J72" s="7" t="str"/>
      <x:c r="K72" s="7" t="str"/>
      <x:c r="L72" s="7" t="str"/>
      <x:c r="M72" s="7" t="str">
        <x:f>IF(L72="","OPEN",IF(OR(H72="",I72="",J72="",K72=""),"FAIL","PASS"))</x:f>
        <x:v>OPEN</x:v>
      </x:c>
    </x:row>
    <x:row r="73" ht="38" customHeight="1">
      <x:c r="B73" s="7" t="str">
        <x:v>JNT-PEA-C-X2-2</x:v>
      </x:c>
      <x:c r="C73" s="7" t="str">
        <x:v>PEA-C-X2</x:v>
      </x:c>
      <x:c r="D73" s="7" t="str">
        <x:v>BLD-C</x:v>
      </x:c>
      <x:c r="E73" s="7" t="str">
        <x:v>BL-X</x:v>
      </x:c>
      <x:c r="F73" s="7" t="str">
        <x:v>J2</x:v>
      </x:c>
      <x:c r="G73" s="10" t="str">
        <x:v>purge / heat / mismatch / gap</x:v>
      </x:c>
      <x:c r="H73" s="7" t="str"/>
      <x:c r="I73" s="7" t="str"/>
      <x:c r="J73" s="7" t="str"/>
      <x:c r="K73" s="7" t="str"/>
      <x:c r="L73" s="7" t="str"/>
      <x:c r="M73" s="7" t="str">
        <x:f>IF(L73="","OPEN",IF(OR(H73="",I73="",J73="",K73=""),"FAIL","PASS"))</x:f>
        <x:v>OPEN</x:v>
      </x:c>
    </x:row>
    <x:row r="74" ht="38" customHeight="1">
      <x:c r="B74" s="7" t="str">
        <x:v>JNT-PEA-C-X2-3</x:v>
      </x:c>
      <x:c r="C74" s="7" t="str">
        <x:v>PEA-C-X2</x:v>
      </x:c>
      <x:c r="D74" s="7" t="str">
        <x:v>BLD-C</x:v>
      </x:c>
      <x:c r="E74" s="7" t="str">
        <x:v>BL-X</x:v>
      </x:c>
      <x:c r="F74" s="7" t="str">
        <x:v>J3</x:v>
      </x:c>
      <x:c r="G74" s="10" t="str">
        <x:v>purge / heat / mismatch / gap</x:v>
      </x:c>
      <x:c r="H74" s="7" t="str"/>
      <x:c r="I74" s="7" t="str"/>
      <x:c r="J74" s="7" t="str"/>
      <x:c r="K74" s="7" t="str"/>
      <x:c r="L74" s="7" t="str"/>
      <x:c r="M74" s="7" t="str">
        <x:f>IF(L74="","OPEN",IF(OR(H74="",I74="",J74="",K74=""),"FAIL","PASS"))</x:f>
        <x:v>OPEN</x:v>
      </x:c>
    </x:row>
    <x:row r="75" ht="38" customHeight="1">
      <x:c r="B75" s="7" t="str">
        <x:v>JNT-PEA-C-X2-4</x:v>
      </x:c>
      <x:c r="C75" s="7" t="str">
        <x:v>PEA-C-X2</x:v>
      </x:c>
      <x:c r="D75" s="7" t="str">
        <x:v>BLD-C</x:v>
      </x:c>
      <x:c r="E75" s="7" t="str">
        <x:v>BL-X</x:v>
      </x:c>
      <x:c r="F75" s="7" t="str">
        <x:v>J4</x:v>
      </x:c>
      <x:c r="G75" s="10" t="str">
        <x:v>purge / heat / mismatch / gap</x:v>
      </x:c>
      <x:c r="H75" s="7" t="str"/>
      <x:c r="I75" s="7" t="str"/>
      <x:c r="J75" s="7" t="str"/>
      <x:c r="K75" s="7" t="str"/>
      <x:c r="L75" s="7" t="str"/>
      <x:c r="M75" s="7" t="str">
        <x:f>IF(L75="","OPEN",IF(OR(H75="",I75="",J75="",K75=""),"FAIL","PASS"))</x:f>
        <x:v>OPEN</x:v>
      </x:c>
    </x:row>
    <x:row r="76" ht="38" customHeight="1">
      <x:c r="B76" s="7" t="str">
        <x:v>JNT-PEA-C-X2-5</x:v>
      </x:c>
      <x:c r="C76" s="7" t="str">
        <x:v>PEA-C-X2</x:v>
      </x:c>
      <x:c r="D76" s="7" t="str">
        <x:v>BLD-C</x:v>
      </x:c>
      <x:c r="E76" s="7" t="str">
        <x:v>BL-X</x:v>
      </x:c>
      <x:c r="F76" s="7" t="str">
        <x:v>J5</x:v>
      </x:c>
      <x:c r="G76" s="10" t="str">
        <x:v>purge / heat / mismatch / gap</x:v>
      </x:c>
      <x:c r="H76" s="7" t="str"/>
      <x:c r="I76" s="7" t="str"/>
      <x:c r="J76" s="7" t="str"/>
      <x:c r="K76" s="7" t="str"/>
      <x:c r="L76" s="7" t="str"/>
      <x:c r="M76" s="7" t="str">
        <x:f>IF(L76="","OPEN",IF(OR(H76="",I76="",J76="",K76=""),"FAIL","PASS"))</x:f>
        <x:v>OPEN</x:v>
      </x:c>
    </x:row>
    <x:row r="77" ht="38" customHeight="1">
      <x:c r="B77" s="7" t="str">
        <x:v>JNT-PEA-C-X3-1</x:v>
      </x:c>
      <x:c r="C77" s="7" t="str">
        <x:v>PEA-C-X3</x:v>
      </x:c>
      <x:c r="D77" s="7" t="str">
        <x:v>BLD-C</x:v>
      </x:c>
      <x:c r="E77" s="7" t="str">
        <x:v>BL-X</x:v>
      </x:c>
      <x:c r="F77" s="7" t="str">
        <x:v>J1</x:v>
      </x:c>
      <x:c r="G77" s="10" t="str">
        <x:v>purge / heat / mismatch / gap</x:v>
      </x:c>
      <x:c r="H77" s="7" t="str"/>
      <x:c r="I77" s="7" t="str"/>
      <x:c r="J77" s="7" t="str"/>
      <x:c r="K77" s="7" t="str"/>
      <x:c r="L77" s="7" t="str"/>
      <x:c r="M77" s="7" t="str">
        <x:f>IF(L77="","OPEN",IF(OR(H77="",I77="",J77="",K77=""),"FAIL","PASS"))</x:f>
        <x:v>OPEN</x:v>
      </x:c>
    </x:row>
    <x:row r="78" ht="38" customHeight="1">
      <x:c r="B78" s="7" t="str">
        <x:v>JNT-PEA-C-X3-2</x:v>
      </x:c>
      <x:c r="C78" s="7" t="str">
        <x:v>PEA-C-X3</x:v>
      </x:c>
      <x:c r="D78" s="7" t="str">
        <x:v>BLD-C</x:v>
      </x:c>
      <x:c r="E78" s="7" t="str">
        <x:v>BL-X</x:v>
      </x:c>
      <x:c r="F78" s="7" t="str">
        <x:v>J2</x:v>
      </x:c>
      <x:c r="G78" s="10" t="str">
        <x:v>purge / heat / mismatch / gap</x:v>
      </x:c>
      <x:c r="H78" s="7" t="str"/>
      <x:c r="I78" s="7" t="str"/>
      <x:c r="J78" s="7" t="str"/>
      <x:c r="K78" s="7" t="str"/>
      <x:c r="L78" s="7" t="str"/>
      <x:c r="M78" s="7" t="str">
        <x:f>IF(L78="","OPEN",IF(OR(H78="",I78="",J78="",K78=""),"FAIL","PASS"))</x:f>
        <x:v>OPEN</x:v>
      </x:c>
    </x:row>
    <x:row r="79" ht="38" customHeight="1">
      <x:c r="B79" s="7" t="str">
        <x:v>JNT-PEA-C-X3-3</x:v>
      </x:c>
      <x:c r="C79" s="7" t="str">
        <x:v>PEA-C-X3</x:v>
      </x:c>
      <x:c r="D79" s="7" t="str">
        <x:v>BLD-C</x:v>
      </x:c>
      <x:c r="E79" s="7" t="str">
        <x:v>BL-X</x:v>
      </x:c>
      <x:c r="F79" s="7" t="str">
        <x:v>J3</x:v>
      </x:c>
      <x:c r="G79" s="10" t="str">
        <x:v>purge / heat / mismatch / gap</x:v>
      </x:c>
      <x:c r="H79" s="7" t="str"/>
      <x:c r="I79" s="7" t="str"/>
      <x:c r="J79" s="7" t="str"/>
      <x:c r="K79" s="7" t="str"/>
      <x:c r="L79" s="7" t="str"/>
      <x:c r="M79" s="7" t="str">
        <x:f>IF(L79="","OPEN",IF(OR(H79="",I79="",J79="",K79=""),"FAIL","PASS"))</x:f>
        <x:v>OPEN</x:v>
      </x:c>
    </x:row>
    <x:row r="80" ht="38" customHeight="1">
      <x:c r="B80" s="7" t="str">
        <x:v>JNT-PEA-C-X3-4</x:v>
      </x:c>
      <x:c r="C80" s="7" t="str">
        <x:v>PEA-C-X3</x:v>
      </x:c>
      <x:c r="D80" s="7" t="str">
        <x:v>BLD-C</x:v>
      </x:c>
      <x:c r="E80" s="7" t="str">
        <x:v>BL-X</x:v>
      </x:c>
      <x:c r="F80" s="7" t="str">
        <x:v>J4</x:v>
      </x:c>
      <x:c r="G80" s="10" t="str">
        <x:v>purge / heat / mismatch / gap</x:v>
      </x:c>
      <x:c r="H80" s="7" t="str"/>
      <x:c r="I80" s="7" t="str"/>
      <x:c r="J80" s="7" t="str"/>
      <x:c r="K80" s="7" t="str"/>
      <x:c r="L80" s="7" t="str"/>
      <x:c r="M80" s="7" t="str">
        <x:f>IF(L80="","OPEN",IF(OR(H80="",I80="",J80="",K80=""),"FAIL","PASS"))</x:f>
        <x:v>OPEN</x:v>
      </x:c>
    </x:row>
    <x:row r="81" ht="38" customHeight="1">
      <x:c r="B81" s="7" t="str">
        <x:v>JNT-PEA-C-X3-5</x:v>
      </x:c>
      <x:c r="C81" s="7" t="str">
        <x:v>PEA-C-X3</x:v>
      </x:c>
      <x:c r="D81" s="7" t="str">
        <x:v>BLD-C</x:v>
      </x:c>
      <x:c r="E81" s="7" t="str">
        <x:v>BL-X</x:v>
      </x:c>
      <x:c r="F81" s="7" t="str">
        <x:v>J5</x:v>
      </x:c>
      <x:c r="G81" s="10" t="str">
        <x:v>purge / heat / mismatch / gap</x:v>
      </x:c>
      <x:c r="H81" s="7" t="str"/>
      <x:c r="I81" s="7" t="str"/>
      <x:c r="J81" s="7" t="str"/>
      <x:c r="K81" s="7" t="str"/>
      <x:c r="L81" s="7" t="str"/>
      <x:c r="M81" s="7" t="str">
        <x:f>IF(L81="","OPEN",IF(OR(H81="",I81="",J81="",K81=""),"FAIL","PASS"))</x:f>
        <x:v>OPEN</x:v>
      </x:c>
    </x:row>
    <x:row r="82" ht="38" customHeight="1">
      <x:c r="B82" s="7" t="str">
        <x:v>JNT-PEA-C-Y1-1</x:v>
      </x:c>
      <x:c r="C82" s="7" t="str">
        <x:v>PEA-C-Y1</x:v>
      </x:c>
      <x:c r="D82" s="7" t="str">
        <x:v>BLD-C</x:v>
      </x:c>
      <x:c r="E82" s="7" t="str">
        <x:v>BL-Y</x:v>
      </x:c>
      <x:c r="F82" s="7" t="str">
        <x:v>J1</x:v>
      </x:c>
      <x:c r="G82" s="10" t="str">
        <x:v>preload / compression / registration / interspace</x:v>
      </x:c>
      <x:c r="H82" s="7" t="str"/>
      <x:c r="I82" s="7" t="str"/>
      <x:c r="J82" s="7" t="str"/>
      <x:c r="K82" s="7" t="str"/>
      <x:c r="L82" s="7" t="str"/>
      <x:c r="M82" s="7" t="str">
        <x:f>IF(L82="","OPEN",IF(OR(H82="",I82="",J82="",K82=""),"FAIL","PASS"))</x:f>
        <x:v>OPEN</x:v>
      </x:c>
    </x:row>
    <x:row r="83" ht="38" customHeight="1">
      <x:c r="B83" s="7" t="str">
        <x:v>JNT-PEA-C-Y1-2</x:v>
      </x:c>
      <x:c r="C83" s="7" t="str">
        <x:v>PEA-C-Y1</x:v>
      </x:c>
      <x:c r="D83" s="7" t="str">
        <x:v>BLD-C</x:v>
      </x:c>
      <x:c r="E83" s="7" t="str">
        <x:v>BL-Y</x:v>
      </x:c>
      <x:c r="F83" s="7" t="str">
        <x:v>J2</x:v>
      </x:c>
      <x:c r="G83" s="10" t="str">
        <x:v>preload / compression / registration / interspace</x:v>
      </x:c>
      <x:c r="H83" s="7" t="str"/>
      <x:c r="I83" s="7" t="str"/>
      <x:c r="J83" s="7" t="str"/>
      <x:c r="K83" s="7" t="str"/>
      <x:c r="L83" s="7" t="str"/>
      <x:c r="M83" s="7" t="str">
        <x:f>IF(L83="","OPEN",IF(OR(H83="",I83="",J83="",K83=""),"FAIL","PASS"))</x:f>
        <x:v>OPEN</x:v>
      </x:c>
    </x:row>
    <x:row r="84" ht="38" customHeight="1">
      <x:c r="B84" s="7" t="str">
        <x:v>JNT-PEA-C-Y1-3</x:v>
      </x:c>
      <x:c r="C84" s="7" t="str">
        <x:v>PEA-C-Y1</x:v>
      </x:c>
      <x:c r="D84" s="7" t="str">
        <x:v>BLD-C</x:v>
      </x:c>
      <x:c r="E84" s="7" t="str">
        <x:v>BL-Y</x:v>
      </x:c>
      <x:c r="F84" s="7" t="str">
        <x:v>J3</x:v>
      </x:c>
      <x:c r="G84" s="10" t="str">
        <x:v>preload / compression / registration / interspace</x:v>
      </x:c>
      <x:c r="H84" s="7" t="str"/>
      <x:c r="I84" s="7" t="str"/>
      <x:c r="J84" s="7" t="str"/>
      <x:c r="K84" s="7" t="str"/>
      <x:c r="L84" s="7" t="str"/>
      <x:c r="M84" s="7" t="str">
        <x:f>IF(L84="","OPEN",IF(OR(H84="",I84="",J84="",K84=""),"FAIL","PASS"))</x:f>
        <x:v>OPEN</x:v>
      </x:c>
    </x:row>
    <x:row r="85" ht="38" customHeight="1">
      <x:c r="B85" s="7" t="str">
        <x:v>JNT-PEA-C-Y1-4</x:v>
      </x:c>
      <x:c r="C85" s="7" t="str">
        <x:v>PEA-C-Y1</x:v>
      </x:c>
      <x:c r="D85" s="7" t="str">
        <x:v>BLD-C</x:v>
      </x:c>
      <x:c r="E85" s="7" t="str">
        <x:v>BL-Y</x:v>
      </x:c>
      <x:c r="F85" s="7" t="str">
        <x:v>J4</x:v>
      </x:c>
      <x:c r="G85" s="10" t="str">
        <x:v>preload / compression / registration / interspace</x:v>
      </x:c>
      <x:c r="H85" s="7" t="str"/>
      <x:c r="I85" s="7" t="str"/>
      <x:c r="J85" s="7" t="str"/>
      <x:c r="K85" s="7" t="str"/>
      <x:c r="L85" s="7" t="str"/>
      <x:c r="M85" s="7" t="str">
        <x:f>IF(L85="","OPEN",IF(OR(H85="",I85="",J85="",K85=""),"FAIL","PASS"))</x:f>
        <x:v>OPEN</x:v>
      </x:c>
    </x:row>
    <x:row r="86" ht="38" customHeight="1">
      <x:c r="B86" s="7" t="str">
        <x:v>JNT-PEA-C-Y1-5</x:v>
      </x:c>
      <x:c r="C86" s="7" t="str">
        <x:v>PEA-C-Y1</x:v>
      </x:c>
      <x:c r="D86" s="7" t="str">
        <x:v>BLD-C</x:v>
      </x:c>
      <x:c r="E86" s="7" t="str">
        <x:v>BL-Y</x:v>
      </x:c>
      <x:c r="F86" s="7" t="str">
        <x:v>J5</x:v>
      </x:c>
      <x:c r="G86" s="10" t="str">
        <x:v>preload / compression / registration / interspace</x:v>
      </x:c>
      <x:c r="H86" s="7" t="str"/>
      <x:c r="I86" s="7" t="str"/>
      <x:c r="J86" s="7" t="str"/>
      <x:c r="K86" s="7" t="str"/>
      <x:c r="L86" s="7" t="str"/>
      <x:c r="M86" s="7" t="str">
        <x:f>IF(L86="","OPEN",IF(OR(H86="",I86="",J86="",K86=""),"FAIL","PASS"))</x:f>
        <x:v>OPEN</x:v>
      </x:c>
    </x:row>
    <x:row r="87" ht="38" customHeight="1">
      <x:c r="B87" s="7" t="str">
        <x:v>JNT-PEA-C-Y2-1</x:v>
      </x:c>
      <x:c r="C87" s="7" t="str">
        <x:v>PEA-C-Y2</x:v>
      </x:c>
      <x:c r="D87" s="7" t="str">
        <x:v>BLD-C</x:v>
      </x:c>
      <x:c r="E87" s="7" t="str">
        <x:v>BL-Y</x:v>
      </x:c>
      <x:c r="F87" s="7" t="str">
        <x:v>J1</x:v>
      </x:c>
      <x:c r="G87" s="10" t="str">
        <x:v>preload / compression / registration / interspace</x:v>
      </x:c>
      <x:c r="H87" s="7" t="str"/>
      <x:c r="I87" s="7" t="str"/>
      <x:c r="J87" s="7" t="str"/>
      <x:c r="K87" s="7" t="str"/>
      <x:c r="L87" s="7" t="str"/>
      <x:c r="M87" s="7" t="str">
        <x:f>IF(L87="","OPEN",IF(OR(H87="",I87="",J87="",K87=""),"FAIL","PASS"))</x:f>
        <x:v>OPEN</x:v>
      </x:c>
    </x:row>
    <x:row r="88" ht="38" customHeight="1">
      <x:c r="B88" s="7" t="str">
        <x:v>JNT-PEA-C-Y2-2</x:v>
      </x:c>
      <x:c r="C88" s="7" t="str">
        <x:v>PEA-C-Y2</x:v>
      </x:c>
      <x:c r="D88" s="7" t="str">
        <x:v>BLD-C</x:v>
      </x:c>
      <x:c r="E88" s="7" t="str">
        <x:v>BL-Y</x:v>
      </x:c>
      <x:c r="F88" s="7" t="str">
        <x:v>J2</x:v>
      </x:c>
      <x:c r="G88" s="10" t="str">
        <x:v>preload / compression / registration / interspace</x:v>
      </x:c>
      <x:c r="H88" s="7" t="str"/>
      <x:c r="I88" s="7" t="str"/>
      <x:c r="J88" s="7" t="str"/>
      <x:c r="K88" s="7" t="str"/>
      <x:c r="L88" s="7" t="str"/>
      <x:c r="M88" s="7" t="str">
        <x:f>IF(L88="","OPEN",IF(OR(H88="",I88="",J88="",K88=""),"FAIL","PASS"))</x:f>
        <x:v>OPEN</x:v>
      </x:c>
    </x:row>
    <x:row r="89" ht="38" customHeight="1">
      <x:c r="B89" s="7" t="str">
        <x:v>JNT-PEA-C-Y2-3</x:v>
      </x:c>
      <x:c r="C89" s="7" t="str">
        <x:v>PEA-C-Y2</x:v>
      </x:c>
      <x:c r="D89" s="7" t="str">
        <x:v>BLD-C</x:v>
      </x:c>
      <x:c r="E89" s="7" t="str">
        <x:v>BL-Y</x:v>
      </x:c>
      <x:c r="F89" s="7" t="str">
        <x:v>J3</x:v>
      </x:c>
      <x:c r="G89" s="10" t="str">
        <x:v>preload / compression / registration / interspace</x:v>
      </x:c>
      <x:c r="H89" s="7" t="str"/>
      <x:c r="I89" s="7" t="str"/>
      <x:c r="J89" s="7" t="str"/>
      <x:c r="K89" s="7" t="str"/>
      <x:c r="L89" s="7" t="str"/>
      <x:c r="M89" s="7" t="str">
        <x:f>IF(L89="","OPEN",IF(OR(H89="",I89="",J89="",K89=""),"FAIL","PASS"))</x:f>
        <x:v>OPEN</x:v>
      </x:c>
    </x:row>
    <x:row r="90" ht="38" customHeight="1">
      <x:c r="B90" s="7" t="str">
        <x:v>JNT-PEA-C-Y2-4</x:v>
      </x:c>
      <x:c r="C90" s="7" t="str">
        <x:v>PEA-C-Y2</x:v>
      </x:c>
      <x:c r="D90" s="7" t="str">
        <x:v>BLD-C</x:v>
      </x:c>
      <x:c r="E90" s="7" t="str">
        <x:v>BL-Y</x:v>
      </x:c>
      <x:c r="F90" s="7" t="str">
        <x:v>J4</x:v>
      </x:c>
      <x:c r="G90" s="10" t="str">
        <x:v>preload / compression / registration / interspace</x:v>
      </x:c>
      <x:c r="H90" s="7" t="str"/>
      <x:c r="I90" s="7" t="str"/>
      <x:c r="J90" s="7" t="str"/>
      <x:c r="K90" s="7" t="str"/>
      <x:c r="L90" s="7" t="str"/>
      <x:c r="M90" s="7" t="str">
        <x:f>IF(L90="","OPEN",IF(OR(H90="",I90="",J90="",K90=""),"FAIL","PASS"))</x:f>
        <x:v>OPEN</x:v>
      </x:c>
    </x:row>
    <x:row r="91" ht="38" customHeight="1">
      <x:c r="B91" s="7" t="str">
        <x:v>JNT-PEA-C-Y2-5</x:v>
      </x:c>
      <x:c r="C91" s="7" t="str">
        <x:v>PEA-C-Y2</x:v>
      </x:c>
      <x:c r="D91" s="7" t="str">
        <x:v>BLD-C</x:v>
      </x:c>
      <x:c r="E91" s="7" t="str">
        <x:v>BL-Y</x:v>
      </x:c>
      <x:c r="F91" s="7" t="str">
        <x:v>J5</x:v>
      </x:c>
      <x:c r="G91" s="10" t="str">
        <x:v>preload / compression / registration / interspace</x:v>
      </x:c>
      <x:c r="H91" s="7" t="str"/>
      <x:c r="I91" s="7" t="str"/>
      <x:c r="J91" s="7" t="str"/>
      <x:c r="K91" s="7" t="str"/>
      <x:c r="L91" s="7" t="str"/>
      <x:c r="M91" s="7" t="str">
        <x:f>IF(L91="","OPEN",IF(OR(H91="",I91="",J91="",K91=""),"FAIL","PASS"))</x:f>
        <x:v>OPEN</x:v>
      </x:c>
    </x:row>
    <x:row r="92" ht="38" customHeight="1">
      <x:c r="B92" s="7" t="str">
        <x:v>JNT-PEA-C-Y3-1</x:v>
      </x:c>
      <x:c r="C92" s="7" t="str">
        <x:v>PEA-C-Y3</x:v>
      </x:c>
      <x:c r="D92" s="7" t="str">
        <x:v>BLD-C</x:v>
      </x:c>
      <x:c r="E92" s="7" t="str">
        <x:v>BL-Y</x:v>
      </x:c>
      <x:c r="F92" s="7" t="str">
        <x:v>J1</x:v>
      </x:c>
      <x:c r="G92" s="10" t="str">
        <x:v>preload / compression / registration / interspace</x:v>
      </x:c>
      <x:c r="H92" s="7" t="str"/>
      <x:c r="I92" s="7" t="str"/>
      <x:c r="J92" s="7" t="str"/>
      <x:c r="K92" s="7" t="str"/>
      <x:c r="L92" s="7" t="str"/>
      <x:c r="M92" s="7" t="str">
        <x:f>IF(L92="","OPEN",IF(OR(H92="",I92="",J92="",K92=""),"FAIL","PASS"))</x:f>
        <x:v>OPEN</x:v>
      </x:c>
    </x:row>
    <x:row r="93" ht="38" customHeight="1">
      <x:c r="B93" s="7" t="str">
        <x:v>JNT-PEA-C-Y3-2</x:v>
      </x:c>
      <x:c r="C93" s="7" t="str">
        <x:v>PEA-C-Y3</x:v>
      </x:c>
      <x:c r="D93" s="7" t="str">
        <x:v>BLD-C</x:v>
      </x:c>
      <x:c r="E93" s="7" t="str">
        <x:v>BL-Y</x:v>
      </x:c>
      <x:c r="F93" s="7" t="str">
        <x:v>J2</x:v>
      </x:c>
      <x:c r="G93" s="10" t="str">
        <x:v>preload / compression / registration / interspace</x:v>
      </x:c>
      <x:c r="H93" s="7" t="str"/>
      <x:c r="I93" s="7" t="str"/>
      <x:c r="J93" s="7" t="str"/>
      <x:c r="K93" s="7" t="str"/>
      <x:c r="L93" s="7" t="str"/>
      <x:c r="M93" s="7" t="str">
        <x:f>IF(L93="","OPEN",IF(OR(H93="",I93="",J93="",K93=""),"FAIL","PASS"))</x:f>
        <x:v>OPEN</x:v>
      </x:c>
    </x:row>
    <x:row r="94" ht="38" customHeight="1">
      <x:c r="B94" s="7" t="str">
        <x:v>JNT-PEA-C-Y3-3</x:v>
      </x:c>
      <x:c r="C94" s="7" t="str">
        <x:v>PEA-C-Y3</x:v>
      </x:c>
      <x:c r="D94" s="7" t="str">
        <x:v>BLD-C</x:v>
      </x:c>
      <x:c r="E94" s="7" t="str">
        <x:v>BL-Y</x:v>
      </x:c>
      <x:c r="F94" s="7" t="str">
        <x:v>J3</x:v>
      </x:c>
      <x:c r="G94" s="10" t="str">
        <x:v>preload / compression / registration / interspace</x:v>
      </x:c>
      <x:c r="H94" s="7" t="str"/>
      <x:c r="I94" s="7" t="str"/>
      <x:c r="J94" s="7" t="str"/>
      <x:c r="K94" s="7" t="str"/>
      <x:c r="L94" s="7" t="str"/>
      <x:c r="M94" s="7" t="str">
        <x:f>IF(L94="","OPEN",IF(OR(H94="",I94="",J94="",K94=""),"FAIL","PASS"))</x:f>
        <x:v>OPEN</x:v>
      </x:c>
    </x:row>
    <x:row r="95" ht="38" customHeight="1">
      <x:c r="B95" s="7" t="str">
        <x:v>JNT-PEA-C-Y3-4</x:v>
      </x:c>
      <x:c r="C95" s="7" t="str">
        <x:v>PEA-C-Y3</x:v>
      </x:c>
      <x:c r="D95" s="7" t="str">
        <x:v>BLD-C</x:v>
      </x:c>
      <x:c r="E95" s="7" t="str">
        <x:v>BL-Y</x:v>
      </x:c>
      <x:c r="F95" s="7" t="str">
        <x:v>J4</x:v>
      </x:c>
      <x:c r="G95" s="10" t="str">
        <x:v>preload / compression / registration / interspace</x:v>
      </x:c>
      <x:c r="H95" s="7" t="str"/>
      <x:c r="I95" s="7" t="str"/>
      <x:c r="J95" s="7" t="str"/>
      <x:c r="K95" s="7" t="str"/>
      <x:c r="L95" s="7" t="str"/>
      <x:c r="M95" s="7" t="str">
        <x:f>IF(L95="","OPEN",IF(OR(H95="",I95="",J95="",K95=""),"FAIL","PASS"))</x:f>
        <x:v>OPEN</x:v>
      </x:c>
    </x:row>
    <x:row r="96" ht="38" customHeight="1">
      <x:c r="B96" s="7" t="str">
        <x:v>JNT-PEA-C-Y3-5</x:v>
      </x:c>
      <x:c r="C96" s="7" t="str">
        <x:v>PEA-C-Y3</x:v>
      </x:c>
      <x:c r="D96" s="7" t="str">
        <x:v>BLD-C</x:v>
      </x:c>
      <x:c r="E96" s="7" t="str">
        <x:v>BL-Y</x:v>
      </x:c>
      <x:c r="F96" s="7" t="str">
        <x:v>J5</x:v>
      </x:c>
      <x:c r="G96" s="10" t="str">
        <x:v>preload / compression / registration / interspace</x:v>
      </x:c>
      <x:c r="H96" s="7" t="str"/>
      <x:c r="I96" s="7" t="str"/>
      <x:c r="J96" s="7" t="str"/>
      <x:c r="K96" s="7" t="str"/>
      <x:c r="L96" s="7" t="str"/>
      <x:c r="M96" s="7" t="str">
        <x:f>IF(L96="","OPEN",IF(OR(H96="",I96="",J96="",K96=""),"FAIL","PASS"))</x:f>
        <x:v>OPEN</x:v>
      </x:c>
    </x:row>
  </x:sheetData>
  <x:conditionalFormatting sqref="M7:M96">
    <x:cfRule type="containsText" dxfId="78" priority="1" operator="containsText" text="FAIL"/>
    <x:cfRule type="containsText" dxfId="79" priority="2" operator="containsText" text="BLOCKED"/>
    <x:cfRule type="containsText" dxfId="80" priority="3" operator="containsText" text="OPEN"/>
    <x:cfRule type="containsText" dxfId="81" priority="4" operator="containsText" text="DORMANT"/>
    <x:cfRule type="containsText" dxfId="82" priority="5" operator="containsText" text="REVIEW"/>
    <x:cfRule type="containsText" dxfId="83" priority="6" operator="containsText" text="PASS"/>
  </x:conditionalFormatting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27" hidden="0" customWidth="1"/>
    <x:col min="3" max="3" width="17" hidden="0" customWidth="1"/>
    <x:col min="4" max="4" width="14" hidden="0" customWidth="1"/>
    <x:col min="5" max="5" width="13" hidden="0" customWidth="1"/>
    <x:col min="6" max="6" width="13" hidden="0" customWidth="1"/>
    <x:col min="7" max="7" width="25" hidden="0" customWidth="1"/>
    <x:col min="8" max="8" width="19" hidden="0" customWidth="1"/>
    <x:col min="9" max="9" width="23" hidden="0" customWidth="1"/>
    <x:col min="10" max="10" width="18" hidden="0" customWidth="1"/>
    <x:col min="11" max="11" width="21" hidden="0" customWidth="1"/>
    <x:col min="12" max="12" width="14" hidden="0" customWidth="1"/>
  </x:cols>
  <x:sheetData>
    <x:row r="2">
      <x:c r="B2" s="1" t="str">
        <x:v>Two hundred sixteen final-element factory releases</x:v>
      </x:c>
    </x:row>
    <x:row r="3">
      <x:c r="B3" s="2" t="str">
        <x:v>Each element requires its serial, measured work, direct final-state observation and action time.</x:v>
      </x:c>
    </x:row>
    <x:row r="6" ht="24" customHeight="1">
      <x:c r="B6" s="6" t="str">
        <x:v>Element</x:v>
      </x:c>
      <x:c r="C6" s="6" t="str">
        <x:v>Article</x:v>
      </x:c>
      <x:c r="D6" s="6" t="str">
        <x:v>Builder</x:v>
      </x:c>
      <x:c r="E6" s="6" t="str">
        <x:v>Lineage</x:v>
      </x:c>
      <x:c r="F6" s="6" t="str">
        <x:v>Position</x:v>
      </x:c>
      <x:c r="G6" s="6" t="str">
        <x:v>Installed serial</x:v>
      </x:c>
      <x:c r="H6" s="6" t="str">
        <x:v>Spring work J</x:v>
      </x:c>
      <x:c r="I6" s="6" t="str">
        <x:v>Direct final state</x:v>
      </x:c>
      <x:c r="J6" s="6" t="str">
        <x:v>Action time s</x:v>
      </x:c>
      <x:c r="K6" s="6" t="str">
        <x:v>Accepted UTC</x:v>
      </x:c>
      <x:c r="L6" s="6" t="str">
        <x:v>State</x:v>
      </x:c>
    </x:row>
    <x:row r="7">
      <x:c r="B7" s="7" t="str">
        <x:v>ELM-PEA-A-X1-01</x:v>
      </x:c>
      <x:c r="C7" s="7" t="str">
        <x:v>PEA-A-X1</x:v>
      </x:c>
      <x:c r="D7" s="7" t="str">
        <x:v>BLD-A</x:v>
      </x:c>
      <x:c r="E7" s="7" t="str">
        <x:v>BL-X</x:v>
      </x:c>
      <x:c r="F7" s="7" t="n">
        <x:v>1</x:v>
      </x:c>
      <x:c r="G7" s="7" t="str"/>
      <x:c r="H7" s="7" t="str"/>
      <x:c r="I7" s="7" t="str"/>
      <x:c r="J7" s="7" t="str"/>
      <x:c r="K7" s="7" t="str"/>
      <x:c r="L7" s="7" t="str">
        <x:f>IF(K7="","OPEN",IF(OR(G7="",NOT(ISNUMBER(H7)),I7&lt;&gt;"SAFE",NOT(ISNUMBER(J7))),"FAIL","PASS"))</x:f>
        <x:v>OPEN</x:v>
      </x:c>
    </x:row>
    <x:row r="8">
      <x:c r="B8" s="7" t="str">
        <x:v>ELM-PEA-A-X1-02</x:v>
      </x:c>
      <x:c r="C8" s="7" t="str">
        <x:v>PEA-A-X1</x:v>
      </x:c>
      <x:c r="D8" s="7" t="str">
        <x:v>BLD-A</x:v>
      </x:c>
      <x:c r="E8" s="7" t="str">
        <x:v>BL-X</x:v>
      </x:c>
      <x:c r="F8" s="7" t="n">
        <x:v>2</x:v>
      </x:c>
      <x:c r="G8" s="7" t="str"/>
      <x:c r="H8" s="7" t="str"/>
      <x:c r="I8" s="7" t="str"/>
      <x:c r="J8" s="7" t="str"/>
      <x:c r="K8" s="7" t="str"/>
      <x:c r="L8" s="7" t="str">
        <x:f>IF(K8="","OPEN",IF(OR(G8="",NOT(ISNUMBER(H8)),I8&lt;&gt;"SAFE",NOT(ISNUMBER(J8))),"FAIL","PASS"))</x:f>
        <x:v>OPEN</x:v>
      </x:c>
    </x:row>
    <x:row r="9">
      <x:c r="B9" s="7" t="str">
        <x:v>ELM-PEA-A-X1-03</x:v>
      </x:c>
      <x:c r="C9" s="7" t="str">
        <x:v>PEA-A-X1</x:v>
      </x:c>
      <x:c r="D9" s="7" t="str">
        <x:v>BLD-A</x:v>
      </x:c>
      <x:c r="E9" s="7" t="str">
        <x:v>BL-X</x:v>
      </x:c>
      <x:c r="F9" s="7" t="n">
        <x:v>3</x:v>
      </x:c>
      <x:c r="G9" s="7" t="str"/>
      <x:c r="H9" s="7" t="str"/>
      <x:c r="I9" s="7" t="str"/>
      <x:c r="J9" s="7" t="str"/>
      <x:c r="K9" s="7" t="str"/>
      <x:c r="L9" s="7" t="str">
        <x:f>IF(K9="","OPEN",IF(OR(G9="",NOT(ISNUMBER(H9)),I9&lt;&gt;"SAFE",NOT(ISNUMBER(J9))),"FAIL","PASS"))</x:f>
        <x:v>OPEN</x:v>
      </x:c>
    </x:row>
    <x:row r="10">
      <x:c r="B10" s="7" t="str">
        <x:v>ELM-PEA-A-X1-04</x:v>
      </x:c>
      <x:c r="C10" s="7" t="str">
        <x:v>PEA-A-X1</x:v>
      </x:c>
      <x:c r="D10" s="7" t="str">
        <x:v>BLD-A</x:v>
      </x:c>
      <x:c r="E10" s="7" t="str">
        <x:v>BL-X</x:v>
      </x:c>
      <x:c r="F10" s="7" t="n">
        <x:v>4</x:v>
      </x:c>
      <x:c r="G10" s="7" t="str"/>
      <x:c r="H10" s="7" t="str"/>
      <x:c r="I10" s="7" t="str"/>
      <x:c r="J10" s="7" t="str"/>
      <x:c r="K10" s="7" t="str"/>
      <x:c r="L10" s="7" t="str">
        <x:f>IF(K10="","OPEN",IF(OR(G10="",NOT(ISNUMBER(H10)),I10&lt;&gt;"SAFE",NOT(ISNUMBER(J10))),"FAIL","PASS"))</x:f>
        <x:v>OPEN</x:v>
      </x:c>
    </x:row>
    <x:row r="11">
      <x:c r="B11" s="7" t="str">
        <x:v>ELM-PEA-A-X1-05</x:v>
      </x:c>
      <x:c r="C11" s="7" t="str">
        <x:v>PEA-A-X1</x:v>
      </x:c>
      <x:c r="D11" s="7" t="str">
        <x:v>BLD-A</x:v>
      </x:c>
      <x:c r="E11" s="7" t="str">
        <x:v>BL-X</x:v>
      </x:c>
      <x:c r="F11" s="7" t="n">
        <x:v>5</x:v>
      </x:c>
      <x:c r="G11" s="7" t="str"/>
      <x:c r="H11" s="7" t="str"/>
      <x:c r="I11" s="7" t="str"/>
      <x:c r="J11" s="7" t="str"/>
      <x:c r="K11" s="7" t="str"/>
      <x:c r="L11" s="7" t="str">
        <x:f>IF(K11="","OPEN",IF(OR(G11="",NOT(ISNUMBER(H11)),I11&lt;&gt;"SAFE",NOT(ISNUMBER(J11))),"FAIL","PASS"))</x:f>
        <x:v>OPEN</x:v>
      </x:c>
    </x:row>
    <x:row r="12">
      <x:c r="B12" s="7" t="str">
        <x:v>ELM-PEA-A-X1-06</x:v>
      </x:c>
      <x:c r="C12" s="7" t="str">
        <x:v>PEA-A-X1</x:v>
      </x:c>
      <x:c r="D12" s="7" t="str">
        <x:v>BLD-A</x:v>
      </x:c>
      <x:c r="E12" s="7" t="str">
        <x:v>BL-X</x:v>
      </x:c>
      <x:c r="F12" s="7" t="n">
        <x:v>6</x:v>
      </x:c>
      <x:c r="G12" s="7" t="str"/>
      <x:c r="H12" s="7" t="str"/>
      <x:c r="I12" s="7" t="str"/>
      <x:c r="J12" s="7" t="str"/>
      <x:c r="K12" s="7" t="str"/>
      <x:c r="L12" s="7" t="str">
        <x:f>IF(K12="","OPEN",IF(OR(G12="",NOT(ISNUMBER(H12)),I12&lt;&gt;"SAFE",NOT(ISNUMBER(J12))),"FAIL","PASS"))</x:f>
        <x:v>OPEN</x:v>
      </x:c>
    </x:row>
    <x:row r="13">
      <x:c r="B13" s="7" t="str">
        <x:v>ELM-PEA-A-X1-07</x:v>
      </x:c>
      <x:c r="C13" s="7" t="str">
        <x:v>PEA-A-X1</x:v>
      </x:c>
      <x:c r="D13" s="7" t="str">
        <x:v>BLD-A</x:v>
      </x:c>
      <x:c r="E13" s="7" t="str">
        <x:v>BL-X</x:v>
      </x:c>
      <x:c r="F13" s="7" t="n">
        <x:v>7</x:v>
      </x:c>
      <x:c r="G13" s="7" t="str"/>
      <x:c r="H13" s="7" t="str"/>
      <x:c r="I13" s="7" t="str"/>
      <x:c r="J13" s="7" t="str"/>
      <x:c r="K13" s="7" t="str"/>
      <x:c r="L13" s="7" t="str">
        <x:f>IF(K13="","OPEN",IF(OR(G13="",NOT(ISNUMBER(H13)),I13&lt;&gt;"SAFE",NOT(ISNUMBER(J13))),"FAIL","PASS"))</x:f>
        <x:v>OPEN</x:v>
      </x:c>
    </x:row>
    <x:row r="14">
      <x:c r="B14" s="7" t="str">
        <x:v>ELM-PEA-A-X1-08</x:v>
      </x:c>
      <x:c r="C14" s="7" t="str">
        <x:v>PEA-A-X1</x:v>
      </x:c>
      <x:c r="D14" s="7" t="str">
        <x:v>BLD-A</x:v>
      </x:c>
      <x:c r="E14" s="7" t="str">
        <x:v>BL-X</x:v>
      </x:c>
      <x:c r="F14" s="7" t="n">
        <x:v>8</x:v>
      </x:c>
      <x:c r="G14" s="7" t="str"/>
      <x:c r="H14" s="7" t="str"/>
      <x:c r="I14" s="7" t="str"/>
      <x:c r="J14" s="7" t="str"/>
      <x:c r="K14" s="7" t="str"/>
      <x:c r="L14" s="7" t="str">
        <x:f>IF(K14="","OPEN",IF(OR(G14="",NOT(ISNUMBER(H14)),I14&lt;&gt;"SAFE",NOT(ISNUMBER(J14))),"FAIL","PASS"))</x:f>
        <x:v>OPEN</x:v>
      </x:c>
    </x:row>
    <x:row r="15">
      <x:c r="B15" s="7" t="str">
        <x:v>ELM-PEA-A-X1-09</x:v>
      </x:c>
      <x:c r="C15" s="7" t="str">
        <x:v>PEA-A-X1</x:v>
      </x:c>
      <x:c r="D15" s="7" t="str">
        <x:v>BLD-A</x:v>
      </x:c>
      <x:c r="E15" s="7" t="str">
        <x:v>BL-X</x:v>
      </x:c>
      <x:c r="F15" s="7" t="n">
        <x:v>9</x:v>
      </x:c>
      <x:c r="G15" s="7" t="str"/>
      <x:c r="H15" s="7" t="str"/>
      <x:c r="I15" s="7" t="str"/>
      <x:c r="J15" s="7" t="str"/>
      <x:c r="K15" s="7" t="str"/>
      <x:c r="L15" s="7" t="str">
        <x:f>IF(K15="","OPEN",IF(OR(G15="",NOT(ISNUMBER(H15)),I15&lt;&gt;"SAFE",NOT(ISNUMBER(J15))),"FAIL","PASS"))</x:f>
        <x:v>OPEN</x:v>
      </x:c>
    </x:row>
    <x:row r="16">
      <x:c r="B16" s="7" t="str">
        <x:v>ELM-PEA-A-X1-10</x:v>
      </x:c>
      <x:c r="C16" s="7" t="str">
        <x:v>PEA-A-X1</x:v>
      </x:c>
      <x:c r="D16" s="7" t="str">
        <x:v>BLD-A</x:v>
      </x:c>
      <x:c r="E16" s="7" t="str">
        <x:v>BL-X</x:v>
      </x:c>
      <x:c r="F16" s="7" t="n">
        <x:v>10</x:v>
      </x:c>
      <x:c r="G16" s="7" t="str"/>
      <x:c r="H16" s="7" t="str"/>
      <x:c r="I16" s="7" t="str"/>
      <x:c r="J16" s="7" t="str"/>
      <x:c r="K16" s="7" t="str"/>
      <x:c r="L16" s="7" t="str">
        <x:f>IF(K16="","OPEN",IF(OR(G16="",NOT(ISNUMBER(H16)),I16&lt;&gt;"SAFE",NOT(ISNUMBER(J16))),"FAIL","PASS"))</x:f>
        <x:v>OPEN</x:v>
      </x:c>
    </x:row>
    <x:row r="17">
      <x:c r="B17" s="7" t="str">
        <x:v>ELM-PEA-A-X1-11</x:v>
      </x:c>
      <x:c r="C17" s="7" t="str">
        <x:v>PEA-A-X1</x:v>
      </x:c>
      <x:c r="D17" s="7" t="str">
        <x:v>BLD-A</x:v>
      </x:c>
      <x:c r="E17" s="7" t="str">
        <x:v>BL-X</x:v>
      </x:c>
      <x:c r="F17" s="7" t="n">
        <x:v>11</x:v>
      </x:c>
      <x:c r="G17" s="7" t="str"/>
      <x:c r="H17" s="7" t="str"/>
      <x:c r="I17" s="7" t="str"/>
      <x:c r="J17" s="7" t="str"/>
      <x:c r="K17" s="7" t="str"/>
      <x:c r="L17" s="7" t="str">
        <x:f>IF(K17="","OPEN",IF(OR(G17="",NOT(ISNUMBER(H17)),I17&lt;&gt;"SAFE",NOT(ISNUMBER(J17))),"FAIL","PASS"))</x:f>
        <x:v>OPEN</x:v>
      </x:c>
    </x:row>
    <x:row r="18">
      <x:c r="B18" s="7" t="str">
        <x:v>ELM-PEA-A-X1-12</x:v>
      </x:c>
      <x:c r="C18" s="7" t="str">
        <x:v>PEA-A-X1</x:v>
      </x:c>
      <x:c r="D18" s="7" t="str">
        <x:v>BLD-A</x:v>
      </x:c>
      <x:c r="E18" s="7" t="str">
        <x:v>BL-X</x:v>
      </x:c>
      <x:c r="F18" s="7" t="n">
        <x:v>12</x:v>
      </x:c>
      <x:c r="G18" s="7" t="str"/>
      <x:c r="H18" s="7" t="str"/>
      <x:c r="I18" s="7" t="str"/>
      <x:c r="J18" s="7" t="str"/>
      <x:c r="K18" s="7" t="str"/>
      <x:c r="L18" s="7" t="str">
        <x:f>IF(K18="","OPEN",IF(OR(G18="",NOT(ISNUMBER(H18)),I18&lt;&gt;"SAFE",NOT(ISNUMBER(J18))),"FAIL","PASS"))</x:f>
        <x:v>OPEN</x:v>
      </x:c>
    </x:row>
    <x:row r="19">
      <x:c r="B19" s="7" t="str">
        <x:v>ELM-PEA-A-X2-01</x:v>
      </x:c>
      <x:c r="C19" s="7" t="str">
        <x:v>PEA-A-X2</x:v>
      </x:c>
      <x:c r="D19" s="7" t="str">
        <x:v>BLD-A</x:v>
      </x:c>
      <x:c r="E19" s="7" t="str">
        <x:v>BL-X</x:v>
      </x:c>
      <x:c r="F19" s="7" t="n">
        <x:v>1</x:v>
      </x:c>
      <x:c r="G19" s="7" t="str"/>
      <x:c r="H19" s="7" t="str"/>
      <x:c r="I19" s="7" t="str"/>
      <x:c r="J19" s="7" t="str"/>
      <x:c r="K19" s="7" t="str"/>
      <x:c r="L19" s="7" t="str">
        <x:f>IF(K19="","OPEN",IF(OR(G19="",NOT(ISNUMBER(H19)),I19&lt;&gt;"SAFE",NOT(ISNUMBER(J19))),"FAIL","PASS"))</x:f>
        <x:v>OPEN</x:v>
      </x:c>
    </x:row>
    <x:row r="20">
      <x:c r="B20" s="7" t="str">
        <x:v>ELM-PEA-A-X2-02</x:v>
      </x:c>
      <x:c r="C20" s="7" t="str">
        <x:v>PEA-A-X2</x:v>
      </x:c>
      <x:c r="D20" s="7" t="str">
        <x:v>BLD-A</x:v>
      </x:c>
      <x:c r="E20" s="7" t="str">
        <x:v>BL-X</x:v>
      </x:c>
      <x:c r="F20" s="7" t="n">
        <x:v>2</x:v>
      </x:c>
      <x:c r="G20" s="7" t="str"/>
      <x:c r="H20" s="7" t="str"/>
      <x:c r="I20" s="7" t="str"/>
      <x:c r="J20" s="7" t="str"/>
      <x:c r="K20" s="7" t="str"/>
      <x:c r="L20" s="7" t="str">
        <x:f>IF(K20="","OPEN",IF(OR(G20="",NOT(ISNUMBER(H20)),I20&lt;&gt;"SAFE",NOT(ISNUMBER(J20))),"FAIL","PASS"))</x:f>
        <x:v>OPEN</x:v>
      </x:c>
    </x:row>
    <x:row r="21">
      <x:c r="B21" s="7" t="str">
        <x:v>ELM-PEA-A-X2-03</x:v>
      </x:c>
      <x:c r="C21" s="7" t="str">
        <x:v>PEA-A-X2</x:v>
      </x:c>
      <x:c r="D21" s="7" t="str">
        <x:v>BLD-A</x:v>
      </x:c>
      <x:c r="E21" s="7" t="str">
        <x:v>BL-X</x:v>
      </x:c>
      <x:c r="F21" s="7" t="n">
        <x:v>3</x:v>
      </x:c>
      <x:c r="G21" s="7" t="str"/>
      <x:c r="H21" s="7" t="str"/>
      <x:c r="I21" s="7" t="str"/>
      <x:c r="J21" s="7" t="str"/>
      <x:c r="K21" s="7" t="str"/>
      <x:c r="L21" s="7" t="str">
        <x:f>IF(K21="","OPEN",IF(OR(G21="",NOT(ISNUMBER(H21)),I21&lt;&gt;"SAFE",NOT(ISNUMBER(J21))),"FAIL","PASS"))</x:f>
        <x:v>OPEN</x:v>
      </x:c>
    </x:row>
    <x:row r="22">
      <x:c r="B22" s="7" t="str">
        <x:v>ELM-PEA-A-X2-04</x:v>
      </x:c>
      <x:c r="C22" s="7" t="str">
        <x:v>PEA-A-X2</x:v>
      </x:c>
      <x:c r="D22" s="7" t="str">
        <x:v>BLD-A</x:v>
      </x:c>
      <x:c r="E22" s="7" t="str">
        <x:v>BL-X</x:v>
      </x:c>
      <x:c r="F22" s="7" t="n">
        <x:v>4</x:v>
      </x:c>
      <x:c r="G22" s="7" t="str"/>
      <x:c r="H22" s="7" t="str"/>
      <x:c r="I22" s="7" t="str"/>
      <x:c r="J22" s="7" t="str"/>
      <x:c r="K22" s="7" t="str"/>
      <x:c r="L22" s="7" t="str">
        <x:f>IF(K22="","OPEN",IF(OR(G22="",NOT(ISNUMBER(H22)),I22&lt;&gt;"SAFE",NOT(ISNUMBER(J22))),"FAIL","PASS"))</x:f>
        <x:v>OPEN</x:v>
      </x:c>
    </x:row>
    <x:row r="23">
      <x:c r="B23" s="7" t="str">
        <x:v>ELM-PEA-A-X2-05</x:v>
      </x:c>
      <x:c r="C23" s="7" t="str">
        <x:v>PEA-A-X2</x:v>
      </x:c>
      <x:c r="D23" s="7" t="str">
        <x:v>BLD-A</x:v>
      </x:c>
      <x:c r="E23" s="7" t="str">
        <x:v>BL-X</x:v>
      </x:c>
      <x:c r="F23" s="7" t="n">
        <x:v>5</x:v>
      </x:c>
      <x:c r="G23" s="7" t="str"/>
      <x:c r="H23" s="7" t="str"/>
      <x:c r="I23" s="7" t="str"/>
      <x:c r="J23" s="7" t="str"/>
      <x:c r="K23" s="7" t="str"/>
      <x:c r="L23" s="7" t="str">
        <x:f>IF(K23="","OPEN",IF(OR(G23="",NOT(ISNUMBER(H23)),I23&lt;&gt;"SAFE",NOT(ISNUMBER(J23))),"FAIL","PASS"))</x:f>
        <x:v>OPEN</x:v>
      </x:c>
    </x:row>
    <x:row r="24">
      <x:c r="B24" s="7" t="str">
        <x:v>ELM-PEA-A-X2-06</x:v>
      </x:c>
      <x:c r="C24" s="7" t="str">
        <x:v>PEA-A-X2</x:v>
      </x:c>
      <x:c r="D24" s="7" t="str">
        <x:v>BLD-A</x:v>
      </x:c>
      <x:c r="E24" s="7" t="str">
        <x:v>BL-X</x:v>
      </x:c>
      <x:c r="F24" s="7" t="n">
        <x:v>6</x:v>
      </x:c>
      <x:c r="G24" s="7" t="str"/>
      <x:c r="H24" s="7" t="str"/>
      <x:c r="I24" s="7" t="str"/>
      <x:c r="J24" s="7" t="str"/>
      <x:c r="K24" s="7" t="str"/>
      <x:c r="L24" s="7" t="str">
        <x:f>IF(K24="","OPEN",IF(OR(G24="",NOT(ISNUMBER(H24)),I24&lt;&gt;"SAFE",NOT(ISNUMBER(J24))),"FAIL","PASS"))</x:f>
        <x:v>OPEN</x:v>
      </x:c>
    </x:row>
    <x:row r="25">
      <x:c r="B25" s="7" t="str">
        <x:v>ELM-PEA-A-X2-07</x:v>
      </x:c>
      <x:c r="C25" s="7" t="str">
        <x:v>PEA-A-X2</x:v>
      </x:c>
      <x:c r="D25" s="7" t="str">
        <x:v>BLD-A</x:v>
      </x:c>
      <x:c r="E25" s="7" t="str">
        <x:v>BL-X</x:v>
      </x:c>
      <x:c r="F25" s="7" t="n">
        <x:v>7</x:v>
      </x:c>
      <x:c r="G25" s="7" t="str"/>
      <x:c r="H25" s="7" t="str"/>
      <x:c r="I25" s="7" t="str"/>
      <x:c r="J25" s="7" t="str"/>
      <x:c r="K25" s="7" t="str"/>
      <x:c r="L25" s="7" t="str">
        <x:f>IF(K25="","OPEN",IF(OR(G25="",NOT(ISNUMBER(H25)),I25&lt;&gt;"SAFE",NOT(ISNUMBER(J25))),"FAIL","PASS"))</x:f>
        <x:v>OPEN</x:v>
      </x:c>
    </x:row>
    <x:row r="26">
      <x:c r="B26" s="7" t="str">
        <x:v>ELM-PEA-A-X2-08</x:v>
      </x:c>
      <x:c r="C26" s="7" t="str">
        <x:v>PEA-A-X2</x:v>
      </x:c>
      <x:c r="D26" s="7" t="str">
        <x:v>BLD-A</x:v>
      </x:c>
      <x:c r="E26" s="7" t="str">
        <x:v>BL-X</x:v>
      </x:c>
      <x:c r="F26" s="7" t="n">
        <x:v>8</x:v>
      </x:c>
      <x:c r="G26" s="7" t="str"/>
      <x:c r="H26" s="7" t="str"/>
      <x:c r="I26" s="7" t="str"/>
      <x:c r="J26" s="7" t="str"/>
      <x:c r="K26" s="7" t="str"/>
      <x:c r="L26" s="7" t="str">
        <x:f>IF(K26="","OPEN",IF(OR(G26="",NOT(ISNUMBER(H26)),I26&lt;&gt;"SAFE",NOT(ISNUMBER(J26))),"FAIL","PASS"))</x:f>
        <x:v>OPEN</x:v>
      </x:c>
    </x:row>
    <x:row r="27">
      <x:c r="B27" s="7" t="str">
        <x:v>ELM-PEA-A-X2-09</x:v>
      </x:c>
      <x:c r="C27" s="7" t="str">
        <x:v>PEA-A-X2</x:v>
      </x:c>
      <x:c r="D27" s="7" t="str">
        <x:v>BLD-A</x:v>
      </x:c>
      <x:c r="E27" s="7" t="str">
        <x:v>BL-X</x:v>
      </x:c>
      <x:c r="F27" s="7" t="n">
        <x:v>9</x:v>
      </x:c>
      <x:c r="G27" s="7" t="str"/>
      <x:c r="H27" s="7" t="str"/>
      <x:c r="I27" s="7" t="str"/>
      <x:c r="J27" s="7" t="str"/>
      <x:c r="K27" s="7" t="str"/>
      <x:c r="L27" s="7" t="str">
        <x:f>IF(K27="","OPEN",IF(OR(G27="",NOT(ISNUMBER(H27)),I27&lt;&gt;"SAFE",NOT(ISNUMBER(J27))),"FAIL","PASS"))</x:f>
        <x:v>OPEN</x:v>
      </x:c>
    </x:row>
    <x:row r="28">
      <x:c r="B28" s="7" t="str">
        <x:v>ELM-PEA-A-X2-10</x:v>
      </x:c>
      <x:c r="C28" s="7" t="str">
        <x:v>PEA-A-X2</x:v>
      </x:c>
      <x:c r="D28" s="7" t="str">
        <x:v>BLD-A</x:v>
      </x:c>
      <x:c r="E28" s="7" t="str">
        <x:v>BL-X</x:v>
      </x:c>
      <x:c r="F28" s="7" t="n">
        <x:v>10</x:v>
      </x:c>
      <x:c r="G28" s="7" t="str"/>
      <x:c r="H28" s="7" t="str"/>
      <x:c r="I28" s="7" t="str"/>
      <x:c r="J28" s="7" t="str"/>
      <x:c r="K28" s="7" t="str"/>
      <x:c r="L28" s="7" t="str">
        <x:f>IF(K28="","OPEN",IF(OR(G28="",NOT(ISNUMBER(H28)),I28&lt;&gt;"SAFE",NOT(ISNUMBER(J28))),"FAIL","PASS"))</x:f>
        <x:v>OPEN</x:v>
      </x:c>
    </x:row>
    <x:row r="29">
      <x:c r="B29" s="7" t="str">
        <x:v>ELM-PEA-A-X2-11</x:v>
      </x:c>
      <x:c r="C29" s="7" t="str">
        <x:v>PEA-A-X2</x:v>
      </x:c>
      <x:c r="D29" s="7" t="str">
        <x:v>BLD-A</x:v>
      </x:c>
      <x:c r="E29" s="7" t="str">
        <x:v>BL-X</x:v>
      </x:c>
      <x:c r="F29" s="7" t="n">
        <x:v>11</x:v>
      </x:c>
      <x:c r="G29" s="7" t="str"/>
      <x:c r="H29" s="7" t="str"/>
      <x:c r="I29" s="7" t="str"/>
      <x:c r="J29" s="7" t="str"/>
      <x:c r="K29" s="7" t="str"/>
      <x:c r="L29" s="7" t="str">
        <x:f>IF(K29="","OPEN",IF(OR(G29="",NOT(ISNUMBER(H29)),I29&lt;&gt;"SAFE",NOT(ISNUMBER(J29))),"FAIL","PASS"))</x:f>
        <x:v>OPEN</x:v>
      </x:c>
    </x:row>
    <x:row r="30">
      <x:c r="B30" s="7" t="str">
        <x:v>ELM-PEA-A-X2-12</x:v>
      </x:c>
      <x:c r="C30" s="7" t="str">
        <x:v>PEA-A-X2</x:v>
      </x:c>
      <x:c r="D30" s="7" t="str">
        <x:v>BLD-A</x:v>
      </x:c>
      <x:c r="E30" s="7" t="str">
        <x:v>BL-X</x:v>
      </x:c>
      <x:c r="F30" s="7" t="n">
        <x:v>12</x:v>
      </x:c>
      <x:c r="G30" s="7" t="str"/>
      <x:c r="H30" s="7" t="str"/>
      <x:c r="I30" s="7" t="str"/>
      <x:c r="J30" s="7" t="str"/>
      <x:c r="K30" s="7" t="str"/>
      <x:c r="L30" s="7" t="str">
        <x:f>IF(K30="","OPEN",IF(OR(G30="",NOT(ISNUMBER(H30)),I30&lt;&gt;"SAFE",NOT(ISNUMBER(J30))),"FAIL","PASS"))</x:f>
        <x:v>OPEN</x:v>
      </x:c>
    </x:row>
    <x:row r="31">
      <x:c r="B31" s="7" t="str">
        <x:v>ELM-PEA-A-X3-01</x:v>
      </x:c>
      <x:c r="C31" s="7" t="str">
        <x:v>PEA-A-X3</x:v>
      </x:c>
      <x:c r="D31" s="7" t="str">
        <x:v>BLD-A</x:v>
      </x:c>
      <x:c r="E31" s="7" t="str">
        <x:v>BL-X</x:v>
      </x:c>
      <x:c r="F31" s="7" t="n">
        <x:v>1</x:v>
      </x:c>
      <x:c r="G31" s="7" t="str"/>
      <x:c r="H31" s="7" t="str"/>
      <x:c r="I31" s="7" t="str"/>
      <x:c r="J31" s="7" t="str"/>
      <x:c r="K31" s="7" t="str"/>
      <x:c r="L31" s="7" t="str">
        <x:f>IF(K31="","OPEN",IF(OR(G31="",NOT(ISNUMBER(H31)),I31&lt;&gt;"SAFE",NOT(ISNUMBER(J31))),"FAIL","PASS"))</x:f>
        <x:v>OPEN</x:v>
      </x:c>
    </x:row>
    <x:row r="32">
      <x:c r="B32" s="7" t="str">
        <x:v>ELM-PEA-A-X3-02</x:v>
      </x:c>
      <x:c r="C32" s="7" t="str">
        <x:v>PEA-A-X3</x:v>
      </x:c>
      <x:c r="D32" s="7" t="str">
        <x:v>BLD-A</x:v>
      </x:c>
      <x:c r="E32" s="7" t="str">
        <x:v>BL-X</x:v>
      </x:c>
      <x:c r="F32" s="7" t="n">
        <x:v>2</x:v>
      </x:c>
      <x:c r="G32" s="7" t="str"/>
      <x:c r="H32" s="7" t="str"/>
      <x:c r="I32" s="7" t="str"/>
      <x:c r="J32" s="7" t="str"/>
      <x:c r="K32" s="7" t="str"/>
      <x:c r="L32" s="7" t="str">
        <x:f>IF(K32="","OPEN",IF(OR(G32="",NOT(ISNUMBER(H32)),I32&lt;&gt;"SAFE",NOT(ISNUMBER(J32))),"FAIL","PASS"))</x:f>
        <x:v>OPEN</x:v>
      </x:c>
    </x:row>
    <x:row r="33">
      <x:c r="B33" s="7" t="str">
        <x:v>ELM-PEA-A-X3-03</x:v>
      </x:c>
      <x:c r="C33" s="7" t="str">
        <x:v>PEA-A-X3</x:v>
      </x:c>
      <x:c r="D33" s="7" t="str">
        <x:v>BLD-A</x:v>
      </x:c>
      <x:c r="E33" s="7" t="str">
        <x:v>BL-X</x:v>
      </x:c>
      <x:c r="F33" s="7" t="n">
        <x:v>3</x:v>
      </x:c>
      <x:c r="G33" s="7" t="str"/>
      <x:c r="H33" s="7" t="str"/>
      <x:c r="I33" s="7" t="str"/>
      <x:c r="J33" s="7" t="str"/>
      <x:c r="K33" s="7" t="str"/>
      <x:c r="L33" s="7" t="str">
        <x:f>IF(K33="","OPEN",IF(OR(G33="",NOT(ISNUMBER(H33)),I33&lt;&gt;"SAFE",NOT(ISNUMBER(J33))),"FAIL","PASS"))</x:f>
        <x:v>OPEN</x:v>
      </x:c>
    </x:row>
    <x:row r="34">
      <x:c r="B34" s="7" t="str">
        <x:v>ELM-PEA-A-X3-04</x:v>
      </x:c>
      <x:c r="C34" s="7" t="str">
        <x:v>PEA-A-X3</x:v>
      </x:c>
      <x:c r="D34" s="7" t="str">
        <x:v>BLD-A</x:v>
      </x:c>
      <x:c r="E34" s="7" t="str">
        <x:v>BL-X</x:v>
      </x:c>
      <x:c r="F34" s="7" t="n">
        <x:v>4</x:v>
      </x:c>
      <x:c r="G34" s="7" t="str"/>
      <x:c r="H34" s="7" t="str"/>
      <x:c r="I34" s="7" t="str"/>
      <x:c r="J34" s="7" t="str"/>
      <x:c r="K34" s="7" t="str"/>
      <x:c r="L34" s="7" t="str">
        <x:f>IF(K34="","OPEN",IF(OR(G34="",NOT(ISNUMBER(H34)),I34&lt;&gt;"SAFE",NOT(ISNUMBER(J34))),"FAIL","PASS"))</x:f>
        <x:v>OPEN</x:v>
      </x:c>
    </x:row>
    <x:row r="35">
      <x:c r="B35" s="7" t="str">
        <x:v>ELM-PEA-A-X3-05</x:v>
      </x:c>
      <x:c r="C35" s="7" t="str">
        <x:v>PEA-A-X3</x:v>
      </x:c>
      <x:c r="D35" s="7" t="str">
        <x:v>BLD-A</x:v>
      </x:c>
      <x:c r="E35" s="7" t="str">
        <x:v>BL-X</x:v>
      </x:c>
      <x:c r="F35" s="7" t="n">
        <x:v>5</x:v>
      </x:c>
      <x:c r="G35" s="7" t="str"/>
      <x:c r="H35" s="7" t="str"/>
      <x:c r="I35" s="7" t="str"/>
      <x:c r="J35" s="7" t="str"/>
      <x:c r="K35" s="7" t="str"/>
      <x:c r="L35" s="7" t="str">
        <x:f>IF(K35="","OPEN",IF(OR(G35="",NOT(ISNUMBER(H35)),I35&lt;&gt;"SAFE",NOT(ISNUMBER(J35))),"FAIL","PASS"))</x:f>
        <x:v>OPEN</x:v>
      </x:c>
    </x:row>
    <x:row r="36">
      <x:c r="B36" s="7" t="str">
        <x:v>ELM-PEA-A-X3-06</x:v>
      </x:c>
      <x:c r="C36" s="7" t="str">
        <x:v>PEA-A-X3</x:v>
      </x:c>
      <x:c r="D36" s="7" t="str">
        <x:v>BLD-A</x:v>
      </x:c>
      <x:c r="E36" s="7" t="str">
        <x:v>BL-X</x:v>
      </x:c>
      <x:c r="F36" s="7" t="n">
        <x:v>6</x:v>
      </x:c>
      <x:c r="G36" s="7" t="str"/>
      <x:c r="H36" s="7" t="str"/>
      <x:c r="I36" s="7" t="str"/>
      <x:c r="J36" s="7" t="str"/>
      <x:c r="K36" s="7" t="str"/>
      <x:c r="L36" s="7" t="str">
        <x:f>IF(K36="","OPEN",IF(OR(G36="",NOT(ISNUMBER(H36)),I36&lt;&gt;"SAFE",NOT(ISNUMBER(J36))),"FAIL","PASS"))</x:f>
        <x:v>OPEN</x:v>
      </x:c>
    </x:row>
    <x:row r="37">
      <x:c r="B37" s="7" t="str">
        <x:v>ELM-PEA-A-X3-07</x:v>
      </x:c>
      <x:c r="C37" s="7" t="str">
        <x:v>PEA-A-X3</x:v>
      </x:c>
      <x:c r="D37" s="7" t="str">
        <x:v>BLD-A</x:v>
      </x:c>
      <x:c r="E37" s="7" t="str">
        <x:v>BL-X</x:v>
      </x:c>
      <x:c r="F37" s="7" t="n">
        <x:v>7</x:v>
      </x:c>
      <x:c r="G37" s="7" t="str"/>
      <x:c r="H37" s="7" t="str"/>
      <x:c r="I37" s="7" t="str"/>
      <x:c r="J37" s="7" t="str"/>
      <x:c r="K37" s="7" t="str"/>
      <x:c r="L37" s="7" t="str">
        <x:f>IF(K37="","OPEN",IF(OR(G37="",NOT(ISNUMBER(H37)),I37&lt;&gt;"SAFE",NOT(ISNUMBER(J37))),"FAIL","PASS"))</x:f>
        <x:v>OPEN</x:v>
      </x:c>
    </x:row>
    <x:row r="38">
      <x:c r="B38" s="7" t="str">
        <x:v>ELM-PEA-A-X3-08</x:v>
      </x:c>
      <x:c r="C38" s="7" t="str">
        <x:v>PEA-A-X3</x:v>
      </x:c>
      <x:c r="D38" s="7" t="str">
        <x:v>BLD-A</x:v>
      </x:c>
      <x:c r="E38" s="7" t="str">
        <x:v>BL-X</x:v>
      </x:c>
      <x:c r="F38" s="7" t="n">
        <x:v>8</x:v>
      </x:c>
      <x:c r="G38" s="7" t="str"/>
      <x:c r="H38" s="7" t="str"/>
      <x:c r="I38" s="7" t="str"/>
      <x:c r="J38" s="7" t="str"/>
      <x:c r="K38" s="7" t="str"/>
      <x:c r="L38" s="7" t="str">
        <x:f>IF(K38="","OPEN",IF(OR(G38="",NOT(ISNUMBER(H38)),I38&lt;&gt;"SAFE",NOT(ISNUMBER(J38))),"FAIL","PASS"))</x:f>
        <x:v>OPEN</x:v>
      </x:c>
    </x:row>
    <x:row r="39">
      <x:c r="B39" s="7" t="str">
        <x:v>ELM-PEA-A-X3-09</x:v>
      </x:c>
      <x:c r="C39" s="7" t="str">
        <x:v>PEA-A-X3</x:v>
      </x:c>
      <x:c r="D39" s="7" t="str">
        <x:v>BLD-A</x:v>
      </x:c>
      <x:c r="E39" s="7" t="str">
        <x:v>BL-X</x:v>
      </x:c>
      <x:c r="F39" s="7" t="n">
        <x:v>9</x:v>
      </x:c>
      <x:c r="G39" s="7" t="str"/>
      <x:c r="H39" s="7" t="str"/>
      <x:c r="I39" s="7" t="str"/>
      <x:c r="J39" s="7" t="str"/>
      <x:c r="K39" s="7" t="str"/>
      <x:c r="L39" s="7" t="str">
        <x:f>IF(K39="","OPEN",IF(OR(G39="",NOT(ISNUMBER(H39)),I39&lt;&gt;"SAFE",NOT(ISNUMBER(J39))),"FAIL","PASS"))</x:f>
        <x:v>OPEN</x:v>
      </x:c>
    </x:row>
    <x:row r="40">
      <x:c r="B40" s="7" t="str">
        <x:v>ELM-PEA-A-X3-10</x:v>
      </x:c>
      <x:c r="C40" s="7" t="str">
        <x:v>PEA-A-X3</x:v>
      </x:c>
      <x:c r="D40" s="7" t="str">
        <x:v>BLD-A</x:v>
      </x:c>
      <x:c r="E40" s="7" t="str">
        <x:v>BL-X</x:v>
      </x:c>
      <x:c r="F40" s="7" t="n">
        <x:v>10</x:v>
      </x:c>
      <x:c r="G40" s="7" t="str"/>
      <x:c r="H40" s="7" t="str"/>
      <x:c r="I40" s="7" t="str"/>
      <x:c r="J40" s="7" t="str"/>
      <x:c r="K40" s="7" t="str"/>
      <x:c r="L40" s="7" t="str">
        <x:f>IF(K40="","OPEN",IF(OR(G40="",NOT(ISNUMBER(H40)),I40&lt;&gt;"SAFE",NOT(ISNUMBER(J40))),"FAIL","PASS"))</x:f>
        <x:v>OPEN</x:v>
      </x:c>
    </x:row>
    <x:row r="41">
      <x:c r="B41" s="7" t="str">
        <x:v>ELM-PEA-A-X3-11</x:v>
      </x:c>
      <x:c r="C41" s="7" t="str">
        <x:v>PEA-A-X3</x:v>
      </x:c>
      <x:c r="D41" s="7" t="str">
        <x:v>BLD-A</x:v>
      </x:c>
      <x:c r="E41" s="7" t="str">
        <x:v>BL-X</x:v>
      </x:c>
      <x:c r="F41" s="7" t="n">
        <x:v>11</x:v>
      </x:c>
      <x:c r="G41" s="7" t="str"/>
      <x:c r="H41" s="7" t="str"/>
      <x:c r="I41" s="7" t="str"/>
      <x:c r="J41" s="7" t="str"/>
      <x:c r="K41" s="7" t="str"/>
      <x:c r="L41" s="7" t="str">
        <x:f>IF(K41="","OPEN",IF(OR(G41="",NOT(ISNUMBER(H41)),I41&lt;&gt;"SAFE",NOT(ISNUMBER(J41))),"FAIL","PASS"))</x:f>
        <x:v>OPEN</x:v>
      </x:c>
    </x:row>
    <x:row r="42">
      <x:c r="B42" s="7" t="str">
        <x:v>ELM-PEA-A-X3-12</x:v>
      </x:c>
      <x:c r="C42" s="7" t="str">
        <x:v>PEA-A-X3</x:v>
      </x:c>
      <x:c r="D42" s="7" t="str">
        <x:v>BLD-A</x:v>
      </x:c>
      <x:c r="E42" s="7" t="str">
        <x:v>BL-X</x:v>
      </x:c>
      <x:c r="F42" s="7" t="n">
        <x:v>12</x:v>
      </x:c>
      <x:c r="G42" s="7" t="str"/>
      <x:c r="H42" s="7" t="str"/>
      <x:c r="I42" s="7" t="str"/>
      <x:c r="J42" s="7" t="str"/>
      <x:c r="K42" s="7" t="str"/>
      <x:c r="L42" s="7" t="str">
        <x:f>IF(K42="","OPEN",IF(OR(G42="",NOT(ISNUMBER(H42)),I42&lt;&gt;"SAFE",NOT(ISNUMBER(J42))),"FAIL","PASS"))</x:f>
        <x:v>OPEN</x:v>
      </x:c>
    </x:row>
    <x:row r="43">
      <x:c r="B43" s="7" t="str">
        <x:v>ELM-PEA-A-Y1-01</x:v>
      </x:c>
      <x:c r="C43" s="7" t="str">
        <x:v>PEA-A-Y1</x:v>
      </x:c>
      <x:c r="D43" s="7" t="str">
        <x:v>BLD-A</x:v>
      </x:c>
      <x:c r="E43" s="7" t="str">
        <x:v>BL-Y</x:v>
      </x:c>
      <x:c r="F43" s="7" t="n">
        <x:v>1</x:v>
      </x:c>
      <x:c r="G43" s="7" t="str"/>
      <x:c r="H43" s="7" t="str"/>
      <x:c r="I43" s="7" t="str"/>
      <x:c r="J43" s="7" t="str"/>
      <x:c r="K43" s="7" t="str"/>
      <x:c r="L43" s="7" t="str">
        <x:f>IF(K43="","OPEN",IF(OR(G43="",NOT(ISNUMBER(H43)),I43&lt;&gt;"SAFE",NOT(ISNUMBER(J43))),"FAIL","PASS"))</x:f>
        <x:v>OPEN</x:v>
      </x:c>
    </x:row>
    <x:row r="44">
      <x:c r="B44" s="7" t="str">
        <x:v>ELM-PEA-A-Y1-02</x:v>
      </x:c>
      <x:c r="C44" s="7" t="str">
        <x:v>PEA-A-Y1</x:v>
      </x:c>
      <x:c r="D44" s="7" t="str">
        <x:v>BLD-A</x:v>
      </x:c>
      <x:c r="E44" s="7" t="str">
        <x:v>BL-Y</x:v>
      </x:c>
      <x:c r="F44" s="7" t="n">
        <x:v>2</x:v>
      </x:c>
      <x:c r="G44" s="7" t="str"/>
      <x:c r="H44" s="7" t="str"/>
      <x:c r="I44" s="7" t="str"/>
      <x:c r="J44" s="7" t="str"/>
      <x:c r="K44" s="7" t="str"/>
      <x:c r="L44" s="7" t="str">
        <x:f>IF(K44="","OPEN",IF(OR(G44="",NOT(ISNUMBER(H44)),I44&lt;&gt;"SAFE",NOT(ISNUMBER(J44))),"FAIL","PASS"))</x:f>
        <x:v>OPEN</x:v>
      </x:c>
    </x:row>
    <x:row r="45">
      <x:c r="B45" s="7" t="str">
        <x:v>ELM-PEA-A-Y1-03</x:v>
      </x:c>
      <x:c r="C45" s="7" t="str">
        <x:v>PEA-A-Y1</x:v>
      </x:c>
      <x:c r="D45" s="7" t="str">
        <x:v>BLD-A</x:v>
      </x:c>
      <x:c r="E45" s="7" t="str">
        <x:v>BL-Y</x:v>
      </x:c>
      <x:c r="F45" s="7" t="n">
        <x:v>3</x:v>
      </x:c>
      <x:c r="G45" s="7" t="str"/>
      <x:c r="H45" s="7" t="str"/>
      <x:c r="I45" s="7" t="str"/>
      <x:c r="J45" s="7" t="str"/>
      <x:c r="K45" s="7" t="str"/>
      <x:c r="L45" s="7" t="str">
        <x:f>IF(K45="","OPEN",IF(OR(G45="",NOT(ISNUMBER(H45)),I45&lt;&gt;"SAFE",NOT(ISNUMBER(J45))),"FAIL","PASS"))</x:f>
        <x:v>OPEN</x:v>
      </x:c>
    </x:row>
    <x:row r="46">
      <x:c r="B46" s="7" t="str">
        <x:v>ELM-PEA-A-Y1-04</x:v>
      </x:c>
      <x:c r="C46" s="7" t="str">
        <x:v>PEA-A-Y1</x:v>
      </x:c>
      <x:c r="D46" s="7" t="str">
        <x:v>BLD-A</x:v>
      </x:c>
      <x:c r="E46" s="7" t="str">
        <x:v>BL-Y</x:v>
      </x:c>
      <x:c r="F46" s="7" t="n">
        <x:v>4</x:v>
      </x:c>
      <x:c r="G46" s="7" t="str"/>
      <x:c r="H46" s="7" t="str"/>
      <x:c r="I46" s="7" t="str"/>
      <x:c r="J46" s="7" t="str"/>
      <x:c r="K46" s="7" t="str"/>
      <x:c r="L46" s="7" t="str">
        <x:f>IF(K46="","OPEN",IF(OR(G46="",NOT(ISNUMBER(H46)),I46&lt;&gt;"SAFE",NOT(ISNUMBER(J46))),"FAIL","PASS"))</x:f>
        <x:v>OPEN</x:v>
      </x:c>
    </x:row>
    <x:row r="47">
      <x:c r="B47" s="7" t="str">
        <x:v>ELM-PEA-A-Y1-05</x:v>
      </x:c>
      <x:c r="C47" s="7" t="str">
        <x:v>PEA-A-Y1</x:v>
      </x:c>
      <x:c r="D47" s="7" t="str">
        <x:v>BLD-A</x:v>
      </x:c>
      <x:c r="E47" s="7" t="str">
        <x:v>BL-Y</x:v>
      </x:c>
      <x:c r="F47" s="7" t="n">
        <x:v>5</x:v>
      </x:c>
      <x:c r="G47" s="7" t="str"/>
      <x:c r="H47" s="7" t="str"/>
      <x:c r="I47" s="7" t="str"/>
      <x:c r="J47" s="7" t="str"/>
      <x:c r="K47" s="7" t="str"/>
      <x:c r="L47" s="7" t="str">
        <x:f>IF(K47="","OPEN",IF(OR(G47="",NOT(ISNUMBER(H47)),I47&lt;&gt;"SAFE",NOT(ISNUMBER(J47))),"FAIL","PASS"))</x:f>
        <x:v>OPEN</x:v>
      </x:c>
    </x:row>
    <x:row r="48">
      <x:c r="B48" s="7" t="str">
        <x:v>ELM-PEA-A-Y1-06</x:v>
      </x:c>
      <x:c r="C48" s="7" t="str">
        <x:v>PEA-A-Y1</x:v>
      </x:c>
      <x:c r="D48" s="7" t="str">
        <x:v>BLD-A</x:v>
      </x:c>
      <x:c r="E48" s="7" t="str">
        <x:v>BL-Y</x:v>
      </x:c>
      <x:c r="F48" s="7" t="n">
        <x:v>6</x:v>
      </x:c>
      <x:c r="G48" s="7" t="str"/>
      <x:c r="H48" s="7" t="str"/>
      <x:c r="I48" s="7" t="str"/>
      <x:c r="J48" s="7" t="str"/>
      <x:c r="K48" s="7" t="str"/>
      <x:c r="L48" s="7" t="str">
        <x:f>IF(K48="","OPEN",IF(OR(G48="",NOT(ISNUMBER(H48)),I48&lt;&gt;"SAFE",NOT(ISNUMBER(J48))),"FAIL","PASS"))</x:f>
        <x:v>OPEN</x:v>
      </x:c>
    </x:row>
    <x:row r="49">
      <x:c r="B49" s="7" t="str">
        <x:v>ELM-PEA-A-Y1-07</x:v>
      </x:c>
      <x:c r="C49" s="7" t="str">
        <x:v>PEA-A-Y1</x:v>
      </x:c>
      <x:c r="D49" s="7" t="str">
        <x:v>BLD-A</x:v>
      </x:c>
      <x:c r="E49" s="7" t="str">
        <x:v>BL-Y</x:v>
      </x:c>
      <x:c r="F49" s="7" t="n">
        <x:v>7</x:v>
      </x:c>
      <x:c r="G49" s="7" t="str"/>
      <x:c r="H49" s="7" t="str"/>
      <x:c r="I49" s="7" t="str"/>
      <x:c r="J49" s="7" t="str"/>
      <x:c r="K49" s="7" t="str"/>
      <x:c r="L49" s="7" t="str">
        <x:f>IF(K49="","OPEN",IF(OR(G49="",NOT(ISNUMBER(H49)),I49&lt;&gt;"SAFE",NOT(ISNUMBER(J49))),"FAIL","PASS"))</x:f>
        <x:v>OPEN</x:v>
      </x:c>
    </x:row>
    <x:row r="50">
      <x:c r="B50" s="7" t="str">
        <x:v>ELM-PEA-A-Y1-08</x:v>
      </x:c>
      <x:c r="C50" s="7" t="str">
        <x:v>PEA-A-Y1</x:v>
      </x:c>
      <x:c r="D50" s="7" t="str">
        <x:v>BLD-A</x:v>
      </x:c>
      <x:c r="E50" s="7" t="str">
        <x:v>BL-Y</x:v>
      </x:c>
      <x:c r="F50" s="7" t="n">
        <x:v>8</x:v>
      </x:c>
      <x:c r="G50" s="7" t="str"/>
      <x:c r="H50" s="7" t="str"/>
      <x:c r="I50" s="7" t="str"/>
      <x:c r="J50" s="7" t="str"/>
      <x:c r="K50" s="7" t="str"/>
      <x:c r="L50" s="7" t="str">
        <x:f>IF(K50="","OPEN",IF(OR(G50="",NOT(ISNUMBER(H50)),I50&lt;&gt;"SAFE",NOT(ISNUMBER(J50))),"FAIL","PASS"))</x:f>
        <x:v>OPEN</x:v>
      </x:c>
    </x:row>
    <x:row r="51">
      <x:c r="B51" s="7" t="str">
        <x:v>ELM-PEA-A-Y1-09</x:v>
      </x:c>
      <x:c r="C51" s="7" t="str">
        <x:v>PEA-A-Y1</x:v>
      </x:c>
      <x:c r="D51" s="7" t="str">
        <x:v>BLD-A</x:v>
      </x:c>
      <x:c r="E51" s="7" t="str">
        <x:v>BL-Y</x:v>
      </x:c>
      <x:c r="F51" s="7" t="n">
        <x:v>9</x:v>
      </x:c>
      <x:c r="G51" s="7" t="str"/>
      <x:c r="H51" s="7" t="str"/>
      <x:c r="I51" s="7" t="str"/>
      <x:c r="J51" s="7" t="str"/>
      <x:c r="K51" s="7" t="str"/>
      <x:c r="L51" s="7" t="str">
        <x:f>IF(K51="","OPEN",IF(OR(G51="",NOT(ISNUMBER(H51)),I51&lt;&gt;"SAFE",NOT(ISNUMBER(J51))),"FAIL","PASS"))</x:f>
        <x:v>OPEN</x:v>
      </x:c>
    </x:row>
    <x:row r="52">
      <x:c r="B52" s="7" t="str">
        <x:v>ELM-PEA-A-Y1-10</x:v>
      </x:c>
      <x:c r="C52" s="7" t="str">
        <x:v>PEA-A-Y1</x:v>
      </x:c>
      <x:c r="D52" s="7" t="str">
        <x:v>BLD-A</x:v>
      </x:c>
      <x:c r="E52" s="7" t="str">
        <x:v>BL-Y</x:v>
      </x:c>
      <x:c r="F52" s="7" t="n">
        <x:v>10</x:v>
      </x:c>
      <x:c r="G52" s="7" t="str"/>
      <x:c r="H52" s="7" t="str"/>
      <x:c r="I52" s="7" t="str"/>
      <x:c r="J52" s="7" t="str"/>
      <x:c r="K52" s="7" t="str"/>
      <x:c r="L52" s="7" t="str">
        <x:f>IF(K52="","OPEN",IF(OR(G52="",NOT(ISNUMBER(H52)),I52&lt;&gt;"SAFE",NOT(ISNUMBER(J52))),"FAIL","PASS"))</x:f>
        <x:v>OPEN</x:v>
      </x:c>
    </x:row>
    <x:row r="53">
      <x:c r="B53" s="7" t="str">
        <x:v>ELM-PEA-A-Y1-11</x:v>
      </x:c>
      <x:c r="C53" s="7" t="str">
        <x:v>PEA-A-Y1</x:v>
      </x:c>
      <x:c r="D53" s="7" t="str">
        <x:v>BLD-A</x:v>
      </x:c>
      <x:c r="E53" s="7" t="str">
        <x:v>BL-Y</x:v>
      </x:c>
      <x:c r="F53" s="7" t="n">
        <x:v>11</x:v>
      </x:c>
      <x:c r="G53" s="7" t="str"/>
      <x:c r="H53" s="7" t="str"/>
      <x:c r="I53" s="7" t="str"/>
      <x:c r="J53" s="7" t="str"/>
      <x:c r="K53" s="7" t="str"/>
      <x:c r="L53" s="7" t="str">
        <x:f>IF(K53="","OPEN",IF(OR(G53="",NOT(ISNUMBER(H53)),I53&lt;&gt;"SAFE",NOT(ISNUMBER(J53))),"FAIL","PASS"))</x:f>
        <x:v>OPEN</x:v>
      </x:c>
    </x:row>
    <x:row r="54">
      <x:c r="B54" s="7" t="str">
        <x:v>ELM-PEA-A-Y1-12</x:v>
      </x:c>
      <x:c r="C54" s="7" t="str">
        <x:v>PEA-A-Y1</x:v>
      </x:c>
      <x:c r="D54" s="7" t="str">
        <x:v>BLD-A</x:v>
      </x:c>
      <x:c r="E54" s="7" t="str">
        <x:v>BL-Y</x:v>
      </x:c>
      <x:c r="F54" s="7" t="n">
        <x:v>12</x:v>
      </x:c>
      <x:c r="G54" s="7" t="str"/>
      <x:c r="H54" s="7" t="str"/>
      <x:c r="I54" s="7" t="str"/>
      <x:c r="J54" s="7" t="str"/>
      <x:c r="K54" s="7" t="str"/>
      <x:c r="L54" s="7" t="str">
        <x:f>IF(K54="","OPEN",IF(OR(G54="",NOT(ISNUMBER(H54)),I54&lt;&gt;"SAFE",NOT(ISNUMBER(J54))),"FAIL","PASS"))</x:f>
        <x:v>OPEN</x:v>
      </x:c>
    </x:row>
    <x:row r="55">
      <x:c r="B55" s="7" t="str">
        <x:v>ELM-PEA-A-Y2-01</x:v>
      </x:c>
      <x:c r="C55" s="7" t="str">
        <x:v>PEA-A-Y2</x:v>
      </x:c>
      <x:c r="D55" s="7" t="str">
        <x:v>BLD-A</x:v>
      </x:c>
      <x:c r="E55" s="7" t="str">
        <x:v>BL-Y</x:v>
      </x:c>
      <x:c r="F55" s="7" t="n">
        <x:v>1</x:v>
      </x:c>
      <x:c r="G55" s="7" t="str"/>
      <x:c r="H55" s="7" t="str"/>
      <x:c r="I55" s="7" t="str"/>
      <x:c r="J55" s="7" t="str"/>
      <x:c r="K55" s="7" t="str"/>
      <x:c r="L55" s="7" t="str">
        <x:f>IF(K55="","OPEN",IF(OR(G55="",NOT(ISNUMBER(H55)),I55&lt;&gt;"SAFE",NOT(ISNUMBER(J55))),"FAIL","PASS"))</x:f>
        <x:v>OPEN</x:v>
      </x:c>
    </x:row>
    <x:row r="56">
      <x:c r="B56" s="7" t="str">
        <x:v>ELM-PEA-A-Y2-02</x:v>
      </x:c>
      <x:c r="C56" s="7" t="str">
        <x:v>PEA-A-Y2</x:v>
      </x:c>
      <x:c r="D56" s="7" t="str">
        <x:v>BLD-A</x:v>
      </x:c>
      <x:c r="E56" s="7" t="str">
        <x:v>BL-Y</x:v>
      </x:c>
      <x:c r="F56" s="7" t="n">
        <x:v>2</x:v>
      </x:c>
      <x:c r="G56" s="7" t="str"/>
      <x:c r="H56" s="7" t="str"/>
      <x:c r="I56" s="7" t="str"/>
      <x:c r="J56" s="7" t="str"/>
      <x:c r="K56" s="7" t="str"/>
      <x:c r="L56" s="7" t="str">
        <x:f>IF(K56="","OPEN",IF(OR(G56="",NOT(ISNUMBER(H56)),I56&lt;&gt;"SAFE",NOT(ISNUMBER(J56))),"FAIL","PASS"))</x:f>
        <x:v>OPEN</x:v>
      </x:c>
    </x:row>
    <x:row r="57">
      <x:c r="B57" s="7" t="str">
        <x:v>ELM-PEA-A-Y2-03</x:v>
      </x:c>
      <x:c r="C57" s="7" t="str">
        <x:v>PEA-A-Y2</x:v>
      </x:c>
      <x:c r="D57" s="7" t="str">
        <x:v>BLD-A</x:v>
      </x:c>
      <x:c r="E57" s="7" t="str">
        <x:v>BL-Y</x:v>
      </x:c>
      <x:c r="F57" s="7" t="n">
        <x:v>3</x:v>
      </x:c>
      <x:c r="G57" s="7" t="str"/>
      <x:c r="H57" s="7" t="str"/>
      <x:c r="I57" s="7" t="str"/>
      <x:c r="J57" s="7" t="str"/>
      <x:c r="K57" s="7" t="str"/>
      <x:c r="L57" s="7" t="str">
        <x:f>IF(K57="","OPEN",IF(OR(G57="",NOT(ISNUMBER(H57)),I57&lt;&gt;"SAFE",NOT(ISNUMBER(J57))),"FAIL","PASS"))</x:f>
        <x:v>OPEN</x:v>
      </x:c>
    </x:row>
    <x:row r="58">
      <x:c r="B58" s="7" t="str">
        <x:v>ELM-PEA-A-Y2-04</x:v>
      </x:c>
      <x:c r="C58" s="7" t="str">
        <x:v>PEA-A-Y2</x:v>
      </x:c>
      <x:c r="D58" s="7" t="str">
        <x:v>BLD-A</x:v>
      </x:c>
      <x:c r="E58" s="7" t="str">
        <x:v>BL-Y</x:v>
      </x:c>
      <x:c r="F58" s="7" t="n">
        <x:v>4</x:v>
      </x:c>
      <x:c r="G58" s="7" t="str"/>
      <x:c r="H58" s="7" t="str"/>
      <x:c r="I58" s="7" t="str"/>
      <x:c r="J58" s="7" t="str"/>
      <x:c r="K58" s="7" t="str"/>
      <x:c r="L58" s="7" t="str">
        <x:f>IF(K58="","OPEN",IF(OR(G58="",NOT(ISNUMBER(H58)),I58&lt;&gt;"SAFE",NOT(ISNUMBER(J58))),"FAIL","PASS"))</x:f>
        <x:v>OPEN</x:v>
      </x:c>
    </x:row>
    <x:row r="59">
      <x:c r="B59" s="7" t="str">
        <x:v>ELM-PEA-A-Y2-05</x:v>
      </x:c>
      <x:c r="C59" s="7" t="str">
        <x:v>PEA-A-Y2</x:v>
      </x:c>
      <x:c r="D59" s="7" t="str">
        <x:v>BLD-A</x:v>
      </x:c>
      <x:c r="E59" s="7" t="str">
        <x:v>BL-Y</x:v>
      </x:c>
      <x:c r="F59" s="7" t="n">
        <x:v>5</x:v>
      </x:c>
      <x:c r="G59" s="7" t="str"/>
      <x:c r="H59" s="7" t="str"/>
      <x:c r="I59" s="7" t="str"/>
      <x:c r="J59" s="7" t="str"/>
      <x:c r="K59" s="7" t="str"/>
      <x:c r="L59" s="7" t="str">
        <x:f>IF(K59="","OPEN",IF(OR(G59="",NOT(ISNUMBER(H59)),I59&lt;&gt;"SAFE",NOT(ISNUMBER(J59))),"FAIL","PASS"))</x:f>
        <x:v>OPEN</x:v>
      </x:c>
    </x:row>
    <x:row r="60">
      <x:c r="B60" s="7" t="str">
        <x:v>ELM-PEA-A-Y2-06</x:v>
      </x:c>
      <x:c r="C60" s="7" t="str">
        <x:v>PEA-A-Y2</x:v>
      </x:c>
      <x:c r="D60" s="7" t="str">
        <x:v>BLD-A</x:v>
      </x:c>
      <x:c r="E60" s="7" t="str">
        <x:v>BL-Y</x:v>
      </x:c>
      <x:c r="F60" s="7" t="n">
        <x:v>6</x:v>
      </x:c>
      <x:c r="G60" s="7" t="str"/>
      <x:c r="H60" s="7" t="str"/>
      <x:c r="I60" s="7" t="str"/>
      <x:c r="J60" s="7" t="str"/>
      <x:c r="K60" s="7" t="str"/>
      <x:c r="L60" s="7" t="str">
        <x:f>IF(K60="","OPEN",IF(OR(G60="",NOT(ISNUMBER(H60)),I60&lt;&gt;"SAFE",NOT(ISNUMBER(J60))),"FAIL","PASS"))</x:f>
        <x:v>OPEN</x:v>
      </x:c>
    </x:row>
    <x:row r="61">
      <x:c r="B61" s="7" t="str">
        <x:v>ELM-PEA-A-Y2-07</x:v>
      </x:c>
      <x:c r="C61" s="7" t="str">
        <x:v>PEA-A-Y2</x:v>
      </x:c>
      <x:c r="D61" s="7" t="str">
        <x:v>BLD-A</x:v>
      </x:c>
      <x:c r="E61" s="7" t="str">
        <x:v>BL-Y</x:v>
      </x:c>
      <x:c r="F61" s="7" t="n">
        <x:v>7</x:v>
      </x:c>
      <x:c r="G61" s="7" t="str"/>
      <x:c r="H61" s="7" t="str"/>
      <x:c r="I61" s="7" t="str"/>
      <x:c r="J61" s="7" t="str"/>
      <x:c r="K61" s="7" t="str"/>
      <x:c r="L61" s="7" t="str">
        <x:f>IF(K61="","OPEN",IF(OR(G61="",NOT(ISNUMBER(H61)),I61&lt;&gt;"SAFE",NOT(ISNUMBER(J61))),"FAIL","PASS"))</x:f>
        <x:v>OPEN</x:v>
      </x:c>
    </x:row>
    <x:row r="62">
      <x:c r="B62" s="7" t="str">
        <x:v>ELM-PEA-A-Y2-08</x:v>
      </x:c>
      <x:c r="C62" s="7" t="str">
        <x:v>PEA-A-Y2</x:v>
      </x:c>
      <x:c r="D62" s="7" t="str">
        <x:v>BLD-A</x:v>
      </x:c>
      <x:c r="E62" s="7" t="str">
        <x:v>BL-Y</x:v>
      </x:c>
      <x:c r="F62" s="7" t="n">
        <x:v>8</x:v>
      </x:c>
      <x:c r="G62" s="7" t="str"/>
      <x:c r="H62" s="7" t="str"/>
      <x:c r="I62" s="7" t="str"/>
      <x:c r="J62" s="7" t="str"/>
      <x:c r="K62" s="7" t="str"/>
      <x:c r="L62" s="7" t="str">
        <x:f>IF(K62="","OPEN",IF(OR(G62="",NOT(ISNUMBER(H62)),I62&lt;&gt;"SAFE",NOT(ISNUMBER(J62))),"FAIL","PASS"))</x:f>
        <x:v>OPEN</x:v>
      </x:c>
    </x:row>
    <x:row r="63">
      <x:c r="B63" s="7" t="str">
        <x:v>ELM-PEA-A-Y2-09</x:v>
      </x:c>
      <x:c r="C63" s="7" t="str">
        <x:v>PEA-A-Y2</x:v>
      </x:c>
      <x:c r="D63" s="7" t="str">
        <x:v>BLD-A</x:v>
      </x:c>
      <x:c r="E63" s="7" t="str">
        <x:v>BL-Y</x:v>
      </x:c>
      <x:c r="F63" s="7" t="n">
        <x:v>9</x:v>
      </x:c>
      <x:c r="G63" s="7" t="str"/>
      <x:c r="H63" s="7" t="str"/>
      <x:c r="I63" s="7" t="str"/>
      <x:c r="J63" s="7" t="str"/>
      <x:c r="K63" s="7" t="str"/>
      <x:c r="L63" s="7" t="str">
        <x:f>IF(K63="","OPEN",IF(OR(G63="",NOT(ISNUMBER(H63)),I63&lt;&gt;"SAFE",NOT(ISNUMBER(J63))),"FAIL","PASS"))</x:f>
        <x:v>OPEN</x:v>
      </x:c>
    </x:row>
    <x:row r="64">
      <x:c r="B64" s="7" t="str">
        <x:v>ELM-PEA-A-Y2-10</x:v>
      </x:c>
      <x:c r="C64" s="7" t="str">
        <x:v>PEA-A-Y2</x:v>
      </x:c>
      <x:c r="D64" s="7" t="str">
        <x:v>BLD-A</x:v>
      </x:c>
      <x:c r="E64" s="7" t="str">
        <x:v>BL-Y</x:v>
      </x:c>
      <x:c r="F64" s="7" t="n">
        <x:v>10</x:v>
      </x:c>
      <x:c r="G64" s="7" t="str"/>
      <x:c r="H64" s="7" t="str"/>
      <x:c r="I64" s="7" t="str"/>
      <x:c r="J64" s="7" t="str"/>
      <x:c r="K64" s="7" t="str"/>
      <x:c r="L64" s="7" t="str">
        <x:f>IF(K64="","OPEN",IF(OR(G64="",NOT(ISNUMBER(H64)),I64&lt;&gt;"SAFE",NOT(ISNUMBER(J64))),"FAIL","PASS"))</x:f>
        <x:v>OPEN</x:v>
      </x:c>
    </x:row>
    <x:row r="65">
      <x:c r="B65" s="7" t="str">
        <x:v>ELM-PEA-A-Y2-11</x:v>
      </x:c>
      <x:c r="C65" s="7" t="str">
        <x:v>PEA-A-Y2</x:v>
      </x:c>
      <x:c r="D65" s="7" t="str">
        <x:v>BLD-A</x:v>
      </x:c>
      <x:c r="E65" s="7" t="str">
        <x:v>BL-Y</x:v>
      </x:c>
      <x:c r="F65" s="7" t="n">
        <x:v>11</x:v>
      </x:c>
      <x:c r="G65" s="7" t="str"/>
      <x:c r="H65" s="7" t="str"/>
      <x:c r="I65" s="7" t="str"/>
      <x:c r="J65" s="7" t="str"/>
      <x:c r="K65" s="7" t="str"/>
      <x:c r="L65" s="7" t="str">
        <x:f>IF(K65="","OPEN",IF(OR(G65="",NOT(ISNUMBER(H65)),I65&lt;&gt;"SAFE",NOT(ISNUMBER(J65))),"FAIL","PASS"))</x:f>
        <x:v>OPEN</x:v>
      </x:c>
    </x:row>
    <x:row r="66">
      <x:c r="B66" s="7" t="str">
        <x:v>ELM-PEA-A-Y2-12</x:v>
      </x:c>
      <x:c r="C66" s="7" t="str">
        <x:v>PEA-A-Y2</x:v>
      </x:c>
      <x:c r="D66" s="7" t="str">
        <x:v>BLD-A</x:v>
      </x:c>
      <x:c r="E66" s="7" t="str">
        <x:v>BL-Y</x:v>
      </x:c>
      <x:c r="F66" s="7" t="n">
        <x:v>12</x:v>
      </x:c>
      <x:c r="G66" s="7" t="str"/>
      <x:c r="H66" s="7" t="str"/>
      <x:c r="I66" s="7" t="str"/>
      <x:c r="J66" s="7" t="str"/>
      <x:c r="K66" s="7" t="str"/>
      <x:c r="L66" s="7" t="str">
        <x:f>IF(K66="","OPEN",IF(OR(G66="",NOT(ISNUMBER(H66)),I66&lt;&gt;"SAFE",NOT(ISNUMBER(J66))),"FAIL","PASS"))</x:f>
        <x:v>OPEN</x:v>
      </x:c>
    </x:row>
    <x:row r="67">
      <x:c r="B67" s="7" t="str">
        <x:v>ELM-PEA-A-Y3-01</x:v>
      </x:c>
      <x:c r="C67" s="7" t="str">
        <x:v>PEA-A-Y3</x:v>
      </x:c>
      <x:c r="D67" s="7" t="str">
        <x:v>BLD-A</x:v>
      </x:c>
      <x:c r="E67" s="7" t="str">
        <x:v>BL-Y</x:v>
      </x:c>
      <x:c r="F67" s="7" t="n">
        <x:v>1</x:v>
      </x:c>
      <x:c r="G67" s="7" t="str"/>
      <x:c r="H67" s="7" t="str"/>
      <x:c r="I67" s="7" t="str"/>
      <x:c r="J67" s="7" t="str"/>
      <x:c r="K67" s="7" t="str"/>
      <x:c r="L67" s="7" t="str">
        <x:f>IF(K67="","OPEN",IF(OR(G67="",NOT(ISNUMBER(H67)),I67&lt;&gt;"SAFE",NOT(ISNUMBER(J67))),"FAIL","PASS"))</x:f>
        <x:v>OPEN</x:v>
      </x:c>
    </x:row>
    <x:row r="68">
      <x:c r="B68" s="7" t="str">
        <x:v>ELM-PEA-A-Y3-02</x:v>
      </x:c>
      <x:c r="C68" s="7" t="str">
        <x:v>PEA-A-Y3</x:v>
      </x:c>
      <x:c r="D68" s="7" t="str">
        <x:v>BLD-A</x:v>
      </x:c>
      <x:c r="E68" s="7" t="str">
        <x:v>BL-Y</x:v>
      </x:c>
      <x:c r="F68" s="7" t="n">
        <x:v>2</x:v>
      </x:c>
      <x:c r="G68" s="7" t="str"/>
      <x:c r="H68" s="7" t="str"/>
      <x:c r="I68" s="7" t="str"/>
      <x:c r="J68" s="7" t="str"/>
      <x:c r="K68" s="7" t="str"/>
      <x:c r="L68" s="7" t="str">
        <x:f>IF(K68="","OPEN",IF(OR(G68="",NOT(ISNUMBER(H68)),I68&lt;&gt;"SAFE",NOT(ISNUMBER(J68))),"FAIL","PASS"))</x:f>
        <x:v>OPEN</x:v>
      </x:c>
    </x:row>
    <x:row r="69">
      <x:c r="B69" s="7" t="str">
        <x:v>ELM-PEA-A-Y3-03</x:v>
      </x:c>
      <x:c r="C69" s="7" t="str">
        <x:v>PEA-A-Y3</x:v>
      </x:c>
      <x:c r="D69" s="7" t="str">
        <x:v>BLD-A</x:v>
      </x:c>
      <x:c r="E69" s="7" t="str">
        <x:v>BL-Y</x:v>
      </x:c>
      <x:c r="F69" s="7" t="n">
        <x:v>3</x:v>
      </x:c>
      <x:c r="G69" s="7" t="str"/>
      <x:c r="H69" s="7" t="str"/>
      <x:c r="I69" s="7" t="str"/>
      <x:c r="J69" s="7" t="str"/>
      <x:c r="K69" s="7" t="str"/>
      <x:c r="L69" s="7" t="str">
        <x:f>IF(K69="","OPEN",IF(OR(G69="",NOT(ISNUMBER(H69)),I69&lt;&gt;"SAFE",NOT(ISNUMBER(J69))),"FAIL","PASS"))</x:f>
        <x:v>OPEN</x:v>
      </x:c>
    </x:row>
    <x:row r="70">
      <x:c r="B70" s="7" t="str">
        <x:v>ELM-PEA-A-Y3-04</x:v>
      </x:c>
      <x:c r="C70" s="7" t="str">
        <x:v>PEA-A-Y3</x:v>
      </x:c>
      <x:c r="D70" s="7" t="str">
        <x:v>BLD-A</x:v>
      </x:c>
      <x:c r="E70" s="7" t="str">
        <x:v>BL-Y</x:v>
      </x:c>
      <x:c r="F70" s="7" t="n">
        <x:v>4</x:v>
      </x:c>
      <x:c r="G70" s="7" t="str"/>
      <x:c r="H70" s="7" t="str"/>
      <x:c r="I70" s="7" t="str"/>
      <x:c r="J70" s="7" t="str"/>
      <x:c r="K70" s="7" t="str"/>
      <x:c r="L70" s="7" t="str">
        <x:f>IF(K70="","OPEN",IF(OR(G70="",NOT(ISNUMBER(H70)),I70&lt;&gt;"SAFE",NOT(ISNUMBER(J70))),"FAIL","PASS"))</x:f>
        <x:v>OPEN</x:v>
      </x:c>
    </x:row>
    <x:row r="71">
      <x:c r="B71" s="7" t="str">
        <x:v>ELM-PEA-A-Y3-05</x:v>
      </x:c>
      <x:c r="C71" s="7" t="str">
        <x:v>PEA-A-Y3</x:v>
      </x:c>
      <x:c r="D71" s="7" t="str">
        <x:v>BLD-A</x:v>
      </x:c>
      <x:c r="E71" s="7" t="str">
        <x:v>BL-Y</x:v>
      </x:c>
      <x:c r="F71" s="7" t="n">
        <x:v>5</x:v>
      </x:c>
      <x:c r="G71" s="7" t="str"/>
      <x:c r="H71" s="7" t="str"/>
      <x:c r="I71" s="7" t="str"/>
      <x:c r="J71" s="7" t="str"/>
      <x:c r="K71" s="7" t="str"/>
      <x:c r="L71" s="7" t="str">
        <x:f>IF(K71="","OPEN",IF(OR(G71="",NOT(ISNUMBER(H71)),I71&lt;&gt;"SAFE",NOT(ISNUMBER(J71))),"FAIL","PASS"))</x:f>
        <x:v>OPEN</x:v>
      </x:c>
    </x:row>
    <x:row r="72">
      <x:c r="B72" s="7" t="str">
        <x:v>ELM-PEA-A-Y3-06</x:v>
      </x:c>
      <x:c r="C72" s="7" t="str">
        <x:v>PEA-A-Y3</x:v>
      </x:c>
      <x:c r="D72" s="7" t="str">
        <x:v>BLD-A</x:v>
      </x:c>
      <x:c r="E72" s="7" t="str">
        <x:v>BL-Y</x:v>
      </x:c>
      <x:c r="F72" s="7" t="n">
        <x:v>6</x:v>
      </x:c>
      <x:c r="G72" s="7" t="str"/>
      <x:c r="H72" s="7" t="str"/>
      <x:c r="I72" s="7" t="str"/>
      <x:c r="J72" s="7" t="str"/>
      <x:c r="K72" s="7" t="str"/>
      <x:c r="L72" s="7" t="str">
        <x:f>IF(K72="","OPEN",IF(OR(G72="",NOT(ISNUMBER(H72)),I72&lt;&gt;"SAFE",NOT(ISNUMBER(J72))),"FAIL","PASS"))</x:f>
        <x:v>OPEN</x:v>
      </x:c>
    </x:row>
    <x:row r="73">
      <x:c r="B73" s="7" t="str">
        <x:v>ELM-PEA-A-Y3-07</x:v>
      </x:c>
      <x:c r="C73" s="7" t="str">
        <x:v>PEA-A-Y3</x:v>
      </x:c>
      <x:c r="D73" s="7" t="str">
        <x:v>BLD-A</x:v>
      </x:c>
      <x:c r="E73" s="7" t="str">
        <x:v>BL-Y</x:v>
      </x:c>
      <x:c r="F73" s="7" t="n">
        <x:v>7</x:v>
      </x:c>
      <x:c r="G73" s="7" t="str"/>
      <x:c r="H73" s="7" t="str"/>
      <x:c r="I73" s="7" t="str"/>
      <x:c r="J73" s="7" t="str"/>
      <x:c r="K73" s="7" t="str"/>
      <x:c r="L73" s="7" t="str">
        <x:f>IF(K73="","OPEN",IF(OR(G73="",NOT(ISNUMBER(H73)),I73&lt;&gt;"SAFE",NOT(ISNUMBER(J73))),"FAIL","PASS"))</x:f>
        <x:v>OPEN</x:v>
      </x:c>
    </x:row>
    <x:row r="74">
      <x:c r="B74" s="7" t="str">
        <x:v>ELM-PEA-A-Y3-08</x:v>
      </x:c>
      <x:c r="C74" s="7" t="str">
        <x:v>PEA-A-Y3</x:v>
      </x:c>
      <x:c r="D74" s="7" t="str">
        <x:v>BLD-A</x:v>
      </x:c>
      <x:c r="E74" s="7" t="str">
        <x:v>BL-Y</x:v>
      </x:c>
      <x:c r="F74" s="7" t="n">
        <x:v>8</x:v>
      </x:c>
      <x:c r="G74" s="7" t="str"/>
      <x:c r="H74" s="7" t="str"/>
      <x:c r="I74" s="7" t="str"/>
      <x:c r="J74" s="7" t="str"/>
      <x:c r="K74" s="7" t="str"/>
      <x:c r="L74" s="7" t="str">
        <x:f>IF(K74="","OPEN",IF(OR(G74="",NOT(ISNUMBER(H74)),I74&lt;&gt;"SAFE",NOT(ISNUMBER(J74))),"FAIL","PASS"))</x:f>
        <x:v>OPEN</x:v>
      </x:c>
    </x:row>
    <x:row r="75">
      <x:c r="B75" s="7" t="str">
        <x:v>ELM-PEA-A-Y3-09</x:v>
      </x:c>
      <x:c r="C75" s="7" t="str">
        <x:v>PEA-A-Y3</x:v>
      </x:c>
      <x:c r="D75" s="7" t="str">
        <x:v>BLD-A</x:v>
      </x:c>
      <x:c r="E75" s="7" t="str">
        <x:v>BL-Y</x:v>
      </x:c>
      <x:c r="F75" s="7" t="n">
        <x:v>9</x:v>
      </x:c>
      <x:c r="G75" s="7" t="str"/>
      <x:c r="H75" s="7" t="str"/>
      <x:c r="I75" s="7" t="str"/>
      <x:c r="J75" s="7" t="str"/>
      <x:c r="K75" s="7" t="str"/>
      <x:c r="L75" s="7" t="str">
        <x:f>IF(K75="","OPEN",IF(OR(G75="",NOT(ISNUMBER(H75)),I75&lt;&gt;"SAFE",NOT(ISNUMBER(J75))),"FAIL","PASS"))</x:f>
        <x:v>OPEN</x:v>
      </x:c>
    </x:row>
    <x:row r="76">
      <x:c r="B76" s="7" t="str">
        <x:v>ELM-PEA-A-Y3-10</x:v>
      </x:c>
      <x:c r="C76" s="7" t="str">
        <x:v>PEA-A-Y3</x:v>
      </x:c>
      <x:c r="D76" s="7" t="str">
        <x:v>BLD-A</x:v>
      </x:c>
      <x:c r="E76" s="7" t="str">
        <x:v>BL-Y</x:v>
      </x:c>
      <x:c r="F76" s="7" t="n">
        <x:v>10</x:v>
      </x:c>
      <x:c r="G76" s="7" t="str"/>
      <x:c r="H76" s="7" t="str"/>
      <x:c r="I76" s="7" t="str"/>
      <x:c r="J76" s="7" t="str"/>
      <x:c r="K76" s="7" t="str"/>
      <x:c r="L76" s="7" t="str">
        <x:f>IF(K76="","OPEN",IF(OR(G76="",NOT(ISNUMBER(H76)),I76&lt;&gt;"SAFE",NOT(ISNUMBER(J76))),"FAIL","PASS"))</x:f>
        <x:v>OPEN</x:v>
      </x:c>
    </x:row>
    <x:row r="77">
      <x:c r="B77" s="7" t="str">
        <x:v>ELM-PEA-A-Y3-11</x:v>
      </x:c>
      <x:c r="C77" s="7" t="str">
        <x:v>PEA-A-Y3</x:v>
      </x:c>
      <x:c r="D77" s="7" t="str">
        <x:v>BLD-A</x:v>
      </x:c>
      <x:c r="E77" s="7" t="str">
        <x:v>BL-Y</x:v>
      </x:c>
      <x:c r="F77" s="7" t="n">
        <x:v>11</x:v>
      </x:c>
      <x:c r="G77" s="7" t="str"/>
      <x:c r="H77" s="7" t="str"/>
      <x:c r="I77" s="7" t="str"/>
      <x:c r="J77" s="7" t="str"/>
      <x:c r="K77" s="7" t="str"/>
      <x:c r="L77" s="7" t="str">
        <x:f>IF(K77="","OPEN",IF(OR(G77="",NOT(ISNUMBER(H77)),I77&lt;&gt;"SAFE",NOT(ISNUMBER(J77))),"FAIL","PASS"))</x:f>
        <x:v>OPEN</x:v>
      </x:c>
    </x:row>
    <x:row r="78">
      <x:c r="B78" s="7" t="str">
        <x:v>ELM-PEA-A-Y3-12</x:v>
      </x:c>
      <x:c r="C78" s="7" t="str">
        <x:v>PEA-A-Y3</x:v>
      </x:c>
      <x:c r="D78" s="7" t="str">
        <x:v>BLD-A</x:v>
      </x:c>
      <x:c r="E78" s="7" t="str">
        <x:v>BL-Y</x:v>
      </x:c>
      <x:c r="F78" s="7" t="n">
        <x:v>12</x:v>
      </x:c>
      <x:c r="G78" s="7" t="str"/>
      <x:c r="H78" s="7" t="str"/>
      <x:c r="I78" s="7" t="str"/>
      <x:c r="J78" s="7" t="str"/>
      <x:c r="K78" s="7" t="str"/>
      <x:c r="L78" s="7" t="str">
        <x:f>IF(K78="","OPEN",IF(OR(G78="",NOT(ISNUMBER(H78)),I78&lt;&gt;"SAFE",NOT(ISNUMBER(J78))),"FAIL","PASS"))</x:f>
        <x:v>OPEN</x:v>
      </x:c>
    </x:row>
    <x:row r="79">
      <x:c r="B79" s="7" t="str">
        <x:v>ELM-PEA-B-X1-01</x:v>
      </x:c>
      <x:c r="C79" s="7" t="str">
        <x:v>PEA-B-X1</x:v>
      </x:c>
      <x:c r="D79" s="7" t="str">
        <x:v>BLD-B</x:v>
      </x:c>
      <x:c r="E79" s="7" t="str">
        <x:v>BL-X</x:v>
      </x:c>
      <x:c r="F79" s="7" t="n">
        <x:v>1</x:v>
      </x:c>
      <x:c r="G79" s="7" t="str"/>
      <x:c r="H79" s="7" t="str"/>
      <x:c r="I79" s="7" t="str"/>
      <x:c r="J79" s="7" t="str"/>
      <x:c r="K79" s="7" t="str"/>
      <x:c r="L79" s="7" t="str">
        <x:f>IF(K79="","OPEN",IF(OR(G79="",NOT(ISNUMBER(H79)),I79&lt;&gt;"SAFE",NOT(ISNUMBER(J79))),"FAIL","PASS"))</x:f>
        <x:v>OPEN</x:v>
      </x:c>
    </x:row>
    <x:row r="80">
      <x:c r="B80" s="7" t="str">
        <x:v>ELM-PEA-B-X1-02</x:v>
      </x:c>
      <x:c r="C80" s="7" t="str">
        <x:v>PEA-B-X1</x:v>
      </x:c>
      <x:c r="D80" s="7" t="str">
        <x:v>BLD-B</x:v>
      </x:c>
      <x:c r="E80" s="7" t="str">
        <x:v>BL-X</x:v>
      </x:c>
      <x:c r="F80" s="7" t="n">
        <x:v>2</x:v>
      </x:c>
      <x:c r="G80" s="7" t="str"/>
      <x:c r="H80" s="7" t="str"/>
      <x:c r="I80" s="7" t="str"/>
      <x:c r="J80" s="7" t="str"/>
      <x:c r="K80" s="7" t="str"/>
      <x:c r="L80" s="7" t="str">
        <x:f>IF(K80="","OPEN",IF(OR(G80="",NOT(ISNUMBER(H80)),I80&lt;&gt;"SAFE",NOT(ISNUMBER(J80))),"FAIL","PASS"))</x:f>
        <x:v>OPEN</x:v>
      </x:c>
    </x:row>
    <x:row r="81">
      <x:c r="B81" s="7" t="str">
        <x:v>ELM-PEA-B-X1-03</x:v>
      </x:c>
      <x:c r="C81" s="7" t="str">
        <x:v>PEA-B-X1</x:v>
      </x:c>
      <x:c r="D81" s="7" t="str">
        <x:v>BLD-B</x:v>
      </x:c>
      <x:c r="E81" s="7" t="str">
        <x:v>BL-X</x:v>
      </x:c>
      <x:c r="F81" s="7" t="n">
        <x:v>3</x:v>
      </x:c>
      <x:c r="G81" s="7" t="str"/>
      <x:c r="H81" s="7" t="str"/>
      <x:c r="I81" s="7" t="str"/>
      <x:c r="J81" s="7" t="str"/>
      <x:c r="K81" s="7" t="str"/>
      <x:c r="L81" s="7" t="str">
        <x:f>IF(K81="","OPEN",IF(OR(G81="",NOT(ISNUMBER(H81)),I81&lt;&gt;"SAFE",NOT(ISNUMBER(J81))),"FAIL","PASS"))</x:f>
        <x:v>OPEN</x:v>
      </x:c>
    </x:row>
    <x:row r="82">
      <x:c r="B82" s="7" t="str">
        <x:v>ELM-PEA-B-X1-04</x:v>
      </x:c>
      <x:c r="C82" s="7" t="str">
        <x:v>PEA-B-X1</x:v>
      </x:c>
      <x:c r="D82" s="7" t="str">
        <x:v>BLD-B</x:v>
      </x:c>
      <x:c r="E82" s="7" t="str">
        <x:v>BL-X</x:v>
      </x:c>
      <x:c r="F82" s="7" t="n">
        <x:v>4</x:v>
      </x:c>
      <x:c r="G82" s="7" t="str"/>
      <x:c r="H82" s="7" t="str"/>
      <x:c r="I82" s="7" t="str"/>
      <x:c r="J82" s="7" t="str"/>
      <x:c r="K82" s="7" t="str"/>
      <x:c r="L82" s="7" t="str">
        <x:f>IF(K82="","OPEN",IF(OR(G82="",NOT(ISNUMBER(H82)),I82&lt;&gt;"SAFE",NOT(ISNUMBER(J82))),"FAIL","PASS"))</x:f>
        <x:v>OPEN</x:v>
      </x:c>
    </x:row>
    <x:row r="83">
      <x:c r="B83" s="7" t="str">
        <x:v>ELM-PEA-B-X1-05</x:v>
      </x:c>
      <x:c r="C83" s="7" t="str">
        <x:v>PEA-B-X1</x:v>
      </x:c>
      <x:c r="D83" s="7" t="str">
        <x:v>BLD-B</x:v>
      </x:c>
      <x:c r="E83" s="7" t="str">
        <x:v>BL-X</x:v>
      </x:c>
      <x:c r="F83" s="7" t="n">
        <x:v>5</x:v>
      </x:c>
      <x:c r="G83" s="7" t="str"/>
      <x:c r="H83" s="7" t="str"/>
      <x:c r="I83" s="7" t="str"/>
      <x:c r="J83" s="7" t="str"/>
      <x:c r="K83" s="7" t="str"/>
      <x:c r="L83" s="7" t="str">
        <x:f>IF(K83="","OPEN",IF(OR(G83="",NOT(ISNUMBER(H83)),I83&lt;&gt;"SAFE",NOT(ISNUMBER(J83))),"FAIL","PASS"))</x:f>
        <x:v>OPEN</x:v>
      </x:c>
    </x:row>
    <x:row r="84">
      <x:c r="B84" s="7" t="str">
        <x:v>ELM-PEA-B-X1-06</x:v>
      </x:c>
      <x:c r="C84" s="7" t="str">
        <x:v>PEA-B-X1</x:v>
      </x:c>
      <x:c r="D84" s="7" t="str">
        <x:v>BLD-B</x:v>
      </x:c>
      <x:c r="E84" s="7" t="str">
        <x:v>BL-X</x:v>
      </x:c>
      <x:c r="F84" s="7" t="n">
        <x:v>6</x:v>
      </x:c>
      <x:c r="G84" s="7" t="str"/>
      <x:c r="H84" s="7" t="str"/>
      <x:c r="I84" s="7" t="str"/>
      <x:c r="J84" s="7" t="str"/>
      <x:c r="K84" s="7" t="str"/>
      <x:c r="L84" s="7" t="str">
        <x:f>IF(K84="","OPEN",IF(OR(G84="",NOT(ISNUMBER(H84)),I84&lt;&gt;"SAFE",NOT(ISNUMBER(J84))),"FAIL","PASS"))</x:f>
        <x:v>OPEN</x:v>
      </x:c>
    </x:row>
    <x:row r="85">
      <x:c r="B85" s="7" t="str">
        <x:v>ELM-PEA-B-X1-07</x:v>
      </x:c>
      <x:c r="C85" s="7" t="str">
        <x:v>PEA-B-X1</x:v>
      </x:c>
      <x:c r="D85" s="7" t="str">
        <x:v>BLD-B</x:v>
      </x:c>
      <x:c r="E85" s="7" t="str">
        <x:v>BL-X</x:v>
      </x:c>
      <x:c r="F85" s="7" t="n">
        <x:v>7</x:v>
      </x:c>
      <x:c r="G85" s="7" t="str"/>
      <x:c r="H85" s="7" t="str"/>
      <x:c r="I85" s="7" t="str"/>
      <x:c r="J85" s="7" t="str"/>
      <x:c r="K85" s="7" t="str"/>
      <x:c r="L85" s="7" t="str">
        <x:f>IF(K85="","OPEN",IF(OR(G85="",NOT(ISNUMBER(H85)),I85&lt;&gt;"SAFE",NOT(ISNUMBER(J85))),"FAIL","PASS"))</x:f>
        <x:v>OPEN</x:v>
      </x:c>
    </x:row>
    <x:row r="86">
      <x:c r="B86" s="7" t="str">
        <x:v>ELM-PEA-B-X1-08</x:v>
      </x:c>
      <x:c r="C86" s="7" t="str">
        <x:v>PEA-B-X1</x:v>
      </x:c>
      <x:c r="D86" s="7" t="str">
        <x:v>BLD-B</x:v>
      </x:c>
      <x:c r="E86" s="7" t="str">
        <x:v>BL-X</x:v>
      </x:c>
      <x:c r="F86" s="7" t="n">
        <x:v>8</x:v>
      </x:c>
      <x:c r="G86" s="7" t="str"/>
      <x:c r="H86" s="7" t="str"/>
      <x:c r="I86" s="7" t="str"/>
      <x:c r="J86" s="7" t="str"/>
      <x:c r="K86" s="7" t="str"/>
      <x:c r="L86" s="7" t="str">
        <x:f>IF(K86="","OPEN",IF(OR(G86="",NOT(ISNUMBER(H86)),I86&lt;&gt;"SAFE",NOT(ISNUMBER(J86))),"FAIL","PASS"))</x:f>
        <x:v>OPEN</x:v>
      </x:c>
    </x:row>
    <x:row r="87">
      <x:c r="B87" s="7" t="str">
        <x:v>ELM-PEA-B-X1-09</x:v>
      </x:c>
      <x:c r="C87" s="7" t="str">
        <x:v>PEA-B-X1</x:v>
      </x:c>
      <x:c r="D87" s="7" t="str">
        <x:v>BLD-B</x:v>
      </x:c>
      <x:c r="E87" s="7" t="str">
        <x:v>BL-X</x:v>
      </x:c>
      <x:c r="F87" s="7" t="n">
        <x:v>9</x:v>
      </x:c>
      <x:c r="G87" s="7" t="str"/>
      <x:c r="H87" s="7" t="str"/>
      <x:c r="I87" s="7" t="str"/>
      <x:c r="J87" s="7" t="str"/>
      <x:c r="K87" s="7" t="str"/>
      <x:c r="L87" s="7" t="str">
        <x:f>IF(K87="","OPEN",IF(OR(G87="",NOT(ISNUMBER(H87)),I87&lt;&gt;"SAFE",NOT(ISNUMBER(J87))),"FAIL","PASS"))</x:f>
        <x:v>OPEN</x:v>
      </x:c>
    </x:row>
    <x:row r="88">
      <x:c r="B88" s="7" t="str">
        <x:v>ELM-PEA-B-X1-10</x:v>
      </x:c>
      <x:c r="C88" s="7" t="str">
        <x:v>PEA-B-X1</x:v>
      </x:c>
      <x:c r="D88" s="7" t="str">
        <x:v>BLD-B</x:v>
      </x:c>
      <x:c r="E88" s="7" t="str">
        <x:v>BL-X</x:v>
      </x:c>
      <x:c r="F88" s="7" t="n">
        <x:v>10</x:v>
      </x:c>
      <x:c r="G88" s="7" t="str"/>
      <x:c r="H88" s="7" t="str"/>
      <x:c r="I88" s="7" t="str"/>
      <x:c r="J88" s="7" t="str"/>
      <x:c r="K88" s="7" t="str"/>
      <x:c r="L88" s="7" t="str">
        <x:f>IF(K88="","OPEN",IF(OR(G88="",NOT(ISNUMBER(H88)),I88&lt;&gt;"SAFE",NOT(ISNUMBER(J88))),"FAIL","PASS"))</x:f>
        <x:v>OPEN</x:v>
      </x:c>
    </x:row>
    <x:row r="89">
      <x:c r="B89" s="7" t="str">
        <x:v>ELM-PEA-B-X1-11</x:v>
      </x:c>
      <x:c r="C89" s="7" t="str">
        <x:v>PEA-B-X1</x:v>
      </x:c>
      <x:c r="D89" s="7" t="str">
        <x:v>BLD-B</x:v>
      </x:c>
      <x:c r="E89" s="7" t="str">
        <x:v>BL-X</x:v>
      </x:c>
      <x:c r="F89" s="7" t="n">
        <x:v>11</x:v>
      </x:c>
      <x:c r="G89" s="7" t="str"/>
      <x:c r="H89" s="7" t="str"/>
      <x:c r="I89" s="7" t="str"/>
      <x:c r="J89" s="7" t="str"/>
      <x:c r="K89" s="7" t="str"/>
      <x:c r="L89" s="7" t="str">
        <x:f>IF(K89="","OPEN",IF(OR(G89="",NOT(ISNUMBER(H89)),I89&lt;&gt;"SAFE",NOT(ISNUMBER(J89))),"FAIL","PASS"))</x:f>
        <x:v>OPEN</x:v>
      </x:c>
    </x:row>
    <x:row r="90">
      <x:c r="B90" s="7" t="str">
        <x:v>ELM-PEA-B-X1-12</x:v>
      </x:c>
      <x:c r="C90" s="7" t="str">
        <x:v>PEA-B-X1</x:v>
      </x:c>
      <x:c r="D90" s="7" t="str">
        <x:v>BLD-B</x:v>
      </x:c>
      <x:c r="E90" s="7" t="str">
        <x:v>BL-X</x:v>
      </x:c>
      <x:c r="F90" s="7" t="n">
        <x:v>12</x:v>
      </x:c>
      <x:c r="G90" s="7" t="str"/>
      <x:c r="H90" s="7" t="str"/>
      <x:c r="I90" s="7" t="str"/>
      <x:c r="J90" s="7" t="str"/>
      <x:c r="K90" s="7" t="str"/>
      <x:c r="L90" s="7" t="str">
        <x:f>IF(K90="","OPEN",IF(OR(G90="",NOT(ISNUMBER(H90)),I90&lt;&gt;"SAFE",NOT(ISNUMBER(J90))),"FAIL","PASS"))</x:f>
        <x:v>OPEN</x:v>
      </x:c>
    </x:row>
    <x:row r="91">
      <x:c r="B91" s="7" t="str">
        <x:v>ELM-PEA-B-X2-01</x:v>
      </x:c>
      <x:c r="C91" s="7" t="str">
        <x:v>PEA-B-X2</x:v>
      </x:c>
      <x:c r="D91" s="7" t="str">
        <x:v>BLD-B</x:v>
      </x:c>
      <x:c r="E91" s="7" t="str">
        <x:v>BL-X</x:v>
      </x:c>
      <x:c r="F91" s="7" t="n">
        <x:v>1</x:v>
      </x:c>
      <x:c r="G91" s="7" t="str"/>
      <x:c r="H91" s="7" t="str"/>
      <x:c r="I91" s="7" t="str"/>
      <x:c r="J91" s="7" t="str"/>
      <x:c r="K91" s="7" t="str"/>
      <x:c r="L91" s="7" t="str">
        <x:f>IF(K91="","OPEN",IF(OR(G91="",NOT(ISNUMBER(H91)),I91&lt;&gt;"SAFE",NOT(ISNUMBER(J91))),"FAIL","PASS"))</x:f>
        <x:v>OPEN</x:v>
      </x:c>
    </x:row>
    <x:row r="92">
      <x:c r="B92" s="7" t="str">
        <x:v>ELM-PEA-B-X2-02</x:v>
      </x:c>
      <x:c r="C92" s="7" t="str">
        <x:v>PEA-B-X2</x:v>
      </x:c>
      <x:c r="D92" s="7" t="str">
        <x:v>BLD-B</x:v>
      </x:c>
      <x:c r="E92" s="7" t="str">
        <x:v>BL-X</x:v>
      </x:c>
      <x:c r="F92" s="7" t="n">
        <x:v>2</x:v>
      </x:c>
      <x:c r="G92" s="7" t="str"/>
      <x:c r="H92" s="7" t="str"/>
      <x:c r="I92" s="7" t="str"/>
      <x:c r="J92" s="7" t="str"/>
      <x:c r="K92" s="7" t="str"/>
      <x:c r="L92" s="7" t="str">
        <x:f>IF(K92="","OPEN",IF(OR(G92="",NOT(ISNUMBER(H92)),I92&lt;&gt;"SAFE",NOT(ISNUMBER(J92))),"FAIL","PASS"))</x:f>
        <x:v>OPEN</x:v>
      </x:c>
    </x:row>
    <x:row r="93">
      <x:c r="B93" s="7" t="str">
        <x:v>ELM-PEA-B-X2-03</x:v>
      </x:c>
      <x:c r="C93" s="7" t="str">
        <x:v>PEA-B-X2</x:v>
      </x:c>
      <x:c r="D93" s="7" t="str">
        <x:v>BLD-B</x:v>
      </x:c>
      <x:c r="E93" s="7" t="str">
        <x:v>BL-X</x:v>
      </x:c>
      <x:c r="F93" s="7" t="n">
        <x:v>3</x:v>
      </x:c>
      <x:c r="G93" s="7" t="str"/>
      <x:c r="H93" s="7" t="str"/>
      <x:c r="I93" s="7" t="str"/>
      <x:c r="J93" s="7" t="str"/>
      <x:c r="K93" s="7" t="str"/>
      <x:c r="L93" s="7" t="str">
        <x:f>IF(K93="","OPEN",IF(OR(G93="",NOT(ISNUMBER(H93)),I93&lt;&gt;"SAFE",NOT(ISNUMBER(J93))),"FAIL","PASS"))</x:f>
        <x:v>OPEN</x:v>
      </x:c>
    </x:row>
    <x:row r="94">
      <x:c r="B94" s="7" t="str">
        <x:v>ELM-PEA-B-X2-04</x:v>
      </x:c>
      <x:c r="C94" s="7" t="str">
        <x:v>PEA-B-X2</x:v>
      </x:c>
      <x:c r="D94" s="7" t="str">
        <x:v>BLD-B</x:v>
      </x:c>
      <x:c r="E94" s="7" t="str">
        <x:v>BL-X</x:v>
      </x:c>
      <x:c r="F94" s="7" t="n">
        <x:v>4</x:v>
      </x:c>
      <x:c r="G94" s="7" t="str"/>
      <x:c r="H94" s="7" t="str"/>
      <x:c r="I94" s="7" t="str"/>
      <x:c r="J94" s="7" t="str"/>
      <x:c r="K94" s="7" t="str"/>
      <x:c r="L94" s="7" t="str">
        <x:f>IF(K94="","OPEN",IF(OR(G94="",NOT(ISNUMBER(H94)),I94&lt;&gt;"SAFE",NOT(ISNUMBER(J94))),"FAIL","PASS"))</x:f>
        <x:v>OPEN</x:v>
      </x:c>
    </x:row>
    <x:row r="95">
      <x:c r="B95" s="7" t="str">
        <x:v>ELM-PEA-B-X2-05</x:v>
      </x:c>
      <x:c r="C95" s="7" t="str">
        <x:v>PEA-B-X2</x:v>
      </x:c>
      <x:c r="D95" s="7" t="str">
        <x:v>BLD-B</x:v>
      </x:c>
      <x:c r="E95" s="7" t="str">
        <x:v>BL-X</x:v>
      </x:c>
      <x:c r="F95" s="7" t="n">
        <x:v>5</x:v>
      </x:c>
      <x:c r="G95" s="7" t="str"/>
      <x:c r="H95" s="7" t="str"/>
      <x:c r="I95" s="7" t="str"/>
      <x:c r="J95" s="7" t="str"/>
      <x:c r="K95" s="7" t="str"/>
      <x:c r="L95" s="7" t="str">
        <x:f>IF(K95="","OPEN",IF(OR(G95="",NOT(ISNUMBER(H95)),I95&lt;&gt;"SAFE",NOT(ISNUMBER(J95))),"FAIL","PASS"))</x:f>
        <x:v>OPEN</x:v>
      </x:c>
    </x:row>
    <x:row r="96">
      <x:c r="B96" s="7" t="str">
        <x:v>ELM-PEA-B-X2-06</x:v>
      </x:c>
      <x:c r="C96" s="7" t="str">
        <x:v>PEA-B-X2</x:v>
      </x:c>
      <x:c r="D96" s="7" t="str">
        <x:v>BLD-B</x:v>
      </x:c>
      <x:c r="E96" s="7" t="str">
        <x:v>BL-X</x:v>
      </x:c>
      <x:c r="F96" s="7" t="n">
        <x:v>6</x:v>
      </x:c>
      <x:c r="G96" s="7" t="str"/>
      <x:c r="H96" s="7" t="str"/>
      <x:c r="I96" s="7" t="str"/>
      <x:c r="J96" s="7" t="str"/>
      <x:c r="K96" s="7" t="str"/>
      <x:c r="L96" s="7" t="str">
        <x:f>IF(K96="","OPEN",IF(OR(G96="",NOT(ISNUMBER(H96)),I96&lt;&gt;"SAFE",NOT(ISNUMBER(J96))),"FAIL","PASS"))</x:f>
        <x:v>OPEN</x:v>
      </x:c>
    </x:row>
    <x:row r="97">
      <x:c r="B97" s="7" t="str">
        <x:v>ELM-PEA-B-X2-07</x:v>
      </x:c>
      <x:c r="C97" s="7" t="str">
        <x:v>PEA-B-X2</x:v>
      </x:c>
      <x:c r="D97" s="7" t="str">
        <x:v>BLD-B</x:v>
      </x:c>
      <x:c r="E97" s="7" t="str">
        <x:v>BL-X</x:v>
      </x:c>
      <x:c r="F97" s="7" t="n">
        <x:v>7</x:v>
      </x:c>
      <x:c r="G97" s="7" t="str"/>
      <x:c r="H97" s="7" t="str"/>
      <x:c r="I97" s="7" t="str"/>
      <x:c r="J97" s="7" t="str"/>
      <x:c r="K97" s="7" t="str"/>
      <x:c r="L97" s="7" t="str">
        <x:f>IF(K97="","OPEN",IF(OR(G97="",NOT(ISNUMBER(H97)),I97&lt;&gt;"SAFE",NOT(ISNUMBER(J97))),"FAIL","PASS"))</x:f>
        <x:v>OPEN</x:v>
      </x:c>
    </x:row>
    <x:row r="98">
      <x:c r="B98" s="7" t="str">
        <x:v>ELM-PEA-B-X2-08</x:v>
      </x:c>
      <x:c r="C98" s="7" t="str">
        <x:v>PEA-B-X2</x:v>
      </x:c>
      <x:c r="D98" s="7" t="str">
        <x:v>BLD-B</x:v>
      </x:c>
      <x:c r="E98" s="7" t="str">
        <x:v>BL-X</x:v>
      </x:c>
      <x:c r="F98" s="7" t="n">
        <x:v>8</x:v>
      </x:c>
      <x:c r="G98" s="7" t="str"/>
      <x:c r="H98" s="7" t="str"/>
      <x:c r="I98" s="7" t="str"/>
      <x:c r="J98" s="7" t="str"/>
      <x:c r="K98" s="7" t="str"/>
      <x:c r="L98" s="7" t="str">
        <x:f>IF(K98="","OPEN",IF(OR(G98="",NOT(ISNUMBER(H98)),I98&lt;&gt;"SAFE",NOT(ISNUMBER(J98))),"FAIL","PASS"))</x:f>
        <x:v>OPEN</x:v>
      </x:c>
    </x:row>
    <x:row r="99">
      <x:c r="B99" s="7" t="str">
        <x:v>ELM-PEA-B-X2-09</x:v>
      </x:c>
      <x:c r="C99" s="7" t="str">
        <x:v>PEA-B-X2</x:v>
      </x:c>
      <x:c r="D99" s="7" t="str">
        <x:v>BLD-B</x:v>
      </x:c>
      <x:c r="E99" s="7" t="str">
        <x:v>BL-X</x:v>
      </x:c>
      <x:c r="F99" s="7" t="n">
        <x:v>9</x:v>
      </x:c>
      <x:c r="G99" s="7" t="str"/>
      <x:c r="H99" s="7" t="str"/>
      <x:c r="I99" s="7" t="str"/>
      <x:c r="J99" s="7" t="str"/>
      <x:c r="K99" s="7" t="str"/>
      <x:c r="L99" s="7" t="str">
        <x:f>IF(K99="","OPEN",IF(OR(G99="",NOT(ISNUMBER(H99)),I99&lt;&gt;"SAFE",NOT(ISNUMBER(J99))),"FAIL","PASS"))</x:f>
        <x:v>OPEN</x:v>
      </x:c>
    </x:row>
    <x:row r="100">
      <x:c r="B100" s="7" t="str">
        <x:v>ELM-PEA-B-X2-10</x:v>
      </x:c>
      <x:c r="C100" s="7" t="str">
        <x:v>PEA-B-X2</x:v>
      </x:c>
      <x:c r="D100" s="7" t="str">
        <x:v>BLD-B</x:v>
      </x:c>
      <x:c r="E100" s="7" t="str">
        <x:v>BL-X</x:v>
      </x:c>
      <x:c r="F100" s="7" t="n">
        <x:v>10</x:v>
      </x:c>
      <x:c r="G100" s="7" t="str"/>
      <x:c r="H100" s="7" t="str"/>
      <x:c r="I100" s="7" t="str"/>
      <x:c r="J100" s="7" t="str"/>
      <x:c r="K100" s="7" t="str"/>
      <x:c r="L100" s="7" t="str">
        <x:f>IF(K100="","OPEN",IF(OR(G100="",NOT(ISNUMBER(H100)),I100&lt;&gt;"SAFE",NOT(ISNUMBER(J100))),"FAIL","PASS"))</x:f>
        <x:v>OPEN</x:v>
      </x:c>
    </x:row>
    <x:row r="101">
      <x:c r="B101" s="7" t="str">
        <x:v>ELM-PEA-B-X2-11</x:v>
      </x:c>
      <x:c r="C101" s="7" t="str">
        <x:v>PEA-B-X2</x:v>
      </x:c>
      <x:c r="D101" s="7" t="str">
        <x:v>BLD-B</x:v>
      </x:c>
      <x:c r="E101" s="7" t="str">
        <x:v>BL-X</x:v>
      </x:c>
      <x:c r="F101" s="7" t="n">
        <x:v>11</x:v>
      </x:c>
      <x:c r="G101" s="7" t="str"/>
      <x:c r="H101" s="7" t="str"/>
      <x:c r="I101" s="7" t="str"/>
      <x:c r="J101" s="7" t="str"/>
      <x:c r="K101" s="7" t="str"/>
      <x:c r="L101" s="7" t="str">
        <x:f>IF(K101="","OPEN",IF(OR(G101="",NOT(ISNUMBER(H101)),I101&lt;&gt;"SAFE",NOT(ISNUMBER(J101))),"FAIL","PASS"))</x:f>
        <x:v>OPEN</x:v>
      </x:c>
    </x:row>
    <x:row r="102">
      <x:c r="B102" s="7" t="str">
        <x:v>ELM-PEA-B-X2-12</x:v>
      </x:c>
      <x:c r="C102" s="7" t="str">
        <x:v>PEA-B-X2</x:v>
      </x:c>
      <x:c r="D102" s="7" t="str">
        <x:v>BLD-B</x:v>
      </x:c>
      <x:c r="E102" s="7" t="str">
        <x:v>BL-X</x:v>
      </x:c>
      <x:c r="F102" s="7" t="n">
        <x:v>12</x:v>
      </x:c>
      <x:c r="G102" s="7" t="str"/>
      <x:c r="H102" s="7" t="str"/>
      <x:c r="I102" s="7" t="str"/>
      <x:c r="J102" s="7" t="str"/>
      <x:c r="K102" s="7" t="str"/>
      <x:c r="L102" s="7" t="str">
        <x:f>IF(K102="","OPEN",IF(OR(G102="",NOT(ISNUMBER(H102)),I102&lt;&gt;"SAFE",NOT(ISNUMBER(J102))),"FAIL","PASS"))</x:f>
        <x:v>OPEN</x:v>
      </x:c>
    </x:row>
    <x:row r="103">
      <x:c r="B103" s="7" t="str">
        <x:v>ELM-PEA-B-X3-01</x:v>
      </x:c>
      <x:c r="C103" s="7" t="str">
        <x:v>PEA-B-X3</x:v>
      </x:c>
      <x:c r="D103" s="7" t="str">
        <x:v>BLD-B</x:v>
      </x:c>
      <x:c r="E103" s="7" t="str">
        <x:v>BL-X</x:v>
      </x:c>
      <x:c r="F103" s="7" t="n">
        <x:v>1</x:v>
      </x:c>
      <x:c r="G103" s="7" t="str"/>
      <x:c r="H103" s="7" t="str"/>
      <x:c r="I103" s="7" t="str"/>
      <x:c r="J103" s="7" t="str"/>
      <x:c r="K103" s="7" t="str"/>
      <x:c r="L103" s="7" t="str">
        <x:f>IF(K103="","OPEN",IF(OR(G103="",NOT(ISNUMBER(H103)),I103&lt;&gt;"SAFE",NOT(ISNUMBER(J103))),"FAIL","PASS"))</x:f>
        <x:v>OPEN</x:v>
      </x:c>
    </x:row>
    <x:row r="104">
      <x:c r="B104" s="7" t="str">
        <x:v>ELM-PEA-B-X3-02</x:v>
      </x:c>
      <x:c r="C104" s="7" t="str">
        <x:v>PEA-B-X3</x:v>
      </x:c>
      <x:c r="D104" s="7" t="str">
        <x:v>BLD-B</x:v>
      </x:c>
      <x:c r="E104" s="7" t="str">
        <x:v>BL-X</x:v>
      </x:c>
      <x:c r="F104" s="7" t="n">
        <x:v>2</x:v>
      </x:c>
      <x:c r="G104" s="7" t="str"/>
      <x:c r="H104" s="7" t="str"/>
      <x:c r="I104" s="7" t="str"/>
      <x:c r="J104" s="7" t="str"/>
      <x:c r="K104" s="7" t="str"/>
      <x:c r="L104" s="7" t="str">
        <x:f>IF(K104="","OPEN",IF(OR(G104="",NOT(ISNUMBER(H104)),I104&lt;&gt;"SAFE",NOT(ISNUMBER(J104))),"FAIL","PASS"))</x:f>
        <x:v>OPEN</x:v>
      </x:c>
    </x:row>
    <x:row r="105">
      <x:c r="B105" s="7" t="str">
        <x:v>ELM-PEA-B-X3-03</x:v>
      </x:c>
      <x:c r="C105" s="7" t="str">
        <x:v>PEA-B-X3</x:v>
      </x:c>
      <x:c r="D105" s="7" t="str">
        <x:v>BLD-B</x:v>
      </x:c>
      <x:c r="E105" s="7" t="str">
        <x:v>BL-X</x:v>
      </x:c>
      <x:c r="F105" s="7" t="n">
        <x:v>3</x:v>
      </x:c>
      <x:c r="G105" s="7" t="str"/>
      <x:c r="H105" s="7" t="str"/>
      <x:c r="I105" s="7" t="str"/>
      <x:c r="J105" s="7" t="str"/>
      <x:c r="K105" s="7" t="str"/>
      <x:c r="L105" s="7" t="str">
        <x:f>IF(K105="","OPEN",IF(OR(G105="",NOT(ISNUMBER(H105)),I105&lt;&gt;"SAFE",NOT(ISNUMBER(J105))),"FAIL","PASS"))</x:f>
        <x:v>OPEN</x:v>
      </x:c>
    </x:row>
    <x:row r="106">
      <x:c r="B106" s="7" t="str">
        <x:v>ELM-PEA-B-X3-04</x:v>
      </x:c>
      <x:c r="C106" s="7" t="str">
        <x:v>PEA-B-X3</x:v>
      </x:c>
      <x:c r="D106" s="7" t="str">
        <x:v>BLD-B</x:v>
      </x:c>
      <x:c r="E106" s="7" t="str">
        <x:v>BL-X</x:v>
      </x:c>
      <x:c r="F106" s="7" t="n">
        <x:v>4</x:v>
      </x:c>
      <x:c r="G106" s="7" t="str"/>
      <x:c r="H106" s="7" t="str"/>
      <x:c r="I106" s="7" t="str"/>
      <x:c r="J106" s="7" t="str"/>
      <x:c r="K106" s="7" t="str"/>
      <x:c r="L106" s="7" t="str">
        <x:f>IF(K106="","OPEN",IF(OR(G106="",NOT(ISNUMBER(H106)),I106&lt;&gt;"SAFE",NOT(ISNUMBER(J106))),"FAIL","PASS"))</x:f>
        <x:v>OPEN</x:v>
      </x:c>
    </x:row>
    <x:row r="107">
      <x:c r="B107" s="7" t="str">
        <x:v>ELM-PEA-B-X3-05</x:v>
      </x:c>
      <x:c r="C107" s="7" t="str">
        <x:v>PEA-B-X3</x:v>
      </x:c>
      <x:c r="D107" s="7" t="str">
        <x:v>BLD-B</x:v>
      </x:c>
      <x:c r="E107" s="7" t="str">
        <x:v>BL-X</x:v>
      </x:c>
      <x:c r="F107" s="7" t="n">
        <x:v>5</x:v>
      </x:c>
      <x:c r="G107" s="7" t="str"/>
      <x:c r="H107" s="7" t="str"/>
      <x:c r="I107" s="7" t="str"/>
      <x:c r="J107" s="7" t="str"/>
      <x:c r="K107" s="7" t="str"/>
      <x:c r="L107" s="7" t="str">
        <x:f>IF(K107="","OPEN",IF(OR(G107="",NOT(ISNUMBER(H107)),I107&lt;&gt;"SAFE",NOT(ISNUMBER(J107))),"FAIL","PASS"))</x:f>
        <x:v>OPEN</x:v>
      </x:c>
    </x:row>
    <x:row r="108">
      <x:c r="B108" s="7" t="str">
        <x:v>ELM-PEA-B-X3-06</x:v>
      </x:c>
      <x:c r="C108" s="7" t="str">
        <x:v>PEA-B-X3</x:v>
      </x:c>
      <x:c r="D108" s="7" t="str">
        <x:v>BLD-B</x:v>
      </x:c>
      <x:c r="E108" s="7" t="str">
        <x:v>BL-X</x:v>
      </x:c>
      <x:c r="F108" s="7" t="n">
        <x:v>6</x:v>
      </x:c>
      <x:c r="G108" s="7" t="str"/>
      <x:c r="H108" s="7" t="str"/>
      <x:c r="I108" s="7" t="str"/>
      <x:c r="J108" s="7" t="str"/>
      <x:c r="K108" s="7" t="str"/>
      <x:c r="L108" s="7" t="str">
        <x:f>IF(K108="","OPEN",IF(OR(G108="",NOT(ISNUMBER(H108)),I108&lt;&gt;"SAFE",NOT(ISNUMBER(J108))),"FAIL","PASS"))</x:f>
        <x:v>OPEN</x:v>
      </x:c>
    </x:row>
    <x:row r="109">
      <x:c r="B109" s="7" t="str">
        <x:v>ELM-PEA-B-X3-07</x:v>
      </x:c>
      <x:c r="C109" s="7" t="str">
        <x:v>PEA-B-X3</x:v>
      </x:c>
      <x:c r="D109" s="7" t="str">
        <x:v>BLD-B</x:v>
      </x:c>
      <x:c r="E109" s="7" t="str">
        <x:v>BL-X</x:v>
      </x:c>
      <x:c r="F109" s="7" t="n">
        <x:v>7</x:v>
      </x:c>
      <x:c r="G109" s="7" t="str"/>
      <x:c r="H109" s="7" t="str"/>
      <x:c r="I109" s="7" t="str"/>
      <x:c r="J109" s="7" t="str"/>
      <x:c r="K109" s="7" t="str"/>
      <x:c r="L109" s="7" t="str">
        <x:f>IF(K109="","OPEN",IF(OR(G109="",NOT(ISNUMBER(H109)),I109&lt;&gt;"SAFE",NOT(ISNUMBER(J109))),"FAIL","PASS"))</x:f>
        <x:v>OPEN</x:v>
      </x:c>
    </x:row>
    <x:row r="110">
      <x:c r="B110" s="7" t="str">
        <x:v>ELM-PEA-B-X3-08</x:v>
      </x:c>
      <x:c r="C110" s="7" t="str">
        <x:v>PEA-B-X3</x:v>
      </x:c>
      <x:c r="D110" s="7" t="str">
        <x:v>BLD-B</x:v>
      </x:c>
      <x:c r="E110" s="7" t="str">
        <x:v>BL-X</x:v>
      </x:c>
      <x:c r="F110" s="7" t="n">
        <x:v>8</x:v>
      </x:c>
      <x:c r="G110" s="7" t="str"/>
      <x:c r="H110" s="7" t="str"/>
      <x:c r="I110" s="7" t="str"/>
      <x:c r="J110" s="7" t="str"/>
      <x:c r="K110" s="7" t="str"/>
      <x:c r="L110" s="7" t="str">
        <x:f>IF(K110="","OPEN",IF(OR(G110="",NOT(ISNUMBER(H110)),I110&lt;&gt;"SAFE",NOT(ISNUMBER(J110))),"FAIL","PASS"))</x:f>
        <x:v>OPEN</x:v>
      </x:c>
    </x:row>
    <x:row r="111">
      <x:c r="B111" s="7" t="str">
        <x:v>ELM-PEA-B-X3-09</x:v>
      </x:c>
      <x:c r="C111" s="7" t="str">
        <x:v>PEA-B-X3</x:v>
      </x:c>
      <x:c r="D111" s="7" t="str">
        <x:v>BLD-B</x:v>
      </x:c>
      <x:c r="E111" s="7" t="str">
        <x:v>BL-X</x:v>
      </x:c>
      <x:c r="F111" s="7" t="n">
        <x:v>9</x:v>
      </x:c>
      <x:c r="G111" s="7" t="str"/>
      <x:c r="H111" s="7" t="str"/>
      <x:c r="I111" s="7" t="str"/>
      <x:c r="J111" s="7" t="str"/>
      <x:c r="K111" s="7" t="str"/>
      <x:c r="L111" s="7" t="str">
        <x:f>IF(K111="","OPEN",IF(OR(G111="",NOT(ISNUMBER(H111)),I111&lt;&gt;"SAFE",NOT(ISNUMBER(J111))),"FAIL","PASS"))</x:f>
        <x:v>OPEN</x:v>
      </x:c>
    </x:row>
    <x:row r="112">
      <x:c r="B112" s="7" t="str">
        <x:v>ELM-PEA-B-X3-10</x:v>
      </x:c>
      <x:c r="C112" s="7" t="str">
        <x:v>PEA-B-X3</x:v>
      </x:c>
      <x:c r="D112" s="7" t="str">
        <x:v>BLD-B</x:v>
      </x:c>
      <x:c r="E112" s="7" t="str">
        <x:v>BL-X</x:v>
      </x:c>
      <x:c r="F112" s="7" t="n">
        <x:v>10</x:v>
      </x:c>
      <x:c r="G112" s="7" t="str"/>
      <x:c r="H112" s="7" t="str"/>
      <x:c r="I112" s="7" t="str"/>
      <x:c r="J112" s="7" t="str"/>
      <x:c r="K112" s="7" t="str"/>
      <x:c r="L112" s="7" t="str">
        <x:f>IF(K112="","OPEN",IF(OR(G112="",NOT(ISNUMBER(H112)),I112&lt;&gt;"SAFE",NOT(ISNUMBER(J112))),"FAIL","PASS"))</x:f>
        <x:v>OPEN</x:v>
      </x:c>
    </x:row>
    <x:row r="113">
      <x:c r="B113" s="7" t="str">
        <x:v>ELM-PEA-B-X3-11</x:v>
      </x:c>
      <x:c r="C113" s="7" t="str">
        <x:v>PEA-B-X3</x:v>
      </x:c>
      <x:c r="D113" s="7" t="str">
        <x:v>BLD-B</x:v>
      </x:c>
      <x:c r="E113" s="7" t="str">
        <x:v>BL-X</x:v>
      </x:c>
      <x:c r="F113" s="7" t="n">
        <x:v>11</x:v>
      </x:c>
      <x:c r="G113" s="7" t="str"/>
      <x:c r="H113" s="7" t="str"/>
      <x:c r="I113" s="7" t="str"/>
      <x:c r="J113" s="7" t="str"/>
      <x:c r="K113" s="7" t="str"/>
      <x:c r="L113" s="7" t="str">
        <x:f>IF(K113="","OPEN",IF(OR(G113="",NOT(ISNUMBER(H113)),I113&lt;&gt;"SAFE",NOT(ISNUMBER(J113))),"FAIL","PASS"))</x:f>
        <x:v>OPEN</x:v>
      </x:c>
    </x:row>
    <x:row r="114">
      <x:c r="B114" s="7" t="str">
        <x:v>ELM-PEA-B-X3-12</x:v>
      </x:c>
      <x:c r="C114" s="7" t="str">
        <x:v>PEA-B-X3</x:v>
      </x:c>
      <x:c r="D114" s="7" t="str">
        <x:v>BLD-B</x:v>
      </x:c>
      <x:c r="E114" s="7" t="str">
        <x:v>BL-X</x:v>
      </x:c>
      <x:c r="F114" s="7" t="n">
        <x:v>12</x:v>
      </x:c>
      <x:c r="G114" s="7" t="str"/>
      <x:c r="H114" s="7" t="str"/>
      <x:c r="I114" s="7" t="str"/>
      <x:c r="J114" s="7" t="str"/>
      <x:c r="K114" s="7" t="str"/>
      <x:c r="L114" s="7" t="str">
        <x:f>IF(K114="","OPEN",IF(OR(G114="",NOT(ISNUMBER(H114)),I114&lt;&gt;"SAFE",NOT(ISNUMBER(J114))),"FAIL","PASS"))</x:f>
        <x:v>OPEN</x:v>
      </x:c>
    </x:row>
    <x:row r="115">
      <x:c r="B115" s="7" t="str">
        <x:v>ELM-PEA-B-Y1-01</x:v>
      </x:c>
      <x:c r="C115" s="7" t="str">
        <x:v>PEA-B-Y1</x:v>
      </x:c>
      <x:c r="D115" s="7" t="str">
        <x:v>BLD-B</x:v>
      </x:c>
      <x:c r="E115" s="7" t="str">
        <x:v>BL-Y</x:v>
      </x:c>
      <x:c r="F115" s="7" t="n">
        <x:v>1</x:v>
      </x:c>
      <x:c r="G115" s="7" t="str"/>
      <x:c r="H115" s="7" t="str"/>
      <x:c r="I115" s="7" t="str"/>
      <x:c r="J115" s="7" t="str"/>
      <x:c r="K115" s="7" t="str"/>
      <x:c r="L115" s="7" t="str">
        <x:f>IF(K115="","OPEN",IF(OR(G115="",NOT(ISNUMBER(H115)),I115&lt;&gt;"SAFE",NOT(ISNUMBER(J115))),"FAIL","PASS"))</x:f>
        <x:v>OPEN</x:v>
      </x:c>
    </x:row>
    <x:row r="116">
      <x:c r="B116" s="7" t="str">
        <x:v>ELM-PEA-B-Y1-02</x:v>
      </x:c>
      <x:c r="C116" s="7" t="str">
        <x:v>PEA-B-Y1</x:v>
      </x:c>
      <x:c r="D116" s="7" t="str">
        <x:v>BLD-B</x:v>
      </x:c>
      <x:c r="E116" s="7" t="str">
        <x:v>BL-Y</x:v>
      </x:c>
      <x:c r="F116" s="7" t="n">
        <x:v>2</x:v>
      </x:c>
      <x:c r="G116" s="7" t="str"/>
      <x:c r="H116" s="7" t="str"/>
      <x:c r="I116" s="7" t="str"/>
      <x:c r="J116" s="7" t="str"/>
      <x:c r="K116" s="7" t="str"/>
      <x:c r="L116" s="7" t="str">
        <x:f>IF(K116="","OPEN",IF(OR(G116="",NOT(ISNUMBER(H116)),I116&lt;&gt;"SAFE",NOT(ISNUMBER(J116))),"FAIL","PASS"))</x:f>
        <x:v>OPEN</x:v>
      </x:c>
    </x:row>
    <x:row r="117">
      <x:c r="B117" s="7" t="str">
        <x:v>ELM-PEA-B-Y1-03</x:v>
      </x:c>
      <x:c r="C117" s="7" t="str">
        <x:v>PEA-B-Y1</x:v>
      </x:c>
      <x:c r="D117" s="7" t="str">
        <x:v>BLD-B</x:v>
      </x:c>
      <x:c r="E117" s="7" t="str">
        <x:v>BL-Y</x:v>
      </x:c>
      <x:c r="F117" s="7" t="n">
        <x:v>3</x:v>
      </x:c>
      <x:c r="G117" s="7" t="str"/>
      <x:c r="H117" s="7" t="str"/>
      <x:c r="I117" s="7" t="str"/>
      <x:c r="J117" s="7" t="str"/>
      <x:c r="K117" s="7" t="str"/>
      <x:c r="L117" s="7" t="str">
        <x:f>IF(K117="","OPEN",IF(OR(G117="",NOT(ISNUMBER(H117)),I117&lt;&gt;"SAFE",NOT(ISNUMBER(J117))),"FAIL","PASS"))</x:f>
        <x:v>OPEN</x:v>
      </x:c>
    </x:row>
    <x:row r="118">
      <x:c r="B118" s="7" t="str">
        <x:v>ELM-PEA-B-Y1-04</x:v>
      </x:c>
      <x:c r="C118" s="7" t="str">
        <x:v>PEA-B-Y1</x:v>
      </x:c>
      <x:c r="D118" s="7" t="str">
        <x:v>BLD-B</x:v>
      </x:c>
      <x:c r="E118" s="7" t="str">
        <x:v>BL-Y</x:v>
      </x:c>
      <x:c r="F118" s="7" t="n">
        <x:v>4</x:v>
      </x:c>
      <x:c r="G118" s="7" t="str"/>
      <x:c r="H118" s="7" t="str"/>
      <x:c r="I118" s="7" t="str"/>
      <x:c r="J118" s="7" t="str"/>
      <x:c r="K118" s="7" t="str"/>
      <x:c r="L118" s="7" t="str">
        <x:f>IF(K118="","OPEN",IF(OR(G118="",NOT(ISNUMBER(H118)),I118&lt;&gt;"SAFE",NOT(ISNUMBER(J118))),"FAIL","PASS"))</x:f>
        <x:v>OPEN</x:v>
      </x:c>
    </x:row>
    <x:row r="119">
      <x:c r="B119" s="7" t="str">
        <x:v>ELM-PEA-B-Y1-05</x:v>
      </x:c>
      <x:c r="C119" s="7" t="str">
        <x:v>PEA-B-Y1</x:v>
      </x:c>
      <x:c r="D119" s="7" t="str">
        <x:v>BLD-B</x:v>
      </x:c>
      <x:c r="E119" s="7" t="str">
        <x:v>BL-Y</x:v>
      </x:c>
      <x:c r="F119" s="7" t="n">
        <x:v>5</x:v>
      </x:c>
      <x:c r="G119" s="7" t="str"/>
      <x:c r="H119" s="7" t="str"/>
      <x:c r="I119" s="7" t="str"/>
      <x:c r="J119" s="7" t="str"/>
      <x:c r="K119" s="7" t="str"/>
      <x:c r="L119" s="7" t="str">
        <x:f>IF(K119="","OPEN",IF(OR(G119="",NOT(ISNUMBER(H119)),I119&lt;&gt;"SAFE",NOT(ISNUMBER(J119))),"FAIL","PASS"))</x:f>
        <x:v>OPEN</x:v>
      </x:c>
    </x:row>
    <x:row r="120">
      <x:c r="B120" s="7" t="str">
        <x:v>ELM-PEA-B-Y1-06</x:v>
      </x:c>
      <x:c r="C120" s="7" t="str">
        <x:v>PEA-B-Y1</x:v>
      </x:c>
      <x:c r="D120" s="7" t="str">
        <x:v>BLD-B</x:v>
      </x:c>
      <x:c r="E120" s="7" t="str">
        <x:v>BL-Y</x:v>
      </x:c>
      <x:c r="F120" s="7" t="n">
        <x:v>6</x:v>
      </x:c>
      <x:c r="G120" s="7" t="str"/>
      <x:c r="H120" s="7" t="str"/>
      <x:c r="I120" s="7" t="str"/>
      <x:c r="J120" s="7" t="str"/>
      <x:c r="K120" s="7" t="str"/>
      <x:c r="L120" s="7" t="str">
        <x:f>IF(K120="","OPEN",IF(OR(G120="",NOT(ISNUMBER(H120)),I120&lt;&gt;"SAFE",NOT(ISNUMBER(J120))),"FAIL","PASS"))</x:f>
        <x:v>OPEN</x:v>
      </x:c>
    </x:row>
    <x:row r="121">
      <x:c r="B121" s="7" t="str">
        <x:v>ELM-PEA-B-Y1-07</x:v>
      </x:c>
      <x:c r="C121" s="7" t="str">
        <x:v>PEA-B-Y1</x:v>
      </x:c>
      <x:c r="D121" s="7" t="str">
        <x:v>BLD-B</x:v>
      </x:c>
      <x:c r="E121" s="7" t="str">
        <x:v>BL-Y</x:v>
      </x:c>
      <x:c r="F121" s="7" t="n">
        <x:v>7</x:v>
      </x:c>
      <x:c r="G121" s="7" t="str"/>
      <x:c r="H121" s="7" t="str"/>
      <x:c r="I121" s="7" t="str"/>
      <x:c r="J121" s="7" t="str"/>
      <x:c r="K121" s="7" t="str"/>
      <x:c r="L121" s="7" t="str">
        <x:f>IF(K121="","OPEN",IF(OR(G121="",NOT(ISNUMBER(H121)),I121&lt;&gt;"SAFE",NOT(ISNUMBER(J121))),"FAIL","PASS"))</x:f>
        <x:v>OPEN</x:v>
      </x:c>
    </x:row>
    <x:row r="122">
      <x:c r="B122" s="7" t="str">
        <x:v>ELM-PEA-B-Y1-08</x:v>
      </x:c>
      <x:c r="C122" s="7" t="str">
        <x:v>PEA-B-Y1</x:v>
      </x:c>
      <x:c r="D122" s="7" t="str">
        <x:v>BLD-B</x:v>
      </x:c>
      <x:c r="E122" s="7" t="str">
        <x:v>BL-Y</x:v>
      </x:c>
      <x:c r="F122" s="7" t="n">
        <x:v>8</x:v>
      </x:c>
      <x:c r="G122" s="7" t="str"/>
      <x:c r="H122" s="7" t="str"/>
      <x:c r="I122" s="7" t="str"/>
      <x:c r="J122" s="7" t="str"/>
      <x:c r="K122" s="7" t="str"/>
      <x:c r="L122" s="7" t="str">
        <x:f>IF(K122="","OPEN",IF(OR(G122="",NOT(ISNUMBER(H122)),I122&lt;&gt;"SAFE",NOT(ISNUMBER(J122))),"FAIL","PASS"))</x:f>
        <x:v>OPEN</x:v>
      </x:c>
    </x:row>
    <x:row r="123">
      <x:c r="B123" s="7" t="str">
        <x:v>ELM-PEA-B-Y1-09</x:v>
      </x:c>
      <x:c r="C123" s="7" t="str">
        <x:v>PEA-B-Y1</x:v>
      </x:c>
      <x:c r="D123" s="7" t="str">
        <x:v>BLD-B</x:v>
      </x:c>
      <x:c r="E123" s="7" t="str">
        <x:v>BL-Y</x:v>
      </x:c>
      <x:c r="F123" s="7" t="n">
        <x:v>9</x:v>
      </x:c>
      <x:c r="G123" s="7" t="str"/>
      <x:c r="H123" s="7" t="str"/>
      <x:c r="I123" s="7" t="str"/>
      <x:c r="J123" s="7" t="str"/>
      <x:c r="K123" s="7" t="str"/>
      <x:c r="L123" s="7" t="str">
        <x:f>IF(K123="","OPEN",IF(OR(G123="",NOT(ISNUMBER(H123)),I123&lt;&gt;"SAFE",NOT(ISNUMBER(J123))),"FAIL","PASS"))</x:f>
        <x:v>OPEN</x:v>
      </x:c>
    </x:row>
    <x:row r="124">
      <x:c r="B124" s="7" t="str">
        <x:v>ELM-PEA-B-Y1-10</x:v>
      </x:c>
      <x:c r="C124" s="7" t="str">
        <x:v>PEA-B-Y1</x:v>
      </x:c>
      <x:c r="D124" s="7" t="str">
        <x:v>BLD-B</x:v>
      </x:c>
      <x:c r="E124" s="7" t="str">
        <x:v>BL-Y</x:v>
      </x:c>
      <x:c r="F124" s="7" t="n">
        <x:v>10</x:v>
      </x:c>
      <x:c r="G124" s="7" t="str"/>
      <x:c r="H124" s="7" t="str"/>
      <x:c r="I124" s="7" t="str"/>
      <x:c r="J124" s="7" t="str"/>
      <x:c r="K124" s="7" t="str"/>
      <x:c r="L124" s="7" t="str">
        <x:f>IF(K124="","OPEN",IF(OR(G124="",NOT(ISNUMBER(H124)),I124&lt;&gt;"SAFE",NOT(ISNUMBER(J124))),"FAIL","PASS"))</x:f>
        <x:v>OPEN</x:v>
      </x:c>
    </x:row>
    <x:row r="125">
      <x:c r="B125" s="7" t="str">
        <x:v>ELM-PEA-B-Y1-11</x:v>
      </x:c>
      <x:c r="C125" s="7" t="str">
        <x:v>PEA-B-Y1</x:v>
      </x:c>
      <x:c r="D125" s="7" t="str">
        <x:v>BLD-B</x:v>
      </x:c>
      <x:c r="E125" s="7" t="str">
        <x:v>BL-Y</x:v>
      </x:c>
      <x:c r="F125" s="7" t="n">
        <x:v>11</x:v>
      </x:c>
      <x:c r="G125" s="7" t="str"/>
      <x:c r="H125" s="7" t="str"/>
      <x:c r="I125" s="7" t="str"/>
      <x:c r="J125" s="7" t="str"/>
      <x:c r="K125" s="7" t="str"/>
      <x:c r="L125" s="7" t="str">
        <x:f>IF(K125="","OPEN",IF(OR(G125="",NOT(ISNUMBER(H125)),I125&lt;&gt;"SAFE",NOT(ISNUMBER(J125))),"FAIL","PASS"))</x:f>
        <x:v>OPEN</x:v>
      </x:c>
    </x:row>
    <x:row r="126">
      <x:c r="B126" s="7" t="str">
        <x:v>ELM-PEA-B-Y1-12</x:v>
      </x:c>
      <x:c r="C126" s="7" t="str">
        <x:v>PEA-B-Y1</x:v>
      </x:c>
      <x:c r="D126" s="7" t="str">
        <x:v>BLD-B</x:v>
      </x:c>
      <x:c r="E126" s="7" t="str">
        <x:v>BL-Y</x:v>
      </x:c>
      <x:c r="F126" s="7" t="n">
        <x:v>12</x:v>
      </x:c>
      <x:c r="G126" s="7" t="str"/>
      <x:c r="H126" s="7" t="str"/>
      <x:c r="I126" s="7" t="str"/>
      <x:c r="J126" s="7" t="str"/>
      <x:c r="K126" s="7" t="str"/>
      <x:c r="L126" s="7" t="str">
        <x:f>IF(K126="","OPEN",IF(OR(G126="",NOT(ISNUMBER(H126)),I126&lt;&gt;"SAFE",NOT(ISNUMBER(J126))),"FAIL","PASS"))</x:f>
        <x:v>OPEN</x:v>
      </x:c>
    </x:row>
    <x:row r="127">
      <x:c r="B127" s="7" t="str">
        <x:v>ELM-PEA-B-Y2-01</x:v>
      </x:c>
      <x:c r="C127" s="7" t="str">
        <x:v>PEA-B-Y2</x:v>
      </x:c>
      <x:c r="D127" s="7" t="str">
        <x:v>BLD-B</x:v>
      </x:c>
      <x:c r="E127" s="7" t="str">
        <x:v>BL-Y</x:v>
      </x:c>
      <x:c r="F127" s="7" t="n">
        <x:v>1</x:v>
      </x:c>
      <x:c r="G127" s="7" t="str"/>
      <x:c r="H127" s="7" t="str"/>
      <x:c r="I127" s="7" t="str"/>
      <x:c r="J127" s="7" t="str"/>
      <x:c r="K127" s="7" t="str"/>
      <x:c r="L127" s="7" t="str">
        <x:f>IF(K127="","OPEN",IF(OR(G127="",NOT(ISNUMBER(H127)),I127&lt;&gt;"SAFE",NOT(ISNUMBER(J127))),"FAIL","PASS"))</x:f>
        <x:v>OPEN</x:v>
      </x:c>
    </x:row>
    <x:row r="128">
      <x:c r="B128" s="7" t="str">
        <x:v>ELM-PEA-B-Y2-02</x:v>
      </x:c>
      <x:c r="C128" s="7" t="str">
        <x:v>PEA-B-Y2</x:v>
      </x:c>
      <x:c r="D128" s="7" t="str">
        <x:v>BLD-B</x:v>
      </x:c>
      <x:c r="E128" s="7" t="str">
        <x:v>BL-Y</x:v>
      </x:c>
      <x:c r="F128" s="7" t="n">
        <x:v>2</x:v>
      </x:c>
      <x:c r="G128" s="7" t="str"/>
      <x:c r="H128" s="7" t="str"/>
      <x:c r="I128" s="7" t="str"/>
      <x:c r="J128" s="7" t="str"/>
      <x:c r="K128" s="7" t="str"/>
      <x:c r="L128" s="7" t="str">
        <x:f>IF(K128="","OPEN",IF(OR(G128="",NOT(ISNUMBER(H128)),I128&lt;&gt;"SAFE",NOT(ISNUMBER(J128))),"FAIL","PASS"))</x:f>
        <x:v>OPEN</x:v>
      </x:c>
    </x:row>
    <x:row r="129">
      <x:c r="B129" s="7" t="str">
        <x:v>ELM-PEA-B-Y2-03</x:v>
      </x:c>
      <x:c r="C129" s="7" t="str">
        <x:v>PEA-B-Y2</x:v>
      </x:c>
      <x:c r="D129" s="7" t="str">
        <x:v>BLD-B</x:v>
      </x:c>
      <x:c r="E129" s="7" t="str">
        <x:v>BL-Y</x:v>
      </x:c>
      <x:c r="F129" s="7" t="n">
        <x:v>3</x:v>
      </x:c>
      <x:c r="G129" s="7" t="str"/>
      <x:c r="H129" s="7" t="str"/>
      <x:c r="I129" s="7" t="str"/>
      <x:c r="J129" s="7" t="str"/>
      <x:c r="K129" s="7" t="str"/>
      <x:c r="L129" s="7" t="str">
        <x:f>IF(K129="","OPEN",IF(OR(G129="",NOT(ISNUMBER(H129)),I129&lt;&gt;"SAFE",NOT(ISNUMBER(J129))),"FAIL","PASS"))</x:f>
        <x:v>OPEN</x:v>
      </x:c>
    </x:row>
    <x:row r="130">
      <x:c r="B130" s="7" t="str">
        <x:v>ELM-PEA-B-Y2-04</x:v>
      </x:c>
      <x:c r="C130" s="7" t="str">
        <x:v>PEA-B-Y2</x:v>
      </x:c>
      <x:c r="D130" s="7" t="str">
        <x:v>BLD-B</x:v>
      </x:c>
      <x:c r="E130" s="7" t="str">
        <x:v>BL-Y</x:v>
      </x:c>
      <x:c r="F130" s="7" t="n">
        <x:v>4</x:v>
      </x:c>
      <x:c r="G130" s="7" t="str"/>
      <x:c r="H130" s="7" t="str"/>
      <x:c r="I130" s="7" t="str"/>
      <x:c r="J130" s="7" t="str"/>
      <x:c r="K130" s="7" t="str"/>
      <x:c r="L130" s="7" t="str">
        <x:f>IF(K130="","OPEN",IF(OR(G130="",NOT(ISNUMBER(H130)),I130&lt;&gt;"SAFE",NOT(ISNUMBER(J130))),"FAIL","PASS"))</x:f>
        <x:v>OPEN</x:v>
      </x:c>
    </x:row>
    <x:row r="131">
      <x:c r="B131" s="7" t="str">
        <x:v>ELM-PEA-B-Y2-05</x:v>
      </x:c>
      <x:c r="C131" s="7" t="str">
        <x:v>PEA-B-Y2</x:v>
      </x:c>
      <x:c r="D131" s="7" t="str">
        <x:v>BLD-B</x:v>
      </x:c>
      <x:c r="E131" s="7" t="str">
        <x:v>BL-Y</x:v>
      </x:c>
      <x:c r="F131" s="7" t="n">
        <x:v>5</x:v>
      </x:c>
      <x:c r="G131" s="7" t="str"/>
      <x:c r="H131" s="7" t="str"/>
      <x:c r="I131" s="7" t="str"/>
      <x:c r="J131" s="7" t="str"/>
      <x:c r="K131" s="7" t="str"/>
      <x:c r="L131" s="7" t="str">
        <x:f>IF(K131="","OPEN",IF(OR(G131="",NOT(ISNUMBER(H131)),I131&lt;&gt;"SAFE",NOT(ISNUMBER(J131))),"FAIL","PASS"))</x:f>
        <x:v>OPEN</x:v>
      </x:c>
    </x:row>
    <x:row r="132">
      <x:c r="B132" s="7" t="str">
        <x:v>ELM-PEA-B-Y2-06</x:v>
      </x:c>
      <x:c r="C132" s="7" t="str">
        <x:v>PEA-B-Y2</x:v>
      </x:c>
      <x:c r="D132" s="7" t="str">
        <x:v>BLD-B</x:v>
      </x:c>
      <x:c r="E132" s="7" t="str">
        <x:v>BL-Y</x:v>
      </x:c>
      <x:c r="F132" s="7" t="n">
        <x:v>6</x:v>
      </x:c>
      <x:c r="G132" s="7" t="str"/>
      <x:c r="H132" s="7" t="str"/>
      <x:c r="I132" s="7" t="str"/>
      <x:c r="J132" s="7" t="str"/>
      <x:c r="K132" s="7" t="str"/>
      <x:c r="L132" s="7" t="str">
        <x:f>IF(K132="","OPEN",IF(OR(G132="",NOT(ISNUMBER(H132)),I132&lt;&gt;"SAFE",NOT(ISNUMBER(J132))),"FAIL","PASS"))</x:f>
        <x:v>OPEN</x:v>
      </x:c>
    </x:row>
    <x:row r="133">
      <x:c r="B133" s="7" t="str">
        <x:v>ELM-PEA-B-Y2-07</x:v>
      </x:c>
      <x:c r="C133" s="7" t="str">
        <x:v>PEA-B-Y2</x:v>
      </x:c>
      <x:c r="D133" s="7" t="str">
        <x:v>BLD-B</x:v>
      </x:c>
      <x:c r="E133" s="7" t="str">
        <x:v>BL-Y</x:v>
      </x:c>
      <x:c r="F133" s="7" t="n">
        <x:v>7</x:v>
      </x:c>
      <x:c r="G133" s="7" t="str"/>
      <x:c r="H133" s="7" t="str"/>
      <x:c r="I133" s="7" t="str"/>
      <x:c r="J133" s="7" t="str"/>
      <x:c r="K133" s="7" t="str"/>
      <x:c r="L133" s="7" t="str">
        <x:f>IF(K133="","OPEN",IF(OR(G133="",NOT(ISNUMBER(H133)),I133&lt;&gt;"SAFE",NOT(ISNUMBER(J133))),"FAIL","PASS"))</x:f>
        <x:v>OPEN</x:v>
      </x:c>
    </x:row>
    <x:row r="134">
      <x:c r="B134" s="7" t="str">
        <x:v>ELM-PEA-B-Y2-08</x:v>
      </x:c>
      <x:c r="C134" s="7" t="str">
        <x:v>PEA-B-Y2</x:v>
      </x:c>
      <x:c r="D134" s="7" t="str">
        <x:v>BLD-B</x:v>
      </x:c>
      <x:c r="E134" s="7" t="str">
        <x:v>BL-Y</x:v>
      </x:c>
      <x:c r="F134" s="7" t="n">
        <x:v>8</x:v>
      </x:c>
      <x:c r="G134" s="7" t="str"/>
      <x:c r="H134" s="7" t="str"/>
      <x:c r="I134" s="7" t="str"/>
      <x:c r="J134" s="7" t="str"/>
      <x:c r="K134" s="7" t="str"/>
      <x:c r="L134" s="7" t="str">
        <x:f>IF(K134="","OPEN",IF(OR(G134="",NOT(ISNUMBER(H134)),I134&lt;&gt;"SAFE",NOT(ISNUMBER(J134))),"FAIL","PASS"))</x:f>
        <x:v>OPEN</x:v>
      </x:c>
    </x:row>
    <x:row r="135">
      <x:c r="B135" s="7" t="str">
        <x:v>ELM-PEA-B-Y2-09</x:v>
      </x:c>
      <x:c r="C135" s="7" t="str">
        <x:v>PEA-B-Y2</x:v>
      </x:c>
      <x:c r="D135" s="7" t="str">
        <x:v>BLD-B</x:v>
      </x:c>
      <x:c r="E135" s="7" t="str">
        <x:v>BL-Y</x:v>
      </x:c>
      <x:c r="F135" s="7" t="n">
        <x:v>9</x:v>
      </x:c>
      <x:c r="G135" s="7" t="str"/>
      <x:c r="H135" s="7" t="str"/>
      <x:c r="I135" s="7" t="str"/>
      <x:c r="J135" s="7" t="str"/>
      <x:c r="K135" s="7" t="str"/>
      <x:c r="L135" s="7" t="str">
        <x:f>IF(K135="","OPEN",IF(OR(G135="",NOT(ISNUMBER(H135)),I135&lt;&gt;"SAFE",NOT(ISNUMBER(J135))),"FAIL","PASS"))</x:f>
        <x:v>OPEN</x:v>
      </x:c>
    </x:row>
    <x:row r="136">
      <x:c r="B136" s="7" t="str">
        <x:v>ELM-PEA-B-Y2-10</x:v>
      </x:c>
      <x:c r="C136" s="7" t="str">
        <x:v>PEA-B-Y2</x:v>
      </x:c>
      <x:c r="D136" s="7" t="str">
        <x:v>BLD-B</x:v>
      </x:c>
      <x:c r="E136" s="7" t="str">
        <x:v>BL-Y</x:v>
      </x:c>
      <x:c r="F136" s="7" t="n">
        <x:v>10</x:v>
      </x:c>
      <x:c r="G136" s="7" t="str"/>
      <x:c r="H136" s="7" t="str"/>
      <x:c r="I136" s="7" t="str"/>
      <x:c r="J136" s="7" t="str"/>
      <x:c r="K136" s="7" t="str"/>
      <x:c r="L136" s="7" t="str">
        <x:f>IF(K136="","OPEN",IF(OR(G136="",NOT(ISNUMBER(H136)),I136&lt;&gt;"SAFE",NOT(ISNUMBER(J136))),"FAIL","PASS"))</x:f>
        <x:v>OPEN</x:v>
      </x:c>
    </x:row>
    <x:row r="137">
      <x:c r="B137" s="7" t="str">
        <x:v>ELM-PEA-B-Y2-11</x:v>
      </x:c>
      <x:c r="C137" s="7" t="str">
        <x:v>PEA-B-Y2</x:v>
      </x:c>
      <x:c r="D137" s="7" t="str">
        <x:v>BLD-B</x:v>
      </x:c>
      <x:c r="E137" s="7" t="str">
        <x:v>BL-Y</x:v>
      </x:c>
      <x:c r="F137" s="7" t="n">
        <x:v>11</x:v>
      </x:c>
      <x:c r="G137" s="7" t="str"/>
      <x:c r="H137" s="7" t="str"/>
      <x:c r="I137" s="7" t="str"/>
      <x:c r="J137" s="7" t="str"/>
      <x:c r="K137" s="7" t="str"/>
      <x:c r="L137" s="7" t="str">
        <x:f>IF(K137="","OPEN",IF(OR(G137="",NOT(ISNUMBER(H137)),I137&lt;&gt;"SAFE",NOT(ISNUMBER(J137))),"FAIL","PASS"))</x:f>
        <x:v>OPEN</x:v>
      </x:c>
    </x:row>
    <x:row r="138">
      <x:c r="B138" s="7" t="str">
        <x:v>ELM-PEA-B-Y2-12</x:v>
      </x:c>
      <x:c r="C138" s="7" t="str">
        <x:v>PEA-B-Y2</x:v>
      </x:c>
      <x:c r="D138" s="7" t="str">
        <x:v>BLD-B</x:v>
      </x:c>
      <x:c r="E138" s="7" t="str">
        <x:v>BL-Y</x:v>
      </x:c>
      <x:c r="F138" s="7" t="n">
        <x:v>12</x:v>
      </x:c>
      <x:c r="G138" s="7" t="str"/>
      <x:c r="H138" s="7" t="str"/>
      <x:c r="I138" s="7" t="str"/>
      <x:c r="J138" s="7" t="str"/>
      <x:c r="K138" s="7" t="str"/>
      <x:c r="L138" s="7" t="str">
        <x:f>IF(K138="","OPEN",IF(OR(G138="",NOT(ISNUMBER(H138)),I138&lt;&gt;"SAFE",NOT(ISNUMBER(J138))),"FAIL","PASS"))</x:f>
        <x:v>OPEN</x:v>
      </x:c>
    </x:row>
    <x:row r="139">
      <x:c r="B139" s="7" t="str">
        <x:v>ELM-PEA-B-Y3-01</x:v>
      </x:c>
      <x:c r="C139" s="7" t="str">
        <x:v>PEA-B-Y3</x:v>
      </x:c>
      <x:c r="D139" s="7" t="str">
        <x:v>BLD-B</x:v>
      </x:c>
      <x:c r="E139" s="7" t="str">
        <x:v>BL-Y</x:v>
      </x:c>
      <x:c r="F139" s="7" t="n">
        <x:v>1</x:v>
      </x:c>
      <x:c r="G139" s="7" t="str"/>
      <x:c r="H139" s="7" t="str"/>
      <x:c r="I139" s="7" t="str"/>
      <x:c r="J139" s="7" t="str"/>
      <x:c r="K139" s="7" t="str"/>
      <x:c r="L139" s="7" t="str">
        <x:f>IF(K139="","OPEN",IF(OR(G139="",NOT(ISNUMBER(H139)),I139&lt;&gt;"SAFE",NOT(ISNUMBER(J139))),"FAIL","PASS"))</x:f>
        <x:v>OPEN</x:v>
      </x:c>
    </x:row>
    <x:row r="140">
      <x:c r="B140" s="7" t="str">
        <x:v>ELM-PEA-B-Y3-02</x:v>
      </x:c>
      <x:c r="C140" s="7" t="str">
        <x:v>PEA-B-Y3</x:v>
      </x:c>
      <x:c r="D140" s="7" t="str">
        <x:v>BLD-B</x:v>
      </x:c>
      <x:c r="E140" s="7" t="str">
        <x:v>BL-Y</x:v>
      </x:c>
      <x:c r="F140" s="7" t="n">
        <x:v>2</x:v>
      </x:c>
      <x:c r="G140" s="7" t="str"/>
      <x:c r="H140" s="7" t="str"/>
      <x:c r="I140" s="7" t="str"/>
      <x:c r="J140" s="7" t="str"/>
      <x:c r="K140" s="7" t="str"/>
      <x:c r="L140" s="7" t="str">
        <x:f>IF(K140="","OPEN",IF(OR(G140="",NOT(ISNUMBER(H140)),I140&lt;&gt;"SAFE",NOT(ISNUMBER(J140))),"FAIL","PASS"))</x:f>
        <x:v>OPEN</x:v>
      </x:c>
    </x:row>
    <x:row r="141">
      <x:c r="B141" s="7" t="str">
        <x:v>ELM-PEA-B-Y3-03</x:v>
      </x:c>
      <x:c r="C141" s="7" t="str">
        <x:v>PEA-B-Y3</x:v>
      </x:c>
      <x:c r="D141" s="7" t="str">
        <x:v>BLD-B</x:v>
      </x:c>
      <x:c r="E141" s="7" t="str">
        <x:v>BL-Y</x:v>
      </x:c>
      <x:c r="F141" s="7" t="n">
        <x:v>3</x:v>
      </x:c>
      <x:c r="G141" s="7" t="str"/>
      <x:c r="H141" s="7" t="str"/>
      <x:c r="I141" s="7" t="str"/>
      <x:c r="J141" s="7" t="str"/>
      <x:c r="K141" s="7" t="str"/>
      <x:c r="L141" s="7" t="str">
        <x:f>IF(K141="","OPEN",IF(OR(G141="",NOT(ISNUMBER(H141)),I141&lt;&gt;"SAFE",NOT(ISNUMBER(J141))),"FAIL","PASS"))</x:f>
        <x:v>OPEN</x:v>
      </x:c>
    </x:row>
    <x:row r="142">
      <x:c r="B142" s="7" t="str">
        <x:v>ELM-PEA-B-Y3-04</x:v>
      </x:c>
      <x:c r="C142" s="7" t="str">
        <x:v>PEA-B-Y3</x:v>
      </x:c>
      <x:c r="D142" s="7" t="str">
        <x:v>BLD-B</x:v>
      </x:c>
      <x:c r="E142" s="7" t="str">
        <x:v>BL-Y</x:v>
      </x:c>
      <x:c r="F142" s="7" t="n">
        <x:v>4</x:v>
      </x:c>
      <x:c r="G142" s="7" t="str"/>
      <x:c r="H142" s="7" t="str"/>
      <x:c r="I142" s="7" t="str"/>
      <x:c r="J142" s="7" t="str"/>
      <x:c r="K142" s="7" t="str"/>
      <x:c r="L142" s="7" t="str">
        <x:f>IF(K142="","OPEN",IF(OR(G142="",NOT(ISNUMBER(H142)),I142&lt;&gt;"SAFE",NOT(ISNUMBER(J142))),"FAIL","PASS"))</x:f>
        <x:v>OPEN</x:v>
      </x:c>
    </x:row>
    <x:row r="143">
      <x:c r="B143" s="7" t="str">
        <x:v>ELM-PEA-B-Y3-05</x:v>
      </x:c>
      <x:c r="C143" s="7" t="str">
        <x:v>PEA-B-Y3</x:v>
      </x:c>
      <x:c r="D143" s="7" t="str">
        <x:v>BLD-B</x:v>
      </x:c>
      <x:c r="E143" s="7" t="str">
        <x:v>BL-Y</x:v>
      </x:c>
      <x:c r="F143" s="7" t="n">
        <x:v>5</x:v>
      </x:c>
      <x:c r="G143" s="7" t="str"/>
      <x:c r="H143" s="7" t="str"/>
      <x:c r="I143" s="7" t="str"/>
      <x:c r="J143" s="7" t="str"/>
      <x:c r="K143" s="7" t="str"/>
      <x:c r="L143" s="7" t="str">
        <x:f>IF(K143="","OPEN",IF(OR(G143="",NOT(ISNUMBER(H143)),I143&lt;&gt;"SAFE",NOT(ISNUMBER(J143))),"FAIL","PASS"))</x:f>
        <x:v>OPEN</x:v>
      </x:c>
    </x:row>
    <x:row r="144">
      <x:c r="B144" s="7" t="str">
        <x:v>ELM-PEA-B-Y3-06</x:v>
      </x:c>
      <x:c r="C144" s="7" t="str">
        <x:v>PEA-B-Y3</x:v>
      </x:c>
      <x:c r="D144" s="7" t="str">
        <x:v>BLD-B</x:v>
      </x:c>
      <x:c r="E144" s="7" t="str">
        <x:v>BL-Y</x:v>
      </x:c>
      <x:c r="F144" s="7" t="n">
        <x:v>6</x:v>
      </x:c>
      <x:c r="G144" s="7" t="str"/>
      <x:c r="H144" s="7" t="str"/>
      <x:c r="I144" s="7" t="str"/>
      <x:c r="J144" s="7" t="str"/>
      <x:c r="K144" s="7" t="str"/>
      <x:c r="L144" s="7" t="str">
        <x:f>IF(K144="","OPEN",IF(OR(G144="",NOT(ISNUMBER(H144)),I144&lt;&gt;"SAFE",NOT(ISNUMBER(J144))),"FAIL","PASS"))</x:f>
        <x:v>OPEN</x:v>
      </x:c>
    </x:row>
    <x:row r="145">
      <x:c r="B145" s="7" t="str">
        <x:v>ELM-PEA-B-Y3-07</x:v>
      </x:c>
      <x:c r="C145" s="7" t="str">
        <x:v>PEA-B-Y3</x:v>
      </x:c>
      <x:c r="D145" s="7" t="str">
        <x:v>BLD-B</x:v>
      </x:c>
      <x:c r="E145" s="7" t="str">
        <x:v>BL-Y</x:v>
      </x:c>
      <x:c r="F145" s="7" t="n">
        <x:v>7</x:v>
      </x:c>
      <x:c r="G145" s="7" t="str"/>
      <x:c r="H145" s="7" t="str"/>
      <x:c r="I145" s="7" t="str"/>
      <x:c r="J145" s="7" t="str"/>
      <x:c r="K145" s="7" t="str"/>
      <x:c r="L145" s="7" t="str">
        <x:f>IF(K145="","OPEN",IF(OR(G145="",NOT(ISNUMBER(H145)),I145&lt;&gt;"SAFE",NOT(ISNUMBER(J145))),"FAIL","PASS"))</x:f>
        <x:v>OPEN</x:v>
      </x:c>
    </x:row>
    <x:row r="146">
      <x:c r="B146" s="7" t="str">
        <x:v>ELM-PEA-B-Y3-08</x:v>
      </x:c>
      <x:c r="C146" s="7" t="str">
        <x:v>PEA-B-Y3</x:v>
      </x:c>
      <x:c r="D146" s="7" t="str">
        <x:v>BLD-B</x:v>
      </x:c>
      <x:c r="E146" s="7" t="str">
        <x:v>BL-Y</x:v>
      </x:c>
      <x:c r="F146" s="7" t="n">
        <x:v>8</x:v>
      </x:c>
      <x:c r="G146" s="7" t="str"/>
      <x:c r="H146" s="7" t="str"/>
      <x:c r="I146" s="7" t="str"/>
      <x:c r="J146" s="7" t="str"/>
      <x:c r="K146" s="7" t="str"/>
      <x:c r="L146" s="7" t="str">
        <x:f>IF(K146="","OPEN",IF(OR(G146="",NOT(ISNUMBER(H146)),I146&lt;&gt;"SAFE",NOT(ISNUMBER(J146))),"FAIL","PASS"))</x:f>
        <x:v>OPEN</x:v>
      </x:c>
    </x:row>
    <x:row r="147">
      <x:c r="B147" s="7" t="str">
        <x:v>ELM-PEA-B-Y3-09</x:v>
      </x:c>
      <x:c r="C147" s="7" t="str">
        <x:v>PEA-B-Y3</x:v>
      </x:c>
      <x:c r="D147" s="7" t="str">
        <x:v>BLD-B</x:v>
      </x:c>
      <x:c r="E147" s="7" t="str">
        <x:v>BL-Y</x:v>
      </x:c>
      <x:c r="F147" s="7" t="n">
        <x:v>9</x:v>
      </x:c>
      <x:c r="G147" s="7" t="str"/>
      <x:c r="H147" s="7" t="str"/>
      <x:c r="I147" s="7" t="str"/>
      <x:c r="J147" s="7" t="str"/>
      <x:c r="K147" s="7" t="str"/>
      <x:c r="L147" s="7" t="str">
        <x:f>IF(K147="","OPEN",IF(OR(G147="",NOT(ISNUMBER(H147)),I147&lt;&gt;"SAFE",NOT(ISNUMBER(J147))),"FAIL","PASS"))</x:f>
        <x:v>OPEN</x:v>
      </x:c>
    </x:row>
    <x:row r="148">
      <x:c r="B148" s="7" t="str">
        <x:v>ELM-PEA-B-Y3-10</x:v>
      </x:c>
      <x:c r="C148" s="7" t="str">
        <x:v>PEA-B-Y3</x:v>
      </x:c>
      <x:c r="D148" s="7" t="str">
        <x:v>BLD-B</x:v>
      </x:c>
      <x:c r="E148" s="7" t="str">
        <x:v>BL-Y</x:v>
      </x:c>
      <x:c r="F148" s="7" t="n">
        <x:v>10</x:v>
      </x:c>
      <x:c r="G148" s="7" t="str"/>
      <x:c r="H148" s="7" t="str"/>
      <x:c r="I148" s="7" t="str"/>
      <x:c r="J148" s="7" t="str"/>
      <x:c r="K148" s="7" t="str"/>
      <x:c r="L148" s="7" t="str">
        <x:f>IF(K148="","OPEN",IF(OR(G148="",NOT(ISNUMBER(H148)),I148&lt;&gt;"SAFE",NOT(ISNUMBER(J148))),"FAIL","PASS"))</x:f>
        <x:v>OPEN</x:v>
      </x:c>
    </x:row>
    <x:row r="149">
      <x:c r="B149" s="7" t="str">
        <x:v>ELM-PEA-B-Y3-11</x:v>
      </x:c>
      <x:c r="C149" s="7" t="str">
        <x:v>PEA-B-Y3</x:v>
      </x:c>
      <x:c r="D149" s="7" t="str">
        <x:v>BLD-B</x:v>
      </x:c>
      <x:c r="E149" s="7" t="str">
        <x:v>BL-Y</x:v>
      </x:c>
      <x:c r="F149" s="7" t="n">
        <x:v>11</x:v>
      </x:c>
      <x:c r="G149" s="7" t="str"/>
      <x:c r="H149" s="7" t="str"/>
      <x:c r="I149" s="7" t="str"/>
      <x:c r="J149" s="7" t="str"/>
      <x:c r="K149" s="7" t="str"/>
      <x:c r="L149" s="7" t="str">
        <x:f>IF(K149="","OPEN",IF(OR(G149="",NOT(ISNUMBER(H149)),I149&lt;&gt;"SAFE",NOT(ISNUMBER(J149))),"FAIL","PASS"))</x:f>
        <x:v>OPEN</x:v>
      </x:c>
    </x:row>
    <x:row r="150">
      <x:c r="B150" s="7" t="str">
        <x:v>ELM-PEA-B-Y3-12</x:v>
      </x:c>
      <x:c r="C150" s="7" t="str">
        <x:v>PEA-B-Y3</x:v>
      </x:c>
      <x:c r="D150" s="7" t="str">
        <x:v>BLD-B</x:v>
      </x:c>
      <x:c r="E150" s="7" t="str">
        <x:v>BL-Y</x:v>
      </x:c>
      <x:c r="F150" s="7" t="n">
        <x:v>12</x:v>
      </x:c>
      <x:c r="G150" s="7" t="str"/>
      <x:c r="H150" s="7" t="str"/>
      <x:c r="I150" s="7" t="str"/>
      <x:c r="J150" s="7" t="str"/>
      <x:c r="K150" s="7" t="str"/>
      <x:c r="L150" s="7" t="str">
        <x:f>IF(K150="","OPEN",IF(OR(G150="",NOT(ISNUMBER(H150)),I150&lt;&gt;"SAFE",NOT(ISNUMBER(J150))),"FAIL","PASS"))</x:f>
        <x:v>OPEN</x:v>
      </x:c>
    </x:row>
    <x:row r="151">
      <x:c r="B151" s="7" t="str">
        <x:v>ELM-PEA-C-X1-01</x:v>
      </x:c>
      <x:c r="C151" s="7" t="str">
        <x:v>PEA-C-X1</x:v>
      </x:c>
      <x:c r="D151" s="7" t="str">
        <x:v>BLD-C</x:v>
      </x:c>
      <x:c r="E151" s="7" t="str">
        <x:v>BL-X</x:v>
      </x:c>
      <x:c r="F151" s="7" t="n">
        <x:v>1</x:v>
      </x:c>
      <x:c r="G151" s="7" t="str"/>
      <x:c r="H151" s="7" t="str"/>
      <x:c r="I151" s="7" t="str"/>
      <x:c r="J151" s="7" t="str"/>
      <x:c r="K151" s="7" t="str"/>
      <x:c r="L151" s="7" t="str">
        <x:f>IF(K151="","OPEN",IF(OR(G151="",NOT(ISNUMBER(H151)),I151&lt;&gt;"SAFE",NOT(ISNUMBER(J151))),"FAIL","PASS"))</x:f>
        <x:v>OPEN</x:v>
      </x:c>
    </x:row>
    <x:row r="152">
      <x:c r="B152" s="7" t="str">
        <x:v>ELM-PEA-C-X1-02</x:v>
      </x:c>
      <x:c r="C152" s="7" t="str">
        <x:v>PEA-C-X1</x:v>
      </x:c>
      <x:c r="D152" s="7" t="str">
        <x:v>BLD-C</x:v>
      </x:c>
      <x:c r="E152" s="7" t="str">
        <x:v>BL-X</x:v>
      </x:c>
      <x:c r="F152" s="7" t="n">
        <x:v>2</x:v>
      </x:c>
      <x:c r="G152" s="7" t="str"/>
      <x:c r="H152" s="7" t="str"/>
      <x:c r="I152" s="7" t="str"/>
      <x:c r="J152" s="7" t="str"/>
      <x:c r="K152" s="7" t="str"/>
      <x:c r="L152" s="7" t="str">
        <x:f>IF(K152="","OPEN",IF(OR(G152="",NOT(ISNUMBER(H152)),I152&lt;&gt;"SAFE",NOT(ISNUMBER(J152))),"FAIL","PASS"))</x:f>
        <x:v>OPEN</x:v>
      </x:c>
    </x:row>
    <x:row r="153">
      <x:c r="B153" s="7" t="str">
        <x:v>ELM-PEA-C-X1-03</x:v>
      </x:c>
      <x:c r="C153" s="7" t="str">
        <x:v>PEA-C-X1</x:v>
      </x:c>
      <x:c r="D153" s="7" t="str">
        <x:v>BLD-C</x:v>
      </x:c>
      <x:c r="E153" s="7" t="str">
        <x:v>BL-X</x:v>
      </x:c>
      <x:c r="F153" s="7" t="n">
        <x:v>3</x:v>
      </x:c>
      <x:c r="G153" s="7" t="str"/>
      <x:c r="H153" s="7" t="str"/>
      <x:c r="I153" s="7" t="str"/>
      <x:c r="J153" s="7" t="str"/>
      <x:c r="K153" s="7" t="str"/>
      <x:c r="L153" s="7" t="str">
        <x:f>IF(K153="","OPEN",IF(OR(G153="",NOT(ISNUMBER(H153)),I153&lt;&gt;"SAFE",NOT(ISNUMBER(J153))),"FAIL","PASS"))</x:f>
        <x:v>OPEN</x:v>
      </x:c>
    </x:row>
    <x:row r="154">
      <x:c r="B154" s="7" t="str">
        <x:v>ELM-PEA-C-X1-04</x:v>
      </x:c>
      <x:c r="C154" s="7" t="str">
        <x:v>PEA-C-X1</x:v>
      </x:c>
      <x:c r="D154" s="7" t="str">
        <x:v>BLD-C</x:v>
      </x:c>
      <x:c r="E154" s="7" t="str">
        <x:v>BL-X</x:v>
      </x:c>
      <x:c r="F154" s="7" t="n">
        <x:v>4</x:v>
      </x:c>
      <x:c r="G154" s="7" t="str"/>
      <x:c r="H154" s="7" t="str"/>
      <x:c r="I154" s="7" t="str"/>
      <x:c r="J154" s="7" t="str"/>
      <x:c r="K154" s="7" t="str"/>
      <x:c r="L154" s="7" t="str">
        <x:f>IF(K154="","OPEN",IF(OR(G154="",NOT(ISNUMBER(H154)),I154&lt;&gt;"SAFE",NOT(ISNUMBER(J154))),"FAIL","PASS"))</x:f>
        <x:v>OPEN</x:v>
      </x:c>
    </x:row>
    <x:row r="155">
      <x:c r="B155" s="7" t="str">
        <x:v>ELM-PEA-C-X1-05</x:v>
      </x:c>
      <x:c r="C155" s="7" t="str">
        <x:v>PEA-C-X1</x:v>
      </x:c>
      <x:c r="D155" s="7" t="str">
        <x:v>BLD-C</x:v>
      </x:c>
      <x:c r="E155" s="7" t="str">
        <x:v>BL-X</x:v>
      </x:c>
      <x:c r="F155" s="7" t="n">
        <x:v>5</x:v>
      </x:c>
      <x:c r="G155" s="7" t="str"/>
      <x:c r="H155" s="7" t="str"/>
      <x:c r="I155" s="7" t="str"/>
      <x:c r="J155" s="7" t="str"/>
      <x:c r="K155" s="7" t="str"/>
      <x:c r="L155" s="7" t="str">
        <x:f>IF(K155="","OPEN",IF(OR(G155="",NOT(ISNUMBER(H155)),I155&lt;&gt;"SAFE",NOT(ISNUMBER(J155))),"FAIL","PASS"))</x:f>
        <x:v>OPEN</x:v>
      </x:c>
    </x:row>
    <x:row r="156">
      <x:c r="B156" s="7" t="str">
        <x:v>ELM-PEA-C-X1-06</x:v>
      </x:c>
      <x:c r="C156" s="7" t="str">
        <x:v>PEA-C-X1</x:v>
      </x:c>
      <x:c r="D156" s="7" t="str">
        <x:v>BLD-C</x:v>
      </x:c>
      <x:c r="E156" s="7" t="str">
        <x:v>BL-X</x:v>
      </x:c>
      <x:c r="F156" s="7" t="n">
        <x:v>6</x:v>
      </x:c>
      <x:c r="G156" s="7" t="str"/>
      <x:c r="H156" s="7" t="str"/>
      <x:c r="I156" s="7" t="str"/>
      <x:c r="J156" s="7" t="str"/>
      <x:c r="K156" s="7" t="str"/>
      <x:c r="L156" s="7" t="str">
        <x:f>IF(K156="","OPEN",IF(OR(G156="",NOT(ISNUMBER(H156)),I156&lt;&gt;"SAFE",NOT(ISNUMBER(J156))),"FAIL","PASS"))</x:f>
        <x:v>OPEN</x:v>
      </x:c>
    </x:row>
    <x:row r="157">
      <x:c r="B157" s="7" t="str">
        <x:v>ELM-PEA-C-X1-07</x:v>
      </x:c>
      <x:c r="C157" s="7" t="str">
        <x:v>PEA-C-X1</x:v>
      </x:c>
      <x:c r="D157" s="7" t="str">
        <x:v>BLD-C</x:v>
      </x:c>
      <x:c r="E157" s="7" t="str">
        <x:v>BL-X</x:v>
      </x:c>
      <x:c r="F157" s="7" t="n">
        <x:v>7</x:v>
      </x:c>
      <x:c r="G157" s="7" t="str"/>
      <x:c r="H157" s="7" t="str"/>
      <x:c r="I157" s="7" t="str"/>
      <x:c r="J157" s="7" t="str"/>
      <x:c r="K157" s="7" t="str"/>
      <x:c r="L157" s="7" t="str">
        <x:f>IF(K157="","OPEN",IF(OR(G157="",NOT(ISNUMBER(H157)),I157&lt;&gt;"SAFE",NOT(ISNUMBER(J157))),"FAIL","PASS"))</x:f>
        <x:v>OPEN</x:v>
      </x:c>
    </x:row>
    <x:row r="158">
      <x:c r="B158" s="7" t="str">
        <x:v>ELM-PEA-C-X1-08</x:v>
      </x:c>
      <x:c r="C158" s="7" t="str">
        <x:v>PEA-C-X1</x:v>
      </x:c>
      <x:c r="D158" s="7" t="str">
        <x:v>BLD-C</x:v>
      </x:c>
      <x:c r="E158" s="7" t="str">
        <x:v>BL-X</x:v>
      </x:c>
      <x:c r="F158" s="7" t="n">
        <x:v>8</x:v>
      </x:c>
      <x:c r="G158" s="7" t="str"/>
      <x:c r="H158" s="7" t="str"/>
      <x:c r="I158" s="7" t="str"/>
      <x:c r="J158" s="7" t="str"/>
      <x:c r="K158" s="7" t="str"/>
      <x:c r="L158" s="7" t="str">
        <x:f>IF(K158="","OPEN",IF(OR(G158="",NOT(ISNUMBER(H158)),I158&lt;&gt;"SAFE",NOT(ISNUMBER(J158))),"FAIL","PASS"))</x:f>
        <x:v>OPEN</x:v>
      </x:c>
    </x:row>
    <x:row r="159">
      <x:c r="B159" s="7" t="str">
        <x:v>ELM-PEA-C-X1-09</x:v>
      </x:c>
      <x:c r="C159" s="7" t="str">
        <x:v>PEA-C-X1</x:v>
      </x:c>
      <x:c r="D159" s="7" t="str">
        <x:v>BLD-C</x:v>
      </x:c>
      <x:c r="E159" s="7" t="str">
        <x:v>BL-X</x:v>
      </x:c>
      <x:c r="F159" s="7" t="n">
        <x:v>9</x:v>
      </x:c>
      <x:c r="G159" s="7" t="str"/>
      <x:c r="H159" s="7" t="str"/>
      <x:c r="I159" s="7" t="str"/>
      <x:c r="J159" s="7" t="str"/>
      <x:c r="K159" s="7" t="str"/>
      <x:c r="L159" s="7" t="str">
        <x:f>IF(K159="","OPEN",IF(OR(G159="",NOT(ISNUMBER(H159)),I159&lt;&gt;"SAFE",NOT(ISNUMBER(J159))),"FAIL","PASS"))</x:f>
        <x:v>OPEN</x:v>
      </x:c>
    </x:row>
    <x:row r="160">
      <x:c r="B160" s="7" t="str">
        <x:v>ELM-PEA-C-X1-10</x:v>
      </x:c>
      <x:c r="C160" s="7" t="str">
        <x:v>PEA-C-X1</x:v>
      </x:c>
      <x:c r="D160" s="7" t="str">
        <x:v>BLD-C</x:v>
      </x:c>
      <x:c r="E160" s="7" t="str">
        <x:v>BL-X</x:v>
      </x:c>
      <x:c r="F160" s="7" t="n">
        <x:v>10</x:v>
      </x:c>
      <x:c r="G160" s="7" t="str"/>
      <x:c r="H160" s="7" t="str"/>
      <x:c r="I160" s="7" t="str"/>
      <x:c r="J160" s="7" t="str"/>
      <x:c r="K160" s="7" t="str"/>
      <x:c r="L160" s="7" t="str">
        <x:f>IF(K160="","OPEN",IF(OR(G160="",NOT(ISNUMBER(H160)),I160&lt;&gt;"SAFE",NOT(ISNUMBER(J160))),"FAIL","PASS"))</x:f>
        <x:v>OPEN</x:v>
      </x:c>
    </x:row>
    <x:row r="161">
      <x:c r="B161" s="7" t="str">
        <x:v>ELM-PEA-C-X1-11</x:v>
      </x:c>
      <x:c r="C161" s="7" t="str">
        <x:v>PEA-C-X1</x:v>
      </x:c>
      <x:c r="D161" s="7" t="str">
        <x:v>BLD-C</x:v>
      </x:c>
      <x:c r="E161" s="7" t="str">
        <x:v>BL-X</x:v>
      </x:c>
      <x:c r="F161" s="7" t="n">
        <x:v>11</x:v>
      </x:c>
      <x:c r="G161" s="7" t="str"/>
      <x:c r="H161" s="7" t="str"/>
      <x:c r="I161" s="7" t="str"/>
      <x:c r="J161" s="7" t="str"/>
      <x:c r="K161" s="7" t="str"/>
      <x:c r="L161" s="7" t="str">
        <x:f>IF(K161="","OPEN",IF(OR(G161="",NOT(ISNUMBER(H161)),I161&lt;&gt;"SAFE",NOT(ISNUMBER(J161))),"FAIL","PASS"))</x:f>
        <x:v>OPEN</x:v>
      </x:c>
    </x:row>
    <x:row r="162">
      <x:c r="B162" s="7" t="str">
        <x:v>ELM-PEA-C-X1-12</x:v>
      </x:c>
      <x:c r="C162" s="7" t="str">
        <x:v>PEA-C-X1</x:v>
      </x:c>
      <x:c r="D162" s="7" t="str">
        <x:v>BLD-C</x:v>
      </x:c>
      <x:c r="E162" s="7" t="str">
        <x:v>BL-X</x:v>
      </x:c>
      <x:c r="F162" s="7" t="n">
        <x:v>12</x:v>
      </x:c>
      <x:c r="G162" s="7" t="str"/>
      <x:c r="H162" s="7" t="str"/>
      <x:c r="I162" s="7" t="str"/>
      <x:c r="J162" s="7" t="str"/>
      <x:c r="K162" s="7" t="str"/>
      <x:c r="L162" s="7" t="str">
        <x:f>IF(K162="","OPEN",IF(OR(G162="",NOT(ISNUMBER(H162)),I162&lt;&gt;"SAFE",NOT(ISNUMBER(J162))),"FAIL","PASS"))</x:f>
        <x:v>OPEN</x:v>
      </x:c>
    </x:row>
    <x:row r="163">
      <x:c r="B163" s="7" t="str">
        <x:v>ELM-PEA-C-X2-01</x:v>
      </x:c>
      <x:c r="C163" s="7" t="str">
        <x:v>PEA-C-X2</x:v>
      </x:c>
      <x:c r="D163" s="7" t="str">
        <x:v>BLD-C</x:v>
      </x:c>
      <x:c r="E163" s="7" t="str">
        <x:v>BL-X</x:v>
      </x:c>
      <x:c r="F163" s="7" t="n">
        <x:v>1</x:v>
      </x:c>
      <x:c r="G163" s="7" t="str"/>
      <x:c r="H163" s="7" t="str"/>
      <x:c r="I163" s="7" t="str"/>
      <x:c r="J163" s="7" t="str"/>
      <x:c r="K163" s="7" t="str"/>
      <x:c r="L163" s="7" t="str">
        <x:f>IF(K163="","OPEN",IF(OR(G163="",NOT(ISNUMBER(H163)),I163&lt;&gt;"SAFE",NOT(ISNUMBER(J163))),"FAIL","PASS"))</x:f>
        <x:v>OPEN</x:v>
      </x:c>
    </x:row>
    <x:row r="164">
      <x:c r="B164" s="7" t="str">
        <x:v>ELM-PEA-C-X2-02</x:v>
      </x:c>
      <x:c r="C164" s="7" t="str">
        <x:v>PEA-C-X2</x:v>
      </x:c>
      <x:c r="D164" s="7" t="str">
        <x:v>BLD-C</x:v>
      </x:c>
      <x:c r="E164" s="7" t="str">
        <x:v>BL-X</x:v>
      </x:c>
      <x:c r="F164" s="7" t="n">
        <x:v>2</x:v>
      </x:c>
      <x:c r="G164" s="7" t="str"/>
      <x:c r="H164" s="7" t="str"/>
      <x:c r="I164" s="7" t="str"/>
      <x:c r="J164" s="7" t="str"/>
      <x:c r="K164" s="7" t="str"/>
      <x:c r="L164" s="7" t="str">
        <x:f>IF(K164="","OPEN",IF(OR(G164="",NOT(ISNUMBER(H164)),I164&lt;&gt;"SAFE",NOT(ISNUMBER(J164))),"FAIL","PASS"))</x:f>
        <x:v>OPEN</x:v>
      </x:c>
    </x:row>
    <x:row r="165">
      <x:c r="B165" s="7" t="str">
        <x:v>ELM-PEA-C-X2-03</x:v>
      </x:c>
      <x:c r="C165" s="7" t="str">
        <x:v>PEA-C-X2</x:v>
      </x:c>
      <x:c r="D165" s="7" t="str">
        <x:v>BLD-C</x:v>
      </x:c>
      <x:c r="E165" s="7" t="str">
        <x:v>BL-X</x:v>
      </x:c>
      <x:c r="F165" s="7" t="n">
        <x:v>3</x:v>
      </x:c>
      <x:c r="G165" s="7" t="str"/>
      <x:c r="H165" s="7" t="str"/>
      <x:c r="I165" s="7" t="str"/>
      <x:c r="J165" s="7" t="str"/>
      <x:c r="K165" s="7" t="str"/>
      <x:c r="L165" s="7" t="str">
        <x:f>IF(K165="","OPEN",IF(OR(G165="",NOT(ISNUMBER(H165)),I165&lt;&gt;"SAFE",NOT(ISNUMBER(J165))),"FAIL","PASS"))</x:f>
        <x:v>OPEN</x:v>
      </x:c>
    </x:row>
    <x:row r="166">
      <x:c r="B166" s="7" t="str">
        <x:v>ELM-PEA-C-X2-04</x:v>
      </x:c>
      <x:c r="C166" s="7" t="str">
        <x:v>PEA-C-X2</x:v>
      </x:c>
      <x:c r="D166" s="7" t="str">
        <x:v>BLD-C</x:v>
      </x:c>
      <x:c r="E166" s="7" t="str">
        <x:v>BL-X</x:v>
      </x:c>
      <x:c r="F166" s="7" t="n">
        <x:v>4</x:v>
      </x:c>
      <x:c r="G166" s="7" t="str"/>
      <x:c r="H166" s="7" t="str"/>
      <x:c r="I166" s="7" t="str"/>
      <x:c r="J166" s="7" t="str"/>
      <x:c r="K166" s="7" t="str"/>
      <x:c r="L166" s="7" t="str">
        <x:f>IF(K166="","OPEN",IF(OR(G166="",NOT(ISNUMBER(H166)),I166&lt;&gt;"SAFE",NOT(ISNUMBER(J166))),"FAIL","PASS"))</x:f>
        <x:v>OPEN</x:v>
      </x:c>
    </x:row>
    <x:row r="167">
      <x:c r="B167" s="7" t="str">
        <x:v>ELM-PEA-C-X2-05</x:v>
      </x:c>
      <x:c r="C167" s="7" t="str">
        <x:v>PEA-C-X2</x:v>
      </x:c>
      <x:c r="D167" s="7" t="str">
        <x:v>BLD-C</x:v>
      </x:c>
      <x:c r="E167" s="7" t="str">
        <x:v>BL-X</x:v>
      </x:c>
      <x:c r="F167" s="7" t="n">
        <x:v>5</x:v>
      </x:c>
      <x:c r="G167" s="7" t="str"/>
      <x:c r="H167" s="7" t="str"/>
      <x:c r="I167" s="7" t="str"/>
      <x:c r="J167" s="7" t="str"/>
      <x:c r="K167" s="7" t="str"/>
      <x:c r="L167" s="7" t="str">
        <x:f>IF(K167="","OPEN",IF(OR(G167="",NOT(ISNUMBER(H167)),I167&lt;&gt;"SAFE",NOT(ISNUMBER(J167))),"FAIL","PASS"))</x:f>
        <x:v>OPEN</x:v>
      </x:c>
    </x:row>
    <x:row r="168">
      <x:c r="B168" s="7" t="str">
        <x:v>ELM-PEA-C-X2-06</x:v>
      </x:c>
      <x:c r="C168" s="7" t="str">
        <x:v>PEA-C-X2</x:v>
      </x:c>
      <x:c r="D168" s="7" t="str">
        <x:v>BLD-C</x:v>
      </x:c>
      <x:c r="E168" s="7" t="str">
        <x:v>BL-X</x:v>
      </x:c>
      <x:c r="F168" s="7" t="n">
        <x:v>6</x:v>
      </x:c>
      <x:c r="G168" s="7" t="str"/>
      <x:c r="H168" s="7" t="str"/>
      <x:c r="I168" s="7" t="str"/>
      <x:c r="J168" s="7" t="str"/>
      <x:c r="K168" s="7" t="str"/>
      <x:c r="L168" s="7" t="str">
        <x:f>IF(K168="","OPEN",IF(OR(G168="",NOT(ISNUMBER(H168)),I168&lt;&gt;"SAFE",NOT(ISNUMBER(J168))),"FAIL","PASS"))</x:f>
        <x:v>OPEN</x:v>
      </x:c>
    </x:row>
    <x:row r="169">
      <x:c r="B169" s="7" t="str">
        <x:v>ELM-PEA-C-X2-07</x:v>
      </x:c>
      <x:c r="C169" s="7" t="str">
        <x:v>PEA-C-X2</x:v>
      </x:c>
      <x:c r="D169" s="7" t="str">
        <x:v>BLD-C</x:v>
      </x:c>
      <x:c r="E169" s="7" t="str">
        <x:v>BL-X</x:v>
      </x:c>
      <x:c r="F169" s="7" t="n">
        <x:v>7</x:v>
      </x:c>
      <x:c r="G169" s="7" t="str"/>
      <x:c r="H169" s="7" t="str"/>
      <x:c r="I169" s="7" t="str"/>
      <x:c r="J169" s="7" t="str"/>
      <x:c r="K169" s="7" t="str"/>
      <x:c r="L169" s="7" t="str">
        <x:f>IF(K169="","OPEN",IF(OR(G169="",NOT(ISNUMBER(H169)),I169&lt;&gt;"SAFE",NOT(ISNUMBER(J169))),"FAIL","PASS"))</x:f>
        <x:v>OPEN</x:v>
      </x:c>
    </x:row>
    <x:row r="170">
      <x:c r="B170" s="7" t="str">
        <x:v>ELM-PEA-C-X2-08</x:v>
      </x:c>
      <x:c r="C170" s="7" t="str">
        <x:v>PEA-C-X2</x:v>
      </x:c>
      <x:c r="D170" s="7" t="str">
        <x:v>BLD-C</x:v>
      </x:c>
      <x:c r="E170" s="7" t="str">
        <x:v>BL-X</x:v>
      </x:c>
      <x:c r="F170" s="7" t="n">
        <x:v>8</x:v>
      </x:c>
      <x:c r="G170" s="7" t="str"/>
      <x:c r="H170" s="7" t="str"/>
      <x:c r="I170" s="7" t="str"/>
      <x:c r="J170" s="7" t="str"/>
      <x:c r="K170" s="7" t="str"/>
      <x:c r="L170" s="7" t="str">
        <x:f>IF(K170="","OPEN",IF(OR(G170="",NOT(ISNUMBER(H170)),I170&lt;&gt;"SAFE",NOT(ISNUMBER(J170))),"FAIL","PASS"))</x:f>
        <x:v>OPEN</x:v>
      </x:c>
    </x:row>
    <x:row r="171">
      <x:c r="B171" s="7" t="str">
        <x:v>ELM-PEA-C-X2-09</x:v>
      </x:c>
      <x:c r="C171" s="7" t="str">
        <x:v>PEA-C-X2</x:v>
      </x:c>
      <x:c r="D171" s="7" t="str">
        <x:v>BLD-C</x:v>
      </x:c>
      <x:c r="E171" s="7" t="str">
        <x:v>BL-X</x:v>
      </x:c>
      <x:c r="F171" s="7" t="n">
        <x:v>9</x:v>
      </x:c>
      <x:c r="G171" s="7" t="str"/>
      <x:c r="H171" s="7" t="str"/>
      <x:c r="I171" s="7" t="str"/>
      <x:c r="J171" s="7" t="str"/>
      <x:c r="K171" s="7" t="str"/>
      <x:c r="L171" s="7" t="str">
        <x:f>IF(K171="","OPEN",IF(OR(G171="",NOT(ISNUMBER(H171)),I171&lt;&gt;"SAFE",NOT(ISNUMBER(J171))),"FAIL","PASS"))</x:f>
        <x:v>OPEN</x:v>
      </x:c>
    </x:row>
    <x:row r="172">
      <x:c r="B172" s="7" t="str">
        <x:v>ELM-PEA-C-X2-10</x:v>
      </x:c>
      <x:c r="C172" s="7" t="str">
        <x:v>PEA-C-X2</x:v>
      </x:c>
      <x:c r="D172" s="7" t="str">
        <x:v>BLD-C</x:v>
      </x:c>
      <x:c r="E172" s="7" t="str">
        <x:v>BL-X</x:v>
      </x:c>
      <x:c r="F172" s="7" t="n">
        <x:v>10</x:v>
      </x:c>
      <x:c r="G172" s="7" t="str"/>
      <x:c r="H172" s="7" t="str"/>
      <x:c r="I172" s="7" t="str"/>
      <x:c r="J172" s="7" t="str"/>
      <x:c r="K172" s="7" t="str"/>
      <x:c r="L172" s="7" t="str">
        <x:f>IF(K172="","OPEN",IF(OR(G172="",NOT(ISNUMBER(H172)),I172&lt;&gt;"SAFE",NOT(ISNUMBER(J172))),"FAIL","PASS"))</x:f>
        <x:v>OPEN</x:v>
      </x:c>
    </x:row>
    <x:row r="173">
      <x:c r="B173" s="7" t="str">
        <x:v>ELM-PEA-C-X2-11</x:v>
      </x:c>
      <x:c r="C173" s="7" t="str">
        <x:v>PEA-C-X2</x:v>
      </x:c>
      <x:c r="D173" s="7" t="str">
        <x:v>BLD-C</x:v>
      </x:c>
      <x:c r="E173" s="7" t="str">
        <x:v>BL-X</x:v>
      </x:c>
      <x:c r="F173" s="7" t="n">
        <x:v>11</x:v>
      </x:c>
      <x:c r="G173" s="7" t="str"/>
      <x:c r="H173" s="7" t="str"/>
      <x:c r="I173" s="7" t="str"/>
      <x:c r="J173" s="7" t="str"/>
      <x:c r="K173" s="7" t="str"/>
      <x:c r="L173" s="7" t="str">
        <x:f>IF(K173="","OPEN",IF(OR(G173="",NOT(ISNUMBER(H173)),I173&lt;&gt;"SAFE",NOT(ISNUMBER(J173))),"FAIL","PASS"))</x:f>
        <x:v>OPEN</x:v>
      </x:c>
    </x:row>
    <x:row r="174">
      <x:c r="B174" s="7" t="str">
        <x:v>ELM-PEA-C-X2-12</x:v>
      </x:c>
      <x:c r="C174" s="7" t="str">
        <x:v>PEA-C-X2</x:v>
      </x:c>
      <x:c r="D174" s="7" t="str">
        <x:v>BLD-C</x:v>
      </x:c>
      <x:c r="E174" s="7" t="str">
        <x:v>BL-X</x:v>
      </x:c>
      <x:c r="F174" s="7" t="n">
        <x:v>12</x:v>
      </x:c>
      <x:c r="G174" s="7" t="str"/>
      <x:c r="H174" s="7" t="str"/>
      <x:c r="I174" s="7" t="str"/>
      <x:c r="J174" s="7" t="str"/>
      <x:c r="K174" s="7" t="str"/>
      <x:c r="L174" s="7" t="str">
        <x:f>IF(K174="","OPEN",IF(OR(G174="",NOT(ISNUMBER(H174)),I174&lt;&gt;"SAFE",NOT(ISNUMBER(J174))),"FAIL","PASS"))</x:f>
        <x:v>OPEN</x:v>
      </x:c>
    </x:row>
    <x:row r="175">
      <x:c r="B175" s="7" t="str">
        <x:v>ELM-PEA-C-X3-01</x:v>
      </x:c>
      <x:c r="C175" s="7" t="str">
        <x:v>PEA-C-X3</x:v>
      </x:c>
      <x:c r="D175" s="7" t="str">
        <x:v>BLD-C</x:v>
      </x:c>
      <x:c r="E175" s="7" t="str">
        <x:v>BL-X</x:v>
      </x:c>
      <x:c r="F175" s="7" t="n">
        <x:v>1</x:v>
      </x:c>
      <x:c r="G175" s="7" t="str"/>
      <x:c r="H175" s="7" t="str"/>
      <x:c r="I175" s="7" t="str"/>
      <x:c r="J175" s="7" t="str"/>
      <x:c r="K175" s="7" t="str"/>
      <x:c r="L175" s="7" t="str">
        <x:f>IF(K175="","OPEN",IF(OR(G175="",NOT(ISNUMBER(H175)),I175&lt;&gt;"SAFE",NOT(ISNUMBER(J175))),"FAIL","PASS"))</x:f>
        <x:v>OPEN</x:v>
      </x:c>
    </x:row>
    <x:row r="176">
      <x:c r="B176" s="7" t="str">
        <x:v>ELM-PEA-C-X3-02</x:v>
      </x:c>
      <x:c r="C176" s="7" t="str">
        <x:v>PEA-C-X3</x:v>
      </x:c>
      <x:c r="D176" s="7" t="str">
        <x:v>BLD-C</x:v>
      </x:c>
      <x:c r="E176" s="7" t="str">
        <x:v>BL-X</x:v>
      </x:c>
      <x:c r="F176" s="7" t="n">
        <x:v>2</x:v>
      </x:c>
      <x:c r="G176" s="7" t="str"/>
      <x:c r="H176" s="7" t="str"/>
      <x:c r="I176" s="7" t="str"/>
      <x:c r="J176" s="7" t="str"/>
      <x:c r="K176" s="7" t="str"/>
      <x:c r="L176" s="7" t="str">
        <x:f>IF(K176="","OPEN",IF(OR(G176="",NOT(ISNUMBER(H176)),I176&lt;&gt;"SAFE",NOT(ISNUMBER(J176))),"FAIL","PASS"))</x:f>
        <x:v>OPEN</x:v>
      </x:c>
    </x:row>
    <x:row r="177">
      <x:c r="B177" s="7" t="str">
        <x:v>ELM-PEA-C-X3-03</x:v>
      </x:c>
      <x:c r="C177" s="7" t="str">
        <x:v>PEA-C-X3</x:v>
      </x:c>
      <x:c r="D177" s="7" t="str">
        <x:v>BLD-C</x:v>
      </x:c>
      <x:c r="E177" s="7" t="str">
        <x:v>BL-X</x:v>
      </x:c>
      <x:c r="F177" s="7" t="n">
        <x:v>3</x:v>
      </x:c>
      <x:c r="G177" s="7" t="str"/>
      <x:c r="H177" s="7" t="str"/>
      <x:c r="I177" s="7" t="str"/>
      <x:c r="J177" s="7" t="str"/>
      <x:c r="K177" s="7" t="str"/>
      <x:c r="L177" s="7" t="str">
        <x:f>IF(K177="","OPEN",IF(OR(G177="",NOT(ISNUMBER(H177)),I177&lt;&gt;"SAFE",NOT(ISNUMBER(J177))),"FAIL","PASS"))</x:f>
        <x:v>OPEN</x:v>
      </x:c>
    </x:row>
    <x:row r="178">
      <x:c r="B178" s="7" t="str">
        <x:v>ELM-PEA-C-X3-04</x:v>
      </x:c>
      <x:c r="C178" s="7" t="str">
        <x:v>PEA-C-X3</x:v>
      </x:c>
      <x:c r="D178" s="7" t="str">
        <x:v>BLD-C</x:v>
      </x:c>
      <x:c r="E178" s="7" t="str">
        <x:v>BL-X</x:v>
      </x:c>
      <x:c r="F178" s="7" t="n">
        <x:v>4</x:v>
      </x:c>
      <x:c r="G178" s="7" t="str"/>
      <x:c r="H178" s="7" t="str"/>
      <x:c r="I178" s="7" t="str"/>
      <x:c r="J178" s="7" t="str"/>
      <x:c r="K178" s="7" t="str"/>
      <x:c r="L178" s="7" t="str">
        <x:f>IF(K178="","OPEN",IF(OR(G178="",NOT(ISNUMBER(H178)),I178&lt;&gt;"SAFE",NOT(ISNUMBER(J178))),"FAIL","PASS"))</x:f>
        <x:v>OPEN</x:v>
      </x:c>
    </x:row>
    <x:row r="179">
      <x:c r="B179" s="7" t="str">
        <x:v>ELM-PEA-C-X3-05</x:v>
      </x:c>
      <x:c r="C179" s="7" t="str">
        <x:v>PEA-C-X3</x:v>
      </x:c>
      <x:c r="D179" s="7" t="str">
        <x:v>BLD-C</x:v>
      </x:c>
      <x:c r="E179" s="7" t="str">
        <x:v>BL-X</x:v>
      </x:c>
      <x:c r="F179" s="7" t="n">
        <x:v>5</x:v>
      </x:c>
      <x:c r="G179" s="7" t="str"/>
      <x:c r="H179" s="7" t="str"/>
      <x:c r="I179" s="7" t="str"/>
      <x:c r="J179" s="7" t="str"/>
      <x:c r="K179" s="7" t="str"/>
      <x:c r="L179" s="7" t="str">
        <x:f>IF(K179="","OPEN",IF(OR(G179="",NOT(ISNUMBER(H179)),I179&lt;&gt;"SAFE",NOT(ISNUMBER(J179))),"FAIL","PASS"))</x:f>
        <x:v>OPEN</x:v>
      </x:c>
    </x:row>
    <x:row r="180">
      <x:c r="B180" s="7" t="str">
        <x:v>ELM-PEA-C-X3-06</x:v>
      </x:c>
      <x:c r="C180" s="7" t="str">
        <x:v>PEA-C-X3</x:v>
      </x:c>
      <x:c r="D180" s="7" t="str">
        <x:v>BLD-C</x:v>
      </x:c>
      <x:c r="E180" s="7" t="str">
        <x:v>BL-X</x:v>
      </x:c>
      <x:c r="F180" s="7" t="n">
        <x:v>6</x:v>
      </x:c>
      <x:c r="G180" s="7" t="str"/>
      <x:c r="H180" s="7" t="str"/>
      <x:c r="I180" s="7" t="str"/>
      <x:c r="J180" s="7" t="str"/>
      <x:c r="K180" s="7" t="str"/>
      <x:c r="L180" s="7" t="str">
        <x:f>IF(K180="","OPEN",IF(OR(G180="",NOT(ISNUMBER(H180)),I180&lt;&gt;"SAFE",NOT(ISNUMBER(J180))),"FAIL","PASS"))</x:f>
        <x:v>OPEN</x:v>
      </x:c>
    </x:row>
    <x:row r="181">
      <x:c r="B181" s="7" t="str">
        <x:v>ELM-PEA-C-X3-07</x:v>
      </x:c>
      <x:c r="C181" s="7" t="str">
        <x:v>PEA-C-X3</x:v>
      </x:c>
      <x:c r="D181" s="7" t="str">
        <x:v>BLD-C</x:v>
      </x:c>
      <x:c r="E181" s="7" t="str">
        <x:v>BL-X</x:v>
      </x:c>
      <x:c r="F181" s="7" t="n">
        <x:v>7</x:v>
      </x:c>
      <x:c r="G181" s="7" t="str"/>
      <x:c r="H181" s="7" t="str"/>
      <x:c r="I181" s="7" t="str"/>
      <x:c r="J181" s="7" t="str"/>
      <x:c r="K181" s="7" t="str"/>
      <x:c r="L181" s="7" t="str">
        <x:f>IF(K181="","OPEN",IF(OR(G181="",NOT(ISNUMBER(H181)),I181&lt;&gt;"SAFE",NOT(ISNUMBER(J181))),"FAIL","PASS"))</x:f>
        <x:v>OPEN</x:v>
      </x:c>
    </x:row>
    <x:row r="182">
      <x:c r="B182" s="7" t="str">
        <x:v>ELM-PEA-C-X3-08</x:v>
      </x:c>
      <x:c r="C182" s="7" t="str">
        <x:v>PEA-C-X3</x:v>
      </x:c>
      <x:c r="D182" s="7" t="str">
        <x:v>BLD-C</x:v>
      </x:c>
      <x:c r="E182" s="7" t="str">
        <x:v>BL-X</x:v>
      </x:c>
      <x:c r="F182" s="7" t="n">
        <x:v>8</x:v>
      </x:c>
      <x:c r="G182" s="7" t="str"/>
      <x:c r="H182" s="7" t="str"/>
      <x:c r="I182" s="7" t="str"/>
      <x:c r="J182" s="7" t="str"/>
      <x:c r="K182" s="7" t="str"/>
      <x:c r="L182" s="7" t="str">
        <x:f>IF(K182="","OPEN",IF(OR(G182="",NOT(ISNUMBER(H182)),I182&lt;&gt;"SAFE",NOT(ISNUMBER(J182))),"FAIL","PASS"))</x:f>
        <x:v>OPEN</x:v>
      </x:c>
    </x:row>
    <x:row r="183">
      <x:c r="B183" s="7" t="str">
        <x:v>ELM-PEA-C-X3-09</x:v>
      </x:c>
      <x:c r="C183" s="7" t="str">
        <x:v>PEA-C-X3</x:v>
      </x:c>
      <x:c r="D183" s="7" t="str">
        <x:v>BLD-C</x:v>
      </x:c>
      <x:c r="E183" s="7" t="str">
        <x:v>BL-X</x:v>
      </x:c>
      <x:c r="F183" s="7" t="n">
        <x:v>9</x:v>
      </x:c>
      <x:c r="G183" s="7" t="str"/>
      <x:c r="H183" s="7" t="str"/>
      <x:c r="I183" s="7" t="str"/>
      <x:c r="J183" s="7" t="str"/>
      <x:c r="K183" s="7" t="str"/>
      <x:c r="L183" s="7" t="str">
        <x:f>IF(K183="","OPEN",IF(OR(G183="",NOT(ISNUMBER(H183)),I183&lt;&gt;"SAFE",NOT(ISNUMBER(J183))),"FAIL","PASS"))</x:f>
        <x:v>OPEN</x:v>
      </x:c>
    </x:row>
    <x:row r="184">
      <x:c r="B184" s="7" t="str">
        <x:v>ELM-PEA-C-X3-10</x:v>
      </x:c>
      <x:c r="C184" s="7" t="str">
        <x:v>PEA-C-X3</x:v>
      </x:c>
      <x:c r="D184" s="7" t="str">
        <x:v>BLD-C</x:v>
      </x:c>
      <x:c r="E184" s="7" t="str">
        <x:v>BL-X</x:v>
      </x:c>
      <x:c r="F184" s="7" t="n">
        <x:v>10</x:v>
      </x:c>
      <x:c r="G184" s="7" t="str"/>
      <x:c r="H184" s="7" t="str"/>
      <x:c r="I184" s="7" t="str"/>
      <x:c r="J184" s="7" t="str"/>
      <x:c r="K184" s="7" t="str"/>
      <x:c r="L184" s="7" t="str">
        <x:f>IF(K184="","OPEN",IF(OR(G184="",NOT(ISNUMBER(H184)),I184&lt;&gt;"SAFE",NOT(ISNUMBER(J184))),"FAIL","PASS"))</x:f>
        <x:v>OPEN</x:v>
      </x:c>
    </x:row>
    <x:row r="185">
      <x:c r="B185" s="7" t="str">
        <x:v>ELM-PEA-C-X3-11</x:v>
      </x:c>
      <x:c r="C185" s="7" t="str">
        <x:v>PEA-C-X3</x:v>
      </x:c>
      <x:c r="D185" s="7" t="str">
        <x:v>BLD-C</x:v>
      </x:c>
      <x:c r="E185" s="7" t="str">
        <x:v>BL-X</x:v>
      </x:c>
      <x:c r="F185" s="7" t="n">
        <x:v>11</x:v>
      </x:c>
      <x:c r="G185" s="7" t="str"/>
      <x:c r="H185" s="7" t="str"/>
      <x:c r="I185" s="7" t="str"/>
      <x:c r="J185" s="7" t="str"/>
      <x:c r="K185" s="7" t="str"/>
      <x:c r="L185" s="7" t="str">
        <x:f>IF(K185="","OPEN",IF(OR(G185="",NOT(ISNUMBER(H185)),I185&lt;&gt;"SAFE",NOT(ISNUMBER(J185))),"FAIL","PASS"))</x:f>
        <x:v>OPEN</x:v>
      </x:c>
    </x:row>
    <x:row r="186">
      <x:c r="B186" s="7" t="str">
        <x:v>ELM-PEA-C-X3-12</x:v>
      </x:c>
      <x:c r="C186" s="7" t="str">
        <x:v>PEA-C-X3</x:v>
      </x:c>
      <x:c r="D186" s="7" t="str">
        <x:v>BLD-C</x:v>
      </x:c>
      <x:c r="E186" s="7" t="str">
        <x:v>BL-X</x:v>
      </x:c>
      <x:c r="F186" s="7" t="n">
        <x:v>12</x:v>
      </x:c>
      <x:c r="G186" s="7" t="str"/>
      <x:c r="H186" s="7" t="str"/>
      <x:c r="I186" s="7" t="str"/>
      <x:c r="J186" s="7" t="str"/>
      <x:c r="K186" s="7" t="str"/>
      <x:c r="L186" s="7" t="str">
        <x:f>IF(K186="","OPEN",IF(OR(G186="",NOT(ISNUMBER(H186)),I186&lt;&gt;"SAFE",NOT(ISNUMBER(J186))),"FAIL","PASS"))</x:f>
        <x:v>OPEN</x:v>
      </x:c>
    </x:row>
    <x:row r="187">
      <x:c r="B187" s="7" t="str">
        <x:v>ELM-PEA-C-Y1-01</x:v>
      </x:c>
      <x:c r="C187" s="7" t="str">
        <x:v>PEA-C-Y1</x:v>
      </x:c>
      <x:c r="D187" s="7" t="str">
        <x:v>BLD-C</x:v>
      </x:c>
      <x:c r="E187" s="7" t="str">
        <x:v>BL-Y</x:v>
      </x:c>
      <x:c r="F187" s="7" t="n">
        <x:v>1</x:v>
      </x:c>
      <x:c r="G187" s="7" t="str"/>
      <x:c r="H187" s="7" t="str"/>
      <x:c r="I187" s="7" t="str"/>
      <x:c r="J187" s="7" t="str"/>
      <x:c r="K187" s="7" t="str"/>
      <x:c r="L187" s="7" t="str">
        <x:f>IF(K187="","OPEN",IF(OR(G187="",NOT(ISNUMBER(H187)),I187&lt;&gt;"SAFE",NOT(ISNUMBER(J187))),"FAIL","PASS"))</x:f>
        <x:v>OPEN</x:v>
      </x:c>
    </x:row>
    <x:row r="188">
      <x:c r="B188" s="7" t="str">
        <x:v>ELM-PEA-C-Y1-02</x:v>
      </x:c>
      <x:c r="C188" s="7" t="str">
        <x:v>PEA-C-Y1</x:v>
      </x:c>
      <x:c r="D188" s="7" t="str">
        <x:v>BLD-C</x:v>
      </x:c>
      <x:c r="E188" s="7" t="str">
        <x:v>BL-Y</x:v>
      </x:c>
      <x:c r="F188" s="7" t="n">
        <x:v>2</x:v>
      </x:c>
      <x:c r="G188" s="7" t="str"/>
      <x:c r="H188" s="7" t="str"/>
      <x:c r="I188" s="7" t="str"/>
      <x:c r="J188" s="7" t="str"/>
      <x:c r="K188" s="7" t="str"/>
      <x:c r="L188" s="7" t="str">
        <x:f>IF(K188="","OPEN",IF(OR(G188="",NOT(ISNUMBER(H188)),I188&lt;&gt;"SAFE",NOT(ISNUMBER(J188))),"FAIL","PASS"))</x:f>
        <x:v>OPEN</x:v>
      </x:c>
    </x:row>
    <x:row r="189">
      <x:c r="B189" s="7" t="str">
        <x:v>ELM-PEA-C-Y1-03</x:v>
      </x:c>
      <x:c r="C189" s="7" t="str">
        <x:v>PEA-C-Y1</x:v>
      </x:c>
      <x:c r="D189" s="7" t="str">
        <x:v>BLD-C</x:v>
      </x:c>
      <x:c r="E189" s="7" t="str">
        <x:v>BL-Y</x:v>
      </x:c>
      <x:c r="F189" s="7" t="n">
        <x:v>3</x:v>
      </x:c>
      <x:c r="G189" s="7" t="str"/>
      <x:c r="H189" s="7" t="str"/>
      <x:c r="I189" s="7" t="str"/>
      <x:c r="J189" s="7" t="str"/>
      <x:c r="K189" s="7" t="str"/>
      <x:c r="L189" s="7" t="str">
        <x:f>IF(K189="","OPEN",IF(OR(G189="",NOT(ISNUMBER(H189)),I189&lt;&gt;"SAFE",NOT(ISNUMBER(J189))),"FAIL","PASS"))</x:f>
        <x:v>OPEN</x:v>
      </x:c>
    </x:row>
    <x:row r="190">
      <x:c r="B190" s="7" t="str">
        <x:v>ELM-PEA-C-Y1-04</x:v>
      </x:c>
      <x:c r="C190" s="7" t="str">
        <x:v>PEA-C-Y1</x:v>
      </x:c>
      <x:c r="D190" s="7" t="str">
        <x:v>BLD-C</x:v>
      </x:c>
      <x:c r="E190" s="7" t="str">
        <x:v>BL-Y</x:v>
      </x:c>
      <x:c r="F190" s="7" t="n">
        <x:v>4</x:v>
      </x:c>
      <x:c r="G190" s="7" t="str"/>
      <x:c r="H190" s="7" t="str"/>
      <x:c r="I190" s="7" t="str"/>
      <x:c r="J190" s="7" t="str"/>
      <x:c r="K190" s="7" t="str"/>
      <x:c r="L190" s="7" t="str">
        <x:f>IF(K190="","OPEN",IF(OR(G190="",NOT(ISNUMBER(H190)),I190&lt;&gt;"SAFE",NOT(ISNUMBER(J190))),"FAIL","PASS"))</x:f>
        <x:v>OPEN</x:v>
      </x:c>
    </x:row>
    <x:row r="191">
      <x:c r="B191" s="7" t="str">
        <x:v>ELM-PEA-C-Y1-05</x:v>
      </x:c>
      <x:c r="C191" s="7" t="str">
        <x:v>PEA-C-Y1</x:v>
      </x:c>
      <x:c r="D191" s="7" t="str">
        <x:v>BLD-C</x:v>
      </x:c>
      <x:c r="E191" s="7" t="str">
        <x:v>BL-Y</x:v>
      </x:c>
      <x:c r="F191" s="7" t="n">
        <x:v>5</x:v>
      </x:c>
      <x:c r="G191" s="7" t="str"/>
      <x:c r="H191" s="7" t="str"/>
      <x:c r="I191" s="7" t="str"/>
      <x:c r="J191" s="7" t="str"/>
      <x:c r="K191" s="7" t="str"/>
      <x:c r="L191" s="7" t="str">
        <x:f>IF(K191="","OPEN",IF(OR(G191="",NOT(ISNUMBER(H191)),I191&lt;&gt;"SAFE",NOT(ISNUMBER(J191))),"FAIL","PASS"))</x:f>
        <x:v>OPEN</x:v>
      </x:c>
    </x:row>
    <x:row r="192">
      <x:c r="B192" s="7" t="str">
        <x:v>ELM-PEA-C-Y1-06</x:v>
      </x:c>
      <x:c r="C192" s="7" t="str">
        <x:v>PEA-C-Y1</x:v>
      </x:c>
      <x:c r="D192" s="7" t="str">
        <x:v>BLD-C</x:v>
      </x:c>
      <x:c r="E192" s="7" t="str">
        <x:v>BL-Y</x:v>
      </x:c>
      <x:c r="F192" s="7" t="n">
        <x:v>6</x:v>
      </x:c>
      <x:c r="G192" s="7" t="str"/>
      <x:c r="H192" s="7" t="str"/>
      <x:c r="I192" s="7" t="str"/>
      <x:c r="J192" s="7" t="str"/>
      <x:c r="K192" s="7" t="str"/>
      <x:c r="L192" s="7" t="str">
        <x:f>IF(K192="","OPEN",IF(OR(G192="",NOT(ISNUMBER(H192)),I192&lt;&gt;"SAFE",NOT(ISNUMBER(J192))),"FAIL","PASS"))</x:f>
        <x:v>OPEN</x:v>
      </x:c>
    </x:row>
    <x:row r="193">
      <x:c r="B193" s="7" t="str">
        <x:v>ELM-PEA-C-Y1-07</x:v>
      </x:c>
      <x:c r="C193" s="7" t="str">
        <x:v>PEA-C-Y1</x:v>
      </x:c>
      <x:c r="D193" s="7" t="str">
        <x:v>BLD-C</x:v>
      </x:c>
      <x:c r="E193" s="7" t="str">
        <x:v>BL-Y</x:v>
      </x:c>
      <x:c r="F193" s="7" t="n">
        <x:v>7</x:v>
      </x:c>
      <x:c r="G193" s="7" t="str"/>
      <x:c r="H193" s="7" t="str"/>
      <x:c r="I193" s="7" t="str"/>
      <x:c r="J193" s="7" t="str"/>
      <x:c r="K193" s="7" t="str"/>
      <x:c r="L193" s="7" t="str">
        <x:f>IF(K193="","OPEN",IF(OR(G193="",NOT(ISNUMBER(H193)),I193&lt;&gt;"SAFE",NOT(ISNUMBER(J193))),"FAIL","PASS"))</x:f>
        <x:v>OPEN</x:v>
      </x:c>
    </x:row>
    <x:row r="194">
      <x:c r="B194" s="7" t="str">
        <x:v>ELM-PEA-C-Y1-08</x:v>
      </x:c>
      <x:c r="C194" s="7" t="str">
        <x:v>PEA-C-Y1</x:v>
      </x:c>
      <x:c r="D194" s="7" t="str">
        <x:v>BLD-C</x:v>
      </x:c>
      <x:c r="E194" s="7" t="str">
        <x:v>BL-Y</x:v>
      </x:c>
      <x:c r="F194" s="7" t="n">
        <x:v>8</x:v>
      </x:c>
      <x:c r="G194" s="7" t="str"/>
      <x:c r="H194" s="7" t="str"/>
      <x:c r="I194" s="7" t="str"/>
      <x:c r="J194" s="7" t="str"/>
      <x:c r="K194" s="7" t="str"/>
      <x:c r="L194" s="7" t="str">
        <x:f>IF(K194="","OPEN",IF(OR(G194="",NOT(ISNUMBER(H194)),I194&lt;&gt;"SAFE",NOT(ISNUMBER(J194))),"FAIL","PASS"))</x:f>
        <x:v>OPEN</x:v>
      </x:c>
    </x:row>
    <x:row r="195">
      <x:c r="B195" s="7" t="str">
        <x:v>ELM-PEA-C-Y1-09</x:v>
      </x:c>
      <x:c r="C195" s="7" t="str">
        <x:v>PEA-C-Y1</x:v>
      </x:c>
      <x:c r="D195" s="7" t="str">
        <x:v>BLD-C</x:v>
      </x:c>
      <x:c r="E195" s="7" t="str">
        <x:v>BL-Y</x:v>
      </x:c>
      <x:c r="F195" s="7" t="n">
        <x:v>9</x:v>
      </x:c>
      <x:c r="G195" s="7" t="str"/>
      <x:c r="H195" s="7" t="str"/>
      <x:c r="I195" s="7" t="str"/>
      <x:c r="J195" s="7" t="str"/>
      <x:c r="K195" s="7" t="str"/>
      <x:c r="L195" s="7" t="str">
        <x:f>IF(K195="","OPEN",IF(OR(G195="",NOT(ISNUMBER(H195)),I195&lt;&gt;"SAFE",NOT(ISNUMBER(J195))),"FAIL","PASS"))</x:f>
        <x:v>OPEN</x:v>
      </x:c>
    </x:row>
    <x:row r="196">
      <x:c r="B196" s="7" t="str">
        <x:v>ELM-PEA-C-Y1-10</x:v>
      </x:c>
      <x:c r="C196" s="7" t="str">
        <x:v>PEA-C-Y1</x:v>
      </x:c>
      <x:c r="D196" s="7" t="str">
        <x:v>BLD-C</x:v>
      </x:c>
      <x:c r="E196" s="7" t="str">
        <x:v>BL-Y</x:v>
      </x:c>
      <x:c r="F196" s="7" t="n">
        <x:v>10</x:v>
      </x:c>
      <x:c r="G196" s="7" t="str"/>
      <x:c r="H196" s="7" t="str"/>
      <x:c r="I196" s="7" t="str"/>
      <x:c r="J196" s="7" t="str"/>
      <x:c r="K196" s="7" t="str"/>
      <x:c r="L196" s="7" t="str">
        <x:f>IF(K196="","OPEN",IF(OR(G196="",NOT(ISNUMBER(H196)),I196&lt;&gt;"SAFE",NOT(ISNUMBER(J196))),"FAIL","PASS"))</x:f>
        <x:v>OPEN</x:v>
      </x:c>
    </x:row>
    <x:row r="197">
      <x:c r="B197" s="7" t="str">
        <x:v>ELM-PEA-C-Y1-11</x:v>
      </x:c>
      <x:c r="C197" s="7" t="str">
        <x:v>PEA-C-Y1</x:v>
      </x:c>
      <x:c r="D197" s="7" t="str">
        <x:v>BLD-C</x:v>
      </x:c>
      <x:c r="E197" s="7" t="str">
        <x:v>BL-Y</x:v>
      </x:c>
      <x:c r="F197" s="7" t="n">
        <x:v>11</x:v>
      </x:c>
      <x:c r="G197" s="7" t="str"/>
      <x:c r="H197" s="7" t="str"/>
      <x:c r="I197" s="7" t="str"/>
      <x:c r="J197" s="7" t="str"/>
      <x:c r="K197" s="7" t="str"/>
      <x:c r="L197" s="7" t="str">
        <x:f>IF(K197="","OPEN",IF(OR(G197="",NOT(ISNUMBER(H197)),I197&lt;&gt;"SAFE",NOT(ISNUMBER(J197))),"FAIL","PASS"))</x:f>
        <x:v>OPEN</x:v>
      </x:c>
    </x:row>
    <x:row r="198">
      <x:c r="B198" s="7" t="str">
        <x:v>ELM-PEA-C-Y1-12</x:v>
      </x:c>
      <x:c r="C198" s="7" t="str">
        <x:v>PEA-C-Y1</x:v>
      </x:c>
      <x:c r="D198" s="7" t="str">
        <x:v>BLD-C</x:v>
      </x:c>
      <x:c r="E198" s="7" t="str">
        <x:v>BL-Y</x:v>
      </x:c>
      <x:c r="F198" s="7" t="n">
        <x:v>12</x:v>
      </x:c>
      <x:c r="G198" s="7" t="str"/>
      <x:c r="H198" s="7" t="str"/>
      <x:c r="I198" s="7" t="str"/>
      <x:c r="J198" s="7" t="str"/>
      <x:c r="K198" s="7" t="str"/>
      <x:c r="L198" s="7" t="str">
        <x:f>IF(K198="","OPEN",IF(OR(G198="",NOT(ISNUMBER(H198)),I198&lt;&gt;"SAFE",NOT(ISNUMBER(J198))),"FAIL","PASS"))</x:f>
        <x:v>OPEN</x:v>
      </x:c>
    </x:row>
    <x:row r="199">
      <x:c r="B199" s="7" t="str">
        <x:v>ELM-PEA-C-Y2-01</x:v>
      </x:c>
      <x:c r="C199" s="7" t="str">
        <x:v>PEA-C-Y2</x:v>
      </x:c>
      <x:c r="D199" s="7" t="str">
        <x:v>BLD-C</x:v>
      </x:c>
      <x:c r="E199" s="7" t="str">
        <x:v>BL-Y</x:v>
      </x:c>
      <x:c r="F199" s="7" t="n">
        <x:v>1</x:v>
      </x:c>
      <x:c r="G199" s="7" t="str"/>
      <x:c r="H199" s="7" t="str"/>
      <x:c r="I199" s="7" t="str"/>
      <x:c r="J199" s="7" t="str"/>
      <x:c r="K199" s="7" t="str"/>
      <x:c r="L199" s="7" t="str">
        <x:f>IF(K199="","OPEN",IF(OR(G199="",NOT(ISNUMBER(H199)),I199&lt;&gt;"SAFE",NOT(ISNUMBER(J199))),"FAIL","PASS"))</x:f>
        <x:v>OPEN</x:v>
      </x:c>
    </x:row>
    <x:row r="200">
      <x:c r="B200" s="7" t="str">
        <x:v>ELM-PEA-C-Y2-02</x:v>
      </x:c>
      <x:c r="C200" s="7" t="str">
        <x:v>PEA-C-Y2</x:v>
      </x:c>
      <x:c r="D200" s="7" t="str">
        <x:v>BLD-C</x:v>
      </x:c>
      <x:c r="E200" s="7" t="str">
        <x:v>BL-Y</x:v>
      </x:c>
      <x:c r="F200" s="7" t="n">
        <x:v>2</x:v>
      </x:c>
      <x:c r="G200" s="7" t="str"/>
      <x:c r="H200" s="7" t="str"/>
      <x:c r="I200" s="7" t="str"/>
      <x:c r="J200" s="7" t="str"/>
      <x:c r="K200" s="7" t="str"/>
      <x:c r="L200" s="7" t="str">
        <x:f>IF(K200="","OPEN",IF(OR(G200="",NOT(ISNUMBER(H200)),I200&lt;&gt;"SAFE",NOT(ISNUMBER(J200))),"FAIL","PASS"))</x:f>
        <x:v>OPEN</x:v>
      </x:c>
    </x:row>
    <x:row r="201">
      <x:c r="B201" s="7" t="str">
        <x:v>ELM-PEA-C-Y2-03</x:v>
      </x:c>
      <x:c r="C201" s="7" t="str">
        <x:v>PEA-C-Y2</x:v>
      </x:c>
      <x:c r="D201" s="7" t="str">
        <x:v>BLD-C</x:v>
      </x:c>
      <x:c r="E201" s="7" t="str">
        <x:v>BL-Y</x:v>
      </x:c>
      <x:c r="F201" s="7" t="n">
        <x:v>3</x:v>
      </x:c>
      <x:c r="G201" s="7" t="str"/>
      <x:c r="H201" s="7" t="str"/>
      <x:c r="I201" s="7" t="str"/>
      <x:c r="J201" s="7" t="str"/>
      <x:c r="K201" s="7" t="str"/>
      <x:c r="L201" s="7" t="str">
        <x:f>IF(K201="","OPEN",IF(OR(G201="",NOT(ISNUMBER(H201)),I201&lt;&gt;"SAFE",NOT(ISNUMBER(J201))),"FAIL","PASS"))</x:f>
        <x:v>OPEN</x:v>
      </x:c>
    </x:row>
    <x:row r="202">
      <x:c r="B202" s="7" t="str">
        <x:v>ELM-PEA-C-Y2-04</x:v>
      </x:c>
      <x:c r="C202" s="7" t="str">
        <x:v>PEA-C-Y2</x:v>
      </x:c>
      <x:c r="D202" s="7" t="str">
        <x:v>BLD-C</x:v>
      </x:c>
      <x:c r="E202" s="7" t="str">
        <x:v>BL-Y</x:v>
      </x:c>
      <x:c r="F202" s="7" t="n">
        <x:v>4</x:v>
      </x:c>
      <x:c r="G202" s="7" t="str"/>
      <x:c r="H202" s="7" t="str"/>
      <x:c r="I202" s="7" t="str"/>
      <x:c r="J202" s="7" t="str"/>
      <x:c r="K202" s="7" t="str"/>
      <x:c r="L202" s="7" t="str">
        <x:f>IF(K202="","OPEN",IF(OR(G202="",NOT(ISNUMBER(H202)),I202&lt;&gt;"SAFE",NOT(ISNUMBER(J202))),"FAIL","PASS"))</x:f>
        <x:v>OPEN</x:v>
      </x:c>
    </x:row>
    <x:row r="203">
      <x:c r="B203" s="7" t="str">
        <x:v>ELM-PEA-C-Y2-05</x:v>
      </x:c>
      <x:c r="C203" s="7" t="str">
        <x:v>PEA-C-Y2</x:v>
      </x:c>
      <x:c r="D203" s="7" t="str">
        <x:v>BLD-C</x:v>
      </x:c>
      <x:c r="E203" s="7" t="str">
        <x:v>BL-Y</x:v>
      </x:c>
      <x:c r="F203" s="7" t="n">
        <x:v>5</x:v>
      </x:c>
      <x:c r="G203" s="7" t="str"/>
      <x:c r="H203" s="7" t="str"/>
      <x:c r="I203" s="7" t="str"/>
      <x:c r="J203" s="7" t="str"/>
      <x:c r="K203" s="7" t="str"/>
      <x:c r="L203" s="7" t="str">
        <x:f>IF(K203="","OPEN",IF(OR(G203="",NOT(ISNUMBER(H203)),I203&lt;&gt;"SAFE",NOT(ISNUMBER(J203))),"FAIL","PASS"))</x:f>
        <x:v>OPEN</x:v>
      </x:c>
    </x:row>
    <x:row r="204">
      <x:c r="B204" s="7" t="str">
        <x:v>ELM-PEA-C-Y2-06</x:v>
      </x:c>
      <x:c r="C204" s="7" t="str">
        <x:v>PEA-C-Y2</x:v>
      </x:c>
      <x:c r="D204" s="7" t="str">
        <x:v>BLD-C</x:v>
      </x:c>
      <x:c r="E204" s="7" t="str">
        <x:v>BL-Y</x:v>
      </x:c>
      <x:c r="F204" s="7" t="n">
        <x:v>6</x:v>
      </x:c>
      <x:c r="G204" s="7" t="str"/>
      <x:c r="H204" s="7" t="str"/>
      <x:c r="I204" s="7" t="str"/>
      <x:c r="J204" s="7" t="str"/>
      <x:c r="K204" s="7" t="str"/>
      <x:c r="L204" s="7" t="str">
        <x:f>IF(K204="","OPEN",IF(OR(G204="",NOT(ISNUMBER(H204)),I204&lt;&gt;"SAFE",NOT(ISNUMBER(J204))),"FAIL","PASS"))</x:f>
        <x:v>OPEN</x:v>
      </x:c>
    </x:row>
    <x:row r="205">
      <x:c r="B205" s="7" t="str">
        <x:v>ELM-PEA-C-Y2-07</x:v>
      </x:c>
      <x:c r="C205" s="7" t="str">
        <x:v>PEA-C-Y2</x:v>
      </x:c>
      <x:c r="D205" s="7" t="str">
        <x:v>BLD-C</x:v>
      </x:c>
      <x:c r="E205" s="7" t="str">
        <x:v>BL-Y</x:v>
      </x:c>
      <x:c r="F205" s="7" t="n">
        <x:v>7</x:v>
      </x:c>
      <x:c r="G205" s="7" t="str"/>
      <x:c r="H205" s="7" t="str"/>
      <x:c r="I205" s="7" t="str"/>
      <x:c r="J205" s="7" t="str"/>
      <x:c r="K205" s="7" t="str"/>
      <x:c r="L205" s="7" t="str">
        <x:f>IF(K205="","OPEN",IF(OR(G205="",NOT(ISNUMBER(H205)),I205&lt;&gt;"SAFE",NOT(ISNUMBER(J205))),"FAIL","PASS"))</x:f>
        <x:v>OPEN</x:v>
      </x:c>
    </x:row>
    <x:row r="206">
      <x:c r="B206" s="7" t="str">
        <x:v>ELM-PEA-C-Y2-08</x:v>
      </x:c>
      <x:c r="C206" s="7" t="str">
        <x:v>PEA-C-Y2</x:v>
      </x:c>
      <x:c r="D206" s="7" t="str">
        <x:v>BLD-C</x:v>
      </x:c>
      <x:c r="E206" s="7" t="str">
        <x:v>BL-Y</x:v>
      </x:c>
      <x:c r="F206" s="7" t="n">
        <x:v>8</x:v>
      </x:c>
      <x:c r="G206" s="7" t="str"/>
      <x:c r="H206" s="7" t="str"/>
      <x:c r="I206" s="7" t="str"/>
      <x:c r="J206" s="7" t="str"/>
      <x:c r="K206" s="7" t="str"/>
      <x:c r="L206" s="7" t="str">
        <x:f>IF(K206="","OPEN",IF(OR(G206="",NOT(ISNUMBER(H206)),I206&lt;&gt;"SAFE",NOT(ISNUMBER(J206))),"FAIL","PASS"))</x:f>
        <x:v>OPEN</x:v>
      </x:c>
    </x:row>
    <x:row r="207">
      <x:c r="B207" s="7" t="str">
        <x:v>ELM-PEA-C-Y2-09</x:v>
      </x:c>
      <x:c r="C207" s="7" t="str">
        <x:v>PEA-C-Y2</x:v>
      </x:c>
      <x:c r="D207" s="7" t="str">
        <x:v>BLD-C</x:v>
      </x:c>
      <x:c r="E207" s="7" t="str">
        <x:v>BL-Y</x:v>
      </x:c>
      <x:c r="F207" s="7" t="n">
        <x:v>9</x:v>
      </x:c>
      <x:c r="G207" s="7" t="str"/>
      <x:c r="H207" s="7" t="str"/>
      <x:c r="I207" s="7" t="str"/>
      <x:c r="J207" s="7" t="str"/>
      <x:c r="K207" s="7" t="str"/>
      <x:c r="L207" s="7" t="str">
        <x:f>IF(K207="","OPEN",IF(OR(G207="",NOT(ISNUMBER(H207)),I207&lt;&gt;"SAFE",NOT(ISNUMBER(J207))),"FAIL","PASS"))</x:f>
        <x:v>OPEN</x:v>
      </x:c>
    </x:row>
    <x:row r="208">
      <x:c r="B208" s="7" t="str">
        <x:v>ELM-PEA-C-Y2-10</x:v>
      </x:c>
      <x:c r="C208" s="7" t="str">
        <x:v>PEA-C-Y2</x:v>
      </x:c>
      <x:c r="D208" s="7" t="str">
        <x:v>BLD-C</x:v>
      </x:c>
      <x:c r="E208" s="7" t="str">
        <x:v>BL-Y</x:v>
      </x:c>
      <x:c r="F208" s="7" t="n">
        <x:v>10</x:v>
      </x:c>
      <x:c r="G208" s="7" t="str"/>
      <x:c r="H208" s="7" t="str"/>
      <x:c r="I208" s="7" t="str"/>
      <x:c r="J208" s="7" t="str"/>
      <x:c r="K208" s="7" t="str"/>
      <x:c r="L208" s="7" t="str">
        <x:f>IF(K208="","OPEN",IF(OR(G208="",NOT(ISNUMBER(H208)),I208&lt;&gt;"SAFE",NOT(ISNUMBER(J208))),"FAIL","PASS"))</x:f>
        <x:v>OPEN</x:v>
      </x:c>
    </x:row>
    <x:row r="209">
      <x:c r="B209" s="7" t="str">
        <x:v>ELM-PEA-C-Y2-11</x:v>
      </x:c>
      <x:c r="C209" s="7" t="str">
        <x:v>PEA-C-Y2</x:v>
      </x:c>
      <x:c r="D209" s="7" t="str">
        <x:v>BLD-C</x:v>
      </x:c>
      <x:c r="E209" s="7" t="str">
        <x:v>BL-Y</x:v>
      </x:c>
      <x:c r="F209" s="7" t="n">
        <x:v>11</x:v>
      </x:c>
      <x:c r="G209" s="7" t="str"/>
      <x:c r="H209" s="7" t="str"/>
      <x:c r="I209" s="7" t="str"/>
      <x:c r="J209" s="7" t="str"/>
      <x:c r="K209" s="7" t="str"/>
      <x:c r="L209" s="7" t="str">
        <x:f>IF(K209="","OPEN",IF(OR(G209="",NOT(ISNUMBER(H209)),I209&lt;&gt;"SAFE",NOT(ISNUMBER(J209))),"FAIL","PASS"))</x:f>
        <x:v>OPEN</x:v>
      </x:c>
    </x:row>
    <x:row r="210">
      <x:c r="B210" s="7" t="str">
        <x:v>ELM-PEA-C-Y2-12</x:v>
      </x:c>
      <x:c r="C210" s="7" t="str">
        <x:v>PEA-C-Y2</x:v>
      </x:c>
      <x:c r="D210" s="7" t="str">
        <x:v>BLD-C</x:v>
      </x:c>
      <x:c r="E210" s="7" t="str">
        <x:v>BL-Y</x:v>
      </x:c>
      <x:c r="F210" s="7" t="n">
        <x:v>12</x:v>
      </x:c>
      <x:c r="G210" s="7" t="str"/>
      <x:c r="H210" s="7" t="str"/>
      <x:c r="I210" s="7" t="str"/>
      <x:c r="J210" s="7" t="str"/>
      <x:c r="K210" s="7" t="str"/>
      <x:c r="L210" s="7" t="str">
        <x:f>IF(K210="","OPEN",IF(OR(G210="",NOT(ISNUMBER(H210)),I210&lt;&gt;"SAFE",NOT(ISNUMBER(J210))),"FAIL","PASS"))</x:f>
        <x:v>OPEN</x:v>
      </x:c>
    </x:row>
    <x:row r="211">
      <x:c r="B211" s="7" t="str">
        <x:v>ELM-PEA-C-Y3-01</x:v>
      </x:c>
      <x:c r="C211" s="7" t="str">
        <x:v>PEA-C-Y3</x:v>
      </x:c>
      <x:c r="D211" s="7" t="str">
        <x:v>BLD-C</x:v>
      </x:c>
      <x:c r="E211" s="7" t="str">
        <x:v>BL-Y</x:v>
      </x:c>
      <x:c r="F211" s="7" t="n">
        <x:v>1</x:v>
      </x:c>
      <x:c r="G211" s="7" t="str"/>
      <x:c r="H211" s="7" t="str"/>
      <x:c r="I211" s="7" t="str"/>
      <x:c r="J211" s="7" t="str"/>
      <x:c r="K211" s="7" t="str"/>
      <x:c r="L211" s="7" t="str">
        <x:f>IF(K211="","OPEN",IF(OR(G211="",NOT(ISNUMBER(H211)),I211&lt;&gt;"SAFE",NOT(ISNUMBER(J211))),"FAIL","PASS"))</x:f>
        <x:v>OPEN</x:v>
      </x:c>
    </x:row>
    <x:row r="212">
      <x:c r="B212" s="7" t="str">
        <x:v>ELM-PEA-C-Y3-02</x:v>
      </x:c>
      <x:c r="C212" s="7" t="str">
        <x:v>PEA-C-Y3</x:v>
      </x:c>
      <x:c r="D212" s="7" t="str">
        <x:v>BLD-C</x:v>
      </x:c>
      <x:c r="E212" s="7" t="str">
        <x:v>BL-Y</x:v>
      </x:c>
      <x:c r="F212" s="7" t="n">
        <x:v>2</x:v>
      </x:c>
      <x:c r="G212" s="7" t="str"/>
      <x:c r="H212" s="7" t="str"/>
      <x:c r="I212" s="7" t="str"/>
      <x:c r="J212" s="7" t="str"/>
      <x:c r="K212" s="7" t="str"/>
      <x:c r="L212" s="7" t="str">
        <x:f>IF(K212="","OPEN",IF(OR(G212="",NOT(ISNUMBER(H212)),I212&lt;&gt;"SAFE",NOT(ISNUMBER(J212))),"FAIL","PASS"))</x:f>
        <x:v>OPEN</x:v>
      </x:c>
    </x:row>
    <x:row r="213">
      <x:c r="B213" s="7" t="str">
        <x:v>ELM-PEA-C-Y3-03</x:v>
      </x:c>
      <x:c r="C213" s="7" t="str">
        <x:v>PEA-C-Y3</x:v>
      </x:c>
      <x:c r="D213" s="7" t="str">
        <x:v>BLD-C</x:v>
      </x:c>
      <x:c r="E213" s="7" t="str">
        <x:v>BL-Y</x:v>
      </x:c>
      <x:c r="F213" s="7" t="n">
        <x:v>3</x:v>
      </x:c>
      <x:c r="G213" s="7" t="str"/>
      <x:c r="H213" s="7" t="str"/>
      <x:c r="I213" s="7" t="str"/>
      <x:c r="J213" s="7" t="str"/>
      <x:c r="K213" s="7" t="str"/>
      <x:c r="L213" s="7" t="str">
        <x:f>IF(K213="","OPEN",IF(OR(G213="",NOT(ISNUMBER(H213)),I213&lt;&gt;"SAFE",NOT(ISNUMBER(J213))),"FAIL","PASS"))</x:f>
        <x:v>OPEN</x:v>
      </x:c>
    </x:row>
    <x:row r="214">
      <x:c r="B214" s="7" t="str">
        <x:v>ELM-PEA-C-Y3-04</x:v>
      </x:c>
      <x:c r="C214" s="7" t="str">
        <x:v>PEA-C-Y3</x:v>
      </x:c>
      <x:c r="D214" s="7" t="str">
        <x:v>BLD-C</x:v>
      </x:c>
      <x:c r="E214" s="7" t="str">
        <x:v>BL-Y</x:v>
      </x:c>
      <x:c r="F214" s="7" t="n">
        <x:v>4</x:v>
      </x:c>
      <x:c r="G214" s="7" t="str"/>
      <x:c r="H214" s="7" t="str"/>
      <x:c r="I214" s="7" t="str"/>
      <x:c r="J214" s="7" t="str"/>
      <x:c r="K214" s="7" t="str"/>
      <x:c r="L214" s="7" t="str">
        <x:f>IF(K214="","OPEN",IF(OR(G214="",NOT(ISNUMBER(H214)),I214&lt;&gt;"SAFE",NOT(ISNUMBER(J214))),"FAIL","PASS"))</x:f>
        <x:v>OPEN</x:v>
      </x:c>
    </x:row>
    <x:row r="215">
      <x:c r="B215" s="7" t="str">
        <x:v>ELM-PEA-C-Y3-05</x:v>
      </x:c>
      <x:c r="C215" s="7" t="str">
        <x:v>PEA-C-Y3</x:v>
      </x:c>
      <x:c r="D215" s="7" t="str">
        <x:v>BLD-C</x:v>
      </x:c>
      <x:c r="E215" s="7" t="str">
        <x:v>BL-Y</x:v>
      </x:c>
      <x:c r="F215" s="7" t="n">
        <x:v>5</x:v>
      </x:c>
      <x:c r="G215" s="7" t="str"/>
      <x:c r="H215" s="7" t="str"/>
      <x:c r="I215" s="7" t="str"/>
      <x:c r="J215" s="7" t="str"/>
      <x:c r="K215" s="7" t="str"/>
      <x:c r="L215" s="7" t="str">
        <x:f>IF(K215="","OPEN",IF(OR(G215="",NOT(ISNUMBER(H215)),I215&lt;&gt;"SAFE",NOT(ISNUMBER(J215))),"FAIL","PASS"))</x:f>
        <x:v>OPEN</x:v>
      </x:c>
    </x:row>
    <x:row r="216">
      <x:c r="B216" s="7" t="str">
        <x:v>ELM-PEA-C-Y3-06</x:v>
      </x:c>
      <x:c r="C216" s="7" t="str">
        <x:v>PEA-C-Y3</x:v>
      </x:c>
      <x:c r="D216" s="7" t="str">
        <x:v>BLD-C</x:v>
      </x:c>
      <x:c r="E216" s="7" t="str">
        <x:v>BL-Y</x:v>
      </x:c>
      <x:c r="F216" s="7" t="n">
        <x:v>6</x:v>
      </x:c>
      <x:c r="G216" s="7" t="str"/>
      <x:c r="H216" s="7" t="str"/>
      <x:c r="I216" s="7" t="str"/>
      <x:c r="J216" s="7" t="str"/>
      <x:c r="K216" s="7" t="str"/>
      <x:c r="L216" s="7" t="str">
        <x:f>IF(K216="","OPEN",IF(OR(G216="",NOT(ISNUMBER(H216)),I216&lt;&gt;"SAFE",NOT(ISNUMBER(J216))),"FAIL","PASS"))</x:f>
        <x:v>OPEN</x:v>
      </x:c>
    </x:row>
    <x:row r="217">
      <x:c r="B217" s="7" t="str">
        <x:v>ELM-PEA-C-Y3-07</x:v>
      </x:c>
      <x:c r="C217" s="7" t="str">
        <x:v>PEA-C-Y3</x:v>
      </x:c>
      <x:c r="D217" s="7" t="str">
        <x:v>BLD-C</x:v>
      </x:c>
      <x:c r="E217" s="7" t="str">
        <x:v>BL-Y</x:v>
      </x:c>
      <x:c r="F217" s="7" t="n">
        <x:v>7</x:v>
      </x:c>
      <x:c r="G217" s="7" t="str"/>
      <x:c r="H217" s="7" t="str"/>
      <x:c r="I217" s="7" t="str"/>
      <x:c r="J217" s="7" t="str"/>
      <x:c r="K217" s="7" t="str"/>
      <x:c r="L217" s="7" t="str">
        <x:f>IF(K217="","OPEN",IF(OR(G217="",NOT(ISNUMBER(H217)),I217&lt;&gt;"SAFE",NOT(ISNUMBER(J217))),"FAIL","PASS"))</x:f>
        <x:v>OPEN</x:v>
      </x:c>
    </x:row>
    <x:row r="218">
      <x:c r="B218" s="7" t="str">
        <x:v>ELM-PEA-C-Y3-08</x:v>
      </x:c>
      <x:c r="C218" s="7" t="str">
        <x:v>PEA-C-Y3</x:v>
      </x:c>
      <x:c r="D218" s="7" t="str">
        <x:v>BLD-C</x:v>
      </x:c>
      <x:c r="E218" s="7" t="str">
        <x:v>BL-Y</x:v>
      </x:c>
      <x:c r="F218" s="7" t="n">
        <x:v>8</x:v>
      </x:c>
      <x:c r="G218" s="7" t="str"/>
      <x:c r="H218" s="7" t="str"/>
      <x:c r="I218" s="7" t="str"/>
      <x:c r="J218" s="7" t="str"/>
      <x:c r="K218" s="7" t="str"/>
      <x:c r="L218" s="7" t="str">
        <x:f>IF(K218="","OPEN",IF(OR(G218="",NOT(ISNUMBER(H218)),I218&lt;&gt;"SAFE",NOT(ISNUMBER(J218))),"FAIL","PASS"))</x:f>
        <x:v>OPEN</x:v>
      </x:c>
    </x:row>
    <x:row r="219">
      <x:c r="B219" s="7" t="str">
        <x:v>ELM-PEA-C-Y3-09</x:v>
      </x:c>
      <x:c r="C219" s="7" t="str">
        <x:v>PEA-C-Y3</x:v>
      </x:c>
      <x:c r="D219" s="7" t="str">
        <x:v>BLD-C</x:v>
      </x:c>
      <x:c r="E219" s="7" t="str">
        <x:v>BL-Y</x:v>
      </x:c>
      <x:c r="F219" s="7" t="n">
        <x:v>9</x:v>
      </x:c>
      <x:c r="G219" s="7" t="str"/>
      <x:c r="H219" s="7" t="str"/>
      <x:c r="I219" s="7" t="str"/>
      <x:c r="J219" s="7" t="str"/>
      <x:c r="K219" s="7" t="str"/>
      <x:c r="L219" s="7" t="str">
        <x:f>IF(K219="","OPEN",IF(OR(G219="",NOT(ISNUMBER(H219)),I219&lt;&gt;"SAFE",NOT(ISNUMBER(J219))),"FAIL","PASS"))</x:f>
        <x:v>OPEN</x:v>
      </x:c>
    </x:row>
    <x:row r="220">
      <x:c r="B220" s="7" t="str">
        <x:v>ELM-PEA-C-Y3-10</x:v>
      </x:c>
      <x:c r="C220" s="7" t="str">
        <x:v>PEA-C-Y3</x:v>
      </x:c>
      <x:c r="D220" s="7" t="str">
        <x:v>BLD-C</x:v>
      </x:c>
      <x:c r="E220" s="7" t="str">
        <x:v>BL-Y</x:v>
      </x:c>
      <x:c r="F220" s="7" t="n">
        <x:v>10</x:v>
      </x:c>
      <x:c r="G220" s="7" t="str"/>
      <x:c r="H220" s="7" t="str"/>
      <x:c r="I220" s="7" t="str"/>
      <x:c r="J220" s="7" t="str"/>
      <x:c r="K220" s="7" t="str"/>
      <x:c r="L220" s="7" t="str">
        <x:f>IF(K220="","OPEN",IF(OR(G220="",NOT(ISNUMBER(H220)),I220&lt;&gt;"SAFE",NOT(ISNUMBER(J220))),"FAIL","PASS"))</x:f>
        <x:v>OPEN</x:v>
      </x:c>
    </x:row>
    <x:row r="221">
      <x:c r="B221" s="7" t="str">
        <x:v>ELM-PEA-C-Y3-11</x:v>
      </x:c>
      <x:c r="C221" s="7" t="str">
        <x:v>PEA-C-Y3</x:v>
      </x:c>
      <x:c r="D221" s="7" t="str">
        <x:v>BLD-C</x:v>
      </x:c>
      <x:c r="E221" s="7" t="str">
        <x:v>BL-Y</x:v>
      </x:c>
      <x:c r="F221" s="7" t="n">
        <x:v>11</x:v>
      </x:c>
      <x:c r="G221" s="7" t="str"/>
      <x:c r="H221" s="7" t="str"/>
      <x:c r="I221" s="7" t="str"/>
      <x:c r="J221" s="7" t="str"/>
      <x:c r="K221" s="7" t="str"/>
      <x:c r="L221" s="7" t="str">
        <x:f>IF(K221="","OPEN",IF(OR(G221="",NOT(ISNUMBER(H221)),I221&lt;&gt;"SAFE",NOT(ISNUMBER(J221))),"FAIL","PASS"))</x:f>
        <x:v>OPEN</x:v>
      </x:c>
    </x:row>
    <x:row r="222">
      <x:c r="B222" s="7" t="str">
        <x:v>ELM-PEA-C-Y3-12</x:v>
      </x:c>
      <x:c r="C222" s="7" t="str">
        <x:v>PEA-C-Y3</x:v>
      </x:c>
      <x:c r="D222" s="7" t="str">
        <x:v>BLD-C</x:v>
      </x:c>
      <x:c r="E222" s="7" t="str">
        <x:v>BL-Y</x:v>
      </x:c>
      <x:c r="F222" s="7" t="n">
        <x:v>12</x:v>
      </x:c>
      <x:c r="G222" s="7" t="str"/>
      <x:c r="H222" s="7" t="str"/>
      <x:c r="I222" s="7" t="str"/>
      <x:c r="J222" s="7" t="str"/>
      <x:c r="K222" s="7" t="str"/>
      <x:c r="L222" s="7" t="str">
        <x:f>IF(K222="","OPEN",IF(OR(G222="",NOT(ISNUMBER(H222)),I222&lt;&gt;"SAFE",NOT(ISNUMBER(J222))),"FAIL","PASS"))</x:f>
        <x:v>OPEN</x:v>
      </x:c>
    </x:row>
  </x:sheetData>
  <x:conditionalFormatting sqref="L7:L222">
    <x:cfRule type="containsText" dxfId="84" priority="1" operator="containsText" text="FAIL"/>
    <x:cfRule type="containsText" dxfId="85" priority="2" operator="containsText" text="BLOCKED"/>
    <x:cfRule type="containsText" dxfId="86" priority="3" operator="containsText" text="OPEN"/>
    <x:cfRule type="containsText" dxfId="87" priority="4" operator="containsText" text="DORMANT"/>
    <x:cfRule type="containsText" dxfId="88" priority="5" operator="containsText" text="REVIEW"/>
    <x:cfRule type="containsText" dxfId="89" priority="6" operator="containsText" text="PASS"/>
  </x:conditionalFormatting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31" hidden="0" customWidth="1"/>
    <x:col min="3" max="3" width="17" hidden="0" customWidth="1"/>
    <x:col min="4" max="4" width="14" hidden="0" customWidth="1"/>
    <x:col min="5" max="5" width="13" hidden="0" customWidth="1"/>
    <x:col min="6" max="6" width="14" hidden="0" customWidth="1"/>
    <x:col min="7" max="7" width="33" hidden="0" customWidth="1"/>
    <x:col min="8" max="8" width="13" hidden="0" customWidth="1"/>
    <x:col min="9" max="9" width="24" hidden="0" customWidth="1"/>
    <x:col min="10" max="10" width="23" hidden="0" customWidth="1"/>
    <x:col min="11" max="11" width="22" hidden="0" customWidth="1"/>
    <x:col min="12" max="12" width="22" hidden="0" customWidth="1"/>
    <x:col min="13" max="13" width="29" hidden="0" customWidth="1"/>
    <x:col min="14" max="14" width="35" hidden="0" customWidth="1"/>
    <x:col min="15" max="15" width="14" hidden="0" customWidth="1"/>
  </x:cols>
  <x:sheetData>
    <x:row r="2">
      <x:c r="B2" s="1" t="str">
        <x:v>Two thousand five hundred ninety-two installed channels</x:v>
      </x:c>
    </x:row>
    <x:row r="3">
      <x:c r="B3" s="2" t="str">
        <x:v>Factory installation preserves serial, datum, power, time, calibration and both native evidence destinations.</x:v>
      </x:c>
    </x:row>
    <x:row r="6" ht="24" customHeight="1">
      <x:c r="B6" s="6" t="str">
        <x:v>Channel</x:v>
      </x:c>
      <x:c r="C6" s="6" t="str">
        <x:v>Article</x:v>
      </x:c>
      <x:c r="D6" s="6" t="str">
        <x:v>Builder</x:v>
      </x:c>
      <x:c r="E6" s="6" t="str">
        <x:v>Lineage</x:v>
      </x:c>
      <x:c r="F6" s="6" t="str">
        <x:v>Family</x:v>
      </x:c>
      <x:c r="G6" s="6" t="str">
        <x:v>Measurement</x:v>
      </x:c>
      <x:c r="H6" s="6" t="str">
        <x:v>Instance</x:v>
      </x:c>
      <x:c r="I6" s="6" t="str">
        <x:v>Sensor serial</x:v>
      </x:c>
      <x:c r="J6" s="6" t="str">
        <x:v>Mount datum</x:v>
      </x:c>
      <x:c r="K6" s="6" t="str">
        <x:v>Power path</x:v>
      </x:c>
      <x:c r="L6" s="6" t="str">
        <x:v>Time path</x:v>
      </x:c>
      <x:c r="M6" s="6" t="str">
        <x:v>Calibration identity</x:v>
      </x:c>
      <x:c r="N6" s="6" t="str">
        <x:v>Evidence roots</x:v>
      </x:c>
      <x:c r="O6" s="6" t="str">
        <x:v>State</x:v>
      </x:c>
    </x:row>
    <x:row r="7">
      <x:c r="B7" s="7" t="str">
        <x:v>CH-PEA-A-X1-01-1</x:v>
      </x:c>
      <x:c r="C7" s="7" t="str">
        <x:v>PEA-A-X1</x:v>
      </x:c>
      <x:c r="D7" s="7" t="str">
        <x:v>BLD-A</x:v>
      </x:c>
      <x:c r="E7" s="7" t="str">
        <x:v>BL-X</x:v>
      </x:c>
      <x:c r="F7" s="7" t="str">
        <x:v>MF-01</x:v>
      </x:c>
      <x:c r="G7" s="7" t="str">
        <x:v>source vessel mass</x:v>
      </x:c>
      <x:c r="H7" s="7" t="n">
        <x:v>1</x:v>
      </x:c>
      <x:c r="I7" s="7" t="str"/>
      <x:c r="J7" s="7" t="str"/>
      <x:c r="K7" s="7" t="str"/>
      <x:c r="L7" s="7" t="str"/>
      <x:c r="M7" s="7" t="str"/>
      <x:c r="N7" s="7" t="str"/>
      <x:c r="O7" s="7" t="str">
        <x:f>IF(N7="","OPEN",IF(OR(I7="",J7="",K7="",L7="",M7=""),"FAIL","PASS"))</x:f>
        <x:v>OPEN</x:v>
      </x:c>
    </x:row>
    <x:row r="8">
      <x:c r="B8" s="7" t="str">
        <x:v>CH-PEA-A-X1-01-2</x:v>
      </x:c>
      <x:c r="C8" s="7" t="str">
        <x:v>PEA-A-X1</x:v>
      </x:c>
      <x:c r="D8" s="7" t="str">
        <x:v>BLD-A</x:v>
      </x:c>
      <x:c r="E8" s="7" t="str">
        <x:v>BL-X</x:v>
      </x:c>
      <x:c r="F8" s="7" t="str">
        <x:v>MF-01</x:v>
      </x:c>
      <x:c r="G8" s="7" t="str">
        <x:v>source vessel mass</x:v>
      </x:c>
      <x:c r="H8" s="7" t="n">
        <x:v>2</x:v>
      </x:c>
      <x:c r="I8" s="7" t="str"/>
      <x:c r="J8" s="7" t="str"/>
      <x:c r="K8" s="7" t="str"/>
      <x:c r="L8" s="7" t="str"/>
      <x:c r="M8" s="7" t="str"/>
      <x:c r="N8" s="7" t="str"/>
      <x:c r="O8" s="7" t="str">
        <x:f>IF(N8="","OPEN",IF(OR(I8="",J8="",K8="",L8="",M8=""),"FAIL","PASS"))</x:f>
        <x:v>OPEN</x:v>
      </x:c>
    </x:row>
    <x:row r="9">
      <x:c r="B9" s="7" t="str">
        <x:v>CH-PEA-A-X1-01-3</x:v>
      </x:c>
      <x:c r="C9" s="7" t="str">
        <x:v>PEA-A-X1</x:v>
      </x:c>
      <x:c r="D9" s="7" t="str">
        <x:v>BLD-A</x:v>
      </x:c>
      <x:c r="E9" s="7" t="str">
        <x:v>BL-X</x:v>
      </x:c>
      <x:c r="F9" s="7" t="str">
        <x:v>MF-01</x:v>
      </x:c>
      <x:c r="G9" s="7" t="str">
        <x:v>source vessel mass</x:v>
      </x:c>
      <x:c r="H9" s="7" t="n">
        <x:v>3</x:v>
      </x:c>
      <x:c r="I9" s="7" t="str"/>
      <x:c r="J9" s="7" t="str"/>
      <x:c r="K9" s="7" t="str"/>
      <x:c r="L9" s="7" t="str"/>
      <x:c r="M9" s="7" t="str"/>
      <x:c r="N9" s="7" t="str"/>
      <x:c r="O9" s="7" t="str">
        <x:f>IF(N9="","OPEN",IF(OR(I9="",J9="",K9="",L9="",M9=""),"FAIL","PASS"))</x:f>
        <x:v>OPEN</x:v>
      </x:c>
    </x:row>
    <x:row r="10">
      <x:c r="B10" s="7" t="str">
        <x:v>CH-PEA-A-X1-01-4</x:v>
      </x:c>
      <x:c r="C10" s="7" t="str">
        <x:v>PEA-A-X1</x:v>
      </x:c>
      <x:c r="D10" s="7" t="str">
        <x:v>BLD-A</x:v>
      </x:c>
      <x:c r="E10" s="7" t="str">
        <x:v>BL-X</x:v>
      </x:c>
      <x:c r="F10" s="7" t="str">
        <x:v>MF-01</x:v>
      </x:c>
      <x:c r="G10" s="7" t="str">
        <x:v>source vessel mass</x:v>
      </x:c>
      <x:c r="H10" s="7" t="n">
        <x:v>4</x:v>
      </x:c>
      <x:c r="I10" s="7" t="str"/>
      <x:c r="J10" s="7" t="str"/>
      <x:c r="K10" s="7" t="str"/>
      <x:c r="L10" s="7" t="str"/>
      <x:c r="M10" s="7" t="str"/>
      <x:c r="N10" s="7" t="str"/>
      <x:c r="O10" s="7" t="str">
        <x:f>IF(N10="","OPEN",IF(OR(I10="",J10="",K10="",L10="",M10=""),"FAIL","PASS"))</x:f>
        <x:v>OPEN</x:v>
      </x:c>
    </x:row>
    <x:row r="11">
      <x:c r="B11" s="7" t="str">
        <x:v>CH-PEA-A-X1-01-5</x:v>
      </x:c>
      <x:c r="C11" s="7" t="str">
        <x:v>PEA-A-X1</x:v>
      </x:c>
      <x:c r="D11" s="7" t="str">
        <x:v>BLD-A</x:v>
      </x:c>
      <x:c r="E11" s="7" t="str">
        <x:v>BL-X</x:v>
      </x:c>
      <x:c r="F11" s="7" t="str">
        <x:v>MF-01</x:v>
      </x:c>
      <x:c r="G11" s="7" t="str">
        <x:v>source vessel mass</x:v>
      </x:c>
      <x:c r="H11" s="7" t="n">
        <x:v>5</x:v>
      </x:c>
      <x:c r="I11" s="7" t="str"/>
      <x:c r="J11" s="7" t="str"/>
      <x:c r="K11" s="7" t="str"/>
      <x:c r="L11" s="7" t="str"/>
      <x:c r="M11" s="7" t="str"/>
      <x:c r="N11" s="7" t="str"/>
      <x:c r="O11" s="7" t="str">
        <x:f>IF(N11="","OPEN",IF(OR(I11="",J11="",K11="",L11="",M11=""),"FAIL","PASS"))</x:f>
        <x:v>OPEN</x:v>
      </x:c>
    </x:row>
    <x:row r="12">
      <x:c r="B12" s="7" t="str">
        <x:v>CH-PEA-A-X1-01-6</x:v>
      </x:c>
      <x:c r="C12" s="7" t="str">
        <x:v>PEA-A-X1</x:v>
      </x:c>
      <x:c r="D12" s="7" t="str">
        <x:v>BLD-A</x:v>
      </x:c>
      <x:c r="E12" s="7" t="str">
        <x:v>BL-X</x:v>
      </x:c>
      <x:c r="F12" s="7" t="str">
        <x:v>MF-01</x:v>
      </x:c>
      <x:c r="G12" s="7" t="str">
        <x:v>source vessel mass</x:v>
      </x:c>
      <x:c r="H12" s="7" t="n">
        <x:v>6</x:v>
      </x:c>
      <x:c r="I12" s="7" t="str"/>
      <x:c r="J12" s="7" t="str"/>
      <x:c r="K12" s="7" t="str"/>
      <x:c r="L12" s="7" t="str"/>
      <x:c r="M12" s="7" t="str"/>
      <x:c r="N12" s="7" t="str"/>
      <x:c r="O12" s="7" t="str">
        <x:f>IF(N12="","OPEN",IF(OR(I12="",J12="",K12="",L12="",M12=""),"FAIL","PASS"))</x:f>
        <x:v>OPEN</x:v>
      </x:c>
    </x:row>
    <x:row r="13">
      <x:c r="B13" s="7" t="str">
        <x:v>CH-PEA-A-X1-02-1</x:v>
      </x:c>
      <x:c r="C13" s="7" t="str">
        <x:v>PEA-A-X1</x:v>
      </x:c>
      <x:c r="D13" s="7" t="str">
        <x:v>BLD-A</x:v>
      </x:c>
      <x:c r="E13" s="7" t="str">
        <x:v>BL-X</x:v>
      </x:c>
      <x:c r="F13" s="7" t="str">
        <x:v>MF-02</x:v>
      </x:c>
      <x:c r="G13" s="7" t="str">
        <x:v>transfer mass</x:v>
      </x:c>
      <x:c r="H13" s="7" t="n">
        <x:v>1</x:v>
      </x:c>
      <x:c r="I13" s="7" t="str"/>
      <x:c r="J13" s="7" t="str"/>
      <x:c r="K13" s="7" t="str"/>
      <x:c r="L13" s="7" t="str"/>
      <x:c r="M13" s="7" t="str"/>
      <x:c r="N13" s="7" t="str"/>
      <x:c r="O13" s="7" t="str">
        <x:f>IF(N13="","OPEN",IF(OR(I13="",J13="",K13="",L13="",M13=""),"FAIL","PASS"))</x:f>
        <x:v>OPEN</x:v>
      </x:c>
    </x:row>
    <x:row r="14">
      <x:c r="B14" s="7" t="str">
        <x:v>CH-PEA-A-X1-02-2</x:v>
      </x:c>
      <x:c r="C14" s="7" t="str">
        <x:v>PEA-A-X1</x:v>
      </x:c>
      <x:c r="D14" s="7" t="str">
        <x:v>BLD-A</x:v>
      </x:c>
      <x:c r="E14" s="7" t="str">
        <x:v>BL-X</x:v>
      </x:c>
      <x:c r="F14" s="7" t="str">
        <x:v>MF-02</x:v>
      </x:c>
      <x:c r="G14" s="7" t="str">
        <x:v>transfer mass</x:v>
      </x:c>
      <x:c r="H14" s="7" t="n">
        <x:v>2</x:v>
      </x:c>
      <x:c r="I14" s="7" t="str"/>
      <x:c r="J14" s="7" t="str"/>
      <x:c r="K14" s="7" t="str"/>
      <x:c r="L14" s="7" t="str"/>
      <x:c r="M14" s="7" t="str"/>
      <x:c r="N14" s="7" t="str"/>
      <x:c r="O14" s="7" t="str">
        <x:f>IF(N14="","OPEN",IF(OR(I14="",J14="",K14="",L14="",M14=""),"FAIL","PASS"))</x:f>
        <x:v>OPEN</x:v>
      </x:c>
    </x:row>
    <x:row r="15">
      <x:c r="B15" s="7" t="str">
        <x:v>CH-PEA-A-X1-02-3</x:v>
      </x:c>
      <x:c r="C15" s="7" t="str">
        <x:v>PEA-A-X1</x:v>
      </x:c>
      <x:c r="D15" s="7" t="str">
        <x:v>BLD-A</x:v>
      </x:c>
      <x:c r="E15" s="7" t="str">
        <x:v>BL-X</x:v>
      </x:c>
      <x:c r="F15" s="7" t="str">
        <x:v>MF-02</x:v>
      </x:c>
      <x:c r="G15" s="7" t="str">
        <x:v>transfer mass</x:v>
      </x:c>
      <x:c r="H15" s="7" t="n">
        <x:v>3</x:v>
      </x:c>
      <x:c r="I15" s="7" t="str"/>
      <x:c r="J15" s="7" t="str"/>
      <x:c r="K15" s="7" t="str"/>
      <x:c r="L15" s="7" t="str"/>
      <x:c r="M15" s="7" t="str"/>
      <x:c r="N15" s="7" t="str"/>
      <x:c r="O15" s="7" t="str">
        <x:f>IF(N15="","OPEN",IF(OR(I15="",J15="",K15="",L15="",M15=""),"FAIL","PASS"))</x:f>
        <x:v>OPEN</x:v>
      </x:c>
    </x:row>
    <x:row r="16">
      <x:c r="B16" s="7" t="str">
        <x:v>CH-PEA-A-X1-02-4</x:v>
      </x:c>
      <x:c r="C16" s="7" t="str">
        <x:v>PEA-A-X1</x:v>
      </x:c>
      <x:c r="D16" s="7" t="str">
        <x:v>BLD-A</x:v>
      </x:c>
      <x:c r="E16" s="7" t="str">
        <x:v>BL-X</x:v>
      </x:c>
      <x:c r="F16" s="7" t="str">
        <x:v>MF-02</x:v>
      </x:c>
      <x:c r="G16" s="7" t="str">
        <x:v>transfer mass</x:v>
      </x:c>
      <x:c r="H16" s="7" t="n">
        <x:v>4</x:v>
      </x:c>
      <x:c r="I16" s="7" t="str"/>
      <x:c r="J16" s="7" t="str"/>
      <x:c r="K16" s="7" t="str"/>
      <x:c r="L16" s="7" t="str"/>
      <x:c r="M16" s="7" t="str"/>
      <x:c r="N16" s="7" t="str"/>
      <x:c r="O16" s="7" t="str">
        <x:f>IF(N16="","OPEN",IF(OR(I16="",J16="",K16="",L16="",M16=""),"FAIL","PASS"))</x:f>
        <x:v>OPEN</x:v>
      </x:c>
    </x:row>
    <x:row r="17">
      <x:c r="B17" s="7" t="str">
        <x:v>CH-PEA-A-X1-02-5</x:v>
      </x:c>
      <x:c r="C17" s="7" t="str">
        <x:v>PEA-A-X1</x:v>
      </x:c>
      <x:c r="D17" s="7" t="str">
        <x:v>BLD-A</x:v>
      </x:c>
      <x:c r="E17" s="7" t="str">
        <x:v>BL-X</x:v>
      </x:c>
      <x:c r="F17" s="7" t="str">
        <x:v>MF-02</x:v>
      </x:c>
      <x:c r="G17" s="7" t="str">
        <x:v>transfer mass</x:v>
      </x:c>
      <x:c r="H17" s="7" t="n">
        <x:v>5</x:v>
      </x:c>
      <x:c r="I17" s="7" t="str"/>
      <x:c r="J17" s="7" t="str"/>
      <x:c r="K17" s="7" t="str"/>
      <x:c r="L17" s="7" t="str"/>
      <x:c r="M17" s="7" t="str"/>
      <x:c r="N17" s="7" t="str"/>
      <x:c r="O17" s="7" t="str">
        <x:f>IF(N17="","OPEN",IF(OR(I17="",J17="",K17="",L17="",M17=""),"FAIL","PASS"))</x:f>
        <x:v>OPEN</x:v>
      </x:c>
    </x:row>
    <x:row r="18">
      <x:c r="B18" s="7" t="str">
        <x:v>CH-PEA-A-X1-02-6</x:v>
      </x:c>
      <x:c r="C18" s="7" t="str">
        <x:v>PEA-A-X1</x:v>
      </x:c>
      <x:c r="D18" s="7" t="str">
        <x:v>BLD-A</x:v>
      </x:c>
      <x:c r="E18" s="7" t="str">
        <x:v>BL-X</x:v>
      </x:c>
      <x:c r="F18" s="7" t="str">
        <x:v>MF-02</x:v>
      </x:c>
      <x:c r="G18" s="7" t="str">
        <x:v>transfer mass</x:v>
      </x:c>
      <x:c r="H18" s="7" t="n">
        <x:v>6</x:v>
      </x:c>
      <x:c r="I18" s="7" t="str"/>
      <x:c r="J18" s="7" t="str"/>
      <x:c r="K18" s="7" t="str"/>
      <x:c r="L18" s="7" t="str"/>
      <x:c r="M18" s="7" t="str"/>
      <x:c r="N18" s="7" t="str"/>
      <x:c r="O18" s="7" t="str">
        <x:f>IF(N18="","OPEN",IF(OR(I18="",J18="",K18="",L18="",M18=""),"FAIL","PASS"))</x:f>
        <x:v>OPEN</x:v>
      </x:c>
    </x:row>
    <x:row r="19">
      <x:c r="B19" s="7" t="str">
        <x:v>CH-PEA-A-X1-03-1</x:v>
      </x:c>
      <x:c r="C19" s="7" t="str">
        <x:v>PEA-A-X1</x:v>
      </x:c>
      <x:c r="D19" s="7" t="str">
        <x:v>BLD-A</x:v>
      </x:c>
      <x:c r="E19" s="7" t="str">
        <x:v>BL-X</x:v>
      </x:c>
      <x:c r="F19" s="7" t="str">
        <x:v>MF-03</x:v>
      </x:c>
      <x:c r="G19" s="7" t="str">
        <x:v>source pressure</x:v>
      </x:c>
      <x:c r="H19" s="7" t="n">
        <x:v>1</x:v>
      </x:c>
      <x:c r="I19" s="7" t="str"/>
      <x:c r="J19" s="7" t="str"/>
      <x:c r="K19" s="7" t="str"/>
      <x:c r="L19" s="7" t="str"/>
      <x:c r="M19" s="7" t="str"/>
      <x:c r="N19" s="7" t="str"/>
      <x:c r="O19" s="7" t="str">
        <x:f>IF(N19="","OPEN",IF(OR(I19="",J19="",K19="",L19="",M19=""),"FAIL","PASS"))</x:f>
        <x:v>OPEN</x:v>
      </x:c>
    </x:row>
    <x:row r="20">
      <x:c r="B20" s="7" t="str">
        <x:v>CH-PEA-A-X1-03-2</x:v>
      </x:c>
      <x:c r="C20" s="7" t="str">
        <x:v>PEA-A-X1</x:v>
      </x:c>
      <x:c r="D20" s="7" t="str">
        <x:v>BLD-A</x:v>
      </x:c>
      <x:c r="E20" s="7" t="str">
        <x:v>BL-X</x:v>
      </x:c>
      <x:c r="F20" s="7" t="str">
        <x:v>MF-03</x:v>
      </x:c>
      <x:c r="G20" s="7" t="str">
        <x:v>source pressure</x:v>
      </x:c>
      <x:c r="H20" s="7" t="n">
        <x:v>2</x:v>
      </x:c>
      <x:c r="I20" s="7" t="str"/>
      <x:c r="J20" s="7" t="str"/>
      <x:c r="K20" s="7" t="str"/>
      <x:c r="L20" s="7" t="str"/>
      <x:c r="M20" s="7" t="str"/>
      <x:c r="N20" s="7" t="str"/>
      <x:c r="O20" s="7" t="str">
        <x:f>IF(N20="","OPEN",IF(OR(I20="",J20="",K20="",L20="",M20=""),"FAIL","PASS"))</x:f>
        <x:v>OPEN</x:v>
      </x:c>
    </x:row>
    <x:row r="21">
      <x:c r="B21" s="7" t="str">
        <x:v>CH-PEA-A-X1-03-3</x:v>
      </x:c>
      <x:c r="C21" s="7" t="str">
        <x:v>PEA-A-X1</x:v>
      </x:c>
      <x:c r="D21" s="7" t="str">
        <x:v>BLD-A</x:v>
      </x:c>
      <x:c r="E21" s="7" t="str">
        <x:v>BL-X</x:v>
      </x:c>
      <x:c r="F21" s="7" t="str">
        <x:v>MF-03</x:v>
      </x:c>
      <x:c r="G21" s="7" t="str">
        <x:v>source pressure</x:v>
      </x:c>
      <x:c r="H21" s="7" t="n">
        <x:v>3</x:v>
      </x:c>
      <x:c r="I21" s="7" t="str"/>
      <x:c r="J21" s="7" t="str"/>
      <x:c r="K21" s="7" t="str"/>
      <x:c r="L21" s="7" t="str"/>
      <x:c r="M21" s="7" t="str"/>
      <x:c r="N21" s="7" t="str"/>
      <x:c r="O21" s="7" t="str">
        <x:f>IF(N21="","OPEN",IF(OR(I21="",J21="",K21="",L21="",M21=""),"FAIL","PASS"))</x:f>
        <x:v>OPEN</x:v>
      </x:c>
    </x:row>
    <x:row r="22">
      <x:c r="B22" s="7" t="str">
        <x:v>CH-PEA-A-X1-03-4</x:v>
      </x:c>
      <x:c r="C22" s="7" t="str">
        <x:v>PEA-A-X1</x:v>
      </x:c>
      <x:c r="D22" s="7" t="str">
        <x:v>BLD-A</x:v>
      </x:c>
      <x:c r="E22" s="7" t="str">
        <x:v>BL-X</x:v>
      </x:c>
      <x:c r="F22" s="7" t="str">
        <x:v>MF-03</x:v>
      </x:c>
      <x:c r="G22" s="7" t="str">
        <x:v>source pressure</x:v>
      </x:c>
      <x:c r="H22" s="7" t="n">
        <x:v>4</x:v>
      </x:c>
      <x:c r="I22" s="7" t="str"/>
      <x:c r="J22" s="7" t="str"/>
      <x:c r="K22" s="7" t="str"/>
      <x:c r="L22" s="7" t="str"/>
      <x:c r="M22" s="7" t="str"/>
      <x:c r="N22" s="7" t="str"/>
      <x:c r="O22" s="7" t="str">
        <x:f>IF(N22="","OPEN",IF(OR(I22="",J22="",K22="",L22="",M22=""),"FAIL","PASS"))</x:f>
        <x:v>OPEN</x:v>
      </x:c>
    </x:row>
    <x:row r="23">
      <x:c r="B23" s="7" t="str">
        <x:v>CH-PEA-A-X1-03-5</x:v>
      </x:c>
      <x:c r="C23" s="7" t="str">
        <x:v>PEA-A-X1</x:v>
      </x:c>
      <x:c r="D23" s="7" t="str">
        <x:v>BLD-A</x:v>
      </x:c>
      <x:c r="E23" s="7" t="str">
        <x:v>BL-X</x:v>
      </x:c>
      <x:c r="F23" s="7" t="str">
        <x:v>MF-03</x:v>
      </x:c>
      <x:c r="G23" s="7" t="str">
        <x:v>source pressure</x:v>
      </x:c>
      <x:c r="H23" s="7" t="n">
        <x:v>5</x:v>
      </x:c>
      <x:c r="I23" s="7" t="str"/>
      <x:c r="J23" s="7" t="str"/>
      <x:c r="K23" s="7" t="str"/>
      <x:c r="L23" s="7" t="str"/>
      <x:c r="M23" s="7" t="str"/>
      <x:c r="N23" s="7" t="str"/>
      <x:c r="O23" s="7" t="str">
        <x:f>IF(N23="","OPEN",IF(OR(I23="",J23="",K23="",L23="",M23=""),"FAIL","PASS"))</x:f>
        <x:v>OPEN</x:v>
      </x:c>
    </x:row>
    <x:row r="24">
      <x:c r="B24" s="7" t="str">
        <x:v>CH-PEA-A-X1-03-6</x:v>
      </x:c>
      <x:c r="C24" s="7" t="str">
        <x:v>PEA-A-X1</x:v>
      </x:c>
      <x:c r="D24" s="7" t="str">
        <x:v>BLD-A</x:v>
      </x:c>
      <x:c r="E24" s="7" t="str">
        <x:v>BL-X</x:v>
      </x:c>
      <x:c r="F24" s="7" t="str">
        <x:v>MF-03</x:v>
      </x:c>
      <x:c r="G24" s="7" t="str">
        <x:v>source pressure</x:v>
      </x:c>
      <x:c r="H24" s="7" t="n">
        <x:v>6</x:v>
      </x:c>
      <x:c r="I24" s="7" t="str"/>
      <x:c r="J24" s="7" t="str"/>
      <x:c r="K24" s="7" t="str"/>
      <x:c r="L24" s="7" t="str"/>
      <x:c r="M24" s="7" t="str"/>
      <x:c r="N24" s="7" t="str"/>
      <x:c r="O24" s="7" t="str">
        <x:f>IF(N24="","OPEN",IF(OR(I24="",J24="",K24="",L24="",M24=""),"FAIL","PASS"))</x:f>
        <x:v>OPEN</x:v>
      </x:c>
    </x:row>
    <x:row r="25">
      <x:c r="B25" s="7" t="str">
        <x:v>CH-PEA-A-X1-04-1</x:v>
      </x:c>
      <x:c r="C25" s="7" t="str">
        <x:v>PEA-A-X1</x:v>
      </x:c>
      <x:c r="D25" s="7" t="str">
        <x:v>BLD-A</x:v>
      </x:c>
      <x:c r="E25" s="7" t="str">
        <x:v>BL-X</x:v>
      </x:c>
      <x:c r="F25" s="7" t="str">
        <x:v>MF-04</x:v>
      </x:c>
      <x:c r="G25" s="7" t="str">
        <x:v>source temperature</x:v>
      </x:c>
      <x:c r="H25" s="7" t="n">
        <x:v>1</x:v>
      </x:c>
      <x:c r="I25" s="7" t="str"/>
      <x:c r="J25" s="7" t="str"/>
      <x:c r="K25" s="7" t="str"/>
      <x:c r="L25" s="7" t="str"/>
      <x:c r="M25" s="7" t="str"/>
      <x:c r="N25" s="7" t="str"/>
      <x:c r="O25" s="7" t="str">
        <x:f>IF(N25="","OPEN",IF(OR(I25="",J25="",K25="",L25="",M25=""),"FAIL","PASS"))</x:f>
        <x:v>OPEN</x:v>
      </x:c>
    </x:row>
    <x:row r="26">
      <x:c r="B26" s="7" t="str">
        <x:v>CH-PEA-A-X1-04-2</x:v>
      </x:c>
      <x:c r="C26" s="7" t="str">
        <x:v>PEA-A-X1</x:v>
      </x:c>
      <x:c r="D26" s="7" t="str">
        <x:v>BLD-A</x:v>
      </x:c>
      <x:c r="E26" s="7" t="str">
        <x:v>BL-X</x:v>
      </x:c>
      <x:c r="F26" s="7" t="str">
        <x:v>MF-04</x:v>
      </x:c>
      <x:c r="G26" s="7" t="str">
        <x:v>source temperature</x:v>
      </x:c>
      <x:c r="H26" s="7" t="n">
        <x:v>2</x:v>
      </x:c>
      <x:c r="I26" s="7" t="str"/>
      <x:c r="J26" s="7" t="str"/>
      <x:c r="K26" s="7" t="str"/>
      <x:c r="L26" s="7" t="str"/>
      <x:c r="M26" s="7" t="str"/>
      <x:c r="N26" s="7" t="str"/>
      <x:c r="O26" s="7" t="str">
        <x:f>IF(N26="","OPEN",IF(OR(I26="",J26="",K26="",L26="",M26=""),"FAIL","PASS"))</x:f>
        <x:v>OPEN</x:v>
      </x:c>
    </x:row>
    <x:row r="27">
      <x:c r="B27" s="7" t="str">
        <x:v>CH-PEA-A-X1-04-3</x:v>
      </x:c>
      <x:c r="C27" s="7" t="str">
        <x:v>PEA-A-X1</x:v>
      </x:c>
      <x:c r="D27" s="7" t="str">
        <x:v>BLD-A</x:v>
      </x:c>
      <x:c r="E27" s="7" t="str">
        <x:v>BL-X</x:v>
      </x:c>
      <x:c r="F27" s="7" t="str">
        <x:v>MF-04</x:v>
      </x:c>
      <x:c r="G27" s="7" t="str">
        <x:v>source temperature</x:v>
      </x:c>
      <x:c r="H27" s="7" t="n">
        <x:v>3</x:v>
      </x:c>
      <x:c r="I27" s="7" t="str"/>
      <x:c r="J27" s="7" t="str"/>
      <x:c r="K27" s="7" t="str"/>
      <x:c r="L27" s="7" t="str"/>
      <x:c r="M27" s="7" t="str"/>
      <x:c r="N27" s="7" t="str"/>
      <x:c r="O27" s="7" t="str">
        <x:f>IF(N27="","OPEN",IF(OR(I27="",J27="",K27="",L27="",M27=""),"FAIL","PASS"))</x:f>
        <x:v>OPEN</x:v>
      </x:c>
    </x:row>
    <x:row r="28">
      <x:c r="B28" s="7" t="str">
        <x:v>CH-PEA-A-X1-04-4</x:v>
      </x:c>
      <x:c r="C28" s="7" t="str">
        <x:v>PEA-A-X1</x:v>
      </x:c>
      <x:c r="D28" s="7" t="str">
        <x:v>BLD-A</x:v>
      </x:c>
      <x:c r="E28" s="7" t="str">
        <x:v>BL-X</x:v>
      </x:c>
      <x:c r="F28" s="7" t="str">
        <x:v>MF-04</x:v>
      </x:c>
      <x:c r="G28" s="7" t="str">
        <x:v>source temperature</x:v>
      </x:c>
      <x:c r="H28" s="7" t="n">
        <x:v>4</x:v>
      </x:c>
      <x:c r="I28" s="7" t="str"/>
      <x:c r="J28" s="7" t="str"/>
      <x:c r="K28" s="7" t="str"/>
      <x:c r="L28" s="7" t="str"/>
      <x:c r="M28" s="7" t="str"/>
      <x:c r="N28" s="7" t="str"/>
      <x:c r="O28" s="7" t="str">
        <x:f>IF(N28="","OPEN",IF(OR(I28="",J28="",K28="",L28="",M28=""),"FAIL","PASS"))</x:f>
        <x:v>OPEN</x:v>
      </x:c>
    </x:row>
    <x:row r="29">
      <x:c r="B29" s="7" t="str">
        <x:v>CH-PEA-A-X1-04-5</x:v>
      </x:c>
      <x:c r="C29" s="7" t="str">
        <x:v>PEA-A-X1</x:v>
      </x:c>
      <x:c r="D29" s="7" t="str">
        <x:v>BLD-A</x:v>
      </x:c>
      <x:c r="E29" s="7" t="str">
        <x:v>BL-X</x:v>
      </x:c>
      <x:c r="F29" s="7" t="str">
        <x:v>MF-04</x:v>
      </x:c>
      <x:c r="G29" s="7" t="str">
        <x:v>source temperature</x:v>
      </x:c>
      <x:c r="H29" s="7" t="n">
        <x:v>5</x:v>
      </x:c>
      <x:c r="I29" s="7" t="str"/>
      <x:c r="J29" s="7" t="str"/>
      <x:c r="K29" s="7" t="str"/>
      <x:c r="L29" s="7" t="str"/>
      <x:c r="M29" s="7" t="str"/>
      <x:c r="N29" s="7" t="str"/>
      <x:c r="O29" s="7" t="str">
        <x:f>IF(N29="","OPEN",IF(OR(I29="",J29="",K29="",L29="",M29=""),"FAIL","PASS"))</x:f>
        <x:v>OPEN</x:v>
      </x:c>
    </x:row>
    <x:row r="30">
      <x:c r="B30" s="7" t="str">
        <x:v>CH-PEA-A-X1-04-6</x:v>
      </x:c>
      <x:c r="C30" s="7" t="str">
        <x:v>PEA-A-X1</x:v>
      </x:c>
      <x:c r="D30" s="7" t="str">
        <x:v>BLD-A</x:v>
      </x:c>
      <x:c r="E30" s="7" t="str">
        <x:v>BL-X</x:v>
      </x:c>
      <x:c r="F30" s="7" t="str">
        <x:v>MF-04</x:v>
      </x:c>
      <x:c r="G30" s="7" t="str">
        <x:v>source temperature</x:v>
      </x:c>
      <x:c r="H30" s="7" t="n">
        <x:v>6</x:v>
      </x:c>
      <x:c r="I30" s="7" t="str"/>
      <x:c r="J30" s="7" t="str"/>
      <x:c r="K30" s="7" t="str"/>
      <x:c r="L30" s="7" t="str"/>
      <x:c r="M30" s="7" t="str"/>
      <x:c r="N30" s="7" t="str"/>
      <x:c r="O30" s="7" t="str">
        <x:f>IF(N30="","OPEN",IF(OR(I30="",J30="",K30="",L30="",M30=""),"FAIL","PASS"))</x:f>
        <x:v>OPEN</x:v>
      </x:c>
    </x:row>
    <x:row r="31">
      <x:c r="B31" s="7" t="str">
        <x:v>CH-PEA-A-X1-05-1</x:v>
      </x:c>
      <x:c r="C31" s="7" t="str">
        <x:v>PEA-A-X1</x:v>
      </x:c>
      <x:c r="D31" s="7" t="str">
        <x:v>BLD-A</x:v>
      </x:c>
      <x:c r="E31" s="7" t="str">
        <x:v>BL-X</x:v>
      </x:c>
      <x:c r="F31" s="7" t="str">
        <x:v>MF-05</x:v>
      </x:c>
      <x:c r="G31" s="7" t="str">
        <x:v>hold-up tomography</x:v>
      </x:c>
      <x:c r="H31" s="7" t="n">
        <x:v>1</x:v>
      </x:c>
      <x:c r="I31" s="7" t="str"/>
      <x:c r="J31" s="7" t="str"/>
      <x:c r="K31" s="7" t="str"/>
      <x:c r="L31" s="7" t="str"/>
      <x:c r="M31" s="7" t="str"/>
      <x:c r="N31" s="7" t="str"/>
      <x:c r="O31" s="7" t="str">
        <x:f>IF(N31="","OPEN",IF(OR(I31="",J31="",K31="",L31="",M31=""),"FAIL","PASS"))</x:f>
        <x:v>OPEN</x:v>
      </x:c>
    </x:row>
    <x:row r="32">
      <x:c r="B32" s="7" t="str">
        <x:v>CH-PEA-A-X1-05-2</x:v>
      </x:c>
      <x:c r="C32" s="7" t="str">
        <x:v>PEA-A-X1</x:v>
      </x:c>
      <x:c r="D32" s="7" t="str">
        <x:v>BLD-A</x:v>
      </x:c>
      <x:c r="E32" s="7" t="str">
        <x:v>BL-X</x:v>
      </x:c>
      <x:c r="F32" s="7" t="str">
        <x:v>MF-05</x:v>
      </x:c>
      <x:c r="G32" s="7" t="str">
        <x:v>hold-up tomography</x:v>
      </x:c>
      <x:c r="H32" s="7" t="n">
        <x:v>2</x:v>
      </x:c>
      <x:c r="I32" s="7" t="str"/>
      <x:c r="J32" s="7" t="str"/>
      <x:c r="K32" s="7" t="str"/>
      <x:c r="L32" s="7" t="str"/>
      <x:c r="M32" s="7" t="str"/>
      <x:c r="N32" s="7" t="str"/>
      <x:c r="O32" s="7" t="str">
        <x:f>IF(N32="","OPEN",IF(OR(I32="",J32="",K32="",L32="",M32=""),"FAIL","PASS"))</x:f>
        <x:v>OPEN</x:v>
      </x:c>
    </x:row>
    <x:row r="33">
      <x:c r="B33" s="7" t="str">
        <x:v>CH-PEA-A-X1-05-3</x:v>
      </x:c>
      <x:c r="C33" s="7" t="str">
        <x:v>PEA-A-X1</x:v>
      </x:c>
      <x:c r="D33" s="7" t="str">
        <x:v>BLD-A</x:v>
      </x:c>
      <x:c r="E33" s="7" t="str">
        <x:v>BL-X</x:v>
      </x:c>
      <x:c r="F33" s="7" t="str">
        <x:v>MF-05</x:v>
      </x:c>
      <x:c r="G33" s="7" t="str">
        <x:v>hold-up tomography</x:v>
      </x:c>
      <x:c r="H33" s="7" t="n">
        <x:v>3</x:v>
      </x:c>
      <x:c r="I33" s="7" t="str"/>
      <x:c r="J33" s="7" t="str"/>
      <x:c r="K33" s="7" t="str"/>
      <x:c r="L33" s="7" t="str"/>
      <x:c r="M33" s="7" t="str"/>
      <x:c r="N33" s="7" t="str"/>
      <x:c r="O33" s="7" t="str">
        <x:f>IF(N33="","OPEN",IF(OR(I33="",J33="",K33="",L33="",M33=""),"FAIL","PASS"))</x:f>
        <x:v>OPEN</x:v>
      </x:c>
    </x:row>
    <x:row r="34">
      <x:c r="B34" s="7" t="str">
        <x:v>CH-PEA-A-X1-05-4</x:v>
      </x:c>
      <x:c r="C34" s="7" t="str">
        <x:v>PEA-A-X1</x:v>
      </x:c>
      <x:c r="D34" s="7" t="str">
        <x:v>BLD-A</x:v>
      </x:c>
      <x:c r="E34" s="7" t="str">
        <x:v>BL-X</x:v>
      </x:c>
      <x:c r="F34" s="7" t="str">
        <x:v>MF-05</x:v>
      </x:c>
      <x:c r="G34" s="7" t="str">
        <x:v>hold-up tomography</x:v>
      </x:c>
      <x:c r="H34" s="7" t="n">
        <x:v>4</x:v>
      </x:c>
      <x:c r="I34" s="7" t="str"/>
      <x:c r="J34" s="7" t="str"/>
      <x:c r="K34" s="7" t="str"/>
      <x:c r="L34" s="7" t="str"/>
      <x:c r="M34" s="7" t="str"/>
      <x:c r="N34" s="7" t="str"/>
      <x:c r="O34" s="7" t="str">
        <x:f>IF(N34="","OPEN",IF(OR(I34="",J34="",K34="",L34="",M34=""),"FAIL","PASS"))</x:f>
        <x:v>OPEN</x:v>
      </x:c>
    </x:row>
    <x:row r="35">
      <x:c r="B35" s="7" t="str">
        <x:v>CH-PEA-A-X1-05-5</x:v>
      </x:c>
      <x:c r="C35" s="7" t="str">
        <x:v>PEA-A-X1</x:v>
      </x:c>
      <x:c r="D35" s="7" t="str">
        <x:v>BLD-A</x:v>
      </x:c>
      <x:c r="E35" s="7" t="str">
        <x:v>BL-X</x:v>
      </x:c>
      <x:c r="F35" s="7" t="str">
        <x:v>MF-05</x:v>
      </x:c>
      <x:c r="G35" s="7" t="str">
        <x:v>hold-up tomography</x:v>
      </x:c>
      <x:c r="H35" s="7" t="n">
        <x:v>5</x:v>
      </x:c>
      <x:c r="I35" s="7" t="str"/>
      <x:c r="J35" s="7" t="str"/>
      <x:c r="K35" s="7" t="str"/>
      <x:c r="L35" s="7" t="str"/>
      <x:c r="M35" s="7" t="str"/>
      <x:c r="N35" s="7" t="str"/>
      <x:c r="O35" s="7" t="str">
        <x:f>IF(N35="","OPEN",IF(OR(I35="",J35="",K35="",L35="",M35=""),"FAIL","PASS"))</x:f>
        <x:v>OPEN</x:v>
      </x:c>
    </x:row>
    <x:row r="36">
      <x:c r="B36" s="7" t="str">
        <x:v>CH-PEA-A-X1-05-6</x:v>
      </x:c>
      <x:c r="C36" s="7" t="str">
        <x:v>PEA-A-X1</x:v>
      </x:c>
      <x:c r="D36" s="7" t="str">
        <x:v>BLD-A</x:v>
      </x:c>
      <x:c r="E36" s="7" t="str">
        <x:v>BL-X</x:v>
      </x:c>
      <x:c r="F36" s="7" t="str">
        <x:v>MF-05</x:v>
      </x:c>
      <x:c r="G36" s="7" t="str">
        <x:v>hold-up tomography</x:v>
      </x:c>
      <x:c r="H36" s="7" t="n">
        <x:v>6</x:v>
      </x:c>
      <x:c r="I36" s="7" t="str"/>
      <x:c r="J36" s="7" t="str"/>
      <x:c r="K36" s="7" t="str"/>
      <x:c r="L36" s="7" t="str"/>
      <x:c r="M36" s="7" t="str"/>
      <x:c r="N36" s="7" t="str"/>
      <x:c r="O36" s="7" t="str">
        <x:f>IF(N36="","OPEN",IF(OR(I36="",J36="",K36="",L36="",M36=""),"FAIL","PASS"))</x:f>
        <x:v>OPEN</x:v>
      </x:c>
    </x:row>
    <x:row r="37">
      <x:c r="B37" s="7" t="str">
        <x:v>CH-PEA-A-X1-06-1</x:v>
      </x:c>
      <x:c r="C37" s="7" t="str">
        <x:v>PEA-A-X1</x:v>
      </x:c>
      <x:c r="D37" s="7" t="str">
        <x:v>BLD-A</x:v>
      </x:c>
      <x:c r="E37" s="7" t="str">
        <x:v>BL-X</x:v>
      </x:c>
      <x:c r="F37" s="7" t="str">
        <x:v>MF-06</x:v>
      </x:c>
      <x:c r="G37" s="7" t="str">
        <x:v>pan level</x:v>
      </x:c>
      <x:c r="H37" s="7" t="n">
        <x:v>1</x:v>
      </x:c>
      <x:c r="I37" s="7" t="str"/>
      <x:c r="J37" s="7" t="str"/>
      <x:c r="K37" s="7" t="str"/>
      <x:c r="L37" s="7" t="str"/>
      <x:c r="M37" s="7" t="str"/>
      <x:c r="N37" s="7" t="str"/>
      <x:c r="O37" s="7" t="str">
        <x:f>IF(N37="","OPEN",IF(OR(I37="",J37="",K37="",L37="",M37=""),"FAIL","PASS"))</x:f>
        <x:v>OPEN</x:v>
      </x:c>
    </x:row>
    <x:row r="38">
      <x:c r="B38" s="7" t="str">
        <x:v>CH-PEA-A-X1-06-2</x:v>
      </x:c>
      <x:c r="C38" s="7" t="str">
        <x:v>PEA-A-X1</x:v>
      </x:c>
      <x:c r="D38" s="7" t="str">
        <x:v>BLD-A</x:v>
      </x:c>
      <x:c r="E38" s="7" t="str">
        <x:v>BL-X</x:v>
      </x:c>
      <x:c r="F38" s="7" t="str">
        <x:v>MF-06</x:v>
      </x:c>
      <x:c r="G38" s="7" t="str">
        <x:v>pan level</x:v>
      </x:c>
      <x:c r="H38" s="7" t="n">
        <x:v>2</x:v>
      </x:c>
      <x:c r="I38" s="7" t="str"/>
      <x:c r="J38" s="7" t="str"/>
      <x:c r="K38" s="7" t="str"/>
      <x:c r="L38" s="7" t="str"/>
      <x:c r="M38" s="7" t="str"/>
      <x:c r="N38" s="7" t="str"/>
      <x:c r="O38" s="7" t="str">
        <x:f>IF(N38="","OPEN",IF(OR(I38="",J38="",K38="",L38="",M38=""),"FAIL","PASS"))</x:f>
        <x:v>OPEN</x:v>
      </x:c>
    </x:row>
    <x:row r="39">
      <x:c r="B39" s="7" t="str">
        <x:v>CH-PEA-A-X1-06-3</x:v>
      </x:c>
      <x:c r="C39" s="7" t="str">
        <x:v>PEA-A-X1</x:v>
      </x:c>
      <x:c r="D39" s="7" t="str">
        <x:v>BLD-A</x:v>
      </x:c>
      <x:c r="E39" s="7" t="str">
        <x:v>BL-X</x:v>
      </x:c>
      <x:c r="F39" s="7" t="str">
        <x:v>MF-06</x:v>
      </x:c>
      <x:c r="G39" s="7" t="str">
        <x:v>pan level</x:v>
      </x:c>
      <x:c r="H39" s="7" t="n">
        <x:v>3</x:v>
      </x:c>
      <x:c r="I39" s="7" t="str"/>
      <x:c r="J39" s="7" t="str"/>
      <x:c r="K39" s="7" t="str"/>
      <x:c r="L39" s="7" t="str"/>
      <x:c r="M39" s="7" t="str"/>
      <x:c r="N39" s="7" t="str"/>
      <x:c r="O39" s="7" t="str">
        <x:f>IF(N39="","OPEN",IF(OR(I39="",J39="",K39="",L39="",M39=""),"FAIL","PASS"))</x:f>
        <x:v>OPEN</x:v>
      </x:c>
    </x:row>
    <x:row r="40">
      <x:c r="B40" s="7" t="str">
        <x:v>CH-PEA-A-X1-06-4</x:v>
      </x:c>
      <x:c r="C40" s="7" t="str">
        <x:v>PEA-A-X1</x:v>
      </x:c>
      <x:c r="D40" s="7" t="str">
        <x:v>BLD-A</x:v>
      </x:c>
      <x:c r="E40" s="7" t="str">
        <x:v>BL-X</x:v>
      </x:c>
      <x:c r="F40" s="7" t="str">
        <x:v>MF-06</x:v>
      </x:c>
      <x:c r="G40" s="7" t="str">
        <x:v>pan level</x:v>
      </x:c>
      <x:c r="H40" s="7" t="n">
        <x:v>4</x:v>
      </x:c>
      <x:c r="I40" s="7" t="str"/>
      <x:c r="J40" s="7" t="str"/>
      <x:c r="K40" s="7" t="str"/>
      <x:c r="L40" s="7" t="str"/>
      <x:c r="M40" s="7" t="str"/>
      <x:c r="N40" s="7" t="str"/>
      <x:c r="O40" s="7" t="str">
        <x:f>IF(N40="","OPEN",IF(OR(I40="",J40="",K40="",L40="",M40=""),"FAIL","PASS"))</x:f>
        <x:v>OPEN</x:v>
      </x:c>
    </x:row>
    <x:row r="41">
      <x:c r="B41" s="7" t="str">
        <x:v>CH-PEA-A-X1-06-5</x:v>
      </x:c>
      <x:c r="C41" s="7" t="str">
        <x:v>PEA-A-X1</x:v>
      </x:c>
      <x:c r="D41" s="7" t="str">
        <x:v>BLD-A</x:v>
      </x:c>
      <x:c r="E41" s="7" t="str">
        <x:v>BL-X</x:v>
      </x:c>
      <x:c r="F41" s="7" t="str">
        <x:v>MF-06</x:v>
      </x:c>
      <x:c r="G41" s="7" t="str">
        <x:v>pan level</x:v>
      </x:c>
      <x:c r="H41" s="7" t="n">
        <x:v>5</x:v>
      </x:c>
      <x:c r="I41" s="7" t="str"/>
      <x:c r="J41" s="7" t="str"/>
      <x:c r="K41" s="7" t="str"/>
      <x:c r="L41" s="7" t="str"/>
      <x:c r="M41" s="7" t="str"/>
      <x:c r="N41" s="7" t="str"/>
      <x:c r="O41" s="7" t="str">
        <x:f>IF(N41="","OPEN",IF(OR(I41="",J41="",K41="",L41="",M41=""),"FAIL","PASS"))</x:f>
        <x:v>OPEN</x:v>
      </x:c>
    </x:row>
    <x:row r="42">
      <x:c r="B42" s="7" t="str">
        <x:v>CH-PEA-A-X1-06-6</x:v>
      </x:c>
      <x:c r="C42" s="7" t="str">
        <x:v>PEA-A-X1</x:v>
      </x:c>
      <x:c r="D42" s="7" t="str">
        <x:v>BLD-A</x:v>
      </x:c>
      <x:c r="E42" s="7" t="str">
        <x:v>BL-X</x:v>
      </x:c>
      <x:c r="F42" s="7" t="str">
        <x:v>MF-06</x:v>
      </x:c>
      <x:c r="G42" s="7" t="str">
        <x:v>pan level</x:v>
      </x:c>
      <x:c r="H42" s="7" t="n">
        <x:v>6</x:v>
      </x:c>
      <x:c r="I42" s="7" t="str"/>
      <x:c r="J42" s="7" t="str"/>
      <x:c r="K42" s="7" t="str"/>
      <x:c r="L42" s="7" t="str"/>
      <x:c r="M42" s="7" t="str"/>
      <x:c r="N42" s="7" t="str"/>
      <x:c r="O42" s="7" t="str">
        <x:f>IF(N42="","OPEN",IF(OR(I42="",J42="",K42="",L42="",M42=""),"FAIL","PASS"))</x:f>
        <x:v>OPEN</x:v>
      </x:c>
    </x:row>
    <x:row r="43">
      <x:c r="B43" s="7" t="str">
        <x:v>CH-PEA-A-X1-07-1</x:v>
      </x:c>
      <x:c r="C43" s="7" t="str">
        <x:v>PEA-A-X1</x:v>
      </x:c>
      <x:c r="D43" s="7" t="str">
        <x:v>BLD-A</x:v>
      </x:c>
      <x:c r="E43" s="7" t="str">
        <x:v>BL-X</x:v>
      </x:c>
      <x:c r="F43" s="7" t="str">
        <x:v>MF-07</x:v>
      </x:c>
      <x:c r="G43" s="7" t="str">
        <x:v>normal receiver mass</x:v>
      </x:c>
      <x:c r="H43" s="7" t="n">
        <x:v>1</x:v>
      </x:c>
      <x:c r="I43" s="7" t="str"/>
      <x:c r="J43" s="7" t="str"/>
      <x:c r="K43" s="7" t="str"/>
      <x:c r="L43" s="7" t="str"/>
      <x:c r="M43" s="7" t="str"/>
      <x:c r="N43" s="7" t="str"/>
      <x:c r="O43" s="7" t="str">
        <x:f>IF(N43="","OPEN",IF(OR(I43="",J43="",K43="",L43="",M43=""),"FAIL","PASS"))</x:f>
        <x:v>OPEN</x:v>
      </x:c>
    </x:row>
    <x:row r="44">
      <x:c r="B44" s="7" t="str">
        <x:v>CH-PEA-A-X1-07-2</x:v>
      </x:c>
      <x:c r="C44" s="7" t="str">
        <x:v>PEA-A-X1</x:v>
      </x:c>
      <x:c r="D44" s="7" t="str">
        <x:v>BLD-A</x:v>
      </x:c>
      <x:c r="E44" s="7" t="str">
        <x:v>BL-X</x:v>
      </x:c>
      <x:c r="F44" s="7" t="str">
        <x:v>MF-07</x:v>
      </x:c>
      <x:c r="G44" s="7" t="str">
        <x:v>normal receiver mass</x:v>
      </x:c>
      <x:c r="H44" s="7" t="n">
        <x:v>2</x:v>
      </x:c>
      <x:c r="I44" s="7" t="str"/>
      <x:c r="J44" s="7" t="str"/>
      <x:c r="K44" s="7" t="str"/>
      <x:c r="L44" s="7" t="str"/>
      <x:c r="M44" s="7" t="str"/>
      <x:c r="N44" s="7" t="str"/>
      <x:c r="O44" s="7" t="str">
        <x:f>IF(N44="","OPEN",IF(OR(I44="",J44="",K44="",L44="",M44=""),"FAIL","PASS"))</x:f>
        <x:v>OPEN</x:v>
      </x:c>
    </x:row>
    <x:row r="45">
      <x:c r="B45" s="7" t="str">
        <x:v>CH-PEA-A-X1-07-3</x:v>
      </x:c>
      <x:c r="C45" s="7" t="str">
        <x:v>PEA-A-X1</x:v>
      </x:c>
      <x:c r="D45" s="7" t="str">
        <x:v>BLD-A</x:v>
      </x:c>
      <x:c r="E45" s="7" t="str">
        <x:v>BL-X</x:v>
      </x:c>
      <x:c r="F45" s="7" t="str">
        <x:v>MF-07</x:v>
      </x:c>
      <x:c r="G45" s="7" t="str">
        <x:v>normal receiver mass</x:v>
      </x:c>
      <x:c r="H45" s="7" t="n">
        <x:v>3</x:v>
      </x:c>
      <x:c r="I45" s="7" t="str"/>
      <x:c r="J45" s="7" t="str"/>
      <x:c r="K45" s="7" t="str"/>
      <x:c r="L45" s="7" t="str"/>
      <x:c r="M45" s="7" t="str"/>
      <x:c r="N45" s="7" t="str"/>
      <x:c r="O45" s="7" t="str">
        <x:f>IF(N45="","OPEN",IF(OR(I45="",J45="",K45="",L45="",M45=""),"FAIL","PASS"))</x:f>
        <x:v>OPEN</x:v>
      </x:c>
    </x:row>
    <x:row r="46">
      <x:c r="B46" s="7" t="str">
        <x:v>CH-PEA-A-X1-07-4</x:v>
      </x:c>
      <x:c r="C46" s="7" t="str">
        <x:v>PEA-A-X1</x:v>
      </x:c>
      <x:c r="D46" s="7" t="str">
        <x:v>BLD-A</x:v>
      </x:c>
      <x:c r="E46" s="7" t="str">
        <x:v>BL-X</x:v>
      </x:c>
      <x:c r="F46" s="7" t="str">
        <x:v>MF-07</x:v>
      </x:c>
      <x:c r="G46" s="7" t="str">
        <x:v>normal receiver mass</x:v>
      </x:c>
      <x:c r="H46" s="7" t="n">
        <x:v>4</x:v>
      </x:c>
      <x:c r="I46" s="7" t="str"/>
      <x:c r="J46" s="7" t="str"/>
      <x:c r="K46" s="7" t="str"/>
      <x:c r="L46" s="7" t="str"/>
      <x:c r="M46" s="7" t="str"/>
      <x:c r="N46" s="7" t="str"/>
      <x:c r="O46" s="7" t="str">
        <x:f>IF(N46="","OPEN",IF(OR(I46="",J46="",K46="",L46="",M46=""),"FAIL","PASS"))</x:f>
        <x:v>OPEN</x:v>
      </x:c>
    </x:row>
    <x:row r="47">
      <x:c r="B47" s="7" t="str">
        <x:v>CH-PEA-A-X1-07-5</x:v>
      </x:c>
      <x:c r="C47" s="7" t="str">
        <x:v>PEA-A-X1</x:v>
      </x:c>
      <x:c r="D47" s="7" t="str">
        <x:v>BLD-A</x:v>
      </x:c>
      <x:c r="E47" s="7" t="str">
        <x:v>BL-X</x:v>
      </x:c>
      <x:c r="F47" s="7" t="str">
        <x:v>MF-07</x:v>
      </x:c>
      <x:c r="G47" s="7" t="str">
        <x:v>normal receiver mass</x:v>
      </x:c>
      <x:c r="H47" s="7" t="n">
        <x:v>5</x:v>
      </x:c>
      <x:c r="I47" s="7" t="str"/>
      <x:c r="J47" s="7" t="str"/>
      <x:c r="K47" s="7" t="str"/>
      <x:c r="L47" s="7" t="str"/>
      <x:c r="M47" s="7" t="str"/>
      <x:c r="N47" s="7" t="str"/>
      <x:c r="O47" s="7" t="str">
        <x:f>IF(N47="","OPEN",IF(OR(I47="",J47="",K47="",L47="",M47=""),"FAIL","PASS"))</x:f>
        <x:v>OPEN</x:v>
      </x:c>
    </x:row>
    <x:row r="48">
      <x:c r="B48" s="7" t="str">
        <x:v>CH-PEA-A-X1-07-6</x:v>
      </x:c>
      <x:c r="C48" s="7" t="str">
        <x:v>PEA-A-X1</x:v>
      </x:c>
      <x:c r="D48" s="7" t="str">
        <x:v>BLD-A</x:v>
      </x:c>
      <x:c r="E48" s="7" t="str">
        <x:v>BL-X</x:v>
      </x:c>
      <x:c r="F48" s="7" t="str">
        <x:v>MF-07</x:v>
      </x:c>
      <x:c r="G48" s="7" t="str">
        <x:v>normal receiver mass</x:v>
      </x:c>
      <x:c r="H48" s="7" t="n">
        <x:v>6</x:v>
      </x:c>
      <x:c r="I48" s="7" t="str"/>
      <x:c r="J48" s="7" t="str"/>
      <x:c r="K48" s="7" t="str"/>
      <x:c r="L48" s="7" t="str"/>
      <x:c r="M48" s="7" t="str"/>
      <x:c r="N48" s="7" t="str"/>
      <x:c r="O48" s="7" t="str">
        <x:f>IF(N48="","OPEN",IF(OR(I48="",J48="",K48="",L48="",M48=""),"FAIL","PASS"))</x:f>
        <x:v>OPEN</x:v>
      </x:c>
    </x:row>
    <x:row r="49">
      <x:c r="B49" s="7" t="str">
        <x:v>CH-PEA-A-X1-08-1</x:v>
      </x:c>
      <x:c r="C49" s="7" t="str">
        <x:v>PEA-A-X1</x:v>
      </x:c>
      <x:c r="D49" s="7" t="str">
        <x:v>BLD-A</x:v>
      </x:c>
      <x:c r="E49" s="7" t="str">
        <x:v>BL-X</x:v>
      </x:c>
      <x:c r="F49" s="7" t="str">
        <x:v>MF-08</x:v>
      </x:c>
      <x:c r="G49" s="7" t="str">
        <x:v>casualty receiver mass</x:v>
      </x:c>
      <x:c r="H49" s="7" t="n">
        <x:v>1</x:v>
      </x:c>
      <x:c r="I49" s="7" t="str"/>
      <x:c r="J49" s="7" t="str"/>
      <x:c r="K49" s="7" t="str"/>
      <x:c r="L49" s="7" t="str"/>
      <x:c r="M49" s="7" t="str"/>
      <x:c r="N49" s="7" t="str"/>
      <x:c r="O49" s="7" t="str">
        <x:f>IF(N49="","OPEN",IF(OR(I49="",J49="",K49="",L49="",M49=""),"FAIL","PASS"))</x:f>
        <x:v>OPEN</x:v>
      </x:c>
    </x:row>
    <x:row r="50">
      <x:c r="B50" s="7" t="str">
        <x:v>CH-PEA-A-X1-08-2</x:v>
      </x:c>
      <x:c r="C50" s="7" t="str">
        <x:v>PEA-A-X1</x:v>
      </x:c>
      <x:c r="D50" s="7" t="str">
        <x:v>BLD-A</x:v>
      </x:c>
      <x:c r="E50" s="7" t="str">
        <x:v>BL-X</x:v>
      </x:c>
      <x:c r="F50" s="7" t="str">
        <x:v>MF-08</x:v>
      </x:c>
      <x:c r="G50" s="7" t="str">
        <x:v>casualty receiver mass</x:v>
      </x:c>
      <x:c r="H50" s="7" t="n">
        <x:v>2</x:v>
      </x:c>
      <x:c r="I50" s="7" t="str"/>
      <x:c r="J50" s="7" t="str"/>
      <x:c r="K50" s="7" t="str"/>
      <x:c r="L50" s="7" t="str"/>
      <x:c r="M50" s="7" t="str"/>
      <x:c r="N50" s="7" t="str"/>
      <x:c r="O50" s="7" t="str">
        <x:f>IF(N50="","OPEN",IF(OR(I50="",J50="",K50="",L50="",M50=""),"FAIL","PASS"))</x:f>
        <x:v>OPEN</x:v>
      </x:c>
    </x:row>
    <x:row r="51">
      <x:c r="B51" s="7" t="str">
        <x:v>CH-PEA-A-X1-08-3</x:v>
      </x:c>
      <x:c r="C51" s="7" t="str">
        <x:v>PEA-A-X1</x:v>
      </x:c>
      <x:c r="D51" s="7" t="str">
        <x:v>BLD-A</x:v>
      </x:c>
      <x:c r="E51" s="7" t="str">
        <x:v>BL-X</x:v>
      </x:c>
      <x:c r="F51" s="7" t="str">
        <x:v>MF-08</x:v>
      </x:c>
      <x:c r="G51" s="7" t="str">
        <x:v>casualty receiver mass</x:v>
      </x:c>
      <x:c r="H51" s="7" t="n">
        <x:v>3</x:v>
      </x:c>
      <x:c r="I51" s="7" t="str"/>
      <x:c r="J51" s="7" t="str"/>
      <x:c r="K51" s="7" t="str"/>
      <x:c r="L51" s="7" t="str"/>
      <x:c r="M51" s="7" t="str"/>
      <x:c r="N51" s="7" t="str"/>
      <x:c r="O51" s="7" t="str">
        <x:f>IF(N51="","OPEN",IF(OR(I51="",J51="",K51="",L51="",M51=""),"FAIL","PASS"))</x:f>
        <x:v>OPEN</x:v>
      </x:c>
    </x:row>
    <x:row r="52">
      <x:c r="B52" s="7" t="str">
        <x:v>CH-PEA-A-X1-08-4</x:v>
      </x:c>
      <x:c r="C52" s="7" t="str">
        <x:v>PEA-A-X1</x:v>
      </x:c>
      <x:c r="D52" s="7" t="str">
        <x:v>BLD-A</x:v>
      </x:c>
      <x:c r="E52" s="7" t="str">
        <x:v>BL-X</x:v>
      </x:c>
      <x:c r="F52" s="7" t="str">
        <x:v>MF-08</x:v>
      </x:c>
      <x:c r="G52" s="7" t="str">
        <x:v>casualty receiver mass</x:v>
      </x:c>
      <x:c r="H52" s="7" t="n">
        <x:v>4</x:v>
      </x:c>
      <x:c r="I52" s="7" t="str"/>
      <x:c r="J52" s="7" t="str"/>
      <x:c r="K52" s="7" t="str"/>
      <x:c r="L52" s="7" t="str"/>
      <x:c r="M52" s="7" t="str"/>
      <x:c r="N52" s="7" t="str"/>
      <x:c r="O52" s="7" t="str">
        <x:f>IF(N52="","OPEN",IF(OR(I52="",J52="",K52="",L52="",M52=""),"FAIL","PASS"))</x:f>
        <x:v>OPEN</x:v>
      </x:c>
    </x:row>
    <x:row r="53">
      <x:c r="B53" s="7" t="str">
        <x:v>CH-PEA-A-X1-08-5</x:v>
      </x:c>
      <x:c r="C53" s="7" t="str">
        <x:v>PEA-A-X1</x:v>
      </x:c>
      <x:c r="D53" s="7" t="str">
        <x:v>BLD-A</x:v>
      </x:c>
      <x:c r="E53" s="7" t="str">
        <x:v>BL-X</x:v>
      </x:c>
      <x:c r="F53" s="7" t="str">
        <x:v>MF-08</x:v>
      </x:c>
      <x:c r="G53" s="7" t="str">
        <x:v>casualty receiver mass</x:v>
      </x:c>
      <x:c r="H53" s="7" t="n">
        <x:v>5</x:v>
      </x:c>
      <x:c r="I53" s="7" t="str"/>
      <x:c r="J53" s="7" t="str"/>
      <x:c r="K53" s="7" t="str"/>
      <x:c r="L53" s="7" t="str"/>
      <x:c r="M53" s="7" t="str"/>
      <x:c r="N53" s="7" t="str"/>
      <x:c r="O53" s="7" t="str">
        <x:f>IF(N53="","OPEN",IF(OR(I53="",J53="",K53="",L53="",M53=""),"FAIL","PASS"))</x:f>
        <x:v>OPEN</x:v>
      </x:c>
    </x:row>
    <x:row r="54">
      <x:c r="B54" s="7" t="str">
        <x:v>CH-PEA-A-X1-08-6</x:v>
      </x:c>
      <x:c r="C54" s="7" t="str">
        <x:v>PEA-A-X1</x:v>
      </x:c>
      <x:c r="D54" s="7" t="str">
        <x:v>BLD-A</x:v>
      </x:c>
      <x:c r="E54" s="7" t="str">
        <x:v>BL-X</x:v>
      </x:c>
      <x:c r="F54" s="7" t="str">
        <x:v>MF-08</x:v>
      </x:c>
      <x:c r="G54" s="7" t="str">
        <x:v>casualty receiver mass</x:v>
      </x:c>
      <x:c r="H54" s="7" t="n">
        <x:v>6</x:v>
      </x:c>
      <x:c r="I54" s="7" t="str"/>
      <x:c r="J54" s="7" t="str"/>
      <x:c r="K54" s="7" t="str"/>
      <x:c r="L54" s="7" t="str"/>
      <x:c r="M54" s="7" t="str"/>
      <x:c r="N54" s="7" t="str"/>
      <x:c r="O54" s="7" t="str">
        <x:f>IF(N54="","OPEN",IF(OR(I54="",J54="",K54="",L54="",M54=""),"FAIL","PASS"))</x:f>
        <x:v>OPEN</x:v>
      </x:c>
    </x:row>
    <x:row r="55">
      <x:c r="B55" s="7" t="str">
        <x:v>CH-PEA-A-X1-09-1</x:v>
      </x:c>
      <x:c r="C55" s="7" t="str">
        <x:v>PEA-A-X1</x:v>
      </x:c>
      <x:c r="D55" s="7" t="str">
        <x:v>BLD-A</x:v>
      </x:c>
      <x:c r="E55" s="7" t="str">
        <x:v>BL-X</x:v>
      </x:c>
      <x:c r="F55" s="7" t="str">
        <x:v>MF-09</x:v>
      </x:c>
      <x:c r="G55" s="7" t="str">
        <x:v>geometry and slope</x:v>
      </x:c>
      <x:c r="H55" s="7" t="n">
        <x:v>1</x:v>
      </x:c>
      <x:c r="I55" s="7" t="str"/>
      <x:c r="J55" s="7" t="str"/>
      <x:c r="K55" s="7" t="str"/>
      <x:c r="L55" s="7" t="str"/>
      <x:c r="M55" s="7" t="str"/>
      <x:c r="N55" s="7" t="str"/>
      <x:c r="O55" s="7" t="str">
        <x:f>IF(N55="","OPEN",IF(OR(I55="",J55="",K55="",L55="",M55=""),"FAIL","PASS"))</x:f>
        <x:v>OPEN</x:v>
      </x:c>
    </x:row>
    <x:row r="56">
      <x:c r="B56" s="7" t="str">
        <x:v>CH-PEA-A-X1-09-2</x:v>
      </x:c>
      <x:c r="C56" s="7" t="str">
        <x:v>PEA-A-X1</x:v>
      </x:c>
      <x:c r="D56" s="7" t="str">
        <x:v>BLD-A</x:v>
      </x:c>
      <x:c r="E56" s="7" t="str">
        <x:v>BL-X</x:v>
      </x:c>
      <x:c r="F56" s="7" t="str">
        <x:v>MF-09</x:v>
      </x:c>
      <x:c r="G56" s="7" t="str">
        <x:v>geometry and slope</x:v>
      </x:c>
      <x:c r="H56" s="7" t="n">
        <x:v>2</x:v>
      </x:c>
      <x:c r="I56" s="7" t="str"/>
      <x:c r="J56" s="7" t="str"/>
      <x:c r="K56" s="7" t="str"/>
      <x:c r="L56" s="7" t="str"/>
      <x:c r="M56" s="7" t="str"/>
      <x:c r="N56" s="7" t="str"/>
      <x:c r="O56" s="7" t="str">
        <x:f>IF(N56="","OPEN",IF(OR(I56="",J56="",K56="",L56="",M56=""),"FAIL","PASS"))</x:f>
        <x:v>OPEN</x:v>
      </x:c>
    </x:row>
    <x:row r="57">
      <x:c r="B57" s="7" t="str">
        <x:v>CH-PEA-A-X1-09-3</x:v>
      </x:c>
      <x:c r="C57" s="7" t="str">
        <x:v>PEA-A-X1</x:v>
      </x:c>
      <x:c r="D57" s="7" t="str">
        <x:v>BLD-A</x:v>
      </x:c>
      <x:c r="E57" s="7" t="str">
        <x:v>BL-X</x:v>
      </x:c>
      <x:c r="F57" s="7" t="str">
        <x:v>MF-09</x:v>
      </x:c>
      <x:c r="G57" s="7" t="str">
        <x:v>geometry and slope</x:v>
      </x:c>
      <x:c r="H57" s="7" t="n">
        <x:v>3</x:v>
      </x:c>
      <x:c r="I57" s="7" t="str"/>
      <x:c r="J57" s="7" t="str"/>
      <x:c r="K57" s="7" t="str"/>
      <x:c r="L57" s="7" t="str"/>
      <x:c r="M57" s="7" t="str"/>
      <x:c r="N57" s="7" t="str"/>
      <x:c r="O57" s="7" t="str">
        <x:f>IF(N57="","OPEN",IF(OR(I57="",J57="",K57="",L57="",M57=""),"FAIL","PASS"))</x:f>
        <x:v>OPEN</x:v>
      </x:c>
    </x:row>
    <x:row r="58">
      <x:c r="B58" s="7" t="str">
        <x:v>CH-PEA-A-X1-09-4</x:v>
      </x:c>
      <x:c r="C58" s="7" t="str">
        <x:v>PEA-A-X1</x:v>
      </x:c>
      <x:c r="D58" s="7" t="str">
        <x:v>BLD-A</x:v>
      </x:c>
      <x:c r="E58" s="7" t="str">
        <x:v>BL-X</x:v>
      </x:c>
      <x:c r="F58" s="7" t="str">
        <x:v>MF-09</x:v>
      </x:c>
      <x:c r="G58" s="7" t="str">
        <x:v>geometry and slope</x:v>
      </x:c>
      <x:c r="H58" s="7" t="n">
        <x:v>4</x:v>
      </x:c>
      <x:c r="I58" s="7" t="str"/>
      <x:c r="J58" s="7" t="str"/>
      <x:c r="K58" s="7" t="str"/>
      <x:c r="L58" s="7" t="str"/>
      <x:c r="M58" s="7" t="str"/>
      <x:c r="N58" s="7" t="str"/>
      <x:c r="O58" s="7" t="str">
        <x:f>IF(N58="","OPEN",IF(OR(I58="",J58="",K58="",L58="",M58=""),"FAIL","PASS"))</x:f>
        <x:v>OPEN</x:v>
      </x:c>
    </x:row>
    <x:row r="59">
      <x:c r="B59" s="7" t="str">
        <x:v>CH-PEA-A-X1-09-5</x:v>
      </x:c>
      <x:c r="C59" s="7" t="str">
        <x:v>PEA-A-X1</x:v>
      </x:c>
      <x:c r="D59" s="7" t="str">
        <x:v>BLD-A</x:v>
      </x:c>
      <x:c r="E59" s="7" t="str">
        <x:v>BL-X</x:v>
      </x:c>
      <x:c r="F59" s="7" t="str">
        <x:v>MF-09</x:v>
      </x:c>
      <x:c r="G59" s="7" t="str">
        <x:v>geometry and slope</x:v>
      </x:c>
      <x:c r="H59" s="7" t="n">
        <x:v>5</x:v>
      </x:c>
      <x:c r="I59" s="7" t="str"/>
      <x:c r="J59" s="7" t="str"/>
      <x:c r="K59" s="7" t="str"/>
      <x:c r="L59" s="7" t="str"/>
      <x:c r="M59" s="7" t="str"/>
      <x:c r="N59" s="7" t="str"/>
      <x:c r="O59" s="7" t="str">
        <x:f>IF(N59="","OPEN",IF(OR(I59="",J59="",K59="",L59="",M59=""),"FAIL","PASS"))</x:f>
        <x:v>OPEN</x:v>
      </x:c>
    </x:row>
    <x:row r="60">
      <x:c r="B60" s="7" t="str">
        <x:v>CH-PEA-A-X1-09-6</x:v>
      </x:c>
      <x:c r="C60" s="7" t="str">
        <x:v>PEA-A-X1</x:v>
      </x:c>
      <x:c r="D60" s="7" t="str">
        <x:v>BLD-A</x:v>
      </x:c>
      <x:c r="E60" s="7" t="str">
        <x:v>BL-X</x:v>
      </x:c>
      <x:c r="F60" s="7" t="str">
        <x:v>MF-09</x:v>
      </x:c>
      <x:c r="G60" s="7" t="str">
        <x:v>geometry and slope</x:v>
      </x:c>
      <x:c r="H60" s="7" t="n">
        <x:v>6</x:v>
      </x:c>
      <x:c r="I60" s="7" t="str"/>
      <x:c r="J60" s="7" t="str"/>
      <x:c r="K60" s="7" t="str"/>
      <x:c r="L60" s="7" t="str"/>
      <x:c r="M60" s="7" t="str"/>
      <x:c r="N60" s="7" t="str"/>
      <x:c r="O60" s="7" t="str">
        <x:f>IF(N60="","OPEN",IF(OR(I60="",J60="",K60="",L60="",M60=""),"FAIL","PASS"))</x:f>
        <x:v>OPEN</x:v>
      </x:c>
    </x:row>
    <x:row r="61">
      <x:c r="B61" s="7" t="str">
        <x:v>CH-PEA-A-X1-10-1</x:v>
      </x:c>
      <x:c r="C61" s="7" t="str">
        <x:v>PEA-A-X1</x:v>
      </x:c>
      <x:c r="D61" s="7" t="str">
        <x:v>BLD-A</x:v>
      </x:c>
      <x:c r="E61" s="7" t="str">
        <x:v>BL-X</x:v>
      </x:c>
      <x:c r="F61" s="7" t="str">
        <x:v>MF-10</x:v>
      </x:c>
      <x:c r="G61" s="7" t="str">
        <x:v>normal-source path state</x:v>
      </x:c>
      <x:c r="H61" s="7" t="n">
        <x:v>1</x:v>
      </x:c>
      <x:c r="I61" s="7" t="str"/>
      <x:c r="J61" s="7" t="str"/>
      <x:c r="K61" s="7" t="str"/>
      <x:c r="L61" s="7" t="str"/>
      <x:c r="M61" s="7" t="str"/>
      <x:c r="N61" s="7" t="str"/>
      <x:c r="O61" s="7" t="str">
        <x:f>IF(N61="","OPEN",IF(OR(I61="",J61="",K61="",L61="",M61=""),"FAIL","PASS"))</x:f>
        <x:v>OPEN</x:v>
      </x:c>
    </x:row>
    <x:row r="62">
      <x:c r="B62" s="7" t="str">
        <x:v>CH-PEA-A-X1-10-2</x:v>
      </x:c>
      <x:c r="C62" s="7" t="str">
        <x:v>PEA-A-X1</x:v>
      </x:c>
      <x:c r="D62" s="7" t="str">
        <x:v>BLD-A</x:v>
      </x:c>
      <x:c r="E62" s="7" t="str">
        <x:v>BL-X</x:v>
      </x:c>
      <x:c r="F62" s="7" t="str">
        <x:v>MF-10</x:v>
      </x:c>
      <x:c r="G62" s="7" t="str">
        <x:v>normal-source path state</x:v>
      </x:c>
      <x:c r="H62" s="7" t="n">
        <x:v>2</x:v>
      </x:c>
      <x:c r="I62" s="7" t="str"/>
      <x:c r="J62" s="7" t="str"/>
      <x:c r="K62" s="7" t="str"/>
      <x:c r="L62" s="7" t="str"/>
      <x:c r="M62" s="7" t="str"/>
      <x:c r="N62" s="7" t="str"/>
      <x:c r="O62" s="7" t="str">
        <x:f>IF(N62="","OPEN",IF(OR(I62="",J62="",K62="",L62="",M62=""),"FAIL","PASS"))</x:f>
        <x:v>OPEN</x:v>
      </x:c>
    </x:row>
    <x:row r="63">
      <x:c r="B63" s="7" t="str">
        <x:v>CH-PEA-A-X1-10-3</x:v>
      </x:c>
      <x:c r="C63" s="7" t="str">
        <x:v>PEA-A-X1</x:v>
      </x:c>
      <x:c r="D63" s="7" t="str">
        <x:v>BLD-A</x:v>
      </x:c>
      <x:c r="E63" s="7" t="str">
        <x:v>BL-X</x:v>
      </x:c>
      <x:c r="F63" s="7" t="str">
        <x:v>MF-10</x:v>
      </x:c>
      <x:c r="G63" s="7" t="str">
        <x:v>normal-source path state</x:v>
      </x:c>
      <x:c r="H63" s="7" t="n">
        <x:v>3</x:v>
      </x:c>
      <x:c r="I63" s="7" t="str"/>
      <x:c r="J63" s="7" t="str"/>
      <x:c r="K63" s="7" t="str"/>
      <x:c r="L63" s="7" t="str"/>
      <x:c r="M63" s="7" t="str"/>
      <x:c r="N63" s="7" t="str"/>
      <x:c r="O63" s="7" t="str">
        <x:f>IF(N63="","OPEN",IF(OR(I63="",J63="",K63="",L63="",M63=""),"FAIL","PASS"))</x:f>
        <x:v>OPEN</x:v>
      </x:c>
    </x:row>
    <x:row r="64">
      <x:c r="B64" s="7" t="str">
        <x:v>CH-PEA-A-X1-10-4</x:v>
      </x:c>
      <x:c r="C64" s="7" t="str">
        <x:v>PEA-A-X1</x:v>
      </x:c>
      <x:c r="D64" s="7" t="str">
        <x:v>BLD-A</x:v>
      </x:c>
      <x:c r="E64" s="7" t="str">
        <x:v>BL-X</x:v>
      </x:c>
      <x:c r="F64" s="7" t="str">
        <x:v>MF-10</x:v>
      </x:c>
      <x:c r="G64" s="7" t="str">
        <x:v>normal-source path state</x:v>
      </x:c>
      <x:c r="H64" s="7" t="n">
        <x:v>4</x:v>
      </x:c>
      <x:c r="I64" s="7" t="str"/>
      <x:c r="J64" s="7" t="str"/>
      <x:c r="K64" s="7" t="str"/>
      <x:c r="L64" s="7" t="str"/>
      <x:c r="M64" s="7" t="str"/>
      <x:c r="N64" s="7" t="str"/>
      <x:c r="O64" s="7" t="str">
        <x:f>IF(N64="","OPEN",IF(OR(I64="",J64="",K64="",L64="",M64=""),"FAIL","PASS"))</x:f>
        <x:v>OPEN</x:v>
      </x:c>
    </x:row>
    <x:row r="65">
      <x:c r="B65" s="7" t="str">
        <x:v>CH-PEA-A-X1-10-5</x:v>
      </x:c>
      <x:c r="C65" s="7" t="str">
        <x:v>PEA-A-X1</x:v>
      </x:c>
      <x:c r="D65" s="7" t="str">
        <x:v>BLD-A</x:v>
      </x:c>
      <x:c r="E65" s="7" t="str">
        <x:v>BL-X</x:v>
      </x:c>
      <x:c r="F65" s="7" t="str">
        <x:v>MF-10</x:v>
      </x:c>
      <x:c r="G65" s="7" t="str">
        <x:v>normal-source path state</x:v>
      </x:c>
      <x:c r="H65" s="7" t="n">
        <x:v>5</x:v>
      </x:c>
      <x:c r="I65" s="7" t="str"/>
      <x:c r="J65" s="7" t="str"/>
      <x:c r="K65" s="7" t="str"/>
      <x:c r="L65" s="7" t="str"/>
      <x:c r="M65" s="7" t="str"/>
      <x:c r="N65" s="7" t="str"/>
      <x:c r="O65" s="7" t="str">
        <x:f>IF(N65="","OPEN",IF(OR(I65="",J65="",K65="",L65="",M65=""),"FAIL","PASS"))</x:f>
        <x:v>OPEN</x:v>
      </x:c>
    </x:row>
    <x:row r="66">
      <x:c r="B66" s="7" t="str">
        <x:v>CH-PEA-A-X1-10-6</x:v>
      </x:c>
      <x:c r="C66" s="7" t="str">
        <x:v>PEA-A-X1</x:v>
      </x:c>
      <x:c r="D66" s="7" t="str">
        <x:v>BLD-A</x:v>
      </x:c>
      <x:c r="E66" s="7" t="str">
        <x:v>BL-X</x:v>
      </x:c>
      <x:c r="F66" s="7" t="str">
        <x:v>MF-10</x:v>
      </x:c>
      <x:c r="G66" s="7" t="str">
        <x:v>normal-source path state</x:v>
      </x:c>
      <x:c r="H66" s="7" t="n">
        <x:v>6</x:v>
      </x:c>
      <x:c r="I66" s="7" t="str"/>
      <x:c r="J66" s="7" t="str"/>
      <x:c r="K66" s="7" t="str"/>
      <x:c r="L66" s="7" t="str"/>
      <x:c r="M66" s="7" t="str"/>
      <x:c r="N66" s="7" t="str"/>
      <x:c r="O66" s="7" t="str">
        <x:f>IF(N66="","OPEN",IF(OR(I66="",J66="",K66="",L66="",M66=""),"FAIL","PASS"))</x:f>
        <x:v>OPEN</x:v>
      </x:c>
    </x:row>
    <x:row r="67">
      <x:c r="B67" s="7" t="str">
        <x:v>CH-PEA-A-X1-11-1</x:v>
      </x:c>
      <x:c r="C67" s="7" t="str">
        <x:v>PEA-A-X1</x:v>
      </x:c>
      <x:c r="D67" s="7" t="str">
        <x:v>BLD-A</x:v>
      </x:c>
      <x:c r="E67" s="7" t="str">
        <x:v>BL-X</x:v>
      </x:c>
      <x:c r="F67" s="7" t="str">
        <x:v>MF-11</x:v>
      </x:c>
      <x:c r="G67" s="7" t="str">
        <x:v>casualty-source path state</x:v>
      </x:c>
      <x:c r="H67" s="7" t="n">
        <x:v>1</x:v>
      </x:c>
      <x:c r="I67" s="7" t="str"/>
      <x:c r="J67" s="7" t="str"/>
      <x:c r="K67" s="7" t="str"/>
      <x:c r="L67" s="7" t="str"/>
      <x:c r="M67" s="7" t="str"/>
      <x:c r="N67" s="7" t="str"/>
      <x:c r="O67" s="7" t="str">
        <x:f>IF(N67="","OPEN",IF(OR(I67="",J67="",K67="",L67="",M67=""),"FAIL","PASS"))</x:f>
        <x:v>OPEN</x:v>
      </x:c>
    </x:row>
    <x:row r="68">
      <x:c r="B68" s="7" t="str">
        <x:v>CH-PEA-A-X1-11-2</x:v>
      </x:c>
      <x:c r="C68" s="7" t="str">
        <x:v>PEA-A-X1</x:v>
      </x:c>
      <x:c r="D68" s="7" t="str">
        <x:v>BLD-A</x:v>
      </x:c>
      <x:c r="E68" s="7" t="str">
        <x:v>BL-X</x:v>
      </x:c>
      <x:c r="F68" s="7" t="str">
        <x:v>MF-11</x:v>
      </x:c>
      <x:c r="G68" s="7" t="str">
        <x:v>casualty-source path state</x:v>
      </x:c>
      <x:c r="H68" s="7" t="n">
        <x:v>2</x:v>
      </x:c>
      <x:c r="I68" s="7" t="str"/>
      <x:c r="J68" s="7" t="str"/>
      <x:c r="K68" s="7" t="str"/>
      <x:c r="L68" s="7" t="str"/>
      <x:c r="M68" s="7" t="str"/>
      <x:c r="N68" s="7" t="str"/>
      <x:c r="O68" s="7" t="str">
        <x:f>IF(N68="","OPEN",IF(OR(I68="",J68="",K68="",L68="",M68=""),"FAIL","PASS"))</x:f>
        <x:v>OPEN</x:v>
      </x:c>
    </x:row>
    <x:row r="69">
      <x:c r="B69" s="7" t="str">
        <x:v>CH-PEA-A-X1-11-3</x:v>
      </x:c>
      <x:c r="C69" s="7" t="str">
        <x:v>PEA-A-X1</x:v>
      </x:c>
      <x:c r="D69" s="7" t="str">
        <x:v>BLD-A</x:v>
      </x:c>
      <x:c r="E69" s="7" t="str">
        <x:v>BL-X</x:v>
      </x:c>
      <x:c r="F69" s="7" t="str">
        <x:v>MF-11</x:v>
      </x:c>
      <x:c r="G69" s="7" t="str">
        <x:v>casualty-source path state</x:v>
      </x:c>
      <x:c r="H69" s="7" t="n">
        <x:v>3</x:v>
      </x:c>
      <x:c r="I69" s="7" t="str"/>
      <x:c r="J69" s="7" t="str"/>
      <x:c r="K69" s="7" t="str"/>
      <x:c r="L69" s="7" t="str"/>
      <x:c r="M69" s="7" t="str"/>
      <x:c r="N69" s="7" t="str"/>
      <x:c r="O69" s="7" t="str">
        <x:f>IF(N69="","OPEN",IF(OR(I69="",J69="",K69="",L69="",M69=""),"FAIL","PASS"))</x:f>
        <x:v>OPEN</x:v>
      </x:c>
    </x:row>
    <x:row r="70">
      <x:c r="B70" s="7" t="str">
        <x:v>CH-PEA-A-X1-11-4</x:v>
      </x:c>
      <x:c r="C70" s="7" t="str">
        <x:v>PEA-A-X1</x:v>
      </x:c>
      <x:c r="D70" s="7" t="str">
        <x:v>BLD-A</x:v>
      </x:c>
      <x:c r="E70" s="7" t="str">
        <x:v>BL-X</x:v>
      </x:c>
      <x:c r="F70" s="7" t="str">
        <x:v>MF-11</x:v>
      </x:c>
      <x:c r="G70" s="7" t="str">
        <x:v>casualty-source path state</x:v>
      </x:c>
      <x:c r="H70" s="7" t="n">
        <x:v>4</x:v>
      </x:c>
      <x:c r="I70" s="7" t="str"/>
      <x:c r="J70" s="7" t="str"/>
      <x:c r="K70" s="7" t="str"/>
      <x:c r="L70" s="7" t="str"/>
      <x:c r="M70" s="7" t="str"/>
      <x:c r="N70" s="7" t="str"/>
      <x:c r="O70" s="7" t="str">
        <x:f>IF(N70="","OPEN",IF(OR(I70="",J70="",K70="",L70="",M70=""),"FAIL","PASS"))</x:f>
        <x:v>OPEN</x:v>
      </x:c>
    </x:row>
    <x:row r="71">
      <x:c r="B71" s="7" t="str">
        <x:v>CH-PEA-A-X1-11-5</x:v>
      </x:c>
      <x:c r="C71" s="7" t="str">
        <x:v>PEA-A-X1</x:v>
      </x:c>
      <x:c r="D71" s="7" t="str">
        <x:v>BLD-A</x:v>
      </x:c>
      <x:c r="E71" s="7" t="str">
        <x:v>BL-X</x:v>
      </x:c>
      <x:c r="F71" s="7" t="str">
        <x:v>MF-11</x:v>
      </x:c>
      <x:c r="G71" s="7" t="str">
        <x:v>casualty-source path state</x:v>
      </x:c>
      <x:c r="H71" s="7" t="n">
        <x:v>5</x:v>
      </x:c>
      <x:c r="I71" s="7" t="str"/>
      <x:c r="J71" s="7" t="str"/>
      <x:c r="K71" s="7" t="str"/>
      <x:c r="L71" s="7" t="str"/>
      <x:c r="M71" s="7" t="str"/>
      <x:c r="N71" s="7" t="str"/>
      <x:c r="O71" s="7" t="str">
        <x:f>IF(N71="","OPEN",IF(OR(I71="",J71="",K71="",L71="",M71=""),"FAIL","PASS"))</x:f>
        <x:v>OPEN</x:v>
      </x:c>
    </x:row>
    <x:row r="72">
      <x:c r="B72" s="7" t="str">
        <x:v>CH-PEA-A-X1-11-6</x:v>
      </x:c>
      <x:c r="C72" s="7" t="str">
        <x:v>PEA-A-X1</x:v>
      </x:c>
      <x:c r="D72" s="7" t="str">
        <x:v>BLD-A</x:v>
      </x:c>
      <x:c r="E72" s="7" t="str">
        <x:v>BL-X</x:v>
      </x:c>
      <x:c r="F72" s="7" t="str">
        <x:v>MF-11</x:v>
      </x:c>
      <x:c r="G72" s="7" t="str">
        <x:v>casualty-source path state</x:v>
      </x:c>
      <x:c r="H72" s="7" t="n">
        <x:v>6</x:v>
      </x:c>
      <x:c r="I72" s="7" t="str"/>
      <x:c r="J72" s="7" t="str"/>
      <x:c r="K72" s="7" t="str"/>
      <x:c r="L72" s="7" t="str"/>
      <x:c r="M72" s="7" t="str"/>
      <x:c r="N72" s="7" t="str"/>
      <x:c r="O72" s="7" t="str">
        <x:f>IF(N72="","OPEN",IF(OR(I72="",J72="",K72="",L72="",M72=""),"FAIL","PASS"))</x:f>
        <x:v>OPEN</x:v>
      </x:c>
    </x:row>
    <x:row r="73">
      <x:c r="B73" s="7" t="str">
        <x:v>CH-PEA-A-X1-12-1</x:v>
      </x:c>
      <x:c r="C73" s="7" t="str">
        <x:v>PEA-A-X1</x:v>
      </x:c>
      <x:c r="D73" s="7" t="str">
        <x:v>BLD-A</x:v>
      </x:c>
      <x:c r="E73" s="7" t="str">
        <x:v>BL-X</x:v>
      </x:c>
      <x:c r="F73" s="7" t="str">
        <x:v>MF-12</x:v>
      </x:c>
      <x:c r="G73" s="7" t="str">
        <x:v>candidate-water path state</x:v>
      </x:c>
      <x:c r="H73" s="7" t="n">
        <x:v>1</x:v>
      </x:c>
      <x:c r="I73" s="7" t="str"/>
      <x:c r="J73" s="7" t="str"/>
      <x:c r="K73" s="7" t="str"/>
      <x:c r="L73" s="7" t="str"/>
      <x:c r="M73" s="7" t="str"/>
      <x:c r="N73" s="7" t="str"/>
      <x:c r="O73" s="7" t="str">
        <x:f>IF(N73="","OPEN",IF(OR(I73="",J73="",K73="",L73="",M73=""),"FAIL","PASS"))</x:f>
        <x:v>OPEN</x:v>
      </x:c>
    </x:row>
    <x:row r="74">
      <x:c r="B74" s="7" t="str">
        <x:v>CH-PEA-A-X1-12-2</x:v>
      </x:c>
      <x:c r="C74" s="7" t="str">
        <x:v>PEA-A-X1</x:v>
      </x:c>
      <x:c r="D74" s="7" t="str">
        <x:v>BLD-A</x:v>
      </x:c>
      <x:c r="E74" s="7" t="str">
        <x:v>BL-X</x:v>
      </x:c>
      <x:c r="F74" s="7" t="str">
        <x:v>MF-12</x:v>
      </x:c>
      <x:c r="G74" s="7" t="str">
        <x:v>candidate-water path state</x:v>
      </x:c>
      <x:c r="H74" s="7" t="n">
        <x:v>2</x:v>
      </x:c>
      <x:c r="I74" s="7" t="str"/>
      <x:c r="J74" s="7" t="str"/>
      <x:c r="K74" s="7" t="str"/>
      <x:c r="L74" s="7" t="str"/>
      <x:c r="M74" s="7" t="str"/>
      <x:c r="N74" s="7" t="str"/>
      <x:c r="O74" s="7" t="str">
        <x:f>IF(N74="","OPEN",IF(OR(I74="",J74="",K74="",L74="",M74=""),"FAIL","PASS"))</x:f>
        <x:v>OPEN</x:v>
      </x:c>
    </x:row>
    <x:row r="75">
      <x:c r="B75" s="7" t="str">
        <x:v>CH-PEA-A-X1-12-3</x:v>
      </x:c>
      <x:c r="C75" s="7" t="str">
        <x:v>PEA-A-X1</x:v>
      </x:c>
      <x:c r="D75" s="7" t="str">
        <x:v>BLD-A</x:v>
      </x:c>
      <x:c r="E75" s="7" t="str">
        <x:v>BL-X</x:v>
      </x:c>
      <x:c r="F75" s="7" t="str">
        <x:v>MF-12</x:v>
      </x:c>
      <x:c r="G75" s="7" t="str">
        <x:v>candidate-water path state</x:v>
      </x:c>
      <x:c r="H75" s="7" t="n">
        <x:v>3</x:v>
      </x:c>
      <x:c r="I75" s="7" t="str"/>
      <x:c r="J75" s="7" t="str"/>
      <x:c r="K75" s="7" t="str"/>
      <x:c r="L75" s="7" t="str"/>
      <x:c r="M75" s="7" t="str"/>
      <x:c r="N75" s="7" t="str"/>
      <x:c r="O75" s="7" t="str">
        <x:f>IF(N75="","OPEN",IF(OR(I75="",J75="",K75="",L75="",M75=""),"FAIL","PASS"))</x:f>
        <x:v>OPEN</x:v>
      </x:c>
    </x:row>
    <x:row r="76">
      <x:c r="B76" s="7" t="str">
        <x:v>CH-PEA-A-X1-12-4</x:v>
      </x:c>
      <x:c r="C76" s="7" t="str">
        <x:v>PEA-A-X1</x:v>
      </x:c>
      <x:c r="D76" s="7" t="str">
        <x:v>BLD-A</x:v>
      </x:c>
      <x:c r="E76" s="7" t="str">
        <x:v>BL-X</x:v>
      </x:c>
      <x:c r="F76" s="7" t="str">
        <x:v>MF-12</x:v>
      </x:c>
      <x:c r="G76" s="7" t="str">
        <x:v>candidate-water path state</x:v>
      </x:c>
      <x:c r="H76" s="7" t="n">
        <x:v>4</x:v>
      </x:c>
      <x:c r="I76" s="7" t="str"/>
      <x:c r="J76" s="7" t="str"/>
      <x:c r="K76" s="7" t="str"/>
      <x:c r="L76" s="7" t="str"/>
      <x:c r="M76" s="7" t="str"/>
      <x:c r="N76" s="7" t="str"/>
      <x:c r="O76" s="7" t="str">
        <x:f>IF(N76="","OPEN",IF(OR(I76="",J76="",K76="",L76="",M76=""),"FAIL","PASS"))</x:f>
        <x:v>OPEN</x:v>
      </x:c>
    </x:row>
    <x:row r="77">
      <x:c r="B77" s="7" t="str">
        <x:v>CH-PEA-A-X1-12-5</x:v>
      </x:c>
      <x:c r="C77" s="7" t="str">
        <x:v>PEA-A-X1</x:v>
      </x:c>
      <x:c r="D77" s="7" t="str">
        <x:v>BLD-A</x:v>
      </x:c>
      <x:c r="E77" s="7" t="str">
        <x:v>BL-X</x:v>
      </x:c>
      <x:c r="F77" s="7" t="str">
        <x:v>MF-12</x:v>
      </x:c>
      <x:c r="G77" s="7" t="str">
        <x:v>candidate-water path state</x:v>
      </x:c>
      <x:c r="H77" s="7" t="n">
        <x:v>5</x:v>
      </x:c>
      <x:c r="I77" s="7" t="str"/>
      <x:c r="J77" s="7" t="str"/>
      <x:c r="K77" s="7" t="str"/>
      <x:c r="L77" s="7" t="str"/>
      <x:c r="M77" s="7" t="str"/>
      <x:c r="N77" s="7" t="str"/>
      <x:c r="O77" s="7" t="str">
        <x:f>IF(N77="","OPEN",IF(OR(I77="",J77="",K77="",L77="",M77=""),"FAIL","PASS"))</x:f>
        <x:v>OPEN</x:v>
      </x:c>
    </x:row>
    <x:row r="78">
      <x:c r="B78" s="7" t="str">
        <x:v>CH-PEA-A-X1-12-6</x:v>
      </x:c>
      <x:c r="C78" s="7" t="str">
        <x:v>PEA-A-X1</x:v>
      </x:c>
      <x:c r="D78" s="7" t="str">
        <x:v>BLD-A</x:v>
      </x:c>
      <x:c r="E78" s="7" t="str">
        <x:v>BL-X</x:v>
      </x:c>
      <x:c r="F78" s="7" t="str">
        <x:v>MF-12</x:v>
      </x:c>
      <x:c r="G78" s="7" t="str">
        <x:v>candidate-water path state</x:v>
      </x:c>
      <x:c r="H78" s="7" t="n">
        <x:v>6</x:v>
      </x:c>
      <x:c r="I78" s="7" t="str"/>
      <x:c r="J78" s="7" t="str"/>
      <x:c r="K78" s="7" t="str"/>
      <x:c r="L78" s="7" t="str"/>
      <x:c r="M78" s="7" t="str"/>
      <x:c r="N78" s="7" t="str"/>
      <x:c r="O78" s="7" t="str">
        <x:f>IF(N78="","OPEN",IF(OR(I78="",J78="",K78="",L78="",M78=""),"FAIL","PASS"))</x:f>
        <x:v>OPEN</x:v>
      </x:c>
    </x:row>
    <x:row r="79">
      <x:c r="B79" s="7" t="str">
        <x:v>CH-PEA-A-X1-13-1</x:v>
      </x:c>
      <x:c r="C79" s="7" t="str">
        <x:v>PEA-A-X1</x:v>
      </x:c>
      <x:c r="D79" s="7" t="str">
        <x:v>BLD-A</x:v>
      </x:c>
      <x:c r="E79" s="7" t="str">
        <x:v>BL-X</x:v>
      </x:c>
      <x:c r="F79" s="7" t="str">
        <x:v>MF-13</x:v>
      </x:c>
      <x:c r="G79" s="7" t="str">
        <x:v>final-element reference</x:v>
      </x:c>
      <x:c r="H79" s="7" t="n">
        <x:v>1</x:v>
      </x:c>
      <x:c r="I79" s="7" t="str"/>
      <x:c r="J79" s="7" t="str"/>
      <x:c r="K79" s="7" t="str"/>
      <x:c r="L79" s="7" t="str"/>
      <x:c r="M79" s="7" t="str"/>
      <x:c r="N79" s="7" t="str"/>
      <x:c r="O79" s="7" t="str">
        <x:f>IF(N79="","OPEN",IF(OR(I79="",J79="",K79="",L79="",M79=""),"FAIL","PASS"))</x:f>
        <x:v>OPEN</x:v>
      </x:c>
    </x:row>
    <x:row r="80">
      <x:c r="B80" s="7" t="str">
        <x:v>CH-PEA-A-X1-13-2</x:v>
      </x:c>
      <x:c r="C80" s="7" t="str">
        <x:v>PEA-A-X1</x:v>
      </x:c>
      <x:c r="D80" s="7" t="str">
        <x:v>BLD-A</x:v>
      </x:c>
      <x:c r="E80" s="7" t="str">
        <x:v>BL-X</x:v>
      </x:c>
      <x:c r="F80" s="7" t="str">
        <x:v>MF-13</x:v>
      </x:c>
      <x:c r="G80" s="7" t="str">
        <x:v>final-element reference</x:v>
      </x:c>
      <x:c r="H80" s="7" t="n">
        <x:v>2</x:v>
      </x:c>
      <x:c r="I80" s="7" t="str"/>
      <x:c r="J80" s="7" t="str"/>
      <x:c r="K80" s="7" t="str"/>
      <x:c r="L80" s="7" t="str"/>
      <x:c r="M80" s="7" t="str"/>
      <x:c r="N80" s="7" t="str"/>
      <x:c r="O80" s="7" t="str">
        <x:f>IF(N80="","OPEN",IF(OR(I80="",J80="",K80="",L80="",M80=""),"FAIL","PASS"))</x:f>
        <x:v>OPEN</x:v>
      </x:c>
    </x:row>
    <x:row r="81">
      <x:c r="B81" s="7" t="str">
        <x:v>CH-PEA-A-X1-13-3</x:v>
      </x:c>
      <x:c r="C81" s="7" t="str">
        <x:v>PEA-A-X1</x:v>
      </x:c>
      <x:c r="D81" s="7" t="str">
        <x:v>BLD-A</x:v>
      </x:c>
      <x:c r="E81" s="7" t="str">
        <x:v>BL-X</x:v>
      </x:c>
      <x:c r="F81" s="7" t="str">
        <x:v>MF-13</x:v>
      </x:c>
      <x:c r="G81" s="7" t="str">
        <x:v>final-element reference</x:v>
      </x:c>
      <x:c r="H81" s="7" t="n">
        <x:v>3</x:v>
      </x:c>
      <x:c r="I81" s="7" t="str"/>
      <x:c r="J81" s="7" t="str"/>
      <x:c r="K81" s="7" t="str"/>
      <x:c r="L81" s="7" t="str"/>
      <x:c r="M81" s="7" t="str"/>
      <x:c r="N81" s="7" t="str"/>
      <x:c r="O81" s="7" t="str">
        <x:f>IF(N81="","OPEN",IF(OR(I81="",J81="",K81="",L81="",M81=""),"FAIL","PASS"))</x:f>
        <x:v>OPEN</x:v>
      </x:c>
    </x:row>
    <x:row r="82">
      <x:c r="B82" s="7" t="str">
        <x:v>CH-PEA-A-X1-13-4</x:v>
      </x:c>
      <x:c r="C82" s="7" t="str">
        <x:v>PEA-A-X1</x:v>
      </x:c>
      <x:c r="D82" s="7" t="str">
        <x:v>BLD-A</x:v>
      </x:c>
      <x:c r="E82" s="7" t="str">
        <x:v>BL-X</x:v>
      </x:c>
      <x:c r="F82" s="7" t="str">
        <x:v>MF-13</x:v>
      </x:c>
      <x:c r="G82" s="7" t="str">
        <x:v>final-element reference</x:v>
      </x:c>
      <x:c r="H82" s="7" t="n">
        <x:v>4</x:v>
      </x:c>
      <x:c r="I82" s="7" t="str"/>
      <x:c r="J82" s="7" t="str"/>
      <x:c r="K82" s="7" t="str"/>
      <x:c r="L82" s="7" t="str"/>
      <x:c r="M82" s="7" t="str"/>
      <x:c r="N82" s="7" t="str"/>
      <x:c r="O82" s="7" t="str">
        <x:f>IF(N82="","OPEN",IF(OR(I82="",J82="",K82="",L82="",M82=""),"FAIL","PASS"))</x:f>
        <x:v>OPEN</x:v>
      </x:c>
    </x:row>
    <x:row r="83">
      <x:c r="B83" s="7" t="str">
        <x:v>CH-PEA-A-X1-13-5</x:v>
      </x:c>
      <x:c r="C83" s="7" t="str">
        <x:v>PEA-A-X1</x:v>
      </x:c>
      <x:c r="D83" s="7" t="str">
        <x:v>BLD-A</x:v>
      </x:c>
      <x:c r="E83" s="7" t="str">
        <x:v>BL-X</x:v>
      </x:c>
      <x:c r="F83" s="7" t="str">
        <x:v>MF-13</x:v>
      </x:c>
      <x:c r="G83" s="7" t="str">
        <x:v>final-element reference</x:v>
      </x:c>
      <x:c r="H83" s="7" t="n">
        <x:v>5</x:v>
      </x:c>
      <x:c r="I83" s="7" t="str"/>
      <x:c r="J83" s="7" t="str"/>
      <x:c r="K83" s="7" t="str"/>
      <x:c r="L83" s="7" t="str"/>
      <x:c r="M83" s="7" t="str"/>
      <x:c r="N83" s="7" t="str"/>
      <x:c r="O83" s="7" t="str">
        <x:f>IF(N83="","OPEN",IF(OR(I83="",J83="",K83="",L83="",M83=""),"FAIL","PASS"))</x:f>
        <x:v>OPEN</x:v>
      </x:c>
    </x:row>
    <x:row r="84">
      <x:c r="B84" s="7" t="str">
        <x:v>CH-PEA-A-X1-13-6</x:v>
      </x:c>
      <x:c r="C84" s="7" t="str">
        <x:v>PEA-A-X1</x:v>
      </x:c>
      <x:c r="D84" s="7" t="str">
        <x:v>BLD-A</x:v>
      </x:c>
      <x:c r="E84" s="7" t="str">
        <x:v>BL-X</x:v>
      </x:c>
      <x:c r="F84" s="7" t="str">
        <x:v>MF-13</x:v>
      </x:c>
      <x:c r="G84" s="7" t="str">
        <x:v>final-element reference</x:v>
      </x:c>
      <x:c r="H84" s="7" t="n">
        <x:v>6</x:v>
      </x:c>
      <x:c r="I84" s="7" t="str"/>
      <x:c r="J84" s="7" t="str"/>
      <x:c r="K84" s="7" t="str"/>
      <x:c r="L84" s="7" t="str"/>
      <x:c r="M84" s="7" t="str"/>
      <x:c r="N84" s="7" t="str"/>
      <x:c r="O84" s="7" t="str">
        <x:f>IF(N84="","OPEN",IF(OR(I84="",J84="",K84="",L84="",M84=""),"FAIL","PASS"))</x:f>
        <x:v>OPEN</x:v>
      </x:c>
    </x:row>
    <x:row r="85">
      <x:c r="B85" s="7" t="str">
        <x:v>CH-PEA-A-X1-14-1</x:v>
      </x:c>
      <x:c r="C85" s="7" t="str">
        <x:v>PEA-A-X1</x:v>
      </x:c>
      <x:c r="D85" s="7" t="str">
        <x:v>BLD-A</x:v>
      </x:c>
      <x:c r="E85" s="7" t="str">
        <x:v>BL-X</x:v>
      </x:c>
      <x:c r="F85" s="7" t="str">
        <x:v>MF-14</x:v>
      </x:c>
      <x:c r="G85" s="7" t="str">
        <x:v>causal time</x:v>
      </x:c>
      <x:c r="H85" s="7" t="n">
        <x:v>1</x:v>
      </x:c>
      <x:c r="I85" s="7" t="str"/>
      <x:c r="J85" s="7" t="str"/>
      <x:c r="K85" s="7" t="str"/>
      <x:c r="L85" s="7" t="str"/>
      <x:c r="M85" s="7" t="str"/>
      <x:c r="N85" s="7" t="str"/>
      <x:c r="O85" s="7" t="str">
        <x:f>IF(N85="","OPEN",IF(OR(I85="",J85="",K85="",L85="",M85=""),"FAIL","PASS"))</x:f>
        <x:v>OPEN</x:v>
      </x:c>
    </x:row>
    <x:row r="86">
      <x:c r="B86" s="7" t="str">
        <x:v>CH-PEA-A-X1-14-2</x:v>
      </x:c>
      <x:c r="C86" s="7" t="str">
        <x:v>PEA-A-X1</x:v>
      </x:c>
      <x:c r="D86" s="7" t="str">
        <x:v>BLD-A</x:v>
      </x:c>
      <x:c r="E86" s="7" t="str">
        <x:v>BL-X</x:v>
      </x:c>
      <x:c r="F86" s="7" t="str">
        <x:v>MF-14</x:v>
      </x:c>
      <x:c r="G86" s="7" t="str">
        <x:v>causal time</x:v>
      </x:c>
      <x:c r="H86" s="7" t="n">
        <x:v>2</x:v>
      </x:c>
      <x:c r="I86" s="7" t="str"/>
      <x:c r="J86" s="7" t="str"/>
      <x:c r="K86" s="7" t="str"/>
      <x:c r="L86" s="7" t="str"/>
      <x:c r="M86" s="7" t="str"/>
      <x:c r="N86" s="7" t="str"/>
      <x:c r="O86" s="7" t="str">
        <x:f>IF(N86="","OPEN",IF(OR(I86="",J86="",K86="",L86="",M86=""),"FAIL","PASS"))</x:f>
        <x:v>OPEN</x:v>
      </x:c>
    </x:row>
    <x:row r="87">
      <x:c r="B87" s="7" t="str">
        <x:v>CH-PEA-A-X1-14-3</x:v>
      </x:c>
      <x:c r="C87" s="7" t="str">
        <x:v>PEA-A-X1</x:v>
      </x:c>
      <x:c r="D87" s="7" t="str">
        <x:v>BLD-A</x:v>
      </x:c>
      <x:c r="E87" s="7" t="str">
        <x:v>BL-X</x:v>
      </x:c>
      <x:c r="F87" s="7" t="str">
        <x:v>MF-14</x:v>
      </x:c>
      <x:c r="G87" s="7" t="str">
        <x:v>causal time</x:v>
      </x:c>
      <x:c r="H87" s="7" t="n">
        <x:v>3</x:v>
      </x:c>
      <x:c r="I87" s="7" t="str"/>
      <x:c r="J87" s="7" t="str"/>
      <x:c r="K87" s="7" t="str"/>
      <x:c r="L87" s="7" t="str"/>
      <x:c r="M87" s="7" t="str"/>
      <x:c r="N87" s="7" t="str"/>
      <x:c r="O87" s="7" t="str">
        <x:f>IF(N87="","OPEN",IF(OR(I87="",J87="",K87="",L87="",M87=""),"FAIL","PASS"))</x:f>
        <x:v>OPEN</x:v>
      </x:c>
    </x:row>
    <x:row r="88">
      <x:c r="B88" s="7" t="str">
        <x:v>CH-PEA-A-X1-14-4</x:v>
      </x:c>
      <x:c r="C88" s="7" t="str">
        <x:v>PEA-A-X1</x:v>
      </x:c>
      <x:c r="D88" s="7" t="str">
        <x:v>BLD-A</x:v>
      </x:c>
      <x:c r="E88" s="7" t="str">
        <x:v>BL-X</x:v>
      </x:c>
      <x:c r="F88" s="7" t="str">
        <x:v>MF-14</x:v>
      </x:c>
      <x:c r="G88" s="7" t="str">
        <x:v>causal time</x:v>
      </x:c>
      <x:c r="H88" s="7" t="n">
        <x:v>4</x:v>
      </x:c>
      <x:c r="I88" s="7" t="str"/>
      <x:c r="J88" s="7" t="str"/>
      <x:c r="K88" s="7" t="str"/>
      <x:c r="L88" s="7" t="str"/>
      <x:c r="M88" s="7" t="str"/>
      <x:c r="N88" s="7" t="str"/>
      <x:c r="O88" s="7" t="str">
        <x:f>IF(N88="","OPEN",IF(OR(I88="",J88="",K88="",L88="",M88=""),"FAIL","PASS"))</x:f>
        <x:v>OPEN</x:v>
      </x:c>
    </x:row>
    <x:row r="89">
      <x:c r="B89" s="7" t="str">
        <x:v>CH-PEA-A-X1-14-5</x:v>
      </x:c>
      <x:c r="C89" s="7" t="str">
        <x:v>PEA-A-X1</x:v>
      </x:c>
      <x:c r="D89" s="7" t="str">
        <x:v>BLD-A</x:v>
      </x:c>
      <x:c r="E89" s="7" t="str">
        <x:v>BL-X</x:v>
      </x:c>
      <x:c r="F89" s="7" t="str">
        <x:v>MF-14</x:v>
      </x:c>
      <x:c r="G89" s="7" t="str">
        <x:v>causal time</x:v>
      </x:c>
      <x:c r="H89" s="7" t="n">
        <x:v>5</x:v>
      </x:c>
      <x:c r="I89" s="7" t="str"/>
      <x:c r="J89" s="7" t="str"/>
      <x:c r="K89" s="7" t="str"/>
      <x:c r="L89" s="7" t="str"/>
      <x:c r="M89" s="7" t="str"/>
      <x:c r="N89" s="7" t="str"/>
      <x:c r="O89" s="7" t="str">
        <x:f>IF(N89="","OPEN",IF(OR(I89="",J89="",K89="",L89="",M89=""),"FAIL","PASS"))</x:f>
        <x:v>OPEN</x:v>
      </x:c>
    </x:row>
    <x:row r="90">
      <x:c r="B90" s="7" t="str">
        <x:v>CH-PEA-A-X1-14-6</x:v>
      </x:c>
      <x:c r="C90" s="7" t="str">
        <x:v>PEA-A-X1</x:v>
      </x:c>
      <x:c r="D90" s="7" t="str">
        <x:v>BLD-A</x:v>
      </x:c>
      <x:c r="E90" s="7" t="str">
        <x:v>BL-X</x:v>
      </x:c>
      <x:c r="F90" s="7" t="str">
        <x:v>MF-14</x:v>
      </x:c>
      <x:c r="G90" s="7" t="str">
        <x:v>causal time</x:v>
      </x:c>
      <x:c r="H90" s="7" t="n">
        <x:v>6</x:v>
      </x:c>
      <x:c r="I90" s="7" t="str"/>
      <x:c r="J90" s="7" t="str"/>
      <x:c r="K90" s="7" t="str"/>
      <x:c r="L90" s="7" t="str"/>
      <x:c r="M90" s="7" t="str"/>
      <x:c r="N90" s="7" t="str"/>
      <x:c r="O90" s="7" t="str">
        <x:f>IF(N90="","OPEN",IF(OR(I90="",J90="",K90="",L90="",M90=""),"FAIL","PASS"))</x:f>
        <x:v>OPEN</x:v>
      </x:c>
    </x:row>
    <x:row r="91">
      <x:c r="B91" s="7" t="str">
        <x:v>CH-PEA-A-X1-15-1</x:v>
      </x:c>
      <x:c r="C91" s="7" t="str">
        <x:v>PEA-A-X1</x:v>
      </x:c>
      <x:c r="D91" s="7" t="str">
        <x:v>BLD-A</x:v>
      </x:c>
      <x:c r="E91" s="7" t="str">
        <x:v>BL-X</x:v>
      </x:c>
      <x:c r="F91" s="7" t="str">
        <x:v>MF-15</x:v>
      </x:c>
      <x:c r="G91" s="7" t="str">
        <x:v>source motive energy</x:v>
      </x:c>
      <x:c r="H91" s="7" t="n">
        <x:v>1</x:v>
      </x:c>
      <x:c r="I91" s="7" t="str"/>
      <x:c r="J91" s="7" t="str"/>
      <x:c r="K91" s="7" t="str"/>
      <x:c r="L91" s="7" t="str"/>
      <x:c r="M91" s="7" t="str"/>
      <x:c r="N91" s="7" t="str"/>
      <x:c r="O91" s="7" t="str">
        <x:f>IF(N91="","OPEN",IF(OR(I91="",J91="",K91="",L91="",M91=""),"FAIL","PASS"))</x:f>
        <x:v>OPEN</x:v>
      </x:c>
    </x:row>
    <x:row r="92">
      <x:c r="B92" s="7" t="str">
        <x:v>CH-PEA-A-X1-15-2</x:v>
      </x:c>
      <x:c r="C92" s="7" t="str">
        <x:v>PEA-A-X1</x:v>
      </x:c>
      <x:c r="D92" s="7" t="str">
        <x:v>BLD-A</x:v>
      </x:c>
      <x:c r="E92" s="7" t="str">
        <x:v>BL-X</x:v>
      </x:c>
      <x:c r="F92" s="7" t="str">
        <x:v>MF-15</x:v>
      </x:c>
      <x:c r="G92" s="7" t="str">
        <x:v>source motive energy</x:v>
      </x:c>
      <x:c r="H92" s="7" t="n">
        <x:v>2</x:v>
      </x:c>
      <x:c r="I92" s="7" t="str"/>
      <x:c r="J92" s="7" t="str"/>
      <x:c r="K92" s="7" t="str"/>
      <x:c r="L92" s="7" t="str"/>
      <x:c r="M92" s="7" t="str"/>
      <x:c r="N92" s="7" t="str"/>
      <x:c r="O92" s="7" t="str">
        <x:f>IF(N92="","OPEN",IF(OR(I92="",J92="",K92="",L92="",M92=""),"FAIL","PASS"))</x:f>
        <x:v>OPEN</x:v>
      </x:c>
    </x:row>
    <x:row r="93">
      <x:c r="B93" s="7" t="str">
        <x:v>CH-PEA-A-X1-15-3</x:v>
      </x:c>
      <x:c r="C93" s="7" t="str">
        <x:v>PEA-A-X1</x:v>
      </x:c>
      <x:c r="D93" s="7" t="str">
        <x:v>BLD-A</x:v>
      </x:c>
      <x:c r="E93" s="7" t="str">
        <x:v>BL-X</x:v>
      </x:c>
      <x:c r="F93" s="7" t="str">
        <x:v>MF-15</x:v>
      </x:c>
      <x:c r="G93" s="7" t="str">
        <x:v>source motive energy</x:v>
      </x:c>
      <x:c r="H93" s="7" t="n">
        <x:v>3</x:v>
      </x:c>
      <x:c r="I93" s="7" t="str"/>
      <x:c r="J93" s="7" t="str"/>
      <x:c r="K93" s="7" t="str"/>
      <x:c r="L93" s="7" t="str"/>
      <x:c r="M93" s="7" t="str"/>
      <x:c r="N93" s="7" t="str"/>
      <x:c r="O93" s="7" t="str">
        <x:f>IF(N93="","OPEN",IF(OR(I93="",J93="",K93="",L93="",M93=""),"FAIL","PASS"))</x:f>
        <x:v>OPEN</x:v>
      </x:c>
    </x:row>
    <x:row r="94">
      <x:c r="B94" s="7" t="str">
        <x:v>CH-PEA-A-X1-15-4</x:v>
      </x:c>
      <x:c r="C94" s="7" t="str">
        <x:v>PEA-A-X1</x:v>
      </x:c>
      <x:c r="D94" s="7" t="str">
        <x:v>BLD-A</x:v>
      </x:c>
      <x:c r="E94" s="7" t="str">
        <x:v>BL-X</x:v>
      </x:c>
      <x:c r="F94" s="7" t="str">
        <x:v>MF-15</x:v>
      </x:c>
      <x:c r="G94" s="7" t="str">
        <x:v>source motive energy</x:v>
      </x:c>
      <x:c r="H94" s="7" t="n">
        <x:v>4</x:v>
      </x:c>
      <x:c r="I94" s="7" t="str"/>
      <x:c r="J94" s="7" t="str"/>
      <x:c r="K94" s="7" t="str"/>
      <x:c r="L94" s="7" t="str"/>
      <x:c r="M94" s="7" t="str"/>
      <x:c r="N94" s="7" t="str"/>
      <x:c r="O94" s="7" t="str">
        <x:f>IF(N94="","OPEN",IF(OR(I94="",J94="",K94="",L94="",M94=""),"FAIL","PASS"))</x:f>
        <x:v>OPEN</x:v>
      </x:c>
    </x:row>
    <x:row r="95">
      <x:c r="B95" s="7" t="str">
        <x:v>CH-PEA-A-X1-15-5</x:v>
      </x:c>
      <x:c r="C95" s="7" t="str">
        <x:v>PEA-A-X1</x:v>
      </x:c>
      <x:c r="D95" s="7" t="str">
        <x:v>BLD-A</x:v>
      </x:c>
      <x:c r="E95" s="7" t="str">
        <x:v>BL-X</x:v>
      </x:c>
      <x:c r="F95" s="7" t="str">
        <x:v>MF-15</x:v>
      </x:c>
      <x:c r="G95" s="7" t="str">
        <x:v>source motive energy</x:v>
      </x:c>
      <x:c r="H95" s="7" t="n">
        <x:v>5</x:v>
      </x:c>
      <x:c r="I95" s="7" t="str"/>
      <x:c r="J95" s="7" t="str"/>
      <x:c r="K95" s="7" t="str"/>
      <x:c r="L95" s="7" t="str"/>
      <x:c r="M95" s="7" t="str"/>
      <x:c r="N95" s="7" t="str"/>
      <x:c r="O95" s="7" t="str">
        <x:f>IF(N95="","OPEN",IF(OR(I95="",J95="",K95="",L95="",M95=""),"FAIL","PASS"))</x:f>
        <x:v>OPEN</x:v>
      </x:c>
    </x:row>
    <x:row r="96">
      <x:c r="B96" s="7" t="str">
        <x:v>CH-PEA-A-X1-15-6</x:v>
      </x:c>
      <x:c r="C96" s="7" t="str">
        <x:v>PEA-A-X1</x:v>
      </x:c>
      <x:c r="D96" s="7" t="str">
        <x:v>BLD-A</x:v>
      </x:c>
      <x:c r="E96" s="7" t="str">
        <x:v>BL-X</x:v>
      </x:c>
      <x:c r="F96" s="7" t="str">
        <x:v>MF-15</x:v>
      </x:c>
      <x:c r="G96" s="7" t="str">
        <x:v>source motive energy</x:v>
      </x:c>
      <x:c r="H96" s="7" t="n">
        <x:v>6</x:v>
      </x:c>
      <x:c r="I96" s="7" t="str"/>
      <x:c r="J96" s="7" t="str"/>
      <x:c r="K96" s="7" t="str"/>
      <x:c r="L96" s="7" t="str"/>
      <x:c r="M96" s="7" t="str"/>
      <x:c r="N96" s="7" t="str"/>
      <x:c r="O96" s="7" t="str">
        <x:f>IF(N96="","OPEN",IF(OR(I96="",J96="",K96="",L96="",M96=""),"FAIL","PASS"))</x:f>
        <x:v>OPEN</x:v>
      </x:c>
    </x:row>
    <x:row r="97">
      <x:c r="B97" s="7" t="str">
        <x:v>CH-PEA-A-X1-16-1</x:v>
      </x:c>
      <x:c r="C97" s="7" t="str">
        <x:v>PEA-A-X1</x:v>
      </x:c>
      <x:c r="D97" s="7" t="str">
        <x:v>BLD-A</x:v>
      </x:c>
      <x:c r="E97" s="7" t="str">
        <x:v>BL-X</x:v>
      </x:c>
      <x:c r="F97" s="7" t="str">
        <x:v>MF-16</x:v>
      </x:c>
      <x:c r="G97" s="7" t="str">
        <x:v>water motive energy</x:v>
      </x:c>
      <x:c r="H97" s="7" t="n">
        <x:v>1</x:v>
      </x:c>
      <x:c r="I97" s="7" t="str"/>
      <x:c r="J97" s="7" t="str"/>
      <x:c r="K97" s="7" t="str"/>
      <x:c r="L97" s="7" t="str"/>
      <x:c r="M97" s="7" t="str"/>
      <x:c r="N97" s="7" t="str"/>
      <x:c r="O97" s="7" t="str">
        <x:f>IF(N97="","OPEN",IF(OR(I97="",J97="",K97="",L97="",M97=""),"FAIL","PASS"))</x:f>
        <x:v>OPEN</x:v>
      </x:c>
    </x:row>
    <x:row r="98">
      <x:c r="B98" s="7" t="str">
        <x:v>CH-PEA-A-X1-16-2</x:v>
      </x:c>
      <x:c r="C98" s="7" t="str">
        <x:v>PEA-A-X1</x:v>
      </x:c>
      <x:c r="D98" s="7" t="str">
        <x:v>BLD-A</x:v>
      </x:c>
      <x:c r="E98" s="7" t="str">
        <x:v>BL-X</x:v>
      </x:c>
      <x:c r="F98" s="7" t="str">
        <x:v>MF-16</x:v>
      </x:c>
      <x:c r="G98" s="7" t="str">
        <x:v>water motive energy</x:v>
      </x:c>
      <x:c r="H98" s="7" t="n">
        <x:v>2</x:v>
      </x:c>
      <x:c r="I98" s="7" t="str"/>
      <x:c r="J98" s="7" t="str"/>
      <x:c r="K98" s="7" t="str"/>
      <x:c r="L98" s="7" t="str"/>
      <x:c r="M98" s="7" t="str"/>
      <x:c r="N98" s="7" t="str"/>
      <x:c r="O98" s="7" t="str">
        <x:f>IF(N98="","OPEN",IF(OR(I98="",J98="",K98="",L98="",M98=""),"FAIL","PASS"))</x:f>
        <x:v>OPEN</x:v>
      </x:c>
    </x:row>
    <x:row r="99">
      <x:c r="B99" s="7" t="str">
        <x:v>CH-PEA-A-X1-16-3</x:v>
      </x:c>
      <x:c r="C99" s="7" t="str">
        <x:v>PEA-A-X1</x:v>
      </x:c>
      <x:c r="D99" s="7" t="str">
        <x:v>BLD-A</x:v>
      </x:c>
      <x:c r="E99" s="7" t="str">
        <x:v>BL-X</x:v>
      </x:c>
      <x:c r="F99" s="7" t="str">
        <x:v>MF-16</x:v>
      </x:c>
      <x:c r="G99" s="7" t="str">
        <x:v>water motive energy</x:v>
      </x:c>
      <x:c r="H99" s="7" t="n">
        <x:v>3</x:v>
      </x:c>
      <x:c r="I99" s="7" t="str"/>
      <x:c r="J99" s="7" t="str"/>
      <x:c r="K99" s="7" t="str"/>
      <x:c r="L99" s="7" t="str"/>
      <x:c r="M99" s="7" t="str"/>
      <x:c r="N99" s="7" t="str"/>
      <x:c r="O99" s="7" t="str">
        <x:f>IF(N99="","OPEN",IF(OR(I99="",J99="",K99="",L99="",M99=""),"FAIL","PASS"))</x:f>
        <x:v>OPEN</x:v>
      </x:c>
    </x:row>
    <x:row r="100">
      <x:c r="B100" s="7" t="str">
        <x:v>CH-PEA-A-X1-16-4</x:v>
      </x:c>
      <x:c r="C100" s="7" t="str">
        <x:v>PEA-A-X1</x:v>
      </x:c>
      <x:c r="D100" s="7" t="str">
        <x:v>BLD-A</x:v>
      </x:c>
      <x:c r="E100" s="7" t="str">
        <x:v>BL-X</x:v>
      </x:c>
      <x:c r="F100" s="7" t="str">
        <x:v>MF-16</x:v>
      </x:c>
      <x:c r="G100" s="7" t="str">
        <x:v>water motive energy</x:v>
      </x:c>
      <x:c r="H100" s="7" t="n">
        <x:v>4</x:v>
      </x:c>
      <x:c r="I100" s="7" t="str"/>
      <x:c r="J100" s="7" t="str"/>
      <x:c r="K100" s="7" t="str"/>
      <x:c r="L100" s="7" t="str"/>
      <x:c r="M100" s="7" t="str"/>
      <x:c r="N100" s="7" t="str"/>
      <x:c r="O100" s="7" t="str">
        <x:f>IF(N100="","OPEN",IF(OR(I100="",J100="",K100="",L100="",M100=""),"FAIL","PASS"))</x:f>
        <x:v>OPEN</x:v>
      </x:c>
    </x:row>
    <x:row r="101">
      <x:c r="B101" s="7" t="str">
        <x:v>CH-PEA-A-X1-16-5</x:v>
      </x:c>
      <x:c r="C101" s="7" t="str">
        <x:v>PEA-A-X1</x:v>
      </x:c>
      <x:c r="D101" s="7" t="str">
        <x:v>BLD-A</x:v>
      </x:c>
      <x:c r="E101" s="7" t="str">
        <x:v>BL-X</x:v>
      </x:c>
      <x:c r="F101" s="7" t="str">
        <x:v>MF-16</x:v>
      </x:c>
      <x:c r="G101" s="7" t="str">
        <x:v>water motive energy</x:v>
      </x:c>
      <x:c r="H101" s="7" t="n">
        <x:v>5</x:v>
      </x:c>
      <x:c r="I101" s="7" t="str"/>
      <x:c r="J101" s="7" t="str"/>
      <x:c r="K101" s="7" t="str"/>
      <x:c r="L101" s="7" t="str"/>
      <x:c r="M101" s="7" t="str"/>
      <x:c r="N101" s="7" t="str"/>
      <x:c r="O101" s="7" t="str">
        <x:f>IF(N101="","OPEN",IF(OR(I101="",J101="",K101="",L101="",M101=""),"FAIL","PASS"))</x:f>
        <x:v>OPEN</x:v>
      </x:c>
    </x:row>
    <x:row r="102">
      <x:c r="B102" s="7" t="str">
        <x:v>CH-PEA-A-X1-16-6</x:v>
      </x:c>
      <x:c r="C102" s="7" t="str">
        <x:v>PEA-A-X1</x:v>
      </x:c>
      <x:c r="D102" s="7" t="str">
        <x:v>BLD-A</x:v>
      </x:c>
      <x:c r="E102" s="7" t="str">
        <x:v>BL-X</x:v>
      </x:c>
      <x:c r="F102" s="7" t="str">
        <x:v>MF-16</x:v>
      </x:c>
      <x:c r="G102" s="7" t="str">
        <x:v>water motive energy</x:v>
      </x:c>
      <x:c r="H102" s="7" t="n">
        <x:v>6</x:v>
      </x:c>
      <x:c r="I102" s="7" t="str"/>
      <x:c r="J102" s="7" t="str"/>
      <x:c r="K102" s="7" t="str"/>
      <x:c r="L102" s="7" t="str"/>
      <x:c r="M102" s="7" t="str"/>
      <x:c r="N102" s="7" t="str"/>
      <x:c r="O102" s="7" t="str">
        <x:f>IF(N102="","OPEN",IF(OR(I102="",J102="",K102="",L102="",M102=""),"FAIL","PASS"))</x:f>
        <x:v>OPEN</x:v>
      </x:c>
    </x:row>
    <x:row r="103">
      <x:c r="B103" s="7" t="str">
        <x:v>CH-PEA-A-X1-17-1</x:v>
      </x:c>
      <x:c r="C103" s="7" t="str">
        <x:v>PEA-A-X1</x:v>
      </x:c>
      <x:c r="D103" s="7" t="str">
        <x:v>BLD-A</x:v>
      </x:c>
      <x:c r="E103" s="7" t="str">
        <x:v>BL-X</x:v>
      </x:c>
      <x:c r="F103" s="7" t="str">
        <x:v>MF-17</x:v>
      </x:c>
      <x:c r="G103" s="7" t="str">
        <x:v>normal power</x:v>
      </x:c>
      <x:c r="H103" s="7" t="n">
        <x:v>1</x:v>
      </x:c>
      <x:c r="I103" s="7" t="str"/>
      <x:c r="J103" s="7" t="str"/>
      <x:c r="K103" s="7" t="str"/>
      <x:c r="L103" s="7" t="str"/>
      <x:c r="M103" s="7" t="str"/>
      <x:c r="N103" s="7" t="str"/>
      <x:c r="O103" s="7" t="str">
        <x:f>IF(N103="","OPEN",IF(OR(I103="",J103="",K103="",L103="",M103=""),"FAIL","PASS"))</x:f>
        <x:v>OPEN</x:v>
      </x:c>
    </x:row>
    <x:row r="104">
      <x:c r="B104" s="7" t="str">
        <x:v>CH-PEA-A-X1-17-2</x:v>
      </x:c>
      <x:c r="C104" s="7" t="str">
        <x:v>PEA-A-X1</x:v>
      </x:c>
      <x:c r="D104" s="7" t="str">
        <x:v>BLD-A</x:v>
      </x:c>
      <x:c r="E104" s="7" t="str">
        <x:v>BL-X</x:v>
      </x:c>
      <x:c r="F104" s="7" t="str">
        <x:v>MF-17</x:v>
      </x:c>
      <x:c r="G104" s="7" t="str">
        <x:v>normal power</x:v>
      </x:c>
      <x:c r="H104" s="7" t="n">
        <x:v>2</x:v>
      </x:c>
      <x:c r="I104" s="7" t="str"/>
      <x:c r="J104" s="7" t="str"/>
      <x:c r="K104" s="7" t="str"/>
      <x:c r="L104" s="7" t="str"/>
      <x:c r="M104" s="7" t="str"/>
      <x:c r="N104" s="7" t="str"/>
      <x:c r="O104" s="7" t="str">
        <x:f>IF(N104="","OPEN",IF(OR(I104="",J104="",K104="",L104="",M104=""),"FAIL","PASS"))</x:f>
        <x:v>OPEN</x:v>
      </x:c>
    </x:row>
    <x:row r="105">
      <x:c r="B105" s="7" t="str">
        <x:v>CH-PEA-A-X1-17-3</x:v>
      </x:c>
      <x:c r="C105" s="7" t="str">
        <x:v>PEA-A-X1</x:v>
      </x:c>
      <x:c r="D105" s="7" t="str">
        <x:v>BLD-A</x:v>
      </x:c>
      <x:c r="E105" s="7" t="str">
        <x:v>BL-X</x:v>
      </x:c>
      <x:c r="F105" s="7" t="str">
        <x:v>MF-17</x:v>
      </x:c>
      <x:c r="G105" s="7" t="str">
        <x:v>normal power</x:v>
      </x:c>
      <x:c r="H105" s="7" t="n">
        <x:v>3</x:v>
      </x:c>
      <x:c r="I105" s="7" t="str"/>
      <x:c r="J105" s="7" t="str"/>
      <x:c r="K105" s="7" t="str"/>
      <x:c r="L105" s="7" t="str"/>
      <x:c r="M105" s="7" t="str"/>
      <x:c r="N105" s="7" t="str"/>
      <x:c r="O105" s="7" t="str">
        <x:f>IF(N105="","OPEN",IF(OR(I105="",J105="",K105="",L105="",M105=""),"FAIL","PASS"))</x:f>
        <x:v>OPEN</x:v>
      </x:c>
    </x:row>
    <x:row r="106">
      <x:c r="B106" s="7" t="str">
        <x:v>CH-PEA-A-X1-17-4</x:v>
      </x:c>
      <x:c r="C106" s="7" t="str">
        <x:v>PEA-A-X1</x:v>
      </x:c>
      <x:c r="D106" s="7" t="str">
        <x:v>BLD-A</x:v>
      </x:c>
      <x:c r="E106" s="7" t="str">
        <x:v>BL-X</x:v>
      </x:c>
      <x:c r="F106" s="7" t="str">
        <x:v>MF-17</x:v>
      </x:c>
      <x:c r="G106" s="7" t="str">
        <x:v>normal power</x:v>
      </x:c>
      <x:c r="H106" s="7" t="n">
        <x:v>4</x:v>
      </x:c>
      <x:c r="I106" s="7" t="str"/>
      <x:c r="J106" s="7" t="str"/>
      <x:c r="K106" s="7" t="str"/>
      <x:c r="L106" s="7" t="str"/>
      <x:c r="M106" s="7" t="str"/>
      <x:c r="N106" s="7" t="str"/>
      <x:c r="O106" s="7" t="str">
        <x:f>IF(N106="","OPEN",IF(OR(I106="",J106="",K106="",L106="",M106=""),"FAIL","PASS"))</x:f>
        <x:v>OPEN</x:v>
      </x:c>
    </x:row>
    <x:row r="107">
      <x:c r="B107" s="7" t="str">
        <x:v>CH-PEA-A-X1-17-5</x:v>
      </x:c>
      <x:c r="C107" s="7" t="str">
        <x:v>PEA-A-X1</x:v>
      </x:c>
      <x:c r="D107" s="7" t="str">
        <x:v>BLD-A</x:v>
      </x:c>
      <x:c r="E107" s="7" t="str">
        <x:v>BL-X</x:v>
      </x:c>
      <x:c r="F107" s="7" t="str">
        <x:v>MF-17</x:v>
      </x:c>
      <x:c r="G107" s="7" t="str">
        <x:v>normal power</x:v>
      </x:c>
      <x:c r="H107" s="7" t="n">
        <x:v>5</x:v>
      </x:c>
      <x:c r="I107" s="7" t="str"/>
      <x:c r="J107" s="7" t="str"/>
      <x:c r="K107" s="7" t="str"/>
      <x:c r="L107" s="7" t="str"/>
      <x:c r="M107" s="7" t="str"/>
      <x:c r="N107" s="7" t="str"/>
      <x:c r="O107" s="7" t="str">
        <x:f>IF(N107="","OPEN",IF(OR(I107="",J107="",K107="",L107="",M107=""),"FAIL","PASS"))</x:f>
        <x:v>OPEN</x:v>
      </x:c>
    </x:row>
    <x:row r="108">
      <x:c r="B108" s="7" t="str">
        <x:v>CH-PEA-A-X1-17-6</x:v>
      </x:c>
      <x:c r="C108" s="7" t="str">
        <x:v>PEA-A-X1</x:v>
      </x:c>
      <x:c r="D108" s="7" t="str">
        <x:v>BLD-A</x:v>
      </x:c>
      <x:c r="E108" s="7" t="str">
        <x:v>BL-X</x:v>
      </x:c>
      <x:c r="F108" s="7" t="str">
        <x:v>MF-17</x:v>
      </x:c>
      <x:c r="G108" s="7" t="str">
        <x:v>normal power</x:v>
      </x:c>
      <x:c r="H108" s="7" t="n">
        <x:v>6</x:v>
      </x:c>
      <x:c r="I108" s="7" t="str"/>
      <x:c r="J108" s="7" t="str"/>
      <x:c r="K108" s="7" t="str"/>
      <x:c r="L108" s="7" t="str"/>
      <x:c r="M108" s="7" t="str"/>
      <x:c r="N108" s="7" t="str"/>
      <x:c r="O108" s="7" t="str">
        <x:f>IF(N108="","OPEN",IF(OR(I108="",J108="",K108="",L108="",M108=""),"FAIL","PASS"))</x:f>
        <x:v>OPEN</x:v>
      </x:c>
    </x:row>
    <x:row r="109">
      <x:c r="B109" s="7" t="str">
        <x:v>CH-PEA-A-X1-18-1</x:v>
      </x:c>
      <x:c r="C109" s="7" t="str">
        <x:v>PEA-A-X1</x:v>
      </x:c>
      <x:c r="D109" s="7" t="str">
        <x:v>BLD-A</x:v>
      </x:c>
      <x:c r="E109" s="7" t="str">
        <x:v>BL-X</x:v>
      </x:c>
      <x:c r="F109" s="7" t="str">
        <x:v>MF-18</x:v>
      </x:c>
      <x:c r="G109" s="7" t="str">
        <x:v>independent power</x:v>
      </x:c>
      <x:c r="H109" s="7" t="n">
        <x:v>1</x:v>
      </x:c>
      <x:c r="I109" s="7" t="str"/>
      <x:c r="J109" s="7" t="str"/>
      <x:c r="K109" s="7" t="str"/>
      <x:c r="L109" s="7" t="str"/>
      <x:c r="M109" s="7" t="str"/>
      <x:c r="N109" s="7" t="str"/>
      <x:c r="O109" s="7" t="str">
        <x:f>IF(N109="","OPEN",IF(OR(I109="",J109="",K109="",L109="",M109=""),"FAIL","PASS"))</x:f>
        <x:v>OPEN</x:v>
      </x:c>
    </x:row>
    <x:row r="110">
      <x:c r="B110" s="7" t="str">
        <x:v>CH-PEA-A-X1-18-2</x:v>
      </x:c>
      <x:c r="C110" s="7" t="str">
        <x:v>PEA-A-X1</x:v>
      </x:c>
      <x:c r="D110" s="7" t="str">
        <x:v>BLD-A</x:v>
      </x:c>
      <x:c r="E110" s="7" t="str">
        <x:v>BL-X</x:v>
      </x:c>
      <x:c r="F110" s="7" t="str">
        <x:v>MF-18</x:v>
      </x:c>
      <x:c r="G110" s="7" t="str">
        <x:v>independent power</x:v>
      </x:c>
      <x:c r="H110" s="7" t="n">
        <x:v>2</x:v>
      </x:c>
      <x:c r="I110" s="7" t="str"/>
      <x:c r="J110" s="7" t="str"/>
      <x:c r="K110" s="7" t="str"/>
      <x:c r="L110" s="7" t="str"/>
      <x:c r="M110" s="7" t="str"/>
      <x:c r="N110" s="7" t="str"/>
      <x:c r="O110" s="7" t="str">
        <x:f>IF(N110="","OPEN",IF(OR(I110="",J110="",K110="",L110="",M110=""),"FAIL","PASS"))</x:f>
        <x:v>OPEN</x:v>
      </x:c>
    </x:row>
    <x:row r="111">
      <x:c r="B111" s="7" t="str">
        <x:v>CH-PEA-A-X1-18-3</x:v>
      </x:c>
      <x:c r="C111" s="7" t="str">
        <x:v>PEA-A-X1</x:v>
      </x:c>
      <x:c r="D111" s="7" t="str">
        <x:v>BLD-A</x:v>
      </x:c>
      <x:c r="E111" s="7" t="str">
        <x:v>BL-X</x:v>
      </x:c>
      <x:c r="F111" s="7" t="str">
        <x:v>MF-18</x:v>
      </x:c>
      <x:c r="G111" s="7" t="str">
        <x:v>independent power</x:v>
      </x:c>
      <x:c r="H111" s="7" t="n">
        <x:v>3</x:v>
      </x:c>
      <x:c r="I111" s="7" t="str"/>
      <x:c r="J111" s="7" t="str"/>
      <x:c r="K111" s="7" t="str"/>
      <x:c r="L111" s="7" t="str"/>
      <x:c r="M111" s="7" t="str"/>
      <x:c r="N111" s="7" t="str"/>
      <x:c r="O111" s="7" t="str">
        <x:f>IF(N111="","OPEN",IF(OR(I111="",J111="",K111="",L111="",M111=""),"FAIL","PASS"))</x:f>
        <x:v>OPEN</x:v>
      </x:c>
    </x:row>
    <x:row r="112">
      <x:c r="B112" s="7" t="str">
        <x:v>CH-PEA-A-X1-18-4</x:v>
      </x:c>
      <x:c r="C112" s="7" t="str">
        <x:v>PEA-A-X1</x:v>
      </x:c>
      <x:c r="D112" s="7" t="str">
        <x:v>BLD-A</x:v>
      </x:c>
      <x:c r="E112" s="7" t="str">
        <x:v>BL-X</x:v>
      </x:c>
      <x:c r="F112" s="7" t="str">
        <x:v>MF-18</x:v>
      </x:c>
      <x:c r="G112" s="7" t="str">
        <x:v>independent power</x:v>
      </x:c>
      <x:c r="H112" s="7" t="n">
        <x:v>4</x:v>
      </x:c>
      <x:c r="I112" s="7" t="str"/>
      <x:c r="J112" s="7" t="str"/>
      <x:c r="K112" s="7" t="str"/>
      <x:c r="L112" s="7" t="str"/>
      <x:c r="M112" s="7" t="str"/>
      <x:c r="N112" s="7" t="str"/>
      <x:c r="O112" s="7" t="str">
        <x:f>IF(N112="","OPEN",IF(OR(I112="",J112="",K112="",L112="",M112=""),"FAIL","PASS"))</x:f>
        <x:v>OPEN</x:v>
      </x:c>
    </x:row>
    <x:row r="113">
      <x:c r="B113" s="7" t="str">
        <x:v>CH-PEA-A-X1-18-5</x:v>
      </x:c>
      <x:c r="C113" s="7" t="str">
        <x:v>PEA-A-X1</x:v>
      </x:c>
      <x:c r="D113" s="7" t="str">
        <x:v>BLD-A</x:v>
      </x:c>
      <x:c r="E113" s="7" t="str">
        <x:v>BL-X</x:v>
      </x:c>
      <x:c r="F113" s="7" t="str">
        <x:v>MF-18</x:v>
      </x:c>
      <x:c r="G113" s="7" t="str">
        <x:v>independent power</x:v>
      </x:c>
      <x:c r="H113" s="7" t="n">
        <x:v>5</x:v>
      </x:c>
      <x:c r="I113" s="7" t="str"/>
      <x:c r="J113" s="7" t="str"/>
      <x:c r="K113" s="7" t="str"/>
      <x:c r="L113" s="7" t="str"/>
      <x:c r="M113" s="7" t="str"/>
      <x:c r="N113" s="7" t="str"/>
      <x:c r="O113" s="7" t="str">
        <x:f>IF(N113="","OPEN",IF(OR(I113="",J113="",K113="",L113="",M113=""),"FAIL","PASS"))</x:f>
        <x:v>OPEN</x:v>
      </x:c>
    </x:row>
    <x:row r="114">
      <x:c r="B114" s="7" t="str">
        <x:v>CH-PEA-A-X1-18-6</x:v>
      </x:c>
      <x:c r="C114" s="7" t="str">
        <x:v>PEA-A-X1</x:v>
      </x:c>
      <x:c r="D114" s="7" t="str">
        <x:v>BLD-A</x:v>
      </x:c>
      <x:c r="E114" s="7" t="str">
        <x:v>BL-X</x:v>
      </x:c>
      <x:c r="F114" s="7" t="str">
        <x:v>MF-18</x:v>
      </x:c>
      <x:c r="G114" s="7" t="str">
        <x:v>independent power</x:v>
      </x:c>
      <x:c r="H114" s="7" t="n">
        <x:v>6</x:v>
      </x:c>
      <x:c r="I114" s="7" t="str"/>
      <x:c r="J114" s="7" t="str"/>
      <x:c r="K114" s="7" t="str"/>
      <x:c r="L114" s="7" t="str"/>
      <x:c r="M114" s="7" t="str"/>
      <x:c r="N114" s="7" t="str"/>
      <x:c r="O114" s="7" t="str">
        <x:f>IF(N114="","OPEN",IF(OR(I114="",J114="",K114="",L114="",M114=""),"FAIL","PASS"))</x:f>
        <x:v>OPEN</x:v>
      </x:c>
    </x:row>
    <x:row r="115">
      <x:c r="B115" s="7" t="str">
        <x:v>CH-PEA-A-X1-19-1</x:v>
      </x:c>
      <x:c r="C115" s="7" t="str">
        <x:v>PEA-A-X1</x:v>
      </x:c>
      <x:c r="D115" s="7" t="str">
        <x:v>BLD-A</x:v>
      </x:c>
      <x:c r="E115" s="7" t="str">
        <x:v>BL-X</x:v>
      </x:c>
      <x:c r="F115" s="7" t="str">
        <x:v>MF-19</x:v>
      </x:c>
      <x:c r="G115" s="7" t="str">
        <x:v>leak collection</x:v>
      </x:c>
      <x:c r="H115" s="7" t="n">
        <x:v>1</x:v>
      </x:c>
      <x:c r="I115" s="7" t="str"/>
      <x:c r="J115" s="7" t="str"/>
      <x:c r="K115" s="7" t="str"/>
      <x:c r="L115" s="7" t="str"/>
      <x:c r="M115" s="7" t="str"/>
      <x:c r="N115" s="7" t="str"/>
      <x:c r="O115" s="7" t="str">
        <x:f>IF(N115="","OPEN",IF(OR(I115="",J115="",K115="",L115="",M115=""),"FAIL","PASS"))</x:f>
        <x:v>OPEN</x:v>
      </x:c>
    </x:row>
    <x:row r="116">
      <x:c r="B116" s="7" t="str">
        <x:v>CH-PEA-A-X1-19-2</x:v>
      </x:c>
      <x:c r="C116" s="7" t="str">
        <x:v>PEA-A-X1</x:v>
      </x:c>
      <x:c r="D116" s="7" t="str">
        <x:v>BLD-A</x:v>
      </x:c>
      <x:c r="E116" s="7" t="str">
        <x:v>BL-X</x:v>
      </x:c>
      <x:c r="F116" s="7" t="str">
        <x:v>MF-19</x:v>
      </x:c>
      <x:c r="G116" s="7" t="str">
        <x:v>leak collection</x:v>
      </x:c>
      <x:c r="H116" s="7" t="n">
        <x:v>2</x:v>
      </x:c>
      <x:c r="I116" s="7" t="str"/>
      <x:c r="J116" s="7" t="str"/>
      <x:c r="K116" s="7" t="str"/>
      <x:c r="L116" s="7" t="str"/>
      <x:c r="M116" s="7" t="str"/>
      <x:c r="N116" s="7" t="str"/>
      <x:c r="O116" s="7" t="str">
        <x:f>IF(N116="","OPEN",IF(OR(I116="",J116="",K116="",L116="",M116=""),"FAIL","PASS"))</x:f>
        <x:v>OPEN</x:v>
      </x:c>
    </x:row>
    <x:row r="117">
      <x:c r="B117" s="7" t="str">
        <x:v>CH-PEA-A-X1-19-3</x:v>
      </x:c>
      <x:c r="C117" s="7" t="str">
        <x:v>PEA-A-X1</x:v>
      </x:c>
      <x:c r="D117" s="7" t="str">
        <x:v>BLD-A</x:v>
      </x:c>
      <x:c r="E117" s="7" t="str">
        <x:v>BL-X</x:v>
      </x:c>
      <x:c r="F117" s="7" t="str">
        <x:v>MF-19</x:v>
      </x:c>
      <x:c r="G117" s="7" t="str">
        <x:v>leak collection</x:v>
      </x:c>
      <x:c r="H117" s="7" t="n">
        <x:v>3</x:v>
      </x:c>
      <x:c r="I117" s="7" t="str"/>
      <x:c r="J117" s="7" t="str"/>
      <x:c r="K117" s="7" t="str"/>
      <x:c r="L117" s="7" t="str"/>
      <x:c r="M117" s="7" t="str"/>
      <x:c r="N117" s="7" t="str"/>
      <x:c r="O117" s="7" t="str">
        <x:f>IF(N117="","OPEN",IF(OR(I117="",J117="",K117="",L117="",M117=""),"FAIL","PASS"))</x:f>
        <x:v>OPEN</x:v>
      </x:c>
    </x:row>
    <x:row r="118">
      <x:c r="B118" s="7" t="str">
        <x:v>CH-PEA-A-X1-19-4</x:v>
      </x:c>
      <x:c r="C118" s="7" t="str">
        <x:v>PEA-A-X1</x:v>
      </x:c>
      <x:c r="D118" s="7" t="str">
        <x:v>BLD-A</x:v>
      </x:c>
      <x:c r="E118" s="7" t="str">
        <x:v>BL-X</x:v>
      </x:c>
      <x:c r="F118" s="7" t="str">
        <x:v>MF-19</x:v>
      </x:c>
      <x:c r="G118" s="7" t="str">
        <x:v>leak collection</x:v>
      </x:c>
      <x:c r="H118" s="7" t="n">
        <x:v>4</x:v>
      </x:c>
      <x:c r="I118" s="7" t="str"/>
      <x:c r="J118" s="7" t="str"/>
      <x:c r="K118" s="7" t="str"/>
      <x:c r="L118" s="7" t="str"/>
      <x:c r="M118" s="7" t="str"/>
      <x:c r="N118" s="7" t="str"/>
      <x:c r="O118" s="7" t="str">
        <x:f>IF(N118="","OPEN",IF(OR(I118="",J118="",K118="",L118="",M118=""),"FAIL","PASS"))</x:f>
        <x:v>OPEN</x:v>
      </x:c>
    </x:row>
    <x:row r="119">
      <x:c r="B119" s="7" t="str">
        <x:v>CH-PEA-A-X1-19-5</x:v>
      </x:c>
      <x:c r="C119" s="7" t="str">
        <x:v>PEA-A-X1</x:v>
      </x:c>
      <x:c r="D119" s="7" t="str">
        <x:v>BLD-A</x:v>
      </x:c>
      <x:c r="E119" s="7" t="str">
        <x:v>BL-X</x:v>
      </x:c>
      <x:c r="F119" s="7" t="str">
        <x:v>MF-19</x:v>
      </x:c>
      <x:c r="G119" s="7" t="str">
        <x:v>leak collection</x:v>
      </x:c>
      <x:c r="H119" s="7" t="n">
        <x:v>5</x:v>
      </x:c>
      <x:c r="I119" s="7" t="str"/>
      <x:c r="J119" s="7" t="str"/>
      <x:c r="K119" s="7" t="str"/>
      <x:c r="L119" s="7" t="str"/>
      <x:c r="M119" s="7" t="str"/>
      <x:c r="N119" s="7" t="str"/>
      <x:c r="O119" s="7" t="str">
        <x:f>IF(N119="","OPEN",IF(OR(I119="",J119="",K119="",L119="",M119=""),"FAIL","PASS"))</x:f>
        <x:v>OPEN</x:v>
      </x:c>
    </x:row>
    <x:row r="120">
      <x:c r="B120" s="7" t="str">
        <x:v>CH-PEA-A-X1-19-6</x:v>
      </x:c>
      <x:c r="C120" s="7" t="str">
        <x:v>PEA-A-X1</x:v>
      </x:c>
      <x:c r="D120" s="7" t="str">
        <x:v>BLD-A</x:v>
      </x:c>
      <x:c r="E120" s="7" t="str">
        <x:v>BL-X</x:v>
      </x:c>
      <x:c r="F120" s="7" t="str">
        <x:v>MF-19</x:v>
      </x:c>
      <x:c r="G120" s="7" t="str">
        <x:v>leak collection</x:v>
      </x:c>
      <x:c r="H120" s="7" t="n">
        <x:v>6</x:v>
      </x:c>
      <x:c r="I120" s="7" t="str"/>
      <x:c r="J120" s="7" t="str"/>
      <x:c r="K120" s="7" t="str"/>
      <x:c r="L120" s="7" t="str"/>
      <x:c r="M120" s="7" t="str"/>
      <x:c r="N120" s="7" t="str"/>
      <x:c r="O120" s="7" t="str">
        <x:f>IF(N120="","OPEN",IF(OR(I120="",J120="",K120="",L120="",M120=""),"FAIL","PASS"))</x:f>
        <x:v>OPEN</x:v>
      </x:c>
    </x:row>
    <x:row r="121">
      <x:c r="B121" s="7" t="str">
        <x:v>CH-PEA-A-X1-20-1</x:v>
      </x:c>
      <x:c r="C121" s="7" t="str">
        <x:v>PEA-A-X1</x:v>
      </x:c>
      <x:c r="D121" s="7" t="str">
        <x:v>BLD-A</x:v>
      </x:c>
      <x:c r="E121" s="7" t="str">
        <x:v>BL-X</x:v>
      </x:c>
      <x:c r="F121" s="7" t="str">
        <x:v>MF-20</x:v>
      </x:c>
      <x:c r="G121" s="7" t="str">
        <x:v>occupied-area state</x:v>
      </x:c>
      <x:c r="H121" s="7" t="n">
        <x:v>1</x:v>
      </x:c>
      <x:c r="I121" s="7" t="str"/>
      <x:c r="J121" s="7" t="str"/>
      <x:c r="K121" s="7" t="str"/>
      <x:c r="L121" s="7" t="str"/>
      <x:c r="M121" s="7" t="str"/>
      <x:c r="N121" s="7" t="str"/>
      <x:c r="O121" s="7" t="str">
        <x:f>IF(N121="","OPEN",IF(OR(I121="",J121="",K121="",L121="",M121=""),"FAIL","PASS"))</x:f>
        <x:v>OPEN</x:v>
      </x:c>
    </x:row>
    <x:row r="122">
      <x:c r="B122" s="7" t="str">
        <x:v>CH-PEA-A-X1-20-2</x:v>
      </x:c>
      <x:c r="C122" s="7" t="str">
        <x:v>PEA-A-X1</x:v>
      </x:c>
      <x:c r="D122" s="7" t="str">
        <x:v>BLD-A</x:v>
      </x:c>
      <x:c r="E122" s="7" t="str">
        <x:v>BL-X</x:v>
      </x:c>
      <x:c r="F122" s="7" t="str">
        <x:v>MF-20</x:v>
      </x:c>
      <x:c r="G122" s="7" t="str">
        <x:v>occupied-area state</x:v>
      </x:c>
      <x:c r="H122" s="7" t="n">
        <x:v>2</x:v>
      </x:c>
      <x:c r="I122" s="7" t="str"/>
      <x:c r="J122" s="7" t="str"/>
      <x:c r="K122" s="7" t="str"/>
      <x:c r="L122" s="7" t="str"/>
      <x:c r="M122" s="7" t="str"/>
      <x:c r="N122" s="7" t="str"/>
      <x:c r="O122" s="7" t="str">
        <x:f>IF(N122="","OPEN",IF(OR(I122="",J122="",K122="",L122="",M122=""),"FAIL","PASS"))</x:f>
        <x:v>OPEN</x:v>
      </x:c>
    </x:row>
    <x:row r="123">
      <x:c r="B123" s="7" t="str">
        <x:v>CH-PEA-A-X1-20-3</x:v>
      </x:c>
      <x:c r="C123" s="7" t="str">
        <x:v>PEA-A-X1</x:v>
      </x:c>
      <x:c r="D123" s="7" t="str">
        <x:v>BLD-A</x:v>
      </x:c>
      <x:c r="E123" s="7" t="str">
        <x:v>BL-X</x:v>
      </x:c>
      <x:c r="F123" s="7" t="str">
        <x:v>MF-20</x:v>
      </x:c>
      <x:c r="G123" s="7" t="str">
        <x:v>occupied-area state</x:v>
      </x:c>
      <x:c r="H123" s="7" t="n">
        <x:v>3</x:v>
      </x:c>
      <x:c r="I123" s="7" t="str"/>
      <x:c r="J123" s="7" t="str"/>
      <x:c r="K123" s="7" t="str"/>
      <x:c r="L123" s="7" t="str"/>
      <x:c r="M123" s="7" t="str"/>
      <x:c r="N123" s="7" t="str"/>
      <x:c r="O123" s="7" t="str">
        <x:f>IF(N123="","OPEN",IF(OR(I123="",J123="",K123="",L123="",M123=""),"FAIL","PASS"))</x:f>
        <x:v>OPEN</x:v>
      </x:c>
    </x:row>
    <x:row r="124">
      <x:c r="B124" s="7" t="str">
        <x:v>CH-PEA-A-X1-20-4</x:v>
      </x:c>
      <x:c r="C124" s="7" t="str">
        <x:v>PEA-A-X1</x:v>
      </x:c>
      <x:c r="D124" s="7" t="str">
        <x:v>BLD-A</x:v>
      </x:c>
      <x:c r="E124" s="7" t="str">
        <x:v>BL-X</x:v>
      </x:c>
      <x:c r="F124" s="7" t="str">
        <x:v>MF-20</x:v>
      </x:c>
      <x:c r="G124" s="7" t="str">
        <x:v>occupied-area state</x:v>
      </x:c>
      <x:c r="H124" s="7" t="n">
        <x:v>4</x:v>
      </x:c>
      <x:c r="I124" s="7" t="str"/>
      <x:c r="J124" s="7" t="str"/>
      <x:c r="K124" s="7" t="str"/>
      <x:c r="L124" s="7" t="str"/>
      <x:c r="M124" s="7" t="str"/>
      <x:c r="N124" s="7" t="str"/>
      <x:c r="O124" s="7" t="str">
        <x:f>IF(N124="","OPEN",IF(OR(I124="",J124="",K124="",L124="",M124=""),"FAIL","PASS"))</x:f>
        <x:v>OPEN</x:v>
      </x:c>
    </x:row>
    <x:row r="125">
      <x:c r="B125" s="7" t="str">
        <x:v>CH-PEA-A-X1-20-5</x:v>
      </x:c>
      <x:c r="C125" s="7" t="str">
        <x:v>PEA-A-X1</x:v>
      </x:c>
      <x:c r="D125" s="7" t="str">
        <x:v>BLD-A</x:v>
      </x:c>
      <x:c r="E125" s="7" t="str">
        <x:v>BL-X</x:v>
      </x:c>
      <x:c r="F125" s="7" t="str">
        <x:v>MF-20</x:v>
      </x:c>
      <x:c r="G125" s="7" t="str">
        <x:v>occupied-area state</x:v>
      </x:c>
      <x:c r="H125" s="7" t="n">
        <x:v>5</x:v>
      </x:c>
      <x:c r="I125" s="7" t="str"/>
      <x:c r="J125" s="7" t="str"/>
      <x:c r="K125" s="7" t="str"/>
      <x:c r="L125" s="7" t="str"/>
      <x:c r="M125" s="7" t="str"/>
      <x:c r="N125" s="7" t="str"/>
      <x:c r="O125" s="7" t="str">
        <x:f>IF(N125="","OPEN",IF(OR(I125="",J125="",K125="",L125="",M125=""),"FAIL","PASS"))</x:f>
        <x:v>OPEN</x:v>
      </x:c>
    </x:row>
    <x:row r="126">
      <x:c r="B126" s="7" t="str">
        <x:v>CH-PEA-A-X1-20-6</x:v>
      </x:c>
      <x:c r="C126" s="7" t="str">
        <x:v>PEA-A-X1</x:v>
      </x:c>
      <x:c r="D126" s="7" t="str">
        <x:v>BLD-A</x:v>
      </x:c>
      <x:c r="E126" s="7" t="str">
        <x:v>BL-X</x:v>
      </x:c>
      <x:c r="F126" s="7" t="str">
        <x:v>MF-20</x:v>
      </x:c>
      <x:c r="G126" s="7" t="str">
        <x:v>occupied-area state</x:v>
      </x:c>
      <x:c r="H126" s="7" t="n">
        <x:v>6</x:v>
      </x:c>
      <x:c r="I126" s="7" t="str"/>
      <x:c r="J126" s="7" t="str"/>
      <x:c r="K126" s="7" t="str"/>
      <x:c r="L126" s="7" t="str"/>
      <x:c r="M126" s="7" t="str"/>
      <x:c r="N126" s="7" t="str"/>
      <x:c r="O126" s="7" t="str">
        <x:f>IF(N126="","OPEN",IF(OR(I126="",J126="",K126="",L126="",M126=""),"FAIL","PASS"))</x:f>
        <x:v>OPEN</x:v>
      </x:c>
    </x:row>
    <x:row r="127">
      <x:c r="B127" s="7" t="str">
        <x:v>CH-PEA-A-X1-21-1</x:v>
      </x:c>
      <x:c r="C127" s="7" t="str">
        <x:v>PEA-A-X1</x:v>
      </x:c>
      <x:c r="D127" s="7" t="str">
        <x:v>BLD-A</x:v>
      </x:c>
      <x:c r="E127" s="7" t="str">
        <x:v>BL-X</x:v>
      </x:c>
      <x:c r="F127" s="7" t="str">
        <x:v>MF-21</x:v>
      </x:c>
      <x:c r="G127" s="7" t="str">
        <x:v>public-water flow</x:v>
      </x:c>
      <x:c r="H127" s="7" t="n">
        <x:v>1</x:v>
      </x:c>
      <x:c r="I127" s="7" t="str"/>
      <x:c r="J127" s="7" t="str"/>
      <x:c r="K127" s="7" t="str"/>
      <x:c r="L127" s="7" t="str"/>
      <x:c r="M127" s="7" t="str"/>
      <x:c r="N127" s="7" t="str"/>
      <x:c r="O127" s="7" t="str">
        <x:f>IF(N127="","OPEN",IF(OR(I127="",J127="",K127="",L127="",M127=""),"FAIL","PASS"))</x:f>
        <x:v>OPEN</x:v>
      </x:c>
    </x:row>
    <x:row r="128">
      <x:c r="B128" s="7" t="str">
        <x:v>CH-PEA-A-X1-21-2</x:v>
      </x:c>
      <x:c r="C128" s="7" t="str">
        <x:v>PEA-A-X1</x:v>
      </x:c>
      <x:c r="D128" s="7" t="str">
        <x:v>BLD-A</x:v>
      </x:c>
      <x:c r="E128" s="7" t="str">
        <x:v>BL-X</x:v>
      </x:c>
      <x:c r="F128" s="7" t="str">
        <x:v>MF-21</x:v>
      </x:c>
      <x:c r="G128" s="7" t="str">
        <x:v>public-water flow</x:v>
      </x:c>
      <x:c r="H128" s="7" t="n">
        <x:v>2</x:v>
      </x:c>
      <x:c r="I128" s="7" t="str"/>
      <x:c r="J128" s="7" t="str"/>
      <x:c r="K128" s="7" t="str"/>
      <x:c r="L128" s="7" t="str"/>
      <x:c r="M128" s="7" t="str"/>
      <x:c r="N128" s="7" t="str"/>
      <x:c r="O128" s="7" t="str">
        <x:f>IF(N128="","OPEN",IF(OR(I128="",J128="",K128="",L128="",M128=""),"FAIL","PASS"))</x:f>
        <x:v>OPEN</x:v>
      </x:c>
    </x:row>
    <x:row r="129">
      <x:c r="B129" s="7" t="str">
        <x:v>CH-PEA-A-X1-21-3</x:v>
      </x:c>
      <x:c r="C129" s="7" t="str">
        <x:v>PEA-A-X1</x:v>
      </x:c>
      <x:c r="D129" s="7" t="str">
        <x:v>BLD-A</x:v>
      </x:c>
      <x:c r="E129" s="7" t="str">
        <x:v>BL-X</x:v>
      </x:c>
      <x:c r="F129" s="7" t="str">
        <x:v>MF-21</x:v>
      </x:c>
      <x:c r="G129" s="7" t="str">
        <x:v>public-water flow</x:v>
      </x:c>
      <x:c r="H129" s="7" t="n">
        <x:v>3</x:v>
      </x:c>
      <x:c r="I129" s="7" t="str"/>
      <x:c r="J129" s="7" t="str"/>
      <x:c r="K129" s="7" t="str"/>
      <x:c r="L129" s="7" t="str"/>
      <x:c r="M129" s="7" t="str"/>
      <x:c r="N129" s="7" t="str"/>
      <x:c r="O129" s="7" t="str">
        <x:f>IF(N129="","OPEN",IF(OR(I129="",J129="",K129="",L129="",M129=""),"FAIL","PASS"))</x:f>
        <x:v>OPEN</x:v>
      </x:c>
    </x:row>
    <x:row r="130">
      <x:c r="B130" s="7" t="str">
        <x:v>CH-PEA-A-X1-21-4</x:v>
      </x:c>
      <x:c r="C130" s="7" t="str">
        <x:v>PEA-A-X1</x:v>
      </x:c>
      <x:c r="D130" s="7" t="str">
        <x:v>BLD-A</x:v>
      </x:c>
      <x:c r="E130" s="7" t="str">
        <x:v>BL-X</x:v>
      </x:c>
      <x:c r="F130" s="7" t="str">
        <x:v>MF-21</x:v>
      </x:c>
      <x:c r="G130" s="7" t="str">
        <x:v>public-water flow</x:v>
      </x:c>
      <x:c r="H130" s="7" t="n">
        <x:v>4</x:v>
      </x:c>
      <x:c r="I130" s="7" t="str"/>
      <x:c r="J130" s="7" t="str"/>
      <x:c r="K130" s="7" t="str"/>
      <x:c r="L130" s="7" t="str"/>
      <x:c r="M130" s="7" t="str"/>
      <x:c r="N130" s="7" t="str"/>
      <x:c r="O130" s="7" t="str">
        <x:f>IF(N130="","OPEN",IF(OR(I130="",J130="",K130="",L130="",M130=""),"FAIL","PASS"))</x:f>
        <x:v>OPEN</x:v>
      </x:c>
    </x:row>
    <x:row r="131">
      <x:c r="B131" s="7" t="str">
        <x:v>CH-PEA-A-X1-21-5</x:v>
      </x:c>
      <x:c r="C131" s="7" t="str">
        <x:v>PEA-A-X1</x:v>
      </x:c>
      <x:c r="D131" s="7" t="str">
        <x:v>BLD-A</x:v>
      </x:c>
      <x:c r="E131" s="7" t="str">
        <x:v>BL-X</x:v>
      </x:c>
      <x:c r="F131" s="7" t="str">
        <x:v>MF-21</x:v>
      </x:c>
      <x:c r="G131" s="7" t="str">
        <x:v>public-water flow</x:v>
      </x:c>
      <x:c r="H131" s="7" t="n">
        <x:v>5</x:v>
      </x:c>
      <x:c r="I131" s="7" t="str"/>
      <x:c r="J131" s="7" t="str"/>
      <x:c r="K131" s="7" t="str"/>
      <x:c r="L131" s="7" t="str"/>
      <x:c r="M131" s="7" t="str"/>
      <x:c r="N131" s="7" t="str"/>
      <x:c r="O131" s="7" t="str">
        <x:f>IF(N131="","OPEN",IF(OR(I131="",J131="",K131="",L131="",M131=""),"FAIL","PASS"))</x:f>
        <x:v>OPEN</x:v>
      </x:c>
    </x:row>
    <x:row r="132">
      <x:c r="B132" s="7" t="str">
        <x:v>CH-PEA-A-X1-21-6</x:v>
      </x:c>
      <x:c r="C132" s="7" t="str">
        <x:v>PEA-A-X1</x:v>
      </x:c>
      <x:c r="D132" s="7" t="str">
        <x:v>BLD-A</x:v>
      </x:c>
      <x:c r="E132" s="7" t="str">
        <x:v>BL-X</x:v>
      </x:c>
      <x:c r="F132" s="7" t="str">
        <x:v>MF-21</x:v>
      </x:c>
      <x:c r="G132" s="7" t="str">
        <x:v>public-water flow</x:v>
      </x:c>
      <x:c r="H132" s="7" t="n">
        <x:v>6</x:v>
      </x:c>
      <x:c r="I132" s="7" t="str"/>
      <x:c r="J132" s="7" t="str"/>
      <x:c r="K132" s="7" t="str"/>
      <x:c r="L132" s="7" t="str"/>
      <x:c r="M132" s="7" t="str"/>
      <x:c r="N132" s="7" t="str"/>
      <x:c r="O132" s="7" t="str">
        <x:f>IF(N132="","OPEN",IF(OR(I132="",J132="",K132="",L132="",M132=""),"FAIL","PASS"))</x:f>
        <x:v>OPEN</x:v>
      </x:c>
    </x:row>
    <x:row r="133">
      <x:c r="B133" s="7" t="str">
        <x:v>CH-PEA-A-X1-22-1</x:v>
      </x:c>
      <x:c r="C133" s="7" t="str">
        <x:v>PEA-A-X1</x:v>
      </x:c>
      <x:c r="D133" s="7" t="str">
        <x:v>BLD-A</x:v>
      </x:c>
      <x:c r="E133" s="7" t="str">
        <x:v>BL-X</x:v>
      </x:c>
      <x:c r="F133" s="7" t="str">
        <x:v>MF-22</x:v>
      </x:c>
      <x:c r="G133" s="7" t="str">
        <x:v>source ancestry</x:v>
      </x:c>
      <x:c r="H133" s="7" t="n">
        <x:v>1</x:v>
      </x:c>
      <x:c r="I133" s="7" t="str"/>
      <x:c r="J133" s="7" t="str"/>
      <x:c r="K133" s="7" t="str"/>
      <x:c r="L133" s="7" t="str"/>
      <x:c r="M133" s="7" t="str"/>
      <x:c r="N133" s="7" t="str"/>
      <x:c r="O133" s="7" t="str">
        <x:f>IF(N133="","OPEN",IF(OR(I133="",J133="",K133="",L133="",M133=""),"FAIL","PASS"))</x:f>
        <x:v>OPEN</x:v>
      </x:c>
    </x:row>
    <x:row r="134">
      <x:c r="B134" s="7" t="str">
        <x:v>CH-PEA-A-X1-22-2</x:v>
      </x:c>
      <x:c r="C134" s="7" t="str">
        <x:v>PEA-A-X1</x:v>
      </x:c>
      <x:c r="D134" s="7" t="str">
        <x:v>BLD-A</x:v>
      </x:c>
      <x:c r="E134" s="7" t="str">
        <x:v>BL-X</x:v>
      </x:c>
      <x:c r="F134" s="7" t="str">
        <x:v>MF-22</x:v>
      </x:c>
      <x:c r="G134" s="7" t="str">
        <x:v>source ancestry</x:v>
      </x:c>
      <x:c r="H134" s="7" t="n">
        <x:v>2</x:v>
      </x:c>
      <x:c r="I134" s="7" t="str"/>
      <x:c r="J134" s="7" t="str"/>
      <x:c r="K134" s="7" t="str"/>
      <x:c r="L134" s="7" t="str"/>
      <x:c r="M134" s="7" t="str"/>
      <x:c r="N134" s="7" t="str"/>
      <x:c r="O134" s="7" t="str">
        <x:f>IF(N134="","OPEN",IF(OR(I134="",J134="",K134="",L134="",M134=""),"FAIL","PASS"))</x:f>
        <x:v>OPEN</x:v>
      </x:c>
    </x:row>
    <x:row r="135">
      <x:c r="B135" s="7" t="str">
        <x:v>CH-PEA-A-X1-22-3</x:v>
      </x:c>
      <x:c r="C135" s="7" t="str">
        <x:v>PEA-A-X1</x:v>
      </x:c>
      <x:c r="D135" s="7" t="str">
        <x:v>BLD-A</x:v>
      </x:c>
      <x:c r="E135" s="7" t="str">
        <x:v>BL-X</x:v>
      </x:c>
      <x:c r="F135" s="7" t="str">
        <x:v>MF-22</x:v>
      </x:c>
      <x:c r="G135" s="7" t="str">
        <x:v>source ancestry</x:v>
      </x:c>
      <x:c r="H135" s="7" t="n">
        <x:v>3</x:v>
      </x:c>
      <x:c r="I135" s="7" t="str"/>
      <x:c r="J135" s="7" t="str"/>
      <x:c r="K135" s="7" t="str"/>
      <x:c r="L135" s="7" t="str"/>
      <x:c r="M135" s="7" t="str"/>
      <x:c r="N135" s="7" t="str"/>
      <x:c r="O135" s="7" t="str">
        <x:f>IF(N135="","OPEN",IF(OR(I135="",J135="",K135="",L135="",M135=""),"FAIL","PASS"))</x:f>
        <x:v>OPEN</x:v>
      </x:c>
    </x:row>
    <x:row r="136">
      <x:c r="B136" s="7" t="str">
        <x:v>CH-PEA-A-X1-22-4</x:v>
      </x:c>
      <x:c r="C136" s="7" t="str">
        <x:v>PEA-A-X1</x:v>
      </x:c>
      <x:c r="D136" s="7" t="str">
        <x:v>BLD-A</x:v>
      </x:c>
      <x:c r="E136" s="7" t="str">
        <x:v>BL-X</x:v>
      </x:c>
      <x:c r="F136" s="7" t="str">
        <x:v>MF-22</x:v>
      </x:c>
      <x:c r="G136" s="7" t="str">
        <x:v>source ancestry</x:v>
      </x:c>
      <x:c r="H136" s="7" t="n">
        <x:v>4</x:v>
      </x:c>
      <x:c r="I136" s="7" t="str"/>
      <x:c r="J136" s="7" t="str"/>
      <x:c r="K136" s="7" t="str"/>
      <x:c r="L136" s="7" t="str"/>
      <x:c r="M136" s="7" t="str"/>
      <x:c r="N136" s="7" t="str"/>
      <x:c r="O136" s="7" t="str">
        <x:f>IF(N136="","OPEN",IF(OR(I136="",J136="",K136="",L136="",M136=""),"FAIL","PASS"))</x:f>
        <x:v>OPEN</x:v>
      </x:c>
    </x:row>
    <x:row r="137">
      <x:c r="B137" s="7" t="str">
        <x:v>CH-PEA-A-X1-22-5</x:v>
      </x:c>
      <x:c r="C137" s="7" t="str">
        <x:v>PEA-A-X1</x:v>
      </x:c>
      <x:c r="D137" s="7" t="str">
        <x:v>BLD-A</x:v>
      </x:c>
      <x:c r="E137" s="7" t="str">
        <x:v>BL-X</x:v>
      </x:c>
      <x:c r="F137" s="7" t="str">
        <x:v>MF-22</x:v>
      </x:c>
      <x:c r="G137" s="7" t="str">
        <x:v>source ancestry</x:v>
      </x:c>
      <x:c r="H137" s="7" t="n">
        <x:v>5</x:v>
      </x:c>
      <x:c r="I137" s="7" t="str"/>
      <x:c r="J137" s="7" t="str"/>
      <x:c r="K137" s="7" t="str"/>
      <x:c r="L137" s="7" t="str"/>
      <x:c r="M137" s="7" t="str"/>
      <x:c r="N137" s="7" t="str"/>
      <x:c r="O137" s="7" t="str">
        <x:f>IF(N137="","OPEN",IF(OR(I137="",J137="",K137="",L137="",M137=""),"FAIL","PASS"))</x:f>
        <x:v>OPEN</x:v>
      </x:c>
    </x:row>
    <x:row r="138">
      <x:c r="B138" s="7" t="str">
        <x:v>CH-PEA-A-X1-22-6</x:v>
      </x:c>
      <x:c r="C138" s="7" t="str">
        <x:v>PEA-A-X1</x:v>
      </x:c>
      <x:c r="D138" s="7" t="str">
        <x:v>BLD-A</x:v>
      </x:c>
      <x:c r="E138" s="7" t="str">
        <x:v>BL-X</x:v>
      </x:c>
      <x:c r="F138" s="7" t="str">
        <x:v>MF-22</x:v>
      </x:c>
      <x:c r="G138" s="7" t="str">
        <x:v>source ancestry</x:v>
      </x:c>
      <x:c r="H138" s="7" t="n">
        <x:v>6</x:v>
      </x:c>
      <x:c r="I138" s="7" t="str"/>
      <x:c r="J138" s="7" t="str"/>
      <x:c r="K138" s="7" t="str"/>
      <x:c r="L138" s="7" t="str"/>
      <x:c r="M138" s="7" t="str"/>
      <x:c r="N138" s="7" t="str"/>
      <x:c r="O138" s="7" t="str">
        <x:f>IF(N138="","OPEN",IF(OR(I138="",J138="",K138="",L138="",M138=""),"FAIL","PASS"))</x:f>
        <x:v>OPEN</x:v>
      </x:c>
    </x:row>
    <x:row r="139">
      <x:c r="B139" s="7" t="str">
        <x:v>CH-PEA-A-X1-23-1</x:v>
      </x:c>
      <x:c r="C139" s="7" t="str">
        <x:v>PEA-A-X1</x:v>
      </x:c>
      <x:c r="D139" s="7" t="str">
        <x:v>BLD-A</x:v>
      </x:c>
      <x:c r="E139" s="7" t="str">
        <x:v>BL-X</x:v>
      </x:c>
      <x:c r="F139" s="7" t="str">
        <x:v>MF-23</x:v>
      </x:c>
      <x:c r="G139" s="7" t="str">
        <x:v>water ancestry</x:v>
      </x:c>
      <x:c r="H139" s="7" t="n">
        <x:v>1</x:v>
      </x:c>
      <x:c r="I139" s="7" t="str"/>
      <x:c r="J139" s="7" t="str"/>
      <x:c r="K139" s="7" t="str"/>
      <x:c r="L139" s="7" t="str"/>
      <x:c r="M139" s="7" t="str"/>
      <x:c r="N139" s="7" t="str"/>
      <x:c r="O139" s="7" t="str">
        <x:f>IF(N139="","OPEN",IF(OR(I139="",J139="",K139="",L139="",M139=""),"FAIL","PASS"))</x:f>
        <x:v>OPEN</x:v>
      </x:c>
    </x:row>
    <x:row r="140">
      <x:c r="B140" s="7" t="str">
        <x:v>CH-PEA-A-X1-23-2</x:v>
      </x:c>
      <x:c r="C140" s="7" t="str">
        <x:v>PEA-A-X1</x:v>
      </x:c>
      <x:c r="D140" s="7" t="str">
        <x:v>BLD-A</x:v>
      </x:c>
      <x:c r="E140" s="7" t="str">
        <x:v>BL-X</x:v>
      </x:c>
      <x:c r="F140" s="7" t="str">
        <x:v>MF-23</x:v>
      </x:c>
      <x:c r="G140" s="7" t="str">
        <x:v>water ancestry</x:v>
      </x:c>
      <x:c r="H140" s="7" t="n">
        <x:v>2</x:v>
      </x:c>
      <x:c r="I140" s="7" t="str"/>
      <x:c r="J140" s="7" t="str"/>
      <x:c r="K140" s="7" t="str"/>
      <x:c r="L140" s="7" t="str"/>
      <x:c r="M140" s="7" t="str"/>
      <x:c r="N140" s="7" t="str"/>
      <x:c r="O140" s="7" t="str">
        <x:f>IF(N140="","OPEN",IF(OR(I140="",J140="",K140="",L140="",M140=""),"FAIL","PASS"))</x:f>
        <x:v>OPEN</x:v>
      </x:c>
    </x:row>
    <x:row r="141">
      <x:c r="B141" s="7" t="str">
        <x:v>CH-PEA-A-X1-23-3</x:v>
      </x:c>
      <x:c r="C141" s="7" t="str">
        <x:v>PEA-A-X1</x:v>
      </x:c>
      <x:c r="D141" s="7" t="str">
        <x:v>BLD-A</x:v>
      </x:c>
      <x:c r="E141" s="7" t="str">
        <x:v>BL-X</x:v>
      </x:c>
      <x:c r="F141" s="7" t="str">
        <x:v>MF-23</x:v>
      </x:c>
      <x:c r="G141" s="7" t="str">
        <x:v>water ancestry</x:v>
      </x:c>
      <x:c r="H141" s="7" t="n">
        <x:v>3</x:v>
      </x:c>
      <x:c r="I141" s="7" t="str"/>
      <x:c r="J141" s="7" t="str"/>
      <x:c r="K141" s="7" t="str"/>
      <x:c r="L141" s="7" t="str"/>
      <x:c r="M141" s="7" t="str"/>
      <x:c r="N141" s="7" t="str"/>
      <x:c r="O141" s="7" t="str">
        <x:f>IF(N141="","OPEN",IF(OR(I141="",J141="",K141="",L141="",M141=""),"FAIL","PASS"))</x:f>
        <x:v>OPEN</x:v>
      </x:c>
    </x:row>
    <x:row r="142">
      <x:c r="B142" s="7" t="str">
        <x:v>CH-PEA-A-X1-23-4</x:v>
      </x:c>
      <x:c r="C142" s="7" t="str">
        <x:v>PEA-A-X1</x:v>
      </x:c>
      <x:c r="D142" s="7" t="str">
        <x:v>BLD-A</x:v>
      </x:c>
      <x:c r="E142" s="7" t="str">
        <x:v>BL-X</x:v>
      </x:c>
      <x:c r="F142" s="7" t="str">
        <x:v>MF-23</x:v>
      </x:c>
      <x:c r="G142" s="7" t="str">
        <x:v>water ancestry</x:v>
      </x:c>
      <x:c r="H142" s="7" t="n">
        <x:v>4</x:v>
      </x:c>
      <x:c r="I142" s="7" t="str"/>
      <x:c r="J142" s="7" t="str"/>
      <x:c r="K142" s="7" t="str"/>
      <x:c r="L142" s="7" t="str"/>
      <x:c r="M142" s="7" t="str"/>
      <x:c r="N142" s="7" t="str"/>
      <x:c r="O142" s="7" t="str">
        <x:f>IF(N142="","OPEN",IF(OR(I142="",J142="",K142="",L142="",M142=""),"FAIL","PASS"))</x:f>
        <x:v>OPEN</x:v>
      </x:c>
    </x:row>
    <x:row r="143">
      <x:c r="B143" s="7" t="str">
        <x:v>CH-PEA-A-X1-23-5</x:v>
      </x:c>
      <x:c r="C143" s="7" t="str">
        <x:v>PEA-A-X1</x:v>
      </x:c>
      <x:c r="D143" s="7" t="str">
        <x:v>BLD-A</x:v>
      </x:c>
      <x:c r="E143" s="7" t="str">
        <x:v>BL-X</x:v>
      </x:c>
      <x:c r="F143" s="7" t="str">
        <x:v>MF-23</x:v>
      </x:c>
      <x:c r="G143" s="7" t="str">
        <x:v>water ancestry</x:v>
      </x:c>
      <x:c r="H143" s="7" t="n">
        <x:v>5</x:v>
      </x:c>
      <x:c r="I143" s="7" t="str"/>
      <x:c r="J143" s="7" t="str"/>
      <x:c r="K143" s="7" t="str"/>
      <x:c r="L143" s="7" t="str"/>
      <x:c r="M143" s="7" t="str"/>
      <x:c r="N143" s="7" t="str"/>
      <x:c r="O143" s="7" t="str">
        <x:f>IF(N143="","OPEN",IF(OR(I143="",J143="",K143="",L143="",M143=""),"FAIL","PASS"))</x:f>
        <x:v>OPEN</x:v>
      </x:c>
    </x:row>
    <x:row r="144">
      <x:c r="B144" s="7" t="str">
        <x:v>CH-PEA-A-X1-23-6</x:v>
      </x:c>
      <x:c r="C144" s="7" t="str">
        <x:v>PEA-A-X1</x:v>
      </x:c>
      <x:c r="D144" s="7" t="str">
        <x:v>BLD-A</x:v>
      </x:c>
      <x:c r="E144" s="7" t="str">
        <x:v>BL-X</x:v>
      </x:c>
      <x:c r="F144" s="7" t="str">
        <x:v>MF-23</x:v>
      </x:c>
      <x:c r="G144" s="7" t="str">
        <x:v>water ancestry</x:v>
      </x:c>
      <x:c r="H144" s="7" t="n">
        <x:v>6</x:v>
      </x:c>
      <x:c r="I144" s="7" t="str"/>
      <x:c r="J144" s="7" t="str"/>
      <x:c r="K144" s="7" t="str"/>
      <x:c r="L144" s="7" t="str"/>
      <x:c r="M144" s="7" t="str"/>
      <x:c r="N144" s="7" t="str"/>
      <x:c r="O144" s="7" t="str">
        <x:f>IF(N144="","OPEN",IF(OR(I144="",J144="",K144="",L144="",M144=""),"FAIL","PASS"))</x:f>
        <x:v>OPEN</x:v>
      </x:c>
    </x:row>
    <x:row r="145">
      <x:c r="B145" s="7" t="str">
        <x:v>CH-PEA-A-X1-24-1</x:v>
      </x:c>
      <x:c r="C145" s="7" t="str">
        <x:v>PEA-A-X1</x:v>
      </x:c>
      <x:c r="D145" s="7" t="str">
        <x:v>BLD-A</x:v>
      </x:c>
      <x:c r="E145" s="7" t="str">
        <x:v>BL-X</x:v>
      </x:c>
      <x:c r="F145" s="7" t="str">
        <x:v>MF-24</x:v>
      </x:c>
      <x:c r="G145" s="7" t="str">
        <x:v>evidence health</x:v>
      </x:c>
      <x:c r="H145" s="7" t="n">
        <x:v>1</x:v>
      </x:c>
      <x:c r="I145" s="7" t="str"/>
      <x:c r="J145" s="7" t="str"/>
      <x:c r="K145" s="7" t="str"/>
      <x:c r="L145" s="7" t="str"/>
      <x:c r="M145" s="7" t="str"/>
      <x:c r="N145" s="7" t="str"/>
      <x:c r="O145" s="7" t="str">
        <x:f>IF(N145="","OPEN",IF(OR(I145="",J145="",K145="",L145="",M145=""),"FAIL","PASS"))</x:f>
        <x:v>OPEN</x:v>
      </x:c>
    </x:row>
    <x:row r="146">
      <x:c r="B146" s="7" t="str">
        <x:v>CH-PEA-A-X1-24-2</x:v>
      </x:c>
      <x:c r="C146" s="7" t="str">
        <x:v>PEA-A-X1</x:v>
      </x:c>
      <x:c r="D146" s="7" t="str">
        <x:v>BLD-A</x:v>
      </x:c>
      <x:c r="E146" s="7" t="str">
        <x:v>BL-X</x:v>
      </x:c>
      <x:c r="F146" s="7" t="str">
        <x:v>MF-24</x:v>
      </x:c>
      <x:c r="G146" s="7" t="str">
        <x:v>evidence health</x:v>
      </x:c>
      <x:c r="H146" s="7" t="n">
        <x:v>2</x:v>
      </x:c>
      <x:c r="I146" s="7" t="str"/>
      <x:c r="J146" s="7" t="str"/>
      <x:c r="K146" s="7" t="str"/>
      <x:c r="L146" s="7" t="str"/>
      <x:c r="M146" s="7" t="str"/>
      <x:c r="N146" s="7" t="str"/>
      <x:c r="O146" s="7" t="str">
        <x:f>IF(N146="","OPEN",IF(OR(I146="",J146="",K146="",L146="",M146=""),"FAIL","PASS"))</x:f>
        <x:v>OPEN</x:v>
      </x:c>
    </x:row>
    <x:row r="147">
      <x:c r="B147" s="7" t="str">
        <x:v>CH-PEA-A-X1-24-3</x:v>
      </x:c>
      <x:c r="C147" s="7" t="str">
        <x:v>PEA-A-X1</x:v>
      </x:c>
      <x:c r="D147" s="7" t="str">
        <x:v>BLD-A</x:v>
      </x:c>
      <x:c r="E147" s="7" t="str">
        <x:v>BL-X</x:v>
      </x:c>
      <x:c r="F147" s="7" t="str">
        <x:v>MF-24</x:v>
      </x:c>
      <x:c r="G147" s="7" t="str">
        <x:v>evidence health</x:v>
      </x:c>
      <x:c r="H147" s="7" t="n">
        <x:v>3</x:v>
      </x:c>
      <x:c r="I147" s="7" t="str"/>
      <x:c r="J147" s="7" t="str"/>
      <x:c r="K147" s="7" t="str"/>
      <x:c r="L147" s="7" t="str"/>
      <x:c r="M147" s="7" t="str"/>
      <x:c r="N147" s="7" t="str"/>
      <x:c r="O147" s="7" t="str">
        <x:f>IF(N147="","OPEN",IF(OR(I147="",J147="",K147="",L147="",M147=""),"FAIL","PASS"))</x:f>
        <x:v>OPEN</x:v>
      </x:c>
    </x:row>
    <x:row r="148">
      <x:c r="B148" s="7" t="str">
        <x:v>CH-PEA-A-X1-24-4</x:v>
      </x:c>
      <x:c r="C148" s="7" t="str">
        <x:v>PEA-A-X1</x:v>
      </x:c>
      <x:c r="D148" s="7" t="str">
        <x:v>BLD-A</x:v>
      </x:c>
      <x:c r="E148" s="7" t="str">
        <x:v>BL-X</x:v>
      </x:c>
      <x:c r="F148" s="7" t="str">
        <x:v>MF-24</x:v>
      </x:c>
      <x:c r="G148" s="7" t="str">
        <x:v>evidence health</x:v>
      </x:c>
      <x:c r="H148" s="7" t="n">
        <x:v>4</x:v>
      </x:c>
      <x:c r="I148" s="7" t="str"/>
      <x:c r="J148" s="7" t="str"/>
      <x:c r="K148" s="7" t="str"/>
      <x:c r="L148" s="7" t="str"/>
      <x:c r="M148" s="7" t="str"/>
      <x:c r="N148" s="7" t="str"/>
      <x:c r="O148" s="7" t="str">
        <x:f>IF(N148="","OPEN",IF(OR(I148="",J148="",K148="",L148="",M148=""),"FAIL","PASS"))</x:f>
        <x:v>OPEN</x:v>
      </x:c>
    </x:row>
    <x:row r="149">
      <x:c r="B149" s="7" t="str">
        <x:v>CH-PEA-A-X1-24-5</x:v>
      </x:c>
      <x:c r="C149" s="7" t="str">
        <x:v>PEA-A-X1</x:v>
      </x:c>
      <x:c r="D149" s="7" t="str">
        <x:v>BLD-A</x:v>
      </x:c>
      <x:c r="E149" s="7" t="str">
        <x:v>BL-X</x:v>
      </x:c>
      <x:c r="F149" s="7" t="str">
        <x:v>MF-24</x:v>
      </x:c>
      <x:c r="G149" s="7" t="str">
        <x:v>evidence health</x:v>
      </x:c>
      <x:c r="H149" s="7" t="n">
        <x:v>5</x:v>
      </x:c>
      <x:c r="I149" s="7" t="str"/>
      <x:c r="J149" s="7" t="str"/>
      <x:c r="K149" s="7" t="str"/>
      <x:c r="L149" s="7" t="str"/>
      <x:c r="M149" s="7" t="str"/>
      <x:c r="N149" s="7" t="str"/>
      <x:c r="O149" s="7" t="str">
        <x:f>IF(N149="","OPEN",IF(OR(I149="",J149="",K149="",L149="",M149=""),"FAIL","PASS"))</x:f>
        <x:v>OPEN</x:v>
      </x:c>
    </x:row>
    <x:row r="150">
      <x:c r="B150" s="7" t="str">
        <x:v>CH-PEA-A-X1-24-6</x:v>
      </x:c>
      <x:c r="C150" s="7" t="str">
        <x:v>PEA-A-X1</x:v>
      </x:c>
      <x:c r="D150" s="7" t="str">
        <x:v>BLD-A</x:v>
      </x:c>
      <x:c r="E150" s="7" t="str">
        <x:v>BL-X</x:v>
      </x:c>
      <x:c r="F150" s="7" t="str">
        <x:v>MF-24</x:v>
      </x:c>
      <x:c r="G150" s="7" t="str">
        <x:v>evidence health</x:v>
      </x:c>
      <x:c r="H150" s="7" t="n">
        <x:v>6</x:v>
      </x:c>
      <x:c r="I150" s="7" t="str"/>
      <x:c r="J150" s="7" t="str"/>
      <x:c r="K150" s="7" t="str"/>
      <x:c r="L150" s="7" t="str"/>
      <x:c r="M150" s="7" t="str"/>
      <x:c r="N150" s="7" t="str"/>
      <x:c r="O150" s="7" t="str">
        <x:f>IF(N150="","OPEN",IF(OR(I150="",J150="",K150="",L150="",M150=""),"FAIL","PASS"))</x:f>
        <x:v>OPEN</x:v>
      </x:c>
    </x:row>
    <x:row r="151">
      <x:c r="B151" s="7" t="str">
        <x:v>CH-PEA-A-X2-01-1</x:v>
      </x:c>
      <x:c r="C151" s="7" t="str">
        <x:v>PEA-A-X2</x:v>
      </x:c>
      <x:c r="D151" s="7" t="str">
        <x:v>BLD-A</x:v>
      </x:c>
      <x:c r="E151" s="7" t="str">
        <x:v>BL-X</x:v>
      </x:c>
      <x:c r="F151" s="7" t="str">
        <x:v>MF-01</x:v>
      </x:c>
      <x:c r="G151" s="7" t="str">
        <x:v>source vessel mass</x:v>
      </x:c>
      <x:c r="H151" s="7" t="n">
        <x:v>1</x:v>
      </x:c>
      <x:c r="I151" s="7" t="str"/>
      <x:c r="J151" s="7" t="str"/>
      <x:c r="K151" s="7" t="str"/>
      <x:c r="L151" s="7" t="str"/>
      <x:c r="M151" s="7" t="str"/>
      <x:c r="N151" s="7" t="str"/>
      <x:c r="O151" s="7" t="str">
        <x:f>IF(N151="","OPEN",IF(OR(I151="",J151="",K151="",L151="",M151=""),"FAIL","PASS"))</x:f>
        <x:v>OPEN</x:v>
      </x:c>
    </x:row>
    <x:row r="152">
      <x:c r="B152" s="7" t="str">
        <x:v>CH-PEA-A-X2-01-2</x:v>
      </x:c>
      <x:c r="C152" s="7" t="str">
        <x:v>PEA-A-X2</x:v>
      </x:c>
      <x:c r="D152" s="7" t="str">
        <x:v>BLD-A</x:v>
      </x:c>
      <x:c r="E152" s="7" t="str">
        <x:v>BL-X</x:v>
      </x:c>
      <x:c r="F152" s="7" t="str">
        <x:v>MF-01</x:v>
      </x:c>
      <x:c r="G152" s="7" t="str">
        <x:v>source vessel mass</x:v>
      </x:c>
      <x:c r="H152" s="7" t="n">
        <x:v>2</x:v>
      </x:c>
      <x:c r="I152" s="7" t="str"/>
      <x:c r="J152" s="7" t="str"/>
      <x:c r="K152" s="7" t="str"/>
      <x:c r="L152" s="7" t="str"/>
      <x:c r="M152" s="7" t="str"/>
      <x:c r="N152" s="7" t="str"/>
      <x:c r="O152" s="7" t="str">
        <x:f>IF(N152="","OPEN",IF(OR(I152="",J152="",K152="",L152="",M152=""),"FAIL","PASS"))</x:f>
        <x:v>OPEN</x:v>
      </x:c>
    </x:row>
    <x:row r="153">
      <x:c r="B153" s="7" t="str">
        <x:v>CH-PEA-A-X2-01-3</x:v>
      </x:c>
      <x:c r="C153" s="7" t="str">
        <x:v>PEA-A-X2</x:v>
      </x:c>
      <x:c r="D153" s="7" t="str">
        <x:v>BLD-A</x:v>
      </x:c>
      <x:c r="E153" s="7" t="str">
        <x:v>BL-X</x:v>
      </x:c>
      <x:c r="F153" s="7" t="str">
        <x:v>MF-01</x:v>
      </x:c>
      <x:c r="G153" s="7" t="str">
        <x:v>source vessel mass</x:v>
      </x:c>
      <x:c r="H153" s="7" t="n">
        <x:v>3</x:v>
      </x:c>
      <x:c r="I153" s="7" t="str"/>
      <x:c r="J153" s="7" t="str"/>
      <x:c r="K153" s="7" t="str"/>
      <x:c r="L153" s="7" t="str"/>
      <x:c r="M153" s="7" t="str"/>
      <x:c r="N153" s="7" t="str"/>
      <x:c r="O153" s="7" t="str">
        <x:f>IF(N153="","OPEN",IF(OR(I153="",J153="",K153="",L153="",M153=""),"FAIL","PASS"))</x:f>
        <x:v>OPEN</x:v>
      </x:c>
    </x:row>
    <x:row r="154">
      <x:c r="B154" s="7" t="str">
        <x:v>CH-PEA-A-X2-01-4</x:v>
      </x:c>
      <x:c r="C154" s="7" t="str">
        <x:v>PEA-A-X2</x:v>
      </x:c>
      <x:c r="D154" s="7" t="str">
        <x:v>BLD-A</x:v>
      </x:c>
      <x:c r="E154" s="7" t="str">
        <x:v>BL-X</x:v>
      </x:c>
      <x:c r="F154" s="7" t="str">
        <x:v>MF-01</x:v>
      </x:c>
      <x:c r="G154" s="7" t="str">
        <x:v>source vessel mass</x:v>
      </x:c>
      <x:c r="H154" s="7" t="n">
        <x:v>4</x:v>
      </x:c>
      <x:c r="I154" s="7" t="str"/>
      <x:c r="J154" s="7" t="str"/>
      <x:c r="K154" s="7" t="str"/>
      <x:c r="L154" s="7" t="str"/>
      <x:c r="M154" s="7" t="str"/>
      <x:c r="N154" s="7" t="str"/>
      <x:c r="O154" s="7" t="str">
        <x:f>IF(N154="","OPEN",IF(OR(I154="",J154="",K154="",L154="",M154=""),"FAIL","PASS"))</x:f>
        <x:v>OPEN</x:v>
      </x:c>
    </x:row>
    <x:row r="155">
      <x:c r="B155" s="7" t="str">
        <x:v>CH-PEA-A-X2-01-5</x:v>
      </x:c>
      <x:c r="C155" s="7" t="str">
        <x:v>PEA-A-X2</x:v>
      </x:c>
      <x:c r="D155" s="7" t="str">
        <x:v>BLD-A</x:v>
      </x:c>
      <x:c r="E155" s="7" t="str">
        <x:v>BL-X</x:v>
      </x:c>
      <x:c r="F155" s="7" t="str">
        <x:v>MF-01</x:v>
      </x:c>
      <x:c r="G155" s="7" t="str">
        <x:v>source vessel mass</x:v>
      </x:c>
      <x:c r="H155" s="7" t="n">
        <x:v>5</x:v>
      </x:c>
      <x:c r="I155" s="7" t="str"/>
      <x:c r="J155" s="7" t="str"/>
      <x:c r="K155" s="7" t="str"/>
      <x:c r="L155" s="7" t="str"/>
      <x:c r="M155" s="7" t="str"/>
      <x:c r="N155" s="7" t="str"/>
      <x:c r="O155" s="7" t="str">
        <x:f>IF(N155="","OPEN",IF(OR(I155="",J155="",K155="",L155="",M155=""),"FAIL","PASS"))</x:f>
        <x:v>OPEN</x:v>
      </x:c>
    </x:row>
    <x:row r="156">
      <x:c r="B156" s="7" t="str">
        <x:v>CH-PEA-A-X2-01-6</x:v>
      </x:c>
      <x:c r="C156" s="7" t="str">
        <x:v>PEA-A-X2</x:v>
      </x:c>
      <x:c r="D156" s="7" t="str">
        <x:v>BLD-A</x:v>
      </x:c>
      <x:c r="E156" s="7" t="str">
        <x:v>BL-X</x:v>
      </x:c>
      <x:c r="F156" s="7" t="str">
        <x:v>MF-01</x:v>
      </x:c>
      <x:c r="G156" s="7" t="str">
        <x:v>source vessel mass</x:v>
      </x:c>
      <x:c r="H156" s="7" t="n">
        <x:v>6</x:v>
      </x:c>
      <x:c r="I156" s="7" t="str"/>
      <x:c r="J156" s="7" t="str"/>
      <x:c r="K156" s="7" t="str"/>
      <x:c r="L156" s="7" t="str"/>
      <x:c r="M156" s="7" t="str"/>
      <x:c r="N156" s="7" t="str"/>
      <x:c r="O156" s="7" t="str">
        <x:f>IF(N156="","OPEN",IF(OR(I156="",J156="",K156="",L156="",M156=""),"FAIL","PASS"))</x:f>
        <x:v>OPEN</x:v>
      </x:c>
    </x:row>
    <x:row r="157">
      <x:c r="B157" s="7" t="str">
        <x:v>CH-PEA-A-X2-02-1</x:v>
      </x:c>
      <x:c r="C157" s="7" t="str">
        <x:v>PEA-A-X2</x:v>
      </x:c>
      <x:c r="D157" s="7" t="str">
        <x:v>BLD-A</x:v>
      </x:c>
      <x:c r="E157" s="7" t="str">
        <x:v>BL-X</x:v>
      </x:c>
      <x:c r="F157" s="7" t="str">
        <x:v>MF-02</x:v>
      </x:c>
      <x:c r="G157" s="7" t="str">
        <x:v>transfer mass</x:v>
      </x:c>
      <x:c r="H157" s="7" t="n">
        <x:v>1</x:v>
      </x:c>
      <x:c r="I157" s="7" t="str"/>
      <x:c r="J157" s="7" t="str"/>
      <x:c r="K157" s="7" t="str"/>
      <x:c r="L157" s="7" t="str"/>
      <x:c r="M157" s="7" t="str"/>
      <x:c r="N157" s="7" t="str"/>
      <x:c r="O157" s="7" t="str">
        <x:f>IF(N157="","OPEN",IF(OR(I157="",J157="",K157="",L157="",M157=""),"FAIL","PASS"))</x:f>
        <x:v>OPEN</x:v>
      </x:c>
    </x:row>
    <x:row r="158">
      <x:c r="B158" s="7" t="str">
        <x:v>CH-PEA-A-X2-02-2</x:v>
      </x:c>
      <x:c r="C158" s="7" t="str">
        <x:v>PEA-A-X2</x:v>
      </x:c>
      <x:c r="D158" s="7" t="str">
        <x:v>BLD-A</x:v>
      </x:c>
      <x:c r="E158" s="7" t="str">
        <x:v>BL-X</x:v>
      </x:c>
      <x:c r="F158" s="7" t="str">
        <x:v>MF-02</x:v>
      </x:c>
      <x:c r="G158" s="7" t="str">
        <x:v>transfer mass</x:v>
      </x:c>
      <x:c r="H158" s="7" t="n">
        <x:v>2</x:v>
      </x:c>
      <x:c r="I158" s="7" t="str"/>
      <x:c r="J158" s="7" t="str"/>
      <x:c r="K158" s="7" t="str"/>
      <x:c r="L158" s="7" t="str"/>
      <x:c r="M158" s="7" t="str"/>
      <x:c r="N158" s="7" t="str"/>
      <x:c r="O158" s="7" t="str">
        <x:f>IF(N158="","OPEN",IF(OR(I158="",J158="",K158="",L158="",M158=""),"FAIL","PASS"))</x:f>
        <x:v>OPEN</x:v>
      </x:c>
    </x:row>
    <x:row r="159">
      <x:c r="B159" s="7" t="str">
        <x:v>CH-PEA-A-X2-02-3</x:v>
      </x:c>
      <x:c r="C159" s="7" t="str">
        <x:v>PEA-A-X2</x:v>
      </x:c>
      <x:c r="D159" s="7" t="str">
        <x:v>BLD-A</x:v>
      </x:c>
      <x:c r="E159" s="7" t="str">
        <x:v>BL-X</x:v>
      </x:c>
      <x:c r="F159" s="7" t="str">
        <x:v>MF-02</x:v>
      </x:c>
      <x:c r="G159" s="7" t="str">
        <x:v>transfer mass</x:v>
      </x:c>
      <x:c r="H159" s="7" t="n">
        <x:v>3</x:v>
      </x:c>
      <x:c r="I159" s="7" t="str"/>
      <x:c r="J159" s="7" t="str"/>
      <x:c r="K159" s="7" t="str"/>
      <x:c r="L159" s="7" t="str"/>
      <x:c r="M159" s="7" t="str"/>
      <x:c r="N159" s="7" t="str"/>
      <x:c r="O159" s="7" t="str">
        <x:f>IF(N159="","OPEN",IF(OR(I159="",J159="",K159="",L159="",M159=""),"FAIL","PASS"))</x:f>
        <x:v>OPEN</x:v>
      </x:c>
    </x:row>
    <x:row r="160">
      <x:c r="B160" s="7" t="str">
        <x:v>CH-PEA-A-X2-02-4</x:v>
      </x:c>
      <x:c r="C160" s="7" t="str">
        <x:v>PEA-A-X2</x:v>
      </x:c>
      <x:c r="D160" s="7" t="str">
        <x:v>BLD-A</x:v>
      </x:c>
      <x:c r="E160" s="7" t="str">
        <x:v>BL-X</x:v>
      </x:c>
      <x:c r="F160" s="7" t="str">
        <x:v>MF-02</x:v>
      </x:c>
      <x:c r="G160" s="7" t="str">
        <x:v>transfer mass</x:v>
      </x:c>
      <x:c r="H160" s="7" t="n">
        <x:v>4</x:v>
      </x:c>
      <x:c r="I160" s="7" t="str"/>
      <x:c r="J160" s="7" t="str"/>
      <x:c r="K160" s="7" t="str"/>
      <x:c r="L160" s="7" t="str"/>
      <x:c r="M160" s="7" t="str"/>
      <x:c r="N160" s="7" t="str"/>
      <x:c r="O160" s="7" t="str">
        <x:f>IF(N160="","OPEN",IF(OR(I160="",J160="",K160="",L160="",M160=""),"FAIL","PASS"))</x:f>
        <x:v>OPEN</x:v>
      </x:c>
    </x:row>
    <x:row r="161">
      <x:c r="B161" s="7" t="str">
        <x:v>CH-PEA-A-X2-02-5</x:v>
      </x:c>
      <x:c r="C161" s="7" t="str">
        <x:v>PEA-A-X2</x:v>
      </x:c>
      <x:c r="D161" s="7" t="str">
        <x:v>BLD-A</x:v>
      </x:c>
      <x:c r="E161" s="7" t="str">
        <x:v>BL-X</x:v>
      </x:c>
      <x:c r="F161" s="7" t="str">
        <x:v>MF-02</x:v>
      </x:c>
      <x:c r="G161" s="7" t="str">
        <x:v>transfer mass</x:v>
      </x:c>
      <x:c r="H161" s="7" t="n">
        <x:v>5</x:v>
      </x:c>
      <x:c r="I161" s="7" t="str"/>
      <x:c r="J161" s="7" t="str"/>
      <x:c r="K161" s="7" t="str"/>
      <x:c r="L161" s="7" t="str"/>
      <x:c r="M161" s="7" t="str"/>
      <x:c r="N161" s="7" t="str"/>
      <x:c r="O161" s="7" t="str">
        <x:f>IF(N161="","OPEN",IF(OR(I161="",J161="",K161="",L161="",M161=""),"FAIL","PASS"))</x:f>
        <x:v>OPEN</x:v>
      </x:c>
    </x:row>
    <x:row r="162">
      <x:c r="B162" s="7" t="str">
        <x:v>CH-PEA-A-X2-02-6</x:v>
      </x:c>
      <x:c r="C162" s="7" t="str">
        <x:v>PEA-A-X2</x:v>
      </x:c>
      <x:c r="D162" s="7" t="str">
        <x:v>BLD-A</x:v>
      </x:c>
      <x:c r="E162" s="7" t="str">
        <x:v>BL-X</x:v>
      </x:c>
      <x:c r="F162" s="7" t="str">
        <x:v>MF-02</x:v>
      </x:c>
      <x:c r="G162" s="7" t="str">
        <x:v>transfer mass</x:v>
      </x:c>
      <x:c r="H162" s="7" t="n">
        <x:v>6</x:v>
      </x:c>
      <x:c r="I162" s="7" t="str"/>
      <x:c r="J162" s="7" t="str"/>
      <x:c r="K162" s="7" t="str"/>
      <x:c r="L162" s="7" t="str"/>
      <x:c r="M162" s="7" t="str"/>
      <x:c r="N162" s="7" t="str"/>
      <x:c r="O162" s="7" t="str">
        <x:f>IF(N162="","OPEN",IF(OR(I162="",J162="",K162="",L162="",M162=""),"FAIL","PASS"))</x:f>
        <x:v>OPEN</x:v>
      </x:c>
    </x:row>
    <x:row r="163">
      <x:c r="B163" s="7" t="str">
        <x:v>CH-PEA-A-X2-03-1</x:v>
      </x:c>
      <x:c r="C163" s="7" t="str">
        <x:v>PEA-A-X2</x:v>
      </x:c>
      <x:c r="D163" s="7" t="str">
        <x:v>BLD-A</x:v>
      </x:c>
      <x:c r="E163" s="7" t="str">
        <x:v>BL-X</x:v>
      </x:c>
      <x:c r="F163" s="7" t="str">
        <x:v>MF-03</x:v>
      </x:c>
      <x:c r="G163" s="7" t="str">
        <x:v>source pressure</x:v>
      </x:c>
      <x:c r="H163" s="7" t="n">
        <x:v>1</x:v>
      </x:c>
      <x:c r="I163" s="7" t="str"/>
      <x:c r="J163" s="7" t="str"/>
      <x:c r="K163" s="7" t="str"/>
      <x:c r="L163" s="7" t="str"/>
      <x:c r="M163" s="7" t="str"/>
      <x:c r="N163" s="7" t="str"/>
      <x:c r="O163" s="7" t="str">
        <x:f>IF(N163="","OPEN",IF(OR(I163="",J163="",K163="",L163="",M163=""),"FAIL","PASS"))</x:f>
        <x:v>OPEN</x:v>
      </x:c>
    </x:row>
    <x:row r="164">
      <x:c r="B164" s="7" t="str">
        <x:v>CH-PEA-A-X2-03-2</x:v>
      </x:c>
      <x:c r="C164" s="7" t="str">
        <x:v>PEA-A-X2</x:v>
      </x:c>
      <x:c r="D164" s="7" t="str">
        <x:v>BLD-A</x:v>
      </x:c>
      <x:c r="E164" s="7" t="str">
        <x:v>BL-X</x:v>
      </x:c>
      <x:c r="F164" s="7" t="str">
        <x:v>MF-03</x:v>
      </x:c>
      <x:c r="G164" s="7" t="str">
        <x:v>source pressure</x:v>
      </x:c>
      <x:c r="H164" s="7" t="n">
        <x:v>2</x:v>
      </x:c>
      <x:c r="I164" s="7" t="str"/>
      <x:c r="J164" s="7" t="str"/>
      <x:c r="K164" s="7" t="str"/>
      <x:c r="L164" s="7" t="str"/>
      <x:c r="M164" s="7" t="str"/>
      <x:c r="N164" s="7" t="str"/>
      <x:c r="O164" s="7" t="str">
        <x:f>IF(N164="","OPEN",IF(OR(I164="",J164="",K164="",L164="",M164=""),"FAIL","PASS"))</x:f>
        <x:v>OPEN</x:v>
      </x:c>
    </x:row>
    <x:row r="165">
      <x:c r="B165" s="7" t="str">
        <x:v>CH-PEA-A-X2-03-3</x:v>
      </x:c>
      <x:c r="C165" s="7" t="str">
        <x:v>PEA-A-X2</x:v>
      </x:c>
      <x:c r="D165" s="7" t="str">
        <x:v>BLD-A</x:v>
      </x:c>
      <x:c r="E165" s="7" t="str">
        <x:v>BL-X</x:v>
      </x:c>
      <x:c r="F165" s="7" t="str">
        <x:v>MF-03</x:v>
      </x:c>
      <x:c r="G165" s="7" t="str">
        <x:v>source pressure</x:v>
      </x:c>
      <x:c r="H165" s="7" t="n">
        <x:v>3</x:v>
      </x:c>
      <x:c r="I165" s="7" t="str"/>
      <x:c r="J165" s="7" t="str"/>
      <x:c r="K165" s="7" t="str"/>
      <x:c r="L165" s="7" t="str"/>
      <x:c r="M165" s="7" t="str"/>
      <x:c r="N165" s="7" t="str"/>
      <x:c r="O165" s="7" t="str">
        <x:f>IF(N165="","OPEN",IF(OR(I165="",J165="",K165="",L165="",M165=""),"FAIL","PASS"))</x:f>
        <x:v>OPEN</x:v>
      </x:c>
    </x:row>
    <x:row r="166">
      <x:c r="B166" s="7" t="str">
        <x:v>CH-PEA-A-X2-03-4</x:v>
      </x:c>
      <x:c r="C166" s="7" t="str">
        <x:v>PEA-A-X2</x:v>
      </x:c>
      <x:c r="D166" s="7" t="str">
        <x:v>BLD-A</x:v>
      </x:c>
      <x:c r="E166" s="7" t="str">
        <x:v>BL-X</x:v>
      </x:c>
      <x:c r="F166" s="7" t="str">
        <x:v>MF-03</x:v>
      </x:c>
      <x:c r="G166" s="7" t="str">
        <x:v>source pressure</x:v>
      </x:c>
      <x:c r="H166" s="7" t="n">
        <x:v>4</x:v>
      </x:c>
      <x:c r="I166" s="7" t="str"/>
      <x:c r="J166" s="7" t="str"/>
      <x:c r="K166" s="7" t="str"/>
      <x:c r="L166" s="7" t="str"/>
      <x:c r="M166" s="7" t="str"/>
      <x:c r="N166" s="7" t="str"/>
      <x:c r="O166" s="7" t="str">
        <x:f>IF(N166="","OPEN",IF(OR(I166="",J166="",K166="",L166="",M166=""),"FAIL","PASS"))</x:f>
        <x:v>OPEN</x:v>
      </x:c>
    </x:row>
    <x:row r="167">
      <x:c r="B167" s="7" t="str">
        <x:v>CH-PEA-A-X2-03-5</x:v>
      </x:c>
      <x:c r="C167" s="7" t="str">
        <x:v>PEA-A-X2</x:v>
      </x:c>
      <x:c r="D167" s="7" t="str">
        <x:v>BLD-A</x:v>
      </x:c>
      <x:c r="E167" s="7" t="str">
        <x:v>BL-X</x:v>
      </x:c>
      <x:c r="F167" s="7" t="str">
        <x:v>MF-03</x:v>
      </x:c>
      <x:c r="G167" s="7" t="str">
        <x:v>source pressure</x:v>
      </x:c>
      <x:c r="H167" s="7" t="n">
        <x:v>5</x:v>
      </x:c>
      <x:c r="I167" s="7" t="str"/>
      <x:c r="J167" s="7" t="str"/>
      <x:c r="K167" s="7" t="str"/>
      <x:c r="L167" s="7" t="str"/>
      <x:c r="M167" s="7" t="str"/>
      <x:c r="N167" s="7" t="str"/>
      <x:c r="O167" s="7" t="str">
        <x:f>IF(N167="","OPEN",IF(OR(I167="",J167="",K167="",L167="",M167=""),"FAIL","PASS"))</x:f>
        <x:v>OPEN</x:v>
      </x:c>
    </x:row>
    <x:row r="168">
      <x:c r="B168" s="7" t="str">
        <x:v>CH-PEA-A-X2-03-6</x:v>
      </x:c>
      <x:c r="C168" s="7" t="str">
        <x:v>PEA-A-X2</x:v>
      </x:c>
      <x:c r="D168" s="7" t="str">
        <x:v>BLD-A</x:v>
      </x:c>
      <x:c r="E168" s="7" t="str">
        <x:v>BL-X</x:v>
      </x:c>
      <x:c r="F168" s="7" t="str">
        <x:v>MF-03</x:v>
      </x:c>
      <x:c r="G168" s="7" t="str">
        <x:v>source pressure</x:v>
      </x:c>
      <x:c r="H168" s="7" t="n">
        <x:v>6</x:v>
      </x:c>
      <x:c r="I168" s="7" t="str"/>
      <x:c r="J168" s="7" t="str"/>
      <x:c r="K168" s="7" t="str"/>
      <x:c r="L168" s="7" t="str"/>
      <x:c r="M168" s="7" t="str"/>
      <x:c r="N168" s="7" t="str"/>
      <x:c r="O168" s="7" t="str">
        <x:f>IF(N168="","OPEN",IF(OR(I168="",J168="",K168="",L168="",M168=""),"FAIL","PASS"))</x:f>
        <x:v>OPEN</x:v>
      </x:c>
    </x:row>
    <x:row r="169">
      <x:c r="B169" s="7" t="str">
        <x:v>CH-PEA-A-X2-04-1</x:v>
      </x:c>
      <x:c r="C169" s="7" t="str">
        <x:v>PEA-A-X2</x:v>
      </x:c>
      <x:c r="D169" s="7" t="str">
        <x:v>BLD-A</x:v>
      </x:c>
      <x:c r="E169" s="7" t="str">
        <x:v>BL-X</x:v>
      </x:c>
      <x:c r="F169" s="7" t="str">
        <x:v>MF-04</x:v>
      </x:c>
      <x:c r="G169" s="7" t="str">
        <x:v>source temperature</x:v>
      </x:c>
      <x:c r="H169" s="7" t="n">
        <x:v>1</x:v>
      </x:c>
      <x:c r="I169" s="7" t="str"/>
      <x:c r="J169" s="7" t="str"/>
      <x:c r="K169" s="7" t="str"/>
      <x:c r="L169" s="7" t="str"/>
      <x:c r="M169" s="7" t="str"/>
      <x:c r="N169" s="7" t="str"/>
      <x:c r="O169" s="7" t="str">
        <x:f>IF(N169="","OPEN",IF(OR(I169="",J169="",K169="",L169="",M169=""),"FAIL","PASS"))</x:f>
        <x:v>OPEN</x:v>
      </x:c>
    </x:row>
    <x:row r="170">
      <x:c r="B170" s="7" t="str">
        <x:v>CH-PEA-A-X2-04-2</x:v>
      </x:c>
      <x:c r="C170" s="7" t="str">
        <x:v>PEA-A-X2</x:v>
      </x:c>
      <x:c r="D170" s="7" t="str">
        <x:v>BLD-A</x:v>
      </x:c>
      <x:c r="E170" s="7" t="str">
        <x:v>BL-X</x:v>
      </x:c>
      <x:c r="F170" s="7" t="str">
        <x:v>MF-04</x:v>
      </x:c>
      <x:c r="G170" s="7" t="str">
        <x:v>source temperature</x:v>
      </x:c>
      <x:c r="H170" s="7" t="n">
        <x:v>2</x:v>
      </x:c>
      <x:c r="I170" s="7" t="str"/>
      <x:c r="J170" s="7" t="str"/>
      <x:c r="K170" s="7" t="str"/>
      <x:c r="L170" s="7" t="str"/>
      <x:c r="M170" s="7" t="str"/>
      <x:c r="N170" s="7" t="str"/>
      <x:c r="O170" s="7" t="str">
        <x:f>IF(N170="","OPEN",IF(OR(I170="",J170="",K170="",L170="",M170=""),"FAIL","PASS"))</x:f>
        <x:v>OPEN</x:v>
      </x:c>
    </x:row>
    <x:row r="171">
      <x:c r="B171" s="7" t="str">
        <x:v>CH-PEA-A-X2-04-3</x:v>
      </x:c>
      <x:c r="C171" s="7" t="str">
        <x:v>PEA-A-X2</x:v>
      </x:c>
      <x:c r="D171" s="7" t="str">
        <x:v>BLD-A</x:v>
      </x:c>
      <x:c r="E171" s="7" t="str">
        <x:v>BL-X</x:v>
      </x:c>
      <x:c r="F171" s="7" t="str">
        <x:v>MF-04</x:v>
      </x:c>
      <x:c r="G171" s="7" t="str">
        <x:v>source temperature</x:v>
      </x:c>
      <x:c r="H171" s="7" t="n">
        <x:v>3</x:v>
      </x:c>
      <x:c r="I171" s="7" t="str"/>
      <x:c r="J171" s="7" t="str"/>
      <x:c r="K171" s="7" t="str"/>
      <x:c r="L171" s="7" t="str"/>
      <x:c r="M171" s="7" t="str"/>
      <x:c r="N171" s="7" t="str"/>
      <x:c r="O171" s="7" t="str">
        <x:f>IF(N171="","OPEN",IF(OR(I171="",J171="",K171="",L171="",M171=""),"FAIL","PASS"))</x:f>
        <x:v>OPEN</x:v>
      </x:c>
    </x:row>
    <x:row r="172">
      <x:c r="B172" s="7" t="str">
        <x:v>CH-PEA-A-X2-04-4</x:v>
      </x:c>
      <x:c r="C172" s="7" t="str">
        <x:v>PEA-A-X2</x:v>
      </x:c>
      <x:c r="D172" s="7" t="str">
        <x:v>BLD-A</x:v>
      </x:c>
      <x:c r="E172" s="7" t="str">
        <x:v>BL-X</x:v>
      </x:c>
      <x:c r="F172" s="7" t="str">
        <x:v>MF-04</x:v>
      </x:c>
      <x:c r="G172" s="7" t="str">
        <x:v>source temperature</x:v>
      </x:c>
      <x:c r="H172" s="7" t="n">
        <x:v>4</x:v>
      </x:c>
      <x:c r="I172" s="7" t="str"/>
      <x:c r="J172" s="7" t="str"/>
      <x:c r="K172" s="7" t="str"/>
      <x:c r="L172" s="7" t="str"/>
      <x:c r="M172" s="7" t="str"/>
      <x:c r="N172" s="7" t="str"/>
      <x:c r="O172" s="7" t="str">
        <x:f>IF(N172="","OPEN",IF(OR(I172="",J172="",K172="",L172="",M172=""),"FAIL","PASS"))</x:f>
        <x:v>OPEN</x:v>
      </x:c>
    </x:row>
    <x:row r="173">
      <x:c r="B173" s="7" t="str">
        <x:v>CH-PEA-A-X2-04-5</x:v>
      </x:c>
      <x:c r="C173" s="7" t="str">
        <x:v>PEA-A-X2</x:v>
      </x:c>
      <x:c r="D173" s="7" t="str">
        <x:v>BLD-A</x:v>
      </x:c>
      <x:c r="E173" s="7" t="str">
        <x:v>BL-X</x:v>
      </x:c>
      <x:c r="F173" s="7" t="str">
        <x:v>MF-04</x:v>
      </x:c>
      <x:c r="G173" s="7" t="str">
        <x:v>source temperature</x:v>
      </x:c>
      <x:c r="H173" s="7" t="n">
        <x:v>5</x:v>
      </x:c>
      <x:c r="I173" s="7" t="str"/>
      <x:c r="J173" s="7" t="str"/>
      <x:c r="K173" s="7" t="str"/>
      <x:c r="L173" s="7" t="str"/>
      <x:c r="M173" s="7" t="str"/>
      <x:c r="N173" s="7" t="str"/>
      <x:c r="O173" s="7" t="str">
        <x:f>IF(N173="","OPEN",IF(OR(I173="",J173="",K173="",L173="",M173=""),"FAIL","PASS"))</x:f>
        <x:v>OPEN</x:v>
      </x:c>
    </x:row>
    <x:row r="174">
      <x:c r="B174" s="7" t="str">
        <x:v>CH-PEA-A-X2-04-6</x:v>
      </x:c>
      <x:c r="C174" s="7" t="str">
        <x:v>PEA-A-X2</x:v>
      </x:c>
      <x:c r="D174" s="7" t="str">
        <x:v>BLD-A</x:v>
      </x:c>
      <x:c r="E174" s="7" t="str">
        <x:v>BL-X</x:v>
      </x:c>
      <x:c r="F174" s="7" t="str">
        <x:v>MF-04</x:v>
      </x:c>
      <x:c r="G174" s="7" t="str">
        <x:v>source temperature</x:v>
      </x:c>
      <x:c r="H174" s="7" t="n">
        <x:v>6</x:v>
      </x:c>
      <x:c r="I174" s="7" t="str"/>
      <x:c r="J174" s="7" t="str"/>
      <x:c r="K174" s="7" t="str"/>
      <x:c r="L174" s="7" t="str"/>
      <x:c r="M174" s="7" t="str"/>
      <x:c r="N174" s="7" t="str"/>
      <x:c r="O174" s="7" t="str">
        <x:f>IF(N174="","OPEN",IF(OR(I174="",J174="",K174="",L174="",M174=""),"FAIL","PASS"))</x:f>
        <x:v>OPEN</x:v>
      </x:c>
    </x:row>
    <x:row r="175">
      <x:c r="B175" s="7" t="str">
        <x:v>CH-PEA-A-X2-05-1</x:v>
      </x:c>
      <x:c r="C175" s="7" t="str">
        <x:v>PEA-A-X2</x:v>
      </x:c>
      <x:c r="D175" s="7" t="str">
        <x:v>BLD-A</x:v>
      </x:c>
      <x:c r="E175" s="7" t="str">
        <x:v>BL-X</x:v>
      </x:c>
      <x:c r="F175" s="7" t="str">
        <x:v>MF-05</x:v>
      </x:c>
      <x:c r="G175" s="7" t="str">
        <x:v>hold-up tomography</x:v>
      </x:c>
      <x:c r="H175" s="7" t="n">
        <x:v>1</x:v>
      </x:c>
      <x:c r="I175" s="7" t="str"/>
      <x:c r="J175" s="7" t="str"/>
      <x:c r="K175" s="7" t="str"/>
      <x:c r="L175" s="7" t="str"/>
      <x:c r="M175" s="7" t="str"/>
      <x:c r="N175" s="7" t="str"/>
      <x:c r="O175" s="7" t="str">
        <x:f>IF(N175="","OPEN",IF(OR(I175="",J175="",K175="",L175="",M175=""),"FAIL","PASS"))</x:f>
        <x:v>OPEN</x:v>
      </x:c>
    </x:row>
    <x:row r="176">
      <x:c r="B176" s="7" t="str">
        <x:v>CH-PEA-A-X2-05-2</x:v>
      </x:c>
      <x:c r="C176" s="7" t="str">
        <x:v>PEA-A-X2</x:v>
      </x:c>
      <x:c r="D176" s="7" t="str">
        <x:v>BLD-A</x:v>
      </x:c>
      <x:c r="E176" s="7" t="str">
        <x:v>BL-X</x:v>
      </x:c>
      <x:c r="F176" s="7" t="str">
        <x:v>MF-05</x:v>
      </x:c>
      <x:c r="G176" s="7" t="str">
        <x:v>hold-up tomography</x:v>
      </x:c>
      <x:c r="H176" s="7" t="n">
        <x:v>2</x:v>
      </x:c>
      <x:c r="I176" s="7" t="str"/>
      <x:c r="J176" s="7" t="str"/>
      <x:c r="K176" s="7" t="str"/>
      <x:c r="L176" s="7" t="str"/>
      <x:c r="M176" s="7" t="str"/>
      <x:c r="N176" s="7" t="str"/>
      <x:c r="O176" s="7" t="str">
        <x:f>IF(N176="","OPEN",IF(OR(I176="",J176="",K176="",L176="",M176=""),"FAIL","PASS"))</x:f>
        <x:v>OPEN</x:v>
      </x:c>
    </x:row>
    <x:row r="177">
      <x:c r="B177" s="7" t="str">
        <x:v>CH-PEA-A-X2-05-3</x:v>
      </x:c>
      <x:c r="C177" s="7" t="str">
        <x:v>PEA-A-X2</x:v>
      </x:c>
      <x:c r="D177" s="7" t="str">
        <x:v>BLD-A</x:v>
      </x:c>
      <x:c r="E177" s="7" t="str">
        <x:v>BL-X</x:v>
      </x:c>
      <x:c r="F177" s="7" t="str">
        <x:v>MF-05</x:v>
      </x:c>
      <x:c r="G177" s="7" t="str">
        <x:v>hold-up tomography</x:v>
      </x:c>
      <x:c r="H177" s="7" t="n">
        <x:v>3</x:v>
      </x:c>
      <x:c r="I177" s="7" t="str"/>
      <x:c r="J177" s="7" t="str"/>
      <x:c r="K177" s="7" t="str"/>
      <x:c r="L177" s="7" t="str"/>
      <x:c r="M177" s="7" t="str"/>
      <x:c r="N177" s="7" t="str"/>
      <x:c r="O177" s="7" t="str">
        <x:f>IF(N177="","OPEN",IF(OR(I177="",J177="",K177="",L177="",M177=""),"FAIL","PASS"))</x:f>
        <x:v>OPEN</x:v>
      </x:c>
    </x:row>
    <x:row r="178">
      <x:c r="B178" s="7" t="str">
        <x:v>CH-PEA-A-X2-05-4</x:v>
      </x:c>
      <x:c r="C178" s="7" t="str">
        <x:v>PEA-A-X2</x:v>
      </x:c>
      <x:c r="D178" s="7" t="str">
        <x:v>BLD-A</x:v>
      </x:c>
      <x:c r="E178" s="7" t="str">
        <x:v>BL-X</x:v>
      </x:c>
      <x:c r="F178" s="7" t="str">
        <x:v>MF-05</x:v>
      </x:c>
      <x:c r="G178" s="7" t="str">
        <x:v>hold-up tomography</x:v>
      </x:c>
      <x:c r="H178" s="7" t="n">
        <x:v>4</x:v>
      </x:c>
      <x:c r="I178" s="7" t="str"/>
      <x:c r="J178" s="7" t="str"/>
      <x:c r="K178" s="7" t="str"/>
      <x:c r="L178" s="7" t="str"/>
      <x:c r="M178" s="7" t="str"/>
      <x:c r="N178" s="7" t="str"/>
      <x:c r="O178" s="7" t="str">
        <x:f>IF(N178="","OPEN",IF(OR(I178="",J178="",K178="",L178="",M178=""),"FAIL","PASS"))</x:f>
        <x:v>OPEN</x:v>
      </x:c>
    </x:row>
    <x:row r="179">
      <x:c r="B179" s="7" t="str">
        <x:v>CH-PEA-A-X2-05-5</x:v>
      </x:c>
      <x:c r="C179" s="7" t="str">
        <x:v>PEA-A-X2</x:v>
      </x:c>
      <x:c r="D179" s="7" t="str">
        <x:v>BLD-A</x:v>
      </x:c>
      <x:c r="E179" s="7" t="str">
        <x:v>BL-X</x:v>
      </x:c>
      <x:c r="F179" s="7" t="str">
        <x:v>MF-05</x:v>
      </x:c>
      <x:c r="G179" s="7" t="str">
        <x:v>hold-up tomography</x:v>
      </x:c>
      <x:c r="H179" s="7" t="n">
        <x:v>5</x:v>
      </x:c>
      <x:c r="I179" s="7" t="str"/>
      <x:c r="J179" s="7" t="str"/>
      <x:c r="K179" s="7" t="str"/>
      <x:c r="L179" s="7" t="str"/>
      <x:c r="M179" s="7" t="str"/>
      <x:c r="N179" s="7" t="str"/>
      <x:c r="O179" s="7" t="str">
        <x:f>IF(N179="","OPEN",IF(OR(I179="",J179="",K179="",L179="",M179=""),"FAIL","PASS"))</x:f>
        <x:v>OPEN</x:v>
      </x:c>
    </x:row>
    <x:row r="180">
      <x:c r="B180" s="7" t="str">
        <x:v>CH-PEA-A-X2-05-6</x:v>
      </x:c>
      <x:c r="C180" s="7" t="str">
        <x:v>PEA-A-X2</x:v>
      </x:c>
      <x:c r="D180" s="7" t="str">
        <x:v>BLD-A</x:v>
      </x:c>
      <x:c r="E180" s="7" t="str">
        <x:v>BL-X</x:v>
      </x:c>
      <x:c r="F180" s="7" t="str">
        <x:v>MF-05</x:v>
      </x:c>
      <x:c r="G180" s="7" t="str">
        <x:v>hold-up tomography</x:v>
      </x:c>
      <x:c r="H180" s="7" t="n">
        <x:v>6</x:v>
      </x:c>
      <x:c r="I180" s="7" t="str"/>
      <x:c r="J180" s="7" t="str"/>
      <x:c r="K180" s="7" t="str"/>
      <x:c r="L180" s="7" t="str"/>
      <x:c r="M180" s="7" t="str"/>
      <x:c r="N180" s="7" t="str"/>
      <x:c r="O180" s="7" t="str">
        <x:f>IF(N180="","OPEN",IF(OR(I180="",J180="",K180="",L180="",M180=""),"FAIL","PASS"))</x:f>
        <x:v>OPEN</x:v>
      </x:c>
    </x:row>
    <x:row r="181">
      <x:c r="B181" s="7" t="str">
        <x:v>CH-PEA-A-X2-06-1</x:v>
      </x:c>
      <x:c r="C181" s="7" t="str">
        <x:v>PEA-A-X2</x:v>
      </x:c>
      <x:c r="D181" s="7" t="str">
        <x:v>BLD-A</x:v>
      </x:c>
      <x:c r="E181" s="7" t="str">
        <x:v>BL-X</x:v>
      </x:c>
      <x:c r="F181" s="7" t="str">
        <x:v>MF-06</x:v>
      </x:c>
      <x:c r="G181" s="7" t="str">
        <x:v>pan level</x:v>
      </x:c>
      <x:c r="H181" s="7" t="n">
        <x:v>1</x:v>
      </x:c>
      <x:c r="I181" s="7" t="str"/>
      <x:c r="J181" s="7" t="str"/>
      <x:c r="K181" s="7" t="str"/>
      <x:c r="L181" s="7" t="str"/>
      <x:c r="M181" s="7" t="str"/>
      <x:c r="N181" s="7" t="str"/>
      <x:c r="O181" s="7" t="str">
        <x:f>IF(N181="","OPEN",IF(OR(I181="",J181="",K181="",L181="",M181=""),"FAIL","PASS"))</x:f>
        <x:v>OPEN</x:v>
      </x:c>
    </x:row>
    <x:row r="182">
      <x:c r="B182" s="7" t="str">
        <x:v>CH-PEA-A-X2-06-2</x:v>
      </x:c>
      <x:c r="C182" s="7" t="str">
        <x:v>PEA-A-X2</x:v>
      </x:c>
      <x:c r="D182" s="7" t="str">
        <x:v>BLD-A</x:v>
      </x:c>
      <x:c r="E182" s="7" t="str">
        <x:v>BL-X</x:v>
      </x:c>
      <x:c r="F182" s="7" t="str">
        <x:v>MF-06</x:v>
      </x:c>
      <x:c r="G182" s="7" t="str">
        <x:v>pan level</x:v>
      </x:c>
      <x:c r="H182" s="7" t="n">
        <x:v>2</x:v>
      </x:c>
      <x:c r="I182" s="7" t="str"/>
      <x:c r="J182" s="7" t="str"/>
      <x:c r="K182" s="7" t="str"/>
      <x:c r="L182" s="7" t="str"/>
      <x:c r="M182" s="7" t="str"/>
      <x:c r="N182" s="7" t="str"/>
      <x:c r="O182" s="7" t="str">
        <x:f>IF(N182="","OPEN",IF(OR(I182="",J182="",K182="",L182="",M182=""),"FAIL","PASS"))</x:f>
        <x:v>OPEN</x:v>
      </x:c>
    </x:row>
    <x:row r="183">
      <x:c r="B183" s="7" t="str">
        <x:v>CH-PEA-A-X2-06-3</x:v>
      </x:c>
      <x:c r="C183" s="7" t="str">
        <x:v>PEA-A-X2</x:v>
      </x:c>
      <x:c r="D183" s="7" t="str">
        <x:v>BLD-A</x:v>
      </x:c>
      <x:c r="E183" s="7" t="str">
        <x:v>BL-X</x:v>
      </x:c>
      <x:c r="F183" s="7" t="str">
        <x:v>MF-06</x:v>
      </x:c>
      <x:c r="G183" s="7" t="str">
        <x:v>pan level</x:v>
      </x:c>
      <x:c r="H183" s="7" t="n">
        <x:v>3</x:v>
      </x:c>
      <x:c r="I183" s="7" t="str"/>
      <x:c r="J183" s="7" t="str"/>
      <x:c r="K183" s="7" t="str"/>
      <x:c r="L183" s="7" t="str"/>
      <x:c r="M183" s="7" t="str"/>
      <x:c r="N183" s="7" t="str"/>
      <x:c r="O183" s="7" t="str">
        <x:f>IF(N183="","OPEN",IF(OR(I183="",J183="",K183="",L183="",M183=""),"FAIL","PASS"))</x:f>
        <x:v>OPEN</x:v>
      </x:c>
    </x:row>
    <x:row r="184">
      <x:c r="B184" s="7" t="str">
        <x:v>CH-PEA-A-X2-06-4</x:v>
      </x:c>
      <x:c r="C184" s="7" t="str">
        <x:v>PEA-A-X2</x:v>
      </x:c>
      <x:c r="D184" s="7" t="str">
        <x:v>BLD-A</x:v>
      </x:c>
      <x:c r="E184" s="7" t="str">
        <x:v>BL-X</x:v>
      </x:c>
      <x:c r="F184" s="7" t="str">
        <x:v>MF-06</x:v>
      </x:c>
      <x:c r="G184" s="7" t="str">
        <x:v>pan level</x:v>
      </x:c>
      <x:c r="H184" s="7" t="n">
        <x:v>4</x:v>
      </x:c>
      <x:c r="I184" s="7" t="str"/>
      <x:c r="J184" s="7" t="str"/>
      <x:c r="K184" s="7" t="str"/>
      <x:c r="L184" s="7" t="str"/>
      <x:c r="M184" s="7" t="str"/>
      <x:c r="N184" s="7" t="str"/>
      <x:c r="O184" s="7" t="str">
        <x:f>IF(N184="","OPEN",IF(OR(I184="",J184="",K184="",L184="",M184=""),"FAIL","PASS"))</x:f>
        <x:v>OPEN</x:v>
      </x:c>
    </x:row>
    <x:row r="185">
      <x:c r="B185" s="7" t="str">
        <x:v>CH-PEA-A-X2-06-5</x:v>
      </x:c>
      <x:c r="C185" s="7" t="str">
        <x:v>PEA-A-X2</x:v>
      </x:c>
      <x:c r="D185" s="7" t="str">
        <x:v>BLD-A</x:v>
      </x:c>
      <x:c r="E185" s="7" t="str">
        <x:v>BL-X</x:v>
      </x:c>
      <x:c r="F185" s="7" t="str">
        <x:v>MF-06</x:v>
      </x:c>
      <x:c r="G185" s="7" t="str">
        <x:v>pan level</x:v>
      </x:c>
      <x:c r="H185" s="7" t="n">
        <x:v>5</x:v>
      </x:c>
      <x:c r="I185" s="7" t="str"/>
      <x:c r="J185" s="7" t="str"/>
      <x:c r="K185" s="7" t="str"/>
      <x:c r="L185" s="7" t="str"/>
      <x:c r="M185" s="7" t="str"/>
      <x:c r="N185" s="7" t="str"/>
      <x:c r="O185" s="7" t="str">
        <x:f>IF(N185="","OPEN",IF(OR(I185="",J185="",K185="",L185="",M185=""),"FAIL","PASS"))</x:f>
        <x:v>OPEN</x:v>
      </x:c>
    </x:row>
    <x:row r="186">
      <x:c r="B186" s="7" t="str">
        <x:v>CH-PEA-A-X2-06-6</x:v>
      </x:c>
      <x:c r="C186" s="7" t="str">
        <x:v>PEA-A-X2</x:v>
      </x:c>
      <x:c r="D186" s="7" t="str">
        <x:v>BLD-A</x:v>
      </x:c>
      <x:c r="E186" s="7" t="str">
        <x:v>BL-X</x:v>
      </x:c>
      <x:c r="F186" s="7" t="str">
        <x:v>MF-06</x:v>
      </x:c>
      <x:c r="G186" s="7" t="str">
        <x:v>pan level</x:v>
      </x:c>
      <x:c r="H186" s="7" t="n">
        <x:v>6</x:v>
      </x:c>
      <x:c r="I186" s="7" t="str"/>
      <x:c r="J186" s="7" t="str"/>
      <x:c r="K186" s="7" t="str"/>
      <x:c r="L186" s="7" t="str"/>
      <x:c r="M186" s="7" t="str"/>
      <x:c r="N186" s="7" t="str"/>
      <x:c r="O186" s="7" t="str">
        <x:f>IF(N186="","OPEN",IF(OR(I186="",J186="",K186="",L186="",M186=""),"FAIL","PASS"))</x:f>
        <x:v>OPEN</x:v>
      </x:c>
    </x:row>
    <x:row r="187">
      <x:c r="B187" s="7" t="str">
        <x:v>CH-PEA-A-X2-07-1</x:v>
      </x:c>
      <x:c r="C187" s="7" t="str">
        <x:v>PEA-A-X2</x:v>
      </x:c>
      <x:c r="D187" s="7" t="str">
        <x:v>BLD-A</x:v>
      </x:c>
      <x:c r="E187" s="7" t="str">
        <x:v>BL-X</x:v>
      </x:c>
      <x:c r="F187" s="7" t="str">
        <x:v>MF-07</x:v>
      </x:c>
      <x:c r="G187" s="7" t="str">
        <x:v>normal receiver mass</x:v>
      </x:c>
      <x:c r="H187" s="7" t="n">
        <x:v>1</x:v>
      </x:c>
      <x:c r="I187" s="7" t="str"/>
      <x:c r="J187" s="7" t="str"/>
      <x:c r="K187" s="7" t="str"/>
      <x:c r="L187" s="7" t="str"/>
      <x:c r="M187" s="7" t="str"/>
      <x:c r="N187" s="7" t="str"/>
      <x:c r="O187" s="7" t="str">
        <x:f>IF(N187="","OPEN",IF(OR(I187="",J187="",K187="",L187="",M187=""),"FAIL","PASS"))</x:f>
        <x:v>OPEN</x:v>
      </x:c>
    </x:row>
    <x:row r="188">
      <x:c r="B188" s="7" t="str">
        <x:v>CH-PEA-A-X2-07-2</x:v>
      </x:c>
      <x:c r="C188" s="7" t="str">
        <x:v>PEA-A-X2</x:v>
      </x:c>
      <x:c r="D188" s="7" t="str">
        <x:v>BLD-A</x:v>
      </x:c>
      <x:c r="E188" s="7" t="str">
        <x:v>BL-X</x:v>
      </x:c>
      <x:c r="F188" s="7" t="str">
        <x:v>MF-07</x:v>
      </x:c>
      <x:c r="G188" s="7" t="str">
        <x:v>normal receiver mass</x:v>
      </x:c>
      <x:c r="H188" s="7" t="n">
        <x:v>2</x:v>
      </x:c>
      <x:c r="I188" s="7" t="str"/>
      <x:c r="J188" s="7" t="str"/>
      <x:c r="K188" s="7" t="str"/>
      <x:c r="L188" s="7" t="str"/>
      <x:c r="M188" s="7" t="str"/>
      <x:c r="N188" s="7" t="str"/>
      <x:c r="O188" s="7" t="str">
        <x:f>IF(N188="","OPEN",IF(OR(I188="",J188="",K188="",L188="",M188=""),"FAIL","PASS"))</x:f>
        <x:v>OPEN</x:v>
      </x:c>
    </x:row>
    <x:row r="189">
      <x:c r="B189" s="7" t="str">
        <x:v>CH-PEA-A-X2-07-3</x:v>
      </x:c>
      <x:c r="C189" s="7" t="str">
        <x:v>PEA-A-X2</x:v>
      </x:c>
      <x:c r="D189" s="7" t="str">
        <x:v>BLD-A</x:v>
      </x:c>
      <x:c r="E189" s="7" t="str">
        <x:v>BL-X</x:v>
      </x:c>
      <x:c r="F189" s="7" t="str">
        <x:v>MF-07</x:v>
      </x:c>
      <x:c r="G189" s="7" t="str">
        <x:v>normal receiver mass</x:v>
      </x:c>
      <x:c r="H189" s="7" t="n">
        <x:v>3</x:v>
      </x:c>
      <x:c r="I189" s="7" t="str"/>
      <x:c r="J189" s="7" t="str"/>
      <x:c r="K189" s="7" t="str"/>
      <x:c r="L189" s="7" t="str"/>
      <x:c r="M189" s="7" t="str"/>
      <x:c r="N189" s="7" t="str"/>
      <x:c r="O189" s="7" t="str">
        <x:f>IF(N189="","OPEN",IF(OR(I189="",J189="",K189="",L189="",M189=""),"FAIL","PASS"))</x:f>
        <x:v>OPEN</x:v>
      </x:c>
    </x:row>
    <x:row r="190">
      <x:c r="B190" s="7" t="str">
        <x:v>CH-PEA-A-X2-07-4</x:v>
      </x:c>
      <x:c r="C190" s="7" t="str">
        <x:v>PEA-A-X2</x:v>
      </x:c>
      <x:c r="D190" s="7" t="str">
        <x:v>BLD-A</x:v>
      </x:c>
      <x:c r="E190" s="7" t="str">
        <x:v>BL-X</x:v>
      </x:c>
      <x:c r="F190" s="7" t="str">
        <x:v>MF-07</x:v>
      </x:c>
      <x:c r="G190" s="7" t="str">
        <x:v>normal receiver mass</x:v>
      </x:c>
      <x:c r="H190" s="7" t="n">
        <x:v>4</x:v>
      </x:c>
      <x:c r="I190" s="7" t="str"/>
      <x:c r="J190" s="7" t="str"/>
      <x:c r="K190" s="7" t="str"/>
      <x:c r="L190" s="7" t="str"/>
      <x:c r="M190" s="7" t="str"/>
      <x:c r="N190" s="7" t="str"/>
      <x:c r="O190" s="7" t="str">
        <x:f>IF(N190="","OPEN",IF(OR(I190="",J190="",K190="",L190="",M190=""),"FAIL","PASS"))</x:f>
        <x:v>OPEN</x:v>
      </x:c>
    </x:row>
    <x:row r="191">
      <x:c r="B191" s="7" t="str">
        <x:v>CH-PEA-A-X2-07-5</x:v>
      </x:c>
      <x:c r="C191" s="7" t="str">
        <x:v>PEA-A-X2</x:v>
      </x:c>
      <x:c r="D191" s="7" t="str">
        <x:v>BLD-A</x:v>
      </x:c>
      <x:c r="E191" s="7" t="str">
        <x:v>BL-X</x:v>
      </x:c>
      <x:c r="F191" s="7" t="str">
        <x:v>MF-07</x:v>
      </x:c>
      <x:c r="G191" s="7" t="str">
        <x:v>normal receiver mass</x:v>
      </x:c>
      <x:c r="H191" s="7" t="n">
        <x:v>5</x:v>
      </x:c>
      <x:c r="I191" s="7" t="str"/>
      <x:c r="J191" s="7" t="str"/>
      <x:c r="K191" s="7" t="str"/>
      <x:c r="L191" s="7" t="str"/>
      <x:c r="M191" s="7" t="str"/>
      <x:c r="N191" s="7" t="str"/>
      <x:c r="O191" s="7" t="str">
        <x:f>IF(N191="","OPEN",IF(OR(I191="",J191="",K191="",L191="",M191=""),"FAIL","PASS"))</x:f>
        <x:v>OPEN</x:v>
      </x:c>
    </x:row>
    <x:row r="192">
      <x:c r="B192" s="7" t="str">
        <x:v>CH-PEA-A-X2-07-6</x:v>
      </x:c>
      <x:c r="C192" s="7" t="str">
        <x:v>PEA-A-X2</x:v>
      </x:c>
      <x:c r="D192" s="7" t="str">
        <x:v>BLD-A</x:v>
      </x:c>
      <x:c r="E192" s="7" t="str">
        <x:v>BL-X</x:v>
      </x:c>
      <x:c r="F192" s="7" t="str">
        <x:v>MF-07</x:v>
      </x:c>
      <x:c r="G192" s="7" t="str">
        <x:v>normal receiver mass</x:v>
      </x:c>
      <x:c r="H192" s="7" t="n">
        <x:v>6</x:v>
      </x:c>
      <x:c r="I192" s="7" t="str"/>
      <x:c r="J192" s="7" t="str"/>
      <x:c r="K192" s="7" t="str"/>
      <x:c r="L192" s="7" t="str"/>
      <x:c r="M192" s="7" t="str"/>
      <x:c r="N192" s="7" t="str"/>
      <x:c r="O192" s="7" t="str">
        <x:f>IF(N192="","OPEN",IF(OR(I192="",J192="",K192="",L192="",M192=""),"FAIL","PASS"))</x:f>
        <x:v>OPEN</x:v>
      </x:c>
    </x:row>
    <x:row r="193">
      <x:c r="B193" s="7" t="str">
        <x:v>CH-PEA-A-X2-08-1</x:v>
      </x:c>
      <x:c r="C193" s="7" t="str">
        <x:v>PEA-A-X2</x:v>
      </x:c>
      <x:c r="D193" s="7" t="str">
        <x:v>BLD-A</x:v>
      </x:c>
      <x:c r="E193" s="7" t="str">
        <x:v>BL-X</x:v>
      </x:c>
      <x:c r="F193" s="7" t="str">
        <x:v>MF-08</x:v>
      </x:c>
      <x:c r="G193" s="7" t="str">
        <x:v>casualty receiver mass</x:v>
      </x:c>
      <x:c r="H193" s="7" t="n">
        <x:v>1</x:v>
      </x:c>
      <x:c r="I193" s="7" t="str"/>
      <x:c r="J193" s="7" t="str"/>
      <x:c r="K193" s="7" t="str"/>
      <x:c r="L193" s="7" t="str"/>
      <x:c r="M193" s="7" t="str"/>
      <x:c r="N193" s="7" t="str"/>
      <x:c r="O193" s="7" t="str">
        <x:f>IF(N193="","OPEN",IF(OR(I193="",J193="",K193="",L193="",M193=""),"FAIL","PASS"))</x:f>
        <x:v>OPEN</x:v>
      </x:c>
    </x:row>
    <x:row r="194">
      <x:c r="B194" s="7" t="str">
        <x:v>CH-PEA-A-X2-08-2</x:v>
      </x:c>
      <x:c r="C194" s="7" t="str">
        <x:v>PEA-A-X2</x:v>
      </x:c>
      <x:c r="D194" s="7" t="str">
        <x:v>BLD-A</x:v>
      </x:c>
      <x:c r="E194" s="7" t="str">
        <x:v>BL-X</x:v>
      </x:c>
      <x:c r="F194" s="7" t="str">
        <x:v>MF-08</x:v>
      </x:c>
      <x:c r="G194" s="7" t="str">
        <x:v>casualty receiver mass</x:v>
      </x:c>
      <x:c r="H194" s="7" t="n">
        <x:v>2</x:v>
      </x:c>
      <x:c r="I194" s="7" t="str"/>
      <x:c r="J194" s="7" t="str"/>
      <x:c r="K194" s="7" t="str"/>
      <x:c r="L194" s="7" t="str"/>
      <x:c r="M194" s="7" t="str"/>
      <x:c r="N194" s="7" t="str"/>
      <x:c r="O194" s="7" t="str">
        <x:f>IF(N194="","OPEN",IF(OR(I194="",J194="",K194="",L194="",M194=""),"FAIL","PASS"))</x:f>
        <x:v>OPEN</x:v>
      </x:c>
    </x:row>
    <x:row r="195">
      <x:c r="B195" s="7" t="str">
        <x:v>CH-PEA-A-X2-08-3</x:v>
      </x:c>
      <x:c r="C195" s="7" t="str">
        <x:v>PEA-A-X2</x:v>
      </x:c>
      <x:c r="D195" s="7" t="str">
        <x:v>BLD-A</x:v>
      </x:c>
      <x:c r="E195" s="7" t="str">
        <x:v>BL-X</x:v>
      </x:c>
      <x:c r="F195" s="7" t="str">
        <x:v>MF-08</x:v>
      </x:c>
      <x:c r="G195" s="7" t="str">
        <x:v>casualty receiver mass</x:v>
      </x:c>
      <x:c r="H195" s="7" t="n">
        <x:v>3</x:v>
      </x:c>
      <x:c r="I195" s="7" t="str"/>
      <x:c r="J195" s="7" t="str"/>
      <x:c r="K195" s="7" t="str"/>
      <x:c r="L195" s="7" t="str"/>
      <x:c r="M195" s="7" t="str"/>
      <x:c r="N195" s="7" t="str"/>
      <x:c r="O195" s="7" t="str">
        <x:f>IF(N195="","OPEN",IF(OR(I195="",J195="",K195="",L195="",M195=""),"FAIL","PASS"))</x:f>
        <x:v>OPEN</x:v>
      </x:c>
    </x:row>
    <x:row r="196">
      <x:c r="B196" s="7" t="str">
        <x:v>CH-PEA-A-X2-08-4</x:v>
      </x:c>
      <x:c r="C196" s="7" t="str">
        <x:v>PEA-A-X2</x:v>
      </x:c>
      <x:c r="D196" s="7" t="str">
        <x:v>BLD-A</x:v>
      </x:c>
      <x:c r="E196" s="7" t="str">
        <x:v>BL-X</x:v>
      </x:c>
      <x:c r="F196" s="7" t="str">
        <x:v>MF-08</x:v>
      </x:c>
      <x:c r="G196" s="7" t="str">
        <x:v>casualty receiver mass</x:v>
      </x:c>
      <x:c r="H196" s="7" t="n">
        <x:v>4</x:v>
      </x:c>
      <x:c r="I196" s="7" t="str"/>
      <x:c r="J196" s="7" t="str"/>
      <x:c r="K196" s="7" t="str"/>
      <x:c r="L196" s="7" t="str"/>
      <x:c r="M196" s="7" t="str"/>
      <x:c r="N196" s="7" t="str"/>
      <x:c r="O196" s="7" t="str">
        <x:f>IF(N196="","OPEN",IF(OR(I196="",J196="",K196="",L196="",M196=""),"FAIL","PASS"))</x:f>
        <x:v>OPEN</x:v>
      </x:c>
    </x:row>
    <x:row r="197">
      <x:c r="B197" s="7" t="str">
        <x:v>CH-PEA-A-X2-08-5</x:v>
      </x:c>
      <x:c r="C197" s="7" t="str">
        <x:v>PEA-A-X2</x:v>
      </x:c>
      <x:c r="D197" s="7" t="str">
        <x:v>BLD-A</x:v>
      </x:c>
      <x:c r="E197" s="7" t="str">
        <x:v>BL-X</x:v>
      </x:c>
      <x:c r="F197" s="7" t="str">
        <x:v>MF-08</x:v>
      </x:c>
      <x:c r="G197" s="7" t="str">
        <x:v>casualty receiver mass</x:v>
      </x:c>
      <x:c r="H197" s="7" t="n">
        <x:v>5</x:v>
      </x:c>
      <x:c r="I197" s="7" t="str"/>
      <x:c r="J197" s="7" t="str"/>
      <x:c r="K197" s="7" t="str"/>
      <x:c r="L197" s="7" t="str"/>
      <x:c r="M197" s="7" t="str"/>
      <x:c r="N197" s="7" t="str"/>
      <x:c r="O197" s="7" t="str">
        <x:f>IF(N197="","OPEN",IF(OR(I197="",J197="",K197="",L197="",M197=""),"FAIL","PASS"))</x:f>
        <x:v>OPEN</x:v>
      </x:c>
    </x:row>
    <x:row r="198">
      <x:c r="B198" s="7" t="str">
        <x:v>CH-PEA-A-X2-08-6</x:v>
      </x:c>
      <x:c r="C198" s="7" t="str">
        <x:v>PEA-A-X2</x:v>
      </x:c>
      <x:c r="D198" s="7" t="str">
        <x:v>BLD-A</x:v>
      </x:c>
      <x:c r="E198" s="7" t="str">
        <x:v>BL-X</x:v>
      </x:c>
      <x:c r="F198" s="7" t="str">
        <x:v>MF-08</x:v>
      </x:c>
      <x:c r="G198" s="7" t="str">
        <x:v>casualty receiver mass</x:v>
      </x:c>
      <x:c r="H198" s="7" t="n">
        <x:v>6</x:v>
      </x:c>
      <x:c r="I198" s="7" t="str"/>
      <x:c r="J198" s="7" t="str"/>
      <x:c r="K198" s="7" t="str"/>
      <x:c r="L198" s="7" t="str"/>
      <x:c r="M198" s="7" t="str"/>
      <x:c r="N198" s="7" t="str"/>
      <x:c r="O198" s="7" t="str">
        <x:f>IF(N198="","OPEN",IF(OR(I198="",J198="",K198="",L198="",M198=""),"FAIL","PASS"))</x:f>
        <x:v>OPEN</x:v>
      </x:c>
    </x:row>
    <x:row r="199">
      <x:c r="B199" s="7" t="str">
        <x:v>CH-PEA-A-X2-09-1</x:v>
      </x:c>
      <x:c r="C199" s="7" t="str">
        <x:v>PEA-A-X2</x:v>
      </x:c>
      <x:c r="D199" s="7" t="str">
        <x:v>BLD-A</x:v>
      </x:c>
      <x:c r="E199" s="7" t="str">
        <x:v>BL-X</x:v>
      </x:c>
      <x:c r="F199" s="7" t="str">
        <x:v>MF-09</x:v>
      </x:c>
      <x:c r="G199" s="7" t="str">
        <x:v>geometry and slope</x:v>
      </x:c>
      <x:c r="H199" s="7" t="n">
        <x:v>1</x:v>
      </x:c>
      <x:c r="I199" s="7" t="str"/>
      <x:c r="J199" s="7" t="str"/>
      <x:c r="K199" s="7" t="str"/>
      <x:c r="L199" s="7" t="str"/>
      <x:c r="M199" s="7" t="str"/>
      <x:c r="N199" s="7" t="str"/>
      <x:c r="O199" s="7" t="str">
        <x:f>IF(N199="","OPEN",IF(OR(I199="",J199="",K199="",L199="",M199=""),"FAIL","PASS"))</x:f>
        <x:v>OPEN</x:v>
      </x:c>
    </x:row>
    <x:row r="200">
      <x:c r="B200" s="7" t="str">
        <x:v>CH-PEA-A-X2-09-2</x:v>
      </x:c>
      <x:c r="C200" s="7" t="str">
        <x:v>PEA-A-X2</x:v>
      </x:c>
      <x:c r="D200" s="7" t="str">
        <x:v>BLD-A</x:v>
      </x:c>
      <x:c r="E200" s="7" t="str">
        <x:v>BL-X</x:v>
      </x:c>
      <x:c r="F200" s="7" t="str">
        <x:v>MF-09</x:v>
      </x:c>
      <x:c r="G200" s="7" t="str">
        <x:v>geometry and slope</x:v>
      </x:c>
      <x:c r="H200" s="7" t="n">
        <x:v>2</x:v>
      </x:c>
      <x:c r="I200" s="7" t="str"/>
      <x:c r="J200" s="7" t="str"/>
      <x:c r="K200" s="7" t="str"/>
      <x:c r="L200" s="7" t="str"/>
      <x:c r="M200" s="7" t="str"/>
      <x:c r="N200" s="7" t="str"/>
      <x:c r="O200" s="7" t="str">
        <x:f>IF(N200="","OPEN",IF(OR(I200="",J200="",K200="",L200="",M200=""),"FAIL","PASS"))</x:f>
        <x:v>OPEN</x:v>
      </x:c>
    </x:row>
    <x:row r="201">
      <x:c r="B201" s="7" t="str">
        <x:v>CH-PEA-A-X2-09-3</x:v>
      </x:c>
      <x:c r="C201" s="7" t="str">
        <x:v>PEA-A-X2</x:v>
      </x:c>
      <x:c r="D201" s="7" t="str">
        <x:v>BLD-A</x:v>
      </x:c>
      <x:c r="E201" s="7" t="str">
        <x:v>BL-X</x:v>
      </x:c>
      <x:c r="F201" s="7" t="str">
        <x:v>MF-09</x:v>
      </x:c>
      <x:c r="G201" s="7" t="str">
        <x:v>geometry and slope</x:v>
      </x:c>
      <x:c r="H201" s="7" t="n">
        <x:v>3</x:v>
      </x:c>
      <x:c r="I201" s="7" t="str"/>
      <x:c r="J201" s="7" t="str"/>
      <x:c r="K201" s="7" t="str"/>
      <x:c r="L201" s="7" t="str"/>
      <x:c r="M201" s="7" t="str"/>
      <x:c r="N201" s="7" t="str"/>
      <x:c r="O201" s="7" t="str">
        <x:f>IF(N201="","OPEN",IF(OR(I201="",J201="",K201="",L201="",M201=""),"FAIL","PASS"))</x:f>
        <x:v>OPEN</x:v>
      </x:c>
    </x:row>
    <x:row r="202">
      <x:c r="B202" s="7" t="str">
        <x:v>CH-PEA-A-X2-09-4</x:v>
      </x:c>
      <x:c r="C202" s="7" t="str">
        <x:v>PEA-A-X2</x:v>
      </x:c>
      <x:c r="D202" s="7" t="str">
        <x:v>BLD-A</x:v>
      </x:c>
      <x:c r="E202" s="7" t="str">
        <x:v>BL-X</x:v>
      </x:c>
      <x:c r="F202" s="7" t="str">
        <x:v>MF-09</x:v>
      </x:c>
      <x:c r="G202" s="7" t="str">
        <x:v>geometry and slope</x:v>
      </x:c>
      <x:c r="H202" s="7" t="n">
        <x:v>4</x:v>
      </x:c>
      <x:c r="I202" s="7" t="str"/>
      <x:c r="J202" s="7" t="str"/>
      <x:c r="K202" s="7" t="str"/>
      <x:c r="L202" s="7" t="str"/>
      <x:c r="M202" s="7" t="str"/>
      <x:c r="N202" s="7" t="str"/>
      <x:c r="O202" s="7" t="str">
        <x:f>IF(N202="","OPEN",IF(OR(I202="",J202="",K202="",L202="",M202=""),"FAIL","PASS"))</x:f>
        <x:v>OPEN</x:v>
      </x:c>
    </x:row>
    <x:row r="203">
      <x:c r="B203" s="7" t="str">
        <x:v>CH-PEA-A-X2-09-5</x:v>
      </x:c>
      <x:c r="C203" s="7" t="str">
        <x:v>PEA-A-X2</x:v>
      </x:c>
      <x:c r="D203" s="7" t="str">
        <x:v>BLD-A</x:v>
      </x:c>
      <x:c r="E203" s="7" t="str">
        <x:v>BL-X</x:v>
      </x:c>
      <x:c r="F203" s="7" t="str">
        <x:v>MF-09</x:v>
      </x:c>
      <x:c r="G203" s="7" t="str">
        <x:v>geometry and slope</x:v>
      </x:c>
      <x:c r="H203" s="7" t="n">
        <x:v>5</x:v>
      </x:c>
      <x:c r="I203" s="7" t="str"/>
      <x:c r="J203" s="7" t="str"/>
      <x:c r="K203" s="7" t="str"/>
      <x:c r="L203" s="7" t="str"/>
      <x:c r="M203" s="7" t="str"/>
      <x:c r="N203" s="7" t="str"/>
      <x:c r="O203" s="7" t="str">
        <x:f>IF(N203="","OPEN",IF(OR(I203="",J203="",K203="",L203="",M203=""),"FAIL","PASS"))</x:f>
        <x:v>OPEN</x:v>
      </x:c>
    </x:row>
    <x:row r="204">
      <x:c r="B204" s="7" t="str">
        <x:v>CH-PEA-A-X2-09-6</x:v>
      </x:c>
      <x:c r="C204" s="7" t="str">
        <x:v>PEA-A-X2</x:v>
      </x:c>
      <x:c r="D204" s="7" t="str">
        <x:v>BLD-A</x:v>
      </x:c>
      <x:c r="E204" s="7" t="str">
        <x:v>BL-X</x:v>
      </x:c>
      <x:c r="F204" s="7" t="str">
        <x:v>MF-09</x:v>
      </x:c>
      <x:c r="G204" s="7" t="str">
        <x:v>geometry and slope</x:v>
      </x:c>
      <x:c r="H204" s="7" t="n">
        <x:v>6</x:v>
      </x:c>
      <x:c r="I204" s="7" t="str"/>
      <x:c r="J204" s="7" t="str"/>
      <x:c r="K204" s="7" t="str"/>
      <x:c r="L204" s="7" t="str"/>
      <x:c r="M204" s="7" t="str"/>
      <x:c r="N204" s="7" t="str"/>
      <x:c r="O204" s="7" t="str">
        <x:f>IF(N204="","OPEN",IF(OR(I204="",J204="",K204="",L204="",M204=""),"FAIL","PASS"))</x:f>
        <x:v>OPEN</x:v>
      </x:c>
    </x:row>
    <x:row r="205">
      <x:c r="B205" s="7" t="str">
        <x:v>CH-PEA-A-X2-10-1</x:v>
      </x:c>
      <x:c r="C205" s="7" t="str">
        <x:v>PEA-A-X2</x:v>
      </x:c>
      <x:c r="D205" s="7" t="str">
        <x:v>BLD-A</x:v>
      </x:c>
      <x:c r="E205" s="7" t="str">
        <x:v>BL-X</x:v>
      </x:c>
      <x:c r="F205" s="7" t="str">
        <x:v>MF-10</x:v>
      </x:c>
      <x:c r="G205" s="7" t="str">
        <x:v>normal-source path state</x:v>
      </x:c>
      <x:c r="H205" s="7" t="n">
        <x:v>1</x:v>
      </x:c>
      <x:c r="I205" s="7" t="str"/>
      <x:c r="J205" s="7" t="str"/>
      <x:c r="K205" s="7" t="str"/>
      <x:c r="L205" s="7" t="str"/>
      <x:c r="M205" s="7" t="str"/>
      <x:c r="N205" s="7" t="str"/>
      <x:c r="O205" s="7" t="str">
        <x:f>IF(N205="","OPEN",IF(OR(I205="",J205="",K205="",L205="",M205=""),"FAIL","PASS"))</x:f>
        <x:v>OPEN</x:v>
      </x:c>
    </x:row>
    <x:row r="206">
      <x:c r="B206" s="7" t="str">
        <x:v>CH-PEA-A-X2-10-2</x:v>
      </x:c>
      <x:c r="C206" s="7" t="str">
        <x:v>PEA-A-X2</x:v>
      </x:c>
      <x:c r="D206" s="7" t="str">
        <x:v>BLD-A</x:v>
      </x:c>
      <x:c r="E206" s="7" t="str">
        <x:v>BL-X</x:v>
      </x:c>
      <x:c r="F206" s="7" t="str">
        <x:v>MF-10</x:v>
      </x:c>
      <x:c r="G206" s="7" t="str">
        <x:v>normal-source path state</x:v>
      </x:c>
      <x:c r="H206" s="7" t="n">
        <x:v>2</x:v>
      </x:c>
      <x:c r="I206" s="7" t="str"/>
      <x:c r="J206" s="7" t="str"/>
      <x:c r="K206" s="7" t="str"/>
      <x:c r="L206" s="7" t="str"/>
      <x:c r="M206" s="7" t="str"/>
      <x:c r="N206" s="7" t="str"/>
      <x:c r="O206" s="7" t="str">
        <x:f>IF(N206="","OPEN",IF(OR(I206="",J206="",K206="",L206="",M206=""),"FAIL","PASS"))</x:f>
        <x:v>OPEN</x:v>
      </x:c>
    </x:row>
    <x:row r="207">
      <x:c r="B207" s="7" t="str">
        <x:v>CH-PEA-A-X2-10-3</x:v>
      </x:c>
      <x:c r="C207" s="7" t="str">
        <x:v>PEA-A-X2</x:v>
      </x:c>
      <x:c r="D207" s="7" t="str">
        <x:v>BLD-A</x:v>
      </x:c>
      <x:c r="E207" s="7" t="str">
        <x:v>BL-X</x:v>
      </x:c>
      <x:c r="F207" s="7" t="str">
        <x:v>MF-10</x:v>
      </x:c>
      <x:c r="G207" s="7" t="str">
        <x:v>normal-source path state</x:v>
      </x:c>
      <x:c r="H207" s="7" t="n">
        <x:v>3</x:v>
      </x:c>
      <x:c r="I207" s="7" t="str"/>
      <x:c r="J207" s="7" t="str"/>
      <x:c r="K207" s="7" t="str"/>
      <x:c r="L207" s="7" t="str"/>
      <x:c r="M207" s="7" t="str"/>
      <x:c r="N207" s="7" t="str"/>
      <x:c r="O207" s="7" t="str">
        <x:f>IF(N207="","OPEN",IF(OR(I207="",J207="",K207="",L207="",M207=""),"FAIL","PASS"))</x:f>
        <x:v>OPEN</x:v>
      </x:c>
    </x:row>
    <x:row r="208">
      <x:c r="B208" s="7" t="str">
        <x:v>CH-PEA-A-X2-10-4</x:v>
      </x:c>
      <x:c r="C208" s="7" t="str">
        <x:v>PEA-A-X2</x:v>
      </x:c>
      <x:c r="D208" s="7" t="str">
        <x:v>BLD-A</x:v>
      </x:c>
      <x:c r="E208" s="7" t="str">
        <x:v>BL-X</x:v>
      </x:c>
      <x:c r="F208" s="7" t="str">
        <x:v>MF-10</x:v>
      </x:c>
      <x:c r="G208" s="7" t="str">
        <x:v>normal-source path state</x:v>
      </x:c>
      <x:c r="H208" s="7" t="n">
        <x:v>4</x:v>
      </x:c>
      <x:c r="I208" s="7" t="str"/>
      <x:c r="J208" s="7" t="str"/>
      <x:c r="K208" s="7" t="str"/>
      <x:c r="L208" s="7" t="str"/>
      <x:c r="M208" s="7" t="str"/>
      <x:c r="N208" s="7" t="str"/>
      <x:c r="O208" s="7" t="str">
        <x:f>IF(N208="","OPEN",IF(OR(I208="",J208="",K208="",L208="",M208=""),"FAIL","PASS"))</x:f>
        <x:v>OPEN</x:v>
      </x:c>
    </x:row>
    <x:row r="209">
      <x:c r="B209" s="7" t="str">
        <x:v>CH-PEA-A-X2-10-5</x:v>
      </x:c>
      <x:c r="C209" s="7" t="str">
        <x:v>PEA-A-X2</x:v>
      </x:c>
      <x:c r="D209" s="7" t="str">
        <x:v>BLD-A</x:v>
      </x:c>
      <x:c r="E209" s="7" t="str">
        <x:v>BL-X</x:v>
      </x:c>
      <x:c r="F209" s="7" t="str">
        <x:v>MF-10</x:v>
      </x:c>
      <x:c r="G209" s="7" t="str">
        <x:v>normal-source path state</x:v>
      </x:c>
      <x:c r="H209" s="7" t="n">
        <x:v>5</x:v>
      </x:c>
      <x:c r="I209" s="7" t="str"/>
      <x:c r="J209" s="7" t="str"/>
      <x:c r="K209" s="7" t="str"/>
      <x:c r="L209" s="7" t="str"/>
      <x:c r="M209" s="7" t="str"/>
      <x:c r="N209" s="7" t="str"/>
      <x:c r="O209" s="7" t="str">
        <x:f>IF(N209="","OPEN",IF(OR(I209="",J209="",K209="",L209="",M209=""),"FAIL","PASS"))</x:f>
        <x:v>OPEN</x:v>
      </x:c>
    </x:row>
    <x:row r="210">
      <x:c r="B210" s="7" t="str">
        <x:v>CH-PEA-A-X2-10-6</x:v>
      </x:c>
      <x:c r="C210" s="7" t="str">
        <x:v>PEA-A-X2</x:v>
      </x:c>
      <x:c r="D210" s="7" t="str">
        <x:v>BLD-A</x:v>
      </x:c>
      <x:c r="E210" s="7" t="str">
        <x:v>BL-X</x:v>
      </x:c>
      <x:c r="F210" s="7" t="str">
        <x:v>MF-10</x:v>
      </x:c>
      <x:c r="G210" s="7" t="str">
        <x:v>normal-source path state</x:v>
      </x:c>
      <x:c r="H210" s="7" t="n">
        <x:v>6</x:v>
      </x:c>
      <x:c r="I210" s="7" t="str"/>
      <x:c r="J210" s="7" t="str"/>
      <x:c r="K210" s="7" t="str"/>
      <x:c r="L210" s="7" t="str"/>
      <x:c r="M210" s="7" t="str"/>
      <x:c r="N210" s="7" t="str"/>
      <x:c r="O210" s="7" t="str">
        <x:f>IF(N210="","OPEN",IF(OR(I210="",J210="",K210="",L210="",M210=""),"FAIL","PASS"))</x:f>
        <x:v>OPEN</x:v>
      </x:c>
    </x:row>
    <x:row r="211">
      <x:c r="B211" s="7" t="str">
        <x:v>CH-PEA-A-X2-11-1</x:v>
      </x:c>
      <x:c r="C211" s="7" t="str">
        <x:v>PEA-A-X2</x:v>
      </x:c>
      <x:c r="D211" s="7" t="str">
        <x:v>BLD-A</x:v>
      </x:c>
      <x:c r="E211" s="7" t="str">
        <x:v>BL-X</x:v>
      </x:c>
      <x:c r="F211" s="7" t="str">
        <x:v>MF-11</x:v>
      </x:c>
      <x:c r="G211" s="7" t="str">
        <x:v>casualty-source path state</x:v>
      </x:c>
      <x:c r="H211" s="7" t="n">
        <x:v>1</x:v>
      </x:c>
      <x:c r="I211" s="7" t="str"/>
      <x:c r="J211" s="7" t="str"/>
      <x:c r="K211" s="7" t="str"/>
      <x:c r="L211" s="7" t="str"/>
      <x:c r="M211" s="7" t="str"/>
      <x:c r="N211" s="7" t="str"/>
      <x:c r="O211" s="7" t="str">
        <x:f>IF(N211="","OPEN",IF(OR(I211="",J211="",K211="",L211="",M211=""),"FAIL","PASS"))</x:f>
        <x:v>OPEN</x:v>
      </x:c>
    </x:row>
    <x:row r="212">
      <x:c r="B212" s="7" t="str">
        <x:v>CH-PEA-A-X2-11-2</x:v>
      </x:c>
      <x:c r="C212" s="7" t="str">
        <x:v>PEA-A-X2</x:v>
      </x:c>
      <x:c r="D212" s="7" t="str">
        <x:v>BLD-A</x:v>
      </x:c>
      <x:c r="E212" s="7" t="str">
        <x:v>BL-X</x:v>
      </x:c>
      <x:c r="F212" s="7" t="str">
        <x:v>MF-11</x:v>
      </x:c>
      <x:c r="G212" s="7" t="str">
        <x:v>casualty-source path state</x:v>
      </x:c>
      <x:c r="H212" s="7" t="n">
        <x:v>2</x:v>
      </x:c>
      <x:c r="I212" s="7" t="str"/>
      <x:c r="J212" s="7" t="str"/>
      <x:c r="K212" s="7" t="str"/>
      <x:c r="L212" s="7" t="str"/>
      <x:c r="M212" s="7" t="str"/>
      <x:c r="N212" s="7" t="str"/>
      <x:c r="O212" s="7" t="str">
        <x:f>IF(N212="","OPEN",IF(OR(I212="",J212="",K212="",L212="",M212=""),"FAIL","PASS"))</x:f>
        <x:v>OPEN</x:v>
      </x:c>
    </x:row>
    <x:row r="213">
      <x:c r="B213" s="7" t="str">
        <x:v>CH-PEA-A-X2-11-3</x:v>
      </x:c>
      <x:c r="C213" s="7" t="str">
        <x:v>PEA-A-X2</x:v>
      </x:c>
      <x:c r="D213" s="7" t="str">
        <x:v>BLD-A</x:v>
      </x:c>
      <x:c r="E213" s="7" t="str">
        <x:v>BL-X</x:v>
      </x:c>
      <x:c r="F213" s="7" t="str">
        <x:v>MF-11</x:v>
      </x:c>
      <x:c r="G213" s="7" t="str">
        <x:v>casualty-source path state</x:v>
      </x:c>
      <x:c r="H213" s="7" t="n">
        <x:v>3</x:v>
      </x:c>
      <x:c r="I213" s="7" t="str"/>
      <x:c r="J213" s="7" t="str"/>
      <x:c r="K213" s="7" t="str"/>
      <x:c r="L213" s="7" t="str"/>
      <x:c r="M213" s="7" t="str"/>
      <x:c r="N213" s="7" t="str"/>
      <x:c r="O213" s="7" t="str">
        <x:f>IF(N213="","OPEN",IF(OR(I213="",J213="",K213="",L213="",M213=""),"FAIL","PASS"))</x:f>
        <x:v>OPEN</x:v>
      </x:c>
    </x:row>
    <x:row r="214">
      <x:c r="B214" s="7" t="str">
        <x:v>CH-PEA-A-X2-11-4</x:v>
      </x:c>
      <x:c r="C214" s="7" t="str">
        <x:v>PEA-A-X2</x:v>
      </x:c>
      <x:c r="D214" s="7" t="str">
        <x:v>BLD-A</x:v>
      </x:c>
      <x:c r="E214" s="7" t="str">
        <x:v>BL-X</x:v>
      </x:c>
      <x:c r="F214" s="7" t="str">
        <x:v>MF-11</x:v>
      </x:c>
      <x:c r="G214" s="7" t="str">
        <x:v>casualty-source path state</x:v>
      </x:c>
      <x:c r="H214" s="7" t="n">
        <x:v>4</x:v>
      </x:c>
      <x:c r="I214" s="7" t="str"/>
      <x:c r="J214" s="7" t="str"/>
      <x:c r="K214" s="7" t="str"/>
      <x:c r="L214" s="7" t="str"/>
      <x:c r="M214" s="7" t="str"/>
      <x:c r="N214" s="7" t="str"/>
      <x:c r="O214" s="7" t="str">
        <x:f>IF(N214="","OPEN",IF(OR(I214="",J214="",K214="",L214="",M214=""),"FAIL","PASS"))</x:f>
        <x:v>OPEN</x:v>
      </x:c>
    </x:row>
    <x:row r="215">
      <x:c r="B215" s="7" t="str">
        <x:v>CH-PEA-A-X2-11-5</x:v>
      </x:c>
      <x:c r="C215" s="7" t="str">
        <x:v>PEA-A-X2</x:v>
      </x:c>
      <x:c r="D215" s="7" t="str">
        <x:v>BLD-A</x:v>
      </x:c>
      <x:c r="E215" s="7" t="str">
        <x:v>BL-X</x:v>
      </x:c>
      <x:c r="F215" s="7" t="str">
        <x:v>MF-11</x:v>
      </x:c>
      <x:c r="G215" s="7" t="str">
        <x:v>casualty-source path state</x:v>
      </x:c>
      <x:c r="H215" s="7" t="n">
        <x:v>5</x:v>
      </x:c>
      <x:c r="I215" s="7" t="str"/>
      <x:c r="J215" s="7" t="str"/>
      <x:c r="K215" s="7" t="str"/>
      <x:c r="L215" s="7" t="str"/>
      <x:c r="M215" s="7" t="str"/>
      <x:c r="N215" s="7" t="str"/>
      <x:c r="O215" s="7" t="str">
        <x:f>IF(N215="","OPEN",IF(OR(I215="",J215="",K215="",L215="",M215=""),"FAIL","PASS"))</x:f>
        <x:v>OPEN</x:v>
      </x:c>
    </x:row>
    <x:row r="216">
      <x:c r="B216" s="7" t="str">
        <x:v>CH-PEA-A-X2-11-6</x:v>
      </x:c>
      <x:c r="C216" s="7" t="str">
        <x:v>PEA-A-X2</x:v>
      </x:c>
      <x:c r="D216" s="7" t="str">
        <x:v>BLD-A</x:v>
      </x:c>
      <x:c r="E216" s="7" t="str">
        <x:v>BL-X</x:v>
      </x:c>
      <x:c r="F216" s="7" t="str">
        <x:v>MF-11</x:v>
      </x:c>
      <x:c r="G216" s="7" t="str">
        <x:v>casualty-source path state</x:v>
      </x:c>
      <x:c r="H216" s="7" t="n">
        <x:v>6</x:v>
      </x:c>
      <x:c r="I216" s="7" t="str"/>
      <x:c r="J216" s="7" t="str"/>
      <x:c r="K216" s="7" t="str"/>
      <x:c r="L216" s="7" t="str"/>
      <x:c r="M216" s="7" t="str"/>
      <x:c r="N216" s="7" t="str"/>
      <x:c r="O216" s="7" t="str">
        <x:f>IF(N216="","OPEN",IF(OR(I216="",J216="",K216="",L216="",M216=""),"FAIL","PASS"))</x:f>
        <x:v>OPEN</x:v>
      </x:c>
    </x:row>
    <x:row r="217">
      <x:c r="B217" s="7" t="str">
        <x:v>CH-PEA-A-X2-12-1</x:v>
      </x:c>
      <x:c r="C217" s="7" t="str">
        <x:v>PEA-A-X2</x:v>
      </x:c>
      <x:c r="D217" s="7" t="str">
        <x:v>BLD-A</x:v>
      </x:c>
      <x:c r="E217" s="7" t="str">
        <x:v>BL-X</x:v>
      </x:c>
      <x:c r="F217" s="7" t="str">
        <x:v>MF-12</x:v>
      </x:c>
      <x:c r="G217" s="7" t="str">
        <x:v>candidate-water path state</x:v>
      </x:c>
      <x:c r="H217" s="7" t="n">
        <x:v>1</x:v>
      </x:c>
      <x:c r="I217" s="7" t="str"/>
      <x:c r="J217" s="7" t="str"/>
      <x:c r="K217" s="7" t="str"/>
      <x:c r="L217" s="7" t="str"/>
      <x:c r="M217" s="7" t="str"/>
      <x:c r="N217" s="7" t="str"/>
      <x:c r="O217" s="7" t="str">
        <x:f>IF(N217="","OPEN",IF(OR(I217="",J217="",K217="",L217="",M217=""),"FAIL","PASS"))</x:f>
        <x:v>OPEN</x:v>
      </x:c>
    </x:row>
    <x:row r="218">
      <x:c r="B218" s="7" t="str">
        <x:v>CH-PEA-A-X2-12-2</x:v>
      </x:c>
      <x:c r="C218" s="7" t="str">
        <x:v>PEA-A-X2</x:v>
      </x:c>
      <x:c r="D218" s="7" t="str">
        <x:v>BLD-A</x:v>
      </x:c>
      <x:c r="E218" s="7" t="str">
        <x:v>BL-X</x:v>
      </x:c>
      <x:c r="F218" s="7" t="str">
        <x:v>MF-12</x:v>
      </x:c>
      <x:c r="G218" s="7" t="str">
        <x:v>candidate-water path state</x:v>
      </x:c>
      <x:c r="H218" s="7" t="n">
        <x:v>2</x:v>
      </x:c>
      <x:c r="I218" s="7" t="str"/>
      <x:c r="J218" s="7" t="str"/>
      <x:c r="K218" s="7" t="str"/>
      <x:c r="L218" s="7" t="str"/>
      <x:c r="M218" s="7" t="str"/>
      <x:c r="N218" s="7" t="str"/>
      <x:c r="O218" s="7" t="str">
        <x:f>IF(N218="","OPEN",IF(OR(I218="",J218="",K218="",L218="",M218=""),"FAIL","PASS"))</x:f>
        <x:v>OPEN</x:v>
      </x:c>
    </x:row>
    <x:row r="219">
      <x:c r="B219" s="7" t="str">
        <x:v>CH-PEA-A-X2-12-3</x:v>
      </x:c>
      <x:c r="C219" s="7" t="str">
        <x:v>PEA-A-X2</x:v>
      </x:c>
      <x:c r="D219" s="7" t="str">
        <x:v>BLD-A</x:v>
      </x:c>
      <x:c r="E219" s="7" t="str">
        <x:v>BL-X</x:v>
      </x:c>
      <x:c r="F219" s="7" t="str">
        <x:v>MF-12</x:v>
      </x:c>
      <x:c r="G219" s="7" t="str">
        <x:v>candidate-water path state</x:v>
      </x:c>
      <x:c r="H219" s="7" t="n">
        <x:v>3</x:v>
      </x:c>
      <x:c r="I219" s="7" t="str"/>
      <x:c r="J219" s="7" t="str"/>
      <x:c r="K219" s="7" t="str"/>
      <x:c r="L219" s="7" t="str"/>
      <x:c r="M219" s="7" t="str"/>
      <x:c r="N219" s="7" t="str"/>
      <x:c r="O219" s="7" t="str">
        <x:f>IF(N219="","OPEN",IF(OR(I219="",J219="",K219="",L219="",M219=""),"FAIL","PASS"))</x:f>
        <x:v>OPEN</x:v>
      </x:c>
    </x:row>
    <x:row r="220">
      <x:c r="B220" s="7" t="str">
        <x:v>CH-PEA-A-X2-12-4</x:v>
      </x:c>
      <x:c r="C220" s="7" t="str">
        <x:v>PEA-A-X2</x:v>
      </x:c>
      <x:c r="D220" s="7" t="str">
        <x:v>BLD-A</x:v>
      </x:c>
      <x:c r="E220" s="7" t="str">
        <x:v>BL-X</x:v>
      </x:c>
      <x:c r="F220" s="7" t="str">
        <x:v>MF-12</x:v>
      </x:c>
      <x:c r="G220" s="7" t="str">
        <x:v>candidate-water path state</x:v>
      </x:c>
      <x:c r="H220" s="7" t="n">
        <x:v>4</x:v>
      </x:c>
      <x:c r="I220" s="7" t="str"/>
      <x:c r="J220" s="7" t="str"/>
      <x:c r="K220" s="7" t="str"/>
      <x:c r="L220" s="7" t="str"/>
      <x:c r="M220" s="7" t="str"/>
      <x:c r="N220" s="7" t="str"/>
      <x:c r="O220" s="7" t="str">
        <x:f>IF(N220="","OPEN",IF(OR(I220="",J220="",K220="",L220="",M220=""),"FAIL","PASS"))</x:f>
        <x:v>OPEN</x:v>
      </x:c>
    </x:row>
    <x:row r="221">
      <x:c r="B221" s="7" t="str">
        <x:v>CH-PEA-A-X2-12-5</x:v>
      </x:c>
      <x:c r="C221" s="7" t="str">
        <x:v>PEA-A-X2</x:v>
      </x:c>
      <x:c r="D221" s="7" t="str">
        <x:v>BLD-A</x:v>
      </x:c>
      <x:c r="E221" s="7" t="str">
        <x:v>BL-X</x:v>
      </x:c>
      <x:c r="F221" s="7" t="str">
        <x:v>MF-12</x:v>
      </x:c>
      <x:c r="G221" s="7" t="str">
        <x:v>candidate-water path state</x:v>
      </x:c>
      <x:c r="H221" s="7" t="n">
        <x:v>5</x:v>
      </x:c>
      <x:c r="I221" s="7" t="str"/>
      <x:c r="J221" s="7" t="str"/>
      <x:c r="K221" s="7" t="str"/>
      <x:c r="L221" s="7" t="str"/>
      <x:c r="M221" s="7" t="str"/>
      <x:c r="N221" s="7" t="str"/>
      <x:c r="O221" s="7" t="str">
        <x:f>IF(N221="","OPEN",IF(OR(I221="",J221="",K221="",L221="",M221=""),"FAIL","PASS"))</x:f>
        <x:v>OPEN</x:v>
      </x:c>
    </x:row>
    <x:row r="222">
      <x:c r="B222" s="7" t="str">
        <x:v>CH-PEA-A-X2-12-6</x:v>
      </x:c>
      <x:c r="C222" s="7" t="str">
        <x:v>PEA-A-X2</x:v>
      </x:c>
      <x:c r="D222" s="7" t="str">
        <x:v>BLD-A</x:v>
      </x:c>
      <x:c r="E222" s="7" t="str">
        <x:v>BL-X</x:v>
      </x:c>
      <x:c r="F222" s="7" t="str">
        <x:v>MF-12</x:v>
      </x:c>
      <x:c r="G222" s="7" t="str">
        <x:v>candidate-water path state</x:v>
      </x:c>
      <x:c r="H222" s="7" t="n">
        <x:v>6</x:v>
      </x:c>
      <x:c r="I222" s="7" t="str"/>
      <x:c r="J222" s="7" t="str"/>
      <x:c r="K222" s="7" t="str"/>
      <x:c r="L222" s="7" t="str"/>
      <x:c r="M222" s="7" t="str"/>
      <x:c r="N222" s="7" t="str"/>
      <x:c r="O222" s="7" t="str">
        <x:f>IF(N222="","OPEN",IF(OR(I222="",J222="",K222="",L222="",M222=""),"FAIL","PASS"))</x:f>
        <x:v>OPEN</x:v>
      </x:c>
    </x:row>
    <x:row r="223">
      <x:c r="B223" s="7" t="str">
        <x:v>CH-PEA-A-X2-13-1</x:v>
      </x:c>
      <x:c r="C223" s="7" t="str">
        <x:v>PEA-A-X2</x:v>
      </x:c>
      <x:c r="D223" s="7" t="str">
        <x:v>BLD-A</x:v>
      </x:c>
      <x:c r="E223" s="7" t="str">
        <x:v>BL-X</x:v>
      </x:c>
      <x:c r="F223" s="7" t="str">
        <x:v>MF-13</x:v>
      </x:c>
      <x:c r="G223" s="7" t="str">
        <x:v>final-element reference</x:v>
      </x:c>
      <x:c r="H223" s="7" t="n">
        <x:v>1</x:v>
      </x:c>
      <x:c r="I223" s="7" t="str"/>
      <x:c r="J223" s="7" t="str"/>
      <x:c r="K223" s="7" t="str"/>
      <x:c r="L223" s="7" t="str"/>
      <x:c r="M223" s="7" t="str"/>
      <x:c r="N223" s="7" t="str"/>
      <x:c r="O223" s="7" t="str">
        <x:f>IF(N223="","OPEN",IF(OR(I223="",J223="",K223="",L223="",M223=""),"FAIL","PASS"))</x:f>
        <x:v>OPEN</x:v>
      </x:c>
    </x:row>
    <x:row r="224">
      <x:c r="B224" s="7" t="str">
        <x:v>CH-PEA-A-X2-13-2</x:v>
      </x:c>
      <x:c r="C224" s="7" t="str">
        <x:v>PEA-A-X2</x:v>
      </x:c>
      <x:c r="D224" s="7" t="str">
        <x:v>BLD-A</x:v>
      </x:c>
      <x:c r="E224" s="7" t="str">
        <x:v>BL-X</x:v>
      </x:c>
      <x:c r="F224" s="7" t="str">
        <x:v>MF-13</x:v>
      </x:c>
      <x:c r="G224" s="7" t="str">
        <x:v>final-element reference</x:v>
      </x:c>
      <x:c r="H224" s="7" t="n">
        <x:v>2</x:v>
      </x:c>
      <x:c r="I224" s="7" t="str"/>
      <x:c r="J224" s="7" t="str"/>
      <x:c r="K224" s="7" t="str"/>
      <x:c r="L224" s="7" t="str"/>
      <x:c r="M224" s="7" t="str"/>
      <x:c r="N224" s="7" t="str"/>
      <x:c r="O224" s="7" t="str">
        <x:f>IF(N224="","OPEN",IF(OR(I224="",J224="",K224="",L224="",M224=""),"FAIL","PASS"))</x:f>
        <x:v>OPEN</x:v>
      </x:c>
    </x:row>
    <x:row r="225">
      <x:c r="B225" s="7" t="str">
        <x:v>CH-PEA-A-X2-13-3</x:v>
      </x:c>
      <x:c r="C225" s="7" t="str">
        <x:v>PEA-A-X2</x:v>
      </x:c>
      <x:c r="D225" s="7" t="str">
        <x:v>BLD-A</x:v>
      </x:c>
      <x:c r="E225" s="7" t="str">
        <x:v>BL-X</x:v>
      </x:c>
      <x:c r="F225" s="7" t="str">
        <x:v>MF-13</x:v>
      </x:c>
      <x:c r="G225" s="7" t="str">
        <x:v>final-element reference</x:v>
      </x:c>
      <x:c r="H225" s="7" t="n">
        <x:v>3</x:v>
      </x:c>
      <x:c r="I225" s="7" t="str"/>
      <x:c r="J225" s="7" t="str"/>
      <x:c r="K225" s="7" t="str"/>
      <x:c r="L225" s="7" t="str"/>
      <x:c r="M225" s="7" t="str"/>
      <x:c r="N225" s="7" t="str"/>
      <x:c r="O225" s="7" t="str">
        <x:f>IF(N225="","OPEN",IF(OR(I225="",J225="",K225="",L225="",M225=""),"FAIL","PASS"))</x:f>
        <x:v>OPEN</x:v>
      </x:c>
    </x:row>
    <x:row r="226">
      <x:c r="B226" s="7" t="str">
        <x:v>CH-PEA-A-X2-13-4</x:v>
      </x:c>
      <x:c r="C226" s="7" t="str">
        <x:v>PEA-A-X2</x:v>
      </x:c>
      <x:c r="D226" s="7" t="str">
        <x:v>BLD-A</x:v>
      </x:c>
      <x:c r="E226" s="7" t="str">
        <x:v>BL-X</x:v>
      </x:c>
      <x:c r="F226" s="7" t="str">
        <x:v>MF-13</x:v>
      </x:c>
      <x:c r="G226" s="7" t="str">
        <x:v>final-element reference</x:v>
      </x:c>
      <x:c r="H226" s="7" t="n">
        <x:v>4</x:v>
      </x:c>
      <x:c r="I226" s="7" t="str"/>
      <x:c r="J226" s="7" t="str"/>
      <x:c r="K226" s="7" t="str"/>
      <x:c r="L226" s="7" t="str"/>
      <x:c r="M226" s="7" t="str"/>
      <x:c r="N226" s="7" t="str"/>
      <x:c r="O226" s="7" t="str">
        <x:f>IF(N226="","OPEN",IF(OR(I226="",J226="",K226="",L226="",M226=""),"FAIL","PASS"))</x:f>
        <x:v>OPEN</x:v>
      </x:c>
    </x:row>
    <x:row r="227">
      <x:c r="B227" s="7" t="str">
        <x:v>CH-PEA-A-X2-13-5</x:v>
      </x:c>
      <x:c r="C227" s="7" t="str">
        <x:v>PEA-A-X2</x:v>
      </x:c>
      <x:c r="D227" s="7" t="str">
        <x:v>BLD-A</x:v>
      </x:c>
      <x:c r="E227" s="7" t="str">
        <x:v>BL-X</x:v>
      </x:c>
      <x:c r="F227" s="7" t="str">
        <x:v>MF-13</x:v>
      </x:c>
      <x:c r="G227" s="7" t="str">
        <x:v>final-element reference</x:v>
      </x:c>
      <x:c r="H227" s="7" t="n">
        <x:v>5</x:v>
      </x:c>
      <x:c r="I227" s="7" t="str"/>
      <x:c r="J227" s="7" t="str"/>
      <x:c r="K227" s="7" t="str"/>
      <x:c r="L227" s="7" t="str"/>
      <x:c r="M227" s="7" t="str"/>
      <x:c r="N227" s="7" t="str"/>
      <x:c r="O227" s="7" t="str">
        <x:f>IF(N227="","OPEN",IF(OR(I227="",J227="",K227="",L227="",M227=""),"FAIL","PASS"))</x:f>
        <x:v>OPEN</x:v>
      </x:c>
    </x:row>
    <x:row r="228">
      <x:c r="B228" s="7" t="str">
        <x:v>CH-PEA-A-X2-13-6</x:v>
      </x:c>
      <x:c r="C228" s="7" t="str">
        <x:v>PEA-A-X2</x:v>
      </x:c>
      <x:c r="D228" s="7" t="str">
        <x:v>BLD-A</x:v>
      </x:c>
      <x:c r="E228" s="7" t="str">
        <x:v>BL-X</x:v>
      </x:c>
      <x:c r="F228" s="7" t="str">
        <x:v>MF-13</x:v>
      </x:c>
      <x:c r="G228" s="7" t="str">
        <x:v>final-element reference</x:v>
      </x:c>
      <x:c r="H228" s="7" t="n">
        <x:v>6</x:v>
      </x:c>
      <x:c r="I228" s="7" t="str"/>
      <x:c r="J228" s="7" t="str"/>
      <x:c r="K228" s="7" t="str"/>
      <x:c r="L228" s="7" t="str"/>
      <x:c r="M228" s="7" t="str"/>
      <x:c r="N228" s="7" t="str"/>
      <x:c r="O228" s="7" t="str">
        <x:f>IF(N228="","OPEN",IF(OR(I228="",J228="",K228="",L228="",M228=""),"FAIL","PASS"))</x:f>
        <x:v>OPEN</x:v>
      </x:c>
    </x:row>
    <x:row r="229">
      <x:c r="B229" s="7" t="str">
        <x:v>CH-PEA-A-X2-14-1</x:v>
      </x:c>
      <x:c r="C229" s="7" t="str">
        <x:v>PEA-A-X2</x:v>
      </x:c>
      <x:c r="D229" s="7" t="str">
        <x:v>BLD-A</x:v>
      </x:c>
      <x:c r="E229" s="7" t="str">
        <x:v>BL-X</x:v>
      </x:c>
      <x:c r="F229" s="7" t="str">
        <x:v>MF-14</x:v>
      </x:c>
      <x:c r="G229" s="7" t="str">
        <x:v>causal time</x:v>
      </x:c>
      <x:c r="H229" s="7" t="n">
        <x:v>1</x:v>
      </x:c>
      <x:c r="I229" s="7" t="str"/>
      <x:c r="J229" s="7" t="str"/>
      <x:c r="K229" s="7" t="str"/>
      <x:c r="L229" s="7" t="str"/>
      <x:c r="M229" s="7" t="str"/>
      <x:c r="N229" s="7" t="str"/>
      <x:c r="O229" s="7" t="str">
        <x:f>IF(N229="","OPEN",IF(OR(I229="",J229="",K229="",L229="",M229=""),"FAIL","PASS"))</x:f>
        <x:v>OPEN</x:v>
      </x:c>
    </x:row>
    <x:row r="230">
      <x:c r="B230" s="7" t="str">
        <x:v>CH-PEA-A-X2-14-2</x:v>
      </x:c>
      <x:c r="C230" s="7" t="str">
        <x:v>PEA-A-X2</x:v>
      </x:c>
      <x:c r="D230" s="7" t="str">
        <x:v>BLD-A</x:v>
      </x:c>
      <x:c r="E230" s="7" t="str">
        <x:v>BL-X</x:v>
      </x:c>
      <x:c r="F230" s="7" t="str">
        <x:v>MF-14</x:v>
      </x:c>
      <x:c r="G230" s="7" t="str">
        <x:v>causal time</x:v>
      </x:c>
      <x:c r="H230" s="7" t="n">
        <x:v>2</x:v>
      </x:c>
      <x:c r="I230" s="7" t="str"/>
      <x:c r="J230" s="7" t="str"/>
      <x:c r="K230" s="7" t="str"/>
      <x:c r="L230" s="7" t="str"/>
      <x:c r="M230" s="7" t="str"/>
      <x:c r="N230" s="7" t="str"/>
      <x:c r="O230" s="7" t="str">
        <x:f>IF(N230="","OPEN",IF(OR(I230="",J230="",K230="",L230="",M230=""),"FAIL","PASS"))</x:f>
        <x:v>OPEN</x:v>
      </x:c>
    </x:row>
    <x:row r="231">
      <x:c r="B231" s="7" t="str">
        <x:v>CH-PEA-A-X2-14-3</x:v>
      </x:c>
      <x:c r="C231" s="7" t="str">
        <x:v>PEA-A-X2</x:v>
      </x:c>
      <x:c r="D231" s="7" t="str">
        <x:v>BLD-A</x:v>
      </x:c>
      <x:c r="E231" s="7" t="str">
        <x:v>BL-X</x:v>
      </x:c>
      <x:c r="F231" s="7" t="str">
        <x:v>MF-14</x:v>
      </x:c>
      <x:c r="G231" s="7" t="str">
        <x:v>causal time</x:v>
      </x:c>
      <x:c r="H231" s="7" t="n">
        <x:v>3</x:v>
      </x:c>
      <x:c r="I231" s="7" t="str"/>
      <x:c r="J231" s="7" t="str"/>
      <x:c r="K231" s="7" t="str"/>
      <x:c r="L231" s="7" t="str"/>
      <x:c r="M231" s="7" t="str"/>
      <x:c r="N231" s="7" t="str"/>
      <x:c r="O231" s="7" t="str">
        <x:f>IF(N231="","OPEN",IF(OR(I231="",J231="",K231="",L231="",M231=""),"FAIL","PASS"))</x:f>
        <x:v>OPEN</x:v>
      </x:c>
    </x:row>
    <x:row r="232">
      <x:c r="B232" s="7" t="str">
        <x:v>CH-PEA-A-X2-14-4</x:v>
      </x:c>
      <x:c r="C232" s="7" t="str">
        <x:v>PEA-A-X2</x:v>
      </x:c>
      <x:c r="D232" s="7" t="str">
        <x:v>BLD-A</x:v>
      </x:c>
      <x:c r="E232" s="7" t="str">
        <x:v>BL-X</x:v>
      </x:c>
      <x:c r="F232" s="7" t="str">
        <x:v>MF-14</x:v>
      </x:c>
      <x:c r="G232" s="7" t="str">
        <x:v>causal time</x:v>
      </x:c>
      <x:c r="H232" s="7" t="n">
        <x:v>4</x:v>
      </x:c>
      <x:c r="I232" s="7" t="str"/>
      <x:c r="J232" s="7" t="str"/>
      <x:c r="K232" s="7" t="str"/>
      <x:c r="L232" s="7" t="str"/>
      <x:c r="M232" s="7" t="str"/>
      <x:c r="N232" s="7" t="str"/>
      <x:c r="O232" s="7" t="str">
        <x:f>IF(N232="","OPEN",IF(OR(I232="",J232="",K232="",L232="",M232=""),"FAIL","PASS"))</x:f>
        <x:v>OPEN</x:v>
      </x:c>
    </x:row>
    <x:row r="233">
      <x:c r="B233" s="7" t="str">
        <x:v>CH-PEA-A-X2-14-5</x:v>
      </x:c>
      <x:c r="C233" s="7" t="str">
        <x:v>PEA-A-X2</x:v>
      </x:c>
      <x:c r="D233" s="7" t="str">
        <x:v>BLD-A</x:v>
      </x:c>
      <x:c r="E233" s="7" t="str">
        <x:v>BL-X</x:v>
      </x:c>
      <x:c r="F233" s="7" t="str">
        <x:v>MF-14</x:v>
      </x:c>
      <x:c r="G233" s="7" t="str">
        <x:v>causal time</x:v>
      </x:c>
      <x:c r="H233" s="7" t="n">
        <x:v>5</x:v>
      </x:c>
      <x:c r="I233" s="7" t="str"/>
      <x:c r="J233" s="7" t="str"/>
      <x:c r="K233" s="7" t="str"/>
      <x:c r="L233" s="7" t="str"/>
      <x:c r="M233" s="7" t="str"/>
      <x:c r="N233" s="7" t="str"/>
      <x:c r="O233" s="7" t="str">
        <x:f>IF(N233="","OPEN",IF(OR(I233="",J233="",K233="",L233="",M233=""),"FAIL","PASS"))</x:f>
        <x:v>OPEN</x:v>
      </x:c>
    </x:row>
    <x:row r="234">
      <x:c r="B234" s="7" t="str">
        <x:v>CH-PEA-A-X2-14-6</x:v>
      </x:c>
      <x:c r="C234" s="7" t="str">
        <x:v>PEA-A-X2</x:v>
      </x:c>
      <x:c r="D234" s="7" t="str">
        <x:v>BLD-A</x:v>
      </x:c>
      <x:c r="E234" s="7" t="str">
        <x:v>BL-X</x:v>
      </x:c>
      <x:c r="F234" s="7" t="str">
        <x:v>MF-14</x:v>
      </x:c>
      <x:c r="G234" s="7" t="str">
        <x:v>causal time</x:v>
      </x:c>
      <x:c r="H234" s="7" t="n">
        <x:v>6</x:v>
      </x:c>
      <x:c r="I234" s="7" t="str"/>
      <x:c r="J234" s="7" t="str"/>
      <x:c r="K234" s="7" t="str"/>
      <x:c r="L234" s="7" t="str"/>
      <x:c r="M234" s="7" t="str"/>
      <x:c r="N234" s="7" t="str"/>
      <x:c r="O234" s="7" t="str">
        <x:f>IF(N234="","OPEN",IF(OR(I234="",J234="",K234="",L234="",M234=""),"FAIL","PASS"))</x:f>
        <x:v>OPEN</x:v>
      </x:c>
    </x:row>
    <x:row r="235">
      <x:c r="B235" s="7" t="str">
        <x:v>CH-PEA-A-X2-15-1</x:v>
      </x:c>
      <x:c r="C235" s="7" t="str">
        <x:v>PEA-A-X2</x:v>
      </x:c>
      <x:c r="D235" s="7" t="str">
        <x:v>BLD-A</x:v>
      </x:c>
      <x:c r="E235" s="7" t="str">
        <x:v>BL-X</x:v>
      </x:c>
      <x:c r="F235" s="7" t="str">
        <x:v>MF-15</x:v>
      </x:c>
      <x:c r="G235" s="7" t="str">
        <x:v>source motive energy</x:v>
      </x:c>
      <x:c r="H235" s="7" t="n">
        <x:v>1</x:v>
      </x:c>
      <x:c r="I235" s="7" t="str"/>
      <x:c r="J235" s="7" t="str"/>
      <x:c r="K235" s="7" t="str"/>
      <x:c r="L235" s="7" t="str"/>
      <x:c r="M235" s="7" t="str"/>
      <x:c r="N235" s="7" t="str"/>
      <x:c r="O235" s="7" t="str">
        <x:f>IF(N235="","OPEN",IF(OR(I235="",J235="",K235="",L235="",M235=""),"FAIL","PASS"))</x:f>
        <x:v>OPEN</x:v>
      </x:c>
    </x:row>
    <x:row r="236">
      <x:c r="B236" s="7" t="str">
        <x:v>CH-PEA-A-X2-15-2</x:v>
      </x:c>
      <x:c r="C236" s="7" t="str">
        <x:v>PEA-A-X2</x:v>
      </x:c>
      <x:c r="D236" s="7" t="str">
        <x:v>BLD-A</x:v>
      </x:c>
      <x:c r="E236" s="7" t="str">
        <x:v>BL-X</x:v>
      </x:c>
      <x:c r="F236" s="7" t="str">
        <x:v>MF-15</x:v>
      </x:c>
      <x:c r="G236" s="7" t="str">
        <x:v>source motive energy</x:v>
      </x:c>
      <x:c r="H236" s="7" t="n">
        <x:v>2</x:v>
      </x:c>
      <x:c r="I236" s="7" t="str"/>
      <x:c r="J236" s="7" t="str"/>
      <x:c r="K236" s="7" t="str"/>
      <x:c r="L236" s="7" t="str"/>
      <x:c r="M236" s="7" t="str"/>
      <x:c r="N236" s="7" t="str"/>
      <x:c r="O236" s="7" t="str">
        <x:f>IF(N236="","OPEN",IF(OR(I236="",J236="",K236="",L236="",M236=""),"FAIL","PASS"))</x:f>
        <x:v>OPEN</x:v>
      </x:c>
    </x:row>
    <x:row r="237">
      <x:c r="B237" s="7" t="str">
        <x:v>CH-PEA-A-X2-15-3</x:v>
      </x:c>
      <x:c r="C237" s="7" t="str">
        <x:v>PEA-A-X2</x:v>
      </x:c>
      <x:c r="D237" s="7" t="str">
        <x:v>BLD-A</x:v>
      </x:c>
      <x:c r="E237" s="7" t="str">
        <x:v>BL-X</x:v>
      </x:c>
      <x:c r="F237" s="7" t="str">
        <x:v>MF-15</x:v>
      </x:c>
      <x:c r="G237" s="7" t="str">
        <x:v>source motive energy</x:v>
      </x:c>
      <x:c r="H237" s="7" t="n">
        <x:v>3</x:v>
      </x:c>
      <x:c r="I237" s="7" t="str"/>
      <x:c r="J237" s="7" t="str"/>
      <x:c r="K237" s="7" t="str"/>
      <x:c r="L237" s="7" t="str"/>
      <x:c r="M237" s="7" t="str"/>
      <x:c r="N237" s="7" t="str"/>
      <x:c r="O237" s="7" t="str">
        <x:f>IF(N237="","OPEN",IF(OR(I237="",J237="",K237="",L237="",M237=""),"FAIL","PASS"))</x:f>
        <x:v>OPEN</x:v>
      </x:c>
    </x:row>
    <x:row r="238">
      <x:c r="B238" s="7" t="str">
        <x:v>CH-PEA-A-X2-15-4</x:v>
      </x:c>
      <x:c r="C238" s="7" t="str">
        <x:v>PEA-A-X2</x:v>
      </x:c>
      <x:c r="D238" s="7" t="str">
        <x:v>BLD-A</x:v>
      </x:c>
      <x:c r="E238" s="7" t="str">
        <x:v>BL-X</x:v>
      </x:c>
      <x:c r="F238" s="7" t="str">
        <x:v>MF-15</x:v>
      </x:c>
      <x:c r="G238" s="7" t="str">
        <x:v>source motive energy</x:v>
      </x:c>
      <x:c r="H238" s="7" t="n">
        <x:v>4</x:v>
      </x:c>
      <x:c r="I238" s="7" t="str"/>
      <x:c r="J238" s="7" t="str"/>
      <x:c r="K238" s="7" t="str"/>
      <x:c r="L238" s="7" t="str"/>
      <x:c r="M238" s="7" t="str"/>
      <x:c r="N238" s="7" t="str"/>
      <x:c r="O238" s="7" t="str">
        <x:f>IF(N238="","OPEN",IF(OR(I238="",J238="",K238="",L238="",M238=""),"FAIL","PASS"))</x:f>
        <x:v>OPEN</x:v>
      </x:c>
    </x:row>
    <x:row r="239">
      <x:c r="B239" s="7" t="str">
        <x:v>CH-PEA-A-X2-15-5</x:v>
      </x:c>
      <x:c r="C239" s="7" t="str">
        <x:v>PEA-A-X2</x:v>
      </x:c>
      <x:c r="D239" s="7" t="str">
        <x:v>BLD-A</x:v>
      </x:c>
      <x:c r="E239" s="7" t="str">
        <x:v>BL-X</x:v>
      </x:c>
      <x:c r="F239" s="7" t="str">
        <x:v>MF-15</x:v>
      </x:c>
      <x:c r="G239" s="7" t="str">
        <x:v>source motive energy</x:v>
      </x:c>
      <x:c r="H239" s="7" t="n">
        <x:v>5</x:v>
      </x:c>
      <x:c r="I239" s="7" t="str"/>
      <x:c r="J239" s="7" t="str"/>
      <x:c r="K239" s="7" t="str"/>
      <x:c r="L239" s="7" t="str"/>
      <x:c r="M239" s="7" t="str"/>
      <x:c r="N239" s="7" t="str"/>
      <x:c r="O239" s="7" t="str">
        <x:f>IF(N239="","OPEN",IF(OR(I239="",J239="",K239="",L239="",M239=""),"FAIL","PASS"))</x:f>
        <x:v>OPEN</x:v>
      </x:c>
    </x:row>
    <x:row r="240">
      <x:c r="B240" s="7" t="str">
        <x:v>CH-PEA-A-X2-15-6</x:v>
      </x:c>
      <x:c r="C240" s="7" t="str">
        <x:v>PEA-A-X2</x:v>
      </x:c>
      <x:c r="D240" s="7" t="str">
        <x:v>BLD-A</x:v>
      </x:c>
      <x:c r="E240" s="7" t="str">
        <x:v>BL-X</x:v>
      </x:c>
      <x:c r="F240" s="7" t="str">
        <x:v>MF-15</x:v>
      </x:c>
      <x:c r="G240" s="7" t="str">
        <x:v>source motive energy</x:v>
      </x:c>
      <x:c r="H240" s="7" t="n">
        <x:v>6</x:v>
      </x:c>
      <x:c r="I240" s="7" t="str"/>
      <x:c r="J240" s="7" t="str"/>
      <x:c r="K240" s="7" t="str"/>
      <x:c r="L240" s="7" t="str"/>
      <x:c r="M240" s="7" t="str"/>
      <x:c r="N240" s="7" t="str"/>
      <x:c r="O240" s="7" t="str">
        <x:f>IF(N240="","OPEN",IF(OR(I240="",J240="",K240="",L240="",M240=""),"FAIL","PASS"))</x:f>
        <x:v>OPEN</x:v>
      </x:c>
    </x:row>
    <x:row r="241">
      <x:c r="B241" s="7" t="str">
        <x:v>CH-PEA-A-X2-16-1</x:v>
      </x:c>
      <x:c r="C241" s="7" t="str">
        <x:v>PEA-A-X2</x:v>
      </x:c>
      <x:c r="D241" s="7" t="str">
        <x:v>BLD-A</x:v>
      </x:c>
      <x:c r="E241" s="7" t="str">
        <x:v>BL-X</x:v>
      </x:c>
      <x:c r="F241" s="7" t="str">
        <x:v>MF-16</x:v>
      </x:c>
      <x:c r="G241" s="7" t="str">
        <x:v>water motive energy</x:v>
      </x:c>
      <x:c r="H241" s="7" t="n">
        <x:v>1</x:v>
      </x:c>
      <x:c r="I241" s="7" t="str"/>
      <x:c r="J241" s="7" t="str"/>
      <x:c r="K241" s="7" t="str"/>
      <x:c r="L241" s="7" t="str"/>
      <x:c r="M241" s="7" t="str"/>
      <x:c r="N241" s="7" t="str"/>
      <x:c r="O241" s="7" t="str">
        <x:f>IF(N241="","OPEN",IF(OR(I241="",J241="",K241="",L241="",M241=""),"FAIL","PASS"))</x:f>
        <x:v>OPEN</x:v>
      </x:c>
    </x:row>
    <x:row r="242">
      <x:c r="B242" s="7" t="str">
        <x:v>CH-PEA-A-X2-16-2</x:v>
      </x:c>
      <x:c r="C242" s="7" t="str">
        <x:v>PEA-A-X2</x:v>
      </x:c>
      <x:c r="D242" s="7" t="str">
        <x:v>BLD-A</x:v>
      </x:c>
      <x:c r="E242" s="7" t="str">
        <x:v>BL-X</x:v>
      </x:c>
      <x:c r="F242" s="7" t="str">
        <x:v>MF-16</x:v>
      </x:c>
      <x:c r="G242" s="7" t="str">
        <x:v>water motive energy</x:v>
      </x:c>
      <x:c r="H242" s="7" t="n">
        <x:v>2</x:v>
      </x:c>
      <x:c r="I242" s="7" t="str"/>
      <x:c r="J242" s="7" t="str"/>
      <x:c r="K242" s="7" t="str"/>
      <x:c r="L242" s="7" t="str"/>
      <x:c r="M242" s="7" t="str"/>
      <x:c r="N242" s="7" t="str"/>
      <x:c r="O242" s="7" t="str">
        <x:f>IF(N242="","OPEN",IF(OR(I242="",J242="",K242="",L242="",M242=""),"FAIL","PASS"))</x:f>
        <x:v>OPEN</x:v>
      </x:c>
    </x:row>
    <x:row r="243">
      <x:c r="B243" s="7" t="str">
        <x:v>CH-PEA-A-X2-16-3</x:v>
      </x:c>
      <x:c r="C243" s="7" t="str">
        <x:v>PEA-A-X2</x:v>
      </x:c>
      <x:c r="D243" s="7" t="str">
        <x:v>BLD-A</x:v>
      </x:c>
      <x:c r="E243" s="7" t="str">
        <x:v>BL-X</x:v>
      </x:c>
      <x:c r="F243" s="7" t="str">
        <x:v>MF-16</x:v>
      </x:c>
      <x:c r="G243" s="7" t="str">
        <x:v>water motive energy</x:v>
      </x:c>
      <x:c r="H243" s="7" t="n">
        <x:v>3</x:v>
      </x:c>
      <x:c r="I243" s="7" t="str"/>
      <x:c r="J243" s="7" t="str"/>
      <x:c r="K243" s="7" t="str"/>
      <x:c r="L243" s="7" t="str"/>
      <x:c r="M243" s="7" t="str"/>
      <x:c r="N243" s="7" t="str"/>
      <x:c r="O243" s="7" t="str">
        <x:f>IF(N243="","OPEN",IF(OR(I243="",J243="",K243="",L243="",M243=""),"FAIL","PASS"))</x:f>
        <x:v>OPEN</x:v>
      </x:c>
    </x:row>
    <x:row r="244">
      <x:c r="B244" s="7" t="str">
        <x:v>CH-PEA-A-X2-16-4</x:v>
      </x:c>
      <x:c r="C244" s="7" t="str">
        <x:v>PEA-A-X2</x:v>
      </x:c>
      <x:c r="D244" s="7" t="str">
        <x:v>BLD-A</x:v>
      </x:c>
      <x:c r="E244" s="7" t="str">
        <x:v>BL-X</x:v>
      </x:c>
      <x:c r="F244" s="7" t="str">
        <x:v>MF-16</x:v>
      </x:c>
      <x:c r="G244" s="7" t="str">
        <x:v>water motive energy</x:v>
      </x:c>
      <x:c r="H244" s="7" t="n">
        <x:v>4</x:v>
      </x:c>
      <x:c r="I244" s="7" t="str"/>
      <x:c r="J244" s="7" t="str"/>
      <x:c r="K244" s="7" t="str"/>
      <x:c r="L244" s="7" t="str"/>
      <x:c r="M244" s="7" t="str"/>
      <x:c r="N244" s="7" t="str"/>
      <x:c r="O244" s="7" t="str">
        <x:f>IF(N244="","OPEN",IF(OR(I244="",J244="",K244="",L244="",M244=""),"FAIL","PASS"))</x:f>
        <x:v>OPEN</x:v>
      </x:c>
    </x:row>
    <x:row r="245">
      <x:c r="B245" s="7" t="str">
        <x:v>CH-PEA-A-X2-16-5</x:v>
      </x:c>
      <x:c r="C245" s="7" t="str">
        <x:v>PEA-A-X2</x:v>
      </x:c>
      <x:c r="D245" s="7" t="str">
        <x:v>BLD-A</x:v>
      </x:c>
      <x:c r="E245" s="7" t="str">
        <x:v>BL-X</x:v>
      </x:c>
      <x:c r="F245" s="7" t="str">
        <x:v>MF-16</x:v>
      </x:c>
      <x:c r="G245" s="7" t="str">
        <x:v>water motive energy</x:v>
      </x:c>
      <x:c r="H245" s="7" t="n">
        <x:v>5</x:v>
      </x:c>
      <x:c r="I245" s="7" t="str"/>
      <x:c r="J245" s="7" t="str"/>
      <x:c r="K245" s="7" t="str"/>
      <x:c r="L245" s="7" t="str"/>
      <x:c r="M245" s="7" t="str"/>
      <x:c r="N245" s="7" t="str"/>
      <x:c r="O245" s="7" t="str">
        <x:f>IF(N245="","OPEN",IF(OR(I245="",J245="",K245="",L245="",M245=""),"FAIL","PASS"))</x:f>
        <x:v>OPEN</x:v>
      </x:c>
    </x:row>
    <x:row r="246">
      <x:c r="B246" s="7" t="str">
        <x:v>CH-PEA-A-X2-16-6</x:v>
      </x:c>
      <x:c r="C246" s="7" t="str">
        <x:v>PEA-A-X2</x:v>
      </x:c>
      <x:c r="D246" s="7" t="str">
        <x:v>BLD-A</x:v>
      </x:c>
      <x:c r="E246" s="7" t="str">
        <x:v>BL-X</x:v>
      </x:c>
      <x:c r="F246" s="7" t="str">
        <x:v>MF-16</x:v>
      </x:c>
      <x:c r="G246" s="7" t="str">
        <x:v>water motive energy</x:v>
      </x:c>
      <x:c r="H246" s="7" t="n">
        <x:v>6</x:v>
      </x:c>
      <x:c r="I246" s="7" t="str"/>
      <x:c r="J246" s="7" t="str"/>
      <x:c r="K246" s="7" t="str"/>
      <x:c r="L246" s="7" t="str"/>
      <x:c r="M246" s="7" t="str"/>
      <x:c r="N246" s="7" t="str"/>
      <x:c r="O246" s="7" t="str">
        <x:f>IF(N246="","OPEN",IF(OR(I246="",J246="",K246="",L246="",M246=""),"FAIL","PASS"))</x:f>
        <x:v>OPEN</x:v>
      </x:c>
    </x:row>
    <x:row r="247">
      <x:c r="B247" s="7" t="str">
        <x:v>CH-PEA-A-X2-17-1</x:v>
      </x:c>
      <x:c r="C247" s="7" t="str">
        <x:v>PEA-A-X2</x:v>
      </x:c>
      <x:c r="D247" s="7" t="str">
        <x:v>BLD-A</x:v>
      </x:c>
      <x:c r="E247" s="7" t="str">
        <x:v>BL-X</x:v>
      </x:c>
      <x:c r="F247" s="7" t="str">
        <x:v>MF-17</x:v>
      </x:c>
      <x:c r="G247" s="7" t="str">
        <x:v>normal power</x:v>
      </x:c>
      <x:c r="H247" s="7" t="n">
        <x:v>1</x:v>
      </x:c>
      <x:c r="I247" s="7" t="str"/>
      <x:c r="J247" s="7" t="str"/>
      <x:c r="K247" s="7" t="str"/>
      <x:c r="L247" s="7" t="str"/>
      <x:c r="M247" s="7" t="str"/>
      <x:c r="N247" s="7" t="str"/>
      <x:c r="O247" s="7" t="str">
        <x:f>IF(N247="","OPEN",IF(OR(I247="",J247="",K247="",L247="",M247=""),"FAIL","PASS"))</x:f>
        <x:v>OPEN</x:v>
      </x:c>
    </x:row>
    <x:row r="248">
      <x:c r="B248" s="7" t="str">
        <x:v>CH-PEA-A-X2-17-2</x:v>
      </x:c>
      <x:c r="C248" s="7" t="str">
        <x:v>PEA-A-X2</x:v>
      </x:c>
      <x:c r="D248" s="7" t="str">
        <x:v>BLD-A</x:v>
      </x:c>
      <x:c r="E248" s="7" t="str">
        <x:v>BL-X</x:v>
      </x:c>
      <x:c r="F248" s="7" t="str">
        <x:v>MF-17</x:v>
      </x:c>
      <x:c r="G248" s="7" t="str">
        <x:v>normal power</x:v>
      </x:c>
      <x:c r="H248" s="7" t="n">
        <x:v>2</x:v>
      </x:c>
      <x:c r="I248" s="7" t="str"/>
      <x:c r="J248" s="7" t="str"/>
      <x:c r="K248" s="7" t="str"/>
      <x:c r="L248" s="7" t="str"/>
      <x:c r="M248" s="7" t="str"/>
      <x:c r="N248" s="7" t="str"/>
      <x:c r="O248" s="7" t="str">
        <x:f>IF(N248="","OPEN",IF(OR(I248="",J248="",K248="",L248="",M248=""),"FAIL","PASS"))</x:f>
        <x:v>OPEN</x:v>
      </x:c>
    </x:row>
    <x:row r="249">
      <x:c r="B249" s="7" t="str">
        <x:v>CH-PEA-A-X2-17-3</x:v>
      </x:c>
      <x:c r="C249" s="7" t="str">
        <x:v>PEA-A-X2</x:v>
      </x:c>
      <x:c r="D249" s="7" t="str">
        <x:v>BLD-A</x:v>
      </x:c>
      <x:c r="E249" s="7" t="str">
        <x:v>BL-X</x:v>
      </x:c>
      <x:c r="F249" s="7" t="str">
        <x:v>MF-17</x:v>
      </x:c>
      <x:c r="G249" s="7" t="str">
        <x:v>normal power</x:v>
      </x:c>
      <x:c r="H249" s="7" t="n">
        <x:v>3</x:v>
      </x:c>
      <x:c r="I249" s="7" t="str"/>
      <x:c r="J249" s="7" t="str"/>
      <x:c r="K249" s="7" t="str"/>
      <x:c r="L249" s="7" t="str"/>
      <x:c r="M249" s="7" t="str"/>
      <x:c r="N249" s="7" t="str"/>
      <x:c r="O249" s="7" t="str">
        <x:f>IF(N249="","OPEN",IF(OR(I249="",J249="",K249="",L249="",M249=""),"FAIL","PASS"))</x:f>
        <x:v>OPEN</x:v>
      </x:c>
    </x:row>
    <x:row r="250">
      <x:c r="B250" s="7" t="str">
        <x:v>CH-PEA-A-X2-17-4</x:v>
      </x:c>
      <x:c r="C250" s="7" t="str">
        <x:v>PEA-A-X2</x:v>
      </x:c>
      <x:c r="D250" s="7" t="str">
        <x:v>BLD-A</x:v>
      </x:c>
      <x:c r="E250" s="7" t="str">
        <x:v>BL-X</x:v>
      </x:c>
      <x:c r="F250" s="7" t="str">
        <x:v>MF-17</x:v>
      </x:c>
      <x:c r="G250" s="7" t="str">
        <x:v>normal power</x:v>
      </x:c>
      <x:c r="H250" s="7" t="n">
        <x:v>4</x:v>
      </x:c>
      <x:c r="I250" s="7" t="str"/>
      <x:c r="J250" s="7" t="str"/>
      <x:c r="K250" s="7" t="str"/>
      <x:c r="L250" s="7" t="str"/>
      <x:c r="M250" s="7" t="str"/>
      <x:c r="N250" s="7" t="str"/>
      <x:c r="O250" s="7" t="str">
        <x:f>IF(N250="","OPEN",IF(OR(I250="",J250="",K250="",L250="",M250=""),"FAIL","PASS"))</x:f>
        <x:v>OPEN</x:v>
      </x:c>
    </x:row>
    <x:row r="251">
      <x:c r="B251" s="7" t="str">
        <x:v>CH-PEA-A-X2-17-5</x:v>
      </x:c>
      <x:c r="C251" s="7" t="str">
        <x:v>PEA-A-X2</x:v>
      </x:c>
      <x:c r="D251" s="7" t="str">
        <x:v>BLD-A</x:v>
      </x:c>
      <x:c r="E251" s="7" t="str">
        <x:v>BL-X</x:v>
      </x:c>
      <x:c r="F251" s="7" t="str">
        <x:v>MF-17</x:v>
      </x:c>
      <x:c r="G251" s="7" t="str">
        <x:v>normal power</x:v>
      </x:c>
      <x:c r="H251" s="7" t="n">
        <x:v>5</x:v>
      </x:c>
      <x:c r="I251" s="7" t="str"/>
      <x:c r="J251" s="7" t="str"/>
      <x:c r="K251" s="7" t="str"/>
      <x:c r="L251" s="7" t="str"/>
      <x:c r="M251" s="7" t="str"/>
      <x:c r="N251" s="7" t="str"/>
      <x:c r="O251" s="7" t="str">
        <x:f>IF(N251="","OPEN",IF(OR(I251="",J251="",K251="",L251="",M251=""),"FAIL","PASS"))</x:f>
        <x:v>OPEN</x:v>
      </x:c>
    </x:row>
    <x:row r="252">
      <x:c r="B252" s="7" t="str">
        <x:v>CH-PEA-A-X2-17-6</x:v>
      </x:c>
      <x:c r="C252" s="7" t="str">
        <x:v>PEA-A-X2</x:v>
      </x:c>
      <x:c r="D252" s="7" t="str">
        <x:v>BLD-A</x:v>
      </x:c>
      <x:c r="E252" s="7" t="str">
        <x:v>BL-X</x:v>
      </x:c>
      <x:c r="F252" s="7" t="str">
        <x:v>MF-17</x:v>
      </x:c>
      <x:c r="G252" s="7" t="str">
        <x:v>normal power</x:v>
      </x:c>
      <x:c r="H252" s="7" t="n">
        <x:v>6</x:v>
      </x:c>
      <x:c r="I252" s="7" t="str"/>
      <x:c r="J252" s="7" t="str"/>
      <x:c r="K252" s="7" t="str"/>
      <x:c r="L252" s="7" t="str"/>
      <x:c r="M252" s="7" t="str"/>
      <x:c r="N252" s="7" t="str"/>
      <x:c r="O252" s="7" t="str">
        <x:f>IF(N252="","OPEN",IF(OR(I252="",J252="",K252="",L252="",M252=""),"FAIL","PASS"))</x:f>
        <x:v>OPEN</x:v>
      </x:c>
    </x:row>
    <x:row r="253">
      <x:c r="B253" s="7" t="str">
        <x:v>CH-PEA-A-X2-18-1</x:v>
      </x:c>
      <x:c r="C253" s="7" t="str">
        <x:v>PEA-A-X2</x:v>
      </x:c>
      <x:c r="D253" s="7" t="str">
        <x:v>BLD-A</x:v>
      </x:c>
      <x:c r="E253" s="7" t="str">
        <x:v>BL-X</x:v>
      </x:c>
      <x:c r="F253" s="7" t="str">
        <x:v>MF-18</x:v>
      </x:c>
      <x:c r="G253" s="7" t="str">
        <x:v>independent power</x:v>
      </x:c>
      <x:c r="H253" s="7" t="n">
        <x:v>1</x:v>
      </x:c>
      <x:c r="I253" s="7" t="str"/>
      <x:c r="J253" s="7" t="str"/>
      <x:c r="K253" s="7" t="str"/>
      <x:c r="L253" s="7" t="str"/>
      <x:c r="M253" s="7" t="str"/>
      <x:c r="N253" s="7" t="str"/>
      <x:c r="O253" s="7" t="str">
        <x:f>IF(N253="","OPEN",IF(OR(I253="",J253="",K253="",L253="",M253=""),"FAIL","PASS"))</x:f>
        <x:v>OPEN</x:v>
      </x:c>
    </x:row>
    <x:row r="254">
      <x:c r="B254" s="7" t="str">
        <x:v>CH-PEA-A-X2-18-2</x:v>
      </x:c>
      <x:c r="C254" s="7" t="str">
        <x:v>PEA-A-X2</x:v>
      </x:c>
      <x:c r="D254" s="7" t="str">
        <x:v>BLD-A</x:v>
      </x:c>
      <x:c r="E254" s="7" t="str">
        <x:v>BL-X</x:v>
      </x:c>
      <x:c r="F254" s="7" t="str">
        <x:v>MF-18</x:v>
      </x:c>
      <x:c r="G254" s="7" t="str">
        <x:v>independent power</x:v>
      </x:c>
      <x:c r="H254" s="7" t="n">
        <x:v>2</x:v>
      </x:c>
      <x:c r="I254" s="7" t="str"/>
      <x:c r="J254" s="7" t="str"/>
      <x:c r="K254" s="7" t="str"/>
      <x:c r="L254" s="7" t="str"/>
      <x:c r="M254" s="7" t="str"/>
      <x:c r="N254" s="7" t="str"/>
      <x:c r="O254" s="7" t="str">
        <x:f>IF(N254="","OPEN",IF(OR(I254="",J254="",K254="",L254="",M254=""),"FAIL","PASS"))</x:f>
        <x:v>OPEN</x:v>
      </x:c>
    </x:row>
    <x:row r="255">
      <x:c r="B255" s="7" t="str">
        <x:v>CH-PEA-A-X2-18-3</x:v>
      </x:c>
      <x:c r="C255" s="7" t="str">
        <x:v>PEA-A-X2</x:v>
      </x:c>
      <x:c r="D255" s="7" t="str">
        <x:v>BLD-A</x:v>
      </x:c>
      <x:c r="E255" s="7" t="str">
        <x:v>BL-X</x:v>
      </x:c>
      <x:c r="F255" s="7" t="str">
        <x:v>MF-18</x:v>
      </x:c>
      <x:c r="G255" s="7" t="str">
        <x:v>independent power</x:v>
      </x:c>
      <x:c r="H255" s="7" t="n">
        <x:v>3</x:v>
      </x:c>
      <x:c r="I255" s="7" t="str"/>
      <x:c r="J255" s="7" t="str"/>
      <x:c r="K255" s="7" t="str"/>
      <x:c r="L255" s="7" t="str"/>
      <x:c r="M255" s="7" t="str"/>
      <x:c r="N255" s="7" t="str"/>
      <x:c r="O255" s="7" t="str">
        <x:f>IF(N255="","OPEN",IF(OR(I255="",J255="",K255="",L255="",M255=""),"FAIL","PASS"))</x:f>
        <x:v>OPEN</x:v>
      </x:c>
    </x:row>
    <x:row r="256">
      <x:c r="B256" s="7" t="str">
        <x:v>CH-PEA-A-X2-18-4</x:v>
      </x:c>
      <x:c r="C256" s="7" t="str">
        <x:v>PEA-A-X2</x:v>
      </x:c>
      <x:c r="D256" s="7" t="str">
        <x:v>BLD-A</x:v>
      </x:c>
      <x:c r="E256" s="7" t="str">
        <x:v>BL-X</x:v>
      </x:c>
      <x:c r="F256" s="7" t="str">
        <x:v>MF-18</x:v>
      </x:c>
      <x:c r="G256" s="7" t="str">
        <x:v>independent power</x:v>
      </x:c>
      <x:c r="H256" s="7" t="n">
        <x:v>4</x:v>
      </x:c>
      <x:c r="I256" s="7" t="str"/>
      <x:c r="J256" s="7" t="str"/>
      <x:c r="K256" s="7" t="str"/>
      <x:c r="L256" s="7" t="str"/>
      <x:c r="M256" s="7" t="str"/>
      <x:c r="N256" s="7" t="str"/>
      <x:c r="O256" s="7" t="str">
        <x:f>IF(N256="","OPEN",IF(OR(I256="",J256="",K256="",L256="",M256=""),"FAIL","PASS"))</x:f>
        <x:v>OPEN</x:v>
      </x:c>
    </x:row>
    <x:row r="257">
      <x:c r="B257" s="7" t="str">
        <x:v>CH-PEA-A-X2-18-5</x:v>
      </x:c>
      <x:c r="C257" s="7" t="str">
        <x:v>PEA-A-X2</x:v>
      </x:c>
      <x:c r="D257" s="7" t="str">
        <x:v>BLD-A</x:v>
      </x:c>
      <x:c r="E257" s="7" t="str">
        <x:v>BL-X</x:v>
      </x:c>
      <x:c r="F257" s="7" t="str">
        <x:v>MF-18</x:v>
      </x:c>
      <x:c r="G257" s="7" t="str">
        <x:v>independent power</x:v>
      </x:c>
      <x:c r="H257" s="7" t="n">
        <x:v>5</x:v>
      </x:c>
      <x:c r="I257" s="7" t="str"/>
      <x:c r="J257" s="7" t="str"/>
      <x:c r="K257" s="7" t="str"/>
      <x:c r="L257" s="7" t="str"/>
      <x:c r="M257" s="7" t="str"/>
      <x:c r="N257" s="7" t="str"/>
      <x:c r="O257" s="7" t="str">
        <x:f>IF(N257="","OPEN",IF(OR(I257="",J257="",K257="",L257="",M257=""),"FAIL","PASS"))</x:f>
        <x:v>OPEN</x:v>
      </x:c>
    </x:row>
    <x:row r="258">
      <x:c r="B258" s="7" t="str">
        <x:v>CH-PEA-A-X2-18-6</x:v>
      </x:c>
      <x:c r="C258" s="7" t="str">
        <x:v>PEA-A-X2</x:v>
      </x:c>
      <x:c r="D258" s="7" t="str">
        <x:v>BLD-A</x:v>
      </x:c>
      <x:c r="E258" s="7" t="str">
        <x:v>BL-X</x:v>
      </x:c>
      <x:c r="F258" s="7" t="str">
        <x:v>MF-18</x:v>
      </x:c>
      <x:c r="G258" s="7" t="str">
        <x:v>independent power</x:v>
      </x:c>
      <x:c r="H258" s="7" t="n">
        <x:v>6</x:v>
      </x:c>
      <x:c r="I258" s="7" t="str"/>
      <x:c r="J258" s="7" t="str"/>
      <x:c r="K258" s="7" t="str"/>
      <x:c r="L258" s="7" t="str"/>
      <x:c r="M258" s="7" t="str"/>
      <x:c r="N258" s="7" t="str"/>
      <x:c r="O258" s="7" t="str">
        <x:f>IF(N258="","OPEN",IF(OR(I258="",J258="",K258="",L258="",M258=""),"FAIL","PASS"))</x:f>
        <x:v>OPEN</x:v>
      </x:c>
    </x:row>
    <x:row r="259">
      <x:c r="B259" s="7" t="str">
        <x:v>CH-PEA-A-X2-19-1</x:v>
      </x:c>
      <x:c r="C259" s="7" t="str">
        <x:v>PEA-A-X2</x:v>
      </x:c>
      <x:c r="D259" s="7" t="str">
        <x:v>BLD-A</x:v>
      </x:c>
      <x:c r="E259" s="7" t="str">
        <x:v>BL-X</x:v>
      </x:c>
      <x:c r="F259" s="7" t="str">
        <x:v>MF-19</x:v>
      </x:c>
      <x:c r="G259" s="7" t="str">
        <x:v>leak collection</x:v>
      </x:c>
      <x:c r="H259" s="7" t="n">
        <x:v>1</x:v>
      </x:c>
      <x:c r="I259" s="7" t="str"/>
      <x:c r="J259" s="7" t="str"/>
      <x:c r="K259" s="7" t="str"/>
      <x:c r="L259" s="7" t="str"/>
      <x:c r="M259" s="7" t="str"/>
      <x:c r="N259" s="7" t="str"/>
      <x:c r="O259" s="7" t="str">
        <x:f>IF(N259="","OPEN",IF(OR(I259="",J259="",K259="",L259="",M259=""),"FAIL","PASS"))</x:f>
        <x:v>OPEN</x:v>
      </x:c>
    </x:row>
    <x:row r="260">
      <x:c r="B260" s="7" t="str">
        <x:v>CH-PEA-A-X2-19-2</x:v>
      </x:c>
      <x:c r="C260" s="7" t="str">
        <x:v>PEA-A-X2</x:v>
      </x:c>
      <x:c r="D260" s="7" t="str">
        <x:v>BLD-A</x:v>
      </x:c>
      <x:c r="E260" s="7" t="str">
        <x:v>BL-X</x:v>
      </x:c>
      <x:c r="F260" s="7" t="str">
        <x:v>MF-19</x:v>
      </x:c>
      <x:c r="G260" s="7" t="str">
        <x:v>leak collection</x:v>
      </x:c>
      <x:c r="H260" s="7" t="n">
        <x:v>2</x:v>
      </x:c>
      <x:c r="I260" s="7" t="str"/>
      <x:c r="J260" s="7" t="str"/>
      <x:c r="K260" s="7" t="str"/>
      <x:c r="L260" s="7" t="str"/>
      <x:c r="M260" s="7" t="str"/>
      <x:c r="N260" s="7" t="str"/>
      <x:c r="O260" s="7" t="str">
        <x:f>IF(N260="","OPEN",IF(OR(I260="",J260="",K260="",L260="",M260=""),"FAIL","PASS"))</x:f>
        <x:v>OPEN</x:v>
      </x:c>
    </x:row>
    <x:row r="261">
      <x:c r="B261" s="7" t="str">
        <x:v>CH-PEA-A-X2-19-3</x:v>
      </x:c>
      <x:c r="C261" s="7" t="str">
        <x:v>PEA-A-X2</x:v>
      </x:c>
      <x:c r="D261" s="7" t="str">
        <x:v>BLD-A</x:v>
      </x:c>
      <x:c r="E261" s="7" t="str">
        <x:v>BL-X</x:v>
      </x:c>
      <x:c r="F261" s="7" t="str">
        <x:v>MF-19</x:v>
      </x:c>
      <x:c r="G261" s="7" t="str">
        <x:v>leak collection</x:v>
      </x:c>
      <x:c r="H261" s="7" t="n">
        <x:v>3</x:v>
      </x:c>
      <x:c r="I261" s="7" t="str"/>
      <x:c r="J261" s="7" t="str"/>
      <x:c r="K261" s="7" t="str"/>
      <x:c r="L261" s="7" t="str"/>
      <x:c r="M261" s="7" t="str"/>
      <x:c r="N261" s="7" t="str"/>
      <x:c r="O261" s="7" t="str">
        <x:f>IF(N261="","OPEN",IF(OR(I261="",J261="",K261="",L261="",M261=""),"FAIL","PASS"))</x:f>
        <x:v>OPEN</x:v>
      </x:c>
    </x:row>
    <x:row r="262">
      <x:c r="B262" s="7" t="str">
        <x:v>CH-PEA-A-X2-19-4</x:v>
      </x:c>
      <x:c r="C262" s="7" t="str">
        <x:v>PEA-A-X2</x:v>
      </x:c>
      <x:c r="D262" s="7" t="str">
        <x:v>BLD-A</x:v>
      </x:c>
      <x:c r="E262" s="7" t="str">
        <x:v>BL-X</x:v>
      </x:c>
      <x:c r="F262" s="7" t="str">
        <x:v>MF-19</x:v>
      </x:c>
      <x:c r="G262" s="7" t="str">
        <x:v>leak collection</x:v>
      </x:c>
      <x:c r="H262" s="7" t="n">
        <x:v>4</x:v>
      </x:c>
      <x:c r="I262" s="7" t="str"/>
      <x:c r="J262" s="7" t="str"/>
      <x:c r="K262" s="7" t="str"/>
      <x:c r="L262" s="7" t="str"/>
      <x:c r="M262" s="7" t="str"/>
      <x:c r="N262" s="7" t="str"/>
      <x:c r="O262" s="7" t="str">
        <x:f>IF(N262="","OPEN",IF(OR(I262="",J262="",K262="",L262="",M262=""),"FAIL","PASS"))</x:f>
        <x:v>OPEN</x:v>
      </x:c>
    </x:row>
    <x:row r="263">
      <x:c r="B263" s="7" t="str">
        <x:v>CH-PEA-A-X2-19-5</x:v>
      </x:c>
      <x:c r="C263" s="7" t="str">
        <x:v>PEA-A-X2</x:v>
      </x:c>
      <x:c r="D263" s="7" t="str">
        <x:v>BLD-A</x:v>
      </x:c>
      <x:c r="E263" s="7" t="str">
        <x:v>BL-X</x:v>
      </x:c>
      <x:c r="F263" s="7" t="str">
        <x:v>MF-19</x:v>
      </x:c>
      <x:c r="G263" s="7" t="str">
        <x:v>leak collection</x:v>
      </x:c>
      <x:c r="H263" s="7" t="n">
        <x:v>5</x:v>
      </x:c>
      <x:c r="I263" s="7" t="str"/>
      <x:c r="J263" s="7" t="str"/>
      <x:c r="K263" s="7" t="str"/>
      <x:c r="L263" s="7" t="str"/>
      <x:c r="M263" s="7" t="str"/>
      <x:c r="N263" s="7" t="str"/>
      <x:c r="O263" s="7" t="str">
        <x:f>IF(N263="","OPEN",IF(OR(I263="",J263="",K263="",L263="",M263=""),"FAIL","PASS"))</x:f>
        <x:v>OPEN</x:v>
      </x:c>
    </x:row>
    <x:row r="264">
      <x:c r="B264" s="7" t="str">
        <x:v>CH-PEA-A-X2-19-6</x:v>
      </x:c>
      <x:c r="C264" s="7" t="str">
        <x:v>PEA-A-X2</x:v>
      </x:c>
      <x:c r="D264" s="7" t="str">
        <x:v>BLD-A</x:v>
      </x:c>
      <x:c r="E264" s="7" t="str">
        <x:v>BL-X</x:v>
      </x:c>
      <x:c r="F264" s="7" t="str">
        <x:v>MF-19</x:v>
      </x:c>
      <x:c r="G264" s="7" t="str">
        <x:v>leak collection</x:v>
      </x:c>
      <x:c r="H264" s="7" t="n">
        <x:v>6</x:v>
      </x:c>
      <x:c r="I264" s="7" t="str"/>
      <x:c r="J264" s="7" t="str"/>
      <x:c r="K264" s="7" t="str"/>
      <x:c r="L264" s="7" t="str"/>
      <x:c r="M264" s="7" t="str"/>
      <x:c r="N264" s="7" t="str"/>
      <x:c r="O264" s="7" t="str">
        <x:f>IF(N264="","OPEN",IF(OR(I264="",J264="",K264="",L264="",M264=""),"FAIL","PASS"))</x:f>
        <x:v>OPEN</x:v>
      </x:c>
    </x:row>
    <x:row r="265">
      <x:c r="B265" s="7" t="str">
        <x:v>CH-PEA-A-X2-20-1</x:v>
      </x:c>
      <x:c r="C265" s="7" t="str">
        <x:v>PEA-A-X2</x:v>
      </x:c>
      <x:c r="D265" s="7" t="str">
        <x:v>BLD-A</x:v>
      </x:c>
      <x:c r="E265" s="7" t="str">
        <x:v>BL-X</x:v>
      </x:c>
      <x:c r="F265" s="7" t="str">
        <x:v>MF-20</x:v>
      </x:c>
      <x:c r="G265" s="7" t="str">
        <x:v>occupied-area state</x:v>
      </x:c>
      <x:c r="H265" s="7" t="n">
        <x:v>1</x:v>
      </x:c>
      <x:c r="I265" s="7" t="str"/>
      <x:c r="J265" s="7" t="str"/>
      <x:c r="K265" s="7" t="str"/>
      <x:c r="L265" s="7" t="str"/>
      <x:c r="M265" s="7" t="str"/>
      <x:c r="N265" s="7" t="str"/>
      <x:c r="O265" s="7" t="str">
        <x:f>IF(N265="","OPEN",IF(OR(I265="",J265="",K265="",L265="",M265=""),"FAIL","PASS"))</x:f>
        <x:v>OPEN</x:v>
      </x:c>
    </x:row>
    <x:row r="266">
      <x:c r="B266" s="7" t="str">
        <x:v>CH-PEA-A-X2-20-2</x:v>
      </x:c>
      <x:c r="C266" s="7" t="str">
        <x:v>PEA-A-X2</x:v>
      </x:c>
      <x:c r="D266" s="7" t="str">
        <x:v>BLD-A</x:v>
      </x:c>
      <x:c r="E266" s="7" t="str">
        <x:v>BL-X</x:v>
      </x:c>
      <x:c r="F266" s="7" t="str">
        <x:v>MF-20</x:v>
      </x:c>
      <x:c r="G266" s="7" t="str">
        <x:v>occupied-area state</x:v>
      </x:c>
      <x:c r="H266" s="7" t="n">
        <x:v>2</x:v>
      </x:c>
      <x:c r="I266" s="7" t="str"/>
      <x:c r="J266" s="7" t="str"/>
      <x:c r="K266" s="7" t="str"/>
      <x:c r="L266" s="7" t="str"/>
      <x:c r="M266" s="7" t="str"/>
      <x:c r="N266" s="7" t="str"/>
      <x:c r="O266" s="7" t="str">
        <x:f>IF(N266="","OPEN",IF(OR(I266="",J266="",K266="",L266="",M266=""),"FAIL","PASS"))</x:f>
        <x:v>OPEN</x:v>
      </x:c>
    </x:row>
    <x:row r="267">
      <x:c r="B267" s="7" t="str">
        <x:v>CH-PEA-A-X2-20-3</x:v>
      </x:c>
      <x:c r="C267" s="7" t="str">
        <x:v>PEA-A-X2</x:v>
      </x:c>
      <x:c r="D267" s="7" t="str">
        <x:v>BLD-A</x:v>
      </x:c>
      <x:c r="E267" s="7" t="str">
        <x:v>BL-X</x:v>
      </x:c>
      <x:c r="F267" s="7" t="str">
        <x:v>MF-20</x:v>
      </x:c>
      <x:c r="G267" s="7" t="str">
        <x:v>occupied-area state</x:v>
      </x:c>
      <x:c r="H267" s="7" t="n">
        <x:v>3</x:v>
      </x:c>
      <x:c r="I267" s="7" t="str"/>
      <x:c r="J267" s="7" t="str"/>
      <x:c r="K267" s="7" t="str"/>
      <x:c r="L267" s="7" t="str"/>
      <x:c r="M267" s="7" t="str"/>
      <x:c r="N267" s="7" t="str"/>
      <x:c r="O267" s="7" t="str">
        <x:f>IF(N267="","OPEN",IF(OR(I267="",J267="",K267="",L267="",M267=""),"FAIL","PASS"))</x:f>
        <x:v>OPEN</x:v>
      </x:c>
    </x:row>
    <x:row r="268">
      <x:c r="B268" s="7" t="str">
        <x:v>CH-PEA-A-X2-20-4</x:v>
      </x:c>
      <x:c r="C268" s="7" t="str">
        <x:v>PEA-A-X2</x:v>
      </x:c>
      <x:c r="D268" s="7" t="str">
        <x:v>BLD-A</x:v>
      </x:c>
      <x:c r="E268" s="7" t="str">
        <x:v>BL-X</x:v>
      </x:c>
      <x:c r="F268" s="7" t="str">
        <x:v>MF-20</x:v>
      </x:c>
      <x:c r="G268" s="7" t="str">
        <x:v>occupied-area state</x:v>
      </x:c>
      <x:c r="H268" s="7" t="n">
        <x:v>4</x:v>
      </x:c>
      <x:c r="I268" s="7" t="str"/>
      <x:c r="J268" s="7" t="str"/>
      <x:c r="K268" s="7" t="str"/>
      <x:c r="L268" s="7" t="str"/>
      <x:c r="M268" s="7" t="str"/>
      <x:c r="N268" s="7" t="str"/>
      <x:c r="O268" s="7" t="str">
        <x:f>IF(N268="","OPEN",IF(OR(I268="",J268="",K268="",L268="",M268=""),"FAIL","PASS"))</x:f>
        <x:v>OPEN</x:v>
      </x:c>
    </x:row>
    <x:row r="269">
      <x:c r="B269" s="7" t="str">
        <x:v>CH-PEA-A-X2-20-5</x:v>
      </x:c>
      <x:c r="C269" s="7" t="str">
        <x:v>PEA-A-X2</x:v>
      </x:c>
      <x:c r="D269" s="7" t="str">
        <x:v>BLD-A</x:v>
      </x:c>
      <x:c r="E269" s="7" t="str">
        <x:v>BL-X</x:v>
      </x:c>
      <x:c r="F269" s="7" t="str">
        <x:v>MF-20</x:v>
      </x:c>
      <x:c r="G269" s="7" t="str">
        <x:v>occupied-area state</x:v>
      </x:c>
      <x:c r="H269" s="7" t="n">
        <x:v>5</x:v>
      </x:c>
      <x:c r="I269" s="7" t="str"/>
      <x:c r="J269" s="7" t="str"/>
      <x:c r="K269" s="7" t="str"/>
      <x:c r="L269" s="7" t="str"/>
      <x:c r="M269" s="7" t="str"/>
      <x:c r="N269" s="7" t="str"/>
      <x:c r="O269" s="7" t="str">
        <x:f>IF(N269="","OPEN",IF(OR(I269="",J269="",K269="",L269="",M269=""),"FAIL","PASS"))</x:f>
        <x:v>OPEN</x:v>
      </x:c>
    </x:row>
    <x:row r="270">
      <x:c r="B270" s="7" t="str">
        <x:v>CH-PEA-A-X2-20-6</x:v>
      </x:c>
      <x:c r="C270" s="7" t="str">
        <x:v>PEA-A-X2</x:v>
      </x:c>
      <x:c r="D270" s="7" t="str">
        <x:v>BLD-A</x:v>
      </x:c>
      <x:c r="E270" s="7" t="str">
        <x:v>BL-X</x:v>
      </x:c>
      <x:c r="F270" s="7" t="str">
        <x:v>MF-20</x:v>
      </x:c>
      <x:c r="G270" s="7" t="str">
        <x:v>occupied-area state</x:v>
      </x:c>
      <x:c r="H270" s="7" t="n">
        <x:v>6</x:v>
      </x:c>
      <x:c r="I270" s="7" t="str"/>
      <x:c r="J270" s="7" t="str"/>
      <x:c r="K270" s="7" t="str"/>
      <x:c r="L270" s="7" t="str"/>
      <x:c r="M270" s="7" t="str"/>
      <x:c r="N270" s="7" t="str"/>
      <x:c r="O270" s="7" t="str">
        <x:f>IF(N270="","OPEN",IF(OR(I270="",J270="",K270="",L270="",M270=""),"FAIL","PASS"))</x:f>
        <x:v>OPEN</x:v>
      </x:c>
    </x:row>
    <x:row r="271">
      <x:c r="B271" s="7" t="str">
        <x:v>CH-PEA-A-X2-21-1</x:v>
      </x:c>
      <x:c r="C271" s="7" t="str">
        <x:v>PEA-A-X2</x:v>
      </x:c>
      <x:c r="D271" s="7" t="str">
        <x:v>BLD-A</x:v>
      </x:c>
      <x:c r="E271" s="7" t="str">
        <x:v>BL-X</x:v>
      </x:c>
      <x:c r="F271" s="7" t="str">
        <x:v>MF-21</x:v>
      </x:c>
      <x:c r="G271" s="7" t="str">
        <x:v>public-water flow</x:v>
      </x:c>
      <x:c r="H271" s="7" t="n">
        <x:v>1</x:v>
      </x:c>
      <x:c r="I271" s="7" t="str"/>
      <x:c r="J271" s="7" t="str"/>
      <x:c r="K271" s="7" t="str"/>
      <x:c r="L271" s="7" t="str"/>
      <x:c r="M271" s="7" t="str"/>
      <x:c r="N271" s="7" t="str"/>
      <x:c r="O271" s="7" t="str">
        <x:f>IF(N271="","OPEN",IF(OR(I271="",J271="",K271="",L271="",M271=""),"FAIL","PASS"))</x:f>
        <x:v>OPEN</x:v>
      </x:c>
    </x:row>
    <x:row r="272">
      <x:c r="B272" s="7" t="str">
        <x:v>CH-PEA-A-X2-21-2</x:v>
      </x:c>
      <x:c r="C272" s="7" t="str">
        <x:v>PEA-A-X2</x:v>
      </x:c>
      <x:c r="D272" s="7" t="str">
        <x:v>BLD-A</x:v>
      </x:c>
      <x:c r="E272" s="7" t="str">
        <x:v>BL-X</x:v>
      </x:c>
      <x:c r="F272" s="7" t="str">
        <x:v>MF-21</x:v>
      </x:c>
      <x:c r="G272" s="7" t="str">
        <x:v>public-water flow</x:v>
      </x:c>
      <x:c r="H272" s="7" t="n">
        <x:v>2</x:v>
      </x:c>
      <x:c r="I272" s="7" t="str"/>
      <x:c r="J272" s="7" t="str"/>
      <x:c r="K272" s="7" t="str"/>
      <x:c r="L272" s="7" t="str"/>
      <x:c r="M272" s="7" t="str"/>
      <x:c r="N272" s="7" t="str"/>
      <x:c r="O272" s="7" t="str">
        <x:f>IF(N272="","OPEN",IF(OR(I272="",J272="",K272="",L272="",M272=""),"FAIL","PASS"))</x:f>
        <x:v>OPEN</x:v>
      </x:c>
    </x:row>
    <x:row r="273">
      <x:c r="B273" s="7" t="str">
        <x:v>CH-PEA-A-X2-21-3</x:v>
      </x:c>
      <x:c r="C273" s="7" t="str">
        <x:v>PEA-A-X2</x:v>
      </x:c>
      <x:c r="D273" s="7" t="str">
        <x:v>BLD-A</x:v>
      </x:c>
      <x:c r="E273" s="7" t="str">
        <x:v>BL-X</x:v>
      </x:c>
      <x:c r="F273" s="7" t="str">
        <x:v>MF-21</x:v>
      </x:c>
      <x:c r="G273" s="7" t="str">
        <x:v>public-water flow</x:v>
      </x:c>
      <x:c r="H273" s="7" t="n">
        <x:v>3</x:v>
      </x:c>
      <x:c r="I273" s="7" t="str"/>
      <x:c r="J273" s="7" t="str"/>
      <x:c r="K273" s="7" t="str"/>
      <x:c r="L273" s="7" t="str"/>
      <x:c r="M273" s="7" t="str"/>
      <x:c r="N273" s="7" t="str"/>
      <x:c r="O273" s="7" t="str">
        <x:f>IF(N273="","OPEN",IF(OR(I273="",J273="",K273="",L273="",M273=""),"FAIL","PASS"))</x:f>
        <x:v>OPEN</x:v>
      </x:c>
    </x:row>
    <x:row r="274">
      <x:c r="B274" s="7" t="str">
        <x:v>CH-PEA-A-X2-21-4</x:v>
      </x:c>
      <x:c r="C274" s="7" t="str">
        <x:v>PEA-A-X2</x:v>
      </x:c>
      <x:c r="D274" s="7" t="str">
        <x:v>BLD-A</x:v>
      </x:c>
      <x:c r="E274" s="7" t="str">
        <x:v>BL-X</x:v>
      </x:c>
      <x:c r="F274" s="7" t="str">
        <x:v>MF-21</x:v>
      </x:c>
      <x:c r="G274" s="7" t="str">
        <x:v>public-water flow</x:v>
      </x:c>
      <x:c r="H274" s="7" t="n">
        <x:v>4</x:v>
      </x:c>
      <x:c r="I274" s="7" t="str"/>
      <x:c r="J274" s="7" t="str"/>
      <x:c r="K274" s="7" t="str"/>
      <x:c r="L274" s="7" t="str"/>
      <x:c r="M274" s="7" t="str"/>
      <x:c r="N274" s="7" t="str"/>
      <x:c r="O274" s="7" t="str">
        <x:f>IF(N274="","OPEN",IF(OR(I274="",J274="",K274="",L274="",M274=""),"FAIL","PASS"))</x:f>
        <x:v>OPEN</x:v>
      </x:c>
    </x:row>
    <x:row r="275">
      <x:c r="B275" s="7" t="str">
        <x:v>CH-PEA-A-X2-21-5</x:v>
      </x:c>
      <x:c r="C275" s="7" t="str">
        <x:v>PEA-A-X2</x:v>
      </x:c>
      <x:c r="D275" s="7" t="str">
        <x:v>BLD-A</x:v>
      </x:c>
      <x:c r="E275" s="7" t="str">
        <x:v>BL-X</x:v>
      </x:c>
      <x:c r="F275" s="7" t="str">
        <x:v>MF-21</x:v>
      </x:c>
      <x:c r="G275" s="7" t="str">
        <x:v>public-water flow</x:v>
      </x:c>
      <x:c r="H275" s="7" t="n">
        <x:v>5</x:v>
      </x:c>
      <x:c r="I275" s="7" t="str"/>
      <x:c r="J275" s="7" t="str"/>
      <x:c r="K275" s="7" t="str"/>
      <x:c r="L275" s="7" t="str"/>
      <x:c r="M275" s="7" t="str"/>
      <x:c r="N275" s="7" t="str"/>
      <x:c r="O275" s="7" t="str">
        <x:f>IF(N275="","OPEN",IF(OR(I275="",J275="",K275="",L275="",M275=""),"FAIL","PASS"))</x:f>
        <x:v>OPEN</x:v>
      </x:c>
    </x:row>
    <x:row r="276">
      <x:c r="B276" s="7" t="str">
        <x:v>CH-PEA-A-X2-21-6</x:v>
      </x:c>
      <x:c r="C276" s="7" t="str">
        <x:v>PEA-A-X2</x:v>
      </x:c>
      <x:c r="D276" s="7" t="str">
        <x:v>BLD-A</x:v>
      </x:c>
      <x:c r="E276" s="7" t="str">
        <x:v>BL-X</x:v>
      </x:c>
      <x:c r="F276" s="7" t="str">
        <x:v>MF-21</x:v>
      </x:c>
      <x:c r="G276" s="7" t="str">
        <x:v>public-water flow</x:v>
      </x:c>
      <x:c r="H276" s="7" t="n">
        <x:v>6</x:v>
      </x:c>
      <x:c r="I276" s="7" t="str"/>
      <x:c r="J276" s="7" t="str"/>
      <x:c r="K276" s="7" t="str"/>
      <x:c r="L276" s="7" t="str"/>
      <x:c r="M276" s="7" t="str"/>
      <x:c r="N276" s="7" t="str"/>
      <x:c r="O276" s="7" t="str">
        <x:f>IF(N276="","OPEN",IF(OR(I276="",J276="",K276="",L276="",M276=""),"FAIL","PASS"))</x:f>
        <x:v>OPEN</x:v>
      </x:c>
    </x:row>
    <x:row r="277">
      <x:c r="B277" s="7" t="str">
        <x:v>CH-PEA-A-X2-22-1</x:v>
      </x:c>
      <x:c r="C277" s="7" t="str">
        <x:v>PEA-A-X2</x:v>
      </x:c>
      <x:c r="D277" s="7" t="str">
        <x:v>BLD-A</x:v>
      </x:c>
      <x:c r="E277" s="7" t="str">
        <x:v>BL-X</x:v>
      </x:c>
      <x:c r="F277" s="7" t="str">
        <x:v>MF-22</x:v>
      </x:c>
      <x:c r="G277" s="7" t="str">
        <x:v>source ancestry</x:v>
      </x:c>
      <x:c r="H277" s="7" t="n">
        <x:v>1</x:v>
      </x:c>
      <x:c r="I277" s="7" t="str"/>
      <x:c r="J277" s="7" t="str"/>
      <x:c r="K277" s="7" t="str"/>
      <x:c r="L277" s="7" t="str"/>
      <x:c r="M277" s="7" t="str"/>
      <x:c r="N277" s="7" t="str"/>
      <x:c r="O277" s="7" t="str">
        <x:f>IF(N277="","OPEN",IF(OR(I277="",J277="",K277="",L277="",M277=""),"FAIL","PASS"))</x:f>
        <x:v>OPEN</x:v>
      </x:c>
    </x:row>
    <x:row r="278">
      <x:c r="B278" s="7" t="str">
        <x:v>CH-PEA-A-X2-22-2</x:v>
      </x:c>
      <x:c r="C278" s="7" t="str">
        <x:v>PEA-A-X2</x:v>
      </x:c>
      <x:c r="D278" s="7" t="str">
        <x:v>BLD-A</x:v>
      </x:c>
      <x:c r="E278" s="7" t="str">
        <x:v>BL-X</x:v>
      </x:c>
      <x:c r="F278" s="7" t="str">
        <x:v>MF-22</x:v>
      </x:c>
      <x:c r="G278" s="7" t="str">
        <x:v>source ancestry</x:v>
      </x:c>
      <x:c r="H278" s="7" t="n">
        <x:v>2</x:v>
      </x:c>
      <x:c r="I278" s="7" t="str"/>
      <x:c r="J278" s="7" t="str"/>
      <x:c r="K278" s="7" t="str"/>
      <x:c r="L278" s="7" t="str"/>
      <x:c r="M278" s="7" t="str"/>
      <x:c r="N278" s="7" t="str"/>
      <x:c r="O278" s="7" t="str">
        <x:f>IF(N278="","OPEN",IF(OR(I278="",J278="",K278="",L278="",M278=""),"FAIL","PASS"))</x:f>
        <x:v>OPEN</x:v>
      </x:c>
    </x:row>
    <x:row r="279">
      <x:c r="B279" s="7" t="str">
        <x:v>CH-PEA-A-X2-22-3</x:v>
      </x:c>
      <x:c r="C279" s="7" t="str">
        <x:v>PEA-A-X2</x:v>
      </x:c>
      <x:c r="D279" s="7" t="str">
        <x:v>BLD-A</x:v>
      </x:c>
      <x:c r="E279" s="7" t="str">
        <x:v>BL-X</x:v>
      </x:c>
      <x:c r="F279" s="7" t="str">
        <x:v>MF-22</x:v>
      </x:c>
      <x:c r="G279" s="7" t="str">
        <x:v>source ancestry</x:v>
      </x:c>
      <x:c r="H279" s="7" t="n">
        <x:v>3</x:v>
      </x:c>
      <x:c r="I279" s="7" t="str"/>
      <x:c r="J279" s="7" t="str"/>
      <x:c r="K279" s="7" t="str"/>
      <x:c r="L279" s="7" t="str"/>
      <x:c r="M279" s="7" t="str"/>
      <x:c r="N279" s="7" t="str"/>
      <x:c r="O279" s="7" t="str">
        <x:f>IF(N279="","OPEN",IF(OR(I279="",J279="",K279="",L279="",M279=""),"FAIL","PASS"))</x:f>
        <x:v>OPEN</x:v>
      </x:c>
    </x:row>
    <x:row r="280">
      <x:c r="B280" s="7" t="str">
        <x:v>CH-PEA-A-X2-22-4</x:v>
      </x:c>
      <x:c r="C280" s="7" t="str">
        <x:v>PEA-A-X2</x:v>
      </x:c>
      <x:c r="D280" s="7" t="str">
        <x:v>BLD-A</x:v>
      </x:c>
      <x:c r="E280" s="7" t="str">
        <x:v>BL-X</x:v>
      </x:c>
      <x:c r="F280" s="7" t="str">
        <x:v>MF-22</x:v>
      </x:c>
      <x:c r="G280" s="7" t="str">
        <x:v>source ancestry</x:v>
      </x:c>
      <x:c r="H280" s="7" t="n">
        <x:v>4</x:v>
      </x:c>
      <x:c r="I280" s="7" t="str"/>
      <x:c r="J280" s="7" t="str"/>
      <x:c r="K280" s="7" t="str"/>
      <x:c r="L280" s="7" t="str"/>
      <x:c r="M280" s="7" t="str"/>
      <x:c r="N280" s="7" t="str"/>
      <x:c r="O280" s="7" t="str">
        <x:f>IF(N280="","OPEN",IF(OR(I280="",J280="",K280="",L280="",M280=""),"FAIL","PASS"))</x:f>
        <x:v>OPEN</x:v>
      </x:c>
    </x:row>
    <x:row r="281">
      <x:c r="B281" s="7" t="str">
        <x:v>CH-PEA-A-X2-22-5</x:v>
      </x:c>
      <x:c r="C281" s="7" t="str">
        <x:v>PEA-A-X2</x:v>
      </x:c>
      <x:c r="D281" s="7" t="str">
        <x:v>BLD-A</x:v>
      </x:c>
      <x:c r="E281" s="7" t="str">
        <x:v>BL-X</x:v>
      </x:c>
      <x:c r="F281" s="7" t="str">
        <x:v>MF-22</x:v>
      </x:c>
      <x:c r="G281" s="7" t="str">
        <x:v>source ancestry</x:v>
      </x:c>
      <x:c r="H281" s="7" t="n">
        <x:v>5</x:v>
      </x:c>
      <x:c r="I281" s="7" t="str"/>
      <x:c r="J281" s="7" t="str"/>
      <x:c r="K281" s="7" t="str"/>
      <x:c r="L281" s="7" t="str"/>
      <x:c r="M281" s="7" t="str"/>
      <x:c r="N281" s="7" t="str"/>
      <x:c r="O281" s="7" t="str">
        <x:f>IF(N281="","OPEN",IF(OR(I281="",J281="",K281="",L281="",M281=""),"FAIL","PASS"))</x:f>
        <x:v>OPEN</x:v>
      </x:c>
    </x:row>
    <x:row r="282">
      <x:c r="B282" s="7" t="str">
        <x:v>CH-PEA-A-X2-22-6</x:v>
      </x:c>
      <x:c r="C282" s="7" t="str">
        <x:v>PEA-A-X2</x:v>
      </x:c>
      <x:c r="D282" s="7" t="str">
        <x:v>BLD-A</x:v>
      </x:c>
      <x:c r="E282" s="7" t="str">
        <x:v>BL-X</x:v>
      </x:c>
      <x:c r="F282" s="7" t="str">
        <x:v>MF-22</x:v>
      </x:c>
      <x:c r="G282" s="7" t="str">
        <x:v>source ancestry</x:v>
      </x:c>
      <x:c r="H282" s="7" t="n">
        <x:v>6</x:v>
      </x:c>
      <x:c r="I282" s="7" t="str"/>
      <x:c r="J282" s="7" t="str"/>
      <x:c r="K282" s="7" t="str"/>
      <x:c r="L282" s="7" t="str"/>
      <x:c r="M282" s="7" t="str"/>
      <x:c r="N282" s="7" t="str"/>
      <x:c r="O282" s="7" t="str">
        <x:f>IF(N282="","OPEN",IF(OR(I282="",J282="",K282="",L282="",M282=""),"FAIL","PASS"))</x:f>
        <x:v>OPEN</x:v>
      </x:c>
    </x:row>
    <x:row r="283">
      <x:c r="B283" s="7" t="str">
        <x:v>CH-PEA-A-X2-23-1</x:v>
      </x:c>
      <x:c r="C283" s="7" t="str">
        <x:v>PEA-A-X2</x:v>
      </x:c>
      <x:c r="D283" s="7" t="str">
        <x:v>BLD-A</x:v>
      </x:c>
      <x:c r="E283" s="7" t="str">
        <x:v>BL-X</x:v>
      </x:c>
      <x:c r="F283" s="7" t="str">
        <x:v>MF-23</x:v>
      </x:c>
      <x:c r="G283" s="7" t="str">
        <x:v>water ancestry</x:v>
      </x:c>
      <x:c r="H283" s="7" t="n">
        <x:v>1</x:v>
      </x:c>
      <x:c r="I283" s="7" t="str"/>
      <x:c r="J283" s="7" t="str"/>
      <x:c r="K283" s="7" t="str"/>
      <x:c r="L283" s="7" t="str"/>
      <x:c r="M283" s="7" t="str"/>
      <x:c r="N283" s="7" t="str"/>
      <x:c r="O283" s="7" t="str">
        <x:f>IF(N283="","OPEN",IF(OR(I283="",J283="",K283="",L283="",M283=""),"FAIL","PASS"))</x:f>
        <x:v>OPEN</x:v>
      </x:c>
    </x:row>
    <x:row r="284">
      <x:c r="B284" s="7" t="str">
        <x:v>CH-PEA-A-X2-23-2</x:v>
      </x:c>
      <x:c r="C284" s="7" t="str">
        <x:v>PEA-A-X2</x:v>
      </x:c>
      <x:c r="D284" s="7" t="str">
        <x:v>BLD-A</x:v>
      </x:c>
      <x:c r="E284" s="7" t="str">
        <x:v>BL-X</x:v>
      </x:c>
      <x:c r="F284" s="7" t="str">
        <x:v>MF-23</x:v>
      </x:c>
      <x:c r="G284" s="7" t="str">
        <x:v>water ancestry</x:v>
      </x:c>
      <x:c r="H284" s="7" t="n">
        <x:v>2</x:v>
      </x:c>
      <x:c r="I284" s="7" t="str"/>
      <x:c r="J284" s="7" t="str"/>
      <x:c r="K284" s="7" t="str"/>
      <x:c r="L284" s="7" t="str"/>
      <x:c r="M284" s="7" t="str"/>
      <x:c r="N284" s="7" t="str"/>
      <x:c r="O284" s="7" t="str">
        <x:f>IF(N284="","OPEN",IF(OR(I284="",J284="",K284="",L284="",M284=""),"FAIL","PASS"))</x:f>
        <x:v>OPEN</x:v>
      </x:c>
    </x:row>
    <x:row r="285">
      <x:c r="B285" s="7" t="str">
        <x:v>CH-PEA-A-X2-23-3</x:v>
      </x:c>
      <x:c r="C285" s="7" t="str">
        <x:v>PEA-A-X2</x:v>
      </x:c>
      <x:c r="D285" s="7" t="str">
        <x:v>BLD-A</x:v>
      </x:c>
      <x:c r="E285" s="7" t="str">
        <x:v>BL-X</x:v>
      </x:c>
      <x:c r="F285" s="7" t="str">
        <x:v>MF-23</x:v>
      </x:c>
      <x:c r="G285" s="7" t="str">
        <x:v>water ancestry</x:v>
      </x:c>
      <x:c r="H285" s="7" t="n">
        <x:v>3</x:v>
      </x:c>
      <x:c r="I285" s="7" t="str"/>
      <x:c r="J285" s="7" t="str"/>
      <x:c r="K285" s="7" t="str"/>
      <x:c r="L285" s="7" t="str"/>
      <x:c r="M285" s="7" t="str"/>
      <x:c r="N285" s="7" t="str"/>
      <x:c r="O285" s="7" t="str">
        <x:f>IF(N285="","OPEN",IF(OR(I285="",J285="",K285="",L285="",M285=""),"FAIL","PASS"))</x:f>
        <x:v>OPEN</x:v>
      </x:c>
    </x:row>
    <x:row r="286">
      <x:c r="B286" s="7" t="str">
        <x:v>CH-PEA-A-X2-23-4</x:v>
      </x:c>
      <x:c r="C286" s="7" t="str">
        <x:v>PEA-A-X2</x:v>
      </x:c>
      <x:c r="D286" s="7" t="str">
        <x:v>BLD-A</x:v>
      </x:c>
      <x:c r="E286" s="7" t="str">
        <x:v>BL-X</x:v>
      </x:c>
      <x:c r="F286" s="7" t="str">
        <x:v>MF-23</x:v>
      </x:c>
      <x:c r="G286" s="7" t="str">
        <x:v>water ancestry</x:v>
      </x:c>
      <x:c r="H286" s="7" t="n">
        <x:v>4</x:v>
      </x:c>
      <x:c r="I286" s="7" t="str"/>
      <x:c r="J286" s="7" t="str"/>
      <x:c r="K286" s="7" t="str"/>
      <x:c r="L286" s="7" t="str"/>
      <x:c r="M286" s="7" t="str"/>
      <x:c r="N286" s="7" t="str"/>
      <x:c r="O286" s="7" t="str">
        <x:f>IF(N286="","OPEN",IF(OR(I286="",J286="",K286="",L286="",M286=""),"FAIL","PASS"))</x:f>
        <x:v>OPEN</x:v>
      </x:c>
    </x:row>
    <x:row r="287">
      <x:c r="B287" s="7" t="str">
        <x:v>CH-PEA-A-X2-23-5</x:v>
      </x:c>
      <x:c r="C287" s="7" t="str">
        <x:v>PEA-A-X2</x:v>
      </x:c>
      <x:c r="D287" s="7" t="str">
        <x:v>BLD-A</x:v>
      </x:c>
      <x:c r="E287" s="7" t="str">
        <x:v>BL-X</x:v>
      </x:c>
      <x:c r="F287" s="7" t="str">
        <x:v>MF-23</x:v>
      </x:c>
      <x:c r="G287" s="7" t="str">
        <x:v>water ancestry</x:v>
      </x:c>
      <x:c r="H287" s="7" t="n">
        <x:v>5</x:v>
      </x:c>
      <x:c r="I287" s="7" t="str"/>
      <x:c r="J287" s="7" t="str"/>
      <x:c r="K287" s="7" t="str"/>
      <x:c r="L287" s="7" t="str"/>
      <x:c r="M287" s="7" t="str"/>
      <x:c r="N287" s="7" t="str"/>
      <x:c r="O287" s="7" t="str">
        <x:f>IF(N287="","OPEN",IF(OR(I287="",J287="",K287="",L287="",M287=""),"FAIL","PASS"))</x:f>
        <x:v>OPEN</x:v>
      </x:c>
    </x:row>
    <x:row r="288">
      <x:c r="B288" s="7" t="str">
        <x:v>CH-PEA-A-X2-23-6</x:v>
      </x:c>
      <x:c r="C288" s="7" t="str">
        <x:v>PEA-A-X2</x:v>
      </x:c>
      <x:c r="D288" s="7" t="str">
        <x:v>BLD-A</x:v>
      </x:c>
      <x:c r="E288" s="7" t="str">
        <x:v>BL-X</x:v>
      </x:c>
      <x:c r="F288" s="7" t="str">
        <x:v>MF-23</x:v>
      </x:c>
      <x:c r="G288" s="7" t="str">
        <x:v>water ancestry</x:v>
      </x:c>
      <x:c r="H288" s="7" t="n">
        <x:v>6</x:v>
      </x:c>
      <x:c r="I288" s="7" t="str"/>
      <x:c r="J288" s="7" t="str"/>
      <x:c r="K288" s="7" t="str"/>
      <x:c r="L288" s="7" t="str"/>
      <x:c r="M288" s="7" t="str"/>
      <x:c r="N288" s="7" t="str"/>
      <x:c r="O288" s="7" t="str">
        <x:f>IF(N288="","OPEN",IF(OR(I288="",J288="",K288="",L288="",M288=""),"FAIL","PASS"))</x:f>
        <x:v>OPEN</x:v>
      </x:c>
    </x:row>
    <x:row r="289">
      <x:c r="B289" s="7" t="str">
        <x:v>CH-PEA-A-X2-24-1</x:v>
      </x:c>
      <x:c r="C289" s="7" t="str">
        <x:v>PEA-A-X2</x:v>
      </x:c>
      <x:c r="D289" s="7" t="str">
        <x:v>BLD-A</x:v>
      </x:c>
      <x:c r="E289" s="7" t="str">
        <x:v>BL-X</x:v>
      </x:c>
      <x:c r="F289" s="7" t="str">
        <x:v>MF-24</x:v>
      </x:c>
      <x:c r="G289" s="7" t="str">
        <x:v>evidence health</x:v>
      </x:c>
      <x:c r="H289" s="7" t="n">
        <x:v>1</x:v>
      </x:c>
      <x:c r="I289" s="7" t="str"/>
      <x:c r="J289" s="7" t="str"/>
      <x:c r="K289" s="7" t="str"/>
      <x:c r="L289" s="7" t="str"/>
      <x:c r="M289" s="7" t="str"/>
      <x:c r="N289" s="7" t="str"/>
      <x:c r="O289" s="7" t="str">
        <x:f>IF(N289="","OPEN",IF(OR(I289="",J289="",K289="",L289="",M289=""),"FAIL","PASS"))</x:f>
        <x:v>OPEN</x:v>
      </x:c>
    </x:row>
    <x:row r="290">
      <x:c r="B290" s="7" t="str">
        <x:v>CH-PEA-A-X2-24-2</x:v>
      </x:c>
      <x:c r="C290" s="7" t="str">
        <x:v>PEA-A-X2</x:v>
      </x:c>
      <x:c r="D290" s="7" t="str">
        <x:v>BLD-A</x:v>
      </x:c>
      <x:c r="E290" s="7" t="str">
        <x:v>BL-X</x:v>
      </x:c>
      <x:c r="F290" s="7" t="str">
        <x:v>MF-24</x:v>
      </x:c>
      <x:c r="G290" s="7" t="str">
        <x:v>evidence health</x:v>
      </x:c>
      <x:c r="H290" s="7" t="n">
        <x:v>2</x:v>
      </x:c>
      <x:c r="I290" s="7" t="str"/>
      <x:c r="J290" s="7" t="str"/>
      <x:c r="K290" s="7" t="str"/>
      <x:c r="L290" s="7" t="str"/>
      <x:c r="M290" s="7" t="str"/>
      <x:c r="N290" s="7" t="str"/>
      <x:c r="O290" s="7" t="str">
        <x:f>IF(N290="","OPEN",IF(OR(I290="",J290="",K290="",L290="",M290=""),"FAIL","PASS"))</x:f>
        <x:v>OPEN</x:v>
      </x:c>
    </x:row>
    <x:row r="291">
      <x:c r="B291" s="7" t="str">
        <x:v>CH-PEA-A-X2-24-3</x:v>
      </x:c>
      <x:c r="C291" s="7" t="str">
        <x:v>PEA-A-X2</x:v>
      </x:c>
      <x:c r="D291" s="7" t="str">
        <x:v>BLD-A</x:v>
      </x:c>
      <x:c r="E291" s="7" t="str">
        <x:v>BL-X</x:v>
      </x:c>
      <x:c r="F291" s="7" t="str">
        <x:v>MF-24</x:v>
      </x:c>
      <x:c r="G291" s="7" t="str">
        <x:v>evidence health</x:v>
      </x:c>
      <x:c r="H291" s="7" t="n">
        <x:v>3</x:v>
      </x:c>
      <x:c r="I291" s="7" t="str"/>
      <x:c r="J291" s="7" t="str"/>
      <x:c r="K291" s="7" t="str"/>
      <x:c r="L291" s="7" t="str"/>
      <x:c r="M291" s="7" t="str"/>
      <x:c r="N291" s="7" t="str"/>
      <x:c r="O291" s="7" t="str">
        <x:f>IF(N291="","OPEN",IF(OR(I291="",J291="",K291="",L291="",M291=""),"FAIL","PASS"))</x:f>
        <x:v>OPEN</x:v>
      </x:c>
    </x:row>
    <x:row r="292">
      <x:c r="B292" s="7" t="str">
        <x:v>CH-PEA-A-X2-24-4</x:v>
      </x:c>
      <x:c r="C292" s="7" t="str">
        <x:v>PEA-A-X2</x:v>
      </x:c>
      <x:c r="D292" s="7" t="str">
        <x:v>BLD-A</x:v>
      </x:c>
      <x:c r="E292" s="7" t="str">
        <x:v>BL-X</x:v>
      </x:c>
      <x:c r="F292" s="7" t="str">
        <x:v>MF-24</x:v>
      </x:c>
      <x:c r="G292" s="7" t="str">
        <x:v>evidence health</x:v>
      </x:c>
      <x:c r="H292" s="7" t="n">
        <x:v>4</x:v>
      </x:c>
      <x:c r="I292" s="7" t="str"/>
      <x:c r="J292" s="7" t="str"/>
      <x:c r="K292" s="7" t="str"/>
      <x:c r="L292" s="7" t="str"/>
      <x:c r="M292" s="7" t="str"/>
      <x:c r="N292" s="7" t="str"/>
      <x:c r="O292" s="7" t="str">
        <x:f>IF(N292="","OPEN",IF(OR(I292="",J292="",K292="",L292="",M292=""),"FAIL","PASS"))</x:f>
        <x:v>OPEN</x:v>
      </x:c>
    </x:row>
    <x:row r="293">
      <x:c r="B293" s="7" t="str">
        <x:v>CH-PEA-A-X2-24-5</x:v>
      </x:c>
      <x:c r="C293" s="7" t="str">
        <x:v>PEA-A-X2</x:v>
      </x:c>
      <x:c r="D293" s="7" t="str">
        <x:v>BLD-A</x:v>
      </x:c>
      <x:c r="E293" s="7" t="str">
        <x:v>BL-X</x:v>
      </x:c>
      <x:c r="F293" s="7" t="str">
        <x:v>MF-24</x:v>
      </x:c>
      <x:c r="G293" s="7" t="str">
        <x:v>evidence health</x:v>
      </x:c>
      <x:c r="H293" s="7" t="n">
        <x:v>5</x:v>
      </x:c>
      <x:c r="I293" s="7" t="str"/>
      <x:c r="J293" s="7" t="str"/>
      <x:c r="K293" s="7" t="str"/>
      <x:c r="L293" s="7" t="str"/>
      <x:c r="M293" s="7" t="str"/>
      <x:c r="N293" s="7" t="str"/>
      <x:c r="O293" s="7" t="str">
        <x:f>IF(N293="","OPEN",IF(OR(I293="",J293="",K293="",L293="",M293=""),"FAIL","PASS"))</x:f>
        <x:v>OPEN</x:v>
      </x:c>
    </x:row>
    <x:row r="294">
      <x:c r="B294" s="7" t="str">
        <x:v>CH-PEA-A-X2-24-6</x:v>
      </x:c>
      <x:c r="C294" s="7" t="str">
        <x:v>PEA-A-X2</x:v>
      </x:c>
      <x:c r="D294" s="7" t="str">
        <x:v>BLD-A</x:v>
      </x:c>
      <x:c r="E294" s="7" t="str">
        <x:v>BL-X</x:v>
      </x:c>
      <x:c r="F294" s="7" t="str">
        <x:v>MF-24</x:v>
      </x:c>
      <x:c r="G294" s="7" t="str">
        <x:v>evidence health</x:v>
      </x:c>
      <x:c r="H294" s="7" t="n">
        <x:v>6</x:v>
      </x:c>
      <x:c r="I294" s="7" t="str"/>
      <x:c r="J294" s="7" t="str"/>
      <x:c r="K294" s="7" t="str"/>
      <x:c r="L294" s="7" t="str"/>
      <x:c r="M294" s="7" t="str"/>
      <x:c r="N294" s="7" t="str"/>
      <x:c r="O294" s="7" t="str">
        <x:f>IF(N294="","OPEN",IF(OR(I294="",J294="",K294="",L294="",M294=""),"FAIL","PASS"))</x:f>
        <x:v>OPEN</x:v>
      </x:c>
    </x:row>
    <x:row r="295">
      <x:c r="B295" s="7" t="str">
        <x:v>CH-PEA-A-X3-01-1</x:v>
      </x:c>
      <x:c r="C295" s="7" t="str">
        <x:v>PEA-A-X3</x:v>
      </x:c>
      <x:c r="D295" s="7" t="str">
        <x:v>BLD-A</x:v>
      </x:c>
      <x:c r="E295" s="7" t="str">
        <x:v>BL-X</x:v>
      </x:c>
      <x:c r="F295" s="7" t="str">
        <x:v>MF-01</x:v>
      </x:c>
      <x:c r="G295" s="7" t="str">
        <x:v>source vessel mass</x:v>
      </x:c>
      <x:c r="H295" s="7" t="n">
        <x:v>1</x:v>
      </x:c>
      <x:c r="I295" s="7" t="str"/>
      <x:c r="J295" s="7" t="str"/>
      <x:c r="K295" s="7" t="str"/>
      <x:c r="L295" s="7" t="str"/>
      <x:c r="M295" s="7" t="str"/>
      <x:c r="N295" s="7" t="str"/>
      <x:c r="O295" s="7" t="str">
        <x:f>IF(N295="","OPEN",IF(OR(I295="",J295="",K295="",L295="",M295=""),"FAIL","PASS"))</x:f>
        <x:v>OPEN</x:v>
      </x:c>
    </x:row>
    <x:row r="296">
      <x:c r="B296" s="7" t="str">
        <x:v>CH-PEA-A-X3-01-2</x:v>
      </x:c>
      <x:c r="C296" s="7" t="str">
        <x:v>PEA-A-X3</x:v>
      </x:c>
      <x:c r="D296" s="7" t="str">
        <x:v>BLD-A</x:v>
      </x:c>
      <x:c r="E296" s="7" t="str">
        <x:v>BL-X</x:v>
      </x:c>
      <x:c r="F296" s="7" t="str">
        <x:v>MF-01</x:v>
      </x:c>
      <x:c r="G296" s="7" t="str">
        <x:v>source vessel mass</x:v>
      </x:c>
      <x:c r="H296" s="7" t="n">
        <x:v>2</x:v>
      </x:c>
      <x:c r="I296" s="7" t="str"/>
      <x:c r="J296" s="7" t="str"/>
      <x:c r="K296" s="7" t="str"/>
      <x:c r="L296" s="7" t="str"/>
      <x:c r="M296" s="7" t="str"/>
      <x:c r="N296" s="7" t="str"/>
      <x:c r="O296" s="7" t="str">
        <x:f>IF(N296="","OPEN",IF(OR(I296="",J296="",K296="",L296="",M296=""),"FAIL","PASS"))</x:f>
        <x:v>OPEN</x:v>
      </x:c>
    </x:row>
    <x:row r="297">
      <x:c r="B297" s="7" t="str">
        <x:v>CH-PEA-A-X3-01-3</x:v>
      </x:c>
      <x:c r="C297" s="7" t="str">
        <x:v>PEA-A-X3</x:v>
      </x:c>
      <x:c r="D297" s="7" t="str">
        <x:v>BLD-A</x:v>
      </x:c>
      <x:c r="E297" s="7" t="str">
        <x:v>BL-X</x:v>
      </x:c>
      <x:c r="F297" s="7" t="str">
        <x:v>MF-01</x:v>
      </x:c>
      <x:c r="G297" s="7" t="str">
        <x:v>source vessel mass</x:v>
      </x:c>
      <x:c r="H297" s="7" t="n">
        <x:v>3</x:v>
      </x:c>
      <x:c r="I297" s="7" t="str"/>
      <x:c r="J297" s="7" t="str"/>
      <x:c r="K297" s="7" t="str"/>
      <x:c r="L297" s="7" t="str"/>
      <x:c r="M297" s="7" t="str"/>
      <x:c r="N297" s="7" t="str"/>
      <x:c r="O297" s="7" t="str">
        <x:f>IF(N297="","OPEN",IF(OR(I297="",J297="",K297="",L297="",M297=""),"FAIL","PASS"))</x:f>
        <x:v>OPEN</x:v>
      </x:c>
    </x:row>
    <x:row r="298">
      <x:c r="B298" s="7" t="str">
        <x:v>CH-PEA-A-X3-01-4</x:v>
      </x:c>
      <x:c r="C298" s="7" t="str">
        <x:v>PEA-A-X3</x:v>
      </x:c>
      <x:c r="D298" s="7" t="str">
        <x:v>BLD-A</x:v>
      </x:c>
      <x:c r="E298" s="7" t="str">
        <x:v>BL-X</x:v>
      </x:c>
      <x:c r="F298" s="7" t="str">
        <x:v>MF-01</x:v>
      </x:c>
      <x:c r="G298" s="7" t="str">
        <x:v>source vessel mass</x:v>
      </x:c>
      <x:c r="H298" s="7" t="n">
        <x:v>4</x:v>
      </x:c>
      <x:c r="I298" s="7" t="str"/>
      <x:c r="J298" s="7" t="str"/>
      <x:c r="K298" s="7" t="str"/>
      <x:c r="L298" s="7" t="str"/>
      <x:c r="M298" s="7" t="str"/>
      <x:c r="N298" s="7" t="str"/>
      <x:c r="O298" s="7" t="str">
        <x:f>IF(N298="","OPEN",IF(OR(I298="",J298="",K298="",L298="",M298=""),"FAIL","PASS"))</x:f>
        <x:v>OPEN</x:v>
      </x:c>
    </x:row>
    <x:row r="299">
      <x:c r="B299" s="7" t="str">
        <x:v>CH-PEA-A-X3-01-5</x:v>
      </x:c>
      <x:c r="C299" s="7" t="str">
        <x:v>PEA-A-X3</x:v>
      </x:c>
      <x:c r="D299" s="7" t="str">
        <x:v>BLD-A</x:v>
      </x:c>
      <x:c r="E299" s="7" t="str">
        <x:v>BL-X</x:v>
      </x:c>
      <x:c r="F299" s="7" t="str">
        <x:v>MF-01</x:v>
      </x:c>
      <x:c r="G299" s="7" t="str">
        <x:v>source vessel mass</x:v>
      </x:c>
      <x:c r="H299" s="7" t="n">
        <x:v>5</x:v>
      </x:c>
      <x:c r="I299" s="7" t="str"/>
      <x:c r="J299" s="7" t="str"/>
      <x:c r="K299" s="7" t="str"/>
      <x:c r="L299" s="7" t="str"/>
      <x:c r="M299" s="7" t="str"/>
      <x:c r="N299" s="7" t="str"/>
      <x:c r="O299" s="7" t="str">
        <x:f>IF(N299="","OPEN",IF(OR(I299="",J299="",K299="",L299="",M299=""),"FAIL","PASS"))</x:f>
        <x:v>OPEN</x:v>
      </x:c>
    </x:row>
    <x:row r="300">
      <x:c r="B300" s="7" t="str">
        <x:v>CH-PEA-A-X3-01-6</x:v>
      </x:c>
      <x:c r="C300" s="7" t="str">
        <x:v>PEA-A-X3</x:v>
      </x:c>
      <x:c r="D300" s="7" t="str">
        <x:v>BLD-A</x:v>
      </x:c>
      <x:c r="E300" s="7" t="str">
        <x:v>BL-X</x:v>
      </x:c>
      <x:c r="F300" s="7" t="str">
        <x:v>MF-01</x:v>
      </x:c>
      <x:c r="G300" s="7" t="str">
        <x:v>source vessel mass</x:v>
      </x:c>
      <x:c r="H300" s="7" t="n">
        <x:v>6</x:v>
      </x:c>
      <x:c r="I300" s="7" t="str"/>
      <x:c r="J300" s="7" t="str"/>
      <x:c r="K300" s="7" t="str"/>
      <x:c r="L300" s="7" t="str"/>
      <x:c r="M300" s="7" t="str"/>
      <x:c r="N300" s="7" t="str"/>
      <x:c r="O300" s="7" t="str">
        <x:f>IF(N300="","OPEN",IF(OR(I300="",J300="",K300="",L300="",M300=""),"FAIL","PASS"))</x:f>
        <x:v>OPEN</x:v>
      </x:c>
    </x:row>
    <x:row r="301">
      <x:c r="B301" s="7" t="str">
        <x:v>CH-PEA-A-X3-02-1</x:v>
      </x:c>
      <x:c r="C301" s="7" t="str">
        <x:v>PEA-A-X3</x:v>
      </x:c>
      <x:c r="D301" s="7" t="str">
        <x:v>BLD-A</x:v>
      </x:c>
      <x:c r="E301" s="7" t="str">
        <x:v>BL-X</x:v>
      </x:c>
      <x:c r="F301" s="7" t="str">
        <x:v>MF-02</x:v>
      </x:c>
      <x:c r="G301" s="7" t="str">
        <x:v>transfer mass</x:v>
      </x:c>
      <x:c r="H301" s="7" t="n">
        <x:v>1</x:v>
      </x:c>
      <x:c r="I301" s="7" t="str"/>
      <x:c r="J301" s="7" t="str"/>
      <x:c r="K301" s="7" t="str"/>
      <x:c r="L301" s="7" t="str"/>
      <x:c r="M301" s="7" t="str"/>
      <x:c r="N301" s="7" t="str"/>
      <x:c r="O301" s="7" t="str">
        <x:f>IF(N301="","OPEN",IF(OR(I301="",J301="",K301="",L301="",M301=""),"FAIL","PASS"))</x:f>
        <x:v>OPEN</x:v>
      </x:c>
    </x:row>
    <x:row r="302">
      <x:c r="B302" s="7" t="str">
        <x:v>CH-PEA-A-X3-02-2</x:v>
      </x:c>
      <x:c r="C302" s="7" t="str">
        <x:v>PEA-A-X3</x:v>
      </x:c>
      <x:c r="D302" s="7" t="str">
        <x:v>BLD-A</x:v>
      </x:c>
      <x:c r="E302" s="7" t="str">
        <x:v>BL-X</x:v>
      </x:c>
      <x:c r="F302" s="7" t="str">
        <x:v>MF-02</x:v>
      </x:c>
      <x:c r="G302" s="7" t="str">
        <x:v>transfer mass</x:v>
      </x:c>
      <x:c r="H302" s="7" t="n">
        <x:v>2</x:v>
      </x:c>
      <x:c r="I302" s="7" t="str"/>
      <x:c r="J302" s="7" t="str"/>
      <x:c r="K302" s="7" t="str"/>
      <x:c r="L302" s="7" t="str"/>
      <x:c r="M302" s="7" t="str"/>
      <x:c r="N302" s="7" t="str"/>
      <x:c r="O302" s="7" t="str">
        <x:f>IF(N302="","OPEN",IF(OR(I302="",J302="",K302="",L302="",M302=""),"FAIL","PASS"))</x:f>
        <x:v>OPEN</x:v>
      </x:c>
    </x:row>
    <x:row r="303">
      <x:c r="B303" s="7" t="str">
        <x:v>CH-PEA-A-X3-02-3</x:v>
      </x:c>
      <x:c r="C303" s="7" t="str">
        <x:v>PEA-A-X3</x:v>
      </x:c>
      <x:c r="D303" s="7" t="str">
        <x:v>BLD-A</x:v>
      </x:c>
      <x:c r="E303" s="7" t="str">
        <x:v>BL-X</x:v>
      </x:c>
      <x:c r="F303" s="7" t="str">
        <x:v>MF-02</x:v>
      </x:c>
      <x:c r="G303" s="7" t="str">
        <x:v>transfer mass</x:v>
      </x:c>
      <x:c r="H303" s="7" t="n">
        <x:v>3</x:v>
      </x:c>
      <x:c r="I303" s="7" t="str"/>
      <x:c r="J303" s="7" t="str"/>
      <x:c r="K303" s="7" t="str"/>
      <x:c r="L303" s="7" t="str"/>
      <x:c r="M303" s="7" t="str"/>
      <x:c r="N303" s="7" t="str"/>
      <x:c r="O303" s="7" t="str">
        <x:f>IF(N303="","OPEN",IF(OR(I303="",J303="",K303="",L303="",M303=""),"FAIL","PASS"))</x:f>
        <x:v>OPEN</x:v>
      </x:c>
    </x:row>
    <x:row r="304">
      <x:c r="B304" s="7" t="str">
        <x:v>CH-PEA-A-X3-02-4</x:v>
      </x:c>
      <x:c r="C304" s="7" t="str">
        <x:v>PEA-A-X3</x:v>
      </x:c>
      <x:c r="D304" s="7" t="str">
        <x:v>BLD-A</x:v>
      </x:c>
      <x:c r="E304" s="7" t="str">
        <x:v>BL-X</x:v>
      </x:c>
      <x:c r="F304" s="7" t="str">
        <x:v>MF-02</x:v>
      </x:c>
      <x:c r="G304" s="7" t="str">
        <x:v>transfer mass</x:v>
      </x:c>
      <x:c r="H304" s="7" t="n">
        <x:v>4</x:v>
      </x:c>
      <x:c r="I304" s="7" t="str"/>
      <x:c r="J304" s="7" t="str"/>
      <x:c r="K304" s="7" t="str"/>
      <x:c r="L304" s="7" t="str"/>
      <x:c r="M304" s="7" t="str"/>
      <x:c r="N304" s="7" t="str"/>
      <x:c r="O304" s="7" t="str">
        <x:f>IF(N304="","OPEN",IF(OR(I304="",J304="",K304="",L304="",M304=""),"FAIL","PASS"))</x:f>
        <x:v>OPEN</x:v>
      </x:c>
    </x:row>
    <x:row r="305">
      <x:c r="B305" s="7" t="str">
        <x:v>CH-PEA-A-X3-02-5</x:v>
      </x:c>
      <x:c r="C305" s="7" t="str">
        <x:v>PEA-A-X3</x:v>
      </x:c>
      <x:c r="D305" s="7" t="str">
        <x:v>BLD-A</x:v>
      </x:c>
      <x:c r="E305" s="7" t="str">
        <x:v>BL-X</x:v>
      </x:c>
      <x:c r="F305" s="7" t="str">
        <x:v>MF-02</x:v>
      </x:c>
      <x:c r="G305" s="7" t="str">
        <x:v>transfer mass</x:v>
      </x:c>
      <x:c r="H305" s="7" t="n">
        <x:v>5</x:v>
      </x:c>
      <x:c r="I305" s="7" t="str"/>
      <x:c r="J305" s="7" t="str"/>
      <x:c r="K305" s="7" t="str"/>
      <x:c r="L305" s="7" t="str"/>
      <x:c r="M305" s="7" t="str"/>
      <x:c r="N305" s="7" t="str"/>
      <x:c r="O305" s="7" t="str">
        <x:f>IF(N305="","OPEN",IF(OR(I305="",J305="",K305="",L305="",M305=""),"FAIL","PASS"))</x:f>
        <x:v>OPEN</x:v>
      </x:c>
    </x:row>
    <x:row r="306">
      <x:c r="B306" s="7" t="str">
        <x:v>CH-PEA-A-X3-02-6</x:v>
      </x:c>
      <x:c r="C306" s="7" t="str">
        <x:v>PEA-A-X3</x:v>
      </x:c>
      <x:c r="D306" s="7" t="str">
        <x:v>BLD-A</x:v>
      </x:c>
      <x:c r="E306" s="7" t="str">
        <x:v>BL-X</x:v>
      </x:c>
      <x:c r="F306" s="7" t="str">
        <x:v>MF-02</x:v>
      </x:c>
      <x:c r="G306" s="7" t="str">
        <x:v>transfer mass</x:v>
      </x:c>
      <x:c r="H306" s="7" t="n">
        <x:v>6</x:v>
      </x:c>
      <x:c r="I306" s="7" t="str"/>
      <x:c r="J306" s="7" t="str"/>
      <x:c r="K306" s="7" t="str"/>
      <x:c r="L306" s="7" t="str"/>
      <x:c r="M306" s="7" t="str"/>
      <x:c r="N306" s="7" t="str"/>
      <x:c r="O306" s="7" t="str">
        <x:f>IF(N306="","OPEN",IF(OR(I306="",J306="",K306="",L306="",M306=""),"FAIL","PASS"))</x:f>
        <x:v>OPEN</x:v>
      </x:c>
    </x:row>
    <x:row r="307">
      <x:c r="B307" s="7" t="str">
        <x:v>CH-PEA-A-X3-03-1</x:v>
      </x:c>
      <x:c r="C307" s="7" t="str">
        <x:v>PEA-A-X3</x:v>
      </x:c>
      <x:c r="D307" s="7" t="str">
        <x:v>BLD-A</x:v>
      </x:c>
      <x:c r="E307" s="7" t="str">
        <x:v>BL-X</x:v>
      </x:c>
      <x:c r="F307" s="7" t="str">
        <x:v>MF-03</x:v>
      </x:c>
      <x:c r="G307" s="7" t="str">
        <x:v>source pressure</x:v>
      </x:c>
      <x:c r="H307" s="7" t="n">
        <x:v>1</x:v>
      </x:c>
      <x:c r="I307" s="7" t="str"/>
      <x:c r="J307" s="7" t="str"/>
      <x:c r="K307" s="7" t="str"/>
      <x:c r="L307" s="7" t="str"/>
      <x:c r="M307" s="7" t="str"/>
      <x:c r="N307" s="7" t="str"/>
      <x:c r="O307" s="7" t="str">
        <x:f>IF(N307="","OPEN",IF(OR(I307="",J307="",K307="",L307="",M307=""),"FAIL","PASS"))</x:f>
        <x:v>OPEN</x:v>
      </x:c>
    </x:row>
    <x:row r="308">
      <x:c r="B308" s="7" t="str">
        <x:v>CH-PEA-A-X3-03-2</x:v>
      </x:c>
      <x:c r="C308" s="7" t="str">
        <x:v>PEA-A-X3</x:v>
      </x:c>
      <x:c r="D308" s="7" t="str">
        <x:v>BLD-A</x:v>
      </x:c>
      <x:c r="E308" s="7" t="str">
        <x:v>BL-X</x:v>
      </x:c>
      <x:c r="F308" s="7" t="str">
        <x:v>MF-03</x:v>
      </x:c>
      <x:c r="G308" s="7" t="str">
        <x:v>source pressure</x:v>
      </x:c>
      <x:c r="H308" s="7" t="n">
        <x:v>2</x:v>
      </x:c>
      <x:c r="I308" s="7" t="str"/>
      <x:c r="J308" s="7" t="str"/>
      <x:c r="K308" s="7" t="str"/>
      <x:c r="L308" s="7" t="str"/>
      <x:c r="M308" s="7" t="str"/>
      <x:c r="N308" s="7" t="str"/>
      <x:c r="O308" s="7" t="str">
        <x:f>IF(N308="","OPEN",IF(OR(I308="",J308="",K308="",L308="",M308=""),"FAIL","PASS"))</x:f>
        <x:v>OPEN</x:v>
      </x:c>
    </x:row>
    <x:row r="309">
      <x:c r="B309" s="7" t="str">
        <x:v>CH-PEA-A-X3-03-3</x:v>
      </x:c>
      <x:c r="C309" s="7" t="str">
        <x:v>PEA-A-X3</x:v>
      </x:c>
      <x:c r="D309" s="7" t="str">
        <x:v>BLD-A</x:v>
      </x:c>
      <x:c r="E309" s="7" t="str">
        <x:v>BL-X</x:v>
      </x:c>
      <x:c r="F309" s="7" t="str">
        <x:v>MF-03</x:v>
      </x:c>
      <x:c r="G309" s="7" t="str">
        <x:v>source pressure</x:v>
      </x:c>
      <x:c r="H309" s="7" t="n">
        <x:v>3</x:v>
      </x:c>
      <x:c r="I309" s="7" t="str"/>
      <x:c r="J309" s="7" t="str"/>
      <x:c r="K309" s="7" t="str"/>
      <x:c r="L309" s="7" t="str"/>
      <x:c r="M309" s="7" t="str"/>
      <x:c r="N309" s="7" t="str"/>
      <x:c r="O309" s="7" t="str">
        <x:f>IF(N309="","OPEN",IF(OR(I309="",J309="",K309="",L309="",M309=""),"FAIL","PASS"))</x:f>
        <x:v>OPEN</x:v>
      </x:c>
    </x:row>
    <x:row r="310">
      <x:c r="B310" s="7" t="str">
        <x:v>CH-PEA-A-X3-03-4</x:v>
      </x:c>
      <x:c r="C310" s="7" t="str">
        <x:v>PEA-A-X3</x:v>
      </x:c>
      <x:c r="D310" s="7" t="str">
        <x:v>BLD-A</x:v>
      </x:c>
      <x:c r="E310" s="7" t="str">
        <x:v>BL-X</x:v>
      </x:c>
      <x:c r="F310" s="7" t="str">
        <x:v>MF-03</x:v>
      </x:c>
      <x:c r="G310" s="7" t="str">
        <x:v>source pressure</x:v>
      </x:c>
      <x:c r="H310" s="7" t="n">
        <x:v>4</x:v>
      </x:c>
      <x:c r="I310" s="7" t="str"/>
      <x:c r="J310" s="7" t="str"/>
      <x:c r="K310" s="7" t="str"/>
      <x:c r="L310" s="7" t="str"/>
      <x:c r="M310" s="7" t="str"/>
      <x:c r="N310" s="7" t="str"/>
      <x:c r="O310" s="7" t="str">
        <x:f>IF(N310="","OPEN",IF(OR(I310="",J310="",K310="",L310="",M310=""),"FAIL","PASS"))</x:f>
        <x:v>OPEN</x:v>
      </x:c>
    </x:row>
    <x:row r="311">
      <x:c r="B311" s="7" t="str">
        <x:v>CH-PEA-A-X3-03-5</x:v>
      </x:c>
      <x:c r="C311" s="7" t="str">
        <x:v>PEA-A-X3</x:v>
      </x:c>
      <x:c r="D311" s="7" t="str">
        <x:v>BLD-A</x:v>
      </x:c>
      <x:c r="E311" s="7" t="str">
        <x:v>BL-X</x:v>
      </x:c>
      <x:c r="F311" s="7" t="str">
        <x:v>MF-03</x:v>
      </x:c>
      <x:c r="G311" s="7" t="str">
        <x:v>source pressure</x:v>
      </x:c>
      <x:c r="H311" s="7" t="n">
        <x:v>5</x:v>
      </x:c>
      <x:c r="I311" s="7" t="str"/>
      <x:c r="J311" s="7" t="str"/>
      <x:c r="K311" s="7" t="str"/>
      <x:c r="L311" s="7" t="str"/>
      <x:c r="M311" s="7" t="str"/>
      <x:c r="N311" s="7" t="str"/>
      <x:c r="O311" s="7" t="str">
        <x:f>IF(N311="","OPEN",IF(OR(I311="",J311="",K311="",L311="",M311=""),"FAIL","PASS"))</x:f>
        <x:v>OPEN</x:v>
      </x:c>
    </x:row>
    <x:row r="312">
      <x:c r="B312" s="7" t="str">
        <x:v>CH-PEA-A-X3-03-6</x:v>
      </x:c>
      <x:c r="C312" s="7" t="str">
        <x:v>PEA-A-X3</x:v>
      </x:c>
      <x:c r="D312" s="7" t="str">
        <x:v>BLD-A</x:v>
      </x:c>
      <x:c r="E312" s="7" t="str">
        <x:v>BL-X</x:v>
      </x:c>
      <x:c r="F312" s="7" t="str">
        <x:v>MF-03</x:v>
      </x:c>
      <x:c r="G312" s="7" t="str">
        <x:v>source pressure</x:v>
      </x:c>
      <x:c r="H312" s="7" t="n">
        <x:v>6</x:v>
      </x:c>
      <x:c r="I312" s="7" t="str"/>
      <x:c r="J312" s="7" t="str"/>
      <x:c r="K312" s="7" t="str"/>
      <x:c r="L312" s="7" t="str"/>
      <x:c r="M312" s="7" t="str"/>
      <x:c r="N312" s="7" t="str"/>
      <x:c r="O312" s="7" t="str">
        <x:f>IF(N312="","OPEN",IF(OR(I312="",J312="",K312="",L312="",M312=""),"FAIL","PASS"))</x:f>
        <x:v>OPEN</x:v>
      </x:c>
    </x:row>
    <x:row r="313">
      <x:c r="B313" s="7" t="str">
        <x:v>CH-PEA-A-X3-04-1</x:v>
      </x:c>
      <x:c r="C313" s="7" t="str">
        <x:v>PEA-A-X3</x:v>
      </x:c>
      <x:c r="D313" s="7" t="str">
        <x:v>BLD-A</x:v>
      </x:c>
      <x:c r="E313" s="7" t="str">
        <x:v>BL-X</x:v>
      </x:c>
      <x:c r="F313" s="7" t="str">
        <x:v>MF-04</x:v>
      </x:c>
      <x:c r="G313" s="7" t="str">
        <x:v>source temperature</x:v>
      </x:c>
      <x:c r="H313" s="7" t="n">
        <x:v>1</x:v>
      </x:c>
      <x:c r="I313" s="7" t="str"/>
      <x:c r="J313" s="7" t="str"/>
      <x:c r="K313" s="7" t="str"/>
      <x:c r="L313" s="7" t="str"/>
      <x:c r="M313" s="7" t="str"/>
      <x:c r="N313" s="7" t="str"/>
      <x:c r="O313" s="7" t="str">
        <x:f>IF(N313="","OPEN",IF(OR(I313="",J313="",K313="",L313="",M313=""),"FAIL","PASS"))</x:f>
        <x:v>OPEN</x:v>
      </x:c>
    </x:row>
    <x:row r="314">
      <x:c r="B314" s="7" t="str">
        <x:v>CH-PEA-A-X3-04-2</x:v>
      </x:c>
      <x:c r="C314" s="7" t="str">
        <x:v>PEA-A-X3</x:v>
      </x:c>
      <x:c r="D314" s="7" t="str">
        <x:v>BLD-A</x:v>
      </x:c>
      <x:c r="E314" s="7" t="str">
        <x:v>BL-X</x:v>
      </x:c>
      <x:c r="F314" s="7" t="str">
        <x:v>MF-04</x:v>
      </x:c>
      <x:c r="G314" s="7" t="str">
        <x:v>source temperature</x:v>
      </x:c>
      <x:c r="H314" s="7" t="n">
        <x:v>2</x:v>
      </x:c>
      <x:c r="I314" s="7" t="str"/>
      <x:c r="J314" s="7" t="str"/>
      <x:c r="K314" s="7" t="str"/>
      <x:c r="L314" s="7" t="str"/>
      <x:c r="M314" s="7" t="str"/>
      <x:c r="N314" s="7" t="str"/>
      <x:c r="O314" s="7" t="str">
        <x:f>IF(N314="","OPEN",IF(OR(I314="",J314="",K314="",L314="",M314=""),"FAIL","PASS"))</x:f>
        <x:v>OPEN</x:v>
      </x:c>
    </x:row>
    <x:row r="315">
      <x:c r="B315" s="7" t="str">
        <x:v>CH-PEA-A-X3-04-3</x:v>
      </x:c>
      <x:c r="C315" s="7" t="str">
        <x:v>PEA-A-X3</x:v>
      </x:c>
      <x:c r="D315" s="7" t="str">
        <x:v>BLD-A</x:v>
      </x:c>
      <x:c r="E315" s="7" t="str">
        <x:v>BL-X</x:v>
      </x:c>
      <x:c r="F315" s="7" t="str">
        <x:v>MF-04</x:v>
      </x:c>
      <x:c r="G315" s="7" t="str">
        <x:v>source temperature</x:v>
      </x:c>
      <x:c r="H315" s="7" t="n">
        <x:v>3</x:v>
      </x:c>
      <x:c r="I315" s="7" t="str"/>
      <x:c r="J315" s="7" t="str"/>
      <x:c r="K315" s="7" t="str"/>
      <x:c r="L315" s="7" t="str"/>
      <x:c r="M315" s="7" t="str"/>
      <x:c r="N315" s="7" t="str"/>
      <x:c r="O315" s="7" t="str">
        <x:f>IF(N315="","OPEN",IF(OR(I315="",J315="",K315="",L315="",M315=""),"FAIL","PASS"))</x:f>
        <x:v>OPEN</x:v>
      </x:c>
    </x:row>
    <x:row r="316">
      <x:c r="B316" s="7" t="str">
        <x:v>CH-PEA-A-X3-04-4</x:v>
      </x:c>
      <x:c r="C316" s="7" t="str">
        <x:v>PEA-A-X3</x:v>
      </x:c>
      <x:c r="D316" s="7" t="str">
        <x:v>BLD-A</x:v>
      </x:c>
      <x:c r="E316" s="7" t="str">
        <x:v>BL-X</x:v>
      </x:c>
      <x:c r="F316" s="7" t="str">
        <x:v>MF-04</x:v>
      </x:c>
      <x:c r="G316" s="7" t="str">
        <x:v>source temperature</x:v>
      </x:c>
      <x:c r="H316" s="7" t="n">
        <x:v>4</x:v>
      </x:c>
      <x:c r="I316" s="7" t="str"/>
      <x:c r="J316" s="7" t="str"/>
      <x:c r="K316" s="7" t="str"/>
      <x:c r="L316" s="7" t="str"/>
      <x:c r="M316" s="7" t="str"/>
      <x:c r="N316" s="7" t="str"/>
      <x:c r="O316" s="7" t="str">
        <x:f>IF(N316="","OPEN",IF(OR(I316="",J316="",K316="",L316="",M316=""),"FAIL","PASS"))</x:f>
        <x:v>OPEN</x:v>
      </x:c>
    </x:row>
    <x:row r="317">
      <x:c r="B317" s="7" t="str">
        <x:v>CH-PEA-A-X3-04-5</x:v>
      </x:c>
      <x:c r="C317" s="7" t="str">
        <x:v>PEA-A-X3</x:v>
      </x:c>
      <x:c r="D317" s="7" t="str">
        <x:v>BLD-A</x:v>
      </x:c>
      <x:c r="E317" s="7" t="str">
        <x:v>BL-X</x:v>
      </x:c>
      <x:c r="F317" s="7" t="str">
        <x:v>MF-04</x:v>
      </x:c>
      <x:c r="G317" s="7" t="str">
        <x:v>source temperature</x:v>
      </x:c>
      <x:c r="H317" s="7" t="n">
        <x:v>5</x:v>
      </x:c>
      <x:c r="I317" s="7" t="str"/>
      <x:c r="J317" s="7" t="str"/>
      <x:c r="K317" s="7" t="str"/>
      <x:c r="L317" s="7" t="str"/>
      <x:c r="M317" s="7" t="str"/>
      <x:c r="N317" s="7" t="str"/>
      <x:c r="O317" s="7" t="str">
        <x:f>IF(N317="","OPEN",IF(OR(I317="",J317="",K317="",L317="",M317=""),"FAIL","PASS"))</x:f>
        <x:v>OPEN</x:v>
      </x:c>
    </x:row>
    <x:row r="318">
      <x:c r="B318" s="7" t="str">
        <x:v>CH-PEA-A-X3-04-6</x:v>
      </x:c>
      <x:c r="C318" s="7" t="str">
        <x:v>PEA-A-X3</x:v>
      </x:c>
      <x:c r="D318" s="7" t="str">
        <x:v>BLD-A</x:v>
      </x:c>
      <x:c r="E318" s="7" t="str">
        <x:v>BL-X</x:v>
      </x:c>
      <x:c r="F318" s="7" t="str">
        <x:v>MF-04</x:v>
      </x:c>
      <x:c r="G318" s="7" t="str">
        <x:v>source temperature</x:v>
      </x:c>
      <x:c r="H318" s="7" t="n">
        <x:v>6</x:v>
      </x:c>
      <x:c r="I318" s="7" t="str"/>
      <x:c r="J318" s="7" t="str"/>
      <x:c r="K318" s="7" t="str"/>
      <x:c r="L318" s="7" t="str"/>
      <x:c r="M318" s="7" t="str"/>
      <x:c r="N318" s="7" t="str"/>
      <x:c r="O318" s="7" t="str">
        <x:f>IF(N318="","OPEN",IF(OR(I318="",J318="",K318="",L318="",M318=""),"FAIL","PASS"))</x:f>
        <x:v>OPEN</x:v>
      </x:c>
    </x:row>
    <x:row r="319">
      <x:c r="B319" s="7" t="str">
        <x:v>CH-PEA-A-X3-05-1</x:v>
      </x:c>
      <x:c r="C319" s="7" t="str">
        <x:v>PEA-A-X3</x:v>
      </x:c>
      <x:c r="D319" s="7" t="str">
        <x:v>BLD-A</x:v>
      </x:c>
      <x:c r="E319" s="7" t="str">
        <x:v>BL-X</x:v>
      </x:c>
      <x:c r="F319" s="7" t="str">
        <x:v>MF-05</x:v>
      </x:c>
      <x:c r="G319" s="7" t="str">
        <x:v>hold-up tomography</x:v>
      </x:c>
      <x:c r="H319" s="7" t="n">
        <x:v>1</x:v>
      </x:c>
      <x:c r="I319" s="7" t="str"/>
      <x:c r="J319" s="7" t="str"/>
      <x:c r="K319" s="7" t="str"/>
      <x:c r="L319" s="7" t="str"/>
      <x:c r="M319" s="7" t="str"/>
      <x:c r="N319" s="7" t="str"/>
      <x:c r="O319" s="7" t="str">
        <x:f>IF(N319="","OPEN",IF(OR(I319="",J319="",K319="",L319="",M319=""),"FAIL","PASS"))</x:f>
        <x:v>OPEN</x:v>
      </x:c>
    </x:row>
    <x:row r="320">
      <x:c r="B320" s="7" t="str">
        <x:v>CH-PEA-A-X3-05-2</x:v>
      </x:c>
      <x:c r="C320" s="7" t="str">
        <x:v>PEA-A-X3</x:v>
      </x:c>
      <x:c r="D320" s="7" t="str">
        <x:v>BLD-A</x:v>
      </x:c>
      <x:c r="E320" s="7" t="str">
        <x:v>BL-X</x:v>
      </x:c>
      <x:c r="F320" s="7" t="str">
        <x:v>MF-05</x:v>
      </x:c>
      <x:c r="G320" s="7" t="str">
        <x:v>hold-up tomography</x:v>
      </x:c>
      <x:c r="H320" s="7" t="n">
        <x:v>2</x:v>
      </x:c>
      <x:c r="I320" s="7" t="str"/>
      <x:c r="J320" s="7" t="str"/>
      <x:c r="K320" s="7" t="str"/>
      <x:c r="L320" s="7" t="str"/>
      <x:c r="M320" s="7" t="str"/>
      <x:c r="N320" s="7" t="str"/>
      <x:c r="O320" s="7" t="str">
        <x:f>IF(N320="","OPEN",IF(OR(I320="",J320="",K320="",L320="",M320=""),"FAIL","PASS"))</x:f>
        <x:v>OPEN</x:v>
      </x:c>
    </x:row>
    <x:row r="321">
      <x:c r="B321" s="7" t="str">
        <x:v>CH-PEA-A-X3-05-3</x:v>
      </x:c>
      <x:c r="C321" s="7" t="str">
        <x:v>PEA-A-X3</x:v>
      </x:c>
      <x:c r="D321" s="7" t="str">
        <x:v>BLD-A</x:v>
      </x:c>
      <x:c r="E321" s="7" t="str">
        <x:v>BL-X</x:v>
      </x:c>
      <x:c r="F321" s="7" t="str">
        <x:v>MF-05</x:v>
      </x:c>
      <x:c r="G321" s="7" t="str">
        <x:v>hold-up tomography</x:v>
      </x:c>
      <x:c r="H321" s="7" t="n">
        <x:v>3</x:v>
      </x:c>
      <x:c r="I321" s="7" t="str"/>
      <x:c r="J321" s="7" t="str"/>
      <x:c r="K321" s="7" t="str"/>
      <x:c r="L321" s="7" t="str"/>
      <x:c r="M321" s="7" t="str"/>
      <x:c r="N321" s="7" t="str"/>
      <x:c r="O321" s="7" t="str">
        <x:f>IF(N321="","OPEN",IF(OR(I321="",J321="",K321="",L321="",M321=""),"FAIL","PASS"))</x:f>
        <x:v>OPEN</x:v>
      </x:c>
    </x:row>
    <x:row r="322">
      <x:c r="B322" s="7" t="str">
        <x:v>CH-PEA-A-X3-05-4</x:v>
      </x:c>
      <x:c r="C322" s="7" t="str">
        <x:v>PEA-A-X3</x:v>
      </x:c>
      <x:c r="D322" s="7" t="str">
        <x:v>BLD-A</x:v>
      </x:c>
      <x:c r="E322" s="7" t="str">
        <x:v>BL-X</x:v>
      </x:c>
      <x:c r="F322" s="7" t="str">
        <x:v>MF-05</x:v>
      </x:c>
      <x:c r="G322" s="7" t="str">
        <x:v>hold-up tomography</x:v>
      </x:c>
      <x:c r="H322" s="7" t="n">
        <x:v>4</x:v>
      </x:c>
      <x:c r="I322" s="7" t="str"/>
      <x:c r="J322" s="7" t="str"/>
      <x:c r="K322" s="7" t="str"/>
      <x:c r="L322" s="7" t="str"/>
      <x:c r="M322" s="7" t="str"/>
      <x:c r="N322" s="7" t="str"/>
      <x:c r="O322" s="7" t="str">
        <x:f>IF(N322="","OPEN",IF(OR(I322="",J322="",K322="",L322="",M322=""),"FAIL","PASS"))</x:f>
        <x:v>OPEN</x:v>
      </x:c>
    </x:row>
    <x:row r="323">
      <x:c r="B323" s="7" t="str">
        <x:v>CH-PEA-A-X3-05-5</x:v>
      </x:c>
      <x:c r="C323" s="7" t="str">
        <x:v>PEA-A-X3</x:v>
      </x:c>
      <x:c r="D323" s="7" t="str">
        <x:v>BLD-A</x:v>
      </x:c>
      <x:c r="E323" s="7" t="str">
        <x:v>BL-X</x:v>
      </x:c>
      <x:c r="F323" s="7" t="str">
        <x:v>MF-05</x:v>
      </x:c>
      <x:c r="G323" s="7" t="str">
        <x:v>hold-up tomography</x:v>
      </x:c>
      <x:c r="H323" s="7" t="n">
        <x:v>5</x:v>
      </x:c>
      <x:c r="I323" s="7" t="str"/>
      <x:c r="J323" s="7" t="str"/>
      <x:c r="K323" s="7" t="str"/>
      <x:c r="L323" s="7" t="str"/>
      <x:c r="M323" s="7" t="str"/>
      <x:c r="N323" s="7" t="str"/>
      <x:c r="O323" s="7" t="str">
        <x:f>IF(N323="","OPEN",IF(OR(I323="",J323="",K323="",L323="",M323=""),"FAIL","PASS"))</x:f>
        <x:v>OPEN</x:v>
      </x:c>
    </x:row>
    <x:row r="324">
      <x:c r="B324" s="7" t="str">
        <x:v>CH-PEA-A-X3-05-6</x:v>
      </x:c>
      <x:c r="C324" s="7" t="str">
        <x:v>PEA-A-X3</x:v>
      </x:c>
      <x:c r="D324" s="7" t="str">
        <x:v>BLD-A</x:v>
      </x:c>
      <x:c r="E324" s="7" t="str">
        <x:v>BL-X</x:v>
      </x:c>
      <x:c r="F324" s="7" t="str">
        <x:v>MF-05</x:v>
      </x:c>
      <x:c r="G324" s="7" t="str">
        <x:v>hold-up tomography</x:v>
      </x:c>
      <x:c r="H324" s="7" t="n">
        <x:v>6</x:v>
      </x:c>
      <x:c r="I324" s="7" t="str"/>
      <x:c r="J324" s="7" t="str"/>
      <x:c r="K324" s="7" t="str"/>
      <x:c r="L324" s="7" t="str"/>
      <x:c r="M324" s="7" t="str"/>
      <x:c r="N324" s="7" t="str"/>
      <x:c r="O324" s="7" t="str">
        <x:f>IF(N324="","OPEN",IF(OR(I324="",J324="",K324="",L324="",M324=""),"FAIL","PASS"))</x:f>
        <x:v>OPEN</x:v>
      </x:c>
    </x:row>
    <x:row r="325">
      <x:c r="B325" s="7" t="str">
        <x:v>CH-PEA-A-X3-06-1</x:v>
      </x:c>
      <x:c r="C325" s="7" t="str">
        <x:v>PEA-A-X3</x:v>
      </x:c>
      <x:c r="D325" s="7" t="str">
        <x:v>BLD-A</x:v>
      </x:c>
      <x:c r="E325" s="7" t="str">
        <x:v>BL-X</x:v>
      </x:c>
      <x:c r="F325" s="7" t="str">
        <x:v>MF-06</x:v>
      </x:c>
      <x:c r="G325" s="7" t="str">
        <x:v>pan level</x:v>
      </x:c>
      <x:c r="H325" s="7" t="n">
        <x:v>1</x:v>
      </x:c>
      <x:c r="I325" s="7" t="str"/>
      <x:c r="J325" s="7" t="str"/>
      <x:c r="K325" s="7" t="str"/>
      <x:c r="L325" s="7" t="str"/>
      <x:c r="M325" s="7" t="str"/>
      <x:c r="N325" s="7" t="str"/>
      <x:c r="O325" s="7" t="str">
        <x:f>IF(N325="","OPEN",IF(OR(I325="",J325="",K325="",L325="",M325=""),"FAIL","PASS"))</x:f>
        <x:v>OPEN</x:v>
      </x:c>
    </x:row>
    <x:row r="326">
      <x:c r="B326" s="7" t="str">
        <x:v>CH-PEA-A-X3-06-2</x:v>
      </x:c>
      <x:c r="C326" s="7" t="str">
        <x:v>PEA-A-X3</x:v>
      </x:c>
      <x:c r="D326" s="7" t="str">
        <x:v>BLD-A</x:v>
      </x:c>
      <x:c r="E326" s="7" t="str">
        <x:v>BL-X</x:v>
      </x:c>
      <x:c r="F326" s="7" t="str">
        <x:v>MF-06</x:v>
      </x:c>
      <x:c r="G326" s="7" t="str">
        <x:v>pan level</x:v>
      </x:c>
      <x:c r="H326" s="7" t="n">
        <x:v>2</x:v>
      </x:c>
      <x:c r="I326" s="7" t="str"/>
      <x:c r="J326" s="7" t="str"/>
      <x:c r="K326" s="7" t="str"/>
      <x:c r="L326" s="7" t="str"/>
      <x:c r="M326" s="7" t="str"/>
      <x:c r="N326" s="7" t="str"/>
      <x:c r="O326" s="7" t="str">
        <x:f>IF(N326="","OPEN",IF(OR(I326="",J326="",K326="",L326="",M326=""),"FAIL","PASS"))</x:f>
        <x:v>OPEN</x:v>
      </x:c>
    </x:row>
    <x:row r="327">
      <x:c r="B327" s="7" t="str">
        <x:v>CH-PEA-A-X3-06-3</x:v>
      </x:c>
      <x:c r="C327" s="7" t="str">
        <x:v>PEA-A-X3</x:v>
      </x:c>
      <x:c r="D327" s="7" t="str">
        <x:v>BLD-A</x:v>
      </x:c>
      <x:c r="E327" s="7" t="str">
        <x:v>BL-X</x:v>
      </x:c>
      <x:c r="F327" s="7" t="str">
        <x:v>MF-06</x:v>
      </x:c>
      <x:c r="G327" s="7" t="str">
        <x:v>pan level</x:v>
      </x:c>
      <x:c r="H327" s="7" t="n">
        <x:v>3</x:v>
      </x:c>
      <x:c r="I327" s="7" t="str"/>
      <x:c r="J327" s="7" t="str"/>
      <x:c r="K327" s="7" t="str"/>
      <x:c r="L327" s="7" t="str"/>
      <x:c r="M327" s="7" t="str"/>
      <x:c r="N327" s="7" t="str"/>
      <x:c r="O327" s="7" t="str">
        <x:f>IF(N327="","OPEN",IF(OR(I327="",J327="",K327="",L327="",M327=""),"FAIL","PASS"))</x:f>
        <x:v>OPEN</x:v>
      </x:c>
    </x:row>
    <x:row r="328">
      <x:c r="B328" s="7" t="str">
        <x:v>CH-PEA-A-X3-06-4</x:v>
      </x:c>
      <x:c r="C328" s="7" t="str">
        <x:v>PEA-A-X3</x:v>
      </x:c>
      <x:c r="D328" s="7" t="str">
        <x:v>BLD-A</x:v>
      </x:c>
      <x:c r="E328" s="7" t="str">
        <x:v>BL-X</x:v>
      </x:c>
      <x:c r="F328" s="7" t="str">
        <x:v>MF-06</x:v>
      </x:c>
      <x:c r="G328" s="7" t="str">
        <x:v>pan level</x:v>
      </x:c>
      <x:c r="H328" s="7" t="n">
        <x:v>4</x:v>
      </x:c>
      <x:c r="I328" s="7" t="str"/>
      <x:c r="J328" s="7" t="str"/>
      <x:c r="K328" s="7" t="str"/>
      <x:c r="L328" s="7" t="str"/>
      <x:c r="M328" s="7" t="str"/>
      <x:c r="N328" s="7" t="str"/>
      <x:c r="O328" s="7" t="str">
        <x:f>IF(N328="","OPEN",IF(OR(I328="",J328="",K328="",L328="",M328=""),"FAIL","PASS"))</x:f>
        <x:v>OPEN</x:v>
      </x:c>
    </x:row>
    <x:row r="329">
      <x:c r="B329" s="7" t="str">
        <x:v>CH-PEA-A-X3-06-5</x:v>
      </x:c>
      <x:c r="C329" s="7" t="str">
        <x:v>PEA-A-X3</x:v>
      </x:c>
      <x:c r="D329" s="7" t="str">
        <x:v>BLD-A</x:v>
      </x:c>
      <x:c r="E329" s="7" t="str">
        <x:v>BL-X</x:v>
      </x:c>
      <x:c r="F329" s="7" t="str">
        <x:v>MF-06</x:v>
      </x:c>
      <x:c r="G329" s="7" t="str">
        <x:v>pan level</x:v>
      </x:c>
      <x:c r="H329" s="7" t="n">
        <x:v>5</x:v>
      </x:c>
      <x:c r="I329" s="7" t="str"/>
      <x:c r="J329" s="7" t="str"/>
      <x:c r="K329" s="7" t="str"/>
      <x:c r="L329" s="7" t="str"/>
      <x:c r="M329" s="7" t="str"/>
      <x:c r="N329" s="7" t="str"/>
      <x:c r="O329" s="7" t="str">
        <x:f>IF(N329="","OPEN",IF(OR(I329="",J329="",K329="",L329="",M329=""),"FAIL","PASS"))</x:f>
        <x:v>OPEN</x:v>
      </x:c>
    </x:row>
    <x:row r="330">
      <x:c r="B330" s="7" t="str">
        <x:v>CH-PEA-A-X3-06-6</x:v>
      </x:c>
      <x:c r="C330" s="7" t="str">
        <x:v>PEA-A-X3</x:v>
      </x:c>
      <x:c r="D330" s="7" t="str">
        <x:v>BLD-A</x:v>
      </x:c>
      <x:c r="E330" s="7" t="str">
        <x:v>BL-X</x:v>
      </x:c>
      <x:c r="F330" s="7" t="str">
        <x:v>MF-06</x:v>
      </x:c>
      <x:c r="G330" s="7" t="str">
        <x:v>pan level</x:v>
      </x:c>
      <x:c r="H330" s="7" t="n">
        <x:v>6</x:v>
      </x:c>
      <x:c r="I330" s="7" t="str"/>
      <x:c r="J330" s="7" t="str"/>
      <x:c r="K330" s="7" t="str"/>
      <x:c r="L330" s="7" t="str"/>
      <x:c r="M330" s="7" t="str"/>
      <x:c r="N330" s="7" t="str"/>
      <x:c r="O330" s="7" t="str">
        <x:f>IF(N330="","OPEN",IF(OR(I330="",J330="",K330="",L330="",M330=""),"FAIL","PASS"))</x:f>
        <x:v>OPEN</x:v>
      </x:c>
    </x:row>
    <x:row r="331">
      <x:c r="B331" s="7" t="str">
        <x:v>CH-PEA-A-X3-07-1</x:v>
      </x:c>
      <x:c r="C331" s="7" t="str">
        <x:v>PEA-A-X3</x:v>
      </x:c>
      <x:c r="D331" s="7" t="str">
        <x:v>BLD-A</x:v>
      </x:c>
      <x:c r="E331" s="7" t="str">
        <x:v>BL-X</x:v>
      </x:c>
      <x:c r="F331" s="7" t="str">
        <x:v>MF-07</x:v>
      </x:c>
      <x:c r="G331" s="7" t="str">
        <x:v>normal receiver mass</x:v>
      </x:c>
      <x:c r="H331" s="7" t="n">
        <x:v>1</x:v>
      </x:c>
      <x:c r="I331" s="7" t="str"/>
      <x:c r="J331" s="7" t="str"/>
      <x:c r="K331" s="7" t="str"/>
      <x:c r="L331" s="7" t="str"/>
      <x:c r="M331" s="7" t="str"/>
      <x:c r="N331" s="7" t="str"/>
      <x:c r="O331" s="7" t="str">
        <x:f>IF(N331="","OPEN",IF(OR(I331="",J331="",K331="",L331="",M331=""),"FAIL","PASS"))</x:f>
        <x:v>OPEN</x:v>
      </x:c>
    </x:row>
    <x:row r="332">
      <x:c r="B332" s="7" t="str">
        <x:v>CH-PEA-A-X3-07-2</x:v>
      </x:c>
      <x:c r="C332" s="7" t="str">
        <x:v>PEA-A-X3</x:v>
      </x:c>
      <x:c r="D332" s="7" t="str">
        <x:v>BLD-A</x:v>
      </x:c>
      <x:c r="E332" s="7" t="str">
        <x:v>BL-X</x:v>
      </x:c>
      <x:c r="F332" s="7" t="str">
        <x:v>MF-07</x:v>
      </x:c>
      <x:c r="G332" s="7" t="str">
        <x:v>normal receiver mass</x:v>
      </x:c>
      <x:c r="H332" s="7" t="n">
        <x:v>2</x:v>
      </x:c>
      <x:c r="I332" s="7" t="str"/>
      <x:c r="J332" s="7" t="str"/>
      <x:c r="K332" s="7" t="str"/>
      <x:c r="L332" s="7" t="str"/>
      <x:c r="M332" s="7" t="str"/>
      <x:c r="N332" s="7" t="str"/>
      <x:c r="O332" s="7" t="str">
        <x:f>IF(N332="","OPEN",IF(OR(I332="",J332="",K332="",L332="",M332=""),"FAIL","PASS"))</x:f>
        <x:v>OPEN</x:v>
      </x:c>
    </x:row>
    <x:row r="333">
      <x:c r="B333" s="7" t="str">
        <x:v>CH-PEA-A-X3-07-3</x:v>
      </x:c>
      <x:c r="C333" s="7" t="str">
        <x:v>PEA-A-X3</x:v>
      </x:c>
      <x:c r="D333" s="7" t="str">
        <x:v>BLD-A</x:v>
      </x:c>
      <x:c r="E333" s="7" t="str">
        <x:v>BL-X</x:v>
      </x:c>
      <x:c r="F333" s="7" t="str">
        <x:v>MF-07</x:v>
      </x:c>
      <x:c r="G333" s="7" t="str">
        <x:v>normal receiver mass</x:v>
      </x:c>
      <x:c r="H333" s="7" t="n">
        <x:v>3</x:v>
      </x:c>
      <x:c r="I333" s="7" t="str"/>
      <x:c r="J333" s="7" t="str"/>
      <x:c r="K333" s="7" t="str"/>
      <x:c r="L333" s="7" t="str"/>
      <x:c r="M333" s="7" t="str"/>
      <x:c r="N333" s="7" t="str"/>
      <x:c r="O333" s="7" t="str">
        <x:f>IF(N333="","OPEN",IF(OR(I333="",J333="",K333="",L333="",M333=""),"FAIL","PASS"))</x:f>
        <x:v>OPEN</x:v>
      </x:c>
    </x:row>
    <x:row r="334">
      <x:c r="B334" s="7" t="str">
        <x:v>CH-PEA-A-X3-07-4</x:v>
      </x:c>
      <x:c r="C334" s="7" t="str">
        <x:v>PEA-A-X3</x:v>
      </x:c>
      <x:c r="D334" s="7" t="str">
        <x:v>BLD-A</x:v>
      </x:c>
      <x:c r="E334" s="7" t="str">
        <x:v>BL-X</x:v>
      </x:c>
      <x:c r="F334" s="7" t="str">
        <x:v>MF-07</x:v>
      </x:c>
      <x:c r="G334" s="7" t="str">
        <x:v>normal receiver mass</x:v>
      </x:c>
      <x:c r="H334" s="7" t="n">
        <x:v>4</x:v>
      </x:c>
      <x:c r="I334" s="7" t="str"/>
      <x:c r="J334" s="7" t="str"/>
      <x:c r="K334" s="7" t="str"/>
      <x:c r="L334" s="7" t="str"/>
      <x:c r="M334" s="7" t="str"/>
      <x:c r="N334" s="7" t="str"/>
      <x:c r="O334" s="7" t="str">
        <x:f>IF(N334="","OPEN",IF(OR(I334="",J334="",K334="",L334="",M334=""),"FAIL","PASS"))</x:f>
        <x:v>OPEN</x:v>
      </x:c>
    </x:row>
    <x:row r="335">
      <x:c r="B335" s="7" t="str">
        <x:v>CH-PEA-A-X3-07-5</x:v>
      </x:c>
      <x:c r="C335" s="7" t="str">
        <x:v>PEA-A-X3</x:v>
      </x:c>
      <x:c r="D335" s="7" t="str">
        <x:v>BLD-A</x:v>
      </x:c>
      <x:c r="E335" s="7" t="str">
        <x:v>BL-X</x:v>
      </x:c>
      <x:c r="F335" s="7" t="str">
        <x:v>MF-07</x:v>
      </x:c>
      <x:c r="G335" s="7" t="str">
        <x:v>normal receiver mass</x:v>
      </x:c>
      <x:c r="H335" s="7" t="n">
        <x:v>5</x:v>
      </x:c>
      <x:c r="I335" s="7" t="str"/>
      <x:c r="J335" s="7" t="str"/>
      <x:c r="K335" s="7" t="str"/>
      <x:c r="L335" s="7" t="str"/>
      <x:c r="M335" s="7" t="str"/>
      <x:c r="N335" s="7" t="str"/>
      <x:c r="O335" s="7" t="str">
        <x:f>IF(N335="","OPEN",IF(OR(I335="",J335="",K335="",L335="",M335=""),"FAIL","PASS"))</x:f>
        <x:v>OPEN</x:v>
      </x:c>
    </x:row>
    <x:row r="336">
      <x:c r="B336" s="7" t="str">
        <x:v>CH-PEA-A-X3-07-6</x:v>
      </x:c>
      <x:c r="C336" s="7" t="str">
        <x:v>PEA-A-X3</x:v>
      </x:c>
      <x:c r="D336" s="7" t="str">
        <x:v>BLD-A</x:v>
      </x:c>
      <x:c r="E336" s="7" t="str">
        <x:v>BL-X</x:v>
      </x:c>
      <x:c r="F336" s="7" t="str">
        <x:v>MF-07</x:v>
      </x:c>
      <x:c r="G336" s="7" t="str">
        <x:v>normal receiver mass</x:v>
      </x:c>
      <x:c r="H336" s="7" t="n">
        <x:v>6</x:v>
      </x:c>
      <x:c r="I336" s="7" t="str"/>
      <x:c r="J336" s="7" t="str"/>
      <x:c r="K336" s="7" t="str"/>
      <x:c r="L336" s="7" t="str"/>
      <x:c r="M336" s="7" t="str"/>
      <x:c r="N336" s="7" t="str"/>
      <x:c r="O336" s="7" t="str">
        <x:f>IF(N336="","OPEN",IF(OR(I336="",J336="",K336="",L336="",M336=""),"FAIL","PASS"))</x:f>
        <x:v>OPEN</x:v>
      </x:c>
    </x:row>
    <x:row r="337">
      <x:c r="B337" s="7" t="str">
        <x:v>CH-PEA-A-X3-08-1</x:v>
      </x:c>
      <x:c r="C337" s="7" t="str">
        <x:v>PEA-A-X3</x:v>
      </x:c>
      <x:c r="D337" s="7" t="str">
        <x:v>BLD-A</x:v>
      </x:c>
      <x:c r="E337" s="7" t="str">
        <x:v>BL-X</x:v>
      </x:c>
      <x:c r="F337" s="7" t="str">
        <x:v>MF-08</x:v>
      </x:c>
      <x:c r="G337" s="7" t="str">
        <x:v>casualty receiver mass</x:v>
      </x:c>
      <x:c r="H337" s="7" t="n">
        <x:v>1</x:v>
      </x:c>
      <x:c r="I337" s="7" t="str"/>
      <x:c r="J337" s="7" t="str"/>
      <x:c r="K337" s="7" t="str"/>
      <x:c r="L337" s="7" t="str"/>
      <x:c r="M337" s="7" t="str"/>
      <x:c r="N337" s="7" t="str"/>
      <x:c r="O337" s="7" t="str">
        <x:f>IF(N337="","OPEN",IF(OR(I337="",J337="",K337="",L337="",M337=""),"FAIL","PASS"))</x:f>
        <x:v>OPEN</x:v>
      </x:c>
    </x:row>
    <x:row r="338">
      <x:c r="B338" s="7" t="str">
        <x:v>CH-PEA-A-X3-08-2</x:v>
      </x:c>
      <x:c r="C338" s="7" t="str">
        <x:v>PEA-A-X3</x:v>
      </x:c>
      <x:c r="D338" s="7" t="str">
        <x:v>BLD-A</x:v>
      </x:c>
      <x:c r="E338" s="7" t="str">
        <x:v>BL-X</x:v>
      </x:c>
      <x:c r="F338" s="7" t="str">
        <x:v>MF-08</x:v>
      </x:c>
      <x:c r="G338" s="7" t="str">
        <x:v>casualty receiver mass</x:v>
      </x:c>
      <x:c r="H338" s="7" t="n">
        <x:v>2</x:v>
      </x:c>
      <x:c r="I338" s="7" t="str"/>
      <x:c r="J338" s="7" t="str"/>
      <x:c r="K338" s="7" t="str"/>
      <x:c r="L338" s="7" t="str"/>
      <x:c r="M338" s="7" t="str"/>
      <x:c r="N338" s="7" t="str"/>
      <x:c r="O338" s="7" t="str">
        <x:f>IF(N338="","OPEN",IF(OR(I338="",J338="",K338="",L338="",M338=""),"FAIL","PASS"))</x:f>
        <x:v>OPEN</x:v>
      </x:c>
    </x:row>
    <x:row r="339">
      <x:c r="B339" s="7" t="str">
        <x:v>CH-PEA-A-X3-08-3</x:v>
      </x:c>
      <x:c r="C339" s="7" t="str">
        <x:v>PEA-A-X3</x:v>
      </x:c>
      <x:c r="D339" s="7" t="str">
        <x:v>BLD-A</x:v>
      </x:c>
      <x:c r="E339" s="7" t="str">
        <x:v>BL-X</x:v>
      </x:c>
      <x:c r="F339" s="7" t="str">
        <x:v>MF-08</x:v>
      </x:c>
      <x:c r="G339" s="7" t="str">
        <x:v>casualty receiver mass</x:v>
      </x:c>
      <x:c r="H339" s="7" t="n">
        <x:v>3</x:v>
      </x:c>
      <x:c r="I339" s="7" t="str"/>
      <x:c r="J339" s="7" t="str"/>
      <x:c r="K339" s="7" t="str"/>
      <x:c r="L339" s="7" t="str"/>
      <x:c r="M339" s="7" t="str"/>
      <x:c r="N339" s="7" t="str"/>
      <x:c r="O339" s="7" t="str">
        <x:f>IF(N339="","OPEN",IF(OR(I339="",J339="",K339="",L339="",M339=""),"FAIL","PASS"))</x:f>
        <x:v>OPEN</x:v>
      </x:c>
    </x:row>
    <x:row r="340">
      <x:c r="B340" s="7" t="str">
        <x:v>CH-PEA-A-X3-08-4</x:v>
      </x:c>
      <x:c r="C340" s="7" t="str">
        <x:v>PEA-A-X3</x:v>
      </x:c>
      <x:c r="D340" s="7" t="str">
        <x:v>BLD-A</x:v>
      </x:c>
      <x:c r="E340" s="7" t="str">
        <x:v>BL-X</x:v>
      </x:c>
      <x:c r="F340" s="7" t="str">
        <x:v>MF-08</x:v>
      </x:c>
      <x:c r="G340" s="7" t="str">
        <x:v>casualty receiver mass</x:v>
      </x:c>
      <x:c r="H340" s="7" t="n">
        <x:v>4</x:v>
      </x:c>
      <x:c r="I340" s="7" t="str"/>
      <x:c r="J340" s="7" t="str"/>
      <x:c r="K340" s="7" t="str"/>
      <x:c r="L340" s="7" t="str"/>
      <x:c r="M340" s="7" t="str"/>
      <x:c r="N340" s="7" t="str"/>
      <x:c r="O340" s="7" t="str">
        <x:f>IF(N340="","OPEN",IF(OR(I340="",J340="",K340="",L340="",M340=""),"FAIL","PASS"))</x:f>
        <x:v>OPEN</x:v>
      </x:c>
    </x:row>
    <x:row r="341">
      <x:c r="B341" s="7" t="str">
        <x:v>CH-PEA-A-X3-08-5</x:v>
      </x:c>
      <x:c r="C341" s="7" t="str">
        <x:v>PEA-A-X3</x:v>
      </x:c>
      <x:c r="D341" s="7" t="str">
        <x:v>BLD-A</x:v>
      </x:c>
      <x:c r="E341" s="7" t="str">
        <x:v>BL-X</x:v>
      </x:c>
      <x:c r="F341" s="7" t="str">
        <x:v>MF-08</x:v>
      </x:c>
      <x:c r="G341" s="7" t="str">
        <x:v>casualty receiver mass</x:v>
      </x:c>
      <x:c r="H341" s="7" t="n">
        <x:v>5</x:v>
      </x:c>
      <x:c r="I341" s="7" t="str"/>
      <x:c r="J341" s="7" t="str"/>
      <x:c r="K341" s="7" t="str"/>
      <x:c r="L341" s="7" t="str"/>
      <x:c r="M341" s="7" t="str"/>
      <x:c r="N341" s="7" t="str"/>
      <x:c r="O341" s="7" t="str">
        <x:f>IF(N341="","OPEN",IF(OR(I341="",J341="",K341="",L341="",M341=""),"FAIL","PASS"))</x:f>
        <x:v>OPEN</x:v>
      </x:c>
    </x:row>
    <x:row r="342">
      <x:c r="B342" s="7" t="str">
        <x:v>CH-PEA-A-X3-08-6</x:v>
      </x:c>
      <x:c r="C342" s="7" t="str">
        <x:v>PEA-A-X3</x:v>
      </x:c>
      <x:c r="D342" s="7" t="str">
        <x:v>BLD-A</x:v>
      </x:c>
      <x:c r="E342" s="7" t="str">
        <x:v>BL-X</x:v>
      </x:c>
      <x:c r="F342" s="7" t="str">
        <x:v>MF-08</x:v>
      </x:c>
      <x:c r="G342" s="7" t="str">
        <x:v>casualty receiver mass</x:v>
      </x:c>
      <x:c r="H342" s="7" t="n">
        <x:v>6</x:v>
      </x:c>
      <x:c r="I342" s="7" t="str"/>
      <x:c r="J342" s="7" t="str"/>
      <x:c r="K342" s="7" t="str"/>
      <x:c r="L342" s="7" t="str"/>
      <x:c r="M342" s="7" t="str"/>
      <x:c r="N342" s="7" t="str"/>
      <x:c r="O342" s="7" t="str">
        <x:f>IF(N342="","OPEN",IF(OR(I342="",J342="",K342="",L342="",M342=""),"FAIL","PASS"))</x:f>
        <x:v>OPEN</x:v>
      </x:c>
    </x:row>
    <x:row r="343">
      <x:c r="B343" s="7" t="str">
        <x:v>CH-PEA-A-X3-09-1</x:v>
      </x:c>
      <x:c r="C343" s="7" t="str">
        <x:v>PEA-A-X3</x:v>
      </x:c>
      <x:c r="D343" s="7" t="str">
        <x:v>BLD-A</x:v>
      </x:c>
      <x:c r="E343" s="7" t="str">
        <x:v>BL-X</x:v>
      </x:c>
      <x:c r="F343" s="7" t="str">
        <x:v>MF-09</x:v>
      </x:c>
      <x:c r="G343" s="7" t="str">
        <x:v>geometry and slope</x:v>
      </x:c>
      <x:c r="H343" s="7" t="n">
        <x:v>1</x:v>
      </x:c>
      <x:c r="I343" s="7" t="str"/>
      <x:c r="J343" s="7" t="str"/>
      <x:c r="K343" s="7" t="str"/>
      <x:c r="L343" s="7" t="str"/>
      <x:c r="M343" s="7" t="str"/>
      <x:c r="N343" s="7" t="str"/>
      <x:c r="O343" s="7" t="str">
        <x:f>IF(N343="","OPEN",IF(OR(I343="",J343="",K343="",L343="",M343=""),"FAIL","PASS"))</x:f>
        <x:v>OPEN</x:v>
      </x:c>
    </x:row>
    <x:row r="344">
      <x:c r="B344" s="7" t="str">
        <x:v>CH-PEA-A-X3-09-2</x:v>
      </x:c>
      <x:c r="C344" s="7" t="str">
        <x:v>PEA-A-X3</x:v>
      </x:c>
      <x:c r="D344" s="7" t="str">
        <x:v>BLD-A</x:v>
      </x:c>
      <x:c r="E344" s="7" t="str">
        <x:v>BL-X</x:v>
      </x:c>
      <x:c r="F344" s="7" t="str">
        <x:v>MF-09</x:v>
      </x:c>
      <x:c r="G344" s="7" t="str">
        <x:v>geometry and slope</x:v>
      </x:c>
      <x:c r="H344" s="7" t="n">
        <x:v>2</x:v>
      </x:c>
      <x:c r="I344" s="7" t="str"/>
      <x:c r="J344" s="7" t="str"/>
      <x:c r="K344" s="7" t="str"/>
      <x:c r="L344" s="7" t="str"/>
      <x:c r="M344" s="7" t="str"/>
      <x:c r="N344" s="7" t="str"/>
      <x:c r="O344" s="7" t="str">
        <x:f>IF(N344="","OPEN",IF(OR(I344="",J344="",K344="",L344="",M344=""),"FAIL","PASS"))</x:f>
        <x:v>OPEN</x:v>
      </x:c>
    </x:row>
    <x:row r="345">
      <x:c r="B345" s="7" t="str">
        <x:v>CH-PEA-A-X3-09-3</x:v>
      </x:c>
      <x:c r="C345" s="7" t="str">
        <x:v>PEA-A-X3</x:v>
      </x:c>
      <x:c r="D345" s="7" t="str">
        <x:v>BLD-A</x:v>
      </x:c>
      <x:c r="E345" s="7" t="str">
        <x:v>BL-X</x:v>
      </x:c>
      <x:c r="F345" s="7" t="str">
        <x:v>MF-09</x:v>
      </x:c>
      <x:c r="G345" s="7" t="str">
        <x:v>geometry and slope</x:v>
      </x:c>
      <x:c r="H345" s="7" t="n">
        <x:v>3</x:v>
      </x:c>
      <x:c r="I345" s="7" t="str"/>
      <x:c r="J345" s="7" t="str"/>
      <x:c r="K345" s="7" t="str"/>
      <x:c r="L345" s="7" t="str"/>
      <x:c r="M345" s="7" t="str"/>
      <x:c r="N345" s="7" t="str"/>
      <x:c r="O345" s="7" t="str">
        <x:f>IF(N345="","OPEN",IF(OR(I345="",J345="",K345="",L345="",M345=""),"FAIL","PASS"))</x:f>
        <x:v>OPEN</x:v>
      </x:c>
    </x:row>
    <x:row r="346">
      <x:c r="B346" s="7" t="str">
        <x:v>CH-PEA-A-X3-09-4</x:v>
      </x:c>
      <x:c r="C346" s="7" t="str">
        <x:v>PEA-A-X3</x:v>
      </x:c>
      <x:c r="D346" s="7" t="str">
        <x:v>BLD-A</x:v>
      </x:c>
      <x:c r="E346" s="7" t="str">
        <x:v>BL-X</x:v>
      </x:c>
      <x:c r="F346" s="7" t="str">
        <x:v>MF-09</x:v>
      </x:c>
      <x:c r="G346" s="7" t="str">
        <x:v>geometry and slope</x:v>
      </x:c>
      <x:c r="H346" s="7" t="n">
        <x:v>4</x:v>
      </x:c>
      <x:c r="I346" s="7" t="str"/>
      <x:c r="J346" s="7" t="str"/>
      <x:c r="K346" s="7" t="str"/>
      <x:c r="L346" s="7" t="str"/>
      <x:c r="M346" s="7" t="str"/>
      <x:c r="N346" s="7" t="str"/>
      <x:c r="O346" s="7" t="str">
        <x:f>IF(N346="","OPEN",IF(OR(I346="",J346="",K346="",L346="",M346=""),"FAIL","PASS"))</x:f>
        <x:v>OPEN</x:v>
      </x:c>
    </x:row>
    <x:row r="347">
      <x:c r="B347" s="7" t="str">
        <x:v>CH-PEA-A-X3-09-5</x:v>
      </x:c>
      <x:c r="C347" s="7" t="str">
        <x:v>PEA-A-X3</x:v>
      </x:c>
      <x:c r="D347" s="7" t="str">
        <x:v>BLD-A</x:v>
      </x:c>
      <x:c r="E347" s="7" t="str">
        <x:v>BL-X</x:v>
      </x:c>
      <x:c r="F347" s="7" t="str">
        <x:v>MF-09</x:v>
      </x:c>
      <x:c r="G347" s="7" t="str">
        <x:v>geometry and slope</x:v>
      </x:c>
      <x:c r="H347" s="7" t="n">
        <x:v>5</x:v>
      </x:c>
      <x:c r="I347" s="7" t="str"/>
      <x:c r="J347" s="7" t="str"/>
      <x:c r="K347" s="7" t="str"/>
      <x:c r="L347" s="7" t="str"/>
      <x:c r="M347" s="7" t="str"/>
      <x:c r="N347" s="7" t="str"/>
      <x:c r="O347" s="7" t="str">
        <x:f>IF(N347="","OPEN",IF(OR(I347="",J347="",K347="",L347="",M347=""),"FAIL","PASS"))</x:f>
        <x:v>OPEN</x:v>
      </x:c>
    </x:row>
    <x:row r="348">
      <x:c r="B348" s="7" t="str">
        <x:v>CH-PEA-A-X3-09-6</x:v>
      </x:c>
      <x:c r="C348" s="7" t="str">
        <x:v>PEA-A-X3</x:v>
      </x:c>
      <x:c r="D348" s="7" t="str">
        <x:v>BLD-A</x:v>
      </x:c>
      <x:c r="E348" s="7" t="str">
        <x:v>BL-X</x:v>
      </x:c>
      <x:c r="F348" s="7" t="str">
        <x:v>MF-09</x:v>
      </x:c>
      <x:c r="G348" s="7" t="str">
        <x:v>geometry and slope</x:v>
      </x:c>
      <x:c r="H348" s="7" t="n">
        <x:v>6</x:v>
      </x:c>
      <x:c r="I348" s="7" t="str"/>
      <x:c r="J348" s="7" t="str"/>
      <x:c r="K348" s="7" t="str"/>
      <x:c r="L348" s="7" t="str"/>
      <x:c r="M348" s="7" t="str"/>
      <x:c r="N348" s="7" t="str"/>
      <x:c r="O348" s="7" t="str">
        <x:f>IF(N348="","OPEN",IF(OR(I348="",J348="",K348="",L348="",M348=""),"FAIL","PASS"))</x:f>
        <x:v>OPEN</x:v>
      </x:c>
    </x:row>
    <x:row r="349">
      <x:c r="B349" s="7" t="str">
        <x:v>CH-PEA-A-X3-10-1</x:v>
      </x:c>
      <x:c r="C349" s="7" t="str">
        <x:v>PEA-A-X3</x:v>
      </x:c>
      <x:c r="D349" s="7" t="str">
        <x:v>BLD-A</x:v>
      </x:c>
      <x:c r="E349" s="7" t="str">
        <x:v>BL-X</x:v>
      </x:c>
      <x:c r="F349" s="7" t="str">
        <x:v>MF-10</x:v>
      </x:c>
      <x:c r="G349" s="7" t="str">
        <x:v>normal-source path state</x:v>
      </x:c>
      <x:c r="H349" s="7" t="n">
        <x:v>1</x:v>
      </x:c>
      <x:c r="I349" s="7" t="str"/>
      <x:c r="J349" s="7" t="str"/>
      <x:c r="K349" s="7" t="str"/>
      <x:c r="L349" s="7" t="str"/>
      <x:c r="M349" s="7" t="str"/>
      <x:c r="N349" s="7" t="str"/>
      <x:c r="O349" s="7" t="str">
        <x:f>IF(N349="","OPEN",IF(OR(I349="",J349="",K349="",L349="",M349=""),"FAIL","PASS"))</x:f>
        <x:v>OPEN</x:v>
      </x:c>
    </x:row>
    <x:row r="350">
      <x:c r="B350" s="7" t="str">
        <x:v>CH-PEA-A-X3-10-2</x:v>
      </x:c>
      <x:c r="C350" s="7" t="str">
        <x:v>PEA-A-X3</x:v>
      </x:c>
      <x:c r="D350" s="7" t="str">
        <x:v>BLD-A</x:v>
      </x:c>
      <x:c r="E350" s="7" t="str">
        <x:v>BL-X</x:v>
      </x:c>
      <x:c r="F350" s="7" t="str">
        <x:v>MF-10</x:v>
      </x:c>
      <x:c r="G350" s="7" t="str">
        <x:v>normal-source path state</x:v>
      </x:c>
      <x:c r="H350" s="7" t="n">
        <x:v>2</x:v>
      </x:c>
      <x:c r="I350" s="7" t="str"/>
      <x:c r="J350" s="7" t="str"/>
      <x:c r="K350" s="7" t="str"/>
      <x:c r="L350" s="7" t="str"/>
      <x:c r="M350" s="7" t="str"/>
      <x:c r="N350" s="7" t="str"/>
      <x:c r="O350" s="7" t="str">
        <x:f>IF(N350="","OPEN",IF(OR(I350="",J350="",K350="",L350="",M350=""),"FAIL","PASS"))</x:f>
        <x:v>OPEN</x:v>
      </x:c>
    </x:row>
    <x:row r="351">
      <x:c r="B351" s="7" t="str">
        <x:v>CH-PEA-A-X3-10-3</x:v>
      </x:c>
      <x:c r="C351" s="7" t="str">
        <x:v>PEA-A-X3</x:v>
      </x:c>
      <x:c r="D351" s="7" t="str">
        <x:v>BLD-A</x:v>
      </x:c>
      <x:c r="E351" s="7" t="str">
        <x:v>BL-X</x:v>
      </x:c>
      <x:c r="F351" s="7" t="str">
        <x:v>MF-10</x:v>
      </x:c>
      <x:c r="G351" s="7" t="str">
        <x:v>normal-source path state</x:v>
      </x:c>
      <x:c r="H351" s="7" t="n">
        <x:v>3</x:v>
      </x:c>
      <x:c r="I351" s="7" t="str"/>
      <x:c r="J351" s="7" t="str"/>
      <x:c r="K351" s="7" t="str"/>
      <x:c r="L351" s="7" t="str"/>
      <x:c r="M351" s="7" t="str"/>
      <x:c r="N351" s="7" t="str"/>
      <x:c r="O351" s="7" t="str">
        <x:f>IF(N351="","OPEN",IF(OR(I351="",J351="",K351="",L351="",M351=""),"FAIL","PASS"))</x:f>
        <x:v>OPEN</x:v>
      </x:c>
    </x:row>
    <x:row r="352">
      <x:c r="B352" s="7" t="str">
        <x:v>CH-PEA-A-X3-10-4</x:v>
      </x:c>
      <x:c r="C352" s="7" t="str">
        <x:v>PEA-A-X3</x:v>
      </x:c>
      <x:c r="D352" s="7" t="str">
        <x:v>BLD-A</x:v>
      </x:c>
      <x:c r="E352" s="7" t="str">
        <x:v>BL-X</x:v>
      </x:c>
      <x:c r="F352" s="7" t="str">
        <x:v>MF-10</x:v>
      </x:c>
      <x:c r="G352" s="7" t="str">
        <x:v>normal-source path state</x:v>
      </x:c>
      <x:c r="H352" s="7" t="n">
        <x:v>4</x:v>
      </x:c>
      <x:c r="I352" s="7" t="str"/>
      <x:c r="J352" s="7" t="str"/>
      <x:c r="K352" s="7" t="str"/>
      <x:c r="L352" s="7" t="str"/>
      <x:c r="M352" s="7" t="str"/>
      <x:c r="N352" s="7" t="str"/>
      <x:c r="O352" s="7" t="str">
        <x:f>IF(N352="","OPEN",IF(OR(I352="",J352="",K352="",L352="",M352=""),"FAIL","PASS"))</x:f>
        <x:v>OPEN</x:v>
      </x:c>
    </x:row>
    <x:row r="353">
      <x:c r="B353" s="7" t="str">
        <x:v>CH-PEA-A-X3-10-5</x:v>
      </x:c>
      <x:c r="C353" s="7" t="str">
        <x:v>PEA-A-X3</x:v>
      </x:c>
      <x:c r="D353" s="7" t="str">
        <x:v>BLD-A</x:v>
      </x:c>
      <x:c r="E353" s="7" t="str">
        <x:v>BL-X</x:v>
      </x:c>
      <x:c r="F353" s="7" t="str">
        <x:v>MF-10</x:v>
      </x:c>
      <x:c r="G353" s="7" t="str">
        <x:v>normal-source path state</x:v>
      </x:c>
      <x:c r="H353" s="7" t="n">
        <x:v>5</x:v>
      </x:c>
      <x:c r="I353" s="7" t="str"/>
      <x:c r="J353" s="7" t="str"/>
      <x:c r="K353" s="7" t="str"/>
      <x:c r="L353" s="7" t="str"/>
      <x:c r="M353" s="7" t="str"/>
      <x:c r="N353" s="7" t="str"/>
      <x:c r="O353" s="7" t="str">
        <x:f>IF(N353="","OPEN",IF(OR(I353="",J353="",K353="",L353="",M353=""),"FAIL","PASS"))</x:f>
        <x:v>OPEN</x:v>
      </x:c>
    </x:row>
    <x:row r="354">
      <x:c r="B354" s="7" t="str">
        <x:v>CH-PEA-A-X3-10-6</x:v>
      </x:c>
      <x:c r="C354" s="7" t="str">
        <x:v>PEA-A-X3</x:v>
      </x:c>
      <x:c r="D354" s="7" t="str">
        <x:v>BLD-A</x:v>
      </x:c>
      <x:c r="E354" s="7" t="str">
        <x:v>BL-X</x:v>
      </x:c>
      <x:c r="F354" s="7" t="str">
        <x:v>MF-10</x:v>
      </x:c>
      <x:c r="G354" s="7" t="str">
        <x:v>normal-source path state</x:v>
      </x:c>
      <x:c r="H354" s="7" t="n">
        <x:v>6</x:v>
      </x:c>
      <x:c r="I354" s="7" t="str"/>
      <x:c r="J354" s="7" t="str"/>
      <x:c r="K354" s="7" t="str"/>
      <x:c r="L354" s="7" t="str"/>
      <x:c r="M354" s="7" t="str"/>
      <x:c r="N354" s="7" t="str"/>
      <x:c r="O354" s="7" t="str">
        <x:f>IF(N354="","OPEN",IF(OR(I354="",J354="",K354="",L354="",M354=""),"FAIL","PASS"))</x:f>
        <x:v>OPEN</x:v>
      </x:c>
    </x:row>
    <x:row r="355">
      <x:c r="B355" s="7" t="str">
        <x:v>CH-PEA-A-X3-11-1</x:v>
      </x:c>
      <x:c r="C355" s="7" t="str">
        <x:v>PEA-A-X3</x:v>
      </x:c>
      <x:c r="D355" s="7" t="str">
        <x:v>BLD-A</x:v>
      </x:c>
      <x:c r="E355" s="7" t="str">
        <x:v>BL-X</x:v>
      </x:c>
      <x:c r="F355" s="7" t="str">
        <x:v>MF-11</x:v>
      </x:c>
      <x:c r="G355" s="7" t="str">
        <x:v>casualty-source path state</x:v>
      </x:c>
      <x:c r="H355" s="7" t="n">
        <x:v>1</x:v>
      </x:c>
      <x:c r="I355" s="7" t="str"/>
      <x:c r="J355" s="7" t="str"/>
      <x:c r="K355" s="7" t="str"/>
      <x:c r="L355" s="7" t="str"/>
      <x:c r="M355" s="7" t="str"/>
      <x:c r="N355" s="7" t="str"/>
      <x:c r="O355" s="7" t="str">
        <x:f>IF(N355="","OPEN",IF(OR(I355="",J355="",K355="",L355="",M355=""),"FAIL","PASS"))</x:f>
        <x:v>OPEN</x:v>
      </x:c>
    </x:row>
    <x:row r="356">
      <x:c r="B356" s="7" t="str">
        <x:v>CH-PEA-A-X3-11-2</x:v>
      </x:c>
      <x:c r="C356" s="7" t="str">
        <x:v>PEA-A-X3</x:v>
      </x:c>
      <x:c r="D356" s="7" t="str">
        <x:v>BLD-A</x:v>
      </x:c>
      <x:c r="E356" s="7" t="str">
        <x:v>BL-X</x:v>
      </x:c>
      <x:c r="F356" s="7" t="str">
        <x:v>MF-11</x:v>
      </x:c>
      <x:c r="G356" s="7" t="str">
        <x:v>casualty-source path state</x:v>
      </x:c>
      <x:c r="H356" s="7" t="n">
        <x:v>2</x:v>
      </x:c>
      <x:c r="I356" s="7" t="str"/>
      <x:c r="J356" s="7" t="str"/>
      <x:c r="K356" s="7" t="str"/>
      <x:c r="L356" s="7" t="str"/>
      <x:c r="M356" s="7" t="str"/>
      <x:c r="N356" s="7" t="str"/>
      <x:c r="O356" s="7" t="str">
        <x:f>IF(N356="","OPEN",IF(OR(I356="",J356="",K356="",L356="",M356=""),"FAIL","PASS"))</x:f>
        <x:v>OPEN</x:v>
      </x:c>
    </x:row>
    <x:row r="357">
      <x:c r="B357" s="7" t="str">
        <x:v>CH-PEA-A-X3-11-3</x:v>
      </x:c>
      <x:c r="C357" s="7" t="str">
        <x:v>PEA-A-X3</x:v>
      </x:c>
      <x:c r="D357" s="7" t="str">
        <x:v>BLD-A</x:v>
      </x:c>
      <x:c r="E357" s="7" t="str">
        <x:v>BL-X</x:v>
      </x:c>
      <x:c r="F357" s="7" t="str">
        <x:v>MF-11</x:v>
      </x:c>
      <x:c r="G357" s="7" t="str">
        <x:v>casualty-source path state</x:v>
      </x:c>
      <x:c r="H357" s="7" t="n">
        <x:v>3</x:v>
      </x:c>
      <x:c r="I357" s="7" t="str"/>
      <x:c r="J357" s="7" t="str"/>
      <x:c r="K357" s="7" t="str"/>
      <x:c r="L357" s="7" t="str"/>
      <x:c r="M357" s="7" t="str"/>
      <x:c r="N357" s="7" t="str"/>
      <x:c r="O357" s="7" t="str">
        <x:f>IF(N357="","OPEN",IF(OR(I357="",J357="",K357="",L357="",M357=""),"FAIL","PASS"))</x:f>
        <x:v>OPEN</x:v>
      </x:c>
    </x:row>
    <x:row r="358">
      <x:c r="B358" s="7" t="str">
        <x:v>CH-PEA-A-X3-11-4</x:v>
      </x:c>
      <x:c r="C358" s="7" t="str">
        <x:v>PEA-A-X3</x:v>
      </x:c>
      <x:c r="D358" s="7" t="str">
        <x:v>BLD-A</x:v>
      </x:c>
      <x:c r="E358" s="7" t="str">
        <x:v>BL-X</x:v>
      </x:c>
      <x:c r="F358" s="7" t="str">
        <x:v>MF-11</x:v>
      </x:c>
      <x:c r="G358" s="7" t="str">
        <x:v>casualty-source path state</x:v>
      </x:c>
      <x:c r="H358" s="7" t="n">
        <x:v>4</x:v>
      </x:c>
      <x:c r="I358" s="7" t="str"/>
      <x:c r="J358" s="7" t="str"/>
      <x:c r="K358" s="7" t="str"/>
      <x:c r="L358" s="7" t="str"/>
      <x:c r="M358" s="7" t="str"/>
      <x:c r="N358" s="7" t="str"/>
      <x:c r="O358" s="7" t="str">
        <x:f>IF(N358="","OPEN",IF(OR(I358="",J358="",K358="",L358="",M358=""),"FAIL","PASS"))</x:f>
        <x:v>OPEN</x:v>
      </x:c>
    </x:row>
    <x:row r="359">
      <x:c r="B359" s="7" t="str">
        <x:v>CH-PEA-A-X3-11-5</x:v>
      </x:c>
      <x:c r="C359" s="7" t="str">
        <x:v>PEA-A-X3</x:v>
      </x:c>
      <x:c r="D359" s="7" t="str">
        <x:v>BLD-A</x:v>
      </x:c>
      <x:c r="E359" s="7" t="str">
        <x:v>BL-X</x:v>
      </x:c>
      <x:c r="F359" s="7" t="str">
        <x:v>MF-11</x:v>
      </x:c>
      <x:c r="G359" s="7" t="str">
        <x:v>casualty-source path state</x:v>
      </x:c>
      <x:c r="H359" s="7" t="n">
        <x:v>5</x:v>
      </x:c>
      <x:c r="I359" s="7" t="str"/>
      <x:c r="J359" s="7" t="str"/>
      <x:c r="K359" s="7" t="str"/>
      <x:c r="L359" s="7" t="str"/>
      <x:c r="M359" s="7" t="str"/>
      <x:c r="N359" s="7" t="str"/>
      <x:c r="O359" s="7" t="str">
        <x:f>IF(N359="","OPEN",IF(OR(I359="",J359="",K359="",L359="",M359=""),"FAIL","PASS"))</x:f>
        <x:v>OPEN</x:v>
      </x:c>
    </x:row>
    <x:row r="360">
      <x:c r="B360" s="7" t="str">
        <x:v>CH-PEA-A-X3-11-6</x:v>
      </x:c>
      <x:c r="C360" s="7" t="str">
        <x:v>PEA-A-X3</x:v>
      </x:c>
      <x:c r="D360" s="7" t="str">
        <x:v>BLD-A</x:v>
      </x:c>
      <x:c r="E360" s="7" t="str">
        <x:v>BL-X</x:v>
      </x:c>
      <x:c r="F360" s="7" t="str">
        <x:v>MF-11</x:v>
      </x:c>
      <x:c r="G360" s="7" t="str">
        <x:v>casualty-source path state</x:v>
      </x:c>
      <x:c r="H360" s="7" t="n">
        <x:v>6</x:v>
      </x:c>
      <x:c r="I360" s="7" t="str"/>
      <x:c r="J360" s="7" t="str"/>
      <x:c r="K360" s="7" t="str"/>
      <x:c r="L360" s="7" t="str"/>
      <x:c r="M360" s="7" t="str"/>
      <x:c r="N360" s="7" t="str"/>
      <x:c r="O360" s="7" t="str">
        <x:f>IF(N360="","OPEN",IF(OR(I360="",J360="",K360="",L360="",M360=""),"FAIL","PASS"))</x:f>
        <x:v>OPEN</x:v>
      </x:c>
    </x:row>
    <x:row r="361">
      <x:c r="B361" s="7" t="str">
        <x:v>CH-PEA-A-X3-12-1</x:v>
      </x:c>
      <x:c r="C361" s="7" t="str">
        <x:v>PEA-A-X3</x:v>
      </x:c>
      <x:c r="D361" s="7" t="str">
        <x:v>BLD-A</x:v>
      </x:c>
      <x:c r="E361" s="7" t="str">
        <x:v>BL-X</x:v>
      </x:c>
      <x:c r="F361" s="7" t="str">
        <x:v>MF-12</x:v>
      </x:c>
      <x:c r="G361" s="7" t="str">
        <x:v>candidate-water path state</x:v>
      </x:c>
      <x:c r="H361" s="7" t="n">
        <x:v>1</x:v>
      </x:c>
      <x:c r="I361" s="7" t="str"/>
      <x:c r="J361" s="7" t="str"/>
      <x:c r="K361" s="7" t="str"/>
      <x:c r="L361" s="7" t="str"/>
      <x:c r="M361" s="7" t="str"/>
      <x:c r="N361" s="7" t="str"/>
      <x:c r="O361" s="7" t="str">
        <x:f>IF(N361="","OPEN",IF(OR(I361="",J361="",K361="",L361="",M361=""),"FAIL","PASS"))</x:f>
        <x:v>OPEN</x:v>
      </x:c>
    </x:row>
    <x:row r="362">
      <x:c r="B362" s="7" t="str">
        <x:v>CH-PEA-A-X3-12-2</x:v>
      </x:c>
      <x:c r="C362" s="7" t="str">
        <x:v>PEA-A-X3</x:v>
      </x:c>
      <x:c r="D362" s="7" t="str">
        <x:v>BLD-A</x:v>
      </x:c>
      <x:c r="E362" s="7" t="str">
        <x:v>BL-X</x:v>
      </x:c>
      <x:c r="F362" s="7" t="str">
        <x:v>MF-12</x:v>
      </x:c>
      <x:c r="G362" s="7" t="str">
        <x:v>candidate-water path state</x:v>
      </x:c>
      <x:c r="H362" s="7" t="n">
        <x:v>2</x:v>
      </x:c>
      <x:c r="I362" s="7" t="str"/>
      <x:c r="J362" s="7" t="str"/>
      <x:c r="K362" s="7" t="str"/>
      <x:c r="L362" s="7" t="str"/>
      <x:c r="M362" s="7" t="str"/>
      <x:c r="N362" s="7" t="str"/>
      <x:c r="O362" s="7" t="str">
        <x:f>IF(N362="","OPEN",IF(OR(I362="",J362="",K362="",L362="",M362=""),"FAIL","PASS"))</x:f>
        <x:v>OPEN</x:v>
      </x:c>
    </x:row>
    <x:row r="363">
      <x:c r="B363" s="7" t="str">
        <x:v>CH-PEA-A-X3-12-3</x:v>
      </x:c>
      <x:c r="C363" s="7" t="str">
        <x:v>PEA-A-X3</x:v>
      </x:c>
      <x:c r="D363" s="7" t="str">
        <x:v>BLD-A</x:v>
      </x:c>
      <x:c r="E363" s="7" t="str">
        <x:v>BL-X</x:v>
      </x:c>
      <x:c r="F363" s="7" t="str">
        <x:v>MF-12</x:v>
      </x:c>
      <x:c r="G363" s="7" t="str">
        <x:v>candidate-water path state</x:v>
      </x:c>
      <x:c r="H363" s="7" t="n">
        <x:v>3</x:v>
      </x:c>
      <x:c r="I363" s="7" t="str"/>
      <x:c r="J363" s="7" t="str"/>
      <x:c r="K363" s="7" t="str"/>
      <x:c r="L363" s="7" t="str"/>
      <x:c r="M363" s="7" t="str"/>
      <x:c r="N363" s="7" t="str"/>
      <x:c r="O363" s="7" t="str">
        <x:f>IF(N363="","OPEN",IF(OR(I363="",J363="",K363="",L363="",M363=""),"FAIL","PASS"))</x:f>
        <x:v>OPEN</x:v>
      </x:c>
    </x:row>
    <x:row r="364">
      <x:c r="B364" s="7" t="str">
        <x:v>CH-PEA-A-X3-12-4</x:v>
      </x:c>
      <x:c r="C364" s="7" t="str">
        <x:v>PEA-A-X3</x:v>
      </x:c>
      <x:c r="D364" s="7" t="str">
        <x:v>BLD-A</x:v>
      </x:c>
      <x:c r="E364" s="7" t="str">
        <x:v>BL-X</x:v>
      </x:c>
      <x:c r="F364" s="7" t="str">
        <x:v>MF-12</x:v>
      </x:c>
      <x:c r="G364" s="7" t="str">
        <x:v>candidate-water path state</x:v>
      </x:c>
      <x:c r="H364" s="7" t="n">
        <x:v>4</x:v>
      </x:c>
      <x:c r="I364" s="7" t="str"/>
      <x:c r="J364" s="7" t="str"/>
      <x:c r="K364" s="7" t="str"/>
      <x:c r="L364" s="7" t="str"/>
      <x:c r="M364" s="7" t="str"/>
      <x:c r="N364" s="7" t="str"/>
      <x:c r="O364" s="7" t="str">
        <x:f>IF(N364="","OPEN",IF(OR(I364="",J364="",K364="",L364="",M364=""),"FAIL","PASS"))</x:f>
        <x:v>OPEN</x:v>
      </x:c>
    </x:row>
    <x:row r="365">
      <x:c r="B365" s="7" t="str">
        <x:v>CH-PEA-A-X3-12-5</x:v>
      </x:c>
      <x:c r="C365" s="7" t="str">
        <x:v>PEA-A-X3</x:v>
      </x:c>
      <x:c r="D365" s="7" t="str">
        <x:v>BLD-A</x:v>
      </x:c>
      <x:c r="E365" s="7" t="str">
        <x:v>BL-X</x:v>
      </x:c>
      <x:c r="F365" s="7" t="str">
        <x:v>MF-12</x:v>
      </x:c>
      <x:c r="G365" s="7" t="str">
        <x:v>candidate-water path state</x:v>
      </x:c>
      <x:c r="H365" s="7" t="n">
        <x:v>5</x:v>
      </x:c>
      <x:c r="I365" s="7" t="str"/>
      <x:c r="J365" s="7" t="str"/>
      <x:c r="K365" s="7" t="str"/>
      <x:c r="L365" s="7" t="str"/>
      <x:c r="M365" s="7" t="str"/>
      <x:c r="N365" s="7" t="str"/>
      <x:c r="O365" s="7" t="str">
        <x:f>IF(N365="","OPEN",IF(OR(I365="",J365="",K365="",L365="",M365=""),"FAIL","PASS"))</x:f>
        <x:v>OPEN</x:v>
      </x:c>
    </x:row>
    <x:row r="366">
      <x:c r="B366" s="7" t="str">
        <x:v>CH-PEA-A-X3-12-6</x:v>
      </x:c>
      <x:c r="C366" s="7" t="str">
        <x:v>PEA-A-X3</x:v>
      </x:c>
      <x:c r="D366" s="7" t="str">
        <x:v>BLD-A</x:v>
      </x:c>
      <x:c r="E366" s="7" t="str">
        <x:v>BL-X</x:v>
      </x:c>
      <x:c r="F366" s="7" t="str">
        <x:v>MF-12</x:v>
      </x:c>
      <x:c r="G366" s="7" t="str">
        <x:v>candidate-water path state</x:v>
      </x:c>
      <x:c r="H366" s="7" t="n">
        <x:v>6</x:v>
      </x:c>
      <x:c r="I366" s="7" t="str"/>
      <x:c r="J366" s="7" t="str"/>
      <x:c r="K366" s="7" t="str"/>
      <x:c r="L366" s="7" t="str"/>
      <x:c r="M366" s="7" t="str"/>
      <x:c r="N366" s="7" t="str"/>
      <x:c r="O366" s="7" t="str">
        <x:f>IF(N366="","OPEN",IF(OR(I366="",J366="",K366="",L366="",M366=""),"FAIL","PASS"))</x:f>
        <x:v>OPEN</x:v>
      </x:c>
    </x:row>
    <x:row r="367">
      <x:c r="B367" s="7" t="str">
        <x:v>CH-PEA-A-X3-13-1</x:v>
      </x:c>
      <x:c r="C367" s="7" t="str">
        <x:v>PEA-A-X3</x:v>
      </x:c>
      <x:c r="D367" s="7" t="str">
        <x:v>BLD-A</x:v>
      </x:c>
      <x:c r="E367" s="7" t="str">
        <x:v>BL-X</x:v>
      </x:c>
      <x:c r="F367" s="7" t="str">
        <x:v>MF-13</x:v>
      </x:c>
      <x:c r="G367" s="7" t="str">
        <x:v>final-element reference</x:v>
      </x:c>
      <x:c r="H367" s="7" t="n">
        <x:v>1</x:v>
      </x:c>
      <x:c r="I367" s="7" t="str"/>
      <x:c r="J367" s="7" t="str"/>
      <x:c r="K367" s="7" t="str"/>
      <x:c r="L367" s="7" t="str"/>
      <x:c r="M367" s="7" t="str"/>
      <x:c r="N367" s="7" t="str"/>
      <x:c r="O367" s="7" t="str">
        <x:f>IF(N367="","OPEN",IF(OR(I367="",J367="",K367="",L367="",M367=""),"FAIL","PASS"))</x:f>
        <x:v>OPEN</x:v>
      </x:c>
    </x:row>
    <x:row r="368">
      <x:c r="B368" s="7" t="str">
        <x:v>CH-PEA-A-X3-13-2</x:v>
      </x:c>
      <x:c r="C368" s="7" t="str">
        <x:v>PEA-A-X3</x:v>
      </x:c>
      <x:c r="D368" s="7" t="str">
        <x:v>BLD-A</x:v>
      </x:c>
      <x:c r="E368" s="7" t="str">
        <x:v>BL-X</x:v>
      </x:c>
      <x:c r="F368" s="7" t="str">
        <x:v>MF-13</x:v>
      </x:c>
      <x:c r="G368" s="7" t="str">
        <x:v>final-element reference</x:v>
      </x:c>
      <x:c r="H368" s="7" t="n">
        <x:v>2</x:v>
      </x:c>
      <x:c r="I368" s="7" t="str"/>
      <x:c r="J368" s="7" t="str"/>
      <x:c r="K368" s="7" t="str"/>
      <x:c r="L368" s="7" t="str"/>
      <x:c r="M368" s="7" t="str"/>
      <x:c r="N368" s="7" t="str"/>
      <x:c r="O368" s="7" t="str">
        <x:f>IF(N368="","OPEN",IF(OR(I368="",J368="",K368="",L368="",M368=""),"FAIL","PASS"))</x:f>
        <x:v>OPEN</x:v>
      </x:c>
    </x:row>
    <x:row r="369">
      <x:c r="B369" s="7" t="str">
        <x:v>CH-PEA-A-X3-13-3</x:v>
      </x:c>
      <x:c r="C369" s="7" t="str">
        <x:v>PEA-A-X3</x:v>
      </x:c>
      <x:c r="D369" s="7" t="str">
        <x:v>BLD-A</x:v>
      </x:c>
      <x:c r="E369" s="7" t="str">
        <x:v>BL-X</x:v>
      </x:c>
      <x:c r="F369" s="7" t="str">
        <x:v>MF-13</x:v>
      </x:c>
      <x:c r="G369" s="7" t="str">
        <x:v>final-element reference</x:v>
      </x:c>
      <x:c r="H369" s="7" t="n">
        <x:v>3</x:v>
      </x:c>
      <x:c r="I369" s="7" t="str"/>
      <x:c r="J369" s="7" t="str"/>
      <x:c r="K369" s="7" t="str"/>
      <x:c r="L369" s="7" t="str"/>
      <x:c r="M369" s="7" t="str"/>
      <x:c r="N369" s="7" t="str"/>
      <x:c r="O369" s="7" t="str">
        <x:f>IF(N369="","OPEN",IF(OR(I369="",J369="",K369="",L369="",M369=""),"FAIL","PASS"))</x:f>
        <x:v>OPEN</x:v>
      </x:c>
    </x:row>
    <x:row r="370">
      <x:c r="B370" s="7" t="str">
        <x:v>CH-PEA-A-X3-13-4</x:v>
      </x:c>
      <x:c r="C370" s="7" t="str">
        <x:v>PEA-A-X3</x:v>
      </x:c>
      <x:c r="D370" s="7" t="str">
        <x:v>BLD-A</x:v>
      </x:c>
      <x:c r="E370" s="7" t="str">
        <x:v>BL-X</x:v>
      </x:c>
      <x:c r="F370" s="7" t="str">
        <x:v>MF-13</x:v>
      </x:c>
      <x:c r="G370" s="7" t="str">
        <x:v>final-element reference</x:v>
      </x:c>
      <x:c r="H370" s="7" t="n">
        <x:v>4</x:v>
      </x:c>
      <x:c r="I370" s="7" t="str"/>
      <x:c r="J370" s="7" t="str"/>
      <x:c r="K370" s="7" t="str"/>
      <x:c r="L370" s="7" t="str"/>
      <x:c r="M370" s="7" t="str"/>
      <x:c r="N370" s="7" t="str"/>
      <x:c r="O370" s="7" t="str">
        <x:f>IF(N370="","OPEN",IF(OR(I370="",J370="",K370="",L370="",M370=""),"FAIL","PASS"))</x:f>
        <x:v>OPEN</x:v>
      </x:c>
    </x:row>
    <x:row r="371">
      <x:c r="B371" s="7" t="str">
        <x:v>CH-PEA-A-X3-13-5</x:v>
      </x:c>
      <x:c r="C371" s="7" t="str">
        <x:v>PEA-A-X3</x:v>
      </x:c>
      <x:c r="D371" s="7" t="str">
        <x:v>BLD-A</x:v>
      </x:c>
      <x:c r="E371" s="7" t="str">
        <x:v>BL-X</x:v>
      </x:c>
      <x:c r="F371" s="7" t="str">
        <x:v>MF-13</x:v>
      </x:c>
      <x:c r="G371" s="7" t="str">
        <x:v>final-element reference</x:v>
      </x:c>
      <x:c r="H371" s="7" t="n">
        <x:v>5</x:v>
      </x:c>
      <x:c r="I371" s="7" t="str"/>
      <x:c r="J371" s="7" t="str"/>
      <x:c r="K371" s="7" t="str"/>
      <x:c r="L371" s="7" t="str"/>
      <x:c r="M371" s="7" t="str"/>
      <x:c r="N371" s="7" t="str"/>
      <x:c r="O371" s="7" t="str">
        <x:f>IF(N371="","OPEN",IF(OR(I371="",J371="",K371="",L371="",M371=""),"FAIL","PASS"))</x:f>
        <x:v>OPEN</x:v>
      </x:c>
    </x:row>
    <x:row r="372">
      <x:c r="B372" s="7" t="str">
        <x:v>CH-PEA-A-X3-13-6</x:v>
      </x:c>
      <x:c r="C372" s="7" t="str">
        <x:v>PEA-A-X3</x:v>
      </x:c>
      <x:c r="D372" s="7" t="str">
        <x:v>BLD-A</x:v>
      </x:c>
      <x:c r="E372" s="7" t="str">
        <x:v>BL-X</x:v>
      </x:c>
      <x:c r="F372" s="7" t="str">
        <x:v>MF-13</x:v>
      </x:c>
      <x:c r="G372" s="7" t="str">
        <x:v>final-element reference</x:v>
      </x:c>
      <x:c r="H372" s="7" t="n">
        <x:v>6</x:v>
      </x:c>
      <x:c r="I372" s="7" t="str"/>
      <x:c r="J372" s="7" t="str"/>
      <x:c r="K372" s="7" t="str"/>
      <x:c r="L372" s="7" t="str"/>
      <x:c r="M372" s="7" t="str"/>
      <x:c r="N372" s="7" t="str"/>
      <x:c r="O372" s="7" t="str">
        <x:f>IF(N372="","OPEN",IF(OR(I372="",J372="",K372="",L372="",M372=""),"FAIL","PASS"))</x:f>
        <x:v>OPEN</x:v>
      </x:c>
    </x:row>
    <x:row r="373">
      <x:c r="B373" s="7" t="str">
        <x:v>CH-PEA-A-X3-14-1</x:v>
      </x:c>
      <x:c r="C373" s="7" t="str">
        <x:v>PEA-A-X3</x:v>
      </x:c>
      <x:c r="D373" s="7" t="str">
        <x:v>BLD-A</x:v>
      </x:c>
      <x:c r="E373" s="7" t="str">
        <x:v>BL-X</x:v>
      </x:c>
      <x:c r="F373" s="7" t="str">
        <x:v>MF-14</x:v>
      </x:c>
      <x:c r="G373" s="7" t="str">
        <x:v>causal time</x:v>
      </x:c>
      <x:c r="H373" s="7" t="n">
        <x:v>1</x:v>
      </x:c>
      <x:c r="I373" s="7" t="str"/>
      <x:c r="J373" s="7" t="str"/>
      <x:c r="K373" s="7" t="str"/>
      <x:c r="L373" s="7" t="str"/>
      <x:c r="M373" s="7" t="str"/>
      <x:c r="N373" s="7" t="str"/>
      <x:c r="O373" s="7" t="str">
        <x:f>IF(N373="","OPEN",IF(OR(I373="",J373="",K373="",L373="",M373=""),"FAIL","PASS"))</x:f>
        <x:v>OPEN</x:v>
      </x:c>
    </x:row>
    <x:row r="374">
      <x:c r="B374" s="7" t="str">
        <x:v>CH-PEA-A-X3-14-2</x:v>
      </x:c>
      <x:c r="C374" s="7" t="str">
        <x:v>PEA-A-X3</x:v>
      </x:c>
      <x:c r="D374" s="7" t="str">
        <x:v>BLD-A</x:v>
      </x:c>
      <x:c r="E374" s="7" t="str">
        <x:v>BL-X</x:v>
      </x:c>
      <x:c r="F374" s="7" t="str">
        <x:v>MF-14</x:v>
      </x:c>
      <x:c r="G374" s="7" t="str">
        <x:v>causal time</x:v>
      </x:c>
      <x:c r="H374" s="7" t="n">
        <x:v>2</x:v>
      </x:c>
      <x:c r="I374" s="7" t="str"/>
      <x:c r="J374" s="7" t="str"/>
      <x:c r="K374" s="7" t="str"/>
      <x:c r="L374" s="7" t="str"/>
      <x:c r="M374" s="7" t="str"/>
      <x:c r="N374" s="7" t="str"/>
      <x:c r="O374" s="7" t="str">
        <x:f>IF(N374="","OPEN",IF(OR(I374="",J374="",K374="",L374="",M374=""),"FAIL","PASS"))</x:f>
        <x:v>OPEN</x:v>
      </x:c>
    </x:row>
    <x:row r="375">
      <x:c r="B375" s="7" t="str">
        <x:v>CH-PEA-A-X3-14-3</x:v>
      </x:c>
      <x:c r="C375" s="7" t="str">
        <x:v>PEA-A-X3</x:v>
      </x:c>
      <x:c r="D375" s="7" t="str">
        <x:v>BLD-A</x:v>
      </x:c>
      <x:c r="E375" s="7" t="str">
        <x:v>BL-X</x:v>
      </x:c>
      <x:c r="F375" s="7" t="str">
        <x:v>MF-14</x:v>
      </x:c>
      <x:c r="G375" s="7" t="str">
        <x:v>causal time</x:v>
      </x:c>
      <x:c r="H375" s="7" t="n">
        <x:v>3</x:v>
      </x:c>
      <x:c r="I375" s="7" t="str"/>
      <x:c r="J375" s="7" t="str"/>
      <x:c r="K375" s="7" t="str"/>
      <x:c r="L375" s="7" t="str"/>
      <x:c r="M375" s="7" t="str"/>
      <x:c r="N375" s="7" t="str"/>
      <x:c r="O375" s="7" t="str">
        <x:f>IF(N375="","OPEN",IF(OR(I375="",J375="",K375="",L375="",M375=""),"FAIL","PASS"))</x:f>
        <x:v>OPEN</x:v>
      </x:c>
    </x:row>
    <x:row r="376">
      <x:c r="B376" s="7" t="str">
        <x:v>CH-PEA-A-X3-14-4</x:v>
      </x:c>
      <x:c r="C376" s="7" t="str">
        <x:v>PEA-A-X3</x:v>
      </x:c>
      <x:c r="D376" s="7" t="str">
        <x:v>BLD-A</x:v>
      </x:c>
      <x:c r="E376" s="7" t="str">
        <x:v>BL-X</x:v>
      </x:c>
      <x:c r="F376" s="7" t="str">
        <x:v>MF-14</x:v>
      </x:c>
      <x:c r="G376" s="7" t="str">
        <x:v>causal time</x:v>
      </x:c>
      <x:c r="H376" s="7" t="n">
        <x:v>4</x:v>
      </x:c>
      <x:c r="I376" s="7" t="str"/>
      <x:c r="J376" s="7" t="str"/>
      <x:c r="K376" s="7" t="str"/>
      <x:c r="L376" s="7" t="str"/>
      <x:c r="M376" s="7" t="str"/>
      <x:c r="N376" s="7" t="str"/>
      <x:c r="O376" s="7" t="str">
        <x:f>IF(N376="","OPEN",IF(OR(I376="",J376="",K376="",L376="",M376=""),"FAIL","PASS"))</x:f>
        <x:v>OPEN</x:v>
      </x:c>
    </x:row>
    <x:row r="377">
      <x:c r="B377" s="7" t="str">
        <x:v>CH-PEA-A-X3-14-5</x:v>
      </x:c>
      <x:c r="C377" s="7" t="str">
        <x:v>PEA-A-X3</x:v>
      </x:c>
      <x:c r="D377" s="7" t="str">
        <x:v>BLD-A</x:v>
      </x:c>
      <x:c r="E377" s="7" t="str">
        <x:v>BL-X</x:v>
      </x:c>
      <x:c r="F377" s="7" t="str">
        <x:v>MF-14</x:v>
      </x:c>
      <x:c r="G377" s="7" t="str">
        <x:v>causal time</x:v>
      </x:c>
      <x:c r="H377" s="7" t="n">
        <x:v>5</x:v>
      </x:c>
      <x:c r="I377" s="7" t="str"/>
      <x:c r="J377" s="7" t="str"/>
      <x:c r="K377" s="7" t="str"/>
      <x:c r="L377" s="7" t="str"/>
      <x:c r="M377" s="7" t="str"/>
      <x:c r="N377" s="7" t="str"/>
      <x:c r="O377" s="7" t="str">
        <x:f>IF(N377="","OPEN",IF(OR(I377="",J377="",K377="",L377="",M377=""),"FAIL","PASS"))</x:f>
        <x:v>OPEN</x:v>
      </x:c>
    </x:row>
    <x:row r="378">
      <x:c r="B378" s="7" t="str">
        <x:v>CH-PEA-A-X3-14-6</x:v>
      </x:c>
      <x:c r="C378" s="7" t="str">
        <x:v>PEA-A-X3</x:v>
      </x:c>
      <x:c r="D378" s="7" t="str">
        <x:v>BLD-A</x:v>
      </x:c>
      <x:c r="E378" s="7" t="str">
        <x:v>BL-X</x:v>
      </x:c>
      <x:c r="F378" s="7" t="str">
        <x:v>MF-14</x:v>
      </x:c>
      <x:c r="G378" s="7" t="str">
        <x:v>causal time</x:v>
      </x:c>
      <x:c r="H378" s="7" t="n">
        <x:v>6</x:v>
      </x:c>
      <x:c r="I378" s="7" t="str"/>
      <x:c r="J378" s="7" t="str"/>
      <x:c r="K378" s="7" t="str"/>
      <x:c r="L378" s="7" t="str"/>
      <x:c r="M378" s="7" t="str"/>
      <x:c r="N378" s="7" t="str"/>
      <x:c r="O378" s="7" t="str">
        <x:f>IF(N378="","OPEN",IF(OR(I378="",J378="",K378="",L378="",M378=""),"FAIL","PASS"))</x:f>
        <x:v>OPEN</x:v>
      </x:c>
    </x:row>
    <x:row r="379">
      <x:c r="B379" s="7" t="str">
        <x:v>CH-PEA-A-X3-15-1</x:v>
      </x:c>
      <x:c r="C379" s="7" t="str">
        <x:v>PEA-A-X3</x:v>
      </x:c>
      <x:c r="D379" s="7" t="str">
        <x:v>BLD-A</x:v>
      </x:c>
      <x:c r="E379" s="7" t="str">
        <x:v>BL-X</x:v>
      </x:c>
      <x:c r="F379" s="7" t="str">
        <x:v>MF-15</x:v>
      </x:c>
      <x:c r="G379" s="7" t="str">
        <x:v>source motive energy</x:v>
      </x:c>
      <x:c r="H379" s="7" t="n">
        <x:v>1</x:v>
      </x:c>
      <x:c r="I379" s="7" t="str"/>
      <x:c r="J379" s="7" t="str"/>
      <x:c r="K379" s="7" t="str"/>
      <x:c r="L379" s="7" t="str"/>
      <x:c r="M379" s="7" t="str"/>
      <x:c r="N379" s="7" t="str"/>
      <x:c r="O379" s="7" t="str">
        <x:f>IF(N379="","OPEN",IF(OR(I379="",J379="",K379="",L379="",M379=""),"FAIL","PASS"))</x:f>
        <x:v>OPEN</x:v>
      </x:c>
    </x:row>
    <x:row r="380">
      <x:c r="B380" s="7" t="str">
        <x:v>CH-PEA-A-X3-15-2</x:v>
      </x:c>
      <x:c r="C380" s="7" t="str">
        <x:v>PEA-A-X3</x:v>
      </x:c>
      <x:c r="D380" s="7" t="str">
        <x:v>BLD-A</x:v>
      </x:c>
      <x:c r="E380" s="7" t="str">
        <x:v>BL-X</x:v>
      </x:c>
      <x:c r="F380" s="7" t="str">
        <x:v>MF-15</x:v>
      </x:c>
      <x:c r="G380" s="7" t="str">
        <x:v>source motive energy</x:v>
      </x:c>
      <x:c r="H380" s="7" t="n">
        <x:v>2</x:v>
      </x:c>
      <x:c r="I380" s="7" t="str"/>
      <x:c r="J380" s="7" t="str"/>
      <x:c r="K380" s="7" t="str"/>
      <x:c r="L380" s="7" t="str"/>
      <x:c r="M380" s="7" t="str"/>
      <x:c r="N380" s="7" t="str"/>
      <x:c r="O380" s="7" t="str">
        <x:f>IF(N380="","OPEN",IF(OR(I380="",J380="",K380="",L380="",M380=""),"FAIL","PASS"))</x:f>
        <x:v>OPEN</x:v>
      </x:c>
    </x:row>
    <x:row r="381">
      <x:c r="B381" s="7" t="str">
        <x:v>CH-PEA-A-X3-15-3</x:v>
      </x:c>
      <x:c r="C381" s="7" t="str">
        <x:v>PEA-A-X3</x:v>
      </x:c>
      <x:c r="D381" s="7" t="str">
        <x:v>BLD-A</x:v>
      </x:c>
      <x:c r="E381" s="7" t="str">
        <x:v>BL-X</x:v>
      </x:c>
      <x:c r="F381" s="7" t="str">
        <x:v>MF-15</x:v>
      </x:c>
      <x:c r="G381" s="7" t="str">
        <x:v>source motive energy</x:v>
      </x:c>
      <x:c r="H381" s="7" t="n">
        <x:v>3</x:v>
      </x:c>
      <x:c r="I381" s="7" t="str"/>
      <x:c r="J381" s="7" t="str"/>
      <x:c r="K381" s="7" t="str"/>
      <x:c r="L381" s="7" t="str"/>
      <x:c r="M381" s="7" t="str"/>
      <x:c r="N381" s="7" t="str"/>
      <x:c r="O381" s="7" t="str">
        <x:f>IF(N381="","OPEN",IF(OR(I381="",J381="",K381="",L381="",M381=""),"FAIL","PASS"))</x:f>
        <x:v>OPEN</x:v>
      </x:c>
    </x:row>
    <x:row r="382">
      <x:c r="B382" s="7" t="str">
        <x:v>CH-PEA-A-X3-15-4</x:v>
      </x:c>
      <x:c r="C382" s="7" t="str">
        <x:v>PEA-A-X3</x:v>
      </x:c>
      <x:c r="D382" s="7" t="str">
        <x:v>BLD-A</x:v>
      </x:c>
      <x:c r="E382" s="7" t="str">
        <x:v>BL-X</x:v>
      </x:c>
      <x:c r="F382" s="7" t="str">
        <x:v>MF-15</x:v>
      </x:c>
      <x:c r="G382" s="7" t="str">
        <x:v>source motive energy</x:v>
      </x:c>
      <x:c r="H382" s="7" t="n">
        <x:v>4</x:v>
      </x:c>
      <x:c r="I382" s="7" t="str"/>
      <x:c r="J382" s="7" t="str"/>
      <x:c r="K382" s="7" t="str"/>
      <x:c r="L382" s="7" t="str"/>
      <x:c r="M382" s="7" t="str"/>
      <x:c r="N382" s="7" t="str"/>
      <x:c r="O382" s="7" t="str">
        <x:f>IF(N382="","OPEN",IF(OR(I382="",J382="",K382="",L382="",M382=""),"FAIL","PASS"))</x:f>
        <x:v>OPEN</x:v>
      </x:c>
    </x:row>
    <x:row r="383">
      <x:c r="B383" s="7" t="str">
        <x:v>CH-PEA-A-X3-15-5</x:v>
      </x:c>
      <x:c r="C383" s="7" t="str">
        <x:v>PEA-A-X3</x:v>
      </x:c>
      <x:c r="D383" s="7" t="str">
        <x:v>BLD-A</x:v>
      </x:c>
      <x:c r="E383" s="7" t="str">
        <x:v>BL-X</x:v>
      </x:c>
      <x:c r="F383" s="7" t="str">
        <x:v>MF-15</x:v>
      </x:c>
      <x:c r="G383" s="7" t="str">
        <x:v>source motive energy</x:v>
      </x:c>
      <x:c r="H383" s="7" t="n">
        <x:v>5</x:v>
      </x:c>
      <x:c r="I383" s="7" t="str"/>
      <x:c r="J383" s="7" t="str"/>
      <x:c r="K383" s="7" t="str"/>
      <x:c r="L383" s="7" t="str"/>
      <x:c r="M383" s="7" t="str"/>
      <x:c r="N383" s="7" t="str"/>
      <x:c r="O383" s="7" t="str">
        <x:f>IF(N383="","OPEN",IF(OR(I383="",J383="",K383="",L383="",M383=""),"FAIL","PASS"))</x:f>
        <x:v>OPEN</x:v>
      </x:c>
    </x:row>
    <x:row r="384">
      <x:c r="B384" s="7" t="str">
        <x:v>CH-PEA-A-X3-15-6</x:v>
      </x:c>
      <x:c r="C384" s="7" t="str">
        <x:v>PEA-A-X3</x:v>
      </x:c>
      <x:c r="D384" s="7" t="str">
        <x:v>BLD-A</x:v>
      </x:c>
      <x:c r="E384" s="7" t="str">
        <x:v>BL-X</x:v>
      </x:c>
      <x:c r="F384" s="7" t="str">
        <x:v>MF-15</x:v>
      </x:c>
      <x:c r="G384" s="7" t="str">
        <x:v>source motive energy</x:v>
      </x:c>
      <x:c r="H384" s="7" t="n">
        <x:v>6</x:v>
      </x:c>
      <x:c r="I384" s="7" t="str"/>
      <x:c r="J384" s="7" t="str"/>
      <x:c r="K384" s="7" t="str"/>
      <x:c r="L384" s="7" t="str"/>
      <x:c r="M384" s="7" t="str"/>
      <x:c r="N384" s="7" t="str"/>
      <x:c r="O384" s="7" t="str">
        <x:f>IF(N384="","OPEN",IF(OR(I384="",J384="",K384="",L384="",M384=""),"FAIL","PASS"))</x:f>
        <x:v>OPEN</x:v>
      </x:c>
    </x:row>
    <x:row r="385">
      <x:c r="B385" s="7" t="str">
        <x:v>CH-PEA-A-X3-16-1</x:v>
      </x:c>
      <x:c r="C385" s="7" t="str">
        <x:v>PEA-A-X3</x:v>
      </x:c>
      <x:c r="D385" s="7" t="str">
        <x:v>BLD-A</x:v>
      </x:c>
      <x:c r="E385" s="7" t="str">
        <x:v>BL-X</x:v>
      </x:c>
      <x:c r="F385" s="7" t="str">
        <x:v>MF-16</x:v>
      </x:c>
      <x:c r="G385" s="7" t="str">
        <x:v>water motive energy</x:v>
      </x:c>
      <x:c r="H385" s="7" t="n">
        <x:v>1</x:v>
      </x:c>
      <x:c r="I385" s="7" t="str"/>
      <x:c r="J385" s="7" t="str"/>
      <x:c r="K385" s="7" t="str"/>
      <x:c r="L385" s="7" t="str"/>
      <x:c r="M385" s="7" t="str"/>
      <x:c r="N385" s="7" t="str"/>
      <x:c r="O385" s="7" t="str">
        <x:f>IF(N385="","OPEN",IF(OR(I385="",J385="",K385="",L385="",M385=""),"FAIL","PASS"))</x:f>
        <x:v>OPEN</x:v>
      </x:c>
    </x:row>
    <x:row r="386">
      <x:c r="B386" s="7" t="str">
        <x:v>CH-PEA-A-X3-16-2</x:v>
      </x:c>
      <x:c r="C386" s="7" t="str">
        <x:v>PEA-A-X3</x:v>
      </x:c>
      <x:c r="D386" s="7" t="str">
        <x:v>BLD-A</x:v>
      </x:c>
      <x:c r="E386" s="7" t="str">
        <x:v>BL-X</x:v>
      </x:c>
      <x:c r="F386" s="7" t="str">
        <x:v>MF-16</x:v>
      </x:c>
      <x:c r="G386" s="7" t="str">
        <x:v>water motive energy</x:v>
      </x:c>
      <x:c r="H386" s="7" t="n">
        <x:v>2</x:v>
      </x:c>
      <x:c r="I386" s="7" t="str"/>
      <x:c r="J386" s="7" t="str"/>
      <x:c r="K386" s="7" t="str"/>
      <x:c r="L386" s="7" t="str"/>
      <x:c r="M386" s="7" t="str"/>
      <x:c r="N386" s="7" t="str"/>
      <x:c r="O386" s="7" t="str">
        <x:f>IF(N386="","OPEN",IF(OR(I386="",J386="",K386="",L386="",M386=""),"FAIL","PASS"))</x:f>
        <x:v>OPEN</x:v>
      </x:c>
    </x:row>
    <x:row r="387">
      <x:c r="B387" s="7" t="str">
        <x:v>CH-PEA-A-X3-16-3</x:v>
      </x:c>
      <x:c r="C387" s="7" t="str">
        <x:v>PEA-A-X3</x:v>
      </x:c>
      <x:c r="D387" s="7" t="str">
        <x:v>BLD-A</x:v>
      </x:c>
      <x:c r="E387" s="7" t="str">
        <x:v>BL-X</x:v>
      </x:c>
      <x:c r="F387" s="7" t="str">
        <x:v>MF-16</x:v>
      </x:c>
      <x:c r="G387" s="7" t="str">
        <x:v>water motive energy</x:v>
      </x:c>
      <x:c r="H387" s="7" t="n">
        <x:v>3</x:v>
      </x:c>
      <x:c r="I387" s="7" t="str"/>
      <x:c r="J387" s="7" t="str"/>
      <x:c r="K387" s="7" t="str"/>
      <x:c r="L387" s="7" t="str"/>
      <x:c r="M387" s="7" t="str"/>
      <x:c r="N387" s="7" t="str"/>
      <x:c r="O387" s="7" t="str">
        <x:f>IF(N387="","OPEN",IF(OR(I387="",J387="",K387="",L387="",M387=""),"FAIL","PASS"))</x:f>
        <x:v>OPEN</x:v>
      </x:c>
    </x:row>
    <x:row r="388">
      <x:c r="B388" s="7" t="str">
        <x:v>CH-PEA-A-X3-16-4</x:v>
      </x:c>
      <x:c r="C388" s="7" t="str">
        <x:v>PEA-A-X3</x:v>
      </x:c>
      <x:c r="D388" s="7" t="str">
        <x:v>BLD-A</x:v>
      </x:c>
      <x:c r="E388" s="7" t="str">
        <x:v>BL-X</x:v>
      </x:c>
      <x:c r="F388" s="7" t="str">
        <x:v>MF-16</x:v>
      </x:c>
      <x:c r="G388" s="7" t="str">
        <x:v>water motive energy</x:v>
      </x:c>
      <x:c r="H388" s="7" t="n">
        <x:v>4</x:v>
      </x:c>
      <x:c r="I388" s="7" t="str"/>
      <x:c r="J388" s="7" t="str"/>
      <x:c r="K388" s="7" t="str"/>
      <x:c r="L388" s="7" t="str"/>
      <x:c r="M388" s="7" t="str"/>
      <x:c r="N388" s="7" t="str"/>
      <x:c r="O388" s="7" t="str">
        <x:f>IF(N388="","OPEN",IF(OR(I388="",J388="",K388="",L388="",M388=""),"FAIL","PASS"))</x:f>
        <x:v>OPEN</x:v>
      </x:c>
    </x:row>
    <x:row r="389">
      <x:c r="B389" s="7" t="str">
        <x:v>CH-PEA-A-X3-16-5</x:v>
      </x:c>
      <x:c r="C389" s="7" t="str">
        <x:v>PEA-A-X3</x:v>
      </x:c>
      <x:c r="D389" s="7" t="str">
        <x:v>BLD-A</x:v>
      </x:c>
      <x:c r="E389" s="7" t="str">
        <x:v>BL-X</x:v>
      </x:c>
      <x:c r="F389" s="7" t="str">
        <x:v>MF-16</x:v>
      </x:c>
      <x:c r="G389" s="7" t="str">
        <x:v>water motive energy</x:v>
      </x:c>
      <x:c r="H389" s="7" t="n">
        <x:v>5</x:v>
      </x:c>
      <x:c r="I389" s="7" t="str"/>
      <x:c r="J389" s="7" t="str"/>
      <x:c r="K389" s="7" t="str"/>
      <x:c r="L389" s="7" t="str"/>
      <x:c r="M389" s="7" t="str"/>
      <x:c r="N389" s="7" t="str"/>
      <x:c r="O389" s="7" t="str">
        <x:f>IF(N389="","OPEN",IF(OR(I389="",J389="",K389="",L389="",M389=""),"FAIL","PASS"))</x:f>
        <x:v>OPEN</x:v>
      </x:c>
    </x:row>
    <x:row r="390">
      <x:c r="B390" s="7" t="str">
        <x:v>CH-PEA-A-X3-16-6</x:v>
      </x:c>
      <x:c r="C390" s="7" t="str">
        <x:v>PEA-A-X3</x:v>
      </x:c>
      <x:c r="D390" s="7" t="str">
        <x:v>BLD-A</x:v>
      </x:c>
      <x:c r="E390" s="7" t="str">
        <x:v>BL-X</x:v>
      </x:c>
      <x:c r="F390" s="7" t="str">
        <x:v>MF-16</x:v>
      </x:c>
      <x:c r="G390" s="7" t="str">
        <x:v>water motive energy</x:v>
      </x:c>
      <x:c r="H390" s="7" t="n">
        <x:v>6</x:v>
      </x:c>
      <x:c r="I390" s="7" t="str"/>
      <x:c r="J390" s="7" t="str"/>
      <x:c r="K390" s="7" t="str"/>
      <x:c r="L390" s="7" t="str"/>
      <x:c r="M390" s="7" t="str"/>
      <x:c r="N390" s="7" t="str"/>
      <x:c r="O390" s="7" t="str">
        <x:f>IF(N390="","OPEN",IF(OR(I390="",J390="",K390="",L390="",M390=""),"FAIL","PASS"))</x:f>
        <x:v>OPEN</x:v>
      </x:c>
    </x:row>
    <x:row r="391">
      <x:c r="B391" s="7" t="str">
        <x:v>CH-PEA-A-X3-17-1</x:v>
      </x:c>
      <x:c r="C391" s="7" t="str">
        <x:v>PEA-A-X3</x:v>
      </x:c>
      <x:c r="D391" s="7" t="str">
        <x:v>BLD-A</x:v>
      </x:c>
      <x:c r="E391" s="7" t="str">
        <x:v>BL-X</x:v>
      </x:c>
      <x:c r="F391" s="7" t="str">
        <x:v>MF-17</x:v>
      </x:c>
      <x:c r="G391" s="7" t="str">
        <x:v>normal power</x:v>
      </x:c>
      <x:c r="H391" s="7" t="n">
        <x:v>1</x:v>
      </x:c>
      <x:c r="I391" s="7" t="str"/>
      <x:c r="J391" s="7" t="str"/>
      <x:c r="K391" s="7" t="str"/>
      <x:c r="L391" s="7" t="str"/>
      <x:c r="M391" s="7" t="str"/>
      <x:c r="N391" s="7" t="str"/>
      <x:c r="O391" s="7" t="str">
        <x:f>IF(N391="","OPEN",IF(OR(I391="",J391="",K391="",L391="",M391=""),"FAIL","PASS"))</x:f>
        <x:v>OPEN</x:v>
      </x:c>
    </x:row>
    <x:row r="392">
      <x:c r="B392" s="7" t="str">
        <x:v>CH-PEA-A-X3-17-2</x:v>
      </x:c>
      <x:c r="C392" s="7" t="str">
        <x:v>PEA-A-X3</x:v>
      </x:c>
      <x:c r="D392" s="7" t="str">
        <x:v>BLD-A</x:v>
      </x:c>
      <x:c r="E392" s="7" t="str">
        <x:v>BL-X</x:v>
      </x:c>
      <x:c r="F392" s="7" t="str">
        <x:v>MF-17</x:v>
      </x:c>
      <x:c r="G392" s="7" t="str">
        <x:v>normal power</x:v>
      </x:c>
      <x:c r="H392" s="7" t="n">
        <x:v>2</x:v>
      </x:c>
      <x:c r="I392" s="7" t="str"/>
      <x:c r="J392" s="7" t="str"/>
      <x:c r="K392" s="7" t="str"/>
      <x:c r="L392" s="7" t="str"/>
      <x:c r="M392" s="7" t="str"/>
      <x:c r="N392" s="7" t="str"/>
      <x:c r="O392" s="7" t="str">
        <x:f>IF(N392="","OPEN",IF(OR(I392="",J392="",K392="",L392="",M392=""),"FAIL","PASS"))</x:f>
        <x:v>OPEN</x:v>
      </x:c>
    </x:row>
    <x:row r="393">
      <x:c r="B393" s="7" t="str">
        <x:v>CH-PEA-A-X3-17-3</x:v>
      </x:c>
      <x:c r="C393" s="7" t="str">
        <x:v>PEA-A-X3</x:v>
      </x:c>
      <x:c r="D393" s="7" t="str">
        <x:v>BLD-A</x:v>
      </x:c>
      <x:c r="E393" s="7" t="str">
        <x:v>BL-X</x:v>
      </x:c>
      <x:c r="F393" s="7" t="str">
        <x:v>MF-17</x:v>
      </x:c>
      <x:c r="G393" s="7" t="str">
        <x:v>normal power</x:v>
      </x:c>
      <x:c r="H393" s="7" t="n">
        <x:v>3</x:v>
      </x:c>
      <x:c r="I393" s="7" t="str"/>
      <x:c r="J393" s="7" t="str"/>
      <x:c r="K393" s="7" t="str"/>
      <x:c r="L393" s="7" t="str"/>
      <x:c r="M393" s="7" t="str"/>
      <x:c r="N393" s="7" t="str"/>
      <x:c r="O393" s="7" t="str">
        <x:f>IF(N393="","OPEN",IF(OR(I393="",J393="",K393="",L393="",M393=""),"FAIL","PASS"))</x:f>
        <x:v>OPEN</x:v>
      </x:c>
    </x:row>
    <x:row r="394">
      <x:c r="B394" s="7" t="str">
        <x:v>CH-PEA-A-X3-17-4</x:v>
      </x:c>
      <x:c r="C394" s="7" t="str">
        <x:v>PEA-A-X3</x:v>
      </x:c>
      <x:c r="D394" s="7" t="str">
        <x:v>BLD-A</x:v>
      </x:c>
      <x:c r="E394" s="7" t="str">
        <x:v>BL-X</x:v>
      </x:c>
      <x:c r="F394" s="7" t="str">
        <x:v>MF-17</x:v>
      </x:c>
      <x:c r="G394" s="7" t="str">
        <x:v>normal power</x:v>
      </x:c>
      <x:c r="H394" s="7" t="n">
        <x:v>4</x:v>
      </x:c>
      <x:c r="I394" s="7" t="str"/>
      <x:c r="J394" s="7" t="str"/>
      <x:c r="K394" s="7" t="str"/>
      <x:c r="L394" s="7" t="str"/>
      <x:c r="M394" s="7" t="str"/>
      <x:c r="N394" s="7" t="str"/>
      <x:c r="O394" s="7" t="str">
        <x:f>IF(N394="","OPEN",IF(OR(I394="",J394="",K394="",L394="",M394=""),"FAIL","PASS"))</x:f>
        <x:v>OPEN</x:v>
      </x:c>
    </x:row>
    <x:row r="395">
      <x:c r="B395" s="7" t="str">
        <x:v>CH-PEA-A-X3-17-5</x:v>
      </x:c>
      <x:c r="C395" s="7" t="str">
        <x:v>PEA-A-X3</x:v>
      </x:c>
      <x:c r="D395" s="7" t="str">
        <x:v>BLD-A</x:v>
      </x:c>
      <x:c r="E395" s="7" t="str">
        <x:v>BL-X</x:v>
      </x:c>
      <x:c r="F395" s="7" t="str">
        <x:v>MF-17</x:v>
      </x:c>
      <x:c r="G395" s="7" t="str">
        <x:v>normal power</x:v>
      </x:c>
      <x:c r="H395" s="7" t="n">
        <x:v>5</x:v>
      </x:c>
      <x:c r="I395" s="7" t="str"/>
      <x:c r="J395" s="7" t="str"/>
      <x:c r="K395" s="7" t="str"/>
      <x:c r="L395" s="7" t="str"/>
      <x:c r="M395" s="7" t="str"/>
      <x:c r="N395" s="7" t="str"/>
      <x:c r="O395" s="7" t="str">
        <x:f>IF(N395="","OPEN",IF(OR(I395="",J395="",K395="",L395="",M395=""),"FAIL","PASS"))</x:f>
        <x:v>OPEN</x:v>
      </x:c>
    </x:row>
    <x:row r="396">
      <x:c r="B396" s="7" t="str">
        <x:v>CH-PEA-A-X3-17-6</x:v>
      </x:c>
      <x:c r="C396" s="7" t="str">
        <x:v>PEA-A-X3</x:v>
      </x:c>
      <x:c r="D396" s="7" t="str">
        <x:v>BLD-A</x:v>
      </x:c>
      <x:c r="E396" s="7" t="str">
        <x:v>BL-X</x:v>
      </x:c>
      <x:c r="F396" s="7" t="str">
        <x:v>MF-17</x:v>
      </x:c>
      <x:c r="G396" s="7" t="str">
        <x:v>normal power</x:v>
      </x:c>
      <x:c r="H396" s="7" t="n">
        <x:v>6</x:v>
      </x:c>
      <x:c r="I396" s="7" t="str"/>
      <x:c r="J396" s="7" t="str"/>
      <x:c r="K396" s="7" t="str"/>
      <x:c r="L396" s="7" t="str"/>
      <x:c r="M396" s="7" t="str"/>
      <x:c r="N396" s="7" t="str"/>
      <x:c r="O396" s="7" t="str">
        <x:f>IF(N396="","OPEN",IF(OR(I396="",J396="",K396="",L396="",M396=""),"FAIL","PASS"))</x:f>
        <x:v>OPEN</x:v>
      </x:c>
    </x:row>
    <x:row r="397">
      <x:c r="B397" s="7" t="str">
        <x:v>CH-PEA-A-X3-18-1</x:v>
      </x:c>
      <x:c r="C397" s="7" t="str">
        <x:v>PEA-A-X3</x:v>
      </x:c>
      <x:c r="D397" s="7" t="str">
        <x:v>BLD-A</x:v>
      </x:c>
      <x:c r="E397" s="7" t="str">
        <x:v>BL-X</x:v>
      </x:c>
      <x:c r="F397" s="7" t="str">
        <x:v>MF-18</x:v>
      </x:c>
      <x:c r="G397" s="7" t="str">
        <x:v>independent power</x:v>
      </x:c>
      <x:c r="H397" s="7" t="n">
        <x:v>1</x:v>
      </x:c>
      <x:c r="I397" s="7" t="str"/>
      <x:c r="J397" s="7" t="str"/>
      <x:c r="K397" s="7" t="str"/>
      <x:c r="L397" s="7" t="str"/>
      <x:c r="M397" s="7" t="str"/>
      <x:c r="N397" s="7" t="str"/>
      <x:c r="O397" s="7" t="str">
        <x:f>IF(N397="","OPEN",IF(OR(I397="",J397="",K397="",L397="",M397=""),"FAIL","PASS"))</x:f>
        <x:v>OPEN</x:v>
      </x:c>
    </x:row>
    <x:row r="398">
      <x:c r="B398" s="7" t="str">
        <x:v>CH-PEA-A-X3-18-2</x:v>
      </x:c>
      <x:c r="C398" s="7" t="str">
        <x:v>PEA-A-X3</x:v>
      </x:c>
      <x:c r="D398" s="7" t="str">
        <x:v>BLD-A</x:v>
      </x:c>
      <x:c r="E398" s="7" t="str">
        <x:v>BL-X</x:v>
      </x:c>
      <x:c r="F398" s="7" t="str">
        <x:v>MF-18</x:v>
      </x:c>
      <x:c r="G398" s="7" t="str">
        <x:v>independent power</x:v>
      </x:c>
      <x:c r="H398" s="7" t="n">
        <x:v>2</x:v>
      </x:c>
      <x:c r="I398" s="7" t="str"/>
      <x:c r="J398" s="7" t="str"/>
      <x:c r="K398" s="7" t="str"/>
      <x:c r="L398" s="7" t="str"/>
      <x:c r="M398" s="7" t="str"/>
      <x:c r="N398" s="7" t="str"/>
      <x:c r="O398" s="7" t="str">
        <x:f>IF(N398="","OPEN",IF(OR(I398="",J398="",K398="",L398="",M398=""),"FAIL","PASS"))</x:f>
        <x:v>OPEN</x:v>
      </x:c>
    </x:row>
    <x:row r="399">
      <x:c r="B399" s="7" t="str">
        <x:v>CH-PEA-A-X3-18-3</x:v>
      </x:c>
      <x:c r="C399" s="7" t="str">
        <x:v>PEA-A-X3</x:v>
      </x:c>
      <x:c r="D399" s="7" t="str">
        <x:v>BLD-A</x:v>
      </x:c>
      <x:c r="E399" s="7" t="str">
        <x:v>BL-X</x:v>
      </x:c>
      <x:c r="F399" s="7" t="str">
        <x:v>MF-18</x:v>
      </x:c>
      <x:c r="G399" s="7" t="str">
        <x:v>independent power</x:v>
      </x:c>
      <x:c r="H399" s="7" t="n">
        <x:v>3</x:v>
      </x:c>
      <x:c r="I399" s="7" t="str"/>
      <x:c r="J399" s="7" t="str"/>
      <x:c r="K399" s="7" t="str"/>
      <x:c r="L399" s="7" t="str"/>
      <x:c r="M399" s="7" t="str"/>
      <x:c r="N399" s="7" t="str"/>
      <x:c r="O399" s="7" t="str">
        <x:f>IF(N399="","OPEN",IF(OR(I399="",J399="",K399="",L399="",M399=""),"FAIL","PASS"))</x:f>
        <x:v>OPEN</x:v>
      </x:c>
    </x:row>
    <x:row r="400">
      <x:c r="B400" s="7" t="str">
        <x:v>CH-PEA-A-X3-18-4</x:v>
      </x:c>
      <x:c r="C400" s="7" t="str">
        <x:v>PEA-A-X3</x:v>
      </x:c>
      <x:c r="D400" s="7" t="str">
        <x:v>BLD-A</x:v>
      </x:c>
      <x:c r="E400" s="7" t="str">
        <x:v>BL-X</x:v>
      </x:c>
      <x:c r="F400" s="7" t="str">
        <x:v>MF-18</x:v>
      </x:c>
      <x:c r="G400" s="7" t="str">
        <x:v>independent power</x:v>
      </x:c>
      <x:c r="H400" s="7" t="n">
        <x:v>4</x:v>
      </x:c>
      <x:c r="I400" s="7" t="str"/>
      <x:c r="J400" s="7" t="str"/>
      <x:c r="K400" s="7" t="str"/>
      <x:c r="L400" s="7" t="str"/>
      <x:c r="M400" s="7" t="str"/>
      <x:c r="N400" s="7" t="str"/>
      <x:c r="O400" s="7" t="str">
        <x:f>IF(N400="","OPEN",IF(OR(I400="",J400="",K400="",L400="",M400=""),"FAIL","PASS"))</x:f>
        <x:v>OPEN</x:v>
      </x:c>
    </x:row>
    <x:row r="401">
      <x:c r="B401" s="7" t="str">
        <x:v>CH-PEA-A-X3-18-5</x:v>
      </x:c>
      <x:c r="C401" s="7" t="str">
        <x:v>PEA-A-X3</x:v>
      </x:c>
      <x:c r="D401" s="7" t="str">
        <x:v>BLD-A</x:v>
      </x:c>
      <x:c r="E401" s="7" t="str">
        <x:v>BL-X</x:v>
      </x:c>
      <x:c r="F401" s="7" t="str">
        <x:v>MF-18</x:v>
      </x:c>
      <x:c r="G401" s="7" t="str">
        <x:v>independent power</x:v>
      </x:c>
      <x:c r="H401" s="7" t="n">
        <x:v>5</x:v>
      </x:c>
      <x:c r="I401" s="7" t="str"/>
      <x:c r="J401" s="7" t="str"/>
      <x:c r="K401" s="7" t="str"/>
      <x:c r="L401" s="7" t="str"/>
      <x:c r="M401" s="7" t="str"/>
      <x:c r="N401" s="7" t="str"/>
      <x:c r="O401" s="7" t="str">
        <x:f>IF(N401="","OPEN",IF(OR(I401="",J401="",K401="",L401="",M401=""),"FAIL","PASS"))</x:f>
        <x:v>OPEN</x:v>
      </x:c>
    </x:row>
    <x:row r="402">
      <x:c r="B402" s="7" t="str">
        <x:v>CH-PEA-A-X3-18-6</x:v>
      </x:c>
      <x:c r="C402" s="7" t="str">
        <x:v>PEA-A-X3</x:v>
      </x:c>
      <x:c r="D402" s="7" t="str">
        <x:v>BLD-A</x:v>
      </x:c>
      <x:c r="E402" s="7" t="str">
        <x:v>BL-X</x:v>
      </x:c>
      <x:c r="F402" s="7" t="str">
        <x:v>MF-18</x:v>
      </x:c>
      <x:c r="G402" s="7" t="str">
        <x:v>independent power</x:v>
      </x:c>
      <x:c r="H402" s="7" t="n">
        <x:v>6</x:v>
      </x:c>
      <x:c r="I402" s="7" t="str"/>
      <x:c r="J402" s="7" t="str"/>
      <x:c r="K402" s="7" t="str"/>
      <x:c r="L402" s="7" t="str"/>
      <x:c r="M402" s="7" t="str"/>
      <x:c r="N402" s="7" t="str"/>
      <x:c r="O402" s="7" t="str">
        <x:f>IF(N402="","OPEN",IF(OR(I402="",J402="",K402="",L402="",M402=""),"FAIL","PASS"))</x:f>
        <x:v>OPEN</x:v>
      </x:c>
    </x:row>
    <x:row r="403">
      <x:c r="B403" s="7" t="str">
        <x:v>CH-PEA-A-X3-19-1</x:v>
      </x:c>
      <x:c r="C403" s="7" t="str">
        <x:v>PEA-A-X3</x:v>
      </x:c>
      <x:c r="D403" s="7" t="str">
        <x:v>BLD-A</x:v>
      </x:c>
      <x:c r="E403" s="7" t="str">
        <x:v>BL-X</x:v>
      </x:c>
      <x:c r="F403" s="7" t="str">
        <x:v>MF-19</x:v>
      </x:c>
      <x:c r="G403" s="7" t="str">
        <x:v>leak collection</x:v>
      </x:c>
      <x:c r="H403" s="7" t="n">
        <x:v>1</x:v>
      </x:c>
      <x:c r="I403" s="7" t="str"/>
      <x:c r="J403" s="7" t="str"/>
      <x:c r="K403" s="7" t="str"/>
      <x:c r="L403" s="7" t="str"/>
      <x:c r="M403" s="7" t="str"/>
      <x:c r="N403" s="7" t="str"/>
      <x:c r="O403" s="7" t="str">
        <x:f>IF(N403="","OPEN",IF(OR(I403="",J403="",K403="",L403="",M403=""),"FAIL","PASS"))</x:f>
        <x:v>OPEN</x:v>
      </x:c>
    </x:row>
    <x:row r="404">
      <x:c r="B404" s="7" t="str">
        <x:v>CH-PEA-A-X3-19-2</x:v>
      </x:c>
      <x:c r="C404" s="7" t="str">
        <x:v>PEA-A-X3</x:v>
      </x:c>
      <x:c r="D404" s="7" t="str">
        <x:v>BLD-A</x:v>
      </x:c>
      <x:c r="E404" s="7" t="str">
        <x:v>BL-X</x:v>
      </x:c>
      <x:c r="F404" s="7" t="str">
        <x:v>MF-19</x:v>
      </x:c>
      <x:c r="G404" s="7" t="str">
        <x:v>leak collection</x:v>
      </x:c>
      <x:c r="H404" s="7" t="n">
        <x:v>2</x:v>
      </x:c>
      <x:c r="I404" s="7" t="str"/>
      <x:c r="J404" s="7" t="str"/>
      <x:c r="K404" s="7" t="str"/>
      <x:c r="L404" s="7" t="str"/>
      <x:c r="M404" s="7" t="str"/>
      <x:c r="N404" s="7" t="str"/>
      <x:c r="O404" s="7" t="str">
        <x:f>IF(N404="","OPEN",IF(OR(I404="",J404="",K404="",L404="",M404=""),"FAIL","PASS"))</x:f>
        <x:v>OPEN</x:v>
      </x:c>
    </x:row>
    <x:row r="405">
      <x:c r="B405" s="7" t="str">
        <x:v>CH-PEA-A-X3-19-3</x:v>
      </x:c>
      <x:c r="C405" s="7" t="str">
        <x:v>PEA-A-X3</x:v>
      </x:c>
      <x:c r="D405" s="7" t="str">
        <x:v>BLD-A</x:v>
      </x:c>
      <x:c r="E405" s="7" t="str">
        <x:v>BL-X</x:v>
      </x:c>
      <x:c r="F405" s="7" t="str">
        <x:v>MF-19</x:v>
      </x:c>
      <x:c r="G405" s="7" t="str">
        <x:v>leak collection</x:v>
      </x:c>
      <x:c r="H405" s="7" t="n">
        <x:v>3</x:v>
      </x:c>
      <x:c r="I405" s="7" t="str"/>
      <x:c r="J405" s="7" t="str"/>
      <x:c r="K405" s="7" t="str"/>
      <x:c r="L405" s="7" t="str"/>
      <x:c r="M405" s="7" t="str"/>
      <x:c r="N405" s="7" t="str"/>
      <x:c r="O405" s="7" t="str">
        <x:f>IF(N405="","OPEN",IF(OR(I405="",J405="",K405="",L405="",M405=""),"FAIL","PASS"))</x:f>
        <x:v>OPEN</x:v>
      </x:c>
    </x:row>
    <x:row r="406">
      <x:c r="B406" s="7" t="str">
        <x:v>CH-PEA-A-X3-19-4</x:v>
      </x:c>
      <x:c r="C406" s="7" t="str">
        <x:v>PEA-A-X3</x:v>
      </x:c>
      <x:c r="D406" s="7" t="str">
        <x:v>BLD-A</x:v>
      </x:c>
      <x:c r="E406" s="7" t="str">
        <x:v>BL-X</x:v>
      </x:c>
      <x:c r="F406" s="7" t="str">
        <x:v>MF-19</x:v>
      </x:c>
      <x:c r="G406" s="7" t="str">
        <x:v>leak collection</x:v>
      </x:c>
      <x:c r="H406" s="7" t="n">
        <x:v>4</x:v>
      </x:c>
      <x:c r="I406" s="7" t="str"/>
      <x:c r="J406" s="7" t="str"/>
      <x:c r="K406" s="7" t="str"/>
      <x:c r="L406" s="7" t="str"/>
      <x:c r="M406" s="7" t="str"/>
      <x:c r="N406" s="7" t="str"/>
      <x:c r="O406" s="7" t="str">
        <x:f>IF(N406="","OPEN",IF(OR(I406="",J406="",K406="",L406="",M406=""),"FAIL","PASS"))</x:f>
        <x:v>OPEN</x:v>
      </x:c>
    </x:row>
    <x:row r="407">
      <x:c r="B407" s="7" t="str">
        <x:v>CH-PEA-A-X3-19-5</x:v>
      </x:c>
      <x:c r="C407" s="7" t="str">
        <x:v>PEA-A-X3</x:v>
      </x:c>
      <x:c r="D407" s="7" t="str">
        <x:v>BLD-A</x:v>
      </x:c>
      <x:c r="E407" s="7" t="str">
        <x:v>BL-X</x:v>
      </x:c>
      <x:c r="F407" s="7" t="str">
        <x:v>MF-19</x:v>
      </x:c>
      <x:c r="G407" s="7" t="str">
        <x:v>leak collection</x:v>
      </x:c>
      <x:c r="H407" s="7" t="n">
        <x:v>5</x:v>
      </x:c>
      <x:c r="I407" s="7" t="str"/>
      <x:c r="J407" s="7" t="str"/>
      <x:c r="K407" s="7" t="str"/>
      <x:c r="L407" s="7" t="str"/>
      <x:c r="M407" s="7" t="str"/>
      <x:c r="N407" s="7" t="str"/>
      <x:c r="O407" s="7" t="str">
        <x:f>IF(N407="","OPEN",IF(OR(I407="",J407="",K407="",L407="",M407=""),"FAIL","PASS"))</x:f>
        <x:v>OPEN</x:v>
      </x:c>
    </x:row>
    <x:row r="408">
      <x:c r="B408" s="7" t="str">
        <x:v>CH-PEA-A-X3-19-6</x:v>
      </x:c>
      <x:c r="C408" s="7" t="str">
        <x:v>PEA-A-X3</x:v>
      </x:c>
      <x:c r="D408" s="7" t="str">
        <x:v>BLD-A</x:v>
      </x:c>
      <x:c r="E408" s="7" t="str">
        <x:v>BL-X</x:v>
      </x:c>
      <x:c r="F408" s="7" t="str">
        <x:v>MF-19</x:v>
      </x:c>
      <x:c r="G408" s="7" t="str">
        <x:v>leak collection</x:v>
      </x:c>
      <x:c r="H408" s="7" t="n">
        <x:v>6</x:v>
      </x:c>
      <x:c r="I408" s="7" t="str"/>
      <x:c r="J408" s="7" t="str"/>
      <x:c r="K408" s="7" t="str"/>
      <x:c r="L408" s="7" t="str"/>
      <x:c r="M408" s="7" t="str"/>
      <x:c r="N408" s="7" t="str"/>
      <x:c r="O408" s="7" t="str">
        <x:f>IF(N408="","OPEN",IF(OR(I408="",J408="",K408="",L408="",M408=""),"FAIL","PASS"))</x:f>
        <x:v>OPEN</x:v>
      </x:c>
    </x:row>
    <x:row r="409">
      <x:c r="B409" s="7" t="str">
        <x:v>CH-PEA-A-X3-20-1</x:v>
      </x:c>
      <x:c r="C409" s="7" t="str">
        <x:v>PEA-A-X3</x:v>
      </x:c>
      <x:c r="D409" s="7" t="str">
        <x:v>BLD-A</x:v>
      </x:c>
      <x:c r="E409" s="7" t="str">
        <x:v>BL-X</x:v>
      </x:c>
      <x:c r="F409" s="7" t="str">
        <x:v>MF-20</x:v>
      </x:c>
      <x:c r="G409" s="7" t="str">
        <x:v>occupied-area state</x:v>
      </x:c>
      <x:c r="H409" s="7" t="n">
        <x:v>1</x:v>
      </x:c>
      <x:c r="I409" s="7" t="str"/>
      <x:c r="J409" s="7" t="str"/>
      <x:c r="K409" s="7" t="str"/>
      <x:c r="L409" s="7" t="str"/>
      <x:c r="M409" s="7" t="str"/>
      <x:c r="N409" s="7" t="str"/>
      <x:c r="O409" s="7" t="str">
        <x:f>IF(N409="","OPEN",IF(OR(I409="",J409="",K409="",L409="",M409=""),"FAIL","PASS"))</x:f>
        <x:v>OPEN</x:v>
      </x:c>
    </x:row>
    <x:row r="410">
      <x:c r="B410" s="7" t="str">
        <x:v>CH-PEA-A-X3-20-2</x:v>
      </x:c>
      <x:c r="C410" s="7" t="str">
        <x:v>PEA-A-X3</x:v>
      </x:c>
      <x:c r="D410" s="7" t="str">
        <x:v>BLD-A</x:v>
      </x:c>
      <x:c r="E410" s="7" t="str">
        <x:v>BL-X</x:v>
      </x:c>
      <x:c r="F410" s="7" t="str">
        <x:v>MF-20</x:v>
      </x:c>
      <x:c r="G410" s="7" t="str">
        <x:v>occupied-area state</x:v>
      </x:c>
      <x:c r="H410" s="7" t="n">
        <x:v>2</x:v>
      </x:c>
      <x:c r="I410" s="7" t="str"/>
      <x:c r="J410" s="7" t="str"/>
      <x:c r="K410" s="7" t="str"/>
      <x:c r="L410" s="7" t="str"/>
      <x:c r="M410" s="7" t="str"/>
      <x:c r="N410" s="7" t="str"/>
      <x:c r="O410" s="7" t="str">
        <x:f>IF(N410="","OPEN",IF(OR(I410="",J410="",K410="",L410="",M410=""),"FAIL","PASS"))</x:f>
        <x:v>OPEN</x:v>
      </x:c>
    </x:row>
    <x:row r="411">
      <x:c r="B411" s="7" t="str">
        <x:v>CH-PEA-A-X3-20-3</x:v>
      </x:c>
      <x:c r="C411" s="7" t="str">
        <x:v>PEA-A-X3</x:v>
      </x:c>
      <x:c r="D411" s="7" t="str">
        <x:v>BLD-A</x:v>
      </x:c>
      <x:c r="E411" s="7" t="str">
        <x:v>BL-X</x:v>
      </x:c>
      <x:c r="F411" s="7" t="str">
        <x:v>MF-20</x:v>
      </x:c>
      <x:c r="G411" s="7" t="str">
        <x:v>occupied-area state</x:v>
      </x:c>
      <x:c r="H411" s="7" t="n">
        <x:v>3</x:v>
      </x:c>
      <x:c r="I411" s="7" t="str"/>
      <x:c r="J411" s="7" t="str"/>
      <x:c r="K411" s="7" t="str"/>
      <x:c r="L411" s="7" t="str"/>
      <x:c r="M411" s="7" t="str"/>
      <x:c r="N411" s="7" t="str"/>
      <x:c r="O411" s="7" t="str">
        <x:f>IF(N411="","OPEN",IF(OR(I411="",J411="",K411="",L411="",M411=""),"FAIL","PASS"))</x:f>
        <x:v>OPEN</x:v>
      </x:c>
    </x:row>
    <x:row r="412">
      <x:c r="B412" s="7" t="str">
        <x:v>CH-PEA-A-X3-20-4</x:v>
      </x:c>
      <x:c r="C412" s="7" t="str">
        <x:v>PEA-A-X3</x:v>
      </x:c>
      <x:c r="D412" s="7" t="str">
        <x:v>BLD-A</x:v>
      </x:c>
      <x:c r="E412" s="7" t="str">
        <x:v>BL-X</x:v>
      </x:c>
      <x:c r="F412" s="7" t="str">
        <x:v>MF-20</x:v>
      </x:c>
      <x:c r="G412" s="7" t="str">
        <x:v>occupied-area state</x:v>
      </x:c>
      <x:c r="H412" s="7" t="n">
        <x:v>4</x:v>
      </x:c>
      <x:c r="I412" s="7" t="str"/>
      <x:c r="J412" s="7" t="str"/>
      <x:c r="K412" s="7" t="str"/>
      <x:c r="L412" s="7" t="str"/>
      <x:c r="M412" s="7" t="str"/>
      <x:c r="N412" s="7" t="str"/>
      <x:c r="O412" s="7" t="str">
        <x:f>IF(N412="","OPEN",IF(OR(I412="",J412="",K412="",L412="",M412=""),"FAIL","PASS"))</x:f>
        <x:v>OPEN</x:v>
      </x:c>
    </x:row>
    <x:row r="413">
      <x:c r="B413" s="7" t="str">
        <x:v>CH-PEA-A-X3-20-5</x:v>
      </x:c>
      <x:c r="C413" s="7" t="str">
        <x:v>PEA-A-X3</x:v>
      </x:c>
      <x:c r="D413" s="7" t="str">
        <x:v>BLD-A</x:v>
      </x:c>
      <x:c r="E413" s="7" t="str">
        <x:v>BL-X</x:v>
      </x:c>
      <x:c r="F413" s="7" t="str">
        <x:v>MF-20</x:v>
      </x:c>
      <x:c r="G413" s="7" t="str">
        <x:v>occupied-area state</x:v>
      </x:c>
      <x:c r="H413" s="7" t="n">
        <x:v>5</x:v>
      </x:c>
      <x:c r="I413" s="7" t="str"/>
      <x:c r="J413" s="7" t="str"/>
      <x:c r="K413" s="7" t="str"/>
      <x:c r="L413" s="7" t="str"/>
      <x:c r="M413" s="7" t="str"/>
      <x:c r="N413" s="7" t="str"/>
      <x:c r="O413" s="7" t="str">
        <x:f>IF(N413="","OPEN",IF(OR(I413="",J413="",K413="",L413="",M413=""),"FAIL","PASS"))</x:f>
        <x:v>OPEN</x:v>
      </x:c>
    </x:row>
    <x:row r="414">
      <x:c r="B414" s="7" t="str">
        <x:v>CH-PEA-A-X3-20-6</x:v>
      </x:c>
      <x:c r="C414" s="7" t="str">
        <x:v>PEA-A-X3</x:v>
      </x:c>
      <x:c r="D414" s="7" t="str">
        <x:v>BLD-A</x:v>
      </x:c>
      <x:c r="E414" s="7" t="str">
        <x:v>BL-X</x:v>
      </x:c>
      <x:c r="F414" s="7" t="str">
        <x:v>MF-20</x:v>
      </x:c>
      <x:c r="G414" s="7" t="str">
        <x:v>occupied-area state</x:v>
      </x:c>
      <x:c r="H414" s="7" t="n">
        <x:v>6</x:v>
      </x:c>
      <x:c r="I414" s="7" t="str"/>
      <x:c r="J414" s="7" t="str"/>
      <x:c r="K414" s="7" t="str"/>
      <x:c r="L414" s="7" t="str"/>
      <x:c r="M414" s="7" t="str"/>
      <x:c r="N414" s="7" t="str"/>
      <x:c r="O414" s="7" t="str">
        <x:f>IF(N414="","OPEN",IF(OR(I414="",J414="",K414="",L414="",M414=""),"FAIL","PASS"))</x:f>
        <x:v>OPEN</x:v>
      </x:c>
    </x:row>
    <x:row r="415">
      <x:c r="B415" s="7" t="str">
        <x:v>CH-PEA-A-X3-21-1</x:v>
      </x:c>
      <x:c r="C415" s="7" t="str">
        <x:v>PEA-A-X3</x:v>
      </x:c>
      <x:c r="D415" s="7" t="str">
        <x:v>BLD-A</x:v>
      </x:c>
      <x:c r="E415" s="7" t="str">
        <x:v>BL-X</x:v>
      </x:c>
      <x:c r="F415" s="7" t="str">
        <x:v>MF-21</x:v>
      </x:c>
      <x:c r="G415" s="7" t="str">
        <x:v>public-water flow</x:v>
      </x:c>
      <x:c r="H415" s="7" t="n">
        <x:v>1</x:v>
      </x:c>
      <x:c r="I415" s="7" t="str"/>
      <x:c r="J415" s="7" t="str"/>
      <x:c r="K415" s="7" t="str"/>
      <x:c r="L415" s="7" t="str"/>
      <x:c r="M415" s="7" t="str"/>
      <x:c r="N415" s="7" t="str"/>
      <x:c r="O415" s="7" t="str">
        <x:f>IF(N415="","OPEN",IF(OR(I415="",J415="",K415="",L415="",M415=""),"FAIL","PASS"))</x:f>
        <x:v>OPEN</x:v>
      </x:c>
    </x:row>
    <x:row r="416">
      <x:c r="B416" s="7" t="str">
        <x:v>CH-PEA-A-X3-21-2</x:v>
      </x:c>
      <x:c r="C416" s="7" t="str">
        <x:v>PEA-A-X3</x:v>
      </x:c>
      <x:c r="D416" s="7" t="str">
        <x:v>BLD-A</x:v>
      </x:c>
      <x:c r="E416" s="7" t="str">
        <x:v>BL-X</x:v>
      </x:c>
      <x:c r="F416" s="7" t="str">
        <x:v>MF-21</x:v>
      </x:c>
      <x:c r="G416" s="7" t="str">
        <x:v>public-water flow</x:v>
      </x:c>
      <x:c r="H416" s="7" t="n">
        <x:v>2</x:v>
      </x:c>
      <x:c r="I416" s="7" t="str"/>
      <x:c r="J416" s="7" t="str"/>
      <x:c r="K416" s="7" t="str"/>
      <x:c r="L416" s="7" t="str"/>
      <x:c r="M416" s="7" t="str"/>
      <x:c r="N416" s="7" t="str"/>
      <x:c r="O416" s="7" t="str">
        <x:f>IF(N416="","OPEN",IF(OR(I416="",J416="",K416="",L416="",M416=""),"FAIL","PASS"))</x:f>
        <x:v>OPEN</x:v>
      </x:c>
    </x:row>
    <x:row r="417">
      <x:c r="B417" s="7" t="str">
        <x:v>CH-PEA-A-X3-21-3</x:v>
      </x:c>
      <x:c r="C417" s="7" t="str">
        <x:v>PEA-A-X3</x:v>
      </x:c>
      <x:c r="D417" s="7" t="str">
        <x:v>BLD-A</x:v>
      </x:c>
      <x:c r="E417" s="7" t="str">
        <x:v>BL-X</x:v>
      </x:c>
      <x:c r="F417" s="7" t="str">
        <x:v>MF-21</x:v>
      </x:c>
      <x:c r="G417" s="7" t="str">
        <x:v>public-water flow</x:v>
      </x:c>
      <x:c r="H417" s="7" t="n">
        <x:v>3</x:v>
      </x:c>
      <x:c r="I417" s="7" t="str"/>
      <x:c r="J417" s="7" t="str"/>
      <x:c r="K417" s="7" t="str"/>
      <x:c r="L417" s="7" t="str"/>
      <x:c r="M417" s="7" t="str"/>
      <x:c r="N417" s="7" t="str"/>
      <x:c r="O417" s="7" t="str">
        <x:f>IF(N417="","OPEN",IF(OR(I417="",J417="",K417="",L417="",M417=""),"FAIL","PASS"))</x:f>
        <x:v>OPEN</x:v>
      </x:c>
    </x:row>
    <x:row r="418">
      <x:c r="B418" s="7" t="str">
        <x:v>CH-PEA-A-X3-21-4</x:v>
      </x:c>
      <x:c r="C418" s="7" t="str">
        <x:v>PEA-A-X3</x:v>
      </x:c>
      <x:c r="D418" s="7" t="str">
        <x:v>BLD-A</x:v>
      </x:c>
      <x:c r="E418" s="7" t="str">
        <x:v>BL-X</x:v>
      </x:c>
      <x:c r="F418" s="7" t="str">
        <x:v>MF-21</x:v>
      </x:c>
      <x:c r="G418" s="7" t="str">
        <x:v>public-water flow</x:v>
      </x:c>
      <x:c r="H418" s="7" t="n">
        <x:v>4</x:v>
      </x:c>
      <x:c r="I418" s="7" t="str"/>
      <x:c r="J418" s="7" t="str"/>
      <x:c r="K418" s="7" t="str"/>
      <x:c r="L418" s="7" t="str"/>
      <x:c r="M418" s="7" t="str"/>
      <x:c r="N418" s="7" t="str"/>
      <x:c r="O418" s="7" t="str">
        <x:f>IF(N418="","OPEN",IF(OR(I418="",J418="",K418="",L418="",M418=""),"FAIL","PASS"))</x:f>
        <x:v>OPEN</x:v>
      </x:c>
    </x:row>
    <x:row r="419">
      <x:c r="B419" s="7" t="str">
        <x:v>CH-PEA-A-X3-21-5</x:v>
      </x:c>
      <x:c r="C419" s="7" t="str">
        <x:v>PEA-A-X3</x:v>
      </x:c>
      <x:c r="D419" s="7" t="str">
        <x:v>BLD-A</x:v>
      </x:c>
      <x:c r="E419" s="7" t="str">
        <x:v>BL-X</x:v>
      </x:c>
      <x:c r="F419" s="7" t="str">
        <x:v>MF-21</x:v>
      </x:c>
      <x:c r="G419" s="7" t="str">
        <x:v>public-water flow</x:v>
      </x:c>
      <x:c r="H419" s="7" t="n">
        <x:v>5</x:v>
      </x:c>
      <x:c r="I419" s="7" t="str"/>
      <x:c r="J419" s="7" t="str"/>
      <x:c r="K419" s="7" t="str"/>
      <x:c r="L419" s="7" t="str"/>
      <x:c r="M419" s="7" t="str"/>
      <x:c r="N419" s="7" t="str"/>
      <x:c r="O419" s="7" t="str">
        <x:f>IF(N419="","OPEN",IF(OR(I419="",J419="",K419="",L419="",M419=""),"FAIL","PASS"))</x:f>
        <x:v>OPEN</x:v>
      </x:c>
    </x:row>
    <x:row r="420">
      <x:c r="B420" s="7" t="str">
        <x:v>CH-PEA-A-X3-21-6</x:v>
      </x:c>
      <x:c r="C420" s="7" t="str">
        <x:v>PEA-A-X3</x:v>
      </x:c>
      <x:c r="D420" s="7" t="str">
        <x:v>BLD-A</x:v>
      </x:c>
      <x:c r="E420" s="7" t="str">
        <x:v>BL-X</x:v>
      </x:c>
      <x:c r="F420" s="7" t="str">
        <x:v>MF-21</x:v>
      </x:c>
      <x:c r="G420" s="7" t="str">
        <x:v>public-water flow</x:v>
      </x:c>
      <x:c r="H420" s="7" t="n">
        <x:v>6</x:v>
      </x:c>
      <x:c r="I420" s="7" t="str"/>
      <x:c r="J420" s="7" t="str"/>
      <x:c r="K420" s="7" t="str"/>
      <x:c r="L420" s="7" t="str"/>
      <x:c r="M420" s="7" t="str"/>
      <x:c r="N420" s="7" t="str"/>
      <x:c r="O420" s="7" t="str">
        <x:f>IF(N420="","OPEN",IF(OR(I420="",J420="",K420="",L420="",M420=""),"FAIL","PASS"))</x:f>
        <x:v>OPEN</x:v>
      </x:c>
    </x:row>
    <x:row r="421">
      <x:c r="B421" s="7" t="str">
        <x:v>CH-PEA-A-X3-22-1</x:v>
      </x:c>
      <x:c r="C421" s="7" t="str">
        <x:v>PEA-A-X3</x:v>
      </x:c>
      <x:c r="D421" s="7" t="str">
        <x:v>BLD-A</x:v>
      </x:c>
      <x:c r="E421" s="7" t="str">
        <x:v>BL-X</x:v>
      </x:c>
      <x:c r="F421" s="7" t="str">
        <x:v>MF-22</x:v>
      </x:c>
      <x:c r="G421" s="7" t="str">
        <x:v>source ancestry</x:v>
      </x:c>
      <x:c r="H421" s="7" t="n">
        <x:v>1</x:v>
      </x:c>
      <x:c r="I421" s="7" t="str"/>
      <x:c r="J421" s="7" t="str"/>
      <x:c r="K421" s="7" t="str"/>
      <x:c r="L421" s="7" t="str"/>
      <x:c r="M421" s="7" t="str"/>
      <x:c r="N421" s="7" t="str"/>
      <x:c r="O421" s="7" t="str">
        <x:f>IF(N421="","OPEN",IF(OR(I421="",J421="",K421="",L421="",M421=""),"FAIL","PASS"))</x:f>
        <x:v>OPEN</x:v>
      </x:c>
    </x:row>
    <x:row r="422">
      <x:c r="B422" s="7" t="str">
        <x:v>CH-PEA-A-X3-22-2</x:v>
      </x:c>
      <x:c r="C422" s="7" t="str">
        <x:v>PEA-A-X3</x:v>
      </x:c>
      <x:c r="D422" s="7" t="str">
        <x:v>BLD-A</x:v>
      </x:c>
      <x:c r="E422" s="7" t="str">
        <x:v>BL-X</x:v>
      </x:c>
      <x:c r="F422" s="7" t="str">
        <x:v>MF-22</x:v>
      </x:c>
      <x:c r="G422" s="7" t="str">
        <x:v>source ancestry</x:v>
      </x:c>
      <x:c r="H422" s="7" t="n">
        <x:v>2</x:v>
      </x:c>
      <x:c r="I422" s="7" t="str"/>
      <x:c r="J422" s="7" t="str"/>
      <x:c r="K422" s="7" t="str"/>
      <x:c r="L422" s="7" t="str"/>
      <x:c r="M422" s="7" t="str"/>
      <x:c r="N422" s="7" t="str"/>
      <x:c r="O422" s="7" t="str">
        <x:f>IF(N422="","OPEN",IF(OR(I422="",J422="",K422="",L422="",M422=""),"FAIL","PASS"))</x:f>
        <x:v>OPEN</x:v>
      </x:c>
    </x:row>
    <x:row r="423">
      <x:c r="B423" s="7" t="str">
        <x:v>CH-PEA-A-X3-22-3</x:v>
      </x:c>
      <x:c r="C423" s="7" t="str">
        <x:v>PEA-A-X3</x:v>
      </x:c>
      <x:c r="D423" s="7" t="str">
        <x:v>BLD-A</x:v>
      </x:c>
      <x:c r="E423" s="7" t="str">
        <x:v>BL-X</x:v>
      </x:c>
      <x:c r="F423" s="7" t="str">
        <x:v>MF-22</x:v>
      </x:c>
      <x:c r="G423" s="7" t="str">
        <x:v>source ancestry</x:v>
      </x:c>
      <x:c r="H423" s="7" t="n">
        <x:v>3</x:v>
      </x:c>
      <x:c r="I423" s="7" t="str"/>
      <x:c r="J423" s="7" t="str"/>
      <x:c r="K423" s="7" t="str"/>
      <x:c r="L423" s="7" t="str"/>
      <x:c r="M423" s="7" t="str"/>
      <x:c r="N423" s="7" t="str"/>
      <x:c r="O423" s="7" t="str">
        <x:f>IF(N423="","OPEN",IF(OR(I423="",J423="",K423="",L423="",M423=""),"FAIL","PASS"))</x:f>
        <x:v>OPEN</x:v>
      </x:c>
    </x:row>
    <x:row r="424">
      <x:c r="B424" s="7" t="str">
        <x:v>CH-PEA-A-X3-22-4</x:v>
      </x:c>
      <x:c r="C424" s="7" t="str">
        <x:v>PEA-A-X3</x:v>
      </x:c>
      <x:c r="D424" s="7" t="str">
        <x:v>BLD-A</x:v>
      </x:c>
      <x:c r="E424" s="7" t="str">
        <x:v>BL-X</x:v>
      </x:c>
      <x:c r="F424" s="7" t="str">
        <x:v>MF-22</x:v>
      </x:c>
      <x:c r="G424" s="7" t="str">
        <x:v>source ancestry</x:v>
      </x:c>
      <x:c r="H424" s="7" t="n">
        <x:v>4</x:v>
      </x:c>
      <x:c r="I424" s="7" t="str"/>
      <x:c r="J424" s="7" t="str"/>
      <x:c r="K424" s="7" t="str"/>
      <x:c r="L424" s="7" t="str"/>
      <x:c r="M424" s="7" t="str"/>
      <x:c r="N424" s="7" t="str"/>
      <x:c r="O424" s="7" t="str">
        <x:f>IF(N424="","OPEN",IF(OR(I424="",J424="",K424="",L424="",M424=""),"FAIL","PASS"))</x:f>
        <x:v>OPEN</x:v>
      </x:c>
    </x:row>
    <x:row r="425">
      <x:c r="B425" s="7" t="str">
        <x:v>CH-PEA-A-X3-22-5</x:v>
      </x:c>
      <x:c r="C425" s="7" t="str">
        <x:v>PEA-A-X3</x:v>
      </x:c>
      <x:c r="D425" s="7" t="str">
        <x:v>BLD-A</x:v>
      </x:c>
      <x:c r="E425" s="7" t="str">
        <x:v>BL-X</x:v>
      </x:c>
      <x:c r="F425" s="7" t="str">
        <x:v>MF-22</x:v>
      </x:c>
      <x:c r="G425" s="7" t="str">
        <x:v>source ancestry</x:v>
      </x:c>
      <x:c r="H425" s="7" t="n">
        <x:v>5</x:v>
      </x:c>
      <x:c r="I425" s="7" t="str"/>
      <x:c r="J425" s="7" t="str"/>
      <x:c r="K425" s="7" t="str"/>
      <x:c r="L425" s="7" t="str"/>
      <x:c r="M425" s="7" t="str"/>
      <x:c r="N425" s="7" t="str"/>
      <x:c r="O425" s="7" t="str">
        <x:f>IF(N425="","OPEN",IF(OR(I425="",J425="",K425="",L425="",M425=""),"FAIL","PASS"))</x:f>
        <x:v>OPEN</x:v>
      </x:c>
    </x:row>
    <x:row r="426">
      <x:c r="B426" s="7" t="str">
        <x:v>CH-PEA-A-X3-22-6</x:v>
      </x:c>
      <x:c r="C426" s="7" t="str">
        <x:v>PEA-A-X3</x:v>
      </x:c>
      <x:c r="D426" s="7" t="str">
        <x:v>BLD-A</x:v>
      </x:c>
      <x:c r="E426" s="7" t="str">
        <x:v>BL-X</x:v>
      </x:c>
      <x:c r="F426" s="7" t="str">
        <x:v>MF-22</x:v>
      </x:c>
      <x:c r="G426" s="7" t="str">
        <x:v>source ancestry</x:v>
      </x:c>
      <x:c r="H426" s="7" t="n">
        <x:v>6</x:v>
      </x:c>
      <x:c r="I426" s="7" t="str"/>
      <x:c r="J426" s="7" t="str"/>
      <x:c r="K426" s="7" t="str"/>
      <x:c r="L426" s="7" t="str"/>
      <x:c r="M426" s="7" t="str"/>
      <x:c r="N426" s="7" t="str"/>
      <x:c r="O426" s="7" t="str">
        <x:f>IF(N426="","OPEN",IF(OR(I426="",J426="",K426="",L426="",M426=""),"FAIL","PASS"))</x:f>
        <x:v>OPEN</x:v>
      </x:c>
    </x:row>
    <x:row r="427">
      <x:c r="B427" s="7" t="str">
        <x:v>CH-PEA-A-X3-23-1</x:v>
      </x:c>
      <x:c r="C427" s="7" t="str">
        <x:v>PEA-A-X3</x:v>
      </x:c>
      <x:c r="D427" s="7" t="str">
        <x:v>BLD-A</x:v>
      </x:c>
      <x:c r="E427" s="7" t="str">
        <x:v>BL-X</x:v>
      </x:c>
      <x:c r="F427" s="7" t="str">
        <x:v>MF-23</x:v>
      </x:c>
      <x:c r="G427" s="7" t="str">
        <x:v>water ancestry</x:v>
      </x:c>
      <x:c r="H427" s="7" t="n">
        <x:v>1</x:v>
      </x:c>
      <x:c r="I427" s="7" t="str"/>
      <x:c r="J427" s="7" t="str"/>
      <x:c r="K427" s="7" t="str"/>
      <x:c r="L427" s="7" t="str"/>
      <x:c r="M427" s="7" t="str"/>
      <x:c r="N427" s="7" t="str"/>
      <x:c r="O427" s="7" t="str">
        <x:f>IF(N427="","OPEN",IF(OR(I427="",J427="",K427="",L427="",M427=""),"FAIL","PASS"))</x:f>
        <x:v>OPEN</x:v>
      </x:c>
    </x:row>
    <x:row r="428">
      <x:c r="B428" s="7" t="str">
        <x:v>CH-PEA-A-X3-23-2</x:v>
      </x:c>
      <x:c r="C428" s="7" t="str">
        <x:v>PEA-A-X3</x:v>
      </x:c>
      <x:c r="D428" s="7" t="str">
        <x:v>BLD-A</x:v>
      </x:c>
      <x:c r="E428" s="7" t="str">
        <x:v>BL-X</x:v>
      </x:c>
      <x:c r="F428" s="7" t="str">
        <x:v>MF-23</x:v>
      </x:c>
      <x:c r="G428" s="7" t="str">
        <x:v>water ancestry</x:v>
      </x:c>
      <x:c r="H428" s="7" t="n">
        <x:v>2</x:v>
      </x:c>
      <x:c r="I428" s="7" t="str"/>
      <x:c r="J428" s="7" t="str"/>
      <x:c r="K428" s="7" t="str"/>
      <x:c r="L428" s="7" t="str"/>
      <x:c r="M428" s="7" t="str"/>
      <x:c r="N428" s="7" t="str"/>
      <x:c r="O428" s="7" t="str">
        <x:f>IF(N428="","OPEN",IF(OR(I428="",J428="",K428="",L428="",M428=""),"FAIL","PASS"))</x:f>
        <x:v>OPEN</x:v>
      </x:c>
    </x:row>
    <x:row r="429">
      <x:c r="B429" s="7" t="str">
        <x:v>CH-PEA-A-X3-23-3</x:v>
      </x:c>
      <x:c r="C429" s="7" t="str">
        <x:v>PEA-A-X3</x:v>
      </x:c>
      <x:c r="D429" s="7" t="str">
        <x:v>BLD-A</x:v>
      </x:c>
      <x:c r="E429" s="7" t="str">
        <x:v>BL-X</x:v>
      </x:c>
      <x:c r="F429" s="7" t="str">
        <x:v>MF-23</x:v>
      </x:c>
      <x:c r="G429" s="7" t="str">
        <x:v>water ancestry</x:v>
      </x:c>
      <x:c r="H429" s="7" t="n">
        <x:v>3</x:v>
      </x:c>
      <x:c r="I429" s="7" t="str"/>
      <x:c r="J429" s="7" t="str"/>
      <x:c r="K429" s="7" t="str"/>
      <x:c r="L429" s="7" t="str"/>
      <x:c r="M429" s="7" t="str"/>
      <x:c r="N429" s="7" t="str"/>
      <x:c r="O429" s="7" t="str">
        <x:f>IF(N429="","OPEN",IF(OR(I429="",J429="",K429="",L429="",M429=""),"FAIL","PASS"))</x:f>
        <x:v>OPEN</x:v>
      </x:c>
    </x:row>
    <x:row r="430">
      <x:c r="B430" s="7" t="str">
        <x:v>CH-PEA-A-X3-23-4</x:v>
      </x:c>
      <x:c r="C430" s="7" t="str">
        <x:v>PEA-A-X3</x:v>
      </x:c>
      <x:c r="D430" s="7" t="str">
        <x:v>BLD-A</x:v>
      </x:c>
      <x:c r="E430" s="7" t="str">
        <x:v>BL-X</x:v>
      </x:c>
      <x:c r="F430" s="7" t="str">
        <x:v>MF-23</x:v>
      </x:c>
      <x:c r="G430" s="7" t="str">
        <x:v>water ancestry</x:v>
      </x:c>
      <x:c r="H430" s="7" t="n">
        <x:v>4</x:v>
      </x:c>
      <x:c r="I430" s="7" t="str"/>
      <x:c r="J430" s="7" t="str"/>
      <x:c r="K430" s="7" t="str"/>
      <x:c r="L430" s="7" t="str"/>
      <x:c r="M430" s="7" t="str"/>
      <x:c r="N430" s="7" t="str"/>
      <x:c r="O430" s="7" t="str">
        <x:f>IF(N430="","OPEN",IF(OR(I430="",J430="",K430="",L430="",M430=""),"FAIL","PASS"))</x:f>
        <x:v>OPEN</x:v>
      </x:c>
    </x:row>
    <x:row r="431">
      <x:c r="B431" s="7" t="str">
        <x:v>CH-PEA-A-X3-23-5</x:v>
      </x:c>
      <x:c r="C431" s="7" t="str">
        <x:v>PEA-A-X3</x:v>
      </x:c>
      <x:c r="D431" s="7" t="str">
        <x:v>BLD-A</x:v>
      </x:c>
      <x:c r="E431" s="7" t="str">
        <x:v>BL-X</x:v>
      </x:c>
      <x:c r="F431" s="7" t="str">
        <x:v>MF-23</x:v>
      </x:c>
      <x:c r="G431" s="7" t="str">
        <x:v>water ancestry</x:v>
      </x:c>
      <x:c r="H431" s="7" t="n">
        <x:v>5</x:v>
      </x:c>
      <x:c r="I431" s="7" t="str"/>
      <x:c r="J431" s="7" t="str"/>
      <x:c r="K431" s="7" t="str"/>
      <x:c r="L431" s="7" t="str"/>
      <x:c r="M431" s="7" t="str"/>
      <x:c r="N431" s="7" t="str"/>
      <x:c r="O431" s="7" t="str">
        <x:f>IF(N431="","OPEN",IF(OR(I431="",J431="",K431="",L431="",M431=""),"FAIL","PASS"))</x:f>
        <x:v>OPEN</x:v>
      </x:c>
    </x:row>
    <x:row r="432">
      <x:c r="B432" s="7" t="str">
        <x:v>CH-PEA-A-X3-23-6</x:v>
      </x:c>
      <x:c r="C432" s="7" t="str">
        <x:v>PEA-A-X3</x:v>
      </x:c>
      <x:c r="D432" s="7" t="str">
        <x:v>BLD-A</x:v>
      </x:c>
      <x:c r="E432" s="7" t="str">
        <x:v>BL-X</x:v>
      </x:c>
      <x:c r="F432" s="7" t="str">
        <x:v>MF-23</x:v>
      </x:c>
      <x:c r="G432" s="7" t="str">
        <x:v>water ancestry</x:v>
      </x:c>
      <x:c r="H432" s="7" t="n">
        <x:v>6</x:v>
      </x:c>
      <x:c r="I432" s="7" t="str"/>
      <x:c r="J432" s="7" t="str"/>
      <x:c r="K432" s="7" t="str"/>
      <x:c r="L432" s="7" t="str"/>
      <x:c r="M432" s="7" t="str"/>
      <x:c r="N432" s="7" t="str"/>
      <x:c r="O432" s="7" t="str">
        <x:f>IF(N432="","OPEN",IF(OR(I432="",J432="",K432="",L432="",M432=""),"FAIL","PASS"))</x:f>
        <x:v>OPEN</x:v>
      </x:c>
    </x:row>
    <x:row r="433">
      <x:c r="B433" s="7" t="str">
        <x:v>CH-PEA-A-X3-24-1</x:v>
      </x:c>
      <x:c r="C433" s="7" t="str">
        <x:v>PEA-A-X3</x:v>
      </x:c>
      <x:c r="D433" s="7" t="str">
        <x:v>BLD-A</x:v>
      </x:c>
      <x:c r="E433" s="7" t="str">
        <x:v>BL-X</x:v>
      </x:c>
      <x:c r="F433" s="7" t="str">
        <x:v>MF-24</x:v>
      </x:c>
      <x:c r="G433" s="7" t="str">
        <x:v>evidence health</x:v>
      </x:c>
      <x:c r="H433" s="7" t="n">
        <x:v>1</x:v>
      </x:c>
      <x:c r="I433" s="7" t="str"/>
      <x:c r="J433" s="7" t="str"/>
      <x:c r="K433" s="7" t="str"/>
      <x:c r="L433" s="7" t="str"/>
      <x:c r="M433" s="7" t="str"/>
      <x:c r="N433" s="7" t="str"/>
      <x:c r="O433" s="7" t="str">
        <x:f>IF(N433="","OPEN",IF(OR(I433="",J433="",K433="",L433="",M433=""),"FAIL","PASS"))</x:f>
        <x:v>OPEN</x:v>
      </x:c>
    </x:row>
    <x:row r="434">
      <x:c r="B434" s="7" t="str">
        <x:v>CH-PEA-A-X3-24-2</x:v>
      </x:c>
      <x:c r="C434" s="7" t="str">
        <x:v>PEA-A-X3</x:v>
      </x:c>
      <x:c r="D434" s="7" t="str">
        <x:v>BLD-A</x:v>
      </x:c>
      <x:c r="E434" s="7" t="str">
        <x:v>BL-X</x:v>
      </x:c>
      <x:c r="F434" s="7" t="str">
        <x:v>MF-24</x:v>
      </x:c>
      <x:c r="G434" s="7" t="str">
        <x:v>evidence health</x:v>
      </x:c>
      <x:c r="H434" s="7" t="n">
        <x:v>2</x:v>
      </x:c>
      <x:c r="I434" s="7" t="str"/>
      <x:c r="J434" s="7" t="str"/>
      <x:c r="K434" s="7" t="str"/>
      <x:c r="L434" s="7" t="str"/>
      <x:c r="M434" s="7" t="str"/>
      <x:c r="N434" s="7" t="str"/>
      <x:c r="O434" s="7" t="str">
        <x:f>IF(N434="","OPEN",IF(OR(I434="",J434="",K434="",L434="",M434=""),"FAIL","PASS"))</x:f>
        <x:v>OPEN</x:v>
      </x:c>
    </x:row>
    <x:row r="435">
      <x:c r="B435" s="7" t="str">
        <x:v>CH-PEA-A-X3-24-3</x:v>
      </x:c>
      <x:c r="C435" s="7" t="str">
        <x:v>PEA-A-X3</x:v>
      </x:c>
      <x:c r="D435" s="7" t="str">
        <x:v>BLD-A</x:v>
      </x:c>
      <x:c r="E435" s="7" t="str">
        <x:v>BL-X</x:v>
      </x:c>
      <x:c r="F435" s="7" t="str">
        <x:v>MF-24</x:v>
      </x:c>
      <x:c r="G435" s="7" t="str">
        <x:v>evidence health</x:v>
      </x:c>
      <x:c r="H435" s="7" t="n">
        <x:v>3</x:v>
      </x:c>
      <x:c r="I435" s="7" t="str"/>
      <x:c r="J435" s="7" t="str"/>
      <x:c r="K435" s="7" t="str"/>
      <x:c r="L435" s="7" t="str"/>
      <x:c r="M435" s="7" t="str"/>
      <x:c r="N435" s="7" t="str"/>
      <x:c r="O435" s="7" t="str">
        <x:f>IF(N435="","OPEN",IF(OR(I435="",J435="",K435="",L435="",M435=""),"FAIL","PASS"))</x:f>
        <x:v>OPEN</x:v>
      </x:c>
    </x:row>
    <x:row r="436">
      <x:c r="B436" s="7" t="str">
        <x:v>CH-PEA-A-X3-24-4</x:v>
      </x:c>
      <x:c r="C436" s="7" t="str">
        <x:v>PEA-A-X3</x:v>
      </x:c>
      <x:c r="D436" s="7" t="str">
        <x:v>BLD-A</x:v>
      </x:c>
      <x:c r="E436" s="7" t="str">
        <x:v>BL-X</x:v>
      </x:c>
      <x:c r="F436" s="7" t="str">
        <x:v>MF-24</x:v>
      </x:c>
      <x:c r="G436" s="7" t="str">
        <x:v>evidence health</x:v>
      </x:c>
      <x:c r="H436" s="7" t="n">
        <x:v>4</x:v>
      </x:c>
      <x:c r="I436" s="7" t="str"/>
      <x:c r="J436" s="7" t="str"/>
      <x:c r="K436" s="7" t="str"/>
      <x:c r="L436" s="7" t="str"/>
      <x:c r="M436" s="7" t="str"/>
      <x:c r="N436" s="7" t="str"/>
      <x:c r="O436" s="7" t="str">
        <x:f>IF(N436="","OPEN",IF(OR(I436="",J436="",K436="",L436="",M436=""),"FAIL","PASS"))</x:f>
        <x:v>OPEN</x:v>
      </x:c>
    </x:row>
    <x:row r="437">
      <x:c r="B437" s="7" t="str">
        <x:v>CH-PEA-A-X3-24-5</x:v>
      </x:c>
      <x:c r="C437" s="7" t="str">
        <x:v>PEA-A-X3</x:v>
      </x:c>
      <x:c r="D437" s="7" t="str">
        <x:v>BLD-A</x:v>
      </x:c>
      <x:c r="E437" s="7" t="str">
        <x:v>BL-X</x:v>
      </x:c>
      <x:c r="F437" s="7" t="str">
        <x:v>MF-24</x:v>
      </x:c>
      <x:c r="G437" s="7" t="str">
        <x:v>evidence health</x:v>
      </x:c>
      <x:c r="H437" s="7" t="n">
        <x:v>5</x:v>
      </x:c>
      <x:c r="I437" s="7" t="str"/>
      <x:c r="J437" s="7" t="str"/>
      <x:c r="K437" s="7" t="str"/>
      <x:c r="L437" s="7" t="str"/>
      <x:c r="M437" s="7" t="str"/>
      <x:c r="N437" s="7" t="str"/>
      <x:c r="O437" s="7" t="str">
        <x:f>IF(N437="","OPEN",IF(OR(I437="",J437="",K437="",L437="",M437=""),"FAIL","PASS"))</x:f>
        <x:v>OPEN</x:v>
      </x:c>
    </x:row>
    <x:row r="438">
      <x:c r="B438" s="7" t="str">
        <x:v>CH-PEA-A-X3-24-6</x:v>
      </x:c>
      <x:c r="C438" s="7" t="str">
        <x:v>PEA-A-X3</x:v>
      </x:c>
      <x:c r="D438" s="7" t="str">
        <x:v>BLD-A</x:v>
      </x:c>
      <x:c r="E438" s="7" t="str">
        <x:v>BL-X</x:v>
      </x:c>
      <x:c r="F438" s="7" t="str">
        <x:v>MF-24</x:v>
      </x:c>
      <x:c r="G438" s="7" t="str">
        <x:v>evidence health</x:v>
      </x:c>
      <x:c r="H438" s="7" t="n">
        <x:v>6</x:v>
      </x:c>
      <x:c r="I438" s="7" t="str"/>
      <x:c r="J438" s="7" t="str"/>
      <x:c r="K438" s="7" t="str"/>
      <x:c r="L438" s="7" t="str"/>
      <x:c r="M438" s="7" t="str"/>
      <x:c r="N438" s="7" t="str"/>
      <x:c r="O438" s="7" t="str">
        <x:f>IF(N438="","OPEN",IF(OR(I438="",J438="",K438="",L438="",M438=""),"FAIL","PASS"))</x:f>
        <x:v>OPEN</x:v>
      </x:c>
    </x:row>
    <x:row r="439">
      <x:c r="B439" s="7" t="str">
        <x:v>CH-PEA-A-Y1-01-1</x:v>
      </x:c>
      <x:c r="C439" s="7" t="str">
        <x:v>PEA-A-Y1</x:v>
      </x:c>
      <x:c r="D439" s="7" t="str">
        <x:v>BLD-A</x:v>
      </x:c>
      <x:c r="E439" s="7" t="str">
        <x:v>BL-Y</x:v>
      </x:c>
      <x:c r="F439" s="7" t="str">
        <x:v>MF-01</x:v>
      </x:c>
      <x:c r="G439" s="7" t="str">
        <x:v>source vessel mass</x:v>
      </x:c>
      <x:c r="H439" s="7" t="n">
        <x:v>1</x:v>
      </x:c>
      <x:c r="I439" s="7" t="str"/>
      <x:c r="J439" s="7" t="str"/>
      <x:c r="K439" s="7" t="str"/>
      <x:c r="L439" s="7" t="str"/>
      <x:c r="M439" s="7" t="str"/>
      <x:c r="N439" s="7" t="str"/>
      <x:c r="O439" s="7" t="str">
        <x:f>IF(N439="","OPEN",IF(OR(I439="",J439="",K439="",L439="",M439=""),"FAIL","PASS"))</x:f>
        <x:v>OPEN</x:v>
      </x:c>
    </x:row>
    <x:row r="440">
      <x:c r="B440" s="7" t="str">
        <x:v>CH-PEA-A-Y1-01-2</x:v>
      </x:c>
      <x:c r="C440" s="7" t="str">
        <x:v>PEA-A-Y1</x:v>
      </x:c>
      <x:c r="D440" s="7" t="str">
        <x:v>BLD-A</x:v>
      </x:c>
      <x:c r="E440" s="7" t="str">
        <x:v>BL-Y</x:v>
      </x:c>
      <x:c r="F440" s="7" t="str">
        <x:v>MF-01</x:v>
      </x:c>
      <x:c r="G440" s="7" t="str">
        <x:v>source vessel mass</x:v>
      </x:c>
      <x:c r="H440" s="7" t="n">
        <x:v>2</x:v>
      </x:c>
      <x:c r="I440" s="7" t="str"/>
      <x:c r="J440" s="7" t="str"/>
      <x:c r="K440" s="7" t="str"/>
      <x:c r="L440" s="7" t="str"/>
      <x:c r="M440" s="7" t="str"/>
      <x:c r="N440" s="7" t="str"/>
      <x:c r="O440" s="7" t="str">
        <x:f>IF(N440="","OPEN",IF(OR(I440="",J440="",K440="",L440="",M440=""),"FAIL","PASS"))</x:f>
        <x:v>OPEN</x:v>
      </x:c>
    </x:row>
    <x:row r="441">
      <x:c r="B441" s="7" t="str">
        <x:v>CH-PEA-A-Y1-01-3</x:v>
      </x:c>
      <x:c r="C441" s="7" t="str">
        <x:v>PEA-A-Y1</x:v>
      </x:c>
      <x:c r="D441" s="7" t="str">
        <x:v>BLD-A</x:v>
      </x:c>
      <x:c r="E441" s="7" t="str">
        <x:v>BL-Y</x:v>
      </x:c>
      <x:c r="F441" s="7" t="str">
        <x:v>MF-01</x:v>
      </x:c>
      <x:c r="G441" s="7" t="str">
        <x:v>source vessel mass</x:v>
      </x:c>
      <x:c r="H441" s="7" t="n">
        <x:v>3</x:v>
      </x:c>
      <x:c r="I441" s="7" t="str"/>
      <x:c r="J441" s="7" t="str"/>
      <x:c r="K441" s="7" t="str"/>
      <x:c r="L441" s="7" t="str"/>
      <x:c r="M441" s="7" t="str"/>
      <x:c r="N441" s="7" t="str"/>
      <x:c r="O441" s="7" t="str">
        <x:f>IF(N441="","OPEN",IF(OR(I441="",J441="",K441="",L441="",M441=""),"FAIL","PASS"))</x:f>
        <x:v>OPEN</x:v>
      </x:c>
    </x:row>
    <x:row r="442">
      <x:c r="B442" s="7" t="str">
        <x:v>CH-PEA-A-Y1-01-4</x:v>
      </x:c>
      <x:c r="C442" s="7" t="str">
        <x:v>PEA-A-Y1</x:v>
      </x:c>
      <x:c r="D442" s="7" t="str">
        <x:v>BLD-A</x:v>
      </x:c>
      <x:c r="E442" s="7" t="str">
        <x:v>BL-Y</x:v>
      </x:c>
      <x:c r="F442" s="7" t="str">
        <x:v>MF-01</x:v>
      </x:c>
      <x:c r="G442" s="7" t="str">
        <x:v>source vessel mass</x:v>
      </x:c>
      <x:c r="H442" s="7" t="n">
        <x:v>4</x:v>
      </x:c>
      <x:c r="I442" s="7" t="str"/>
      <x:c r="J442" s="7" t="str"/>
      <x:c r="K442" s="7" t="str"/>
      <x:c r="L442" s="7" t="str"/>
      <x:c r="M442" s="7" t="str"/>
      <x:c r="N442" s="7" t="str"/>
      <x:c r="O442" s="7" t="str">
        <x:f>IF(N442="","OPEN",IF(OR(I442="",J442="",K442="",L442="",M442=""),"FAIL","PASS"))</x:f>
        <x:v>OPEN</x:v>
      </x:c>
    </x:row>
    <x:row r="443">
      <x:c r="B443" s="7" t="str">
        <x:v>CH-PEA-A-Y1-01-5</x:v>
      </x:c>
      <x:c r="C443" s="7" t="str">
        <x:v>PEA-A-Y1</x:v>
      </x:c>
      <x:c r="D443" s="7" t="str">
        <x:v>BLD-A</x:v>
      </x:c>
      <x:c r="E443" s="7" t="str">
        <x:v>BL-Y</x:v>
      </x:c>
      <x:c r="F443" s="7" t="str">
        <x:v>MF-01</x:v>
      </x:c>
      <x:c r="G443" s="7" t="str">
        <x:v>source vessel mass</x:v>
      </x:c>
      <x:c r="H443" s="7" t="n">
        <x:v>5</x:v>
      </x:c>
      <x:c r="I443" s="7" t="str"/>
      <x:c r="J443" s="7" t="str"/>
      <x:c r="K443" s="7" t="str"/>
      <x:c r="L443" s="7" t="str"/>
      <x:c r="M443" s="7" t="str"/>
      <x:c r="N443" s="7" t="str"/>
      <x:c r="O443" s="7" t="str">
        <x:f>IF(N443="","OPEN",IF(OR(I443="",J443="",K443="",L443="",M443=""),"FAIL","PASS"))</x:f>
        <x:v>OPEN</x:v>
      </x:c>
    </x:row>
    <x:row r="444">
      <x:c r="B444" s="7" t="str">
        <x:v>CH-PEA-A-Y1-01-6</x:v>
      </x:c>
      <x:c r="C444" s="7" t="str">
        <x:v>PEA-A-Y1</x:v>
      </x:c>
      <x:c r="D444" s="7" t="str">
        <x:v>BLD-A</x:v>
      </x:c>
      <x:c r="E444" s="7" t="str">
        <x:v>BL-Y</x:v>
      </x:c>
      <x:c r="F444" s="7" t="str">
        <x:v>MF-01</x:v>
      </x:c>
      <x:c r="G444" s="7" t="str">
        <x:v>source vessel mass</x:v>
      </x:c>
      <x:c r="H444" s="7" t="n">
        <x:v>6</x:v>
      </x:c>
      <x:c r="I444" s="7" t="str"/>
      <x:c r="J444" s="7" t="str"/>
      <x:c r="K444" s="7" t="str"/>
      <x:c r="L444" s="7" t="str"/>
      <x:c r="M444" s="7" t="str"/>
      <x:c r="N444" s="7" t="str"/>
      <x:c r="O444" s="7" t="str">
        <x:f>IF(N444="","OPEN",IF(OR(I444="",J444="",K444="",L444="",M444=""),"FAIL","PASS"))</x:f>
        <x:v>OPEN</x:v>
      </x:c>
    </x:row>
    <x:row r="445">
      <x:c r="B445" s="7" t="str">
        <x:v>CH-PEA-A-Y1-02-1</x:v>
      </x:c>
      <x:c r="C445" s="7" t="str">
        <x:v>PEA-A-Y1</x:v>
      </x:c>
      <x:c r="D445" s="7" t="str">
        <x:v>BLD-A</x:v>
      </x:c>
      <x:c r="E445" s="7" t="str">
        <x:v>BL-Y</x:v>
      </x:c>
      <x:c r="F445" s="7" t="str">
        <x:v>MF-02</x:v>
      </x:c>
      <x:c r="G445" s="7" t="str">
        <x:v>transfer mass</x:v>
      </x:c>
      <x:c r="H445" s="7" t="n">
        <x:v>1</x:v>
      </x:c>
      <x:c r="I445" s="7" t="str"/>
      <x:c r="J445" s="7" t="str"/>
      <x:c r="K445" s="7" t="str"/>
      <x:c r="L445" s="7" t="str"/>
      <x:c r="M445" s="7" t="str"/>
      <x:c r="N445" s="7" t="str"/>
      <x:c r="O445" s="7" t="str">
        <x:f>IF(N445="","OPEN",IF(OR(I445="",J445="",K445="",L445="",M445=""),"FAIL","PASS"))</x:f>
        <x:v>OPEN</x:v>
      </x:c>
    </x:row>
    <x:row r="446">
      <x:c r="B446" s="7" t="str">
        <x:v>CH-PEA-A-Y1-02-2</x:v>
      </x:c>
      <x:c r="C446" s="7" t="str">
        <x:v>PEA-A-Y1</x:v>
      </x:c>
      <x:c r="D446" s="7" t="str">
        <x:v>BLD-A</x:v>
      </x:c>
      <x:c r="E446" s="7" t="str">
        <x:v>BL-Y</x:v>
      </x:c>
      <x:c r="F446" s="7" t="str">
        <x:v>MF-02</x:v>
      </x:c>
      <x:c r="G446" s="7" t="str">
        <x:v>transfer mass</x:v>
      </x:c>
      <x:c r="H446" s="7" t="n">
        <x:v>2</x:v>
      </x:c>
      <x:c r="I446" s="7" t="str"/>
      <x:c r="J446" s="7" t="str"/>
      <x:c r="K446" s="7" t="str"/>
      <x:c r="L446" s="7" t="str"/>
      <x:c r="M446" s="7" t="str"/>
      <x:c r="N446" s="7" t="str"/>
      <x:c r="O446" s="7" t="str">
        <x:f>IF(N446="","OPEN",IF(OR(I446="",J446="",K446="",L446="",M446=""),"FAIL","PASS"))</x:f>
        <x:v>OPEN</x:v>
      </x:c>
    </x:row>
    <x:row r="447">
      <x:c r="B447" s="7" t="str">
        <x:v>CH-PEA-A-Y1-02-3</x:v>
      </x:c>
      <x:c r="C447" s="7" t="str">
        <x:v>PEA-A-Y1</x:v>
      </x:c>
      <x:c r="D447" s="7" t="str">
        <x:v>BLD-A</x:v>
      </x:c>
      <x:c r="E447" s="7" t="str">
        <x:v>BL-Y</x:v>
      </x:c>
      <x:c r="F447" s="7" t="str">
        <x:v>MF-02</x:v>
      </x:c>
      <x:c r="G447" s="7" t="str">
        <x:v>transfer mass</x:v>
      </x:c>
      <x:c r="H447" s="7" t="n">
        <x:v>3</x:v>
      </x:c>
      <x:c r="I447" s="7" t="str"/>
      <x:c r="J447" s="7" t="str"/>
      <x:c r="K447" s="7" t="str"/>
      <x:c r="L447" s="7" t="str"/>
      <x:c r="M447" s="7" t="str"/>
      <x:c r="N447" s="7" t="str"/>
      <x:c r="O447" s="7" t="str">
        <x:f>IF(N447="","OPEN",IF(OR(I447="",J447="",K447="",L447="",M447=""),"FAIL","PASS"))</x:f>
        <x:v>OPEN</x:v>
      </x:c>
    </x:row>
    <x:row r="448">
      <x:c r="B448" s="7" t="str">
        <x:v>CH-PEA-A-Y1-02-4</x:v>
      </x:c>
      <x:c r="C448" s="7" t="str">
        <x:v>PEA-A-Y1</x:v>
      </x:c>
      <x:c r="D448" s="7" t="str">
        <x:v>BLD-A</x:v>
      </x:c>
      <x:c r="E448" s="7" t="str">
        <x:v>BL-Y</x:v>
      </x:c>
      <x:c r="F448" s="7" t="str">
        <x:v>MF-02</x:v>
      </x:c>
      <x:c r="G448" s="7" t="str">
        <x:v>transfer mass</x:v>
      </x:c>
      <x:c r="H448" s="7" t="n">
        <x:v>4</x:v>
      </x:c>
      <x:c r="I448" s="7" t="str"/>
      <x:c r="J448" s="7" t="str"/>
      <x:c r="K448" s="7" t="str"/>
      <x:c r="L448" s="7" t="str"/>
      <x:c r="M448" s="7" t="str"/>
      <x:c r="N448" s="7" t="str"/>
      <x:c r="O448" s="7" t="str">
        <x:f>IF(N448="","OPEN",IF(OR(I448="",J448="",K448="",L448="",M448=""),"FAIL","PASS"))</x:f>
        <x:v>OPEN</x:v>
      </x:c>
    </x:row>
    <x:row r="449">
      <x:c r="B449" s="7" t="str">
        <x:v>CH-PEA-A-Y1-02-5</x:v>
      </x:c>
      <x:c r="C449" s="7" t="str">
        <x:v>PEA-A-Y1</x:v>
      </x:c>
      <x:c r="D449" s="7" t="str">
        <x:v>BLD-A</x:v>
      </x:c>
      <x:c r="E449" s="7" t="str">
        <x:v>BL-Y</x:v>
      </x:c>
      <x:c r="F449" s="7" t="str">
        <x:v>MF-02</x:v>
      </x:c>
      <x:c r="G449" s="7" t="str">
        <x:v>transfer mass</x:v>
      </x:c>
      <x:c r="H449" s="7" t="n">
        <x:v>5</x:v>
      </x:c>
      <x:c r="I449" s="7" t="str"/>
      <x:c r="J449" s="7" t="str"/>
      <x:c r="K449" s="7" t="str"/>
      <x:c r="L449" s="7" t="str"/>
      <x:c r="M449" s="7" t="str"/>
      <x:c r="N449" s="7" t="str"/>
      <x:c r="O449" s="7" t="str">
        <x:f>IF(N449="","OPEN",IF(OR(I449="",J449="",K449="",L449="",M449=""),"FAIL","PASS"))</x:f>
        <x:v>OPEN</x:v>
      </x:c>
    </x:row>
    <x:row r="450">
      <x:c r="B450" s="7" t="str">
        <x:v>CH-PEA-A-Y1-02-6</x:v>
      </x:c>
      <x:c r="C450" s="7" t="str">
        <x:v>PEA-A-Y1</x:v>
      </x:c>
      <x:c r="D450" s="7" t="str">
        <x:v>BLD-A</x:v>
      </x:c>
      <x:c r="E450" s="7" t="str">
        <x:v>BL-Y</x:v>
      </x:c>
      <x:c r="F450" s="7" t="str">
        <x:v>MF-02</x:v>
      </x:c>
      <x:c r="G450" s="7" t="str">
        <x:v>transfer mass</x:v>
      </x:c>
      <x:c r="H450" s="7" t="n">
        <x:v>6</x:v>
      </x:c>
      <x:c r="I450" s="7" t="str"/>
      <x:c r="J450" s="7" t="str"/>
      <x:c r="K450" s="7" t="str"/>
      <x:c r="L450" s="7" t="str"/>
      <x:c r="M450" s="7" t="str"/>
      <x:c r="N450" s="7" t="str"/>
      <x:c r="O450" s="7" t="str">
        <x:f>IF(N450="","OPEN",IF(OR(I450="",J450="",K450="",L450="",M450=""),"FAIL","PASS"))</x:f>
        <x:v>OPEN</x:v>
      </x:c>
    </x:row>
    <x:row r="451">
      <x:c r="B451" s="7" t="str">
        <x:v>CH-PEA-A-Y1-03-1</x:v>
      </x:c>
      <x:c r="C451" s="7" t="str">
        <x:v>PEA-A-Y1</x:v>
      </x:c>
      <x:c r="D451" s="7" t="str">
        <x:v>BLD-A</x:v>
      </x:c>
      <x:c r="E451" s="7" t="str">
        <x:v>BL-Y</x:v>
      </x:c>
      <x:c r="F451" s="7" t="str">
        <x:v>MF-03</x:v>
      </x:c>
      <x:c r="G451" s="7" t="str">
        <x:v>source pressure</x:v>
      </x:c>
      <x:c r="H451" s="7" t="n">
        <x:v>1</x:v>
      </x:c>
      <x:c r="I451" s="7" t="str"/>
      <x:c r="J451" s="7" t="str"/>
      <x:c r="K451" s="7" t="str"/>
      <x:c r="L451" s="7" t="str"/>
      <x:c r="M451" s="7" t="str"/>
      <x:c r="N451" s="7" t="str"/>
      <x:c r="O451" s="7" t="str">
        <x:f>IF(N451="","OPEN",IF(OR(I451="",J451="",K451="",L451="",M451=""),"FAIL","PASS"))</x:f>
        <x:v>OPEN</x:v>
      </x:c>
    </x:row>
    <x:row r="452">
      <x:c r="B452" s="7" t="str">
        <x:v>CH-PEA-A-Y1-03-2</x:v>
      </x:c>
      <x:c r="C452" s="7" t="str">
        <x:v>PEA-A-Y1</x:v>
      </x:c>
      <x:c r="D452" s="7" t="str">
        <x:v>BLD-A</x:v>
      </x:c>
      <x:c r="E452" s="7" t="str">
        <x:v>BL-Y</x:v>
      </x:c>
      <x:c r="F452" s="7" t="str">
        <x:v>MF-03</x:v>
      </x:c>
      <x:c r="G452" s="7" t="str">
        <x:v>source pressure</x:v>
      </x:c>
      <x:c r="H452" s="7" t="n">
        <x:v>2</x:v>
      </x:c>
      <x:c r="I452" s="7" t="str"/>
      <x:c r="J452" s="7" t="str"/>
      <x:c r="K452" s="7" t="str"/>
      <x:c r="L452" s="7" t="str"/>
      <x:c r="M452" s="7" t="str"/>
      <x:c r="N452" s="7" t="str"/>
      <x:c r="O452" s="7" t="str">
        <x:f>IF(N452="","OPEN",IF(OR(I452="",J452="",K452="",L452="",M452=""),"FAIL","PASS"))</x:f>
        <x:v>OPEN</x:v>
      </x:c>
    </x:row>
    <x:row r="453">
      <x:c r="B453" s="7" t="str">
        <x:v>CH-PEA-A-Y1-03-3</x:v>
      </x:c>
      <x:c r="C453" s="7" t="str">
        <x:v>PEA-A-Y1</x:v>
      </x:c>
      <x:c r="D453" s="7" t="str">
        <x:v>BLD-A</x:v>
      </x:c>
      <x:c r="E453" s="7" t="str">
        <x:v>BL-Y</x:v>
      </x:c>
      <x:c r="F453" s="7" t="str">
        <x:v>MF-03</x:v>
      </x:c>
      <x:c r="G453" s="7" t="str">
        <x:v>source pressure</x:v>
      </x:c>
      <x:c r="H453" s="7" t="n">
        <x:v>3</x:v>
      </x:c>
      <x:c r="I453" s="7" t="str"/>
      <x:c r="J453" s="7" t="str"/>
      <x:c r="K453" s="7" t="str"/>
      <x:c r="L453" s="7" t="str"/>
      <x:c r="M453" s="7" t="str"/>
      <x:c r="N453" s="7" t="str"/>
      <x:c r="O453" s="7" t="str">
        <x:f>IF(N453="","OPEN",IF(OR(I453="",J453="",K453="",L453="",M453=""),"FAIL","PASS"))</x:f>
        <x:v>OPEN</x:v>
      </x:c>
    </x:row>
    <x:row r="454">
      <x:c r="B454" s="7" t="str">
        <x:v>CH-PEA-A-Y1-03-4</x:v>
      </x:c>
      <x:c r="C454" s="7" t="str">
        <x:v>PEA-A-Y1</x:v>
      </x:c>
      <x:c r="D454" s="7" t="str">
        <x:v>BLD-A</x:v>
      </x:c>
      <x:c r="E454" s="7" t="str">
        <x:v>BL-Y</x:v>
      </x:c>
      <x:c r="F454" s="7" t="str">
        <x:v>MF-03</x:v>
      </x:c>
      <x:c r="G454" s="7" t="str">
        <x:v>source pressure</x:v>
      </x:c>
      <x:c r="H454" s="7" t="n">
        <x:v>4</x:v>
      </x:c>
      <x:c r="I454" s="7" t="str"/>
      <x:c r="J454" s="7" t="str"/>
      <x:c r="K454" s="7" t="str"/>
      <x:c r="L454" s="7" t="str"/>
      <x:c r="M454" s="7" t="str"/>
      <x:c r="N454" s="7" t="str"/>
      <x:c r="O454" s="7" t="str">
        <x:f>IF(N454="","OPEN",IF(OR(I454="",J454="",K454="",L454="",M454=""),"FAIL","PASS"))</x:f>
        <x:v>OPEN</x:v>
      </x:c>
    </x:row>
    <x:row r="455">
      <x:c r="B455" s="7" t="str">
        <x:v>CH-PEA-A-Y1-03-5</x:v>
      </x:c>
      <x:c r="C455" s="7" t="str">
        <x:v>PEA-A-Y1</x:v>
      </x:c>
      <x:c r="D455" s="7" t="str">
        <x:v>BLD-A</x:v>
      </x:c>
      <x:c r="E455" s="7" t="str">
        <x:v>BL-Y</x:v>
      </x:c>
      <x:c r="F455" s="7" t="str">
        <x:v>MF-03</x:v>
      </x:c>
      <x:c r="G455" s="7" t="str">
        <x:v>source pressure</x:v>
      </x:c>
      <x:c r="H455" s="7" t="n">
        <x:v>5</x:v>
      </x:c>
      <x:c r="I455" s="7" t="str"/>
      <x:c r="J455" s="7" t="str"/>
      <x:c r="K455" s="7" t="str"/>
      <x:c r="L455" s="7" t="str"/>
      <x:c r="M455" s="7" t="str"/>
      <x:c r="N455" s="7" t="str"/>
      <x:c r="O455" s="7" t="str">
        <x:f>IF(N455="","OPEN",IF(OR(I455="",J455="",K455="",L455="",M455=""),"FAIL","PASS"))</x:f>
        <x:v>OPEN</x:v>
      </x:c>
    </x:row>
    <x:row r="456">
      <x:c r="B456" s="7" t="str">
        <x:v>CH-PEA-A-Y1-03-6</x:v>
      </x:c>
      <x:c r="C456" s="7" t="str">
        <x:v>PEA-A-Y1</x:v>
      </x:c>
      <x:c r="D456" s="7" t="str">
        <x:v>BLD-A</x:v>
      </x:c>
      <x:c r="E456" s="7" t="str">
        <x:v>BL-Y</x:v>
      </x:c>
      <x:c r="F456" s="7" t="str">
        <x:v>MF-03</x:v>
      </x:c>
      <x:c r="G456" s="7" t="str">
        <x:v>source pressure</x:v>
      </x:c>
      <x:c r="H456" s="7" t="n">
        <x:v>6</x:v>
      </x:c>
      <x:c r="I456" s="7" t="str"/>
      <x:c r="J456" s="7" t="str"/>
      <x:c r="K456" s="7" t="str"/>
      <x:c r="L456" s="7" t="str"/>
      <x:c r="M456" s="7" t="str"/>
      <x:c r="N456" s="7" t="str"/>
      <x:c r="O456" s="7" t="str">
        <x:f>IF(N456="","OPEN",IF(OR(I456="",J456="",K456="",L456="",M456=""),"FAIL","PASS"))</x:f>
        <x:v>OPEN</x:v>
      </x:c>
    </x:row>
    <x:row r="457">
      <x:c r="B457" s="7" t="str">
        <x:v>CH-PEA-A-Y1-04-1</x:v>
      </x:c>
      <x:c r="C457" s="7" t="str">
        <x:v>PEA-A-Y1</x:v>
      </x:c>
      <x:c r="D457" s="7" t="str">
        <x:v>BLD-A</x:v>
      </x:c>
      <x:c r="E457" s="7" t="str">
        <x:v>BL-Y</x:v>
      </x:c>
      <x:c r="F457" s="7" t="str">
        <x:v>MF-04</x:v>
      </x:c>
      <x:c r="G457" s="7" t="str">
        <x:v>source temperature</x:v>
      </x:c>
      <x:c r="H457" s="7" t="n">
        <x:v>1</x:v>
      </x:c>
      <x:c r="I457" s="7" t="str"/>
      <x:c r="J457" s="7" t="str"/>
      <x:c r="K457" s="7" t="str"/>
      <x:c r="L457" s="7" t="str"/>
      <x:c r="M457" s="7" t="str"/>
      <x:c r="N457" s="7" t="str"/>
      <x:c r="O457" s="7" t="str">
        <x:f>IF(N457="","OPEN",IF(OR(I457="",J457="",K457="",L457="",M457=""),"FAIL","PASS"))</x:f>
        <x:v>OPEN</x:v>
      </x:c>
    </x:row>
    <x:row r="458">
      <x:c r="B458" s="7" t="str">
        <x:v>CH-PEA-A-Y1-04-2</x:v>
      </x:c>
      <x:c r="C458" s="7" t="str">
        <x:v>PEA-A-Y1</x:v>
      </x:c>
      <x:c r="D458" s="7" t="str">
        <x:v>BLD-A</x:v>
      </x:c>
      <x:c r="E458" s="7" t="str">
        <x:v>BL-Y</x:v>
      </x:c>
      <x:c r="F458" s="7" t="str">
        <x:v>MF-04</x:v>
      </x:c>
      <x:c r="G458" s="7" t="str">
        <x:v>source temperature</x:v>
      </x:c>
      <x:c r="H458" s="7" t="n">
        <x:v>2</x:v>
      </x:c>
      <x:c r="I458" s="7" t="str"/>
      <x:c r="J458" s="7" t="str"/>
      <x:c r="K458" s="7" t="str"/>
      <x:c r="L458" s="7" t="str"/>
      <x:c r="M458" s="7" t="str"/>
      <x:c r="N458" s="7" t="str"/>
      <x:c r="O458" s="7" t="str">
        <x:f>IF(N458="","OPEN",IF(OR(I458="",J458="",K458="",L458="",M458=""),"FAIL","PASS"))</x:f>
        <x:v>OPEN</x:v>
      </x:c>
    </x:row>
    <x:row r="459">
      <x:c r="B459" s="7" t="str">
        <x:v>CH-PEA-A-Y1-04-3</x:v>
      </x:c>
      <x:c r="C459" s="7" t="str">
        <x:v>PEA-A-Y1</x:v>
      </x:c>
      <x:c r="D459" s="7" t="str">
        <x:v>BLD-A</x:v>
      </x:c>
      <x:c r="E459" s="7" t="str">
        <x:v>BL-Y</x:v>
      </x:c>
      <x:c r="F459" s="7" t="str">
        <x:v>MF-04</x:v>
      </x:c>
      <x:c r="G459" s="7" t="str">
        <x:v>source temperature</x:v>
      </x:c>
      <x:c r="H459" s="7" t="n">
        <x:v>3</x:v>
      </x:c>
      <x:c r="I459" s="7" t="str"/>
      <x:c r="J459" s="7" t="str"/>
      <x:c r="K459" s="7" t="str"/>
      <x:c r="L459" s="7" t="str"/>
      <x:c r="M459" s="7" t="str"/>
      <x:c r="N459" s="7" t="str"/>
      <x:c r="O459" s="7" t="str">
        <x:f>IF(N459="","OPEN",IF(OR(I459="",J459="",K459="",L459="",M459=""),"FAIL","PASS"))</x:f>
        <x:v>OPEN</x:v>
      </x:c>
    </x:row>
    <x:row r="460">
      <x:c r="B460" s="7" t="str">
        <x:v>CH-PEA-A-Y1-04-4</x:v>
      </x:c>
      <x:c r="C460" s="7" t="str">
        <x:v>PEA-A-Y1</x:v>
      </x:c>
      <x:c r="D460" s="7" t="str">
        <x:v>BLD-A</x:v>
      </x:c>
      <x:c r="E460" s="7" t="str">
        <x:v>BL-Y</x:v>
      </x:c>
      <x:c r="F460" s="7" t="str">
        <x:v>MF-04</x:v>
      </x:c>
      <x:c r="G460" s="7" t="str">
        <x:v>source temperature</x:v>
      </x:c>
      <x:c r="H460" s="7" t="n">
        <x:v>4</x:v>
      </x:c>
      <x:c r="I460" s="7" t="str"/>
      <x:c r="J460" s="7" t="str"/>
      <x:c r="K460" s="7" t="str"/>
      <x:c r="L460" s="7" t="str"/>
      <x:c r="M460" s="7" t="str"/>
      <x:c r="N460" s="7" t="str"/>
      <x:c r="O460" s="7" t="str">
        <x:f>IF(N460="","OPEN",IF(OR(I460="",J460="",K460="",L460="",M460=""),"FAIL","PASS"))</x:f>
        <x:v>OPEN</x:v>
      </x:c>
    </x:row>
    <x:row r="461">
      <x:c r="B461" s="7" t="str">
        <x:v>CH-PEA-A-Y1-04-5</x:v>
      </x:c>
      <x:c r="C461" s="7" t="str">
        <x:v>PEA-A-Y1</x:v>
      </x:c>
      <x:c r="D461" s="7" t="str">
        <x:v>BLD-A</x:v>
      </x:c>
      <x:c r="E461" s="7" t="str">
        <x:v>BL-Y</x:v>
      </x:c>
      <x:c r="F461" s="7" t="str">
        <x:v>MF-04</x:v>
      </x:c>
      <x:c r="G461" s="7" t="str">
        <x:v>source temperature</x:v>
      </x:c>
      <x:c r="H461" s="7" t="n">
        <x:v>5</x:v>
      </x:c>
      <x:c r="I461" s="7" t="str"/>
      <x:c r="J461" s="7" t="str"/>
      <x:c r="K461" s="7" t="str"/>
      <x:c r="L461" s="7" t="str"/>
      <x:c r="M461" s="7" t="str"/>
      <x:c r="N461" s="7" t="str"/>
      <x:c r="O461" s="7" t="str">
        <x:f>IF(N461="","OPEN",IF(OR(I461="",J461="",K461="",L461="",M461=""),"FAIL","PASS"))</x:f>
        <x:v>OPEN</x:v>
      </x:c>
    </x:row>
    <x:row r="462">
      <x:c r="B462" s="7" t="str">
        <x:v>CH-PEA-A-Y1-04-6</x:v>
      </x:c>
      <x:c r="C462" s="7" t="str">
        <x:v>PEA-A-Y1</x:v>
      </x:c>
      <x:c r="D462" s="7" t="str">
        <x:v>BLD-A</x:v>
      </x:c>
      <x:c r="E462" s="7" t="str">
        <x:v>BL-Y</x:v>
      </x:c>
      <x:c r="F462" s="7" t="str">
        <x:v>MF-04</x:v>
      </x:c>
      <x:c r="G462" s="7" t="str">
        <x:v>source temperature</x:v>
      </x:c>
      <x:c r="H462" s="7" t="n">
        <x:v>6</x:v>
      </x:c>
      <x:c r="I462" s="7" t="str"/>
      <x:c r="J462" s="7" t="str"/>
      <x:c r="K462" s="7" t="str"/>
      <x:c r="L462" s="7" t="str"/>
      <x:c r="M462" s="7" t="str"/>
      <x:c r="N462" s="7" t="str"/>
      <x:c r="O462" s="7" t="str">
        <x:f>IF(N462="","OPEN",IF(OR(I462="",J462="",K462="",L462="",M462=""),"FAIL","PASS"))</x:f>
        <x:v>OPEN</x:v>
      </x:c>
    </x:row>
    <x:row r="463">
      <x:c r="B463" s="7" t="str">
        <x:v>CH-PEA-A-Y1-05-1</x:v>
      </x:c>
      <x:c r="C463" s="7" t="str">
        <x:v>PEA-A-Y1</x:v>
      </x:c>
      <x:c r="D463" s="7" t="str">
        <x:v>BLD-A</x:v>
      </x:c>
      <x:c r="E463" s="7" t="str">
        <x:v>BL-Y</x:v>
      </x:c>
      <x:c r="F463" s="7" t="str">
        <x:v>MF-05</x:v>
      </x:c>
      <x:c r="G463" s="7" t="str">
        <x:v>hold-up tomography</x:v>
      </x:c>
      <x:c r="H463" s="7" t="n">
        <x:v>1</x:v>
      </x:c>
      <x:c r="I463" s="7" t="str"/>
      <x:c r="J463" s="7" t="str"/>
      <x:c r="K463" s="7" t="str"/>
      <x:c r="L463" s="7" t="str"/>
      <x:c r="M463" s="7" t="str"/>
      <x:c r="N463" s="7" t="str"/>
      <x:c r="O463" s="7" t="str">
        <x:f>IF(N463="","OPEN",IF(OR(I463="",J463="",K463="",L463="",M463=""),"FAIL","PASS"))</x:f>
        <x:v>OPEN</x:v>
      </x:c>
    </x:row>
    <x:row r="464">
      <x:c r="B464" s="7" t="str">
        <x:v>CH-PEA-A-Y1-05-2</x:v>
      </x:c>
      <x:c r="C464" s="7" t="str">
        <x:v>PEA-A-Y1</x:v>
      </x:c>
      <x:c r="D464" s="7" t="str">
        <x:v>BLD-A</x:v>
      </x:c>
      <x:c r="E464" s="7" t="str">
        <x:v>BL-Y</x:v>
      </x:c>
      <x:c r="F464" s="7" t="str">
        <x:v>MF-05</x:v>
      </x:c>
      <x:c r="G464" s="7" t="str">
        <x:v>hold-up tomography</x:v>
      </x:c>
      <x:c r="H464" s="7" t="n">
        <x:v>2</x:v>
      </x:c>
      <x:c r="I464" s="7" t="str"/>
      <x:c r="J464" s="7" t="str"/>
      <x:c r="K464" s="7" t="str"/>
      <x:c r="L464" s="7" t="str"/>
      <x:c r="M464" s="7" t="str"/>
      <x:c r="N464" s="7" t="str"/>
      <x:c r="O464" s="7" t="str">
        <x:f>IF(N464="","OPEN",IF(OR(I464="",J464="",K464="",L464="",M464=""),"FAIL","PASS"))</x:f>
        <x:v>OPEN</x:v>
      </x:c>
    </x:row>
    <x:row r="465">
      <x:c r="B465" s="7" t="str">
        <x:v>CH-PEA-A-Y1-05-3</x:v>
      </x:c>
      <x:c r="C465" s="7" t="str">
        <x:v>PEA-A-Y1</x:v>
      </x:c>
      <x:c r="D465" s="7" t="str">
        <x:v>BLD-A</x:v>
      </x:c>
      <x:c r="E465" s="7" t="str">
        <x:v>BL-Y</x:v>
      </x:c>
      <x:c r="F465" s="7" t="str">
        <x:v>MF-05</x:v>
      </x:c>
      <x:c r="G465" s="7" t="str">
        <x:v>hold-up tomography</x:v>
      </x:c>
      <x:c r="H465" s="7" t="n">
        <x:v>3</x:v>
      </x:c>
      <x:c r="I465" s="7" t="str"/>
      <x:c r="J465" s="7" t="str"/>
      <x:c r="K465" s="7" t="str"/>
      <x:c r="L465" s="7" t="str"/>
      <x:c r="M465" s="7" t="str"/>
      <x:c r="N465" s="7" t="str"/>
      <x:c r="O465" s="7" t="str">
        <x:f>IF(N465="","OPEN",IF(OR(I465="",J465="",K465="",L465="",M465=""),"FAIL","PASS"))</x:f>
        <x:v>OPEN</x:v>
      </x:c>
    </x:row>
    <x:row r="466">
      <x:c r="B466" s="7" t="str">
        <x:v>CH-PEA-A-Y1-05-4</x:v>
      </x:c>
      <x:c r="C466" s="7" t="str">
        <x:v>PEA-A-Y1</x:v>
      </x:c>
      <x:c r="D466" s="7" t="str">
        <x:v>BLD-A</x:v>
      </x:c>
      <x:c r="E466" s="7" t="str">
        <x:v>BL-Y</x:v>
      </x:c>
      <x:c r="F466" s="7" t="str">
        <x:v>MF-05</x:v>
      </x:c>
      <x:c r="G466" s="7" t="str">
        <x:v>hold-up tomography</x:v>
      </x:c>
      <x:c r="H466" s="7" t="n">
        <x:v>4</x:v>
      </x:c>
      <x:c r="I466" s="7" t="str"/>
      <x:c r="J466" s="7" t="str"/>
      <x:c r="K466" s="7" t="str"/>
      <x:c r="L466" s="7" t="str"/>
      <x:c r="M466" s="7" t="str"/>
      <x:c r="N466" s="7" t="str"/>
      <x:c r="O466" s="7" t="str">
        <x:f>IF(N466="","OPEN",IF(OR(I466="",J466="",K466="",L466="",M466=""),"FAIL","PASS"))</x:f>
        <x:v>OPEN</x:v>
      </x:c>
    </x:row>
    <x:row r="467">
      <x:c r="B467" s="7" t="str">
        <x:v>CH-PEA-A-Y1-05-5</x:v>
      </x:c>
      <x:c r="C467" s="7" t="str">
        <x:v>PEA-A-Y1</x:v>
      </x:c>
      <x:c r="D467" s="7" t="str">
        <x:v>BLD-A</x:v>
      </x:c>
      <x:c r="E467" s="7" t="str">
        <x:v>BL-Y</x:v>
      </x:c>
      <x:c r="F467" s="7" t="str">
        <x:v>MF-05</x:v>
      </x:c>
      <x:c r="G467" s="7" t="str">
        <x:v>hold-up tomography</x:v>
      </x:c>
      <x:c r="H467" s="7" t="n">
        <x:v>5</x:v>
      </x:c>
      <x:c r="I467" s="7" t="str"/>
      <x:c r="J467" s="7" t="str"/>
      <x:c r="K467" s="7" t="str"/>
      <x:c r="L467" s="7" t="str"/>
      <x:c r="M467" s="7" t="str"/>
      <x:c r="N467" s="7" t="str"/>
      <x:c r="O467" s="7" t="str">
        <x:f>IF(N467="","OPEN",IF(OR(I467="",J467="",K467="",L467="",M467=""),"FAIL","PASS"))</x:f>
        <x:v>OPEN</x:v>
      </x:c>
    </x:row>
    <x:row r="468">
      <x:c r="B468" s="7" t="str">
        <x:v>CH-PEA-A-Y1-05-6</x:v>
      </x:c>
      <x:c r="C468" s="7" t="str">
        <x:v>PEA-A-Y1</x:v>
      </x:c>
      <x:c r="D468" s="7" t="str">
        <x:v>BLD-A</x:v>
      </x:c>
      <x:c r="E468" s="7" t="str">
        <x:v>BL-Y</x:v>
      </x:c>
      <x:c r="F468" s="7" t="str">
        <x:v>MF-05</x:v>
      </x:c>
      <x:c r="G468" s="7" t="str">
        <x:v>hold-up tomography</x:v>
      </x:c>
      <x:c r="H468" s="7" t="n">
        <x:v>6</x:v>
      </x:c>
      <x:c r="I468" s="7" t="str"/>
      <x:c r="J468" s="7" t="str"/>
      <x:c r="K468" s="7" t="str"/>
      <x:c r="L468" s="7" t="str"/>
      <x:c r="M468" s="7" t="str"/>
      <x:c r="N468" s="7" t="str"/>
      <x:c r="O468" s="7" t="str">
        <x:f>IF(N468="","OPEN",IF(OR(I468="",J468="",K468="",L468="",M468=""),"FAIL","PASS"))</x:f>
        <x:v>OPEN</x:v>
      </x:c>
    </x:row>
    <x:row r="469">
      <x:c r="B469" s="7" t="str">
        <x:v>CH-PEA-A-Y1-06-1</x:v>
      </x:c>
      <x:c r="C469" s="7" t="str">
        <x:v>PEA-A-Y1</x:v>
      </x:c>
      <x:c r="D469" s="7" t="str">
        <x:v>BLD-A</x:v>
      </x:c>
      <x:c r="E469" s="7" t="str">
        <x:v>BL-Y</x:v>
      </x:c>
      <x:c r="F469" s="7" t="str">
        <x:v>MF-06</x:v>
      </x:c>
      <x:c r="G469" s="7" t="str">
        <x:v>pan level</x:v>
      </x:c>
      <x:c r="H469" s="7" t="n">
        <x:v>1</x:v>
      </x:c>
      <x:c r="I469" s="7" t="str"/>
      <x:c r="J469" s="7" t="str"/>
      <x:c r="K469" s="7" t="str"/>
      <x:c r="L469" s="7" t="str"/>
      <x:c r="M469" s="7" t="str"/>
      <x:c r="N469" s="7" t="str"/>
      <x:c r="O469" s="7" t="str">
        <x:f>IF(N469="","OPEN",IF(OR(I469="",J469="",K469="",L469="",M469=""),"FAIL","PASS"))</x:f>
        <x:v>OPEN</x:v>
      </x:c>
    </x:row>
    <x:row r="470">
      <x:c r="B470" s="7" t="str">
        <x:v>CH-PEA-A-Y1-06-2</x:v>
      </x:c>
      <x:c r="C470" s="7" t="str">
        <x:v>PEA-A-Y1</x:v>
      </x:c>
      <x:c r="D470" s="7" t="str">
        <x:v>BLD-A</x:v>
      </x:c>
      <x:c r="E470" s="7" t="str">
        <x:v>BL-Y</x:v>
      </x:c>
      <x:c r="F470" s="7" t="str">
        <x:v>MF-06</x:v>
      </x:c>
      <x:c r="G470" s="7" t="str">
        <x:v>pan level</x:v>
      </x:c>
      <x:c r="H470" s="7" t="n">
        <x:v>2</x:v>
      </x:c>
      <x:c r="I470" s="7" t="str"/>
      <x:c r="J470" s="7" t="str"/>
      <x:c r="K470" s="7" t="str"/>
      <x:c r="L470" s="7" t="str"/>
      <x:c r="M470" s="7" t="str"/>
      <x:c r="N470" s="7" t="str"/>
      <x:c r="O470" s="7" t="str">
        <x:f>IF(N470="","OPEN",IF(OR(I470="",J470="",K470="",L470="",M470=""),"FAIL","PASS"))</x:f>
        <x:v>OPEN</x:v>
      </x:c>
    </x:row>
    <x:row r="471">
      <x:c r="B471" s="7" t="str">
        <x:v>CH-PEA-A-Y1-06-3</x:v>
      </x:c>
      <x:c r="C471" s="7" t="str">
        <x:v>PEA-A-Y1</x:v>
      </x:c>
      <x:c r="D471" s="7" t="str">
        <x:v>BLD-A</x:v>
      </x:c>
      <x:c r="E471" s="7" t="str">
        <x:v>BL-Y</x:v>
      </x:c>
      <x:c r="F471" s="7" t="str">
        <x:v>MF-06</x:v>
      </x:c>
      <x:c r="G471" s="7" t="str">
        <x:v>pan level</x:v>
      </x:c>
      <x:c r="H471" s="7" t="n">
        <x:v>3</x:v>
      </x:c>
      <x:c r="I471" s="7" t="str"/>
      <x:c r="J471" s="7" t="str"/>
      <x:c r="K471" s="7" t="str"/>
      <x:c r="L471" s="7" t="str"/>
      <x:c r="M471" s="7" t="str"/>
      <x:c r="N471" s="7" t="str"/>
      <x:c r="O471" s="7" t="str">
        <x:f>IF(N471="","OPEN",IF(OR(I471="",J471="",K471="",L471="",M471=""),"FAIL","PASS"))</x:f>
        <x:v>OPEN</x:v>
      </x:c>
    </x:row>
    <x:row r="472">
      <x:c r="B472" s="7" t="str">
        <x:v>CH-PEA-A-Y1-06-4</x:v>
      </x:c>
      <x:c r="C472" s="7" t="str">
        <x:v>PEA-A-Y1</x:v>
      </x:c>
      <x:c r="D472" s="7" t="str">
        <x:v>BLD-A</x:v>
      </x:c>
      <x:c r="E472" s="7" t="str">
        <x:v>BL-Y</x:v>
      </x:c>
      <x:c r="F472" s="7" t="str">
        <x:v>MF-06</x:v>
      </x:c>
      <x:c r="G472" s="7" t="str">
        <x:v>pan level</x:v>
      </x:c>
      <x:c r="H472" s="7" t="n">
        <x:v>4</x:v>
      </x:c>
      <x:c r="I472" s="7" t="str"/>
      <x:c r="J472" s="7" t="str"/>
      <x:c r="K472" s="7" t="str"/>
      <x:c r="L472" s="7" t="str"/>
      <x:c r="M472" s="7" t="str"/>
      <x:c r="N472" s="7" t="str"/>
      <x:c r="O472" s="7" t="str">
        <x:f>IF(N472="","OPEN",IF(OR(I472="",J472="",K472="",L472="",M472=""),"FAIL","PASS"))</x:f>
        <x:v>OPEN</x:v>
      </x:c>
    </x:row>
    <x:row r="473">
      <x:c r="B473" s="7" t="str">
        <x:v>CH-PEA-A-Y1-06-5</x:v>
      </x:c>
      <x:c r="C473" s="7" t="str">
        <x:v>PEA-A-Y1</x:v>
      </x:c>
      <x:c r="D473" s="7" t="str">
        <x:v>BLD-A</x:v>
      </x:c>
      <x:c r="E473" s="7" t="str">
        <x:v>BL-Y</x:v>
      </x:c>
      <x:c r="F473" s="7" t="str">
        <x:v>MF-06</x:v>
      </x:c>
      <x:c r="G473" s="7" t="str">
        <x:v>pan level</x:v>
      </x:c>
      <x:c r="H473" s="7" t="n">
        <x:v>5</x:v>
      </x:c>
      <x:c r="I473" s="7" t="str"/>
      <x:c r="J473" s="7" t="str"/>
      <x:c r="K473" s="7" t="str"/>
      <x:c r="L473" s="7" t="str"/>
      <x:c r="M473" s="7" t="str"/>
      <x:c r="N473" s="7" t="str"/>
      <x:c r="O473" s="7" t="str">
        <x:f>IF(N473="","OPEN",IF(OR(I473="",J473="",K473="",L473="",M473=""),"FAIL","PASS"))</x:f>
        <x:v>OPEN</x:v>
      </x:c>
    </x:row>
    <x:row r="474">
      <x:c r="B474" s="7" t="str">
        <x:v>CH-PEA-A-Y1-06-6</x:v>
      </x:c>
      <x:c r="C474" s="7" t="str">
        <x:v>PEA-A-Y1</x:v>
      </x:c>
      <x:c r="D474" s="7" t="str">
        <x:v>BLD-A</x:v>
      </x:c>
      <x:c r="E474" s="7" t="str">
        <x:v>BL-Y</x:v>
      </x:c>
      <x:c r="F474" s="7" t="str">
        <x:v>MF-06</x:v>
      </x:c>
      <x:c r="G474" s="7" t="str">
        <x:v>pan level</x:v>
      </x:c>
      <x:c r="H474" s="7" t="n">
        <x:v>6</x:v>
      </x:c>
      <x:c r="I474" s="7" t="str"/>
      <x:c r="J474" s="7" t="str"/>
      <x:c r="K474" s="7" t="str"/>
      <x:c r="L474" s="7" t="str"/>
      <x:c r="M474" s="7" t="str"/>
      <x:c r="N474" s="7" t="str"/>
      <x:c r="O474" s="7" t="str">
        <x:f>IF(N474="","OPEN",IF(OR(I474="",J474="",K474="",L474="",M474=""),"FAIL","PASS"))</x:f>
        <x:v>OPEN</x:v>
      </x:c>
    </x:row>
    <x:row r="475">
      <x:c r="B475" s="7" t="str">
        <x:v>CH-PEA-A-Y1-07-1</x:v>
      </x:c>
      <x:c r="C475" s="7" t="str">
        <x:v>PEA-A-Y1</x:v>
      </x:c>
      <x:c r="D475" s="7" t="str">
        <x:v>BLD-A</x:v>
      </x:c>
      <x:c r="E475" s="7" t="str">
        <x:v>BL-Y</x:v>
      </x:c>
      <x:c r="F475" s="7" t="str">
        <x:v>MF-07</x:v>
      </x:c>
      <x:c r="G475" s="7" t="str">
        <x:v>normal receiver mass</x:v>
      </x:c>
      <x:c r="H475" s="7" t="n">
        <x:v>1</x:v>
      </x:c>
      <x:c r="I475" s="7" t="str"/>
      <x:c r="J475" s="7" t="str"/>
      <x:c r="K475" s="7" t="str"/>
      <x:c r="L475" s="7" t="str"/>
      <x:c r="M475" s="7" t="str"/>
      <x:c r="N475" s="7" t="str"/>
      <x:c r="O475" s="7" t="str">
        <x:f>IF(N475="","OPEN",IF(OR(I475="",J475="",K475="",L475="",M475=""),"FAIL","PASS"))</x:f>
        <x:v>OPEN</x:v>
      </x:c>
    </x:row>
    <x:row r="476">
      <x:c r="B476" s="7" t="str">
        <x:v>CH-PEA-A-Y1-07-2</x:v>
      </x:c>
      <x:c r="C476" s="7" t="str">
        <x:v>PEA-A-Y1</x:v>
      </x:c>
      <x:c r="D476" s="7" t="str">
        <x:v>BLD-A</x:v>
      </x:c>
      <x:c r="E476" s="7" t="str">
        <x:v>BL-Y</x:v>
      </x:c>
      <x:c r="F476" s="7" t="str">
        <x:v>MF-07</x:v>
      </x:c>
      <x:c r="G476" s="7" t="str">
        <x:v>normal receiver mass</x:v>
      </x:c>
      <x:c r="H476" s="7" t="n">
        <x:v>2</x:v>
      </x:c>
      <x:c r="I476" s="7" t="str"/>
      <x:c r="J476" s="7" t="str"/>
      <x:c r="K476" s="7" t="str"/>
      <x:c r="L476" s="7" t="str"/>
      <x:c r="M476" s="7" t="str"/>
      <x:c r="N476" s="7" t="str"/>
      <x:c r="O476" s="7" t="str">
        <x:f>IF(N476="","OPEN",IF(OR(I476="",J476="",K476="",L476="",M476=""),"FAIL","PASS"))</x:f>
        <x:v>OPEN</x:v>
      </x:c>
    </x:row>
    <x:row r="477">
      <x:c r="B477" s="7" t="str">
        <x:v>CH-PEA-A-Y1-07-3</x:v>
      </x:c>
      <x:c r="C477" s="7" t="str">
        <x:v>PEA-A-Y1</x:v>
      </x:c>
      <x:c r="D477" s="7" t="str">
        <x:v>BLD-A</x:v>
      </x:c>
      <x:c r="E477" s="7" t="str">
        <x:v>BL-Y</x:v>
      </x:c>
      <x:c r="F477" s="7" t="str">
        <x:v>MF-07</x:v>
      </x:c>
      <x:c r="G477" s="7" t="str">
        <x:v>normal receiver mass</x:v>
      </x:c>
      <x:c r="H477" s="7" t="n">
        <x:v>3</x:v>
      </x:c>
      <x:c r="I477" s="7" t="str"/>
      <x:c r="J477" s="7" t="str"/>
      <x:c r="K477" s="7" t="str"/>
      <x:c r="L477" s="7" t="str"/>
      <x:c r="M477" s="7" t="str"/>
      <x:c r="N477" s="7" t="str"/>
      <x:c r="O477" s="7" t="str">
        <x:f>IF(N477="","OPEN",IF(OR(I477="",J477="",K477="",L477="",M477=""),"FAIL","PASS"))</x:f>
        <x:v>OPEN</x:v>
      </x:c>
    </x:row>
    <x:row r="478">
      <x:c r="B478" s="7" t="str">
        <x:v>CH-PEA-A-Y1-07-4</x:v>
      </x:c>
      <x:c r="C478" s="7" t="str">
        <x:v>PEA-A-Y1</x:v>
      </x:c>
      <x:c r="D478" s="7" t="str">
        <x:v>BLD-A</x:v>
      </x:c>
      <x:c r="E478" s="7" t="str">
        <x:v>BL-Y</x:v>
      </x:c>
      <x:c r="F478" s="7" t="str">
        <x:v>MF-07</x:v>
      </x:c>
      <x:c r="G478" s="7" t="str">
        <x:v>normal receiver mass</x:v>
      </x:c>
      <x:c r="H478" s="7" t="n">
        <x:v>4</x:v>
      </x:c>
      <x:c r="I478" s="7" t="str"/>
      <x:c r="J478" s="7" t="str"/>
      <x:c r="K478" s="7" t="str"/>
      <x:c r="L478" s="7" t="str"/>
      <x:c r="M478" s="7" t="str"/>
      <x:c r="N478" s="7" t="str"/>
      <x:c r="O478" s="7" t="str">
        <x:f>IF(N478="","OPEN",IF(OR(I478="",J478="",K478="",L478="",M478=""),"FAIL","PASS"))</x:f>
        <x:v>OPEN</x:v>
      </x:c>
    </x:row>
    <x:row r="479">
      <x:c r="B479" s="7" t="str">
        <x:v>CH-PEA-A-Y1-07-5</x:v>
      </x:c>
      <x:c r="C479" s="7" t="str">
        <x:v>PEA-A-Y1</x:v>
      </x:c>
      <x:c r="D479" s="7" t="str">
        <x:v>BLD-A</x:v>
      </x:c>
      <x:c r="E479" s="7" t="str">
        <x:v>BL-Y</x:v>
      </x:c>
      <x:c r="F479" s="7" t="str">
        <x:v>MF-07</x:v>
      </x:c>
      <x:c r="G479" s="7" t="str">
        <x:v>normal receiver mass</x:v>
      </x:c>
      <x:c r="H479" s="7" t="n">
        <x:v>5</x:v>
      </x:c>
      <x:c r="I479" s="7" t="str"/>
      <x:c r="J479" s="7" t="str"/>
      <x:c r="K479" s="7" t="str"/>
      <x:c r="L479" s="7" t="str"/>
      <x:c r="M479" s="7" t="str"/>
      <x:c r="N479" s="7" t="str"/>
      <x:c r="O479" s="7" t="str">
        <x:f>IF(N479="","OPEN",IF(OR(I479="",J479="",K479="",L479="",M479=""),"FAIL","PASS"))</x:f>
        <x:v>OPEN</x:v>
      </x:c>
    </x:row>
    <x:row r="480">
      <x:c r="B480" s="7" t="str">
        <x:v>CH-PEA-A-Y1-07-6</x:v>
      </x:c>
      <x:c r="C480" s="7" t="str">
        <x:v>PEA-A-Y1</x:v>
      </x:c>
      <x:c r="D480" s="7" t="str">
        <x:v>BLD-A</x:v>
      </x:c>
      <x:c r="E480" s="7" t="str">
        <x:v>BL-Y</x:v>
      </x:c>
      <x:c r="F480" s="7" t="str">
        <x:v>MF-07</x:v>
      </x:c>
      <x:c r="G480" s="7" t="str">
        <x:v>normal receiver mass</x:v>
      </x:c>
      <x:c r="H480" s="7" t="n">
        <x:v>6</x:v>
      </x:c>
      <x:c r="I480" s="7" t="str"/>
      <x:c r="J480" s="7" t="str"/>
      <x:c r="K480" s="7" t="str"/>
      <x:c r="L480" s="7" t="str"/>
      <x:c r="M480" s="7" t="str"/>
      <x:c r="N480" s="7" t="str"/>
      <x:c r="O480" s="7" t="str">
        <x:f>IF(N480="","OPEN",IF(OR(I480="",J480="",K480="",L480="",M480=""),"FAIL","PASS"))</x:f>
        <x:v>OPEN</x:v>
      </x:c>
    </x:row>
    <x:row r="481">
      <x:c r="B481" s="7" t="str">
        <x:v>CH-PEA-A-Y1-08-1</x:v>
      </x:c>
      <x:c r="C481" s="7" t="str">
        <x:v>PEA-A-Y1</x:v>
      </x:c>
      <x:c r="D481" s="7" t="str">
        <x:v>BLD-A</x:v>
      </x:c>
      <x:c r="E481" s="7" t="str">
        <x:v>BL-Y</x:v>
      </x:c>
      <x:c r="F481" s="7" t="str">
        <x:v>MF-08</x:v>
      </x:c>
      <x:c r="G481" s="7" t="str">
        <x:v>casualty receiver mass</x:v>
      </x:c>
      <x:c r="H481" s="7" t="n">
        <x:v>1</x:v>
      </x:c>
      <x:c r="I481" s="7" t="str"/>
      <x:c r="J481" s="7" t="str"/>
      <x:c r="K481" s="7" t="str"/>
      <x:c r="L481" s="7" t="str"/>
      <x:c r="M481" s="7" t="str"/>
      <x:c r="N481" s="7" t="str"/>
      <x:c r="O481" s="7" t="str">
        <x:f>IF(N481="","OPEN",IF(OR(I481="",J481="",K481="",L481="",M481=""),"FAIL","PASS"))</x:f>
        <x:v>OPEN</x:v>
      </x:c>
    </x:row>
    <x:row r="482">
      <x:c r="B482" s="7" t="str">
        <x:v>CH-PEA-A-Y1-08-2</x:v>
      </x:c>
      <x:c r="C482" s="7" t="str">
        <x:v>PEA-A-Y1</x:v>
      </x:c>
      <x:c r="D482" s="7" t="str">
        <x:v>BLD-A</x:v>
      </x:c>
      <x:c r="E482" s="7" t="str">
        <x:v>BL-Y</x:v>
      </x:c>
      <x:c r="F482" s="7" t="str">
        <x:v>MF-08</x:v>
      </x:c>
      <x:c r="G482" s="7" t="str">
        <x:v>casualty receiver mass</x:v>
      </x:c>
      <x:c r="H482" s="7" t="n">
        <x:v>2</x:v>
      </x:c>
      <x:c r="I482" s="7" t="str"/>
      <x:c r="J482" s="7" t="str"/>
      <x:c r="K482" s="7" t="str"/>
      <x:c r="L482" s="7" t="str"/>
      <x:c r="M482" s="7" t="str"/>
      <x:c r="N482" s="7" t="str"/>
      <x:c r="O482" s="7" t="str">
        <x:f>IF(N482="","OPEN",IF(OR(I482="",J482="",K482="",L482="",M482=""),"FAIL","PASS"))</x:f>
        <x:v>OPEN</x:v>
      </x:c>
    </x:row>
    <x:row r="483">
      <x:c r="B483" s="7" t="str">
        <x:v>CH-PEA-A-Y1-08-3</x:v>
      </x:c>
      <x:c r="C483" s="7" t="str">
        <x:v>PEA-A-Y1</x:v>
      </x:c>
      <x:c r="D483" s="7" t="str">
        <x:v>BLD-A</x:v>
      </x:c>
      <x:c r="E483" s="7" t="str">
        <x:v>BL-Y</x:v>
      </x:c>
      <x:c r="F483" s="7" t="str">
        <x:v>MF-08</x:v>
      </x:c>
      <x:c r="G483" s="7" t="str">
        <x:v>casualty receiver mass</x:v>
      </x:c>
      <x:c r="H483" s="7" t="n">
        <x:v>3</x:v>
      </x:c>
      <x:c r="I483" s="7" t="str"/>
      <x:c r="J483" s="7" t="str"/>
      <x:c r="K483" s="7" t="str"/>
      <x:c r="L483" s="7" t="str"/>
      <x:c r="M483" s="7" t="str"/>
      <x:c r="N483" s="7" t="str"/>
      <x:c r="O483" s="7" t="str">
        <x:f>IF(N483="","OPEN",IF(OR(I483="",J483="",K483="",L483="",M483=""),"FAIL","PASS"))</x:f>
        <x:v>OPEN</x:v>
      </x:c>
    </x:row>
    <x:row r="484">
      <x:c r="B484" s="7" t="str">
        <x:v>CH-PEA-A-Y1-08-4</x:v>
      </x:c>
      <x:c r="C484" s="7" t="str">
        <x:v>PEA-A-Y1</x:v>
      </x:c>
      <x:c r="D484" s="7" t="str">
        <x:v>BLD-A</x:v>
      </x:c>
      <x:c r="E484" s="7" t="str">
        <x:v>BL-Y</x:v>
      </x:c>
      <x:c r="F484" s="7" t="str">
        <x:v>MF-08</x:v>
      </x:c>
      <x:c r="G484" s="7" t="str">
        <x:v>casualty receiver mass</x:v>
      </x:c>
      <x:c r="H484" s="7" t="n">
        <x:v>4</x:v>
      </x:c>
      <x:c r="I484" s="7" t="str"/>
      <x:c r="J484" s="7" t="str"/>
      <x:c r="K484" s="7" t="str"/>
      <x:c r="L484" s="7" t="str"/>
      <x:c r="M484" s="7" t="str"/>
      <x:c r="N484" s="7" t="str"/>
      <x:c r="O484" s="7" t="str">
        <x:f>IF(N484="","OPEN",IF(OR(I484="",J484="",K484="",L484="",M484=""),"FAIL","PASS"))</x:f>
        <x:v>OPEN</x:v>
      </x:c>
    </x:row>
    <x:row r="485">
      <x:c r="B485" s="7" t="str">
        <x:v>CH-PEA-A-Y1-08-5</x:v>
      </x:c>
      <x:c r="C485" s="7" t="str">
        <x:v>PEA-A-Y1</x:v>
      </x:c>
      <x:c r="D485" s="7" t="str">
        <x:v>BLD-A</x:v>
      </x:c>
      <x:c r="E485" s="7" t="str">
        <x:v>BL-Y</x:v>
      </x:c>
      <x:c r="F485" s="7" t="str">
        <x:v>MF-08</x:v>
      </x:c>
      <x:c r="G485" s="7" t="str">
        <x:v>casualty receiver mass</x:v>
      </x:c>
      <x:c r="H485" s="7" t="n">
        <x:v>5</x:v>
      </x:c>
      <x:c r="I485" s="7" t="str"/>
      <x:c r="J485" s="7" t="str"/>
      <x:c r="K485" s="7" t="str"/>
      <x:c r="L485" s="7" t="str"/>
      <x:c r="M485" s="7" t="str"/>
      <x:c r="N485" s="7" t="str"/>
      <x:c r="O485" s="7" t="str">
        <x:f>IF(N485="","OPEN",IF(OR(I485="",J485="",K485="",L485="",M485=""),"FAIL","PASS"))</x:f>
        <x:v>OPEN</x:v>
      </x:c>
    </x:row>
    <x:row r="486">
      <x:c r="B486" s="7" t="str">
        <x:v>CH-PEA-A-Y1-08-6</x:v>
      </x:c>
      <x:c r="C486" s="7" t="str">
        <x:v>PEA-A-Y1</x:v>
      </x:c>
      <x:c r="D486" s="7" t="str">
        <x:v>BLD-A</x:v>
      </x:c>
      <x:c r="E486" s="7" t="str">
        <x:v>BL-Y</x:v>
      </x:c>
      <x:c r="F486" s="7" t="str">
        <x:v>MF-08</x:v>
      </x:c>
      <x:c r="G486" s="7" t="str">
        <x:v>casualty receiver mass</x:v>
      </x:c>
      <x:c r="H486" s="7" t="n">
        <x:v>6</x:v>
      </x:c>
      <x:c r="I486" s="7" t="str"/>
      <x:c r="J486" s="7" t="str"/>
      <x:c r="K486" s="7" t="str"/>
      <x:c r="L486" s="7" t="str"/>
      <x:c r="M486" s="7" t="str"/>
      <x:c r="N486" s="7" t="str"/>
      <x:c r="O486" s="7" t="str">
        <x:f>IF(N486="","OPEN",IF(OR(I486="",J486="",K486="",L486="",M486=""),"FAIL","PASS"))</x:f>
        <x:v>OPEN</x:v>
      </x:c>
    </x:row>
    <x:row r="487">
      <x:c r="B487" s="7" t="str">
        <x:v>CH-PEA-A-Y1-09-1</x:v>
      </x:c>
      <x:c r="C487" s="7" t="str">
        <x:v>PEA-A-Y1</x:v>
      </x:c>
      <x:c r="D487" s="7" t="str">
        <x:v>BLD-A</x:v>
      </x:c>
      <x:c r="E487" s="7" t="str">
        <x:v>BL-Y</x:v>
      </x:c>
      <x:c r="F487" s="7" t="str">
        <x:v>MF-09</x:v>
      </x:c>
      <x:c r="G487" s="7" t="str">
        <x:v>geometry and slope</x:v>
      </x:c>
      <x:c r="H487" s="7" t="n">
        <x:v>1</x:v>
      </x:c>
      <x:c r="I487" s="7" t="str"/>
      <x:c r="J487" s="7" t="str"/>
      <x:c r="K487" s="7" t="str"/>
      <x:c r="L487" s="7" t="str"/>
      <x:c r="M487" s="7" t="str"/>
      <x:c r="N487" s="7" t="str"/>
      <x:c r="O487" s="7" t="str">
        <x:f>IF(N487="","OPEN",IF(OR(I487="",J487="",K487="",L487="",M487=""),"FAIL","PASS"))</x:f>
        <x:v>OPEN</x:v>
      </x:c>
    </x:row>
    <x:row r="488">
      <x:c r="B488" s="7" t="str">
        <x:v>CH-PEA-A-Y1-09-2</x:v>
      </x:c>
      <x:c r="C488" s="7" t="str">
        <x:v>PEA-A-Y1</x:v>
      </x:c>
      <x:c r="D488" s="7" t="str">
        <x:v>BLD-A</x:v>
      </x:c>
      <x:c r="E488" s="7" t="str">
        <x:v>BL-Y</x:v>
      </x:c>
      <x:c r="F488" s="7" t="str">
        <x:v>MF-09</x:v>
      </x:c>
      <x:c r="G488" s="7" t="str">
        <x:v>geometry and slope</x:v>
      </x:c>
      <x:c r="H488" s="7" t="n">
        <x:v>2</x:v>
      </x:c>
      <x:c r="I488" s="7" t="str"/>
      <x:c r="J488" s="7" t="str"/>
      <x:c r="K488" s="7" t="str"/>
      <x:c r="L488" s="7" t="str"/>
      <x:c r="M488" s="7" t="str"/>
      <x:c r="N488" s="7" t="str"/>
      <x:c r="O488" s="7" t="str">
        <x:f>IF(N488="","OPEN",IF(OR(I488="",J488="",K488="",L488="",M488=""),"FAIL","PASS"))</x:f>
        <x:v>OPEN</x:v>
      </x:c>
    </x:row>
    <x:row r="489">
      <x:c r="B489" s="7" t="str">
        <x:v>CH-PEA-A-Y1-09-3</x:v>
      </x:c>
      <x:c r="C489" s="7" t="str">
        <x:v>PEA-A-Y1</x:v>
      </x:c>
      <x:c r="D489" s="7" t="str">
        <x:v>BLD-A</x:v>
      </x:c>
      <x:c r="E489" s="7" t="str">
        <x:v>BL-Y</x:v>
      </x:c>
      <x:c r="F489" s="7" t="str">
        <x:v>MF-09</x:v>
      </x:c>
      <x:c r="G489" s="7" t="str">
        <x:v>geometry and slope</x:v>
      </x:c>
      <x:c r="H489" s="7" t="n">
        <x:v>3</x:v>
      </x:c>
      <x:c r="I489" s="7" t="str"/>
      <x:c r="J489" s="7" t="str"/>
      <x:c r="K489" s="7" t="str"/>
      <x:c r="L489" s="7" t="str"/>
      <x:c r="M489" s="7" t="str"/>
      <x:c r="N489" s="7" t="str"/>
      <x:c r="O489" s="7" t="str">
        <x:f>IF(N489="","OPEN",IF(OR(I489="",J489="",K489="",L489="",M489=""),"FAIL","PASS"))</x:f>
        <x:v>OPEN</x:v>
      </x:c>
    </x:row>
    <x:row r="490">
      <x:c r="B490" s="7" t="str">
        <x:v>CH-PEA-A-Y1-09-4</x:v>
      </x:c>
      <x:c r="C490" s="7" t="str">
        <x:v>PEA-A-Y1</x:v>
      </x:c>
      <x:c r="D490" s="7" t="str">
        <x:v>BLD-A</x:v>
      </x:c>
      <x:c r="E490" s="7" t="str">
        <x:v>BL-Y</x:v>
      </x:c>
      <x:c r="F490" s="7" t="str">
        <x:v>MF-09</x:v>
      </x:c>
      <x:c r="G490" s="7" t="str">
        <x:v>geometry and slope</x:v>
      </x:c>
      <x:c r="H490" s="7" t="n">
        <x:v>4</x:v>
      </x:c>
      <x:c r="I490" s="7" t="str"/>
      <x:c r="J490" s="7" t="str"/>
      <x:c r="K490" s="7" t="str"/>
      <x:c r="L490" s="7" t="str"/>
      <x:c r="M490" s="7" t="str"/>
      <x:c r="N490" s="7" t="str"/>
      <x:c r="O490" s="7" t="str">
        <x:f>IF(N490="","OPEN",IF(OR(I490="",J490="",K490="",L490="",M490=""),"FAIL","PASS"))</x:f>
        <x:v>OPEN</x:v>
      </x:c>
    </x:row>
    <x:row r="491">
      <x:c r="B491" s="7" t="str">
        <x:v>CH-PEA-A-Y1-09-5</x:v>
      </x:c>
      <x:c r="C491" s="7" t="str">
        <x:v>PEA-A-Y1</x:v>
      </x:c>
      <x:c r="D491" s="7" t="str">
        <x:v>BLD-A</x:v>
      </x:c>
      <x:c r="E491" s="7" t="str">
        <x:v>BL-Y</x:v>
      </x:c>
      <x:c r="F491" s="7" t="str">
        <x:v>MF-09</x:v>
      </x:c>
      <x:c r="G491" s="7" t="str">
        <x:v>geometry and slope</x:v>
      </x:c>
      <x:c r="H491" s="7" t="n">
        <x:v>5</x:v>
      </x:c>
      <x:c r="I491" s="7" t="str"/>
      <x:c r="J491" s="7" t="str"/>
      <x:c r="K491" s="7" t="str"/>
      <x:c r="L491" s="7" t="str"/>
      <x:c r="M491" s="7" t="str"/>
      <x:c r="N491" s="7" t="str"/>
      <x:c r="O491" s="7" t="str">
        <x:f>IF(N491="","OPEN",IF(OR(I491="",J491="",K491="",L491="",M491=""),"FAIL","PASS"))</x:f>
        <x:v>OPEN</x:v>
      </x:c>
    </x:row>
    <x:row r="492">
      <x:c r="B492" s="7" t="str">
        <x:v>CH-PEA-A-Y1-09-6</x:v>
      </x:c>
      <x:c r="C492" s="7" t="str">
        <x:v>PEA-A-Y1</x:v>
      </x:c>
      <x:c r="D492" s="7" t="str">
        <x:v>BLD-A</x:v>
      </x:c>
      <x:c r="E492" s="7" t="str">
        <x:v>BL-Y</x:v>
      </x:c>
      <x:c r="F492" s="7" t="str">
        <x:v>MF-09</x:v>
      </x:c>
      <x:c r="G492" s="7" t="str">
        <x:v>geometry and slope</x:v>
      </x:c>
      <x:c r="H492" s="7" t="n">
        <x:v>6</x:v>
      </x:c>
      <x:c r="I492" s="7" t="str"/>
      <x:c r="J492" s="7" t="str"/>
      <x:c r="K492" s="7" t="str"/>
      <x:c r="L492" s="7" t="str"/>
      <x:c r="M492" s="7" t="str"/>
      <x:c r="N492" s="7" t="str"/>
      <x:c r="O492" s="7" t="str">
        <x:f>IF(N492="","OPEN",IF(OR(I492="",J492="",K492="",L492="",M492=""),"FAIL","PASS"))</x:f>
        <x:v>OPEN</x:v>
      </x:c>
    </x:row>
    <x:row r="493">
      <x:c r="B493" s="7" t="str">
        <x:v>CH-PEA-A-Y1-10-1</x:v>
      </x:c>
      <x:c r="C493" s="7" t="str">
        <x:v>PEA-A-Y1</x:v>
      </x:c>
      <x:c r="D493" s="7" t="str">
        <x:v>BLD-A</x:v>
      </x:c>
      <x:c r="E493" s="7" t="str">
        <x:v>BL-Y</x:v>
      </x:c>
      <x:c r="F493" s="7" t="str">
        <x:v>MF-10</x:v>
      </x:c>
      <x:c r="G493" s="7" t="str">
        <x:v>normal-source path state</x:v>
      </x:c>
      <x:c r="H493" s="7" t="n">
        <x:v>1</x:v>
      </x:c>
      <x:c r="I493" s="7" t="str"/>
      <x:c r="J493" s="7" t="str"/>
      <x:c r="K493" s="7" t="str"/>
      <x:c r="L493" s="7" t="str"/>
      <x:c r="M493" s="7" t="str"/>
      <x:c r="N493" s="7" t="str"/>
      <x:c r="O493" s="7" t="str">
        <x:f>IF(N493="","OPEN",IF(OR(I493="",J493="",K493="",L493="",M493=""),"FAIL","PASS"))</x:f>
        <x:v>OPEN</x:v>
      </x:c>
    </x:row>
    <x:row r="494">
      <x:c r="B494" s="7" t="str">
        <x:v>CH-PEA-A-Y1-10-2</x:v>
      </x:c>
      <x:c r="C494" s="7" t="str">
        <x:v>PEA-A-Y1</x:v>
      </x:c>
      <x:c r="D494" s="7" t="str">
        <x:v>BLD-A</x:v>
      </x:c>
      <x:c r="E494" s="7" t="str">
        <x:v>BL-Y</x:v>
      </x:c>
      <x:c r="F494" s="7" t="str">
        <x:v>MF-10</x:v>
      </x:c>
      <x:c r="G494" s="7" t="str">
        <x:v>normal-source path state</x:v>
      </x:c>
      <x:c r="H494" s="7" t="n">
        <x:v>2</x:v>
      </x:c>
      <x:c r="I494" s="7" t="str"/>
      <x:c r="J494" s="7" t="str"/>
      <x:c r="K494" s="7" t="str"/>
      <x:c r="L494" s="7" t="str"/>
      <x:c r="M494" s="7" t="str"/>
      <x:c r="N494" s="7" t="str"/>
      <x:c r="O494" s="7" t="str">
        <x:f>IF(N494="","OPEN",IF(OR(I494="",J494="",K494="",L494="",M494=""),"FAIL","PASS"))</x:f>
        <x:v>OPEN</x:v>
      </x:c>
    </x:row>
    <x:row r="495">
      <x:c r="B495" s="7" t="str">
        <x:v>CH-PEA-A-Y1-10-3</x:v>
      </x:c>
      <x:c r="C495" s="7" t="str">
        <x:v>PEA-A-Y1</x:v>
      </x:c>
      <x:c r="D495" s="7" t="str">
        <x:v>BLD-A</x:v>
      </x:c>
      <x:c r="E495" s="7" t="str">
        <x:v>BL-Y</x:v>
      </x:c>
      <x:c r="F495" s="7" t="str">
        <x:v>MF-10</x:v>
      </x:c>
      <x:c r="G495" s="7" t="str">
        <x:v>normal-source path state</x:v>
      </x:c>
      <x:c r="H495" s="7" t="n">
        <x:v>3</x:v>
      </x:c>
      <x:c r="I495" s="7" t="str"/>
      <x:c r="J495" s="7" t="str"/>
      <x:c r="K495" s="7" t="str"/>
      <x:c r="L495" s="7" t="str"/>
      <x:c r="M495" s="7" t="str"/>
      <x:c r="N495" s="7" t="str"/>
      <x:c r="O495" s="7" t="str">
        <x:f>IF(N495="","OPEN",IF(OR(I495="",J495="",K495="",L495="",M495=""),"FAIL","PASS"))</x:f>
        <x:v>OPEN</x:v>
      </x:c>
    </x:row>
    <x:row r="496">
      <x:c r="B496" s="7" t="str">
        <x:v>CH-PEA-A-Y1-10-4</x:v>
      </x:c>
      <x:c r="C496" s="7" t="str">
        <x:v>PEA-A-Y1</x:v>
      </x:c>
      <x:c r="D496" s="7" t="str">
        <x:v>BLD-A</x:v>
      </x:c>
      <x:c r="E496" s="7" t="str">
        <x:v>BL-Y</x:v>
      </x:c>
      <x:c r="F496" s="7" t="str">
        <x:v>MF-10</x:v>
      </x:c>
      <x:c r="G496" s="7" t="str">
        <x:v>normal-source path state</x:v>
      </x:c>
      <x:c r="H496" s="7" t="n">
        <x:v>4</x:v>
      </x:c>
      <x:c r="I496" s="7" t="str"/>
      <x:c r="J496" s="7" t="str"/>
      <x:c r="K496" s="7" t="str"/>
      <x:c r="L496" s="7" t="str"/>
      <x:c r="M496" s="7" t="str"/>
      <x:c r="N496" s="7" t="str"/>
      <x:c r="O496" s="7" t="str">
        <x:f>IF(N496="","OPEN",IF(OR(I496="",J496="",K496="",L496="",M496=""),"FAIL","PASS"))</x:f>
        <x:v>OPEN</x:v>
      </x:c>
    </x:row>
    <x:row r="497">
      <x:c r="B497" s="7" t="str">
        <x:v>CH-PEA-A-Y1-10-5</x:v>
      </x:c>
      <x:c r="C497" s="7" t="str">
        <x:v>PEA-A-Y1</x:v>
      </x:c>
      <x:c r="D497" s="7" t="str">
        <x:v>BLD-A</x:v>
      </x:c>
      <x:c r="E497" s="7" t="str">
        <x:v>BL-Y</x:v>
      </x:c>
      <x:c r="F497" s="7" t="str">
        <x:v>MF-10</x:v>
      </x:c>
      <x:c r="G497" s="7" t="str">
        <x:v>normal-source path state</x:v>
      </x:c>
      <x:c r="H497" s="7" t="n">
        <x:v>5</x:v>
      </x:c>
      <x:c r="I497" s="7" t="str"/>
      <x:c r="J497" s="7" t="str"/>
      <x:c r="K497" s="7" t="str"/>
      <x:c r="L497" s="7" t="str"/>
      <x:c r="M497" s="7" t="str"/>
      <x:c r="N497" s="7" t="str"/>
      <x:c r="O497" s="7" t="str">
        <x:f>IF(N497="","OPEN",IF(OR(I497="",J497="",K497="",L497="",M497=""),"FAIL","PASS"))</x:f>
        <x:v>OPEN</x:v>
      </x:c>
    </x:row>
    <x:row r="498">
      <x:c r="B498" s="7" t="str">
        <x:v>CH-PEA-A-Y1-10-6</x:v>
      </x:c>
      <x:c r="C498" s="7" t="str">
        <x:v>PEA-A-Y1</x:v>
      </x:c>
      <x:c r="D498" s="7" t="str">
        <x:v>BLD-A</x:v>
      </x:c>
      <x:c r="E498" s="7" t="str">
        <x:v>BL-Y</x:v>
      </x:c>
      <x:c r="F498" s="7" t="str">
        <x:v>MF-10</x:v>
      </x:c>
      <x:c r="G498" s="7" t="str">
        <x:v>normal-source path state</x:v>
      </x:c>
      <x:c r="H498" s="7" t="n">
        <x:v>6</x:v>
      </x:c>
      <x:c r="I498" s="7" t="str"/>
      <x:c r="J498" s="7" t="str"/>
      <x:c r="K498" s="7" t="str"/>
      <x:c r="L498" s="7" t="str"/>
      <x:c r="M498" s="7" t="str"/>
      <x:c r="N498" s="7" t="str"/>
      <x:c r="O498" s="7" t="str">
        <x:f>IF(N498="","OPEN",IF(OR(I498="",J498="",K498="",L498="",M498=""),"FAIL","PASS"))</x:f>
        <x:v>OPEN</x:v>
      </x:c>
    </x:row>
    <x:row r="499">
      <x:c r="B499" s="7" t="str">
        <x:v>CH-PEA-A-Y1-11-1</x:v>
      </x:c>
      <x:c r="C499" s="7" t="str">
        <x:v>PEA-A-Y1</x:v>
      </x:c>
      <x:c r="D499" s="7" t="str">
        <x:v>BLD-A</x:v>
      </x:c>
      <x:c r="E499" s="7" t="str">
        <x:v>BL-Y</x:v>
      </x:c>
      <x:c r="F499" s="7" t="str">
        <x:v>MF-11</x:v>
      </x:c>
      <x:c r="G499" s="7" t="str">
        <x:v>casualty-source path state</x:v>
      </x:c>
      <x:c r="H499" s="7" t="n">
        <x:v>1</x:v>
      </x:c>
      <x:c r="I499" s="7" t="str"/>
      <x:c r="J499" s="7" t="str"/>
      <x:c r="K499" s="7" t="str"/>
      <x:c r="L499" s="7" t="str"/>
      <x:c r="M499" s="7" t="str"/>
      <x:c r="N499" s="7" t="str"/>
      <x:c r="O499" s="7" t="str">
        <x:f>IF(N499="","OPEN",IF(OR(I499="",J499="",K499="",L499="",M499=""),"FAIL","PASS"))</x:f>
        <x:v>OPEN</x:v>
      </x:c>
    </x:row>
    <x:row r="500">
      <x:c r="B500" s="7" t="str">
        <x:v>CH-PEA-A-Y1-11-2</x:v>
      </x:c>
      <x:c r="C500" s="7" t="str">
        <x:v>PEA-A-Y1</x:v>
      </x:c>
      <x:c r="D500" s="7" t="str">
        <x:v>BLD-A</x:v>
      </x:c>
      <x:c r="E500" s="7" t="str">
        <x:v>BL-Y</x:v>
      </x:c>
      <x:c r="F500" s="7" t="str">
        <x:v>MF-11</x:v>
      </x:c>
      <x:c r="G500" s="7" t="str">
        <x:v>casualty-source path state</x:v>
      </x:c>
      <x:c r="H500" s="7" t="n">
        <x:v>2</x:v>
      </x:c>
      <x:c r="I500" s="7" t="str"/>
      <x:c r="J500" s="7" t="str"/>
      <x:c r="K500" s="7" t="str"/>
      <x:c r="L500" s="7" t="str"/>
      <x:c r="M500" s="7" t="str"/>
      <x:c r="N500" s="7" t="str"/>
      <x:c r="O500" s="7" t="str">
        <x:f>IF(N500="","OPEN",IF(OR(I500="",J500="",K500="",L500="",M500=""),"FAIL","PASS"))</x:f>
        <x:v>OPEN</x:v>
      </x:c>
    </x:row>
    <x:row r="501">
      <x:c r="B501" s="7" t="str">
        <x:v>CH-PEA-A-Y1-11-3</x:v>
      </x:c>
      <x:c r="C501" s="7" t="str">
        <x:v>PEA-A-Y1</x:v>
      </x:c>
      <x:c r="D501" s="7" t="str">
        <x:v>BLD-A</x:v>
      </x:c>
      <x:c r="E501" s="7" t="str">
        <x:v>BL-Y</x:v>
      </x:c>
      <x:c r="F501" s="7" t="str">
        <x:v>MF-11</x:v>
      </x:c>
      <x:c r="G501" s="7" t="str">
        <x:v>casualty-source path state</x:v>
      </x:c>
      <x:c r="H501" s="7" t="n">
        <x:v>3</x:v>
      </x:c>
      <x:c r="I501" s="7" t="str"/>
      <x:c r="J501" s="7" t="str"/>
      <x:c r="K501" s="7" t="str"/>
      <x:c r="L501" s="7" t="str"/>
      <x:c r="M501" s="7" t="str"/>
      <x:c r="N501" s="7" t="str"/>
      <x:c r="O501" s="7" t="str">
        <x:f>IF(N501="","OPEN",IF(OR(I501="",J501="",K501="",L501="",M501=""),"FAIL","PASS"))</x:f>
        <x:v>OPEN</x:v>
      </x:c>
    </x:row>
    <x:row r="502">
      <x:c r="B502" s="7" t="str">
        <x:v>CH-PEA-A-Y1-11-4</x:v>
      </x:c>
      <x:c r="C502" s="7" t="str">
        <x:v>PEA-A-Y1</x:v>
      </x:c>
      <x:c r="D502" s="7" t="str">
        <x:v>BLD-A</x:v>
      </x:c>
      <x:c r="E502" s="7" t="str">
        <x:v>BL-Y</x:v>
      </x:c>
      <x:c r="F502" s="7" t="str">
        <x:v>MF-11</x:v>
      </x:c>
      <x:c r="G502" s="7" t="str">
        <x:v>casualty-source path state</x:v>
      </x:c>
      <x:c r="H502" s="7" t="n">
        <x:v>4</x:v>
      </x:c>
      <x:c r="I502" s="7" t="str"/>
      <x:c r="J502" s="7" t="str"/>
      <x:c r="K502" s="7" t="str"/>
      <x:c r="L502" s="7" t="str"/>
      <x:c r="M502" s="7" t="str"/>
      <x:c r="N502" s="7" t="str"/>
      <x:c r="O502" s="7" t="str">
        <x:f>IF(N502="","OPEN",IF(OR(I502="",J502="",K502="",L502="",M502=""),"FAIL","PASS"))</x:f>
        <x:v>OPEN</x:v>
      </x:c>
    </x:row>
    <x:row r="503">
      <x:c r="B503" s="7" t="str">
        <x:v>CH-PEA-A-Y1-11-5</x:v>
      </x:c>
      <x:c r="C503" s="7" t="str">
        <x:v>PEA-A-Y1</x:v>
      </x:c>
      <x:c r="D503" s="7" t="str">
        <x:v>BLD-A</x:v>
      </x:c>
      <x:c r="E503" s="7" t="str">
        <x:v>BL-Y</x:v>
      </x:c>
      <x:c r="F503" s="7" t="str">
        <x:v>MF-11</x:v>
      </x:c>
      <x:c r="G503" s="7" t="str">
        <x:v>casualty-source path state</x:v>
      </x:c>
      <x:c r="H503" s="7" t="n">
        <x:v>5</x:v>
      </x:c>
      <x:c r="I503" s="7" t="str"/>
      <x:c r="J503" s="7" t="str"/>
      <x:c r="K503" s="7" t="str"/>
      <x:c r="L503" s="7" t="str"/>
      <x:c r="M503" s="7" t="str"/>
      <x:c r="N503" s="7" t="str"/>
      <x:c r="O503" s="7" t="str">
        <x:f>IF(N503="","OPEN",IF(OR(I503="",J503="",K503="",L503="",M503=""),"FAIL","PASS"))</x:f>
        <x:v>OPEN</x:v>
      </x:c>
    </x:row>
    <x:row r="504">
      <x:c r="B504" s="7" t="str">
        <x:v>CH-PEA-A-Y1-11-6</x:v>
      </x:c>
      <x:c r="C504" s="7" t="str">
        <x:v>PEA-A-Y1</x:v>
      </x:c>
      <x:c r="D504" s="7" t="str">
        <x:v>BLD-A</x:v>
      </x:c>
      <x:c r="E504" s="7" t="str">
        <x:v>BL-Y</x:v>
      </x:c>
      <x:c r="F504" s="7" t="str">
        <x:v>MF-11</x:v>
      </x:c>
      <x:c r="G504" s="7" t="str">
        <x:v>casualty-source path state</x:v>
      </x:c>
      <x:c r="H504" s="7" t="n">
        <x:v>6</x:v>
      </x:c>
      <x:c r="I504" s="7" t="str"/>
      <x:c r="J504" s="7" t="str"/>
      <x:c r="K504" s="7" t="str"/>
      <x:c r="L504" s="7" t="str"/>
      <x:c r="M504" s="7" t="str"/>
      <x:c r="N504" s="7" t="str"/>
      <x:c r="O504" s="7" t="str">
        <x:f>IF(N504="","OPEN",IF(OR(I504="",J504="",K504="",L504="",M504=""),"FAIL","PASS"))</x:f>
        <x:v>OPEN</x:v>
      </x:c>
    </x:row>
    <x:row r="505">
      <x:c r="B505" s="7" t="str">
        <x:v>CH-PEA-A-Y1-12-1</x:v>
      </x:c>
      <x:c r="C505" s="7" t="str">
        <x:v>PEA-A-Y1</x:v>
      </x:c>
      <x:c r="D505" s="7" t="str">
        <x:v>BLD-A</x:v>
      </x:c>
      <x:c r="E505" s="7" t="str">
        <x:v>BL-Y</x:v>
      </x:c>
      <x:c r="F505" s="7" t="str">
        <x:v>MF-12</x:v>
      </x:c>
      <x:c r="G505" s="7" t="str">
        <x:v>candidate-water path state</x:v>
      </x:c>
      <x:c r="H505" s="7" t="n">
        <x:v>1</x:v>
      </x:c>
      <x:c r="I505" s="7" t="str"/>
      <x:c r="J505" s="7" t="str"/>
      <x:c r="K505" s="7" t="str"/>
      <x:c r="L505" s="7" t="str"/>
      <x:c r="M505" s="7" t="str"/>
      <x:c r="N505" s="7" t="str"/>
      <x:c r="O505" s="7" t="str">
        <x:f>IF(N505="","OPEN",IF(OR(I505="",J505="",K505="",L505="",M505=""),"FAIL","PASS"))</x:f>
        <x:v>OPEN</x:v>
      </x:c>
    </x:row>
    <x:row r="506">
      <x:c r="B506" s="7" t="str">
        <x:v>CH-PEA-A-Y1-12-2</x:v>
      </x:c>
      <x:c r="C506" s="7" t="str">
        <x:v>PEA-A-Y1</x:v>
      </x:c>
      <x:c r="D506" s="7" t="str">
        <x:v>BLD-A</x:v>
      </x:c>
      <x:c r="E506" s="7" t="str">
        <x:v>BL-Y</x:v>
      </x:c>
      <x:c r="F506" s="7" t="str">
        <x:v>MF-12</x:v>
      </x:c>
      <x:c r="G506" s="7" t="str">
        <x:v>candidate-water path state</x:v>
      </x:c>
      <x:c r="H506" s="7" t="n">
        <x:v>2</x:v>
      </x:c>
      <x:c r="I506" s="7" t="str"/>
      <x:c r="J506" s="7" t="str"/>
      <x:c r="K506" s="7" t="str"/>
      <x:c r="L506" s="7" t="str"/>
      <x:c r="M506" s="7" t="str"/>
      <x:c r="N506" s="7" t="str"/>
      <x:c r="O506" s="7" t="str">
        <x:f>IF(N506="","OPEN",IF(OR(I506="",J506="",K506="",L506="",M506=""),"FAIL","PASS"))</x:f>
        <x:v>OPEN</x:v>
      </x:c>
    </x:row>
    <x:row r="507">
      <x:c r="B507" s="7" t="str">
        <x:v>CH-PEA-A-Y1-12-3</x:v>
      </x:c>
      <x:c r="C507" s="7" t="str">
        <x:v>PEA-A-Y1</x:v>
      </x:c>
      <x:c r="D507" s="7" t="str">
        <x:v>BLD-A</x:v>
      </x:c>
      <x:c r="E507" s="7" t="str">
        <x:v>BL-Y</x:v>
      </x:c>
      <x:c r="F507" s="7" t="str">
        <x:v>MF-12</x:v>
      </x:c>
      <x:c r="G507" s="7" t="str">
        <x:v>candidate-water path state</x:v>
      </x:c>
      <x:c r="H507" s="7" t="n">
        <x:v>3</x:v>
      </x:c>
      <x:c r="I507" s="7" t="str"/>
      <x:c r="J507" s="7" t="str"/>
      <x:c r="K507" s="7" t="str"/>
      <x:c r="L507" s="7" t="str"/>
      <x:c r="M507" s="7" t="str"/>
      <x:c r="N507" s="7" t="str"/>
      <x:c r="O507" s="7" t="str">
        <x:f>IF(N507="","OPEN",IF(OR(I507="",J507="",K507="",L507="",M507=""),"FAIL","PASS"))</x:f>
        <x:v>OPEN</x:v>
      </x:c>
    </x:row>
    <x:row r="508">
      <x:c r="B508" s="7" t="str">
        <x:v>CH-PEA-A-Y1-12-4</x:v>
      </x:c>
      <x:c r="C508" s="7" t="str">
        <x:v>PEA-A-Y1</x:v>
      </x:c>
      <x:c r="D508" s="7" t="str">
        <x:v>BLD-A</x:v>
      </x:c>
      <x:c r="E508" s="7" t="str">
        <x:v>BL-Y</x:v>
      </x:c>
      <x:c r="F508" s="7" t="str">
        <x:v>MF-12</x:v>
      </x:c>
      <x:c r="G508" s="7" t="str">
        <x:v>candidate-water path state</x:v>
      </x:c>
      <x:c r="H508" s="7" t="n">
        <x:v>4</x:v>
      </x:c>
      <x:c r="I508" s="7" t="str"/>
      <x:c r="J508" s="7" t="str"/>
      <x:c r="K508" s="7" t="str"/>
      <x:c r="L508" s="7" t="str"/>
      <x:c r="M508" s="7" t="str"/>
      <x:c r="N508" s="7" t="str"/>
      <x:c r="O508" s="7" t="str">
        <x:f>IF(N508="","OPEN",IF(OR(I508="",J508="",K508="",L508="",M508=""),"FAIL","PASS"))</x:f>
        <x:v>OPEN</x:v>
      </x:c>
    </x:row>
    <x:row r="509">
      <x:c r="B509" s="7" t="str">
        <x:v>CH-PEA-A-Y1-12-5</x:v>
      </x:c>
      <x:c r="C509" s="7" t="str">
        <x:v>PEA-A-Y1</x:v>
      </x:c>
      <x:c r="D509" s="7" t="str">
        <x:v>BLD-A</x:v>
      </x:c>
      <x:c r="E509" s="7" t="str">
        <x:v>BL-Y</x:v>
      </x:c>
      <x:c r="F509" s="7" t="str">
        <x:v>MF-12</x:v>
      </x:c>
      <x:c r="G509" s="7" t="str">
        <x:v>candidate-water path state</x:v>
      </x:c>
      <x:c r="H509" s="7" t="n">
        <x:v>5</x:v>
      </x:c>
      <x:c r="I509" s="7" t="str"/>
      <x:c r="J509" s="7" t="str"/>
      <x:c r="K509" s="7" t="str"/>
      <x:c r="L509" s="7" t="str"/>
      <x:c r="M509" s="7" t="str"/>
      <x:c r="N509" s="7" t="str"/>
      <x:c r="O509" s="7" t="str">
        <x:f>IF(N509="","OPEN",IF(OR(I509="",J509="",K509="",L509="",M509=""),"FAIL","PASS"))</x:f>
        <x:v>OPEN</x:v>
      </x:c>
    </x:row>
    <x:row r="510">
      <x:c r="B510" s="7" t="str">
        <x:v>CH-PEA-A-Y1-12-6</x:v>
      </x:c>
      <x:c r="C510" s="7" t="str">
        <x:v>PEA-A-Y1</x:v>
      </x:c>
      <x:c r="D510" s="7" t="str">
        <x:v>BLD-A</x:v>
      </x:c>
      <x:c r="E510" s="7" t="str">
        <x:v>BL-Y</x:v>
      </x:c>
      <x:c r="F510" s="7" t="str">
        <x:v>MF-12</x:v>
      </x:c>
      <x:c r="G510" s="7" t="str">
        <x:v>candidate-water path state</x:v>
      </x:c>
      <x:c r="H510" s="7" t="n">
        <x:v>6</x:v>
      </x:c>
      <x:c r="I510" s="7" t="str"/>
      <x:c r="J510" s="7" t="str"/>
      <x:c r="K510" s="7" t="str"/>
      <x:c r="L510" s="7" t="str"/>
      <x:c r="M510" s="7" t="str"/>
      <x:c r="N510" s="7" t="str"/>
      <x:c r="O510" s="7" t="str">
        <x:f>IF(N510="","OPEN",IF(OR(I510="",J510="",K510="",L510="",M510=""),"FAIL","PASS"))</x:f>
        <x:v>OPEN</x:v>
      </x:c>
    </x:row>
    <x:row r="511">
      <x:c r="B511" s="7" t="str">
        <x:v>CH-PEA-A-Y1-13-1</x:v>
      </x:c>
      <x:c r="C511" s="7" t="str">
        <x:v>PEA-A-Y1</x:v>
      </x:c>
      <x:c r="D511" s="7" t="str">
        <x:v>BLD-A</x:v>
      </x:c>
      <x:c r="E511" s="7" t="str">
        <x:v>BL-Y</x:v>
      </x:c>
      <x:c r="F511" s="7" t="str">
        <x:v>MF-13</x:v>
      </x:c>
      <x:c r="G511" s="7" t="str">
        <x:v>final-element reference</x:v>
      </x:c>
      <x:c r="H511" s="7" t="n">
        <x:v>1</x:v>
      </x:c>
      <x:c r="I511" s="7" t="str"/>
      <x:c r="J511" s="7" t="str"/>
      <x:c r="K511" s="7" t="str"/>
      <x:c r="L511" s="7" t="str"/>
      <x:c r="M511" s="7" t="str"/>
      <x:c r="N511" s="7" t="str"/>
      <x:c r="O511" s="7" t="str">
        <x:f>IF(N511="","OPEN",IF(OR(I511="",J511="",K511="",L511="",M511=""),"FAIL","PASS"))</x:f>
        <x:v>OPEN</x:v>
      </x:c>
    </x:row>
    <x:row r="512">
      <x:c r="B512" s="7" t="str">
        <x:v>CH-PEA-A-Y1-13-2</x:v>
      </x:c>
      <x:c r="C512" s="7" t="str">
        <x:v>PEA-A-Y1</x:v>
      </x:c>
      <x:c r="D512" s="7" t="str">
        <x:v>BLD-A</x:v>
      </x:c>
      <x:c r="E512" s="7" t="str">
        <x:v>BL-Y</x:v>
      </x:c>
      <x:c r="F512" s="7" t="str">
        <x:v>MF-13</x:v>
      </x:c>
      <x:c r="G512" s="7" t="str">
        <x:v>final-element reference</x:v>
      </x:c>
      <x:c r="H512" s="7" t="n">
        <x:v>2</x:v>
      </x:c>
      <x:c r="I512" s="7" t="str"/>
      <x:c r="J512" s="7" t="str"/>
      <x:c r="K512" s="7" t="str"/>
      <x:c r="L512" s="7" t="str"/>
      <x:c r="M512" s="7" t="str"/>
      <x:c r="N512" s="7" t="str"/>
      <x:c r="O512" s="7" t="str">
        <x:f>IF(N512="","OPEN",IF(OR(I512="",J512="",K512="",L512="",M512=""),"FAIL","PASS"))</x:f>
        <x:v>OPEN</x:v>
      </x:c>
    </x:row>
    <x:row r="513">
      <x:c r="B513" s="7" t="str">
        <x:v>CH-PEA-A-Y1-13-3</x:v>
      </x:c>
      <x:c r="C513" s="7" t="str">
        <x:v>PEA-A-Y1</x:v>
      </x:c>
      <x:c r="D513" s="7" t="str">
        <x:v>BLD-A</x:v>
      </x:c>
      <x:c r="E513" s="7" t="str">
        <x:v>BL-Y</x:v>
      </x:c>
      <x:c r="F513" s="7" t="str">
        <x:v>MF-13</x:v>
      </x:c>
      <x:c r="G513" s="7" t="str">
        <x:v>final-element reference</x:v>
      </x:c>
      <x:c r="H513" s="7" t="n">
        <x:v>3</x:v>
      </x:c>
      <x:c r="I513" s="7" t="str"/>
      <x:c r="J513" s="7" t="str"/>
      <x:c r="K513" s="7" t="str"/>
      <x:c r="L513" s="7" t="str"/>
      <x:c r="M513" s="7" t="str"/>
      <x:c r="N513" s="7" t="str"/>
      <x:c r="O513" s="7" t="str">
        <x:f>IF(N513="","OPEN",IF(OR(I513="",J513="",K513="",L513="",M513=""),"FAIL","PASS"))</x:f>
        <x:v>OPEN</x:v>
      </x:c>
    </x:row>
    <x:row r="514">
      <x:c r="B514" s="7" t="str">
        <x:v>CH-PEA-A-Y1-13-4</x:v>
      </x:c>
      <x:c r="C514" s="7" t="str">
        <x:v>PEA-A-Y1</x:v>
      </x:c>
      <x:c r="D514" s="7" t="str">
        <x:v>BLD-A</x:v>
      </x:c>
      <x:c r="E514" s="7" t="str">
        <x:v>BL-Y</x:v>
      </x:c>
      <x:c r="F514" s="7" t="str">
        <x:v>MF-13</x:v>
      </x:c>
      <x:c r="G514" s="7" t="str">
        <x:v>final-element reference</x:v>
      </x:c>
      <x:c r="H514" s="7" t="n">
        <x:v>4</x:v>
      </x:c>
      <x:c r="I514" s="7" t="str"/>
      <x:c r="J514" s="7" t="str"/>
      <x:c r="K514" s="7" t="str"/>
      <x:c r="L514" s="7" t="str"/>
      <x:c r="M514" s="7" t="str"/>
      <x:c r="N514" s="7" t="str"/>
      <x:c r="O514" s="7" t="str">
        <x:f>IF(N514="","OPEN",IF(OR(I514="",J514="",K514="",L514="",M514=""),"FAIL","PASS"))</x:f>
        <x:v>OPEN</x:v>
      </x:c>
    </x:row>
    <x:row r="515">
      <x:c r="B515" s="7" t="str">
        <x:v>CH-PEA-A-Y1-13-5</x:v>
      </x:c>
      <x:c r="C515" s="7" t="str">
        <x:v>PEA-A-Y1</x:v>
      </x:c>
      <x:c r="D515" s="7" t="str">
        <x:v>BLD-A</x:v>
      </x:c>
      <x:c r="E515" s="7" t="str">
        <x:v>BL-Y</x:v>
      </x:c>
      <x:c r="F515" s="7" t="str">
        <x:v>MF-13</x:v>
      </x:c>
      <x:c r="G515" s="7" t="str">
        <x:v>final-element reference</x:v>
      </x:c>
      <x:c r="H515" s="7" t="n">
        <x:v>5</x:v>
      </x:c>
      <x:c r="I515" s="7" t="str"/>
      <x:c r="J515" s="7" t="str"/>
      <x:c r="K515" s="7" t="str"/>
      <x:c r="L515" s="7" t="str"/>
      <x:c r="M515" s="7" t="str"/>
      <x:c r="N515" s="7" t="str"/>
      <x:c r="O515" s="7" t="str">
        <x:f>IF(N515="","OPEN",IF(OR(I515="",J515="",K515="",L515="",M515=""),"FAIL","PASS"))</x:f>
        <x:v>OPEN</x:v>
      </x:c>
    </x:row>
    <x:row r="516">
      <x:c r="B516" s="7" t="str">
        <x:v>CH-PEA-A-Y1-13-6</x:v>
      </x:c>
      <x:c r="C516" s="7" t="str">
        <x:v>PEA-A-Y1</x:v>
      </x:c>
      <x:c r="D516" s="7" t="str">
        <x:v>BLD-A</x:v>
      </x:c>
      <x:c r="E516" s="7" t="str">
        <x:v>BL-Y</x:v>
      </x:c>
      <x:c r="F516" s="7" t="str">
        <x:v>MF-13</x:v>
      </x:c>
      <x:c r="G516" s="7" t="str">
        <x:v>final-element reference</x:v>
      </x:c>
      <x:c r="H516" s="7" t="n">
        <x:v>6</x:v>
      </x:c>
      <x:c r="I516" s="7" t="str"/>
      <x:c r="J516" s="7" t="str"/>
      <x:c r="K516" s="7" t="str"/>
      <x:c r="L516" s="7" t="str"/>
      <x:c r="M516" s="7" t="str"/>
      <x:c r="N516" s="7" t="str"/>
      <x:c r="O516" s="7" t="str">
        <x:f>IF(N516="","OPEN",IF(OR(I516="",J516="",K516="",L516="",M516=""),"FAIL","PASS"))</x:f>
        <x:v>OPEN</x:v>
      </x:c>
    </x:row>
    <x:row r="517">
      <x:c r="B517" s="7" t="str">
        <x:v>CH-PEA-A-Y1-14-1</x:v>
      </x:c>
      <x:c r="C517" s="7" t="str">
        <x:v>PEA-A-Y1</x:v>
      </x:c>
      <x:c r="D517" s="7" t="str">
        <x:v>BLD-A</x:v>
      </x:c>
      <x:c r="E517" s="7" t="str">
        <x:v>BL-Y</x:v>
      </x:c>
      <x:c r="F517" s="7" t="str">
        <x:v>MF-14</x:v>
      </x:c>
      <x:c r="G517" s="7" t="str">
        <x:v>causal time</x:v>
      </x:c>
      <x:c r="H517" s="7" t="n">
        <x:v>1</x:v>
      </x:c>
      <x:c r="I517" s="7" t="str"/>
      <x:c r="J517" s="7" t="str"/>
      <x:c r="K517" s="7" t="str"/>
      <x:c r="L517" s="7" t="str"/>
      <x:c r="M517" s="7" t="str"/>
      <x:c r="N517" s="7" t="str"/>
      <x:c r="O517" s="7" t="str">
        <x:f>IF(N517="","OPEN",IF(OR(I517="",J517="",K517="",L517="",M517=""),"FAIL","PASS"))</x:f>
        <x:v>OPEN</x:v>
      </x:c>
    </x:row>
    <x:row r="518">
      <x:c r="B518" s="7" t="str">
        <x:v>CH-PEA-A-Y1-14-2</x:v>
      </x:c>
      <x:c r="C518" s="7" t="str">
        <x:v>PEA-A-Y1</x:v>
      </x:c>
      <x:c r="D518" s="7" t="str">
        <x:v>BLD-A</x:v>
      </x:c>
      <x:c r="E518" s="7" t="str">
        <x:v>BL-Y</x:v>
      </x:c>
      <x:c r="F518" s="7" t="str">
        <x:v>MF-14</x:v>
      </x:c>
      <x:c r="G518" s="7" t="str">
        <x:v>causal time</x:v>
      </x:c>
      <x:c r="H518" s="7" t="n">
        <x:v>2</x:v>
      </x:c>
      <x:c r="I518" s="7" t="str"/>
      <x:c r="J518" s="7" t="str"/>
      <x:c r="K518" s="7" t="str"/>
      <x:c r="L518" s="7" t="str"/>
      <x:c r="M518" s="7" t="str"/>
      <x:c r="N518" s="7" t="str"/>
      <x:c r="O518" s="7" t="str">
        <x:f>IF(N518="","OPEN",IF(OR(I518="",J518="",K518="",L518="",M518=""),"FAIL","PASS"))</x:f>
        <x:v>OPEN</x:v>
      </x:c>
    </x:row>
    <x:row r="519">
      <x:c r="B519" s="7" t="str">
        <x:v>CH-PEA-A-Y1-14-3</x:v>
      </x:c>
      <x:c r="C519" s="7" t="str">
        <x:v>PEA-A-Y1</x:v>
      </x:c>
      <x:c r="D519" s="7" t="str">
        <x:v>BLD-A</x:v>
      </x:c>
      <x:c r="E519" s="7" t="str">
        <x:v>BL-Y</x:v>
      </x:c>
      <x:c r="F519" s="7" t="str">
        <x:v>MF-14</x:v>
      </x:c>
      <x:c r="G519" s="7" t="str">
        <x:v>causal time</x:v>
      </x:c>
      <x:c r="H519" s="7" t="n">
        <x:v>3</x:v>
      </x:c>
      <x:c r="I519" s="7" t="str"/>
      <x:c r="J519" s="7" t="str"/>
      <x:c r="K519" s="7" t="str"/>
      <x:c r="L519" s="7" t="str"/>
      <x:c r="M519" s="7" t="str"/>
      <x:c r="N519" s="7" t="str"/>
      <x:c r="O519" s="7" t="str">
        <x:f>IF(N519="","OPEN",IF(OR(I519="",J519="",K519="",L519="",M519=""),"FAIL","PASS"))</x:f>
        <x:v>OPEN</x:v>
      </x:c>
    </x:row>
    <x:row r="520">
      <x:c r="B520" s="7" t="str">
        <x:v>CH-PEA-A-Y1-14-4</x:v>
      </x:c>
      <x:c r="C520" s="7" t="str">
        <x:v>PEA-A-Y1</x:v>
      </x:c>
      <x:c r="D520" s="7" t="str">
        <x:v>BLD-A</x:v>
      </x:c>
      <x:c r="E520" s="7" t="str">
        <x:v>BL-Y</x:v>
      </x:c>
      <x:c r="F520" s="7" t="str">
        <x:v>MF-14</x:v>
      </x:c>
      <x:c r="G520" s="7" t="str">
        <x:v>causal time</x:v>
      </x:c>
      <x:c r="H520" s="7" t="n">
        <x:v>4</x:v>
      </x:c>
      <x:c r="I520" s="7" t="str"/>
      <x:c r="J520" s="7" t="str"/>
      <x:c r="K520" s="7" t="str"/>
      <x:c r="L520" s="7" t="str"/>
      <x:c r="M520" s="7" t="str"/>
      <x:c r="N520" s="7" t="str"/>
      <x:c r="O520" s="7" t="str">
        <x:f>IF(N520="","OPEN",IF(OR(I520="",J520="",K520="",L520="",M520=""),"FAIL","PASS"))</x:f>
        <x:v>OPEN</x:v>
      </x:c>
    </x:row>
    <x:row r="521">
      <x:c r="B521" s="7" t="str">
        <x:v>CH-PEA-A-Y1-14-5</x:v>
      </x:c>
      <x:c r="C521" s="7" t="str">
        <x:v>PEA-A-Y1</x:v>
      </x:c>
      <x:c r="D521" s="7" t="str">
        <x:v>BLD-A</x:v>
      </x:c>
      <x:c r="E521" s="7" t="str">
        <x:v>BL-Y</x:v>
      </x:c>
      <x:c r="F521" s="7" t="str">
        <x:v>MF-14</x:v>
      </x:c>
      <x:c r="G521" s="7" t="str">
        <x:v>causal time</x:v>
      </x:c>
      <x:c r="H521" s="7" t="n">
        <x:v>5</x:v>
      </x:c>
      <x:c r="I521" s="7" t="str"/>
      <x:c r="J521" s="7" t="str"/>
      <x:c r="K521" s="7" t="str"/>
      <x:c r="L521" s="7" t="str"/>
      <x:c r="M521" s="7" t="str"/>
      <x:c r="N521" s="7" t="str"/>
      <x:c r="O521" s="7" t="str">
        <x:f>IF(N521="","OPEN",IF(OR(I521="",J521="",K521="",L521="",M521=""),"FAIL","PASS"))</x:f>
        <x:v>OPEN</x:v>
      </x:c>
    </x:row>
    <x:row r="522">
      <x:c r="B522" s="7" t="str">
        <x:v>CH-PEA-A-Y1-14-6</x:v>
      </x:c>
      <x:c r="C522" s="7" t="str">
        <x:v>PEA-A-Y1</x:v>
      </x:c>
      <x:c r="D522" s="7" t="str">
        <x:v>BLD-A</x:v>
      </x:c>
      <x:c r="E522" s="7" t="str">
        <x:v>BL-Y</x:v>
      </x:c>
      <x:c r="F522" s="7" t="str">
        <x:v>MF-14</x:v>
      </x:c>
      <x:c r="G522" s="7" t="str">
        <x:v>causal time</x:v>
      </x:c>
      <x:c r="H522" s="7" t="n">
        <x:v>6</x:v>
      </x:c>
      <x:c r="I522" s="7" t="str"/>
      <x:c r="J522" s="7" t="str"/>
      <x:c r="K522" s="7" t="str"/>
      <x:c r="L522" s="7" t="str"/>
      <x:c r="M522" s="7" t="str"/>
      <x:c r="N522" s="7" t="str"/>
      <x:c r="O522" s="7" t="str">
        <x:f>IF(N522="","OPEN",IF(OR(I522="",J522="",K522="",L522="",M522=""),"FAIL","PASS"))</x:f>
        <x:v>OPEN</x:v>
      </x:c>
    </x:row>
    <x:row r="523">
      <x:c r="B523" s="7" t="str">
        <x:v>CH-PEA-A-Y1-15-1</x:v>
      </x:c>
      <x:c r="C523" s="7" t="str">
        <x:v>PEA-A-Y1</x:v>
      </x:c>
      <x:c r="D523" s="7" t="str">
        <x:v>BLD-A</x:v>
      </x:c>
      <x:c r="E523" s="7" t="str">
        <x:v>BL-Y</x:v>
      </x:c>
      <x:c r="F523" s="7" t="str">
        <x:v>MF-15</x:v>
      </x:c>
      <x:c r="G523" s="7" t="str">
        <x:v>source motive energy</x:v>
      </x:c>
      <x:c r="H523" s="7" t="n">
        <x:v>1</x:v>
      </x:c>
      <x:c r="I523" s="7" t="str"/>
      <x:c r="J523" s="7" t="str"/>
      <x:c r="K523" s="7" t="str"/>
      <x:c r="L523" s="7" t="str"/>
      <x:c r="M523" s="7" t="str"/>
      <x:c r="N523" s="7" t="str"/>
      <x:c r="O523" s="7" t="str">
        <x:f>IF(N523="","OPEN",IF(OR(I523="",J523="",K523="",L523="",M523=""),"FAIL","PASS"))</x:f>
        <x:v>OPEN</x:v>
      </x:c>
    </x:row>
    <x:row r="524">
      <x:c r="B524" s="7" t="str">
        <x:v>CH-PEA-A-Y1-15-2</x:v>
      </x:c>
      <x:c r="C524" s="7" t="str">
        <x:v>PEA-A-Y1</x:v>
      </x:c>
      <x:c r="D524" s="7" t="str">
        <x:v>BLD-A</x:v>
      </x:c>
      <x:c r="E524" s="7" t="str">
        <x:v>BL-Y</x:v>
      </x:c>
      <x:c r="F524" s="7" t="str">
        <x:v>MF-15</x:v>
      </x:c>
      <x:c r="G524" s="7" t="str">
        <x:v>source motive energy</x:v>
      </x:c>
      <x:c r="H524" s="7" t="n">
        <x:v>2</x:v>
      </x:c>
      <x:c r="I524" s="7" t="str"/>
      <x:c r="J524" s="7" t="str"/>
      <x:c r="K524" s="7" t="str"/>
      <x:c r="L524" s="7" t="str"/>
      <x:c r="M524" s="7" t="str"/>
      <x:c r="N524" s="7" t="str"/>
      <x:c r="O524" s="7" t="str">
        <x:f>IF(N524="","OPEN",IF(OR(I524="",J524="",K524="",L524="",M524=""),"FAIL","PASS"))</x:f>
        <x:v>OPEN</x:v>
      </x:c>
    </x:row>
    <x:row r="525">
      <x:c r="B525" s="7" t="str">
        <x:v>CH-PEA-A-Y1-15-3</x:v>
      </x:c>
      <x:c r="C525" s="7" t="str">
        <x:v>PEA-A-Y1</x:v>
      </x:c>
      <x:c r="D525" s="7" t="str">
        <x:v>BLD-A</x:v>
      </x:c>
      <x:c r="E525" s="7" t="str">
        <x:v>BL-Y</x:v>
      </x:c>
      <x:c r="F525" s="7" t="str">
        <x:v>MF-15</x:v>
      </x:c>
      <x:c r="G525" s="7" t="str">
        <x:v>source motive energy</x:v>
      </x:c>
      <x:c r="H525" s="7" t="n">
        <x:v>3</x:v>
      </x:c>
      <x:c r="I525" s="7" t="str"/>
      <x:c r="J525" s="7" t="str"/>
      <x:c r="K525" s="7" t="str"/>
      <x:c r="L525" s="7" t="str"/>
      <x:c r="M525" s="7" t="str"/>
      <x:c r="N525" s="7" t="str"/>
      <x:c r="O525" s="7" t="str">
        <x:f>IF(N525="","OPEN",IF(OR(I525="",J525="",K525="",L525="",M525=""),"FAIL","PASS"))</x:f>
        <x:v>OPEN</x:v>
      </x:c>
    </x:row>
    <x:row r="526">
      <x:c r="B526" s="7" t="str">
        <x:v>CH-PEA-A-Y1-15-4</x:v>
      </x:c>
      <x:c r="C526" s="7" t="str">
        <x:v>PEA-A-Y1</x:v>
      </x:c>
      <x:c r="D526" s="7" t="str">
        <x:v>BLD-A</x:v>
      </x:c>
      <x:c r="E526" s="7" t="str">
        <x:v>BL-Y</x:v>
      </x:c>
      <x:c r="F526" s="7" t="str">
        <x:v>MF-15</x:v>
      </x:c>
      <x:c r="G526" s="7" t="str">
        <x:v>source motive energy</x:v>
      </x:c>
      <x:c r="H526" s="7" t="n">
        <x:v>4</x:v>
      </x:c>
      <x:c r="I526" s="7" t="str"/>
      <x:c r="J526" s="7" t="str"/>
      <x:c r="K526" s="7" t="str"/>
      <x:c r="L526" s="7" t="str"/>
      <x:c r="M526" s="7" t="str"/>
      <x:c r="N526" s="7" t="str"/>
      <x:c r="O526" s="7" t="str">
        <x:f>IF(N526="","OPEN",IF(OR(I526="",J526="",K526="",L526="",M526=""),"FAIL","PASS"))</x:f>
        <x:v>OPEN</x:v>
      </x:c>
    </x:row>
    <x:row r="527">
      <x:c r="B527" s="7" t="str">
        <x:v>CH-PEA-A-Y1-15-5</x:v>
      </x:c>
      <x:c r="C527" s="7" t="str">
        <x:v>PEA-A-Y1</x:v>
      </x:c>
      <x:c r="D527" s="7" t="str">
        <x:v>BLD-A</x:v>
      </x:c>
      <x:c r="E527" s="7" t="str">
        <x:v>BL-Y</x:v>
      </x:c>
      <x:c r="F527" s="7" t="str">
        <x:v>MF-15</x:v>
      </x:c>
      <x:c r="G527" s="7" t="str">
        <x:v>source motive energy</x:v>
      </x:c>
      <x:c r="H527" s="7" t="n">
        <x:v>5</x:v>
      </x:c>
      <x:c r="I527" s="7" t="str"/>
      <x:c r="J527" s="7" t="str"/>
      <x:c r="K527" s="7" t="str"/>
      <x:c r="L527" s="7" t="str"/>
      <x:c r="M527" s="7" t="str"/>
      <x:c r="N527" s="7" t="str"/>
      <x:c r="O527" s="7" t="str">
        <x:f>IF(N527="","OPEN",IF(OR(I527="",J527="",K527="",L527="",M527=""),"FAIL","PASS"))</x:f>
        <x:v>OPEN</x:v>
      </x:c>
    </x:row>
    <x:row r="528">
      <x:c r="B528" s="7" t="str">
        <x:v>CH-PEA-A-Y1-15-6</x:v>
      </x:c>
      <x:c r="C528" s="7" t="str">
        <x:v>PEA-A-Y1</x:v>
      </x:c>
      <x:c r="D528" s="7" t="str">
        <x:v>BLD-A</x:v>
      </x:c>
      <x:c r="E528" s="7" t="str">
        <x:v>BL-Y</x:v>
      </x:c>
      <x:c r="F528" s="7" t="str">
        <x:v>MF-15</x:v>
      </x:c>
      <x:c r="G528" s="7" t="str">
        <x:v>source motive energy</x:v>
      </x:c>
      <x:c r="H528" s="7" t="n">
        <x:v>6</x:v>
      </x:c>
      <x:c r="I528" s="7" t="str"/>
      <x:c r="J528" s="7" t="str"/>
      <x:c r="K528" s="7" t="str"/>
      <x:c r="L528" s="7" t="str"/>
      <x:c r="M528" s="7" t="str"/>
      <x:c r="N528" s="7" t="str"/>
      <x:c r="O528" s="7" t="str">
        <x:f>IF(N528="","OPEN",IF(OR(I528="",J528="",K528="",L528="",M528=""),"FAIL","PASS"))</x:f>
        <x:v>OPEN</x:v>
      </x:c>
    </x:row>
    <x:row r="529">
      <x:c r="B529" s="7" t="str">
        <x:v>CH-PEA-A-Y1-16-1</x:v>
      </x:c>
      <x:c r="C529" s="7" t="str">
        <x:v>PEA-A-Y1</x:v>
      </x:c>
      <x:c r="D529" s="7" t="str">
        <x:v>BLD-A</x:v>
      </x:c>
      <x:c r="E529" s="7" t="str">
        <x:v>BL-Y</x:v>
      </x:c>
      <x:c r="F529" s="7" t="str">
        <x:v>MF-16</x:v>
      </x:c>
      <x:c r="G529" s="7" t="str">
        <x:v>water motive energy</x:v>
      </x:c>
      <x:c r="H529" s="7" t="n">
        <x:v>1</x:v>
      </x:c>
      <x:c r="I529" s="7" t="str"/>
      <x:c r="J529" s="7" t="str"/>
      <x:c r="K529" s="7" t="str"/>
      <x:c r="L529" s="7" t="str"/>
      <x:c r="M529" s="7" t="str"/>
      <x:c r="N529" s="7" t="str"/>
      <x:c r="O529" s="7" t="str">
        <x:f>IF(N529="","OPEN",IF(OR(I529="",J529="",K529="",L529="",M529=""),"FAIL","PASS"))</x:f>
        <x:v>OPEN</x:v>
      </x:c>
    </x:row>
    <x:row r="530">
      <x:c r="B530" s="7" t="str">
        <x:v>CH-PEA-A-Y1-16-2</x:v>
      </x:c>
      <x:c r="C530" s="7" t="str">
        <x:v>PEA-A-Y1</x:v>
      </x:c>
      <x:c r="D530" s="7" t="str">
        <x:v>BLD-A</x:v>
      </x:c>
      <x:c r="E530" s="7" t="str">
        <x:v>BL-Y</x:v>
      </x:c>
      <x:c r="F530" s="7" t="str">
        <x:v>MF-16</x:v>
      </x:c>
      <x:c r="G530" s="7" t="str">
        <x:v>water motive energy</x:v>
      </x:c>
      <x:c r="H530" s="7" t="n">
        <x:v>2</x:v>
      </x:c>
      <x:c r="I530" s="7" t="str"/>
      <x:c r="J530" s="7" t="str"/>
      <x:c r="K530" s="7" t="str"/>
      <x:c r="L530" s="7" t="str"/>
      <x:c r="M530" s="7" t="str"/>
      <x:c r="N530" s="7" t="str"/>
      <x:c r="O530" s="7" t="str">
        <x:f>IF(N530="","OPEN",IF(OR(I530="",J530="",K530="",L530="",M530=""),"FAIL","PASS"))</x:f>
        <x:v>OPEN</x:v>
      </x:c>
    </x:row>
    <x:row r="531">
      <x:c r="B531" s="7" t="str">
        <x:v>CH-PEA-A-Y1-16-3</x:v>
      </x:c>
      <x:c r="C531" s="7" t="str">
        <x:v>PEA-A-Y1</x:v>
      </x:c>
      <x:c r="D531" s="7" t="str">
        <x:v>BLD-A</x:v>
      </x:c>
      <x:c r="E531" s="7" t="str">
        <x:v>BL-Y</x:v>
      </x:c>
      <x:c r="F531" s="7" t="str">
        <x:v>MF-16</x:v>
      </x:c>
      <x:c r="G531" s="7" t="str">
        <x:v>water motive energy</x:v>
      </x:c>
      <x:c r="H531" s="7" t="n">
        <x:v>3</x:v>
      </x:c>
      <x:c r="I531" s="7" t="str"/>
      <x:c r="J531" s="7" t="str"/>
      <x:c r="K531" s="7" t="str"/>
      <x:c r="L531" s="7" t="str"/>
      <x:c r="M531" s="7" t="str"/>
      <x:c r="N531" s="7" t="str"/>
      <x:c r="O531" s="7" t="str">
        <x:f>IF(N531="","OPEN",IF(OR(I531="",J531="",K531="",L531="",M531=""),"FAIL","PASS"))</x:f>
        <x:v>OPEN</x:v>
      </x:c>
    </x:row>
    <x:row r="532">
      <x:c r="B532" s="7" t="str">
        <x:v>CH-PEA-A-Y1-16-4</x:v>
      </x:c>
      <x:c r="C532" s="7" t="str">
        <x:v>PEA-A-Y1</x:v>
      </x:c>
      <x:c r="D532" s="7" t="str">
        <x:v>BLD-A</x:v>
      </x:c>
      <x:c r="E532" s="7" t="str">
        <x:v>BL-Y</x:v>
      </x:c>
      <x:c r="F532" s="7" t="str">
        <x:v>MF-16</x:v>
      </x:c>
      <x:c r="G532" s="7" t="str">
        <x:v>water motive energy</x:v>
      </x:c>
      <x:c r="H532" s="7" t="n">
        <x:v>4</x:v>
      </x:c>
      <x:c r="I532" s="7" t="str"/>
      <x:c r="J532" s="7" t="str"/>
      <x:c r="K532" s="7" t="str"/>
      <x:c r="L532" s="7" t="str"/>
      <x:c r="M532" s="7" t="str"/>
      <x:c r="N532" s="7" t="str"/>
      <x:c r="O532" s="7" t="str">
        <x:f>IF(N532="","OPEN",IF(OR(I532="",J532="",K532="",L532="",M532=""),"FAIL","PASS"))</x:f>
        <x:v>OPEN</x:v>
      </x:c>
    </x:row>
    <x:row r="533">
      <x:c r="B533" s="7" t="str">
        <x:v>CH-PEA-A-Y1-16-5</x:v>
      </x:c>
      <x:c r="C533" s="7" t="str">
        <x:v>PEA-A-Y1</x:v>
      </x:c>
      <x:c r="D533" s="7" t="str">
        <x:v>BLD-A</x:v>
      </x:c>
      <x:c r="E533" s="7" t="str">
        <x:v>BL-Y</x:v>
      </x:c>
      <x:c r="F533" s="7" t="str">
        <x:v>MF-16</x:v>
      </x:c>
      <x:c r="G533" s="7" t="str">
        <x:v>water motive energy</x:v>
      </x:c>
      <x:c r="H533" s="7" t="n">
        <x:v>5</x:v>
      </x:c>
      <x:c r="I533" s="7" t="str"/>
      <x:c r="J533" s="7" t="str"/>
      <x:c r="K533" s="7" t="str"/>
      <x:c r="L533" s="7" t="str"/>
      <x:c r="M533" s="7" t="str"/>
      <x:c r="N533" s="7" t="str"/>
      <x:c r="O533" s="7" t="str">
        <x:f>IF(N533="","OPEN",IF(OR(I533="",J533="",K533="",L533="",M533=""),"FAIL","PASS"))</x:f>
        <x:v>OPEN</x:v>
      </x:c>
    </x:row>
    <x:row r="534">
      <x:c r="B534" s="7" t="str">
        <x:v>CH-PEA-A-Y1-16-6</x:v>
      </x:c>
      <x:c r="C534" s="7" t="str">
        <x:v>PEA-A-Y1</x:v>
      </x:c>
      <x:c r="D534" s="7" t="str">
        <x:v>BLD-A</x:v>
      </x:c>
      <x:c r="E534" s="7" t="str">
        <x:v>BL-Y</x:v>
      </x:c>
      <x:c r="F534" s="7" t="str">
        <x:v>MF-16</x:v>
      </x:c>
      <x:c r="G534" s="7" t="str">
        <x:v>water motive energy</x:v>
      </x:c>
      <x:c r="H534" s="7" t="n">
        <x:v>6</x:v>
      </x:c>
      <x:c r="I534" s="7" t="str"/>
      <x:c r="J534" s="7" t="str"/>
      <x:c r="K534" s="7" t="str"/>
      <x:c r="L534" s="7" t="str"/>
      <x:c r="M534" s="7" t="str"/>
      <x:c r="N534" s="7" t="str"/>
      <x:c r="O534" s="7" t="str">
        <x:f>IF(N534="","OPEN",IF(OR(I534="",J534="",K534="",L534="",M534=""),"FAIL","PASS"))</x:f>
        <x:v>OPEN</x:v>
      </x:c>
    </x:row>
    <x:row r="535">
      <x:c r="B535" s="7" t="str">
        <x:v>CH-PEA-A-Y1-17-1</x:v>
      </x:c>
      <x:c r="C535" s="7" t="str">
        <x:v>PEA-A-Y1</x:v>
      </x:c>
      <x:c r="D535" s="7" t="str">
        <x:v>BLD-A</x:v>
      </x:c>
      <x:c r="E535" s="7" t="str">
        <x:v>BL-Y</x:v>
      </x:c>
      <x:c r="F535" s="7" t="str">
        <x:v>MF-17</x:v>
      </x:c>
      <x:c r="G535" s="7" t="str">
        <x:v>normal power</x:v>
      </x:c>
      <x:c r="H535" s="7" t="n">
        <x:v>1</x:v>
      </x:c>
      <x:c r="I535" s="7" t="str"/>
      <x:c r="J535" s="7" t="str"/>
      <x:c r="K535" s="7" t="str"/>
      <x:c r="L535" s="7" t="str"/>
      <x:c r="M535" s="7" t="str"/>
      <x:c r="N535" s="7" t="str"/>
      <x:c r="O535" s="7" t="str">
        <x:f>IF(N535="","OPEN",IF(OR(I535="",J535="",K535="",L535="",M535=""),"FAIL","PASS"))</x:f>
        <x:v>OPEN</x:v>
      </x:c>
    </x:row>
    <x:row r="536">
      <x:c r="B536" s="7" t="str">
        <x:v>CH-PEA-A-Y1-17-2</x:v>
      </x:c>
      <x:c r="C536" s="7" t="str">
        <x:v>PEA-A-Y1</x:v>
      </x:c>
      <x:c r="D536" s="7" t="str">
        <x:v>BLD-A</x:v>
      </x:c>
      <x:c r="E536" s="7" t="str">
        <x:v>BL-Y</x:v>
      </x:c>
      <x:c r="F536" s="7" t="str">
        <x:v>MF-17</x:v>
      </x:c>
      <x:c r="G536" s="7" t="str">
        <x:v>normal power</x:v>
      </x:c>
      <x:c r="H536" s="7" t="n">
        <x:v>2</x:v>
      </x:c>
      <x:c r="I536" s="7" t="str"/>
      <x:c r="J536" s="7" t="str"/>
      <x:c r="K536" s="7" t="str"/>
      <x:c r="L536" s="7" t="str"/>
      <x:c r="M536" s="7" t="str"/>
      <x:c r="N536" s="7" t="str"/>
      <x:c r="O536" s="7" t="str">
        <x:f>IF(N536="","OPEN",IF(OR(I536="",J536="",K536="",L536="",M536=""),"FAIL","PASS"))</x:f>
        <x:v>OPEN</x:v>
      </x:c>
    </x:row>
    <x:row r="537">
      <x:c r="B537" s="7" t="str">
        <x:v>CH-PEA-A-Y1-17-3</x:v>
      </x:c>
      <x:c r="C537" s="7" t="str">
        <x:v>PEA-A-Y1</x:v>
      </x:c>
      <x:c r="D537" s="7" t="str">
        <x:v>BLD-A</x:v>
      </x:c>
      <x:c r="E537" s="7" t="str">
        <x:v>BL-Y</x:v>
      </x:c>
      <x:c r="F537" s="7" t="str">
        <x:v>MF-17</x:v>
      </x:c>
      <x:c r="G537" s="7" t="str">
        <x:v>normal power</x:v>
      </x:c>
      <x:c r="H537" s="7" t="n">
        <x:v>3</x:v>
      </x:c>
      <x:c r="I537" s="7" t="str"/>
      <x:c r="J537" s="7" t="str"/>
      <x:c r="K537" s="7" t="str"/>
      <x:c r="L537" s="7" t="str"/>
      <x:c r="M537" s="7" t="str"/>
      <x:c r="N537" s="7" t="str"/>
      <x:c r="O537" s="7" t="str">
        <x:f>IF(N537="","OPEN",IF(OR(I537="",J537="",K537="",L537="",M537=""),"FAIL","PASS"))</x:f>
        <x:v>OPEN</x:v>
      </x:c>
    </x:row>
    <x:row r="538">
      <x:c r="B538" s="7" t="str">
        <x:v>CH-PEA-A-Y1-17-4</x:v>
      </x:c>
      <x:c r="C538" s="7" t="str">
        <x:v>PEA-A-Y1</x:v>
      </x:c>
      <x:c r="D538" s="7" t="str">
        <x:v>BLD-A</x:v>
      </x:c>
      <x:c r="E538" s="7" t="str">
        <x:v>BL-Y</x:v>
      </x:c>
      <x:c r="F538" s="7" t="str">
        <x:v>MF-17</x:v>
      </x:c>
      <x:c r="G538" s="7" t="str">
        <x:v>normal power</x:v>
      </x:c>
      <x:c r="H538" s="7" t="n">
        <x:v>4</x:v>
      </x:c>
      <x:c r="I538" s="7" t="str"/>
      <x:c r="J538" s="7" t="str"/>
      <x:c r="K538" s="7" t="str"/>
      <x:c r="L538" s="7" t="str"/>
      <x:c r="M538" s="7" t="str"/>
      <x:c r="N538" s="7" t="str"/>
      <x:c r="O538" s="7" t="str">
        <x:f>IF(N538="","OPEN",IF(OR(I538="",J538="",K538="",L538="",M538=""),"FAIL","PASS"))</x:f>
        <x:v>OPEN</x:v>
      </x:c>
    </x:row>
    <x:row r="539">
      <x:c r="B539" s="7" t="str">
        <x:v>CH-PEA-A-Y1-17-5</x:v>
      </x:c>
      <x:c r="C539" s="7" t="str">
        <x:v>PEA-A-Y1</x:v>
      </x:c>
      <x:c r="D539" s="7" t="str">
        <x:v>BLD-A</x:v>
      </x:c>
      <x:c r="E539" s="7" t="str">
        <x:v>BL-Y</x:v>
      </x:c>
      <x:c r="F539" s="7" t="str">
        <x:v>MF-17</x:v>
      </x:c>
      <x:c r="G539" s="7" t="str">
        <x:v>normal power</x:v>
      </x:c>
      <x:c r="H539" s="7" t="n">
        <x:v>5</x:v>
      </x:c>
      <x:c r="I539" s="7" t="str"/>
      <x:c r="J539" s="7" t="str"/>
      <x:c r="K539" s="7" t="str"/>
      <x:c r="L539" s="7" t="str"/>
      <x:c r="M539" s="7" t="str"/>
      <x:c r="N539" s="7" t="str"/>
      <x:c r="O539" s="7" t="str">
        <x:f>IF(N539="","OPEN",IF(OR(I539="",J539="",K539="",L539="",M539=""),"FAIL","PASS"))</x:f>
        <x:v>OPEN</x:v>
      </x:c>
    </x:row>
    <x:row r="540">
      <x:c r="B540" s="7" t="str">
        <x:v>CH-PEA-A-Y1-17-6</x:v>
      </x:c>
      <x:c r="C540" s="7" t="str">
        <x:v>PEA-A-Y1</x:v>
      </x:c>
      <x:c r="D540" s="7" t="str">
        <x:v>BLD-A</x:v>
      </x:c>
      <x:c r="E540" s="7" t="str">
        <x:v>BL-Y</x:v>
      </x:c>
      <x:c r="F540" s="7" t="str">
        <x:v>MF-17</x:v>
      </x:c>
      <x:c r="G540" s="7" t="str">
        <x:v>normal power</x:v>
      </x:c>
      <x:c r="H540" s="7" t="n">
        <x:v>6</x:v>
      </x:c>
      <x:c r="I540" s="7" t="str"/>
      <x:c r="J540" s="7" t="str"/>
      <x:c r="K540" s="7" t="str"/>
      <x:c r="L540" s="7" t="str"/>
      <x:c r="M540" s="7" t="str"/>
      <x:c r="N540" s="7" t="str"/>
      <x:c r="O540" s="7" t="str">
        <x:f>IF(N540="","OPEN",IF(OR(I540="",J540="",K540="",L540="",M540=""),"FAIL","PASS"))</x:f>
        <x:v>OPEN</x:v>
      </x:c>
    </x:row>
    <x:row r="541">
      <x:c r="B541" s="7" t="str">
        <x:v>CH-PEA-A-Y1-18-1</x:v>
      </x:c>
      <x:c r="C541" s="7" t="str">
        <x:v>PEA-A-Y1</x:v>
      </x:c>
      <x:c r="D541" s="7" t="str">
        <x:v>BLD-A</x:v>
      </x:c>
      <x:c r="E541" s="7" t="str">
        <x:v>BL-Y</x:v>
      </x:c>
      <x:c r="F541" s="7" t="str">
        <x:v>MF-18</x:v>
      </x:c>
      <x:c r="G541" s="7" t="str">
        <x:v>independent power</x:v>
      </x:c>
      <x:c r="H541" s="7" t="n">
        <x:v>1</x:v>
      </x:c>
      <x:c r="I541" s="7" t="str"/>
      <x:c r="J541" s="7" t="str"/>
      <x:c r="K541" s="7" t="str"/>
      <x:c r="L541" s="7" t="str"/>
      <x:c r="M541" s="7" t="str"/>
      <x:c r="N541" s="7" t="str"/>
      <x:c r="O541" s="7" t="str">
        <x:f>IF(N541="","OPEN",IF(OR(I541="",J541="",K541="",L541="",M541=""),"FAIL","PASS"))</x:f>
        <x:v>OPEN</x:v>
      </x:c>
    </x:row>
    <x:row r="542">
      <x:c r="B542" s="7" t="str">
        <x:v>CH-PEA-A-Y1-18-2</x:v>
      </x:c>
      <x:c r="C542" s="7" t="str">
        <x:v>PEA-A-Y1</x:v>
      </x:c>
      <x:c r="D542" s="7" t="str">
        <x:v>BLD-A</x:v>
      </x:c>
      <x:c r="E542" s="7" t="str">
        <x:v>BL-Y</x:v>
      </x:c>
      <x:c r="F542" s="7" t="str">
        <x:v>MF-18</x:v>
      </x:c>
      <x:c r="G542" s="7" t="str">
        <x:v>independent power</x:v>
      </x:c>
      <x:c r="H542" s="7" t="n">
        <x:v>2</x:v>
      </x:c>
      <x:c r="I542" s="7" t="str"/>
      <x:c r="J542" s="7" t="str"/>
      <x:c r="K542" s="7" t="str"/>
      <x:c r="L542" s="7" t="str"/>
      <x:c r="M542" s="7" t="str"/>
      <x:c r="N542" s="7" t="str"/>
      <x:c r="O542" s="7" t="str">
        <x:f>IF(N542="","OPEN",IF(OR(I542="",J542="",K542="",L542="",M542=""),"FAIL","PASS"))</x:f>
        <x:v>OPEN</x:v>
      </x:c>
    </x:row>
    <x:row r="543">
      <x:c r="B543" s="7" t="str">
        <x:v>CH-PEA-A-Y1-18-3</x:v>
      </x:c>
      <x:c r="C543" s="7" t="str">
        <x:v>PEA-A-Y1</x:v>
      </x:c>
      <x:c r="D543" s="7" t="str">
        <x:v>BLD-A</x:v>
      </x:c>
      <x:c r="E543" s="7" t="str">
        <x:v>BL-Y</x:v>
      </x:c>
      <x:c r="F543" s="7" t="str">
        <x:v>MF-18</x:v>
      </x:c>
      <x:c r="G543" s="7" t="str">
        <x:v>independent power</x:v>
      </x:c>
      <x:c r="H543" s="7" t="n">
        <x:v>3</x:v>
      </x:c>
      <x:c r="I543" s="7" t="str"/>
      <x:c r="J543" s="7" t="str"/>
      <x:c r="K543" s="7" t="str"/>
      <x:c r="L543" s="7" t="str"/>
      <x:c r="M543" s="7" t="str"/>
      <x:c r="N543" s="7" t="str"/>
      <x:c r="O543" s="7" t="str">
        <x:f>IF(N543="","OPEN",IF(OR(I543="",J543="",K543="",L543="",M543=""),"FAIL","PASS"))</x:f>
        <x:v>OPEN</x:v>
      </x:c>
    </x:row>
    <x:row r="544">
      <x:c r="B544" s="7" t="str">
        <x:v>CH-PEA-A-Y1-18-4</x:v>
      </x:c>
      <x:c r="C544" s="7" t="str">
        <x:v>PEA-A-Y1</x:v>
      </x:c>
      <x:c r="D544" s="7" t="str">
        <x:v>BLD-A</x:v>
      </x:c>
      <x:c r="E544" s="7" t="str">
        <x:v>BL-Y</x:v>
      </x:c>
      <x:c r="F544" s="7" t="str">
        <x:v>MF-18</x:v>
      </x:c>
      <x:c r="G544" s="7" t="str">
        <x:v>independent power</x:v>
      </x:c>
      <x:c r="H544" s="7" t="n">
        <x:v>4</x:v>
      </x:c>
      <x:c r="I544" s="7" t="str"/>
      <x:c r="J544" s="7" t="str"/>
      <x:c r="K544" s="7" t="str"/>
      <x:c r="L544" s="7" t="str"/>
      <x:c r="M544" s="7" t="str"/>
      <x:c r="N544" s="7" t="str"/>
      <x:c r="O544" s="7" t="str">
        <x:f>IF(N544="","OPEN",IF(OR(I544="",J544="",K544="",L544="",M544=""),"FAIL","PASS"))</x:f>
        <x:v>OPEN</x:v>
      </x:c>
    </x:row>
    <x:row r="545">
      <x:c r="B545" s="7" t="str">
        <x:v>CH-PEA-A-Y1-18-5</x:v>
      </x:c>
      <x:c r="C545" s="7" t="str">
        <x:v>PEA-A-Y1</x:v>
      </x:c>
      <x:c r="D545" s="7" t="str">
        <x:v>BLD-A</x:v>
      </x:c>
      <x:c r="E545" s="7" t="str">
        <x:v>BL-Y</x:v>
      </x:c>
      <x:c r="F545" s="7" t="str">
        <x:v>MF-18</x:v>
      </x:c>
      <x:c r="G545" s="7" t="str">
        <x:v>independent power</x:v>
      </x:c>
      <x:c r="H545" s="7" t="n">
        <x:v>5</x:v>
      </x:c>
      <x:c r="I545" s="7" t="str"/>
      <x:c r="J545" s="7" t="str"/>
      <x:c r="K545" s="7" t="str"/>
      <x:c r="L545" s="7" t="str"/>
      <x:c r="M545" s="7" t="str"/>
      <x:c r="N545" s="7" t="str"/>
      <x:c r="O545" s="7" t="str">
        <x:f>IF(N545="","OPEN",IF(OR(I545="",J545="",K545="",L545="",M545=""),"FAIL","PASS"))</x:f>
        <x:v>OPEN</x:v>
      </x:c>
    </x:row>
    <x:row r="546">
      <x:c r="B546" s="7" t="str">
        <x:v>CH-PEA-A-Y1-18-6</x:v>
      </x:c>
      <x:c r="C546" s="7" t="str">
        <x:v>PEA-A-Y1</x:v>
      </x:c>
      <x:c r="D546" s="7" t="str">
        <x:v>BLD-A</x:v>
      </x:c>
      <x:c r="E546" s="7" t="str">
        <x:v>BL-Y</x:v>
      </x:c>
      <x:c r="F546" s="7" t="str">
        <x:v>MF-18</x:v>
      </x:c>
      <x:c r="G546" s="7" t="str">
        <x:v>independent power</x:v>
      </x:c>
      <x:c r="H546" s="7" t="n">
        <x:v>6</x:v>
      </x:c>
      <x:c r="I546" s="7" t="str"/>
      <x:c r="J546" s="7" t="str"/>
      <x:c r="K546" s="7" t="str"/>
      <x:c r="L546" s="7" t="str"/>
      <x:c r="M546" s="7" t="str"/>
      <x:c r="N546" s="7" t="str"/>
      <x:c r="O546" s="7" t="str">
        <x:f>IF(N546="","OPEN",IF(OR(I546="",J546="",K546="",L546="",M546=""),"FAIL","PASS"))</x:f>
        <x:v>OPEN</x:v>
      </x:c>
    </x:row>
    <x:row r="547">
      <x:c r="B547" s="7" t="str">
        <x:v>CH-PEA-A-Y1-19-1</x:v>
      </x:c>
      <x:c r="C547" s="7" t="str">
        <x:v>PEA-A-Y1</x:v>
      </x:c>
      <x:c r="D547" s="7" t="str">
        <x:v>BLD-A</x:v>
      </x:c>
      <x:c r="E547" s="7" t="str">
        <x:v>BL-Y</x:v>
      </x:c>
      <x:c r="F547" s="7" t="str">
        <x:v>MF-19</x:v>
      </x:c>
      <x:c r="G547" s="7" t="str">
        <x:v>leak collection</x:v>
      </x:c>
      <x:c r="H547" s="7" t="n">
        <x:v>1</x:v>
      </x:c>
      <x:c r="I547" s="7" t="str"/>
      <x:c r="J547" s="7" t="str"/>
      <x:c r="K547" s="7" t="str"/>
      <x:c r="L547" s="7" t="str"/>
      <x:c r="M547" s="7" t="str"/>
      <x:c r="N547" s="7" t="str"/>
      <x:c r="O547" s="7" t="str">
        <x:f>IF(N547="","OPEN",IF(OR(I547="",J547="",K547="",L547="",M547=""),"FAIL","PASS"))</x:f>
        <x:v>OPEN</x:v>
      </x:c>
    </x:row>
    <x:row r="548">
      <x:c r="B548" s="7" t="str">
        <x:v>CH-PEA-A-Y1-19-2</x:v>
      </x:c>
      <x:c r="C548" s="7" t="str">
        <x:v>PEA-A-Y1</x:v>
      </x:c>
      <x:c r="D548" s="7" t="str">
        <x:v>BLD-A</x:v>
      </x:c>
      <x:c r="E548" s="7" t="str">
        <x:v>BL-Y</x:v>
      </x:c>
      <x:c r="F548" s="7" t="str">
        <x:v>MF-19</x:v>
      </x:c>
      <x:c r="G548" s="7" t="str">
        <x:v>leak collection</x:v>
      </x:c>
      <x:c r="H548" s="7" t="n">
        <x:v>2</x:v>
      </x:c>
      <x:c r="I548" s="7" t="str"/>
      <x:c r="J548" s="7" t="str"/>
      <x:c r="K548" s="7" t="str"/>
      <x:c r="L548" s="7" t="str"/>
      <x:c r="M548" s="7" t="str"/>
      <x:c r="N548" s="7" t="str"/>
      <x:c r="O548" s="7" t="str">
        <x:f>IF(N548="","OPEN",IF(OR(I548="",J548="",K548="",L548="",M548=""),"FAIL","PASS"))</x:f>
        <x:v>OPEN</x:v>
      </x:c>
    </x:row>
    <x:row r="549">
      <x:c r="B549" s="7" t="str">
        <x:v>CH-PEA-A-Y1-19-3</x:v>
      </x:c>
      <x:c r="C549" s="7" t="str">
        <x:v>PEA-A-Y1</x:v>
      </x:c>
      <x:c r="D549" s="7" t="str">
        <x:v>BLD-A</x:v>
      </x:c>
      <x:c r="E549" s="7" t="str">
        <x:v>BL-Y</x:v>
      </x:c>
      <x:c r="F549" s="7" t="str">
        <x:v>MF-19</x:v>
      </x:c>
      <x:c r="G549" s="7" t="str">
        <x:v>leak collection</x:v>
      </x:c>
      <x:c r="H549" s="7" t="n">
        <x:v>3</x:v>
      </x:c>
      <x:c r="I549" s="7" t="str"/>
      <x:c r="J549" s="7" t="str"/>
      <x:c r="K549" s="7" t="str"/>
      <x:c r="L549" s="7" t="str"/>
      <x:c r="M549" s="7" t="str"/>
      <x:c r="N549" s="7" t="str"/>
      <x:c r="O549" s="7" t="str">
        <x:f>IF(N549="","OPEN",IF(OR(I549="",J549="",K549="",L549="",M549=""),"FAIL","PASS"))</x:f>
        <x:v>OPEN</x:v>
      </x:c>
    </x:row>
    <x:row r="550">
      <x:c r="B550" s="7" t="str">
        <x:v>CH-PEA-A-Y1-19-4</x:v>
      </x:c>
      <x:c r="C550" s="7" t="str">
        <x:v>PEA-A-Y1</x:v>
      </x:c>
      <x:c r="D550" s="7" t="str">
        <x:v>BLD-A</x:v>
      </x:c>
      <x:c r="E550" s="7" t="str">
        <x:v>BL-Y</x:v>
      </x:c>
      <x:c r="F550" s="7" t="str">
        <x:v>MF-19</x:v>
      </x:c>
      <x:c r="G550" s="7" t="str">
        <x:v>leak collection</x:v>
      </x:c>
      <x:c r="H550" s="7" t="n">
        <x:v>4</x:v>
      </x:c>
      <x:c r="I550" s="7" t="str"/>
      <x:c r="J550" s="7" t="str"/>
      <x:c r="K550" s="7" t="str"/>
      <x:c r="L550" s="7" t="str"/>
      <x:c r="M550" s="7" t="str"/>
      <x:c r="N550" s="7" t="str"/>
      <x:c r="O550" s="7" t="str">
        <x:f>IF(N550="","OPEN",IF(OR(I550="",J550="",K550="",L550="",M550=""),"FAIL","PASS"))</x:f>
        <x:v>OPEN</x:v>
      </x:c>
    </x:row>
    <x:row r="551">
      <x:c r="B551" s="7" t="str">
        <x:v>CH-PEA-A-Y1-19-5</x:v>
      </x:c>
      <x:c r="C551" s="7" t="str">
        <x:v>PEA-A-Y1</x:v>
      </x:c>
      <x:c r="D551" s="7" t="str">
        <x:v>BLD-A</x:v>
      </x:c>
      <x:c r="E551" s="7" t="str">
        <x:v>BL-Y</x:v>
      </x:c>
      <x:c r="F551" s="7" t="str">
        <x:v>MF-19</x:v>
      </x:c>
      <x:c r="G551" s="7" t="str">
        <x:v>leak collection</x:v>
      </x:c>
      <x:c r="H551" s="7" t="n">
        <x:v>5</x:v>
      </x:c>
      <x:c r="I551" s="7" t="str"/>
      <x:c r="J551" s="7" t="str"/>
      <x:c r="K551" s="7" t="str"/>
      <x:c r="L551" s="7" t="str"/>
      <x:c r="M551" s="7" t="str"/>
      <x:c r="N551" s="7" t="str"/>
      <x:c r="O551" s="7" t="str">
        <x:f>IF(N551="","OPEN",IF(OR(I551="",J551="",K551="",L551="",M551=""),"FAIL","PASS"))</x:f>
        <x:v>OPEN</x:v>
      </x:c>
    </x:row>
    <x:row r="552">
      <x:c r="B552" s="7" t="str">
        <x:v>CH-PEA-A-Y1-19-6</x:v>
      </x:c>
      <x:c r="C552" s="7" t="str">
        <x:v>PEA-A-Y1</x:v>
      </x:c>
      <x:c r="D552" s="7" t="str">
        <x:v>BLD-A</x:v>
      </x:c>
      <x:c r="E552" s="7" t="str">
        <x:v>BL-Y</x:v>
      </x:c>
      <x:c r="F552" s="7" t="str">
        <x:v>MF-19</x:v>
      </x:c>
      <x:c r="G552" s="7" t="str">
        <x:v>leak collection</x:v>
      </x:c>
      <x:c r="H552" s="7" t="n">
        <x:v>6</x:v>
      </x:c>
      <x:c r="I552" s="7" t="str"/>
      <x:c r="J552" s="7" t="str"/>
      <x:c r="K552" s="7" t="str"/>
      <x:c r="L552" s="7" t="str"/>
      <x:c r="M552" s="7" t="str"/>
      <x:c r="N552" s="7" t="str"/>
      <x:c r="O552" s="7" t="str">
        <x:f>IF(N552="","OPEN",IF(OR(I552="",J552="",K552="",L552="",M552=""),"FAIL","PASS"))</x:f>
        <x:v>OPEN</x:v>
      </x:c>
    </x:row>
    <x:row r="553">
      <x:c r="B553" s="7" t="str">
        <x:v>CH-PEA-A-Y1-20-1</x:v>
      </x:c>
      <x:c r="C553" s="7" t="str">
        <x:v>PEA-A-Y1</x:v>
      </x:c>
      <x:c r="D553" s="7" t="str">
        <x:v>BLD-A</x:v>
      </x:c>
      <x:c r="E553" s="7" t="str">
        <x:v>BL-Y</x:v>
      </x:c>
      <x:c r="F553" s="7" t="str">
        <x:v>MF-20</x:v>
      </x:c>
      <x:c r="G553" s="7" t="str">
        <x:v>occupied-area state</x:v>
      </x:c>
      <x:c r="H553" s="7" t="n">
        <x:v>1</x:v>
      </x:c>
      <x:c r="I553" s="7" t="str"/>
      <x:c r="J553" s="7" t="str"/>
      <x:c r="K553" s="7" t="str"/>
      <x:c r="L553" s="7" t="str"/>
      <x:c r="M553" s="7" t="str"/>
      <x:c r="N553" s="7" t="str"/>
      <x:c r="O553" s="7" t="str">
        <x:f>IF(N553="","OPEN",IF(OR(I553="",J553="",K553="",L553="",M553=""),"FAIL","PASS"))</x:f>
        <x:v>OPEN</x:v>
      </x:c>
    </x:row>
    <x:row r="554">
      <x:c r="B554" s="7" t="str">
        <x:v>CH-PEA-A-Y1-20-2</x:v>
      </x:c>
      <x:c r="C554" s="7" t="str">
        <x:v>PEA-A-Y1</x:v>
      </x:c>
      <x:c r="D554" s="7" t="str">
        <x:v>BLD-A</x:v>
      </x:c>
      <x:c r="E554" s="7" t="str">
        <x:v>BL-Y</x:v>
      </x:c>
      <x:c r="F554" s="7" t="str">
        <x:v>MF-20</x:v>
      </x:c>
      <x:c r="G554" s="7" t="str">
        <x:v>occupied-area state</x:v>
      </x:c>
      <x:c r="H554" s="7" t="n">
        <x:v>2</x:v>
      </x:c>
      <x:c r="I554" s="7" t="str"/>
      <x:c r="J554" s="7" t="str"/>
      <x:c r="K554" s="7" t="str"/>
      <x:c r="L554" s="7" t="str"/>
      <x:c r="M554" s="7" t="str"/>
      <x:c r="N554" s="7" t="str"/>
      <x:c r="O554" s="7" t="str">
        <x:f>IF(N554="","OPEN",IF(OR(I554="",J554="",K554="",L554="",M554=""),"FAIL","PASS"))</x:f>
        <x:v>OPEN</x:v>
      </x:c>
    </x:row>
    <x:row r="555">
      <x:c r="B555" s="7" t="str">
        <x:v>CH-PEA-A-Y1-20-3</x:v>
      </x:c>
      <x:c r="C555" s="7" t="str">
        <x:v>PEA-A-Y1</x:v>
      </x:c>
      <x:c r="D555" s="7" t="str">
        <x:v>BLD-A</x:v>
      </x:c>
      <x:c r="E555" s="7" t="str">
        <x:v>BL-Y</x:v>
      </x:c>
      <x:c r="F555" s="7" t="str">
        <x:v>MF-20</x:v>
      </x:c>
      <x:c r="G555" s="7" t="str">
        <x:v>occupied-area state</x:v>
      </x:c>
      <x:c r="H555" s="7" t="n">
        <x:v>3</x:v>
      </x:c>
      <x:c r="I555" s="7" t="str"/>
      <x:c r="J555" s="7" t="str"/>
      <x:c r="K555" s="7" t="str"/>
      <x:c r="L555" s="7" t="str"/>
      <x:c r="M555" s="7" t="str"/>
      <x:c r="N555" s="7" t="str"/>
      <x:c r="O555" s="7" t="str">
        <x:f>IF(N555="","OPEN",IF(OR(I555="",J555="",K555="",L555="",M555=""),"FAIL","PASS"))</x:f>
        <x:v>OPEN</x:v>
      </x:c>
    </x:row>
    <x:row r="556">
      <x:c r="B556" s="7" t="str">
        <x:v>CH-PEA-A-Y1-20-4</x:v>
      </x:c>
      <x:c r="C556" s="7" t="str">
        <x:v>PEA-A-Y1</x:v>
      </x:c>
      <x:c r="D556" s="7" t="str">
        <x:v>BLD-A</x:v>
      </x:c>
      <x:c r="E556" s="7" t="str">
        <x:v>BL-Y</x:v>
      </x:c>
      <x:c r="F556" s="7" t="str">
        <x:v>MF-20</x:v>
      </x:c>
      <x:c r="G556" s="7" t="str">
        <x:v>occupied-area state</x:v>
      </x:c>
      <x:c r="H556" s="7" t="n">
        <x:v>4</x:v>
      </x:c>
      <x:c r="I556" s="7" t="str"/>
      <x:c r="J556" s="7" t="str"/>
      <x:c r="K556" s="7" t="str"/>
      <x:c r="L556" s="7" t="str"/>
      <x:c r="M556" s="7" t="str"/>
      <x:c r="N556" s="7" t="str"/>
      <x:c r="O556" s="7" t="str">
        <x:f>IF(N556="","OPEN",IF(OR(I556="",J556="",K556="",L556="",M556=""),"FAIL","PASS"))</x:f>
        <x:v>OPEN</x:v>
      </x:c>
    </x:row>
    <x:row r="557">
      <x:c r="B557" s="7" t="str">
        <x:v>CH-PEA-A-Y1-20-5</x:v>
      </x:c>
      <x:c r="C557" s="7" t="str">
        <x:v>PEA-A-Y1</x:v>
      </x:c>
      <x:c r="D557" s="7" t="str">
        <x:v>BLD-A</x:v>
      </x:c>
      <x:c r="E557" s="7" t="str">
        <x:v>BL-Y</x:v>
      </x:c>
      <x:c r="F557" s="7" t="str">
        <x:v>MF-20</x:v>
      </x:c>
      <x:c r="G557" s="7" t="str">
        <x:v>occupied-area state</x:v>
      </x:c>
      <x:c r="H557" s="7" t="n">
        <x:v>5</x:v>
      </x:c>
      <x:c r="I557" s="7" t="str"/>
      <x:c r="J557" s="7" t="str"/>
      <x:c r="K557" s="7" t="str"/>
      <x:c r="L557" s="7" t="str"/>
      <x:c r="M557" s="7" t="str"/>
      <x:c r="N557" s="7" t="str"/>
      <x:c r="O557" s="7" t="str">
        <x:f>IF(N557="","OPEN",IF(OR(I557="",J557="",K557="",L557="",M557=""),"FAIL","PASS"))</x:f>
        <x:v>OPEN</x:v>
      </x:c>
    </x:row>
    <x:row r="558">
      <x:c r="B558" s="7" t="str">
        <x:v>CH-PEA-A-Y1-20-6</x:v>
      </x:c>
      <x:c r="C558" s="7" t="str">
        <x:v>PEA-A-Y1</x:v>
      </x:c>
      <x:c r="D558" s="7" t="str">
        <x:v>BLD-A</x:v>
      </x:c>
      <x:c r="E558" s="7" t="str">
        <x:v>BL-Y</x:v>
      </x:c>
      <x:c r="F558" s="7" t="str">
        <x:v>MF-20</x:v>
      </x:c>
      <x:c r="G558" s="7" t="str">
        <x:v>occupied-area state</x:v>
      </x:c>
      <x:c r="H558" s="7" t="n">
        <x:v>6</x:v>
      </x:c>
      <x:c r="I558" s="7" t="str"/>
      <x:c r="J558" s="7" t="str"/>
      <x:c r="K558" s="7" t="str"/>
      <x:c r="L558" s="7" t="str"/>
      <x:c r="M558" s="7" t="str"/>
      <x:c r="N558" s="7" t="str"/>
      <x:c r="O558" s="7" t="str">
        <x:f>IF(N558="","OPEN",IF(OR(I558="",J558="",K558="",L558="",M558=""),"FAIL","PASS"))</x:f>
        <x:v>OPEN</x:v>
      </x:c>
    </x:row>
    <x:row r="559">
      <x:c r="B559" s="7" t="str">
        <x:v>CH-PEA-A-Y1-21-1</x:v>
      </x:c>
      <x:c r="C559" s="7" t="str">
        <x:v>PEA-A-Y1</x:v>
      </x:c>
      <x:c r="D559" s="7" t="str">
        <x:v>BLD-A</x:v>
      </x:c>
      <x:c r="E559" s="7" t="str">
        <x:v>BL-Y</x:v>
      </x:c>
      <x:c r="F559" s="7" t="str">
        <x:v>MF-21</x:v>
      </x:c>
      <x:c r="G559" s="7" t="str">
        <x:v>public-water flow</x:v>
      </x:c>
      <x:c r="H559" s="7" t="n">
        <x:v>1</x:v>
      </x:c>
      <x:c r="I559" s="7" t="str"/>
      <x:c r="J559" s="7" t="str"/>
      <x:c r="K559" s="7" t="str"/>
      <x:c r="L559" s="7" t="str"/>
      <x:c r="M559" s="7" t="str"/>
      <x:c r="N559" s="7" t="str"/>
      <x:c r="O559" s="7" t="str">
        <x:f>IF(N559="","OPEN",IF(OR(I559="",J559="",K559="",L559="",M559=""),"FAIL","PASS"))</x:f>
        <x:v>OPEN</x:v>
      </x:c>
    </x:row>
    <x:row r="560">
      <x:c r="B560" s="7" t="str">
        <x:v>CH-PEA-A-Y1-21-2</x:v>
      </x:c>
      <x:c r="C560" s="7" t="str">
        <x:v>PEA-A-Y1</x:v>
      </x:c>
      <x:c r="D560" s="7" t="str">
        <x:v>BLD-A</x:v>
      </x:c>
      <x:c r="E560" s="7" t="str">
        <x:v>BL-Y</x:v>
      </x:c>
      <x:c r="F560" s="7" t="str">
        <x:v>MF-21</x:v>
      </x:c>
      <x:c r="G560" s="7" t="str">
        <x:v>public-water flow</x:v>
      </x:c>
      <x:c r="H560" s="7" t="n">
        <x:v>2</x:v>
      </x:c>
      <x:c r="I560" s="7" t="str"/>
      <x:c r="J560" s="7" t="str"/>
      <x:c r="K560" s="7" t="str"/>
      <x:c r="L560" s="7" t="str"/>
      <x:c r="M560" s="7" t="str"/>
      <x:c r="N560" s="7" t="str"/>
      <x:c r="O560" s="7" t="str">
        <x:f>IF(N560="","OPEN",IF(OR(I560="",J560="",K560="",L560="",M560=""),"FAIL","PASS"))</x:f>
        <x:v>OPEN</x:v>
      </x:c>
    </x:row>
    <x:row r="561">
      <x:c r="B561" s="7" t="str">
        <x:v>CH-PEA-A-Y1-21-3</x:v>
      </x:c>
      <x:c r="C561" s="7" t="str">
        <x:v>PEA-A-Y1</x:v>
      </x:c>
      <x:c r="D561" s="7" t="str">
        <x:v>BLD-A</x:v>
      </x:c>
      <x:c r="E561" s="7" t="str">
        <x:v>BL-Y</x:v>
      </x:c>
      <x:c r="F561" s="7" t="str">
        <x:v>MF-21</x:v>
      </x:c>
      <x:c r="G561" s="7" t="str">
        <x:v>public-water flow</x:v>
      </x:c>
      <x:c r="H561" s="7" t="n">
        <x:v>3</x:v>
      </x:c>
      <x:c r="I561" s="7" t="str"/>
      <x:c r="J561" s="7" t="str"/>
      <x:c r="K561" s="7" t="str"/>
      <x:c r="L561" s="7" t="str"/>
      <x:c r="M561" s="7" t="str"/>
      <x:c r="N561" s="7" t="str"/>
      <x:c r="O561" s="7" t="str">
        <x:f>IF(N561="","OPEN",IF(OR(I561="",J561="",K561="",L561="",M561=""),"FAIL","PASS"))</x:f>
        <x:v>OPEN</x:v>
      </x:c>
    </x:row>
    <x:row r="562">
      <x:c r="B562" s="7" t="str">
        <x:v>CH-PEA-A-Y1-21-4</x:v>
      </x:c>
      <x:c r="C562" s="7" t="str">
        <x:v>PEA-A-Y1</x:v>
      </x:c>
      <x:c r="D562" s="7" t="str">
        <x:v>BLD-A</x:v>
      </x:c>
      <x:c r="E562" s="7" t="str">
        <x:v>BL-Y</x:v>
      </x:c>
      <x:c r="F562" s="7" t="str">
        <x:v>MF-21</x:v>
      </x:c>
      <x:c r="G562" s="7" t="str">
        <x:v>public-water flow</x:v>
      </x:c>
      <x:c r="H562" s="7" t="n">
        <x:v>4</x:v>
      </x:c>
      <x:c r="I562" s="7" t="str"/>
      <x:c r="J562" s="7" t="str"/>
      <x:c r="K562" s="7" t="str"/>
      <x:c r="L562" s="7" t="str"/>
      <x:c r="M562" s="7" t="str"/>
      <x:c r="N562" s="7" t="str"/>
      <x:c r="O562" s="7" t="str">
        <x:f>IF(N562="","OPEN",IF(OR(I562="",J562="",K562="",L562="",M562=""),"FAIL","PASS"))</x:f>
        <x:v>OPEN</x:v>
      </x:c>
    </x:row>
    <x:row r="563">
      <x:c r="B563" s="7" t="str">
        <x:v>CH-PEA-A-Y1-21-5</x:v>
      </x:c>
      <x:c r="C563" s="7" t="str">
        <x:v>PEA-A-Y1</x:v>
      </x:c>
      <x:c r="D563" s="7" t="str">
        <x:v>BLD-A</x:v>
      </x:c>
      <x:c r="E563" s="7" t="str">
        <x:v>BL-Y</x:v>
      </x:c>
      <x:c r="F563" s="7" t="str">
        <x:v>MF-21</x:v>
      </x:c>
      <x:c r="G563" s="7" t="str">
        <x:v>public-water flow</x:v>
      </x:c>
      <x:c r="H563" s="7" t="n">
        <x:v>5</x:v>
      </x:c>
      <x:c r="I563" s="7" t="str"/>
      <x:c r="J563" s="7" t="str"/>
      <x:c r="K563" s="7" t="str"/>
      <x:c r="L563" s="7" t="str"/>
      <x:c r="M563" s="7" t="str"/>
      <x:c r="N563" s="7" t="str"/>
      <x:c r="O563" s="7" t="str">
        <x:f>IF(N563="","OPEN",IF(OR(I563="",J563="",K563="",L563="",M563=""),"FAIL","PASS"))</x:f>
        <x:v>OPEN</x:v>
      </x:c>
    </x:row>
    <x:row r="564">
      <x:c r="B564" s="7" t="str">
        <x:v>CH-PEA-A-Y1-21-6</x:v>
      </x:c>
      <x:c r="C564" s="7" t="str">
        <x:v>PEA-A-Y1</x:v>
      </x:c>
      <x:c r="D564" s="7" t="str">
        <x:v>BLD-A</x:v>
      </x:c>
      <x:c r="E564" s="7" t="str">
        <x:v>BL-Y</x:v>
      </x:c>
      <x:c r="F564" s="7" t="str">
        <x:v>MF-21</x:v>
      </x:c>
      <x:c r="G564" s="7" t="str">
        <x:v>public-water flow</x:v>
      </x:c>
      <x:c r="H564" s="7" t="n">
        <x:v>6</x:v>
      </x:c>
      <x:c r="I564" s="7" t="str"/>
      <x:c r="J564" s="7" t="str"/>
      <x:c r="K564" s="7" t="str"/>
      <x:c r="L564" s="7" t="str"/>
      <x:c r="M564" s="7" t="str"/>
      <x:c r="N564" s="7" t="str"/>
      <x:c r="O564" s="7" t="str">
        <x:f>IF(N564="","OPEN",IF(OR(I564="",J564="",K564="",L564="",M564=""),"FAIL","PASS"))</x:f>
        <x:v>OPEN</x:v>
      </x:c>
    </x:row>
    <x:row r="565">
      <x:c r="B565" s="7" t="str">
        <x:v>CH-PEA-A-Y1-22-1</x:v>
      </x:c>
      <x:c r="C565" s="7" t="str">
        <x:v>PEA-A-Y1</x:v>
      </x:c>
      <x:c r="D565" s="7" t="str">
        <x:v>BLD-A</x:v>
      </x:c>
      <x:c r="E565" s="7" t="str">
        <x:v>BL-Y</x:v>
      </x:c>
      <x:c r="F565" s="7" t="str">
        <x:v>MF-22</x:v>
      </x:c>
      <x:c r="G565" s="7" t="str">
        <x:v>source ancestry</x:v>
      </x:c>
      <x:c r="H565" s="7" t="n">
        <x:v>1</x:v>
      </x:c>
      <x:c r="I565" s="7" t="str"/>
      <x:c r="J565" s="7" t="str"/>
      <x:c r="K565" s="7" t="str"/>
      <x:c r="L565" s="7" t="str"/>
      <x:c r="M565" s="7" t="str"/>
      <x:c r="N565" s="7" t="str"/>
      <x:c r="O565" s="7" t="str">
        <x:f>IF(N565="","OPEN",IF(OR(I565="",J565="",K565="",L565="",M565=""),"FAIL","PASS"))</x:f>
        <x:v>OPEN</x:v>
      </x:c>
    </x:row>
    <x:row r="566">
      <x:c r="B566" s="7" t="str">
        <x:v>CH-PEA-A-Y1-22-2</x:v>
      </x:c>
      <x:c r="C566" s="7" t="str">
        <x:v>PEA-A-Y1</x:v>
      </x:c>
      <x:c r="D566" s="7" t="str">
        <x:v>BLD-A</x:v>
      </x:c>
      <x:c r="E566" s="7" t="str">
        <x:v>BL-Y</x:v>
      </x:c>
      <x:c r="F566" s="7" t="str">
        <x:v>MF-22</x:v>
      </x:c>
      <x:c r="G566" s="7" t="str">
        <x:v>source ancestry</x:v>
      </x:c>
      <x:c r="H566" s="7" t="n">
        <x:v>2</x:v>
      </x:c>
      <x:c r="I566" s="7" t="str"/>
      <x:c r="J566" s="7" t="str"/>
      <x:c r="K566" s="7" t="str"/>
      <x:c r="L566" s="7" t="str"/>
      <x:c r="M566" s="7" t="str"/>
      <x:c r="N566" s="7" t="str"/>
      <x:c r="O566" s="7" t="str">
        <x:f>IF(N566="","OPEN",IF(OR(I566="",J566="",K566="",L566="",M566=""),"FAIL","PASS"))</x:f>
        <x:v>OPEN</x:v>
      </x:c>
    </x:row>
    <x:row r="567">
      <x:c r="B567" s="7" t="str">
        <x:v>CH-PEA-A-Y1-22-3</x:v>
      </x:c>
      <x:c r="C567" s="7" t="str">
        <x:v>PEA-A-Y1</x:v>
      </x:c>
      <x:c r="D567" s="7" t="str">
        <x:v>BLD-A</x:v>
      </x:c>
      <x:c r="E567" s="7" t="str">
        <x:v>BL-Y</x:v>
      </x:c>
      <x:c r="F567" s="7" t="str">
        <x:v>MF-22</x:v>
      </x:c>
      <x:c r="G567" s="7" t="str">
        <x:v>source ancestry</x:v>
      </x:c>
      <x:c r="H567" s="7" t="n">
        <x:v>3</x:v>
      </x:c>
      <x:c r="I567" s="7" t="str"/>
      <x:c r="J567" s="7" t="str"/>
      <x:c r="K567" s="7" t="str"/>
      <x:c r="L567" s="7" t="str"/>
      <x:c r="M567" s="7" t="str"/>
      <x:c r="N567" s="7" t="str"/>
      <x:c r="O567" s="7" t="str">
        <x:f>IF(N567="","OPEN",IF(OR(I567="",J567="",K567="",L567="",M567=""),"FAIL","PASS"))</x:f>
        <x:v>OPEN</x:v>
      </x:c>
    </x:row>
    <x:row r="568">
      <x:c r="B568" s="7" t="str">
        <x:v>CH-PEA-A-Y1-22-4</x:v>
      </x:c>
      <x:c r="C568" s="7" t="str">
        <x:v>PEA-A-Y1</x:v>
      </x:c>
      <x:c r="D568" s="7" t="str">
        <x:v>BLD-A</x:v>
      </x:c>
      <x:c r="E568" s="7" t="str">
        <x:v>BL-Y</x:v>
      </x:c>
      <x:c r="F568" s="7" t="str">
        <x:v>MF-22</x:v>
      </x:c>
      <x:c r="G568" s="7" t="str">
        <x:v>source ancestry</x:v>
      </x:c>
      <x:c r="H568" s="7" t="n">
        <x:v>4</x:v>
      </x:c>
      <x:c r="I568" s="7" t="str"/>
      <x:c r="J568" s="7" t="str"/>
      <x:c r="K568" s="7" t="str"/>
      <x:c r="L568" s="7" t="str"/>
      <x:c r="M568" s="7" t="str"/>
      <x:c r="N568" s="7" t="str"/>
      <x:c r="O568" s="7" t="str">
        <x:f>IF(N568="","OPEN",IF(OR(I568="",J568="",K568="",L568="",M568=""),"FAIL","PASS"))</x:f>
        <x:v>OPEN</x:v>
      </x:c>
    </x:row>
    <x:row r="569">
      <x:c r="B569" s="7" t="str">
        <x:v>CH-PEA-A-Y1-22-5</x:v>
      </x:c>
      <x:c r="C569" s="7" t="str">
        <x:v>PEA-A-Y1</x:v>
      </x:c>
      <x:c r="D569" s="7" t="str">
        <x:v>BLD-A</x:v>
      </x:c>
      <x:c r="E569" s="7" t="str">
        <x:v>BL-Y</x:v>
      </x:c>
      <x:c r="F569" s="7" t="str">
        <x:v>MF-22</x:v>
      </x:c>
      <x:c r="G569" s="7" t="str">
        <x:v>source ancestry</x:v>
      </x:c>
      <x:c r="H569" s="7" t="n">
        <x:v>5</x:v>
      </x:c>
      <x:c r="I569" s="7" t="str"/>
      <x:c r="J569" s="7" t="str"/>
      <x:c r="K569" s="7" t="str"/>
      <x:c r="L569" s="7" t="str"/>
      <x:c r="M569" s="7" t="str"/>
      <x:c r="N569" s="7" t="str"/>
      <x:c r="O569" s="7" t="str">
        <x:f>IF(N569="","OPEN",IF(OR(I569="",J569="",K569="",L569="",M569=""),"FAIL","PASS"))</x:f>
        <x:v>OPEN</x:v>
      </x:c>
    </x:row>
    <x:row r="570">
      <x:c r="B570" s="7" t="str">
        <x:v>CH-PEA-A-Y1-22-6</x:v>
      </x:c>
      <x:c r="C570" s="7" t="str">
        <x:v>PEA-A-Y1</x:v>
      </x:c>
      <x:c r="D570" s="7" t="str">
        <x:v>BLD-A</x:v>
      </x:c>
      <x:c r="E570" s="7" t="str">
        <x:v>BL-Y</x:v>
      </x:c>
      <x:c r="F570" s="7" t="str">
        <x:v>MF-22</x:v>
      </x:c>
      <x:c r="G570" s="7" t="str">
        <x:v>source ancestry</x:v>
      </x:c>
      <x:c r="H570" s="7" t="n">
        <x:v>6</x:v>
      </x:c>
      <x:c r="I570" s="7" t="str"/>
      <x:c r="J570" s="7" t="str"/>
      <x:c r="K570" s="7" t="str"/>
      <x:c r="L570" s="7" t="str"/>
      <x:c r="M570" s="7" t="str"/>
      <x:c r="N570" s="7" t="str"/>
      <x:c r="O570" s="7" t="str">
        <x:f>IF(N570="","OPEN",IF(OR(I570="",J570="",K570="",L570="",M570=""),"FAIL","PASS"))</x:f>
        <x:v>OPEN</x:v>
      </x:c>
    </x:row>
    <x:row r="571">
      <x:c r="B571" s="7" t="str">
        <x:v>CH-PEA-A-Y1-23-1</x:v>
      </x:c>
      <x:c r="C571" s="7" t="str">
        <x:v>PEA-A-Y1</x:v>
      </x:c>
      <x:c r="D571" s="7" t="str">
        <x:v>BLD-A</x:v>
      </x:c>
      <x:c r="E571" s="7" t="str">
        <x:v>BL-Y</x:v>
      </x:c>
      <x:c r="F571" s="7" t="str">
        <x:v>MF-23</x:v>
      </x:c>
      <x:c r="G571" s="7" t="str">
        <x:v>water ancestry</x:v>
      </x:c>
      <x:c r="H571" s="7" t="n">
        <x:v>1</x:v>
      </x:c>
      <x:c r="I571" s="7" t="str"/>
      <x:c r="J571" s="7" t="str"/>
      <x:c r="K571" s="7" t="str"/>
      <x:c r="L571" s="7" t="str"/>
      <x:c r="M571" s="7" t="str"/>
      <x:c r="N571" s="7" t="str"/>
      <x:c r="O571" s="7" t="str">
        <x:f>IF(N571="","OPEN",IF(OR(I571="",J571="",K571="",L571="",M571=""),"FAIL","PASS"))</x:f>
        <x:v>OPEN</x:v>
      </x:c>
    </x:row>
    <x:row r="572">
      <x:c r="B572" s="7" t="str">
        <x:v>CH-PEA-A-Y1-23-2</x:v>
      </x:c>
      <x:c r="C572" s="7" t="str">
        <x:v>PEA-A-Y1</x:v>
      </x:c>
      <x:c r="D572" s="7" t="str">
        <x:v>BLD-A</x:v>
      </x:c>
      <x:c r="E572" s="7" t="str">
        <x:v>BL-Y</x:v>
      </x:c>
      <x:c r="F572" s="7" t="str">
        <x:v>MF-23</x:v>
      </x:c>
      <x:c r="G572" s="7" t="str">
        <x:v>water ancestry</x:v>
      </x:c>
      <x:c r="H572" s="7" t="n">
        <x:v>2</x:v>
      </x:c>
      <x:c r="I572" s="7" t="str"/>
      <x:c r="J572" s="7" t="str"/>
      <x:c r="K572" s="7" t="str"/>
      <x:c r="L572" s="7" t="str"/>
      <x:c r="M572" s="7" t="str"/>
      <x:c r="N572" s="7" t="str"/>
      <x:c r="O572" s="7" t="str">
        <x:f>IF(N572="","OPEN",IF(OR(I572="",J572="",K572="",L572="",M572=""),"FAIL","PASS"))</x:f>
        <x:v>OPEN</x:v>
      </x:c>
    </x:row>
    <x:row r="573">
      <x:c r="B573" s="7" t="str">
        <x:v>CH-PEA-A-Y1-23-3</x:v>
      </x:c>
      <x:c r="C573" s="7" t="str">
        <x:v>PEA-A-Y1</x:v>
      </x:c>
      <x:c r="D573" s="7" t="str">
        <x:v>BLD-A</x:v>
      </x:c>
      <x:c r="E573" s="7" t="str">
        <x:v>BL-Y</x:v>
      </x:c>
      <x:c r="F573" s="7" t="str">
        <x:v>MF-23</x:v>
      </x:c>
      <x:c r="G573" s="7" t="str">
        <x:v>water ancestry</x:v>
      </x:c>
      <x:c r="H573" s="7" t="n">
        <x:v>3</x:v>
      </x:c>
      <x:c r="I573" s="7" t="str"/>
      <x:c r="J573" s="7" t="str"/>
      <x:c r="K573" s="7" t="str"/>
      <x:c r="L573" s="7" t="str"/>
      <x:c r="M573" s="7" t="str"/>
      <x:c r="N573" s="7" t="str"/>
      <x:c r="O573" s="7" t="str">
        <x:f>IF(N573="","OPEN",IF(OR(I573="",J573="",K573="",L573="",M573=""),"FAIL","PASS"))</x:f>
        <x:v>OPEN</x:v>
      </x:c>
    </x:row>
    <x:row r="574">
      <x:c r="B574" s="7" t="str">
        <x:v>CH-PEA-A-Y1-23-4</x:v>
      </x:c>
      <x:c r="C574" s="7" t="str">
        <x:v>PEA-A-Y1</x:v>
      </x:c>
      <x:c r="D574" s="7" t="str">
        <x:v>BLD-A</x:v>
      </x:c>
      <x:c r="E574" s="7" t="str">
        <x:v>BL-Y</x:v>
      </x:c>
      <x:c r="F574" s="7" t="str">
        <x:v>MF-23</x:v>
      </x:c>
      <x:c r="G574" s="7" t="str">
        <x:v>water ancestry</x:v>
      </x:c>
      <x:c r="H574" s="7" t="n">
        <x:v>4</x:v>
      </x:c>
      <x:c r="I574" s="7" t="str"/>
      <x:c r="J574" s="7" t="str"/>
      <x:c r="K574" s="7" t="str"/>
      <x:c r="L574" s="7" t="str"/>
      <x:c r="M574" s="7" t="str"/>
      <x:c r="N574" s="7" t="str"/>
      <x:c r="O574" s="7" t="str">
        <x:f>IF(N574="","OPEN",IF(OR(I574="",J574="",K574="",L574="",M574=""),"FAIL","PASS"))</x:f>
        <x:v>OPEN</x:v>
      </x:c>
    </x:row>
    <x:row r="575">
      <x:c r="B575" s="7" t="str">
        <x:v>CH-PEA-A-Y1-23-5</x:v>
      </x:c>
      <x:c r="C575" s="7" t="str">
        <x:v>PEA-A-Y1</x:v>
      </x:c>
      <x:c r="D575" s="7" t="str">
        <x:v>BLD-A</x:v>
      </x:c>
      <x:c r="E575" s="7" t="str">
        <x:v>BL-Y</x:v>
      </x:c>
      <x:c r="F575" s="7" t="str">
        <x:v>MF-23</x:v>
      </x:c>
      <x:c r="G575" s="7" t="str">
        <x:v>water ancestry</x:v>
      </x:c>
      <x:c r="H575" s="7" t="n">
        <x:v>5</x:v>
      </x:c>
      <x:c r="I575" s="7" t="str"/>
      <x:c r="J575" s="7" t="str"/>
      <x:c r="K575" s="7" t="str"/>
      <x:c r="L575" s="7" t="str"/>
      <x:c r="M575" s="7" t="str"/>
      <x:c r="N575" s="7" t="str"/>
      <x:c r="O575" s="7" t="str">
        <x:f>IF(N575="","OPEN",IF(OR(I575="",J575="",K575="",L575="",M575=""),"FAIL","PASS"))</x:f>
        <x:v>OPEN</x:v>
      </x:c>
    </x:row>
    <x:row r="576">
      <x:c r="B576" s="7" t="str">
        <x:v>CH-PEA-A-Y1-23-6</x:v>
      </x:c>
      <x:c r="C576" s="7" t="str">
        <x:v>PEA-A-Y1</x:v>
      </x:c>
      <x:c r="D576" s="7" t="str">
        <x:v>BLD-A</x:v>
      </x:c>
      <x:c r="E576" s="7" t="str">
        <x:v>BL-Y</x:v>
      </x:c>
      <x:c r="F576" s="7" t="str">
        <x:v>MF-23</x:v>
      </x:c>
      <x:c r="G576" s="7" t="str">
        <x:v>water ancestry</x:v>
      </x:c>
      <x:c r="H576" s="7" t="n">
        <x:v>6</x:v>
      </x:c>
      <x:c r="I576" s="7" t="str"/>
      <x:c r="J576" s="7" t="str"/>
      <x:c r="K576" s="7" t="str"/>
      <x:c r="L576" s="7" t="str"/>
      <x:c r="M576" s="7" t="str"/>
      <x:c r="N576" s="7" t="str"/>
      <x:c r="O576" s="7" t="str">
        <x:f>IF(N576="","OPEN",IF(OR(I576="",J576="",K576="",L576="",M576=""),"FAIL","PASS"))</x:f>
        <x:v>OPEN</x:v>
      </x:c>
    </x:row>
    <x:row r="577">
      <x:c r="B577" s="7" t="str">
        <x:v>CH-PEA-A-Y1-24-1</x:v>
      </x:c>
      <x:c r="C577" s="7" t="str">
        <x:v>PEA-A-Y1</x:v>
      </x:c>
      <x:c r="D577" s="7" t="str">
        <x:v>BLD-A</x:v>
      </x:c>
      <x:c r="E577" s="7" t="str">
        <x:v>BL-Y</x:v>
      </x:c>
      <x:c r="F577" s="7" t="str">
        <x:v>MF-24</x:v>
      </x:c>
      <x:c r="G577" s="7" t="str">
        <x:v>evidence health</x:v>
      </x:c>
      <x:c r="H577" s="7" t="n">
        <x:v>1</x:v>
      </x:c>
      <x:c r="I577" s="7" t="str"/>
      <x:c r="J577" s="7" t="str"/>
      <x:c r="K577" s="7" t="str"/>
      <x:c r="L577" s="7" t="str"/>
      <x:c r="M577" s="7" t="str"/>
      <x:c r="N577" s="7" t="str"/>
      <x:c r="O577" s="7" t="str">
        <x:f>IF(N577="","OPEN",IF(OR(I577="",J577="",K577="",L577="",M577=""),"FAIL","PASS"))</x:f>
        <x:v>OPEN</x:v>
      </x:c>
    </x:row>
    <x:row r="578">
      <x:c r="B578" s="7" t="str">
        <x:v>CH-PEA-A-Y1-24-2</x:v>
      </x:c>
      <x:c r="C578" s="7" t="str">
        <x:v>PEA-A-Y1</x:v>
      </x:c>
      <x:c r="D578" s="7" t="str">
        <x:v>BLD-A</x:v>
      </x:c>
      <x:c r="E578" s="7" t="str">
        <x:v>BL-Y</x:v>
      </x:c>
      <x:c r="F578" s="7" t="str">
        <x:v>MF-24</x:v>
      </x:c>
      <x:c r="G578" s="7" t="str">
        <x:v>evidence health</x:v>
      </x:c>
      <x:c r="H578" s="7" t="n">
        <x:v>2</x:v>
      </x:c>
      <x:c r="I578" s="7" t="str"/>
      <x:c r="J578" s="7" t="str"/>
      <x:c r="K578" s="7" t="str"/>
      <x:c r="L578" s="7" t="str"/>
      <x:c r="M578" s="7" t="str"/>
      <x:c r="N578" s="7" t="str"/>
      <x:c r="O578" s="7" t="str">
        <x:f>IF(N578="","OPEN",IF(OR(I578="",J578="",K578="",L578="",M578=""),"FAIL","PASS"))</x:f>
        <x:v>OPEN</x:v>
      </x:c>
    </x:row>
    <x:row r="579">
      <x:c r="B579" s="7" t="str">
        <x:v>CH-PEA-A-Y1-24-3</x:v>
      </x:c>
      <x:c r="C579" s="7" t="str">
        <x:v>PEA-A-Y1</x:v>
      </x:c>
      <x:c r="D579" s="7" t="str">
        <x:v>BLD-A</x:v>
      </x:c>
      <x:c r="E579" s="7" t="str">
        <x:v>BL-Y</x:v>
      </x:c>
      <x:c r="F579" s="7" t="str">
        <x:v>MF-24</x:v>
      </x:c>
      <x:c r="G579" s="7" t="str">
        <x:v>evidence health</x:v>
      </x:c>
      <x:c r="H579" s="7" t="n">
        <x:v>3</x:v>
      </x:c>
      <x:c r="I579" s="7" t="str"/>
      <x:c r="J579" s="7" t="str"/>
      <x:c r="K579" s="7" t="str"/>
      <x:c r="L579" s="7" t="str"/>
      <x:c r="M579" s="7" t="str"/>
      <x:c r="N579" s="7" t="str"/>
      <x:c r="O579" s="7" t="str">
        <x:f>IF(N579="","OPEN",IF(OR(I579="",J579="",K579="",L579="",M579=""),"FAIL","PASS"))</x:f>
        <x:v>OPEN</x:v>
      </x:c>
    </x:row>
    <x:row r="580">
      <x:c r="B580" s="7" t="str">
        <x:v>CH-PEA-A-Y1-24-4</x:v>
      </x:c>
      <x:c r="C580" s="7" t="str">
        <x:v>PEA-A-Y1</x:v>
      </x:c>
      <x:c r="D580" s="7" t="str">
        <x:v>BLD-A</x:v>
      </x:c>
      <x:c r="E580" s="7" t="str">
        <x:v>BL-Y</x:v>
      </x:c>
      <x:c r="F580" s="7" t="str">
        <x:v>MF-24</x:v>
      </x:c>
      <x:c r="G580" s="7" t="str">
        <x:v>evidence health</x:v>
      </x:c>
      <x:c r="H580" s="7" t="n">
        <x:v>4</x:v>
      </x:c>
      <x:c r="I580" s="7" t="str"/>
      <x:c r="J580" s="7" t="str"/>
      <x:c r="K580" s="7" t="str"/>
      <x:c r="L580" s="7" t="str"/>
      <x:c r="M580" s="7" t="str"/>
      <x:c r="N580" s="7" t="str"/>
      <x:c r="O580" s="7" t="str">
        <x:f>IF(N580="","OPEN",IF(OR(I580="",J580="",K580="",L580="",M580=""),"FAIL","PASS"))</x:f>
        <x:v>OPEN</x:v>
      </x:c>
    </x:row>
    <x:row r="581">
      <x:c r="B581" s="7" t="str">
        <x:v>CH-PEA-A-Y1-24-5</x:v>
      </x:c>
      <x:c r="C581" s="7" t="str">
        <x:v>PEA-A-Y1</x:v>
      </x:c>
      <x:c r="D581" s="7" t="str">
        <x:v>BLD-A</x:v>
      </x:c>
      <x:c r="E581" s="7" t="str">
        <x:v>BL-Y</x:v>
      </x:c>
      <x:c r="F581" s="7" t="str">
        <x:v>MF-24</x:v>
      </x:c>
      <x:c r="G581" s="7" t="str">
        <x:v>evidence health</x:v>
      </x:c>
      <x:c r="H581" s="7" t="n">
        <x:v>5</x:v>
      </x:c>
      <x:c r="I581" s="7" t="str"/>
      <x:c r="J581" s="7" t="str"/>
      <x:c r="K581" s="7" t="str"/>
      <x:c r="L581" s="7" t="str"/>
      <x:c r="M581" s="7" t="str"/>
      <x:c r="N581" s="7" t="str"/>
      <x:c r="O581" s="7" t="str">
        <x:f>IF(N581="","OPEN",IF(OR(I581="",J581="",K581="",L581="",M581=""),"FAIL","PASS"))</x:f>
        <x:v>OPEN</x:v>
      </x:c>
    </x:row>
    <x:row r="582">
      <x:c r="B582" s="7" t="str">
        <x:v>CH-PEA-A-Y1-24-6</x:v>
      </x:c>
      <x:c r="C582" s="7" t="str">
        <x:v>PEA-A-Y1</x:v>
      </x:c>
      <x:c r="D582" s="7" t="str">
        <x:v>BLD-A</x:v>
      </x:c>
      <x:c r="E582" s="7" t="str">
        <x:v>BL-Y</x:v>
      </x:c>
      <x:c r="F582" s="7" t="str">
        <x:v>MF-24</x:v>
      </x:c>
      <x:c r="G582" s="7" t="str">
        <x:v>evidence health</x:v>
      </x:c>
      <x:c r="H582" s="7" t="n">
        <x:v>6</x:v>
      </x:c>
      <x:c r="I582" s="7" t="str"/>
      <x:c r="J582" s="7" t="str"/>
      <x:c r="K582" s="7" t="str"/>
      <x:c r="L582" s="7" t="str"/>
      <x:c r="M582" s="7" t="str"/>
      <x:c r="N582" s="7" t="str"/>
      <x:c r="O582" s="7" t="str">
        <x:f>IF(N582="","OPEN",IF(OR(I582="",J582="",K582="",L582="",M582=""),"FAIL","PASS"))</x:f>
        <x:v>OPEN</x:v>
      </x:c>
    </x:row>
    <x:row r="583">
      <x:c r="B583" s="7" t="str">
        <x:v>CH-PEA-A-Y2-01-1</x:v>
      </x:c>
      <x:c r="C583" s="7" t="str">
        <x:v>PEA-A-Y2</x:v>
      </x:c>
      <x:c r="D583" s="7" t="str">
        <x:v>BLD-A</x:v>
      </x:c>
      <x:c r="E583" s="7" t="str">
        <x:v>BL-Y</x:v>
      </x:c>
      <x:c r="F583" s="7" t="str">
        <x:v>MF-01</x:v>
      </x:c>
      <x:c r="G583" s="7" t="str">
        <x:v>source vessel mass</x:v>
      </x:c>
      <x:c r="H583" s="7" t="n">
        <x:v>1</x:v>
      </x:c>
      <x:c r="I583" s="7" t="str"/>
      <x:c r="J583" s="7" t="str"/>
      <x:c r="K583" s="7" t="str"/>
      <x:c r="L583" s="7" t="str"/>
      <x:c r="M583" s="7" t="str"/>
      <x:c r="N583" s="7" t="str"/>
      <x:c r="O583" s="7" t="str">
        <x:f>IF(N583="","OPEN",IF(OR(I583="",J583="",K583="",L583="",M583=""),"FAIL","PASS"))</x:f>
        <x:v>OPEN</x:v>
      </x:c>
    </x:row>
    <x:row r="584">
      <x:c r="B584" s="7" t="str">
        <x:v>CH-PEA-A-Y2-01-2</x:v>
      </x:c>
      <x:c r="C584" s="7" t="str">
        <x:v>PEA-A-Y2</x:v>
      </x:c>
      <x:c r="D584" s="7" t="str">
        <x:v>BLD-A</x:v>
      </x:c>
      <x:c r="E584" s="7" t="str">
        <x:v>BL-Y</x:v>
      </x:c>
      <x:c r="F584" s="7" t="str">
        <x:v>MF-01</x:v>
      </x:c>
      <x:c r="G584" s="7" t="str">
        <x:v>source vessel mass</x:v>
      </x:c>
      <x:c r="H584" s="7" t="n">
        <x:v>2</x:v>
      </x:c>
      <x:c r="I584" s="7" t="str"/>
      <x:c r="J584" s="7" t="str"/>
      <x:c r="K584" s="7" t="str"/>
      <x:c r="L584" s="7" t="str"/>
      <x:c r="M584" s="7" t="str"/>
      <x:c r="N584" s="7" t="str"/>
      <x:c r="O584" s="7" t="str">
        <x:f>IF(N584="","OPEN",IF(OR(I584="",J584="",K584="",L584="",M584=""),"FAIL","PASS"))</x:f>
        <x:v>OPEN</x:v>
      </x:c>
    </x:row>
    <x:row r="585">
      <x:c r="B585" s="7" t="str">
        <x:v>CH-PEA-A-Y2-01-3</x:v>
      </x:c>
      <x:c r="C585" s="7" t="str">
        <x:v>PEA-A-Y2</x:v>
      </x:c>
      <x:c r="D585" s="7" t="str">
        <x:v>BLD-A</x:v>
      </x:c>
      <x:c r="E585" s="7" t="str">
        <x:v>BL-Y</x:v>
      </x:c>
      <x:c r="F585" s="7" t="str">
        <x:v>MF-01</x:v>
      </x:c>
      <x:c r="G585" s="7" t="str">
        <x:v>source vessel mass</x:v>
      </x:c>
      <x:c r="H585" s="7" t="n">
        <x:v>3</x:v>
      </x:c>
      <x:c r="I585" s="7" t="str"/>
      <x:c r="J585" s="7" t="str"/>
      <x:c r="K585" s="7" t="str"/>
      <x:c r="L585" s="7" t="str"/>
      <x:c r="M585" s="7" t="str"/>
      <x:c r="N585" s="7" t="str"/>
      <x:c r="O585" s="7" t="str">
        <x:f>IF(N585="","OPEN",IF(OR(I585="",J585="",K585="",L585="",M585=""),"FAIL","PASS"))</x:f>
        <x:v>OPEN</x:v>
      </x:c>
    </x:row>
    <x:row r="586">
      <x:c r="B586" s="7" t="str">
        <x:v>CH-PEA-A-Y2-01-4</x:v>
      </x:c>
      <x:c r="C586" s="7" t="str">
        <x:v>PEA-A-Y2</x:v>
      </x:c>
      <x:c r="D586" s="7" t="str">
        <x:v>BLD-A</x:v>
      </x:c>
      <x:c r="E586" s="7" t="str">
        <x:v>BL-Y</x:v>
      </x:c>
      <x:c r="F586" s="7" t="str">
        <x:v>MF-01</x:v>
      </x:c>
      <x:c r="G586" s="7" t="str">
        <x:v>source vessel mass</x:v>
      </x:c>
      <x:c r="H586" s="7" t="n">
        <x:v>4</x:v>
      </x:c>
      <x:c r="I586" s="7" t="str"/>
      <x:c r="J586" s="7" t="str"/>
      <x:c r="K586" s="7" t="str"/>
      <x:c r="L586" s="7" t="str"/>
      <x:c r="M586" s="7" t="str"/>
      <x:c r="N586" s="7" t="str"/>
      <x:c r="O586" s="7" t="str">
        <x:f>IF(N586="","OPEN",IF(OR(I586="",J586="",K586="",L586="",M586=""),"FAIL","PASS"))</x:f>
        <x:v>OPEN</x:v>
      </x:c>
    </x:row>
    <x:row r="587">
      <x:c r="B587" s="7" t="str">
        <x:v>CH-PEA-A-Y2-01-5</x:v>
      </x:c>
      <x:c r="C587" s="7" t="str">
        <x:v>PEA-A-Y2</x:v>
      </x:c>
      <x:c r="D587" s="7" t="str">
        <x:v>BLD-A</x:v>
      </x:c>
      <x:c r="E587" s="7" t="str">
        <x:v>BL-Y</x:v>
      </x:c>
      <x:c r="F587" s="7" t="str">
        <x:v>MF-01</x:v>
      </x:c>
      <x:c r="G587" s="7" t="str">
        <x:v>source vessel mass</x:v>
      </x:c>
      <x:c r="H587" s="7" t="n">
        <x:v>5</x:v>
      </x:c>
      <x:c r="I587" s="7" t="str"/>
      <x:c r="J587" s="7" t="str"/>
      <x:c r="K587" s="7" t="str"/>
      <x:c r="L587" s="7" t="str"/>
      <x:c r="M587" s="7" t="str"/>
      <x:c r="N587" s="7" t="str"/>
      <x:c r="O587" s="7" t="str">
        <x:f>IF(N587="","OPEN",IF(OR(I587="",J587="",K587="",L587="",M587=""),"FAIL","PASS"))</x:f>
        <x:v>OPEN</x:v>
      </x:c>
    </x:row>
    <x:row r="588">
      <x:c r="B588" s="7" t="str">
        <x:v>CH-PEA-A-Y2-01-6</x:v>
      </x:c>
      <x:c r="C588" s="7" t="str">
        <x:v>PEA-A-Y2</x:v>
      </x:c>
      <x:c r="D588" s="7" t="str">
        <x:v>BLD-A</x:v>
      </x:c>
      <x:c r="E588" s="7" t="str">
        <x:v>BL-Y</x:v>
      </x:c>
      <x:c r="F588" s="7" t="str">
        <x:v>MF-01</x:v>
      </x:c>
      <x:c r="G588" s="7" t="str">
        <x:v>source vessel mass</x:v>
      </x:c>
      <x:c r="H588" s="7" t="n">
        <x:v>6</x:v>
      </x:c>
      <x:c r="I588" s="7" t="str"/>
      <x:c r="J588" s="7" t="str"/>
      <x:c r="K588" s="7" t="str"/>
      <x:c r="L588" s="7" t="str"/>
      <x:c r="M588" s="7" t="str"/>
      <x:c r="N588" s="7" t="str"/>
      <x:c r="O588" s="7" t="str">
        <x:f>IF(N588="","OPEN",IF(OR(I588="",J588="",K588="",L588="",M588=""),"FAIL","PASS"))</x:f>
        <x:v>OPEN</x:v>
      </x:c>
    </x:row>
    <x:row r="589">
      <x:c r="B589" s="7" t="str">
        <x:v>CH-PEA-A-Y2-02-1</x:v>
      </x:c>
      <x:c r="C589" s="7" t="str">
        <x:v>PEA-A-Y2</x:v>
      </x:c>
      <x:c r="D589" s="7" t="str">
        <x:v>BLD-A</x:v>
      </x:c>
      <x:c r="E589" s="7" t="str">
        <x:v>BL-Y</x:v>
      </x:c>
      <x:c r="F589" s="7" t="str">
        <x:v>MF-02</x:v>
      </x:c>
      <x:c r="G589" s="7" t="str">
        <x:v>transfer mass</x:v>
      </x:c>
      <x:c r="H589" s="7" t="n">
        <x:v>1</x:v>
      </x:c>
      <x:c r="I589" s="7" t="str"/>
      <x:c r="J589" s="7" t="str"/>
      <x:c r="K589" s="7" t="str"/>
      <x:c r="L589" s="7" t="str"/>
      <x:c r="M589" s="7" t="str"/>
      <x:c r="N589" s="7" t="str"/>
      <x:c r="O589" s="7" t="str">
        <x:f>IF(N589="","OPEN",IF(OR(I589="",J589="",K589="",L589="",M589=""),"FAIL","PASS"))</x:f>
        <x:v>OPEN</x:v>
      </x:c>
    </x:row>
    <x:row r="590">
      <x:c r="B590" s="7" t="str">
        <x:v>CH-PEA-A-Y2-02-2</x:v>
      </x:c>
      <x:c r="C590" s="7" t="str">
        <x:v>PEA-A-Y2</x:v>
      </x:c>
      <x:c r="D590" s="7" t="str">
        <x:v>BLD-A</x:v>
      </x:c>
      <x:c r="E590" s="7" t="str">
        <x:v>BL-Y</x:v>
      </x:c>
      <x:c r="F590" s="7" t="str">
        <x:v>MF-02</x:v>
      </x:c>
      <x:c r="G590" s="7" t="str">
        <x:v>transfer mass</x:v>
      </x:c>
      <x:c r="H590" s="7" t="n">
        <x:v>2</x:v>
      </x:c>
      <x:c r="I590" s="7" t="str"/>
      <x:c r="J590" s="7" t="str"/>
      <x:c r="K590" s="7" t="str"/>
      <x:c r="L590" s="7" t="str"/>
      <x:c r="M590" s="7" t="str"/>
      <x:c r="N590" s="7" t="str"/>
      <x:c r="O590" s="7" t="str">
        <x:f>IF(N590="","OPEN",IF(OR(I590="",J590="",K590="",L590="",M590=""),"FAIL","PASS"))</x:f>
        <x:v>OPEN</x:v>
      </x:c>
    </x:row>
    <x:row r="591">
      <x:c r="B591" s="7" t="str">
        <x:v>CH-PEA-A-Y2-02-3</x:v>
      </x:c>
      <x:c r="C591" s="7" t="str">
        <x:v>PEA-A-Y2</x:v>
      </x:c>
      <x:c r="D591" s="7" t="str">
        <x:v>BLD-A</x:v>
      </x:c>
      <x:c r="E591" s="7" t="str">
        <x:v>BL-Y</x:v>
      </x:c>
      <x:c r="F591" s="7" t="str">
        <x:v>MF-02</x:v>
      </x:c>
      <x:c r="G591" s="7" t="str">
        <x:v>transfer mass</x:v>
      </x:c>
      <x:c r="H591" s="7" t="n">
        <x:v>3</x:v>
      </x:c>
      <x:c r="I591" s="7" t="str"/>
      <x:c r="J591" s="7" t="str"/>
      <x:c r="K591" s="7" t="str"/>
      <x:c r="L591" s="7" t="str"/>
      <x:c r="M591" s="7" t="str"/>
      <x:c r="N591" s="7" t="str"/>
      <x:c r="O591" s="7" t="str">
        <x:f>IF(N591="","OPEN",IF(OR(I591="",J591="",K591="",L591="",M591=""),"FAIL","PASS"))</x:f>
        <x:v>OPEN</x:v>
      </x:c>
    </x:row>
    <x:row r="592">
      <x:c r="B592" s="7" t="str">
        <x:v>CH-PEA-A-Y2-02-4</x:v>
      </x:c>
      <x:c r="C592" s="7" t="str">
        <x:v>PEA-A-Y2</x:v>
      </x:c>
      <x:c r="D592" s="7" t="str">
        <x:v>BLD-A</x:v>
      </x:c>
      <x:c r="E592" s="7" t="str">
        <x:v>BL-Y</x:v>
      </x:c>
      <x:c r="F592" s="7" t="str">
        <x:v>MF-02</x:v>
      </x:c>
      <x:c r="G592" s="7" t="str">
        <x:v>transfer mass</x:v>
      </x:c>
      <x:c r="H592" s="7" t="n">
        <x:v>4</x:v>
      </x:c>
      <x:c r="I592" s="7" t="str"/>
      <x:c r="J592" s="7" t="str"/>
      <x:c r="K592" s="7" t="str"/>
      <x:c r="L592" s="7" t="str"/>
      <x:c r="M592" s="7" t="str"/>
      <x:c r="N592" s="7" t="str"/>
      <x:c r="O592" s="7" t="str">
        <x:f>IF(N592="","OPEN",IF(OR(I592="",J592="",K592="",L592="",M592=""),"FAIL","PASS"))</x:f>
        <x:v>OPEN</x:v>
      </x:c>
    </x:row>
    <x:row r="593">
      <x:c r="B593" s="7" t="str">
        <x:v>CH-PEA-A-Y2-02-5</x:v>
      </x:c>
      <x:c r="C593" s="7" t="str">
        <x:v>PEA-A-Y2</x:v>
      </x:c>
      <x:c r="D593" s="7" t="str">
        <x:v>BLD-A</x:v>
      </x:c>
      <x:c r="E593" s="7" t="str">
        <x:v>BL-Y</x:v>
      </x:c>
      <x:c r="F593" s="7" t="str">
        <x:v>MF-02</x:v>
      </x:c>
      <x:c r="G593" s="7" t="str">
        <x:v>transfer mass</x:v>
      </x:c>
      <x:c r="H593" s="7" t="n">
        <x:v>5</x:v>
      </x:c>
      <x:c r="I593" s="7" t="str"/>
      <x:c r="J593" s="7" t="str"/>
      <x:c r="K593" s="7" t="str"/>
      <x:c r="L593" s="7" t="str"/>
      <x:c r="M593" s="7" t="str"/>
      <x:c r="N593" s="7" t="str"/>
      <x:c r="O593" s="7" t="str">
        <x:f>IF(N593="","OPEN",IF(OR(I593="",J593="",K593="",L593="",M593=""),"FAIL","PASS"))</x:f>
        <x:v>OPEN</x:v>
      </x:c>
    </x:row>
    <x:row r="594">
      <x:c r="B594" s="7" t="str">
        <x:v>CH-PEA-A-Y2-02-6</x:v>
      </x:c>
      <x:c r="C594" s="7" t="str">
        <x:v>PEA-A-Y2</x:v>
      </x:c>
      <x:c r="D594" s="7" t="str">
        <x:v>BLD-A</x:v>
      </x:c>
      <x:c r="E594" s="7" t="str">
        <x:v>BL-Y</x:v>
      </x:c>
      <x:c r="F594" s="7" t="str">
        <x:v>MF-02</x:v>
      </x:c>
      <x:c r="G594" s="7" t="str">
        <x:v>transfer mass</x:v>
      </x:c>
      <x:c r="H594" s="7" t="n">
        <x:v>6</x:v>
      </x:c>
      <x:c r="I594" s="7" t="str"/>
      <x:c r="J594" s="7" t="str"/>
      <x:c r="K594" s="7" t="str"/>
      <x:c r="L594" s="7" t="str"/>
      <x:c r="M594" s="7" t="str"/>
      <x:c r="N594" s="7" t="str"/>
      <x:c r="O594" s="7" t="str">
        <x:f>IF(N594="","OPEN",IF(OR(I594="",J594="",K594="",L594="",M594=""),"FAIL","PASS"))</x:f>
        <x:v>OPEN</x:v>
      </x:c>
    </x:row>
    <x:row r="595">
      <x:c r="B595" s="7" t="str">
        <x:v>CH-PEA-A-Y2-03-1</x:v>
      </x:c>
      <x:c r="C595" s="7" t="str">
        <x:v>PEA-A-Y2</x:v>
      </x:c>
      <x:c r="D595" s="7" t="str">
        <x:v>BLD-A</x:v>
      </x:c>
      <x:c r="E595" s="7" t="str">
        <x:v>BL-Y</x:v>
      </x:c>
      <x:c r="F595" s="7" t="str">
        <x:v>MF-03</x:v>
      </x:c>
      <x:c r="G595" s="7" t="str">
        <x:v>source pressure</x:v>
      </x:c>
      <x:c r="H595" s="7" t="n">
        <x:v>1</x:v>
      </x:c>
      <x:c r="I595" s="7" t="str"/>
      <x:c r="J595" s="7" t="str"/>
      <x:c r="K595" s="7" t="str"/>
      <x:c r="L595" s="7" t="str"/>
      <x:c r="M595" s="7" t="str"/>
      <x:c r="N595" s="7" t="str"/>
      <x:c r="O595" s="7" t="str">
        <x:f>IF(N595="","OPEN",IF(OR(I595="",J595="",K595="",L595="",M595=""),"FAIL","PASS"))</x:f>
        <x:v>OPEN</x:v>
      </x:c>
    </x:row>
    <x:row r="596">
      <x:c r="B596" s="7" t="str">
        <x:v>CH-PEA-A-Y2-03-2</x:v>
      </x:c>
      <x:c r="C596" s="7" t="str">
        <x:v>PEA-A-Y2</x:v>
      </x:c>
      <x:c r="D596" s="7" t="str">
        <x:v>BLD-A</x:v>
      </x:c>
      <x:c r="E596" s="7" t="str">
        <x:v>BL-Y</x:v>
      </x:c>
      <x:c r="F596" s="7" t="str">
        <x:v>MF-03</x:v>
      </x:c>
      <x:c r="G596" s="7" t="str">
        <x:v>source pressure</x:v>
      </x:c>
      <x:c r="H596" s="7" t="n">
        <x:v>2</x:v>
      </x:c>
      <x:c r="I596" s="7" t="str"/>
      <x:c r="J596" s="7" t="str"/>
      <x:c r="K596" s="7" t="str"/>
      <x:c r="L596" s="7" t="str"/>
      <x:c r="M596" s="7" t="str"/>
      <x:c r="N596" s="7" t="str"/>
      <x:c r="O596" s="7" t="str">
        <x:f>IF(N596="","OPEN",IF(OR(I596="",J596="",K596="",L596="",M596=""),"FAIL","PASS"))</x:f>
        <x:v>OPEN</x:v>
      </x:c>
    </x:row>
    <x:row r="597">
      <x:c r="B597" s="7" t="str">
        <x:v>CH-PEA-A-Y2-03-3</x:v>
      </x:c>
      <x:c r="C597" s="7" t="str">
        <x:v>PEA-A-Y2</x:v>
      </x:c>
      <x:c r="D597" s="7" t="str">
        <x:v>BLD-A</x:v>
      </x:c>
      <x:c r="E597" s="7" t="str">
        <x:v>BL-Y</x:v>
      </x:c>
      <x:c r="F597" s="7" t="str">
        <x:v>MF-03</x:v>
      </x:c>
      <x:c r="G597" s="7" t="str">
        <x:v>source pressure</x:v>
      </x:c>
      <x:c r="H597" s="7" t="n">
        <x:v>3</x:v>
      </x:c>
      <x:c r="I597" s="7" t="str"/>
      <x:c r="J597" s="7" t="str"/>
      <x:c r="K597" s="7" t="str"/>
      <x:c r="L597" s="7" t="str"/>
      <x:c r="M597" s="7" t="str"/>
      <x:c r="N597" s="7" t="str"/>
      <x:c r="O597" s="7" t="str">
        <x:f>IF(N597="","OPEN",IF(OR(I597="",J597="",K597="",L597="",M597=""),"FAIL","PASS"))</x:f>
        <x:v>OPEN</x:v>
      </x:c>
    </x:row>
    <x:row r="598">
      <x:c r="B598" s="7" t="str">
        <x:v>CH-PEA-A-Y2-03-4</x:v>
      </x:c>
      <x:c r="C598" s="7" t="str">
        <x:v>PEA-A-Y2</x:v>
      </x:c>
      <x:c r="D598" s="7" t="str">
        <x:v>BLD-A</x:v>
      </x:c>
      <x:c r="E598" s="7" t="str">
        <x:v>BL-Y</x:v>
      </x:c>
      <x:c r="F598" s="7" t="str">
        <x:v>MF-03</x:v>
      </x:c>
      <x:c r="G598" s="7" t="str">
        <x:v>source pressure</x:v>
      </x:c>
      <x:c r="H598" s="7" t="n">
        <x:v>4</x:v>
      </x:c>
      <x:c r="I598" s="7" t="str"/>
      <x:c r="J598" s="7" t="str"/>
      <x:c r="K598" s="7" t="str"/>
      <x:c r="L598" s="7" t="str"/>
      <x:c r="M598" s="7" t="str"/>
      <x:c r="N598" s="7" t="str"/>
      <x:c r="O598" s="7" t="str">
        <x:f>IF(N598="","OPEN",IF(OR(I598="",J598="",K598="",L598="",M598=""),"FAIL","PASS"))</x:f>
        <x:v>OPEN</x:v>
      </x:c>
    </x:row>
    <x:row r="599">
      <x:c r="B599" s="7" t="str">
        <x:v>CH-PEA-A-Y2-03-5</x:v>
      </x:c>
      <x:c r="C599" s="7" t="str">
        <x:v>PEA-A-Y2</x:v>
      </x:c>
      <x:c r="D599" s="7" t="str">
        <x:v>BLD-A</x:v>
      </x:c>
      <x:c r="E599" s="7" t="str">
        <x:v>BL-Y</x:v>
      </x:c>
      <x:c r="F599" s="7" t="str">
        <x:v>MF-03</x:v>
      </x:c>
      <x:c r="G599" s="7" t="str">
        <x:v>source pressure</x:v>
      </x:c>
      <x:c r="H599" s="7" t="n">
        <x:v>5</x:v>
      </x:c>
      <x:c r="I599" s="7" t="str"/>
      <x:c r="J599" s="7" t="str"/>
      <x:c r="K599" s="7" t="str"/>
      <x:c r="L599" s="7" t="str"/>
      <x:c r="M599" s="7" t="str"/>
      <x:c r="N599" s="7" t="str"/>
      <x:c r="O599" s="7" t="str">
        <x:f>IF(N599="","OPEN",IF(OR(I599="",J599="",K599="",L599="",M599=""),"FAIL","PASS"))</x:f>
        <x:v>OPEN</x:v>
      </x:c>
    </x:row>
    <x:row r="600">
      <x:c r="B600" s="7" t="str">
        <x:v>CH-PEA-A-Y2-03-6</x:v>
      </x:c>
      <x:c r="C600" s="7" t="str">
        <x:v>PEA-A-Y2</x:v>
      </x:c>
      <x:c r="D600" s="7" t="str">
        <x:v>BLD-A</x:v>
      </x:c>
      <x:c r="E600" s="7" t="str">
        <x:v>BL-Y</x:v>
      </x:c>
      <x:c r="F600" s="7" t="str">
        <x:v>MF-03</x:v>
      </x:c>
      <x:c r="G600" s="7" t="str">
        <x:v>source pressure</x:v>
      </x:c>
      <x:c r="H600" s="7" t="n">
        <x:v>6</x:v>
      </x:c>
      <x:c r="I600" s="7" t="str"/>
      <x:c r="J600" s="7" t="str"/>
      <x:c r="K600" s="7" t="str"/>
      <x:c r="L600" s="7" t="str"/>
      <x:c r="M600" s="7" t="str"/>
      <x:c r="N600" s="7" t="str"/>
      <x:c r="O600" s="7" t="str">
        <x:f>IF(N600="","OPEN",IF(OR(I600="",J600="",K600="",L600="",M600=""),"FAIL","PASS"))</x:f>
        <x:v>OPEN</x:v>
      </x:c>
    </x:row>
    <x:row r="601">
      <x:c r="B601" s="7" t="str">
        <x:v>CH-PEA-A-Y2-04-1</x:v>
      </x:c>
      <x:c r="C601" s="7" t="str">
        <x:v>PEA-A-Y2</x:v>
      </x:c>
      <x:c r="D601" s="7" t="str">
        <x:v>BLD-A</x:v>
      </x:c>
      <x:c r="E601" s="7" t="str">
        <x:v>BL-Y</x:v>
      </x:c>
      <x:c r="F601" s="7" t="str">
        <x:v>MF-04</x:v>
      </x:c>
      <x:c r="G601" s="7" t="str">
        <x:v>source temperature</x:v>
      </x:c>
      <x:c r="H601" s="7" t="n">
        <x:v>1</x:v>
      </x:c>
      <x:c r="I601" s="7" t="str"/>
      <x:c r="J601" s="7" t="str"/>
      <x:c r="K601" s="7" t="str"/>
      <x:c r="L601" s="7" t="str"/>
      <x:c r="M601" s="7" t="str"/>
      <x:c r="N601" s="7" t="str"/>
      <x:c r="O601" s="7" t="str">
        <x:f>IF(N601="","OPEN",IF(OR(I601="",J601="",K601="",L601="",M601=""),"FAIL","PASS"))</x:f>
        <x:v>OPEN</x:v>
      </x:c>
    </x:row>
    <x:row r="602">
      <x:c r="B602" s="7" t="str">
        <x:v>CH-PEA-A-Y2-04-2</x:v>
      </x:c>
      <x:c r="C602" s="7" t="str">
        <x:v>PEA-A-Y2</x:v>
      </x:c>
      <x:c r="D602" s="7" t="str">
        <x:v>BLD-A</x:v>
      </x:c>
      <x:c r="E602" s="7" t="str">
        <x:v>BL-Y</x:v>
      </x:c>
      <x:c r="F602" s="7" t="str">
        <x:v>MF-04</x:v>
      </x:c>
      <x:c r="G602" s="7" t="str">
        <x:v>source temperature</x:v>
      </x:c>
      <x:c r="H602" s="7" t="n">
        <x:v>2</x:v>
      </x:c>
      <x:c r="I602" s="7" t="str"/>
      <x:c r="J602" s="7" t="str"/>
      <x:c r="K602" s="7" t="str"/>
      <x:c r="L602" s="7" t="str"/>
      <x:c r="M602" s="7" t="str"/>
      <x:c r="N602" s="7" t="str"/>
      <x:c r="O602" s="7" t="str">
        <x:f>IF(N602="","OPEN",IF(OR(I602="",J602="",K602="",L602="",M602=""),"FAIL","PASS"))</x:f>
        <x:v>OPEN</x:v>
      </x:c>
    </x:row>
    <x:row r="603">
      <x:c r="B603" s="7" t="str">
        <x:v>CH-PEA-A-Y2-04-3</x:v>
      </x:c>
      <x:c r="C603" s="7" t="str">
        <x:v>PEA-A-Y2</x:v>
      </x:c>
      <x:c r="D603" s="7" t="str">
        <x:v>BLD-A</x:v>
      </x:c>
      <x:c r="E603" s="7" t="str">
        <x:v>BL-Y</x:v>
      </x:c>
      <x:c r="F603" s="7" t="str">
        <x:v>MF-04</x:v>
      </x:c>
      <x:c r="G603" s="7" t="str">
        <x:v>source temperature</x:v>
      </x:c>
      <x:c r="H603" s="7" t="n">
        <x:v>3</x:v>
      </x:c>
      <x:c r="I603" s="7" t="str"/>
      <x:c r="J603" s="7" t="str"/>
      <x:c r="K603" s="7" t="str"/>
      <x:c r="L603" s="7" t="str"/>
      <x:c r="M603" s="7" t="str"/>
      <x:c r="N603" s="7" t="str"/>
      <x:c r="O603" s="7" t="str">
        <x:f>IF(N603="","OPEN",IF(OR(I603="",J603="",K603="",L603="",M603=""),"FAIL","PASS"))</x:f>
        <x:v>OPEN</x:v>
      </x:c>
    </x:row>
    <x:row r="604">
      <x:c r="B604" s="7" t="str">
        <x:v>CH-PEA-A-Y2-04-4</x:v>
      </x:c>
      <x:c r="C604" s="7" t="str">
        <x:v>PEA-A-Y2</x:v>
      </x:c>
      <x:c r="D604" s="7" t="str">
        <x:v>BLD-A</x:v>
      </x:c>
      <x:c r="E604" s="7" t="str">
        <x:v>BL-Y</x:v>
      </x:c>
      <x:c r="F604" s="7" t="str">
        <x:v>MF-04</x:v>
      </x:c>
      <x:c r="G604" s="7" t="str">
        <x:v>source temperature</x:v>
      </x:c>
      <x:c r="H604" s="7" t="n">
        <x:v>4</x:v>
      </x:c>
      <x:c r="I604" s="7" t="str"/>
      <x:c r="J604" s="7" t="str"/>
      <x:c r="K604" s="7" t="str"/>
      <x:c r="L604" s="7" t="str"/>
      <x:c r="M604" s="7" t="str"/>
      <x:c r="N604" s="7" t="str"/>
      <x:c r="O604" s="7" t="str">
        <x:f>IF(N604="","OPEN",IF(OR(I604="",J604="",K604="",L604="",M604=""),"FAIL","PASS"))</x:f>
        <x:v>OPEN</x:v>
      </x:c>
    </x:row>
    <x:row r="605">
      <x:c r="B605" s="7" t="str">
        <x:v>CH-PEA-A-Y2-04-5</x:v>
      </x:c>
      <x:c r="C605" s="7" t="str">
        <x:v>PEA-A-Y2</x:v>
      </x:c>
      <x:c r="D605" s="7" t="str">
        <x:v>BLD-A</x:v>
      </x:c>
      <x:c r="E605" s="7" t="str">
        <x:v>BL-Y</x:v>
      </x:c>
      <x:c r="F605" s="7" t="str">
        <x:v>MF-04</x:v>
      </x:c>
      <x:c r="G605" s="7" t="str">
        <x:v>source temperature</x:v>
      </x:c>
      <x:c r="H605" s="7" t="n">
        <x:v>5</x:v>
      </x:c>
      <x:c r="I605" s="7" t="str"/>
      <x:c r="J605" s="7" t="str"/>
      <x:c r="K605" s="7" t="str"/>
      <x:c r="L605" s="7" t="str"/>
      <x:c r="M605" s="7" t="str"/>
      <x:c r="N605" s="7" t="str"/>
      <x:c r="O605" s="7" t="str">
        <x:f>IF(N605="","OPEN",IF(OR(I605="",J605="",K605="",L605="",M605=""),"FAIL","PASS"))</x:f>
        <x:v>OPEN</x:v>
      </x:c>
    </x:row>
    <x:row r="606">
      <x:c r="B606" s="7" t="str">
        <x:v>CH-PEA-A-Y2-04-6</x:v>
      </x:c>
      <x:c r="C606" s="7" t="str">
        <x:v>PEA-A-Y2</x:v>
      </x:c>
      <x:c r="D606" s="7" t="str">
        <x:v>BLD-A</x:v>
      </x:c>
      <x:c r="E606" s="7" t="str">
        <x:v>BL-Y</x:v>
      </x:c>
      <x:c r="F606" s="7" t="str">
        <x:v>MF-04</x:v>
      </x:c>
      <x:c r="G606" s="7" t="str">
        <x:v>source temperature</x:v>
      </x:c>
      <x:c r="H606" s="7" t="n">
        <x:v>6</x:v>
      </x:c>
      <x:c r="I606" s="7" t="str"/>
      <x:c r="J606" s="7" t="str"/>
      <x:c r="K606" s="7" t="str"/>
      <x:c r="L606" s="7" t="str"/>
      <x:c r="M606" s="7" t="str"/>
      <x:c r="N606" s="7" t="str"/>
      <x:c r="O606" s="7" t="str">
        <x:f>IF(N606="","OPEN",IF(OR(I606="",J606="",K606="",L606="",M606=""),"FAIL","PASS"))</x:f>
        <x:v>OPEN</x:v>
      </x:c>
    </x:row>
    <x:row r="607">
      <x:c r="B607" s="7" t="str">
        <x:v>CH-PEA-A-Y2-05-1</x:v>
      </x:c>
      <x:c r="C607" s="7" t="str">
        <x:v>PEA-A-Y2</x:v>
      </x:c>
      <x:c r="D607" s="7" t="str">
        <x:v>BLD-A</x:v>
      </x:c>
      <x:c r="E607" s="7" t="str">
        <x:v>BL-Y</x:v>
      </x:c>
      <x:c r="F607" s="7" t="str">
        <x:v>MF-05</x:v>
      </x:c>
      <x:c r="G607" s="7" t="str">
        <x:v>hold-up tomography</x:v>
      </x:c>
      <x:c r="H607" s="7" t="n">
        <x:v>1</x:v>
      </x:c>
      <x:c r="I607" s="7" t="str"/>
      <x:c r="J607" s="7" t="str"/>
      <x:c r="K607" s="7" t="str"/>
      <x:c r="L607" s="7" t="str"/>
      <x:c r="M607" s="7" t="str"/>
      <x:c r="N607" s="7" t="str"/>
      <x:c r="O607" s="7" t="str">
        <x:f>IF(N607="","OPEN",IF(OR(I607="",J607="",K607="",L607="",M607=""),"FAIL","PASS"))</x:f>
        <x:v>OPEN</x:v>
      </x:c>
    </x:row>
    <x:row r="608">
      <x:c r="B608" s="7" t="str">
        <x:v>CH-PEA-A-Y2-05-2</x:v>
      </x:c>
      <x:c r="C608" s="7" t="str">
        <x:v>PEA-A-Y2</x:v>
      </x:c>
      <x:c r="D608" s="7" t="str">
        <x:v>BLD-A</x:v>
      </x:c>
      <x:c r="E608" s="7" t="str">
        <x:v>BL-Y</x:v>
      </x:c>
      <x:c r="F608" s="7" t="str">
        <x:v>MF-05</x:v>
      </x:c>
      <x:c r="G608" s="7" t="str">
        <x:v>hold-up tomography</x:v>
      </x:c>
      <x:c r="H608" s="7" t="n">
        <x:v>2</x:v>
      </x:c>
      <x:c r="I608" s="7" t="str"/>
      <x:c r="J608" s="7" t="str"/>
      <x:c r="K608" s="7" t="str"/>
      <x:c r="L608" s="7" t="str"/>
      <x:c r="M608" s="7" t="str"/>
      <x:c r="N608" s="7" t="str"/>
      <x:c r="O608" s="7" t="str">
        <x:f>IF(N608="","OPEN",IF(OR(I608="",J608="",K608="",L608="",M608=""),"FAIL","PASS"))</x:f>
        <x:v>OPEN</x:v>
      </x:c>
    </x:row>
    <x:row r="609">
      <x:c r="B609" s="7" t="str">
        <x:v>CH-PEA-A-Y2-05-3</x:v>
      </x:c>
      <x:c r="C609" s="7" t="str">
        <x:v>PEA-A-Y2</x:v>
      </x:c>
      <x:c r="D609" s="7" t="str">
        <x:v>BLD-A</x:v>
      </x:c>
      <x:c r="E609" s="7" t="str">
        <x:v>BL-Y</x:v>
      </x:c>
      <x:c r="F609" s="7" t="str">
        <x:v>MF-05</x:v>
      </x:c>
      <x:c r="G609" s="7" t="str">
        <x:v>hold-up tomography</x:v>
      </x:c>
      <x:c r="H609" s="7" t="n">
        <x:v>3</x:v>
      </x:c>
      <x:c r="I609" s="7" t="str"/>
      <x:c r="J609" s="7" t="str"/>
      <x:c r="K609" s="7" t="str"/>
      <x:c r="L609" s="7" t="str"/>
      <x:c r="M609" s="7" t="str"/>
      <x:c r="N609" s="7" t="str"/>
      <x:c r="O609" s="7" t="str">
        <x:f>IF(N609="","OPEN",IF(OR(I609="",J609="",K609="",L609="",M609=""),"FAIL","PASS"))</x:f>
        <x:v>OPEN</x:v>
      </x:c>
    </x:row>
    <x:row r="610">
      <x:c r="B610" s="7" t="str">
        <x:v>CH-PEA-A-Y2-05-4</x:v>
      </x:c>
      <x:c r="C610" s="7" t="str">
        <x:v>PEA-A-Y2</x:v>
      </x:c>
      <x:c r="D610" s="7" t="str">
        <x:v>BLD-A</x:v>
      </x:c>
      <x:c r="E610" s="7" t="str">
        <x:v>BL-Y</x:v>
      </x:c>
      <x:c r="F610" s="7" t="str">
        <x:v>MF-05</x:v>
      </x:c>
      <x:c r="G610" s="7" t="str">
        <x:v>hold-up tomography</x:v>
      </x:c>
      <x:c r="H610" s="7" t="n">
        <x:v>4</x:v>
      </x:c>
      <x:c r="I610" s="7" t="str"/>
      <x:c r="J610" s="7" t="str"/>
      <x:c r="K610" s="7" t="str"/>
      <x:c r="L610" s="7" t="str"/>
      <x:c r="M610" s="7" t="str"/>
      <x:c r="N610" s="7" t="str"/>
      <x:c r="O610" s="7" t="str">
        <x:f>IF(N610="","OPEN",IF(OR(I610="",J610="",K610="",L610="",M610=""),"FAIL","PASS"))</x:f>
        <x:v>OPEN</x:v>
      </x:c>
    </x:row>
    <x:row r="611">
      <x:c r="B611" s="7" t="str">
        <x:v>CH-PEA-A-Y2-05-5</x:v>
      </x:c>
      <x:c r="C611" s="7" t="str">
        <x:v>PEA-A-Y2</x:v>
      </x:c>
      <x:c r="D611" s="7" t="str">
        <x:v>BLD-A</x:v>
      </x:c>
      <x:c r="E611" s="7" t="str">
        <x:v>BL-Y</x:v>
      </x:c>
      <x:c r="F611" s="7" t="str">
        <x:v>MF-05</x:v>
      </x:c>
      <x:c r="G611" s="7" t="str">
        <x:v>hold-up tomography</x:v>
      </x:c>
      <x:c r="H611" s="7" t="n">
        <x:v>5</x:v>
      </x:c>
      <x:c r="I611" s="7" t="str"/>
      <x:c r="J611" s="7" t="str"/>
      <x:c r="K611" s="7" t="str"/>
      <x:c r="L611" s="7" t="str"/>
      <x:c r="M611" s="7" t="str"/>
      <x:c r="N611" s="7" t="str"/>
      <x:c r="O611" s="7" t="str">
        <x:f>IF(N611="","OPEN",IF(OR(I611="",J611="",K611="",L611="",M611=""),"FAIL","PASS"))</x:f>
        <x:v>OPEN</x:v>
      </x:c>
    </x:row>
    <x:row r="612">
      <x:c r="B612" s="7" t="str">
        <x:v>CH-PEA-A-Y2-05-6</x:v>
      </x:c>
      <x:c r="C612" s="7" t="str">
        <x:v>PEA-A-Y2</x:v>
      </x:c>
      <x:c r="D612" s="7" t="str">
        <x:v>BLD-A</x:v>
      </x:c>
      <x:c r="E612" s="7" t="str">
        <x:v>BL-Y</x:v>
      </x:c>
      <x:c r="F612" s="7" t="str">
        <x:v>MF-05</x:v>
      </x:c>
      <x:c r="G612" s="7" t="str">
        <x:v>hold-up tomography</x:v>
      </x:c>
      <x:c r="H612" s="7" t="n">
        <x:v>6</x:v>
      </x:c>
      <x:c r="I612" s="7" t="str"/>
      <x:c r="J612" s="7" t="str"/>
      <x:c r="K612" s="7" t="str"/>
      <x:c r="L612" s="7" t="str"/>
      <x:c r="M612" s="7" t="str"/>
      <x:c r="N612" s="7" t="str"/>
      <x:c r="O612" s="7" t="str">
        <x:f>IF(N612="","OPEN",IF(OR(I612="",J612="",K612="",L612="",M612=""),"FAIL","PASS"))</x:f>
        <x:v>OPEN</x:v>
      </x:c>
    </x:row>
    <x:row r="613">
      <x:c r="B613" s="7" t="str">
        <x:v>CH-PEA-A-Y2-06-1</x:v>
      </x:c>
      <x:c r="C613" s="7" t="str">
        <x:v>PEA-A-Y2</x:v>
      </x:c>
      <x:c r="D613" s="7" t="str">
        <x:v>BLD-A</x:v>
      </x:c>
      <x:c r="E613" s="7" t="str">
        <x:v>BL-Y</x:v>
      </x:c>
      <x:c r="F613" s="7" t="str">
        <x:v>MF-06</x:v>
      </x:c>
      <x:c r="G613" s="7" t="str">
        <x:v>pan level</x:v>
      </x:c>
      <x:c r="H613" s="7" t="n">
        <x:v>1</x:v>
      </x:c>
      <x:c r="I613" s="7" t="str"/>
      <x:c r="J613" s="7" t="str"/>
      <x:c r="K613" s="7" t="str"/>
      <x:c r="L613" s="7" t="str"/>
      <x:c r="M613" s="7" t="str"/>
      <x:c r="N613" s="7" t="str"/>
      <x:c r="O613" s="7" t="str">
        <x:f>IF(N613="","OPEN",IF(OR(I613="",J613="",K613="",L613="",M613=""),"FAIL","PASS"))</x:f>
        <x:v>OPEN</x:v>
      </x:c>
    </x:row>
    <x:row r="614">
      <x:c r="B614" s="7" t="str">
        <x:v>CH-PEA-A-Y2-06-2</x:v>
      </x:c>
      <x:c r="C614" s="7" t="str">
        <x:v>PEA-A-Y2</x:v>
      </x:c>
      <x:c r="D614" s="7" t="str">
        <x:v>BLD-A</x:v>
      </x:c>
      <x:c r="E614" s="7" t="str">
        <x:v>BL-Y</x:v>
      </x:c>
      <x:c r="F614" s="7" t="str">
        <x:v>MF-06</x:v>
      </x:c>
      <x:c r="G614" s="7" t="str">
        <x:v>pan level</x:v>
      </x:c>
      <x:c r="H614" s="7" t="n">
        <x:v>2</x:v>
      </x:c>
      <x:c r="I614" s="7" t="str"/>
      <x:c r="J614" s="7" t="str"/>
      <x:c r="K614" s="7" t="str"/>
      <x:c r="L614" s="7" t="str"/>
      <x:c r="M614" s="7" t="str"/>
      <x:c r="N614" s="7" t="str"/>
      <x:c r="O614" s="7" t="str">
        <x:f>IF(N614="","OPEN",IF(OR(I614="",J614="",K614="",L614="",M614=""),"FAIL","PASS"))</x:f>
        <x:v>OPEN</x:v>
      </x:c>
    </x:row>
    <x:row r="615">
      <x:c r="B615" s="7" t="str">
        <x:v>CH-PEA-A-Y2-06-3</x:v>
      </x:c>
      <x:c r="C615" s="7" t="str">
        <x:v>PEA-A-Y2</x:v>
      </x:c>
      <x:c r="D615" s="7" t="str">
        <x:v>BLD-A</x:v>
      </x:c>
      <x:c r="E615" s="7" t="str">
        <x:v>BL-Y</x:v>
      </x:c>
      <x:c r="F615" s="7" t="str">
        <x:v>MF-06</x:v>
      </x:c>
      <x:c r="G615" s="7" t="str">
        <x:v>pan level</x:v>
      </x:c>
      <x:c r="H615" s="7" t="n">
        <x:v>3</x:v>
      </x:c>
      <x:c r="I615" s="7" t="str"/>
      <x:c r="J615" s="7" t="str"/>
      <x:c r="K615" s="7" t="str"/>
      <x:c r="L615" s="7" t="str"/>
      <x:c r="M615" s="7" t="str"/>
      <x:c r="N615" s="7" t="str"/>
      <x:c r="O615" s="7" t="str">
        <x:f>IF(N615="","OPEN",IF(OR(I615="",J615="",K615="",L615="",M615=""),"FAIL","PASS"))</x:f>
        <x:v>OPEN</x:v>
      </x:c>
    </x:row>
    <x:row r="616">
      <x:c r="B616" s="7" t="str">
        <x:v>CH-PEA-A-Y2-06-4</x:v>
      </x:c>
      <x:c r="C616" s="7" t="str">
        <x:v>PEA-A-Y2</x:v>
      </x:c>
      <x:c r="D616" s="7" t="str">
        <x:v>BLD-A</x:v>
      </x:c>
      <x:c r="E616" s="7" t="str">
        <x:v>BL-Y</x:v>
      </x:c>
      <x:c r="F616" s="7" t="str">
        <x:v>MF-06</x:v>
      </x:c>
      <x:c r="G616" s="7" t="str">
        <x:v>pan level</x:v>
      </x:c>
      <x:c r="H616" s="7" t="n">
        <x:v>4</x:v>
      </x:c>
      <x:c r="I616" s="7" t="str"/>
      <x:c r="J616" s="7" t="str"/>
      <x:c r="K616" s="7" t="str"/>
      <x:c r="L616" s="7" t="str"/>
      <x:c r="M616" s="7" t="str"/>
      <x:c r="N616" s="7" t="str"/>
      <x:c r="O616" s="7" t="str">
        <x:f>IF(N616="","OPEN",IF(OR(I616="",J616="",K616="",L616="",M616=""),"FAIL","PASS"))</x:f>
        <x:v>OPEN</x:v>
      </x:c>
    </x:row>
    <x:row r="617">
      <x:c r="B617" s="7" t="str">
        <x:v>CH-PEA-A-Y2-06-5</x:v>
      </x:c>
      <x:c r="C617" s="7" t="str">
        <x:v>PEA-A-Y2</x:v>
      </x:c>
      <x:c r="D617" s="7" t="str">
        <x:v>BLD-A</x:v>
      </x:c>
      <x:c r="E617" s="7" t="str">
        <x:v>BL-Y</x:v>
      </x:c>
      <x:c r="F617" s="7" t="str">
        <x:v>MF-06</x:v>
      </x:c>
      <x:c r="G617" s="7" t="str">
        <x:v>pan level</x:v>
      </x:c>
      <x:c r="H617" s="7" t="n">
        <x:v>5</x:v>
      </x:c>
      <x:c r="I617" s="7" t="str"/>
      <x:c r="J617" s="7" t="str"/>
      <x:c r="K617" s="7" t="str"/>
      <x:c r="L617" s="7" t="str"/>
      <x:c r="M617" s="7" t="str"/>
      <x:c r="N617" s="7" t="str"/>
      <x:c r="O617" s="7" t="str">
        <x:f>IF(N617="","OPEN",IF(OR(I617="",J617="",K617="",L617="",M617=""),"FAIL","PASS"))</x:f>
        <x:v>OPEN</x:v>
      </x:c>
    </x:row>
    <x:row r="618">
      <x:c r="B618" s="7" t="str">
        <x:v>CH-PEA-A-Y2-06-6</x:v>
      </x:c>
      <x:c r="C618" s="7" t="str">
        <x:v>PEA-A-Y2</x:v>
      </x:c>
      <x:c r="D618" s="7" t="str">
        <x:v>BLD-A</x:v>
      </x:c>
      <x:c r="E618" s="7" t="str">
        <x:v>BL-Y</x:v>
      </x:c>
      <x:c r="F618" s="7" t="str">
        <x:v>MF-06</x:v>
      </x:c>
      <x:c r="G618" s="7" t="str">
        <x:v>pan level</x:v>
      </x:c>
      <x:c r="H618" s="7" t="n">
        <x:v>6</x:v>
      </x:c>
      <x:c r="I618" s="7" t="str"/>
      <x:c r="J618" s="7" t="str"/>
      <x:c r="K618" s="7" t="str"/>
      <x:c r="L618" s="7" t="str"/>
      <x:c r="M618" s="7" t="str"/>
      <x:c r="N618" s="7" t="str"/>
      <x:c r="O618" s="7" t="str">
        <x:f>IF(N618="","OPEN",IF(OR(I618="",J618="",K618="",L618="",M618=""),"FAIL","PASS"))</x:f>
        <x:v>OPEN</x:v>
      </x:c>
    </x:row>
    <x:row r="619">
      <x:c r="B619" s="7" t="str">
        <x:v>CH-PEA-A-Y2-07-1</x:v>
      </x:c>
      <x:c r="C619" s="7" t="str">
        <x:v>PEA-A-Y2</x:v>
      </x:c>
      <x:c r="D619" s="7" t="str">
        <x:v>BLD-A</x:v>
      </x:c>
      <x:c r="E619" s="7" t="str">
        <x:v>BL-Y</x:v>
      </x:c>
      <x:c r="F619" s="7" t="str">
        <x:v>MF-07</x:v>
      </x:c>
      <x:c r="G619" s="7" t="str">
        <x:v>normal receiver mass</x:v>
      </x:c>
      <x:c r="H619" s="7" t="n">
        <x:v>1</x:v>
      </x:c>
      <x:c r="I619" s="7" t="str"/>
      <x:c r="J619" s="7" t="str"/>
      <x:c r="K619" s="7" t="str"/>
      <x:c r="L619" s="7" t="str"/>
      <x:c r="M619" s="7" t="str"/>
      <x:c r="N619" s="7" t="str"/>
      <x:c r="O619" s="7" t="str">
        <x:f>IF(N619="","OPEN",IF(OR(I619="",J619="",K619="",L619="",M619=""),"FAIL","PASS"))</x:f>
        <x:v>OPEN</x:v>
      </x:c>
    </x:row>
    <x:row r="620">
      <x:c r="B620" s="7" t="str">
        <x:v>CH-PEA-A-Y2-07-2</x:v>
      </x:c>
      <x:c r="C620" s="7" t="str">
        <x:v>PEA-A-Y2</x:v>
      </x:c>
      <x:c r="D620" s="7" t="str">
        <x:v>BLD-A</x:v>
      </x:c>
      <x:c r="E620" s="7" t="str">
        <x:v>BL-Y</x:v>
      </x:c>
      <x:c r="F620" s="7" t="str">
        <x:v>MF-07</x:v>
      </x:c>
      <x:c r="G620" s="7" t="str">
        <x:v>normal receiver mass</x:v>
      </x:c>
      <x:c r="H620" s="7" t="n">
        <x:v>2</x:v>
      </x:c>
      <x:c r="I620" s="7" t="str"/>
      <x:c r="J620" s="7" t="str"/>
      <x:c r="K620" s="7" t="str"/>
      <x:c r="L620" s="7" t="str"/>
      <x:c r="M620" s="7" t="str"/>
      <x:c r="N620" s="7" t="str"/>
      <x:c r="O620" s="7" t="str">
        <x:f>IF(N620="","OPEN",IF(OR(I620="",J620="",K620="",L620="",M620=""),"FAIL","PASS"))</x:f>
        <x:v>OPEN</x:v>
      </x:c>
    </x:row>
    <x:row r="621">
      <x:c r="B621" s="7" t="str">
        <x:v>CH-PEA-A-Y2-07-3</x:v>
      </x:c>
      <x:c r="C621" s="7" t="str">
        <x:v>PEA-A-Y2</x:v>
      </x:c>
      <x:c r="D621" s="7" t="str">
        <x:v>BLD-A</x:v>
      </x:c>
      <x:c r="E621" s="7" t="str">
        <x:v>BL-Y</x:v>
      </x:c>
      <x:c r="F621" s="7" t="str">
        <x:v>MF-07</x:v>
      </x:c>
      <x:c r="G621" s="7" t="str">
        <x:v>normal receiver mass</x:v>
      </x:c>
      <x:c r="H621" s="7" t="n">
        <x:v>3</x:v>
      </x:c>
      <x:c r="I621" s="7" t="str"/>
      <x:c r="J621" s="7" t="str"/>
      <x:c r="K621" s="7" t="str"/>
      <x:c r="L621" s="7" t="str"/>
      <x:c r="M621" s="7" t="str"/>
      <x:c r="N621" s="7" t="str"/>
      <x:c r="O621" s="7" t="str">
        <x:f>IF(N621="","OPEN",IF(OR(I621="",J621="",K621="",L621="",M621=""),"FAIL","PASS"))</x:f>
        <x:v>OPEN</x:v>
      </x:c>
    </x:row>
    <x:row r="622">
      <x:c r="B622" s="7" t="str">
        <x:v>CH-PEA-A-Y2-07-4</x:v>
      </x:c>
      <x:c r="C622" s="7" t="str">
        <x:v>PEA-A-Y2</x:v>
      </x:c>
      <x:c r="D622" s="7" t="str">
        <x:v>BLD-A</x:v>
      </x:c>
      <x:c r="E622" s="7" t="str">
        <x:v>BL-Y</x:v>
      </x:c>
      <x:c r="F622" s="7" t="str">
        <x:v>MF-07</x:v>
      </x:c>
      <x:c r="G622" s="7" t="str">
        <x:v>normal receiver mass</x:v>
      </x:c>
      <x:c r="H622" s="7" t="n">
        <x:v>4</x:v>
      </x:c>
      <x:c r="I622" s="7" t="str"/>
      <x:c r="J622" s="7" t="str"/>
      <x:c r="K622" s="7" t="str"/>
      <x:c r="L622" s="7" t="str"/>
      <x:c r="M622" s="7" t="str"/>
      <x:c r="N622" s="7" t="str"/>
      <x:c r="O622" s="7" t="str">
        <x:f>IF(N622="","OPEN",IF(OR(I622="",J622="",K622="",L622="",M622=""),"FAIL","PASS"))</x:f>
        <x:v>OPEN</x:v>
      </x:c>
    </x:row>
    <x:row r="623">
      <x:c r="B623" s="7" t="str">
        <x:v>CH-PEA-A-Y2-07-5</x:v>
      </x:c>
      <x:c r="C623" s="7" t="str">
        <x:v>PEA-A-Y2</x:v>
      </x:c>
      <x:c r="D623" s="7" t="str">
        <x:v>BLD-A</x:v>
      </x:c>
      <x:c r="E623" s="7" t="str">
        <x:v>BL-Y</x:v>
      </x:c>
      <x:c r="F623" s="7" t="str">
        <x:v>MF-07</x:v>
      </x:c>
      <x:c r="G623" s="7" t="str">
        <x:v>normal receiver mass</x:v>
      </x:c>
      <x:c r="H623" s="7" t="n">
        <x:v>5</x:v>
      </x:c>
      <x:c r="I623" s="7" t="str"/>
      <x:c r="J623" s="7" t="str"/>
      <x:c r="K623" s="7" t="str"/>
      <x:c r="L623" s="7" t="str"/>
      <x:c r="M623" s="7" t="str"/>
      <x:c r="N623" s="7" t="str"/>
      <x:c r="O623" s="7" t="str">
        <x:f>IF(N623="","OPEN",IF(OR(I623="",J623="",K623="",L623="",M623=""),"FAIL","PASS"))</x:f>
        <x:v>OPEN</x:v>
      </x:c>
    </x:row>
    <x:row r="624">
      <x:c r="B624" s="7" t="str">
        <x:v>CH-PEA-A-Y2-07-6</x:v>
      </x:c>
      <x:c r="C624" s="7" t="str">
        <x:v>PEA-A-Y2</x:v>
      </x:c>
      <x:c r="D624" s="7" t="str">
        <x:v>BLD-A</x:v>
      </x:c>
      <x:c r="E624" s="7" t="str">
        <x:v>BL-Y</x:v>
      </x:c>
      <x:c r="F624" s="7" t="str">
        <x:v>MF-07</x:v>
      </x:c>
      <x:c r="G624" s="7" t="str">
        <x:v>normal receiver mass</x:v>
      </x:c>
      <x:c r="H624" s="7" t="n">
        <x:v>6</x:v>
      </x:c>
      <x:c r="I624" s="7" t="str"/>
      <x:c r="J624" s="7" t="str"/>
      <x:c r="K624" s="7" t="str"/>
      <x:c r="L624" s="7" t="str"/>
      <x:c r="M624" s="7" t="str"/>
      <x:c r="N624" s="7" t="str"/>
      <x:c r="O624" s="7" t="str">
        <x:f>IF(N624="","OPEN",IF(OR(I624="",J624="",K624="",L624="",M624=""),"FAIL","PASS"))</x:f>
        <x:v>OPEN</x:v>
      </x:c>
    </x:row>
    <x:row r="625">
      <x:c r="B625" s="7" t="str">
        <x:v>CH-PEA-A-Y2-08-1</x:v>
      </x:c>
      <x:c r="C625" s="7" t="str">
        <x:v>PEA-A-Y2</x:v>
      </x:c>
      <x:c r="D625" s="7" t="str">
        <x:v>BLD-A</x:v>
      </x:c>
      <x:c r="E625" s="7" t="str">
        <x:v>BL-Y</x:v>
      </x:c>
      <x:c r="F625" s="7" t="str">
        <x:v>MF-08</x:v>
      </x:c>
      <x:c r="G625" s="7" t="str">
        <x:v>casualty receiver mass</x:v>
      </x:c>
      <x:c r="H625" s="7" t="n">
        <x:v>1</x:v>
      </x:c>
      <x:c r="I625" s="7" t="str"/>
      <x:c r="J625" s="7" t="str"/>
      <x:c r="K625" s="7" t="str"/>
      <x:c r="L625" s="7" t="str"/>
      <x:c r="M625" s="7" t="str"/>
      <x:c r="N625" s="7" t="str"/>
      <x:c r="O625" s="7" t="str">
        <x:f>IF(N625="","OPEN",IF(OR(I625="",J625="",K625="",L625="",M625=""),"FAIL","PASS"))</x:f>
        <x:v>OPEN</x:v>
      </x:c>
    </x:row>
    <x:row r="626">
      <x:c r="B626" s="7" t="str">
        <x:v>CH-PEA-A-Y2-08-2</x:v>
      </x:c>
      <x:c r="C626" s="7" t="str">
        <x:v>PEA-A-Y2</x:v>
      </x:c>
      <x:c r="D626" s="7" t="str">
        <x:v>BLD-A</x:v>
      </x:c>
      <x:c r="E626" s="7" t="str">
        <x:v>BL-Y</x:v>
      </x:c>
      <x:c r="F626" s="7" t="str">
        <x:v>MF-08</x:v>
      </x:c>
      <x:c r="G626" s="7" t="str">
        <x:v>casualty receiver mass</x:v>
      </x:c>
      <x:c r="H626" s="7" t="n">
        <x:v>2</x:v>
      </x:c>
      <x:c r="I626" s="7" t="str"/>
      <x:c r="J626" s="7" t="str"/>
      <x:c r="K626" s="7" t="str"/>
      <x:c r="L626" s="7" t="str"/>
      <x:c r="M626" s="7" t="str"/>
      <x:c r="N626" s="7" t="str"/>
      <x:c r="O626" s="7" t="str">
        <x:f>IF(N626="","OPEN",IF(OR(I626="",J626="",K626="",L626="",M626=""),"FAIL","PASS"))</x:f>
        <x:v>OPEN</x:v>
      </x:c>
    </x:row>
    <x:row r="627">
      <x:c r="B627" s="7" t="str">
        <x:v>CH-PEA-A-Y2-08-3</x:v>
      </x:c>
      <x:c r="C627" s="7" t="str">
        <x:v>PEA-A-Y2</x:v>
      </x:c>
      <x:c r="D627" s="7" t="str">
        <x:v>BLD-A</x:v>
      </x:c>
      <x:c r="E627" s="7" t="str">
        <x:v>BL-Y</x:v>
      </x:c>
      <x:c r="F627" s="7" t="str">
        <x:v>MF-08</x:v>
      </x:c>
      <x:c r="G627" s="7" t="str">
        <x:v>casualty receiver mass</x:v>
      </x:c>
      <x:c r="H627" s="7" t="n">
        <x:v>3</x:v>
      </x:c>
      <x:c r="I627" s="7" t="str"/>
      <x:c r="J627" s="7" t="str"/>
      <x:c r="K627" s="7" t="str"/>
      <x:c r="L627" s="7" t="str"/>
      <x:c r="M627" s="7" t="str"/>
      <x:c r="N627" s="7" t="str"/>
      <x:c r="O627" s="7" t="str">
        <x:f>IF(N627="","OPEN",IF(OR(I627="",J627="",K627="",L627="",M627=""),"FAIL","PASS"))</x:f>
        <x:v>OPEN</x:v>
      </x:c>
    </x:row>
    <x:row r="628">
      <x:c r="B628" s="7" t="str">
        <x:v>CH-PEA-A-Y2-08-4</x:v>
      </x:c>
      <x:c r="C628" s="7" t="str">
        <x:v>PEA-A-Y2</x:v>
      </x:c>
      <x:c r="D628" s="7" t="str">
        <x:v>BLD-A</x:v>
      </x:c>
      <x:c r="E628" s="7" t="str">
        <x:v>BL-Y</x:v>
      </x:c>
      <x:c r="F628" s="7" t="str">
        <x:v>MF-08</x:v>
      </x:c>
      <x:c r="G628" s="7" t="str">
        <x:v>casualty receiver mass</x:v>
      </x:c>
      <x:c r="H628" s="7" t="n">
        <x:v>4</x:v>
      </x:c>
      <x:c r="I628" s="7" t="str"/>
      <x:c r="J628" s="7" t="str"/>
      <x:c r="K628" s="7" t="str"/>
      <x:c r="L628" s="7" t="str"/>
      <x:c r="M628" s="7" t="str"/>
      <x:c r="N628" s="7" t="str"/>
      <x:c r="O628" s="7" t="str">
        <x:f>IF(N628="","OPEN",IF(OR(I628="",J628="",K628="",L628="",M628=""),"FAIL","PASS"))</x:f>
        <x:v>OPEN</x:v>
      </x:c>
    </x:row>
    <x:row r="629">
      <x:c r="B629" s="7" t="str">
        <x:v>CH-PEA-A-Y2-08-5</x:v>
      </x:c>
      <x:c r="C629" s="7" t="str">
        <x:v>PEA-A-Y2</x:v>
      </x:c>
      <x:c r="D629" s="7" t="str">
        <x:v>BLD-A</x:v>
      </x:c>
      <x:c r="E629" s="7" t="str">
        <x:v>BL-Y</x:v>
      </x:c>
      <x:c r="F629" s="7" t="str">
        <x:v>MF-08</x:v>
      </x:c>
      <x:c r="G629" s="7" t="str">
        <x:v>casualty receiver mass</x:v>
      </x:c>
      <x:c r="H629" s="7" t="n">
        <x:v>5</x:v>
      </x:c>
      <x:c r="I629" s="7" t="str"/>
      <x:c r="J629" s="7" t="str"/>
      <x:c r="K629" s="7" t="str"/>
      <x:c r="L629" s="7" t="str"/>
      <x:c r="M629" s="7" t="str"/>
      <x:c r="N629" s="7" t="str"/>
      <x:c r="O629" s="7" t="str">
        <x:f>IF(N629="","OPEN",IF(OR(I629="",J629="",K629="",L629="",M629=""),"FAIL","PASS"))</x:f>
        <x:v>OPEN</x:v>
      </x:c>
    </x:row>
    <x:row r="630">
      <x:c r="B630" s="7" t="str">
        <x:v>CH-PEA-A-Y2-08-6</x:v>
      </x:c>
      <x:c r="C630" s="7" t="str">
        <x:v>PEA-A-Y2</x:v>
      </x:c>
      <x:c r="D630" s="7" t="str">
        <x:v>BLD-A</x:v>
      </x:c>
      <x:c r="E630" s="7" t="str">
        <x:v>BL-Y</x:v>
      </x:c>
      <x:c r="F630" s="7" t="str">
        <x:v>MF-08</x:v>
      </x:c>
      <x:c r="G630" s="7" t="str">
        <x:v>casualty receiver mass</x:v>
      </x:c>
      <x:c r="H630" s="7" t="n">
        <x:v>6</x:v>
      </x:c>
      <x:c r="I630" s="7" t="str"/>
      <x:c r="J630" s="7" t="str"/>
      <x:c r="K630" s="7" t="str"/>
      <x:c r="L630" s="7" t="str"/>
      <x:c r="M630" s="7" t="str"/>
      <x:c r="N630" s="7" t="str"/>
      <x:c r="O630" s="7" t="str">
        <x:f>IF(N630="","OPEN",IF(OR(I630="",J630="",K630="",L630="",M630=""),"FAIL","PASS"))</x:f>
        <x:v>OPEN</x:v>
      </x:c>
    </x:row>
    <x:row r="631">
      <x:c r="B631" s="7" t="str">
        <x:v>CH-PEA-A-Y2-09-1</x:v>
      </x:c>
      <x:c r="C631" s="7" t="str">
        <x:v>PEA-A-Y2</x:v>
      </x:c>
      <x:c r="D631" s="7" t="str">
        <x:v>BLD-A</x:v>
      </x:c>
      <x:c r="E631" s="7" t="str">
        <x:v>BL-Y</x:v>
      </x:c>
      <x:c r="F631" s="7" t="str">
        <x:v>MF-09</x:v>
      </x:c>
      <x:c r="G631" s="7" t="str">
        <x:v>geometry and slope</x:v>
      </x:c>
      <x:c r="H631" s="7" t="n">
        <x:v>1</x:v>
      </x:c>
      <x:c r="I631" s="7" t="str"/>
      <x:c r="J631" s="7" t="str"/>
      <x:c r="K631" s="7" t="str"/>
      <x:c r="L631" s="7" t="str"/>
      <x:c r="M631" s="7" t="str"/>
      <x:c r="N631" s="7" t="str"/>
      <x:c r="O631" s="7" t="str">
        <x:f>IF(N631="","OPEN",IF(OR(I631="",J631="",K631="",L631="",M631=""),"FAIL","PASS"))</x:f>
        <x:v>OPEN</x:v>
      </x:c>
    </x:row>
    <x:row r="632">
      <x:c r="B632" s="7" t="str">
        <x:v>CH-PEA-A-Y2-09-2</x:v>
      </x:c>
      <x:c r="C632" s="7" t="str">
        <x:v>PEA-A-Y2</x:v>
      </x:c>
      <x:c r="D632" s="7" t="str">
        <x:v>BLD-A</x:v>
      </x:c>
      <x:c r="E632" s="7" t="str">
        <x:v>BL-Y</x:v>
      </x:c>
      <x:c r="F632" s="7" t="str">
        <x:v>MF-09</x:v>
      </x:c>
      <x:c r="G632" s="7" t="str">
        <x:v>geometry and slope</x:v>
      </x:c>
      <x:c r="H632" s="7" t="n">
        <x:v>2</x:v>
      </x:c>
      <x:c r="I632" s="7" t="str"/>
      <x:c r="J632" s="7" t="str"/>
      <x:c r="K632" s="7" t="str"/>
      <x:c r="L632" s="7" t="str"/>
      <x:c r="M632" s="7" t="str"/>
      <x:c r="N632" s="7" t="str"/>
      <x:c r="O632" s="7" t="str">
        <x:f>IF(N632="","OPEN",IF(OR(I632="",J632="",K632="",L632="",M632=""),"FAIL","PASS"))</x:f>
        <x:v>OPEN</x:v>
      </x:c>
    </x:row>
    <x:row r="633">
      <x:c r="B633" s="7" t="str">
        <x:v>CH-PEA-A-Y2-09-3</x:v>
      </x:c>
      <x:c r="C633" s="7" t="str">
        <x:v>PEA-A-Y2</x:v>
      </x:c>
      <x:c r="D633" s="7" t="str">
        <x:v>BLD-A</x:v>
      </x:c>
      <x:c r="E633" s="7" t="str">
        <x:v>BL-Y</x:v>
      </x:c>
      <x:c r="F633" s="7" t="str">
        <x:v>MF-09</x:v>
      </x:c>
      <x:c r="G633" s="7" t="str">
        <x:v>geometry and slope</x:v>
      </x:c>
      <x:c r="H633" s="7" t="n">
        <x:v>3</x:v>
      </x:c>
      <x:c r="I633" s="7" t="str"/>
      <x:c r="J633" s="7" t="str"/>
      <x:c r="K633" s="7" t="str"/>
      <x:c r="L633" s="7" t="str"/>
      <x:c r="M633" s="7" t="str"/>
      <x:c r="N633" s="7" t="str"/>
      <x:c r="O633" s="7" t="str">
        <x:f>IF(N633="","OPEN",IF(OR(I633="",J633="",K633="",L633="",M633=""),"FAIL","PASS"))</x:f>
        <x:v>OPEN</x:v>
      </x:c>
    </x:row>
    <x:row r="634">
      <x:c r="B634" s="7" t="str">
        <x:v>CH-PEA-A-Y2-09-4</x:v>
      </x:c>
      <x:c r="C634" s="7" t="str">
        <x:v>PEA-A-Y2</x:v>
      </x:c>
      <x:c r="D634" s="7" t="str">
        <x:v>BLD-A</x:v>
      </x:c>
      <x:c r="E634" s="7" t="str">
        <x:v>BL-Y</x:v>
      </x:c>
      <x:c r="F634" s="7" t="str">
        <x:v>MF-09</x:v>
      </x:c>
      <x:c r="G634" s="7" t="str">
        <x:v>geometry and slope</x:v>
      </x:c>
      <x:c r="H634" s="7" t="n">
        <x:v>4</x:v>
      </x:c>
      <x:c r="I634" s="7" t="str"/>
      <x:c r="J634" s="7" t="str"/>
      <x:c r="K634" s="7" t="str"/>
      <x:c r="L634" s="7" t="str"/>
      <x:c r="M634" s="7" t="str"/>
      <x:c r="N634" s="7" t="str"/>
      <x:c r="O634" s="7" t="str">
        <x:f>IF(N634="","OPEN",IF(OR(I634="",J634="",K634="",L634="",M634=""),"FAIL","PASS"))</x:f>
        <x:v>OPEN</x:v>
      </x:c>
    </x:row>
    <x:row r="635">
      <x:c r="B635" s="7" t="str">
        <x:v>CH-PEA-A-Y2-09-5</x:v>
      </x:c>
      <x:c r="C635" s="7" t="str">
        <x:v>PEA-A-Y2</x:v>
      </x:c>
      <x:c r="D635" s="7" t="str">
        <x:v>BLD-A</x:v>
      </x:c>
      <x:c r="E635" s="7" t="str">
        <x:v>BL-Y</x:v>
      </x:c>
      <x:c r="F635" s="7" t="str">
        <x:v>MF-09</x:v>
      </x:c>
      <x:c r="G635" s="7" t="str">
        <x:v>geometry and slope</x:v>
      </x:c>
      <x:c r="H635" s="7" t="n">
        <x:v>5</x:v>
      </x:c>
      <x:c r="I635" s="7" t="str"/>
      <x:c r="J635" s="7" t="str"/>
      <x:c r="K635" s="7" t="str"/>
      <x:c r="L635" s="7" t="str"/>
      <x:c r="M635" s="7" t="str"/>
      <x:c r="N635" s="7" t="str"/>
      <x:c r="O635" s="7" t="str">
        <x:f>IF(N635="","OPEN",IF(OR(I635="",J635="",K635="",L635="",M635=""),"FAIL","PASS"))</x:f>
        <x:v>OPEN</x:v>
      </x:c>
    </x:row>
    <x:row r="636">
      <x:c r="B636" s="7" t="str">
        <x:v>CH-PEA-A-Y2-09-6</x:v>
      </x:c>
      <x:c r="C636" s="7" t="str">
        <x:v>PEA-A-Y2</x:v>
      </x:c>
      <x:c r="D636" s="7" t="str">
        <x:v>BLD-A</x:v>
      </x:c>
      <x:c r="E636" s="7" t="str">
        <x:v>BL-Y</x:v>
      </x:c>
      <x:c r="F636" s="7" t="str">
        <x:v>MF-09</x:v>
      </x:c>
      <x:c r="G636" s="7" t="str">
        <x:v>geometry and slope</x:v>
      </x:c>
      <x:c r="H636" s="7" t="n">
        <x:v>6</x:v>
      </x:c>
      <x:c r="I636" s="7" t="str"/>
      <x:c r="J636" s="7" t="str"/>
      <x:c r="K636" s="7" t="str"/>
      <x:c r="L636" s="7" t="str"/>
      <x:c r="M636" s="7" t="str"/>
      <x:c r="N636" s="7" t="str"/>
      <x:c r="O636" s="7" t="str">
        <x:f>IF(N636="","OPEN",IF(OR(I636="",J636="",K636="",L636="",M636=""),"FAIL","PASS"))</x:f>
        <x:v>OPEN</x:v>
      </x:c>
    </x:row>
    <x:row r="637">
      <x:c r="B637" s="7" t="str">
        <x:v>CH-PEA-A-Y2-10-1</x:v>
      </x:c>
      <x:c r="C637" s="7" t="str">
        <x:v>PEA-A-Y2</x:v>
      </x:c>
      <x:c r="D637" s="7" t="str">
        <x:v>BLD-A</x:v>
      </x:c>
      <x:c r="E637" s="7" t="str">
        <x:v>BL-Y</x:v>
      </x:c>
      <x:c r="F637" s="7" t="str">
        <x:v>MF-10</x:v>
      </x:c>
      <x:c r="G637" s="7" t="str">
        <x:v>normal-source path state</x:v>
      </x:c>
      <x:c r="H637" s="7" t="n">
        <x:v>1</x:v>
      </x:c>
      <x:c r="I637" s="7" t="str"/>
      <x:c r="J637" s="7" t="str"/>
      <x:c r="K637" s="7" t="str"/>
      <x:c r="L637" s="7" t="str"/>
      <x:c r="M637" s="7" t="str"/>
      <x:c r="N637" s="7" t="str"/>
      <x:c r="O637" s="7" t="str">
        <x:f>IF(N637="","OPEN",IF(OR(I637="",J637="",K637="",L637="",M637=""),"FAIL","PASS"))</x:f>
        <x:v>OPEN</x:v>
      </x:c>
    </x:row>
    <x:row r="638">
      <x:c r="B638" s="7" t="str">
        <x:v>CH-PEA-A-Y2-10-2</x:v>
      </x:c>
      <x:c r="C638" s="7" t="str">
        <x:v>PEA-A-Y2</x:v>
      </x:c>
      <x:c r="D638" s="7" t="str">
        <x:v>BLD-A</x:v>
      </x:c>
      <x:c r="E638" s="7" t="str">
        <x:v>BL-Y</x:v>
      </x:c>
      <x:c r="F638" s="7" t="str">
        <x:v>MF-10</x:v>
      </x:c>
      <x:c r="G638" s="7" t="str">
        <x:v>normal-source path state</x:v>
      </x:c>
      <x:c r="H638" s="7" t="n">
        <x:v>2</x:v>
      </x:c>
      <x:c r="I638" s="7" t="str"/>
      <x:c r="J638" s="7" t="str"/>
      <x:c r="K638" s="7" t="str"/>
      <x:c r="L638" s="7" t="str"/>
      <x:c r="M638" s="7" t="str"/>
      <x:c r="N638" s="7" t="str"/>
      <x:c r="O638" s="7" t="str">
        <x:f>IF(N638="","OPEN",IF(OR(I638="",J638="",K638="",L638="",M638=""),"FAIL","PASS"))</x:f>
        <x:v>OPEN</x:v>
      </x:c>
    </x:row>
    <x:row r="639">
      <x:c r="B639" s="7" t="str">
        <x:v>CH-PEA-A-Y2-10-3</x:v>
      </x:c>
      <x:c r="C639" s="7" t="str">
        <x:v>PEA-A-Y2</x:v>
      </x:c>
      <x:c r="D639" s="7" t="str">
        <x:v>BLD-A</x:v>
      </x:c>
      <x:c r="E639" s="7" t="str">
        <x:v>BL-Y</x:v>
      </x:c>
      <x:c r="F639" s="7" t="str">
        <x:v>MF-10</x:v>
      </x:c>
      <x:c r="G639" s="7" t="str">
        <x:v>normal-source path state</x:v>
      </x:c>
      <x:c r="H639" s="7" t="n">
        <x:v>3</x:v>
      </x:c>
      <x:c r="I639" s="7" t="str"/>
      <x:c r="J639" s="7" t="str"/>
      <x:c r="K639" s="7" t="str"/>
      <x:c r="L639" s="7" t="str"/>
      <x:c r="M639" s="7" t="str"/>
      <x:c r="N639" s="7" t="str"/>
      <x:c r="O639" s="7" t="str">
        <x:f>IF(N639="","OPEN",IF(OR(I639="",J639="",K639="",L639="",M639=""),"FAIL","PASS"))</x:f>
        <x:v>OPEN</x:v>
      </x:c>
    </x:row>
    <x:row r="640">
      <x:c r="B640" s="7" t="str">
        <x:v>CH-PEA-A-Y2-10-4</x:v>
      </x:c>
      <x:c r="C640" s="7" t="str">
        <x:v>PEA-A-Y2</x:v>
      </x:c>
      <x:c r="D640" s="7" t="str">
        <x:v>BLD-A</x:v>
      </x:c>
      <x:c r="E640" s="7" t="str">
        <x:v>BL-Y</x:v>
      </x:c>
      <x:c r="F640" s="7" t="str">
        <x:v>MF-10</x:v>
      </x:c>
      <x:c r="G640" s="7" t="str">
        <x:v>normal-source path state</x:v>
      </x:c>
      <x:c r="H640" s="7" t="n">
        <x:v>4</x:v>
      </x:c>
      <x:c r="I640" s="7" t="str"/>
      <x:c r="J640" s="7" t="str"/>
      <x:c r="K640" s="7" t="str"/>
      <x:c r="L640" s="7" t="str"/>
      <x:c r="M640" s="7" t="str"/>
      <x:c r="N640" s="7" t="str"/>
      <x:c r="O640" s="7" t="str">
        <x:f>IF(N640="","OPEN",IF(OR(I640="",J640="",K640="",L640="",M640=""),"FAIL","PASS"))</x:f>
        <x:v>OPEN</x:v>
      </x:c>
    </x:row>
    <x:row r="641">
      <x:c r="B641" s="7" t="str">
        <x:v>CH-PEA-A-Y2-10-5</x:v>
      </x:c>
      <x:c r="C641" s="7" t="str">
        <x:v>PEA-A-Y2</x:v>
      </x:c>
      <x:c r="D641" s="7" t="str">
        <x:v>BLD-A</x:v>
      </x:c>
      <x:c r="E641" s="7" t="str">
        <x:v>BL-Y</x:v>
      </x:c>
      <x:c r="F641" s="7" t="str">
        <x:v>MF-10</x:v>
      </x:c>
      <x:c r="G641" s="7" t="str">
        <x:v>normal-source path state</x:v>
      </x:c>
      <x:c r="H641" s="7" t="n">
        <x:v>5</x:v>
      </x:c>
      <x:c r="I641" s="7" t="str"/>
      <x:c r="J641" s="7" t="str"/>
      <x:c r="K641" s="7" t="str"/>
      <x:c r="L641" s="7" t="str"/>
      <x:c r="M641" s="7" t="str"/>
      <x:c r="N641" s="7" t="str"/>
      <x:c r="O641" s="7" t="str">
        <x:f>IF(N641="","OPEN",IF(OR(I641="",J641="",K641="",L641="",M641=""),"FAIL","PASS"))</x:f>
        <x:v>OPEN</x:v>
      </x:c>
    </x:row>
    <x:row r="642">
      <x:c r="B642" s="7" t="str">
        <x:v>CH-PEA-A-Y2-10-6</x:v>
      </x:c>
      <x:c r="C642" s="7" t="str">
        <x:v>PEA-A-Y2</x:v>
      </x:c>
      <x:c r="D642" s="7" t="str">
        <x:v>BLD-A</x:v>
      </x:c>
      <x:c r="E642" s="7" t="str">
        <x:v>BL-Y</x:v>
      </x:c>
      <x:c r="F642" s="7" t="str">
        <x:v>MF-10</x:v>
      </x:c>
      <x:c r="G642" s="7" t="str">
        <x:v>normal-source path state</x:v>
      </x:c>
      <x:c r="H642" s="7" t="n">
        <x:v>6</x:v>
      </x:c>
      <x:c r="I642" s="7" t="str"/>
      <x:c r="J642" s="7" t="str"/>
      <x:c r="K642" s="7" t="str"/>
      <x:c r="L642" s="7" t="str"/>
      <x:c r="M642" s="7" t="str"/>
      <x:c r="N642" s="7" t="str"/>
      <x:c r="O642" s="7" t="str">
        <x:f>IF(N642="","OPEN",IF(OR(I642="",J642="",K642="",L642="",M642=""),"FAIL","PASS"))</x:f>
        <x:v>OPEN</x:v>
      </x:c>
    </x:row>
    <x:row r="643">
      <x:c r="B643" s="7" t="str">
        <x:v>CH-PEA-A-Y2-11-1</x:v>
      </x:c>
      <x:c r="C643" s="7" t="str">
        <x:v>PEA-A-Y2</x:v>
      </x:c>
      <x:c r="D643" s="7" t="str">
        <x:v>BLD-A</x:v>
      </x:c>
      <x:c r="E643" s="7" t="str">
        <x:v>BL-Y</x:v>
      </x:c>
      <x:c r="F643" s="7" t="str">
        <x:v>MF-11</x:v>
      </x:c>
      <x:c r="G643" s="7" t="str">
        <x:v>casualty-source path state</x:v>
      </x:c>
      <x:c r="H643" s="7" t="n">
        <x:v>1</x:v>
      </x:c>
      <x:c r="I643" s="7" t="str"/>
      <x:c r="J643" s="7" t="str"/>
      <x:c r="K643" s="7" t="str"/>
      <x:c r="L643" s="7" t="str"/>
      <x:c r="M643" s="7" t="str"/>
      <x:c r="N643" s="7" t="str"/>
      <x:c r="O643" s="7" t="str">
        <x:f>IF(N643="","OPEN",IF(OR(I643="",J643="",K643="",L643="",M643=""),"FAIL","PASS"))</x:f>
        <x:v>OPEN</x:v>
      </x:c>
    </x:row>
    <x:row r="644">
      <x:c r="B644" s="7" t="str">
        <x:v>CH-PEA-A-Y2-11-2</x:v>
      </x:c>
      <x:c r="C644" s="7" t="str">
        <x:v>PEA-A-Y2</x:v>
      </x:c>
      <x:c r="D644" s="7" t="str">
        <x:v>BLD-A</x:v>
      </x:c>
      <x:c r="E644" s="7" t="str">
        <x:v>BL-Y</x:v>
      </x:c>
      <x:c r="F644" s="7" t="str">
        <x:v>MF-11</x:v>
      </x:c>
      <x:c r="G644" s="7" t="str">
        <x:v>casualty-source path state</x:v>
      </x:c>
      <x:c r="H644" s="7" t="n">
        <x:v>2</x:v>
      </x:c>
      <x:c r="I644" s="7" t="str"/>
      <x:c r="J644" s="7" t="str"/>
      <x:c r="K644" s="7" t="str"/>
      <x:c r="L644" s="7" t="str"/>
      <x:c r="M644" s="7" t="str"/>
      <x:c r="N644" s="7" t="str"/>
      <x:c r="O644" s="7" t="str">
        <x:f>IF(N644="","OPEN",IF(OR(I644="",J644="",K644="",L644="",M644=""),"FAIL","PASS"))</x:f>
        <x:v>OPEN</x:v>
      </x:c>
    </x:row>
    <x:row r="645">
      <x:c r="B645" s="7" t="str">
        <x:v>CH-PEA-A-Y2-11-3</x:v>
      </x:c>
      <x:c r="C645" s="7" t="str">
        <x:v>PEA-A-Y2</x:v>
      </x:c>
      <x:c r="D645" s="7" t="str">
        <x:v>BLD-A</x:v>
      </x:c>
      <x:c r="E645" s="7" t="str">
        <x:v>BL-Y</x:v>
      </x:c>
      <x:c r="F645" s="7" t="str">
        <x:v>MF-11</x:v>
      </x:c>
      <x:c r="G645" s="7" t="str">
        <x:v>casualty-source path state</x:v>
      </x:c>
      <x:c r="H645" s="7" t="n">
        <x:v>3</x:v>
      </x:c>
      <x:c r="I645" s="7" t="str"/>
      <x:c r="J645" s="7" t="str"/>
      <x:c r="K645" s="7" t="str"/>
      <x:c r="L645" s="7" t="str"/>
      <x:c r="M645" s="7" t="str"/>
      <x:c r="N645" s="7" t="str"/>
      <x:c r="O645" s="7" t="str">
        <x:f>IF(N645="","OPEN",IF(OR(I645="",J645="",K645="",L645="",M645=""),"FAIL","PASS"))</x:f>
        <x:v>OPEN</x:v>
      </x:c>
    </x:row>
    <x:row r="646">
      <x:c r="B646" s="7" t="str">
        <x:v>CH-PEA-A-Y2-11-4</x:v>
      </x:c>
      <x:c r="C646" s="7" t="str">
        <x:v>PEA-A-Y2</x:v>
      </x:c>
      <x:c r="D646" s="7" t="str">
        <x:v>BLD-A</x:v>
      </x:c>
      <x:c r="E646" s="7" t="str">
        <x:v>BL-Y</x:v>
      </x:c>
      <x:c r="F646" s="7" t="str">
        <x:v>MF-11</x:v>
      </x:c>
      <x:c r="G646" s="7" t="str">
        <x:v>casualty-source path state</x:v>
      </x:c>
      <x:c r="H646" s="7" t="n">
        <x:v>4</x:v>
      </x:c>
      <x:c r="I646" s="7" t="str"/>
      <x:c r="J646" s="7" t="str"/>
      <x:c r="K646" s="7" t="str"/>
      <x:c r="L646" s="7" t="str"/>
      <x:c r="M646" s="7" t="str"/>
      <x:c r="N646" s="7" t="str"/>
      <x:c r="O646" s="7" t="str">
        <x:f>IF(N646="","OPEN",IF(OR(I646="",J646="",K646="",L646="",M646=""),"FAIL","PASS"))</x:f>
        <x:v>OPEN</x:v>
      </x:c>
    </x:row>
    <x:row r="647">
      <x:c r="B647" s="7" t="str">
        <x:v>CH-PEA-A-Y2-11-5</x:v>
      </x:c>
      <x:c r="C647" s="7" t="str">
        <x:v>PEA-A-Y2</x:v>
      </x:c>
      <x:c r="D647" s="7" t="str">
        <x:v>BLD-A</x:v>
      </x:c>
      <x:c r="E647" s="7" t="str">
        <x:v>BL-Y</x:v>
      </x:c>
      <x:c r="F647" s="7" t="str">
        <x:v>MF-11</x:v>
      </x:c>
      <x:c r="G647" s="7" t="str">
        <x:v>casualty-source path state</x:v>
      </x:c>
      <x:c r="H647" s="7" t="n">
        <x:v>5</x:v>
      </x:c>
      <x:c r="I647" s="7" t="str"/>
      <x:c r="J647" s="7" t="str"/>
      <x:c r="K647" s="7" t="str"/>
      <x:c r="L647" s="7" t="str"/>
      <x:c r="M647" s="7" t="str"/>
      <x:c r="N647" s="7" t="str"/>
      <x:c r="O647" s="7" t="str">
        <x:f>IF(N647="","OPEN",IF(OR(I647="",J647="",K647="",L647="",M647=""),"FAIL","PASS"))</x:f>
        <x:v>OPEN</x:v>
      </x:c>
    </x:row>
    <x:row r="648">
      <x:c r="B648" s="7" t="str">
        <x:v>CH-PEA-A-Y2-11-6</x:v>
      </x:c>
      <x:c r="C648" s="7" t="str">
        <x:v>PEA-A-Y2</x:v>
      </x:c>
      <x:c r="D648" s="7" t="str">
        <x:v>BLD-A</x:v>
      </x:c>
      <x:c r="E648" s="7" t="str">
        <x:v>BL-Y</x:v>
      </x:c>
      <x:c r="F648" s="7" t="str">
        <x:v>MF-11</x:v>
      </x:c>
      <x:c r="G648" s="7" t="str">
        <x:v>casualty-source path state</x:v>
      </x:c>
      <x:c r="H648" s="7" t="n">
        <x:v>6</x:v>
      </x:c>
      <x:c r="I648" s="7" t="str"/>
      <x:c r="J648" s="7" t="str"/>
      <x:c r="K648" s="7" t="str"/>
      <x:c r="L648" s="7" t="str"/>
      <x:c r="M648" s="7" t="str"/>
      <x:c r="N648" s="7" t="str"/>
      <x:c r="O648" s="7" t="str">
        <x:f>IF(N648="","OPEN",IF(OR(I648="",J648="",K648="",L648="",M648=""),"FAIL","PASS"))</x:f>
        <x:v>OPEN</x:v>
      </x:c>
    </x:row>
    <x:row r="649">
      <x:c r="B649" s="7" t="str">
        <x:v>CH-PEA-A-Y2-12-1</x:v>
      </x:c>
      <x:c r="C649" s="7" t="str">
        <x:v>PEA-A-Y2</x:v>
      </x:c>
      <x:c r="D649" s="7" t="str">
        <x:v>BLD-A</x:v>
      </x:c>
      <x:c r="E649" s="7" t="str">
        <x:v>BL-Y</x:v>
      </x:c>
      <x:c r="F649" s="7" t="str">
        <x:v>MF-12</x:v>
      </x:c>
      <x:c r="G649" s="7" t="str">
        <x:v>candidate-water path state</x:v>
      </x:c>
      <x:c r="H649" s="7" t="n">
        <x:v>1</x:v>
      </x:c>
      <x:c r="I649" s="7" t="str"/>
      <x:c r="J649" s="7" t="str"/>
      <x:c r="K649" s="7" t="str"/>
      <x:c r="L649" s="7" t="str"/>
      <x:c r="M649" s="7" t="str"/>
      <x:c r="N649" s="7" t="str"/>
      <x:c r="O649" s="7" t="str">
        <x:f>IF(N649="","OPEN",IF(OR(I649="",J649="",K649="",L649="",M649=""),"FAIL","PASS"))</x:f>
        <x:v>OPEN</x:v>
      </x:c>
    </x:row>
    <x:row r="650">
      <x:c r="B650" s="7" t="str">
        <x:v>CH-PEA-A-Y2-12-2</x:v>
      </x:c>
      <x:c r="C650" s="7" t="str">
        <x:v>PEA-A-Y2</x:v>
      </x:c>
      <x:c r="D650" s="7" t="str">
        <x:v>BLD-A</x:v>
      </x:c>
      <x:c r="E650" s="7" t="str">
        <x:v>BL-Y</x:v>
      </x:c>
      <x:c r="F650" s="7" t="str">
        <x:v>MF-12</x:v>
      </x:c>
      <x:c r="G650" s="7" t="str">
        <x:v>candidate-water path state</x:v>
      </x:c>
      <x:c r="H650" s="7" t="n">
        <x:v>2</x:v>
      </x:c>
      <x:c r="I650" s="7" t="str"/>
      <x:c r="J650" s="7" t="str"/>
      <x:c r="K650" s="7" t="str"/>
      <x:c r="L650" s="7" t="str"/>
      <x:c r="M650" s="7" t="str"/>
      <x:c r="N650" s="7" t="str"/>
      <x:c r="O650" s="7" t="str">
        <x:f>IF(N650="","OPEN",IF(OR(I650="",J650="",K650="",L650="",M650=""),"FAIL","PASS"))</x:f>
        <x:v>OPEN</x:v>
      </x:c>
    </x:row>
    <x:row r="651">
      <x:c r="B651" s="7" t="str">
        <x:v>CH-PEA-A-Y2-12-3</x:v>
      </x:c>
      <x:c r="C651" s="7" t="str">
        <x:v>PEA-A-Y2</x:v>
      </x:c>
      <x:c r="D651" s="7" t="str">
        <x:v>BLD-A</x:v>
      </x:c>
      <x:c r="E651" s="7" t="str">
        <x:v>BL-Y</x:v>
      </x:c>
      <x:c r="F651" s="7" t="str">
        <x:v>MF-12</x:v>
      </x:c>
      <x:c r="G651" s="7" t="str">
        <x:v>candidate-water path state</x:v>
      </x:c>
      <x:c r="H651" s="7" t="n">
        <x:v>3</x:v>
      </x:c>
      <x:c r="I651" s="7" t="str"/>
      <x:c r="J651" s="7" t="str"/>
      <x:c r="K651" s="7" t="str"/>
      <x:c r="L651" s="7" t="str"/>
      <x:c r="M651" s="7" t="str"/>
      <x:c r="N651" s="7" t="str"/>
      <x:c r="O651" s="7" t="str">
        <x:f>IF(N651="","OPEN",IF(OR(I651="",J651="",K651="",L651="",M651=""),"FAIL","PASS"))</x:f>
        <x:v>OPEN</x:v>
      </x:c>
    </x:row>
    <x:row r="652">
      <x:c r="B652" s="7" t="str">
        <x:v>CH-PEA-A-Y2-12-4</x:v>
      </x:c>
      <x:c r="C652" s="7" t="str">
        <x:v>PEA-A-Y2</x:v>
      </x:c>
      <x:c r="D652" s="7" t="str">
        <x:v>BLD-A</x:v>
      </x:c>
      <x:c r="E652" s="7" t="str">
        <x:v>BL-Y</x:v>
      </x:c>
      <x:c r="F652" s="7" t="str">
        <x:v>MF-12</x:v>
      </x:c>
      <x:c r="G652" s="7" t="str">
        <x:v>candidate-water path state</x:v>
      </x:c>
      <x:c r="H652" s="7" t="n">
        <x:v>4</x:v>
      </x:c>
      <x:c r="I652" s="7" t="str"/>
      <x:c r="J652" s="7" t="str"/>
      <x:c r="K652" s="7" t="str"/>
      <x:c r="L652" s="7" t="str"/>
      <x:c r="M652" s="7" t="str"/>
      <x:c r="N652" s="7" t="str"/>
      <x:c r="O652" s="7" t="str">
        <x:f>IF(N652="","OPEN",IF(OR(I652="",J652="",K652="",L652="",M652=""),"FAIL","PASS"))</x:f>
        <x:v>OPEN</x:v>
      </x:c>
    </x:row>
    <x:row r="653">
      <x:c r="B653" s="7" t="str">
        <x:v>CH-PEA-A-Y2-12-5</x:v>
      </x:c>
      <x:c r="C653" s="7" t="str">
        <x:v>PEA-A-Y2</x:v>
      </x:c>
      <x:c r="D653" s="7" t="str">
        <x:v>BLD-A</x:v>
      </x:c>
      <x:c r="E653" s="7" t="str">
        <x:v>BL-Y</x:v>
      </x:c>
      <x:c r="F653" s="7" t="str">
        <x:v>MF-12</x:v>
      </x:c>
      <x:c r="G653" s="7" t="str">
        <x:v>candidate-water path state</x:v>
      </x:c>
      <x:c r="H653" s="7" t="n">
        <x:v>5</x:v>
      </x:c>
      <x:c r="I653" s="7" t="str"/>
      <x:c r="J653" s="7" t="str"/>
      <x:c r="K653" s="7" t="str"/>
      <x:c r="L653" s="7" t="str"/>
      <x:c r="M653" s="7" t="str"/>
      <x:c r="N653" s="7" t="str"/>
      <x:c r="O653" s="7" t="str">
        <x:f>IF(N653="","OPEN",IF(OR(I653="",J653="",K653="",L653="",M653=""),"FAIL","PASS"))</x:f>
        <x:v>OPEN</x:v>
      </x:c>
    </x:row>
    <x:row r="654">
      <x:c r="B654" s="7" t="str">
        <x:v>CH-PEA-A-Y2-12-6</x:v>
      </x:c>
      <x:c r="C654" s="7" t="str">
        <x:v>PEA-A-Y2</x:v>
      </x:c>
      <x:c r="D654" s="7" t="str">
        <x:v>BLD-A</x:v>
      </x:c>
      <x:c r="E654" s="7" t="str">
        <x:v>BL-Y</x:v>
      </x:c>
      <x:c r="F654" s="7" t="str">
        <x:v>MF-12</x:v>
      </x:c>
      <x:c r="G654" s="7" t="str">
        <x:v>candidate-water path state</x:v>
      </x:c>
      <x:c r="H654" s="7" t="n">
        <x:v>6</x:v>
      </x:c>
      <x:c r="I654" s="7" t="str"/>
      <x:c r="J654" s="7" t="str"/>
      <x:c r="K654" s="7" t="str"/>
      <x:c r="L654" s="7" t="str"/>
      <x:c r="M654" s="7" t="str"/>
      <x:c r="N654" s="7" t="str"/>
      <x:c r="O654" s="7" t="str">
        <x:f>IF(N654="","OPEN",IF(OR(I654="",J654="",K654="",L654="",M654=""),"FAIL","PASS"))</x:f>
        <x:v>OPEN</x:v>
      </x:c>
    </x:row>
    <x:row r="655">
      <x:c r="B655" s="7" t="str">
        <x:v>CH-PEA-A-Y2-13-1</x:v>
      </x:c>
      <x:c r="C655" s="7" t="str">
        <x:v>PEA-A-Y2</x:v>
      </x:c>
      <x:c r="D655" s="7" t="str">
        <x:v>BLD-A</x:v>
      </x:c>
      <x:c r="E655" s="7" t="str">
        <x:v>BL-Y</x:v>
      </x:c>
      <x:c r="F655" s="7" t="str">
        <x:v>MF-13</x:v>
      </x:c>
      <x:c r="G655" s="7" t="str">
        <x:v>final-element reference</x:v>
      </x:c>
      <x:c r="H655" s="7" t="n">
        <x:v>1</x:v>
      </x:c>
      <x:c r="I655" s="7" t="str"/>
      <x:c r="J655" s="7" t="str"/>
      <x:c r="K655" s="7" t="str"/>
      <x:c r="L655" s="7" t="str"/>
      <x:c r="M655" s="7" t="str"/>
      <x:c r="N655" s="7" t="str"/>
      <x:c r="O655" s="7" t="str">
        <x:f>IF(N655="","OPEN",IF(OR(I655="",J655="",K655="",L655="",M655=""),"FAIL","PASS"))</x:f>
        <x:v>OPEN</x:v>
      </x:c>
    </x:row>
    <x:row r="656">
      <x:c r="B656" s="7" t="str">
        <x:v>CH-PEA-A-Y2-13-2</x:v>
      </x:c>
      <x:c r="C656" s="7" t="str">
        <x:v>PEA-A-Y2</x:v>
      </x:c>
      <x:c r="D656" s="7" t="str">
        <x:v>BLD-A</x:v>
      </x:c>
      <x:c r="E656" s="7" t="str">
        <x:v>BL-Y</x:v>
      </x:c>
      <x:c r="F656" s="7" t="str">
        <x:v>MF-13</x:v>
      </x:c>
      <x:c r="G656" s="7" t="str">
        <x:v>final-element reference</x:v>
      </x:c>
      <x:c r="H656" s="7" t="n">
        <x:v>2</x:v>
      </x:c>
      <x:c r="I656" s="7" t="str"/>
      <x:c r="J656" s="7" t="str"/>
      <x:c r="K656" s="7" t="str"/>
      <x:c r="L656" s="7" t="str"/>
      <x:c r="M656" s="7" t="str"/>
      <x:c r="N656" s="7" t="str"/>
      <x:c r="O656" s="7" t="str">
        <x:f>IF(N656="","OPEN",IF(OR(I656="",J656="",K656="",L656="",M656=""),"FAIL","PASS"))</x:f>
        <x:v>OPEN</x:v>
      </x:c>
    </x:row>
    <x:row r="657">
      <x:c r="B657" s="7" t="str">
        <x:v>CH-PEA-A-Y2-13-3</x:v>
      </x:c>
      <x:c r="C657" s="7" t="str">
        <x:v>PEA-A-Y2</x:v>
      </x:c>
      <x:c r="D657" s="7" t="str">
        <x:v>BLD-A</x:v>
      </x:c>
      <x:c r="E657" s="7" t="str">
        <x:v>BL-Y</x:v>
      </x:c>
      <x:c r="F657" s="7" t="str">
        <x:v>MF-13</x:v>
      </x:c>
      <x:c r="G657" s="7" t="str">
        <x:v>final-element reference</x:v>
      </x:c>
      <x:c r="H657" s="7" t="n">
        <x:v>3</x:v>
      </x:c>
      <x:c r="I657" s="7" t="str"/>
      <x:c r="J657" s="7" t="str"/>
      <x:c r="K657" s="7" t="str"/>
      <x:c r="L657" s="7" t="str"/>
      <x:c r="M657" s="7" t="str"/>
      <x:c r="N657" s="7" t="str"/>
      <x:c r="O657" s="7" t="str">
        <x:f>IF(N657="","OPEN",IF(OR(I657="",J657="",K657="",L657="",M657=""),"FAIL","PASS"))</x:f>
        <x:v>OPEN</x:v>
      </x:c>
    </x:row>
    <x:row r="658">
      <x:c r="B658" s="7" t="str">
        <x:v>CH-PEA-A-Y2-13-4</x:v>
      </x:c>
      <x:c r="C658" s="7" t="str">
        <x:v>PEA-A-Y2</x:v>
      </x:c>
      <x:c r="D658" s="7" t="str">
        <x:v>BLD-A</x:v>
      </x:c>
      <x:c r="E658" s="7" t="str">
        <x:v>BL-Y</x:v>
      </x:c>
      <x:c r="F658" s="7" t="str">
        <x:v>MF-13</x:v>
      </x:c>
      <x:c r="G658" s="7" t="str">
        <x:v>final-element reference</x:v>
      </x:c>
      <x:c r="H658" s="7" t="n">
        <x:v>4</x:v>
      </x:c>
      <x:c r="I658" s="7" t="str"/>
      <x:c r="J658" s="7" t="str"/>
      <x:c r="K658" s="7" t="str"/>
      <x:c r="L658" s="7" t="str"/>
      <x:c r="M658" s="7" t="str"/>
      <x:c r="N658" s="7" t="str"/>
      <x:c r="O658" s="7" t="str">
        <x:f>IF(N658="","OPEN",IF(OR(I658="",J658="",K658="",L658="",M658=""),"FAIL","PASS"))</x:f>
        <x:v>OPEN</x:v>
      </x:c>
    </x:row>
    <x:row r="659">
      <x:c r="B659" s="7" t="str">
        <x:v>CH-PEA-A-Y2-13-5</x:v>
      </x:c>
      <x:c r="C659" s="7" t="str">
        <x:v>PEA-A-Y2</x:v>
      </x:c>
      <x:c r="D659" s="7" t="str">
        <x:v>BLD-A</x:v>
      </x:c>
      <x:c r="E659" s="7" t="str">
        <x:v>BL-Y</x:v>
      </x:c>
      <x:c r="F659" s="7" t="str">
        <x:v>MF-13</x:v>
      </x:c>
      <x:c r="G659" s="7" t="str">
        <x:v>final-element reference</x:v>
      </x:c>
      <x:c r="H659" s="7" t="n">
        <x:v>5</x:v>
      </x:c>
      <x:c r="I659" s="7" t="str"/>
      <x:c r="J659" s="7" t="str"/>
      <x:c r="K659" s="7" t="str"/>
      <x:c r="L659" s="7" t="str"/>
      <x:c r="M659" s="7" t="str"/>
      <x:c r="N659" s="7" t="str"/>
      <x:c r="O659" s="7" t="str">
        <x:f>IF(N659="","OPEN",IF(OR(I659="",J659="",K659="",L659="",M659=""),"FAIL","PASS"))</x:f>
        <x:v>OPEN</x:v>
      </x:c>
    </x:row>
    <x:row r="660">
      <x:c r="B660" s="7" t="str">
        <x:v>CH-PEA-A-Y2-13-6</x:v>
      </x:c>
      <x:c r="C660" s="7" t="str">
        <x:v>PEA-A-Y2</x:v>
      </x:c>
      <x:c r="D660" s="7" t="str">
        <x:v>BLD-A</x:v>
      </x:c>
      <x:c r="E660" s="7" t="str">
        <x:v>BL-Y</x:v>
      </x:c>
      <x:c r="F660" s="7" t="str">
        <x:v>MF-13</x:v>
      </x:c>
      <x:c r="G660" s="7" t="str">
        <x:v>final-element reference</x:v>
      </x:c>
      <x:c r="H660" s="7" t="n">
        <x:v>6</x:v>
      </x:c>
      <x:c r="I660" s="7" t="str"/>
      <x:c r="J660" s="7" t="str"/>
      <x:c r="K660" s="7" t="str"/>
      <x:c r="L660" s="7" t="str"/>
      <x:c r="M660" s="7" t="str"/>
      <x:c r="N660" s="7" t="str"/>
      <x:c r="O660" s="7" t="str">
        <x:f>IF(N660="","OPEN",IF(OR(I660="",J660="",K660="",L660="",M660=""),"FAIL","PASS"))</x:f>
        <x:v>OPEN</x:v>
      </x:c>
    </x:row>
    <x:row r="661">
      <x:c r="B661" s="7" t="str">
        <x:v>CH-PEA-A-Y2-14-1</x:v>
      </x:c>
      <x:c r="C661" s="7" t="str">
        <x:v>PEA-A-Y2</x:v>
      </x:c>
      <x:c r="D661" s="7" t="str">
        <x:v>BLD-A</x:v>
      </x:c>
      <x:c r="E661" s="7" t="str">
        <x:v>BL-Y</x:v>
      </x:c>
      <x:c r="F661" s="7" t="str">
        <x:v>MF-14</x:v>
      </x:c>
      <x:c r="G661" s="7" t="str">
        <x:v>causal time</x:v>
      </x:c>
      <x:c r="H661" s="7" t="n">
        <x:v>1</x:v>
      </x:c>
      <x:c r="I661" s="7" t="str"/>
      <x:c r="J661" s="7" t="str"/>
      <x:c r="K661" s="7" t="str"/>
      <x:c r="L661" s="7" t="str"/>
      <x:c r="M661" s="7" t="str"/>
      <x:c r="N661" s="7" t="str"/>
      <x:c r="O661" s="7" t="str">
        <x:f>IF(N661="","OPEN",IF(OR(I661="",J661="",K661="",L661="",M661=""),"FAIL","PASS"))</x:f>
        <x:v>OPEN</x:v>
      </x:c>
    </x:row>
    <x:row r="662">
      <x:c r="B662" s="7" t="str">
        <x:v>CH-PEA-A-Y2-14-2</x:v>
      </x:c>
      <x:c r="C662" s="7" t="str">
        <x:v>PEA-A-Y2</x:v>
      </x:c>
      <x:c r="D662" s="7" t="str">
        <x:v>BLD-A</x:v>
      </x:c>
      <x:c r="E662" s="7" t="str">
        <x:v>BL-Y</x:v>
      </x:c>
      <x:c r="F662" s="7" t="str">
        <x:v>MF-14</x:v>
      </x:c>
      <x:c r="G662" s="7" t="str">
        <x:v>causal time</x:v>
      </x:c>
      <x:c r="H662" s="7" t="n">
        <x:v>2</x:v>
      </x:c>
      <x:c r="I662" s="7" t="str"/>
      <x:c r="J662" s="7" t="str"/>
      <x:c r="K662" s="7" t="str"/>
      <x:c r="L662" s="7" t="str"/>
      <x:c r="M662" s="7" t="str"/>
      <x:c r="N662" s="7" t="str"/>
      <x:c r="O662" s="7" t="str">
        <x:f>IF(N662="","OPEN",IF(OR(I662="",J662="",K662="",L662="",M662=""),"FAIL","PASS"))</x:f>
        <x:v>OPEN</x:v>
      </x:c>
    </x:row>
    <x:row r="663">
      <x:c r="B663" s="7" t="str">
        <x:v>CH-PEA-A-Y2-14-3</x:v>
      </x:c>
      <x:c r="C663" s="7" t="str">
        <x:v>PEA-A-Y2</x:v>
      </x:c>
      <x:c r="D663" s="7" t="str">
        <x:v>BLD-A</x:v>
      </x:c>
      <x:c r="E663" s="7" t="str">
        <x:v>BL-Y</x:v>
      </x:c>
      <x:c r="F663" s="7" t="str">
        <x:v>MF-14</x:v>
      </x:c>
      <x:c r="G663" s="7" t="str">
        <x:v>causal time</x:v>
      </x:c>
      <x:c r="H663" s="7" t="n">
        <x:v>3</x:v>
      </x:c>
      <x:c r="I663" s="7" t="str"/>
      <x:c r="J663" s="7" t="str"/>
      <x:c r="K663" s="7" t="str"/>
      <x:c r="L663" s="7" t="str"/>
      <x:c r="M663" s="7" t="str"/>
      <x:c r="N663" s="7" t="str"/>
      <x:c r="O663" s="7" t="str">
        <x:f>IF(N663="","OPEN",IF(OR(I663="",J663="",K663="",L663="",M663=""),"FAIL","PASS"))</x:f>
        <x:v>OPEN</x:v>
      </x:c>
    </x:row>
    <x:row r="664">
      <x:c r="B664" s="7" t="str">
        <x:v>CH-PEA-A-Y2-14-4</x:v>
      </x:c>
      <x:c r="C664" s="7" t="str">
        <x:v>PEA-A-Y2</x:v>
      </x:c>
      <x:c r="D664" s="7" t="str">
        <x:v>BLD-A</x:v>
      </x:c>
      <x:c r="E664" s="7" t="str">
        <x:v>BL-Y</x:v>
      </x:c>
      <x:c r="F664" s="7" t="str">
        <x:v>MF-14</x:v>
      </x:c>
      <x:c r="G664" s="7" t="str">
        <x:v>causal time</x:v>
      </x:c>
      <x:c r="H664" s="7" t="n">
        <x:v>4</x:v>
      </x:c>
      <x:c r="I664" s="7" t="str"/>
      <x:c r="J664" s="7" t="str"/>
      <x:c r="K664" s="7" t="str"/>
      <x:c r="L664" s="7" t="str"/>
      <x:c r="M664" s="7" t="str"/>
      <x:c r="N664" s="7" t="str"/>
      <x:c r="O664" s="7" t="str">
        <x:f>IF(N664="","OPEN",IF(OR(I664="",J664="",K664="",L664="",M664=""),"FAIL","PASS"))</x:f>
        <x:v>OPEN</x:v>
      </x:c>
    </x:row>
    <x:row r="665">
      <x:c r="B665" s="7" t="str">
        <x:v>CH-PEA-A-Y2-14-5</x:v>
      </x:c>
      <x:c r="C665" s="7" t="str">
        <x:v>PEA-A-Y2</x:v>
      </x:c>
      <x:c r="D665" s="7" t="str">
        <x:v>BLD-A</x:v>
      </x:c>
      <x:c r="E665" s="7" t="str">
        <x:v>BL-Y</x:v>
      </x:c>
      <x:c r="F665" s="7" t="str">
        <x:v>MF-14</x:v>
      </x:c>
      <x:c r="G665" s="7" t="str">
        <x:v>causal time</x:v>
      </x:c>
      <x:c r="H665" s="7" t="n">
        <x:v>5</x:v>
      </x:c>
      <x:c r="I665" s="7" t="str"/>
      <x:c r="J665" s="7" t="str"/>
      <x:c r="K665" s="7" t="str"/>
      <x:c r="L665" s="7" t="str"/>
      <x:c r="M665" s="7" t="str"/>
      <x:c r="N665" s="7" t="str"/>
      <x:c r="O665" s="7" t="str">
        <x:f>IF(N665="","OPEN",IF(OR(I665="",J665="",K665="",L665="",M665=""),"FAIL","PASS"))</x:f>
        <x:v>OPEN</x:v>
      </x:c>
    </x:row>
    <x:row r="666">
      <x:c r="B666" s="7" t="str">
        <x:v>CH-PEA-A-Y2-14-6</x:v>
      </x:c>
      <x:c r="C666" s="7" t="str">
        <x:v>PEA-A-Y2</x:v>
      </x:c>
      <x:c r="D666" s="7" t="str">
        <x:v>BLD-A</x:v>
      </x:c>
      <x:c r="E666" s="7" t="str">
        <x:v>BL-Y</x:v>
      </x:c>
      <x:c r="F666" s="7" t="str">
        <x:v>MF-14</x:v>
      </x:c>
      <x:c r="G666" s="7" t="str">
        <x:v>causal time</x:v>
      </x:c>
      <x:c r="H666" s="7" t="n">
        <x:v>6</x:v>
      </x:c>
      <x:c r="I666" s="7" t="str"/>
      <x:c r="J666" s="7" t="str"/>
      <x:c r="K666" s="7" t="str"/>
      <x:c r="L666" s="7" t="str"/>
      <x:c r="M666" s="7" t="str"/>
      <x:c r="N666" s="7" t="str"/>
      <x:c r="O666" s="7" t="str">
        <x:f>IF(N666="","OPEN",IF(OR(I666="",J666="",K666="",L666="",M666=""),"FAIL","PASS"))</x:f>
        <x:v>OPEN</x:v>
      </x:c>
    </x:row>
    <x:row r="667">
      <x:c r="B667" s="7" t="str">
        <x:v>CH-PEA-A-Y2-15-1</x:v>
      </x:c>
      <x:c r="C667" s="7" t="str">
        <x:v>PEA-A-Y2</x:v>
      </x:c>
      <x:c r="D667" s="7" t="str">
        <x:v>BLD-A</x:v>
      </x:c>
      <x:c r="E667" s="7" t="str">
        <x:v>BL-Y</x:v>
      </x:c>
      <x:c r="F667" s="7" t="str">
        <x:v>MF-15</x:v>
      </x:c>
      <x:c r="G667" s="7" t="str">
        <x:v>source motive energy</x:v>
      </x:c>
      <x:c r="H667" s="7" t="n">
        <x:v>1</x:v>
      </x:c>
      <x:c r="I667" s="7" t="str"/>
      <x:c r="J667" s="7" t="str"/>
      <x:c r="K667" s="7" t="str"/>
      <x:c r="L667" s="7" t="str"/>
      <x:c r="M667" s="7" t="str"/>
      <x:c r="N667" s="7" t="str"/>
      <x:c r="O667" s="7" t="str">
        <x:f>IF(N667="","OPEN",IF(OR(I667="",J667="",K667="",L667="",M667=""),"FAIL","PASS"))</x:f>
        <x:v>OPEN</x:v>
      </x:c>
    </x:row>
    <x:row r="668">
      <x:c r="B668" s="7" t="str">
        <x:v>CH-PEA-A-Y2-15-2</x:v>
      </x:c>
      <x:c r="C668" s="7" t="str">
        <x:v>PEA-A-Y2</x:v>
      </x:c>
      <x:c r="D668" s="7" t="str">
        <x:v>BLD-A</x:v>
      </x:c>
      <x:c r="E668" s="7" t="str">
        <x:v>BL-Y</x:v>
      </x:c>
      <x:c r="F668" s="7" t="str">
        <x:v>MF-15</x:v>
      </x:c>
      <x:c r="G668" s="7" t="str">
        <x:v>source motive energy</x:v>
      </x:c>
      <x:c r="H668" s="7" t="n">
        <x:v>2</x:v>
      </x:c>
      <x:c r="I668" s="7" t="str"/>
      <x:c r="J668" s="7" t="str"/>
      <x:c r="K668" s="7" t="str"/>
      <x:c r="L668" s="7" t="str"/>
      <x:c r="M668" s="7" t="str"/>
      <x:c r="N668" s="7" t="str"/>
      <x:c r="O668" s="7" t="str">
        <x:f>IF(N668="","OPEN",IF(OR(I668="",J668="",K668="",L668="",M668=""),"FAIL","PASS"))</x:f>
        <x:v>OPEN</x:v>
      </x:c>
    </x:row>
    <x:row r="669">
      <x:c r="B669" s="7" t="str">
        <x:v>CH-PEA-A-Y2-15-3</x:v>
      </x:c>
      <x:c r="C669" s="7" t="str">
        <x:v>PEA-A-Y2</x:v>
      </x:c>
      <x:c r="D669" s="7" t="str">
        <x:v>BLD-A</x:v>
      </x:c>
      <x:c r="E669" s="7" t="str">
        <x:v>BL-Y</x:v>
      </x:c>
      <x:c r="F669" s="7" t="str">
        <x:v>MF-15</x:v>
      </x:c>
      <x:c r="G669" s="7" t="str">
        <x:v>source motive energy</x:v>
      </x:c>
      <x:c r="H669" s="7" t="n">
        <x:v>3</x:v>
      </x:c>
      <x:c r="I669" s="7" t="str"/>
      <x:c r="J669" s="7" t="str"/>
      <x:c r="K669" s="7" t="str"/>
      <x:c r="L669" s="7" t="str"/>
      <x:c r="M669" s="7" t="str"/>
      <x:c r="N669" s="7" t="str"/>
      <x:c r="O669" s="7" t="str">
        <x:f>IF(N669="","OPEN",IF(OR(I669="",J669="",K669="",L669="",M669=""),"FAIL","PASS"))</x:f>
        <x:v>OPEN</x:v>
      </x:c>
    </x:row>
    <x:row r="670">
      <x:c r="B670" s="7" t="str">
        <x:v>CH-PEA-A-Y2-15-4</x:v>
      </x:c>
      <x:c r="C670" s="7" t="str">
        <x:v>PEA-A-Y2</x:v>
      </x:c>
      <x:c r="D670" s="7" t="str">
        <x:v>BLD-A</x:v>
      </x:c>
      <x:c r="E670" s="7" t="str">
        <x:v>BL-Y</x:v>
      </x:c>
      <x:c r="F670" s="7" t="str">
        <x:v>MF-15</x:v>
      </x:c>
      <x:c r="G670" s="7" t="str">
        <x:v>source motive energy</x:v>
      </x:c>
      <x:c r="H670" s="7" t="n">
        <x:v>4</x:v>
      </x:c>
      <x:c r="I670" s="7" t="str"/>
      <x:c r="J670" s="7" t="str"/>
      <x:c r="K670" s="7" t="str"/>
      <x:c r="L670" s="7" t="str"/>
      <x:c r="M670" s="7" t="str"/>
      <x:c r="N670" s="7" t="str"/>
      <x:c r="O670" s="7" t="str">
        <x:f>IF(N670="","OPEN",IF(OR(I670="",J670="",K670="",L670="",M670=""),"FAIL","PASS"))</x:f>
        <x:v>OPEN</x:v>
      </x:c>
    </x:row>
    <x:row r="671">
      <x:c r="B671" s="7" t="str">
        <x:v>CH-PEA-A-Y2-15-5</x:v>
      </x:c>
      <x:c r="C671" s="7" t="str">
        <x:v>PEA-A-Y2</x:v>
      </x:c>
      <x:c r="D671" s="7" t="str">
        <x:v>BLD-A</x:v>
      </x:c>
      <x:c r="E671" s="7" t="str">
        <x:v>BL-Y</x:v>
      </x:c>
      <x:c r="F671" s="7" t="str">
        <x:v>MF-15</x:v>
      </x:c>
      <x:c r="G671" s="7" t="str">
        <x:v>source motive energy</x:v>
      </x:c>
      <x:c r="H671" s="7" t="n">
        <x:v>5</x:v>
      </x:c>
      <x:c r="I671" s="7" t="str"/>
      <x:c r="J671" s="7" t="str"/>
      <x:c r="K671" s="7" t="str"/>
      <x:c r="L671" s="7" t="str"/>
      <x:c r="M671" s="7" t="str"/>
      <x:c r="N671" s="7" t="str"/>
      <x:c r="O671" s="7" t="str">
        <x:f>IF(N671="","OPEN",IF(OR(I671="",J671="",K671="",L671="",M671=""),"FAIL","PASS"))</x:f>
        <x:v>OPEN</x:v>
      </x:c>
    </x:row>
    <x:row r="672">
      <x:c r="B672" s="7" t="str">
        <x:v>CH-PEA-A-Y2-15-6</x:v>
      </x:c>
      <x:c r="C672" s="7" t="str">
        <x:v>PEA-A-Y2</x:v>
      </x:c>
      <x:c r="D672" s="7" t="str">
        <x:v>BLD-A</x:v>
      </x:c>
      <x:c r="E672" s="7" t="str">
        <x:v>BL-Y</x:v>
      </x:c>
      <x:c r="F672" s="7" t="str">
        <x:v>MF-15</x:v>
      </x:c>
      <x:c r="G672" s="7" t="str">
        <x:v>source motive energy</x:v>
      </x:c>
      <x:c r="H672" s="7" t="n">
        <x:v>6</x:v>
      </x:c>
      <x:c r="I672" s="7" t="str"/>
      <x:c r="J672" s="7" t="str"/>
      <x:c r="K672" s="7" t="str"/>
      <x:c r="L672" s="7" t="str"/>
      <x:c r="M672" s="7" t="str"/>
      <x:c r="N672" s="7" t="str"/>
      <x:c r="O672" s="7" t="str">
        <x:f>IF(N672="","OPEN",IF(OR(I672="",J672="",K672="",L672="",M672=""),"FAIL","PASS"))</x:f>
        <x:v>OPEN</x:v>
      </x:c>
    </x:row>
    <x:row r="673">
      <x:c r="B673" s="7" t="str">
        <x:v>CH-PEA-A-Y2-16-1</x:v>
      </x:c>
      <x:c r="C673" s="7" t="str">
        <x:v>PEA-A-Y2</x:v>
      </x:c>
      <x:c r="D673" s="7" t="str">
        <x:v>BLD-A</x:v>
      </x:c>
      <x:c r="E673" s="7" t="str">
        <x:v>BL-Y</x:v>
      </x:c>
      <x:c r="F673" s="7" t="str">
        <x:v>MF-16</x:v>
      </x:c>
      <x:c r="G673" s="7" t="str">
        <x:v>water motive energy</x:v>
      </x:c>
      <x:c r="H673" s="7" t="n">
        <x:v>1</x:v>
      </x:c>
      <x:c r="I673" s="7" t="str"/>
      <x:c r="J673" s="7" t="str"/>
      <x:c r="K673" s="7" t="str"/>
      <x:c r="L673" s="7" t="str"/>
      <x:c r="M673" s="7" t="str"/>
      <x:c r="N673" s="7" t="str"/>
      <x:c r="O673" s="7" t="str">
        <x:f>IF(N673="","OPEN",IF(OR(I673="",J673="",K673="",L673="",M673=""),"FAIL","PASS"))</x:f>
        <x:v>OPEN</x:v>
      </x:c>
    </x:row>
    <x:row r="674">
      <x:c r="B674" s="7" t="str">
        <x:v>CH-PEA-A-Y2-16-2</x:v>
      </x:c>
      <x:c r="C674" s="7" t="str">
        <x:v>PEA-A-Y2</x:v>
      </x:c>
      <x:c r="D674" s="7" t="str">
        <x:v>BLD-A</x:v>
      </x:c>
      <x:c r="E674" s="7" t="str">
        <x:v>BL-Y</x:v>
      </x:c>
      <x:c r="F674" s="7" t="str">
        <x:v>MF-16</x:v>
      </x:c>
      <x:c r="G674" s="7" t="str">
        <x:v>water motive energy</x:v>
      </x:c>
      <x:c r="H674" s="7" t="n">
        <x:v>2</x:v>
      </x:c>
      <x:c r="I674" s="7" t="str"/>
      <x:c r="J674" s="7" t="str"/>
      <x:c r="K674" s="7" t="str"/>
      <x:c r="L674" s="7" t="str"/>
      <x:c r="M674" s="7" t="str"/>
      <x:c r="N674" s="7" t="str"/>
      <x:c r="O674" s="7" t="str">
        <x:f>IF(N674="","OPEN",IF(OR(I674="",J674="",K674="",L674="",M674=""),"FAIL","PASS"))</x:f>
        <x:v>OPEN</x:v>
      </x:c>
    </x:row>
    <x:row r="675">
      <x:c r="B675" s="7" t="str">
        <x:v>CH-PEA-A-Y2-16-3</x:v>
      </x:c>
      <x:c r="C675" s="7" t="str">
        <x:v>PEA-A-Y2</x:v>
      </x:c>
      <x:c r="D675" s="7" t="str">
        <x:v>BLD-A</x:v>
      </x:c>
      <x:c r="E675" s="7" t="str">
        <x:v>BL-Y</x:v>
      </x:c>
      <x:c r="F675" s="7" t="str">
        <x:v>MF-16</x:v>
      </x:c>
      <x:c r="G675" s="7" t="str">
        <x:v>water motive energy</x:v>
      </x:c>
      <x:c r="H675" s="7" t="n">
        <x:v>3</x:v>
      </x:c>
      <x:c r="I675" s="7" t="str"/>
      <x:c r="J675" s="7" t="str"/>
      <x:c r="K675" s="7" t="str"/>
      <x:c r="L675" s="7" t="str"/>
      <x:c r="M675" s="7" t="str"/>
      <x:c r="N675" s="7" t="str"/>
      <x:c r="O675" s="7" t="str">
        <x:f>IF(N675="","OPEN",IF(OR(I675="",J675="",K675="",L675="",M675=""),"FAIL","PASS"))</x:f>
        <x:v>OPEN</x:v>
      </x:c>
    </x:row>
    <x:row r="676">
      <x:c r="B676" s="7" t="str">
        <x:v>CH-PEA-A-Y2-16-4</x:v>
      </x:c>
      <x:c r="C676" s="7" t="str">
        <x:v>PEA-A-Y2</x:v>
      </x:c>
      <x:c r="D676" s="7" t="str">
        <x:v>BLD-A</x:v>
      </x:c>
      <x:c r="E676" s="7" t="str">
        <x:v>BL-Y</x:v>
      </x:c>
      <x:c r="F676" s="7" t="str">
        <x:v>MF-16</x:v>
      </x:c>
      <x:c r="G676" s="7" t="str">
        <x:v>water motive energy</x:v>
      </x:c>
      <x:c r="H676" s="7" t="n">
        <x:v>4</x:v>
      </x:c>
      <x:c r="I676" s="7" t="str"/>
      <x:c r="J676" s="7" t="str"/>
      <x:c r="K676" s="7" t="str"/>
      <x:c r="L676" s="7" t="str"/>
      <x:c r="M676" s="7" t="str"/>
      <x:c r="N676" s="7" t="str"/>
      <x:c r="O676" s="7" t="str">
        <x:f>IF(N676="","OPEN",IF(OR(I676="",J676="",K676="",L676="",M676=""),"FAIL","PASS"))</x:f>
        <x:v>OPEN</x:v>
      </x:c>
    </x:row>
    <x:row r="677">
      <x:c r="B677" s="7" t="str">
        <x:v>CH-PEA-A-Y2-16-5</x:v>
      </x:c>
      <x:c r="C677" s="7" t="str">
        <x:v>PEA-A-Y2</x:v>
      </x:c>
      <x:c r="D677" s="7" t="str">
        <x:v>BLD-A</x:v>
      </x:c>
      <x:c r="E677" s="7" t="str">
        <x:v>BL-Y</x:v>
      </x:c>
      <x:c r="F677" s="7" t="str">
        <x:v>MF-16</x:v>
      </x:c>
      <x:c r="G677" s="7" t="str">
        <x:v>water motive energy</x:v>
      </x:c>
      <x:c r="H677" s="7" t="n">
        <x:v>5</x:v>
      </x:c>
      <x:c r="I677" s="7" t="str"/>
      <x:c r="J677" s="7" t="str"/>
      <x:c r="K677" s="7" t="str"/>
      <x:c r="L677" s="7" t="str"/>
      <x:c r="M677" s="7" t="str"/>
      <x:c r="N677" s="7" t="str"/>
      <x:c r="O677" s="7" t="str">
        <x:f>IF(N677="","OPEN",IF(OR(I677="",J677="",K677="",L677="",M677=""),"FAIL","PASS"))</x:f>
        <x:v>OPEN</x:v>
      </x:c>
    </x:row>
    <x:row r="678">
      <x:c r="B678" s="7" t="str">
        <x:v>CH-PEA-A-Y2-16-6</x:v>
      </x:c>
      <x:c r="C678" s="7" t="str">
        <x:v>PEA-A-Y2</x:v>
      </x:c>
      <x:c r="D678" s="7" t="str">
        <x:v>BLD-A</x:v>
      </x:c>
      <x:c r="E678" s="7" t="str">
        <x:v>BL-Y</x:v>
      </x:c>
      <x:c r="F678" s="7" t="str">
        <x:v>MF-16</x:v>
      </x:c>
      <x:c r="G678" s="7" t="str">
        <x:v>water motive energy</x:v>
      </x:c>
      <x:c r="H678" s="7" t="n">
        <x:v>6</x:v>
      </x:c>
      <x:c r="I678" s="7" t="str"/>
      <x:c r="J678" s="7" t="str"/>
      <x:c r="K678" s="7" t="str"/>
      <x:c r="L678" s="7" t="str"/>
      <x:c r="M678" s="7" t="str"/>
      <x:c r="N678" s="7" t="str"/>
      <x:c r="O678" s="7" t="str">
        <x:f>IF(N678="","OPEN",IF(OR(I678="",J678="",K678="",L678="",M678=""),"FAIL","PASS"))</x:f>
        <x:v>OPEN</x:v>
      </x:c>
    </x:row>
    <x:row r="679">
      <x:c r="B679" s="7" t="str">
        <x:v>CH-PEA-A-Y2-17-1</x:v>
      </x:c>
      <x:c r="C679" s="7" t="str">
        <x:v>PEA-A-Y2</x:v>
      </x:c>
      <x:c r="D679" s="7" t="str">
        <x:v>BLD-A</x:v>
      </x:c>
      <x:c r="E679" s="7" t="str">
        <x:v>BL-Y</x:v>
      </x:c>
      <x:c r="F679" s="7" t="str">
        <x:v>MF-17</x:v>
      </x:c>
      <x:c r="G679" s="7" t="str">
        <x:v>normal power</x:v>
      </x:c>
      <x:c r="H679" s="7" t="n">
        <x:v>1</x:v>
      </x:c>
      <x:c r="I679" s="7" t="str"/>
      <x:c r="J679" s="7" t="str"/>
      <x:c r="K679" s="7" t="str"/>
      <x:c r="L679" s="7" t="str"/>
      <x:c r="M679" s="7" t="str"/>
      <x:c r="N679" s="7" t="str"/>
      <x:c r="O679" s="7" t="str">
        <x:f>IF(N679="","OPEN",IF(OR(I679="",J679="",K679="",L679="",M679=""),"FAIL","PASS"))</x:f>
        <x:v>OPEN</x:v>
      </x:c>
    </x:row>
    <x:row r="680">
      <x:c r="B680" s="7" t="str">
        <x:v>CH-PEA-A-Y2-17-2</x:v>
      </x:c>
      <x:c r="C680" s="7" t="str">
        <x:v>PEA-A-Y2</x:v>
      </x:c>
      <x:c r="D680" s="7" t="str">
        <x:v>BLD-A</x:v>
      </x:c>
      <x:c r="E680" s="7" t="str">
        <x:v>BL-Y</x:v>
      </x:c>
      <x:c r="F680" s="7" t="str">
        <x:v>MF-17</x:v>
      </x:c>
      <x:c r="G680" s="7" t="str">
        <x:v>normal power</x:v>
      </x:c>
      <x:c r="H680" s="7" t="n">
        <x:v>2</x:v>
      </x:c>
      <x:c r="I680" s="7" t="str"/>
      <x:c r="J680" s="7" t="str"/>
      <x:c r="K680" s="7" t="str"/>
      <x:c r="L680" s="7" t="str"/>
      <x:c r="M680" s="7" t="str"/>
      <x:c r="N680" s="7" t="str"/>
      <x:c r="O680" s="7" t="str">
        <x:f>IF(N680="","OPEN",IF(OR(I680="",J680="",K680="",L680="",M680=""),"FAIL","PASS"))</x:f>
        <x:v>OPEN</x:v>
      </x:c>
    </x:row>
    <x:row r="681">
      <x:c r="B681" s="7" t="str">
        <x:v>CH-PEA-A-Y2-17-3</x:v>
      </x:c>
      <x:c r="C681" s="7" t="str">
        <x:v>PEA-A-Y2</x:v>
      </x:c>
      <x:c r="D681" s="7" t="str">
        <x:v>BLD-A</x:v>
      </x:c>
      <x:c r="E681" s="7" t="str">
        <x:v>BL-Y</x:v>
      </x:c>
      <x:c r="F681" s="7" t="str">
        <x:v>MF-17</x:v>
      </x:c>
      <x:c r="G681" s="7" t="str">
        <x:v>normal power</x:v>
      </x:c>
      <x:c r="H681" s="7" t="n">
        <x:v>3</x:v>
      </x:c>
      <x:c r="I681" s="7" t="str"/>
      <x:c r="J681" s="7" t="str"/>
      <x:c r="K681" s="7" t="str"/>
      <x:c r="L681" s="7" t="str"/>
      <x:c r="M681" s="7" t="str"/>
      <x:c r="N681" s="7" t="str"/>
      <x:c r="O681" s="7" t="str">
        <x:f>IF(N681="","OPEN",IF(OR(I681="",J681="",K681="",L681="",M681=""),"FAIL","PASS"))</x:f>
        <x:v>OPEN</x:v>
      </x:c>
    </x:row>
    <x:row r="682">
      <x:c r="B682" s="7" t="str">
        <x:v>CH-PEA-A-Y2-17-4</x:v>
      </x:c>
      <x:c r="C682" s="7" t="str">
        <x:v>PEA-A-Y2</x:v>
      </x:c>
      <x:c r="D682" s="7" t="str">
        <x:v>BLD-A</x:v>
      </x:c>
      <x:c r="E682" s="7" t="str">
        <x:v>BL-Y</x:v>
      </x:c>
      <x:c r="F682" s="7" t="str">
        <x:v>MF-17</x:v>
      </x:c>
      <x:c r="G682" s="7" t="str">
        <x:v>normal power</x:v>
      </x:c>
      <x:c r="H682" s="7" t="n">
        <x:v>4</x:v>
      </x:c>
      <x:c r="I682" s="7" t="str"/>
      <x:c r="J682" s="7" t="str"/>
      <x:c r="K682" s="7" t="str"/>
      <x:c r="L682" s="7" t="str"/>
      <x:c r="M682" s="7" t="str"/>
      <x:c r="N682" s="7" t="str"/>
      <x:c r="O682" s="7" t="str">
        <x:f>IF(N682="","OPEN",IF(OR(I682="",J682="",K682="",L682="",M682=""),"FAIL","PASS"))</x:f>
        <x:v>OPEN</x:v>
      </x:c>
    </x:row>
    <x:row r="683">
      <x:c r="B683" s="7" t="str">
        <x:v>CH-PEA-A-Y2-17-5</x:v>
      </x:c>
      <x:c r="C683" s="7" t="str">
        <x:v>PEA-A-Y2</x:v>
      </x:c>
      <x:c r="D683" s="7" t="str">
        <x:v>BLD-A</x:v>
      </x:c>
      <x:c r="E683" s="7" t="str">
        <x:v>BL-Y</x:v>
      </x:c>
      <x:c r="F683" s="7" t="str">
        <x:v>MF-17</x:v>
      </x:c>
      <x:c r="G683" s="7" t="str">
        <x:v>normal power</x:v>
      </x:c>
      <x:c r="H683" s="7" t="n">
        <x:v>5</x:v>
      </x:c>
      <x:c r="I683" s="7" t="str"/>
      <x:c r="J683" s="7" t="str"/>
      <x:c r="K683" s="7" t="str"/>
      <x:c r="L683" s="7" t="str"/>
      <x:c r="M683" s="7" t="str"/>
      <x:c r="N683" s="7" t="str"/>
      <x:c r="O683" s="7" t="str">
        <x:f>IF(N683="","OPEN",IF(OR(I683="",J683="",K683="",L683="",M683=""),"FAIL","PASS"))</x:f>
        <x:v>OPEN</x:v>
      </x:c>
    </x:row>
    <x:row r="684">
      <x:c r="B684" s="7" t="str">
        <x:v>CH-PEA-A-Y2-17-6</x:v>
      </x:c>
      <x:c r="C684" s="7" t="str">
        <x:v>PEA-A-Y2</x:v>
      </x:c>
      <x:c r="D684" s="7" t="str">
        <x:v>BLD-A</x:v>
      </x:c>
      <x:c r="E684" s="7" t="str">
        <x:v>BL-Y</x:v>
      </x:c>
      <x:c r="F684" s="7" t="str">
        <x:v>MF-17</x:v>
      </x:c>
      <x:c r="G684" s="7" t="str">
        <x:v>normal power</x:v>
      </x:c>
      <x:c r="H684" s="7" t="n">
        <x:v>6</x:v>
      </x:c>
      <x:c r="I684" s="7" t="str"/>
      <x:c r="J684" s="7" t="str"/>
      <x:c r="K684" s="7" t="str"/>
      <x:c r="L684" s="7" t="str"/>
      <x:c r="M684" s="7" t="str"/>
      <x:c r="N684" s="7" t="str"/>
      <x:c r="O684" s="7" t="str">
        <x:f>IF(N684="","OPEN",IF(OR(I684="",J684="",K684="",L684="",M684=""),"FAIL","PASS"))</x:f>
        <x:v>OPEN</x:v>
      </x:c>
    </x:row>
    <x:row r="685">
      <x:c r="B685" s="7" t="str">
        <x:v>CH-PEA-A-Y2-18-1</x:v>
      </x:c>
      <x:c r="C685" s="7" t="str">
        <x:v>PEA-A-Y2</x:v>
      </x:c>
      <x:c r="D685" s="7" t="str">
        <x:v>BLD-A</x:v>
      </x:c>
      <x:c r="E685" s="7" t="str">
        <x:v>BL-Y</x:v>
      </x:c>
      <x:c r="F685" s="7" t="str">
        <x:v>MF-18</x:v>
      </x:c>
      <x:c r="G685" s="7" t="str">
        <x:v>independent power</x:v>
      </x:c>
      <x:c r="H685" s="7" t="n">
        <x:v>1</x:v>
      </x:c>
      <x:c r="I685" s="7" t="str"/>
      <x:c r="J685" s="7" t="str"/>
      <x:c r="K685" s="7" t="str"/>
      <x:c r="L685" s="7" t="str"/>
      <x:c r="M685" s="7" t="str"/>
      <x:c r="N685" s="7" t="str"/>
      <x:c r="O685" s="7" t="str">
        <x:f>IF(N685="","OPEN",IF(OR(I685="",J685="",K685="",L685="",M685=""),"FAIL","PASS"))</x:f>
        <x:v>OPEN</x:v>
      </x:c>
    </x:row>
    <x:row r="686">
      <x:c r="B686" s="7" t="str">
        <x:v>CH-PEA-A-Y2-18-2</x:v>
      </x:c>
      <x:c r="C686" s="7" t="str">
        <x:v>PEA-A-Y2</x:v>
      </x:c>
      <x:c r="D686" s="7" t="str">
        <x:v>BLD-A</x:v>
      </x:c>
      <x:c r="E686" s="7" t="str">
        <x:v>BL-Y</x:v>
      </x:c>
      <x:c r="F686" s="7" t="str">
        <x:v>MF-18</x:v>
      </x:c>
      <x:c r="G686" s="7" t="str">
        <x:v>independent power</x:v>
      </x:c>
      <x:c r="H686" s="7" t="n">
        <x:v>2</x:v>
      </x:c>
      <x:c r="I686" s="7" t="str"/>
      <x:c r="J686" s="7" t="str"/>
      <x:c r="K686" s="7" t="str"/>
      <x:c r="L686" s="7" t="str"/>
      <x:c r="M686" s="7" t="str"/>
      <x:c r="N686" s="7" t="str"/>
      <x:c r="O686" s="7" t="str">
        <x:f>IF(N686="","OPEN",IF(OR(I686="",J686="",K686="",L686="",M686=""),"FAIL","PASS"))</x:f>
        <x:v>OPEN</x:v>
      </x:c>
    </x:row>
    <x:row r="687">
      <x:c r="B687" s="7" t="str">
        <x:v>CH-PEA-A-Y2-18-3</x:v>
      </x:c>
      <x:c r="C687" s="7" t="str">
        <x:v>PEA-A-Y2</x:v>
      </x:c>
      <x:c r="D687" s="7" t="str">
        <x:v>BLD-A</x:v>
      </x:c>
      <x:c r="E687" s="7" t="str">
        <x:v>BL-Y</x:v>
      </x:c>
      <x:c r="F687" s="7" t="str">
        <x:v>MF-18</x:v>
      </x:c>
      <x:c r="G687" s="7" t="str">
        <x:v>independent power</x:v>
      </x:c>
      <x:c r="H687" s="7" t="n">
        <x:v>3</x:v>
      </x:c>
      <x:c r="I687" s="7" t="str"/>
      <x:c r="J687" s="7" t="str"/>
      <x:c r="K687" s="7" t="str"/>
      <x:c r="L687" s="7" t="str"/>
      <x:c r="M687" s="7" t="str"/>
      <x:c r="N687" s="7" t="str"/>
      <x:c r="O687" s="7" t="str">
        <x:f>IF(N687="","OPEN",IF(OR(I687="",J687="",K687="",L687="",M687=""),"FAIL","PASS"))</x:f>
        <x:v>OPEN</x:v>
      </x:c>
    </x:row>
    <x:row r="688">
      <x:c r="B688" s="7" t="str">
        <x:v>CH-PEA-A-Y2-18-4</x:v>
      </x:c>
      <x:c r="C688" s="7" t="str">
        <x:v>PEA-A-Y2</x:v>
      </x:c>
      <x:c r="D688" s="7" t="str">
        <x:v>BLD-A</x:v>
      </x:c>
      <x:c r="E688" s="7" t="str">
        <x:v>BL-Y</x:v>
      </x:c>
      <x:c r="F688" s="7" t="str">
        <x:v>MF-18</x:v>
      </x:c>
      <x:c r="G688" s="7" t="str">
        <x:v>independent power</x:v>
      </x:c>
      <x:c r="H688" s="7" t="n">
        <x:v>4</x:v>
      </x:c>
      <x:c r="I688" s="7" t="str"/>
      <x:c r="J688" s="7" t="str"/>
      <x:c r="K688" s="7" t="str"/>
      <x:c r="L688" s="7" t="str"/>
      <x:c r="M688" s="7" t="str"/>
      <x:c r="N688" s="7" t="str"/>
      <x:c r="O688" s="7" t="str">
        <x:f>IF(N688="","OPEN",IF(OR(I688="",J688="",K688="",L688="",M688=""),"FAIL","PASS"))</x:f>
        <x:v>OPEN</x:v>
      </x:c>
    </x:row>
    <x:row r="689">
      <x:c r="B689" s="7" t="str">
        <x:v>CH-PEA-A-Y2-18-5</x:v>
      </x:c>
      <x:c r="C689" s="7" t="str">
        <x:v>PEA-A-Y2</x:v>
      </x:c>
      <x:c r="D689" s="7" t="str">
        <x:v>BLD-A</x:v>
      </x:c>
      <x:c r="E689" s="7" t="str">
        <x:v>BL-Y</x:v>
      </x:c>
      <x:c r="F689" s="7" t="str">
        <x:v>MF-18</x:v>
      </x:c>
      <x:c r="G689" s="7" t="str">
        <x:v>independent power</x:v>
      </x:c>
      <x:c r="H689" s="7" t="n">
        <x:v>5</x:v>
      </x:c>
      <x:c r="I689" s="7" t="str"/>
      <x:c r="J689" s="7" t="str"/>
      <x:c r="K689" s="7" t="str"/>
      <x:c r="L689" s="7" t="str"/>
      <x:c r="M689" s="7" t="str"/>
      <x:c r="N689" s="7" t="str"/>
      <x:c r="O689" s="7" t="str">
        <x:f>IF(N689="","OPEN",IF(OR(I689="",J689="",K689="",L689="",M689=""),"FAIL","PASS"))</x:f>
        <x:v>OPEN</x:v>
      </x:c>
    </x:row>
    <x:row r="690">
      <x:c r="B690" s="7" t="str">
        <x:v>CH-PEA-A-Y2-18-6</x:v>
      </x:c>
      <x:c r="C690" s="7" t="str">
        <x:v>PEA-A-Y2</x:v>
      </x:c>
      <x:c r="D690" s="7" t="str">
        <x:v>BLD-A</x:v>
      </x:c>
      <x:c r="E690" s="7" t="str">
        <x:v>BL-Y</x:v>
      </x:c>
      <x:c r="F690" s="7" t="str">
        <x:v>MF-18</x:v>
      </x:c>
      <x:c r="G690" s="7" t="str">
        <x:v>independent power</x:v>
      </x:c>
      <x:c r="H690" s="7" t="n">
        <x:v>6</x:v>
      </x:c>
      <x:c r="I690" s="7" t="str"/>
      <x:c r="J690" s="7" t="str"/>
      <x:c r="K690" s="7" t="str"/>
      <x:c r="L690" s="7" t="str"/>
      <x:c r="M690" s="7" t="str"/>
      <x:c r="N690" s="7" t="str"/>
      <x:c r="O690" s="7" t="str">
        <x:f>IF(N690="","OPEN",IF(OR(I690="",J690="",K690="",L690="",M690=""),"FAIL","PASS"))</x:f>
        <x:v>OPEN</x:v>
      </x:c>
    </x:row>
    <x:row r="691">
      <x:c r="B691" s="7" t="str">
        <x:v>CH-PEA-A-Y2-19-1</x:v>
      </x:c>
      <x:c r="C691" s="7" t="str">
        <x:v>PEA-A-Y2</x:v>
      </x:c>
      <x:c r="D691" s="7" t="str">
        <x:v>BLD-A</x:v>
      </x:c>
      <x:c r="E691" s="7" t="str">
        <x:v>BL-Y</x:v>
      </x:c>
      <x:c r="F691" s="7" t="str">
        <x:v>MF-19</x:v>
      </x:c>
      <x:c r="G691" s="7" t="str">
        <x:v>leak collection</x:v>
      </x:c>
      <x:c r="H691" s="7" t="n">
        <x:v>1</x:v>
      </x:c>
      <x:c r="I691" s="7" t="str"/>
      <x:c r="J691" s="7" t="str"/>
      <x:c r="K691" s="7" t="str"/>
      <x:c r="L691" s="7" t="str"/>
      <x:c r="M691" s="7" t="str"/>
      <x:c r="N691" s="7" t="str"/>
      <x:c r="O691" s="7" t="str">
        <x:f>IF(N691="","OPEN",IF(OR(I691="",J691="",K691="",L691="",M691=""),"FAIL","PASS"))</x:f>
        <x:v>OPEN</x:v>
      </x:c>
    </x:row>
    <x:row r="692">
      <x:c r="B692" s="7" t="str">
        <x:v>CH-PEA-A-Y2-19-2</x:v>
      </x:c>
      <x:c r="C692" s="7" t="str">
        <x:v>PEA-A-Y2</x:v>
      </x:c>
      <x:c r="D692" s="7" t="str">
        <x:v>BLD-A</x:v>
      </x:c>
      <x:c r="E692" s="7" t="str">
        <x:v>BL-Y</x:v>
      </x:c>
      <x:c r="F692" s="7" t="str">
        <x:v>MF-19</x:v>
      </x:c>
      <x:c r="G692" s="7" t="str">
        <x:v>leak collection</x:v>
      </x:c>
      <x:c r="H692" s="7" t="n">
        <x:v>2</x:v>
      </x:c>
      <x:c r="I692" s="7" t="str"/>
      <x:c r="J692" s="7" t="str"/>
      <x:c r="K692" s="7" t="str"/>
      <x:c r="L692" s="7" t="str"/>
      <x:c r="M692" s="7" t="str"/>
      <x:c r="N692" s="7" t="str"/>
      <x:c r="O692" s="7" t="str">
        <x:f>IF(N692="","OPEN",IF(OR(I692="",J692="",K692="",L692="",M692=""),"FAIL","PASS"))</x:f>
        <x:v>OPEN</x:v>
      </x:c>
    </x:row>
    <x:row r="693">
      <x:c r="B693" s="7" t="str">
        <x:v>CH-PEA-A-Y2-19-3</x:v>
      </x:c>
      <x:c r="C693" s="7" t="str">
        <x:v>PEA-A-Y2</x:v>
      </x:c>
      <x:c r="D693" s="7" t="str">
        <x:v>BLD-A</x:v>
      </x:c>
      <x:c r="E693" s="7" t="str">
        <x:v>BL-Y</x:v>
      </x:c>
      <x:c r="F693" s="7" t="str">
        <x:v>MF-19</x:v>
      </x:c>
      <x:c r="G693" s="7" t="str">
        <x:v>leak collection</x:v>
      </x:c>
      <x:c r="H693" s="7" t="n">
        <x:v>3</x:v>
      </x:c>
      <x:c r="I693" s="7" t="str"/>
      <x:c r="J693" s="7" t="str"/>
      <x:c r="K693" s="7" t="str"/>
      <x:c r="L693" s="7" t="str"/>
      <x:c r="M693" s="7" t="str"/>
      <x:c r="N693" s="7" t="str"/>
      <x:c r="O693" s="7" t="str">
        <x:f>IF(N693="","OPEN",IF(OR(I693="",J693="",K693="",L693="",M693=""),"FAIL","PASS"))</x:f>
        <x:v>OPEN</x:v>
      </x:c>
    </x:row>
    <x:row r="694">
      <x:c r="B694" s="7" t="str">
        <x:v>CH-PEA-A-Y2-19-4</x:v>
      </x:c>
      <x:c r="C694" s="7" t="str">
        <x:v>PEA-A-Y2</x:v>
      </x:c>
      <x:c r="D694" s="7" t="str">
        <x:v>BLD-A</x:v>
      </x:c>
      <x:c r="E694" s="7" t="str">
        <x:v>BL-Y</x:v>
      </x:c>
      <x:c r="F694" s="7" t="str">
        <x:v>MF-19</x:v>
      </x:c>
      <x:c r="G694" s="7" t="str">
        <x:v>leak collection</x:v>
      </x:c>
      <x:c r="H694" s="7" t="n">
        <x:v>4</x:v>
      </x:c>
      <x:c r="I694" s="7" t="str"/>
      <x:c r="J694" s="7" t="str"/>
      <x:c r="K694" s="7" t="str"/>
      <x:c r="L694" s="7" t="str"/>
      <x:c r="M694" s="7" t="str"/>
      <x:c r="N694" s="7" t="str"/>
      <x:c r="O694" s="7" t="str">
        <x:f>IF(N694="","OPEN",IF(OR(I694="",J694="",K694="",L694="",M694=""),"FAIL","PASS"))</x:f>
        <x:v>OPEN</x:v>
      </x:c>
    </x:row>
    <x:row r="695">
      <x:c r="B695" s="7" t="str">
        <x:v>CH-PEA-A-Y2-19-5</x:v>
      </x:c>
      <x:c r="C695" s="7" t="str">
        <x:v>PEA-A-Y2</x:v>
      </x:c>
      <x:c r="D695" s="7" t="str">
        <x:v>BLD-A</x:v>
      </x:c>
      <x:c r="E695" s="7" t="str">
        <x:v>BL-Y</x:v>
      </x:c>
      <x:c r="F695" s="7" t="str">
        <x:v>MF-19</x:v>
      </x:c>
      <x:c r="G695" s="7" t="str">
        <x:v>leak collection</x:v>
      </x:c>
      <x:c r="H695" s="7" t="n">
        <x:v>5</x:v>
      </x:c>
      <x:c r="I695" s="7" t="str"/>
      <x:c r="J695" s="7" t="str"/>
      <x:c r="K695" s="7" t="str"/>
      <x:c r="L695" s="7" t="str"/>
      <x:c r="M695" s="7" t="str"/>
      <x:c r="N695" s="7" t="str"/>
      <x:c r="O695" s="7" t="str">
        <x:f>IF(N695="","OPEN",IF(OR(I695="",J695="",K695="",L695="",M695=""),"FAIL","PASS"))</x:f>
        <x:v>OPEN</x:v>
      </x:c>
    </x:row>
    <x:row r="696">
      <x:c r="B696" s="7" t="str">
        <x:v>CH-PEA-A-Y2-19-6</x:v>
      </x:c>
      <x:c r="C696" s="7" t="str">
        <x:v>PEA-A-Y2</x:v>
      </x:c>
      <x:c r="D696" s="7" t="str">
        <x:v>BLD-A</x:v>
      </x:c>
      <x:c r="E696" s="7" t="str">
        <x:v>BL-Y</x:v>
      </x:c>
      <x:c r="F696" s="7" t="str">
        <x:v>MF-19</x:v>
      </x:c>
      <x:c r="G696" s="7" t="str">
        <x:v>leak collection</x:v>
      </x:c>
      <x:c r="H696" s="7" t="n">
        <x:v>6</x:v>
      </x:c>
      <x:c r="I696" s="7" t="str"/>
      <x:c r="J696" s="7" t="str"/>
      <x:c r="K696" s="7" t="str"/>
      <x:c r="L696" s="7" t="str"/>
      <x:c r="M696" s="7" t="str"/>
      <x:c r="N696" s="7" t="str"/>
      <x:c r="O696" s="7" t="str">
        <x:f>IF(N696="","OPEN",IF(OR(I696="",J696="",K696="",L696="",M696=""),"FAIL","PASS"))</x:f>
        <x:v>OPEN</x:v>
      </x:c>
    </x:row>
    <x:row r="697">
      <x:c r="B697" s="7" t="str">
        <x:v>CH-PEA-A-Y2-20-1</x:v>
      </x:c>
      <x:c r="C697" s="7" t="str">
        <x:v>PEA-A-Y2</x:v>
      </x:c>
      <x:c r="D697" s="7" t="str">
        <x:v>BLD-A</x:v>
      </x:c>
      <x:c r="E697" s="7" t="str">
        <x:v>BL-Y</x:v>
      </x:c>
      <x:c r="F697" s="7" t="str">
        <x:v>MF-20</x:v>
      </x:c>
      <x:c r="G697" s="7" t="str">
        <x:v>occupied-area state</x:v>
      </x:c>
      <x:c r="H697" s="7" t="n">
        <x:v>1</x:v>
      </x:c>
      <x:c r="I697" s="7" t="str"/>
      <x:c r="J697" s="7" t="str"/>
      <x:c r="K697" s="7" t="str"/>
      <x:c r="L697" s="7" t="str"/>
      <x:c r="M697" s="7" t="str"/>
      <x:c r="N697" s="7" t="str"/>
      <x:c r="O697" s="7" t="str">
        <x:f>IF(N697="","OPEN",IF(OR(I697="",J697="",K697="",L697="",M697=""),"FAIL","PASS"))</x:f>
        <x:v>OPEN</x:v>
      </x:c>
    </x:row>
    <x:row r="698">
      <x:c r="B698" s="7" t="str">
        <x:v>CH-PEA-A-Y2-20-2</x:v>
      </x:c>
      <x:c r="C698" s="7" t="str">
        <x:v>PEA-A-Y2</x:v>
      </x:c>
      <x:c r="D698" s="7" t="str">
        <x:v>BLD-A</x:v>
      </x:c>
      <x:c r="E698" s="7" t="str">
        <x:v>BL-Y</x:v>
      </x:c>
      <x:c r="F698" s="7" t="str">
        <x:v>MF-20</x:v>
      </x:c>
      <x:c r="G698" s="7" t="str">
        <x:v>occupied-area state</x:v>
      </x:c>
      <x:c r="H698" s="7" t="n">
        <x:v>2</x:v>
      </x:c>
      <x:c r="I698" s="7" t="str"/>
      <x:c r="J698" s="7" t="str"/>
      <x:c r="K698" s="7" t="str"/>
      <x:c r="L698" s="7" t="str"/>
      <x:c r="M698" s="7" t="str"/>
      <x:c r="N698" s="7" t="str"/>
      <x:c r="O698" s="7" t="str">
        <x:f>IF(N698="","OPEN",IF(OR(I698="",J698="",K698="",L698="",M698=""),"FAIL","PASS"))</x:f>
        <x:v>OPEN</x:v>
      </x:c>
    </x:row>
    <x:row r="699">
      <x:c r="B699" s="7" t="str">
        <x:v>CH-PEA-A-Y2-20-3</x:v>
      </x:c>
      <x:c r="C699" s="7" t="str">
        <x:v>PEA-A-Y2</x:v>
      </x:c>
      <x:c r="D699" s="7" t="str">
        <x:v>BLD-A</x:v>
      </x:c>
      <x:c r="E699" s="7" t="str">
        <x:v>BL-Y</x:v>
      </x:c>
      <x:c r="F699" s="7" t="str">
        <x:v>MF-20</x:v>
      </x:c>
      <x:c r="G699" s="7" t="str">
        <x:v>occupied-area state</x:v>
      </x:c>
      <x:c r="H699" s="7" t="n">
        <x:v>3</x:v>
      </x:c>
      <x:c r="I699" s="7" t="str"/>
      <x:c r="J699" s="7" t="str"/>
      <x:c r="K699" s="7" t="str"/>
      <x:c r="L699" s="7" t="str"/>
      <x:c r="M699" s="7" t="str"/>
      <x:c r="N699" s="7" t="str"/>
      <x:c r="O699" s="7" t="str">
        <x:f>IF(N699="","OPEN",IF(OR(I699="",J699="",K699="",L699="",M699=""),"FAIL","PASS"))</x:f>
        <x:v>OPEN</x:v>
      </x:c>
    </x:row>
    <x:row r="700">
      <x:c r="B700" s="7" t="str">
        <x:v>CH-PEA-A-Y2-20-4</x:v>
      </x:c>
      <x:c r="C700" s="7" t="str">
        <x:v>PEA-A-Y2</x:v>
      </x:c>
      <x:c r="D700" s="7" t="str">
        <x:v>BLD-A</x:v>
      </x:c>
      <x:c r="E700" s="7" t="str">
        <x:v>BL-Y</x:v>
      </x:c>
      <x:c r="F700" s="7" t="str">
        <x:v>MF-20</x:v>
      </x:c>
      <x:c r="G700" s="7" t="str">
        <x:v>occupied-area state</x:v>
      </x:c>
      <x:c r="H700" s="7" t="n">
        <x:v>4</x:v>
      </x:c>
      <x:c r="I700" s="7" t="str"/>
      <x:c r="J700" s="7" t="str"/>
      <x:c r="K700" s="7" t="str"/>
      <x:c r="L700" s="7" t="str"/>
      <x:c r="M700" s="7" t="str"/>
      <x:c r="N700" s="7" t="str"/>
      <x:c r="O700" s="7" t="str">
        <x:f>IF(N700="","OPEN",IF(OR(I700="",J700="",K700="",L700="",M700=""),"FAIL","PASS"))</x:f>
        <x:v>OPEN</x:v>
      </x:c>
    </x:row>
    <x:row r="701">
      <x:c r="B701" s="7" t="str">
        <x:v>CH-PEA-A-Y2-20-5</x:v>
      </x:c>
      <x:c r="C701" s="7" t="str">
        <x:v>PEA-A-Y2</x:v>
      </x:c>
      <x:c r="D701" s="7" t="str">
        <x:v>BLD-A</x:v>
      </x:c>
      <x:c r="E701" s="7" t="str">
        <x:v>BL-Y</x:v>
      </x:c>
      <x:c r="F701" s="7" t="str">
        <x:v>MF-20</x:v>
      </x:c>
      <x:c r="G701" s="7" t="str">
        <x:v>occupied-area state</x:v>
      </x:c>
      <x:c r="H701" s="7" t="n">
        <x:v>5</x:v>
      </x:c>
      <x:c r="I701" s="7" t="str"/>
      <x:c r="J701" s="7" t="str"/>
      <x:c r="K701" s="7" t="str"/>
      <x:c r="L701" s="7" t="str"/>
      <x:c r="M701" s="7" t="str"/>
      <x:c r="N701" s="7" t="str"/>
      <x:c r="O701" s="7" t="str">
        <x:f>IF(N701="","OPEN",IF(OR(I701="",J701="",K701="",L701="",M701=""),"FAIL","PASS"))</x:f>
        <x:v>OPEN</x:v>
      </x:c>
    </x:row>
    <x:row r="702">
      <x:c r="B702" s="7" t="str">
        <x:v>CH-PEA-A-Y2-20-6</x:v>
      </x:c>
      <x:c r="C702" s="7" t="str">
        <x:v>PEA-A-Y2</x:v>
      </x:c>
      <x:c r="D702" s="7" t="str">
        <x:v>BLD-A</x:v>
      </x:c>
      <x:c r="E702" s="7" t="str">
        <x:v>BL-Y</x:v>
      </x:c>
      <x:c r="F702" s="7" t="str">
        <x:v>MF-20</x:v>
      </x:c>
      <x:c r="G702" s="7" t="str">
        <x:v>occupied-area state</x:v>
      </x:c>
      <x:c r="H702" s="7" t="n">
        <x:v>6</x:v>
      </x:c>
      <x:c r="I702" s="7" t="str"/>
      <x:c r="J702" s="7" t="str"/>
      <x:c r="K702" s="7" t="str"/>
      <x:c r="L702" s="7" t="str"/>
      <x:c r="M702" s="7" t="str"/>
      <x:c r="N702" s="7" t="str"/>
      <x:c r="O702" s="7" t="str">
        <x:f>IF(N702="","OPEN",IF(OR(I702="",J702="",K702="",L702="",M702=""),"FAIL","PASS"))</x:f>
        <x:v>OPEN</x:v>
      </x:c>
    </x:row>
    <x:row r="703">
      <x:c r="B703" s="7" t="str">
        <x:v>CH-PEA-A-Y2-21-1</x:v>
      </x:c>
      <x:c r="C703" s="7" t="str">
        <x:v>PEA-A-Y2</x:v>
      </x:c>
      <x:c r="D703" s="7" t="str">
        <x:v>BLD-A</x:v>
      </x:c>
      <x:c r="E703" s="7" t="str">
        <x:v>BL-Y</x:v>
      </x:c>
      <x:c r="F703" s="7" t="str">
        <x:v>MF-21</x:v>
      </x:c>
      <x:c r="G703" s="7" t="str">
        <x:v>public-water flow</x:v>
      </x:c>
      <x:c r="H703" s="7" t="n">
        <x:v>1</x:v>
      </x:c>
      <x:c r="I703" s="7" t="str"/>
      <x:c r="J703" s="7" t="str"/>
      <x:c r="K703" s="7" t="str"/>
      <x:c r="L703" s="7" t="str"/>
      <x:c r="M703" s="7" t="str"/>
      <x:c r="N703" s="7" t="str"/>
      <x:c r="O703" s="7" t="str">
        <x:f>IF(N703="","OPEN",IF(OR(I703="",J703="",K703="",L703="",M703=""),"FAIL","PASS"))</x:f>
        <x:v>OPEN</x:v>
      </x:c>
    </x:row>
    <x:row r="704">
      <x:c r="B704" s="7" t="str">
        <x:v>CH-PEA-A-Y2-21-2</x:v>
      </x:c>
      <x:c r="C704" s="7" t="str">
        <x:v>PEA-A-Y2</x:v>
      </x:c>
      <x:c r="D704" s="7" t="str">
        <x:v>BLD-A</x:v>
      </x:c>
      <x:c r="E704" s="7" t="str">
        <x:v>BL-Y</x:v>
      </x:c>
      <x:c r="F704" s="7" t="str">
        <x:v>MF-21</x:v>
      </x:c>
      <x:c r="G704" s="7" t="str">
        <x:v>public-water flow</x:v>
      </x:c>
      <x:c r="H704" s="7" t="n">
        <x:v>2</x:v>
      </x:c>
      <x:c r="I704" s="7" t="str"/>
      <x:c r="J704" s="7" t="str"/>
      <x:c r="K704" s="7" t="str"/>
      <x:c r="L704" s="7" t="str"/>
      <x:c r="M704" s="7" t="str"/>
      <x:c r="N704" s="7" t="str"/>
      <x:c r="O704" s="7" t="str">
        <x:f>IF(N704="","OPEN",IF(OR(I704="",J704="",K704="",L704="",M704=""),"FAIL","PASS"))</x:f>
        <x:v>OPEN</x:v>
      </x:c>
    </x:row>
    <x:row r="705">
      <x:c r="B705" s="7" t="str">
        <x:v>CH-PEA-A-Y2-21-3</x:v>
      </x:c>
      <x:c r="C705" s="7" t="str">
        <x:v>PEA-A-Y2</x:v>
      </x:c>
      <x:c r="D705" s="7" t="str">
        <x:v>BLD-A</x:v>
      </x:c>
      <x:c r="E705" s="7" t="str">
        <x:v>BL-Y</x:v>
      </x:c>
      <x:c r="F705" s="7" t="str">
        <x:v>MF-21</x:v>
      </x:c>
      <x:c r="G705" s="7" t="str">
        <x:v>public-water flow</x:v>
      </x:c>
      <x:c r="H705" s="7" t="n">
        <x:v>3</x:v>
      </x:c>
      <x:c r="I705" s="7" t="str"/>
      <x:c r="J705" s="7" t="str"/>
      <x:c r="K705" s="7" t="str"/>
      <x:c r="L705" s="7" t="str"/>
      <x:c r="M705" s="7" t="str"/>
      <x:c r="N705" s="7" t="str"/>
      <x:c r="O705" s="7" t="str">
        <x:f>IF(N705="","OPEN",IF(OR(I705="",J705="",K705="",L705="",M705=""),"FAIL","PASS"))</x:f>
        <x:v>OPEN</x:v>
      </x:c>
    </x:row>
    <x:row r="706">
      <x:c r="B706" s="7" t="str">
        <x:v>CH-PEA-A-Y2-21-4</x:v>
      </x:c>
      <x:c r="C706" s="7" t="str">
        <x:v>PEA-A-Y2</x:v>
      </x:c>
      <x:c r="D706" s="7" t="str">
        <x:v>BLD-A</x:v>
      </x:c>
      <x:c r="E706" s="7" t="str">
        <x:v>BL-Y</x:v>
      </x:c>
      <x:c r="F706" s="7" t="str">
        <x:v>MF-21</x:v>
      </x:c>
      <x:c r="G706" s="7" t="str">
        <x:v>public-water flow</x:v>
      </x:c>
      <x:c r="H706" s="7" t="n">
        <x:v>4</x:v>
      </x:c>
      <x:c r="I706" s="7" t="str"/>
      <x:c r="J706" s="7" t="str"/>
      <x:c r="K706" s="7" t="str"/>
      <x:c r="L706" s="7" t="str"/>
      <x:c r="M706" s="7" t="str"/>
      <x:c r="N706" s="7" t="str"/>
      <x:c r="O706" s="7" t="str">
        <x:f>IF(N706="","OPEN",IF(OR(I706="",J706="",K706="",L706="",M706=""),"FAIL","PASS"))</x:f>
        <x:v>OPEN</x:v>
      </x:c>
    </x:row>
    <x:row r="707">
      <x:c r="B707" s="7" t="str">
        <x:v>CH-PEA-A-Y2-21-5</x:v>
      </x:c>
      <x:c r="C707" s="7" t="str">
        <x:v>PEA-A-Y2</x:v>
      </x:c>
      <x:c r="D707" s="7" t="str">
        <x:v>BLD-A</x:v>
      </x:c>
      <x:c r="E707" s="7" t="str">
        <x:v>BL-Y</x:v>
      </x:c>
      <x:c r="F707" s="7" t="str">
        <x:v>MF-21</x:v>
      </x:c>
      <x:c r="G707" s="7" t="str">
        <x:v>public-water flow</x:v>
      </x:c>
      <x:c r="H707" s="7" t="n">
        <x:v>5</x:v>
      </x:c>
      <x:c r="I707" s="7" t="str"/>
      <x:c r="J707" s="7" t="str"/>
      <x:c r="K707" s="7" t="str"/>
      <x:c r="L707" s="7" t="str"/>
      <x:c r="M707" s="7" t="str"/>
      <x:c r="N707" s="7" t="str"/>
      <x:c r="O707" s="7" t="str">
        <x:f>IF(N707="","OPEN",IF(OR(I707="",J707="",K707="",L707="",M707=""),"FAIL","PASS"))</x:f>
        <x:v>OPEN</x:v>
      </x:c>
    </x:row>
    <x:row r="708">
      <x:c r="B708" s="7" t="str">
        <x:v>CH-PEA-A-Y2-21-6</x:v>
      </x:c>
      <x:c r="C708" s="7" t="str">
        <x:v>PEA-A-Y2</x:v>
      </x:c>
      <x:c r="D708" s="7" t="str">
        <x:v>BLD-A</x:v>
      </x:c>
      <x:c r="E708" s="7" t="str">
        <x:v>BL-Y</x:v>
      </x:c>
      <x:c r="F708" s="7" t="str">
        <x:v>MF-21</x:v>
      </x:c>
      <x:c r="G708" s="7" t="str">
        <x:v>public-water flow</x:v>
      </x:c>
      <x:c r="H708" s="7" t="n">
        <x:v>6</x:v>
      </x:c>
      <x:c r="I708" s="7" t="str"/>
      <x:c r="J708" s="7" t="str"/>
      <x:c r="K708" s="7" t="str"/>
      <x:c r="L708" s="7" t="str"/>
      <x:c r="M708" s="7" t="str"/>
      <x:c r="N708" s="7" t="str"/>
      <x:c r="O708" s="7" t="str">
        <x:f>IF(N708="","OPEN",IF(OR(I708="",J708="",K708="",L708="",M708=""),"FAIL","PASS"))</x:f>
        <x:v>OPEN</x:v>
      </x:c>
    </x:row>
    <x:row r="709">
      <x:c r="B709" s="7" t="str">
        <x:v>CH-PEA-A-Y2-22-1</x:v>
      </x:c>
      <x:c r="C709" s="7" t="str">
        <x:v>PEA-A-Y2</x:v>
      </x:c>
      <x:c r="D709" s="7" t="str">
        <x:v>BLD-A</x:v>
      </x:c>
      <x:c r="E709" s="7" t="str">
        <x:v>BL-Y</x:v>
      </x:c>
      <x:c r="F709" s="7" t="str">
        <x:v>MF-22</x:v>
      </x:c>
      <x:c r="G709" s="7" t="str">
        <x:v>source ancestry</x:v>
      </x:c>
      <x:c r="H709" s="7" t="n">
        <x:v>1</x:v>
      </x:c>
      <x:c r="I709" s="7" t="str"/>
      <x:c r="J709" s="7" t="str"/>
      <x:c r="K709" s="7" t="str"/>
      <x:c r="L709" s="7" t="str"/>
      <x:c r="M709" s="7" t="str"/>
      <x:c r="N709" s="7" t="str"/>
      <x:c r="O709" s="7" t="str">
        <x:f>IF(N709="","OPEN",IF(OR(I709="",J709="",K709="",L709="",M709=""),"FAIL","PASS"))</x:f>
        <x:v>OPEN</x:v>
      </x:c>
    </x:row>
    <x:row r="710">
      <x:c r="B710" s="7" t="str">
        <x:v>CH-PEA-A-Y2-22-2</x:v>
      </x:c>
      <x:c r="C710" s="7" t="str">
        <x:v>PEA-A-Y2</x:v>
      </x:c>
      <x:c r="D710" s="7" t="str">
        <x:v>BLD-A</x:v>
      </x:c>
      <x:c r="E710" s="7" t="str">
        <x:v>BL-Y</x:v>
      </x:c>
      <x:c r="F710" s="7" t="str">
        <x:v>MF-22</x:v>
      </x:c>
      <x:c r="G710" s="7" t="str">
        <x:v>source ancestry</x:v>
      </x:c>
      <x:c r="H710" s="7" t="n">
        <x:v>2</x:v>
      </x:c>
      <x:c r="I710" s="7" t="str"/>
      <x:c r="J710" s="7" t="str"/>
      <x:c r="K710" s="7" t="str"/>
      <x:c r="L710" s="7" t="str"/>
      <x:c r="M710" s="7" t="str"/>
      <x:c r="N710" s="7" t="str"/>
      <x:c r="O710" s="7" t="str">
        <x:f>IF(N710="","OPEN",IF(OR(I710="",J710="",K710="",L710="",M710=""),"FAIL","PASS"))</x:f>
        <x:v>OPEN</x:v>
      </x:c>
    </x:row>
    <x:row r="711">
      <x:c r="B711" s="7" t="str">
        <x:v>CH-PEA-A-Y2-22-3</x:v>
      </x:c>
      <x:c r="C711" s="7" t="str">
        <x:v>PEA-A-Y2</x:v>
      </x:c>
      <x:c r="D711" s="7" t="str">
        <x:v>BLD-A</x:v>
      </x:c>
      <x:c r="E711" s="7" t="str">
        <x:v>BL-Y</x:v>
      </x:c>
      <x:c r="F711" s="7" t="str">
        <x:v>MF-22</x:v>
      </x:c>
      <x:c r="G711" s="7" t="str">
        <x:v>source ancestry</x:v>
      </x:c>
      <x:c r="H711" s="7" t="n">
        <x:v>3</x:v>
      </x:c>
      <x:c r="I711" s="7" t="str"/>
      <x:c r="J711" s="7" t="str"/>
      <x:c r="K711" s="7" t="str"/>
      <x:c r="L711" s="7" t="str"/>
      <x:c r="M711" s="7" t="str"/>
      <x:c r="N711" s="7" t="str"/>
      <x:c r="O711" s="7" t="str">
        <x:f>IF(N711="","OPEN",IF(OR(I711="",J711="",K711="",L711="",M711=""),"FAIL","PASS"))</x:f>
        <x:v>OPEN</x:v>
      </x:c>
    </x:row>
    <x:row r="712">
      <x:c r="B712" s="7" t="str">
        <x:v>CH-PEA-A-Y2-22-4</x:v>
      </x:c>
      <x:c r="C712" s="7" t="str">
        <x:v>PEA-A-Y2</x:v>
      </x:c>
      <x:c r="D712" s="7" t="str">
        <x:v>BLD-A</x:v>
      </x:c>
      <x:c r="E712" s="7" t="str">
        <x:v>BL-Y</x:v>
      </x:c>
      <x:c r="F712" s="7" t="str">
        <x:v>MF-22</x:v>
      </x:c>
      <x:c r="G712" s="7" t="str">
        <x:v>source ancestry</x:v>
      </x:c>
      <x:c r="H712" s="7" t="n">
        <x:v>4</x:v>
      </x:c>
      <x:c r="I712" s="7" t="str"/>
      <x:c r="J712" s="7" t="str"/>
      <x:c r="K712" s="7" t="str"/>
      <x:c r="L712" s="7" t="str"/>
      <x:c r="M712" s="7" t="str"/>
      <x:c r="N712" s="7" t="str"/>
      <x:c r="O712" s="7" t="str">
        <x:f>IF(N712="","OPEN",IF(OR(I712="",J712="",K712="",L712="",M712=""),"FAIL","PASS"))</x:f>
        <x:v>OPEN</x:v>
      </x:c>
    </x:row>
    <x:row r="713">
      <x:c r="B713" s="7" t="str">
        <x:v>CH-PEA-A-Y2-22-5</x:v>
      </x:c>
      <x:c r="C713" s="7" t="str">
        <x:v>PEA-A-Y2</x:v>
      </x:c>
      <x:c r="D713" s="7" t="str">
        <x:v>BLD-A</x:v>
      </x:c>
      <x:c r="E713" s="7" t="str">
        <x:v>BL-Y</x:v>
      </x:c>
      <x:c r="F713" s="7" t="str">
        <x:v>MF-22</x:v>
      </x:c>
      <x:c r="G713" s="7" t="str">
        <x:v>source ancestry</x:v>
      </x:c>
      <x:c r="H713" s="7" t="n">
        <x:v>5</x:v>
      </x:c>
      <x:c r="I713" s="7" t="str"/>
      <x:c r="J713" s="7" t="str"/>
      <x:c r="K713" s="7" t="str"/>
      <x:c r="L713" s="7" t="str"/>
      <x:c r="M713" s="7" t="str"/>
      <x:c r="N713" s="7" t="str"/>
      <x:c r="O713" s="7" t="str">
        <x:f>IF(N713="","OPEN",IF(OR(I713="",J713="",K713="",L713="",M713=""),"FAIL","PASS"))</x:f>
        <x:v>OPEN</x:v>
      </x:c>
    </x:row>
    <x:row r="714">
      <x:c r="B714" s="7" t="str">
        <x:v>CH-PEA-A-Y2-22-6</x:v>
      </x:c>
      <x:c r="C714" s="7" t="str">
        <x:v>PEA-A-Y2</x:v>
      </x:c>
      <x:c r="D714" s="7" t="str">
        <x:v>BLD-A</x:v>
      </x:c>
      <x:c r="E714" s="7" t="str">
        <x:v>BL-Y</x:v>
      </x:c>
      <x:c r="F714" s="7" t="str">
        <x:v>MF-22</x:v>
      </x:c>
      <x:c r="G714" s="7" t="str">
        <x:v>source ancestry</x:v>
      </x:c>
      <x:c r="H714" s="7" t="n">
        <x:v>6</x:v>
      </x:c>
      <x:c r="I714" s="7" t="str"/>
      <x:c r="J714" s="7" t="str"/>
      <x:c r="K714" s="7" t="str"/>
      <x:c r="L714" s="7" t="str"/>
      <x:c r="M714" s="7" t="str"/>
      <x:c r="N714" s="7" t="str"/>
      <x:c r="O714" s="7" t="str">
        <x:f>IF(N714="","OPEN",IF(OR(I714="",J714="",K714="",L714="",M714=""),"FAIL","PASS"))</x:f>
        <x:v>OPEN</x:v>
      </x:c>
    </x:row>
    <x:row r="715">
      <x:c r="B715" s="7" t="str">
        <x:v>CH-PEA-A-Y2-23-1</x:v>
      </x:c>
      <x:c r="C715" s="7" t="str">
        <x:v>PEA-A-Y2</x:v>
      </x:c>
      <x:c r="D715" s="7" t="str">
        <x:v>BLD-A</x:v>
      </x:c>
      <x:c r="E715" s="7" t="str">
        <x:v>BL-Y</x:v>
      </x:c>
      <x:c r="F715" s="7" t="str">
        <x:v>MF-23</x:v>
      </x:c>
      <x:c r="G715" s="7" t="str">
        <x:v>water ancestry</x:v>
      </x:c>
      <x:c r="H715" s="7" t="n">
        <x:v>1</x:v>
      </x:c>
      <x:c r="I715" s="7" t="str"/>
      <x:c r="J715" s="7" t="str"/>
      <x:c r="K715" s="7" t="str"/>
      <x:c r="L715" s="7" t="str"/>
      <x:c r="M715" s="7" t="str"/>
      <x:c r="N715" s="7" t="str"/>
      <x:c r="O715" s="7" t="str">
        <x:f>IF(N715="","OPEN",IF(OR(I715="",J715="",K715="",L715="",M715=""),"FAIL","PASS"))</x:f>
        <x:v>OPEN</x:v>
      </x:c>
    </x:row>
    <x:row r="716">
      <x:c r="B716" s="7" t="str">
        <x:v>CH-PEA-A-Y2-23-2</x:v>
      </x:c>
      <x:c r="C716" s="7" t="str">
        <x:v>PEA-A-Y2</x:v>
      </x:c>
      <x:c r="D716" s="7" t="str">
        <x:v>BLD-A</x:v>
      </x:c>
      <x:c r="E716" s="7" t="str">
        <x:v>BL-Y</x:v>
      </x:c>
      <x:c r="F716" s="7" t="str">
        <x:v>MF-23</x:v>
      </x:c>
      <x:c r="G716" s="7" t="str">
        <x:v>water ancestry</x:v>
      </x:c>
      <x:c r="H716" s="7" t="n">
        <x:v>2</x:v>
      </x:c>
      <x:c r="I716" s="7" t="str"/>
      <x:c r="J716" s="7" t="str"/>
      <x:c r="K716" s="7" t="str"/>
      <x:c r="L716" s="7" t="str"/>
      <x:c r="M716" s="7" t="str"/>
      <x:c r="N716" s="7" t="str"/>
      <x:c r="O716" s="7" t="str">
        <x:f>IF(N716="","OPEN",IF(OR(I716="",J716="",K716="",L716="",M716=""),"FAIL","PASS"))</x:f>
        <x:v>OPEN</x:v>
      </x:c>
    </x:row>
    <x:row r="717">
      <x:c r="B717" s="7" t="str">
        <x:v>CH-PEA-A-Y2-23-3</x:v>
      </x:c>
      <x:c r="C717" s="7" t="str">
        <x:v>PEA-A-Y2</x:v>
      </x:c>
      <x:c r="D717" s="7" t="str">
        <x:v>BLD-A</x:v>
      </x:c>
      <x:c r="E717" s="7" t="str">
        <x:v>BL-Y</x:v>
      </x:c>
      <x:c r="F717" s="7" t="str">
        <x:v>MF-23</x:v>
      </x:c>
      <x:c r="G717" s="7" t="str">
        <x:v>water ancestry</x:v>
      </x:c>
      <x:c r="H717" s="7" t="n">
        <x:v>3</x:v>
      </x:c>
      <x:c r="I717" s="7" t="str"/>
      <x:c r="J717" s="7" t="str"/>
      <x:c r="K717" s="7" t="str"/>
      <x:c r="L717" s="7" t="str"/>
      <x:c r="M717" s="7" t="str"/>
      <x:c r="N717" s="7" t="str"/>
      <x:c r="O717" s="7" t="str">
        <x:f>IF(N717="","OPEN",IF(OR(I717="",J717="",K717="",L717="",M717=""),"FAIL","PASS"))</x:f>
        <x:v>OPEN</x:v>
      </x:c>
    </x:row>
    <x:row r="718">
      <x:c r="B718" s="7" t="str">
        <x:v>CH-PEA-A-Y2-23-4</x:v>
      </x:c>
      <x:c r="C718" s="7" t="str">
        <x:v>PEA-A-Y2</x:v>
      </x:c>
      <x:c r="D718" s="7" t="str">
        <x:v>BLD-A</x:v>
      </x:c>
      <x:c r="E718" s="7" t="str">
        <x:v>BL-Y</x:v>
      </x:c>
      <x:c r="F718" s="7" t="str">
        <x:v>MF-23</x:v>
      </x:c>
      <x:c r="G718" s="7" t="str">
        <x:v>water ancestry</x:v>
      </x:c>
      <x:c r="H718" s="7" t="n">
        <x:v>4</x:v>
      </x:c>
      <x:c r="I718" s="7" t="str"/>
      <x:c r="J718" s="7" t="str"/>
      <x:c r="K718" s="7" t="str"/>
      <x:c r="L718" s="7" t="str"/>
      <x:c r="M718" s="7" t="str"/>
      <x:c r="N718" s="7" t="str"/>
      <x:c r="O718" s="7" t="str">
        <x:f>IF(N718="","OPEN",IF(OR(I718="",J718="",K718="",L718="",M718=""),"FAIL","PASS"))</x:f>
        <x:v>OPEN</x:v>
      </x:c>
    </x:row>
    <x:row r="719">
      <x:c r="B719" s="7" t="str">
        <x:v>CH-PEA-A-Y2-23-5</x:v>
      </x:c>
      <x:c r="C719" s="7" t="str">
        <x:v>PEA-A-Y2</x:v>
      </x:c>
      <x:c r="D719" s="7" t="str">
        <x:v>BLD-A</x:v>
      </x:c>
      <x:c r="E719" s="7" t="str">
        <x:v>BL-Y</x:v>
      </x:c>
      <x:c r="F719" s="7" t="str">
        <x:v>MF-23</x:v>
      </x:c>
      <x:c r="G719" s="7" t="str">
        <x:v>water ancestry</x:v>
      </x:c>
      <x:c r="H719" s="7" t="n">
        <x:v>5</x:v>
      </x:c>
      <x:c r="I719" s="7" t="str"/>
      <x:c r="J719" s="7" t="str"/>
      <x:c r="K719" s="7" t="str"/>
      <x:c r="L719" s="7" t="str"/>
      <x:c r="M719" s="7" t="str"/>
      <x:c r="N719" s="7" t="str"/>
      <x:c r="O719" s="7" t="str">
        <x:f>IF(N719="","OPEN",IF(OR(I719="",J719="",K719="",L719="",M719=""),"FAIL","PASS"))</x:f>
        <x:v>OPEN</x:v>
      </x:c>
    </x:row>
    <x:row r="720">
      <x:c r="B720" s="7" t="str">
        <x:v>CH-PEA-A-Y2-23-6</x:v>
      </x:c>
      <x:c r="C720" s="7" t="str">
        <x:v>PEA-A-Y2</x:v>
      </x:c>
      <x:c r="D720" s="7" t="str">
        <x:v>BLD-A</x:v>
      </x:c>
      <x:c r="E720" s="7" t="str">
        <x:v>BL-Y</x:v>
      </x:c>
      <x:c r="F720" s="7" t="str">
        <x:v>MF-23</x:v>
      </x:c>
      <x:c r="G720" s="7" t="str">
        <x:v>water ancestry</x:v>
      </x:c>
      <x:c r="H720" s="7" t="n">
        <x:v>6</x:v>
      </x:c>
      <x:c r="I720" s="7" t="str"/>
      <x:c r="J720" s="7" t="str"/>
      <x:c r="K720" s="7" t="str"/>
      <x:c r="L720" s="7" t="str"/>
      <x:c r="M720" s="7" t="str"/>
      <x:c r="N720" s="7" t="str"/>
      <x:c r="O720" s="7" t="str">
        <x:f>IF(N720="","OPEN",IF(OR(I720="",J720="",K720="",L720="",M720=""),"FAIL","PASS"))</x:f>
        <x:v>OPEN</x:v>
      </x:c>
    </x:row>
    <x:row r="721">
      <x:c r="B721" s="7" t="str">
        <x:v>CH-PEA-A-Y2-24-1</x:v>
      </x:c>
      <x:c r="C721" s="7" t="str">
        <x:v>PEA-A-Y2</x:v>
      </x:c>
      <x:c r="D721" s="7" t="str">
        <x:v>BLD-A</x:v>
      </x:c>
      <x:c r="E721" s="7" t="str">
        <x:v>BL-Y</x:v>
      </x:c>
      <x:c r="F721" s="7" t="str">
        <x:v>MF-24</x:v>
      </x:c>
      <x:c r="G721" s="7" t="str">
        <x:v>evidence health</x:v>
      </x:c>
      <x:c r="H721" s="7" t="n">
        <x:v>1</x:v>
      </x:c>
      <x:c r="I721" s="7" t="str"/>
      <x:c r="J721" s="7" t="str"/>
      <x:c r="K721" s="7" t="str"/>
      <x:c r="L721" s="7" t="str"/>
      <x:c r="M721" s="7" t="str"/>
      <x:c r="N721" s="7" t="str"/>
      <x:c r="O721" s="7" t="str">
        <x:f>IF(N721="","OPEN",IF(OR(I721="",J721="",K721="",L721="",M721=""),"FAIL","PASS"))</x:f>
        <x:v>OPEN</x:v>
      </x:c>
    </x:row>
    <x:row r="722">
      <x:c r="B722" s="7" t="str">
        <x:v>CH-PEA-A-Y2-24-2</x:v>
      </x:c>
      <x:c r="C722" s="7" t="str">
        <x:v>PEA-A-Y2</x:v>
      </x:c>
      <x:c r="D722" s="7" t="str">
        <x:v>BLD-A</x:v>
      </x:c>
      <x:c r="E722" s="7" t="str">
        <x:v>BL-Y</x:v>
      </x:c>
      <x:c r="F722" s="7" t="str">
        <x:v>MF-24</x:v>
      </x:c>
      <x:c r="G722" s="7" t="str">
        <x:v>evidence health</x:v>
      </x:c>
      <x:c r="H722" s="7" t="n">
        <x:v>2</x:v>
      </x:c>
      <x:c r="I722" s="7" t="str"/>
      <x:c r="J722" s="7" t="str"/>
      <x:c r="K722" s="7" t="str"/>
      <x:c r="L722" s="7" t="str"/>
      <x:c r="M722" s="7" t="str"/>
      <x:c r="N722" s="7" t="str"/>
      <x:c r="O722" s="7" t="str">
        <x:f>IF(N722="","OPEN",IF(OR(I722="",J722="",K722="",L722="",M722=""),"FAIL","PASS"))</x:f>
        <x:v>OPEN</x:v>
      </x:c>
    </x:row>
    <x:row r="723">
      <x:c r="B723" s="7" t="str">
        <x:v>CH-PEA-A-Y2-24-3</x:v>
      </x:c>
      <x:c r="C723" s="7" t="str">
        <x:v>PEA-A-Y2</x:v>
      </x:c>
      <x:c r="D723" s="7" t="str">
        <x:v>BLD-A</x:v>
      </x:c>
      <x:c r="E723" s="7" t="str">
        <x:v>BL-Y</x:v>
      </x:c>
      <x:c r="F723" s="7" t="str">
        <x:v>MF-24</x:v>
      </x:c>
      <x:c r="G723" s="7" t="str">
        <x:v>evidence health</x:v>
      </x:c>
      <x:c r="H723" s="7" t="n">
        <x:v>3</x:v>
      </x:c>
      <x:c r="I723" s="7" t="str"/>
      <x:c r="J723" s="7" t="str"/>
      <x:c r="K723" s="7" t="str"/>
      <x:c r="L723" s="7" t="str"/>
      <x:c r="M723" s="7" t="str"/>
      <x:c r="N723" s="7" t="str"/>
      <x:c r="O723" s="7" t="str">
        <x:f>IF(N723="","OPEN",IF(OR(I723="",J723="",K723="",L723="",M723=""),"FAIL","PASS"))</x:f>
        <x:v>OPEN</x:v>
      </x:c>
    </x:row>
    <x:row r="724">
      <x:c r="B724" s="7" t="str">
        <x:v>CH-PEA-A-Y2-24-4</x:v>
      </x:c>
      <x:c r="C724" s="7" t="str">
        <x:v>PEA-A-Y2</x:v>
      </x:c>
      <x:c r="D724" s="7" t="str">
        <x:v>BLD-A</x:v>
      </x:c>
      <x:c r="E724" s="7" t="str">
        <x:v>BL-Y</x:v>
      </x:c>
      <x:c r="F724" s="7" t="str">
        <x:v>MF-24</x:v>
      </x:c>
      <x:c r="G724" s="7" t="str">
        <x:v>evidence health</x:v>
      </x:c>
      <x:c r="H724" s="7" t="n">
        <x:v>4</x:v>
      </x:c>
      <x:c r="I724" s="7" t="str"/>
      <x:c r="J724" s="7" t="str"/>
      <x:c r="K724" s="7" t="str"/>
      <x:c r="L724" s="7" t="str"/>
      <x:c r="M724" s="7" t="str"/>
      <x:c r="N724" s="7" t="str"/>
      <x:c r="O724" s="7" t="str">
        <x:f>IF(N724="","OPEN",IF(OR(I724="",J724="",K724="",L724="",M724=""),"FAIL","PASS"))</x:f>
        <x:v>OPEN</x:v>
      </x:c>
    </x:row>
    <x:row r="725">
      <x:c r="B725" s="7" t="str">
        <x:v>CH-PEA-A-Y2-24-5</x:v>
      </x:c>
      <x:c r="C725" s="7" t="str">
        <x:v>PEA-A-Y2</x:v>
      </x:c>
      <x:c r="D725" s="7" t="str">
        <x:v>BLD-A</x:v>
      </x:c>
      <x:c r="E725" s="7" t="str">
        <x:v>BL-Y</x:v>
      </x:c>
      <x:c r="F725" s="7" t="str">
        <x:v>MF-24</x:v>
      </x:c>
      <x:c r="G725" s="7" t="str">
        <x:v>evidence health</x:v>
      </x:c>
      <x:c r="H725" s="7" t="n">
        <x:v>5</x:v>
      </x:c>
      <x:c r="I725" s="7" t="str"/>
      <x:c r="J725" s="7" t="str"/>
      <x:c r="K725" s="7" t="str"/>
      <x:c r="L725" s="7" t="str"/>
      <x:c r="M725" s="7" t="str"/>
      <x:c r="N725" s="7" t="str"/>
      <x:c r="O725" s="7" t="str">
        <x:f>IF(N725="","OPEN",IF(OR(I725="",J725="",K725="",L725="",M725=""),"FAIL","PASS"))</x:f>
        <x:v>OPEN</x:v>
      </x:c>
    </x:row>
    <x:row r="726">
      <x:c r="B726" s="7" t="str">
        <x:v>CH-PEA-A-Y2-24-6</x:v>
      </x:c>
      <x:c r="C726" s="7" t="str">
        <x:v>PEA-A-Y2</x:v>
      </x:c>
      <x:c r="D726" s="7" t="str">
        <x:v>BLD-A</x:v>
      </x:c>
      <x:c r="E726" s="7" t="str">
        <x:v>BL-Y</x:v>
      </x:c>
      <x:c r="F726" s="7" t="str">
        <x:v>MF-24</x:v>
      </x:c>
      <x:c r="G726" s="7" t="str">
        <x:v>evidence health</x:v>
      </x:c>
      <x:c r="H726" s="7" t="n">
        <x:v>6</x:v>
      </x:c>
      <x:c r="I726" s="7" t="str"/>
      <x:c r="J726" s="7" t="str"/>
      <x:c r="K726" s="7" t="str"/>
      <x:c r="L726" s="7" t="str"/>
      <x:c r="M726" s="7" t="str"/>
      <x:c r="N726" s="7" t="str"/>
      <x:c r="O726" s="7" t="str">
        <x:f>IF(N726="","OPEN",IF(OR(I726="",J726="",K726="",L726="",M726=""),"FAIL","PASS"))</x:f>
        <x:v>OPEN</x:v>
      </x:c>
    </x:row>
    <x:row r="727">
      <x:c r="B727" s="7" t="str">
        <x:v>CH-PEA-A-Y3-01-1</x:v>
      </x:c>
      <x:c r="C727" s="7" t="str">
        <x:v>PEA-A-Y3</x:v>
      </x:c>
      <x:c r="D727" s="7" t="str">
        <x:v>BLD-A</x:v>
      </x:c>
      <x:c r="E727" s="7" t="str">
        <x:v>BL-Y</x:v>
      </x:c>
      <x:c r="F727" s="7" t="str">
        <x:v>MF-01</x:v>
      </x:c>
      <x:c r="G727" s="7" t="str">
        <x:v>source vessel mass</x:v>
      </x:c>
      <x:c r="H727" s="7" t="n">
        <x:v>1</x:v>
      </x:c>
      <x:c r="I727" s="7" t="str"/>
      <x:c r="J727" s="7" t="str"/>
      <x:c r="K727" s="7" t="str"/>
      <x:c r="L727" s="7" t="str"/>
      <x:c r="M727" s="7" t="str"/>
      <x:c r="N727" s="7" t="str"/>
      <x:c r="O727" s="7" t="str">
        <x:f>IF(N727="","OPEN",IF(OR(I727="",J727="",K727="",L727="",M727=""),"FAIL","PASS"))</x:f>
        <x:v>OPEN</x:v>
      </x:c>
    </x:row>
    <x:row r="728">
      <x:c r="B728" s="7" t="str">
        <x:v>CH-PEA-A-Y3-01-2</x:v>
      </x:c>
      <x:c r="C728" s="7" t="str">
        <x:v>PEA-A-Y3</x:v>
      </x:c>
      <x:c r="D728" s="7" t="str">
        <x:v>BLD-A</x:v>
      </x:c>
      <x:c r="E728" s="7" t="str">
        <x:v>BL-Y</x:v>
      </x:c>
      <x:c r="F728" s="7" t="str">
        <x:v>MF-01</x:v>
      </x:c>
      <x:c r="G728" s="7" t="str">
        <x:v>source vessel mass</x:v>
      </x:c>
      <x:c r="H728" s="7" t="n">
        <x:v>2</x:v>
      </x:c>
      <x:c r="I728" s="7" t="str"/>
      <x:c r="J728" s="7" t="str"/>
      <x:c r="K728" s="7" t="str"/>
      <x:c r="L728" s="7" t="str"/>
      <x:c r="M728" s="7" t="str"/>
      <x:c r="N728" s="7" t="str"/>
      <x:c r="O728" s="7" t="str">
        <x:f>IF(N728="","OPEN",IF(OR(I728="",J728="",K728="",L728="",M728=""),"FAIL","PASS"))</x:f>
        <x:v>OPEN</x:v>
      </x:c>
    </x:row>
    <x:row r="729">
      <x:c r="B729" s="7" t="str">
        <x:v>CH-PEA-A-Y3-01-3</x:v>
      </x:c>
      <x:c r="C729" s="7" t="str">
        <x:v>PEA-A-Y3</x:v>
      </x:c>
      <x:c r="D729" s="7" t="str">
        <x:v>BLD-A</x:v>
      </x:c>
      <x:c r="E729" s="7" t="str">
        <x:v>BL-Y</x:v>
      </x:c>
      <x:c r="F729" s="7" t="str">
        <x:v>MF-01</x:v>
      </x:c>
      <x:c r="G729" s="7" t="str">
        <x:v>source vessel mass</x:v>
      </x:c>
      <x:c r="H729" s="7" t="n">
        <x:v>3</x:v>
      </x:c>
      <x:c r="I729" s="7" t="str"/>
      <x:c r="J729" s="7" t="str"/>
      <x:c r="K729" s="7" t="str"/>
      <x:c r="L729" s="7" t="str"/>
      <x:c r="M729" s="7" t="str"/>
      <x:c r="N729" s="7" t="str"/>
      <x:c r="O729" s="7" t="str">
        <x:f>IF(N729="","OPEN",IF(OR(I729="",J729="",K729="",L729="",M729=""),"FAIL","PASS"))</x:f>
        <x:v>OPEN</x:v>
      </x:c>
    </x:row>
    <x:row r="730">
      <x:c r="B730" s="7" t="str">
        <x:v>CH-PEA-A-Y3-01-4</x:v>
      </x:c>
      <x:c r="C730" s="7" t="str">
        <x:v>PEA-A-Y3</x:v>
      </x:c>
      <x:c r="D730" s="7" t="str">
        <x:v>BLD-A</x:v>
      </x:c>
      <x:c r="E730" s="7" t="str">
        <x:v>BL-Y</x:v>
      </x:c>
      <x:c r="F730" s="7" t="str">
        <x:v>MF-01</x:v>
      </x:c>
      <x:c r="G730" s="7" t="str">
        <x:v>source vessel mass</x:v>
      </x:c>
      <x:c r="H730" s="7" t="n">
        <x:v>4</x:v>
      </x:c>
      <x:c r="I730" s="7" t="str"/>
      <x:c r="J730" s="7" t="str"/>
      <x:c r="K730" s="7" t="str"/>
      <x:c r="L730" s="7" t="str"/>
      <x:c r="M730" s="7" t="str"/>
      <x:c r="N730" s="7" t="str"/>
      <x:c r="O730" s="7" t="str">
        <x:f>IF(N730="","OPEN",IF(OR(I730="",J730="",K730="",L730="",M730=""),"FAIL","PASS"))</x:f>
        <x:v>OPEN</x:v>
      </x:c>
    </x:row>
    <x:row r="731">
      <x:c r="B731" s="7" t="str">
        <x:v>CH-PEA-A-Y3-01-5</x:v>
      </x:c>
      <x:c r="C731" s="7" t="str">
        <x:v>PEA-A-Y3</x:v>
      </x:c>
      <x:c r="D731" s="7" t="str">
        <x:v>BLD-A</x:v>
      </x:c>
      <x:c r="E731" s="7" t="str">
        <x:v>BL-Y</x:v>
      </x:c>
      <x:c r="F731" s="7" t="str">
        <x:v>MF-01</x:v>
      </x:c>
      <x:c r="G731" s="7" t="str">
        <x:v>source vessel mass</x:v>
      </x:c>
      <x:c r="H731" s="7" t="n">
        <x:v>5</x:v>
      </x:c>
      <x:c r="I731" s="7" t="str"/>
      <x:c r="J731" s="7" t="str"/>
      <x:c r="K731" s="7" t="str"/>
      <x:c r="L731" s="7" t="str"/>
      <x:c r="M731" s="7" t="str"/>
      <x:c r="N731" s="7" t="str"/>
      <x:c r="O731" s="7" t="str">
        <x:f>IF(N731="","OPEN",IF(OR(I731="",J731="",K731="",L731="",M731=""),"FAIL","PASS"))</x:f>
        <x:v>OPEN</x:v>
      </x:c>
    </x:row>
    <x:row r="732">
      <x:c r="B732" s="7" t="str">
        <x:v>CH-PEA-A-Y3-01-6</x:v>
      </x:c>
      <x:c r="C732" s="7" t="str">
        <x:v>PEA-A-Y3</x:v>
      </x:c>
      <x:c r="D732" s="7" t="str">
        <x:v>BLD-A</x:v>
      </x:c>
      <x:c r="E732" s="7" t="str">
        <x:v>BL-Y</x:v>
      </x:c>
      <x:c r="F732" s="7" t="str">
        <x:v>MF-01</x:v>
      </x:c>
      <x:c r="G732" s="7" t="str">
        <x:v>source vessel mass</x:v>
      </x:c>
      <x:c r="H732" s="7" t="n">
        <x:v>6</x:v>
      </x:c>
      <x:c r="I732" s="7" t="str"/>
      <x:c r="J732" s="7" t="str"/>
      <x:c r="K732" s="7" t="str"/>
      <x:c r="L732" s="7" t="str"/>
      <x:c r="M732" s="7" t="str"/>
      <x:c r="N732" s="7" t="str"/>
      <x:c r="O732" s="7" t="str">
        <x:f>IF(N732="","OPEN",IF(OR(I732="",J732="",K732="",L732="",M732=""),"FAIL","PASS"))</x:f>
        <x:v>OPEN</x:v>
      </x:c>
    </x:row>
    <x:row r="733">
      <x:c r="B733" s="7" t="str">
        <x:v>CH-PEA-A-Y3-02-1</x:v>
      </x:c>
      <x:c r="C733" s="7" t="str">
        <x:v>PEA-A-Y3</x:v>
      </x:c>
      <x:c r="D733" s="7" t="str">
        <x:v>BLD-A</x:v>
      </x:c>
      <x:c r="E733" s="7" t="str">
        <x:v>BL-Y</x:v>
      </x:c>
      <x:c r="F733" s="7" t="str">
        <x:v>MF-02</x:v>
      </x:c>
      <x:c r="G733" s="7" t="str">
        <x:v>transfer mass</x:v>
      </x:c>
      <x:c r="H733" s="7" t="n">
        <x:v>1</x:v>
      </x:c>
      <x:c r="I733" s="7" t="str"/>
      <x:c r="J733" s="7" t="str"/>
      <x:c r="K733" s="7" t="str"/>
      <x:c r="L733" s="7" t="str"/>
      <x:c r="M733" s="7" t="str"/>
      <x:c r="N733" s="7" t="str"/>
      <x:c r="O733" s="7" t="str">
        <x:f>IF(N733="","OPEN",IF(OR(I733="",J733="",K733="",L733="",M733=""),"FAIL","PASS"))</x:f>
        <x:v>OPEN</x:v>
      </x:c>
    </x:row>
    <x:row r="734">
      <x:c r="B734" s="7" t="str">
        <x:v>CH-PEA-A-Y3-02-2</x:v>
      </x:c>
      <x:c r="C734" s="7" t="str">
        <x:v>PEA-A-Y3</x:v>
      </x:c>
      <x:c r="D734" s="7" t="str">
        <x:v>BLD-A</x:v>
      </x:c>
      <x:c r="E734" s="7" t="str">
        <x:v>BL-Y</x:v>
      </x:c>
      <x:c r="F734" s="7" t="str">
        <x:v>MF-02</x:v>
      </x:c>
      <x:c r="G734" s="7" t="str">
        <x:v>transfer mass</x:v>
      </x:c>
      <x:c r="H734" s="7" t="n">
        <x:v>2</x:v>
      </x:c>
      <x:c r="I734" s="7" t="str"/>
      <x:c r="J734" s="7" t="str"/>
      <x:c r="K734" s="7" t="str"/>
      <x:c r="L734" s="7" t="str"/>
      <x:c r="M734" s="7" t="str"/>
      <x:c r="N734" s="7" t="str"/>
      <x:c r="O734" s="7" t="str">
        <x:f>IF(N734="","OPEN",IF(OR(I734="",J734="",K734="",L734="",M734=""),"FAIL","PASS"))</x:f>
        <x:v>OPEN</x:v>
      </x:c>
    </x:row>
    <x:row r="735">
      <x:c r="B735" s="7" t="str">
        <x:v>CH-PEA-A-Y3-02-3</x:v>
      </x:c>
      <x:c r="C735" s="7" t="str">
        <x:v>PEA-A-Y3</x:v>
      </x:c>
      <x:c r="D735" s="7" t="str">
        <x:v>BLD-A</x:v>
      </x:c>
      <x:c r="E735" s="7" t="str">
        <x:v>BL-Y</x:v>
      </x:c>
      <x:c r="F735" s="7" t="str">
        <x:v>MF-02</x:v>
      </x:c>
      <x:c r="G735" s="7" t="str">
        <x:v>transfer mass</x:v>
      </x:c>
      <x:c r="H735" s="7" t="n">
        <x:v>3</x:v>
      </x:c>
      <x:c r="I735" s="7" t="str"/>
      <x:c r="J735" s="7" t="str"/>
      <x:c r="K735" s="7" t="str"/>
      <x:c r="L735" s="7" t="str"/>
      <x:c r="M735" s="7" t="str"/>
      <x:c r="N735" s="7" t="str"/>
      <x:c r="O735" s="7" t="str">
        <x:f>IF(N735="","OPEN",IF(OR(I735="",J735="",K735="",L735="",M735=""),"FAIL","PASS"))</x:f>
        <x:v>OPEN</x:v>
      </x:c>
    </x:row>
    <x:row r="736">
      <x:c r="B736" s="7" t="str">
        <x:v>CH-PEA-A-Y3-02-4</x:v>
      </x:c>
      <x:c r="C736" s="7" t="str">
        <x:v>PEA-A-Y3</x:v>
      </x:c>
      <x:c r="D736" s="7" t="str">
        <x:v>BLD-A</x:v>
      </x:c>
      <x:c r="E736" s="7" t="str">
        <x:v>BL-Y</x:v>
      </x:c>
      <x:c r="F736" s="7" t="str">
        <x:v>MF-02</x:v>
      </x:c>
      <x:c r="G736" s="7" t="str">
        <x:v>transfer mass</x:v>
      </x:c>
      <x:c r="H736" s="7" t="n">
        <x:v>4</x:v>
      </x:c>
      <x:c r="I736" s="7" t="str"/>
      <x:c r="J736" s="7" t="str"/>
      <x:c r="K736" s="7" t="str"/>
      <x:c r="L736" s="7" t="str"/>
      <x:c r="M736" s="7" t="str"/>
      <x:c r="N736" s="7" t="str"/>
      <x:c r="O736" s="7" t="str">
        <x:f>IF(N736="","OPEN",IF(OR(I736="",J736="",K736="",L736="",M736=""),"FAIL","PASS"))</x:f>
        <x:v>OPEN</x:v>
      </x:c>
    </x:row>
    <x:row r="737">
      <x:c r="B737" s="7" t="str">
        <x:v>CH-PEA-A-Y3-02-5</x:v>
      </x:c>
      <x:c r="C737" s="7" t="str">
        <x:v>PEA-A-Y3</x:v>
      </x:c>
      <x:c r="D737" s="7" t="str">
        <x:v>BLD-A</x:v>
      </x:c>
      <x:c r="E737" s="7" t="str">
        <x:v>BL-Y</x:v>
      </x:c>
      <x:c r="F737" s="7" t="str">
        <x:v>MF-02</x:v>
      </x:c>
      <x:c r="G737" s="7" t="str">
        <x:v>transfer mass</x:v>
      </x:c>
      <x:c r="H737" s="7" t="n">
        <x:v>5</x:v>
      </x:c>
      <x:c r="I737" s="7" t="str"/>
      <x:c r="J737" s="7" t="str"/>
      <x:c r="K737" s="7" t="str"/>
      <x:c r="L737" s="7" t="str"/>
      <x:c r="M737" s="7" t="str"/>
      <x:c r="N737" s="7" t="str"/>
      <x:c r="O737" s="7" t="str">
        <x:f>IF(N737="","OPEN",IF(OR(I737="",J737="",K737="",L737="",M737=""),"FAIL","PASS"))</x:f>
        <x:v>OPEN</x:v>
      </x:c>
    </x:row>
    <x:row r="738">
      <x:c r="B738" s="7" t="str">
        <x:v>CH-PEA-A-Y3-02-6</x:v>
      </x:c>
      <x:c r="C738" s="7" t="str">
        <x:v>PEA-A-Y3</x:v>
      </x:c>
      <x:c r="D738" s="7" t="str">
        <x:v>BLD-A</x:v>
      </x:c>
      <x:c r="E738" s="7" t="str">
        <x:v>BL-Y</x:v>
      </x:c>
      <x:c r="F738" s="7" t="str">
        <x:v>MF-02</x:v>
      </x:c>
      <x:c r="G738" s="7" t="str">
        <x:v>transfer mass</x:v>
      </x:c>
      <x:c r="H738" s="7" t="n">
        <x:v>6</x:v>
      </x:c>
      <x:c r="I738" s="7" t="str"/>
      <x:c r="J738" s="7" t="str"/>
      <x:c r="K738" s="7" t="str"/>
      <x:c r="L738" s="7" t="str"/>
      <x:c r="M738" s="7" t="str"/>
      <x:c r="N738" s="7" t="str"/>
      <x:c r="O738" s="7" t="str">
        <x:f>IF(N738="","OPEN",IF(OR(I738="",J738="",K738="",L738="",M738=""),"FAIL","PASS"))</x:f>
        <x:v>OPEN</x:v>
      </x:c>
    </x:row>
    <x:row r="739">
      <x:c r="B739" s="7" t="str">
        <x:v>CH-PEA-A-Y3-03-1</x:v>
      </x:c>
      <x:c r="C739" s="7" t="str">
        <x:v>PEA-A-Y3</x:v>
      </x:c>
      <x:c r="D739" s="7" t="str">
        <x:v>BLD-A</x:v>
      </x:c>
      <x:c r="E739" s="7" t="str">
        <x:v>BL-Y</x:v>
      </x:c>
      <x:c r="F739" s="7" t="str">
        <x:v>MF-03</x:v>
      </x:c>
      <x:c r="G739" s="7" t="str">
        <x:v>source pressure</x:v>
      </x:c>
      <x:c r="H739" s="7" t="n">
        <x:v>1</x:v>
      </x:c>
      <x:c r="I739" s="7" t="str"/>
      <x:c r="J739" s="7" t="str"/>
      <x:c r="K739" s="7" t="str"/>
      <x:c r="L739" s="7" t="str"/>
      <x:c r="M739" s="7" t="str"/>
      <x:c r="N739" s="7" t="str"/>
      <x:c r="O739" s="7" t="str">
        <x:f>IF(N739="","OPEN",IF(OR(I739="",J739="",K739="",L739="",M739=""),"FAIL","PASS"))</x:f>
        <x:v>OPEN</x:v>
      </x:c>
    </x:row>
    <x:row r="740">
      <x:c r="B740" s="7" t="str">
        <x:v>CH-PEA-A-Y3-03-2</x:v>
      </x:c>
      <x:c r="C740" s="7" t="str">
        <x:v>PEA-A-Y3</x:v>
      </x:c>
      <x:c r="D740" s="7" t="str">
        <x:v>BLD-A</x:v>
      </x:c>
      <x:c r="E740" s="7" t="str">
        <x:v>BL-Y</x:v>
      </x:c>
      <x:c r="F740" s="7" t="str">
        <x:v>MF-03</x:v>
      </x:c>
      <x:c r="G740" s="7" t="str">
        <x:v>source pressure</x:v>
      </x:c>
      <x:c r="H740" s="7" t="n">
        <x:v>2</x:v>
      </x:c>
      <x:c r="I740" s="7" t="str"/>
      <x:c r="J740" s="7" t="str"/>
      <x:c r="K740" s="7" t="str"/>
      <x:c r="L740" s="7" t="str"/>
      <x:c r="M740" s="7" t="str"/>
      <x:c r="N740" s="7" t="str"/>
      <x:c r="O740" s="7" t="str">
        <x:f>IF(N740="","OPEN",IF(OR(I740="",J740="",K740="",L740="",M740=""),"FAIL","PASS"))</x:f>
        <x:v>OPEN</x:v>
      </x:c>
    </x:row>
    <x:row r="741">
      <x:c r="B741" s="7" t="str">
        <x:v>CH-PEA-A-Y3-03-3</x:v>
      </x:c>
      <x:c r="C741" s="7" t="str">
        <x:v>PEA-A-Y3</x:v>
      </x:c>
      <x:c r="D741" s="7" t="str">
        <x:v>BLD-A</x:v>
      </x:c>
      <x:c r="E741" s="7" t="str">
        <x:v>BL-Y</x:v>
      </x:c>
      <x:c r="F741" s="7" t="str">
        <x:v>MF-03</x:v>
      </x:c>
      <x:c r="G741" s="7" t="str">
        <x:v>source pressure</x:v>
      </x:c>
      <x:c r="H741" s="7" t="n">
        <x:v>3</x:v>
      </x:c>
      <x:c r="I741" s="7" t="str"/>
      <x:c r="J741" s="7" t="str"/>
      <x:c r="K741" s="7" t="str"/>
      <x:c r="L741" s="7" t="str"/>
      <x:c r="M741" s="7" t="str"/>
      <x:c r="N741" s="7" t="str"/>
      <x:c r="O741" s="7" t="str">
        <x:f>IF(N741="","OPEN",IF(OR(I741="",J741="",K741="",L741="",M741=""),"FAIL","PASS"))</x:f>
        <x:v>OPEN</x:v>
      </x:c>
    </x:row>
    <x:row r="742">
      <x:c r="B742" s="7" t="str">
        <x:v>CH-PEA-A-Y3-03-4</x:v>
      </x:c>
      <x:c r="C742" s="7" t="str">
        <x:v>PEA-A-Y3</x:v>
      </x:c>
      <x:c r="D742" s="7" t="str">
        <x:v>BLD-A</x:v>
      </x:c>
      <x:c r="E742" s="7" t="str">
        <x:v>BL-Y</x:v>
      </x:c>
      <x:c r="F742" s="7" t="str">
        <x:v>MF-03</x:v>
      </x:c>
      <x:c r="G742" s="7" t="str">
        <x:v>source pressure</x:v>
      </x:c>
      <x:c r="H742" s="7" t="n">
        <x:v>4</x:v>
      </x:c>
      <x:c r="I742" s="7" t="str"/>
      <x:c r="J742" s="7" t="str"/>
      <x:c r="K742" s="7" t="str"/>
      <x:c r="L742" s="7" t="str"/>
      <x:c r="M742" s="7" t="str"/>
      <x:c r="N742" s="7" t="str"/>
      <x:c r="O742" s="7" t="str">
        <x:f>IF(N742="","OPEN",IF(OR(I742="",J742="",K742="",L742="",M742=""),"FAIL","PASS"))</x:f>
        <x:v>OPEN</x:v>
      </x:c>
    </x:row>
    <x:row r="743">
      <x:c r="B743" s="7" t="str">
        <x:v>CH-PEA-A-Y3-03-5</x:v>
      </x:c>
      <x:c r="C743" s="7" t="str">
        <x:v>PEA-A-Y3</x:v>
      </x:c>
      <x:c r="D743" s="7" t="str">
        <x:v>BLD-A</x:v>
      </x:c>
      <x:c r="E743" s="7" t="str">
        <x:v>BL-Y</x:v>
      </x:c>
      <x:c r="F743" s="7" t="str">
        <x:v>MF-03</x:v>
      </x:c>
      <x:c r="G743" s="7" t="str">
        <x:v>source pressure</x:v>
      </x:c>
      <x:c r="H743" s="7" t="n">
        <x:v>5</x:v>
      </x:c>
      <x:c r="I743" s="7" t="str"/>
      <x:c r="J743" s="7" t="str"/>
      <x:c r="K743" s="7" t="str"/>
      <x:c r="L743" s="7" t="str"/>
      <x:c r="M743" s="7" t="str"/>
      <x:c r="N743" s="7" t="str"/>
      <x:c r="O743" s="7" t="str">
        <x:f>IF(N743="","OPEN",IF(OR(I743="",J743="",K743="",L743="",M743=""),"FAIL","PASS"))</x:f>
        <x:v>OPEN</x:v>
      </x:c>
    </x:row>
    <x:row r="744">
      <x:c r="B744" s="7" t="str">
        <x:v>CH-PEA-A-Y3-03-6</x:v>
      </x:c>
      <x:c r="C744" s="7" t="str">
        <x:v>PEA-A-Y3</x:v>
      </x:c>
      <x:c r="D744" s="7" t="str">
        <x:v>BLD-A</x:v>
      </x:c>
      <x:c r="E744" s="7" t="str">
        <x:v>BL-Y</x:v>
      </x:c>
      <x:c r="F744" s="7" t="str">
        <x:v>MF-03</x:v>
      </x:c>
      <x:c r="G744" s="7" t="str">
        <x:v>source pressure</x:v>
      </x:c>
      <x:c r="H744" s="7" t="n">
        <x:v>6</x:v>
      </x:c>
      <x:c r="I744" s="7" t="str"/>
      <x:c r="J744" s="7" t="str"/>
      <x:c r="K744" s="7" t="str"/>
      <x:c r="L744" s="7" t="str"/>
      <x:c r="M744" s="7" t="str"/>
      <x:c r="N744" s="7" t="str"/>
      <x:c r="O744" s="7" t="str">
        <x:f>IF(N744="","OPEN",IF(OR(I744="",J744="",K744="",L744="",M744=""),"FAIL","PASS"))</x:f>
        <x:v>OPEN</x:v>
      </x:c>
    </x:row>
    <x:row r="745">
      <x:c r="B745" s="7" t="str">
        <x:v>CH-PEA-A-Y3-04-1</x:v>
      </x:c>
      <x:c r="C745" s="7" t="str">
        <x:v>PEA-A-Y3</x:v>
      </x:c>
      <x:c r="D745" s="7" t="str">
        <x:v>BLD-A</x:v>
      </x:c>
      <x:c r="E745" s="7" t="str">
        <x:v>BL-Y</x:v>
      </x:c>
      <x:c r="F745" s="7" t="str">
        <x:v>MF-04</x:v>
      </x:c>
      <x:c r="G745" s="7" t="str">
        <x:v>source temperature</x:v>
      </x:c>
      <x:c r="H745" s="7" t="n">
        <x:v>1</x:v>
      </x:c>
      <x:c r="I745" s="7" t="str"/>
      <x:c r="J745" s="7" t="str"/>
      <x:c r="K745" s="7" t="str"/>
      <x:c r="L745" s="7" t="str"/>
      <x:c r="M745" s="7" t="str"/>
      <x:c r="N745" s="7" t="str"/>
      <x:c r="O745" s="7" t="str">
        <x:f>IF(N745="","OPEN",IF(OR(I745="",J745="",K745="",L745="",M745=""),"FAIL","PASS"))</x:f>
        <x:v>OPEN</x:v>
      </x:c>
    </x:row>
    <x:row r="746">
      <x:c r="B746" s="7" t="str">
        <x:v>CH-PEA-A-Y3-04-2</x:v>
      </x:c>
      <x:c r="C746" s="7" t="str">
        <x:v>PEA-A-Y3</x:v>
      </x:c>
      <x:c r="D746" s="7" t="str">
        <x:v>BLD-A</x:v>
      </x:c>
      <x:c r="E746" s="7" t="str">
        <x:v>BL-Y</x:v>
      </x:c>
      <x:c r="F746" s="7" t="str">
        <x:v>MF-04</x:v>
      </x:c>
      <x:c r="G746" s="7" t="str">
        <x:v>source temperature</x:v>
      </x:c>
      <x:c r="H746" s="7" t="n">
        <x:v>2</x:v>
      </x:c>
      <x:c r="I746" s="7" t="str"/>
      <x:c r="J746" s="7" t="str"/>
      <x:c r="K746" s="7" t="str"/>
      <x:c r="L746" s="7" t="str"/>
      <x:c r="M746" s="7" t="str"/>
      <x:c r="N746" s="7" t="str"/>
      <x:c r="O746" s="7" t="str">
        <x:f>IF(N746="","OPEN",IF(OR(I746="",J746="",K746="",L746="",M746=""),"FAIL","PASS"))</x:f>
        <x:v>OPEN</x:v>
      </x:c>
    </x:row>
    <x:row r="747">
      <x:c r="B747" s="7" t="str">
        <x:v>CH-PEA-A-Y3-04-3</x:v>
      </x:c>
      <x:c r="C747" s="7" t="str">
        <x:v>PEA-A-Y3</x:v>
      </x:c>
      <x:c r="D747" s="7" t="str">
        <x:v>BLD-A</x:v>
      </x:c>
      <x:c r="E747" s="7" t="str">
        <x:v>BL-Y</x:v>
      </x:c>
      <x:c r="F747" s="7" t="str">
        <x:v>MF-04</x:v>
      </x:c>
      <x:c r="G747" s="7" t="str">
        <x:v>source temperature</x:v>
      </x:c>
      <x:c r="H747" s="7" t="n">
        <x:v>3</x:v>
      </x:c>
      <x:c r="I747" s="7" t="str"/>
      <x:c r="J747" s="7" t="str"/>
      <x:c r="K747" s="7" t="str"/>
      <x:c r="L747" s="7" t="str"/>
      <x:c r="M747" s="7" t="str"/>
      <x:c r="N747" s="7" t="str"/>
      <x:c r="O747" s="7" t="str">
        <x:f>IF(N747="","OPEN",IF(OR(I747="",J747="",K747="",L747="",M747=""),"FAIL","PASS"))</x:f>
        <x:v>OPEN</x:v>
      </x:c>
    </x:row>
    <x:row r="748">
      <x:c r="B748" s="7" t="str">
        <x:v>CH-PEA-A-Y3-04-4</x:v>
      </x:c>
      <x:c r="C748" s="7" t="str">
        <x:v>PEA-A-Y3</x:v>
      </x:c>
      <x:c r="D748" s="7" t="str">
        <x:v>BLD-A</x:v>
      </x:c>
      <x:c r="E748" s="7" t="str">
        <x:v>BL-Y</x:v>
      </x:c>
      <x:c r="F748" s="7" t="str">
        <x:v>MF-04</x:v>
      </x:c>
      <x:c r="G748" s="7" t="str">
        <x:v>source temperature</x:v>
      </x:c>
      <x:c r="H748" s="7" t="n">
        <x:v>4</x:v>
      </x:c>
      <x:c r="I748" s="7" t="str"/>
      <x:c r="J748" s="7" t="str"/>
      <x:c r="K748" s="7" t="str"/>
      <x:c r="L748" s="7" t="str"/>
      <x:c r="M748" s="7" t="str"/>
      <x:c r="N748" s="7" t="str"/>
      <x:c r="O748" s="7" t="str">
        <x:f>IF(N748="","OPEN",IF(OR(I748="",J748="",K748="",L748="",M748=""),"FAIL","PASS"))</x:f>
        <x:v>OPEN</x:v>
      </x:c>
    </x:row>
    <x:row r="749">
      <x:c r="B749" s="7" t="str">
        <x:v>CH-PEA-A-Y3-04-5</x:v>
      </x:c>
      <x:c r="C749" s="7" t="str">
        <x:v>PEA-A-Y3</x:v>
      </x:c>
      <x:c r="D749" s="7" t="str">
        <x:v>BLD-A</x:v>
      </x:c>
      <x:c r="E749" s="7" t="str">
        <x:v>BL-Y</x:v>
      </x:c>
      <x:c r="F749" s="7" t="str">
        <x:v>MF-04</x:v>
      </x:c>
      <x:c r="G749" s="7" t="str">
        <x:v>source temperature</x:v>
      </x:c>
      <x:c r="H749" s="7" t="n">
        <x:v>5</x:v>
      </x:c>
      <x:c r="I749" s="7" t="str"/>
      <x:c r="J749" s="7" t="str"/>
      <x:c r="K749" s="7" t="str"/>
      <x:c r="L749" s="7" t="str"/>
      <x:c r="M749" s="7" t="str"/>
      <x:c r="N749" s="7" t="str"/>
      <x:c r="O749" s="7" t="str">
        <x:f>IF(N749="","OPEN",IF(OR(I749="",J749="",K749="",L749="",M749=""),"FAIL","PASS"))</x:f>
        <x:v>OPEN</x:v>
      </x:c>
    </x:row>
    <x:row r="750">
      <x:c r="B750" s="7" t="str">
        <x:v>CH-PEA-A-Y3-04-6</x:v>
      </x:c>
      <x:c r="C750" s="7" t="str">
        <x:v>PEA-A-Y3</x:v>
      </x:c>
      <x:c r="D750" s="7" t="str">
        <x:v>BLD-A</x:v>
      </x:c>
      <x:c r="E750" s="7" t="str">
        <x:v>BL-Y</x:v>
      </x:c>
      <x:c r="F750" s="7" t="str">
        <x:v>MF-04</x:v>
      </x:c>
      <x:c r="G750" s="7" t="str">
        <x:v>source temperature</x:v>
      </x:c>
      <x:c r="H750" s="7" t="n">
        <x:v>6</x:v>
      </x:c>
      <x:c r="I750" s="7" t="str"/>
      <x:c r="J750" s="7" t="str"/>
      <x:c r="K750" s="7" t="str"/>
      <x:c r="L750" s="7" t="str"/>
      <x:c r="M750" s="7" t="str"/>
      <x:c r="N750" s="7" t="str"/>
      <x:c r="O750" s="7" t="str">
        <x:f>IF(N750="","OPEN",IF(OR(I750="",J750="",K750="",L750="",M750=""),"FAIL","PASS"))</x:f>
        <x:v>OPEN</x:v>
      </x:c>
    </x:row>
    <x:row r="751">
      <x:c r="B751" s="7" t="str">
        <x:v>CH-PEA-A-Y3-05-1</x:v>
      </x:c>
      <x:c r="C751" s="7" t="str">
        <x:v>PEA-A-Y3</x:v>
      </x:c>
      <x:c r="D751" s="7" t="str">
        <x:v>BLD-A</x:v>
      </x:c>
      <x:c r="E751" s="7" t="str">
        <x:v>BL-Y</x:v>
      </x:c>
      <x:c r="F751" s="7" t="str">
        <x:v>MF-05</x:v>
      </x:c>
      <x:c r="G751" s="7" t="str">
        <x:v>hold-up tomography</x:v>
      </x:c>
      <x:c r="H751" s="7" t="n">
        <x:v>1</x:v>
      </x:c>
      <x:c r="I751" s="7" t="str"/>
      <x:c r="J751" s="7" t="str"/>
      <x:c r="K751" s="7" t="str"/>
      <x:c r="L751" s="7" t="str"/>
      <x:c r="M751" s="7" t="str"/>
      <x:c r="N751" s="7" t="str"/>
      <x:c r="O751" s="7" t="str">
        <x:f>IF(N751="","OPEN",IF(OR(I751="",J751="",K751="",L751="",M751=""),"FAIL","PASS"))</x:f>
        <x:v>OPEN</x:v>
      </x:c>
    </x:row>
    <x:row r="752">
      <x:c r="B752" s="7" t="str">
        <x:v>CH-PEA-A-Y3-05-2</x:v>
      </x:c>
      <x:c r="C752" s="7" t="str">
        <x:v>PEA-A-Y3</x:v>
      </x:c>
      <x:c r="D752" s="7" t="str">
        <x:v>BLD-A</x:v>
      </x:c>
      <x:c r="E752" s="7" t="str">
        <x:v>BL-Y</x:v>
      </x:c>
      <x:c r="F752" s="7" t="str">
        <x:v>MF-05</x:v>
      </x:c>
      <x:c r="G752" s="7" t="str">
        <x:v>hold-up tomography</x:v>
      </x:c>
      <x:c r="H752" s="7" t="n">
        <x:v>2</x:v>
      </x:c>
      <x:c r="I752" s="7" t="str"/>
      <x:c r="J752" s="7" t="str"/>
      <x:c r="K752" s="7" t="str"/>
      <x:c r="L752" s="7" t="str"/>
      <x:c r="M752" s="7" t="str"/>
      <x:c r="N752" s="7" t="str"/>
      <x:c r="O752" s="7" t="str">
        <x:f>IF(N752="","OPEN",IF(OR(I752="",J752="",K752="",L752="",M752=""),"FAIL","PASS"))</x:f>
        <x:v>OPEN</x:v>
      </x:c>
    </x:row>
    <x:row r="753">
      <x:c r="B753" s="7" t="str">
        <x:v>CH-PEA-A-Y3-05-3</x:v>
      </x:c>
      <x:c r="C753" s="7" t="str">
        <x:v>PEA-A-Y3</x:v>
      </x:c>
      <x:c r="D753" s="7" t="str">
        <x:v>BLD-A</x:v>
      </x:c>
      <x:c r="E753" s="7" t="str">
        <x:v>BL-Y</x:v>
      </x:c>
      <x:c r="F753" s="7" t="str">
        <x:v>MF-05</x:v>
      </x:c>
      <x:c r="G753" s="7" t="str">
        <x:v>hold-up tomography</x:v>
      </x:c>
      <x:c r="H753" s="7" t="n">
        <x:v>3</x:v>
      </x:c>
      <x:c r="I753" s="7" t="str"/>
      <x:c r="J753" s="7" t="str"/>
      <x:c r="K753" s="7" t="str"/>
      <x:c r="L753" s="7" t="str"/>
      <x:c r="M753" s="7" t="str"/>
      <x:c r="N753" s="7" t="str"/>
      <x:c r="O753" s="7" t="str">
        <x:f>IF(N753="","OPEN",IF(OR(I753="",J753="",K753="",L753="",M753=""),"FAIL","PASS"))</x:f>
        <x:v>OPEN</x:v>
      </x:c>
    </x:row>
    <x:row r="754">
      <x:c r="B754" s="7" t="str">
        <x:v>CH-PEA-A-Y3-05-4</x:v>
      </x:c>
      <x:c r="C754" s="7" t="str">
        <x:v>PEA-A-Y3</x:v>
      </x:c>
      <x:c r="D754" s="7" t="str">
        <x:v>BLD-A</x:v>
      </x:c>
      <x:c r="E754" s="7" t="str">
        <x:v>BL-Y</x:v>
      </x:c>
      <x:c r="F754" s="7" t="str">
        <x:v>MF-05</x:v>
      </x:c>
      <x:c r="G754" s="7" t="str">
        <x:v>hold-up tomography</x:v>
      </x:c>
      <x:c r="H754" s="7" t="n">
        <x:v>4</x:v>
      </x:c>
      <x:c r="I754" s="7" t="str"/>
      <x:c r="J754" s="7" t="str"/>
      <x:c r="K754" s="7" t="str"/>
      <x:c r="L754" s="7" t="str"/>
      <x:c r="M754" s="7" t="str"/>
      <x:c r="N754" s="7" t="str"/>
      <x:c r="O754" s="7" t="str">
        <x:f>IF(N754="","OPEN",IF(OR(I754="",J754="",K754="",L754="",M754=""),"FAIL","PASS"))</x:f>
        <x:v>OPEN</x:v>
      </x:c>
    </x:row>
    <x:row r="755">
      <x:c r="B755" s="7" t="str">
        <x:v>CH-PEA-A-Y3-05-5</x:v>
      </x:c>
      <x:c r="C755" s="7" t="str">
        <x:v>PEA-A-Y3</x:v>
      </x:c>
      <x:c r="D755" s="7" t="str">
        <x:v>BLD-A</x:v>
      </x:c>
      <x:c r="E755" s="7" t="str">
        <x:v>BL-Y</x:v>
      </x:c>
      <x:c r="F755" s="7" t="str">
        <x:v>MF-05</x:v>
      </x:c>
      <x:c r="G755" s="7" t="str">
        <x:v>hold-up tomography</x:v>
      </x:c>
      <x:c r="H755" s="7" t="n">
        <x:v>5</x:v>
      </x:c>
      <x:c r="I755" s="7" t="str"/>
      <x:c r="J755" s="7" t="str"/>
      <x:c r="K755" s="7" t="str"/>
      <x:c r="L755" s="7" t="str"/>
      <x:c r="M755" s="7" t="str"/>
      <x:c r="N755" s="7" t="str"/>
      <x:c r="O755" s="7" t="str">
        <x:f>IF(N755="","OPEN",IF(OR(I755="",J755="",K755="",L755="",M755=""),"FAIL","PASS"))</x:f>
        <x:v>OPEN</x:v>
      </x:c>
    </x:row>
    <x:row r="756">
      <x:c r="B756" s="7" t="str">
        <x:v>CH-PEA-A-Y3-05-6</x:v>
      </x:c>
      <x:c r="C756" s="7" t="str">
        <x:v>PEA-A-Y3</x:v>
      </x:c>
      <x:c r="D756" s="7" t="str">
        <x:v>BLD-A</x:v>
      </x:c>
      <x:c r="E756" s="7" t="str">
        <x:v>BL-Y</x:v>
      </x:c>
      <x:c r="F756" s="7" t="str">
        <x:v>MF-05</x:v>
      </x:c>
      <x:c r="G756" s="7" t="str">
        <x:v>hold-up tomography</x:v>
      </x:c>
      <x:c r="H756" s="7" t="n">
        <x:v>6</x:v>
      </x:c>
      <x:c r="I756" s="7" t="str"/>
      <x:c r="J756" s="7" t="str"/>
      <x:c r="K756" s="7" t="str"/>
      <x:c r="L756" s="7" t="str"/>
      <x:c r="M756" s="7" t="str"/>
      <x:c r="N756" s="7" t="str"/>
      <x:c r="O756" s="7" t="str">
        <x:f>IF(N756="","OPEN",IF(OR(I756="",J756="",K756="",L756="",M756=""),"FAIL","PASS"))</x:f>
        <x:v>OPEN</x:v>
      </x:c>
    </x:row>
    <x:row r="757">
      <x:c r="B757" s="7" t="str">
        <x:v>CH-PEA-A-Y3-06-1</x:v>
      </x:c>
      <x:c r="C757" s="7" t="str">
        <x:v>PEA-A-Y3</x:v>
      </x:c>
      <x:c r="D757" s="7" t="str">
        <x:v>BLD-A</x:v>
      </x:c>
      <x:c r="E757" s="7" t="str">
        <x:v>BL-Y</x:v>
      </x:c>
      <x:c r="F757" s="7" t="str">
        <x:v>MF-06</x:v>
      </x:c>
      <x:c r="G757" s="7" t="str">
        <x:v>pan level</x:v>
      </x:c>
      <x:c r="H757" s="7" t="n">
        <x:v>1</x:v>
      </x:c>
      <x:c r="I757" s="7" t="str"/>
      <x:c r="J757" s="7" t="str"/>
      <x:c r="K757" s="7" t="str"/>
      <x:c r="L757" s="7" t="str"/>
      <x:c r="M757" s="7" t="str"/>
      <x:c r="N757" s="7" t="str"/>
      <x:c r="O757" s="7" t="str">
        <x:f>IF(N757="","OPEN",IF(OR(I757="",J757="",K757="",L757="",M757=""),"FAIL","PASS"))</x:f>
        <x:v>OPEN</x:v>
      </x:c>
    </x:row>
    <x:row r="758">
      <x:c r="B758" s="7" t="str">
        <x:v>CH-PEA-A-Y3-06-2</x:v>
      </x:c>
      <x:c r="C758" s="7" t="str">
        <x:v>PEA-A-Y3</x:v>
      </x:c>
      <x:c r="D758" s="7" t="str">
        <x:v>BLD-A</x:v>
      </x:c>
      <x:c r="E758" s="7" t="str">
        <x:v>BL-Y</x:v>
      </x:c>
      <x:c r="F758" s="7" t="str">
        <x:v>MF-06</x:v>
      </x:c>
      <x:c r="G758" s="7" t="str">
        <x:v>pan level</x:v>
      </x:c>
      <x:c r="H758" s="7" t="n">
        <x:v>2</x:v>
      </x:c>
      <x:c r="I758" s="7" t="str"/>
      <x:c r="J758" s="7" t="str"/>
      <x:c r="K758" s="7" t="str"/>
      <x:c r="L758" s="7" t="str"/>
      <x:c r="M758" s="7" t="str"/>
      <x:c r="N758" s="7" t="str"/>
      <x:c r="O758" s="7" t="str">
        <x:f>IF(N758="","OPEN",IF(OR(I758="",J758="",K758="",L758="",M758=""),"FAIL","PASS"))</x:f>
        <x:v>OPEN</x:v>
      </x:c>
    </x:row>
    <x:row r="759">
      <x:c r="B759" s="7" t="str">
        <x:v>CH-PEA-A-Y3-06-3</x:v>
      </x:c>
      <x:c r="C759" s="7" t="str">
        <x:v>PEA-A-Y3</x:v>
      </x:c>
      <x:c r="D759" s="7" t="str">
        <x:v>BLD-A</x:v>
      </x:c>
      <x:c r="E759" s="7" t="str">
        <x:v>BL-Y</x:v>
      </x:c>
      <x:c r="F759" s="7" t="str">
        <x:v>MF-06</x:v>
      </x:c>
      <x:c r="G759" s="7" t="str">
        <x:v>pan level</x:v>
      </x:c>
      <x:c r="H759" s="7" t="n">
        <x:v>3</x:v>
      </x:c>
      <x:c r="I759" s="7" t="str"/>
      <x:c r="J759" s="7" t="str"/>
      <x:c r="K759" s="7" t="str"/>
      <x:c r="L759" s="7" t="str"/>
      <x:c r="M759" s="7" t="str"/>
      <x:c r="N759" s="7" t="str"/>
      <x:c r="O759" s="7" t="str">
        <x:f>IF(N759="","OPEN",IF(OR(I759="",J759="",K759="",L759="",M759=""),"FAIL","PASS"))</x:f>
        <x:v>OPEN</x:v>
      </x:c>
    </x:row>
    <x:row r="760">
      <x:c r="B760" s="7" t="str">
        <x:v>CH-PEA-A-Y3-06-4</x:v>
      </x:c>
      <x:c r="C760" s="7" t="str">
        <x:v>PEA-A-Y3</x:v>
      </x:c>
      <x:c r="D760" s="7" t="str">
        <x:v>BLD-A</x:v>
      </x:c>
      <x:c r="E760" s="7" t="str">
        <x:v>BL-Y</x:v>
      </x:c>
      <x:c r="F760" s="7" t="str">
        <x:v>MF-06</x:v>
      </x:c>
      <x:c r="G760" s="7" t="str">
        <x:v>pan level</x:v>
      </x:c>
      <x:c r="H760" s="7" t="n">
        <x:v>4</x:v>
      </x:c>
      <x:c r="I760" s="7" t="str"/>
      <x:c r="J760" s="7" t="str"/>
      <x:c r="K760" s="7" t="str"/>
      <x:c r="L760" s="7" t="str"/>
      <x:c r="M760" s="7" t="str"/>
      <x:c r="N760" s="7" t="str"/>
      <x:c r="O760" s="7" t="str">
        <x:f>IF(N760="","OPEN",IF(OR(I760="",J760="",K760="",L760="",M760=""),"FAIL","PASS"))</x:f>
        <x:v>OPEN</x:v>
      </x:c>
    </x:row>
    <x:row r="761">
      <x:c r="B761" s="7" t="str">
        <x:v>CH-PEA-A-Y3-06-5</x:v>
      </x:c>
      <x:c r="C761" s="7" t="str">
        <x:v>PEA-A-Y3</x:v>
      </x:c>
      <x:c r="D761" s="7" t="str">
        <x:v>BLD-A</x:v>
      </x:c>
      <x:c r="E761" s="7" t="str">
        <x:v>BL-Y</x:v>
      </x:c>
      <x:c r="F761" s="7" t="str">
        <x:v>MF-06</x:v>
      </x:c>
      <x:c r="G761" s="7" t="str">
        <x:v>pan level</x:v>
      </x:c>
      <x:c r="H761" s="7" t="n">
        <x:v>5</x:v>
      </x:c>
      <x:c r="I761" s="7" t="str"/>
      <x:c r="J761" s="7" t="str"/>
      <x:c r="K761" s="7" t="str"/>
      <x:c r="L761" s="7" t="str"/>
      <x:c r="M761" s="7" t="str"/>
      <x:c r="N761" s="7" t="str"/>
      <x:c r="O761" s="7" t="str">
        <x:f>IF(N761="","OPEN",IF(OR(I761="",J761="",K761="",L761="",M761=""),"FAIL","PASS"))</x:f>
        <x:v>OPEN</x:v>
      </x:c>
    </x:row>
    <x:row r="762">
      <x:c r="B762" s="7" t="str">
        <x:v>CH-PEA-A-Y3-06-6</x:v>
      </x:c>
      <x:c r="C762" s="7" t="str">
        <x:v>PEA-A-Y3</x:v>
      </x:c>
      <x:c r="D762" s="7" t="str">
        <x:v>BLD-A</x:v>
      </x:c>
      <x:c r="E762" s="7" t="str">
        <x:v>BL-Y</x:v>
      </x:c>
      <x:c r="F762" s="7" t="str">
        <x:v>MF-06</x:v>
      </x:c>
      <x:c r="G762" s="7" t="str">
        <x:v>pan level</x:v>
      </x:c>
      <x:c r="H762" s="7" t="n">
        <x:v>6</x:v>
      </x:c>
      <x:c r="I762" s="7" t="str"/>
      <x:c r="J762" s="7" t="str"/>
      <x:c r="K762" s="7" t="str"/>
      <x:c r="L762" s="7" t="str"/>
      <x:c r="M762" s="7" t="str"/>
      <x:c r="N762" s="7" t="str"/>
      <x:c r="O762" s="7" t="str">
        <x:f>IF(N762="","OPEN",IF(OR(I762="",J762="",K762="",L762="",M762=""),"FAIL","PASS"))</x:f>
        <x:v>OPEN</x:v>
      </x:c>
    </x:row>
    <x:row r="763">
      <x:c r="B763" s="7" t="str">
        <x:v>CH-PEA-A-Y3-07-1</x:v>
      </x:c>
      <x:c r="C763" s="7" t="str">
        <x:v>PEA-A-Y3</x:v>
      </x:c>
      <x:c r="D763" s="7" t="str">
        <x:v>BLD-A</x:v>
      </x:c>
      <x:c r="E763" s="7" t="str">
        <x:v>BL-Y</x:v>
      </x:c>
      <x:c r="F763" s="7" t="str">
        <x:v>MF-07</x:v>
      </x:c>
      <x:c r="G763" s="7" t="str">
        <x:v>normal receiver mass</x:v>
      </x:c>
      <x:c r="H763" s="7" t="n">
        <x:v>1</x:v>
      </x:c>
      <x:c r="I763" s="7" t="str"/>
      <x:c r="J763" s="7" t="str"/>
      <x:c r="K763" s="7" t="str"/>
      <x:c r="L763" s="7" t="str"/>
      <x:c r="M763" s="7" t="str"/>
      <x:c r="N763" s="7" t="str"/>
      <x:c r="O763" s="7" t="str">
        <x:f>IF(N763="","OPEN",IF(OR(I763="",J763="",K763="",L763="",M763=""),"FAIL","PASS"))</x:f>
        <x:v>OPEN</x:v>
      </x:c>
    </x:row>
    <x:row r="764">
      <x:c r="B764" s="7" t="str">
        <x:v>CH-PEA-A-Y3-07-2</x:v>
      </x:c>
      <x:c r="C764" s="7" t="str">
        <x:v>PEA-A-Y3</x:v>
      </x:c>
      <x:c r="D764" s="7" t="str">
        <x:v>BLD-A</x:v>
      </x:c>
      <x:c r="E764" s="7" t="str">
        <x:v>BL-Y</x:v>
      </x:c>
      <x:c r="F764" s="7" t="str">
        <x:v>MF-07</x:v>
      </x:c>
      <x:c r="G764" s="7" t="str">
        <x:v>normal receiver mass</x:v>
      </x:c>
      <x:c r="H764" s="7" t="n">
        <x:v>2</x:v>
      </x:c>
      <x:c r="I764" s="7" t="str"/>
      <x:c r="J764" s="7" t="str"/>
      <x:c r="K764" s="7" t="str"/>
      <x:c r="L764" s="7" t="str"/>
      <x:c r="M764" s="7" t="str"/>
      <x:c r="N764" s="7" t="str"/>
      <x:c r="O764" s="7" t="str">
        <x:f>IF(N764="","OPEN",IF(OR(I764="",J764="",K764="",L764="",M764=""),"FAIL","PASS"))</x:f>
        <x:v>OPEN</x:v>
      </x:c>
    </x:row>
    <x:row r="765">
      <x:c r="B765" s="7" t="str">
        <x:v>CH-PEA-A-Y3-07-3</x:v>
      </x:c>
      <x:c r="C765" s="7" t="str">
        <x:v>PEA-A-Y3</x:v>
      </x:c>
      <x:c r="D765" s="7" t="str">
        <x:v>BLD-A</x:v>
      </x:c>
      <x:c r="E765" s="7" t="str">
        <x:v>BL-Y</x:v>
      </x:c>
      <x:c r="F765" s="7" t="str">
        <x:v>MF-07</x:v>
      </x:c>
      <x:c r="G765" s="7" t="str">
        <x:v>normal receiver mass</x:v>
      </x:c>
      <x:c r="H765" s="7" t="n">
        <x:v>3</x:v>
      </x:c>
      <x:c r="I765" s="7" t="str"/>
      <x:c r="J765" s="7" t="str"/>
      <x:c r="K765" s="7" t="str"/>
      <x:c r="L765" s="7" t="str"/>
      <x:c r="M765" s="7" t="str"/>
      <x:c r="N765" s="7" t="str"/>
      <x:c r="O765" s="7" t="str">
        <x:f>IF(N765="","OPEN",IF(OR(I765="",J765="",K765="",L765="",M765=""),"FAIL","PASS"))</x:f>
        <x:v>OPEN</x:v>
      </x:c>
    </x:row>
    <x:row r="766">
      <x:c r="B766" s="7" t="str">
        <x:v>CH-PEA-A-Y3-07-4</x:v>
      </x:c>
      <x:c r="C766" s="7" t="str">
        <x:v>PEA-A-Y3</x:v>
      </x:c>
      <x:c r="D766" s="7" t="str">
        <x:v>BLD-A</x:v>
      </x:c>
      <x:c r="E766" s="7" t="str">
        <x:v>BL-Y</x:v>
      </x:c>
      <x:c r="F766" s="7" t="str">
        <x:v>MF-07</x:v>
      </x:c>
      <x:c r="G766" s="7" t="str">
        <x:v>normal receiver mass</x:v>
      </x:c>
      <x:c r="H766" s="7" t="n">
        <x:v>4</x:v>
      </x:c>
      <x:c r="I766" s="7" t="str"/>
      <x:c r="J766" s="7" t="str"/>
      <x:c r="K766" s="7" t="str"/>
      <x:c r="L766" s="7" t="str"/>
      <x:c r="M766" s="7" t="str"/>
      <x:c r="N766" s="7" t="str"/>
      <x:c r="O766" s="7" t="str">
        <x:f>IF(N766="","OPEN",IF(OR(I766="",J766="",K766="",L766="",M766=""),"FAIL","PASS"))</x:f>
        <x:v>OPEN</x:v>
      </x:c>
    </x:row>
    <x:row r="767">
      <x:c r="B767" s="7" t="str">
        <x:v>CH-PEA-A-Y3-07-5</x:v>
      </x:c>
      <x:c r="C767" s="7" t="str">
        <x:v>PEA-A-Y3</x:v>
      </x:c>
      <x:c r="D767" s="7" t="str">
        <x:v>BLD-A</x:v>
      </x:c>
      <x:c r="E767" s="7" t="str">
        <x:v>BL-Y</x:v>
      </x:c>
      <x:c r="F767" s="7" t="str">
        <x:v>MF-07</x:v>
      </x:c>
      <x:c r="G767" s="7" t="str">
        <x:v>normal receiver mass</x:v>
      </x:c>
      <x:c r="H767" s="7" t="n">
        <x:v>5</x:v>
      </x:c>
      <x:c r="I767" s="7" t="str"/>
      <x:c r="J767" s="7" t="str"/>
      <x:c r="K767" s="7" t="str"/>
      <x:c r="L767" s="7" t="str"/>
      <x:c r="M767" s="7" t="str"/>
      <x:c r="N767" s="7" t="str"/>
      <x:c r="O767" s="7" t="str">
        <x:f>IF(N767="","OPEN",IF(OR(I767="",J767="",K767="",L767="",M767=""),"FAIL","PASS"))</x:f>
        <x:v>OPEN</x:v>
      </x:c>
    </x:row>
    <x:row r="768">
      <x:c r="B768" s="7" t="str">
        <x:v>CH-PEA-A-Y3-07-6</x:v>
      </x:c>
      <x:c r="C768" s="7" t="str">
        <x:v>PEA-A-Y3</x:v>
      </x:c>
      <x:c r="D768" s="7" t="str">
        <x:v>BLD-A</x:v>
      </x:c>
      <x:c r="E768" s="7" t="str">
        <x:v>BL-Y</x:v>
      </x:c>
      <x:c r="F768" s="7" t="str">
        <x:v>MF-07</x:v>
      </x:c>
      <x:c r="G768" s="7" t="str">
        <x:v>normal receiver mass</x:v>
      </x:c>
      <x:c r="H768" s="7" t="n">
        <x:v>6</x:v>
      </x:c>
      <x:c r="I768" s="7" t="str"/>
      <x:c r="J768" s="7" t="str"/>
      <x:c r="K768" s="7" t="str"/>
      <x:c r="L768" s="7" t="str"/>
      <x:c r="M768" s="7" t="str"/>
      <x:c r="N768" s="7" t="str"/>
      <x:c r="O768" s="7" t="str">
        <x:f>IF(N768="","OPEN",IF(OR(I768="",J768="",K768="",L768="",M768=""),"FAIL","PASS"))</x:f>
        <x:v>OPEN</x:v>
      </x:c>
    </x:row>
    <x:row r="769">
      <x:c r="B769" s="7" t="str">
        <x:v>CH-PEA-A-Y3-08-1</x:v>
      </x:c>
      <x:c r="C769" s="7" t="str">
        <x:v>PEA-A-Y3</x:v>
      </x:c>
      <x:c r="D769" s="7" t="str">
        <x:v>BLD-A</x:v>
      </x:c>
      <x:c r="E769" s="7" t="str">
        <x:v>BL-Y</x:v>
      </x:c>
      <x:c r="F769" s="7" t="str">
        <x:v>MF-08</x:v>
      </x:c>
      <x:c r="G769" s="7" t="str">
        <x:v>casualty receiver mass</x:v>
      </x:c>
      <x:c r="H769" s="7" t="n">
        <x:v>1</x:v>
      </x:c>
      <x:c r="I769" s="7" t="str"/>
      <x:c r="J769" s="7" t="str"/>
      <x:c r="K769" s="7" t="str"/>
      <x:c r="L769" s="7" t="str"/>
      <x:c r="M769" s="7" t="str"/>
      <x:c r="N769" s="7" t="str"/>
      <x:c r="O769" s="7" t="str">
        <x:f>IF(N769="","OPEN",IF(OR(I769="",J769="",K769="",L769="",M769=""),"FAIL","PASS"))</x:f>
        <x:v>OPEN</x:v>
      </x:c>
    </x:row>
    <x:row r="770">
      <x:c r="B770" s="7" t="str">
        <x:v>CH-PEA-A-Y3-08-2</x:v>
      </x:c>
      <x:c r="C770" s="7" t="str">
        <x:v>PEA-A-Y3</x:v>
      </x:c>
      <x:c r="D770" s="7" t="str">
        <x:v>BLD-A</x:v>
      </x:c>
      <x:c r="E770" s="7" t="str">
        <x:v>BL-Y</x:v>
      </x:c>
      <x:c r="F770" s="7" t="str">
        <x:v>MF-08</x:v>
      </x:c>
      <x:c r="G770" s="7" t="str">
        <x:v>casualty receiver mass</x:v>
      </x:c>
      <x:c r="H770" s="7" t="n">
        <x:v>2</x:v>
      </x:c>
      <x:c r="I770" s="7" t="str"/>
      <x:c r="J770" s="7" t="str"/>
      <x:c r="K770" s="7" t="str"/>
      <x:c r="L770" s="7" t="str"/>
      <x:c r="M770" s="7" t="str"/>
      <x:c r="N770" s="7" t="str"/>
      <x:c r="O770" s="7" t="str">
        <x:f>IF(N770="","OPEN",IF(OR(I770="",J770="",K770="",L770="",M770=""),"FAIL","PASS"))</x:f>
        <x:v>OPEN</x:v>
      </x:c>
    </x:row>
    <x:row r="771">
      <x:c r="B771" s="7" t="str">
        <x:v>CH-PEA-A-Y3-08-3</x:v>
      </x:c>
      <x:c r="C771" s="7" t="str">
        <x:v>PEA-A-Y3</x:v>
      </x:c>
      <x:c r="D771" s="7" t="str">
        <x:v>BLD-A</x:v>
      </x:c>
      <x:c r="E771" s="7" t="str">
        <x:v>BL-Y</x:v>
      </x:c>
      <x:c r="F771" s="7" t="str">
        <x:v>MF-08</x:v>
      </x:c>
      <x:c r="G771" s="7" t="str">
        <x:v>casualty receiver mass</x:v>
      </x:c>
      <x:c r="H771" s="7" t="n">
        <x:v>3</x:v>
      </x:c>
      <x:c r="I771" s="7" t="str"/>
      <x:c r="J771" s="7" t="str"/>
      <x:c r="K771" s="7" t="str"/>
      <x:c r="L771" s="7" t="str"/>
      <x:c r="M771" s="7" t="str"/>
      <x:c r="N771" s="7" t="str"/>
      <x:c r="O771" s="7" t="str">
        <x:f>IF(N771="","OPEN",IF(OR(I771="",J771="",K771="",L771="",M771=""),"FAIL","PASS"))</x:f>
        <x:v>OPEN</x:v>
      </x:c>
    </x:row>
    <x:row r="772">
      <x:c r="B772" s="7" t="str">
        <x:v>CH-PEA-A-Y3-08-4</x:v>
      </x:c>
      <x:c r="C772" s="7" t="str">
        <x:v>PEA-A-Y3</x:v>
      </x:c>
      <x:c r="D772" s="7" t="str">
        <x:v>BLD-A</x:v>
      </x:c>
      <x:c r="E772" s="7" t="str">
        <x:v>BL-Y</x:v>
      </x:c>
      <x:c r="F772" s="7" t="str">
        <x:v>MF-08</x:v>
      </x:c>
      <x:c r="G772" s="7" t="str">
        <x:v>casualty receiver mass</x:v>
      </x:c>
      <x:c r="H772" s="7" t="n">
        <x:v>4</x:v>
      </x:c>
      <x:c r="I772" s="7" t="str"/>
      <x:c r="J772" s="7" t="str"/>
      <x:c r="K772" s="7" t="str"/>
      <x:c r="L772" s="7" t="str"/>
      <x:c r="M772" s="7" t="str"/>
      <x:c r="N772" s="7" t="str"/>
      <x:c r="O772" s="7" t="str">
        <x:f>IF(N772="","OPEN",IF(OR(I772="",J772="",K772="",L772="",M772=""),"FAIL","PASS"))</x:f>
        <x:v>OPEN</x:v>
      </x:c>
    </x:row>
    <x:row r="773">
      <x:c r="B773" s="7" t="str">
        <x:v>CH-PEA-A-Y3-08-5</x:v>
      </x:c>
      <x:c r="C773" s="7" t="str">
        <x:v>PEA-A-Y3</x:v>
      </x:c>
      <x:c r="D773" s="7" t="str">
        <x:v>BLD-A</x:v>
      </x:c>
      <x:c r="E773" s="7" t="str">
        <x:v>BL-Y</x:v>
      </x:c>
      <x:c r="F773" s="7" t="str">
        <x:v>MF-08</x:v>
      </x:c>
      <x:c r="G773" s="7" t="str">
        <x:v>casualty receiver mass</x:v>
      </x:c>
      <x:c r="H773" s="7" t="n">
        <x:v>5</x:v>
      </x:c>
      <x:c r="I773" s="7" t="str"/>
      <x:c r="J773" s="7" t="str"/>
      <x:c r="K773" s="7" t="str"/>
      <x:c r="L773" s="7" t="str"/>
      <x:c r="M773" s="7" t="str"/>
      <x:c r="N773" s="7" t="str"/>
      <x:c r="O773" s="7" t="str">
        <x:f>IF(N773="","OPEN",IF(OR(I773="",J773="",K773="",L773="",M773=""),"FAIL","PASS"))</x:f>
        <x:v>OPEN</x:v>
      </x:c>
    </x:row>
    <x:row r="774">
      <x:c r="B774" s="7" t="str">
        <x:v>CH-PEA-A-Y3-08-6</x:v>
      </x:c>
      <x:c r="C774" s="7" t="str">
        <x:v>PEA-A-Y3</x:v>
      </x:c>
      <x:c r="D774" s="7" t="str">
        <x:v>BLD-A</x:v>
      </x:c>
      <x:c r="E774" s="7" t="str">
        <x:v>BL-Y</x:v>
      </x:c>
      <x:c r="F774" s="7" t="str">
        <x:v>MF-08</x:v>
      </x:c>
      <x:c r="G774" s="7" t="str">
        <x:v>casualty receiver mass</x:v>
      </x:c>
      <x:c r="H774" s="7" t="n">
        <x:v>6</x:v>
      </x:c>
      <x:c r="I774" s="7" t="str"/>
      <x:c r="J774" s="7" t="str"/>
      <x:c r="K774" s="7" t="str"/>
      <x:c r="L774" s="7" t="str"/>
      <x:c r="M774" s="7" t="str"/>
      <x:c r="N774" s="7" t="str"/>
      <x:c r="O774" s="7" t="str">
        <x:f>IF(N774="","OPEN",IF(OR(I774="",J774="",K774="",L774="",M774=""),"FAIL","PASS"))</x:f>
        <x:v>OPEN</x:v>
      </x:c>
    </x:row>
    <x:row r="775">
      <x:c r="B775" s="7" t="str">
        <x:v>CH-PEA-A-Y3-09-1</x:v>
      </x:c>
      <x:c r="C775" s="7" t="str">
        <x:v>PEA-A-Y3</x:v>
      </x:c>
      <x:c r="D775" s="7" t="str">
        <x:v>BLD-A</x:v>
      </x:c>
      <x:c r="E775" s="7" t="str">
        <x:v>BL-Y</x:v>
      </x:c>
      <x:c r="F775" s="7" t="str">
        <x:v>MF-09</x:v>
      </x:c>
      <x:c r="G775" s="7" t="str">
        <x:v>geometry and slope</x:v>
      </x:c>
      <x:c r="H775" s="7" t="n">
        <x:v>1</x:v>
      </x:c>
      <x:c r="I775" s="7" t="str"/>
      <x:c r="J775" s="7" t="str"/>
      <x:c r="K775" s="7" t="str"/>
      <x:c r="L775" s="7" t="str"/>
      <x:c r="M775" s="7" t="str"/>
      <x:c r="N775" s="7" t="str"/>
      <x:c r="O775" s="7" t="str">
        <x:f>IF(N775="","OPEN",IF(OR(I775="",J775="",K775="",L775="",M775=""),"FAIL","PASS"))</x:f>
        <x:v>OPEN</x:v>
      </x:c>
    </x:row>
    <x:row r="776">
      <x:c r="B776" s="7" t="str">
        <x:v>CH-PEA-A-Y3-09-2</x:v>
      </x:c>
      <x:c r="C776" s="7" t="str">
        <x:v>PEA-A-Y3</x:v>
      </x:c>
      <x:c r="D776" s="7" t="str">
        <x:v>BLD-A</x:v>
      </x:c>
      <x:c r="E776" s="7" t="str">
        <x:v>BL-Y</x:v>
      </x:c>
      <x:c r="F776" s="7" t="str">
        <x:v>MF-09</x:v>
      </x:c>
      <x:c r="G776" s="7" t="str">
        <x:v>geometry and slope</x:v>
      </x:c>
      <x:c r="H776" s="7" t="n">
        <x:v>2</x:v>
      </x:c>
      <x:c r="I776" s="7" t="str"/>
      <x:c r="J776" s="7" t="str"/>
      <x:c r="K776" s="7" t="str"/>
      <x:c r="L776" s="7" t="str"/>
      <x:c r="M776" s="7" t="str"/>
      <x:c r="N776" s="7" t="str"/>
      <x:c r="O776" s="7" t="str">
        <x:f>IF(N776="","OPEN",IF(OR(I776="",J776="",K776="",L776="",M776=""),"FAIL","PASS"))</x:f>
        <x:v>OPEN</x:v>
      </x:c>
    </x:row>
    <x:row r="777">
      <x:c r="B777" s="7" t="str">
        <x:v>CH-PEA-A-Y3-09-3</x:v>
      </x:c>
      <x:c r="C777" s="7" t="str">
        <x:v>PEA-A-Y3</x:v>
      </x:c>
      <x:c r="D777" s="7" t="str">
        <x:v>BLD-A</x:v>
      </x:c>
      <x:c r="E777" s="7" t="str">
        <x:v>BL-Y</x:v>
      </x:c>
      <x:c r="F777" s="7" t="str">
        <x:v>MF-09</x:v>
      </x:c>
      <x:c r="G777" s="7" t="str">
        <x:v>geometry and slope</x:v>
      </x:c>
      <x:c r="H777" s="7" t="n">
        <x:v>3</x:v>
      </x:c>
      <x:c r="I777" s="7" t="str"/>
      <x:c r="J777" s="7" t="str"/>
      <x:c r="K777" s="7" t="str"/>
      <x:c r="L777" s="7" t="str"/>
      <x:c r="M777" s="7" t="str"/>
      <x:c r="N777" s="7" t="str"/>
      <x:c r="O777" s="7" t="str">
        <x:f>IF(N777="","OPEN",IF(OR(I777="",J777="",K777="",L777="",M777=""),"FAIL","PASS"))</x:f>
        <x:v>OPEN</x:v>
      </x:c>
    </x:row>
    <x:row r="778">
      <x:c r="B778" s="7" t="str">
        <x:v>CH-PEA-A-Y3-09-4</x:v>
      </x:c>
      <x:c r="C778" s="7" t="str">
        <x:v>PEA-A-Y3</x:v>
      </x:c>
      <x:c r="D778" s="7" t="str">
        <x:v>BLD-A</x:v>
      </x:c>
      <x:c r="E778" s="7" t="str">
        <x:v>BL-Y</x:v>
      </x:c>
      <x:c r="F778" s="7" t="str">
        <x:v>MF-09</x:v>
      </x:c>
      <x:c r="G778" s="7" t="str">
        <x:v>geometry and slope</x:v>
      </x:c>
      <x:c r="H778" s="7" t="n">
        <x:v>4</x:v>
      </x:c>
      <x:c r="I778" s="7" t="str"/>
      <x:c r="J778" s="7" t="str"/>
      <x:c r="K778" s="7" t="str"/>
      <x:c r="L778" s="7" t="str"/>
      <x:c r="M778" s="7" t="str"/>
      <x:c r="N778" s="7" t="str"/>
      <x:c r="O778" s="7" t="str">
        <x:f>IF(N778="","OPEN",IF(OR(I778="",J778="",K778="",L778="",M778=""),"FAIL","PASS"))</x:f>
        <x:v>OPEN</x:v>
      </x:c>
    </x:row>
    <x:row r="779">
      <x:c r="B779" s="7" t="str">
        <x:v>CH-PEA-A-Y3-09-5</x:v>
      </x:c>
      <x:c r="C779" s="7" t="str">
        <x:v>PEA-A-Y3</x:v>
      </x:c>
      <x:c r="D779" s="7" t="str">
        <x:v>BLD-A</x:v>
      </x:c>
      <x:c r="E779" s="7" t="str">
        <x:v>BL-Y</x:v>
      </x:c>
      <x:c r="F779" s="7" t="str">
        <x:v>MF-09</x:v>
      </x:c>
      <x:c r="G779" s="7" t="str">
        <x:v>geometry and slope</x:v>
      </x:c>
      <x:c r="H779" s="7" t="n">
        <x:v>5</x:v>
      </x:c>
      <x:c r="I779" s="7" t="str"/>
      <x:c r="J779" s="7" t="str"/>
      <x:c r="K779" s="7" t="str"/>
      <x:c r="L779" s="7" t="str"/>
      <x:c r="M779" s="7" t="str"/>
      <x:c r="N779" s="7" t="str"/>
      <x:c r="O779" s="7" t="str">
        <x:f>IF(N779="","OPEN",IF(OR(I779="",J779="",K779="",L779="",M779=""),"FAIL","PASS"))</x:f>
        <x:v>OPEN</x:v>
      </x:c>
    </x:row>
    <x:row r="780">
      <x:c r="B780" s="7" t="str">
        <x:v>CH-PEA-A-Y3-09-6</x:v>
      </x:c>
      <x:c r="C780" s="7" t="str">
        <x:v>PEA-A-Y3</x:v>
      </x:c>
      <x:c r="D780" s="7" t="str">
        <x:v>BLD-A</x:v>
      </x:c>
      <x:c r="E780" s="7" t="str">
        <x:v>BL-Y</x:v>
      </x:c>
      <x:c r="F780" s="7" t="str">
        <x:v>MF-09</x:v>
      </x:c>
      <x:c r="G780" s="7" t="str">
        <x:v>geometry and slope</x:v>
      </x:c>
      <x:c r="H780" s="7" t="n">
        <x:v>6</x:v>
      </x:c>
      <x:c r="I780" s="7" t="str"/>
      <x:c r="J780" s="7" t="str"/>
      <x:c r="K780" s="7" t="str"/>
      <x:c r="L780" s="7" t="str"/>
      <x:c r="M780" s="7" t="str"/>
      <x:c r="N780" s="7" t="str"/>
      <x:c r="O780" s="7" t="str">
        <x:f>IF(N780="","OPEN",IF(OR(I780="",J780="",K780="",L780="",M780=""),"FAIL","PASS"))</x:f>
        <x:v>OPEN</x:v>
      </x:c>
    </x:row>
    <x:row r="781">
      <x:c r="B781" s="7" t="str">
        <x:v>CH-PEA-A-Y3-10-1</x:v>
      </x:c>
      <x:c r="C781" s="7" t="str">
        <x:v>PEA-A-Y3</x:v>
      </x:c>
      <x:c r="D781" s="7" t="str">
        <x:v>BLD-A</x:v>
      </x:c>
      <x:c r="E781" s="7" t="str">
        <x:v>BL-Y</x:v>
      </x:c>
      <x:c r="F781" s="7" t="str">
        <x:v>MF-10</x:v>
      </x:c>
      <x:c r="G781" s="7" t="str">
        <x:v>normal-source path state</x:v>
      </x:c>
      <x:c r="H781" s="7" t="n">
        <x:v>1</x:v>
      </x:c>
      <x:c r="I781" s="7" t="str"/>
      <x:c r="J781" s="7" t="str"/>
      <x:c r="K781" s="7" t="str"/>
      <x:c r="L781" s="7" t="str"/>
      <x:c r="M781" s="7" t="str"/>
      <x:c r="N781" s="7" t="str"/>
      <x:c r="O781" s="7" t="str">
        <x:f>IF(N781="","OPEN",IF(OR(I781="",J781="",K781="",L781="",M781=""),"FAIL","PASS"))</x:f>
        <x:v>OPEN</x:v>
      </x:c>
    </x:row>
    <x:row r="782">
      <x:c r="B782" s="7" t="str">
        <x:v>CH-PEA-A-Y3-10-2</x:v>
      </x:c>
      <x:c r="C782" s="7" t="str">
        <x:v>PEA-A-Y3</x:v>
      </x:c>
      <x:c r="D782" s="7" t="str">
        <x:v>BLD-A</x:v>
      </x:c>
      <x:c r="E782" s="7" t="str">
        <x:v>BL-Y</x:v>
      </x:c>
      <x:c r="F782" s="7" t="str">
        <x:v>MF-10</x:v>
      </x:c>
      <x:c r="G782" s="7" t="str">
        <x:v>normal-source path state</x:v>
      </x:c>
      <x:c r="H782" s="7" t="n">
        <x:v>2</x:v>
      </x:c>
      <x:c r="I782" s="7" t="str"/>
      <x:c r="J782" s="7" t="str"/>
      <x:c r="K782" s="7" t="str"/>
      <x:c r="L782" s="7" t="str"/>
      <x:c r="M782" s="7" t="str"/>
      <x:c r="N782" s="7" t="str"/>
      <x:c r="O782" s="7" t="str">
        <x:f>IF(N782="","OPEN",IF(OR(I782="",J782="",K782="",L782="",M782=""),"FAIL","PASS"))</x:f>
        <x:v>OPEN</x:v>
      </x:c>
    </x:row>
    <x:row r="783">
      <x:c r="B783" s="7" t="str">
        <x:v>CH-PEA-A-Y3-10-3</x:v>
      </x:c>
      <x:c r="C783" s="7" t="str">
        <x:v>PEA-A-Y3</x:v>
      </x:c>
      <x:c r="D783" s="7" t="str">
        <x:v>BLD-A</x:v>
      </x:c>
      <x:c r="E783" s="7" t="str">
        <x:v>BL-Y</x:v>
      </x:c>
      <x:c r="F783" s="7" t="str">
        <x:v>MF-10</x:v>
      </x:c>
      <x:c r="G783" s="7" t="str">
        <x:v>normal-source path state</x:v>
      </x:c>
      <x:c r="H783" s="7" t="n">
        <x:v>3</x:v>
      </x:c>
      <x:c r="I783" s="7" t="str"/>
      <x:c r="J783" s="7" t="str"/>
      <x:c r="K783" s="7" t="str"/>
      <x:c r="L783" s="7" t="str"/>
      <x:c r="M783" s="7" t="str"/>
      <x:c r="N783" s="7" t="str"/>
      <x:c r="O783" s="7" t="str">
        <x:f>IF(N783="","OPEN",IF(OR(I783="",J783="",K783="",L783="",M783=""),"FAIL","PASS"))</x:f>
        <x:v>OPEN</x:v>
      </x:c>
    </x:row>
    <x:row r="784">
      <x:c r="B784" s="7" t="str">
        <x:v>CH-PEA-A-Y3-10-4</x:v>
      </x:c>
      <x:c r="C784" s="7" t="str">
        <x:v>PEA-A-Y3</x:v>
      </x:c>
      <x:c r="D784" s="7" t="str">
        <x:v>BLD-A</x:v>
      </x:c>
      <x:c r="E784" s="7" t="str">
        <x:v>BL-Y</x:v>
      </x:c>
      <x:c r="F784" s="7" t="str">
        <x:v>MF-10</x:v>
      </x:c>
      <x:c r="G784" s="7" t="str">
        <x:v>normal-source path state</x:v>
      </x:c>
      <x:c r="H784" s="7" t="n">
        <x:v>4</x:v>
      </x:c>
      <x:c r="I784" s="7" t="str"/>
      <x:c r="J784" s="7" t="str"/>
      <x:c r="K784" s="7" t="str"/>
      <x:c r="L784" s="7" t="str"/>
      <x:c r="M784" s="7" t="str"/>
      <x:c r="N784" s="7" t="str"/>
      <x:c r="O784" s="7" t="str">
        <x:f>IF(N784="","OPEN",IF(OR(I784="",J784="",K784="",L784="",M784=""),"FAIL","PASS"))</x:f>
        <x:v>OPEN</x:v>
      </x:c>
    </x:row>
    <x:row r="785">
      <x:c r="B785" s="7" t="str">
        <x:v>CH-PEA-A-Y3-10-5</x:v>
      </x:c>
      <x:c r="C785" s="7" t="str">
        <x:v>PEA-A-Y3</x:v>
      </x:c>
      <x:c r="D785" s="7" t="str">
        <x:v>BLD-A</x:v>
      </x:c>
      <x:c r="E785" s="7" t="str">
        <x:v>BL-Y</x:v>
      </x:c>
      <x:c r="F785" s="7" t="str">
        <x:v>MF-10</x:v>
      </x:c>
      <x:c r="G785" s="7" t="str">
        <x:v>normal-source path state</x:v>
      </x:c>
      <x:c r="H785" s="7" t="n">
        <x:v>5</x:v>
      </x:c>
      <x:c r="I785" s="7" t="str"/>
      <x:c r="J785" s="7" t="str"/>
      <x:c r="K785" s="7" t="str"/>
      <x:c r="L785" s="7" t="str"/>
      <x:c r="M785" s="7" t="str"/>
      <x:c r="N785" s="7" t="str"/>
      <x:c r="O785" s="7" t="str">
        <x:f>IF(N785="","OPEN",IF(OR(I785="",J785="",K785="",L785="",M785=""),"FAIL","PASS"))</x:f>
        <x:v>OPEN</x:v>
      </x:c>
    </x:row>
    <x:row r="786">
      <x:c r="B786" s="7" t="str">
        <x:v>CH-PEA-A-Y3-10-6</x:v>
      </x:c>
      <x:c r="C786" s="7" t="str">
        <x:v>PEA-A-Y3</x:v>
      </x:c>
      <x:c r="D786" s="7" t="str">
        <x:v>BLD-A</x:v>
      </x:c>
      <x:c r="E786" s="7" t="str">
        <x:v>BL-Y</x:v>
      </x:c>
      <x:c r="F786" s="7" t="str">
        <x:v>MF-10</x:v>
      </x:c>
      <x:c r="G786" s="7" t="str">
        <x:v>normal-source path state</x:v>
      </x:c>
      <x:c r="H786" s="7" t="n">
        <x:v>6</x:v>
      </x:c>
      <x:c r="I786" s="7" t="str"/>
      <x:c r="J786" s="7" t="str"/>
      <x:c r="K786" s="7" t="str"/>
      <x:c r="L786" s="7" t="str"/>
      <x:c r="M786" s="7" t="str"/>
      <x:c r="N786" s="7" t="str"/>
      <x:c r="O786" s="7" t="str">
        <x:f>IF(N786="","OPEN",IF(OR(I786="",J786="",K786="",L786="",M786=""),"FAIL","PASS"))</x:f>
        <x:v>OPEN</x:v>
      </x:c>
    </x:row>
    <x:row r="787">
      <x:c r="B787" s="7" t="str">
        <x:v>CH-PEA-A-Y3-11-1</x:v>
      </x:c>
      <x:c r="C787" s="7" t="str">
        <x:v>PEA-A-Y3</x:v>
      </x:c>
      <x:c r="D787" s="7" t="str">
        <x:v>BLD-A</x:v>
      </x:c>
      <x:c r="E787" s="7" t="str">
        <x:v>BL-Y</x:v>
      </x:c>
      <x:c r="F787" s="7" t="str">
        <x:v>MF-11</x:v>
      </x:c>
      <x:c r="G787" s="7" t="str">
        <x:v>casualty-source path state</x:v>
      </x:c>
      <x:c r="H787" s="7" t="n">
        <x:v>1</x:v>
      </x:c>
      <x:c r="I787" s="7" t="str"/>
      <x:c r="J787" s="7" t="str"/>
      <x:c r="K787" s="7" t="str"/>
      <x:c r="L787" s="7" t="str"/>
      <x:c r="M787" s="7" t="str"/>
      <x:c r="N787" s="7" t="str"/>
      <x:c r="O787" s="7" t="str">
        <x:f>IF(N787="","OPEN",IF(OR(I787="",J787="",K787="",L787="",M787=""),"FAIL","PASS"))</x:f>
        <x:v>OPEN</x:v>
      </x:c>
    </x:row>
    <x:row r="788">
      <x:c r="B788" s="7" t="str">
        <x:v>CH-PEA-A-Y3-11-2</x:v>
      </x:c>
      <x:c r="C788" s="7" t="str">
        <x:v>PEA-A-Y3</x:v>
      </x:c>
      <x:c r="D788" s="7" t="str">
        <x:v>BLD-A</x:v>
      </x:c>
      <x:c r="E788" s="7" t="str">
        <x:v>BL-Y</x:v>
      </x:c>
      <x:c r="F788" s="7" t="str">
        <x:v>MF-11</x:v>
      </x:c>
      <x:c r="G788" s="7" t="str">
        <x:v>casualty-source path state</x:v>
      </x:c>
      <x:c r="H788" s="7" t="n">
        <x:v>2</x:v>
      </x:c>
      <x:c r="I788" s="7" t="str"/>
      <x:c r="J788" s="7" t="str"/>
      <x:c r="K788" s="7" t="str"/>
      <x:c r="L788" s="7" t="str"/>
      <x:c r="M788" s="7" t="str"/>
      <x:c r="N788" s="7" t="str"/>
      <x:c r="O788" s="7" t="str">
        <x:f>IF(N788="","OPEN",IF(OR(I788="",J788="",K788="",L788="",M788=""),"FAIL","PASS"))</x:f>
        <x:v>OPEN</x:v>
      </x:c>
    </x:row>
    <x:row r="789">
      <x:c r="B789" s="7" t="str">
        <x:v>CH-PEA-A-Y3-11-3</x:v>
      </x:c>
      <x:c r="C789" s="7" t="str">
        <x:v>PEA-A-Y3</x:v>
      </x:c>
      <x:c r="D789" s="7" t="str">
        <x:v>BLD-A</x:v>
      </x:c>
      <x:c r="E789" s="7" t="str">
        <x:v>BL-Y</x:v>
      </x:c>
      <x:c r="F789" s="7" t="str">
        <x:v>MF-11</x:v>
      </x:c>
      <x:c r="G789" s="7" t="str">
        <x:v>casualty-source path state</x:v>
      </x:c>
      <x:c r="H789" s="7" t="n">
        <x:v>3</x:v>
      </x:c>
      <x:c r="I789" s="7" t="str"/>
      <x:c r="J789" s="7" t="str"/>
      <x:c r="K789" s="7" t="str"/>
      <x:c r="L789" s="7" t="str"/>
      <x:c r="M789" s="7" t="str"/>
      <x:c r="N789" s="7" t="str"/>
      <x:c r="O789" s="7" t="str">
        <x:f>IF(N789="","OPEN",IF(OR(I789="",J789="",K789="",L789="",M789=""),"FAIL","PASS"))</x:f>
        <x:v>OPEN</x:v>
      </x:c>
    </x:row>
    <x:row r="790">
      <x:c r="B790" s="7" t="str">
        <x:v>CH-PEA-A-Y3-11-4</x:v>
      </x:c>
      <x:c r="C790" s="7" t="str">
        <x:v>PEA-A-Y3</x:v>
      </x:c>
      <x:c r="D790" s="7" t="str">
        <x:v>BLD-A</x:v>
      </x:c>
      <x:c r="E790" s="7" t="str">
        <x:v>BL-Y</x:v>
      </x:c>
      <x:c r="F790" s="7" t="str">
        <x:v>MF-11</x:v>
      </x:c>
      <x:c r="G790" s="7" t="str">
        <x:v>casualty-source path state</x:v>
      </x:c>
      <x:c r="H790" s="7" t="n">
        <x:v>4</x:v>
      </x:c>
      <x:c r="I790" s="7" t="str"/>
      <x:c r="J790" s="7" t="str"/>
      <x:c r="K790" s="7" t="str"/>
      <x:c r="L790" s="7" t="str"/>
      <x:c r="M790" s="7" t="str"/>
      <x:c r="N790" s="7" t="str"/>
      <x:c r="O790" s="7" t="str">
        <x:f>IF(N790="","OPEN",IF(OR(I790="",J790="",K790="",L790="",M790=""),"FAIL","PASS"))</x:f>
        <x:v>OPEN</x:v>
      </x:c>
    </x:row>
    <x:row r="791">
      <x:c r="B791" s="7" t="str">
        <x:v>CH-PEA-A-Y3-11-5</x:v>
      </x:c>
      <x:c r="C791" s="7" t="str">
        <x:v>PEA-A-Y3</x:v>
      </x:c>
      <x:c r="D791" s="7" t="str">
        <x:v>BLD-A</x:v>
      </x:c>
      <x:c r="E791" s="7" t="str">
        <x:v>BL-Y</x:v>
      </x:c>
      <x:c r="F791" s="7" t="str">
        <x:v>MF-11</x:v>
      </x:c>
      <x:c r="G791" s="7" t="str">
        <x:v>casualty-source path state</x:v>
      </x:c>
      <x:c r="H791" s="7" t="n">
        <x:v>5</x:v>
      </x:c>
      <x:c r="I791" s="7" t="str"/>
      <x:c r="J791" s="7" t="str"/>
      <x:c r="K791" s="7" t="str"/>
      <x:c r="L791" s="7" t="str"/>
      <x:c r="M791" s="7" t="str"/>
      <x:c r="N791" s="7" t="str"/>
      <x:c r="O791" s="7" t="str">
        <x:f>IF(N791="","OPEN",IF(OR(I791="",J791="",K791="",L791="",M791=""),"FAIL","PASS"))</x:f>
        <x:v>OPEN</x:v>
      </x:c>
    </x:row>
    <x:row r="792">
      <x:c r="B792" s="7" t="str">
        <x:v>CH-PEA-A-Y3-11-6</x:v>
      </x:c>
      <x:c r="C792" s="7" t="str">
        <x:v>PEA-A-Y3</x:v>
      </x:c>
      <x:c r="D792" s="7" t="str">
        <x:v>BLD-A</x:v>
      </x:c>
      <x:c r="E792" s="7" t="str">
        <x:v>BL-Y</x:v>
      </x:c>
      <x:c r="F792" s="7" t="str">
        <x:v>MF-11</x:v>
      </x:c>
      <x:c r="G792" s="7" t="str">
        <x:v>casualty-source path state</x:v>
      </x:c>
      <x:c r="H792" s="7" t="n">
        <x:v>6</x:v>
      </x:c>
      <x:c r="I792" s="7" t="str"/>
      <x:c r="J792" s="7" t="str"/>
      <x:c r="K792" s="7" t="str"/>
      <x:c r="L792" s="7" t="str"/>
      <x:c r="M792" s="7" t="str"/>
      <x:c r="N792" s="7" t="str"/>
      <x:c r="O792" s="7" t="str">
        <x:f>IF(N792="","OPEN",IF(OR(I792="",J792="",K792="",L792="",M792=""),"FAIL","PASS"))</x:f>
        <x:v>OPEN</x:v>
      </x:c>
    </x:row>
    <x:row r="793">
      <x:c r="B793" s="7" t="str">
        <x:v>CH-PEA-A-Y3-12-1</x:v>
      </x:c>
      <x:c r="C793" s="7" t="str">
        <x:v>PEA-A-Y3</x:v>
      </x:c>
      <x:c r="D793" s="7" t="str">
        <x:v>BLD-A</x:v>
      </x:c>
      <x:c r="E793" s="7" t="str">
        <x:v>BL-Y</x:v>
      </x:c>
      <x:c r="F793" s="7" t="str">
        <x:v>MF-12</x:v>
      </x:c>
      <x:c r="G793" s="7" t="str">
        <x:v>candidate-water path state</x:v>
      </x:c>
      <x:c r="H793" s="7" t="n">
        <x:v>1</x:v>
      </x:c>
      <x:c r="I793" s="7" t="str"/>
      <x:c r="J793" s="7" t="str"/>
      <x:c r="K793" s="7" t="str"/>
      <x:c r="L793" s="7" t="str"/>
      <x:c r="M793" s="7" t="str"/>
      <x:c r="N793" s="7" t="str"/>
      <x:c r="O793" s="7" t="str">
        <x:f>IF(N793="","OPEN",IF(OR(I793="",J793="",K793="",L793="",M793=""),"FAIL","PASS"))</x:f>
        <x:v>OPEN</x:v>
      </x:c>
    </x:row>
    <x:row r="794">
      <x:c r="B794" s="7" t="str">
        <x:v>CH-PEA-A-Y3-12-2</x:v>
      </x:c>
      <x:c r="C794" s="7" t="str">
        <x:v>PEA-A-Y3</x:v>
      </x:c>
      <x:c r="D794" s="7" t="str">
        <x:v>BLD-A</x:v>
      </x:c>
      <x:c r="E794" s="7" t="str">
        <x:v>BL-Y</x:v>
      </x:c>
      <x:c r="F794" s="7" t="str">
        <x:v>MF-12</x:v>
      </x:c>
      <x:c r="G794" s="7" t="str">
        <x:v>candidate-water path state</x:v>
      </x:c>
      <x:c r="H794" s="7" t="n">
        <x:v>2</x:v>
      </x:c>
      <x:c r="I794" s="7" t="str"/>
      <x:c r="J794" s="7" t="str"/>
      <x:c r="K794" s="7" t="str"/>
      <x:c r="L794" s="7" t="str"/>
      <x:c r="M794" s="7" t="str"/>
      <x:c r="N794" s="7" t="str"/>
      <x:c r="O794" s="7" t="str">
        <x:f>IF(N794="","OPEN",IF(OR(I794="",J794="",K794="",L794="",M794=""),"FAIL","PASS"))</x:f>
        <x:v>OPEN</x:v>
      </x:c>
    </x:row>
    <x:row r="795">
      <x:c r="B795" s="7" t="str">
        <x:v>CH-PEA-A-Y3-12-3</x:v>
      </x:c>
      <x:c r="C795" s="7" t="str">
        <x:v>PEA-A-Y3</x:v>
      </x:c>
      <x:c r="D795" s="7" t="str">
        <x:v>BLD-A</x:v>
      </x:c>
      <x:c r="E795" s="7" t="str">
        <x:v>BL-Y</x:v>
      </x:c>
      <x:c r="F795" s="7" t="str">
        <x:v>MF-12</x:v>
      </x:c>
      <x:c r="G795" s="7" t="str">
        <x:v>candidate-water path state</x:v>
      </x:c>
      <x:c r="H795" s="7" t="n">
        <x:v>3</x:v>
      </x:c>
      <x:c r="I795" s="7" t="str"/>
      <x:c r="J795" s="7" t="str"/>
      <x:c r="K795" s="7" t="str"/>
      <x:c r="L795" s="7" t="str"/>
      <x:c r="M795" s="7" t="str"/>
      <x:c r="N795" s="7" t="str"/>
      <x:c r="O795" s="7" t="str">
        <x:f>IF(N795="","OPEN",IF(OR(I795="",J795="",K795="",L795="",M795=""),"FAIL","PASS"))</x:f>
        <x:v>OPEN</x:v>
      </x:c>
    </x:row>
    <x:row r="796">
      <x:c r="B796" s="7" t="str">
        <x:v>CH-PEA-A-Y3-12-4</x:v>
      </x:c>
      <x:c r="C796" s="7" t="str">
        <x:v>PEA-A-Y3</x:v>
      </x:c>
      <x:c r="D796" s="7" t="str">
        <x:v>BLD-A</x:v>
      </x:c>
      <x:c r="E796" s="7" t="str">
        <x:v>BL-Y</x:v>
      </x:c>
      <x:c r="F796" s="7" t="str">
        <x:v>MF-12</x:v>
      </x:c>
      <x:c r="G796" s="7" t="str">
        <x:v>candidate-water path state</x:v>
      </x:c>
      <x:c r="H796" s="7" t="n">
        <x:v>4</x:v>
      </x:c>
      <x:c r="I796" s="7" t="str"/>
      <x:c r="J796" s="7" t="str"/>
      <x:c r="K796" s="7" t="str"/>
      <x:c r="L796" s="7" t="str"/>
      <x:c r="M796" s="7" t="str"/>
      <x:c r="N796" s="7" t="str"/>
      <x:c r="O796" s="7" t="str">
        <x:f>IF(N796="","OPEN",IF(OR(I796="",J796="",K796="",L796="",M796=""),"FAIL","PASS"))</x:f>
        <x:v>OPEN</x:v>
      </x:c>
    </x:row>
    <x:row r="797">
      <x:c r="B797" s="7" t="str">
        <x:v>CH-PEA-A-Y3-12-5</x:v>
      </x:c>
      <x:c r="C797" s="7" t="str">
        <x:v>PEA-A-Y3</x:v>
      </x:c>
      <x:c r="D797" s="7" t="str">
        <x:v>BLD-A</x:v>
      </x:c>
      <x:c r="E797" s="7" t="str">
        <x:v>BL-Y</x:v>
      </x:c>
      <x:c r="F797" s="7" t="str">
        <x:v>MF-12</x:v>
      </x:c>
      <x:c r="G797" s="7" t="str">
        <x:v>candidate-water path state</x:v>
      </x:c>
      <x:c r="H797" s="7" t="n">
        <x:v>5</x:v>
      </x:c>
      <x:c r="I797" s="7" t="str"/>
      <x:c r="J797" s="7" t="str"/>
      <x:c r="K797" s="7" t="str"/>
      <x:c r="L797" s="7" t="str"/>
      <x:c r="M797" s="7" t="str"/>
      <x:c r="N797" s="7" t="str"/>
      <x:c r="O797" s="7" t="str">
        <x:f>IF(N797="","OPEN",IF(OR(I797="",J797="",K797="",L797="",M797=""),"FAIL","PASS"))</x:f>
        <x:v>OPEN</x:v>
      </x:c>
    </x:row>
    <x:row r="798">
      <x:c r="B798" s="7" t="str">
        <x:v>CH-PEA-A-Y3-12-6</x:v>
      </x:c>
      <x:c r="C798" s="7" t="str">
        <x:v>PEA-A-Y3</x:v>
      </x:c>
      <x:c r="D798" s="7" t="str">
        <x:v>BLD-A</x:v>
      </x:c>
      <x:c r="E798" s="7" t="str">
        <x:v>BL-Y</x:v>
      </x:c>
      <x:c r="F798" s="7" t="str">
        <x:v>MF-12</x:v>
      </x:c>
      <x:c r="G798" s="7" t="str">
        <x:v>candidate-water path state</x:v>
      </x:c>
      <x:c r="H798" s="7" t="n">
        <x:v>6</x:v>
      </x:c>
      <x:c r="I798" s="7" t="str"/>
      <x:c r="J798" s="7" t="str"/>
      <x:c r="K798" s="7" t="str"/>
      <x:c r="L798" s="7" t="str"/>
      <x:c r="M798" s="7" t="str"/>
      <x:c r="N798" s="7" t="str"/>
      <x:c r="O798" s="7" t="str">
        <x:f>IF(N798="","OPEN",IF(OR(I798="",J798="",K798="",L798="",M798=""),"FAIL","PASS"))</x:f>
        <x:v>OPEN</x:v>
      </x:c>
    </x:row>
    <x:row r="799">
      <x:c r="B799" s="7" t="str">
        <x:v>CH-PEA-A-Y3-13-1</x:v>
      </x:c>
      <x:c r="C799" s="7" t="str">
        <x:v>PEA-A-Y3</x:v>
      </x:c>
      <x:c r="D799" s="7" t="str">
        <x:v>BLD-A</x:v>
      </x:c>
      <x:c r="E799" s="7" t="str">
        <x:v>BL-Y</x:v>
      </x:c>
      <x:c r="F799" s="7" t="str">
        <x:v>MF-13</x:v>
      </x:c>
      <x:c r="G799" s="7" t="str">
        <x:v>final-element reference</x:v>
      </x:c>
      <x:c r="H799" s="7" t="n">
        <x:v>1</x:v>
      </x:c>
      <x:c r="I799" s="7" t="str"/>
      <x:c r="J799" s="7" t="str"/>
      <x:c r="K799" s="7" t="str"/>
      <x:c r="L799" s="7" t="str"/>
      <x:c r="M799" s="7" t="str"/>
      <x:c r="N799" s="7" t="str"/>
      <x:c r="O799" s="7" t="str">
        <x:f>IF(N799="","OPEN",IF(OR(I799="",J799="",K799="",L799="",M799=""),"FAIL","PASS"))</x:f>
        <x:v>OPEN</x:v>
      </x:c>
    </x:row>
    <x:row r="800">
      <x:c r="B800" s="7" t="str">
        <x:v>CH-PEA-A-Y3-13-2</x:v>
      </x:c>
      <x:c r="C800" s="7" t="str">
        <x:v>PEA-A-Y3</x:v>
      </x:c>
      <x:c r="D800" s="7" t="str">
        <x:v>BLD-A</x:v>
      </x:c>
      <x:c r="E800" s="7" t="str">
        <x:v>BL-Y</x:v>
      </x:c>
      <x:c r="F800" s="7" t="str">
        <x:v>MF-13</x:v>
      </x:c>
      <x:c r="G800" s="7" t="str">
        <x:v>final-element reference</x:v>
      </x:c>
      <x:c r="H800" s="7" t="n">
        <x:v>2</x:v>
      </x:c>
      <x:c r="I800" s="7" t="str"/>
      <x:c r="J800" s="7" t="str"/>
      <x:c r="K800" s="7" t="str"/>
      <x:c r="L800" s="7" t="str"/>
      <x:c r="M800" s="7" t="str"/>
      <x:c r="N800" s="7" t="str"/>
      <x:c r="O800" s="7" t="str">
        <x:f>IF(N800="","OPEN",IF(OR(I800="",J800="",K800="",L800="",M800=""),"FAIL","PASS"))</x:f>
        <x:v>OPEN</x:v>
      </x:c>
    </x:row>
    <x:row r="801">
      <x:c r="B801" s="7" t="str">
        <x:v>CH-PEA-A-Y3-13-3</x:v>
      </x:c>
      <x:c r="C801" s="7" t="str">
        <x:v>PEA-A-Y3</x:v>
      </x:c>
      <x:c r="D801" s="7" t="str">
        <x:v>BLD-A</x:v>
      </x:c>
      <x:c r="E801" s="7" t="str">
        <x:v>BL-Y</x:v>
      </x:c>
      <x:c r="F801" s="7" t="str">
        <x:v>MF-13</x:v>
      </x:c>
      <x:c r="G801" s="7" t="str">
        <x:v>final-element reference</x:v>
      </x:c>
      <x:c r="H801" s="7" t="n">
        <x:v>3</x:v>
      </x:c>
      <x:c r="I801" s="7" t="str"/>
      <x:c r="J801" s="7" t="str"/>
      <x:c r="K801" s="7" t="str"/>
      <x:c r="L801" s="7" t="str"/>
      <x:c r="M801" s="7" t="str"/>
      <x:c r="N801" s="7" t="str"/>
      <x:c r="O801" s="7" t="str">
        <x:f>IF(N801="","OPEN",IF(OR(I801="",J801="",K801="",L801="",M801=""),"FAIL","PASS"))</x:f>
        <x:v>OPEN</x:v>
      </x:c>
    </x:row>
    <x:row r="802">
      <x:c r="B802" s="7" t="str">
        <x:v>CH-PEA-A-Y3-13-4</x:v>
      </x:c>
      <x:c r="C802" s="7" t="str">
        <x:v>PEA-A-Y3</x:v>
      </x:c>
      <x:c r="D802" s="7" t="str">
        <x:v>BLD-A</x:v>
      </x:c>
      <x:c r="E802" s="7" t="str">
        <x:v>BL-Y</x:v>
      </x:c>
      <x:c r="F802" s="7" t="str">
        <x:v>MF-13</x:v>
      </x:c>
      <x:c r="G802" s="7" t="str">
        <x:v>final-element reference</x:v>
      </x:c>
      <x:c r="H802" s="7" t="n">
        <x:v>4</x:v>
      </x:c>
      <x:c r="I802" s="7" t="str"/>
      <x:c r="J802" s="7" t="str"/>
      <x:c r="K802" s="7" t="str"/>
      <x:c r="L802" s="7" t="str"/>
      <x:c r="M802" s="7" t="str"/>
      <x:c r="N802" s="7" t="str"/>
      <x:c r="O802" s="7" t="str">
        <x:f>IF(N802="","OPEN",IF(OR(I802="",J802="",K802="",L802="",M802=""),"FAIL","PASS"))</x:f>
        <x:v>OPEN</x:v>
      </x:c>
    </x:row>
    <x:row r="803">
      <x:c r="B803" s="7" t="str">
        <x:v>CH-PEA-A-Y3-13-5</x:v>
      </x:c>
      <x:c r="C803" s="7" t="str">
        <x:v>PEA-A-Y3</x:v>
      </x:c>
      <x:c r="D803" s="7" t="str">
        <x:v>BLD-A</x:v>
      </x:c>
      <x:c r="E803" s="7" t="str">
        <x:v>BL-Y</x:v>
      </x:c>
      <x:c r="F803" s="7" t="str">
        <x:v>MF-13</x:v>
      </x:c>
      <x:c r="G803" s="7" t="str">
        <x:v>final-element reference</x:v>
      </x:c>
      <x:c r="H803" s="7" t="n">
        <x:v>5</x:v>
      </x:c>
      <x:c r="I803" s="7" t="str"/>
      <x:c r="J803" s="7" t="str"/>
      <x:c r="K803" s="7" t="str"/>
      <x:c r="L803" s="7" t="str"/>
      <x:c r="M803" s="7" t="str"/>
      <x:c r="N803" s="7" t="str"/>
      <x:c r="O803" s="7" t="str">
        <x:f>IF(N803="","OPEN",IF(OR(I803="",J803="",K803="",L803="",M803=""),"FAIL","PASS"))</x:f>
        <x:v>OPEN</x:v>
      </x:c>
    </x:row>
    <x:row r="804">
      <x:c r="B804" s="7" t="str">
        <x:v>CH-PEA-A-Y3-13-6</x:v>
      </x:c>
      <x:c r="C804" s="7" t="str">
        <x:v>PEA-A-Y3</x:v>
      </x:c>
      <x:c r="D804" s="7" t="str">
        <x:v>BLD-A</x:v>
      </x:c>
      <x:c r="E804" s="7" t="str">
        <x:v>BL-Y</x:v>
      </x:c>
      <x:c r="F804" s="7" t="str">
        <x:v>MF-13</x:v>
      </x:c>
      <x:c r="G804" s="7" t="str">
        <x:v>final-element reference</x:v>
      </x:c>
      <x:c r="H804" s="7" t="n">
        <x:v>6</x:v>
      </x:c>
      <x:c r="I804" s="7" t="str"/>
      <x:c r="J804" s="7" t="str"/>
      <x:c r="K804" s="7" t="str"/>
      <x:c r="L804" s="7" t="str"/>
      <x:c r="M804" s="7" t="str"/>
      <x:c r="N804" s="7" t="str"/>
      <x:c r="O804" s="7" t="str">
        <x:f>IF(N804="","OPEN",IF(OR(I804="",J804="",K804="",L804="",M804=""),"FAIL","PASS"))</x:f>
        <x:v>OPEN</x:v>
      </x:c>
    </x:row>
    <x:row r="805">
      <x:c r="B805" s="7" t="str">
        <x:v>CH-PEA-A-Y3-14-1</x:v>
      </x:c>
      <x:c r="C805" s="7" t="str">
        <x:v>PEA-A-Y3</x:v>
      </x:c>
      <x:c r="D805" s="7" t="str">
        <x:v>BLD-A</x:v>
      </x:c>
      <x:c r="E805" s="7" t="str">
        <x:v>BL-Y</x:v>
      </x:c>
      <x:c r="F805" s="7" t="str">
        <x:v>MF-14</x:v>
      </x:c>
      <x:c r="G805" s="7" t="str">
        <x:v>causal time</x:v>
      </x:c>
      <x:c r="H805" s="7" t="n">
        <x:v>1</x:v>
      </x:c>
      <x:c r="I805" s="7" t="str"/>
      <x:c r="J805" s="7" t="str"/>
      <x:c r="K805" s="7" t="str"/>
      <x:c r="L805" s="7" t="str"/>
      <x:c r="M805" s="7" t="str"/>
      <x:c r="N805" s="7" t="str"/>
      <x:c r="O805" s="7" t="str">
        <x:f>IF(N805="","OPEN",IF(OR(I805="",J805="",K805="",L805="",M805=""),"FAIL","PASS"))</x:f>
        <x:v>OPEN</x:v>
      </x:c>
    </x:row>
    <x:row r="806">
      <x:c r="B806" s="7" t="str">
        <x:v>CH-PEA-A-Y3-14-2</x:v>
      </x:c>
      <x:c r="C806" s="7" t="str">
        <x:v>PEA-A-Y3</x:v>
      </x:c>
      <x:c r="D806" s="7" t="str">
        <x:v>BLD-A</x:v>
      </x:c>
      <x:c r="E806" s="7" t="str">
        <x:v>BL-Y</x:v>
      </x:c>
      <x:c r="F806" s="7" t="str">
        <x:v>MF-14</x:v>
      </x:c>
      <x:c r="G806" s="7" t="str">
        <x:v>causal time</x:v>
      </x:c>
      <x:c r="H806" s="7" t="n">
        <x:v>2</x:v>
      </x:c>
      <x:c r="I806" s="7" t="str"/>
      <x:c r="J806" s="7" t="str"/>
      <x:c r="K806" s="7" t="str"/>
      <x:c r="L806" s="7" t="str"/>
      <x:c r="M806" s="7" t="str"/>
      <x:c r="N806" s="7" t="str"/>
      <x:c r="O806" s="7" t="str">
        <x:f>IF(N806="","OPEN",IF(OR(I806="",J806="",K806="",L806="",M806=""),"FAIL","PASS"))</x:f>
        <x:v>OPEN</x:v>
      </x:c>
    </x:row>
    <x:row r="807">
      <x:c r="B807" s="7" t="str">
        <x:v>CH-PEA-A-Y3-14-3</x:v>
      </x:c>
      <x:c r="C807" s="7" t="str">
        <x:v>PEA-A-Y3</x:v>
      </x:c>
      <x:c r="D807" s="7" t="str">
        <x:v>BLD-A</x:v>
      </x:c>
      <x:c r="E807" s="7" t="str">
        <x:v>BL-Y</x:v>
      </x:c>
      <x:c r="F807" s="7" t="str">
        <x:v>MF-14</x:v>
      </x:c>
      <x:c r="G807" s="7" t="str">
        <x:v>causal time</x:v>
      </x:c>
      <x:c r="H807" s="7" t="n">
        <x:v>3</x:v>
      </x:c>
      <x:c r="I807" s="7" t="str"/>
      <x:c r="J807" s="7" t="str"/>
      <x:c r="K807" s="7" t="str"/>
      <x:c r="L807" s="7" t="str"/>
      <x:c r="M807" s="7" t="str"/>
      <x:c r="N807" s="7" t="str"/>
      <x:c r="O807" s="7" t="str">
        <x:f>IF(N807="","OPEN",IF(OR(I807="",J807="",K807="",L807="",M807=""),"FAIL","PASS"))</x:f>
        <x:v>OPEN</x:v>
      </x:c>
    </x:row>
    <x:row r="808">
      <x:c r="B808" s="7" t="str">
        <x:v>CH-PEA-A-Y3-14-4</x:v>
      </x:c>
      <x:c r="C808" s="7" t="str">
        <x:v>PEA-A-Y3</x:v>
      </x:c>
      <x:c r="D808" s="7" t="str">
        <x:v>BLD-A</x:v>
      </x:c>
      <x:c r="E808" s="7" t="str">
        <x:v>BL-Y</x:v>
      </x:c>
      <x:c r="F808" s="7" t="str">
        <x:v>MF-14</x:v>
      </x:c>
      <x:c r="G808" s="7" t="str">
        <x:v>causal time</x:v>
      </x:c>
      <x:c r="H808" s="7" t="n">
        <x:v>4</x:v>
      </x:c>
      <x:c r="I808" s="7" t="str"/>
      <x:c r="J808" s="7" t="str"/>
      <x:c r="K808" s="7" t="str"/>
      <x:c r="L808" s="7" t="str"/>
      <x:c r="M808" s="7" t="str"/>
      <x:c r="N808" s="7" t="str"/>
      <x:c r="O808" s="7" t="str">
        <x:f>IF(N808="","OPEN",IF(OR(I808="",J808="",K808="",L808="",M808=""),"FAIL","PASS"))</x:f>
        <x:v>OPEN</x:v>
      </x:c>
    </x:row>
    <x:row r="809">
      <x:c r="B809" s="7" t="str">
        <x:v>CH-PEA-A-Y3-14-5</x:v>
      </x:c>
      <x:c r="C809" s="7" t="str">
        <x:v>PEA-A-Y3</x:v>
      </x:c>
      <x:c r="D809" s="7" t="str">
        <x:v>BLD-A</x:v>
      </x:c>
      <x:c r="E809" s="7" t="str">
        <x:v>BL-Y</x:v>
      </x:c>
      <x:c r="F809" s="7" t="str">
        <x:v>MF-14</x:v>
      </x:c>
      <x:c r="G809" s="7" t="str">
        <x:v>causal time</x:v>
      </x:c>
      <x:c r="H809" s="7" t="n">
        <x:v>5</x:v>
      </x:c>
      <x:c r="I809" s="7" t="str"/>
      <x:c r="J809" s="7" t="str"/>
      <x:c r="K809" s="7" t="str"/>
      <x:c r="L809" s="7" t="str"/>
      <x:c r="M809" s="7" t="str"/>
      <x:c r="N809" s="7" t="str"/>
      <x:c r="O809" s="7" t="str">
        <x:f>IF(N809="","OPEN",IF(OR(I809="",J809="",K809="",L809="",M809=""),"FAIL","PASS"))</x:f>
        <x:v>OPEN</x:v>
      </x:c>
    </x:row>
    <x:row r="810">
      <x:c r="B810" s="7" t="str">
        <x:v>CH-PEA-A-Y3-14-6</x:v>
      </x:c>
      <x:c r="C810" s="7" t="str">
        <x:v>PEA-A-Y3</x:v>
      </x:c>
      <x:c r="D810" s="7" t="str">
        <x:v>BLD-A</x:v>
      </x:c>
      <x:c r="E810" s="7" t="str">
        <x:v>BL-Y</x:v>
      </x:c>
      <x:c r="F810" s="7" t="str">
        <x:v>MF-14</x:v>
      </x:c>
      <x:c r="G810" s="7" t="str">
        <x:v>causal time</x:v>
      </x:c>
      <x:c r="H810" s="7" t="n">
        <x:v>6</x:v>
      </x:c>
      <x:c r="I810" s="7" t="str"/>
      <x:c r="J810" s="7" t="str"/>
      <x:c r="K810" s="7" t="str"/>
      <x:c r="L810" s="7" t="str"/>
      <x:c r="M810" s="7" t="str"/>
      <x:c r="N810" s="7" t="str"/>
      <x:c r="O810" s="7" t="str">
        <x:f>IF(N810="","OPEN",IF(OR(I810="",J810="",K810="",L810="",M810=""),"FAIL","PASS"))</x:f>
        <x:v>OPEN</x:v>
      </x:c>
    </x:row>
    <x:row r="811">
      <x:c r="B811" s="7" t="str">
        <x:v>CH-PEA-A-Y3-15-1</x:v>
      </x:c>
      <x:c r="C811" s="7" t="str">
        <x:v>PEA-A-Y3</x:v>
      </x:c>
      <x:c r="D811" s="7" t="str">
        <x:v>BLD-A</x:v>
      </x:c>
      <x:c r="E811" s="7" t="str">
        <x:v>BL-Y</x:v>
      </x:c>
      <x:c r="F811" s="7" t="str">
        <x:v>MF-15</x:v>
      </x:c>
      <x:c r="G811" s="7" t="str">
        <x:v>source motive energy</x:v>
      </x:c>
      <x:c r="H811" s="7" t="n">
        <x:v>1</x:v>
      </x:c>
      <x:c r="I811" s="7" t="str"/>
      <x:c r="J811" s="7" t="str"/>
      <x:c r="K811" s="7" t="str"/>
      <x:c r="L811" s="7" t="str"/>
      <x:c r="M811" s="7" t="str"/>
      <x:c r="N811" s="7" t="str"/>
      <x:c r="O811" s="7" t="str">
        <x:f>IF(N811="","OPEN",IF(OR(I811="",J811="",K811="",L811="",M811=""),"FAIL","PASS"))</x:f>
        <x:v>OPEN</x:v>
      </x:c>
    </x:row>
    <x:row r="812">
      <x:c r="B812" s="7" t="str">
        <x:v>CH-PEA-A-Y3-15-2</x:v>
      </x:c>
      <x:c r="C812" s="7" t="str">
        <x:v>PEA-A-Y3</x:v>
      </x:c>
      <x:c r="D812" s="7" t="str">
        <x:v>BLD-A</x:v>
      </x:c>
      <x:c r="E812" s="7" t="str">
        <x:v>BL-Y</x:v>
      </x:c>
      <x:c r="F812" s="7" t="str">
        <x:v>MF-15</x:v>
      </x:c>
      <x:c r="G812" s="7" t="str">
        <x:v>source motive energy</x:v>
      </x:c>
      <x:c r="H812" s="7" t="n">
        <x:v>2</x:v>
      </x:c>
      <x:c r="I812" s="7" t="str"/>
      <x:c r="J812" s="7" t="str"/>
      <x:c r="K812" s="7" t="str"/>
      <x:c r="L812" s="7" t="str"/>
      <x:c r="M812" s="7" t="str"/>
      <x:c r="N812" s="7" t="str"/>
      <x:c r="O812" s="7" t="str">
        <x:f>IF(N812="","OPEN",IF(OR(I812="",J812="",K812="",L812="",M812=""),"FAIL","PASS"))</x:f>
        <x:v>OPEN</x:v>
      </x:c>
    </x:row>
    <x:row r="813">
      <x:c r="B813" s="7" t="str">
        <x:v>CH-PEA-A-Y3-15-3</x:v>
      </x:c>
      <x:c r="C813" s="7" t="str">
        <x:v>PEA-A-Y3</x:v>
      </x:c>
      <x:c r="D813" s="7" t="str">
        <x:v>BLD-A</x:v>
      </x:c>
      <x:c r="E813" s="7" t="str">
        <x:v>BL-Y</x:v>
      </x:c>
      <x:c r="F813" s="7" t="str">
        <x:v>MF-15</x:v>
      </x:c>
      <x:c r="G813" s="7" t="str">
        <x:v>source motive energy</x:v>
      </x:c>
      <x:c r="H813" s="7" t="n">
        <x:v>3</x:v>
      </x:c>
      <x:c r="I813" s="7" t="str"/>
      <x:c r="J813" s="7" t="str"/>
      <x:c r="K813" s="7" t="str"/>
      <x:c r="L813" s="7" t="str"/>
      <x:c r="M813" s="7" t="str"/>
      <x:c r="N813" s="7" t="str"/>
      <x:c r="O813" s="7" t="str">
        <x:f>IF(N813="","OPEN",IF(OR(I813="",J813="",K813="",L813="",M813=""),"FAIL","PASS"))</x:f>
        <x:v>OPEN</x:v>
      </x:c>
    </x:row>
    <x:row r="814">
      <x:c r="B814" s="7" t="str">
        <x:v>CH-PEA-A-Y3-15-4</x:v>
      </x:c>
      <x:c r="C814" s="7" t="str">
        <x:v>PEA-A-Y3</x:v>
      </x:c>
      <x:c r="D814" s="7" t="str">
        <x:v>BLD-A</x:v>
      </x:c>
      <x:c r="E814" s="7" t="str">
        <x:v>BL-Y</x:v>
      </x:c>
      <x:c r="F814" s="7" t="str">
        <x:v>MF-15</x:v>
      </x:c>
      <x:c r="G814" s="7" t="str">
        <x:v>source motive energy</x:v>
      </x:c>
      <x:c r="H814" s="7" t="n">
        <x:v>4</x:v>
      </x:c>
      <x:c r="I814" s="7" t="str"/>
      <x:c r="J814" s="7" t="str"/>
      <x:c r="K814" s="7" t="str"/>
      <x:c r="L814" s="7" t="str"/>
      <x:c r="M814" s="7" t="str"/>
      <x:c r="N814" s="7" t="str"/>
      <x:c r="O814" s="7" t="str">
        <x:f>IF(N814="","OPEN",IF(OR(I814="",J814="",K814="",L814="",M814=""),"FAIL","PASS"))</x:f>
        <x:v>OPEN</x:v>
      </x:c>
    </x:row>
    <x:row r="815">
      <x:c r="B815" s="7" t="str">
        <x:v>CH-PEA-A-Y3-15-5</x:v>
      </x:c>
      <x:c r="C815" s="7" t="str">
        <x:v>PEA-A-Y3</x:v>
      </x:c>
      <x:c r="D815" s="7" t="str">
        <x:v>BLD-A</x:v>
      </x:c>
      <x:c r="E815" s="7" t="str">
        <x:v>BL-Y</x:v>
      </x:c>
      <x:c r="F815" s="7" t="str">
        <x:v>MF-15</x:v>
      </x:c>
      <x:c r="G815" s="7" t="str">
        <x:v>source motive energy</x:v>
      </x:c>
      <x:c r="H815" s="7" t="n">
        <x:v>5</x:v>
      </x:c>
      <x:c r="I815" s="7" t="str"/>
      <x:c r="J815" s="7" t="str"/>
      <x:c r="K815" s="7" t="str"/>
      <x:c r="L815" s="7" t="str"/>
      <x:c r="M815" s="7" t="str"/>
      <x:c r="N815" s="7" t="str"/>
      <x:c r="O815" s="7" t="str">
        <x:f>IF(N815="","OPEN",IF(OR(I815="",J815="",K815="",L815="",M815=""),"FAIL","PASS"))</x:f>
        <x:v>OPEN</x:v>
      </x:c>
    </x:row>
    <x:row r="816">
      <x:c r="B816" s="7" t="str">
        <x:v>CH-PEA-A-Y3-15-6</x:v>
      </x:c>
      <x:c r="C816" s="7" t="str">
        <x:v>PEA-A-Y3</x:v>
      </x:c>
      <x:c r="D816" s="7" t="str">
        <x:v>BLD-A</x:v>
      </x:c>
      <x:c r="E816" s="7" t="str">
        <x:v>BL-Y</x:v>
      </x:c>
      <x:c r="F816" s="7" t="str">
        <x:v>MF-15</x:v>
      </x:c>
      <x:c r="G816" s="7" t="str">
        <x:v>source motive energy</x:v>
      </x:c>
      <x:c r="H816" s="7" t="n">
        <x:v>6</x:v>
      </x:c>
      <x:c r="I816" s="7" t="str"/>
      <x:c r="J816" s="7" t="str"/>
      <x:c r="K816" s="7" t="str"/>
      <x:c r="L816" s="7" t="str"/>
      <x:c r="M816" s="7" t="str"/>
      <x:c r="N816" s="7" t="str"/>
      <x:c r="O816" s="7" t="str">
        <x:f>IF(N816="","OPEN",IF(OR(I816="",J816="",K816="",L816="",M816=""),"FAIL","PASS"))</x:f>
        <x:v>OPEN</x:v>
      </x:c>
    </x:row>
    <x:row r="817">
      <x:c r="B817" s="7" t="str">
        <x:v>CH-PEA-A-Y3-16-1</x:v>
      </x:c>
      <x:c r="C817" s="7" t="str">
        <x:v>PEA-A-Y3</x:v>
      </x:c>
      <x:c r="D817" s="7" t="str">
        <x:v>BLD-A</x:v>
      </x:c>
      <x:c r="E817" s="7" t="str">
        <x:v>BL-Y</x:v>
      </x:c>
      <x:c r="F817" s="7" t="str">
        <x:v>MF-16</x:v>
      </x:c>
      <x:c r="G817" s="7" t="str">
        <x:v>water motive energy</x:v>
      </x:c>
      <x:c r="H817" s="7" t="n">
        <x:v>1</x:v>
      </x:c>
      <x:c r="I817" s="7" t="str"/>
      <x:c r="J817" s="7" t="str"/>
      <x:c r="K817" s="7" t="str"/>
      <x:c r="L817" s="7" t="str"/>
      <x:c r="M817" s="7" t="str"/>
      <x:c r="N817" s="7" t="str"/>
      <x:c r="O817" s="7" t="str">
        <x:f>IF(N817="","OPEN",IF(OR(I817="",J817="",K817="",L817="",M817=""),"FAIL","PASS"))</x:f>
        <x:v>OPEN</x:v>
      </x:c>
    </x:row>
    <x:row r="818">
      <x:c r="B818" s="7" t="str">
        <x:v>CH-PEA-A-Y3-16-2</x:v>
      </x:c>
      <x:c r="C818" s="7" t="str">
        <x:v>PEA-A-Y3</x:v>
      </x:c>
      <x:c r="D818" s="7" t="str">
        <x:v>BLD-A</x:v>
      </x:c>
      <x:c r="E818" s="7" t="str">
        <x:v>BL-Y</x:v>
      </x:c>
      <x:c r="F818" s="7" t="str">
        <x:v>MF-16</x:v>
      </x:c>
      <x:c r="G818" s="7" t="str">
        <x:v>water motive energy</x:v>
      </x:c>
      <x:c r="H818" s="7" t="n">
        <x:v>2</x:v>
      </x:c>
      <x:c r="I818" s="7" t="str"/>
      <x:c r="J818" s="7" t="str"/>
      <x:c r="K818" s="7" t="str"/>
      <x:c r="L818" s="7" t="str"/>
      <x:c r="M818" s="7" t="str"/>
      <x:c r="N818" s="7" t="str"/>
      <x:c r="O818" s="7" t="str">
        <x:f>IF(N818="","OPEN",IF(OR(I818="",J818="",K818="",L818="",M818=""),"FAIL","PASS"))</x:f>
        <x:v>OPEN</x:v>
      </x:c>
    </x:row>
    <x:row r="819">
      <x:c r="B819" s="7" t="str">
        <x:v>CH-PEA-A-Y3-16-3</x:v>
      </x:c>
      <x:c r="C819" s="7" t="str">
        <x:v>PEA-A-Y3</x:v>
      </x:c>
      <x:c r="D819" s="7" t="str">
        <x:v>BLD-A</x:v>
      </x:c>
      <x:c r="E819" s="7" t="str">
        <x:v>BL-Y</x:v>
      </x:c>
      <x:c r="F819" s="7" t="str">
        <x:v>MF-16</x:v>
      </x:c>
      <x:c r="G819" s="7" t="str">
        <x:v>water motive energy</x:v>
      </x:c>
      <x:c r="H819" s="7" t="n">
        <x:v>3</x:v>
      </x:c>
      <x:c r="I819" s="7" t="str"/>
      <x:c r="J819" s="7" t="str"/>
      <x:c r="K819" s="7" t="str"/>
      <x:c r="L819" s="7" t="str"/>
      <x:c r="M819" s="7" t="str"/>
      <x:c r="N819" s="7" t="str"/>
      <x:c r="O819" s="7" t="str">
        <x:f>IF(N819="","OPEN",IF(OR(I819="",J819="",K819="",L819="",M819=""),"FAIL","PASS"))</x:f>
        <x:v>OPEN</x:v>
      </x:c>
    </x:row>
    <x:row r="820">
      <x:c r="B820" s="7" t="str">
        <x:v>CH-PEA-A-Y3-16-4</x:v>
      </x:c>
      <x:c r="C820" s="7" t="str">
        <x:v>PEA-A-Y3</x:v>
      </x:c>
      <x:c r="D820" s="7" t="str">
        <x:v>BLD-A</x:v>
      </x:c>
      <x:c r="E820" s="7" t="str">
        <x:v>BL-Y</x:v>
      </x:c>
      <x:c r="F820" s="7" t="str">
        <x:v>MF-16</x:v>
      </x:c>
      <x:c r="G820" s="7" t="str">
        <x:v>water motive energy</x:v>
      </x:c>
      <x:c r="H820" s="7" t="n">
        <x:v>4</x:v>
      </x:c>
      <x:c r="I820" s="7" t="str"/>
      <x:c r="J820" s="7" t="str"/>
      <x:c r="K820" s="7" t="str"/>
      <x:c r="L820" s="7" t="str"/>
      <x:c r="M820" s="7" t="str"/>
      <x:c r="N820" s="7" t="str"/>
      <x:c r="O820" s="7" t="str">
        <x:f>IF(N820="","OPEN",IF(OR(I820="",J820="",K820="",L820="",M820=""),"FAIL","PASS"))</x:f>
        <x:v>OPEN</x:v>
      </x:c>
    </x:row>
    <x:row r="821">
      <x:c r="B821" s="7" t="str">
        <x:v>CH-PEA-A-Y3-16-5</x:v>
      </x:c>
      <x:c r="C821" s="7" t="str">
        <x:v>PEA-A-Y3</x:v>
      </x:c>
      <x:c r="D821" s="7" t="str">
        <x:v>BLD-A</x:v>
      </x:c>
      <x:c r="E821" s="7" t="str">
        <x:v>BL-Y</x:v>
      </x:c>
      <x:c r="F821" s="7" t="str">
        <x:v>MF-16</x:v>
      </x:c>
      <x:c r="G821" s="7" t="str">
        <x:v>water motive energy</x:v>
      </x:c>
      <x:c r="H821" s="7" t="n">
        <x:v>5</x:v>
      </x:c>
      <x:c r="I821" s="7" t="str"/>
      <x:c r="J821" s="7" t="str"/>
      <x:c r="K821" s="7" t="str"/>
      <x:c r="L821" s="7" t="str"/>
      <x:c r="M821" s="7" t="str"/>
      <x:c r="N821" s="7" t="str"/>
      <x:c r="O821" s="7" t="str">
        <x:f>IF(N821="","OPEN",IF(OR(I821="",J821="",K821="",L821="",M821=""),"FAIL","PASS"))</x:f>
        <x:v>OPEN</x:v>
      </x:c>
    </x:row>
    <x:row r="822">
      <x:c r="B822" s="7" t="str">
        <x:v>CH-PEA-A-Y3-16-6</x:v>
      </x:c>
      <x:c r="C822" s="7" t="str">
        <x:v>PEA-A-Y3</x:v>
      </x:c>
      <x:c r="D822" s="7" t="str">
        <x:v>BLD-A</x:v>
      </x:c>
      <x:c r="E822" s="7" t="str">
        <x:v>BL-Y</x:v>
      </x:c>
      <x:c r="F822" s="7" t="str">
        <x:v>MF-16</x:v>
      </x:c>
      <x:c r="G822" s="7" t="str">
        <x:v>water motive energy</x:v>
      </x:c>
      <x:c r="H822" s="7" t="n">
        <x:v>6</x:v>
      </x:c>
      <x:c r="I822" s="7" t="str"/>
      <x:c r="J822" s="7" t="str"/>
      <x:c r="K822" s="7" t="str"/>
      <x:c r="L822" s="7" t="str"/>
      <x:c r="M822" s="7" t="str"/>
      <x:c r="N822" s="7" t="str"/>
      <x:c r="O822" s="7" t="str">
        <x:f>IF(N822="","OPEN",IF(OR(I822="",J822="",K822="",L822="",M822=""),"FAIL","PASS"))</x:f>
        <x:v>OPEN</x:v>
      </x:c>
    </x:row>
    <x:row r="823">
      <x:c r="B823" s="7" t="str">
        <x:v>CH-PEA-A-Y3-17-1</x:v>
      </x:c>
      <x:c r="C823" s="7" t="str">
        <x:v>PEA-A-Y3</x:v>
      </x:c>
      <x:c r="D823" s="7" t="str">
        <x:v>BLD-A</x:v>
      </x:c>
      <x:c r="E823" s="7" t="str">
        <x:v>BL-Y</x:v>
      </x:c>
      <x:c r="F823" s="7" t="str">
        <x:v>MF-17</x:v>
      </x:c>
      <x:c r="G823" s="7" t="str">
        <x:v>normal power</x:v>
      </x:c>
      <x:c r="H823" s="7" t="n">
        <x:v>1</x:v>
      </x:c>
      <x:c r="I823" s="7" t="str"/>
      <x:c r="J823" s="7" t="str"/>
      <x:c r="K823" s="7" t="str"/>
      <x:c r="L823" s="7" t="str"/>
      <x:c r="M823" s="7" t="str"/>
      <x:c r="N823" s="7" t="str"/>
      <x:c r="O823" s="7" t="str">
        <x:f>IF(N823="","OPEN",IF(OR(I823="",J823="",K823="",L823="",M823=""),"FAIL","PASS"))</x:f>
        <x:v>OPEN</x:v>
      </x:c>
    </x:row>
    <x:row r="824">
      <x:c r="B824" s="7" t="str">
        <x:v>CH-PEA-A-Y3-17-2</x:v>
      </x:c>
      <x:c r="C824" s="7" t="str">
        <x:v>PEA-A-Y3</x:v>
      </x:c>
      <x:c r="D824" s="7" t="str">
        <x:v>BLD-A</x:v>
      </x:c>
      <x:c r="E824" s="7" t="str">
        <x:v>BL-Y</x:v>
      </x:c>
      <x:c r="F824" s="7" t="str">
        <x:v>MF-17</x:v>
      </x:c>
      <x:c r="G824" s="7" t="str">
        <x:v>normal power</x:v>
      </x:c>
      <x:c r="H824" s="7" t="n">
        <x:v>2</x:v>
      </x:c>
      <x:c r="I824" s="7" t="str"/>
      <x:c r="J824" s="7" t="str"/>
      <x:c r="K824" s="7" t="str"/>
      <x:c r="L824" s="7" t="str"/>
      <x:c r="M824" s="7" t="str"/>
      <x:c r="N824" s="7" t="str"/>
      <x:c r="O824" s="7" t="str">
        <x:f>IF(N824="","OPEN",IF(OR(I824="",J824="",K824="",L824="",M824=""),"FAIL","PASS"))</x:f>
        <x:v>OPEN</x:v>
      </x:c>
    </x:row>
    <x:row r="825">
      <x:c r="B825" s="7" t="str">
        <x:v>CH-PEA-A-Y3-17-3</x:v>
      </x:c>
      <x:c r="C825" s="7" t="str">
        <x:v>PEA-A-Y3</x:v>
      </x:c>
      <x:c r="D825" s="7" t="str">
        <x:v>BLD-A</x:v>
      </x:c>
      <x:c r="E825" s="7" t="str">
        <x:v>BL-Y</x:v>
      </x:c>
      <x:c r="F825" s="7" t="str">
        <x:v>MF-17</x:v>
      </x:c>
      <x:c r="G825" s="7" t="str">
        <x:v>normal power</x:v>
      </x:c>
      <x:c r="H825" s="7" t="n">
        <x:v>3</x:v>
      </x:c>
      <x:c r="I825" s="7" t="str"/>
      <x:c r="J825" s="7" t="str"/>
      <x:c r="K825" s="7" t="str"/>
      <x:c r="L825" s="7" t="str"/>
      <x:c r="M825" s="7" t="str"/>
      <x:c r="N825" s="7" t="str"/>
      <x:c r="O825" s="7" t="str">
        <x:f>IF(N825="","OPEN",IF(OR(I825="",J825="",K825="",L825="",M825=""),"FAIL","PASS"))</x:f>
        <x:v>OPEN</x:v>
      </x:c>
    </x:row>
    <x:row r="826">
      <x:c r="B826" s="7" t="str">
        <x:v>CH-PEA-A-Y3-17-4</x:v>
      </x:c>
      <x:c r="C826" s="7" t="str">
        <x:v>PEA-A-Y3</x:v>
      </x:c>
      <x:c r="D826" s="7" t="str">
        <x:v>BLD-A</x:v>
      </x:c>
      <x:c r="E826" s="7" t="str">
        <x:v>BL-Y</x:v>
      </x:c>
      <x:c r="F826" s="7" t="str">
        <x:v>MF-17</x:v>
      </x:c>
      <x:c r="G826" s="7" t="str">
        <x:v>normal power</x:v>
      </x:c>
      <x:c r="H826" s="7" t="n">
        <x:v>4</x:v>
      </x:c>
      <x:c r="I826" s="7" t="str"/>
      <x:c r="J826" s="7" t="str"/>
      <x:c r="K826" s="7" t="str"/>
      <x:c r="L826" s="7" t="str"/>
      <x:c r="M826" s="7" t="str"/>
      <x:c r="N826" s="7" t="str"/>
      <x:c r="O826" s="7" t="str">
        <x:f>IF(N826="","OPEN",IF(OR(I826="",J826="",K826="",L826="",M826=""),"FAIL","PASS"))</x:f>
        <x:v>OPEN</x:v>
      </x:c>
    </x:row>
    <x:row r="827">
      <x:c r="B827" s="7" t="str">
        <x:v>CH-PEA-A-Y3-17-5</x:v>
      </x:c>
      <x:c r="C827" s="7" t="str">
        <x:v>PEA-A-Y3</x:v>
      </x:c>
      <x:c r="D827" s="7" t="str">
        <x:v>BLD-A</x:v>
      </x:c>
      <x:c r="E827" s="7" t="str">
        <x:v>BL-Y</x:v>
      </x:c>
      <x:c r="F827" s="7" t="str">
        <x:v>MF-17</x:v>
      </x:c>
      <x:c r="G827" s="7" t="str">
        <x:v>normal power</x:v>
      </x:c>
      <x:c r="H827" s="7" t="n">
        <x:v>5</x:v>
      </x:c>
      <x:c r="I827" s="7" t="str"/>
      <x:c r="J827" s="7" t="str"/>
      <x:c r="K827" s="7" t="str"/>
      <x:c r="L827" s="7" t="str"/>
      <x:c r="M827" s="7" t="str"/>
      <x:c r="N827" s="7" t="str"/>
      <x:c r="O827" s="7" t="str">
        <x:f>IF(N827="","OPEN",IF(OR(I827="",J827="",K827="",L827="",M827=""),"FAIL","PASS"))</x:f>
        <x:v>OPEN</x:v>
      </x:c>
    </x:row>
    <x:row r="828">
      <x:c r="B828" s="7" t="str">
        <x:v>CH-PEA-A-Y3-17-6</x:v>
      </x:c>
      <x:c r="C828" s="7" t="str">
        <x:v>PEA-A-Y3</x:v>
      </x:c>
      <x:c r="D828" s="7" t="str">
        <x:v>BLD-A</x:v>
      </x:c>
      <x:c r="E828" s="7" t="str">
        <x:v>BL-Y</x:v>
      </x:c>
      <x:c r="F828" s="7" t="str">
        <x:v>MF-17</x:v>
      </x:c>
      <x:c r="G828" s="7" t="str">
        <x:v>normal power</x:v>
      </x:c>
      <x:c r="H828" s="7" t="n">
        <x:v>6</x:v>
      </x:c>
      <x:c r="I828" s="7" t="str"/>
      <x:c r="J828" s="7" t="str"/>
      <x:c r="K828" s="7" t="str"/>
      <x:c r="L828" s="7" t="str"/>
      <x:c r="M828" s="7" t="str"/>
      <x:c r="N828" s="7" t="str"/>
      <x:c r="O828" s="7" t="str">
        <x:f>IF(N828="","OPEN",IF(OR(I828="",J828="",K828="",L828="",M828=""),"FAIL","PASS"))</x:f>
        <x:v>OPEN</x:v>
      </x:c>
    </x:row>
    <x:row r="829">
      <x:c r="B829" s="7" t="str">
        <x:v>CH-PEA-A-Y3-18-1</x:v>
      </x:c>
      <x:c r="C829" s="7" t="str">
        <x:v>PEA-A-Y3</x:v>
      </x:c>
      <x:c r="D829" s="7" t="str">
        <x:v>BLD-A</x:v>
      </x:c>
      <x:c r="E829" s="7" t="str">
        <x:v>BL-Y</x:v>
      </x:c>
      <x:c r="F829" s="7" t="str">
        <x:v>MF-18</x:v>
      </x:c>
      <x:c r="G829" s="7" t="str">
        <x:v>independent power</x:v>
      </x:c>
      <x:c r="H829" s="7" t="n">
        <x:v>1</x:v>
      </x:c>
      <x:c r="I829" s="7" t="str"/>
      <x:c r="J829" s="7" t="str"/>
      <x:c r="K829" s="7" t="str"/>
      <x:c r="L829" s="7" t="str"/>
      <x:c r="M829" s="7" t="str"/>
      <x:c r="N829" s="7" t="str"/>
      <x:c r="O829" s="7" t="str">
        <x:f>IF(N829="","OPEN",IF(OR(I829="",J829="",K829="",L829="",M829=""),"FAIL","PASS"))</x:f>
        <x:v>OPEN</x:v>
      </x:c>
    </x:row>
    <x:row r="830">
      <x:c r="B830" s="7" t="str">
        <x:v>CH-PEA-A-Y3-18-2</x:v>
      </x:c>
      <x:c r="C830" s="7" t="str">
        <x:v>PEA-A-Y3</x:v>
      </x:c>
      <x:c r="D830" s="7" t="str">
        <x:v>BLD-A</x:v>
      </x:c>
      <x:c r="E830" s="7" t="str">
        <x:v>BL-Y</x:v>
      </x:c>
      <x:c r="F830" s="7" t="str">
        <x:v>MF-18</x:v>
      </x:c>
      <x:c r="G830" s="7" t="str">
        <x:v>independent power</x:v>
      </x:c>
      <x:c r="H830" s="7" t="n">
        <x:v>2</x:v>
      </x:c>
      <x:c r="I830" s="7" t="str"/>
      <x:c r="J830" s="7" t="str"/>
      <x:c r="K830" s="7" t="str"/>
      <x:c r="L830" s="7" t="str"/>
      <x:c r="M830" s="7" t="str"/>
      <x:c r="N830" s="7" t="str"/>
      <x:c r="O830" s="7" t="str">
        <x:f>IF(N830="","OPEN",IF(OR(I830="",J830="",K830="",L830="",M830=""),"FAIL","PASS"))</x:f>
        <x:v>OPEN</x:v>
      </x:c>
    </x:row>
    <x:row r="831">
      <x:c r="B831" s="7" t="str">
        <x:v>CH-PEA-A-Y3-18-3</x:v>
      </x:c>
      <x:c r="C831" s="7" t="str">
        <x:v>PEA-A-Y3</x:v>
      </x:c>
      <x:c r="D831" s="7" t="str">
        <x:v>BLD-A</x:v>
      </x:c>
      <x:c r="E831" s="7" t="str">
        <x:v>BL-Y</x:v>
      </x:c>
      <x:c r="F831" s="7" t="str">
        <x:v>MF-18</x:v>
      </x:c>
      <x:c r="G831" s="7" t="str">
        <x:v>independent power</x:v>
      </x:c>
      <x:c r="H831" s="7" t="n">
        <x:v>3</x:v>
      </x:c>
      <x:c r="I831" s="7" t="str"/>
      <x:c r="J831" s="7" t="str"/>
      <x:c r="K831" s="7" t="str"/>
      <x:c r="L831" s="7" t="str"/>
      <x:c r="M831" s="7" t="str"/>
      <x:c r="N831" s="7" t="str"/>
      <x:c r="O831" s="7" t="str">
        <x:f>IF(N831="","OPEN",IF(OR(I831="",J831="",K831="",L831="",M831=""),"FAIL","PASS"))</x:f>
        <x:v>OPEN</x:v>
      </x:c>
    </x:row>
    <x:row r="832">
      <x:c r="B832" s="7" t="str">
        <x:v>CH-PEA-A-Y3-18-4</x:v>
      </x:c>
      <x:c r="C832" s="7" t="str">
        <x:v>PEA-A-Y3</x:v>
      </x:c>
      <x:c r="D832" s="7" t="str">
        <x:v>BLD-A</x:v>
      </x:c>
      <x:c r="E832" s="7" t="str">
        <x:v>BL-Y</x:v>
      </x:c>
      <x:c r="F832" s="7" t="str">
        <x:v>MF-18</x:v>
      </x:c>
      <x:c r="G832" s="7" t="str">
        <x:v>independent power</x:v>
      </x:c>
      <x:c r="H832" s="7" t="n">
        <x:v>4</x:v>
      </x:c>
      <x:c r="I832" s="7" t="str"/>
      <x:c r="J832" s="7" t="str"/>
      <x:c r="K832" s="7" t="str"/>
      <x:c r="L832" s="7" t="str"/>
      <x:c r="M832" s="7" t="str"/>
      <x:c r="N832" s="7" t="str"/>
      <x:c r="O832" s="7" t="str">
        <x:f>IF(N832="","OPEN",IF(OR(I832="",J832="",K832="",L832="",M832=""),"FAIL","PASS"))</x:f>
        <x:v>OPEN</x:v>
      </x:c>
    </x:row>
    <x:row r="833">
      <x:c r="B833" s="7" t="str">
        <x:v>CH-PEA-A-Y3-18-5</x:v>
      </x:c>
      <x:c r="C833" s="7" t="str">
        <x:v>PEA-A-Y3</x:v>
      </x:c>
      <x:c r="D833" s="7" t="str">
        <x:v>BLD-A</x:v>
      </x:c>
      <x:c r="E833" s="7" t="str">
        <x:v>BL-Y</x:v>
      </x:c>
      <x:c r="F833" s="7" t="str">
        <x:v>MF-18</x:v>
      </x:c>
      <x:c r="G833" s="7" t="str">
        <x:v>independent power</x:v>
      </x:c>
      <x:c r="H833" s="7" t="n">
        <x:v>5</x:v>
      </x:c>
      <x:c r="I833" s="7" t="str"/>
      <x:c r="J833" s="7" t="str"/>
      <x:c r="K833" s="7" t="str"/>
      <x:c r="L833" s="7" t="str"/>
      <x:c r="M833" s="7" t="str"/>
      <x:c r="N833" s="7" t="str"/>
      <x:c r="O833" s="7" t="str">
        <x:f>IF(N833="","OPEN",IF(OR(I833="",J833="",K833="",L833="",M833=""),"FAIL","PASS"))</x:f>
        <x:v>OPEN</x:v>
      </x:c>
    </x:row>
    <x:row r="834">
      <x:c r="B834" s="7" t="str">
        <x:v>CH-PEA-A-Y3-18-6</x:v>
      </x:c>
      <x:c r="C834" s="7" t="str">
        <x:v>PEA-A-Y3</x:v>
      </x:c>
      <x:c r="D834" s="7" t="str">
        <x:v>BLD-A</x:v>
      </x:c>
      <x:c r="E834" s="7" t="str">
        <x:v>BL-Y</x:v>
      </x:c>
      <x:c r="F834" s="7" t="str">
        <x:v>MF-18</x:v>
      </x:c>
      <x:c r="G834" s="7" t="str">
        <x:v>independent power</x:v>
      </x:c>
      <x:c r="H834" s="7" t="n">
        <x:v>6</x:v>
      </x:c>
      <x:c r="I834" s="7" t="str"/>
      <x:c r="J834" s="7" t="str"/>
      <x:c r="K834" s="7" t="str"/>
      <x:c r="L834" s="7" t="str"/>
      <x:c r="M834" s="7" t="str"/>
      <x:c r="N834" s="7" t="str"/>
      <x:c r="O834" s="7" t="str">
        <x:f>IF(N834="","OPEN",IF(OR(I834="",J834="",K834="",L834="",M834=""),"FAIL","PASS"))</x:f>
        <x:v>OPEN</x:v>
      </x:c>
    </x:row>
    <x:row r="835">
      <x:c r="B835" s="7" t="str">
        <x:v>CH-PEA-A-Y3-19-1</x:v>
      </x:c>
      <x:c r="C835" s="7" t="str">
        <x:v>PEA-A-Y3</x:v>
      </x:c>
      <x:c r="D835" s="7" t="str">
        <x:v>BLD-A</x:v>
      </x:c>
      <x:c r="E835" s="7" t="str">
        <x:v>BL-Y</x:v>
      </x:c>
      <x:c r="F835" s="7" t="str">
        <x:v>MF-19</x:v>
      </x:c>
      <x:c r="G835" s="7" t="str">
        <x:v>leak collection</x:v>
      </x:c>
      <x:c r="H835" s="7" t="n">
        <x:v>1</x:v>
      </x:c>
      <x:c r="I835" s="7" t="str"/>
      <x:c r="J835" s="7" t="str"/>
      <x:c r="K835" s="7" t="str"/>
      <x:c r="L835" s="7" t="str"/>
      <x:c r="M835" s="7" t="str"/>
      <x:c r="N835" s="7" t="str"/>
      <x:c r="O835" s="7" t="str">
        <x:f>IF(N835="","OPEN",IF(OR(I835="",J835="",K835="",L835="",M835=""),"FAIL","PASS"))</x:f>
        <x:v>OPEN</x:v>
      </x:c>
    </x:row>
    <x:row r="836">
      <x:c r="B836" s="7" t="str">
        <x:v>CH-PEA-A-Y3-19-2</x:v>
      </x:c>
      <x:c r="C836" s="7" t="str">
        <x:v>PEA-A-Y3</x:v>
      </x:c>
      <x:c r="D836" s="7" t="str">
        <x:v>BLD-A</x:v>
      </x:c>
      <x:c r="E836" s="7" t="str">
        <x:v>BL-Y</x:v>
      </x:c>
      <x:c r="F836" s="7" t="str">
        <x:v>MF-19</x:v>
      </x:c>
      <x:c r="G836" s="7" t="str">
        <x:v>leak collection</x:v>
      </x:c>
      <x:c r="H836" s="7" t="n">
        <x:v>2</x:v>
      </x:c>
      <x:c r="I836" s="7" t="str"/>
      <x:c r="J836" s="7" t="str"/>
      <x:c r="K836" s="7" t="str"/>
      <x:c r="L836" s="7" t="str"/>
      <x:c r="M836" s="7" t="str"/>
      <x:c r="N836" s="7" t="str"/>
      <x:c r="O836" s="7" t="str">
        <x:f>IF(N836="","OPEN",IF(OR(I836="",J836="",K836="",L836="",M836=""),"FAIL","PASS"))</x:f>
        <x:v>OPEN</x:v>
      </x:c>
    </x:row>
    <x:row r="837">
      <x:c r="B837" s="7" t="str">
        <x:v>CH-PEA-A-Y3-19-3</x:v>
      </x:c>
      <x:c r="C837" s="7" t="str">
        <x:v>PEA-A-Y3</x:v>
      </x:c>
      <x:c r="D837" s="7" t="str">
        <x:v>BLD-A</x:v>
      </x:c>
      <x:c r="E837" s="7" t="str">
        <x:v>BL-Y</x:v>
      </x:c>
      <x:c r="F837" s="7" t="str">
        <x:v>MF-19</x:v>
      </x:c>
      <x:c r="G837" s="7" t="str">
        <x:v>leak collection</x:v>
      </x:c>
      <x:c r="H837" s="7" t="n">
        <x:v>3</x:v>
      </x:c>
      <x:c r="I837" s="7" t="str"/>
      <x:c r="J837" s="7" t="str"/>
      <x:c r="K837" s="7" t="str"/>
      <x:c r="L837" s="7" t="str"/>
      <x:c r="M837" s="7" t="str"/>
      <x:c r="N837" s="7" t="str"/>
      <x:c r="O837" s="7" t="str">
        <x:f>IF(N837="","OPEN",IF(OR(I837="",J837="",K837="",L837="",M837=""),"FAIL","PASS"))</x:f>
        <x:v>OPEN</x:v>
      </x:c>
    </x:row>
    <x:row r="838">
      <x:c r="B838" s="7" t="str">
        <x:v>CH-PEA-A-Y3-19-4</x:v>
      </x:c>
      <x:c r="C838" s="7" t="str">
        <x:v>PEA-A-Y3</x:v>
      </x:c>
      <x:c r="D838" s="7" t="str">
        <x:v>BLD-A</x:v>
      </x:c>
      <x:c r="E838" s="7" t="str">
        <x:v>BL-Y</x:v>
      </x:c>
      <x:c r="F838" s="7" t="str">
        <x:v>MF-19</x:v>
      </x:c>
      <x:c r="G838" s="7" t="str">
        <x:v>leak collection</x:v>
      </x:c>
      <x:c r="H838" s="7" t="n">
        <x:v>4</x:v>
      </x:c>
      <x:c r="I838" s="7" t="str"/>
      <x:c r="J838" s="7" t="str"/>
      <x:c r="K838" s="7" t="str"/>
      <x:c r="L838" s="7" t="str"/>
      <x:c r="M838" s="7" t="str"/>
      <x:c r="N838" s="7" t="str"/>
      <x:c r="O838" s="7" t="str">
        <x:f>IF(N838="","OPEN",IF(OR(I838="",J838="",K838="",L838="",M838=""),"FAIL","PASS"))</x:f>
        <x:v>OPEN</x:v>
      </x:c>
    </x:row>
    <x:row r="839">
      <x:c r="B839" s="7" t="str">
        <x:v>CH-PEA-A-Y3-19-5</x:v>
      </x:c>
      <x:c r="C839" s="7" t="str">
        <x:v>PEA-A-Y3</x:v>
      </x:c>
      <x:c r="D839" s="7" t="str">
        <x:v>BLD-A</x:v>
      </x:c>
      <x:c r="E839" s="7" t="str">
        <x:v>BL-Y</x:v>
      </x:c>
      <x:c r="F839" s="7" t="str">
        <x:v>MF-19</x:v>
      </x:c>
      <x:c r="G839" s="7" t="str">
        <x:v>leak collection</x:v>
      </x:c>
      <x:c r="H839" s="7" t="n">
        <x:v>5</x:v>
      </x:c>
      <x:c r="I839" s="7" t="str"/>
      <x:c r="J839" s="7" t="str"/>
      <x:c r="K839" s="7" t="str"/>
      <x:c r="L839" s="7" t="str"/>
      <x:c r="M839" s="7" t="str"/>
      <x:c r="N839" s="7" t="str"/>
      <x:c r="O839" s="7" t="str">
        <x:f>IF(N839="","OPEN",IF(OR(I839="",J839="",K839="",L839="",M839=""),"FAIL","PASS"))</x:f>
        <x:v>OPEN</x:v>
      </x:c>
    </x:row>
    <x:row r="840">
      <x:c r="B840" s="7" t="str">
        <x:v>CH-PEA-A-Y3-19-6</x:v>
      </x:c>
      <x:c r="C840" s="7" t="str">
        <x:v>PEA-A-Y3</x:v>
      </x:c>
      <x:c r="D840" s="7" t="str">
        <x:v>BLD-A</x:v>
      </x:c>
      <x:c r="E840" s="7" t="str">
        <x:v>BL-Y</x:v>
      </x:c>
      <x:c r="F840" s="7" t="str">
        <x:v>MF-19</x:v>
      </x:c>
      <x:c r="G840" s="7" t="str">
        <x:v>leak collection</x:v>
      </x:c>
      <x:c r="H840" s="7" t="n">
        <x:v>6</x:v>
      </x:c>
      <x:c r="I840" s="7" t="str"/>
      <x:c r="J840" s="7" t="str"/>
      <x:c r="K840" s="7" t="str"/>
      <x:c r="L840" s="7" t="str"/>
      <x:c r="M840" s="7" t="str"/>
      <x:c r="N840" s="7" t="str"/>
      <x:c r="O840" s="7" t="str">
        <x:f>IF(N840="","OPEN",IF(OR(I840="",J840="",K840="",L840="",M840=""),"FAIL","PASS"))</x:f>
        <x:v>OPEN</x:v>
      </x:c>
    </x:row>
    <x:row r="841">
      <x:c r="B841" s="7" t="str">
        <x:v>CH-PEA-A-Y3-20-1</x:v>
      </x:c>
      <x:c r="C841" s="7" t="str">
        <x:v>PEA-A-Y3</x:v>
      </x:c>
      <x:c r="D841" s="7" t="str">
        <x:v>BLD-A</x:v>
      </x:c>
      <x:c r="E841" s="7" t="str">
        <x:v>BL-Y</x:v>
      </x:c>
      <x:c r="F841" s="7" t="str">
        <x:v>MF-20</x:v>
      </x:c>
      <x:c r="G841" s="7" t="str">
        <x:v>occupied-area state</x:v>
      </x:c>
      <x:c r="H841" s="7" t="n">
        <x:v>1</x:v>
      </x:c>
      <x:c r="I841" s="7" t="str"/>
      <x:c r="J841" s="7" t="str"/>
      <x:c r="K841" s="7" t="str"/>
      <x:c r="L841" s="7" t="str"/>
      <x:c r="M841" s="7" t="str"/>
      <x:c r="N841" s="7" t="str"/>
      <x:c r="O841" s="7" t="str">
        <x:f>IF(N841="","OPEN",IF(OR(I841="",J841="",K841="",L841="",M841=""),"FAIL","PASS"))</x:f>
        <x:v>OPEN</x:v>
      </x:c>
    </x:row>
    <x:row r="842">
      <x:c r="B842" s="7" t="str">
        <x:v>CH-PEA-A-Y3-20-2</x:v>
      </x:c>
      <x:c r="C842" s="7" t="str">
        <x:v>PEA-A-Y3</x:v>
      </x:c>
      <x:c r="D842" s="7" t="str">
        <x:v>BLD-A</x:v>
      </x:c>
      <x:c r="E842" s="7" t="str">
        <x:v>BL-Y</x:v>
      </x:c>
      <x:c r="F842" s="7" t="str">
        <x:v>MF-20</x:v>
      </x:c>
      <x:c r="G842" s="7" t="str">
        <x:v>occupied-area state</x:v>
      </x:c>
      <x:c r="H842" s="7" t="n">
        <x:v>2</x:v>
      </x:c>
      <x:c r="I842" s="7" t="str"/>
      <x:c r="J842" s="7" t="str"/>
      <x:c r="K842" s="7" t="str"/>
      <x:c r="L842" s="7" t="str"/>
      <x:c r="M842" s="7" t="str"/>
      <x:c r="N842" s="7" t="str"/>
      <x:c r="O842" s="7" t="str">
        <x:f>IF(N842="","OPEN",IF(OR(I842="",J842="",K842="",L842="",M842=""),"FAIL","PASS"))</x:f>
        <x:v>OPEN</x:v>
      </x:c>
    </x:row>
    <x:row r="843">
      <x:c r="B843" s="7" t="str">
        <x:v>CH-PEA-A-Y3-20-3</x:v>
      </x:c>
      <x:c r="C843" s="7" t="str">
        <x:v>PEA-A-Y3</x:v>
      </x:c>
      <x:c r="D843" s="7" t="str">
        <x:v>BLD-A</x:v>
      </x:c>
      <x:c r="E843" s="7" t="str">
        <x:v>BL-Y</x:v>
      </x:c>
      <x:c r="F843" s="7" t="str">
        <x:v>MF-20</x:v>
      </x:c>
      <x:c r="G843" s="7" t="str">
        <x:v>occupied-area state</x:v>
      </x:c>
      <x:c r="H843" s="7" t="n">
        <x:v>3</x:v>
      </x:c>
      <x:c r="I843" s="7" t="str"/>
      <x:c r="J843" s="7" t="str"/>
      <x:c r="K843" s="7" t="str"/>
      <x:c r="L843" s="7" t="str"/>
      <x:c r="M843" s="7" t="str"/>
      <x:c r="N843" s="7" t="str"/>
      <x:c r="O843" s="7" t="str">
        <x:f>IF(N843="","OPEN",IF(OR(I843="",J843="",K843="",L843="",M843=""),"FAIL","PASS"))</x:f>
        <x:v>OPEN</x:v>
      </x:c>
    </x:row>
    <x:row r="844">
      <x:c r="B844" s="7" t="str">
        <x:v>CH-PEA-A-Y3-20-4</x:v>
      </x:c>
      <x:c r="C844" s="7" t="str">
        <x:v>PEA-A-Y3</x:v>
      </x:c>
      <x:c r="D844" s="7" t="str">
        <x:v>BLD-A</x:v>
      </x:c>
      <x:c r="E844" s="7" t="str">
        <x:v>BL-Y</x:v>
      </x:c>
      <x:c r="F844" s="7" t="str">
        <x:v>MF-20</x:v>
      </x:c>
      <x:c r="G844" s="7" t="str">
        <x:v>occupied-area state</x:v>
      </x:c>
      <x:c r="H844" s="7" t="n">
        <x:v>4</x:v>
      </x:c>
      <x:c r="I844" s="7" t="str"/>
      <x:c r="J844" s="7" t="str"/>
      <x:c r="K844" s="7" t="str"/>
      <x:c r="L844" s="7" t="str"/>
      <x:c r="M844" s="7" t="str"/>
      <x:c r="N844" s="7" t="str"/>
      <x:c r="O844" s="7" t="str">
        <x:f>IF(N844="","OPEN",IF(OR(I844="",J844="",K844="",L844="",M844=""),"FAIL","PASS"))</x:f>
        <x:v>OPEN</x:v>
      </x:c>
    </x:row>
    <x:row r="845">
      <x:c r="B845" s="7" t="str">
        <x:v>CH-PEA-A-Y3-20-5</x:v>
      </x:c>
      <x:c r="C845" s="7" t="str">
        <x:v>PEA-A-Y3</x:v>
      </x:c>
      <x:c r="D845" s="7" t="str">
        <x:v>BLD-A</x:v>
      </x:c>
      <x:c r="E845" s="7" t="str">
        <x:v>BL-Y</x:v>
      </x:c>
      <x:c r="F845" s="7" t="str">
        <x:v>MF-20</x:v>
      </x:c>
      <x:c r="G845" s="7" t="str">
        <x:v>occupied-area state</x:v>
      </x:c>
      <x:c r="H845" s="7" t="n">
        <x:v>5</x:v>
      </x:c>
      <x:c r="I845" s="7" t="str"/>
      <x:c r="J845" s="7" t="str"/>
      <x:c r="K845" s="7" t="str"/>
      <x:c r="L845" s="7" t="str"/>
      <x:c r="M845" s="7" t="str"/>
      <x:c r="N845" s="7" t="str"/>
      <x:c r="O845" s="7" t="str">
        <x:f>IF(N845="","OPEN",IF(OR(I845="",J845="",K845="",L845="",M845=""),"FAIL","PASS"))</x:f>
        <x:v>OPEN</x:v>
      </x:c>
    </x:row>
    <x:row r="846">
      <x:c r="B846" s="7" t="str">
        <x:v>CH-PEA-A-Y3-20-6</x:v>
      </x:c>
      <x:c r="C846" s="7" t="str">
        <x:v>PEA-A-Y3</x:v>
      </x:c>
      <x:c r="D846" s="7" t="str">
        <x:v>BLD-A</x:v>
      </x:c>
      <x:c r="E846" s="7" t="str">
        <x:v>BL-Y</x:v>
      </x:c>
      <x:c r="F846" s="7" t="str">
        <x:v>MF-20</x:v>
      </x:c>
      <x:c r="G846" s="7" t="str">
        <x:v>occupied-area state</x:v>
      </x:c>
      <x:c r="H846" s="7" t="n">
        <x:v>6</x:v>
      </x:c>
      <x:c r="I846" s="7" t="str"/>
      <x:c r="J846" s="7" t="str"/>
      <x:c r="K846" s="7" t="str"/>
      <x:c r="L846" s="7" t="str"/>
      <x:c r="M846" s="7" t="str"/>
      <x:c r="N846" s="7" t="str"/>
      <x:c r="O846" s="7" t="str">
        <x:f>IF(N846="","OPEN",IF(OR(I846="",J846="",K846="",L846="",M846=""),"FAIL","PASS"))</x:f>
        <x:v>OPEN</x:v>
      </x:c>
    </x:row>
    <x:row r="847">
      <x:c r="B847" s="7" t="str">
        <x:v>CH-PEA-A-Y3-21-1</x:v>
      </x:c>
      <x:c r="C847" s="7" t="str">
        <x:v>PEA-A-Y3</x:v>
      </x:c>
      <x:c r="D847" s="7" t="str">
        <x:v>BLD-A</x:v>
      </x:c>
      <x:c r="E847" s="7" t="str">
        <x:v>BL-Y</x:v>
      </x:c>
      <x:c r="F847" s="7" t="str">
        <x:v>MF-21</x:v>
      </x:c>
      <x:c r="G847" s="7" t="str">
        <x:v>public-water flow</x:v>
      </x:c>
      <x:c r="H847" s="7" t="n">
        <x:v>1</x:v>
      </x:c>
      <x:c r="I847" s="7" t="str"/>
      <x:c r="J847" s="7" t="str"/>
      <x:c r="K847" s="7" t="str"/>
      <x:c r="L847" s="7" t="str"/>
      <x:c r="M847" s="7" t="str"/>
      <x:c r="N847" s="7" t="str"/>
      <x:c r="O847" s="7" t="str">
        <x:f>IF(N847="","OPEN",IF(OR(I847="",J847="",K847="",L847="",M847=""),"FAIL","PASS"))</x:f>
        <x:v>OPEN</x:v>
      </x:c>
    </x:row>
    <x:row r="848">
      <x:c r="B848" s="7" t="str">
        <x:v>CH-PEA-A-Y3-21-2</x:v>
      </x:c>
      <x:c r="C848" s="7" t="str">
        <x:v>PEA-A-Y3</x:v>
      </x:c>
      <x:c r="D848" s="7" t="str">
        <x:v>BLD-A</x:v>
      </x:c>
      <x:c r="E848" s="7" t="str">
        <x:v>BL-Y</x:v>
      </x:c>
      <x:c r="F848" s="7" t="str">
        <x:v>MF-21</x:v>
      </x:c>
      <x:c r="G848" s="7" t="str">
        <x:v>public-water flow</x:v>
      </x:c>
      <x:c r="H848" s="7" t="n">
        <x:v>2</x:v>
      </x:c>
      <x:c r="I848" s="7" t="str"/>
      <x:c r="J848" s="7" t="str"/>
      <x:c r="K848" s="7" t="str"/>
      <x:c r="L848" s="7" t="str"/>
      <x:c r="M848" s="7" t="str"/>
      <x:c r="N848" s="7" t="str"/>
      <x:c r="O848" s="7" t="str">
        <x:f>IF(N848="","OPEN",IF(OR(I848="",J848="",K848="",L848="",M848=""),"FAIL","PASS"))</x:f>
        <x:v>OPEN</x:v>
      </x:c>
    </x:row>
    <x:row r="849">
      <x:c r="B849" s="7" t="str">
        <x:v>CH-PEA-A-Y3-21-3</x:v>
      </x:c>
      <x:c r="C849" s="7" t="str">
        <x:v>PEA-A-Y3</x:v>
      </x:c>
      <x:c r="D849" s="7" t="str">
        <x:v>BLD-A</x:v>
      </x:c>
      <x:c r="E849" s="7" t="str">
        <x:v>BL-Y</x:v>
      </x:c>
      <x:c r="F849" s="7" t="str">
        <x:v>MF-21</x:v>
      </x:c>
      <x:c r="G849" s="7" t="str">
        <x:v>public-water flow</x:v>
      </x:c>
      <x:c r="H849" s="7" t="n">
        <x:v>3</x:v>
      </x:c>
      <x:c r="I849" s="7" t="str"/>
      <x:c r="J849" s="7" t="str"/>
      <x:c r="K849" s="7" t="str"/>
      <x:c r="L849" s="7" t="str"/>
      <x:c r="M849" s="7" t="str"/>
      <x:c r="N849" s="7" t="str"/>
      <x:c r="O849" s="7" t="str">
        <x:f>IF(N849="","OPEN",IF(OR(I849="",J849="",K849="",L849="",M849=""),"FAIL","PASS"))</x:f>
        <x:v>OPEN</x:v>
      </x:c>
    </x:row>
    <x:row r="850">
      <x:c r="B850" s="7" t="str">
        <x:v>CH-PEA-A-Y3-21-4</x:v>
      </x:c>
      <x:c r="C850" s="7" t="str">
        <x:v>PEA-A-Y3</x:v>
      </x:c>
      <x:c r="D850" s="7" t="str">
        <x:v>BLD-A</x:v>
      </x:c>
      <x:c r="E850" s="7" t="str">
        <x:v>BL-Y</x:v>
      </x:c>
      <x:c r="F850" s="7" t="str">
        <x:v>MF-21</x:v>
      </x:c>
      <x:c r="G850" s="7" t="str">
        <x:v>public-water flow</x:v>
      </x:c>
      <x:c r="H850" s="7" t="n">
        <x:v>4</x:v>
      </x:c>
      <x:c r="I850" s="7" t="str"/>
      <x:c r="J850" s="7" t="str"/>
      <x:c r="K850" s="7" t="str"/>
      <x:c r="L850" s="7" t="str"/>
      <x:c r="M850" s="7" t="str"/>
      <x:c r="N850" s="7" t="str"/>
      <x:c r="O850" s="7" t="str">
        <x:f>IF(N850="","OPEN",IF(OR(I850="",J850="",K850="",L850="",M850=""),"FAIL","PASS"))</x:f>
        <x:v>OPEN</x:v>
      </x:c>
    </x:row>
    <x:row r="851">
      <x:c r="B851" s="7" t="str">
        <x:v>CH-PEA-A-Y3-21-5</x:v>
      </x:c>
      <x:c r="C851" s="7" t="str">
        <x:v>PEA-A-Y3</x:v>
      </x:c>
      <x:c r="D851" s="7" t="str">
        <x:v>BLD-A</x:v>
      </x:c>
      <x:c r="E851" s="7" t="str">
        <x:v>BL-Y</x:v>
      </x:c>
      <x:c r="F851" s="7" t="str">
        <x:v>MF-21</x:v>
      </x:c>
      <x:c r="G851" s="7" t="str">
        <x:v>public-water flow</x:v>
      </x:c>
      <x:c r="H851" s="7" t="n">
        <x:v>5</x:v>
      </x:c>
      <x:c r="I851" s="7" t="str"/>
      <x:c r="J851" s="7" t="str"/>
      <x:c r="K851" s="7" t="str"/>
      <x:c r="L851" s="7" t="str"/>
      <x:c r="M851" s="7" t="str"/>
      <x:c r="N851" s="7" t="str"/>
      <x:c r="O851" s="7" t="str">
        <x:f>IF(N851="","OPEN",IF(OR(I851="",J851="",K851="",L851="",M851=""),"FAIL","PASS"))</x:f>
        <x:v>OPEN</x:v>
      </x:c>
    </x:row>
    <x:row r="852">
      <x:c r="B852" s="7" t="str">
        <x:v>CH-PEA-A-Y3-21-6</x:v>
      </x:c>
      <x:c r="C852" s="7" t="str">
        <x:v>PEA-A-Y3</x:v>
      </x:c>
      <x:c r="D852" s="7" t="str">
        <x:v>BLD-A</x:v>
      </x:c>
      <x:c r="E852" s="7" t="str">
        <x:v>BL-Y</x:v>
      </x:c>
      <x:c r="F852" s="7" t="str">
        <x:v>MF-21</x:v>
      </x:c>
      <x:c r="G852" s="7" t="str">
        <x:v>public-water flow</x:v>
      </x:c>
      <x:c r="H852" s="7" t="n">
        <x:v>6</x:v>
      </x:c>
      <x:c r="I852" s="7" t="str"/>
      <x:c r="J852" s="7" t="str"/>
      <x:c r="K852" s="7" t="str"/>
      <x:c r="L852" s="7" t="str"/>
      <x:c r="M852" s="7" t="str"/>
      <x:c r="N852" s="7" t="str"/>
      <x:c r="O852" s="7" t="str">
        <x:f>IF(N852="","OPEN",IF(OR(I852="",J852="",K852="",L852="",M852=""),"FAIL","PASS"))</x:f>
        <x:v>OPEN</x:v>
      </x:c>
    </x:row>
    <x:row r="853">
      <x:c r="B853" s="7" t="str">
        <x:v>CH-PEA-A-Y3-22-1</x:v>
      </x:c>
      <x:c r="C853" s="7" t="str">
        <x:v>PEA-A-Y3</x:v>
      </x:c>
      <x:c r="D853" s="7" t="str">
        <x:v>BLD-A</x:v>
      </x:c>
      <x:c r="E853" s="7" t="str">
        <x:v>BL-Y</x:v>
      </x:c>
      <x:c r="F853" s="7" t="str">
        <x:v>MF-22</x:v>
      </x:c>
      <x:c r="G853" s="7" t="str">
        <x:v>source ancestry</x:v>
      </x:c>
      <x:c r="H853" s="7" t="n">
        <x:v>1</x:v>
      </x:c>
      <x:c r="I853" s="7" t="str"/>
      <x:c r="J853" s="7" t="str"/>
      <x:c r="K853" s="7" t="str"/>
      <x:c r="L853" s="7" t="str"/>
      <x:c r="M853" s="7" t="str"/>
      <x:c r="N853" s="7" t="str"/>
      <x:c r="O853" s="7" t="str">
        <x:f>IF(N853="","OPEN",IF(OR(I853="",J853="",K853="",L853="",M853=""),"FAIL","PASS"))</x:f>
        <x:v>OPEN</x:v>
      </x:c>
    </x:row>
    <x:row r="854">
      <x:c r="B854" s="7" t="str">
        <x:v>CH-PEA-A-Y3-22-2</x:v>
      </x:c>
      <x:c r="C854" s="7" t="str">
        <x:v>PEA-A-Y3</x:v>
      </x:c>
      <x:c r="D854" s="7" t="str">
        <x:v>BLD-A</x:v>
      </x:c>
      <x:c r="E854" s="7" t="str">
        <x:v>BL-Y</x:v>
      </x:c>
      <x:c r="F854" s="7" t="str">
        <x:v>MF-22</x:v>
      </x:c>
      <x:c r="G854" s="7" t="str">
        <x:v>source ancestry</x:v>
      </x:c>
      <x:c r="H854" s="7" t="n">
        <x:v>2</x:v>
      </x:c>
      <x:c r="I854" s="7" t="str"/>
      <x:c r="J854" s="7" t="str"/>
      <x:c r="K854" s="7" t="str"/>
      <x:c r="L854" s="7" t="str"/>
      <x:c r="M854" s="7" t="str"/>
      <x:c r="N854" s="7" t="str"/>
      <x:c r="O854" s="7" t="str">
        <x:f>IF(N854="","OPEN",IF(OR(I854="",J854="",K854="",L854="",M854=""),"FAIL","PASS"))</x:f>
        <x:v>OPEN</x:v>
      </x:c>
    </x:row>
    <x:row r="855">
      <x:c r="B855" s="7" t="str">
        <x:v>CH-PEA-A-Y3-22-3</x:v>
      </x:c>
      <x:c r="C855" s="7" t="str">
        <x:v>PEA-A-Y3</x:v>
      </x:c>
      <x:c r="D855" s="7" t="str">
        <x:v>BLD-A</x:v>
      </x:c>
      <x:c r="E855" s="7" t="str">
        <x:v>BL-Y</x:v>
      </x:c>
      <x:c r="F855" s="7" t="str">
        <x:v>MF-22</x:v>
      </x:c>
      <x:c r="G855" s="7" t="str">
        <x:v>source ancestry</x:v>
      </x:c>
      <x:c r="H855" s="7" t="n">
        <x:v>3</x:v>
      </x:c>
      <x:c r="I855" s="7" t="str"/>
      <x:c r="J855" s="7" t="str"/>
      <x:c r="K855" s="7" t="str"/>
      <x:c r="L855" s="7" t="str"/>
      <x:c r="M855" s="7" t="str"/>
      <x:c r="N855" s="7" t="str"/>
      <x:c r="O855" s="7" t="str">
        <x:f>IF(N855="","OPEN",IF(OR(I855="",J855="",K855="",L855="",M855=""),"FAIL","PASS"))</x:f>
        <x:v>OPEN</x:v>
      </x:c>
    </x:row>
    <x:row r="856">
      <x:c r="B856" s="7" t="str">
        <x:v>CH-PEA-A-Y3-22-4</x:v>
      </x:c>
      <x:c r="C856" s="7" t="str">
        <x:v>PEA-A-Y3</x:v>
      </x:c>
      <x:c r="D856" s="7" t="str">
        <x:v>BLD-A</x:v>
      </x:c>
      <x:c r="E856" s="7" t="str">
        <x:v>BL-Y</x:v>
      </x:c>
      <x:c r="F856" s="7" t="str">
        <x:v>MF-22</x:v>
      </x:c>
      <x:c r="G856" s="7" t="str">
        <x:v>source ancestry</x:v>
      </x:c>
      <x:c r="H856" s="7" t="n">
        <x:v>4</x:v>
      </x:c>
      <x:c r="I856" s="7" t="str"/>
      <x:c r="J856" s="7" t="str"/>
      <x:c r="K856" s="7" t="str"/>
      <x:c r="L856" s="7" t="str"/>
      <x:c r="M856" s="7" t="str"/>
      <x:c r="N856" s="7" t="str"/>
      <x:c r="O856" s="7" t="str">
        <x:f>IF(N856="","OPEN",IF(OR(I856="",J856="",K856="",L856="",M856=""),"FAIL","PASS"))</x:f>
        <x:v>OPEN</x:v>
      </x:c>
    </x:row>
    <x:row r="857">
      <x:c r="B857" s="7" t="str">
        <x:v>CH-PEA-A-Y3-22-5</x:v>
      </x:c>
      <x:c r="C857" s="7" t="str">
        <x:v>PEA-A-Y3</x:v>
      </x:c>
      <x:c r="D857" s="7" t="str">
        <x:v>BLD-A</x:v>
      </x:c>
      <x:c r="E857" s="7" t="str">
        <x:v>BL-Y</x:v>
      </x:c>
      <x:c r="F857" s="7" t="str">
        <x:v>MF-22</x:v>
      </x:c>
      <x:c r="G857" s="7" t="str">
        <x:v>source ancestry</x:v>
      </x:c>
      <x:c r="H857" s="7" t="n">
        <x:v>5</x:v>
      </x:c>
      <x:c r="I857" s="7" t="str"/>
      <x:c r="J857" s="7" t="str"/>
      <x:c r="K857" s="7" t="str"/>
      <x:c r="L857" s="7" t="str"/>
      <x:c r="M857" s="7" t="str"/>
      <x:c r="N857" s="7" t="str"/>
      <x:c r="O857" s="7" t="str">
        <x:f>IF(N857="","OPEN",IF(OR(I857="",J857="",K857="",L857="",M857=""),"FAIL","PASS"))</x:f>
        <x:v>OPEN</x:v>
      </x:c>
    </x:row>
    <x:row r="858">
      <x:c r="B858" s="7" t="str">
        <x:v>CH-PEA-A-Y3-22-6</x:v>
      </x:c>
      <x:c r="C858" s="7" t="str">
        <x:v>PEA-A-Y3</x:v>
      </x:c>
      <x:c r="D858" s="7" t="str">
        <x:v>BLD-A</x:v>
      </x:c>
      <x:c r="E858" s="7" t="str">
        <x:v>BL-Y</x:v>
      </x:c>
      <x:c r="F858" s="7" t="str">
        <x:v>MF-22</x:v>
      </x:c>
      <x:c r="G858" s="7" t="str">
        <x:v>source ancestry</x:v>
      </x:c>
      <x:c r="H858" s="7" t="n">
        <x:v>6</x:v>
      </x:c>
      <x:c r="I858" s="7" t="str"/>
      <x:c r="J858" s="7" t="str"/>
      <x:c r="K858" s="7" t="str"/>
      <x:c r="L858" s="7" t="str"/>
      <x:c r="M858" s="7" t="str"/>
      <x:c r="N858" s="7" t="str"/>
      <x:c r="O858" s="7" t="str">
        <x:f>IF(N858="","OPEN",IF(OR(I858="",J858="",K858="",L858="",M858=""),"FAIL","PASS"))</x:f>
        <x:v>OPEN</x:v>
      </x:c>
    </x:row>
    <x:row r="859">
      <x:c r="B859" s="7" t="str">
        <x:v>CH-PEA-A-Y3-23-1</x:v>
      </x:c>
      <x:c r="C859" s="7" t="str">
        <x:v>PEA-A-Y3</x:v>
      </x:c>
      <x:c r="D859" s="7" t="str">
        <x:v>BLD-A</x:v>
      </x:c>
      <x:c r="E859" s="7" t="str">
        <x:v>BL-Y</x:v>
      </x:c>
      <x:c r="F859" s="7" t="str">
        <x:v>MF-23</x:v>
      </x:c>
      <x:c r="G859" s="7" t="str">
        <x:v>water ancestry</x:v>
      </x:c>
      <x:c r="H859" s="7" t="n">
        <x:v>1</x:v>
      </x:c>
      <x:c r="I859" s="7" t="str"/>
      <x:c r="J859" s="7" t="str"/>
      <x:c r="K859" s="7" t="str"/>
      <x:c r="L859" s="7" t="str"/>
      <x:c r="M859" s="7" t="str"/>
      <x:c r="N859" s="7" t="str"/>
      <x:c r="O859" s="7" t="str">
        <x:f>IF(N859="","OPEN",IF(OR(I859="",J859="",K859="",L859="",M859=""),"FAIL","PASS"))</x:f>
        <x:v>OPEN</x:v>
      </x:c>
    </x:row>
    <x:row r="860">
      <x:c r="B860" s="7" t="str">
        <x:v>CH-PEA-A-Y3-23-2</x:v>
      </x:c>
      <x:c r="C860" s="7" t="str">
        <x:v>PEA-A-Y3</x:v>
      </x:c>
      <x:c r="D860" s="7" t="str">
        <x:v>BLD-A</x:v>
      </x:c>
      <x:c r="E860" s="7" t="str">
        <x:v>BL-Y</x:v>
      </x:c>
      <x:c r="F860" s="7" t="str">
        <x:v>MF-23</x:v>
      </x:c>
      <x:c r="G860" s="7" t="str">
        <x:v>water ancestry</x:v>
      </x:c>
      <x:c r="H860" s="7" t="n">
        <x:v>2</x:v>
      </x:c>
      <x:c r="I860" s="7" t="str"/>
      <x:c r="J860" s="7" t="str"/>
      <x:c r="K860" s="7" t="str"/>
      <x:c r="L860" s="7" t="str"/>
      <x:c r="M860" s="7" t="str"/>
      <x:c r="N860" s="7" t="str"/>
      <x:c r="O860" s="7" t="str">
        <x:f>IF(N860="","OPEN",IF(OR(I860="",J860="",K860="",L860="",M860=""),"FAIL","PASS"))</x:f>
        <x:v>OPEN</x:v>
      </x:c>
    </x:row>
    <x:row r="861">
      <x:c r="B861" s="7" t="str">
        <x:v>CH-PEA-A-Y3-23-3</x:v>
      </x:c>
      <x:c r="C861" s="7" t="str">
        <x:v>PEA-A-Y3</x:v>
      </x:c>
      <x:c r="D861" s="7" t="str">
        <x:v>BLD-A</x:v>
      </x:c>
      <x:c r="E861" s="7" t="str">
        <x:v>BL-Y</x:v>
      </x:c>
      <x:c r="F861" s="7" t="str">
        <x:v>MF-23</x:v>
      </x:c>
      <x:c r="G861" s="7" t="str">
        <x:v>water ancestry</x:v>
      </x:c>
      <x:c r="H861" s="7" t="n">
        <x:v>3</x:v>
      </x:c>
      <x:c r="I861" s="7" t="str"/>
      <x:c r="J861" s="7" t="str"/>
      <x:c r="K861" s="7" t="str"/>
      <x:c r="L861" s="7" t="str"/>
      <x:c r="M861" s="7" t="str"/>
      <x:c r="N861" s="7" t="str"/>
      <x:c r="O861" s="7" t="str">
        <x:f>IF(N861="","OPEN",IF(OR(I861="",J861="",K861="",L861="",M861=""),"FAIL","PASS"))</x:f>
        <x:v>OPEN</x:v>
      </x:c>
    </x:row>
    <x:row r="862">
      <x:c r="B862" s="7" t="str">
        <x:v>CH-PEA-A-Y3-23-4</x:v>
      </x:c>
      <x:c r="C862" s="7" t="str">
        <x:v>PEA-A-Y3</x:v>
      </x:c>
      <x:c r="D862" s="7" t="str">
        <x:v>BLD-A</x:v>
      </x:c>
      <x:c r="E862" s="7" t="str">
        <x:v>BL-Y</x:v>
      </x:c>
      <x:c r="F862" s="7" t="str">
        <x:v>MF-23</x:v>
      </x:c>
      <x:c r="G862" s="7" t="str">
        <x:v>water ancestry</x:v>
      </x:c>
      <x:c r="H862" s="7" t="n">
        <x:v>4</x:v>
      </x:c>
      <x:c r="I862" s="7" t="str"/>
      <x:c r="J862" s="7" t="str"/>
      <x:c r="K862" s="7" t="str"/>
      <x:c r="L862" s="7" t="str"/>
      <x:c r="M862" s="7" t="str"/>
      <x:c r="N862" s="7" t="str"/>
      <x:c r="O862" s="7" t="str">
        <x:f>IF(N862="","OPEN",IF(OR(I862="",J862="",K862="",L862="",M862=""),"FAIL","PASS"))</x:f>
        <x:v>OPEN</x:v>
      </x:c>
    </x:row>
    <x:row r="863">
      <x:c r="B863" s="7" t="str">
        <x:v>CH-PEA-A-Y3-23-5</x:v>
      </x:c>
      <x:c r="C863" s="7" t="str">
        <x:v>PEA-A-Y3</x:v>
      </x:c>
      <x:c r="D863" s="7" t="str">
        <x:v>BLD-A</x:v>
      </x:c>
      <x:c r="E863" s="7" t="str">
        <x:v>BL-Y</x:v>
      </x:c>
      <x:c r="F863" s="7" t="str">
        <x:v>MF-23</x:v>
      </x:c>
      <x:c r="G863" s="7" t="str">
        <x:v>water ancestry</x:v>
      </x:c>
      <x:c r="H863" s="7" t="n">
        <x:v>5</x:v>
      </x:c>
      <x:c r="I863" s="7" t="str"/>
      <x:c r="J863" s="7" t="str"/>
      <x:c r="K863" s="7" t="str"/>
      <x:c r="L863" s="7" t="str"/>
      <x:c r="M863" s="7" t="str"/>
      <x:c r="N863" s="7" t="str"/>
      <x:c r="O863" s="7" t="str">
        <x:f>IF(N863="","OPEN",IF(OR(I863="",J863="",K863="",L863="",M863=""),"FAIL","PASS"))</x:f>
        <x:v>OPEN</x:v>
      </x:c>
    </x:row>
    <x:row r="864">
      <x:c r="B864" s="7" t="str">
        <x:v>CH-PEA-A-Y3-23-6</x:v>
      </x:c>
      <x:c r="C864" s="7" t="str">
        <x:v>PEA-A-Y3</x:v>
      </x:c>
      <x:c r="D864" s="7" t="str">
        <x:v>BLD-A</x:v>
      </x:c>
      <x:c r="E864" s="7" t="str">
        <x:v>BL-Y</x:v>
      </x:c>
      <x:c r="F864" s="7" t="str">
        <x:v>MF-23</x:v>
      </x:c>
      <x:c r="G864" s="7" t="str">
        <x:v>water ancestry</x:v>
      </x:c>
      <x:c r="H864" s="7" t="n">
        <x:v>6</x:v>
      </x:c>
      <x:c r="I864" s="7" t="str"/>
      <x:c r="J864" s="7" t="str"/>
      <x:c r="K864" s="7" t="str"/>
      <x:c r="L864" s="7" t="str"/>
      <x:c r="M864" s="7" t="str"/>
      <x:c r="N864" s="7" t="str"/>
      <x:c r="O864" s="7" t="str">
        <x:f>IF(N864="","OPEN",IF(OR(I864="",J864="",K864="",L864="",M864=""),"FAIL","PASS"))</x:f>
        <x:v>OPEN</x:v>
      </x:c>
    </x:row>
    <x:row r="865">
      <x:c r="B865" s="7" t="str">
        <x:v>CH-PEA-A-Y3-24-1</x:v>
      </x:c>
      <x:c r="C865" s="7" t="str">
        <x:v>PEA-A-Y3</x:v>
      </x:c>
      <x:c r="D865" s="7" t="str">
        <x:v>BLD-A</x:v>
      </x:c>
      <x:c r="E865" s="7" t="str">
        <x:v>BL-Y</x:v>
      </x:c>
      <x:c r="F865" s="7" t="str">
        <x:v>MF-24</x:v>
      </x:c>
      <x:c r="G865" s="7" t="str">
        <x:v>evidence health</x:v>
      </x:c>
      <x:c r="H865" s="7" t="n">
        <x:v>1</x:v>
      </x:c>
      <x:c r="I865" s="7" t="str"/>
      <x:c r="J865" s="7" t="str"/>
      <x:c r="K865" s="7" t="str"/>
      <x:c r="L865" s="7" t="str"/>
      <x:c r="M865" s="7" t="str"/>
      <x:c r="N865" s="7" t="str"/>
      <x:c r="O865" s="7" t="str">
        <x:f>IF(N865="","OPEN",IF(OR(I865="",J865="",K865="",L865="",M865=""),"FAIL","PASS"))</x:f>
        <x:v>OPEN</x:v>
      </x:c>
    </x:row>
    <x:row r="866">
      <x:c r="B866" s="7" t="str">
        <x:v>CH-PEA-A-Y3-24-2</x:v>
      </x:c>
      <x:c r="C866" s="7" t="str">
        <x:v>PEA-A-Y3</x:v>
      </x:c>
      <x:c r="D866" s="7" t="str">
        <x:v>BLD-A</x:v>
      </x:c>
      <x:c r="E866" s="7" t="str">
        <x:v>BL-Y</x:v>
      </x:c>
      <x:c r="F866" s="7" t="str">
        <x:v>MF-24</x:v>
      </x:c>
      <x:c r="G866" s="7" t="str">
        <x:v>evidence health</x:v>
      </x:c>
      <x:c r="H866" s="7" t="n">
        <x:v>2</x:v>
      </x:c>
      <x:c r="I866" s="7" t="str"/>
      <x:c r="J866" s="7" t="str"/>
      <x:c r="K866" s="7" t="str"/>
      <x:c r="L866" s="7" t="str"/>
      <x:c r="M866" s="7" t="str"/>
      <x:c r="N866" s="7" t="str"/>
      <x:c r="O866" s="7" t="str">
        <x:f>IF(N866="","OPEN",IF(OR(I866="",J866="",K866="",L866="",M866=""),"FAIL","PASS"))</x:f>
        <x:v>OPEN</x:v>
      </x:c>
    </x:row>
    <x:row r="867">
      <x:c r="B867" s="7" t="str">
        <x:v>CH-PEA-A-Y3-24-3</x:v>
      </x:c>
      <x:c r="C867" s="7" t="str">
        <x:v>PEA-A-Y3</x:v>
      </x:c>
      <x:c r="D867" s="7" t="str">
        <x:v>BLD-A</x:v>
      </x:c>
      <x:c r="E867" s="7" t="str">
        <x:v>BL-Y</x:v>
      </x:c>
      <x:c r="F867" s="7" t="str">
        <x:v>MF-24</x:v>
      </x:c>
      <x:c r="G867" s="7" t="str">
        <x:v>evidence health</x:v>
      </x:c>
      <x:c r="H867" s="7" t="n">
        <x:v>3</x:v>
      </x:c>
      <x:c r="I867" s="7" t="str"/>
      <x:c r="J867" s="7" t="str"/>
      <x:c r="K867" s="7" t="str"/>
      <x:c r="L867" s="7" t="str"/>
      <x:c r="M867" s="7" t="str"/>
      <x:c r="N867" s="7" t="str"/>
      <x:c r="O867" s="7" t="str">
        <x:f>IF(N867="","OPEN",IF(OR(I867="",J867="",K867="",L867="",M867=""),"FAIL","PASS"))</x:f>
        <x:v>OPEN</x:v>
      </x:c>
    </x:row>
    <x:row r="868">
      <x:c r="B868" s="7" t="str">
        <x:v>CH-PEA-A-Y3-24-4</x:v>
      </x:c>
      <x:c r="C868" s="7" t="str">
        <x:v>PEA-A-Y3</x:v>
      </x:c>
      <x:c r="D868" s="7" t="str">
        <x:v>BLD-A</x:v>
      </x:c>
      <x:c r="E868" s="7" t="str">
        <x:v>BL-Y</x:v>
      </x:c>
      <x:c r="F868" s="7" t="str">
        <x:v>MF-24</x:v>
      </x:c>
      <x:c r="G868" s="7" t="str">
        <x:v>evidence health</x:v>
      </x:c>
      <x:c r="H868" s="7" t="n">
        <x:v>4</x:v>
      </x:c>
      <x:c r="I868" s="7" t="str"/>
      <x:c r="J868" s="7" t="str"/>
      <x:c r="K868" s="7" t="str"/>
      <x:c r="L868" s="7" t="str"/>
      <x:c r="M868" s="7" t="str"/>
      <x:c r="N868" s="7" t="str"/>
      <x:c r="O868" s="7" t="str">
        <x:f>IF(N868="","OPEN",IF(OR(I868="",J868="",K868="",L868="",M868=""),"FAIL","PASS"))</x:f>
        <x:v>OPEN</x:v>
      </x:c>
    </x:row>
    <x:row r="869">
      <x:c r="B869" s="7" t="str">
        <x:v>CH-PEA-A-Y3-24-5</x:v>
      </x:c>
      <x:c r="C869" s="7" t="str">
        <x:v>PEA-A-Y3</x:v>
      </x:c>
      <x:c r="D869" s="7" t="str">
        <x:v>BLD-A</x:v>
      </x:c>
      <x:c r="E869" s="7" t="str">
        <x:v>BL-Y</x:v>
      </x:c>
      <x:c r="F869" s="7" t="str">
        <x:v>MF-24</x:v>
      </x:c>
      <x:c r="G869" s="7" t="str">
        <x:v>evidence health</x:v>
      </x:c>
      <x:c r="H869" s="7" t="n">
        <x:v>5</x:v>
      </x:c>
      <x:c r="I869" s="7" t="str"/>
      <x:c r="J869" s="7" t="str"/>
      <x:c r="K869" s="7" t="str"/>
      <x:c r="L869" s="7" t="str"/>
      <x:c r="M869" s="7" t="str"/>
      <x:c r="N869" s="7" t="str"/>
      <x:c r="O869" s="7" t="str">
        <x:f>IF(N869="","OPEN",IF(OR(I869="",J869="",K869="",L869="",M869=""),"FAIL","PASS"))</x:f>
        <x:v>OPEN</x:v>
      </x:c>
    </x:row>
    <x:row r="870">
      <x:c r="B870" s="7" t="str">
        <x:v>CH-PEA-A-Y3-24-6</x:v>
      </x:c>
      <x:c r="C870" s="7" t="str">
        <x:v>PEA-A-Y3</x:v>
      </x:c>
      <x:c r="D870" s="7" t="str">
        <x:v>BLD-A</x:v>
      </x:c>
      <x:c r="E870" s="7" t="str">
        <x:v>BL-Y</x:v>
      </x:c>
      <x:c r="F870" s="7" t="str">
        <x:v>MF-24</x:v>
      </x:c>
      <x:c r="G870" s="7" t="str">
        <x:v>evidence health</x:v>
      </x:c>
      <x:c r="H870" s="7" t="n">
        <x:v>6</x:v>
      </x:c>
      <x:c r="I870" s="7" t="str"/>
      <x:c r="J870" s="7" t="str"/>
      <x:c r="K870" s="7" t="str"/>
      <x:c r="L870" s="7" t="str"/>
      <x:c r="M870" s="7" t="str"/>
      <x:c r="N870" s="7" t="str"/>
      <x:c r="O870" s="7" t="str">
        <x:f>IF(N870="","OPEN",IF(OR(I870="",J870="",K870="",L870="",M870=""),"FAIL","PASS"))</x:f>
        <x:v>OPEN</x:v>
      </x:c>
    </x:row>
    <x:row r="871">
      <x:c r="B871" s="7" t="str">
        <x:v>CH-PEA-B-X1-01-1</x:v>
      </x:c>
      <x:c r="C871" s="7" t="str">
        <x:v>PEA-B-X1</x:v>
      </x:c>
      <x:c r="D871" s="7" t="str">
        <x:v>BLD-B</x:v>
      </x:c>
      <x:c r="E871" s="7" t="str">
        <x:v>BL-X</x:v>
      </x:c>
      <x:c r="F871" s="7" t="str">
        <x:v>MF-01</x:v>
      </x:c>
      <x:c r="G871" s="7" t="str">
        <x:v>source vessel mass</x:v>
      </x:c>
      <x:c r="H871" s="7" t="n">
        <x:v>1</x:v>
      </x:c>
      <x:c r="I871" s="7" t="str"/>
      <x:c r="J871" s="7" t="str"/>
      <x:c r="K871" s="7" t="str"/>
      <x:c r="L871" s="7" t="str"/>
      <x:c r="M871" s="7" t="str"/>
      <x:c r="N871" s="7" t="str"/>
      <x:c r="O871" s="7" t="str">
        <x:f>IF(N871="","OPEN",IF(OR(I871="",J871="",K871="",L871="",M871=""),"FAIL","PASS"))</x:f>
        <x:v>OPEN</x:v>
      </x:c>
    </x:row>
    <x:row r="872">
      <x:c r="B872" s="7" t="str">
        <x:v>CH-PEA-B-X1-01-2</x:v>
      </x:c>
      <x:c r="C872" s="7" t="str">
        <x:v>PEA-B-X1</x:v>
      </x:c>
      <x:c r="D872" s="7" t="str">
        <x:v>BLD-B</x:v>
      </x:c>
      <x:c r="E872" s="7" t="str">
        <x:v>BL-X</x:v>
      </x:c>
      <x:c r="F872" s="7" t="str">
        <x:v>MF-01</x:v>
      </x:c>
      <x:c r="G872" s="7" t="str">
        <x:v>source vessel mass</x:v>
      </x:c>
      <x:c r="H872" s="7" t="n">
        <x:v>2</x:v>
      </x:c>
      <x:c r="I872" s="7" t="str"/>
      <x:c r="J872" s="7" t="str"/>
      <x:c r="K872" s="7" t="str"/>
      <x:c r="L872" s="7" t="str"/>
      <x:c r="M872" s="7" t="str"/>
      <x:c r="N872" s="7" t="str"/>
      <x:c r="O872" s="7" t="str">
        <x:f>IF(N872="","OPEN",IF(OR(I872="",J872="",K872="",L872="",M872=""),"FAIL","PASS"))</x:f>
        <x:v>OPEN</x:v>
      </x:c>
    </x:row>
    <x:row r="873">
      <x:c r="B873" s="7" t="str">
        <x:v>CH-PEA-B-X1-01-3</x:v>
      </x:c>
      <x:c r="C873" s="7" t="str">
        <x:v>PEA-B-X1</x:v>
      </x:c>
      <x:c r="D873" s="7" t="str">
        <x:v>BLD-B</x:v>
      </x:c>
      <x:c r="E873" s="7" t="str">
        <x:v>BL-X</x:v>
      </x:c>
      <x:c r="F873" s="7" t="str">
        <x:v>MF-01</x:v>
      </x:c>
      <x:c r="G873" s="7" t="str">
        <x:v>source vessel mass</x:v>
      </x:c>
      <x:c r="H873" s="7" t="n">
        <x:v>3</x:v>
      </x:c>
      <x:c r="I873" s="7" t="str"/>
      <x:c r="J873" s="7" t="str"/>
      <x:c r="K873" s="7" t="str"/>
      <x:c r="L873" s="7" t="str"/>
      <x:c r="M873" s="7" t="str"/>
      <x:c r="N873" s="7" t="str"/>
      <x:c r="O873" s="7" t="str">
        <x:f>IF(N873="","OPEN",IF(OR(I873="",J873="",K873="",L873="",M873=""),"FAIL","PASS"))</x:f>
        <x:v>OPEN</x:v>
      </x:c>
    </x:row>
    <x:row r="874">
      <x:c r="B874" s="7" t="str">
        <x:v>CH-PEA-B-X1-01-4</x:v>
      </x:c>
      <x:c r="C874" s="7" t="str">
        <x:v>PEA-B-X1</x:v>
      </x:c>
      <x:c r="D874" s="7" t="str">
        <x:v>BLD-B</x:v>
      </x:c>
      <x:c r="E874" s="7" t="str">
        <x:v>BL-X</x:v>
      </x:c>
      <x:c r="F874" s="7" t="str">
        <x:v>MF-01</x:v>
      </x:c>
      <x:c r="G874" s="7" t="str">
        <x:v>source vessel mass</x:v>
      </x:c>
      <x:c r="H874" s="7" t="n">
        <x:v>4</x:v>
      </x:c>
      <x:c r="I874" s="7" t="str"/>
      <x:c r="J874" s="7" t="str"/>
      <x:c r="K874" s="7" t="str"/>
      <x:c r="L874" s="7" t="str"/>
      <x:c r="M874" s="7" t="str"/>
      <x:c r="N874" s="7" t="str"/>
      <x:c r="O874" s="7" t="str">
        <x:f>IF(N874="","OPEN",IF(OR(I874="",J874="",K874="",L874="",M874=""),"FAIL","PASS"))</x:f>
        <x:v>OPEN</x:v>
      </x:c>
    </x:row>
    <x:row r="875">
      <x:c r="B875" s="7" t="str">
        <x:v>CH-PEA-B-X1-01-5</x:v>
      </x:c>
      <x:c r="C875" s="7" t="str">
        <x:v>PEA-B-X1</x:v>
      </x:c>
      <x:c r="D875" s="7" t="str">
        <x:v>BLD-B</x:v>
      </x:c>
      <x:c r="E875" s="7" t="str">
        <x:v>BL-X</x:v>
      </x:c>
      <x:c r="F875" s="7" t="str">
        <x:v>MF-01</x:v>
      </x:c>
      <x:c r="G875" s="7" t="str">
        <x:v>source vessel mass</x:v>
      </x:c>
      <x:c r="H875" s="7" t="n">
        <x:v>5</x:v>
      </x:c>
      <x:c r="I875" s="7" t="str"/>
      <x:c r="J875" s="7" t="str"/>
      <x:c r="K875" s="7" t="str"/>
      <x:c r="L875" s="7" t="str"/>
      <x:c r="M875" s="7" t="str"/>
      <x:c r="N875" s="7" t="str"/>
      <x:c r="O875" s="7" t="str">
        <x:f>IF(N875="","OPEN",IF(OR(I875="",J875="",K875="",L875="",M875=""),"FAIL","PASS"))</x:f>
        <x:v>OPEN</x:v>
      </x:c>
    </x:row>
    <x:row r="876">
      <x:c r="B876" s="7" t="str">
        <x:v>CH-PEA-B-X1-01-6</x:v>
      </x:c>
      <x:c r="C876" s="7" t="str">
        <x:v>PEA-B-X1</x:v>
      </x:c>
      <x:c r="D876" s="7" t="str">
        <x:v>BLD-B</x:v>
      </x:c>
      <x:c r="E876" s="7" t="str">
        <x:v>BL-X</x:v>
      </x:c>
      <x:c r="F876" s="7" t="str">
        <x:v>MF-01</x:v>
      </x:c>
      <x:c r="G876" s="7" t="str">
        <x:v>source vessel mass</x:v>
      </x:c>
      <x:c r="H876" s="7" t="n">
        <x:v>6</x:v>
      </x:c>
      <x:c r="I876" s="7" t="str"/>
      <x:c r="J876" s="7" t="str"/>
      <x:c r="K876" s="7" t="str"/>
      <x:c r="L876" s="7" t="str"/>
      <x:c r="M876" s="7" t="str"/>
      <x:c r="N876" s="7" t="str"/>
      <x:c r="O876" s="7" t="str">
        <x:f>IF(N876="","OPEN",IF(OR(I876="",J876="",K876="",L876="",M876=""),"FAIL","PASS"))</x:f>
        <x:v>OPEN</x:v>
      </x:c>
    </x:row>
    <x:row r="877">
      <x:c r="B877" s="7" t="str">
        <x:v>CH-PEA-B-X1-02-1</x:v>
      </x:c>
      <x:c r="C877" s="7" t="str">
        <x:v>PEA-B-X1</x:v>
      </x:c>
      <x:c r="D877" s="7" t="str">
        <x:v>BLD-B</x:v>
      </x:c>
      <x:c r="E877" s="7" t="str">
        <x:v>BL-X</x:v>
      </x:c>
      <x:c r="F877" s="7" t="str">
        <x:v>MF-02</x:v>
      </x:c>
      <x:c r="G877" s="7" t="str">
        <x:v>transfer mass</x:v>
      </x:c>
      <x:c r="H877" s="7" t="n">
        <x:v>1</x:v>
      </x:c>
      <x:c r="I877" s="7" t="str"/>
      <x:c r="J877" s="7" t="str"/>
      <x:c r="K877" s="7" t="str"/>
      <x:c r="L877" s="7" t="str"/>
      <x:c r="M877" s="7" t="str"/>
      <x:c r="N877" s="7" t="str"/>
      <x:c r="O877" s="7" t="str">
        <x:f>IF(N877="","OPEN",IF(OR(I877="",J877="",K877="",L877="",M877=""),"FAIL","PASS"))</x:f>
        <x:v>OPEN</x:v>
      </x:c>
    </x:row>
    <x:row r="878">
      <x:c r="B878" s="7" t="str">
        <x:v>CH-PEA-B-X1-02-2</x:v>
      </x:c>
      <x:c r="C878" s="7" t="str">
        <x:v>PEA-B-X1</x:v>
      </x:c>
      <x:c r="D878" s="7" t="str">
        <x:v>BLD-B</x:v>
      </x:c>
      <x:c r="E878" s="7" t="str">
        <x:v>BL-X</x:v>
      </x:c>
      <x:c r="F878" s="7" t="str">
        <x:v>MF-02</x:v>
      </x:c>
      <x:c r="G878" s="7" t="str">
        <x:v>transfer mass</x:v>
      </x:c>
      <x:c r="H878" s="7" t="n">
        <x:v>2</x:v>
      </x:c>
      <x:c r="I878" s="7" t="str"/>
      <x:c r="J878" s="7" t="str"/>
      <x:c r="K878" s="7" t="str"/>
      <x:c r="L878" s="7" t="str"/>
      <x:c r="M878" s="7" t="str"/>
      <x:c r="N878" s="7" t="str"/>
      <x:c r="O878" s="7" t="str">
        <x:f>IF(N878="","OPEN",IF(OR(I878="",J878="",K878="",L878="",M878=""),"FAIL","PASS"))</x:f>
        <x:v>OPEN</x:v>
      </x:c>
    </x:row>
    <x:row r="879">
      <x:c r="B879" s="7" t="str">
        <x:v>CH-PEA-B-X1-02-3</x:v>
      </x:c>
      <x:c r="C879" s="7" t="str">
        <x:v>PEA-B-X1</x:v>
      </x:c>
      <x:c r="D879" s="7" t="str">
        <x:v>BLD-B</x:v>
      </x:c>
      <x:c r="E879" s="7" t="str">
        <x:v>BL-X</x:v>
      </x:c>
      <x:c r="F879" s="7" t="str">
        <x:v>MF-02</x:v>
      </x:c>
      <x:c r="G879" s="7" t="str">
        <x:v>transfer mass</x:v>
      </x:c>
      <x:c r="H879" s="7" t="n">
        <x:v>3</x:v>
      </x:c>
      <x:c r="I879" s="7" t="str"/>
      <x:c r="J879" s="7" t="str"/>
      <x:c r="K879" s="7" t="str"/>
      <x:c r="L879" s="7" t="str"/>
      <x:c r="M879" s="7" t="str"/>
      <x:c r="N879" s="7" t="str"/>
      <x:c r="O879" s="7" t="str">
        <x:f>IF(N879="","OPEN",IF(OR(I879="",J879="",K879="",L879="",M879=""),"FAIL","PASS"))</x:f>
        <x:v>OPEN</x:v>
      </x:c>
    </x:row>
    <x:row r="880">
      <x:c r="B880" s="7" t="str">
        <x:v>CH-PEA-B-X1-02-4</x:v>
      </x:c>
      <x:c r="C880" s="7" t="str">
        <x:v>PEA-B-X1</x:v>
      </x:c>
      <x:c r="D880" s="7" t="str">
        <x:v>BLD-B</x:v>
      </x:c>
      <x:c r="E880" s="7" t="str">
        <x:v>BL-X</x:v>
      </x:c>
      <x:c r="F880" s="7" t="str">
        <x:v>MF-02</x:v>
      </x:c>
      <x:c r="G880" s="7" t="str">
        <x:v>transfer mass</x:v>
      </x:c>
      <x:c r="H880" s="7" t="n">
        <x:v>4</x:v>
      </x:c>
      <x:c r="I880" s="7" t="str"/>
      <x:c r="J880" s="7" t="str"/>
      <x:c r="K880" s="7" t="str"/>
      <x:c r="L880" s="7" t="str"/>
      <x:c r="M880" s="7" t="str"/>
      <x:c r="N880" s="7" t="str"/>
      <x:c r="O880" s="7" t="str">
        <x:f>IF(N880="","OPEN",IF(OR(I880="",J880="",K880="",L880="",M880=""),"FAIL","PASS"))</x:f>
        <x:v>OPEN</x:v>
      </x:c>
    </x:row>
    <x:row r="881">
      <x:c r="B881" s="7" t="str">
        <x:v>CH-PEA-B-X1-02-5</x:v>
      </x:c>
      <x:c r="C881" s="7" t="str">
        <x:v>PEA-B-X1</x:v>
      </x:c>
      <x:c r="D881" s="7" t="str">
        <x:v>BLD-B</x:v>
      </x:c>
      <x:c r="E881" s="7" t="str">
        <x:v>BL-X</x:v>
      </x:c>
      <x:c r="F881" s="7" t="str">
        <x:v>MF-02</x:v>
      </x:c>
      <x:c r="G881" s="7" t="str">
        <x:v>transfer mass</x:v>
      </x:c>
      <x:c r="H881" s="7" t="n">
        <x:v>5</x:v>
      </x:c>
      <x:c r="I881" s="7" t="str"/>
      <x:c r="J881" s="7" t="str"/>
      <x:c r="K881" s="7" t="str"/>
      <x:c r="L881" s="7" t="str"/>
      <x:c r="M881" s="7" t="str"/>
      <x:c r="N881" s="7" t="str"/>
      <x:c r="O881" s="7" t="str">
        <x:f>IF(N881="","OPEN",IF(OR(I881="",J881="",K881="",L881="",M881=""),"FAIL","PASS"))</x:f>
        <x:v>OPEN</x:v>
      </x:c>
    </x:row>
    <x:row r="882">
      <x:c r="B882" s="7" t="str">
        <x:v>CH-PEA-B-X1-02-6</x:v>
      </x:c>
      <x:c r="C882" s="7" t="str">
        <x:v>PEA-B-X1</x:v>
      </x:c>
      <x:c r="D882" s="7" t="str">
        <x:v>BLD-B</x:v>
      </x:c>
      <x:c r="E882" s="7" t="str">
        <x:v>BL-X</x:v>
      </x:c>
      <x:c r="F882" s="7" t="str">
        <x:v>MF-02</x:v>
      </x:c>
      <x:c r="G882" s="7" t="str">
        <x:v>transfer mass</x:v>
      </x:c>
      <x:c r="H882" s="7" t="n">
        <x:v>6</x:v>
      </x:c>
      <x:c r="I882" s="7" t="str"/>
      <x:c r="J882" s="7" t="str"/>
      <x:c r="K882" s="7" t="str"/>
      <x:c r="L882" s="7" t="str"/>
      <x:c r="M882" s="7" t="str"/>
      <x:c r="N882" s="7" t="str"/>
      <x:c r="O882" s="7" t="str">
        <x:f>IF(N882="","OPEN",IF(OR(I882="",J882="",K882="",L882="",M882=""),"FAIL","PASS"))</x:f>
        <x:v>OPEN</x:v>
      </x:c>
    </x:row>
    <x:row r="883">
      <x:c r="B883" s="7" t="str">
        <x:v>CH-PEA-B-X1-03-1</x:v>
      </x:c>
      <x:c r="C883" s="7" t="str">
        <x:v>PEA-B-X1</x:v>
      </x:c>
      <x:c r="D883" s="7" t="str">
        <x:v>BLD-B</x:v>
      </x:c>
      <x:c r="E883" s="7" t="str">
        <x:v>BL-X</x:v>
      </x:c>
      <x:c r="F883" s="7" t="str">
        <x:v>MF-03</x:v>
      </x:c>
      <x:c r="G883" s="7" t="str">
        <x:v>source pressure</x:v>
      </x:c>
      <x:c r="H883" s="7" t="n">
        <x:v>1</x:v>
      </x:c>
      <x:c r="I883" s="7" t="str"/>
      <x:c r="J883" s="7" t="str"/>
      <x:c r="K883" s="7" t="str"/>
      <x:c r="L883" s="7" t="str"/>
      <x:c r="M883" s="7" t="str"/>
      <x:c r="N883" s="7" t="str"/>
      <x:c r="O883" s="7" t="str">
        <x:f>IF(N883="","OPEN",IF(OR(I883="",J883="",K883="",L883="",M883=""),"FAIL","PASS"))</x:f>
        <x:v>OPEN</x:v>
      </x:c>
    </x:row>
    <x:row r="884">
      <x:c r="B884" s="7" t="str">
        <x:v>CH-PEA-B-X1-03-2</x:v>
      </x:c>
      <x:c r="C884" s="7" t="str">
        <x:v>PEA-B-X1</x:v>
      </x:c>
      <x:c r="D884" s="7" t="str">
        <x:v>BLD-B</x:v>
      </x:c>
      <x:c r="E884" s="7" t="str">
        <x:v>BL-X</x:v>
      </x:c>
      <x:c r="F884" s="7" t="str">
        <x:v>MF-03</x:v>
      </x:c>
      <x:c r="G884" s="7" t="str">
        <x:v>source pressure</x:v>
      </x:c>
      <x:c r="H884" s="7" t="n">
        <x:v>2</x:v>
      </x:c>
      <x:c r="I884" s="7" t="str"/>
      <x:c r="J884" s="7" t="str"/>
      <x:c r="K884" s="7" t="str"/>
      <x:c r="L884" s="7" t="str"/>
      <x:c r="M884" s="7" t="str"/>
      <x:c r="N884" s="7" t="str"/>
      <x:c r="O884" s="7" t="str">
        <x:f>IF(N884="","OPEN",IF(OR(I884="",J884="",K884="",L884="",M884=""),"FAIL","PASS"))</x:f>
        <x:v>OPEN</x:v>
      </x:c>
    </x:row>
    <x:row r="885">
      <x:c r="B885" s="7" t="str">
        <x:v>CH-PEA-B-X1-03-3</x:v>
      </x:c>
      <x:c r="C885" s="7" t="str">
        <x:v>PEA-B-X1</x:v>
      </x:c>
      <x:c r="D885" s="7" t="str">
        <x:v>BLD-B</x:v>
      </x:c>
      <x:c r="E885" s="7" t="str">
        <x:v>BL-X</x:v>
      </x:c>
      <x:c r="F885" s="7" t="str">
        <x:v>MF-03</x:v>
      </x:c>
      <x:c r="G885" s="7" t="str">
        <x:v>source pressure</x:v>
      </x:c>
      <x:c r="H885" s="7" t="n">
        <x:v>3</x:v>
      </x:c>
      <x:c r="I885" s="7" t="str"/>
      <x:c r="J885" s="7" t="str"/>
      <x:c r="K885" s="7" t="str"/>
      <x:c r="L885" s="7" t="str"/>
      <x:c r="M885" s="7" t="str"/>
      <x:c r="N885" s="7" t="str"/>
      <x:c r="O885" s="7" t="str">
        <x:f>IF(N885="","OPEN",IF(OR(I885="",J885="",K885="",L885="",M885=""),"FAIL","PASS"))</x:f>
        <x:v>OPEN</x:v>
      </x:c>
    </x:row>
    <x:row r="886">
      <x:c r="B886" s="7" t="str">
        <x:v>CH-PEA-B-X1-03-4</x:v>
      </x:c>
      <x:c r="C886" s="7" t="str">
        <x:v>PEA-B-X1</x:v>
      </x:c>
      <x:c r="D886" s="7" t="str">
        <x:v>BLD-B</x:v>
      </x:c>
      <x:c r="E886" s="7" t="str">
        <x:v>BL-X</x:v>
      </x:c>
      <x:c r="F886" s="7" t="str">
        <x:v>MF-03</x:v>
      </x:c>
      <x:c r="G886" s="7" t="str">
        <x:v>source pressure</x:v>
      </x:c>
      <x:c r="H886" s="7" t="n">
        <x:v>4</x:v>
      </x:c>
      <x:c r="I886" s="7" t="str"/>
      <x:c r="J886" s="7" t="str"/>
      <x:c r="K886" s="7" t="str"/>
      <x:c r="L886" s="7" t="str"/>
      <x:c r="M886" s="7" t="str"/>
      <x:c r="N886" s="7" t="str"/>
      <x:c r="O886" s="7" t="str">
        <x:f>IF(N886="","OPEN",IF(OR(I886="",J886="",K886="",L886="",M886=""),"FAIL","PASS"))</x:f>
        <x:v>OPEN</x:v>
      </x:c>
    </x:row>
    <x:row r="887">
      <x:c r="B887" s="7" t="str">
        <x:v>CH-PEA-B-X1-03-5</x:v>
      </x:c>
      <x:c r="C887" s="7" t="str">
        <x:v>PEA-B-X1</x:v>
      </x:c>
      <x:c r="D887" s="7" t="str">
        <x:v>BLD-B</x:v>
      </x:c>
      <x:c r="E887" s="7" t="str">
        <x:v>BL-X</x:v>
      </x:c>
      <x:c r="F887" s="7" t="str">
        <x:v>MF-03</x:v>
      </x:c>
      <x:c r="G887" s="7" t="str">
        <x:v>source pressure</x:v>
      </x:c>
      <x:c r="H887" s="7" t="n">
        <x:v>5</x:v>
      </x:c>
      <x:c r="I887" s="7" t="str"/>
      <x:c r="J887" s="7" t="str"/>
      <x:c r="K887" s="7" t="str"/>
      <x:c r="L887" s="7" t="str"/>
      <x:c r="M887" s="7" t="str"/>
      <x:c r="N887" s="7" t="str"/>
      <x:c r="O887" s="7" t="str">
        <x:f>IF(N887="","OPEN",IF(OR(I887="",J887="",K887="",L887="",M887=""),"FAIL","PASS"))</x:f>
        <x:v>OPEN</x:v>
      </x:c>
    </x:row>
    <x:row r="888">
      <x:c r="B888" s="7" t="str">
        <x:v>CH-PEA-B-X1-03-6</x:v>
      </x:c>
      <x:c r="C888" s="7" t="str">
        <x:v>PEA-B-X1</x:v>
      </x:c>
      <x:c r="D888" s="7" t="str">
        <x:v>BLD-B</x:v>
      </x:c>
      <x:c r="E888" s="7" t="str">
        <x:v>BL-X</x:v>
      </x:c>
      <x:c r="F888" s="7" t="str">
        <x:v>MF-03</x:v>
      </x:c>
      <x:c r="G888" s="7" t="str">
        <x:v>source pressure</x:v>
      </x:c>
      <x:c r="H888" s="7" t="n">
        <x:v>6</x:v>
      </x:c>
      <x:c r="I888" s="7" t="str"/>
      <x:c r="J888" s="7" t="str"/>
      <x:c r="K888" s="7" t="str"/>
      <x:c r="L888" s="7" t="str"/>
      <x:c r="M888" s="7" t="str"/>
      <x:c r="N888" s="7" t="str"/>
      <x:c r="O888" s="7" t="str">
        <x:f>IF(N888="","OPEN",IF(OR(I888="",J888="",K888="",L888="",M888=""),"FAIL","PASS"))</x:f>
        <x:v>OPEN</x:v>
      </x:c>
    </x:row>
    <x:row r="889">
      <x:c r="B889" s="7" t="str">
        <x:v>CH-PEA-B-X1-04-1</x:v>
      </x:c>
      <x:c r="C889" s="7" t="str">
        <x:v>PEA-B-X1</x:v>
      </x:c>
      <x:c r="D889" s="7" t="str">
        <x:v>BLD-B</x:v>
      </x:c>
      <x:c r="E889" s="7" t="str">
        <x:v>BL-X</x:v>
      </x:c>
      <x:c r="F889" s="7" t="str">
        <x:v>MF-04</x:v>
      </x:c>
      <x:c r="G889" s="7" t="str">
        <x:v>source temperature</x:v>
      </x:c>
      <x:c r="H889" s="7" t="n">
        <x:v>1</x:v>
      </x:c>
      <x:c r="I889" s="7" t="str"/>
      <x:c r="J889" s="7" t="str"/>
      <x:c r="K889" s="7" t="str"/>
      <x:c r="L889" s="7" t="str"/>
      <x:c r="M889" s="7" t="str"/>
      <x:c r="N889" s="7" t="str"/>
      <x:c r="O889" s="7" t="str">
        <x:f>IF(N889="","OPEN",IF(OR(I889="",J889="",K889="",L889="",M889=""),"FAIL","PASS"))</x:f>
        <x:v>OPEN</x:v>
      </x:c>
    </x:row>
    <x:row r="890">
      <x:c r="B890" s="7" t="str">
        <x:v>CH-PEA-B-X1-04-2</x:v>
      </x:c>
      <x:c r="C890" s="7" t="str">
        <x:v>PEA-B-X1</x:v>
      </x:c>
      <x:c r="D890" s="7" t="str">
        <x:v>BLD-B</x:v>
      </x:c>
      <x:c r="E890" s="7" t="str">
        <x:v>BL-X</x:v>
      </x:c>
      <x:c r="F890" s="7" t="str">
        <x:v>MF-04</x:v>
      </x:c>
      <x:c r="G890" s="7" t="str">
        <x:v>source temperature</x:v>
      </x:c>
      <x:c r="H890" s="7" t="n">
        <x:v>2</x:v>
      </x:c>
      <x:c r="I890" s="7" t="str"/>
      <x:c r="J890" s="7" t="str"/>
      <x:c r="K890" s="7" t="str"/>
      <x:c r="L890" s="7" t="str"/>
      <x:c r="M890" s="7" t="str"/>
      <x:c r="N890" s="7" t="str"/>
      <x:c r="O890" s="7" t="str">
        <x:f>IF(N890="","OPEN",IF(OR(I890="",J890="",K890="",L890="",M890=""),"FAIL","PASS"))</x:f>
        <x:v>OPEN</x:v>
      </x:c>
    </x:row>
    <x:row r="891">
      <x:c r="B891" s="7" t="str">
        <x:v>CH-PEA-B-X1-04-3</x:v>
      </x:c>
      <x:c r="C891" s="7" t="str">
        <x:v>PEA-B-X1</x:v>
      </x:c>
      <x:c r="D891" s="7" t="str">
        <x:v>BLD-B</x:v>
      </x:c>
      <x:c r="E891" s="7" t="str">
        <x:v>BL-X</x:v>
      </x:c>
      <x:c r="F891" s="7" t="str">
        <x:v>MF-04</x:v>
      </x:c>
      <x:c r="G891" s="7" t="str">
        <x:v>source temperature</x:v>
      </x:c>
      <x:c r="H891" s="7" t="n">
        <x:v>3</x:v>
      </x:c>
      <x:c r="I891" s="7" t="str"/>
      <x:c r="J891" s="7" t="str"/>
      <x:c r="K891" s="7" t="str"/>
      <x:c r="L891" s="7" t="str"/>
      <x:c r="M891" s="7" t="str"/>
      <x:c r="N891" s="7" t="str"/>
      <x:c r="O891" s="7" t="str">
        <x:f>IF(N891="","OPEN",IF(OR(I891="",J891="",K891="",L891="",M891=""),"FAIL","PASS"))</x:f>
        <x:v>OPEN</x:v>
      </x:c>
    </x:row>
    <x:row r="892">
      <x:c r="B892" s="7" t="str">
        <x:v>CH-PEA-B-X1-04-4</x:v>
      </x:c>
      <x:c r="C892" s="7" t="str">
        <x:v>PEA-B-X1</x:v>
      </x:c>
      <x:c r="D892" s="7" t="str">
        <x:v>BLD-B</x:v>
      </x:c>
      <x:c r="E892" s="7" t="str">
        <x:v>BL-X</x:v>
      </x:c>
      <x:c r="F892" s="7" t="str">
        <x:v>MF-04</x:v>
      </x:c>
      <x:c r="G892" s="7" t="str">
        <x:v>source temperature</x:v>
      </x:c>
      <x:c r="H892" s="7" t="n">
        <x:v>4</x:v>
      </x:c>
      <x:c r="I892" s="7" t="str"/>
      <x:c r="J892" s="7" t="str"/>
      <x:c r="K892" s="7" t="str"/>
      <x:c r="L892" s="7" t="str"/>
      <x:c r="M892" s="7" t="str"/>
      <x:c r="N892" s="7" t="str"/>
      <x:c r="O892" s="7" t="str">
        <x:f>IF(N892="","OPEN",IF(OR(I892="",J892="",K892="",L892="",M892=""),"FAIL","PASS"))</x:f>
        <x:v>OPEN</x:v>
      </x:c>
    </x:row>
    <x:row r="893">
      <x:c r="B893" s="7" t="str">
        <x:v>CH-PEA-B-X1-04-5</x:v>
      </x:c>
      <x:c r="C893" s="7" t="str">
        <x:v>PEA-B-X1</x:v>
      </x:c>
      <x:c r="D893" s="7" t="str">
        <x:v>BLD-B</x:v>
      </x:c>
      <x:c r="E893" s="7" t="str">
        <x:v>BL-X</x:v>
      </x:c>
      <x:c r="F893" s="7" t="str">
        <x:v>MF-04</x:v>
      </x:c>
      <x:c r="G893" s="7" t="str">
        <x:v>source temperature</x:v>
      </x:c>
      <x:c r="H893" s="7" t="n">
        <x:v>5</x:v>
      </x:c>
      <x:c r="I893" s="7" t="str"/>
      <x:c r="J893" s="7" t="str"/>
      <x:c r="K893" s="7" t="str"/>
      <x:c r="L893" s="7" t="str"/>
      <x:c r="M893" s="7" t="str"/>
      <x:c r="N893" s="7" t="str"/>
      <x:c r="O893" s="7" t="str">
        <x:f>IF(N893="","OPEN",IF(OR(I893="",J893="",K893="",L893="",M893=""),"FAIL","PASS"))</x:f>
        <x:v>OPEN</x:v>
      </x:c>
    </x:row>
    <x:row r="894">
      <x:c r="B894" s="7" t="str">
        <x:v>CH-PEA-B-X1-04-6</x:v>
      </x:c>
      <x:c r="C894" s="7" t="str">
        <x:v>PEA-B-X1</x:v>
      </x:c>
      <x:c r="D894" s="7" t="str">
        <x:v>BLD-B</x:v>
      </x:c>
      <x:c r="E894" s="7" t="str">
        <x:v>BL-X</x:v>
      </x:c>
      <x:c r="F894" s="7" t="str">
        <x:v>MF-04</x:v>
      </x:c>
      <x:c r="G894" s="7" t="str">
        <x:v>source temperature</x:v>
      </x:c>
      <x:c r="H894" s="7" t="n">
        <x:v>6</x:v>
      </x:c>
      <x:c r="I894" s="7" t="str"/>
      <x:c r="J894" s="7" t="str"/>
      <x:c r="K894" s="7" t="str"/>
      <x:c r="L894" s="7" t="str"/>
      <x:c r="M894" s="7" t="str"/>
      <x:c r="N894" s="7" t="str"/>
      <x:c r="O894" s="7" t="str">
        <x:f>IF(N894="","OPEN",IF(OR(I894="",J894="",K894="",L894="",M894=""),"FAIL","PASS"))</x:f>
        <x:v>OPEN</x:v>
      </x:c>
    </x:row>
    <x:row r="895">
      <x:c r="B895" s="7" t="str">
        <x:v>CH-PEA-B-X1-05-1</x:v>
      </x:c>
      <x:c r="C895" s="7" t="str">
        <x:v>PEA-B-X1</x:v>
      </x:c>
      <x:c r="D895" s="7" t="str">
        <x:v>BLD-B</x:v>
      </x:c>
      <x:c r="E895" s="7" t="str">
        <x:v>BL-X</x:v>
      </x:c>
      <x:c r="F895" s="7" t="str">
        <x:v>MF-05</x:v>
      </x:c>
      <x:c r="G895" s="7" t="str">
        <x:v>hold-up tomography</x:v>
      </x:c>
      <x:c r="H895" s="7" t="n">
        <x:v>1</x:v>
      </x:c>
      <x:c r="I895" s="7" t="str"/>
      <x:c r="J895" s="7" t="str"/>
      <x:c r="K895" s="7" t="str"/>
      <x:c r="L895" s="7" t="str"/>
      <x:c r="M895" s="7" t="str"/>
      <x:c r="N895" s="7" t="str"/>
      <x:c r="O895" s="7" t="str">
        <x:f>IF(N895="","OPEN",IF(OR(I895="",J895="",K895="",L895="",M895=""),"FAIL","PASS"))</x:f>
        <x:v>OPEN</x:v>
      </x:c>
    </x:row>
    <x:row r="896">
      <x:c r="B896" s="7" t="str">
        <x:v>CH-PEA-B-X1-05-2</x:v>
      </x:c>
      <x:c r="C896" s="7" t="str">
        <x:v>PEA-B-X1</x:v>
      </x:c>
      <x:c r="D896" s="7" t="str">
        <x:v>BLD-B</x:v>
      </x:c>
      <x:c r="E896" s="7" t="str">
        <x:v>BL-X</x:v>
      </x:c>
      <x:c r="F896" s="7" t="str">
        <x:v>MF-05</x:v>
      </x:c>
      <x:c r="G896" s="7" t="str">
        <x:v>hold-up tomography</x:v>
      </x:c>
      <x:c r="H896" s="7" t="n">
        <x:v>2</x:v>
      </x:c>
      <x:c r="I896" s="7" t="str"/>
      <x:c r="J896" s="7" t="str"/>
      <x:c r="K896" s="7" t="str"/>
      <x:c r="L896" s="7" t="str"/>
      <x:c r="M896" s="7" t="str"/>
      <x:c r="N896" s="7" t="str"/>
      <x:c r="O896" s="7" t="str">
        <x:f>IF(N896="","OPEN",IF(OR(I896="",J896="",K896="",L896="",M896=""),"FAIL","PASS"))</x:f>
        <x:v>OPEN</x:v>
      </x:c>
    </x:row>
    <x:row r="897">
      <x:c r="B897" s="7" t="str">
        <x:v>CH-PEA-B-X1-05-3</x:v>
      </x:c>
      <x:c r="C897" s="7" t="str">
        <x:v>PEA-B-X1</x:v>
      </x:c>
      <x:c r="D897" s="7" t="str">
        <x:v>BLD-B</x:v>
      </x:c>
      <x:c r="E897" s="7" t="str">
        <x:v>BL-X</x:v>
      </x:c>
      <x:c r="F897" s="7" t="str">
        <x:v>MF-05</x:v>
      </x:c>
      <x:c r="G897" s="7" t="str">
        <x:v>hold-up tomography</x:v>
      </x:c>
      <x:c r="H897" s="7" t="n">
        <x:v>3</x:v>
      </x:c>
      <x:c r="I897" s="7" t="str"/>
      <x:c r="J897" s="7" t="str"/>
      <x:c r="K897" s="7" t="str"/>
      <x:c r="L897" s="7" t="str"/>
      <x:c r="M897" s="7" t="str"/>
      <x:c r="N897" s="7" t="str"/>
      <x:c r="O897" s="7" t="str">
        <x:f>IF(N897="","OPEN",IF(OR(I897="",J897="",K897="",L897="",M897=""),"FAIL","PASS"))</x:f>
        <x:v>OPEN</x:v>
      </x:c>
    </x:row>
    <x:row r="898">
      <x:c r="B898" s="7" t="str">
        <x:v>CH-PEA-B-X1-05-4</x:v>
      </x:c>
      <x:c r="C898" s="7" t="str">
        <x:v>PEA-B-X1</x:v>
      </x:c>
      <x:c r="D898" s="7" t="str">
        <x:v>BLD-B</x:v>
      </x:c>
      <x:c r="E898" s="7" t="str">
        <x:v>BL-X</x:v>
      </x:c>
      <x:c r="F898" s="7" t="str">
        <x:v>MF-05</x:v>
      </x:c>
      <x:c r="G898" s="7" t="str">
        <x:v>hold-up tomography</x:v>
      </x:c>
      <x:c r="H898" s="7" t="n">
        <x:v>4</x:v>
      </x:c>
      <x:c r="I898" s="7" t="str"/>
      <x:c r="J898" s="7" t="str"/>
      <x:c r="K898" s="7" t="str"/>
      <x:c r="L898" s="7" t="str"/>
      <x:c r="M898" s="7" t="str"/>
      <x:c r="N898" s="7" t="str"/>
      <x:c r="O898" s="7" t="str">
        <x:f>IF(N898="","OPEN",IF(OR(I898="",J898="",K898="",L898="",M898=""),"FAIL","PASS"))</x:f>
        <x:v>OPEN</x:v>
      </x:c>
    </x:row>
    <x:row r="899">
      <x:c r="B899" s="7" t="str">
        <x:v>CH-PEA-B-X1-05-5</x:v>
      </x:c>
      <x:c r="C899" s="7" t="str">
        <x:v>PEA-B-X1</x:v>
      </x:c>
      <x:c r="D899" s="7" t="str">
        <x:v>BLD-B</x:v>
      </x:c>
      <x:c r="E899" s="7" t="str">
        <x:v>BL-X</x:v>
      </x:c>
      <x:c r="F899" s="7" t="str">
        <x:v>MF-05</x:v>
      </x:c>
      <x:c r="G899" s="7" t="str">
        <x:v>hold-up tomography</x:v>
      </x:c>
      <x:c r="H899" s="7" t="n">
        <x:v>5</x:v>
      </x:c>
      <x:c r="I899" s="7" t="str"/>
      <x:c r="J899" s="7" t="str"/>
      <x:c r="K899" s="7" t="str"/>
      <x:c r="L899" s="7" t="str"/>
      <x:c r="M899" s="7" t="str"/>
      <x:c r="N899" s="7" t="str"/>
      <x:c r="O899" s="7" t="str">
        <x:f>IF(N899="","OPEN",IF(OR(I899="",J899="",K899="",L899="",M899=""),"FAIL","PASS"))</x:f>
        <x:v>OPEN</x:v>
      </x:c>
    </x:row>
    <x:row r="900">
      <x:c r="B900" s="7" t="str">
        <x:v>CH-PEA-B-X1-05-6</x:v>
      </x:c>
      <x:c r="C900" s="7" t="str">
        <x:v>PEA-B-X1</x:v>
      </x:c>
      <x:c r="D900" s="7" t="str">
        <x:v>BLD-B</x:v>
      </x:c>
      <x:c r="E900" s="7" t="str">
        <x:v>BL-X</x:v>
      </x:c>
      <x:c r="F900" s="7" t="str">
        <x:v>MF-05</x:v>
      </x:c>
      <x:c r="G900" s="7" t="str">
        <x:v>hold-up tomography</x:v>
      </x:c>
      <x:c r="H900" s="7" t="n">
        <x:v>6</x:v>
      </x:c>
      <x:c r="I900" s="7" t="str"/>
      <x:c r="J900" s="7" t="str"/>
      <x:c r="K900" s="7" t="str"/>
      <x:c r="L900" s="7" t="str"/>
      <x:c r="M900" s="7" t="str"/>
      <x:c r="N900" s="7" t="str"/>
      <x:c r="O900" s="7" t="str">
        <x:f>IF(N900="","OPEN",IF(OR(I900="",J900="",K900="",L900="",M900=""),"FAIL","PASS"))</x:f>
        <x:v>OPEN</x:v>
      </x:c>
    </x:row>
    <x:row r="901">
      <x:c r="B901" s="7" t="str">
        <x:v>CH-PEA-B-X1-06-1</x:v>
      </x:c>
      <x:c r="C901" s="7" t="str">
        <x:v>PEA-B-X1</x:v>
      </x:c>
      <x:c r="D901" s="7" t="str">
        <x:v>BLD-B</x:v>
      </x:c>
      <x:c r="E901" s="7" t="str">
        <x:v>BL-X</x:v>
      </x:c>
      <x:c r="F901" s="7" t="str">
        <x:v>MF-06</x:v>
      </x:c>
      <x:c r="G901" s="7" t="str">
        <x:v>pan level</x:v>
      </x:c>
      <x:c r="H901" s="7" t="n">
        <x:v>1</x:v>
      </x:c>
      <x:c r="I901" s="7" t="str"/>
      <x:c r="J901" s="7" t="str"/>
      <x:c r="K901" s="7" t="str"/>
      <x:c r="L901" s="7" t="str"/>
      <x:c r="M901" s="7" t="str"/>
      <x:c r="N901" s="7" t="str"/>
      <x:c r="O901" s="7" t="str">
        <x:f>IF(N901="","OPEN",IF(OR(I901="",J901="",K901="",L901="",M901=""),"FAIL","PASS"))</x:f>
        <x:v>OPEN</x:v>
      </x:c>
    </x:row>
    <x:row r="902">
      <x:c r="B902" s="7" t="str">
        <x:v>CH-PEA-B-X1-06-2</x:v>
      </x:c>
      <x:c r="C902" s="7" t="str">
        <x:v>PEA-B-X1</x:v>
      </x:c>
      <x:c r="D902" s="7" t="str">
        <x:v>BLD-B</x:v>
      </x:c>
      <x:c r="E902" s="7" t="str">
        <x:v>BL-X</x:v>
      </x:c>
      <x:c r="F902" s="7" t="str">
        <x:v>MF-06</x:v>
      </x:c>
      <x:c r="G902" s="7" t="str">
        <x:v>pan level</x:v>
      </x:c>
      <x:c r="H902" s="7" t="n">
        <x:v>2</x:v>
      </x:c>
      <x:c r="I902" s="7" t="str"/>
      <x:c r="J902" s="7" t="str"/>
      <x:c r="K902" s="7" t="str"/>
      <x:c r="L902" s="7" t="str"/>
      <x:c r="M902" s="7" t="str"/>
      <x:c r="N902" s="7" t="str"/>
      <x:c r="O902" s="7" t="str">
        <x:f>IF(N902="","OPEN",IF(OR(I902="",J902="",K902="",L902="",M902=""),"FAIL","PASS"))</x:f>
        <x:v>OPEN</x:v>
      </x:c>
    </x:row>
    <x:row r="903">
      <x:c r="B903" s="7" t="str">
        <x:v>CH-PEA-B-X1-06-3</x:v>
      </x:c>
      <x:c r="C903" s="7" t="str">
        <x:v>PEA-B-X1</x:v>
      </x:c>
      <x:c r="D903" s="7" t="str">
        <x:v>BLD-B</x:v>
      </x:c>
      <x:c r="E903" s="7" t="str">
        <x:v>BL-X</x:v>
      </x:c>
      <x:c r="F903" s="7" t="str">
        <x:v>MF-06</x:v>
      </x:c>
      <x:c r="G903" s="7" t="str">
        <x:v>pan level</x:v>
      </x:c>
      <x:c r="H903" s="7" t="n">
        <x:v>3</x:v>
      </x:c>
      <x:c r="I903" s="7" t="str"/>
      <x:c r="J903" s="7" t="str"/>
      <x:c r="K903" s="7" t="str"/>
      <x:c r="L903" s="7" t="str"/>
      <x:c r="M903" s="7" t="str"/>
      <x:c r="N903" s="7" t="str"/>
      <x:c r="O903" s="7" t="str">
        <x:f>IF(N903="","OPEN",IF(OR(I903="",J903="",K903="",L903="",M903=""),"FAIL","PASS"))</x:f>
        <x:v>OPEN</x:v>
      </x:c>
    </x:row>
    <x:row r="904">
      <x:c r="B904" s="7" t="str">
        <x:v>CH-PEA-B-X1-06-4</x:v>
      </x:c>
      <x:c r="C904" s="7" t="str">
        <x:v>PEA-B-X1</x:v>
      </x:c>
      <x:c r="D904" s="7" t="str">
        <x:v>BLD-B</x:v>
      </x:c>
      <x:c r="E904" s="7" t="str">
        <x:v>BL-X</x:v>
      </x:c>
      <x:c r="F904" s="7" t="str">
        <x:v>MF-06</x:v>
      </x:c>
      <x:c r="G904" s="7" t="str">
        <x:v>pan level</x:v>
      </x:c>
      <x:c r="H904" s="7" t="n">
        <x:v>4</x:v>
      </x:c>
      <x:c r="I904" s="7" t="str"/>
      <x:c r="J904" s="7" t="str"/>
      <x:c r="K904" s="7" t="str"/>
      <x:c r="L904" s="7" t="str"/>
      <x:c r="M904" s="7" t="str"/>
      <x:c r="N904" s="7" t="str"/>
      <x:c r="O904" s="7" t="str">
        <x:f>IF(N904="","OPEN",IF(OR(I904="",J904="",K904="",L904="",M904=""),"FAIL","PASS"))</x:f>
        <x:v>OPEN</x:v>
      </x:c>
    </x:row>
    <x:row r="905">
      <x:c r="B905" s="7" t="str">
        <x:v>CH-PEA-B-X1-06-5</x:v>
      </x:c>
      <x:c r="C905" s="7" t="str">
        <x:v>PEA-B-X1</x:v>
      </x:c>
      <x:c r="D905" s="7" t="str">
        <x:v>BLD-B</x:v>
      </x:c>
      <x:c r="E905" s="7" t="str">
        <x:v>BL-X</x:v>
      </x:c>
      <x:c r="F905" s="7" t="str">
        <x:v>MF-06</x:v>
      </x:c>
      <x:c r="G905" s="7" t="str">
        <x:v>pan level</x:v>
      </x:c>
      <x:c r="H905" s="7" t="n">
        <x:v>5</x:v>
      </x:c>
      <x:c r="I905" s="7" t="str"/>
      <x:c r="J905" s="7" t="str"/>
      <x:c r="K905" s="7" t="str"/>
      <x:c r="L905" s="7" t="str"/>
      <x:c r="M905" s="7" t="str"/>
      <x:c r="N905" s="7" t="str"/>
      <x:c r="O905" s="7" t="str">
        <x:f>IF(N905="","OPEN",IF(OR(I905="",J905="",K905="",L905="",M905=""),"FAIL","PASS"))</x:f>
        <x:v>OPEN</x:v>
      </x:c>
    </x:row>
    <x:row r="906">
      <x:c r="B906" s="7" t="str">
        <x:v>CH-PEA-B-X1-06-6</x:v>
      </x:c>
      <x:c r="C906" s="7" t="str">
        <x:v>PEA-B-X1</x:v>
      </x:c>
      <x:c r="D906" s="7" t="str">
        <x:v>BLD-B</x:v>
      </x:c>
      <x:c r="E906" s="7" t="str">
        <x:v>BL-X</x:v>
      </x:c>
      <x:c r="F906" s="7" t="str">
        <x:v>MF-06</x:v>
      </x:c>
      <x:c r="G906" s="7" t="str">
        <x:v>pan level</x:v>
      </x:c>
      <x:c r="H906" s="7" t="n">
        <x:v>6</x:v>
      </x:c>
      <x:c r="I906" s="7" t="str"/>
      <x:c r="J906" s="7" t="str"/>
      <x:c r="K906" s="7" t="str"/>
      <x:c r="L906" s="7" t="str"/>
      <x:c r="M906" s="7" t="str"/>
      <x:c r="N906" s="7" t="str"/>
      <x:c r="O906" s="7" t="str">
        <x:f>IF(N906="","OPEN",IF(OR(I906="",J906="",K906="",L906="",M906=""),"FAIL","PASS"))</x:f>
        <x:v>OPEN</x:v>
      </x:c>
    </x:row>
    <x:row r="907">
      <x:c r="B907" s="7" t="str">
        <x:v>CH-PEA-B-X1-07-1</x:v>
      </x:c>
      <x:c r="C907" s="7" t="str">
        <x:v>PEA-B-X1</x:v>
      </x:c>
      <x:c r="D907" s="7" t="str">
        <x:v>BLD-B</x:v>
      </x:c>
      <x:c r="E907" s="7" t="str">
        <x:v>BL-X</x:v>
      </x:c>
      <x:c r="F907" s="7" t="str">
        <x:v>MF-07</x:v>
      </x:c>
      <x:c r="G907" s="7" t="str">
        <x:v>normal receiver mass</x:v>
      </x:c>
      <x:c r="H907" s="7" t="n">
        <x:v>1</x:v>
      </x:c>
      <x:c r="I907" s="7" t="str"/>
      <x:c r="J907" s="7" t="str"/>
      <x:c r="K907" s="7" t="str"/>
      <x:c r="L907" s="7" t="str"/>
      <x:c r="M907" s="7" t="str"/>
      <x:c r="N907" s="7" t="str"/>
      <x:c r="O907" s="7" t="str">
        <x:f>IF(N907="","OPEN",IF(OR(I907="",J907="",K907="",L907="",M907=""),"FAIL","PASS"))</x:f>
        <x:v>OPEN</x:v>
      </x:c>
    </x:row>
    <x:row r="908">
      <x:c r="B908" s="7" t="str">
        <x:v>CH-PEA-B-X1-07-2</x:v>
      </x:c>
      <x:c r="C908" s="7" t="str">
        <x:v>PEA-B-X1</x:v>
      </x:c>
      <x:c r="D908" s="7" t="str">
        <x:v>BLD-B</x:v>
      </x:c>
      <x:c r="E908" s="7" t="str">
        <x:v>BL-X</x:v>
      </x:c>
      <x:c r="F908" s="7" t="str">
        <x:v>MF-07</x:v>
      </x:c>
      <x:c r="G908" s="7" t="str">
        <x:v>normal receiver mass</x:v>
      </x:c>
      <x:c r="H908" s="7" t="n">
        <x:v>2</x:v>
      </x:c>
      <x:c r="I908" s="7" t="str"/>
      <x:c r="J908" s="7" t="str"/>
      <x:c r="K908" s="7" t="str"/>
      <x:c r="L908" s="7" t="str"/>
      <x:c r="M908" s="7" t="str"/>
      <x:c r="N908" s="7" t="str"/>
      <x:c r="O908" s="7" t="str">
        <x:f>IF(N908="","OPEN",IF(OR(I908="",J908="",K908="",L908="",M908=""),"FAIL","PASS"))</x:f>
        <x:v>OPEN</x:v>
      </x:c>
    </x:row>
    <x:row r="909">
      <x:c r="B909" s="7" t="str">
        <x:v>CH-PEA-B-X1-07-3</x:v>
      </x:c>
      <x:c r="C909" s="7" t="str">
        <x:v>PEA-B-X1</x:v>
      </x:c>
      <x:c r="D909" s="7" t="str">
        <x:v>BLD-B</x:v>
      </x:c>
      <x:c r="E909" s="7" t="str">
        <x:v>BL-X</x:v>
      </x:c>
      <x:c r="F909" s="7" t="str">
        <x:v>MF-07</x:v>
      </x:c>
      <x:c r="G909" s="7" t="str">
        <x:v>normal receiver mass</x:v>
      </x:c>
      <x:c r="H909" s="7" t="n">
        <x:v>3</x:v>
      </x:c>
      <x:c r="I909" s="7" t="str"/>
      <x:c r="J909" s="7" t="str"/>
      <x:c r="K909" s="7" t="str"/>
      <x:c r="L909" s="7" t="str"/>
      <x:c r="M909" s="7" t="str"/>
      <x:c r="N909" s="7" t="str"/>
      <x:c r="O909" s="7" t="str">
        <x:f>IF(N909="","OPEN",IF(OR(I909="",J909="",K909="",L909="",M909=""),"FAIL","PASS"))</x:f>
        <x:v>OPEN</x:v>
      </x:c>
    </x:row>
    <x:row r="910">
      <x:c r="B910" s="7" t="str">
        <x:v>CH-PEA-B-X1-07-4</x:v>
      </x:c>
      <x:c r="C910" s="7" t="str">
        <x:v>PEA-B-X1</x:v>
      </x:c>
      <x:c r="D910" s="7" t="str">
        <x:v>BLD-B</x:v>
      </x:c>
      <x:c r="E910" s="7" t="str">
        <x:v>BL-X</x:v>
      </x:c>
      <x:c r="F910" s="7" t="str">
        <x:v>MF-07</x:v>
      </x:c>
      <x:c r="G910" s="7" t="str">
        <x:v>normal receiver mass</x:v>
      </x:c>
      <x:c r="H910" s="7" t="n">
        <x:v>4</x:v>
      </x:c>
      <x:c r="I910" s="7" t="str"/>
      <x:c r="J910" s="7" t="str"/>
      <x:c r="K910" s="7" t="str"/>
      <x:c r="L910" s="7" t="str"/>
      <x:c r="M910" s="7" t="str"/>
      <x:c r="N910" s="7" t="str"/>
      <x:c r="O910" s="7" t="str">
        <x:f>IF(N910="","OPEN",IF(OR(I910="",J910="",K910="",L910="",M910=""),"FAIL","PASS"))</x:f>
        <x:v>OPEN</x:v>
      </x:c>
    </x:row>
    <x:row r="911">
      <x:c r="B911" s="7" t="str">
        <x:v>CH-PEA-B-X1-07-5</x:v>
      </x:c>
      <x:c r="C911" s="7" t="str">
        <x:v>PEA-B-X1</x:v>
      </x:c>
      <x:c r="D911" s="7" t="str">
        <x:v>BLD-B</x:v>
      </x:c>
      <x:c r="E911" s="7" t="str">
        <x:v>BL-X</x:v>
      </x:c>
      <x:c r="F911" s="7" t="str">
        <x:v>MF-07</x:v>
      </x:c>
      <x:c r="G911" s="7" t="str">
        <x:v>normal receiver mass</x:v>
      </x:c>
      <x:c r="H911" s="7" t="n">
        <x:v>5</x:v>
      </x:c>
      <x:c r="I911" s="7" t="str"/>
      <x:c r="J911" s="7" t="str"/>
      <x:c r="K911" s="7" t="str"/>
      <x:c r="L911" s="7" t="str"/>
      <x:c r="M911" s="7" t="str"/>
      <x:c r="N911" s="7" t="str"/>
      <x:c r="O911" s="7" t="str">
        <x:f>IF(N911="","OPEN",IF(OR(I911="",J911="",K911="",L911="",M911=""),"FAIL","PASS"))</x:f>
        <x:v>OPEN</x:v>
      </x:c>
    </x:row>
    <x:row r="912">
      <x:c r="B912" s="7" t="str">
        <x:v>CH-PEA-B-X1-07-6</x:v>
      </x:c>
      <x:c r="C912" s="7" t="str">
        <x:v>PEA-B-X1</x:v>
      </x:c>
      <x:c r="D912" s="7" t="str">
        <x:v>BLD-B</x:v>
      </x:c>
      <x:c r="E912" s="7" t="str">
        <x:v>BL-X</x:v>
      </x:c>
      <x:c r="F912" s="7" t="str">
        <x:v>MF-07</x:v>
      </x:c>
      <x:c r="G912" s="7" t="str">
        <x:v>normal receiver mass</x:v>
      </x:c>
      <x:c r="H912" s="7" t="n">
        <x:v>6</x:v>
      </x:c>
      <x:c r="I912" s="7" t="str"/>
      <x:c r="J912" s="7" t="str"/>
      <x:c r="K912" s="7" t="str"/>
      <x:c r="L912" s="7" t="str"/>
      <x:c r="M912" s="7" t="str"/>
      <x:c r="N912" s="7" t="str"/>
      <x:c r="O912" s="7" t="str">
        <x:f>IF(N912="","OPEN",IF(OR(I912="",J912="",K912="",L912="",M912=""),"FAIL","PASS"))</x:f>
        <x:v>OPEN</x:v>
      </x:c>
    </x:row>
    <x:row r="913">
      <x:c r="B913" s="7" t="str">
        <x:v>CH-PEA-B-X1-08-1</x:v>
      </x:c>
      <x:c r="C913" s="7" t="str">
        <x:v>PEA-B-X1</x:v>
      </x:c>
      <x:c r="D913" s="7" t="str">
        <x:v>BLD-B</x:v>
      </x:c>
      <x:c r="E913" s="7" t="str">
        <x:v>BL-X</x:v>
      </x:c>
      <x:c r="F913" s="7" t="str">
        <x:v>MF-08</x:v>
      </x:c>
      <x:c r="G913" s="7" t="str">
        <x:v>casualty receiver mass</x:v>
      </x:c>
      <x:c r="H913" s="7" t="n">
        <x:v>1</x:v>
      </x:c>
      <x:c r="I913" s="7" t="str"/>
      <x:c r="J913" s="7" t="str"/>
      <x:c r="K913" s="7" t="str"/>
      <x:c r="L913" s="7" t="str"/>
      <x:c r="M913" s="7" t="str"/>
      <x:c r="N913" s="7" t="str"/>
      <x:c r="O913" s="7" t="str">
        <x:f>IF(N913="","OPEN",IF(OR(I913="",J913="",K913="",L913="",M913=""),"FAIL","PASS"))</x:f>
        <x:v>OPEN</x:v>
      </x:c>
    </x:row>
    <x:row r="914">
      <x:c r="B914" s="7" t="str">
        <x:v>CH-PEA-B-X1-08-2</x:v>
      </x:c>
      <x:c r="C914" s="7" t="str">
        <x:v>PEA-B-X1</x:v>
      </x:c>
      <x:c r="D914" s="7" t="str">
        <x:v>BLD-B</x:v>
      </x:c>
      <x:c r="E914" s="7" t="str">
        <x:v>BL-X</x:v>
      </x:c>
      <x:c r="F914" s="7" t="str">
        <x:v>MF-08</x:v>
      </x:c>
      <x:c r="G914" s="7" t="str">
        <x:v>casualty receiver mass</x:v>
      </x:c>
      <x:c r="H914" s="7" t="n">
        <x:v>2</x:v>
      </x:c>
      <x:c r="I914" s="7" t="str"/>
      <x:c r="J914" s="7" t="str"/>
      <x:c r="K914" s="7" t="str"/>
      <x:c r="L914" s="7" t="str"/>
      <x:c r="M914" s="7" t="str"/>
      <x:c r="N914" s="7" t="str"/>
      <x:c r="O914" s="7" t="str">
        <x:f>IF(N914="","OPEN",IF(OR(I914="",J914="",K914="",L914="",M914=""),"FAIL","PASS"))</x:f>
        <x:v>OPEN</x:v>
      </x:c>
    </x:row>
    <x:row r="915">
      <x:c r="B915" s="7" t="str">
        <x:v>CH-PEA-B-X1-08-3</x:v>
      </x:c>
      <x:c r="C915" s="7" t="str">
        <x:v>PEA-B-X1</x:v>
      </x:c>
      <x:c r="D915" s="7" t="str">
        <x:v>BLD-B</x:v>
      </x:c>
      <x:c r="E915" s="7" t="str">
        <x:v>BL-X</x:v>
      </x:c>
      <x:c r="F915" s="7" t="str">
        <x:v>MF-08</x:v>
      </x:c>
      <x:c r="G915" s="7" t="str">
        <x:v>casualty receiver mass</x:v>
      </x:c>
      <x:c r="H915" s="7" t="n">
        <x:v>3</x:v>
      </x:c>
      <x:c r="I915" s="7" t="str"/>
      <x:c r="J915" s="7" t="str"/>
      <x:c r="K915" s="7" t="str"/>
      <x:c r="L915" s="7" t="str"/>
      <x:c r="M915" s="7" t="str"/>
      <x:c r="N915" s="7" t="str"/>
      <x:c r="O915" s="7" t="str">
        <x:f>IF(N915="","OPEN",IF(OR(I915="",J915="",K915="",L915="",M915=""),"FAIL","PASS"))</x:f>
        <x:v>OPEN</x:v>
      </x:c>
    </x:row>
    <x:row r="916">
      <x:c r="B916" s="7" t="str">
        <x:v>CH-PEA-B-X1-08-4</x:v>
      </x:c>
      <x:c r="C916" s="7" t="str">
        <x:v>PEA-B-X1</x:v>
      </x:c>
      <x:c r="D916" s="7" t="str">
        <x:v>BLD-B</x:v>
      </x:c>
      <x:c r="E916" s="7" t="str">
        <x:v>BL-X</x:v>
      </x:c>
      <x:c r="F916" s="7" t="str">
        <x:v>MF-08</x:v>
      </x:c>
      <x:c r="G916" s="7" t="str">
        <x:v>casualty receiver mass</x:v>
      </x:c>
      <x:c r="H916" s="7" t="n">
        <x:v>4</x:v>
      </x:c>
      <x:c r="I916" s="7" t="str"/>
      <x:c r="J916" s="7" t="str"/>
      <x:c r="K916" s="7" t="str"/>
      <x:c r="L916" s="7" t="str"/>
      <x:c r="M916" s="7" t="str"/>
      <x:c r="N916" s="7" t="str"/>
      <x:c r="O916" s="7" t="str">
        <x:f>IF(N916="","OPEN",IF(OR(I916="",J916="",K916="",L916="",M916=""),"FAIL","PASS"))</x:f>
        <x:v>OPEN</x:v>
      </x:c>
    </x:row>
    <x:row r="917">
      <x:c r="B917" s="7" t="str">
        <x:v>CH-PEA-B-X1-08-5</x:v>
      </x:c>
      <x:c r="C917" s="7" t="str">
        <x:v>PEA-B-X1</x:v>
      </x:c>
      <x:c r="D917" s="7" t="str">
        <x:v>BLD-B</x:v>
      </x:c>
      <x:c r="E917" s="7" t="str">
        <x:v>BL-X</x:v>
      </x:c>
      <x:c r="F917" s="7" t="str">
        <x:v>MF-08</x:v>
      </x:c>
      <x:c r="G917" s="7" t="str">
        <x:v>casualty receiver mass</x:v>
      </x:c>
      <x:c r="H917" s="7" t="n">
        <x:v>5</x:v>
      </x:c>
      <x:c r="I917" s="7" t="str"/>
      <x:c r="J917" s="7" t="str"/>
      <x:c r="K917" s="7" t="str"/>
      <x:c r="L917" s="7" t="str"/>
      <x:c r="M917" s="7" t="str"/>
      <x:c r="N917" s="7" t="str"/>
      <x:c r="O917" s="7" t="str">
        <x:f>IF(N917="","OPEN",IF(OR(I917="",J917="",K917="",L917="",M917=""),"FAIL","PASS"))</x:f>
        <x:v>OPEN</x:v>
      </x:c>
    </x:row>
    <x:row r="918">
      <x:c r="B918" s="7" t="str">
        <x:v>CH-PEA-B-X1-08-6</x:v>
      </x:c>
      <x:c r="C918" s="7" t="str">
        <x:v>PEA-B-X1</x:v>
      </x:c>
      <x:c r="D918" s="7" t="str">
        <x:v>BLD-B</x:v>
      </x:c>
      <x:c r="E918" s="7" t="str">
        <x:v>BL-X</x:v>
      </x:c>
      <x:c r="F918" s="7" t="str">
        <x:v>MF-08</x:v>
      </x:c>
      <x:c r="G918" s="7" t="str">
        <x:v>casualty receiver mass</x:v>
      </x:c>
      <x:c r="H918" s="7" t="n">
        <x:v>6</x:v>
      </x:c>
      <x:c r="I918" s="7" t="str"/>
      <x:c r="J918" s="7" t="str"/>
      <x:c r="K918" s="7" t="str"/>
      <x:c r="L918" s="7" t="str"/>
      <x:c r="M918" s="7" t="str"/>
      <x:c r="N918" s="7" t="str"/>
      <x:c r="O918" s="7" t="str">
        <x:f>IF(N918="","OPEN",IF(OR(I918="",J918="",K918="",L918="",M918=""),"FAIL","PASS"))</x:f>
        <x:v>OPEN</x:v>
      </x:c>
    </x:row>
    <x:row r="919">
      <x:c r="B919" s="7" t="str">
        <x:v>CH-PEA-B-X1-09-1</x:v>
      </x:c>
      <x:c r="C919" s="7" t="str">
        <x:v>PEA-B-X1</x:v>
      </x:c>
      <x:c r="D919" s="7" t="str">
        <x:v>BLD-B</x:v>
      </x:c>
      <x:c r="E919" s="7" t="str">
        <x:v>BL-X</x:v>
      </x:c>
      <x:c r="F919" s="7" t="str">
        <x:v>MF-09</x:v>
      </x:c>
      <x:c r="G919" s="7" t="str">
        <x:v>geometry and slope</x:v>
      </x:c>
      <x:c r="H919" s="7" t="n">
        <x:v>1</x:v>
      </x:c>
      <x:c r="I919" s="7" t="str"/>
      <x:c r="J919" s="7" t="str"/>
      <x:c r="K919" s="7" t="str"/>
      <x:c r="L919" s="7" t="str"/>
      <x:c r="M919" s="7" t="str"/>
      <x:c r="N919" s="7" t="str"/>
      <x:c r="O919" s="7" t="str">
        <x:f>IF(N919="","OPEN",IF(OR(I919="",J919="",K919="",L919="",M919=""),"FAIL","PASS"))</x:f>
        <x:v>OPEN</x:v>
      </x:c>
    </x:row>
    <x:row r="920">
      <x:c r="B920" s="7" t="str">
        <x:v>CH-PEA-B-X1-09-2</x:v>
      </x:c>
      <x:c r="C920" s="7" t="str">
        <x:v>PEA-B-X1</x:v>
      </x:c>
      <x:c r="D920" s="7" t="str">
        <x:v>BLD-B</x:v>
      </x:c>
      <x:c r="E920" s="7" t="str">
        <x:v>BL-X</x:v>
      </x:c>
      <x:c r="F920" s="7" t="str">
        <x:v>MF-09</x:v>
      </x:c>
      <x:c r="G920" s="7" t="str">
        <x:v>geometry and slope</x:v>
      </x:c>
      <x:c r="H920" s="7" t="n">
        <x:v>2</x:v>
      </x:c>
      <x:c r="I920" s="7" t="str"/>
      <x:c r="J920" s="7" t="str"/>
      <x:c r="K920" s="7" t="str"/>
      <x:c r="L920" s="7" t="str"/>
      <x:c r="M920" s="7" t="str"/>
      <x:c r="N920" s="7" t="str"/>
      <x:c r="O920" s="7" t="str">
        <x:f>IF(N920="","OPEN",IF(OR(I920="",J920="",K920="",L920="",M920=""),"FAIL","PASS"))</x:f>
        <x:v>OPEN</x:v>
      </x:c>
    </x:row>
    <x:row r="921">
      <x:c r="B921" s="7" t="str">
        <x:v>CH-PEA-B-X1-09-3</x:v>
      </x:c>
      <x:c r="C921" s="7" t="str">
        <x:v>PEA-B-X1</x:v>
      </x:c>
      <x:c r="D921" s="7" t="str">
        <x:v>BLD-B</x:v>
      </x:c>
      <x:c r="E921" s="7" t="str">
        <x:v>BL-X</x:v>
      </x:c>
      <x:c r="F921" s="7" t="str">
        <x:v>MF-09</x:v>
      </x:c>
      <x:c r="G921" s="7" t="str">
        <x:v>geometry and slope</x:v>
      </x:c>
      <x:c r="H921" s="7" t="n">
        <x:v>3</x:v>
      </x:c>
      <x:c r="I921" s="7" t="str"/>
      <x:c r="J921" s="7" t="str"/>
      <x:c r="K921" s="7" t="str"/>
      <x:c r="L921" s="7" t="str"/>
      <x:c r="M921" s="7" t="str"/>
      <x:c r="N921" s="7" t="str"/>
      <x:c r="O921" s="7" t="str">
        <x:f>IF(N921="","OPEN",IF(OR(I921="",J921="",K921="",L921="",M921=""),"FAIL","PASS"))</x:f>
        <x:v>OPEN</x:v>
      </x:c>
    </x:row>
    <x:row r="922">
      <x:c r="B922" s="7" t="str">
        <x:v>CH-PEA-B-X1-09-4</x:v>
      </x:c>
      <x:c r="C922" s="7" t="str">
        <x:v>PEA-B-X1</x:v>
      </x:c>
      <x:c r="D922" s="7" t="str">
        <x:v>BLD-B</x:v>
      </x:c>
      <x:c r="E922" s="7" t="str">
        <x:v>BL-X</x:v>
      </x:c>
      <x:c r="F922" s="7" t="str">
        <x:v>MF-09</x:v>
      </x:c>
      <x:c r="G922" s="7" t="str">
        <x:v>geometry and slope</x:v>
      </x:c>
      <x:c r="H922" s="7" t="n">
        <x:v>4</x:v>
      </x:c>
      <x:c r="I922" s="7" t="str"/>
      <x:c r="J922" s="7" t="str"/>
      <x:c r="K922" s="7" t="str"/>
      <x:c r="L922" s="7" t="str"/>
      <x:c r="M922" s="7" t="str"/>
      <x:c r="N922" s="7" t="str"/>
      <x:c r="O922" s="7" t="str">
        <x:f>IF(N922="","OPEN",IF(OR(I922="",J922="",K922="",L922="",M922=""),"FAIL","PASS"))</x:f>
        <x:v>OPEN</x:v>
      </x:c>
    </x:row>
    <x:row r="923">
      <x:c r="B923" s="7" t="str">
        <x:v>CH-PEA-B-X1-09-5</x:v>
      </x:c>
      <x:c r="C923" s="7" t="str">
        <x:v>PEA-B-X1</x:v>
      </x:c>
      <x:c r="D923" s="7" t="str">
        <x:v>BLD-B</x:v>
      </x:c>
      <x:c r="E923" s="7" t="str">
        <x:v>BL-X</x:v>
      </x:c>
      <x:c r="F923" s="7" t="str">
        <x:v>MF-09</x:v>
      </x:c>
      <x:c r="G923" s="7" t="str">
        <x:v>geometry and slope</x:v>
      </x:c>
      <x:c r="H923" s="7" t="n">
        <x:v>5</x:v>
      </x:c>
      <x:c r="I923" s="7" t="str"/>
      <x:c r="J923" s="7" t="str"/>
      <x:c r="K923" s="7" t="str"/>
      <x:c r="L923" s="7" t="str"/>
      <x:c r="M923" s="7" t="str"/>
      <x:c r="N923" s="7" t="str"/>
      <x:c r="O923" s="7" t="str">
        <x:f>IF(N923="","OPEN",IF(OR(I923="",J923="",K923="",L923="",M923=""),"FAIL","PASS"))</x:f>
        <x:v>OPEN</x:v>
      </x:c>
    </x:row>
    <x:row r="924">
      <x:c r="B924" s="7" t="str">
        <x:v>CH-PEA-B-X1-09-6</x:v>
      </x:c>
      <x:c r="C924" s="7" t="str">
        <x:v>PEA-B-X1</x:v>
      </x:c>
      <x:c r="D924" s="7" t="str">
        <x:v>BLD-B</x:v>
      </x:c>
      <x:c r="E924" s="7" t="str">
        <x:v>BL-X</x:v>
      </x:c>
      <x:c r="F924" s="7" t="str">
        <x:v>MF-09</x:v>
      </x:c>
      <x:c r="G924" s="7" t="str">
        <x:v>geometry and slope</x:v>
      </x:c>
      <x:c r="H924" s="7" t="n">
        <x:v>6</x:v>
      </x:c>
      <x:c r="I924" s="7" t="str"/>
      <x:c r="J924" s="7" t="str"/>
      <x:c r="K924" s="7" t="str"/>
      <x:c r="L924" s="7" t="str"/>
      <x:c r="M924" s="7" t="str"/>
      <x:c r="N924" s="7" t="str"/>
      <x:c r="O924" s="7" t="str">
        <x:f>IF(N924="","OPEN",IF(OR(I924="",J924="",K924="",L924="",M924=""),"FAIL","PASS"))</x:f>
        <x:v>OPEN</x:v>
      </x:c>
    </x:row>
    <x:row r="925">
      <x:c r="B925" s="7" t="str">
        <x:v>CH-PEA-B-X1-10-1</x:v>
      </x:c>
      <x:c r="C925" s="7" t="str">
        <x:v>PEA-B-X1</x:v>
      </x:c>
      <x:c r="D925" s="7" t="str">
        <x:v>BLD-B</x:v>
      </x:c>
      <x:c r="E925" s="7" t="str">
        <x:v>BL-X</x:v>
      </x:c>
      <x:c r="F925" s="7" t="str">
        <x:v>MF-10</x:v>
      </x:c>
      <x:c r="G925" s="7" t="str">
        <x:v>normal-source path state</x:v>
      </x:c>
      <x:c r="H925" s="7" t="n">
        <x:v>1</x:v>
      </x:c>
      <x:c r="I925" s="7" t="str"/>
      <x:c r="J925" s="7" t="str"/>
      <x:c r="K925" s="7" t="str"/>
      <x:c r="L925" s="7" t="str"/>
      <x:c r="M925" s="7" t="str"/>
      <x:c r="N925" s="7" t="str"/>
      <x:c r="O925" s="7" t="str">
        <x:f>IF(N925="","OPEN",IF(OR(I925="",J925="",K925="",L925="",M925=""),"FAIL","PASS"))</x:f>
        <x:v>OPEN</x:v>
      </x:c>
    </x:row>
    <x:row r="926">
      <x:c r="B926" s="7" t="str">
        <x:v>CH-PEA-B-X1-10-2</x:v>
      </x:c>
      <x:c r="C926" s="7" t="str">
        <x:v>PEA-B-X1</x:v>
      </x:c>
      <x:c r="D926" s="7" t="str">
        <x:v>BLD-B</x:v>
      </x:c>
      <x:c r="E926" s="7" t="str">
        <x:v>BL-X</x:v>
      </x:c>
      <x:c r="F926" s="7" t="str">
        <x:v>MF-10</x:v>
      </x:c>
      <x:c r="G926" s="7" t="str">
        <x:v>normal-source path state</x:v>
      </x:c>
      <x:c r="H926" s="7" t="n">
        <x:v>2</x:v>
      </x:c>
      <x:c r="I926" s="7" t="str"/>
      <x:c r="J926" s="7" t="str"/>
      <x:c r="K926" s="7" t="str"/>
      <x:c r="L926" s="7" t="str"/>
      <x:c r="M926" s="7" t="str"/>
      <x:c r="N926" s="7" t="str"/>
      <x:c r="O926" s="7" t="str">
        <x:f>IF(N926="","OPEN",IF(OR(I926="",J926="",K926="",L926="",M926=""),"FAIL","PASS"))</x:f>
        <x:v>OPEN</x:v>
      </x:c>
    </x:row>
    <x:row r="927">
      <x:c r="B927" s="7" t="str">
        <x:v>CH-PEA-B-X1-10-3</x:v>
      </x:c>
      <x:c r="C927" s="7" t="str">
        <x:v>PEA-B-X1</x:v>
      </x:c>
      <x:c r="D927" s="7" t="str">
        <x:v>BLD-B</x:v>
      </x:c>
      <x:c r="E927" s="7" t="str">
        <x:v>BL-X</x:v>
      </x:c>
      <x:c r="F927" s="7" t="str">
        <x:v>MF-10</x:v>
      </x:c>
      <x:c r="G927" s="7" t="str">
        <x:v>normal-source path state</x:v>
      </x:c>
      <x:c r="H927" s="7" t="n">
        <x:v>3</x:v>
      </x:c>
      <x:c r="I927" s="7" t="str"/>
      <x:c r="J927" s="7" t="str"/>
      <x:c r="K927" s="7" t="str"/>
      <x:c r="L927" s="7" t="str"/>
      <x:c r="M927" s="7" t="str"/>
      <x:c r="N927" s="7" t="str"/>
      <x:c r="O927" s="7" t="str">
        <x:f>IF(N927="","OPEN",IF(OR(I927="",J927="",K927="",L927="",M927=""),"FAIL","PASS"))</x:f>
        <x:v>OPEN</x:v>
      </x:c>
    </x:row>
    <x:row r="928">
      <x:c r="B928" s="7" t="str">
        <x:v>CH-PEA-B-X1-10-4</x:v>
      </x:c>
      <x:c r="C928" s="7" t="str">
        <x:v>PEA-B-X1</x:v>
      </x:c>
      <x:c r="D928" s="7" t="str">
        <x:v>BLD-B</x:v>
      </x:c>
      <x:c r="E928" s="7" t="str">
        <x:v>BL-X</x:v>
      </x:c>
      <x:c r="F928" s="7" t="str">
        <x:v>MF-10</x:v>
      </x:c>
      <x:c r="G928" s="7" t="str">
        <x:v>normal-source path state</x:v>
      </x:c>
      <x:c r="H928" s="7" t="n">
        <x:v>4</x:v>
      </x:c>
      <x:c r="I928" s="7" t="str"/>
      <x:c r="J928" s="7" t="str"/>
      <x:c r="K928" s="7" t="str"/>
      <x:c r="L928" s="7" t="str"/>
      <x:c r="M928" s="7" t="str"/>
      <x:c r="N928" s="7" t="str"/>
      <x:c r="O928" s="7" t="str">
        <x:f>IF(N928="","OPEN",IF(OR(I928="",J928="",K928="",L928="",M928=""),"FAIL","PASS"))</x:f>
        <x:v>OPEN</x:v>
      </x:c>
    </x:row>
    <x:row r="929">
      <x:c r="B929" s="7" t="str">
        <x:v>CH-PEA-B-X1-10-5</x:v>
      </x:c>
      <x:c r="C929" s="7" t="str">
        <x:v>PEA-B-X1</x:v>
      </x:c>
      <x:c r="D929" s="7" t="str">
        <x:v>BLD-B</x:v>
      </x:c>
      <x:c r="E929" s="7" t="str">
        <x:v>BL-X</x:v>
      </x:c>
      <x:c r="F929" s="7" t="str">
        <x:v>MF-10</x:v>
      </x:c>
      <x:c r="G929" s="7" t="str">
        <x:v>normal-source path state</x:v>
      </x:c>
      <x:c r="H929" s="7" t="n">
        <x:v>5</x:v>
      </x:c>
      <x:c r="I929" s="7" t="str"/>
      <x:c r="J929" s="7" t="str"/>
      <x:c r="K929" s="7" t="str"/>
      <x:c r="L929" s="7" t="str"/>
      <x:c r="M929" s="7" t="str"/>
      <x:c r="N929" s="7" t="str"/>
      <x:c r="O929" s="7" t="str">
        <x:f>IF(N929="","OPEN",IF(OR(I929="",J929="",K929="",L929="",M929=""),"FAIL","PASS"))</x:f>
        <x:v>OPEN</x:v>
      </x:c>
    </x:row>
    <x:row r="930">
      <x:c r="B930" s="7" t="str">
        <x:v>CH-PEA-B-X1-10-6</x:v>
      </x:c>
      <x:c r="C930" s="7" t="str">
        <x:v>PEA-B-X1</x:v>
      </x:c>
      <x:c r="D930" s="7" t="str">
        <x:v>BLD-B</x:v>
      </x:c>
      <x:c r="E930" s="7" t="str">
        <x:v>BL-X</x:v>
      </x:c>
      <x:c r="F930" s="7" t="str">
        <x:v>MF-10</x:v>
      </x:c>
      <x:c r="G930" s="7" t="str">
        <x:v>normal-source path state</x:v>
      </x:c>
      <x:c r="H930" s="7" t="n">
        <x:v>6</x:v>
      </x:c>
      <x:c r="I930" s="7" t="str"/>
      <x:c r="J930" s="7" t="str"/>
      <x:c r="K930" s="7" t="str"/>
      <x:c r="L930" s="7" t="str"/>
      <x:c r="M930" s="7" t="str"/>
      <x:c r="N930" s="7" t="str"/>
      <x:c r="O930" s="7" t="str">
        <x:f>IF(N930="","OPEN",IF(OR(I930="",J930="",K930="",L930="",M930=""),"FAIL","PASS"))</x:f>
        <x:v>OPEN</x:v>
      </x:c>
    </x:row>
    <x:row r="931">
      <x:c r="B931" s="7" t="str">
        <x:v>CH-PEA-B-X1-11-1</x:v>
      </x:c>
      <x:c r="C931" s="7" t="str">
        <x:v>PEA-B-X1</x:v>
      </x:c>
      <x:c r="D931" s="7" t="str">
        <x:v>BLD-B</x:v>
      </x:c>
      <x:c r="E931" s="7" t="str">
        <x:v>BL-X</x:v>
      </x:c>
      <x:c r="F931" s="7" t="str">
        <x:v>MF-11</x:v>
      </x:c>
      <x:c r="G931" s="7" t="str">
        <x:v>casualty-source path state</x:v>
      </x:c>
      <x:c r="H931" s="7" t="n">
        <x:v>1</x:v>
      </x:c>
      <x:c r="I931" s="7" t="str"/>
      <x:c r="J931" s="7" t="str"/>
      <x:c r="K931" s="7" t="str"/>
      <x:c r="L931" s="7" t="str"/>
      <x:c r="M931" s="7" t="str"/>
      <x:c r="N931" s="7" t="str"/>
      <x:c r="O931" s="7" t="str">
        <x:f>IF(N931="","OPEN",IF(OR(I931="",J931="",K931="",L931="",M931=""),"FAIL","PASS"))</x:f>
        <x:v>OPEN</x:v>
      </x:c>
    </x:row>
    <x:row r="932">
      <x:c r="B932" s="7" t="str">
        <x:v>CH-PEA-B-X1-11-2</x:v>
      </x:c>
      <x:c r="C932" s="7" t="str">
        <x:v>PEA-B-X1</x:v>
      </x:c>
      <x:c r="D932" s="7" t="str">
        <x:v>BLD-B</x:v>
      </x:c>
      <x:c r="E932" s="7" t="str">
        <x:v>BL-X</x:v>
      </x:c>
      <x:c r="F932" s="7" t="str">
        <x:v>MF-11</x:v>
      </x:c>
      <x:c r="G932" s="7" t="str">
        <x:v>casualty-source path state</x:v>
      </x:c>
      <x:c r="H932" s="7" t="n">
        <x:v>2</x:v>
      </x:c>
      <x:c r="I932" s="7" t="str"/>
      <x:c r="J932" s="7" t="str"/>
      <x:c r="K932" s="7" t="str"/>
      <x:c r="L932" s="7" t="str"/>
      <x:c r="M932" s="7" t="str"/>
      <x:c r="N932" s="7" t="str"/>
      <x:c r="O932" s="7" t="str">
        <x:f>IF(N932="","OPEN",IF(OR(I932="",J932="",K932="",L932="",M932=""),"FAIL","PASS"))</x:f>
        <x:v>OPEN</x:v>
      </x:c>
    </x:row>
    <x:row r="933">
      <x:c r="B933" s="7" t="str">
        <x:v>CH-PEA-B-X1-11-3</x:v>
      </x:c>
      <x:c r="C933" s="7" t="str">
        <x:v>PEA-B-X1</x:v>
      </x:c>
      <x:c r="D933" s="7" t="str">
        <x:v>BLD-B</x:v>
      </x:c>
      <x:c r="E933" s="7" t="str">
        <x:v>BL-X</x:v>
      </x:c>
      <x:c r="F933" s="7" t="str">
        <x:v>MF-11</x:v>
      </x:c>
      <x:c r="G933" s="7" t="str">
        <x:v>casualty-source path state</x:v>
      </x:c>
      <x:c r="H933" s="7" t="n">
        <x:v>3</x:v>
      </x:c>
      <x:c r="I933" s="7" t="str"/>
      <x:c r="J933" s="7" t="str"/>
      <x:c r="K933" s="7" t="str"/>
      <x:c r="L933" s="7" t="str"/>
      <x:c r="M933" s="7" t="str"/>
      <x:c r="N933" s="7" t="str"/>
      <x:c r="O933" s="7" t="str">
        <x:f>IF(N933="","OPEN",IF(OR(I933="",J933="",K933="",L933="",M933=""),"FAIL","PASS"))</x:f>
        <x:v>OPEN</x:v>
      </x:c>
    </x:row>
    <x:row r="934">
      <x:c r="B934" s="7" t="str">
        <x:v>CH-PEA-B-X1-11-4</x:v>
      </x:c>
      <x:c r="C934" s="7" t="str">
        <x:v>PEA-B-X1</x:v>
      </x:c>
      <x:c r="D934" s="7" t="str">
        <x:v>BLD-B</x:v>
      </x:c>
      <x:c r="E934" s="7" t="str">
        <x:v>BL-X</x:v>
      </x:c>
      <x:c r="F934" s="7" t="str">
        <x:v>MF-11</x:v>
      </x:c>
      <x:c r="G934" s="7" t="str">
        <x:v>casualty-source path state</x:v>
      </x:c>
      <x:c r="H934" s="7" t="n">
        <x:v>4</x:v>
      </x:c>
      <x:c r="I934" s="7" t="str"/>
      <x:c r="J934" s="7" t="str"/>
      <x:c r="K934" s="7" t="str"/>
      <x:c r="L934" s="7" t="str"/>
      <x:c r="M934" s="7" t="str"/>
      <x:c r="N934" s="7" t="str"/>
      <x:c r="O934" s="7" t="str">
        <x:f>IF(N934="","OPEN",IF(OR(I934="",J934="",K934="",L934="",M934=""),"FAIL","PASS"))</x:f>
        <x:v>OPEN</x:v>
      </x:c>
    </x:row>
    <x:row r="935">
      <x:c r="B935" s="7" t="str">
        <x:v>CH-PEA-B-X1-11-5</x:v>
      </x:c>
      <x:c r="C935" s="7" t="str">
        <x:v>PEA-B-X1</x:v>
      </x:c>
      <x:c r="D935" s="7" t="str">
        <x:v>BLD-B</x:v>
      </x:c>
      <x:c r="E935" s="7" t="str">
        <x:v>BL-X</x:v>
      </x:c>
      <x:c r="F935" s="7" t="str">
        <x:v>MF-11</x:v>
      </x:c>
      <x:c r="G935" s="7" t="str">
        <x:v>casualty-source path state</x:v>
      </x:c>
      <x:c r="H935" s="7" t="n">
        <x:v>5</x:v>
      </x:c>
      <x:c r="I935" s="7" t="str"/>
      <x:c r="J935" s="7" t="str"/>
      <x:c r="K935" s="7" t="str"/>
      <x:c r="L935" s="7" t="str"/>
      <x:c r="M935" s="7" t="str"/>
      <x:c r="N935" s="7" t="str"/>
      <x:c r="O935" s="7" t="str">
        <x:f>IF(N935="","OPEN",IF(OR(I935="",J935="",K935="",L935="",M935=""),"FAIL","PASS"))</x:f>
        <x:v>OPEN</x:v>
      </x:c>
    </x:row>
    <x:row r="936">
      <x:c r="B936" s="7" t="str">
        <x:v>CH-PEA-B-X1-11-6</x:v>
      </x:c>
      <x:c r="C936" s="7" t="str">
        <x:v>PEA-B-X1</x:v>
      </x:c>
      <x:c r="D936" s="7" t="str">
        <x:v>BLD-B</x:v>
      </x:c>
      <x:c r="E936" s="7" t="str">
        <x:v>BL-X</x:v>
      </x:c>
      <x:c r="F936" s="7" t="str">
        <x:v>MF-11</x:v>
      </x:c>
      <x:c r="G936" s="7" t="str">
        <x:v>casualty-source path state</x:v>
      </x:c>
      <x:c r="H936" s="7" t="n">
        <x:v>6</x:v>
      </x:c>
      <x:c r="I936" s="7" t="str"/>
      <x:c r="J936" s="7" t="str"/>
      <x:c r="K936" s="7" t="str"/>
      <x:c r="L936" s="7" t="str"/>
      <x:c r="M936" s="7" t="str"/>
      <x:c r="N936" s="7" t="str"/>
      <x:c r="O936" s="7" t="str">
        <x:f>IF(N936="","OPEN",IF(OR(I936="",J936="",K936="",L936="",M936=""),"FAIL","PASS"))</x:f>
        <x:v>OPEN</x:v>
      </x:c>
    </x:row>
    <x:row r="937">
      <x:c r="B937" s="7" t="str">
        <x:v>CH-PEA-B-X1-12-1</x:v>
      </x:c>
      <x:c r="C937" s="7" t="str">
        <x:v>PEA-B-X1</x:v>
      </x:c>
      <x:c r="D937" s="7" t="str">
        <x:v>BLD-B</x:v>
      </x:c>
      <x:c r="E937" s="7" t="str">
        <x:v>BL-X</x:v>
      </x:c>
      <x:c r="F937" s="7" t="str">
        <x:v>MF-12</x:v>
      </x:c>
      <x:c r="G937" s="7" t="str">
        <x:v>candidate-water path state</x:v>
      </x:c>
      <x:c r="H937" s="7" t="n">
        <x:v>1</x:v>
      </x:c>
      <x:c r="I937" s="7" t="str"/>
      <x:c r="J937" s="7" t="str"/>
      <x:c r="K937" s="7" t="str"/>
      <x:c r="L937" s="7" t="str"/>
      <x:c r="M937" s="7" t="str"/>
      <x:c r="N937" s="7" t="str"/>
      <x:c r="O937" s="7" t="str">
        <x:f>IF(N937="","OPEN",IF(OR(I937="",J937="",K937="",L937="",M937=""),"FAIL","PASS"))</x:f>
        <x:v>OPEN</x:v>
      </x:c>
    </x:row>
    <x:row r="938">
      <x:c r="B938" s="7" t="str">
        <x:v>CH-PEA-B-X1-12-2</x:v>
      </x:c>
      <x:c r="C938" s="7" t="str">
        <x:v>PEA-B-X1</x:v>
      </x:c>
      <x:c r="D938" s="7" t="str">
        <x:v>BLD-B</x:v>
      </x:c>
      <x:c r="E938" s="7" t="str">
        <x:v>BL-X</x:v>
      </x:c>
      <x:c r="F938" s="7" t="str">
        <x:v>MF-12</x:v>
      </x:c>
      <x:c r="G938" s="7" t="str">
        <x:v>candidate-water path state</x:v>
      </x:c>
      <x:c r="H938" s="7" t="n">
        <x:v>2</x:v>
      </x:c>
      <x:c r="I938" s="7" t="str"/>
      <x:c r="J938" s="7" t="str"/>
      <x:c r="K938" s="7" t="str"/>
      <x:c r="L938" s="7" t="str"/>
      <x:c r="M938" s="7" t="str"/>
      <x:c r="N938" s="7" t="str"/>
      <x:c r="O938" s="7" t="str">
        <x:f>IF(N938="","OPEN",IF(OR(I938="",J938="",K938="",L938="",M938=""),"FAIL","PASS"))</x:f>
        <x:v>OPEN</x:v>
      </x:c>
    </x:row>
    <x:row r="939">
      <x:c r="B939" s="7" t="str">
        <x:v>CH-PEA-B-X1-12-3</x:v>
      </x:c>
      <x:c r="C939" s="7" t="str">
        <x:v>PEA-B-X1</x:v>
      </x:c>
      <x:c r="D939" s="7" t="str">
        <x:v>BLD-B</x:v>
      </x:c>
      <x:c r="E939" s="7" t="str">
        <x:v>BL-X</x:v>
      </x:c>
      <x:c r="F939" s="7" t="str">
        <x:v>MF-12</x:v>
      </x:c>
      <x:c r="G939" s="7" t="str">
        <x:v>candidate-water path state</x:v>
      </x:c>
      <x:c r="H939" s="7" t="n">
        <x:v>3</x:v>
      </x:c>
      <x:c r="I939" s="7" t="str"/>
      <x:c r="J939" s="7" t="str"/>
      <x:c r="K939" s="7" t="str"/>
      <x:c r="L939" s="7" t="str"/>
      <x:c r="M939" s="7" t="str"/>
      <x:c r="N939" s="7" t="str"/>
      <x:c r="O939" s="7" t="str">
        <x:f>IF(N939="","OPEN",IF(OR(I939="",J939="",K939="",L939="",M939=""),"FAIL","PASS"))</x:f>
        <x:v>OPEN</x:v>
      </x:c>
    </x:row>
    <x:row r="940">
      <x:c r="B940" s="7" t="str">
        <x:v>CH-PEA-B-X1-12-4</x:v>
      </x:c>
      <x:c r="C940" s="7" t="str">
        <x:v>PEA-B-X1</x:v>
      </x:c>
      <x:c r="D940" s="7" t="str">
        <x:v>BLD-B</x:v>
      </x:c>
      <x:c r="E940" s="7" t="str">
        <x:v>BL-X</x:v>
      </x:c>
      <x:c r="F940" s="7" t="str">
        <x:v>MF-12</x:v>
      </x:c>
      <x:c r="G940" s="7" t="str">
        <x:v>candidate-water path state</x:v>
      </x:c>
      <x:c r="H940" s="7" t="n">
        <x:v>4</x:v>
      </x:c>
      <x:c r="I940" s="7" t="str"/>
      <x:c r="J940" s="7" t="str"/>
      <x:c r="K940" s="7" t="str"/>
      <x:c r="L940" s="7" t="str"/>
      <x:c r="M940" s="7" t="str"/>
      <x:c r="N940" s="7" t="str"/>
      <x:c r="O940" s="7" t="str">
        <x:f>IF(N940="","OPEN",IF(OR(I940="",J940="",K940="",L940="",M940=""),"FAIL","PASS"))</x:f>
        <x:v>OPEN</x:v>
      </x:c>
    </x:row>
    <x:row r="941">
      <x:c r="B941" s="7" t="str">
        <x:v>CH-PEA-B-X1-12-5</x:v>
      </x:c>
      <x:c r="C941" s="7" t="str">
        <x:v>PEA-B-X1</x:v>
      </x:c>
      <x:c r="D941" s="7" t="str">
        <x:v>BLD-B</x:v>
      </x:c>
      <x:c r="E941" s="7" t="str">
        <x:v>BL-X</x:v>
      </x:c>
      <x:c r="F941" s="7" t="str">
        <x:v>MF-12</x:v>
      </x:c>
      <x:c r="G941" s="7" t="str">
        <x:v>candidate-water path state</x:v>
      </x:c>
      <x:c r="H941" s="7" t="n">
        <x:v>5</x:v>
      </x:c>
      <x:c r="I941" s="7" t="str"/>
      <x:c r="J941" s="7" t="str"/>
      <x:c r="K941" s="7" t="str"/>
      <x:c r="L941" s="7" t="str"/>
      <x:c r="M941" s="7" t="str"/>
      <x:c r="N941" s="7" t="str"/>
      <x:c r="O941" s="7" t="str">
        <x:f>IF(N941="","OPEN",IF(OR(I941="",J941="",K941="",L941="",M941=""),"FAIL","PASS"))</x:f>
        <x:v>OPEN</x:v>
      </x:c>
    </x:row>
    <x:row r="942">
      <x:c r="B942" s="7" t="str">
        <x:v>CH-PEA-B-X1-12-6</x:v>
      </x:c>
      <x:c r="C942" s="7" t="str">
        <x:v>PEA-B-X1</x:v>
      </x:c>
      <x:c r="D942" s="7" t="str">
        <x:v>BLD-B</x:v>
      </x:c>
      <x:c r="E942" s="7" t="str">
        <x:v>BL-X</x:v>
      </x:c>
      <x:c r="F942" s="7" t="str">
        <x:v>MF-12</x:v>
      </x:c>
      <x:c r="G942" s="7" t="str">
        <x:v>candidate-water path state</x:v>
      </x:c>
      <x:c r="H942" s="7" t="n">
        <x:v>6</x:v>
      </x:c>
      <x:c r="I942" s="7" t="str"/>
      <x:c r="J942" s="7" t="str"/>
      <x:c r="K942" s="7" t="str"/>
      <x:c r="L942" s="7" t="str"/>
      <x:c r="M942" s="7" t="str"/>
      <x:c r="N942" s="7" t="str"/>
      <x:c r="O942" s="7" t="str">
        <x:f>IF(N942="","OPEN",IF(OR(I942="",J942="",K942="",L942="",M942=""),"FAIL","PASS"))</x:f>
        <x:v>OPEN</x:v>
      </x:c>
    </x:row>
    <x:row r="943">
      <x:c r="B943" s="7" t="str">
        <x:v>CH-PEA-B-X1-13-1</x:v>
      </x:c>
      <x:c r="C943" s="7" t="str">
        <x:v>PEA-B-X1</x:v>
      </x:c>
      <x:c r="D943" s="7" t="str">
        <x:v>BLD-B</x:v>
      </x:c>
      <x:c r="E943" s="7" t="str">
        <x:v>BL-X</x:v>
      </x:c>
      <x:c r="F943" s="7" t="str">
        <x:v>MF-13</x:v>
      </x:c>
      <x:c r="G943" s="7" t="str">
        <x:v>final-element reference</x:v>
      </x:c>
      <x:c r="H943" s="7" t="n">
        <x:v>1</x:v>
      </x:c>
      <x:c r="I943" s="7" t="str"/>
      <x:c r="J943" s="7" t="str"/>
      <x:c r="K943" s="7" t="str"/>
      <x:c r="L943" s="7" t="str"/>
      <x:c r="M943" s="7" t="str"/>
      <x:c r="N943" s="7" t="str"/>
      <x:c r="O943" s="7" t="str">
        <x:f>IF(N943="","OPEN",IF(OR(I943="",J943="",K943="",L943="",M943=""),"FAIL","PASS"))</x:f>
        <x:v>OPEN</x:v>
      </x:c>
    </x:row>
    <x:row r="944">
      <x:c r="B944" s="7" t="str">
        <x:v>CH-PEA-B-X1-13-2</x:v>
      </x:c>
      <x:c r="C944" s="7" t="str">
        <x:v>PEA-B-X1</x:v>
      </x:c>
      <x:c r="D944" s="7" t="str">
        <x:v>BLD-B</x:v>
      </x:c>
      <x:c r="E944" s="7" t="str">
        <x:v>BL-X</x:v>
      </x:c>
      <x:c r="F944" s="7" t="str">
        <x:v>MF-13</x:v>
      </x:c>
      <x:c r="G944" s="7" t="str">
        <x:v>final-element reference</x:v>
      </x:c>
      <x:c r="H944" s="7" t="n">
        <x:v>2</x:v>
      </x:c>
      <x:c r="I944" s="7" t="str"/>
      <x:c r="J944" s="7" t="str"/>
      <x:c r="K944" s="7" t="str"/>
      <x:c r="L944" s="7" t="str"/>
      <x:c r="M944" s="7" t="str"/>
      <x:c r="N944" s="7" t="str"/>
      <x:c r="O944" s="7" t="str">
        <x:f>IF(N944="","OPEN",IF(OR(I944="",J944="",K944="",L944="",M944=""),"FAIL","PASS"))</x:f>
        <x:v>OPEN</x:v>
      </x:c>
    </x:row>
    <x:row r="945">
      <x:c r="B945" s="7" t="str">
        <x:v>CH-PEA-B-X1-13-3</x:v>
      </x:c>
      <x:c r="C945" s="7" t="str">
        <x:v>PEA-B-X1</x:v>
      </x:c>
      <x:c r="D945" s="7" t="str">
        <x:v>BLD-B</x:v>
      </x:c>
      <x:c r="E945" s="7" t="str">
        <x:v>BL-X</x:v>
      </x:c>
      <x:c r="F945" s="7" t="str">
        <x:v>MF-13</x:v>
      </x:c>
      <x:c r="G945" s="7" t="str">
        <x:v>final-element reference</x:v>
      </x:c>
      <x:c r="H945" s="7" t="n">
        <x:v>3</x:v>
      </x:c>
      <x:c r="I945" s="7" t="str"/>
      <x:c r="J945" s="7" t="str"/>
      <x:c r="K945" s="7" t="str"/>
      <x:c r="L945" s="7" t="str"/>
      <x:c r="M945" s="7" t="str"/>
      <x:c r="N945" s="7" t="str"/>
      <x:c r="O945" s="7" t="str">
        <x:f>IF(N945="","OPEN",IF(OR(I945="",J945="",K945="",L945="",M945=""),"FAIL","PASS"))</x:f>
        <x:v>OPEN</x:v>
      </x:c>
    </x:row>
    <x:row r="946">
      <x:c r="B946" s="7" t="str">
        <x:v>CH-PEA-B-X1-13-4</x:v>
      </x:c>
      <x:c r="C946" s="7" t="str">
        <x:v>PEA-B-X1</x:v>
      </x:c>
      <x:c r="D946" s="7" t="str">
        <x:v>BLD-B</x:v>
      </x:c>
      <x:c r="E946" s="7" t="str">
        <x:v>BL-X</x:v>
      </x:c>
      <x:c r="F946" s="7" t="str">
        <x:v>MF-13</x:v>
      </x:c>
      <x:c r="G946" s="7" t="str">
        <x:v>final-element reference</x:v>
      </x:c>
      <x:c r="H946" s="7" t="n">
        <x:v>4</x:v>
      </x:c>
      <x:c r="I946" s="7" t="str"/>
      <x:c r="J946" s="7" t="str"/>
      <x:c r="K946" s="7" t="str"/>
      <x:c r="L946" s="7" t="str"/>
      <x:c r="M946" s="7" t="str"/>
      <x:c r="N946" s="7" t="str"/>
      <x:c r="O946" s="7" t="str">
        <x:f>IF(N946="","OPEN",IF(OR(I946="",J946="",K946="",L946="",M946=""),"FAIL","PASS"))</x:f>
        <x:v>OPEN</x:v>
      </x:c>
    </x:row>
    <x:row r="947">
      <x:c r="B947" s="7" t="str">
        <x:v>CH-PEA-B-X1-13-5</x:v>
      </x:c>
      <x:c r="C947" s="7" t="str">
        <x:v>PEA-B-X1</x:v>
      </x:c>
      <x:c r="D947" s="7" t="str">
        <x:v>BLD-B</x:v>
      </x:c>
      <x:c r="E947" s="7" t="str">
        <x:v>BL-X</x:v>
      </x:c>
      <x:c r="F947" s="7" t="str">
        <x:v>MF-13</x:v>
      </x:c>
      <x:c r="G947" s="7" t="str">
        <x:v>final-element reference</x:v>
      </x:c>
      <x:c r="H947" s="7" t="n">
        <x:v>5</x:v>
      </x:c>
      <x:c r="I947" s="7" t="str"/>
      <x:c r="J947" s="7" t="str"/>
      <x:c r="K947" s="7" t="str"/>
      <x:c r="L947" s="7" t="str"/>
      <x:c r="M947" s="7" t="str"/>
      <x:c r="N947" s="7" t="str"/>
      <x:c r="O947" s="7" t="str">
        <x:f>IF(N947="","OPEN",IF(OR(I947="",J947="",K947="",L947="",M947=""),"FAIL","PASS"))</x:f>
        <x:v>OPEN</x:v>
      </x:c>
    </x:row>
    <x:row r="948">
      <x:c r="B948" s="7" t="str">
        <x:v>CH-PEA-B-X1-13-6</x:v>
      </x:c>
      <x:c r="C948" s="7" t="str">
        <x:v>PEA-B-X1</x:v>
      </x:c>
      <x:c r="D948" s="7" t="str">
        <x:v>BLD-B</x:v>
      </x:c>
      <x:c r="E948" s="7" t="str">
        <x:v>BL-X</x:v>
      </x:c>
      <x:c r="F948" s="7" t="str">
        <x:v>MF-13</x:v>
      </x:c>
      <x:c r="G948" s="7" t="str">
        <x:v>final-element reference</x:v>
      </x:c>
      <x:c r="H948" s="7" t="n">
        <x:v>6</x:v>
      </x:c>
      <x:c r="I948" s="7" t="str"/>
      <x:c r="J948" s="7" t="str"/>
      <x:c r="K948" s="7" t="str"/>
      <x:c r="L948" s="7" t="str"/>
      <x:c r="M948" s="7" t="str"/>
      <x:c r="N948" s="7" t="str"/>
      <x:c r="O948" s="7" t="str">
        <x:f>IF(N948="","OPEN",IF(OR(I948="",J948="",K948="",L948="",M948=""),"FAIL","PASS"))</x:f>
        <x:v>OPEN</x:v>
      </x:c>
    </x:row>
    <x:row r="949">
      <x:c r="B949" s="7" t="str">
        <x:v>CH-PEA-B-X1-14-1</x:v>
      </x:c>
      <x:c r="C949" s="7" t="str">
        <x:v>PEA-B-X1</x:v>
      </x:c>
      <x:c r="D949" s="7" t="str">
        <x:v>BLD-B</x:v>
      </x:c>
      <x:c r="E949" s="7" t="str">
        <x:v>BL-X</x:v>
      </x:c>
      <x:c r="F949" s="7" t="str">
        <x:v>MF-14</x:v>
      </x:c>
      <x:c r="G949" s="7" t="str">
        <x:v>causal time</x:v>
      </x:c>
      <x:c r="H949" s="7" t="n">
        <x:v>1</x:v>
      </x:c>
      <x:c r="I949" s="7" t="str"/>
      <x:c r="J949" s="7" t="str"/>
      <x:c r="K949" s="7" t="str"/>
      <x:c r="L949" s="7" t="str"/>
      <x:c r="M949" s="7" t="str"/>
      <x:c r="N949" s="7" t="str"/>
      <x:c r="O949" s="7" t="str">
        <x:f>IF(N949="","OPEN",IF(OR(I949="",J949="",K949="",L949="",M949=""),"FAIL","PASS"))</x:f>
        <x:v>OPEN</x:v>
      </x:c>
    </x:row>
    <x:row r="950">
      <x:c r="B950" s="7" t="str">
        <x:v>CH-PEA-B-X1-14-2</x:v>
      </x:c>
      <x:c r="C950" s="7" t="str">
        <x:v>PEA-B-X1</x:v>
      </x:c>
      <x:c r="D950" s="7" t="str">
        <x:v>BLD-B</x:v>
      </x:c>
      <x:c r="E950" s="7" t="str">
        <x:v>BL-X</x:v>
      </x:c>
      <x:c r="F950" s="7" t="str">
        <x:v>MF-14</x:v>
      </x:c>
      <x:c r="G950" s="7" t="str">
        <x:v>causal time</x:v>
      </x:c>
      <x:c r="H950" s="7" t="n">
        <x:v>2</x:v>
      </x:c>
      <x:c r="I950" s="7" t="str"/>
      <x:c r="J950" s="7" t="str"/>
      <x:c r="K950" s="7" t="str"/>
      <x:c r="L950" s="7" t="str"/>
      <x:c r="M950" s="7" t="str"/>
      <x:c r="N950" s="7" t="str"/>
      <x:c r="O950" s="7" t="str">
        <x:f>IF(N950="","OPEN",IF(OR(I950="",J950="",K950="",L950="",M950=""),"FAIL","PASS"))</x:f>
        <x:v>OPEN</x:v>
      </x:c>
    </x:row>
    <x:row r="951">
      <x:c r="B951" s="7" t="str">
        <x:v>CH-PEA-B-X1-14-3</x:v>
      </x:c>
      <x:c r="C951" s="7" t="str">
        <x:v>PEA-B-X1</x:v>
      </x:c>
      <x:c r="D951" s="7" t="str">
        <x:v>BLD-B</x:v>
      </x:c>
      <x:c r="E951" s="7" t="str">
        <x:v>BL-X</x:v>
      </x:c>
      <x:c r="F951" s="7" t="str">
        <x:v>MF-14</x:v>
      </x:c>
      <x:c r="G951" s="7" t="str">
        <x:v>causal time</x:v>
      </x:c>
      <x:c r="H951" s="7" t="n">
        <x:v>3</x:v>
      </x:c>
      <x:c r="I951" s="7" t="str"/>
      <x:c r="J951" s="7" t="str"/>
      <x:c r="K951" s="7" t="str"/>
      <x:c r="L951" s="7" t="str"/>
      <x:c r="M951" s="7" t="str"/>
      <x:c r="N951" s="7" t="str"/>
      <x:c r="O951" s="7" t="str">
        <x:f>IF(N951="","OPEN",IF(OR(I951="",J951="",K951="",L951="",M951=""),"FAIL","PASS"))</x:f>
        <x:v>OPEN</x:v>
      </x:c>
    </x:row>
    <x:row r="952">
      <x:c r="B952" s="7" t="str">
        <x:v>CH-PEA-B-X1-14-4</x:v>
      </x:c>
      <x:c r="C952" s="7" t="str">
        <x:v>PEA-B-X1</x:v>
      </x:c>
      <x:c r="D952" s="7" t="str">
        <x:v>BLD-B</x:v>
      </x:c>
      <x:c r="E952" s="7" t="str">
        <x:v>BL-X</x:v>
      </x:c>
      <x:c r="F952" s="7" t="str">
        <x:v>MF-14</x:v>
      </x:c>
      <x:c r="G952" s="7" t="str">
        <x:v>causal time</x:v>
      </x:c>
      <x:c r="H952" s="7" t="n">
        <x:v>4</x:v>
      </x:c>
      <x:c r="I952" s="7" t="str"/>
      <x:c r="J952" s="7" t="str"/>
      <x:c r="K952" s="7" t="str"/>
      <x:c r="L952" s="7" t="str"/>
      <x:c r="M952" s="7" t="str"/>
      <x:c r="N952" s="7" t="str"/>
      <x:c r="O952" s="7" t="str">
        <x:f>IF(N952="","OPEN",IF(OR(I952="",J952="",K952="",L952="",M952=""),"FAIL","PASS"))</x:f>
        <x:v>OPEN</x:v>
      </x:c>
    </x:row>
    <x:row r="953">
      <x:c r="B953" s="7" t="str">
        <x:v>CH-PEA-B-X1-14-5</x:v>
      </x:c>
      <x:c r="C953" s="7" t="str">
        <x:v>PEA-B-X1</x:v>
      </x:c>
      <x:c r="D953" s="7" t="str">
        <x:v>BLD-B</x:v>
      </x:c>
      <x:c r="E953" s="7" t="str">
        <x:v>BL-X</x:v>
      </x:c>
      <x:c r="F953" s="7" t="str">
        <x:v>MF-14</x:v>
      </x:c>
      <x:c r="G953" s="7" t="str">
        <x:v>causal time</x:v>
      </x:c>
      <x:c r="H953" s="7" t="n">
        <x:v>5</x:v>
      </x:c>
      <x:c r="I953" s="7" t="str"/>
      <x:c r="J953" s="7" t="str"/>
      <x:c r="K953" s="7" t="str"/>
      <x:c r="L953" s="7" t="str"/>
      <x:c r="M953" s="7" t="str"/>
      <x:c r="N953" s="7" t="str"/>
      <x:c r="O953" s="7" t="str">
        <x:f>IF(N953="","OPEN",IF(OR(I953="",J953="",K953="",L953="",M953=""),"FAIL","PASS"))</x:f>
        <x:v>OPEN</x:v>
      </x:c>
    </x:row>
    <x:row r="954">
      <x:c r="B954" s="7" t="str">
        <x:v>CH-PEA-B-X1-14-6</x:v>
      </x:c>
      <x:c r="C954" s="7" t="str">
        <x:v>PEA-B-X1</x:v>
      </x:c>
      <x:c r="D954" s="7" t="str">
        <x:v>BLD-B</x:v>
      </x:c>
      <x:c r="E954" s="7" t="str">
        <x:v>BL-X</x:v>
      </x:c>
      <x:c r="F954" s="7" t="str">
        <x:v>MF-14</x:v>
      </x:c>
      <x:c r="G954" s="7" t="str">
        <x:v>causal time</x:v>
      </x:c>
      <x:c r="H954" s="7" t="n">
        <x:v>6</x:v>
      </x:c>
      <x:c r="I954" s="7" t="str"/>
      <x:c r="J954" s="7" t="str"/>
      <x:c r="K954" s="7" t="str"/>
      <x:c r="L954" s="7" t="str"/>
      <x:c r="M954" s="7" t="str"/>
      <x:c r="N954" s="7" t="str"/>
      <x:c r="O954" s="7" t="str">
        <x:f>IF(N954="","OPEN",IF(OR(I954="",J954="",K954="",L954="",M954=""),"FAIL","PASS"))</x:f>
        <x:v>OPEN</x:v>
      </x:c>
    </x:row>
    <x:row r="955">
      <x:c r="B955" s="7" t="str">
        <x:v>CH-PEA-B-X1-15-1</x:v>
      </x:c>
      <x:c r="C955" s="7" t="str">
        <x:v>PEA-B-X1</x:v>
      </x:c>
      <x:c r="D955" s="7" t="str">
        <x:v>BLD-B</x:v>
      </x:c>
      <x:c r="E955" s="7" t="str">
        <x:v>BL-X</x:v>
      </x:c>
      <x:c r="F955" s="7" t="str">
        <x:v>MF-15</x:v>
      </x:c>
      <x:c r="G955" s="7" t="str">
        <x:v>source motive energy</x:v>
      </x:c>
      <x:c r="H955" s="7" t="n">
        <x:v>1</x:v>
      </x:c>
      <x:c r="I955" s="7" t="str"/>
      <x:c r="J955" s="7" t="str"/>
      <x:c r="K955" s="7" t="str"/>
      <x:c r="L955" s="7" t="str"/>
      <x:c r="M955" s="7" t="str"/>
      <x:c r="N955" s="7" t="str"/>
      <x:c r="O955" s="7" t="str">
        <x:f>IF(N955="","OPEN",IF(OR(I955="",J955="",K955="",L955="",M955=""),"FAIL","PASS"))</x:f>
        <x:v>OPEN</x:v>
      </x:c>
    </x:row>
    <x:row r="956">
      <x:c r="B956" s="7" t="str">
        <x:v>CH-PEA-B-X1-15-2</x:v>
      </x:c>
      <x:c r="C956" s="7" t="str">
        <x:v>PEA-B-X1</x:v>
      </x:c>
      <x:c r="D956" s="7" t="str">
        <x:v>BLD-B</x:v>
      </x:c>
      <x:c r="E956" s="7" t="str">
        <x:v>BL-X</x:v>
      </x:c>
      <x:c r="F956" s="7" t="str">
        <x:v>MF-15</x:v>
      </x:c>
      <x:c r="G956" s="7" t="str">
        <x:v>source motive energy</x:v>
      </x:c>
      <x:c r="H956" s="7" t="n">
        <x:v>2</x:v>
      </x:c>
      <x:c r="I956" s="7" t="str"/>
      <x:c r="J956" s="7" t="str"/>
      <x:c r="K956" s="7" t="str"/>
      <x:c r="L956" s="7" t="str"/>
      <x:c r="M956" s="7" t="str"/>
      <x:c r="N956" s="7" t="str"/>
      <x:c r="O956" s="7" t="str">
        <x:f>IF(N956="","OPEN",IF(OR(I956="",J956="",K956="",L956="",M956=""),"FAIL","PASS"))</x:f>
        <x:v>OPEN</x:v>
      </x:c>
    </x:row>
    <x:row r="957">
      <x:c r="B957" s="7" t="str">
        <x:v>CH-PEA-B-X1-15-3</x:v>
      </x:c>
      <x:c r="C957" s="7" t="str">
        <x:v>PEA-B-X1</x:v>
      </x:c>
      <x:c r="D957" s="7" t="str">
        <x:v>BLD-B</x:v>
      </x:c>
      <x:c r="E957" s="7" t="str">
        <x:v>BL-X</x:v>
      </x:c>
      <x:c r="F957" s="7" t="str">
        <x:v>MF-15</x:v>
      </x:c>
      <x:c r="G957" s="7" t="str">
        <x:v>source motive energy</x:v>
      </x:c>
      <x:c r="H957" s="7" t="n">
        <x:v>3</x:v>
      </x:c>
      <x:c r="I957" s="7" t="str"/>
      <x:c r="J957" s="7" t="str"/>
      <x:c r="K957" s="7" t="str"/>
      <x:c r="L957" s="7" t="str"/>
      <x:c r="M957" s="7" t="str"/>
      <x:c r="N957" s="7" t="str"/>
      <x:c r="O957" s="7" t="str">
        <x:f>IF(N957="","OPEN",IF(OR(I957="",J957="",K957="",L957="",M957=""),"FAIL","PASS"))</x:f>
        <x:v>OPEN</x:v>
      </x:c>
    </x:row>
    <x:row r="958">
      <x:c r="B958" s="7" t="str">
        <x:v>CH-PEA-B-X1-15-4</x:v>
      </x:c>
      <x:c r="C958" s="7" t="str">
        <x:v>PEA-B-X1</x:v>
      </x:c>
      <x:c r="D958" s="7" t="str">
        <x:v>BLD-B</x:v>
      </x:c>
      <x:c r="E958" s="7" t="str">
        <x:v>BL-X</x:v>
      </x:c>
      <x:c r="F958" s="7" t="str">
        <x:v>MF-15</x:v>
      </x:c>
      <x:c r="G958" s="7" t="str">
        <x:v>source motive energy</x:v>
      </x:c>
      <x:c r="H958" s="7" t="n">
        <x:v>4</x:v>
      </x:c>
      <x:c r="I958" s="7" t="str"/>
      <x:c r="J958" s="7" t="str"/>
      <x:c r="K958" s="7" t="str"/>
      <x:c r="L958" s="7" t="str"/>
      <x:c r="M958" s="7" t="str"/>
      <x:c r="N958" s="7" t="str"/>
      <x:c r="O958" s="7" t="str">
        <x:f>IF(N958="","OPEN",IF(OR(I958="",J958="",K958="",L958="",M958=""),"FAIL","PASS"))</x:f>
        <x:v>OPEN</x:v>
      </x:c>
    </x:row>
    <x:row r="959">
      <x:c r="B959" s="7" t="str">
        <x:v>CH-PEA-B-X1-15-5</x:v>
      </x:c>
      <x:c r="C959" s="7" t="str">
        <x:v>PEA-B-X1</x:v>
      </x:c>
      <x:c r="D959" s="7" t="str">
        <x:v>BLD-B</x:v>
      </x:c>
      <x:c r="E959" s="7" t="str">
        <x:v>BL-X</x:v>
      </x:c>
      <x:c r="F959" s="7" t="str">
        <x:v>MF-15</x:v>
      </x:c>
      <x:c r="G959" s="7" t="str">
        <x:v>source motive energy</x:v>
      </x:c>
      <x:c r="H959" s="7" t="n">
        <x:v>5</x:v>
      </x:c>
      <x:c r="I959" s="7" t="str"/>
      <x:c r="J959" s="7" t="str"/>
      <x:c r="K959" s="7" t="str"/>
      <x:c r="L959" s="7" t="str"/>
      <x:c r="M959" s="7" t="str"/>
      <x:c r="N959" s="7" t="str"/>
      <x:c r="O959" s="7" t="str">
        <x:f>IF(N959="","OPEN",IF(OR(I959="",J959="",K959="",L959="",M959=""),"FAIL","PASS"))</x:f>
        <x:v>OPEN</x:v>
      </x:c>
    </x:row>
    <x:row r="960">
      <x:c r="B960" s="7" t="str">
        <x:v>CH-PEA-B-X1-15-6</x:v>
      </x:c>
      <x:c r="C960" s="7" t="str">
        <x:v>PEA-B-X1</x:v>
      </x:c>
      <x:c r="D960" s="7" t="str">
        <x:v>BLD-B</x:v>
      </x:c>
      <x:c r="E960" s="7" t="str">
        <x:v>BL-X</x:v>
      </x:c>
      <x:c r="F960" s="7" t="str">
        <x:v>MF-15</x:v>
      </x:c>
      <x:c r="G960" s="7" t="str">
        <x:v>source motive energy</x:v>
      </x:c>
      <x:c r="H960" s="7" t="n">
        <x:v>6</x:v>
      </x:c>
      <x:c r="I960" s="7" t="str"/>
      <x:c r="J960" s="7" t="str"/>
      <x:c r="K960" s="7" t="str"/>
      <x:c r="L960" s="7" t="str"/>
      <x:c r="M960" s="7" t="str"/>
      <x:c r="N960" s="7" t="str"/>
      <x:c r="O960" s="7" t="str">
        <x:f>IF(N960="","OPEN",IF(OR(I960="",J960="",K960="",L960="",M960=""),"FAIL","PASS"))</x:f>
        <x:v>OPEN</x:v>
      </x:c>
    </x:row>
    <x:row r="961">
      <x:c r="B961" s="7" t="str">
        <x:v>CH-PEA-B-X1-16-1</x:v>
      </x:c>
      <x:c r="C961" s="7" t="str">
        <x:v>PEA-B-X1</x:v>
      </x:c>
      <x:c r="D961" s="7" t="str">
        <x:v>BLD-B</x:v>
      </x:c>
      <x:c r="E961" s="7" t="str">
        <x:v>BL-X</x:v>
      </x:c>
      <x:c r="F961" s="7" t="str">
        <x:v>MF-16</x:v>
      </x:c>
      <x:c r="G961" s="7" t="str">
        <x:v>water motive energy</x:v>
      </x:c>
      <x:c r="H961" s="7" t="n">
        <x:v>1</x:v>
      </x:c>
      <x:c r="I961" s="7" t="str"/>
      <x:c r="J961" s="7" t="str"/>
      <x:c r="K961" s="7" t="str"/>
      <x:c r="L961" s="7" t="str"/>
      <x:c r="M961" s="7" t="str"/>
      <x:c r="N961" s="7" t="str"/>
      <x:c r="O961" s="7" t="str">
        <x:f>IF(N961="","OPEN",IF(OR(I961="",J961="",K961="",L961="",M961=""),"FAIL","PASS"))</x:f>
        <x:v>OPEN</x:v>
      </x:c>
    </x:row>
    <x:row r="962">
      <x:c r="B962" s="7" t="str">
        <x:v>CH-PEA-B-X1-16-2</x:v>
      </x:c>
      <x:c r="C962" s="7" t="str">
        <x:v>PEA-B-X1</x:v>
      </x:c>
      <x:c r="D962" s="7" t="str">
        <x:v>BLD-B</x:v>
      </x:c>
      <x:c r="E962" s="7" t="str">
        <x:v>BL-X</x:v>
      </x:c>
      <x:c r="F962" s="7" t="str">
        <x:v>MF-16</x:v>
      </x:c>
      <x:c r="G962" s="7" t="str">
        <x:v>water motive energy</x:v>
      </x:c>
      <x:c r="H962" s="7" t="n">
        <x:v>2</x:v>
      </x:c>
      <x:c r="I962" s="7" t="str"/>
      <x:c r="J962" s="7" t="str"/>
      <x:c r="K962" s="7" t="str"/>
      <x:c r="L962" s="7" t="str"/>
      <x:c r="M962" s="7" t="str"/>
      <x:c r="N962" s="7" t="str"/>
      <x:c r="O962" s="7" t="str">
        <x:f>IF(N962="","OPEN",IF(OR(I962="",J962="",K962="",L962="",M962=""),"FAIL","PASS"))</x:f>
        <x:v>OPEN</x:v>
      </x:c>
    </x:row>
    <x:row r="963">
      <x:c r="B963" s="7" t="str">
        <x:v>CH-PEA-B-X1-16-3</x:v>
      </x:c>
      <x:c r="C963" s="7" t="str">
        <x:v>PEA-B-X1</x:v>
      </x:c>
      <x:c r="D963" s="7" t="str">
        <x:v>BLD-B</x:v>
      </x:c>
      <x:c r="E963" s="7" t="str">
        <x:v>BL-X</x:v>
      </x:c>
      <x:c r="F963" s="7" t="str">
        <x:v>MF-16</x:v>
      </x:c>
      <x:c r="G963" s="7" t="str">
        <x:v>water motive energy</x:v>
      </x:c>
      <x:c r="H963" s="7" t="n">
        <x:v>3</x:v>
      </x:c>
      <x:c r="I963" s="7" t="str"/>
      <x:c r="J963" s="7" t="str"/>
      <x:c r="K963" s="7" t="str"/>
      <x:c r="L963" s="7" t="str"/>
      <x:c r="M963" s="7" t="str"/>
      <x:c r="N963" s="7" t="str"/>
      <x:c r="O963" s="7" t="str">
        <x:f>IF(N963="","OPEN",IF(OR(I963="",J963="",K963="",L963="",M963=""),"FAIL","PASS"))</x:f>
        <x:v>OPEN</x:v>
      </x:c>
    </x:row>
    <x:row r="964">
      <x:c r="B964" s="7" t="str">
        <x:v>CH-PEA-B-X1-16-4</x:v>
      </x:c>
      <x:c r="C964" s="7" t="str">
        <x:v>PEA-B-X1</x:v>
      </x:c>
      <x:c r="D964" s="7" t="str">
        <x:v>BLD-B</x:v>
      </x:c>
      <x:c r="E964" s="7" t="str">
        <x:v>BL-X</x:v>
      </x:c>
      <x:c r="F964" s="7" t="str">
        <x:v>MF-16</x:v>
      </x:c>
      <x:c r="G964" s="7" t="str">
        <x:v>water motive energy</x:v>
      </x:c>
      <x:c r="H964" s="7" t="n">
        <x:v>4</x:v>
      </x:c>
      <x:c r="I964" s="7" t="str"/>
      <x:c r="J964" s="7" t="str"/>
      <x:c r="K964" s="7" t="str"/>
      <x:c r="L964" s="7" t="str"/>
      <x:c r="M964" s="7" t="str"/>
      <x:c r="N964" s="7" t="str"/>
      <x:c r="O964" s="7" t="str">
        <x:f>IF(N964="","OPEN",IF(OR(I964="",J964="",K964="",L964="",M964=""),"FAIL","PASS"))</x:f>
        <x:v>OPEN</x:v>
      </x:c>
    </x:row>
    <x:row r="965">
      <x:c r="B965" s="7" t="str">
        <x:v>CH-PEA-B-X1-16-5</x:v>
      </x:c>
      <x:c r="C965" s="7" t="str">
        <x:v>PEA-B-X1</x:v>
      </x:c>
      <x:c r="D965" s="7" t="str">
        <x:v>BLD-B</x:v>
      </x:c>
      <x:c r="E965" s="7" t="str">
        <x:v>BL-X</x:v>
      </x:c>
      <x:c r="F965" s="7" t="str">
        <x:v>MF-16</x:v>
      </x:c>
      <x:c r="G965" s="7" t="str">
        <x:v>water motive energy</x:v>
      </x:c>
      <x:c r="H965" s="7" t="n">
        <x:v>5</x:v>
      </x:c>
      <x:c r="I965" s="7" t="str"/>
      <x:c r="J965" s="7" t="str"/>
      <x:c r="K965" s="7" t="str"/>
      <x:c r="L965" s="7" t="str"/>
      <x:c r="M965" s="7" t="str"/>
      <x:c r="N965" s="7" t="str"/>
      <x:c r="O965" s="7" t="str">
        <x:f>IF(N965="","OPEN",IF(OR(I965="",J965="",K965="",L965="",M965=""),"FAIL","PASS"))</x:f>
        <x:v>OPEN</x:v>
      </x:c>
    </x:row>
    <x:row r="966">
      <x:c r="B966" s="7" t="str">
        <x:v>CH-PEA-B-X1-16-6</x:v>
      </x:c>
      <x:c r="C966" s="7" t="str">
        <x:v>PEA-B-X1</x:v>
      </x:c>
      <x:c r="D966" s="7" t="str">
        <x:v>BLD-B</x:v>
      </x:c>
      <x:c r="E966" s="7" t="str">
        <x:v>BL-X</x:v>
      </x:c>
      <x:c r="F966" s="7" t="str">
        <x:v>MF-16</x:v>
      </x:c>
      <x:c r="G966" s="7" t="str">
        <x:v>water motive energy</x:v>
      </x:c>
      <x:c r="H966" s="7" t="n">
        <x:v>6</x:v>
      </x:c>
      <x:c r="I966" s="7" t="str"/>
      <x:c r="J966" s="7" t="str"/>
      <x:c r="K966" s="7" t="str"/>
      <x:c r="L966" s="7" t="str"/>
      <x:c r="M966" s="7" t="str"/>
      <x:c r="N966" s="7" t="str"/>
      <x:c r="O966" s="7" t="str">
        <x:f>IF(N966="","OPEN",IF(OR(I966="",J966="",K966="",L966="",M966=""),"FAIL","PASS"))</x:f>
        <x:v>OPEN</x:v>
      </x:c>
    </x:row>
    <x:row r="967">
      <x:c r="B967" s="7" t="str">
        <x:v>CH-PEA-B-X1-17-1</x:v>
      </x:c>
      <x:c r="C967" s="7" t="str">
        <x:v>PEA-B-X1</x:v>
      </x:c>
      <x:c r="D967" s="7" t="str">
        <x:v>BLD-B</x:v>
      </x:c>
      <x:c r="E967" s="7" t="str">
        <x:v>BL-X</x:v>
      </x:c>
      <x:c r="F967" s="7" t="str">
        <x:v>MF-17</x:v>
      </x:c>
      <x:c r="G967" s="7" t="str">
        <x:v>normal power</x:v>
      </x:c>
      <x:c r="H967" s="7" t="n">
        <x:v>1</x:v>
      </x:c>
      <x:c r="I967" s="7" t="str"/>
      <x:c r="J967" s="7" t="str"/>
      <x:c r="K967" s="7" t="str"/>
      <x:c r="L967" s="7" t="str"/>
      <x:c r="M967" s="7" t="str"/>
      <x:c r="N967" s="7" t="str"/>
      <x:c r="O967" s="7" t="str">
        <x:f>IF(N967="","OPEN",IF(OR(I967="",J967="",K967="",L967="",M967=""),"FAIL","PASS"))</x:f>
        <x:v>OPEN</x:v>
      </x:c>
    </x:row>
    <x:row r="968">
      <x:c r="B968" s="7" t="str">
        <x:v>CH-PEA-B-X1-17-2</x:v>
      </x:c>
      <x:c r="C968" s="7" t="str">
        <x:v>PEA-B-X1</x:v>
      </x:c>
      <x:c r="D968" s="7" t="str">
        <x:v>BLD-B</x:v>
      </x:c>
      <x:c r="E968" s="7" t="str">
        <x:v>BL-X</x:v>
      </x:c>
      <x:c r="F968" s="7" t="str">
        <x:v>MF-17</x:v>
      </x:c>
      <x:c r="G968" s="7" t="str">
        <x:v>normal power</x:v>
      </x:c>
      <x:c r="H968" s="7" t="n">
        <x:v>2</x:v>
      </x:c>
      <x:c r="I968" s="7" t="str"/>
      <x:c r="J968" s="7" t="str"/>
      <x:c r="K968" s="7" t="str"/>
      <x:c r="L968" s="7" t="str"/>
      <x:c r="M968" s="7" t="str"/>
      <x:c r="N968" s="7" t="str"/>
      <x:c r="O968" s="7" t="str">
        <x:f>IF(N968="","OPEN",IF(OR(I968="",J968="",K968="",L968="",M968=""),"FAIL","PASS"))</x:f>
        <x:v>OPEN</x:v>
      </x:c>
    </x:row>
    <x:row r="969">
      <x:c r="B969" s="7" t="str">
        <x:v>CH-PEA-B-X1-17-3</x:v>
      </x:c>
      <x:c r="C969" s="7" t="str">
        <x:v>PEA-B-X1</x:v>
      </x:c>
      <x:c r="D969" s="7" t="str">
        <x:v>BLD-B</x:v>
      </x:c>
      <x:c r="E969" s="7" t="str">
        <x:v>BL-X</x:v>
      </x:c>
      <x:c r="F969" s="7" t="str">
        <x:v>MF-17</x:v>
      </x:c>
      <x:c r="G969" s="7" t="str">
        <x:v>normal power</x:v>
      </x:c>
      <x:c r="H969" s="7" t="n">
        <x:v>3</x:v>
      </x:c>
      <x:c r="I969" s="7" t="str"/>
      <x:c r="J969" s="7" t="str"/>
      <x:c r="K969" s="7" t="str"/>
      <x:c r="L969" s="7" t="str"/>
      <x:c r="M969" s="7" t="str"/>
      <x:c r="N969" s="7" t="str"/>
      <x:c r="O969" s="7" t="str">
        <x:f>IF(N969="","OPEN",IF(OR(I969="",J969="",K969="",L969="",M969=""),"FAIL","PASS"))</x:f>
        <x:v>OPEN</x:v>
      </x:c>
    </x:row>
    <x:row r="970">
      <x:c r="B970" s="7" t="str">
        <x:v>CH-PEA-B-X1-17-4</x:v>
      </x:c>
      <x:c r="C970" s="7" t="str">
        <x:v>PEA-B-X1</x:v>
      </x:c>
      <x:c r="D970" s="7" t="str">
        <x:v>BLD-B</x:v>
      </x:c>
      <x:c r="E970" s="7" t="str">
        <x:v>BL-X</x:v>
      </x:c>
      <x:c r="F970" s="7" t="str">
        <x:v>MF-17</x:v>
      </x:c>
      <x:c r="G970" s="7" t="str">
        <x:v>normal power</x:v>
      </x:c>
      <x:c r="H970" s="7" t="n">
        <x:v>4</x:v>
      </x:c>
      <x:c r="I970" s="7" t="str"/>
      <x:c r="J970" s="7" t="str"/>
      <x:c r="K970" s="7" t="str"/>
      <x:c r="L970" s="7" t="str"/>
      <x:c r="M970" s="7" t="str"/>
      <x:c r="N970" s="7" t="str"/>
      <x:c r="O970" s="7" t="str">
        <x:f>IF(N970="","OPEN",IF(OR(I970="",J970="",K970="",L970="",M970=""),"FAIL","PASS"))</x:f>
        <x:v>OPEN</x:v>
      </x:c>
    </x:row>
    <x:row r="971">
      <x:c r="B971" s="7" t="str">
        <x:v>CH-PEA-B-X1-17-5</x:v>
      </x:c>
      <x:c r="C971" s="7" t="str">
        <x:v>PEA-B-X1</x:v>
      </x:c>
      <x:c r="D971" s="7" t="str">
        <x:v>BLD-B</x:v>
      </x:c>
      <x:c r="E971" s="7" t="str">
        <x:v>BL-X</x:v>
      </x:c>
      <x:c r="F971" s="7" t="str">
        <x:v>MF-17</x:v>
      </x:c>
      <x:c r="G971" s="7" t="str">
        <x:v>normal power</x:v>
      </x:c>
      <x:c r="H971" s="7" t="n">
        <x:v>5</x:v>
      </x:c>
      <x:c r="I971" s="7" t="str"/>
      <x:c r="J971" s="7" t="str"/>
      <x:c r="K971" s="7" t="str"/>
      <x:c r="L971" s="7" t="str"/>
      <x:c r="M971" s="7" t="str"/>
      <x:c r="N971" s="7" t="str"/>
      <x:c r="O971" s="7" t="str">
        <x:f>IF(N971="","OPEN",IF(OR(I971="",J971="",K971="",L971="",M971=""),"FAIL","PASS"))</x:f>
        <x:v>OPEN</x:v>
      </x:c>
    </x:row>
    <x:row r="972">
      <x:c r="B972" s="7" t="str">
        <x:v>CH-PEA-B-X1-17-6</x:v>
      </x:c>
      <x:c r="C972" s="7" t="str">
        <x:v>PEA-B-X1</x:v>
      </x:c>
      <x:c r="D972" s="7" t="str">
        <x:v>BLD-B</x:v>
      </x:c>
      <x:c r="E972" s="7" t="str">
        <x:v>BL-X</x:v>
      </x:c>
      <x:c r="F972" s="7" t="str">
        <x:v>MF-17</x:v>
      </x:c>
      <x:c r="G972" s="7" t="str">
        <x:v>normal power</x:v>
      </x:c>
      <x:c r="H972" s="7" t="n">
        <x:v>6</x:v>
      </x:c>
      <x:c r="I972" s="7" t="str"/>
      <x:c r="J972" s="7" t="str"/>
      <x:c r="K972" s="7" t="str"/>
      <x:c r="L972" s="7" t="str"/>
      <x:c r="M972" s="7" t="str"/>
      <x:c r="N972" s="7" t="str"/>
      <x:c r="O972" s="7" t="str">
        <x:f>IF(N972="","OPEN",IF(OR(I972="",J972="",K972="",L972="",M972=""),"FAIL","PASS"))</x:f>
        <x:v>OPEN</x:v>
      </x:c>
    </x:row>
    <x:row r="973">
      <x:c r="B973" s="7" t="str">
        <x:v>CH-PEA-B-X1-18-1</x:v>
      </x:c>
      <x:c r="C973" s="7" t="str">
        <x:v>PEA-B-X1</x:v>
      </x:c>
      <x:c r="D973" s="7" t="str">
        <x:v>BLD-B</x:v>
      </x:c>
      <x:c r="E973" s="7" t="str">
        <x:v>BL-X</x:v>
      </x:c>
      <x:c r="F973" s="7" t="str">
        <x:v>MF-18</x:v>
      </x:c>
      <x:c r="G973" s="7" t="str">
        <x:v>independent power</x:v>
      </x:c>
      <x:c r="H973" s="7" t="n">
        <x:v>1</x:v>
      </x:c>
      <x:c r="I973" s="7" t="str"/>
      <x:c r="J973" s="7" t="str"/>
      <x:c r="K973" s="7" t="str"/>
      <x:c r="L973" s="7" t="str"/>
      <x:c r="M973" s="7" t="str"/>
      <x:c r="N973" s="7" t="str"/>
      <x:c r="O973" s="7" t="str">
        <x:f>IF(N973="","OPEN",IF(OR(I973="",J973="",K973="",L973="",M973=""),"FAIL","PASS"))</x:f>
        <x:v>OPEN</x:v>
      </x:c>
    </x:row>
    <x:row r="974">
      <x:c r="B974" s="7" t="str">
        <x:v>CH-PEA-B-X1-18-2</x:v>
      </x:c>
      <x:c r="C974" s="7" t="str">
        <x:v>PEA-B-X1</x:v>
      </x:c>
      <x:c r="D974" s="7" t="str">
        <x:v>BLD-B</x:v>
      </x:c>
      <x:c r="E974" s="7" t="str">
        <x:v>BL-X</x:v>
      </x:c>
      <x:c r="F974" s="7" t="str">
        <x:v>MF-18</x:v>
      </x:c>
      <x:c r="G974" s="7" t="str">
        <x:v>independent power</x:v>
      </x:c>
      <x:c r="H974" s="7" t="n">
        <x:v>2</x:v>
      </x:c>
      <x:c r="I974" s="7" t="str"/>
      <x:c r="J974" s="7" t="str"/>
      <x:c r="K974" s="7" t="str"/>
      <x:c r="L974" s="7" t="str"/>
      <x:c r="M974" s="7" t="str"/>
      <x:c r="N974" s="7" t="str"/>
      <x:c r="O974" s="7" t="str">
        <x:f>IF(N974="","OPEN",IF(OR(I974="",J974="",K974="",L974="",M974=""),"FAIL","PASS"))</x:f>
        <x:v>OPEN</x:v>
      </x:c>
    </x:row>
    <x:row r="975">
      <x:c r="B975" s="7" t="str">
        <x:v>CH-PEA-B-X1-18-3</x:v>
      </x:c>
      <x:c r="C975" s="7" t="str">
        <x:v>PEA-B-X1</x:v>
      </x:c>
      <x:c r="D975" s="7" t="str">
        <x:v>BLD-B</x:v>
      </x:c>
      <x:c r="E975" s="7" t="str">
        <x:v>BL-X</x:v>
      </x:c>
      <x:c r="F975" s="7" t="str">
        <x:v>MF-18</x:v>
      </x:c>
      <x:c r="G975" s="7" t="str">
        <x:v>independent power</x:v>
      </x:c>
      <x:c r="H975" s="7" t="n">
        <x:v>3</x:v>
      </x:c>
      <x:c r="I975" s="7" t="str"/>
      <x:c r="J975" s="7" t="str"/>
      <x:c r="K975" s="7" t="str"/>
      <x:c r="L975" s="7" t="str"/>
      <x:c r="M975" s="7" t="str"/>
      <x:c r="N975" s="7" t="str"/>
      <x:c r="O975" s="7" t="str">
        <x:f>IF(N975="","OPEN",IF(OR(I975="",J975="",K975="",L975="",M975=""),"FAIL","PASS"))</x:f>
        <x:v>OPEN</x:v>
      </x:c>
    </x:row>
    <x:row r="976">
      <x:c r="B976" s="7" t="str">
        <x:v>CH-PEA-B-X1-18-4</x:v>
      </x:c>
      <x:c r="C976" s="7" t="str">
        <x:v>PEA-B-X1</x:v>
      </x:c>
      <x:c r="D976" s="7" t="str">
        <x:v>BLD-B</x:v>
      </x:c>
      <x:c r="E976" s="7" t="str">
        <x:v>BL-X</x:v>
      </x:c>
      <x:c r="F976" s="7" t="str">
        <x:v>MF-18</x:v>
      </x:c>
      <x:c r="G976" s="7" t="str">
        <x:v>independent power</x:v>
      </x:c>
      <x:c r="H976" s="7" t="n">
        <x:v>4</x:v>
      </x:c>
      <x:c r="I976" s="7" t="str"/>
      <x:c r="J976" s="7" t="str"/>
      <x:c r="K976" s="7" t="str"/>
      <x:c r="L976" s="7" t="str"/>
      <x:c r="M976" s="7" t="str"/>
      <x:c r="N976" s="7" t="str"/>
      <x:c r="O976" s="7" t="str">
        <x:f>IF(N976="","OPEN",IF(OR(I976="",J976="",K976="",L976="",M976=""),"FAIL","PASS"))</x:f>
        <x:v>OPEN</x:v>
      </x:c>
    </x:row>
    <x:row r="977">
      <x:c r="B977" s="7" t="str">
        <x:v>CH-PEA-B-X1-18-5</x:v>
      </x:c>
      <x:c r="C977" s="7" t="str">
        <x:v>PEA-B-X1</x:v>
      </x:c>
      <x:c r="D977" s="7" t="str">
        <x:v>BLD-B</x:v>
      </x:c>
      <x:c r="E977" s="7" t="str">
        <x:v>BL-X</x:v>
      </x:c>
      <x:c r="F977" s="7" t="str">
        <x:v>MF-18</x:v>
      </x:c>
      <x:c r="G977" s="7" t="str">
        <x:v>independent power</x:v>
      </x:c>
      <x:c r="H977" s="7" t="n">
        <x:v>5</x:v>
      </x:c>
      <x:c r="I977" s="7" t="str"/>
      <x:c r="J977" s="7" t="str"/>
      <x:c r="K977" s="7" t="str"/>
      <x:c r="L977" s="7" t="str"/>
      <x:c r="M977" s="7" t="str"/>
      <x:c r="N977" s="7" t="str"/>
      <x:c r="O977" s="7" t="str">
        <x:f>IF(N977="","OPEN",IF(OR(I977="",J977="",K977="",L977="",M977=""),"FAIL","PASS"))</x:f>
        <x:v>OPEN</x:v>
      </x:c>
    </x:row>
    <x:row r="978">
      <x:c r="B978" s="7" t="str">
        <x:v>CH-PEA-B-X1-18-6</x:v>
      </x:c>
      <x:c r="C978" s="7" t="str">
        <x:v>PEA-B-X1</x:v>
      </x:c>
      <x:c r="D978" s="7" t="str">
        <x:v>BLD-B</x:v>
      </x:c>
      <x:c r="E978" s="7" t="str">
        <x:v>BL-X</x:v>
      </x:c>
      <x:c r="F978" s="7" t="str">
        <x:v>MF-18</x:v>
      </x:c>
      <x:c r="G978" s="7" t="str">
        <x:v>independent power</x:v>
      </x:c>
      <x:c r="H978" s="7" t="n">
        <x:v>6</x:v>
      </x:c>
      <x:c r="I978" s="7" t="str"/>
      <x:c r="J978" s="7" t="str"/>
      <x:c r="K978" s="7" t="str"/>
      <x:c r="L978" s="7" t="str"/>
      <x:c r="M978" s="7" t="str"/>
      <x:c r="N978" s="7" t="str"/>
      <x:c r="O978" s="7" t="str">
        <x:f>IF(N978="","OPEN",IF(OR(I978="",J978="",K978="",L978="",M978=""),"FAIL","PASS"))</x:f>
        <x:v>OPEN</x:v>
      </x:c>
    </x:row>
    <x:row r="979">
      <x:c r="B979" s="7" t="str">
        <x:v>CH-PEA-B-X1-19-1</x:v>
      </x:c>
      <x:c r="C979" s="7" t="str">
        <x:v>PEA-B-X1</x:v>
      </x:c>
      <x:c r="D979" s="7" t="str">
        <x:v>BLD-B</x:v>
      </x:c>
      <x:c r="E979" s="7" t="str">
        <x:v>BL-X</x:v>
      </x:c>
      <x:c r="F979" s="7" t="str">
        <x:v>MF-19</x:v>
      </x:c>
      <x:c r="G979" s="7" t="str">
        <x:v>leak collection</x:v>
      </x:c>
      <x:c r="H979" s="7" t="n">
        <x:v>1</x:v>
      </x:c>
      <x:c r="I979" s="7" t="str"/>
      <x:c r="J979" s="7" t="str"/>
      <x:c r="K979" s="7" t="str"/>
      <x:c r="L979" s="7" t="str"/>
      <x:c r="M979" s="7" t="str"/>
      <x:c r="N979" s="7" t="str"/>
      <x:c r="O979" s="7" t="str">
        <x:f>IF(N979="","OPEN",IF(OR(I979="",J979="",K979="",L979="",M979=""),"FAIL","PASS"))</x:f>
        <x:v>OPEN</x:v>
      </x:c>
    </x:row>
    <x:row r="980">
      <x:c r="B980" s="7" t="str">
        <x:v>CH-PEA-B-X1-19-2</x:v>
      </x:c>
      <x:c r="C980" s="7" t="str">
        <x:v>PEA-B-X1</x:v>
      </x:c>
      <x:c r="D980" s="7" t="str">
        <x:v>BLD-B</x:v>
      </x:c>
      <x:c r="E980" s="7" t="str">
        <x:v>BL-X</x:v>
      </x:c>
      <x:c r="F980" s="7" t="str">
        <x:v>MF-19</x:v>
      </x:c>
      <x:c r="G980" s="7" t="str">
        <x:v>leak collection</x:v>
      </x:c>
      <x:c r="H980" s="7" t="n">
        <x:v>2</x:v>
      </x:c>
      <x:c r="I980" s="7" t="str"/>
      <x:c r="J980" s="7" t="str"/>
      <x:c r="K980" s="7" t="str"/>
      <x:c r="L980" s="7" t="str"/>
      <x:c r="M980" s="7" t="str"/>
      <x:c r="N980" s="7" t="str"/>
      <x:c r="O980" s="7" t="str">
        <x:f>IF(N980="","OPEN",IF(OR(I980="",J980="",K980="",L980="",M980=""),"FAIL","PASS"))</x:f>
        <x:v>OPEN</x:v>
      </x:c>
    </x:row>
    <x:row r="981">
      <x:c r="B981" s="7" t="str">
        <x:v>CH-PEA-B-X1-19-3</x:v>
      </x:c>
      <x:c r="C981" s="7" t="str">
        <x:v>PEA-B-X1</x:v>
      </x:c>
      <x:c r="D981" s="7" t="str">
        <x:v>BLD-B</x:v>
      </x:c>
      <x:c r="E981" s="7" t="str">
        <x:v>BL-X</x:v>
      </x:c>
      <x:c r="F981" s="7" t="str">
        <x:v>MF-19</x:v>
      </x:c>
      <x:c r="G981" s="7" t="str">
        <x:v>leak collection</x:v>
      </x:c>
      <x:c r="H981" s="7" t="n">
        <x:v>3</x:v>
      </x:c>
      <x:c r="I981" s="7" t="str"/>
      <x:c r="J981" s="7" t="str"/>
      <x:c r="K981" s="7" t="str"/>
      <x:c r="L981" s="7" t="str"/>
      <x:c r="M981" s="7" t="str"/>
      <x:c r="N981" s="7" t="str"/>
      <x:c r="O981" s="7" t="str">
        <x:f>IF(N981="","OPEN",IF(OR(I981="",J981="",K981="",L981="",M981=""),"FAIL","PASS"))</x:f>
        <x:v>OPEN</x:v>
      </x:c>
    </x:row>
    <x:row r="982">
      <x:c r="B982" s="7" t="str">
        <x:v>CH-PEA-B-X1-19-4</x:v>
      </x:c>
      <x:c r="C982" s="7" t="str">
        <x:v>PEA-B-X1</x:v>
      </x:c>
      <x:c r="D982" s="7" t="str">
        <x:v>BLD-B</x:v>
      </x:c>
      <x:c r="E982" s="7" t="str">
        <x:v>BL-X</x:v>
      </x:c>
      <x:c r="F982" s="7" t="str">
        <x:v>MF-19</x:v>
      </x:c>
      <x:c r="G982" s="7" t="str">
        <x:v>leak collection</x:v>
      </x:c>
      <x:c r="H982" s="7" t="n">
        <x:v>4</x:v>
      </x:c>
      <x:c r="I982" s="7" t="str"/>
      <x:c r="J982" s="7" t="str"/>
      <x:c r="K982" s="7" t="str"/>
      <x:c r="L982" s="7" t="str"/>
      <x:c r="M982" s="7" t="str"/>
      <x:c r="N982" s="7" t="str"/>
      <x:c r="O982" s="7" t="str">
        <x:f>IF(N982="","OPEN",IF(OR(I982="",J982="",K982="",L982="",M982=""),"FAIL","PASS"))</x:f>
        <x:v>OPEN</x:v>
      </x:c>
    </x:row>
    <x:row r="983">
      <x:c r="B983" s="7" t="str">
        <x:v>CH-PEA-B-X1-19-5</x:v>
      </x:c>
      <x:c r="C983" s="7" t="str">
        <x:v>PEA-B-X1</x:v>
      </x:c>
      <x:c r="D983" s="7" t="str">
        <x:v>BLD-B</x:v>
      </x:c>
      <x:c r="E983" s="7" t="str">
        <x:v>BL-X</x:v>
      </x:c>
      <x:c r="F983" s="7" t="str">
        <x:v>MF-19</x:v>
      </x:c>
      <x:c r="G983" s="7" t="str">
        <x:v>leak collection</x:v>
      </x:c>
      <x:c r="H983" s="7" t="n">
        <x:v>5</x:v>
      </x:c>
      <x:c r="I983" s="7" t="str"/>
      <x:c r="J983" s="7" t="str"/>
      <x:c r="K983" s="7" t="str"/>
      <x:c r="L983" s="7" t="str"/>
      <x:c r="M983" s="7" t="str"/>
      <x:c r="N983" s="7" t="str"/>
      <x:c r="O983" s="7" t="str">
        <x:f>IF(N983="","OPEN",IF(OR(I983="",J983="",K983="",L983="",M983=""),"FAIL","PASS"))</x:f>
        <x:v>OPEN</x:v>
      </x:c>
    </x:row>
    <x:row r="984">
      <x:c r="B984" s="7" t="str">
        <x:v>CH-PEA-B-X1-19-6</x:v>
      </x:c>
      <x:c r="C984" s="7" t="str">
        <x:v>PEA-B-X1</x:v>
      </x:c>
      <x:c r="D984" s="7" t="str">
        <x:v>BLD-B</x:v>
      </x:c>
      <x:c r="E984" s="7" t="str">
        <x:v>BL-X</x:v>
      </x:c>
      <x:c r="F984" s="7" t="str">
        <x:v>MF-19</x:v>
      </x:c>
      <x:c r="G984" s="7" t="str">
        <x:v>leak collection</x:v>
      </x:c>
      <x:c r="H984" s="7" t="n">
        <x:v>6</x:v>
      </x:c>
      <x:c r="I984" s="7" t="str"/>
      <x:c r="J984" s="7" t="str"/>
      <x:c r="K984" s="7" t="str"/>
      <x:c r="L984" s="7" t="str"/>
      <x:c r="M984" s="7" t="str"/>
      <x:c r="N984" s="7" t="str"/>
      <x:c r="O984" s="7" t="str">
        <x:f>IF(N984="","OPEN",IF(OR(I984="",J984="",K984="",L984="",M984=""),"FAIL","PASS"))</x:f>
        <x:v>OPEN</x:v>
      </x:c>
    </x:row>
    <x:row r="985">
      <x:c r="B985" s="7" t="str">
        <x:v>CH-PEA-B-X1-20-1</x:v>
      </x:c>
      <x:c r="C985" s="7" t="str">
        <x:v>PEA-B-X1</x:v>
      </x:c>
      <x:c r="D985" s="7" t="str">
        <x:v>BLD-B</x:v>
      </x:c>
      <x:c r="E985" s="7" t="str">
        <x:v>BL-X</x:v>
      </x:c>
      <x:c r="F985" s="7" t="str">
        <x:v>MF-20</x:v>
      </x:c>
      <x:c r="G985" s="7" t="str">
        <x:v>occupied-area state</x:v>
      </x:c>
      <x:c r="H985" s="7" t="n">
        <x:v>1</x:v>
      </x:c>
      <x:c r="I985" s="7" t="str"/>
      <x:c r="J985" s="7" t="str"/>
      <x:c r="K985" s="7" t="str"/>
      <x:c r="L985" s="7" t="str"/>
      <x:c r="M985" s="7" t="str"/>
      <x:c r="N985" s="7" t="str"/>
      <x:c r="O985" s="7" t="str">
        <x:f>IF(N985="","OPEN",IF(OR(I985="",J985="",K985="",L985="",M985=""),"FAIL","PASS"))</x:f>
        <x:v>OPEN</x:v>
      </x:c>
    </x:row>
    <x:row r="986">
      <x:c r="B986" s="7" t="str">
        <x:v>CH-PEA-B-X1-20-2</x:v>
      </x:c>
      <x:c r="C986" s="7" t="str">
        <x:v>PEA-B-X1</x:v>
      </x:c>
      <x:c r="D986" s="7" t="str">
        <x:v>BLD-B</x:v>
      </x:c>
      <x:c r="E986" s="7" t="str">
        <x:v>BL-X</x:v>
      </x:c>
      <x:c r="F986" s="7" t="str">
        <x:v>MF-20</x:v>
      </x:c>
      <x:c r="G986" s="7" t="str">
        <x:v>occupied-area state</x:v>
      </x:c>
      <x:c r="H986" s="7" t="n">
        <x:v>2</x:v>
      </x:c>
      <x:c r="I986" s="7" t="str"/>
      <x:c r="J986" s="7" t="str"/>
      <x:c r="K986" s="7" t="str"/>
      <x:c r="L986" s="7" t="str"/>
      <x:c r="M986" s="7" t="str"/>
      <x:c r="N986" s="7" t="str"/>
      <x:c r="O986" s="7" t="str">
        <x:f>IF(N986="","OPEN",IF(OR(I986="",J986="",K986="",L986="",M986=""),"FAIL","PASS"))</x:f>
        <x:v>OPEN</x:v>
      </x:c>
    </x:row>
    <x:row r="987">
      <x:c r="B987" s="7" t="str">
        <x:v>CH-PEA-B-X1-20-3</x:v>
      </x:c>
      <x:c r="C987" s="7" t="str">
        <x:v>PEA-B-X1</x:v>
      </x:c>
      <x:c r="D987" s="7" t="str">
        <x:v>BLD-B</x:v>
      </x:c>
      <x:c r="E987" s="7" t="str">
        <x:v>BL-X</x:v>
      </x:c>
      <x:c r="F987" s="7" t="str">
        <x:v>MF-20</x:v>
      </x:c>
      <x:c r="G987" s="7" t="str">
        <x:v>occupied-area state</x:v>
      </x:c>
      <x:c r="H987" s="7" t="n">
        <x:v>3</x:v>
      </x:c>
      <x:c r="I987" s="7" t="str"/>
      <x:c r="J987" s="7" t="str"/>
      <x:c r="K987" s="7" t="str"/>
      <x:c r="L987" s="7" t="str"/>
      <x:c r="M987" s="7" t="str"/>
      <x:c r="N987" s="7" t="str"/>
      <x:c r="O987" s="7" t="str">
        <x:f>IF(N987="","OPEN",IF(OR(I987="",J987="",K987="",L987="",M987=""),"FAIL","PASS"))</x:f>
        <x:v>OPEN</x:v>
      </x:c>
    </x:row>
    <x:row r="988">
      <x:c r="B988" s="7" t="str">
        <x:v>CH-PEA-B-X1-20-4</x:v>
      </x:c>
      <x:c r="C988" s="7" t="str">
        <x:v>PEA-B-X1</x:v>
      </x:c>
      <x:c r="D988" s="7" t="str">
        <x:v>BLD-B</x:v>
      </x:c>
      <x:c r="E988" s="7" t="str">
        <x:v>BL-X</x:v>
      </x:c>
      <x:c r="F988" s="7" t="str">
        <x:v>MF-20</x:v>
      </x:c>
      <x:c r="G988" s="7" t="str">
        <x:v>occupied-area state</x:v>
      </x:c>
      <x:c r="H988" s="7" t="n">
        <x:v>4</x:v>
      </x:c>
      <x:c r="I988" s="7" t="str"/>
      <x:c r="J988" s="7" t="str"/>
      <x:c r="K988" s="7" t="str"/>
      <x:c r="L988" s="7" t="str"/>
      <x:c r="M988" s="7" t="str"/>
      <x:c r="N988" s="7" t="str"/>
      <x:c r="O988" s="7" t="str">
        <x:f>IF(N988="","OPEN",IF(OR(I988="",J988="",K988="",L988="",M988=""),"FAIL","PASS"))</x:f>
        <x:v>OPEN</x:v>
      </x:c>
    </x:row>
    <x:row r="989">
      <x:c r="B989" s="7" t="str">
        <x:v>CH-PEA-B-X1-20-5</x:v>
      </x:c>
      <x:c r="C989" s="7" t="str">
        <x:v>PEA-B-X1</x:v>
      </x:c>
      <x:c r="D989" s="7" t="str">
        <x:v>BLD-B</x:v>
      </x:c>
      <x:c r="E989" s="7" t="str">
        <x:v>BL-X</x:v>
      </x:c>
      <x:c r="F989" s="7" t="str">
        <x:v>MF-20</x:v>
      </x:c>
      <x:c r="G989" s="7" t="str">
        <x:v>occupied-area state</x:v>
      </x:c>
      <x:c r="H989" s="7" t="n">
        <x:v>5</x:v>
      </x:c>
      <x:c r="I989" s="7" t="str"/>
      <x:c r="J989" s="7" t="str"/>
      <x:c r="K989" s="7" t="str"/>
      <x:c r="L989" s="7" t="str"/>
      <x:c r="M989" s="7" t="str"/>
      <x:c r="N989" s="7" t="str"/>
      <x:c r="O989" s="7" t="str">
        <x:f>IF(N989="","OPEN",IF(OR(I989="",J989="",K989="",L989="",M989=""),"FAIL","PASS"))</x:f>
        <x:v>OPEN</x:v>
      </x:c>
    </x:row>
    <x:row r="990">
      <x:c r="B990" s="7" t="str">
        <x:v>CH-PEA-B-X1-20-6</x:v>
      </x:c>
      <x:c r="C990" s="7" t="str">
        <x:v>PEA-B-X1</x:v>
      </x:c>
      <x:c r="D990" s="7" t="str">
        <x:v>BLD-B</x:v>
      </x:c>
      <x:c r="E990" s="7" t="str">
        <x:v>BL-X</x:v>
      </x:c>
      <x:c r="F990" s="7" t="str">
        <x:v>MF-20</x:v>
      </x:c>
      <x:c r="G990" s="7" t="str">
        <x:v>occupied-area state</x:v>
      </x:c>
      <x:c r="H990" s="7" t="n">
        <x:v>6</x:v>
      </x:c>
      <x:c r="I990" s="7" t="str"/>
      <x:c r="J990" s="7" t="str"/>
      <x:c r="K990" s="7" t="str"/>
      <x:c r="L990" s="7" t="str"/>
      <x:c r="M990" s="7" t="str"/>
      <x:c r="N990" s="7" t="str"/>
      <x:c r="O990" s="7" t="str">
        <x:f>IF(N990="","OPEN",IF(OR(I990="",J990="",K990="",L990="",M990=""),"FAIL","PASS"))</x:f>
        <x:v>OPEN</x:v>
      </x:c>
    </x:row>
    <x:row r="991">
      <x:c r="B991" s="7" t="str">
        <x:v>CH-PEA-B-X1-21-1</x:v>
      </x:c>
      <x:c r="C991" s="7" t="str">
        <x:v>PEA-B-X1</x:v>
      </x:c>
      <x:c r="D991" s="7" t="str">
        <x:v>BLD-B</x:v>
      </x:c>
      <x:c r="E991" s="7" t="str">
        <x:v>BL-X</x:v>
      </x:c>
      <x:c r="F991" s="7" t="str">
        <x:v>MF-21</x:v>
      </x:c>
      <x:c r="G991" s="7" t="str">
        <x:v>public-water flow</x:v>
      </x:c>
      <x:c r="H991" s="7" t="n">
        <x:v>1</x:v>
      </x:c>
      <x:c r="I991" s="7" t="str"/>
      <x:c r="J991" s="7" t="str"/>
      <x:c r="K991" s="7" t="str"/>
      <x:c r="L991" s="7" t="str"/>
      <x:c r="M991" s="7" t="str"/>
      <x:c r="N991" s="7" t="str"/>
      <x:c r="O991" s="7" t="str">
        <x:f>IF(N991="","OPEN",IF(OR(I991="",J991="",K991="",L991="",M991=""),"FAIL","PASS"))</x:f>
        <x:v>OPEN</x:v>
      </x:c>
    </x:row>
    <x:row r="992">
      <x:c r="B992" s="7" t="str">
        <x:v>CH-PEA-B-X1-21-2</x:v>
      </x:c>
      <x:c r="C992" s="7" t="str">
        <x:v>PEA-B-X1</x:v>
      </x:c>
      <x:c r="D992" s="7" t="str">
        <x:v>BLD-B</x:v>
      </x:c>
      <x:c r="E992" s="7" t="str">
        <x:v>BL-X</x:v>
      </x:c>
      <x:c r="F992" s="7" t="str">
        <x:v>MF-21</x:v>
      </x:c>
      <x:c r="G992" s="7" t="str">
        <x:v>public-water flow</x:v>
      </x:c>
      <x:c r="H992" s="7" t="n">
        <x:v>2</x:v>
      </x:c>
      <x:c r="I992" s="7" t="str"/>
      <x:c r="J992" s="7" t="str"/>
      <x:c r="K992" s="7" t="str"/>
      <x:c r="L992" s="7" t="str"/>
      <x:c r="M992" s="7" t="str"/>
      <x:c r="N992" s="7" t="str"/>
      <x:c r="O992" s="7" t="str">
        <x:f>IF(N992="","OPEN",IF(OR(I992="",J992="",K992="",L992="",M992=""),"FAIL","PASS"))</x:f>
        <x:v>OPEN</x:v>
      </x:c>
    </x:row>
    <x:row r="993">
      <x:c r="B993" s="7" t="str">
        <x:v>CH-PEA-B-X1-21-3</x:v>
      </x:c>
      <x:c r="C993" s="7" t="str">
        <x:v>PEA-B-X1</x:v>
      </x:c>
      <x:c r="D993" s="7" t="str">
        <x:v>BLD-B</x:v>
      </x:c>
      <x:c r="E993" s="7" t="str">
        <x:v>BL-X</x:v>
      </x:c>
      <x:c r="F993" s="7" t="str">
        <x:v>MF-21</x:v>
      </x:c>
      <x:c r="G993" s="7" t="str">
        <x:v>public-water flow</x:v>
      </x:c>
      <x:c r="H993" s="7" t="n">
        <x:v>3</x:v>
      </x:c>
      <x:c r="I993" s="7" t="str"/>
      <x:c r="J993" s="7" t="str"/>
      <x:c r="K993" s="7" t="str"/>
      <x:c r="L993" s="7" t="str"/>
      <x:c r="M993" s="7" t="str"/>
      <x:c r="N993" s="7" t="str"/>
      <x:c r="O993" s="7" t="str">
        <x:f>IF(N993="","OPEN",IF(OR(I993="",J993="",K993="",L993="",M993=""),"FAIL","PASS"))</x:f>
        <x:v>OPEN</x:v>
      </x:c>
    </x:row>
    <x:row r="994">
      <x:c r="B994" s="7" t="str">
        <x:v>CH-PEA-B-X1-21-4</x:v>
      </x:c>
      <x:c r="C994" s="7" t="str">
        <x:v>PEA-B-X1</x:v>
      </x:c>
      <x:c r="D994" s="7" t="str">
        <x:v>BLD-B</x:v>
      </x:c>
      <x:c r="E994" s="7" t="str">
        <x:v>BL-X</x:v>
      </x:c>
      <x:c r="F994" s="7" t="str">
        <x:v>MF-21</x:v>
      </x:c>
      <x:c r="G994" s="7" t="str">
        <x:v>public-water flow</x:v>
      </x:c>
      <x:c r="H994" s="7" t="n">
        <x:v>4</x:v>
      </x:c>
      <x:c r="I994" s="7" t="str"/>
      <x:c r="J994" s="7" t="str"/>
      <x:c r="K994" s="7" t="str"/>
      <x:c r="L994" s="7" t="str"/>
      <x:c r="M994" s="7" t="str"/>
      <x:c r="N994" s="7" t="str"/>
      <x:c r="O994" s="7" t="str">
        <x:f>IF(N994="","OPEN",IF(OR(I994="",J994="",K994="",L994="",M994=""),"FAIL","PASS"))</x:f>
        <x:v>OPEN</x:v>
      </x:c>
    </x:row>
    <x:row r="995">
      <x:c r="B995" s="7" t="str">
        <x:v>CH-PEA-B-X1-21-5</x:v>
      </x:c>
      <x:c r="C995" s="7" t="str">
        <x:v>PEA-B-X1</x:v>
      </x:c>
      <x:c r="D995" s="7" t="str">
        <x:v>BLD-B</x:v>
      </x:c>
      <x:c r="E995" s="7" t="str">
        <x:v>BL-X</x:v>
      </x:c>
      <x:c r="F995" s="7" t="str">
        <x:v>MF-21</x:v>
      </x:c>
      <x:c r="G995" s="7" t="str">
        <x:v>public-water flow</x:v>
      </x:c>
      <x:c r="H995" s="7" t="n">
        <x:v>5</x:v>
      </x:c>
      <x:c r="I995" s="7" t="str"/>
      <x:c r="J995" s="7" t="str"/>
      <x:c r="K995" s="7" t="str"/>
      <x:c r="L995" s="7" t="str"/>
      <x:c r="M995" s="7" t="str"/>
      <x:c r="N995" s="7" t="str"/>
      <x:c r="O995" s="7" t="str">
        <x:f>IF(N995="","OPEN",IF(OR(I995="",J995="",K995="",L995="",M995=""),"FAIL","PASS"))</x:f>
        <x:v>OPEN</x:v>
      </x:c>
    </x:row>
    <x:row r="996">
      <x:c r="B996" s="7" t="str">
        <x:v>CH-PEA-B-X1-21-6</x:v>
      </x:c>
      <x:c r="C996" s="7" t="str">
        <x:v>PEA-B-X1</x:v>
      </x:c>
      <x:c r="D996" s="7" t="str">
        <x:v>BLD-B</x:v>
      </x:c>
      <x:c r="E996" s="7" t="str">
        <x:v>BL-X</x:v>
      </x:c>
      <x:c r="F996" s="7" t="str">
        <x:v>MF-21</x:v>
      </x:c>
      <x:c r="G996" s="7" t="str">
        <x:v>public-water flow</x:v>
      </x:c>
      <x:c r="H996" s="7" t="n">
        <x:v>6</x:v>
      </x:c>
      <x:c r="I996" s="7" t="str"/>
      <x:c r="J996" s="7" t="str"/>
      <x:c r="K996" s="7" t="str"/>
      <x:c r="L996" s="7" t="str"/>
      <x:c r="M996" s="7" t="str"/>
      <x:c r="N996" s="7" t="str"/>
      <x:c r="O996" s="7" t="str">
        <x:f>IF(N996="","OPEN",IF(OR(I996="",J996="",K996="",L996="",M996=""),"FAIL","PASS"))</x:f>
        <x:v>OPEN</x:v>
      </x:c>
    </x:row>
    <x:row r="997">
      <x:c r="B997" s="7" t="str">
        <x:v>CH-PEA-B-X1-22-1</x:v>
      </x:c>
      <x:c r="C997" s="7" t="str">
        <x:v>PEA-B-X1</x:v>
      </x:c>
      <x:c r="D997" s="7" t="str">
        <x:v>BLD-B</x:v>
      </x:c>
      <x:c r="E997" s="7" t="str">
        <x:v>BL-X</x:v>
      </x:c>
      <x:c r="F997" s="7" t="str">
        <x:v>MF-22</x:v>
      </x:c>
      <x:c r="G997" s="7" t="str">
        <x:v>source ancestry</x:v>
      </x:c>
      <x:c r="H997" s="7" t="n">
        <x:v>1</x:v>
      </x:c>
      <x:c r="I997" s="7" t="str"/>
      <x:c r="J997" s="7" t="str"/>
      <x:c r="K997" s="7" t="str"/>
      <x:c r="L997" s="7" t="str"/>
      <x:c r="M997" s="7" t="str"/>
      <x:c r="N997" s="7" t="str"/>
      <x:c r="O997" s="7" t="str">
        <x:f>IF(N997="","OPEN",IF(OR(I997="",J997="",K997="",L997="",M997=""),"FAIL","PASS"))</x:f>
        <x:v>OPEN</x:v>
      </x:c>
    </x:row>
    <x:row r="998">
      <x:c r="B998" s="7" t="str">
        <x:v>CH-PEA-B-X1-22-2</x:v>
      </x:c>
      <x:c r="C998" s="7" t="str">
        <x:v>PEA-B-X1</x:v>
      </x:c>
      <x:c r="D998" s="7" t="str">
        <x:v>BLD-B</x:v>
      </x:c>
      <x:c r="E998" s="7" t="str">
        <x:v>BL-X</x:v>
      </x:c>
      <x:c r="F998" s="7" t="str">
        <x:v>MF-22</x:v>
      </x:c>
      <x:c r="G998" s="7" t="str">
        <x:v>source ancestry</x:v>
      </x:c>
      <x:c r="H998" s="7" t="n">
        <x:v>2</x:v>
      </x:c>
      <x:c r="I998" s="7" t="str"/>
      <x:c r="J998" s="7" t="str"/>
      <x:c r="K998" s="7" t="str"/>
      <x:c r="L998" s="7" t="str"/>
      <x:c r="M998" s="7" t="str"/>
      <x:c r="N998" s="7" t="str"/>
      <x:c r="O998" s="7" t="str">
        <x:f>IF(N998="","OPEN",IF(OR(I998="",J998="",K998="",L998="",M998=""),"FAIL","PASS"))</x:f>
        <x:v>OPEN</x:v>
      </x:c>
    </x:row>
    <x:row r="999">
      <x:c r="B999" s="7" t="str">
        <x:v>CH-PEA-B-X1-22-3</x:v>
      </x:c>
      <x:c r="C999" s="7" t="str">
        <x:v>PEA-B-X1</x:v>
      </x:c>
      <x:c r="D999" s="7" t="str">
        <x:v>BLD-B</x:v>
      </x:c>
      <x:c r="E999" s="7" t="str">
        <x:v>BL-X</x:v>
      </x:c>
      <x:c r="F999" s="7" t="str">
        <x:v>MF-22</x:v>
      </x:c>
      <x:c r="G999" s="7" t="str">
        <x:v>source ancestry</x:v>
      </x:c>
      <x:c r="H999" s="7" t="n">
        <x:v>3</x:v>
      </x:c>
      <x:c r="I999" s="7" t="str"/>
      <x:c r="J999" s="7" t="str"/>
      <x:c r="K999" s="7" t="str"/>
      <x:c r="L999" s="7" t="str"/>
      <x:c r="M999" s="7" t="str"/>
      <x:c r="N999" s="7" t="str"/>
      <x:c r="O999" s="7" t="str">
        <x:f>IF(N999="","OPEN",IF(OR(I999="",J999="",K999="",L999="",M999=""),"FAIL","PASS"))</x:f>
        <x:v>OPEN</x:v>
      </x:c>
    </x:row>
    <x:row r="1000">
      <x:c r="B1000" s="7" t="str">
        <x:v>CH-PEA-B-X1-22-4</x:v>
      </x:c>
      <x:c r="C1000" s="7" t="str">
        <x:v>PEA-B-X1</x:v>
      </x:c>
      <x:c r="D1000" s="7" t="str">
        <x:v>BLD-B</x:v>
      </x:c>
      <x:c r="E1000" s="7" t="str">
        <x:v>BL-X</x:v>
      </x:c>
      <x:c r="F1000" s="7" t="str">
        <x:v>MF-22</x:v>
      </x:c>
      <x:c r="G1000" s="7" t="str">
        <x:v>source ancestry</x:v>
      </x:c>
      <x:c r="H1000" s="7" t="n">
        <x:v>4</x:v>
      </x:c>
      <x:c r="I1000" s="7" t="str"/>
      <x:c r="J1000" s="7" t="str"/>
      <x:c r="K1000" s="7" t="str"/>
      <x:c r="L1000" s="7" t="str"/>
      <x:c r="M1000" s="7" t="str"/>
      <x:c r="N1000" s="7" t="str"/>
      <x:c r="O1000" s="7" t="str">
        <x:f>IF(N1000="","OPEN",IF(OR(I1000="",J1000="",K1000="",L1000="",M1000=""),"FAIL","PASS"))</x:f>
        <x:v>OPEN</x:v>
      </x:c>
    </x:row>
    <x:row r="1001">
      <x:c r="B1001" s="7" t="str">
        <x:v>CH-PEA-B-X1-22-5</x:v>
      </x:c>
      <x:c r="C1001" s="7" t="str">
        <x:v>PEA-B-X1</x:v>
      </x:c>
      <x:c r="D1001" s="7" t="str">
        <x:v>BLD-B</x:v>
      </x:c>
      <x:c r="E1001" s="7" t="str">
        <x:v>BL-X</x:v>
      </x:c>
      <x:c r="F1001" s="7" t="str">
        <x:v>MF-22</x:v>
      </x:c>
      <x:c r="G1001" s="7" t="str">
        <x:v>source ancestry</x:v>
      </x:c>
      <x:c r="H1001" s="7" t="n">
        <x:v>5</x:v>
      </x:c>
      <x:c r="I1001" s="7" t="str"/>
      <x:c r="J1001" s="7" t="str"/>
      <x:c r="K1001" s="7" t="str"/>
      <x:c r="L1001" s="7" t="str"/>
      <x:c r="M1001" s="7" t="str"/>
      <x:c r="N1001" s="7" t="str"/>
      <x:c r="O1001" s="7" t="str">
        <x:f>IF(N1001="","OPEN",IF(OR(I1001="",J1001="",K1001="",L1001="",M1001=""),"FAIL","PASS"))</x:f>
        <x:v>OPEN</x:v>
      </x:c>
    </x:row>
    <x:row r="1002">
      <x:c r="B1002" s="7" t="str">
        <x:v>CH-PEA-B-X1-22-6</x:v>
      </x:c>
      <x:c r="C1002" s="7" t="str">
        <x:v>PEA-B-X1</x:v>
      </x:c>
      <x:c r="D1002" s="7" t="str">
        <x:v>BLD-B</x:v>
      </x:c>
      <x:c r="E1002" s="7" t="str">
        <x:v>BL-X</x:v>
      </x:c>
      <x:c r="F1002" s="7" t="str">
        <x:v>MF-22</x:v>
      </x:c>
      <x:c r="G1002" s="7" t="str">
        <x:v>source ancestry</x:v>
      </x:c>
      <x:c r="H1002" s="7" t="n">
        <x:v>6</x:v>
      </x:c>
      <x:c r="I1002" s="7" t="str"/>
      <x:c r="J1002" s="7" t="str"/>
      <x:c r="K1002" s="7" t="str"/>
      <x:c r="L1002" s="7" t="str"/>
      <x:c r="M1002" s="7" t="str"/>
      <x:c r="N1002" s="7" t="str"/>
      <x:c r="O1002" s="7" t="str">
        <x:f>IF(N1002="","OPEN",IF(OR(I1002="",J1002="",K1002="",L1002="",M1002=""),"FAIL","PASS"))</x:f>
        <x:v>OPEN</x:v>
      </x:c>
    </x:row>
    <x:row r="1003">
      <x:c r="B1003" s="7" t="str">
        <x:v>CH-PEA-B-X1-23-1</x:v>
      </x:c>
      <x:c r="C1003" s="7" t="str">
        <x:v>PEA-B-X1</x:v>
      </x:c>
      <x:c r="D1003" s="7" t="str">
        <x:v>BLD-B</x:v>
      </x:c>
      <x:c r="E1003" s="7" t="str">
        <x:v>BL-X</x:v>
      </x:c>
      <x:c r="F1003" s="7" t="str">
        <x:v>MF-23</x:v>
      </x:c>
      <x:c r="G1003" s="7" t="str">
        <x:v>water ancestry</x:v>
      </x:c>
      <x:c r="H1003" s="7" t="n">
        <x:v>1</x:v>
      </x:c>
      <x:c r="I1003" s="7" t="str"/>
      <x:c r="J1003" s="7" t="str"/>
      <x:c r="K1003" s="7" t="str"/>
      <x:c r="L1003" s="7" t="str"/>
      <x:c r="M1003" s="7" t="str"/>
      <x:c r="N1003" s="7" t="str"/>
      <x:c r="O1003" s="7" t="str">
        <x:f>IF(N1003="","OPEN",IF(OR(I1003="",J1003="",K1003="",L1003="",M1003=""),"FAIL","PASS"))</x:f>
        <x:v>OPEN</x:v>
      </x:c>
    </x:row>
    <x:row r="1004">
      <x:c r="B1004" s="7" t="str">
        <x:v>CH-PEA-B-X1-23-2</x:v>
      </x:c>
      <x:c r="C1004" s="7" t="str">
        <x:v>PEA-B-X1</x:v>
      </x:c>
      <x:c r="D1004" s="7" t="str">
        <x:v>BLD-B</x:v>
      </x:c>
      <x:c r="E1004" s="7" t="str">
        <x:v>BL-X</x:v>
      </x:c>
      <x:c r="F1004" s="7" t="str">
        <x:v>MF-23</x:v>
      </x:c>
      <x:c r="G1004" s="7" t="str">
        <x:v>water ancestry</x:v>
      </x:c>
      <x:c r="H1004" s="7" t="n">
        <x:v>2</x:v>
      </x:c>
      <x:c r="I1004" s="7" t="str"/>
      <x:c r="J1004" s="7" t="str"/>
      <x:c r="K1004" s="7" t="str"/>
      <x:c r="L1004" s="7" t="str"/>
      <x:c r="M1004" s="7" t="str"/>
      <x:c r="N1004" s="7" t="str"/>
      <x:c r="O1004" s="7" t="str">
        <x:f>IF(N1004="","OPEN",IF(OR(I1004="",J1004="",K1004="",L1004="",M1004=""),"FAIL","PASS"))</x:f>
        <x:v>OPEN</x:v>
      </x:c>
    </x:row>
    <x:row r="1005">
      <x:c r="B1005" s="7" t="str">
        <x:v>CH-PEA-B-X1-23-3</x:v>
      </x:c>
      <x:c r="C1005" s="7" t="str">
        <x:v>PEA-B-X1</x:v>
      </x:c>
      <x:c r="D1005" s="7" t="str">
        <x:v>BLD-B</x:v>
      </x:c>
      <x:c r="E1005" s="7" t="str">
        <x:v>BL-X</x:v>
      </x:c>
      <x:c r="F1005" s="7" t="str">
        <x:v>MF-23</x:v>
      </x:c>
      <x:c r="G1005" s="7" t="str">
        <x:v>water ancestry</x:v>
      </x:c>
      <x:c r="H1005" s="7" t="n">
        <x:v>3</x:v>
      </x:c>
      <x:c r="I1005" s="7" t="str"/>
      <x:c r="J1005" s="7" t="str"/>
      <x:c r="K1005" s="7" t="str"/>
      <x:c r="L1005" s="7" t="str"/>
      <x:c r="M1005" s="7" t="str"/>
      <x:c r="N1005" s="7" t="str"/>
      <x:c r="O1005" s="7" t="str">
        <x:f>IF(N1005="","OPEN",IF(OR(I1005="",J1005="",K1005="",L1005="",M1005=""),"FAIL","PASS"))</x:f>
        <x:v>OPEN</x:v>
      </x:c>
    </x:row>
    <x:row r="1006">
      <x:c r="B1006" s="7" t="str">
        <x:v>CH-PEA-B-X1-23-4</x:v>
      </x:c>
      <x:c r="C1006" s="7" t="str">
        <x:v>PEA-B-X1</x:v>
      </x:c>
      <x:c r="D1006" s="7" t="str">
        <x:v>BLD-B</x:v>
      </x:c>
      <x:c r="E1006" s="7" t="str">
        <x:v>BL-X</x:v>
      </x:c>
      <x:c r="F1006" s="7" t="str">
        <x:v>MF-23</x:v>
      </x:c>
      <x:c r="G1006" s="7" t="str">
        <x:v>water ancestry</x:v>
      </x:c>
      <x:c r="H1006" s="7" t="n">
        <x:v>4</x:v>
      </x:c>
      <x:c r="I1006" s="7" t="str"/>
      <x:c r="J1006" s="7" t="str"/>
      <x:c r="K1006" s="7" t="str"/>
      <x:c r="L1006" s="7" t="str"/>
      <x:c r="M1006" s="7" t="str"/>
      <x:c r="N1006" s="7" t="str"/>
      <x:c r="O1006" s="7" t="str">
        <x:f>IF(N1006="","OPEN",IF(OR(I1006="",J1006="",K1006="",L1006="",M1006=""),"FAIL","PASS"))</x:f>
        <x:v>OPEN</x:v>
      </x:c>
    </x:row>
    <x:row r="1007">
      <x:c r="B1007" s="7" t="str">
        <x:v>CH-PEA-B-X1-23-5</x:v>
      </x:c>
      <x:c r="C1007" s="7" t="str">
        <x:v>PEA-B-X1</x:v>
      </x:c>
      <x:c r="D1007" s="7" t="str">
        <x:v>BLD-B</x:v>
      </x:c>
      <x:c r="E1007" s="7" t="str">
        <x:v>BL-X</x:v>
      </x:c>
      <x:c r="F1007" s="7" t="str">
        <x:v>MF-23</x:v>
      </x:c>
      <x:c r="G1007" s="7" t="str">
        <x:v>water ancestry</x:v>
      </x:c>
      <x:c r="H1007" s="7" t="n">
        <x:v>5</x:v>
      </x:c>
      <x:c r="I1007" s="7" t="str"/>
      <x:c r="J1007" s="7" t="str"/>
      <x:c r="K1007" s="7" t="str"/>
      <x:c r="L1007" s="7" t="str"/>
      <x:c r="M1007" s="7" t="str"/>
      <x:c r="N1007" s="7" t="str"/>
      <x:c r="O1007" s="7" t="str">
        <x:f>IF(N1007="","OPEN",IF(OR(I1007="",J1007="",K1007="",L1007="",M1007=""),"FAIL","PASS"))</x:f>
        <x:v>OPEN</x:v>
      </x:c>
    </x:row>
    <x:row r="1008">
      <x:c r="B1008" s="7" t="str">
        <x:v>CH-PEA-B-X1-23-6</x:v>
      </x:c>
      <x:c r="C1008" s="7" t="str">
        <x:v>PEA-B-X1</x:v>
      </x:c>
      <x:c r="D1008" s="7" t="str">
        <x:v>BLD-B</x:v>
      </x:c>
      <x:c r="E1008" s="7" t="str">
        <x:v>BL-X</x:v>
      </x:c>
      <x:c r="F1008" s="7" t="str">
        <x:v>MF-23</x:v>
      </x:c>
      <x:c r="G1008" s="7" t="str">
        <x:v>water ancestry</x:v>
      </x:c>
      <x:c r="H1008" s="7" t="n">
        <x:v>6</x:v>
      </x:c>
      <x:c r="I1008" s="7" t="str"/>
      <x:c r="J1008" s="7" t="str"/>
      <x:c r="K1008" s="7" t="str"/>
      <x:c r="L1008" s="7" t="str"/>
      <x:c r="M1008" s="7" t="str"/>
      <x:c r="N1008" s="7" t="str"/>
      <x:c r="O1008" s="7" t="str">
        <x:f>IF(N1008="","OPEN",IF(OR(I1008="",J1008="",K1008="",L1008="",M1008=""),"FAIL","PASS"))</x:f>
        <x:v>OPEN</x:v>
      </x:c>
    </x:row>
    <x:row r="1009">
      <x:c r="B1009" s="7" t="str">
        <x:v>CH-PEA-B-X1-24-1</x:v>
      </x:c>
      <x:c r="C1009" s="7" t="str">
        <x:v>PEA-B-X1</x:v>
      </x:c>
      <x:c r="D1009" s="7" t="str">
        <x:v>BLD-B</x:v>
      </x:c>
      <x:c r="E1009" s="7" t="str">
        <x:v>BL-X</x:v>
      </x:c>
      <x:c r="F1009" s="7" t="str">
        <x:v>MF-24</x:v>
      </x:c>
      <x:c r="G1009" s="7" t="str">
        <x:v>evidence health</x:v>
      </x:c>
      <x:c r="H1009" s="7" t="n">
        <x:v>1</x:v>
      </x:c>
      <x:c r="I1009" s="7" t="str"/>
      <x:c r="J1009" s="7" t="str"/>
      <x:c r="K1009" s="7" t="str"/>
      <x:c r="L1009" s="7" t="str"/>
      <x:c r="M1009" s="7" t="str"/>
      <x:c r="N1009" s="7" t="str"/>
      <x:c r="O1009" s="7" t="str">
        <x:f>IF(N1009="","OPEN",IF(OR(I1009="",J1009="",K1009="",L1009="",M1009=""),"FAIL","PASS"))</x:f>
        <x:v>OPEN</x:v>
      </x:c>
    </x:row>
    <x:row r="1010">
      <x:c r="B1010" s="7" t="str">
        <x:v>CH-PEA-B-X1-24-2</x:v>
      </x:c>
      <x:c r="C1010" s="7" t="str">
        <x:v>PEA-B-X1</x:v>
      </x:c>
      <x:c r="D1010" s="7" t="str">
        <x:v>BLD-B</x:v>
      </x:c>
      <x:c r="E1010" s="7" t="str">
        <x:v>BL-X</x:v>
      </x:c>
      <x:c r="F1010" s="7" t="str">
        <x:v>MF-24</x:v>
      </x:c>
      <x:c r="G1010" s="7" t="str">
        <x:v>evidence health</x:v>
      </x:c>
      <x:c r="H1010" s="7" t="n">
        <x:v>2</x:v>
      </x:c>
      <x:c r="I1010" s="7" t="str"/>
      <x:c r="J1010" s="7" t="str"/>
      <x:c r="K1010" s="7" t="str"/>
      <x:c r="L1010" s="7" t="str"/>
      <x:c r="M1010" s="7" t="str"/>
      <x:c r="N1010" s="7" t="str"/>
      <x:c r="O1010" s="7" t="str">
        <x:f>IF(N1010="","OPEN",IF(OR(I1010="",J1010="",K1010="",L1010="",M1010=""),"FAIL","PASS"))</x:f>
        <x:v>OPEN</x:v>
      </x:c>
    </x:row>
    <x:row r="1011">
      <x:c r="B1011" s="7" t="str">
        <x:v>CH-PEA-B-X1-24-3</x:v>
      </x:c>
      <x:c r="C1011" s="7" t="str">
        <x:v>PEA-B-X1</x:v>
      </x:c>
      <x:c r="D1011" s="7" t="str">
        <x:v>BLD-B</x:v>
      </x:c>
      <x:c r="E1011" s="7" t="str">
        <x:v>BL-X</x:v>
      </x:c>
      <x:c r="F1011" s="7" t="str">
        <x:v>MF-24</x:v>
      </x:c>
      <x:c r="G1011" s="7" t="str">
        <x:v>evidence health</x:v>
      </x:c>
      <x:c r="H1011" s="7" t="n">
        <x:v>3</x:v>
      </x:c>
      <x:c r="I1011" s="7" t="str"/>
      <x:c r="J1011" s="7" t="str"/>
      <x:c r="K1011" s="7" t="str"/>
      <x:c r="L1011" s="7" t="str"/>
      <x:c r="M1011" s="7" t="str"/>
      <x:c r="N1011" s="7" t="str"/>
      <x:c r="O1011" s="7" t="str">
        <x:f>IF(N1011="","OPEN",IF(OR(I1011="",J1011="",K1011="",L1011="",M1011=""),"FAIL","PASS"))</x:f>
        <x:v>OPEN</x:v>
      </x:c>
    </x:row>
    <x:row r="1012">
      <x:c r="B1012" s="7" t="str">
        <x:v>CH-PEA-B-X1-24-4</x:v>
      </x:c>
      <x:c r="C1012" s="7" t="str">
        <x:v>PEA-B-X1</x:v>
      </x:c>
      <x:c r="D1012" s="7" t="str">
        <x:v>BLD-B</x:v>
      </x:c>
      <x:c r="E1012" s="7" t="str">
        <x:v>BL-X</x:v>
      </x:c>
      <x:c r="F1012" s="7" t="str">
        <x:v>MF-24</x:v>
      </x:c>
      <x:c r="G1012" s="7" t="str">
        <x:v>evidence health</x:v>
      </x:c>
      <x:c r="H1012" s="7" t="n">
        <x:v>4</x:v>
      </x:c>
      <x:c r="I1012" s="7" t="str"/>
      <x:c r="J1012" s="7" t="str"/>
      <x:c r="K1012" s="7" t="str"/>
      <x:c r="L1012" s="7" t="str"/>
      <x:c r="M1012" s="7" t="str"/>
      <x:c r="N1012" s="7" t="str"/>
      <x:c r="O1012" s="7" t="str">
        <x:f>IF(N1012="","OPEN",IF(OR(I1012="",J1012="",K1012="",L1012="",M1012=""),"FAIL","PASS"))</x:f>
        <x:v>OPEN</x:v>
      </x:c>
    </x:row>
    <x:row r="1013">
      <x:c r="B1013" s="7" t="str">
        <x:v>CH-PEA-B-X1-24-5</x:v>
      </x:c>
      <x:c r="C1013" s="7" t="str">
        <x:v>PEA-B-X1</x:v>
      </x:c>
      <x:c r="D1013" s="7" t="str">
        <x:v>BLD-B</x:v>
      </x:c>
      <x:c r="E1013" s="7" t="str">
        <x:v>BL-X</x:v>
      </x:c>
      <x:c r="F1013" s="7" t="str">
        <x:v>MF-24</x:v>
      </x:c>
      <x:c r="G1013" s="7" t="str">
        <x:v>evidence health</x:v>
      </x:c>
      <x:c r="H1013" s="7" t="n">
        <x:v>5</x:v>
      </x:c>
      <x:c r="I1013" s="7" t="str"/>
      <x:c r="J1013" s="7" t="str"/>
      <x:c r="K1013" s="7" t="str"/>
      <x:c r="L1013" s="7" t="str"/>
      <x:c r="M1013" s="7" t="str"/>
      <x:c r="N1013" s="7" t="str"/>
      <x:c r="O1013" s="7" t="str">
        <x:f>IF(N1013="","OPEN",IF(OR(I1013="",J1013="",K1013="",L1013="",M1013=""),"FAIL","PASS"))</x:f>
        <x:v>OPEN</x:v>
      </x:c>
    </x:row>
    <x:row r="1014">
      <x:c r="B1014" s="7" t="str">
        <x:v>CH-PEA-B-X1-24-6</x:v>
      </x:c>
      <x:c r="C1014" s="7" t="str">
        <x:v>PEA-B-X1</x:v>
      </x:c>
      <x:c r="D1014" s="7" t="str">
        <x:v>BLD-B</x:v>
      </x:c>
      <x:c r="E1014" s="7" t="str">
        <x:v>BL-X</x:v>
      </x:c>
      <x:c r="F1014" s="7" t="str">
        <x:v>MF-24</x:v>
      </x:c>
      <x:c r="G1014" s="7" t="str">
        <x:v>evidence health</x:v>
      </x:c>
      <x:c r="H1014" s="7" t="n">
        <x:v>6</x:v>
      </x:c>
      <x:c r="I1014" s="7" t="str"/>
      <x:c r="J1014" s="7" t="str"/>
      <x:c r="K1014" s="7" t="str"/>
      <x:c r="L1014" s="7" t="str"/>
      <x:c r="M1014" s="7" t="str"/>
      <x:c r="N1014" s="7" t="str"/>
      <x:c r="O1014" s="7" t="str">
        <x:f>IF(N1014="","OPEN",IF(OR(I1014="",J1014="",K1014="",L1014="",M1014=""),"FAIL","PASS"))</x:f>
        <x:v>OPEN</x:v>
      </x:c>
    </x:row>
    <x:row r="1015">
      <x:c r="B1015" s="7" t="str">
        <x:v>CH-PEA-B-X2-01-1</x:v>
      </x:c>
      <x:c r="C1015" s="7" t="str">
        <x:v>PEA-B-X2</x:v>
      </x:c>
      <x:c r="D1015" s="7" t="str">
        <x:v>BLD-B</x:v>
      </x:c>
      <x:c r="E1015" s="7" t="str">
        <x:v>BL-X</x:v>
      </x:c>
      <x:c r="F1015" s="7" t="str">
        <x:v>MF-01</x:v>
      </x:c>
      <x:c r="G1015" s="7" t="str">
        <x:v>source vessel mass</x:v>
      </x:c>
      <x:c r="H1015" s="7" t="n">
        <x:v>1</x:v>
      </x:c>
      <x:c r="I1015" s="7" t="str"/>
      <x:c r="J1015" s="7" t="str"/>
      <x:c r="K1015" s="7" t="str"/>
      <x:c r="L1015" s="7" t="str"/>
      <x:c r="M1015" s="7" t="str"/>
      <x:c r="N1015" s="7" t="str"/>
      <x:c r="O1015" s="7" t="str">
        <x:f>IF(N1015="","OPEN",IF(OR(I1015="",J1015="",K1015="",L1015="",M1015=""),"FAIL","PASS"))</x:f>
        <x:v>OPEN</x:v>
      </x:c>
    </x:row>
    <x:row r="1016">
      <x:c r="B1016" s="7" t="str">
        <x:v>CH-PEA-B-X2-01-2</x:v>
      </x:c>
      <x:c r="C1016" s="7" t="str">
        <x:v>PEA-B-X2</x:v>
      </x:c>
      <x:c r="D1016" s="7" t="str">
        <x:v>BLD-B</x:v>
      </x:c>
      <x:c r="E1016" s="7" t="str">
        <x:v>BL-X</x:v>
      </x:c>
      <x:c r="F1016" s="7" t="str">
        <x:v>MF-01</x:v>
      </x:c>
      <x:c r="G1016" s="7" t="str">
        <x:v>source vessel mass</x:v>
      </x:c>
      <x:c r="H1016" s="7" t="n">
        <x:v>2</x:v>
      </x:c>
      <x:c r="I1016" s="7" t="str"/>
      <x:c r="J1016" s="7" t="str"/>
      <x:c r="K1016" s="7" t="str"/>
      <x:c r="L1016" s="7" t="str"/>
      <x:c r="M1016" s="7" t="str"/>
      <x:c r="N1016" s="7" t="str"/>
      <x:c r="O1016" s="7" t="str">
        <x:f>IF(N1016="","OPEN",IF(OR(I1016="",J1016="",K1016="",L1016="",M1016=""),"FAIL","PASS"))</x:f>
        <x:v>OPEN</x:v>
      </x:c>
    </x:row>
    <x:row r="1017">
      <x:c r="B1017" s="7" t="str">
        <x:v>CH-PEA-B-X2-01-3</x:v>
      </x:c>
      <x:c r="C1017" s="7" t="str">
        <x:v>PEA-B-X2</x:v>
      </x:c>
      <x:c r="D1017" s="7" t="str">
        <x:v>BLD-B</x:v>
      </x:c>
      <x:c r="E1017" s="7" t="str">
        <x:v>BL-X</x:v>
      </x:c>
      <x:c r="F1017" s="7" t="str">
        <x:v>MF-01</x:v>
      </x:c>
      <x:c r="G1017" s="7" t="str">
        <x:v>source vessel mass</x:v>
      </x:c>
      <x:c r="H1017" s="7" t="n">
        <x:v>3</x:v>
      </x:c>
      <x:c r="I1017" s="7" t="str"/>
      <x:c r="J1017" s="7" t="str"/>
      <x:c r="K1017" s="7" t="str"/>
      <x:c r="L1017" s="7" t="str"/>
      <x:c r="M1017" s="7" t="str"/>
      <x:c r="N1017" s="7" t="str"/>
      <x:c r="O1017" s="7" t="str">
        <x:f>IF(N1017="","OPEN",IF(OR(I1017="",J1017="",K1017="",L1017="",M1017=""),"FAIL","PASS"))</x:f>
        <x:v>OPEN</x:v>
      </x:c>
    </x:row>
    <x:row r="1018">
      <x:c r="B1018" s="7" t="str">
        <x:v>CH-PEA-B-X2-01-4</x:v>
      </x:c>
      <x:c r="C1018" s="7" t="str">
        <x:v>PEA-B-X2</x:v>
      </x:c>
      <x:c r="D1018" s="7" t="str">
        <x:v>BLD-B</x:v>
      </x:c>
      <x:c r="E1018" s="7" t="str">
        <x:v>BL-X</x:v>
      </x:c>
      <x:c r="F1018" s="7" t="str">
        <x:v>MF-01</x:v>
      </x:c>
      <x:c r="G1018" s="7" t="str">
        <x:v>source vessel mass</x:v>
      </x:c>
      <x:c r="H1018" s="7" t="n">
        <x:v>4</x:v>
      </x:c>
      <x:c r="I1018" s="7" t="str"/>
      <x:c r="J1018" s="7" t="str"/>
      <x:c r="K1018" s="7" t="str"/>
      <x:c r="L1018" s="7" t="str"/>
      <x:c r="M1018" s="7" t="str"/>
      <x:c r="N1018" s="7" t="str"/>
      <x:c r="O1018" s="7" t="str">
        <x:f>IF(N1018="","OPEN",IF(OR(I1018="",J1018="",K1018="",L1018="",M1018=""),"FAIL","PASS"))</x:f>
        <x:v>OPEN</x:v>
      </x:c>
    </x:row>
    <x:row r="1019">
      <x:c r="B1019" s="7" t="str">
        <x:v>CH-PEA-B-X2-01-5</x:v>
      </x:c>
      <x:c r="C1019" s="7" t="str">
        <x:v>PEA-B-X2</x:v>
      </x:c>
      <x:c r="D1019" s="7" t="str">
        <x:v>BLD-B</x:v>
      </x:c>
      <x:c r="E1019" s="7" t="str">
        <x:v>BL-X</x:v>
      </x:c>
      <x:c r="F1019" s="7" t="str">
        <x:v>MF-01</x:v>
      </x:c>
      <x:c r="G1019" s="7" t="str">
        <x:v>source vessel mass</x:v>
      </x:c>
      <x:c r="H1019" s="7" t="n">
        <x:v>5</x:v>
      </x:c>
      <x:c r="I1019" s="7" t="str"/>
      <x:c r="J1019" s="7" t="str"/>
      <x:c r="K1019" s="7" t="str"/>
      <x:c r="L1019" s="7" t="str"/>
      <x:c r="M1019" s="7" t="str"/>
      <x:c r="N1019" s="7" t="str"/>
      <x:c r="O1019" s="7" t="str">
        <x:f>IF(N1019="","OPEN",IF(OR(I1019="",J1019="",K1019="",L1019="",M1019=""),"FAIL","PASS"))</x:f>
        <x:v>OPEN</x:v>
      </x:c>
    </x:row>
    <x:row r="1020">
      <x:c r="B1020" s="7" t="str">
        <x:v>CH-PEA-B-X2-01-6</x:v>
      </x:c>
      <x:c r="C1020" s="7" t="str">
        <x:v>PEA-B-X2</x:v>
      </x:c>
      <x:c r="D1020" s="7" t="str">
        <x:v>BLD-B</x:v>
      </x:c>
      <x:c r="E1020" s="7" t="str">
        <x:v>BL-X</x:v>
      </x:c>
      <x:c r="F1020" s="7" t="str">
        <x:v>MF-01</x:v>
      </x:c>
      <x:c r="G1020" s="7" t="str">
        <x:v>source vessel mass</x:v>
      </x:c>
      <x:c r="H1020" s="7" t="n">
        <x:v>6</x:v>
      </x:c>
      <x:c r="I1020" s="7" t="str"/>
      <x:c r="J1020" s="7" t="str"/>
      <x:c r="K1020" s="7" t="str"/>
      <x:c r="L1020" s="7" t="str"/>
      <x:c r="M1020" s="7" t="str"/>
      <x:c r="N1020" s="7" t="str"/>
      <x:c r="O1020" s="7" t="str">
        <x:f>IF(N1020="","OPEN",IF(OR(I1020="",J1020="",K1020="",L1020="",M1020=""),"FAIL","PASS"))</x:f>
        <x:v>OPEN</x:v>
      </x:c>
    </x:row>
    <x:row r="1021">
      <x:c r="B1021" s="7" t="str">
        <x:v>CH-PEA-B-X2-02-1</x:v>
      </x:c>
      <x:c r="C1021" s="7" t="str">
        <x:v>PEA-B-X2</x:v>
      </x:c>
      <x:c r="D1021" s="7" t="str">
        <x:v>BLD-B</x:v>
      </x:c>
      <x:c r="E1021" s="7" t="str">
        <x:v>BL-X</x:v>
      </x:c>
      <x:c r="F1021" s="7" t="str">
        <x:v>MF-02</x:v>
      </x:c>
      <x:c r="G1021" s="7" t="str">
        <x:v>transfer mass</x:v>
      </x:c>
      <x:c r="H1021" s="7" t="n">
        <x:v>1</x:v>
      </x:c>
      <x:c r="I1021" s="7" t="str"/>
      <x:c r="J1021" s="7" t="str"/>
      <x:c r="K1021" s="7" t="str"/>
      <x:c r="L1021" s="7" t="str"/>
      <x:c r="M1021" s="7" t="str"/>
      <x:c r="N1021" s="7" t="str"/>
      <x:c r="O1021" s="7" t="str">
        <x:f>IF(N1021="","OPEN",IF(OR(I1021="",J1021="",K1021="",L1021="",M1021=""),"FAIL","PASS"))</x:f>
        <x:v>OPEN</x:v>
      </x:c>
    </x:row>
    <x:row r="1022">
      <x:c r="B1022" s="7" t="str">
        <x:v>CH-PEA-B-X2-02-2</x:v>
      </x:c>
      <x:c r="C1022" s="7" t="str">
        <x:v>PEA-B-X2</x:v>
      </x:c>
      <x:c r="D1022" s="7" t="str">
        <x:v>BLD-B</x:v>
      </x:c>
      <x:c r="E1022" s="7" t="str">
        <x:v>BL-X</x:v>
      </x:c>
      <x:c r="F1022" s="7" t="str">
        <x:v>MF-02</x:v>
      </x:c>
      <x:c r="G1022" s="7" t="str">
        <x:v>transfer mass</x:v>
      </x:c>
      <x:c r="H1022" s="7" t="n">
        <x:v>2</x:v>
      </x:c>
      <x:c r="I1022" s="7" t="str"/>
      <x:c r="J1022" s="7" t="str"/>
      <x:c r="K1022" s="7" t="str"/>
      <x:c r="L1022" s="7" t="str"/>
      <x:c r="M1022" s="7" t="str"/>
      <x:c r="N1022" s="7" t="str"/>
      <x:c r="O1022" s="7" t="str">
        <x:f>IF(N1022="","OPEN",IF(OR(I1022="",J1022="",K1022="",L1022="",M1022=""),"FAIL","PASS"))</x:f>
        <x:v>OPEN</x:v>
      </x:c>
    </x:row>
    <x:row r="1023">
      <x:c r="B1023" s="7" t="str">
        <x:v>CH-PEA-B-X2-02-3</x:v>
      </x:c>
      <x:c r="C1023" s="7" t="str">
        <x:v>PEA-B-X2</x:v>
      </x:c>
      <x:c r="D1023" s="7" t="str">
        <x:v>BLD-B</x:v>
      </x:c>
      <x:c r="E1023" s="7" t="str">
        <x:v>BL-X</x:v>
      </x:c>
      <x:c r="F1023" s="7" t="str">
        <x:v>MF-02</x:v>
      </x:c>
      <x:c r="G1023" s="7" t="str">
        <x:v>transfer mass</x:v>
      </x:c>
      <x:c r="H1023" s="7" t="n">
        <x:v>3</x:v>
      </x:c>
      <x:c r="I1023" s="7" t="str"/>
      <x:c r="J1023" s="7" t="str"/>
      <x:c r="K1023" s="7" t="str"/>
      <x:c r="L1023" s="7" t="str"/>
      <x:c r="M1023" s="7" t="str"/>
      <x:c r="N1023" s="7" t="str"/>
      <x:c r="O1023" s="7" t="str">
        <x:f>IF(N1023="","OPEN",IF(OR(I1023="",J1023="",K1023="",L1023="",M1023=""),"FAIL","PASS"))</x:f>
        <x:v>OPEN</x:v>
      </x:c>
    </x:row>
    <x:row r="1024">
      <x:c r="B1024" s="7" t="str">
        <x:v>CH-PEA-B-X2-02-4</x:v>
      </x:c>
      <x:c r="C1024" s="7" t="str">
        <x:v>PEA-B-X2</x:v>
      </x:c>
      <x:c r="D1024" s="7" t="str">
        <x:v>BLD-B</x:v>
      </x:c>
      <x:c r="E1024" s="7" t="str">
        <x:v>BL-X</x:v>
      </x:c>
      <x:c r="F1024" s="7" t="str">
        <x:v>MF-02</x:v>
      </x:c>
      <x:c r="G1024" s="7" t="str">
        <x:v>transfer mass</x:v>
      </x:c>
      <x:c r="H1024" s="7" t="n">
        <x:v>4</x:v>
      </x:c>
      <x:c r="I1024" s="7" t="str"/>
      <x:c r="J1024" s="7" t="str"/>
      <x:c r="K1024" s="7" t="str"/>
      <x:c r="L1024" s="7" t="str"/>
      <x:c r="M1024" s="7" t="str"/>
      <x:c r="N1024" s="7" t="str"/>
      <x:c r="O1024" s="7" t="str">
        <x:f>IF(N1024="","OPEN",IF(OR(I1024="",J1024="",K1024="",L1024="",M1024=""),"FAIL","PASS"))</x:f>
        <x:v>OPEN</x:v>
      </x:c>
    </x:row>
    <x:row r="1025">
      <x:c r="B1025" s="7" t="str">
        <x:v>CH-PEA-B-X2-02-5</x:v>
      </x:c>
      <x:c r="C1025" s="7" t="str">
        <x:v>PEA-B-X2</x:v>
      </x:c>
      <x:c r="D1025" s="7" t="str">
        <x:v>BLD-B</x:v>
      </x:c>
      <x:c r="E1025" s="7" t="str">
        <x:v>BL-X</x:v>
      </x:c>
      <x:c r="F1025" s="7" t="str">
        <x:v>MF-02</x:v>
      </x:c>
      <x:c r="G1025" s="7" t="str">
        <x:v>transfer mass</x:v>
      </x:c>
      <x:c r="H1025" s="7" t="n">
        <x:v>5</x:v>
      </x:c>
      <x:c r="I1025" s="7" t="str"/>
      <x:c r="J1025" s="7" t="str"/>
      <x:c r="K1025" s="7" t="str"/>
      <x:c r="L1025" s="7" t="str"/>
      <x:c r="M1025" s="7" t="str"/>
      <x:c r="N1025" s="7" t="str"/>
      <x:c r="O1025" s="7" t="str">
        <x:f>IF(N1025="","OPEN",IF(OR(I1025="",J1025="",K1025="",L1025="",M1025=""),"FAIL","PASS"))</x:f>
        <x:v>OPEN</x:v>
      </x:c>
    </x:row>
    <x:row r="1026">
      <x:c r="B1026" s="7" t="str">
        <x:v>CH-PEA-B-X2-02-6</x:v>
      </x:c>
      <x:c r="C1026" s="7" t="str">
        <x:v>PEA-B-X2</x:v>
      </x:c>
      <x:c r="D1026" s="7" t="str">
        <x:v>BLD-B</x:v>
      </x:c>
      <x:c r="E1026" s="7" t="str">
        <x:v>BL-X</x:v>
      </x:c>
      <x:c r="F1026" s="7" t="str">
        <x:v>MF-02</x:v>
      </x:c>
      <x:c r="G1026" s="7" t="str">
        <x:v>transfer mass</x:v>
      </x:c>
      <x:c r="H1026" s="7" t="n">
        <x:v>6</x:v>
      </x:c>
      <x:c r="I1026" s="7" t="str"/>
      <x:c r="J1026" s="7" t="str"/>
      <x:c r="K1026" s="7" t="str"/>
      <x:c r="L1026" s="7" t="str"/>
      <x:c r="M1026" s="7" t="str"/>
      <x:c r="N1026" s="7" t="str"/>
      <x:c r="O1026" s="7" t="str">
        <x:f>IF(N1026="","OPEN",IF(OR(I1026="",J1026="",K1026="",L1026="",M1026=""),"FAIL","PASS"))</x:f>
        <x:v>OPEN</x:v>
      </x:c>
    </x:row>
    <x:row r="1027">
      <x:c r="B1027" s="7" t="str">
        <x:v>CH-PEA-B-X2-03-1</x:v>
      </x:c>
      <x:c r="C1027" s="7" t="str">
        <x:v>PEA-B-X2</x:v>
      </x:c>
      <x:c r="D1027" s="7" t="str">
        <x:v>BLD-B</x:v>
      </x:c>
      <x:c r="E1027" s="7" t="str">
        <x:v>BL-X</x:v>
      </x:c>
      <x:c r="F1027" s="7" t="str">
        <x:v>MF-03</x:v>
      </x:c>
      <x:c r="G1027" s="7" t="str">
        <x:v>source pressure</x:v>
      </x:c>
      <x:c r="H1027" s="7" t="n">
        <x:v>1</x:v>
      </x:c>
      <x:c r="I1027" s="7" t="str"/>
      <x:c r="J1027" s="7" t="str"/>
      <x:c r="K1027" s="7" t="str"/>
      <x:c r="L1027" s="7" t="str"/>
      <x:c r="M1027" s="7" t="str"/>
      <x:c r="N1027" s="7" t="str"/>
      <x:c r="O1027" s="7" t="str">
        <x:f>IF(N1027="","OPEN",IF(OR(I1027="",J1027="",K1027="",L1027="",M1027=""),"FAIL","PASS"))</x:f>
        <x:v>OPEN</x:v>
      </x:c>
    </x:row>
    <x:row r="1028">
      <x:c r="B1028" s="7" t="str">
        <x:v>CH-PEA-B-X2-03-2</x:v>
      </x:c>
      <x:c r="C1028" s="7" t="str">
        <x:v>PEA-B-X2</x:v>
      </x:c>
      <x:c r="D1028" s="7" t="str">
        <x:v>BLD-B</x:v>
      </x:c>
      <x:c r="E1028" s="7" t="str">
        <x:v>BL-X</x:v>
      </x:c>
      <x:c r="F1028" s="7" t="str">
        <x:v>MF-03</x:v>
      </x:c>
      <x:c r="G1028" s="7" t="str">
        <x:v>source pressure</x:v>
      </x:c>
      <x:c r="H1028" s="7" t="n">
        <x:v>2</x:v>
      </x:c>
      <x:c r="I1028" s="7" t="str"/>
      <x:c r="J1028" s="7" t="str"/>
      <x:c r="K1028" s="7" t="str"/>
      <x:c r="L1028" s="7" t="str"/>
      <x:c r="M1028" s="7" t="str"/>
      <x:c r="N1028" s="7" t="str"/>
      <x:c r="O1028" s="7" t="str">
        <x:f>IF(N1028="","OPEN",IF(OR(I1028="",J1028="",K1028="",L1028="",M1028=""),"FAIL","PASS"))</x:f>
        <x:v>OPEN</x:v>
      </x:c>
    </x:row>
    <x:row r="1029">
      <x:c r="B1029" s="7" t="str">
        <x:v>CH-PEA-B-X2-03-3</x:v>
      </x:c>
      <x:c r="C1029" s="7" t="str">
        <x:v>PEA-B-X2</x:v>
      </x:c>
      <x:c r="D1029" s="7" t="str">
        <x:v>BLD-B</x:v>
      </x:c>
      <x:c r="E1029" s="7" t="str">
        <x:v>BL-X</x:v>
      </x:c>
      <x:c r="F1029" s="7" t="str">
        <x:v>MF-03</x:v>
      </x:c>
      <x:c r="G1029" s="7" t="str">
        <x:v>source pressure</x:v>
      </x:c>
      <x:c r="H1029" s="7" t="n">
        <x:v>3</x:v>
      </x:c>
      <x:c r="I1029" s="7" t="str"/>
      <x:c r="J1029" s="7" t="str"/>
      <x:c r="K1029" s="7" t="str"/>
      <x:c r="L1029" s="7" t="str"/>
      <x:c r="M1029" s="7" t="str"/>
      <x:c r="N1029" s="7" t="str"/>
      <x:c r="O1029" s="7" t="str">
        <x:f>IF(N1029="","OPEN",IF(OR(I1029="",J1029="",K1029="",L1029="",M1029=""),"FAIL","PASS"))</x:f>
        <x:v>OPEN</x:v>
      </x:c>
    </x:row>
    <x:row r="1030">
      <x:c r="B1030" s="7" t="str">
        <x:v>CH-PEA-B-X2-03-4</x:v>
      </x:c>
      <x:c r="C1030" s="7" t="str">
        <x:v>PEA-B-X2</x:v>
      </x:c>
      <x:c r="D1030" s="7" t="str">
        <x:v>BLD-B</x:v>
      </x:c>
      <x:c r="E1030" s="7" t="str">
        <x:v>BL-X</x:v>
      </x:c>
      <x:c r="F1030" s="7" t="str">
        <x:v>MF-03</x:v>
      </x:c>
      <x:c r="G1030" s="7" t="str">
        <x:v>source pressure</x:v>
      </x:c>
      <x:c r="H1030" s="7" t="n">
        <x:v>4</x:v>
      </x:c>
      <x:c r="I1030" s="7" t="str"/>
      <x:c r="J1030" s="7" t="str"/>
      <x:c r="K1030" s="7" t="str"/>
      <x:c r="L1030" s="7" t="str"/>
      <x:c r="M1030" s="7" t="str"/>
      <x:c r="N1030" s="7" t="str"/>
      <x:c r="O1030" s="7" t="str">
        <x:f>IF(N1030="","OPEN",IF(OR(I1030="",J1030="",K1030="",L1030="",M1030=""),"FAIL","PASS"))</x:f>
        <x:v>OPEN</x:v>
      </x:c>
    </x:row>
    <x:row r="1031">
      <x:c r="B1031" s="7" t="str">
        <x:v>CH-PEA-B-X2-03-5</x:v>
      </x:c>
      <x:c r="C1031" s="7" t="str">
        <x:v>PEA-B-X2</x:v>
      </x:c>
      <x:c r="D1031" s="7" t="str">
        <x:v>BLD-B</x:v>
      </x:c>
      <x:c r="E1031" s="7" t="str">
        <x:v>BL-X</x:v>
      </x:c>
      <x:c r="F1031" s="7" t="str">
        <x:v>MF-03</x:v>
      </x:c>
      <x:c r="G1031" s="7" t="str">
        <x:v>source pressure</x:v>
      </x:c>
      <x:c r="H1031" s="7" t="n">
        <x:v>5</x:v>
      </x:c>
      <x:c r="I1031" s="7" t="str"/>
      <x:c r="J1031" s="7" t="str"/>
      <x:c r="K1031" s="7" t="str"/>
      <x:c r="L1031" s="7" t="str"/>
      <x:c r="M1031" s="7" t="str"/>
      <x:c r="N1031" s="7" t="str"/>
      <x:c r="O1031" s="7" t="str">
        <x:f>IF(N1031="","OPEN",IF(OR(I1031="",J1031="",K1031="",L1031="",M1031=""),"FAIL","PASS"))</x:f>
        <x:v>OPEN</x:v>
      </x:c>
    </x:row>
    <x:row r="1032">
      <x:c r="B1032" s="7" t="str">
        <x:v>CH-PEA-B-X2-03-6</x:v>
      </x:c>
      <x:c r="C1032" s="7" t="str">
        <x:v>PEA-B-X2</x:v>
      </x:c>
      <x:c r="D1032" s="7" t="str">
        <x:v>BLD-B</x:v>
      </x:c>
      <x:c r="E1032" s="7" t="str">
        <x:v>BL-X</x:v>
      </x:c>
      <x:c r="F1032" s="7" t="str">
        <x:v>MF-03</x:v>
      </x:c>
      <x:c r="G1032" s="7" t="str">
        <x:v>source pressure</x:v>
      </x:c>
      <x:c r="H1032" s="7" t="n">
        <x:v>6</x:v>
      </x:c>
      <x:c r="I1032" s="7" t="str"/>
      <x:c r="J1032" s="7" t="str"/>
      <x:c r="K1032" s="7" t="str"/>
      <x:c r="L1032" s="7" t="str"/>
      <x:c r="M1032" s="7" t="str"/>
      <x:c r="N1032" s="7" t="str"/>
      <x:c r="O1032" s="7" t="str">
        <x:f>IF(N1032="","OPEN",IF(OR(I1032="",J1032="",K1032="",L1032="",M1032=""),"FAIL","PASS"))</x:f>
        <x:v>OPEN</x:v>
      </x:c>
    </x:row>
    <x:row r="1033">
      <x:c r="B1033" s="7" t="str">
        <x:v>CH-PEA-B-X2-04-1</x:v>
      </x:c>
      <x:c r="C1033" s="7" t="str">
        <x:v>PEA-B-X2</x:v>
      </x:c>
      <x:c r="D1033" s="7" t="str">
        <x:v>BLD-B</x:v>
      </x:c>
      <x:c r="E1033" s="7" t="str">
        <x:v>BL-X</x:v>
      </x:c>
      <x:c r="F1033" s="7" t="str">
        <x:v>MF-04</x:v>
      </x:c>
      <x:c r="G1033" s="7" t="str">
        <x:v>source temperature</x:v>
      </x:c>
      <x:c r="H1033" s="7" t="n">
        <x:v>1</x:v>
      </x:c>
      <x:c r="I1033" s="7" t="str"/>
      <x:c r="J1033" s="7" t="str"/>
      <x:c r="K1033" s="7" t="str"/>
      <x:c r="L1033" s="7" t="str"/>
      <x:c r="M1033" s="7" t="str"/>
      <x:c r="N1033" s="7" t="str"/>
      <x:c r="O1033" s="7" t="str">
        <x:f>IF(N1033="","OPEN",IF(OR(I1033="",J1033="",K1033="",L1033="",M1033=""),"FAIL","PASS"))</x:f>
        <x:v>OPEN</x:v>
      </x:c>
    </x:row>
    <x:row r="1034">
      <x:c r="B1034" s="7" t="str">
        <x:v>CH-PEA-B-X2-04-2</x:v>
      </x:c>
      <x:c r="C1034" s="7" t="str">
        <x:v>PEA-B-X2</x:v>
      </x:c>
      <x:c r="D1034" s="7" t="str">
        <x:v>BLD-B</x:v>
      </x:c>
      <x:c r="E1034" s="7" t="str">
        <x:v>BL-X</x:v>
      </x:c>
      <x:c r="F1034" s="7" t="str">
        <x:v>MF-04</x:v>
      </x:c>
      <x:c r="G1034" s="7" t="str">
        <x:v>source temperature</x:v>
      </x:c>
      <x:c r="H1034" s="7" t="n">
        <x:v>2</x:v>
      </x:c>
      <x:c r="I1034" s="7" t="str"/>
      <x:c r="J1034" s="7" t="str"/>
      <x:c r="K1034" s="7" t="str"/>
      <x:c r="L1034" s="7" t="str"/>
      <x:c r="M1034" s="7" t="str"/>
      <x:c r="N1034" s="7" t="str"/>
      <x:c r="O1034" s="7" t="str">
        <x:f>IF(N1034="","OPEN",IF(OR(I1034="",J1034="",K1034="",L1034="",M1034=""),"FAIL","PASS"))</x:f>
        <x:v>OPEN</x:v>
      </x:c>
    </x:row>
    <x:row r="1035">
      <x:c r="B1035" s="7" t="str">
        <x:v>CH-PEA-B-X2-04-3</x:v>
      </x:c>
      <x:c r="C1035" s="7" t="str">
        <x:v>PEA-B-X2</x:v>
      </x:c>
      <x:c r="D1035" s="7" t="str">
        <x:v>BLD-B</x:v>
      </x:c>
      <x:c r="E1035" s="7" t="str">
        <x:v>BL-X</x:v>
      </x:c>
      <x:c r="F1035" s="7" t="str">
        <x:v>MF-04</x:v>
      </x:c>
      <x:c r="G1035" s="7" t="str">
        <x:v>source temperature</x:v>
      </x:c>
      <x:c r="H1035" s="7" t="n">
        <x:v>3</x:v>
      </x:c>
      <x:c r="I1035" s="7" t="str"/>
      <x:c r="J1035" s="7" t="str"/>
      <x:c r="K1035" s="7" t="str"/>
      <x:c r="L1035" s="7" t="str"/>
      <x:c r="M1035" s="7" t="str"/>
      <x:c r="N1035" s="7" t="str"/>
      <x:c r="O1035" s="7" t="str">
        <x:f>IF(N1035="","OPEN",IF(OR(I1035="",J1035="",K1035="",L1035="",M1035=""),"FAIL","PASS"))</x:f>
        <x:v>OPEN</x:v>
      </x:c>
    </x:row>
    <x:row r="1036">
      <x:c r="B1036" s="7" t="str">
        <x:v>CH-PEA-B-X2-04-4</x:v>
      </x:c>
      <x:c r="C1036" s="7" t="str">
        <x:v>PEA-B-X2</x:v>
      </x:c>
      <x:c r="D1036" s="7" t="str">
        <x:v>BLD-B</x:v>
      </x:c>
      <x:c r="E1036" s="7" t="str">
        <x:v>BL-X</x:v>
      </x:c>
      <x:c r="F1036" s="7" t="str">
        <x:v>MF-04</x:v>
      </x:c>
      <x:c r="G1036" s="7" t="str">
        <x:v>source temperature</x:v>
      </x:c>
      <x:c r="H1036" s="7" t="n">
        <x:v>4</x:v>
      </x:c>
      <x:c r="I1036" s="7" t="str"/>
      <x:c r="J1036" s="7" t="str"/>
      <x:c r="K1036" s="7" t="str"/>
      <x:c r="L1036" s="7" t="str"/>
      <x:c r="M1036" s="7" t="str"/>
      <x:c r="N1036" s="7" t="str"/>
      <x:c r="O1036" s="7" t="str">
        <x:f>IF(N1036="","OPEN",IF(OR(I1036="",J1036="",K1036="",L1036="",M1036=""),"FAIL","PASS"))</x:f>
        <x:v>OPEN</x:v>
      </x:c>
    </x:row>
    <x:row r="1037">
      <x:c r="B1037" s="7" t="str">
        <x:v>CH-PEA-B-X2-04-5</x:v>
      </x:c>
      <x:c r="C1037" s="7" t="str">
        <x:v>PEA-B-X2</x:v>
      </x:c>
      <x:c r="D1037" s="7" t="str">
        <x:v>BLD-B</x:v>
      </x:c>
      <x:c r="E1037" s="7" t="str">
        <x:v>BL-X</x:v>
      </x:c>
      <x:c r="F1037" s="7" t="str">
        <x:v>MF-04</x:v>
      </x:c>
      <x:c r="G1037" s="7" t="str">
        <x:v>source temperature</x:v>
      </x:c>
      <x:c r="H1037" s="7" t="n">
        <x:v>5</x:v>
      </x:c>
      <x:c r="I1037" s="7" t="str"/>
      <x:c r="J1037" s="7" t="str"/>
      <x:c r="K1037" s="7" t="str"/>
      <x:c r="L1037" s="7" t="str"/>
      <x:c r="M1037" s="7" t="str"/>
      <x:c r="N1037" s="7" t="str"/>
      <x:c r="O1037" s="7" t="str">
        <x:f>IF(N1037="","OPEN",IF(OR(I1037="",J1037="",K1037="",L1037="",M1037=""),"FAIL","PASS"))</x:f>
        <x:v>OPEN</x:v>
      </x:c>
    </x:row>
    <x:row r="1038">
      <x:c r="B1038" s="7" t="str">
        <x:v>CH-PEA-B-X2-04-6</x:v>
      </x:c>
      <x:c r="C1038" s="7" t="str">
        <x:v>PEA-B-X2</x:v>
      </x:c>
      <x:c r="D1038" s="7" t="str">
        <x:v>BLD-B</x:v>
      </x:c>
      <x:c r="E1038" s="7" t="str">
        <x:v>BL-X</x:v>
      </x:c>
      <x:c r="F1038" s="7" t="str">
        <x:v>MF-04</x:v>
      </x:c>
      <x:c r="G1038" s="7" t="str">
        <x:v>source temperature</x:v>
      </x:c>
      <x:c r="H1038" s="7" t="n">
        <x:v>6</x:v>
      </x:c>
      <x:c r="I1038" s="7" t="str"/>
      <x:c r="J1038" s="7" t="str"/>
      <x:c r="K1038" s="7" t="str"/>
      <x:c r="L1038" s="7" t="str"/>
      <x:c r="M1038" s="7" t="str"/>
      <x:c r="N1038" s="7" t="str"/>
      <x:c r="O1038" s="7" t="str">
        <x:f>IF(N1038="","OPEN",IF(OR(I1038="",J1038="",K1038="",L1038="",M1038=""),"FAIL","PASS"))</x:f>
        <x:v>OPEN</x:v>
      </x:c>
    </x:row>
    <x:row r="1039">
      <x:c r="B1039" s="7" t="str">
        <x:v>CH-PEA-B-X2-05-1</x:v>
      </x:c>
      <x:c r="C1039" s="7" t="str">
        <x:v>PEA-B-X2</x:v>
      </x:c>
      <x:c r="D1039" s="7" t="str">
        <x:v>BLD-B</x:v>
      </x:c>
      <x:c r="E1039" s="7" t="str">
        <x:v>BL-X</x:v>
      </x:c>
      <x:c r="F1039" s="7" t="str">
        <x:v>MF-05</x:v>
      </x:c>
      <x:c r="G1039" s="7" t="str">
        <x:v>hold-up tomography</x:v>
      </x:c>
      <x:c r="H1039" s="7" t="n">
        <x:v>1</x:v>
      </x:c>
      <x:c r="I1039" s="7" t="str"/>
      <x:c r="J1039" s="7" t="str"/>
      <x:c r="K1039" s="7" t="str"/>
      <x:c r="L1039" s="7" t="str"/>
      <x:c r="M1039" s="7" t="str"/>
      <x:c r="N1039" s="7" t="str"/>
      <x:c r="O1039" s="7" t="str">
        <x:f>IF(N1039="","OPEN",IF(OR(I1039="",J1039="",K1039="",L1039="",M1039=""),"FAIL","PASS"))</x:f>
        <x:v>OPEN</x:v>
      </x:c>
    </x:row>
    <x:row r="1040">
      <x:c r="B1040" s="7" t="str">
        <x:v>CH-PEA-B-X2-05-2</x:v>
      </x:c>
      <x:c r="C1040" s="7" t="str">
        <x:v>PEA-B-X2</x:v>
      </x:c>
      <x:c r="D1040" s="7" t="str">
        <x:v>BLD-B</x:v>
      </x:c>
      <x:c r="E1040" s="7" t="str">
        <x:v>BL-X</x:v>
      </x:c>
      <x:c r="F1040" s="7" t="str">
        <x:v>MF-05</x:v>
      </x:c>
      <x:c r="G1040" s="7" t="str">
        <x:v>hold-up tomography</x:v>
      </x:c>
      <x:c r="H1040" s="7" t="n">
        <x:v>2</x:v>
      </x:c>
      <x:c r="I1040" s="7" t="str"/>
      <x:c r="J1040" s="7" t="str"/>
      <x:c r="K1040" s="7" t="str"/>
      <x:c r="L1040" s="7" t="str"/>
      <x:c r="M1040" s="7" t="str"/>
      <x:c r="N1040" s="7" t="str"/>
      <x:c r="O1040" s="7" t="str">
        <x:f>IF(N1040="","OPEN",IF(OR(I1040="",J1040="",K1040="",L1040="",M1040=""),"FAIL","PASS"))</x:f>
        <x:v>OPEN</x:v>
      </x:c>
    </x:row>
    <x:row r="1041">
      <x:c r="B1041" s="7" t="str">
        <x:v>CH-PEA-B-X2-05-3</x:v>
      </x:c>
      <x:c r="C1041" s="7" t="str">
        <x:v>PEA-B-X2</x:v>
      </x:c>
      <x:c r="D1041" s="7" t="str">
        <x:v>BLD-B</x:v>
      </x:c>
      <x:c r="E1041" s="7" t="str">
        <x:v>BL-X</x:v>
      </x:c>
      <x:c r="F1041" s="7" t="str">
        <x:v>MF-05</x:v>
      </x:c>
      <x:c r="G1041" s="7" t="str">
        <x:v>hold-up tomography</x:v>
      </x:c>
      <x:c r="H1041" s="7" t="n">
        <x:v>3</x:v>
      </x:c>
      <x:c r="I1041" s="7" t="str"/>
      <x:c r="J1041" s="7" t="str"/>
      <x:c r="K1041" s="7" t="str"/>
      <x:c r="L1041" s="7" t="str"/>
      <x:c r="M1041" s="7" t="str"/>
      <x:c r="N1041" s="7" t="str"/>
      <x:c r="O1041" s="7" t="str">
        <x:f>IF(N1041="","OPEN",IF(OR(I1041="",J1041="",K1041="",L1041="",M1041=""),"FAIL","PASS"))</x:f>
        <x:v>OPEN</x:v>
      </x:c>
    </x:row>
    <x:row r="1042">
      <x:c r="B1042" s="7" t="str">
        <x:v>CH-PEA-B-X2-05-4</x:v>
      </x:c>
      <x:c r="C1042" s="7" t="str">
        <x:v>PEA-B-X2</x:v>
      </x:c>
      <x:c r="D1042" s="7" t="str">
        <x:v>BLD-B</x:v>
      </x:c>
      <x:c r="E1042" s="7" t="str">
        <x:v>BL-X</x:v>
      </x:c>
      <x:c r="F1042" s="7" t="str">
        <x:v>MF-05</x:v>
      </x:c>
      <x:c r="G1042" s="7" t="str">
        <x:v>hold-up tomography</x:v>
      </x:c>
      <x:c r="H1042" s="7" t="n">
        <x:v>4</x:v>
      </x:c>
      <x:c r="I1042" s="7" t="str"/>
      <x:c r="J1042" s="7" t="str"/>
      <x:c r="K1042" s="7" t="str"/>
      <x:c r="L1042" s="7" t="str"/>
      <x:c r="M1042" s="7" t="str"/>
      <x:c r="N1042" s="7" t="str"/>
      <x:c r="O1042" s="7" t="str">
        <x:f>IF(N1042="","OPEN",IF(OR(I1042="",J1042="",K1042="",L1042="",M1042=""),"FAIL","PASS"))</x:f>
        <x:v>OPEN</x:v>
      </x:c>
    </x:row>
    <x:row r="1043">
      <x:c r="B1043" s="7" t="str">
        <x:v>CH-PEA-B-X2-05-5</x:v>
      </x:c>
      <x:c r="C1043" s="7" t="str">
        <x:v>PEA-B-X2</x:v>
      </x:c>
      <x:c r="D1043" s="7" t="str">
        <x:v>BLD-B</x:v>
      </x:c>
      <x:c r="E1043" s="7" t="str">
        <x:v>BL-X</x:v>
      </x:c>
      <x:c r="F1043" s="7" t="str">
        <x:v>MF-05</x:v>
      </x:c>
      <x:c r="G1043" s="7" t="str">
        <x:v>hold-up tomography</x:v>
      </x:c>
      <x:c r="H1043" s="7" t="n">
        <x:v>5</x:v>
      </x:c>
      <x:c r="I1043" s="7" t="str"/>
      <x:c r="J1043" s="7" t="str"/>
      <x:c r="K1043" s="7" t="str"/>
      <x:c r="L1043" s="7" t="str"/>
      <x:c r="M1043" s="7" t="str"/>
      <x:c r="N1043" s="7" t="str"/>
      <x:c r="O1043" s="7" t="str">
        <x:f>IF(N1043="","OPEN",IF(OR(I1043="",J1043="",K1043="",L1043="",M1043=""),"FAIL","PASS"))</x:f>
        <x:v>OPEN</x:v>
      </x:c>
    </x:row>
    <x:row r="1044">
      <x:c r="B1044" s="7" t="str">
        <x:v>CH-PEA-B-X2-05-6</x:v>
      </x:c>
      <x:c r="C1044" s="7" t="str">
        <x:v>PEA-B-X2</x:v>
      </x:c>
      <x:c r="D1044" s="7" t="str">
        <x:v>BLD-B</x:v>
      </x:c>
      <x:c r="E1044" s="7" t="str">
        <x:v>BL-X</x:v>
      </x:c>
      <x:c r="F1044" s="7" t="str">
        <x:v>MF-05</x:v>
      </x:c>
      <x:c r="G1044" s="7" t="str">
        <x:v>hold-up tomography</x:v>
      </x:c>
      <x:c r="H1044" s="7" t="n">
        <x:v>6</x:v>
      </x:c>
      <x:c r="I1044" s="7" t="str"/>
      <x:c r="J1044" s="7" t="str"/>
      <x:c r="K1044" s="7" t="str"/>
      <x:c r="L1044" s="7" t="str"/>
      <x:c r="M1044" s="7" t="str"/>
      <x:c r="N1044" s="7" t="str"/>
      <x:c r="O1044" s="7" t="str">
        <x:f>IF(N1044="","OPEN",IF(OR(I1044="",J1044="",K1044="",L1044="",M1044=""),"FAIL","PASS"))</x:f>
        <x:v>OPEN</x:v>
      </x:c>
    </x:row>
    <x:row r="1045">
      <x:c r="B1045" s="7" t="str">
        <x:v>CH-PEA-B-X2-06-1</x:v>
      </x:c>
      <x:c r="C1045" s="7" t="str">
        <x:v>PEA-B-X2</x:v>
      </x:c>
      <x:c r="D1045" s="7" t="str">
        <x:v>BLD-B</x:v>
      </x:c>
      <x:c r="E1045" s="7" t="str">
        <x:v>BL-X</x:v>
      </x:c>
      <x:c r="F1045" s="7" t="str">
        <x:v>MF-06</x:v>
      </x:c>
      <x:c r="G1045" s="7" t="str">
        <x:v>pan level</x:v>
      </x:c>
      <x:c r="H1045" s="7" t="n">
        <x:v>1</x:v>
      </x:c>
      <x:c r="I1045" s="7" t="str"/>
      <x:c r="J1045" s="7" t="str"/>
      <x:c r="K1045" s="7" t="str"/>
      <x:c r="L1045" s="7" t="str"/>
      <x:c r="M1045" s="7" t="str"/>
      <x:c r="N1045" s="7" t="str"/>
      <x:c r="O1045" s="7" t="str">
        <x:f>IF(N1045="","OPEN",IF(OR(I1045="",J1045="",K1045="",L1045="",M1045=""),"FAIL","PASS"))</x:f>
        <x:v>OPEN</x:v>
      </x:c>
    </x:row>
    <x:row r="1046">
      <x:c r="B1046" s="7" t="str">
        <x:v>CH-PEA-B-X2-06-2</x:v>
      </x:c>
      <x:c r="C1046" s="7" t="str">
        <x:v>PEA-B-X2</x:v>
      </x:c>
      <x:c r="D1046" s="7" t="str">
        <x:v>BLD-B</x:v>
      </x:c>
      <x:c r="E1046" s="7" t="str">
        <x:v>BL-X</x:v>
      </x:c>
      <x:c r="F1046" s="7" t="str">
        <x:v>MF-06</x:v>
      </x:c>
      <x:c r="G1046" s="7" t="str">
        <x:v>pan level</x:v>
      </x:c>
      <x:c r="H1046" s="7" t="n">
        <x:v>2</x:v>
      </x:c>
      <x:c r="I1046" s="7" t="str"/>
      <x:c r="J1046" s="7" t="str"/>
      <x:c r="K1046" s="7" t="str"/>
      <x:c r="L1046" s="7" t="str"/>
      <x:c r="M1046" s="7" t="str"/>
      <x:c r="N1046" s="7" t="str"/>
      <x:c r="O1046" s="7" t="str">
        <x:f>IF(N1046="","OPEN",IF(OR(I1046="",J1046="",K1046="",L1046="",M1046=""),"FAIL","PASS"))</x:f>
        <x:v>OPEN</x:v>
      </x:c>
    </x:row>
    <x:row r="1047">
      <x:c r="B1047" s="7" t="str">
        <x:v>CH-PEA-B-X2-06-3</x:v>
      </x:c>
      <x:c r="C1047" s="7" t="str">
        <x:v>PEA-B-X2</x:v>
      </x:c>
      <x:c r="D1047" s="7" t="str">
        <x:v>BLD-B</x:v>
      </x:c>
      <x:c r="E1047" s="7" t="str">
        <x:v>BL-X</x:v>
      </x:c>
      <x:c r="F1047" s="7" t="str">
        <x:v>MF-06</x:v>
      </x:c>
      <x:c r="G1047" s="7" t="str">
        <x:v>pan level</x:v>
      </x:c>
      <x:c r="H1047" s="7" t="n">
        <x:v>3</x:v>
      </x:c>
      <x:c r="I1047" s="7" t="str"/>
      <x:c r="J1047" s="7" t="str"/>
      <x:c r="K1047" s="7" t="str"/>
      <x:c r="L1047" s="7" t="str"/>
      <x:c r="M1047" s="7" t="str"/>
      <x:c r="N1047" s="7" t="str"/>
      <x:c r="O1047" s="7" t="str">
        <x:f>IF(N1047="","OPEN",IF(OR(I1047="",J1047="",K1047="",L1047="",M1047=""),"FAIL","PASS"))</x:f>
        <x:v>OPEN</x:v>
      </x:c>
    </x:row>
    <x:row r="1048">
      <x:c r="B1048" s="7" t="str">
        <x:v>CH-PEA-B-X2-06-4</x:v>
      </x:c>
      <x:c r="C1048" s="7" t="str">
        <x:v>PEA-B-X2</x:v>
      </x:c>
      <x:c r="D1048" s="7" t="str">
        <x:v>BLD-B</x:v>
      </x:c>
      <x:c r="E1048" s="7" t="str">
        <x:v>BL-X</x:v>
      </x:c>
      <x:c r="F1048" s="7" t="str">
        <x:v>MF-06</x:v>
      </x:c>
      <x:c r="G1048" s="7" t="str">
        <x:v>pan level</x:v>
      </x:c>
      <x:c r="H1048" s="7" t="n">
        <x:v>4</x:v>
      </x:c>
      <x:c r="I1048" s="7" t="str"/>
      <x:c r="J1048" s="7" t="str"/>
      <x:c r="K1048" s="7" t="str"/>
      <x:c r="L1048" s="7" t="str"/>
      <x:c r="M1048" s="7" t="str"/>
      <x:c r="N1048" s="7" t="str"/>
      <x:c r="O1048" s="7" t="str">
        <x:f>IF(N1048="","OPEN",IF(OR(I1048="",J1048="",K1048="",L1048="",M1048=""),"FAIL","PASS"))</x:f>
        <x:v>OPEN</x:v>
      </x:c>
    </x:row>
    <x:row r="1049">
      <x:c r="B1049" s="7" t="str">
        <x:v>CH-PEA-B-X2-06-5</x:v>
      </x:c>
      <x:c r="C1049" s="7" t="str">
        <x:v>PEA-B-X2</x:v>
      </x:c>
      <x:c r="D1049" s="7" t="str">
        <x:v>BLD-B</x:v>
      </x:c>
      <x:c r="E1049" s="7" t="str">
        <x:v>BL-X</x:v>
      </x:c>
      <x:c r="F1049" s="7" t="str">
        <x:v>MF-06</x:v>
      </x:c>
      <x:c r="G1049" s="7" t="str">
        <x:v>pan level</x:v>
      </x:c>
      <x:c r="H1049" s="7" t="n">
        <x:v>5</x:v>
      </x:c>
      <x:c r="I1049" s="7" t="str"/>
      <x:c r="J1049" s="7" t="str"/>
      <x:c r="K1049" s="7" t="str"/>
      <x:c r="L1049" s="7" t="str"/>
      <x:c r="M1049" s="7" t="str"/>
      <x:c r="N1049" s="7" t="str"/>
      <x:c r="O1049" s="7" t="str">
        <x:f>IF(N1049="","OPEN",IF(OR(I1049="",J1049="",K1049="",L1049="",M1049=""),"FAIL","PASS"))</x:f>
        <x:v>OPEN</x:v>
      </x:c>
    </x:row>
    <x:row r="1050">
      <x:c r="B1050" s="7" t="str">
        <x:v>CH-PEA-B-X2-06-6</x:v>
      </x:c>
      <x:c r="C1050" s="7" t="str">
        <x:v>PEA-B-X2</x:v>
      </x:c>
      <x:c r="D1050" s="7" t="str">
        <x:v>BLD-B</x:v>
      </x:c>
      <x:c r="E1050" s="7" t="str">
        <x:v>BL-X</x:v>
      </x:c>
      <x:c r="F1050" s="7" t="str">
        <x:v>MF-06</x:v>
      </x:c>
      <x:c r="G1050" s="7" t="str">
        <x:v>pan level</x:v>
      </x:c>
      <x:c r="H1050" s="7" t="n">
        <x:v>6</x:v>
      </x:c>
      <x:c r="I1050" s="7" t="str"/>
      <x:c r="J1050" s="7" t="str"/>
      <x:c r="K1050" s="7" t="str"/>
      <x:c r="L1050" s="7" t="str"/>
      <x:c r="M1050" s="7" t="str"/>
      <x:c r="N1050" s="7" t="str"/>
      <x:c r="O1050" s="7" t="str">
        <x:f>IF(N1050="","OPEN",IF(OR(I1050="",J1050="",K1050="",L1050="",M1050=""),"FAIL","PASS"))</x:f>
        <x:v>OPEN</x:v>
      </x:c>
    </x:row>
    <x:row r="1051">
      <x:c r="B1051" s="7" t="str">
        <x:v>CH-PEA-B-X2-07-1</x:v>
      </x:c>
      <x:c r="C1051" s="7" t="str">
        <x:v>PEA-B-X2</x:v>
      </x:c>
      <x:c r="D1051" s="7" t="str">
        <x:v>BLD-B</x:v>
      </x:c>
      <x:c r="E1051" s="7" t="str">
        <x:v>BL-X</x:v>
      </x:c>
      <x:c r="F1051" s="7" t="str">
        <x:v>MF-07</x:v>
      </x:c>
      <x:c r="G1051" s="7" t="str">
        <x:v>normal receiver mass</x:v>
      </x:c>
      <x:c r="H1051" s="7" t="n">
        <x:v>1</x:v>
      </x:c>
      <x:c r="I1051" s="7" t="str"/>
      <x:c r="J1051" s="7" t="str"/>
      <x:c r="K1051" s="7" t="str"/>
      <x:c r="L1051" s="7" t="str"/>
      <x:c r="M1051" s="7" t="str"/>
      <x:c r="N1051" s="7" t="str"/>
      <x:c r="O1051" s="7" t="str">
        <x:f>IF(N1051="","OPEN",IF(OR(I1051="",J1051="",K1051="",L1051="",M1051=""),"FAIL","PASS"))</x:f>
        <x:v>OPEN</x:v>
      </x:c>
    </x:row>
    <x:row r="1052">
      <x:c r="B1052" s="7" t="str">
        <x:v>CH-PEA-B-X2-07-2</x:v>
      </x:c>
      <x:c r="C1052" s="7" t="str">
        <x:v>PEA-B-X2</x:v>
      </x:c>
      <x:c r="D1052" s="7" t="str">
        <x:v>BLD-B</x:v>
      </x:c>
      <x:c r="E1052" s="7" t="str">
        <x:v>BL-X</x:v>
      </x:c>
      <x:c r="F1052" s="7" t="str">
        <x:v>MF-07</x:v>
      </x:c>
      <x:c r="G1052" s="7" t="str">
        <x:v>normal receiver mass</x:v>
      </x:c>
      <x:c r="H1052" s="7" t="n">
        <x:v>2</x:v>
      </x:c>
      <x:c r="I1052" s="7" t="str"/>
      <x:c r="J1052" s="7" t="str"/>
      <x:c r="K1052" s="7" t="str"/>
      <x:c r="L1052" s="7" t="str"/>
      <x:c r="M1052" s="7" t="str"/>
      <x:c r="N1052" s="7" t="str"/>
      <x:c r="O1052" s="7" t="str">
        <x:f>IF(N1052="","OPEN",IF(OR(I1052="",J1052="",K1052="",L1052="",M1052=""),"FAIL","PASS"))</x:f>
        <x:v>OPEN</x:v>
      </x:c>
    </x:row>
    <x:row r="1053">
      <x:c r="B1053" s="7" t="str">
        <x:v>CH-PEA-B-X2-07-3</x:v>
      </x:c>
      <x:c r="C1053" s="7" t="str">
        <x:v>PEA-B-X2</x:v>
      </x:c>
      <x:c r="D1053" s="7" t="str">
        <x:v>BLD-B</x:v>
      </x:c>
      <x:c r="E1053" s="7" t="str">
        <x:v>BL-X</x:v>
      </x:c>
      <x:c r="F1053" s="7" t="str">
        <x:v>MF-07</x:v>
      </x:c>
      <x:c r="G1053" s="7" t="str">
        <x:v>normal receiver mass</x:v>
      </x:c>
      <x:c r="H1053" s="7" t="n">
        <x:v>3</x:v>
      </x:c>
      <x:c r="I1053" s="7" t="str"/>
      <x:c r="J1053" s="7" t="str"/>
      <x:c r="K1053" s="7" t="str"/>
      <x:c r="L1053" s="7" t="str"/>
      <x:c r="M1053" s="7" t="str"/>
      <x:c r="N1053" s="7" t="str"/>
      <x:c r="O1053" s="7" t="str">
        <x:f>IF(N1053="","OPEN",IF(OR(I1053="",J1053="",K1053="",L1053="",M1053=""),"FAIL","PASS"))</x:f>
        <x:v>OPEN</x:v>
      </x:c>
    </x:row>
    <x:row r="1054">
      <x:c r="B1054" s="7" t="str">
        <x:v>CH-PEA-B-X2-07-4</x:v>
      </x:c>
      <x:c r="C1054" s="7" t="str">
        <x:v>PEA-B-X2</x:v>
      </x:c>
      <x:c r="D1054" s="7" t="str">
        <x:v>BLD-B</x:v>
      </x:c>
      <x:c r="E1054" s="7" t="str">
        <x:v>BL-X</x:v>
      </x:c>
      <x:c r="F1054" s="7" t="str">
        <x:v>MF-07</x:v>
      </x:c>
      <x:c r="G1054" s="7" t="str">
        <x:v>normal receiver mass</x:v>
      </x:c>
      <x:c r="H1054" s="7" t="n">
        <x:v>4</x:v>
      </x:c>
      <x:c r="I1054" s="7" t="str"/>
      <x:c r="J1054" s="7" t="str"/>
      <x:c r="K1054" s="7" t="str"/>
      <x:c r="L1054" s="7" t="str"/>
      <x:c r="M1054" s="7" t="str"/>
      <x:c r="N1054" s="7" t="str"/>
      <x:c r="O1054" s="7" t="str">
        <x:f>IF(N1054="","OPEN",IF(OR(I1054="",J1054="",K1054="",L1054="",M1054=""),"FAIL","PASS"))</x:f>
        <x:v>OPEN</x:v>
      </x:c>
    </x:row>
    <x:row r="1055">
      <x:c r="B1055" s="7" t="str">
        <x:v>CH-PEA-B-X2-07-5</x:v>
      </x:c>
      <x:c r="C1055" s="7" t="str">
        <x:v>PEA-B-X2</x:v>
      </x:c>
      <x:c r="D1055" s="7" t="str">
        <x:v>BLD-B</x:v>
      </x:c>
      <x:c r="E1055" s="7" t="str">
        <x:v>BL-X</x:v>
      </x:c>
      <x:c r="F1055" s="7" t="str">
        <x:v>MF-07</x:v>
      </x:c>
      <x:c r="G1055" s="7" t="str">
        <x:v>normal receiver mass</x:v>
      </x:c>
      <x:c r="H1055" s="7" t="n">
        <x:v>5</x:v>
      </x:c>
      <x:c r="I1055" s="7" t="str"/>
      <x:c r="J1055" s="7" t="str"/>
      <x:c r="K1055" s="7" t="str"/>
      <x:c r="L1055" s="7" t="str"/>
      <x:c r="M1055" s="7" t="str"/>
      <x:c r="N1055" s="7" t="str"/>
      <x:c r="O1055" s="7" t="str">
        <x:f>IF(N1055="","OPEN",IF(OR(I1055="",J1055="",K1055="",L1055="",M1055=""),"FAIL","PASS"))</x:f>
        <x:v>OPEN</x:v>
      </x:c>
    </x:row>
    <x:row r="1056">
      <x:c r="B1056" s="7" t="str">
        <x:v>CH-PEA-B-X2-07-6</x:v>
      </x:c>
      <x:c r="C1056" s="7" t="str">
        <x:v>PEA-B-X2</x:v>
      </x:c>
      <x:c r="D1056" s="7" t="str">
        <x:v>BLD-B</x:v>
      </x:c>
      <x:c r="E1056" s="7" t="str">
        <x:v>BL-X</x:v>
      </x:c>
      <x:c r="F1056" s="7" t="str">
        <x:v>MF-07</x:v>
      </x:c>
      <x:c r="G1056" s="7" t="str">
        <x:v>normal receiver mass</x:v>
      </x:c>
      <x:c r="H1056" s="7" t="n">
        <x:v>6</x:v>
      </x:c>
      <x:c r="I1056" s="7" t="str"/>
      <x:c r="J1056" s="7" t="str"/>
      <x:c r="K1056" s="7" t="str"/>
      <x:c r="L1056" s="7" t="str"/>
      <x:c r="M1056" s="7" t="str"/>
      <x:c r="N1056" s="7" t="str"/>
      <x:c r="O1056" s="7" t="str">
        <x:f>IF(N1056="","OPEN",IF(OR(I1056="",J1056="",K1056="",L1056="",M1056=""),"FAIL","PASS"))</x:f>
        <x:v>OPEN</x:v>
      </x:c>
    </x:row>
    <x:row r="1057">
      <x:c r="B1057" s="7" t="str">
        <x:v>CH-PEA-B-X2-08-1</x:v>
      </x:c>
      <x:c r="C1057" s="7" t="str">
        <x:v>PEA-B-X2</x:v>
      </x:c>
      <x:c r="D1057" s="7" t="str">
        <x:v>BLD-B</x:v>
      </x:c>
      <x:c r="E1057" s="7" t="str">
        <x:v>BL-X</x:v>
      </x:c>
      <x:c r="F1057" s="7" t="str">
        <x:v>MF-08</x:v>
      </x:c>
      <x:c r="G1057" s="7" t="str">
        <x:v>casualty receiver mass</x:v>
      </x:c>
      <x:c r="H1057" s="7" t="n">
        <x:v>1</x:v>
      </x:c>
      <x:c r="I1057" s="7" t="str"/>
      <x:c r="J1057" s="7" t="str"/>
      <x:c r="K1057" s="7" t="str"/>
      <x:c r="L1057" s="7" t="str"/>
      <x:c r="M1057" s="7" t="str"/>
      <x:c r="N1057" s="7" t="str"/>
      <x:c r="O1057" s="7" t="str">
        <x:f>IF(N1057="","OPEN",IF(OR(I1057="",J1057="",K1057="",L1057="",M1057=""),"FAIL","PASS"))</x:f>
        <x:v>OPEN</x:v>
      </x:c>
    </x:row>
    <x:row r="1058">
      <x:c r="B1058" s="7" t="str">
        <x:v>CH-PEA-B-X2-08-2</x:v>
      </x:c>
      <x:c r="C1058" s="7" t="str">
        <x:v>PEA-B-X2</x:v>
      </x:c>
      <x:c r="D1058" s="7" t="str">
        <x:v>BLD-B</x:v>
      </x:c>
      <x:c r="E1058" s="7" t="str">
        <x:v>BL-X</x:v>
      </x:c>
      <x:c r="F1058" s="7" t="str">
        <x:v>MF-08</x:v>
      </x:c>
      <x:c r="G1058" s="7" t="str">
        <x:v>casualty receiver mass</x:v>
      </x:c>
      <x:c r="H1058" s="7" t="n">
        <x:v>2</x:v>
      </x:c>
      <x:c r="I1058" s="7" t="str"/>
      <x:c r="J1058" s="7" t="str"/>
      <x:c r="K1058" s="7" t="str"/>
      <x:c r="L1058" s="7" t="str"/>
      <x:c r="M1058" s="7" t="str"/>
      <x:c r="N1058" s="7" t="str"/>
      <x:c r="O1058" s="7" t="str">
        <x:f>IF(N1058="","OPEN",IF(OR(I1058="",J1058="",K1058="",L1058="",M1058=""),"FAIL","PASS"))</x:f>
        <x:v>OPEN</x:v>
      </x:c>
    </x:row>
    <x:row r="1059">
      <x:c r="B1059" s="7" t="str">
        <x:v>CH-PEA-B-X2-08-3</x:v>
      </x:c>
      <x:c r="C1059" s="7" t="str">
        <x:v>PEA-B-X2</x:v>
      </x:c>
      <x:c r="D1059" s="7" t="str">
        <x:v>BLD-B</x:v>
      </x:c>
      <x:c r="E1059" s="7" t="str">
        <x:v>BL-X</x:v>
      </x:c>
      <x:c r="F1059" s="7" t="str">
        <x:v>MF-08</x:v>
      </x:c>
      <x:c r="G1059" s="7" t="str">
        <x:v>casualty receiver mass</x:v>
      </x:c>
      <x:c r="H1059" s="7" t="n">
        <x:v>3</x:v>
      </x:c>
      <x:c r="I1059" s="7" t="str"/>
      <x:c r="J1059" s="7" t="str"/>
      <x:c r="K1059" s="7" t="str"/>
      <x:c r="L1059" s="7" t="str"/>
      <x:c r="M1059" s="7" t="str"/>
      <x:c r="N1059" s="7" t="str"/>
      <x:c r="O1059" s="7" t="str">
        <x:f>IF(N1059="","OPEN",IF(OR(I1059="",J1059="",K1059="",L1059="",M1059=""),"FAIL","PASS"))</x:f>
        <x:v>OPEN</x:v>
      </x:c>
    </x:row>
    <x:row r="1060">
      <x:c r="B1060" s="7" t="str">
        <x:v>CH-PEA-B-X2-08-4</x:v>
      </x:c>
      <x:c r="C1060" s="7" t="str">
        <x:v>PEA-B-X2</x:v>
      </x:c>
      <x:c r="D1060" s="7" t="str">
        <x:v>BLD-B</x:v>
      </x:c>
      <x:c r="E1060" s="7" t="str">
        <x:v>BL-X</x:v>
      </x:c>
      <x:c r="F1060" s="7" t="str">
        <x:v>MF-08</x:v>
      </x:c>
      <x:c r="G1060" s="7" t="str">
        <x:v>casualty receiver mass</x:v>
      </x:c>
      <x:c r="H1060" s="7" t="n">
        <x:v>4</x:v>
      </x:c>
      <x:c r="I1060" s="7" t="str"/>
      <x:c r="J1060" s="7" t="str"/>
      <x:c r="K1060" s="7" t="str"/>
      <x:c r="L1060" s="7" t="str"/>
      <x:c r="M1060" s="7" t="str"/>
      <x:c r="N1060" s="7" t="str"/>
      <x:c r="O1060" s="7" t="str">
        <x:f>IF(N1060="","OPEN",IF(OR(I1060="",J1060="",K1060="",L1060="",M1060=""),"FAIL","PASS"))</x:f>
        <x:v>OPEN</x:v>
      </x:c>
    </x:row>
    <x:row r="1061">
      <x:c r="B1061" s="7" t="str">
        <x:v>CH-PEA-B-X2-08-5</x:v>
      </x:c>
      <x:c r="C1061" s="7" t="str">
        <x:v>PEA-B-X2</x:v>
      </x:c>
      <x:c r="D1061" s="7" t="str">
        <x:v>BLD-B</x:v>
      </x:c>
      <x:c r="E1061" s="7" t="str">
        <x:v>BL-X</x:v>
      </x:c>
      <x:c r="F1061" s="7" t="str">
        <x:v>MF-08</x:v>
      </x:c>
      <x:c r="G1061" s="7" t="str">
        <x:v>casualty receiver mass</x:v>
      </x:c>
      <x:c r="H1061" s="7" t="n">
        <x:v>5</x:v>
      </x:c>
      <x:c r="I1061" s="7" t="str"/>
      <x:c r="J1061" s="7" t="str"/>
      <x:c r="K1061" s="7" t="str"/>
      <x:c r="L1061" s="7" t="str"/>
      <x:c r="M1061" s="7" t="str"/>
      <x:c r="N1061" s="7" t="str"/>
      <x:c r="O1061" s="7" t="str">
        <x:f>IF(N1061="","OPEN",IF(OR(I1061="",J1061="",K1061="",L1061="",M1061=""),"FAIL","PASS"))</x:f>
        <x:v>OPEN</x:v>
      </x:c>
    </x:row>
    <x:row r="1062">
      <x:c r="B1062" s="7" t="str">
        <x:v>CH-PEA-B-X2-08-6</x:v>
      </x:c>
      <x:c r="C1062" s="7" t="str">
        <x:v>PEA-B-X2</x:v>
      </x:c>
      <x:c r="D1062" s="7" t="str">
        <x:v>BLD-B</x:v>
      </x:c>
      <x:c r="E1062" s="7" t="str">
        <x:v>BL-X</x:v>
      </x:c>
      <x:c r="F1062" s="7" t="str">
        <x:v>MF-08</x:v>
      </x:c>
      <x:c r="G1062" s="7" t="str">
        <x:v>casualty receiver mass</x:v>
      </x:c>
      <x:c r="H1062" s="7" t="n">
        <x:v>6</x:v>
      </x:c>
      <x:c r="I1062" s="7" t="str"/>
      <x:c r="J1062" s="7" t="str"/>
      <x:c r="K1062" s="7" t="str"/>
      <x:c r="L1062" s="7" t="str"/>
      <x:c r="M1062" s="7" t="str"/>
      <x:c r="N1062" s="7" t="str"/>
      <x:c r="O1062" s="7" t="str">
        <x:f>IF(N1062="","OPEN",IF(OR(I1062="",J1062="",K1062="",L1062="",M1062=""),"FAIL","PASS"))</x:f>
        <x:v>OPEN</x:v>
      </x:c>
    </x:row>
    <x:row r="1063">
      <x:c r="B1063" s="7" t="str">
        <x:v>CH-PEA-B-X2-09-1</x:v>
      </x:c>
      <x:c r="C1063" s="7" t="str">
        <x:v>PEA-B-X2</x:v>
      </x:c>
      <x:c r="D1063" s="7" t="str">
        <x:v>BLD-B</x:v>
      </x:c>
      <x:c r="E1063" s="7" t="str">
        <x:v>BL-X</x:v>
      </x:c>
      <x:c r="F1063" s="7" t="str">
        <x:v>MF-09</x:v>
      </x:c>
      <x:c r="G1063" s="7" t="str">
        <x:v>geometry and slope</x:v>
      </x:c>
      <x:c r="H1063" s="7" t="n">
        <x:v>1</x:v>
      </x:c>
      <x:c r="I1063" s="7" t="str"/>
      <x:c r="J1063" s="7" t="str"/>
      <x:c r="K1063" s="7" t="str"/>
      <x:c r="L1063" s="7" t="str"/>
      <x:c r="M1063" s="7" t="str"/>
      <x:c r="N1063" s="7" t="str"/>
      <x:c r="O1063" s="7" t="str">
        <x:f>IF(N1063="","OPEN",IF(OR(I1063="",J1063="",K1063="",L1063="",M1063=""),"FAIL","PASS"))</x:f>
        <x:v>OPEN</x:v>
      </x:c>
    </x:row>
    <x:row r="1064">
      <x:c r="B1064" s="7" t="str">
        <x:v>CH-PEA-B-X2-09-2</x:v>
      </x:c>
      <x:c r="C1064" s="7" t="str">
        <x:v>PEA-B-X2</x:v>
      </x:c>
      <x:c r="D1064" s="7" t="str">
        <x:v>BLD-B</x:v>
      </x:c>
      <x:c r="E1064" s="7" t="str">
        <x:v>BL-X</x:v>
      </x:c>
      <x:c r="F1064" s="7" t="str">
        <x:v>MF-09</x:v>
      </x:c>
      <x:c r="G1064" s="7" t="str">
        <x:v>geometry and slope</x:v>
      </x:c>
      <x:c r="H1064" s="7" t="n">
        <x:v>2</x:v>
      </x:c>
      <x:c r="I1064" s="7" t="str"/>
      <x:c r="J1064" s="7" t="str"/>
      <x:c r="K1064" s="7" t="str"/>
      <x:c r="L1064" s="7" t="str"/>
      <x:c r="M1064" s="7" t="str"/>
      <x:c r="N1064" s="7" t="str"/>
      <x:c r="O1064" s="7" t="str">
        <x:f>IF(N1064="","OPEN",IF(OR(I1064="",J1064="",K1064="",L1064="",M1064=""),"FAIL","PASS"))</x:f>
        <x:v>OPEN</x:v>
      </x:c>
    </x:row>
    <x:row r="1065">
      <x:c r="B1065" s="7" t="str">
        <x:v>CH-PEA-B-X2-09-3</x:v>
      </x:c>
      <x:c r="C1065" s="7" t="str">
        <x:v>PEA-B-X2</x:v>
      </x:c>
      <x:c r="D1065" s="7" t="str">
        <x:v>BLD-B</x:v>
      </x:c>
      <x:c r="E1065" s="7" t="str">
        <x:v>BL-X</x:v>
      </x:c>
      <x:c r="F1065" s="7" t="str">
        <x:v>MF-09</x:v>
      </x:c>
      <x:c r="G1065" s="7" t="str">
        <x:v>geometry and slope</x:v>
      </x:c>
      <x:c r="H1065" s="7" t="n">
        <x:v>3</x:v>
      </x:c>
      <x:c r="I1065" s="7" t="str"/>
      <x:c r="J1065" s="7" t="str"/>
      <x:c r="K1065" s="7" t="str"/>
      <x:c r="L1065" s="7" t="str"/>
      <x:c r="M1065" s="7" t="str"/>
      <x:c r="N1065" s="7" t="str"/>
      <x:c r="O1065" s="7" t="str">
        <x:f>IF(N1065="","OPEN",IF(OR(I1065="",J1065="",K1065="",L1065="",M1065=""),"FAIL","PASS"))</x:f>
        <x:v>OPEN</x:v>
      </x:c>
    </x:row>
    <x:row r="1066">
      <x:c r="B1066" s="7" t="str">
        <x:v>CH-PEA-B-X2-09-4</x:v>
      </x:c>
      <x:c r="C1066" s="7" t="str">
        <x:v>PEA-B-X2</x:v>
      </x:c>
      <x:c r="D1066" s="7" t="str">
        <x:v>BLD-B</x:v>
      </x:c>
      <x:c r="E1066" s="7" t="str">
        <x:v>BL-X</x:v>
      </x:c>
      <x:c r="F1066" s="7" t="str">
        <x:v>MF-09</x:v>
      </x:c>
      <x:c r="G1066" s="7" t="str">
        <x:v>geometry and slope</x:v>
      </x:c>
      <x:c r="H1066" s="7" t="n">
        <x:v>4</x:v>
      </x:c>
      <x:c r="I1066" s="7" t="str"/>
      <x:c r="J1066" s="7" t="str"/>
      <x:c r="K1066" s="7" t="str"/>
      <x:c r="L1066" s="7" t="str"/>
      <x:c r="M1066" s="7" t="str"/>
      <x:c r="N1066" s="7" t="str"/>
      <x:c r="O1066" s="7" t="str">
        <x:f>IF(N1066="","OPEN",IF(OR(I1066="",J1066="",K1066="",L1066="",M1066=""),"FAIL","PASS"))</x:f>
        <x:v>OPEN</x:v>
      </x:c>
    </x:row>
    <x:row r="1067">
      <x:c r="B1067" s="7" t="str">
        <x:v>CH-PEA-B-X2-09-5</x:v>
      </x:c>
      <x:c r="C1067" s="7" t="str">
        <x:v>PEA-B-X2</x:v>
      </x:c>
      <x:c r="D1067" s="7" t="str">
        <x:v>BLD-B</x:v>
      </x:c>
      <x:c r="E1067" s="7" t="str">
        <x:v>BL-X</x:v>
      </x:c>
      <x:c r="F1067" s="7" t="str">
        <x:v>MF-09</x:v>
      </x:c>
      <x:c r="G1067" s="7" t="str">
        <x:v>geometry and slope</x:v>
      </x:c>
      <x:c r="H1067" s="7" t="n">
        <x:v>5</x:v>
      </x:c>
      <x:c r="I1067" s="7" t="str"/>
      <x:c r="J1067" s="7" t="str"/>
      <x:c r="K1067" s="7" t="str"/>
      <x:c r="L1067" s="7" t="str"/>
      <x:c r="M1067" s="7" t="str"/>
      <x:c r="N1067" s="7" t="str"/>
      <x:c r="O1067" s="7" t="str">
        <x:f>IF(N1067="","OPEN",IF(OR(I1067="",J1067="",K1067="",L1067="",M1067=""),"FAIL","PASS"))</x:f>
        <x:v>OPEN</x:v>
      </x:c>
    </x:row>
    <x:row r="1068">
      <x:c r="B1068" s="7" t="str">
        <x:v>CH-PEA-B-X2-09-6</x:v>
      </x:c>
      <x:c r="C1068" s="7" t="str">
        <x:v>PEA-B-X2</x:v>
      </x:c>
      <x:c r="D1068" s="7" t="str">
        <x:v>BLD-B</x:v>
      </x:c>
      <x:c r="E1068" s="7" t="str">
        <x:v>BL-X</x:v>
      </x:c>
      <x:c r="F1068" s="7" t="str">
        <x:v>MF-09</x:v>
      </x:c>
      <x:c r="G1068" s="7" t="str">
        <x:v>geometry and slope</x:v>
      </x:c>
      <x:c r="H1068" s="7" t="n">
        <x:v>6</x:v>
      </x:c>
      <x:c r="I1068" s="7" t="str"/>
      <x:c r="J1068" s="7" t="str"/>
      <x:c r="K1068" s="7" t="str"/>
      <x:c r="L1068" s="7" t="str"/>
      <x:c r="M1068" s="7" t="str"/>
      <x:c r="N1068" s="7" t="str"/>
      <x:c r="O1068" s="7" t="str">
        <x:f>IF(N1068="","OPEN",IF(OR(I1068="",J1068="",K1068="",L1068="",M1068=""),"FAIL","PASS"))</x:f>
        <x:v>OPEN</x:v>
      </x:c>
    </x:row>
    <x:row r="1069">
      <x:c r="B1069" s="7" t="str">
        <x:v>CH-PEA-B-X2-10-1</x:v>
      </x:c>
      <x:c r="C1069" s="7" t="str">
        <x:v>PEA-B-X2</x:v>
      </x:c>
      <x:c r="D1069" s="7" t="str">
        <x:v>BLD-B</x:v>
      </x:c>
      <x:c r="E1069" s="7" t="str">
        <x:v>BL-X</x:v>
      </x:c>
      <x:c r="F1069" s="7" t="str">
        <x:v>MF-10</x:v>
      </x:c>
      <x:c r="G1069" s="7" t="str">
        <x:v>normal-source path state</x:v>
      </x:c>
      <x:c r="H1069" s="7" t="n">
        <x:v>1</x:v>
      </x:c>
      <x:c r="I1069" s="7" t="str"/>
      <x:c r="J1069" s="7" t="str"/>
      <x:c r="K1069" s="7" t="str"/>
      <x:c r="L1069" s="7" t="str"/>
      <x:c r="M1069" s="7" t="str"/>
      <x:c r="N1069" s="7" t="str"/>
      <x:c r="O1069" s="7" t="str">
        <x:f>IF(N1069="","OPEN",IF(OR(I1069="",J1069="",K1069="",L1069="",M1069=""),"FAIL","PASS"))</x:f>
        <x:v>OPEN</x:v>
      </x:c>
    </x:row>
    <x:row r="1070">
      <x:c r="B1070" s="7" t="str">
        <x:v>CH-PEA-B-X2-10-2</x:v>
      </x:c>
      <x:c r="C1070" s="7" t="str">
        <x:v>PEA-B-X2</x:v>
      </x:c>
      <x:c r="D1070" s="7" t="str">
        <x:v>BLD-B</x:v>
      </x:c>
      <x:c r="E1070" s="7" t="str">
        <x:v>BL-X</x:v>
      </x:c>
      <x:c r="F1070" s="7" t="str">
        <x:v>MF-10</x:v>
      </x:c>
      <x:c r="G1070" s="7" t="str">
        <x:v>normal-source path state</x:v>
      </x:c>
      <x:c r="H1070" s="7" t="n">
        <x:v>2</x:v>
      </x:c>
      <x:c r="I1070" s="7" t="str"/>
      <x:c r="J1070" s="7" t="str"/>
      <x:c r="K1070" s="7" t="str"/>
      <x:c r="L1070" s="7" t="str"/>
      <x:c r="M1070" s="7" t="str"/>
      <x:c r="N1070" s="7" t="str"/>
      <x:c r="O1070" s="7" t="str">
        <x:f>IF(N1070="","OPEN",IF(OR(I1070="",J1070="",K1070="",L1070="",M1070=""),"FAIL","PASS"))</x:f>
        <x:v>OPEN</x:v>
      </x:c>
    </x:row>
    <x:row r="1071">
      <x:c r="B1071" s="7" t="str">
        <x:v>CH-PEA-B-X2-10-3</x:v>
      </x:c>
      <x:c r="C1071" s="7" t="str">
        <x:v>PEA-B-X2</x:v>
      </x:c>
      <x:c r="D1071" s="7" t="str">
        <x:v>BLD-B</x:v>
      </x:c>
      <x:c r="E1071" s="7" t="str">
        <x:v>BL-X</x:v>
      </x:c>
      <x:c r="F1071" s="7" t="str">
        <x:v>MF-10</x:v>
      </x:c>
      <x:c r="G1071" s="7" t="str">
        <x:v>normal-source path state</x:v>
      </x:c>
      <x:c r="H1071" s="7" t="n">
        <x:v>3</x:v>
      </x:c>
      <x:c r="I1071" s="7" t="str"/>
      <x:c r="J1071" s="7" t="str"/>
      <x:c r="K1071" s="7" t="str"/>
      <x:c r="L1071" s="7" t="str"/>
      <x:c r="M1071" s="7" t="str"/>
      <x:c r="N1071" s="7" t="str"/>
      <x:c r="O1071" s="7" t="str">
        <x:f>IF(N1071="","OPEN",IF(OR(I1071="",J1071="",K1071="",L1071="",M1071=""),"FAIL","PASS"))</x:f>
        <x:v>OPEN</x:v>
      </x:c>
    </x:row>
    <x:row r="1072">
      <x:c r="B1072" s="7" t="str">
        <x:v>CH-PEA-B-X2-10-4</x:v>
      </x:c>
      <x:c r="C1072" s="7" t="str">
        <x:v>PEA-B-X2</x:v>
      </x:c>
      <x:c r="D1072" s="7" t="str">
        <x:v>BLD-B</x:v>
      </x:c>
      <x:c r="E1072" s="7" t="str">
        <x:v>BL-X</x:v>
      </x:c>
      <x:c r="F1072" s="7" t="str">
        <x:v>MF-10</x:v>
      </x:c>
      <x:c r="G1072" s="7" t="str">
        <x:v>normal-source path state</x:v>
      </x:c>
      <x:c r="H1072" s="7" t="n">
        <x:v>4</x:v>
      </x:c>
      <x:c r="I1072" s="7" t="str"/>
      <x:c r="J1072" s="7" t="str"/>
      <x:c r="K1072" s="7" t="str"/>
      <x:c r="L1072" s="7" t="str"/>
      <x:c r="M1072" s="7" t="str"/>
      <x:c r="N1072" s="7" t="str"/>
      <x:c r="O1072" s="7" t="str">
        <x:f>IF(N1072="","OPEN",IF(OR(I1072="",J1072="",K1072="",L1072="",M1072=""),"FAIL","PASS"))</x:f>
        <x:v>OPEN</x:v>
      </x:c>
    </x:row>
    <x:row r="1073">
      <x:c r="B1073" s="7" t="str">
        <x:v>CH-PEA-B-X2-10-5</x:v>
      </x:c>
      <x:c r="C1073" s="7" t="str">
        <x:v>PEA-B-X2</x:v>
      </x:c>
      <x:c r="D1073" s="7" t="str">
        <x:v>BLD-B</x:v>
      </x:c>
      <x:c r="E1073" s="7" t="str">
        <x:v>BL-X</x:v>
      </x:c>
      <x:c r="F1073" s="7" t="str">
        <x:v>MF-10</x:v>
      </x:c>
      <x:c r="G1073" s="7" t="str">
        <x:v>normal-source path state</x:v>
      </x:c>
      <x:c r="H1073" s="7" t="n">
        <x:v>5</x:v>
      </x:c>
      <x:c r="I1073" s="7" t="str"/>
      <x:c r="J1073" s="7" t="str"/>
      <x:c r="K1073" s="7" t="str"/>
      <x:c r="L1073" s="7" t="str"/>
      <x:c r="M1073" s="7" t="str"/>
      <x:c r="N1073" s="7" t="str"/>
      <x:c r="O1073" s="7" t="str">
        <x:f>IF(N1073="","OPEN",IF(OR(I1073="",J1073="",K1073="",L1073="",M1073=""),"FAIL","PASS"))</x:f>
        <x:v>OPEN</x:v>
      </x:c>
    </x:row>
    <x:row r="1074">
      <x:c r="B1074" s="7" t="str">
        <x:v>CH-PEA-B-X2-10-6</x:v>
      </x:c>
      <x:c r="C1074" s="7" t="str">
        <x:v>PEA-B-X2</x:v>
      </x:c>
      <x:c r="D1074" s="7" t="str">
        <x:v>BLD-B</x:v>
      </x:c>
      <x:c r="E1074" s="7" t="str">
        <x:v>BL-X</x:v>
      </x:c>
      <x:c r="F1074" s="7" t="str">
        <x:v>MF-10</x:v>
      </x:c>
      <x:c r="G1074" s="7" t="str">
        <x:v>normal-source path state</x:v>
      </x:c>
      <x:c r="H1074" s="7" t="n">
        <x:v>6</x:v>
      </x:c>
      <x:c r="I1074" s="7" t="str"/>
      <x:c r="J1074" s="7" t="str"/>
      <x:c r="K1074" s="7" t="str"/>
      <x:c r="L1074" s="7" t="str"/>
      <x:c r="M1074" s="7" t="str"/>
      <x:c r="N1074" s="7" t="str"/>
      <x:c r="O1074" s="7" t="str">
        <x:f>IF(N1074="","OPEN",IF(OR(I1074="",J1074="",K1074="",L1074="",M1074=""),"FAIL","PASS"))</x:f>
        <x:v>OPEN</x:v>
      </x:c>
    </x:row>
    <x:row r="1075">
      <x:c r="B1075" s="7" t="str">
        <x:v>CH-PEA-B-X2-11-1</x:v>
      </x:c>
      <x:c r="C1075" s="7" t="str">
        <x:v>PEA-B-X2</x:v>
      </x:c>
      <x:c r="D1075" s="7" t="str">
        <x:v>BLD-B</x:v>
      </x:c>
      <x:c r="E1075" s="7" t="str">
        <x:v>BL-X</x:v>
      </x:c>
      <x:c r="F1075" s="7" t="str">
        <x:v>MF-11</x:v>
      </x:c>
      <x:c r="G1075" s="7" t="str">
        <x:v>casualty-source path state</x:v>
      </x:c>
      <x:c r="H1075" s="7" t="n">
        <x:v>1</x:v>
      </x:c>
      <x:c r="I1075" s="7" t="str"/>
      <x:c r="J1075" s="7" t="str"/>
      <x:c r="K1075" s="7" t="str"/>
      <x:c r="L1075" s="7" t="str"/>
      <x:c r="M1075" s="7" t="str"/>
      <x:c r="N1075" s="7" t="str"/>
      <x:c r="O1075" s="7" t="str">
        <x:f>IF(N1075="","OPEN",IF(OR(I1075="",J1075="",K1075="",L1075="",M1075=""),"FAIL","PASS"))</x:f>
        <x:v>OPEN</x:v>
      </x:c>
    </x:row>
    <x:row r="1076">
      <x:c r="B1076" s="7" t="str">
        <x:v>CH-PEA-B-X2-11-2</x:v>
      </x:c>
      <x:c r="C1076" s="7" t="str">
        <x:v>PEA-B-X2</x:v>
      </x:c>
      <x:c r="D1076" s="7" t="str">
        <x:v>BLD-B</x:v>
      </x:c>
      <x:c r="E1076" s="7" t="str">
        <x:v>BL-X</x:v>
      </x:c>
      <x:c r="F1076" s="7" t="str">
        <x:v>MF-11</x:v>
      </x:c>
      <x:c r="G1076" s="7" t="str">
        <x:v>casualty-source path state</x:v>
      </x:c>
      <x:c r="H1076" s="7" t="n">
        <x:v>2</x:v>
      </x:c>
      <x:c r="I1076" s="7" t="str"/>
      <x:c r="J1076" s="7" t="str"/>
      <x:c r="K1076" s="7" t="str"/>
      <x:c r="L1076" s="7" t="str"/>
      <x:c r="M1076" s="7" t="str"/>
      <x:c r="N1076" s="7" t="str"/>
      <x:c r="O1076" s="7" t="str">
        <x:f>IF(N1076="","OPEN",IF(OR(I1076="",J1076="",K1076="",L1076="",M1076=""),"FAIL","PASS"))</x:f>
        <x:v>OPEN</x:v>
      </x:c>
    </x:row>
    <x:row r="1077">
      <x:c r="B1077" s="7" t="str">
        <x:v>CH-PEA-B-X2-11-3</x:v>
      </x:c>
      <x:c r="C1077" s="7" t="str">
        <x:v>PEA-B-X2</x:v>
      </x:c>
      <x:c r="D1077" s="7" t="str">
        <x:v>BLD-B</x:v>
      </x:c>
      <x:c r="E1077" s="7" t="str">
        <x:v>BL-X</x:v>
      </x:c>
      <x:c r="F1077" s="7" t="str">
        <x:v>MF-11</x:v>
      </x:c>
      <x:c r="G1077" s="7" t="str">
        <x:v>casualty-source path state</x:v>
      </x:c>
      <x:c r="H1077" s="7" t="n">
        <x:v>3</x:v>
      </x:c>
      <x:c r="I1077" s="7" t="str"/>
      <x:c r="J1077" s="7" t="str"/>
      <x:c r="K1077" s="7" t="str"/>
      <x:c r="L1077" s="7" t="str"/>
      <x:c r="M1077" s="7" t="str"/>
      <x:c r="N1077" s="7" t="str"/>
      <x:c r="O1077" s="7" t="str">
        <x:f>IF(N1077="","OPEN",IF(OR(I1077="",J1077="",K1077="",L1077="",M1077=""),"FAIL","PASS"))</x:f>
        <x:v>OPEN</x:v>
      </x:c>
    </x:row>
    <x:row r="1078">
      <x:c r="B1078" s="7" t="str">
        <x:v>CH-PEA-B-X2-11-4</x:v>
      </x:c>
      <x:c r="C1078" s="7" t="str">
        <x:v>PEA-B-X2</x:v>
      </x:c>
      <x:c r="D1078" s="7" t="str">
        <x:v>BLD-B</x:v>
      </x:c>
      <x:c r="E1078" s="7" t="str">
        <x:v>BL-X</x:v>
      </x:c>
      <x:c r="F1078" s="7" t="str">
        <x:v>MF-11</x:v>
      </x:c>
      <x:c r="G1078" s="7" t="str">
        <x:v>casualty-source path state</x:v>
      </x:c>
      <x:c r="H1078" s="7" t="n">
        <x:v>4</x:v>
      </x:c>
      <x:c r="I1078" s="7" t="str"/>
      <x:c r="J1078" s="7" t="str"/>
      <x:c r="K1078" s="7" t="str"/>
      <x:c r="L1078" s="7" t="str"/>
      <x:c r="M1078" s="7" t="str"/>
      <x:c r="N1078" s="7" t="str"/>
      <x:c r="O1078" s="7" t="str">
        <x:f>IF(N1078="","OPEN",IF(OR(I1078="",J1078="",K1078="",L1078="",M1078=""),"FAIL","PASS"))</x:f>
        <x:v>OPEN</x:v>
      </x:c>
    </x:row>
    <x:row r="1079">
      <x:c r="B1079" s="7" t="str">
        <x:v>CH-PEA-B-X2-11-5</x:v>
      </x:c>
      <x:c r="C1079" s="7" t="str">
        <x:v>PEA-B-X2</x:v>
      </x:c>
      <x:c r="D1079" s="7" t="str">
        <x:v>BLD-B</x:v>
      </x:c>
      <x:c r="E1079" s="7" t="str">
        <x:v>BL-X</x:v>
      </x:c>
      <x:c r="F1079" s="7" t="str">
        <x:v>MF-11</x:v>
      </x:c>
      <x:c r="G1079" s="7" t="str">
        <x:v>casualty-source path state</x:v>
      </x:c>
      <x:c r="H1079" s="7" t="n">
        <x:v>5</x:v>
      </x:c>
      <x:c r="I1079" s="7" t="str"/>
      <x:c r="J1079" s="7" t="str"/>
      <x:c r="K1079" s="7" t="str"/>
      <x:c r="L1079" s="7" t="str"/>
      <x:c r="M1079" s="7" t="str"/>
      <x:c r="N1079" s="7" t="str"/>
      <x:c r="O1079" s="7" t="str">
        <x:f>IF(N1079="","OPEN",IF(OR(I1079="",J1079="",K1079="",L1079="",M1079=""),"FAIL","PASS"))</x:f>
        <x:v>OPEN</x:v>
      </x:c>
    </x:row>
    <x:row r="1080">
      <x:c r="B1080" s="7" t="str">
        <x:v>CH-PEA-B-X2-11-6</x:v>
      </x:c>
      <x:c r="C1080" s="7" t="str">
        <x:v>PEA-B-X2</x:v>
      </x:c>
      <x:c r="D1080" s="7" t="str">
        <x:v>BLD-B</x:v>
      </x:c>
      <x:c r="E1080" s="7" t="str">
        <x:v>BL-X</x:v>
      </x:c>
      <x:c r="F1080" s="7" t="str">
        <x:v>MF-11</x:v>
      </x:c>
      <x:c r="G1080" s="7" t="str">
        <x:v>casualty-source path state</x:v>
      </x:c>
      <x:c r="H1080" s="7" t="n">
        <x:v>6</x:v>
      </x:c>
      <x:c r="I1080" s="7" t="str"/>
      <x:c r="J1080" s="7" t="str"/>
      <x:c r="K1080" s="7" t="str"/>
      <x:c r="L1080" s="7" t="str"/>
      <x:c r="M1080" s="7" t="str"/>
      <x:c r="N1080" s="7" t="str"/>
      <x:c r="O1080" s="7" t="str">
        <x:f>IF(N1080="","OPEN",IF(OR(I1080="",J1080="",K1080="",L1080="",M1080=""),"FAIL","PASS"))</x:f>
        <x:v>OPEN</x:v>
      </x:c>
    </x:row>
    <x:row r="1081">
      <x:c r="B1081" s="7" t="str">
        <x:v>CH-PEA-B-X2-12-1</x:v>
      </x:c>
      <x:c r="C1081" s="7" t="str">
        <x:v>PEA-B-X2</x:v>
      </x:c>
      <x:c r="D1081" s="7" t="str">
        <x:v>BLD-B</x:v>
      </x:c>
      <x:c r="E1081" s="7" t="str">
        <x:v>BL-X</x:v>
      </x:c>
      <x:c r="F1081" s="7" t="str">
        <x:v>MF-12</x:v>
      </x:c>
      <x:c r="G1081" s="7" t="str">
        <x:v>candidate-water path state</x:v>
      </x:c>
      <x:c r="H1081" s="7" t="n">
        <x:v>1</x:v>
      </x:c>
      <x:c r="I1081" s="7" t="str"/>
      <x:c r="J1081" s="7" t="str"/>
      <x:c r="K1081" s="7" t="str"/>
      <x:c r="L1081" s="7" t="str"/>
      <x:c r="M1081" s="7" t="str"/>
      <x:c r="N1081" s="7" t="str"/>
      <x:c r="O1081" s="7" t="str">
        <x:f>IF(N1081="","OPEN",IF(OR(I1081="",J1081="",K1081="",L1081="",M1081=""),"FAIL","PASS"))</x:f>
        <x:v>OPEN</x:v>
      </x:c>
    </x:row>
    <x:row r="1082">
      <x:c r="B1082" s="7" t="str">
        <x:v>CH-PEA-B-X2-12-2</x:v>
      </x:c>
      <x:c r="C1082" s="7" t="str">
        <x:v>PEA-B-X2</x:v>
      </x:c>
      <x:c r="D1082" s="7" t="str">
        <x:v>BLD-B</x:v>
      </x:c>
      <x:c r="E1082" s="7" t="str">
        <x:v>BL-X</x:v>
      </x:c>
      <x:c r="F1082" s="7" t="str">
        <x:v>MF-12</x:v>
      </x:c>
      <x:c r="G1082" s="7" t="str">
        <x:v>candidate-water path state</x:v>
      </x:c>
      <x:c r="H1082" s="7" t="n">
        <x:v>2</x:v>
      </x:c>
      <x:c r="I1082" s="7" t="str"/>
      <x:c r="J1082" s="7" t="str"/>
      <x:c r="K1082" s="7" t="str"/>
      <x:c r="L1082" s="7" t="str"/>
      <x:c r="M1082" s="7" t="str"/>
      <x:c r="N1082" s="7" t="str"/>
      <x:c r="O1082" s="7" t="str">
        <x:f>IF(N1082="","OPEN",IF(OR(I1082="",J1082="",K1082="",L1082="",M1082=""),"FAIL","PASS"))</x:f>
        <x:v>OPEN</x:v>
      </x:c>
    </x:row>
    <x:row r="1083">
      <x:c r="B1083" s="7" t="str">
        <x:v>CH-PEA-B-X2-12-3</x:v>
      </x:c>
      <x:c r="C1083" s="7" t="str">
        <x:v>PEA-B-X2</x:v>
      </x:c>
      <x:c r="D1083" s="7" t="str">
        <x:v>BLD-B</x:v>
      </x:c>
      <x:c r="E1083" s="7" t="str">
        <x:v>BL-X</x:v>
      </x:c>
      <x:c r="F1083" s="7" t="str">
        <x:v>MF-12</x:v>
      </x:c>
      <x:c r="G1083" s="7" t="str">
        <x:v>candidate-water path state</x:v>
      </x:c>
      <x:c r="H1083" s="7" t="n">
        <x:v>3</x:v>
      </x:c>
      <x:c r="I1083" s="7" t="str"/>
      <x:c r="J1083" s="7" t="str"/>
      <x:c r="K1083" s="7" t="str"/>
      <x:c r="L1083" s="7" t="str"/>
      <x:c r="M1083" s="7" t="str"/>
      <x:c r="N1083" s="7" t="str"/>
      <x:c r="O1083" s="7" t="str">
        <x:f>IF(N1083="","OPEN",IF(OR(I1083="",J1083="",K1083="",L1083="",M1083=""),"FAIL","PASS"))</x:f>
        <x:v>OPEN</x:v>
      </x:c>
    </x:row>
    <x:row r="1084">
      <x:c r="B1084" s="7" t="str">
        <x:v>CH-PEA-B-X2-12-4</x:v>
      </x:c>
      <x:c r="C1084" s="7" t="str">
        <x:v>PEA-B-X2</x:v>
      </x:c>
      <x:c r="D1084" s="7" t="str">
        <x:v>BLD-B</x:v>
      </x:c>
      <x:c r="E1084" s="7" t="str">
        <x:v>BL-X</x:v>
      </x:c>
      <x:c r="F1084" s="7" t="str">
        <x:v>MF-12</x:v>
      </x:c>
      <x:c r="G1084" s="7" t="str">
        <x:v>candidate-water path state</x:v>
      </x:c>
      <x:c r="H1084" s="7" t="n">
        <x:v>4</x:v>
      </x:c>
      <x:c r="I1084" s="7" t="str"/>
      <x:c r="J1084" s="7" t="str"/>
      <x:c r="K1084" s="7" t="str"/>
      <x:c r="L1084" s="7" t="str"/>
      <x:c r="M1084" s="7" t="str"/>
      <x:c r="N1084" s="7" t="str"/>
      <x:c r="O1084" s="7" t="str">
        <x:f>IF(N1084="","OPEN",IF(OR(I1084="",J1084="",K1084="",L1084="",M1084=""),"FAIL","PASS"))</x:f>
        <x:v>OPEN</x:v>
      </x:c>
    </x:row>
    <x:row r="1085">
      <x:c r="B1085" s="7" t="str">
        <x:v>CH-PEA-B-X2-12-5</x:v>
      </x:c>
      <x:c r="C1085" s="7" t="str">
        <x:v>PEA-B-X2</x:v>
      </x:c>
      <x:c r="D1085" s="7" t="str">
        <x:v>BLD-B</x:v>
      </x:c>
      <x:c r="E1085" s="7" t="str">
        <x:v>BL-X</x:v>
      </x:c>
      <x:c r="F1085" s="7" t="str">
        <x:v>MF-12</x:v>
      </x:c>
      <x:c r="G1085" s="7" t="str">
        <x:v>candidate-water path state</x:v>
      </x:c>
      <x:c r="H1085" s="7" t="n">
        <x:v>5</x:v>
      </x:c>
      <x:c r="I1085" s="7" t="str"/>
      <x:c r="J1085" s="7" t="str"/>
      <x:c r="K1085" s="7" t="str"/>
      <x:c r="L1085" s="7" t="str"/>
      <x:c r="M1085" s="7" t="str"/>
      <x:c r="N1085" s="7" t="str"/>
      <x:c r="O1085" s="7" t="str">
        <x:f>IF(N1085="","OPEN",IF(OR(I1085="",J1085="",K1085="",L1085="",M1085=""),"FAIL","PASS"))</x:f>
        <x:v>OPEN</x:v>
      </x:c>
    </x:row>
    <x:row r="1086">
      <x:c r="B1086" s="7" t="str">
        <x:v>CH-PEA-B-X2-12-6</x:v>
      </x:c>
      <x:c r="C1086" s="7" t="str">
        <x:v>PEA-B-X2</x:v>
      </x:c>
      <x:c r="D1086" s="7" t="str">
        <x:v>BLD-B</x:v>
      </x:c>
      <x:c r="E1086" s="7" t="str">
        <x:v>BL-X</x:v>
      </x:c>
      <x:c r="F1086" s="7" t="str">
        <x:v>MF-12</x:v>
      </x:c>
      <x:c r="G1086" s="7" t="str">
        <x:v>candidate-water path state</x:v>
      </x:c>
      <x:c r="H1086" s="7" t="n">
        <x:v>6</x:v>
      </x:c>
      <x:c r="I1086" s="7" t="str"/>
      <x:c r="J1086" s="7" t="str"/>
      <x:c r="K1086" s="7" t="str"/>
      <x:c r="L1086" s="7" t="str"/>
      <x:c r="M1086" s="7" t="str"/>
      <x:c r="N1086" s="7" t="str"/>
      <x:c r="O1086" s="7" t="str">
        <x:f>IF(N1086="","OPEN",IF(OR(I1086="",J1086="",K1086="",L1086="",M1086=""),"FAIL","PASS"))</x:f>
        <x:v>OPEN</x:v>
      </x:c>
    </x:row>
    <x:row r="1087">
      <x:c r="B1087" s="7" t="str">
        <x:v>CH-PEA-B-X2-13-1</x:v>
      </x:c>
      <x:c r="C1087" s="7" t="str">
        <x:v>PEA-B-X2</x:v>
      </x:c>
      <x:c r="D1087" s="7" t="str">
        <x:v>BLD-B</x:v>
      </x:c>
      <x:c r="E1087" s="7" t="str">
        <x:v>BL-X</x:v>
      </x:c>
      <x:c r="F1087" s="7" t="str">
        <x:v>MF-13</x:v>
      </x:c>
      <x:c r="G1087" s="7" t="str">
        <x:v>final-element reference</x:v>
      </x:c>
      <x:c r="H1087" s="7" t="n">
        <x:v>1</x:v>
      </x:c>
      <x:c r="I1087" s="7" t="str"/>
      <x:c r="J1087" s="7" t="str"/>
      <x:c r="K1087" s="7" t="str"/>
      <x:c r="L1087" s="7" t="str"/>
      <x:c r="M1087" s="7" t="str"/>
      <x:c r="N1087" s="7" t="str"/>
      <x:c r="O1087" s="7" t="str">
        <x:f>IF(N1087="","OPEN",IF(OR(I1087="",J1087="",K1087="",L1087="",M1087=""),"FAIL","PASS"))</x:f>
        <x:v>OPEN</x:v>
      </x:c>
    </x:row>
    <x:row r="1088">
      <x:c r="B1088" s="7" t="str">
        <x:v>CH-PEA-B-X2-13-2</x:v>
      </x:c>
      <x:c r="C1088" s="7" t="str">
        <x:v>PEA-B-X2</x:v>
      </x:c>
      <x:c r="D1088" s="7" t="str">
        <x:v>BLD-B</x:v>
      </x:c>
      <x:c r="E1088" s="7" t="str">
        <x:v>BL-X</x:v>
      </x:c>
      <x:c r="F1088" s="7" t="str">
        <x:v>MF-13</x:v>
      </x:c>
      <x:c r="G1088" s="7" t="str">
        <x:v>final-element reference</x:v>
      </x:c>
      <x:c r="H1088" s="7" t="n">
        <x:v>2</x:v>
      </x:c>
      <x:c r="I1088" s="7" t="str"/>
      <x:c r="J1088" s="7" t="str"/>
      <x:c r="K1088" s="7" t="str"/>
      <x:c r="L1088" s="7" t="str"/>
      <x:c r="M1088" s="7" t="str"/>
      <x:c r="N1088" s="7" t="str"/>
      <x:c r="O1088" s="7" t="str">
        <x:f>IF(N1088="","OPEN",IF(OR(I1088="",J1088="",K1088="",L1088="",M1088=""),"FAIL","PASS"))</x:f>
        <x:v>OPEN</x:v>
      </x:c>
    </x:row>
    <x:row r="1089">
      <x:c r="B1089" s="7" t="str">
        <x:v>CH-PEA-B-X2-13-3</x:v>
      </x:c>
      <x:c r="C1089" s="7" t="str">
        <x:v>PEA-B-X2</x:v>
      </x:c>
      <x:c r="D1089" s="7" t="str">
        <x:v>BLD-B</x:v>
      </x:c>
      <x:c r="E1089" s="7" t="str">
        <x:v>BL-X</x:v>
      </x:c>
      <x:c r="F1089" s="7" t="str">
        <x:v>MF-13</x:v>
      </x:c>
      <x:c r="G1089" s="7" t="str">
        <x:v>final-element reference</x:v>
      </x:c>
      <x:c r="H1089" s="7" t="n">
        <x:v>3</x:v>
      </x:c>
      <x:c r="I1089" s="7" t="str"/>
      <x:c r="J1089" s="7" t="str"/>
      <x:c r="K1089" s="7" t="str"/>
      <x:c r="L1089" s="7" t="str"/>
      <x:c r="M1089" s="7" t="str"/>
      <x:c r="N1089" s="7" t="str"/>
      <x:c r="O1089" s="7" t="str">
        <x:f>IF(N1089="","OPEN",IF(OR(I1089="",J1089="",K1089="",L1089="",M1089=""),"FAIL","PASS"))</x:f>
        <x:v>OPEN</x:v>
      </x:c>
    </x:row>
    <x:row r="1090">
      <x:c r="B1090" s="7" t="str">
        <x:v>CH-PEA-B-X2-13-4</x:v>
      </x:c>
      <x:c r="C1090" s="7" t="str">
        <x:v>PEA-B-X2</x:v>
      </x:c>
      <x:c r="D1090" s="7" t="str">
        <x:v>BLD-B</x:v>
      </x:c>
      <x:c r="E1090" s="7" t="str">
        <x:v>BL-X</x:v>
      </x:c>
      <x:c r="F1090" s="7" t="str">
        <x:v>MF-13</x:v>
      </x:c>
      <x:c r="G1090" s="7" t="str">
        <x:v>final-element reference</x:v>
      </x:c>
      <x:c r="H1090" s="7" t="n">
        <x:v>4</x:v>
      </x:c>
      <x:c r="I1090" s="7" t="str"/>
      <x:c r="J1090" s="7" t="str"/>
      <x:c r="K1090" s="7" t="str"/>
      <x:c r="L1090" s="7" t="str"/>
      <x:c r="M1090" s="7" t="str"/>
      <x:c r="N1090" s="7" t="str"/>
      <x:c r="O1090" s="7" t="str">
        <x:f>IF(N1090="","OPEN",IF(OR(I1090="",J1090="",K1090="",L1090="",M1090=""),"FAIL","PASS"))</x:f>
        <x:v>OPEN</x:v>
      </x:c>
    </x:row>
    <x:row r="1091">
      <x:c r="B1091" s="7" t="str">
        <x:v>CH-PEA-B-X2-13-5</x:v>
      </x:c>
      <x:c r="C1091" s="7" t="str">
        <x:v>PEA-B-X2</x:v>
      </x:c>
      <x:c r="D1091" s="7" t="str">
        <x:v>BLD-B</x:v>
      </x:c>
      <x:c r="E1091" s="7" t="str">
        <x:v>BL-X</x:v>
      </x:c>
      <x:c r="F1091" s="7" t="str">
        <x:v>MF-13</x:v>
      </x:c>
      <x:c r="G1091" s="7" t="str">
        <x:v>final-element reference</x:v>
      </x:c>
      <x:c r="H1091" s="7" t="n">
        <x:v>5</x:v>
      </x:c>
      <x:c r="I1091" s="7" t="str"/>
      <x:c r="J1091" s="7" t="str"/>
      <x:c r="K1091" s="7" t="str"/>
      <x:c r="L1091" s="7" t="str"/>
      <x:c r="M1091" s="7" t="str"/>
      <x:c r="N1091" s="7" t="str"/>
      <x:c r="O1091" s="7" t="str">
        <x:f>IF(N1091="","OPEN",IF(OR(I1091="",J1091="",K1091="",L1091="",M1091=""),"FAIL","PASS"))</x:f>
        <x:v>OPEN</x:v>
      </x:c>
    </x:row>
    <x:row r="1092">
      <x:c r="B1092" s="7" t="str">
        <x:v>CH-PEA-B-X2-13-6</x:v>
      </x:c>
      <x:c r="C1092" s="7" t="str">
        <x:v>PEA-B-X2</x:v>
      </x:c>
      <x:c r="D1092" s="7" t="str">
        <x:v>BLD-B</x:v>
      </x:c>
      <x:c r="E1092" s="7" t="str">
        <x:v>BL-X</x:v>
      </x:c>
      <x:c r="F1092" s="7" t="str">
        <x:v>MF-13</x:v>
      </x:c>
      <x:c r="G1092" s="7" t="str">
        <x:v>final-element reference</x:v>
      </x:c>
      <x:c r="H1092" s="7" t="n">
        <x:v>6</x:v>
      </x:c>
      <x:c r="I1092" s="7" t="str"/>
      <x:c r="J1092" s="7" t="str"/>
      <x:c r="K1092" s="7" t="str"/>
      <x:c r="L1092" s="7" t="str"/>
      <x:c r="M1092" s="7" t="str"/>
      <x:c r="N1092" s="7" t="str"/>
      <x:c r="O1092" s="7" t="str">
        <x:f>IF(N1092="","OPEN",IF(OR(I1092="",J1092="",K1092="",L1092="",M1092=""),"FAIL","PASS"))</x:f>
        <x:v>OPEN</x:v>
      </x:c>
    </x:row>
    <x:row r="1093">
      <x:c r="B1093" s="7" t="str">
        <x:v>CH-PEA-B-X2-14-1</x:v>
      </x:c>
      <x:c r="C1093" s="7" t="str">
        <x:v>PEA-B-X2</x:v>
      </x:c>
      <x:c r="D1093" s="7" t="str">
        <x:v>BLD-B</x:v>
      </x:c>
      <x:c r="E1093" s="7" t="str">
        <x:v>BL-X</x:v>
      </x:c>
      <x:c r="F1093" s="7" t="str">
        <x:v>MF-14</x:v>
      </x:c>
      <x:c r="G1093" s="7" t="str">
        <x:v>causal time</x:v>
      </x:c>
      <x:c r="H1093" s="7" t="n">
        <x:v>1</x:v>
      </x:c>
      <x:c r="I1093" s="7" t="str"/>
      <x:c r="J1093" s="7" t="str"/>
      <x:c r="K1093" s="7" t="str"/>
      <x:c r="L1093" s="7" t="str"/>
      <x:c r="M1093" s="7" t="str"/>
      <x:c r="N1093" s="7" t="str"/>
      <x:c r="O1093" s="7" t="str">
        <x:f>IF(N1093="","OPEN",IF(OR(I1093="",J1093="",K1093="",L1093="",M1093=""),"FAIL","PASS"))</x:f>
        <x:v>OPEN</x:v>
      </x:c>
    </x:row>
    <x:row r="1094">
      <x:c r="B1094" s="7" t="str">
        <x:v>CH-PEA-B-X2-14-2</x:v>
      </x:c>
      <x:c r="C1094" s="7" t="str">
        <x:v>PEA-B-X2</x:v>
      </x:c>
      <x:c r="D1094" s="7" t="str">
        <x:v>BLD-B</x:v>
      </x:c>
      <x:c r="E1094" s="7" t="str">
        <x:v>BL-X</x:v>
      </x:c>
      <x:c r="F1094" s="7" t="str">
        <x:v>MF-14</x:v>
      </x:c>
      <x:c r="G1094" s="7" t="str">
        <x:v>causal time</x:v>
      </x:c>
      <x:c r="H1094" s="7" t="n">
        <x:v>2</x:v>
      </x:c>
      <x:c r="I1094" s="7" t="str"/>
      <x:c r="J1094" s="7" t="str"/>
      <x:c r="K1094" s="7" t="str"/>
      <x:c r="L1094" s="7" t="str"/>
      <x:c r="M1094" s="7" t="str"/>
      <x:c r="N1094" s="7" t="str"/>
      <x:c r="O1094" s="7" t="str">
        <x:f>IF(N1094="","OPEN",IF(OR(I1094="",J1094="",K1094="",L1094="",M1094=""),"FAIL","PASS"))</x:f>
        <x:v>OPEN</x:v>
      </x:c>
    </x:row>
    <x:row r="1095">
      <x:c r="B1095" s="7" t="str">
        <x:v>CH-PEA-B-X2-14-3</x:v>
      </x:c>
      <x:c r="C1095" s="7" t="str">
        <x:v>PEA-B-X2</x:v>
      </x:c>
      <x:c r="D1095" s="7" t="str">
        <x:v>BLD-B</x:v>
      </x:c>
      <x:c r="E1095" s="7" t="str">
        <x:v>BL-X</x:v>
      </x:c>
      <x:c r="F1095" s="7" t="str">
        <x:v>MF-14</x:v>
      </x:c>
      <x:c r="G1095" s="7" t="str">
        <x:v>causal time</x:v>
      </x:c>
      <x:c r="H1095" s="7" t="n">
        <x:v>3</x:v>
      </x:c>
      <x:c r="I1095" s="7" t="str"/>
      <x:c r="J1095" s="7" t="str"/>
      <x:c r="K1095" s="7" t="str"/>
      <x:c r="L1095" s="7" t="str"/>
      <x:c r="M1095" s="7" t="str"/>
      <x:c r="N1095" s="7" t="str"/>
      <x:c r="O1095" s="7" t="str">
        <x:f>IF(N1095="","OPEN",IF(OR(I1095="",J1095="",K1095="",L1095="",M1095=""),"FAIL","PASS"))</x:f>
        <x:v>OPEN</x:v>
      </x:c>
    </x:row>
    <x:row r="1096">
      <x:c r="B1096" s="7" t="str">
        <x:v>CH-PEA-B-X2-14-4</x:v>
      </x:c>
      <x:c r="C1096" s="7" t="str">
        <x:v>PEA-B-X2</x:v>
      </x:c>
      <x:c r="D1096" s="7" t="str">
        <x:v>BLD-B</x:v>
      </x:c>
      <x:c r="E1096" s="7" t="str">
        <x:v>BL-X</x:v>
      </x:c>
      <x:c r="F1096" s="7" t="str">
        <x:v>MF-14</x:v>
      </x:c>
      <x:c r="G1096" s="7" t="str">
        <x:v>causal time</x:v>
      </x:c>
      <x:c r="H1096" s="7" t="n">
        <x:v>4</x:v>
      </x:c>
      <x:c r="I1096" s="7" t="str"/>
      <x:c r="J1096" s="7" t="str"/>
      <x:c r="K1096" s="7" t="str"/>
      <x:c r="L1096" s="7" t="str"/>
      <x:c r="M1096" s="7" t="str"/>
      <x:c r="N1096" s="7" t="str"/>
      <x:c r="O1096" s="7" t="str">
        <x:f>IF(N1096="","OPEN",IF(OR(I1096="",J1096="",K1096="",L1096="",M1096=""),"FAIL","PASS"))</x:f>
        <x:v>OPEN</x:v>
      </x:c>
    </x:row>
    <x:row r="1097">
      <x:c r="B1097" s="7" t="str">
        <x:v>CH-PEA-B-X2-14-5</x:v>
      </x:c>
      <x:c r="C1097" s="7" t="str">
        <x:v>PEA-B-X2</x:v>
      </x:c>
      <x:c r="D1097" s="7" t="str">
        <x:v>BLD-B</x:v>
      </x:c>
      <x:c r="E1097" s="7" t="str">
        <x:v>BL-X</x:v>
      </x:c>
      <x:c r="F1097" s="7" t="str">
        <x:v>MF-14</x:v>
      </x:c>
      <x:c r="G1097" s="7" t="str">
        <x:v>causal time</x:v>
      </x:c>
      <x:c r="H1097" s="7" t="n">
        <x:v>5</x:v>
      </x:c>
      <x:c r="I1097" s="7" t="str"/>
      <x:c r="J1097" s="7" t="str"/>
      <x:c r="K1097" s="7" t="str"/>
      <x:c r="L1097" s="7" t="str"/>
      <x:c r="M1097" s="7" t="str"/>
      <x:c r="N1097" s="7" t="str"/>
      <x:c r="O1097" s="7" t="str">
        <x:f>IF(N1097="","OPEN",IF(OR(I1097="",J1097="",K1097="",L1097="",M1097=""),"FAIL","PASS"))</x:f>
        <x:v>OPEN</x:v>
      </x:c>
    </x:row>
    <x:row r="1098">
      <x:c r="B1098" s="7" t="str">
        <x:v>CH-PEA-B-X2-14-6</x:v>
      </x:c>
      <x:c r="C1098" s="7" t="str">
        <x:v>PEA-B-X2</x:v>
      </x:c>
      <x:c r="D1098" s="7" t="str">
        <x:v>BLD-B</x:v>
      </x:c>
      <x:c r="E1098" s="7" t="str">
        <x:v>BL-X</x:v>
      </x:c>
      <x:c r="F1098" s="7" t="str">
        <x:v>MF-14</x:v>
      </x:c>
      <x:c r="G1098" s="7" t="str">
        <x:v>causal time</x:v>
      </x:c>
      <x:c r="H1098" s="7" t="n">
        <x:v>6</x:v>
      </x:c>
      <x:c r="I1098" s="7" t="str"/>
      <x:c r="J1098" s="7" t="str"/>
      <x:c r="K1098" s="7" t="str"/>
      <x:c r="L1098" s="7" t="str"/>
      <x:c r="M1098" s="7" t="str"/>
      <x:c r="N1098" s="7" t="str"/>
      <x:c r="O1098" s="7" t="str">
        <x:f>IF(N1098="","OPEN",IF(OR(I1098="",J1098="",K1098="",L1098="",M1098=""),"FAIL","PASS"))</x:f>
        <x:v>OPEN</x:v>
      </x:c>
    </x:row>
    <x:row r="1099">
      <x:c r="B1099" s="7" t="str">
        <x:v>CH-PEA-B-X2-15-1</x:v>
      </x:c>
      <x:c r="C1099" s="7" t="str">
        <x:v>PEA-B-X2</x:v>
      </x:c>
      <x:c r="D1099" s="7" t="str">
        <x:v>BLD-B</x:v>
      </x:c>
      <x:c r="E1099" s="7" t="str">
        <x:v>BL-X</x:v>
      </x:c>
      <x:c r="F1099" s="7" t="str">
        <x:v>MF-15</x:v>
      </x:c>
      <x:c r="G1099" s="7" t="str">
        <x:v>source motive energy</x:v>
      </x:c>
      <x:c r="H1099" s="7" t="n">
        <x:v>1</x:v>
      </x:c>
      <x:c r="I1099" s="7" t="str"/>
      <x:c r="J1099" s="7" t="str"/>
      <x:c r="K1099" s="7" t="str"/>
      <x:c r="L1099" s="7" t="str"/>
      <x:c r="M1099" s="7" t="str"/>
      <x:c r="N1099" s="7" t="str"/>
      <x:c r="O1099" s="7" t="str">
        <x:f>IF(N1099="","OPEN",IF(OR(I1099="",J1099="",K1099="",L1099="",M1099=""),"FAIL","PASS"))</x:f>
        <x:v>OPEN</x:v>
      </x:c>
    </x:row>
    <x:row r="1100">
      <x:c r="B1100" s="7" t="str">
        <x:v>CH-PEA-B-X2-15-2</x:v>
      </x:c>
      <x:c r="C1100" s="7" t="str">
        <x:v>PEA-B-X2</x:v>
      </x:c>
      <x:c r="D1100" s="7" t="str">
        <x:v>BLD-B</x:v>
      </x:c>
      <x:c r="E1100" s="7" t="str">
        <x:v>BL-X</x:v>
      </x:c>
      <x:c r="F1100" s="7" t="str">
        <x:v>MF-15</x:v>
      </x:c>
      <x:c r="G1100" s="7" t="str">
        <x:v>source motive energy</x:v>
      </x:c>
      <x:c r="H1100" s="7" t="n">
        <x:v>2</x:v>
      </x:c>
      <x:c r="I1100" s="7" t="str"/>
      <x:c r="J1100" s="7" t="str"/>
      <x:c r="K1100" s="7" t="str"/>
      <x:c r="L1100" s="7" t="str"/>
      <x:c r="M1100" s="7" t="str"/>
      <x:c r="N1100" s="7" t="str"/>
      <x:c r="O1100" s="7" t="str">
        <x:f>IF(N1100="","OPEN",IF(OR(I1100="",J1100="",K1100="",L1100="",M1100=""),"FAIL","PASS"))</x:f>
        <x:v>OPEN</x:v>
      </x:c>
    </x:row>
    <x:row r="1101">
      <x:c r="B1101" s="7" t="str">
        <x:v>CH-PEA-B-X2-15-3</x:v>
      </x:c>
      <x:c r="C1101" s="7" t="str">
        <x:v>PEA-B-X2</x:v>
      </x:c>
      <x:c r="D1101" s="7" t="str">
        <x:v>BLD-B</x:v>
      </x:c>
      <x:c r="E1101" s="7" t="str">
        <x:v>BL-X</x:v>
      </x:c>
      <x:c r="F1101" s="7" t="str">
        <x:v>MF-15</x:v>
      </x:c>
      <x:c r="G1101" s="7" t="str">
        <x:v>source motive energy</x:v>
      </x:c>
      <x:c r="H1101" s="7" t="n">
        <x:v>3</x:v>
      </x:c>
      <x:c r="I1101" s="7" t="str"/>
      <x:c r="J1101" s="7" t="str"/>
      <x:c r="K1101" s="7" t="str"/>
      <x:c r="L1101" s="7" t="str"/>
      <x:c r="M1101" s="7" t="str"/>
      <x:c r="N1101" s="7" t="str"/>
      <x:c r="O1101" s="7" t="str">
        <x:f>IF(N1101="","OPEN",IF(OR(I1101="",J1101="",K1101="",L1101="",M1101=""),"FAIL","PASS"))</x:f>
        <x:v>OPEN</x:v>
      </x:c>
    </x:row>
    <x:row r="1102">
      <x:c r="B1102" s="7" t="str">
        <x:v>CH-PEA-B-X2-15-4</x:v>
      </x:c>
      <x:c r="C1102" s="7" t="str">
        <x:v>PEA-B-X2</x:v>
      </x:c>
      <x:c r="D1102" s="7" t="str">
        <x:v>BLD-B</x:v>
      </x:c>
      <x:c r="E1102" s="7" t="str">
        <x:v>BL-X</x:v>
      </x:c>
      <x:c r="F1102" s="7" t="str">
        <x:v>MF-15</x:v>
      </x:c>
      <x:c r="G1102" s="7" t="str">
        <x:v>source motive energy</x:v>
      </x:c>
      <x:c r="H1102" s="7" t="n">
        <x:v>4</x:v>
      </x:c>
      <x:c r="I1102" s="7" t="str"/>
      <x:c r="J1102" s="7" t="str"/>
      <x:c r="K1102" s="7" t="str"/>
      <x:c r="L1102" s="7" t="str"/>
      <x:c r="M1102" s="7" t="str"/>
      <x:c r="N1102" s="7" t="str"/>
      <x:c r="O1102" s="7" t="str">
        <x:f>IF(N1102="","OPEN",IF(OR(I1102="",J1102="",K1102="",L1102="",M1102=""),"FAIL","PASS"))</x:f>
        <x:v>OPEN</x:v>
      </x:c>
    </x:row>
    <x:row r="1103">
      <x:c r="B1103" s="7" t="str">
        <x:v>CH-PEA-B-X2-15-5</x:v>
      </x:c>
      <x:c r="C1103" s="7" t="str">
        <x:v>PEA-B-X2</x:v>
      </x:c>
      <x:c r="D1103" s="7" t="str">
        <x:v>BLD-B</x:v>
      </x:c>
      <x:c r="E1103" s="7" t="str">
        <x:v>BL-X</x:v>
      </x:c>
      <x:c r="F1103" s="7" t="str">
        <x:v>MF-15</x:v>
      </x:c>
      <x:c r="G1103" s="7" t="str">
        <x:v>source motive energy</x:v>
      </x:c>
      <x:c r="H1103" s="7" t="n">
        <x:v>5</x:v>
      </x:c>
      <x:c r="I1103" s="7" t="str"/>
      <x:c r="J1103" s="7" t="str"/>
      <x:c r="K1103" s="7" t="str"/>
      <x:c r="L1103" s="7" t="str"/>
      <x:c r="M1103" s="7" t="str"/>
      <x:c r="N1103" s="7" t="str"/>
      <x:c r="O1103" s="7" t="str">
        <x:f>IF(N1103="","OPEN",IF(OR(I1103="",J1103="",K1103="",L1103="",M1103=""),"FAIL","PASS"))</x:f>
        <x:v>OPEN</x:v>
      </x:c>
    </x:row>
    <x:row r="1104">
      <x:c r="B1104" s="7" t="str">
        <x:v>CH-PEA-B-X2-15-6</x:v>
      </x:c>
      <x:c r="C1104" s="7" t="str">
        <x:v>PEA-B-X2</x:v>
      </x:c>
      <x:c r="D1104" s="7" t="str">
        <x:v>BLD-B</x:v>
      </x:c>
      <x:c r="E1104" s="7" t="str">
        <x:v>BL-X</x:v>
      </x:c>
      <x:c r="F1104" s="7" t="str">
        <x:v>MF-15</x:v>
      </x:c>
      <x:c r="G1104" s="7" t="str">
        <x:v>source motive energy</x:v>
      </x:c>
      <x:c r="H1104" s="7" t="n">
        <x:v>6</x:v>
      </x:c>
      <x:c r="I1104" s="7" t="str"/>
      <x:c r="J1104" s="7" t="str"/>
      <x:c r="K1104" s="7" t="str"/>
      <x:c r="L1104" s="7" t="str"/>
      <x:c r="M1104" s="7" t="str"/>
      <x:c r="N1104" s="7" t="str"/>
      <x:c r="O1104" s="7" t="str">
        <x:f>IF(N1104="","OPEN",IF(OR(I1104="",J1104="",K1104="",L1104="",M1104=""),"FAIL","PASS"))</x:f>
        <x:v>OPEN</x:v>
      </x:c>
    </x:row>
    <x:row r="1105">
      <x:c r="B1105" s="7" t="str">
        <x:v>CH-PEA-B-X2-16-1</x:v>
      </x:c>
      <x:c r="C1105" s="7" t="str">
        <x:v>PEA-B-X2</x:v>
      </x:c>
      <x:c r="D1105" s="7" t="str">
        <x:v>BLD-B</x:v>
      </x:c>
      <x:c r="E1105" s="7" t="str">
        <x:v>BL-X</x:v>
      </x:c>
      <x:c r="F1105" s="7" t="str">
        <x:v>MF-16</x:v>
      </x:c>
      <x:c r="G1105" s="7" t="str">
        <x:v>water motive energy</x:v>
      </x:c>
      <x:c r="H1105" s="7" t="n">
        <x:v>1</x:v>
      </x:c>
      <x:c r="I1105" s="7" t="str"/>
      <x:c r="J1105" s="7" t="str"/>
      <x:c r="K1105" s="7" t="str"/>
      <x:c r="L1105" s="7" t="str"/>
      <x:c r="M1105" s="7" t="str"/>
      <x:c r="N1105" s="7" t="str"/>
      <x:c r="O1105" s="7" t="str">
        <x:f>IF(N1105="","OPEN",IF(OR(I1105="",J1105="",K1105="",L1105="",M1105=""),"FAIL","PASS"))</x:f>
        <x:v>OPEN</x:v>
      </x:c>
    </x:row>
    <x:row r="1106">
      <x:c r="B1106" s="7" t="str">
        <x:v>CH-PEA-B-X2-16-2</x:v>
      </x:c>
      <x:c r="C1106" s="7" t="str">
        <x:v>PEA-B-X2</x:v>
      </x:c>
      <x:c r="D1106" s="7" t="str">
        <x:v>BLD-B</x:v>
      </x:c>
      <x:c r="E1106" s="7" t="str">
        <x:v>BL-X</x:v>
      </x:c>
      <x:c r="F1106" s="7" t="str">
        <x:v>MF-16</x:v>
      </x:c>
      <x:c r="G1106" s="7" t="str">
        <x:v>water motive energy</x:v>
      </x:c>
      <x:c r="H1106" s="7" t="n">
        <x:v>2</x:v>
      </x:c>
      <x:c r="I1106" s="7" t="str"/>
      <x:c r="J1106" s="7" t="str"/>
      <x:c r="K1106" s="7" t="str"/>
      <x:c r="L1106" s="7" t="str"/>
      <x:c r="M1106" s="7" t="str"/>
      <x:c r="N1106" s="7" t="str"/>
      <x:c r="O1106" s="7" t="str">
        <x:f>IF(N1106="","OPEN",IF(OR(I1106="",J1106="",K1106="",L1106="",M1106=""),"FAIL","PASS"))</x:f>
        <x:v>OPEN</x:v>
      </x:c>
    </x:row>
    <x:row r="1107">
      <x:c r="B1107" s="7" t="str">
        <x:v>CH-PEA-B-X2-16-3</x:v>
      </x:c>
      <x:c r="C1107" s="7" t="str">
        <x:v>PEA-B-X2</x:v>
      </x:c>
      <x:c r="D1107" s="7" t="str">
        <x:v>BLD-B</x:v>
      </x:c>
      <x:c r="E1107" s="7" t="str">
        <x:v>BL-X</x:v>
      </x:c>
      <x:c r="F1107" s="7" t="str">
        <x:v>MF-16</x:v>
      </x:c>
      <x:c r="G1107" s="7" t="str">
        <x:v>water motive energy</x:v>
      </x:c>
      <x:c r="H1107" s="7" t="n">
        <x:v>3</x:v>
      </x:c>
      <x:c r="I1107" s="7" t="str"/>
      <x:c r="J1107" s="7" t="str"/>
      <x:c r="K1107" s="7" t="str"/>
      <x:c r="L1107" s="7" t="str"/>
      <x:c r="M1107" s="7" t="str"/>
      <x:c r="N1107" s="7" t="str"/>
      <x:c r="O1107" s="7" t="str">
        <x:f>IF(N1107="","OPEN",IF(OR(I1107="",J1107="",K1107="",L1107="",M1107=""),"FAIL","PASS"))</x:f>
        <x:v>OPEN</x:v>
      </x:c>
    </x:row>
    <x:row r="1108">
      <x:c r="B1108" s="7" t="str">
        <x:v>CH-PEA-B-X2-16-4</x:v>
      </x:c>
      <x:c r="C1108" s="7" t="str">
        <x:v>PEA-B-X2</x:v>
      </x:c>
      <x:c r="D1108" s="7" t="str">
        <x:v>BLD-B</x:v>
      </x:c>
      <x:c r="E1108" s="7" t="str">
        <x:v>BL-X</x:v>
      </x:c>
      <x:c r="F1108" s="7" t="str">
        <x:v>MF-16</x:v>
      </x:c>
      <x:c r="G1108" s="7" t="str">
        <x:v>water motive energy</x:v>
      </x:c>
      <x:c r="H1108" s="7" t="n">
        <x:v>4</x:v>
      </x:c>
      <x:c r="I1108" s="7" t="str"/>
      <x:c r="J1108" s="7" t="str"/>
      <x:c r="K1108" s="7" t="str"/>
      <x:c r="L1108" s="7" t="str"/>
      <x:c r="M1108" s="7" t="str"/>
      <x:c r="N1108" s="7" t="str"/>
      <x:c r="O1108" s="7" t="str">
        <x:f>IF(N1108="","OPEN",IF(OR(I1108="",J1108="",K1108="",L1108="",M1108=""),"FAIL","PASS"))</x:f>
        <x:v>OPEN</x:v>
      </x:c>
    </x:row>
    <x:row r="1109">
      <x:c r="B1109" s="7" t="str">
        <x:v>CH-PEA-B-X2-16-5</x:v>
      </x:c>
      <x:c r="C1109" s="7" t="str">
        <x:v>PEA-B-X2</x:v>
      </x:c>
      <x:c r="D1109" s="7" t="str">
        <x:v>BLD-B</x:v>
      </x:c>
      <x:c r="E1109" s="7" t="str">
        <x:v>BL-X</x:v>
      </x:c>
      <x:c r="F1109" s="7" t="str">
        <x:v>MF-16</x:v>
      </x:c>
      <x:c r="G1109" s="7" t="str">
        <x:v>water motive energy</x:v>
      </x:c>
      <x:c r="H1109" s="7" t="n">
        <x:v>5</x:v>
      </x:c>
      <x:c r="I1109" s="7" t="str"/>
      <x:c r="J1109" s="7" t="str"/>
      <x:c r="K1109" s="7" t="str"/>
      <x:c r="L1109" s="7" t="str"/>
      <x:c r="M1109" s="7" t="str"/>
      <x:c r="N1109" s="7" t="str"/>
      <x:c r="O1109" s="7" t="str">
        <x:f>IF(N1109="","OPEN",IF(OR(I1109="",J1109="",K1109="",L1109="",M1109=""),"FAIL","PASS"))</x:f>
        <x:v>OPEN</x:v>
      </x:c>
    </x:row>
    <x:row r="1110">
      <x:c r="B1110" s="7" t="str">
        <x:v>CH-PEA-B-X2-16-6</x:v>
      </x:c>
      <x:c r="C1110" s="7" t="str">
        <x:v>PEA-B-X2</x:v>
      </x:c>
      <x:c r="D1110" s="7" t="str">
        <x:v>BLD-B</x:v>
      </x:c>
      <x:c r="E1110" s="7" t="str">
        <x:v>BL-X</x:v>
      </x:c>
      <x:c r="F1110" s="7" t="str">
        <x:v>MF-16</x:v>
      </x:c>
      <x:c r="G1110" s="7" t="str">
        <x:v>water motive energy</x:v>
      </x:c>
      <x:c r="H1110" s="7" t="n">
        <x:v>6</x:v>
      </x:c>
      <x:c r="I1110" s="7" t="str"/>
      <x:c r="J1110" s="7" t="str"/>
      <x:c r="K1110" s="7" t="str"/>
      <x:c r="L1110" s="7" t="str"/>
      <x:c r="M1110" s="7" t="str"/>
      <x:c r="N1110" s="7" t="str"/>
      <x:c r="O1110" s="7" t="str">
        <x:f>IF(N1110="","OPEN",IF(OR(I1110="",J1110="",K1110="",L1110="",M1110=""),"FAIL","PASS"))</x:f>
        <x:v>OPEN</x:v>
      </x:c>
    </x:row>
    <x:row r="1111">
      <x:c r="B1111" s="7" t="str">
        <x:v>CH-PEA-B-X2-17-1</x:v>
      </x:c>
      <x:c r="C1111" s="7" t="str">
        <x:v>PEA-B-X2</x:v>
      </x:c>
      <x:c r="D1111" s="7" t="str">
        <x:v>BLD-B</x:v>
      </x:c>
      <x:c r="E1111" s="7" t="str">
        <x:v>BL-X</x:v>
      </x:c>
      <x:c r="F1111" s="7" t="str">
        <x:v>MF-17</x:v>
      </x:c>
      <x:c r="G1111" s="7" t="str">
        <x:v>normal power</x:v>
      </x:c>
      <x:c r="H1111" s="7" t="n">
        <x:v>1</x:v>
      </x:c>
      <x:c r="I1111" s="7" t="str"/>
      <x:c r="J1111" s="7" t="str"/>
      <x:c r="K1111" s="7" t="str"/>
      <x:c r="L1111" s="7" t="str"/>
      <x:c r="M1111" s="7" t="str"/>
      <x:c r="N1111" s="7" t="str"/>
      <x:c r="O1111" s="7" t="str">
        <x:f>IF(N1111="","OPEN",IF(OR(I1111="",J1111="",K1111="",L1111="",M1111=""),"FAIL","PASS"))</x:f>
        <x:v>OPEN</x:v>
      </x:c>
    </x:row>
    <x:row r="1112">
      <x:c r="B1112" s="7" t="str">
        <x:v>CH-PEA-B-X2-17-2</x:v>
      </x:c>
      <x:c r="C1112" s="7" t="str">
        <x:v>PEA-B-X2</x:v>
      </x:c>
      <x:c r="D1112" s="7" t="str">
        <x:v>BLD-B</x:v>
      </x:c>
      <x:c r="E1112" s="7" t="str">
        <x:v>BL-X</x:v>
      </x:c>
      <x:c r="F1112" s="7" t="str">
        <x:v>MF-17</x:v>
      </x:c>
      <x:c r="G1112" s="7" t="str">
        <x:v>normal power</x:v>
      </x:c>
      <x:c r="H1112" s="7" t="n">
        <x:v>2</x:v>
      </x:c>
      <x:c r="I1112" s="7" t="str"/>
      <x:c r="J1112" s="7" t="str"/>
      <x:c r="K1112" s="7" t="str"/>
      <x:c r="L1112" s="7" t="str"/>
      <x:c r="M1112" s="7" t="str"/>
      <x:c r="N1112" s="7" t="str"/>
      <x:c r="O1112" s="7" t="str">
        <x:f>IF(N1112="","OPEN",IF(OR(I1112="",J1112="",K1112="",L1112="",M1112=""),"FAIL","PASS"))</x:f>
        <x:v>OPEN</x:v>
      </x:c>
    </x:row>
    <x:row r="1113">
      <x:c r="B1113" s="7" t="str">
        <x:v>CH-PEA-B-X2-17-3</x:v>
      </x:c>
      <x:c r="C1113" s="7" t="str">
        <x:v>PEA-B-X2</x:v>
      </x:c>
      <x:c r="D1113" s="7" t="str">
        <x:v>BLD-B</x:v>
      </x:c>
      <x:c r="E1113" s="7" t="str">
        <x:v>BL-X</x:v>
      </x:c>
      <x:c r="F1113" s="7" t="str">
        <x:v>MF-17</x:v>
      </x:c>
      <x:c r="G1113" s="7" t="str">
        <x:v>normal power</x:v>
      </x:c>
      <x:c r="H1113" s="7" t="n">
        <x:v>3</x:v>
      </x:c>
      <x:c r="I1113" s="7" t="str"/>
      <x:c r="J1113" s="7" t="str"/>
      <x:c r="K1113" s="7" t="str"/>
      <x:c r="L1113" s="7" t="str"/>
      <x:c r="M1113" s="7" t="str"/>
      <x:c r="N1113" s="7" t="str"/>
      <x:c r="O1113" s="7" t="str">
        <x:f>IF(N1113="","OPEN",IF(OR(I1113="",J1113="",K1113="",L1113="",M1113=""),"FAIL","PASS"))</x:f>
        <x:v>OPEN</x:v>
      </x:c>
    </x:row>
    <x:row r="1114">
      <x:c r="B1114" s="7" t="str">
        <x:v>CH-PEA-B-X2-17-4</x:v>
      </x:c>
      <x:c r="C1114" s="7" t="str">
        <x:v>PEA-B-X2</x:v>
      </x:c>
      <x:c r="D1114" s="7" t="str">
        <x:v>BLD-B</x:v>
      </x:c>
      <x:c r="E1114" s="7" t="str">
        <x:v>BL-X</x:v>
      </x:c>
      <x:c r="F1114" s="7" t="str">
        <x:v>MF-17</x:v>
      </x:c>
      <x:c r="G1114" s="7" t="str">
        <x:v>normal power</x:v>
      </x:c>
      <x:c r="H1114" s="7" t="n">
        <x:v>4</x:v>
      </x:c>
      <x:c r="I1114" s="7" t="str"/>
      <x:c r="J1114" s="7" t="str"/>
      <x:c r="K1114" s="7" t="str"/>
      <x:c r="L1114" s="7" t="str"/>
      <x:c r="M1114" s="7" t="str"/>
      <x:c r="N1114" s="7" t="str"/>
      <x:c r="O1114" s="7" t="str">
        <x:f>IF(N1114="","OPEN",IF(OR(I1114="",J1114="",K1114="",L1114="",M1114=""),"FAIL","PASS"))</x:f>
        <x:v>OPEN</x:v>
      </x:c>
    </x:row>
    <x:row r="1115">
      <x:c r="B1115" s="7" t="str">
        <x:v>CH-PEA-B-X2-17-5</x:v>
      </x:c>
      <x:c r="C1115" s="7" t="str">
        <x:v>PEA-B-X2</x:v>
      </x:c>
      <x:c r="D1115" s="7" t="str">
        <x:v>BLD-B</x:v>
      </x:c>
      <x:c r="E1115" s="7" t="str">
        <x:v>BL-X</x:v>
      </x:c>
      <x:c r="F1115" s="7" t="str">
        <x:v>MF-17</x:v>
      </x:c>
      <x:c r="G1115" s="7" t="str">
        <x:v>normal power</x:v>
      </x:c>
      <x:c r="H1115" s="7" t="n">
        <x:v>5</x:v>
      </x:c>
      <x:c r="I1115" s="7" t="str"/>
      <x:c r="J1115" s="7" t="str"/>
      <x:c r="K1115" s="7" t="str"/>
      <x:c r="L1115" s="7" t="str"/>
      <x:c r="M1115" s="7" t="str"/>
      <x:c r="N1115" s="7" t="str"/>
      <x:c r="O1115" s="7" t="str">
        <x:f>IF(N1115="","OPEN",IF(OR(I1115="",J1115="",K1115="",L1115="",M1115=""),"FAIL","PASS"))</x:f>
        <x:v>OPEN</x:v>
      </x:c>
    </x:row>
    <x:row r="1116">
      <x:c r="B1116" s="7" t="str">
        <x:v>CH-PEA-B-X2-17-6</x:v>
      </x:c>
      <x:c r="C1116" s="7" t="str">
        <x:v>PEA-B-X2</x:v>
      </x:c>
      <x:c r="D1116" s="7" t="str">
        <x:v>BLD-B</x:v>
      </x:c>
      <x:c r="E1116" s="7" t="str">
        <x:v>BL-X</x:v>
      </x:c>
      <x:c r="F1116" s="7" t="str">
        <x:v>MF-17</x:v>
      </x:c>
      <x:c r="G1116" s="7" t="str">
        <x:v>normal power</x:v>
      </x:c>
      <x:c r="H1116" s="7" t="n">
        <x:v>6</x:v>
      </x:c>
      <x:c r="I1116" s="7" t="str"/>
      <x:c r="J1116" s="7" t="str"/>
      <x:c r="K1116" s="7" t="str"/>
      <x:c r="L1116" s="7" t="str"/>
      <x:c r="M1116" s="7" t="str"/>
      <x:c r="N1116" s="7" t="str"/>
      <x:c r="O1116" s="7" t="str">
        <x:f>IF(N1116="","OPEN",IF(OR(I1116="",J1116="",K1116="",L1116="",M1116=""),"FAIL","PASS"))</x:f>
        <x:v>OPEN</x:v>
      </x:c>
    </x:row>
    <x:row r="1117">
      <x:c r="B1117" s="7" t="str">
        <x:v>CH-PEA-B-X2-18-1</x:v>
      </x:c>
      <x:c r="C1117" s="7" t="str">
        <x:v>PEA-B-X2</x:v>
      </x:c>
      <x:c r="D1117" s="7" t="str">
        <x:v>BLD-B</x:v>
      </x:c>
      <x:c r="E1117" s="7" t="str">
        <x:v>BL-X</x:v>
      </x:c>
      <x:c r="F1117" s="7" t="str">
        <x:v>MF-18</x:v>
      </x:c>
      <x:c r="G1117" s="7" t="str">
        <x:v>independent power</x:v>
      </x:c>
      <x:c r="H1117" s="7" t="n">
        <x:v>1</x:v>
      </x:c>
      <x:c r="I1117" s="7" t="str"/>
      <x:c r="J1117" s="7" t="str"/>
      <x:c r="K1117" s="7" t="str"/>
      <x:c r="L1117" s="7" t="str"/>
      <x:c r="M1117" s="7" t="str"/>
      <x:c r="N1117" s="7" t="str"/>
      <x:c r="O1117" s="7" t="str">
        <x:f>IF(N1117="","OPEN",IF(OR(I1117="",J1117="",K1117="",L1117="",M1117=""),"FAIL","PASS"))</x:f>
        <x:v>OPEN</x:v>
      </x:c>
    </x:row>
    <x:row r="1118">
      <x:c r="B1118" s="7" t="str">
        <x:v>CH-PEA-B-X2-18-2</x:v>
      </x:c>
      <x:c r="C1118" s="7" t="str">
        <x:v>PEA-B-X2</x:v>
      </x:c>
      <x:c r="D1118" s="7" t="str">
        <x:v>BLD-B</x:v>
      </x:c>
      <x:c r="E1118" s="7" t="str">
        <x:v>BL-X</x:v>
      </x:c>
      <x:c r="F1118" s="7" t="str">
        <x:v>MF-18</x:v>
      </x:c>
      <x:c r="G1118" s="7" t="str">
        <x:v>independent power</x:v>
      </x:c>
      <x:c r="H1118" s="7" t="n">
        <x:v>2</x:v>
      </x:c>
      <x:c r="I1118" s="7" t="str"/>
      <x:c r="J1118" s="7" t="str"/>
      <x:c r="K1118" s="7" t="str"/>
      <x:c r="L1118" s="7" t="str"/>
      <x:c r="M1118" s="7" t="str"/>
      <x:c r="N1118" s="7" t="str"/>
      <x:c r="O1118" s="7" t="str">
        <x:f>IF(N1118="","OPEN",IF(OR(I1118="",J1118="",K1118="",L1118="",M1118=""),"FAIL","PASS"))</x:f>
        <x:v>OPEN</x:v>
      </x:c>
    </x:row>
    <x:row r="1119">
      <x:c r="B1119" s="7" t="str">
        <x:v>CH-PEA-B-X2-18-3</x:v>
      </x:c>
      <x:c r="C1119" s="7" t="str">
        <x:v>PEA-B-X2</x:v>
      </x:c>
      <x:c r="D1119" s="7" t="str">
        <x:v>BLD-B</x:v>
      </x:c>
      <x:c r="E1119" s="7" t="str">
        <x:v>BL-X</x:v>
      </x:c>
      <x:c r="F1119" s="7" t="str">
        <x:v>MF-18</x:v>
      </x:c>
      <x:c r="G1119" s="7" t="str">
        <x:v>independent power</x:v>
      </x:c>
      <x:c r="H1119" s="7" t="n">
        <x:v>3</x:v>
      </x:c>
      <x:c r="I1119" s="7" t="str"/>
      <x:c r="J1119" s="7" t="str"/>
      <x:c r="K1119" s="7" t="str"/>
      <x:c r="L1119" s="7" t="str"/>
      <x:c r="M1119" s="7" t="str"/>
      <x:c r="N1119" s="7" t="str"/>
      <x:c r="O1119" s="7" t="str">
        <x:f>IF(N1119="","OPEN",IF(OR(I1119="",J1119="",K1119="",L1119="",M1119=""),"FAIL","PASS"))</x:f>
        <x:v>OPEN</x:v>
      </x:c>
    </x:row>
    <x:row r="1120">
      <x:c r="B1120" s="7" t="str">
        <x:v>CH-PEA-B-X2-18-4</x:v>
      </x:c>
      <x:c r="C1120" s="7" t="str">
        <x:v>PEA-B-X2</x:v>
      </x:c>
      <x:c r="D1120" s="7" t="str">
        <x:v>BLD-B</x:v>
      </x:c>
      <x:c r="E1120" s="7" t="str">
        <x:v>BL-X</x:v>
      </x:c>
      <x:c r="F1120" s="7" t="str">
        <x:v>MF-18</x:v>
      </x:c>
      <x:c r="G1120" s="7" t="str">
        <x:v>independent power</x:v>
      </x:c>
      <x:c r="H1120" s="7" t="n">
        <x:v>4</x:v>
      </x:c>
      <x:c r="I1120" s="7" t="str"/>
      <x:c r="J1120" s="7" t="str"/>
      <x:c r="K1120" s="7" t="str"/>
      <x:c r="L1120" s="7" t="str"/>
      <x:c r="M1120" s="7" t="str"/>
      <x:c r="N1120" s="7" t="str"/>
      <x:c r="O1120" s="7" t="str">
        <x:f>IF(N1120="","OPEN",IF(OR(I1120="",J1120="",K1120="",L1120="",M1120=""),"FAIL","PASS"))</x:f>
        <x:v>OPEN</x:v>
      </x:c>
    </x:row>
    <x:row r="1121">
      <x:c r="B1121" s="7" t="str">
        <x:v>CH-PEA-B-X2-18-5</x:v>
      </x:c>
      <x:c r="C1121" s="7" t="str">
        <x:v>PEA-B-X2</x:v>
      </x:c>
      <x:c r="D1121" s="7" t="str">
        <x:v>BLD-B</x:v>
      </x:c>
      <x:c r="E1121" s="7" t="str">
        <x:v>BL-X</x:v>
      </x:c>
      <x:c r="F1121" s="7" t="str">
        <x:v>MF-18</x:v>
      </x:c>
      <x:c r="G1121" s="7" t="str">
        <x:v>independent power</x:v>
      </x:c>
      <x:c r="H1121" s="7" t="n">
        <x:v>5</x:v>
      </x:c>
      <x:c r="I1121" s="7" t="str"/>
      <x:c r="J1121" s="7" t="str"/>
      <x:c r="K1121" s="7" t="str"/>
      <x:c r="L1121" s="7" t="str"/>
      <x:c r="M1121" s="7" t="str"/>
      <x:c r="N1121" s="7" t="str"/>
      <x:c r="O1121" s="7" t="str">
        <x:f>IF(N1121="","OPEN",IF(OR(I1121="",J1121="",K1121="",L1121="",M1121=""),"FAIL","PASS"))</x:f>
        <x:v>OPEN</x:v>
      </x:c>
    </x:row>
    <x:row r="1122">
      <x:c r="B1122" s="7" t="str">
        <x:v>CH-PEA-B-X2-18-6</x:v>
      </x:c>
      <x:c r="C1122" s="7" t="str">
        <x:v>PEA-B-X2</x:v>
      </x:c>
      <x:c r="D1122" s="7" t="str">
        <x:v>BLD-B</x:v>
      </x:c>
      <x:c r="E1122" s="7" t="str">
        <x:v>BL-X</x:v>
      </x:c>
      <x:c r="F1122" s="7" t="str">
        <x:v>MF-18</x:v>
      </x:c>
      <x:c r="G1122" s="7" t="str">
        <x:v>independent power</x:v>
      </x:c>
      <x:c r="H1122" s="7" t="n">
        <x:v>6</x:v>
      </x:c>
      <x:c r="I1122" s="7" t="str"/>
      <x:c r="J1122" s="7" t="str"/>
      <x:c r="K1122" s="7" t="str"/>
      <x:c r="L1122" s="7" t="str"/>
      <x:c r="M1122" s="7" t="str"/>
      <x:c r="N1122" s="7" t="str"/>
      <x:c r="O1122" s="7" t="str">
        <x:f>IF(N1122="","OPEN",IF(OR(I1122="",J1122="",K1122="",L1122="",M1122=""),"FAIL","PASS"))</x:f>
        <x:v>OPEN</x:v>
      </x:c>
    </x:row>
    <x:row r="1123">
      <x:c r="B1123" s="7" t="str">
        <x:v>CH-PEA-B-X2-19-1</x:v>
      </x:c>
      <x:c r="C1123" s="7" t="str">
        <x:v>PEA-B-X2</x:v>
      </x:c>
      <x:c r="D1123" s="7" t="str">
        <x:v>BLD-B</x:v>
      </x:c>
      <x:c r="E1123" s="7" t="str">
        <x:v>BL-X</x:v>
      </x:c>
      <x:c r="F1123" s="7" t="str">
        <x:v>MF-19</x:v>
      </x:c>
      <x:c r="G1123" s="7" t="str">
        <x:v>leak collection</x:v>
      </x:c>
      <x:c r="H1123" s="7" t="n">
        <x:v>1</x:v>
      </x:c>
      <x:c r="I1123" s="7" t="str"/>
      <x:c r="J1123" s="7" t="str"/>
      <x:c r="K1123" s="7" t="str"/>
      <x:c r="L1123" s="7" t="str"/>
      <x:c r="M1123" s="7" t="str"/>
      <x:c r="N1123" s="7" t="str"/>
      <x:c r="O1123" s="7" t="str">
        <x:f>IF(N1123="","OPEN",IF(OR(I1123="",J1123="",K1123="",L1123="",M1123=""),"FAIL","PASS"))</x:f>
        <x:v>OPEN</x:v>
      </x:c>
    </x:row>
    <x:row r="1124">
      <x:c r="B1124" s="7" t="str">
        <x:v>CH-PEA-B-X2-19-2</x:v>
      </x:c>
      <x:c r="C1124" s="7" t="str">
        <x:v>PEA-B-X2</x:v>
      </x:c>
      <x:c r="D1124" s="7" t="str">
        <x:v>BLD-B</x:v>
      </x:c>
      <x:c r="E1124" s="7" t="str">
        <x:v>BL-X</x:v>
      </x:c>
      <x:c r="F1124" s="7" t="str">
        <x:v>MF-19</x:v>
      </x:c>
      <x:c r="G1124" s="7" t="str">
        <x:v>leak collection</x:v>
      </x:c>
      <x:c r="H1124" s="7" t="n">
        <x:v>2</x:v>
      </x:c>
      <x:c r="I1124" s="7" t="str"/>
      <x:c r="J1124" s="7" t="str"/>
      <x:c r="K1124" s="7" t="str"/>
      <x:c r="L1124" s="7" t="str"/>
      <x:c r="M1124" s="7" t="str"/>
      <x:c r="N1124" s="7" t="str"/>
      <x:c r="O1124" s="7" t="str">
        <x:f>IF(N1124="","OPEN",IF(OR(I1124="",J1124="",K1124="",L1124="",M1124=""),"FAIL","PASS"))</x:f>
        <x:v>OPEN</x:v>
      </x:c>
    </x:row>
    <x:row r="1125">
      <x:c r="B1125" s="7" t="str">
        <x:v>CH-PEA-B-X2-19-3</x:v>
      </x:c>
      <x:c r="C1125" s="7" t="str">
        <x:v>PEA-B-X2</x:v>
      </x:c>
      <x:c r="D1125" s="7" t="str">
        <x:v>BLD-B</x:v>
      </x:c>
      <x:c r="E1125" s="7" t="str">
        <x:v>BL-X</x:v>
      </x:c>
      <x:c r="F1125" s="7" t="str">
        <x:v>MF-19</x:v>
      </x:c>
      <x:c r="G1125" s="7" t="str">
        <x:v>leak collection</x:v>
      </x:c>
      <x:c r="H1125" s="7" t="n">
        <x:v>3</x:v>
      </x:c>
      <x:c r="I1125" s="7" t="str"/>
      <x:c r="J1125" s="7" t="str"/>
      <x:c r="K1125" s="7" t="str"/>
      <x:c r="L1125" s="7" t="str"/>
      <x:c r="M1125" s="7" t="str"/>
      <x:c r="N1125" s="7" t="str"/>
      <x:c r="O1125" s="7" t="str">
        <x:f>IF(N1125="","OPEN",IF(OR(I1125="",J1125="",K1125="",L1125="",M1125=""),"FAIL","PASS"))</x:f>
        <x:v>OPEN</x:v>
      </x:c>
    </x:row>
    <x:row r="1126">
      <x:c r="B1126" s="7" t="str">
        <x:v>CH-PEA-B-X2-19-4</x:v>
      </x:c>
      <x:c r="C1126" s="7" t="str">
        <x:v>PEA-B-X2</x:v>
      </x:c>
      <x:c r="D1126" s="7" t="str">
        <x:v>BLD-B</x:v>
      </x:c>
      <x:c r="E1126" s="7" t="str">
        <x:v>BL-X</x:v>
      </x:c>
      <x:c r="F1126" s="7" t="str">
        <x:v>MF-19</x:v>
      </x:c>
      <x:c r="G1126" s="7" t="str">
        <x:v>leak collection</x:v>
      </x:c>
      <x:c r="H1126" s="7" t="n">
        <x:v>4</x:v>
      </x:c>
      <x:c r="I1126" s="7" t="str"/>
      <x:c r="J1126" s="7" t="str"/>
      <x:c r="K1126" s="7" t="str"/>
      <x:c r="L1126" s="7" t="str"/>
      <x:c r="M1126" s="7" t="str"/>
      <x:c r="N1126" s="7" t="str"/>
      <x:c r="O1126" s="7" t="str">
        <x:f>IF(N1126="","OPEN",IF(OR(I1126="",J1126="",K1126="",L1126="",M1126=""),"FAIL","PASS"))</x:f>
        <x:v>OPEN</x:v>
      </x:c>
    </x:row>
    <x:row r="1127">
      <x:c r="B1127" s="7" t="str">
        <x:v>CH-PEA-B-X2-19-5</x:v>
      </x:c>
      <x:c r="C1127" s="7" t="str">
        <x:v>PEA-B-X2</x:v>
      </x:c>
      <x:c r="D1127" s="7" t="str">
        <x:v>BLD-B</x:v>
      </x:c>
      <x:c r="E1127" s="7" t="str">
        <x:v>BL-X</x:v>
      </x:c>
      <x:c r="F1127" s="7" t="str">
        <x:v>MF-19</x:v>
      </x:c>
      <x:c r="G1127" s="7" t="str">
        <x:v>leak collection</x:v>
      </x:c>
      <x:c r="H1127" s="7" t="n">
        <x:v>5</x:v>
      </x:c>
      <x:c r="I1127" s="7" t="str"/>
      <x:c r="J1127" s="7" t="str"/>
      <x:c r="K1127" s="7" t="str"/>
      <x:c r="L1127" s="7" t="str"/>
      <x:c r="M1127" s="7" t="str"/>
      <x:c r="N1127" s="7" t="str"/>
      <x:c r="O1127" s="7" t="str">
        <x:f>IF(N1127="","OPEN",IF(OR(I1127="",J1127="",K1127="",L1127="",M1127=""),"FAIL","PASS"))</x:f>
        <x:v>OPEN</x:v>
      </x:c>
    </x:row>
    <x:row r="1128">
      <x:c r="B1128" s="7" t="str">
        <x:v>CH-PEA-B-X2-19-6</x:v>
      </x:c>
      <x:c r="C1128" s="7" t="str">
        <x:v>PEA-B-X2</x:v>
      </x:c>
      <x:c r="D1128" s="7" t="str">
        <x:v>BLD-B</x:v>
      </x:c>
      <x:c r="E1128" s="7" t="str">
        <x:v>BL-X</x:v>
      </x:c>
      <x:c r="F1128" s="7" t="str">
        <x:v>MF-19</x:v>
      </x:c>
      <x:c r="G1128" s="7" t="str">
        <x:v>leak collection</x:v>
      </x:c>
      <x:c r="H1128" s="7" t="n">
        <x:v>6</x:v>
      </x:c>
      <x:c r="I1128" s="7" t="str"/>
      <x:c r="J1128" s="7" t="str"/>
      <x:c r="K1128" s="7" t="str"/>
      <x:c r="L1128" s="7" t="str"/>
      <x:c r="M1128" s="7" t="str"/>
      <x:c r="N1128" s="7" t="str"/>
      <x:c r="O1128" s="7" t="str">
        <x:f>IF(N1128="","OPEN",IF(OR(I1128="",J1128="",K1128="",L1128="",M1128=""),"FAIL","PASS"))</x:f>
        <x:v>OPEN</x:v>
      </x:c>
    </x:row>
    <x:row r="1129">
      <x:c r="B1129" s="7" t="str">
        <x:v>CH-PEA-B-X2-20-1</x:v>
      </x:c>
      <x:c r="C1129" s="7" t="str">
        <x:v>PEA-B-X2</x:v>
      </x:c>
      <x:c r="D1129" s="7" t="str">
        <x:v>BLD-B</x:v>
      </x:c>
      <x:c r="E1129" s="7" t="str">
        <x:v>BL-X</x:v>
      </x:c>
      <x:c r="F1129" s="7" t="str">
        <x:v>MF-20</x:v>
      </x:c>
      <x:c r="G1129" s="7" t="str">
        <x:v>occupied-area state</x:v>
      </x:c>
      <x:c r="H1129" s="7" t="n">
        <x:v>1</x:v>
      </x:c>
      <x:c r="I1129" s="7" t="str"/>
      <x:c r="J1129" s="7" t="str"/>
      <x:c r="K1129" s="7" t="str"/>
      <x:c r="L1129" s="7" t="str"/>
      <x:c r="M1129" s="7" t="str"/>
      <x:c r="N1129" s="7" t="str"/>
      <x:c r="O1129" s="7" t="str">
        <x:f>IF(N1129="","OPEN",IF(OR(I1129="",J1129="",K1129="",L1129="",M1129=""),"FAIL","PASS"))</x:f>
        <x:v>OPEN</x:v>
      </x:c>
    </x:row>
    <x:row r="1130">
      <x:c r="B1130" s="7" t="str">
        <x:v>CH-PEA-B-X2-20-2</x:v>
      </x:c>
      <x:c r="C1130" s="7" t="str">
        <x:v>PEA-B-X2</x:v>
      </x:c>
      <x:c r="D1130" s="7" t="str">
        <x:v>BLD-B</x:v>
      </x:c>
      <x:c r="E1130" s="7" t="str">
        <x:v>BL-X</x:v>
      </x:c>
      <x:c r="F1130" s="7" t="str">
        <x:v>MF-20</x:v>
      </x:c>
      <x:c r="G1130" s="7" t="str">
        <x:v>occupied-area state</x:v>
      </x:c>
      <x:c r="H1130" s="7" t="n">
        <x:v>2</x:v>
      </x:c>
      <x:c r="I1130" s="7" t="str"/>
      <x:c r="J1130" s="7" t="str"/>
      <x:c r="K1130" s="7" t="str"/>
      <x:c r="L1130" s="7" t="str"/>
      <x:c r="M1130" s="7" t="str"/>
      <x:c r="N1130" s="7" t="str"/>
      <x:c r="O1130" s="7" t="str">
        <x:f>IF(N1130="","OPEN",IF(OR(I1130="",J1130="",K1130="",L1130="",M1130=""),"FAIL","PASS"))</x:f>
        <x:v>OPEN</x:v>
      </x:c>
    </x:row>
    <x:row r="1131">
      <x:c r="B1131" s="7" t="str">
        <x:v>CH-PEA-B-X2-20-3</x:v>
      </x:c>
      <x:c r="C1131" s="7" t="str">
        <x:v>PEA-B-X2</x:v>
      </x:c>
      <x:c r="D1131" s="7" t="str">
        <x:v>BLD-B</x:v>
      </x:c>
      <x:c r="E1131" s="7" t="str">
        <x:v>BL-X</x:v>
      </x:c>
      <x:c r="F1131" s="7" t="str">
        <x:v>MF-20</x:v>
      </x:c>
      <x:c r="G1131" s="7" t="str">
        <x:v>occupied-area state</x:v>
      </x:c>
      <x:c r="H1131" s="7" t="n">
        <x:v>3</x:v>
      </x:c>
      <x:c r="I1131" s="7" t="str"/>
      <x:c r="J1131" s="7" t="str"/>
      <x:c r="K1131" s="7" t="str"/>
      <x:c r="L1131" s="7" t="str"/>
      <x:c r="M1131" s="7" t="str"/>
      <x:c r="N1131" s="7" t="str"/>
      <x:c r="O1131" s="7" t="str">
        <x:f>IF(N1131="","OPEN",IF(OR(I1131="",J1131="",K1131="",L1131="",M1131=""),"FAIL","PASS"))</x:f>
        <x:v>OPEN</x:v>
      </x:c>
    </x:row>
    <x:row r="1132">
      <x:c r="B1132" s="7" t="str">
        <x:v>CH-PEA-B-X2-20-4</x:v>
      </x:c>
      <x:c r="C1132" s="7" t="str">
        <x:v>PEA-B-X2</x:v>
      </x:c>
      <x:c r="D1132" s="7" t="str">
        <x:v>BLD-B</x:v>
      </x:c>
      <x:c r="E1132" s="7" t="str">
        <x:v>BL-X</x:v>
      </x:c>
      <x:c r="F1132" s="7" t="str">
        <x:v>MF-20</x:v>
      </x:c>
      <x:c r="G1132" s="7" t="str">
        <x:v>occupied-area state</x:v>
      </x:c>
      <x:c r="H1132" s="7" t="n">
        <x:v>4</x:v>
      </x:c>
      <x:c r="I1132" s="7" t="str"/>
      <x:c r="J1132" s="7" t="str"/>
      <x:c r="K1132" s="7" t="str"/>
      <x:c r="L1132" s="7" t="str"/>
      <x:c r="M1132" s="7" t="str"/>
      <x:c r="N1132" s="7" t="str"/>
      <x:c r="O1132" s="7" t="str">
        <x:f>IF(N1132="","OPEN",IF(OR(I1132="",J1132="",K1132="",L1132="",M1132=""),"FAIL","PASS"))</x:f>
        <x:v>OPEN</x:v>
      </x:c>
    </x:row>
    <x:row r="1133">
      <x:c r="B1133" s="7" t="str">
        <x:v>CH-PEA-B-X2-20-5</x:v>
      </x:c>
      <x:c r="C1133" s="7" t="str">
        <x:v>PEA-B-X2</x:v>
      </x:c>
      <x:c r="D1133" s="7" t="str">
        <x:v>BLD-B</x:v>
      </x:c>
      <x:c r="E1133" s="7" t="str">
        <x:v>BL-X</x:v>
      </x:c>
      <x:c r="F1133" s="7" t="str">
        <x:v>MF-20</x:v>
      </x:c>
      <x:c r="G1133" s="7" t="str">
        <x:v>occupied-area state</x:v>
      </x:c>
      <x:c r="H1133" s="7" t="n">
        <x:v>5</x:v>
      </x:c>
      <x:c r="I1133" s="7" t="str"/>
      <x:c r="J1133" s="7" t="str"/>
      <x:c r="K1133" s="7" t="str"/>
      <x:c r="L1133" s="7" t="str"/>
      <x:c r="M1133" s="7" t="str"/>
      <x:c r="N1133" s="7" t="str"/>
      <x:c r="O1133" s="7" t="str">
        <x:f>IF(N1133="","OPEN",IF(OR(I1133="",J1133="",K1133="",L1133="",M1133=""),"FAIL","PASS"))</x:f>
        <x:v>OPEN</x:v>
      </x:c>
    </x:row>
    <x:row r="1134">
      <x:c r="B1134" s="7" t="str">
        <x:v>CH-PEA-B-X2-20-6</x:v>
      </x:c>
      <x:c r="C1134" s="7" t="str">
        <x:v>PEA-B-X2</x:v>
      </x:c>
      <x:c r="D1134" s="7" t="str">
        <x:v>BLD-B</x:v>
      </x:c>
      <x:c r="E1134" s="7" t="str">
        <x:v>BL-X</x:v>
      </x:c>
      <x:c r="F1134" s="7" t="str">
        <x:v>MF-20</x:v>
      </x:c>
      <x:c r="G1134" s="7" t="str">
        <x:v>occupied-area state</x:v>
      </x:c>
      <x:c r="H1134" s="7" t="n">
        <x:v>6</x:v>
      </x:c>
      <x:c r="I1134" s="7" t="str"/>
      <x:c r="J1134" s="7" t="str"/>
      <x:c r="K1134" s="7" t="str"/>
      <x:c r="L1134" s="7" t="str"/>
      <x:c r="M1134" s="7" t="str"/>
      <x:c r="N1134" s="7" t="str"/>
      <x:c r="O1134" s="7" t="str">
        <x:f>IF(N1134="","OPEN",IF(OR(I1134="",J1134="",K1134="",L1134="",M1134=""),"FAIL","PASS"))</x:f>
        <x:v>OPEN</x:v>
      </x:c>
    </x:row>
    <x:row r="1135">
      <x:c r="B1135" s="7" t="str">
        <x:v>CH-PEA-B-X2-21-1</x:v>
      </x:c>
      <x:c r="C1135" s="7" t="str">
        <x:v>PEA-B-X2</x:v>
      </x:c>
      <x:c r="D1135" s="7" t="str">
        <x:v>BLD-B</x:v>
      </x:c>
      <x:c r="E1135" s="7" t="str">
        <x:v>BL-X</x:v>
      </x:c>
      <x:c r="F1135" s="7" t="str">
        <x:v>MF-21</x:v>
      </x:c>
      <x:c r="G1135" s="7" t="str">
        <x:v>public-water flow</x:v>
      </x:c>
      <x:c r="H1135" s="7" t="n">
        <x:v>1</x:v>
      </x:c>
      <x:c r="I1135" s="7" t="str"/>
      <x:c r="J1135" s="7" t="str"/>
      <x:c r="K1135" s="7" t="str"/>
      <x:c r="L1135" s="7" t="str"/>
      <x:c r="M1135" s="7" t="str"/>
      <x:c r="N1135" s="7" t="str"/>
      <x:c r="O1135" s="7" t="str">
        <x:f>IF(N1135="","OPEN",IF(OR(I1135="",J1135="",K1135="",L1135="",M1135=""),"FAIL","PASS"))</x:f>
        <x:v>OPEN</x:v>
      </x:c>
    </x:row>
    <x:row r="1136">
      <x:c r="B1136" s="7" t="str">
        <x:v>CH-PEA-B-X2-21-2</x:v>
      </x:c>
      <x:c r="C1136" s="7" t="str">
        <x:v>PEA-B-X2</x:v>
      </x:c>
      <x:c r="D1136" s="7" t="str">
        <x:v>BLD-B</x:v>
      </x:c>
      <x:c r="E1136" s="7" t="str">
        <x:v>BL-X</x:v>
      </x:c>
      <x:c r="F1136" s="7" t="str">
        <x:v>MF-21</x:v>
      </x:c>
      <x:c r="G1136" s="7" t="str">
        <x:v>public-water flow</x:v>
      </x:c>
      <x:c r="H1136" s="7" t="n">
        <x:v>2</x:v>
      </x:c>
      <x:c r="I1136" s="7" t="str"/>
      <x:c r="J1136" s="7" t="str"/>
      <x:c r="K1136" s="7" t="str"/>
      <x:c r="L1136" s="7" t="str"/>
      <x:c r="M1136" s="7" t="str"/>
      <x:c r="N1136" s="7" t="str"/>
      <x:c r="O1136" s="7" t="str">
        <x:f>IF(N1136="","OPEN",IF(OR(I1136="",J1136="",K1136="",L1136="",M1136=""),"FAIL","PASS"))</x:f>
        <x:v>OPEN</x:v>
      </x:c>
    </x:row>
    <x:row r="1137">
      <x:c r="B1137" s="7" t="str">
        <x:v>CH-PEA-B-X2-21-3</x:v>
      </x:c>
      <x:c r="C1137" s="7" t="str">
        <x:v>PEA-B-X2</x:v>
      </x:c>
      <x:c r="D1137" s="7" t="str">
        <x:v>BLD-B</x:v>
      </x:c>
      <x:c r="E1137" s="7" t="str">
        <x:v>BL-X</x:v>
      </x:c>
      <x:c r="F1137" s="7" t="str">
        <x:v>MF-21</x:v>
      </x:c>
      <x:c r="G1137" s="7" t="str">
        <x:v>public-water flow</x:v>
      </x:c>
      <x:c r="H1137" s="7" t="n">
        <x:v>3</x:v>
      </x:c>
      <x:c r="I1137" s="7" t="str"/>
      <x:c r="J1137" s="7" t="str"/>
      <x:c r="K1137" s="7" t="str"/>
      <x:c r="L1137" s="7" t="str"/>
      <x:c r="M1137" s="7" t="str"/>
      <x:c r="N1137" s="7" t="str"/>
      <x:c r="O1137" s="7" t="str">
        <x:f>IF(N1137="","OPEN",IF(OR(I1137="",J1137="",K1137="",L1137="",M1137=""),"FAIL","PASS"))</x:f>
        <x:v>OPEN</x:v>
      </x:c>
    </x:row>
    <x:row r="1138">
      <x:c r="B1138" s="7" t="str">
        <x:v>CH-PEA-B-X2-21-4</x:v>
      </x:c>
      <x:c r="C1138" s="7" t="str">
        <x:v>PEA-B-X2</x:v>
      </x:c>
      <x:c r="D1138" s="7" t="str">
        <x:v>BLD-B</x:v>
      </x:c>
      <x:c r="E1138" s="7" t="str">
        <x:v>BL-X</x:v>
      </x:c>
      <x:c r="F1138" s="7" t="str">
        <x:v>MF-21</x:v>
      </x:c>
      <x:c r="G1138" s="7" t="str">
        <x:v>public-water flow</x:v>
      </x:c>
      <x:c r="H1138" s="7" t="n">
        <x:v>4</x:v>
      </x:c>
      <x:c r="I1138" s="7" t="str"/>
      <x:c r="J1138" s="7" t="str"/>
      <x:c r="K1138" s="7" t="str"/>
      <x:c r="L1138" s="7" t="str"/>
      <x:c r="M1138" s="7" t="str"/>
      <x:c r="N1138" s="7" t="str"/>
      <x:c r="O1138" s="7" t="str">
        <x:f>IF(N1138="","OPEN",IF(OR(I1138="",J1138="",K1138="",L1138="",M1138=""),"FAIL","PASS"))</x:f>
        <x:v>OPEN</x:v>
      </x:c>
    </x:row>
    <x:row r="1139">
      <x:c r="B1139" s="7" t="str">
        <x:v>CH-PEA-B-X2-21-5</x:v>
      </x:c>
      <x:c r="C1139" s="7" t="str">
        <x:v>PEA-B-X2</x:v>
      </x:c>
      <x:c r="D1139" s="7" t="str">
        <x:v>BLD-B</x:v>
      </x:c>
      <x:c r="E1139" s="7" t="str">
        <x:v>BL-X</x:v>
      </x:c>
      <x:c r="F1139" s="7" t="str">
        <x:v>MF-21</x:v>
      </x:c>
      <x:c r="G1139" s="7" t="str">
        <x:v>public-water flow</x:v>
      </x:c>
      <x:c r="H1139" s="7" t="n">
        <x:v>5</x:v>
      </x:c>
      <x:c r="I1139" s="7" t="str"/>
      <x:c r="J1139" s="7" t="str"/>
      <x:c r="K1139" s="7" t="str"/>
      <x:c r="L1139" s="7" t="str"/>
      <x:c r="M1139" s="7" t="str"/>
      <x:c r="N1139" s="7" t="str"/>
      <x:c r="O1139" s="7" t="str">
        <x:f>IF(N1139="","OPEN",IF(OR(I1139="",J1139="",K1139="",L1139="",M1139=""),"FAIL","PASS"))</x:f>
        <x:v>OPEN</x:v>
      </x:c>
    </x:row>
    <x:row r="1140">
      <x:c r="B1140" s="7" t="str">
        <x:v>CH-PEA-B-X2-21-6</x:v>
      </x:c>
      <x:c r="C1140" s="7" t="str">
        <x:v>PEA-B-X2</x:v>
      </x:c>
      <x:c r="D1140" s="7" t="str">
        <x:v>BLD-B</x:v>
      </x:c>
      <x:c r="E1140" s="7" t="str">
        <x:v>BL-X</x:v>
      </x:c>
      <x:c r="F1140" s="7" t="str">
        <x:v>MF-21</x:v>
      </x:c>
      <x:c r="G1140" s="7" t="str">
        <x:v>public-water flow</x:v>
      </x:c>
      <x:c r="H1140" s="7" t="n">
        <x:v>6</x:v>
      </x:c>
      <x:c r="I1140" s="7" t="str"/>
      <x:c r="J1140" s="7" t="str"/>
      <x:c r="K1140" s="7" t="str"/>
      <x:c r="L1140" s="7" t="str"/>
      <x:c r="M1140" s="7" t="str"/>
      <x:c r="N1140" s="7" t="str"/>
      <x:c r="O1140" s="7" t="str">
        <x:f>IF(N1140="","OPEN",IF(OR(I1140="",J1140="",K1140="",L1140="",M1140=""),"FAIL","PASS"))</x:f>
        <x:v>OPEN</x:v>
      </x:c>
    </x:row>
    <x:row r="1141">
      <x:c r="B1141" s="7" t="str">
        <x:v>CH-PEA-B-X2-22-1</x:v>
      </x:c>
      <x:c r="C1141" s="7" t="str">
        <x:v>PEA-B-X2</x:v>
      </x:c>
      <x:c r="D1141" s="7" t="str">
        <x:v>BLD-B</x:v>
      </x:c>
      <x:c r="E1141" s="7" t="str">
        <x:v>BL-X</x:v>
      </x:c>
      <x:c r="F1141" s="7" t="str">
        <x:v>MF-22</x:v>
      </x:c>
      <x:c r="G1141" s="7" t="str">
        <x:v>source ancestry</x:v>
      </x:c>
      <x:c r="H1141" s="7" t="n">
        <x:v>1</x:v>
      </x:c>
      <x:c r="I1141" s="7" t="str"/>
      <x:c r="J1141" s="7" t="str"/>
      <x:c r="K1141" s="7" t="str"/>
      <x:c r="L1141" s="7" t="str"/>
      <x:c r="M1141" s="7" t="str"/>
      <x:c r="N1141" s="7" t="str"/>
      <x:c r="O1141" s="7" t="str">
        <x:f>IF(N1141="","OPEN",IF(OR(I1141="",J1141="",K1141="",L1141="",M1141=""),"FAIL","PASS"))</x:f>
        <x:v>OPEN</x:v>
      </x:c>
    </x:row>
    <x:row r="1142">
      <x:c r="B1142" s="7" t="str">
        <x:v>CH-PEA-B-X2-22-2</x:v>
      </x:c>
      <x:c r="C1142" s="7" t="str">
        <x:v>PEA-B-X2</x:v>
      </x:c>
      <x:c r="D1142" s="7" t="str">
        <x:v>BLD-B</x:v>
      </x:c>
      <x:c r="E1142" s="7" t="str">
        <x:v>BL-X</x:v>
      </x:c>
      <x:c r="F1142" s="7" t="str">
        <x:v>MF-22</x:v>
      </x:c>
      <x:c r="G1142" s="7" t="str">
        <x:v>source ancestry</x:v>
      </x:c>
      <x:c r="H1142" s="7" t="n">
        <x:v>2</x:v>
      </x:c>
      <x:c r="I1142" s="7" t="str"/>
      <x:c r="J1142" s="7" t="str"/>
      <x:c r="K1142" s="7" t="str"/>
      <x:c r="L1142" s="7" t="str"/>
      <x:c r="M1142" s="7" t="str"/>
      <x:c r="N1142" s="7" t="str"/>
      <x:c r="O1142" s="7" t="str">
        <x:f>IF(N1142="","OPEN",IF(OR(I1142="",J1142="",K1142="",L1142="",M1142=""),"FAIL","PASS"))</x:f>
        <x:v>OPEN</x:v>
      </x:c>
    </x:row>
    <x:row r="1143">
      <x:c r="B1143" s="7" t="str">
        <x:v>CH-PEA-B-X2-22-3</x:v>
      </x:c>
      <x:c r="C1143" s="7" t="str">
        <x:v>PEA-B-X2</x:v>
      </x:c>
      <x:c r="D1143" s="7" t="str">
        <x:v>BLD-B</x:v>
      </x:c>
      <x:c r="E1143" s="7" t="str">
        <x:v>BL-X</x:v>
      </x:c>
      <x:c r="F1143" s="7" t="str">
        <x:v>MF-22</x:v>
      </x:c>
      <x:c r="G1143" s="7" t="str">
        <x:v>source ancestry</x:v>
      </x:c>
      <x:c r="H1143" s="7" t="n">
        <x:v>3</x:v>
      </x:c>
      <x:c r="I1143" s="7" t="str"/>
      <x:c r="J1143" s="7" t="str"/>
      <x:c r="K1143" s="7" t="str"/>
      <x:c r="L1143" s="7" t="str"/>
      <x:c r="M1143" s="7" t="str"/>
      <x:c r="N1143" s="7" t="str"/>
      <x:c r="O1143" s="7" t="str">
        <x:f>IF(N1143="","OPEN",IF(OR(I1143="",J1143="",K1143="",L1143="",M1143=""),"FAIL","PASS"))</x:f>
        <x:v>OPEN</x:v>
      </x:c>
    </x:row>
    <x:row r="1144">
      <x:c r="B1144" s="7" t="str">
        <x:v>CH-PEA-B-X2-22-4</x:v>
      </x:c>
      <x:c r="C1144" s="7" t="str">
        <x:v>PEA-B-X2</x:v>
      </x:c>
      <x:c r="D1144" s="7" t="str">
        <x:v>BLD-B</x:v>
      </x:c>
      <x:c r="E1144" s="7" t="str">
        <x:v>BL-X</x:v>
      </x:c>
      <x:c r="F1144" s="7" t="str">
        <x:v>MF-22</x:v>
      </x:c>
      <x:c r="G1144" s="7" t="str">
        <x:v>source ancestry</x:v>
      </x:c>
      <x:c r="H1144" s="7" t="n">
        <x:v>4</x:v>
      </x:c>
      <x:c r="I1144" s="7" t="str"/>
      <x:c r="J1144" s="7" t="str"/>
      <x:c r="K1144" s="7" t="str"/>
      <x:c r="L1144" s="7" t="str"/>
      <x:c r="M1144" s="7" t="str"/>
      <x:c r="N1144" s="7" t="str"/>
      <x:c r="O1144" s="7" t="str">
        <x:f>IF(N1144="","OPEN",IF(OR(I1144="",J1144="",K1144="",L1144="",M1144=""),"FAIL","PASS"))</x:f>
        <x:v>OPEN</x:v>
      </x:c>
    </x:row>
    <x:row r="1145">
      <x:c r="B1145" s="7" t="str">
        <x:v>CH-PEA-B-X2-22-5</x:v>
      </x:c>
      <x:c r="C1145" s="7" t="str">
        <x:v>PEA-B-X2</x:v>
      </x:c>
      <x:c r="D1145" s="7" t="str">
        <x:v>BLD-B</x:v>
      </x:c>
      <x:c r="E1145" s="7" t="str">
        <x:v>BL-X</x:v>
      </x:c>
      <x:c r="F1145" s="7" t="str">
        <x:v>MF-22</x:v>
      </x:c>
      <x:c r="G1145" s="7" t="str">
        <x:v>source ancestry</x:v>
      </x:c>
      <x:c r="H1145" s="7" t="n">
        <x:v>5</x:v>
      </x:c>
      <x:c r="I1145" s="7" t="str"/>
      <x:c r="J1145" s="7" t="str"/>
      <x:c r="K1145" s="7" t="str"/>
      <x:c r="L1145" s="7" t="str"/>
      <x:c r="M1145" s="7" t="str"/>
      <x:c r="N1145" s="7" t="str"/>
      <x:c r="O1145" s="7" t="str">
        <x:f>IF(N1145="","OPEN",IF(OR(I1145="",J1145="",K1145="",L1145="",M1145=""),"FAIL","PASS"))</x:f>
        <x:v>OPEN</x:v>
      </x:c>
    </x:row>
    <x:row r="1146">
      <x:c r="B1146" s="7" t="str">
        <x:v>CH-PEA-B-X2-22-6</x:v>
      </x:c>
      <x:c r="C1146" s="7" t="str">
        <x:v>PEA-B-X2</x:v>
      </x:c>
      <x:c r="D1146" s="7" t="str">
        <x:v>BLD-B</x:v>
      </x:c>
      <x:c r="E1146" s="7" t="str">
        <x:v>BL-X</x:v>
      </x:c>
      <x:c r="F1146" s="7" t="str">
        <x:v>MF-22</x:v>
      </x:c>
      <x:c r="G1146" s="7" t="str">
        <x:v>source ancestry</x:v>
      </x:c>
      <x:c r="H1146" s="7" t="n">
        <x:v>6</x:v>
      </x:c>
      <x:c r="I1146" s="7" t="str"/>
      <x:c r="J1146" s="7" t="str"/>
      <x:c r="K1146" s="7" t="str"/>
      <x:c r="L1146" s="7" t="str"/>
      <x:c r="M1146" s="7" t="str"/>
      <x:c r="N1146" s="7" t="str"/>
      <x:c r="O1146" s="7" t="str">
        <x:f>IF(N1146="","OPEN",IF(OR(I1146="",J1146="",K1146="",L1146="",M1146=""),"FAIL","PASS"))</x:f>
        <x:v>OPEN</x:v>
      </x:c>
    </x:row>
    <x:row r="1147">
      <x:c r="B1147" s="7" t="str">
        <x:v>CH-PEA-B-X2-23-1</x:v>
      </x:c>
      <x:c r="C1147" s="7" t="str">
        <x:v>PEA-B-X2</x:v>
      </x:c>
      <x:c r="D1147" s="7" t="str">
        <x:v>BLD-B</x:v>
      </x:c>
      <x:c r="E1147" s="7" t="str">
        <x:v>BL-X</x:v>
      </x:c>
      <x:c r="F1147" s="7" t="str">
        <x:v>MF-23</x:v>
      </x:c>
      <x:c r="G1147" s="7" t="str">
        <x:v>water ancestry</x:v>
      </x:c>
      <x:c r="H1147" s="7" t="n">
        <x:v>1</x:v>
      </x:c>
      <x:c r="I1147" s="7" t="str"/>
      <x:c r="J1147" s="7" t="str"/>
      <x:c r="K1147" s="7" t="str"/>
      <x:c r="L1147" s="7" t="str"/>
      <x:c r="M1147" s="7" t="str"/>
      <x:c r="N1147" s="7" t="str"/>
      <x:c r="O1147" s="7" t="str">
        <x:f>IF(N1147="","OPEN",IF(OR(I1147="",J1147="",K1147="",L1147="",M1147=""),"FAIL","PASS"))</x:f>
        <x:v>OPEN</x:v>
      </x:c>
    </x:row>
    <x:row r="1148">
      <x:c r="B1148" s="7" t="str">
        <x:v>CH-PEA-B-X2-23-2</x:v>
      </x:c>
      <x:c r="C1148" s="7" t="str">
        <x:v>PEA-B-X2</x:v>
      </x:c>
      <x:c r="D1148" s="7" t="str">
        <x:v>BLD-B</x:v>
      </x:c>
      <x:c r="E1148" s="7" t="str">
        <x:v>BL-X</x:v>
      </x:c>
      <x:c r="F1148" s="7" t="str">
        <x:v>MF-23</x:v>
      </x:c>
      <x:c r="G1148" s="7" t="str">
        <x:v>water ancestry</x:v>
      </x:c>
      <x:c r="H1148" s="7" t="n">
        <x:v>2</x:v>
      </x:c>
      <x:c r="I1148" s="7" t="str"/>
      <x:c r="J1148" s="7" t="str"/>
      <x:c r="K1148" s="7" t="str"/>
      <x:c r="L1148" s="7" t="str"/>
      <x:c r="M1148" s="7" t="str"/>
      <x:c r="N1148" s="7" t="str"/>
      <x:c r="O1148" s="7" t="str">
        <x:f>IF(N1148="","OPEN",IF(OR(I1148="",J1148="",K1148="",L1148="",M1148=""),"FAIL","PASS"))</x:f>
        <x:v>OPEN</x:v>
      </x:c>
    </x:row>
    <x:row r="1149">
      <x:c r="B1149" s="7" t="str">
        <x:v>CH-PEA-B-X2-23-3</x:v>
      </x:c>
      <x:c r="C1149" s="7" t="str">
        <x:v>PEA-B-X2</x:v>
      </x:c>
      <x:c r="D1149" s="7" t="str">
        <x:v>BLD-B</x:v>
      </x:c>
      <x:c r="E1149" s="7" t="str">
        <x:v>BL-X</x:v>
      </x:c>
      <x:c r="F1149" s="7" t="str">
        <x:v>MF-23</x:v>
      </x:c>
      <x:c r="G1149" s="7" t="str">
        <x:v>water ancestry</x:v>
      </x:c>
      <x:c r="H1149" s="7" t="n">
        <x:v>3</x:v>
      </x:c>
      <x:c r="I1149" s="7" t="str"/>
      <x:c r="J1149" s="7" t="str"/>
      <x:c r="K1149" s="7" t="str"/>
      <x:c r="L1149" s="7" t="str"/>
      <x:c r="M1149" s="7" t="str"/>
      <x:c r="N1149" s="7" t="str"/>
      <x:c r="O1149" s="7" t="str">
        <x:f>IF(N1149="","OPEN",IF(OR(I1149="",J1149="",K1149="",L1149="",M1149=""),"FAIL","PASS"))</x:f>
        <x:v>OPEN</x:v>
      </x:c>
    </x:row>
    <x:row r="1150">
      <x:c r="B1150" s="7" t="str">
        <x:v>CH-PEA-B-X2-23-4</x:v>
      </x:c>
      <x:c r="C1150" s="7" t="str">
        <x:v>PEA-B-X2</x:v>
      </x:c>
      <x:c r="D1150" s="7" t="str">
        <x:v>BLD-B</x:v>
      </x:c>
      <x:c r="E1150" s="7" t="str">
        <x:v>BL-X</x:v>
      </x:c>
      <x:c r="F1150" s="7" t="str">
        <x:v>MF-23</x:v>
      </x:c>
      <x:c r="G1150" s="7" t="str">
        <x:v>water ancestry</x:v>
      </x:c>
      <x:c r="H1150" s="7" t="n">
        <x:v>4</x:v>
      </x:c>
      <x:c r="I1150" s="7" t="str"/>
      <x:c r="J1150" s="7" t="str"/>
      <x:c r="K1150" s="7" t="str"/>
      <x:c r="L1150" s="7" t="str"/>
      <x:c r="M1150" s="7" t="str"/>
      <x:c r="N1150" s="7" t="str"/>
      <x:c r="O1150" s="7" t="str">
        <x:f>IF(N1150="","OPEN",IF(OR(I1150="",J1150="",K1150="",L1150="",M1150=""),"FAIL","PASS"))</x:f>
        <x:v>OPEN</x:v>
      </x:c>
    </x:row>
    <x:row r="1151">
      <x:c r="B1151" s="7" t="str">
        <x:v>CH-PEA-B-X2-23-5</x:v>
      </x:c>
      <x:c r="C1151" s="7" t="str">
        <x:v>PEA-B-X2</x:v>
      </x:c>
      <x:c r="D1151" s="7" t="str">
        <x:v>BLD-B</x:v>
      </x:c>
      <x:c r="E1151" s="7" t="str">
        <x:v>BL-X</x:v>
      </x:c>
      <x:c r="F1151" s="7" t="str">
        <x:v>MF-23</x:v>
      </x:c>
      <x:c r="G1151" s="7" t="str">
        <x:v>water ancestry</x:v>
      </x:c>
      <x:c r="H1151" s="7" t="n">
        <x:v>5</x:v>
      </x:c>
      <x:c r="I1151" s="7" t="str"/>
      <x:c r="J1151" s="7" t="str"/>
      <x:c r="K1151" s="7" t="str"/>
      <x:c r="L1151" s="7" t="str"/>
      <x:c r="M1151" s="7" t="str"/>
      <x:c r="N1151" s="7" t="str"/>
      <x:c r="O1151" s="7" t="str">
        <x:f>IF(N1151="","OPEN",IF(OR(I1151="",J1151="",K1151="",L1151="",M1151=""),"FAIL","PASS"))</x:f>
        <x:v>OPEN</x:v>
      </x:c>
    </x:row>
    <x:row r="1152">
      <x:c r="B1152" s="7" t="str">
        <x:v>CH-PEA-B-X2-23-6</x:v>
      </x:c>
      <x:c r="C1152" s="7" t="str">
        <x:v>PEA-B-X2</x:v>
      </x:c>
      <x:c r="D1152" s="7" t="str">
        <x:v>BLD-B</x:v>
      </x:c>
      <x:c r="E1152" s="7" t="str">
        <x:v>BL-X</x:v>
      </x:c>
      <x:c r="F1152" s="7" t="str">
        <x:v>MF-23</x:v>
      </x:c>
      <x:c r="G1152" s="7" t="str">
        <x:v>water ancestry</x:v>
      </x:c>
      <x:c r="H1152" s="7" t="n">
        <x:v>6</x:v>
      </x:c>
      <x:c r="I1152" s="7" t="str"/>
      <x:c r="J1152" s="7" t="str"/>
      <x:c r="K1152" s="7" t="str"/>
      <x:c r="L1152" s="7" t="str"/>
      <x:c r="M1152" s="7" t="str"/>
      <x:c r="N1152" s="7" t="str"/>
      <x:c r="O1152" s="7" t="str">
        <x:f>IF(N1152="","OPEN",IF(OR(I1152="",J1152="",K1152="",L1152="",M1152=""),"FAIL","PASS"))</x:f>
        <x:v>OPEN</x:v>
      </x:c>
    </x:row>
    <x:row r="1153">
      <x:c r="B1153" s="7" t="str">
        <x:v>CH-PEA-B-X2-24-1</x:v>
      </x:c>
      <x:c r="C1153" s="7" t="str">
        <x:v>PEA-B-X2</x:v>
      </x:c>
      <x:c r="D1153" s="7" t="str">
        <x:v>BLD-B</x:v>
      </x:c>
      <x:c r="E1153" s="7" t="str">
        <x:v>BL-X</x:v>
      </x:c>
      <x:c r="F1153" s="7" t="str">
        <x:v>MF-24</x:v>
      </x:c>
      <x:c r="G1153" s="7" t="str">
        <x:v>evidence health</x:v>
      </x:c>
      <x:c r="H1153" s="7" t="n">
        <x:v>1</x:v>
      </x:c>
      <x:c r="I1153" s="7" t="str"/>
      <x:c r="J1153" s="7" t="str"/>
      <x:c r="K1153" s="7" t="str"/>
      <x:c r="L1153" s="7" t="str"/>
      <x:c r="M1153" s="7" t="str"/>
      <x:c r="N1153" s="7" t="str"/>
      <x:c r="O1153" s="7" t="str">
        <x:f>IF(N1153="","OPEN",IF(OR(I1153="",J1153="",K1153="",L1153="",M1153=""),"FAIL","PASS"))</x:f>
        <x:v>OPEN</x:v>
      </x:c>
    </x:row>
    <x:row r="1154">
      <x:c r="B1154" s="7" t="str">
        <x:v>CH-PEA-B-X2-24-2</x:v>
      </x:c>
      <x:c r="C1154" s="7" t="str">
        <x:v>PEA-B-X2</x:v>
      </x:c>
      <x:c r="D1154" s="7" t="str">
        <x:v>BLD-B</x:v>
      </x:c>
      <x:c r="E1154" s="7" t="str">
        <x:v>BL-X</x:v>
      </x:c>
      <x:c r="F1154" s="7" t="str">
        <x:v>MF-24</x:v>
      </x:c>
      <x:c r="G1154" s="7" t="str">
        <x:v>evidence health</x:v>
      </x:c>
      <x:c r="H1154" s="7" t="n">
        <x:v>2</x:v>
      </x:c>
      <x:c r="I1154" s="7" t="str"/>
      <x:c r="J1154" s="7" t="str"/>
      <x:c r="K1154" s="7" t="str"/>
      <x:c r="L1154" s="7" t="str"/>
      <x:c r="M1154" s="7" t="str"/>
      <x:c r="N1154" s="7" t="str"/>
      <x:c r="O1154" s="7" t="str">
        <x:f>IF(N1154="","OPEN",IF(OR(I1154="",J1154="",K1154="",L1154="",M1154=""),"FAIL","PASS"))</x:f>
        <x:v>OPEN</x:v>
      </x:c>
    </x:row>
    <x:row r="1155">
      <x:c r="B1155" s="7" t="str">
        <x:v>CH-PEA-B-X2-24-3</x:v>
      </x:c>
      <x:c r="C1155" s="7" t="str">
        <x:v>PEA-B-X2</x:v>
      </x:c>
      <x:c r="D1155" s="7" t="str">
        <x:v>BLD-B</x:v>
      </x:c>
      <x:c r="E1155" s="7" t="str">
        <x:v>BL-X</x:v>
      </x:c>
      <x:c r="F1155" s="7" t="str">
        <x:v>MF-24</x:v>
      </x:c>
      <x:c r="G1155" s="7" t="str">
        <x:v>evidence health</x:v>
      </x:c>
      <x:c r="H1155" s="7" t="n">
        <x:v>3</x:v>
      </x:c>
      <x:c r="I1155" s="7" t="str"/>
      <x:c r="J1155" s="7" t="str"/>
      <x:c r="K1155" s="7" t="str"/>
      <x:c r="L1155" s="7" t="str"/>
      <x:c r="M1155" s="7" t="str"/>
      <x:c r="N1155" s="7" t="str"/>
      <x:c r="O1155" s="7" t="str">
        <x:f>IF(N1155="","OPEN",IF(OR(I1155="",J1155="",K1155="",L1155="",M1155=""),"FAIL","PASS"))</x:f>
        <x:v>OPEN</x:v>
      </x:c>
    </x:row>
    <x:row r="1156">
      <x:c r="B1156" s="7" t="str">
        <x:v>CH-PEA-B-X2-24-4</x:v>
      </x:c>
      <x:c r="C1156" s="7" t="str">
        <x:v>PEA-B-X2</x:v>
      </x:c>
      <x:c r="D1156" s="7" t="str">
        <x:v>BLD-B</x:v>
      </x:c>
      <x:c r="E1156" s="7" t="str">
        <x:v>BL-X</x:v>
      </x:c>
      <x:c r="F1156" s="7" t="str">
        <x:v>MF-24</x:v>
      </x:c>
      <x:c r="G1156" s="7" t="str">
        <x:v>evidence health</x:v>
      </x:c>
      <x:c r="H1156" s="7" t="n">
        <x:v>4</x:v>
      </x:c>
      <x:c r="I1156" s="7" t="str"/>
      <x:c r="J1156" s="7" t="str"/>
      <x:c r="K1156" s="7" t="str"/>
      <x:c r="L1156" s="7" t="str"/>
      <x:c r="M1156" s="7" t="str"/>
      <x:c r="N1156" s="7" t="str"/>
      <x:c r="O1156" s="7" t="str">
        <x:f>IF(N1156="","OPEN",IF(OR(I1156="",J1156="",K1156="",L1156="",M1156=""),"FAIL","PASS"))</x:f>
        <x:v>OPEN</x:v>
      </x:c>
    </x:row>
    <x:row r="1157">
      <x:c r="B1157" s="7" t="str">
        <x:v>CH-PEA-B-X2-24-5</x:v>
      </x:c>
      <x:c r="C1157" s="7" t="str">
        <x:v>PEA-B-X2</x:v>
      </x:c>
      <x:c r="D1157" s="7" t="str">
        <x:v>BLD-B</x:v>
      </x:c>
      <x:c r="E1157" s="7" t="str">
        <x:v>BL-X</x:v>
      </x:c>
      <x:c r="F1157" s="7" t="str">
        <x:v>MF-24</x:v>
      </x:c>
      <x:c r="G1157" s="7" t="str">
        <x:v>evidence health</x:v>
      </x:c>
      <x:c r="H1157" s="7" t="n">
        <x:v>5</x:v>
      </x:c>
      <x:c r="I1157" s="7" t="str"/>
      <x:c r="J1157" s="7" t="str"/>
      <x:c r="K1157" s="7" t="str"/>
      <x:c r="L1157" s="7" t="str"/>
      <x:c r="M1157" s="7" t="str"/>
      <x:c r="N1157" s="7" t="str"/>
      <x:c r="O1157" s="7" t="str">
        <x:f>IF(N1157="","OPEN",IF(OR(I1157="",J1157="",K1157="",L1157="",M1157=""),"FAIL","PASS"))</x:f>
        <x:v>OPEN</x:v>
      </x:c>
    </x:row>
    <x:row r="1158">
      <x:c r="B1158" s="7" t="str">
        <x:v>CH-PEA-B-X2-24-6</x:v>
      </x:c>
      <x:c r="C1158" s="7" t="str">
        <x:v>PEA-B-X2</x:v>
      </x:c>
      <x:c r="D1158" s="7" t="str">
        <x:v>BLD-B</x:v>
      </x:c>
      <x:c r="E1158" s="7" t="str">
        <x:v>BL-X</x:v>
      </x:c>
      <x:c r="F1158" s="7" t="str">
        <x:v>MF-24</x:v>
      </x:c>
      <x:c r="G1158" s="7" t="str">
        <x:v>evidence health</x:v>
      </x:c>
      <x:c r="H1158" s="7" t="n">
        <x:v>6</x:v>
      </x:c>
      <x:c r="I1158" s="7" t="str"/>
      <x:c r="J1158" s="7" t="str"/>
      <x:c r="K1158" s="7" t="str"/>
      <x:c r="L1158" s="7" t="str"/>
      <x:c r="M1158" s="7" t="str"/>
      <x:c r="N1158" s="7" t="str"/>
      <x:c r="O1158" s="7" t="str">
        <x:f>IF(N1158="","OPEN",IF(OR(I1158="",J1158="",K1158="",L1158="",M1158=""),"FAIL","PASS"))</x:f>
        <x:v>OPEN</x:v>
      </x:c>
    </x:row>
    <x:row r="1159">
      <x:c r="B1159" s="7" t="str">
        <x:v>CH-PEA-B-X3-01-1</x:v>
      </x:c>
      <x:c r="C1159" s="7" t="str">
        <x:v>PEA-B-X3</x:v>
      </x:c>
      <x:c r="D1159" s="7" t="str">
        <x:v>BLD-B</x:v>
      </x:c>
      <x:c r="E1159" s="7" t="str">
        <x:v>BL-X</x:v>
      </x:c>
      <x:c r="F1159" s="7" t="str">
        <x:v>MF-01</x:v>
      </x:c>
      <x:c r="G1159" s="7" t="str">
        <x:v>source vessel mass</x:v>
      </x:c>
      <x:c r="H1159" s="7" t="n">
        <x:v>1</x:v>
      </x:c>
      <x:c r="I1159" s="7" t="str"/>
      <x:c r="J1159" s="7" t="str"/>
      <x:c r="K1159" s="7" t="str"/>
      <x:c r="L1159" s="7" t="str"/>
      <x:c r="M1159" s="7" t="str"/>
      <x:c r="N1159" s="7" t="str"/>
      <x:c r="O1159" s="7" t="str">
        <x:f>IF(N1159="","OPEN",IF(OR(I1159="",J1159="",K1159="",L1159="",M1159=""),"FAIL","PASS"))</x:f>
        <x:v>OPEN</x:v>
      </x:c>
    </x:row>
    <x:row r="1160">
      <x:c r="B1160" s="7" t="str">
        <x:v>CH-PEA-B-X3-01-2</x:v>
      </x:c>
      <x:c r="C1160" s="7" t="str">
        <x:v>PEA-B-X3</x:v>
      </x:c>
      <x:c r="D1160" s="7" t="str">
        <x:v>BLD-B</x:v>
      </x:c>
      <x:c r="E1160" s="7" t="str">
        <x:v>BL-X</x:v>
      </x:c>
      <x:c r="F1160" s="7" t="str">
        <x:v>MF-01</x:v>
      </x:c>
      <x:c r="G1160" s="7" t="str">
        <x:v>source vessel mass</x:v>
      </x:c>
      <x:c r="H1160" s="7" t="n">
        <x:v>2</x:v>
      </x:c>
      <x:c r="I1160" s="7" t="str"/>
      <x:c r="J1160" s="7" t="str"/>
      <x:c r="K1160" s="7" t="str"/>
      <x:c r="L1160" s="7" t="str"/>
      <x:c r="M1160" s="7" t="str"/>
      <x:c r="N1160" s="7" t="str"/>
      <x:c r="O1160" s="7" t="str">
        <x:f>IF(N1160="","OPEN",IF(OR(I1160="",J1160="",K1160="",L1160="",M1160=""),"FAIL","PASS"))</x:f>
        <x:v>OPEN</x:v>
      </x:c>
    </x:row>
    <x:row r="1161">
      <x:c r="B1161" s="7" t="str">
        <x:v>CH-PEA-B-X3-01-3</x:v>
      </x:c>
      <x:c r="C1161" s="7" t="str">
        <x:v>PEA-B-X3</x:v>
      </x:c>
      <x:c r="D1161" s="7" t="str">
        <x:v>BLD-B</x:v>
      </x:c>
      <x:c r="E1161" s="7" t="str">
        <x:v>BL-X</x:v>
      </x:c>
      <x:c r="F1161" s="7" t="str">
        <x:v>MF-01</x:v>
      </x:c>
      <x:c r="G1161" s="7" t="str">
        <x:v>source vessel mass</x:v>
      </x:c>
      <x:c r="H1161" s="7" t="n">
        <x:v>3</x:v>
      </x:c>
      <x:c r="I1161" s="7" t="str"/>
      <x:c r="J1161" s="7" t="str"/>
      <x:c r="K1161" s="7" t="str"/>
      <x:c r="L1161" s="7" t="str"/>
      <x:c r="M1161" s="7" t="str"/>
      <x:c r="N1161" s="7" t="str"/>
      <x:c r="O1161" s="7" t="str">
        <x:f>IF(N1161="","OPEN",IF(OR(I1161="",J1161="",K1161="",L1161="",M1161=""),"FAIL","PASS"))</x:f>
        <x:v>OPEN</x:v>
      </x:c>
    </x:row>
    <x:row r="1162">
      <x:c r="B1162" s="7" t="str">
        <x:v>CH-PEA-B-X3-01-4</x:v>
      </x:c>
      <x:c r="C1162" s="7" t="str">
        <x:v>PEA-B-X3</x:v>
      </x:c>
      <x:c r="D1162" s="7" t="str">
        <x:v>BLD-B</x:v>
      </x:c>
      <x:c r="E1162" s="7" t="str">
        <x:v>BL-X</x:v>
      </x:c>
      <x:c r="F1162" s="7" t="str">
        <x:v>MF-01</x:v>
      </x:c>
      <x:c r="G1162" s="7" t="str">
        <x:v>source vessel mass</x:v>
      </x:c>
      <x:c r="H1162" s="7" t="n">
        <x:v>4</x:v>
      </x:c>
      <x:c r="I1162" s="7" t="str"/>
      <x:c r="J1162" s="7" t="str"/>
      <x:c r="K1162" s="7" t="str"/>
      <x:c r="L1162" s="7" t="str"/>
      <x:c r="M1162" s="7" t="str"/>
      <x:c r="N1162" s="7" t="str"/>
      <x:c r="O1162" s="7" t="str">
        <x:f>IF(N1162="","OPEN",IF(OR(I1162="",J1162="",K1162="",L1162="",M1162=""),"FAIL","PASS"))</x:f>
        <x:v>OPEN</x:v>
      </x:c>
    </x:row>
    <x:row r="1163">
      <x:c r="B1163" s="7" t="str">
        <x:v>CH-PEA-B-X3-01-5</x:v>
      </x:c>
      <x:c r="C1163" s="7" t="str">
        <x:v>PEA-B-X3</x:v>
      </x:c>
      <x:c r="D1163" s="7" t="str">
        <x:v>BLD-B</x:v>
      </x:c>
      <x:c r="E1163" s="7" t="str">
        <x:v>BL-X</x:v>
      </x:c>
      <x:c r="F1163" s="7" t="str">
        <x:v>MF-01</x:v>
      </x:c>
      <x:c r="G1163" s="7" t="str">
        <x:v>source vessel mass</x:v>
      </x:c>
      <x:c r="H1163" s="7" t="n">
        <x:v>5</x:v>
      </x:c>
      <x:c r="I1163" s="7" t="str"/>
      <x:c r="J1163" s="7" t="str"/>
      <x:c r="K1163" s="7" t="str"/>
      <x:c r="L1163" s="7" t="str"/>
      <x:c r="M1163" s="7" t="str"/>
      <x:c r="N1163" s="7" t="str"/>
      <x:c r="O1163" s="7" t="str">
        <x:f>IF(N1163="","OPEN",IF(OR(I1163="",J1163="",K1163="",L1163="",M1163=""),"FAIL","PASS"))</x:f>
        <x:v>OPEN</x:v>
      </x:c>
    </x:row>
    <x:row r="1164">
      <x:c r="B1164" s="7" t="str">
        <x:v>CH-PEA-B-X3-01-6</x:v>
      </x:c>
      <x:c r="C1164" s="7" t="str">
        <x:v>PEA-B-X3</x:v>
      </x:c>
      <x:c r="D1164" s="7" t="str">
        <x:v>BLD-B</x:v>
      </x:c>
      <x:c r="E1164" s="7" t="str">
        <x:v>BL-X</x:v>
      </x:c>
      <x:c r="F1164" s="7" t="str">
        <x:v>MF-01</x:v>
      </x:c>
      <x:c r="G1164" s="7" t="str">
        <x:v>source vessel mass</x:v>
      </x:c>
      <x:c r="H1164" s="7" t="n">
        <x:v>6</x:v>
      </x:c>
      <x:c r="I1164" s="7" t="str"/>
      <x:c r="J1164" s="7" t="str"/>
      <x:c r="K1164" s="7" t="str"/>
      <x:c r="L1164" s="7" t="str"/>
      <x:c r="M1164" s="7" t="str"/>
      <x:c r="N1164" s="7" t="str"/>
      <x:c r="O1164" s="7" t="str">
        <x:f>IF(N1164="","OPEN",IF(OR(I1164="",J1164="",K1164="",L1164="",M1164=""),"FAIL","PASS"))</x:f>
        <x:v>OPEN</x:v>
      </x:c>
    </x:row>
    <x:row r="1165">
      <x:c r="B1165" s="7" t="str">
        <x:v>CH-PEA-B-X3-02-1</x:v>
      </x:c>
      <x:c r="C1165" s="7" t="str">
        <x:v>PEA-B-X3</x:v>
      </x:c>
      <x:c r="D1165" s="7" t="str">
        <x:v>BLD-B</x:v>
      </x:c>
      <x:c r="E1165" s="7" t="str">
        <x:v>BL-X</x:v>
      </x:c>
      <x:c r="F1165" s="7" t="str">
        <x:v>MF-02</x:v>
      </x:c>
      <x:c r="G1165" s="7" t="str">
        <x:v>transfer mass</x:v>
      </x:c>
      <x:c r="H1165" s="7" t="n">
        <x:v>1</x:v>
      </x:c>
      <x:c r="I1165" s="7" t="str"/>
      <x:c r="J1165" s="7" t="str"/>
      <x:c r="K1165" s="7" t="str"/>
      <x:c r="L1165" s="7" t="str"/>
      <x:c r="M1165" s="7" t="str"/>
      <x:c r="N1165" s="7" t="str"/>
      <x:c r="O1165" s="7" t="str">
        <x:f>IF(N1165="","OPEN",IF(OR(I1165="",J1165="",K1165="",L1165="",M1165=""),"FAIL","PASS"))</x:f>
        <x:v>OPEN</x:v>
      </x:c>
    </x:row>
    <x:row r="1166">
      <x:c r="B1166" s="7" t="str">
        <x:v>CH-PEA-B-X3-02-2</x:v>
      </x:c>
      <x:c r="C1166" s="7" t="str">
        <x:v>PEA-B-X3</x:v>
      </x:c>
      <x:c r="D1166" s="7" t="str">
        <x:v>BLD-B</x:v>
      </x:c>
      <x:c r="E1166" s="7" t="str">
        <x:v>BL-X</x:v>
      </x:c>
      <x:c r="F1166" s="7" t="str">
        <x:v>MF-02</x:v>
      </x:c>
      <x:c r="G1166" s="7" t="str">
        <x:v>transfer mass</x:v>
      </x:c>
      <x:c r="H1166" s="7" t="n">
        <x:v>2</x:v>
      </x:c>
      <x:c r="I1166" s="7" t="str"/>
      <x:c r="J1166" s="7" t="str"/>
      <x:c r="K1166" s="7" t="str"/>
      <x:c r="L1166" s="7" t="str"/>
      <x:c r="M1166" s="7" t="str"/>
      <x:c r="N1166" s="7" t="str"/>
      <x:c r="O1166" s="7" t="str">
        <x:f>IF(N1166="","OPEN",IF(OR(I1166="",J1166="",K1166="",L1166="",M1166=""),"FAIL","PASS"))</x:f>
        <x:v>OPEN</x:v>
      </x:c>
    </x:row>
    <x:row r="1167">
      <x:c r="B1167" s="7" t="str">
        <x:v>CH-PEA-B-X3-02-3</x:v>
      </x:c>
      <x:c r="C1167" s="7" t="str">
        <x:v>PEA-B-X3</x:v>
      </x:c>
      <x:c r="D1167" s="7" t="str">
        <x:v>BLD-B</x:v>
      </x:c>
      <x:c r="E1167" s="7" t="str">
        <x:v>BL-X</x:v>
      </x:c>
      <x:c r="F1167" s="7" t="str">
        <x:v>MF-02</x:v>
      </x:c>
      <x:c r="G1167" s="7" t="str">
        <x:v>transfer mass</x:v>
      </x:c>
      <x:c r="H1167" s="7" t="n">
        <x:v>3</x:v>
      </x:c>
      <x:c r="I1167" s="7" t="str"/>
      <x:c r="J1167" s="7" t="str"/>
      <x:c r="K1167" s="7" t="str"/>
      <x:c r="L1167" s="7" t="str"/>
      <x:c r="M1167" s="7" t="str"/>
      <x:c r="N1167" s="7" t="str"/>
      <x:c r="O1167" s="7" t="str">
        <x:f>IF(N1167="","OPEN",IF(OR(I1167="",J1167="",K1167="",L1167="",M1167=""),"FAIL","PASS"))</x:f>
        <x:v>OPEN</x:v>
      </x:c>
    </x:row>
    <x:row r="1168">
      <x:c r="B1168" s="7" t="str">
        <x:v>CH-PEA-B-X3-02-4</x:v>
      </x:c>
      <x:c r="C1168" s="7" t="str">
        <x:v>PEA-B-X3</x:v>
      </x:c>
      <x:c r="D1168" s="7" t="str">
        <x:v>BLD-B</x:v>
      </x:c>
      <x:c r="E1168" s="7" t="str">
        <x:v>BL-X</x:v>
      </x:c>
      <x:c r="F1168" s="7" t="str">
        <x:v>MF-02</x:v>
      </x:c>
      <x:c r="G1168" s="7" t="str">
        <x:v>transfer mass</x:v>
      </x:c>
      <x:c r="H1168" s="7" t="n">
        <x:v>4</x:v>
      </x:c>
      <x:c r="I1168" s="7" t="str"/>
      <x:c r="J1168" s="7" t="str"/>
      <x:c r="K1168" s="7" t="str"/>
      <x:c r="L1168" s="7" t="str"/>
      <x:c r="M1168" s="7" t="str"/>
      <x:c r="N1168" s="7" t="str"/>
      <x:c r="O1168" s="7" t="str">
        <x:f>IF(N1168="","OPEN",IF(OR(I1168="",J1168="",K1168="",L1168="",M1168=""),"FAIL","PASS"))</x:f>
        <x:v>OPEN</x:v>
      </x:c>
    </x:row>
    <x:row r="1169">
      <x:c r="B1169" s="7" t="str">
        <x:v>CH-PEA-B-X3-02-5</x:v>
      </x:c>
      <x:c r="C1169" s="7" t="str">
        <x:v>PEA-B-X3</x:v>
      </x:c>
      <x:c r="D1169" s="7" t="str">
        <x:v>BLD-B</x:v>
      </x:c>
      <x:c r="E1169" s="7" t="str">
        <x:v>BL-X</x:v>
      </x:c>
      <x:c r="F1169" s="7" t="str">
        <x:v>MF-02</x:v>
      </x:c>
      <x:c r="G1169" s="7" t="str">
        <x:v>transfer mass</x:v>
      </x:c>
      <x:c r="H1169" s="7" t="n">
        <x:v>5</x:v>
      </x:c>
      <x:c r="I1169" s="7" t="str"/>
      <x:c r="J1169" s="7" t="str"/>
      <x:c r="K1169" s="7" t="str"/>
      <x:c r="L1169" s="7" t="str"/>
      <x:c r="M1169" s="7" t="str"/>
      <x:c r="N1169" s="7" t="str"/>
      <x:c r="O1169" s="7" t="str">
        <x:f>IF(N1169="","OPEN",IF(OR(I1169="",J1169="",K1169="",L1169="",M1169=""),"FAIL","PASS"))</x:f>
        <x:v>OPEN</x:v>
      </x:c>
    </x:row>
    <x:row r="1170">
      <x:c r="B1170" s="7" t="str">
        <x:v>CH-PEA-B-X3-02-6</x:v>
      </x:c>
      <x:c r="C1170" s="7" t="str">
        <x:v>PEA-B-X3</x:v>
      </x:c>
      <x:c r="D1170" s="7" t="str">
        <x:v>BLD-B</x:v>
      </x:c>
      <x:c r="E1170" s="7" t="str">
        <x:v>BL-X</x:v>
      </x:c>
      <x:c r="F1170" s="7" t="str">
        <x:v>MF-02</x:v>
      </x:c>
      <x:c r="G1170" s="7" t="str">
        <x:v>transfer mass</x:v>
      </x:c>
      <x:c r="H1170" s="7" t="n">
        <x:v>6</x:v>
      </x:c>
      <x:c r="I1170" s="7" t="str"/>
      <x:c r="J1170" s="7" t="str"/>
      <x:c r="K1170" s="7" t="str"/>
      <x:c r="L1170" s="7" t="str"/>
      <x:c r="M1170" s="7" t="str"/>
      <x:c r="N1170" s="7" t="str"/>
      <x:c r="O1170" s="7" t="str">
        <x:f>IF(N1170="","OPEN",IF(OR(I1170="",J1170="",K1170="",L1170="",M1170=""),"FAIL","PASS"))</x:f>
        <x:v>OPEN</x:v>
      </x:c>
    </x:row>
    <x:row r="1171">
      <x:c r="B1171" s="7" t="str">
        <x:v>CH-PEA-B-X3-03-1</x:v>
      </x:c>
      <x:c r="C1171" s="7" t="str">
        <x:v>PEA-B-X3</x:v>
      </x:c>
      <x:c r="D1171" s="7" t="str">
        <x:v>BLD-B</x:v>
      </x:c>
      <x:c r="E1171" s="7" t="str">
        <x:v>BL-X</x:v>
      </x:c>
      <x:c r="F1171" s="7" t="str">
        <x:v>MF-03</x:v>
      </x:c>
      <x:c r="G1171" s="7" t="str">
        <x:v>source pressure</x:v>
      </x:c>
      <x:c r="H1171" s="7" t="n">
        <x:v>1</x:v>
      </x:c>
      <x:c r="I1171" s="7" t="str"/>
      <x:c r="J1171" s="7" t="str"/>
      <x:c r="K1171" s="7" t="str"/>
      <x:c r="L1171" s="7" t="str"/>
      <x:c r="M1171" s="7" t="str"/>
      <x:c r="N1171" s="7" t="str"/>
      <x:c r="O1171" s="7" t="str">
        <x:f>IF(N1171="","OPEN",IF(OR(I1171="",J1171="",K1171="",L1171="",M1171=""),"FAIL","PASS"))</x:f>
        <x:v>OPEN</x:v>
      </x:c>
    </x:row>
    <x:row r="1172">
      <x:c r="B1172" s="7" t="str">
        <x:v>CH-PEA-B-X3-03-2</x:v>
      </x:c>
      <x:c r="C1172" s="7" t="str">
        <x:v>PEA-B-X3</x:v>
      </x:c>
      <x:c r="D1172" s="7" t="str">
        <x:v>BLD-B</x:v>
      </x:c>
      <x:c r="E1172" s="7" t="str">
        <x:v>BL-X</x:v>
      </x:c>
      <x:c r="F1172" s="7" t="str">
        <x:v>MF-03</x:v>
      </x:c>
      <x:c r="G1172" s="7" t="str">
        <x:v>source pressure</x:v>
      </x:c>
      <x:c r="H1172" s="7" t="n">
        <x:v>2</x:v>
      </x:c>
      <x:c r="I1172" s="7" t="str"/>
      <x:c r="J1172" s="7" t="str"/>
      <x:c r="K1172" s="7" t="str"/>
      <x:c r="L1172" s="7" t="str"/>
      <x:c r="M1172" s="7" t="str"/>
      <x:c r="N1172" s="7" t="str"/>
      <x:c r="O1172" s="7" t="str">
        <x:f>IF(N1172="","OPEN",IF(OR(I1172="",J1172="",K1172="",L1172="",M1172=""),"FAIL","PASS"))</x:f>
        <x:v>OPEN</x:v>
      </x:c>
    </x:row>
    <x:row r="1173">
      <x:c r="B1173" s="7" t="str">
        <x:v>CH-PEA-B-X3-03-3</x:v>
      </x:c>
      <x:c r="C1173" s="7" t="str">
        <x:v>PEA-B-X3</x:v>
      </x:c>
      <x:c r="D1173" s="7" t="str">
        <x:v>BLD-B</x:v>
      </x:c>
      <x:c r="E1173" s="7" t="str">
        <x:v>BL-X</x:v>
      </x:c>
      <x:c r="F1173" s="7" t="str">
        <x:v>MF-03</x:v>
      </x:c>
      <x:c r="G1173" s="7" t="str">
        <x:v>source pressure</x:v>
      </x:c>
      <x:c r="H1173" s="7" t="n">
        <x:v>3</x:v>
      </x:c>
      <x:c r="I1173" s="7" t="str"/>
      <x:c r="J1173" s="7" t="str"/>
      <x:c r="K1173" s="7" t="str"/>
      <x:c r="L1173" s="7" t="str"/>
      <x:c r="M1173" s="7" t="str"/>
      <x:c r="N1173" s="7" t="str"/>
      <x:c r="O1173" s="7" t="str">
        <x:f>IF(N1173="","OPEN",IF(OR(I1173="",J1173="",K1173="",L1173="",M1173=""),"FAIL","PASS"))</x:f>
        <x:v>OPEN</x:v>
      </x:c>
    </x:row>
    <x:row r="1174">
      <x:c r="B1174" s="7" t="str">
        <x:v>CH-PEA-B-X3-03-4</x:v>
      </x:c>
      <x:c r="C1174" s="7" t="str">
        <x:v>PEA-B-X3</x:v>
      </x:c>
      <x:c r="D1174" s="7" t="str">
        <x:v>BLD-B</x:v>
      </x:c>
      <x:c r="E1174" s="7" t="str">
        <x:v>BL-X</x:v>
      </x:c>
      <x:c r="F1174" s="7" t="str">
        <x:v>MF-03</x:v>
      </x:c>
      <x:c r="G1174" s="7" t="str">
        <x:v>source pressure</x:v>
      </x:c>
      <x:c r="H1174" s="7" t="n">
        <x:v>4</x:v>
      </x:c>
      <x:c r="I1174" s="7" t="str"/>
      <x:c r="J1174" s="7" t="str"/>
      <x:c r="K1174" s="7" t="str"/>
      <x:c r="L1174" s="7" t="str"/>
      <x:c r="M1174" s="7" t="str"/>
      <x:c r="N1174" s="7" t="str"/>
      <x:c r="O1174" s="7" t="str">
        <x:f>IF(N1174="","OPEN",IF(OR(I1174="",J1174="",K1174="",L1174="",M1174=""),"FAIL","PASS"))</x:f>
        <x:v>OPEN</x:v>
      </x:c>
    </x:row>
    <x:row r="1175">
      <x:c r="B1175" s="7" t="str">
        <x:v>CH-PEA-B-X3-03-5</x:v>
      </x:c>
      <x:c r="C1175" s="7" t="str">
        <x:v>PEA-B-X3</x:v>
      </x:c>
      <x:c r="D1175" s="7" t="str">
        <x:v>BLD-B</x:v>
      </x:c>
      <x:c r="E1175" s="7" t="str">
        <x:v>BL-X</x:v>
      </x:c>
      <x:c r="F1175" s="7" t="str">
        <x:v>MF-03</x:v>
      </x:c>
      <x:c r="G1175" s="7" t="str">
        <x:v>source pressure</x:v>
      </x:c>
      <x:c r="H1175" s="7" t="n">
        <x:v>5</x:v>
      </x:c>
      <x:c r="I1175" s="7" t="str"/>
      <x:c r="J1175" s="7" t="str"/>
      <x:c r="K1175" s="7" t="str"/>
      <x:c r="L1175" s="7" t="str"/>
      <x:c r="M1175" s="7" t="str"/>
      <x:c r="N1175" s="7" t="str"/>
      <x:c r="O1175" s="7" t="str">
        <x:f>IF(N1175="","OPEN",IF(OR(I1175="",J1175="",K1175="",L1175="",M1175=""),"FAIL","PASS"))</x:f>
        <x:v>OPEN</x:v>
      </x:c>
    </x:row>
    <x:row r="1176">
      <x:c r="B1176" s="7" t="str">
        <x:v>CH-PEA-B-X3-03-6</x:v>
      </x:c>
      <x:c r="C1176" s="7" t="str">
        <x:v>PEA-B-X3</x:v>
      </x:c>
      <x:c r="D1176" s="7" t="str">
        <x:v>BLD-B</x:v>
      </x:c>
      <x:c r="E1176" s="7" t="str">
        <x:v>BL-X</x:v>
      </x:c>
      <x:c r="F1176" s="7" t="str">
        <x:v>MF-03</x:v>
      </x:c>
      <x:c r="G1176" s="7" t="str">
        <x:v>source pressure</x:v>
      </x:c>
      <x:c r="H1176" s="7" t="n">
        <x:v>6</x:v>
      </x:c>
      <x:c r="I1176" s="7" t="str"/>
      <x:c r="J1176" s="7" t="str"/>
      <x:c r="K1176" s="7" t="str"/>
      <x:c r="L1176" s="7" t="str"/>
      <x:c r="M1176" s="7" t="str"/>
      <x:c r="N1176" s="7" t="str"/>
      <x:c r="O1176" s="7" t="str">
        <x:f>IF(N1176="","OPEN",IF(OR(I1176="",J1176="",K1176="",L1176="",M1176=""),"FAIL","PASS"))</x:f>
        <x:v>OPEN</x:v>
      </x:c>
    </x:row>
    <x:row r="1177">
      <x:c r="B1177" s="7" t="str">
        <x:v>CH-PEA-B-X3-04-1</x:v>
      </x:c>
      <x:c r="C1177" s="7" t="str">
        <x:v>PEA-B-X3</x:v>
      </x:c>
      <x:c r="D1177" s="7" t="str">
        <x:v>BLD-B</x:v>
      </x:c>
      <x:c r="E1177" s="7" t="str">
        <x:v>BL-X</x:v>
      </x:c>
      <x:c r="F1177" s="7" t="str">
        <x:v>MF-04</x:v>
      </x:c>
      <x:c r="G1177" s="7" t="str">
        <x:v>source temperature</x:v>
      </x:c>
      <x:c r="H1177" s="7" t="n">
        <x:v>1</x:v>
      </x:c>
      <x:c r="I1177" s="7" t="str"/>
      <x:c r="J1177" s="7" t="str"/>
      <x:c r="K1177" s="7" t="str"/>
      <x:c r="L1177" s="7" t="str"/>
      <x:c r="M1177" s="7" t="str"/>
      <x:c r="N1177" s="7" t="str"/>
      <x:c r="O1177" s="7" t="str">
        <x:f>IF(N1177="","OPEN",IF(OR(I1177="",J1177="",K1177="",L1177="",M1177=""),"FAIL","PASS"))</x:f>
        <x:v>OPEN</x:v>
      </x:c>
    </x:row>
    <x:row r="1178">
      <x:c r="B1178" s="7" t="str">
        <x:v>CH-PEA-B-X3-04-2</x:v>
      </x:c>
      <x:c r="C1178" s="7" t="str">
        <x:v>PEA-B-X3</x:v>
      </x:c>
      <x:c r="D1178" s="7" t="str">
        <x:v>BLD-B</x:v>
      </x:c>
      <x:c r="E1178" s="7" t="str">
        <x:v>BL-X</x:v>
      </x:c>
      <x:c r="F1178" s="7" t="str">
        <x:v>MF-04</x:v>
      </x:c>
      <x:c r="G1178" s="7" t="str">
        <x:v>source temperature</x:v>
      </x:c>
      <x:c r="H1178" s="7" t="n">
        <x:v>2</x:v>
      </x:c>
      <x:c r="I1178" s="7" t="str"/>
      <x:c r="J1178" s="7" t="str"/>
      <x:c r="K1178" s="7" t="str"/>
      <x:c r="L1178" s="7" t="str"/>
      <x:c r="M1178" s="7" t="str"/>
      <x:c r="N1178" s="7" t="str"/>
      <x:c r="O1178" s="7" t="str">
        <x:f>IF(N1178="","OPEN",IF(OR(I1178="",J1178="",K1178="",L1178="",M1178=""),"FAIL","PASS"))</x:f>
        <x:v>OPEN</x:v>
      </x:c>
    </x:row>
    <x:row r="1179">
      <x:c r="B1179" s="7" t="str">
        <x:v>CH-PEA-B-X3-04-3</x:v>
      </x:c>
      <x:c r="C1179" s="7" t="str">
        <x:v>PEA-B-X3</x:v>
      </x:c>
      <x:c r="D1179" s="7" t="str">
        <x:v>BLD-B</x:v>
      </x:c>
      <x:c r="E1179" s="7" t="str">
        <x:v>BL-X</x:v>
      </x:c>
      <x:c r="F1179" s="7" t="str">
        <x:v>MF-04</x:v>
      </x:c>
      <x:c r="G1179" s="7" t="str">
        <x:v>source temperature</x:v>
      </x:c>
      <x:c r="H1179" s="7" t="n">
        <x:v>3</x:v>
      </x:c>
      <x:c r="I1179" s="7" t="str"/>
      <x:c r="J1179" s="7" t="str"/>
      <x:c r="K1179" s="7" t="str"/>
      <x:c r="L1179" s="7" t="str"/>
      <x:c r="M1179" s="7" t="str"/>
      <x:c r="N1179" s="7" t="str"/>
      <x:c r="O1179" s="7" t="str">
        <x:f>IF(N1179="","OPEN",IF(OR(I1179="",J1179="",K1179="",L1179="",M1179=""),"FAIL","PASS"))</x:f>
        <x:v>OPEN</x:v>
      </x:c>
    </x:row>
    <x:row r="1180">
      <x:c r="B1180" s="7" t="str">
        <x:v>CH-PEA-B-X3-04-4</x:v>
      </x:c>
      <x:c r="C1180" s="7" t="str">
        <x:v>PEA-B-X3</x:v>
      </x:c>
      <x:c r="D1180" s="7" t="str">
        <x:v>BLD-B</x:v>
      </x:c>
      <x:c r="E1180" s="7" t="str">
        <x:v>BL-X</x:v>
      </x:c>
      <x:c r="F1180" s="7" t="str">
        <x:v>MF-04</x:v>
      </x:c>
      <x:c r="G1180" s="7" t="str">
        <x:v>source temperature</x:v>
      </x:c>
      <x:c r="H1180" s="7" t="n">
        <x:v>4</x:v>
      </x:c>
      <x:c r="I1180" s="7" t="str"/>
      <x:c r="J1180" s="7" t="str"/>
      <x:c r="K1180" s="7" t="str"/>
      <x:c r="L1180" s="7" t="str"/>
      <x:c r="M1180" s="7" t="str"/>
      <x:c r="N1180" s="7" t="str"/>
      <x:c r="O1180" s="7" t="str">
        <x:f>IF(N1180="","OPEN",IF(OR(I1180="",J1180="",K1180="",L1180="",M1180=""),"FAIL","PASS"))</x:f>
        <x:v>OPEN</x:v>
      </x:c>
    </x:row>
    <x:row r="1181">
      <x:c r="B1181" s="7" t="str">
        <x:v>CH-PEA-B-X3-04-5</x:v>
      </x:c>
      <x:c r="C1181" s="7" t="str">
        <x:v>PEA-B-X3</x:v>
      </x:c>
      <x:c r="D1181" s="7" t="str">
        <x:v>BLD-B</x:v>
      </x:c>
      <x:c r="E1181" s="7" t="str">
        <x:v>BL-X</x:v>
      </x:c>
      <x:c r="F1181" s="7" t="str">
        <x:v>MF-04</x:v>
      </x:c>
      <x:c r="G1181" s="7" t="str">
        <x:v>source temperature</x:v>
      </x:c>
      <x:c r="H1181" s="7" t="n">
        <x:v>5</x:v>
      </x:c>
      <x:c r="I1181" s="7" t="str"/>
      <x:c r="J1181" s="7" t="str"/>
      <x:c r="K1181" s="7" t="str"/>
      <x:c r="L1181" s="7" t="str"/>
      <x:c r="M1181" s="7" t="str"/>
      <x:c r="N1181" s="7" t="str"/>
      <x:c r="O1181" s="7" t="str">
        <x:f>IF(N1181="","OPEN",IF(OR(I1181="",J1181="",K1181="",L1181="",M1181=""),"FAIL","PASS"))</x:f>
        <x:v>OPEN</x:v>
      </x:c>
    </x:row>
    <x:row r="1182">
      <x:c r="B1182" s="7" t="str">
        <x:v>CH-PEA-B-X3-04-6</x:v>
      </x:c>
      <x:c r="C1182" s="7" t="str">
        <x:v>PEA-B-X3</x:v>
      </x:c>
      <x:c r="D1182" s="7" t="str">
        <x:v>BLD-B</x:v>
      </x:c>
      <x:c r="E1182" s="7" t="str">
        <x:v>BL-X</x:v>
      </x:c>
      <x:c r="F1182" s="7" t="str">
        <x:v>MF-04</x:v>
      </x:c>
      <x:c r="G1182" s="7" t="str">
        <x:v>source temperature</x:v>
      </x:c>
      <x:c r="H1182" s="7" t="n">
        <x:v>6</x:v>
      </x:c>
      <x:c r="I1182" s="7" t="str"/>
      <x:c r="J1182" s="7" t="str"/>
      <x:c r="K1182" s="7" t="str"/>
      <x:c r="L1182" s="7" t="str"/>
      <x:c r="M1182" s="7" t="str"/>
      <x:c r="N1182" s="7" t="str"/>
      <x:c r="O1182" s="7" t="str">
        <x:f>IF(N1182="","OPEN",IF(OR(I1182="",J1182="",K1182="",L1182="",M1182=""),"FAIL","PASS"))</x:f>
        <x:v>OPEN</x:v>
      </x:c>
    </x:row>
    <x:row r="1183">
      <x:c r="B1183" s="7" t="str">
        <x:v>CH-PEA-B-X3-05-1</x:v>
      </x:c>
      <x:c r="C1183" s="7" t="str">
        <x:v>PEA-B-X3</x:v>
      </x:c>
      <x:c r="D1183" s="7" t="str">
        <x:v>BLD-B</x:v>
      </x:c>
      <x:c r="E1183" s="7" t="str">
        <x:v>BL-X</x:v>
      </x:c>
      <x:c r="F1183" s="7" t="str">
        <x:v>MF-05</x:v>
      </x:c>
      <x:c r="G1183" s="7" t="str">
        <x:v>hold-up tomography</x:v>
      </x:c>
      <x:c r="H1183" s="7" t="n">
        <x:v>1</x:v>
      </x:c>
      <x:c r="I1183" s="7" t="str"/>
      <x:c r="J1183" s="7" t="str"/>
      <x:c r="K1183" s="7" t="str"/>
      <x:c r="L1183" s="7" t="str"/>
      <x:c r="M1183" s="7" t="str"/>
      <x:c r="N1183" s="7" t="str"/>
      <x:c r="O1183" s="7" t="str">
        <x:f>IF(N1183="","OPEN",IF(OR(I1183="",J1183="",K1183="",L1183="",M1183=""),"FAIL","PASS"))</x:f>
        <x:v>OPEN</x:v>
      </x:c>
    </x:row>
    <x:row r="1184">
      <x:c r="B1184" s="7" t="str">
        <x:v>CH-PEA-B-X3-05-2</x:v>
      </x:c>
      <x:c r="C1184" s="7" t="str">
        <x:v>PEA-B-X3</x:v>
      </x:c>
      <x:c r="D1184" s="7" t="str">
        <x:v>BLD-B</x:v>
      </x:c>
      <x:c r="E1184" s="7" t="str">
        <x:v>BL-X</x:v>
      </x:c>
      <x:c r="F1184" s="7" t="str">
        <x:v>MF-05</x:v>
      </x:c>
      <x:c r="G1184" s="7" t="str">
        <x:v>hold-up tomography</x:v>
      </x:c>
      <x:c r="H1184" s="7" t="n">
        <x:v>2</x:v>
      </x:c>
      <x:c r="I1184" s="7" t="str"/>
      <x:c r="J1184" s="7" t="str"/>
      <x:c r="K1184" s="7" t="str"/>
      <x:c r="L1184" s="7" t="str"/>
      <x:c r="M1184" s="7" t="str"/>
      <x:c r="N1184" s="7" t="str"/>
      <x:c r="O1184" s="7" t="str">
        <x:f>IF(N1184="","OPEN",IF(OR(I1184="",J1184="",K1184="",L1184="",M1184=""),"FAIL","PASS"))</x:f>
        <x:v>OPEN</x:v>
      </x:c>
    </x:row>
    <x:row r="1185">
      <x:c r="B1185" s="7" t="str">
        <x:v>CH-PEA-B-X3-05-3</x:v>
      </x:c>
      <x:c r="C1185" s="7" t="str">
        <x:v>PEA-B-X3</x:v>
      </x:c>
      <x:c r="D1185" s="7" t="str">
        <x:v>BLD-B</x:v>
      </x:c>
      <x:c r="E1185" s="7" t="str">
        <x:v>BL-X</x:v>
      </x:c>
      <x:c r="F1185" s="7" t="str">
        <x:v>MF-05</x:v>
      </x:c>
      <x:c r="G1185" s="7" t="str">
        <x:v>hold-up tomography</x:v>
      </x:c>
      <x:c r="H1185" s="7" t="n">
        <x:v>3</x:v>
      </x:c>
      <x:c r="I1185" s="7" t="str"/>
      <x:c r="J1185" s="7" t="str"/>
      <x:c r="K1185" s="7" t="str"/>
      <x:c r="L1185" s="7" t="str"/>
      <x:c r="M1185" s="7" t="str"/>
      <x:c r="N1185" s="7" t="str"/>
      <x:c r="O1185" s="7" t="str">
        <x:f>IF(N1185="","OPEN",IF(OR(I1185="",J1185="",K1185="",L1185="",M1185=""),"FAIL","PASS"))</x:f>
        <x:v>OPEN</x:v>
      </x:c>
    </x:row>
    <x:row r="1186">
      <x:c r="B1186" s="7" t="str">
        <x:v>CH-PEA-B-X3-05-4</x:v>
      </x:c>
      <x:c r="C1186" s="7" t="str">
        <x:v>PEA-B-X3</x:v>
      </x:c>
      <x:c r="D1186" s="7" t="str">
        <x:v>BLD-B</x:v>
      </x:c>
      <x:c r="E1186" s="7" t="str">
        <x:v>BL-X</x:v>
      </x:c>
      <x:c r="F1186" s="7" t="str">
        <x:v>MF-05</x:v>
      </x:c>
      <x:c r="G1186" s="7" t="str">
        <x:v>hold-up tomography</x:v>
      </x:c>
      <x:c r="H1186" s="7" t="n">
        <x:v>4</x:v>
      </x:c>
      <x:c r="I1186" s="7" t="str"/>
      <x:c r="J1186" s="7" t="str"/>
      <x:c r="K1186" s="7" t="str"/>
      <x:c r="L1186" s="7" t="str"/>
      <x:c r="M1186" s="7" t="str"/>
      <x:c r="N1186" s="7" t="str"/>
      <x:c r="O1186" s="7" t="str">
        <x:f>IF(N1186="","OPEN",IF(OR(I1186="",J1186="",K1186="",L1186="",M1186=""),"FAIL","PASS"))</x:f>
        <x:v>OPEN</x:v>
      </x:c>
    </x:row>
    <x:row r="1187">
      <x:c r="B1187" s="7" t="str">
        <x:v>CH-PEA-B-X3-05-5</x:v>
      </x:c>
      <x:c r="C1187" s="7" t="str">
        <x:v>PEA-B-X3</x:v>
      </x:c>
      <x:c r="D1187" s="7" t="str">
        <x:v>BLD-B</x:v>
      </x:c>
      <x:c r="E1187" s="7" t="str">
        <x:v>BL-X</x:v>
      </x:c>
      <x:c r="F1187" s="7" t="str">
        <x:v>MF-05</x:v>
      </x:c>
      <x:c r="G1187" s="7" t="str">
        <x:v>hold-up tomography</x:v>
      </x:c>
      <x:c r="H1187" s="7" t="n">
        <x:v>5</x:v>
      </x:c>
      <x:c r="I1187" s="7" t="str"/>
      <x:c r="J1187" s="7" t="str"/>
      <x:c r="K1187" s="7" t="str"/>
      <x:c r="L1187" s="7" t="str"/>
      <x:c r="M1187" s="7" t="str"/>
      <x:c r="N1187" s="7" t="str"/>
      <x:c r="O1187" s="7" t="str">
        <x:f>IF(N1187="","OPEN",IF(OR(I1187="",J1187="",K1187="",L1187="",M1187=""),"FAIL","PASS"))</x:f>
        <x:v>OPEN</x:v>
      </x:c>
    </x:row>
    <x:row r="1188">
      <x:c r="B1188" s="7" t="str">
        <x:v>CH-PEA-B-X3-05-6</x:v>
      </x:c>
      <x:c r="C1188" s="7" t="str">
        <x:v>PEA-B-X3</x:v>
      </x:c>
      <x:c r="D1188" s="7" t="str">
        <x:v>BLD-B</x:v>
      </x:c>
      <x:c r="E1188" s="7" t="str">
        <x:v>BL-X</x:v>
      </x:c>
      <x:c r="F1188" s="7" t="str">
        <x:v>MF-05</x:v>
      </x:c>
      <x:c r="G1188" s="7" t="str">
        <x:v>hold-up tomography</x:v>
      </x:c>
      <x:c r="H1188" s="7" t="n">
        <x:v>6</x:v>
      </x:c>
      <x:c r="I1188" s="7" t="str"/>
      <x:c r="J1188" s="7" t="str"/>
      <x:c r="K1188" s="7" t="str"/>
      <x:c r="L1188" s="7" t="str"/>
      <x:c r="M1188" s="7" t="str"/>
      <x:c r="N1188" s="7" t="str"/>
      <x:c r="O1188" s="7" t="str">
        <x:f>IF(N1188="","OPEN",IF(OR(I1188="",J1188="",K1188="",L1188="",M1188=""),"FAIL","PASS"))</x:f>
        <x:v>OPEN</x:v>
      </x:c>
    </x:row>
    <x:row r="1189">
      <x:c r="B1189" s="7" t="str">
        <x:v>CH-PEA-B-X3-06-1</x:v>
      </x:c>
      <x:c r="C1189" s="7" t="str">
        <x:v>PEA-B-X3</x:v>
      </x:c>
      <x:c r="D1189" s="7" t="str">
        <x:v>BLD-B</x:v>
      </x:c>
      <x:c r="E1189" s="7" t="str">
        <x:v>BL-X</x:v>
      </x:c>
      <x:c r="F1189" s="7" t="str">
        <x:v>MF-06</x:v>
      </x:c>
      <x:c r="G1189" s="7" t="str">
        <x:v>pan level</x:v>
      </x:c>
      <x:c r="H1189" s="7" t="n">
        <x:v>1</x:v>
      </x:c>
      <x:c r="I1189" s="7" t="str"/>
      <x:c r="J1189" s="7" t="str"/>
      <x:c r="K1189" s="7" t="str"/>
      <x:c r="L1189" s="7" t="str"/>
      <x:c r="M1189" s="7" t="str"/>
      <x:c r="N1189" s="7" t="str"/>
      <x:c r="O1189" s="7" t="str">
        <x:f>IF(N1189="","OPEN",IF(OR(I1189="",J1189="",K1189="",L1189="",M1189=""),"FAIL","PASS"))</x:f>
        <x:v>OPEN</x:v>
      </x:c>
    </x:row>
    <x:row r="1190">
      <x:c r="B1190" s="7" t="str">
        <x:v>CH-PEA-B-X3-06-2</x:v>
      </x:c>
      <x:c r="C1190" s="7" t="str">
        <x:v>PEA-B-X3</x:v>
      </x:c>
      <x:c r="D1190" s="7" t="str">
        <x:v>BLD-B</x:v>
      </x:c>
      <x:c r="E1190" s="7" t="str">
        <x:v>BL-X</x:v>
      </x:c>
      <x:c r="F1190" s="7" t="str">
        <x:v>MF-06</x:v>
      </x:c>
      <x:c r="G1190" s="7" t="str">
        <x:v>pan level</x:v>
      </x:c>
      <x:c r="H1190" s="7" t="n">
        <x:v>2</x:v>
      </x:c>
      <x:c r="I1190" s="7" t="str"/>
      <x:c r="J1190" s="7" t="str"/>
      <x:c r="K1190" s="7" t="str"/>
      <x:c r="L1190" s="7" t="str"/>
      <x:c r="M1190" s="7" t="str"/>
      <x:c r="N1190" s="7" t="str"/>
      <x:c r="O1190" s="7" t="str">
        <x:f>IF(N1190="","OPEN",IF(OR(I1190="",J1190="",K1190="",L1190="",M1190=""),"FAIL","PASS"))</x:f>
        <x:v>OPEN</x:v>
      </x:c>
    </x:row>
    <x:row r="1191">
      <x:c r="B1191" s="7" t="str">
        <x:v>CH-PEA-B-X3-06-3</x:v>
      </x:c>
      <x:c r="C1191" s="7" t="str">
        <x:v>PEA-B-X3</x:v>
      </x:c>
      <x:c r="D1191" s="7" t="str">
        <x:v>BLD-B</x:v>
      </x:c>
      <x:c r="E1191" s="7" t="str">
        <x:v>BL-X</x:v>
      </x:c>
      <x:c r="F1191" s="7" t="str">
        <x:v>MF-06</x:v>
      </x:c>
      <x:c r="G1191" s="7" t="str">
        <x:v>pan level</x:v>
      </x:c>
      <x:c r="H1191" s="7" t="n">
        <x:v>3</x:v>
      </x:c>
      <x:c r="I1191" s="7" t="str"/>
      <x:c r="J1191" s="7" t="str"/>
      <x:c r="K1191" s="7" t="str"/>
      <x:c r="L1191" s="7" t="str"/>
      <x:c r="M1191" s="7" t="str"/>
      <x:c r="N1191" s="7" t="str"/>
      <x:c r="O1191" s="7" t="str">
        <x:f>IF(N1191="","OPEN",IF(OR(I1191="",J1191="",K1191="",L1191="",M1191=""),"FAIL","PASS"))</x:f>
        <x:v>OPEN</x:v>
      </x:c>
    </x:row>
    <x:row r="1192">
      <x:c r="B1192" s="7" t="str">
        <x:v>CH-PEA-B-X3-06-4</x:v>
      </x:c>
      <x:c r="C1192" s="7" t="str">
        <x:v>PEA-B-X3</x:v>
      </x:c>
      <x:c r="D1192" s="7" t="str">
        <x:v>BLD-B</x:v>
      </x:c>
      <x:c r="E1192" s="7" t="str">
        <x:v>BL-X</x:v>
      </x:c>
      <x:c r="F1192" s="7" t="str">
        <x:v>MF-06</x:v>
      </x:c>
      <x:c r="G1192" s="7" t="str">
        <x:v>pan level</x:v>
      </x:c>
      <x:c r="H1192" s="7" t="n">
        <x:v>4</x:v>
      </x:c>
      <x:c r="I1192" s="7" t="str"/>
      <x:c r="J1192" s="7" t="str"/>
      <x:c r="K1192" s="7" t="str"/>
      <x:c r="L1192" s="7" t="str"/>
      <x:c r="M1192" s="7" t="str"/>
      <x:c r="N1192" s="7" t="str"/>
      <x:c r="O1192" s="7" t="str">
        <x:f>IF(N1192="","OPEN",IF(OR(I1192="",J1192="",K1192="",L1192="",M1192=""),"FAIL","PASS"))</x:f>
        <x:v>OPEN</x:v>
      </x:c>
    </x:row>
    <x:row r="1193">
      <x:c r="B1193" s="7" t="str">
        <x:v>CH-PEA-B-X3-06-5</x:v>
      </x:c>
      <x:c r="C1193" s="7" t="str">
        <x:v>PEA-B-X3</x:v>
      </x:c>
      <x:c r="D1193" s="7" t="str">
        <x:v>BLD-B</x:v>
      </x:c>
      <x:c r="E1193" s="7" t="str">
        <x:v>BL-X</x:v>
      </x:c>
      <x:c r="F1193" s="7" t="str">
        <x:v>MF-06</x:v>
      </x:c>
      <x:c r="G1193" s="7" t="str">
        <x:v>pan level</x:v>
      </x:c>
      <x:c r="H1193" s="7" t="n">
        <x:v>5</x:v>
      </x:c>
      <x:c r="I1193" s="7" t="str"/>
      <x:c r="J1193" s="7" t="str"/>
      <x:c r="K1193" s="7" t="str"/>
      <x:c r="L1193" s="7" t="str"/>
      <x:c r="M1193" s="7" t="str"/>
      <x:c r="N1193" s="7" t="str"/>
      <x:c r="O1193" s="7" t="str">
        <x:f>IF(N1193="","OPEN",IF(OR(I1193="",J1193="",K1193="",L1193="",M1193=""),"FAIL","PASS"))</x:f>
        <x:v>OPEN</x:v>
      </x:c>
    </x:row>
    <x:row r="1194">
      <x:c r="B1194" s="7" t="str">
        <x:v>CH-PEA-B-X3-06-6</x:v>
      </x:c>
      <x:c r="C1194" s="7" t="str">
        <x:v>PEA-B-X3</x:v>
      </x:c>
      <x:c r="D1194" s="7" t="str">
        <x:v>BLD-B</x:v>
      </x:c>
      <x:c r="E1194" s="7" t="str">
        <x:v>BL-X</x:v>
      </x:c>
      <x:c r="F1194" s="7" t="str">
        <x:v>MF-06</x:v>
      </x:c>
      <x:c r="G1194" s="7" t="str">
        <x:v>pan level</x:v>
      </x:c>
      <x:c r="H1194" s="7" t="n">
        <x:v>6</x:v>
      </x:c>
      <x:c r="I1194" s="7" t="str"/>
      <x:c r="J1194" s="7" t="str"/>
      <x:c r="K1194" s="7" t="str"/>
      <x:c r="L1194" s="7" t="str"/>
      <x:c r="M1194" s="7" t="str"/>
      <x:c r="N1194" s="7" t="str"/>
      <x:c r="O1194" s="7" t="str">
        <x:f>IF(N1194="","OPEN",IF(OR(I1194="",J1194="",K1194="",L1194="",M1194=""),"FAIL","PASS"))</x:f>
        <x:v>OPEN</x:v>
      </x:c>
    </x:row>
    <x:row r="1195">
      <x:c r="B1195" s="7" t="str">
        <x:v>CH-PEA-B-X3-07-1</x:v>
      </x:c>
      <x:c r="C1195" s="7" t="str">
        <x:v>PEA-B-X3</x:v>
      </x:c>
      <x:c r="D1195" s="7" t="str">
        <x:v>BLD-B</x:v>
      </x:c>
      <x:c r="E1195" s="7" t="str">
        <x:v>BL-X</x:v>
      </x:c>
      <x:c r="F1195" s="7" t="str">
        <x:v>MF-07</x:v>
      </x:c>
      <x:c r="G1195" s="7" t="str">
        <x:v>normal receiver mass</x:v>
      </x:c>
      <x:c r="H1195" s="7" t="n">
        <x:v>1</x:v>
      </x:c>
      <x:c r="I1195" s="7" t="str"/>
      <x:c r="J1195" s="7" t="str"/>
      <x:c r="K1195" s="7" t="str"/>
      <x:c r="L1195" s="7" t="str"/>
      <x:c r="M1195" s="7" t="str"/>
      <x:c r="N1195" s="7" t="str"/>
      <x:c r="O1195" s="7" t="str">
        <x:f>IF(N1195="","OPEN",IF(OR(I1195="",J1195="",K1195="",L1195="",M1195=""),"FAIL","PASS"))</x:f>
        <x:v>OPEN</x:v>
      </x:c>
    </x:row>
    <x:row r="1196">
      <x:c r="B1196" s="7" t="str">
        <x:v>CH-PEA-B-X3-07-2</x:v>
      </x:c>
      <x:c r="C1196" s="7" t="str">
        <x:v>PEA-B-X3</x:v>
      </x:c>
      <x:c r="D1196" s="7" t="str">
        <x:v>BLD-B</x:v>
      </x:c>
      <x:c r="E1196" s="7" t="str">
        <x:v>BL-X</x:v>
      </x:c>
      <x:c r="F1196" s="7" t="str">
        <x:v>MF-07</x:v>
      </x:c>
      <x:c r="G1196" s="7" t="str">
        <x:v>normal receiver mass</x:v>
      </x:c>
      <x:c r="H1196" s="7" t="n">
        <x:v>2</x:v>
      </x:c>
      <x:c r="I1196" s="7" t="str"/>
      <x:c r="J1196" s="7" t="str"/>
      <x:c r="K1196" s="7" t="str"/>
      <x:c r="L1196" s="7" t="str"/>
      <x:c r="M1196" s="7" t="str"/>
      <x:c r="N1196" s="7" t="str"/>
      <x:c r="O1196" s="7" t="str">
        <x:f>IF(N1196="","OPEN",IF(OR(I1196="",J1196="",K1196="",L1196="",M1196=""),"FAIL","PASS"))</x:f>
        <x:v>OPEN</x:v>
      </x:c>
    </x:row>
    <x:row r="1197">
      <x:c r="B1197" s="7" t="str">
        <x:v>CH-PEA-B-X3-07-3</x:v>
      </x:c>
      <x:c r="C1197" s="7" t="str">
        <x:v>PEA-B-X3</x:v>
      </x:c>
      <x:c r="D1197" s="7" t="str">
        <x:v>BLD-B</x:v>
      </x:c>
      <x:c r="E1197" s="7" t="str">
        <x:v>BL-X</x:v>
      </x:c>
      <x:c r="F1197" s="7" t="str">
        <x:v>MF-07</x:v>
      </x:c>
      <x:c r="G1197" s="7" t="str">
        <x:v>normal receiver mass</x:v>
      </x:c>
      <x:c r="H1197" s="7" t="n">
        <x:v>3</x:v>
      </x:c>
      <x:c r="I1197" s="7" t="str"/>
      <x:c r="J1197" s="7" t="str"/>
      <x:c r="K1197" s="7" t="str"/>
      <x:c r="L1197" s="7" t="str"/>
      <x:c r="M1197" s="7" t="str"/>
      <x:c r="N1197" s="7" t="str"/>
      <x:c r="O1197" s="7" t="str">
        <x:f>IF(N1197="","OPEN",IF(OR(I1197="",J1197="",K1197="",L1197="",M1197=""),"FAIL","PASS"))</x:f>
        <x:v>OPEN</x:v>
      </x:c>
    </x:row>
    <x:row r="1198">
      <x:c r="B1198" s="7" t="str">
        <x:v>CH-PEA-B-X3-07-4</x:v>
      </x:c>
      <x:c r="C1198" s="7" t="str">
        <x:v>PEA-B-X3</x:v>
      </x:c>
      <x:c r="D1198" s="7" t="str">
        <x:v>BLD-B</x:v>
      </x:c>
      <x:c r="E1198" s="7" t="str">
        <x:v>BL-X</x:v>
      </x:c>
      <x:c r="F1198" s="7" t="str">
        <x:v>MF-07</x:v>
      </x:c>
      <x:c r="G1198" s="7" t="str">
        <x:v>normal receiver mass</x:v>
      </x:c>
      <x:c r="H1198" s="7" t="n">
        <x:v>4</x:v>
      </x:c>
      <x:c r="I1198" s="7" t="str"/>
      <x:c r="J1198" s="7" t="str"/>
      <x:c r="K1198" s="7" t="str"/>
      <x:c r="L1198" s="7" t="str"/>
      <x:c r="M1198" s="7" t="str"/>
      <x:c r="N1198" s="7" t="str"/>
      <x:c r="O1198" s="7" t="str">
        <x:f>IF(N1198="","OPEN",IF(OR(I1198="",J1198="",K1198="",L1198="",M1198=""),"FAIL","PASS"))</x:f>
        <x:v>OPEN</x:v>
      </x:c>
    </x:row>
    <x:row r="1199">
      <x:c r="B1199" s="7" t="str">
        <x:v>CH-PEA-B-X3-07-5</x:v>
      </x:c>
      <x:c r="C1199" s="7" t="str">
        <x:v>PEA-B-X3</x:v>
      </x:c>
      <x:c r="D1199" s="7" t="str">
        <x:v>BLD-B</x:v>
      </x:c>
      <x:c r="E1199" s="7" t="str">
        <x:v>BL-X</x:v>
      </x:c>
      <x:c r="F1199" s="7" t="str">
        <x:v>MF-07</x:v>
      </x:c>
      <x:c r="G1199" s="7" t="str">
        <x:v>normal receiver mass</x:v>
      </x:c>
      <x:c r="H1199" s="7" t="n">
        <x:v>5</x:v>
      </x:c>
      <x:c r="I1199" s="7" t="str"/>
      <x:c r="J1199" s="7" t="str"/>
      <x:c r="K1199" s="7" t="str"/>
      <x:c r="L1199" s="7" t="str"/>
      <x:c r="M1199" s="7" t="str"/>
      <x:c r="N1199" s="7" t="str"/>
      <x:c r="O1199" s="7" t="str">
        <x:f>IF(N1199="","OPEN",IF(OR(I1199="",J1199="",K1199="",L1199="",M1199=""),"FAIL","PASS"))</x:f>
        <x:v>OPEN</x:v>
      </x:c>
    </x:row>
    <x:row r="1200">
      <x:c r="B1200" s="7" t="str">
        <x:v>CH-PEA-B-X3-07-6</x:v>
      </x:c>
      <x:c r="C1200" s="7" t="str">
        <x:v>PEA-B-X3</x:v>
      </x:c>
      <x:c r="D1200" s="7" t="str">
        <x:v>BLD-B</x:v>
      </x:c>
      <x:c r="E1200" s="7" t="str">
        <x:v>BL-X</x:v>
      </x:c>
      <x:c r="F1200" s="7" t="str">
        <x:v>MF-07</x:v>
      </x:c>
      <x:c r="G1200" s="7" t="str">
        <x:v>normal receiver mass</x:v>
      </x:c>
      <x:c r="H1200" s="7" t="n">
        <x:v>6</x:v>
      </x:c>
      <x:c r="I1200" s="7" t="str"/>
      <x:c r="J1200" s="7" t="str"/>
      <x:c r="K1200" s="7" t="str"/>
      <x:c r="L1200" s="7" t="str"/>
      <x:c r="M1200" s="7" t="str"/>
      <x:c r="N1200" s="7" t="str"/>
      <x:c r="O1200" s="7" t="str">
        <x:f>IF(N1200="","OPEN",IF(OR(I1200="",J1200="",K1200="",L1200="",M1200=""),"FAIL","PASS"))</x:f>
        <x:v>OPEN</x:v>
      </x:c>
    </x:row>
    <x:row r="1201">
      <x:c r="B1201" s="7" t="str">
        <x:v>CH-PEA-B-X3-08-1</x:v>
      </x:c>
      <x:c r="C1201" s="7" t="str">
        <x:v>PEA-B-X3</x:v>
      </x:c>
      <x:c r="D1201" s="7" t="str">
        <x:v>BLD-B</x:v>
      </x:c>
      <x:c r="E1201" s="7" t="str">
        <x:v>BL-X</x:v>
      </x:c>
      <x:c r="F1201" s="7" t="str">
        <x:v>MF-08</x:v>
      </x:c>
      <x:c r="G1201" s="7" t="str">
        <x:v>casualty receiver mass</x:v>
      </x:c>
      <x:c r="H1201" s="7" t="n">
        <x:v>1</x:v>
      </x:c>
      <x:c r="I1201" s="7" t="str"/>
      <x:c r="J1201" s="7" t="str"/>
      <x:c r="K1201" s="7" t="str"/>
      <x:c r="L1201" s="7" t="str"/>
      <x:c r="M1201" s="7" t="str"/>
      <x:c r="N1201" s="7" t="str"/>
      <x:c r="O1201" s="7" t="str">
        <x:f>IF(N1201="","OPEN",IF(OR(I1201="",J1201="",K1201="",L1201="",M1201=""),"FAIL","PASS"))</x:f>
        <x:v>OPEN</x:v>
      </x:c>
    </x:row>
    <x:row r="1202">
      <x:c r="B1202" s="7" t="str">
        <x:v>CH-PEA-B-X3-08-2</x:v>
      </x:c>
      <x:c r="C1202" s="7" t="str">
        <x:v>PEA-B-X3</x:v>
      </x:c>
      <x:c r="D1202" s="7" t="str">
        <x:v>BLD-B</x:v>
      </x:c>
      <x:c r="E1202" s="7" t="str">
        <x:v>BL-X</x:v>
      </x:c>
      <x:c r="F1202" s="7" t="str">
        <x:v>MF-08</x:v>
      </x:c>
      <x:c r="G1202" s="7" t="str">
        <x:v>casualty receiver mass</x:v>
      </x:c>
      <x:c r="H1202" s="7" t="n">
        <x:v>2</x:v>
      </x:c>
      <x:c r="I1202" s="7" t="str"/>
      <x:c r="J1202" s="7" t="str"/>
      <x:c r="K1202" s="7" t="str"/>
      <x:c r="L1202" s="7" t="str"/>
      <x:c r="M1202" s="7" t="str"/>
      <x:c r="N1202" s="7" t="str"/>
      <x:c r="O1202" s="7" t="str">
        <x:f>IF(N1202="","OPEN",IF(OR(I1202="",J1202="",K1202="",L1202="",M1202=""),"FAIL","PASS"))</x:f>
        <x:v>OPEN</x:v>
      </x:c>
    </x:row>
    <x:row r="1203">
      <x:c r="B1203" s="7" t="str">
        <x:v>CH-PEA-B-X3-08-3</x:v>
      </x:c>
      <x:c r="C1203" s="7" t="str">
        <x:v>PEA-B-X3</x:v>
      </x:c>
      <x:c r="D1203" s="7" t="str">
        <x:v>BLD-B</x:v>
      </x:c>
      <x:c r="E1203" s="7" t="str">
        <x:v>BL-X</x:v>
      </x:c>
      <x:c r="F1203" s="7" t="str">
        <x:v>MF-08</x:v>
      </x:c>
      <x:c r="G1203" s="7" t="str">
        <x:v>casualty receiver mass</x:v>
      </x:c>
      <x:c r="H1203" s="7" t="n">
        <x:v>3</x:v>
      </x:c>
      <x:c r="I1203" s="7" t="str"/>
      <x:c r="J1203" s="7" t="str"/>
      <x:c r="K1203" s="7" t="str"/>
      <x:c r="L1203" s="7" t="str"/>
      <x:c r="M1203" s="7" t="str"/>
      <x:c r="N1203" s="7" t="str"/>
      <x:c r="O1203" s="7" t="str">
        <x:f>IF(N1203="","OPEN",IF(OR(I1203="",J1203="",K1203="",L1203="",M1203=""),"FAIL","PASS"))</x:f>
        <x:v>OPEN</x:v>
      </x:c>
    </x:row>
    <x:row r="1204">
      <x:c r="B1204" s="7" t="str">
        <x:v>CH-PEA-B-X3-08-4</x:v>
      </x:c>
      <x:c r="C1204" s="7" t="str">
        <x:v>PEA-B-X3</x:v>
      </x:c>
      <x:c r="D1204" s="7" t="str">
        <x:v>BLD-B</x:v>
      </x:c>
      <x:c r="E1204" s="7" t="str">
        <x:v>BL-X</x:v>
      </x:c>
      <x:c r="F1204" s="7" t="str">
        <x:v>MF-08</x:v>
      </x:c>
      <x:c r="G1204" s="7" t="str">
        <x:v>casualty receiver mass</x:v>
      </x:c>
      <x:c r="H1204" s="7" t="n">
        <x:v>4</x:v>
      </x:c>
      <x:c r="I1204" s="7" t="str"/>
      <x:c r="J1204" s="7" t="str"/>
      <x:c r="K1204" s="7" t="str"/>
      <x:c r="L1204" s="7" t="str"/>
      <x:c r="M1204" s="7" t="str"/>
      <x:c r="N1204" s="7" t="str"/>
      <x:c r="O1204" s="7" t="str">
        <x:f>IF(N1204="","OPEN",IF(OR(I1204="",J1204="",K1204="",L1204="",M1204=""),"FAIL","PASS"))</x:f>
        <x:v>OPEN</x:v>
      </x:c>
    </x:row>
    <x:row r="1205">
      <x:c r="B1205" s="7" t="str">
        <x:v>CH-PEA-B-X3-08-5</x:v>
      </x:c>
      <x:c r="C1205" s="7" t="str">
        <x:v>PEA-B-X3</x:v>
      </x:c>
      <x:c r="D1205" s="7" t="str">
        <x:v>BLD-B</x:v>
      </x:c>
      <x:c r="E1205" s="7" t="str">
        <x:v>BL-X</x:v>
      </x:c>
      <x:c r="F1205" s="7" t="str">
        <x:v>MF-08</x:v>
      </x:c>
      <x:c r="G1205" s="7" t="str">
        <x:v>casualty receiver mass</x:v>
      </x:c>
      <x:c r="H1205" s="7" t="n">
        <x:v>5</x:v>
      </x:c>
      <x:c r="I1205" s="7" t="str"/>
      <x:c r="J1205" s="7" t="str"/>
      <x:c r="K1205" s="7" t="str"/>
      <x:c r="L1205" s="7" t="str"/>
      <x:c r="M1205" s="7" t="str"/>
      <x:c r="N1205" s="7" t="str"/>
      <x:c r="O1205" s="7" t="str">
        <x:f>IF(N1205="","OPEN",IF(OR(I1205="",J1205="",K1205="",L1205="",M1205=""),"FAIL","PASS"))</x:f>
        <x:v>OPEN</x:v>
      </x:c>
    </x:row>
    <x:row r="1206">
      <x:c r="B1206" s="7" t="str">
        <x:v>CH-PEA-B-X3-08-6</x:v>
      </x:c>
      <x:c r="C1206" s="7" t="str">
        <x:v>PEA-B-X3</x:v>
      </x:c>
      <x:c r="D1206" s="7" t="str">
        <x:v>BLD-B</x:v>
      </x:c>
      <x:c r="E1206" s="7" t="str">
        <x:v>BL-X</x:v>
      </x:c>
      <x:c r="F1206" s="7" t="str">
        <x:v>MF-08</x:v>
      </x:c>
      <x:c r="G1206" s="7" t="str">
        <x:v>casualty receiver mass</x:v>
      </x:c>
      <x:c r="H1206" s="7" t="n">
        <x:v>6</x:v>
      </x:c>
      <x:c r="I1206" s="7" t="str"/>
      <x:c r="J1206" s="7" t="str"/>
      <x:c r="K1206" s="7" t="str"/>
      <x:c r="L1206" s="7" t="str"/>
      <x:c r="M1206" s="7" t="str"/>
      <x:c r="N1206" s="7" t="str"/>
      <x:c r="O1206" s="7" t="str">
        <x:f>IF(N1206="","OPEN",IF(OR(I1206="",J1206="",K1206="",L1206="",M1206=""),"FAIL","PASS"))</x:f>
        <x:v>OPEN</x:v>
      </x:c>
    </x:row>
    <x:row r="1207">
      <x:c r="B1207" s="7" t="str">
        <x:v>CH-PEA-B-X3-09-1</x:v>
      </x:c>
      <x:c r="C1207" s="7" t="str">
        <x:v>PEA-B-X3</x:v>
      </x:c>
      <x:c r="D1207" s="7" t="str">
        <x:v>BLD-B</x:v>
      </x:c>
      <x:c r="E1207" s="7" t="str">
        <x:v>BL-X</x:v>
      </x:c>
      <x:c r="F1207" s="7" t="str">
        <x:v>MF-09</x:v>
      </x:c>
      <x:c r="G1207" s="7" t="str">
        <x:v>geometry and slope</x:v>
      </x:c>
      <x:c r="H1207" s="7" t="n">
        <x:v>1</x:v>
      </x:c>
      <x:c r="I1207" s="7" t="str"/>
      <x:c r="J1207" s="7" t="str"/>
      <x:c r="K1207" s="7" t="str"/>
      <x:c r="L1207" s="7" t="str"/>
      <x:c r="M1207" s="7" t="str"/>
      <x:c r="N1207" s="7" t="str"/>
      <x:c r="O1207" s="7" t="str">
        <x:f>IF(N1207="","OPEN",IF(OR(I1207="",J1207="",K1207="",L1207="",M1207=""),"FAIL","PASS"))</x:f>
        <x:v>OPEN</x:v>
      </x:c>
    </x:row>
    <x:row r="1208">
      <x:c r="B1208" s="7" t="str">
        <x:v>CH-PEA-B-X3-09-2</x:v>
      </x:c>
      <x:c r="C1208" s="7" t="str">
        <x:v>PEA-B-X3</x:v>
      </x:c>
      <x:c r="D1208" s="7" t="str">
        <x:v>BLD-B</x:v>
      </x:c>
      <x:c r="E1208" s="7" t="str">
        <x:v>BL-X</x:v>
      </x:c>
      <x:c r="F1208" s="7" t="str">
        <x:v>MF-09</x:v>
      </x:c>
      <x:c r="G1208" s="7" t="str">
        <x:v>geometry and slope</x:v>
      </x:c>
      <x:c r="H1208" s="7" t="n">
        <x:v>2</x:v>
      </x:c>
      <x:c r="I1208" s="7" t="str"/>
      <x:c r="J1208" s="7" t="str"/>
      <x:c r="K1208" s="7" t="str"/>
      <x:c r="L1208" s="7" t="str"/>
      <x:c r="M1208" s="7" t="str"/>
      <x:c r="N1208" s="7" t="str"/>
      <x:c r="O1208" s="7" t="str">
        <x:f>IF(N1208="","OPEN",IF(OR(I1208="",J1208="",K1208="",L1208="",M1208=""),"FAIL","PASS"))</x:f>
        <x:v>OPEN</x:v>
      </x:c>
    </x:row>
    <x:row r="1209">
      <x:c r="B1209" s="7" t="str">
        <x:v>CH-PEA-B-X3-09-3</x:v>
      </x:c>
      <x:c r="C1209" s="7" t="str">
        <x:v>PEA-B-X3</x:v>
      </x:c>
      <x:c r="D1209" s="7" t="str">
        <x:v>BLD-B</x:v>
      </x:c>
      <x:c r="E1209" s="7" t="str">
        <x:v>BL-X</x:v>
      </x:c>
      <x:c r="F1209" s="7" t="str">
        <x:v>MF-09</x:v>
      </x:c>
      <x:c r="G1209" s="7" t="str">
        <x:v>geometry and slope</x:v>
      </x:c>
      <x:c r="H1209" s="7" t="n">
        <x:v>3</x:v>
      </x:c>
      <x:c r="I1209" s="7" t="str"/>
      <x:c r="J1209" s="7" t="str"/>
      <x:c r="K1209" s="7" t="str"/>
      <x:c r="L1209" s="7" t="str"/>
      <x:c r="M1209" s="7" t="str"/>
      <x:c r="N1209" s="7" t="str"/>
      <x:c r="O1209" s="7" t="str">
        <x:f>IF(N1209="","OPEN",IF(OR(I1209="",J1209="",K1209="",L1209="",M1209=""),"FAIL","PASS"))</x:f>
        <x:v>OPEN</x:v>
      </x:c>
    </x:row>
    <x:row r="1210">
      <x:c r="B1210" s="7" t="str">
        <x:v>CH-PEA-B-X3-09-4</x:v>
      </x:c>
      <x:c r="C1210" s="7" t="str">
        <x:v>PEA-B-X3</x:v>
      </x:c>
      <x:c r="D1210" s="7" t="str">
        <x:v>BLD-B</x:v>
      </x:c>
      <x:c r="E1210" s="7" t="str">
        <x:v>BL-X</x:v>
      </x:c>
      <x:c r="F1210" s="7" t="str">
        <x:v>MF-09</x:v>
      </x:c>
      <x:c r="G1210" s="7" t="str">
        <x:v>geometry and slope</x:v>
      </x:c>
      <x:c r="H1210" s="7" t="n">
        <x:v>4</x:v>
      </x:c>
      <x:c r="I1210" s="7" t="str"/>
      <x:c r="J1210" s="7" t="str"/>
      <x:c r="K1210" s="7" t="str"/>
      <x:c r="L1210" s="7" t="str"/>
      <x:c r="M1210" s="7" t="str"/>
      <x:c r="N1210" s="7" t="str"/>
      <x:c r="O1210" s="7" t="str">
        <x:f>IF(N1210="","OPEN",IF(OR(I1210="",J1210="",K1210="",L1210="",M1210=""),"FAIL","PASS"))</x:f>
        <x:v>OPEN</x:v>
      </x:c>
    </x:row>
    <x:row r="1211">
      <x:c r="B1211" s="7" t="str">
        <x:v>CH-PEA-B-X3-09-5</x:v>
      </x:c>
      <x:c r="C1211" s="7" t="str">
        <x:v>PEA-B-X3</x:v>
      </x:c>
      <x:c r="D1211" s="7" t="str">
        <x:v>BLD-B</x:v>
      </x:c>
      <x:c r="E1211" s="7" t="str">
        <x:v>BL-X</x:v>
      </x:c>
      <x:c r="F1211" s="7" t="str">
        <x:v>MF-09</x:v>
      </x:c>
      <x:c r="G1211" s="7" t="str">
        <x:v>geometry and slope</x:v>
      </x:c>
      <x:c r="H1211" s="7" t="n">
        <x:v>5</x:v>
      </x:c>
      <x:c r="I1211" s="7" t="str"/>
      <x:c r="J1211" s="7" t="str"/>
      <x:c r="K1211" s="7" t="str"/>
      <x:c r="L1211" s="7" t="str"/>
      <x:c r="M1211" s="7" t="str"/>
      <x:c r="N1211" s="7" t="str"/>
      <x:c r="O1211" s="7" t="str">
        <x:f>IF(N1211="","OPEN",IF(OR(I1211="",J1211="",K1211="",L1211="",M1211=""),"FAIL","PASS"))</x:f>
        <x:v>OPEN</x:v>
      </x:c>
    </x:row>
    <x:row r="1212">
      <x:c r="B1212" s="7" t="str">
        <x:v>CH-PEA-B-X3-09-6</x:v>
      </x:c>
      <x:c r="C1212" s="7" t="str">
        <x:v>PEA-B-X3</x:v>
      </x:c>
      <x:c r="D1212" s="7" t="str">
        <x:v>BLD-B</x:v>
      </x:c>
      <x:c r="E1212" s="7" t="str">
        <x:v>BL-X</x:v>
      </x:c>
      <x:c r="F1212" s="7" t="str">
        <x:v>MF-09</x:v>
      </x:c>
      <x:c r="G1212" s="7" t="str">
        <x:v>geometry and slope</x:v>
      </x:c>
      <x:c r="H1212" s="7" t="n">
        <x:v>6</x:v>
      </x:c>
      <x:c r="I1212" s="7" t="str"/>
      <x:c r="J1212" s="7" t="str"/>
      <x:c r="K1212" s="7" t="str"/>
      <x:c r="L1212" s="7" t="str"/>
      <x:c r="M1212" s="7" t="str"/>
      <x:c r="N1212" s="7" t="str"/>
      <x:c r="O1212" s="7" t="str">
        <x:f>IF(N1212="","OPEN",IF(OR(I1212="",J1212="",K1212="",L1212="",M1212=""),"FAIL","PASS"))</x:f>
        <x:v>OPEN</x:v>
      </x:c>
    </x:row>
    <x:row r="1213">
      <x:c r="B1213" s="7" t="str">
        <x:v>CH-PEA-B-X3-10-1</x:v>
      </x:c>
      <x:c r="C1213" s="7" t="str">
        <x:v>PEA-B-X3</x:v>
      </x:c>
      <x:c r="D1213" s="7" t="str">
        <x:v>BLD-B</x:v>
      </x:c>
      <x:c r="E1213" s="7" t="str">
        <x:v>BL-X</x:v>
      </x:c>
      <x:c r="F1213" s="7" t="str">
        <x:v>MF-10</x:v>
      </x:c>
      <x:c r="G1213" s="7" t="str">
        <x:v>normal-source path state</x:v>
      </x:c>
      <x:c r="H1213" s="7" t="n">
        <x:v>1</x:v>
      </x:c>
      <x:c r="I1213" s="7" t="str"/>
      <x:c r="J1213" s="7" t="str"/>
      <x:c r="K1213" s="7" t="str"/>
      <x:c r="L1213" s="7" t="str"/>
      <x:c r="M1213" s="7" t="str"/>
      <x:c r="N1213" s="7" t="str"/>
      <x:c r="O1213" s="7" t="str">
        <x:f>IF(N1213="","OPEN",IF(OR(I1213="",J1213="",K1213="",L1213="",M1213=""),"FAIL","PASS"))</x:f>
        <x:v>OPEN</x:v>
      </x:c>
    </x:row>
    <x:row r="1214">
      <x:c r="B1214" s="7" t="str">
        <x:v>CH-PEA-B-X3-10-2</x:v>
      </x:c>
      <x:c r="C1214" s="7" t="str">
        <x:v>PEA-B-X3</x:v>
      </x:c>
      <x:c r="D1214" s="7" t="str">
        <x:v>BLD-B</x:v>
      </x:c>
      <x:c r="E1214" s="7" t="str">
        <x:v>BL-X</x:v>
      </x:c>
      <x:c r="F1214" s="7" t="str">
        <x:v>MF-10</x:v>
      </x:c>
      <x:c r="G1214" s="7" t="str">
        <x:v>normal-source path state</x:v>
      </x:c>
      <x:c r="H1214" s="7" t="n">
        <x:v>2</x:v>
      </x:c>
      <x:c r="I1214" s="7" t="str"/>
      <x:c r="J1214" s="7" t="str"/>
      <x:c r="K1214" s="7" t="str"/>
      <x:c r="L1214" s="7" t="str"/>
      <x:c r="M1214" s="7" t="str"/>
      <x:c r="N1214" s="7" t="str"/>
      <x:c r="O1214" s="7" t="str">
        <x:f>IF(N1214="","OPEN",IF(OR(I1214="",J1214="",K1214="",L1214="",M1214=""),"FAIL","PASS"))</x:f>
        <x:v>OPEN</x:v>
      </x:c>
    </x:row>
    <x:row r="1215">
      <x:c r="B1215" s="7" t="str">
        <x:v>CH-PEA-B-X3-10-3</x:v>
      </x:c>
      <x:c r="C1215" s="7" t="str">
        <x:v>PEA-B-X3</x:v>
      </x:c>
      <x:c r="D1215" s="7" t="str">
        <x:v>BLD-B</x:v>
      </x:c>
      <x:c r="E1215" s="7" t="str">
        <x:v>BL-X</x:v>
      </x:c>
      <x:c r="F1215" s="7" t="str">
        <x:v>MF-10</x:v>
      </x:c>
      <x:c r="G1215" s="7" t="str">
        <x:v>normal-source path state</x:v>
      </x:c>
      <x:c r="H1215" s="7" t="n">
        <x:v>3</x:v>
      </x:c>
      <x:c r="I1215" s="7" t="str"/>
      <x:c r="J1215" s="7" t="str"/>
      <x:c r="K1215" s="7" t="str"/>
      <x:c r="L1215" s="7" t="str"/>
      <x:c r="M1215" s="7" t="str"/>
      <x:c r="N1215" s="7" t="str"/>
      <x:c r="O1215" s="7" t="str">
        <x:f>IF(N1215="","OPEN",IF(OR(I1215="",J1215="",K1215="",L1215="",M1215=""),"FAIL","PASS"))</x:f>
        <x:v>OPEN</x:v>
      </x:c>
    </x:row>
    <x:row r="1216">
      <x:c r="B1216" s="7" t="str">
        <x:v>CH-PEA-B-X3-10-4</x:v>
      </x:c>
      <x:c r="C1216" s="7" t="str">
        <x:v>PEA-B-X3</x:v>
      </x:c>
      <x:c r="D1216" s="7" t="str">
        <x:v>BLD-B</x:v>
      </x:c>
      <x:c r="E1216" s="7" t="str">
        <x:v>BL-X</x:v>
      </x:c>
      <x:c r="F1216" s="7" t="str">
        <x:v>MF-10</x:v>
      </x:c>
      <x:c r="G1216" s="7" t="str">
        <x:v>normal-source path state</x:v>
      </x:c>
      <x:c r="H1216" s="7" t="n">
        <x:v>4</x:v>
      </x:c>
      <x:c r="I1216" s="7" t="str"/>
      <x:c r="J1216" s="7" t="str"/>
      <x:c r="K1216" s="7" t="str"/>
      <x:c r="L1216" s="7" t="str"/>
      <x:c r="M1216" s="7" t="str"/>
      <x:c r="N1216" s="7" t="str"/>
      <x:c r="O1216" s="7" t="str">
        <x:f>IF(N1216="","OPEN",IF(OR(I1216="",J1216="",K1216="",L1216="",M1216=""),"FAIL","PASS"))</x:f>
        <x:v>OPEN</x:v>
      </x:c>
    </x:row>
    <x:row r="1217">
      <x:c r="B1217" s="7" t="str">
        <x:v>CH-PEA-B-X3-10-5</x:v>
      </x:c>
      <x:c r="C1217" s="7" t="str">
        <x:v>PEA-B-X3</x:v>
      </x:c>
      <x:c r="D1217" s="7" t="str">
        <x:v>BLD-B</x:v>
      </x:c>
      <x:c r="E1217" s="7" t="str">
        <x:v>BL-X</x:v>
      </x:c>
      <x:c r="F1217" s="7" t="str">
        <x:v>MF-10</x:v>
      </x:c>
      <x:c r="G1217" s="7" t="str">
        <x:v>normal-source path state</x:v>
      </x:c>
      <x:c r="H1217" s="7" t="n">
        <x:v>5</x:v>
      </x:c>
      <x:c r="I1217" s="7" t="str"/>
      <x:c r="J1217" s="7" t="str"/>
      <x:c r="K1217" s="7" t="str"/>
      <x:c r="L1217" s="7" t="str"/>
      <x:c r="M1217" s="7" t="str"/>
      <x:c r="N1217" s="7" t="str"/>
      <x:c r="O1217" s="7" t="str">
        <x:f>IF(N1217="","OPEN",IF(OR(I1217="",J1217="",K1217="",L1217="",M1217=""),"FAIL","PASS"))</x:f>
        <x:v>OPEN</x:v>
      </x:c>
    </x:row>
    <x:row r="1218">
      <x:c r="B1218" s="7" t="str">
        <x:v>CH-PEA-B-X3-10-6</x:v>
      </x:c>
      <x:c r="C1218" s="7" t="str">
        <x:v>PEA-B-X3</x:v>
      </x:c>
      <x:c r="D1218" s="7" t="str">
        <x:v>BLD-B</x:v>
      </x:c>
      <x:c r="E1218" s="7" t="str">
        <x:v>BL-X</x:v>
      </x:c>
      <x:c r="F1218" s="7" t="str">
        <x:v>MF-10</x:v>
      </x:c>
      <x:c r="G1218" s="7" t="str">
        <x:v>normal-source path state</x:v>
      </x:c>
      <x:c r="H1218" s="7" t="n">
        <x:v>6</x:v>
      </x:c>
      <x:c r="I1218" s="7" t="str"/>
      <x:c r="J1218" s="7" t="str"/>
      <x:c r="K1218" s="7" t="str"/>
      <x:c r="L1218" s="7" t="str"/>
      <x:c r="M1218" s="7" t="str"/>
      <x:c r="N1218" s="7" t="str"/>
      <x:c r="O1218" s="7" t="str">
        <x:f>IF(N1218="","OPEN",IF(OR(I1218="",J1218="",K1218="",L1218="",M1218=""),"FAIL","PASS"))</x:f>
        <x:v>OPEN</x:v>
      </x:c>
    </x:row>
    <x:row r="1219">
      <x:c r="B1219" s="7" t="str">
        <x:v>CH-PEA-B-X3-11-1</x:v>
      </x:c>
      <x:c r="C1219" s="7" t="str">
        <x:v>PEA-B-X3</x:v>
      </x:c>
      <x:c r="D1219" s="7" t="str">
        <x:v>BLD-B</x:v>
      </x:c>
      <x:c r="E1219" s="7" t="str">
        <x:v>BL-X</x:v>
      </x:c>
      <x:c r="F1219" s="7" t="str">
        <x:v>MF-11</x:v>
      </x:c>
      <x:c r="G1219" s="7" t="str">
        <x:v>casualty-source path state</x:v>
      </x:c>
      <x:c r="H1219" s="7" t="n">
        <x:v>1</x:v>
      </x:c>
      <x:c r="I1219" s="7" t="str"/>
      <x:c r="J1219" s="7" t="str"/>
      <x:c r="K1219" s="7" t="str"/>
      <x:c r="L1219" s="7" t="str"/>
      <x:c r="M1219" s="7" t="str"/>
      <x:c r="N1219" s="7" t="str"/>
      <x:c r="O1219" s="7" t="str">
        <x:f>IF(N1219="","OPEN",IF(OR(I1219="",J1219="",K1219="",L1219="",M1219=""),"FAIL","PASS"))</x:f>
        <x:v>OPEN</x:v>
      </x:c>
    </x:row>
    <x:row r="1220">
      <x:c r="B1220" s="7" t="str">
        <x:v>CH-PEA-B-X3-11-2</x:v>
      </x:c>
      <x:c r="C1220" s="7" t="str">
        <x:v>PEA-B-X3</x:v>
      </x:c>
      <x:c r="D1220" s="7" t="str">
        <x:v>BLD-B</x:v>
      </x:c>
      <x:c r="E1220" s="7" t="str">
        <x:v>BL-X</x:v>
      </x:c>
      <x:c r="F1220" s="7" t="str">
        <x:v>MF-11</x:v>
      </x:c>
      <x:c r="G1220" s="7" t="str">
        <x:v>casualty-source path state</x:v>
      </x:c>
      <x:c r="H1220" s="7" t="n">
        <x:v>2</x:v>
      </x:c>
      <x:c r="I1220" s="7" t="str"/>
      <x:c r="J1220" s="7" t="str"/>
      <x:c r="K1220" s="7" t="str"/>
      <x:c r="L1220" s="7" t="str"/>
      <x:c r="M1220" s="7" t="str"/>
      <x:c r="N1220" s="7" t="str"/>
      <x:c r="O1220" s="7" t="str">
        <x:f>IF(N1220="","OPEN",IF(OR(I1220="",J1220="",K1220="",L1220="",M1220=""),"FAIL","PASS"))</x:f>
        <x:v>OPEN</x:v>
      </x:c>
    </x:row>
    <x:row r="1221">
      <x:c r="B1221" s="7" t="str">
        <x:v>CH-PEA-B-X3-11-3</x:v>
      </x:c>
      <x:c r="C1221" s="7" t="str">
        <x:v>PEA-B-X3</x:v>
      </x:c>
      <x:c r="D1221" s="7" t="str">
        <x:v>BLD-B</x:v>
      </x:c>
      <x:c r="E1221" s="7" t="str">
        <x:v>BL-X</x:v>
      </x:c>
      <x:c r="F1221" s="7" t="str">
        <x:v>MF-11</x:v>
      </x:c>
      <x:c r="G1221" s="7" t="str">
        <x:v>casualty-source path state</x:v>
      </x:c>
      <x:c r="H1221" s="7" t="n">
        <x:v>3</x:v>
      </x:c>
      <x:c r="I1221" s="7" t="str"/>
      <x:c r="J1221" s="7" t="str"/>
      <x:c r="K1221" s="7" t="str"/>
      <x:c r="L1221" s="7" t="str"/>
      <x:c r="M1221" s="7" t="str"/>
      <x:c r="N1221" s="7" t="str"/>
      <x:c r="O1221" s="7" t="str">
        <x:f>IF(N1221="","OPEN",IF(OR(I1221="",J1221="",K1221="",L1221="",M1221=""),"FAIL","PASS"))</x:f>
        <x:v>OPEN</x:v>
      </x:c>
    </x:row>
    <x:row r="1222">
      <x:c r="B1222" s="7" t="str">
        <x:v>CH-PEA-B-X3-11-4</x:v>
      </x:c>
      <x:c r="C1222" s="7" t="str">
        <x:v>PEA-B-X3</x:v>
      </x:c>
      <x:c r="D1222" s="7" t="str">
        <x:v>BLD-B</x:v>
      </x:c>
      <x:c r="E1222" s="7" t="str">
        <x:v>BL-X</x:v>
      </x:c>
      <x:c r="F1222" s="7" t="str">
        <x:v>MF-11</x:v>
      </x:c>
      <x:c r="G1222" s="7" t="str">
        <x:v>casualty-source path state</x:v>
      </x:c>
      <x:c r="H1222" s="7" t="n">
        <x:v>4</x:v>
      </x:c>
      <x:c r="I1222" s="7" t="str"/>
      <x:c r="J1222" s="7" t="str"/>
      <x:c r="K1222" s="7" t="str"/>
      <x:c r="L1222" s="7" t="str"/>
      <x:c r="M1222" s="7" t="str"/>
      <x:c r="N1222" s="7" t="str"/>
      <x:c r="O1222" s="7" t="str">
        <x:f>IF(N1222="","OPEN",IF(OR(I1222="",J1222="",K1222="",L1222="",M1222=""),"FAIL","PASS"))</x:f>
        <x:v>OPEN</x:v>
      </x:c>
    </x:row>
    <x:row r="1223">
      <x:c r="B1223" s="7" t="str">
        <x:v>CH-PEA-B-X3-11-5</x:v>
      </x:c>
      <x:c r="C1223" s="7" t="str">
        <x:v>PEA-B-X3</x:v>
      </x:c>
      <x:c r="D1223" s="7" t="str">
        <x:v>BLD-B</x:v>
      </x:c>
      <x:c r="E1223" s="7" t="str">
        <x:v>BL-X</x:v>
      </x:c>
      <x:c r="F1223" s="7" t="str">
        <x:v>MF-11</x:v>
      </x:c>
      <x:c r="G1223" s="7" t="str">
        <x:v>casualty-source path state</x:v>
      </x:c>
      <x:c r="H1223" s="7" t="n">
        <x:v>5</x:v>
      </x:c>
      <x:c r="I1223" s="7" t="str"/>
      <x:c r="J1223" s="7" t="str"/>
      <x:c r="K1223" s="7" t="str"/>
      <x:c r="L1223" s="7" t="str"/>
      <x:c r="M1223" s="7" t="str"/>
      <x:c r="N1223" s="7" t="str"/>
      <x:c r="O1223" s="7" t="str">
        <x:f>IF(N1223="","OPEN",IF(OR(I1223="",J1223="",K1223="",L1223="",M1223=""),"FAIL","PASS"))</x:f>
        <x:v>OPEN</x:v>
      </x:c>
    </x:row>
    <x:row r="1224">
      <x:c r="B1224" s="7" t="str">
        <x:v>CH-PEA-B-X3-11-6</x:v>
      </x:c>
      <x:c r="C1224" s="7" t="str">
        <x:v>PEA-B-X3</x:v>
      </x:c>
      <x:c r="D1224" s="7" t="str">
        <x:v>BLD-B</x:v>
      </x:c>
      <x:c r="E1224" s="7" t="str">
        <x:v>BL-X</x:v>
      </x:c>
      <x:c r="F1224" s="7" t="str">
        <x:v>MF-11</x:v>
      </x:c>
      <x:c r="G1224" s="7" t="str">
        <x:v>casualty-source path state</x:v>
      </x:c>
      <x:c r="H1224" s="7" t="n">
        <x:v>6</x:v>
      </x:c>
      <x:c r="I1224" s="7" t="str"/>
      <x:c r="J1224" s="7" t="str"/>
      <x:c r="K1224" s="7" t="str"/>
      <x:c r="L1224" s="7" t="str"/>
      <x:c r="M1224" s="7" t="str"/>
      <x:c r="N1224" s="7" t="str"/>
      <x:c r="O1224" s="7" t="str">
        <x:f>IF(N1224="","OPEN",IF(OR(I1224="",J1224="",K1224="",L1224="",M1224=""),"FAIL","PASS"))</x:f>
        <x:v>OPEN</x:v>
      </x:c>
    </x:row>
    <x:row r="1225">
      <x:c r="B1225" s="7" t="str">
        <x:v>CH-PEA-B-X3-12-1</x:v>
      </x:c>
      <x:c r="C1225" s="7" t="str">
        <x:v>PEA-B-X3</x:v>
      </x:c>
      <x:c r="D1225" s="7" t="str">
        <x:v>BLD-B</x:v>
      </x:c>
      <x:c r="E1225" s="7" t="str">
        <x:v>BL-X</x:v>
      </x:c>
      <x:c r="F1225" s="7" t="str">
        <x:v>MF-12</x:v>
      </x:c>
      <x:c r="G1225" s="7" t="str">
        <x:v>candidate-water path state</x:v>
      </x:c>
      <x:c r="H1225" s="7" t="n">
        <x:v>1</x:v>
      </x:c>
      <x:c r="I1225" s="7" t="str"/>
      <x:c r="J1225" s="7" t="str"/>
      <x:c r="K1225" s="7" t="str"/>
      <x:c r="L1225" s="7" t="str"/>
      <x:c r="M1225" s="7" t="str"/>
      <x:c r="N1225" s="7" t="str"/>
      <x:c r="O1225" s="7" t="str">
        <x:f>IF(N1225="","OPEN",IF(OR(I1225="",J1225="",K1225="",L1225="",M1225=""),"FAIL","PASS"))</x:f>
        <x:v>OPEN</x:v>
      </x:c>
    </x:row>
    <x:row r="1226">
      <x:c r="B1226" s="7" t="str">
        <x:v>CH-PEA-B-X3-12-2</x:v>
      </x:c>
      <x:c r="C1226" s="7" t="str">
        <x:v>PEA-B-X3</x:v>
      </x:c>
      <x:c r="D1226" s="7" t="str">
        <x:v>BLD-B</x:v>
      </x:c>
      <x:c r="E1226" s="7" t="str">
        <x:v>BL-X</x:v>
      </x:c>
      <x:c r="F1226" s="7" t="str">
        <x:v>MF-12</x:v>
      </x:c>
      <x:c r="G1226" s="7" t="str">
        <x:v>candidate-water path state</x:v>
      </x:c>
      <x:c r="H1226" s="7" t="n">
        <x:v>2</x:v>
      </x:c>
      <x:c r="I1226" s="7" t="str"/>
      <x:c r="J1226" s="7" t="str"/>
      <x:c r="K1226" s="7" t="str"/>
      <x:c r="L1226" s="7" t="str"/>
      <x:c r="M1226" s="7" t="str"/>
      <x:c r="N1226" s="7" t="str"/>
      <x:c r="O1226" s="7" t="str">
        <x:f>IF(N1226="","OPEN",IF(OR(I1226="",J1226="",K1226="",L1226="",M1226=""),"FAIL","PASS"))</x:f>
        <x:v>OPEN</x:v>
      </x:c>
    </x:row>
    <x:row r="1227">
      <x:c r="B1227" s="7" t="str">
        <x:v>CH-PEA-B-X3-12-3</x:v>
      </x:c>
      <x:c r="C1227" s="7" t="str">
        <x:v>PEA-B-X3</x:v>
      </x:c>
      <x:c r="D1227" s="7" t="str">
        <x:v>BLD-B</x:v>
      </x:c>
      <x:c r="E1227" s="7" t="str">
        <x:v>BL-X</x:v>
      </x:c>
      <x:c r="F1227" s="7" t="str">
        <x:v>MF-12</x:v>
      </x:c>
      <x:c r="G1227" s="7" t="str">
        <x:v>candidate-water path state</x:v>
      </x:c>
      <x:c r="H1227" s="7" t="n">
        <x:v>3</x:v>
      </x:c>
      <x:c r="I1227" s="7" t="str"/>
      <x:c r="J1227" s="7" t="str"/>
      <x:c r="K1227" s="7" t="str"/>
      <x:c r="L1227" s="7" t="str"/>
      <x:c r="M1227" s="7" t="str"/>
      <x:c r="N1227" s="7" t="str"/>
      <x:c r="O1227" s="7" t="str">
        <x:f>IF(N1227="","OPEN",IF(OR(I1227="",J1227="",K1227="",L1227="",M1227=""),"FAIL","PASS"))</x:f>
        <x:v>OPEN</x:v>
      </x:c>
    </x:row>
    <x:row r="1228">
      <x:c r="B1228" s="7" t="str">
        <x:v>CH-PEA-B-X3-12-4</x:v>
      </x:c>
      <x:c r="C1228" s="7" t="str">
        <x:v>PEA-B-X3</x:v>
      </x:c>
      <x:c r="D1228" s="7" t="str">
        <x:v>BLD-B</x:v>
      </x:c>
      <x:c r="E1228" s="7" t="str">
        <x:v>BL-X</x:v>
      </x:c>
      <x:c r="F1228" s="7" t="str">
        <x:v>MF-12</x:v>
      </x:c>
      <x:c r="G1228" s="7" t="str">
        <x:v>candidate-water path state</x:v>
      </x:c>
      <x:c r="H1228" s="7" t="n">
        <x:v>4</x:v>
      </x:c>
      <x:c r="I1228" s="7" t="str"/>
      <x:c r="J1228" s="7" t="str"/>
      <x:c r="K1228" s="7" t="str"/>
      <x:c r="L1228" s="7" t="str"/>
      <x:c r="M1228" s="7" t="str"/>
      <x:c r="N1228" s="7" t="str"/>
      <x:c r="O1228" s="7" t="str">
        <x:f>IF(N1228="","OPEN",IF(OR(I1228="",J1228="",K1228="",L1228="",M1228=""),"FAIL","PASS"))</x:f>
        <x:v>OPEN</x:v>
      </x:c>
    </x:row>
    <x:row r="1229">
      <x:c r="B1229" s="7" t="str">
        <x:v>CH-PEA-B-X3-12-5</x:v>
      </x:c>
      <x:c r="C1229" s="7" t="str">
        <x:v>PEA-B-X3</x:v>
      </x:c>
      <x:c r="D1229" s="7" t="str">
        <x:v>BLD-B</x:v>
      </x:c>
      <x:c r="E1229" s="7" t="str">
        <x:v>BL-X</x:v>
      </x:c>
      <x:c r="F1229" s="7" t="str">
        <x:v>MF-12</x:v>
      </x:c>
      <x:c r="G1229" s="7" t="str">
        <x:v>candidate-water path state</x:v>
      </x:c>
      <x:c r="H1229" s="7" t="n">
        <x:v>5</x:v>
      </x:c>
      <x:c r="I1229" s="7" t="str"/>
      <x:c r="J1229" s="7" t="str"/>
      <x:c r="K1229" s="7" t="str"/>
      <x:c r="L1229" s="7" t="str"/>
      <x:c r="M1229" s="7" t="str"/>
      <x:c r="N1229" s="7" t="str"/>
      <x:c r="O1229" s="7" t="str">
        <x:f>IF(N1229="","OPEN",IF(OR(I1229="",J1229="",K1229="",L1229="",M1229=""),"FAIL","PASS"))</x:f>
        <x:v>OPEN</x:v>
      </x:c>
    </x:row>
    <x:row r="1230">
      <x:c r="B1230" s="7" t="str">
        <x:v>CH-PEA-B-X3-12-6</x:v>
      </x:c>
      <x:c r="C1230" s="7" t="str">
        <x:v>PEA-B-X3</x:v>
      </x:c>
      <x:c r="D1230" s="7" t="str">
        <x:v>BLD-B</x:v>
      </x:c>
      <x:c r="E1230" s="7" t="str">
        <x:v>BL-X</x:v>
      </x:c>
      <x:c r="F1230" s="7" t="str">
        <x:v>MF-12</x:v>
      </x:c>
      <x:c r="G1230" s="7" t="str">
        <x:v>candidate-water path state</x:v>
      </x:c>
      <x:c r="H1230" s="7" t="n">
        <x:v>6</x:v>
      </x:c>
      <x:c r="I1230" s="7" t="str"/>
      <x:c r="J1230" s="7" t="str"/>
      <x:c r="K1230" s="7" t="str"/>
      <x:c r="L1230" s="7" t="str"/>
      <x:c r="M1230" s="7" t="str"/>
      <x:c r="N1230" s="7" t="str"/>
      <x:c r="O1230" s="7" t="str">
        <x:f>IF(N1230="","OPEN",IF(OR(I1230="",J1230="",K1230="",L1230="",M1230=""),"FAIL","PASS"))</x:f>
        <x:v>OPEN</x:v>
      </x:c>
    </x:row>
    <x:row r="1231">
      <x:c r="B1231" s="7" t="str">
        <x:v>CH-PEA-B-X3-13-1</x:v>
      </x:c>
      <x:c r="C1231" s="7" t="str">
        <x:v>PEA-B-X3</x:v>
      </x:c>
      <x:c r="D1231" s="7" t="str">
        <x:v>BLD-B</x:v>
      </x:c>
      <x:c r="E1231" s="7" t="str">
        <x:v>BL-X</x:v>
      </x:c>
      <x:c r="F1231" s="7" t="str">
        <x:v>MF-13</x:v>
      </x:c>
      <x:c r="G1231" s="7" t="str">
        <x:v>final-element reference</x:v>
      </x:c>
      <x:c r="H1231" s="7" t="n">
        <x:v>1</x:v>
      </x:c>
      <x:c r="I1231" s="7" t="str"/>
      <x:c r="J1231" s="7" t="str"/>
      <x:c r="K1231" s="7" t="str"/>
      <x:c r="L1231" s="7" t="str"/>
      <x:c r="M1231" s="7" t="str"/>
      <x:c r="N1231" s="7" t="str"/>
      <x:c r="O1231" s="7" t="str">
        <x:f>IF(N1231="","OPEN",IF(OR(I1231="",J1231="",K1231="",L1231="",M1231=""),"FAIL","PASS"))</x:f>
        <x:v>OPEN</x:v>
      </x:c>
    </x:row>
    <x:row r="1232">
      <x:c r="B1232" s="7" t="str">
        <x:v>CH-PEA-B-X3-13-2</x:v>
      </x:c>
      <x:c r="C1232" s="7" t="str">
        <x:v>PEA-B-X3</x:v>
      </x:c>
      <x:c r="D1232" s="7" t="str">
        <x:v>BLD-B</x:v>
      </x:c>
      <x:c r="E1232" s="7" t="str">
        <x:v>BL-X</x:v>
      </x:c>
      <x:c r="F1232" s="7" t="str">
        <x:v>MF-13</x:v>
      </x:c>
      <x:c r="G1232" s="7" t="str">
        <x:v>final-element reference</x:v>
      </x:c>
      <x:c r="H1232" s="7" t="n">
        <x:v>2</x:v>
      </x:c>
      <x:c r="I1232" s="7" t="str"/>
      <x:c r="J1232" s="7" t="str"/>
      <x:c r="K1232" s="7" t="str"/>
      <x:c r="L1232" s="7" t="str"/>
      <x:c r="M1232" s="7" t="str"/>
      <x:c r="N1232" s="7" t="str"/>
      <x:c r="O1232" s="7" t="str">
        <x:f>IF(N1232="","OPEN",IF(OR(I1232="",J1232="",K1232="",L1232="",M1232=""),"FAIL","PASS"))</x:f>
        <x:v>OPEN</x:v>
      </x:c>
    </x:row>
    <x:row r="1233">
      <x:c r="B1233" s="7" t="str">
        <x:v>CH-PEA-B-X3-13-3</x:v>
      </x:c>
      <x:c r="C1233" s="7" t="str">
        <x:v>PEA-B-X3</x:v>
      </x:c>
      <x:c r="D1233" s="7" t="str">
        <x:v>BLD-B</x:v>
      </x:c>
      <x:c r="E1233" s="7" t="str">
        <x:v>BL-X</x:v>
      </x:c>
      <x:c r="F1233" s="7" t="str">
        <x:v>MF-13</x:v>
      </x:c>
      <x:c r="G1233" s="7" t="str">
        <x:v>final-element reference</x:v>
      </x:c>
      <x:c r="H1233" s="7" t="n">
        <x:v>3</x:v>
      </x:c>
      <x:c r="I1233" s="7" t="str"/>
      <x:c r="J1233" s="7" t="str"/>
      <x:c r="K1233" s="7" t="str"/>
      <x:c r="L1233" s="7" t="str"/>
      <x:c r="M1233" s="7" t="str"/>
      <x:c r="N1233" s="7" t="str"/>
      <x:c r="O1233" s="7" t="str">
        <x:f>IF(N1233="","OPEN",IF(OR(I1233="",J1233="",K1233="",L1233="",M1233=""),"FAIL","PASS"))</x:f>
        <x:v>OPEN</x:v>
      </x:c>
    </x:row>
    <x:row r="1234">
      <x:c r="B1234" s="7" t="str">
        <x:v>CH-PEA-B-X3-13-4</x:v>
      </x:c>
      <x:c r="C1234" s="7" t="str">
        <x:v>PEA-B-X3</x:v>
      </x:c>
      <x:c r="D1234" s="7" t="str">
        <x:v>BLD-B</x:v>
      </x:c>
      <x:c r="E1234" s="7" t="str">
        <x:v>BL-X</x:v>
      </x:c>
      <x:c r="F1234" s="7" t="str">
        <x:v>MF-13</x:v>
      </x:c>
      <x:c r="G1234" s="7" t="str">
        <x:v>final-element reference</x:v>
      </x:c>
      <x:c r="H1234" s="7" t="n">
        <x:v>4</x:v>
      </x:c>
      <x:c r="I1234" s="7" t="str"/>
      <x:c r="J1234" s="7" t="str"/>
      <x:c r="K1234" s="7" t="str"/>
      <x:c r="L1234" s="7" t="str"/>
      <x:c r="M1234" s="7" t="str"/>
      <x:c r="N1234" s="7" t="str"/>
      <x:c r="O1234" s="7" t="str">
        <x:f>IF(N1234="","OPEN",IF(OR(I1234="",J1234="",K1234="",L1234="",M1234=""),"FAIL","PASS"))</x:f>
        <x:v>OPEN</x:v>
      </x:c>
    </x:row>
    <x:row r="1235">
      <x:c r="B1235" s="7" t="str">
        <x:v>CH-PEA-B-X3-13-5</x:v>
      </x:c>
      <x:c r="C1235" s="7" t="str">
        <x:v>PEA-B-X3</x:v>
      </x:c>
      <x:c r="D1235" s="7" t="str">
        <x:v>BLD-B</x:v>
      </x:c>
      <x:c r="E1235" s="7" t="str">
        <x:v>BL-X</x:v>
      </x:c>
      <x:c r="F1235" s="7" t="str">
        <x:v>MF-13</x:v>
      </x:c>
      <x:c r="G1235" s="7" t="str">
        <x:v>final-element reference</x:v>
      </x:c>
      <x:c r="H1235" s="7" t="n">
        <x:v>5</x:v>
      </x:c>
      <x:c r="I1235" s="7" t="str"/>
      <x:c r="J1235" s="7" t="str"/>
      <x:c r="K1235" s="7" t="str"/>
      <x:c r="L1235" s="7" t="str"/>
      <x:c r="M1235" s="7" t="str"/>
      <x:c r="N1235" s="7" t="str"/>
      <x:c r="O1235" s="7" t="str">
        <x:f>IF(N1235="","OPEN",IF(OR(I1235="",J1235="",K1235="",L1235="",M1235=""),"FAIL","PASS"))</x:f>
        <x:v>OPEN</x:v>
      </x:c>
    </x:row>
    <x:row r="1236">
      <x:c r="B1236" s="7" t="str">
        <x:v>CH-PEA-B-X3-13-6</x:v>
      </x:c>
      <x:c r="C1236" s="7" t="str">
        <x:v>PEA-B-X3</x:v>
      </x:c>
      <x:c r="D1236" s="7" t="str">
        <x:v>BLD-B</x:v>
      </x:c>
      <x:c r="E1236" s="7" t="str">
        <x:v>BL-X</x:v>
      </x:c>
      <x:c r="F1236" s="7" t="str">
        <x:v>MF-13</x:v>
      </x:c>
      <x:c r="G1236" s="7" t="str">
        <x:v>final-element reference</x:v>
      </x:c>
      <x:c r="H1236" s="7" t="n">
        <x:v>6</x:v>
      </x:c>
      <x:c r="I1236" s="7" t="str"/>
      <x:c r="J1236" s="7" t="str"/>
      <x:c r="K1236" s="7" t="str"/>
      <x:c r="L1236" s="7" t="str"/>
      <x:c r="M1236" s="7" t="str"/>
      <x:c r="N1236" s="7" t="str"/>
      <x:c r="O1236" s="7" t="str">
        <x:f>IF(N1236="","OPEN",IF(OR(I1236="",J1236="",K1236="",L1236="",M1236=""),"FAIL","PASS"))</x:f>
        <x:v>OPEN</x:v>
      </x:c>
    </x:row>
    <x:row r="1237">
      <x:c r="B1237" s="7" t="str">
        <x:v>CH-PEA-B-X3-14-1</x:v>
      </x:c>
      <x:c r="C1237" s="7" t="str">
        <x:v>PEA-B-X3</x:v>
      </x:c>
      <x:c r="D1237" s="7" t="str">
        <x:v>BLD-B</x:v>
      </x:c>
      <x:c r="E1237" s="7" t="str">
        <x:v>BL-X</x:v>
      </x:c>
      <x:c r="F1237" s="7" t="str">
        <x:v>MF-14</x:v>
      </x:c>
      <x:c r="G1237" s="7" t="str">
        <x:v>causal time</x:v>
      </x:c>
      <x:c r="H1237" s="7" t="n">
        <x:v>1</x:v>
      </x:c>
      <x:c r="I1237" s="7" t="str"/>
      <x:c r="J1237" s="7" t="str"/>
      <x:c r="K1237" s="7" t="str"/>
      <x:c r="L1237" s="7" t="str"/>
      <x:c r="M1237" s="7" t="str"/>
      <x:c r="N1237" s="7" t="str"/>
      <x:c r="O1237" s="7" t="str">
        <x:f>IF(N1237="","OPEN",IF(OR(I1237="",J1237="",K1237="",L1237="",M1237=""),"FAIL","PASS"))</x:f>
        <x:v>OPEN</x:v>
      </x:c>
    </x:row>
    <x:row r="1238">
      <x:c r="B1238" s="7" t="str">
        <x:v>CH-PEA-B-X3-14-2</x:v>
      </x:c>
      <x:c r="C1238" s="7" t="str">
        <x:v>PEA-B-X3</x:v>
      </x:c>
      <x:c r="D1238" s="7" t="str">
        <x:v>BLD-B</x:v>
      </x:c>
      <x:c r="E1238" s="7" t="str">
        <x:v>BL-X</x:v>
      </x:c>
      <x:c r="F1238" s="7" t="str">
        <x:v>MF-14</x:v>
      </x:c>
      <x:c r="G1238" s="7" t="str">
        <x:v>causal time</x:v>
      </x:c>
      <x:c r="H1238" s="7" t="n">
        <x:v>2</x:v>
      </x:c>
      <x:c r="I1238" s="7" t="str"/>
      <x:c r="J1238" s="7" t="str"/>
      <x:c r="K1238" s="7" t="str"/>
      <x:c r="L1238" s="7" t="str"/>
      <x:c r="M1238" s="7" t="str"/>
      <x:c r="N1238" s="7" t="str"/>
      <x:c r="O1238" s="7" t="str">
        <x:f>IF(N1238="","OPEN",IF(OR(I1238="",J1238="",K1238="",L1238="",M1238=""),"FAIL","PASS"))</x:f>
        <x:v>OPEN</x:v>
      </x:c>
    </x:row>
    <x:row r="1239">
      <x:c r="B1239" s="7" t="str">
        <x:v>CH-PEA-B-X3-14-3</x:v>
      </x:c>
      <x:c r="C1239" s="7" t="str">
        <x:v>PEA-B-X3</x:v>
      </x:c>
      <x:c r="D1239" s="7" t="str">
        <x:v>BLD-B</x:v>
      </x:c>
      <x:c r="E1239" s="7" t="str">
        <x:v>BL-X</x:v>
      </x:c>
      <x:c r="F1239" s="7" t="str">
        <x:v>MF-14</x:v>
      </x:c>
      <x:c r="G1239" s="7" t="str">
        <x:v>causal time</x:v>
      </x:c>
      <x:c r="H1239" s="7" t="n">
        <x:v>3</x:v>
      </x:c>
      <x:c r="I1239" s="7" t="str"/>
      <x:c r="J1239" s="7" t="str"/>
      <x:c r="K1239" s="7" t="str"/>
      <x:c r="L1239" s="7" t="str"/>
      <x:c r="M1239" s="7" t="str"/>
      <x:c r="N1239" s="7" t="str"/>
      <x:c r="O1239" s="7" t="str">
        <x:f>IF(N1239="","OPEN",IF(OR(I1239="",J1239="",K1239="",L1239="",M1239=""),"FAIL","PASS"))</x:f>
        <x:v>OPEN</x:v>
      </x:c>
    </x:row>
    <x:row r="1240">
      <x:c r="B1240" s="7" t="str">
        <x:v>CH-PEA-B-X3-14-4</x:v>
      </x:c>
      <x:c r="C1240" s="7" t="str">
        <x:v>PEA-B-X3</x:v>
      </x:c>
      <x:c r="D1240" s="7" t="str">
        <x:v>BLD-B</x:v>
      </x:c>
      <x:c r="E1240" s="7" t="str">
        <x:v>BL-X</x:v>
      </x:c>
      <x:c r="F1240" s="7" t="str">
        <x:v>MF-14</x:v>
      </x:c>
      <x:c r="G1240" s="7" t="str">
        <x:v>causal time</x:v>
      </x:c>
      <x:c r="H1240" s="7" t="n">
        <x:v>4</x:v>
      </x:c>
      <x:c r="I1240" s="7" t="str"/>
      <x:c r="J1240" s="7" t="str"/>
      <x:c r="K1240" s="7" t="str"/>
      <x:c r="L1240" s="7" t="str"/>
      <x:c r="M1240" s="7" t="str"/>
      <x:c r="N1240" s="7" t="str"/>
      <x:c r="O1240" s="7" t="str">
        <x:f>IF(N1240="","OPEN",IF(OR(I1240="",J1240="",K1240="",L1240="",M1240=""),"FAIL","PASS"))</x:f>
        <x:v>OPEN</x:v>
      </x:c>
    </x:row>
    <x:row r="1241">
      <x:c r="B1241" s="7" t="str">
        <x:v>CH-PEA-B-X3-14-5</x:v>
      </x:c>
      <x:c r="C1241" s="7" t="str">
        <x:v>PEA-B-X3</x:v>
      </x:c>
      <x:c r="D1241" s="7" t="str">
        <x:v>BLD-B</x:v>
      </x:c>
      <x:c r="E1241" s="7" t="str">
        <x:v>BL-X</x:v>
      </x:c>
      <x:c r="F1241" s="7" t="str">
        <x:v>MF-14</x:v>
      </x:c>
      <x:c r="G1241" s="7" t="str">
        <x:v>causal time</x:v>
      </x:c>
      <x:c r="H1241" s="7" t="n">
        <x:v>5</x:v>
      </x:c>
      <x:c r="I1241" s="7" t="str"/>
      <x:c r="J1241" s="7" t="str"/>
      <x:c r="K1241" s="7" t="str"/>
      <x:c r="L1241" s="7" t="str"/>
      <x:c r="M1241" s="7" t="str"/>
      <x:c r="N1241" s="7" t="str"/>
      <x:c r="O1241" s="7" t="str">
        <x:f>IF(N1241="","OPEN",IF(OR(I1241="",J1241="",K1241="",L1241="",M1241=""),"FAIL","PASS"))</x:f>
        <x:v>OPEN</x:v>
      </x:c>
    </x:row>
    <x:row r="1242">
      <x:c r="B1242" s="7" t="str">
        <x:v>CH-PEA-B-X3-14-6</x:v>
      </x:c>
      <x:c r="C1242" s="7" t="str">
        <x:v>PEA-B-X3</x:v>
      </x:c>
      <x:c r="D1242" s="7" t="str">
        <x:v>BLD-B</x:v>
      </x:c>
      <x:c r="E1242" s="7" t="str">
        <x:v>BL-X</x:v>
      </x:c>
      <x:c r="F1242" s="7" t="str">
        <x:v>MF-14</x:v>
      </x:c>
      <x:c r="G1242" s="7" t="str">
        <x:v>causal time</x:v>
      </x:c>
      <x:c r="H1242" s="7" t="n">
        <x:v>6</x:v>
      </x:c>
      <x:c r="I1242" s="7" t="str"/>
      <x:c r="J1242" s="7" t="str"/>
      <x:c r="K1242" s="7" t="str"/>
      <x:c r="L1242" s="7" t="str"/>
      <x:c r="M1242" s="7" t="str"/>
      <x:c r="N1242" s="7" t="str"/>
      <x:c r="O1242" s="7" t="str">
        <x:f>IF(N1242="","OPEN",IF(OR(I1242="",J1242="",K1242="",L1242="",M1242=""),"FAIL","PASS"))</x:f>
        <x:v>OPEN</x:v>
      </x:c>
    </x:row>
    <x:row r="1243">
      <x:c r="B1243" s="7" t="str">
        <x:v>CH-PEA-B-X3-15-1</x:v>
      </x:c>
      <x:c r="C1243" s="7" t="str">
        <x:v>PEA-B-X3</x:v>
      </x:c>
      <x:c r="D1243" s="7" t="str">
        <x:v>BLD-B</x:v>
      </x:c>
      <x:c r="E1243" s="7" t="str">
        <x:v>BL-X</x:v>
      </x:c>
      <x:c r="F1243" s="7" t="str">
        <x:v>MF-15</x:v>
      </x:c>
      <x:c r="G1243" s="7" t="str">
        <x:v>source motive energy</x:v>
      </x:c>
      <x:c r="H1243" s="7" t="n">
        <x:v>1</x:v>
      </x:c>
      <x:c r="I1243" s="7" t="str"/>
      <x:c r="J1243" s="7" t="str"/>
      <x:c r="K1243" s="7" t="str"/>
      <x:c r="L1243" s="7" t="str"/>
      <x:c r="M1243" s="7" t="str"/>
      <x:c r="N1243" s="7" t="str"/>
      <x:c r="O1243" s="7" t="str">
        <x:f>IF(N1243="","OPEN",IF(OR(I1243="",J1243="",K1243="",L1243="",M1243=""),"FAIL","PASS"))</x:f>
        <x:v>OPEN</x:v>
      </x:c>
    </x:row>
    <x:row r="1244">
      <x:c r="B1244" s="7" t="str">
        <x:v>CH-PEA-B-X3-15-2</x:v>
      </x:c>
      <x:c r="C1244" s="7" t="str">
        <x:v>PEA-B-X3</x:v>
      </x:c>
      <x:c r="D1244" s="7" t="str">
        <x:v>BLD-B</x:v>
      </x:c>
      <x:c r="E1244" s="7" t="str">
        <x:v>BL-X</x:v>
      </x:c>
      <x:c r="F1244" s="7" t="str">
        <x:v>MF-15</x:v>
      </x:c>
      <x:c r="G1244" s="7" t="str">
        <x:v>source motive energy</x:v>
      </x:c>
      <x:c r="H1244" s="7" t="n">
        <x:v>2</x:v>
      </x:c>
      <x:c r="I1244" s="7" t="str"/>
      <x:c r="J1244" s="7" t="str"/>
      <x:c r="K1244" s="7" t="str"/>
      <x:c r="L1244" s="7" t="str"/>
      <x:c r="M1244" s="7" t="str"/>
      <x:c r="N1244" s="7" t="str"/>
      <x:c r="O1244" s="7" t="str">
        <x:f>IF(N1244="","OPEN",IF(OR(I1244="",J1244="",K1244="",L1244="",M1244=""),"FAIL","PASS"))</x:f>
        <x:v>OPEN</x:v>
      </x:c>
    </x:row>
    <x:row r="1245">
      <x:c r="B1245" s="7" t="str">
        <x:v>CH-PEA-B-X3-15-3</x:v>
      </x:c>
      <x:c r="C1245" s="7" t="str">
        <x:v>PEA-B-X3</x:v>
      </x:c>
      <x:c r="D1245" s="7" t="str">
        <x:v>BLD-B</x:v>
      </x:c>
      <x:c r="E1245" s="7" t="str">
        <x:v>BL-X</x:v>
      </x:c>
      <x:c r="F1245" s="7" t="str">
        <x:v>MF-15</x:v>
      </x:c>
      <x:c r="G1245" s="7" t="str">
        <x:v>source motive energy</x:v>
      </x:c>
      <x:c r="H1245" s="7" t="n">
        <x:v>3</x:v>
      </x:c>
      <x:c r="I1245" s="7" t="str"/>
      <x:c r="J1245" s="7" t="str"/>
      <x:c r="K1245" s="7" t="str"/>
      <x:c r="L1245" s="7" t="str"/>
      <x:c r="M1245" s="7" t="str"/>
      <x:c r="N1245" s="7" t="str"/>
      <x:c r="O1245" s="7" t="str">
        <x:f>IF(N1245="","OPEN",IF(OR(I1245="",J1245="",K1245="",L1245="",M1245=""),"FAIL","PASS"))</x:f>
        <x:v>OPEN</x:v>
      </x:c>
    </x:row>
    <x:row r="1246">
      <x:c r="B1246" s="7" t="str">
        <x:v>CH-PEA-B-X3-15-4</x:v>
      </x:c>
      <x:c r="C1246" s="7" t="str">
        <x:v>PEA-B-X3</x:v>
      </x:c>
      <x:c r="D1246" s="7" t="str">
        <x:v>BLD-B</x:v>
      </x:c>
      <x:c r="E1246" s="7" t="str">
        <x:v>BL-X</x:v>
      </x:c>
      <x:c r="F1246" s="7" t="str">
        <x:v>MF-15</x:v>
      </x:c>
      <x:c r="G1246" s="7" t="str">
        <x:v>source motive energy</x:v>
      </x:c>
      <x:c r="H1246" s="7" t="n">
        <x:v>4</x:v>
      </x:c>
      <x:c r="I1246" s="7" t="str"/>
      <x:c r="J1246" s="7" t="str"/>
      <x:c r="K1246" s="7" t="str"/>
      <x:c r="L1246" s="7" t="str"/>
      <x:c r="M1246" s="7" t="str"/>
      <x:c r="N1246" s="7" t="str"/>
      <x:c r="O1246" s="7" t="str">
        <x:f>IF(N1246="","OPEN",IF(OR(I1246="",J1246="",K1246="",L1246="",M1246=""),"FAIL","PASS"))</x:f>
        <x:v>OPEN</x:v>
      </x:c>
    </x:row>
    <x:row r="1247">
      <x:c r="B1247" s="7" t="str">
        <x:v>CH-PEA-B-X3-15-5</x:v>
      </x:c>
      <x:c r="C1247" s="7" t="str">
        <x:v>PEA-B-X3</x:v>
      </x:c>
      <x:c r="D1247" s="7" t="str">
        <x:v>BLD-B</x:v>
      </x:c>
      <x:c r="E1247" s="7" t="str">
        <x:v>BL-X</x:v>
      </x:c>
      <x:c r="F1247" s="7" t="str">
        <x:v>MF-15</x:v>
      </x:c>
      <x:c r="G1247" s="7" t="str">
        <x:v>source motive energy</x:v>
      </x:c>
      <x:c r="H1247" s="7" t="n">
        <x:v>5</x:v>
      </x:c>
      <x:c r="I1247" s="7" t="str"/>
      <x:c r="J1247" s="7" t="str"/>
      <x:c r="K1247" s="7" t="str"/>
      <x:c r="L1247" s="7" t="str"/>
      <x:c r="M1247" s="7" t="str"/>
      <x:c r="N1247" s="7" t="str"/>
      <x:c r="O1247" s="7" t="str">
        <x:f>IF(N1247="","OPEN",IF(OR(I1247="",J1247="",K1247="",L1247="",M1247=""),"FAIL","PASS"))</x:f>
        <x:v>OPEN</x:v>
      </x:c>
    </x:row>
    <x:row r="1248">
      <x:c r="B1248" s="7" t="str">
        <x:v>CH-PEA-B-X3-15-6</x:v>
      </x:c>
      <x:c r="C1248" s="7" t="str">
        <x:v>PEA-B-X3</x:v>
      </x:c>
      <x:c r="D1248" s="7" t="str">
        <x:v>BLD-B</x:v>
      </x:c>
      <x:c r="E1248" s="7" t="str">
        <x:v>BL-X</x:v>
      </x:c>
      <x:c r="F1248" s="7" t="str">
        <x:v>MF-15</x:v>
      </x:c>
      <x:c r="G1248" s="7" t="str">
        <x:v>source motive energy</x:v>
      </x:c>
      <x:c r="H1248" s="7" t="n">
        <x:v>6</x:v>
      </x:c>
      <x:c r="I1248" s="7" t="str"/>
      <x:c r="J1248" s="7" t="str"/>
      <x:c r="K1248" s="7" t="str"/>
      <x:c r="L1248" s="7" t="str"/>
      <x:c r="M1248" s="7" t="str"/>
      <x:c r="N1248" s="7" t="str"/>
      <x:c r="O1248" s="7" t="str">
        <x:f>IF(N1248="","OPEN",IF(OR(I1248="",J1248="",K1248="",L1248="",M1248=""),"FAIL","PASS"))</x:f>
        <x:v>OPEN</x:v>
      </x:c>
    </x:row>
    <x:row r="1249">
      <x:c r="B1249" s="7" t="str">
        <x:v>CH-PEA-B-X3-16-1</x:v>
      </x:c>
      <x:c r="C1249" s="7" t="str">
        <x:v>PEA-B-X3</x:v>
      </x:c>
      <x:c r="D1249" s="7" t="str">
        <x:v>BLD-B</x:v>
      </x:c>
      <x:c r="E1249" s="7" t="str">
        <x:v>BL-X</x:v>
      </x:c>
      <x:c r="F1249" s="7" t="str">
        <x:v>MF-16</x:v>
      </x:c>
      <x:c r="G1249" s="7" t="str">
        <x:v>water motive energy</x:v>
      </x:c>
      <x:c r="H1249" s="7" t="n">
        <x:v>1</x:v>
      </x:c>
      <x:c r="I1249" s="7" t="str"/>
      <x:c r="J1249" s="7" t="str"/>
      <x:c r="K1249" s="7" t="str"/>
      <x:c r="L1249" s="7" t="str"/>
      <x:c r="M1249" s="7" t="str"/>
      <x:c r="N1249" s="7" t="str"/>
      <x:c r="O1249" s="7" t="str">
        <x:f>IF(N1249="","OPEN",IF(OR(I1249="",J1249="",K1249="",L1249="",M1249=""),"FAIL","PASS"))</x:f>
        <x:v>OPEN</x:v>
      </x:c>
    </x:row>
    <x:row r="1250">
      <x:c r="B1250" s="7" t="str">
        <x:v>CH-PEA-B-X3-16-2</x:v>
      </x:c>
      <x:c r="C1250" s="7" t="str">
        <x:v>PEA-B-X3</x:v>
      </x:c>
      <x:c r="D1250" s="7" t="str">
        <x:v>BLD-B</x:v>
      </x:c>
      <x:c r="E1250" s="7" t="str">
        <x:v>BL-X</x:v>
      </x:c>
      <x:c r="F1250" s="7" t="str">
        <x:v>MF-16</x:v>
      </x:c>
      <x:c r="G1250" s="7" t="str">
        <x:v>water motive energy</x:v>
      </x:c>
      <x:c r="H1250" s="7" t="n">
        <x:v>2</x:v>
      </x:c>
      <x:c r="I1250" s="7" t="str"/>
      <x:c r="J1250" s="7" t="str"/>
      <x:c r="K1250" s="7" t="str"/>
      <x:c r="L1250" s="7" t="str"/>
      <x:c r="M1250" s="7" t="str"/>
      <x:c r="N1250" s="7" t="str"/>
      <x:c r="O1250" s="7" t="str">
        <x:f>IF(N1250="","OPEN",IF(OR(I1250="",J1250="",K1250="",L1250="",M1250=""),"FAIL","PASS"))</x:f>
        <x:v>OPEN</x:v>
      </x:c>
    </x:row>
    <x:row r="1251">
      <x:c r="B1251" s="7" t="str">
        <x:v>CH-PEA-B-X3-16-3</x:v>
      </x:c>
      <x:c r="C1251" s="7" t="str">
        <x:v>PEA-B-X3</x:v>
      </x:c>
      <x:c r="D1251" s="7" t="str">
        <x:v>BLD-B</x:v>
      </x:c>
      <x:c r="E1251" s="7" t="str">
        <x:v>BL-X</x:v>
      </x:c>
      <x:c r="F1251" s="7" t="str">
        <x:v>MF-16</x:v>
      </x:c>
      <x:c r="G1251" s="7" t="str">
        <x:v>water motive energy</x:v>
      </x:c>
      <x:c r="H1251" s="7" t="n">
        <x:v>3</x:v>
      </x:c>
      <x:c r="I1251" s="7" t="str"/>
      <x:c r="J1251" s="7" t="str"/>
      <x:c r="K1251" s="7" t="str"/>
      <x:c r="L1251" s="7" t="str"/>
      <x:c r="M1251" s="7" t="str"/>
      <x:c r="N1251" s="7" t="str"/>
      <x:c r="O1251" s="7" t="str">
        <x:f>IF(N1251="","OPEN",IF(OR(I1251="",J1251="",K1251="",L1251="",M1251=""),"FAIL","PASS"))</x:f>
        <x:v>OPEN</x:v>
      </x:c>
    </x:row>
    <x:row r="1252">
      <x:c r="B1252" s="7" t="str">
        <x:v>CH-PEA-B-X3-16-4</x:v>
      </x:c>
      <x:c r="C1252" s="7" t="str">
        <x:v>PEA-B-X3</x:v>
      </x:c>
      <x:c r="D1252" s="7" t="str">
        <x:v>BLD-B</x:v>
      </x:c>
      <x:c r="E1252" s="7" t="str">
        <x:v>BL-X</x:v>
      </x:c>
      <x:c r="F1252" s="7" t="str">
        <x:v>MF-16</x:v>
      </x:c>
      <x:c r="G1252" s="7" t="str">
        <x:v>water motive energy</x:v>
      </x:c>
      <x:c r="H1252" s="7" t="n">
        <x:v>4</x:v>
      </x:c>
      <x:c r="I1252" s="7" t="str"/>
      <x:c r="J1252" s="7" t="str"/>
      <x:c r="K1252" s="7" t="str"/>
      <x:c r="L1252" s="7" t="str"/>
      <x:c r="M1252" s="7" t="str"/>
      <x:c r="N1252" s="7" t="str"/>
      <x:c r="O1252" s="7" t="str">
        <x:f>IF(N1252="","OPEN",IF(OR(I1252="",J1252="",K1252="",L1252="",M1252=""),"FAIL","PASS"))</x:f>
        <x:v>OPEN</x:v>
      </x:c>
    </x:row>
    <x:row r="1253">
      <x:c r="B1253" s="7" t="str">
        <x:v>CH-PEA-B-X3-16-5</x:v>
      </x:c>
      <x:c r="C1253" s="7" t="str">
        <x:v>PEA-B-X3</x:v>
      </x:c>
      <x:c r="D1253" s="7" t="str">
        <x:v>BLD-B</x:v>
      </x:c>
      <x:c r="E1253" s="7" t="str">
        <x:v>BL-X</x:v>
      </x:c>
      <x:c r="F1253" s="7" t="str">
        <x:v>MF-16</x:v>
      </x:c>
      <x:c r="G1253" s="7" t="str">
        <x:v>water motive energy</x:v>
      </x:c>
      <x:c r="H1253" s="7" t="n">
        <x:v>5</x:v>
      </x:c>
      <x:c r="I1253" s="7" t="str"/>
      <x:c r="J1253" s="7" t="str"/>
      <x:c r="K1253" s="7" t="str"/>
      <x:c r="L1253" s="7" t="str"/>
      <x:c r="M1253" s="7" t="str"/>
      <x:c r="N1253" s="7" t="str"/>
      <x:c r="O1253" s="7" t="str">
        <x:f>IF(N1253="","OPEN",IF(OR(I1253="",J1253="",K1253="",L1253="",M1253=""),"FAIL","PASS"))</x:f>
        <x:v>OPEN</x:v>
      </x:c>
    </x:row>
    <x:row r="1254">
      <x:c r="B1254" s="7" t="str">
        <x:v>CH-PEA-B-X3-16-6</x:v>
      </x:c>
      <x:c r="C1254" s="7" t="str">
        <x:v>PEA-B-X3</x:v>
      </x:c>
      <x:c r="D1254" s="7" t="str">
        <x:v>BLD-B</x:v>
      </x:c>
      <x:c r="E1254" s="7" t="str">
        <x:v>BL-X</x:v>
      </x:c>
      <x:c r="F1254" s="7" t="str">
        <x:v>MF-16</x:v>
      </x:c>
      <x:c r="G1254" s="7" t="str">
        <x:v>water motive energy</x:v>
      </x:c>
      <x:c r="H1254" s="7" t="n">
        <x:v>6</x:v>
      </x:c>
      <x:c r="I1254" s="7" t="str"/>
      <x:c r="J1254" s="7" t="str"/>
      <x:c r="K1254" s="7" t="str"/>
      <x:c r="L1254" s="7" t="str"/>
      <x:c r="M1254" s="7" t="str"/>
      <x:c r="N1254" s="7" t="str"/>
      <x:c r="O1254" s="7" t="str">
        <x:f>IF(N1254="","OPEN",IF(OR(I1254="",J1254="",K1254="",L1254="",M1254=""),"FAIL","PASS"))</x:f>
        <x:v>OPEN</x:v>
      </x:c>
    </x:row>
    <x:row r="1255">
      <x:c r="B1255" s="7" t="str">
        <x:v>CH-PEA-B-X3-17-1</x:v>
      </x:c>
      <x:c r="C1255" s="7" t="str">
        <x:v>PEA-B-X3</x:v>
      </x:c>
      <x:c r="D1255" s="7" t="str">
        <x:v>BLD-B</x:v>
      </x:c>
      <x:c r="E1255" s="7" t="str">
        <x:v>BL-X</x:v>
      </x:c>
      <x:c r="F1255" s="7" t="str">
        <x:v>MF-17</x:v>
      </x:c>
      <x:c r="G1255" s="7" t="str">
        <x:v>normal power</x:v>
      </x:c>
      <x:c r="H1255" s="7" t="n">
        <x:v>1</x:v>
      </x:c>
      <x:c r="I1255" s="7" t="str"/>
      <x:c r="J1255" s="7" t="str"/>
      <x:c r="K1255" s="7" t="str"/>
      <x:c r="L1255" s="7" t="str"/>
      <x:c r="M1255" s="7" t="str"/>
      <x:c r="N1255" s="7" t="str"/>
      <x:c r="O1255" s="7" t="str">
        <x:f>IF(N1255="","OPEN",IF(OR(I1255="",J1255="",K1255="",L1255="",M1255=""),"FAIL","PASS"))</x:f>
        <x:v>OPEN</x:v>
      </x:c>
    </x:row>
    <x:row r="1256">
      <x:c r="B1256" s="7" t="str">
        <x:v>CH-PEA-B-X3-17-2</x:v>
      </x:c>
      <x:c r="C1256" s="7" t="str">
        <x:v>PEA-B-X3</x:v>
      </x:c>
      <x:c r="D1256" s="7" t="str">
        <x:v>BLD-B</x:v>
      </x:c>
      <x:c r="E1256" s="7" t="str">
        <x:v>BL-X</x:v>
      </x:c>
      <x:c r="F1256" s="7" t="str">
        <x:v>MF-17</x:v>
      </x:c>
      <x:c r="G1256" s="7" t="str">
        <x:v>normal power</x:v>
      </x:c>
      <x:c r="H1256" s="7" t="n">
        <x:v>2</x:v>
      </x:c>
      <x:c r="I1256" s="7" t="str"/>
      <x:c r="J1256" s="7" t="str"/>
      <x:c r="K1256" s="7" t="str"/>
      <x:c r="L1256" s="7" t="str"/>
      <x:c r="M1256" s="7" t="str"/>
      <x:c r="N1256" s="7" t="str"/>
      <x:c r="O1256" s="7" t="str">
        <x:f>IF(N1256="","OPEN",IF(OR(I1256="",J1256="",K1256="",L1256="",M1256=""),"FAIL","PASS"))</x:f>
        <x:v>OPEN</x:v>
      </x:c>
    </x:row>
    <x:row r="1257">
      <x:c r="B1257" s="7" t="str">
        <x:v>CH-PEA-B-X3-17-3</x:v>
      </x:c>
      <x:c r="C1257" s="7" t="str">
        <x:v>PEA-B-X3</x:v>
      </x:c>
      <x:c r="D1257" s="7" t="str">
        <x:v>BLD-B</x:v>
      </x:c>
      <x:c r="E1257" s="7" t="str">
        <x:v>BL-X</x:v>
      </x:c>
      <x:c r="F1257" s="7" t="str">
        <x:v>MF-17</x:v>
      </x:c>
      <x:c r="G1257" s="7" t="str">
        <x:v>normal power</x:v>
      </x:c>
      <x:c r="H1257" s="7" t="n">
        <x:v>3</x:v>
      </x:c>
      <x:c r="I1257" s="7" t="str"/>
      <x:c r="J1257" s="7" t="str"/>
      <x:c r="K1257" s="7" t="str"/>
      <x:c r="L1257" s="7" t="str"/>
      <x:c r="M1257" s="7" t="str"/>
      <x:c r="N1257" s="7" t="str"/>
      <x:c r="O1257" s="7" t="str">
        <x:f>IF(N1257="","OPEN",IF(OR(I1257="",J1257="",K1257="",L1257="",M1257=""),"FAIL","PASS"))</x:f>
        <x:v>OPEN</x:v>
      </x:c>
    </x:row>
    <x:row r="1258">
      <x:c r="B1258" s="7" t="str">
        <x:v>CH-PEA-B-X3-17-4</x:v>
      </x:c>
      <x:c r="C1258" s="7" t="str">
        <x:v>PEA-B-X3</x:v>
      </x:c>
      <x:c r="D1258" s="7" t="str">
        <x:v>BLD-B</x:v>
      </x:c>
      <x:c r="E1258" s="7" t="str">
        <x:v>BL-X</x:v>
      </x:c>
      <x:c r="F1258" s="7" t="str">
        <x:v>MF-17</x:v>
      </x:c>
      <x:c r="G1258" s="7" t="str">
        <x:v>normal power</x:v>
      </x:c>
      <x:c r="H1258" s="7" t="n">
        <x:v>4</x:v>
      </x:c>
      <x:c r="I1258" s="7" t="str"/>
      <x:c r="J1258" s="7" t="str"/>
      <x:c r="K1258" s="7" t="str"/>
      <x:c r="L1258" s="7" t="str"/>
      <x:c r="M1258" s="7" t="str"/>
      <x:c r="N1258" s="7" t="str"/>
      <x:c r="O1258" s="7" t="str">
        <x:f>IF(N1258="","OPEN",IF(OR(I1258="",J1258="",K1258="",L1258="",M1258=""),"FAIL","PASS"))</x:f>
        <x:v>OPEN</x:v>
      </x:c>
    </x:row>
    <x:row r="1259">
      <x:c r="B1259" s="7" t="str">
        <x:v>CH-PEA-B-X3-17-5</x:v>
      </x:c>
      <x:c r="C1259" s="7" t="str">
        <x:v>PEA-B-X3</x:v>
      </x:c>
      <x:c r="D1259" s="7" t="str">
        <x:v>BLD-B</x:v>
      </x:c>
      <x:c r="E1259" s="7" t="str">
        <x:v>BL-X</x:v>
      </x:c>
      <x:c r="F1259" s="7" t="str">
        <x:v>MF-17</x:v>
      </x:c>
      <x:c r="G1259" s="7" t="str">
        <x:v>normal power</x:v>
      </x:c>
      <x:c r="H1259" s="7" t="n">
        <x:v>5</x:v>
      </x:c>
      <x:c r="I1259" s="7" t="str"/>
      <x:c r="J1259" s="7" t="str"/>
      <x:c r="K1259" s="7" t="str"/>
      <x:c r="L1259" s="7" t="str"/>
      <x:c r="M1259" s="7" t="str"/>
      <x:c r="N1259" s="7" t="str"/>
      <x:c r="O1259" s="7" t="str">
        <x:f>IF(N1259="","OPEN",IF(OR(I1259="",J1259="",K1259="",L1259="",M1259=""),"FAIL","PASS"))</x:f>
        <x:v>OPEN</x:v>
      </x:c>
    </x:row>
    <x:row r="1260">
      <x:c r="B1260" s="7" t="str">
        <x:v>CH-PEA-B-X3-17-6</x:v>
      </x:c>
      <x:c r="C1260" s="7" t="str">
        <x:v>PEA-B-X3</x:v>
      </x:c>
      <x:c r="D1260" s="7" t="str">
        <x:v>BLD-B</x:v>
      </x:c>
      <x:c r="E1260" s="7" t="str">
        <x:v>BL-X</x:v>
      </x:c>
      <x:c r="F1260" s="7" t="str">
        <x:v>MF-17</x:v>
      </x:c>
      <x:c r="G1260" s="7" t="str">
        <x:v>normal power</x:v>
      </x:c>
      <x:c r="H1260" s="7" t="n">
        <x:v>6</x:v>
      </x:c>
      <x:c r="I1260" s="7" t="str"/>
      <x:c r="J1260" s="7" t="str"/>
      <x:c r="K1260" s="7" t="str"/>
      <x:c r="L1260" s="7" t="str"/>
      <x:c r="M1260" s="7" t="str"/>
      <x:c r="N1260" s="7" t="str"/>
      <x:c r="O1260" s="7" t="str">
        <x:f>IF(N1260="","OPEN",IF(OR(I1260="",J1260="",K1260="",L1260="",M1260=""),"FAIL","PASS"))</x:f>
        <x:v>OPEN</x:v>
      </x:c>
    </x:row>
    <x:row r="1261">
      <x:c r="B1261" s="7" t="str">
        <x:v>CH-PEA-B-X3-18-1</x:v>
      </x:c>
      <x:c r="C1261" s="7" t="str">
        <x:v>PEA-B-X3</x:v>
      </x:c>
      <x:c r="D1261" s="7" t="str">
        <x:v>BLD-B</x:v>
      </x:c>
      <x:c r="E1261" s="7" t="str">
        <x:v>BL-X</x:v>
      </x:c>
      <x:c r="F1261" s="7" t="str">
        <x:v>MF-18</x:v>
      </x:c>
      <x:c r="G1261" s="7" t="str">
        <x:v>independent power</x:v>
      </x:c>
      <x:c r="H1261" s="7" t="n">
        <x:v>1</x:v>
      </x:c>
      <x:c r="I1261" s="7" t="str"/>
      <x:c r="J1261" s="7" t="str"/>
      <x:c r="K1261" s="7" t="str"/>
      <x:c r="L1261" s="7" t="str"/>
      <x:c r="M1261" s="7" t="str"/>
      <x:c r="N1261" s="7" t="str"/>
      <x:c r="O1261" s="7" t="str">
        <x:f>IF(N1261="","OPEN",IF(OR(I1261="",J1261="",K1261="",L1261="",M1261=""),"FAIL","PASS"))</x:f>
        <x:v>OPEN</x:v>
      </x:c>
    </x:row>
    <x:row r="1262">
      <x:c r="B1262" s="7" t="str">
        <x:v>CH-PEA-B-X3-18-2</x:v>
      </x:c>
      <x:c r="C1262" s="7" t="str">
        <x:v>PEA-B-X3</x:v>
      </x:c>
      <x:c r="D1262" s="7" t="str">
        <x:v>BLD-B</x:v>
      </x:c>
      <x:c r="E1262" s="7" t="str">
        <x:v>BL-X</x:v>
      </x:c>
      <x:c r="F1262" s="7" t="str">
        <x:v>MF-18</x:v>
      </x:c>
      <x:c r="G1262" s="7" t="str">
        <x:v>independent power</x:v>
      </x:c>
      <x:c r="H1262" s="7" t="n">
        <x:v>2</x:v>
      </x:c>
      <x:c r="I1262" s="7" t="str"/>
      <x:c r="J1262" s="7" t="str"/>
      <x:c r="K1262" s="7" t="str"/>
      <x:c r="L1262" s="7" t="str"/>
      <x:c r="M1262" s="7" t="str"/>
      <x:c r="N1262" s="7" t="str"/>
      <x:c r="O1262" s="7" t="str">
        <x:f>IF(N1262="","OPEN",IF(OR(I1262="",J1262="",K1262="",L1262="",M1262=""),"FAIL","PASS"))</x:f>
        <x:v>OPEN</x:v>
      </x:c>
    </x:row>
    <x:row r="1263">
      <x:c r="B1263" s="7" t="str">
        <x:v>CH-PEA-B-X3-18-3</x:v>
      </x:c>
      <x:c r="C1263" s="7" t="str">
        <x:v>PEA-B-X3</x:v>
      </x:c>
      <x:c r="D1263" s="7" t="str">
        <x:v>BLD-B</x:v>
      </x:c>
      <x:c r="E1263" s="7" t="str">
        <x:v>BL-X</x:v>
      </x:c>
      <x:c r="F1263" s="7" t="str">
        <x:v>MF-18</x:v>
      </x:c>
      <x:c r="G1263" s="7" t="str">
        <x:v>independent power</x:v>
      </x:c>
      <x:c r="H1263" s="7" t="n">
        <x:v>3</x:v>
      </x:c>
      <x:c r="I1263" s="7" t="str"/>
      <x:c r="J1263" s="7" t="str"/>
      <x:c r="K1263" s="7" t="str"/>
      <x:c r="L1263" s="7" t="str"/>
      <x:c r="M1263" s="7" t="str"/>
      <x:c r="N1263" s="7" t="str"/>
      <x:c r="O1263" s="7" t="str">
        <x:f>IF(N1263="","OPEN",IF(OR(I1263="",J1263="",K1263="",L1263="",M1263=""),"FAIL","PASS"))</x:f>
        <x:v>OPEN</x:v>
      </x:c>
    </x:row>
    <x:row r="1264">
      <x:c r="B1264" s="7" t="str">
        <x:v>CH-PEA-B-X3-18-4</x:v>
      </x:c>
      <x:c r="C1264" s="7" t="str">
        <x:v>PEA-B-X3</x:v>
      </x:c>
      <x:c r="D1264" s="7" t="str">
        <x:v>BLD-B</x:v>
      </x:c>
      <x:c r="E1264" s="7" t="str">
        <x:v>BL-X</x:v>
      </x:c>
      <x:c r="F1264" s="7" t="str">
        <x:v>MF-18</x:v>
      </x:c>
      <x:c r="G1264" s="7" t="str">
        <x:v>independent power</x:v>
      </x:c>
      <x:c r="H1264" s="7" t="n">
        <x:v>4</x:v>
      </x:c>
      <x:c r="I1264" s="7" t="str"/>
      <x:c r="J1264" s="7" t="str"/>
      <x:c r="K1264" s="7" t="str"/>
      <x:c r="L1264" s="7" t="str"/>
      <x:c r="M1264" s="7" t="str"/>
      <x:c r="N1264" s="7" t="str"/>
      <x:c r="O1264" s="7" t="str">
        <x:f>IF(N1264="","OPEN",IF(OR(I1264="",J1264="",K1264="",L1264="",M1264=""),"FAIL","PASS"))</x:f>
        <x:v>OPEN</x:v>
      </x:c>
    </x:row>
    <x:row r="1265">
      <x:c r="B1265" s="7" t="str">
        <x:v>CH-PEA-B-X3-18-5</x:v>
      </x:c>
      <x:c r="C1265" s="7" t="str">
        <x:v>PEA-B-X3</x:v>
      </x:c>
      <x:c r="D1265" s="7" t="str">
        <x:v>BLD-B</x:v>
      </x:c>
      <x:c r="E1265" s="7" t="str">
        <x:v>BL-X</x:v>
      </x:c>
      <x:c r="F1265" s="7" t="str">
        <x:v>MF-18</x:v>
      </x:c>
      <x:c r="G1265" s="7" t="str">
        <x:v>independent power</x:v>
      </x:c>
      <x:c r="H1265" s="7" t="n">
        <x:v>5</x:v>
      </x:c>
      <x:c r="I1265" s="7" t="str"/>
      <x:c r="J1265" s="7" t="str"/>
      <x:c r="K1265" s="7" t="str"/>
      <x:c r="L1265" s="7" t="str"/>
      <x:c r="M1265" s="7" t="str"/>
      <x:c r="N1265" s="7" t="str"/>
      <x:c r="O1265" s="7" t="str">
        <x:f>IF(N1265="","OPEN",IF(OR(I1265="",J1265="",K1265="",L1265="",M1265=""),"FAIL","PASS"))</x:f>
        <x:v>OPEN</x:v>
      </x:c>
    </x:row>
    <x:row r="1266">
      <x:c r="B1266" s="7" t="str">
        <x:v>CH-PEA-B-X3-18-6</x:v>
      </x:c>
      <x:c r="C1266" s="7" t="str">
        <x:v>PEA-B-X3</x:v>
      </x:c>
      <x:c r="D1266" s="7" t="str">
        <x:v>BLD-B</x:v>
      </x:c>
      <x:c r="E1266" s="7" t="str">
        <x:v>BL-X</x:v>
      </x:c>
      <x:c r="F1266" s="7" t="str">
        <x:v>MF-18</x:v>
      </x:c>
      <x:c r="G1266" s="7" t="str">
        <x:v>independent power</x:v>
      </x:c>
      <x:c r="H1266" s="7" t="n">
        <x:v>6</x:v>
      </x:c>
      <x:c r="I1266" s="7" t="str"/>
      <x:c r="J1266" s="7" t="str"/>
      <x:c r="K1266" s="7" t="str"/>
      <x:c r="L1266" s="7" t="str"/>
      <x:c r="M1266" s="7" t="str"/>
      <x:c r="N1266" s="7" t="str"/>
      <x:c r="O1266" s="7" t="str">
        <x:f>IF(N1266="","OPEN",IF(OR(I1266="",J1266="",K1266="",L1266="",M1266=""),"FAIL","PASS"))</x:f>
        <x:v>OPEN</x:v>
      </x:c>
    </x:row>
    <x:row r="1267">
      <x:c r="B1267" s="7" t="str">
        <x:v>CH-PEA-B-X3-19-1</x:v>
      </x:c>
      <x:c r="C1267" s="7" t="str">
        <x:v>PEA-B-X3</x:v>
      </x:c>
      <x:c r="D1267" s="7" t="str">
        <x:v>BLD-B</x:v>
      </x:c>
      <x:c r="E1267" s="7" t="str">
        <x:v>BL-X</x:v>
      </x:c>
      <x:c r="F1267" s="7" t="str">
        <x:v>MF-19</x:v>
      </x:c>
      <x:c r="G1267" s="7" t="str">
        <x:v>leak collection</x:v>
      </x:c>
      <x:c r="H1267" s="7" t="n">
        <x:v>1</x:v>
      </x:c>
      <x:c r="I1267" s="7" t="str"/>
      <x:c r="J1267" s="7" t="str"/>
      <x:c r="K1267" s="7" t="str"/>
      <x:c r="L1267" s="7" t="str"/>
      <x:c r="M1267" s="7" t="str"/>
      <x:c r="N1267" s="7" t="str"/>
      <x:c r="O1267" s="7" t="str">
        <x:f>IF(N1267="","OPEN",IF(OR(I1267="",J1267="",K1267="",L1267="",M1267=""),"FAIL","PASS"))</x:f>
        <x:v>OPEN</x:v>
      </x:c>
    </x:row>
    <x:row r="1268">
      <x:c r="B1268" s="7" t="str">
        <x:v>CH-PEA-B-X3-19-2</x:v>
      </x:c>
      <x:c r="C1268" s="7" t="str">
        <x:v>PEA-B-X3</x:v>
      </x:c>
      <x:c r="D1268" s="7" t="str">
        <x:v>BLD-B</x:v>
      </x:c>
      <x:c r="E1268" s="7" t="str">
        <x:v>BL-X</x:v>
      </x:c>
      <x:c r="F1268" s="7" t="str">
        <x:v>MF-19</x:v>
      </x:c>
      <x:c r="G1268" s="7" t="str">
        <x:v>leak collection</x:v>
      </x:c>
      <x:c r="H1268" s="7" t="n">
        <x:v>2</x:v>
      </x:c>
      <x:c r="I1268" s="7" t="str"/>
      <x:c r="J1268" s="7" t="str"/>
      <x:c r="K1268" s="7" t="str"/>
      <x:c r="L1268" s="7" t="str"/>
      <x:c r="M1268" s="7" t="str"/>
      <x:c r="N1268" s="7" t="str"/>
      <x:c r="O1268" s="7" t="str">
        <x:f>IF(N1268="","OPEN",IF(OR(I1268="",J1268="",K1268="",L1268="",M1268=""),"FAIL","PASS"))</x:f>
        <x:v>OPEN</x:v>
      </x:c>
    </x:row>
    <x:row r="1269">
      <x:c r="B1269" s="7" t="str">
        <x:v>CH-PEA-B-X3-19-3</x:v>
      </x:c>
      <x:c r="C1269" s="7" t="str">
        <x:v>PEA-B-X3</x:v>
      </x:c>
      <x:c r="D1269" s="7" t="str">
        <x:v>BLD-B</x:v>
      </x:c>
      <x:c r="E1269" s="7" t="str">
        <x:v>BL-X</x:v>
      </x:c>
      <x:c r="F1269" s="7" t="str">
        <x:v>MF-19</x:v>
      </x:c>
      <x:c r="G1269" s="7" t="str">
        <x:v>leak collection</x:v>
      </x:c>
      <x:c r="H1269" s="7" t="n">
        <x:v>3</x:v>
      </x:c>
      <x:c r="I1269" s="7" t="str"/>
      <x:c r="J1269" s="7" t="str"/>
      <x:c r="K1269" s="7" t="str"/>
      <x:c r="L1269" s="7" t="str"/>
      <x:c r="M1269" s="7" t="str"/>
      <x:c r="N1269" s="7" t="str"/>
      <x:c r="O1269" s="7" t="str">
        <x:f>IF(N1269="","OPEN",IF(OR(I1269="",J1269="",K1269="",L1269="",M1269=""),"FAIL","PASS"))</x:f>
        <x:v>OPEN</x:v>
      </x:c>
    </x:row>
    <x:row r="1270">
      <x:c r="B1270" s="7" t="str">
        <x:v>CH-PEA-B-X3-19-4</x:v>
      </x:c>
      <x:c r="C1270" s="7" t="str">
        <x:v>PEA-B-X3</x:v>
      </x:c>
      <x:c r="D1270" s="7" t="str">
        <x:v>BLD-B</x:v>
      </x:c>
      <x:c r="E1270" s="7" t="str">
        <x:v>BL-X</x:v>
      </x:c>
      <x:c r="F1270" s="7" t="str">
        <x:v>MF-19</x:v>
      </x:c>
      <x:c r="G1270" s="7" t="str">
        <x:v>leak collection</x:v>
      </x:c>
      <x:c r="H1270" s="7" t="n">
        <x:v>4</x:v>
      </x:c>
      <x:c r="I1270" s="7" t="str"/>
      <x:c r="J1270" s="7" t="str"/>
      <x:c r="K1270" s="7" t="str"/>
      <x:c r="L1270" s="7" t="str"/>
      <x:c r="M1270" s="7" t="str"/>
      <x:c r="N1270" s="7" t="str"/>
      <x:c r="O1270" s="7" t="str">
        <x:f>IF(N1270="","OPEN",IF(OR(I1270="",J1270="",K1270="",L1270="",M1270=""),"FAIL","PASS"))</x:f>
        <x:v>OPEN</x:v>
      </x:c>
    </x:row>
    <x:row r="1271">
      <x:c r="B1271" s="7" t="str">
        <x:v>CH-PEA-B-X3-19-5</x:v>
      </x:c>
      <x:c r="C1271" s="7" t="str">
        <x:v>PEA-B-X3</x:v>
      </x:c>
      <x:c r="D1271" s="7" t="str">
        <x:v>BLD-B</x:v>
      </x:c>
      <x:c r="E1271" s="7" t="str">
        <x:v>BL-X</x:v>
      </x:c>
      <x:c r="F1271" s="7" t="str">
        <x:v>MF-19</x:v>
      </x:c>
      <x:c r="G1271" s="7" t="str">
        <x:v>leak collection</x:v>
      </x:c>
      <x:c r="H1271" s="7" t="n">
        <x:v>5</x:v>
      </x:c>
      <x:c r="I1271" s="7" t="str"/>
      <x:c r="J1271" s="7" t="str"/>
      <x:c r="K1271" s="7" t="str"/>
      <x:c r="L1271" s="7" t="str"/>
      <x:c r="M1271" s="7" t="str"/>
      <x:c r="N1271" s="7" t="str"/>
      <x:c r="O1271" s="7" t="str">
        <x:f>IF(N1271="","OPEN",IF(OR(I1271="",J1271="",K1271="",L1271="",M1271=""),"FAIL","PASS"))</x:f>
        <x:v>OPEN</x:v>
      </x:c>
    </x:row>
    <x:row r="1272">
      <x:c r="B1272" s="7" t="str">
        <x:v>CH-PEA-B-X3-19-6</x:v>
      </x:c>
      <x:c r="C1272" s="7" t="str">
        <x:v>PEA-B-X3</x:v>
      </x:c>
      <x:c r="D1272" s="7" t="str">
        <x:v>BLD-B</x:v>
      </x:c>
      <x:c r="E1272" s="7" t="str">
        <x:v>BL-X</x:v>
      </x:c>
      <x:c r="F1272" s="7" t="str">
        <x:v>MF-19</x:v>
      </x:c>
      <x:c r="G1272" s="7" t="str">
        <x:v>leak collection</x:v>
      </x:c>
      <x:c r="H1272" s="7" t="n">
        <x:v>6</x:v>
      </x:c>
      <x:c r="I1272" s="7" t="str"/>
      <x:c r="J1272" s="7" t="str"/>
      <x:c r="K1272" s="7" t="str"/>
      <x:c r="L1272" s="7" t="str"/>
      <x:c r="M1272" s="7" t="str"/>
      <x:c r="N1272" s="7" t="str"/>
      <x:c r="O1272" s="7" t="str">
        <x:f>IF(N1272="","OPEN",IF(OR(I1272="",J1272="",K1272="",L1272="",M1272=""),"FAIL","PASS"))</x:f>
        <x:v>OPEN</x:v>
      </x:c>
    </x:row>
    <x:row r="1273">
      <x:c r="B1273" s="7" t="str">
        <x:v>CH-PEA-B-X3-20-1</x:v>
      </x:c>
      <x:c r="C1273" s="7" t="str">
        <x:v>PEA-B-X3</x:v>
      </x:c>
      <x:c r="D1273" s="7" t="str">
        <x:v>BLD-B</x:v>
      </x:c>
      <x:c r="E1273" s="7" t="str">
        <x:v>BL-X</x:v>
      </x:c>
      <x:c r="F1273" s="7" t="str">
        <x:v>MF-20</x:v>
      </x:c>
      <x:c r="G1273" s="7" t="str">
        <x:v>occupied-area state</x:v>
      </x:c>
      <x:c r="H1273" s="7" t="n">
        <x:v>1</x:v>
      </x:c>
      <x:c r="I1273" s="7" t="str"/>
      <x:c r="J1273" s="7" t="str"/>
      <x:c r="K1273" s="7" t="str"/>
      <x:c r="L1273" s="7" t="str"/>
      <x:c r="M1273" s="7" t="str"/>
      <x:c r="N1273" s="7" t="str"/>
      <x:c r="O1273" s="7" t="str">
        <x:f>IF(N1273="","OPEN",IF(OR(I1273="",J1273="",K1273="",L1273="",M1273=""),"FAIL","PASS"))</x:f>
        <x:v>OPEN</x:v>
      </x:c>
    </x:row>
    <x:row r="1274">
      <x:c r="B1274" s="7" t="str">
        <x:v>CH-PEA-B-X3-20-2</x:v>
      </x:c>
      <x:c r="C1274" s="7" t="str">
        <x:v>PEA-B-X3</x:v>
      </x:c>
      <x:c r="D1274" s="7" t="str">
        <x:v>BLD-B</x:v>
      </x:c>
      <x:c r="E1274" s="7" t="str">
        <x:v>BL-X</x:v>
      </x:c>
      <x:c r="F1274" s="7" t="str">
        <x:v>MF-20</x:v>
      </x:c>
      <x:c r="G1274" s="7" t="str">
        <x:v>occupied-area state</x:v>
      </x:c>
      <x:c r="H1274" s="7" t="n">
        <x:v>2</x:v>
      </x:c>
      <x:c r="I1274" s="7" t="str"/>
      <x:c r="J1274" s="7" t="str"/>
      <x:c r="K1274" s="7" t="str"/>
      <x:c r="L1274" s="7" t="str"/>
      <x:c r="M1274" s="7" t="str"/>
      <x:c r="N1274" s="7" t="str"/>
      <x:c r="O1274" s="7" t="str">
        <x:f>IF(N1274="","OPEN",IF(OR(I1274="",J1274="",K1274="",L1274="",M1274=""),"FAIL","PASS"))</x:f>
        <x:v>OPEN</x:v>
      </x:c>
    </x:row>
    <x:row r="1275">
      <x:c r="B1275" s="7" t="str">
        <x:v>CH-PEA-B-X3-20-3</x:v>
      </x:c>
      <x:c r="C1275" s="7" t="str">
        <x:v>PEA-B-X3</x:v>
      </x:c>
      <x:c r="D1275" s="7" t="str">
        <x:v>BLD-B</x:v>
      </x:c>
      <x:c r="E1275" s="7" t="str">
        <x:v>BL-X</x:v>
      </x:c>
      <x:c r="F1275" s="7" t="str">
        <x:v>MF-20</x:v>
      </x:c>
      <x:c r="G1275" s="7" t="str">
        <x:v>occupied-area state</x:v>
      </x:c>
      <x:c r="H1275" s="7" t="n">
        <x:v>3</x:v>
      </x:c>
      <x:c r="I1275" s="7" t="str"/>
      <x:c r="J1275" s="7" t="str"/>
      <x:c r="K1275" s="7" t="str"/>
      <x:c r="L1275" s="7" t="str"/>
      <x:c r="M1275" s="7" t="str"/>
      <x:c r="N1275" s="7" t="str"/>
      <x:c r="O1275" s="7" t="str">
        <x:f>IF(N1275="","OPEN",IF(OR(I1275="",J1275="",K1275="",L1275="",M1275=""),"FAIL","PASS"))</x:f>
        <x:v>OPEN</x:v>
      </x:c>
    </x:row>
    <x:row r="1276">
      <x:c r="B1276" s="7" t="str">
        <x:v>CH-PEA-B-X3-20-4</x:v>
      </x:c>
      <x:c r="C1276" s="7" t="str">
        <x:v>PEA-B-X3</x:v>
      </x:c>
      <x:c r="D1276" s="7" t="str">
        <x:v>BLD-B</x:v>
      </x:c>
      <x:c r="E1276" s="7" t="str">
        <x:v>BL-X</x:v>
      </x:c>
      <x:c r="F1276" s="7" t="str">
        <x:v>MF-20</x:v>
      </x:c>
      <x:c r="G1276" s="7" t="str">
        <x:v>occupied-area state</x:v>
      </x:c>
      <x:c r="H1276" s="7" t="n">
        <x:v>4</x:v>
      </x:c>
      <x:c r="I1276" s="7" t="str"/>
      <x:c r="J1276" s="7" t="str"/>
      <x:c r="K1276" s="7" t="str"/>
      <x:c r="L1276" s="7" t="str"/>
      <x:c r="M1276" s="7" t="str"/>
      <x:c r="N1276" s="7" t="str"/>
      <x:c r="O1276" s="7" t="str">
        <x:f>IF(N1276="","OPEN",IF(OR(I1276="",J1276="",K1276="",L1276="",M1276=""),"FAIL","PASS"))</x:f>
        <x:v>OPEN</x:v>
      </x:c>
    </x:row>
    <x:row r="1277">
      <x:c r="B1277" s="7" t="str">
        <x:v>CH-PEA-B-X3-20-5</x:v>
      </x:c>
      <x:c r="C1277" s="7" t="str">
        <x:v>PEA-B-X3</x:v>
      </x:c>
      <x:c r="D1277" s="7" t="str">
        <x:v>BLD-B</x:v>
      </x:c>
      <x:c r="E1277" s="7" t="str">
        <x:v>BL-X</x:v>
      </x:c>
      <x:c r="F1277" s="7" t="str">
        <x:v>MF-20</x:v>
      </x:c>
      <x:c r="G1277" s="7" t="str">
        <x:v>occupied-area state</x:v>
      </x:c>
      <x:c r="H1277" s="7" t="n">
        <x:v>5</x:v>
      </x:c>
      <x:c r="I1277" s="7" t="str"/>
      <x:c r="J1277" s="7" t="str"/>
      <x:c r="K1277" s="7" t="str"/>
      <x:c r="L1277" s="7" t="str"/>
      <x:c r="M1277" s="7" t="str"/>
      <x:c r="N1277" s="7" t="str"/>
      <x:c r="O1277" s="7" t="str">
        <x:f>IF(N1277="","OPEN",IF(OR(I1277="",J1277="",K1277="",L1277="",M1277=""),"FAIL","PASS"))</x:f>
        <x:v>OPEN</x:v>
      </x:c>
    </x:row>
    <x:row r="1278">
      <x:c r="B1278" s="7" t="str">
        <x:v>CH-PEA-B-X3-20-6</x:v>
      </x:c>
      <x:c r="C1278" s="7" t="str">
        <x:v>PEA-B-X3</x:v>
      </x:c>
      <x:c r="D1278" s="7" t="str">
        <x:v>BLD-B</x:v>
      </x:c>
      <x:c r="E1278" s="7" t="str">
        <x:v>BL-X</x:v>
      </x:c>
      <x:c r="F1278" s="7" t="str">
        <x:v>MF-20</x:v>
      </x:c>
      <x:c r="G1278" s="7" t="str">
        <x:v>occupied-area state</x:v>
      </x:c>
      <x:c r="H1278" s="7" t="n">
        <x:v>6</x:v>
      </x:c>
      <x:c r="I1278" s="7" t="str"/>
      <x:c r="J1278" s="7" t="str"/>
      <x:c r="K1278" s="7" t="str"/>
      <x:c r="L1278" s="7" t="str"/>
      <x:c r="M1278" s="7" t="str"/>
      <x:c r="N1278" s="7" t="str"/>
      <x:c r="O1278" s="7" t="str">
        <x:f>IF(N1278="","OPEN",IF(OR(I1278="",J1278="",K1278="",L1278="",M1278=""),"FAIL","PASS"))</x:f>
        <x:v>OPEN</x:v>
      </x:c>
    </x:row>
    <x:row r="1279">
      <x:c r="B1279" s="7" t="str">
        <x:v>CH-PEA-B-X3-21-1</x:v>
      </x:c>
      <x:c r="C1279" s="7" t="str">
        <x:v>PEA-B-X3</x:v>
      </x:c>
      <x:c r="D1279" s="7" t="str">
        <x:v>BLD-B</x:v>
      </x:c>
      <x:c r="E1279" s="7" t="str">
        <x:v>BL-X</x:v>
      </x:c>
      <x:c r="F1279" s="7" t="str">
        <x:v>MF-21</x:v>
      </x:c>
      <x:c r="G1279" s="7" t="str">
        <x:v>public-water flow</x:v>
      </x:c>
      <x:c r="H1279" s="7" t="n">
        <x:v>1</x:v>
      </x:c>
      <x:c r="I1279" s="7" t="str"/>
      <x:c r="J1279" s="7" t="str"/>
      <x:c r="K1279" s="7" t="str"/>
      <x:c r="L1279" s="7" t="str"/>
      <x:c r="M1279" s="7" t="str"/>
      <x:c r="N1279" s="7" t="str"/>
      <x:c r="O1279" s="7" t="str">
        <x:f>IF(N1279="","OPEN",IF(OR(I1279="",J1279="",K1279="",L1279="",M1279=""),"FAIL","PASS"))</x:f>
        <x:v>OPEN</x:v>
      </x:c>
    </x:row>
    <x:row r="1280">
      <x:c r="B1280" s="7" t="str">
        <x:v>CH-PEA-B-X3-21-2</x:v>
      </x:c>
      <x:c r="C1280" s="7" t="str">
        <x:v>PEA-B-X3</x:v>
      </x:c>
      <x:c r="D1280" s="7" t="str">
        <x:v>BLD-B</x:v>
      </x:c>
      <x:c r="E1280" s="7" t="str">
        <x:v>BL-X</x:v>
      </x:c>
      <x:c r="F1280" s="7" t="str">
        <x:v>MF-21</x:v>
      </x:c>
      <x:c r="G1280" s="7" t="str">
        <x:v>public-water flow</x:v>
      </x:c>
      <x:c r="H1280" s="7" t="n">
        <x:v>2</x:v>
      </x:c>
      <x:c r="I1280" s="7" t="str"/>
      <x:c r="J1280" s="7" t="str"/>
      <x:c r="K1280" s="7" t="str"/>
      <x:c r="L1280" s="7" t="str"/>
      <x:c r="M1280" s="7" t="str"/>
      <x:c r="N1280" s="7" t="str"/>
      <x:c r="O1280" s="7" t="str">
        <x:f>IF(N1280="","OPEN",IF(OR(I1280="",J1280="",K1280="",L1280="",M1280=""),"FAIL","PASS"))</x:f>
        <x:v>OPEN</x:v>
      </x:c>
    </x:row>
    <x:row r="1281">
      <x:c r="B1281" s="7" t="str">
        <x:v>CH-PEA-B-X3-21-3</x:v>
      </x:c>
      <x:c r="C1281" s="7" t="str">
        <x:v>PEA-B-X3</x:v>
      </x:c>
      <x:c r="D1281" s="7" t="str">
        <x:v>BLD-B</x:v>
      </x:c>
      <x:c r="E1281" s="7" t="str">
        <x:v>BL-X</x:v>
      </x:c>
      <x:c r="F1281" s="7" t="str">
        <x:v>MF-21</x:v>
      </x:c>
      <x:c r="G1281" s="7" t="str">
        <x:v>public-water flow</x:v>
      </x:c>
      <x:c r="H1281" s="7" t="n">
        <x:v>3</x:v>
      </x:c>
      <x:c r="I1281" s="7" t="str"/>
      <x:c r="J1281" s="7" t="str"/>
      <x:c r="K1281" s="7" t="str"/>
      <x:c r="L1281" s="7" t="str"/>
      <x:c r="M1281" s="7" t="str"/>
      <x:c r="N1281" s="7" t="str"/>
      <x:c r="O1281" s="7" t="str">
        <x:f>IF(N1281="","OPEN",IF(OR(I1281="",J1281="",K1281="",L1281="",M1281=""),"FAIL","PASS"))</x:f>
        <x:v>OPEN</x:v>
      </x:c>
    </x:row>
    <x:row r="1282">
      <x:c r="B1282" s="7" t="str">
        <x:v>CH-PEA-B-X3-21-4</x:v>
      </x:c>
      <x:c r="C1282" s="7" t="str">
        <x:v>PEA-B-X3</x:v>
      </x:c>
      <x:c r="D1282" s="7" t="str">
        <x:v>BLD-B</x:v>
      </x:c>
      <x:c r="E1282" s="7" t="str">
        <x:v>BL-X</x:v>
      </x:c>
      <x:c r="F1282" s="7" t="str">
        <x:v>MF-21</x:v>
      </x:c>
      <x:c r="G1282" s="7" t="str">
        <x:v>public-water flow</x:v>
      </x:c>
      <x:c r="H1282" s="7" t="n">
        <x:v>4</x:v>
      </x:c>
      <x:c r="I1282" s="7" t="str"/>
      <x:c r="J1282" s="7" t="str"/>
      <x:c r="K1282" s="7" t="str"/>
      <x:c r="L1282" s="7" t="str"/>
      <x:c r="M1282" s="7" t="str"/>
      <x:c r="N1282" s="7" t="str"/>
      <x:c r="O1282" s="7" t="str">
        <x:f>IF(N1282="","OPEN",IF(OR(I1282="",J1282="",K1282="",L1282="",M1282=""),"FAIL","PASS"))</x:f>
        <x:v>OPEN</x:v>
      </x:c>
    </x:row>
    <x:row r="1283">
      <x:c r="B1283" s="7" t="str">
        <x:v>CH-PEA-B-X3-21-5</x:v>
      </x:c>
      <x:c r="C1283" s="7" t="str">
        <x:v>PEA-B-X3</x:v>
      </x:c>
      <x:c r="D1283" s="7" t="str">
        <x:v>BLD-B</x:v>
      </x:c>
      <x:c r="E1283" s="7" t="str">
        <x:v>BL-X</x:v>
      </x:c>
      <x:c r="F1283" s="7" t="str">
        <x:v>MF-21</x:v>
      </x:c>
      <x:c r="G1283" s="7" t="str">
        <x:v>public-water flow</x:v>
      </x:c>
      <x:c r="H1283" s="7" t="n">
        <x:v>5</x:v>
      </x:c>
      <x:c r="I1283" s="7" t="str"/>
      <x:c r="J1283" s="7" t="str"/>
      <x:c r="K1283" s="7" t="str"/>
      <x:c r="L1283" s="7" t="str"/>
      <x:c r="M1283" s="7" t="str"/>
      <x:c r="N1283" s="7" t="str"/>
      <x:c r="O1283" s="7" t="str">
        <x:f>IF(N1283="","OPEN",IF(OR(I1283="",J1283="",K1283="",L1283="",M1283=""),"FAIL","PASS"))</x:f>
        <x:v>OPEN</x:v>
      </x:c>
    </x:row>
    <x:row r="1284">
      <x:c r="B1284" s="7" t="str">
        <x:v>CH-PEA-B-X3-21-6</x:v>
      </x:c>
      <x:c r="C1284" s="7" t="str">
        <x:v>PEA-B-X3</x:v>
      </x:c>
      <x:c r="D1284" s="7" t="str">
        <x:v>BLD-B</x:v>
      </x:c>
      <x:c r="E1284" s="7" t="str">
        <x:v>BL-X</x:v>
      </x:c>
      <x:c r="F1284" s="7" t="str">
        <x:v>MF-21</x:v>
      </x:c>
      <x:c r="G1284" s="7" t="str">
        <x:v>public-water flow</x:v>
      </x:c>
      <x:c r="H1284" s="7" t="n">
        <x:v>6</x:v>
      </x:c>
      <x:c r="I1284" s="7" t="str"/>
      <x:c r="J1284" s="7" t="str"/>
      <x:c r="K1284" s="7" t="str"/>
      <x:c r="L1284" s="7" t="str"/>
      <x:c r="M1284" s="7" t="str"/>
      <x:c r="N1284" s="7" t="str"/>
      <x:c r="O1284" s="7" t="str">
        <x:f>IF(N1284="","OPEN",IF(OR(I1284="",J1284="",K1284="",L1284="",M1284=""),"FAIL","PASS"))</x:f>
        <x:v>OPEN</x:v>
      </x:c>
    </x:row>
    <x:row r="1285">
      <x:c r="B1285" s="7" t="str">
        <x:v>CH-PEA-B-X3-22-1</x:v>
      </x:c>
      <x:c r="C1285" s="7" t="str">
        <x:v>PEA-B-X3</x:v>
      </x:c>
      <x:c r="D1285" s="7" t="str">
        <x:v>BLD-B</x:v>
      </x:c>
      <x:c r="E1285" s="7" t="str">
        <x:v>BL-X</x:v>
      </x:c>
      <x:c r="F1285" s="7" t="str">
        <x:v>MF-22</x:v>
      </x:c>
      <x:c r="G1285" s="7" t="str">
        <x:v>source ancestry</x:v>
      </x:c>
      <x:c r="H1285" s="7" t="n">
        <x:v>1</x:v>
      </x:c>
      <x:c r="I1285" s="7" t="str"/>
      <x:c r="J1285" s="7" t="str"/>
      <x:c r="K1285" s="7" t="str"/>
      <x:c r="L1285" s="7" t="str"/>
      <x:c r="M1285" s="7" t="str"/>
      <x:c r="N1285" s="7" t="str"/>
      <x:c r="O1285" s="7" t="str">
        <x:f>IF(N1285="","OPEN",IF(OR(I1285="",J1285="",K1285="",L1285="",M1285=""),"FAIL","PASS"))</x:f>
        <x:v>OPEN</x:v>
      </x:c>
    </x:row>
    <x:row r="1286">
      <x:c r="B1286" s="7" t="str">
        <x:v>CH-PEA-B-X3-22-2</x:v>
      </x:c>
      <x:c r="C1286" s="7" t="str">
        <x:v>PEA-B-X3</x:v>
      </x:c>
      <x:c r="D1286" s="7" t="str">
        <x:v>BLD-B</x:v>
      </x:c>
      <x:c r="E1286" s="7" t="str">
        <x:v>BL-X</x:v>
      </x:c>
      <x:c r="F1286" s="7" t="str">
        <x:v>MF-22</x:v>
      </x:c>
      <x:c r="G1286" s="7" t="str">
        <x:v>source ancestry</x:v>
      </x:c>
      <x:c r="H1286" s="7" t="n">
        <x:v>2</x:v>
      </x:c>
      <x:c r="I1286" s="7" t="str"/>
      <x:c r="J1286" s="7" t="str"/>
      <x:c r="K1286" s="7" t="str"/>
      <x:c r="L1286" s="7" t="str"/>
      <x:c r="M1286" s="7" t="str"/>
      <x:c r="N1286" s="7" t="str"/>
      <x:c r="O1286" s="7" t="str">
        <x:f>IF(N1286="","OPEN",IF(OR(I1286="",J1286="",K1286="",L1286="",M1286=""),"FAIL","PASS"))</x:f>
        <x:v>OPEN</x:v>
      </x:c>
    </x:row>
    <x:row r="1287">
      <x:c r="B1287" s="7" t="str">
        <x:v>CH-PEA-B-X3-22-3</x:v>
      </x:c>
      <x:c r="C1287" s="7" t="str">
        <x:v>PEA-B-X3</x:v>
      </x:c>
      <x:c r="D1287" s="7" t="str">
        <x:v>BLD-B</x:v>
      </x:c>
      <x:c r="E1287" s="7" t="str">
        <x:v>BL-X</x:v>
      </x:c>
      <x:c r="F1287" s="7" t="str">
        <x:v>MF-22</x:v>
      </x:c>
      <x:c r="G1287" s="7" t="str">
        <x:v>source ancestry</x:v>
      </x:c>
      <x:c r="H1287" s="7" t="n">
        <x:v>3</x:v>
      </x:c>
      <x:c r="I1287" s="7" t="str"/>
      <x:c r="J1287" s="7" t="str"/>
      <x:c r="K1287" s="7" t="str"/>
      <x:c r="L1287" s="7" t="str"/>
      <x:c r="M1287" s="7" t="str"/>
      <x:c r="N1287" s="7" t="str"/>
      <x:c r="O1287" s="7" t="str">
        <x:f>IF(N1287="","OPEN",IF(OR(I1287="",J1287="",K1287="",L1287="",M1287=""),"FAIL","PASS"))</x:f>
        <x:v>OPEN</x:v>
      </x:c>
    </x:row>
    <x:row r="1288">
      <x:c r="B1288" s="7" t="str">
        <x:v>CH-PEA-B-X3-22-4</x:v>
      </x:c>
      <x:c r="C1288" s="7" t="str">
        <x:v>PEA-B-X3</x:v>
      </x:c>
      <x:c r="D1288" s="7" t="str">
        <x:v>BLD-B</x:v>
      </x:c>
      <x:c r="E1288" s="7" t="str">
        <x:v>BL-X</x:v>
      </x:c>
      <x:c r="F1288" s="7" t="str">
        <x:v>MF-22</x:v>
      </x:c>
      <x:c r="G1288" s="7" t="str">
        <x:v>source ancestry</x:v>
      </x:c>
      <x:c r="H1288" s="7" t="n">
        <x:v>4</x:v>
      </x:c>
      <x:c r="I1288" s="7" t="str"/>
      <x:c r="J1288" s="7" t="str"/>
      <x:c r="K1288" s="7" t="str"/>
      <x:c r="L1288" s="7" t="str"/>
      <x:c r="M1288" s="7" t="str"/>
      <x:c r="N1288" s="7" t="str"/>
      <x:c r="O1288" s="7" t="str">
        <x:f>IF(N1288="","OPEN",IF(OR(I1288="",J1288="",K1288="",L1288="",M1288=""),"FAIL","PASS"))</x:f>
        <x:v>OPEN</x:v>
      </x:c>
    </x:row>
    <x:row r="1289">
      <x:c r="B1289" s="7" t="str">
        <x:v>CH-PEA-B-X3-22-5</x:v>
      </x:c>
      <x:c r="C1289" s="7" t="str">
        <x:v>PEA-B-X3</x:v>
      </x:c>
      <x:c r="D1289" s="7" t="str">
        <x:v>BLD-B</x:v>
      </x:c>
      <x:c r="E1289" s="7" t="str">
        <x:v>BL-X</x:v>
      </x:c>
      <x:c r="F1289" s="7" t="str">
        <x:v>MF-22</x:v>
      </x:c>
      <x:c r="G1289" s="7" t="str">
        <x:v>source ancestry</x:v>
      </x:c>
      <x:c r="H1289" s="7" t="n">
        <x:v>5</x:v>
      </x:c>
      <x:c r="I1289" s="7" t="str"/>
      <x:c r="J1289" s="7" t="str"/>
      <x:c r="K1289" s="7" t="str"/>
      <x:c r="L1289" s="7" t="str"/>
      <x:c r="M1289" s="7" t="str"/>
      <x:c r="N1289" s="7" t="str"/>
      <x:c r="O1289" s="7" t="str">
        <x:f>IF(N1289="","OPEN",IF(OR(I1289="",J1289="",K1289="",L1289="",M1289=""),"FAIL","PASS"))</x:f>
        <x:v>OPEN</x:v>
      </x:c>
    </x:row>
    <x:row r="1290">
      <x:c r="B1290" s="7" t="str">
        <x:v>CH-PEA-B-X3-22-6</x:v>
      </x:c>
      <x:c r="C1290" s="7" t="str">
        <x:v>PEA-B-X3</x:v>
      </x:c>
      <x:c r="D1290" s="7" t="str">
        <x:v>BLD-B</x:v>
      </x:c>
      <x:c r="E1290" s="7" t="str">
        <x:v>BL-X</x:v>
      </x:c>
      <x:c r="F1290" s="7" t="str">
        <x:v>MF-22</x:v>
      </x:c>
      <x:c r="G1290" s="7" t="str">
        <x:v>source ancestry</x:v>
      </x:c>
      <x:c r="H1290" s="7" t="n">
        <x:v>6</x:v>
      </x:c>
      <x:c r="I1290" s="7" t="str"/>
      <x:c r="J1290" s="7" t="str"/>
      <x:c r="K1290" s="7" t="str"/>
      <x:c r="L1290" s="7" t="str"/>
      <x:c r="M1290" s="7" t="str"/>
      <x:c r="N1290" s="7" t="str"/>
      <x:c r="O1290" s="7" t="str">
        <x:f>IF(N1290="","OPEN",IF(OR(I1290="",J1290="",K1290="",L1290="",M1290=""),"FAIL","PASS"))</x:f>
        <x:v>OPEN</x:v>
      </x:c>
    </x:row>
    <x:row r="1291">
      <x:c r="B1291" s="7" t="str">
        <x:v>CH-PEA-B-X3-23-1</x:v>
      </x:c>
      <x:c r="C1291" s="7" t="str">
        <x:v>PEA-B-X3</x:v>
      </x:c>
      <x:c r="D1291" s="7" t="str">
        <x:v>BLD-B</x:v>
      </x:c>
      <x:c r="E1291" s="7" t="str">
        <x:v>BL-X</x:v>
      </x:c>
      <x:c r="F1291" s="7" t="str">
        <x:v>MF-23</x:v>
      </x:c>
      <x:c r="G1291" s="7" t="str">
        <x:v>water ancestry</x:v>
      </x:c>
      <x:c r="H1291" s="7" t="n">
        <x:v>1</x:v>
      </x:c>
      <x:c r="I1291" s="7" t="str"/>
      <x:c r="J1291" s="7" t="str"/>
      <x:c r="K1291" s="7" t="str"/>
      <x:c r="L1291" s="7" t="str"/>
      <x:c r="M1291" s="7" t="str"/>
      <x:c r="N1291" s="7" t="str"/>
      <x:c r="O1291" s="7" t="str">
        <x:f>IF(N1291="","OPEN",IF(OR(I1291="",J1291="",K1291="",L1291="",M1291=""),"FAIL","PASS"))</x:f>
        <x:v>OPEN</x:v>
      </x:c>
    </x:row>
    <x:row r="1292">
      <x:c r="B1292" s="7" t="str">
        <x:v>CH-PEA-B-X3-23-2</x:v>
      </x:c>
      <x:c r="C1292" s="7" t="str">
        <x:v>PEA-B-X3</x:v>
      </x:c>
      <x:c r="D1292" s="7" t="str">
        <x:v>BLD-B</x:v>
      </x:c>
      <x:c r="E1292" s="7" t="str">
        <x:v>BL-X</x:v>
      </x:c>
      <x:c r="F1292" s="7" t="str">
        <x:v>MF-23</x:v>
      </x:c>
      <x:c r="G1292" s="7" t="str">
        <x:v>water ancestry</x:v>
      </x:c>
      <x:c r="H1292" s="7" t="n">
        <x:v>2</x:v>
      </x:c>
      <x:c r="I1292" s="7" t="str"/>
      <x:c r="J1292" s="7" t="str"/>
      <x:c r="K1292" s="7" t="str"/>
      <x:c r="L1292" s="7" t="str"/>
      <x:c r="M1292" s="7" t="str"/>
      <x:c r="N1292" s="7" t="str"/>
      <x:c r="O1292" s="7" t="str">
        <x:f>IF(N1292="","OPEN",IF(OR(I1292="",J1292="",K1292="",L1292="",M1292=""),"FAIL","PASS"))</x:f>
        <x:v>OPEN</x:v>
      </x:c>
    </x:row>
    <x:row r="1293">
      <x:c r="B1293" s="7" t="str">
        <x:v>CH-PEA-B-X3-23-3</x:v>
      </x:c>
      <x:c r="C1293" s="7" t="str">
        <x:v>PEA-B-X3</x:v>
      </x:c>
      <x:c r="D1293" s="7" t="str">
        <x:v>BLD-B</x:v>
      </x:c>
      <x:c r="E1293" s="7" t="str">
        <x:v>BL-X</x:v>
      </x:c>
      <x:c r="F1293" s="7" t="str">
        <x:v>MF-23</x:v>
      </x:c>
      <x:c r="G1293" s="7" t="str">
        <x:v>water ancestry</x:v>
      </x:c>
      <x:c r="H1293" s="7" t="n">
        <x:v>3</x:v>
      </x:c>
      <x:c r="I1293" s="7" t="str"/>
      <x:c r="J1293" s="7" t="str"/>
      <x:c r="K1293" s="7" t="str"/>
      <x:c r="L1293" s="7" t="str"/>
      <x:c r="M1293" s="7" t="str"/>
      <x:c r="N1293" s="7" t="str"/>
      <x:c r="O1293" s="7" t="str">
        <x:f>IF(N1293="","OPEN",IF(OR(I1293="",J1293="",K1293="",L1293="",M1293=""),"FAIL","PASS"))</x:f>
        <x:v>OPEN</x:v>
      </x:c>
    </x:row>
    <x:row r="1294">
      <x:c r="B1294" s="7" t="str">
        <x:v>CH-PEA-B-X3-23-4</x:v>
      </x:c>
      <x:c r="C1294" s="7" t="str">
        <x:v>PEA-B-X3</x:v>
      </x:c>
      <x:c r="D1294" s="7" t="str">
        <x:v>BLD-B</x:v>
      </x:c>
      <x:c r="E1294" s="7" t="str">
        <x:v>BL-X</x:v>
      </x:c>
      <x:c r="F1294" s="7" t="str">
        <x:v>MF-23</x:v>
      </x:c>
      <x:c r="G1294" s="7" t="str">
        <x:v>water ancestry</x:v>
      </x:c>
      <x:c r="H1294" s="7" t="n">
        <x:v>4</x:v>
      </x:c>
      <x:c r="I1294" s="7" t="str"/>
      <x:c r="J1294" s="7" t="str"/>
      <x:c r="K1294" s="7" t="str"/>
      <x:c r="L1294" s="7" t="str"/>
      <x:c r="M1294" s="7" t="str"/>
      <x:c r="N1294" s="7" t="str"/>
      <x:c r="O1294" s="7" t="str">
        <x:f>IF(N1294="","OPEN",IF(OR(I1294="",J1294="",K1294="",L1294="",M1294=""),"FAIL","PASS"))</x:f>
        <x:v>OPEN</x:v>
      </x:c>
    </x:row>
    <x:row r="1295">
      <x:c r="B1295" s="7" t="str">
        <x:v>CH-PEA-B-X3-23-5</x:v>
      </x:c>
      <x:c r="C1295" s="7" t="str">
        <x:v>PEA-B-X3</x:v>
      </x:c>
      <x:c r="D1295" s="7" t="str">
        <x:v>BLD-B</x:v>
      </x:c>
      <x:c r="E1295" s="7" t="str">
        <x:v>BL-X</x:v>
      </x:c>
      <x:c r="F1295" s="7" t="str">
        <x:v>MF-23</x:v>
      </x:c>
      <x:c r="G1295" s="7" t="str">
        <x:v>water ancestry</x:v>
      </x:c>
      <x:c r="H1295" s="7" t="n">
        <x:v>5</x:v>
      </x:c>
      <x:c r="I1295" s="7" t="str"/>
      <x:c r="J1295" s="7" t="str"/>
      <x:c r="K1295" s="7" t="str"/>
      <x:c r="L1295" s="7" t="str"/>
      <x:c r="M1295" s="7" t="str"/>
      <x:c r="N1295" s="7" t="str"/>
      <x:c r="O1295" s="7" t="str">
        <x:f>IF(N1295="","OPEN",IF(OR(I1295="",J1295="",K1295="",L1295="",M1295=""),"FAIL","PASS"))</x:f>
        <x:v>OPEN</x:v>
      </x:c>
    </x:row>
    <x:row r="1296">
      <x:c r="B1296" s="7" t="str">
        <x:v>CH-PEA-B-X3-23-6</x:v>
      </x:c>
      <x:c r="C1296" s="7" t="str">
        <x:v>PEA-B-X3</x:v>
      </x:c>
      <x:c r="D1296" s="7" t="str">
        <x:v>BLD-B</x:v>
      </x:c>
      <x:c r="E1296" s="7" t="str">
        <x:v>BL-X</x:v>
      </x:c>
      <x:c r="F1296" s="7" t="str">
        <x:v>MF-23</x:v>
      </x:c>
      <x:c r="G1296" s="7" t="str">
        <x:v>water ancestry</x:v>
      </x:c>
      <x:c r="H1296" s="7" t="n">
        <x:v>6</x:v>
      </x:c>
      <x:c r="I1296" s="7" t="str"/>
      <x:c r="J1296" s="7" t="str"/>
      <x:c r="K1296" s="7" t="str"/>
      <x:c r="L1296" s="7" t="str"/>
      <x:c r="M1296" s="7" t="str"/>
      <x:c r="N1296" s="7" t="str"/>
      <x:c r="O1296" s="7" t="str">
        <x:f>IF(N1296="","OPEN",IF(OR(I1296="",J1296="",K1296="",L1296="",M1296=""),"FAIL","PASS"))</x:f>
        <x:v>OPEN</x:v>
      </x:c>
    </x:row>
    <x:row r="1297">
      <x:c r="B1297" s="7" t="str">
        <x:v>CH-PEA-B-X3-24-1</x:v>
      </x:c>
      <x:c r="C1297" s="7" t="str">
        <x:v>PEA-B-X3</x:v>
      </x:c>
      <x:c r="D1297" s="7" t="str">
        <x:v>BLD-B</x:v>
      </x:c>
      <x:c r="E1297" s="7" t="str">
        <x:v>BL-X</x:v>
      </x:c>
      <x:c r="F1297" s="7" t="str">
        <x:v>MF-24</x:v>
      </x:c>
      <x:c r="G1297" s="7" t="str">
        <x:v>evidence health</x:v>
      </x:c>
      <x:c r="H1297" s="7" t="n">
        <x:v>1</x:v>
      </x:c>
      <x:c r="I1297" s="7" t="str"/>
      <x:c r="J1297" s="7" t="str"/>
      <x:c r="K1297" s="7" t="str"/>
      <x:c r="L1297" s="7" t="str"/>
      <x:c r="M1297" s="7" t="str"/>
      <x:c r="N1297" s="7" t="str"/>
      <x:c r="O1297" s="7" t="str">
        <x:f>IF(N1297="","OPEN",IF(OR(I1297="",J1297="",K1297="",L1297="",M1297=""),"FAIL","PASS"))</x:f>
        <x:v>OPEN</x:v>
      </x:c>
    </x:row>
    <x:row r="1298">
      <x:c r="B1298" s="7" t="str">
        <x:v>CH-PEA-B-X3-24-2</x:v>
      </x:c>
      <x:c r="C1298" s="7" t="str">
        <x:v>PEA-B-X3</x:v>
      </x:c>
      <x:c r="D1298" s="7" t="str">
        <x:v>BLD-B</x:v>
      </x:c>
      <x:c r="E1298" s="7" t="str">
        <x:v>BL-X</x:v>
      </x:c>
      <x:c r="F1298" s="7" t="str">
        <x:v>MF-24</x:v>
      </x:c>
      <x:c r="G1298" s="7" t="str">
        <x:v>evidence health</x:v>
      </x:c>
      <x:c r="H1298" s="7" t="n">
        <x:v>2</x:v>
      </x:c>
      <x:c r="I1298" s="7" t="str"/>
      <x:c r="J1298" s="7" t="str"/>
      <x:c r="K1298" s="7" t="str"/>
      <x:c r="L1298" s="7" t="str"/>
      <x:c r="M1298" s="7" t="str"/>
      <x:c r="N1298" s="7" t="str"/>
      <x:c r="O1298" s="7" t="str">
        <x:f>IF(N1298="","OPEN",IF(OR(I1298="",J1298="",K1298="",L1298="",M1298=""),"FAIL","PASS"))</x:f>
        <x:v>OPEN</x:v>
      </x:c>
    </x:row>
    <x:row r="1299">
      <x:c r="B1299" s="7" t="str">
        <x:v>CH-PEA-B-X3-24-3</x:v>
      </x:c>
      <x:c r="C1299" s="7" t="str">
        <x:v>PEA-B-X3</x:v>
      </x:c>
      <x:c r="D1299" s="7" t="str">
        <x:v>BLD-B</x:v>
      </x:c>
      <x:c r="E1299" s="7" t="str">
        <x:v>BL-X</x:v>
      </x:c>
      <x:c r="F1299" s="7" t="str">
        <x:v>MF-24</x:v>
      </x:c>
      <x:c r="G1299" s="7" t="str">
        <x:v>evidence health</x:v>
      </x:c>
      <x:c r="H1299" s="7" t="n">
        <x:v>3</x:v>
      </x:c>
      <x:c r="I1299" s="7" t="str"/>
      <x:c r="J1299" s="7" t="str"/>
      <x:c r="K1299" s="7" t="str"/>
      <x:c r="L1299" s="7" t="str"/>
      <x:c r="M1299" s="7" t="str"/>
      <x:c r="N1299" s="7" t="str"/>
      <x:c r="O1299" s="7" t="str">
        <x:f>IF(N1299="","OPEN",IF(OR(I1299="",J1299="",K1299="",L1299="",M1299=""),"FAIL","PASS"))</x:f>
        <x:v>OPEN</x:v>
      </x:c>
    </x:row>
    <x:row r="1300">
      <x:c r="B1300" s="7" t="str">
        <x:v>CH-PEA-B-X3-24-4</x:v>
      </x:c>
      <x:c r="C1300" s="7" t="str">
        <x:v>PEA-B-X3</x:v>
      </x:c>
      <x:c r="D1300" s="7" t="str">
        <x:v>BLD-B</x:v>
      </x:c>
      <x:c r="E1300" s="7" t="str">
        <x:v>BL-X</x:v>
      </x:c>
      <x:c r="F1300" s="7" t="str">
        <x:v>MF-24</x:v>
      </x:c>
      <x:c r="G1300" s="7" t="str">
        <x:v>evidence health</x:v>
      </x:c>
      <x:c r="H1300" s="7" t="n">
        <x:v>4</x:v>
      </x:c>
      <x:c r="I1300" s="7" t="str"/>
      <x:c r="J1300" s="7" t="str"/>
      <x:c r="K1300" s="7" t="str"/>
      <x:c r="L1300" s="7" t="str"/>
      <x:c r="M1300" s="7" t="str"/>
      <x:c r="N1300" s="7" t="str"/>
      <x:c r="O1300" s="7" t="str">
        <x:f>IF(N1300="","OPEN",IF(OR(I1300="",J1300="",K1300="",L1300="",M1300=""),"FAIL","PASS"))</x:f>
        <x:v>OPEN</x:v>
      </x:c>
    </x:row>
    <x:row r="1301">
      <x:c r="B1301" s="7" t="str">
        <x:v>CH-PEA-B-X3-24-5</x:v>
      </x:c>
      <x:c r="C1301" s="7" t="str">
        <x:v>PEA-B-X3</x:v>
      </x:c>
      <x:c r="D1301" s="7" t="str">
        <x:v>BLD-B</x:v>
      </x:c>
      <x:c r="E1301" s="7" t="str">
        <x:v>BL-X</x:v>
      </x:c>
      <x:c r="F1301" s="7" t="str">
        <x:v>MF-24</x:v>
      </x:c>
      <x:c r="G1301" s="7" t="str">
        <x:v>evidence health</x:v>
      </x:c>
      <x:c r="H1301" s="7" t="n">
        <x:v>5</x:v>
      </x:c>
      <x:c r="I1301" s="7" t="str"/>
      <x:c r="J1301" s="7" t="str"/>
      <x:c r="K1301" s="7" t="str"/>
      <x:c r="L1301" s="7" t="str"/>
      <x:c r="M1301" s="7" t="str"/>
      <x:c r="N1301" s="7" t="str"/>
      <x:c r="O1301" s="7" t="str">
        <x:f>IF(N1301="","OPEN",IF(OR(I1301="",J1301="",K1301="",L1301="",M1301=""),"FAIL","PASS"))</x:f>
        <x:v>OPEN</x:v>
      </x:c>
    </x:row>
    <x:row r="1302">
      <x:c r="B1302" s="7" t="str">
        <x:v>CH-PEA-B-X3-24-6</x:v>
      </x:c>
      <x:c r="C1302" s="7" t="str">
        <x:v>PEA-B-X3</x:v>
      </x:c>
      <x:c r="D1302" s="7" t="str">
        <x:v>BLD-B</x:v>
      </x:c>
      <x:c r="E1302" s="7" t="str">
        <x:v>BL-X</x:v>
      </x:c>
      <x:c r="F1302" s="7" t="str">
        <x:v>MF-24</x:v>
      </x:c>
      <x:c r="G1302" s="7" t="str">
        <x:v>evidence health</x:v>
      </x:c>
      <x:c r="H1302" s="7" t="n">
        <x:v>6</x:v>
      </x:c>
      <x:c r="I1302" s="7" t="str"/>
      <x:c r="J1302" s="7" t="str"/>
      <x:c r="K1302" s="7" t="str"/>
      <x:c r="L1302" s="7" t="str"/>
      <x:c r="M1302" s="7" t="str"/>
      <x:c r="N1302" s="7" t="str"/>
      <x:c r="O1302" s="7" t="str">
        <x:f>IF(N1302="","OPEN",IF(OR(I1302="",J1302="",K1302="",L1302="",M1302=""),"FAIL","PASS"))</x:f>
        <x:v>OPEN</x:v>
      </x:c>
    </x:row>
    <x:row r="1303">
      <x:c r="B1303" s="7" t="str">
        <x:v>CH-PEA-B-Y1-01-1</x:v>
      </x:c>
      <x:c r="C1303" s="7" t="str">
        <x:v>PEA-B-Y1</x:v>
      </x:c>
      <x:c r="D1303" s="7" t="str">
        <x:v>BLD-B</x:v>
      </x:c>
      <x:c r="E1303" s="7" t="str">
        <x:v>BL-Y</x:v>
      </x:c>
      <x:c r="F1303" s="7" t="str">
        <x:v>MF-01</x:v>
      </x:c>
      <x:c r="G1303" s="7" t="str">
        <x:v>source vessel mass</x:v>
      </x:c>
      <x:c r="H1303" s="7" t="n">
        <x:v>1</x:v>
      </x:c>
      <x:c r="I1303" s="7" t="str"/>
      <x:c r="J1303" s="7" t="str"/>
      <x:c r="K1303" s="7" t="str"/>
      <x:c r="L1303" s="7" t="str"/>
      <x:c r="M1303" s="7" t="str"/>
      <x:c r="N1303" s="7" t="str"/>
      <x:c r="O1303" s="7" t="str">
        <x:f>IF(N1303="","OPEN",IF(OR(I1303="",J1303="",K1303="",L1303="",M1303=""),"FAIL","PASS"))</x:f>
        <x:v>OPEN</x:v>
      </x:c>
    </x:row>
    <x:row r="1304">
      <x:c r="B1304" s="7" t="str">
        <x:v>CH-PEA-B-Y1-01-2</x:v>
      </x:c>
      <x:c r="C1304" s="7" t="str">
        <x:v>PEA-B-Y1</x:v>
      </x:c>
      <x:c r="D1304" s="7" t="str">
        <x:v>BLD-B</x:v>
      </x:c>
      <x:c r="E1304" s="7" t="str">
        <x:v>BL-Y</x:v>
      </x:c>
      <x:c r="F1304" s="7" t="str">
        <x:v>MF-01</x:v>
      </x:c>
      <x:c r="G1304" s="7" t="str">
        <x:v>source vessel mass</x:v>
      </x:c>
      <x:c r="H1304" s="7" t="n">
        <x:v>2</x:v>
      </x:c>
      <x:c r="I1304" s="7" t="str"/>
      <x:c r="J1304" s="7" t="str"/>
      <x:c r="K1304" s="7" t="str"/>
      <x:c r="L1304" s="7" t="str"/>
      <x:c r="M1304" s="7" t="str"/>
      <x:c r="N1304" s="7" t="str"/>
      <x:c r="O1304" s="7" t="str">
        <x:f>IF(N1304="","OPEN",IF(OR(I1304="",J1304="",K1304="",L1304="",M1304=""),"FAIL","PASS"))</x:f>
        <x:v>OPEN</x:v>
      </x:c>
    </x:row>
    <x:row r="1305">
      <x:c r="B1305" s="7" t="str">
        <x:v>CH-PEA-B-Y1-01-3</x:v>
      </x:c>
      <x:c r="C1305" s="7" t="str">
        <x:v>PEA-B-Y1</x:v>
      </x:c>
      <x:c r="D1305" s="7" t="str">
        <x:v>BLD-B</x:v>
      </x:c>
      <x:c r="E1305" s="7" t="str">
        <x:v>BL-Y</x:v>
      </x:c>
      <x:c r="F1305" s="7" t="str">
        <x:v>MF-01</x:v>
      </x:c>
      <x:c r="G1305" s="7" t="str">
        <x:v>source vessel mass</x:v>
      </x:c>
      <x:c r="H1305" s="7" t="n">
        <x:v>3</x:v>
      </x:c>
      <x:c r="I1305" s="7" t="str"/>
      <x:c r="J1305" s="7" t="str"/>
      <x:c r="K1305" s="7" t="str"/>
      <x:c r="L1305" s="7" t="str"/>
      <x:c r="M1305" s="7" t="str"/>
      <x:c r="N1305" s="7" t="str"/>
      <x:c r="O1305" s="7" t="str">
        <x:f>IF(N1305="","OPEN",IF(OR(I1305="",J1305="",K1305="",L1305="",M1305=""),"FAIL","PASS"))</x:f>
        <x:v>OPEN</x:v>
      </x:c>
    </x:row>
    <x:row r="1306">
      <x:c r="B1306" s="7" t="str">
        <x:v>CH-PEA-B-Y1-01-4</x:v>
      </x:c>
      <x:c r="C1306" s="7" t="str">
        <x:v>PEA-B-Y1</x:v>
      </x:c>
      <x:c r="D1306" s="7" t="str">
        <x:v>BLD-B</x:v>
      </x:c>
      <x:c r="E1306" s="7" t="str">
        <x:v>BL-Y</x:v>
      </x:c>
      <x:c r="F1306" s="7" t="str">
        <x:v>MF-01</x:v>
      </x:c>
      <x:c r="G1306" s="7" t="str">
        <x:v>source vessel mass</x:v>
      </x:c>
      <x:c r="H1306" s="7" t="n">
        <x:v>4</x:v>
      </x:c>
      <x:c r="I1306" s="7" t="str"/>
      <x:c r="J1306" s="7" t="str"/>
      <x:c r="K1306" s="7" t="str"/>
      <x:c r="L1306" s="7" t="str"/>
      <x:c r="M1306" s="7" t="str"/>
      <x:c r="N1306" s="7" t="str"/>
      <x:c r="O1306" s="7" t="str">
        <x:f>IF(N1306="","OPEN",IF(OR(I1306="",J1306="",K1306="",L1306="",M1306=""),"FAIL","PASS"))</x:f>
        <x:v>OPEN</x:v>
      </x:c>
    </x:row>
    <x:row r="1307">
      <x:c r="B1307" s="7" t="str">
        <x:v>CH-PEA-B-Y1-01-5</x:v>
      </x:c>
      <x:c r="C1307" s="7" t="str">
        <x:v>PEA-B-Y1</x:v>
      </x:c>
      <x:c r="D1307" s="7" t="str">
        <x:v>BLD-B</x:v>
      </x:c>
      <x:c r="E1307" s="7" t="str">
        <x:v>BL-Y</x:v>
      </x:c>
      <x:c r="F1307" s="7" t="str">
        <x:v>MF-01</x:v>
      </x:c>
      <x:c r="G1307" s="7" t="str">
        <x:v>source vessel mass</x:v>
      </x:c>
      <x:c r="H1307" s="7" t="n">
        <x:v>5</x:v>
      </x:c>
      <x:c r="I1307" s="7" t="str"/>
      <x:c r="J1307" s="7" t="str"/>
      <x:c r="K1307" s="7" t="str"/>
      <x:c r="L1307" s="7" t="str"/>
      <x:c r="M1307" s="7" t="str"/>
      <x:c r="N1307" s="7" t="str"/>
      <x:c r="O1307" s="7" t="str">
        <x:f>IF(N1307="","OPEN",IF(OR(I1307="",J1307="",K1307="",L1307="",M1307=""),"FAIL","PASS"))</x:f>
        <x:v>OPEN</x:v>
      </x:c>
    </x:row>
    <x:row r="1308">
      <x:c r="B1308" s="7" t="str">
        <x:v>CH-PEA-B-Y1-01-6</x:v>
      </x:c>
      <x:c r="C1308" s="7" t="str">
        <x:v>PEA-B-Y1</x:v>
      </x:c>
      <x:c r="D1308" s="7" t="str">
        <x:v>BLD-B</x:v>
      </x:c>
      <x:c r="E1308" s="7" t="str">
        <x:v>BL-Y</x:v>
      </x:c>
      <x:c r="F1308" s="7" t="str">
        <x:v>MF-01</x:v>
      </x:c>
      <x:c r="G1308" s="7" t="str">
        <x:v>source vessel mass</x:v>
      </x:c>
      <x:c r="H1308" s="7" t="n">
        <x:v>6</x:v>
      </x:c>
      <x:c r="I1308" s="7" t="str"/>
      <x:c r="J1308" s="7" t="str"/>
      <x:c r="K1308" s="7" t="str"/>
      <x:c r="L1308" s="7" t="str"/>
      <x:c r="M1308" s="7" t="str"/>
      <x:c r="N1308" s="7" t="str"/>
      <x:c r="O1308" s="7" t="str">
        <x:f>IF(N1308="","OPEN",IF(OR(I1308="",J1308="",K1308="",L1308="",M1308=""),"FAIL","PASS"))</x:f>
        <x:v>OPEN</x:v>
      </x:c>
    </x:row>
    <x:row r="1309">
      <x:c r="B1309" s="7" t="str">
        <x:v>CH-PEA-B-Y1-02-1</x:v>
      </x:c>
      <x:c r="C1309" s="7" t="str">
        <x:v>PEA-B-Y1</x:v>
      </x:c>
      <x:c r="D1309" s="7" t="str">
        <x:v>BLD-B</x:v>
      </x:c>
      <x:c r="E1309" s="7" t="str">
        <x:v>BL-Y</x:v>
      </x:c>
      <x:c r="F1309" s="7" t="str">
        <x:v>MF-02</x:v>
      </x:c>
      <x:c r="G1309" s="7" t="str">
        <x:v>transfer mass</x:v>
      </x:c>
      <x:c r="H1309" s="7" t="n">
        <x:v>1</x:v>
      </x:c>
      <x:c r="I1309" s="7" t="str"/>
      <x:c r="J1309" s="7" t="str"/>
      <x:c r="K1309" s="7" t="str"/>
      <x:c r="L1309" s="7" t="str"/>
      <x:c r="M1309" s="7" t="str"/>
      <x:c r="N1309" s="7" t="str"/>
      <x:c r="O1309" s="7" t="str">
        <x:f>IF(N1309="","OPEN",IF(OR(I1309="",J1309="",K1309="",L1309="",M1309=""),"FAIL","PASS"))</x:f>
        <x:v>OPEN</x:v>
      </x:c>
    </x:row>
    <x:row r="1310">
      <x:c r="B1310" s="7" t="str">
        <x:v>CH-PEA-B-Y1-02-2</x:v>
      </x:c>
      <x:c r="C1310" s="7" t="str">
        <x:v>PEA-B-Y1</x:v>
      </x:c>
      <x:c r="D1310" s="7" t="str">
        <x:v>BLD-B</x:v>
      </x:c>
      <x:c r="E1310" s="7" t="str">
        <x:v>BL-Y</x:v>
      </x:c>
      <x:c r="F1310" s="7" t="str">
        <x:v>MF-02</x:v>
      </x:c>
      <x:c r="G1310" s="7" t="str">
        <x:v>transfer mass</x:v>
      </x:c>
      <x:c r="H1310" s="7" t="n">
        <x:v>2</x:v>
      </x:c>
      <x:c r="I1310" s="7" t="str"/>
      <x:c r="J1310" s="7" t="str"/>
      <x:c r="K1310" s="7" t="str"/>
      <x:c r="L1310" s="7" t="str"/>
      <x:c r="M1310" s="7" t="str"/>
      <x:c r="N1310" s="7" t="str"/>
      <x:c r="O1310" s="7" t="str">
        <x:f>IF(N1310="","OPEN",IF(OR(I1310="",J1310="",K1310="",L1310="",M1310=""),"FAIL","PASS"))</x:f>
        <x:v>OPEN</x:v>
      </x:c>
    </x:row>
    <x:row r="1311">
      <x:c r="B1311" s="7" t="str">
        <x:v>CH-PEA-B-Y1-02-3</x:v>
      </x:c>
      <x:c r="C1311" s="7" t="str">
        <x:v>PEA-B-Y1</x:v>
      </x:c>
      <x:c r="D1311" s="7" t="str">
        <x:v>BLD-B</x:v>
      </x:c>
      <x:c r="E1311" s="7" t="str">
        <x:v>BL-Y</x:v>
      </x:c>
      <x:c r="F1311" s="7" t="str">
        <x:v>MF-02</x:v>
      </x:c>
      <x:c r="G1311" s="7" t="str">
        <x:v>transfer mass</x:v>
      </x:c>
      <x:c r="H1311" s="7" t="n">
        <x:v>3</x:v>
      </x:c>
      <x:c r="I1311" s="7" t="str"/>
      <x:c r="J1311" s="7" t="str"/>
      <x:c r="K1311" s="7" t="str"/>
      <x:c r="L1311" s="7" t="str"/>
      <x:c r="M1311" s="7" t="str"/>
      <x:c r="N1311" s="7" t="str"/>
      <x:c r="O1311" s="7" t="str">
        <x:f>IF(N1311="","OPEN",IF(OR(I1311="",J1311="",K1311="",L1311="",M1311=""),"FAIL","PASS"))</x:f>
        <x:v>OPEN</x:v>
      </x:c>
    </x:row>
    <x:row r="1312">
      <x:c r="B1312" s="7" t="str">
        <x:v>CH-PEA-B-Y1-02-4</x:v>
      </x:c>
      <x:c r="C1312" s="7" t="str">
        <x:v>PEA-B-Y1</x:v>
      </x:c>
      <x:c r="D1312" s="7" t="str">
        <x:v>BLD-B</x:v>
      </x:c>
      <x:c r="E1312" s="7" t="str">
        <x:v>BL-Y</x:v>
      </x:c>
      <x:c r="F1312" s="7" t="str">
        <x:v>MF-02</x:v>
      </x:c>
      <x:c r="G1312" s="7" t="str">
        <x:v>transfer mass</x:v>
      </x:c>
      <x:c r="H1312" s="7" t="n">
        <x:v>4</x:v>
      </x:c>
      <x:c r="I1312" s="7" t="str"/>
      <x:c r="J1312" s="7" t="str"/>
      <x:c r="K1312" s="7" t="str"/>
      <x:c r="L1312" s="7" t="str"/>
      <x:c r="M1312" s="7" t="str"/>
      <x:c r="N1312" s="7" t="str"/>
      <x:c r="O1312" s="7" t="str">
        <x:f>IF(N1312="","OPEN",IF(OR(I1312="",J1312="",K1312="",L1312="",M1312=""),"FAIL","PASS"))</x:f>
        <x:v>OPEN</x:v>
      </x:c>
    </x:row>
    <x:row r="1313">
      <x:c r="B1313" s="7" t="str">
        <x:v>CH-PEA-B-Y1-02-5</x:v>
      </x:c>
      <x:c r="C1313" s="7" t="str">
        <x:v>PEA-B-Y1</x:v>
      </x:c>
      <x:c r="D1313" s="7" t="str">
        <x:v>BLD-B</x:v>
      </x:c>
      <x:c r="E1313" s="7" t="str">
        <x:v>BL-Y</x:v>
      </x:c>
      <x:c r="F1313" s="7" t="str">
        <x:v>MF-02</x:v>
      </x:c>
      <x:c r="G1313" s="7" t="str">
        <x:v>transfer mass</x:v>
      </x:c>
      <x:c r="H1313" s="7" t="n">
        <x:v>5</x:v>
      </x:c>
      <x:c r="I1313" s="7" t="str"/>
      <x:c r="J1313" s="7" t="str"/>
      <x:c r="K1313" s="7" t="str"/>
      <x:c r="L1313" s="7" t="str"/>
      <x:c r="M1313" s="7" t="str"/>
      <x:c r="N1313" s="7" t="str"/>
      <x:c r="O1313" s="7" t="str">
        <x:f>IF(N1313="","OPEN",IF(OR(I1313="",J1313="",K1313="",L1313="",M1313=""),"FAIL","PASS"))</x:f>
        <x:v>OPEN</x:v>
      </x:c>
    </x:row>
    <x:row r="1314">
      <x:c r="B1314" s="7" t="str">
        <x:v>CH-PEA-B-Y1-02-6</x:v>
      </x:c>
      <x:c r="C1314" s="7" t="str">
        <x:v>PEA-B-Y1</x:v>
      </x:c>
      <x:c r="D1314" s="7" t="str">
        <x:v>BLD-B</x:v>
      </x:c>
      <x:c r="E1314" s="7" t="str">
        <x:v>BL-Y</x:v>
      </x:c>
      <x:c r="F1314" s="7" t="str">
        <x:v>MF-02</x:v>
      </x:c>
      <x:c r="G1314" s="7" t="str">
        <x:v>transfer mass</x:v>
      </x:c>
      <x:c r="H1314" s="7" t="n">
        <x:v>6</x:v>
      </x:c>
      <x:c r="I1314" s="7" t="str"/>
      <x:c r="J1314" s="7" t="str"/>
      <x:c r="K1314" s="7" t="str"/>
      <x:c r="L1314" s="7" t="str"/>
      <x:c r="M1314" s="7" t="str"/>
      <x:c r="N1314" s="7" t="str"/>
      <x:c r="O1314" s="7" t="str">
        <x:f>IF(N1314="","OPEN",IF(OR(I1314="",J1314="",K1314="",L1314="",M1314=""),"FAIL","PASS"))</x:f>
        <x:v>OPEN</x:v>
      </x:c>
    </x:row>
    <x:row r="1315">
      <x:c r="B1315" s="7" t="str">
        <x:v>CH-PEA-B-Y1-03-1</x:v>
      </x:c>
      <x:c r="C1315" s="7" t="str">
        <x:v>PEA-B-Y1</x:v>
      </x:c>
      <x:c r="D1315" s="7" t="str">
        <x:v>BLD-B</x:v>
      </x:c>
      <x:c r="E1315" s="7" t="str">
        <x:v>BL-Y</x:v>
      </x:c>
      <x:c r="F1315" s="7" t="str">
        <x:v>MF-03</x:v>
      </x:c>
      <x:c r="G1315" s="7" t="str">
        <x:v>source pressure</x:v>
      </x:c>
      <x:c r="H1315" s="7" t="n">
        <x:v>1</x:v>
      </x:c>
      <x:c r="I1315" s="7" t="str"/>
      <x:c r="J1315" s="7" t="str"/>
      <x:c r="K1315" s="7" t="str"/>
      <x:c r="L1315" s="7" t="str"/>
      <x:c r="M1315" s="7" t="str"/>
      <x:c r="N1315" s="7" t="str"/>
      <x:c r="O1315" s="7" t="str">
        <x:f>IF(N1315="","OPEN",IF(OR(I1315="",J1315="",K1315="",L1315="",M1315=""),"FAIL","PASS"))</x:f>
        <x:v>OPEN</x:v>
      </x:c>
    </x:row>
    <x:row r="1316">
      <x:c r="B1316" s="7" t="str">
        <x:v>CH-PEA-B-Y1-03-2</x:v>
      </x:c>
      <x:c r="C1316" s="7" t="str">
        <x:v>PEA-B-Y1</x:v>
      </x:c>
      <x:c r="D1316" s="7" t="str">
        <x:v>BLD-B</x:v>
      </x:c>
      <x:c r="E1316" s="7" t="str">
        <x:v>BL-Y</x:v>
      </x:c>
      <x:c r="F1316" s="7" t="str">
        <x:v>MF-03</x:v>
      </x:c>
      <x:c r="G1316" s="7" t="str">
        <x:v>source pressure</x:v>
      </x:c>
      <x:c r="H1316" s="7" t="n">
        <x:v>2</x:v>
      </x:c>
      <x:c r="I1316" s="7" t="str"/>
      <x:c r="J1316" s="7" t="str"/>
      <x:c r="K1316" s="7" t="str"/>
      <x:c r="L1316" s="7" t="str"/>
      <x:c r="M1316" s="7" t="str"/>
      <x:c r="N1316" s="7" t="str"/>
      <x:c r="O1316" s="7" t="str">
        <x:f>IF(N1316="","OPEN",IF(OR(I1316="",J1316="",K1316="",L1316="",M1316=""),"FAIL","PASS"))</x:f>
        <x:v>OPEN</x:v>
      </x:c>
    </x:row>
    <x:row r="1317">
      <x:c r="B1317" s="7" t="str">
        <x:v>CH-PEA-B-Y1-03-3</x:v>
      </x:c>
      <x:c r="C1317" s="7" t="str">
        <x:v>PEA-B-Y1</x:v>
      </x:c>
      <x:c r="D1317" s="7" t="str">
        <x:v>BLD-B</x:v>
      </x:c>
      <x:c r="E1317" s="7" t="str">
        <x:v>BL-Y</x:v>
      </x:c>
      <x:c r="F1317" s="7" t="str">
        <x:v>MF-03</x:v>
      </x:c>
      <x:c r="G1317" s="7" t="str">
        <x:v>source pressure</x:v>
      </x:c>
      <x:c r="H1317" s="7" t="n">
        <x:v>3</x:v>
      </x:c>
      <x:c r="I1317" s="7" t="str"/>
      <x:c r="J1317" s="7" t="str"/>
      <x:c r="K1317" s="7" t="str"/>
      <x:c r="L1317" s="7" t="str"/>
      <x:c r="M1317" s="7" t="str"/>
      <x:c r="N1317" s="7" t="str"/>
      <x:c r="O1317" s="7" t="str">
        <x:f>IF(N1317="","OPEN",IF(OR(I1317="",J1317="",K1317="",L1317="",M1317=""),"FAIL","PASS"))</x:f>
        <x:v>OPEN</x:v>
      </x:c>
    </x:row>
    <x:row r="1318">
      <x:c r="B1318" s="7" t="str">
        <x:v>CH-PEA-B-Y1-03-4</x:v>
      </x:c>
      <x:c r="C1318" s="7" t="str">
        <x:v>PEA-B-Y1</x:v>
      </x:c>
      <x:c r="D1318" s="7" t="str">
        <x:v>BLD-B</x:v>
      </x:c>
      <x:c r="E1318" s="7" t="str">
        <x:v>BL-Y</x:v>
      </x:c>
      <x:c r="F1318" s="7" t="str">
        <x:v>MF-03</x:v>
      </x:c>
      <x:c r="G1318" s="7" t="str">
        <x:v>source pressure</x:v>
      </x:c>
      <x:c r="H1318" s="7" t="n">
        <x:v>4</x:v>
      </x:c>
      <x:c r="I1318" s="7" t="str"/>
      <x:c r="J1318" s="7" t="str"/>
      <x:c r="K1318" s="7" t="str"/>
      <x:c r="L1318" s="7" t="str"/>
      <x:c r="M1318" s="7" t="str"/>
      <x:c r="N1318" s="7" t="str"/>
      <x:c r="O1318" s="7" t="str">
        <x:f>IF(N1318="","OPEN",IF(OR(I1318="",J1318="",K1318="",L1318="",M1318=""),"FAIL","PASS"))</x:f>
        <x:v>OPEN</x:v>
      </x:c>
    </x:row>
    <x:row r="1319">
      <x:c r="B1319" s="7" t="str">
        <x:v>CH-PEA-B-Y1-03-5</x:v>
      </x:c>
      <x:c r="C1319" s="7" t="str">
        <x:v>PEA-B-Y1</x:v>
      </x:c>
      <x:c r="D1319" s="7" t="str">
        <x:v>BLD-B</x:v>
      </x:c>
      <x:c r="E1319" s="7" t="str">
        <x:v>BL-Y</x:v>
      </x:c>
      <x:c r="F1319" s="7" t="str">
        <x:v>MF-03</x:v>
      </x:c>
      <x:c r="G1319" s="7" t="str">
        <x:v>source pressure</x:v>
      </x:c>
      <x:c r="H1319" s="7" t="n">
        <x:v>5</x:v>
      </x:c>
      <x:c r="I1319" s="7" t="str"/>
      <x:c r="J1319" s="7" t="str"/>
      <x:c r="K1319" s="7" t="str"/>
      <x:c r="L1319" s="7" t="str"/>
      <x:c r="M1319" s="7" t="str"/>
      <x:c r="N1319" s="7" t="str"/>
      <x:c r="O1319" s="7" t="str">
        <x:f>IF(N1319="","OPEN",IF(OR(I1319="",J1319="",K1319="",L1319="",M1319=""),"FAIL","PASS"))</x:f>
        <x:v>OPEN</x:v>
      </x:c>
    </x:row>
    <x:row r="1320">
      <x:c r="B1320" s="7" t="str">
        <x:v>CH-PEA-B-Y1-03-6</x:v>
      </x:c>
      <x:c r="C1320" s="7" t="str">
        <x:v>PEA-B-Y1</x:v>
      </x:c>
      <x:c r="D1320" s="7" t="str">
        <x:v>BLD-B</x:v>
      </x:c>
      <x:c r="E1320" s="7" t="str">
        <x:v>BL-Y</x:v>
      </x:c>
      <x:c r="F1320" s="7" t="str">
        <x:v>MF-03</x:v>
      </x:c>
      <x:c r="G1320" s="7" t="str">
        <x:v>source pressure</x:v>
      </x:c>
      <x:c r="H1320" s="7" t="n">
        <x:v>6</x:v>
      </x:c>
      <x:c r="I1320" s="7" t="str"/>
      <x:c r="J1320" s="7" t="str"/>
      <x:c r="K1320" s="7" t="str"/>
      <x:c r="L1320" s="7" t="str"/>
      <x:c r="M1320" s="7" t="str"/>
      <x:c r="N1320" s="7" t="str"/>
      <x:c r="O1320" s="7" t="str">
        <x:f>IF(N1320="","OPEN",IF(OR(I1320="",J1320="",K1320="",L1320="",M1320=""),"FAIL","PASS"))</x:f>
        <x:v>OPEN</x:v>
      </x:c>
    </x:row>
    <x:row r="1321">
      <x:c r="B1321" s="7" t="str">
        <x:v>CH-PEA-B-Y1-04-1</x:v>
      </x:c>
      <x:c r="C1321" s="7" t="str">
        <x:v>PEA-B-Y1</x:v>
      </x:c>
      <x:c r="D1321" s="7" t="str">
        <x:v>BLD-B</x:v>
      </x:c>
      <x:c r="E1321" s="7" t="str">
        <x:v>BL-Y</x:v>
      </x:c>
      <x:c r="F1321" s="7" t="str">
        <x:v>MF-04</x:v>
      </x:c>
      <x:c r="G1321" s="7" t="str">
        <x:v>source temperature</x:v>
      </x:c>
      <x:c r="H1321" s="7" t="n">
        <x:v>1</x:v>
      </x:c>
      <x:c r="I1321" s="7" t="str"/>
      <x:c r="J1321" s="7" t="str"/>
      <x:c r="K1321" s="7" t="str"/>
      <x:c r="L1321" s="7" t="str"/>
      <x:c r="M1321" s="7" t="str"/>
      <x:c r="N1321" s="7" t="str"/>
      <x:c r="O1321" s="7" t="str">
        <x:f>IF(N1321="","OPEN",IF(OR(I1321="",J1321="",K1321="",L1321="",M1321=""),"FAIL","PASS"))</x:f>
        <x:v>OPEN</x:v>
      </x:c>
    </x:row>
    <x:row r="1322">
      <x:c r="B1322" s="7" t="str">
        <x:v>CH-PEA-B-Y1-04-2</x:v>
      </x:c>
      <x:c r="C1322" s="7" t="str">
        <x:v>PEA-B-Y1</x:v>
      </x:c>
      <x:c r="D1322" s="7" t="str">
        <x:v>BLD-B</x:v>
      </x:c>
      <x:c r="E1322" s="7" t="str">
        <x:v>BL-Y</x:v>
      </x:c>
      <x:c r="F1322" s="7" t="str">
        <x:v>MF-04</x:v>
      </x:c>
      <x:c r="G1322" s="7" t="str">
        <x:v>source temperature</x:v>
      </x:c>
      <x:c r="H1322" s="7" t="n">
        <x:v>2</x:v>
      </x:c>
      <x:c r="I1322" s="7" t="str"/>
      <x:c r="J1322" s="7" t="str"/>
      <x:c r="K1322" s="7" t="str"/>
      <x:c r="L1322" s="7" t="str"/>
      <x:c r="M1322" s="7" t="str"/>
      <x:c r="N1322" s="7" t="str"/>
      <x:c r="O1322" s="7" t="str">
        <x:f>IF(N1322="","OPEN",IF(OR(I1322="",J1322="",K1322="",L1322="",M1322=""),"FAIL","PASS"))</x:f>
        <x:v>OPEN</x:v>
      </x:c>
    </x:row>
    <x:row r="1323">
      <x:c r="B1323" s="7" t="str">
        <x:v>CH-PEA-B-Y1-04-3</x:v>
      </x:c>
      <x:c r="C1323" s="7" t="str">
        <x:v>PEA-B-Y1</x:v>
      </x:c>
      <x:c r="D1323" s="7" t="str">
        <x:v>BLD-B</x:v>
      </x:c>
      <x:c r="E1323" s="7" t="str">
        <x:v>BL-Y</x:v>
      </x:c>
      <x:c r="F1323" s="7" t="str">
        <x:v>MF-04</x:v>
      </x:c>
      <x:c r="G1323" s="7" t="str">
        <x:v>source temperature</x:v>
      </x:c>
      <x:c r="H1323" s="7" t="n">
        <x:v>3</x:v>
      </x:c>
      <x:c r="I1323" s="7" t="str"/>
      <x:c r="J1323" s="7" t="str"/>
      <x:c r="K1323" s="7" t="str"/>
      <x:c r="L1323" s="7" t="str"/>
      <x:c r="M1323" s="7" t="str"/>
      <x:c r="N1323" s="7" t="str"/>
      <x:c r="O1323" s="7" t="str">
        <x:f>IF(N1323="","OPEN",IF(OR(I1323="",J1323="",K1323="",L1323="",M1323=""),"FAIL","PASS"))</x:f>
        <x:v>OPEN</x:v>
      </x:c>
    </x:row>
    <x:row r="1324">
      <x:c r="B1324" s="7" t="str">
        <x:v>CH-PEA-B-Y1-04-4</x:v>
      </x:c>
      <x:c r="C1324" s="7" t="str">
        <x:v>PEA-B-Y1</x:v>
      </x:c>
      <x:c r="D1324" s="7" t="str">
        <x:v>BLD-B</x:v>
      </x:c>
      <x:c r="E1324" s="7" t="str">
        <x:v>BL-Y</x:v>
      </x:c>
      <x:c r="F1324" s="7" t="str">
        <x:v>MF-04</x:v>
      </x:c>
      <x:c r="G1324" s="7" t="str">
        <x:v>source temperature</x:v>
      </x:c>
      <x:c r="H1324" s="7" t="n">
        <x:v>4</x:v>
      </x:c>
      <x:c r="I1324" s="7" t="str"/>
      <x:c r="J1324" s="7" t="str"/>
      <x:c r="K1324" s="7" t="str"/>
      <x:c r="L1324" s="7" t="str"/>
      <x:c r="M1324" s="7" t="str"/>
      <x:c r="N1324" s="7" t="str"/>
      <x:c r="O1324" s="7" t="str">
        <x:f>IF(N1324="","OPEN",IF(OR(I1324="",J1324="",K1324="",L1324="",M1324=""),"FAIL","PASS"))</x:f>
        <x:v>OPEN</x:v>
      </x:c>
    </x:row>
    <x:row r="1325">
      <x:c r="B1325" s="7" t="str">
        <x:v>CH-PEA-B-Y1-04-5</x:v>
      </x:c>
      <x:c r="C1325" s="7" t="str">
        <x:v>PEA-B-Y1</x:v>
      </x:c>
      <x:c r="D1325" s="7" t="str">
        <x:v>BLD-B</x:v>
      </x:c>
      <x:c r="E1325" s="7" t="str">
        <x:v>BL-Y</x:v>
      </x:c>
      <x:c r="F1325" s="7" t="str">
        <x:v>MF-04</x:v>
      </x:c>
      <x:c r="G1325" s="7" t="str">
        <x:v>source temperature</x:v>
      </x:c>
      <x:c r="H1325" s="7" t="n">
        <x:v>5</x:v>
      </x:c>
      <x:c r="I1325" s="7" t="str"/>
      <x:c r="J1325" s="7" t="str"/>
      <x:c r="K1325" s="7" t="str"/>
      <x:c r="L1325" s="7" t="str"/>
      <x:c r="M1325" s="7" t="str"/>
      <x:c r="N1325" s="7" t="str"/>
      <x:c r="O1325" s="7" t="str">
        <x:f>IF(N1325="","OPEN",IF(OR(I1325="",J1325="",K1325="",L1325="",M1325=""),"FAIL","PASS"))</x:f>
        <x:v>OPEN</x:v>
      </x:c>
    </x:row>
    <x:row r="1326">
      <x:c r="B1326" s="7" t="str">
        <x:v>CH-PEA-B-Y1-04-6</x:v>
      </x:c>
      <x:c r="C1326" s="7" t="str">
        <x:v>PEA-B-Y1</x:v>
      </x:c>
      <x:c r="D1326" s="7" t="str">
        <x:v>BLD-B</x:v>
      </x:c>
      <x:c r="E1326" s="7" t="str">
        <x:v>BL-Y</x:v>
      </x:c>
      <x:c r="F1326" s="7" t="str">
        <x:v>MF-04</x:v>
      </x:c>
      <x:c r="G1326" s="7" t="str">
        <x:v>source temperature</x:v>
      </x:c>
      <x:c r="H1326" s="7" t="n">
        <x:v>6</x:v>
      </x:c>
      <x:c r="I1326" s="7" t="str"/>
      <x:c r="J1326" s="7" t="str"/>
      <x:c r="K1326" s="7" t="str"/>
      <x:c r="L1326" s="7" t="str"/>
      <x:c r="M1326" s="7" t="str"/>
      <x:c r="N1326" s="7" t="str"/>
      <x:c r="O1326" s="7" t="str">
        <x:f>IF(N1326="","OPEN",IF(OR(I1326="",J1326="",K1326="",L1326="",M1326=""),"FAIL","PASS"))</x:f>
        <x:v>OPEN</x:v>
      </x:c>
    </x:row>
    <x:row r="1327">
      <x:c r="B1327" s="7" t="str">
        <x:v>CH-PEA-B-Y1-05-1</x:v>
      </x:c>
      <x:c r="C1327" s="7" t="str">
        <x:v>PEA-B-Y1</x:v>
      </x:c>
      <x:c r="D1327" s="7" t="str">
        <x:v>BLD-B</x:v>
      </x:c>
      <x:c r="E1327" s="7" t="str">
        <x:v>BL-Y</x:v>
      </x:c>
      <x:c r="F1327" s="7" t="str">
        <x:v>MF-05</x:v>
      </x:c>
      <x:c r="G1327" s="7" t="str">
        <x:v>hold-up tomography</x:v>
      </x:c>
      <x:c r="H1327" s="7" t="n">
        <x:v>1</x:v>
      </x:c>
      <x:c r="I1327" s="7" t="str"/>
      <x:c r="J1327" s="7" t="str"/>
      <x:c r="K1327" s="7" t="str"/>
      <x:c r="L1327" s="7" t="str"/>
      <x:c r="M1327" s="7" t="str"/>
      <x:c r="N1327" s="7" t="str"/>
      <x:c r="O1327" s="7" t="str">
        <x:f>IF(N1327="","OPEN",IF(OR(I1327="",J1327="",K1327="",L1327="",M1327=""),"FAIL","PASS"))</x:f>
        <x:v>OPEN</x:v>
      </x:c>
    </x:row>
    <x:row r="1328">
      <x:c r="B1328" s="7" t="str">
        <x:v>CH-PEA-B-Y1-05-2</x:v>
      </x:c>
      <x:c r="C1328" s="7" t="str">
        <x:v>PEA-B-Y1</x:v>
      </x:c>
      <x:c r="D1328" s="7" t="str">
        <x:v>BLD-B</x:v>
      </x:c>
      <x:c r="E1328" s="7" t="str">
        <x:v>BL-Y</x:v>
      </x:c>
      <x:c r="F1328" s="7" t="str">
        <x:v>MF-05</x:v>
      </x:c>
      <x:c r="G1328" s="7" t="str">
        <x:v>hold-up tomography</x:v>
      </x:c>
      <x:c r="H1328" s="7" t="n">
        <x:v>2</x:v>
      </x:c>
      <x:c r="I1328" s="7" t="str"/>
      <x:c r="J1328" s="7" t="str"/>
      <x:c r="K1328" s="7" t="str"/>
      <x:c r="L1328" s="7" t="str"/>
      <x:c r="M1328" s="7" t="str"/>
      <x:c r="N1328" s="7" t="str"/>
      <x:c r="O1328" s="7" t="str">
        <x:f>IF(N1328="","OPEN",IF(OR(I1328="",J1328="",K1328="",L1328="",M1328=""),"FAIL","PASS"))</x:f>
        <x:v>OPEN</x:v>
      </x:c>
    </x:row>
    <x:row r="1329">
      <x:c r="B1329" s="7" t="str">
        <x:v>CH-PEA-B-Y1-05-3</x:v>
      </x:c>
      <x:c r="C1329" s="7" t="str">
        <x:v>PEA-B-Y1</x:v>
      </x:c>
      <x:c r="D1329" s="7" t="str">
        <x:v>BLD-B</x:v>
      </x:c>
      <x:c r="E1329" s="7" t="str">
        <x:v>BL-Y</x:v>
      </x:c>
      <x:c r="F1329" s="7" t="str">
        <x:v>MF-05</x:v>
      </x:c>
      <x:c r="G1329" s="7" t="str">
        <x:v>hold-up tomography</x:v>
      </x:c>
      <x:c r="H1329" s="7" t="n">
        <x:v>3</x:v>
      </x:c>
      <x:c r="I1329" s="7" t="str"/>
      <x:c r="J1329" s="7" t="str"/>
      <x:c r="K1329" s="7" t="str"/>
      <x:c r="L1329" s="7" t="str"/>
      <x:c r="M1329" s="7" t="str"/>
      <x:c r="N1329" s="7" t="str"/>
      <x:c r="O1329" s="7" t="str">
        <x:f>IF(N1329="","OPEN",IF(OR(I1329="",J1329="",K1329="",L1329="",M1329=""),"FAIL","PASS"))</x:f>
        <x:v>OPEN</x:v>
      </x:c>
    </x:row>
    <x:row r="1330">
      <x:c r="B1330" s="7" t="str">
        <x:v>CH-PEA-B-Y1-05-4</x:v>
      </x:c>
      <x:c r="C1330" s="7" t="str">
        <x:v>PEA-B-Y1</x:v>
      </x:c>
      <x:c r="D1330" s="7" t="str">
        <x:v>BLD-B</x:v>
      </x:c>
      <x:c r="E1330" s="7" t="str">
        <x:v>BL-Y</x:v>
      </x:c>
      <x:c r="F1330" s="7" t="str">
        <x:v>MF-05</x:v>
      </x:c>
      <x:c r="G1330" s="7" t="str">
        <x:v>hold-up tomography</x:v>
      </x:c>
      <x:c r="H1330" s="7" t="n">
        <x:v>4</x:v>
      </x:c>
      <x:c r="I1330" s="7" t="str"/>
      <x:c r="J1330" s="7" t="str"/>
      <x:c r="K1330" s="7" t="str"/>
      <x:c r="L1330" s="7" t="str"/>
      <x:c r="M1330" s="7" t="str"/>
      <x:c r="N1330" s="7" t="str"/>
      <x:c r="O1330" s="7" t="str">
        <x:f>IF(N1330="","OPEN",IF(OR(I1330="",J1330="",K1330="",L1330="",M1330=""),"FAIL","PASS"))</x:f>
        <x:v>OPEN</x:v>
      </x:c>
    </x:row>
    <x:row r="1331">
      <x:c r="B1331" s="7" t="str">
        <x:v>CH-PEA-B-Y1-05-5</x:v>
      </x:c>
      <x:c r="C1331" s="7" t="str">
        <x:v>PEA-B-Y1</x:v>
      </x:c>
      <x:c r="D1331" s="7" t="str">
        <x:v>BLD-B</x:v>
      </x:c>
      <x:c r="E1331" s="7" t="str">
        <x:v>BL-Y</x:v>
      </x:c>
      <x:c r="F1331" s="7" t="str">
        <x:v>MF-05</x:v>
      </x:c>
      <x:c r="G1331" s="7" t="str">
        <x:v>hold-up tomography</x:v>
      </x:c>
      <x:c r="H1331" s="7" t="n">
        <x:v>5</x:v>
      </x:c>
      <x:c r="I1331" s="7" t="str"/>
      <x:c r="J1331" s="7" t="str"/>
      <x:c r="K1331" s="7" t="str"/>
      <x:c r="L1331" s="7" t="str"/>
      <x:c r="M1331" s="7" t="str"/>
      <x:c r="N1331" s="7" t="str"/>
      <x:c r="O1331" s="7" t="str">
        <x:f>IF(N1331="","OPEN",IF(OR(I1331="",J1331="",K1331="",L1331="",M1331=""),"FAIL","PASS"))</x:f>
        <x:v>OPEN</x:v>
      </x:c>
    </x:row>
    <x:row r="1332">
      <x:c r="B1332" s="7" t="str">
        <x:v>CH-PEA-B-Y1-05-6</x:v>
      </x:c>
      <x:c r="C1332" s="7" t="str">
        <x:v>PEA-B-Y1</x:v>
      </x:c>
      <x:c r="D1332" s="7" t="str">
        <x:v>BLD-B</x:v>
      </x:c>
      <x:c r="E1332" s="7" t="str">
        <x:v>BL-Y</x:v>
      </x:c>
      <x:c r="F1332" s="7" t="str">
        <x:v>MF-05</x:v>
      </x:c>
      <x:c r="G1332" s="7" t="str">
        <x:v>hold-up tomography</x:v>
      </x:c>
      <x:c r="H1332" s="7" t="n">
        <x:v>6</x:v>
      </x:c>
      <x:c r="I1332" s="7" t="str"/>
      <x:c r="J1332" s="7" t="str"/>
      <x:c r="K1332" s="7" t="str"/>
      <x:c r="L1332" s="7" t="str"/>
      <x:c r="M1332" s="7" t="str"/>
      <x:c r="N1332" s="7" t="str"/>
      <x:c r="O1332" s="7" t="str">
        <x:f>IF(N1332="","OPEN",IF(OR(I1332="",J1332="",K1332="",L1332="",M1332=""),"FAIL","PASS"))</x:f>
        <x:v>OPEN</x:v>
      </x:c>
    </x:row>
    <x:row r="1333">
      <x:c r="B1333" s="7" t="str">
        <x:v>CH-PEA-B-Y1-06-1</x:v>
      </x:c>
      <x:c r="C1333" s="7" t="str">
        <x:v>PEA-B-Y1</x:v>
      </x:c>
      <x:c r="D1333" s="7" t="str">
        <x:v>BLD-B</x:v>
      </x:c>
      <x:c r="E1333" s="7" t="str">
        <x:v>BL-Y</x:v>
      </x:c>
      <x:c r="F1333" s="7" t="str">
        <x:v>MF-06</x:v>
      </x:c>
      <x:c r="G1333" s="7" t="str">
        <x:v>pan level</x:v>
      </x:c>
      <x:c r="H1333" s="7" t="n">
        <x:v>1</x:v>
      </x:c>
      <x:c r="I1333" s="7" t="str"/>
      <x:c r="J1333" s="7" t="str"/>
      <x:c r="K1333" s="7" t="str"/>
      <x:c r="L1333" s="7" t="str"/>
      <x:c r="M1333" s="7" t="str"/>
      <x:c r="N1333" s="7" t="str"/>
      <x:c r="O1333" s="7" t="str">
        <x:f>IF(N1333="","OPEN",IF(OR(I1333="",J1333="",K1333="",L1333="",M1333=""),"FAIL","PASS"))</x:f>
        <x:v>OPEN</x:v>
      </x:c>
    </x:row>
    <x:row r="1334">
      <x:c r="B1334" s="7" t="str">
        <x:v>CH-PEA-B-Y1-06-2</x:v>
      </x:c>
      <x:c r="C1334" s="7" t="str">
        <x:v>PEA-B-Y1</x:v>
      </x:c>
      <x:c r="D1334" s="7" t="str">
        <x:v>BLD-B</x:v>
      </x:c>
      <x:c r="E1334" s="7" t="str">
        <x:v>BL-Y</x:v>
      </x:c>
      <x:c r="F1334" s="7" t="str">
        <x:v>MF-06</x:v>
      </x:c>
      <x:c r="G1334" s="7" t="str">
        <x:v>pan level</x:v>
      </x:c>
      <x:c r="H1334" s="7" t="n">
        <x:v>2</x:v>
      </x:c>
      <x:c r="I1334" s="7" t="str"/>
      <x:c r="J1334" s="7" t="str"/>
      <x:c r="K1334" s="7" t="str"/>
      <x:c r="L1334" s="7" t="str"/>
      <x:c r="M1334" s="7" t="str"/>
      <x:c r="N1334" s="7" t="str"/>
      <x:c r="O1334" s="7" t="str">
        <x:f>IF(N1334="","OPEN",IF(OR(I1334="",J1334="",K1334="",L1334="",M1334=""),"FAIL","PASS"))</x:f>
        <x:v>OPEN</x:v>
      </x:c>
    </x:row>
    <x:row r="1335">
      <x:c r="B1335" s="7" t="str">
        <x:v>CH-PEA-B-Y1-06-3</x:v>
      </x:c>
      <x:c r="C1335" s="7" t="str">
        <x:v>PEA-B-Y1</x:v>
      </x:c>
      <x:c r="D1335" s="7" t="str">
        <x:v>BLD-B</x:v>
      </x:c>
      <x:c r="E1335" s="7" t="str">
        <x:v>BL-Y</x:v>
      </x:c>
      <x:c r="F1335" s="7" t="str">
        <x:v>MF-06</x:v>
      </x:c>
      <x:c r="G1335" s="7" t="str">
        <x:v>pan level</x:v>
      </x:c>
      <x:c r="H1335" s="7" t="n">
        <x:v>3</x:v>
      </x:c>
      <x:c r="I1335" s="7" t="str"/>
      <x:c r="J1335" s="7" t="str"/>
      <x:c r="K1335" s="7" t="str"/>
      <x:c r="L1335" s="7" t="str"/>
      <x:c r="M1335" s="7" t="str"/>
      <x:c r="N1335" s="7" t="str"/>
      <x:c r="O1335" s="7" t="str">
        <x:f>IF(N1335="","OPEN",IF(OR(I1335="",J1335="",K1335="",L1335="",M1335=""),"FAIL","PASS"))</x:f>
        <x:v>OPEN</x:v>
      </x:c>
    </x:row>
    <x:row r="1336">
      <x:c r="B1336" s="7" t="str">
        <x:v>CH-PEA-B-Y1-06-4</x:v>
      </x:c>
      <x:c r="C1336" s="7" t="str">
        <x:v>PEA-B-Y1</x:v>
      </x:c>
      <x:c r="D1336" s="7" t="str">
        <x:v>BLD-B</x:v>
      </x:c>
      <x:c r="E1336" s="7" t="str">
        <x:v>BL-Y</x:v>
      </x:c>
      <x:c r="F1336" s="7" t="str">
        <x:v>MF-06</x:v>
      </x:c>
      <x:c r="G1336" s="7" t="str">
        <x:v>pan level</x:v>
      </x:c>
      <x:c r="H1336" s="7" t="n">
        <x:v>4</x:v>
      </x:c>
      <x:c r="I1336" s="7" t="str"/>
      <x:c r="J1336" s="7" t="str"/>
      <x:c r="K1336" s="7" t="str"/>
      <x:c r="L1336" s="7" t="str"/>
      <x:c r="M1336" s="7" t="str"/>
      <x:c r="N1336" s="7" t="str"/>
      <x:c r="O1336" s="7" t="str">
        <x:f>IF(N1336="","OPEN",IF(OR(I1336="",J1336="",K1336="",L1336="",M1336=""),"FAIL","PASS"))</x:f>
        <x:v>OPEN</x:v>
      </x:c>
    </x:row>
    <x:row r="1337">
      <x:c r="B1337" s="7" t="str">
        <x:v>CH-PEA-B-Y1-06-5</x:v>
      </x:c>
      <x:c r="C1337" s="7" t="str">
        <x:v>PEA-B-Y1</x:v>
      </x:c>
      <x:c r="D1337" s="7" t="str">
        <x:v>BLD-B</x:v>
      </x:c>
      <x:c r="E1337" s="7" t="str">
        <x:v>BL-Y</x:v>
      </x:c>
      <x:c r="F1337" s="7" t="str">
        <x:v>MF-06</x:v>
      </x:c>
      <x:c r="G1337" s="7" t="str">
        <x:v>pan level</x:v>
      </x:c>
      <x:c r="H1337" s="7" t="n">
        <x:v>5</x:v>
      </x:c>
      <x:c r="I1337" s="7" t="str"/>
      <x:c r="J1337" s="7" t="str"/>
      <x:c r="K1337" s="7" t="str"/>
      <x:c r="L1337" s="7" t="str"/>
      <x:c r="M1337" s="7" t="str"/>
      <x:c r="N1337" s="7" t="str"/>
      <x:c r="O1337" s="7" t="str">
        <x:f>IF(N1337="","OPEN",IF(OR(I1337="",J1337="",K1337="",L1337="",M1337=""),"FAIL","PASS"))</x:f>
        <x:v>OPEN</x:v>
      </x:c>
    </x:row>
    <x:row r="1338">
      <x:c r="B1338" s="7" t="str">
        <x:v>CH-PEA-B-Y1-06-6</x:v>
      </x:c>
      <x:c r="C1338" s="7" t="str">
        <x:v>PEA-B-Y1</x:v>
      </x:c>
      <x:c r="D1338" s="7" t="str">
        <x:v>BLD-B</x:v>
      </x:c>
      <x:c r="E1338" s="7" t="str">
        <x:v>BL-Y</x:v>
      </x:c>
      <x:c r="F1338" s="7" t="str">
        <x:v>MF-06</x:v>
      </x:c>
      <x:c r="G1338" s="7" t="str">
        <x:v>pan level</x:v>
      </x:c>
      <x:c r="H1338" s="7" t="n">
        <x:v>6</x:v>
      </x:c>
      <x:c r="I1338" s="7" t="str"/>
      <x:c r="J1338" s="7" t="str"/>
      <x:c r="K1338" s="7" t="str"/>
      <x:c r="L1338" s="7" t="str"/>
      <x:c r="M1338" s="7" t="str"/>
      <x:c r="N1338" s="7" t="str"/>
      <x:c r="O1338" s="7" t="str">
        <x:f>IF(N1338="","OPEN",IF(OR(I1338="",J1338="",K1338="",L1338="",M1338=""),"FAIL","PASS"))</x:f>
        <x:v>OPEN</x:v>
      </x:c>
    </x:row>
    <x:row r="1339">
      <x:c r="B1339" s="7" t="str">
        <x:v>CH-PEA-B-Y1-07-1</x:v>
      </x:c>
      <x:c r="C1339" s="7" t="str">
        <x:v>PEA-B-Y1</x:v>
      </x:c>
      <x:c r="D1339" s="7" t="str">
        <x:v>BLD-B</x:v>
      </x:c>
      <x:c r="E1339" s="7" t="str">
        <x:v>BL-Y</x:v>
      </x:c>
      <x:c r="F1339" s="7" t="str">
        <x:v>MF-07</x:v>
      </x:c>
      <x:c r="G1339" s="7" t="str">
        <x:v>normal receiver mass</x:v>
      </x:c>
      <x:c r="H1339" s="7" t="n">
        <x:v>1</x:v>
      </x:c>
      <x:c r="I1339" s="7" t="str"/>
      <x:c r="J1339" s="7" t="str"/>
      <x:c r="K1339" s="7" t="str"/>
      <x:c r="L1339" s="7" t="str"/>
      <x:c r="M1339" s="7" t="str"/>
      <x:c r="N1339" s="7" t="str"/>
      <x:c r="O1339" s="7" t="str">
        <x:f>IF(N1339="","OPEN",IF(OR(I1339="",J1339="",K1339="",L1339="",M1339=""),"FAIL","PASS"))</x:f>
        <x:v>OPEN</x:v>
      </x:c>
    </x:row>
    <x:row r="1340">
      <x:c r="B1340" s="7" t="str">
        <x:v>CH-PEA-B-Y1-07-2</x:v>
      </x:c>
      <x:c r="C1340" s="7" t="str">
        <x:v>PEA-B-Y1</x:v>
      </x:c>
      <x:c r="D1340" s="7" t="str">
        <x:v>BLD-B</x:v>
      </x:c>
      <x:c r="E1340" s="7" t="str">
        <x:v>BL-Y</x:v>
      </x:c>
      <x:c r="F1340" s="7" t="str">
        <x:v>MF-07</x:v>
      </x:c>
      <x:c r="G1340" s="7" t="str">
        <x:v>normal receiver mass</x:v>
      </x:c>
      <x:c r="H1340" s="7" t="n">
        <x:v>2</x:v>
      </x:c>
      <x:c r="I1340" s="7" t="str"/>
      <x:c r="J1340" s="7" t="str"/>
      <x:c r="K1340" s="7" t="str"/>
      <x:c r="L1340" s="7" t="str"/>
      <x:c r="M1340" s="7" t="str"/>
      <x:c r="N1340" s="7" t="str"/>
      <x:c r="O1340" s="7" t="str">
        <x:f>IF(N1340="","OPEN",IF(OR(I1340="",J1340="",K1340="",L1340="",M1340=""),"FAIL","PASS"))</x:f>
        <x:v>OPEN</x:v>
      </x:c>
    </x:row>
    <x:row r="1341">
      <x:c r="B1341" s="7" t="str">
        <x:v>CH-PEA-B-Y1-07-3</x:v>
      </x:c>
      <x:c r="C1341" s="7" t="str">
        <x:v>PEA-B-Y1</x:v>
      </x:c>
      <x:c r="D1341" s="7" t="str">
        <x:v>BLD-B</x:v>
      </x:c>
      <x:c r="E1341" s="7" t="str">
        <x:v>BL-Y</x:v>
      </x:c>
      <x:c r="F1341" s="7" t="str">
        <x:v>MF-07</x:v>
      </x:c>
      <x:c r="G1341" s="7" t="str">
        <x:v>normal receiver mass</x:v>
      </x:c>
      <x:c r="H1341" s="7" t="n">
        <x:v>3</x:v>
      </x:c>
      <x:c r="I1341" s="7" t="str"/>
      <x:c r="J1341" s="7" t="str"/>
      <x:c r="K1341" s="7" t="str"/>
      <x:c r="L1341" s="7" t="str"/>
      <x:c r="M1341" s="7" t="str"/>
      <x:c r="N1341" s="7" t="str"/>
      <x:c r="O1341" s="7" t="str">
        <x:f>IF(N1341="","OPEN",IF(OR(I1341="",J1341="",K1341="",L1341="",M1341=""),"FAIL","PASS"))</x:f>
        <x:v>OPEN</x:v>
      </x:c>
    </x:row>
    <x:row r="1342">
      <x:c r="B1342" s="7" t="str">
        <x:v>CH-PEA-B-Y1-07-4</x:v>
      </x:c>
      <x:c r="C1342" s="7" t="str">
        <x:v>PEA-B-Y1</x:v>
      </x:c>
      <x:c r="D1342" s="7" t="str">
        <x:v>BLD-B</x:v>
      </x:c>
      <x:c r="E1342" s="7" t="str">
        <x:v>BL-Y</x:v>
      </x:c>
      <x:c r="F1342" s="7" t="str">
        <x:v>MF-07</x:v>
      </x:c>
      <x:c r="G1342" s="7" t="str">
        <x:v>normal receiver mass</x:v>
      </x:c>
      <x:c r="H1342" s="7" t="n">
        <x:v>4</x:v>
      </x:c>
      <x:c r="I1342" s="7" t="str"/>
      <x:c r="J1342" s="7" t="str"/>
      <x:c r="K1342" s="7" t="str"/>
      <x:c r="L1342" s="7" t="str"/>
      <x:c r="M1342" s="7" t="str"/>
      <x:c r="N1342" s="7" t="str"/>
      <x:c r="O1342" s="7" t="str">
        <x:f>IF(N1342="","OPEN",IF(OR(I1342="",J1342="",K1342="",L1342="",M1342=""),"FAIL","PASS"))</x:f>
        <x:v>OPEN</x:v>
      </x:c>
    </x:row>
    <x:row r="1343">
      <x:c r="B1343" s="7" t="str">
        <x:v>CH-PEA-B-Y1-07-5</x:v>
      </x:c>
      <x:c r="C1343" s="7" t="str">
        <x:v>PEA-B-Y1</x:v>
      </x:c>
      <x:c r="D1343" s="7" t="str">
        <x:v>BLD-B</x:v>
      </x:c>
      <x:c r="E1343" s="7" t="str">
        <x:v>BL-Y</x:v>
      </x:c>
      <x:c r="F1343" s="7" t="str">
        <x:v>MF-07</x:v>
      </x:c>
      <x:c r="G1343" s="7" t="str">
        <x:v>normal receiver mass</x:v>
      </x:c>
      <x:c r="H1343" s="7" t="n">
        <x:v>5</x:v>
      </x:c>
      <x:c r="I1343" s="7" t="str"/>
      <x:c r="J1343" s="7" t="str"/>
      <x:c r="K1343" s="7" t="str"/>
      <x:c r="L1343" s="7" t="str"/>
      <x:c r="M1343" s="7" t="str"/>
      <x:c r="N1343" s="7" t="str"/>
      <x:c r="O1343" s="7" t="str">
        <x:f>IF(N1343="","OPEN",IF(OR(I1343="",J1343="",K1343="",L1343="",M1343=""),"FAIL","PASS"))</x:f>
        <x:v>OPEN</x:v>
      </x:c>
    </x:row>
    <x:row r="1344">
      <x:c r="B1344" s="7" t="str">
        <x:v>CH-PEA-B-Y1-07-6</x:v>
      </x:c>
      <x:c r="C1344" s="7" t="str">
        <x:v>PEA-B-Y1</x:v>
      </x:c>
      <x:c r="D1344" s="7" t="str">
        <x:v>BLD-B</x:v>
      </x:c>
      <x:c r="E1344" s="7" t="str">
        <x:v>BL-Y</x:v>
      </x:c>
      <x:c r="F1344" s="7" t="str">
        <x:v>MF-07</x:v>
      </x:c>
      <x:c r="G1344" s="7" t="str">
        <x:v>normal receiver mass</x:v>
      </x:c>
      <x:c r="H1344" s="7" t="n">
        <x:v>6</x:v>
      </x:c>
      <x:c r="I1344" s="7" t="str"/>
      <x:c r="J1344" s="7" t="str"/>
      <x:c r="K1344" s="7" t="str"/>
      <x:c r="L1344" s="7" t="str"/>
      <x:c r="M1344" s="7" t="str"/>
      <x:c r="N1344" s="7" t="str"/>
      <x:c r="O1344" s="7" t="str">
        <x:f>IF(N1344="","OPEN",IF(OR(I1344="",J1344="",K1344="",L1344="",M1344=""),"FAIL","PASS"))</x:f>
        <x:v>OPEN</x:v>
      </x:c>
    </x:row>
    <x:row r="1345">
      <x:c r="B1345" s="7" t="str">
        <x:v>CH-PEA-B-Y1-08-1</x:v>
      </x:c>
      <x:c r="C1345" s="7" t="str">
        <x:v>PEA-B-Y1</x:v>
      </x:c>
      <x:c r="D1345" s="7" t="str">
        <x:v>BLD-B</x:v>
      </x:c>
      <x:c r="E1345" s="7" t="str">
        <x:v>BL-Y</x:v>
      </x:c>
      <x:c r="F1345" s="7" t="str">
        <x:v>MF-08</x:v>
      </x:c>
      <x:c r="G1345" s="7" t="str">
        <x:v>casualty receiver mass</x:v>
      </x:c>
      <x:c r="H1345" s="7" t="n">
        <x:v>1</x:v>
      </x:c>
      <x:c r="I1345" s="7" t="str"/>
      <x:c r="J1345" s="7" t="str"/>
      <x:c r="K1345" s="7" t="str"/>
      <x:c r="L1345" s="7" t="str"/>
      <x:c r="M1345" s="7" t="str"/>
      <x:c r="N1345" s="7" t="str"/>
      <x:c r="O1345" s="7" t="str">
        <x:f>IF(N1345="","OPEN",IF(OR(I1345="",J1345="",K1345="",L1345="",M1345=""),"FAIL","PASS"))</x:f>
        <x:v>OPEN</x:v>
      </x:c>
    </x:row>
    <x:row r="1346">
      <x:c r="B1346" s="7" t="str">
        <x:v>CH-PEA-B-Y1-08-2</x:v>
      </x:c>
      <x:c r="C1346" s="7" t="str">
        <x:v>PEA-B-Y1</x:v>
      </x:c>
      <x:c r="D1346" s="7" t="str">
        <x:v>BLD-B</x:v>
      </x:c>
      <x:c r="E1346" s="7" t="str">
        <x:v>BL-Y</x:v>
      </x:c>
      <x:c r="F1346" s="7" t="str">
        <x:v>MF-08</x:v>
      </x:c>
      <x:c r="G1346" s="7" t="str">
        <x:v>casualty receiver mass</x:v>
      </x:c>
      <x:c r="H1346" s="7" t="n">
        <x:v>2</x:v>
      </x:c>
      <x:c r="I1346" s="7" t="str"/>
      <x:c r="J1346" s="7" t="str"/>
      <x:c r="K1346" s="7" t="str"/>
      <x:c r="L1346" s="7" t="str"/>
      <x:c r="M1346" s="7" t="str"/>
      <x:c r="N1346" s="7" t="str"/>
      <x:c r="O1346" s="7" t="str">
        <x:f>IF(N1346="","OPEN",IF(OR(I1346="",J1346="",K1346="",L1346="",M1346=""),"FAIL","PASS"))</x:f>
        <x:v>OPEN</x:v>
      </x:c>
    </x:row>
    <x:row r="1347">
      <x:c r="B1347" s="7" t="str">
        <x:v>CH-PEA-B-Y1-08-3</x:v>
      </x:c>
      <x:c r="C1347" s="7" t="str">
        <x:v>PEA-B-Y1</x:v>
      </x:c>
      <x:c r="D1347" s="7" t="str">
        <x:v>BLD-B</x:v>
      </x:c>
      <x:c r="E1347" s="7" t="str">
        <x:v>BL-Y</x:v>
      </x:c>
      <x:c r="F1347" s="7" t="str">
        <x:v>MF-08</x:v>
      </x:c>
      <x:c r="G1347" s="7" t="str">
        <x:v>casualty receiver mass</x:v>
      </x:c>
      <x:c r="H1347" s="7" t="n">
        <x:v>3</x:v>
      </x:c>
      <x:c r="I1347" s="7" t="str"/>
      <x:c r="J1347" s="7" t="str"/>
      <x:c r="K1347" s="7" t="str"/>
      <x:c r="L1347" s="7" t="str"/>
      <x:c r="M1347" s="7" t="str"/>
      <x:c r="N1347" s="7" t="str"/>
      <x:c r="O1347" s="7" t="str">
        <x:f>IF(N1347="","OPEN",IF(OR(I1347="",J1347="",K1347="",L1347="",M1347=""),"FAIL","PASS"))</x:f>
        <x:v>OPEN</x:v>
      </x:c>
    </x:row>
    <x:row r="1348">
      <x:c r="B1348" s="7" t="str">
        <x:v>CH-PEA-B-Y1-08-4</x:v>
      </x:c>
      <x:c r="C1348" s="7" t="str">
        <x:v>PEA-B-Y1</x:v>
      </x:c>
      <x:c r="D1348" s="7" t="str">
        <x:v>BLD-B</x:v>
      </x:c>
      <x:c r="E1348" s="7" t="str">
        <x:v>BL-Y</x:v>
      </x:c>
      <x:c r="F1348" s="7" t="str">
        <x:v>MF-08</x:v>
      </x:c>
      <x:c r="G1348" s="7" t="str">
        <x:v>casualty receiver mass</x:v>
      </x:c>
      <x:c r="H1348" s="7" t="n">
        <x:v>4</x:v>
      </x:c>
      <x:c r="I1348" s="7" t="str"/>
      <x:c r="J1348" s="7" t="str"/>
      <x:c r="K1348" s="7" t="str"/>
      <x:c r="L1348" s="7" t="str"/>
      <x:c r="M1348" s="7" t="str"/>
      <x:c r="N1348" s="7" t="str"/>
      <x:c r="O1348" s="7" t="str">
        <x:f>IF(N1348="","OPEN",IF(OR(I1348="",J1348="",K1348="",L1348="",M1348=""),"FAIL","PASS"))</x:f>
        <x:v>OPEN</x:v>
      </x:c>
    </x:row>
    <x:row r="1349">
      <x:c r="B1349" s="7" t="str">
        <x:v>CH-PEA-B-Y1-08-5</x:v>
      </x:c>
      <x:c r="C1349" s="7" t="str">
        <x:v>PEA-B-Y1</x:v>
      </x:c>
      <x:c r="D1349" s="7" t="str">
        <x:v>BLD-B</x:v>
      </x:c>
      <x:c r="E1349" s="7" t="str">
        <x:v>BL-Y</x:v>
      </x:c>
      <x:c r="F1349" s="7" t="str">
        <x:v>MF-08</x:v>
      </x:c>
      <x:c r="G1349" s="7" t="str">
        <x:v>casualty receiver mass</x:v>
      </x:c>
      <x:c r="H1349" s="7" t="n">
        <x:v>5</x:v>
      </x:c>
      <x:c r="I1349" s="7" t="str"/>
      <x:c r="J1349" s="7" t="str"/>
      <x:c r="K1349" s="7" t="str"/>
      <x:c r="L1349" s="7" t="str"/>
      <x:c r="M1349" s="7" t="str"/>
      <x:c r="N1349" s="7" t="str"/>
      <x:c r="O1349" s="7" t="str">
        <x:f>IF(N1349="","OPEN",IF(OR(I1349="",J1349="",K1349="",L1349="",M1349=""),"FAIL","PASS"))</x:f>
        <x:v>OPEN</x:v>
      </x:c>
    </x:row>
    <x:row r="1350">
      <x:c r="B1350" s="7" t="str">
        <x:v>CH-PEA-B-Y1-08-6</x:v>
      </x:c>
      <x:c r="C1350" s="7" t="str">
        <x:v>PEA-B-Y1</x:v>
      </x:c>
      <x:c r="D1350" s="7" t="str">
        <x:v>BLD-B</x:v>
      </x:c>
      <x:c r="E1350" s="7" t="str">
        <x:v>BL-Y</x:v>
      </x:c>
      <x:c r="F1350" s="7" t="str">
        <x:v>MF-08</x:v>
      </x:c>
      <x:c r="G1350" s="7" t="str">
        <x:v>casualty receiver mass</x:v>
      </x:c>
      <x:c r="H1350" s="7" t="n">
        <x:v>6</x:v>
      </x:c>
      <x:c r="I1350" s="7" t="str"/>
      <x:c r="J1350" s="7" t="str"/>
      <x:c r="K1350" s="7" t="str"/>
      <x:c r="L1350" s="7" t="str"/>
      <x:c r="M1350" s="7" t="str"/>
      <x:c r="N1350" s="7" t="str"/>
      <x:c r="O1350" s="7" t="str">
        <x:f>IF(N1350="","OPEN",IF(OR(I1350="",J1350="",K1350="",L1350="",M1350=""),"FAIL","PASS"))</x:f>
        <x:v>OPEN</x:v>
      </x:c>
    </x:row>
    <x:row r="1351">
      <x:c r="B1351" s="7" t="str">
        <x:v>CH-PEA-B-Y1-09-1</x:v>
      </x:c>
      <x:c r="C1351" s="7" t="str">
        <x:v>PEA-B-Y1</x:v>
      </x:c>
      <x:c r="D1351" s="7" t="str">
        <x:v>BLD-B</x:v>
      </x:c>
      <x:c r="E1351" s="7" t="str">
        <x:v>BL-Y</x:v>
      </x:c>
      <x:c r="F1351" s="7" t="str">
        <x:v>MF-09</x:v>
      </x:c>
      <x:c r="G1351" s="7" t="str">
        <x:v>geometry and slope</x:v>
      </x:c>
      <x:c r="H1351" s="7" t="n">
        <x:v>1</x:v>
      </x:c>
      <x:c r="I1351" s="7" t="str"/>
      <x:c r="J1351" s="7" t="str"/>
      <x:c r="K1351" s="7" t="str"/>
      <x:c r="L1351" s="7" t="str"/>
      <x:c r="M1351" s="7" t="str"/>
      <x:c r="N1351" s="7" t="str"/>
      <x:c r="O1351" s="7" t="str">
        <x:f>IF(N1351="","OPEN",IF(OR(I1351="",J1351="",K1351="",L1351="",M1351=""),"FAIL","PASS"))</x:f>
        <x:v>OPEN</x:v>
      </x:c>
    </x:row>
    <x:row r="1352">
      <x:c r="B1352" s="7" t="str">
        <x:v>CH-PEA-B-Y1-09-2</x:v>
      </x:c>
      <x:c r="C1352" s="7" t="str">
        <x:v>PEA-B-Y1</x:v>
      </x:c>
      <x:c r="D1352" s="7" t="str">
        <x:v>BLD-B</x:v>
      </x:c>
      <x:c r="E1352" s="7" t="str">
        <x:v>BL-Y</x:v>
      </x:c>
      <x:c r="F1352" s="7" t="str">
        <x:v>MF-09</x:v>
      </x:c>
      <x:c r="G1352" s="7" t="str">
        <x:v>geometry and slope</x:v>
      </x:c>
      <x:c r="H1352" s="7" t="n">
        <x:v>2</x:v>
      </x:c>
      <x:c r="I1352" s="7" t="str"/>
      <x:c r="J1352" s="7" t="str"/>
      <x:c r="K1352" s="7" t="str"/>
      <x:c r="L1352" s="7" t="str"/>
      <x:c r="M1352" s="7" t="str"/>
      <x:c r="N1352" s="7" t="str"/>
      <x:c r="O1352" s="7" t="str">
        <x:f>IF(N1352="","OPEN",IF(OR(I1352="",J1352="",K1352="",L1352="",M1352=""),"FAIL","PASS"))</x:f>
        <x:v>OPEN</x:v>
      </x:c>
    </x:row>
    <x:row r="1353">
      <x:c r="B1353" s="7" t="str">
        <x:v>CH-PEA-B-Y1-09-3</x:v>
      </x:c>
      <x:c r="C1353" s="7" t="str">
        <x:v>PEA-B-Y1</x:v>
      </x:c>
      <x:c r="D1353" s="7" t="str">
        <x:v>BLD-B</x:v>
      </x:c>
      <x:c r="E1353" s="7" t="str">
        <x:v>BL-Y</x:v>
      </x:c>
      <x:c r="F1353" s="7" t="str">
        <x:v>MF-09</x:v>
      </x:c>
      <x:c r="G1353" s="7" t="str">
        <x:v>geometry and slope</x:v>
      </x:c>
      <x:c r="H1353" s="7" t="n">
        <x:v>3</x:v>
      </x:c>
      <x:c r="I1353" s="7" t="str"/>
      <x:c r="J1353" s="7" t="str"/>
      <x:c r="K1353" s="7" t="str"/>
      <x:c r="L1353" s="7" t="str"/>
      <x:c r="M1353" s="7" t="str"/>
      <x:c r="N1353" s="7" t="str"/>
      <x:c r="O1353" s="7" t="str">
        <x:f>IF(N1353="","OPEN",IF(OR(I1353="",J1353="",K1353="",L1353="",M1353=""),"FAIL","PASS"))</x:f>
        <x:v>OPEN</x:v>
      </x:c>
    </x:row>
    <x:row r="1354">
      <x:c r="B1354" s="7" t="str">
        <x:v>CH-PEA-B-Y1-09-4</x:v>
      </x:c>
      <x:c r="C1354" s="7" t="str">
        <x:v>PEA-B-Y1</x:v>
      </x:c>
      <x:c r="D1354" s="7" t="str">
        <x:v>BLD-B</x:v>
      </x:c>
      <x:c r="E1354" s="7" t="str">
        <x:v>BL-Y</x:v>
      </x:c>
      <x:c r="F1354" s="7" t="str">
        <x:v>MF-09</x:v>
      </x:c>
      <x:c r="G1354" s="7" t="str">
        <x:v>geometry and slope</x:v>
      </x:c>
      <x:c r="H1354" s="7" t="n">
        <x:v>4</x:v>
      </x:c>
      <x:c r="I1354" s="7" t="str"/>
      <x:c r="J1354" s="7" t="str"/>
      <x:c r="K1354" s="7" t="str"/>
      <x:c r="L1354" s="7" t="str"/>
      <x:c r="M1354" s="7" t="str"/>
      <x:c r="N1354" s="7" t="str"/>
      <x:c r="O1354" s="7" t="str">
        <x:f>IF(N1354="","OPEN",IF(OR(I1354="",J1354="",K1354="",L1354="",M1354=""),"FAIL","PASS"))</x:f>
        <x:v>OPEN</x:v>
      </x:c>
    </x:row>
    <x:row r="1355">
      <x:c r="B1355" s="7" t="str">
        <x:v>CH-PEA-B-Y1-09-5</x:v>
      </x:c>
      <x:c r="C1355" s="7" t="str">
        <x:v>PEA-B-Y1</x:v>
      </x:c>
      <x:c r="D1355" s="7" t="str">
        <x:v>BLD-B</x:v>
      </x:c>
      <x:c r="E1355" s="7" t="str">
        <x:v>BL-Y</x:v>
      </x:c>
      <x:c r="F1355" s="7" t="str">
        <x:v>MF-09</x:v>
      </x:c>
      <x:c r="G1355" s="7" t="str">
        <x:v>geometry and slope</x:v>
      </x:c>
      <x:c r="H1355" s="7" t="n">
        <x:v>5</x:v>
      </x:c>
      <x:c r="I1355" s="7" t="str"/>
      <x:c r="J1355" s="7" t="str"/>
      <x:c r="K1355" s="7" t="str"/>
      <x:c r="L1355" s="7" t="str"/>
      <x:c r="M1355" s="7" t="str"/>
      <x:c r="N1355" s="7" t="str"/>
      <x:c r="O1355" s="7" t="str">
        <x:f>IF(N1355="","OPEN",IF(OR(I1355="",J1355="",K1355="",L1355="",M1355=""),"FAIL","PASS"))</x:f>
        <x:v>OPEN</x:v>
      </x:c>
    </x:row>
    <x:row r="1356">
      <x:c r="B1356" s="7" t="str">
        <x:v>CH-PEA-B-Y1-09-6</x:v>
      </x:c>
      <x:c r="C1356" s="7" t="str">
        <x:v>PEA-B-Y1</x:v>
      </x:c>
      <x:c r="D1356" s="7" t="str">
        <x:v>BLD-B</x:v>
      </x:c>
      <x:c r="E1356" s="7" t="str">
        <x:v>BL-Y</x:v>
      </x:c>
      <x:c r="F1356" s="7" t="str">
        <x:v>MF-09</x:v>
      </x:c>
      <x:c r="G1356" s="7" t="str">
        <x:v>geometry and slope</x:v>
      </x:c>
      <x:c r="H1356" s="7" t="n">
        <x:v>6</x:v>
      </x:c>
      <x:c r="I1356" s="7" t="str"/>
      <x:c r="J1356" s="7" t="str"/>
      <x:c r="K1356" s="7" t="str"/>
      <x:c r="L1356" s="7" t="str"/>
      <x:c r="M1356" s="7" t="str"/>
      <x:c r="N1356" s="7" t="str"/>
      <x:c r="O1356" s="7" t="str">
        <x:f>IF(N1356="","OPEN",IF(OR(I1356="",J1356="",K1356="",L1356="",M1356=""),"FAIL","PASS"))</x:f>
        <x:v>OPEN</x:v>
      </x:c>
    </x:row>
    <x:row r="1357">
      <x:c r="B1357" s="7" t="str">
        <x:v>CH-PEA-B-Y1-10-1</x:v>
      </x:c>
      <x:c r="C1357" s="7" t="str">
        <x:v>PEA-B-Y1</x:v>
      </x:c>
      <x:c r="D1357" s="7" t="str">
        <x:v>BLD-B</x:v>
      </x:c>
      <x:c r="E1357" s="7" t="str">
        <x:v>BL-Y</x:v>
      </x:c>
      <x:c r="F1357" s="7" t="str">
        <x:v>MF-10</x:v>
      </x:c>
      <x:c r="G1357" s="7" t="str">
        <x:v>normal-source path state</x:v>
      </x:c>
      <x:c r="H1357" s="7" t="n">
        <x:v>1</x:v>
      </x:c>
      <x:c r="I1357" s="7" t="str"/>
      <x:c r="J1357" s="7" t="str"/>
      <x:c r="K1357" s="7" t="str"/>
      <x:c r="L1357" s="7" t="str"/>
      <x:c r="M1357" s="7" t="str"/>
      <x:c r="N1357" s="7" t="str"/>
      <x:c r="O1357" s="7" t="str">
        <x:f>IF(N1357="","OPEN",IF(OR(I1357="",J1357="",K1357="",L1357="",M1357=""),"FAIL","PASS"))</x:f>
        <x:v>OPEN</x:v>
      </x:c>
    </x:row>
    <x:row r="1358">
      <x:c r="B1358" s="7" t="str">
        <x:v>CH-PEA-B-Y1-10-2</x:v>
      </x:c>
      <x:c r="C1358" s="7" t="str">
        <x:v>PEA-B-Y1</x:v>
      </x:c>
      <x:c r="D1358" s="7" t="str">
        <x:v>BLD-B</x:v>
      </x:c>
      <x:c r="E1358" s="7" t="str">
        <x:v>BL-Y</x:v>
      </x:c>
      <x:c r="F1358" s="7" t="str">
        <x:v>MF-10</x:v>
      </x:c>
      <x:c r="G1358" s="7" t="str">
        <x:v>normal-source path state</x:v>
      </x:c>
      <x:c r="H1358" s="7" t="n">
        <x:v>2</x:v>
      </x:c>
      <x:c r="I1358" s="7" t="str"/>
      <x:c r="J1358" s="7" t="str"/>
      <x:c r="K1358" s="7" t="str"/>
      <x:c r="L1358" s="7" t="str"/>
      <x:c r="M1358" s="7" t="str"/>
      <x:c r="N1358" s="7" t="str"/>
      <x:c r="O1358" s="7" t="str">
        <x:f>IF(N1358="","OPEN",IF(OR(I1358="",J1358="",K1358="",L1358="",M1358=""),"FAIL","PASS"))</x:f>
        <x:v>OPEN</x:v>
      </x:c>
    </x:row>
    <x:row r="1359">
      <x:c r="B1359" s="7" t="str">
        <x:v>CH-PEA-B-Y1-10-3</x:v>
      </x:c>
      <x:c r="C1359" s="7" t="str">
        <x:v>PEA-B-Y1</x:v>
      </x:c>
      <x:c r="D1359" s="7" t="str">
        <x:v>BLD-B</x:v>
      </x:c>
      <x:c r="E1359" s="7" t="str">
        <x:v>BL-Y</x:v>
      </x:c>
      <x:c r="F1359" s="7" t="str">
        <x:v>MF-10</x:v>
      </x:c>
      <x:c r="G1359" s="7" t="str">
        <x:v>normal-source path state</x:v>
      </x:c>
      <x:c r="H1359" s="7" t="n">
        <x:v>3</x:v>
      </x:c>
      <x:c r="I1359" s="7" t="str"/>
      <x:c r="J1359" s="7" t="str"/>
      <x:c r="K1359" s="7" t="str"/>
      <x:c r="L1359" s="7" t="str"/>
      <x:c r="M1359" s="7" t="str"/>
      <x:c r="N1359" s="7" t="str"/>
      <x:c r="O1359" s="7" t="str">
        <x:f>IF(N1359="","OPEN",IF(OR(I1359="",J1359="",K1359="",L1359="",M1359=""),"FAIL","PASS"))</x:f>
        <x:v>OPEN</x:v>
      </x:c>
    </x:row>
    <x:row r="1360">
      <x:c r="B1360" s="7" t="str">
        <x:v>CH-PEA-B-Y1-10-4</x:v>
      </x:c>
      <x:c r="C1360" s="7" t="str">
        <x:v>PEA-B-Y1</x:v>
      </x:c>
      <x:c r="D1360" s="7" t="str">
        <x:v>BLD-B</x:v>
      </x:c>
      <x:c r="E1360" s="7" t="str">
        <x:v>BL-Y</x:v>
      </x:c>
      <x:c r="F1360" s="7" t="str">
        <x:v>MF-10</x:v>
      </x:c>
      <x:c r="G1360" s="7" t="str">
        <x:v>normal-source path state</x:v>
      </x:c>
      <x:c r="H1360" s="7" t="n">
        <x:v>4</x:v>
      </x:c>
      <x:c r="I1360" s="7" t="str"/>
      <x:c r="J1360" s="7" t="str"/>
      <x:c r="K1360" s="7" t="str"/>
      <x:c r="L1360" s="7" t="str"/>
      <x:c r="M1360" s="7" t="str"/>
      <x:c r="N1360" s="7" t="str"/>
      <x:c r="O1360" s="7" t="str">
        <x:f>IF(N1360="","OPEN",IF(OR(I1360="",J1360="",K1360="",L1360="",M1360=""),"FAIL","PASS"))</x:f>
        <x:v>OPEN</x:v>
      </x:c>
    </x:row>
    <x:row r="1361">
      <x:c r="B1361" s="7" t="str">
        <x:v>CH-PEA-B-Y1-10-5</x:v>
      </x:c>
      <x:c r="C1361" s="7" t="str">
        <x:v>PEA-B-Y1</x:v>
      </x:c>
      <x:c r="D1361" s="7" t="str">
        <x:v>BLD-B</x:v>
      </x:c>
      <x:c r="E1361" s="7" t="str">
        <x:v>BL-Y</x:v>
      </x:c>
      <x:c r="F1361" s="7" t="str">
        <x:v>MF-10</x:v>
      </x:c>
      <x:c r="G1361" s="7" t="str">
        <x:v>normal-source path state</x:v>
      </x:c>
      <x:c r="H1361" s="7" t="n">
        <x:v>5</x:v>
      </x:c>
      <x:c r="I1361" s="7" t="str"/>
      <x:c r="J1361" s="7" t="str"/>
      <x:c r="K1361" s="7" t="str"/>
      <x:c r="L1361" s="7" t="str"/>
      <x:c r="M1361" s="7" t="str"/>
      <x:c r="N1361" s="7" t="str"/>
      <x:c r="O1361" s="7" t="str">
        <x:f>IF(N1361="","OPEN",IF(OR(I1361="",J1361="",K1361="",L1361="",M1361=""),"FAIL","PASS"))</x:f>
        <x:v>OPEN</x:v>
      </x:c>
    </x:row>
    <x:row r="1362">
      <x:c r="B1362" s="7" t="str">
        <x:v>CH-PEA-B-Y1-10-6</x:v>
      </x:c>
      <x:c r="C1362" s="7" t="str">
        <x:v>PEA-B-Y1</x:v>
      </x:c>
      <x:c r="D1362" s="7" t="str">
        <x:v>BLD-B</x:v>
      </x:c>
      <x:c r="E1362" s="7" t="str">
        <x:v>BL-Y</x:v>
      </x:c>
      <x:c r="F1362" s="7" t="str">
        <x:v>MF-10</x:v>
      </x:c>
      <x:c r="G1362" s="7" t="str">
        <x:v>normal-source path state</x:v>
      </x:c>
      <x:c r="H1362" s="7" t="n">
        <x:v>6</x:v>
      </x:c>
      <x:c r="I1362" s="7" t="str"/>
      <x:c r="J1362" s="7" t="str"/>
      <x:c r="K1362" s="7" t="str"/>
      <x:c r="L1362" s="7" t="str"/>
      <x:c r="M1362" s="7" t="str"/>
      <x:c r="N1362" s="7" t="str"/>
      <x:c r="O1362" s="7" t="str">
        <x:f>IF(N1362="","OPEN",IF(OR(I1362="",J1362="",K1362="",L1362="",M1362=""),"FAIL","PASS"))</x:f>
        <x:v>OPEN</x:v>
      </x:c>
    </x:row>
    <x:row r="1363">
      <x:c r="B1363" s="7" t="str">
        <x:v>CH-PEA-B-Y1-11-1</x:v>
      </x:c>
      <x:c r="C1363" s="7" t="str">
        <x:v>PEA-B-Y1</x:v>
      </x:c>
      <x:c r="D1363" s="7" t="str">
        <x:v>BLD-B</x:v>
      </x:c>
      <x:c r="E1363" s="7" t="str">
        <x:v>BL-Y</x:v>
      </x:c>
      <x:c r="F1363" s="7" t="str">
        <x:v>MF-11</x:v>
      </x:c>
      <x:c r="G1363" s="7" t="str">
        <x:v>casualty-source path state</x:v>
      </x:c>
      <x:c r="H1363" s="7" t="n">
        <x:v>1</x:v>
      </x:c>
      <x:c r="I1363" s="7" t="str"/>
      <x:c r="J1363" s="7" t="str"/>
      <x:c r="K1363" s="7" t="str"/>
      <x:c r="L1363" s="7" t="str"/>
      <x:c r="M1363" s="7" t="str"/>
      <x:c r="N1363" s="7" t="str"/>
      <x:c r="O1363" s="7" t="str">
        <x:f>IF(N1363="","OPEN",IF(OR(I1363="",J1363="",K1363="",L1363="",M1363=""),"FAIL","PASS"))</x:f>
        <x:v>OPEN</x:v>
      </x:c>
    </x:row>
    <x:row r="1364">
      <x:c r="B1364" s="7" t="str">
        <x:v>CH-PEA-B-Y1-11-2</x:v>
      </x:c>
      <x:c r="C1364" s="7" t="str">
        <x:v>PEA-B-Y1</x:v>
      </x:c>
      <x:c r="D1364" s="7" t="str">
        <x:v>BLD-B</x:v>
      </x:c>
      <x:c r="E1364" s="7" t="str">
        <x:v>BL-Y</x:v>
      </x:c>
      <x:c r="F1364" s="7" t="str">
        <x:v>MF-11</x:v>
      </x:c>
      <x:c r="G1364" s="7" t="str">
        <x:v>casualty-source path state</x:v>
      </x:c>
      <x:c r="H1364" s="7" t="n">
        <x:v>2</x:v>
      </x:c>
      <x:c r="I1364" s="7" t="str"/>
      <x:c r="J1364" s="7" t="str"/>
      <x:c r="K1364" s="7" t="str"/>
      <x:c r="L1364" s="7" t="str"/>
      <x:c r="M1364" s="7" t="str"/>
      <x:c r="N1364" s="7" t="str"/>
      <x:c r="O1364" s="7" t="str">
        <x:f>IF(N1364="","OPEN",IF(OR(I1364="",J1364="",K1364="",L1364="",M1364=""),"FAIL","PASS"))</x:f>
        <x:v>OPEN</x:v>
      </x:c>
    </x:row>
    <x:row r="1365">
      <x:c r="B1365" s="7" t="str">
        <x:v>CH-PEA-B-Y1-11-3</x:v>
      </x:c>
      <x:c r="C1365" s="7" t="str">
        <x:v>PEA-B-Y1</x:v>
      </x:c>
      <x:c r="D1365" s="7" t="str">
        <x:v>BLD-B</x:v>
      </x:c>
      <x:c r="E1365" s="7" t="str">
        <x:v>BL-Y</x:v>
      </x:c>
      <x:c r="F1365" s="7" t="str">
        <x:v>MF-11</x:v>
      </x:c>
      <x:c r="G1365" s="7" t="str">
        <x:v>casualty-source path state</x:v>
      </x:c>
      <x:c r="H1365" s="7" t="n">
        <x:v>3</x:v>
      </x:c>
      <x:c r="I1365" s="7" t="str"/>
      <x:c r="J1365" s="7" t="str"/>
      <x:c r="K1365" s="7" t="str"/>
      <x:c r="L1365" s="7" t="str"/>
      <x:c r="M1365" s="7" t="str"/>
      <x:c r="N1365" s="7" t="str"/>
      <x:c r="O1365" s="7" t="str">
        <x:f>IF(N1365="","OPEN",IF(OR(I1365="",J1365="",K1365="",L1365="",M1365=""),"FAIL","PASS"))</x:f>
        <x:v>OPEN</x:v>
      </x:c>
    </x:row>
    <x:row r="1366">
      <x:c r="B1366" s="7" t="str">
        <x:v>CH-PEA-B-Y1-11-4</x:v>
      </x:c>
      <x:c r="C1366" s="7" t="str">
        <x:v>PEA-B-Y1</x:v>
      </x:c>
      <x:c r="D1366" s="7" t="str">
        <x:v>BLD-B</x:v>
      </x:c>
      <x:c r="E1366" s="7" t="str">
        <x:v>BL-Y</x:v>
      </x:c>
      <x:c r="F1366" s="7" t="str">
        <x:v>MF-11</x:v>
      </x:c>
      <x:c r="G1366" s="7" t="str">
        <x:v>casualty-source path state</x:v>
      </x:c>
      <x:c r="H1366" s="7" t="n">
        <x:v>4</x:v>
      </x:c>
      <x:c r="I1366" s="7" t="str"/>
      <x:c r="J1366" s="7" t="str"/>
      <x:c r="K1366" s="7" t="str"/>
      <x:c r="L1366" s="7" t="str"/>
      <x:c r="M1366" s="7" t="str"/>
      <x:c r="N1366" s="7" t="str"/>
      <x:c r="O1366" s="7" t="str">
        <x:f>IF(N1366="","OPEN",IF(OR(I1366="",J1366="",K1366="",L1366="",M1366=""),"FAIL","PASS"))</x:f>
        <x:v>OPEN</x:v>
      </x:c>
    </x:row>
    <x:row r="1367">
      <x:c r="B1367" s="7" t="str">
        <x:v>CH-PEA-B-Y1-11-5</x:v>
      </x:c>
      <x:c r="C1367" s="7" t="str">
        <x:v>PEA-B-Y1</x:v>
      </x:c>
      <x:c r="D1367" s="7" t="str">
        <x:v>BLD-B</x:v>
      </x:c>
      <x:c r="E1367" s="7" t="str">
        <x:v>BL-Y</x:v>
      </x:c>
      <x:c r="F1367" s="7" t="str">
        <x:v>MF-11</x:v>
      </x:c>
      <x:c r="G1367" s="7" t="str">
        <x:v>casualty-source path state</x:v>
      </x:c>
      <x:c r="H1367" s="7" t="n">
        <x:v>5</x:v>
      </x:c>
      <x:c r="I1367" s="7" t="str"/>
      <x:c r="J1367" s="7" t="str"/>
      <x:c r="K1367" s="7" t="str"/>
      <x:c r="L1367" s="7" t="str"/>
      <x:c r="M1367" s="7" t="str"/>
      <x:c r="N1367" s="7" t="str"/>
      <x:c r="O1367" s="7" t="str">
        <x:f>IF(N1367="","OPEN",IF(OR(I1367="",J1367="",K1367="",L1367="",M1367=""),"FAIL","PASS"))</x:f>
        <x:v>OPEN</x:v>
      </x:c>
    </x:row>
    <x:row r="1368">
      <x:c r="B1368" s="7" t="str">
        <x:v>CH-PEA-B-Y1-11-6</x:v>
      </x:c>
      <x:c r="C1368" s="7" t="str">
        <x:v>PEA-B-Y1</x:v>
      </x:c>
      <x:c r="D1368" s="7" t="str">
        <x:v>BLD-B</x:v>
      </x:c>
      <x:c r="E1368" s="7" t="str">
        <x:v>BL-Y</x:v>
      </x:c>
      <x:c r="F1368" s="7" t="str">
        <x:v>MF-11</x:v>
      </x:c>
      <x:c r="G1368" s="7" t="str">
        <x:v>casualty-source path state</x:v>
      </x:c>
      <x:c r="H1368" s="7" t="n">
        <x:v>6</x:v>
      </x:c>
      <x:c r="I1368" s="7" t="str"/>
      <x:c r="J1368" s="7" t="str"/>
      <x:c r="K1368" s="7" t="str"/>
      <x:c r="L1368" s="7" t="str"/>
      <x:c r="M1368" s="7" t="str"/>
      <x:c r="N1368" s="7" t="str"/>
      <x:c r="O1368" s="7" t="str">
        <x:f>IF(N1368="","OPEN",IF(OR(I1368="",J1368="",K1368="",L1368="",M1368=""),"FAIL","PASS"))</x:f>
        <x:v>OPEN</x:v>
      </x:c>
    </x:row>
    <x:row r="1369">
      <x:c r="B1369" s="7" t="str">
        <x:v>CH-PEA-B-Y1-12-1</x:v>
      </x:c>
      <x:c r="C1369" s="7" t="str">
        <x:v>PEA-B-Y1</x:v>
      </x:c>
      <x:c r="D1369" s="7" t="str">
        <x:v>BLD-B</x:v>
      </x:c>
      <x:c r="E1369" s="7" t="str">
        <x:v>BL-Y</x:v>
      </x:c>
      <x:c r="F1369" s="7" t="str">
        <x:v>MF-12</x:v>
      </x:c>
      <x:c r="G1369" s="7" t="str">
        <x:v>candidate-water path state</x:v>
      </x:c>
      <x:c r="H1369" s="7" t="n">
        <x:v>1</x:v>
      </x:c>
      <x:c r="I1369" s="7" t="str"/>
      <x:c r="J1369" s="7" t="str"/>
      <x:c r="K1369" s="7" t="str"/>
      <x:c r="L1369" s="7" t="str"/>
      <x:c r="M1369" s="7" t="str"/>
      <x:c r="N1369" s="7" t="str"/>
      <x:c r="O1369" s="7" t="str">
        <x:f>IF(N1369="","OPEN",IF(OR(I1369="",J1369="",K1369="",L1369="",M1369=""),"FAIL","PASS"))</x:f>
        <x:v>OPEN</x:v>
      </x:c>
    </x:row>
    <x:row r="1370">
      <x:c r="B1370" s="7" t="str">
        <x:v>CH-PEA-B-Y1-12-2</x:v>
      </x:c>
      <x:c r="C1370" s="7" t="str">
        <x:v>PEA-B-Y1</x:v>
      </x:c>
      <x:c r="D1370" s="7" t="str">
        <x:v>BLD-B</x:v>
      </x:c>
      <x:c r="E1370" s="7" t="str">
        <x:v>BL-Y</x:v>
      </x:c>
      <x:c r="F1370" s="7" t="str">
        <x:v>MF-12</x:v>
      </x:c>
      <x:c r="G1370" s="7" t="str">
        <x:v>candidate-water path state</x:v>
      </x:c>
      <x:c r="H1370" s="7" t="n">
        <x:v>2</x:v>
      </x:c>
      <x:c r="I1370" s="7" t="str"/>
      <x:c r="J1370" s="7" t="str"/>
      <x:c r="K1370" s="7" t="str"/>
      <x:c r="L1370" s="7" t="str"/>
      <x:c r="M1370" s="7" t="str"/>
      <x:c r="N1370" s="7" t="str"/>
      <x:c r="O1370" s="7" t="str">
        <x:f>IF(N1370="","OPEN",IF(OR(I1370="",J1370="",K1370="",L1370="",M1370=""),"FAIL","PASS"))</x:f>
        <x:v>OPEN</x:v>
      </x:c>
    </x:row>
    <x:row r="1371">
      <x:c r="B1371" s="7" t="str">
        <x:v>CH-PEA-B-Y1-12-3</x:v>
      </x:c>
      <x:c r="C1371" s="7" t="str">
        <x:v>PEA-B-Y1</x:v>
      </x:c>
      <x:c r="D1371" s="7" t="str">
        <x:v>BLD-B</x:v>
      </x:c>
      <x:c r="E1371" s="7" t="str">
        <x:v>BL-Y</x:v>
      </x:c>
      <x:c r="F1371" s="7" t="str">
        <x:v>MF-12</x:v>
      </x:c>
      <x:c r="G1371" s="7" t="str">
        <x:v>candidate-water path state</x:v>
      </x:c>
      <x:c r="H1371" s="7" t="n">
        <x:v>3</x:v>
      </x:c>
      <x:c r="I1371" s="7" t="str"/>
      <x:c r="J1371" s="7" t="str"/>
      <x:c r="K1371" s="7" t="str"/>
      <x:c r="L1371" s="7" t="str"/>
      <x:c r="M1371" s="7" t="str"/>
      <x:c r="N1371" s="7" t="str"/>
      <x:c r="O1371" s="7" t="str">
        <x:f>IF(N1371="","OPEN",IF(OR(I1371="",J1371="",K1371="",L1371="",M1371=""),"FAIL","PASS"))</x:f>
        <x:v>OPEN</x:v>
      </x:c>
    </x:row>
    <x:row r="1372">
      <x:c r="B1372" s="7" t="str">
        <x:v>CH-PEA-B-Y1-12-4</x:v>
      </x:c>
      <x:c r="C1372" s="7" t="str">
        <x:v>PEA-B-Y1</x:v>
      </x:c>
      <x:c r="D1372" s="7" t="str">
        <x:v>BLD-B</x:v>
      </x:c>
      <x:c r="E1372" s="7" t="str">
        <x:v>BL-Y</x:v>
      </x:c>
      <x:c r="F1372" s="7" t="str">
        <x:v>MF-12</x:v>
      </x:c>
      <x:c r="G1372" s="7" t="str">
        <x:v>candidate-water path state</x:v>
      </x:c>
      <x:c r="H1372" s="7" t="n">
        <x:v>4</x:v>
      </x:c>
      <x:c r="I1372" s="7" t="str"/>
      <x:c r="J1372" s="7" t="str"/>
      <x:c r="K1372" s="7" t="str"/>
      <x:c r="L1372" s="7" t="str"/>
      <x:c r="M1372" s="7" t="str"/>
      <x:c r="N1372" s="7" t="str"/>
      <x:c r="O1372" s="7" t="str">
        <x:f>IF(N1372="","OPEN",IF(OR(I1372="",J1372="",K1372="",L1372="",M1372=""),"FAIL","PASS"))</x:f>
        <x:v>OPEN</x:v>
      </x:c>
    </x:row>
    <x:row r="1373">
      <x:c r="B1373" s="7" t="str">
        <x:v>CH-PEA-B-Y1-12-5</x:v>
      </x:c>
      <x:c r="C1373" s="7" t="str">
        <x:v>PEA-B-Y1</x:v>
      </x:c>
      <x:c r="D1373" s="7" t="str">
        <x:v>BLD-B</x:v>
      </x:c>
      <x:c r="E1373" s="7" t="str">
        <x:v>BL-Y</x:v>
      </x:c>
      <x:c r="F1373" s="7" t="str">
        <x:v>MF-12</x:v>
      </x:c>
      <x:c r="G1373" s="7" t="str">
        <x:v>candidate-water path state</x:v>
      </x:c>
      <x:c r="H1373" s="7" t="n">
        <x:v>5</x:v>
      </x:c>
      <x:c r="I1373" s="7" t="str"/>
      <x:c r="J1373" s="7" t="str"/>
      <x:c r="K1373" s="7" t="str"/>
      <x:c r="L1373" s="7" t="str"/>
      <x:c r="M1373" s="7" t="str"/>
      <x:c r="N1373" s="7" t="str"/>
      <x:c r="O1373" s="7" t="str">
        <x:f>IF(N1373="","OPEN",IF(OR(I1373="",J1373="",K1373="",L1373="",M1373=""),"FAIL","PASS"))</x:f>
        <x:v>OPEN</x:v>
      </x:c>
    </x:row>
    <x:row r="1374">
      <x:c r="B1374" s="7" t="str">
        <x:v>CH-PEA-B-Y1-12-6</x:v>
      </x:c>
      <x:c r="C1374" s="7" t="str">
        <x:v>PEA-B-Y1</x:v>
      </x:c>
      <x:c r="D1374" s="7" t="str">
        <x:v>BLD-B</x:v>
      </x:c>
      <x:c r="E1374" s="7" t="str">
        <x:v>BL-Y</x:v>
      </x:c>
      <x:c r="F1374" s="7" t="str">
        <x:v>MF-12</x:v>
      </x:c>
      <x:c r="G1374" s="7" t="str">
        <x:v>candidate-water path state</x:v>
      </x:c>
      <x:c r="H1374" s="7" t="n">
        <x:v>6</x:v>
      </x:c>
      <x:c r="I1374" s="7" t="str"/>
      <x:c r="J1374" s="7" t="str"/>
      <x:c r="K1374" s="7" t="str"/>
      <x:c r="L1374" s="7" t="str"/>
      <x:c r="M1374" s="7" t="str"/>
      <x:c r="N1374" s="7" t="str"/>
      <x:c r="O1374" s="7" t="str">
        <x:f>IF(N1374="","OPEN",IF(OR(I1374="",J1374="",K1374="",L1374="",M1374=""),"FAIL","PASS"))</x:f>
        <x:v>OPEN</x:v>
      </x:c>
    </x:row>
    <x:row r="1375">
      <x:c r="B1375" s="7" t="str">
        <x:v>CH-PEA-B-Y1-13-1</x:v>
      </x:c>
      <x:c r="C1375" s="7" t="str">
        <x:v>PEA-B-Y1</x:v>
      </x:c>
      <x:c r="D1375" s="7" t="str">
        <x:v>BLD-B</x:v>
      </x:c>
      <x:c r="E1375" s="7" t="str">
        <x:v>BL-Y</x:v>
      </x:c>
      <x:c r="F1375" s="7" t="str">
        <x:v>MF-13</x:v>
      </x:c>
      <x:c r="G1375" s="7" t="str">
        <x:v>final-element reference</x:v>
      </x:c>
      <x:c r="H1375" s="7" t="n">
        <x:v>1</x:v>
      </x:c>
      <x:c r="I1375" s="7" t="str"/>
      <x:c r="J1375" s="7" t="str"/>
      <x:c r="K1375" s="7" t="str"/>
      <x:c r="L1375" s="7" t="str"/>
      <x:c r="M1375" s="7" t="str"/>
      <x:c r="N1375" s="7" t="str"/>
      <x:c r="O1375" s="7" t="str">
        <x:f>IF(N1375="","OPEN",IF(OR(I1375="",J1375="",K1375="",L1375="",M1375=""),"FAIL","PASS"))</x:f>
        <x:v>OPEN</x:v>
      </x:c>
    </x:row>
    <x:row r="1376">
      <x:c r="B1376" s="7" t="str">
        <x:v>CH-PEA-B-Y1-13-2</x:v>
      </x:c>
      <x:c r="C1376" s="7" t="str">
        <x:v>PEA-B-Y1</x:v>
      </x:c>
      <x:c r="D1376" s="7" t="str">
        <x:v>BLD-B</x:v>
      </x:c>
      <x:c r="E1376" s="7" t="str">
        <x:v>BL-Y</x:v>
      </x:c>
      <x:c r="F1376" s="7" t="str">
        <x:v>MF-13</x:v>
      </x:c>
      <x:c r="G1376" s="7" t="str">
        <x:v>final-element reference</x:v>
      </x:c>
      <x:c r="H1376" s="7" t="n">
        <x:v>2</x:v>
      </x:c>
      <x:c r="I1376" s="7" t="str"/>
      <x:c r="J1376" s="7" t="str"/>
      <x:c r="K1376" s="7" t="str"/>
      <x:c r="L1376" s="7" t="str"/>
      <x:c r="M1376" s="7" t="str"/>
      <x:c r="N1376" s="7" t="str"/>
      <x:c r="O1376" s="7" t="str">
        <x:f>IF(N1376="","OPEN",IF(OR(I1376="",J1376="",K1376="",L1376="",M1376=""),"FAIL","PASS"))</x:f>
        <x:v>OPEN</x:v>
      </x:c>
    </x:row>
    <x:row r="1377">
      <x:c r="B1377" s="7" t="str">
        <x:v>CH-PEA-B-Y1-13-3</x:v>
      </x:c>
      <x:c r="C1377" s="7" t="str">
        <x:v>PEA-B-Y1</x:v>
      </x:c>
      <x:c r="D1377" s="7" t="str">
        <x:v>BLD-B</x:v>
      </x:c>
      <x:c r="E1377" s="7" t="str">
        <x:v>BL-Y</x:v>
      </x:c>
      <x:c r="F1377" s="7" t="str">
        <x:v>MF-13</x:v>
      </x:c>
      <x:c r="G1377" s="7" t="str">
        <x:v>final-element reference</x:v>
      </x:c>
      <x:c r="H1377" s="7" t="n">
        <x:v>3</x:v>
      </x:c>
      <x:c r="I1377" s="7" t="str"/>
      <x:c r="J1377" s="7" t="str"/>
      <x:c r="K1377" s="7" t="str"/>
      <x:c r="L1377" s="7" t="str"/>
      <x:c r="M1377" s="7" t="str"/>
      <x:c r="N1377" s="7" t="str"/>
      <x:c r="O1377" s="7" t="str">
        <x:f>IF(N1377="","OPEN",IF(OR(I1377="",J1377="",K1377="",L1377="",M1377=""),"FAIL","PASS"))</x:f>
        <x:v>OPEN</x:v>
      </x:c>
    </x:row>
    <x:row r="1378">
      <x:c r="B1378" s="7" t="str">
        <x:v>CH-PEA-B-Y1-13-4</x:v>
      </x:c>
      <x:c r="C1378" s="7" t="str">
        <x:v>PEA-B-Y1</x:v>
      </x:c>
      <x:c r="D1378" s="7" t="str">
        <x:v>BLD-B</x:v>
      </x:c>
      <x:c r="E1378" s="7" t="str">
        <x:v>BL-Y</x:v>
      </x:c>
      <x:c r="F1378" s="7" t="str">
        <x:v>MF-13</x:v>
      </x:c>
      <x:c r="G1378" s="7" t="str">
        <x:v>final-element reference</x:v>
      </x:c>
      <x:c r="H1378" s="7" t="n">
        <x:v>4</x:v>
      </x:c>
      <x:c r="I1378" s="7" t="str"/>
      <x:c r="J1378" s="7" t="str"/>
      <x:c r="K1378" s="7" t="str"/>
      <x:c r="L1378" s="7" t="str"/>
      <x:c r="M1378" s="7" t="str"/>
      <x:c r="N1378" s="7" t="str"/>
      <x:c r="O1378" s="7" t="str">
        <x:f>IF(N1378="","OPEN",IF(OR(I1378="",J1378="",K1378="",L1378="",M1378=""),"FAIL","PASS"))</x:f>
        <x:v>OPEN</x:v>
      </x:c>
    </x:row>
    <x:row r="1379">
      <x:c r="B1379" s="7" t="str">
        <x:v>CH-PEA-B-Y1-13-5</x:v>
      </x:c>
      <x:c r="C1379" s="7" t="str">
        <x:v>PEA-B-Y1</x:v>
      </x:c>
      <x:c r="D1379" s="7" t="str">
        <x:v>BLD-B</x:v>
      </x:c>
      <x:c r="E1379" s="7" t="str">
        <x:v>BL-Y</x:v>
      </x:c>
      <x:c r="F1379" s="7" t="str">
        <x:v>MF-13</x:v>
      </x:c>
      <x:c r="G1379" s="7" t="str">
        <x:v>final-element reference</x:v>
      </x:c>
      <x:c r="H1379" s="7" t="n">
        <x:v>5</x:v>
      </x:c>
      <x:c r="I1379" s="7" t="str"/>
      <x:c r="J1379" s="7" t="str"/>
      <x:c r="K1379" s="7" t="str"/>
      <x:c r="L1379" s="7" t="str"/>
      <x:c r="M1379" s="7" t="str"/>
      <x:c r="N1379" s="7" t="str"/>
      <x:c r="O1379" s="7" t="str">
        <x:f>IF(N1379="","OPEN",IF(OR(I1379="",J1379="",K1379="",L1379="",M1379=""),"FAIL","PASS"))</x:f>
        <x:v>OPEN</x:v>
      </x:c>
    </x:row>
    <x:row r="1380">
      <x:c r="B1380" s="7" t="str">
        <x:v>CH-PEA-B-Y1-13-6</x:v>
      </x:c>
      <x:c r="C1380" s="7" t="str">
        <x:v>PEA-B-Y1</x:v>
      </x:c>
      <x:c r="D1380" s="7" t="str">
        <x:v>BLD-B</x:v>
      </x:c>
      <x:c r="E1380" s="7" t="str">
        <x:v>BL-Y</x:v>
      </x:c>
      <x:c r="F1380" s="7" t="str">
        <x:v>MF-13</x:v>
      </x:c>
      <x:c r="G1380" s="7" t="str">
        <x:v>final-element reference</x:v>
      </x:c>
      <x:c r="H1380" s="7" t="n">
        <x:v>6</x:v>
      </x:c>
      <x:c r="I1380" s="7" t="str"/>
      <x:c r="J1380" s="7" t="str"/>
      <x:c r="K1380" s="7" t="str"/>
      <x:c r="L1380" s="7" t="str"/>
      <x:c r="M1380" s="7" t="str"/>
      <x:c r="N1380" s="7" t="str"/>
      <x:c r="O1380" s="7" t="str">
        <x:f>IF(N1380="","OPEN",IF(OR(I1380="",J1380="",K1380="",L1380="",M1380=""),"FAIL","PASS"))</x:f>
        <x:v>OPEN</x:v>
      </x:c>
    </x:row>
    <x:row r="1381">
      <x:c r="B1381" s="7" t="str">
        <x:v>CH-PEA-B-Y1-14-1</x:v>
      </x:c>
      <x:c r="C1381" s="7" t="str">
        <x:v>PEA-B-Y1</x:v>
      </x:c>
      <x:c r="D1381" s="7" t="str">
        <x:v>BLD-B</x:v>
      </x:c>
      <x:c r="E1381" s="7" t="str">
        <x:v>BL-Y</x:v>
      </x:c>
      <x:c r="F1381" s="7" t="str">
        <x:v>MF-14</x:v>
      </x:c>
      <x:c r="G1381" s="7" t="str">
        <x:v>causal time</x:v>
      </x:c>
      <x:c r="H1381" s="7" t="n">
        <x:v>1</x:v>
      </x:c>
      <x:c r="I1381" s="7" t="str"/>
      <x:c r="J1381" s="7" t="str"/>
      <x:c r="K1381" s="7" t="str"/>
      <x:c r="L1381" s="7" t="str"/>
      <x:c r="M1381" s="7" t="str"/>
      <x:c r="N1381" s="7" t="str"/>
      <x:c r="O1381" s="7" t="str">
        <x:f>IF(N1381="","OPEN",IF(OR(I1381="",J1381="",K1381="",L1381="",M1381=""),"FAIL","PASS"))</x:f>
        <x:v>OPEN</x:v>
      </x:c>
    </x:row>
    <x:row r="1382">
      <x:c r="B1382" s="7" t="str">
        <x:v>CH-PEA-B-Y1-14-2</x:v>
      </x:c>
      <x:c r="C1382" s="7" t="str">
        <x:v>PEA-B-Y1</x:v>
      </x:c>
      <x:c r="D1382" s="7" t="str">
        <x:v>BLD-B</x:v>
      </x:c>
      <x:c r="E1382" s="7" t="str">
        <x:v>BL-Y</x:v>
      </x:c>
      <x:c r="F1382" s="7" t="str">
        <x:v>MF-14</x:v>
      </x:c>
      <x:c r="G1382" s="7" t="str">
        <x:v>causal time</x:v>
      </x:c>
      <x:c r="H1382" s="7" t="n">
        <x:v>2</x:v>
      </x:c>
      <x:c r="I1382" s="7" t="str"/>
      <x:c r="J1382" s="7" t="str"/>
      <x:c r="K1382" s="7" t="str"/>
      <x:c r="L1382" s="7" t="str"/>
      <x:c r="M1382" s="7" t="str"/>
      <x:c r="N1382" s="7" t="str"/>
      <x:c r="O1382" s="7" t="str">
        <x:f>IF(N1382="","OPEN",IF(OR(I1382="",J1382="",K1382="",L1382="",M1382=""),"FAIL","PASS"))</x:f>
        <x:v>OPEN</x:v>
      </x:c>
    </x:row>
    <x:row r="1383">
      <x:c r="B1383" s="7" t="str">
        <x:v>CH-PEA-B-Y1-14-3</x:v>
      </x:c>
      <x:c r="C1383" s="7" t="str">
        <x:v>PEA-B-Y1</x:v>
      </x:c>
      <x:c r="D1383" s="7" t="str">
        <x:v>BLD-B</x:v>
      </x:c>
      <x:c r="E1383" s="7" t="str">
        <x:v>BL-Y</x:v>
      </x:c>
      <x:c r="F1383" s="7" t="str">
        <x:v>MF-14</x:v>
      </x:c>
      <x:c r="G1383" s="7" t="str">
        <x:v>causal time</x:v>
      </x:c>
      <x:c r="H1383" s="7" t="n">
        <x:v>3</x:v>
      </x:c>
      <x:c r="I1383" s="7" t="str"/>
      <x:c r="J1383" s="7" t="str"/>
      <x:c r="K1383" s="7" t="str"/>
      <x:c r="L1383" s="7" t="str"/>
      <x:c r="M1383" s="7" t="str"/>
      <x:c r="N1383" s="7" t="str"/>
      <x:c r="O1383" s="7" t="str">
        <x:f>IF(N1383="","OPEN",IF(OR(I1383="",J1383="",K1383="",L1383="",M1383=""),"FAIL","PASS"))</x:f>
        <x:v>OPEN</x:v>
      </x:c>
    </x:row>
    <x:row r="1384">
      <x:c r="B1384" s="7" t="str">
        <x:v>CH-PEA-B-Y1-14-4</x:v>
      </x:c>
      <x:c r="C1384" s="7" t="str">
        <x:v>PEA-B-Y1</x:v>
      </x:c>
      <x:c r="D1384" s="7" t="str">
        <x:v>BLD-B</x:v>
      </x:c>
      <x:c r="E1384" s="7" t="str">
        <x:v>BL-Y</x:v>
      </x:c>
      <x:c r="F1384" s="7" t="str">
        <x:v>MF-14</x:v>
      </x:c>
      <x:c r="G1384" s="7" t="str">
        <x:v>causal time</x:v>
      </x:c>
      <x:c r="H1384" s="7" t="n">
        <x:v>4</x:v>
      </x:c>
      <x:c r="I1384" s="7" t="str"/>
      <x:c r="J1384" s="7" t="str"/>
      <x:c r="K1384" s="7" t="str"/>
      <x:c r="L1384" s="7" t="str"/>
      <x:c r="M1384" s="7" t="str"/>
      <x:c r="N1384" s="7" t="str"/>
      <x:c r="O1384" s="7" t="str">
        <x:f>IF(N1384="","OPEN",IF(OR(I1384="",J1384="",K1384="",L1384="",M1384=""),"FAIL","PASS"))</x:f>
        <x:v>OPEN</x:v>
      </x:c>
    </x:row>
    <x:row r="1385">
      <x:c r="B1385" s="7" t="str">
        <x:v>CH-PEA-B-Y1-14-5</x:v>
      </x:c>
      <x:c r="C1385" s="7" t="str">
        <x:v>PEA-B-Y1</x:v>
      </x:c>
      <x:c r="D1385" s="7" t="str">
        <x:v>BLD-B</x:v>
      </x:c>
      <x:c r="E1385" s="7" t="str">
        <x:v>BL-Y</x:v>
      </x:c>
      <x:c r="F1385" s="7" t="str">
        <x:v>MF-14</x:v>
      </x:c>
      <x:c r="G1385" s="7" t="str">
        <x:v>causal time</x:v>
      </x:c>
      <x:c r="H1385" s="7" t="n">
        <x:v>5</x:v>
      </x:c>
      <x:c r="I1385" s="7" t="str"/>
      <x:c r="J1385" s="7" t="str"/>
      <x:c r="K1385" s="7" t="str"/>
      <x:c r="L1385" s="7" t="str"/>
      <x:c r="M1385" s="7" t="str"/>
      <x:c r="N1385" s="7" t="str"/>
      <x:c r="O1385" s="7" t="str">
        <x:f>IF(N1385="","OPEN",IF(OR(I1385="",J1385="",K1385="",L1385="",M1385=""),"FAIL","PASS"))</x:f>
        <x:v>OPEN</x:v>
      </x:c>
    </x:row>
    <x:row r="1386">
      <x:c r="B1386" s="7" t="str">
        <x:v>CH-PEA-B-Y1-14-6</x:v>
      </x:c>
      <x:c r="C1386" s="7" t="str">
        <x:v>PEA-B-Y1</x:v>
      </x:c>
      <x:c r="D1386" s="7" t="str">
        <x:v>BLD-B</x:v>
      </x:c>
      <x:c r="E1386" s="7" t="str">
        <x:v>BL-Y</x:v>
      </x:c>
      <x:c r="F1386" s="7" t="str">
        <x:v>MF-14</x:v>
      </x:c>
      <x:c r="G1386" s="7" t="str">
        <x:v>causal time</x:v>
      </x:c>
      <x:c r="H1386" s="7" t="n">
        <x:v>6</x:v>
      </x:c>
      <x:c r="I1386" s="7" t="str"/>
      <x:c r="J1386" s="7" t="str"/>
      <x:c r="K1386" s="7" t="str"/>
      <x:c r="L1386" s="7" t="str"/>
      <x:c r="M1386" s="7" t="str"/>
      <x:c r="N1386" s="7" t="str"/>
      <x:c r="O1386" s="7" t="str">
        <x:f>IF(N1386="","OPEN",IF(OR(I1386="",J1386="",K1386="",L1386="",M1386=""),"FAIL","PASS"))</x:f>
        <x:v>OPEN</x:v>
      </x:c>
    </x:row>
    <x:row r="1387">
      <x:c r="B1387" s="7" t="str">
        <x:v>CH-PEA-B-Y1-15-1</x:v>
      </x:c>
      <x:c r="C1387" s="7" t="str">
        <x:v>PEA-B-Y1</x:v>
      </x:c>
      <x:c r="D1387" s="7" t="str">
        <x:v>BLD-B</x:v>
      </x:c>
      <x:c r="E1387" s="7" t="str">
        <x:v>BL-Y</x:v>
      </x:c>
      <x:c r="F1387" s="7" t="str">
        <x:v>MF-15</x:v>
      </x:c>
      <x:c r="G1387" s="7" t="str">
        <x:v>source motive energy</x:v>
      </x:c>
      <x:c r="H1387" s="7" t="n">
        <x:v>1</x:v>
      </x:c>
      <x:c r="I1387" s="7" t="str"/>
      <x:c r="J1387" s="7" t="str"/>
      <x:c r="K1387" s="7" t="str"/>
      <x:c r="L1387" s="7" t="str"/>
      <x:c r="M1387" s="7" t="str"/>
      <x:c r="N1387" s="7" t="str"/>
      <x:c r="O1387" s="7" t="str">
        <x:f>IF(N1387="","OPEN",IF(OR(I1387="",J1387="",K1387="",L1387="",M1387=""),"FAIL","PASS"))</x:f>
        <x:v>OPEN</x:v>
      </x:c>
    </x:row>
    <x:row r="1388">
      <x:c r="B1388" s="7" t="str">
        <x:v>CH-PEA-B-Y1-15-2</x:v>
      </x:c>
      <x:c r="C1388" s="7" t="str">
        <x:v>PEA-B-Y1</x:v>
      </x:c>
      <x:c r="D1388" s="7" t="str">
        <x:v>BLD-B</x:v>
      </x:c>
      <x:c r="E1388" s="7" t="str">
        <x:v>BL-Y</x:v>
      </x:c>
      <x:c r="F1388" s="7" t="str">
        <x:v>MF-15</x:v>
      </x:c>
      <x:c r="G1388" s="7" t="str">
        <x:v>source motive energy</x:v>
      </x:c>
      <x:c r="H1388" s="7" t="n">
        <x:v>2</x:v>
      </x:c>
      <x:c r="I1388" s="7" t="str"/>
      <x:c r="J1388" s="7" t="str"/>
      <x:c r="K1388" s="7" t="str"/>
      <x:c r="L1388" s="7" t="str"/>
      <x:c r="M1388" s="7" t="str"/>
      <x:c r="N1388" s="7" t="str"/>
      <x:c r="O1388" s="7" t="str">
        <x:f>IF(N1388="","OPEN",IF(OR(I1388="",J1388="",K1388="",L1388="",M1388=""),"FAIL","PASS"))</x:f>
        <x:v>OPEN</x:v>
      </x:c>
    </x:row>
    <x:row r="1389">
      <x:c r="B1389" s="7" t="str">
        <x:v>CH-PEA-B-Y1-15-3</x:v>
      </x:c>
      <x:c r="C1389" s="7" t="str">
        <x:v>PEA-B-Y1</x:v>
      </x:c>
      <x:c r="D1389" s="7" t="str">
        <x:v>BLD-B</x:v>
      </x:c>
      <x:c r="E1389" s="7" t="str">
        <x:v>BL-Y</x:v>
      </x:c>
      <x:c r="F1389" s="7" t="str">
        <x:v>MF-15</x:v>
      </x:c>
      <x:c r="G1389" s="7" t="str">
        <x:v>source motive energy</x:v>
      </x:c>
      <x:c r="H1389" s="7" t="n">
        <x:v>3</x:v>
      </x:c>
      <x:c r="I1389" s="7" t="str"/>
      <x:c r="J1389" s="7" t="str"/>
      <x:c r="K1389" s="7" t="str"/>
      <x:c r="L1389" s="7" t="str"/>
      <x:c r="M1389" s="7" t="str"/>
      <x:c r="N1389" s="7" t="str"/>
      <x:c r="O1389" s="7" t="str">
        <x:f>IF(N1389="","OPEN",IF(OR(I1389="",J1389="",K1389="",L1389="",M1389=""),"FAIL","PASS"))</x:f>
        <x:v>OPEN</x:v>
      </x:c>
    </x:row>
    <x:row r="1390">
      <x:c r="B1390" s="7" t="str">
        <x:v>CH-PEA-B-Y1-15-4</x:v>
      </x:c>
      <x:c r="C1390" s="7" t="str">
        <x:v>PEA-B-Y1</x:v>
      </x:c>
      <x:c r="D1390" s="7" t="str">
        <x:v>BLD-B</x:v>
      </x:c>
      <x:c r="E1390" s="7" t="str">
        <x:v>BL-Y</x:v>
      </x:c>
      <x:c r="F1390" s="7" t="str">
        <x:v>MF-15</x:v>
      </x:c>
      <x:c r="G1390" s="7" t="str">
        <x:v>source motive energy</x:v>
      </x:c>
      <x:c r="H1390" s="7" t="n">
        <x:v>4</x:v>
      </x:c>
      <x:c r="I1390" s="7" t="str"/>
      <x:c r="J1390" s="7" t="str"/>
      <x:c r="K1390" s="7" t="str"/>
      <x:c r="L1390" s="7" t="str"/>
      <x:c r="M1390" s="7" t="str"/>
      <x:c r="N1390" s="7" t="str"/>
      <x:c r="O1390" s="7" t="str">
        <x:f>IF(N1390="","OPEN",IF(OR(I1390="",J1390="",K1390="",L1390="",M1390=""),"FAIL","PASS"))</x:f>
        <x:v>OPEN</x:v>
      </x:c>
    </x:row>
    <x:row r="1391">
      <x:c r="B1391" s="7" t="str">
        <x:v>CH-PEA-B-Y1-15-5</x:v>
      </x:c>
      <x:c r="C1391" s="7" t="str">
        <x:v>PEA-B-Y1</x:v>
      </x:c>
      <x:c r="D1391" s="7" t="str">
        <x:v>BLD-B</x:v>
      </x:c>
      <x:c r="E1391" s="7" t="str">
        <x:v>BL-Y</x:v>
      </x:c>
      <x:c r="F1391" s="7" t="str">
        <x:v>MF-15</x:v>
      </x:c>
      <x:c r="G1391" s="7" t="str">
        <x:v>source motive energy</x:v>
      </x:c>
      <x:c r="H1391" s="7" t="n">
        <x:v>5</x:v>
      </x:c>
      <x:c r="I1391" s="7" t="str"/>
      <x:c r="J1391" s="7" t="str"/>
      <x:c r="K1391" s="7" t="str"/>
      <x:c r="L1391" s="7" t="str"/>
      <x:c r="M1391" s="7" t="str"/>
      <x:c r="N1391" s="7" t="str"/>
      <x:c r="O1391" s="7" t="str">
        <x:f>IF(N1391="","OPEN",IF(OR(I1391="",J1391="",K1391="",L1391="",M1391=""),"FAIL","PASS"))</x:f>
        <x:v>OPEN</x:v>
      </x:c>
    </x:row>
    <x:row r="1392">
      <x:c r="B1392" s="7" t="str">
        <x:v>CH-PEA-B-Y1-15-6</x:v>
      </x:c>
      <x:c r="C1392" s="7" t="str">
        <x:v>PEA-B-Y1</x:v>
      </x:c>
      <x:c r="D1392" s="7" t="str">
        <x:v>BLD-B</x:v>
      </x:c>
      <x:c r="E1392" s="7" t="str">
        <x:v>BL-Y</x:v>
      </x:c>
      <x:c r="F1392" s="7" t="str">
        <x:v>MF-15</x:v>
      </x:c>
      <x:c r="G1392" s="7" t="str">
        <x:v>source motive energy</x:v>
      </x:c>
      <x:c r="H1392" s="7" t="n">
        <x:v>6</x:v>
      </x:c>
      <x:c r="I1392" s="7" t="str"/>
      <x:c r="J1392" s="7" t="str"/>
      <x:c r="K1392" s="7" t="str"/>
      <x:c r="L1392" s="7" t="str"/>
      <x:c r="M1392" s="7" t="str"/>
      <x:c r="N1392" s="7" t="str"/>
      <x:c r="O1392" s="7" t="str">
        <x:f>IF(N1392="","OPEN",IF(OR(I1392="",J1392="",K1392="",L1392="",M1392=""),"FAIL","PASS"))</x:f>
        <x:v>OPEN</x:v>
      </x:c>
    </x:row>
    <x:row r="1393">
      <x:c r="B1393" s="7" t="str">
        <x:v>CH-PEA-B-Y1-16-1</x:v>
      </x:c>
      <x:c r="C1393" s="7" t="str">
        <x:v>PEA-B-Y1</x:v>
      </x:c>
      <x:c r="D1393" s="7" t="str">
        <x:v>BLD-B</x:v>
      </x:c>
      <x:c r="E1393" s="7" t="str">
        <x:v>BL-Y</x:v>
      </x:c>
      <x:c r="F1393" s="7" t="str">
        <x:v>MF-16</x:v>
      </x:c>
      <x:c r="G1393" s="7" t="str">
        <x:v>water motive energy</x:v>
      </x:c>
      <x:c r="H1393" s="7" t="n">
        <x:v>1</x:v>
      </x:c>
      <x:c r="I1393" s="7" t="str"/>
      <x:c r="J1393" s="7" t="str"/>
      <x:c r="K1393" s="7" t="str"/>
      <x:c r="L1393" s="7" t="str"/>
      <x:c r="M1393" s="7" t="str"/>
      <x:c r="N1393" s="7" t="str"/>
      <x:c r="O1393" s="7" t="str">
        <x:f>IF(N1393="","OPEN",IF(OR(I1393="",J1393="",K1393="",L1393="",M1393=""),"FAIL","PASS"))</x:f>
        <x:v>OPEN</x:v>
      </x:c>
    </x:row>
    <x:row r="1394">
      <x:c r="B1394" s="7" t="str">
        <x:v>CH-PEA-B-Y1-16-2</x:v>
      </x:c>
      <x:c r="C1394" s="7" t="str">
        <x:v>PEA-B-Y1</x:v>
      </x:c>
      <x:c r="D1394" s="7" t="str">
        <x:v>BLD-B</x:v>
      </x:c>
      <x:c r="E1394" s="7" t="str">
        <x:v>BL-Y</x:v>
      </x:c>
      <x:c r="F1394" s="7" t="str">
        <x:v>MF-16</x:v>
      </x:c>
      <x:c r="G1394" s="7" t="str">
        <x:v>water motive energy</x:v>
      </x:c>
      <x:c r="H1394" s="7" t="n">
        <x:v>2</x:v>
      </x:c>
      <x:c r="I1394" s="7" t="str"/>
      <x:c r="J1394" s="7" t="str"/>
      <x:c r="K1394" s="7" t="str"/>
      <x:c r="L1394" s="7" t="str"/>
      <x:c r="M1394" s="7" t="str"/>
      <x:c r="N1394" s="7" t="str"/>
      <x:c r="O1394" s="7" t="str">
        <x:f>IF(N1394="","OPEN",IF(OR(I1394="",J1394="",K1394="",L1394="",M1394=""),"FAIL","PASS"))</x:f>
        <x:v>OPEN</x:v>
      </x:c>
    </x:row>
    <x:row r="1395">
      <x:c r="B1395" s="7" t="str">
        <x:v>CH-PEA-B-Y1-16-3</x:v>
      </x:c>
      <x:c r="C1395" s="7" t="str">
        <x:v>PEA-B-Y1</x:v>
      </x:c>
      <x:c r="D1395" s="7" t="str">
        <x:v>BLD-B</x:v>
      </x:c>
      <x:c r="E1395" s="7" t="str">
        <x:v>BL-Y</x:v>
      </x:c>
      <x:c r="F1395" s="7" t="str">
        <x:v>MF-16</x:v>
      </x:c>
      <x:c r="G1395" s="7" t="str">
        <x:v>water motive energy</x:v>
      </x:c>
      <x:c r="H1395" s="7" t="n">
        <x:v>3</x:v>
      </x:c>
      <x:c r="I1395" s="7" t="str"/>
      <x:c r="J1395" s="7" t="str"/>
      <x:c r="K1395" s="7" t="str"/>
      <x:c r="L1395" s="7" t="str"/>
      <x:c r="M1395" s="7" t="str"/>
      <x:c r="N1395" s="7" t="str"/>
      <x:c r="O1395" s="7" t="str">
        <x:f>IF(N1395="","OPEN",IF(OR(I1395="",J1395="",K1395="",L1395="",M1395=""),"FAIL","PASS"))</x:f>
        <x:v>OPEN</x:v>
      </x:c>
    </x:row>
    <x:row r="1396">
      <x:c r="B1396" s="7" t="str">
        <x:v>CH-PEA-B-Y1-16-4</x:v>
      </x:c>
      <x:c r="C1396" s="7" t="str">
        <x:v>PEA-B-Y1</x:v>
      </x:c>
      <x:c r="D1396" s="7" t="str">
        <x:v>BLD-B</x:v>
      </x:c>
      <x:c r="E1396" s="7" t="str">
        <x:v>BL-Y</x:v>
      </x:c>
      <x:c r="F1396" s="7" t="str">
        <x:v>MF-16</x:v>
      </x:c>
      <x:c r="G1396" s="7" t="str">
        <x:v>water motive energy</x:v>
      </x:c>
      <x:c r="H1396" s="7" t="n">
        <x:v>4</x:v>
      </x:c>
      <x:c r="I1396" s="7" t="str"/>
      <x:c r="J1396" s="7" t="str"/>
      <x:c r="K1396" s="7" t="str"/>
      <x:c r="L1396" s="7" t="str"/>
      <x:c r="M1396" s="7" t="str"/>
      <x:c r="N1396" s="7" t="str"/>
      <x:c r="O1396" s="7" t="str">
        <x:f>IF(N1396="","OPEN",IF(OR(I1396="",J1396="",K1396="",L1396="",M1396=""),"FAIL","PASS"))</x:f>
        <x:v>OPEN</x:v>
      </x:c>
    </x:row>
    <x:row r="1397">
      <x:c r="B1397" s="7" t="str">
        <x:v>CH-PEA-B-Y1-16-5</x:v>
      </x:c>
      <x:c r="C1397" s="7" t="str">
        <x:v>PEA-B-Y1</x:v>
      </x:c>
      <x:c r="D1397" s="7" t="str">
        <x:v>BLD-B</x:v>
      </x:c>
      <x:c r="E1397" s="7" t="str">
        <x:v>BL-Y</x:v>
      </x:c>
      <x:c r="F1397" s="7" t="str">
        <x:v>MF-16</x:v>
      </x:c>
      <x:c r="G1397" s="7" t="str">
        <x:v>water motive energy</x:v>
      </x:c>
      <x:c r="H1397" s="7" t="n">
        <x:v>5</x:v>
      </x:c>
      <x:c r="I1397" s="7" t="str"/>
      <x:c r="J1397" s="7" t="str"/>
      <x:c r="K1397" s="7" t="str"/>
      <x:c r="L1397" s="7" t="str"/>
      <x:c r="M1397" s="7" t="str"/>
      <x:c r="N1397" s="7" t="str"/>
      <x:c r="O1397" s="7" t="str">
        <x:f>IF(N1397="","OPEN",IF(OR(I1397="",J1397="",K1397="",L1397="",M1397=""),"FAIL","PASS"))</x:f>
        <x:v>OPEN</x:v>
      </x:c>
    </x:row>
    <x:row r="1398">
      <x:c r="B1398" s="7" t="str">
        <x:v>CH-PEA-B-Y1-16-6</x:v>
      </x:c>
      <x:c r="C1398" s="7" t="str">
        <x:v>PEA-B-Y1</x:v>
      </x:c>
      <x:c r="D1398" s="7" t="str">
        <x:v>BLD-B</x:v>
      </x:c>
      <x:c r="E1398" s="7" t="str">
        <x:v>BL-Y</x:v>
      </x:c>
      <x:c r="F1398" s="7" t="str">
        <x:v>MF-16</x:v>
      </x:c>
      <x:c r="G1398" s="7" t="str">
        <x:v>water motive energy</x:v>
      </x:c>
      <x:c r="H1398" s="7" t="n">
        <x:v>6</x:v>
      </x:c>
      <x:c r="I1398" s="7" t="str"/>
      <x:c r="J1398" s="7" t="str"/>
      <x:c r="K1398" s="7" t="str"/>
      <x:c r="L1398" s="7" t="str"/>
      <x:c r="M1398" s="7" t="str"/>
      <x:c r="N1398" s="7" t="str"/>
      <x:c r="O1398" s="7" t="str">
        <x:f>IF(N1398="","OPEN",IF(OR(I1398="",J1398="",K1398="",L1398="",M1398=""),"FAIL","PASS"))</x:f>
        <x:v>OPEN</x:v>
      </x:c>
    </x:row>
    <x:row r="1399">
      <x:c r="B1399" s="7" t="str">
        <x:v>CH-PEA-B-Y1-17-1</x:v>
      </x:c>
      <x:c r="C1399" s="7" t="str">
        <x:v>PEA-B-Y1</x:v>
      </x:c>
      <x:c r="D1399" s="7" t="str">
        <x:v>BLD-B</x:v>
      </x:c>
      <x:c r="E1399" s="7" t="str">
        <x:v>BL-Y</x:v>
      </x:c>
      <x:c r="F1399" s="7" t="str">
        <x:v>MF-17</x:v>
      </x:c>
      <x:c r="G1399" s="7" t="str">
        <x:v>normal power</x:v>
      </x:c>
      <x:c r="H1399" s="7" t="n">
        <x:v>1</x:v>
      </x:c>
      <x:c r="I1399" s="7" t="str"/>
      <x:c r="J1399" s="7" t="str"/>
      <x:c r="K1399" s="7" t="str"/>
      <x:c r="L1399" s="7" t="str"/>
      <x:c r="M1399" s="7" t="str"/>
      <x:c r="N1399" s="7" t="str"/>
      <x:c r="O1399" s="7" t="str">
        <x:f>IF(N1399="","OPEN",IF(OR(I1399="",J1399="",K1399="",L1399="",M1399=""),"FAIL","PASS"))</x:f>
        <x:v>OPEN</x:v>
      </x:c>
    </x:row>
    <x:row r="1400">
      <x:c r="B1400" s="7" t="str">
        <x:v>CH-PEA-B-Y1-17-2</x:v>
      </x:c>
      <x:c r="C1400" s="7" t="str">
        <x:v>PEA-B-Y1</x:v>
      </x:c>
      <x:c r="D1400" s="7" t="str">
        <x:v>BLD-B</x:v>
      </x:c>
      <x:c r="E1400" s="7" t="str">
        <x:v>BL-Y</x:v>
      </x:c>
      <x:c r="F1400" s="7" t="str">
        <x:v>MF-17</x:v>
      </x:c>
      <x:c r="G1400" s="7" t="str">
        <x:v>normal power</x:v>
      </x:c>
      <x:c r="H1400" s="7" t="n">
        <x:v>2</x:v>
      </x:c>
      <x:c r="I1400" s="7" t="str"/>
      <x:c r="J1400" s="7" t="str"/>
      <x:c r="K1400" s="7" t="str"/>
      <x:c r="L1400" s="7" t="str"/>
      <x:c r="M1400" s="7" t="str"/>
      <x:c r="N1400" s="7" t="str"/>
      <x:c r="O1400" s="7" t="str">
        <x:f>IF(N1400="","OPEN",IF(OR(I1400="",J1400="",K1400="",L1400="",M1400=""),"FAIL","PASS"))</x:f>
        <x:v>OPEN</x:v>
      </x:c>
    </x:row>
    <x:row r="1401">
      <x:c r="B1401" s="7" t="str">
        <x:v>CH-PEA-B-Y1-17-3</x:v>
      </x:c>
      <x:c r="C1401" s="7" t="str">
        <x:v>PEA-B-Y1</x:v>
      </x:c>
      <x:c r="D1401" s="7" t="str">
        <x:v>BLD-B</x:v>
      </x:c>
      <x:c r="E1401" s="7" t="str">
        <x:v>BL-Y</x:v>
      </x:c>
      <x:c r="F1401" s="7" t="str">
        <x:v>MF-17</x:v>
      </x:c>
      <x:c r="G1401" s="7" t="str">
        <x:v>normal power</x:v>
      </x:c>
      <x:c r="H1401" s="7" t="n">
        <x:v>3</x:v>
      </x:c>
      <x:c r="I1401" s="7" t="str"/>
      <x:c r="J1401" s="7" t="str"/>
      <x:c r="K1401" s="7" t="str"/>
      <x:c r="L1401" s="7" t="str"/>
      <x:c r="M1401" s="7" t="str"/>
      <x:c r="N1401" s="7" t="str"/>
      <x:c r="O1401" s="7" t="str">
        <x:f>IF(N1401="","OPEN",IF(OR(I1401="",J1401="",K1401="",L1401="",M1401=""),"FAIL","PASS"))</x:f>
        <x:v>OPEN</x:v>
      </x:c>
    </x:row>
    <x:row r="1402">
      <x:c r="B1402" s="7" t="str">
        <x:v>CH-PEA-B-Y1-17-4</x:v>
      </x:c>
      <x:c r="C1402" s="7" t="str">
        <x:v>PEA-B-Y1</x:v>
      </x:c>
      <x:c r="D1402" s="7" t="str">
        <x:v>BLD-B</x:v>
      </x:c>
      <x:c r="E1402" s="7" t="str">
        <x:v>BL-Y</x:v>
      </x:c>
      <x:c r="F1402" s="7" t="str">
        <x:v>MF-17</x:v>
      </x:c>
      <x:c r="G1402" s="7" t="str">
        <x:v>normal power</x:v>
      </x:c>
      <x:c r="H1402" s="7" t="n">
        <x:v>4</x:v>
      </x:c>
      <x:c r="I1402" s="7" t="str"/>
      <x:c r="J1402" s="7" t="str"/>
      <x:c r="K1402" s="7" t="str"/>
      <x:c r="L1402" s="7" t="str"/>
      <x:c r="M1402" s="7" t="str"/>
      <x:c r="N1402" s="7" t="str"/>
      <x:c r="O1402" s="7" t="str">
        <x:f>IF(N1402="","OPEN",IF(OR(I1402="",J1402="",K1402="",L1402="",M1402=""),"FAIL","PASS"))</x:f>
        <x:v>OPEN</x:v>
      </x:c>
    </x:row>
    <x:row r="1403">
      <x:c r="B1403" s="7" t="str">
        <x:v>CH-PEA-B-Y1-17-5</x:v>
      </x:c>
      <x:c r="C1403" s="7" t="str">
        <x:v>PEA-B-Y1</x:v>
      </x:c>
      <x:c r="D1403" s="7" t="str">
        <x:v>BLD-B</x:v>
      </x:c>
      <x:c r="E1403" s="7" t="str">
        <x:v>BL-Y</x:v>
      </x:c>
      <x:c r="F1403" s="7" t="str">
        <x:v>MF-17</x:v>
      </x:c>
      <x:c r="G1403" s="7" t="str">
        <x:v>normal power</x:v>
      </x:c>
      <x:c r="H1403" s="7" t="n">
        <x:v>5</x:v>
      </x:c>
      <x:c r="I1403" s="7" t="str"/>
      <x:c r="J1403" s="7" t="str"/>
      <x:c r="K1403" s="7" t="str"/>
      <x:c r="L1403" s="7" t="str"/>
      <x:c r="M1403" s="7" t="str"/>
      <x:c r="N1403" s="7" t="str"/>
      <x:c r="O1403" s="7" t="str">
        <x:f>IF(N1403="","OPEN",IF(OR(I1403="",J1403="",K1403="",L1403="",M1403=""),"FAIL","PASS"))</x:f>
        <x:v>OPEN</x:v>
      </x:c>
    </x:row>
    <x:row r="1404">
      <x:c r="B1404" s="7" t="str">
        <x:v>CH-PEA-B-Y1-17-6</x:v>
      </x:c>
      <x:c r="C1404" s="7" t="str">
        <x:v>PEA-B-Y1</x:v>
      </x:c>
      <x:c r="D1404" s="7" t="str">
        <x:v>BLD-B</x:v>
      </x:c>
      <x:c r="E1404" s="7" t="str">
        <x:v>BL-Y</x:v>
      </x:c>
      <x:c r="F1404" s="7" t="str">
        <x:v>MF-17</x:v>
      </x:c>
      <x:c r="G1404" s="7" t="str">
        <x:v>normal power</x:v>
      </x:c>
      <x:c r="H1404" s="7" t="n">
        <x:v>6</x:v>
      </x:c>
      <x:c r="I1404" s="7" t="str"/>
      <x:c r="J1404" s="7" t="str"/>
      <x:c r="K1404" s="7" t="str"/>
      <x:c r="L1404" s="7" t="str"/>
      <x:c r="M1404" s="7" t="str"/>
      <x:c r="N1404" s="7" t="str"/>
      <x:c r="O1404" s="7" t="str">
        <x:f>IF(N1404="","OPEN",IF(OR(I1404="",J1404="",K1404="",L1404="",M1404=""),"FAIL","PASS"))</x:f>
        <x:v>OPEN</x:v>
      </x:c>
    </x:row>
    <x:row r="1405">
      <x:c r="B1405" s="7" t="str">
        <x:v>CH-PEA-B-Y1-18-1</x:v>
      </x:c>
      <x:c r="C1405" s="7" t="str">
        <x:v>PEA-B-Y1</x:v>
      </x:c>
      <x:c r="D1405" s="7" t="str">
        <x:v>BLD-B</x:v>
      </x:c>
      <x:c r="E1405" s="7" t="str">
        <x:v>BL-Y</x:v>
      </x:c>
      <x:c r="F1405" s="7" t="str">
        <x:v>MF-18</x:v>
      </x:c>
      <x:c r="G1405" s="7" t="str">
        <x:v>independent power</x:v>
      </x:c>
      <x:c r="H1405" s="7" t="n">
        <x:v>1</x:v>
      </x:c>
      <x:c r="I1405" s="7" t="str"/>
      <x:c r="J1405" s="7" t="str"/>
      <x:c r="K1405" s="7" t="str"/>
      <x:c r="L1405" s="7" t="str"/>
      <x:c r="M1405" s="7" t="str"/>
      <x:c r="N1405" s="7" t="str"/>
      <x:c r="O1405" s="7" t="str">
        <x:f>IF(N1405="","OPEN",IF(OR(I1405="",J1405="",K1405="",L1405="",M1405=""),"FAIL","PASS"))</x:f>
        <x:v>OPEN</x:v>
      </x:c>
    </x:row>
    <x:row r="1406">
      <x:c r="B1406" s="7" t="str">
        <x:v>CH-PEA-B-Y1-18-2</x:v>
      </x:c>
      <x:c r="C1406" s="7" t="str">
        <x:v>PEA-B-Y1</x:v>
      </x:c>
      <x:c r="D1406" s="7" t="str">
        <x:v>BLD-B</x:v>
      </x:c>
      <x:c r="E1406" s="7" t="str">
        <x:v>BL-Y</x:v>
      </x:c>
      <x:c r="F1406" s="7" t="str">
        <x:v>MF-18</x:v>
      </x:c>
      <x:c r="G1406" s="7" t="str">
        <x:v>independent power</x:v>
      </x:c>
      <x:c r="H1406" s="7" t="n">
        <x:v>2</x:v>
      </x:c>
      <x:c r="I1406" s="7" t="str"/>
      <x:c r="J1406" s="7" t="str"/>
      <x:c r="K1406" s="7" t="str"/>
      <x:c r="L1406" s="7" t="str"/>
      <x:c r="M1406" s="7" t="str"/>
      <x:c r="N1406" s="7" t="str"/>
      <x:c r="O1406" s="7" t="str">
        <x:f>IF(N1406="","OPEN",IF(OR(I1406="",J1406="",K1406="",L1406="",M1406=""),"FAIL","PASS"))</x:f>
        <x:v>OPEN</x:v>
      </x:c>
    </x:row>
    <x:row r="1407">
      <x:c r="B1407" s="7" t="str">
        <x:v>CH-PEA-B-Y1-18-3</x:v>
      </x:c>
      <x:c r="C1407" s="7" t="str">
        <x:v>PEA-B-Y1</x:v>
      </x:c>
      <x:c r="D1407" s="7" t="str">
        <x:v>BLD-B</x:v>
      </x:c>
      <x:c r="E1407" s="7" t="str">
        <x:v>BL-Y</x:v>
      </x:c>
      <x:c r="F1407" s="7" t="str">
        <x:v>MF-18</x:v>
      </x:c>
      <x:c r="G1407" s="7" t="str">
        <x:v>independent power</x:v>
      </x:c>
      <x:c r="H1407" s="7" t="n">
        <x:v>3</x:v>
      </x:c>
      <x:c r="I1407" s="7" t="str"/>
      <x:c r="J1407" s="7" t="str"/>
      <x:c r="K1407" s="7" t="str"/>
      <x:c r="L1407" s="7" t="str"/>
      <x:c r="M1407" s="7" t="str"/>
      <x:c r="N1407" s="7" t="str"/>
      <x:c r="O1407" s="7" t="str">
        <x:f>IF(N1407="","OPEN",IF(OR(I1407="",J1407="",K1407="",L1407="",M1407=""),"FAIL","PASS"))</x:f>
        <x:v>OPEN</x:v>
      </x:c>
    </x:row>
    <x:row r="1408">
      <x:c r="B1408" s="7" t="str">
        <x:v>CH-PEA-B-Y1-18-4</x:v>
      </x:c>
      <x:c r="C1408" s="7" t="str">
        <x:v>PEA-B-Y1</x:v>
      </x:c>
      <x:c r="D1408" s="7" t="str">
        <x:v>BLD-B</x:v>
      </x:c>
      <x:c r="E1408" s="7" t="str">
        <x:v>BL-Y</x:v>
      </x:c>
      <x:c r="F1408" s="7" t="str">
        <x:v>MF-18</x:v>
      </x:c>
      <x:c r="G1408" s="7" t="str">
        <x:v>independent power</x:v>
      </x:c>
      <x:c r="H1408" s="7" t="n">
        <x:v>4</x:v>
      </x:c>
      <x:c r="I1408" s="7" t="str"/>
      <x:c r="J1408" s="7" t="str"/>
      <x:c r="K1408" s="7" t="str"/>
      <x:c r="L1408" s="7" t="str"/>
      <x:c r="M1408" s="7" t="str"/>
      <x:c r="N1408" s="7" t="str"/>
      <x:c r="O1408" s="7" t="str">
        <x:f>IF(N1408="","OPEN",IF(OR(I1408="",J1408="",K1408="",L1408="",M1408=""),"FAIL","PASS"))</x:f>
        <x:v>OPEN</x:v>
      </x:c>
    </x:row>
    <x:row r="1409">
      <x:c r="B1409" s="7" t="str">
        <x:v>CH-PEA-B-Y1-18-5</x:v>
      </x:c>
      <x:c r="C1409" s="7" t="str">
        <x:v>PEA-B-Y1</x:v>
      </x:c>
      <x:c r="D1409" s="7" t="str">
        <x:v>BLD-B</x:v>
      </x:c>
      <x:c r="E1409" s="7" t="str">
        <x:v>BL-Y</x:v>
      </x:c>
      <x:c r="F1409" s="7" t="str">
        <x:v>MF-18</x:v>
      </x:c>
      <x:c r="G1409" s="7" t="str">
        <x:v>independent power</x:v>
      </x:c>
      <x:c r="H1409" s="7" t="n">
        <x:v>5</x:v>
      </x:c>
      <x:c r="I1409" s="7" t="str"/>
      <x:c r="J1409" s="7" t="str"/>
      <x:c r="K1409" s="7" t="str"/>
      <x:c r="L1409" s="7" t="str"/>
      <x:c r="M1409" s="7" t="str"/>
      <x:c r="N1409" s="7" t="str"/>
      <x:c r="O1409" s="7" t="str">
        <x:f>IF(N1409="","OPEN",IF(OR(I1409="",J1409="",K1409="",L1409="",M1409=""),"FAIL","PASS"))</x:f>
        <x:v>OPEN</x:v>
      </x:c>
    </x:row>
    <x:row r="1410">
      <x:c r="B1410" s="7" t="str">
        <x:v>CH-PEA-B-Y1-18-6</x:v>
      </x:c>
      <x:c r="C1410" s="7" t="str">
        <x:v>PEA-B-Y1</x:v>
      </x:c>
      <x:c r="D1410" s="7" t="str">
        <x:v>BLD-B</x:v>
      </x:c>
      <x:c r="E1410" s="7" t="str">
        <x:v>BL-Y</x:v>
      </x:c>
      <x:c r="F1410" s="7" t="str">
        <x:v>MF-18</x:v>
      </x:c>
      <x:c r="G1410" s="7" t="str">
        <x:v>independent power</x:v>
      </x:c>
      <x:c r="H1410" s="7" t="n">
        <x:v>6</x:v>
      </x:c>
      <x:c r="I1410" s="7" t="str"/>
      <x:c r="J1410" s="7" t="str"/>
      <x:c r="K1410" s="7" t="str"/>
      <x:c r="L1410" s="7" t="str"/>
      <x:c r="M1410" s="7" t="str"/>
      <x:c r="N1410" s="7" t="str"/>
      <x:c r="O1410" s="7" t="str">
        <x:f>IF(N1410="","OPEN",IF(OR(I1410="",J1410="",K1410="",L1410="",M1410=""),"FAIL","PASS"))</x:f>
        <x:v>OPEN</x:v>
      </x:c>
    </x:row>
    <x:row r="1411">
      <x:c r="B1411" s="7" t="str">
        <x:v>CH-PEA-B-Y1-19-1</x:v>
      </x:c>
      <x:c r="C1411" s="7" t="str">
        <x:v>PEA-B-Y1</x:v>
      </x:c>
      <x:c r="D1411" s="7" t="str">
        <x:v>BLD-B</x:v>
      </x:c>
      <x:c r="E1411" s="7" t="str">
        <x:v>BL-Y</x:v>
      </x:c>
      <x:c r="F1411" s="7" t="str">
        <x:v>MF-19</x:v>
      </x:c>
      <x:c r="G1411" s="7" t="str">
        <x:v>leak collection</x:v>
      </x:c>
      <x:c r="H1411" s="7" t="n">
        <x:v>1</x:v>
      </x:c>
      <x:c r="I1411" s="7" t="str"/>
      <x:c r="J1411" s="7" t="str"/>
      <x:c r="K1411" s="7" t="str"/>
      <x:c r="L1411" s="7" t="str"/>
      <x:c r="M1411" s="7" t="str"/>
      <x:c r="N1411" s="7" t="str"/>
      <x:c r="O1411" s="7" t="str">
        <x:f>IF(N1411="","OPEN",IF(OR(I1411="",J1411="",K1411="",L1411="",M1411=""),"FAIL","PASS"))</x:f>
        <x:v>OPEN</x:v>
      </x:c>
    </x:row>
    <x:row r="1412">
      <x:c r="B1412" s="7" t="str">
        <x:v>CH-PEA-B-Y1-19-2</x:v>
      </x:c>
      <x:c r="C1412" s="7" t="str">
        <x:v>PEA-B-Y1</x:v>
      </x:c>
      <x:c r="D1412" s="7" t="str">
        <x:v>BLD-B</x:v>
      </x:c>
      <x:c r="E1412" s="7" t="str">
        <x:v>BL-Y</x:v>
      </x:c>
      <x:c r="F1412" s="7" t="str">
        <x:v>MF-19</x:v>
      </x:c>
      <x:c r="G1412" s="7" t="str">
        <x:v>leak collection</x:v>
      </x:c>
      <x:c r="H1412" s="7" t="n">
        <x:v>2</x:v>
      </x:c>
      <x:c r="I1412" s="7" t="str"/>
      <x:c r="J1412" s="7" t="str"/>
      <x:c r="K1412" s="7" t="str"/>
      <x:c r="L1412" s="7" t="str"/>
      <x:c r="M1412" s="7" t="str"/>
      <x:c r="N1412" s="7" t="str"/>
      <x:c r="O1412" s="7" t="str">
        <x:f>IF(N1412="","OPEN",IF(OR(I1412="",J1412="",K1412="",L1412="",M1412=""),"FAIL","PASS"))</x:f>
        <x:v>OPEN</x:v>
      </x:c>
    </x:row>
    <x:row r="1413">
      <x:c r="B1413" s="7" t="str">
        <x:v>CH-PEA-B-Y1-19-3</x:v>
      </x:c>
      <x:c r="C1413" s="7" t="str">
        <x:v>PEA-B-Y1</x:v>
      </x:c>
      <x:c r="D1413" s="7" t="str">
        <x:v>BLD-B</x:v>
      </x:c>
      <x:c r="E1413" s="7" t="str">
        <x:v>BL-Y</x:v>
      </x:c>
      <x:c r="F1413" s="7" t="str">
        <x:v>MF-19</x:v>
      </x:c>
      <x:c r="G1413" s="7" t="str">
        <x:v>leak collection</x:v>
      </x:c>
      <x:c r="H1413" s="7" t="n">
        <x:v>3</x:v>
      </x:c>
      <x:c r="I1413" s="7" t="str"/>
      <x:c r="J1413" s="7" t="str"/>
      <x:c r="K1413" s="7" t="str"/>
      <x:c r="L1413" s="7" t="str"/>
      <x:c r="M1413" s="7" t="str"/>
      <x:c r="N1413" s="7" t="str"/>
      <x:c r="O1413" s="7" t="str">
        <x:f>IF(N1413="","OPEN",IF(OR(I1413="",J1413="",K1413="",L1413="",M1413=""),"FAIL","PASS"))</x:f>
        <x:v>OPEN</x:v>
      </x:c>
    </x:row>
    <x:row r="1414">
      <x:c r="B1414" s="7" t="str">
        <x:v>CH-PEA-B-Y1-19-4</x:v>
      </x:c>
      <x:c r="C1414" s="7" t="str">
        <x:v>PEA-B-Y1</x:v>
      </x:c>
      <x:c r="D1414" s="7" t="str">
        <x:v>BLD-B</x:v>
      </x:c>
      <x:c r="E1414" s="7" t="str">
        <x:v>BL-Y</x:v>
      </x:c>
      <x:c r="F1414" s="7" t="str">
        <x:v>MF-19</x:v>
      </x:c>
      <x:c r="G1414" s="7" t="str">
        <x:v>leak collection</x:v>
      </x:c>
      <x:c r="H1414" s="7" t="n">
        <x:v>4</x:v>
      </x:c>
      <x:c r="I1414" s="7" t="str"/>
      <x:c r="J1414" s="7" t="str"/>
      <x:c r="K1414" s="7" t="str"/>
      <x:c r="L1414" s="7" t="str"/>
      <x:c r="M1414" s="7" t="str"/>
      <x:c r="N1414" s="7" t="str"/>
      <x:c r="O1414" s="7" t="str">
        <x:f>IF(N1414="","OPEN",IF(OR(I1414="",J1414="",K1414="",L1414="",M1414=""),"FAIL","PASS"))</x:f>
        <x:v>OPEN</x:v>
      </x:c>
    </x:row>
    <x:row r="1415">
      <x:c r="B1415" s="7" t="str">
        <x:v>CH-PEA-B-Y1-19-5</x:v>
      </x:c>
      <x:c r="C1415" s="7" t="str">
        <x:v>PEA-B-Y1</x:v>
      </x:c>
      <x:c r="D1415" s="7" t="str">
        <x:v>BLD-B</x:v>
      </x:c>
      <x:c r="E1415" s="7" t="str">
        <x:v>BL-Y</x:v>
      </x:c>
      <x:c r="F1415" s="7" t="str">
        <x:v>MF-19</x:v>
      </x:c>
      <x:c r="G1415" s="7" t="str">
        <x:v>leak collection</x:v>
      </x:c>
      <x:c r="H1415" s="7" t="n">
        <x:v>5</x:v>
      </x:c>
      <x:c r="I1415" s="7" t="str"/>
      <x:c r="J1415" s="7" t="str"/>
      <x:c r="K1415" s="7" t="str"/>
      <x:c r="L1415" s="7" t="str"/>
      <x:c r="M1415" s="7" t="str"/>
      <x:c r="N1415" s="7" t="str"/>
      <x:c r="O1415" s="7" t="str">
        <x:f>IF(N1415="","OPEN",IF(OR(I1415="",J1415="",K1415="",L1415="",M1415=""),"FAIL","PASS"))</x:f>
        <x:v>OPEN</x:v>
      </x:c>
    </x:row>
    <x:row r="1416">
      <x:c r="B1416" s="7" t="str">
        <x:v>CH-PEA-B-Y1-19-6</x:v>
      </x:c>
      <x:c r="C1416" s="7" t="str">
        <x:v>PEA-B-Y1</x:v>
      </x:c>
      <x:c r="D1416" s="7" t="str">
        <x:v>BLD-B</x:v>
      </x:c>
      <x:c r="E1416" s="7" t="str">
        <x:v>BL-Y</x:v>
      </x:c>
      <x:c r="F1416" s="7" t="str">
        <x:v>MF-19</x:v>
      </x:c>
      <x:c r="G1416" s="7" t="str">
        <x:v>leak collection</x:v>
      </x:c>
      <x:c r="H1416" s="7" t="n">
        <x:v>6</x:v>
      </x:c>
      <x:c r="I1416" s="7" t="str"/>
      <x:c r="J1416" s="7" t="str"/>
      <x:c r="K1416" s="7" t="str"/>
      <x:c r="L1416" s="7" t="str"/>
      <x:c r="M1416" s="7" t="str"/>
      <x:c r="N1416" s="7" t="str"/>
      <x:c r="O1416" s="7" t="str">
        <x:f>IF(N1416="","OPEN",IF(OR(I1416="",J1416="",K1416="",L1416="",M1416=""),"FAIL","PASS"))</x:f>
        <x:v>OPEN</x:v>
      </x:c>
    </x:row>
    <x:row r="1417">
      <x:c r="B1417" s="7" t="str">
        <x:v>CH-PEA-B-Y1-20-1</x:v>
      </x:c>
      <x:c r="C1417" s="7" t="str">
        <x:v>PEA-B-Y1</x:v>
      </x:c>
      <x:c r="D1417" s="7" t="str">
        <x:v>BLD-B</x:v>
      </x:c>
      <x:c r="E1417" s="7" t="str">
        <x:v>BL-Y</x:v>
      </x:c>
      <x:c r="F1417" s="7" t="str">
        <x:v>MF-20</x:v>
      </x:c>
      <x:c r="G1417" s="7" t="str">
        <x:v>occupied-area state</x:v>
      </x:c>
      <x:c r="H1417" s="7" t="n">
        <x:v>1</x:v>
      </x:c>
      <x:c r="I1417" s="7" t="str"/>
      <x:c r="J1417" s="7" t="str"/>
      <x:c r="K1417" s="7" t="str"/>
      <x:c r="L1417" s="7" t="str"/>
      <x:c r="M1417" s="7" t="str"/>
      <x:c r="N1417" s="7" t="str"/>
      <x:c r="O1417" s="7" t="str">
        <x:f>IF(N1417="","OPEN",IF(OR(I1417="",J1417="",K1417="",L1417="",M1417=""),"FAIL","PASS"))</x:f>
        <x:v>OPEN</x:v>
      </x:c>
    </x:row>
    <x:row r="1418">
      <x:c r="B1418" s="7" t="str">
        <x:v>CH-PEA-B-Y1-20-2</x:v>
      </x:c>
      <x:c r="C1418" s="7" t="str">
        <x:v>PEA-B-Y1</x:v>
      </x:c>
      <x:c r="D1418" s="7" t="str">
        <x:v>BLD-B</x:v>
      </x:c>
      <x:c r="E1418" s="7" t="str">
        <x:v>BL-Y</x:v>
      </x:c>
      <x:c r="F1418" s="7" t="str">
        <x:v>MF-20</x:v>
      </x:c>
      <x:c r="G1418" s="7" t="str">
        <x:v>occupied-area state</x:v>
      </x:c>
      <x:c r="H1418" s="7" t="n">
        <x:v>2</x:v>
      </x:c>
      <x:c r="I1418" s="7" t="str"/>
      <x:c r="J1418" s="7" t="str"/>
      <x:c r="K1418" s="7" t="str"/>
      <x:c r="L1418" s="7" t="str"/>
      <x:c r="M1418" s="7" t="str"/>
      <x:c r="N1418" s="7" t="str"/>
      <x:c r="O1418" s="7" t="str">
        <x:f>IF(N1418="","OPEN",IF(OR(I1418="",J1418="",K1418="",L1418="",M1418=""),"FAIL","PASS"))</x:f>
        <x:v>OPEN</x:v>
      </x:c>
    </x:row>
    <x:row r="1419">
      <x:c r="B1419" s="7" t="str">
        <x:v>CH-PEA-B-Y1-20-3</x:v>
      </x:c>
      <x:c r="C1419" s="7" t="str">
        <x:v>PEA-B-Y1</x:v>
      </x:c>
      <x:c r="D1419" s="7" t="str">
        <x:v>BLD-B</x:v>
      </x:c>
      <x:c r="E1419" s="7" t="str">
        <x:v>BL-Y</x:v>
      </x:c>
      <x:c r="F1419" s="7" t="str">
        <x:v>MF-20</x:v>
      </x:c>
      <x:c r="G1419" s="7" t="str">
        <x:v>occupied-area state</x:v>
      </x:c>
      <x:c r="H1419" s="7" t="n">
        <x:v>3</x:v>
      </x:c>
      <x:c r="I1419" s="7" t="str"/>
      <x:c r="J1419" s="7" t="str"/>
      <x:c r="K1419" s="7" t="str"/>
      <x:c r="L1419" s="7" t="str"/>
      <x:c r="M1419" s="7" t="str"/>
      <x:c r="N1419" s="7" t="str"/>
      <x:c r="O1419" s="7" t="str">
        <x:f>IF(N1419="","OPEN",IF(OR(I1419="",J1419="",K1419="",L1419="",M1419=""),"FAIL","PASS"))</x:f>
        <x:v>OPEN</x:v>
      </x:c>
    </x:row>
    <x:row r="1420">
      <x:c r="B1420" s="7" t="str">
        <x:v>CH-PEA-B-Y1-20-4</x:v>
      </x:c>
      <x:c r="C1420" s="7" t="str">
        <x:v>PEA-B-Y1</x:v>
      </x:c>
      <x:c r="D1420" s="7" t="str">
        <x:v>BLD-B</x:v>
      </x:c>
      <x:c r="E1420" s="7" t="str">
        <x:v>BL-Y</x:v>
      </x:c>
      <x:c r="F1420" s="7" t="str">
        <x:v>MF-20</x:v>
      </x:c>
      <x:c r="G1420" s="7" t="str">
        <x:v>occupied-area state</x:v>
      </x:c>
      <x:c r="H1420" s="7" t="n">
        <x:v>4</x:v>
      </x:c>
      <x:c r="I1420" s="7" t="str"/>
      <x:c r="J1420" s="7" t="str"/>
      <x:c r="K1420" s="7" t="str"/>
      <x:c r="L1420" s="7" t="str"/>
      <x:c r="M1420" s="7" t="str"/>
      <x:c r="N1420" s="7" t="str"/>
      <x:c r="O1420" s="7" t="str">
        <x:f>IF(N1420="","OPEN",IF(OR(I1420="",J1420="",K1420="",L1420="",M1420=""),"FAIL","PASS"))</x:f>
        <x:v>OPEN</x:v>
      </x:c>
    </x:row>
    <x:row r="1421">
      <x:c r="B1421" s="7" t="str">
        <x:v>CH-PEA-B-Y1-20-5</x:v>
      </x:c>
      <x:c r="C1421" s="7" t="str">
        <x:v>PEA-B-Y1</x:v>
      </x:c>
      <x:c r="D1421" s="7" t="str">
        <x:v>BLD-B</x:v>
      </x:c>
      <x:c r="E1421" s="7" t="str">
        <x:v>BL-Y</x:v>
      </x:c>
      <x:c r="F1421" s="7" t="str">
        <x:v>MF-20</x:v>
      </x:c>
      <x:c r="G1421" s="7" t="str">
        <x:v>occupied-area state</x:v>
      </x:c>
      <x:c r="H1421" s="7" t="n">
        <x:v>5</x:v>
      </x:c>
      <x:c r="I1421" s="7" t="str"/>
      <x:c r="J1421" s="7" t="str"/>
      <x:c r="K1421" s="7" t="str"/>
      <x:c r="L1421" s="7" t="str"/>
      <x:c r="M1421" s="7" t="str"/>
      <x:c r="N1421" s="7" t="str"/>
      <x:c r="O1421" s="7" t="str">
        <x:f>IF(N1421="","OPEN",IF(OR(I1421="",J1421="",K1421="",L1421="",M1421=""),"FAIL","PASS"))</x:f>
        <x:v>OPEN</x:v>
      </x:c>
    </x:row>
    <x:row r="1422">
      <x:c r="B1422" s="7" t="str">
        <x:v>CH-PEA-B-Y1-20-6</x:v>
      </x:c>
      <x:c r="C1422" s="7" t="str">
        <x:v>PEA-B-Y1</x:v>
      </x:c>
      <x:c r="D1422" s="7" t="str">
        <x:v>BLD-B</x:v>
      </x:c>
      <x:c r="E1422" s="7" t="str">
        <x:v>BL-Y</x:v>
      </x:c>
      <x:c r="F1422" s="7" t="str">
        <x:v>MF-20</x:v>
      </x:c>
      <x:c r="G1422" s="7" t="str">
        <x:v>occupied-area state</x:v>
      </x:c>
      <x:c r="H1422" s="7" t="n">
        <x:v>6</x:v>
      </x:c>
      <x:c r="I1422" s="7" t="str"/>
      <x:c r="J1422" s="7" t="str"/>
      <x:c r="K1422" s="7" t="str"/>
      <x:c r="L1422" s="7" t="str"/>
      <x:c r="M1422" s="7" t="str"/>
      <x:c r="N1422" s="7" t="str"/>
      <x:c r="O1422" s="7" t="str">
        <x:f>IF(N1422="","OPEN",IF(OR(I1422="",J1422="",K1422="",L1422="",M1422=""),"FAIL","PASS"))</x:f>
        <x:v>OPEN</x:v>
      </x:c>
    </x:row>
    <x:row r="1423">
      <x:c r="B1423" s="7" t="str">
        <x:v>CH-PEA-B-Y1-21-1</x:v>
      </x:c>
      <x:c r="C1423" s="7" t="str">
        <x:v>PEA-B-Y1</x:v>
      </x:c>
      <x:c r="D1423" s="7" t="str">
        <x:v>BLD-B</x:v>
      </x:c>
      <x:c r="E1423" s="7" t="str">
        <x:v>BL-Y</x:v>
      </x:c>
      <x:c r="F1423" s="7" t="str">
        <x:v>MF-21</x:v>
      </x:c>
      <x:c r="G1423" s="7" t="str">
        <x:v>public-water flow</x:v>
      </x:c>
      <x:c r="H1423" s="7" t="n">
        <x:v>1</x:v>
      </x:c>
      <x:c r="I1423" s="7" t="str"/>
      <x:c r="J1423" s="7" t="str"/>
      <x:c r="K1423" s="7" t="str"/>
      <x:c r="L1423" s="7" t="str"/>
      <x:c r="M1423" s="7" t="str"/>
      <x:c r="N1423" s="7" t="str"/>
      <x:c r="O1423" s="7" t="str">
        <x:f>IF(N1423="","OPEN",IF(OR(I1423="",J1423="",K1423="",L1423="",M1423=""),"FAIL","PASS"))</x:f>
        <x:v>OPEN</x:v>
      </x:c>
    </x:row>
    <x:row r="1424">
      <x:c r="B1424" s="7" t="str">
        <x:v>CH-PEA-B-Y1-21-2</x:v>
      </x:c>
      <x:c r="C1424" s="7" t="str">
        <x:v>PEA-B-Y1</x:v>
      </x:c>
      <x:c r="D1424" s="7" t="str">
        <x:v>BLD-B</x:v>
      </x:c>
      <x:c r="E1424" s="7" t="str">
        <x:v>BL-Y</x:v>
      </x:c>
      <x:c r="F1424" s="7" t="str">
        <x:v>MF-21</x:v>
      </x:c>
      <x:c r="G1424" s="7" t="str">
        <x:v>public-water flow</x:v>
      </x:c>
      <x:c r="H1424" s="7" t="n">
        <x:v>2</x:v>
      </x:c>
      <x:c r="I1424" s="7" t="str"/>
      <x:c r="J1424" s="7" t="str"/>
      <x:c r="K1424" s="7" t="str"/>
      <x:c r="L1424" s="7" t="str"/>
      <x:c r="M1424" s="7" t="str"/>
      <x:c r="N1424" s="7" t="str"/>
      <x:c r="O1424" s="7" t="str">
        <x:f>IF(N1424="","OPEN",IF(OR(I1424="",J1424="",K1424="",L1424="",M1424=""),"FAIL","PASS"))</x:f>
        <x:v>OPEN</x:v>
      </x:c>
    </x:row>
    <x:row r="1425">
      <x:c r="B1425" s="7" t="str">
        <x:v>CH-PEA-B-Y1-21-3</x:v>
      </x:c>
      <x:c r="C1425" s="7" t="str">
        <x:v>PEA-B-Y1</x:v>
      </x:c>
      <x:c r="D1425" s="7" t="str">
        <x:v>BLD-B</x:v>
      </x:c>
      <x:c r="E1425" s="7" t="str">
        <x:v>BL-Y</x:v>
      </x:c>
      <x:c r="F1425" s="7" t="str">
        <x:v>MF-21</x:v>
      </x:c>
      <x:c r="G1425" s="7" t="str">
        <x:v>public-water flow</x:v>
      </x:c>
      <x:c r="H1425" s="7" t="n">
        <x:v>3</x:v>
      </x:c>
      <x:c r="I1425" s="7" t="str"/>
      <x:c r="J1425" s="7" t="str"/>
      <x:c r="K1425" s="7" t="str"/>
      <x:c r="L1425" s="7" t="str"/>
      <x:c r="M1425" s="7" t="str"/>
      <x:c r="N1425" s="7" t="str"/>
      <x:c r="O1425" s="7" t="str">
        <x:f>IF(N1425="","OPEN",IF(OR(I1425="",J1425="",K1425="",L1425="",M1425=""),"FAIL","PASS"))</x:f>
        <x:v>OPEN</x:v>
      </x:c>
    </x:row>
    <x:row r="1426">
      <x:c r="B1426" s="7" t="str">
        <x:v>CH-PEA-B-Y1-21-4</x:v>
      </x:c>
      <x:c r="C1426" s="7" t="str">
        <x:v>PEA-B-Y1</x:v>
      </x:c>
      <x:c r="D1426" s="7" t="str">
        <x:v>BLD-B</x:v>
      </x:c>
      <x:c r="E1426" s="7" t="str">
        <x:v>BL-Y</x:v>
      </x:c>
      <x:c r="F1426" s="7" t="str">
        <x:v>MF-21</x:v>
      </x:c>
      <x:c r="G1426" s="7" t="str">
        <x:v>public-water flow</x:v>
      </x:c>
      <x:c r="H1426" s="7" t="n">
        <x:v>4</x:v>
      </x:c>
      <x:c r="I1426" s="7" t="str"/>
      <x:c r="J1426" s="7" t="str"/>
      <x:c r="K1426" s="7" t="str"/>
      <x:c r="L1426" s="7" t="str"/>
      <x:c r="M1426" s="7" t="str"/>
      <x:c r="N1426" s="7" t="str"/>
      <x:c r="O1426" s="7" t="str">
        <x:f>IF(N1426="","OPEN",IF(OR(I1426="",J1426="",K1426="",L1426="",M1426=""),"FAIL","PASS"))</x:f>
        <x:v>OPEN</x:v>
      </x:c>
    </x:row>
    <x:row r="1427">
      <x:c r="B1427" s="7" t="str">
        <x:v>CH-PEA-B-Y1-21-5</x:v>
      </x:c>
      <x:c r="C1427" s="7" t="str">
        <x:v>PEA-B-Y1</x:v>
      </x:c>
      <x:c r="D1427" s="7" t="str">
        <x:v>BLD-B</x:v>
      </x:c>
      <x:c r="E1427" s="7" t="str">
        <x:v>BL-Y</x:v>
      </x:c>
      <x:c r="F1427" s="7" t="str">
        <x:v>MF-21</x:v>
      </x:c>
      <x:c r="G1427" s="7" t="str">
        <x:v>public-water flow</x:v>
      </x:c>
      <x:c r="H1427" s="7" t="n">
        <x:v>5</x:v>
      </x:c>
      <x:c r="I1427" s="7" t="str"/>
      <x:c r="J1427" s="7" t="str"/>
      <x:c r="K1427" s="7" t="str"/>
      <x:c r="L1427" s="7" t="str"/>
      <x:c r="M1427" s="7" t="str"/>
      <x:c r="N1427" s="7" t="str"/>
      <x:c r="O1427" s="7" t="str">
        <x:f>IF(N1427="","OPEN",IF(OR(I1427="",J1427="",K1427="",L1427="",M1427=""),"FAIL","PASS"))</x:f>
        <x:v>OPEN</x:v>
      </x:c>
    </x:row>
    <x:row r="1428">
      <x:c r="B1428" s="7" t="str">
        <x:v>CH-PEA-B-Y1-21-6</x:v>
      </x:c>
      <x:c r="C1428" s="7" t="str">
        <x:v>PEA-B-Y1</x:v>
      </x:c>
      <x:c r="D1428" s="7" t="str">
        <x:v>BLD-B</x:v>
      </x:c>
      <x:c r="E1428" s="7" t="str">
        <x:v>BL-Y</x:v>
      </x:c>
      <x:c r="F1428" s="7" t="str">
        <x:v>MF-21</x:v>
      </x:c>
      <x:c r="G1428" s="7" t="str">
        <x:v>public-water flow</x:v>
      </x:c>
      <x:c r="H1428" s="7" t="n">
        <x:v>6</x:v>
      </x:c>
      <x:c r="I1428" s="7" t="str"/>
      <x:c r="J1428" s="7" t="str"/>
      <x:c r="K1428" s="7" t="str"/>
      <x:c r="L1428" s="7" t="str"/>
      <x:c r="M1428" s="7" t="str"/>
      <x:c r="N1428" s="7" t="str"/>
      <x:c r="O1428" s="7" t="str">
        <x:f>IF(N1428="","OPEN",IF(OR(I1428="",J1428="",K1428="",L1428="",M1428=""),"FAIL","PASS"))</x:f>
        <x:v>OPEN</x:v>
      </x:c>
    </x:row>
    <x:row r="1429">
      <x:c r="B1429" s="7" t="str">
        <x:v>CH-PEA-B-Y1-22-1</x:v>
      </x:c>
      <x:c r="C1429" s="7" t="str">
        <x:v>PEA-B-Y1</x:v>
      </x:c>
      <x:c r="D1429" s="7" t="str">
        <x:v>BLD-B</x:v>
      </x:c>
      <x:c r="E1429" s="7" t="str">
        <x:v>BL-Y</x:v>
      </x:c>
      <x:c r="F1429" s="7" t="str">
        <x:v>MF-22</x:v>
      </x:c>
      <x:c r="G1429" s="7" t="str">
        <x:v>source ancestry</x:v>
      </x:c>
      <x:c r="H1429" s="7" t="n">
        <x:v>1</x:v>
      </x:c>
      <x:c r="I1429" s="7" t="str"/>
      <x:c r="J1429" s="7" t="str"/>
      <x:c r="K1429" s="7" t="str"/>
      <x:c r="L1429" s="7" t="str"/>
      <x:c r="M1429" s="7" t="str"/>
      <x:c r="N1429" s="7" t="str"/>
      <x:c r="O1429" s="7" t="str">
        <x:f>IF(N1429="","OPEN",IF(OR(I1429="",J1429="",K1429="",L1429="",M1429=""),"FAIL","PASS"))</x:f>
        <x:v>OPEN</x:v>
      </x:c>
    </x:row>
    <x:row r="1430">
      <x:c r="B1430" s="7" t="str">
        <x:v>CH-PEA-B-Y1-22-2</x:v>
      </x:c>
      <x:c r="C1430" s="7" t="str">
        <x:v>PEA-B-Y1</x:v>
      </x:c>
      <x:c r="D1430" s="7" t="str">
        <x:v>BLD-B</x:v>
      </x:c>
      <x:c r="E1430" s="7" t="str">
        <x:v>BL-Y</x:v>
      </x:c>
      <x:c r="F1430" s="7" t="str">
        <x:v>MF-22</x:v>
      </x:c>
      <x:c r="G1430" s="7" t="str">
        <x:v>source ancestry</x:v>
      </x:c>
      <x:c r="H1430" s="7" t="n">
        <x:v>2</x:v>
      </x:c>
      <x:c r="I1430" s="7" t="str"/>
      <x:c r="J1430" s="7" t="str"/>
      <x:c r="K1430" s="7" t="str"/>
      <x:c r="L1430" s="7" t="str"/>
      <x:c r="M1430" s="7" t="str"/>
      <x:c r="N1430" s="7" t="str"/>
      <x:c r="O1430" s="7" t="str">
        <x:f>IF(N1430="","OPEN",IF(OR(I1430="",J1430="",K1430="",L1430="",M1430=""),"FAIL","PASS"))</x:f>
        <x:v>OPEN</x:v>
      </x:c>
    </x:row>
    <x:row r="1431">
      <x:c r="B1431" s="7" t="str">
        <x:v>CH-PEA-B-Y1-22-3</x:v>
      </x:c>
      <x:c r="C1431" s="7" t="str">
        <x:v>PEA-B-Y1</x:v>
      </x:c>
      <x:c r="D1431" s="7" t="str">
        <x:v>BLD-B</x:v>
      </x:c>
      <x:c r="E1431" s="7" t="str">
        <x:v>BL-Y</x:v>
      </x:c>
      <x:c r="F1431" s="7" t="str">
        <x:v>MF-22</x:v>
      </x:c>
      <x:c r="G1431" s="7" t="str">
        <x:v>source ancestry</x:v>
      </x:c>
      <x:c r="H1431" s="7" t="n">
        <x:v>3</x:v>
      </x:c>
      <x:c r="I1431" s="7" t="str"/>
      <x:c r="J1431" s="7" t="str"/>
      <x:c r="K1431" s="7" t="str"/>
      <x:c r="L1431" s="7" t="str"/>
      <x:c r="M1431" s="7" t="str"/>
      <x:c r="N1431" s="7" t="str"/>
      <x:c r="O1431" s="7" t="str">
        <x:f>IF(N1431="","OPEN",IF(OR(I1431="",J1431="",K1431="",L1431="",M1431=""),"FAIL","PASS"))</x:f>
        <x:v>OPEN</x:v>
      </x:c>
    </x:row>
    <x:row r="1432">
      <x:c r="B1432" s="7" t="str">
        <x:v>CH-PEA-B-Y1-22-4</x:v>
      </x:c>
      <x:c r="C1432" s="7" t="str">
        <x:v>PEA-B-Y1</x:v>
      </x:c>
      <x:c r="D1432" s="7" t="str">
        <x:v>BLD-B</x:v>
      </x:c>
      <x:c r="E1432" s="7" t="str">
        <x:v>BL-Y</x:v>
      </x:c>
      <x:c r="F1432" s="7" t="str">
        <x:v>MF-22</x:v>
      </x:c>
      <x:c r="G1432" s="7" t="str">
        <x:v>source ancestry</x:v>
      </x:c>
      <x:c r="H1432" s="7" t="n">
        <x:v>4</x:v>
      </x:c>
      <x:c r="I1432" s="7" t="str"/>
      <x:c r="J1432" s="7" t="str"/>
      <x:c r="K1432" s="7" t="str"/>
      <x:c r="L1432" s="7" t="str"/>
      <x:c r="M1432" s="7" t="str"/>
      <x:c r="N1432" s="7" t="str"/>
      <x:c r="O1432" s="7" t="str">
        <x:f>IF(N1432="","OPEN",IF(OR(I1432="",J1432="",K1432="",L1432="",M1432=""),"FAIL","PASS"))</x:f>
        <x:v>OPEN</x:v>
      </x:c>
    </x:row>
    <x:row r="1433">
      <x:c r="B1433" s="7" t="str">
        <x:v>CH-PEA-B-Y1-22-5</x:v>
      </x:c>
      <x:c r="C1433" s="7" t="str">
        <x:v>PEA-B-Y1</x:v>
      </x:c>
      <x:c r="D1433" s="7" t="str">
        <x:v>BLD-B</x:v>
      </x:c>
      <x:c r="E1433" s="7" t="str">
        <x:v>BL-Y</x:v>
      </x:c>
      <x:c r="F1433" s="7" t="str">
        <x:v>MF-22</x:v>
      </x:c>
      <x:c r="G1433" s="7" t="str">
        <x:v>source ancestry</x:v>
      </x:c>
      <x:c r="H1433" s="7" t="n">
        <x:v>5</x:v>
      </x:c>
      <x:c r="I1433" s="7" t="str"/>
      <x:c r="J1433" s="7" t="str"/>
      <x:c r="K1433" s="7" t="str"/>
      <x:c r="L1433" s="7" t="str"/>
      <x:c r="M1433" s="7" t="str"/>
      <x:c r="N1433" s="7" t="str"/>
      <x:c r="O1433" s="7" t="str">
        <x:f>IF(N1433="","OPEN",IF(OR(I1433="",J1433="",K1433="",L1433="",M1433=""),"FAIL","PASS"))</x:f>
        <x:v>OPEN</x:v>
      </x:c>
    </x:row>
    <x:row r="1434">
      <x:c r="B1434" s="7" t="str">
        <x:v>CH-PEA-B-Y1-22-6</x:v>
      </x:c>
      <x:c r="C1434" s="7" t="str">
        <x:v>PEA-B-Y1</x:v>
      </x:c>
      <x:c r="D1434" s="7" t="str">
        <x:v>BLD-B</x:v>
      </x:c>
      <x:c r="E1434" s="7" t="str">
        <x:v>BL-Y</x:v>
      </x:c>
      <x:c r="F1434" s="7" t="str">
        <x:v>MF-22</x:v>
      </x:c>
      <x:c r="G1434" s="7" t="str">
        <x:v>source ancestry</x:v>
      </x:c>
      <x:c r="H1434" s="7" t="n">
        <x:v>6</x:v>
      </x:c>
      <x:c r="I1434" s="7" t="str"/>
      <x:c r="J1434" s="7" t="str"/>
      <x:c r="K1434" s="7" t="str"/>
      <x:c r="L1434" s="7" t="str"/>
      <x:c r="M1434" s="7" t="str"/>
      <x:c r="N1434" s="7" t="str"/>
      <x:c r="O1434" s="7" t="str">
        <x:f>IF(N1434="","OPEN",IF(OR(I1434="",J1434="",K1434="",L1434="",M1434=""),"FAIL","PASS"))</x:f>
        <x:v>OPEN</x:v>
      </x:c>
    </x:row>
    <x:row r="1435">
      <x:c r="B1435" s="7" t="str">
        <x:v>CH-PEA-B-Y1-23-1</x:v>
      </x:c>
      <x:c r="C1435" s="7" t="str">
        <x:v>PEA-B-Y1</x:v>
      </x:c>
      <x:c r="D1435" s="7" t="str">
        <x:v>BLD-B</x:v>
      </x:c>
      <x:c r="E1435" s="7" t="str">
        <x:v>BL-Y</x:v>
      </x:c>
      <x:c r="F1435" s="7" t="str">
        <x:v>MF-23</x:v>
      </x:c>
      <x:c r="G1435" s="7" t="str">
        <x:v>water ancestry</x:v>
      </x:c>
      <x:c r="H1435" s="7" t="n">
        <x:v>1</x:v>
      </x:c>
      <x:c r="I1435" s="7" t="str"/>
      <x:c r="J1435" s="7" t="str"/>
      <x:c r="K1435" s="7" t="str"/>
      <x:c r="L1435" s="7" t="str"/>
      <x:c r="M1435" s="7" t="str"/>
      <x:c r="N1435" s="7" t="str"/>
      <x:c r="O1435" s="7" t="str">
        <x:f>IF(N1435="","OPEN",IF(OR(I1435="",J1435="",K1435="",L1435="",M1435=""),"FAIL","PASS"))</x:f>
        <x:v>OPEN</x:v>
      </x:c>
    </x:row>
    <x:row r="1436">
      <x:c r="B1436" s="7" t="str">
        <x:v>CH-PEA-B-Y1-23-2</x:v>
      </x:c>
      <x:c r="C1436" s="7" t="str">
        <x:v>PEA-B-Y1</x:v>
      </x:c>
      <x:c r="D1436" s="7" t="str">
        <x:v>BLD-B</x:v>
      </x:c>
      <x:c r="E1436" s="7" t="str">
        <x:v>BL-Y</x:v>
      </x:c>
      <x:c r="F1436" s="7" t="str">
        <x:v>MF-23</x:v>
      </x:c>
      <x:c r="G1436" s="7" t="str">
        <x:v>water ancestry</x:v>
      </x:c>
      <x:c r="H1436" s="7" t="n">
        <x:v>2</x:v>
      </x:c>
      <x:c r="I1436" s="7" t="str"/>
      <x:c r="J1436" s="7" t="str"/>
      <x:c r="K1436" s="7" t="str"/>
      <x:c r="L1436" s="7" t="str"/>
      <x:c r="M1436" s="7" t="str"/>
      <x:c r="N1436" s="7" t="str"/>
      <x:c r="O1436" s="7" t="str">
        <x:f>IF(N1436="","OPEN",IF(OR(I1436="",J1436="",K1436="",L1436="",M1436=""),"FAIL","PASS"))</x:f>
        <x:v>OPEN</x:v>
      </x:c>
    </x:row>
    <x:row r="1437">
      <x:c r="B1437" s="7" t="str">
        <x:v>CH-PEA-B-Y1-23-3</x:v>
      </x:c>
      <x:c r="C1437" s="7" t="str">
        <x:v>PEA-B-Y1</x:v>
      </x:c>
      <x:c r="D1437" s="7" t="str">
        <x:v>BLD-B</x:v>
      </x:c>
      <x:c r="E1437" s="7" t="str">
        <x:v>BL-Y</x:v>
      </x:c>
      <x:c r="F1437" s="7" t="str">
        <x:v>MF-23</x:v>
      </x:c>
      <x:c r="G1437" s="7" t="str">
        <x:v>water ancestry</x:v>
      </x:c>
      <x:c r="H1437" s="7" t="n">
        <x:v>3</x:v>
      </x:c>
      <x:c r="I1437" s="7" t="str"/>
      <x:c r="J1437" s="7" t="str"/>
      <x:c r="K1437" s="7" t="str"/>
      <x:c r="L1437" s="7" t="str"/>
      <x:c r="M1437" s="7" t="str"/>
      <x:c r="N1437" s="7" t="str"/>
      <x:c r="O1437" s="7" t="str">
        <x:f>IF(N1437="","OPEN",IF(OR(I1437="",J1437="",K1437="",L1437="",M1437=""),"FAIL","PASS"))</x:f>
        <x:v>OPEN</x:v>
      </x:c>
    </x:row>
    <x:row r="1438">
      <x:c r="B1438" s="7" t="str">
        <x:v>CH-PEA-B-Y1-23-4</x:v>
      </x:c>
      <x:c r="C1438" s="7" t="str">
        <x:v>PEA-B-Y1</x:v>
      </x:c>
      <x:c r="D1438" s="7" t="str">
        <x:v>BLD-B</x:v>
      </x:c>
      <x:c r="E1438" s="7" t="str">
        <x:v>BL-Y</x:v>
      </x:c>
      <x:c r="F1438" s="7" t="str">
        <x:v>MF-23</x:v>
      </x:c>
      <x:c r="G1438" s="7" t="str">
        <x:v>water ancestry</x:v>
      </x:c>
      <x:c r="H1438" s="7" t="n">
        <x:v>4</x:v>
      </x:c>
      <x:c r="I1438" s="7" t="str"/>
      <x:c r="J1438" s="7" t="str"/>
      <x:c r="K1438" s="7" t="str"/>
      <x:c r="L1438" s="7" t="str"/>
      <x:c r="M1438" s="7" t="str"/>
      <x:c r="N1438" s="7" t="str"/>
      <x:c r="O1438" s="7" t="str">
        <x:f>IF(N1438="","OPEN",IF(OR(I1438="",J1438="",K1438="",L1438="",M1438=""),"FAIL","PASS"))</x:f>
        <x:v>OPEN</x:v>
      </x:c>
    </x:row>
    <x:row r="1439">
      <x:c r="B1439" s="7" t="str">
        <x:v>CH-PEA-B-Y1-23-5</x:v>
      </x:c>
      <x:c r="C1439" s="7" t="str">
        <x:v>PEA-B-Y1</x:v>
      </x:c>
      <x:c r="D1439" s="7" t="str">
        <x:v>BLD-B</x:v>
      </x:c>
      <x:c r="E1439" s="7" t="str">
        <x:v>BL-Y</x:v>
      </x:c>
      <x:c r="F1439" s="7" t="str">
        <x:v>MF-23</x:v>
      </x:c>
      <x:c r="G1439" s="7" t="str">
        <x:v>water ancestry</x:v>
      </x:c>
      <x:c r="H1439" s="7" t="n">
        <x:v>5</x:v>
      </x:c>
      <x:c r="I1439" s="7" t="str"/>
      <x:c r="J1439" s="7" t="str"/>
      <x:c r="K1439" s="7" t="str"/>
      <x:c r="L1439" s="7" t="str"/>
      <x:c r="M1439" s="7" t="str"/>
      <x:c r="N1439" s="7" t="str"/>
      <x:c r="O1439" s="7" t="str">
        <x:f>IF(N1439="","OPEN",IF(OR(I1439="",J1439="",K1439="",L1439="",M1439=""),"FAIL","PASS"))</x:f>
        <x:v>OPEN</x:v>
      </x:c>
    </x:row>
    <x:row r="1440">
      <x:c r="B1440" s="7" t="str">
        <x:v>CH-PEA-B-Y1-23-6</x:v>
      </x:c>
      <x:c r="C1440" s="7" t="str">
        <x:v>PEA-B-Y1</x:v>
      </x:c>
      <x:c r="D1440" s="7" t="str">
        <x:v>BLD-B</x:v>
      </x:c>
      <x:c r="E1440" s="7" t="str">
        <x:v>BL-Y</x:v>
      </x:c>
      <x:c r="F1440" s="7" t="str">
        <x:v>MF-23</x:v>
      </x:c>
      <x:c r="G1440" s="7" t="str">
        <x:v>water ancestry</x:v>
      </x:c>
      <x:c r="H1440" s="7" t="n">
        <x:v>6</x:v>
      </x:c>
      <x:c r="I1440" s="7" t="str"/>
      <x:c r="J1440" s="7" t="str"/>
      <x:c r="K1440" s="7" t="str"/>
      <x:c r="L1440" s="7" t="str"/>
      <x:c r="M1440" s="7" t="str"/>
      <x:c r="N1440" s="7" t="str"/>
      <x:c r="O1440" s="7" t="str">
        <x:f>IF(N1440="","OPEN",IF(OR(I1440="",J1440="",K1440="",L1440="",M1440=""),"FAIL","PASS"))</x:f>
        <x:v>OPEN</x:v>
      </x:c>
    </x:row>
    <x:row r="1441">
      <x:c r="B1441" s="7" t="str">
        <x:v>CH-PEA-B-Y1-24-1</x:v>
      </x:c>
      <x:c r="C1441" s="7" t="str">
        <x:v>PEA-B-Y1</x:v>
      </x:c>
      <x:c r="D1441" s="7" t="str">
        <x:v>BLD-B</x:v>
      </x:c>
      <x:c r="E1441" s="7" t="str">
        <x:v>BL-Y</x:v>
      </x:c>
      <x:c r="F1441" s="7" t="str">
        <x:v>MF-24</x:v>
      </x:c>
      <x:c r="G1441" s="7" t="str">
        <x:v>evidence health</x:v>
      </x:c>
      <x:c r="H1441" s="7" t="n">
        <x:v>1</x:v>
      </x:c>
      <x:c r="I1441" s="7" t="str"/>
      <x:c r="J1441" s="7" t="str"/>
      <x:c r="K1441" s="7" t="str"/>
      <x:c r="L1441" s="7" t="str"/>
      <x:c r="M1441" s="7" t="str"/>
      <x:c r="N1441" s="7" t="str"/>
      <x:c r="O1441" s="7" t="str">
        <x:f>IF(N1441="","OPEN",IF(OR(I1441="",J1441="",K1441="",L1441="",M1441=""),"FAIL","PASS"))</x:f>
        <x:v>OPEN</x:v>
      </x:c>
    </x:row>
    <x:row r="1442">
      <x:c r="B1442" s="7" t="str">
        <x:v>CH-PEA-B-Y1-24-2</x:v>
      </x:c>
      <x:c r="C1442" s="7" t="str">
        <x:v>PEA-B-Y1</x:v>
      </x:c>
      <x:c r="D1442" s="7" t="str">
        <x:v>BLD-B</x:v>
      </x:c>
      <x:c r="E1442" s="7" t="str">
        <x:v>BL-Y</x:v>
      </x:c>
      <x:c r="F1442" s="7" t="str">
        <x:v>MF-24</x:v>
      </x:c>
      <x:c r="G1442" s="7" t="str">
        <x:v>evidence health</x:v>
      </x:c>
      <x:c r="H1442" s="7" t="n">
        <x:v>2</x:v>
      </x:c>
      <x:c r="I1442" s="7" t="str"/>
      <x:c r="J1442" s="7" t="str"/>
      <x:c r="K1442" s="7" t="str"/>
      <x:c r="L1442" s="7" t="str"/>
      <x:c r="M1442" s="7" t="str"/>
      <x:c r="N1442" s="7" t="str"/>
      <x:c r="O1442" s="7" t="str">
        <x:f>IF(N1442="","OPEN",IF(OR(I1442="",J1442="",K1442="",L1442="",M1442=""),"FAIL","PASS"))</x:f>
        <x:v>OPEN</x:v>
      </x:c>
    </x:row>
    <x:row r="1443">
      <x:c r="B1443" s="7" t="str">
        <x:v>CH-PEA-B-Y1-24-3</x:v>
      </x:c>
      <x:c r="C1443" s="7" t="str">
        <x:v>PEA-B-Y1</x:v>
      </x:c>
      <x:c r="D1443" s="7" t="str">
        <x:v>BLD-B</x:v>
      </x:c>
      <x:c r="E1443" s="7" t="str">
        <x:v>BL-Y</x:v>
      </x:c>
      <x:c r="F1443" s="7" t="str">
        <x:v>MF-24</x:v>
      </x:c>
      <x:c r="G1443" s="7" t="str">
        <x:v>evidence health</x:v>
      </x:c>
      <x:c r="H1443" s="7" t="n">
        <x:v>3</x:v>
      </x:c>
      <x:c r="I1443" s="7" t="str"/>
      <x:c r="J1443" s="7" t="str"/>
      <x:c r="K1443" s="7" t="str"/>
      <x:c r="L1443" s="7" t="str"/>
      <x:c r="M1443" s="7" t="str"/>
      <x:c r="N1443" s="7" t="str"/>
      <x:c r="O1443" s="7" t="str">
        <x:f>IF(N1443="","OPEN",IF(OR(I1443="",J1443="",K1443="",L1443="",M1443=""),"FAIL","PASS"))</x:f>
        <x:v>OPEN</x:v>
      </x:c>
    </x:row>
    <x:row r="1444">
      <x:c r="B1444" s="7" t="str">
        <x:v>CH-PEA-B-Y1-24-4</x:v>
      </x:c>
      <x:c r="C1444" s="7" t="str">
        <x:v>PEA-B-Y1</x:v>
      </x:c>
      <x:c r="D1444" s="7" t="str">
        <x:v>BLD-B</x:v>
      </x:c>
      <x:c r="E1444" s="7" t="str">
        <x:v>BL-Y</x:v>
      </x:c>
      <x:c r="F1444" s="7" t="str">
        <x:v>MF-24</x:v>
      </x:c>
      <x:c r="G1444" s="7" t="str">
        <x:v>evidence health</x:v>
      </x:c>
      <x:c r="H1444" s="7" t="n">
        <x:v>4</x:v>
      </x:c>
      <x:c r="I1444" s="7" t="str"/>
      <x:c r="J1444" s="7" t="str"/>
      <x:c r="K1444" s="7" t="str"/>
      <x:c r="L1444" s="7" t="str"/>
      <x:c r="M1444" s="7" t="str"/>
      <x:c r="N1444" s="7" t="str"/>
      <x:c r="O1444" s="7" t="str">
        <x:f>IF(N1444="","OPEN",IF(OR(I1444="",J1444="",K1444="",L1444="",M1444=""),"FAIL","PASS"))</x:f>
        <x:v>OPEN</x:v>
      </x:c>
    </x:row>
    <x:row r="1445">
      <x:c r="B1445" s="7" t="str">
        <x:v>CH-PEA-B-Y1-24-5</x:v>
      </x:c>
      <x:c r="C1445" s="7" t="str">
        <x:v>PEA-B-Y1</x:v>
      </x:c>
      <x:c r="D1445" s="7" t="str">
        <x:v>BLD-B</x:v>
      </x:c>
      <x:c r="E1445" s="7" t="str">
        <x:v>BL-Y</x:v>
      </x:c>
      <x:c r="F1445" s="7" t="str">
        <x:v>MF-24</x:v>
      </x:c>
      <x:c r="G1445" s="7" t="str">
        <x:v>evidence health</x:v>
      </x:c>
      <x:c r="H1445" s="7" t="n">
        <x:v>5</x:v>
      </x:c>
      <x:c r="I1445" s="7" t="str"/>
      <x:c r="J1445" s="7" t="str"/>
      <x:c r="K1445" s="7" t="str"/>
      <x:c r="L1445" s="7" t="str"/>
      <x:c r="M1445" s="7" t="str"/>
      <x:c r="N1445" s="7" t="str"/>
      <x:c r="O1445" s="7" t="str">
        <x:f>IF(N1445="","OPEN",IF(OR(I1445="",J1445="",K1445="",L1445="",M1445=""),"FAIL","PASS"))</x:f>
        <x:v>OPEN</x:v>
      </x:c>
    </x:row>
    <x:row r="1446">
      <x:c r="B1446" s="7" t="str">
        <x:v>CH-PEA-B-Y1-24-6</x:v>
      </x:c>
      <x:c r="C1446" s="7" t="str">
        <x:v>PEA-B-Y1</x:v>
      </x:c>
      <x:c r="D1446" s="7" t="str">
        <x:v>BLD-B</x:v>
      </x:c>
      <x:c r="E1446" s="7" t="str">
        <x:v>BL-Y</x:v>
      </x:c>
      <x:c r="F1446" s="7" t="str">
        <x:v>MF-24</x:v>
      </x:c>
      <x:c r="G1446" s="7" t="str">
        <x:v>evidence health</x:v>
      </x:c>
      <x:c r="H1446" s="7" t="n">
        <x:v>6</x:v>
      </x:c>
      <x:c r="I1446" s="7" t="str"/>
      <x:c r="J1446" s="7" t="str"/>
      <x:c r="K1446" s="7" t="str"/>
      <x:c r="L1446" s="7" t="str"/>
      <x:c r="M1446" s="7" t="str"/>
      <x:c r="N1446" s="7" t="str"/>
      <x:c r="O1446" s="7" t="str">
        <x:f>IF(N1446="","OPEN",IF(OR(I1446="",J1446="",K1446="",L1446="",M1446=""),"FAIL","PASS"))</x:f>
        <x:v>OPEN</x:v>
      </x:c>
    </x:row>
    <x:row r="1447">
      <x:c r="B1447" s="7" t="str">
        <x:v>CH-PEA-B-Y2-01-1</x:v>
      </x:c>
      <x:c r="C1447" s="7" t="str">
        <x:v>PEA-B-Y2</x:v>
      </x:c>
      <x:c r="D1447" s="7" t="str">
        <x:v>BLD-B</x:v>
      </x:c>
      <x:c r="E1447" s="7" t="str">
        <x:v>BL-Y</x:v>
      </x:c>
      <x:c r="F1447" s="7" t="str">
        <x:v>MF-01</x:v>
      </x:c>
      <x:c r="G1447" s="7" t="str">
        <x:v>source vessel mass</x:v>
      </x:c>
      <x:c r="H1447" s="7" t="n">
        <x:v>1</x:v>
      </x:c>
      <x:c r="I1447" s="7" t="str"/>
      <x:c r="J1447" s="7" t="str"/>
      <x:c r="K1447" s="7" t="str"/>
      <x:c r="L1447" s="7" t="str"/>
      <x:c r="M1447" s="7" t="str"/>
      <x:c r="N1447" s="7" t="str"/>
      <x:c r="O1447" s="7" t="str">
        <x:f>IF(N1447="","OPEN",IF(OR(I1447="",J1447="",K1447="",L1447="",M1447=""),"FAIL","PASS"))</x:f>
        <x:v>OPEN</x:v>
      </x:c>
    </x:row>
    <x:row r="1448">
      <x:c r="B1448" s="7" t="str">
        <x:v>CH-PEA-B-Y2-01-2</x:v>
      </x:c>
      <x:c r="C1448" s="7" t="str">
        <x:v>PEA-B-Y2</x:v>
      </x:c>
      <x:c r="D1448" s="7" t="str">
        <x:v>BLD-B</x:v>
      </x:c>
      <x:c r="E1448" s="7" t="str">
        <x:v>BL-Y</x:v>
      </x:c>
      <x:c r="F1448" s="7" t="str">
        <x:v>MF-01</x:v>
      </x:c>
      <x:c r="G1448" s="7" t="str">
        <x:v>source vessel mass</x:v>
      </x:c>
      <x:c r="H1448" s="7" t="n">
        <x:v>2</x:v>
      </x:c>
      <x:c r="I1448" s="7" t="str"/>
      <x:c r="J1448" s="7" t="str"/>
      <x:c r="K1448" s="7" t="str"/>
      <x:c r="L1448" s="7" t="str"/>
      <x:c r="M1448" s="7" t="str"/>
      <x:c r="N1448" s="7" t="str"/>
      <x:c r="O1448" s="7" t="str">
        <x:f>IF(N1448="","OPEN",IF(OR(I1448="",J1448="",K1448="",L1448="",M1448=""),"FAIL","PASS"))</x:f>
        <x:v>OPEN</x:v>
      </x:c>
    </x:row>
    <x:row r="1449">
      <x:c r="B1449" s="7" t="str">
        <x:v>CH-PEA-B-Y2-01-3</x:v>
      </x:c>
      <x:c r="C1449" s="7" t="str">
        <x:v>PEA-B-Y2</x:v>
      </x:c>
      <x:c r="D1449" s="7" t="str">
        <x:v>BLD-B</x:v>
      </x:c>
      <x:c r="E1449" s="7" t="str">
        <x:v>BL-Y</x:v>
      </x:c>
      <x:c r="F1449" s="7" t="str">
        <x:v>MF-01</x:v>
      </x:c>
      <x:c r="G1449" s="7" t="str">
        <x:v>source vessel mass</x:v>
      </x:c>
      <x:c r="H1449" s="7" t="n">
        <x:v>3</x:v>
      </x:c>
      <x:c r="I1449" s="7" t="str"/>
      <x:c r="J1449" s="7" t="str"/>
      <x:c r="K1449" s="7" t="str"/>
      <x:c r="L1449" s="7" t="str"/>
      <x:c r="M1449" s="7" t="str"/>
      <x:c r="N1449" s="7" t="str"/>
      <x:c r="O1449" s="7" t="str">
        <x:f>IF(N1449="","OPEN",IF(OR(I1449="",J1449="",K1449="",L1449="",M1449=""),"FAIL","PASS"))</x:f>
        <x:v>OPEN</x:v>
      </x:c>
    </x:row>
    <x:row r="1450">
      <x:c r="B1450" s="7" t="str">
        <x:v>CH-PEA-B-Y2-01-4</x:v>
      </x:c>
      <x:c r="C1450" s="7" t="str">
        <x:v>PEA-B-Y2</x:v>
      </x:c>
      <x:c r="D1450" s="7" t="str">
        <x:v>BLD-B</x:v>
      </x:c>
      <x:c r="E1450" s="7" t="str">
        <x:v>BL-Y</x:v>
      </x:c>
      <x:c r="F1450" s="7" t="str">
        <x:v>MF-01</x:v>
      </x:c>
      <x:c r="G1450" s="7" t="str">
        <x:v>source vessel mass</x:v>
      </x:c>
      <x:c r="H1450" s="7" t="n">
        <x:v>4</x:v>
      </x:c>
      <x:c r="I1450" s="7" t="str"/>
      <x:c r="J1450" s="7" t="str"/>
      <x:c r="K1450" s="7" t="str"/>
      <x:c r="L1450" s="7" t="str"/>
      <x:c r="M1450" s="7" t="str"/>
      <x:c r="N1450" s="7" t="str"/>
      <x:c r="O1450" s="7" t="str">
        <x:f>IF(N1450="","OPEN",IF(OR(I1450="",J1450="",K1450="",L1450="",M1450=""),"FAIL","PASS"))</x:f>
        <x:v>OPEN</x:v>
      </x:c>
    </x:row>
    <x:row r="1451">
      <x:c r="B1451" s="7" t="str">
        <x:v>CH-PEA-B-Y2-01-5</x:v>
      </x:c>
      <x:c r="C1451" s="7" t="str">
        <x:v>PEA-B-Y2</x:v>
      </x:c>
      <x:c r="D1451" s="7" t="str">
        <x:v>BLD-B</x:v>
      </x:c>
      <x:c r="E1451" s="7" t="str">
        <x:v>BL-Y</x:v>
      </x:c>
      <x:c r="F1451" s="7" t="str">
        <x:v>MF-01</x:v>
      </x:c>
      <x:c r="G1451" s="7" t="str">
        <x:v>source vessel mass</x:v>
      </x:c>
      <x:c r="H1451" s="7" t="n">
        <x:v>5</x:v>
      </x:c>
      <x:c r="I1451" s="7" t="str"/>
      <x:c r="J1451" s="7" t="str"/>
      <x:c r="K1451" s="7" t="str"/>
      <x:c r="L1451" s="7" t="str"/>
      <x:c r="M1451" s="7" t="str"/>
      <x:c r="N1451" s="7" t="str"/>
      <x:c r="O1451" s="7" t="str">
        <x:f>IF(N1451="","OPEN",IF(OR(I1451="",J1451="",K1451="",L1451="",M1451=""),"FAIL","PASS"))</x:f>
        <x:v>OPEN</x:v>
      </x:c>
    </x:row>
    <x:row r="1452">
      <x:c r="B1452" s="7" t="str">
        <x:v>CH-PEA-B-Y2-01-6</x:v>
      </x:c>
      <x:c r="C1452" s="7" t="str">
        <x:v>PEA-B-Y2</x:v>
      </x:c>
      <x:c r="D1452" s="7" t="str">
        <x:v>BLD-B</x:v>
      </x:c>
      <x:c r="E1452" s="7" t="str">
        <x:v>BL-Y</x:v>
      </x:c>
      <x:c r="F1452" s="7" t="str">
        <x:v>MF-01</x:v>
      </x:c>
      <x:c r="G1452" s="7" t="str">
        <x:v>source vessel mass</x:v>
      </x:c>
      <x:c r="H1452" s="7" t="n">
        <x:v>6</x:v>
      </x:c>
      <x:c r="I1452" s="7" t="str"/>
      <x:c r="J1452" s="7" t="str"/>
      <x:c r="K1452" s="7" t="str"/>
      <x:c r="L1452" s="7" t="str"/>
      <x:c r="M1452" s="7" t="str"/>
      <x:c r="N1452" s="7" t="str"/>
      <x:c r="O1452" s="7" t="str">
        <x:f>IF(N1452="","OPEN",IF(OR(I1452="",J1452="",K1452="",L1452="",M1452=""),"FAIL","PASS"))</x:f>
        <x:v>OPEN</x:v>
      </x:c>
    </x:row>
    <x:row r="1453">
      <x:c r="B1453" s="7" t="str">
        <x:v>CH-PEA-B-Y2-02-1</x:v>
      </x:c>
      <x:c r="C1453" s="7" t="str">
        <x:v>PEA-B-Y2</x:v>
      </x:c>
      <x:c r="D1453" s="7" t="str">
        <x:v>BLD-B</x:v>
      </x:c>
      <x:c r="E1453" s="7" t="str">
        <x:v>BL-Y</x:v>
      </x:c>
      <x:c r="F1453" s="7" t="str">
        <x:v>MF-02</x:v>
      </x:c>
      <x:c r="G1453" s="7" t="str">
        <x:v>transfer mass</x:v>
      </x:c>
      <x:c r="H1453" s="7" t="n">
        <x:v>1</x:v>
      </x:c>
      <x:c r="I1453" s="7" t="str"/>
      <x:c r="J1453" s="7" t="str"/>
      <x:c r="K1453" s="7" t="str"/>
      <x:c r="L1453" s="7" t="str"/>
      <x:c r="M1453" s="7" t="str"/>
      <x:c r="N1453" s="7" t="str"/>
      <x:c r="O1453" s="7" t="str">
        <x:f>IF(N1453="","OPEN",IF(OR(I1453="",J1453="",K1453="",L1453="",M1453=""),"FAIL","PASS"))</x:f>
        <x:v>OPEN</x:v>
      </x:c>
    </x:row>
    <x:row r="1454">
      <x:c r="B1454" s="7" t="str">
        <x:v>CH-PEA-B-Y2-02-2</x:v>
      </x:c>
      <x:c r="C1454" s="7" t="str">
        <x:v>PEA-B-Y2</x:v>
      </x:c>
      <x:c r="D1454" s="7" t="str">
        <x:v>BLD-B</x:v>
      </x:c>
      <x:c r="E1454" s="7" t="str">
        <x:v>BL-Y</x:v>
      </x:c>
      <x:c r="F1454" s="7" t="str">
        <x:v>MF-02</x:v>
      </x:c>
      <x:c r="G1454" s="7" t="str">
        <x:v>transfer mass</x:v>
      </x:c>
      <x:c r="H1454" s="7" t="n">
        <x:v>2</x:v>
      </x:c>
      <x:c r="I1454" s="7" t="str"/>
      <x:c r="J1454" s="7" t="str"/>
      <x:c r="K1454" s="7" t="str"/>
      <x:c r="L1454" s="7" t="str"/>
      <x:c r="M1454" s="7" t="str"/>
      <x:c r="N1454" s="7" t="str"/>
      <x:c r="O1454" s="7" t="str">
        <x:f>IF(N1454="","OPEN",IF(OR(I1454="",J1454="",K1454="",L1454="",M1454=""),"FAIL","PASS"))</x:f>
        <x:v>OPEN</x:v>
      </x:c>
    </x:row>
    <x:row r="1455">
      <x:c r="B1455" s="7" t="str">
        <x:v>CH-PEA-B-Y2-02-3</x:v>
      </x:c>
      <x:c r="C1455" s="7" t="str">
        <x:v>PEA-B-Y2</x:v>
      </x:c>
      <x:c r="D1455" s="7" t="str">
        <x:v>BLD-B</x:v>
      </x:c>
      <x:c r="E1455" s="7" t="str">
        <x:v>BL-Y</x:v>
      </x:c>
      <x:c r="F1455" s="7" t="str">
        <x:v>MF-02</x:v>
      </x:c>
      <x:c r="G1455" s="7" t="str">
        <x:v>transfer mass</x:v>
      </x:c>
      <x:c r="H1455" s="7" t="n">
        <x:v>3</x:v>
      </x:c>
      <x:c r="I1455" s="7" t="str"/>
      <x:c r="J1455" s="7" t="str"/>
      <x:c r="K1455" s="7" t="str"/>
      <x:c r="L1455" s="7" t="str"/>
      <x:c r="M1455" s="7" t="str"/>
      <x:c r="N1455" s="7" t="str"/>
      <x:c r="O1455" s="7" t="str">
        <x:f>IF(N1455="","OPEN",IF(OR(I1455="",J1455="",K1455="",L1455="",M1455=""),"FAIL","PASS"))</x:f>
        <x:v>OPEN</x:v>
      </x:c>
    </x:row>
    <x:row r="1456">
      <x:c r="B1456" s="7" t="str">
        <x:v>CH-PEA-B-Y2-02-4</x:v>
      </x:c>
      <x:c r="C1456" s="7" t="str">
        <x:v>PEA-B-Y2</x:v>
      </x:c>
      <x:c r="D1456" s="7" t="str">
        <x:v>BLD-B</x:v>
      </x:c>
      <x:c r="E1456" s="7" t="str">
        <x:v>BL-Y</x:v>
      </x:c>
      <x:c r="F1456" s="7" t="str">
        <x:v>MF-02</x:v>
      </x:c>
      <x:c r="G1456" s="7" t="str">
        <x:v>transfer mass</x:v>
      </x:c>
      <x:c r="H1456" s="7" t="n">
        <x:v>4</x:v>
      </x:c>
      <x:c r="I1456" s="7" t="str"/>
      <x:c r="J1456" s="7" t="str"/>
      <x:c r="K1456" s="7" t="str"/>
      <x:c r="L1456" s="7" t="str"/>
      <x:c r="M1456" s="7" t="str"/>
      <x:c r="N1456" s="7" t="str"/>
      <x:c r="O1456" s="7" t="str">
        <x:f>IF(N1456="","OPEN",IF(OR(I1456="",J1456="",K1456="",L1456="",M1456=""),"FAIL","PASS"))</x:f>
        <x:v>OPEN</x:v>
      </x:c>
    </x:row>
    <x:row r="1457">
      <x:c r="B1457" s="7" t="str">
        <x:v>CH-PEA-B-Y2-02-5</x:v>
      </x:c>
      <x:c r="C1457" s="7" t="str">
        <x:v>PEA-B-Y2</x:v>
      </x:c>
      <x:c r="D1457" s="7" t="str">
        <x:v>BLD-B</x:v>
      </x:c>
      <x:c r="E1457" s="7" t="str">
        <x:v>BL-Y</x:v>
      </x:c>
      <x:c r="F1457" s="7" t="str">
        <x:v>MF-02</x:v>
      </x:c>
      <x:c r="G1457" s="7" t="str">
        <x:v>transfer mass</x:v>
      </x:c>
      <x:c r="H1457" s="7" t="n">
        <x:v>5</x:v>
      </x:c>
      <x:c r="I1457" s="7" t="str"/>
      <x:c r="J1457" s="7" t="str"/>
      <x:c r="K1457" s="7" t="str"/>
      <x:c r="L1457" s="7" t="str"/>
      <x:c r="M1457" s="7" t="str"/>
      <x:c r="N1457" s="7" t="str"/>
      <x:c r="O1457" s="7" t="str">
        <x:f>IF(N1457="","OPEN",IF(OR(I1457="",J1457="",K1457="",L1457="",M1457=""),"FAIL","PASS"))</x:f>
        <x:v>OPEN</x:v>
      </x:c>
    </x:row>
    <x:row r="1458">
      <x:c r="B1458" s="7" t="str">
        <x:v>CH-PEA-B-Y2-02-6</x:v>
      </x:c>
      <x:c r="C1458" s="7" t="str">
        <x:v>PEA-B-Y2</x:v>
      </x:c>
      <x:c r="D1458" s="7" t="str">
        <x:v>BLD-B</x:v>
      </x:c>
      <x:c r="E1458" s="7" t="str">
        <x:v>BL-Y</x:v>
      </x:c>
      <x:c r="F1458" s="7" t="str">
        <x:v>MF-02</x:v>
      </x:c>
      <x:c r="G1458" s="7" t="str">
        <x:v>transfer mass</x:v>
      </x:c>
      <x:c r="H1458" s="7" t="n">
        <x:v>6</x:v>
      </x:c>
      <x:c r="I1458" s="7" t="str"/>
      <x:c r="J1458" s="7" t="str"/>
      <x:c r="K1458" s="7" t="str"/>
      <x:c r="L1458" s="7" t="str"/>
      <x:c r="M1458" s="7" t="str"/>
      <x:c r="N1458" s="7" t="str"/>
      <x:c r="O1458" s="7" t="str">
        <x:f>IF(N1458="","OPEN",IF(OR(I1458="",J1458="",K1458="",L1458="",M1458=""),"FAIL","PASS"))</x:f>
        <x:v>OPEN</x:v>
      </x:c>
    </x:row>
    <x:row r="1459">
      <x:c r="B1459" s="7" t="str">
        <x:v>CH-PEA-B-Y2-03-1</x:v>
      </x:c>
      <x:c r="C1459" s="7" t="str">
        <x:v>PEA-B-Y2</x:v>
      </x:c>
      <x:c r="D1459" s="7" t="str">
        <x:v>BLD-B</x:v>
      </x:c>
      <x:c r="E1459" s="7" t="str">
        <x:v>BL-Y</x:v>
      </x:c>
      <x:c r="F1459" s="7" t="str">
        <x:v>MF-03</x:v>
      </x:c>
      <x:c r="G1459" s="7" t="str">
        <x:v>source pressure</x:v>
      </x:c>
      <x:c r="H1459" s="7" t="n">
        <x:v>1</x:v>
      </x:c>
      <x:c r="I1459" s="7" t="str"/>
      <x:c r="J1459" s="7" t="str"/>
      <x:c r="K1459" s="7" t="str"/>
      <x:c r="L1459" s="7" t="str"/>
      <x:c r="M1459" s="7" t="str"/>
      <x:c r="N1459" s="7" t="str"/>
      <x:c r="O1459" s="7" t="str">
        <x:f>IF(N1459="","OPEN",IF(OR(I1459="",J1459="",K1459="",L1459="",M1459=""),"FAIL","PASS"))</x:f>
        <x:v>OPEN</x:v>
      </x:c>
    </x:row>
    <x:row r="1460">
      <x:c r="B1460" s="7" t="str">
        <x:v>CH-PEA-B-Y2-03-2</x:v>
      </x:c>
      <x:c r="C1460" s="7" t="str">
        <x:v>PEA-B-Y2</x:v>
      </x:c>
      <x:c r="D1460" s="7" t="str">
        <x:v>BLD-B</x:v>
      </x:c>
      <x:c r="E1460" s="7" t="str">
        <x:v>BL-Y</x:v>
      </x:c>
      <x:c r="F1460" s="7" t="str">
        <x:v>MF-03</x:v>
      </x:c>
      <x:c r="G1460" s="7" t="str">
        <x:v>source pressure</x:v>
      </x:c>
      <x:c r="H1460" s="7" t="n">
        <x:v>2</x:v>
      </x:c>
      <x:c r="I1460" s="7" t="str"/>
      <x:c r="J1460" s="7" t="str"/>
      <x:c r="K1460" s="7" t="str"/>
      <x:c r="L1460" s="7" t="str"/>
      <x:c r="M1460" s="7" t="str"/>
      <x:c r="N1460" s="7" t="str"/>
      <x:c r="O1460" s="7" t="str">
        <x:f>IF(N1460="","OPEN",IF(OR(I1460="",J1460="",K1460="",L1460="",M1460=""),"FAIL","PASS"))</x:f>
        <x:v>OPEN</x:v>
      </x:c>
    </x:row>
    <x:row r="1461">
      <x:c r="B1461" s="7" t="str">
        <x:v>CH-PEA-B-Y2-03-3</x:v>
      </x:c>
      <x:c r="C1461" s="7" t="str">
        <x:v>PEA-B-Y2</x:v>
      </x:c>
      <x:c r="D1461" s="7" t="str">
        <x:v>BLD-B</x:v>
      </x:c>
      <x:c r="E1461" s="7" t="str">
        <x:v>BL-Y</x:v>
      </x:c>
      <x:c r="F1461" s="7" t="str">
        <x:v>MF-03</x:v>
      </x:c>
      <x:c r="G1461" s="7" t="str">
        <x:v>source pressure</x:v>
      </x:c>
      <x:c r="H1461" s="7" t="n">
        <x:v>3</x:v>
      </x:c>
      <x:c r="I1461" s="7" t="str"/>
      <x:c r="J1461" s="7" t="str"/>
      <x:c r="K1461" s="7" t="str"/>
      <x:c r="L1461" s="7" t="str"/>
      <x:c r="M1461" s="7" t="str"/>
      <x:c r="N1461" s="7" t="str"/>
      <x:c r="O1461" s="7" t="str">
        <x:f>IF(N1461="","OPEN",IF(OR(I1461="",J1461="",K1461="",L1461="",M1461=""),"FAIL","PASS"))</x:f>
        <x:v>OPEN</x:v>
      </x:c>
    </x:row>
    <x:row r="1462">
      <x:c r="B1462" s="7" t="str">
        <x:v>CH-PEA-B-Y2-03-4</x:v>
      </x:c>
      <x:c r="C1462" s="7" t="str">
        <x:v>PEA-B-Y2</x:v>
      </x:c>
      <x:c r="D1462" s="7" t="str">
        <x:v>BLD-B</x:v>
      </x:c>
      <x:c r="E1462" s="7" t="str">
        <x:v>BL-Y</x:v>
      </x:c>
      <x:c r="F1462" s="7" t="str">
        <x:v>MF-03</x:v>
      </x:c>
      <x:c r="G1462" s="7" t="str">
        <x:v>source pressure</x:v>
      </x:c>
      <x:c r="H1462" s="7" t="n">
        <x:v>4</x:v>
      </x:c>
      <x:c r="I1462" s="7" t="str"/>
      <x:c r="J1462" s="7" t="str"/>
      <x:c r="K1462" s="7" t="str"/>
      <x:c r="L1462" s="7" t="str"/>
      <x:c r="M1462" s="7" t="str"/>
      <x:c r="N1462" s="7" t="str"/>
      <x:c r="O1462" s="7" t="str">
        <x:f>IF(N1462="","OPEN",IF(OR(I1462="",J1462="",K1462="",L1462="",M1462=""),"FAIL","PASS"))</x:f>
        <x:v>OPEN</x:v>
      </x:c>
    </x:row>
    <x:row r="1463">
      <x:c r="B1463" s="7" t="str">
        <x:v>CH-PEA-B-Y2-03-5</x:v>
      </x:c>
      <x:c r="C1463" s="7" t="str">
        <x:v>PEA-B-Y2</x:v>
      </x:c>
      <x:c r="D1463" s="7" t="str">
        <x:v>BLD-B</x:v>
      </x:c>
      <x:c r="E1463" s="7" t="str">
        <x:v>BL-Y</x:v>
      </x:c>
      <x:c r="F1463" s="7" t="str">
        <x:v>MF-03</x:v>
      </x:c>
      <x:c r="G1463" s="7" t="str">
        <x:v>source pressure</x:v>
      </x:c>
      <x:c r="H1463" s="7" t="n">
        <x:v>5</x:v>
      </x:c>
      <x:c r="I1463" s="7" t="str"/>
      <x:c r="J1463" s="7" t="str"/>
      <x:c r="K1463" s="7" t="str"/>
      <x:c r="L1463" s="7" t="str"/>
      <x:c r="M1463" s="7" t="str"/>
      <x:c r="N1463" s="7" t="str"/>
      <x:c r="O1463" s="7" t="str">
        <x:f>IF(N1463="","OPEN",IF(OR(I1463="",J1463="",K1463="",L1463="",M1463=""),"FAIL","PASS"))</x:f>
        <x:v>OPEN</x:v>
      </x:c>
    </x:row>
    <x:row r="1464">
      <x:c r="B1464" s="7" t="str">
        <x:v>CH-PEA-B-Y2-03-6</x:v>
      </x:c>
      <x:c r="C1464" s="7" t="str">
        <x:v>PEA-B-Y2</x:v>
      </x:c>
      <x:c r="D1464" s="7" t="str">
        <x:v>BLD-B</x:v>
      </x:c>
      <x:c r="E1464" s="7" t="str">
        <x:v>BL-Y</x:v>
      </x:c>
      <x:c r="F1464" s="7" t="str">
        <x:v>MF-03</x:v>
      </x:c>
      <x:c r="G1464" s="7" t="str">
        <x:v>source pressure</x:v>
      </x:c>
      <x:c r="H1464" s="7" t="n">
        <x:v>6</x:v>
      </x:c>
      <x:c r="I1464" s="7" t="str"/>
      <x:c r="J1464" s="7" t="str"/>
      <x:c r="K1464" s="7" t="str"/>
      <x:c r="L1464" s="7" t="str"/>
      <x:c r="M1464" s="7" t="str"/>
      <x:c r="N1464" s="7" t="str"/>
      <x:c r="O1464" s="7" t="str">
        <x:f>IF(N1464="","OPEN",IF(OR(I1464="",J1464="",K1464="",L1464="",M1464=""),"FAIL","PASS"))</x:f>
        <x:v>OPEN</x:v>
      </x:c>
    </x:row>
    <x:row r="1465">
      <x:c r="B1465" s="7" t="str">
        <x:v>CH-PEA-B-Y2-04-1</x:v>
      </x:c>
      <x:c r="C1465" s="7" t="str">
        <x:v>PEA-B-Y2</x:v>
      </x:c>
      <x:c r="D1465" s="7" t="str">
        <x:v>BLD-B</x:v>
      </x:c>
      <x:c r="E1465" s="7" t="str">
        <x:v>BL-Y</x:v>
      </x:c>
      <x:c r="F1465" s="7" t="str">
        <x:v>MF-04</x:v>
      </x:c>
      <x:c r="G1465" s="7" t="str">
        <x:v>source temperature</x:v>
      </x:c>
      <x:c r="H1465" s="7" t="n">
        <x:v>1</x:v>
      </x:c>
      <x:c r="I1465" s="7" t="str"/>
      <x:c r="J1465" s="7" t="str"/>
      <x:c r="K1465" s="7" t="str"/>
      <x:c r="L1465" s="7" t="str"/>
      <x:c r="M1465" s="7" t="str"/>
      <x:c r="N1465" s="7" t="str"/>
      <x:c r="O1465" s="7" t="str">
        <x:f>IF(N1465="","OPEN",IF(OR(I1465="",J1465="",K1465="",L1465="",M1465=""),"FAIL","PASS"))</x:f>
        <x:v>OPEN</x:v>
      </x:c>
    </x:row>
    <x:row r="1466">
      <x:c r="B1466" s="7" t="str">
        <x:v>CH-PEA-B-Y2-04-2</x:v>
      </x:c>
      <x:c r="C1466" s="7" t="str">
        <x:v>PEA-B-Y2</x:v>
      </x:c>
      <x:c r="D1466" s="7" t="str">
        <x:v>BLD-B</x:v>
      </x:c>
      <x:c r="E1466" s="7" t="str">
        <x:v>BL-Y</x:v>
      </x:c>
      <x:c r="F1466" s="7" t="str">
        <x:v>MF-04</x:v>
      </x:c>
      <x:c r="G1466" s="7" t="str">
        <x:v>source temperature</x:v>
      </x:c>
      <x:c r="H1466" s="7" t="n">
        <x:v>2</x:v>
      </x:c>
      <x:c r="I1466" s="7" t="str"/>
      <x:c r="J1466" s="7" t="str"/>
      <x:c r="K1466" s="7" t="str"/>
      <x:c r="L1466" s="7" t="str"/>
      <x:c r="M1466" s="7" t="str"/>
      <x:c r="N1466" s="7" t="str"/>
      <x:c r="O1466" s="7" t="str">
        <x:f>IF(N1466="","OPEN",IF(OR(I1466="",J1466="",K1466="",L1466="",M1466=""),"FAIL","PASS"))</x:f>
        <x:v>OPEN</x:v>
      </x:c>
    </x:row>
    <x:row r="1467">
      <x:c r="B1467" s="7" t="str">
        <x:v>CH-PEA-B-Y2-04-3</x:v>
      </x:c>
      <x:c r="C1467" s="7" t="str">
        <x:v>PEA-B-Y2</x:v>
      </x:c>
      <x:c r="D1467" s="7" t="str">
        <x:v>BLD-B</x:v>
      </x:c>
      <x:c r="E1467" s="7" t="str">
        <x:v>BL-Y</x:v>
      </x:c>
      <x:c r="F1467" s="7" t="str">
        <x:v>MF-04</x:v>
      </x:c>
      <x:c r="G1467" s="7" t="str">
        <x:v>source temperature</x:v>
      </x:c>
      <x:c r="H1467" s="7" t="n">
        <x:v>3</x:v>
      </x:c>
      <x:c r="I1467" s="7" t="str"/>
      <x:c r="J1467" s="7" t="str"/>
      <x:c r="K1467" s="7" t="str"/>
      <x:c r="L1467" s="7" t="str"/>
      <x:c r="M1467" s="7" t="str"/>
      <x:c r="N1467" s="7" t="str"/>
      <x:c r="O1467" s="7" t="str">
        <x:f>IF(N1467="","OPEN",IF(OR(I1467="",J1467="",K1467="",L1467="",M1467=""),"FAIL","PASS"))</x:f>
        <x:v>OPEN</x:v>
      </x:c>
    </x:row>
    <x:row r="1468">
      <x:c r="B1468" s="7" t="str">
        <x:v>CH-PEA-B-Y2-04-4</x:v>
      </x:c>
      <x:c r="C1468" s="7" t="str">
        <x:v>PEA-B-Y2</x:v>
      </x:c>
      <x:c r="D1468" s="7" t="str">
        <x:v>BLD-B</x:v>
      </x:c>
      <x:c r="E1468" s="7" t="str">
        <x:v>BL-Y</x:v>
      </x:c>
      <x:c r="F1468" s="7" t="str">
        <x:v>MF-04</x:v>
      </x:c>
      <x:c r="G1468" s="7" t="str">
        <x:v>source temperature</x:v>
      </x:c>
      <x:c r="H1468" s="7" t="n">
        <x:v>4</x:v>
      </x:c>
      <x:c r="I1468" s="7" t="str"/>
      <x:c r="J1468" s="7" t="str"/>
      <x:c r="K1468" s="7" t="str"/>
      <x:c r="L1468" s="7" t="str"/>
      <x:c r="M1468" s="7" t="str"/>
      <x:c r="N1468" s="7" t="str"/>
      <x:c r="O1468" s="7" t="str">
        <x:f>IF(N1468="","OPEN",IF(OR(I1468="",J1468="",K1468="",L1468="",M1468=""),"FAIL","PASS"))</x:f>
        <x:v>OPEN</x:v>
      </x:c>
    </x:row>
    <x:row r="1469">
      <x:c r="B1469" s="7" t="str">
        <x:v>CH-PEA-B-Y2-04-5</x:v>
      </x:c>
      <x:c r="C1469" s="7" t="str">
        <x:v>PEA-B-Y2</x:v>
      </x:c>
      <x:c r="D1469" s="7" t="str">
        <x:v>BLD-B</x:v>
      </x:c>
      <x:c r="E1469" s="7" t="str">
        <x:v>BL-Y</x:v>
      </x:c>
      <x:c r="F1469" s="7" t="str">
        <x:v>MF-04</x:v>
      </x:c>
      <x:c r="G1469" s="7" t="str">
        <x:v>source temperature</x:v>
      </x:c>
      <x:c r="H1469" s="7" t="n">
        <x:v>5</x:v>
      </x:c>
      <x:c r="I1469" s="7" t="str"/>
      <x:c r="J1469" s="7" t="str"/>
      <x:c r="K1469" s="7" t="str"/>
      <x:c r="L1469" s="7" t="str"/>
      <x:c r="M1469" s="7" t="str"/>
      <x:c r="N1469" s="7" t="str"/>
      <x:c r="O1469" s="7" t="str">
        <x:f>IF(N1469="","OPEN",IF(OR(I1469="",J1469="",K1469="",L1469="",M1469=""),"FAIL","PASS"))</x:f>
        <x:v>OPEN</x:v>
      </x:c>
    </x:row>
    <x:row r="1470">
      <x:c r="B1470" s="7" t="str">
        <x:v>CH-PEA-B-Y2-04-6</x:v>
      </x:c>
      <x:c r="C1470" s="7" t="str">
        <x:v>PEA-B-Y2</x:v>
      </x:c>
      <x:c r="D1470" s="7" t="str">
        <x:v>BLD-B</x:v>
      </x:c>
      <x:c r="E1470" s="7" t="str">
        <x:v>BL-Y</x:v>
      </x:c>
      <x:c r="F1470" s="7" t="str">
        <x:v>MF-04</x:v>
      </x:c>
      <x:c r="G1470" s="7" t="str">
        <x:v>source temperature</x:v>
      </x:c>
      <x:c r="H1470" s="7" t="n">
        <x:v>6</x:v>
      </x:c>
      <x:c r="I1470" s="7" t="str"/>
      <x:c r="J1470" s="7" t="str"/>
      <x:c r="K1470" s="7" t="str"/>
      <x:c r="L1470" s="7" t="str"/>
      <x:c r="M1470" s="7" t="str"/>
      <x:c r="N1470" s="7" t="str"/>
      <x:c r="O1470" s="7" t="str">
        <x:f>IF(N1470="","OPEN",IF(OR(I1470="",J1470="",K1470="",L1470="",M1470=""),"FAIL","PASS"))</x:f>
        <x:v>OPEN</x:v>
      </x:c>
    </x:row>
    <x:row r="1471">
      <x:c r="B1471" s="7" t="str">
        <x:v>CH-PEA-B-Y2-05-1</x:v>
      </x:c>
      <x:c r="C1471" s="7" t="str">
        <x:v>PEA-B-Y2</x:v>
      </x:c>
      <x:c r="D1471" s="7" t="str">
        <x:v>BLD-B</x:v>
      </x:c>
      <x:c r="E1471" s="7" t="str">
        <x:v>BL-Y</x:v>
      </x:c>
      <x:c r="F1471" s="7" t="str">
        <x:v>MF-05</x:v>
      </x:c>
      <x:c r="G1471" s="7" t="str">
        <x:v>hold-up tomography</x:v>
      </x:c>
      <x:c r="H1471" s="7" t="n">
        <x:v>1</x:v>
      </x:c>
      <x:c r="I1471" s="7" t="str"/>
      <x:c r="J1471" s="7" t="str"/>
      <x:c r="K1471" s="7" t="str"/>
      <x:c r="L1471" s="7" t="str"/>
      <x:c r="M1471" s="7" t="str"/>
      <x:c r="N1471" s="7" t="str"/>
      <x:c r="O1471" s="7" t="str">
        <x:f>IF(N1471="","OPEN",IF(OR(I1471="",J1471="",K1471="",L1471="",M1471=""),"FAIL","PASS"))</x:f>
        <x:v>OPEN</x:v>
      </x:c>
    </x:row>
    <x:row r="1472">
      <x:c r="B1472" s="7" t="str">
        <x:v>CH-PEA-B-Y2-05-2</x:v>
      </x:c>
      <x:c r="C1472" s="7" t="str">
        <x:v>PEA-B-Y2</x:v>
      </x:c>
      <x:c r="D1472" s="7" t="str">
        <x:v>BLD-B</x:v>
      </x:c>
      <x:c r="E1472" s="7" t="str">
        <x:v>BL-Y</x:v>
      </x:c>
      <x:c r="F1472" s="7" t="str">
        <x:v>MF-05</x:v>
      </x:c>
      <x:c r="G1472" s="7" t="str">
        <x:v>hold-up tomography</x:v>
      </x:c>
      <x:c r="H1472" s="7" t="n">
        <x:v>2</x:v>
      </x:c>
      <x:c r="I1472" s="7" t="str"/>
      <x:c r="J1472" s="7" t="str"/>
      <x:c r="K1472" s="7" t="str"/>
      <x:c r="L1472" s="7" t="str"/>
      <x:c r="M1472" s="7" t="str"/>
      <x:c r="N1472" s="7" t="str"/>
      <x:c r="O1472" s="7" t="str">
        <x:f>IF(N1472="","OPEN",IF(OR(I1472="",J1472="",K1472="",L1472="",M1472=""),"FAIL","PASS"))</x:f>
        <x:v>OPEN</x:v>
      </x:c>
    </x:row>
    <x:row r="1473">
      <x:c r="B1473" s="7" t="str">
        <x:v>CH-PEA-B-Y2-05-3</x:v>
      </x:c>
      <x:c r="C1473" s="7" t="str">
        <x:v>PEA-B-Y2</x:v>
      </x:c>
      <x:c r="D1473" s="7" t="str">
        <x:v>BLD-B</x:v>
      </x:c>
      <x:c r="E1473" s="7" t="str">
        <x:v>BL-Y</x:v>
      </x:c>
      <x:c r="F1473" s="7" t="str">
        <x:v>MF-05</x:v>
      </x:c>
      <x:c r="G1473" s="7" t="str">
        <x:v>hold-up tomography</x:v>
      </x:c>
      <x:c r="H1473" s="7" t="n">
        <x:v>3</x:v>
      </x:c>
      <x:c r="I1473" s="7" t="str"/>
      <x:c r="J1473" s="7" t="str"/>
      <x:c r="K1473" s="7" t="str"/>
      <x:c r="L1473" s="7" t="str"/>
      <x:c r="M1473" s="7" t="str"/>
      <x:c r="N1473" s="7" t="str"/>
      <x:c r="O1473" s="7" t="str">
        <x:f>IF(N1473="","OPEN",IF(OR(I1473="",J1473="",K1473="",L1473="",M1473=""),"FAIL","PASS"))</x:f>
        <x:v>OPEN</x:v>
      </x:c>
    </x:row>
    <x:row r="1474">
      <x:c r="B1474" s="7" t="str">
        <x:v>CH-PEA-B-Y2-05-4</x:v>
      </x:c>
      <x:c r="C1474" s="7" t="str">
        <x:v>PEA-B-Y2</x:v>
      </x:c>
      <x:c r="D1474" s="7" t="str">
        <x:v>BLD-B</x:v>
      </x:c>
      <x:c r="E1474" s="7" t="str">
        <x:v>BL-Y</x:v>
      </x:c>
      <x:c r="F1474" s="7" t="str">
        <x:v>MF-05</x:v>
      </x:c>
      <x:c r="G1474" s="7" t="str">
        <x:v>hold-up tomography</x:v>
      </x:c>
      <x:c r="H1474" s="7" t="n">
        <x:v>4</x:v>
      </x:c>
      <x:c r="I1474" s="7" t="str"/>
      <x:c r="J1474" s="7" t="str"/>
      <x:c r="K1474" s="7" t="str"/>
      <x:c r="L1474" s="7" t="str"/>
      <x:c r="M1474" s="7" t="str"/>
      <x:c r="N1474" s="7" t="str"/>
      <x:c r="O1474" s="7" t="str">
        <x:f>IF(N1474="","OPEN",IF(OR(I1474="",J1474="",K1474="",L1474="",M1474=""),"FAIL","PASS"))</x:f>
        <x:v>OPEN</x:v>
      </x:c>
    </x:row>
    <x:row r="1475">
      <x:c r="B1475" s="7" t="str">
        <x:v>CH-PEA-B-Y2-05-5</x:v>
      </x:c>
      <x:c r="C1475" s="7" t="str">
        <x:v>PEA-B-Y2</x:v>
      </x:c>
      <x:c r="D1475" s="7" t="str">
        <x:v>BLD-B</x:v>
      </x:c>
      <x:c r="E1475" s="7" t="str">
        <x:v>BL-Y</x:v>
      </x:c>
      <x:c r="F1475" s="7" t="str">
        <x:v>MF-05</x:v>
      </x:c>
      <x:c r="G1475" s="7" t="str">
        <x:v>hold-up tomography</x:v>
      </x:c>
      <x:c r="H1475" s="7" t="n">
        <x:v>5</x:v>
      </x:c>
      <x:c r="I1475" s="7" t="str"/>
      <x:c r="J1475" s="7" t="str"/>
      <x:c r="K1475" s="7" t="str"/>
      <x:c r="L1475" s="7" t="str"/>
      <x:c r="M1475" s="7" t="str"/>
      <x:c r="N1475" s="7" t="str"/>
      <x:c r="O1475" s="7" t="str">
        <x:f>IF(N1475="","OPEN",IF(OR(I1475="",J1475="",K1475="",L1475="",M1475=""),"FAIL","PASS"))</x:f>
        <x:v>OPEN</x:v>
      </x:c>
    </x:row>
    <x:row r="1476">
      <x:c r="B1476" s="7" t="str">
        <x:v>CH-PEA-B-Y2-05-6</x:v>
      </x:c>
      <x:c r="C1476" s="7" t="str">
        <x:v>PEA-B-Y2</x:v>
      </x:c>
      <x:c r="D1476" s="7" t="str">
        <x:v>BLD-B</x:v>
      </x:c>
      <x:c r="E1476" s="7" t="str">
        <x:v>BL-Y</x:v>
      </x:c>
      <x:c r="F1476" s="7" t="str">
        <x:v>MF-05</x:v>
      </x:c>
      <x:c r="G1476" s="7" t="str">
        <x:v>hold-up tomography</x:v>
      </x:c>
      <x:c r="H1476" s="7" t="n">
        <x:v>6</x:v>
      </x:c>
      <x:c r="I1476" s="7" t="str"/>
      <x:c r="J1476" s="7" t="str"/>
      <x:c r="K1476" s="7" t="str"/>
      <x:c r="L1476" s="7" t="str"/>
      <x:c r="M1476" s="7" t="str"/>
      <x:c r="N1476" s="7" t="str"/>
      <x:c r="O1476" s="7" t="str">
        <x:f>IF(N1476="","OPEN",IF(OR(I1476="",J1476="",K1476="",L1476="",M1476=""),"FAIL","PASS"))</x:f>
        <x:v>OPEN</x:v>
      </x:c>
    </x:row>
    <x:row r="1477">
      <x:c r="B1477" s="7" t="str">
        <x:v>CH-PEA-B-Y2-06-1</x:v>
      </x:c>
      <x:c r="C1477" s="7" t="str">
        <x:v>PEA-B-Y2</x:v>
      </x:c>
      <x:c r="D1477" s="7" t="str">
        <x:v>BLD-B</x:v>
      </x:c>
      <x:c r="E1477" s="7" t="str">
        <x:v>BL-Y</x:v>
      </x:c>
      <x:c r="F1477" s="7" t="str">
        <x:v>MF-06</x:v>
      </x:c>
      <x:c r="G1477" s="7" t="str">
        <x:v>pan level</x:v>
      </x:c>
      <x:c r="H1477" s="7" t="n">
        <x:v>1</x:v>
      </x:c>
      <x:c r="I1477" s="7" t="str"/>
      <x:c r="J1477" s="7" t="str"/>
      <x:c r="K1477" s="7" t="str"/>
      <x:c r="L1477" s="7" t="str"/>
      <x:c r="M1477" s="7" t="str"/>
      <x:c r="N1477" s="7" t="str"/>
      <x:c r="O1477" s="7" t="str">
        <x:f>IF(N1477="","OPEN",IF(OR(I1477="",J1477="",K1477="",L1477="",M1477=""),"FAIL","PASS"))</x:f>
        <x:v>OPEN</x:v>
      </x:c>
    </x:row>
    <x:row r="1478">
      <x:c r="B1478" s="7" t="str">
        <x:v>CH-PEA-B-Y2-06-2</x:v>
      </x:c>
      <x:c r="C1478" s="7" t="str">
        <x:v>PEA-B-Y2</x:v>
      </x:c>
      <x:c r="D1478" s="7" t="str">
        <x:v>BLD-B</x:v>
      </x:c>
      <x:c r="E1478" s="7" t="str">
        <x:v>BL-Y</x:v>
      </x:c>
      <x:c r="F1478" s="7" t="str">
        <x:v>MF-06</x:v>
      </x:c>
      <x:c r="G1478" s="7" t="str">
        <x:v>pan level</x:v>
      </x:c>
      <x:c r="H1478" s="7" t="n">
        <x:v>2</x:v>
      </x:c>
      <x:c r="I1478" s="7" t="str"/>
      <x:c r="J1478" s="7" t="str"/>
      <x:c r="K1478" s="7" t="str"/>
      <x:c r="L1478" s="7" t="str"/>
      <x:c r="M1478" s="7" t="str"/>
      <x:c r="N1478" s="7" t="str"/>
      <x:c r="O1478" s="7" t="str">
        <x:f>IF(N1478="","OPEN",IF(OR(I1478="",J1478="",K1478="",L1478="",M1478=""),"FAIL","PASS"))</x:f>
        <x:v>OPEN</x:v>
      </x:c>
    </x:row>
    <x:row r="1479">
      <x:c r="B1479" s="7" t="str">
        <x:v>CH-PEA-B-Y2-06-3</x:v>
      </x:c>
      <x:c r="C1479" s="7" t="str">
        <x:v>PEA-B-Y2</x:v>
      </x:c>
      <x:c r="D1479" s="7" t="str">
        <x:v>BLD-B</x:v>
      </x:c>
      <x:c r="E1479" s="7" t="str">
        <x:v>BL-Y</x:v>
      </x:c>
      <x:c r="F1479" s="7" t="str">
        <x:v>MF-06</x:v>
      </x:c>
      <x:c r="G1479" s="7" t="str">
        <x:v>pan level</x:v>
      </x:c>
      <x:c r="H1479" s="7" t="n">
        <x:v>3</x:v>
      </x:c>
      <x:c r="I1479" s="7" t="str"/>
      <x:c r="J1479" s="7" t="str"/>
      <x:c r="K1479" s="7" t="str"/>
      <x:c r="L1479" s="7" t="str"/>
      <x:c r="M1479" s="7" t="str"/>
      <x:c r="N1479" s="7" t="str"/>
      <x:c r="O1479" s="7" t="str">
        <x:f>IF(N1479="","OPEN",IF(OR(I1479="",J1479="",K1479="",L1479="",M1479=""),"FAIL","PASS"))</x:f>
        <x:v>OPEN</x:v>
      </x:c>
    </x:row>
    <x:row r="1480">
      <x:c r="B1480" s="7" t="str">
        <x:v>CH-PEA-B-Y2-06-4</x:v>
      </x:c>
      <x:c r="C1480" s="7" t="str">
        <x:v>PEA-B-Y2</x:v>
      </x:c>
      <x:c r="D1480" s="7" t="str">
        <x:v>BLD-B</x:v>
      </x:c>
      <x:c r="E1480" s="7" t="str">
        <x:v>BL-Y</x:v>
      </x:c>
      <x:c r="F1480" s="7" t="str">
        <x:v>MF-06</x:v>
      </x:c>
      <x:c r="G1480" s="7" t="str">
        <x:v>pan level</x:v>
      </x:c>
      <x:c r="H1480" s="7" t="n">
        <x:v>4</x:v>
      </x:c>
      <x:c r="I1480" s="7" t="str"/>
      <x:c r="J1480" s="7" t="str"/>
      <x:c r="K1480" s="7" t="str"/>
      <x:c r="L1480" s="7" t="str"/>
      <x:c r="M1480" s="7" t="str"/>
      <x:c r="N1480" s="7" t="str"/>
      <x:c r="O1480" s="7" t="str">
        <x:f>IF(N1480="","OPEN",IF(OR(I1480="",J1480="",K1480="",L1480="",M1480=""),"FAIL","PASS"))</x:f>
        <x:v>OPEN</x:v>
      </x:c>
    </x:row>
    <x:row r="1481">
      <x:c r="B1481" s="7" t="str">
        <x:v>CH-PEA-B-Y2-06-5</x:v>
      </x:c>
      <x:c r="C1481" s="7" t="str">
        <x:v>PEA-B-Y2</x:v>
      </x:c>
      <x:c r="D1481" s="7" t="str">
        <x:v>BLD-B</x:v>
      </x:c>
      <x:c r="E1481" s="7" t="str">
        <x:v>BL-Y</x:v>
      </x:c>
      <x:c r="F1481" s="7" t="str">
        <x:v>MF-06</x:v>
      </x:c>
      <x:c r="G1481" s="7" t="str">
        <x:v>pan level</x:v>
      </x:c>
      <x:c r="H1481" s="7" t="n">
        <x:v>5</x:v>
      </x:c>
      <x:c r="I1481" s="7" t="str"/>
      <x:c r="J1481" s="7" t="str"/>
      <x:c r="K1481" s="7" t="str"/>
      <x:c r="L1481" s="7" t="str"/>
      <x:c r="M1481" s="7" t="str"/>
      <x:c r="N1481" s="7" t="str"/>
      <x:c r="O1481" s="7" t="str">
        <x:f>IF(N1481="","OPEN",IF(OR(I1481="",J1481="",K1481="",L1481="",M1481=""),"FAIL","PASS"))</x:f>
        <x:v>OPEN</x:v>
      </x:c>
    </x:row>
    <x:row r="1482">
      <x:c r="B1482" s="7" t="str">
        <x:v>CH-PEA-B-Y2-06-6</x:v>
      </x:c>
      <x:c r="C1482" s="7" t="str">
        <x:v>PEA-B-Y2</x:v>
      </x:c>
      <x:c r="D1482" s="7" t="str">
        <x:v>BLD-B</x:v>
      </x:c>
      <x:c r="E1482" s="7" t="str">
        <x:v>BL-Y</x:v>
      </x:c>
      <x:c r="F1482" s="7" t="str">
        <x:v>MF-06</x:v>
      </x:c>
      <x:c r="G1482" s="7" t="str">
        <x:v>pan level</x:v>
      </x:c>
      <x:c r="H1482" s="7" t="n">
        <x:v>6</x:v>
      </x:c>
      <x:c r="I1482" s="7" t="str"/>
      <x:c r="J1482" s="7" t="str"/>
      <x:c r="K1482" s="7" t="str"/>
      <x:c r="L1482" s="7" t="str"/>
      <x:c r="M1482" s="7" t="str"/>
      <x:c r="N1482" s="7" t="str"/>
      <x:c r="O1482" s="7" t="str">
        <x:f>IF(N1482="","OPEN",IF(OR(I1482="",J1482="",K1482="",L1482="",M1482=""),"FAIL","PASS"))</x:f>
        <x:v>OPEN</x:v>
      </x:c>
    </x:row>
    <x:row r="1483">
      <x:c r="B1483" s="7" t="str">
        <x:v>CH-PEA-B-Y2-07-1</x:v>
      </x:c>
      <x:c r="C1483" s="7" t="str">
        <x:v>PEA-B-Y2</x:v>
      </x:c>
      <x:c r="D1483" s="7" t="str">
        <x:v>BLD-B</x:v>
      </x:c>
      <x:c r="E1483" s="7" t="str">
        <x:v>BL-Y</x:v>
      </x:c>
      <x:c r="F1483" s="7" t="str">
        <x:v>MF-07</x:v>
      </x:c>
      <x:c r="G1483" s="7" t="str">
        <x:v>normal receiver mass</x:v>
      </x:c>
      <x:c r="H1483" s="7" t="n">
        <x:v>1</x:v>
      </x:c>
      <x:c r="I1483" s="7" t="str"/>
      <x:c r="J1483" s="7" t="str"/>
      <x:c r="K1483" s="7" t="str"/>
      <x:c r="L1483" s="7" t="str"/>
      <x:c r="M1483" s="7" t="str"/>
      <x:c r="N1483" s="7" t="str"/>
      <x:c r="O1483" s="7" t="str">
        <x:f>IF(N1483="","OPEN",IF(OR(I1483="",J1483="",K1483="",L1483="",M1483=""),"FAIL","PASS"))</x:f>
        <x:v>OPEN</x:v>
      </x:c>
    </x:row>
    <x:row r="1484">
      <x:c r="B1484" s="7" t="str">
        <x:v>CH-PEA-B-Y2-07-2</x:v>
      </x:c>
      <x:c r="C1484" s="7" t="str">
        <x:v>PEA-B-Y2</x:v>
      </x:c>
      <x:c r="D1484" s="7" t="str">
        <x:v>BLD-B</x:v>
      </x:c>
      <x:c r="E1484" s="7" t="str">
        <x:v>BL-Y</x:v>
      </x:c>
      <x:c r="F1484" s="7" t="str">
        <x:v>MF-07</x:v>
      </x:c>
      <x:c r="G1484" s="7" t="str">
        <x:v>normal receiver mass</x:v>
      </x:c>
      <x:c r="H1484" s="7" t="n">
        <x:v>2</x:v>
      </x:c>
      <x:c r="I1484" s="7" t="str"/>
      <x:c r="J1484" s="7" t="str"/>
      <x:c r="K1484" s="7" t="str"/>
      <x:c r="L1484" s="7" t="str"/>
      <x:c r="M1484" s="7" t="str"/>
      <x:c r="N1484" s="7" t="str"/>
      <x:c r="O1484" s="7" t="str">
        <x:f>IF(N1484="","OPEN",IF(OR(I1484="",J1484="",K1484="",L1484="",M1484=""),"FAIL","PASS"))</x:f>
        <x:v>OPEN</x:v>
      </x:c>
    </x:row>
    <x:row r="1485">
      <x:c r="B1485" s="7" t="str">
        <x:v>CH-PEA-B-Y2-07-3</x:v>
      </x:c>
      <x:c r="C1485" s="7" t="str">
        <x:v>PEA-B-Y2</x:v>
      </x:c>
      <x:c r="D1485" s="7" t="str">
        <x:v>BLD-B</x:v>
      </x:c>
      <x:c r="E1485" s="7" t="str">
        <x:v>BL-Y</x:v>
      </x:c>
      <x:c r="F1485" s="7" t="str">
        <x:v>MF-07</x:v>
      </x:c>
      <x:c r="G1485" s="7" t="str">
        <x:v>normal receiver mass</x:v>
      </x:c>
      <x:c r="H1485" s="7" t="n">
        <x:v>3</x:v>
      </x:c>
      <x:c r="I1485" s="7" t="str"/>
      <x:c r="J1485" s="7" t="str"/>
      <x:c r="K1485" s="7" t="str"/>
      <x:c r="L1485" s="7" t="str"/>
      <x:c r="M1485" s="7" t="str"/>
      <x:c r="N1485" s="7" t="str"/>
      <x:c r="O1485" s="7" t="str">
        <x:f>IF(N1485="","OPEN",IF(OR(I1485="",J1485="",K1485="",L1485="",M1485=""),"FAIL","PASS"))</x:f>
        <x:v>OPEN</x:v>
      </x:c>
    </x:row>
    <x:row r="1486">
      <x:c r="B1486" s="7" t="str">
        <x:v>CH-PEA-B-Y2-07-4</x:v>
      </x:c>
      <x:c r="C1486" s="7" t="str">
        <x:v>PEA-B-Y2</x:v>
      </x:c>
      <x:c r="D1486" s="7" t="str">
        <x:v>BLD-B</x:v>
      </x:c>
      <x:c r="E1486" s="7" t="str">
        <x:v>BL-Y</x:v>
      </x:c>
      <x:c r="F1486" s="7" t="str">
        <x:v>MF-07</x:v>
      </x:c>
      <x:c r="G1486" s="7" t="str">
        <x:v>normal receiver mass</x:v>
      </x:c>
      <x:c r="H1486" s="7" t="n">
        <x:v>4</x:v>
      </x:c>
      <x:c r="I1486" s="7" t="str"/>
      <x:c r="J1486" s="7" t="str"/>
      <x:c r="K1486" s="7" t="str"/>
      <x:c r="L1486" s="7" t="str"/>
      <x:c r="M1486" s="7" t="str"/>
      <x:c r="N1486" s="7" t="str"/>
      <x:c r="O1486" s="7" t="str">
        <x:f>IF(N1486="","OPEN",IF(OR(I1486="",J1486="",K1486="",L1486="",M1486=""),"FAIL","PASS"))</x:f>
        <x:v>OPEN</x:v>
      </x:c>
    </x:row>
    <x:row r="1487">
      <x:c r="B1487" s="7" t="str">
        <x:v>CH-PEA-B-Y2-07-5</x:v>
      </x:c>
      <x:c r="C1487" s="7" t="str">
        <x:v>PEA-B-Y2</x:v>
      </x:c>
      <x:c r="D1487" s="7" t="str">
        <x:v>BLD-B</x:v>
      </x:c>
      <x:c r="E1487" s="7" t="str">
        <x:v>BL-Y</x:v>
      </x:c>
      <x:c r="F1487" s="7" t="str">
        <x:v>MF-07</x:v>
      </x:c>
      <x:c r="G1487" s="7" t="str">
        <x:v>normal receiver mass</x:v>
      </x:c>
      <x:c r="H1487" s="7" t="n">
        <x:v>5</x:v>
      </x:c>
      <x:c r="I1487" s="7" t="str"/>
      <x:c r="J1487" s="7" t="str"/>
      <x:c r="K1487" s="7" t="str"/>
      <x:c r="L1487" s="7" t="str"/>
      <x:c r="M1487" s="7" t="str"/>
      <x:c r="N1487" s="7" t="str"/>
      <x:c r="O1487" s="7" t="str">
        <x:f>IF(N1487="","OPEN",IF(OR(I1487="",J1487="",K1487="",L1487="",M1487=""),"FAIL","PASS"))</x:f>
        <x:v>OPEN</x:v>
      </x:c>
    </x:row>
    <x:row r="1488">
      <x:c r="B1488" s="7" t="str">
        <x:v>CH-PEA-B-Y2-07-6</x:v>
      </x:c>
      <x:c r="C1488" s="7" t="str">
        <x:v>PEA-B-Y2</x:v>
      </x:c>
      <x:c r="D1488" s="7" t="str">
        <x:v>BLD-B</x:v>
      </x:c>
      <x:c r="E1488" s="7" t="str">
        <x:v>BL-Y</x:v>
      </x:c>
      <x:c r="F1488" s="7" t="str">
        <x:v>MF-07</x:v>
      </x:c>
      <x:c r="G1488" s="7" t="str">
        <x:v>normal receiver mass</x:v>
      </x:c>
      <x:c r="H1488" s="7" t="n">
        <x:v>6</x:v>
      </x:c>
      <x:c r="I1488" s="7" t="str"/>
      <x:c r="J1488" s="7" t="str"/>
      <x:c r="K1488" s="7" t="str"/>
      <x:c r="L1488" s="7" t="str"/>
      <x:c r="M1488" s="7" t="str"/>
      <x:c r="N1488" s="7" t="str"/>
      <x:c r="O1488" s="7" t="str">
        <x:f>IF(N1488="","OPEN",IF(OR(I1488="",J1488="",K1488="",L1488="",M1488=""),"FAIL","PASS"))</x:f>
        <x:v>OPEN</x:v>
      </x:c>
    </x:row>
    <x:row r="1489">
      <x:c r="B1489" s="7" t="str">
        <x:v>CH-PEA-B-Y2-08-1</x:v>
      </x:c>
      <x:c r="C1489" s="7" t="str">
        <x:v>PEA-B-Y2</x:v>
      </x:c>
      <x:c r="D1489" s="7" t="str">
        <x:v>BLD-B</x:v>
      </x:c>
      <x:c r="E1489" s="7" t="str">
        <x:v>BL-Y</x:v>
      </x:c>
      <x:c r="F1489" s="7" t="str">
        <x:v>MF-08</x:v>
      </x:c>
      <x:c r="G1489" s="7" t="str">
        <x:v>casualty receiver mass</x:v>
      </x:c>
      <x:c r="H1489" s="7" t="n">
        <x:v>1</x:v>
      </x:c>
      <x:c r="I1489" s="7" t="str"/>
      <x:c r="J1489" s="7" t="str"/>
      <x:c r="K1489" s="7" t="str"/>
      <x:c r="L1489" s="7" t="str"/>
      <x:c r="M1489" s="7" t="str"/>
      <x:c r="N1489" s="7" t="str"/>
      <x:c r="O1489" s="7" t="str">
        <x:f>IF(N1489="","OPEN",IF(OR(I1489="",J1489="",K1489="",L1489="",M1489=""),"FAIL","PASS"))</x:f>
        <x:v>OPEN</x:v>
      </x:c>
    </x:row>
    <x:row r="1490">
      <x:c r="B1490" s="7" t="str">
        <x:v>CH-PEA-B-Y2-08-2</x:v>
      </x:c>
      <x:c r="C1490" s="7" t="str">
        <x:v>PEA-B-Y2</x:v>
      </x:c>
      <x:c r="D1490" s="7" t="str">
        <x:v>BLD-B</x:v>
      </x:c>
      <x:c r="E1490" s="7" t="str">
        <x:v>BL-Y</x:v>
      </x:c>
      <x:c r="F1490" s="7" t="str">
        <x:v>MF-08</x:v>
      </x:c>
      <x:c r="G1490" s="7" t="str">
        <x:v>casualty receiver mass</x:v>
      </x:c>
      <x:c r="H1490" s="7" t="n">
        <x:v>2</x:v>
      </x:c>
      <x:c r="I1490" s="7" t="str"/>
      <x:c r="J1490" s="7" t="str"/>
      <x:c r="K1490" s="7" t="str"/>
      <x:c r="L1490" s="7" t="str"/>
      <x:c r="M1490" s="7" t="str"/>
      <x:c r="N1490" s="7" t="str"/>
      <x:c r="O1490" s="7" t="str">
        <x:f>IF(N1490="","OPEN",IF(OR(I1490="",J1490="",K1490="",L1490="",M1490=""),"FAIL","PASS"))</x:f>
        <x:v>OPEN</x:v>
      </x:c>
    </x:row>
    <x:row r="1491">
      <x:c r="B1491" s="7" t="str">
        <x:v>CH-PEA-B-Y2-08-3</x:v>
      </x:c>
      <x:c r="C1491" s="7" t="str">
        <x:v>PEA-B-Y2</x:v>
      </x:c>
      <x:c r="D1491" s="7" t="str">
        <x:v>BLD-B</x:v>
      </x:c>
      <x:c r="E1491" s="7" t="str">
        <x:v>BL-Y</x:v>
      </x:c>
      <x:c r="F1491" s="7" t="str">
        <x:v>MF-08</x:v>
      </x:c>
      <x:c r="G1491" s="7" t="str">
        <x:v>casualty receiver mass</x:v>
      </x:c>
      <x:c r="H1491" s="7" t="n">
        <x:v>3</x:v>
      </x:c>
      <x:c r="I1491" s="7" t="str"/>
      <x:c r="J1491" s="7" t="str"/>
      <x:c r="K1491" s="7" t="str"/>
      <x:c r="L1491" s="7" t="str"/>
      <x:c r="M1491" s="7" t="str"/>
      <x:c r="N1491" s="7" t="str"/>
      <x:c r="O1491" s="7" t="str">
        <x:f>IF(N1491="","OPEN",IF(OR(I1491="",J1491="",K1491="",L1491="",M1491=""),"FAIL","PASS"))</x:f>
        <x:v>OPEN</x:v>
      </x:c>
    </x:row>
    <x:row r="1492">
      <x:c r="B1492" s="7" t="str">
        <x:v>CH-PEA-B-Y2-08-4</x:v>
      </x:c>
      <x:c r="C1492" s="7" t="str">
        <x:v>PEA-B-Y2</x:v>
      </x:c>
      <x:c r="D1492" s="7" t="str">
        <x:v>BLD-B</x:v>
      </x:c>
      <x:c r="E1492" s="7" t="str">
        <x:v>BL-Y</x:v>
      </x:c>
      <x:c r="F1492" s="7" t="str">
        <x:v>MF-08</x:v>
      </x:c>
      <x:c r="G1492" s="7" t="str">
        <x:v>casualty receiver mass</x:v>
      </x:c>
      <x:c r="H1492" s="7" t="n">
        <x:v>4</x:v>
      </x:c>
      <x:c r="I1492" s="7" t="str"/>
      <x:c r="J1492" s="7" t="str"/>
      <x:c r="K1492" s="7" t="str"/>
      <x:c r="L1492" s="7" t="str"/>
      <x:c r="M1492" s="7" t="str"/>
      <x:c r="N1492" s="7" t="str"/>
      <x:c r="O1492" s="7" t="str">
        <x:f>IF(N1492="","OPEN",IF(OR(I1492="",J1492="",K1492="",L1492="",M1492=""),"FAIL","PASS"))</x:f>
        <x:v>OPEN</x:v>
      </x:c>
    </x:row>
    <x:row r="1493">
      <x:c r="B1493" s="7" t="str">
        <x:v>CH-PEA-B-Y2-08-5</x:v>
      </x:c>
      <x:c r="C1493" s="7" t="str">
        <x:v>PEA-B-Y2</x:v>
      </x:c>
      <x:c r="D1493" s="7" t="str">
        <x:v>BLD-B</x:v>
      </x:c>
      <x:c r="E1493" s="7" t="str">
        <x:v>BL-Y</x:v>
      </x:c>
      <x:c r="F1493" s="7" t="str">
        <x:v>MF-08</x:v>
      </x:c>
      <x:c r="G1493" s="7" t="str">
        <x:v>casualty receiver mass</x:v>
      </x:c>
      <x:c r="H1493" s="7" t="n">
        <x:v>5</x:v>
      </x:c>
      <x:c r="I1493" s="7" t="str"/>
      <x:c r="J1493" s="7" t="str"/>
      <x:c r="K1493" s="7" t="str"/>
      <x:c r="L1493" s="7" t="str"/>
      <x:c r="M1493" s="7" t="str"/>
      <x:c r="N1493" s="7" t="str"/>
      <x:c r="O1493" s="7" t="str">
        <x:f>IF(N1493="","OPEN",IF(OR(I1493="",J1493="",K1493="",L1493="",M1493=""),"FAIL","PASS"))</x:f>
        <x:v>OPEN</x:v>
      </x:c>
    </x:row>
    <x:row r="1494">
      <x:c r="B1494" s="7" t="str">
        <x:v>CH-PEA-B-Y2-08-6</x:v>
      </x:c>
      <x:c r="C1494" s="7" t="str">
        <x:v>PEA-B-Y2</x:v>
      </x:c>
      <x:c r="D1494" s="7" t="str">
        <x:v>BLD-B</x:v>
      </x:c>
      <x:c r="E1494" s="7" t="str">
        <x:v>BL-Y</x:v>
      </x:c>
      <x:c r="F1494" s="7" t="str">
        <x:v>MF-08</x:v>
      </x:c>
      <x:c r="G1494" s="7" t="str">
        <x:v>casualty receiver mass</x:v>
      </x:c>
      <x:c r="H1494" s="7" t="n">
        <x:v>6</x:v>
      </x:c>
      <x:c r="I1494" s="7" t="str"/>
      <x:c r="J1494" s="7" t="str"/>
      <x:c r="K1494" s="7" t="str"/>
      <x:c r="L1494" s="7" t="str"/>
      <x:c r="M1494" s="7" t="str"/>
      <x:c r="N1494" s="7" t="str"/>
      <x:c r="O1494" s="7" t="str">
        <x:f>IF(N1494="","OPEN",IF(OR(I1494="",J1494="",K1494="",L1494="",M1494=""),"FAIL","PASS"))</x:f>
        <x:v>OPEN</x:v>
      </x:c>
    </x:row>
    <x:row r="1495">
      <x:c r="B1495" s="7" t="str">
        <x:v>CH-PEA-B-Y2-09-1</x:v>
      </x:c>
      <x:c r="C1495" s="7" t="str">
        <x:v>PEA-B-Y2</x:v>
      </x:c>
      <x:c r="D1495" s="7" t="str">
        <x:v>BLD-B</x:v>
      </x:c>
      <x:c r="E1495" s="7" t="str">
        <x:v>BL-Y</x:v>
      </x:c>
      <x:c r="F1495" s="7" t="str">
        <x:v>MF-09</x:v>
      </x:c>
      <x:c r="G1495" s="7" t="str">
        <x:v>geometry and slope</x:v>
      </x:c>
      <x:c r="H1495" s="7" t="n">
        <x:v>1</x:v>
      </x:c>
      <x:c r="I1495" s="7" t="str"/>
      <x:c r="J1495" s="7" t="str"/>
      <x:c r="K1495" s="7" t="str"/>
      <x:c r="L1495" s="7" t="str"/>
      <x:c r="M1495" s="7" t="str"/>
      <x:c r="N1495" s="7" t="str"/>
      <x:c r="O1495" s="7" t="str">
        <x:f>IF(N1495="","OPEN",IF(OR(I1495="",J1495="",K1495="",L1495="",M1495=""),"FAIL","PASS"))</x:f>
        <x:v>OPEN</x:v>
      </x:c>
    </x:row>
    <x:row r="1496">
      <x:c r="B1496" s="7" t="str">
        <x:v>CH-PEA-B-Y2-09-2</x:v>
      </x:c>
      <x:c r="C1496" s="7" t="str">
        <x:v>PEA-B-Y2</x:v>
      </x:c>
      <x:c r="D1496" s="7" t="str">
        <x:v>BLD-B</x:v>
      </x:c>
      <x:c r="E1496" s="7" t="str">
        <x:v>BL-Y</x:v>
      </x:c>
      <x:c r="F1496" s="7" t="str">
        <x:v>MF-09</x:v>
      </x:c>
      <x:c r="G1496" s="7" t="str">
        <x:v>geometry and slope</x:v>
      </x:c>
      <x:c r="H1496" s="7" t="n">
        <x:v>2</x:v>
      </x:c>
      <x:c r="I1496" s="7" t="str"/>
      <x:c r="J1496" s="7" t="str"/>
      <x:c r="K1496" s="7" t="str"/>
      <x:c r="L1496" s="7" t="str"/>
      <x:c r="M1496" s="7" t="str"/>
      <x:c r="N1496" s="7" t="str"/>
      <x:c r="O1496" s="7" t="str">
        <x:f>IF(N1496="","OPEN",IF(OR(I1496="",J1496="",K1496="",L1496="",M1496=""),"FAIL","PASS"))</x:f>
        <x:v>OPEN</x:v>
      </x:c>
    </x:row>
    <x:row r="1497">
      <x:c r="B1497" s="7" t="str">
        <x:v>CH-PEA-B-Y2-09-3</x:v>
      </x:c>
      <x:c r="C1497" s="7" t="str">
        <x:v>PEA-B-Y2</x:v>
      </x:c>
      <x:c r="D1497" s="7" t="str">
        <x:v>BLD-B</x:v>
      </x:c>
      <x:c r="E1497" s="7" t="str">
        <x:v>BL-Y</x:v>
      </x:c>
      <x:c r="F1497" s="7" t="str">
        <x:v>MF-09</x:v>
      </x:c>
      <x:c r="G1497" s="7" t="str">
        <x:v>geometry and slope</x:v>
      </x:c>
      <x:c r="H1497" s="7" t="n">
        <x:v>3</x:v>
      </x:c>
      <x:c r="I1497" s="7" t="str"/>
      <x:c r="J1497" s="7" t="str"/>
      <x:c r="K1497" s="7" t="str"/>
      <x:c r="L1497" s="7" t="str"/>
      <x:c r="M1497" s="7" t="str"/>
      <x:c r="N1497" s="7" t="str"/>
      <x:c r="O1497" s="7" t="str">
        <x:f>IF(N1497="","OPEN",IF(OR(I1497="",J1497="",K1497="",L1497="",M1497=""),"FAIL","PASS"))</x:f>
        <x:v>OPEN</x:v>
      </x:c>
    </x:row>
    <x:row r="1498">
      <x:c r="B1498" s="7" t="str">
        <x:v>CH-PEA-B-Y2-09-4</x:v>
      </x:c>
      <x:c r="C1498" s="7" t="str">
        <x:v>PEA-B-Y2</x:v>
      </x:c>
      <x:c r="D1498" s="7" t="str">
        <x:v>BLD-B</x:v>
      </x:c>
      <x:c r="E1498" s="7" t="str">
        <x:v>BL-Y</x:v>
      </x:c>
      <x:c r="F1498" s="7" t="str">
        <x:v>MF-09</x:v>
      </x:c>
      <x:c r="G1498" s="7" t="str">
        <x:v>geometry and slope</x:v>
      </x:c>
      <x:c r="H1498" s="7" t="n">
        <x:v>4</x:v>
      </x:c>
      <x:c r="I1498" s="7" t="str"/>
      <x:c r="J1498" s="7" t="str"/>
      <x:c r="K1498" s="7" t="str"/>
      <x:c r="L1498" s="7" t="str"/>
      <x:c r="M1498" s="7" t="str"/>
      <x:c r="N1498" s="7" t="str"/>
      <x:c r="O1498" s="7" t="str">
        <x:f>IF(N1498="","OPEN",IF(OR(I1498="",J1498="",K1498="",L1498="",M1498=""),"FAIL","PASS"))</x:f>
        <x:v>OPEN</x:v>
      </x:c>
    </x:row>
    <x:row r="1499">
      <x:c r="B1499" s="7" t="str">
        <x:v>CH-PEA-B-Y2-09-5</x:v>
      </x:c>
      <x:c r="C1499" s="7" t="str">
        <x:v>PEA-B-Y2</x:v>
      </x:c>
      <x:c r="D1499" s="7" t="str">
        <x:v>BLD-B</x:v>
      </x:c>
      <x:c r="E1499" s="7" t="str">
        <x:v>BL-Y</x:v>
      </x:c>
      <x:c r="F1499" s="7" t="str">
        <x:v>MF-09</x:v>
      </x:c>
      <x:c r="G1499" s="7" t="str">
        <x:v>geometry and slope</x:v>
      </x:c>
      <x:c r="H1499" s="7" t="n">
        <x:v>5</x:v>
      </x:c>
      <x:c r="I1499" s="7" t="str"/>
      <x:c r="J1499" s="7" t="str"/>
      <x:c r="K1499" s="7" t="str"/>
      <x:c r="L1499" s="7" t="str"/>
      <x:c r="M1499" s="7" t="str"/>
      <x:c r="N1499" s="7" t="str"/>
      <x:c r="O1499" s="7" t="str">
        <x:f>IF(N1499="","OPEN",IF(OR(I1499="",J1499="",K1499="",L1499="",M1499=""),"FAIL","PASS"))</x:f>
        <x:v>OPEN</x:v>
      </x:c>
    </x:row>
    <x:row r="1500">
      <x:c r="B1500" s="7" t="str">
        <x:v>CH-PEA-B-Y2-09-6</x:v>
      </x:c>
      <x:c r="C1500" s="7" t="str">
        <x:v>PEA-B-Y2</x:v>
      </x:c>
      <x:c r="D1500" s="7" t="str">
        <x:v>BLD-B</x:v>
      </x:c>
      <x:c r="E1500" s="7" t="str">
        <x:v>BL-Y</x:v>
      </x:c>
      <x:c r="F1500" s="7" t="str">
        <x:v>MF-09</x:v>
      </x:c>
      <x:c r="G1500" s="7" t="str">
        <x:v>geometry and slope</x:v>
      </x:c>
      <x:c r="H1500" s="7" t="n">
        <x:v>6</x:v>
      </x:c>
      <x:c r="I1500" s="7" t="str"/>
      <x:c r="J1500" s="7" t="str"/>
      <x:c r="K1500" s="7" t="str"/>
      <x:c r="L1500" s="7" t="str"/>
      <x:c r="M1500" s="7" t="str"/>
      <x:c r="N1500" s="7" t="str"/>
      <x:c r="O1500" s="7" t="str">
        <x:f>IF(N1500="","OPEN",IF(OR(I1500="",J1500="",K1500="",L1500="",M1500=""),"FAIL","PASS"))</x:f>
        <x:v>OPEN</x:v>
      </x:c>
    </x:row>
    <x:row r="1501">
      <x:c r="B1501" s="7" t="str">
        <x:v>CH-PEA-B-Y2-10-1</x:v>
      </x:c>
      <x:c r="C1501" s="7" t="str">
        <x:v>PEA-B-Y2</x:v>
      </x:c>
      <x:c r="D1501" s="7" t="str">
        <x:v>BLD-B</x:v>
      </x:c>
      <x:c r="E1501" s="7" t="str">
        <x:v>BL-Y</x:v>
      </x:c>
      <x:c r="F1501" s="7" t="str">
        <x:v>MF-10</x:v>
      </x:c>
      <x:c r="G1501" s="7" t="str">
        <x:v>normal-source path state</x:v>
      </x:c>
      <x:c r="H1501" s="7" t="n">
        <x:v>1</x:v>
      </x:c>
      <x:c r="I1501" s="7" t="str"/>
      <x:c r="J1501" s="7" t="str"/>
      <x:c r="K1501" s="7" t="str"/>
      <x:c r="L1501" s="7" t="str"/>
      <x:c r="M1501" s="7" t="str"/>
      <x:c r="N1501" s="7" t="str"/>
      <x:c r="O1501" s="7" t="str">
        <x:f>IF(N1501="","OPEN",IF(OR(I1501="",J1501="",K1501="",L1501="",M1501=""),"FAIL","PASS"))</x:f>
        <x:v>OPEN</x:v>
      </x:c>
    </x:row>
    <x:row r="1502">
      <x:c r="B1502" s="7" t="str">
        <x:v>CH-PEA-B-Y2-10-2</x:v>
      </x:c>
      <x:c r="C1502" s="7" t="str">
        <x:v>PEA-B-Y2</x:v>
      </x:c>
      <x:c r="D1502" s="7" t="str">
        <x:v>BLD-B</x:v>
      </x:c>
      <x:c r="E1502" s="7" t="str">
        <x:v>BL-Y</x:v>
      </x:c>
      <x:c r="F1502" s="7" t="str">
        <x:v>MF-10</x:v>
      </x:c>
      <x:c r="G1502" s="7" t="str">
        <x:v>normal-source path state</x:v>
      </x:c>
      <x:c r="H1502" s="7" t="n">
        <x:v>2</x:v>
      </x:c>
      <x:c r="I1502" s="7" t="str"/>
      <x:c r="J1502" s="7" t="str"/>
      <x:c r="K1502" s="7" t="str"/>
      <x:c r="L1502" s="7" t="str"/>
      <x:c r="M1502" s="7" t="str"/>
      <x:c r="N1502" s="7" t="str"/>
      <x:c r="O1502" s="7" t="str">
        <x:f>IF(N1502="","OPEN",IF(OR(I1502="",J1502="",K1502="",L1502="",M1502=""),"FAIL","PASS"))</x:f>
        <x:v>OPEN</x:v>
      </x:c>
    </x:row>
    <x:row r="1503">
      <x:c r="B1503" s="7" t="str">
        <x:v>CH-PEA-B-Y2-10-3</x:v>
      </x:c>
      <x:c r="C1503" s="7" t="str">
        <x:v>PEA-B-Y2</x:v>
      </x:c>
      <x:c r="D1503" s="7" t="str">
        <x:v>BLD-B</x:v>
      </x:c>
      <x:c r="E1503" s="7" t="str">
        <x:v>BL-Y</x:v>
      </x:c>
      <x:c r="F1503" s="7" t="str">
        <x:v>MF-10</x:v>
      </x:c>
      <x:c r="G1503" s="7" t="str">
        <x:v>normal-source path state</x:v>
      </x:c>
      <x:c r="H1503" s="7" t="n">
        <x:v>3</x:v>
      </x:c>
      <x:c r="I1503" s="7" t="str"/>
      <x:c r="J1503" s="7" t="str"/>
      <x:c r="K1503" s="7" t="str"/>
      <x:c r="L1503" s="7" t="str"/>
      <x:c r="M1503" s="7" t="str"/>
      <x:c r="N1503" s="7" t="str"/>
      <x:c r="O1503" s="7" t="str">
        <x:f>IF(N1503="","OPEN",IF(OR(I1503="",J1503="",K1503="",L1503="",M1503=""),"FAIL","PASS"))</x:f>
        <x:v>OPEN</x:v>
      </x:c>
    </x:row>
    <x:row r="1504">
      <x:c r="B1504" s="7" t="str">
        <x:v>CH-PEA-B-Y2-10-4</x:v>
      </x:c>
      <x:c r="C1504" s="7" t="str">
        <x:v>PEA-B-Y2</x:v>
      </x:c>
      <x:c r="D1504" s="7" t="str">
        <x:v>BLD-B</x:v>
      </x:c>
      <x:c r="E1504" s="7" t="str">
        <x:v>BL-Y</x:v>
      </x:c>
      <x:c r="F1504" s="7" t="str">
        <x:v>MF-10</x:v>
      </x:c>
      <x:c r="G1504" s="7" t="str">
        <x:v>normal-source path state</x:v>
      </x:c>
      <x:c r="H1504" s="7" t="n">
        <x:v>4</x:v>
      </x:c>
      <x:c r="I1504" s="7" t="str"/>
      <x:c r="J1504" s="7" t="str"/>
      <x:c r="K1504" s="7" t="str"/>
      <x:c r="L1504" s="7" t="str"/>
      <x:c r="M1504" s="7" t="str"/>
      <x:c r="N1504" s="7" t="str"/>
      <x:c r="O1504" s="7" t="str">
        <x:f>IF(N1504="","OPEN",IF(OR(I1504="",J1504="",K1504="",L1504="",M1504=""),"FAIL","PASS"))</x:f>
        <x:v>OPEN</x:v>
      </x:c>
    </x:row>
    <x:row r="1505">
      <x:c r="B1505" s="7" t="str">
        <x:v>CH-PEA-B-Y2-10-5</x:v>
      </x:c>
      <x:c r="C1505" s="7" t="str">
        <x:v>PEA-B-Y2</x:v>
      </x:c>
      <x:c r="D1505" s="7" t="str">
        <x:v>BLD-B</x:v>
      </x:c>
      <x:c r="E1505" s="7" t="str">
        <x:v>BL-Y</x:v>
      </x:c>
      <x:c r="F1505" s="7" t="str">
        <x:v>MF-10</x:v>
      </x:c>
      <x:c r="G1505" s="7" t="str">
        <x:v>normal-source path state</x:v>
      </x:c>
      <x:c r="H1505" s="7" t="n">
        <x:v>5</x:v>
      </x:c>
      <x:c r="I1505" s="7" t="str"/>
      <x:c r="J1505" s="7" t="str"/>
      <x:c r="K1505" s="7" t="str"/>
      <x:c r="L1505" s="7" t="str"/>
      <x:c r="M1505" s="7" t="str"/>
      <x:c r="N1505" s="7" t="str"/>
      <x:c r="O1505" s="7" t="str">
        <x:f>IF(N1505="","OPEN",IF(OR(I1505="",J1505="",K1505="",L1505="",M1505=""),"FAIL","PASS"))</x:f>
        <x:v>OPEN</x:v>
      </x:c>
    </x:row>
    <x:row r="1506">
      <x:c r="B1506" s="7" t="str">
        <x:v>CH-PEA-B-Y2-10-6</x:v>
      </x:c>
      <x:c r="C1506" s="7" t="str">
        <x:v>PEA-B-Y2</x:v>
      </x:c>
      <x:c r="D1506" s="7" t="str">
        <x:v>BLD-B</x:v>
      </x:c>
      <x:c r="E1506" s="7" t="str">
        <x:v>BL-Y</x:v>
      </x:c>
      <x:c r="F1506" s="7" t="str">
        <x:v>MF-10</x:v>
      </x:c>
      <x:c r="G1506" s="7" t="str">
        <x:v>normal-source path state</x:v>
      </x:c>
      <x:c r="H1506" s="7" t="n">
        <x:v>6</x:v>
      </x:c>
      <x:c r="I1506" s="7" t="str"/>
      <x:c r="J1506" s="7" t="str"/>
      <x:c r="K1506" s="7" t="str"/>
      <x:c r="L1506" s="7" t="str"/>
      <x:c r="M1506" s="7" t="str"/>
      <x:c r="N1506" s="7" t="str"/>
      <x:c r="O1506" s="7" t="str">
        <x:f>IF(N1506="","OPEN",IF(OR(I1506="",J1506="",K1506="",L1506="",M1506=""),"FAIL","PASS"))</x:f>
        <x:v>OPEN</x:v>
      </x:c>
    </x:row>
    <x:row r="1507">
      <x:c r="B1507" s="7" t="str">
        <x:v>CH-PEA-B-Y2-11-1</x:v>
      </x:c>
      <x:c r="C1507" s="7" t="str">
        <x:v>PEA-B-Y2</x:v>
      </x:c>
      <x:c r="D1507" s="7" t="str">
        <x:v>BLD-B</x:v>
      </x:c>
      <x:c r="E1507" s="7" t="str">
        <x:v>BL-Y</x:v>
      </x:c>
      <x:c r="F1507" s="7" t="str">
        <x:v>MF-11</x:v>
      </x:c>
      <x:c r="G1507" s="7" t="str">
        <x:v>casualty-source path state</x:v>
      </x:c>
      <x:c r="H1507" s="7" t="n">
        <x:v>1</x:v>
      </x:c>
      <x:c r="I1507" s="7" t="str"/>
      <x:c r="J1507" s="7" t="str"/>
      <x:c r="K1507" s="7" t="str"/>
      <x:c r="L1507" s="7" t="str"/>
      <x:c r="M1507" s="7" t="str"/>
      <x:c r="N1507" s="7" t="str"/>
      <x:c r="O1507" s="7" t="str">
        <x:f>IF(N1507="","OPEN",IF(OR(I1507="",J1507="",K1507="",L1507="",M1507=""),"FAIL","PASS"))</x:f>
        <x:v>OPEN</x:v>
      </x:c>
    </x:row>
    <x:row r="1508">
      <x:c r="B1508" s="7" t="str">
        <x:v>CH-PEA-B-Y2-11-2</x:v>
      </x:c>
      <x:c r="C1508" s="7" t="str">
        <x:v>PEA-B-Y2</x:v>
      </x:c>
      <x:c r="D1508" s="7" t="str">
        <x:v>BLD-B</x:v>
      </x:c>
      <x:c r="E1508" s="7" t="str">
        <x:v>BL-Y</x:v>
      </x:c>
      <x:c r="F1508" s="7" t="str">
        <x:v>MF-11</x:v>
      </x:c>
      <x:c r="G1508" s="7" t="str">
        <x:v>casualty-source path state</x:v>
      </x:c>
      <x:c r="H1508" s="7" t="n">
        <x:v>2</x:v>
      </x:c>
      <x:c r="I1508" s="7" t="str"/>
      <x:c r="J1508" s="7" t="str"/>
      <x:c r="K1508" s="7" t="str"/>
      <x:c r="L1508" s="7" t="str"/>
      <x:c r="M1508" s="7" t="str"/>
      <x:c r="N1508" s="7" t="str"/>
      <x:c r="O1508" s="7" t="str">
        <x:f>IF(N1508="","OPEN",IF(OR(I1508="",J1508="",K1508="",L1508="",M1508=""),"FAIL","PASS"))</x:f>
        <x:v>OPEN</x:v>
      </x:c>
    </x:row>
    <x:row r="1509">
      <x:c r="B1509" s="7" t="str">
        <x:v>CH-PEA-B-Y2-11-3</x:v>
      </x:c>
      <x:c r="C1509" s="7" t="str">
        <x:v>PEA-B-Y2</x:v>
      </x:c>
      <x:c r="D1509" s="7" t="str">
        <x:v>BLD-B</x:v>
      </x:c>
      <x:c r="E1509" s="7" t="str">
        <x:v>BL-Y</x:v>
      </x:c>
      <x:c r="F1509" s="7" t="str">
        <x:v>MF-11</x:v>
      </x:c>
      <x:c r="G1509" s="7" t="str">
        <x:v>casualty-source path state</x:v>
      </x:c>
      <x:c r="H1509" s="7" t="n">
        <x:v>3</x:v>
      </x:c>
      <x:c r="I1509" s="7" t="str"/>
      <x:c r="J1509" s="7" t="str"/>
      <x:c r="K1509" s="7" t="str"/>
      <x:c r="L1509" s="7" t="str"/>
      <x:c r="M1509" s="7" t="str"/>
      <x:c r="N1509" s="7" t="str"/>
      <x:c r="O1509" s="7" t="str">
        <x:f>IF(N1509="","OPEN",IF(OR(I1509="",J1509="",K1509="",L1509="",M1509=""),"FAIL","PASS"))</x:f>
        <x:v>OPEN</x:v>
      </x:c>
    </x:row>
    <x:row r="1510">
      <x:c r="B1510" s="7" t="str">
        <x:v>CH-PEA-B-Y2-11-4</x:v>
      </x:c>
      <x:c r="C1510" s="7" t="str">
        <x:v>PEA-B-Y2</x:v>
      </x:c>
      <x:c r="D1510" s="7" t="str">
        <x:v>BLD-B</x:v>
      </x:c>
      <x:c r="E1510" s="7" t="str">
        <x:v>BL-Y</x:v>
      </x:c>
      <x:c r="F1510" s="7" t="str">
        <x:v>MF-11</x:v>
      </x:c>
      <x:c r="G1510" s="7" t="str">
        <x:v>casualty-source path state</x:v>
      </x:c>
      <x:c r="H1510" s="7" t="n">
        <x:v>4</x:v>
      </x:c>
      <x:c r="I1510" s="7" t="str"/>
      <x:c r="J1510" s="7" t="str"/>
      <x:c r="K1510" s="7" t="str"/>
      <x:c r="L1510" s="7" t="str"/>
      <x:c r="M1510" s="7" t="str"/>
      <x:c r="N1510" s="7" t="str"/>
      <x:c r="O1510" s="7" t="str">
        <x:f>IF(N1510="","OPEN",IF(OR(I1510="",J1510="",K1510="",L1510="",M1510=""),"FAIL","PASS"))</x:f>
        <x:v>OPEN</x:v>
      </x:c>
    </x:row>
    <x:row r="1511">
      <x:c r="B1511" s="7" t="str">
        <x:v>CH-PEA-B-Y2-11-5</x:v>
      </x:c>
      <x:c r="C1511" s="7" t="str">
        <x:v>PEA-B-Y2</x:v>
      </x:c>
      <x:c r="D1511" s="7" t="str">
        <x:v>BLD-B</x:v>
      </x:c>
      <x:c r="E1511" s="7" t="str">
        <x:v>BL-Y</x:v>
      </x:c>
      <x:c r="F1511" s="7" t="str">
        <x:v>MF-11</x:v>
      </x:c>
      <x:c r="G1511" s="7" t="str">
        <x:v>casualty-source path state</x:v>
      </x:c>
      <x:c r="H1511" s="7" t="n">
        <x:v>5</x:v>
      </x:c>
      <x:c r="I1511" s="7" t="str"/>
      <x:c r="J1511" s="7" t="str"/>
      <x:c r="K1511" s="7" t="str"/>
      <x:c r="L1511" s="7" t="str"/>
      <x:c r="M1511" s="7" t="str"/>
      <x:c r="N1511" s="7" t="str"/>
      <x:c r="O1511" s="7" t="str">
        <x:f>IF(N1511="","OPEN",IF(OR(I1511="",J1511="",K1511="",L1511="",M1511=""),"FAIL","PASS"))</x:f>
        <x:v>OPEN</x:v>
      </x:c>
    </x:row>
    <x:row r="1512">
      <x:c r="B1512" s="7" t="str">
        <x:v>CH-PEA-B-Y2-11-6</x:v>
      </x:c>
      <x:c r="C1512" s="7" t="str">
        <x:v>PEA-B-Y2</x:v>
      </x:c>
      <x:c r="D1512" s="7" t="str">
        <x:v>BLD-B</x:v>
      </x:c>
      <x:c r="E1512" s="7" t="str">
        <x:v>BL-Y</x:v>
      </x:c>
      <x:c r="F1512" s="7" t="str">
        <x:v>MF-11</x:v>
      </x:c>
      <x:c r="G1512" s="7" t="str">
        <x:v>casualty-source path state</x:v>
      </x:c>
      <x:c r="H1512" s="7" t="n">
        <x:v>6</x:v>
      </x:c>
      <x:c r="I1512" s="7" t="str"/>
      <x:c r="J1512" s="7" t="str"/>
      <x:c r="K1512" s="7" t="str"/>
      <x:c r="L1512" s="7" t="str"/>
      <x:c r="M1512" s="7" t="str"/>
      <x:c r="N1512" s="7" t="str"/>
      <x:c r="O1512" s="7" t="str">
        <x:f>IF(N1512="","OPEN",IF(OR(I1512="",J1512="",K1512="",L1512="",M1512=""),"FAIL","PASS"))</x:f>
        <x:v>OPEN</x:v>
      </x:c>
    </x:row>
    <x:row r="1513">
      <x:c r="B1513" s="7" t="str">
        <x:v>CH-PEA-B-Y2-12-1</x:v>
      </x:c>
      <x:c r="C1513" s="7" t="str">
        <x:v>PEA-B-Y2</x:v>
      </x:c>
      <x:c r="D1513" s="7" t="str">
        <x:v>BLD-B</x:v>
      </x:c>
      <x:c r="E1513" s="7" t="str">
        <x:v>BL-Y</x:v>
      </x:c>
      <x:c r="F1513" s="7" t="str">
        <x:v>MF-12</x:v>
      </x:c>
      <x:c r="G1513" s="7" t="str">
        <x:v>candidate-water path state</x:v>
      </x:c>
      <x:c r="H1513" s="7" t="n">
        <x:v>1</x:v>
      </x:c>
      <x:c r="I1513" s="7" t="str"/>
      <x:c r="J1513" s="7" t="str"/>
      <x:c r="K1513" s="7" t="str"/>
      <x:c r="L1513" s="7" t="str"/>
      <x:c r="M1513" s="7" t="str"/>
      <x:c r="N1513" s="7" t="str"/>
      <x:c r="O1513" s="7" t="str">
        <x:f>IF(N1513="","OPEN",IF(OR(I1513="",J1513="",K1513="",L1513="",M1513=""),"FAIL","PASS"))</x:f>
        <x:v>OPEN</x:v>
      </x:c>
    </x:row>
    <x:row r="1514">
      <x:c r="B1514" s="7" t="str">
        <x:v>CH-PEA-B-Y2-12-2</x:v>
      </x:c>
      <x:c r="C1514" s="7" t="str">
        <x:v>PEA-B-Y2</x:v>
      </x:c>
      <x:c r="D1514" s="7" t="str">
        <x:v>BLD-B</x:v>
      </x:c>
      <x:c r="E1514" s="7" t="str">
        <x:v>BL-Y</x:v>
      </x:c>
      <x:c r="F1514" s="7" t="str">
        <x:v>MF-12</x:v>
      </x:c>
      <x:c r="G1514" s="7" t="str">
        <x:v>candidate-water path state</x:v>
      </x:c>
      <x:c r="H1514" s="7" t="n">
        <x:v>2</x:v>
      </x:c>
      <x:c r="I1514" s="7" t="str"/>
      <x:c r="J1514" s="7" t="str"/>
      <x:c r="K1514" s="7" t="str"/>
      <x:c r="L1514" s="7" t="str"/>
      <x:c r="M1514" s="7" t="str"/>
      <x:c r="N1514" s="7" t="str"/>
      <x:c r="O1514" s="7" t="str">
        <x:f>IF(N1514="","OPEN",IF(OR(I1514="",J1514="",K1514="",L1514="",M1514=""),"FAIL","PASS"))</x:f>
        <x:v>OPEN</x:v>
      </x:c>
    </x:row>
    <x:row r="1515">
      <x:c r="B1515" s="7" t="str">
        <x:v>CH-PEA-B-Y2-12-3</x:v>
      </x:c>
      <x:c r="C1515" s="7" t="str">
        <x:v>PEA-B-Y2</x:v>
      </x:c>
      <x:c r="D1515" s="7" t="str">
        <x:v>BLD-B</x:v>
      </x:c>
      <x:c r="E1515" s="7" t="str">
        <x:v>BL-Y</x:v>
      </x:c>
      <x:c r="F1515" s="7" t="str">
        <x:v>MF-12</x:v>
      </x:c>
      <x:c r="G1515" s="7" t="str">
        <x:v>candidate-water path state</x:v>
      </x:c>
      <x:c r="H1515" s="7" t="n">
        <x:v>3</x:v>
      </x:c>
      <x:c r="I1515" s="7" t="str"/>
      <x:c r="J1515" s="7" t="str"/>
      <x:c r="K1515" s="7" t="str"/>
      <x:c r="L1515" s="7" t="str"/>
      <x:c r="M1515" s="7" t="str"/>
      <x:c r="N1515" s="7" t="str"/>
      <x:c r="O1515" s="7" t="str">
        <x:f>IF(N1515="","OPEN",IF(OR(I1515="",J1515="",K1515="",L1515="",M1515=""),"FAIL","PASS"))</x:f>
        <x:v>OPEN</x:v>
      </x:c>
    </x:row>
    <x:row r="1516">
      <x:c r="B1516" s="7" t="str">
        <x:v>CH-PEA-B-Y2-12-4</x:v>
      </x:c>
      <x:c r="C1516" s="7" t="str">
        <x:v>PEA-B-Y2</x:v>
      </x:c>
      <x:c r="D1516" s="7" t="str">
        <x:v>BLD-B</x:v>
      </x:c>
      <x:c r="E1516" s="7" t="str">
        <x:v>BL-Y</x:v>
      </x:c>
      <x:c r="F1516" s="7" t="str">
        <x:v>MF-12</x:v>
      </x:c>
      <x:c r="G1516" s="7" t="str">
        <x:v>candidate-water path state</x:v>
      </x:c>
      <x:c r="H1516" s="7" t="n">
        <x:v>4</x:v>
      </x:c>
      <x:c r="I1516" s="7" t="str"/>
      <x:c r="J1516" s="7" t="str"/>
      <x:c r="K1516" s="7" t="str"/>
      <x:c r="L1516" s="7" t="str"/>
      <x:c r="M1516" s="7" t="str"/>
      <x:c r="N1516" s="7" t="str"/>
      <x:c r="O1516" s="7" t="str">
        <x:f>IF(N1516="","OPEN",IF(OR(I1516="",J1516="",K1516="",L1516="",M1516=""),"FAIL","PASS"))</x:f>
        <x:v>OPEN</x:v>
      </x:c>
    </x:row>
    <x:row r="1517">
      <x:c r="B1517" s="7" t="str">
        <x:v>CH-PEA-B-Y2-12-5</x:v>
      </x:c>
      <x:c r="C1517" s="7" t="str">
        <x:v>PEA-B-Y2</x:v>
      </x:c>
      <x:c r="D1517" s="7" t="str">
        <x:v>BLD-B</x:v>
      </x:c>
      <x:c r="E1517" s="7" t="str">
        <x:v>BL-Y</x:v>
      </x:c>
      <x:c r="F1517" s="7" t="str">
        <x:v>MF-12</x:v>
      </x:c>
      <x:c r="G1517" s="7" t="str">
        <x:v>candidate-water path state</x:v>
      </x:c>
      <x:c r="H1517" s="7" t="n">
        <x:v>5</x:v>
      </x:c>
      <x:c r="I1517" s="7" t="str"/>
      <x:c r="J1517" s="7" t="str"/>
      <x:c r="K1517" s="7" t="str"/>
      <x:c r="L1517" s="7" t="str"/>
      <x:c r="M1517" s="7" t="str"/>
      <x:c r="N1517" s="7" t="str"/>
      <x:c r="O1517" s="7" t="str">
        <x:f>IF(N1517="","OPEN",IF(OR(I1517="",J1517="",K1517="",L1517="",M1517=""),"FAIL","PASS"))</x:f>
        <x:v>OPEN</x:v>
      </x:c>
    </x:row>
    <x:row r="1518">
      <x:c r="B1518" s="7" t="str">
        <x:v>CH-PEA-B-Y2-12-6</x:v>
      </x:c>
      <x:c r="C1518" s="7" t="str">
        <x:v>PEA-B-Y2</x:v>
      </x:c>
      <x:c r="D1518" s="7" t="str">
        <x:v>BLD-B</x:v>
      </x:c>
      <x:c r="E1518" s="7" t="str">
        <x:v>BL-Y</x:v>
      </x:c>
      <x:c r="F1518" s="7" t="str">
        <x:v>MF-12</x:v>
      </x:c>
      <x:c r="G1518" s="7" t="str">
        <x:v>candidate-water path state</x:v>
      </x:c>
      <x:c r="H1518" s="7" t="n">
        <x:v>6</x:v>
      </x:c>
      <x:c r="I1518" s="7" t="str"/>
      <x:c r="J1518" s="7" t="str"/>
      <x:c r="K1518" s="7" t="str"/>
      <x:c r="L1518" s="7" t="str"/>
      <x:c r="M1518" s="7" t="str"/>
      <x:c r="N1518" s="7" t="str"/>
      <x:c r="O1518" s="7" t="str">
        <x:f>IF(N1518="","OPEN",IF(OR(I1518="",J1518="",K1518="",L1518="",M1518=""),"FAIL","PASS"))</x:f>
        <x:v>OPEN</x:v>
      </x:c>
    </x:row>
    <x:row r="1519">
      <x:c r="B1519" s="7" t="str">
        <x:v>CH-PEA-B-Y2-13-1</x:v>
      </x:c>
      <x:c r="C1519" s="7" t="str">
        <x:v>PEA-B-Y2</x:v>
      </x:c>
      <x:c r="D1519" s="7" t="str">
        <x:v>BLD-B</x:v>
      </x:c>
      <x:c r="E1519" s="7" t="str">
        <x:v>BL-Y</x:v>
      </x:c>
      <x:c r="F1519" s="7" t="str">
        <x:v>MF-13</x:v>
      </x:c>
      <x:c r="G1519" s="7" t="str">
        <x:v>final-element reference</x:v>
      </x:c>
      <x:c r="H1519" s="7" t="n">
        <x:v>1</x:v>
      </x:c>
      <x:c r="I1519" s="7" t="str"/>
      <x:c r="J1519" s="7" t="str"/>
      <x:c r="K1519" s="7" t="str"/>
      <x:c r="L1519" s="7" t="str"/>
      <x:c r="M1519" s="7" t="str"/>
      <x:c r="N1519" s="7" t="str"/>
      <x:c r="O1519" s="7" t="str">
        <x:f>IF(N1519="","OPEN",IF(OR(I1519="",J1519="",K1519="",L1519="",M1519=""),"FAIL","PASS"))</x:f>
        <x:v>OPEN</x:v>
      </x:c>
    </x:row>
    <x:row r="1520">
      <x:c r="B1520" s="7" t="str">
        <x:v>CH-PEA-B-Y2-13-2</x:v>
      </x:c>
      <x:c r="C1520" s="7" t="str">
        <x:v>PEA-B-Y2</x:v>
      </x:c>
      <x:c r="D1520" s="7" t="str">
        <x:v>BLD-B</x:v>
      </x:c>
      <x:c r="E1520" s="7" t="str">
        <x:v>BL-Y</x:v>
      </x:c>
      <x:c r="F1520" s="7" t="str">
        <x:v>MF-13</x:v>
      </x:c>
      <x:c r="G1520" s="7" t="str">
        <x:v>final-element reference</x:v>
      </x:c>
      <x:c r="H1520" s="7" t="n">
        <x:v>2</x:v>
      </x:c>
      <x:c r="I1520" s="7" t="str"/>
      <x:c r="J1520" s="7" t="str"/>
      <x:c r="K1520" s="7" t="str"/>
      <x:c r="L1520" s="7" t="str"/>
      <x:c r="M1520" s="7" t="str"/>
      <x:c r="N1520" s="7" t="str"/>
      <x:c r="O1520" s="7" t="str">
        <x:f>IF(N1520="","OPEN",IF(OR(I1520="",J1520="",K1520="",L1520="",M1520=""),"FAIL","PASS"))</x:f>
        <x:v>OPEN</x:v>
      </x:c>
    </x:row>
    <x:row r="1521">
      <x:c r="B1521" s="7" t="str">
        <x:v>CH-PEA-B-Y2-13-3</x:v>
      </x:c>
      <x:c r="C1521" s="7" t="str">
        <x:v>PEA-B-Y2</x:v>
      </x:c>
      <x:c r="D1521" s="7" t="str">
        <x:v>BLD-B</x:v>
      </x:c>
      <x:c r="E1521" s="7" t="str">
        <x:v>BL-Y</x:v>
      </x:c>
      <x:c r="F1521" s="7" t="str">
        <x:v>MF-13</x:v>
      </x:c>
      <x:c r="G1521" s="7" t="str">
        <x:v>final-element reference</x:v>
      </x:c>
      <x:c r="H1521" s="7" t="n">
        <x:v>3</x:v>
      </x:c>
      <x:c r="I1521" s="7" t="str"/>
      <x:c r="J1521" s="7" t="str"/>
      <x:c r="K1521" s="7" t="str"/>
      <x:c r="L1521" s="7" t="str"/>
      <x:c r="M1521" s="7" t="str"/>
      <x:c r="N1521" s="7" t="str"/>
      <x:c r="O1521" s="7" t="str">
        <x:f>IF(N1521="","OPEN",IF(OR(I1521="",J1521="",K1521="",L1521="",M1521=""),"FAIL","PASS"))</x:f>
        <x:v>OPEN</x:v>
      </x:c>
    </x:row>
    <x:row r="1522">
      <x:c r="B1522" s="7" t="str">
        <x:v>CH-PEA-B-Y2-13-4</x:v>
      </x:c>
      <x:c r="C1522" s="7" t="str">
        <x:v>PEA-B-Y2</x:v>
      </x:c>
      <x:c r="D1522" s="7" t="str">
        <x:v>BLD-B</x:v>
      </x:c>
      <x:c r="E1522" s="7" t="str">
        <x:v>BL-Y</x:v>
      </x:c>
      <x:c r="F1522" s="7" t="str">
        <x:v>MF-13</x:v>
      </x:c>
      <x:c r="G1522" s="7" t="str">
        <x:v>final-element reference</x:v>
      </x:c>
      <x:c r="H1522" s="7" t="n">
        <x:v>4</x:v>
      </x:c>
      <x:c r="I1522" s="7" t="str"/>
      <x:c r="J1522" s="7" t="str"/>
      <x:c r="K1522" s="7" t="str"/>
      <x:c r="L1522" s="7" t="str"/>
      <x:c r="M1522" s="7" t="str"/>
      <x:c r="N1522" s="7" t="str"/>
      <x:c r="O1522" s="7" t="str">
        <x:f>IF(N1522="","OPEN",IF(OR(I1522="",J1522="",K1522="",L1522="",M1522=""),"FAIL","PASS"))</x:f>
        <x:v>OPEN</x:v>
      </x:c>
    </x:row>
    <x:row r="1523">
      <x:c r="B1523" s="7" t="str">
        <x:v>CH-PEA-B-Y2-13-5</x:v>
      </x:c>
      <x:c r="C1523" s="7" t="str">
        <x:v>PEA-B-Y2</x:v>
      </x:c>
      <x:c r="D1523" s="7" t="str">
        <x:v>BLD-B</x:v>
      </x:c>
      <x:c r="E1523" s="7" t="str">
        <x:v>BL-Y</x:v>
      </x:c>
      <x:c r="F1523" s="7" t="str">
        <x:v>MF-13</x:v>
      </x:c>
      <x:c r="G1523" s="7" t="str">
        <x:v>final-element reference</x:v>
      </x:c>
      <x:c r="H1523" s="7" t="n">
        <x:v>5</x:v>
      </x:c>
      <x:c r="I1523" s="7" t="str"/>
      <x:c r="J1523" s="7" t="str"/>
      <x:c r="K1523" s="7" t="str"/>
      <x:c r="L1523" s="7" t="str"/>
      <x:c r="M1523" s="7" t="str"/>
      <x:c r="N1523" s="7" t="str"/>
      <x:c r="O1523" s="7" t="str">
        <x:f>IF(N1523="","OPEN",IF(OR(I1523="",J1523="",K1523="",L1523="",M1523=""),"FAIL","PASS"))</x:f>
        <x:v>OPEN</x:v>
      </x:c>
    </x:row>
    <x:row r="1524">
      <x:c r="B1524" s="7" t="str">
        <x:v>CH-PEA-B-Y2-13-6</x:v>
      </x:c>
      <x:c r="C1524" s="7" t="str">
        <x:v>PEA-B-Y2</x:v>
      </x:c>
      <x:c r="D1524" s="7" t="str">
        <x:v>BLD-B</x:v>
      </x:c>
      <x:c r="E1524" s="7" t="str">
        <x:v>BL-Y</x:v>
      </x:c>
      <x:c r="F1524" s="7" t="str">
        <x:v>MF-13</x:v>
      </x:c>
      <x:c r="G1524" s="7" t="str">
        <x:v>final-element reference</x:v>
      </x:c>
      <x:c r="H1524" s="7" t="n">
        <x:v>6</x:v>
      </x:c>
      <x:c r="I1524" s="7" t="str"/>
      <x:c r="J1524" s="7" t="str"/>
      <x:c r="K1524" s="7" t="str"/>
      <x:c r="L1524" s="7" t="str"/>
      <x:c r="M1524" s="7" t="str"/>
      <x:c r="N1524" s="7" t="str"/>
      <x:c r="O1524" s="7" t="str">
        <x:f>IF(N1524="","OPEN",IF(OR(I1524="",J1524="",K1524="",L1524="",M1524=""),"FAIL","PASS"))</x:f>
        <x:v>OPEN</x:v>
      </x:c>
    </x:row>
    <x:row r="1525">
      <x:c r="B1525" s="7" t="str">
        <x:v>CH-PEA-B-Y2-14-1</x:v>
      </x:c>
      <x:c r="C1525" s="7" t="str">
        <x:v>PEA-B-Y2</x:v>
      </x:c>
      <x:c r="D1525" s="7" t="str">
        <x:v>BLD-B</x:v>
      </x:c>
      <x:c r="E1525" s="7" t="str">
        <x:v>BL-Y</x:v>
      </x:c>
      <x:c r="F1525" s="7" t="str">
        <x:v>MF-14</x:v>
      </x:c>
      <x:c r="G1525" s="7" t="str">
        <x:v>causal time</x:v>
      </x:c>
      <x:c r="H1525" s="7" t="n">
        <x:v>1</x:v>
      </x:c>
      <x:c r="I1525" s="7" t="str"/>
      <x:c r="J1525" s="7" t="str"/>
      <x:c r="K1525" s="7" t="str"/>
      <x:c r="L1525" s="7" t="str"/>
      <x:c r="M1525" s="7" t="str"/>
      <x:c r="N1525" s="7" t="str"/>
      <x:c r="O1525" s="7" t="str">
        <x:f>IF(N1525="","OPEN",IF(OR(I1525="",J1525="",K1525="",L1525="",M1525=""),"FAIL","PASS"))</x:f>
        <x:v>OPEN</x:v>
      </x:c>
    </x:row>
    <x:row r="1526">
      <x:c r="B1526" s="7" t="str">
        <x:v>CH-PEA-B-Y2-14-2</x:v>
      </x:c>
      <x:c r="C1526" s="7" t="str">
        <x:v>PEA-B-Y2</x:v>
      </x:c>
      <x:c r="D1526" s="7" t="str">
        <x:v>BLD-B</x:v>
      </x:c>
      <x:c r="E1526" s="7" t="str">
        <x:v>BL-Y</x:v>
      </x:c>
      <x:c r="F1526" s="7" t="str">
        <x:v>MF-14</x:v>
      </x:c>
      <x:c r="G1526" s="7" t="str">
        <x:v>causal time</x:v>
      </x:c>
      <x:c r="H1526" s="7" t="n">
        <x:v>2</x:v>
      </x:c>
      <x:c r="I1526" s="7" t="str"/>
      <x:c r="J1526" s="7" t="str"/>
      <x:c r="K1526" s="7" t="str"/>
      <x:c r="L1526" s="7" t="str"/>
      <x:c r="M1526" s="7" t="str"/>
      <x:c r="N1526" s="7" t="str"/>
      <x:c r="O1526" s="7" t="str">
        <x:f>IF(N1526="","OPEN",IF(OR(I1526="",J1526="",K1526="",L1526="",M1526=""),"FAIL","PASS"))</x:f>
        <x:v>OPEN</x:v>
      </x:c>
    </x:row>
    <x:row r="1527">
      <x:c r="B1527" s="7" t="str">
        <x:v>CH-PEA-B-Y2-14-3</x:v>
      </x:c>
      <x:c r="C1527" s="7" t="str">
        <x:v>PEA-B-Y2</x:v>
      </x:c>
      <x:c r="D1527" s="7" t="str">
        <x:v>BLD-B</x:v>
      </x:c>
      <x:c r="E1527" s="7" t="str">
        <x:v>BL-Y</x:v>
      </x:c>
      <x:c r="F1527" s="7" t="str">
        <x:v>MF-14</x:v>
      </x:c>
      <x:c r="G1527" s="7" t="str">
        <x:v>causal time</x:v>
      </x:c>
      <x:c r="H1527" s="7" t="n">
        <x:v>3</x:v>
      </x:c>
      <x:c r="I1527" s="7" t="str"/>
      <x:c r="J1527" s="7" t="str"/>
      <x:c r="K1527" s="7" t="str"/>
      <x:c r="L1527" s="7" t="str"/>
      <x:c r="M1527" s="7" t="str"/>
      <x:c r="N1527" s="7" t="str"/>
      <x:c r="O1527" s="7" t="str">
        <x:f>IF(N1527="","OPEN",IF(OR(I1527="",J1527="",K1527="",L1527="",M1527=""),"FAIL","PASS"))</x:f>
        <x:v>OPEN</x:v>
      </x:c>
    </x:row>
    <x:row r="1528">
      <x:c r="B1528" s="7" t="str">
        <x:v>CH-PEA-B-Y2-14-4</x:v>
      </x:c>
      <x:c r="C1528" s="7" t="str">
        <x:v>PEA-B-Y2</x:v>
      </x:c>
      <x:c r="D1528" s="7" t="str">
        <x:v>BLD-B</x:v>
      </x:c>
      <x:c r="E1528" s="7" t="str">
        <x:v>BL-Y</x:v>
      </x:c>
      <x:c r="F1528" s="7" t="str">
        <x:v>MF-14</x:v>
      </x:c>
      <x:c r="G1528" s="7" t="str">
        <x:v>causal time</x:v>
      </x:c>
      <x:c r="H1528" s="7" t="n">
        <x:v>4</x:v>
      </x:c>
      <x:c r="I1528" s="7" t="str"/>
      <x:c r="J1528" s="7" t="str"/>
      <x:c r="K1528" s="7" t="str"/>
      <x:c r="L1528" s="7" t="str"/>
      <x:c r="M1528" s="7" t="str"/>
      <x:c r="N1528" s="7" t="str"/>
      <x:c r="O1528" s="7" t="str">
        <x:f>IF(N1528="","OPEN",IF(OR(I1528="",J1528="",K1528="",L1528="",M1528=""),"FAIL","PASS"))</x:f>
        <x:v>OPEN</x:v>
      </x:c>
    </x:row>
    <x:row r="1529">
      <x:c r="B1529" s="7" t="str">
        <x:v>CH-PEA-B-Y2-14-5</x:v>
      </x:c>
      <x:c r="C1529" s="7" t="str">
        <x:v>PEA-B-Y2</x:v>
      </x:c>
      <x:c r="D1529" s="7" t="str">
        <x:v>BLD-B</x:v>
      </x:c>
      <x:c r="E1529" s="7" t="str">
        <x:v>BL-Y</x:v>
      </x:c>
      <x:c r="F1529" s="7" t="str">
        <x:v>MF-14</x:v>
      </x:c>
      <x:c r="G1529" s="7" t="str">
        <x:v>causal time</x:v>
      </x:c>
      <x:c r="H1529" s="7" t="n">
        <x:v>5</x:v>
      </x:c>
      <x:c r="I1529" s="7" t="str"/>
      <x:c r="J1529" s="7" t="str"/>
      <x:c r="K1529" s="7" t="str"/>
      <x:c r="L1529" s="7" t="str"/>
      <x:c r="M1529" s="7" t="str"/>
      <x:c r="N1529" s="7" t="str"/>
      <x:c r="O1529" s="7" t="str">
        <x:f>IF(N1529="","OPEN",IF(OR(I1529="",J1529="",K1529="",L1529="",M1529=""),"FAIL","PASS"))</x:f>
        <x:v>OPEN</x:v>
      </x:c>
    </x:row>
    <x:row r="1530">
      <x:c r="B1530" s="7" t="str">
        <x:v>CH-PEA-B-Y2-14-6</x:v>
      </x:c>
      <x:c r="C1530" s="7" t="str">
        <x:v>PEA-B-Y2</x:v>
      </x:c>
      <x:c r="D1530" s="7" t="str">
        <x:v>BLD-B</x:v>
      </x:c>
      <x:c r="E1530" s="7" t="str">
        <x:v>BL-Y</x:v>
      </x:c>
      <x:c r="F1530" s="7" t="str">
        <x:v>MF-14</x:v>
      </x:c>
      <x:c r="G1530" s="7" t="str">
        <x:v>causal time</x:v>
      </x:c>
      <x:c r="H1530" s="7" t="n">
        <x:v>6</x:v>
      </x:c>
      <x:c r="I1530" s="7" t="str"/>
      <x:c r="J1530" s="7" t="str"/>
      <x:c r="K1530" s="7" t="str"/>
      <x:c r="L1530" s="7" t="str"/>
      <x:c r="M1530" s="7" t="str"/>
      <x:c r="N1530" s="7" t="str"/>
      <x:c r="O1530" s="7" t="str">
        <x:f>IF(N1530="","OPEN",IF(OR(I1530="",J1530="",K1530="",L1530="",M1530=""),"FAIL","PASS"))</x:f>
        <x:v>OPEN</x:v>
      </x:c>
    </x:row>
    <x:row r="1531">
      <x:c r="B1531" s="7" t="str">
        <x:v>CH-PEA-B-Y2-15-1</x:v>
      </x:c>
      <x:c r="C1531" s="7" t="str">
        <x:v>PEA-B-Y2</x:v>
      </x:c>
      <x:c r="D1531" s="7" t="str">
        <x:v>BLD-B</x:v>
      </x:c>
      <x:c r="E1531" s="7" t="str">
        <x:v>BL-Y</x:v>
      </x:c>
      <x:c r="F1531" s="7" t="str">
        <x:v>MF-15</x:v>
      </x:c>
      <x:c r="G1531" s="7" t="str">
        <x:v>source motive energy</x:v>
      </x:c>
      <x:c r="H1531" s="7" t="n">
        <x:v>1</x:v>
      </x:c>
      <x:c r="I1531" s="7" t="str"/>
      <x:c r="J1531" s="7" t="str"/>
      <x:c r="K1531" s="7" t="str"/>
      <x:c r="L1531" s="7" t="str"/>
      <x:c r="M1531" s="7" t="str"/>
      <x:c r="N1531" s="7" t="str"/>
      <x:c r="O1531" s="7" t="str">
        <x:f>IF(N1531="","OPEN",IF(OR(I1531="",J1531="",K1531="",L1531="",M1531=""),"FAIL","PASS"))</x:f>
        <x:v>OPEN</x:v>
      </x:c>
    </x:row>
    <x:row r="1532">
      <x:c r="B1532" s="7" t="str">
        <x:v>CH-PEA-B-Y2-15-2</x:v>
      </x:c>
      <x:c r="C1532" s="7" t="str">
        <x:v>PEA-B-Y2</x:v>
      </x:c>
      <x:c r="D1532" s="7" t="str">
        <x:v>BLD-B</x:v>
      </x:c>
      <x:c r="E1532" s="7" t="str">
        <x:v>BL-Y</x:v>
      </x:c>
      <x:c r="F1532" s="7" t="str">
        <x:v>MF-15</x:v>
      </x:c>
      <x:c r="G1532" s="7" t="str">
        <x:v>source motive energy</x:v>
      </x:c>
      <x:c r="H1532" s="7" t="n">
        <x:v>2</x:v>
      </x:c>
      <x:c r="I1532" s="7" t="str"/>
      <x:c r="J1532" s="7" t="str"/>
      <x:c r="K1532" s="7" t="str"/>
      <x:c r="L1532" s="7" t="str"/>
      <x:c r="M1532" s="7" t="str"/>
      <x:c r="N1532" s="7" t="str"/>
      <x:c r="O1532" s="7" t="str">
        <x:f>IF(N1532="","OPEN",IF(OR(I1532="",J1532="",K1532="",L1532="",M1532=""),"FAIL","PASS"))</x:f>
        <x:v>OPEN</x:v>
      </x:c>
    </x:row>
    <x:row r="1533">
      <x:c r="B1533" s="7" t="str">
        <x:v>CH-PEA-B-Y2-15-3</x:v>
      </x:c>
      <x:c r="C1533" s="7" t="str">
        <x:v>PEA-B-Y2</x:v>
      </x:c>
      <x:c r="D1533" s="7" t="str">
        <x:v>BLD-B</x:v>
      </x:c>
      <x:c r="E1533" s="7" t="str">
        <x:v>BL-Y</x:v>
      </x:c>
      <x:c r="F1533" s="7" t="str">
        <x:v>MF-15</x:v>
      </x:c>
      <x:c r="G1533" s="7" t="str">
        <x:v>source motive energy</x:v>
      </x:c>
      <x:c r="H1533" s="7" t="n">
        <x:v>3</x:v>
      </x:c>
      <x:c r="I1533" s="7" t="str"/>
      <x:c r="J1533" s="7" t="str"/>
      <x:c r="K1533" s="7" t="str"/>
      <x:c r="L1533" s="7" t="str"/>
      <x:c r="M1533" s="7" t="str"/>
      <x:c r="N1533" s="7" t="str"/>
      <x:c r="O1533" s="7" t="str">
        <x:f>IF(N1533="","OPEN",IF(OR(I1533="",J1533="",K1533="",L1533="",M1533=""),"FAIL","PASS"))</x:f>
        <x:v>OPEN</x:v>
      </x:c>
    </x:row>
    <x:row r="1534">
      <x:c r="B1534" s="7" t="str">
        <x:v>CH-PEA-B-Y2-15-4</x:v>
      </x:c>
      <x:c r="C1534" s="7" t="str">
        <x:v>PEA-B-Y2</x:v>
      </x:c>
      <x:c r="D1534" s="7" t="str">
        <x:v>BLD-B</x:v>
      </x:c>
      <x:c r="E1534" s="7" t="str">
        <x:v>BL-Y</x:v>
      </x:c>
      <x:c r="F1534" s="7" t="str">
        <x:v>MF-15</x:v>
      </x:c>
      <x:c r="G1534" s="7" t="str">
        <x:v>source motive energy</x:v>
      </x:c>
      <x:c r="H1534" s="7" t="n">
        <x:v>4</x:v>
      </x:c>
      <x:c r="I1534" s="7" t="str"/>
      <x:c r="J1534" s="7" t="str"/>
      <x:c r="K1534" s="7" t="str"/>
      <x:c r="L1534" s="7" t="str"/>
      <x:c r="M1534" s="7" t="str"/>
      <x:c r="N1534" s="7" t="str"/>
      <x:c r="O1534" s="7" t="str">
        <x:f>IF(N1534="","OPEN",IF(OR(I1534="",J1534="",K1534="",L1534="",M1534=""),"FAIL","PASS"))</x:f>
        <x:v>OPEN</x:v>
      </x:c>
    </x:row>
    <x:row r="1535">
      <x:c r="B1535" s="7" t="str">
        <x:v>CH-PEA-B-Y2-15-5</x:v>
      </x:c>
      <x:c r="C1535" s="7" t="str">
        <x:v>PEA-B-Y2</x:v>
      </x:c>
      <x:c r="D1535" s="7" t="str">
        <x:v>BLD-B</x:v>
      </x:c>
      <x:c r="E1535" s="7" t="str">
        <x:v>BL-Y</x:v>
      </x:c>
      <x:c r="F1535" s="7" t="str">
        <x:v>MF-15</x:v>
      </x:c>
      <x:c r="G1535" s="7" t="str">
        <x:v>source motive energy</x:v>
      </x:c>
      <x:c r="H1535" s="7" t="n">
        <x:v>5</x:v>
      </x:c>
      <x:c r="I1535" s="7" t="str"/>
      <x:c r="J1535" s="7" t="str"/>
      <x:c r="K1535" s="7" t="str"/>
      <x:c r="L1535" s="7" t="str"/>
      <x:c r="M1535" s="7" t="str"/>
      <x:c r="N1535" s="7" t="str"/>
      <x:c r="O1535" s="7" t="str">
        <x:f>IF(N1535="","OPEN",IF(OR(I1535="",J1535="",K1535="",L1535="",M1535=""),"FAIL","PASS"))</x:f>
        <x:v>OPEN</x:v>
      </x:c>
    </x:row>
    <x:row r="1536">
      <x:c r="B1536" s="7" t="str">
        <x:v>CH-PEA-B-Y2-15-6</x:v>
      </x:c>
      <x:c r="C1536" s="7" t="str">
        <x:v>PEA-B-Y2</x:v>
      </x:c>
      <x:c r="D1536" s="7" t="str">
        <x:v>BLD-B</x:v>
      </x:c>
      <x:c r="E1536" s="7" t="str">
        <x:v>BL-Y</x:v>
      </x:c>
      <x:c r="F1536" s="7" t="str">
        <x:v>MF-15</x:v>
      </x:c>
      <x:c r="G1536" s="7" t="str">
        <x:v>source motive energy</x:v>
      </x:c>
      <x:c r="H1536" s="7" t="n">
        <x:v>6</x:v>
      </x:c>
      <x:c r="I1536" s="7" t="str"/>
      <x:c r="J1536" s="7" t="str"/>
      <x:c r="K1536" s="7" t="str"/>
      <x:c r="L1536" s="7" t="str"/>
      <x:c r="M1536" s="7" t="str"/>
      <x:c r="N1536" s="7" t="str"/>
      <x:c r="O1536" s="7" t="str">
        <x:f>IF(N1536="","OPEN",IF(OR(I1536="",J1536="",K1536="",L1536="",M1536=""),"FAIL","PASS"))</x:f>
        <x:v>OPEN</x:v>
      </x:c>
    </x:row>
    <x:row r="1537">
      <x:c r="B1537" s="7" t="str">
        <x:v>CH-PEA-B-Y2-16-1</x:v>
      </x:c>
      <x:c r="C1537" s="7" t="str">
        <x:v>PEA-B-Y2</x:v>
      </x:c>
      <x:c r="D1537" s="7" t="str">
        <x:v>BLD-B</x:v>
      </x:c>
      <x:c r="E1537" s="7" t="str">
        <x:v>BL-Y</x:v>
      </x:c>
      <x:c r="F1537" s="7" t="str">
        <x:v>MF-16</x:v>
      </x:c>
      <x:c r="G1537" s="7" t="str">
        <x:v>water motive energy</x:v>
      </x:c>
      <x:c r="H1537" s="7" t="n">
        <x:v>1</x:v>
      </x:c>
      <x:c r="I1537" s="7" t="str"/>
      <x:c r="J1537" s="7" t="str"/>
      <x:c r="K1537" s="7" t="str"/>
      <x:c r="L1537" s="7" t="str"/>
      <x:c r="M1537" s="7" t="str"/>
      <x:c r="N1537" s="7" t="str"/>
      <x:c r="O1537" s="7" t="str">
        <x:f>IF(N1537="","OPEN",IF(OR(I1537="",J1537="",K1537="",L1537="",M1537=""),"FAIL","PASS"))</x:f>
        <x:v>OPEN</x:v>
      </x:c>
    </x:row>
    <x:row r="1538">
      <x:c r="B1538" s="7" t="str">
        <x:v>CH-PEA-B-Y2-16-2</x:v>
      </x:c>
      <x:c r="C1538" s="7" t="str">
        <x:v>PEA-B-Y2</x:v>
      </x:c>
      <x:c r="D1538" s="7" t="str">
        <x:v>BLD-B</x:v>
      </x:c>
      <x:c r="E1538" s="7" t="str">
        <x:v>BL-Y</x:v>
      </x:c>
      <x:c r="F1538" s="7" t="str">
        <x:v>MF-16</x:v>
      </x:c>
      <x:c r="G1538" s="7" t="str">
        <x:v>water motive energy</x:v>
      </x:c>
      <x:c r="H1538" s="7" t="n">
        <x:v>2</x:v>
      </x:c>
      <x:c r="I1538" s="7" t="str"/>
      <x:c r="J1538" s="7" t="str"/>
      <x:c r="K1538" s="7" t="str"/>
      <x:c r="L1538" s="7" t="str"/>
      <x:c r="M1538" s="7" t="str"/>
      <x:c r="N1538" s="7" t="str"/>
      <x:c r="O1538" s="7" t="str">
        <x:f>IF(N1538="","OPEN",IF(OR(I1538="",J1538="",K1538="",L1538="",M1538=""),"FAIL","PASS"))</x:f>
        <x:v>OPEN</x:v>
      </x:c>
    </x:row>
    <x:row r="1539">
      <x:c r="B1539" s="7" t="str">
        <x:v>CH-PEA-B-Y2-16-3</x:v>
      </x:c>
      <x:c r="C1539" s="7" t="str">
        <x:v>PEA-B-Y2</x:v>
      </x:c>
      <x:c r="D1539" s="7" t="str">
        <x:v>BLD-B</x:v>
      </x:c>
      <x:c r="E1539" s="7" t="str">
        <x:v>BL-Y</x:v>
      </x:c>
      <x:c r="F1539" s="7" t="str">
        <x:v>MF-16</x:v>
      </x:c>
      <x:c r="G1539" s="7" t="str">
        <x:v>water motive energy</x:v>
      </x:c>
      <x:c r="H1539" s="7" t="n">
        <x:v>3</x:v>
      </x:c>
      <x:c r="I1539" s="7" t="str"/>
      <x:c r="J1539" s="7" t="str"/>
      <x:c r="K1539" s="7" t="str"/>
      <x:c r="L1539" s="7" t="str"/>
      <x:c r="M1539" s="7" t="str"/>
      <x:c r="N1539" s="7" t="str"/>
      <x:c r="O1539" s="7" t="str">
        <x:f>IF(N1539="","OPEN",IF(OR(I1539="",J1539="",K1539="",L1539="",M1539=""),"FAIL","PASS"))</x:f>
        <x:v>OPEN</x:v>
      </x:c>
    </x:row>
    <x:row r="1540">
      <x:c r="B1540" s="7" t="str">
        <x:v>CH-PEA-B-Y2-16-4</x:v>
      </x:c>
      <x:c r="C1540" s="7" t="str">
        <x:v>PEA-B-Y2</x:v>
      </x:c>
      <x:c r="D1540" s="7" t="str">
        <x:v>BLD-B</x:v>
      </x:c>
      <x:c r="E1540" s="7" t="str">
        <x:v>BL-Y</x:v>
      </x:c>
      <x:c r="F1540" s="7" t="str">
        <x:v>MF-16</x:v>
      </x:c>
      <x:c r="G1540" s="7" t="str">
        <x:v>water motive energy</x:v>
      </x:c>
      <x:c r="H1540" s="7" t="n">
        <x:v>4</x:v>
      </x:c>
      <x:c r="I1540" s="7" t="str"/>
      <x:c r="J1540" s="7" t="str"/>
      <x:c r="K1540" s="7" t="str"/>
      <x:c r="L1540" s="7" t="str"/>
      <x:c r="M1540" s="7" t="str"/>
      <x:c r="N1540" s="7" t="str"/>
      <x:c r="O1540" s="7" t="str">
        <x:f>IF(N1540="","OPEN",IF(OR(I1540="",J1540="",K1540="",L1540="",M1540=""),"FAIL","PASS"))</x:f>
        <x:v>OPEN</x:v>
      </x:c>
    </x:row>
    <x:row r="1541">
      <x:c r="B1541" s="7" t="str">
        <x:v>CH-PEA-B-Y2-16-5</x:v>
      </x:c>
      <x:c r="C1541" s="7" t="str">
        <x:v>PEA-B-Y2</x:v>
      </x:c>
      <x:c r="D1541" s="7" t="str">
        <x:v>BLD-B</x:v>
      </x:c>
      <x:c r="E1541" s="7" t="str">
        <x:v>BL-Y</x:v>
      </x:c>
      <x:c r="F1541" s="7" t="str">
        <x:v>MF-16</x:v>
      </x:c>
      <x:c r="G1541" s="7" t="str">
        <x:v>water motive energy</x:v>
      </x:c>
      <x:c r="H1541" s="7" t="n">
        <x:v>5</x:v>
      </x:c>
      <x:c r="I1541" s="7" t="str"/>
      <x:c r="J1541" s="7" t="str"/>
      <x:c r="K1541" s="7" t="str"/>
      <x:c r="L1541" s="7" t="str"/>
      <x:c r="M1541" s="7" t="str"/>
      <x:c r="N1541" s="7" t="str"/>
      <x:c r="O1541" s="7" t="str">
        <x:f>IF(N1541="","OPEN",IF(OR(I1541="",J1541="",K1541="",L1541="",M1541=""),"FAIL","PASS"))</x:f>
        <x:v>OPEN</x:v>
      </x:c>
    </x:row>
    <x:row r="1542">
      <x:c r="B1542" s="7" t="str">
        <x:v>CH-PEA-B-Y2-16-6</x:v>
      </x:c>
      <x:c r="C1542" s="7" t="str">
        <x:v>PEA-B-Y2</x:v>
      </x:c>
      <x:c r="D1542" s="7" t="str">
        <x:v>BLD-B</x:v>
      </x:c>
      <x:c r="E1542" s="7" t="str">
        <x:v>BL-Y</x:v>
      </x:c>
      <x:c r="F1542" s="7" t="str">
        <x:v>MF-16</x:v>
      </x:c>
      <x:c r="G1542" s="7" t="str">
        <x:v>water motive energy</x:v>
      </x:c>
      <x:c r="H1542" s="7" t="n">
        <x:v>6</x:v>
      </x:c>
      <x:c r="I1542" s="7" t="str"/>
      <x:c r="J1542" s="7" t="str"/>
      <x:c r="K1542" s="7" t="str"/>
      <x:c r="L1542" s="7" t="str"/>
      <x:c r="M1542" s="7" t="str"/>
      <x:c r="N1542" s="7" t="str"/>
      <x:c r="O1542" s="7" t="str">
        <x:f>IF(N1542="","OPEN",IF(OR(I1542="",J1542="",K1542="",L1542="",M1542=""),"FAIL","PASS"))</x:f>
        <x:v>OPEN</x:v>
      </x:c>
    </x:row>
    <x:row r="1543">
      <x:c r="B1543" s="7" t="str">
        <x:v>CH-PEA-B-Y2-17-1</x:v>
      </x:c>
      <x:c r="C1543" s="7" t="str">
        <x:v>PEA-B-Y2</x:v>
      </x:c>
      <x:c r="D1543" s="7" t="str">
        <x:v>BLD-B</x:v>
      </x:c>
      <x:c r="E1543" s="7" t="str">
        <x:v>BL-Y</x:v>
      </x:c>
      <x:c r="F1543" s="7" t="str">
        <x:v>MF-17</x:v>
      </x:c>
      <x:c r="G1543" s="7" t="str">
        <x:v>normal power</x:v>
      </x:c>
      <x:c r="H1543" s="7" t="n">
        <x:v>1</x:v>
      </x:c>
      <x:c r="I1543" s="7" t="str"/>
      <x:c r="J1543" s="7" t="str"/>
      <x:c r="K1543" s="7" t="str"/>
      <x:c r="L1543" s="7" t="str"/>
      <x:c r="M1543" s="7" t="str"/>
      <x:c r="N1543" s="7" t="str"/>
      <x:c r="O1543" s="7" t="str">
        <x:f>IF(N1543="","OPEN",IF(OR(I1543="",J1543="",K1543="",L1543="",M1543=""),"FAIL","PASS"))</x:f>
        <x:v>OPEN</x:v>
      </x:c>
    </x:row>
    <x:row r="1544">
      <x:c r="B1544" s="7" t="str">
        <x:v>CH-PEA-B-Y2-17-2</x:v>
      </x:c>
      <x:c r="C1544" s="7" t="str">
        <x:v>PEA-B-Y2</x:v>
      </x:c>
      <x:c r="D1544" s="7" t="str">
        <x:v>BLD-B</x:v>
      </x:c>
      <x:c r="E1544" s="7" t="str">
        <x:v>BL-Y</x:v>
      </x:c>
      <x:c r="F1544" s="7" t="str">
        <x:v>MF-17</x:v>
      </x:c>
      <x:c r="G1544" s="7" t="str">
        <x:v>normal power</x:v>
      </x:c>
      <x:c r="H1544" s="7" t="n">
        <x:v>2</x:v>
      </x:c>
      <x:c r="I1544" s="7" t="str"/>
      <x:c r="J1544" s="7" t="str"/>
      <x:c r="K1544" s="7" t="str"/>
      <x:c r="L1544" s="7" t="str"/>
      <x:c r="M1544" s="7" t="str"/>
      <x:c r="N1544" s="7" t="str"/>
      <x:c r="O1544" s="7" t="str">
        <x:f>IF(N1544="","OPEN",IF(OR(I1544="",J1544="",K1544="",L1544="",M1544=""),"FAIL","PASS"))</x:f>
        <x:v>OPEN</x:v>
      </x:c>
    </x:row>
    <x:row r="1545">
      <x:c r="B1545" s="7" t="str">
        <x:v>CH-PEA-B-Y2-17-3</x:v>
      </x:c>
      <x:c r="C1545" s="7" t="str">
        <x:v>PEA-B-Y2</x:v>
      </x:c>
      <x:c r="D1545" s="7" t="str">
        <x:v>BLD-B</x:v>
      </x:c>
      <x:c r="E1545" s="7" t="str">
        <x:v>BL-Y</x:v>
      </x:c>
      <x:c r="F1545" s="7" t="str">
        <x:v>MF-17</x:v>
      </x:c>
      <x:c r="G1545" s="7" t="str">
        <x:v>normal power</x:v>
      </x:c>
      <x:c r="H1545" s="7" t="n">
        <x:v>3</x:v>
      </x:c>
      <x:c r="I1545" s="7" t="str"/>
      <x:c r="J1545" s="7" t="str"/>
      <x:c r="K1545" s="7" t="str"/>
      <x:c r="L1545" s="7" t="str"/>
      <x:c r="M1545" s="7" t="str"/>
      <x:c r="N1545" s="7" t="str"/>
      <x:c r="O1545" s="7" t="str">
        <x:f>IF(N1545="","OPEN",IF(OR(I1545="",J1545="",K1545="",L1545="",M1545=""),"FAIL","PASS"))</x:f>
        <x:v>OPEN</x:v>
      </x:c>
    </x:row>
    <x:row r="1546">
      <x:c r="B1546" s="7" t="str">
        <x:v>CH-PEA-B-Y2-17-4</x:v>
      </x:c>
      <x:c r="C1546" s="7" t="str">
        <x:v>PEA-B-Y2</x:v>
      </x:c>
      <x:c r="D1546" s="7" t="str">
        <x:v>BLD-B</x:v>
      </x:c>
      <x:c r="E1546" s="7" t="str">
        <x:v>BL-Y</x:v>
      </x:c>
      <x:c r="F1546" s="7" t="str">
        <x:v>MF-17</x:v>
      </x:c>
      <x:c r="G1546" s="7" t="str">
        <x:v>normal power</x:v>
      </x:c>
      <x:c r="H1546" s="7" t="n">
        <x:v>4</x:v>
      </x:c>
      <x:c r="I1546" s="7" t="str"/>
      <x:c r="J1546" s="7" t="str"/>
      <x:c r="K1546" s="7" t="str"/>
      <x:c r="L1546" s="7" t="str"/>
      <x:c r="M1546" s="7" t="str"/>
      <x:c r="N1546" s="7" t="str"/>
      <x:c r="O1546" s="7" t="str">
        <x:f>IF(N1546="","OPEN",IF(OR(I1546="",J1546="",K1546="",L1546="",M1546=""),"FAIL","PASS"))</x:f>
        <x:v>OPEN</x:v>
      </x:c>
    </x:row>
    <x:row r="1547">
      <x:c r="B1547" s="7" t="str">
        <x:v>CH-PEA-B-Y2-17-5</x:v>
      </x:c>
      <x:c r="C1547" s="7" t="str">
        <x:v>PEA-B-Y2</x:v>
      </x:c>
      <x:c r="D1547" s="7" t="str">
        <x:v>BLD-B</x:v>
      </x:c>
      <x:c r="E1547" s="7" t="str">
        <x:v>BL-Y</x:v>
      </x:c>
      <x:c r="F1547" s="7" t="str">
        <x:v>MF-17</x:v>
      </x:c>
      <x:c r="G1547" s="7" t="str">
        <x:v>normal power</x:v>
      </x:c>
      <x:c r="H1547" s="7" t="n">
        <x:v>5</x:v>
      </x:c>
      <x:c r="I1547" s="7" t="str"/>
      <x:c r="J1547" s="7" t="str"/>
      <x:c r="K1547" s="7" t="str"/>
      <x:c r="L1547" s="7" t="str"/>
      <x:c r="M1547" s="7" t="str"/>
      <x:c r="N1547" s="7" t="str"/>
      <x:c r="O1547" s="7" t="str">
        <x:f>IF(N1547="","OPEN",IF(OR(I1547="",J1547="",K1547="",L1547="",M1547=""),"FAIL","PASS"))</x:f>
        <x:v>OPEN</x:v>
      </x:c>
    </x:row>
    <x:row r="1548">
      <x:c r="B1548" s="7" t="str">
        <x:v>CH-PEA-B-Y2-17-6</x:v>
      </x:c>
      <x:c r="C1548" s="7" t="str">
        <x:v>PEA-B-Y2</x:v>
      </x:c>
      <x:c r="D1548" s="7" t="str">
        <x:v>BLD-B</x:v>
      </x:c>
      <x:c r="E1548" s="7" t="str">
        <x:v>BL-Y</x:v>
      </x:c>
      <x:c r="F1548" s="7" t="str">
        <x:v>MF-17</x:v>
      </x:c>
      <x:c r="G1548" s="7" t="str">
        <x:v>normal power</x:v>
      </x:c>
      <x:c r="H1548" s="7" t="n">
        <x:v>6</x:v>
      </x:c>
      <x:c r="I1548" s="7" t="str"/>
      <x:c r="J1548" s="7" t="str"/>
      <x:c r="K1548" s="7" t="str"/>
      <x:c r="L1548" s="7" t="str"/>
      <x:c r="M1548" s="7" t="str"/>
      <x:c r="N1548" s="7" t="str"/>
      <x:c r="O1548" s="7" t="str">
        <x:f>IF(N1548="","OPEN",IF(OR(I1548="",J1548="",K1548="",L1548="",M1548=""),"FAIL","PASS"))</x:f>
        <x:v>OPEN</x:v>
      </x:c>
    </x:row>
    <x:row r="1549">
      <x:c r="B1549" s="7" t="str">
        <x:v>CH-PEA-B-Y2-18-1</x:v>
      </x:c>
      <x:c r="C1549" s="7" t="str">
        <x:v>PEA-B-Y2</x:v>
      </x:c>
      <x:c r="D1549" s="7" t="str">
        <x:v>BLD-B</x:v>
      </x:c>
      <x:c r="E1549" s="7" t="str">
        <x:v>BL-Y</x:v>
      </x:c>
      <x:c r="F1549" s="7" t="str">
        <x:v>MF-18</x:v>
      </x:c>
      <x:c r="G1549" s="7" t="str">
        <x:v>independent power</x:v>
      </x:c>
      <x:c r="H1549" s="7" t="n">
        <x:v>1</x:v>
      </x:c>
      <x:c r="I1549" s="7" t="str"/>
      <x:c r="J1549" s="7" t="str"/>
      <x:c r="K1549" s="7" t="str"/>
      <x:c r="L1549" s="7" t="str"/>
      <x:c r="M1549" s="7" t="str"/>
      <x:c r="N1549" s="7" t="str"/>
      <x:c r="O1549" s="7" t="str">
        <x:f>IF(N1549="","OPEN",IF(OR(I1549="",J1549="",K1549="",L1549="",M1549=""),"FAIL","PASS"))</x:f>
        <x:v>OPEN</x:v>
      </x:c>
    </x:row>
    <x:row r="1550">
      <x:c r="B1550" s="7" t="str">
        <x:v>CH-PEA-B-Y2-18-2</x:v>
      </x:c>
      <x:c r="C1550" s="7" t="str">
        <x:v>PEA-B-Y2</x:v>
      </x:c>
      <x:c r="D1550" s="7" t="str">
        <x:v>BLD-B</x:v>
      </x:c>
      <x:c r="E1550" s="7" t="str">
        <x:v>BL-Y</x:v>
      </x:c>
      <x:c r="F1550" s="7" t="str">
        <x:v>MF-18</x:v>
      </x:c>
      <x:c r="G1550" s="7" t="str">
        <x:v>independent power</x:v>
      </x:c>
      <x:c r="H1550" s="7" t="n">
        <x:v>2</x:v>
      </x:c>
      <x:c r="I1550" s="7" t="str"/>
      <x:c r="J1550" s="7" t="str"/>
      <x:c r="K1550" s="7" t="str"/>
      <x:c r="L1550" s="7" t="str"/>
      <x:c r="M1550" s="7" t="str"/>
      <x:c r="N1550" s="7" t="str"/>
      <x:c r="O1550" s="7" t="str">
        <x:f>IF(N1550="","OPEN",IF(OR(I1550="",J1550="",K1550="",L1550="",M1550=""),"FAIL","PASS"))</x:f>
        <x:v>OPEN</x:v>
      </x:c>
    </x:row>
    <x:row r="1551">
      <x:c r="B1551" s="7" t="str">
        <x:v>CH-PEA-B-Y2-18-3</x:v>
      </x:c>
      <x:c r="C1551" s="7" t="str">
        <x:v>PEA-B-Y2</x:v>
      </x:c>
      <x:c r="D1551" s="7" t="str">
        <x:v>BLD-B</x:v>
      </x:c>
      <x:c r="E1551" s="7" t="str">
        <x:v>BL-Y</x:v>
      </x:c>
      <x:c r="F1551" s="7" t="str">
        <x:v>MF-18</x:v>
      </x:c>
      <x:c r="G1551" s="7" t="str">
        <x:v>independent power</x:v>
      </x:c>
      <x:c r="H1551" s="7" t="n">
        <x:v>3</x:v>
      </x:c>
      <x:c r="I1551" s="7" t="str"/>
      <x:c r="J1551" s="7" t="str"/>
      <x:c r="K1551" s="7" t="str"/>
      <x:c r="L1551" s="7" t="str"/>
      <x:c r="M1551" s="7" t="str"/>
      <x:c r="N1551" s="7" t="str"/>
      <x:c r="O1551" s="7" t="str">
        <x:f>IF(N1551="","OPEN",IF(OR(I1551="",J1551="",K1551="",L1551="",M1551=""),"FAIL","PASS"))</x:f>
        <x:v>OPEN</x:v>
      </x:c>
    </x:row>
    <x:row r="1552">
      <x:c r="B1552" s="7" t="str">
        <x:v>CH-PEA-B-Y2-18-4</x:v>
      </x:c>
      <x:c r="C1552" s="7" t="str">
        <x:v>PEA-B-Y2</x:v>
      </x:c>
      <x:c r="D1552" s="7" t="str">
        <x:v>BLD-B</x:v>
      </x:c>
      <x:c r="E1552" s="7" t="str">
        <x:v>BL-Y</x:v>
      </x:c>
      <x:c r="F1552" s="7" t="str">
        <x:v>MF-18</x:v>
      </x:c>
      <x:c r="G1552" s="7" t="str">
        <x:v>independent power</x:v>
      </x:c>
      <x:c r="H1552" s="7" t="n">
        <x:v>4</x:v>
      </x:c>
      <x:c r="I1552" s="7" t="str"/>
      <x:c r="J1552" s="7" t="str"/>
      <x:c r="K1552" s="7" t="str"/>
      <x:c r="L1552" s="7" t="str"/>
      <x:c r="M1552" s="7" t="str"/>
      <x:c r="N1552" s="7" t="str"/>
      <x:c r="O1552" s="7" t="str">
        <x:f>IF(N1552="","OPEN",IF(OR(I1552="",J1552="",K1552="",L1552="",M1552=""),"FAIL","PASS"))</x:f>
        <x:v>OPEN</x:v>
      </x:c>
    </x:row>
    <x:row r="1553">
      <x:c r="B1553" s="7" t="str">
        <x:v>CH-PEA-B-Y2-18-5</x:v>
      </x:c>
      <x:c r="C1553" s="7" t="str">
        <x:v>PEA-B-Y2</x:v>
      </x:c>
      <x:c r="D1553" s="7" t="str">
        <x:v>BLD-B</x:v>
      </x:c>
      <x:c r="E1553" s="7" t="str">
        <x:v>BL-Y</x:v>
      </x:c>
      <x:c r="F1553" s="7" t="str">
        <x:v>MF-18</x:v>
      </x:c>
      <x:c r="G1553" s="7" t="str">
        <x:v>independent power</x:v>
      </x:c>
      <x:c r="H1553" s="7" t="n">
        <x:v>5</x:v>
      </x:c>
      <x:c r="I1553" s="7" t="str"/>
      <x:c r="J1553" s="7" t="str"/>
      <x:c r="K1553" s="7" t="str"/>
      <x:c r="L1553" s="7" t="str"/>
      <x:c r="M1553" s="7" t="str"/>
      <x:c r="N1553" s="7" t="str"/>
      <x:c r="O1553" s="7" t="str">
        <x:f>IF(N1553="","OPEN",IF(OR(I1553="",J1553="",K1553="",L1553="",M1553=""),"FAIL","PASS"))</x:f>
        <x:v>OPEN</x:v>
      </x:c>
    </x:row>
    <x:row r="1554">
      <x:c r="B1554" s="7" t="str">
        <x:v>CH-PEA-B-Y2-18-6</x:v>
      </x:c>
      <x:c r="C1554" s="7" t="str">
        <x:v>PEA-B-Y2</x:v>
      </x:c>
      <x:c r="D1554" s="7" t="str">
        <x:v>BLD-B</x:v>
      </x:c>
      <x:c r="E1554" s="7" t="str">
        <x:v>BL-Y</x:v>
      </x:c>
      <x:c r="F1554" s="7" t="str">
        <x:v>MF-18</x:v>
      </x:c>
      <x:c r="G1554" s="7" t="str">
        <x:v>independent power</x:v>
      </x:c>
      <x:c r="H1554" s="7" t="n">
        <x:v>6</x:v>
      </x:c>
      <x:c r="I1554" s="7" t="str"/>
      <x:c r="J1554" s="7" t="str"/>
      <x:c r="K1554" s="7" t="str"/>
      <x:c r="L1554" s="7" t="str"/>
      <x:c r="M1554" s="7" t="str"/>
      <x:c r="N1554" s="7" t="str"/>
      <x:c r="O1554" s="7" t="str">
        <x:f>IF(N1554="","OPEN",IF(OR(I1554="",J1554="",K1554="",L1554="",M1554=""),"FAIL","PASS"))</x:f>
        <x:v>OPEN</x:v>
      </x:c>
    </x:row>
    <x:row r="1555">
      <x:c r="B1555" s="7" t="str">
        <x:v>CH-PEA-B-Y2-19-1</x:v>
      </x:c>
      <x:c r="C1555" s="7" t="str">
        <x:v>PEA-B-Y2</x:v>
      </x:c>
      <x:c r="D1555" s="7" t="str">
        <x:v>BLD-B</x:v>
      </x:c>
      <x:c r="E1555" s="7" t="str">
        <x:v>BL-Y</x:v>
      </x:c>
      <x:c r="F1555" s="7" t="str">
        <x:v>MF-19</x:v>
      </x:c>
      <x:c r="G1555" s="7" t="str">
        <x:v>leak collection</x:v>
      </x:c>
      <x:c r="H1555" s="7" t="n">
        <x:v>1</x:v>
      </x:c>
      <x:c r="I1555" s="7" t="str"/>
      <x:c r="J1555" s="7" t="str"/>
      <x:c r="K1555" s="7" t="str"/>
      <x:c r="L1555" s="7" t="str"/>
      <x:c r="M1555" s="7" t="str"/>
      <x:c r="N1555" s="7" t="str"/>
      <x:c r="O1555" s="7" t="str">
        <x:f>IF(N1555="","OPEN",IF(OR(I1555="",J1555="",K1555="",L1555="",M1555=""),"FAIL","PASS"))</x:f>
        <x:v>OPEN</x:v>
      </x:c>
    </x:row>
    <x:row r="1556">
      <x:c r="B1556" s="7" t="str">
        <x:v>CH-PEA-B-Y2-19-2</x:v>
      </x:c>
      <x:c r="C1556" s="7" t="str">
        <x:v>PEA-B-Y2</x:v>
      </x:c>
      <x:c r="D1556" s="7" t="str">
        <x:v>BLD-B</x:v>
      </x:c>
      <x:c r="E1556" s="7" t="str">
        <x:v>BL-Y</x:v>
      </x:c>
      <x:c r="F1556" s="7" t="str">
        <x:v>MF-19</x:v>
      </x:c>
      <x:c r="G1556" s="7" t="str">
        <x:v>leak collection</x:v>
      </x:c>
      <x:c r="H1556" s="7" t="n">
        <x:v>2</x:v>
      </x:c>
      <x:c r="I1556" s="7" t="str"/>
      <x:c r="J1556" s="7" t="str"/>
      <x:c r="K1556" s="7" t="str"/>
      <x:c r="L1556" s="7" t="str"/>
      <x:c r="M1556" s="7" t="str"/>
      <x:c r="N1556" s="7" t="str"/>
      <x:c r="O1556" s="7" t="str">
        <x:f>IF(N1556="","OPEN",IF(OR(I1556="",J1556="",K1556="",L1556="",M1556=""),"FAIL","PASS"))</x:f>
        <x:v>OPEN</x:v>
      </x:c>
    </x:row>
    <x:row r="1557">
      <x:c r="B1557" s="7" t="str">
        <x:v>CH-PEA-B-Y2-19-3</x:v>
      </x:c>
      <x:c r="C1557" s="7" t="str">
        <x:v>PEA-B-Y2</x:v>
      </x:c>
      <x:c r="D1557" s="7" t="str">
        <x:v>BLD-B</x:v>
      </x:c>
      <x:c r="E1557" s="7" t="str">
        <x:v>BL-Y</x:v>
      </x:c>
      <x:c r="F1557" s="7" t="str">
        <x:v>MF-19</x:v>
      </x:c>
      <x:c r="G1557" s="7" t="str">
        <x:v>leak collection</x:v>
      </x:c>
      <x:c r="H1557" s="7" t="n">
        <x:v>3</x:v>
      </x:c>
      <x:c r="I1557" s="7" t="str"/>
      <x:c r="J1557" s="7" t="str"/>
      <x:c r="K1557" s="7" t="str"/>
      <x:c r="L1557" s="7" t="str"/>
      <x:c r="M1557" s="7" t="str"/>
      <x:c r="N1557" s="7" t="str"/>
      <x:c r="O1557" s="7" t="str">
        <x:f>IF(N1557="","OPEN",IF(OR(I1557="",J1557="",K1557="",L1557="",M1557=""),"FAIL","PASS"))</x:f>
        <x:v>OPEN</x:v>
      </x:c>
    </x:row>
    <x:row r="1558">
      <x:c r="B1558" s="7" t="str">
        <x:v>CH-PEA-B-Y2-19-4</x:v>
      </x:c>
      <x:c r="C1558" s="7" t="str">
        <x:v>PEA-B-Y2</x:v>
      </x:c>
      <x:c r="D1558" s="7" t="str">
        <x:v>BLD-B</x:v>
      </x:c>
      <x:c r="E1558" s="7" t="str">
        <x:v>BL-Y</x:v>
      </x:c>
      <x:c r="F1558" s="7" t="str">
        <x:v>MF-19</x:v>
      </x:c>
      <x:c r="G1558" s="7" t="str">
        <x:v>leak collection</x:v>
      </x:c>
      <x:c r="H1558" s="7" t="n">
        <x:v>4</x:v>
      </x:c>
      <x:c r="I1558" s="7" t="str"/>
      <x:c r="J1558" s="7" t="str"/>
      <x:c r="K1558" s="7" t="str"/>
      <x:c r="L1558" s="7" t="str"/>
      <x:c r="M1558" s="7" t="str"/>
      <x:c r="N1558" s="7" t="str"/>
      <x:c r="O1558" s="7" t="str">
        <x:f>IF(N1558="","OPEN",IF(OR(I1558="",J1558="",K1558="",L1558="",M1558=""),"FAIL","PASS"))</x:f>
        <x:v>OPEN</x:v>
      </x:c>
    </x:row>
    <x:row r="1559">
      <x:c r="B1559" s="7" t="str">
        <x:v>CH-PEA-B-Y2-19-5</x:v>
      </x:c>
      <x:c r="C1559" s="7" t="str">
        <x:v>PEA-B-Y2</x:v>
      </x:c>
      <x:c r="D1559" s="7" t="str">
        <x:v>BLD-B</x:v>
      </x:c>
      <x:c r="E1559" s="7" t="str">
        <x:v>BL-Y</x:v>
      </x:c>
      <x:c r="F1559" s="7" t="str">
        <x:v>MF-19</x:v>
      </x:c>
      <x:c r="G1559" s="7" t="str">
        <x:v>leak collection</x:v>
      </x:c>
      <x:c r="H1559" s="7" t="n">
        <x:v>5</x:v>
      </x:c>
      <x:c r="I1559" s="7" t="str"/>
      <x:c r="J1559" s="7" t="str"/>
      <x:c r="K1559" s="7" t="str"/>
      <x:c r="L1559" s="7" t="str"/>
      <x:c r="M1559" s="7" t="str"/>
      <x:c r="N1559" s="7" t="str"/>
      <x:c r="O1559" s="7" t="str">
        <x:f>IF(N1559="","OPEN",IF(OR(I1559="",J1559="",K1559="",L1559="",M1559=""),"FAIL","PASS"))</x:f>
        <x:v>OPEN</x:v>
      </x:c>
    </x:row>
    <x:row r="1560">
      <x:c r="B1560" s="7" t="str">
        <x:v>CH-PEA-B-Y2-19-6</x:v>
      </x:c>
      <x:c r="C1560" s="7" t="str">
        <x:v>PEA-B-Y2</x:v>
      </x:c>
      <x:c r="D1560" s="7" t="str">
        <x:v>BLD-B</x:v>
      </x:c>
      <x:c r="E1560" s="7" t="str">
        <x:v>BL-Y</x:v>
      </x:c>
      <x:c r="F1560" s="7" t="str">
        <x:v>MF-19</x:v>
      </x:c>
      <x:c r="G1560" s="7" t="str">
        <x:v>leak collection</x:v>
      </x:c>
      <x:c r="H1560" s="7" t="n">
        <x:v>6</x:v>
      </x:c>
      <x:c r="I1560" s="7" t="str"/>
      <x:c r="J1560" s="7" t="str"/>
      <x:c r="K1560" s="7" t="str"/>
      <x:c r="L1560" s="7" t="str"/>
      <x:c r="M1560" s="7" t="str"/>
      <x:c r="N1560" s="7" t="str"/>
      <x:c r="O1560" s="7" t="str">
        <x:f>IF(N1560="","OPEN",IF(OR(I1560="",J1560="",K1560="",L1560="",M1560=""),"FAIL","PASS"))</x:f>
        <x:v>OPEN</x:v>
      </x:c>
    </x:row>
    <x:row r="1561">
      <x:c r="B1561" s="7" t="str">
        <x:v>CH-PEA-B-Y2-20-1</x:v>
      </x:c>
      <x:c r="C1561" s="7" t="str">
        <x:v>PEA-B-Y2</x:v>
      </x:c>
      <x:c r="D1561" s="7" t="str">
        <x:v>BLD-B</x:v>
      </x:c>
      <x:c r="E1561" s="7" t="str">
        <x:v>BL-Y</x:v>
      </x:c>
      <x:c r="F1561" s="7" t="str">
        <x:v>MF-20</x:v>
      </x:c>
      <x:c r="G1561" s="7" t="str">
        <x:v>occupied-area state</x:v>
      </x:c>
      <x:c r="H1561" s="7" t="n">
        <x:v>1</x:v>
      </x:c>
      <x:c r="I1561" s="7" t="str"/>
      <x:c r="J1561" s="7" t="str"/>
      <x:c r="K1561" s="7" t="str"/>
      <x:c r="L1561" s="7" t="str"/>
      <x:c r="M1561" s="7" t="str"/>
      <x:c r="N1561" s="7" t="str"/>
      <x:c r="O1561" s="7" t="str">
        <x:f>IF(N1561="","OPEN",IF(OR(I1561="",J1561="",K1561="",L1561="",M1561=""),"FAIL","PASS"))</x:f>
        <x:v>OPEN</x:v>
      </x:c>
    </x:row>
    <x:row r="1562">
      <x:c r="B1562" s="7" t="str">
        <x:v>CH-PEA-B-Y2-20-2</x:v>
      </x:c>
      <x:c r="C1562" s="7" t="str">
        <x:v>PEA-B-Y2</x:v>
      </x:c>
      <x:c r="D1562" s="7" t="str">
        <x:v>BLD-B</x:v>
      </x:c>
      <x:c r="E1562" s="7" t="str">
        <x:v>BL-Y</x:v>
      </x:c>
      <x:c r="F1562" s="7" t="str">
        <x:v>MF-20</x:v>
      </x:c>
      <x:c r="G1562" s="7" t="str">
        <x:v>occupied-area state</x:v>
      </x:c>
      <x:c r="H1562" s="7" t="n">
        <x:v>2</x:v>
      </x:c>
      <x:c r="I1562" s="7" t="str"/>
      <x:c r="J1562" s="7" t="str"/>
      <x:c r="K1562" s="7" t="str"/>
      <x:c r="L1562" s="7" t="str"/>
      <x:c r="M1562" s="7" t="str"/>
      <x:c r="N1562" s="7" t="str"/>
      <x:c r="O1562" s="7" t="str">
        <x:f>IF(N1562="","OPEN",IF(OR(I1562="",J1562="",K1562="",L1562="",M1562=""),"FAIL","PASS"))</x:f>
        <x:v>OPEN</x:v>
      </x:c>
    </x:row>
    <x:row r="1563">
      <x:c r="B1563" s="7" t="str">
        <x:v>CH-PEA-B-Y2-20-3</x:v>
      </x:c>
      <x:c r="C1563" s="7" t="str">
        <x:v>PEA-B-Y2</x:v>
      </x:c>
      <x:c r="D1563" s="7" t="str">
        <x:v>BLD-B</x:v>
      </x:c>
      <x:c r="E1563" s="7" t="str">
        <x:v>BL-Y</x:v>
      </x:c>
      <x:c r="F1563" s="7" t="str">
        <x:v>MF-20</x:v>
      </x:c>
      <x:c r="G1563" s="7" t="str">
        <x:v>occupied-area state</x:v>
      </x:c>
      <x:c r="H1563" s="7" t="n">
        <x:v>3</x:v>
      </x:c>
      <x:c r="I1563" s="7" t="str"/>
      <x:c r="J1563" s="7" t="str"/>
      <x:c r="K1563" s="7" t="str"/>
      <x:c r="L1563" s="7" t="str"/>
      <x:c r="M1563" s="7" t="str"/>
      <x:c r="N1563" s="7" t="str"/>
      <x:c r="O1563" s="7" t="str">
        <x:f>IF(N1563="","OPEN",IF(OR(I1563="",J1563="",K1563="",L1563="",M1563=""),"FAIL","PASS"))</x:f>
        <x:v>OPEN</x:v>
      </x:c>
    </x:row>
    <x:row r="1564">
      <x:c r="B1564" s="7" t="str">
        <x:v>CH-PEA-B-Y2-20-4</x:v>
      </x:c>
      <x:c r="C1564" s="7" t="str">
        <x:v>PEA-B-Y2</x:v>
      </x:c>
      <x:c r="D1564" s="7" t="str">
        <x:v>BLD-B</x:v>
      </x:c>
      <x:c r="E1564" s="7" t="str">
        <x:v>BL-Y</x:v>
      </x:c>
      <x:c r="F1564" s="7" t="str">
        <x:v>MF-20</x:v>
      </x:c>
      <x:c r="G1564" s="7" t="str">
        <x:v>occupied-area state</x:v>
      </x:c>
      <x:c r="H1564" s="7" t="n">
        <x:v>4</x:v>
      </x:c>
      <x:c r="I1564" s="7" t="str"/>
      <x:c r="J1564" s="7" t="str"/>
      <x:c r="K1564" s="7" t="str"/>
      <x:c r="L1564" s="7" t="str"/>
      <x:c r="M1564" s="7" t="str"/>
      <x:c r="N1564" s="7" t="str"/>
      <x:c r="O1564" s="7" t="str">
        <x:f>IF(N1564="","OPEN",IF(OR(I1564="",J1564="",K1564="",L1564="",M1564=""),"FAIL","PASS"))</x:f>
        <x:v>OPEN</x:v>
      </x:c>
    </x:row>
    <x:row r="1565">
      <x:c r="B1565" s="7" t="str">
        <x:v>CH-PEA-B-Y2-20-5</x:v>
      </x:c>
      <x:c r="C1565" s="7" t="str">
        <x:v>PEA-B-Y2</x:v>
      </x:c>
      <x:c r="D1565" s="7" t="str">
        <x:v>BLD-B</x:v>
      </x:c>
      <x:c r="E1565" s="7" t="str">
        <x:v>BL-Y</x:v>
      </x:c>
      <x:c r="F1565" s="7" t="str">
        <x:v>MF-20</x:v>
      </x:c>
      <x:c r="G1565" s="7" t="str">
        <x:v>occupied-area state</x:v>
      </x:c>
      <x:c r="H1565" s="7" t="n">
        <x:v>5</x:v>
      </x:c>
      <x:c r="I1565" s="7" t="str"/>
      <x:c r="J1565" s="7" t="str"/>
      <x:c r="K1565" s="7" t="str"/>
      <x:c r="L1565" s="7" t="str"/>
      <x:c r="M1565" s="7" t="str"/>
      <x:c r="N1565" s="7" t="str"/>
      <x:c r="O1565" s="7" t="str">
        <x:f>IF(N1565="","OPEN",IF(OR(I1565="",J1565="",K1565="",L1565="",M1565=""),"FAIL","PASS"))</x:f>
        <x:v>OPEN</x:v>
      </x:c>
    </x:row>
    <x:row r="1566">
      <x:c r="B1566" s="7" t="str">
        <x:v>CH-PEA-B-Y2-20-6</x:v>
      </x:c>
      <x:c r="C1566" s="7" t="str">
        <x:v>PEA-B-Y2</x:v>
      </x:c>
      <x:c r="D1566" s="7" t="str">
        <x:v>BLD-B</x:v>
      </x:c>
      <x:c r="E1566" s="7" t="str">
        <x:v>BL-Y</x:v>
      </x:c>
      <x:c r="F1566" s="7" t="str">
        <x:v>MF-20</x:v>
      </x:c>
      <x:c r="G1566" s="7" t="str">
        <x:v>occupied-area state</x:v>
      </x:c>
      <x:c r="H1566" s="7" t="n">
        <x:v>6</x:v>
      </x:c>
      <x:c r="I1566" s="7" t="str"/>
      <x:c r="J1566" s="7" t="str"/>
      <x:c r="K1566" s="7" t="str"/>
      <x:c r="L1566" s="7" t="str"/>
      <x:c r="M1566" s="7" t="str"/>
      <x:c r="N1566" s="7" t="str"/>
      <x:c r="O1566" s="7" t="str">
        <x:f>IF(N1566="","OPEN",IF(OR(I1566="",J1566="",K1566="",L1566="",M1566=""),"FAIL","PASS"))</x:f>
        <x:v>OPEN</x:v>
      </x:c>
    </x:row>
    <x:row r="1567">
      <x:c r="B1567" s="7" t="str">
        <x:v>CH-PEA-B-Y2-21-1</x:v>
      </x:c>
      <x:c r="C1567" s="7" t="str">
        <x:v>PEA-B-Y2</x:v>
      </x:c>
      <x:c r="D1567" s="7" t="str">
        <x:v>BLD-B</x:v>
      </x:c>
      <x:c r="E1567" s="7" t="str">
        <x:v>BL-Y</x:v>
      </x:c>
      <x:c r="F1567" s="7" t="str">
        <x:v>MF-21</x:v>
      </x:c>
      <x:c r="G1567" s="7" t="str">
        <x:v>public-water flow</x:v>
      </x:c>
      <x:c r="H1567" s="7" t="n">
        <x:v>1</x:v>
      </x:c>
      <x:c r="I1567" s="7" t="str"/>
      <x:c r="J1567" s="7" t="str"/>
      <x:c r="K1567" s="7" t="str"/>
      <x:c r="L1567" s="7" t="str"/>
      <x:c r="M1567" s="7" t="str"/>
      <x:c r="N1567" s="7" t="str"/>
      <x:c r="O1567" s="7" t="str">
        <x:f>IF(N1567="","OPEN",IF(OR(I1567="",J1567="",K1567="",L1567="",M1567=""),"FAIL","PASS"))</x:f>
        <x:v>OPEN</x:v>
      </x:c>
    </x:row>
    <x:row r="1568">
      <x:c r="B1568" s="7" t="str">
        <x:v>CH-PEA-B-Y2-21-2</x:v>
      </x:c>
      <x:c r="C1568" s="7" t="str">
        <x:v>PEA-B-Y2</x:v>
      </x:c>
      <x:c r="D1568" s="7" t="str">
        <x:v>BLD-B</x:v>
      </x:c>
      <x:c r="E1568" s="7" t="str">
        <x:v>BL-Y</x:v>
      </x:c>
      <x:c r="F1568" s="7" t="str">
        <x:v>MF-21</x:v>
      </x:c>
      <x:c r="G1568" s="7" t="str">
        <x:v>public-water flow</x:v>
      </x:c>
      <x:c r="H1568" s="7" t="n">
        <x:v>2</x:v>
      </x:c>
      <x:c r="I1568" s="7" t="str"/>
      <x:c r="J1568" s="7" t="str"/>
      <x:c r="K1568" s="7" t="str"/>
      <x:c r="L1568" s="7" t="str"/>
      <x:c r="M1568" s="7" t="str"/>
      <x:c r="N1568" s="7" t="str"/>
      <x:c r="O1568" s="7" t="str">
        <x:f>IF(N1568="","OPEN",IF(OR(I1568="",J1568="",K1568="",L1568="",M1568=""),"FAIL","PASS"))</x:f>
        <x:v>OPEN</x:v>
      </x:c>
    </x:row>
    <x:row r="1569">
      <x:c r="B1569" s="7" t="str">
        <x:v>CH-PEA-B-Y2-21-3</x:v>
      </x:c>
      <x:c r="C1569" s="7" t="str">
        <x:v>PEA-B-Y2</x:v>
      </x:c>
      <x:c r="D1569" s="7" t="str">
        <x:v>BLD-B</x:v>
      </x:c>
      <x:c r="E1569" s="7" t="str">
        <x:v>BL-Y</x:v>
      </x:c>
      <x:c r="F1569" s="7" t="str">
        <x:v>MF-21</x:v>
      </x:c>
      <x:c r="G1569" s="7" t="str">
        <x:v>public-water flow</x:v>
      </x:c>
      <x:c r="H1569" s="7" t="n">
        <x:v>3</x:v>
      </x:c>
      <x:c r="I1569" s="7" t="str"/>
      <x:c r="J1569" s="7" t="str"/>
      <x:c r="K1569" s="7" t="str"/>
      <x:c r="L1569" s="7" t="str"/>
      <x:c r="M1569" s="7" t="str"/>
      <x:c r="N1569" s="7" t="str"/>
      <x:c r="O1569" s="7" t="str">
        <x:f>IF(N1569="","OPEN",IF(OR(I1569="",J1569="",K1569="",L1569="",M1569=""),"FAIL","PASS"))</x:f>
        <x:v>OPEN</x:v>
      </x:c>
    </x:row>
    <x:row r="1570">
      <x:c r="B1570" s="7" t="str">
        <x:v>CH-PEA-B-Y2-21-4</x:v>
      </x:c>
      <x:c r="C1570" s="7" t="str">
        <x:v>PEA-B-Y2</x:v>
      </x:c>
      <x:c r="D1570" s="7" t="str">
        <x:v>BLD-B</x:v>
      </x:c>
      <x:c r="E1570" s="7" t="str">
        <x:v>BL-Y</x:v>
      </x:c>
      <x:c r="F1570" s="7" t="str">
        <x:v>MF-21</x:v>
      </x:c>
      <x:c r="G1570" s="7" t="str">
        <x:v>public-water flow</x:v>
      </x:c>
      <x:c r="H1570" s="7" t="n">
        <x:v>4</x:v>
      </x:c>
      <x:c r="I1570" s="7" t="str"/>
      <x:c r="J1570" s="7" t="str"/>
      <x:c r="K1570" s="7" t="str"/>
      <x:c r="L1570" s="7" t="str"/>
      <x:c r="M1570" s="7" t="str"/>
      <x:c r="N1570" s="7" t="str"/>
      <x:c r="O1570" s="7" t="str">
        <x:f>IF(N1570="","OPEN",IF(OR(I1570="",J1570="",K1570="",L1570="",M1570=""),"FAIL","PASS"))</x:f>
        <x:v>OPEN</x:v>
      </x:c>
    </x:row>
    <x:row r="1571">
      <x:c r="B1571" s="7" t="str">
        <x:v>CH-PEA-B-Y2-21-5</x:v>
      </x:c>
      <x:c r="C1571" s="7" t="str">
        <x:v>PEA-B-Y2</x:v>
      </x:c>
      <x:c r="D1571" s="7" t="str">
        <x:v>BLD-B</x:v>
      </x:c>
      <x:c r="E1571" s="7" t="str">
        <x:v>BL-Y</x:v>
      </x:c>
      <x:c r="F1571" s="7" t="str">
        <x:v>MF-21</x:v>
      </x:c>
      <x:c r="G1571" s="7" t="str">
        <x:v>public-water flow</x:v>
      </x:c>
      <x:c r="H1571" s="7" t="n">
        <x:v>5</x:v>
      </x:c>
      <x:c r="I1571" s="7" t="str"/>
      <x:c r="J1571" s="7" t="str"/>
      <x:c r="K1571" s="7" t="str"/>
      <x:c r="L1571" s="7" t="str"/>
      <x:c r="M1571" s="7" t="str"/>
      <x:c r="N1571" s="7" t="str"/>
      <x:c r="O1571" s="7" t="str">
        <x:f>IF(N1571="","OPEN",IF(OR(I1571="",J1571="",K1571="",L1571="",M1571=""),"FAIL","PASS"))</x:f>
        <x:v>OPEN</x:v>
      </x:c>
    </x:row>
    <x:row r="1572">
      <x:c r="B1572" s="7" t="str">
        <x:v>CH-PEA-B-Y2-21-6</x:v>
      </x:c>
      <x:c r="C1572" s="7" t="str">
        <x:v>PEA-B-Y2</x:v>
      </x:c>
      <x:c r="D1572" s="7" t="str">
        <x:v>BLD-B</x:v>
      </x:c>
      <x:c r="E1572" s="7" t="str">
        <x:v>BL-Y</x:v>
      </x:c>
      <x:c r="F1572" s="7" t="str">
        <x:v>MF-21</x:v>
      </x:c>
      <x:c r="G1572" s="7" t="str">
        <x:v>public-water flow</x:v>
      </x:c>
      <x:c r="H1572" s="7" t="n">
        <x:v>6</x:v>
      </x:c>
      <x:c r="I1572" s="7" t="str"/>
      <x:c r="J1572" s="7" t="str"/>
      <x:c r="K1572" s="7" t="str"/>
      <x:c r="L1572" s="7" t="str"/>
      <x:c r="M1572" s="7" t="str"/>
      <x:c r="N1572" s="7" t="str"/>
      <x:c r="O1572" s="7" t="str">
        <x:f>IF(N1572="","OPEN",IF(OR(I1572="",J1572="",K1572="",L1572="",M1572=""),"FAIL","PASS"))</x:f>
        <x:v>OPEN</x:v>
      </x:c>
    </x:row>
    <x:row r="1573">
      <x:c r="B1573" s="7" t="str">
        <x:v>CH-PEA-B-Y2-22-1</x:v>
      </x:c>
      <x:c r="C1573" s="7" t="str">
        <x:v>PEA-B-Y2</x:v>
      </x:c>
      <x:c r="D1573" s="7" t="str">
        <x:v>BLD-B</x:v>
      </x:c>
      <x:c r="E1573" s="7" t="str">
        <x:v>BL-Y</x:v>
      </x:c>
      <x:c r="F1573" s="7" t="str">
        <x:v>MF-22</x:v>
      </x:c>
      <x:c r="G1573" s="7" t="str">
        <x:v>source ancestry</x:v>
      </x:c>
      <x:c r="H1573" s="7" t="n">
        <x:v>1</x:v>
      </x:c>
      <x:c r="I1573" s="7" t="str"/>
      <x:c r="J1573" s="7" t="str"/>
      <x:c r="K1573" s="7" t="str"/>
      <x:c r="L1573" s="7" t="str"/>
      <x:c r="M1573" s="7" t="str"/>
      <x:c r="N1573" s="7" t="str"/>
      <x:c r="O1573" s="7" t="str">
        <x:f>IF(N1573="","OPEN",IF(OR(I1573="",J1573="",K1573="",L1573="",M1573=""),"FAIL","PASS"))</x:f>
        <x:v>OPEN</x:v>
      </x:c>
    </x:row>
    <x:row r="1574">
      <x:c r="B1574" s="7" t="str">
        <x:v>CH-PEA-B-Y2-22-2</x:v>
      </x:c>
      <x:c r="C1574" s="7" t="str">
        <x:v>PEA-B-Y2</x:v>
      </x:c>
      <x:c r="D1574" s="7" t="str">
        <x:v>BLD-B</x:v>
      </x:c>
      <x:c r="E1574" s="7" t="str">
        <x:v>BL-Y</x:v>
      </x:c>
      <x:c r="F1574" s="7" t="str">
        <x:v>MF-22</x:v>
      </x:c>
      <x:c r="G1574" s="7" t="str">
        <x:v>source ancestry</x:v>
      </x:c>
      <x:c r="H1574" s="7" t="n">
        <x:v>2</x:v>
      </x:c>
      <x:c r="I1574" s="7" t="str"/>
      <x:c r="J1574" s="7" t="str"/>
      <x:c r="K1574" s="7" t="str"/>
      <x:c r="L1574" s="7" t="str"/>
      <x:c r="M1574" s="7" t="str"/>
      <x:c r="N1574" s="7" t="str"/>
      <x:c r="O1574" s="7" t="str">
        <x:f>IF(N1574="","OPEN",IF(OR(I1574="",J1574="",K1574="",L1574="",M1574=""),"FAIL","PASS"))</x:f>
        <x:v>OPEN</x:v>
      </x:c>
    </x:row>
    <x:row r="1575">
      <x:c r="B1575" s="7" t="str">
        <x:v>CH-PEA-B-Y2-22-3</x:v>
      </x:c>
      <x:c r="C1575" s="7" t="str">
        <x:v>PEA-B-Y2</x:v>
      </x:c>
      <x:c r="D1575" s="7" t="str">
        <x:v>BLD-B</x:v>
      </x:c>
      <x:c r="E1575" s="7" t="str">
        <x:v>BL-Y</x:v>
      </x:c>
      <x:c r="F1575" s="7" t="str">
        <x:v>MF-22</x:v>
      </x:c>
      <x:c r="G1575" s="7" t="str">
        <x:v>source ancestry</x:v>
      </x:c>
      <x:c r="H1575" s="7" t="n">
        <x:v>3</x:v>
      </x:c>
      <x:c r="I1575" s="7" t="str"/>
      <x:c r="J1575" s="7" t="str"/>
      <x:c r="K1575" s="7" t="str"/>
      <x:c r="L1575" s="7" t="str"/>
      <x:c r="M1575" s="7" t="str"/>
      <x:c r="N1575" s="7" t="str"/>
      <x:c r="O1575" s="7" t="str">
        <x:f>IF(N1575="","OPEN",IF(OR(I1575="",J1575="",K1575="",L1575="",M1575=""),"FAIL","PASS"))</x:f>
        <x:v>OPEN</x:v>
      </x:c>
    </x:row>
    <x:row r="1576">
      <x:c r="B1576" s="7" t="str">
        <x:v>CH-PEA-B-Y2-22-4</x:v>
      </x:c>
      <x:c r="C1576" s="7" t="str">
        <x:v>PEA-B-Y2</x:v>
      </x:c>
      <x:c r="D1576" s="7" t="str">
        <x:v>BLD-B</x:v>
      </x:c>
      <x:c r="E1576" s="7" t="str">
        <x:v>BL-Y</x:v>
      </x:c>
      <x:c r="F1576" s="7" t="str">
        <x:v>MF-22</x:v>
      </x:c>
      <x:c r="G1576" s="7" t="str">
        <x:v>source ancestry</x:v>
      </x:c>
      <x:c r="H1576" s="7" t="n">
        <x:v>4</x:v>
      </x:c>
      <x:c r="I1576" s="7" t="str"/>
      <x:c r="J1576" s="7" t="str"/>
      <x:c r="K1576" s="7" t="str"/>
      <x:c r="L1576" s="7" t="str"/>
      <x:c r="M1576" s="7" t="str"/>
      <x:c r="N1576" s="7" t="str"/>
      <x:c r="O1576" s="7" t="str">
        <x:f>IF(N1576="","OPEN",IF(OR(I1576="",J1576="",K1576="",L1576="",M1576=""),"FAIL","PASS"))</x:f>
        <x:v>OPEN</x:v>
      </x:c>
    </x:row>
    <x:row r="1577">
      <x:c r="B1577" s="7" t="str">
        <x:v>CH-PEA-B-Y2-22-5</x:v>
      </x:c>
      <x:c r="C1577" s="7" t="str">
        <x:v>PEA-B-Y2</x:v>
      </x:c>
      <x:c r="D1577" s="7" t="str">
        <x:v>BLD-B</x:v>
      </x:c>
      <x:c r="E1577" s="7" t="str">
        <x:v>BL-Y</x:v>
      </x:c>
      <x:c r="F1577" s="7" t="str">
        <x:v>MF-22</x:v>
      </x:c>
      <x:c r="G1577" s="7" t="str">
        <x:v>source ancestry</x:v>
      </x:c>
      <x:c r="H1577" s="7" t="n">
        <x:v>5</x:v>
      </x:c>
      <x:c r="I1577" s="7" t="str"/>
      <x:c r="J1577" s="7" t="str"/>
      <x:c r="K1577" s="7" t="str"/>
      <x:c r="L1577" s="7" t="str"/>
      <x:c r="M1577" s="7" t="str"/>
      <x:c r="N1577" s="7" t="str"/>
      <x:c r="O1577" s="7" t="str">
        <x:f>IF(N1577="","OPEN",IF(OR(I1577="",J1577="",K1577="",L1577="",M1577=""),"FAIL","PASS"))</x:f>
        <x:v>OPEN</x:v>
      </x:c>
    </x:row>
    <x:row r="1578">
      <x:c r="B1578" s="7" t="str">
        <x:v>CH-PEA-B-Y2-22-6</x:v>
      </x:c>
      <x:c r="C1578" s="7" t="str">
        <x:v>PEA-B-Y2</x:v>
      </x:c>
      <x:c r="D1578" s="7" t="str">
        <x:v>BLD-B</x:v>
      </x:c>
      <x:c r="E1578" s="7" t="str">
        <x:v>BL-Y</x:v>
      </x:c>
      <x:c r="F1578" s="7" t="str">
        <x:v>MF-22</x:v>
      </x:c>
      <x:c r="G1578" s="7" t="str">
        <x:v>source ancestry</x:v>
      </x:c>
      <x:c r="H1578" s="7" t="n">
        <x:v>6</x:v>
      </x:c>
      <x:c r="I1578" s="7" t="str"/>
      <x:c r="J1578" s="7" t="str"/>
      <x:c r="K1578" s="7" t="str"/>
      <x:c r="L1578" s="7" t="str"/>
      <x:c r="M1578" s="7" t="str"/>
      <x:c r="N1578" s="7" t="str"/>
      <x:c r="O1578" s="7" t="str">
        <x:f>IF(N1578="","OPEN",IF(OR(I1578="",J1578="",K1578="",L1578="",M1578=""),"FAIL","PASS"))</x:f>
        <x:v>OPEN</x:v>
      </x:c>
    </x:row>
    <x:row r="1579">
      <x:c r="B1579" s="7" t="str">
        <x:v>CH-PEA-B-Y2-23-1</x:v>
      </x:c>
      <x:c r="C1579" s="7" t="str">
        <x:v>PEA-B-Y2</x:v>
      </x:c>
      <x:c r="D1579" s="7" t="str">
        <x:v>BLD-B</x:v>
      </x:c>
      <x:c r="E1579" s="7" t="str">
        <x:v>BL-Y</x:v>
      </x:c>
      <x:c r="F1579" s="7" t="str">
        <x:v>MF-23</x:v>
      </x:c>
      <x:c r="G1579" s="7" t="str">
        <x:v>water ancestry</x:v>
      </x:c>
      <x:c r="H1579" s="7" t="n">
        <x:v>1</x:v>
      </x:c>
      <x:c r="I1579" s="7" t="str"/>
      <x:c r="J1579" s="7" t="str"/>
      <x:c r="K1579" s="7" t="str"/>
      <x:c r="L1579" s="7" t="str"/>
      <x:c r="M1579" s="7" t="str"/>
      <x:c r="N1579" s="7" t="str"/>
      <x:c r="O1579" s="7" t="str">
        <x:f>IF(N1579="","OPEN",IF(OR(I1579="",J1579="",K1579="",L1579="",M1579=""),"FAIL","PASS"))</x:f>
        <x:v>OPEN</x:v>
      </x:c>
    </x:row>
    <x:row r="1580">
      <x:c r="B1580" s="7" t="str">
        <x:v>CH-PEA-B-Y2-23-2</x:v>
      </x:c>
      <x:c r="C1580" s="7" t="str">
        <x:v>PEA-B-Y2</x:v>
      </x:c>
      <x:c r="D1580" s="7" t="str">
        <x:v>BLD-B</x:v>
      </x:c>
      <x:c r="E1580" s="7" t="str">
        <x:v>BL-Y</x:v>
      </x:c>
      <x:c r="F1580" s="7" t="str">
        <x:v>MF-23</x:v>
      </x:c>
      <x:c r="G1580" s="7" t="str">
        <x:v>water ancestry</x:v>
      </x:c>
      <x:c r="H1580" s="7" t="n">
        <x:v>2</x:v>
      </x:c>
      <x:c r="I1580" s="7" t="str"/>
      <x:c r="J1580" s="7" t="str"/>
      <x:c r="K1580" s="7" t="str"/>
      <x:c r="L1580" s="7" t="str"/>
      <x:c r="M1580" s="7" t="str"/>
      <x:c r="N1580" s="7" t="str"/>
      <x:c r="O1580" s="7" t="str">
        <x:f>IF(N1580="","OPEN",IF(OR(I1580="",J1580="",K1580="",L1580="",M1580=""),"FAIL","PASS"))</x:f>
        <x:v>OPEN</x:v>
      </x:c>
    </x:row>
    <x:row r="1581">
      <x:c r="B1581" s="7" t="str">
        <x:v>CH-PEA-B-Y2-23-3</x:v>
      </x:c>
      <x:c r="C1581" s="7" t="str">
        <x:v>PEA-B-Y2</x:v>
      </x:c>
      <x:c r="D1581" s="7" t="str">
        <x:v>BLD-B</x:v>
      </x:c>
      <x:c r="E1581" s="7" t="str">
        <x:v>BL-Y</x:v>
      </x:c>
      <x:c r="F1581" s="7" t="str">
        <x:v>MF-23</x:v>
      </x:c>
      <x:c r="G1581" s="7" t="str">
        <x:v>water ancestry</x:v>
      </x:c>
      <x:c r="H1581" s="7" t="n">
        <x:v>3</x:v>
      </x:c>
      <x:c r="I1581" s="7" t="str"/>
      <x:c r="J1581" s="7" t="str"/>
      <x:c r="K1581" s="7" t="str"/>
      <x:c r="L1581" s="7" t="str"/>
      <x:c r="M1581" s="7" t="str"/>
      <x:c r="N1581" s="7" t="str"/>
      <x:c r="O1581" s="7" t="str">
        <x:f>IF(N1581="","OPEN",IF(OR(I1581="",J1581="",K1581="",L1581="",M1581=""),"FAIL","PASS"))</x:f>
        <x:v>OPEN</x:v>
      </x:c>
    </x:row>
    <x:row r="1582">
      <x:c r="B1582" s="7" t="str">
        <x:v>CH-PEA-B-Y2-23-4</x:v>
      </x:c>
      <x:c r="C1582" s="7" t="str">
        <x:v>PEA-B-Y2</x:v>
      </x:c>
      <x:c r="D1582" s="7" t="str">
        <x:v>BLD-B</x:v>
      </x:c>
      <x:c r="E1582" s="7" t="str">
        <x:v>BL-Y</x:v>
      </x:c>
      <x:c r="F1582" s="7" t="str">
        <x:v>MF-23</x:v>
      </x:c>
      <x:c r="G1582" s="7" t="str">
        <x:v>water ancestry</x:v>
      </x:c>
      <x:c r="H1582" s="7" t="n">
        <x:v>4</x:v>
      </x:c>
      <x:c r="I1582" s="7" t="str"/>
      <x:c r="J1582" s="7" t="str"/>
      <x:c r="K1582" s="7" t="str"/>
      <x:c r="L1582" s="7" t="str"/>
      <x:c r="M1582" s="7" t="str"/>
      <x:c r="N1582" s="7" t="str"/>
      <x:c r="O1582" s="7" t="str">
        <x:f>IF(N1582="","OPEN",IF(OR(I1582="",J1582="",K1582="",L1582="",M1582=""),"FAIL","PASS"))</x:f>
        <x:v>OPEN</x:v>
      </x:c>
    </x:row>
    <x:row r="1583">
      <x:c r="B1583" s="7" t="str">
        <x:v>CH-PEA-B-Y2-23-5</x:v>
      </x:c>
      <x:c r="C1583" s="7" t="str">
        <x:v>PEA-B-Y2</x:v>
      </x:c>
      <x:c r="D1583" s="7" t="str">
        <x:v>BLD-B</x:v>
      </x:c>
      <x:c r="E1583" s="7" t="str">
        <x:v>BL-Y</x:v>
      </x:c>
      <x:c r="F1583" s="7" t="str">
        <x:v>MF-23</x:v>
      </x:c>
      <x:c r="G1583" s="7" t="str">
        <x:v>water ancestry</x:v>
      </x:c>
      <x:c r="H1583" s="7" t="n">
        <x:v>5</x:v>
      </x:c>
      <x:c r="I1583" s="7" t="str"/>
      <x:c r="J1583" s="7" t="str"/>
      <x:c r="K1583" s="7" t="str"/>
      <x:c r="L1583" s="7" t="str"/>
      <x:c r="M1583" s="7" t="str"/>
      <x:c r="N1583" s="7" t="str"/>
      <x:c r="O1583" s="7" t="str">
        <x:f>IF(N1583="","OPEN",IF(OR(I1583="",J1583="",K1583="",L1583="",M1583=""),"FAIL","PASS"))</x:f>
        <x:v>OPEN</x:v>
      </x:c>
    </x:row>
    <x:row r="1584">
      <x:c r="B1584" s="7" t="str">
        <x:v>CH-PEA-B-Y2-23-6</x:v>
      </x:c>
      <x:c r="C1584" s="7" t="str">
        <x:v>PEA-B-Y2</x:v>
      </x:c>
      <x:c r="D1584" s="7" t="str">
        <x:v>BLD-B</x:v>
      </x:c>
      <x:c r="E1584" s="7" t="str">
        <x:v>BL-Y</x:v>
      </x:c>
      <x:c r="F1584" s="7" t="str">
        <x:v>MF-23</x:v>
      </x:c>
      <x:c r="G1584" s="7" t="str">
        <x:v>water ancestry</x:v>
      </x:c>
      <x:c r="H1584" s="7" t="n">
        <x:v>6</x:v>
      </x:c>
      <x:c r="I1584" s="7" t="str"/>
      <x:c r="J1584" s="7" t="str"/>
      <x:c r="K1584" s="7" t="str"/>
      <x:c r="L1584" s="7" t="str"/>
      <x:c r="M1584" s="7" t="str"/>
      <x:c r="N1584" s="7" t="str"/>
      <x:c r="O1584" s="7" t="str">
        <x:f>IF(N1584="","OPEN",IF(OR(I1584="",J1584="",K1584="",L1584="",M1584=""),"FAIL","PASS"))</x:f>
        <x:v>OPEN</x:v>
      </x:c>
    </x:row>
    <x:row r="1585">
      <x:c r="B1585" s="7" t="str">
        <x:v>CH-PEA-B-Y2-24-1</x:v>
      </x:c>
      <x:c r="C1585" s="7" t="str">
        <x:v>PEA-B-Y2</x:v>
      </x:c>
      <x:c r="D1585" s="7" t="str">
        <x:v>BLD-B</x:v>
      </x:c>
      <x:c r="E1585" s="7" t="str">
        <x:v>BL-Y</x:v>
      </x:c>
      <x:c r="F1585" s="7" t="str">
        <x:v>MF-24</x:v>
      </x:c>
      <x:c r="G1585" s="7" t="str">
        <x:v>evidence health</x:v>
      </x:c>
      <x:c r="H1585" s="7" t="n">
        <x:v>1</x:v>
      </x:c>
      <x:c r="I1585" s="7" t="str"/>
      <x:c r="J1585" s="7" t="str"/>
      <x:c r="K1585" s="7" t="str"/>
      <x:c r="L1585" s="7" t="str"/>
      <x:c r="M1585" s="7" t="str"/>
      <x:c r="N1585" s="7" t="str"/>
      <x:c r="O1585" s="7" t="str">
        <x:f>IF(N1585="","OPEN",IF(OR(I1585="",J1585="",K1585="",L1585="",M1585=""),"FAIL","PASS"))</x:f>
        <x:v>OPEN</x:v>
      </x:c>
    </x:row>
    <x:row r="1586">
      <x:c r="B1586" s="7" t="str">
        <x:v>CH-PEA-B-Y2-24-2</x:v>
      </x:c>
      <x:c r="C1586" s="7" t="str">
        <x:v>PEA-B-Y2</x:v>
      </x:c>
      <x:c r="D1586" s="7" t="str">
        <x:v>BLD-B</x:v>
      </x:c>
      <x:c r="E1586" s="7" t="str">
        <x:v>BL-Y</x:v>
      </x:c>
      <x:c r="F1586" s="7" t="str">
        <x:v>MF-24</x:v>
      </x:c>
      <x:c r="G1586" s="7" t="str">
        <x:v>evidence health</x:v>
      </x:c>
      <x:c r="H1586" s="7" t="n">
        <x:v>2</x:v>
      </x:c>
      <x:c r="I1586" s="7" t="str"/>
      <x:c r="J1586" s="7" t="str"/>
      <x:c r="K1586" s="7" t="str"/>
      <x:c r="L1586" s="7" t="str"/>
      <x:c r="M1586" s="7" t="str"/>
      <x:c r="N1586" s="7" t="str"/>
      <x:c r="O1586" s="7" t="str">
        <x:f>IF(N1586="","OPEN",IF(OR(I1586="",J1586="",K1586="",L1586="",M1586=""),"FAIL","PASS"))</x:f>
        <x:v>OPEN</x:v>
      </x:c>
    </x:row>
    <x:row r="1587">
      <x:c r="B1587" s="7" t="str">
        <x:v>CH-PEA-B-Y2-24-3</x:v>
      </x:c>
      <x:c r="C1587" s="7" t="str">
        <x:v>PEA-B-Y2</x:v>
      </x:c>
      <x:c r="D1587" s="7" t="str">
        <x:v>BLD-B</x:v>
      </x:c>
      <x:c r="E1587" s="7" t="str">
        <x:v>BL-Y</x:v>
      </x:c>
      <x:c r="F1587" s="7" t="str">
        <x:v>MF-24</x:v>
      </x:c>
      <x:c r="G1587" s="7" t="str">
        <x:v>evidence health</x:v>
      </x:c>
      <x:c r="H1587" s="7" t="n">
        <x:v>3</x:v>
      </x:c>
      <x:c r="I1587" s="7" t="str"/>
      <x:c r="J1587" s="7" t="str"/>
      <x:c r="K1587" s="7" t="str"/>
      <x:c r="L1587" s="7" t="str"/>
      <x:c r="M1587" s="7" t="str"/>
      <x:c r="N1587" s="7" t="str"/>
      <x:c r="O1587" s="7" t="str">
        <x:f>IF(N1587="","OPEN",IF(OR(I1587="",J1587="",K1587="",L1587="",M1587=""),"FAIL","PASS"))</x:f>
        <x:v>OPEN</x:v>
      </x:c>
    </x:row>
    <x:row r="1588">
      <x:c r="B1588" s="7" t="str">
        <x:v>CH-PEA-B-Y2-24-4</x:v>
      </x:c>
      <x:c r="C1588" s="7" t="str">
        <x:v>PEA-B-Y2</x:v>
      </x:c>
      <x:c r="D1588" s="7" t="str">
        <x:v>BLD-B</x:v>
      </x:c>
      <x:c r="E1588" s="7" t="str">
        <x:v>BL-Y</x:v>
      </x:c>
      <x:c r="F1588" s="7" t="str">
        <x:v>MF-24</x:v>
      </x:c>
      <x:c r="G1588" s="7" t="str">
        <x:v>evidence health</x:v>
      </x:c>
      <x:c r="H1588" s="7" t="n">
        <x:v>4</x:v>
      </x:c>
      <x:c r="I1588" s="7" t="str"/>
      <x:c r="J1588" s="7" t="str"/>
      <x:c r="K1588" s="7" t="str"/>
      <x:c r="L1588" s="7" t="str"/>
      <x:c r="M1588" s="7" t="str"/>
      <x:c r="N1588" s="7" t="str"/>
      <x:c r="O1588" s="7" t="str">
        <x:f>IF(N1588="","OPEN",IF(OR(I1588="",J1588="",K1588="",L1588="",M1588=""),"FAIL","PASS"))</x:f>
        <x:v>OPEN</x:v>
      </x:c>
    </x:row>
    <x:row r="1589">
      <x:c r="B1589" s="7" t="str">
        <x:v>CH-PEA-B-Y2-24-5</x:v>
      </x:c>
      <x:c r="C1589" s="7" t="str">
        <x:v>PEA-B-Y2</x:v>
      </x:c>
      <x:c r="D1589" s="7" t="str">
        <x:v>BLD-B</x:v>
      </x:c>
      <x:c r="E1589" s="7" t="str">
        <x:v>BL-Y</x:v>
      </x:c>
      <x:c r="F1589" s="7" t="str">
        <x:v>MF-24</x:v>
      </x:c>
      <x:c r="G1589" s="7" t="str">
        <x:v>evidence health</x:v>
      </x:c>
      <x:c r="H1589" s="7" t="n">
        <x:v>5</x:v>
      </x:c>
      <x:c r="I1589" s="7" t="str"/>
      <x:c r="J1589" s="7" t="str"/>
      <x:c r="K1589" s="7" t="str"/>
      <x:c r="L1589" s="7" t="str"/>
      <x:c r="M1589" s="7" t="str"/>
      <x:c r="N1589" s="7" t="str"/>
      <x:c r="O1589" s="7" t="str">
        <x:f>IF(N1589="","OPEN",IF(OR(I1589="",J1589="",K1589="",L1589="",M1589=""),"FAIL","PASS"))</x:f>
        <x:v>OPEN</x:v>
      </x:c>
    </x:row>
    <x:row r="1590">
      <x:c r="B1590" s="7" t="str">
        <x:v>CH-PEA-B-Y2-24-6</x:v>
      </x:c>
      <x:c r="C1590" s="7" t="str">
        <x:v>PEA-B-Y2</x:v>
      </x:c>
      <x:c r="D1590" s="7" t="str">
        <x:v>BLD-B</x:v>
      </x:c>
      <x:c r="E1590" s="7" t="str">
        <x:v>BL-Y</x:v>
      </x:c>
      <x:c r="F1590" s="7" t="str">
        <x:v>MF-24</x:v>
      </x:c>
      <x:c r="G1590" s="7" t="str">
        <x:v>evidence health</x:v>
      </x:c>
      <x:c r="H1590" s="7" t="n">
        <x:v>6</x:v>
      </x:c>
      <x:c r="I1590" s="7" t="str"/>
      <x:c r="J1590" s="7" t="str"/>
      <x:c r="K1590" s="7" t="str"/>
      <x:c r="L1590" s="7" t="str"/>
      <x:c r="M1590" s="7" t="str"/>
      <x:c r="N1590" s="7" t="str"/>
      <x:c r="O1590" s="7" t="str">
        <x:f>IF(N1590="","OPEN",IF(OR(I1590="",J1590="",K1590="",L1590="",M1590=""),"FAIL","PASS"))</x:f>
        <x:v>OPEN</x:v>
      </x:c>
    </x:row>
    <x:row r="1591">
      <x:c r="B1591" s="7" t="str">
        <x:v>CH-PEA-B-Y3-01-1</x:v>
      </x:c>
      <x:c r="C1591" s="7" t="str">
        <x:v>PEA-B-Y3</x:v>
      </x:c>
      <x:c r="D1591" s="7" t="str">
        <x:v>BLD-B</x:v>
      </x:c>
      <x:c r="E1591" s="7" t="str">
        <x:v>BL-Y</x:v>
      </x:c>
      <x:c r="F1591" s="7" t="str">
        <x:v>MF-01</x:v>
      </x:c>
      <x:c r="G1591" s="7" t="str">
        <x:v>source vessel mass</x:v>
      </x:c>
      <x:c r="H1591" s="7" t="n">
        <x:v>1</x:v>
      </x:c>
      <x:c r="I1591" s="7" t="str"/>
      <x:c r="J1591" s="7" t="str"/>
      <x:c r="K1591" s="7" t="str"/>
      <x:c r="L1591" s="7" t="str"/>
      <x:c r="M1591" s="7" t="str"/>
      <x:c r="N1591" s="7" t="str"/>
      <x:c r="O1591" s="7" t="str">
        <x:f>IF(N1591="","OPEN",IF(OR(I1591="",J1591="",K1591="",L1591="",M1591=""),"FAIL","PASS"))</x:f>
        <x:v>OPEN</x:v>
      </x:c>
    </x:row>
    <x:row r="1592">
      <x:c r="B1592" s="7" t="str">
        <x:v>CH-PEA-B-Y3-01-2</x:v>
      </x:c>
      <x:c r="C1592" s="7" t="str">
        <x:v>PEA-B-Y3</x:v>
      </x:c>
      <x:c r="D1592" s="7" t="str">
        <x:v>BLD-B</x:v>
      </x:c>
      <x:c r="E1592" s="7" t="str">
        <x:v>BL-Y</x:v>
      </x:c>
      <x:c r="F1592" s="7" t="str">
        <x:v>MF-01</x:v>
      </x:c>
      <x:c r="G1592" s="7" t="str">
        <x:v>source vessel mass</x:v>
      </x:c>
      <x:c r="H1592" s="7" t="n">
        <x:v>2</x:v>
      </x:c>
      <x:c r="I1592" s="7" t="str"/>
      <x:c r="J1592" s="7" t="str"/>
      <x:c r="K1592" s="7" t="str"/>
      <x:c r="L1592" s="7" t="str"/>
      <x:c r="M1592" s="7" t="str"/>
      <x:c r="N1592" s="7" t="str"/>
      <x:c r="O1592" s="7" t="str">
        <x:f>IF(N1592="","OPEN",IF(OR(I1592="",J1592="",K1592="",L1592="",M1592=""),"FAIL","PASS"))</x:f>
        <x:v>OPEN</x:v>
      </x:c>
    </x:row>
    <x:row r="1593">
      <x:c r="B1593" s="7" t="str">
        <x:v>CH-PEA-B-Y3-01-3</x:v>
      </x:c>
      <x:c r="C1593" s="7" t="str">
        <x:v>PEA-B-Y3</x:v>
      </x:c>
      <x:c r="D1593" s="7" t="str">
        <x:v>BLD-B</x:v>
      </x:c>
      <x:c r="E1593" s="7" t="str">
        <x:v>BL-Y</x:v>
      </x:c>
      <x:c r="F1593" s="7" t="str">
        <x:v>MF-01</x:v>
      </x:c>
      <x:c r="G1593" s="7" t="str">
        <x:v>source vessel mass</x:v>
      </x:c>
      <x:c r="H1593" s="7" t="n">
        <x:v>3</x:v>
      </x:c>
      <x:c r="I1593" s="7" t="str"/>
      <x:c r="J1593" s="7" t="str"/>
      <x:c r="K1593" s="7" t="str"/>
      <x:c r="L1593" s="7" t="str"/>
      <x:c r="M1593" s="7" t="str"/>
      <x:c r="N1593" s="7" t="str"/>
      <x:c r="O1593" s="7" t="str">
        <x:f>IF(N1593="","OPEN",IF(OR(I1593="",J1593="",K1593="",L1593="",M1593=""),"FAIL","PASS"))</x:f>
        <x:v>OPEN</x:v>
      </x:c>
    </x:row>
    <x:row r="1594">
      <x:c r="B1594" s="7" t="str">
        <x:v>CH-PEA-B-Y3-01-4</x:v>
      </x:c>
      <x:c r="C1594" s="7" t="str">
        <x:v>PEA-B-Y3</x:v>
      </x:c>
      <x:c r="D1594" s="7" t="str">
        <x:v>BLD-B</x:v>
      </x:c>
      <x:c r="E1594" s="7" t="str">
        <x:v>BL-Y</x:v>
      </x:c>
      <x:c r="F1594" s="7" t="str">
        <x:v>MF-01</x:v>
      </x:c>
      <x:c r="G1594" s="7" t="str">
        <x:v>source vessel mass</x:v>
      </x:c>
      <x:c r="H1594" s="7" t="n">
        <x:v>4</x:v>
      </x:c>
      <x:c r="I1594" s="7" t="str"/>
      <x:c r="J1594" s="7" t="str"/>
      <x:c r="K1594" s="7" t="str"/>
      <x:c r="L1594" s="7" t="str"/>
      <x:c r="M1594" s="7" t="str"/>
      <x:c r="N1594" s="7" t="str"/>
      <x:c r="O1594" s="7" t="str">
        <x:f>IF(N1594="","OPEN",IF(OR(I1594="",J1594="",K1594="",L1594="",M1594=""),"FAIL","PASS"))</x:f>
        <x:v>OPEN</x:v>
      </x:c>
    </x:row>
    <x:row r="1595">
      <x:c r="B1595" s="7" t="str">
        <x:v>CH-PEA-B-Y3-01-5</x:v>
      </x:c>
      <x:c r="C1595" s="7" t="str">
        <x:v>PEA-B-Y3</x:v>
      </x:c>
      <x:c r="D1595" s="7" t="str">
        <x:v>BLD-B</x:v>
      </x:c>
      <x:c r="E1595" s="7" t="str">
        <x:v>BL-Y</x:v>
      </x:c>
      <x:c r="F1595" s="7" t="str">
        <x:v>MF-01</x:v>
      </x:c>
      <x:c r="G1595" s="7" t="str">
        <x:v>source vessel mass</x:v>
      </x:c>
      <x:c r="H1595" s="7" t="n">
        <x:v>5</x:v>
      </x:c>
      <x:c r="I1595" s="7" t="str"/>
      <x:c r="J1595" s="7" t="str"/>
      <x:c r="K1595" s="7" t="str"/>
      <x:c r="L1595" s="7" t="str"/>
      <x:c r="M1595" s="7" t="str"/>
      <x:c r="N1595" s="7" t="str"/>
      <x:c r="O1595" s="7" t="str">
        <x:f>IF(N1595="","OPEN",IF(OR(I1595="",J1595="",K1595="",L1595="",M1595=""),"FAIL","PASS"))</x:f>
        <x:v>OPEN</x:v>
      </x:c>
    </x:row>
    <x:row r="1596">
      <x:c r="B1596" s="7" t="str">
        <x:v>CH-PEA-B-Y3-01-6</x:v>
      </x:c>
      <x:c r="C1596" s="7" t="str">
        <x:v>PEA-B-Y3</x:v>
      </x:c>
      <x:c r="D1596" s="7" t="str">
        <x:v>BLD-B</x:v>
      </x:c>
      <x:c r="E1596" s="7" t="str">
        <x:v>BL-Y</x:v>
      </x:c>
      <x:c r="F1596" s="7" t="str">
        <x:v>MF-01</x:v>
      </x:c>
      <x:c r="G1596" s="7" t="str">
        <x:v>source vessel mass</x:v>
      </x:c>
      <x:c r="H1596" s="7" t="n">
        <x:v>6</x:v>
      </x:c>
      <x:c r="I1596" s="7" t="str"/>
      <x:c r="J1596" s="7" t="str"/>
      <x:c r="K1596" s="7" t="str"/>
      <x:c r="L1596" s="7" t="str"/>
      <x:c r="M1596" s="7" t="str"/>
      <x:c r="N1596" s="7" t="str"/>
      <x:c r="O1596" s="7" t="str">
        <x:f>IF(N1596="","OPEN",IF(OR(I1596="",J1596="",K1596="",L1596="",M1596=""),"FAIL","PASS"))</x:f>
        <x:v>OPEN</x:v>
      </x:c>
    </x:row>
    <x:row r="1597">
      <x:c r="B1597" s="7" t="str">
        <x:v>CH-PEA-B-Y3-02-1</x:v>
      </x:c>
      <x:c r="C1597" s="7" t="str">
        <x:v>PEA-B-Y3</x:v>
      </x:c>
      <x:c r="D1597" s="7" t="str">
        <x:v>BLD-B</x:v>
      </x:c>
      <x:c r="E1597" s="7" t="str">
        <x:v>BL-Y</x:v>
      </x:c>
      <x:c r="F1597" s="7" t="str">
        <x:v>MF-02</x:v>
      </x:c>
      <x:c r="G1597" s="7" t="str">
        <x:v>transfer mass</x:v>
      </x:c>
      <x:c r="H1597" s="7" t="n">
        <x:v>1</x:v>
      </x:c>
      <x:c r="I1597" s="7" t="str"/>
      <x:c r="J1597" s="7" t="str"/>
      <x:c r="K1597" s="7" t="str"/>
      <x:c r="L1597" s="7" t="str"/>
      <x:c r="M1597" s="7" t="str"/>
      <x:c r="N1597" s="7" t="str"/>
      <x:c r="O1597" s="7" t="str">
        <x:f>IF(N1597="","OPEN",IF(OR(I1597="",J1597="",K1597="",L1597="",M1597=""),"FAIL","PASS"))</x:f>
        <x:v>OPEN</x:v>
      </x:c>
    </x:row>
    <x:row r="1598">
      <x:c r="B1598" s="7" t="str">
        <x:v>CH-PEA-B-Y3-02-2</x:v>
      </x:c>
      <x:c r="C1598" s="7" t="str">
        <x:v>PEA-B-Y3</x:v>
      </x:c>
      <x:c r="D1598" s="7" t="str">
        <x:v>BLD-B</x:v>
      </x:c>
      <x:c r="E1598" s="7" t="str">
        <x:v>BL-Y</x:v>
      </x:c>
      <x:c r="F1598" s="7" t="str">
        <x:v>MF-02</x:v>
      </x:c>
      <x:c r="G1598" s="7" t="str">
        <x:v>transfer mass</x:v>
      </x:c>
      <x:c r="H1598" s="7" t="n">
        <x:v>2</x:v>
      </x:c>
      <x:c r="I1598" s="7" t="str"/>
      <x:c r="J1598" s="7" t="str"/>
      <x:c r="K1598" s="7" t="str"/>
      <x:c r="L1598" s="7" t="str"/>
      <x:c r="M1598" s="7" t="str"/>
      <x:c r="N1598" s="7" t="str"/>
      <x:c r="O1598" s="7" t="str">
        <x:f>IF(N1598="","OPEN",IF(OR(I1598="",J1598="",K1598="",L1598="",M1598=""),"FAIL","PASS"))</x:f>
        <x:v>OPEN</x:v>
      </x:c>
    </x:row>
    <x:row r="1599">
      <x:c r="B1599" s="7" t="str">
        <x:v>CH-PEA-B-Y3-02-3</x:v>
      </x:c>
      <x:c r="C1599" s="7" t="str">
        <x:v>PEA-B-Y3</x:v>
      </x:c>
      <x:c r="D1599" s="7" t="str">
        <x:v>BLD-B</x:v>
      </x:c>
      <x:c r="E1599" s="7" t="str">
        <x:v>BL-Y</x:v>
      </x:c>
      <x:c r="F1599" s="7" t="str">
        <x:v>MF-02</x:v>
      </x:c>
      <x:c r="G1599" s="7" t="str">
        <x:v>transfer mass</x:v>
      </x:c>
      <x:c r="H1599" s="7" t="n">
        <x:v>3</x:v>
      </x:c>
      <x:c r="I1599" s="7" t="str"/>
      <x:c r="J1599" s="7" t="str"/>
      <x:c r="K1599" s="7" t="str"/>
      <x:c r="L1599" s="7" t="str"/>
      <x:c r="M1599" s="7" t="str"/>
      <x:c r="N1599" s="7" t="str"/>
      <x:c r="O1599" s="7" t="str">
        <x:f>IF(N1599="","OPEN",IF(OR(I1599="",J1599="",K1599="",L1599="",M1599=""),"FAIL","PASS"))</x:f>
        <x:v>OPEN</x:v>
      </x:c>
    </x:row>
    <x:row r="1600">
      <x:c r="B1600" s="7" t="str">
        <x:v>CH-PEA-B-Y3-02-4</x:v>
      </x:c>
      <x:c r="C1600" s="7" t="str">
        <x:v>PEA-B-Y3</x:v>
      </x:c>
      <x:c r="D1600" s="7" t="str">
        <x:v>BLD-B</x:v>
      </x:c>
      <x:c r="E1600" s="7" t="str">
        <x:v>BL-Y</x:v>
      </x:c>
      <x:c r="F1600" s="7" t="str">
        <x:v>MF-02</x:v>
      </x:c>
      <x:c r="G1600" s="7" t="str">
        <x:v>transfer mass</x:v>
      </x:c>
      <x:c r="H1600" s="7" t="n">
        <x:v>4</x:v>
      </x:c>
      <x:c r="I1600" s="7" t="str"/>
      <x:c r="J1600" s="7" t="str"/>
      <x:c r="K1600" s="7" t="str"/>
      <x:c r="L1600" s="7" t="str"/>
      <x:c r="M1600" s="7" t="str"/>
      <x:c r="N1600" s="7" t="str"/>
      <x:c r="O1600" s="7" t="str">
        <x:f>IF(N1600="","OPEN",IF(OR(I1600="",J1600="",K1600="",L1600="",M1600=""),"FAIL","PASS"))</x:f>
        <x:v>OPEN</x:v>
      </x:c>
    </x:row>
    <x:row r="1601">
      <x:c r="B1601" s="7" t="str">
        <x:v>CH-PEA-B-Y3-02-5</x:v>
      </x:c>
      <x:c r="C1601" s="7" t="str">
        <x:v>PEA-B-Y3</x:v>
      </x:c>
      <x:c r="D1601" s="7" t="str">
        <x:v>BLD-B</x:v>
      </x:c>
      <x:c r="E1601" s="7" t="str">
        <x:v>BL-Y</x:v>
      </x:c>
      <x:c r="F1601" s="7" t="str">
        <x:v>MF-02</x:v>
      </x:c>
      <x:c r="G1601" s="7" t="str">
        <x:v>transfer mass</x:v>
      </x:c>
      <x:c r="H1601" s="7" t="n">
        <x:v>5</x:v>
      </x:c>
      <x:c r="I1601" s="7" t="str"/>
      <x:c r="J1601" s="7" t="str"/>
      <x:c r="K1601" s="7" t="str"/>
      <x:c r="L1601" s="7" t="str"/>
      <x:c r="M1601" s="7" t="str"/>
      <x:c r="N1601" s="7" t="str"/>
      <x:c r="O1601" s="7" t="str">
        <x:f>IF(N1601="","OPEN",IF(OR(I1601="",J1601="",K1601="",L1601="",M1601=""),"FAIL","PASS"))</x:f>
        <x:v>OPEN</x:v>
      </x:c>
    </x:row>
    <x:row r="1602">
      <x:c r="B1602" s="7" t="str">
        <x:v>CH-PEA-B-Y3-02-6</x:v>
      </x:c>
      <x:c r="C1602" s="7" t="str">
        <x:v>PEA-B-Y3</x:v>
      </x:c>
      <x:c r="D1602" s="7" t="str">
        <x:v>BLD-B</x:v>
      </x:c>
      <x:c r="E1602" s="7" t="str">
        <x:v>BL-Y</x:v>
      </x:c>
      <x:c r="F1602" s="7" t="str">
        <x:v>MF-02</x:v>
      </x:c>
      <x:c r="G1602" s="7" t="str">
        <x:v>transfer mass</x:v>
      </x:c>
      <x:c r="H1602" s="7" t="n">
        <x:v>6</x:v>
      </x:c>
      <x:c r="I1602" s="7" t="str"/>
      <x:c r="J1602" s="7" t="str"/>
      <x:c r="K1602" s="7" t="str"/>
      <x:c r="L1602" s="7" t="str"/>
      <x:c r="M1602" s="7" t="str"/>
      <x:c r="N1602" s="7" t="str"/>
      <x:c r="O1602" s="7" t="str">
        <x:f>IF(N1602="","OPEN",IF(OR(I1602="",J1602="",K1602="",L1602="",M1602=""),"FAIL","PASS"))</x:f>
        <x:v>OPEN</x:v>
      </x:c>
    </x:row>
    <x:row r="1603">
      <x:c r="B1603" s="7" t="str">
        <x:v>CH-PEA-B-Y3-03-1</x:v>
      </x:c>
      <x:c r="C1603" s="7" t="str">
        <x:v>PEA-B-Y3</x:v>
      </x:c>
      <x:c r="D1603" s="7" t="str">
        <x:v>BLD-B</x:v>
      </x:c>
      <x:c r="E1603" s="7" t="str">
        <x:v>BL-Y</x:v>
      </x:c>
      <x:c r="F1603" s="7" t="str">
        <x:v>MF-03</x:v>
      </x:c>
      <x:c r="G1603" s="7" t="str">
        <x:v>source pressure</x:v>
      </x:c>
      <x:c r="H1603" s="7" t="n">
        <x:v>1</x:v>
      </x:c>
      <x:c r="I1603" s="7" t="str"/>
      <x:c r="J1603" s="7" t="str"/>
      <x:c r="K1603" s="7" t="str"/>
      <x:c r="L1603" s="7" t="str"/>
      <x:c r="M1603" s="7" t="str"/>
      <x:c r="N1603" s="7" t="str"/>
      <x:c r="O1603" s="7" t="str">
        <x:f>IF(N1603="","OPEN",IF(OR(I1603="",J1603="",K1603="",L1603="",M1603=""),"FAIL","PASS"))</x:f>
        <x:v>OPEN</x:v>
      </x:c>
    </x:row>
    <x:row r="1604">
      <x:c r="B1604" s="7" t="str">
        <x:v>CH-PEA-B-Y3-03-2</x:v>
      </x:c>
      <x:c r="C1604" s="7" t="str">
        <x:v>PEA-B-Y3</x:v>
      </x:c>
      <x:c r="D1604" s="7" t="str">
        <x:v>BLD-B</x:v>
      </x:c>
      <x:c r="E1604" s="7" t="str">
        <x:v>BL-Y</x:v>
      </x:c>
      <x:c r="F1604" s="7" t="str">
        <x:v>MF-03</x:v>
      </x:c>
      <x:c r="G1604" s="7" t="str">
        <x:v>source pressure</x:v>
      </x:c>
      <x:c r="H1604" s="7" t="n">
        <x:v>2</x:v>
      </x:c>
      <x:c r="I1604" s="7" t="str"/>
      <x:c r="J1604" s="7" t="str"/>
      <x:c r="K1604" s="7" t="str"/>
      <x:c r="L1604" s="7" t="str"/>
      <x:c r="M1604" s="7" t="str"/>
      <x:c r="N1604" s="7" t="str"/>
      <x:c r="O1604" s="7" t="str">
        <x:f>IF(N1604="","OPEN",IF(OR(I1604="",J1604="",K1604="",L1604="",M1604=""),"FAIL","PASS"))</x:f>
        <x:v>OPEN</x:v>
      </x:c>
    </x:row>
    <x:row r="1605">
      <x:c r="B1605" s="7" t="str">
        <x:v>CH-PEA-B-Y3-03-3</x:v>
      </x:c>
      <x:c r="C1605" s="7" t="str">
        <x:v>PEA-B-Y3</x:v>
      </x:c>
      <x:c r="D1605" s="7" t="str">
        <x:v>BLD-B</x:v>
      </x:c>
      <x:c r="E1605" s="7" t="str">
        <x:v>BL-Y</x:v>
      </x:c>
      <x:c r="F1605" s="7" t="str">
        <x:v>MF-03</x:v>
      </x:c>
      <x:c r="G1605" s="7" t="str">
        <x:v>source pressure</x:v>
      </x:c>
      <x:c r="H1605" s="7" t="n">
        <x:v>3</x:v>
      </x:c>
      <x:c r="I1605" s="7" t="str"/>
      <x:c r="J1605" s="7" t="str"/>
      <x:c r="K1605" s="7" t="str"/>
      <x:c r="L1605" s="7" t="str"/>
      <x:c r="M1605" s="7" t="str"/>
      <x:c r="N1605" s="7" t="str"/>
      <x:c r="O1605" s="7" t="str">
        <x:f>IF(N1605="","OPEN",IF(OR(I1605="",J1605="",K1605="",L1605="",M1605=""),"FAIL","PASS"))</x:f>
        <x:v>OPEN</x:v>
      </x:c>
    </x:row>
    <x:row r="1606">
      <x:c r="B1606" s="7" t="str">
        <x:v>CH-PEA-B-Y3-03-4</x:v>
      </x:c>
      <x:c r="C1606" s="7" t="str">
        <x:v>PEA-B-Y3</x:v>
      </x:c>
      <x:c r="D1606" s="7" t="str">
        <x:v>BLD-B</x:v>
      </x:c>
      <x:c r="E1606" s="7" t="str">
        <x:v>BL-Y</x:v>
      </x:c>
      <x:c r="F1606" s="7" t="str">
        <x:v>MF-03</x:v>
      </x:c>
      <x:c r="G1606" s="7" t="str">
        <x:v>source pressure</x:v>
      </x:c>
      <x:c r="H1606" s="7" t="n">
        <x:v>4</x:v>
      </x:c>
      <x:c r="I1606" s="7" t="str"/>
      <x:c r="J1606" s="7" t="str"/>
      <x:c r="K1606" s="7" t="str"/>
      <x:c r="L1606" s="7" t="str"/>
      <x:c r="M1606" s="7" t="str"/>
      <x:c r="N1606" s="7" t="str"/>
      <x:c r="O1606" s="7" t="str">
        <x:f>IF(N1606="","OPEN",IF(OR(I1606="",J1606="",K1606="",L1606="",M1606=""),"FAIL","PASS"))</x:f>
        <x:v>OPEN</x:v>
      </x:c>
    </x:row>
    <x:row r="1607">
      <x:c r="B1607" s="7" t="str">
        <x:v>CH-PEA-B-Y3-03-5</x:v>
      </x:c>
      <x:c r="C1607" s="7" t="str">
        <x:v>PEA-B-Y3</x:v>
      </x:c>
      <x:c r="D1607" s="7" t="str">
        <x:v>BLD-B</x:v>
      </x:c>
      <x:c r="E1607" s="7" t="str">
        <x:v>BL-Y</x:v>
      </x:c>
      <x:c r="F1607" s="7" t="str">
        <x:v>MF-03</x:v>
      </x:c>
      <x:c r="G1607" s="7" t="str">
        <x:v>source pressure</x:v>
      </x:c>
      <x:c r="H1607" s="7" t="n">
        <x:v>5</x:v>
      </x:c>
      <x:c r="I1607" s="7" t="str"/>
      <x:c r="J1607" s="7" t="str"/>
      <x:c r="K1607" s="7" t="str"/>
      <x:c r="L1607" s="7" t="str"/>
      <x:c r="M1607" s="7" t="str"/>
      <x:c r="N1607" s="7" t="str"/>
      <x:c r="O1607" s="7" t="str">
        <x:f>IF(N1607="","OPEN",IF(OR(I1607="",J1607="",K1607="",L1607="",M1607=""),"FAIL","PASS"))</x:f>
        <x:v>OPEN</x:v>
      </x:c>
    </x:row>
    <x:row r="1608">
      <x:c r="B1608" s="7" t="str">
        <x:v>CH-PEA-B-Y3-03-6</x:v>
      </x:c>
      <x:c r="C1608" s="7" t="str">
        <x:v>PEA-B-Y3</x:v>
      </x:c>
      <x:c r="D1608" s="7" t="str">
        <x:v>BLD-B</x:v>
      </x:c>
      <x:c r="E1608" s="7" t="str">
        <x:v>BL-Y</x:v>
      </x:c>
      <x:c r="F1608" s="7" t="str">
        <x:v>MF-03</x:v>
      </x:c>
      <x:c r="G1608" s="7" t="str">
        <x:v>source pressure</x:v>
      </x:c>
      <x:c r="H1608" s="7" t="n">
        <x:v>6</x:v>
      </x:c>
      <x:c r="I1608" s="7" t="str"/>
      <x:c r="J1608" s="7" t="str"/>
      <x:c r="K1608" s="7" t="str"/>
      <x:c r="L1608" s="7" t="str"/>
      <x:c r="M1608" s="7" t="str"/>
      <x:c r="N1608" s="7" t="str"/>
      <x:c r="O1608" s="7" t="str">
        <x:f>IF(N1608="","OPEN",IF(OR(I1608="",J1608="",K1608="",L1608="",M1608=""),"FAIL","PASS"))</x:f>
        <x:v>OPEN</x:v>
      </x:c>
    </x:row>
    <x:row r="1609">
      <x:c r="B1609" s="7" t="str">
        <x:v>CH-PEA-B-Y3-04-1</x:v>
      </x:c>
      <x:c r="C1609" s="7" t="str">
        <x:v>PEA-B-Y3</x:v>
      </x:c>
      <x:c r="D1609" s="7" t="str">
        <x:v>BLD-B</x:v>
      </x:c>
      <x:c r="E1609" s="7" t="str">
        <x:v>BL-Y</x:v>
      </x:c>
      <x:c r="F1609" s="7" t="str">
        <x:v>MF-04</x:v>
      </x:c>
      <x:c r="G1609" s="7" t="str">
        <x:v>source temperature</x:v>
      </x:c>
      <x:c r="H1609" s="7" t="n">
        <x:v>1</x:v>
      </x:c>
      <x:c r="I1609" s="7" t="str"/>
      <x:c r="J1609" s="7" t="str"/>
      <x:c r="K1609" s="7" t="str"/>
      <x:c r="L1609" s="7" t="str"/>
      <x:c r="M1609" s="7" t="str"/>
      <x:c r="N1609" s="7" t="str"/>
      <x:c r="O1609" s="7" t="str">
        <x:f>IF(N1609="","OPEN",IF(OR(I1609="",J1609="",K1609="",L1609="",M1609=""),"FAIL","PASS"))</x:f>
        <x:v>OPEN</x:v>
      </x:c>
    </x:row>
    <x:row r="1610">
      <x:c r="B1610" s="7" t="str">
        <x:v>CH-PEA-B-Y3-04-2</x:v>
      </x:c>
      <x:c r="C1610" s="7" t="str">
        <x:v>PEA-B-Y3</x:v>
      </x:c>
      <x:c r="D1610" s="7" t="str">
        <x:v>BLD-B</x:v>
      </x:c>
      <x:c r="E1610" s="7" t="str">
        <x:v>BL-Y</x:v>
      </x:c>
      <x:c r="F1610" s="7" t="str">
        <x:v>MF-04</x:v>
      </x:c>
      <x:c r="G1610" s="7" t="str">
        <x:v>source temperature</x:v>
      </x:c>
      <x:c r="H1610" s="7" t="n">
        <x:v>2</x:v>
      </x:c>
      <x:c r="I1610" s="7" t="str"/>
      <x:c r="J1610" s="7" t="str"/>
      <x:c r="K1610" s="7" t="str"/>
      <x:c r="L1610" s="7" t="str"/>
      <x:c r="M1610" s="7" t="str"/>
      <x:c r="N1610" s="7" t="str"/>
      <x:c r="O1610" s="7" t="str">
        <x:f>IF(N1610="","OPEN",IF(OR(I1610="",J1610="",K1610="",L1610="",M1610=""),"FAIL","PASS"))</x:f>
        <x:v>OPEN</x:v>
      </x:c>
    </x:row>
    <x:row r="1611">
      <x:c r="B1611" s="7" t="str">
        <x:v>CH-PEA-B-Y3-04-3</x:v>
      </x:c>
      <x:c r="C1611" s="7" t="str">
        <x:v>PEA-B-Y3</x:v>
      </x:c>
      <x:c r="D1611" s="7" t="str">
        <x:v>BLD-B</x:v>
      </x:c>
      <x:c r="E1611" s="7" t="str">
        <x:v>BL-Y</x:v>
      </x:c>
      <x:c r="F1611" s="7" t="str">
        <x:v>MF-04</x:v>
      </x:c>
      <x:c r="G1611" s="7" t="str">
        <x:v>source temperature</x:v>
      </x:c>
      <x:c r="H1611" s="7" t="n">
        <x:v>3</x:v>
      </x:c>
      <x:c r="I1611" s="7" t="str"/>
      <x:c r="J1611" s="7" t="str"/>
      <x:c r="K1611" s="7" t="str"/>
      <x:c r="L1611" s="7" t="str"/>
      <x:c r="M1611" s="7" t="str"/>
      <x:c r="N1611" s="7" t="str"/>
      <x:c r="O1611" s="7" t="str">
        <x:f>IF(N1611="","OPEN",IF(OR(I1611="",J1611="",K1611="",L1611="",M1611=""),"FAIL","PASS"))</x:f>
        <x:v>OPEN</x:v>
      </x:c>
    </x:row>
    <x:row r="1612">
      <x:c r="B1612" s="7" t="str">
        <x:v>CH-PEA-B-Y3-04-4</x:v>
      </x:c>
      <x:c r="C1612" s="7" t="str">
        <x:v>PEA-B-Y3</x:v>
      </x:c>
      <x:c r="D1612" s="7" t="str">
        <x:v>BLD-B</x:v>
      </x:c>
      <x:c r="E1612" s="7" t="str">
        <x:v>BL-Y</x:v>
      </x:c>
      <x:c r="F1612" s="7" t="str">
        <x:v>MF-04</x:v>
      </x:c>
      <x:c r="G1612" s="7" t="str">
        <x:v>source temperature</x:v>
      </x:c>
      <x:c r="H1612" s="7" t="n">
        <x:v>4</x:v>
      </x:c>
      <x:c r="I1612" s="7" t="str"/>
      <x:c r="J1612" s="7" t="str"/>
      <x:c r="K1612" s="7" t="str"/>
      <x:c r="L1612" s="7" t="str"/>
      <x:c r="M1612" s="7" t="str"/>
      <x:c r="N1612" s="7" t="str"/>
      <x:c r="O1612" s="7" t="str">
        <x:f>IF(N1612="","OPEN",IF(OR(I1612="",J1612="",K1612="",L1612="",M1612=""),"FAIL","PASS"))</x:f>
        <x:v>OPEN</x:v>
      </x:c>
    </x:row>
    <x:row r="1613">
      <x:c r="B1613" s="7" t="str">
        <x:v>CH-PEA-B-Y3-04-5</x:v>
      </x:c>
      <x:c r="C1613" s="7" t="str">
        <x:v>PEA-B-Y3</x:v>
      </x:c>
      <x:c r="D1613" s="7" t="str">
        <x:v>BLD-B</x:v>
      </x:c>
      <x:c r="E1613" s="7" t="str">
        <x:v>BL-Y</x:v>
      </x:c>
      <x:c r="F1613" s="7" t="str">
        <x:v>MF-04</x:v>
      </x:c>
      <x:c r="G1613" s="7" t="str">
        <x:v>source temperature</x:v>
      </x:c>
      <x:c r="H1613" s="7" t="n">
        <x:v>5</x:v>
      </x:c>
      <x:c r="I1613" s="7" t="str"/>
      <x:c r="J1613" s="7" t="str"/>
      <x:c r="K1613" s="7" t="str"/>
      <x:c r="L1613" s="7" t="str"/>
      <x:c r="M1613" s="7" t="str"/>
      <x:c r="N1613" s="7" t="str"/>
      <x:c r="O1613" s="7" t="str">
        <x:f>IF(N1613="","OPEN",IF(OR(I1613="",J1613="",K1613="",L1613="",M1613=""),"FAIL","PASS"))</x:f>
        <x:v>OPEN</x:v>
      </x:c>
    </x:row>
    <x:row r="1614">
      <x:c r="B1614" s="7" t="str">
        <x:v>CH-PEA-B-Y3-04-6</x:v>
      </x:c>
      <x:c r="C1614" s="7" t="str">
        <x:v>PEA-B-Y3</x:v>
      </x:c>
      <x:c r="D1614" s="7" t="str">
        <x:v>BLD-B</x:v>
      </x:c>
      <x:c r="E1614" s="7" t="str">
        <x:v>BL-Y</x:v>
      </x:c>
      <x:c r="F1614" s="7" t="str">
        <x:v>MF-04</x:v>
      </x:c>
      <x:c r="G1614" s="7" t="str">
        <x:v>source temperature</x:v>
      </x:c>
      <x:c r="H1614" s="7" t="n">
        <x:v>6</x:v>
      </x:c>
      <x:c r="I1614" s="7" t="str"/>
      <x:c r="J1614" s="7" t="str"/>
      <x:c r="K1614" s="7" t="str"/>
      <x:c r="L1614" s="7" t="str"/>
      <x:c r="M1614" s="7" t="str"/>
      <x:c r="N1614" s="7" t="str"/>
      <x:c r="O1614" s="7" t="str">
        <x:f>IF(N1614="","OPEN",IF(OR(I1614="",J1614="",K1614="",L1614="",M1614=""),"FAIL","PASS"))</x:f>
        <x:v>OPEN</x:v>
      </x:c>
    </x:row>
    <x:row r="1615">
      <x:c r="B1615" s="7" t="str">
        <x:v>CH-PEA-B-Y3-05-1</x:v>
      </x:c>
      <x:c r="C1615" s="7" t="str">
        <x:v>PEA-B-Y3</x:v>
      </x:c>
      <x:c r="D1615" s="7" t="str">
        <x:v>BLD-B</x:v>
      </x:c>
      <x:c r="E1615" s="7" t="str">
        <x:v>BL-Y</x:v>
      </x:c>
      <x:c r="F1615" s="7" t="str">
        <x:v>MF-05</x:v>
      </x:c>
      <x:c r="G1615" s="7" t="str">
        <x:v>hold-up tomography</x:v>
      </x:c>
      <x:c r="H1615" s="7" t="n">
        <x:v>1</x:v>
      </x:c>
      <x:c r="I1615" s="7" t="str"/>
      <x:c r="J1615" s="7" t="str"/>
      <x:c r="K1615" s="7" t="str"/>
      <x:c r="L1615" s="7" t="str"/>
      <x:c r="M1615" s="7" t="str"/>
      <x:c r="N1615" s="7" t="str"/>
      <x:c r="O1615" s="7" t="str">
        <x:f>IF(N1615="","OPEN",IF(OR(I1615="",J1615="",K1615="",L1615="",M1615=""),"FAIL","PASS"))</x:f>
        <x:v>OPEN</x:v>
      </x:c>
    </x:row>
    <x:row r="1616">
      <x:c r="B1616" s="7" t="str">
        <x:v>CH-PEA-B-Y3-05-2</x:v>
      </x:c>
      <x:c r="C1616" s="7" t="str">
        <x:v>PEA-B-Y3</x:v>
      </x:c>
      <x:c r="D1616" s="7" t="str">
        <x:v>BLD-B</x:v>
      </x:c>
      <x:c r="E1616" s="7" t="str">
        <x:v>BL-Y</x:v>
      </x:c>
      <x:c r="F1616" s="7" t="str">
        <x:v>MF-05</x:v>
      </x:c>
      <x:c r="G1616" s="7" t="str">
        <x:v>hold-up tomography</x:v>
      </x:c>
      <x:c r="H1616" s="7" t="n">
        <x:v>2</x:v>
      </x:c>
      <x:c r="I1616" s="7" t="str"/>
      <x:c r="J1616" s="7" t="str"/>
      <x:c r="K1616" s="7" t="str"/>
      <x:c r="L1616" s="7" t="str"/>
      <x:c r="M1616" s="7" t="str"/>
      <x:c r="N1616" s="7" t="str"/>
      <x:c r="O1616" s="7" t="str">
        <x:f>IF(N1616="","OPEN",IF(OR(I1616="",J1616="",K1616="",L1616="",M1616=""),"FAIL","PASS"))</x:f>
        <x:v>OPEN</x:v>
      </x:c>
    </x:row>
    <x:row r="1617">
      <x:c r="B1617" s="7" t="str">
        <x:v>CH-PEA-B-Y3-05-3</x:v>
      </x:c>
      <x:c r="C1617" s="7" t="str">
        <x:v>PEA-B-Y3</x:v>
      </x:c>
      <x:c r="D1617" s="7" t="str">
        <x:v>BLD-B</x:v>
      </x:c>
      <x:c r="E1617" s="7" t="str">
        <x:v>BL-Y</x:v>
      </x:c>
      <x:c r="F1617" s="7" t="str">
        <x:v>MF-05</x:v>
      </x:c>
      <x:c r="G1617" s="7" t="str">
        <x:v>hold-up tomography</x:v>
      </x:c>
      <x:c r="H1617" s="7" t="n">
        <x:v>3</x:v>
      </x:c>
      <x:c r="I1617" s="7" t="str"/>
      <x:c r="J1617" s="7" t="str"/>
      <x:c r="K1617" s="7" t="str"/>
      <x:c r="L1617" s="7" t="str"/>
      <x:c r="M1617" s="7" t="str"/>
      <x:c r="N1617" s="7" t="str"/>
      <x:c r="O1617" s="7" t="str">
        <x:f>IF(N1617="","OPEN",IF(OR(I1617="",J1617="",K1617="",L1617="",M1617=""),"FAIL","PASS"))</x:f>
        <x:v>OPEN</x:v>
      </x:c>
    </x:row>
    <x:row r="1618">
      <x:c r="B1618" s="7" t="str">
        <x:v>CH-PEA-B-Y3-05-4</x:v>
      </x:c>
      <x:c r="C1618" s="7" t="str">
        <x:v>PEA-B-Y3</x:v>
      </x:c>
      <x:c r="D1618" s="7" t="str">
        <x:v>BLD-B</x:v>
      </x:c>
      <x:c r="E1618" s="7" t="str">
        <x:v>BL-Y</x:v>
      </x:c>
      <x:c r="F1618" s="7" t="str">
        <x:v>MF-05</x:v>
      </x:c>
      <x:c r="G1618" s="7" t="str">
        <x:v>hold-up tomography</x:v>
      </x:c>
      <x:c r="H1618" s="7" t="n">
        <x:v>4</x:v>
      </x:c>
      <x:c r="I1618" s="7" t="str"/>
      <x:c r="J1618" s="7" t="str"/>
      <x:c r="K1618" s="7" t="str"/>
      <x:c r="L1618" s="7" t="str"/>
      <x:c r="M1618" s="7" t="str"/>
      <x:c r="N1618" s="7" t="str"/>
      <x:c r="O1618" s="7" t="str">
        <x:f>IF(N1618="","OPEN",IF(OR(I1618="",J1618="",K1618="",L1618="",M1618=""),"FAIL","PASS"))</x:f>
        <x:v>OPEN</x:v>
      </x:c>
    </x:row>
    <x:row r="1619">
      <x:c r="B1619" s="7" t="str">
        <x:v>CH-PEA-B-Y3-05-5</x:v>
      </x:c>
      <x:c r="C1619" s="7" t="str">
        <x:v>PEA-B-Y3</x:v>
      </x:c>
      <x:c r="D1619" s="7" t="str">
        <x:v>BLD-B</x:v>
      </x:c>
      <x:c r="E1619" s="7" t="str">
        <x:v>BL-Y</x:v>
      </x:c>
      <x:c r="F1619" s="7" t="str">
        <x:v>MF-05</x:v>
      </x:c>
      <x:c r="G1619" s="7" t="str">
        <x:v>hold-up tomography</x:v>
      </x:c>
      <x:c r="H1619" s="7" t="n">
        <x:v>5</x:v>
      </x:c>
      <x:c r="I1619" s="7" t="str"/>
      <x:c r="J1619" s="7" t="str"/>
      <x:c r="K1619" s="7" t="str"/>
      <x:c r="L1619" s="7" t="str"/>
      <x:c r="M1619" s="7" t="str"/>
      <x:c r="N1619" s="7" t="str"/>
      <x:c r="O1619" s="7" t="str">
        <x:f>IF(N1619="","OPEN",IF(OR(I1619="",J1619="",K1619="",L1619="",M1619=""),"FAIL","PASS"))</x:f>
        <x:v>OPEN</x:v>
      </x:c>
    </x:row>
    <x:row r="1620">
      <x:c r="B1620" s="7" t="str">
        <x:v>CH-PEA-B-Y3-05-6</x:v>
      </x:c>
      <x:c r="C1620" s="7" t="str">
        <x:v>PEA-B-Y3</x:v>
      </x:c>
      <x:c r="D1620" s="7" t="str">
        <x:v>BLD-B</x:v>
      </x:c>
      <x:c r="E1620" s="7" t="str">
        <x:v>BL-Y</x:v>
      </x:c>
      <x:c r="F1620" s="7" t="str">
        <x:v>MF-05</x:v>
      </x:c>
      <x:c r="G1620" s="7" t="str">
        <x:v>hold-up tomography</x:v>
      </x:c>
      <x:c r="H1620" s="7" t="n">
        <x:v>6</x:v>
      </x:c>
      <x:c r="I1620" s="7" t="str"/>
      <x:c r="J1620" s="7" t="str"/>
      <x:c r="K1620" s="7" t="str"/>
      <x:c r="L1620" s="7" t="str"/>
      <x:c r="M1620" s="7" t="str"/>
      <x:c r="N1620" s="7" t="str"/>
      <x:c r="O1620" s="7" t="str">
        <x:f>IF(N1620="","OPEN",IF(OR(I1620="",J1620="",K1620="",L1620="",M1620=""),"FAIL","PASS"))</x:f>
        <x:v>OPEN</x:v>
      </x:c>
    </x:row>
    <x:row r="1621">
      <x:c r="B1621" s="7" t="str">
        <x:v>CH-PEA-B-Y3-06-1</x:v>
      </x:c>
      <x:c r="C1621" s="7" t="str">
        <x:v>PEA-B-Y3</x:v>
      </x:c>
      <x:c r="D1621" s="7" t="str">
        <x:v>BLD-B</x:v>
      </x:c>
      <x:c r="E1621" s="7" t="str">
        <x:v>BL-Y</x:v>
      </x:c>
      <x:c r="F1621" s="7" t="str">
        <x:v>MF-06</x:v>
      </x:c>
      <x:c r="G1621" s="7" t="str">
        <x:v>pan level</x:v>
      </x:c>
      <x:c r="H1621" s="7" t="n">
        <x:v>1</x:v>
      </x:c>
      <x:c r="I1621" s="7" t="str"/>
      <x:c r="J1621" s="7" t="str"/>
      <x:c r="K1621" s="7" t="str"/>
      <x:c r="L1621" s="7" t="str"/>
      <x:c r="M1621" s="7" t="str"/>
      <x:c r="N1621" s="7" t="str"/>
      <x:c r="O1621" s="7" t="str">
        <x:f>IF(N1621="","OPEN",IF(OR(I1621="",J1621="",K1621="",L1621="",M1621=""),"FAIL","PASS"))</x:f>
        <x:v>OPEN</x:v>
      </x:c>
    </x:row>
    <x:row r="1622">
      <x:c r="B1622" s="7" t="str">
        <x:v>CH-PEA-B-Y3-06-2</x:v>
      </x:c>
      <x:c r="C1622" s="7" t="str">
        <x:v>PEA-B-Y3</x:v>
      </x:c>
      <x:c r="D1622" s="7" t="str">
        <x:v>BLD-B</x:v>
      </x:c>
      <x:c r="E1622" s="7" t="str">
        <x:v>BL-Y</x:v>
      </x:c>
      <x:c r="F1622" s="7" t="str">
        <x:v>MF-06</x:v>
      </x:c>
      <x:c r="G1622" s="7" t="str">
        <x:v>pan level</x:v>
      </x:c>
      <x:c r="H1622" s="7" t="n">
        <x:v>2</x:v>
      </x:c>
      <x:c r="I1622" s="7" t="str"/>
      <x:c r="J1622" s="7" t="str"/>
      <x:c r="K1622" s="7" t="str"/>
      <x:c r="L1622" s="7" t="str"/>
      <x:c r="M1622" s="7" t="str"/>
      <x:c r="N1622" s="7" t="str"/>
      <x:c r="O1622" s="7" t="str">
        <x:f>IF(N1622="","OPEN",IF(OR(I1622="",J1622="",K1622="",L1622="",M1622=""),"FAIL","PASS"))</x:f>
        <x:v>OPEN</x:v>
      </x:c>
    </x:row>
    <x:row r="1623">
      <x:c r="B1623" s="7" t="str">
        <x:v>CH-PEA-B-Y3-06-3</x:v>
      </x:c>
      <x:c r="C1623" s="7" t="str">
        <x:v>PEA-B-Y3</x:v>
      </x:c>
      <x:c r="D1623" s="7" t="str">
        <x:v>BLD-B</x:v>
      </x:c>
      <x:c r="E1623" s="7" t="str">
        <x:v>BL-Y</x:v>
      </x:c>
      <x:c r="F1623" s="7" t="str">
        <x:v>MF-06</x:v>
      </x:c>
      <x:c r="G1623" s="7" t="str">
        <x:v>pan level</x:v>
      </x:c>
      <x:c r="H1623" s="7" t="n">
        <x:v>3</x:v>
      </x:c>
      <x:c r="I1623" s="7" t="str"/>
      <x:c r="J1623" s="7" t="str"/>
      <x:c r="K1623" s="7" t="str"/>
      <x:c r="L1623" s="7" t="str"/>
      <x:c r="M1623" s="7" t="str"/>
      <x:c r="N1623" s="7" t="str"/>
      <x:c r="O1623" s="7" t="str">
        <x:f>IF(N1623="","OPEN",IF(OR(I1623="",J1623="",K1623="",L1623="",M1623=""),"FAIL","PASS"))</x:f>
        <x:v>OPEN</x:v>
      </x:c>
    </x:row>
    <x:row r="1624">
      <x:c r="B1624" s="7" t="str">
        <x:v>CH-PEA-B-Y3-06-4</x:v>
      </x:c>
      <x:c r="C1624" s="7" t="str">
        <x:v>PEA-B-Y3</x:v>
      </x:c>
      <x:c r="D1624" s="7" t="str">
        <x:v>BLD-B</x:v>
      </x:c>
      <x:c r="E1624" s="7" t="str">
        <x:v>BL-Y</x:v>
      </x:c>
      <x:c r="F1624" s="7" t="str">
        <x:v>MF-06</x:v>
      </x:c>
      <x:c r="G1624" s="7" t="str">
        <x:v>pan level</x:v>
      </x:c>
      <x:c r="H1624" s="7" t="n">
        <x:v>4</x:v>
      </x:c>
      <x:c r="I1624" s="7" t="str"/>
      <x:c r="J1624" s="7" t="str"/>
      <x:c r="K1624" s="7" t="str"/>
      <x:c r="L1624" s="7" t="str"/>
      <x:c r="M1624" s="7" t="str"/>
      <x:c r="N1624" s="7" t="str"/>
      <x:c r="O1624" s="7" t="str">
        <x:f>IF(N1624="","OPEN",IF(OR(I1624="",J1624="",K1624="",L1624="",M1624=""),"FAIL","PASS"))</x:f>
        <x:v>OPEN</x:v>
      </x:c>
    </x:row>
    <x:row r="1625">
      <x:c r="B1625" s="7" t="str">
        <x:v>CH-PEA-B-Y3-06-5</x:v>
      </x:c>
      <x:c r="C1625" s="7" t="str">
        <x:v>PEA-B-Y3</x:v>
      </x:c>
      <x:c r="D1625" s="7" t="str">
        <x:v>BLD-B</x:v>
      </x:c>
      <x:c r="E1625" s="7" t="str">
        <x:v>BL-Y</x:v>
      </x:c>
      <x:c r="F1625" s="7" t="str">
        <x:v>MF-06</x:v>
      </x:c>
      <x:c r="G1625" s="7" t="str">
        <x:v>pan level</x:v>
      </x:c>
      <x:c r="H1625" s="7" t="n">
        <x:v>5</x:v>
      </x:c>
      <x:c r="I1625" s="7" t="str"/>
      <x:c r="J1625" s="7" t="str"/>
      <x:c r="K1625" s="7" t="str"/>
      <x:c r="L1625" s="7" t="str"/>
      <x:c r="M1625" s="7" t="str"/>
      <x:c r="N1625" s="7" t="str"/>
      <x:c r="O1625" s="7" t="str">
        <x:f>IF(N1625="","OPEN",IF(OR(I1625="",J1625="",K1625="",L1625="",M1625=""),"FAIL","PASS"))</x:f>
        <x:v>OPEN</x:v>
      </x:c>
    </x:row>
    <x:row r="1626">
      <x:c r="B1626" s="7" t="str">
        <x:v>CH-PEA-B-Y3-06-6</x:v>
      </x:c>
      <x:c r="C1626" s="7" t="str">
        <x:v>PEA-B-Y3</x:v>
      </x:c>
      <x:c r="D1626" s="7" t="str">
        <x:v>BLD-B</x:v>
      </x:c>
      <x:c r="E1626" s="7" t="str">
        <x:v>BL-Y</x:v>
      </x:c>
      <x:c r="F1626" s="7" t="str">
        <x:v>MF-06</x:v>
      </x:c>
      <x:c r="G1626" s="7" t="str">
        <x:v>pan level</x:v>
      </x:c>
      <x:c r="H1626" s="7" t="n">
        <x:v>6</x:v>
      </x:c>
      <x:c r="I1626" s="7" t="str"/>
      <x:c r="J1626" s="7" t="str"/>
      <x:c r="K1626" s="7" t="str"/>
      <x:c r="L1626" s="7" t="str"/>
      <x:c r="M1626" s="7" t="str"/>
      <x:c r="N1626" s="7" t="str"/>
      <x:c r="O1626" s="7" t="str">
        <x:f>IF(N1626="","OPEN",IF(OR(I1626="",J1626="",K1626="",L1626="",M1626=""),"FAIL","PASS"))</x:f>
        <x:v>OPEN</x:v>
      </x:c>
    </x:row>
    <x:row r="1627">
      <x:c r="B1627" s="7" t="str">
        <x:v>CH-PEA-B-Y3-07-1</x:v>
      </x:c>
      <x:c r="C1627" s="7" t="str">
        <x:v>PEA-B-Y3</x:v>
      </x:c>
      <x:c r="D1627" s="7" t="str">
        <x:v>BLD-B</x:v>
      </x:c>
      <x:c r="E1627" s="7" t="str">
        <x:v>BL-Y</x:v>
      </x:c>
      <x:c r="F1627" s="7" t="str">
        <x:v>MF-07</x:v>
      </x:c>
      <x:c r="G1627" s="7" t="str">
        <x:v>normal receiver mass</x:v>
      </x:c>
      <x:c r="H1627" s="7" t="n">
        <x:v>1</x:v>
      </x:c>
      <x:c r="I1627" s="7" t="str"/>
      <x:c r="J1627" s="7" t="str"/>
      <x:c r="K1627" s="7" t="str"/>
      <x:c r="L1627" s="7" t="str"/>
      <x:c r="M1627" s="7" t="str"/>
      <x:c r="N1627" s="7" t="str"/>
      <x:c r="O1627" s="7" t="str">
        <x:f>IF(N1627="","OPEN",IF(OR(I1627="",J1627="",K1627="",L1627="",M1627=""),"FAIL","PASS"))</x:f>
        <x:v>OPEN</x:v>
      </x:c>
    </x:row>
    <x:row r="1628">
      <x:c r="B1628" s="7" t="str">
        <x:v>CH-PEA-B-Y3-07-2</x:v>
      </x:c>
      <x:c r="C1628" s="7" t="str">
        <x:v>PEA-B-Y3</x:v>
      </x:c>
      <x:c r="D1628" s="7" t="str">
        <x:v>BLD-B</x:v>
      </x:c>
      <x:c r="E1628" s="7" t="str">
        <x:v>BL-Y</x:v>
      </x:c>
      <x:c r="F1628" s="7" t="str">
        <x:v>MF-07</x:v>
      </x:c>
      <x:c r="G1628" s="7" t="str">
        <x:v>normal receiver mass</x:v>
      </x:c>
      <x:c r="H1628" s="7" t="n">
        <x:v>2</x:v>
      </x:c>
      <x:c r="I1628" s="7" t="str"/>
      <x:c r="J1628" s="7" t="str"/>
      <x:c r="K1628" s="7" t="str"/>
      <x:c r="L1628" s="7" t="str"/>
      <x:c r="M1628" s="7" t="str"/>
      <x:c r="N1628" s="7" t="str"/>
      <x:c r="O1628" s="7" t="str">
        <x:f>IF(N1628="","OPEN",IF(OR(I1628="",J1628="",K1628="",L1628="",M1628=""),"FAIL","PASS"))</x:f>
        <x:v>OPEN</x:v>
      </x:c>
    </x:row>
    <x:row r="1629">
      <x:c r="B1629" s="7" t="str">
        <x:v>CH-PEA-B-Y3-07-3</x:v>
      </x:c>
      <x:c r="C1629" s="7" t="str">
        <x:v>PEA-B-Y3</x:v>
      </x:c>
      <x:c r="D1629" s="7" t="str">
        <x:v>BLD-B</x:v>
      </x:c>
      <x:c r="E1629" s="7" t="str">
        <x:v>BL-Y</x:v>
      </x:c>
      <x:c r="F1629" s="7" t="str">
        <x:v>MF-07</x:v>
      </x:c>
      <x:c r="G1629" s="7" t="str">
        <x:v>normal receiver mass</x:v>
      </x:c>
      <x:c r="H1629" s="7" t="n">
        <x:v>3</x:v>
      </x:c>
      <x:c r="I1629" s="7" t="str"/>
      <x:c r="J1629" s="7" t="str"/>
      <x:c r="K1629" s="7" t="str"/>
      <x:c r="L1629" s="7" t="str"/>
      <x:c r="M1629" s="7" t="str"/>
      <x:c r="N1629" s="7" t="str"/>
      <x:c r="O1629" s="7" t="str">
        <x:f>IF(N1629="","OPEN",IF(OR(I1629="",J1629="",K1629="",L1629="",M1629=""),"FAIL","PASS"))</x:f>
        <x:v>OPEN</x:v>
      </x:c>
    </x:row>
    <x:row r="1630">
      <x:c r="B1630" s="7" t="str">
        <x:v>CH-PEA-B-Y3-07-4</x:v>
      </x:c>
      <x:c r="C1630" s="7" t="str">
        <x:v>PEA-B-Y3</x:v>
      </x:c>
      <x:c r="D1630" s="7" t="str">
        <x:v>BLD-B</x:v>
      </x:c>
      <x:c r="E1630" s="7" t="str">
        <x:v>BL-Y</x:v>
      </x:c>
      <x:c r="F1630" s="7" t="str">
        <x:v>MF-07</x:v>
      </x:c>
      <x:c r="G1630" s="7" t="str">
        <x:v>normal receiver mass</x:v>
      </x:c>
      <x:c r="H1630" s="7" t="n">
        <x:v>4</x:v>
      </x:c>
      <x:c r="I1630" s="7" t="str"/>
      <x:c r="J1630" s="7" t="str"/>
      <x:c r="K1630" s="7" t="str"/>
      <x:c r="L1630" s="7" t="str"/>
      <x:c r="M1630" s="7" t="str"/>
      <x:c r="N1630" s="7" t="str"/>
      <x:c r="O1630" s="7" t="str">
        <x:f>IF(N1630="","OPEN",IF(OR(I1630="",J1630="",K1630="",L1630="",M1630=""),"FAIL","PASS"))</x:f>
        <x:v>OPEN</x:v>
      </x:c>
    </x:row>
    <x:row r="1631">
      <x:c r="B1631" s="7" t="str">
        <x:v>CH-PEA-B-Y3-07-5</x:v>
      </x:c>
      <x:c r="C1631" s="7" t="str">
        <x:v>PEA-B-Y3</x:v>
      </x:c>
      <x:c r="D1631" s="7" t="str">
        <x:v>BLD-B</x:v>
      </x:c>
      <x:c r="E1631" s="7" t="str">
        <x:v>BL-Y</x:v>
      </x:c>
      <x:c r="F1631" s="7" t="str">
        <x:v>MF-07</x:v>
      </x:c>
      <x:c r="G1631" s="7" t="str">
        <x:v>normal receiver mass</x:v>
      </x:c>
      <x:c r="H1631" s="7" t="n">
        <x:v>5</x:v>
      </x:c>
      <x:c r="I1631" s="7" t="str"/>
      <x:c r="J1631" s="7" t="str"/>
      <x:c r="K1631" s="7" t="str"/>
      <x:c r="L1631" s="7" t="str"/>
      <x:c r="M1631" s="7" t="str"/>
      <x:c r="N1631" s="7" t="str"/>
      <x:c r="O1631" s="7" t="str">
        <x:f>IF(N1631="","OPEN",IF(OR(I1631="",J1631="",K1631="",L1631="",M1631=""),"FAIL","PASS"))</x:f>
        <x:v>OPEN</x:v>
      </x:c>
    </x:row>
    <x:row r="1632">
      <x:c r="B1632" s="7" t="str">
        <x:v>CH-PEA-B-Y3-07-6</x:v>
      </x:c>
      <x:c r="C1632" s="7" t="str">
        <x:v>PEA-B-Y3</x:v>
      </x:c>
      <x:c r="D1632" s="7" t="str">
        <x:v>BLD-B</x:v>
      </x:c>
      <x:c r="E1632" s="7" t="str">
        <x:v>BL-Y</x:v>
      </x:c>
      <x:c r="F1632" s="7" t="str">
        <x:v>MF-07</x:v>
      </x:c>
      <x:c r="G1632" s="7" t="str">
        <x:v>normal receiver mass</x:v>
      </x:c>
      <x:c r="H1632" s="7" t="n">
        <x:v>6</x:v>
      </x:c>
      <x:c r="I1632" s="7" t="str"/>
      <x:c r="J1632" s="7" t="str"/>
      <x:c r="K1632" s="7" t="str"/>
      <x:c r="L1632" s="7" t="str"/>
      <x:c r="M1632" s="7" t="str"/>
      <x:c r="N1632" s="7" t="str"/>
      <x:c r="O1632" s="7" t="str">
        <x:f>IF(N1632="","OPEN",IF(OR(I1632="",J1632="",K1632="",L1632="",M1632=""),"FAIL","PASS"))</x:f>
        <x:v>OPEN</x:v>
      </x:c>
    </x:row>
    <x:row r="1633">
      <x:c r="B1633" s="7" t="str">
        <x:v>CH-PEA-B-Y3-08-1</x:v>
      </x:c>
      <x:c r="C1633" s="7" t="str">
        <x:v>PEA-B-Y3</x:v>
      </x:c>
      <x:c r="D1633" s="7" t="str">
        <x:v>BLD-B</x:v>
      </x:c>
      <x:c r="E1633" s="7" t="str">
        <x:v>BL-Y</x:v>
      </x:c>
      <x:c r="F1633" s="7" t="str">
        <x:v>MF-08</x:v>
      </x:c>
      <x:c r="G1633" s="7" t="str">
        <x:v>casualty receiver mass</x:v>
      </x:c>
      <x:c r="H1633" s="7" t="n">
        <x:v>1</x:v>
      </x:c>
      <x:c r="I1633" s="7" t="str"/>
      <x:c r="J1633" s="7" t="str"/>
      <x:c r="K1633" s="7" t="str"/>
      <x:c r="L1633" s="7" t="str"/>
      <x:c r="M1633" s="7" t="str"/>
      <x:c r="N1633" s="7" t="str"/>
      <x:c r="O1633" s="7" t="str">
        <x:f>IF(N1633="","OPEN",IF(OR(I1633="",J1633="",K1633="",L1633="",M1633=""),"FAIL","PASS"))</x:f>
        <x:v>OPEN</x:v>
      </x:c>
    </x:row>
    <x:row r="1634">
      <x:c r="B1634" s="7" t="str">
        <x:v>CH-PEA-B-Y3-08-2</x:v>
      </x:c>
      <x:c r="C1634" s="7" t="str">
        <x:v>PEA-B-Y3</x:v>
      </x:c>
      <x:c r="D1634" s="7" t="str">
        <x:v>BLD-B</x:v>
      </x:c>
      <x:c r="E1634" s="7" t="str">
        <x:v>BL-Y</x:v>
      </x:c>
      <x:c r="F1634" s="7" t="str">
        <x:v>MF-08</x:v>
      </x:c>
      <x:c r="G1634" s="7" t="str">
        <x:v>casualty receiver mass</x:v>
      </x:c>
      <x:c r="H1634" s="7" t="n">
        <x:v>2</x:v>
      </x:c>
      <x:c r="I1634" s="7" t="str"/>
      <x:c r="J1634" s="7" t="str"/>
      <x:c r="K1634" s="7" t="str"/>
      <x:c r="L1634" s="7" t="str"/>
      <x:c r="M1634" s="7" t="str"/>
      <x:c r="N1634" s="7" t="str"/>
      <x:c r="O1634" s="7" t="str">
        <x:f>IF(N1634="","OPEN",IF(OR(I1634="",J1634="",K1634="",L1634="",M1634=""),"FAIL","PASS"))</x:f>
        <x:v>OPEN</x:v>
      </x:c>
    </x:row>
    <x:row r="1635">
      <x:c r="B1635" s="7" t="str">
        <x:v>CH-PEA-B-Y3-08-3</x:v>
      </x:c>
      <x:c r="C1635" s="7" t="str">
        <x:v>PEA-B-Y3</x:v>
      </x:c>
      <x:c r="D1635" s="7" t="str">
        <x:v>BLD-B</x:v>
      </x:c>
      <x:c r="E1635" s="7" t="str">
        <x:v>BL-Y</x:v>
      </x:c>
      <x:c r="F1635" s="7" t="str">
        <x:v>MF-08</x:v>
      </x:c>
      <x:c r="G1635" s="7" t="str">
        <x:v>casualty receiver mass</x:v>
      </x:c>
      <x:c r="H1635" s="7" t="n">
        <x:v>3</x:v>
      </x:c>
      <x:c r="I1635" s="7" t="str"/>
      <x:c r="J1635" s="7" t="str"/>
      <x:c r="K1635" s="7" t="str"/>
      <x:c r="L1635" s="7" t="str"/>
      <x:c r="M1635" s="7" t="str"/>
      <x:c r="N1635" s="7" t="str"/>
      <x:c r="O1635" s="7" t="str">
        <x:f>IF(N1635="","OPEN",IF(OR(I1635="",J1635="",K1635="",L1635="",M1635=""),"FAIL","PASS"))</x:f>
        <x:v>OPEN</x:v>
      </x:c>
    </x:row>
    <x:row r="1636">
      <x:c r="B1636" s="7" t="str">
        <x:v>CH-PEA-B-Y3-08-4</x:v>
      </x:c>
      <x:c r="C1636" s="7" t="str">
        <x:v>PEA-B-Y3</x:v>
      </x:c>
      <x:c r="D1636" s="7" t="str">
        <x:v>BLD-B</x:v>
      </x:c>
      <x:c r="E1636" s="7" t="str">
        <x:v>BL-Y</x:v>
      </x:c>
      <x:c r="F1636" s="7" t="str">
        <x:v>MF-08</x:v>
      </x:c>
      <x:c r="G1636" s="7" t="str">
        <x:v>casualty receiver mass</x:v>
      </x:c>
      <x:c r="H1636" s="7" t="n">
        <x:v>4</x:v>
      </x:c>
      <x:c r="I1636" s="7" t="str"/>
      <x:c r="J1636" s="7" t="str"/>
      <x:c r="K1636" s="7" t="str"/>
      <x:c r="L1636" s="7" t="str"/>
      <x:c r="M1636" s="7" t="str"/>
      <x:c r="N1636" s="7" t="str"/>
      <x:c r="O1636" s="7" t="str">
        <x:f>IF(N1636="","OPEN",IF(OR(I1636="",J1636="",K1636="",L1636="",M1636=""),"FAIL","PASS"))</x:f>
        <x:v>OPEN</x:v>
      </x:c>
    </x:row>
    <x:row r="1637">
      <x:c r="B1637" s="7" t="str">
        <x:v>CH-PEA-B-Y3-08-5</x:v>
      </x:c>
      <x:c r="C1637" s="7" t="str">
        <x:v>PEA-B-Y3</x:v>
      </x:c>
      <x:c r="D1637" s="7" t="str">
        <x:v>BLD-B</x:v>
      </x:c>
      <x:c r="E1637" s="7" t="str">
        <x:v>BL-Y</x:v>
      </x:c>
      <x:c r="F1637" s="7" t="str">
        <x:v>MF-08</x:v>
      </x:c>
      <x:c r="G1637" s="7" t="str">
        <x:v>casualty receiver mass</x:v>
      </x:c>
      <x:c r="H1637" s="7" t="n">
        <x:v>5</x:v>
      </x:c>
      <x:c r="I1637" s="7" t="str"/>
      <x:c r="J1637" s="7" t="str"/>
      <x:c r="K1637" s="7" t="str"/>
      <x:c r="L1637" s="7" t="str"/>
      <x:c r="M1637" s="7" t="str"/>
      <x:c r="N1637" s="7" t="str"/>
      <x:c r="O1637" s="7" t="str">
        <x:f>IF(N1637="","OPEN",IF(OR(I1637="",J1637="",K1637="",L1637="",M1637=""),"FAIL","PASS"))</x:f>
        <x:v>OPEN</x:v>
      </x:c>
    </x:row>
    <x:row r="1638">
      <x:c r="B1638" s="7" t="str">
        <x:v>CH-PEA-B-Y3-08-6</x:v>
      </x:c>
      <x:c r="C1638" s="7" t="str">
        <x:v>PEA-B-Y3</x:v>
      </x:c>
      <x:c r="D1638" s="7" t="str">
        <x:v>BLD-B</x:v>
      </x:c>
      <x:c r="E1638" s="7" t="str">
        <x:v>BL-Y</x:v>
      </x:c>
      <x:c r="F1638" s="7" t="str">
        <x:v>MF-08</x:v>
      </x:c>
      <x:c r="G1638" s="7" t="str">
        <x:v>casualty receiver mass</x:v>
      </x:c>
      <x:c r="H1638" s="7" t="n">
        <x:v>6</x:v>
      </x:c>
      <x:c r="I1638" s="7" t="str"/>
      <x:c r="J1638" s="7" t="str"/>
      <x:c r="K1638" s="7" t="str"/>
      <x:c r="L1638" s="7" t="str"/>
      <x:c r="M1638" s="7" t="str"/>
      <x:c r="N1638" s="7" t="str"/>
      <x:c r="O1638" s="7" t="str">
        <x:f>IF(N1638="","OPEN",IF(OR(I1638="",J1638="",K1638="",L1638="",M1638=""),"FAIL","PASS"))</x:f>
        <x:v>OPEN</x:v>
      </x:c>
    </x:row>
    <x:row r="1639">
      <x:c r="B1639" s="7" t="str">
        <x:v>CH-PEA-B-Y3-09-1</x:v>
      </x:c>
      <x:c r="C1639" s="7" t="str">
        <x:v>PEA-B-Y3</x:v>
      </x:c>
      <x:c r="D1639" s="7" t="str">
        <x:v>BLD-B</x:v>
      </x:c>
      <x:c r="E1639" s="7" t="str">
        <x:v>BL-Y</x:v>
      </x:c>
      <x:c r="F1639" s="7" t="str">
        <x:v>MF-09</x:v>
      </x:c>
      <x:c r="G1639" s="7" t="str">
        <x:v>geometry and slope</x:v>
      </x:c>
      <x:c r="H1639" s="7" t="n">
        <x:v>1</x:v>
      </x:c>
      <x:c r="I1639" s="7" t="str"/>
      <x:c r="J1639" s="7" t="str"/>
      <x:c r="K1639" s="7" t="str"/>
      <x:c r="L1639" s="7" t="str"/>
      <x:c r="M1639" s="7" t="str"/>
      <x:c r="N1639" s="7" t="str"/>
      <x:c r="O1639" s="7" t="str">
        <x:f>IF(N1639="","OPEN",IF(OR(I1639="",J1639="",K1639="",L1639="",M1639=""),"FAIL","PASS"))</x:f>
        <x:v>OPEN</x:v>
      </x:c>
    </x:row>
    <x:row r="1640">
      <x:c r="B1640" s="7" t="str">
        <x:v>CH-PEA-B-Y3-09-2</x:v>
      </x:c>
      <x:c r="C1640" s="7" t="str">
        <x:v>PEA-B-Y3</x:v>
      </x:c>
      <x:c r="D1640" s="7" t="str">
        <x:v>BLD-B</x:v>
      </x:c>
      <x:c r="E1640" s="7" t="str">
        <x:v>BL-Y</x:v>
      </x:c>
      <x:c r="F1640" s="7" t="str">
        <x:v>MF-09</x:v>
      </x:c>
      <x:c r="G1640" s="7" t="str">
        <x:v>geometry and slope</x:v>
      </x:c>
      <x:c r="H1640" s="7" t="n">
        <x:v>2</x:v>
      </x:c>
      <x:c r="I1640" s="7" t="str"/>
      <x:c r="J1640" s="7" t="str"/>
      <x:c r="K1640" s="7" t="str"/>
      <x:c r="L1640" s="7" t="str"/>
      <x:c r="M1640" s="7" t="str"/>
      <x:c r="N1640" s="7" t="str"/>
      <x:c r="O1640" s="7" t="str">
        <x:f>IF(N1640="","OPEN",IF(OR(I1640="",J1640="",K1640="",L1640="",M1640=""),"FAIL","PASS"))</x:f>
        <x:v>OPEN</x:v>
      </x:c>
    </x:row>
    <x:row r="1641">
      <x:c r="B1641" s="7" t="str">
        <x:v>CH-PEA-B-Y3-09-3</x:v>
      </x:c>
      <x:c r="C1641" s="7" t="str">
        <x:v>PEA-B-Y3</x:v>
      </x:c>
      <x:c r="D1641" s="7" t="str">
        <x:v>BLD-B</x:v>
      </x:c>
      <x:c r="E1641" s="7" t="str">
        <x:v>BL-Y</x:v>
      </x:c>
      <x:c r="F1641" s="7" t="str">
        <x:v>MF-09</x:v>
      </x:c>
      <x:c r="G1641" s="7" t="str">
        <x:v>geometry and slope</x:v>
      </x:c>
      <x:c r="H1641" s="7" t="n">
        <x:v>3</x:v>
      </x:c>
      <x:c r="I1641" s="7" t="str"/>
      <x:c r="J1641" s="7" t="str"/>
      <x:c r="K1641" s="7" t="str"/>
      <x:c r="L1641" s="7" t="str"/>
      <x:c r="M1641" s="7" t="str"/>
      <x:c r="N1641" s="7" t="str"/>
      <x:c r="O1641" s="7" t="str">
        <x:f>IF(N1641="","OPEN",IF(OR(I1641="",J1641="",K1641="",L1641="",M1641=""),"FAIL","PASS"))</x:f>
        <x:v>OPEN</x:v>
      </x:c>
    </x:row>
    <x:row r="1642">
      <x:c r="B1642" s="7" t="str">
        <x:v>CH-PEA-B-Y3-09-4</x:v>
      </x:c>
      <x:c r="C1642" s="7" t="str">
        <x:v>PEA-B-Y3</x:v>
      </x:c>
      <x:c r="D1642" s="7" t="str">
        <x:v>BLD-B</x:v>
      </x:c>
      <x:c r="E1642" s="7" t="str">
        <x:v>BL-Y</x:v>
      </x:c>
      <x:c r="F1642" s="7" t="str">
        <x:v>MF-09</x:v>
      </x:c>
      <x:c r="G1642" s="7" t="str">
        <x:v>geometry and slope</x:v>
      </x:c>
      <x:c r="H1642" s="7" t="n">
        <x:v>4</x:v>
      </x:c>
      <x:c r="I1642" s="7" t="str"/>
      <x:c r="J1642" s="7" t="str"/>
      <x:c r="K1642" s="7" t="str"/>
      <x:c r="L1642" s="7" t="str"/>
      <x:c r="M1642" s="7" t="str"/>
      <x:c r="N1642" s="7" t="str"/>
      <x:c r="O1642" s="7" t="str">
        <x:f>IF(N1642="","OPEN",IF(OR(I1642="",J1642="",K1642="",L1642="",M1642=""),"FAIL","PASS"))</x:f>
        <x:v>OPEN</x:v>
      </x:c>
    </x:row>
    <x:row r="1643">
      <x:c r="B1643" s="7" t="str">
        <x:v>CH-PEA-B-Y3-09-5</x:v>
      </x:c>
      <x:c r="C1643" s="7" t="str">
        <x:v>PEA-B-Y3</x:v>
      </x:c>
      <x:c r="D1643" s="7" t="str">
        <x:v>BLD-B</x:v>
      </x:c>
      <x:c r="E1643" s="7" t="str">
        <x:v>BL-Y</x:v>
      </x:c>
      <x:c r="F1643" s="7" t="str">
        <x:v>MF-09</x:v>
      </x:c>
      <x:c r="G1643" s="7" t="str">
        <x:v>geometry and slope</x:v>
      </x:c>
      <x:c r="H1643" s="7" t="n">
        <x:v>5</x:v>
      </x:c>
      <x:c r="I1643" s="7" t="str"/>
      <x:c r="J1643" s="7" t="str"/>
      <x:c r="K1643" s="7" t="str"/>
      <x:c r="L1643" s="7" t="str"/>
      <x:c r="M1643" s="7" t="str"/>
      <x:c r="N1643" s="7" t="str"/>
      <x:c r="O1643" s="7" t="str">
        <x:f>IF(N1643="","OPEN",IF(OR(I1643="",J1643="",K1643="",L1643="",M1643=""),"FAIL","PASS"))</x:f>
        <x:v>OPEN</x:v>
      </x:c>
    </x:row>
    <x:row r="1644">
      <x:c r="B1644" s="7" t="str">
        <x:v>CH-PEA-B-Y3-09-6</x:v>
      </x:c>
      <x:c r="C1644" s="7" t="str">
        <x:v>PEA-B-Y3</x:v>
      </x:c>
      <x:c r="D1644" s="7" t="str">
        <x:v>BLD-B</x:v>
      </x:c>
      <x:c r="E1644" s="7" t="str">
        <x:v>BL-Y</x:v>
      </x:c>
      <x:c r="F1644" s="7" t="str">
        <x:v>MF-09</x:v>
      </x:c>
      <x:c r="G1644" s="7" t="str">
        <x:v>geometry and slope</x:v>
      </x:c>
      <x:c r="H1644" s="7" t="n">
        <x:v>6</x:v>
      </x:c>
      <x:c r="I1644" s="7" t="str"/>
      <x:c r="J1644" s="7" t="str"/>
      <x:c r="K1644" s="7" t="str"/>
      <x:c r="L1644" s="7" t="str"/>
      <x:c r="M1644" s="7" t="str"/>
      <x:c r="N1644" s="7" t="str"/>
      <x:c r="O1644" s="7" t="str">
        <x:f>IF(N1644="","OPEN",IF(OR(I1644="",J1644="",K1644="",L1644="",M1644=""),"FAIL","PASS"))</x:f>
        <x:v>OPEN</x:v>
      </x:c>
    </x:row>
    <x:row r="1645">
      <x:c r="B1645" s="7" t="str">
        <x:v>CH-PEA-B-Y3-10-1</x:v>
      </x:c>
      <x:c r="C1645" s="7" t="str">
        <x:v>PEA-B-Y3</x:v>
      </x:c>
      <x:c r="D1645" s="7" t="str">
        <x:v>BLD-B</x:v>
      </x:c>
      <x:c r="E1645" s="7" t="str">
        <x:v>BL-Y</x:v>
      </x:c>
      <x:c r="F1645" s="7" t="str">
        <x:v>MF-10</x:v>
      </x:c>
      <x:c r="G1645" s="7" t="str">
        <x:v>normal-source path state</x:v>
      </x:c>
      <x:c r="H1645" s="7" t="n">
        <x:v>1</x:v>
      </x:c>
      <x:c r="I1645" s="7" t="str"/>
      <x:c r="J1645" s="7" t="str"/>
      <x:c r="K1645" s="7" t="str"/>
      <x:c r="L1645" s="7" t="str"/>
      <x:c r="M1645" s="7" t="str"/>
      <x:c r="N1645" s="7" t="str"/>
      <x:c r="O1645" s="7" t="str">
        <x:f>IF(N1645="","OPEN",IF(OR(I1645="",J1645="",K1645="",L1645="",M1645=""),"FAIL","PASS"))</x:f>
        <x:v>OPEN</x:v>
      </x:c>
    </x:row>
    <x:row r="1646">
      <x:c r="B1646" s="7" t="str">
        <x:v>CH-PEA-B-Y3-10-2</x:v>
      </x:c>
      <x:c r="C1646" s="7" t="str">
        <x:v>PEA-B-Y3</x:v>
      </x:c>
      <x:c r="D1646" s="7" t="str">
        <x:v>BLD-B</x:v>
      </x:c>
      <x:c r="E1646" s="7" t="str">
        <x:v>BL-Y</x:v>
      </x:c>
      <x:c r="F1646" s="7" t="str">
        <x:v>MF-10</x:v>
      </x:c>
      <x:c r="G1646" s="7" t="str">
        <x:v>normal-source path state</x:v>
      </x:c>
      <x:c r="H1646" s="7" t="n">
        <x:v>2</x:v>
      </x:c>
      <x:c r="I1646" s="7" t="str"/>
      <x:c r="J1646" s="7" t="str"/>
      <x:c r="K1646" s="7" t="str"/>
      <x:c r="L1646" s="7" t="str"/>
      <x:c r="M1646" s="7" t="str"/>
      <x:c r="N1646" s="7" t="str"/>
      <x:c r="O1646" s="7" t="str">
        <x:f>IF(N1646="","OPEN",IF(OR(I1646="",J1646="",K1646="",L1646="",M1646=""),"FAIL","PASS"))</x:f>
        <x:v>OPEN</x:v>
      </x:c>
    </x:row>
    <x:row r="1647">
      <x:c r="B1647" s="7" t="str">
        <x:v>CH-PEA-B-Y3-10-3</x:v>
      </x:c>
      <x:c r="C1647" s="7" t="str">
        <x:v>PEA-B-Y3</x:v>
      </x:c>
      <x:c r="D1647" s="7" t="str">
        <x:v>BLD-B</x:v>
      </x:c>
      <x:c r="E1647" s="7" t="str">
        <x:v>BL-Y</x:v>
      </x:c>
      <x:c r="F1647" s="7" t="str">
        <x:v>MF-10</x:v>
      </x:c>
      <x:c r="G1647" s="7" t="str">
        <x:v>normal-source path state</x:v>
      </x:c>
      <x:c r="H1647" s="7" t="n">
        <x:v>3</x:v>
      </x:c>
      <x:c r="I1647" s="7" t="str"/>
      <x:c r="J1647" s="7" t="str"/>
      <x:c r="K1647" s="7" t="str"/>
      <x:c r="L1647" s="7" t="str"/>
      <x:c r="M1647" s="7" t="str"/>
      <x:c r="N1647" s="7" t="str"/>
      <x:c r="O1647" s="7" t="str">
        <x:f>IF(N1647="","OPEN",IF(OR(I1647="",J1647="",K1647="",L1647="",M1647=""),"FAIL","PASS"))</x:f>
        <x:v>OPEN</x:v>
      </x:c>
    </x:row>
    <x:row r="1648">
      <x:c r="B1648" s="7" t="str">
        <x:v>CH-PEA-B-Y3-10-4</x:v>
      </x:c>
      <x:c r="C1648" s="7" t="str">
        <x:v>PEA-B-Y3</x:v>
      </x:c>
      <x:c r="D1648" s="7" t="str">
        <x:v>BLD-B</x:v>
      </x:c>
      <x:c r="E1648" s="7" t="str">
        <x:v>BL-Y</x:v>
      </x:c>
      <x:c r="F1648" s="7" t="str">
        <x:v>MF-10</x:v>
      </x:c>
      <x:c r="G1648" s="7" t="str">
        <x:v>normal-source path state</x:v>
      </x:c>
      <x:c r="H1648" s="7" t="n">
        <x:v>4</x:v>
      </x:c>
      <x:c r="I1648" s="7" t="str"/>
      <x:c r="J1648" s="7" t="str"/>
      <x:c r="K1648" s="7" t="str"/>
      <x:c r="L1648" s="7" t="str"/>
      <x:c r="M1648" s="7" t="str"/>
      <x:c r="N1648" s="7" t="str"/>
      <x:c r="O1648" s="7" t="str">
        <x:f>IF(N1648="","OPEN",IF(OR(I1648="",J1648="",K1648="",L1648="",M1648=""),"FAIL","PASS"))</x:f>
        <x:v>OPEN</x:v>
      </x:c>
    </x:row>
    <x:row r="1649">
      <x:c r="B1649" s="7" t="str">
        <x:v>CH-PEA-B-Y3-10-5</x:v>
      </x:c>
      <x:c r="C1649" s="7" t="str">
        <x:v>PEA-B-Y3</x:v>
      </x:c>
      <x:c r="D1649" s="7" t="str">
        <x:v>BLD-B</x:v>
      </x:c>
      <x:c r="E1649" s="7" t="str">
        <x:v>BL-Y</x:v>
      </x:c>
      <x:c r="F1649" s="7" t="str">
        <x:v>MF-10</x:v>
      </x:c>
      <x:c r="G1649" s="7" t="str">
        <x:v>normal-source path state</x:v>
      </x:c>
      <x:c r="H1649" s="7" t="n">
        <x:v>5</x:v>
      </x:c>
      <x:c r="I1649" s="7" t="str"/>
      <x:c r="J1649" s="7" t="str"/>
      <x:c r="K1649" s="7" t="str"/>
      <x:c r="L1649" s="7" t="str"/>
      <x:c r="M1649" s="7" t="str"/>
      <x:c r="N1649" s="7" t="str"/>
      <x:c r="O1649" s="7" t="str">
        <x:f>IF(N1649="","OPEN",IF(OR(I1649="",J1649="",K1649="",L1649="",M1649=""),"FAIL","PASS"))</x:f>
        <x:v>OPEN</x:v>
      </x:c>
    </x:row>
    <x:row r="1650">
      <x:c r="B1650" s="7" t="str">
        <x:v>CH-PEA-B-Y3-10-6</x:v>
      </x:c>
      <x:c r="C1650" s="7" t="str">
        <x:v>PEA-B-Y3</x:v>
      </x:c>
      <x:c r="D1650" s="7" t="str">
        <x:v>BLD-B</x:v>
      </x:c>
      <x:c r="E1650" s="7" t="str">
        <x:v>BL-Y</x:v>
      </x:c>
      <x:c r="F1650" s="7" t="str">
        <x:v>MF-10</x:v>
      </x:c>
      <x:c r="G1650" s="7" t="str">
        <x:v>normal-source path state</x:v>
      </x:c>
      <x:c r="H1650" s="7" t="n">
        <x:v>6</x:v>
      </x:c>
      <x:c r="I1650" s="7" t="str"/>
      <x:c r="J1650" s="7" t="str"/>
      <x:c r="K1650" s="7" t="str"/>
      <x:c r="L1650" s="7" t="str"/>
      <x:c r="M1650" s="7" t="str"/>
      <x:c r="N1650" s="7" t="str"/>
      <x:c r="O1650" s="7" t="str">
        <x:f>IF(N1650="","OPEN",IF(OR(I1650="",J1650="",K1650="",L1650="",M1650=""),"FAIL","PASS"))</x:f>
        <x:v>OPEN</x:v>
      </x:c>
    </x:row>
    <x:row r="1651">
      <x:c r="B1651" s="7" t="str">
        <x:v>CH-PEA-B-Y3-11-1</x:v>
      </x:c>
      <x:c r="C1651" s="7" t="str">
        <x:v>PEA-B-Y3</x:v>
      </x:c>
      <x:c r="D1651" s="7" t="str">
        <x:v>BLD-B</x:v>
      </x:c>
      <x:c r="E1651" s="7" t="str">
        <x:v>BL-Y</x:v>
      </x:c>
      <x:c r="F1651" s="7" t="str">
        <x:v>MF-11</x:v>
      </x:c>
      <x:c r="G1651" s="7" t="str">
        <x:v>casualty-source path state</x:v>
      </x:c>
      <x:c r="H1651" s="7" t="n">
        <x:v>1</x:v>
      </x:c>
      <x:c r="I1651" s="7" t="str"/>
      <x:c r="J1651" s="7" t="str"/>
      <x:c r="K1651" s="7" t="str"/>
      <x:c r="L1651" s="7" t="str"/>
      <x:c r="M1651" s="7" t="str"/>
      <x:c r="N1651" s="7" t="str"/>
      <x:c r="O1651" s="7" t="str">
        <x:f>IF(N1651="","OPEN",IF(OR(I1651="",J1651="",K1651="",L1651="",M1651=""),"FAIL","PASS"))</x:f>
        <x:v>OPEN</x:v>
      </x:c>
    </x:row>
    <x:row r="1652">
      <x:c r="B1652" s="7" t="str">
        <x:v>CH-PEA-B-Y3-11-2</x:v>
      </x:c>
      <x:c r="C1652" s="7" t="str">
        <x:v>PEA-B-Y3</x:v>
      </x:c>
      <x:c r="D1652" s="7" t="str">
        <x:v>BLD-B</x:v>
      </x:c>
      <x:c r="E1652" s="7" t="str">
        <x:v>BL-Y</x:v>
      </x:c>
      <x:c r="F1652" s="7" t="str">
        <x:v>MF-11</x:v>
      </x:c>
      <x:c r="G1652" s="7" t="str">
        <x:v>casualty-source path state</x:v>
      </x:c>
      <x:c r="H1652" s="7" t="n">
        <x:v>2</x:v>
      </x:c>
      <x:c r="I1652" s="7" t="str"/>
      <x:c r="J1652" s="7" t="str"/>
      <x:c r="K1652" s="7" t="str"/>
      <x:c r="L1652" s="7" t="str"/>
      <x:c r="M1652" s="7" t="str"/>
      <x:c r="N1652" s="7" t="str"/>
      <x:c r="O1652" s="7" t="str">
        <x:f>IF(N1652="","OPEN",IF(OR(I1652="",J1652="",K1652="",L1652="",M1652=""),"FAIL","PASS"))</x:f>
        <x:v>OPEN</x:v>
      </x:c>
    </x:row>
    <x:row r="1653">
      <x:c r="B1653" s="7" t="str">
        <x:v>CH-PEA-B-Y3-11-3</x:v>
      </x:c>
      <x:c r="C1653" s="7" t="str">
        <x:v>PEA-B-Y3</x:v>
      </x:c>
      <x:c r="D1653" s="7" t="str">
        <x:v>BLD-B</x:v>
      </x:c>
      <x:c r="E1653" s="7" t="str">
        <x:v>BL-Y</x:v>
      </x:c>
      <x:c r="F1653" s="7" t="str">
        <x:v>MF-11</x:v>
      </x:c>
      <x:c r="G1653" s="7" t="str">
        <x:v>casualty-source path state</x:v>
      </x:c>
      <x:c r="H1653" s="7" t="n">
        <x:v>3</x:v>
      </x:c>
      <x:c r="I1653" s="7" t="str"/>
      <x:c r="J1653" s="7" t="str"/>
      <x:c r="K1653" s="7" t="str"/>
      <x:c r="L1653" s="7" t="str"/>
      <x:c r="M1653" s="7" t="str"/>
      <x:c r="N1653" s="7" t="str"/>
      <x:c r="O1653" s="7" t="str">
        <x:f>IF(N1653="","OPEN",IF(OR(I1653="",J1653="",K1653="",L1653="",M1653=""),"FAIL","PASS"))</x:f>
        <x:v>OPEN</x:v>
      </x:c>
    </x:row>
    <x:row r="1654">
      <x:c r="B1654" s="7" t="str">
        <x:v>CH-PEA-B-Y3-11-4</x:v>
      </x:c>
      <x:c r="C1654" s="7" t="str">
        <x:v>PEA-B-Y3</x:v>
      </x:c>
      <x:c r="D1654" s="7" t="str">
        <x:v>BLD-B</x:v>
      </x:c>
      <x:c r="E1654" s="7" t="str">
        <x:v>BL-Y</x:v>
      </x:c>
      <x:c r="F1654" s="7" t="str">
        <x:v>MF-11</x:v>
      </x:c>
      <x:c r="G1654" s="7" t="str">
        <x:v>casualty-source path state</x:v>
      </x:c>
      <x:c r="H1654" s="7" t="n">
        <x:v>4</x:v>
      </x:c>
      <x:c r="I1654" s="7" t="str"/>
      <x:c r="J1654" s="7" t="str"/>
      <x:c r="K1654" s="7" t="str"/>
      <x:c r="L1654" s="7" t="str"/>
      <x:c r="M1654" s="7" t="str"/>
      <x:c r="N1654" s="7" t="str"/>
      <x:c r="O1654" s="7" t="str">
        <x:f>IF(N1654="","OPEN",IF(OR(I1654="",J1654="",K1654="",L1654="",M1654=""),"FAIL","PASS"))</x:f>
        <x:v>OPEN</x:v>
      </x:c>
    </x:row>
    <x:row r="1655">
      <x:c r="B1655" s="7" t="str">
        <x:v>CH-PEA-B-Y3-11-5</x:v>
      </x:c>
      <x:c r="C1655" s="7" t="str">
        <x:v>PEA-B-Y3</x:v>
      </x:c>
      <x:c r="D1655" s="7" t="str">
        <x:v>BLD-B</x:v>
      </x:c>
      <x:c r="E1655" s="7" t="str">
        <x:v>BL-Y</x:v>
      </x:c>
      <x:c r="F1655" s="7" t="str">
        <x:v>MF-11</x:v>
      </x:c>
      <x:c r="G1655" s="7" t="str">
        <x:v>casualty-source path state</x:v>
      </x:c>
      <x:c r="H1655" s="7" t="n">
        <x:v>5</x:v>
      </x:c>
      <x:c r="I1655" s="7" t="str"/>
      <x:c r="J1655" s="7" t="str"/>
      <x:c r="K1655" s="7" t="str"/>
      <x:c r="L1655" s="7" t="str"/>
      <x:c r="M1655" s="7" t="str"/>
      <x:c r="N1655" s="7" t="str"/>
      <x:c r="O1655" s="7" t="str">
        <x:f>IF(N1655="","OPEN",IF(OR(I1655="",J1655="",K1655="",L1655="",M1655=""),"FAIL","PASS"))</x:f>
        <x:v>OPEN</x:v>
      </x:c>
    </x:row>
    <x:row r="1656">
      <x:c r="B1656" s="7" t="str">
        <x:v>CH-PEA-B-Y3-11-6</x:v>
      </x:c>
      <x:c r="C1656" s="7" t="str">
        <x:v>PEA-B-Y3</x:v>
      </x:c>
      <x:c r="D1656" s="7" t="str">
        <x:v>BLD-B</x:v>
      </x:c>
      <x:c r="E1656" s="7" t="str">
        <x:v>BL-Y</x:v>
      </x:c>
      <x:c r="F1656" s="7" t="str">
        <x:v>MF-11</x:v>
      </x:c>
      <x:c r="G1656" s="7" t="str">
        <x:v>casualty-source path state</x:v>
      </x:c>
      <x:c r="H1656" s="7" t="n">
        <x:v>6</x:v>
      </x:c>
      <x:c r="I1656" s="7" t="str"/>
      <x:c r="J1656" s="7" t="str"/>
      <x:c r="K1656" s="7" t="str"/>
      <x:c r="L1656" s="7" t="str"/>
      <x:c r="M1656" s="7" t="str"/>
      <x:c r="N1656" s="7" t="str"/>
      <x:c r="O1656" s="7" t="str">
        <x:f>IF(N1656="","OPEN",IF(OR(I1656="",J1656="",K1656="",L1656="",M1656=""),"FAIL","PASS"))</x:f>
        <x:v>OPEN</x:v>
      </x:c>
    </x:row>
    <x:row r="1657">
      <x:c r="B1657" s="7" t="str">
        <x:v>CH-PEA-B-Y3-12-1</x:v>
      </x:c>
      <x:c r="C1657" s="7" t="str">
        <x:v>PEA-B-Y3</x:v>
      </x:c>
      <x:c r="D1657" s="7" t="str">
        <x:v>BLD-B</x:v>
      </x:c>
      <x:c r="E1657" s="7" t="str">
        <x:v>BL-Y</x:v>
      </x:c>
      <x:c r="F1657" s="7" t="str">
        <x:v>MF-12</x:v>
      </x:c>
      <x:c r="G1657" s="7" t="str">
        <x:v>candidate-water path state</x:v>
      </x:c>
      <x:c r="H1657" s="7" t="n">
        <x:v>1</x:v>
      </x:c>
      <x:c r="I1657" s="7" t="str"/>
      <x:c r="J1657" s="7" t="str"/>
      <x:c r="K1657" s="7" t="str"/>
      <x:c r="L1657" s="7" t="str"/>
      <x:c r="M1657" s="7" t="str"/>
      <x:c r="N1657" s="7" t="str"/>
      <x:c r="O1657" s="7" t="str">
        <x:f>IF(N1657="","OPEN",IF(OR(I1657="",J1657="",K1657="",L1657="",M1657=""),"FAIL","PASS"))</x:f>
        <x:v>OPEN</x:v>
      </x:c>
    </x:row>
    <x:row r="1658">
      <x:c r="B1658" s="7" t="str">
        <x:v>CH-PEA-B-Y3-12-2</x:v>
      </x:c>
      <x:c r="C1658" s="7" t="str">
        <x:v>PEA-B-Y3</x:v>
      </x:c>
      <x:c r="D1658" s="7" t="str">
        <x:v>BLD-B</x:v>
      </x:c>
      <x:c r="E1658" s="7" t="str">
        <x:v>BL-Y</x:v>
      </x:c>
      <x:c r="F1658" s="7" t="str">
        <x:v>MF-12</x:v>
      </x:c>
      <x:c r="G1658" s="7" t="str">
        <x:v>candidate-water path state</x:v>
      </x:c>
      <x:c r="H1658" s="7" t="n">
        <x:v>2</x:v>
      </x:c>
      <x:c r="I1658" s="7" t="str"/>
      <x:c r="J1658" s="7" t="str"/>
      <x:c r="K1658" s="7" t="str"/>
      <x:c r="L1658" s="7" t="str"/>
      <x:c r="M1658" s="7" t="str"/>
      <x:c r="N1658" s="7" t="str"/>
      <x:c r="O1658" s="7" t="str">
        <x:f>IF(N1658="","OPEN",IF(OR(I1658="",J1658="",K1658="",L1658="",M1658=""),"FAIL","PASS"))</x:f>
        <x:v>OPEN</x:v>
      </x:c>
    </x:row>
    <x:row r="1659">
      <x:c r="B1659" s="7" t="str">
        <x:v>CH-PEA-B-Y3-12-3</x:v>
      </x:c>
      <x:c r="C1659" s="7" t="str">
        <x:v>PEA-B-Y3</x:v>
      </x:c>
      <x:c r="D1659" s="7" t="str">
        <x:v>BLD-B</x:v>
      </x:c>
      <x:c r="E1659" s="7" t="str">
        <x:v>BL-Y</x:v>
      </x:c>
      <x:c r="F1659" s="7" t="str">
        <x:v>MF-12</x:v>
      </x:c>
      <x:c r="G1659" s="7" t="str">
        <x:v>candidate-water path state</x:v>
      </x:c>
      <x:c r="H1659" s="7" t="n">
        <x:v>3</x:v>
      </x:c>
      <x:c r="I1659" s="7" t="str"/>
      <x:c r="J1659" s="7" t="str"/>
      <x:c r="K1659" s="7" t="str"/>
      <x:c r="L1659" s="7" t="str"/>
      <x:c r="M1659" s="7" t="str"/>
      <x:c r="N1659" s="7" t="str"/>
      <x:c r="O1659" s="7" t="str">
        <x:f>IF(N1659="","OPEN",IF(OR(I1659="",J1659="",K1659="",L1659="",M1659=""),"FAIL","PASS"))</x:f>
        <x:v>OPEN</x:v>
      </x:c>
    </x:row>
    <x:row r="1660">
      <x:c r="B1660" s="7" t="str">
        <x:v>CH-PEA-B-Y3-12-4</x:v>
      </x:c>
      <x:c r="C1660" s="7" t="str">
        <x:v>PEA-B-Y3</x:v>
      </x:c>
      <x:c r="D1660" s="7" t="str">
        <x:v>BLD-B</x:v>
      </x:c>
      <x:c r="E1660" s="7" t="str">
        <x:v>BL-Y</x:v>
      </x:c>
      <x:c r="F1660" s="7" t="str">
        <x:v>MF-12</x:v>
      </x:c>
      <x:c r="G1660" s="7" t="str">
        <x:v>candidate-water path state</x:v>
      </x:c>
      <x:c r="H1660" s="7" t="n">
        <x:v>4</x:v>
      </x:c>
      <x:c r="I1660" s="7" t="str"/>
      <x:c r="J1660" s="7" t="str"/>
      <x:c r="K1660" s="7" t="str"/>
      <x:c r="L1660" s="7" t="str"/>
      <x:c r="M1660" s="7" t="str"/>
      <x:c r="N1660" s="7" t="str"/>
      <x:c r="O1660" s="7" t="str">
        <x:f>IF(N1660="","OPEN",IF(OR(I1660="",J1660="",K1660="",L1660="",M1660=""),"FAIL","PASS"))</x:f>
        <x:v>OPEN</x:v>
      </x:c>
    </x:row>
    <x:row r="1661">
      <x:c r="B1661" s="7" t="str">
        <x:v>CH-PEA-B-Y3-12-5</x:v>
      </x:c>
      <x:c r="C1661" s="7" t="str">
        <x:v>PEA-B-Y3</x:v>
      </x:c>
      <x:c r="D1661" s="7" t="str">
        <x:v>BLD-B</x:v>
      </x:c>
      <x:c r="E1661" s="7" t="str">
        <x:v>BL-Y</x:v>
      </x:c>
      <x:c r="F1661" s="7" t="str">
        <x:v>MF-12</x:v>
      </x:c>
      <x:c r="G1661" s="7" t="str">
        <x:v>candidate-water path state</x:v>
      </x:c>
      <x:c r="H1661" s="7" t="n">
        <x:v>5</x:v>
      </x:c>
      <x:c r="I1661" s="7" t="str"/>
      <x:c r="J1661" s="7" t="str"/>
      <x:c r="K1661" s="7" t="str"/>
      <x:c r="L1661" s="7" t="str"/>
      <x:c r="M1661" s="7" t="str"/>
      <x:c r="N1661" s="7" t="str"/>
      <x:c r="O1661" s="7" t="str">
        <x:f>IF(N1661="","OPEN",IF(OR(I1661="",J1661="",K1661="",L1661="",M1661=""),"FAIL","PASS"))</x:f>
        <x:v>OPEN</x:v>
      </x:c>
    </x:row>
    <x:row r="1662">
      <x:c r="B1662" s="7" t="str">
        <x:v>CH-PEA-B-Y3-12-6</x:v>
      </x:c>
      <x:c r="C1662" s="7" t="str">
        <x:v>PEA-B-Y3</x:v>
      </x:c>
      <x:c r="D1662" s="7" t="str">
        <x:v>BLD-B</x:v>
      </x:c>
      <x:c r="E1662" s="7" t="str">
        <x:v>BL-Y</x:v>
      </x:c>
      <x:c r="F1662" s="7" t="str">
        <x:v>MF-12</x:v>
      </x:c>
      <x:c r="G1662" s="7" t="str">
        <x:v>candidate-water path state</x:v>
      </x:c>
      <x:c r="H1662" s="7" t="n">
        <x:v>6</x:v>
      </x:c>
      <x:c r="I1662" s="7" t="str"/>
      <x:c r="J1662" s="7" t="str"/>
      <x:c r="K1662" s="7" t="str"/>
      <x:c r="L1662" s="7" t="str"/>
      <x:c r="M1662" s="7" t="str"/>
      <x:c r="N1662" s="7" t="str"/>
      <x:c r="O1662" s="7" t="str">
        <x:f>IF(N1662="","OPEN",IF(OR(I1662="",J1662="",K1662="",L1662="",M1662=""),"FAIL","PASS"))</x:f>
        <x:v>OPEN</x:v>
      </x:c>
    </x:row>
    <x:row r="1663">
      <x:c r="B1663" s="7" t="str">
        <x:v>CH-PEA-B-Y3-13-1</x:v>
      </x:c>
      <x:c r="C1663" s="7" t="str">
        <x:v>PEA-B-Y3</x:v>
      </x:c>
      <x:c r="D1663" s="7" t="str">
        <x:v>BLD-B</x:v>
      </x:c>
      <x:c r="E1663" s="7" t="str">
        <x:v>BL-Y</x:v>
      </x:c>
      <x:c r="F1663" s="7" t="str">
        <x:v>MF-13</x:v>
      </x:c>
      <x:c r="G1663" s="7" t="str">
        <x:v>final-element reference</x:v>
      </x:c>
      <x:c r="H1663" s="7" t="n">
        <x:v>1</x:v>
      </x:c>
      <x:c r="I1663" s="7" t="str"/>
      <x:c r="J1663" s="7" t="str"/>
      <x:c r="K1663" s="7" t="str"/>
      <x:c r="L1663" s="7" t="str"/>
      <x:c r="M1663" s="7" t="str"/>
      <x:c r="N1663" s="7" t="str"/>
      <x:c r="O1663" s="7" t="str">
        <x:f>IF(N1663="","OPEN",IF(OR(I1663="",J1663="",K1663="",L1663="",M1663=""),"FAIL","PASS"))</x:f>
        <x:v>OPEN</x:v>
      </x:c>
    </x:row>
    <x:row r="1664">
      <x:c r="B1664" s="7" t="str">
        <x:v>CH-PEA-B-Y3-13-2</x:v>
      </x:c>
      <x:c r="C1664" s="7" t="str">
        <x:v>PEA-B-Y3</x:v>
      </x:c>
      <x:c r="D1664" s="7" t="str">
        <x:v>BLD-B</x:v>
      </x:c>
      <x:c r="E1664" s="7" t="str">
        <x:v>BL-Y</x:v>
      </x:c>
      <x:c r="F1664" s="7" t="str">
        <x:v>MF-13</x:v>
      </x:c>
      <x:c r="G1664" s="7" t="str">
        <x:v>final-element reference</x:v>
      </x:c>
      <x:c r="H1664" s="7" t="n">
        <x:v>2</x:v>
      </x:c>
      <x:c r="I1664" s="7" t="str"/>
      <x:c r="J1664" s="7" t="str"/>
      <x:c r="K1664" s="7" t="str"/>
      <x:c r="L1664" s="7" t="str"/>
      <x:c r="M1664" s="7" t="str"/>
      <x:c r="N1664" s="7" t="str"/>
      <x:c r="O1664" s="7" t="str">
        <x:f>IF(N1664="","OPEN",IF(OR(I1664="",J1664="",K1664="",L1664="",M1664=""),"FAIL","PASS"))</x:f>
        <x:v>OPEN</x:v>
      </x:c>
    </x:row>
    <x:row r="1665">
      <x:c r="B1665" s="7" t="str">
        <x:v>CH-PEA-B-Y3-13-3</x:v>
      </x:c>
      <x:c r="C1665" s="7" t="str">
        <x:v>PEA-B-Y3</x:v>
      </x:c>
      <x:c r="D1665" s="7" t="str">
        <x:v>BLD-B</x:v>
      </x:c>
      <x:c r="E1665" s="7" t="str">
        <x:v>BL-Y</x:v>
      </x:c>
      <x:c r="F1665" s="7" t="str">
        <x:v>MF-13</x:v>
      </x:c>
      <x:c r="G1665" s="7" t="str">
        <x:v>final-element reference</x:v>
      </x:c>
      <x:c r="H1665" s="7" t="n">
        <x:v>3</x:v>
      </x:c>
      <x:c r="I1665" s="7" t="str"/>
      <x:c r="J1665" s="7" t="str"/>
      <x:c r="K1665" s="7" t="str"/>
      <x:c r="L1665" s="7" t="str"/>
      <x:c r="M1665" s="7" t="str"/>
      <x:c r="N1665" s="7" t="str"/>
      <x:c r="O1665" s="7" t="str">
        <x:f>IF(N1665="","OPEN",IF(OR(I1665="",J1665="",K1665="",L1665="",M1665=""),"FAIL","PASS"))</x:f>
        <x:v>OPEN</x:v>
      </x:c>
    </x:row>
    <x:row r="1666">
      <x:c r="B1666" s="7" t="str">
        <x:v>CH-PEA-B-Y3-13-4</x:v>
      </x:c>
      <x:c r="C1666" s="7" t="str">
        <x:v>PEA-B-Y3</x:v>
      </x:c>
      <x:c r="D1666" s="7" t="str">
        <x:v>BLD-B</x:v>
      </x:c>
      <x:c r="E1666" s="7" t="str">
        <x:v>BL-Y</x:v>
      </x:c>
      <x:c r="F1666" s="7" t="str">
        <x:v>MF-13</x:v>
      </x:c>
      <x:c r="G1666" s="7" t="str">
        <x:v>final-element reference</x:v>
      </x:c>
      <x:c r="H1666" s="7" t="n">
        <x:v>4</x:v>
      </x:c>
      <x:c r="I1666" s="7" t="str"/>
      <x:c r="J1666" s="7" t="str"/>
      <x:c r="K1666" s="7" t="str"/>
      <x:c r="L1666" s="7" t="str"/>
      <x:c r="M1666" s="7" t="str"/>
      <x:c r="N1666" s="7" t="str"/>
      <x:c r="O1666" s="7" t="str">
        <x:f>IF(N1666="","OPEN",IF(OR(I1666="",J1666="",K1666="",L1666="",M1666=""),"FAIL","PASS"))</x:f>
        <x:v>OPEN</x:v>
      </x:c>
    </x:row>
    <x:row r="1667">
      <x:c r="B1667" s="7" t="str">
        <x:v>CH-PEA-B-Y3-13-5</x:v>
      </x:c>
      <x:c r="C1667" s="7" t="str">
        <x:v>PEA-B-Y3</x:v>
      </x:c>
      <x:c r="D1667" s="7" t="str">
        <x:v>BLD-B</x:v>
      </x:c>
      <x:c r="E1667" s="7" t="str">
        <x:v>BL-Y</x:v>
      </x:c>
      <x:c r="F1667" s="7" t="str">
        <x:v>MF-13</x:v>
      </x:c>
      <x:c r="G1667" s="7" t="str">
        <x:v>final-element reference</x:v>
      </x:c>
      <x:c r="H1667" s="7" t="n">
        <x:v>5</x:v>
      </x:c>
      <x:c r="I1667" s="7" t="str"/>
      <x:c r="J1667" s="7" t="str"/>
      <x:c r="K1667" s="7" t="str"/>
      <x:c r="L1667" s="7" t="str"/>
      <x:c r="M1667" s="7" t="str"/>
      <x:c r="N1667" s="7" t="str"/>
      <x:c r="O1667" s="7" t="str">
        <x:f>IF(N1667="","OPEN",IF(OR(I1667="",J1667="",K1667="",L1667="",M1667=""),"FAIL","PASS"))</x:f>
        <x:v>OPEN</x:v>
      </x:c>
    </x:row>
    <x:row r="1668">
      <x:c r="B1668" s="7" t="str">
        <x:v>CH-PEA-B-Y3-13-6</x:v>
      </x:c>
      <x:c r="C1668" s="7" t="str">
        <x:v>PEA-B-Y3</x:v>
      </x:c>
      <x:c r="D1668" s="7" t="str">
        <x:v>BLD-B</x:v>
      </x:c>
      <x:c r="E1668" s="7" t="str">
        <x:v>BL-Y</x:v>
      </x:c>
      <x:c r="F1668" s="7" t="str">
        <x:v>MF-13</x:v>
      </x:c>
      <x:c r="G1668" s="7" t="str">
        <x:v>final-element reference</x:v>
      </x:c>
      <x:c r="H1668" s="7" t="n">
        <x:v>6</x:v>
      </x:c>
      <x:c r="I1668" s="7" t="str"/>
      <x:c r="J1668" s="7" t="str"/>
      <x:c r="K1668" s="7" t="str"/>
      <x:c r="L1668" s="7" t="str"/>
      <x:c r="M1668" s="7" t="str"/>
      <x:c r="N1668" s="7" t="str"/>
      <x:c r="O1668" s="7" t="str">
        <x:f>IF(N1668="","OPEN",IF(OR(I1668="",J1668="",K1668="",L1668="",M1668=""),"FAIL","PASS"))</x:f>
        <x:v>OPEN</x:v>
      </x:c>
    </x:row>
    <x:row r="1669">
      <x:c r="B1669" s="7" t="str">
        <x:v>CH-PEA-B-Y3-14-1</x:v>
      </x:c>
      <x:c r="C1669" s="7" t="str">
        <x:v>PEA-B-Y3</x:v>
      </x:c>
      <x:c r="D1669" s="7" t="str">
        <x:v>BLD-B</x:v>
      </x:c>
      <x:c r="E1669" s="7" t="str">
        <x:v>BL-Y</x:v>
      </x:c>
      <x:c r="F1669" s="7" t="str">
        <x:v>MF-14</x:v>
      </x:c>
      <x:c r="G1669" s="7" t="str">
        <x:v>causal time</x:v>
      </x:c>
      <x:c r="H1669" s="7" t="n">
        <x:v>1</x:v>
      </x:c>
      <x:c r="I1669" s="7" t="str"/>
      <x:c r="J1669" s="7" t="str"/>
      <x:c r="K1669" s="7" t="str"/>
      <x:c r="L1669" s="7" t="str"/>
      <x:c r="M1669" s="7" t="str"/>
      <x:c r="N1669" s="7" t="str"/>
      <x:c r="O1669" s="7" t="str">
        <x:f>IF(N1669="","OPEN",IF(OR(I1669="",J1669="",K1669="",L1669="",M1669=""),"FAIL","PASS"))</x:f>
        <x:v>OPEN</x:v>
      </x:c>
    </x:row>
    <x:row r="1670">
      <x:c r="B1670" s="7" t="str">
        <x:v>CH-PEA-B-Y3-14-2</x:v>
      </x:c>
      <x:c r="C1670" s="7" t="str">
        <x:v>PEA-B-Y3</x:v>
      </x:c>
      <x:c r="D1670" s="7" t="str">
        <x:v>BLD-B</x:v>
      </x:c>
      <x:c r="E1670" s="7" t="str">
        <x:v>BL-Y</x:v>
      </x:c>
      <x:c r="F1670" s="7" t="str">
        <x:v>MF-14</x:v>
      </x:c>
      <x:c r="G1670" s="7" t="str">
        <x:v>causal time</x:v>
      </x:c>
      <x:c r="H1670" s="7" t="n">
        <x:v>2</x:v>
      </x:c>
      <x:c r="I1670" s="7" t="str"/>
      <x:c r="J1670" s="7" t="str"/>
      <x:c r="K1670" s="7" t="str"/>
      <x:c r="L1670" s="7" t="str"/>
      <x:c r="M1670" s="7" t="str"/>
      <x:c r="N1670" s="7" t="str"/>
      <x:c r="O1670" s="7" t="str">
        <x:f>IF(N1670="","OPEN",IF(OR(I1670="",J1670="",K1670="",L1670="",M1670=""),"FAIL","PASS"))</x:f>
        <x:v>OPEN</x:v>
      </x:c>
    </x:row>
    <x:row r="1671">
      <x:c r="B1671" s="7" t="str">
        <x:v>CH-PEA-B-Y3-14-3</x:v>
      </x:c>
      <x:c r="C1671" s="7" t="str">
        <x:v>PEA-B-Y3</x:v>
      </x:c>
      <x:c r="D1671" s="7" t="str">
        <x:v>BLD-B</x:v>
      </x:c>
      <x:c r="E1671" s="7" t="str">
        <x:v>BL-Y</x:v>
      </x:c>
      <x:c r="F1671" s="7" t="str">
        <x:v>MF-14</x:v>
      </x:c>
      <x:c r="G1671" s="7" t="str">
        <x:v>causal time</x:v>
      </x:c>
      <x:c r="H1671" s="7" t="n">
        <x:v>3</x:v>
      </x:c>
      <x:c r="I1671" s="7" t="str"/>
      <x:c r="J1671" s="7" t="str"/>
      <x:c r="K1671" s="7" t="str"/>
      <x:c r="L1671" s="7" t="str"/>
      <x:c r="M1671" s="7" t="str"/>
      <x:c r="N1671" s="7" t="str"/>
      <x:c r="O1671" s="7" t="str">
        <x:f>IF(N1671="","OPEN",IF(OR(I1671="",J1671="",K1671="",L1671="",M1671=""),"FAIL","PASS"))</x:f>
        <x:v>OPEN</x:v>
      </x:c>
    </x:row>
    <x:row r="1672">
      <x:c r="B1672" s="7" t="str">
        <x:v>CH-PEA-B-Y3-14-4</x:v>
      </x:c>
      <x:c r="C1672" s="7" t="str">
        <x:v>PEA-B-Y3</x:v>
      </x:c>
      <x:c r="D1672" s="7" t="str">
        <x:v>BLD-B</x:v>
      </x:c>
      <x:c r="E1672" s="7" t="str">
        <x:v>BL-Y</x:v>
      </x:c>
      <x:c r="F1672" s="7" t="str">
        <x:v>MF-14</x:v>
      </x:c>
      <x:c r="G1672" s="7" t="str">
        <x:v>causal time</x:v>
      </x:c>
      <x:c r="H1672" s="7" t="n">
        <x:v>4</x:v>
      </x:c>
      <x:c r="I1672" s="7" t="str"/>
      <x:c r="J1672" s="7" t="str"/>
      <x:c r="K1672" s="7" t="str"/>
      <x:c r="L1672" s="7" t="str"/>
      <x:c r="M1672" s="7" t="str"/>
      <x:c r="N1672" s="7" t="str"/>
      <x:c r="O1672" s="7" t="str">
        <x:f>IF(N1672="","OPEN",IF(OR(I1672="",J1672="",K1672="",L1672="",M1672=""),"FAIL","PASS"))</x:f>
        <x:v>OPEN</x:v>
      </x:c>
    </x:row>
    <x:row r="1673">
      <x:c r="B1673" s="7" t="str">
        <x:v>CH-PEA-B-Y3-14-5</x:v>
      </x:c>
      <x:c r="C1673" s="7" t="str">
        <x:v>PEA-B-Y3</x:v>
      </x:c>
      <x:c r="D1673" s="7" t="str">
        <x:v>BLD-B</x:v>
      </x:c>
      <x:c r="E1673" s="7" t="str">
        <x:v>BL-Y</x:v>
      </x:c>
      <x:c r="F1673" s="7" t="str">
        <x:v>MF-14</x:v>
      </x:c>
      <x:c r="G1673" s="7" t="str">
        <x:v>causal time</x:v>
      </x:c>
      <x:c r="H1673" s="7" t="n">
        <x:v>5</x:v>
      </x:c>
      <x:c r="I1673" s="7" t="str"/>
      <x:c r="J1673" s="7" t="str"/>
      <x:c r="K1673" s="7" t="str"/>
      <x:c r="L1673" s="7" t="str"/>
      <x:c r="M1673" s="7" t="str"/>
      <x:c r="N1673" s="7" t="str"/>
      <x:c r="O1673" s="7" t="str">
        <x:f>IF(N1673="","OPEN",IF(OR(I1673="",J1673="",K1673="",L1673="",M1673=""),"FAIL","PASS"))</x:f>
        <x:v>OPEN</x:v>
      </x:c>
    </x:row>
    <x:row r="1674">
      <x:c r="B1674" s="7" t="str">
        <x:v>CH-PEA-B-Y3-14-6</x:v>
      </x:c>
      <x:c r="C1674" s="7" t="str">
        <x:v>PEA-B-Y3</x:v>
      </x:c>
      <x:c r="D1674" s="7" t="str">
        <x:v>BLD-B</x:v>
      </x:c>
      <x:c r="E1674" s="7" t="str">
        <x:v>BL-Y</x:v>
      </x:c>
      <x:c r="F1674" s="7" t="str">
        <x:v>MF-14</x:v>
      </x:c>
      <x:c r="G1674" s="7" t="str">
        <x:v>causal time</x:v>
      </x:c>
      <x:c r="H1674" s="7" t="n">
        <x:v>6</x:v>
      </x:c>
      <x:c r="I1674" s="7" t="str"/>
      <x:c r="J1674" s="7" t="str"/>
      <x:c r="K1674" s="7" t="str"/>
      <x:c r="L1674" s="7" t="str"/>
      <x:c r="M1674" s="7" t="str"/>
      <x:c r="N1674" s="7" t="str"/>
      <x:c r="O1674" s="7" t="str">
        <x:f>IF(N1674="","OPEN",IF(OR(I1674="",J1674="",K1674="",L1674="",M1674=""),"FAIL","PASS"))</x:f>
        <x:v>OPEN</x:v>
      </x:c>
    </x:row>
    <x:row r="1675">
      <x:c r="B1675" s="7" t="str">
        <x:v>CH-PEA-B-Y3-15-1</x:v>
      </x:c>
      <x:c r="C1675" s="7" t="str">
        <x:v>PEA-B-Y3</x:v>
      </x:c>
      <x:c r="D1675" s="7" t="str">
        <x:v>BLD-B</x:v>
      </x:c>
      <x:c r="E1675" s="7" t="str">
        <x:v>BL-Y</x:v>
      </x:c>
      <x:c r="F1675" s="7" t="str">
        <x:v>MF-15</x:v>
      </x:c>
      <x:c r="G1675" s="7" t="str">
        <x:v>source motive energy</x:v>
      </x:c>
      <x:c r="H1675" s="7" t="n">
        <x:v>1</x:v>
      </x:c>
      <x:c r="I1675" s="7" t="str"/>
      <x:c r="J1675" s="7" t="str"/>
      <x:c r="K1675" s="7" t="str"/>
      <x:c r="L1675" s="7" t="str"/>
      <x:c r="M1675" s="7" t="str"/>
      <x:c r="N1675" s="7" t="str"/>
      <x:c r="O1675" s="7" t="str">
        <x:f>IF(N1675="","OPEN",IF(OR(I1675="",J1675="",K1675="",L1675="",M1675=""),"FAIL","PASS"))</x:f>
        <x:v>OPEN</x:v>
      </x:c>
    </x:row>
    <x:row r="1676">
      <x:c r="B1676" s="7" t="str">
        <x:v>CH-PEA-B-Y3-15-2</x:v>
      </x:c>
      <x:c r="C1676" s="7" t="str">
        <x:v>PEA-B-Y3</x:v>
      </x:c>
      <x:c r="D1676" s="7" t="str">
        <x:v>BLD-B</x:v>
      </x:c>
      <x:c r="E1676" s="7" t="str">
        <x:v>BL-Y</x:v>
      </x:c>
      <x:c r="F1676" s="7" t="str">
        <x:v>MF-15</x:v>
      </x:c>
      <x:c r="G1676" s="7" t="str">
        <x:v>source motive energy</x:v>
      </x:c>
      <x:c r="H1676" s="7" t="n">
        <x:v>2</x:v>
      </x:c>
      <x:c r="I1676" s="7" t="str"/>
      <x:c r="J1676" s="7" t="str"/>
      <x:c r="K1676" s="7" t="str"/>
      <x:c r="L1676" s="7" t="str"/>
      <x:c r="M1676" s="7" t="str"/>
      <x:c r="N1676" s="7" t="str"/>
      <x:c r="O1676" s="7" t="str">
        <x:f>IF(N1676="","OPEN",IF(OR(I1676="",J1676="",K1676="",L1676="",M1676=""),"FAIL","PASS"))</x:f>
        <x:v>OPEN</x:v>
      </x:c>
    </x:row>
    <x:row r="1677">
      <x:c r="B1677" s="7" t="str">
        <x:v>CH-PEA-B-Y3-15-3</x:v>
      </x:c>
      <x:c r="C1677" s="7" t="str">
        <x:v>PEA-B-Y3</x:v>
      </x:c>
      <x:c r="D1677" s="7" t="str">
        <x:v>BLD-B</x:v>
      </x:c>
      <x:c r="E1677" s="7" t="str">
        <x:v>BL-Y</x:v>
      </x:c>
      <x:c r="F1677" s="7" t="str">
        <x:v>MF-15</x:v>
      </x:c>
      <x:c r="G1677" s="7" t="str">
        <x:v>source motive energy</x:v>
      </x:c>
      <x:c r="H1677" s="7" t="n">
        <x:v>3</x:v>
      </x:c>
      <x:c r="I1677" s="7" t="str"/>
      <x:c r="J1677" s="7" t="str"/>
      <x:c r="K1677" s="7" t="str"/>
      <x:c r="L1677" s="7" t="str"/>
      <x:c r="M1677" s="7" t="str"/>
      <x:c r="N1677" s="7" t="str"/>
      <x:c r="O1677" s="7" t="str">
        <x:f>IF(N1677="","OPEN",IF(OR(I1677="",J1677="",K1677="",L1677="",M1677=""),"FAIL","PASS"))</x:f>
        <x:v>OPEN</x:v>
      </x:c>
    </x:row>
    <x:row r="1678">
      <x:c r="B1678" s="7" t="str">
        <x:v>CH-PEA-B-Y3-15-4</x:v>
      </x:c>
      <x:c r="C1678" s="7" t="str">
        <x:v>PEA-B-Y3</x:v>
      </x:c>
      <x:c r="D1678" s="7" t="str">
        <x:v>BLD-B</x:v>
      </x:c>
      <x:c r="E1678" s="7" t="str">
        <x:v>BL-Y</x:v>
      </x:c>
      <x:c r="F1678" s="7" t="str">
        <x:v>MF-15</x:v>
      </x:c>
      <x:c r="G1678" s="7" t="str">
        <x:v>source motive energy</x:v>
      </x:c>
      <x:c r="H1678" s="7" t="n">
        <x:v>4</x:v>
      </x:c>
      <x:c r="I1678" s="7" t="str"/>
      <x:c r="J1678" s="7" t="str"/>
      <x:c r="K1678" s="7" t="str"/>
      <x:c r="L1678" s="7" t="str"/>
      <x:c r="M1678" s="7" t="str"/>
      <x:c r="N1678" s="7" t="str"/>
      <x:c r="O1678" s="7" t="str">
        <x:f>IF(N1678="","OPEN",IF(OR(I1678="",J1678="",K1678="",L1678="",M1678=""),"FAIL","PASS"))</x:f>
        <x:v>OPEN</x:v>
      </x:c>
    </x:row>
    <x:row r="1679">
      <x:c r="B1679" s="7" t="str">
        <x:v>CH-PEA-B-Y3-15-5</x:v>
      </x:c>
      <x:c r="C1679" s="7" t="str">
        <x:v>PEA-B-Y3</x:v>
      </x:c>
      <x:c r="D1679" s="7" t="str">
        <x:v>BLD-B</x:v>
      </x:c>
      <x:c r="E1679" s="7" t="str">
        <x:v>BL-Y</x:v>
      </x:c>
      <x:c r="F1679" s="7" t="str">
        <x:v>MF-15</x:v>
      </x:c>
      <x:c r="G1679" s="7" t="str">
        <x:v>source motive energy</x:v>
      </x:c>
      <x:c r="H1679" s="7" t="n">
        <x:v>5</x:v>
      </x:c>
      <x:c r="I1679" s="7" t="str"/>
      <x:c r="J1679" s="7" t="str"/>
      <x:c r="K1679" s="7" t="str"/>
      <x:c r="L1679" s="7" t="str"/>
      <x:c r="M1679" s="7" t="str"/>
      <x:c r="N1679" s="7" t="str"/>
      <x:c r="O1679" s="7" t="str">
        <x:f>IF(N1679="","OPEN",IF(OR(I1679="",J1679="",K1679="",L1679="",M1679=""),"FAIL","PASS"))</x:f>
        <x:v>OPEN</x:v>
      </x:c>
    </x:row>
    <x:row r="1680">
      <x:c r="B1680" s="7" t="str">
        <x:v>CH-PEA-B-Y3-15-6</x:v>
      </x:c>
      <x:c r="C1680" s="7" t="str">
        <x:v>PEA-B-Y3</x:v>
      </x:c>
      <x:c r="D1680" s="7" t="str">
        <x:v>BLD-B</x:v>
      </x:c>
      <x:c r="E1680" s="7" t="str">
        <x:v>BL-Y</x:v>
      </x:c>
      <x:c r="F1680" s="7" t="str">
        <x:v>MF-15</x:v>
      </x:c>
      <x:c r="G1680" s="7" t="str">
        <x:v>source motive energy</x:v>
      </x:c>
      <x:c r="H1680" s="7" t="n">
        <x:v>6</x:v>
      </x:c>
      <x:c r="I1680" s="7" t="str"/>
      <x:c r="J1680" s="7" t="str"/>
      <x:c r="K1680" s="7" t="str"/>
      <x:c r="L1680" s="7" t="str"/>
      <x:c r="M1680" s="7" t="str"/>
      <x:c r="N1680" s="7" t="str"/>
      <x:c r="O1680" s="7" t="str">
        <x:f>IF(N1680="","OPEN",IF(OR(I1680="",J1680="",K1680="",L1680="",M1680=""),"FAIL","PASS"))</x:f>
        <x:v>OPEN</x:v>
      </x:c>
    </x:row>
    <x:row r="1681">
      <x:c r="B1681" s="7" t="str">
        <x:v>CH-PEA-B-Y3-16-1</x:v>
      </x:c>
      <x:c r="C1681" s="7" t="str">
        <x:v>PEA-B-Y3</x:v>
      </x:c>
      <x:c r="D1681" s="7" t="str">
        <x:v>BLD-B</x:v>
      </x:c>
      <x:c r="E1681" s="7" t="str">
        <x:v>BL-Y</x:v>
      </x:c>
      <x:c r="F1681" s="7" t="str">
        <x:v>MF-16</x:v>
      </x:c>
      <x:c r="G1681" s="7" t="str">
        <x:v>water motive energy</x:v>
      </x:c>
      <x:c r="H1681" s="7" t="n">
        <x:v>1</x:v>
      </x:c>
      <x:c r="I1681" s="7" t="str"/>
      <x:c r="J1681" s="7" t="str"/>
      <x:c r="K1681" s="7" t="str"/>
      <x:c r="L1681" s="7" t="str"/>
      <x:c r="M1681" s="7" t="str"/>
      <x:c r="N1681" s="7" t="str"/>
      <x:c r="O1681" s="7" t="str">
        <x:f>IF(N1681="","OPEN",IF(OR(I1681="",J1681="",K1681="",L1681="",M1681=""),"FAIL","PASS"))</x:f>
        <x:v>OPEN</x:v>
      </x:c>
    </x:row>
    <x:row r="1682">
      <x:c r="B1682" s="7" t="str">
        <x:v>CH-PEA-B-Y3-16-2</x:v>
      </x:c>
      <x:c r="C1682" s="7" t="str">
        <x:v>PEA-B-Y3</x:v>
      </x:c>
      <x:c r="D1682" s="7" t="str">
        <x:v>BLD-B</x:v>
      </x:c>
      <x:c r="E1682" s="7" t="str">
        <x:v>BL-Y</x:v>
      </x:c>
      <x:c r="F1682" s="7" t="str">
        <x:v>MF-16</x:v>
      </x:c>
      <x:c r="G1682" s="7" t="str">
        <x:v>water motive energy</x:v>
      </x:c>
      <x:c r="H1682" s="7" t="n">
        <x:v>2</x:v>
      </x:c>
      <x:c r="I1682" s="7" t="str"/>
      <x:c r="J1682" s="7" t="str"/>
      <x:c r="K1682" s="7" t="str"/>
      <x:c r="L1682" s="7" t="str"/>
      <x:c r="M1682" s="7" t="str"/>
      <x:c r="N1682" s="7" t="str"/>
      <x:c r="O1682" s="7" t="str">
        <x:f>IF(N1682="","OPEN",IF(OR(I1682="",J1682="",K1682="",L1682="",M1682=""),"FAIL","PASS"))</x:f>
        <x:v>OPEN</x:v>
      </x:c>
    </x:row>
    <x:row r="1683">
      <x:c r="B1683" s="7" t="str">
        <x:v>CH-PEA-B-Y3-16-3</x:v>
      </x:c>
      <x:c r="C1683" s="7" t="str">
        <x:v>PEA-B-Y3</x:v>
      </x:c>
      <x:c r="D1683" s="7" t="str">
        <x:v>BLD-B</x:v>
      </x:c>
      <x:c r="E1683" s="7" t="str">
        <x:v>BL-Y</x:v>
      </x:c>
      <x:c r="F1683" s="7" t="str">
        <x:v>MF-16</x:v>
      </x:c>
      <x:c r="G1683" s="7" t="str">
        <x:v>water motive energy</x:v>
      </x:c>
      <x:c r="H1683" s="7" t="n">
        <x:v>3</x:v>
      </x:c>
      <x:c r="I1683" s="7" t="str"/>
      <x:c r="J1683" s="7" t="str"/>
      <x:c r="K1683" s="7" t="str"/>
      <x:c r="L1683" s="7" t="str"/>
      <x:c r="M1683" s="7" t="str"/>
      <x:c r="N1683" s="7" t="str"/>
      <x:c r="O1683" s="7" t="str">
        <x:f>IF(N1683="","OPEN",IF(OR(I1683="",J1683="",K1683="",L1683="",M1683=""),"FAIL","PASS"))</x:f>
        <x:v>OPEN</x:v>
      </x:c>
    </x:row>
    <x:row r="1684">
      <x:c r="B1684" s="7" t="str">
        <x:v>CH-PEA-B-Y3-16-4</x:v>
      </x:c>
      <x:c r="C1684" s="7" t="str">
        <x:v>PEA-B-Y3</x:v>
      </x:c>
      <x:c r="D1684" s="7" t="str">
        <x:v>BLD-B</x:v>
      </x:c>
      <x:c r="E1684" s="7" t="str">
        <x:v>BL-Y</x:v>
      </x:c>
      <x:c r="F1684" s="7" t="str">
        <x:v>MF-16</x:v>
      </x:c>
      <x:c r="G1684" s="7" t="str">
        <x:v>water motive energy</x:v>
      </x:c>
      <x:c r="H1684" s="7" t="n">
        <x:v>4</x:v>
      </x:c>
      <x:c r="I1684" s="7" t="str"/>
      <x:c r="J1684" s="7" t="str"/>
      <x:c r="K1684" s="7" t="str"/>
      <x:c r="L1684" s="7" t="str"/>
      <x:c r="M1684" s="7" t="str"/>
      <x:c r="N1684" s="7" t="str"/>
      <x:c r="O1684" s="7" t="str">
        <x:f>IF(N1684="","OPEN",IF(OR(I1684="",J1684="",K1684="",L1684="",M1684=""),"FAIL","PASS"))</x:f>
        <x:v>OPEN</x:v>
      </x:c>
    </x:row>
    <x:row r="1685">
      <x:c r="B1685" s="7" t="str">
        <x:v>CH-PEA-B-Y3-16-5</x:v>
      </x:c>
      <x:c r="C1685" s="7" t="str">
        <x:v>PEA-B-Y3</x:v>
      </x:c>
      <x:c r="D1685" s="7" t="str">
        <x:v>BLD-B</x:v>
      </x:c>
      <x:c r="E1685" s="7" t="str">
        <x:v>BL-Y</x:v>
      </x:c>
      <x:c r="F1685" s="7" t="str">
        <x:v>MF-16</x:v>
      </x:c>
      <x:c r="G1685" s="7" t="str">
        <x:v>water motive energy</x:v>
      </x:c>
      <x:c r="H1685" s="7" t="n">
        <x:v>5</x:v>
      </x:c>
      <x:c r="I1685" s="7" t="str"/>
      <x:c r="J1685" s="7" t="str"/>
      <x:c r="K1685" s="7" t="str"/>
      <x:c r="L1685" s="7" t="str"/>
      <x:c r="M1685" s="7" t="str"/>
      <x:c r="N1685" s="7" t="str"/>
      <x:c r="O1685" s="7" t="str">
        <x:f>IF(N1685="","OPEN",IF(OR(I1685="",J1685="",K1685="",L1685="",M1685=""),"FAIL","PASS"))</x:f>
        <x:v>OPEN</x:v>
      </x:c>
    </x:row>
    <x:row r="1686">
      <x:c r="B1686" s="7" t="str">
        <x:v>CH-PEA-B-Y3-16-6</x:v>
      </x:c>
      <x:c r="C1686" s="7" t="str">
        <x:v>PEA-B-Y3</x:v>
      </x:c>
      <x:c r="D1686" s="7" t="str">
        <x:v>BLD-B</x:v>
      </x:c>
      <x:c r="E1686" s="7" t="str">
        <x:v>BL-Y</x:v>
      </x:c>
      <x:c r="F1686" s="7" t="str">
        <x:v>MF-16</x:v>
      </x:c>
      <x:c r="G1686" s="7" t="str">
        <x:v>water motive energy</x:v>
      </x:c>
      <x:c r="H1686" s="7" t="n">
        <x:v>6</x:v>
      </x:c>
      <x:c r="I1686" s="7" t="str"/>
      <x:c r="J1686" s="7" t="str"/>
      <x:c r="K1686" s="7" t="str"/>
      <x:c r="L1686" s="7" t="str"/>
      <x:c r="M1686" s="7" t="str"/>
      <x:c r="N1686" s="7" t="str"/>
      <x:c r="O1686" s="7" t="str">
        <x:f>IF(N1686="","OPEN",IF(OR(I1686="",J1686="",K1686="",L1686="",M1686=""),"FAIL","PASS"))</x:f>
        <x:v>OPEN</x:v>
      </x:c>
    </x:row>
    <x:row r="1687">
      <x:c r="B1687" s="7" t="str">
        <x:v>CH-PEA-B-Y3-17-1</x:v>
      </x:c>
      <x:c r="C1687" s="7" t="str">
        <x:v>PEA-B-Y3</x:v>
      </x:c>
      <x:c r="D1687" s="7" t="str">
        <x:v>BLD-B</x:v>
      </x:c>
      <x:c r="E1687" s="7" t="str">
        <x:v>BL-Y</x:v>
      </x:c>
      <x:c r="F1687" s="7" t="str">
        <x:v>MF-17</x:v>
      </x:c>
      <x:c r="G1687" s="7" t="str">
        <x:v>normal power</x:v>
      </x:c>
      <x:c r="H1687" s="7" t="n">
        <x:v>1</x:v>
      </x:c>
      <x:c r="I1687" s="7" t="str"/>
      <x:c r="J1687" s="7" t="str"/>
      <x:c r="K1687" s="7" t="str"/>
      <x:c r="L1687" s="7" t="str"/>
      <x:c r="M1687" s="7" t="str"/>
      <x:c r="N1687" s="7" t="str"/>
      <x:c r="O1687" s="7" t="str">
        <x:f>IF(N1687="","OPEN",IF(OR(I1687="",J1687="",K1687="",L1687="",M1687=""),"FAIL","PASS"))</x:f>
        <x:v>OPEN</x:v>
      </x:c>
    </x:row>
    <x:row r="1688">
      <x:c r="B1688" s="7" t="str">
        <x:v>CH-PEA-B-Y3-17-2</x:v>
      </x:c>
      <x:c r="C1688" s="7" t="str">
        <x:v>PEA-B-Y3</x:v>
      </x:c>
      <x:c r="D1688" s="7" t="str">
        <x:v>BLD-B</x:v>
      </x:c>
      <x:c r="E1688" s="7" t="str">
        <x:v>BL-Y</x:v>
      </x:c>
      <x:c r="F1688" s="7" t="str">
        <x:v>MF-17</x:v>
      </x:c>
      <x:c r="G1688" s="7" t="str">
        <x:v>normal power</x:v>
      </x:c>
      <x:c r="H1688" s="7" t="n">
        <x:v>2</x:v>
      </x:c>
      <x:c r="I1688" s="7" t="str"/>
      <x:c r="J1688" s="7" t="str"/>
      <x:c r="K1688" s="7" t="str"/>
      <x:c r="L1688" s="7" t="str"/>
      <x:c r="M1688" s="7" t="str"/>
      <x:c r="N1688" s="7" t="str"/>
      <x:c r="O1688" s="7" t="str">
        <x:f>IF(N1688="","OPEN",IF(OR(I1688="",J1688="",K1688="",L1688="",M1688=""),"FAIL","PASS"))</x:f>
        <x:v>OPEN</x:v>
      </x:c>
    </x:row>
    <x:row r="1689">
      <x:c r="B1689" s="7" t="str">
        <x:v>CH-PEA-B-Y3-17-3</x:v>
      </x:c>
      <x:c r="C1689" s="7" t="str">
        <x:v>PEA-B-Y3</x:v>
      </x:c>
      <x:c r="D1689" s="7" t="str">
        <x:v>BLD-B</x:v>
      </x:c>
      <x:c r="E1689" s="7" t="str">
        <x:v>BL-Y</x:v>
      </x:c>
      <x:c r="F1689" s="7" t="str">
        <x:v>MF-17</x:v>
      </x:c>
      <x:c r="G1689" s="7" t="str">
        <x:v>normal power</x:v>
      </x:c>
      <x:c r="H1689" s="7" t="n">
        <x:v>3</x:v>
      </x:c>
      <x:c r="I1689" s="7" t="str"/>
      <x:c r="J1689" s="7" t="str"/>
      <x:c r="K1689" s="7" t="str"/>
      <x:c r="L1689" s="7" t="str"/>
      <x:c r="M1689" s="7" t="str"/>
      <x:c r="N1689" s="7" t="str"/>
      <x:c r="O1689" s="7" t="str">
        <x:f>IF(N1689="","OPEN",IF(OR(I1689="",J1689="",K1689="",L1689="",M1689=""),"FAIL","PASS"))</x:f>
        <x:v>OPEN</x:v>
      </x:c>
    </x:row>
    <x:row r="1690">
      <x:c r="B1690" s="7" t="str">
        <x:v>CH-PEA-B-Y3-17-4</x:v>
      </x:c>
      <x:c r="C1690" s="7" t="str">
        <x:v>PEA-B-Y3</x:v>
      </x:c>
      <x:c r="D1690" s="7" t="str">
        <x:v>BLD-B</x:v>
      </x:c>
      <x:c r="E1690" s="7" t="str">
        <x:v>BL-Y</x:v>
      </x:c>
      <x:c r="F1690" s="7" t="str">
        <x:v>MF-17</x:v>
      </x:c>
      <x:c r="G1690" s="7" t="str">
        <x:v>normal power</x:v>
      </x:c>
      <x:c r="H1690" s="7" t="n">
        <x:v>4</x:v>
      </x:c>
      <x:c r="I1690" s="7" t="str"/>
      <x:c r="J1690" s="7" t="str"/>
      <x:c r="K1690" s="7" t="str"/>
      <x:c r="L1690" s="7" t="str"/>
      <x:c r="M1690" s="7" t="str"/>
      <x:c r="N1690" s="7" t="str"/>
      <x:c r="O1690" s="7" t="str">
        <x:f>IF(N1690="","OPEN",IF(OR(I1690="",J1690="",K1690="",L1690="",M1690=""),"FAIL","PASS"))</x:f>
        <x:v>OPEN</x:v>
      </x:c>
    </x:row>
    <x:row r="1691">
      <x:c r="B1691" s="7" t="str">
        <x:v>CH-PEA-B-Y3-17-5</x:v>
      </x:c>
      <x:c r="C1691" s="7" t="str">
        <x:v>PEA-B-Y3</x:v>
      </x:c>
      <x:c r="D1691" s="7" t="str">
        <x:v>BLD-B</x:v>
      </x:c>
      <x:c r="E1691" s="7" t="str">
        <x:v>BL-Y</x:v>
      </x:c>
      <x:c r="F1691" s="7" t="str">
        <x:v>MF-17</x:v>
      </x:c>
      <x:c r="G1691" s="7" t="str">
        <x:v>normal power</x:v>
      </x:c>
      <x:c r="H1691" s="7" t="n">
        <x:v>5</x:v>
      </x:c>
      <x:c r="I1691" s="7" t="str"/>
      <x:c r="J1691" s="7" t="str"/>
      <x:c r="K1691" s="7" t="str"/>
      <x:c r="L1691" s="7" t="str"/>
      <x:c r="M1691" s="7" t="str"/>
      <x:c r="N1691" s="7" t="str"/>
      <x:c r="O1691" s="7" t="str">
        <x:f>IF(N1691="","OPEN",IF(OR(I1691="",J1691="",K1691="",L1691="",M1691=""),"FAIL","PASS"))</x:f>
        <x:v>OPEN</x:v>
      </x:c>
    </x:row>
    <x:row r="1692">
      <x:c r="B1692" s="7" t="str">
        <x:v>CH-PEA-B-Y3-17-6</x:v>
      </x:c>
      <x:c r="C1692" s="7" t="str">
        <x:v>PEA-B-Y3</x:v>
      </x:c>
      <x:c r="D1692" s="7" t="str">
        <x:v>BLD-B</x:v>
      </x:c>
      <x:c r="E1692" s="7" t="str">
        <x:v>BL-Y</x:v>
      </x:c>
      <x:c r="F1692" s="7" t="str">
        <x:v>MF-17</x:v>
      </x:c>
      <x:c r="G1692" s="7" t="str">
        <x:v>normal power</x:v>
      </x:c>
      <x:c r="H1692" s="7" t="n">
        <x:v>6</x:v>
      </x:c>
      <x:c r="I1692" s="7" t="str"/>
      <x:c r="J1692" s="7" t="str"/>
      <x:c r="K1692" s="7" t="str"/>
      <x:c r="L1692" s="7" t="str"/>
      <x:c r="M1692" s="7" t="str"/>
      <x:c r="N1692" s="7" t="str"/>
      <x:c r="O1692" s="7" t="str">
        <x:f>IF(N1692="","OPEN",IF(OR(I1692="",J1692="",K1692="",L1692="",M1692=""),"FAIL","PASS"))</x:f>
        <x:v>OPEN</x:v>
      </x:c>
    </x:row>
    <x:row r="1693">
      <x:c r="B1693" s="7" t="str">
        <x:v>CH-PEA-B-Y3-18-1</x:v>
      </x:c>
      <x:c r="C1693" s="7" t="str">
        <x:v>PEA-B-Y3</x:v>
      </x:c>
      <x:c r="D1693" s="7" t="str">
        <x:v>BLD-B</x:v>
      </x:c>
      <x:c r="E1693" s="7" t="str">
        <x:v>BL-Y</x:v>
      </x:c>
      <x:c r="F1693" s="7" t="str">
        <x:v>MF-18</x:v>
      </x:c>
      <x:c r="G1693" s="7" t="str">
        <x:v>independent power</x:v>
      </x:c>
      <x:c r="H1693" s="7" t="n">
        <x:v>1</x:v>
      </x:c>
      <x:c r="I1693" s="7" t="str"/>
      <x:c r="J1693" s="7" t="str"/>
      <x:c r="K1693" s="7" t="str"/>
      <x:c r="L1693" s="7" t="str"/>
      <x:c r="M1693" s="7" t="str"/>
      <x:c r="N1693" s="7" t="str"/>
      <x:c r="O1693" s="7" t="str">
        <x:f>IF(N1693="","OPEN",IF(OR(I1693="",J1693="",K1693="",L1693="",M1693=""),"FAIL","PASS"))</x:f>
        <x:v>OPEN</x:v>
      </x:c>
    </x:row>
    <x:row r="1694">
      <x:c r="B1694" s="7" t="str">
        <x:v>CH-PEA-B-Y3-18-2</x:v>
      </x:c>
      <x:c r="C1694" s="7" t="str">
        <x:v>PEA-B-Y3</x:v>
      </x:c>
      <x:c r="D1694" s="7" t="str">
        <x:v>BLD-B</x:v>
      </x:c>
      <x:c r="E1694" s="7" t="str">
        <x:v>BL-Y</x:v>
      </x:c>
      <x:c r="F1694" s="7" t="str">
        <x:v>MF-18</x:v>
      </x:c>
      <x:c r="G1694" s="7" t="str">
        <x:v>independent power</x:v>
      </x:c>
      <x:c r="H1694" s="7" t="n">
        <x:v>2</x:v>
      </x:c>
      <x:c r="I1694" s="7" t="str"/>
      <x:c r="J1694" s="7" t="str"/>
      <x:c r="K1694" s="7" t="str"/>
      <x:c r="L1694" s="7" t="str"/>
      <x:c r="M1694" s="7" t="str"/>
      <x:c r="N1694" s="7" t="str"/>
      <x:c r="O1694" s="7" t="str">
        <x:f>IF(N1694="","OPEN",IF(OR(I1694="",J1694="",K1694="",L1694="",M1694=""),"FAIL","PASS"))</x:f>
        <x:v>OPEN</x:v>
      </x:c>
    </x:row>
    <x:row r="1695">
      <x:c r="B1695" s="7" t="str">
        <x:v>CH-PEA-B-Y3-18-3</x:v>
      </x:c>
      <x:c r="C1695" s="7" t="str">
        <x:v>PEA-B-Y3</x:v>
      </x:c>
      <x:c r="D1695" s="7" t="str">
        <x:v>BLD-B</x:v>
      </x:c>
      <x:c r="E1695" s="7" t="str">
        <x:v>BL-Y</x:v>
      </x:c>
      <x:c r="F1695" s="7" t="str">
        <x:v>MF-18</x:v>
      </x:c>
      <x:c r="G1695" s="7" t="str">
        <x:v>independent power</x:v>
      </x:c>
      <x:c r="H1695" s="7" t="n">
        <x:v>3</x:v>
      </x:c>
      <x:c r="I1695" s="7" t="str"/>
      <x:c r="J1695" s="7" t="str"/>
      <x:c r="K1695" s="7" t="str"/>
      <x:c r="L1695" s="7" t="str"/>
      <x:c r="M1695" s="7" t="str"/>
      <x:c r="N1695" s="7" t="str"/>
      <x:c r="O1695" s="7" t="str">
        <x:f>IF(N1695="","OPEN",IF(OR(I1695="",J1695="",K1695="",L1695="",M1695=""),"FAIL","PASS"))</x:f>
        <x:v>OPEN</x:v>
      </x:c>
    </x:row>
    <x:row r="1696">
      <x:c r="B1696" s="7" t="str">
        <x:v>CH-PEA-B-Y3-18-4</x:v>
      </x:c>
      <x:c r="C1696" s="7" t="str">
        <x:v>PEA-B-Y3</x:v>
      </x:c>
      <x:c r="D1696" s="7" t="str">
        <x:v>BLD-B</x:v>
      </x:c>
      <x:c r="E1696" s="7" t="str">
        <x:v>BL-Y</x:v>
      </x:c>
      <x:c r="F1696" s="7" t="str">
        <x:v>MF-18</x:v>
      </x:c>
      <x:c r="G1696" s="7" t="str">
        <x:v>independent power</x:v>
      </x:c>
      <x:c r="H1696" s="7" t="n">
        <x:v>4</x:v>
      </x:c>
      <x:c r="I1696" s="7" t="str"/>
      <x:c r="J1696" s="7" t="str"/>
      <x:c r="K1696" s="7" t="str"/>
      <x:c r="L1696" s="7" t="str"/>
      <x:c r="M1696" s="7" t="str"/>
      <x:c r="N1696" s="7" t="str"/>
      <x:c r="O1696" s="7" t="str">
        <x:f>IF(N1696="","OPEN",IF(OR(I1696="",J1696="",K1696="",L1696="",M1696=""),"FAIL","PASS"))</x:f>
        <x:v>OPEN</x:v>
      </x:c>
    </x:row>
    <x:row r="1697">
      <x:c r="B1697" s="7" t="str">
        <x:v>CH-PEA-B-Y3-18-5</x:v>
      </x:c>
      <x:c r="C1697" s="7" t="str">
        <x:v>PEA-B-Y3</x:v>
      </x:c>
      <x:c r="D1697" s="7" t="str">
        <x:v>BLD-B</x:v>
      </x:c>
      <x:c r="E1697" s="7" t="str">
        <x:v>BL-Y</x:v>
      </x:c>
      <x:c r="F1697" s="7" t="str">
        <x:v>MF-18</x:v>
      </x:c>
      <x:c r="G1697" s="7" t="str">
        <x:v>independent power</x:v>
      </x:c>
      <x:c r="H1697" s="7" t="n">
        <x:v>5</x:v>
      </x:c>
      <x:c r="I1697" s="7" t="str"/>
      <x:c r="J1697" s="7" t="str"/>
      <x:c r="K1697" s="7" t="str"/>
      <x:c r="L1697" s="7" t="str"/>
      <x:c r="M1697" s="7" t="str"/>
      <x:c r="N1697" s="7" t="str"/>
      <x:c r="O1697" s="7" t="str">
        <x:f>IF(N1697="","OPEN",IF(OR(I1697="",J1697="",K1697="",L1697="",M1697=""),"FAIL","PASS"))</x:f>
        <x:v>OPEN</x:v>
      </x:c>
    </x:row>
    <x:row r="1698">
      <x:c r="B1698" s="7" t="str">
        <x:v>CH-PEA-B-Y3-18-6</x:v>
      </x:c>
      <x:c r="C1698" s="7" t="str">
        <x:v>PEA-B-Y3</x:v>
      </x:c>
      <x:c r="D1698" s="7" t="str">
        <x:v>BLD-B</x:v>
      </x:c>
      <x:c r="E1698" s="7" t="str">
        <x:v>BL-Y</x:v>
      </x:c>
      <x:c r="F1698" s="7" t="str">
        <x:v>MF-18</x:v>
      </x:c>
      <x:c r="G1698" s="7" t="str">
        <x:v>independent power</x:v>
      </x:c>
      <x:c r="H1698" s="7" t="n">
        <x:v>6</x:v>
      </x:c>
      <x:c r="I1698" s="7" t="str"/>
      <x:c r="J1698" s="7" t="str"/>
      <x:c r="K1698" s="7" t="str"/>
      <x:c r="L1698" s="7" t="str"/>
      <x:c r="M1698" s="7" t="str"/>
      <x:c r="N1698" s="7" t="str"/>
      <x:c r="O1698" s="7" t="str">
        <x:f>IF(N1698="","OPEN",IF(OR(I1698="",J1698="",K1698="",L1698="",M1698=""),"FAIL","PASS"))</x:f>
        <x:v>OPEN</x:v>
      </x:c>
    </x:row>
    <x:row r="1699">
      <x:c r="B1699" s="7" t="str">
        <x:v>CH-PEA-B-Y3-19-1</x:v>
      </x:c>
      <x:c r="C1699" s="7" t="str">
        <x:v>PEA-B-Y3</x:v>
      </x:c>
      <x:c r="D1699" s="7" t="str">
        <x:v>BLD-B</x:v>
      </x:c>
      <x:c r="E1699" s="7" t="str">
        <x:v>BL-Y</x:v>
      </x:c>
      <x:c r="F1699" s="7" t="str">
        <x:v>MF-19</x:v>
      </x:c>
      <x:c r="G1699" s="7" t="str">
        <x:v>leak collection</x:v>
      </x:c>
      <x:c r="H1699" s="7" t="n">
        <x:v>1</x:v>
      </x:c>
      <x:c r="I1699" s="7" t="str"/>
      <x:c r="J1699" s="7" t="str"/>
      <x:c r="K1699" s="7" t="str"/>
      <x:c r="L1699" s="7" t="str"/>
      <x:c r="M1699" s="7" t="str"/>
      <x:c r="N1699" s="7" t="str"/>
      <x:c r="O1699" s="7" t="str">
        <x:f>IF(N1699="","OPEN",IF(OR(I1699="",J1699="",K1699="",L1699="",M1699=""),"FAIL","PASS"))</x:f>
        <x:v>OPEN</x:v>
      </x:c>
    </x:row>
    <x:row r="1700">
      <x:c r="B1700" s="7" t="str">
        <x:v>CH-PEA-B-Y3-19-2</x:v>
      </x:c>
      <x:c r="C1700" s="7" t="str">
        <x:v>PEA-B-Y3</x:v>
      </x:c>
      <x:c r="D1700" s="7" t="str">
        <x:v>BLD-B</x:v>
      </x:c>
      <x:c r="E1700" s="7" t="str">
        <x:v>BL-Y</x:v>
      </x:c>
      <x:c r="F1700" s="7" t="str">
        <x:v>MF-19</x:v>
      </x:c>
      <x:c r="G1700" s="7" t="str">
        <x:v>leak collection</x:v>
      </x:c>
      <x:c r="H1700" s="7" t="n">
        <x:v>2</x:v>
      </x:c>
      <x:c r="I1700" s="7" t="str"/>
      <x:c r="J1700" s="7" t="str"/>
      <x:c r="K1700" s="7" t="str"/>
      <x:c r="L1700" s="7" t="str"/>
      <x:c r="M1700" s="7" t="str"/>
      <x:c r="N1700" s="7" t="str"/>
      <x:c r="O1700" s="7" t="str">
        <x:f>IF(N1700="","OPEN",IF(OR(I1700="",J1700="",K1700="",L1700="",M1700=""),"FAIL","PASS"))</x:f>
        <x:v>OPEN</x:v>
      </x:c>
    </x:row>
    <x:row r="1701">
      <x:c r="B1701" s="7" t="str">
        <x:v>CH-PEA-B-Y3-19-3</x:v>
      </x:c>
      <x:c r="C1701" s="7" t="str">
        <x:v>PEA-B-Y3</x:v>
      </x:c>
      <x:c r="D1701" s="7" t="str">
        <x:v>BLD-B</x:v>
      </x:c>
      <x:c r="E1701" s="7" t="str">
        <x:v>BL-Y</x:v>
      </x:c>
      <x:c r="F1701" s="7" t="str">
        <x:v>MF-19</x:v>
      </x:c>
      <x:c r="G1701" s="7" t="str">
        <x:v>leak collection</x:v>
      </x:c>
      <x:c r="H1701" s="7" t="n">
        <x:v>3</x:v>
      </x:c>
      <x:c r="I1701" s="7" t="str"/>
      <x:c r="J1701" s="7" t="str"/>
      <x:c r="K1701" s="7" t="str"/>
      <x:c r="L1701" s="7" t="str"/>
      <x:c r="M1701" s="7" t="str"/>
      <x:c r="N1701" s="7" t="str"/>
      <x:c r="O1701" s="7" t="str">
        <x:f>IF(N1701="","OPEN",IF(OR(I1701="",J1701="",K1701="",L1701="",M1701=""),"FAIL","PASS"))</x:f>
        <x:v>OPEN</x:v>
      </x:c>
    </x:row>
    <x:row r="1702">
      <x:c r="B1702" s="7" t="str">
        <x:v>CH-PEA-B-Y3-19-4</x:v>
      </x:c>
      <x:c r="C1702" s="7" t="str">
        <x:v>PEA-B-Y3</x:v>
      </x:c>
      <x:c r="D1702" s="7" t="str">
        <x:v>BLD-B</x:v>
      </x:c>
      <x:c r="E1702" s="7" t="str">
        <x:v>BL-Y</x:v>
      </x:c>
      <x:c r="F1702" s="7" t="str">
        <x:v>MF-19</x:v>
      </x:c>
      <x:c r="G1702" s="7" t="str">
        <x:v>leak collection</x:v>
      </x:c>
      <x:c r="H1702" s="7" t="n">
        <x:v>4</x:v>
      </x:c>
      <x:c r="I1702" s="7" t="str"/>
      <x:c r="J1702" s="7" t="str"/>
      <x:c r="K1702" s="7" t="str"/>
      <x:c r="L1702" s="7" t="str"/>
      <x:c r="M1702" s="7" t="str"/>
      <x:c r="N1702" s="7" t="str"/>
      <x:c r="O1702" s="7" t="str">
        <x:f>IF(N1702="","OPEN",IF(OR(I1702="",J1702="",K1702="",L1702="",M1702=""),"FAIL","PASS"))</x:f>
        <x:v>OPEN</x:v>
      </x:c>
    </x:row>
    <x:row r="1703">
      <x:c r="B1703" s="7" t="str">
        <x:v>CH-PEA-B-Y3-19-5</x:v>
      </x:c>
      <x:c r="C1703" s="7" t="str">
        <x:v>PEA-B-Y3</x:v>
      </x:c>
      <x:c r="D1703" s="7" t="str">
        <x:v>BLD-B</x:v>
      </x:c>
      <x:c r="E1703" s="7" t="str">
        <x:v>BL-Y</x:v>
      </x:c>
      <x:c r="F1703" s="7" t="str">
        <x:v>MF-19</x:v>
      </x:c>
      <x:c r="G1703" s="7" t="str">
        <x:v>leak collection</x:v>
      </x:c>
      <x:c r="H1703" s="7" t="n">
        <x:v>5</x:v>
      </x:c>
      <x:c r="I1703" s="7" t="str"/>
      <x:c r="J1703" s="7" t="str"/>
      <x:c r="K1703" s="7" t="str"/>
      <x:c r="L1703" s="7" t="str"/>
      <x:c r="M1703" s="7" t="str"/>
      <x:c r="N1703" s="7" t="str"/>
      <x:c r="O1703" s="7" t="str">
        <x:f>IF(N1703="","OPEN",IF(OR(I1703="",J1703="",K1703="",L1703="",M1703=""),"FAIL","PASS"))</x:f>
        <x:v>OPEN</x:v>
      </x:c>
    </x:row>
    <x:row r="1704">
      <x:c r="B1704" s="7" t="str">
        <x:v>CH-PEA-B-Y3-19-6</x:v>
      </x:c>
      <x:c r="C1704" s="7" t="str">
        <x:v>PEA-B-Y3</x:v>
      </x:c>
      <x:c r="D1704" s="7" t="str">
        <x:v>BLD-B</x:v>
      </x:c>
      <x:c r="E1704" s="7" t="str">
        <x:v>BL-Y</x:v>
      </x:c>
      <x:c r="F1704" s="7" t="str">
        <x:v>MF-19</x:v>
      </x:c>
      <x:c r="G1704" s="7" t="str">
        <x:v>leak collection</x:v>
      </x:c>
      <x:c r="H1704" s="7" t="n">
        <x:v>6</x:v>
      </x:c>
      <x:c r="I1704" s="7" t="str"/>
      <x:c r="J1704" s="7" t="str"/>
      <x:c r="K1704" s="7" t="str"/>
      <x:c r="L1704" s="7" t="str"/>
      <x:c r="M1704" s="7" t="str"/>
      <x:c r="N1704" s="7" t="str"/>
      <x:c r="O1704" s="7" t="str">
        <x:f>IF(N1704="","OPEN",IF(OR(I1704="",J1704="",K1704="",L1704="",M1704=""),"FAIL","PASS"))</x:f>
        <x:v>OPEN</x:v>
      </x:c>
    </x:row>
    <x:row r="1705">
      <x:c r="B1705" s="7" t="str">
        <x:v>CH-PEA-B-Y3-20-1</x:v>
      </x:c>
      <x:c r="C1705" s="7" t="str">
        <x:v>PEA-B-Y3</x:v>
      </x:c>
      <x:c r="D1705" s="7" t="str">
        <x:v>BLD-B</x:v>
      </x:c>
      <x:c r="E1705" s="7" t="str">
        <x:v>BL-Y</x:v>
      </x:c>
      <x:c r="F1705" s="7" t="str">
        <x:v>MF-20</x:v>
      </x:c>
      <x:c r="G1705" s="7" t="str">
        <x:v>occupied-area state</x:v>
      </x:c>
      <x:c r="H1705" s="7" t="n">
        <x:v>1</x:v>
      </x:c>
      <x:c r="I1705" s="7" t="str"/>
      <x:c r="J1705" s="7" t="str"/>
      <x:c r="K1705" s="7" t="str"/>
      <x:c r="L1705" s="7" t="str"/>
      <x:c r="M1705" s="7" t="str"/>
      <x:c r="N1705" s="7" t="str"/>
      <x:c r="O1705" s="7" t="str">
        <x:f>IF(N1705="","OPEN",IF(OR(I1705="",J1705="",K1705="",L1705="",M1705=""),"FAIL","PASS"))</x:f>
        <x:v>OPEN</x:v>
      </x:c>
    </x:row>
    <x:row r="1706">
      <x:c r="B1706" s="7" t="str">
        <x:v>CH-PEA-B-Y3-20-2</x:v>
      </x:c>
      <x:c r="C1706" s="7" t="str">
        <x:v>PEA-B-Y3</x:v>
      </x:c>
      <x:c r="D1706" s="7" t="str">
        <x:v>BLD-B</x:v>
      </x:c>
      <x:c r="E1706" s="7" t="str">
        <x:v>BL-Y</x:v>
      </x:c>
      <x:c r="F1706" s="7" t="str">
        <x:v>MF-20</x:v>
      </x:c>
      <x:c r="G1706" s="7" t="str">
        <x:v>occupied-area state</x:v>
      </x:c>
      <x:c r="H1706" s="7" t="n">
        <x:v>2</x:v>
      </x:c>
      <x:c r="I1706" s="7" t="str"/>
      <x:c r="J1706" s="7" t="str"/>
      <x:c r="K1706" s="7" t="str"/>
      <x:c r="L1706" s="7" t="str"/>
      <x:c r="M1706" s="7" t="str"/>
      <x:c r="N1706" s="7" t="str"/>
      <x:c r="O1706" s="7" t="str">
        <x:f>IF(N1706="","OPEN",IF(OR(I1706="",J1706="",K1706="",L1706="",M1706=""),"FAIL","PASS"))</x:f>
        <x:v>OPEN</x:v>
      </x:c>
    </x:row>
    <x:row r="1707">
      <x:c r="B1707" s="7" t="str">
        <x:v>CH-PEA-B-Y3-20-3</x:v>
      </x:c>
      <x:c r="C1707" s="7" t="str">
        <x:v>PEA-B-Y3</x:v>
      </x:c>
      <x:c r="D1707" s="7" t="str">
        <x:v>BLD-B</x:v>
      </x:c>
      <x:c r="E1707" s="7" t="str">
        <x:v>BL-Y</x:v>
      </x:c>
      <x:c r="F1707" s="7" t="str">
        <x:v>MF-20</x:v>
      </x:c>
      <x:c r="G1707" s="7" t="str">
        <x:v>occupied-area state</x:v>
      </x:c>
      <x:c r="H1707" s="7" t="n">
        <x:v>3</x:v>
      </x:c>
      <x:c r="I1707" s="7" t="str"/>
      <x:c r="J1707" s="7" t="str"/>
      <x:c r="K1707" s="7" t="str"/>
      <x:c r="L1707" s="7" t="str"/>
      <x:c r="M1707" s="7" t="str"/>
      <x:c r="N1707" s="7" t="str"/>
      <x:c r="O1707" s="7" t="str">
        <x:f>IF(N1707="","OPEN",IF(OR(I1707="",J1707="",K1707="",L1707="",M1707=""),"FAIL","PASS"))</x:f>
        <x:v>OPEN</x:v>
      </x:c>
    </x:row>
    <x:row r="1708">
      <x:c r="B1708" s="7" t="str">
        <x:v>CH-PEA-B-Y3-20-4</x:v>
      </x:c>
      <x:c r="C1708" s="7" t="str">
        <x:v>PEA-B-Y3</x:v>
      </x:c>
      <x:c r="D1708" s="7" t="str">
        <x:v>BLD-B</x:v>
      </x:c>
      <x:c r="E1708" s="7" t="str">
        <x:v>BL-Y</x:v>
      </x:c>
      <x:c r="F1708" s="7" t="str">
        <x:v>MF-20</x:v>
      </x:c>
      <x:c r="G1708" s="7" t="str">
        <x:v>occupied-area state</x:v>
      </x:c>
      <x:c r="H1708" s="7" t="n">
        <x:v>4</x:v>
      </x:c>
      <x:c r="I1708" s="7" t="str"/>
      <x:c r="J1708" s="7" t="str"/>
      <x:c r="K1708" s="7" t="str"/>
      <x:c r="L1708" s="7" t="str"/>
      <x:c r="M1708" s="7" t="str"/>
      <x:c r="N1708" s="7" t="str"/>
      <x:c r="O1708" s="7" t="str">
        <x:f>IF(N1708="","OPEN",IF(OR(I1708="",J1708="",K1708="",L1708="",M1708=""),"FAIL","PASS"))</x:f>
        <x:v>OPEN</x:v>
      </x:c>
    </x:row>
    <x:row r="1709">
      <x:c r="B1709" s="7" t="str">
        <x:v>CH-PEA-B-Y3-20-5</x:v>
      </x:c>
      <x:c r="C1709" s="7" t="str">
        <x:v>PEA-B-Y3</x:v>
      </x:c>
      <x:c r="D1709" s="7" t="str">
        <x:v>BLD-B</x:v>
      </x:c>
      <x:c r="E1709" s="7" t="str">
        <x:v>BL-Y</x:v>
      </x:c>
      <x:c r="F1709" s="7" t="str">
        <x:v>MF-20</x:v>
      </x:c>
      <x:c r="G1709" s="7" t="str">
        <x:v>occupied-area state</x:v>
      </x:c>
      <x:c r="H1709" s="7" t="n">
        <x:v>5</x:v>
      </x:c>
      <x:c r="I1709" s="7" t="str"/>
      <x:c r="J1709" s="7" t="str"/>
      <x:c r="K1709" s="7" t="str"/>
      <x:c r="L1709" s="7" t="str"/>
      <x:c r="M1709" s="7" t="str"/>
      <x:c r="N1709" s="7" t="str"/>
      <x:c r="O1709" s="7" t="str">
        <x:f>IF(N1709="","OPEN",IF(OR(I1709="",J1709="",K1709="",L1709="",M1709=""),"FAIL","PASS"))</x:f>
        <x:v>OPEN</x:v>
      </x:c>
    </x:row>
    <x:row r="1710">
      <x:c r="B1710" s="7" t="str">
        <x:v>CH-PEA-B-Y3-20-6</x:v>
      </x:c>
      <x:c r="C1710" s="7" t="str">
        <x:v>PEA-B-Y3</x:v>
      </x:c>
      <x:c r="D1710" s="7" t="str">
        <x:v>BLD-B</x:v>
      </x:c>
      <x:c r="E1710" s="7" t="str">
        <x:v>BL-Y</x:v>
      </x:c>
      <x:c r="F1710" s="7" t="str">
        <x:v>MF-20</x:v>
      </x:c>
      <x:c r="G1710" s="7" t="str">
        <x:v>occupied-area state</x:v>
      </x:c>
      <x:c r="H1710" s="7" t="n">
        <x:v>6</x:v>
      </x:c>
      <x:c r="I1710" s="7" t="str"/>
      <x:c r="J1710" s="7" t="str"/>
      <x:c r="K1710" s="7" t="str"/>
      <x:c r="L1710" s="7" t="str"/>
      <x:c r="M1710" s="7" t="str"/>
      <x:c r="N1710" s="7" t="str"/>
      <x:c r="O1710" s="7" t="str">
        <x:f>IF(N1710="","OPEN",IF(OR(I1710="",J1710="",K1710="",L1710="",M1710=""),"FAIL","PASS"))</x:f>
        <x:v>OPEN</x:v>
      </x:c>
    </x:row>
    <x:row r="1711">
      <x:c r="B1711" s="7" t="str">
        <x:v>CH-PEA-B-Y3-21-1</x:v>
      </x:c>
      <x:c r="C1711" s="7" t="str">
        <x:v>PEA-B-Y3</x:v>
      </x:c>
      <x:c r="D1711" s="7" t="str">
        <x:v>BLD-B</x:v>
      </x:c>
      <x:c r="E1711" s="7" t="str">
        <x:v>BL-Y</x:v>
      </x:c>
      <x:c r="F1711" s="7" t="str">
        <x:v>MF-21</x:v>
      </x:c>
      <x:c r="G1711" s="7" t="str">
        <x:v>public-water flow</x:v>
      </x:c>
      <x:c r="H1711" s="7" t="n">
        <x:v>1</x:v>
      </x:c>
      <x:c r="I1711" s="7" t="str"/>
      <x:c r="J1711" s="7" t="str"/>
      <x:c r="K1711" s="7" t="str"/>
      <x:c r="L1711" s="7" t="str"/>
      <x:c r="M1711" s="7" t="str"/>
      <x:c r="N1711" s="7" t="str"/>
      <x:c r="O1711" s="7" t="str">
        <x:f>IF(N1711="","OPEN",IF(OR(I1711="",J1711="",K1711="",L1711="",M1711=""),"FAIL","PASS"))</x:f>
        <x:v>OPEN</x:v>
      </x:c>
    </x:row>
    <x:row r="1712">
      <x:c r="B1712" s="7" t="str">
        <x:v>CH-PEA-B-Y3-21-2</x:v>
      </x:c>
      <x:c r="C1712" s="7" t="str">
        <x:v>PEA-B-Y3</x:v>
      </x:c>
      <x:c r="D1712" s="7" t="str">
        <x:v>BLD-B</x:v>
      </x:c>
      <x:c r="E1712" s="7" t="str">
        <x:v>BL-Y</x:v>
      </x:c>
      <x:c r="F1712" s="7" t="str">
        <x:v>MF-21</x:v>
      </x:c>
      <x:c r="G1712" s="7" t="str">
        <x:v>public-water flow</x:v>
      </x:c>
      <x:c r="H1712" s="7" t="n">
        <x:v>2</x:v>
      </x:c>
      <x:c r="I1712" s="7" t="str"/>
      <x:c r="J1712" s="7" t="str"/>
      <x:c r="K1712" s="7" t="str"/>
      <x:c r="L1712" s="7" t="str"/>
      <x:c r="M1712" s="7" t="str"/>
      <x:c r="N1712" s="7" t="str"/>
      <x:c r="O1712" s="7" t="str">
        <x:f>IF(N1712="","OPEN",IF(OR(I1712="",J1712="",K1712="",L1712="",M1712=""),"FAIL","PASS"))</x:f>
        <x:v>OPEN</x:v>
      </x:c>
    </x:row>
    <x:row r="1713">
      <x:c r="B1713" s="7" t="str">
        <x:v>CH-PEA-B-Y3-21-3</x:v>
      </x:c>
      <x:c r="C1713" s="7" t="str">
        <x:v>PEA-B-Y3</x:v>
      </x:c>
      <x:c r="D1713" s="7" t="str">
        <x:v>BLD-B</x:v>
      </x:c>
      <x:c r="E1713" s="7" t="str">
        <x:v>BL-Y</x:v>
      </x:c>
      <x:c r="F1713" s="7" t="str">
        <x:v>MF-21</x:v>
      </x:c>
      <x:c r="G1713" s="7" t="str">
        <x:v>public-water flow</x:v>
      </x:c>
      <x:c r="H1713" s="7" t="n">
        <x:v>3</x:v>
      </x:c>
      <x:c r="I1713" s="7" t="str"/>
      <x:c r="J1713" s="7" t="str"/>
      <x:c r="K1713" s="7" t="str"/>
      <x:c r="L1713" s="7" t="str"/>
      <x:c r="M1713" s="7" t="str"/>
      <x:c r="N1713" s="7" t="str"/>
      <x:c r="O1713" s="7" t="str">
        <x:f>IF(N1713="","OPEN",IF(OR(I1713="",J1713="",K1713="",L1713="",M1713=""),"FAIL","PASS"))</x:f>
        <x:v>OPEN</x:v>
      </x:c>
    </x:row>
    <x:row r="1714">
      <x:c r="B1714" s="7" t="str">
        <x:v>CH-PEA-B-Y3-21-4</x:v>
      </x:c>
      <x:c r="C1714" s="7" t="str">
        <x:v>PEA-B-Y3</x:v>
      </x:c>
      <x:c r="D1714" s="7" t="str">
        <x:v>BLD-B</x:v>
      </x:c>
      <x:c r="E1714" s="7" t="str">
        <x:v>BL-Y</x:v>
      </x:c>
      <x:c r="F1714" s="7" t="str">
        <x:v>MF-21</x:v>
      </x:c>
      <x:c r="G1714" s="7" t="str">
        <x:v>public-water flow</x:v>
      </x:c>
      <x:c r="H1714" s="7" t="n">
        <x:v>4</x:v>
      </x:c>
      <x:c r="I1714" s="7" t="str"/>
      <x:c r="J1714" s="7" t="str"/>
      <x:c r="K1714" s="7" t="str"/>
      <x:c r="L1714" s="7" t="str"/>
      <x:c r="M1714" s="7" t="str"/>
      <x:c r="N1714" s="7" t="str"/>
      <x:c r="O1714" s="7" t="str">
        <x:f>IF(N1714="","OPEN",IF(OR(I1714="",J1714="",K1714="",L1714="",M1714=""),"FAIL","PASS"))</x:f>
        <x:v>OPEN</x:v>
      </x:c>
    </x:row>
    <x:row r="1715">
      <x:c r="B1715" s="7" t="str">
        <x:v>CH-PEA-B-Y3-21-5</x:v>
      </x:c>
      <x:c r="C1715" s="7" t="str">
        <x:v>PEA-B-Y3</x:v>
      </x:c>
      <x:c r="D1715" s="7" t="str">
        <x:v>BLD-B</x:v>
      </x:c>
      <x:c r="E1715" s="7" t="str">
        <x:v>BL-Y</x:v>
      </x:c>
      <x:c r="F1715" s="7" t="str">
        <x:v>MF-21</x:v>
      </x:c>
      <x:c r="G1715" s="7" t="str">
        <x:v>public-water flow</x:v>
      </x:c>
      <x:c r="H1715" s="7" t="n">
        <x:v>5</x:v>
      </x:c>
      <x:c r="I1715" s="7" t="str"/>
      <x:c r="J1715" s="7" t="str"/>
      <x:c r="K1715" s="7" t="str"/>
      <x:c r="L1715" s="7" t="str"/>
      <x:c r="M1715" s="7" t="str"/>
      <x:c r="N1715" s="7" t="str"/>
      <x:c r="O1715" s="7" t="str">
        <x:f>IF(N1715="","OPEN",IF(OR(I1715="",J1715="",K1715="",L1715="",M1715=""),"FAIL","PASS"))</x:f>
        <x:v>OPEN</x:v>
      </x:c>
    </x:row>
    <x:row r="1716">
      <x:c r="B1716" s="7" t="str">
        <x:v>CH-PEA-B-Y3-21-6</x:v>
      </x:c>
      <x:c r="C1716" s="7" t="str">
        <x:v>PEA-B-Y3</x:v>
      </x:c>
      <x:c r="D1716" s="7" t="str">
        <x:v>BLD-B</x:v>
      </x:c>
      <x:c r="E1716" s="7" t="str">
        <x:v>BL-Y</x:v>
      </x:c>
      <x:c r="F1716" s="7" t="str">
        <x:v>MF-21</x:v>
      </x:c>
      <x:c r="G1716" s="7" t="str">
        <x:v>public-water flow</x:v>
      </x:c>
      <x:c r="H1716" s="7" t="n">
        <x:v>6</x:v>
      </x:c>
      <x:c r="I1716" s="7" t="str"/>
      <x:c r="J1716" s="7" t="str"/>
      <x:c r="K1716" s="7" t="str"/>
      <x:c r="L1716" s="7" t="str"/>
      <x:c r="M1716" s="7" t="str"/>
      <x:c r="N1716" s="7" t="str"/>
      <x:c r="O1716" s="7" t="str">
        <x:f>IF(N1716="","OPEN",IF(OR(I1716="",J1716="",K1716="",L1716="",M1716=""),"FAIL","PASS"))</x:f>
        <x:v>OPEN</x:v>
      </x:c>
    </x:row>
    <x:row r="1717">
      <x:c r="B1717" s="7" t="str">
        <x:v>CH-PEA-B-Y3-22-1</x:v>
      </x:c>
      <x:c r="C1717" s="7" t="str">
        <x:v>PEA-B-Y3</x:v>
      </x:c>
      <x:c r="D1717" s="7" t="str">
        <x:v>BLD-B</x:v>
      </x:c>
      <x:c r="E1717" s="7" t="str">
        <x:v>BL-Y</x:v>
      </x:c>
      <x:c r="F1717" s="7" t="str">
        <x:v>MF-22</x:v>
      </x:c>
      <x:c r="G1717" s="7" t="str">
        <x:v>source ancestry</x:v>
      </x:c>
      <x:c r="H1717" s="7" t="n">
        <x:v>1</x:v>
      </x:c>
      <x:c r="I1717" s="7" t="str"/>
      <x:c r="J1717" s="7" t="str"/>
      <x:c r="K1717" s="7" t="str"/>
      <x:c r="L1717" s="7" t="str"/>
      <x:c r="M1717" s="7" t="str"/>
      <x:c r="N1717" s="7" t="str"/>
      <x:c r="O1717" s="7" t="str">
        <x:f>IF(N1717="","OPEN",IF(OR(I1717="",J1717="",K1717="",L1717="",M1717=""),"FAIL","PASS"))</x:f>
        <x:v>OPEN</x:v>
      </x:c>
    </x:row>
    <x:row r="1718">
      <x:c r="B1718" s="7" t="str">
        <x:v>CH-PEA-B-Y3-22-2</x:v>
      </x:c>
      <x:c r="C1718" s="7" t="str">
        <x:v>PEA-B-Y3</x:v>
      </x:c>
      <x:c r="D1718" s="7" t="str">
        <x:v>BLD-B</x:v>
      </x:c>
      <x:c r="E1718" s="7" t="str">
        <x:v>BL-Y</x:v>
      </x:c>
      <x:c r="F1718" s="7" t="str">
        <x:v>MF-22</x:v>
      </x:c>
      <x:c r="G1718" s="7" t="str">
        <x:v>source ancestry</x:v>
      </x:c>
      <x:c r="H1718" s="7" t="n">
        <x:v>2</x:v>
      </x:c>
      <x:c r="I1718" s="7" t="str"/>
      <x:c r="J1718" s="7" t="str"/>
      <x:c r="K1718" s="7" t="str"/>
      <x:c r="L1718" s="7" t="str"/>
      <x:c r="M1718" s="7" t="str"/>
      <x:c r="N1718" s="7" t="str"/>
      <x:c r="O1718" s="7" t="str">
        <x:f>IF(N1718="","OPEN",IF(OR(I1718="",J1718="",K1718="",L1718="",M1718=""),"FAIL","PASS"))</x:f>
        <x:v>OPEN</x:v>
      </x:c>
    </x:row>
    <x:row r="1719">
      <x:c r="B1719" s="7" t="str">
        <x:v>CH-PEA-B-Y3-22-3</x:v>
      </x:c>
      <x:c r="C1719" s="7" t="str">
        <x:v>PEA-B-Y3</x:v>
      </x:c>
      <x:c r="D1719" s="7" t="str">
        <x:v>BLD-B</x:v>
      </x:c>
      <x:c r="E1719" s="7" t="str">
        <x:v>BL-Y</x:v>
      </x:c>
      <x:c r="F1719" s="7" t="str">
        <x:v>MF-22</x:v>
      </x:c>
      <x:c r="G1719" s="7" t="str">
        <x:v>source ancestry</x:v>
      </x:c>
      <x:c r="H1719" s="7" t="n">
        <x:v>3</x:v>
      </x:c>
      <x:c r="I1719" s="7" t="str"/>
      <x:c r="J1719" s="7" t="str"/>
      <x:c r="K1719" s="7" t="str"/>
      <x:c r="L1719" s="7" t="str"/>
      <x:c r="M1719" s="7" t="str"/>
      <x:c r="N1719" s="7" t="str"/>
      <x:c r="O1719" s="7" t="str">
        <x:f>IF(N1719="","OPEN",IF(OR(I1719="",J1719="",K1719="",L1719="",M1719=""),"FAIL","PASS"))</x:f>
        <x:v>OPEN</x:v>
      </x:c>
    </x:row>
    <x:row r="1720">
      <x:c r="B1720" s="7" t="str">
        <x:v>CH-PEA-B-Y3-22-4</x:v>
      </x:c>
      <x:c r="C1720" s="7" t="str">
        <x:v>PEA-B-Y3</x:v>
      </x:c>
      <x:c r="D1720" s="7" t="str">
        <x:v>BLD-B</x:v>
      </x:c>
      <x:c r="E1720" s="7" t="str">
        <x:v>BL-Y</x:v>
      </x:c>
      <x:c r="F1720" s="7" t="str">
        <x:v>MF-22</x:v>
      </x:c>
      <x:c r="G1720" s="7" t="str">
        <x:v>source ancestry</x:v>
      </x:c>
      <x:c r="H1720" s="7" t="n">
        <x:v>4</x:v>
      </x:c>
      <x:c r="I1720" s="7" t="str"/>
      <x:c r="J1720" s="7" t="str"/>
      <x:c r="K1720" s="7" t="str"/>
      <x:c r="L1720" s="7" t="str"/>
      <x:c r="M1720" s="7" t="str"/>
      <x:c r="N1720" s="7" t="str"/>
      <x:c r="O1720" s="7" t="str">
        <x:f>IF(N1720="","OPEN",IF(OR(I1720="",J1720="",K1720="",L1720="",M1720=""),"FAIL","PASS"))</x:f>
        <x:v>OPEN</x:v>
      </x:c>
    </x:row>
    <x:row r="1721">
      <x:c r="B1721" s="7" t="str">
        <x:v>CH-PEA-B-Y3-22-5</x:v>
      </x:c>
      <x:c r="C1721" s="7" t="str">
        <x:v>PEA-B-Y3</x:v>
      </x:c>
      <x:c r="D1721" s="7" t="str">
        <x:v>BLD-B</x:v>
      </x:c>
      <x:c r="E1721" s="7" t="str">
        <x:v>BL-Y</x:v>
      </x:c>
      <x:c r="F1721" s="7" t="str">
        <x:v>MF-22</x:v>
      </x:c>
      <x:c r="G1721" s="7" t="str">
        <x:v>source ancestry</x:v>
      </x:c>
      <x:c r="H1721" s="7" t="n">
        <x:v>5</x:v>
      </x:c>
      <x:c r="I1721" s="7" t="str"/>
      <x:c r="J1721" s="7" t="str"/>
      <x:c r="K1721" s="7" t="str"/>
      <x:c r="L1721" s="7" t="str"/>
      <x:c r="M1721" s="7" t="str"/>
      <x:c r="N1721" s="7" t="str"/>
      <x:c r="O1721" s="7" t="str">
        <x:f>IF(N1721="","OPEN",IF(OR(I1721="",J1721="",K1721="",L1721="",M1721=""),"FAIL","PASS"))</x:f>
        <x:v>OPEN</x:v>
      </x:c>
    </x:row>
    <x:row r="1722">
      <x:c r="B1722" s="7" t="str">
        <x:v>CH-PEA-B-Y3-22-6</x:v>
      </x:c>
      <x:c r="C1722" s="7" t="str">
        <x:v>PEA-B-Y3</x:v>
      </x:c>
      <x:c r="D1722" s="7" t="str">
        <x:v>BLD-B</x:v>
      </x:c>
      <x:c r="E1722" s="7" t="str">
        <x:v>BL-Y</x:v>
      </x:c>
      <x:c r="F1722" s="7" t="str">
        <x:v>MF-22</x:v>
      </x:c>
      <x:c r="G1722" s="7" t="str">
        <x:v>source ancestry</x:v>
      </x:c>
      <x:c r="H1722" s="7" t="n">
        <x:v>6</x:v>
      </x:c>
      <x:c r="I1722" s="7" t="str"/>
      <x:c r="J1722" s="7" t="str"/>
      <x:c r="K1722" s="7" t="str"/>
      <x:c r="L1722" s="7" t="str"/>
      <x:c r="M1722" s="7" t="str"/>
      <x:c r="N1722" s="7" t="str"/>
      <x:c r="O1722" s="7" t="str">
        <x:f>IF(N1722="","OPEN",IF(OR(I1722="",J1722="",K1722="",L1722="",M1722=""),"FAIL","PASS"))</x:f>
        <x:v>OPEN</x:v>
      </x:c>
    </x:row>
    <x:row r="1723">
      <x:c r="B1723" s="7" t="str">
        <x:v>CH-PEA-B-Y3-23-1</x:v>
      </x:c>
      <x:c r="C1723" s="7" t="str">
        <x:v>PEA-B-Y3</x:v>
      </x:c>
      <x:c r="D1723" s="7" t="str">
        <x:v>BLD-B</x:v>
      </x:c>
      <x:c r="E1723" s="7" t="str">
        <x:v>BL-Y</x:v>
      </x:c>
      <x:c r="F1723" s="7" t="str">
        <x:v>MF-23</x:v>
      </x:c>
      <x:c r="G1723" s="7" t="str">
        <x:v>water ancestry</x:v>
      </x:c>
      <x:c r="H1723" s="7" t="n">
        <x:v>1</x:v>
      </x:c>
      <x:c r="I1723" s="7" t="str"/>
      <x:c r="J1723" s="7" t="str"/>
      <x:c r="K1723" s="7" t="str"/>
      <x:c r="L1723" s="7" t="str"/>
      <x:c r="M1723" s="7" t="str"/>
      <x:c r="N1723" s="7" t="str"/>
      <x:c r="O1723" s="7" t="str">
        <x:f>IF(N1723="","OPEN",IF(OR(I1723="",J1723="",K1723="",L1723="",M1723=""),"FAIL","PASS"))</x:f>
        <x:v>OPEN</x:v>
      </x:c>
    </x:row>
    <x:row r="1724">
      <x:c r="B1724" s="7" t="str">
        <x:v>CH-PEA-B-Y3-23-2</x:v>
      </x:c>
      <x:c r="C1724" s="7" t="str">
        <x:v>PEA-B-Y3</x:v>
      </x:c>
      <x:c r="D1724" s="7" t="str">
        <x:v>BLD-B</x:v>
      </x:c>
      <x:c r="E1724" s="7" t="str">
        <x:v>BL-Y</x:v>
      </x:c>
      <x:c r="F1724" s="7" t="str">
        <x:v>MF-23</x:v>
      </x:c>
      <x:c r="G1724" s="7" t="str">
        <x:v>water ancestry</x:v>
      </x:c>
      <x:c r="H1724" s="7" t="n">
        <x:v>2</x:v>
      </x:c>
      <x:c r="I1724" s="7" t="str"/>
      <x:c r="J1724" s="7" t="str"/>
      <x:c r="K1724" s="7" t="str"/>
      <x:c r="L1724" s="7" t="str"/>
      <x:c r="M1724" s="7" t="str"/>
      <x:c r="N1724" s="7" t="str"/>
      <x:c r="O1724" s="7" t="str">
        <x:f>IF(N1724="","OPEN",IF(OR(I1724="",J1724="",K1724="",L1724="",M1724=""),"FAIL","PASS"))</x:f>
        <x:v>OPEN</x:v>
      </x:c>
    </x:row>
    <x:row r="1725">
      <x:c r="B1725" s="7" t="str">
        <x:v>CH-PEA-B-Y3-23-3</x:v>
      </x:c>
      <x:c r="C1725" s="7" t="str">
        <x:v>PEA-B-Y3</x:v>
      </x:c>
      <x:c r="D1725" s="7" t="str">
        <x:v>BLD-B</x:v>
      </x:c>
      <x:c r="E1725" s="7" t="str">
        <x:v>BL-Y</x:v>
      </x:c>
      <x:c r="F1725" s="7" t="str">
        <x:v>MF-23</x:v>
      </x:c>
      <x:c r="G1725" s="7" t="str">
        <x:v>water ancestry</x:v>
      </x:c>
      <x:c r="H1725" s="7" t="n">
        <x:v>3</x:v>
      </x:c>
      <x:c r="I1725" s="7" t="str"/>
      <x:c r="J1725" s="7" t="str"/>
      <x:c r="K1725" s="7" t="str"/>
      <x:c r="L1725" s="7" t="str"/>
      <x:c r="M1725" s="7" t="str"/>
      <x:c r="N1725" s="7" t="str"/>
      <x:c r="O1725" s="7" t="str">
        <x:f>IF(N1725="","OPEN",IF(OR(I1725="",J1725="",K1725="",L1725="",M1725=""),"FAIL","PASS"))</x:f>
        <x:v>OPEN</x:v>
      </x:c>
    </x:row>
    <x:row r="1726">
      <x:c r="B1726" s="7" t="str">
        <x:v>CH-PEA-B-Y3-23-4</x:v>
      </x:c>
      <x:c r="C1726" s="7" t="str">
        <x:v>PEA-B-Y3</x:v>
      </x:c>
      <x:c r="D1726" s="7" t="str">
        <x:v>BLD-B</x:v>
      </x:c>
      <x:c r="E1726" s="7" t="str">
        <x:v>BL-Y</x:v>
      </x:c>
      <x:c r="F1726" s="7" t="str">
        <x:v>MF-23</x:v>
      </x:c>
      <x:c r="G1726" s="7" t="str">
        <x:v>water ancestry</x:v>
      </x:c>
      <x:c r="H1726" s="7" t="n">
        <x:v>4</x:v>
      </x:c>
      <x:c r="I1726" s="7" t="str"/>
      <x:c r="J1726" s="7" t="str"/>
      <x:c r="K1726" s="7" t="str"/>
      <x:c r="L1726" s="7" t="str"/>
      <x:c r="M1726" s="7" t="str"/>
      <x:c r="N1726" s="7" t="str"/>
      <x:c r="O1726" s="7" t="str">
        <x:f>IF(N1726="","OPEN",IF(OR(I1726="",J1726="",K1726="",L1726="",M1726=""),"FAIL","PASS"))</x:f>
        <x:v>OPEN</x:v>
      </x:c>
    </x:row>
    <x:row r="1727">
      <x:c r="B1727" s="7" t="str">
        <x:v>CH-PEA-B-Y3-23-5</x:v>
      </x:c>
      <x:c r="C1727" s="7" t="str">
        <x:v>PEA-B-Y3</x:v>
      </x:c>
      <x:c r="D1727" s="7" t="str">
        <x:v>BLD-B</x:v>
      </x:c>
      <x:c r="E1727" s="7" t="str">
        <x:v>BL-Y</x:v>
      </x:c>
      <x:c r="F1727" s="7" t="str">
        <x:v>MF-23</x:v>
      </x:c>
      <x:c r="G1727" s="7" t="str">
        <x:v>water ancestry</x:v>
      </x:c>
      <x:c r="H1727" s="7" t="n">
        <x:v>5</x:v>
      </x:c>
      <x:c r="I1727" s="7" t="str"/>
      <x:c r="J1727" s="7" t="str"/>
      <x:c r="K1727" s="7" t="str"/>
      <x:c r="L1727" s="7" t="str"/>
      <x:c r="M1727" s="7" t="str"/>
      <x:c r="N1727" s="7" t="str"/>
      <x:c r="O1727" s="7" t="str">
        <x:f>IF(N1727="","OPEN",IF(OR(I1727="",J1727="",K1727="",L1727="",M1727=""),"FAIL","PASS"))</x:f>
        <x:v>OPEN</x:v>
      </x:c>
    </x:row>
    <x:row r="1728">
      <x:c r="B1728" s="7" t="str">
        <x:v>CH-PEA-B-Y3-23-6</x:v>
      </x:c>
      <x:c r="C1728" s="7" t="str">
        <x:v>PEA-B-Y3</x:v>
      </x:c>
      <x:c r="D1728" s="7" t="str">
        <x:v>BLD-B</x:v>
      </x:c>
      <x:c r="E1728" s="7" t="str">
        <x:v>BL-Y</x:v>
      </x:c>
      <x:c r="F1728" s="7" t="str">
        <x:v>MF-23</x:v>
      </x:c>
      <x:c r="G1728" s="7" t="str">
        <x:v>water ancestry</x:v>
      </x:c>
      <x:c r="H1728" s="7" t="n">
        <x:v>6</x:v>
      </x:c>
      <x:c r="I1728" s="7" t="str"/>
      <x:c r="J1728" s="7" t="str"/>
      <x:c r="K1728" s="7" t="str"/>
      <x:c r="L1728" s="7" t="str"/>
      <x:c r="M1728" s="7" t="str"/>
      <x:c r="N1728" s="7" t="str"/>
      <x:c r="O1728" s="7" t="str">
        <x:f>IF(N1728="","OPEN",IF(OR(I1728="",J1728="",K1728="",L1728="",M1728=""),"FAIL","PASS"))</x:f>
        <x:v>OPEN</x:v>
      </x:c>
    </x:row>
    <x:row r="1729">
      <x:c r="B1729" s="7" t="str">
        <x:v>CH-PEA-B-Y3-24-1</x:v>
      </x:c>
      <x:c r="C1729" s="7" t="str">
        <x:v>PEA-B-Y3</x:v>
      </x:c>
      <x:c r="D1729" s="7" t="str">
        <x:v>BLD-B</x:v>
      </x:c>
      <x:c r="E1729" s="7" t="str">
        <x:v>BL-Y</x:v>
      </x:c>
      <x:c r="F1729" s="7" t="str">
        <x:v>MF-24</x:v>
      </x:c>
      <x:c r="G1729" s="7" t="str">
        <x:v>evidence health</x:v>
      </x:c>
      <x:c r="H1729" s="7" t="n">
        <x:v>1</x:v>
      </x:c>
      <x:c r="I1729" s="7" t="str"/>
      <x:c r="J1729" s="7" t="str"/>
      <x:c r="K1729" s="7" t="str"/>
      <x:c r="L1729" s="7" t="str"/>
      <x:c r="M1729" s="7" t="str"/>
      <x:c r="N1729" s="7" t="str"/>
      <x:c r="O1729" s="7" t="str">
        <x:f>IF(N1729="","OPEN",IF(OR(I1729="",J1729="",K1729="",L1729="",M1729=""),"FAIL","PASS"))</x:f>
        <x:v>OPEN</x:v>
      </x:c>
    </x:row>
    <x:row r="1730">
      <x:c r="B1730" s="7" t="str">
        <x:v>CH-PEA-B-Y3-24-2</x:v>
      </x:c>
      <x:c r="C1730" s="7" t="str">
        <x:v>PEA-B-Y3</x:v>
      </x:c>
      <x:c r="D1730" s="7" t="str">
        <x:v>BLD-B</x:v>
      </x:c>
      <x:c r="E1730" s="7" t="str">
        <x:v>BL-Y</x:v>
      </x:c>
      <x:c r="F1730" s="7" t="str">
        <x:v>MF-24</x:v>
      </x:c>
      <x:c r="G1730" s="7" t="str">
        <x:v>evidence health</x:v>
      </x:c>
      <x:c r="H1730" s="7" t="n">
        <x:v>2</x:v>
      </x:c>
      <x:c r="I1730" s="7" t="str"/>
      <x:c r="J1730" s="7" t="str"/>
      <x:c r="K1730" s="7" t="str"/>
      <x:c r="L1730" s="7" t="str"/>
      <x:c r="M1730" s="7" t="str"/>
      <x:c r="N1730" s="7" t="str"/>
      <x:c r="O1730" s="7" t="str">
        <x:f>IF(N1730="","OPEN",IF(OR(I1730="",J1730="",K1730="",L1730="",M1730=""),"FAIL","PASS"))</x:f>
        <x:v>OPEN</x:v>
      </x:c>
    </x:row>
    <x:row r="1731">
      <x:c r="B1731" s="7" t="str">
        <x:v>CH-PEA-B-Y3-24-3</x:v>
      </x:c>
      <x:c r="C1731" s="7" t="str">
        <x:v>PEA-B-Y3</x:v>
      </x:c>
      <x:c r="D1731" s="7" t="str">
        <x:v>BLD-B</x:v>
      </x:c>
      <x:c r="E1731" s="7" t="str">
        <x:v>BL-Y</x:v>
      </x:c>
      <x:c r="F1731" s="7" t="str">
        <x:v>MF-24</x:v>
      </x:c>
      <x:c r="G1731" s="7" t="str">
        <x:v>evidence health</x:v>
      </x:c>
      <x:c r="H1731" s="7" t="n">
        <x:v>3</x:v>
      </x:c>
      <x:c r="I1731" s="7" t="str"/>
      <x:c r="J1731" s="7" t="str"/>
      <x:c r="K1731" s="7" t="str"/>
      <x:c r="L1731" s="7" t="str"/>
      <x:c r="M1731" s="7" t="str"/>
      <x:c r="N1731" s="7" t="str"/>
      <x:c r="O1731" s="7" t="str">
        <x:f>IF(N1731="","OPEN",IF(OR(I1731="",J1731="",K1731="",L1731="",M1731=""),"FAIL","PASS"))</x:f>
        <x:v>OPEN</x:v>
      </x:c>
    </x:row>
    <x:row r="1732">
      <x:c r="B1732" s="7" t="str">
        <x:v>CH-PEA-B-Y3-24-4</x:v>
      </x:c>
      <x:c r="C1732" s="7" t="str">
        <x:v>PEA-B-Y3</x:v>
      </x:c>
      <x:c r="D1732" s="7" t="str">
        <x:v>BLD-B</x:v>
      </x:c>
      <x:c r="E1732" s="7" t="str">
        <x:v>BL-Y</x:v>
      </x:c>
      <x:c r="F1732" s="7" t="str">
        <x:v>MF-24</x:v>
      </x:c>
      <x:c r="G1732" s="7" t="str">
        <x:v>evidence health</x:v>
      </x:c>
      <x:c r="H1732" s="7" t="n">
        <x:v>4</x:v>
      </x:c>
      <x:c r="I1732" s="7" t="str"/>
      <x:c r="J1732" s="7" t="str"/>
      <x:c r="K1732" s="7" t="str"/>
      <x:c r="L1732" s="7" t="str"/>
      <x:c r="M1732" s="7" t="str"/>
      <x:c r="N1732" s="7" t="str"/>
      <x:c r="O1732" s="7" t="str">
        <x:f>IF(N1732="","OPEN",IF(OR(I1732="",J1732="",K1732="",L1732="",M1732=""),"FAIL","PASS"))</x:f>
        <x:v>OPEN</x:v>
      </x:c>
    </x:row>
    <x:row r="1733">
      <x:c r="B1733" s="7" t="str">
        <x:v>CH-PEA-B-Y3-24-5</x:v>
      </x:c>
      <x:c r="C1733" s="7" t="str">
        <x:v>PEA-B-Y3</x:v>
      </x:c>
      <x:c r="D1733" s="7" t="str">
        <x:v>BLD-B</x:v>
      </x:c>
      <x:c r="E1733" s="7" t="str">
        <x:v>BL-Y</x:v>
      </x:c>
      <x:c r="F1733" s="7" t="str">
        <x:v>MF-24</x:v>
      </x:c>
      <x:c r="G1733" s="7" t="str">
        <x:v>evidence health</x:v>
      </x:c>
      <x:c r="H1733" s="7" t="n">
        <x:v>5</x:v>
      </x:c>
      <x:c r="I1733" s="7" t="str"/>
      <x:c r="J1733" s="7" t="str"/>
      <x:c r="K1733" s="7" t="str"/>
      <x:c r="L1733" s="7" t="str"/>
      <x:c r="M1733" s="7" t="str"/>
      <x:c r="N1733" s="7" t="str"/>
      <x:c r="O1733" s="7" t="str">
        <x:f>IF(N1733="","OPEN",IF(OR(I1733="",J1733="",K1733="",L1733="",M1733=""),"FAIL","PASS"))</x:f>
        <x:v>OPEN</x:v>
      </x:c>
    </x:row>
    <x:row r="1734">
      <x:c r="B1734" s="7" t="str">
        <x:v>CH-PEA-B-Y3-24-6</x:v>
      </x:c>
      <x:c r="C1734" s="7" t="str">
        <x:v>PEA-B-Y3</x:v>
      </x:c>
      <x:c r="D1734" s="7" t="str">
        <x:v>BLD-B</x:v>
      </x:c>
      <x:c r="E1734" s="7" t="str">
        <x:v>BL-Y</x:v>
      </x:c>
      <x:c r="F1734" s="7" t="str">
        <x:v>MF-24</x:v>
      </x:c>
      <x:c r="G1734" s="7" t="str">
        <x:v>evidence health</x:v>
      </x:c>
      <x:c r="H1734" s="7" t="n">
        <x:v>6</x:v>
      </x:c>
      <x:c r="I1734" s="7" t="str"/>
      <x:c r="J1734" s="7" t="str"/>
      <x:c r="K1734" s="7" t="str"/>
      <x:c r="L1734" s="7" t="str"/>
      <x:c r="M1734" s="7" t="str"/>
      <x:c r="N1734" s="7" t="str"/>
      <x:c r="O1734" s="7" t="str">
        <x:f>IF(N1734="","OPEN",IF(OR(I1734="",J1734="",K1734="",L1734="",M1734=""),"FAIL","PASS"))</x:f>
        <x:v>OPEN</x:v>
      </x:c>
    </x:row>
    <x:row r="1735">
      <x:c r="B1735" s="7" t="str">
        <x:v>CH-PEA-C-X1-01-1</x:v>
      </x:c>
      <x:c r="C1735" s="7" t="str">
        <x:v>PEA-C-X1</x:v>
      </x:c>
      <x:c r="D1735" s="7" t="str">
        <x:v>BLD-C</x:v>
      </x:c>
      <x:c r="E1735" s="7" t="str">
        <x:v>BL-X</x:v>
      </x:c>
      <x:c r="F1735" s="7" t="str">
        <x:v>MF-01</x:v>
      </x:c>
      <x:c r="G1735" s="7" t="str">
        <x:v>source vessel mass</x:v>
      </x:c>
      <x:c r="H1735" s="7" t="n">
        <x:v>1</x:v>
      </x:c>
      <x:c r="I1735" s="7" t="str"/>
      <x:c r="J1735" s="7" t="str"/>
      <x:c r="K1735" s="7" t="str"/>
      <x:c r="L1735" s="7" t="str"/>
      <x:c r="M1735" s="7" t="str"/>
      <x:c r="N1735" s="7" t="str"/>
      <x:c r="O1735" s="7" t="str">
        <x:f>IF(N1735="","OPEN",IF(OR(I1735="",J1735="",K1735="",L1735="",M1735=""),"FAIL","PASS"))</x:f>
        <x:v>OPEN</x:v>
      </x:c>
    </x:row>
    <x:row r="1736">
      <x:c r="B1736" s="7" t="str">
        <x:v>CH-PEA-C-X1-01-2</x:v>
      </x:c>
      <x:c r="C1736" s="7" t="str">
        <x:v>PEA-C-X1</x:v>
      </x:c>
      <x:c r="D1736" s="7" t="str">
        <x:v>BLD-C</x:v>
      </x:c>
      <x:c r="E1736" s="7" t="str">
        <x:v>BL-X</x:v>
      </x:c>
      <x:c r="F1736" s="7" t="str">
        <x:v>MF-01</x:v>
      </x:c>
      <x:c r="G1736" s="7" t="str">
        <x:v>source vessel mass</x:v>
      </x:c>
      <x:c r="H1736" s="7" t="n">
        <x:v>2</x:v>
      </x:c>
      <x:c r="I1736" s="7" t="str"/>
      <x:c r="J1736" s="7" t="str"/>
      <x:c r="K1736" s="7" t="str"/>
      <x:c r="L1736" s="7" t="str"/>
      <x:c r="M1736" s="7" t="str"/>
      <x:c r="N1736" s="7" t="str"/>
      <x:c r="O1736" s="7" t="str">
        <x:f>IF(N1736="","OPEN",IF(OR(I1736="",J1736="",K1736="",L1736="",M1736=""),"FAIL","PASS"))</x:f>
        <x:v>OPEN</x:v>
      </x:c>
    </x:row>
    <x:row r="1737">
      <x:c r="B1737" s="7" t="str">
        <x:v>CH-PEA-C-X1-01-3</x:v>
      </x:c>
      <x:c r="C1737" s="7" t="str">
        <x:v>PEA-C-X1</x:v>
      </x:c>
      <x:c r="D1737" s="7" t="str">
        <x:v>BLD-C</x:v>
      </x:c>
      <x:c r="E1737" s="7" t="str">
        <x:v>BL-X</x:v>
      </x:c>
      <x:c r="F1737" s="7" t="str">
        <x:v>MF-01</x:v>
      </x:c>
      <x:c r="G1737" s="7" t="str">
        <x:v>source vessel mass</x:v>
      </x:c>
      <x:c r="H1737" s="7" t="n">
        <x:v>3</x:v>
      </x:c>
      <x:c r="I1737" s="7" t="str"/>
      <x:c r="J1737" s="7" t="str"/>
      <x:c r="K1737" s="7" t="str"/>
      <x:c r="L1737" s="7" t="str"/>
      <x:c r="M1737" s="7" t="str"/>
      <x:c r="N1737" s="7" t="str"/>
      <x:c r="O1737" s="7" t="str">
        <x:f>IF(N1737="","OPEN",IF(OR(I1737="",J1737="",K1737="",L1737="",M1737=""),"FAIL","PASS"))</x:f>
        <x:v>OPEN</x:v>
      </x:c>
    </x:row>
    <x:row r="1738">
      <x:c r="B1738" s="7" t="str">
        <x:v>CH-PEA-C-X1-01-4</x:v>
      </x:c>
      <x:c r="C1738" s="7" t="str">
        <x:v>PEA-C-X1</x:v>
      </x:c>
      <x:c r="D1738" s="7" t="str">
        <x:v>BLD-C</x:v>
      </x:c>
      <x:c r="E1738" s="7" t="str">
        <x:v>BL-X</x:v>
      </x:c>
      <x:c r="F1738" s="7" t="str">
        <x:v>MF-01</x:v>
      </x:c>
      <x:c r="G1738" s="7" t="str">
        <x:v>source vessel mass</x:v>
      </x:c>
      <x:c r="H1738" s="7" t="n">
        <x:v>4</x:v>
      </x:c>
      <x:c r="I1738" s="7" t="str"/>
      <x:c r="J1738" s="7" t="str"/>
      <x:c r="K1738" s="7" t="str"/>
      <x:c r="L1738" s="7" t="str"/>
      <x:c r="M1738" s="7" t="str"/>
      <x:c r="N1738" s="7" t="str"/>
      <x:c r="O1738" s="7" t="str">
        <x:f>IF(N1738="","OPEN",IF(OR(I1738="",J1738="",K1738="",L1738="",M1738=""),"FAIL","PASS"))</x:f>
        <x:v>OPEN</x:v>
      </x:c>
    </x:row>
    <x:row r="1739">
      <x:c r="B1739" s="7" t="str">
        <x:v>CH-PEA-C-X1-01-5</x:v>
      </x:c>
      <x:c r="C1739" s="7" t="str">
        <x:v>PEA-C-X1</x:v>
      </x:c>
      <x:c r="D1739" s="7" t="str">
        <x:v>BLD-C</x:v>
      </x:c>
      <x:c r="E1739" s="7" t="str">
        <x:v>BL-X</x:v>
      </x:c>
      <x:c r="F1739" s="7" t="str">
        <x:v>MF-01</x:v>
      </x:c>
      <x:c r="G1739" s="7" t="str">
        <x:v>source vessel mass</x:v>
      </x:c>
      <x:c r="H1739" s="7" t="n">
        <x:v>5</x:v>
      </x:c>
      <x:c r="I1739" s="7" t="str"/>
      <x:c r="J1739" s="7" t="str"/>
      <x:c r="K1739" s="7" t="str"/>
      <x:c r="L1739" s="7" t="str"/>
      <x:c r="M1739" s="7" t="str"/>
      <x:c r="N1739" s="7" t="str"/>
      <x:c r="O1739" s="7" t="str">
        <x:f>IF(N1739="","OPEN",IF(OR(I1739="",J1739="",K1739="",L1739="",M1739=""),"FAIL","PASS"))</x:f>
        <x:v>OPEN</x:v>
      </x:c>
    </x:row>
    <x:row r="1740">
      <x:c r="B1740" s="7" t="str">
        <x:v>CH-PEA-C-X1-01-6</x:v>
      </x:c>
      <x:c r="C1740" s="7" t="str">
        <x:v>PEA-C-X1</x:v>
      </x:c>
      <x:c r="D1740" s="7" t="str">
        <x:v>BLD-C</x:v>
      </x:c>
      <x:c r="E1740" s="7" t="str">
        <x:v>BL-X</x:v>
      </x:c>
      <x:c r="F1740" s="7" t="str">
        <x:v>MF-01</x:v>
      </x:c>
      <x:c r="G1740" s="7" t="str">
        <x:v>source vessel mass</x:v>
      </x:c>
      <x:c r="H1740" s="7" t="n">
        <x:v>6</x:v>
      </x:c>
      <x:c r="I1740" s="7" t="str"/>
      <x:c r="J1740" s="7" t="str"/>
      <x:c r="K1740" s="7" t="str"/>
      <x:c r="L1740" s="7" t="str"/>
      <x:c r="M1740" s="7" t="str"/>
      <x:c r="N1740" s="7" t="str"/>
      <x:c r="O1740" s="7" t="str">
        <x:f>IF(N1740="","OPEN",IF(OR(I1740="",J1740="",K1740="",L1740="",M1740=""),"FAIL","PASS"))</x:f>
        <x:v>OPEN</x:v>
      </x:c>
    </x:row>
    <x:row r="1741">
      <x:c r="B1741" s="7" t="str">
        <x:v>CH-PEA-C-X1-02-1</x:v>
      </x:c>
      <x:c r="C1741" s="7" t="str">
        <x:v>PEA-C-X1</x:v>
      </x:c>
      <x:c r="D1741" s="7" t="str">
        <x:v>BLD-C</x:v>
      </x:c>
      <x:c r="E1741" s="7" t="str">
        <x:v>BL-X</x:v>
      </x:c>
      <x:c r="F1741" s="7" t="str">
        <x:v>MF-02</x:v>
      </x:c>
      <x:c r="G1741" s="7" t="str">
        <x:v>transfer mass</x:v>
      </x:c>
      <x:c r="H1741" s="7" t="n">
        <x:v>1</x:v>
      </x:c>
      <x:c r="I1741" s="7" t="str"/>
      <x:c r="J1741" s="7" t="str"/>
      <x:c r="K1741" s="7" t="str"/>
      <x:c r="L1741" s="7" t="str"/>
      <x:c r="M1741" s="7" t="str"/>
      <x:c r="N1741" s="7" t="str"/>
      <x:c r="O1741" s="7" t="str">
        <x:f>IF(N1741="","OPEN",IF(OR(I1741="",J1741="",K1741="",L1741="",M1741=""),"FAIL","PASS"))</x:f>
        <x:v>OPEN</x:v>
      </x:c>
    </x:row>
    <x:row r="1742">
      <x:c r="B1742" s="7" t="str">
        <x:v>CH-PEA-C-X1-02-2</x:v>
      </x:c>
      <x:c r="C1742" s="7" t="str">
        <x:v>PEA-C-X1</x:v>
      </x:c>
      <x:c r="D1742" s="7" t="str">
        <x:v>BLD-C</x:v>
      </x:c>
      <x:c r="E1742" s="7" t="str">
        <x:v>BL-X</x:v>
      </x:c>
      <x:c r="F1742" s="7" t="str">
        <x:v>MF-02</x:v>
      </x:c>
      <x:c r="G1742" s="7" t="str">
        <x:v>transfer mass</x:v>
      </x:c>
      <x:c r="H1742" s="7" t="n">
        <x:v>2</x:v>
      </x:c>
      <x:c r="I1742" s="7" t="str"/>
      <x:c r="J1742" s="7" t="str"/>
      <x:c r="K1742" s="7" t="str"/>
      <x:c r="L1742" s="7" t="str"/>
      <x:c r="M1742" s="7" t="str"/>
      <x:c r="N1742" s="7" t="str"/>
      <x:c r="O1742" s="7" t="str">
        <x:f>IF(N1742="","OPEN",IF(OR(I1742="",J1742="",K1742="",L1742="",M1742=""),"FAIL","PASS"))</x:f>
        <x:v>OPEN</x:v>
      </x:c>
    </x:row>
    <x:row r="1743">
      <x:c r="B1743" s="7" t="str">
        <x:v>CH-PEA-C-X1-02-3</x:v>
      </x:c>
      <x:c r="C1743" s="7" t="str">
        <x:v>PEA-C-X1</x:v>
      </x:c>
      <x:c r="D1743" s="7" t="str">
        <x:v>BLD-C</x:v>
      </x:c>
      <x:c r="E1743" s="7" t="str">
        <x:v>BL-X</x:v>
      </x:c>
      <x:c r="F1743" s="7" t="str">
        <x:v>MF-02</x:v>
      </x:c>
      <x:c r="G1743" s="7" t="str">
        <x:v>transfer mass</x:v>
      </x:c>
      <x:c r="H1743" s="7" t="n">
        <x:v>3</x:v>
      </x:c>
      <x:c r="I1743" s="7" t="str"/>
      <x:c r="J1743" s="7" t="str"/>
      <x:c r="K1743" s="7" t="str"/>
      <x:c r="L1743" s="7" t="str"/>
      <x:c r="M1743" s="7" t="str"/>
      <x:c r="N1743" s="7" t="str"/>
      <x:c r="O1743" s="7" t="str">
        <x:f>IF(N1743="","OPEN",IF(OR(I1743="",J1743="",K1743="",L1743="",M1743=""),"FAIL","PASS"))</x:f>
        <x:v>OPEN</x:v>
      </x:c>
    </x:row>
    <x:row r="1744">
      <x:c r="B1744" s="7" t="str">
        <x:v>CH-PEA-C-X1-02-4</x:v>
      </x:c>
      <x:c r="C1744" s="7" t="str">
        <x:v>PEA-C-X1</x:v>
      </x:c>
      <x:c r="D1744" s="7" t="str">
        <x:v>BLD-C</x:v>
      </x:c>
      <x:c r="E1744" s="7" t="str">
        <x:v>BL-X</x:v>
      </x:c>
      <x:c r="F1744" s="7" t="str">
        <x:v>MF-02</x:v>
      </x:c>
      <x:c r="G1744" s="7" t="str">
        <x:v>transfer mass</x:v>
      </x:c>
      <x:c r="H1744" s="7" t="n">
        <x:v>4</x:v>
      </x:c>
      <x:c r="I1744" s="7" t="str"/>
      <x:c r="J1744" s="7" t="str"/>
      <x:c r="K1744" s="7" t="str"/>
      <x:c r="L1744" s="7" t="str"/>
      <x:c r="M1744" s="7" t="str"/>
      <x:c r="N1744" s="7" t="str"/>
      <x:c r="O1744" s="7" t="str">
        <x:f>IF(N1744="","OPEN",IF(OR(I1744="",J1744="",K1744="",L1744="",M1744=""),"FAIL","PASS"))</x:f>
        <x:v>OPEN</x:v>
      </x:c>
    </x:row>
    <x:row r="1745">
      <x:c r="B1745" s="7" t="str">
        <x:v>CH-PEA-C-X1-02-5</x:v>
      </x:c>
      <x:c r="C1745" s="7" t="str">
        <x:v>PEA-C-X1</x:v>
      </x:c>
      <x:c r="D1745" s="7" t="str">
        <x:v>BLD-C</x:v>
      </x:c>
      <x:c r="E1745" s="7" t="str">
        <x:v>BL-X</x:v>
      </x:c>
      <x:c r="F1745" s="7" t="str">
        <x:v>MF-02</x:v>
      </x:c>
      <x:c r="G1745" s="7" t="str">
        <x:v>transfer mass</x:v>
      </x:c>
      <x:c r="H1745" s="7" t="n">
        <x:v>5</x:v>
      </x:c>
      <x:c r="I1745" s="7" t="str"/>
      <x:c r="J1745" s="7" t="str"/>
      <x:c r="K1745" s="7" t="str"/>
      <x:c r="L1745" s="7" t="str"/>
      <x:c r="M1745" s="7" t="str"/>
      <x:c r="N1745" s="7" t="str"/>
      <x:c r="O1745" s="7" t="str">
        <x:f>IF(N1745="","OPEN",IF(OR(I1745="",J1745="",K1745="",L1745="",M1745=""),"FAIL","PASS"))</x:f>
        <x:v>OPEN</x:v>
      </x:c>
    </x:row>
    <x:row r="1746">
      <x:c r="B1746" s="7" t="str">
        <x:v>CH-PEA-C-X1-02-6</x:v>
      </x:c>
      <x:c r="C1746" s="7" t="str">
        <x:v>PEA-C-X1</x:v>
      </x:c>
      <x:c r="D1746" s="7" t="str">
        <x:v>BLD-C</x:v>
      </x:c>
      <x:c r="E1746" s="7" t="str">
        <x:v>BL-X</x:v>
      </x:c>
      <x:c r="F1746" s="7" t="str">
        <x:v>MF-02</x:v>
      </x:c>
      <x:c r="G1746" s="7" t="str">
        <x:v>transfer mass</x:v>
      </x:c>
      <x:c r="H1746" s="7" t="n">
        <x:v>6</x:v>
      </x:c>
      <x:c r="I1746" s="7" t="str"/>
      <x:c r="J1746" s="7" t="str"/>
      <x:c r="K1746" s="7" t="str"/>
      <x:c r="L1746" s="7" t="str"/>
      <x:c r="M1746" s="7" t="str"/>
      <x:c r="N1746" s="7" t="str"/>
      <x:c r="O1746" s="7" t="str">
        <x:f>IF(N1746="","OPEN",IF(OR(I1746="",J1746="",K1746="",L1746="",M1746=""),"FAIL","PASS"))</x:f>
        <x:v>OPEN</x:v>
      </x:c>
    </x:row>
    <x:row r="1747">
      <x:c r="B1747" s="7" t="str">
        <x:v>CH-PEA-C-X1-03-1</x:v>
      </x:c>
      <x:c r="C1747" s="7" t="str">
        <x:v>PEA-C-X1</x:v>
      </x:c>
      <x:c r="D1747" s="7" t="str">
        <x:v>BLD-C</x:v>
      </x:c>
      <x:c r="E1747" s="7" t="str">
        <x:v>BL-X</x:v>
      </x:c>
      <x:c r="F1747" s="7" t="str">
        <x:v>MF-03</x:v>
      </x:c>
      <x:c r="G1747" s="7" t="str">
        <x:v>source pressure</x:v>
      </x:c>
      <x:c r="H1747" s="7" t="n">
        <x:v>1</x:v>
      </x:c>
      <x:c r="I1747" s="7" t="str"/>
      <x:c r="J1747" s="7" t="str"/>
      <x:c r="K1747" s="7" t="str"/>
      <x:c r="L1747" s="7" t="str"/>
      <x:c r="M1747" s="7" t="str"/>
      <x:c r="N1747" s="7" t="str"/>
      <x:c r="O1747" s="7" t="str">
        <x:f>IF(N1747="","OPEN",IF(OR(I1747="",J1747="",K1747="",L1747="",M1747=""),"FAIL","PASS"))</x:f>
        <x:v>OPEN</x:v>
      </x:c>
    </x:row>
    <x:row r="1748">
      <x:c r="B1748" s="7" t="str">
        <x:v>CH-PEA-C-X1-03-2</x:v>
      </x:c>
      <x:c r="C1748" s="7" t="str">
        <x:v>PEA-C-X1</x:v>
      </x:c>
      <x:c r="D1748" s="7" t="str">
        <x:v>BLD-C</x:v>
      </x:c>
      <x:c r="E1748" s="7" t="str">
        <x:v>BL-X</x:v>
      </x:c>
      <x:c r="F1748" s="7" t="str">
        <x:v>MF-03</x:v>
      </x:c>
      <x:c r="G1748" s="7" t="str">
        <x:v>source pressure</x:v>
      </x:c>
      <x:c r="H1748" s="7" t="n">
        <x:v>2</x:v>
      </x:c>
      <x:c r="I1748" s="7" t="str"/>
      <x:c r="J1748" s="7" t="str"/>
      <x:c r="K1748" s="7" t="str"/>
      <x:c r="L1748" s="7" t="str"/>
      <x:c r="M1748" s="7" t="str"/>
      <x:c r="N1748" s="7" t="str"/>
      <x:c r="O1748" s="7" t="str">
        <x:f>IF(N1748="","OPEN",IF(OR(I1748="",J1748="",K1748="",L1748="",M1748=""),"FAIL","PASS"))</x:f>
        <x:v>OPEN</x:v>
      </x:c>
    </x:row>
    <x:row r="1749">
      <x:c r="B1749" s="7" t="str">
        <x:v>CH-PEA-C-X1-03-3</x:v>
      </x:c>
      <x:c r="C1749" s="7" t="str">
        <x:v>PEA-C-X1</x:v>
      </x:c>
      <x:c r="D1749" s="7" t="str">
        <x:v>BLD-C</x:v>
      </x:c>
      <x:c r="E1749" s="7" t="str">
        <x:v>BL-X</x:v>
      </x:c>
      <x:c r="F1749" s="7" t="str">
        <x:v>MF-03</x:v>
      </x:c>
      <x:c r="G1749" s="7" t="str">
        <x:v>source pressure</x:v>
      </x:c>
      <x:c r="H1749" s="7" t="n">
        <x:v>3</x:v>
      </x:c>
      <x:c r="I1749" s="7" t="str"/>
      <x:c r="J1749" s="7" t="str"/>
      <x:c r="K1749" s="7" t="str"/>
      <x:c r="L1749" s="7" t="str"/>
      <x:c r="M1749" s="7" t="str"/>
      <x:c r="N1749" s="7" t="str"/>
      <x:c r="O1749" s="7" t="str">
        <x:f>IF(N1749="","OPEN",IF(OR(I1749="",J1749="",K1749="",L1749="",M1749=""),"FAIL","PASS"))</x:f>
        <x:v>OPEN</x:v>
      </x:c>
    </x:row>
    <x:row r="1750">
      <x:c r="B1750" s="7" t="str">
        <x:v>CH-PEA-C-X1-03-4</x:v>
      </x:c>
      <x:c r="C1750" s="7" t="str">
        <x:v>PEA-C-X1</x:v>
      </x:c>
      <x:c r="D1750" s="7" t="str">
        <x:v>BLD-C</x:v>
      </x:c>
      <x:c r="E1750" s="7" t="str">
        <x:v>BL-X</x:v>
      </x:c>
      <x:c r="F1750" s="7" t="str">
        <x:v>MF-03</x:v>
      </x:c>
      <x:c r="G1750" s="7" t="str">
        <x:v>source pressure</x:v>
      </x:c>
      <x:c r="H1750" s="7" t="n">
        <x:v>4</x:v>
      </x:c>
      <x:c r="I1750" s="7" t="str"/>
      <x:c r="J1750" s="7" t="str"/>
      <x:c r="K1750" s="7" t="str"/>
      <x:c r="L1750" s="7" t="str"/>
      <x:c r="M1750" s="7" t="str"/>
      <x:c r="N1750" s="7" t="str"/>
      <x:c r="O1750" s="7" t="str">
        <x:f>IF(N1750="","OPEN",IF(OR(I1750="",J1750="",K1750="",L1750="",M1750=""),"FAIL","PASS"))</x:f>
        <x:v>OPEN</x:v>
      </x:c>
    </x:row>
    <x:row r="1751">
      <x:c r="B1751" s="7" t="str">
        <x:v>CH-PEA-C-X1-03-5</x:v>
      </x:c>
      <x:c r="C1751" s="7" t="str">
        <x:v>PEA-C-X1</x:v>
      </x:c>
      <x:c r="D1751" s="7" t="str">
        <x:v>BLD-C</x:v>
      </x:c>
      <x:c r="E1751" s="7" t="str">
        <x:v>BL-X</x:v>
      </x:c>
      <x:c r="F1751" s="7" t="str">
        <x:v>MF-03</x:v>
      </x:c>
      <x:c r="G1751" s="7" t="str">
        <x:v>source pressure</x:v>
      </x:c>
      <x:c r="H1751" s="7" t="n">
        <x:v>5</x:v>
      </x:c>
      <x:c r="I1751" s="7" t="str"/>
      <x:c r="J1751" s="7" t="str"/>
      <x:c r="K1751" s="7" t="str"/>
      <x:c r="L1751" s="7" t="str"/>
      <x:c r="M1751" s="7" t="str"/>
      <x:c r="N1751" s="7" t="str"/>
      <x:c r="O1751" s="7" t="str">
        <x:f>IF(N1751="","OPEN",IF(OR(I1751="",J1751="",K1751="",L1751="",M1751=""),"FAIL","PASS"))</x:f>
        <x:v>OPEN</x:v>
      </x:c>
    </x:row>
    <x:row r="1752">
      <x:c r="B1752" s="7" t="str">
        <x:v>CH-PEA-C-X1-03-6</x:v>
      </x:c>
      <x:c r="C1752" s="7" t="str">
        <x:v>PEA-C-X1</x:v>
      </x:c>
      <x:c r="D1752" s="7" t="str">
        <x:v>BLD-C</x:v>
      </x:c>
      <x:c r="E1752" s="7" t="str">
        <x:v>BL-X</x:v>
      </x:c>
      <x:c r="F1752" s="7" t="str">
        <x:v>MF-03</x:v>
      </x:c>
      <x:c r="G1752" s="7" t="str">
        <x:v>source pressure</x:v>
      </x:c>
      <x:c r="H1752" s="7" t="n">
        <x:v>6</x:v>
      </x:c>
      <x:c r="I1752" s="7" t="str"/>
      <x:c r="J1752" s="7" t="str"/>
      <x:c r="K1752" s="7" t="str"/>
      <x:c r="L1752" s="7" t="str"/>
      <x:c r="M1752" s="7" t="str"/>
      <x:c r="N1752" s="7" t="str"/>
      <x:c r="O1752" s="7" t="str">
        <x:f>IF(N1752="","OPEN",IF(OR(I1752="",J1752="",K1752="",L1752="",M1752=""),"FAIL","PASS"))</x:f>
        <x:v>OPEN</x:v>
      </x:c>
    </x:row>
    <x:row r="1753">
      <x:c r="B1753" s="7" t="str">
        <x:v>CH-PEA-C-X1-04-1</x:v>
      </x:c>
      <x:c r="C1753" s="7" t="str">
        <x:v>PEA-C-X1</x:v>
      </x:c>
      <x:c r="D1753" s="7" t="str">
        <x:v>BLD-C</x:v>
      </x:c>
      <x:c r="E1753" s="7" t="str">
        <x:v>BL-X</x:v>
      </x:c>
      <x:c r="F1753" s="7" t="str">
        <x:v>MF-04</x:v>
      </x:c>
      <x:c r="G1753" s="7" t="str">
        <x:v>source temperature</x:v>
      </x:c>
      <x:c r="H1753" s="7" t="n">
        <x:v>1</x:v>
      </x:c>
      <x:c r="I1753" s="7" t="str"/>
      <x:c r="J1753" s="7" t="str"/>
      <x:c r="K1753" s="7" t="str"/>
      <x:c r="L1753" s="7" t="str"/>
      <x:c r="M1753" s="7" t="str"/>
      <x:c r="N1753" s="7" t="str"/>
      <x:c r="O1753" s="7" t="str">
        <x:f>IF(N1753="","OPEN",IF(OR(I1753="",J1753="",K1753="",L1753="",M1753=""),"FAIL","PASS"))</x:f>
        <x:v>OPEN</x:v>
      </x:c>
    </x:row>
    <x:row r="1754">
      <x:c r="B1754" s="7" t="str">
        <x:v>CH-PEA-C-X1-04-2</x:v>
      </x:c>
      <x:c r="C1754" s="7" t="str">
        <x:v>PEA-C-X1</x:v>
      </x:c>
      <x:c r="D1754" s="7" t="str">
        <x:v>BLD-C</x:v>
      </x:c>
      <x:c r="E1754" s="7" t="str">
        <x:v>BL-X</x:v>
      </x:c>
      <x:c r="F1754" s="7" t="str">
        <x:v>MF-04</x:v>
      </x:c>
      <x:c r="G1754" s="7" t="str">
        <x:v>source temperature</x:v>
      </x:c>
      <x:c r="H1754" s="7" t="n">
        <x:v>2</x:v>
      </x:c>
      <x:c r="I1754" s="7" t="str"/>
      <x:c r="J1754" s="7" t="str"/>
      <x:c r="K1754" s="7" t="str"/>
      <x:c r="L1754" s="7" t="str"/>
      <x:c r="M1754" s="7" t="str"/>
      <x:c r="N1754" s="7" t="str"/>
      <x:c r="O1754" s="7" t="str">
        <x:f>IF(N1754="","OPEN",IF(OR(I1754="",J1754="",K1754="",L1754="",M1754=""),"FAIL","PASS"))</x:f>
        <x:v>OPEN</x:v>
      </x:c>
    </x:row>
    <x:row r="1755">
      <x:c r="B1755" s="7" t="str">
        <x:v>CH-PEA-C-X1-04-3</x:v>
      </x:c>
      <x:c r="C1755" s="7" t="str">
        <x:v>PEA-C-X1</x:v>
      </x:c>
      <x:c r="D1755" s="7" t="str">
        <x:v>BLD-C</x:v>
      </x:c>
      <x:c r="E1755" s="7" t="str">
        <x:v>BL-X</x:v>
      </x:c>
      <x:c r="F1755" s="7" t="str">
        <x:v>MF-04</x:v>
      </x:c>
      <x:c r="G1755" s="7" t="str">
        <x:v>source temperature</x:v>
      </x:c>
      <x:c r="H1755" s="7" t="n">
        <x:v>3</x:v>
      </x:c>
      <x:c r="I1755" s="7" t="str"/>
      <x:c r="J1755" s="7" t="str"/>
      <x:c r="K1755" s="7" t="str"/>
      <x:c r="L1755" s="7" t="str"/>
      <x:c r="M1755" s="7" t="str"/>
      <x:c r="N1755" s="7" t="str"/>
      <x:c r="O1755" s="7" t="str">
        <x:f>IF(N1755="","OPEN",IF(OR(I1755="",J1755="",K1755="",L1755="",M1755=""),"FAIL","PASS"))</x:f>
        <x:v>OPEN</x:v>
      </x:c>
    </x:row>
    <x:row r="1756">
      <x:c r="B1756" s="7" t="str">
        <x:v>CH-PEA-C-X1-04-4</x:v>
      </x:c>
      <x:c r="C1756" s="7" t="str">
        <x:v>PEA-C-X1</x:v>
      </x:c>
      <x:c r="D1756" s="7" t="str">
        <x:v>BLD-C</x:v>
      </x:c>
      <x:c r="E1756" s="7" t="str">
        <x:v>BL-X</x:v>
      </x:c>
      <x:c r="F1756" s="7" t="str">
        <x:v>MF-04</x:v>
      </x:c>
      <x:c r="G1756" s="7" t="str">
        <x:v>source temperature</x:v>
      </x:c>
      <x:c r="H1756" s="7" t="n">
        <x:v>4</x:v>
      </x:c>
      <x:c r="I1756" s="7" t="str"/>
      <x:c r="J1756" s="7" t="str"/>
      <x:c r="K1756" s="7" t="str"/>
      <x:c r="L1756" s="7" t="str"/>
      <x:c r="M1756" s="7" t="str"/>
      <x:c r="N1756" s="7" t="str"/>
      <x:c r="O1756" s="7" t="str">
        <x:f>IF(N1756="","OPEN",IF(OR(I1756="",J1756="",K1756="",L1756="",M1756=""),"FAIL","PASS"))</x:f>
        <x:v>OPEN</x:v>
      </x:c>
    </x:row>
    <x:row r="1757">
      <x:c r="B1757" s="7" t="str">
        <x:v>CH-PEA-C-X1-04-5</x:v>
      </x:c>
      <x:c r="C1757" s="7" t="str">
        <x:v>PEA-C-X1</x:v>
      </x:c>
      <x:c r="D1757" s="7" t="str">
        <x:v>BLD-C</x:v>
      </x:c>
      <x:c r="E1757" s="7" t="str">
        <x:v>BL-X</x:v>
      </x:c>
      <x:c r="F1757" s="7" t="str">
        <x:v>MF-04</x:v>
      </x:c>
      <x:c r="G1757" s="7" t="str">
        <x:v>source temperature</x:v>
      </x:c>
      <x:c r="H1757" s="7" t="n">
        <x:v>5</x:v>
      </x:c>
      <x:c r="I1757" s="7" t="str"/>
      <x:c r="J1757" s="7" t="str"/>
      <x:c r="K1757" s="7" t="str"/>
      <x:c r="L1757" s="7" t="str"/>
      <x:c r="M1757" s="7" t="str"/>
      <x:c r="N1757" s="7" t="str"/>
      <x:c r="O1757" s="7" t="str">
        <x:f>IF(N1757="","OPEN",IF(OR(I1757="",J1757="",K1757="",L1757="",M1757=""),"FAIL","PASS"))</x:f>
        <x:v>OPEN</x:v>
      </x:c>
    </x:row>
    <x:row r="1758">
      <x:c r="B1758" s="7" t="str">
        <x:v>CH-PEA-C-X1-04-6</x:v>
      </x:c>
      <x:c r="C1758" s="7" t="str">
        <x:v>PEA-C-X1</x:v>
      </x:c>
      <x:c r="D1758" s="7" t="str">
        <x:v>BLD-C</x:v>
      </x:c>
      <x:c r="E1758" s="7" t="str">
        <x:v>BL-X</x:v>
      </x:c>
      <x:c r="F1758" s="7" t="str">
        <x:v>MF-04</x:v>
      </x:c>
      <x:c r="G1758" s="7" t="str">
        <x:v>source temperature</x:v>
      </x:c>
      <x:c r="H1758" s="7" t="n">
        <x:v>6</x:v>
      </x:c>
      <x:c r="I1758" s="7" t="str"/>
      <x:c r="J1758" s="7" t="str"/>
      <x:c r="K1758" s="7" t="str"/>
      <x:c r="L1758" s="7" t="str"/>
      <x:c r="M1758" s="7" t="str"/>
      <x:c r="N1758" s="7" t="str"/>
      <x:c r="O1758" s="7" t="str">
        <x:f>IF(N1758="","OPEN",IF(OR(I1758="",J1758="",K1758="",L1758="",M1758=""),"FAIL","PASS"))</x:f>
        <x:v>OPEN</x:v>
      </x:c>
    </x:row>
    <x:row r="1759">
      <x:c r="B1759" s="7" t="str">
        <x:v>CH-PEA-C-X1-05-1</x:v>
      </x:c>
      <x:c r="C1759" s="7" t="str">
        <x:v>PEA-C-X1</x:v>
      </x:c>
      <x:c r="D1759" s="7" t="str">
        <x:v>BLD-C</x:v>
      </x:c>
      <x:c r="E1759" s="7" t="str">
        <x:v>BL-X</x:v>
      </x:c>
      <x:c r="F1759" s="7" t="str">
        <x:v>MF-05</x:v>
      </x:c>
      <x:c r="G1759" s="7" t="str">
        <x:v>hold-up tomography</x:v>
      </x:c>
      <x:c r="H1759" s="7" t="n">
        <x:v>1</x:v>
      </x:c>
      <x:c r="I1759" s="7" t="str"/>
      <x:c r="J1759" s="7" t="str"/>
      <x:c r="K1759" s="7" t="str"/>
      <x:c r="L1759" s="7" t="str"/>
      <x:c r="M1759" s="7" t="str"/>
      <x:c r="N1759" s="7" t="str"/>
      <x:c r="O1759" s="7" t="str">
        <x:f>IF(N1759="","OPEN",IF(OR(I1759="",J1759="",K1759="",L1759="",M1759=""),"FAIL","PASS"))</x:f>
        <x:v>OPEN</x:v>
      </x:c>
    </x:row>
    <x:row r="1760">
      <x:c r="B1760" s="7" t="str">
        <x:v>CH-PEA-C-X1-05-2</x:v>
      </x:c>
      <x:c r="C1760" s="7" t="str">
        <x:v>PEA-C-X1</x:v>
      </x:c>
      <x:c r="D1760" s="7" t="str">
        <x:v>BLD-C</x:v>
      </x:c>
      <x:c r="E1760" s="7" t="str">
        <x:v>BL-X</x:v>
      </x:c>
      <x:c r="F1760" s="7" t="str">
        <x:v>MF-05</x:v>
      </x:c>
      <x:c r="G1760" s="7" t="str">
        <x:v>hold-up tomography</x:v>
      </x:c>
      <x:c r="H1760" s="7" t="n">
        <x:v>2</x:v>
      </x:c>
      <x:c r="I1760" s="7" t="str"/>
      <x:c r="J1760" s="7" t="str"/>
      <x:c r="K1760" s="7" t="str"/>
      <x:c r="L1760" s="7" t="str"/>
      <x:c r="M1760" s="7" t="str"/>
      <x:c r="N1760" s="7" t="str"/>
      <x:c r="O1760" s="7" t="str">
        <x:f>IF(N1760="","OPEN",IF(OR(I1760="",J1760="",K1760="",L1760="",M1760=""),"FAIL","PASS"))</x:f>
        <x:v>OPEN</x:v>
      </x:c>
    </x:row>
    <x:row r="1761">
      <x:c r="B1761" s="7" t="str">
        <x:v>CH-PEA-C-X1-05-3</x:v>
      </x:c>
      <x:c r="C1761" s="7" t="str">
        <x:v>PEA-C-X1</x:v>
      </x:c>
      <x:c r="D1761" s="7" t="str">
        <x:v>BLD-C</x:v>
      </x:c>
      <x:c r="E1761" s="7" t="str">
        <x:v>BL-X</x:v>
      </x:c>
      <x:c r="F1761" s="7" t="str">
        <x:v>MF-05</x:v>
      </x:c>
      <x:c r="G1761" s="7" t="str">
        <x:v>hold-up tomography</x:v>
      </x:c>
      <x:c r="H1761" s="7" t="n">
        <x:v>3</x:v>
      </x:c>
      <x:c r="I1761" s="7" t="str"/>
      <x:c r="J1761" s="7" t="str"/>
      <x:c r="K1761" s="7" t="str"/>
      <x:c r="L1761" s="7" t="str"/>
      <x:c r="M1761" s="7" t="str"/>
      <x:c r="N1761" s="7" t="str"/>
      <x:c r="O1761" s="7" t="str">
        <x:f>IF(N1761="","OPEN",IF(OR(I1761="",J1761="",K1761="",L1761="",M1761=""),"FAIL","PASS"))</x:f>
        <x:v>OPEN</x:v>
      </x:c>
    </x:row>
    <x:row r="1762">
      <x:c r="B1762" s="7" t="str">
        <x:v>CH-PEA-C-X1-05-4</x:v>
      </x:c>
      <x:c r="C1762" s="7" t="str">
        <x:v>PEA-C-X1</x:v>
      </x:c>
      <x:c r="D1762" s="7" t="str">
        <x:v>BLD-C</x:v>
      </x:c>
      <x:c r="E1762" s="7" t="str">
        <x:v>BL-X</x:v>
      </x:c>
      <x:c r="F1762" s="7" t="str">
        <x:v>MF-05</x:v>
      </x:c>
      <x:c r="G1762" s="7" t="str">
        <x:v>hold-up tomography</x:v>
      </x:c>
      <x:c r="H1762" s="7" t="n">
        <x:v>4</x:v>
      </x:c>
      <x:c r="I1762" s="7" t="str"/>
      <x:c r="J1762" s="7" t="str"/>
      <x:c r="K1762" s="7" t="str"/>
      <x:c r="L1762" s="7" t="str"/>
      <x:c r="M1762" s="7" t="str"/>
      <x:c r="N1762" s="7" t="str"/>
      <x:c r="O1762" s="7" t="str">
        <x:f>IF(N1762="","OPEN",IF(OR(I1762="",J1762="",K1762="",L1762="",M1762=""),"FAIL","PASS"))</x:f>
        <x:v>OPEN</x:v>
      </x:c>
    </x:row>
    <x:row r="1763">
      <x:c r="B1763" s="7" t="str">
        <x:v>CH-PEA-C-X1-05-5</x:v>
      </x:c>
      <x:c r="C1763" s="7" t="str">
        <x:v>PEA-C-X1</x:v>
      </x:c>
      <x:c r="D1763" s="7" t="str">
        <x:v>BLD-C</x:v>
      </x:c>
      <x:c r="E1763" s="7" t="str">
        <x:v>BL-X</x:v>
      </x:c>
      <x:c r="F1763" s="7" t="str">
        <x:v>MF-05</x:v>
      </x:c>
      <x:c r="G1763" s="7" t="str">
        <x:v>hold-up tomography</x:v>
      </x:c>
      <x:c r="H1763" s="7" t="n">
        <x:v>5</x:v>
      </x:c>
      <x:c r="I1763" s="7" t="str"/>
      <x:c r="J1763" s="7" t="str"/>
      <x:c r="K1763" s="7" t="str"/>
      <x:c r="L1763" s="7" t="str"/>
      <x:c r="M1763" s="7" t="str"/>
      <x:c r="N1763" s="7" t="str"/>
      <x:c r="O1763" s="7" t="str">
        <x:f>IF(N1763="","OPEN",IF(OR(I1763="",J1763="",K1763="",L1763="",M1763=""),"FAIL","PASS"))</x:f>
        <x:v>OPEN</x:v>
      </x:c>
    </x:row>
    <x:row r="1764">
      <x:c r="B1764" s="7" t="str">
        <x:v>CH-PEA-C-X1-05-6</x:v>
      </x:c>
      <x:c r="C1764" s="7" t="str">
        <x:v>PEA-C-X1</x:v>
      </x:c>
      <x:c r="D1764" s="7" t="str">
        <x:v>BLD-C</x:v>
      </x:c>
      <x:c r="E1764" s="7" t="str">
        <x:v>BL-X</x:v>
      </x:c>
      <x:c r="F1764" s="7" t="str">
        <x:v>MF-05</x:v>
      </x:c>
      <x:c r="G1764" s="7" t="str">
        <x:v>hold-up tomography</x:v>
      </x:c>
      <x:c r="H1764" s="7" t="n">
        <x:v>6</x:v>
      </x:c>
      <x:c r="I1764" s="7" t="str"/>
      <x:c r="J1764" s="7" t="str"/>
      <x:c r="K1764" s="7" t="str"/>
      <x:c r="L1764" s="7" t="str"/>
      <x:c r="M1764" s="7" t="str"/>
      <x:c r="N1764" s="7" t="str"/>
      <x:c r="O1764" s="7" t="str">
        <x:f>IF(N1764="","OPEN",IF(OR(I1764="",J1764="",K1764="",L1764="",M1764=""),"FAIL","PASS"))</x:f>
        <x:v>OPEN</x:v>
      </x:c>
    </x:row>
    <x:row r="1765">
      <x:c r="B1765" s="7" t="str">
        <x:v>CH-PEA-C-X1-06-1</x:v>
      </x:c>
      <x:c r="C1765" s="7" t="str">
        <x:v>PEA-C-X1</x:v>
      </x:c>
      <x:c r="D1765" s="7" t="str">
        <x:v>BLD-C</x:v>
      </x:c>
      <x:c r="E1765" s="7" t="str">
        <x:v>BL-X</x:v>
      </x:c>
      <x:c r="F1765" s="7" t="str">
        <x:v>MF-06</x:v>
      </x:c>
      <x:c r="G1765" s="7" t="str">
        <x:v>pan level</x:v>
      </x:c>
      <x:c r="H1765" s="7" t="n">
        <x:v>1</x:v>
      </x:c>
      <x:c r="I1765" s="7" t="str"/>
      <x:c r="J1765" s="7" t="str"/>
      <x:c r="K1765" s="7" t="str"/>
      <x:c r="L1765" s="7" t="str"/>
      <x:c r="M1765" s="7" t="str"/>
      <x:c r="N1765" s="7" t="str"/>
      <x:c r="O1765" s="7" t="str">
        <x:f>IF(N1765="","OPEN",IF(OR(I1765="",J1765="",K1765="",L1765="",M1765=""),"FAIL","PASS"))</x:f>
        <x:v>OPEN</x:v>
      </x:c>
    </x:row>
    <x:row r="1766">
      <x:c r="B1766" s="7" t="str">
        <x:v>CH-PEA-C-X1-06-2</x:v>
      </x:c>
      <x:c r="C1766" s="7" t="str">
        <x:v>PEA-C-X1</x:v>
      </x:c>
      <x:c r="D1766" s="7" t="str">
        <x:v>BLD-C</x:v>
      </x:c>
      <x:c r="E1766" s="7" t="str">
        <x:v>BL-X</x:v>
      </x:c>
      <x:c r="F1766" s="7" t="str">
        <x:v>MF-06</x:v>
      </x:c>
      <x:c r="G1766" s="7" t="str">
        <x:v>pan level</x:v>
      </x:c>
      <x:c r="H1766" s="7" t="n">
        <x:v>2</x:v>
      </x:c>
      <x:c r="I1766" s="7" t="str"/>
      <x:c r="J1766" s="7" t="str"/>
      <x:c r="K1766" s="7" t="str"/>
      <x:c r="L1766" s="7" t="str"/>
      <x:c r="M1766" s="7" t="str"/>
      <x:c r="N1766" s="7" t="str"/>
      <x:c r="O1766" s="7" t="str">
        <x:f>IF(N1766="","OPEN",IF(OR(I1766="",J1766="",K1766="",L1766="",M1766=""),"FAIL","PASS"))</x:f>
        <x:v>OPEN</x:v>
      </x:c>
    </x:row>
    <x:row r="1767">
      <x:c r="B1767" s="7" t="str">
        <x:v>CH-PEA-C-X1-06-3</x:v>
      </x:c>
      <x:c r="C1767" s="7" t="str">
        <x:v>PEA-C-X1</x:v>
      </x:c>
      <x:c r="D1767" s="7" t="str">
        <x:v>BLD-C</x:v>
      </x:c>
      <x:c r="E1767" s="7" t="str">
        <x:v>BL-X</x:v>
      </x:c>
      <x:c r="F1767" s="7" t="str">
        <x:v>MF-06</x:v>
      </x:c>
      <x:c r="G1767" s="7" t="str">
        <x:v>pan level</x:v>
      </x:c>
      <x:c r="H1767" s="7" t="n">
        <x:v>3</x:v>
      </x:c>
      <x:c r="I1767" s="7" t="str"/>
      <x:c r="J1767" s="7" t="str"/>
      <x:c r="K1767" s="7" t="str"/>
      <x:c r="L1767" s="7" t="str"/>
      <x:c r="M1767" s="7" t="str"/>
      <x:c r="N1767" s="7" t="str"/>
      <x:c r="O1767" s="7" t="str">
        <x:f>IF(N1767="","OPEN",IF(OR(I1767="",J1767="",K1767="",L1767="",M1767=""),"FAIL","PASS"))</x:f>
        <x:v>OPEN</x:v>
      </x:c>
    </x:row>
    <x:row r="1768">
      <x:c r="B1768" s="7" t="str">
        <x:v>CH-PEA-C-X1-06-4</x:v>
      </x:c>
      <x:c r="C1768" s="7" t="str">
        <x:v>PEA-C-X1</x:v>
      </x:c>
      <x:c r="D1768" s="7" t="str">
        <x:v>BLD-C</x:v>
      </x:c>
      <x:c r="E1768" s="7" t="str">
        <x:v>BL-X</x:v>
      </x:c>
      <x:c r="F1768" s="7" t="str">
        <x:v>MF-06</x:v>
      </x:c>
      <x:c r="G1768" s="7" t="str">
        <x:v>pan level</x:v>
      </x:c>
      <x:c r="H1768" s="7" t="n">
        <x:v>4</x:v>
      </x:c>
      <x:c r="I1768" s="7" t="str"/>
      <x:c r="J1768" s="7" t="str"/>
      <x:c r="K1768" s="7" t="str"/>
      <x:c r="L1768" s="7" t="str"/>
      <x:c r="M1768" s="7" t="str"/>
      <x:c r="N1768" s="7" t="str"/>
      <x:c r="O1768" s="7" t="str">
        <x:f>IF(N1768="","OPEN",IF(OR(I1768="",J1768="",K1768="",L1768="",M1768=""),"FAIL","PASS"))</x:f>
        <x:v>OPEN</x:v>
      </x:c>
    </x:row>
    <x:row r="1769">
      <x:c r="B1769" s="7" t="str">
        <x:v>CH-PEA-C-X1-06-5</x:v>
      </x:c>
      <x:c r="C1769" s="7" t="str">
        <x:v>PEA-C-X1</x:v>
      </x:c>
      <x:c r="D1769" s="7" t="str">
        <x:v>BLD-C</x:v>
      </x:c>
      <x:c r="E1769" s="7" t="str">
        <x:v>BL-X</x:v>
      </x:c>
      <x:c r="F1769" s="7" t="str">
        <x:v>MF-06</x:v>
      </x:c>
      <x:c r="G1769" s="7" t="str">
        <x:v>pan level</x:v>
      </x:c>
      <x:c r="H1769" s="7" t="n">
        <x:v>5</x:v>
      </x:c>
      <x:c r="I1769" s="7" t="str"/>
      <x:c r="J1769" s="7" t="str"/>
      <x:c r="K1769" s="7" t="str"/>
      <x:c r="L1769" s="7" t="str"/>
      <x:c r="M1769" s="7" t="str"/>
      <x:c r="N1769" s="7" t="str"/>
      <x:c r="O1769" s="7" t="str">
        <x:f>IF(N1769="","OPEN",IF(OR(I1769="",J1769="",K1769="",L1769="",M1769=""),"FAIL","PASS"))</x:f>
        <x:v>OPEN</x:v>
      </x:c>
    </x:row>
    <x:row r="1770">
      <x:c r="B1770" s="7" t="str">
        <x:v>CH-PEA-C-X1-06-6</x:v>
      </x:c>
      <x:c r="C1770" s="7" t="str">
        <x:v>PEA-C-X1</x:v>
      </x:c>
      <x:c r="D1770" s="7" t="str">
        <x:v>BLD-C</x:v>
      </x:c>
      <x:c r="E1770" s="7" t="str">
        <x:v>BL-X</x:v>
      </x:c>
      <x:c r="F1770" s="7" t="str">
        <x:v>MF-06</x:v>
      </x:c>
      <x:c r="G1770" s="7" t="str">
        <x:v>pan level</x:v>
      </x:c>
      <x:c r="H1770" s="7" t="n">
        <x:v>6</x:v>
      </x:c>
      <x:c r="I1770" s="7" t="str"/>
      <x:c r="J1770" s="7" t="str"/>
      <x:c r="K1770" s="7" t="str"/>
      <x:c r="L1770" s="7" t="str"/>
      <x:c r="M1770" s="7" t="str"/>
      <x:c r="N1770" s="7" t="str"/>
      <x:c r="O1770" s="7" t="str">
        <x:f>IF(N1770="","OPEN",IF(OR(I1770="",J1770="",K1770="",L1770="",M1770=""),"FAIL","PASS"))</x:f>
        <x:v>OPEN</x:v>
      </x:c>
    </x:row>
    <x:row r="1771">
      <x:c r="B1771" s="7" t="str">
        <x:v>CH-PEA-C-X1-07-1</x:v>
      </x:c>
      <x:c r="C1771" s="7" t="str">
        <x:v>PEA-C-X1</x:v>
      </x:c>
      <x:c r="D1771" s="7" t="str">
        <x:v>BLD-C</x:v>
      </x:c>
      <x:c r="E1771" s="7" t="str">
        <x:v>BL-X</x:v>
      </x:c>
      <x:c r="F1771" s="7" t="str">
        <x:v>MF-07</x:v>
      </x:c>
      <x:c r="G1771" s="7" t="str">
        <x:v>normal receiver mass</x:v>
      </x:c>
      <x:c r="H1771" s="7" t="n">
        <x:v>1</x:v>
      </x:c>
      <x:c r="I1771" s="7" t="str"/>
      <x:c r="J1771" s="7" t="str"/>
      <x:c r="K1771" s="7" t="str"/>
      <x:c r="L1771" s="7" t="str"/>
      <x:c r="M1771" s="7" t="str"/>
      <x:c r="N1771" s="7" t="str"/>
      <x:c r="O1771" s="7" t="str">
        <x:f>IF(N1771="","OPEN",IF(OR(I1771="",J1771="",K1771="",L1771="",M1771=""),"FAIL","PASS"))</x:f>
        <x:v>OPEN</x:v>
      </x:c>
    </x:row>
    <x:row r="1772">
      <x:c r="B1772" s="7" t="str">
        <x:v>CH-PEA-C-X1-07-2</x:v>
      </x:c>
      <x:c r="C1772" s="7" t="str">
        <x:v>PEA-C-X1</x:v>
      </x:c>
      <x:c r="D1772" s="7" t="str">
        <x:v>BLD-C</x:v>
      </x:c>
      <x:c r="E1772" s="7" t="str">
        <x:v>BL-X</x:v>
      </x:c>
      <x:c r="F1772" s="7" t="str">
        <x:v>MF-07</x:v>
      </x:c>
      <x:c r="G1772" s="7" t="str">
        <x:v>normal receiver mass</x:v>
      </x:c>
      <x:c r="H1772" s="7" t="n">
        <x:v>2</x:v>
      </x:c>
      <x:c r="I1772" s="7" t="str"/>
      <x:c r="J1772" s="7" t="str"/>
      <x:c r="K1772" s="7" t="str"/>
      <x:c r="L1772" s="7" t="str"/>
      <x:c r="M1772" s="7" t="str"/>
      <x:c r="N1772" s="7" t="str"/>
      <x:c r="O1772" s="7" t="str">
        <x:f>IF(N1772="","OPEN",IF(OR(I1772="",J1772="",K1772="",L1772="",M1772=""),"FAIL","PASS"))</x:f>
        <x:v>OPEN</x:v>
      </x:c>
    </x:row>
    <x:row r="1773">
      <x:c r="B1773" s="7" t="str">
        <x:v>CH-PEA-C-X1-07-3</x:v>
      </x:c>
      <x:c r="C1773" s="7" t="str">
        <x:v>PEA-C-X1</x:v>
      </x:c>
      <x:c r="D1773" s="7" t="str">
        <x:v>BLD-C</x:v>
      </x:c>
      <x:c r="E1773" s="7" t="str">
        <x:v>BL-X</x:v>
      </x:c>
      <x:c r="F1773" s="7" t="str">
        <x:v>MF-07</x:v>
      </x:c>
      <x:c r="G1773" s="7" t="str">
        <x:v>normal receiver mass</x:v>
      </x:c>
      <x:c r="H1773" s="7" t="n">
        <x:v>3</x:v>
      </x:c>
      <x:c r="I1773" s="7" t="str"/>
      <x:c r="J1773" s="7" t="str"/>
      <x:c r="K1773" s="7" t="str"/>
      <x:c r="L1773" s="7" t="str"/>
      <x:c r="M1773" s="7" t="str"/>
      <x:c r="N1773" s="7" t="str"/>
      <x:c r="O1773" s="7" t="str">
        <x:f>IF(N1773="","OPEN",IF(OR(I1773="",J1773="",K1773="",L1773="",M1773=""),"FAIL","PASS"))</x:f>
        <x:v>OPEN</x:v>
      </x:c>
    </x:row>
    <x:row r="1774">
      <x:c r="B1774" s="7" t="str">
        <x:v>CH-PEA-C-X1-07-4</x:v>
      </x:c>
      <x:c r="C1774" s="7" t="str">
        <x:v>PEA-C-X1</x:v>
      </x:c>
      <x:c r="D1774" s="7" t="str">
        <x:v>BLD-C</x:v>
      </x:c>
      <x:c r="E1774" s="7" t="str">
        <x:v>BL-X</x:v>
      </x:c>
      <x:c r="F1774" s="7" t="str">
        <x:v>MF-07</x:v>
      </x:c>
      <x:c r="G1774" s="7" t="str">
        <x:v>normal receiver mass</x:v>
      </x:c>
      <x:c r="H1774" s="7" t="n">
        <x:v>4</x:v>
      </x:c>
      <x:c r="I1774" s="7" t="str"/>
      <x:c r="J1774" s="7" t="str"/>
      <x:c r="K1774" s="7" t="str"/>
      <x:c r="L1774" s="7" t="str"/>
      <x:c r="M1774" s="7" t="str"/>
      <x:c r="N1774" s="7" t="str"/>
      <x:c r="O1774" s="7" t="str">
        <x:f>IF(N1774="","OPEN",IF(OR(I1774="",J1774="",K1774="",L1774="",M1774=""),"FAIL","PASS"))</x:f>
        <x:v>OPEN</x:v>
      </x:c>
    </x:row>
    <x:row r="1775">
      <x:c r="B1775" s="7" t="str">
        <x:v>CH-PEA-C-X1-07-5</x:v>
      </x:c>
      <x:c r="C1775" s="7" t="str">
        <x:v>PEA-C-X1</x:v>
      </x:c>
      <x:c r="D1775" s="7" t="str">
        <x:v>BLD-C</x:v>
      </x:c>
      <x:c r="E1775" s="7" t="str">
        <x:v>BL-X</x:v>
      </x:c>
      <x:c r="F1775" s="7" t="str">
        <x:v>MF-07</x:v>
      </x:c>
      <x:c r="G1775" s="7" t="str">
        <x:v>normal receiver mass</x:v>
      </x:c>
      <x:c r="H1775" s="7" t="n">
        <x:v>5</x:v>
      </x:c>
      <x:c r="I1775" s="7" t="str"/>
      <x:c r="J1775" s="7" t="str"/>
      <x:c r="K1775" s="7" t="str"/>
      <x:c r="L1775" s="7" t="str"/>
      <x:c r="M1775" s="7" t="str"/>
      <x:c r="N1775" s="7" t="str"/>
      <x:c r="O1775" s="7" t="str">
        <x:f>IF(N1775="","OPEN",IF(OR(I1775="",J1775="",K1775="",L1775="",M1775=""),"FAIL","PASS"))</x:f>
        <x:v>OPEN</x:v>
      </x:c>
    </x:row>
    <x:row r="1776">
      <x:c r="B1776" s="7" t="str">
        <x:v>CH-PEA-C-X1-07-6</x:v>
      </x:c>
      <x:c r="C1776" s="7" t="str">
        <x:v>PEA-C-X1</x:v>
      </x:c>
      <x:c r="D1776" s="7" t="str">
        <x:v>BLD-C</x:v>
      </x:c>
      <x:c r="E1776" s="7" t="str">
        <x:v>BL-X</x:v>
      </x:c>
      <x:c r="F1776" s="7" t="str">
        <x:v>MF-07</x:v>
      </x:c>
      <x:c r="G1776" s="7" t="str">
        <x:v>normal receiver mass</x:v>
      </x:c>
      <x:c r="H1776" s="7" t="n">
        <x:v>6</x:v>
      </x:c>
      <x:c r="I1776" s="7" t="str"/>
      <x:c r="J1776" s="7" t="str"/>
      <x:c r="K1776" s="7" t="str"/>
      <x:c r="L1776" s="7" t="str"/>
      <x:c r="M1776" s="7" t="str"/>
      <x:c r="N1776" s="7" t="str"/>
      <x:c r="O1776" s="7" t="str">
        <x:f>IF(N1776="","OPEN",IF(OR(I1776="",J1776="",K1776="",L1776="",M1776=""),"FAIL","PASS"))</x:f>
        <x:v>OPEN</x:v>
      </x:c>
    </x:row>
    <x:row r="1777">
      <x:c r="B1777" s="7" t="str">
        <x:v>CH-PEA-C-X1-08-1</x:v>
      </x:c>
      <x:c r="C1777" s="7" t="str">
        <x:v>PEA-C-X1</x:v>
      </x:c>
      <x:c r="D1777" s="7" t="str">
        <x:v>BLD-C</x:v>
      </x:c>
      <x:c r="E1777" s="7" t="str">
        <x:v>BL-X</x:v>
      </x:c>
      <x:c r="F1777" s="7" t="str">
        <x:v>MF-08</x:v>
      </x:c>
      <x:c r="G1777" s="7" t="str">
        <x:v>casualty receiver mass</x:v>
      </x:c>
      <x:c r="H1777" s="7" t="n">
        <x:v>1</x:v>
      </x:c>
      <x:c r="I1777" s="7" t="str"/>
      <x:c r="J1777" s="7" t="str"/>
      <x:c r="K1777" s="7" t="str"/>
      <x:c r="L1777" s="7" t="str"/>
      <x:c r="M1777" s="7" t="str"/>
      <x:c r="N1777" s="7" t="str"/>
      <x:c r="O1777" s="7" t="str">
        <x:f>IF(N1777="","OPEN",IF(OR(I1777="",J1777="",K1777="",L1777="",M1777=""),"FAIL","PASS"))</x:f>
        <x:v>OPEN</x:v>
      </x:c>
    </x:row>
    <x:row r="1778">
      <x:c r="B1778" s="7" t="str">
        <x:v>CH-PEA-C-X1-08-2</x:v>
      </x:c>
      <x:c r="C1778" s="7" t="str">
        <x:v>PEA-C-X1</x:v>
      </x:c>
      <x:c r="D1778" s="7" t="str">
        <x:v>BLD-C</x:v>
      </x:c>
      <x:c r="E1778" s="7" t="str">
        <x:v>BL-X</x:v>
      </x:c>
      <x:c r="F1778" s="7" t="str">
        <x:v>MF-08</x:v>
      </x:c>
      <x:c r="G1778" s="7" t="str">
        <x:v>casualty receiver mass</x:v>
      </x:c>
      <x:c r="H1778" s="7" t="n">
        <x:v>2</x:v>
      </x:c>
      <x:c r="I1778" s="7" t="str"/>
      <x:c r="J1778" s="7" t="str"/>
      <x:c r="K1778" s="7" t="str"/>
      <x:c r="L1778" s="7" t="str"/>
      <x:c r="M1778" s="7" t="str"/>
      <x:c r="N1778" s="7" t="str"/>
      <x:c r="O1778" s="7" t="str">
        <x:f>IF(N1778="","OPEN",IF(OR(I1778="",J1778="",K1778="",L1778="",M1778=""),"FAIL","PASS"))</x:f>
        <x:v>OPEN</x:v>
      </x:c>
    </x:row>
    <x:row r="1779">
      <x:c r="B1779" s="7" t="str">
        <x:v>CH-PEA-C-X1-08-3</x:v>
      </x:c>
      <x:c r="C1779" s="7" t="str">
        <x:v>PEA-C-X1</x:v>
      </x:c>
      <x:c r="D1779" s="7" t="str">
        <x:v>BLD-C</x:v>
      </x:c>
      <x:c r="E1779" s="7" t="str">
        <x:v>BL-X</x:v>
      </x:c>
      <x:c r="F1779" s="7" t="str">
        <x:v>MF-08</x:v>
      </x:c>
      <x:c r="G1779" s="7" t="str">
        <x:v>casualty receiver mass</x:v>
      </x:c>
      <x:c r="H1779" s="7" t="n">
        <x:v>3</x:v>
      </x:c>
      <x:c r="I1779" s="7" t="str"/>
      <x:c r="J1779" s="7" t="str"/>
      <x:c r="K1779" s="7" t="str"/>
      <x:c r="L1779" s="7" t="str"/>
      <x:c r="M1779" s="7" t="str"/>
      <x:c r="N1779" s="7" t="str"/>
      <x:c r="O1779" s="7" t="str">
        <x:f>IF(N1779="","OPEN",IF(OR(I1779="",J1779="",K1779="",L1779="",M1779=""),"FAIL","PASS"))</x:f>
        <x:v>OPEN</x:v>
      </x:c>
    </x:row>
    <x:row r="1780">
      <x:c r="B1780" s="7" t="str">
        <x:v>CH-PEA-C-X1-08-4</x:v>
      </x:c>
      <x:c r="C1780" s="7" t="str">
        <x:v>PEA-C-X1</x:v>
      </x:c>
      <x:c r="D1780" s="7" t="str">
        <x:v>BLD-C</x:v>
      </x:c>
      <x:c r="E1780" s="7" t="str">
        <x:v>BL-X</x:v>
      </x:c>
      <x:c r="F1780" s="7" t="str">
        <x:v>MF-08</x:v>
      </x:c>
      <x:c r="G1780" s="7" t="str">
        <x:v>casualty receiver mass</x:v>
      </x:c>
      <x:c r="H1780" s="7" t="n">
        <x:v>4</x:v>
      </x:c>
      <x:c r="I1780" s="7" t="str"/>
      <x:c r="J1780" s="7" t="str"/>
      <x:c r="K1780" s="7" t="str"/>
      <x:c r="L1780" s="7" t="str"/>
      <x:c r="M1780" s="7" t="str"/>
      <x:c r="N1780" s="7" t="str"/>
      <x:c r="O1780" s="7" t="str">
        <x:f>IF(N1780="","OPEN",IF(OR(I1780="",J1780="",K1780="",L1780="",M1780=""),"FAIL","PASS"))</x:f>
        <x:v>OPEN</x:v>
      </x:c>
    </x:row>
    <x:row r="1781">
      <x:c r="B1781" s="7" t="str">
        <x:v>CH-PEA-C-X1-08-5</x:v>
      </x:c>
      <x:c r="C1781" s="7" t="str">
        <x:v>PEA-C-X1</x:v>
      </x:c>
      <x:c r="D1781" s="7" t="str">
        <x:v>BLD-C</x:v>
      </x:c>
      <x:c r="E1781" s="7" t="str">
        <x:v>BL-X</x:v>
      </x:c>
      <x:c r="F1781" s="7" t="str">
        <x:v>MF-08</x:v>
      </x:c>
      <x:c r="G1781" s="7" t="str">
        <x:v>casualty receiver mass</x:v>
      </x:c>
      <x:c r="H1781" s="7" t="n">
        <x:v>5</x:v>
      </x:c>
      <x:c r="I1781" s="7" t="str"/>
      <x:c r="J1781" s="7" t="str"/>
      <x:c r="K1781" s="7" t="str"/>
      <x:c r="L1781" s="7" t="str"/>
      <x:c r="M1781" s="7" t="str"/>
      <x:c r="N1781" s="7" t="str"/>
      <x:c r="O1781" s="7" t="str">
        <x:f>IF(N1781="","OPEN",IF(OR(I1781="",J1781="",K1781="",L1781="",M1781=""),"FAIL","PASS"))</x:f>
        <x:v>OPEN</x:v>
      </x:c>
    </x:row>
    <x:row r="1782">
      <x:c r="B1782" s="7" t="str">
        <x:v>CH-PEA-C-X1-08-6</x:v>
      </x:c>
      <x:c r="C1782" s="7" t="str">
        <x:v>PEA-C-X1</x:v>
      </x:c>
      <x:c r="D1782" s="7" t="str">
        <x:v>BLD-C</x:v>
      </x:c>
      <x:c r="E1782" s="7" t="str">
        <x:v>BL-X</x:v>
      </x:c>
      <x:c r="F1782" s="7" t="str">
        <x:v>MF-08</x:v>
      </x:c>
      <x:c r="G1782" s="7" t="str">
        <x:v>casualty receiver mass</x:v>
      </x:c>
      <x:c r="H1782" s="7" t="n">
        <x:v>6</x:v>
      </x:c>
      <x:c r="I1782" s="7" t="str"/>
      <x:c r="J1782" s="7" t="str"/>
      <x:c r="K1782" s="7" t="str"/>
      <x:c r="L1782" s="7" t="str"/>
      <x:c r="M1782" s="7" t="str"/>
      <x:c r="N1782" s="7" t="str"/>
      <x:c r="O1782" s="7" t="str">
        <x:f>IF(N1782="","OPEN",IF(OR(I1782="",J1782="",K1782="",L1782="",M1782=""),"FAIL","PASS"))</x:f>
        <x:v>OPEN</x:v>
      </x:c>
    </x:row>
    <x:row r="1783">
      <x:c r="B1783" s="7" t="str">
        <x:v>CH-PEA-C-X1-09-1</x:v>
      </x:c>
      <x:c r="C1783" s="7" t="str">
        <x:v>PEA-C-X1</x:v>
      </x:c>
      <x:c r="D1783" s="7" t="str">
        <x:v>BLD-C</x:v>
      </x:c>
      <x:c r="E1783" s="7" t="str">
        <x:v>BL-X</x:v>
      </x:c>
      <x:c r="F1783" s="7" t="str">
        <x:v>MF-09</x:v>
      </x:c>
      <x:c r="G1783" s="7" t="str">
        <x:v>geometry and slope</x:v>
      </x:c>
      <x:c r="H1783" s="7" t="n">
        <x:v>1</x:v>
      </x:c>
      <x:c r="I1783" s="7" t="str"/>
      <x:c r="J1783" s="7" t="str"/>
      <x:c r="K1783" s="7" t="str"/>
      <x:c r="L1783" s="7" t="str"/>
      <x:c r="M1783" s="7" t="str"/>
      <x:c r="N1783" s="7" t="str"/>
      <x:c r="O1783" s="7" t="str">
        <x:f>IF(N1783="","OPEN",IF(OR(I1783="",J1783="",K1783="",L1783="",M1783=""),"FAIL","PASS"))</x:f>
        <x:v>OPEN</x:v>
      </x:c>
    </x:row>
    <x:row r="1784">
      <x:c r="B1784" s="7" t="str">
        <x:v>CH-PEA-C-X1-09-2</x:v>
      </x:c>
      <x:c r="C1784" s="7" t="str">
        <x:v>PEA-C-X1</x:v>
      </x:c>
      <x:c r="D1784" s="7" t="str">
        <x:v>BLD-C</x:v>
      </x:c>
      <x:c r="E1784" s="7" t="str">
        <x:v>BL-X</x:v>
      </x:c>
      <x:c r="F1784" s="7" t="str">
        <x:v>MF-09</x:v>
      </x:c>
      <x:c r="G1784" s="7" t="str">
        <x:v>geometry and slope</x:v>
      </x:c>
      <x:c r="H1784" s="7" t="n">
        <x:v>2</x:v>
      </x:c>
      <x:c r="I1784" s="7" t="str"/>
      <x:c r="J1784" s="7" t="str"/>
      <x:c r="K1784" s="7" t="str"/>
      <x:c r="L1784" s="7" t="str"/>
      <x:c r="M1784" s="7" t="str"/>
      <x:c r="N1784" s="7" t="str"/>
      <x:c r="O1784" s="7" t="str">
        <x:f>IF(N1784="","OPEN",IF(OR(I1784="",J1784="",K1784="",L1784="",M1784=""),"FAIL","PASS"))</x:f>
        <x:v>OPEN</x:v>
      </x:c>
    </x:row>
    <x:row r="1785">
      <x:c r="B1785" s="7" t="str">
        <x:v>CH-PEA-C-X1-09-3</x:v>
      </x:c>
      <x:c r="C1785" s="7" t="str">
        <x:v>PEA-C-X1</x:v>
      </x:c>
      <x:c r="D1785" s="7" t="str">
        <x:v>BLD-C</x:v>
      </x:c>
      <x:c r="E1785" s="7" t="str">
        <x:v>BL-X</x:v>
      </x:c>
      <x:c r="F1785" s="7" t="str">
        <x:v>MF-09</x:v>
      </x:c>
      <x:c r="G1785" s="7" t="str">
        <x:v>geometry and slope</x:v>
      </x:c>
      <x:c r="H1785" s="7" t="n">
        <x:v>3</x:v>
      </x:c>
      <x:c r="I1785" s="7" t="str"/>
      <x:c r="J1785" s="7" t="str"/>
      <x:c r="K1785" s="7" t="str"/>
      <x:c r="L1785" s="7" t="str"/>
      <x:c r="M1785" s="7" t="str"/>
      <x:c r="N1785" s="7" t="str"/>
      <x:c r="O1785" s="7" t="str">
        <x:f>IF(N1785="","OPEN",IF(OR(I1785="",J1785="",K1785="",L1785="",M1785=""),"FAIL","PASS"))</x:f>
        <x:v>OPEN</x:v>
      </x:c>
    </x:row>
    <x:row r="1786">
      <x:c r="B1786" s="7" t="str">
        <x:v>CH-PEA-C-X1-09-4</x:v>
      </x:c>
      <x:c r="C1786" s="7" t="str">
        <x:v>PEA-C-X1</x:v>
      </x:c>
      <x:c r="D1786" s="7" t="str">
        <x:v>BLD-C</x:v>
      </x:c>
      <x:c r="E1786" s="7" t="str">
        <x:v>BL-X</x:v>
      </x:c>
      <x:c r="F1786" s="7" t="str">
        <x:v>MF-09</x:v>
      </x:c>
      <x:c r="G1786" s="7" t="str">
        <x:v>geometry and slope</x:v>
      </x:c>
      <x:c r="H1786" s="7" t="n">
        <x:v>4</x:v>
      </x:c>
      <x:c r="I1786" s="7" t="str"/>
      <x:c r="J1786" s="7" t="str"/>
      <x:c r="K1786" s="7" t="str"/>
      <x:c r="L1786" s="7" t="str"/>
      <x:c r="M1786" s="7" t="str"/>
      <x:c r="N1786" s="7" t="str"/>
      <x:c r="O1786" s="7" t="str">
        <x:f>IF(N1786="","OPEN",IF(OR(I1786="",J1786="",K1786="",L1786="",M1786=""),"FAIL","PASS"))</x:f>
        <x:v>OPEN</x:v>
      </x:c>
    </x:row>
    <x:row r="1787">
      <x:c r="B1787" s="7" t="str">
        <x:v>CH-PEA-C-X1-09-5</x:v>
      </x:c>
      <x:c r="C1787" s="7" t="str">
        <x:v>PEA-C-X1</x:v>
      </x:c>
      <x:c r="D1787" s="7" t="str">
        <x:v>BLD-C</x:v>
      </x:c>
      <x:c r="E1787" s="7" t="str">
        <x:v>BL-X</x:v>
      </x:c>
      <x:c r="F1787" s="7" t="str">
        <x:v>MF-09</x:v>
      </x:c>
      <x:c r="G1787" s="7" t="str">
        <x:v>geometry and slope</x:v>
      </x:c>
      <x:c r="H1787" s="7" t="n">
        <x:v>5</x:v>
      </x:c>
      <x:c r="I1787" s="7" t="str"/>
      <x:c r="J1787" s="7" t="str"/>
      <x:c r="K1787" s="7" t="str"/>
      <x:c r="L1787" s="7" t="str"/>
      <x:c r="M1787" s="7" t="str"/>
      <x:c r="N1787" s="7" t="str"/>
      <x:c r="O1787" s="7" t="str">
        <x:f>IF(N1787="","OPEN",IF(OR(I1787="",J1787="",K1787="",L1787="",M1787=""),"FAIL","PASS"))</x:f>
        <x:v>OPEN</x:v>
      </x:c>
    </x:row>
    <x:row r="1788">
      <x:c r="B1788" s="7" t="str">
        <x:v>CH-PEA-C-X1-09-6</x:v>
      </x:c>
      <x:c r="C1788" s="7" t="str">
        <x:v>PEA-C-X1</x:v>
      </x:c>
      <x:c r="D1788" s="7" t="str">
        <x:v>BLD-C</x:v>
      </x:c>
      <x:c r="E1788" s="7" t="str">
        <x:v>BL-X</x:v>
      </x:c>
      <x:c r="F1788" s="7" t="str">
        <x:v>MF-09</x:v>
      </x:c>
      <x:c r="G1788" s="7" t="str">
        <x:v>geometry and slope</x:v>
      </x:c>
      <x:c r="H1788" s="7" t="n">
        <x:v>6</x:v>
      </x:c>
      <x:c r="I1788" s="7" t="str"/>
      <x:c r="J1788" s="7" t="str"/>
      <x:c r="K1788" s="7" t="str"/>
      <x:c r="L1788" s="7" t="str"/>
      <x:c r="M1788" s="7" t="str"/>
      <x:c r="N1788" s="7" t="str"/>
      <x:c r="O1788" s="7" t="str">
        <x:f>IF(N1788="","OPEN",IF(OR(I1788="",J1788="",K1788="",L1788="",M1788=""),"FAIL","PASS"))</x:f>
        <x:v>OPEN</x:v>
      </x:c>
    </x:row>
    <x:row r="1789">
      <x:c r="B1789" s="7" t="str">
        <x:v>CH-PEA-C-X1-10-1</x:v>
      </x:c>
      <x:c r="C1789" s="7" t="str">
        <x:v>PEA-C-X1</x:v>
      </x:c>
      <x:c r="D1789" s="7" t="str">
        <x:v>BLD-C</x:v>
      </x:c>
      <x:c r="E1789" s="7" t="str">
        <x:v>BL-X</x:v>
      </x:c>
      <x:c r="F1789" s="7" t="str">
        <x:v>MF-10</x:v>
      </x:c>
      <x:c r="G1789" s="7" t="str">
        <x:v>normal-source path state</x:v>
      </x:c>
      <x:c r="H1789" s="7" t="n">
        <x:v>1</x:v>
      </x:c>
      <x:c r="I1789" s="7" t="str"/>
      <x:c r="J1789" s="7" t="str"/>
      <x:c r="K1789" s="7" t="str"/>
      <x:c r="L1789" s="7" t="str"/>
      <x:c r="M1789" s="7" t="str"/>
      <x:c r="N1789" s="7" t="str"/>
      <x:c r="O1789" s="7" t="str">
        <x:f>IF(N1789="","OPEN",IF(OR(I1789="",J1789="",K1789="",L1789="",M1789=""),"FAIL","PASS"))</x:f>
        <x:v>OPEN</x:v>
      </x:c>
    </x:row>
    <x:row r="1790">
      <x:c r="B1790" s="7" t="str">
        <x:v>CH-PEA-C-X1-10-2</x:v>
      </x:c>
      <x:c r="C1790" s="7" t="str">
        <x:v>PEA-C-X1</x:v>
      </x:c>
      <x:c r="D1790" s="7" t="str">
        <x:v>BLD-C</x:v>
      </x:c>
      <x:c r="E1790" s="7" t="str">
        <x:v>BL-X</x:v>
      </x:c>
      <x:c r="F1790" s="7" t="str">
        <x:v>MF-10</x:v>
      </x:c>
      <x:c r="G1790" s="7" t="str">
        <x:v>normal-source path state</x:v>
      </x:c>
      <x:c r="H1790" s="7" t="n">
        <x:v>2</x:v>
      </x:c>
      <x:c r="I1790" s="7" t="str"/>
      <x:c r="J1790" s="7" t="str"/>
      <x:c r="K1790" s="7" t="str"/>
      <x:c r="L1790" s="7" t="str"/>
      <x:c r="M1790" s="7" t="str"/>
      <x:c r="N1790" s="7" t="str"/>
      <x:c r="O1790" s="7" t="str">
        <x:f>IF(N1790="","OPEN",IF(OR(I1790="",J1790="",K1790="",L1790="",M1790=""),"FAIL","PASS"))</x:f>
        <x:v>OPEN</x:v>
      </x:c>
    </x:row>
    <x:row r="1791">
      <x:c r="B1791" s="7" t="str">
        <x:v>CH-PEA-C-X1-10-3</x:v>
      </x:c>
      <x:c r="C1791" s="7" t="str">
        <x:v>PEA-C-X1</x:v>
      </x:c>
      <x:c r="D1791" s="7" t="str">
        <x:v>BLD-C</x:v>
      </x:c>
      <x:c r="E1791" s="7" t="str">
        <x:v>BL-X</x:v>
      </x:c>
      <x:c r="F1791" s="7" t="str">
        <x:v>MF-10</x:v>
      </x:c>
      <x:c r="G1791" s="7" t="str">
        <x:v>normal-source path state</x:v>
      </x:c>
      <x:c r="H1791" s="7" t="n">
        <x:v>3</x:v>
      </x:c>
      <x:c r="I1791" s="7" t="str"/>
      <x:c r="J1791" s="7" t="str"/>
      <x:c r="K1791" s="7" t="str"/>
      <x:c r="L1791" s="7" t="str"/>
      <x:c r="M1791" s="7" t="str"/>
      <x:c r="N1791" s="7" t="str"/>
      <x:c r="O1791" s="7" t="str">
        <x:f>IF(N1791="","OPEN",IF(OR(I1791="",J1791="",K1791="",L1791="",M1791=""),"FAIL","PASS"))</x:f>
        <x:v>OPEN</x:v>
      </x:c>
    </x:row>
    <x:row r="1792">
      <x:c r="B1792" s="7" t="str">
        <x:v>CH-PEA-C-X1-10-4</x:v>
      </x:c>
      <x:c r="C1792" s="7" t="str">
        <x:v>PEA-C-X1</x:v>
      </x:c>
      <x:c r="D1792" s="7" t="str">
        <x:v>BLD-C</x:v>
      </x:c>
      <x:c r="E1792" s="7" t="str">
        <x:v>BL-X</x:v>
      </x:c>
      <x:c r="F1792" s="7" t="str">
        <x:v>MF-10</x:v>
      </x:c>
      <x:c r="G1792" s="7" t="str">
        <x:v>normal-source path state</x:v>
      </x:c>
      <x:c r="H1792" s="7" t="n">
        <x:v>4</x:v>
      </x:c>
      <x:c r="I1792" s="7" t="str"/>
      <x:c r="J1792" s="7" t="str"/>
      <x:c r="K1792" s="7" t="str"/>
      <x:c r="L1792" s="7" t="str"/>
      <x:c r="M1792" s="7" t="str"/>
      <x:c r="N1792" s="7" t="str"/>
      <x:c r="O1792" s="7" t="str">
        <x:f>IF(N1792="","OPEN",IF(OR(I1792="",J1792="",K1792="",L1792="",M1792=""),"FAIL","PASS"))</x:f>
        <x:v>OPEN</x:v>
      </x:c>
    </x:row>
    <x:row r="1793">
      <x:c r="B1793" s="7" t="str">
        <x:v>CH-PEA-C-X1-10-5</x:v>
      </x:c>
      <x:c r="C1793" s="7" t="str">
        <x:v>PEA-C-X1</x:v>
      </x:c>
      <x:c r="D1793" s="7" t="str">
        <x:v>BLD-C</x:v>
      </x:c>
      <x:c r="E1793" s="7" t="str">
        <x:v>BL-X</x:v>
      </x:c>
      <x:c r="F1793" s="7" t="str">
        <x:v>MF-10</x:v>
      </x:c>
      <x:c r="G1793" s="7" t="str">
        <x:v>normal-source path state</x:v>
      </x:c>
      <x:c r="H1793" s="7" t="n">
        <x:v>5</x:v>
      </x:c>
      <x:c r="I1793" s="7" t="str"/>
      <x:c r="J1793" s="7" t="str"/>
      <x:c r="K1793" s="7" t="str"/>
      <x:c r="L1793" s="7" t="str"/>
      <x:c r="M1793" s="7" t="str"/>
      <x:c r="N1793" s="7" t="str"/>
      <x:c r="O1793" s="7" t="str">
        <x:f>IF(N1793="","OPEN",IF(OR(I1793="",J1793="",K1793="",L1793="",M1793=""),"FAIL","PASS"))</x:f>
        <x:v>OPEN</x:v>
      </x:c>
    </x:row>
    <x:row r="1794">
      <x:c r="B1794" s="7" t="str">
        <x:v>CH-PEA-C-X1-10-6</x:v>
      </x:c>
      <x:c r="C1794" s="7" t="str">
        <x:v>PEA-C-X1</x:v>
      </x:c>
      <x:c r="D1794" s="7" t="str">
        <x:v>BLD-C</x:v>
      </x:c>
      <x:c r="E1794" s="7" t="str">
        <x:v>BL-X</x:v>
      </x:c>
      <x:c r="F1794" s="7" t="str">
        <x:v>MF-10</x:v>
      </x:c>
      <x:c r="G1794" s="7" t="str">
        <x:v>normal-source path state</x:v>
      </x:c>
      <x:c r="H1794" s="7" t="n">
        <x:v>6</x:v>
      </x:c>
      <x:c r="I1794" s="7" t="str"/>
      <x:c r="J1794" s="7" t="str"/>
      <x:c r="K1794" s="7" t="str"/>
      <x:c r="L1794" s="7" t="str"/>
      <x:c r="M1794" s="7" t="str"/>
      <x:c r="N1794" s="7" t="str"/>
      <x:c r="O1794" s="7" t="str">
        <x:f>IF(N1794="","OPEN",IF(OR(I1794="",J1794="",K1794="",L1794="",M1794=""),"FAIL","PASS"))</x:f>
        <x:v>OPEN</x:v>
      </x:c>
    </x:row>
    <x:row r="1795">
      <x:c r="B1795" s="7" t="str">
        <x:v>CH-PEA-C-X1-11-1</x:v>
      </x:c>
      <x:c r="C1795" s="7" t="str">
        <x:v>PEA-C-X1</x:v>
      </x:c>
      <x:c r="D1795" s="7" t="str">
        <x:v>BLD-C</x:v>
      </x:c>
      <x:c r="E1795" s="7" t="str">
        <x:v>BL-X</x:v>
      </x:c>
      <x:c r="F1795" s="7" t="str">
        <x:v>MF-11</x:v>
      </x:c>
      <x:c r="G1795" s="7" t="str">
        <x:v>casualty-source path state</x:v>
      </x:c>
      <x:c r="H1795" s="7" t="n">
        <x:v>1</x:v>
      </x:c>
      <x:c r="I1795" s="7" t="str"/>
      <x:c r="J1795" s="7" t="str"/>
      <x:c r="K1795" s="7" t="str"/>
      <x:c r="L1795" s="7" t="str"/>
      <x:c r="M1795" s="7" t="str"/>
      <x:c r="N1795" s="7" t="str"/>
      <x:c r="O1795" s="7" t="str">
        <x:f>IF(N1795="","OPEN",IF(OR(I1795="",J1795="",K1795="",L1795="",M1795=""),"FAIL","PASS"))</x:f>
        <x:v>OPEN</x:v>
      </x:c>
    </x:row>
    <x:row r="1796">
      <x:c r="B1796" s="7" t="str">
        <x:v>CH-PEA-C-X1-11-2</x:v>
      </x:c>
      <x:c r="C1796" s="7" t="str">
        <x:v>PEA-C-X1</x:v>
      </x:c>
      <x:c r="D1796" s="7" t="str">
        <x:v>BLD-C</x:v>
      </x:c>
      <x:c r="E1796" s="7" t="str">
        <x:v>BL-X</x:v>
      </x:c>
      <x:c r="F1796" s="7" t="str">
        <x:v>MF-11</x:v>
      </x:c>
      <x:c r="G1796" s="7" t="str">
        <x:v>casualty-source path state</x:v>
      </x:c>
      <x:c r="H1796" s="7" t="n">
        <x:v>2</x:v>
      </x:c>
      <x:c r="I1796" s="7" t="str"/>
      <x:c r="J1796" s="7" t="str"/>
      <x:c r="K1796" s="7" t="str"/>
      <x:c r="L1796" s="7" t="str"/>
      <x:c r="M1796" s="7" t="str"/>
      <x:c r="N1796" s="7" t="str"/>
      <x:c r="O1796" s="7" t="str">
        <x:f>IF(N1796="","OPEN",IF(OR(I1796="",J1796="",K1796="",L1796="",M1796=""),"FAIL","PASS"))</x:f>
        <x:v>OPEN</x:v>
      </x:c>
    </x:row>
    <x:row r="1797">
      <x:c r="B1797" s="7" t="str">
        <x:v>CH-PEA-C-X1-11-3</x:v>
      </x:c>
      <x:c r="C1797" s="7" t="str">
        <x:v>PEA-C-X1</x:v>
      </x:c>
      <x:c r="D1797" s="7" t="str">
        <x:v>BLD-C</x:v>
      </x:c>
      <x:c r="E1797" s="7" t="str">
        <x:v>BL-X</x:v>
      </x:c>
      <x:c r="F1797" s="7" t="str">
        <x:v>MF-11</x:v>
      </x:c>
      <x:c r="G1797" s="7" t="str">
        <x:v>casualty-source path state</x:v>
      </x:c>
      <x:c r="H1797" s="7" t="n">
        <x:v>3</x:v>
      </x:c>
      <x:c r="I1797" s="7" t="str"/>
      <x:c r="J1797" s="7" t="str"/>
      <x:c r="K1797" s="7" t="str"/>
      <x:c r="L1797" s="7" t="str"/>
      <x:c r="M1797" s="7" t="str"/>
      <x:c r="N1797" s="7" t="str"/>
      <x:c r="O1797" s="7" t="str">
        <x:f>IF(N1797="","OPEN",IF(OR(I1797="",J1797="",K1797="",L1797="",M1797=""),"FAIL","PASS"))</x:f>
        <x:v>OPEN</x:v>
      </x:c>
    </x:row>
    <x:row r="1798">
      <x:c r="B1798" s="7" t="str">
        <x:v>CH-PEA-C-X1-11-4</x:v>
      </x:c>
      <x:c r="C1798" s="7" t="str">
        <x:v>PEA-C-X1</x:v>
      </x:c>
      <x:c r="D1798" s="7" t="str">
        <x:v>BLD-C</x:v>
      </x:c>
      <x:c r="E1798" s="7" t="str">
        <x:v>BL-X</x:v>
      </x:c>
      <x:c r="F1798" s="7" t="str">
        <x:v>MF-11</x:v>
      </x:c>
      <x:c r="G1798" s="7" t="str">
        <x:v>casualty-source path state</x:v>
      </x:c>
      <x:c r="H1798" s="7" t="n">
        <x:v>4</x:v>
      </x:c>
      <x:c r="I1798" s="7" t="str"/>
      <x:c r="J1798" s="7" t="str"/>
      <x:c r="K1798" s="7" t="str"/>
      <x:c r="L1798" s="7" t="str"/>
      <x:c r="M1798" s="7" t="str"/>
      <x:c r="N1798" s="7" t="str"/>
      <x:c r="O1798" s="7" t="str">
        <x:f>IF(N1798="","OPEN",IF(OR(I1798="",J1798="",K1798="",L1798="",M1798=""),"FAIL","PASS"))</x:f>
        <x:v>OPEN</x:v>
      </x:c>
    </x:row>
    <x:row r="1799">
      <x:c r="B1799" s="7" t="str">
        <x:v>CH-PEA-C-X1-11-5</x:v>
      </x:c>
      <x:c r="C1799" s="7" t="str">
        <x:v>PEA-C-X1</x:v>
      </x:c>
      <x:c r="D1799" s="7" t="str">
        <x:v>BLD-C</x:v>
      </x:c>
      <x:c r="E1799" s="7" t="str">
        <x:v>BL-X</x:v>
      </x:c>
      <x:c r="F1799" s="7" t="str">
        <x:v>MF-11</x:v>
      </x:c>
      <x:c r="G1799" s="7" t="str">
        <x:v>casualty-source path state</x:v>
      </x:c>
      <x:c r="H1799" s="7" t="n">
        <x:v>5</x:v>
      </x:c>
      <x:c r="I1799" s="7" t="str"/>
      <x:c r="J1799" s="7" t="str"/>
      <x:c r="K1799" s="7" t="str"/>
      <x:c r="L1799" s="7" t="str"/>
      <x:c r="M1799" s="7" t="str"/>
      <x:c r="N1799" s="7" t="str"/>
      <x:c r="O1799" s="7" t="str">
        <x:f>IF(N1799="","OPEN",IF(OR(I1799="",J1799="",K1799="",L1799="",M1799=""),"FAIL","PASS"))</x:f>
        <x:v>OPEN</x:v>
      </x:c>
    </x:row>
    <x:row r="1800">
      <x:c r="B1800" s="7" t="str">
        <x:v>CH-PEA-C-X1-11-6</x:v>
      </x:c>
      <x:c r="C1800" s="7" t="str">
        <x:v>PEA-C-X1</x:v>
      </x:c>
      <x:c r="D1800" s="7" t="str">
        <x:v>BLD-C</x:v>
      </x:c>
      <x:c r="E1800" s="7" t="str">
        <x:v>BL-X</x:v>
      </x:c>
      <x:c r="F1800" s="7" t="str">
        <x:v>MF-11</x:v>
      </x:c>
      <x:c r="G1800" s="7" t="str">
        <x:v>casualty-source path state</x:v>
      </x:c>
      <x:c r="H1800" s="7" t="n">
        <x:v>6</x:v>
      </x:c>
      <x:c r="I1800" s="7" t="str"/>
      <x:c r="J1800" s="7" t="str"/>
      <x:c r="K1800" s="7" t="str"/>
      <x:c r="L1800" s="7" t="str"/>
      <x:c r="M1800" s="7" t="str"/>
      <x:c r="N1800" s="7" t="str"/>
      <x:c r="O1800" s="7" t="str">
        <x:f>IF(N1800="","OPEN",IF(OR(I1800="",J1800="",K1800="",L1800="",M1800=""),"FAIL","PASS"))</x:f>
        <x:v>OPEN</x:v>
      </x:c>
    </x:row>
    <x:row r="1801">
      <x:c r="B1801" s="7" t="str">
        <x:v>CH-PEA-C-X1-12-1</x:v>
      </x:c>
      <x:c r="C1801" s="7" t="str">
        <x:v>PEA-C-X1</x:v>
      </x:c>
      <x:c r="D1801" s="7" t="str">
        <x:v>BLD-C</x:v>
      </x:c>
      <x:c r="E1801" s="7" t="str">
        <x:v>BL-X</x:v>
      </x:c>
      <x:c r="F1801" s="7" t="str">
        <x:v>MF-12</x:v>
      </x:c>
      <x:c r="G1801" s="7" t="str">
        <x:v>candidate-water path state</x:v>
      </x:c>
      <x:c r="H1801" s="7" t="n">
        <x:v>1</x:v>
      </x:c>
      <x:c r="I1801" s="7" t="str"/>
      <x:c r="J1801" s="7" t="str"/>
      <x:c r="K1801" s="7" t="str"/>
      <x:c r="L1801" s="7" t="str"/>
      <x:c r="M1801" s="7" t="str"/>
      <x:c r="N1801" s="7" t="str"/>
      <x:c r="O1801" s="7" t="str">
        <x:f>IF(N1801="","OPEN",IF(OR(I1801="",J1801="",K1801="",L1801="",M1801=""),"FAIL","PASS"))</x:f>
        <x:v>OPEN</x:v>
      </x:c>
    </x:row>
    <x:row r="1802">
      <x:c r="B1802" s="7" t="str">
        <x:v>CH-PEA-C-X1-12-2</x:v>
      </x:c>
      <x:c r="C1802" s="7" t="str">
        <x:v>PEA-C-X1</x:v>
      </x:c>
      <x:c r="D1802" s="7" t="str">
        <x:v>BLD-C</x:v>
      </x:c>
      <x:c r="E1802" s="7" t="str">
        <x:v>BL-X</x:v>
      </x:c>
      <x:c r="F1802" s="7" t="str">
        <x:v>MF-12</x:v>
      </x:c>
      <x:c r="G1802" s="7" t="str">
        <x:v>candidate-water path state</x:v>
      </x:c>
      <x:c r="H1802" s="7" t="n">
        <x:v>2</x:v>
      </x:c>
      <x:c r="I1802" s="7" t="str"/>
      <x:c r="J1802" s="7" t="str"/>
      <x:c r="K1802" s="7" t="str"/>
      <x:c r="L1802" s="7" t="str"/>
      <x:c r="M1802" s="7" t="str"/>
      <x:c r="N1802" s="7" t="str"/>
      <x:c r="O1802" s="7" t="str">
        <x:f>IF(N1802="","OPEN",IF(OR(I1802="",J1802="",K1802="",L1802="",M1802=""),"FAIL","PASS"))</x:f>
        <x:v>OPEN</x:v>
      </x:c>
    </x:row>
    <x:row r="1803">
      <x:c r="B1803" s="7" t="str">
        <x:v>CH-PEA-C-X1-12-3</x:v>
      </x:c>
      <x:c r="C1803" s="7" t="str">
        <x:v>PEA-C-X1</x:v>
      </x:c>
      <x:c r="D1803" s="7" t="str">
        <x:v>BLD-C</x:v>
      </x:c>
      <x:c r="E1803" s="7" t="str">
        <x:v>BL-X</x:v>
      </x:c>
      <x:c r="F1803" s="7" t="str">
        <x:v>MF-12</x:v>
      </x:c>
      <x:c r="G1803" s="7" t="str">
        <x:v>candidate-water path state</x:v>
      </x:c>
      <x:c r="H1803" s="7" t="n">
        <x:v>3</x:v>
      </x:c>
      <x:c r="I1803" s="7" t="str"/>
      <x:c r="J1803" s="7" t="str"/>
      <x:c r="K1803" s="7" t="str"/>
      <x:c r="L1803" s="7" t="str"/>
      <x:c r="M1803" s="7" t="str"/>
      <x:c r="N1803" s="7" t="str"/>
      <x:c r="O1803" s="7" t="str">
        <x:f>IF(N1803="","OPEN",IF(OR(I1803="",J1803="",K1803="",L1803="",M1803=""),"FAIL","PASS"))</x:f>
        <x:v>OPEN</x:v>
      </x:c>
    </x:row>
    <x:row r="1804">
      <x:c r="B1804" s="7" t="str">
        <x:v>CH-PEA-C-X1-12-4</x:v>
      </x:c>
      <x:c r="C1804" s="7" t="str">
        <x:v>PEA-C-X1</x:v>
      </x:c>
      <x:c r="D1804" s="7" t="str">
        <x:v>BLD-C</x:v>
      </x:c>
      <x:c r="E1804" s="7" t="str">
        <x:v>BL-X</x:v>
      </x:c>
      <x:c r="F1804" s="7" t="str">
        <x:v>MF-12</x:v>
      </x:c>
      <x:c r="G1804" s="7" t="str">
        <x:v>candidate-water path state</x:v>
      </x:c>
      <x:c r="H1804" s="7" t="n">
        <x:v>4</x:v>
      </x:c>
      <x:c r="I1804" s="7" t="str"/>
      <x:c r="J1804" s="7" t="str"/>
      <x:c r="K1804" s="7" t="str"/>
      <x:c r="L1804" s="7" t="str"/>
      <x:c r="M1804" s="7" t="str"/>
      <x:c r="N1804" s="7" t="str"/>
      <x:c r="O1804" s="7" t="str">
        <x:f>IF(N1804="","OPEN",IF(OR(I1804="",J1804="",K1804="",L1804="",M1804=""),"FAIL","PASS"))</x:f>
        <x:v>OPEN</x:v>
      </x:c>
    </x:row>
    <x:row r="1805">
      <x:c r="B1805" s="7" t="str">
        <x:v>CH-PEA-C-X1-12-5</x:v>
      </x:c>
      <x:c r="C1805" s="7" t="str">
        <x:v>PEA-C-X1</x:v>
      </x:c>
      <x:c r="D1805" s="7" t="str">
        <x:v>BLD-C</x:v>
      </x:c>
      <x:c r="E1805" s="7" t="str">
        <x:v>BL-X</x:v>
      </x:c>
      <x:c r="F1805" s="7" t="str">
        <x:v>MF-12</x:v>
      </x:c>
      <x:c r="G1805" s="7" t="str">
        <x:v>candidate-water path state</x:v>
      </x:c>
      <x:c r="H1805" s="7" t="n">
        <x:v>5</x:v>
      </x:c>
      <x:c r="I1805" s="7" t="str"/>
      <x:c r="J1805" s="7" t="str"/>
      <x:c r="K1805" s="7" t="str"/>
      <x:c r="L1805" s="7" t="str"/>
      <x:c r="M1805" s="7" t="str"/>
      <x:c r="N1805" s="7" t="str"/>
      <x:c r="O1805" s="7" t="str">
        <x:f>IF(N1805="","OPEN",IF(OR(I1805="",J1805="",K1805="",L1805="",M1805=""),"FAIL","PASS"))</x:f>
        <x:v>OPEN</x:v>
      </x:c>
    </x:row>
    <x:row r="1806">
      <x:c r="B1806" s="7" t="str">
        <x:v>CH-PEA-C-X1-12-6</x:v>
      </x:c>
      <x:c r="C1806" s="7" t="str">
        <x:v>PEA-C-X1</x:v>
      </x:c>
      <x:c r="D1806" s="7" t="str">
        <x:v>BLD-C</x:v>
      </x:c>
      <x:c r="E1806" s="7" t="str">
        <x:v>BL-X</x:v>
      </x:c>
      <x:c r="F1806" s="7" t="str">
        <x:v>MF-12</x:v>
      </x:c>
      <x:c r="G1806" s="7" t="str">
        <x:v>candidate-water path state</x:v>
      </x:c>
      <x:c r="H1806" s="7" t="n">
        <x:v>6</x:v>
      </x:c>
      <x:c r="I1806" s="7" t="str"/>
      <x:c r="J1806" s="7" t="str"/>
      <x:c r="K1806" s="7" t="str"/>
      <x:c r="L1806" s="7" t="str"/>
      <x:c r="M1806" s="7" t="str"/>
      <x:c r="N1806" s="7" t="str"/>
      <x:c r="O1806" s="7" t="str">
        <x:f>IF(N1806="","OPEN",IF(OR(I1806="",J1806="",K1806="",L1806="",M1806=""),"FAIL","PASS"))</x:f>
        <x:v>OPEN</x:v>
      </x:c>
    </x:row>
    <x:row r="1807">
      <x:c r="B1807" s="7" t="str">
        <x:v>CH-PEA-C-X1-13-1</x:v>
      </x:c>
      <x:c r="C1807" s="7" t="str">
        <x:v>PEA-C-X1</x:v>
      </x:c>
      <x:c r="D1807" s="7" t="str">
        <x:v>BLD-C</x:v>
      </x:c>
      <x:c r="E1807" s="7" t="str">
        <x:v>BL-X</x:v>
      </x:c>
      <x:c r="F1807" s="7" t="str">
        <x:v>MF-13</x:v>
      </x:c>
      <x:c r="G1807" s="7" t="str">
        <x:v>final-element reference</x:v>
      </x:c>
      <x:c r="H1807" s="7" t="n">
        <x:v>1</x:v>
      </x:c>
      <x:c r="I1807" s="7" t="str"/>
      <x:c r="J1807" s="7" t="str"/>
      <x:c r="K1807" s="7" t="str"/>
      <x:c r="L1807" s="7" t="str"/>
      <x:c r="M1807" s="7" t="str"/>
      <x:c r="N1807" s="7" t="str"/>
      <x:c r="O1807" s="7" t="str">
        <x:f>IF(N1807="","OPEN",IF(OR(I1807="",J1807="",K1807="",L1807="",M1807=""),"FAIL","PASS"))</x:f>
        <x:v>OPEN</x:v>
      </x:c>
    </x:row>
    <x:row r="1808">
      <x:c r="B1808" s="7" t="str">
        <x:v>CH-PEA-C-X1-13-2</x:v>
      </x:c>
      <x:c r="C1808" s="7" t="str">
        <x:v>PEA-C-X1</x:v>
      </x:c>
      <x:c r="D1808" s="7" t="str">
        <x:v>BLD-C</x:v>
      </x:c>
      <x:c r="E1808" s="7" t="str">
        <x:v>BL-X</x:v>
      </x:c>
      <x:c r="F1808" s="7" t="str">
        <x:v>MF-13</x:v>
      </x:c>
      <x:c r="G1808" s="7" t="str">
        <x:v>final-element reference</x:v>
      </x:c>
      <x:c r="H1808" s="7" t="n">
        <x:v>2</x:v>
      </x:c>
      <x:c r="I1808" s="7" t="str"/>
      <x:c r="J1808" s="7" t="str"/>
      <x:c r="K1808" s="7" t="str"/>
      <x:c r="L1808" s="7" t="str"/>
      <x:c r="M1808" s="7" t="str"/>
      <x:c r="N1808" s="7" t="str"/>
      <x:c r="O1808" s="7" t="str">
        <x:f>IF(N1808="","OPEN",IF(OR(I1808="",J1808="",K1808="",L1808="",M1808=""),"FAIL","PASS"))</x:f>
        <x:v>OPEN</x:v>
      </x:c>
    </x:row>
    <x:row r="1809">
      <x:c r="B1809" s="7" t="str">
        <x:v>CH-PEA-C-X1-13-3</x:v>
      </x:c>
      <x:c r="C1809" s="7" t="str">
        <x:v>PEA-C-X1</x:v>
      </x:c>
      <x:c r="D1809" s="7" t="str">
        <x:v>BLD-C</x:v>
      </x:c>
      <x:c r="E1809" s="7" t="str">
        <x:v>BL-X</x:v>
      </x:c>
      <x:c r="F1809" s="7" t="str">
        <x:v>MF-13</x:v>
      </x:c>
      <x:c r="G1809" s="7" t="str">
        <x:v>final-element reference</x:v>
      </x:c>
      <x:c r="H1809" s="7" t="n">
        <x:v>3</x:v>
      </x:c>
      <x:c r="I1809" s="7" t="str"/>
      <x:c r="J1809" s="7" t="str"/>
      <x:c r="K1809" s="7" t="str"/>
      <x:c r="L1809" s="7" t="str"/>
      <x:c r="M1809" s="7" t="str"/>
      <x:c r="N1809" s="7" t="str"/>
      <x:c r="O1809" s="7" t="str">
        <x:f>IF(N1809="","OPEN",IF(OR(I1809="",J1809="",K1809="",L1809="",M1809=""),"FAIL","PASS"))</x:f>
        <x:v>OPEN</x:v>
      </x:c>
    </x:row>
    <x:row r="1810">
      <x:c r="B1810" s="7" t="str">
        <x:v>CH-PEA-C-X1-13-4</x:v>
      </x:c>
      <x:c r="C1810" s="7" t="str">
        <x:v>PEA-C-X1</x:v>
      </x:c>
      <x:c r="D1810" s="7" t="str">
        <x:v>BLD-C</x:v>
      </x:c>
      <x:c r="E1810" s="7" t="str">
        <x:v>BL-X</x:v>
      </x:c>
      <x:c r="F1810" s="7" t="str">
        <x:v>MF-13</x:v>
      </x:c>
      <x:c r="G1810" s="7" t="str">
        <x:v>final-element reference</x:v>
      </x:c>
      <x:c r="H1810" s="7" t="n">
        <x:v>4</x:v>
      </x:c>
      <x:c r="I1810" s="7" t="str"/>
      <x:c r="J1810" s="7" t="str"/>
      <x:c r="K1810" s="7" t="str"/>
      <x:c r="L1810" s="7" t="str"/>
      <x:c r="M1810" s="7" t="str"/>
      <x:c r="N1810" s="7" t="str"/>
      <x:c r="O1810" s="7" t="str">
        <x:f>IF(N1810="","OPEN",IF(OR(I1810="",J1810="",K1810="",L1810="",M1810=""),"FAIL","PASS"))</x:f>
        <x:v>OPEN</x:v>
      </x:c>
    </x:row>
    <x:row r="1811">
      <x:c r="B1811" s="7" t="str">
        <x:v>CH-PEA-C-X1-13-5</x:v>
      </x:c>
      <x:c r="C1811" s="7" t="str">
        <x:v>PEA-C-X1</x:v>
      </x:c>
      <x:c r="D1811" s="7" t="str">
        <x:v>BLD-C</x:v>
      </x:c>
      <x:c r="E1811" s="7" t="str">
        <x:v>BL-X</x:v>
      </x:c>
      <x:c r="F1811" s="7" t="str">
        <x:v>MF-13</x:v>
      </x:c>
      <x:c r="G1811" s="7" t="str">
        <x:v>final-element reference</x:v>
      </x:c>
      <x:c r="H1811" s="7" t="n">
        <x:v>5</x:v>
      </x:c>
      <x:c r="I1811" s="7" t="str"/>
      <x:c r="J1811" s="7" t="str"/>
      <x:c r="K1811" s="7" t="str"/>
      <x:c r="L1811" s="7" t="str"/>
      <x:c r="M1811" s="7" t="str"/>
      <x:c r="N1811" s="7" t="str"/>
      <x:c r="O1811" s="7" t="str">
        <x:f>IF(N1811="","OPEN",IF(OR(I1811="",J1811="",K1811="",L1811="",M1811=""),"FAIL","PASS"))</x:f>
        <x:v>OPEN</x:v>
      </x:c>
    </x:row>
    <x:row r="1812">
      <x:c r="B1812" s="7" t="str">
        <x:v>CH-PEA-C-X1-13-6</x:v>
      </x:c>
      <x:c r="C1812" s="7" t="str">
        <x:v>PEA-C-X1</x:v>
      </x:c>
      <x:c r="D1812" s="7" t="str">
        <x:v>BLD-C</x:v>
      </x:c>
      <x:c r="E1812" s="7" t="str">
        <x:v>BL-X</x:v>
      </x:c>
      <x:c r="F1812" s="7" t="str">
        <x:v>MF-13</x:v>
      </x:c>
      <x:c r="G1812" s="7" t="str">
        <x:v>final-element reference</x:v>
      </x:c>
      <x:c r="H1812" s="7" t="n">
        <x:v>6</x:v>
      </x:c>
      <x:c r="I1812" s="7" t="str"/>
      <x:c r="J1812" s="7" t="str"/>
      <x:c r="K1812" s="7" t="str"/>
      <x:c r="L1812" s="7" t="str"/>
      <x:c r="M1812" s="7" t="str"/>
      <x:c r="N1812" s="7" t="str"/>
      <x:c r="O1812" s="7" t="str">
        <x:f>IF(N1812="","OPEN",IF(OR(I1812="",J1812="",K1812="",L1812="",M1812=""),"FAIL","PASS"))</x:f>
        <x:v>OPEN</x:v>
      </x:c>
    </x:row>
    <x:row r="1813">
      <x:c r="B1813" s="7" t="str">
        <x:v>CH-PEA-C-X1-14-1</x:v>
      </x:c>
      <x:c r="C1813" s="7" t="str">
        <x:v>PEA-C-X1</x:v>
      </x:c>
      <x:c r="D1813" s="7" t="str">
        <x:v>BLD-C</x:v>
      </x:c>
      <x:c r="E1813" s="7" t="str">
        <x:v>BL-X</x:v>
      </x:c>
      <x:c r="F1813" s="7" t="str">
        <x:v>MF-14</x:v>
      </x:c>
      <x:c r="G1813" s="7" t="str">
        <x:v>causal time</x:v>
      </x:c>
      <x:c r="H1813" s="7" t="n">
        <x:v>1</x:v>
      </x:c>
      <x:c r="I1813" s="7" t="str"/>
      <x:c r="J1813" s="7" t="str"/>
      <x:c r="K1813" s="7" t="str"/>
      <x:c r="L1813" s="7" t="str"/>
      <x:c r="M1813" s="7" t="str"/>
      <x:c r="N1813" s="7" t="str"/>
      <x:c r="O1813" s="7" t="str">
        <x:f>IF(N1813="","OPEN",IF(OR(I1813="",J1813="",K1813="",L1813="",M1813=""),"FAIL","PASS"))</x:f>
        <x:v>OPEN</x:v>
      </x:c>
    </x:row>
    <x:row r="1814">
      <x:c r="B1814" s="7" t="str">
        <x:v>CH-PEA-C-X1-14-2</x:v>
      </x:c>
      <x:c r="C1814" s="7" t="str">
        <x:v>PEA-C-X1</x:v>
      </x:c>
      <x:c r="D1814" s="7" t="str">
        <x:v>BLD-C</x:v>
      </x:c>
      <x:c r="E1814" s="7" t="str">
        <x:v>BL-X</x:v>
      </x:c>
      <x:c r="F1814" s="7" t="str">
        <x:v>MF-14</x:v>
      </x:c>
      <x:c r="G1814" s="7" t="str">
        <x:v>causal time</x:v>
      </x:c>
      <x:c r="H1814" s="7" t="n">
        <x:v>2</x:v>
      </x:c>
      <x:c r="I1814" s="7" t="str"/>
      <x:c r="J1814" s="7" t="str"/>
      <x:c r="K1814" s="7" t="str"/>
      <x:c r="L1814" s="7" t="str"/>
      <x:c r="M1814" s="7" t="str"/>
      <x:c r="N1814" s="7" t="str"/>
      <x:c r="O1814" s="7" t="str">
        <x:f>IF(N1814="","OPEN",IF(OR(I1814="",J1814="",K1814="",L1814="",M1814=""),"FAIL","PASS"))</x:f>
        <x:v>OPEN</x:v>
      </x:c>
    </x:row>
    <x:row r="1815">
      <x:c r="B1815" s="7" t="str">
        <x:v>CH-PEA-C-X1-14-3</x:v>
      </x:c>
      <x:c r="C1815" s="7" t="str">
        <x:v>PEA-C-X1</x:v>
      </x:c>
      <x:c r="D1815" s="7" t="str">
        <x:v>BLD-C</x:v>
      </x:c>
      <x:c r="E1815" s="7" t="str">
        <x:v>BL-X</x:v>
      </x:c>
      <x:c r="F1815" s="7" t="str">
        <x:v>MF-14</x:v>
      </x:c>
      <x:c r="G1815" s="7" t="str">
        <x:v>causal time</x:v>
      </x:c>
      <x:c r="H1815" s="7" t="n">
        <x:v>3</x:v>
      </x:c>
      <x:c r="I1815" s="7" t="str"/>
      <x:c r="J1815" s="7" t="str"/>
      <x:c r="K1815" s="7" t="str"/>
      <x:c r="L1815" s="7" t="str"/>
      <x:c r="M1815" s="7" t="str"/>
      <x:c r="N1815" s="7" t="str"/>
      <x:c r="O1815" s="7" t="str">
        <x:f>IF(N1815="","OPEN",IF(OR(I1815="",J1815="",K1815="",L1815="",M1815=""),"FAIL","PASS"))</x:f>
        <x:v>OPEN</x:v>
      </x:c>
    </x:row>
    <x:row r="1816">
      <x:c r="B1816" s="7" t="str">
        <x:v>CH-PEA-C-X1-14-4</x:v>
      </x:c>
      <x:c r="C1816" s="7" t="str">
        <x:v>PEA-C-X1</x:v>
      </x:c>
      <x:c r="D1816" s="7" t="str">
        <x:v>BLD-C</x:v>
      </x:c>
      <x:c r="E1816" s="7" t="str">
        <x:v>BL-X</x:v>
      </x:c>
      <x:c r="F1816" s="7" t="str">
        <x:v>MF-14</x:v>
      </x:c>
      <x:c r="G1816" s="7" t="str">
        <x:v>causal time</x:v>
      </x:c>
      <x:c r="H1816" s="7" t="n">
        <x:v>4</x:v>
      </x:c>
      <x:c r="I1816" s="7" t="str"/>
      <x:c r="J1816" s="7" t="str"/>
      <x:c r="K1816" s="7" t="str"/>
      <x:c r="L1816" s="7" t="str"/>
      <x:c r="M1816" s="7" t="str"/>
      <x:c r="N1816" s="7" t="str"/>
      <x:c r="O1816" s="7" t="str">
        <x:f>IF(N1816="","OPEN",IF(OR(I1816="",J1816="",K1816="",L1816="",M1816=""),"FAIL","PASS"))</x:f>
        <x:v>OPEN</x:v>
      </x:c>
    </x:row>
    <x:row r="1817">
      <x:c r="B1817" s="7" t="str">
        <x:v>CH-PEA-C-X1-14-5</x:v>
      </x:c>
      <x:c r="C1817" s="7" t="str">
        <x:v>PEA-C-X1</x:v>
      </x:c>
      <x:c r="D1817" s="7" t="str">
        <x:v>BLD-C</x:v>
      </x:c>
      <x:c r="E1817" s="7" t="str">
        <x:v>BL-X</x:v>
      </x:c>
      <x:c r="F1817" s="7" t="str">
        <x:v>MF-14</x:v>
      </x:c>
      <x:c r="G1817" s="7" t="str">
        <x:v>causal time</x:v>
      </x:c>
      <x:c r="H1817" s="7" t="n">
        <x:v>5</x:v>
      </x:c>
      <x:c r="I1817" s="7" t="str"/>
      <x:c r="J1817" s="7" t="str"/>
      <x:c r="K1817" s="7" t="str"/>
      <x:c r="L1817" s="7" t="str"/>
      <x:c r="M1817" s="7" t="str"/>
      <x:c r="N1817" s="7" t="str"/>
      <x:c r="O1817" s="7" t="str">
        <x:f>IF(N1817="","OPEN",IF(OR(I1817="",J1817="",K1817="",L1817="",M1817=""),"FAIL","PASS"))</x:f>
        <x:v>OPEN</x:v>
      </x:c>
    </x:row>
    <x:row r="1818">
      <x:c r="B1818" s="7" t="str">
        <x:v>CH-PEA-C-X1-14-6</x:v>
      </x:c>
      <x:c r="C1818" s="7" t="str">
        <x:v>PEA-C-X1</x:v>
      </x:c>
      <x:c r="D1818" s="7" t="str">
        <x:v>BLD-C</x:v>
      </x:c>
      <x:c r="E1818" s="7" t="str">
        <x:v>BL-X</x:v>
      </x:c>
      <x:c r="F1818" s="7" t="str">
        <x:v>MF-14</x:v>
      </x:c>
      <x:c r="G1818" s="7" t="str">
        <x:v>causal time</x:v>
      </x:c>
      <x:c r="H1818" s="7" t="n">
        <x:v>6</x:v>
      </x:c>
      <x:c r="I1818" s="7" t="str"/>
      <x:c r="J1818" s="7" t="str"/>
      <x:c r="K1818" s="7" t="str"/>
      <x:c r="L1818" s="7" t="str"/>
      <x:c r="M1818" s="7" t="str"/>
      <x:c r="N1818" s="7" t="str"/>
      <x:c r="O1818" s="7" t="str">
        <x:f>IF(N1818="","OPEN",IF(OR(I1818="",J1818="",K1818="",L1818="",M1818=""),"FAIL","PASS"))</x:f>
        <x:v>OPEN</x:v>
      </x:c>
    </x:row>
    <x:row r="1819">
      <x:c r="B1819" s="7" t="str">
        <x:v>CH-PEA-C-X1-15-1</x:v>
      </x:c>
      <x:c r="C1819" s="7" t="str">
        <x:v>PEA-C-X1</x:v>
      </x:c>
      <x:c r="D1819" s="7" t="str">
        <x:v>BLD-C</x:v>
      </x:c>
      <x:c r="E1819" s="7" t="str">
        <x:v>BL-X</x:v>
      </x:c>
      <x:c r="F1819" s="7" t="str">
        <x:v>MF-15</x:v>
      </x:c>
      <x:c r="G1819" s="7" t="str">
        <x:v>source motive energy</x:v>
      </x:c>
      <x:c r="H1819" s="7" t="n">
        <x:v>1</x:v>
      </x:c>
      <x:c r="I1819" s="7" t="str"/>
      <x:c r="J1819" s="7" t="str"/>
      <x:c r="K1819" s="7" t="str"/>
      <x:c r="L1819" s="7" t="str"/>
      <x:c r="M1819" s="7" t="str"/>
      <x:c r="N1819" s="7" t="str"/>
      <x:c r="O1819" s="7" t="str">
        <x:f>IF(N1819="","OPEN",IF(OR(I1819="",J1819="",K1819="",L1819="",M1819=""),"FAIL","PASS"))</x:f>
        <x:v>OPEN</x:v>
      </x:c>
    </x:row>
    <x:row r="1820">
      <x:c r="B1820" s="7" t="str">
        <x:v>CH-PEA-C-X1-15-2</x:v>
      </x:c>
      <x:c r="C1820" s="7" t="str">
        <x:v>PEA-C-X1</x:v>
      </x:c>
      <x:c r="D1820" s="7" t="str">
        <x:v>BLD-C</x:v>
      </x:c>
      <x:c r="E1820" s="7" t="str">
        <x:v>BL-X</x:v>
      </x:c>
      <x:c r="F1820" s="7" t="str">
        <x:v>MF-15</x:v>
      </x:c>
      <x:c r="G1820" s="7" t="str">
        <x:v>source motive energy</x:v>
      </x:c>
      <x:c r="H1820" s="7" t="n">
        <x:v>2</x:v>
      </x:c>
      <x:c r="I1820" s="7" t="str"/>
      <x:c r="J1820" s="7" t="str"/>
      <x:c r="K1820" s="7" t="str"/>
      <x:c r="L1820" s="7" t="str"/>
      <x:c r="M1820" s="7" t="str"/>
      <x:c r="N1820" s="7" t="str"/>
      <x:c r="O1820" s="7" t="str">
        <x:f>IF(N1820="","OPEN",IF(OR(I1820="",J1820="",K1820="",L1820="",M1820=""),"FAIL","PASS"))</x:f>
        <x:v>OPEN</x:v>
      </x:c>
    </x:row>
    <x:row r="1821">
      <x:c r="B1821" s="7" t="str">
        <x:v>CH-PEA-C-X1-15-3</x:v>
      </x:c>
      <x:c r="C1821" s="7" t="str">
        <x:v>PEA-C-X1</x:v>
      </x:c>
      <x:c r="D1821" s="7" t="str">
        <x:v>BLD-C</x:v>
      </x:c>
      <x:c r="E1821" s="7" t="str">
        <x:v>BL-X</x:v>
      </x:c>
      <x:c r="F1821" s="7" t="str">
        <x:v>MF-15</x:v>
      </x:c>
      <x:c r="G1821" s="7" t="str">
        <x:v>source motive energy</x:v>
      </x:c>
      <x:c r="H1821" s="7" t="n">
        <x:v>3</x:v>
      </x:c>
      <x:c r="I1821" s="7" t="str"/>
      <x:c r="J1821" s="7" t="str"/>
      <x:c r="K1821" s="7" t="str"/>
      <x:c r="L1821" s="7" t="str"/>
      <x:c r="M1821" s="7" t="str"/>
      <x:c r="N1821" s="7" t="str"/>
      <x:c r="O1821" s="7" t="str">
        <x:f>IF(N1821="","OPEN",IF(OR(I1821="",J1821="",K1821="",L1821="",M1821=""),"FAIL","PASS"))</x:f>
        <x:v>OPEN</x:v>
      </x:c>
    </x:row>
    <x:row r="1822">
      <x:c r="B1822" s="7" t="str">
        <x:v>CH-PEA-C-X1-15-4</x:v>
      </x:c>
      <x:c r="C1822" s="7" t="str">
        <x:v>PEA-C-X1</x:v>
      </x:c>
      <x:c r="D1822" s="7" t="str">
        <x:v>BLD-C</x:v>
      </x:c>
      <x:c r="E1822" s="7" t="str">
        <x:v>BL-X</x:v>
      </x:c>
      <x:c r="F1822" s="7" t="str">
        <x:v>MF-15</x:v>
      </x:c>
      <x:c r="G1822" s="7" t="str">
        <x:v>source motive energy</x:v>
      </x:c>
      <x:c r="H1822" s="7" t="n">
        <x:v>4</x:v>
      </x:c>
      <x:c r="I1822" s="7" t="str"/>
      <x:c r="J1822" s="7" t="str"/>
      <x:c r="K1822" s="7" t="str"/>
      <x:c r="L1822" s="7" t="str"/>
      <x:c r="M1822" s="7" t="str"/>
      <x:c r="N1822" s="7" t="str"/>
      <x:c r="O1822" s="7" t="str">
        <x:f>IF(N1822="","OPEN",IF(OR(I1822="",J1822="",K1822="",L1822="",M1822=""),"FAIL","PASS"))</x:f>
        <x:v>OPEN</x:v>
      </x:c>
    </x:row>
    <x:row r="1823">
      <x:c r="B1823" s="7" t="str">
        <x:v>CH-PEA-C-X1-15-5</x:v>
      </x:c>
      <x:c r="C1823" s="7" t="str">
        <x:v>PEA-C-X1</x:v>
      </x:c>
      <x:c r="D1823" s="7" t="str">
        <x:v>BLD-C</x:v>
      </x:c>
      <x:c r="E1823" s="7" t="str">
        <x:v>BL-X</x:v>
      </x:c>
      <x:c r="F1823" s="7" t="str">
        <x:v>MF-15</x:v>
      </x:c>
      <x:c r="G1823" s="7" t="str">
        <x:v>source motive energy</x:v>
      </x:c>
      <x:c r="H1823" s="7" t="n">
        <x:v>5</x:v>
      </x:c>
      <x:c r="I1823" s="7" t="str"/>
      <x:c r="J1823" s="7" t="str"/>
      <x:c r="K1823" s="7" t="str"/>
      <x:c r="L1823" s="7" t="str"/>
      <x:c r="M1823" s="7" t="str"/>
      <x:c r="N1823" s="7" t="str"/>
      <x:c r="O1823" s="7" t="str">
        <x:f>IF(N1823="","OPEN",IF(OR(I1823="",J1823="",K1823="",L1823="",M1823=""),"FAIL","PASS"))</x:f>
        <x:v>OPEN</x:v>
      </x:c>
    </x:row>
    <x:row r="1824">
      <x:c r="B1824" s="7" t="str">
        <x:v>CH-PEA-C-X1-15-6</x:v>
      </x:c>
      <x:c r="C1824" s="7" t="str">
        <x:v>PEA-C-X1</x:v>
      </x:c>
      <x:c r="D1824" s="7" t="str">
        <x:v>BLD-C</x:v>
      </x:c>
      <x:c r="E1824" s="7" t="str">
        <x:v>BL-X</x:v>
      </x:c>
      <x:c r="F1824" s="7" t="str">
        <x:v>MF-15</x:v>
      </x:c>
      <x:c r="G1824" s="7" t="str">
        <x:v>source motive energy</x:v>
      </x:c>
      <x:c r="H1824" s="7" t="n">
        <x:v>6</x:v>
      </x:c>
      <x:c r="I1824" s="7" t="str"/>
      <x:c r="J1824" s="7" t="str"/>
      <x:c r="K1824" s="7" t="str"/>
      <x:c r="L1824" s="7" t="str"/>
      <x:c r="M1824" s="7" t="str"/>
      <x:c r="N1824" s="7" t="str"/>
      <x:c r="O1824" s="7" t="str">
        <x:f>IF(N1824="","OPEN",IF(OR(I1824="",J1824="",K1824="",L1824="",M1824=""),"FAIL","PASS"))</x:f>
        <x:v>OPEN</x:v>
      </x:c>
    </x:row>
    <x:row r="1825">
      <x:c r="B1825" s="7" t="str">
        <x:v>CH-PEA-C-X1-16-1</x:v>
      </x:c>
      <x:c r="C1825" s="7" t="str">
        <x:v>PEA-C-X1</x:v>
      </x:c>
      <x:c r="D1825" s="7" t="str">
        <x:v>BLD-C</x:v>
      </x:c>
      <x:c r="E1825" s="7" t="str">
        <x:v>BL-X</x:v>
      </x:c>
      <x:c r="F1825" s="7" t="str">
        <x:v>MF-16</x:v>
      </x:c>
      <x:c r="G1825" s="7" t="str">
        <x:v>water motive energy</x:v>
      </x:c>
      <x:c r="H1825" s="7" t="n">
        <x:v>1</x:v>
      </x:c>
      <x:c r="I1825" s="7" t="str"/>
      <x:c r="J1825" s="7" t="str"/>
      <x:c r="K1825" s="7" t="str"/>
      <x:c r="L1825" s="7" t="str"/>
      <x:c r="M1825" s="7" t="str"/>
      <x:c r="N1825" s="7" t="str"/>
      <x:c r="O1825" s="7" t="str">
        <x:f>IF(N1825="","OPEN",IF(OR(I1825="",J1825="",K1825="",L1825="",M1825=""),"FAIL","PASS"))</x:f>
        <x:v>OPEN</x:v>
      </x:c>
    </x:row>
    <x:row r="1826">
      <x:c r="B1826" s="7" t="str">
        <x:v>CH-PEA-C-X1-16-2</x:v>
      </x:c>
      <x:c r="C1826" s="7" t="str">
        <x:v>PEA-C-X1</x:v>
      </x:c>
      <x:c r="D1826" s="7" t="str">
        <x:v>BLD-C</x:v>
      </x:c>
      <x:c r="E1826" s="7" t="str">
        <x:v>BL-X</x:v>
      </x:c>
      <x:c r="F1826" s="7" t="str">
        <x:v>MF-16</x:v>
      </x:c>
      <x:c r="G1826" s="7" t="str">
        <x:v>water motive energy</x:v>
      </x:c>
      <x:c r="H1826" s="7" t="n">
        <x:v>2</x:v>
      </x:c>
      <x:c r="I1826" s="7" t="str"/>
      <x:c r="J1826" s="7" t="str"/>
      <x:c r="K1826" s="7" t="str"/>
      <x:c r="L1826" s="7" t="str"/>
      <x:c r="M1826" s="7" t="str"/>
      <x:c r="N1826" s="7" t="str"/>
      <x:c r="O1826" s="7" t="str">
        <x:f>IF(N1826="","OPEN",IF(OR(I1826="",J1826="",K1826="",L1826="",M1826=""),"FAIL","PASS"))</x:f>
        <x:v>OPEN</x:v>
      </x:c>
    </x:row>
    <x:row r="1827">
      <x:c r="B1827" s="7" t="str">
        <x:v>CH-PEA-C-X1-16-3</x:v>
      </x:c>
      <x:c r="C1827" s="7" t="str">
        <x:v>PEA-C-X1</x:v>
      </x:c>
      <x:c r="D1827" s="7" t="str">
        <x:v>BLD-C</x:v>
      </x:c>
      <x:c r="E1827" s="7" t="str">
        <x:v>BL-X</x:v>
      </x:c>
      <x:c r="F1827" s="7" t="str">
        <x:v>MF-16</x:v>
      </x:c>
      <x:c r="G1827" s="7" t="str">
        <x:v>water motive energy</x:v>
      </x:c>
      <x:c r="H1827" s="7" t="n">
        <x:v>3</x:v>
      </x:c>
      <x:c r="I1827" s="7" t="str"/>
      <x:c r="J1827" s="7" t="str"/>
      <x:c r="K1827" s="7" t="str"/>
      <x:c r="L1827" s="7" t="str"/>
      <x:c r="M1827" s="7" t="str"/>
      <x:c r="N1827" s="7" t="str"/>
      <x:c r="O1827" s="7" t="str">
        <x:f>IF(N1827="","OPEN",IF(OR(I1827="",J1827="",K1827="",L1827="",M1827=""),"FAIL","PASS"))</x:f>
        <x:v>OPEN</x:v>
      </x:c>
    </x:row>
    <x:row r="1828">
      <x:c r="B1828" s="7" t="str">
        <x:v>CH-PEA-C-X1-16-4</x:v>
      </x:c>
      <x:c r="C1828" s="7" t="str">
        <x:v>PEA-C-X1</x:v>
      </x:c>
      <x:c r="D1828" s="7" t="str">
        <x:v>BLD-C</x:v>
      </x:c>
      <x:c r="E1828" s="7" t="str">
        <x:v>BL-X</x:v>
      </x:c>
      <x:c r="F1828" s="7" t="str">
        <x:v>MF-16</x:v>
      </x:c>
      <x:c r="G1828" s="7" t="str">
        <x:v>water motive energy</x:v>
      </x:c>
      <x:c r="H1828" s="7" t="n">
        <x:v>4</x:v>
      </x:c>
      <x:c r="I1828" s="7" t="str"/>
      <x:c r="J1828" s="7" t="str"/>
      <x:c r="K1828" s="7" t="str"/>
      <x:c r="L1828" s="7" t="str"/>
      <x:c r="M1828" s="7" t="str"/>
      <x:c r="N1828" s="7" t="str"/>
      <x:c r="O1828" s="7" t="str">
        <x:f>IF(N1828="","OPEN",IF(OR(I1828="",J1828="",K1828="",L1828="",M1828=""),"FAIL","PASS"))</x:f>
        <x:v>OPEN</x:v>
      </x:c>
    </x:row>
    <x:row r="1829">
      <x:c r="B1829" s="7" t="str">
        <x:v>CH-PEA-C-X1-16-5</x:v>
      </x:c>
      <x:c r="C1829" s="7" t="str">
        <x:v>PEA-C-X1</x:v>
      </x:c>
      <x:c r="D1829" s="7" t="str">
        <x:v>BLD-C</x:v>
      </x:c>
      <x:c r="E1829" s="7" t="str">
        <x:v>BL-X</x:v>
      </x:c>
      <x:c r="F1829" s="7" t="str">
        <x:v>MF-16</x:v>
      </x:c>
      <x:c r="G1829" s="7" t="str">
        <x:v>water motive energy</x:v>
      </x:c>
      <x:c r="H1829" s="7" t="n">
        <x:v>5</x:v>
      </x:c>
      <x:c r="I1829" s="7" t="str"/>
      <x:c r="J1829" s="7" t="str"/>
      <x:c r="K1829" s="7" t="str"/>
      <x:c r="L1829" s="7" t="str"/>
      <x:c r="M1829" s="7" t="str"/>
      <x:c r="N1829" s="7" t="str"/>
      <x:c r="O1829" s="7" t="str">
        <x:f>IF(N1829="","OPEN",IF(OR(I1829="",J1829="",K1829="",L1829="",M1829=""),"FAIL","PASS"))</x:f>
        <x:v>OPEN</x:v>
      </x:c>
    </x:row>
    <x:row r="1830">
      <x:c r="B1830" s="7" t="str">
        <x:v>CH-PEA-C-X1-16-6</x:v>
      </x:c>
      <x:c r="C1830" s="7" t="str">
        <x:v>PEA-C-X1</x:v>
      </x:c>
      <x:c r="D1830" s="7" t="str">
        <x:v>BLD-C</x:v>
      </x:c>
      <x:c r="E1830" s="7" t="str">
        <x:v>BL-X</x:v>
      </x:c>
      <x:c r="F1830" s="7" t="str">
        <x:v>MF-16</x:v>
      </x:c>
      <x:c r="G1830" s="7" t="str">
        <x:v>water motive energy</x:v>
      </x:c>
      <x:c r="H1830" s="7" t="n">
        <x:v>6</x:v>
      </x:c>
      <x:c r="I1830" s="7" t="str"/>
      <x:c r="J1830" s="7" t="str"/>
      <x:c r="K1830" s="7" t="str"/>
      <x:c r="L1830" s="7" t="str"/>
      <x:c r="M1830" s="7" t="str"/>
      <x:c r="N1830" s="7" t="str"/>
      <x:c r="O1830" s="7" t="str">
        <x:f>IF(N1830="","OPEN",IF(OR(I1830="",J1830="",K1830="",L1830="",M1830=""),"FAIL","PASS"))</x:f>
        <x:v>OPEN</x:v>
      </x:c>
    </x:row>
    <x:row r="1831">
      <x:c r="B1831" s="7" t="str">
        <x:v>CH-PEA-C-X1-17-1</x:v>
      </x:c>
      <x:c r="C1831" s="7" t="str">
        <x:v>PEA-C-X1</x:v>
      </x:c>
      <x:c r="D1831" s="7" t="str">
        <x:v>BLD-C</x:v>
      </x:c>
      <x:c r="E1831" s="7" t="str">
        <x:v>BL-X</x:v>
      </x:c>
      <x:c r="F1831" s="7" t="str">
        <x:v>MF-17</x:v>
      </x:c>
      <x:c r="G1831" s="7" t="str">
        <x:v>normal power</x:v>
      </x:c>
      <x:c r="H1831" s="7" t="n">
        <x:v>1</x:v>
      </x:c>
      <x:c r="I1831" s="7" t="str"/>
      <x:c r="J1831" s="7" t="str"/>
      <x:c r="K1831" s="7" t="str"/>
      <x:c r="L1831" s="7" t="str"/>
      <x:c r="M1831" s="7" t="str"/>
      <x:c r="N1831" s="7" t="str"/>
      <x:c r="O1831" s="7" t="str">
        <x:f>IF(N1831="","OPEN",IF(OR(I1831="",J1831="",K1831="",L1831="",M1831=""),"FAIL","PASS"))</x:f>
        <x:v>OPEN</x:v>
      </x:c>
    </x:row>
    <x:row r="1832">
      <x:c r="B1832" s="7" t="str">
        <x:v>CH-PEA-C-X1-17-2</x:v>
      </x:c>
      <x:c r="C1832" s="7" t="str">
        <x:v>PEA-C-X1</x:v>
      </x:c>
      <x:c r="D1832" s="7" t="str">
        <x:v>BLD-C</x:v>
      </x:c>
      <x:c r="E1832" s="7" t="str">
        <x:v>BL-X</x:v>
      </x:c>
      <x:c r="F1832" s="7" t="str">
        <x:v>MF-17</x:v>
      </x:c>
      <x:c r="G1832" s="7" t="str">
        <x:v>normal power</x:v>
      </x:c>
      <x:c r="H1832" s="7" t="n">
        <x:v>2</x:v>
      </x:c>
      <x:c r="I1832" s="7" t="str"/>
      <x:c r="J1832" s="7" t="str"/>
      <x:c r="K1832" s="7" t="str"/>
      <x:c r="L1832" s="7" t="str"/>
      <x:c r="M1832" s="7" t="str"/>
      <x:c r="N1832" s="7" t="str"/>
      <x:c r="O1832" s="7" t="str">
        <x:f>IF(N1832="","OPEN",IF(OR(I1832="",J1832="",K1832="",L1832="",M1832=""),"FAIL","PASS"))</x:f>
        <x:v>OPEN</x:v>
      </x:c>
    </x:row>
    <x:row r="1833">
      <x:c r="B1833" s="7" t="str">
        <x:v>CH-PEA-C-X1-17-3</x:v>
      </x:c>
      <x:c r="C1833" s="7" t="str">
        <x:v>PEA-C-X1</x:v>
      </x:c>
      <x:c r="D1833" s="7" t="str">
        <x:v>BLD-C</x:v>
      </x:c>
      <x:c r="E1833" s="7" t="str">
        <x:v>BL-X</x:v>
      </x:c>
      <x:c r="F1833" s="7" t="str">
        <x:v>MF-17</x:v>
      </x:c>
      <x:c r="G1833" s="7" t="str">
        <x:v>normal power</x:v>
      </x:c>
      <x:c r="H1833" s="7" t="n">
        <x:v>3</x:v>
      </x:c>
      <x:c r="I1833" s="7" t="str"/>
      <x:c r="J1833" s="7" t="str"/>
      <x:c r="K1833" s="7" t="str"/>
      <x:c r="L1833" s="7" t="str"/>
      <x:c r="M1833" s="7" t="str"/>
      <x:c r="N1833" s="7" t="str"/>
      <x:c r="O1833" s="7" t="str">
        <x:f>IF(N1833="","OPEN",IF(OR(I1833="",J1833="",K1833="",L1833="",M1833=""),"FAIL","PASS"))</x:f>
        <x:v>OPEN</x:v>
      </x:c>
    </x:row>
    <x:row r="1834">
      <x:c r="B1834" s="7" t="str">
        <x:v>CH-PEA-C-X1-17-4</x:v>
      </x:c>
      <x:c r="C1834" s="7" t="str">
        <x:v>PEA-C-X1</x:v>
      </x:c>
      <x:c r="D1834" s="7" t="str">
        <x:v>BLD-C</x:v>
      </x:c>
      <x:c r="E1834" s="7" t="str">
        <x:v>BL-X</x:v>
      </x:c>
      <x:c r="F1834" s="7" t="str">
        <x:v>MF-17</x:v>
      </x:c>
      <x:c r="G1834" s="7" t="str">
        <x:v>normal power</x:v>
      </x:c>
      <x:c r="H1834" s="7" t="n">
        <x:v>4</x:v>
      </x:c>
      <x:c r="I1834" s="7" t="str"/>
      <x:c r="J1834" s="7" t="str"/>
      <x:c r="K1834" s="7" t="str"/>
      <x:c r="L1834" s="7" t="str"/>
      <x:c r="M1834" s="7" t="str"/>
      <x:c r="N1834" s="7" t="str"/>
      <x:c r="O1834" s="7" t="str">
        <x:f>IF(N1834="","OPEN",IF(OR(I1834="",J1834="",K1834="",L1834="",M1834=""),"FAIL","PASS"))</x:f>
        <x:v>OPEN</x:v>
      </x:c>
    </x:row>
    <x:row r="1835">
      <x:c r="B1835" s="7" t="str">
        <x:v>CH-PEA-C-X1-17-5</x:v>
      </x:c>
      <x:c r="C1835" s="7" t="str">
        <x:v>PEA-C-X1</x:v>
      </x:c>
      <x:c r="D1835" s="7" t="str">
        <x:v>BLD-C</x:v>
      </x:c>
      <x:c r="E1835" s="7" t="str">
        <x:v>BL-X</x:v>
      </x:c>
      <x:c r="F1835" s="7" t="str">
        <x:v>MF-17</x:v>
      </x:c>
      <x:c r="G1835" s="7" t="str">
        <x:v>normal power</x:v>
      </x:c>
      <x:c r="H1835" s="7" t="n">
        <x:v>5</x:v>
      </x:c>
      <x:c r="I1835" s="7" t="str"/>
      <x:c r="J1835" s="7" t="str"/>
      <x:c r="K1835" s="7" t="str"/>
      <x:c r="L1835" s="7" t="str"/>
      <x:c r="M1835" s="7" t="str"/>
      <x:c r="N1835" s="7" t="str"/>
      <x:c r="O1835" s="7" t="str">
        <x:f>IF(N1835="","OPEN",IF(OR(I1835="",J1835="",K1835="",L1835="",M1835=""),"FAIL","PASS"))</x:f>
        <x:v>OPEN</x:v>
      </x:c>
    </x:row>
    <x:row r="1836">
      <x:c r="B1836" s="7" t="str">
        <x:v>CH-PEA-C-X1-17-6</x:v>
      </x:c>
      <x:c r="C1836" s="7" t="str">
        <x:v>PEA-C-X1</x:v>
      </x:c>
      <x:c r="D1836" s="7" t="str">
        <x:v>BLD-C</x:v>
      </x:c>
      <x:c r="E1836" s="7" t="str">
        <x:v>BL-X</x:v>
      </x:c>
      <x:c r="F1836" s="7" t="str">
        <x:v>MF-17</x:v>
      </x:c>
      <x:c r="G1836" s="7" t="str">
        <x:v>normal power</x:v>
      </x:c>
      <x:c r="H1836" s="7" t="n">
        <x:v>6</x:v>
      </x:c>
      <x:c r="I1836" s="7" t="str"/>
      <x:c r="J1836" s="7" t="str"/>
      <x:c r="K1836" s="7" t="str"/>
      <x:c r="L1836" s="7" t="str"/>
      <x:c r="M1836" s="7" t="str"/>
      <x:c r="N1836" s="7" t="str"/>
      <x:c r="O1836" s="7" t="str">
        <x:f>IF(N1836="","OPEN",IF(OR(I1836="",J1836="",K1836="",L1836="",M1836=""),"FAIL","PASS"))</x:f>
        <x:v>OPEN</x:v>
      </x:c>
    </x:row>
    <x:row r="1837">
      <x:c r="B1837" s="7" t="str">
        <x:v>CH-PEA-C-X1-18-1</x:v>
      </x:c>
      <x:c r="C1837" s="7" t="str">
        <x:v>PEA-C-X1</x:v>
      </x:c>
      <x:c r="D1837" s="7" t="str">
        <x:v>BLD-C</x:v>
      </x:c>
      <x:c r="E1837" s="7" t="str">
        <x:v>BL-X</x:v>
      </x:c>
      <x:c r="F1837" s="7" t="str">
        <x:v>MF-18</x:v>
      </x:c>
      <x:c r="G1837" s="7" t="str">
        <x:v>independent power</x:v>
      </x:c>
      <x:c r="H1837" s="7" t="n">
        <x:v>1</x:v>
      </x:c>
      <x:c r="I1837" s="7" t="str"/>
      <x:c r="J1837" s="7" t="str"/>
      <x:c r="K1837" s="7" t="str"/>
      <x:c r="L1837" s="7" t="str"/>
      <x:c r="M1837" s="7" t="str"/>
      <x:c r="N1837" s="7" t="str"/>
      <x:c r="O1837" s="7" t="str">
        <x:f>IF(N1837="","OPEN",IF(OR(I1837="",J1837="",K1837="",L1837="",M1837=""),"FAIL","PASS"))</x:f>
        <x:v>OPEN</x:v>
      </x:c>
    </x:row>
    <x:row r="1838">
      <x:c r="B1838" s="7" t="str">
        <x:v>CH-PEA-C-X1-18-2</x:v>
      </x:c>
      <x:c r="C1838" s="7" t="str">
        <x:v>PEA-C-X1</x:v>
      </x:c>
      <x:c r="D1838" s="7" t="str">
        <x:v>BLD-C</x:v>
      </x:c>
      <x:c r="E1838" s="7" t="str">
        <x:v>BL-X</x:v>
      </x:c>
      <x:c r="F1838" s="7" t="str">
        <x:v>MF-18</x:v>
      </x:c>
      <x:c r="G1838" s="7" t="str">
        <x:v>independent power</x:v>
      </x:c>
      <x:c r="H1838" s="7" t="n">
        <x:v>2</x:v>
      </x:c>
      <x:c r="I1838" s="7" t="str"/>
      <x:c r="J1838" s="7" t="str"/>
      <x:c r="K1838" s="7" t="str"/>
      <x:c r="L1838" s="7" t="str"/>
      <x:c r="M1838" s="7" t="str"/>
      <x:c r="N1838" s="7" t="str"/>
      <x:c r="O1838" s="7" t="str">
        <x:f>IF(N1838="","OPEN",IF(OR(I1838="",J1838="",K1838="",L1838="",M1838=""),"FAIL","PASS"))</x:f>
        <x:v>OPEN</x:v>
      </x:c>
    </x:row>
    <x:row r="1839">
      <x:c r="B1839" s="7" t="str">
        <x:v>CH-PEA-C-X1-18-3</x:v>
      </x:c>
      <x:c r="C1839" s="7" t="str">
        <x:v>PEA-C-X1</x:v>
      </x:c>
      <x:c r="D1839" s="7" t="str">
        <x:v>BLD-C</x:v>
      </x:c>
      <x:c r="E1839" s="7" t="str">
        <x:v>BL-X</x:v>
      </x:c>
      <x:c r="F1839" s="7" t="str">
        <x:v>MF-18</x:v>
      </x:c>
      <x:c r="G1839" s="7" t="str">
        <x:v>independent power</x:v>
      </x:c>
      <x:c r="H1839" s="7" t="n">
        <x:v>3</x:v>
      </x:c>
      <x:c r="I1839" s="7" t="str"/>
      <x:c r="J1839" s="7" t="str"/>
      <x:c r="K1839" s="7" t="str"/>
      <x:c r="L1839" s="7" t="str"/>
      <x:c r="M1839" s="7" t="str"/>
      <x:c r="N1839" s="7" t="str"/>
      <x:c r="O1839" s="7" t="str">
        <x:f>IF(N1839="","OPEN",IF(OR(I1839="",J1839="",K1839="",L1839="",M1839=""),"FAIL","PASS"))</x:f>
        <x:v>OPEN</x:v>
      </x:c>
    </x:row>
    <x:row r="1840">
      <x:c r="B1840" s="7" t="str">
        <x:v>CH-PEA-C-X1-18-4</x:v>
      </x:c>
      <x:c r="C1840" s="7" t="str">
        <x:v>PEA-C-X1</x:v>
      </x:c>
      <x:c r="D1840" s="7" t="str">
        <x:v>BLD-C</x:v>
      </x:c>
      <x:c r="E1840" s="7" t="str">
        <x:v>BL-X</x:v>
      </x:c>
      <x:c r="F1840" s="7" t="str">
        <x:v>MF-18</x:v>
      </x:c>
      <x:c r="G1840" s="7" t="str">
        <x:v>independent power</x:v>
      </x:c>
      <x:c r="H1840" s="7" t="n">
        <x:v>4</x:v>
      </x:c>
      <x:c r="I1840" s="7" t="str"/>
      <x:c r="J1840" s="7" t="str"/>
      <x:c r="K1840" s="7" t="str"/>
      <x:c r="L1840" s="7" t="str"/>
      <x:c r="M1840" s="7" t="str"/>
      <x:c r="N1840" s="7" t="str"/>
      <x:c r="O1840" s="7" t="str">
        <x:f>IF(N1840="","OPEN",IF(OR(I1840="",J1840="",K1840="",L1840="",M1840=""),"FAIL","PASS"))</x:f>
        <x:v>OPEN</x:v>
      </x:c>
    </x:row>
    <x:row r="1841">
      <x:c r="B1841" s="7" t="str">
        <x:v>CH-PEA-C-X1-18-5</x:v>
      </x:c>
      <x:c r="C1841" s="7" t="str">
        <x:v>PEA-C-X1</x:v>
      </x:c>
      <x:c r="D1841" s="7" t="str">
        <x:v>BLD-C</x:v>
      </x:c>
      <x:c r="E1841" s="7" t="str">
        <x:v>BL-X</x:v>
      </x:c>
      <x:c r="F1841" s="7" t="str">
        <x:v>MF-18</x:v>
      </x:c>
      <x:c r="G1841" s="7" t="str">
        <x:v>independent power</x:v>
      </x:c>
      <x:c r="H1841" s="7" t="n">
        <x:v>5</x:v>
      </x:c>
      <x:c r="I1841" s="7" t="str"/>
      <x:c r="J1841" s="7" t="str"/>
      <x:c r="K1841" s="7" t="str"/>
      <x:c r="L1841" s="7" t="str"/>
      <x:c r="M1841" s="7" t="str"/>
      <x:c r="N1841" s="7" t="str"/>
      <x:c r="O1841" s="7" t="str">
        <x:f>IF(N1841="","OPEN",IF(OR(I1841="",J1841="",K1841="",L1841="",M1841=""),"FAIL","PASS"))</x:f>
        <x:v>OPEN</x:v>
      </x:c>
    </x:row>
    <x:row r="1842">
      <x:c r="B1842" s="7" t="str">
        <x:v>CH-PEA-C-X1-18-6</x:v>
      </x:c>
      <x:c r="C1842" s="7" t="str">
        <x:v>PEA-C-X1</x:v>
      </x:c>
      <x:c r="D1842" s="7" t="str">
        <x:v>BLD-C</x:v>
      </x:c>
      <x:c r="E1842" s="7" t="str">
        <x:v>BL-X</x:v>
      </x:c>
      <x:c r="F1842" s="7" t="str">
        <x:v>MF-18</x:v>
      </x:c>
      <x:c r="G1842" s="7" t="str">
        <x:v>independent power</x:v>
      </x:c>
      <x:c r="H1842" s="7" t="n">
        <x:v>6</x:v>
      </x:c>
      <x:c r="I1842" s="7" t="str"/>
      <x:c r="J1842" s="7" t="str"/>
      <x:c r="K1842" s="7" t="str"/>
      <x:c r="L1842" s="7" t="str"/>
      <x:c r="M1842" s="7" t="str"/>
      <x:c r="N1842" s="7" t="str"/>
      <x:c r="O1842" s="7" t="str">
        <x:f>IF(N1842="","OPEN",IF(OR(I1842="",J1842="",K1842="",L1842="",M1842=""),"FAIL","PASS"))</x:f>
        <x:v>OPEN</x:v>
      </x:c>
    </x:row>
    <x:row r="1843">
      <x:c r="B1843" s="7" t="str">
        <x:v>CH-PEA-C-X1-19-1</x:v>
      </x:c>
      <x:c r="C1843" s="7" t="str">
        <x:v>PEA-C-X1</x:v>
      </x:c>
      <x:c r="D1843" s="7" t="str">
        <x:v>BLD-C</x:v>
      </x:c>
      <x:c r="E1843" s="7" t="str">
        <x:v>BL-X</x:v>
      </x:c>
      <x:c r="F1843" s="7" t="str">
        <x:v>MF-19</x:v>
      </x:c>
      <x:c r="G1843" s="7" t="str">
        <x:v>leak collection</x:v>
      </x:c>
      <x:c r="H1843" s="7" t="n">
        <x:v>1</x:v>
      </x:c>
      <x:c r="I1843" s="7" t="str"/>
      <x:c r="J1843" s="7" t="str"/>
      <x:c r="K1843" s="7" t="str"/>
      <x:c r="L1843" s="7" t="str"/>
      <x:c r="M1843" s="7" t="str"/>
      <x:c r="N1843" s="7" t="str"/>
      <x:c r="O1843" s="7" t="str">
        <x:f>IF(N1843="","OPEN",IF(OR(I1843="",J1843="",K1843="",L1843="",M1843=""),"FAIL","PASS"))</x:f>
        <x:v>OPEN</x:v>
      </x:c>
    </x:row>
    <x:row r="1844">
      <x:c r="B1844" s="7" t="str">
        <x:v>CH-PEA-C-X1-19-2</x:v>
      </x:c>
      <x:c r="C1844" s="7" t="str">
        <x:v>PEA-C-X1</x:v>
      </x:c>
      <x:c r="D1844" s="7" t="str">
        <x:v>BLD-C</x:v>
      </x:c>
      <x:c r="E1844" s="7" t="str">
        <x:v>BL-X</x:v>
      </x:c>
      <x:c r="F1844" s="7" t="str">
        <x:v>MF-19</x:v>
      </x:c>
      <x:c r="G1844" s="7" t="str">
        <x:v>leak collection</x:v>
      </x:c>
      <x:c r="H1844" s="7" t="n">
        <x:v>2</x:v>
      </x:c>
      <x:c r="I1844" s="7" t="str"/>
      <x:c r="J1844" s="7" t="str"/>
      <x:c r="K1844" s="7" t="str"/>
      <x:c r="L1844" s="7" t="str"/>
      <x:c r="M1844" s="7" t="str"/>
      <x:c r="N1844" s="7" t="str"/>
      <x:c r="O1844" s="7" t="str">
        <x:f>IF(N1844="","OPEN",IF(OR(I1844="",J1844="",K1844="",L1844="",M1844=""),"FAIL","PASS"))</x:f>
        <x:v>OPEN</x:v>
      </x:c>
    </x:row>
    <x:row r="1845">
      <x:c r="B1845" s="7" t="str">
        <x:v>CH-PEA-C-X1-19-3</x:v>
      </x:c>
      <x:c r="C1845" s="7" t="str">
        <x:v>PEA-C-X1</x:v>
      </x:c>
      <x:c r="D1845" s="7" t="str">
        <x:v>BLD-C</x:v>
      </x:c>
      <x:c r="E1845" s="7" t="str">
        <x:v>BL-X</x:v>
      </x:c>
      <x:c r="F1845" s="7" t="str">
        <x:v>MF-19</x:v>
      </x:c>
      <x:c r="G1845" s="7" t="str">
        <x:v>leak collection</x:v>
      </x:c>
      <x:c r="H1845" s="7" t="n">
        <x:v>3</x:v>
      </x:c>
      <x:c r="I1845" s="7" t="str"/>
      <x:c r="J1845" s="7" t="str"/>
      <x:c r="K1845" s="7" t="str"/>
      <x:c r="L1845" s="7" t="str"/>
      <x:c r="M1845" s="7" t="str"/>
      <x:c r="N1845" s="7" t="str"/>
      <x:c r="O1845" s="7" t="str">
        <x:f>IF(N1845="","OPEN",IF(OR(I1845="",J1845="",K1845="",L1845="",M1845=""),"FAIL","PASS"))</x:f>
        <x:v>OPEN</x:v>
      </x:c>
    </x:row>
    <x:row r="1846">
      <x:c r="B1846" s="7" t="str">
        <x:v>CH-PEA-C-X1-19-4</x:v>
      </x:c>
      <x:c r="C1846" s="7" t="str">
        <x:v>PEA-C-X1</x:v>
      </x:c>
      <x:c r="D1846" s="7" t="str">
        <x:v>BLD-C</x:v>
      </x:c>
      <x:c r="E1846" s="7" t="str">
        <x:v>BL-X</x:v>
      </x:c>
      <x:c r="F1846" s="7" t="str">
        <x:v>MF-19</x:v>
      </x:c>
      <x:c r="G1846" s="7" t="str">
        <x:v>leak collection</x:v>
      </x:c>
      <x:c r="H1846" s="7" t="n">
        <x:v>4</x:v>
      </x:c>
      <x:c r="I1846" s="7" t="str"/>
      <x:c r="J1846" s="7" t="str"/>
      <x:c r="K1846" s="7" t="str"/>
      <x:c r="L1846" s="7" t="str"/>
      <x:c r="M1846" s="7" t="str"/>
      <x:c r="N1846" s="7" t="str"/>
      <x:c r="O1846" s="7" t="str">
        <x:f>IF(N1846="","OPEN",IF(OR(I1846="",J1846="",K1846="",L1846="",M1846=""),"FAIL","PASS"))</x:f>
        <x:v>OPEN</x:v>
      </x:c>
    </x:row>
    <x:row r="1847">
      <x:c r="B1847" s="7" t="str">
        <x:v>CH-PEA-C-X1-19-5</x:v>
      </x:c>
      <x:c r="C1847" s="7" t="str">
        <x:v>PEA-C-X1</x:v>
      </x:c>
      <x:c r="D1847" s="7" t="str">
        <x:v>BLD-C</x:v>
      </x:c>
      <x:c r="E1847" s="7" t="str">
        <x:v>BL-X</x:v>
      </x:c>
      <x:c r="F1847" s="7" t="str">
        <x:v>MF-19</x:v>
      </x:c>
      <x:c r="G1847" s="7" t="str">
        <x:v>leak collection</x:v>
      </x:c>
      <x:c r="H1847" s="7" t="n">
        <x:v>5</x:v>
      </x:c>
      <x:c r="I1847" s="7" t="str"/>
      <x:c r="J1847" s="7" t="str"/>
      <x:c r="K1847" s="7" t="str"/>
      <x:c r="L1847" s="7" t="str"/>
      <x:c r="M1847" s="7" t="str"/>
      <x:c r="N1847" s="7" t="str"/>
      <x:c r="O1847" s="7" t="str">
        <x:f>IF(N1847="","OPEN",IF(OR(I1847="",J1847="",K1847="",L1847="",M1847=""),"FAIL","PASS"))</x:f>
        <x:v>OPEN</x:v>
      </x:c>
    </x:row>
    <x:row r="1848">
      <x:c r="B1848" s="7" t="str">
        <x:v>CH-PEA-C-X1-19-6</x:v>
      </x:c>
      <x:c r="C1848" s="7" t="str">
        <x:v>PEA-C-X1</x:v>
      </x:c>
      <x:c r="D1848" s="7" t="str">
        <x:v>BLD-C</x:v>
      </x:c>
      <x:c r="E1848" s="7" t="str">
        <x:v>BL-X</x:v>
      </x:c>
      <x:c r="F1848" s="7" t="str">
        <x:v>MF-19</x:v>
      </x:c>
      <x:c r="G1848" s="7" t="str">
        <x:v>leak collection</x:v>
      </x:c>
      <x:c r="H1848" s="7" t="n">
        <x:v>6</x:v>
      </x:c>
      <x:c r="I1848" s="7" t="str"/>
      <x:c r="J1848" s="7" t="str"/>
      <x:c r="K1848" s="7" t="str"/>
      <x:c r="L1848" s="7" t="str"/>
      <x:c r="M1848" s="7" t="str"/>
      <x:c r="N1848" s="7" t="str"/>
      <x:c r="O1848" s="7" t="str">
        <x:f>IF(N1848="","OPEN",IF(OR(I1848="",J1848="",K1848="",L1848="",M1848=""),"FAIL","PASS"))</x:f>
        <x:v>OPEN</x:v>
      </x:c>
    </x:row>
    <x:row r="1849">
      <x:c r="B1849" s="7" t="str">
        <x:v>CH-PEA-C-X1-20-1</x:v>
      </x:c>
      <x:c r="C1849" s="7" t="str">
        <x:v>PEA-C-X1</x:v>
      </x:c>
      <x:c r="D1849" s="7" t="str">
        <x:v>BLD-C</x:v>
      </x:c>
      <x:c r="E1849" s="7" t="str">
        <x:v>BL-X</x:v>
      </x:c>
      <x:c r="F1849" s="7" t="str">
        <x:v>MF-20</x:v>
      </x:c>
      <x:c r="G1849" s="7" t="str">
        <x:v>occupied-area state</x:v>
      </x:c>
      <x:c r="H1849" s="7" t="n">
        <x:v>1</x:v>
      </x:c>
      <x:c r="I1849" s="7" t="str"/>
      <x:c r="J1849" s="7" t="str"/>
      <x:c r="K1849" s="7" t="str"/>
      <x:c r="L1849" s="7" t="str"/>
      <x:c r="M1849" s="7" t="str"/>
      <x:c r="N1849" s="7" t="str"/>
      <x:c r="O1849" s="7" t="str">
        <x:f>IF(N1849="","OPEN",IF(OR(I1849="",J1849="",K1849="",L1849="",M1849=""),"FAIL","PASS"))</x:f>
        <x:v>OPEN</x:v>
      </x:c>
    </x:row>
    <x:row r="1850">
      <x:c r="B1850" s="7" t="str">
        <x:v>CH-PEA-C-X1-20-2</x:v>
      </x:c>
      <x:c r="C1850" s="7" t="str">
        <x:v>PEA-C-X1</x:v>
      </x:c>
      <x:c r="D1850" s="7" t="str">
        <x:v>BLD-C</x:v>
      </x:c>
      <x:c r="E1850" s="7" t="str">
        <x:v>BL-X</x:v>
      </x:c>
      <x:c r="F1850" s="7" t="str">
        <x:v>MF-20</x:v>
      </x:c>
      <x:c r="G1850" s="7" t="str">
        <x:v>occupied-area state</x:v>
      </x:c>
      <x:c r="H1850" s="7" t="n">
        <x:v>2</x:v>
      </x:c>
      <x:c r="I1850" s="7" t="str"/>
      <x:c r="J1850" s="7" t="str"/>
      <x:c r="K1850" s="7" t="str"/>
      <x:c r="L1850" s="7" t="str"/>
      <x:c r="M1850" s="7" t="str"/>
      <x:c r="N1850" s="7" t="str"/>
      <x:c r="O1850" s="7" t="str">
        <x:f>IF(N1850="","OPEN",IF(OR(I1850="",J1850="",K1850="",L1850="",M1850=""),"FAIL","PASS"))</x:f>
        <x:v>OPEN</x:v>
      </x:c>
    </x:row>
    <x:row r="1851">
      <x:c r="B1851" s="7" t="str">
        <x:v>CH-PEA-C-X1-20-3</x:v>
      </x:c>
      <x:c r="C1851" s="7" t="str">
        <x:v>PEA-C-X1</x:v>
      </x:c>
      <x:c r="D1851" s="7" t="str">
        <x:v>BLD-C</x:v>
      </x:c>
      <x:c r="E1851" s="7" t="str">
        <x:v>BL-X</x:v>
      </x:c>
      <x:c r="F1851" s="7" t="str">
        <x:v>MF-20</x:v>
      </x:c>
      <x:c r="G1851" s="7" t="str">
        <x:v>occupied-area state</x:v>
      </x:c>
      <x:c r="H1851" s="7" t="n">
        <x:v>3</x:v>
      </x:c>
      <x:c r="I1851" s="7" t="str"/>
      <x:c r="J1851" s="7" t="str"/>
      <x:c r="K1851" s="7" t="str"/>
      <x:c r="L1851" s="7" t="str"/>
      <x:c r="M1851" s="7" t="str"/>
      <x:c r="N1851" s="7" t="str"/>
      <x:c r="O1851" s="7" t="str">
        <x:f>IF(N1851="","OPEN",IF(OR(I1851="",J1851="",K1851="",L1851="",M1851=""),"FAIL","PASS"))</x:f>
        <x:v>OPEN</x:v>
      </x:c>
    </x:row>
    <x:row r="1852">
      <x:c r="B1852" s="7" t="str">
        <x:v>CH-PEA-C-X1-20-4</x:v>
      </x:c>
      <x:c r="C1852" s="7" t="str">
        <x:v>PEA-C-X1</x:v>
      </x:c>
      <x:c r="D1852" s="7" t="str">
        <x:v>BLD-C</x:v>
      </x:c>
      <x:c r="E1852" s="7" t="str">
        <x:v>BL-X</x:v>
      </x:c>
      <x:c r="F1852" s="7" t="str">
        <x:v>MF-20</x:v>
      </x:c>
      <x:c r="G1852" s="7" t="str">
        <x:v>occupied-area state</x:v>
      </x:c>
      <x:c r="H1852" s="7" t="n">
        <x:v>4</x:v>
      </x:c>
      <x:c r="I1852" s="7" t="str"/>
      <x:c r="J1852" s="7" t="str"/>
      <x:c r="K1852" s="7" t="str"/>
      <x:c r="L1852" s="7" t="str"/>
      <x:c r="M1852" s="7" t="str"/>
      <x:c r="N1852" s="7" t="str"/>
      <x:c r="O1852" s="7" t="str">
        <x:f>IF(N1852="","OPEN",IF(OR(I1852="",J1852="",K1852="",L1852="",M1852=""),"FAIL","PASS"))</x:f>
        <x:v>OPEN</x:v>
      </x:c>
    </x:row>
    <x:row r="1853">
      <x:c r="B1853" s="7" t="str">
        <x:v>CH-PEA-C-X1-20-5</x:v>
      </x:c>
      <x:c r="C1853" s="7" t="str">
        <x:v>PEA-C-X1</x:v>
      </x:c>
      <x:c r="D1853" s="7" t="str">
        <x:v>BLD-C</x:v>
      </x:c>
      <x:c r="E1853" s="7" t="str">
        <x:v>BL-X</x:v>
      </x:c>
      <x:c r="F1853" s="7" t="str">
        <x:v>MF-20</x:v>
      </x:c>
      <x:c r="G1853" s="7" t="str">
        <x:v>occupied-area state</x:v>
      </x:c>
      <x:c r="H1853" s="7" t="n">
        <x:v>5</x:v>
      </x:c>
      <x:c r="I1853" s="7" t="str"/>
      <x:c r="J1853" s="7" t="str"/>
      <x:c r="K1853" s="7" t="str"/>
      <x:c r="L1853" s="7" t="str"/>
      <x:c r="M1853" s="7" t="str"/>
      <x:c r="N1853" s="7" t="str"/>
      <x:c r="O1853" s="7" t="str">
        <x:f>IF(N1853="","OPEN",IF(OR(I1853="",J1853="",K1853="",L1853="",M1853=""),"FAIL","PASS"))</x:f>
        <x:v>OPEN</x:v>
      </x:c>
    </x:row>
    <x:row r="1854">
      <x:c r="B1854" s="7" t="str">
        <x:v>CH-PEA-C-X1-20-6</x:v>
      </x:c>
      <x:c r="C1854" s="7" t="str">
        <x:v>PEA-C-X1</x:v>
      </x:c>
      <x:c r="D1854" s="7" t="str">
        <x:v>BLD-C</x:v>
      </x:c>
      <x:c r="E1854" s="7" t="str">
        <x:v>BL-X</x:v>
      </x:c>
      <x:c r="F1854" s="7" t="str">
        <x:v>MF-20</x:v>
      </x:c>
      <x:c r="G1854" s="7" t="str">
        <x:v>occupied-area state</x:v>
      </x:c>
      <x:c r="H1854" s="7" t="n">
        <x:v>6</x:v>
      </x:c>
      <x:c r="I1854" s="7" t="str"/>
      <x:c r="J1854" s="7" t="str"/>
      <x:c r="K1854" s="7" t="str"/>
      <x:c r="L1854" s="7" t="str"/>
      <x:c r="M1854" s="7" t="str"/>
      <x:c r="N1854" s="7" t="str"/>
      <x:c r="O1854" s="7" t="str">
        <x:f>IF(N1854="","OPEN",IF(OR(I1854="",J1854="",K1854="",L1854="",M1854=""),"FAIL","PASS"))</x:f>
        <x:v>OPEN</x:v>
      </x:c>
    </x:row>
    <x:row r="1855">
      <x:c r="B1855" s="7" t="str">
        <x:v>CH-PEA-C-X1-21-1</x:v>
      </x:c>
      <x:c r="C1855" s="7" t="str">
        <x:v>PEA-C-X1</x:v>
      </x:c>
      <x:c r="D1855" s="7" t="str">
        <x:v>BLD-C</x:v>
      </x:c>
      <x:c r="E1855" s="7" t="str">
        <x:v>BL-X</x:v>
      </x:c>
      <x:c r="F1855" s="7" t="str">
        <x:v>MF-21</x:v>
      </x:c>
      <x:c r="G1855" s="7" t="str">
        <x:v>public-water flow</x:v>
      </x:c>
      <x:c r="H1855" s="7" t="n">
        <x:v>1</x:v>
      </x:c>
      <x:c r="I1855" s="7" t="str"/>
      <x:c r="J1855" s="7" t="str"/>
      <x:c r="K1855" s="7" t="str"/>
      <x:c r="L1855" s="7" t="str"/>
      <x:c r="M1855" s="7" t="str"/>
      <x:c r="N1855" s="7" t="str"/>
      <x:c r="O1855" s="7" t="str">
        <x:f>IF(N1855="","OPEN",IF(OR(I1855="",J1855="",K1855="",L1855="",M1855=""),"FAIL","PASS"))</x:f>
        <x:v>OPEN</x:v>
      </x:c>
    </x:row>
    <x:row r="1856">
      <x:c r="B1856" s="7" t="str">
        <x:v>CH-PEA-C-X1-21-2</x:v>
      </x:c>
      <x:c r="C1856" s="7" t="str">
        <x:v>PEA-C-X1</x:v>
      </x:c>
      <x:c r="D1856" s="7" t="str">
        <x:v>BLD-C</x:v>
      </x:c>
      <x:c r="E1856" s="7" t="str">
        <x:v>BL-X</x:v>
      </x:c>
      <x:c r="F1856" s="7" t="str">
        <x:v>MF-21</x:v>
      </x:c>
      <x:c r="G1856" s="7" t="str">
        <x:v>public-water flow</x:v>
      </x:c>
      <x:c r="H1856" s="7" t="n">
        <x:v>2</x:v>
      </x:c>
      <x:c r="I1856" s="7" t="str"/>
      <x:c r="J1856" s="7" t="str"/>
      <x:c r="K1856" s="7" t="str"/>
      <x:c r="L1856" s="7" t="str"/>
      <x:c r="M1856" s="7" t="str"/>
      <x:c r="N1856" s="7" t="str"/>
      <x:c r="O1856" s="7" t="str">
        <x:f>IF(N1856="","OPEN",IF(OR(I1856="",J1856="",K1856="",L1856="",M1856=""),"FAIL","PASS"))</x:f>
        <x:v>OPEN</x:v>
      </x:c>
    </x:row>
    <x:row r="1857">
      <x:c r="B1857" s="7" t="str">
        <x:v>CH-PEA-C-X1-21-3</x:v>
      </x:c>
      <x:c r="C1857" s="7" t="str">
        <x:v>PEA-C-X1</x:v>
      </x:c>
      <x:c r="D1857" s="7" t="str">
        <x:v>BLD-C</x:v>
      </x:c>
      <x:c r="E1857" s="7" t="str">
        <x:v>BL-X</x:v>
      </x:c>
      <x:c r="F1857" s="7" t="str">
        <x:v>MF-21</x:v>
      </x:c>
      <x:c r="G1857" s="7" t="str">
        <x:v>public-water flow</x:v>
      </x:c>
      <x:c r="H1857" s="7" t="n">
        <x:v>3</x:v>
      </x:c>
      <x:c r="I1857" s="7" t="str"/>
      <x:c r="J1857" s="7" t="str"/>
      <x:c r="K1857" s="7" t="str"/>
      <x:c r="L1857" s="7" t="str"/>
      <x:c r="M1857" s="7" t="str"/>
      <x:c r="N1857" s="7" t="str"/>
      <x:c r="O1857" s="7" t="str">
        <x:f>IF(N1857="","OPEN",IF(OR(I1857="",J1857="",K1857="",L1857="",M1857=""),"FAIL","PASS"))</x:f>
        <x:v>OPEN</x:v>
      </x:c>
    </x:row>
    <x:row r="1858">
      <x:c r="B1858" s="7" t="str">
        <x:v>CH-PEA-C-X1-21-4</x:v>
      </x:c>
      <x:c r="C1858" s="7" t="str">
        <x:v>PEA-C-X1</x:v>
      </x:c>
      <x:c r="D1858" s="7" t="str">
        <x:v>BLD-C</x:v>
      </x:c>
      <x:c r="E1858" s="7" t="str">
        <x:v>BL-X</x:v>
      </x:c>
      <x:c r="F1858" s="7" t="str">
        <x:v>MF-21</x:v>
      </x:c>
      <x:c r="G1858" s="7" t="str">
        <x:v>public-water flow</x:v>
      </x:c>
      <x:c r="H1858" s="7" t="n">
        <x:v>4</x:v>
      </x:c>
      <x:c r="I1858" s="7" t="str"/>
      <x:c r="J1858" s="7" t="str"/>
      <x:c r="K1858" s="7" t="str"/>
      <x:c r="L1858" s="7" t="str"/>
      <x:c r="M1858" s="7" t="str"/>
      <x:c r="N1858" s="7" t="str"/>
      <x:c r="O1858" s="7" t="str">
        <x:f>IF(N1858="","OPEN",IF(OR(I1858="",J1858="",K1858="",L1858="",M1858=""),"FAIL","PASS"))</x:f>
        <x:v>OPEN</x:v>
      </x:c>
    </x:row>
    <x:row r="1859">
      <x:c r="B1859" s="7" t="str">
        <x:v>CH-PEA-C-X1-21-5</x:v>
      </x:c>
      <x:c r="C1859" s="7" t="str">
        <x:v>PEA-C-X1</x:v>
      </x:c>
      <x:c r="D1859" s="7" t="str">
        <x:v>BLD-C</x:v>
      </x:c>
      <x:c r="E1859" s="7" t="str">
        <x:v>BL-X</x:v>
      </x:c>
      <x:c r="F1859" s="7" t="str">
        <x:v>MF-21</x:v>
      </x:c>
      <x:c r="G1859" s="7" t="str">
        <x:v>public-water flow</x:v>
      </x:c>
      <x:c r="H1859" s="7" t="n">
        <x:v>5</x:v>
      </x:c>
      <x:c r="I1859" s="7" t="str"/>
      <x:c r="J1859" s="7" t="str"/>
      <x:c r="K1859" s="7" t="str"/>
      <x:c r="L1859" s="7" t="str"/>
      <x:c r="M1859" s="7" t="str"/>
      <x:c r="N1859" s="7" t="str"/>
      <x:c r="O1859" s="7" t="str">
        <x:f>IF(N1859="","OPEN",IF(OR(I1859="",J1859="",K1859="",L1859="",M1859=""),"FAIL","PASS"))</x:f>
        <x:v>OPEN</x:v>
      </x:c>
    </x:row>
    <x:row r="1860">
      <x:c r="B1860" s="7" t="str">
        <x:v>CH-PEA-C-X1-21-6</x:v>
      </x:c>
      <x:c r="C1860" s="7" t="str">
        <x:v>PEA-C-X1</x:v>
      </x:c>
      <x:c r="D1860" s="7" t="str">
        <x:v>BLD-C</x:v>
      </x:c>
      <x:c r="E1860" s="7" t="str">
        <x:v>BL-X</x:v>
      </x:c>
      <x:c r="F1860" s="7" t="str">
        <x:v>MF-21</x:v>
      </x:c>
      <x:c r="G1860" s="7" t="str">
        <x:v>public-water flow</x:v>
      </x:c>
      <x:c r="H1860" s="7" t="n">
        <x:v>6</x:v>
      </x:c>
      <x:c r="I1860" s="7" t="str"/>
      <x:c r="J1860" s="7" t="str"/>
      <x:c r="K1860" s="7" t="str"/>
      <x:c r="L1860" s="7" t="str"/>
      <x:c r="M1860" s="7" t="str"/>
      <x:c r="N1860" s="7" t="str"/>
      <x:c r="O1860" s="7" t="str">
        <x:f>IF(N1860="","OPEN",IF(OR(I1860="",J1860="",K1860="",L1860="",M1860=""),"FAIL","PASS"))</x:f>
        <x:v>OPEN</x:v>
      </x:c>
    </x:row>
    <x:row r="1861">
      <x:c r="B1861" s="7" t="str">
        <x:v>CH-PEA-C-X1-22-1</x:v>
      </x:c>
      <x:c r="C1861" s="7" t="str">
        <x:v>PEA-C-X1</x:v>
      </x:c>
      <x:c r="D1861" s="7" t="str">
        <x:v>BLD-C</x:v>
      </x:c>
      <x:c r="E1861" s="7" t="str">
        <x:v>BL-X</x:v>
      </x:c>
      <x:c r="F1861" s="7" t="str">
        <x:v>MF-22</x:v>
      </x:c>
      <x:c r="G1861" s="7" t="str">
        <x:v>source ancestry</x:v>
      </x:c>
      <x:c r="H1861" s="7" t="n">
        <x:v>1</x:v>
      </x:c>
      <x:c r="I1861" s="7" t="str"/>
      <x:c r="J1861" s="7" t="str"/>
      <x:c r="K1861" s="7" t="str"/>
      <x:c r="L1861" s="7" t="str"/>
      <x:c r="M1861" s="7" t="str"/>
      <x:c r="N1861" s="7" t="str"/>
      <x:c r="O1861" s="7" t="str">
        <x:f>IF(N1861="","OPEN",IF(OR(I1861="",J1861="",K1861="",L1861="",M1861=""),"FAIL","PASS"))</x:f>
        <x:v>OPEN</x:v>
      </x:c>
    </x:row>
    <x:row r="1862">
      <x:c r="B1862" s="7" t="str">
        <x:v>CH-PEA-C-X1-22-2</x:v>
      </x:c>
      <x:c r="C1862" s="7" t="str">
        <x:v>PEA-C-X1</x:v>
      </x:c>
      <x:c r="D1862" s="7" t="str">
        <x:v>BLD-C</x:v>
      </x:c>
      <x:c r="E1862" s="7" t="str">
        <x:v>BL-X</x:v>
      </x:c>
      <x:c r="F1862" s="7" t="str">
        <x:v>MF-22</x:v>
      </x:c>
      <x:c r="G1862" s="7" t="str">
        <x:v>source ancestry</x:v>
      </x:c>
      <x:c r="H1862" s="7" t="n">
        <x:v>2</x:v>
      </x:c>
      <x:c r="I1862" s="7" t="str"/>
      <x:c r="J1862" s="7" t="str"/>
      <x:c r="K1862" s="7" t="str"/>
      <x:c r="L1862" s="7" t="str"/>
      <x:c r="M1862" s="7" t="str"/>
      <x:c r="N1862" s="7" t="str"/>
      <x:c r="O1862" s="7" t="str">
        <x:f>IF(N1862="","OPEN",IF(OR(I1862="",J1862="",K1862="",L1862="",M1862=""),"FAIL","PASS"))</x:f>
        <x:v>OPEN</x:v>
      </x:c>
    </x:row>
    <x:row r="1863">
      <x:c r="B1863" s="7" t="str">
        <x:v>CH-PEA-C-X1-22-3</x:v>
      </x:c>
      <x:c r="C1863" s="7" t="str">
        <x:v>PEA-C-X1</x:v>
      </x:c>
      <x:c r="D1863" s="7" t="str">
        <x:v>BLD-C</x:v>
      </x:c>
      <x:c r="E1863" s="7" t="str">
        <x:v>BL-X</x:v>
      </x:c>
      <x:c r="F1863" s="7" t="str">
        <x:v>MF-22</x:v>
      </x:c>
      <x:c r="G1863" s="7" t="str">
        <x:v>source ancestry</x:v>
      </x:c>
      <x:c r="H1863" s="7" t="n">
        <x:v>3</x:v>
      </x:c>
      <x:c r="I1863" s="7" t="str"/>
      <x:c r="J1863" s="7" t="str"/>
      <x:c r="K1863" s="7" t="str"/>
      <x:c r="L1863" s="7" t="str"/>
      <x:c r="M1863" s="7" t="str"/>
      <x:c r="N1863" s="7" t="str"/>
      <x:c r="O1863" s="7" t="str">
        <x:f>IF(N1863="","OPEN",IF(OR(I1863="",J1863="",K1863="",L1863="",M1863=""),"FAIL","PASS"))</x:f>
        <x:v>OPEN</x:v>
      </x:c>
    </x:row>
    <x:row r="1864">
      <x:c r="B1864" s="7" t="str">
        <x:v>CH-PEA-C-X1-22-4</x:v>
      </x:c>
      <x:c r="C1864" s="7" t="str">
        <x:v>PEA-C-X1</x:v>
      </x:c>
      <x:c r="D1864" s="7" t="str">
        <x:v>BLD-C</x:v>
      </x:c>
      <x:c r="E1864" s="7" t="str">
        <x:v>BL-X</x:v>
      </x:c>
      <x:c r="F1864" s="7" t="str">
        <x:v>MF-22</x:v>
      </x:c>
      <x:c r="G1864" s="7" t="str">
        <x:v>source ancestry</x:v>
      </x:c>
      <x:c r="H1864" s="7" t="n">
        <x:v>4</x:v>
      </x:c>
      <x:c r="I1864" s="7" t="str"/>
      <x:c r="J1864" s="7" t="str"/>
      <x:c r="K1864" s="7" t="str"/>
      <x:c r="L1864" s="7" t="str"/>
      <x:c r="M1864" s="7" t="str"/>
      <x:c r="N1864" s="7" t="str"/>
      <x:c r="O1864" s="7" t="str">
        <x:f>IF(N1864="","OPEN",IF(OR(I1864="",J1864="",K1864="",L1864="",M1864=""),"FAIL","PASS"))</x:f>
        <x:v>OPEN</x:v>
      </x:c>
    </x:row>
    <x:row r="1865">
      <x:c r="B1865" s="7" t="str">
        <x:v>CH-PEA-C-X1-22-5</x:v>
      </x:c>
      <x:c r="C1865" s="7" t="str">
        <x:v>PEA-C-X1</x:v>
      </x:c>
      <x:c r="D1865" s="7" t="str">
        <x:v>BLD-C</x:v>
      </x:c>
      <x:c r="E1865" s="7" t="str">
        <x:v>BL-X</x:v>
      </x:c>
      <x:c r="F1865" s="7" t="str">
        <x:v>MF-22</x:v>
      </x:c>
      <x:c r="G1865" s="7" t="str">
        <x:v>source ancestry</x:v>
      </x:c>
      <x:c r="H1865" s="7" t="n">
        <x:v>5</x:v>
      </x:c>
      <x:c r="I1865" s="7" t="str"/>
      <x:c r="J1865" s="7" t="str"/>
      <x:c r="K1865" s="7" t="str"/>
      <x:c r="L1865" s="7" t="str"/>
      <x:c r="M1865" s="7" t="str"/>
      <x:c r="N1865" s="7" t="str"/>
      <x:c r="O1865" s="7" t="str">
        <x:f>IF(N1865="","OPEN",IF(OR(I1865="",J1865="",K1865="",L1865="",M1865=""),"FAIL","PASS"))</x:f>
        <x:v>OPEN</x:v>
      </x:c>
    </x:row>
    <x:row r="1866">
      <x:c r="B1866" s="7" t="str">
        <x:v>CH-PEA-C-X1-22-6</x:v>
      </x:c>
      <x:c r="C1866" s="7" t="str">
        <x:v>PEA-C-X1</x:v>
      </x:c>
      <x:c r="D1866" s="7" t="str">
        <x:v>BLD-C</x:v>
      </x:c>
      <x:c r="E1866" s="7" t="str">
        <x:v>BL-X</x:v>
      </x:c>
      <x:c r="F1866" s="7" t="str">
        <x:v>MF-22</x:v>
      </x:c>
      <x:c r="G1866" s="7" t="str">
        <x:v>source ancestry</x:v>
      </x:c>
      <x:c r="H1866" s="7" t="n">
        <x:v>6</x:v>
      </x:c>
      <x:c r="I1866" s="7" t="str"/>
      <x:c r="J1866" s="7" t="str"/>
      <x:c r="K1866" s="7" t="str"/>
      <x:c r="L1866" s="7" t="str"/>
      <x:c r="M1866" s="7" t="str"/>
      <x:c r="N1866" s="7" t="str"/>
      <x:c r="O1866" s="7" t="str">
        <x:f>IF(N1866="","OPEN",IF(OR(I1866="",J1866="",K1866="",L1866="",M1866=""),"FAIL","PASS"))</x:f>
        <x:v>OPEN</x:v>
      </x:c>
    </x:row>
    <x:row r="1867">
      <x:c r="B1867" s="7" t="str">
        <x:v>CH-PEA-C-X1-23-1</x:v>
      </x:c>
      <x:c r="C1867" s="7" t="str">
        <x:v>PEA-C-X1</x:v>
      </x:c>
      <x:c r="D1867" s="7" t="str">
        <x:v>BLD-C</x:v>
      </x:c>
      <x:c r="E1867" s="7" t="str">
        <x:v>BL-X</x:v>
      </x:c>
      <x:c r="F1867" s="7" t="str">
        <x:v>MF-23</x:v>
      </x:c>
      <x:c r="G1867" s="7" t="str">
        <x:v>water ancestry</x:v>
      </x:c>
      <x:c r="H1867" s="7" t="n">
        <x:v>1</x:v>
      </x:c>
      <x:c r="I1867" s="7" t="str"/>
      <x:c r="J1867" s="7" t="str"/>
      <x:c r="K1867" s="7" t="str"/>
      <x:c r="L1867" s="7" t="str"/>
      <x:c r="M1867" s="7" t="str"/>
      <x:c r="N1867" s="7" t="str"/>
      <x:c r="O1867" s="7" t="str">
        <x:f>IF(N1867="","OPEN",IF(OR(I1867="",J1867="",K1867="",L1867="",M1867=""),"FAIL","PASS"))</x:f>
        <x:v>OPEN</x:v>
      </x:c>
    </x:row>
    <x:row r="1868">
      <x:c r="B1868" s="7" t="str">
        <x:v>CH-PEA-C-X1-23-2</x:v>
      </x:c>
      <x:c r="C1868" s="7" t="str">
        <x:v>PEA-C-X1</x:v>
      </x:c>
      <x:c r="D1868" s="7" t="str">
        <x:v>BLD-C</x:v>
      </x:c>
      <x:c r="E1868" s="7" t="str">
        <x:v>BL-X</x:v>
      </x:c>
      <x:c r="F1868" s="7" t="str">
        <x:v>MF-23</x:v>
      </x:c>
      <x:c r="G1868" s="7" t="str">
        <x:v>water ancestry</x:v>
      </x:c>
      <x:c r="H1868" s="7" t="n">
        <x:v>2</x:v>
      </x:c>
      <x:c r="I1868" s="7" t="str"/>
      <x:c r="J1868" s="7" t="str"/>
      <x:c r="K1868" s="7" t="str"/>
      <x:c r="L1868" s="7" t="str"/>
      <x:c r="M1868" s="7" t="str"/>
      <x:c r="N1868" s="7" t="str"/>
      <x:c r="O1868" s="7" t="str">
        <x:f>IF(N1868="","OPEN",IF(OR(I1868="",J1868="",K1868="",L1868="",M1868=""),"FAIL","PASS"))</x:f>
        <x:v>OPEN</x:v>
      </x:c>
    </x:row>
    <x:row r="1869">
      <x:c r="B1869" s="7" t="str">
        <x:v>CH-PEA-C-X1-23-3</x:v>
      </x:c>
      <x:c r="C1869" s="7" t="str">
        <x:v>PEA-C-X1</x:v>
      </x:c>
      <x:c r="D1869" s="7" t="str">
        <x:v>BLD-C</x:v>
      </x:c>
      <x:c r="E1869" s="7" t="str">
        <x:v>BL-X</x:v>
      </x:c>
      <x:c r="F1869" s="7" t="str">
        <x:v>MF-23</x:v>
      </x:c>
      <x:c r="G1869" s="7" t="str">
        <x:v>water ancestry</x:v>
      </x:c>
      <x:c r="H1869" s="7" t="n">
        <x:v>3</x:v>
      </x:c>
      <x:c r="I1869" s="7" t="str"/>
      <x:c r="J1869" s="7" t="str"/>
      <x:c r="K1869" s="7" t="str"/>
      <x:c r="L1869" s="7" t="str"/>
      <x:c r="M1869" s="7" t="str"/>
      <x:c r="N1869" s="7" t="str"/>
      <x:c r="O1869" s="7" t="str">
        <x:f>IF(N1869="","OPEN",IF(OR(I1869="",J1869="",K1869="",L1869="",M1869=""),"FAIL","PASS"))</x:f>
        <x:v>OPEN</x:v>
      </x:c>
    </x:row>
    <x:row r="1870">
      <x:c r="B1870" s="7" t="str">
        <x:v>CH-PEA-C-X1-23-4</x:v>
      </x:c>
      <x:c r="C1870" s="7" t="str">
        <x:v>PEA-C-X1</x:v>
      </x:c>
      <x:c r="D1870" s="7" t="str">
        <x:v>BLD-C</x:v>
      </x:c>
      <x:c r="E1870" s="7" t="str">
        <x:v>BL-X</x:v>
      </x:c>
      <x:c r="F1870" s="7" t="str">
        <x:v>MF-23</x:v>
      </x:c>
      <x:c r="G1870" s="7" t="str">
        <x:v>water ancestry</x:v>
      </x:c>
      <x:c r="H1870" s="7" t="n">
        <x:v>4</x:v>
      </x:c>
      <x:c r="I1870" s="7" t="str"/>
      <x:c r="J1870" s="7" t="str"/>
      <x:c r="K1870" s="7" t="str"/>
      <x:c r="L1870" s="7" t="str"/>
      <x:c r="M1870" s="7" t="str"/>
      <x:c r="N1870" s="7" t="str"/>
      <x:c r="O1870" s="7" t="str">
        <x:f>IF(N1870="","OPEN",IF(OR(I1870="",J1870="",K1870="",L1870="",M1870=""),"FAIL","PASS"))</x:f>
        <x:v>OPEN</x:v>
      </x:c>
    </x:row>
    <x:row r="1871">
      <x:c r="B1871" s="7" t="str">
        <x:v>CH-PEA-C-X1-23-5</x:v>
      </x:c>
      <x:c r="C1871" s="7" t="str">
        <x:v>PEA-C-X1</x:v>
      </x:c>
      <x:c r="D1871" s="7" t="str">
        <x:v>BLD-C</x:v>
      </x:c>
      <x:c r="E1871" s="7" t="str">
        <x:v>BL-X</x:v>
      </x:c>
      <x:c r="F1871" s="7" t="str">
        <x:v>MF-23</x:v>
      </x:c>
      <x:c r="G1871" s="7" t="str">
        <x:v>water ancestry</x:v>
      </x:c>
      <x:c r="H1871" s="7" t="n">
        <x:v>5</x:v>
      </x:c>
      <x:c r="I1871" s="7" t="str"/>
      <x:c r="J1871" s="7" t="str"/>
      <x:c r="K1871" s="7" t="str"/>
      <x:c r="L1871" s="7" t="str"/>
      <x:c r="M1871" s="7" t="str"/>
      <x:c r="N1871" s="7" t="str"/>
      <x:c r="O1871" s="7" t="str">
        <x:f>IF(N1871="","OPEN",IF(OR(I1871="",J1871="",K1871="",L1871="",M1871=""),"FAIL","PASS"))</x:f>
        <x:v>OPEN</x:v>
      </x:c>
    </x:row>
    <x:row r="1872">
      <x:c r="B1872" s="7" t="str">
        <x:v>CH-PEA-C-X1-23-6</x:v>
      </x:c>
      <x:c r="C1872" s="7" t="str">
        <x:v>PEA-C-X1</x:v>
      </x:c>
      <x:c r="D1872" s="7" t="str">
        <x:v>BLD-C</x:v>
      </x:c>
      <x:c r="E1872" s="7" t="str">
        <x:v>BL-X</x:v>
      </x:c>
      <x:c r="F1872" s="7" t="str">
        <x:v>MF-23</x:v>
      </x:c>
      <x:c r="G1872" s="7" t="str">
        <x:v>water ancestry</x:v>
      </x:c>
      <x:c r="H1872" s="7" t="n">
        <x:v>6</x:v>
      </x:c>
      <x:c r="I1872" s="7" t="str"/>
      <x:c r="J1872" s="7" t="str"/>
      <x:c r="K1872" s="7" t="str"/>
      <x:c r="L1872" s="7" t="str"/>
      <x:c r="M1872" s="7" t="str"/>
      <x:c r="N1872" s="7" t="str"/>
      <x:c r="O1872" s="7" t="str">
        <x:f>IF(N1872="","OPEN",IF(OR(I1872="",J1872="",K1872="",L1872="",M1872=""),"FAIL","PASS"))</x:f>
        <x:v>OPEN</x:v>
      </x:c>
    </x:row>
    <x:row r="1873">
      <x:c r="B1873" s="7" t="str">
        <x:v>CH-PEA-C-X1-24-1</x:v>
      </x:c>
      <x:c r="C1873" s="7" t="str">
        <x:v>PEA-C-X1</x:v>
      </x:c>
      <x:c r="D1873" s="7" t="str">
        <x:v>BLD-C</x:v>
      </x:c>
      <x:c r="E1873" s="7" t="str">
        <x:v>BL-X</x:v>
      </x:c>
      <x:c r="F1873" s="7" t="str">
        <x:v>MF-24</x:v>
      </x:c>
      <x:c r="G1873" s="7" t="str">
        <x:v>evidence health</x:v>
      </x:c>
      <x:c r="H1873" s="7" t="n">
        <x:v>1</x:v>
      </x:c>
      <x:c r="I1873" s="7" t="str"/>
      <x:c r="J1873" s="7" t="str"/>
      <x:c r="K1873" s="7" t="str"/>
      <x:c r="L1873" s="7" t="str"/>
      <x:c r="M1873" s="7" t="str"/>
      <x:c r="N1873" s="7" t="str"/>
      <x:c r="O1873" s="7" t="str">
        <x:f>IF(N1873="","OPEN",IF(OR(I1873="",J1873="",K1873="",L1873="",M1873=""),"FAIL","PASS"))</x:f>
        <x:v>OPEN</x:v>
      </x:c>
    </x:row>
    <x:row r="1874">
      <x:c r="B1874" s="7" t="str">
        <x:v>CH-PEA-C-X1-24-2</x:v>
      </x:c>
      <x:c r="C1874" s="7" t="str">
        <x:v>PEA-C-X1</x:v>
      </x:c>
      <x:c r="D1874" s="7" t="str">
        <x:v>BLD-C</x:v>
      </x:c>
      <x:c r="E1874" s="7" t="str">
        <x:v>BL-X</x:v>
      </x:c>
      <x:c r="F1874" s="7" t="str">
        <x:v>MF-24</x:v>
      </x:c>
      <x:c r="G1874" s="7" t="str">
        <x:v>evidence health</x:v>
      </x:c>
      <x:c r="H1874" s="7" t="n">
        <x:v>2</x:v>
      </x:c>
      <x:c r="I1874" s="7" t="str"/>
      <x:c r="J1874" s="7" t="str"/>
      <x:c r="K1874" s="7" t="str"/>
      <x:c r="L1874" s="7" t="str"/>
      <x:c r="M1874" s="7" t="str"/>
      <x:c r="N1874" s="7" t="str"/>
      <x:c r="O1874" s="7" t="str">
        <x:f>IF(N1874="","OPEN",IF(OR(I1874="",J1874="",K1874="",L1874="",M1874=""),"FAIL","PASS"))</x:f>
        <x:v>OPEN</x:v>
      </x:c>
    </x:row>
    <x:row r="1875">
      <x:c r="B1875" s="7" t="str">
        <x:v>CH-PEA-C-X1-24-3</x:v>
      </x:c>
      <x:c r="C1875" s="7" t="str">
        <x:v>PEA-C-X1</x:v>
      </x:c>
      <x:c r="D1875" s="7" t="str">
        <x:v>BLD-C</x:v>
      </x:c>
      <x:c r="E1875" s="7" t="str">
        <x:v>BL-X</x:v>
      </x:c>
      <x:c r="F1875" s="7" t="str">
        <x:v>MF-24</x:v>
      </x:c>
      <x:c r="G1875" s="7" t="str">
        <x:v>evidence health</x:v>
      </x:c>
      <x:c r="H1875" s="7" t="n">
        <x:v>3</x:v>
      </x:c>
      <x:c r="I1875" s="7" t="str"/>
      <x:c r="J1875" s="7" t="str"/>
      <x:c r="K1875" s="7" t="str"/>
      <x:c r="L1875" s="7" t="str"/>
      <x:c r="M1875" s="7" t="str"/>
      <x:c r="N1875" s="7" t="str"/>
      <x:c r="O1875" s="7" t="str">
        <x:f>IF(N1875="","OPEN",IF(OR(I1875="",J1875="",K1875="",L1875="",M1875=""),"FAIL","PASS"))</x:f>
        <x:v>OPEN</x:v>
      </x:c>
    </x:row>
    <x:row r="1876">
      <x:c r="B1876" s="7" t="str">
        <x:v>CH-PEA-C-X1-24-4</x:v>
      </x:c>
      <x:c r="C1876" s="7" t="str">
        <x:v>PEA-C-X1</x:v>
      </x:c>
      <x:c r="D1876" s="7" t="str">
        <x:v>BLD-C</x:v>
      </x:c>
      <x:c r="E1876" s="7" t="str">
        <x:v>BL-X</x:v>
      </x:c>
      <x:c r="F1876" s="7" t="str">
        <x:v>MF-24</x:v>
      </x:c>
      <x:c r="G1876" s="7" t="str">
        <x:v>evidence health</x:v>
      </x:c>
      <x:c r="H1876" s="7" t="n">
        <x:v>4</x:v>
      </x:c>
      <x:c r="I1876" s="7" t="str"/>
      <x:c r="J1876" s="7" t="str"/>
      <x:c r="K1876" s="7" t="str"/>
      <x:c r="L1876" s="7" t="str"/>
      <x:c r="M1876" s="7" t="str"/>
      <x:c r="N1876" s="7" t="str"/>
      <x:c r="O1876" s="7" t="str">
        <x:f>IF(N1876="","OPEN",IF(OR(I1876="",J1876="",K1876="",L1876="",M1876=""),"FAIL","PASS"))</x:f>
        <x:v>OPEN</x:v>
      </x:c>
    </x:row>
    <x:row r="1877">
      <x:c r="B1877" s="7" t="str">
        <x:v>CH-PEA-C-X1-24-5</x:v>
      </x:c>
      <x:c r="C1877" s="7" t="str">
        <x:v>PEA-C-X1</x:v>
      </x:c>
      <x:c r="D1877" s="7" t="str">
        <x:v>BLD-C</x:v>
      </x:c>
      <x:c r="E1877" s="7" t="str">
        <x:v>BL-X</x:v>
      </x:c>
      <x:c r="F1877" s="7" t="str">
        <x:v>MF-24</x:v>
      </x:c>
      <x:c r="G1877" s="7" t="str">
        <x:v>evidence health</x:v>
      </x:c>
      <x:c r="H1877" s="7" t="n">
        <x:v>5</x:v>
      </x:c>
      <x:c r="I1877" s="7" t="str"/>
      <x:c r="J1877" s="7" t="str"/>
      <x:c r="K1877" s="7" t="str"/>
      <x:c r="L1877" s="7" t="str"/>
      <x:c r="M1877" s="7" t="str"/>
      <x:c r="N1877" s="7" t="str"/>
      <x:c r="O1877" s="7" t="str">
        <x:f>IF(N1877="","OPEN",IF(OR(I1877="",J1877="",K1877="",L1877="",M1877=""),"FAIL","PASS"))</x:f>
        <x:v>OPEN</x:v>
      </x:c>
    </x:row>
    <x:row r="1878">
      <x:c r="B1878" s="7" t="str">
        <x:v>CH-PEA-C-X1-24-6</x:v>
      </x:c>
      <x:c r="C1878" s="7" t="str">
        <x:v>PEA-C-X1</x:v>
      </x:c>
      <x:c r="D1878" s="7" t="str">
        <x:v>BLD-C</x:v>
      </x:c>
      <x:c r="E1878" s="7" t="str">
        <x:v>BL-X</x:v>
      </x:c>
      <x:c r="F1878" s="7" t="str">
        <x:v>MF-24</x:v>
      </x:c>
      <x:c r="G1878" s="7" t="str">
        <x:v>evidence health</x:v>
      </x:c>
      <x:c r="H1878" s="7" t="n">
        <x:v>6</x:v>
      </x:c>
      <x:c r="I1878" s="7" t="str"/>
      <x:c r="J1878" s="7" t="str"/>
      <x:c r="K1878" s="7" t="str"/>
      <x:c r="L1878" s="7" t="str"/>
      <x:c r="M1878" s="7" t="str"/>
      <x:c r="N1878" s="7" t="str"/>
      <x:c r="O1878" s="7" t="str">
        <x:f>IF(N1878="","OPEN",IF(OR(I1878="",J1878="",K1878="",L1878="",M1878=""),"FAIL","PASS"))</x:f>
        <x:v>OPEN</x:v>
      </x:c>
    </x:row>
    <x:row r="1879">
      <x:c r="B1879" s="7" t="str">
        <x:v>CH-PEA-C-X2-01-1</x:v>
      </x:c>
      <x:c r="C1879" s="7" t="str">
        <x:v>PEA-C-X2</x:v>
      </x:c>
      <x:c r="D1879" s="7" t="str">
        <x:v>BLD-C</x:v>
      </x:c>
      <x:c r="E1879" s="7" t="str">
        <x:v>BL-X</x:v>
      </x:c>
      <x:c r="F1879" s="7" t="str">
        <x:v>MF-01</x:v>
      </x:c>
      <x:c r="G1879" s="7" t="str">
        <x:v>source vessel mass</x:v>
      </x:c>
      <x:c r="H1879" s="7" t="n">
        <x:v>1</x:v>
      </x:c>
      <x:c r="I1879" s="7" t="str"/>
      <x:c r="J1879" s="7" t="str"/>
      <x:c r="K1879" s="7" t="str"/>
      <x:c r="L1879" s="7" t="str"/>
      <x:c r="M1879" s="7" t="str"/>
      <x:c r="N1879" s="7" t="str"/>
      <x:c r="O1879" s="7" t="str">
        <x:f>IF(N1879="","OPEN",IF(OR(I1879="",J1879="",K1879="",L1879="",M1879=""),"FAIL","PASS"))</x:f>
        <x:v>OPEN</x:v>
      </x:c>
    </x:row>
    <x:row r="1880">
      <x:c r="B1880" s="7" t="str">
        <x:v>CH-PEA-C-X2-01-2</x:v>
      </x:c>
      <x:c r="C1880" s="7" t="str">
        <x:v>PEA-C-X2</x:v>
      </x:c>
      <x:c r="D1880" s="7" t="str">
        <x:v>BLD-C</x:v>
      </x:c>
      <x:c r="E1880" s="7" t="str">
        <x:v>BL-X</x:v>
      </x:c>
      <x:c r="F1880" s="7" t="str">
        <x:v>MF-01</x:v>
      </x:c>
      <x:c r="G1880" s="7" t="str">
        <x:v>source vessel mass</x:v>
      </x:c>
      <x:c r="H1880" s="7" t="n">
        <x:v>2</x:v>
      </x:c>
      <x:c r="I1880" s="7" t="str"/>
      <x:c r="J1880" s="7" t="str"/>
      <x:c r="K1880" s="7" t="str"/>
      <x:c r="L1880" s="7" t="str"/>
      <x:c r="M1880" s="7" t="str"/>
      <x:c r="N1880" s="7" t="str"/>
      <x:c r="O1880" s="7" t="str">
        <x:f>IF(N1880="","OPEN",IF(OR(I1880="",J1880="",K1880="",L1880="",M1880=""),"FAIL","PASS"))</x:f>
        <x:v>OPEN</x:v>
      </x:c>
    </x:row>
    <x:row r="1881">
      <x:c r="B1881" s="7" t="str">
        <x:v>CH-PEA-C-X2-01-3</x:v>
      </x:c>
      <x:c r="C1881" s="7" t="str">
        <x:v>PEA-C-X2</x:v>
      </x:c>
      <x:c r="D1881" s="7" t="str">
        <x:v>BLD-C</x:v>
      </x:c>
      <x:c r="E1881" s="7" t="str">
        <x:v>BL-X</x:v>
      </x:c>
      <x:c r="F1881" s="7" t="str">
        <x:v>MF-01</x:v>
      </x:c>
      <x:c r="G1881" s="7" t="str">
        <x:v>source vessel mass</x:v>
      </x:c>
      <x:c r="H1881" s="7" t="n">
        <x:v>3</x:v>
      </x:c>
      <x:c r="I1881" s="7" t="str"/>
      <x:c r="J1881" s="7" t="str"/>
      <x:c r="K1881" s="7" t="str"/>
      <x:c r="L1881" s="7" t="str"/>
      <x:c r="M1881" s="7" t="str"/>
      <x:c r="N1881" s="7" t="str"/>
      <x:c r="O1881" s="7" t="str">
        <x:f>IF(N1881="","OPEN",IF(OR(I1881="",J1881="",K1881="",L1881="",M1881=""),"FAIL","PASS"))</x:f>
        <x:v>OPEN</x:v>
      </x:c>
    </x:row>
    <x:row r="1882">
      <x:c r="B1882" s="7" t="str">
        <x:v>CH-PEA-C-X2-01-4</x:v>
      </x:c>
      <x:c r="C1882" s="7" t="str">
        <x:v>PEA-C-X2</x:v>
      </x:c>
      <x:c r="D1882" s="7" t="str">
        <x:v>BLD-C</x:v>
      </x:c>
      <x:c r="E1882" s="7" t="str">
        <x:v>BL-X</x:v>
      </x:c>
      <x:c r="F1882" s="7" t="str">
        <x:v>MF-01</x:v>
      </x:c>
      <x:c r="G1882" s="7" t="str">
        <x:v>source vessel mass</x:v>
      </x:c>
      <x:c r="H1882" s="7" t="n">
        <x:v>4</x:v>
      </x:c>
      <x:c r="I1882" s="7" t="str"/>
      <x:c r="J1882" s="7" t="str"/>
      <x:c r="K1882" s="7" t="str"/>
      <x:c r="L1882" s="7" t="str"/>
      <x:c r="M1882" s="7" t="str"/>
      <x:c r="N1882" s="7" t="str"/>
      <x:c r="O1882" s="7" t="str">
        <x:f>IF(N1882="","OPEN",IF(OR(I1882="",J1882="",K1882="",L1882="",M1882=""),"FAIL","PASS"))</x:f>
        <x:v>OPEN</x:v>
      </x:c>
    </x:row>
    <x:row r="1883">
      <x:c r="B1883" s="7" t="str">
        <x:v>CH-PEA-C-X2-01-5</x:v>
      </x:c>
      <x:c r="C1883" s="7" t="str">
        <x:v>PEA-C-X2</x:v>
      </x:c>
      <x:c r="D1883" s="7" t="str">
        <x:v>BLD-C</x:v>
      </x:c>
      <x:c r="E1883" s="7" t="str">
        <x:v>BL-X</x:v>
      </x:c>
      <x:c r="F1883" s="7" t="str">
        <x:v>MF-01</x:v>
      </x:c>
      <x:c r="G1883" s="7" t="str">
        <x:v>source vessel mass</x:v>
      </x:c>
      <x:c r="H1883" s="7" t="n">
        <x:v>5</x:v>
      </x:c>
      <x:c r="I1883" s="7" t="str"/>
      <x:c r="J1883" s="7" t="str"/>
      <x:c r="K1883" s="7" t="str"/>
      <x:c r="L1883" s="7" t="str"/>
      <x:c r="M1883" s="7" t="str"/>
      <x:c r="N1883" s="7" t="str"/>
      <x:c r="O1883" s="7" t="str">
        <x:f>IF(N1883="","OPEN",IF(OR(I1883="",J1883="",K1883="",L1883="",M1883=""),"FAIL","PASS"))</x:f>
        <x:v>OPEN</x:v>
      </x:c>
    </x:row>
    <x:row r="1884">
      <x:c r="B1884" s="7" t="str">
        <x:v>CH-PEA-C-X2-01-6</x:v>
      </x:c>
      <x:c r="C1884" s="7" t="str">
        <x:v>PEA-C-X2</x:v>
      </x:c>
      <x:c r="D1884" s="7" t="str">
        <x:v>BLD-C</x:v>
      </x:c>
      <x:c r="E1884" s="7" t="str">
        <x:v>BL-X</x:v>
      </x:c>
      <x:c r="F1884" s="7" t="str">
        <x:v>MF-01</x:v>
      </x:c>
      <x:c r="G1884" s="7" t="str">
        <x:v>source vessel mass</x:v>
      </x:c>
      <x:c r="H1884" s="7" t="n">
        <x:v>6</x:v>
      </x:c>
      <x:c r="I1884" s="7" t="str"/>
      <x:c r="J1884" s="7" t="str"/>
      <x:c r="K1884" s="7" t="str"/>
      <x:c r="L1884" s="7" t="str"/>
      <x:c r="M1884" s="7" t="str"/>
      <x:c r="N1884" s="7" t="str"/>
      <x:c r="O1884" s="7" t="str">
        <x:f>IF(N1884="","OPEN",IF(OR(I1884="",J1884="",K1884="",L1884="",M1884=""),"FAIL","PASS"))</x:f>
        <x:v>OPEN</x:v>
      </x:c>
    </x:row>
    <x:row r="1885">
      <x:c r="B1885" s="7" t="str">
        <x:v>CH-PEA-C-X2-02-1</x:v>
      </x:c>
      <x:c r="C1885" s="7" t="str">
        <x:v>PEA-C-X2</x:v>
      </x:c>
      <x:c r="D1885" s="7" t="str">
        <x:v>BLD-C</x:v>
      </x:c>
      <x:c r="E1885" s="7" t="str">
        <x:v>BL-X</x:v>
      </x:c>
      <x:c r="F1885" s="7" t="str">
        <x:v>MF-02</x:v>
      </x:c>
      <x:c r="G1885" s="7" t="str">
        <x:v>transfer mass</x:v>
      </x:c>
      <x:c r="H1885" s="7" t="n">
        <x:v>1</x:v>
      </x:c>
      <x:c r="I1885" s="7" t="str"/>
      <x:c r="J1885" s="7" t="str"/>
      <x:c r="K1885" s="7" t="str"/>
      <x:c r="L1885" s="7" t="str"/>
      <x:c r="M1885" s="7" t="str"/>
      <x:c r="N1885" s="7" t="str"/>
      <x:c r="O1885" s="7" t="str">
        <x:f>IF(N1885="","OPEN",IF(OR(I1885="",J1885="",K1885="",L1885="",M1885=""),"FAIL","PASS"))</x:f>
        <x:v>OPEN</x:v>
      </x:c>
    </x:row>
    <x:row r="1886">
      <x:c r="B1886" s="7" t="str">
        <x:v>CH-PEA-C-X2-02-2</x:v>
      </x:c>
      <x:c r="C1886" s="7" t="str">
        <x:v>PEA-C-X2</x:v>
      </x:c>
      <x:c r="D1886" s="7" t="str">
        <x:v>BLD-C</x:v>
      </x:c>
      <x:c r="E1886" s="7" t="str">
        <x:v>BL-X</x:v>
      </x:c>
      <x:c r="F1886" s="7" t="str">
        <x:v>MF-02</x:v>
      </x:c>
      <x:c r="G1886" s="7" t="str">
        <x:v>transfer mass</x:v>
      </x:c>
      <x:c r="H1886" s="7" t="n">
        <x:v>2</x:v>
      </x:c>
      <x:c r="I1886" s="7" t="str"/>
      <x:c r="J1886" s="7" t="str"/>
      <x:c r="K1886" s="7" t="str"/>
      <x:c r="L1886" s="7" t="str"/>
      <x:c r="M1886" s="7" t="str"/>
      <x:c r="N1886" s="7" t="str"/>
      <x:c r="O1886" s="7" t="str">
        <x:f>IF(N1886="","OPEN",IF(OR(I1886="",J1886="",K1886="",L1886="",M1886=""),"FAIL","PASS"))</x:f>
        <x:v>OPEN</x:v>
      </x:c>
    </x:row>
    <x:row r="1887">
      <x:c r="B1887" s="7" t="str">
        <x:v>CH-PEA-C-X2-02-3</x:v>
      </x:c>
      <x:c r="C1887" s="7" t="str">
        <x:v>PEA-C-X2</x:v>
      </x:c>
      <x:c r="D1887" s="7" t="str">
        <x:v>BLD-C</x:v>
      </x:c>
      <x:c r="E1887" s="7" t="str">
        <x:v>BL-X</x:v>
      </x:c>
      <x:c r="F1887" s="7" t="str">
        <x:v>MF-02</x:v>
      </x:c>
      <x:c r="G1887" s="7" t="str">
        <x:v>transfer mass</x:v>
      </x:c>
      <x:c r="H1887" s="7" t="n">
        <x:v>3</x:v>
      </x:c>
      <x:c r="I1887" s="7" t="str"/>
      <x:c r="J1887" s="7" t="str"/>
      <x:c r="K1887" s="7" t="str"/>
      <x:c r="L1887" s="7" t="str"/>
      <x:c r="M1887" s="7" t="str"/>
      <x:c r="N1887" s="7" t="str"/>
      <x:c r="O1887" s="7" t="str">
        <x:f>IF(N1887="","OPEN",IF(OR(I1887="",J1887="",K1887="",L1887="",M1887=""),"FAIL","PASS"))</x:f>
        <x:v>OPEN</x:v>
      </x:c>
    </x:row>
    <x:row r="1888">
      <x:c r="B1888" s="7" t="str">
        <x:v>CH-PEA-C-X2-02-4</x:v>
      </x:c>
      <x:c r="C1888" s="7" t="str">
        <x:v>PEA-C-X2</x:v>
      </x:c>
      <x:c r="D1888" s="7" t="str">
        <x:v>BLD-C</x:v>
      </x:c>
      <x:c r="E1888" s="7" t="str">
        <x:v>BL-X</x:v>
      </x:c>
      <x:c r="F1888" s="7" t="str">
        <x:v>MF-02</x:v>
      </x:c>
      <x:c r="G1888" s="7" t="str">
        <x:v>transfer mass</x:v>
      </x:c>
      <x:c r="H1888" s="7" t="n">
        <x:v>4</x:v>
      </x:c>
      <x:c r="I1888" s="7" t="str"/>
      <x:c r="J1888" s="7" t="str"/>
      <x:c r="K1888" s="7" t="str"/>
      <x:c r="L1888" s="7" t="str"/>
      <x:c r="M1888" s="7" t="str"/>
      <x:c r="N1888" s="7" t="str"/>
      <x:c r="O1888" s="7" t="str">
        <x:f>IF(N1888="","OPEN",IF(OR(I1888="",J1888="",K1888="",L1888="",M1888=""),"FAIL","PASS"))</x:f>
        <x:v>OPEN</x:v>
      </x:c>
    </x:row>
    <x:row r="1889">
      <x:c r="B1889" s="7" t="str">
        <x:v>CH-PEA-C-X2-02-5</x:v>
      </x:c>
      <x:c r="C1889" s="7" t="str">
        <x:v>PEA-C-X2</x:v>
      </x:c>
      <x:c r="D1889" s="7" t="str">
        <x:v>BLD-C</x:v>
      </x:c>
      <x:c r="E1889" s="7" t="str">
        <x:v>BL-X</x:v>
      </x:c>
      <x:c r="F1889" s="7" t="str">
        <x:v>MF-02</x:v>
      </x:c>
      <x:c r="G1889" s="7" t="str">
        <x:v>transfer mass</x:v>
      </x:c>
      <x:c r="H1889" s="7" t="n">
        <x:v>5</x:v>
      </x:c>
      <x:c r="I1889" s="7" t="str"/>
      <x:c r="J1889" s="7" t="str"/>
      <x:c r="K1889" s="7" t="str"/>
      <x:c r="L1889" s="7" t="str"/>
      <x:c r="M1889" s="7" t="str"/>
      <x:c r="N1889" s="7" t="str"/>
      <x:c r="O1889" s="7" t="str">
        <x:f>IF(N1889="","OPEN",IF(OR(I1889="",J1889="",K1889="",L1889="",M1889=""),"FAIL","PASS"))</x:f>
        <x:v>OPEN</x:v>
      </x:c>
    </x:row>
    <x:row r="1890">
      <x:c r="B1890" s="7" t="str">
        <x:v>CH-PEA-C-X2-02-6</x:v>
      </x:c>
      <x:c r="C1890" s="7" t="str">
        <x:v>PEA-C-X2</x:v>
      </x:c>
      <x:c r="D1890" s="7" t="str">
        <x:v>BLD-C</x:v>
      </x:c>
      <x:c r="E1890" s="7" t="str">
        <x:v>BL-X</x:v>
      </x:c>
      <x:c r="F1890" s="7" t="str">
        <x:v>MF-02</x:v>
      </x:c>
      <x:c r="G1890" s="7" t="str">
        <x:v>transfer mass</x:v>
      </x:c>
      <x:c r="H1890" s="7" t="n">
        <x:v>6</x:v>
      </x:c>
      <x:c r="I1890" s="7" t="str"/>
      <x:c r="J1890" s="7" t="str"/>
      <x:c r="K1890" s="7" t="str"/>
      <x:c r="L1890" s="7" t="str"/>
      <x:c r="M1890" s="7" t="str"/>
      <x:c r="N1890" s="7" t="str"/>
      <x:c r="O1890" s="7" t="str">
        <x:f>IF(N1890="","OPEN",IF(OR(I1890="",J1890="",K1890="",L1890="",M1890=""),"FAIL","PASS"))</x:f>
        <x:v>OPEN</x:v>
      </x:c>
    </x:row>
    <x:row r="1891">
      <x:c r="B1891" s="7" t="str">
        <x:v>CH-PEA-C-X2-03-1</x:v>
      </x:c>
      <x:c r="C1891" s="7" t="str">
        <x:v>PEA-C-X2</x:v>
      </x:c>
      <x:c r="D1891" s="7" t="str">
        <x:v>BLD-C</x:v>
      </x:c>
      <x:c r="E1891" s="7" t="str">
        <x:v>BL-X</x:v>
      </x:c>
      <x:c r="F1891" s="7" t="str">
        <x:v>MF-03</x:v>
      </x:c>
      <x:c r="G1891" s="7" t="str">
        <x:v>source pressure</x:v>
      </x:c>
      <x:c r="H1891" s="7" t="n">
        <x:v>1</x:v>
      </x:c>
      <x:c r="I1891" s="7" t="str"/>
      <x:c r="J1891" s="7" t="str"/>
      <x:c r="K1891" s="7" t="str"/>
      <x:c r="L1891" s="7" t="str"/>
      <x:c r="M1891" s="7" t="str"/>
      <x:c r="N1891" s="7" t="str"/>
      <x:c r="O1891" s="7" t="str">
        <x:f>IF(N1891="","OPEN",IF(OR(I1891="",J1891="",K1891="",L1891="",M1891=""),"FAIL","PASS"))</x:f>
        <x:v>OPEN</x:v>
      </x:c>
    </x:row>
    <x:row r="1892">
      <x:c r="B1892" s="7" t="str">
        <x:v>CH-PEA-C-X2-03-2</x:v>
      </x:c>
      <x:c r="C1892" s="7" t="str">
        <x:v>PEA-C-X2</x:v>
      </x:c>
      <x:c r="D1892" s="7" t="str">
        <x:v>BLD-C</x:v>
      </x:c>
      <x:c r="E1892" s="7" t="str">
        <x:v>BL-X</x:v>
      </x:c>
      <x:c r="F1892" s="7" t="str">
        <x:v>MF-03</x:v>
      </x:c>
      <x:c r="G1892" s="7" t="str">
        <x:v>source pressure</x:v>
      </x:c>
      <x:c r="H1892" s="7" t="n">
        <x:v>2</x:v>
      </x:c>
      <x:c r="I1892" s="7" t="str"/>
      <x:c r="J1892" s="7" t="str"/>
      <x:c r="K1892" s="7" t="str"/>
      <x:c r="L1892" s="7" t="str"/>
      <x:c r="M1892" s="7" t="str"/>
      <x:c r="N1892" s="7" t="str"/>
      <x:c r="O1892" s="7" t="str">
        <x:f>IF(N1892="","OPEN",IF(OR(I1892="",J1892="",K1892="",L1892="",M1892=""),"FAIL","PASS"))</x:f>
        <x:v>OPEN</x:v>
      </x:c>
    </x:row>
    <x:row r="1893">
      <x:c r="B1893" s="7" t="str">
        <x:v>CH-PEA-C-X2-03-3</x:v>
      </x:c>
      <x:c r="C1893" s="7" t="str">
        <x:v>PEA-C-X2</x:v>
      </x:c>
      <x:c r="D1893" s="7" t="str">
        <x:v>BLD-C</x:v>
      </x:c>
      <x:c r="E1893" s="7" t="str">
        <x:v>BL-X</x:v>
      </x:c>
      <x:c r="F1893" s="7" t="str">
        <x:v>MF-03</x:v>
      </x:c>
      <x:c r="G1893" s="7" t="str">
        <x:v>source pressure</x:v>
      </x:c>
      <x:c r="H1893" s="7" t="n">
        <x:v>3</x:v>
      </x:c>
      <x:c r="I1893" s="7" t="str"/>
      <x:c r="J1893" s="7" t="str"/>
      <x:c r="K1893" s="7" t="str"/>
      <x:c r="L1893" s="7" t="str"/>
      <x:c r="M1893" s="7" t="str"/>
      <x:c r="N1893" s="7" t="str"/>
      <x:c r="O1893" s="7" t="str">
        <x:f>IF(N1893="","OPEN",IF(OR(I1893="",J1893="",K1893="",L1893="",M1893=""),"FAIL","PASS"))</x:f>
        <x:v>OPEN</x:v>
      </x:c>
    </x:row>
    <x:row r="1894">
      <x:c r="B1894" s="7" t="str">
        <x:v>CH-PEA-C-X2-03-4</x:v>
      </x:c>
      <x:c r="C1894" s="7" t="str">
        <x:v>PEA-C-X2</x:v>
      </x:c>
      <x:c r="D1894" s="7" t="str">
        <x:v>BLD-C</x:v>
      </x:c>
      <x:c r="E1894" s="7" t="str">
        <x:v>BL-X</x:v>
      </x:c>
      <x:c r="F1894" s="7" t="str">
        <x:v>MF-03</x:v>
      </x:c>
      <x:c r="G1894" s="7" t="str">
        <x:v>source pressure</x:v>
      </x:c>
      <x:c r="H1894" s="7" t="n">
        <x:v>4</x:v>
      </x:c>
      <x:c r="I1894" s="7" t="str"/>
      <x:c r="J1894" s="7" t="str"/>
      <x:c r="K1894" s="7" t="str"/>
      <x:c r="L1894" s="7" t="str"/>
      <x:c r="M1894" s="7" t="str"/>
      <x:c r="N1894" s="7" t="str"/>
      <x:c r="O1894" s="7" t="str">
        <x:f>IF(N1894="","OPEN",IF(OR(I1894="",J1894="",K1894="",L1894="",M1894=""),"FAIL","PASS"))</x:f>
        <x:v>OPEN</x:v>
      </x:c>
    </x:row>
    <x:row r="1895">
      <x:c r="B1895" s="7" t="str">
        <x:v>CH-PEA-C-X2-03-5</x:v>
      </x:c>
      <x:c r="C1895" s="7" t="str">
        <x:v>PEA-C-X2</x:v>
      </x:c>
      <x:c r="D1895" s="7" t="str">
        <x:v>BLD-C</x:v>
      </x:c>
      <x:c r="E1895" s="7" t="str">
        <x:v>BL-X</x:v>
      </x:c>
      <x:c r="F1895" s="7" t="str">
        <x:v>MF-03</x:v>
      </x:c>
      <x:c r="G1895" s="7" t="str">
        <x:v>source pressure</x:v>
      </x:c>
      <x:c r="H1895" s="7" t="n">
        <x:v>5</x:v>
      </x:c>
      <x:c r="I1895" s="7" t="str"/>
      <x:c r="J1895" s="7" t="str"/>
      <x:c r="K1895" s="7" t="str"/>
      <x:c r="L1895" s="7" t="str"/>
      <x:c r="M1895" s="7" t="str"/>
      <x:c r="N1895" s="7" t="str"/>
      <x:c r="O1895" s="7" t="str">
        <x:f>IF(N1895="","OPEN",IF(OR(I1895="",J1895="",K1895="",L1895="",M1895=""),"FAIL","PASS"))</x:f>
        <x:v>OPEN</x:v>
      </x:c>
    </x:row>
    <x:row r="1896">
      <x:c r="B1896" s="7" t="str">
        <x:v>CH-PEA-C-X2-03-6</x:v>
      </x:c>
      <x:c r="C1896" s="7" t="str">
        <x:v>PEA-C-X2</x:v>
      </x:c>
      <x:c r="D1896" s="7" t="str">
        <x:v>BLD-C</x:v>
      </x:c>
      <x:c r="E1896" s="7" t="str">
        <x:v>BL-X</x:v>
      </x:c>
      <x:c r="F1896" s="7" t="str">
        <x:v>MF-03</x:v>
      </x:c>
      <x:c r="G1896" s="7" t="str">
        <x:v>source pressure</x:v>
      </x:c>
      <x:c r="H1896" s="7" t="n">
        <x:v>6</x:v>
      </x:c>
      <x:c r="I1896" s="7" t="str"/>
      <x:c r="J1896" s="7" t="str"/>
      <x:c r="K1896" s="7" t="str"/>
      <x:c r="L1896" s="7" t="str"/>
      <x:c r="M1896" s="7" t="str"/>
      <x:c r="N1896" s="7" t="str"/>
      <x:c r="O1896" s="7" t="str">
        <x:f>IF(N1896="","OPEN",IF(OR(I1896="",J1896="",K1896="",L1896="",M1896=""),"FAIL","PASS"))</x:f>
        <x:v>OPEN</x:v>
      </x:c>
    </x:row>
    <x:row r="1897">
      <x:c r="B1897" s="7" t="str">
        <x:v>CH-PEA-C-X2-04-1</x:v>
      </x:c>
      <x:c r="C1897" s="7" t="str">
        <x:v>PEA-C-X2</x:v>
      </x:c>
      <x:c r="D1897" s="7" t="str">
        <x:v>BLD-C</x:v>
      </x:c>
      <x:c r="E1897" s="7" t="str">
        <x:v>BL-X</x:v>
      </x:c>
      <x:c r="F1897" s="7" t="str">
        <x:v>MF-04</x:v>
      </x:c>
      <x:c r="G1897" s="7" t="str">
        <x:v>source temperature</x:v>
      </x:c>
      <x:c r="H1897" s="7" t="n">
        <x:v>1</x:v>
      </x:c>
      <x:c r="I1897" s="7" t="str"/>
      <x:c r="J1897" s="7" t="str"/>
      <x:c r="K1897" s="7" t="str"/>
      <x:c r="L1897" s="7" t="str"/>
      <x:c r="M1897" s="7" t="str"/>
      <x:c r="N1897" s="7" t="str"/>
      <x:c r="O1897" s="7" t="str">
        <x:f>IF(N1897="","OPEN",IF(OR(I1897="",J1897="",K1897="",L1897="",M1897=""),"FAIL","PASS"))</x:f>
        <x:v>OPEN</x:v>
      </x:c>
    </x:row>
    <x:row r="1898">
      <x:c r="B1898" s="7" t="str">
        <x:v>CH-PEA-C-X2-04-2</x:v>
      </x:c>
      <x:c r="C1898" s="7" t="str">
        <x:v>PEA-C-X2</x:v>
      </x:c>
      <x:c r="D1898" s="7" t="str">
        <x:v>BLD-C</x:v>
      </x:c>
      <x:c r="E1898" s="7" t="str">
        <x:v>BL-X</x:v>
      </x:c>
      <x:c r="F1898" s="7" t="str">
        <x:v>MF-04</x:v>
      </x:c>
      <x:c r="G1898" s="7" t="str">
        <x:v>source temperature</x:v>
      </x:c>
      <x:c r="H1898" s="7" t="n">
        <x:v>2</x:v>
      </x:c>
      <x:c r="I1898" s="7" t="str"/>
      <x:c r="J1898" s="7" t="str"/>
      <x:c r="K1898" s="7" t="str"/>
      <x:c r="L1898" s="7" t="str"/>
      <x:c r="M1898" s="7" t="str"/>
      <x:c r="N1898" s="7" t="str"/>
      <x:c r="O1898" s="7" t="str">
        <x:f>IF(N1898="","OPEN",IF(OR(I1898="",J1898="",K1898="",L1898="",M1898=""),"FAIL","PASS"))</x:f>
        <x:v>OPEN</x:v>
      </x:c>
    </x:row>
    <x:row r="1899">
      <x:c r="B1899" s="7" t="str">
        <x:v>CH-PEA-C-X2-04-3</x:v>
      </x:c>
      <x:c r="C1899" s="7" t="str">
        <x:v>PEA-C-X2</x:v>
      </x:c>
      <x:c r="D1899" s="7" t="str">
        <x:v>BLD-C</x:v>
      </x:c>
      <x:c r="E1899" s="7" t="str">
        <x:v>BL-X</x:v>
      </x:c>
      <x:c r="F1899" s="7" t="str">
        <x:v>MF-04</x:v>
      </x:c>
      <x:c r="G1899" s="7" t="str">
        <x:v>source temperature</x:v>
      </x:c>
      <x:c r="H1899" s="7" t="n">
        <x:v>3</x:v>
      </x:c>
      <x:c r="I1899" s="7" t="str"/>
      <x:c r="J1899" s="7" t="str"/>
      <x:c r="K1899" s="7" t="str"/>
      <x:c r="L1899" s="7" t="str"/>
      <x:c r="M1899" s="7" t="str"/>
      <x:c r="N1899" s="7" t="str"/>
      <x:c r="O1899" s="7" t="str">
        <x:f>IF(N1899="","OPEN",IF(OR(I1899="",J1899="",K1899="",L1899="",M1899=""),"FAIL","PASS"))</x:f>
        <x:v>OPEN</x:v>
      </x:c>
    </x:row>
    <x:row r="1900">
      <x:c r="B1900" s="7" t="str">
        <x:v>CH-PEA-C-X2-04-4</x:v>
      </x:c>
      <x:c r="C1900" s="7" t="str">
        <x:v>PEA-C-X2</x:v>
      </x:c>
      <x:c r="D1900" s="7" t="str">
        <x:v>BLD-C</x:v>
      </x:c>
      <x:c r="E1900" s="7" t="str">
        <x:v>BL-X</x:v>
      </x:c>
      <x:c r="F1900" s="7" t="str">
        <x:v>MF-04</x:v>
      </x:c>
      <x:c r="G1900" s="7" t="str">
        <x:v>source temperature</x:v>
      </x:c>
      <x:c r="H1900" s="7" t="n">
        <x:v>4</x:v>
      </x:c>
      <x:c r="I1900" s="7" t="str"/>
      <x:c r="J1900" s="7" t="str"/>
      <x:c r="K1900" s="7" t="str"/>
      <x:c r="L1900" s="7" t="str"/>
      <x:c r="M1900" s="7" t="str"/>
      <x:c r="N1900" s="7" t="str"/>
      <x:c r="O1900" s="7" t="str">
        <x:f>IF(N1900="","OPEN",IF(OR(I1900="",J1900="",K1900="",L1900="",M1900=""),"FAIL","PASS"))</x:f>
        <x:v>OPEN</x:v>
      </x:c>
    </x:row>
    <x:row r="1901">
      <x:c r="B1901" s="7" t="str">
        <x:v>CH-PEA-C-X2-04-5</x:v>
      </x:c>
      <x:c r="C1901" s="7" t="str">
        <x:v>PEA-C-X2</x:v>
      </x:c>
      <x:c r="D1901" s="7" t="str">
        <x:v>BLD-C</x:v>
      </x:c>
      <x:c r="E1901" s="7" t="str">
        <x:v>BL-X</x:v>
      </x:c>
      <x:c r="F1901" s="7" t="str">
        <x:v>MF-04</x:v>
      </x:c>
      <x:c r="G1901" s="7" t="str">
        <x:v>source temperature</x:v>
      </x:c>
      <x:c r="H1901" s="7" t="n">
        <x:v>5</x:v>
      </x:c>
      <x:c r="I1901" s="7" t="str"/>
      <x:c r="J1901" s="7" t="str"/>
      <x:c r="K1901" s="7" t="str"/>
      <x:c r="L1901" s="7" t="str"/>
      <x:c r="M1901" s="7" t="str"/>
      <x:c r="N1901" s="7" t="str"/>
      <x:c r="O1901" s="7" t="str">
        <x:f>IF(N1901="","OPEN",IF(OR(I1901="",J1901="",K1901="",L1901="",M1901=""),"FAIL","PASS"))</x:f>
        <x:v>OPEN</x:v>
      </x:c>
    </x:row>
    <x:row r="1902">
      <x:c r="B1902" s="7" t="str">
        <x:v>CH-PEA-C-X2-04-6</x:v>
      </x:c>
      <x:c r="C1902" s="7" t="str">
        <x:v>PEA-C-X2</x:v>
      </x:c>
      <x:c r="D1902" s="7" t="str">
        <x:v>BLD-C</x:v>
      </x:c>
      <x:c r="E1902" s="7" t="str">
        <x:v>BL-X</x:v>
      </x:c>
      <x:c r="F1902" s="7" t="str">
        <x:v>MF-04</x:v>
      </x:c>
      <x:c r="G1902" s="7" t="str">
        <x:v>source temperature</x:v>
      </x:c>
      <x:c r="H1902" s="7" t="n">
        <x:v>6</x:v>
      </x:c>
      <x:c r="I1902" s="7" t="str"/>
      <x:c r="J1902" s="7" t="str"/>
      <x:c r="K1902" s="7" t="str"/>
      <x:c r="L1902" s="7" t="str"/>
      <x:c r="M1902" s="7" t="str"/>
      <x:c r="N1902" s="7" t="str"/>
      <x:c r="O1902" s="7" t="str">
        <x:f>IF(N1902="","OPEN",IF(OR(I1902="",J1902="",K1902="",L1902="",M1902=""),"FAIL","PASS"))</x:f>
        <x:v>OPEN</x:v>
      </x:c>
    </x:row>
    <x:row r="1903">
      <x:c r="B1903" s="7" t="str">
        <x:v>CH-PEA-C-X2-05-1</x:v>
      </x:c>
      <x:c r="C1903" s="7" t="str">
        <x:v>PEA-C-X2</x:v>
      </x:c>
      <x:c r="D1903" s="7" t="str">
        <x:v>BLD-C</x:v>
      </x:c>
      <x:c r="E1903" s="7" t="str">
        <x:v>BL-X</x:v>
      </x:c>
      <x:c r="F1903" s="7" t="str">
        <x:v>MF-05</x:v>
      </x:c>
      <x:c r="G1903" s="7" t="str">
        <x:v>hold-up tomography</x:v>
      </x:c>
      <x:c r="H1903" s="7" t="n">
        <x:v>1</x:v>
      </x:c>
      <x:c r="I1903" s="7" t="str"/>
      <x:c r="J1903" s="7" t="str"/>
      <x:c r="K1903" s="7" t="str"/>
      <x:c r="L1903" s="7" t="str"/>
      <x:c r="M1903" s="7" t="str"/>
      <x:c r="N1903" s="7" t="str"/>
      <x:c r="O1903" s="7" t="str">
        <x:f>IF(N1903="","OPEN",IF(OR(I1903="",J1903="",K1903="",L1903="",M1903=""),"FAIL","PASS"))</x:f>
        <x:v>OPEN</x:v>
      </x:c>
    </x:row>
    <x:row r="1904">
      <x:c r="B1904" s="7" t="str">
        <x:v>CH-PEA-C-X2-05-2</x:v>
      </x:c>
      <x:c r="C1904" s="7" t="str">
        <x:v>PEA-C-X2</x:v>
      </x:c>
      <x:c r="D1904" s="7" t="str">
        <x:v>BLD-C</x:v>
      </x:c>
      <x:c r="E1904" s="7" t="str">
        <x:v>BL-X</x:v>
      </x:c>
      <x:c r="F1904" s="7" t="str">
        <x:v>MF-05</x:v>
      </x:c>
      <x:c r="G1904" s="7" t="str">
        <x:v>hold-up tomography</x:v>
      </x:c>
      <x:c r="H1904" s="7" t="n">
        <x:v>2</x:v>
      </x:c>
      <x:c r="I1904" s="7" t="str"/>
      <x:c r="J1904" s="7" t="str"/>
      <x:c r="K1904" s="7" t="str"/>
      <x:c r="L1904" s="7" t="str"/>
      <x:c r="M1904" s="7" t="str"/>
      <x:c r="N1904" s="7" t="str"/>
      <x:c r="O1904" s="7" t="str">
        <x:f>IF(N1904="","OPEN",IF(OR(I1904="",J1904="",K1904="",L1904="",M1904=""),"FAIL","PASS"))</x:f>
        <x:v>OPEN</x:v>
      </x:c>
    </x:row>
    <x:row r="1905">
      <x:c r="B1905" s="7" t="str">
        <x:v>CH-PEA-C-X2-05-3</x:v>
      </x:c>
      <x:c r="C1905" s="7" t="str">
        <x:v>PEA-C-X2</x:v>
      </x:c>
      <x:c r="D1905" s="7" t="str">
        <x:v>BLD-C</x:v>
      </x:c>
      <x:c r="E1905" s="7" t="str">
        <x:v>BL-X</x:v>
      </x:c>
      <x:c r="F1905" s="7" t="str">
        <x:v>MF-05</x:v>
      </x:c>
      <x:c r="G1905" s="7" t="str">
        <x:v>hold-up tomography</x:v>
      </x:c>
      <x:c r="H1905" s="7" t="n">
        <x:v>3</x:v>
      </x:c>
      <x:c r="I1905" s="7" t="str"/>
      <x:c r="J1905" s="7" t="str"/>
      <x:c r="K1905" s="7" t="str"/>
      <x:c r="L1905" s="7" t="str"/>
      <x:c r="M1905" s="7" t="str"/>
      <x:c r="N1905" s="7" t="str"/>
      <x:c r="O1905" s="7" t="str">
        <x:f>IF(N1905="","OPEN",IF(OR(I1905="",J1905="",K1905="",L1905="",M1905=""),"FAIL","PASS"))</x:f>
        <x:v>OPEN</x:v>
      </x:c>
    </x:row>
    <x:row r="1906">
      <x:c r="B1906" s="7" t="str">
        <x:v>CH-PEA-C-X2-05-4</x:v>
      </x:c>
      <x:c r="C1906" s="7" t="str">
        <x:v>PEA-C-X2</x:v>
      </x:c>
      <x:c r="D1906" s="7" t="str">
        <x:v>BLD-C</x:v>
      </x:c>
      <x:c r="E1906" s="7" t="str">
        <x:v>BL-X</x:v>
      </x:c>
      <x:c r="F1906" s="7" t="str">
        <x:v>MF-05</x:v>
      </x:c>
      <x:c r="G1906" s="7" t="str">
        <x:v>hold-up tomography</x:v>
      </x:c>
      <x:c r="H1906" s="7" t="n">
        <x:v>4</x:v>
      </x:c>
      <x:c r="I1906" s="7" t="str"/>
      <x:c r="J1906" s="7" t="str"/>
      <x:c r="K1906" s="7" t="str"/>
      <x:c r="L1906" s="7" t="str"/>
      <x:c r="M1906" s="7" t="str"/>
      <x:c r="N1906" s="7" t="str"/>
      <x:c r="O1906" s="7" t="str">
        <x:f>IF(N1906="","OPEN",IF(OR(I1906="",J1906="",K1906="",L1906="",M1906=""),"FAIL","PASS"))</x:f>
        <x:v>OPEN</x:v>
      </x:c>
    </x:row>
    <x:row r="1907">
      <x:c r="B1907" s="7" t="str">
        <x:v>CH-PEA-C-X2-05-5</x:v>
      </x:c>
      <x:c r="C1907" s="7" t="str">
        <x:v>PEA-C-X2</x:v>
      </x:c>
      <x:c r="D1907" s="7" t="str">
        <x:v>BLD-C</x:v>
      </x:c>
      <x:c r="E1907" s="7" t="str">
        <x:v>BL-X</x:v>
      </x:c>
      <x:c r="F1907" s="7" t="str">
        <x:v>MF-05</x:v>
      </x:c>
      <x:c r="G1907" s="7" t="str">
        <x:v>hold-up tomography</x:v>
      </x:c>
      <x:c r="H1907" s="7" t="n">
        <x:v>5</x:v>
      </x:c>
      <x:c r="I1907" s="7" t="str"/>
      <x:c r="J1907" s="7" t="str"/>
      <x:c r="K1907" s="7" t="str"/>
      <x:c r="L1907" s="7" t="str"/>
      <x:c r="M1907" s="7" t="str"/>
      <x:c r="N1907" s="7" t="str"/>
      <x:c r="O1907" s="7" t="str">
        <x:f>IF(N1907="","OPEN",IF(OR(I1907="",J1907="",K1907="",L1907="",M1907=""),"FAIL","PASS"))</x:f>
        <x:v>OPEN</x:v>
      </x:c>
    </x:row>
    <x:row r="1908">
      <x:c r="B1908" s="7" t="str">
        <x:v>CH-PEA-C-X2-05-6</x:v>
      </x:c>
      <x:c r="C1908" s="7" t="str">
        <x:v>PEA-C-X2</x:v>
      </x:c>
      <x:c r="D1908" s="7" t="str">
        <x:v>BLD-C</x:v>
      </x:c>
      <x:c r="E1908" s="7" t="str">
        <x:v>BL-X</x:v>
      </x:c>
      <x:c r="F1908" s="7" t="str">
        <x:v>MF-05</x:v>
      </x:c>
      <x:c r="G1908" s="7" t="str">
        <x:v>hold-up tomography</x:v>
      </x:c>
      <x:c r="H1908" s="7" t="n">
        <x:v>6</x:v>
      </x:c>
      <x:c r="I1908" s="7" t="str"/>
      <x:c r="J1908" s="7" t="str"/>
      <x:c r="K1908" s="7" t="str"/>
      <x:c r="L1908" s="7" t="str"/>
      <x:c r="M1908" s="7" t="str"/>
      <x:c r="N1908" s="7" t="str"/>
      <x:c r="O1908" s="7" t="str">
        <x:f>IF(N1908="","OPEN",IF(OR(I1908="",J1908="",K1908="",L1908="",M1908=""),"FAIL","PASS"))</x:f>
        <x:v>OPEN</x:v>
      </x:c>
    </x:row>
    <x:row r="1909">
      <x:c r="B1909" s="7" t="str">
        <x:v>CH-PEA-C-X2-06-1</x:v>
      </x:c>
      <x:c r="C1909" s="7" t="str">
        <x:v>PEA-C-X2</x:v>
      </x:c>
      <x:c r="D1909" s="7" t="str">
        <x:v>BLD-C</x:v>
      </x:c>
      <x:c r="E1909" s="7" t="str">
        <x:v>BL-X</x:v>
      </x:c>
      <x:c r="F1909" s="7" t="str">
        <x:v>MF-06</x:v>
      </x:c>
      <x:c r="G1909" s="7" t="str">
        <x:v>pan level</x:v>
      </x:c>
      <x:c r="H1909" s="7" t="n">
        <x:v>1</x:v>
      </x:c>
      <x:c r="I1909" s="7" t="str"/>
      <x:c r="J1909" s="7" t="str"/>
      <x:c r="K1909" s="7" t="str"/>
      <x:c r="L1909" s="7" t="str"/>
      <x:c r="M1909" s="7" t="str"/>
      <x:c r="N1909" s="7" t="str"/>
      <x:c r="O1909" s="7" t="str">
        <x:f>IF(N1909="","OPEN",IF(OR(I1909="",J1909="",K1909="",L1909="",M1909=""),"FAIL","PASS"))</x:f>
        <x:v>OPEN</x:v>
      </x:c>
    </x:row>
    <x:row r="1910">
      <x:c r="B1910" s="7" t="str">
        <x:v>CH-PEA-C-X2-06-2</x:v>
      </x:c>
      <x:c r="C1910" s="7" t="str">
        <x:v>PEA-C-X2</x:v>
      </x:c>
      <x:c r="D1910" s="7" t="str">
        <x:v>BLD-C</x:v>
      </x:c>
      <x:c r="E1910" s="7" t="str">
        <x:v>BL-X</x:v>
      </x:c>
      <x:c r="F1910" s="7" t="str">
        <x:v>MF-06</x:v>
      </x:c>
      <x:c r="G1910" s="7" t="str">
        <x:v>pan level</x:v>
      </x:c>
      <x:c r="H1910" s="7" t="n">
        <x:v>2</x:v>
      </x:c>
      <x:c r="I1910" s="7" t="str"/>
      <x:c r="J1910" s="7" t="str"/>
      <x:c r="K1910" s="7" t="str"/>
      <x:c r="L1910" s="7" t="str"/>
      <x:c r="M1910" s="7" t="str"/>
      <x:c r="N1910" s="7" t="str"/>
      <x:c r="O1910" s="7" t="str">
        <x:f>IF(N1910="","OPEN",IF(OR(I1910="",J1910="",K1910="",L1910="",M1910=""),"FAIL","PASS"))</x:f>
        <x:v>OPEN</x:v>
      </x:c>
    </x:row>
    <x:row r="1911">
      <x:c r="B1911" s="7" t="str">
        <x:v>CH-PEA-C-X2-06-3</x:v>
      </x:c>
      <x:c r="C1911" s="7" t="str">
        <x:v>PEA-C-X2</x:v>
      </x:c>
      <x:c r="D1911" s="7" t="str">
        <x:v>BLD-C</x:v>
      </x:c>
      <x:c r="E1911" s="7" t="str">
        <x:v>BL-X</x:v>
      </x:c>
      <x:c r="F1911" s="7" t="str">
        <x:v>MF-06</x:v>
      </x:c>
      <x:c r="G1911" s="7" t="str">
        <x:v>pan level</x:v>
      </x:c>
      <x:c r="H1911" s="7" t="n">
        <x:v>3</x:v>
      </x:c>
      <x:c r="I1911" s="7" t="str"/>
      <x:c r="J1911" s="7" t="str"/>
      <x:c r="K1911" s="7" t="str"/>
      <x:c r="L1911" s="7" t="str"/>
      <x:c r="M1911" s="7" t="str"/>
      <x:c r="N1911" s="7" t="str"/>
      <x:c r="O1911" s="7" t="str">
        <x:f>IF(N1911="","OPEN",IF(OR(I1911="",J1911="",K1911="",L1911="",M1911=""),"FAIL","PASS"))</x:f>
        <x:v>OPEN</x:v>
      </x:c>
    </x:row>
    <x:row r="1912">
      <x:c r="B1912" s="7" t="str">
        <x:v>CH-PEA-C-X2-06-4</x:v>
      </x:c>
      <x:c r="C1912" s="7" t="str">
        <x:v>PEA-C-X2</x:v>
      </x:c>
      <x:c r="D1912" s="7" t="str">
        <x:v>BLD-C</x:v>
      </x:c>
      <x:c r="E1912" s="7" t="str">
        <x:v>BL-X</x:v>
      </x:c>
      <x:c r="F1912" s="7" t="str">
        <x:v>MF-06</x:v>
      </x:c>
      <x:c r="G1912" s="7" t="str">
        <x:v>pan level</x:v>
      </x:c>
      <x:c r="H1912" s="7" t="n">
        <x:v>4</x:v>
      </x:c>
      <x:c r="I1912" s="7" t="str"/>
      <x:c r="J1912" s="7" t="str"/>
      <x:c r="K1912" s="7" t="str"/>
      <x:c r="L1912" s="7" t="str"/>
      <x:c r="M1912" s="7" t="str"/>
      <x:c r="N1912" s="7" t="str"/>
      <x:c r="O1912" s="7" t="str">
        <x:f>IF(N1912="","OPEN",IF(OR(I1912="",J1912="",K1912="",L1912="",M1912=""),"FAIL","PASS"))</x:f>
        <x:v>OPEN</x:v>
      </x:c>
    </x:row>
    <x:row r="1913">
      <x:c r="B1913" s="7" t="str">
        <x:v>CH-PEA-C-X2-06-5</x:v>
      </x:c>
      <x:c r="C1913" s="7" t="str">
        <x:v>PEA-C-X2</x:v>
      </x:c>
      <x:c r="D1913" s="7" t="str">
        <x:v>BLD-C</x:v>
      </x:c>
      <x:c r="E1913" s="7" t="str">
        <x:v>BL-X</x:v>
      </x:c>
      <x:c r="F1913" s="7" t="str">
        <x:v>MF-06</x:v>
      </x:c>
      <x:c r="G1913" s="7" t="str">
        <x:v>pan level</x:v>
      </x:c>
      <x:c r="H1913" s="7" t="n">
        <x:v>5</x:v>
      </x:c>
      <x:c r="I1913" s="7" t="str"/>
      <x:c r="J1913" s="7" t="str"/>
      <x:c r="K1913" s="7" t="str"/>
      <x:c r="L1913" s="7" t="str"/>
      <x:c r="M1913" s="7" t="str"/>
      <x:c r="N1913" s="7" t="str"/>
      <x:c r="O1913" s="7" t="str">
        <x:f>IF(N1913="","OPEN",IF(OR(I1913="",J1913="",K1913="",L1913="",M1913=""),"FAIL","PASS"))</x:f>
        <x:v>OPEN</x:v>
      </x:c>
    </x:row>
    <x:row r="1914">
      <x:c r="B1914" s="7" t="str">
        <x:v>CH-PEA-C-X2-06-6</x:v>
      </x:c>
      <x:c r="C1914" s="7" t="str">
        <x:v>PEA-C-X2</x:v>
      </x:c>
      <x:c r="D1914" s="7" t="str">
        <x:v>BLD-C</x:v>
      </x:c>
      <x:c r="E1914" s="7" t="str">
        <x:v>BL-X</x:v>
      </x:c>
      <x:c r="F1914" s="7" t="str">
        <x:v>MF-06</x:v>
      </x:c>
      <x:c r="G1914" s="7" t="str">
        <x:v>pan level</x:v>
      </x:c>
      <x:c r="H1914" s="7" t="n">
        <x:v>6</x:v>
      </x:c>
      <x:c r="I1914" s="7" t="str"/>
      <x:c r="J1914" s="7" t="str"/>
      <x:c r="K1914" s="7" t="str"/>
      <x:c r="L1914" s="7" t="str"/>
      <x:c r="M1914" s="7" t="str"/>
      <x:c r="N1914" s="7" t="str"/>
      <x:c r="O1914" s="7" t="str">
        <x:f>IF(N1914="","OPEN",IF(OR(I1914="",J1914="",K1914="",L1914="",M1914=""),"FAIL","PASS"))</x:f>
        <x:v>OPEN</x:v>
      </x:c>
    </x:row>
    <x:row r="1915">
      <x:c r="B1915" s="7" t="str">
        <x:v>CH-PEA-C-X2-07-1</x:v>
      </x:c>
      <x:c r="C1915" s="7" t="str">
        <x:v>PEA-C-X2</x:v>
      </x:c>
      <x:c r="D1915" s="7" t="str">
        <x:v>BLD-C</x:v>
      </x:c>
      <x:c r="E1915" s="7" t="str">
        <x:v>BL-X</x:v>
      </x:c>
      <x:c r="F1915" s="7" t="str">
        <x:v>MF-07</x:v>
      </x:c>
      <x:c r="G1915" s="7" t="str">
        <x:v>normal receiver mass</x:v>
      </x:c>
      <x:c r="H1915" s="7" t="n">
        <x:v>1</x:v>
      </x:c>
      <x:c r="I1915" s="7" t="str"/>
      <x:c r="J1915" s="7" t="str"/>
      <x:c r="K1915" s="7" t="str"/>
      <x:c r="L1915" s="7" t="str"/>
      <x:c r="M1915" s="7" t="str"/>
      <x:c r="N1915" s="7" t="str"/>
      <x:c r="O1915" s="7" t="str">
        <x:f>IF(N1915="","OPEN",IF(OR(I1915="",J1915="",K1915="",L1915="",M1915=""),"FAIL","PASS"))</x:f>
        <x:v>OPEN</x:v>
      </x:c>
    </x:row>
    <x:row r="1916">
      <x:c r="B1916" s="7" t="str">
        <x:v>CH-PEA-C-X2-07-2</x:v>
      </x:c>
      <x:c r="C1916" s="7" t="str">
        <x:v>PEA-C-X2</x:v>
      </x:c>
      <x:c r="D1916" s="7" t="str">
        <x:v>BLD-C</x:v>
      </x:c>
      <x:c r="E1916" s="7" t="str">
        <x:v>BL-X</x:v>
      </x:c>
      <x:c r="F1916" s="7" t="str">
        <x:v>MF-07</x:v>
      </x:c>
      <x:c r="G1916" s="7" t="str">
        <x:v>normal receiver mass</x:v>
      </x:c>
      <x:c r="H1916" s="7" t="n">
        <x:v>2</x:v>
      </x:c>
      <x:c r="I1916" s="7" t="str"/>
      <x:c r="J1916" s="7" t="str"/>
      <x:c r="K1916" s="7" t="str"/>
      <x:c r="L1916" s="7" t="str"/>
      <x:c r="M1916" s="7" t="str"/>
      <x:c r="N1916" s="7" t="str"/>
      <x:c r="O1916" s="7" t="str">
        <x:f>IF(N1916="","OPEN",IF(OR(I1916="",J1916="",K1916="",L1916="",M1916=""),"FAIL","PASS"))</x:f>
        <x:v>OPEN</x:v>
      </x:c>
    </x:row>
    <x:row r="1917">
      <x:c r="B1917" s="7" t="str">
        <x:v>CH-PEA-C-X2-07-3</x:v>
      </x:c>
      <x:c r="C1917" s="7" t="str">
        <x:v>PEA-C-X2</x:v>
      </x:c>
      <x:c r="D1917" s="7" t="str">
        <x:v>BLD-C</x:v>
      </x:c>
      <x:c r="E1917" s="7" t="str">
        <x:v>BL-X</x:v>
      </x:c>
      <x:c r="F1917" s="7" t="str">
        <x:v>MF-07</x:v>
      </x:c>
      <x:c r="G1917" s="7" t="str">
        <x:v>normal receiver mass</x:v>
      </x:c>
      <x:c r="H1917" s="7" t="n">
        <x:v>3</x:v>
      </x:c>
      <x:c r="I1917" s="7" t="str"/>
      <x:c r="J1917" s="7" t="str"/>
      <x:c r="K1917" s="7" t="str"/>
      <x:c r="L1917" s="7" t="str"/>
      <x:c r="M1917" s="7" t="str"/>
      <x:c r="N1917" s="7" t="str"/>
      <x:c r="O1917" s="7" t="str">
        <x:f>IF(N1917="","OPEN",IF(OR(I1917="",J1917="",K1917="",L1917="",M1917=""),"FAIL","PASS"))</x:f>
        <x:v>OPEN</x:v>
      </x:c>
    </x:row>
    <x:row r="1918">
      <x:c r="B1918" s="7" t="str">
        <x:v>CH-PEA-C-X2-07-4</x:v>
      </x:c>
      <x:c r="C1918" s="7" t="str">
        <x:v>PEA-C-X2</x:v>
      </x:c>
      <x:c r="D1918" s="7" t="str">
        <x:v>BLD-C</x:v>
      </x:c>
      <x:c r="E1918" s="7" t="str">
        <x:v>BL-X</x:v>
      </x:c>
      <x:c r="F1918" s="7" t="str">
        <x:v>MF-07</x:v>
      </x:c>
      <x:c r="G1918" s="7" t="str">
        <x:v>normal receiver mass</x:v>
      </x:c>
      <x:c r="H1918" s="7" t="n">
        <x:v>4</x:v>
      </x:c>
      <x:c r="I1918" s="7" t="str"/>
      <x:c r="J1918" s="7" t="str"/>
      <x:c r="K1918" s="7" t="str"/>
      <x:c r="L1918" s="7" t="str"/>
      <x:c r="M1918" s="7" t="str"/>
      <x:c r="N1918" s="7" t="str"/>
      <x:c r="O1918" s="7" t="str">
        <x:f>IF(N1918="","OPEN",IF(OR(I1918="",J1918="",K1918="",L1918="",M1918=""),"FAIL","PASS"))</x:f>
        <x:v>OPEN</x:v>
      </x:c>
    </x:row>
    <x:row r="1919">
      <x:c r="B1919" s="7" t="str">
        <x:v>CH-PEA-C-X2-07-5</x:v>
      </x:c>
      <x:c r="C1919" s="7" t="str">
        <x:v>PEA-C-X2</x:v>
      </x:c>
      <x:c r="D1919" s="7" t="str">
        <x:v>BLD-C</x:v>
      </x:c>
      <x:c r="E1919" s="7" t="str">
        <x:v>BL-X</x:v>
      </x:c>
      <x:c r="F1919" s="7" t="str">
        <x:v>MF-07</x:v>
      </x:c>
      <x:c r="G1919" s="7" t="str">
        <x:v>normal receiver mass</x:v>
      </x:c>
      <x:c r="H1919" s="7" t="n">
        <x:v>5</x:v>
      </x:c>
      <x:c r="I1919" s="7" t="str"/>
      <x:c r="J1919" s="7" t="str"/>
      <x:c r="K1919" s="7" t="str"/>
      <x:c r="L1919" s="7" t="str"/>
      <x:c r="M1919" s="7" t="str"/>
      <x:c r="N1919" s="7" t="str"/>
      <x:c r="O1919" s="7" t="str">
        <x:f>IF(N1919="","OPEN",IF(OR(I1919="",J1919="",K1919="",L1919="",M1919=""),"FAIL","PASS"))</x:f>
        <x:v>OPEN</x:v>
      </x:c>
    </x:row>
    <x:row r="1920">
      <x:c r="B1920" s="7" t="str">
        <x:v>CH-PEA-C-X2-07-6</x:v>
      </x:c>
      <x:c r="C1920" s="7" t="str">
        <x:v>PEA-C-X2</x:v>
      </x:c>
      <x:c r="D1920" s="7" t="str">
        <x:v>BLD-C</x:v>
      </x:c>
      <x:c r="E1920" s="7" t="str">
        <x:v>BL-X</x:v>
      </x:c>
      <x:c r="F1920" s="7" t="str">
        <x:v>MF-07</x:v>
      </x:c>
      <x:c r="G1920" s="7" t="str">
        <x:v>normal receiver mass</x:v>
      </x:c>
      <x:c r="H1920" s="7" t="n">
        <x:v>6</x:v>
      </x:c>
      <x:c r="I1920" s="7" t="str"/>
      <x:c r="J1920" s="7" t="str"/>
      <x:c r="K1920" s="7" t="str"/>
      <x:c r="L1920" s="7" t="str"/>
      <x:c r="M1920" s="7" t="str"/>
      <x:c r="N1920" s="7" t="str"/>
      <x:c r="O1920" s="7" t="str">
        <x:f>IF(N1920="","OPEN",IF(OR(I1920="",J1920="",K1920="",L1920="",M1920=""),"FAIL","PASS"))</x:f>
        <x:v>OPEN</x:v>
      </x:c>
    </x:row>
    <x:row r="1921">
      <x:c r="B1921" s="7" t="str">
        <x:v>CH-PEA-C-X2-08-1</x:v>
      </x:c>
      <x:c r="C1921" s="7" t="str">
        <x:v>PEA-C-X2</x:v>
      </x:c>
      <x:c r="D1921" s="7" t="str">
        <x:v>BLD-C</x:v>
      </x:c>
      <x:c r="E1921" s="7" t="str">
        <x:v>BL-X</x:v>
      </x:c>
      <x:c r="F1921" s="7" t="str">
        <x:v>MF-08</x:v>
      </x:c>
      <x:c r="G1921" s="7" t="str">
        <x:v>casualty receiver mass</x:v>
      </x:c>
      <x:c r="H1921" s="7" t="n">
        <x:v>1</x:v>
      </x:c>
      <x:c r="I1921" s="7" t="str"/>
      <x:c r="J1921" s="7" t="str"/>
      <x:c r="K1921" s="7" t="str"/>
      <x:c r="L1921" s="7" t="str"/>
      <x:c r="M1921" s="7" t="str"/>
      <x:c r="N1921" s="7" t="str"/>
      <x:c r="O1921" s="7" t="str">
        <x:f>IF(N1921="","OPEN",IF(OR(I1921="",J1921="",K1921="",L1921="",M1921=""),"FAIL","PASS"))</x:f>
        <x:v>OPEN</x:v>
      </x:c>
    </x:row>
    <x:row r="1922">
      <x:c r="B1922" s="7" t="str">
        <x:v>CH-PEA-C-X2-08-2</x:v>
      </x:c>
      <x:c r="C1922" s="7" t="str">
        <x:v>PEA-C-X2</x:v>
      </x:c>
      <x:c r="D1922" s="7" t="str">
        <x:v>BLD-C</x:v>
      </x:c>
      <x:c r="E1922" s="7" t="str">
        <x:v>BL-X</x:v>
      </x:c>
      <x:c r="F1922" s="7" t="str">
        <x:v>MF-08</x:v>
      </x:c>
      <x:c r="G1922" s="7" t="str">
        <x:v>casualty receiver mass</x:v>
      </x:c>
      <x:c r="H1922" s="7" t="n">
        <x:v>2</x:v>
      </x:c>
      <x:c r="I1922" s="7" t="str"/>
      <x:c r="J1922" s="7" t="str"/>
      <x:c r="K1922" s="7" t="str"/>
      <x:c r="L1922" s="7" t="str"/>
      <x:c r="M1922" s="7" t="str"/>
      <x:c r="N1922" s="7" t="str"/>
      <x:c r="O1922" s="7" t="str">
        <x:f>IF(N1922="","OPEN",IF(OR(I1922="",J1922="",K1922="",L1922="",M1922=""),"FAIL","PASS"))</x:f>
        <x:v>OPEN</x:v>
      </x:c>
    </x:row>
    <x:row r="1923">
      <x:c r="B1923" s="7" t="str">
        <x:v>CH-PEA-C-X2-08-3</x:v>
      </x:c>
      <x:c r="C1923" s="7" t="str">
        <x:v>PEA-C-X2</x:v>
      </x:c>
      <x:c r="D1923" s="7" t="str">
        <x:v>BLD-C</x:v>
      </x:c>
      <x:c r="E1923" s="7" t="str">
        <x:v>BL-X</x:v>
      </x:c>
      <x:c r="F1923" s="7" t="str">
        <x:v>MF-08</x:v>
      </x:c>
      <x:c r="G1923" s="7" t="str">
        <x:v>casualty receiver mass</x:v>
      </x:c>
      <x:c r="H1923" s="7" t="n">
        <x:v>3</x:v>
      </x:c>
      <x:c r="I1923" s="7" t="str"/>
      <x:c r="J1923" s="7" t="str"/>
      <x:c r="K1923" s="7" t="str"/>
      <x:c r="L1923" s="7" t="str"/>
      <x:c r="M1923" s="7" t="str"/>
      <x:c r="N1923" s="7" t="str"/>
      <x:c r="O1923" s="7" t="str">
        <x:f>IF(N1923="","OPEN",IF(OR(I1923="",J1923="",K1923="",L1923="",M1923=""),"FAIL","PASS"))</x:f>
        <x:v>OPEN</x:v>
      </x:c>
    </x:row>
    <x:row r="1924">
      <x:c r="B1924" s="7" t="str">
        <x:v>CH-PEA-C-X2-08-4</x:v>
      </x:c>
      <x:c r="C1924" s="7" t="str">
        <x:v>PEA-C-X2</x:v>
      </x:c>
      <x:c r="D1924" s="7" t="str">
        <x:v>BLD-C</x:v>
      </x:c>
      <x:c r="E1924" s="7" t="str">
        <x:v>BL-X</x:v>
      </x:c>
      <x:c r="F1924" s="7" t="str">
        <x:v>MF-08</x:v>
      </x:c>
      <x:c r="G1924" s="7" t="str">
        <x:v>casualty receiver mass</x:v>
      </x:c>
      <x:c r="H1924" s="7" t="n">
        <x:v>4</x:v>
      </x:c>
      <x:c r="I1924" s="7" t="str"/>
      <x:c r="J1924" s="7" t="str"/>
      <x:c r="K1924" s="7" t="str"/>
      <x:c r="L1924" s="7" t="str"/>
      <x:c r="M1924" s="7" t="str"/>
      <x:c r="N1924" s="7" t="str"/>
      <x:c r="O1924" s="7" t="str">
        <x:f>IF(N1924="","OPEN",IF(OR(I1924="",J1924="",K1924="",L1924="",M1924=""),"FAIL","PASS"))</x:f>
        <x:v>OPEN</x:v>
      </x:c>
    </x:row>
    <x:row r="1925">
      <x:c r="B1925" s="7" t="str">
        <x:v>CH-PEA-C-X2-08-5</x:v>
      </x:c>
      <x:c r="C1925" s="7" t="str">
        <x:v>PEA-C-X2</x:v>
      </x:c>
      <x:c r="D1925" s="7" t="str">
        <x:v>BLD-C</x:v>
      </x:c>
      <x:c r="E1925" s="7" t="str">
        <x:v>BL-X</x:v>
      </x:c>
      <x:c r="F1925" s="7" t="str">
        <x:v>MF-08</x:v>
      </x:c>
      <x:c r="G1925" s="7" t="str">
        <x:v>casualty receiver mass</x:v>
      </x:c>
      <x:c r="H1925" s="7" t="n">
        <x:v>5</x:v>
      </x:c>
      <x:c r="I1925" s="7" t="str"/>
      <x:c r="J1925" s="7" t="str"/>
      <x:c r="K1925" s="7" t="str"/>
      <x:c r="L1925" s="7" t="str"/>
      <x:c r="M1925" s="7" t="str"/>
      <x:c r="N1925" s="7" t="str"/>
      <x:c r="O1925" s="7" t="str">
        <x:f>IF(N1925="","OPEN",IF(OR(I1925="",J1925="",K1925="",L1925="",M1925=""),"FAIL","PASS"))</x:f>
        <x:v>OPEN</x:v>
      </x:c>
    </x:row>
    <x:row r="1926">
      <x:c r="B1926" s="7" t="str">
        <x:v>CH-PEA-C-X2-08-6</x:v>
      </x:c>
      <x:c r="C1926" s="7" t="str">
        <x:v>PEA-C-X2</x:v>
      </x:c>
      <x:c r="D1926" s="7" t="str">
        <x:v>BLD-C</x:v>
      </x:c>
      <x:c r="E1926" s="7" t="str">
        <x:v>BL-X</x:v>
      </x:c>
      <x:c r="F1926" s="7" t="str">
        <x:v>MF-08</x:v>
      </x:c>
      <x:c r="G1926" s="7" t="str">
        <x:v>casualty receiver mass</x:v>
      </x:c>
      <x:c r="H1926" s="7" t="n">
        <x:v>6</x:v>
      </x:c>
      <x:c r="I1926" s="7" t="str"/>
      <x:c r="J1926" s="7" t="str"/>
      <x:c r="K1926" s="7" t="str"/>
      <x:c r="L1926" s="7" t="str"/>
      <x:c r="M1926" s="7" t="str"/>
      <x:c r="N1926" s="7" t="str"/>
      <x:c r="O1926" s="7" t="str">
        <x:f>IF(N1926="","OPEN",IF(OR(I1926="",J1926="",K1926="",L1926="",M1926=""),"FAIL","PASS"))</x:f>
        <x:v>OPEN</x:v>
      </x:c>
    </x:row>
    <x:row r="1927">
      <x:c r="B1927" s="7" t="str">
        <x:v>CH-PEA-C-X2-09-1</x:v>
      </x:c>
      <x:c r="C1927" s="7" t="str">
        <x:v>PEA-C-X2</x:v>
      </x:c>
      <x:c r="D1927" s="7" t="str">
        <x:v>BLD-C</x:v>
      </x:c>
      <x:c r="E1927" s="7" t="str">
        <x:v>BL-X</x:v>
      </x:c>
      <x:c r="F1927" s="7" t="str">
        <x:v>MF-09</x:v>
      </x:c>
      <x:c r="G1927" s="7" t="str">
        <x:v>geometry and slope</x:v>
      </x:c>
      <x:c r="H1927" s="7" t="n">
        <x:v>1</x:v>
      </x:c>
      <x:c r="I1927" s="7" t="str"/>
      <x:c r="J1927" s="7" t="str"/>
      <x:c r="K1927" s="7" t="str"/>
      <x:c r="L1927" s="7" t="str"/>
      <x:c r="M1927" s="7" t="str"/>
      <x:c r="N1927" s="7" t="str"/>
      <x:c r="O1927" s="7" t="str">
        <x:f>IF(N1927="","OPEN",IF(OR(I1927="",J1927="",K1927="",L1927="",M1927=""),"FAIL","PASS"))</x:f>
        <x:v>OPEN</x:v>
      </x:c>
    </x:row>
    <x:row r="1928">
      <x:c r="B1928" s="7" t="str">
        <x:v>CH-PEA-C-X2-09-2</x:v>
      </x:c>
      <x:c r="C1928" s="7" t="str">
        <x:v>PEA-C-X2</x:v>
      </x:c>
      <x:c r="D1928" s="7" t="str">
        <x:v>BLD-C</x:v>
      </x:c>
      <x:c r="E1928" s="7" t="str">
        <x:v>BL-X</x:v>
      </x:c>
      <x:c r="F1928" s="7" t="str">
        <x:v>MF-09</x:v>
      </x:c>
      <x:c r="G1928" s="7" t="str">
        <x:v>geometry and slope</x:v>
      </x:c>
      <x:c r="H1928" s="7" t="n">
        <x:v>2</x:v>
      </x:c>
      <x:c r="I1928" s="7" t="str"/>
      <x:c r="J1928" s="7" t="str"/>
      <x:c r="K1928" s="7" t="str"/>
      <x:c r="L1928" s="7" t="str"/>
      <x:c r="M1928" s="7" t="str"/>
      <x:c r="N1928" s="7" t="str"/>
      <x:c r="O1928" s="7" t="str">
        <x:f>IF(N1928="","OPEN",IF(OR(I1928="",J1928="",K1928="",L1928="",M1928=""),"FAIL","PASS"))</x:f>
        <x:v>OPEN</x:v>
      </x:c>
    </x:row>
    <x:row r="1929">
      <x:c r="B1929" s="7" t="str">
        <x:v>CH-PEA-C-X2-09-3</x:v>
      </x:c>
      <x:c r="C1929" s="7" t="str">
        <x:v>PEA-C-X2</x:v>
      </x:c>
      <x:c r="D1929" s="7" t="str">
        <x:v>BLD-C</x:v>
      </x:c>
      <x:c r="E1929" s="7" t="str">
        <x:v>BL-X</x:v>
      </x:c>
      <x:c r="F1929" s="7" t="str">
        <x:v>MF-09</x:v>
      </x:c>
      <x:c r="G1929" s="7" t="str">
        <x:v>geometry and slope</x:v>
      </x:c>
      <x:c r="H1929" s="7" t="n">
        <x:v>3</x:v>
      </x:c>
      <x:c r="I1929" s="7" t="str"/>
      <x:c r="J1929" s="7" t="str"/>
      <x:c r="K1929" s="7" t="str"/>
      <x:c r="L1929" s="7" t="str"/>
      <x:c r="M1929" s="7" t="str"/>
      <x:c r="N1929" s="7" t="str"/>
      <x:c r="O1929" s="7" t="str">
        <x:f>IF(N1929="","OPEN",IF(OR(I1929="",J1929="",K1929="",L1929="",M1929=""),"FAIL","PASS"))</x:f>
        <x:v>OPEN</x:v>
      </x:c>
    </x:row>
    <x:row r="1930">
      <x:c r="B1930" s="7" t="str">
        <x:v>CH-PEA-C-X2-09-4</x:v>
      </x:c>
      <x:c r="C1930" s="7" t="str">
        <x:v>PEA-C-X2</x:v>
      </x:c>
      <x:c r="D1930" s="7" t="str">
        <x:v>BLD-C</x:v>
      </x:c>
      <x:c r="E1930" s="7" t="str">
        <x:v>BL-X</x:v>
      </x:c>
      <x:c r="F1930" s="7" t="str">
        <x:v>MF-09</x:v>
      </x:c>
      <x:c r="G1930" s="7" t="str">
        <x:v>geometry and slope</x:v>
      </x:c>
      <x:c r="H1930" s="7" t="n">
        <x:v>4</x:v>
      </x:c>
      <x:c r="I1930" s="7" t="str"/>
      <x:c r="J1930" s="7" t="str"/>
      <x:c r="K1930" s="7" t="str"/>
      <x:c r="L1930" s="7" t="str"/>
      <x:c r="M1930" s="7" t="str"/>
      <x:c r="N1930" s="7" t="str"/>
      <x:c r="O1930" s="7" t="str">
        <x:f>IF(N1930="","OPEN",IF(OR(I1930="",J1930="",K1930="",L1930="",M1930=""),"FAIL","PASS"))</x:f>
        <x:v>OPEN</x:v>
      </x:c>
    </x:row>
    <x:row r="1931">
      <x:c r="B1931" s="7" t="str">
        <x:v>CH-PEA-C-X2-09-5</x:v>
      </x:c>
      <x:c r="C1931" s="7" t="str">
        <x:v>PEA-C-X2</x:v>
      </x:c>
      <x:c r="D1931" s="7" t="str">
        <x:v>BLD-C</x:v>
      </x:c>
      <x:c r="E1931" s="7" t="str">
        <x:v>BL-X</x:v>
      </x:c>
      <x:c r="F1931" s="7" t="str">
        <x:v>MF-09</x:v>
      </x:c>
      <x:c r="G1931" s="7" t="str">
        <x:v>geometry and slope</x:v>
      </x:c>
      <x:c r="H1931" s="7" t="n">
        <x:v>5</x:v>
      </x:c>
      <x:c r="I1931" s="7" t="str"/>
      <x:c r="J1931" s="7" t="str"/>
      <x:c r="K1931" s="7" t="str"/>
      <x:c r="L1931" s="7" t="str"/>
      <x:c r="M1931" s="7" t="str"/>
      <x:c r="N1931" s="7" t="str"/>
      <x:c r="O1931" s="7" t="str">
        <x:f>IF(N1931="","OPEN",IF(OR(I1931="",J1931="",K1931="",L1931="",M1931=""),"FAIL","PASS"))</x:f>
        <x:v>OPEN</x:v>
      </x:c>
    </x:row>
    <x:row r="1932">
      <x:c r="B1932" s="7" t="str">
        <x:v>CH-PEA-C-X2-09-6</x:v>
      </x:c>
      <x:c r="C1932" s="7" t="str">
        <x:v>PEA-C-X2</x:v>
      </x:c>
      <x:c r="D1932" s="7" t="str">
        <x:v>BLD-C</x:v>
      </x:c>
      <x:c r="E1932" s="7" t="str">
        <x:v>BL-X</x:v>
      </x:c>
      <x:c r="F1932" s="7" t="str">
        <x:v>MF-09</x:v>
      </x:c>
      <x:c r="G1932" s="7" t="str">
        <x:v>geometry and slope</x:v>
      </x:c>
      <x:c r="H1932" s="7" t="n">
        <x:v>6</x:v>
      </x:c>
      <x:c r="I1932" s="7" t="str"/>
      <x:c r="J1932" s="7" t="str"/>
      <x:c r="K1932" s="7" t="str"/>
      <x:c r="L1932" s="7" t="str"/>
      <x:c r="M1932" s="7" t="str"/>
      <x:c r="N1932" s="7" t="str"/>
      <x:c r="O1932" s="7" t="str">
        <x:f>IF(N1932="","OPEN",IF(OR(I1932="",J1932="",K1932="",L1932="",M1932=""),"FAIL","PASS"))</x:f>
        <x:v>OPEN</x:v>
      </x:c>
    </x:row>
    <x:row r="1933">
      <x:c r="B1933" s="7" t="str">
        <x:v>CH-PEA-C-X2-10-1</x:v>
      </x:c>
      <x:c r="C1933" s="7" t="str">
        <x:v>PEA-C-X2</x:v>
      </x:c>
      <x:c r="D1933" s="7" t="str">
        <x:v>BLD-C</x:v>
      </x:c>
      <x:c r="E1933" s="7" t="str">
        <x:v>BL-X</x:v>
      </x:c>
      <x:c r="F1933" s="7" t="str">
        <x:v>MF-10</x:v>
      </x:c>
      <x:c r="G1933" s="7" t="str">
        <x:v>normal-source path state</x:v>
      </x:c>
      <x:c r="H1933" s="7" t="n">
        <x:v>1</x:v>
      </x:c>
      <x:c r="I1933" s="7" t="str"/>
      <x:c r="J1933" s="7" t="str"/>
      <x:c r="K1933" s="7" t="str"/>
      <x:c r="L1933" s="7" t="str"/>
      <x:c r="M1933" s="7" t="str"/>
      <x:c r="N1933" s="7" t="str"/>
      <x:c r="O1933" s="7" t="str">
        <x:f>IF(N1933="","OPEN",IF(OR(I1933="",J1933="",K1933="",L1933="",M1933=""),"FAIL","PASS"))</x:f>
        <x:v>OPEN</x:v>
      </x:c>
    </x:row>
    <x:row r="1934">
      <x:c r="B1934" s="7" t="str">
        <x:v>CH-PEA-C-X2-10-2</x:v>
      </x:c>
      <x:c r="C1934" s="7" t="str">
        <x:v>PEA-C-X2</x:v>
      </x:c>
      <x:c r="D1934" s="7" t="str">
        <x:v>BLD-C</x:v>
      </x:c>
      <x:c r="E1934" s="7" t="str">
        <x:v>BL-X</x:v>
      </x:c>
      <x:c r="F1934" s="7" t="str">
        <x:v>MF-10</x:v>
      </x:c>
      <x:c r="G1934" s="7" t="str">
        <x:v>normal-source path state</x:v>
      </x:c>
      <x:c r="H1934" s="7" t="n">
        <x:v>2</x:v>
      </x:c>
      <x:c r="I1934" s="7" t="str"/>
      <x:c r="J1934" s="7" t="str"/>
      <x:c r="K1934" s="7" t="str"/>
      <x:c r="L1934" s="7" t="str"/>
      <x:c r="M1934" s="7" t="str"/>
      <x:c r="N1934" s="7" t="str"/>
      <x:c r="O1934" s="7" t="str">
        <x:f>IF(N1934="","OPEN",IF(OR(I1934="",J1934="",K1934="",L1934="",M1934=""),"FAIL","PASS"))</x:f>
        <x:v>OPEN</x:v>
      </x:c>
    </x:row>
    <x:row r="1935">
      <x:c r="B1935" s="7" t="str">
        <x:v>CH-PEA-C-X2-10-3</x:v>
      </x:c>
      <x:c r="C1935" s="7" t="str">
        <x:v>PEA-C-X2</x:v>
      </x:c>
      <x:c r="D1935" s="7" t="str">
        <x:v>BLD-C</x:v>
      </x:c>
      <x:c r="E1935" s="7" t="str">
        <x:v>BL-X</x:v>
      </x:c>
      <x:c r="F1935" s="7" t="str">
        <x:v>MF-10</x:v>
      </x:c>
      <x:c r="G1935" s="7" t="str">
        <x:v>normal-source path state</x:v>
      </x:c>
      <x:c r="H1935" s="7" t="n">
        <x:v>3</x:v>
      </x:c>
      <x:c r="I1935" s="7" t="str"/>
      <x:c r="J1935" s="7" t="str"/>
      <x:c r="K1935" s="7" t="str"/>
      <x:c r="L1935" s="7" t="str"/>
      <x:c r="M1935" s="7" t="str"/>
      <x:c r="N1935" s="7" t="str"/>
      <x:c r="O1935" s="7" t="str">
        <x:f>IF(N1935="","OPEN",IF(OR(I1935="",J1935="",K1935="",L1935="",M1935=""),"FAIL","PASS"))</x:f>
        <x:v>OPEN</x:v>
      </x:c>
    </x:row>
    <x:row r="1936">
      <x:c r="B1936" s="7" t="str">
        <x:v>CH-PEA-C-X2-10-4</x:v>
      </x:c>
      <x:c r="C1936" s="7" t="str">
        <x:v>PEA-C-X2</x:v>
      </x:c>
      <x:c r="D1936" s="7" t="str">
        <x:v>BLD-C</x:v>
      </x:c>
      <x:c r="E1936" s="7" t="str">
        <x:v>BL-X</x:v>
      </x:c>
      <x:c r="F1936" s="7" t="str">
        <x:v>MF-10</x:v>
      </x:c>
      <x:c r="G1936" s="7" t="str">
        <x:v>normal-source path state</x:v>
      </x:c>
      <x:c r="H1936" s="7" t="n">
        <x:v>4</x:v>
      </x:c>
      <x:c r="I1936" s="7" t="str"/>
      <x:c r="J1936" s="7" t="str"/>
      <x:c r="K1936" s="7" t="str"/>
      <x:c r="L1936" s="7" t="str"/>
      <x:c r="M1936" s="7" t="str"/>
      <x:c r="N1936" s="7" t="str"/>
      <x:c r="O1936" s="7" t="str">
        <x:f>IF(N1936="","OPEN",IF(OR(I1936="",J1936="",K1936="",L1936="",M1936=""),"FAIL","PASS"))</x:f>
        <x:v>OPEN</x:v>
      </x:c>
    </x:row>
    <x:row r="1937">
      <x:c r="B1937" s="7" t="str">
        <x:v>CH-PEA-C-X2-10-5</x:v>
      </x:c>
      <x:c r="C1937" s="7" t="str">
        <x:v>PEA-C-X2</x:v>
      </x:c>
      <x:c r="D1937" s="7" t="str">
        <x:v>BLD-C</x:v>
      </x:c>
      <x:c r="E1937" s="7" t="str">
        <x:v>BL-X</x:v>
      </x:c>
      <x:c r="F1937" s="7" t="str">
        <x:v>MF-10</x:v>
      </x:c>
      <x:c r="G1937" s="7" t="str">
        <x:v>normal-source path state</x:v>
      </x:c>
      <x:c r="H1937" s="7" t="n">
        <x:v>5</x:v>
      </x:c>
      <x:c r="I1937" s="7" t="str"/>
      <x:c r="J1937" s="7" t="str"/>
      <x:c r="K1937" s="7" t="str"/>
      <x:c r="L1937" s="7" t="str"/>
      <x:c r="M1937" s="7" t="str"/>
      <x:c r="N1937" s="7" t="str"/>
      <x:c r="O1937" s="7" t="str">
        <x:f>IF(N1937="","OPEN",IF(OR(I1937="",J1937="",K1937="",L1937="",M1937=""),"FAIL","PASS"))</x:f>
        <x:v>OPEN</x:v>
      </x:c>
    </x:row>
    <x:row r="1938">
      <x:c r="B1938" s="7" t="str">
        <x:v>CH-PEA-C-X2-10-6</x:v>
      </x:c>
      <x:c r="C1938" s="7" t="str">
        <x:v>PEA-C-X2</x:v>
      </x:c>
      <x:c r="D1938" s="7" t="str">
        <x:v>BLD-C</x:v>
      </x:c>
      <x:c r="E1938" s="7" t="str">
        <x:v>BL-X</x:v>
      </x:c>
      <x:c r="F1938" s="7" t="str">
        <x:v>MF-10</x:v>
      </x:c>
      <x:c r="G1938" s="7" t="str">
        <x:v>normal-source path state</x:v>
      </x:c>
      <x:c r="H1938" s="7" t="n">
        <x:v>6</x:v>
      </x:c>
      <x:c r="I1938" s="7" t="str"/>
      <x:c r="J1938" s="7" t="str"/>
      <x:c r="K1938" s="7" t="str"/>
      <x:c r="L1938" s="7" t="str"/>
      <x:c r="M1938" s="7" t="str"/>
      <x:c r="N1938" s="7" t="str"/>
      <x:c r="O1938" s="7" t="str">
        <x:f>IF(N1938="","OPEN",IF(OR(I1938="",J1938="",K1938="",L1938="",M1938=""),"FAIL","PASS"))</x:f>
        <x:v>OPEN</x:v>
      </x:c>
    </x:row>
    <x:row r="1939">
      <x:c r="B1939" s="7" t="str">
        <x:v>CH-PEA-C-X2-11-1</x:v>
      </x:c>
      <x:c r="C1939" s="7" t="str">
        <x:v>PEA-C-X2</x:v>
      </x:c>
      <x:c r="D1939" s="7" t="str">
        <x:v>BLD-C</x:v>
      </x:c>
      <x:c r="E1939" s="7" t="str">
        <x:v>BL-X</x:v>
      </x:c>
      <x:c r="F1939" s="7" t="str">
        <x:v>MF-11</x:v>
      </x:c>
      <x:c r="G1939" s="7" t="str">
        <x:v>casualty-source path state</x:v>
      </x:c>
      <x:c r="H1939" s="7" t="n">
        <x:v>1</x:v>
      </x:c>
      <x:c r="I1939" s="7" t="str"/>
      <x:c r="J1939" s="7" t="str"/>
      <x:c r="K1939" s="7" t="str"/>
      <x:c r="L1939" s="7" t="str"/>
      <x:c r="M1939" s="7" t="str"/>
      <x:c r="N1939" s="7" t="str"/>
      <x:c r="O1939" s="7" t="str">
        <x:f>IF(N1939="","OPEN",IF(OR(I1939="",J1939="",K1939="",L1939="",M1939=""),"FAIL","PASS"))</x:f>
        <x:v>OPEN</x:v>
      </x:c>
    </x:row>
    <x:row r="1940">
      <x:c r="B1940" s="7" t="str">
        <x:v>CH-PEA-C-X2-11-2</x:v>
      </x:c>
      <x:c r="C1940" s="7" t="str">
        <x:v>PEA-C-X2</x:v>
      </x:c>
      <x:c r="D1940" s="7" t="str">
        <x:v>BLD-C</x:v>
      </x:c>
      <x:c r="E1940" s="7" t="str">
        <x:v>BL-X</x:v>
      </x:c>
      <x:c r="F1940" s="7" t="str">
        <x:v>MF-11</x:v>
      </x:c>
      <x:c r="G1940" s="7" t="str">
        <x:v>casualty-source path state</x:v>
      </x:c>
      <x:c r="H1940" s="7" t="n">
        <x:v>2</x:v>
      </x:c>
      <x:c r="I1940" s="7" t="str"/>
      <x:c r="J1940" s="7" t="str"/>
      <x:c r="K1940" s="7" t="str"/>
      <x:c r="L1940" s="7" t="str"/>
      <x:c r="M1940" s="7" t="str"/>
      <x:c r="N1940" s="7" t="str"/>
      <x:c r="O1940" s="7" t="str">
        <x:f>IF(N1940="","OPEN",IF(OR(I1940="",J1940="",K1940="",L1940="",M1940=""),"FAIL","PASS"))</x:f>
        <x:v>OPEN</x:v>
      </x:c>
    </x:row>
    <x:row r="1941">
      <x:c r="B1941" s="7" t="str">
        <x:v>CH-PEA-C-X2-11-3</x:v>
      </x:c>
      <x:c r="C1941" s="7" t="str">
        <x:v>PEA-C-X2</x:v>
      </x:c>
      <x:c r="D1941" s="7" t="str">
        <x:v>BLD-C</x:v>
      </x:c>
      <x:c r="E1941" s="7" t="str">
        <x:v>BL-X</x:v>
      </x:c>
      <x:c r="F1941" s="7" t="str">
        <x:v>MF-11</x:v>
      </x:c>
      <x:c r="G1941" s="7" t="str">
        <x:v>casualty-source path state</x:v>
      </x:c>
      <x:c r="H1941" s="7" t="n">
        <x:v>3</x:v>
      </x:c>
      <x:c r="I1941" s="7" t="str"/>
      <x:c r="J1941" s="7" t="str"/>
      <x:c r="K1941" s="7" t="str"/>
      <x:c r="L1941" s="7" t="str"/>
      <x:c r="M1941" s="7" t="str"/>
      <x:c r="N1941" s="7" t="str"/>
      <x:c r="O1941" s="7" t="str">
        <x:f>IF(N1941="","OPEN",IF(OR(I1941="",J1941="",K1941="",L1941="",M1941=""),"FAIL","PASS"))</x:f>
        <x:v>OPEN</x:v>
      </x:c>
    </x:row>
    <x:row r="1942">
      <x:c r="B1942" s="7" t="str">
        <x:v>CH-PEA-C-X2-11-4</x:v>
      </x:c>
      <x:c r="C1942" s="7" t="str">
        <x:v>PEA-C-X2</x:v>
      </x:c>
      <x:c r="D1942" s="7" t="str">
        <x:v>BLD-C</x:v>
      </x:c>
      <x:c r="E1942" s="7" t="str">
        <x:v>BL-X</x:v>
      </x:c>
      <x:c r="F1942" s="7" t="str">
        <x:v>MF-11</x:v>
      </x:c>
      <x:c r="G1942" s="7" t="str">
        <x:v>casualty-source path state</x:v>
      </x:c>
      <x:c r="H1942" s="7" t="n">
        <x:v>4</x:v>
      </x:c>
      <x:c r="I1942" s="7" t="str"/>
      <x:c r="J1942" s="7" t="str"/>
      <x:c r="K1942" s="7" t="str"/>
      <x:c r="L1942" s="7" t="str"/>
      <x:c r="M1942" s="7" t="str"/>
      <x:c r="N1942" s="7" t="str"/>
      <x:c r="O1942" s="7" t="str">
        <x:f>IF(N1942="","OPEN",IF(OR(I1942="",J1942="",K1942="",L1942="",M1942=""),"FAIL","PASS"))</x:f>
        <x:v>OPEN</x:v>
      </x:c>
    </x:row>
    <x:row r="1943">
      <x:c r="B1943" s="7" t="str">
        <x:v>CH-PEA-C-X2-11-5</x:v>
      </x:c>
      <x:c r="C1943" s="7" t="str">
        <x:v>PEA-C-X2</x:v>
      </x:c>
      <x:c r="D1943" s="7" t="str">
        <x:v>BLD-C</x:v>
      </x:c>
      <x:c r="E1943" s="7" t="str">
        <x:v>BL-X</x:v>
      </x:c>
      <x:c r="F1943" s="7" t="str">
        <x:v>MF-11</x:v>
      </x:c>
      <x:c r="G1943" s="7" t="str">
        <x:v>casualty-source path state</x:v>
      </x:c>
      <x:c r="H1943" s="7" t="n">
        <x:v>5</x:v>
      </x:c>
      <x:c r="I1943" s="7" t="str"/>
      <x:c r="J1943" s="7" t="str"/>
      <x:c r="K1943" s="7" t="str"/>
      <x:c r="L1943" s="7" t="str"/>
      <x:c r="M1943" s="7" t="str"/>
      <x:c r="N1943" s="7" t="str"/>
      <x:c r="O1943" s="7" t="str">
        <x:f>IF(N1943="","OPEN",IF(OR(I1943="",J1943="",K1943="",L1943="",M1943=""),"FAIL","PASS"))</x:f>
        <x:v>OPEN</x:v>
      </x:c>
    </x:row>
    <x:row r="1944">
      <x:c r="B1944" s="7" t="str">
        <x:v>CH-PEA-C-X2-11-6</x:v>
      </x:c>
      <x:c r="C1944" s="7" t="str">
        <x:v>PEA-C-X2</x:v>
      </x:c>
      <x:c r="D1944" s="7" t="str">
        <x:v>BLD-C</x:v>
      </x:c>
      <x:c r="E1944" s="7" t="str">
        <x:v>BL-X</x:v>
      </x:c>
      <x:c r="F1944" s="7" t="str">
        <x:v>MF-11</x:v>
      </x:c>
      <x:c r="G1944" s="7" t="str">
        <x:v>casualty-source path state</x:v>
      </x:c>
      <x:c r="H1944" s="7" t="n">
        <x:v>6</x:v>
      </x:c>
      <x:c r="I1944" s="7" t="str"/>
      <x:c r="J1944" s="7" t="str"/>
      <x:c r="K1944" s="7" t="str"/>
      <x:c r="L1944" s="7" t="str"/>
      <x:c r="M1944" s="7" t="str"/>
      <x:c r="N1944" s="7" t="str"/>
      <x:c r="O1944" s="7" t="str">
        <x:f>IF(N1944="","OPEN",IF(OR(I1944="",J1944="",K1944="",L1944="",M1944=""),"FAIL","PASS"))</x:f>
        <x:v>OPEN</x:v>
      </x:c>
    </x:row>
    <x:row r="1945">
      <x:c r="B1945" s="7" t="str">
        <x:v>CH-PEA-C-X2-12-1</x:v>
      </x:c>
      <x:c r="C1945" s="7" t="str">
        <x:v>PEA-C-X2</x:v>
      </x:c>
      <x:c r="D1945" s="7" t="str">
        <x:v>BLD-C</x:v>
      </x:c>
      <x:c r="E1945" s="7" t="str">
        <x:v>BL-X</x:v>
      </x:c>
      <x:c r="F1945" s="7" t="str">
        <x:v>MF-12</x:v>
      </x:c>
      <x:c r="G1945" s="7" t="str">
        <x:v>candidate-water path state</x:v>
      </x:c>
      <x:c r="H1945" s="7" t="n">
        <x:v>1</x:v>
      </x:c>
      <x:c r="I1945" s="7" t="str"/>
      <x:c r="J1945" s="7" t="str"/>
      <x:c r="K1945" s="7" t="str"/>
      <x:c r="L1945" s="7" t="str"/>
      <x:c r="M1945" s="7" t="str"/>
      <x:c r="N1945" s="7" t="str"/>
      <x:c r="O1945" s="7" t="str">
        <x:f>IF(N1945="","OPEN",IF(OR(I1945="",J1945="",K1945="",L1945="",M1945=""),"FAIL","PASS"))</x:f>
        <x:v>OPEN</x:v>
      </x:c>
    </x:row>
    <x:row r="1946">
      <x:c r="B1946" s="7" t="str">
        <x:v>CH-PEA-C-X2-12-2</x:v>
      </x:c>
      <x:c r="C1946" s="7" t="str">
        <x:v>PEA-C-X2</x:v>
      </x:c>
      <x:c r="D1946" s="7" t="str">
        <x:v>BLD-C</x:v>
      </x:c>
      <x:c r="E1946" s="7" t="str">
        <x:v>BL-X</x:v>
      </x:c>
      <x:c r="F1946" s="7" t="str">
        <x:v>MF-12</x:v>
      </x:c>
      <x:c r="G1946" s="7" t="str">
        <x:v>candidate-water path state</x:v>
      </x:c>
      <x:c r="H1946" s="7" t="n">
        <x:v>2</x:v>
      </x:c>
      <x:c r="I1946" s="7" t="str"/>
      <x:c r="J1946" s="7" t="str"/>
      <x:c r="K1946" s="7" t="str"/>
      <x:c r="L1946" s="7" t="str"/>
      <x:c r="M1946" s="7" t="str"/>
      <x:c r="N1946" s="7" t="str"/>
      <x:c r="O1946" s="7" t="str">
        <x:f>IF(N1946="","OPEN",IF(OR(I1946="",J1946="",K1946="",L1946="",M1946=""),"FAIL","PASS"))</x:f>
        <x:v>OPEN</x:v>
      </x:c>
    </x:row>
    <x:row r="1947">
      <x:c r="B1947" s="7" t="str">
        <x:v>CH-PEA-C-X2-12-3</x:v>
      </x:c>
      <x:c r="C1947" s="7" t="str">
        <x:v>PEA-C-X2</x:v>
      </x:c>
      <x:c r="D1947" s="7" t="str">
        <x:v>BLD-C</x:v>
      </x:c>
      <x:c r="E1947" s="7" t="str">
        <x:v>BL-X</x:v>
      </x:c>
      <x:c r="F1947" s="7" t="str">
        <x:v>MF-12</x:v>
      </x:c>
      <x:c r="G1947" s="7" t="str">
        <x:v>candidate-water path state</x:v>
      </x:c>
      <x:c r="H1947" s="7" t="n">
        <x:v>3</x:v>
      </x:c>
      <x:c r="I1947" s="7" t="str"/>
      <x:c r="J1947" s="7" t="str"/>
      <x:c r="K1947" s="7" t="str"/>
      <x:c r="L1947" s="7" t="str"/>
      <x:c r="M1947" s="7" t="str"/>
      <x:c r="N1947" s="7" t="str"/>
      <x:c r="O1947" s="7" t="str">
        <x:f>IF(N1947="","OPEN",IF(OR(I1947="",J1947="",K1947="",L1947="",M1947=""),"FAIL","PASS"))</x:f>
        <x:v>OPEN</x:v>
      </x:c>
    </x:row>
    <x:row r="1948">
      <x:c r="B1948" s="7" t="str">
        <x:v>CH-PEA-C-X2-12-4</x:v>
      </x:c>
      <x:c r="C1948" s="7" t="str">
        <x:v>PEA-C-X2</x:v>
      </x:c>
      <x:c r="D1948" s="7" t="str">
        <x:v>BLD-C</x:v>
      </x:c>
      <x:c r="E1948" s="7" t="str">
        <x:v>BL-X</x:v>
      </x:c>
      <x:c r="F1948" s="7" t="str">
        <x:v>MF-12</x:v>
      </x:c>
      <x:c r="G1948" s="7" t="str">
        <x:v>candidate-water path state</x:v>
      </x:c>
      <x:c r="H1948" s="7" t="n">
        <x:v>4</x:v>
      </x:c>
      <x:c r="I1948" s="7" t="str"/>
      <x:c r="J1948" s="7" t="str"/>
      <x:c r="K1948" s="7" t="str"/>
      <x:c r="L1948" s="7" t="str"/>
      <x:c r="M1948" s="7" t="str"/>
      <x:c r="N1948" s="7" t="str"/>
      <x:c r="O1948" s="7" t="str">
        <x:f>IF(N1948="","OPEN",IF(OR(I1948="",J1948="",K1948="",L1948="",M1948=""),"FAIL","PASS"))</x:f>
        <x:v>OPEN</x:v>
      </x:c>
    </x:row>
    <x:row r="1949">
      <x:c r="B1949" s="7" t="str">
        <x:v>CH-PEA-C-X2-12-5</x:v>
      </x:c>
      <x:c r="C1949" s="7" t="str">
        <x:v>PEA-C-X2</x:v>
      </x:c>
      <x:c r="D1949" s="7" t="str">
        <x:v>BLD-C</x:v>
      </x:c>
      <x:c r="E1949" s="7" t="str">
        <x:v>BL-X</x:v>
      </x:c>
      <x:c r="F1949" s="7" t="str">
        <x:v>MF-12</x:v>
      </x:c>
      <x:c r="G1949" s="7" t="str">
        <x:v>candidate-water path state</x:v>
      </x:c>
      <x:c r="H1949" s="7" t="n">
        <x:v>5</x:v>
      </x:c>
      <x:c r="I1949" s="7" t="str"/>
      <x:c r="J1949" s="7" t="str"/>
      <x:c r="K1949" s="7" t="str"/>
      <x:c r="L1949" s="7" t="str"/>
      <x:c r="M1949" s="7" t="str"/>
      <x:c r="N1949" s="7" t="str"/>
      <x:c r="O1949" s="7" t="str">
        <x:f>IF(N1949="","OPEN",IF(OR(I1949="",J1949="",K1949="",L1949="",M1949=""),"FAIL","PASS"))</x:f>
        <x:v>OPEN</x:v>
      </x:c>
    </x:row>
    <x:row r="1950">
      <x:c r="B1950" s="7" t="str">
        <x:v>CH-PEA-C-X2-12-6</x:v>
      </x:c>
      <x:c r="C1950" s="7" t="str">
        <x:v>PEA-C-X2</x:v>
      </x:c>
      <x:c r="D1950" s="7" t="str">
        <x:v>BLD-C</x:v>
      </x:c>
      <x:c r="E1950" s="7" t="str">
        <x:v>BL-X</x:v>
      </x:c>
      <x:c r="F1950" s="7" t="str">
        <x:v>MF-12</x:v>
      </x:c>
      <x:c r="G1950" s="7" t="str">
        <x:v>candidate-water path state</x:v>
      </x:c>
      <x:c r="H1950" s="7" t="n">
        <x:v>6</x:v>
      </x:c>
      <x:c r="I1950" s="7" t="str"/>
      <x:c r="J1950" s="7" t="str"/>
      <x:c r="K1950" s="7" t="str"/>
      <x:c r="L1950" s="7" t="str"/>
      <x:c r="M1950" s="7" t="str"/>
      <x:c r="N1950" s="7" t="str"/>
      <x:c r="O1950" s="7" t="str">
        <x:f>IF(N1950="","OPEN",IF(OR(I1950="",J1950="",K1950="",L1950="",M1950=""),"FAIL","PASS"))</x:f>
        <x:v>OPEN</x:v>
      </x:c>
    </x:row>
    <x:row r="1951">
      <x:c r="B1951" s="7" t="str">
        <x:v>CH-PEA-C-X2-13-1</x:v>
      </x:c>
      <x:c r="C1951" s="7" t="str">
        <x:v>PEA-C-X2</x:v>
      </x:c>
      <x:c r="D1951" s="7" t="str">
        <x:v>BLD-C</x:v>
      </x:c>
      <x:c r="E1951" s="7" t="str">
        <x:v>BL-X</x:v>
      </x:c>
      <x:c r="F1951" s="7" t="str">
        <x:v>MF-13</x:v>
      </x:c>
      <x:c r="G1951" s="7" t="str">
        <x:v>final-element reference</x:v>
      </x:c>
      <x:c r="H1951" s="7" t="n">
        <x:v>1</x:v>
      </x:c>
      <x:c r="I1951" s="7" t="str"/>
      <x:c r="J1951" s="7" t="str"/>
      <x:c r="K1951" s="7" t="str"/>
      <x:c r="L1951" s="7" t="str"/>
      <x:c r="M1951" s="7" t="str"/>
      <x:c r="N1951" s="7" t="str"/>
      <x:c r="O1951" s="7" t="str">
        <x:f>IF(N1951="","OPEN",IF(OR(I1951="",J1951="",K1951="",L1951="",M1951=""),"FAIL","PASS"))</x:f>
        <x:v>OPEN</x:v>
      </x:c>
    </x:row>
    <x:row r="1952">
      <x:c r="B1952" s="7" t="str">
        <x:v>CH-PEA-C-X2-13-2</x:v>
      </x:c>
      <x:c r="C1952" s="7" t="str">
        <x:v>PEA-C-X2</x:v>
      </x:c>
      <x:c r="D1952" s="7" t="str">
        <x:v>BLD-C</x:v>
      </x:c>
      <x:c r="E1952" s="7" t="str">
        <x:v>BL-X</x:v>
      </x:c>
      <x:c r="F1952" s="7" t="str">
        <x:v>MF-13</x:v>
      </x:c>
      <x:c r="G1952" s="7" t="str">
        <x:v>final-element reference</x:v>
      </x:c>
      <x:c r="H1952" s="7" t="n">
        <x:v>2</x:v>
      </x:c>
      <x:c r="I1952" s="7" t="str"/>
      <x:c r="J1952" s="7" t="str"/>
      <x:c r="K1952" s="7" t="str"/>
      <x:c r="L1952" s="7" t="str"/>
      <x:c r="M1952" s="7" t="str"/>
      <x:c r="N1952" s="7" t="str"/>
      <x:c r="O1952" s="7" t="str">
        <x:f>IF(N1952="","OPEN",IF(OR(I1952="",J1952="",K1952="",L1952="",M1952=""),"FAIL","PASS"))</x:f>
        <x:v>OPEN</x:v>
      </x:c>
    </x:row>
    <x:row r="1953">
      <x:c r="B1953" s="7" t="str">
        <x:v>CH-PEA-C-X2-13-3</x:v>
      </x:c>
      <x:c r="C1953" s="7" t="str">
        <x:v>PEA-C-X2</x:v>
      </x:c>
      <x:c r="D1953" s="7" t="str">
        <x:v>BLD-C</x:v>
      </x:c>
      <x:c r="E1953" s="7" t="str">
        <x:v>BL-X</x:v>
      </x:c>
      <x:c r="F1953" s="7" t="str">
        <x:v>MF-13</x:v>
      </x:c>
      <x:c r="G1953" s="7" t="str">
        <x:v>final-element reference</x:v>
      </x:c>
      <x:c r="H1953" s="7" t="n">
        <x:v>3</x:v>
      </x:c>
      <x:c r="I1953" s="7" t="str"/>
      <x:c r="J1953" s="7" t="str"/>
      <x:c r="K1953" s="7" t="str"/>
      <x:c r="L1953" s="7" t="str"/>
      <x:c r="M1953" s="7" t="str"/>
      <x:c r="N1953" s="7" t="str"/>
      <x:c r="O1953" s="7" t="str">
        <x:f>IF(N1953="","OPEN",IF(OR(I1953="",J1953="",K1953="",L1953="",M1953=""),"FAIL","PASS"))</x:f>
        <x:v>OPEN</x:v>
      </x:c>
    </x:row>
    <x:row r="1954">
      <x:c r="B1954" s="7" t="str">
        <x:v>CH-PEA-C-X2-13-4</x:v>
      </x:c>
      <x:c r="C1954" s="7" t="str">
        <x:v>PEA-C-X2</x:v>
      </x:c>
      <x:c r="D1954" s="7" t="str">
        <x:v>BLD-C</x:v>
      </x:c>
      <x:c r="E1954" s="7" t="str">
        <x:v>BL-X</x:v>
      </x:c>
      <x:c r="F1954" s="7" t="str">
        <x:v>MF-13</x:v>
      </x:c>
      <x:c r="G1954" s="7" t="str">
        <x:v>final-element reference</x:v>
      </x:c>
      <x:c r="H1954" s="7" t="n">
        <x:v>4</x:v>
      </x:c>
      <x:c r="I1954" s="7" t="str"/>
      <x:c r="J1954" s="7" t="str"/>
      <x:c r="K1954" s="7" t="str"/>
      <x:c r="L1954" s="7" t="str"/>
      <x:c r="M1954" s="7" t="str"/>
      <x:c r="N1954" s="7" t="str"/>
      <x:c r="O1954" s="7" t="str">
        <x:f>IF(N1954="","OPEN",IF(OR(I1954="",J1954="",K1954="",L1954="",M1954=""),"FAIL","PASS"))</x:f>
        <x:v>OPEN</x:v>
      </x:c>
    </x:row>
    <x:row r="1955">
      <x:c r="B1955" s="7" t="str">
        <x:v>CH-PEA-C-X2-13-5</x:v>
      </x:c>
      <x:c r="C1955" s="7" t="str">
        <x:v>PEA-C-X2</x:v>
      </x:c>
      <x:c r="D1955" s="7" t="str">
        <x:v>BLD-C</x:v>
      </x:c>
      <x:c r="E1955" s="7" t="str">
        <x:v>BL-X</x:v>
      </x:c>
      <x:c r="F1955" s="7" t="str">
        <x:v>MF-13</x:v>
      </x:c>
      <x:c r="G1955" s="7" t="str">
        <x:v>final-element reference</x:v>
      </x:c>
      <x:c r="H1955" s="7" t="n">
        <x:v>5</x:v>
      </x:c>
      <x:c r="I1955" s="7" t="str"/>
      <x:c r="J1955" s="7" t="str"/>
      <x:c r="K1955" s="7" t="str"/>
      <x:c r="L1955" s="7" t="str"/>
      <x:c r="M1955" s="7" t="str"/>
      <x:c r="N1955" s="7" t="str"/>
      <x:c r="O1955" s="7" t="str">
        <x:f>IF(N1955="","OPEN",IF(OR(I1955="",J1955="",K1955="",L1955="",M1955=""),"FAIL","PASS"))</x:f>
        <x:v>OPEN</x:v>
      </x:c>
    </x:row>
    <x:row r="1956">
      <x:c r="B1956" s="7" t="str">
        <x:v>CH-PEA-C-X2-13-6</x:v>
      </x:c>
      <x:c r="C1956" s="7" t="str">
        <x:v>PEA-C-X2</x:v>
      </x:c>
      <x:c r="D1956" s="7" t="str">
        <x:v>BLD-C</x:v>
      </x:c>
      <x:c r="E1956" s="7" t="str">
        <x:v>BL-X</x:v>
      </x:c>
      <x:c r="F1956" s="7" t="str">
        <x:v>MF-13</x:v>
      </x:c>
      <x:c r="G1956" s="7" t="str">
        <x:v>final-element reference</x:v>
      </x:c>
      <x:c r="H1956" s="7" t="n">
        <x:v>6</x:v>
      </x:c>
      <x:c r="I1956" s="7" t="str"/>
      <x:c r="J1956" s="7" t="str"/>
      <x:c r="K1956" s="7" t="str"/>
      <x:c r="L1956" s="7" t="str"/>
      <x:c r="M1956" s="7" t="str"/>
      <x:c r="N1956" s="7" t="str"/>
      <x:c r="O1956" s="7" t="str">
        <x:f>IF(N1956="","OPEN",IF(OR(I1956="",J1956="",K1956="",L1956="",M1956=""),"FAIL","PASS"))</x:f>
        <x:v>OPEN</x:v>
      </x:c>
    </x:row>
    <x:row r="1957">
      <x:c r="B1957" s="7" t="str">
        <x:v>CH-PEA-C-X2-14-1</x:v>
      </x:c>
      <x:c r="C1957" s="7" t="str">
        <x:v>PEA-C-X2</x:v>
      </x:c>
      <x:c r="D1957" s="7" t="str">
        <x:v>BLD-C</x:v>
      </x:c>
      <x:c r="E1957" s="7" t="str">
        <x:v>BL-X</x:v>
      </x:c>
      <x:c r="F1957" s="7" t="str">
        <x:v>MF-14</x:v>
      </x:c>
      <x:c r="G1957" s="7" t="str">
        <x:v>causal time</x:v>
      </x:c>
      <x:c r="H1957" s="7" t="n">
        <x:v>1</x:v>
      </x:c>
      <x:c r="I1957" s="7" t="str"/>
      <x:c r="J1957" s="7" t="str"/>
      <x:c r="K1957" s="7" t="str"/>
      <x:c r="L1957" s="7" t="str"/>
      <x:c r="M1957" s="7" t="str"/>
      <x:c r="N1957" s="7" t="str"/>
      <x:c r="O1957" s="7" t="str">
        <x:f>IF(N1957="","OPEN",IF(OR(I1957="",J1957="",K1957="",L1957="",M1957=""),"FAIL","PASS"))</x:f>
        <x:v>OPEN</x:v>
      </x:c>
    </x:row>
    <x:row r="1958">
      <x:c r="B1958" s="7" t="str">
        <x:v>CH-PEA-C-X2-14-2</x:v>
      </x:c>
      <x:c r="C1958" s="7" t="str">
        <x:v>PEA-C-X2</x:v>
      </x:c>
      <x:c r="D1958" s="7" t="str">
        <x:v>BLD-C</x:v>
      </x:c>
      <x:c r="E1958" s="7" t="str">
        <x:v>BL-X</x:v>
      </x:c>
      <x:c r="F1958" s="7" t="str">
        <x:v>MF-14</x:v>
      </x:c>
      <x:c r="G1958" s="7" t="str">
        <x:v>causal time</x:v>
      </x:c>
      <x:c r="H1958" s="7" t="n">
        <x:v>2</x:v>
      </x:c>
      <x:c r="I1958" s="7" t="str"/>
      <x:c r="J1958" s="7" t="str"/>
      <x:c r="K1958" s="7" t="str"/>
      <x:c r="L1958" s="7" t="str"/>
      <x:c r="M1958" s="7" t="str"/>
      <x:c r="N1958" s="7" t="str"/>
      <x:c r="O1958" s="7" t="str">
        <x:f>IF(N1958="","OPEN",IF(OR(I1958="",J1958="",K1958="",L1958="",M1958=""),"FAIL","PASS"))</x:f>
        <x:v>OPEN</x:v>
      </x:c>
    </x:row>
    <x:row r="1959">
      <x:c r="B1959" s="7" t="str">
        <x:v>CH-PEA-C-X2-14-3</x:v>
      </x:c>
      <x:c r="C1959" s="7" t="str">
        <x:v>PEA-C-X2</x:v>
      </x:c>
      <x:c r="D1959" s="7" t="str">
        <x:v>BLD-C</x:v>
      </x:c>
      <x:c r="E1959" s="7" t="str">
        <x:v>BL-X</x:v>
      </x:c>
      <x:c r="F1959" s="7" t="str">
        <x:v>MF-14</x:v>
      </x:c>
      <x:c r="G1959" s="7" t="str">
        <x:v>causal time</x:v>
      </x:c>
      <x:c r="H1959" s="7" t="n">
        <x:v>3</x:v>
      </x:c>
      <x:c r="I1959" s="7" t="str"/>
      <x:c r="J1959" s="7" t="str"/>
      <x:c r="K1959" s="7" t="str"/>
      <x:c r="L1959" s="7" t="str"/>
      <x:c r="M1959" s="7" t="str"/>
      <x:c r="N1959" s="7" t="str"/>
      <x:c r="O1959" s="7" t="str">
        <x:f>IF(N1959="","OPEN",IF(OR(I1959="",J1959="",K1959="",L1959="",M1959=""),"FAIL","PASS"))</x:f>
        <x:v>OPEN</x:v>
      </x:c>
    </x:row>
    <x:row r="1960">
      <x:c r="B1960" s="7" t="str">
        <x:v>CH-PEA-C-X2-14-4</x:v>
      </x:c>
      <x:c r="C1960" s="7" t="str">
        <x:v>PEA-C-X2</x:v>
      </x:c>
      <x:c r="D1960" s="7" t="str">
        <x:v>BLD-C</x:v>
      </x:c>
      <x:c r="E1960" s="7" t="str">
        <x:v>BL-X</x:v>
      </x:c>
      <x:c r="F1960" s="7" t="str">
        <x:v>MF-14</x:v>
      </x:c>
      <x:c r="G1960" s="7" t="str">
        <x:v>causal time</x:v>
      </x:c>
      <x:c r="H1960" s="7" t="n">
        <x:v>4</x:v>
      </x:c>
      <x:c r="I1960" s="7" t="str"/>
      <x:c r="J1960" s="7" t="str"/>
      <x:c r="K1960" s="7" t="str"/>
      <x:c r="L1960" s="7" t="str"/>
      <x:c r="M1960" s="7" t="str"/>
      <x:c r="N1960" s="7" t="str"/>
      <x:c r="O1960" s="7" t="str">
        <x:f>IF(N1960="","OPEN",IF(OR(I1960="",J1960="",K1960="",L1960="",M1960=""),"FAIL","PASS"))</x:f>
        <x:v>OPEN</x:v>
      </x:c>
    </x:row>
    <x:row r="1961">
      <x:c r="B1961" s="7" t="str">
        <x:v>CH-PEA-C-X2-14-5</x:v>
      </x:c>
      <x:c r="C1961" s="7" t="str">
        <x:v>PEA-C-X2</x:v>
      </x:c>
      <x:c r="D1961" s="7" t="str">
        <x:v>BLD-C</x:v>
      </x:c>
      <x:c r="E1961" s="7" t="str">
        <x:v>BL-X</x:v>
      </x:c>
      <x:c r="F1961" s="7" t="str">
        <x:v>MF-14</x:v>
      </x:c>
      <x:c r="G1961" s="7" t="str">
        <x:v>causal time</x:v>
      </x:c>
      <x:c r="H1961" s="7" t="n">
        <x:v>5</x:v>
      </x:c>
      <x:c r="I1961" s="7" t="str"/>
      <x:c r="J1961" s="7" t="str"/>
      <x:c r="K1961" s="7" t="str"/>
      <x:c r="L1961" s="7" t="str"/>
      <x:c r="M1961" s="7" t="str"/>
      <x:c r="N1961" s="7" t="str"/>
      <x:c r="O1961" s="7" t="str">
        <x:f>IF(N1961="","OPEN",IF(OR(I1961="",J1961="",K1961="",L1961="",M1961=""),"FAIL","PASS"))</x:f>
        <x:v>OPEN</x:v>
      </x:c>
    </x:row>
    <x:row r="1962">
      <x:c r="B1962" s="7" t="str">
        <x:v>CH-PEA-C-X2-14-6</x:v>
      </x:c>
      <x:c r="C1962" s="7" t="str">
        <x:v>PEA-C-X2</x:v>
      </x:c>
      <x:c r="D1962" s="7" t="str">
        <x:v>BLD-C</x:v>
      </x:c>
      <x:c r="E1962" s="7" t="str">
        <x:v>BL-X</x:v>
      </x:c>
      <x:c r="F1962" s="7" t="str">
        <x:v>MF-14</x:v>
      </x:c>
      <x:c r="G1962" s="7" t="str">
        <x:v>causal time</x:v>
      </x:c>
      <x:c r="H1962" s="7" t="n">
        <x:v>6</x:v>
      </x:c>
      <x:c r="I1962" s="7" t="str"/>
      <x:c r="J1962" s="7" t="str"/>
      <x:c r="K1962" s="7" t="str"/>
      <x:c r="L1962" s="7" t="str"/>
      <x:c r="M1962" s="7" t="str"/>
      <x:c r="N1962" s="7" t="str"/>
      <x:c r="O1962" s="7" t="str">
        <x:f>IF(N1962="","OPEN",IF(OR(I1962="",J1962="",K1962="",L1962="",M1962=""),"FAIL","PASS"))</x:f>
        <x:v>OPEN</x:v>
      </x:c>
    </x:row>
    <x:row r="1963">
      <x:c r="B1963" s="7" t="str">
        <x:v>CH-PEA-C-X2-15-1</x:v>
      </x:c>
      <x:c r="C1963" s="7" t="str">
        <x:v>PEA-C-X2</x:v>
      </x:c>
      <x:c r="D1963" s="7" t="str">
        <x:v>BLD-C</x:v>
      </x:c>
      <x:c r="E1963" s="7" t="str">
        <x:v>BL-X</x:v>
      </x:c>
      <x:c r="F1963" s="7" t="str">
        <x:v>MF-15</x:v>
      </x:c>
      <x:c r="G1963" s="7" t="str">
        <x:v>source motive energy</x:v>
      </x:c>
      <x:c r="H1963" s="7" t="n">
        <x:v>1</x:v>
      </x:c>
      <x:c r="I1963" s="7" t="str"/>
      <x:c r="J1963" s="7" t="str"/>
      <x:c r="K1963" s="7" t="str"/>
      <x:c r="L1963" s="7" t="str"/>
      <x:c r="M1963" s="7" t="str"/>
      <x:c r="N1963" s="7" t="str"/>
      <x:c r="O1963" s="7" t="str">
        <x:f>IF(N1963="","OPEN",IF(OR(I1963="",J1963="",K1963="",L1963="",M1963=""),"FAIL","PASS"))</x:f>
        <x:v>OPEN</x:v>
      </x:c>
    </x:row>
    <x:row r="1964">
      <x:c r="B1964" s="7" t="str">
        <x:v>CH-PEA-C-X2-15-2</x:v>
      </x:c>
      <x:c r="C1964" s="7" t="str">
        <x:v>PEA-C-X2</x:v>
      </x:c>
      <x:c r="D1964" s="7" t="str">
        <x:v>BLD-C</x:v>
      </x:c>
      <x:c r="E1964" s="7" t="str">
        <x:v>BL-X</x:v>
      </x:c>
      <x:c r="F1964" s="7" t="str">
        <x:v>MF-15</x:v>
      </x:c>
      <x:c r="G1964" s="7" t="str">
        <x:v>source motive energy</x:v>
      </x:c>
      <x:c r="H1964" s="7" t="n">
        <x:v>2</x:v>
      </x:c>
      <x:c r="I1964" s="7" t="str"/>
      <x:c r="J1964" s="7" t="str"/>
      <x:c r="K1964" s="7" t="str"/>
      <x:c r="L1964" s="7" t="str"/>
      <x:c r="M1964" s="7" t="str"/>
      <x:c r="N1964" s="7" t="str"/>
      <x:c r="O1964" s="7" t="str">
        <x:f>IF(N1964="","OPEN",IF(OR(I1964="",J1964="",K1964="",L1964="",M1964=""),"FAIL","PASS"))</x:f>
        <x:v>OPEN</x:v>
      </x:c>
    </x:row>
    <x:row r="1965">
      <x:c r="B1965" s="7" t="str">
        <x:v>CH-PEA-C-X2-15-3</x:v>
      </x:c>
      <x:c r="C1965" s="7" t="str">
        <x:v>PEA-C-X2</x:v>
      </x:c>
      <x:c r="D1965" s="7" t="str">
        <x:v>BLD-C</x:v>
      </x:c>
      <x:c r="E1965" s="7" t="str">
        <x:v>BL-X</x:v>
      </x:c>
      <x:c r="F1965" s="7" t="str">
        <x:v>MF-15</x:v>
      </x:c>
      <x:c r="G1965" s="7" t="str">
        <x:v>source motive energy</x:v>
      </x:c>
      <x:c r="H1965" s="7" t="n">
        <x:v>3</x:v>
      </x:c>
      <x:c r="I1965" s="7" t="str"/>
      <x:c r="J1965" s="7" t="str"/>
      <x:c r="K1965" s="7" t="str"/>
      <x:c r="L1965" s="7" t="str"/>
      <x:c r="M1965" s="7" t="str"/>
      <x:c r="N1965" s="7" t="str"/>
      <x:c r="O1965" s="7" t="str">
        <x:f>IF(N1965="","OPEN",IF(OR(I1965="",J1965="",K1965="",L1965="",M1965=""),"FAIL","PASS"))</x:f>
        <x:v>OPEN</x:v>
      </x:c>
    </x:row>
    <x:row r="1966">
      <x:c r="B1966" s="7" t="str">
        <x:v>CH-PEA-C-X2-15-4</x:v>
      </x:c>
      <x:c r="C1966" s="7" t="str">
        <x:v>PEA-C-X2</x:v>
      </x:c>
      <x:c r="D1966" s="7" t="str">
        <x:v>BLD-C</x:v>
      </x:c>
      <x:c r="E1966" s="7" t="str">
        <x:v>BL-X</x:v>
      </x:c>
      <x:c r="F1966" s="7" t="str">
        <x:v>MF-15</x:v>
      </x:c>
      <x:c r="G1966" s="7" t="str">
        <x:v>source motive energy</x:v>
      </x:c>
      <x:c r="H1966" s="7" t="n">
        <x:v>4</x:v>
      </x:c>
      <x:c r="I1966" s="7" t="str"/>
      <x:c r="J1966" s="7" t="str"/>
      <x:c r="K1966" s="7" t="str"/>
      <x:c r="L1966" s="7" t="str"/>
      <x:c r="M1966" s="7" t="str"/>
      <x:c r="N1966" s="7" t="str"/>
      <x:c r="O1966" s="7" t="str">
        <x:f>IF(N1966="","OPEN",IF(OR(I1966="",J1966="",K1966="",L1966="",M1966=""),"FAIL","PASS"))</x:f>
        <x:v>OPEN</x:v>
      </x:c>
    </x:row>
    <x:row r="1967">
      <x:c r="B1967" s="7" t="str">
        <x:v>CH-PEA-C-X2-15-5</x:v>
      </x:c>
      <x:c r="C1967" s="7" t="str">
        <x:v>PEA-C-X2</x:v>
      </x:c>
      <x:c r="D1967" s="7" t="str">
        <x:v>BLD-C</x:v>
      </x:c>
      <x:c r="E1967" s="7" t="str">
        <x:v>BL-X</x:v>
      </x:c>
      <x:c r="F1967" s="7" t="str">
        <x:v>MF-15</x:v>
      </x:c>
      <x:c r="G1967" s="7" t="str">
        <x:v>source motive energy</x:v>
      </x:c>
      <x:c r="H1967" s="7" t="n">
        <x:v>5</x:v>
      </x:c>
      <x:c r="I1967" s="7" t="str"/>
      <x:c r="J1967" s="7" t="str"/>
      <x:c r="K1967" s="7" t="str"/>
      <x:c r="L1967" s="7" t="str"/>
      <x:c r="M1967" s="7" t="str"/>
      <x:c r="N1967" s="7" t="str"/>
      <x:c r="O1967" s="7" t="str">
        <x:f>IF(N1967="","OPEN",IF(OR(I1967="",J1967="",K1967="",L1967="",M1967=""),"FAIL","PASS"))</x:f>
        <x:v>OPEN</x:v>
      </x:c>
    </x:row>
    <x:row r="1968">
      <x:c r="B1968" s="7" t="str">
        <x:v>CH-PEA-C-X2-15-6</x:v>
      </x:c>
      <x:c r="C1968" s="7" t="str">
        <x:v>PEA-C-X2</x:v>
      </x:c>
      <x:c r="D1968" s="7" t="str">
        <x:v>BLD-C</x:v>
      </x:c>
      <x:c r="E1968" s="7" t="str">
        <x:v>BL-X</x:v>
      </x:c>
      <x:c r="F1968" s="7" t="str">
        <x:v>MF-15</x:v>
      </x:c>
      <x:c r="G1968" s="7" t="str">
        <x:v>source motive energy</x:v>
      </x:c>
      <x:c r="H1968" s="7" t="n">
        <x:v>6</x:v>
      </x:c>
      <x:c r="I1968" s="7" t="str"/>
      <x:c r="J1968" s="7" t="str"/>
      <x:c r="K1968" s="7" t="str"/>
      <x:c r="L1968" s="7" t="str"/>
      <x:c r="M1968" s="7" t="str"/>
      <x:c r="N1968" s="7" t="str"/>
      <x:c r="O1968" s="7" t="str">
        <x:f>IF(N1968="","OPEN",IF(OR(I1968="",J1968="",K1968="",L1968="",M1968=""),"FAIL","PASS"))</x:f>
        <x:v>OPEN</x:v>
      </x:c>
    </x:row>
    <x:row r="1969">
      <x:c r="B1969" s="7" t="str">
        <x:v>CH-PEA-C-X2-16-1</x:v>
      </x:c>
      <x:c r="C1969" s="7" t="str">
        <x:v>PEA-C-X2</x:v>
      </x:c>
      <x:c r="D1969" s="7" t="str">
        <x:v>BLD-C</x:v>
      </x:c>
      <x:c r="E1969" s="7" t="str">
        <x:v>BL-X</x:v>
      </x:c>
      <x:c r="F1969" s="7" t="str">
        <x:v>MF-16</x:v>
      </x:c>
      <x:c r="G1969" s="7" t="str">
        <x:v>water motive energy</x:v>
      </x:c>
      <x:c r="H1969" s="7" t="n">
        <x:v>1</x:v>
      </x:c>
      <x:c r="I1969" s="7" t="str"/>
      <x:c r="J1969" s="7" t="str"/>
      <x:c r="K1969" s="7" t="str"/>
      <x:c r="L1969" s="7" t="str"/>
      <x:c r="M1969" s="7" t="str"/>
      <x:c r="N1969" s="7" t="str"/>
      <x:c r="O1969" s="7" t="str">
        <x:f>IF(N1969="","OPEN",IF(OR(I1969="",J1969="",K1969="",L1969="",M1969=""),"FAIL","PASS"))</x:f>
        <x:v>OPEN</x:v>
      </x:c>
    </x:row>
    <x:row r="1970">
      <x:c r="B1970" s="7" t="str">
        <x:v>CH-PEA-C-X2-16-2</x:v>
      </x:c>
      <x:c r="C1970" s="7" t="str">
        <x:v>PEA-C-X2</x:v>
      </x:c>
      <x:c r="D1970" s="7" t="str">
        <x:v>BLD-C</x:v>
      </x:c>
      <x:c r="E1970" s="7" t="str">
        <x:v>BL-X</x:v>
      </x:c>
      <x:c r="F1970" s="7" t="str">
        <x:v>MF-16</x:v>
      </x:c>
      <x:c r="G1970" s="7" t="str">
        <x:v>water motive energy</x:v>
      </x:c>
      <x:c r="H1970" s="7" t="n">
        <x:v>2</x:v>
      </x:c>
      <x:c r="I1970" s="7" t="str"/>
      <x:c r="J1970" s="7" t="str"/>
      <x:c r="K1970" s="7" t="str"/>
      <x:c r="L1970" s="7" t="str"/>
      <x:c r="M1970" s="7" t="str"/>
      <x:c r="N1970" s="7" t="str"/>
      <x:c r="O1970" s="7" t="str">
        <x:f>IF(N1970="","OPEN",IF(OR(I1970="",J1970="",K1970="",L1970="",M1970=""),"FAIL","PASS"))</x:f>
        <x:v>OPEN</x:v>
      </x:c>
    </x:row>
    <x:row r="1971">
      <x:c r="B1971" s="7" t="str">
        <x:v>CH-PEA-C-X2-16-3</x:v>
      </x:c>
      <x:c r="C1971" s="7" t="str">
        <x:v>PEA-C-X2</x:v>
      </x:c>
      <x:c r="D1971" s="7" t="str">
        <x:v>BLD-C</x:v>
      </x:c>
      <x:c r="E1971" s="7" t="str">
        <x:v>BL-X</x:v>
      </x:c>
      <x:c r="F1971" s="7" t="str">
        <x:v>MF-16</x:v>
      </x:c>
      <x:c r="G1971" s="7" t="str">
        <x:v>water motive energy</x:v>
      </x:c>
      <x:c r="H1971" s="7" t="n">
        <x:v>3</x:v>
      </x:c>
      <x:c r="I1971" s="7" t="str"/>
      <x:c r="J1971" s="7" t="str"/>
      <x:c r="K1971" s="7" t="str"/>
      <x:c r="L1971" s="7" t="str"/>
      <x:c r="M1971" s="7" t="str"/>
      <x:c r="N1971" s="7" t="str"/>
      <x:c r="O1971" s="7" t="str">
        <x:f>IF(N1971="","OPEN",IF(OR(I1971="",J1971="",K1971="",L1971="",M1971=""),"FAIL","PASS"))</x:f>
        <x:v>OPEN</x:v>
      </x:c>
    </x:row>
    <x:row r="1972">
      <x:c r="B1972" s="7" t="str">
        <x:v>CH-PEA-C-X2-16-4</x:v>
      </x:c>
      <x:c r="C1972" s="7" t="str">
        <x:v>PEA-C-X2</x:v>
      </x:c>
      <x:c r="D1972" s="7" t="str">
        <x:v>BLD-C</x:v>
      </x:c>
      <x:c r="E1972" s="7" t="str">
        <x:v>BL-X</x:v>
      </x:c>
      <x:c r="F1972" s="7" t="str">
        <x:v>MF-16</x:v>
      </x:c>
      <x:c r="G1972" s="7" t="str">
        <x:v>water motive energy</x:v>
      </x:c>
      <x:c r="H1972" s="7" t="n">
        <x:v>4</x:v>
      </x:c>
      <x:c r="I1972" s="7" t="str"/>
      <x:c r="J1972" s="7" t="str"/>
      <x:c r="K1972" s="7" t="str"/>
      <x:c r="L1972" s="7" t="str"/>
      <x:c r="M1972" s="7" t="str"/>
      <x:c r="N1972" s="7" t="str"/>
      <x:c r="O1972" s="7" t="str">
        <x:f>IF(N1972="","OPEN",IF(OR(I1972="",J1972="",K1972="",L1972="",M1972=""),"FAIL","PASS"))</x:f>
        <x:v>OPEN</x:v>
      </x:c>
    </x:row>
    <x:row r="1973">
      <x:c r="B1973" s="7" t="str">
        <x:v>CH-PEA-C-X2-16-5</x:v>
      </x:c>
      <x:c r="C1973" s="7" t="str">
        <x:v>PEA-C-X2</x:v>
      </x:c>
      <x:c r="D1973" s="7" t="str">
        <x:v>BLD-C</x:v>
      </x:c>
      <x:c r="E1973" s="7" t="str">
        <x:v>BL-X</x:v>
      </x:c>
      <x:c r="F1973" s="7" t="str">
        <x:v>MF-16</x:v>
      </x:c>
      <x:c r="G1973" s="7" t="str">
        <x:v>water motive energy</x:v>
      </x:c>
      <x:c r="H1973" s="7" t="n">
        <x:v>5</x:v>
      </x:c>
      <x:c r="I1973" s="7" t="str"/>
      <x:c r="J1973" s="7" t="str"/>
      <x:c r="K1973" s="7" t="str"/>
      <x:c r="L1973" s="7" t="str"/>
      <x:c r="M1973" s="7" t="str"/>
      <x:c r="N1973" s="7" t="str"/>
      <x:c r="O1973" s="7" t="str">
        <x:f>IF(N1973="","OPEN",IF(OR(I1973="",J1973="",K1973="",L1973="",M1973=""),"FAIL","PASS"))</x:f>
        <x:v>OPEN</x:v>
      </x:c>
    </x:row>
    <x:row r="1974">
      <x:c r="B1974" s="7" t="str">
        <x:v>CH-PEA-C-X2-16-6</x:v>
      </x:c>
      <x:c r="C1974" s="7" t="str">
        <x:v>PEA-C-X2</x:v>
      </x:c>
      <x:c r="D1974" s="7" t="str">
        <x:v>BLD-C</x:v>
      </x:c>
      <x:c r="E1974" s="7" t="str">
        <x:v>BL-X</x:v>
      </x:c>
      <x:c r="F1974" s="7" t="str">
        <x:v>MF-16</x:v>
      </x:c>
      <x:c r="G1974" s="7" t="str">
        <x:v>water motive energy</x:v>
      </x:c>
      <x:c r="H1974" s="7" t="n">
        <x:v>6</x:v>
      </x:c>
      <x:c r="I1974" s="7" t="str"/>
      <x:c r="J1974" s="7" t="str"/>
      <x:c r="K1974" s="7" t="str"/>
      <x:c r="L1974" s="7" t="str"/>
      <x:c r="M1974" s="7" t="str"/>
      <x:c r="N1974" s="7" t="str"/>
      <x:c r="O1974" s="7" t="str">
        <x:f>IF(N1974="","OPEN",IF(OR(I1974="",J1974="",K1974="",L1974="",M1974=""),"FAIL","PASS"))</x:f>
        <x:v>OPEN</x:v>
      </x:c>
    </x:row>
    <x:row r="1975">
      <x:c r="B1975" s="7" t="str">
        <x:v>CH-PEA-C-X2-17-1</x:v>
      </x:c>
      <x:c r="C1975" s="7" t="str">
        <x:v>PEA-C-X2</x:v>
      </x:c>
      <x:c r="D1975" s="7" t="str">
        <x:v>BLD-C</x:v>
      </x:c>
      <x:c r="E1975" s="7" t="str">
        <x:v>BL-X</x:v>
      </x:c>
      <x:c r="F1975" s="7" t="str">
        <x:v>MF-17</x:v>
      </x:c>
      <x:c r="G1975" s="7" t="str">
        <x:v>normal power</x:v>
      </x:c>
      <x:c r="H1975" s="7" t="n">
        <x:v>1</x:v>
      </x:c>
      <x:c r="I1975" s="7" t="str"/>
      <x:c r="J1975" s="7" t="str"/>
      <x:c r="K1975" s="7" t="str"/>
      <x:c r="L1975" s="7" t="str"/>
      <x:c r="M1975" s="7" t="str"/>
      <x:c r="N1975" s="7" t="str"/>
      <x:c r="O1975" s="7" t="str">
        <x:f>IF(N1975="","OPEN",IF(OR(I1975="",J1975="",K1975="",L1975="",M1975=""),"FAIL","PASS"))</x:f>
        <x:v>OPEN</x:v>
      </x:c>
    </x:row>
    <x:row r="1976">
      <x:c r="B1976" s="7" t="str">
        <x:v>CH-PEA-C-X2-17-2</x:v>
      </x:c>
      <x:c r="C1976" s="7" t="str">
        <x:v>PEA-C-X2</x:v>
      </x:c>
      <x:c r="D1976" s="7" t="str">
        <x:v>BLD-C</x:v>
      </x:c>
      <x:c r="E1976" s="7" t="str">
        <x:v>BL-X</x:v>
      </x:c>
      <x:c r="F1976" s="7" t="str">
        <x:v>MF-17</x:v>
      </x:c>
      <x:c r="G1976" s="7" t="str">
        <x:v>normal power</x:v>
      </x:c>
      <x:c r="H1976" s="7" t="n">
        <x:v>2</x:v>
      </x:c>
      <x:c r="I1976" s="7" t="str"/>
      <x:c r="J1976" s="7" t="str"/>
      <x:c r="K1976" s="7" t="str"/>
      <x:c r="L1976" s="7" t="str"/>
      <x:c r="M1976" s="7" t="str"/>
      <x:c r="N1976" s="7" t="str"/>
      <x:c r="O1976" s="7" t="str">
        <x:f>IF(N1976="","OPEN",IF(OR(I1976="",J1976="",K1976="",L1976="",M1976=""),"FAIL","PASS"))</x:f>
        <x:v>OPEN</x:v>
      </x:c>
    </x:row>
    <x:row r="1977">
      <x:c r="B1977" s="7" t="str">
        <x:v>CH-PEA-C-X2-17-3</x:v>
      </x:c>
      <x:c r="C1977" s="7" t="str">
        <x:v>PEA-C-X2</x:v>
      </x:c>
      <x:c r="D1977" s="7" t="str">
        <x:v>BLD-C</x:v>
      </x:c>
      <x:c r="E1977" s="7" t="str">
        <x:v>BL-X</x:v>
      </x:c>
      <x:c r="F1977" s="7" t="str">
        <x:v>MF-17</x:v>
      </x:c>
      <x:c r="G1977" s="7" t="str">
        <x:v>normal power</x:v>
      </x:c>
      <x:c r="H1977" s="7" t="n">
        <x:v>3</x:v>
      </x:c>
      <x:c r="I1977" s="7" t="str"/>
      <x:c r="J1977" s="7" t="str"/>
      <x:c r="K1977" s="7" t="str"/>
      <x:c r="L1977" s="7" t="str"/>
      <x:c r="M1977" s="7" t="str"/>
      <x:c r="N1977" s="7" t="str"/>
      <x:c r="O1977" s="7" t="str">
        <x:f>IF(N1977="","OPEN",IF(OR(I1977="",J1977="",K1977="",L1977="",M1977=""),"FAIL","PASS"))</x:f>
        <x:v>OPEN</x:v>
      </x:c>
    </x:row>
    <x:row r="1978">
      <x:c r="B1978" s="7" t="str">
        <x:v>CH-PEA-C-X2-17-4</x:v>
      </x:c>
      <x:c r="C1978" s="7" t="str">
        <x:v>PEA-C-X2</x:v>
      </x:c>
      <x:c r="D1978" s="7" t="str">
        <x:v>BLD-C</x:v>
      </x:c>
      <x:c r="E1978" s="7" t="str">
        <x:v>BL-X</x:v>
      </x:c>
      <x:c r="F1978" s="7" t="str">
        <x:v>MF-17</x:v>
      </x:c>
      <x:c r="G1978" s="7" t="str">
        <x:v>normal power</x:v>
      </x:c>
      <x:c r="H1978" s="7" t="n">
        <x:v>4</x:v>
      </x:c>
      <x:c r="I1978" s="7" t="str"/>
      <x:c r="J1978" s="7" t="str"/>
      <x:c r="K1978" s="7" t="str"/>
      <x:c r="L1978" s="7" t="str"/>
      <x:c r="M1978" s="7" t="str"/>
      <x:c r="N1978" s="7" t="str"/>
      <x:c r="O1978" s="7" t="str">
        <x:f>IF(N1978="","OPEN",IF(OR(I1978="",J1978="",K1978="",L1978="",M1978=""),"FAIL","PASS"))</x:f>
        <x:v>OPEN</x:v>
      </x:c>
    </x:row>
    <x:row r="1979">
      <x:c r="B1979" s="7" t="str">
        <x:v>CH-PEA-C-X2-17-5</x:v>
      </x:c>
      <x:c r="C1979" s="7" t="str">
        <x:v>PEA-C-X2</x:v>
      </x:c>
      <x:c r="D1979" s="7" t="str">
        <x:v>BLD-C</x:v>
      </x:c>
      <x:c r="E1979" s="7" t="str">
        <x:v>BL-X</x:v>
      </x:c>
      <x:c r="F1979" s="7" t="str">
        <x:v>MF-17</x:v>
      </x:c>
      <x:c r="G1979" s="7" t="str">
        <x:v>normal power</x:v>
      </x:c>
      <x:c r="H1979" s="7" t="n">
        <x:v>5</x:v>
      </x:c>
      <x:c r="I1979" s="7" t="str"/>
      <x:c r="J1979" s="7" t="str"/>
      <x:c r="K1979" s="7" t="str"/>
      <x:c r="L1979" s="7" t="str"/>
      <x:c r="M1979" s="7" t="str"/>
      <x:c r="N1979" s="7" t="str"/>
      <x:c r="O1979" s="7" t="str">
        <x:f>IF(N1979="","OPEN",IF(OR(I1979="",J1979="",K1979="",L1979="",M1979=""),"FAIL","PASS"))</x:f>
        <x:v>OPEN</x:v>
      </x:c>
    </x:row>
    <x:row r="1980">
      <x:c r="B1980" s="7" t="str">
        <x:v>CH-PEA-C-X2-17-6</x:v>
      </x:c>
      <x:c r="C1980" s="7" t="str">
        <x:v>PEA-C-X2</x:v>
      </x:c>
      <x:c r="D1980" s="7" t="str">
        <x:v>BLD-C</x:v>
      </x:c>
      <x:c r="E1980" s="7" t="str">
        <x:v>BL-X</x:v>
      </x:c>
      <x:c r="F1980" s="7" t="str">
        <x:v>MF-17</x:v>
      </x:c>
      <x:c r="G1980" s="7" t="str">
        <x:v>normal power</x:v>
      </x:c>
      <x:c r="H1980" s="7" t="n">
        <x:v>6</x:v>
      </x:c>
      <x:c r="I1980" s="7" t="str"/>
      <x:c r="J1980" s="7" t="str"/>
      <x:c r="K1980" s="7" t="str"/>
      <x:c r="L1980" s="7" t="str"/>
      <x:c r="M1980" s="7" t="str"/>
      <x:c r="N1980" s="7" t="str"/>
      <x:c r="O1980" s="7" t="str">
        <x:f>IF(N1980="","OPEN",IF(OR(I1980="",J1980="",K1980="",L1980="",M1980=""),"FAIL","PASS"))</x:f>
        <x:v>OPEN</x:v>
      </x:c>
    </x:row>
    <x:row r="1981">
      <x:c r="B1981" s="7" t="str">
        <x:v>CH-PEA-C-X2-18-1</x:v>
      </x:c>
      <x:c r="C1981" s="7" t="str">
        <x:v>PEA-C-X2</x:v>
      </x:c>
      <x:c r="D1981" s="7" t="str">
        <x:v>BLD-C</x:v>
      </x:c>
      <x:c r="E1981" s="7" t="str">
        <x:v>BL-X</x:v>
      </x:c>
      <x:c r="F1981" s="7" t="str">
        <x:v>MF-18</x:v>
      </x:c>
      <x:c r="G1981" s="7" t="str">
        <x:v>independent power</x:v>
      </x:c>
      <x:c r="H1981" s="7" t="n">
        <x:v>1</x:v>
      </x:c>
      <x:c r="I1981" s="7" t="str"/>
      <x:c r="J1981" s="7" t="str"/>
      <x:c r="K1981" s="7" t="str"/>
      <x:c r="L1981" s="7" t="str"/>
      <x:c r="M1981" s="7" t="str"/>
      <x:c r="N1981" s="7" t="str"/>
      <x:c r="O1981" s="7" t="str">
        <x:f>IF(N1981="","OPEN",IF(OR(I1981="",J1981="",K1981="",L1981="",M1981=""),"FAIL","PASS"))</x:f>
        <x:v>OPEN</x:v>
      </x:c>
    </x:row>
    <x:row r="1982">
      <x:c r="B1982" s="7" t="str">
        <x:v>CH-PEA-C-X2-18-2</x:v>
      </x:c>
      <x:c r="C1982" s="7" t="str">
        <x:v>PEA-C-X2</x:v>
      </x:c>
      <x:c r="D1982" s="7" t="str">
        <x:v>BLD-C</x:v>
      </x:c>
      <x:c r="E1982" s="7" t="str">
        <x:v>BL-X</x:v>
      </x:c>
      <x:c r="F1982" s="7" t="str">
        <x:v>MF-18</x:v>
      </x:c>
      <x:c r="G1982" s="7" t="str">
        <x:v>independent power</x:v>
      </x:c>
      <x:c r="H1982" s="7" t="n">
        <x:v>2</x:v>
      </x:c>
      <x:c r="I1982" s="7" t="str"/>
      <x:c r="J1982" s="7" t="str"/>
      <x:c r="K1982" s="7" t="str"/>
      <x:c r="L1982" s="7" t="str"/>
      <x:c r="M1982" s="7" t="str"/>
      <x:c r="N1982" s="7" t="str"/>
      <x:c r="O1982" s="7" t="str">
        <x:f>IF(N1982="","OPEN",IF(OR(I1982="",J1982="",K1982="",L1982="",M1982=""),"FAIL","PASS"))</x:f>
        <x:v>OPEN</x:v>
      </x:c>
    </x:row>
    <x:row r="1983">
      <x:c r="B1983" s="7" t="str">
        <x:v>CH-PEA-C-X2-18-3</x:v>
      </x:c>
      <x:c r="C1983" s="7" t="str">
        <x:v>PEA-C-X2</x:v>
      </x:c>
      <x:c r="D1983" s="7" t="str">
        <x:v>BLD-C</x:v>
      </x:c>
      <x:c r="E1983" s="7" t="str">
        <x:v>BL-X</x:v>
      </x:c>
      <x:c r="F1983" s="7" t="str">
        <x:v>MF-18</x:v>
      </x:c>
      <x:c r="G1983" s="7" t="str">
        <x:v>independent power</x:v>
      </x:c>
      <x:c r="H1983" s="7" t="n">
        <x:v>3</x:v>
      </x:c>
      <x:c r="I1983" s="7" t="str"/>
      <x:c r="J1983" s="7" t="str"/>
      <x:c r="K1983" s="7" t="str"/>
      <x:c r="L1983" s="7" t="str"/>
      <x:c r="M1983" s="7" t="str"/>
      <x:c r="N1983" s="7" t="str"/>
      <x:c r="O1983" s="7" t="str">
        <x:f>IF(N1983="","OPEN",IF(OR(I1983="",J1983="",K1983="",L1983="",M1983=""),"FAIL","PASS"))</x:f>
        <x:v>OPEN</x:v>
      </x:c>
    </x:row>
    <x:row r="1984">
      <x:c r="B1984" s="7" t="str">
        <x:v>CH-PEA-C-X2-18-4</x:v>
      </x:c>
      <x:c r="C1984" s="7" t="str">
        <x:v>PEA-C-X2</x:v>
      </x:c>
      <x:c r="D1984" s="7" t="str">
        <x:v>BLD-C</x:v>
      </x:c>
      <x:c r="E1984" s="7" t="str">
        <x:v>BL-X</x:v>
      </x:c>
      <x:c r="F1984" s="7" t="str">
        <x:v>MF-18</x:v>
      </x:c>
      <x:c r="G1984" s="7" t="str">
        <x:v>independent power</x:v>
      </x:c>
      <x:c r="H1984" s="7" t="n">
        <x:v>4</x:v>
      </x:c>
      <x:c r="I1984" s="7" t="str"/>
      <x:c r="J1984" s="7" t="str"/>
      <x:c r="K1984" s="7" t="str"/>
      <x:c r="L1984" s="7" t="str"/>
      <x:c r="M1984" s="7" t="str"/>
      <x:c r="N1984" s="7" t="str"/>
      <x:c r="O1984" s="7" t="str">
        <x:f>IF(N1984="","OPEN",IF(OR(I1984="",J1984="",K1984="",L1984="",M1984=""),"FAIL","PASS"))</x:f>
        <x:v>OPEN</x:v>
      </x:c>
    </x:row>
    <x:row r="1985">
      <x:c r="B1985" s="7" t="str">
        <x:v>CH-PEA-C-X2-18-5</x:v>
      </x:c>
      <x:c r="C1985" s="7" t="str">
        <x:v>PEA-C-X2</x:v>
      </x:c>
      <x:c r="D1985" s="7" t="str">
        <x:v>BLD-C</x:v>
      </x:c>
      <x:c r="E1985" s="7" t="str">
        <x:v>BL-X</x:v>
      </x:c>
      <x:c r="F1985" s="7" t="str">
        <x:v>MF-18</x:v>
      </x:c>
      <x:c r="G1985" s="7" t="str">
        <x:v>independent power</x:v>
      </x:c>
      <x:c r="H1985" s="7" t="n">
        <x:v>5</x:v>
      </x:c>
      <x:c r="I1985" s="7" t="str"/>
      <x:c r="J1985" s="7" t="str"/>
      <x:c r="K1985" s="7" t="str"/>
      <x:c r="L1985" s="7" t="str"/>
      <x:c r="M1985" s="7" t="str"/>
      <x:c r="N1985" s="7" t="str"/>
      <x:c r="O1985" s="7" t="str">
        <x:f>IF(N1985="","OPEN",IF(OR(I1985="",J1985="",K1985="",L1985="",M1985=""),"FAIL","PASS"))</x:f>
        <x:v>OPEN</x:v>
      </x:c>
    </x:row>
    <x:row r="1986">
      <x:c r="B1986" s="7" t="str">
        <x:v>CH-PEA-C-X2-18-6</x:v>
      </x:c>
      <x:c r="C1986" s="7" t="str">
        <x:v>PEA-C-X2</x:v>
      </x:c>
      <x:c r="D1986" s="7" t="str">
        <x:v>BLD-C</x:v>
      </x:c>
      <x:c r="E1986" s="7" t="str">
        <x:v>BL-X</x:v>
      </x:c>
      <x:c r="F1986" s="7" t="str">
        <x:v>MF-18</x:v>
      </x:c>
      <x:c r="G1986" s="7" t="str">
        <x:v>independent power</x:v>
      </x:c>
      <x:c r="H1986" s="7" t="n">
        <x:v>6</x:v>
      </x:c>
      <x:c r="I1986" s="7" t="str"/>
      <x:c r="J1986" s="7" t="str"/>
      <x:c r="K1986" s="7" t="str"/>
      <x:c r="L1986" s="7" t="str"/>
      <x:c r="M1986" s="7" t="str"/>
      <x:c r="N1986" s="7" t="str"/>
      <x:c r="O1986" s="7" t="str">
        <x:f>IF(N1986="","OPEN",IF(OR(I1986="",J1986="",K1986="",L1986="",M1986=""),"FAIL","PASS"))</x:f>
        <x:v>OPEN</x:v>
      </x:c>
    </x:row>
    <x:row r="1987">
      <x:c r="B1987" s="7" t="str">
        <x:v>CH-PEA-C-X2-19-1</x:v>
      </x:c>
      <x:c r="C1987" s="7" t="str">
        <x:v>PEA-C-X2</x:v>
      </x:c>
      <x:c r="D1987" s="7" t="str">
        <x:v>BLD-C</x:v>
      </x:c>
      <x:c r="E1987" s="7" t="str">
        <x:v>BL-X</x:v>
      </x:c>
      <x:c r="F1987" s="7" t="str">
        <x:v>MF-19</x:v>
      </x:c>
      <x:c r="G1987" s="7" t="str">
        <x:v>leak collection</x:v>
      </x:c>
      <x:c r="H1987" s="7" t="n">
        <x:v>1</x:v>
      </x:c>
      <x:c r="I1987" s="7" t="str"/>
      <x:c r="J1987" s="7" t="str"/>
      <x:c r="K1987" s="7" t="str"/>
      <x:c r="L1987" s="7" t="str"/>
      <x:c r="M1987" s="7" t="str"/>
      <x:c r="N1987" s="7" t="str"/>
      <x:c r="O1987" s="7" t="str">
        <x:f>IF(N1987="","OPEN",IF(OR(I1987="",J1987="",K1987="",L1987="",M1987=""),"FAIL","PASS"))</x:f>
        <x:v>OPEN</x:v>
      </x:c>
    </x:row>
    <x:row r="1988">
      <x:c r="B1988" s="7" t="str">
        <x:v>CH-PEA-C-X2-19-2</x:v>
      </x:c>
      <x:c r="C1988" s="7" t="str">
        <x:v>PEA-C-X2</x:v>
      </x:c>
      <x:c r="D1988" s="7" t="str">
        <x:v>BLD-C</x:v>
      </x:c>
      <x:c r="E1988" s="7" t="str">
        <x:v>BL-X</x:v>
      </x:c>
      <x:c r="F1988" s="7" t="str">
        <x:v>MF-19</x:v>
      </x:c>
      <x:c r="G1988" s="7" t="str">
        <x:v>leak collection</x:v>
      </x:c>
      <x:c r="H1988" s="7" t="n">
        <x:v>2</x:v>
      </x:c>
      <x:c r="I1988" s="7" t="str"/>
      <x:c r="J1988" s="7" t="str"/>
      <x:c r="K1988" s="7" t="str"/>
      <x:c r="L1988" s="7" t="str"/>
      <x:c r="M1988" s="7" t="str"/>
      <x:c r="N1988" s="7" t="str"/>
      <x:c r="O1988" s="7" t="str">
        <x:f>IF(N1988="","OPEN",IF(OR(I1988="",J1988="",K1988="",L1988="",M1988=""),"FAIL","PASS"))</x:f>
        <x:v>OPEN</x:v>
      </x:c>
    </x:row>
    <x:row r="1989">
      <x:c r="B1989" s="7" t="str">
        <x:v>CH-PEA-C-X2-19-3</x:v>
      </x:c>
      <x:c r="C1989" s="7" t="str">
        <x:v>PEA-C-X2</x:v>
      </x:c>
      <x:c r="D1989" s="7" t="str">
        <x:v>BLD-C</x:v>
      </x:c>
      <x:c r="E1989" s="7" t="str">
        <x:v>BL-X</x:v>
      </x:c>
      <x:c r="F1989" s="7" t="str">
        <x:v>MF-19</x:v>
      </x:c>
      <x:c r="G1989" s="7" t="str">
        <x:v>leak collection</x:v>
      </x:c>
      <x:c r="H1989" s="7" t="n">
        <x:v>3</x:v>
      </x:c>
      <x:c r="I1989" s="7" t="str"/>
      <x:c r="J1989" s="7" t="str"/>
      <x:c r="K1989" s="7" t="str"/>
      <x:c r="L1989" s="7" t="str"/>
      <x:c r="M1989" s="7" t="str"/>
      <x:c r="N1989" s="7" t="str"/>
      <x:c r="O1989" s="7" t="str">
        <x:f>IF(N1989="","OPEN",IF(OR(I1989="",J1989="",K1989="",L1989="",M1989=""),"FAIL","PASS"))</x:f>
        <x:v>OPEN</x:v>
      </x:c>
    </x:row>
    <x:row r="1990">
      <x:c r="B1990" s="7" t="str">
        <x:v>CH-PEA-C-X2-19-4</x:v>
      </x:c>
      <x:c r="C1990" s="7" t="str">
        <x:v>PEA-C-X2</x:v>
      </x:c>
      <x:c r="D1990" s="7" t="str">
        <x:v>BLD-C</x:v>
      </x:c>
      <x:c r="E1990" s="7" t="str">
        <x:v>BL-X</x:v>
      </x:c>
      <x:c r="F1990" s="7" t="str">
        <x:v>MF-19</x:v>
      </x:c>
      <x:c r="G1990" s="7" t="str">
        <x:v>leak collection</x:v>
      </x:c>
      <x:c r="H1990" s="7" t="n">
        <x:v>4</x:v>
      </x:c>
      <x:c r="I1990" s="7" t="str"/>
      <x:c r="J1990" s="7" t="str"/>
      <x:c r="K1990" s="7" t="str"/>
      <x:c r="L1990" s="7" t="str"/>
      <x:c r="M1990" s="7" t="str"/>
      <x:c r="N1990" s="7" t="str"/>
      <x:c r="O1990" s="7" t="str">
        <x:f>IF(N1990="","OPEN",IF(OR(I1990="",J1990="",K1990="",L1990="",M1990=""),"FAIL","PASS"))</x:f>
        <x:v>OPEN</x:v>
      </x:c>
    </x:row>
    <x:row r="1991">
      <x:c r="B1991" s="7" t="str">
        <x:v>CH-PEA-C-X2-19-5</x:v>
      </x:c>
      <x:c r="C1991" s="7" t="str">
        <x:v>PEA-C-X2</x:v>
      </x:c>
      <x:c r="D1991" s="7" t="str">
        <x:v>BLD-C</x:v>
      </x:c>
      <x:c r="E1991" s="7" t="str">
        <x:v>BL-X</x:v>
      </x:c>
      <x:c r="F1991" s="7" t="str">
        <x:v>MF-19</x:v>
      </x:c>
      <x:c r="G1991" s="7" t="str">
        <x:v>leak collection</x:v>
      </x:c>
      <x:c r="H1991" s="7" t="n">
        <x:v>5</x:v>
      </x:c>
      <x:c r="I1991" s="7" t="str"/>
      <x:c r="J1991" s="7" t="str"/>
      <x:c r="K1991" s="7" t="str"/>
      <x:c r="L1991" s="7" t="str"/>
      <x:c r="M1991" s="7" t="str"/>
      <x:c r="N1991" s="7" t="str"/>
      <x:c r="O1991" s="7" t="str">
        <x:f>IF(N1991="","OPEN",IF(OR(I1991="",J1991="",K1991="",L1991="",M1991=""),"FAIL","PASS"))</x:f>
        <x:v>OPEN</x:v>
      </x:c>
    </x:row>
    <x:row r="1992">
      <x:c r="B1992" s="7" t="str">
        <x:v>CH-PEA-C-X2-19-6</x:v>
      </x:c>
      <x:c r="C1992" s="7" t="str">
        <x:v>PEA-C-X2</x:v>
      </x:c>
      <x:c r="D1992" s="7" t="str">
        <x:v>BLD-C</x:v>
      </x:c>
      <x:c r="E1992" s="7" t="str">
        <x:v>BL-X</x:v>
      </x:c>
      <x:c r="F1992" s="7" t="str">
        <x:v>MF-19</x:v>
      </x:c>
      <x:c r="G1992" s="7" t="str">
        <x:v>leak collection</x:v>
      </x:c>
      <x:c r="H1992" s="7" t="n">
        <x:v>6</x:v>
      </x:c>
      <x:c r="I1992" s="7" t="str"/>
      <x:c r="J1992" s="7" t="str"/>
      <x:c r="K1992" s="7" t="str"/>
      <x:c r="L1992" s="7" t="str"/>
      <x:c r="M1992" s="7" t="str"/>
      <x:c r="N1992" s="7" t="str"/>
      <x:c r="O1992" s="7" t="str">
        <x:f>IF(N1992="","OPEN",IF(OR(I1992="",J1992="",K1992="",L1992="",M1992=""),"FAIL","PASS"))</x:f>
        <x:v>OPEN</x:v>
      </x:c>
    </x:row>
    <x:row r="1993">
      <x:c r="B1993" s="7" t="str">
        <x:v>CH-PEA-C-X2-20-1</x:v>
      </x:c>
      <x:c r="C1993" s="7" t="str">
        <x:v>PEA-C-X2</x:v>
      </x:c>
      <x:c r="D1993" s="7" t="str">
        <x:v>BLD-C</x:v>
      </x:c>
      <x:c r="E1993" s="7" t="str">
        <x:v>BL-X</x:v>
      </x:c>
      <x:c r="F1993" s="7" t="str">
        <x:v>MF-20</x:v>
      </x:c>
      <x:c r="G1993" s="7" t="str">
        <x:v>occupied-area state</x:v>
      </x:c>
      <x:c r="H1993" s="7" t="n">
        <x:v>1</x:v>
      </x:c>
      <x:c r="I1993" s="7" t="str"/>
      <x:c r="J1993" s="7" t="str"/>
      <x:c r="K1993" s="7" t="str"/>
      <x:c r="L1993" s="7" t="str"/>
      <x:c r="M1993" s="7" t="str"/>
      <x:c r="N1993" s="7" t="str"/>
      <x:c r="O1993" s="7" t="str">
        <x:f>IF(N1993="","OPEN",IF(OR(I1993="",J1993="",K1993="",L1993="",M1993=""),"FAIL","PASS"))</x:f>
        <x:v>OPEN</x:v>
      </x:c>
    </x:row>
    <x:row r="1994">
      <x:c r="B1994" s="7" t="str">
        <x:v>CH-PEA-C-X2-20-2</x:v>
      </x:c>
      <x:c r="C1994" s="7" t="str">
        <x:v>PEA-C-X2</x:v>
      </x:c>
      <x:c r="D1994" s="7" t="str">
        <x:v>BLD-C</x:v>
      </x:c>
      <x:c r="E1994" s="7" t="str">
        <x:v>BL-X</x:v>
      </x:c>
      <x:c r="F1994" s="7" t="str">
        <x:v>MF-20</x:v>
      </x:c>
      <x:c r="G1994" s="7" t="str">
        <x:v>occupied-area state</x:v>
      </x:c>
      <x:c r="H1994" s="7" t="n">
        <x:v>2</x:v>
      </x:c>
      <x:c r="I1994" s="7" t="str"/>
      <x:c r="J1994" s="7" t="str"/>
      <x:c r="K1994" s="7" t="str"/>
      <x:c r="L1994" s="7" t="str"/>
      <x:c r="M1994" s="7" t="str"/>
      <x:c r="N1994" s="7" t="str"/>
      <x:c r="O1994" s="7" t="str">
        <x:f>IF(N1994="","OPEN",IF(OR(I1994="",J1994="",K1994="",L1994="",M1994=""),"FAIL","PASS"))</x:f>
        <x:v>OPEN</x:v>
      </x:c>
    </x:row>
    <x:row r="1995">
      <x:c r="B1995" s="7" t="str">
        <x:v>CH-PEA-C-X2-20-3</x:v>
      </x:c>
      <x:c r="C1995" s="7" t="str">
        <x:v>PEA-C-X2</x:v>
      </x:c>
      <x:c r="D1995" s="7" t="str">
        <x:v>BLD-C</x:v>
      </x:c>
      <x:c r="E1995" s="7" t="str">
        <x:v>BL-X</x:v>
      </x:c>
      <x:c r="F1995" s="7" t="str">
        <x:v>MF-20</x:v>
      </x:c>
      <x:c r="G1995" s="7" t="str">
        <x:v>occupied-area state</x:v>
      </x:c>
      <x:c r="H1995" s="7" t="n">
        <x:v>3</x:v>
      </x:c>
      <x:c r="I1995" s="7" t="str"/>
      <x:c r="J1995" s="7" t="str"/>
      <x:c r="K1995" s="7" t="str"/>
      <x:c r="L1995" s="7" t="str"/>
      <x:c r="M1995" s="7" t="str"/>
      <x:c r="N1995" s="7" t="str"/>
      <x:c r="O1995" s="7" t="str">
        <x:f>IF(N1995="","OPEN",IF(OR(I1995="",J1995="",K1995="",L1995="",M1995=""),"FAIL","PASS"))</x:f>
        <x:v>OPEN</x:v>
      </x:c>
    </x:row>
    <x:row r="1996">
      <x:c r="B1996" s="7" t="str">
        <x:v>CH-PEA-C-X2-20-4</x:v>
      </x:c>
      <x:c r="C1996" s="7" t="str">
        <x:v>PEA-C-X2</x:v>
      </x:c>
      <x:c r="D1996" s="7" t="str">
        <x:v>BLD-C</x:v>
      </x:c>
      <x:c r="E1996" s="7" t="str">
        <x:v>BL-X</x:v>
      </x:c>
      <x:c r="F1996" s="7" t="str">
        <x:v>MF-20</x:v>
      </x:c>
      <x:c r="G1996" s="7" t="str">
        <x:v>occupied-area state</x:v>
      </x:c>
      <x:c r="H1996" s="7" t="n">
        <x:v>4</x:v>
      </x:c>
      <x:c r="I1996" s="7" t="str"/>
      <x:c r="J1996" s="7" t="str"/>
      <x:c r="K1996" s="7" t="str"/>
      <x:c r="L1996" s="7" t="str"/>
      <x:c r="M1996" s="7" t="str"/>
      <x:c r="N1996" s="7" t="str"/>
      <x:c r="O1996" s="7" t="str">
        <x:f>IF(N1996="","OPEN",IF(OR(I1996="",J1996="",K1996="",L1996="",M1996=""),"FAIL","PASS"))</x:f>
        <x:v>OPEN</x:v>
      </x:c>
    </x:row>
    <x:row r="1997">
      <x:c r="B1997" s="7" t="str">
        <x:v>CH-PEA-C-X2-20-5</x:v>
      </x:c>
      <x:c r="C1997" s="7" t="str">
        <x:v>PEA-C-X2</x:v>
      </x:c>
      <x:c r="D1997" s="7" t="str">
        <x:v>BLD-C</x:v>
      </x:c>
      <x:c r="E1997" s="7" t="str">
        <x:v>BL-X</x:v>
      </x:c>
      <x:c r="F1997" s="7" t="str">
        <x:v>MF-20</x:v>
      </x:c>
      <x:c r="G1997" s="7" t="str">
        <x:v>occupied-area state</x:v>
      </x:c>
      <x:c r="H1997" s="7" t="n">
        <x:v>5</x:v>
      </x:c>
      <x:c r="I1997" s="7" t="str"/>
      <x:c r="J1997" s="7" t="str"/>
      <x:c r="K1997" s="7" t="str"/>
      <x:c r="L1997" s="7" t="str"/>
      <x:c r="M1997" s="7" t="str"/>
      <x:c r="N1997" s="7" t="str"/>
      <x:c r="O1997" s="7" t="str">
        <x:f>IF(N1997="","OPEN",IF(OR(I1997="",J1997="",K1997="",L1997="",M1997=""),"FAIL","PASS"))</x:f>
        <x:v>OPEN</x:v>
      </x:c>
    </x:row>
    <x:row r="1998">
      <x:c r="B1998" s="7" t="str">
        <x:v>CH-PEA-C-X2-20-6</x:v>
      </x:c>
      <x:c r="C1998" s="7" t="str">
        <x:v>PEA-C-X2</x:v>
      </x:c>
      <x:c r="D1998" s="7" t="str">
        <x:v>BLD-C</x:v>
      </x:c>
      <x:c r="E1998" s="7" t="str">
        <x:v>BL-X</x:v>
      </x:c>
      <x:c r="F1998" s="7" t="str">
        <x:v>MF-20</x:v>
      </x:c>
      <x:c r="G1998" s="7" t="str">
        <x:v>occupied-area state</x:v>
      </x:c>
      <x:c r="H1998" s="7" t="n">
        <x:v>6</x:v>
      </x:c>
      <x:c r="I1998" s="7" t="str"/>
      <x:c r="J1998" s="7" t="str"/>
      <x:c r="K1998" s="7" t="str"/>
      <x:c r="L1998" s="7" t="str"/>
      <x:c r="M1998" s="7" t="str"/>
      <x:c r="N1998" s="7" t="str"/>
      <x:c r="O1998" s="7" t="str">
        <x:f>IF(N1998="","OPEN",IF(OR(I1998="",J1998="",K1998="",L1998="",M1998=""),"FAIL","PASS"))</x:f>
        <x:v>OPEN</x:v>
      </x:c>
    </x:row>
    <x:row r="1999">
      <x:c r="B1999" s="7" t="str">
        <x:v>CH-PEA-C-X2-21-1</x:v>
      </x:c>
      <x:c r="C1999" s="7" t="str">
        <x:v>PEA-C-X2</x:v>
      </x:c>
      <x:c r="D1999" s="7" t="str">
        <x:v>BLD-C</x:v>
      </x:c>
      <x:c r="E1999" s="7" t="str">
        <x:v>BL-X</x:v>
      </x:c>
      <x:c r="F1999" s="7" t="str">
        <x:v>MF-21</x:v>
      </x:c>
      <x:c r="G1999" s="7" t="str">
        <x:v>public-water flow</x:v>
      </x:c>
      <x:c r="H1999" s="7" t="n">
        <x:v>1</x:v>
      </x:c>
      <x:c r="I1999" s="7" t="str"/>
      <x:c r="J1999" s="7" t="str"/>
      <x:c r="K1999" s="7" t="str"/>
      <x:c r="L1999" s="7" t="str"/>
      <x:c r="M1999" s="7" t="str"/>
      <x:c r="N1999" s="7" t="str"/>
      <x:c r="O1999" s="7" t="str">
        <x:f>IF(N1999="","OPEN",IF(OR(I1999="",J1999="",K1999="",L1999="",M1999=""),"FAIL","PASS"))</x:f>
        <x:v>OPEN</x:v>
      </x:c>
    </x:row>
    <x:row r="2000">
      <x:c r="B2000" s="7" t="str">
        <x:v>CH-PEA-C-X2-21-2</x:v>
      </x:c>
      <x:c r="C2000" s="7" t="str">
        <x:v>PEA-C-X2</x:v>
      </x:c>
      <x:c r="D2000" s="7" t="str">
        <x:v>BLD-C</x:v>
      </x:c>
      <x:c r="E2000" s="7" t="str">
        <x:v>BL-X</x:v>
      </x:c>
      <x:c r="F2000" s="7" t="str">
        <x:v>MF-21</x:v>
      </x:c>
      <x:c r="G2000" s="7" t="str">
        <x:v>public-water flow</x:v>
      </x:c>
      <x:c r="H2000" s="7" t="n">
        <x:v>2</x:v>
      </x:c>
      <x:c r="I2000" s="7" t="str"/>
      <x:c r="J2000" s="7" t="str"/>
      <x:c r="K2000" s="7" t="str"/>
      <x:c r="L2000" s="7" t="str"/>
      <x:c r="M2000" s="7" t="str"/>
      <x:c r="N2000" s="7" t="str"/>
      <x:c r="O2000" s="7" t="str">
        <x:f>IF(N2000="","OPEN",IF(OR(I2000="",J2000="",K2000="",L2000="",M2000=""),"FAIL","PASS"))</x:f>
        <x:v>OPEN</x:v>
      </x:c>
    </x:row>
    <x:row r="2001">
      <x:c r="B2001" s="7" t="str">
        <x:v>CH-PEA-C-X2-21-3</x:v>
      </x:c>
      <x:c r="C2001" s="7" t="str">
        <x:v>PEA-C-X2</x:v>
      </x:c>
      <x:c r="D2001" s="7" t="str">
        <x:v>BLD-C</x:v>
      </x:c>
      <x:c r="E2001" s="7" t="str">
        <x:v>BL-X</x:v>
      </x:c>
      <x:c r="F2001" s="7" t="str">
        <x:v>MF-21</x:v>
      </x:c>
      <x:c r="G2001" s="7" t="str">
        <x:v>public-water flow</x:v>
      </x:c>
      <x:c r="H2001" s="7" t="n">
        <x:v>3</x:v>
      </x:c>
      <x:c r="I2001" s="7" t="str"/>
      <x:c r="J2001" s="7" t="str"/>
      <x:c r="K2001" s="7" t="str"/>
      <x:c r="L2001" s="7" t="str"/>
      <x:c r="M2001" s="7" t="str"/>
      <x:c r="N2001" s="7" t="str"/>
      <x:c r="O2001" s="7" t="str">
        <x:f>IF(N2001="","OPEN",IF(OR(I2001="",J2001="",K2001="",L2001="",M2001=""),"FAIL","PASS"))</x:f>
        <x:v>OPEN</x:v>
      </x:c>
    </x:row>
    <x:row r="2002">
      <x:c r="B2002" s="7" t="str">
        <x:v>CH-PEA-C-X2-21-4</x:v>
      </x:c>
      <x:c r="C2002" s="7" t="str">
        <x:v>PEA-C-X2</x:v>
      </x:c>
      <x:c r="D2002" s="7" t="str">
        <x:v>BLD-C</x:v>
      </x:c>
      <x:c r="E2002" s="7" t="str">
        <x:v>BL-X</x:v>
      </x:c>
      <x:c r="F2002" s="7" t="str">
        <x:v>MF-21</x:v>
      </x:c>
      <x:c r="G2002" s="7" t="str">
        <x:v>public-water flow</x:v>
      </x:c>
      <x:c r="H2002" s="7" t="n">
        <x:v>4</x:v>
      </x:c>
      <x:c r="I2002" s="7" t="str"/>
      <x:c r="J2002" s="7" t="str"/>
      <x:c r="K2002" s="7" t="str"/>
      <x:c r="L2002" s="7" t="str"/>
      <x:c r="M2002" s="7" t="str"/>
      <x:c r="N2002" s="7" t="str"/>
      <x:c r="O2002" s="7" t="str">
        <x:f>IF(N2002="","OPEN",IF(OR(I2002="",J2002="",K2002="",L2002="",M2002=""),"FAIL","PASS"))</x:f>
        <x:v>OPEN</x:v>
      </x:c>
    </x:row>
    <x:row r="2003">
      <x:c r="B2003" s="7" t="str">
        <x:v>CH-PEA-C-X2-21-5</x:v>
      </x:c>
      <x:c r="C2003" s="7" t="str">
        <x:v>PEA-C-X2</x:v>
      </x:c>
      <x:c r="D2003" s="7" t="str">
        <x:v>BLD-C</x:v>
      </x:c>
      <x:c r="E2003" s="7" t="str">
        <x:v>BL-X</x:v>
      </x:c>
      <x:c r="F2003" s="7" t="str">
        <x:v>MF-21</x:v>
      </x:c>
      <x:c r="G2003" s="7" t="str">
        <x:v>public-water flow</x:v>
      </x:c>
      <x:c r="H2003" s="7" t="n">
        <x:v>5</x:v>
      </x:c>
      <x:c r="I2003" s="7" t="str"/>
      <x:c r="J2003" s="7" t="str"/>
      <x:c r="K2003" s="7" t="str"/>
      <x:c r="L2003" s="7" t="str"/>
      <x:c r="M2003" s="7" t="str"/>
      <x:c r="N2003" s="7" t="str"/>
      <x:c r="O2003" s="7" t="str">
        <x:f>IF(N2003="","OPEN",IF(OR(I2003="",J2003="",K2003="",L2003="",M2003=""),"FAIL","PASS"))</x:f>
        <x:v>OPEN</x:v>
      </x:c>
    </x:row>
    <x:row r="2004">
      <x:c r="B2004" s="7" t="str">
        <x:v>CH-PEA-C-X2-21-6</x:v>
      </x:c>
      <x:c r="C2004" s="7" t="str">
        <x:v>PEA-C-X2</x:v>
      </x:c>
      <x:c r="D2004" s="7" t="str">
        <x:v>BLD-C</x:v>
      </x:c>
      <x:c r="E2004" s="7" t="str">
        <x:v>BL-X</x:v>
      </x:c>
      <x:c r="F2004" s="7" t="str">
        <x:v>MF-21</x:v>
      </x:c>
      <x:c r="G2004" s="7" t="str">
        <x:v>public-water flow</x:v>
      </x:c>
      <x:c r="H2004" s="7" t="n">
        <x:v>6</x:v>
      </x:c>
      <x:c r="I2004" s="7" t="str"/>
      <x:c r="J2004" s="7" t="str"/>
      <x:c r="K2004" s="7" t="str"/>
      <x:c r="L2004" s="7" t="str"/>
      <x:c r="M2004" s="7" t="str"/>
      <x:c r="N2004" s="7" t="str"/>
      <x:c r="O2004" s="7" t="str">
        <x:f>IF(N2004="","OPEN",IF(OR(I2004="",J2004="",K2004="",L2004="",M2004=""),"FAIL","PASS"))</x:f>
        <x:v>OPEN</x:v>
      </x:c>
    </x:row>
    <x:row r="2005">
      <x:c r="B2005" s="7" t="str">
        <x:v>CH-PEA-C-X2-22-1</x:v>
      </x:c>
      <x:c r="C2005" s="7" t="str">
        <x:v>PEA-C-X2</x:v>
      </x:c>
      <x:c r="D2005" s="7" t="str">
        <x:v>BLD-C</x:v>
      </x:c>
      <x:c r="E2005" s="7" t="str">
        <x:v>BL-X</x:v>
      </x:c>
      <x:c r="F2005" s="7" t="str">
        <x:v>MF-22</x:v>
      </x:c>
      <x:c r="G2005" s="7" t="str">
        <x:v>source ancestry</x:v>
      </x:c>
      <x:c r="H2005" s="7" t="n">
        <x:v>1</x:v>
      </x:c>
      <x:c r="I2005" s="7" t="str"/>
      <x:c r="J2005" s="7" t="str"/>
      <x:c r="K2005" s="7" t="str"/>
      <x:c r="L2005" s="7" t="str"/>
      <x:c r="M2005" s="7" t="str"/>
      <x:c r="N2005" s="7" t="str"/>
      <x:c r="O2005" s="7" t="str">
        <x:f>IF(N2005="","OPEN",IF(OR(I2005="",J2005="",K2005="",L2005="",M2005=""),"FAIL","PASS"))</x:f>
        <x:v>OPEN</x:v>
      </x:c>
    </x:row>
    <x:row r="2006">
      <x:c r="B2006" s="7" t="str">
        <x:v>CH-PEA-C-X2-22-2</x:v>
      </x:c>
      <x:c r="C2006" s="7" t="str">
        <x:v>PEA-C-X2</x:v>
      </x:c>
      <x:c r="D2006" s="7" t="str">
        <x:v>BLD-C</x:v>
      </x:c>
      <x:c r="E2006" s="7" t="str">
        <x:v>BL-X</x:v>
      </x:c>
      <x:c r="F2006" s="7" t="str">
        <x:v>MF-22</x:v>
      </x:c>
      <x:c r="G2006" s="7" t="str">
        <x:v>source ancestry</x:v>
      </x:c>
      <x:c r="H2006" s="7" t="n">
        <x:v>2</x:v>
      </x:c>
      <x:c r="I2006" s="7" t="str"/>
      <x:c r="J2006" s="7" t="str"/>
      <x:c r="K2006" s="7" t="str"/>
      <x:c r="L2006" s="7" t="str"/>
      <x:c r="M2006" s="7" t="str"/>
      <x:c r="N2006" s="7" t="str"/>
      <x:c r="O2006" s="7" t="str">
        <x:f>IF(N2006="","OPEN",IF(OR(I2006="",J2006="",K2006="",L2006="",M2006=""),"FAIL","PASS"))</x:f>
        <x:v>OPEN</x:v>
      </x:c>
    </x:row>
    <x:row r="2007">
      <x:c r="B2007" s="7" t="str">
        <x:v>CH-PEA-C-X2-22-3</x:v>
      </x:c>
      <x:c r="C2007" s="7" t="str">
        <x:v>PEA-C-X2</x:v>
      </x:c>
      <x:c r="D2007" s="7" t="str">
        <x:v>BLD-C</x:v>
      </x:c>
      <x:c r="E2007" s="7" t="str">
        <x:v>BL-X</x:v>
      </x:c>
      <x:c r="F2007" s="7" t="str">
        <x:v>MF-22</x:v>
      </x:c>
      <x:c r="G2007" s="7" t="str">
        <x:v>source ancestry</x:v>
      </x:c>
      <x:c r="H2007" s="7" t="n">
        <x:v>3</x:v>
      </x:c>
      <x:c r="I2007" s="7" t="str"/>
      <x:c r="J2007" s="7" t="str"/>
      <x:c r="K2007" s="7" t="str"/>
      <x:c r="L2007" s="7" t="str"/>
      <x:c r="M2007" s="7" t="str"/>
      <x:c r="N2007" s="7" t="str"/>
      <x:c r="O2007" s="7" t="str">
        <x:f>IF(N2007="","OPEN",IF(OR(I2007="",J2007="",K2007="",L2007="",M2007=""),"FAIL","PASS"))</x:f>
        <x:v>OPEN</x:v>
      </x:c>
    </x:row>
    <x:row r="2008">
      <x:c r="B2008" s="7" t="str">
        <x:v>CH-PEA-C-X2-22-4</x:v>
      </x:c>
      <x:c r="C2008" s="7" t="str">
        <x:v>PEA-C-X2</x:v>
      </x:c>
      <x:c r="D2008" s="7" t="str">
        <x:v>BLD-C</x:v>
      </x:c>
      <x:c r="E2008" s="7" t="str">
        <x:v>BL-X</x:v>
      </x:c>
      <x:c r="F2008" s="7" t="str">
        <x:v>MF-22</x:v>
      </x:c>
      <x:c r="G2008" s="7" t="str">
        <x:v>source ancestry</x:v>
      </x:c>
      <x:c r="H2008" s="7" t="n">
        <x:v>4</x:v>
      </x:c>
      <x:c r="I2008" s="7" t="str"/>
      <x:c r="J2008" s="7" t="str"/>
      <x:c r="K2008" s="7" t="str"/>
      <x:c r="L2008" s="7" t="str"/>
      <x:c r="M2008" s="7" t="str"/>
      <x:c r="N2008" s="7" t="str"/>
      <x:c r="O2008" s="7" t="str">
        <x:f>IF(N2008="","OPEN",IF(OR(I2008="",J2008="",K2008="",L2008="",M2008=""),"FAIL","PASS"))</x:f>
        <x:v>OPEN</x:v>
      </x:c>
    </x:row>
    <x:row r="2009">
      <x:c r="B2009" s="7" t="str">
        <x:v>CH-PEA-C-X2-22-5</x:v>
      </x:c>
      <x:c r="C2009" s="7" t="str">
        <x:v>PEA-C-X2</x:v>
      </x:c>
      <x:c r="D2009" s="7" t="str">
        <x:v>BLD-C</x:v>
      </x:c>
      <x:c r="E2009" s="7" t="str">
        <x:v>BL-X</x:v>
      </x:c>
      <x:c r="F2009" s="7" t="str">
        <x:v>MF-22</x:v>
      </x:c>
      <x:c r="G2009" s="7" t="str">
        <x:v>source ancestry</x:v>
      </x:c>
      <x:c r="H2009" s="7" t="n">
        <x:v>5</x:v>
      </x:c>
      <x:c r="I2009" s="7" t="str"/>
      <x:c r="J2009" s="7" t="str"/>
      <x:c r="K2009" s="7" t="str"/>
      <x:c r="L2009" s="7" t="str"/>
      <x:c r="M2009" s="7" t="str"/>
      <x:c r="N2009" s="7" t="str"/>
      <x:c r="O2009" s="7" t="str">
        <x:f>IF(N2009="","OPEN",IF(OR(I2009="",J2009="",K2009="",L2009="",M2009=""),"FAIL","PASS"))</x:f>
        <x:v>OPEN</x:v>
      </x:c>
    </x:row>
    <x:row r="2010">
      <x:c r="B2010" s="7" t="str">
        <x:v>CH-PEA-C-X2-22-6</x:v>
      </x:c>
      <x:c r="C2010" s="7" t="str">
        <x:v>PEA-C-X2</x:v>
      </x:c>
      <x:c r="D2010" s="7" t="str">
        <x:v>BLD-C</x:v>
      </x:c>
      <x:c r="E2010" s="7" t="str">
        <x:v>BL-X</x:v>
      </x:c>
      <x:c r="F2010" s="7" t="str">
        <x:v>MF-22</x:v>
      </x:c>
      <x:c r="G2010" s="7" t="str">
        <x:v>source ancestry</x:v>
      </x:c>
      <x:c r="H2010" s="7" t="n">
        <x:v>6</x:v>
      </x:c>
      <x:c r="I2010" s="7" t="str"/>
      <x:c r="J2010" s="7" t="str"/>
      <x:c r="K2010" s="7" t="str"/>
      <x:c r="L2010" s="7" t="str"/>
      <x:c r="M2010" s="7" t="str"/>
      <x:c r="N2010" s="7" t="str"/>
      <x:c r="O2010" s="7" t="str">
        <x:f>IF(N2010="","OPEN",IF(OR(I2010="",J2010="",K2010="",L2010="",M2010=""),"FAIL","PASS"))</x:f>
        <x:v>OPEN</x:v>
      </x:c>
    </x:row>
    <x:row r="2011">
      <x:c r="B2011" s="7" t="str">
        <x:v>CH-PEA-C-X2-23-1</x:v>
      </x:c>
      <x:c r="C2011" s="7" t="str">
        <x:v>PEA-C-X2</x:v>
      </x:c>
      <x:c r="D2011" s="7" t="str">
        <x:v>BLD-C</x:v>
      </x:c>
      <x:c r="E2011" s="7" t="str">
        <x:v>BL-X</x:v>
      </x:c>
      <x:c r="F2011" s="7" t="str">
        <x:v>MF-23</x:v>
      </x:c>
      <x:c r="G2011" s="7" t="str">
        <x:v>water ancestry</x:v>
      </x:c>
      <x:c r="H2011" s="7" t="n">
        <x:v>1</x:v>
      </x:c>
      <x:c r="I2011" s="7" t="str"/>
      <x:c r="J2011" s="7" t="str"/>
      <x:c r="K2011" s="7" t="str"/>
      <x:c r="L2011" s="7" t="str"/>
      <x:c r="M2011" s="7" t="str"/>
      <x:c r="N2011" s="7" t="str"/>
      <x:c r="O2011" s="7" t="str">
        <x:f>IF(N2011="","OPEN",IF(OR(I2011="",J2011="",K2011="",L2011="",M2011=""),"FAIL","PASS"))</x:f>
        <x:v>OPEN</x:v>
      </x:c>
    </x:row>
    <x:row r="2012">
      <x:c r="B2012" s="7" t="str">
        <x:v>CH-PEA-C-X2-23-2</x:v>
      </x:c>
      <x:c r="C2012" s="7" t="str">
        <x:v>PEA-C-X2</x:v>
      </x:c>
      <x:c r="D2012" s="7" t="str">
        <x:v>BLD-C</x:v>
      </x:c>
      <x:c r="E2012" s="7" t="str">
        <x:v>BL-X</x:v>
      </x:c>
      <x:c r="F2012" s="7" t="str">
        <x:v>MF-23</x:v>
      </x:c>
      <x:c r="G2012" s="7" t="str">
        <x:v>water ancestry</x:v>
      </x:c>
      <x:c r="H2012" s="7" t="n">
        <x:v>2</x:v>
      </x:c>
      <x:c r="I2012" s="7" t="str"/>
      <x:c r="J2012" s="7" t="str"/>
      <x:c r="K2012" s="7" t="str"/>
      <x:c r="L2012" s="7" t="str"/>
      <x:c r="M2012" s="7" t="str"/>
      <x:c r="N2012" s="7" t="str"/>
      <x:c r="O2012" s="7" t="str">
        <x:f>IF(N2012="","OPEN",IF(OR(I2012="",J2012="",K2012="",L2012="",M2012=""),"FAIL","PASS"))</x:f>
        <x:v>OPEN</x:v>
      </x:c>
    </x:row>
    <x:row r="2013">
      <x:c r="B2013" s="7" t="str">
        <x:v>CH-PEA-C-X2-23-3</x:v>
      </x:c>
      <x:c r="C2013" s="7" t="str">
        <x:v>PEA-C-X2</x:v>
      </x:c>
      <x:c r="D2013" s="7" t="str">
        <x:v>BLD-C</x:v>
      </x:c>
      <x:c r="E2013" s="7" t="str">
        <x:v>BL-X</x:v>
      </x:c>
      <x:c r="F2013" s="7" t="str">
        <x:v>MF-23</x:v>
      </x:c>
      <x:c r="G2013" s="7" t="str">
        <x:v>water ancestry</x:v>
      </x:c>
      <x:c r="H2013" s="7" t="n">
        <x:v>3</x:v>
      </x:c>
      <x:c r="I2013" s="7" t="str"/>
      <x:c r="J2013" s="7" t="str"/>
      <x:c r="K2013" s="7" t="str"/>
      <x:c r="L2013" s="7" t="str"/>
      <x:c r="M2013" s="7" t="str"/>
      <x:c r="N2013" s="7" t="str"/>
      <x:c r="O2013" s="7" t="str">
        <x:f>IF(N2013="","OPEN",IF(OR(I2013="",J2013="",K2013="",L2013="",M2013=""),"FAIL","PASS"))</x:f>
        <x:v>OPEN</x:v>
      </x:c>
    </x:row>
    <x:row r="2014">
      <x:c r="B2014" s="7" t="str">
        <x:v>CH-PEA-C-X2-23-4</x:v>
      </x:c>
      <x:c r="C2014" s="7" t="str">
        <x:v>PEA-C-X2</x:v>
      </x:c>
      <x:c r="D2014" s="7" t="str">
        <x:v>BLD-C</x:v>
      </x:c>
      <x:c r="E2014" s="7" t="str">
        <x:v>BL-X</x:v>
      </x:c>
      <x:c r="F2014" s="7" t="str">
        <x:v>MF-23</x:v>
      </x:c>
      <x:c r="G2014" s="7" t="str">
        <x:v>water ancestry</x:v>
      </x:c>
      <x:c r="H2014" s="7" t="n">
        <x:v>4</x:v>
      </x:c>
      <x:c r="I2014" s="7" t="str"/>
      <x:c r="J2014" s="7" t="str"/>
      <x:c r="K2014" s="7" t="str"/>
      <x:c r="L2014" s="7" t="str"/>
      <x:c r="M2014" s="7" t="str"/>
      <x:c r="N2014" s="7" t="str"/>
      <x:c r="O2014" s="7" t="str">
        <x:f>IF(N2014="","OPEN",IF(OR(I2014="",J2014="",K2014="",L2014="",M2014=""),"FAIL","PASS"))</x:f>
        <x:v>OPEN</x:v>
      </x:c>
    </x:row>
    <x:row r="2015">
      <x:c r="B2015" s="7" t="str">
        <x:v>CH-PEA-C-X2-23-5</x:v>
      </x:c>
      <x:c r="C2015" s="7" t="str">
        <x:v>PEA-C-X2</x:v>
      </x:c>
      <x:c r="D2015" s="7" t="str">
        <x:v>BLD-C</x:v>
      </x:c>
      <x:c r="E2015" s="7" t="str">
        <x:v>BL-X</x:v>
      </x:c>
      <x:c r="F2015" s="7" t="str">
        <x:v>MF-23</x:v>
      </x:c>
      <x:c r="G2015" s="7" t="str">
        <x:v>water ancestry</x:v>
      </x:c>
      <x:c r="H2015" s="7" t="n">
        <x:v>5</x:v>
      </x:c>
      <x:c r="I2015" s="7" t="str"/>
      <x:c r="J2015" s="7" t="str"/>
      <x:c r="K2015" s="7" t="str"/>
      <x:c r="L2015" s="7" t="str"/>
      <x:c r="M2015" s="7" t="str"/>
      <x:c r="N2015" s="7" t="str"/>
      <x:c r="O2015" s="7" t="str">
        <x:f>IF(N2015="","OPEN",IF(OR(I2015="",J2015="",K2015="",L2015="",M2015=""),"FAIL","PASS"))</x:f>
        <x:v>OPEN</x:v>
      </x:c>
    </x:row>
    <x:row r="2016">
      <x:c r="B2016" s="7" t="str">
        <x:v>CH-PEA-C-X2-23-6</x:v>
      </x:c>
      <x:c r="C2016" s="7" t="str">
        <x:v>PEA-C-X2</x:v>
      </x:c>
      <x:c r="D2016" s="7" t="str">
        <x:v>BLD-C</x:v>
      </x:c>
      <x:c r="E2016" s="7" t="str">
        <x:v>BL-X</x:v>
      </x:c>
      <x:c r="F2016" s="7" t="str">
        <x:v>MF-23</x:v>
      </x:c>
      <x:c r="G2016" s="7" t="str">
        <x:v>water ancestry</x:v>
      </x:c>
      <x:c r="H2016" s="7" t="n">
        <x:v>6</x:v>
      </x:c>
      <x:c r="I2016" s="7" t="str"/>
      <x:c r="J2016" s="7" t="str"/>
      <x:c r="K2016" s="7" t="str"/>
      <x:c r="L2016" s="7" t="str"/>
      <x:c r="M2016" s="7" t="str"/>
      <x:c r="N2016" s="7" t="str"/>
      <x:c r="O2016" s="7" t="str">
        <x:f>IF(N2016="","OPEN",IF(OR(I2016="",J2016="",K2016="",L2016="",M2016=""),"FAIL","PASS"))</x:f>
        <x:v>OPEN</x:v>
      </x:c>
    </x:row>
    <x:row r="2017">
      <x:c r="B2017" s="7" t="str">
        <x:v>CH-PEA-C-X2-24-1</x:v>
      </x:c>
      <x:c r="C2017" s="7" t="str">
        <x:v>PEA-C-X2</x:v>
      </x:c>
      <x:c r="D2017" s="7" t="str">
        <x:v>BLD-C</x:v>
      </x:c>
      <x:c r="E2017" s="7" t="str">
        <x:v>BL-X</x:v>
      </x:c>
      <x:c r="F2017" s="7" t="str">
        <x:v>MF-24</x:v>
      </x:c>
      <x:c r="G2017" s="7" t="str">
        <x:v>evidence health</x:v>
      </x:c>
      <x:c r="H2017" s="7" t="n">
        <x:v>1</x:v>
      </x:c>
      <x:c r="I2017" s="7" t="str"/>
      <x:c r="J2017" s="7" t="str"/>
      <x:c r="K2017" s="7" t="str"/>
      <x:c r="L2017" s="7" t="str"/>
      <x:c r="M2017" s="7" t="str"/>
      <x:c r="N2017" s="7" t="str"/>
      <x:c r="O2017" s="7" t="str">
        <x:f>IF(N2017="","OPEN",IF(OR(I2017="",J2017="",K2017="",L2017="",M2017=""),"FAIL","PASS"))</x:f>
        <x:v>OPEN</x:v>
      </x:c>
    </x:row>
    <x:row r="2018">
      <x:c r="B2018" s="7" t="str">
        <x:v>CH-PEA-C-X2-24-2</x:v>
      </x:c>
      <x:c r="C2018" s="7" t="str">
        <x:v>PEA-C-X2</x:v>
      </x:c>
      <x:c r="D2018" s="7" t="str">
        <x:v>BLD-C</x:v>
      </x:c>
      <x:c r="E2018" s="7" t="str">
        <x:v>BL-X</x:v>
      </x:c>
      <x:c r="F2018" s="7" t="str">
        <x:v>MF-24</x:v>
      </x:c>
      <x:c r="G2018" s="7" t="str">
        <x:v>evidence health</x:v>
      </x:c>
      <x:c r="H2018" s="7" t="n">
        <x:v>2</x:v>
      </x:c>
      <x:c r="I2018" s="7" t="str"/>
      <x:c r="J2018" s="7" t="str"/>
      <x:c r="K2018" s="7" t="str"/>
      <x:c r="L2018" s="7" t="str"/>
      <x:c r="M2018" s="7" t="str"/>
      <x:c r="N2018" s="7" t="str"/>
      <x:c r="O2018" s="7" t="str">
        <x:f>IF(N2018="","OPEN",IF(OR(I2018="",J2018="",K2018="",L2018="",M2018=""),"FAIL","PASS"))</x:f>
        <x:v>OPEN</x:v>
      </x:c>
    </x:row>
    <x:row r="2019">
      <x:c r="B2019" s="7" t="str">
        <x:v>CH-PEA-C-X2-24-3</x:v>
      </x:c>
      <x:c r="C2019" s="7" t="str">
        <x:v>PEA-C-X2</x:v>
      </x:c>
      <x:c r="D2019" s="7" t="str">
        <x:v>BLD-C</x:v>
      </x:c>
      <x:c r="E2019" s="7" t="str">
        <x:v>BL-X</x:v>
      </x:c>
      <x:c r="F2019" s="7" t="str">
        <x:v>MF-24</x:v>
      </x:c>
      <x:c r="G2019" s="7" t="str">
        <x:v>evidence health</x:v>
      </x:c>
      <x:c r="H2019" s="7" t="n">
        <x:v>3</x:v>
      </x:c>
      <x:c r="I2019" s="7" t="str"/>
      <x:c r="J2019" s="7" t="str"/>
      <x:c r="K2019" s="7" t="str"/>
      <x:c r="L2019" s="7" t="str"/>
      <x:c r="M2019" s="7" t="str"/>
      <x:c r="N2019" s="7" t="str"/>
      <x:c r="O2019" s="7" t="str">
        <x:f>IF(N2019="","OPEN",IF(OR(I2019="",J2019="",K2019="",L2019="",M2019=""),"FAIL","PASS"))</x:f>
        <x:v>OPEN</x:v>
      </x:c>
    </x:row>
    <x:row r="2020">
      <x:c r="B2020" s="7" t="str">
        <x:v>CH-PEA-C-X2-24-4</x:v>
      </x:c>
      <x:c r="C2020" s="7" t="str">
        <x:v>PEA-C-X2</x:v>
      </x:c>
      <x:c r="D2020" s="7" t="str">
        <x:v>BLD-C</x:v>
      </x:c>
      <x:c r="E2020" s="7" t="str">
        <x:v>BL-X</x:v>
      </x:c>
      <x:c r="F2020" s="7" t="str">
        <x:v>MF-24</x:v>
      </x:c>
      <x:c r="G2020" s="7" t="str">
        <x:v>evidence health</x:v>
      </x:c>
      <x:c r="H2020" s="7" t="n">
        <x:v>4</x:v>
      </x:c>
      <x:c r="I2020" s="7" t="str"/>
      <x:c r="J2020" s="7" t="str"/>
      <x:c r="K2020" s="7" t="str"/>
      <x:c r="L2020" s="7" t="str"/>
      <x:c r="M2020" s="7" t="str"/>
      <x:c r="N2020" s="7" t="str"/>
      <x:c r="O2020" s="7" t="str">
        <x:f>IF(N2020="","OPEN",IF(OR(I2020="",J2020="",K2020="",L2020="",M2020=""),"FAIL","PASS"))</x:f>
        <x:v>OPEN</x:v>
      </x:c>
    </x:row>
    <x:row r="2021">
      <x:c r="B2021" s="7" t="str">
        <x:v>CH-PEA-C-X2-24-5</x:v>
      </x:c>
      <x:c r="C2021" s="7" t="str">
        <x:v>PEA-C-X2</x:v>
      </x:c>
      <x:c r="D2021" s="7" t="str">
        <x:v>BLD-C</x:v>
      </x:c>
      <x:c r="E2021" s="7" t="str">
        <x:v>BL-X</x:v>
      </x:c>
      <x:c r="F2021" s="7" t="str">
        <x:v>MF-24</x:v>
      </x:c>
      <x:c r="G2021" s="7" t="str">
        <x:v>evidence health</x:v>
      </x:c>
      <x:c r="H2021" s="7" t="n">
        <x:v>5</x:v>
      </x:c>
      <x:c r="I2021" s="7" t="str"/>
      <x:c r="J2021" s="7" t="str"/>
      <x:c r="K2021" s="7" t="str"/>
      <x:c r="L2021" s="7" t="str"/>
      <x:c r="M2021" s="7" t="str"/>
      <x:c r="N2021" s="7" t="str"/>
      <x:c r="O2021" s="7" t="str">
        <x:f>IF(N2021="","OPEN",IF(OR(I2021="",J2021="",K2021="",L2021="",M2021=""),"FAIL","PASS"))</x:f>
        <x:v>OPEN</x:v>
      </x:c>
    </x:row>
    <x:row r="2022">
      <x:c r="B2022" s="7" t="str">
        <x:v>CH-PEA-C-X2-24-6</x:v>
      </x:c>
      <x:c r="C2022" s="7" t="str">
        <x:v>PEA-C-X2</x:v>
      </x:c>
      <x:c r="D2022" s="7" t="str">
        <x:v>BLD-C</x:v>
      </x:c>
      <x:c r="E2022" s="7" t="str">
        <x:v>BL-X</x:v>
      </x:c>
      <x:c r="F2022" s="7" t="str">
        <x:v>MF-24</x:v>
      </x:c>
      <x:c r="G2022" s="7" t="str">
        <x:v>evidence health</x:v>
      </x:c>
      <x:c r="H2022" s="7" t="n">
        <x:v>6</x:v>
      </x:c>
      <x:c r="I2022" s="7" t="str"/>
      <x:c r="J2022" s="7" t="str"/>
      <x:c r="K2022" s="7" t="str"/>
      <x:c r="L2022" s="7" t="str"/>
      <x:c r="M2022" s="7" t="str"/>
      <x:c r="N2022" s="7" t="str"/>
      <x:c r="O2022" s="7" t="str">
        <x:f>IF(N2022="","OPEN",IF(OR(I2022="",J2022="",K2022="",L2022="",M2022=""),"FAIL","PASS"))</x:f>
        <x:v>OPEN</x:v>
      </x:c>
    </x:row>
    <x:row r="2023">
      <x:c r="B2023" s="7" t="str">
        <x:v>CH-PEA-C-X3-01-1</x:v>
      </x:c>
      <x:c r="C2023" s="7" t="str">
        <x:v>PEA-C-X3</x:v>
      </x:c>
      <x:c r="D2023" s="7" t="str">
        <x:v>BLD-C</x:v>
      </x:c>
      <x:c r="E2023" s="7" t="str">
        <x:v>BL-X</x:v>
      </x:c>
      <x:c r="F2023" s="7" t="str">
        <x:v>MF-01</x:v>
      </x:c>
      <x:c r="G2023" s="7" t="str">
        <x:v>source vessel mass</x:v>
      </x:c>
      <x:c r="H2023" s="7" t="n">
        <x:v>1</x:v>
      </x:c>
      <x:c r="I2023" s="7" t="str"/>
      <x:c r="J2023" s="7" t="str"/>
      <x:c r="K2023" s="7" t="str"/>
      <x:c r="L2023" s="7" t="str"/>
      <x:c r="M2023" s="7" t="str"/>
      <x:c r="N2023" s="7" t="str"/>
      <x:c r="O2023" s="7" t="str">
        <x:f>IF(N2023="","OPEN",IF(OR(I2023="",J2023="",K2023="",L2023="",M2023=""),"FAIL","PASS"))</x:f>
        <x:v>OPEN</x:v>
      </x:c>
    </x:row>
    <x:row r="2024">
      <x:c r="B2024" s="7" t="str">
        <x:v>CH-PEA-C-X3-01-2</x:v>
      </x:c>
      <x:c r="C2024" s="7" t="str">
        <x:v>PEA-C-X3</x:v>
      </x:c>
      <x:c r="D2024" s="7" t="str">
        <x:v>BLD-C</x:v>
      </x:c>
      <x:c r="E2024" s="7" t="str">
        <x:v>BL-X</x:v>
      </x:c>
      <x:c r="F2024" s="7" t="str">
        <x:v>MF-01</x:v>
      </x:c>
      <x:c r="G2024" s="7" t="str">
        <x:v>source vessel mass</x:v>
      </x:c>
      <x:c r="H2024" s="7" t="n">
        <x:v>2</x:v>
      </x:c>
      <x:c r="I2024" s="7" t="str"/>
      <x:c r="J2024" s="7" t="str"/>
      <x:c r="K2024" s="7" t="str"/>
      <x:c r="L2024" s="7" t="str"/>
      <x:c r="M2024" s="7" t="str"/>
      <x:c r="N2024" s="7" t="str"/>
      <x:c r="O2024" s="7" t="str">
        <x:f>IF(N2024="","OPEN",IF(OR(I2024="",J2024="",K2024="",L2024="",M2024=""),"FAIL","PASS"))</x:f>
        <x:v>OPEN</x:v>
      </x:c>
    </x:row>
    <x:row r="2025">
      <x:c r="B2025" s="7" t="str">
        <x:v>CH-PEA-C-X3-01-3</x:v>
      </x:c>
      <x:c r="C2025" s="7" t="str">
        <x:v>PEA-C-X3</x:v>
      </x:c>
      <x:c r="D2025" s="7" t="str">
        <x:v>BLD-C</x:v>
      </x:c>
      <x:c r="E2025" s="7" t="str">
        <x:v>BL-X</x:v>
      </x:c>
      <x:c r="F2025" s="7" t="str">
        <x:v>MF-01</x:v>
      </x:c>
      <x:c r="G2025" s="7" t="str">
        <x:v>source vessel mass</x:v>
      </x:c>
      <x:c r="H2025" s="7" t="n">
        <x:v>3</x:v>
      </x:c>
      <x:c r="I2025" s="7" t="str"/>
      <x:c r="J2025" s="7" t="str"/>
      <x:c r="K2025" s="7" t="str"/>
      <x:c r="L2025" s="7" t="str"/>
      <x:c r="M2025" s="7" t="str"/>
      <x:c r="N2025" s="7" t="str"/>
      <x:c r="O2025" s="7" t="str">
        <x:f>IF(N2025="","OPEN",IF(OR(I2025="",J2025="",K2025="",L2025="",M2025=""),"FAIL","PASS"))</x:f>
        <x:v>OPEN</x:v>
      </x:c>
    </x:row>
    <x:row r="2026">
      <x:c r="B2026" s="7" t="str">
        <x:v>CH-PEA-C-X3-01-4</x:v>
      </x:c>
      <x:c r="C2026" s="7" t="str">
        <x:v>PEA-C-X3</x:v>
      </x:c>
      <x:c r="D2026" s="7" t="str">
        <x:v>BLD-C</x:v>
      </x:c>
      <x:c r="E2026" s="7" t="str">
        <x:v>BL-X</x:v>
      </x:c>
      <x:c r="F2026" s="7" t="str">
        <x:v>MF-01</x:v>
      </x:c>
      <x:c r="G2026" s="7" t="str">
        <x:v>source vessel mass</x:v>
      </x:c>
      <x:c r="H2026" s="7" t="n">
        <x:v>4</x:v>
      </x:c>
      <x:c r="I2026" s="7" t="str"/>
      <x:c r="J2026" s="7" t="str"/>
      <x:c r="K2026" s="7" t="str"/>
      <x:c r="L2026" s="7" t="str"/>
      <x:c r="M2026" s="7" t="str"/>
      <x:c r="N2026" s="7" t="str"/>
      <x:c r="O2026" s="7" t="str">
        <x:f>IF(N2026="","OPEN",IF(OR(I2026="",J2026="",K2026="",L2026="",M2026=""),"FAIL","PASS"))</x:f>
        <x:v>OPEN</x:v>
      </x:c>
    </x:row>
    <x:row r="2027">
      <x:c r="B2027" s="7" t="str">
        <x:v>CH-PEA-C-X3-01-5</x:v>
      </x:c>
      <x:c r="C2027" s="7" t="str">
        <x:v>PEA-C-X3</x:v>
      </x:c>
      <x:c r="D2027" s="7" t="str">
        <x:v>BLD-C</x:v>
      </x:c>
      <x:c r="E2027" s="7" t="str">
        <x:v>BL-X</x:v>
      </x:c>
      <x:c r="F2027" s="7" t="str">
        <x:v>MF-01</x:v>
      </x:c>
      <x:c r="G2027" s="7" t="str">
        <x:v>source vessel mass</x:v>
      </x:c>
      <x:c r="H2027" s="7" t="n">
        <x:v>5</x:v>
      </x:c>
      <x:c r="I2027" s="7" t="str"/>
      <x:c r="J2027" s="7" t="str"/>
      <x:c r="K2027" s="7" t="str"/>
      <x:c r="L2027" s="7" t="str"/>
      <x:c r="M2027" s="7" t="str"/>
      <x:c r="N2027" s="7" t="str"/>
      <x:c r="O2027" s="7" t="str">
        <x:f>IF(N2027="","OPEN",IF(OR(I2027="",J2027="",K2027="",L2027="",M2027=""),"FAIL","PASS"))</x:f>
        <x:v>OPEN</x:v>
      </x:c>
    </x:row>
    <x:row r="2028">
      <x:c r="B2028" s="7" t="str">
        <x:v>CH-PEA-C-X3-01-6</x:v>
      </x:c>
      <x:c r="C2028" s="7" t="str">
        <x:v>PEA-C-X3</x:v>
      </x:c>
      <x:c r="D2028" s="7" t="str">
        <x:v>BLD-C</x:v>
      </x:c>
      <x:c r="E2028" s="7" t="str">
        <x:v>BL-X</x:v>
      </x:c>
      <x:c r="F2028" s="7" t="str">
        <x:v>MF-01</x:v>
      </x:c>
      <x:c r="G2028" s="7" t="str">
        <x:v>source vessel mass</x:v>
      </x:c>
      <x:c r="H2028" s="7" t="n">
        <x:v>6</x:v>
      </x:c>
      <x:c r="I2028" s="7" t="str"/>
      <x:c r="J2028" s="7" t="str"/>
      <x:c r="K2028" s="7" t="str"/>
      <x:c r="L2028" s="7" t="str"/>
      <x:c r="M2028" s="7" t="str"/>
      <x:c r="N2028" s="7" t="str"/>
      <x:c r="O2028" s="7" t="str">
        <x:f>IF(N2028="","OPEN",IF(OR(I2028="",J2028="",K2028="",L2028="",M2028=""),"FAIL","PASS"))</x:f>
        <x:v>OPEN</x:v>
      </x:c>
    </x:row>
    <x:row r="2029">
      <x:c r="B2029" s="7" t="str">
        <x:v>CH-PEA-C-X3-02-1</x:v>
      </x:c>
      <x:c r="C2029" s="7" t="str">
        <x:v>PEA-C-X3</x:v>
      </x:c>
      <x:c r="D2029" s="7" t="str">
        <x:v>BLD-C</x:v>
      </x:c>
      <x:c r="E2029" s="7" t="str">
        <x:v>BL-X</x:v>
      </x:c>
      <x:c r="F2029" s="7" t="str">
        <x:v>MF-02</x:v>
      </x:c>
      <x:c r="G2029" s="7" t="str">
        <x:v>transfer mass</x:v>
      </x:c>
      <x:c r="H2029" s="7" t="n">
        <x:v>1</x:v>
      </x:c>
      <x:c r="I2029" s="7" t="str"/>
      <x:c r="J2029" s="7" t="str"/>
      <x:c r="K2029" s="7" t="str"/>
      <x:c r="L2029" s="7" t="str"/>
      <x:c r="M2029" s="7" t="str"/>
      <x:c r="N2029" s="7" t="str"/>
      <x:c r="O2029" s="7" t="str">
        <x:f>IF(N2029="","OPEN",IF(OR(I2029="",J2029="",K2029="",L2029="",M2029=""),"FAIL","PASS"))</x:f>
        <x:v>OPEN</x:v>
      </x:c>
    </x:row>
    <x:row r="2030">
      <x:c r="B2030" s="7" t="str">
        <x:v>CH-PEA-C-X3-02-2</x:v>
      </x:c>
      <x:c r="C2030" s="7" t="str">
        <x:v>PEA-C-X3</x:v>
      </x:c>
      <x:c r="D2030" s="7" t="str">
        <x:v>BLD-C</x:v>
      </x:c>
      <x:c r="E2030" s="7" t="str">
        <x:v>BL-X</x:v>
      </x:c>
      <x:c r="F2030" s="7" t="str">
        <x:v>MF-02</x:v>
      </x:c>
      <x:c r="G2030" s="7" t="str">
        <x:v>transfer mass</x:v>
      </x:c>
      <x:c r="H2030" s="7" t="n">
        <x:v>2</x:v>
      </x:c>
      <x:c r="I2030" s="7" t="str"/>
      <x:c r="J2030" s="7" t="str"/>
      <x:c r="K2030" s="7" t="str"/>
      <x:c r="L2030" s="7" t="str"/>
      <x:c r="M2030" s="7" t="str"/>
      <x:c r="N2030" s="7" t="str"/>
      <x:c r="O2030" s="7" t="str">
        <x:f>IF(N2030="","OPEN",IF(OR(I2030="",J2030="",K2030="",L2030="",M2030=""),"FAIL","PASS"))</x:f>
        <x:v>OPEN</x:v>
      </x:c>
    </x:row>
    <x:row r="2031">
      <x:c r="B2031" s="7" t="str">
        <x:v>CH-PEA-C-X3-02-3</x:v>
      </x:c>
      <x:c r="C2031" s="7" t="str">
        <x:v>PEA-C-X3</x:v>
      </x:c>
      <x:c r="D2031" s="7" t="str">
        <x:v>BLD-C</x:v>
      </x:c>
      <x:c r="E2031" s="7" t="str">
        <x:v>BL-X</x:v>
      </x:c>
      <x:c r="F2031" s="7" t="str">
        <x:v>MF-02</x:v>
      </x:c>
      <x:c r="G2031" s="7" t="str">
        <x:v>transfer mass</x:v>
      </x:c>
      <x:c r="H2031" s="7" t="n">
        <x:v>3</x:v>
      </x:c>
      <x:c r="I2031" s="7" t="str"/>
      <x:c r="J2031" s="7" t="str"/>
      <x:c r="K2031" s="7" t="str"/>
      <x:c r="L2031" s="7" t="str"/>
      <x:c r="M2031" s="7" t="str"/>
      <x:c r="N2031" s="7" t="str"/>
      <x:c r="O2031" s="7" t="str">
        <x:f>IF(N2031="","OPEN",IF(OR(I2031="",J2031="",K2031="",L2031="",M2031=""),"FAIL","PASS"))</x:f>
        <x:v>OPEN</x:v>
      </x:c>
    </x:row>
    <x:row r="2032">
      <x:c r="B2032" s="7" t="str">
        <x:v>CH-PEA-C-X3-02-4</x:v>
      </x:c>
      <x:c r="C2032" s="7" t="str">
        <x:v>PEA-C-X3</x:v>
      </x:c>
      <x:c r="D2032" s="7" t="str">
        <x:v>BLD-C</x:v>
      </x:c>
      <x:c r="E2032" s="7" t="str">
        <x:v>BL-X</x:v>
      </x:c>
      <x:c r="F2032" s="7" t="str">
        <x:v>MF-02</x:v>
      </x:c>
      <x:c r="G2032" s="7" t="str">
        <x:v>transfer mass</x:v>
      </x:c>
      <x:c r="H2032" s="7" t="n">
        <x:v>4</x:v>
      </x:c>
      <x:c r="I2032" s="7" t="str"/>
      <x:c r="J2032" s="7" t="str"/>
      <x:c r="K2032" s="7" t="str"/>
      <x:c r="L2032" s="7" t="str"/>
      <x:c r="M2032" s="7" t="str"/>
      <x:c r="N2032" s="7" t="str"/>
      <x:c r="O2032" s="7" t="str">
        <x:f>IF(N2032="","OPEN",IF(OR(I2032="",J2032="",K2032="",L2032="",M2032=""),"FAIL","PASS"))</x:f>
        <x:v>OPEN</x:v>
      </x:c>
    </x:row>
    <x:row r="2033">
      <x:c r="B2033" s="7" t="str">
        <x:v>CH-PEA-C-X3-02-5</x:v>
      </x:c>
      <x:c r="C2033" s="7" t="str">
        <x:v>PEA-C-X3</x:v>
      </x:c>
      <x:c r="D2033" s="7" t="str">
        <x:v>BLD-C</x:v>
      </x:c>
      <x:c r="E2033" s="7" t="str">
        <x:v>BL-X</x:v>
      </x:c>
      <x:c r="F2033" s="7" t="str">
        <x:v>MF-02</x:v>
      </x:c>
      <x:c r="G2033" s="7" t="str">
        <x:v>transfer mass</x:v>
      </x:c>
      <x:c r="H2033" s="7" t="n">
        <x:v>5</x:v>
      </x:c>
      <x:c r="I2033" s="7" t="str"/>
      <x:c r="J2033" s="7" t="str"/>
      <x:c r="K2033" s="7" t="str"/>
      <x:c r="L2033" s="7" t="str"/>
      <x:c r="M2033" s="7" t="str"/>
      <x:c r="N2033" s="7" t="str"/>
      <x:c r="O2033" s="7" t="str">
        <x:f>IF(N2033="","OPEN",IF(OR(I2033="",J2033="",K2033="",L2033="",M2033=""),"FAIL","PASS"))</x:f>
        <x:v>OPEN</x:v>
      </x:c>
    </x:row>
    <x:row r="2034">
      <x:c r="B2034" s="7" t="str">
        <x:v>CH-PEA-C-X3-02-6</x:v>
      </x:c>
      <x:c r="C2034" s="7" t="str">
        <x:v>PEA-C-X3</x:v>
      </x:c>
      <x:c r="D2034" s="7" t="str">
        <x:v>BLD-C</x:v>
      </x:c>
      <x:c r="E2034" s="7" t="str">
        <x:v>BL-X</x:v>
      </x:c>
      <x:c r="F2034" s="7" t="str">
        <x:v>MF-02</x:v>
      </x:c>
      <x:c r="G2034" s="7" t="str">
        <x:v>transfer mass</x:v>
      </x:c>
      <x:c r="H2034" s="7" t="n">
        <x:v>6</x:v>
      </x:c>
      <x:c r="I2034" s="7" t="str"/>
      <x:c r="J2034" s="7" t="str"/>
      <x:c r="K2034" s="7" t="str"/>
      <x:c r="L2034" s="7" t="str"/>
      <x:c r="M2034" s="7" t="str"/>
      <x:c r="N2034" s="7" t="str"/>
      <x:c r="O2034" s="7" t="str">
        <x:f>IF(N2034="","OPEN",IF(OR(I2034="",J2034="",K2034="",L2034="",M2034=""),"FAIL","PASS"))</x:f>
        <x:v>OPEN</x:v>
      </x:c>
    </x:row>
    <x:row r="2035">
      <x:c r="B2035" s="7" t="str">
        <x:v>CH-PEA-C-X3-03-1</x:v>
      </x:c>
      <x:c r="C2035" s="7" t="str">
        <x:v>PEA-C-X3</x:v>
      </x:c>
      <x:c r="D2035" s="7" t="str">
        <x:v>BLD-C</x:v>
      </x:c>
      <x:c r="E2035" s="7" t="str">
        <x:v>BL-X</x:v>
      </x:c>
      <x:c r="F2035" s="7" t="str">
        <x:v>MF-03</x:v>
      </x:c>
      <x:c r="G2035" s="7" t="str">
        <x:v>source pressure</x:v>
      </x:c>
      <x:c r="H2035" s="7" t="n">
        <x:v>1</x:v>
      </x:c>
      <x:c r="I2035" s="7" t="str"/>
      <x:c r="J2035" s="7" t="str"/>
      <x:c r="K2035" s="7" t="str"/>
      <x:c r="L2035" s="7" t="str"/>
      <x:c r="M2035" s="7" t="str"/>
      <x:c r="N2035" s="7" t="str"/>
      <x:c r="O2035" s="7" t="str">
        <x:f>IF(N2035="","OPEN",IF(OR(I2035="",J2035="",K2035="",L2035="",M2035=""),"FAIL","PASS"))</x:f>
        <x:v>OPEN</x:v>
      </x:c>
    </x:row>
    <x:row r="2036">
      <x:c r="B2036" s="7" t="str">
        <x:v>CH-PEA-C-X3-03-2</x:v>
      </x:c>
      <x:c r="C2036" s="7" t="str">
        <x:v>PEA-C-X3</x:v>
      </x:c>
      <x:c r="D2036" s="7" t="str">
        <x:v>BLD-C</x:v>
      </x:c>
      <x:c r="E2036" s="7" t="str">
        <x:v>BL-X</x:v>
      </x:c>
      <x:c r="F2036" s="7" t="str">
        <x:v>MF-03</x:v>
      </x:c>
      <x:c r="G2036" s="7" t="str">
        <x:v>source pressure</x:v>
      </x:c>
      <x:c r="H2036" s="7" t="n">
        <x:v>2</x:v>
      </x:c>
      <x:c r="I2036" s="7" t="str"/>
      <x:c r="J2036" s="7" t="str"/>
      <x:c r="K2036" s="7" t="str"/>
      <x:c r="L2036" s="7" t="str"/>
      <x:c r="M2036" s="7" t="str"/>
      <x:c r="N2036" s="7" t="str"/>
      <x:c r="O2036" s="7" t="str">
        <x:f>IF(N2036="","OPEN",IF(OR(I2036="",J2036="",K2036="",L2036="",M2036=""),"FAIL","PASS"))</x:f>
        <x:v>OPEN</x:v>
      </x:c>
    </x:row>
    <x:row r="2037">
      <x:c r="B2037" s="7" t="str">
        <x:v>CH-PEA-C-X3-03-3</x:v>
      </x:c>
      <x:c r="C2037" s="7" t="str">
        <x:v>PEA-C-X3</x:v>
      </x:c>
      <x:c r="D2037" s="7" t="str">
        <x:v>BLD-C</x:v>
      </x:c>
      <x:c r="E2037" s="7" t="str">
        <x:v>BL-X</x:v>
      </x:c>
      <x:c r="F2037" s="7" t="str">
        <x:v>MF-03</x:v>
      </x:c>
      <x:c r="G2037" s="7" t="str">
        <x:v>source pressure</x:v>
      </x:c>
      <x:c r="H2037" s="7" t="n">
        <x:v>3</x:v>
      </x:c>
      <x:c r="I2037" s="7" t="str"/>
      <x:c r="J2037" s="7" t="str"/>
      <x:c r="K2037" s="7" t="str"/>
      <x:c r="L2037" s="7" t="str"/>
      <x:c r="M2037" s="7" t="str"/>
      <x:c r="N2037" s="7" t="str"/>
      <x:c r="O2037" s="7" t="str">
        <x:f>IF(N2037="","OPEN",IF(OR(I2037="",J2037="",K2037="",L2037="",M2037=""),"FAIL","PASS"))</x:f>
        <x:v>OPEN</x:v>
      </x:c>
    </x:row>
    <x:row r="2038">
      <x:c r="B2038" s="7" t="str">
        <x:v>CH-PEA-C-X3-03-4</x:v>
      </x:c>
      <x:c r="C2038" s="7" t="str">
        <x:v>PEA-C-X3</x:v>
      </x:c>
      <x:c r="D2038" s="7" t="str">
        <x:v>BLD-C</x:v>
      </x:c>
      <x:c r="E2038" s="7" t="str">
        <x:v>BL-X</x:v>
      </x:c>
      <x:c r="F2038" s="7" t="str">
        <x:v>MF-03</x:v>
      </x:c>
      <x:c r="G2038" s="7" t="str">
        <x:v>source pressure</x:v>
      </x:c>
      <x:c r="H2038" s="7" t="n">
        <x:v>4</x:v>
      </x:c>
      <x:c r="I2038" s="7" t="str"/>
      <x:c r="J2038" s="7" t="str"/>
      <x:c r="K2038" s="7" t="str"/>
      <x:c r="L2038" s="7" t="str"/>
      <x:c r="M2038" s="7" t="str"/>
      <x:c r="N2038" s="7" t="str"/>
      <x:c r="O2038" s="7" t="str">
        <x:f>IF(N2038="","OPEN",IF(OR(I2038="",J2038="",K2038="",L2038="",M2038=""),"FAIL","PASS"))</x:f>
        <x:v>OPEN</x:v>
      </x:c>
    </x:row>
    <x:row r="2039">
      <x:c r="B2039" s="7" t="str">
        <x:v>CH-PEA-C-X3-03-5</x:v>
      </x:c>
      <x:c r="C2039" s="7" t="str">
        <x:v>PEA-C-X3</x:v>
      </x:c>
      <x:c r="D2039" s="7" t="str">
        <x:v>BLD-C</x:v>
      </x:c>
      <x:c r="E2039" s="7" t="str">
        <x:v>BL-X</x:v>
      </x:c>
      <x:c r="F2039" s="7" t="str">
        <x:v>MF-03</x:v>
      </x:c>
      <x:c r="G2039" s="7" t="str">
        <x:v>source pressure</x:v>
      </x:c>
      <x:c r="H2039" s="7" t="n">
        <x:v>5</x:v>
      </x:c>
      <x:c r="I2039" s="7" t="str"/>
      <x:c r="J2039" s="7" t="str"/>
      <x:c r="K2039" s="7" t="str"/>
      <x:c r="L2039" s="7" t="str"/>
      <x:c r="M2039" s="7" t="str"/>
      <x:c r="N2039" s="7" t="str"/>
      <x:c r="O2039" s="7" t="str">
        <x:f>IF(N2039="","OPEN",IF(OR(I2039="",J2039="",K2039="",L2039="",M2039=""),"FAIL","PASS"))</x:f>
        <x:v>OPEN</x:v>
      </x:c>
    </x:row>
    <x:row r="2040">
      <x:c r="B2040" s="7" t="str">
        <x:v>CH-PEA-C-X3-03-6</x:v>
      </x:c>
      <x:c r="C2040" s="7" t="str">
        <x:v>PEA-C-X3</x:v>
      </x:c>
      <x:c r="D2040" s="7" t="str">
        <x:v>BLD-C</x:v>
      </x:c>
      <x:c r="E2040" s="7" t="str">
        <x:v>BL-X</x:v>
      </x:c>
      <x:c r="F2040" s="7" t="str">
        <x:v>MF-03</x:v>
      </x:c>
      <x:c r="G2040" s="7" t="str">
        <x:v>source pressure</x:v>
      </x:c>
      <x:c r="H2040" s="7" t="n">
        <x:v>6</x:v>
      </x:c>
      <x:c r="I2040" s="7" t="str"/>
      <x:c r="J2040" s="7" t="str"/>
      <x:c r="K2040" s="7" t="str"/>
      <x:c r="L2040" s="7" t="str"/>
      <x:c r="M2040" s="7" t="str"/>
      <x:c r="N2040" s="7" t="str"/>
      <x:c r="O2040" s="7" t="str">
        <x:f>IF(N2040="","OPEN",IF(OR(I2040="",J2040="",K2040="",L2040="",M2040=""),"FAIL","PASS"))</x:f>
        <x:v>OPEN</x:v>
      </x:c>
    </x:row>
    <x:row r="2041">
      <x:c r="B2041" s="7" t="str">
        <x:v>CH-PEA-C-X3-04-1</x:v>
      </x:c>
      <x:c r="C2041" s="7" t="str">
        <x:v>PEA-C-X3</x:v>
      </x:c>
      <x:c r="D2041" s="7" t="str">
        <x:v>BLD-C</x:v>
      </x:c>
      <x:c r="E2041" s="7" t="str">
        <x:v>BL-X</x:v>
      </x:c>
      <x:c r="F2041" s="7" t="str">
        <x:v>MF-04</x:v>
      </x:c>
      <x:c r="G2041" s="7" t="str">
        <x:v>source temperature</x:v>
      </x:c>
      <x:c r="H2041" s="7" t="n">
        <x:v>1</x:v>
      </x:c>
      <x:c r="I2041" s="7" t="str"/>
      <x:c r="J2041" s="7" t="str"/>
      <x:c r="K2041" s="7" t="str"/>
      <x:c r="L2041" s="7" t="str"/>
      <x:c r="M2041" s="7" t="str"/>
      <x:c r="N2041" s="7" t="str"/>
      <x:c r="O2041" s="7" t="str">
        <x:f>IF(N2041="","OPEN",IF(OR(I2041="",J2041="",K2041="",L2041="",M2041=""),"FAIL","PASS"))</x:f>
        <x:v>OPEN</x:v>
      </x:c>
    </x:row>
    <x:row r="2042">
      <x:c r="B2042" s="7" t="str">
        <x:v>CH-PEA-C-X3-04-2</x:v>
      </x:c>
      <x:c r="C2042" s="7" t="str">
        <x:v>PEA-C-X3</x:v>
      </x:c>
      <x:c r="D2042" s="7" t="str">
        <x:v>BLD-C</x:v>
      </x:c>
      <x:c r="E2042" s="7" t="str">
        <x:v>BL-X</x:v>
      </x:c>
      <x:c r="F2042" s="7" t="str">
        <x:v>MF-04</x:v>
      </x:c>
      <x:c r="G2042" s="7" t="str">
        <x:v>source temperature</x:v>
      </x:c>
      <x:c r="H2042" s="7" t="n">
        <x:v>2</x:v>
      </x:c>
      <x:c r="I2042" s="7" t="str"/>
      <x:c r="J2042" s="7" t="str"/>
      <x:c r="K2042" s="7" t="str"/>
      <x:c r="L2042" s="7" t="str"/>
      <x:c r="M2042" s="7" t="str"/>
      <x:c r="N2042" s="7" t="str"/>
      <x:c r="O2042" s="7" t="str">
        <x:f>IF(N2042="","OPEN",IF(OR(I2042="",J2042="",K2042="",L2042="",M2042=""),"FAIL","PASS"))</x:f>
        <x:v>OPEN</x:v>
      </x:c>
    </x:row>
    <x:row r="2043">
      <x:c r="B2043" s="7" t="str">
        <x:v>CH-PEA-C-X3-04-3</x:v>
      </x:c>
      <x:c r="C2043" s="7" t="str">
        <x:v>PEA-C-X3</x:v>
      </x:c>
      <x:c r="D2043" s="7" t="str">
        <x:v>BLD-C</x:v>
      </x:c>
      <x:c r="E2043" s="7" t="str">
        <x:v>BL-X</x:v>
      </x:c>
      <x:c r="F2043" s="7" t="str">
        <x:v>MF-04</x:v>
      </x:c>
      <x:c r="G2043" s="7" t="str">
        <x:v>source temperature</x:v>
      </x:c>
      <x:c r="H2043" s="7" t="n">
        <x:v>3</x:v>
      </x:c>
      <x:c r="I2043" s="7" t="str"/>
      <x:c r="J2043" s="7" t="str"/>
      <x:c r="K2043" s="7" t="str"/>
      <x:c r="L2043" s="7" t="str"/>
      <x:c r="M2043" s="7" t="str"/>
      <x:c r="N2043" s="7" t="str"/>
      <x:c r="O2043" s="7" t="str">
        <x:f>IF(N2043="","OPEN",IF(OR(I2043="",J2043="",K2043="",L2043="",M2043=""),"FAIL","PASS"))</x:f>
        <x:v>OPEN</x:v>
      </x:c>
    </x:row>
    <x:row r="2044">
      <x:c r="B2044" s="7" t="str">
        <x:v>CH-PEA-C-X3-04-4</x:v>
      </x:c>
      <x:c r="C2044" s="7" t="str">
        <x:v>PEA-C-X3</x:v>
      </x:c>
      <x:c r="D2044" s="7" t="str">
        <x:v>BLD-C</x:v>
      </x:c>
      <x:c r="E2044" s="7" t="str">
        <x:v>BL-X</x:v>
      </x:c>
      <x:c r="F2044" s="7" t="str">
        <x:v>MF-04</x:v>
      </x:c>
      <x:c r="G2044" s="7" t="str">
        <x:v>source temperature</x:v>
      </x:c>
      <x:c r="H2044" s="7" t="n">
        <x:v>4</x:v>
      </x:c>
      <x:c r="I2044" s="7" t="str"/>
      <x:c r="J2044" s="7" t="str"/>
      <x:c r="K2044" s="7" t="str"/>
      <x:c r="L2044" s="7" t="str"/>
      <x:c r="M2044" s="7" t="str"/>
      <x:c r="N2044" s="7" t="str"/>
      <x:c r="O2044" s="7" t="str">
        <x:f>IF(N2044="","OPEN",IF(OR(I2044="",J2044="",K2044="",L2044="",M2044=""),"FAIL","PASS"))</x:f>
        <x:v>OPEN</x:v>
      </x:c>
    </x:row>
    <x:row r="2045">
      <x:c r="B2045" s="7" t="str">
        <x:v>CH-PEA-C-X3-04-5</x:v>
      </x:c>
      <x:c r="C2045" s="7" t="str">
        <x:v>PEA-C-X3</x:v>
      </x:c>
      <x:c r="D2045" s="7" t="str">
        <x:v>BLD-C</x:v>
      </x:c>
      <x:c r="E2045" s="7" t="str">
        <x:v>BL-X</x:v>
      </x:c>
      <x:c r="F2045" s="7" t="str">
        <x:v>MF-04</x:v>
      </x:c>
      <x:c r="G2045" s="7" t="str">
        <x:v>source temperature</x:v>
      </x:c>
      <x:c r="H2045" s="7" t="n">
        <x:v>5</x:v>
      </x:c>
      <x:c r="I2045" s="7" t="str"/>
      <x:c r="J2045" s="7" t="str"/>
      <x:c r="K2045" s="7" t="str"/>
      <x:c r="L2045" s="7" t="str"/>
      <x:c r="M2045" s="7" t="str"/>
      <x:c r="N2045" s="7" t="str"/>
      <x:c r="O2045" s="7" t="str">
        <x:f>IF(N2045="","OPEN",IF(OR(I2045="",J2045="",K2045="",L2045="",M2045=""),"FAIL","PASS"))</x:f>
        <x:v>OPEN</x:v>
      </x:c>
    </x:row>
    <x:row r="2046">
      <x:c r="B2046" s="7" t="str">
        <x:v>CH-PEA-C-X3-04-6</x:v>
      </x:c>
      <x:c r="C2046" s="7" t="str">
        <x:v>PEA-C-X3</x:v>
      </x:c>
      <x:c r="D2046" s="7" t="str">
        <x:v>BLD-C</x:v>
      </x:c>
      <x:c r="E2046" s="7" t="str">
        <x:v>BL-X</x:v>
      </x:c>
      <x:c r="F2046" s="7" t="str">
        <x:v>MF-04</x:v>
      </x:c>
      <x:c r="G2046" s="7" t="str">
        <x:v>source temperature</x:v>
      </x:c>
      <x:c r="H2046" s="7" t="n">
        <x:v>6</x:v>
      </x:c>
      <x:c r="I2046" s="7" t="str"/>
      <x:c r="J2046" s="7" t="str"/>
      <x:c r="K2046" s="7" t="str"/>
      <x:c r="L2046" s="7" t="str"/>
      <x:c r="M2046" s="7" t="str"/>
      <x:c r="N2046" s="7" t="str"/>
      <x:c r="O2046" s="7" t="str">
        <x:f>IF(N2046="","OPEN",IF(OR(I2046="",J2046="",K2046="",L2046="",M2046=""),"FAIL","PASS"))</x:f>
        <x:v>OPEN</x:v>
      </x:c>
    </x:row>
    <x:row r="2047">
      <x:c r="B2047" s="7" t="str">
        <x:v>CH-PEA-C-X3-05-1</x:v>
      </x:c>
      <x:c r="C2047" s="7" t="str">
        <x:v>PEA-C-X3</x:v>
      </x:c>
      <x:c r="D2047" s="7" t="str">
        <x:v>BLD-C</x:v>
      </x:c>
      <x:c r="E2047" s="7" t="str">
        <x:v>BL-X</x:v>
      </x:c>
      <x:c r="F2047" s="7" t="str">
        <x:v>MF-05</x:v>
      </x:c>
      <x:c r="G2047" s="7" t="str">
        <x:v>hold-up tomography</x:v>
      </x:c>
      <x:c r="H2047" s="7" t="n">
        <x:v>1</x:v>
      </x:c>
      <x:c r="I2047" s="7" t="str"/>
      <x:c r="J2047" s="7" t="str"/>
      <x:c r="K2047" s="7" t="str"/>
      <x:c r="L2047" s="7" t="str"/>
      <x:c r="M2047" s="7" t="str"/>
      <x:c r="N2047" s="7" t="str"/>
      <x:c r="O2047" s="7" t="str">
        <x:f>IF(N2047="","OPEN",IF(OR(I2047="",J2047="",K2047="",L2047="",M2047=""),"FAIL","PASS"))</x:f>
        <x:v>OPEN</x:v>
      </x:c>
    </x:row>
    <x:row r="2048">
      <x:c r="B2048" s="7" t="str">
        <x:v>CH-PEA-C-X3-05-2</x:v>
      </x:c>
      <x:c r="C2048" s="7" t="str">
        <x:v>PEA-C-X3</x:v>
      </x:c>
      <x:c r="D2048" s="7" t="str">
        <x:v>BLD-C</x:v>
      </x:c>
      <x:c r="E2048" s="7" t="str">
        <x:v>BL-X</x:v>
      </x:c>
      <x:c r="F2048" s="7" t="str">
        <x:v>MF-05</x:v>
      </x:c>
      <x:c r="G2048" s="7" t="str">
        <x:v>hold-up tomography</x:v>
      </x:c>
      <x:c r="H2048" s="7" t="n">
        <x:v>2</x:v>
      </x:c>
      <x:c r="I2048" s="7" t="str"/>
      <x:c r="J2048" s="7" t="str"/>
      <x:c r="K2048" s="7" t="str"/>
      <x:c r="L2048" s="7" t="str"/>
      <x:c r="M2048" s="7" t="str"/>
      <x:c r="N2048" s="7" t="str"/>
      <x:c r="O2048" s="7" t="str">
        <x:f>IF(N2048="","OPEN",IF(OR(I2048="",J2048="",K2048="",L2048="",M2048=""),"FAIL","PASS"))</x:f>
        <x:v>OPEN</x:v>
      </x:c>
    </x:row>
    <x:row r="2049">
      <x:c r="B2049" s="7" t="str">
        <x:v>CH-PEA-C-X3-05-3</x:v>
      </x:c>
      <x:c r="C2049" s="7" t="str">
        <x:v>PEA-C-X3</x:v>
      </x:c>
      <x:c r="D2049" s="7" t="str">
        <x:v>BLD-C</x:v>
      </x:c>
      <x:c r="E2049" s="7" t="str">
        <x:v>BL-X</x:v>
      </x:c>
      <x:c r="F2049" s="7" t="str">
        <x:v>MF-05</x:v>
      </x:c>
      <x:c r="G2049" s="7" t="str">
        <x:v>hold-up tomography</x:v>
      </x:c>
      <x:c r="H2049" s="7" t="n">
        <x:v>3</x:v>
      </x:c>
      <x:c r="I2049" s="7" t="str"/>
      <x:c r="J2049" s="7" t="str"/>
      <x:c r="K2049" s="7" t="str"/>
      <x:c r="L2049" s="7" t="str"/>
      <x:c r="M2049" s="7" t="str"/>
      <x:c r="N2049" s="7" t="str"/>
      <x:c r="O2049" s="7" t="str">
        <x:f>IF(N2049="","OPEN",IF(OR(I2049="",J2049="",K2049="",L2049="",M2049=""),"FAIL","PASS"))</x:f>
        <x:v>OPEN</x:v>
      </x:c>
    </x:row>
    <x:row r="2050">
      <x:c r="B2050" s="7" t="str">
        <x:v>CH-PEA-C-X3-05-4</x:v>
      </x:c>
      <x:c r="C2050" s="7" t="str">
        <x:v>PEA-C-X3</x:v>
      </x:c>
      <x:c r="D2050" s="7" t="str">
        <x:v>BLD-C</x:v>
      </x:c>
      <x:c r="E2050" s="7" t="str">
        <x:v>BL-X</x:v>
      </x:c>
      <x:c r="F2050" s="7" t="str">
        <x:v>MF-05</x:v>
      </x:c>
      <x:c r="G2050" s="7" t="str">
        <x:v>hold-up tomography</x:v>
      </x:c>
      <x:c r="H2050" s="7" t="n">
        <x:v>4</x:v>
      </x:c>
      <x:c r="I2050" s="7" t="str"/>
      <x:c r="J2050" s="7" t="str"/>
      <x:c r="K2050" s="7" t="str"/>
      <x:c r="L2050" s="7" t="str"/>
      <x:c r="M2050" s="7" t="str"/>
      <x:c r="N2050" s="7" t="str"/>
      <x:c r="O2050" s="7" t="str">
        <x:f>IF(N2050="","OPEN",IF(OR(I2050="",J2050="",K2050="",L2050="",M2050=""),"FAIL","PASS"))</x:f>
        <x:v>OPEN</x:v>
      </x:c>
    </x:row>
    <x:row r="2051">
      <x:c r="B2051" s="7" t="str">
        <x:v>CH-PEA-C-X3-05-5</x:v>
      </x:c>
      <x:c r="C2051" s="7" t="str">
        <x:v>PEA-C-X3</x:v>
      </x:c>
      <x:c r="D2051" s="7" t="str">
        <x:v>BLD-C</x:v>
      </x:c>
      <x:c r="E2051" s="7" t="str">
        <x:v>BL-X</x:v>
      </x:c>
      <x:c r="F2051" s="7" t="str">
        <x:v>MF-05</x:v>
      </x:c>
      <x:c r="G2051" s="7" t="str">
        <x:v>hold-up tomography</x:v>
      </x:c>
      <x:c r="H2051" s="7" t="n">
        <x:v>5</x:v>
      </x:c>
      <x:c r="I2051" s="7" t="str"/>
      <x:c r="J2051" s="7" t="str"/>
      <x:c r="K2051" s="7" t="str"/>
      <x:c r="L2051" s="7" t="str"/>
      <x:c r="M2051" s="7" t="str"/>
      <x:c r="N2051" s="7" t="str"/>
      <x:c r="O2051" s="7" t="str">
        <x:f>IF(N2051="","OPEN",IF(OR(I2051="",J2051="",K2051="",L2051="",M2051=""),"FAIL","PASS"))</x:f>
        <x:v>OPEN</x:v>
      </x:c>
    </x:row>
    <x:row r="2052">
      <x:c r="B2052" s="7" t="str">
        <x:v>CH-PEA-C-X3-05-6</x:v>
      </x:c>
      <x:c r="C2052" s="7" t="str">
        <x:v>PEA-C-X3</x:v>
      </x:c>
      <x:c r="D2052" s="7" t="str">
        <x:v>BLD-C</x:v>
      </x:c>
      <x:c r="E2052" s="7" t="str">
        <x:v>BL-X</x:v>
      </x:c>
      <x:c r="F2052" s="7" t="str">
        <x:v>MF-05</x:v>
      </x:c>
      <x:c r="G2052" s="7" t="str">
        <x:v>hold-up tomography</x:v>
      </x:c>
      <x:c r="H2052" s="7" t="n">
        <x:v>6</x:v>
      </x:c>
      <x:c r="I2052" s="7" t="str"/>
      <x:c r="J2052" s="7" t="str"/>
      <x:c r="K2052" s="7" t="str"/>
      <x:c r="L2052" s="7" t="str"/>
      <x:c r="M2052" s="7" t="str"/>
      <x:c r="N2052" s="7" t="str"/>
      <x:c r="O2052" s="7" t="str">
        <x:f>IF(N2052="","OPEN",IF(OR(I2052="",J2052="",K2052="",L2052="",M2052=""),"FAIL","PASS"))</x:f>
        <x:v>OPEN</x:v>
      </x:c>
    </x:row>
    <x:row r="2053">
      <x:c r="B2053" s="7" t="str">
        <x:v>CH-PEA-C-X3-06-1</x:v>
      </x:c>
      <x:c r="C2053" s="7" t="str">
        <x:v>PEA-C-X3</x:v>
      </x:c>
      <x:c r="D2053" s="7" t="str">
        <x:v>BLD-C</x:v>
      </x:c>
      <x:c r="E2053" s="7" t="str">
        <x:v>BL-X</x:v>
      </x:c>
      <x:c r="F2053" s="7" t="str">
        <x:v>MF-06</x:v>
      </x:c>
      <x:c r="G2053" s="7" t="str">
        <x:v>pan level</x:v>
      </x:c>
      <x:c r="H2053" s="7" t="n">
        <x:v>1</x:v>
      </x:c>
      <x:c r="I2053" s="7" t="str"/>
      <x:c r="J2053" s="7" t="str"/>
      <x:c r="K2053" s="7" t="str"/>
      <x:c r="L2053" s="7" t="str"/>
      <x:c r="M2053" s="7" t="str"/>
      <x:c r="N2053" s="7" t="str"/>
      <x:c r="O2053" s="7" t="str">
        <x:f>IF(N2053="","OPEN",IF(OR(I2053="",J2053="",K2053="",L2053="",M2053=""),"FAIL","PASS"))</x:f>
        <x:v>OPEN</x:v>
      </x:c>
    </x:row>
    <x:row r="2054">
      <x:c r="B2054" s="7" t="str">
        <x:v>CH-PEA-C-X3-06-2</x:v>
      </x:c>
      <x:c r="C2054" s="7" t="str">
        <x:v>PEA-C-X3</x:v>
      </x:c>
      <x:c r="D2054" s="7" t="str">
        <x:v>BLD-C</x:v>
      </x:c>
      <x:c r="E2054" s="7" t="str">
        <x:v>BL-X</x:v>
      </x:c>
      <x:c r="F2054" s="7" t="str">
        <x:v>MF-06</x:v>
      </x:c>
      <x:c r="G2054" s="7" t="str">
        <x:v>pan level</x:v>
      </x:c>
      <x:c r="H2054" s="7" t="n">
        <x:v>2</x:v>
      </x:c>
      <x:c r="I2054" s="7" t="str"/>
      <x:c r="J2054" s="7" t="str"/>
      <x:c r="K2054" s="7" t="str"/>
      <x:c r="L2054" s="7" t="str"/>
      <x:c r="M2054" s="7" t="str"/>
      <x:c r="N2054" s="7" t="str"/>
      <x:c r="O2054" s="7" t="str">
        <x:f>IF(N2054="","OPEN",IF(OR(I2054="",J2054="",K2054="",L2054="",M2054=""),"FAIL","PASS"))</x:f>
        <x:v>OPEN</x:v>
      </x:c>
    </x:row>
    <x:row r="2055">
      <x:c r="B2055" s="7" t="str">
        <x:v>CH-PEA-C-X3-06-3</x:v>
      </x:c>
      <x:c r="C2055" s="7" t="str">
        <x:v>PEA-C-X3</x:v>
      </x:c>
      <x:c r="D2055" s="7" t="str">
        <x:v>BLD-C</x:v>
      </x:c>
      <x:c r="E2055" s="7" t="str">
        <x:v>BL-X</x:v>
      </x:c>
      <x:c r="F2055" s="7" t="str">
        <x:v>MF-06</x:v>
      </x:c>
      <x:c r="G2055" s="7" t="str">
        <x:v>pan level</x:v>
      </x:c>
      <x:c r="H2055" s="7" t="n">
        <x:v>3</x:v>
      </x:c>
      <x:c r="I2055" s="7" t="str"/>
      <x:c r="J2055" s="7" t="str"/>
      <x:c r="K2055" s="7" t="str"/>
      <x:c r="L2055" s="7" t="str"/>
      <x:c r="M2055" s="7" t="str"/>
      <x:c r="N2055" s="7" t="str"/>
      <x:c r="O2055" s="7" t="str">
        <x:f>IF(N2055="","OPEN",IF(OR(I2055="",J2055="",K2055="",L2055="",M2055=""),"FAIL","PASS"))</x:f>
        <x:v>OPEN</x:v>
      </x:c>
    </x:row>
    <x:row r="2056">
      <x:c r="B2056" s="7" t="str">
        <x:v>CH-PEA-C-X3-06-4</x:v>
      </x:c>
      <x:c r="C2056" s="7" t="str">
        <x:v>PEA-C-X3</x:v>
      </x:c>
      <x:c r="D2056" s="7" t="str">
        <x:v>BLD-C</x:v>
      </x:c>
      <x:c r="E2056" s="7" t="str">
        <x:v>BL-X</x:v>
      </x:c>
      <x:c r="F2056" s="7" t="str">
        <x:v>MF-06</x:v>
      </x:c>
      <x:c r="G2056" s="7" t="str">
        <x:v>pan level</x:v>
      </x:c>
      <x:c r="H2056" s="7" t="n">
        <x:v>4</x:v>
      </x:c>
      <x:c r="I2056" s="7" t="str"/>
      <x:c r="J2056" s="7" t="str"/>
      <x:c r="K2056" s="7" t="str"/>
      <x:c r="L2056" s="7" t="str"/>
      <x:c r="M2056" s="7" t="str"/>
      <x:c r="N2056" s="7" t="str"/>
      <x:c r="O2056" s="7" t="str">
        <x:f>IF(N2056="","OPEN",IF(OR(I2056="",J2056="",K2056="",L2056="",M2056=""),"FAIL","PASS"))</x:f>
        <x:v>OPEN</x:v>
      </x:c>
    </x:row>
    <x:row r="2057">
      <x:c r="B2057" s="7" t="str">
        <x:v>CH-PEA-C-X3-06-5</x:v>
      </x:c>
      <x:c r="C2057" s="7" t="str">
        <x:v>PEA-C-X3</x:v>
      </x:c>
      <x:c r="D2057" s="7" t="str">
        <x:v>BLD-C</x:v>
      </x:c>
      <x:c r="E2057" s="7" t="str">
        <x:v>BL-X</x:v>
      </x:c>
      <x:c r="F2057" s="7" t="str">
        <x:v>MF-06</x:v>
      </x:c>
      <x:c r="G2057" s="7" t="str">
        <x:v>pan level</x:v>
      </x:c>
      <x:c r="H2057" s="7" t="n">
        <x:v>5</x:v>
      </x:c>
      <x:c r="I2057" s="7" t="str"/>
      <x:c r="J2057" s="7" t="str"/>
      <x:c r="K2057" s="7" t="str"/>
      <x:c r="L2057" s="7" t="str"/>
      <x:c r="M2057" s="7" t="str"/>
      <x:c r="N2057" s="7" t="str"/>
      <x:c r="O2057" s="7" t="str">
        <x:f>IF(N2057="","OPEN",IF(OR(I2057="",J2057="",K2057="",L2057="",M2057=""),"FAIL","PASS"))</x:f>
        <x:v>OPEN</x:v>
      </x:c>
    </x:row>
    <x:row r="2058">
      <x:c r="B2058" s="7" t="str">
        <x:v>CH-PEA-C-X3-06-6</x:v>
      </x:c>
      <x:c r="C2058" s="7" t="str">
        <x:v>PEA-C-X3</x:v>
      </x:c>
      <x:c r="D2058" s="7" t="str">
        <x:v>BLD-C</x:v>
      </x:c>
      <x:c r="E2058" s="7" t="str">
        <x:v>BL-X</x:v>
      </x:c>
      <x:c r="F2058" s="7" t="str">
        <x:v>MF-06</x:v>
      </x:c>
      <x:c r="G2058" s="7" t="str">
        <x:v>pan level</x:v>
      </x:c>
      <x:c r="H2058" s="7" t="n">
        <x:v>6</x:v>
      </x:c>
      <x:c r="I2058" s="7" t="str"/>
      <x:c r="J2058" s="7" t="str"/>
      <x:c r="K2058" s="7" t="str"/>
      <x:c r="L2058" s="7" t="str"/>
      <x:c r="M2058" s="7" t="str"/>
      <x:c r="N2058" s="7" t="str"/>
      <x:c r="O2058" s="7" t="str">
        <x:f>IF(N2058="","OPEN",IF(OR(I2058="",J2058="",K2058="",L2058="",M2058=""),"FAIL","PASS"))</x:f>
        <x:v>OPEN</x:v>
      </x:c>
    </x:row>
    <x:row r="2059">
      <x:c r="B2059" s="7" t="str">
        <x:v>CH-PEA-C-X3-07-1</x:v>
      </x:c>
      <x:c r="C2059" s="7" t="str">
        <x:v>PEA-C-X3</x:v>
      </x:c>
      <x:c r="D2059" s="7" t="str">
        <x:v>BLD-C</x:v>
      </x:c>
      <x:c r="E2059" s="7" t="str">
        <x:v>BL-X</x:v>
      </x:c>
      <x:c r="F2059" s="7" t="str">
        <x:v>MF-07</x:v>
      </x:c>
      <x:c r="G2059" s="7" t="str">
        <x:v>normal receiver mass</x:v>
      </x:c>
      <x:c r="H2059" s="7" t="n">
        <x:v>1</x:v>
      </x:c>
      <x:c r="I2059" s="7" t="str"/>
      <x:c r="J2059" s="7" t="str"/>
      <x:c r="K2059" s="7" t="str"/>
      <x:c r="L2059" s="7" t="str"/>
      <x:c r="M2059" s="7" t="str"/>
      <x:c r="N2059" s="7" t="str"/>
      <x:c r="O2059" s="7" t="str">
        <x:f>IF(N2059="","OPEN",IF(OR(I2059="",J2059="",K2059="",L2059="",M2059=""),"FAIL","PASS"))</x:f>
        <x:v>OPEN</x:v>
      </x:c>
    </x:row>
    <x:row r="2060">
      <x:c r="B2060" s="7" t="str">
        <x:v>CH-PEA-C-X3-07-2</x:v>
      </x:c>
      <x:c r="C2060" s="7" t="str">
        <x:v>PEA-C-X3</x:v>
      </x:c>
      <x:c r="D2060" s="7" t="str">
        <x:v>BLD-C</x:v>
      </x:c>
      <x:c r="E2060" s="7" t="str">
        <x:v>BL-X</x:v>
      </x:c>
      <x:c r="F2060" s="7" t="str">
        <x:v>MF-07</x:v>
      </x:c>
      <x:c r="G2060" s="7" t="str">
        <x:v>normal receiver mass</x:v>
      </x:c>
      <x:c r="H2060" s="7" t="n">
        <x:v>2</x:v>
      </x:c>
      <x:c r="I2060" s="7" t="str"/>
      <x:c r="J2060" s="7" t="str"/>
      <x:c r="K2060" s="7" t="str"/>
      <x:c r="L2060" s="7" t="str"/>
      <x:c r="M2060" s="7" t="str"/>
      <x:c r="N2060" s="7" t="str"/>
      <x:c r="O2060" s="7" t="str">
        <x:f>IF(N2060="","OPEN",IF(OR(I2060="",J2060="",K2060="",L2060="",M2060=""),"FAIL","PASS"))</x:f>
        <x:v>OPEN</x:v>
      </x:c>
    </x:row>
    <x:row r="2061">
      <x:c r="B2061" s="7" t="str">
        <x:v>CH-PEA-C-X3-07-3</x:v>
      </x:c>
      <x:c r="C2061" s="7" t="str">
        <x:v>PEA-C-X3</x:v>
      </x:c>
      <x:c r="D2061" s="7" t="str">
        <x:v>BLD-C</x:v>
      </x:c>
      <x:c r="E2061" s="7" t="str">
        <x:v>BL-X</x:v>
      </x:c>
      <x:c r="F2061" s="7" t="str">
        <x:v>MF-07</x:v>
      </x:c>
      <x:c r="G2061" s="7" t="str">
        <x:v>normal receiver mass</x:v>
      </x:c>
      <x:c r="H2061" s="7" t="n">
        <x:v>3</x:v>
      </x:c>
      <x:c r="I2061" s="7" t="str"/>
      <x:c r="J2061" s="7" t="str"/>
      <x:c r="K2061" s="7" t="str"/>
      <x:c r="L2061" s="7" t="str"/>
      <x:c r="M2061" s="7" t="str"/>
      <x:c r="N2061" s="7" t="str"/>
      <x:c r="O2061" s="7" t="str">
        <x:f>IF(N2061="","OPEN",IF(OR(I2061="",J2061="",K2061="",L2061="",M2061=""),"FAIL","PASS"))</x:f>
        <x:v>OPEN</x:v>
      </x:c>
    </x:row>
    <x:row r="2062">
      <x:c r="B2062" s="7" t="str">
        <x:v>CH-PEA-C-X3-07-4</x:v>
      </x:c>
      <x:c r="C2062" s="7" t="str">
        <x:v>PEA-C-X3</x:v>
      </x:c>
      <x:c r="D2062" s="7" t="str">
        <x:v>BLD-C</x:v>
      </x:c>
      <x:c r="E2062" s="7" t="str">
        <x:v>BL-X</x:v>
      </x:c>
      <x:c r="F2062" s="7" t="str">
        <x:v>MF-07</x:v>
      </x:c>
      <x:c r="G2062" s="7" t="str">
        <x:v>normal receiver mass</x:v>
      </x:c>
      <x:c r="H2062" s="7" t="n">
        <x:v>4</x:v>
      </x:c>
      <x:c r="I2062" s="7" t="str"/>
      <x:c r="J2062" s="7" t="str"/>
      <x:c r="K2062" s="7" t="str"/>
      <x:c r="L2062" s="7" t="str"/>
      <x:c r="M2062" s="7" t="str"/>
      <x:c r="N2062" s="7" t="str"/>
      <x:c r="O2062" s="7" t="str">
        <x:f>IF(N2062="","OPEN",IF(OR(I2062="",J2062="",K2062="",L2062="",M2062=""),"FAIL","PASS"))</x:f>
        <x:v>OPEN</x:v>
      </x:c>
    </x:row>
    <x:row r="2063">
      <x:c r="B2063" s="7" t="str">
        <x:v>CH-PEA-C-X3-07-5</x:v>
      </x:c>
      <x:c r="C2063" s="7" t="str">
        <x:v>PEA-C-X3</x:v>
      </x:c>
      <x:c r="D2063" s="7" t="str">
        <x:v>BLD-C</x:v>
      </x:c>
      <x:c r="E2063" s="7" t="str">
        <x:v>BL-X</x:v>
      </x:c>
      <x:c r="F2063" s="7" t="str">
        <x:v>MF-07</x:v>
      </x:c>
      <x:c r="G2063" s="7" t="str">
        <x:v>normal receiver mass</x:v>
      </x:c>
      <x:c r="H2063" s="7" t="n">
        <x:v>5</x:v>
      </x:c>
      <x:c r="I2063" s="7" t="str"/>
      <x:c r="J2063" s="7" t="str"/>
      <x:c r="K2063" s="7" t="str"/>
      <x:c r="L2063" s="7" t="str"/>
      <x:c r="M2063" s="7" t="str"/>
      <x:c r="N2063" s="7" t="str"/>
      <x:c r="O2063" s="7" t="str">
        <x:f>IF(N2063="","OPEN",IF(OR(I2063="",J2063="",K2063="",L2063="",M2063=""),"FAIL","PASS"))</x:f>
        <x:v>OPEN</x:v>
      </x:c>
    </x:row>
    <x:row r="2064">
      <x:c r="B2064" s="7" t="str">
        <x:v>CH-PEA-C-X3-07-6</x:v>
      </x:c>
      <x:c r="C2064" s="7" t="str">
        <x:v>PEA-C-X3</x:v>
      </x:c>
      <x:c r="D2064" s="7" t="str">
        <x:v>BLD-C</x:v>
      </x:c>
      <x:c r="E2064" s="7" t="str">
        <x:v>BL-X</x:v>
      </x:c>
      <x:c r="F2064" s="7" t="str">
        <x:v>MF-07</x:v>
      </x:c>
      <x:c r="G2064" s="7" t="str">
        <x:v>normal receiver mass</x:v>
      </x:c>
      <x:c r="H2064" s="7" t="n">
        <x:v>6</x:v>
      </x:c>
      <x:c r="I2064" s="7" t="str"/>
      <x:c r="J2064" s="7" t="str"/>
      <x:c r="K2064" s="7" t="str"/>
      <x:c r="L2064" s="7" t="str"/>
      <x:c r="M2064" s="7" t="str"/>
      <x:c r="N2064" s="7" t="str"/>
      <x:c r="O2064" s="7" t="str">
        <x:f>IF(N2064="","OPEN",IF(OR(I2064="",J2064="",K2064="",L2064="",M2064=""),"FAIL","PASS"))</x:f>
        <x:v>OPEN</x:v>
      </x:c>
    </x:row>
    <x:row r="2065">
      <x:c r="B2065" s="7" t="str">
        <x:v>CH-PEA-C-X3-08-1</x:v>
      </x:c>
      <x:c r="C2065" s="7" t="str">
        <x:v>PEA-C-X3</x:v>
      </x:c>
      <x:c r="D2065" s="7" t="str">
        <x:v>BLD-C</x:v>
      </x:c>
      <x:c r="E2065" s="7" t="str">
        <x:v>BL-X</x:v>
      </x:c>
      <x:c r="F2065" s="7" t="str">
        <x:v>MF-08</x:v>
      </x:c>
      <x:c r="G2065" s="7" t="str">
        <x:v>casualty receiver mass</x:v>
      </x:c>
      <x:c r="H2065" s="7" t="n">
        <x:v>1</x:v>
      </x:c>
      <x:c r="I2065" s="7" t="str"/>
      <x:c r="J2065" s="7" t="str"/>
      <x:c r="K2065" s="7" t="str"/>
      <x:c r="L2065" s="7" t="str"/>
      <x:c r="M2065" s="7" t="str"/>
      <x:c r="N2065" s="7" t="str"/>
      <x:c r="O2065" s="7" t="str">
        <x:f>IF(N2065="","OPEN",IF(OR(I2065="",J2065="",K2065="",L2065="",M2065=""),"FAIL","PASS"))</x:f>
        <x:v>OPEN</x:v>
      </x:c>
    </x:row>
    <x:row r="2066">
      <x:c r="B2066" s="7" t="str">
        <x:v>CH-PEA-C-X3-08-2</x:v>
      </x:c>
      <x:c r="C2066" s="7" t="str">
        <x:v>PEA-C-X3</x:v>
      </x:c>
      <x:c r="D2066" s="7" t="str">
        <x:v>BLD-C</x:v>
      </x:c>
      <x:c r="E2066" s="7" t="str">
        <x:v>BL-X</x:v>
      </x:c>
      <x:c r="F2066" s="7" t="str">
        <x:v>MF-08</x:v>
      </x:c>
      <x:c r="G2066" s="7" t="str">
        <x:v>casualty receiver mass</x:v>
      </x:c>
      <x:c r="H2066" s="7" t="n">
        <x:v>2</x:v>
      </x:c>
      <x:c r="I2066" s="7" t="str"/>
      <x:c r="J2066" s="7" t="str"/>
      <x:c r="K2066" s="7" t="str"/>
      <x:c r="L2066" s="7" t="str"/>
      <x:c r="M2066" s="7" t="str"/>
      <x:c r="N2066" s="7" t="str"/>
      <x:c r="O2066" s="7" t="str">
        <x:f>IF(N2066="","OPEN",IF(OR(I2066="",J2066="",K2066="",L2066="",M2066=""),"FAIL","PASS"))</x:f>
        <x:v>OPEN</x:v>
      </x:c>
    </x:row>
    <x:row r="2067">
      <x:c r="B2067" s="7" t="str">
        <x:v>CH-PEA-C-X3-08-3</x:v>
      </x:c>
      <x:c r="C2067" s="7" t="str">
        <x:v>PEA-C-X3</x:v>
      </x:c>
      <x:c r="D2067" s="7" t="str">
        <x:v>BLD-C</x:v>
      </x:c>
      <x:c r="E2067" s="7" t="str">
        <x:v>BL-X</x:v>
      </x:c>
      <x:c r="F2067" s="7" t="str">
        <x:v>MF-08</x:v>
      </x:c>
      <x:c r="G2067" s="7" t="str">
        <x:v>casualty receiver mass</x:v>
      </x:c>
      <x:c r="H2067" s="7" t="n">
        <x:v>3</x:v>
      </x:c>
      <x:c r="I2067" s="7" t="str"/>
      <x:c r="J2067" s="7" t="str"/>
      <x:c r="K2067" s="7" t="str"/>
      <x:c r="L2067" s="7" t="str"/>
      <x:c r="M2067" s="7" t="str"/>
      <x:c r="N2067" s="7" t="str"/>
      <x:c r="O2067" s="7" t="str">
        <x:f>IF(N2067="","OPEN",IF(OR(I2067="",J2067="",K2067="",L2067="",M2067=""),"FAIL","PASS"))</x:f>
        <x:v>OPEN</x:v>
      </x:c>
    </x:row>
    <x:row r="2068">
      <x:c r="B2068" s="7" t="str">
        <x:v>CH-PEA-C-X3-08-4</x:v>
      </x:c>
      <x:c r="C2068" s="7" t="str">
        <x:v>PEA-C-X3</x:v>
      </x:c>
      <x:c r="D2068" s="7" t="str">
        <x:v>BLD-C</x:v>
      </x:c>
      <x:c r="E2068" s="7" t="str">
        <x:v>BL-X</x:v>
      </x:c>
      <x:c r="F2068" s="7" t="str">
        <x:v>MF-08</x:v>
      </x:c>
      <x:c r="G2068" s="7" t="str">
        <x:v>casualty receiver mass</x:v>
      </x:c>
      <x:c r="H2068" s="7" t="n">
        <x:v>4</x:v>
      </x:c>
      <x:c r="I2068" s="7" t="str"/>
      <x:c r="J2068" s="7" t="str"/>
      <x:c r="K2068" s="7" t="str"/>
      <x:c r="L2068" s="7" t="str"/>
      <x:c r="M2068" s="7" t="str"/>
      <x:c r="N2068" s="7" t="str"/>
      <x:c r="O2068" s="7" t="str">
        <x:f>IF(N2068="","OPEN",IF(OR(I2068="",J2068="",K2068="",L2068="",M2068=""),"FAIL","PASS"))</x:f>
        <x:v>OPEN</x:v>
      </x:c>
    </x:row>
    <x:row r="2069">
      <x:c r="B2069" s="7" t="str">
        <x:v>CH-PEA-C-X3-08-5</x:v>
      </x:c>
      <x:c r="C2069" s="7" t="str">
        <x:v>PEA-C-X3</x:v>
      </x:c>
      <x:c r="D2069" s="7" t="str">
        <x:v>BLD-C</x:v>
      </x:c>
      <x:c r="E2069" s="7" t="str">
        <x:v>BL-X</x:v>
      </x:c>
      <x:c r="F2069" s="7" t="str">
        <x:v>MF-08</x:v>
      </x:c>
      <x:c r="G2069" s="7" t="str">
        <x:v>casualty receiver mass</x:v>
      </x:c>
      <x:c r="H2069" s="7" t="n">
        <x:v>5</x:v>
      </x:c>
      <x:c r="I2069" s="7" t="str"/>
      <x:c r="J2069" s="7" t="str"/>
      <x:c r="K2069" s="7" t="str"/>
      <x:c r="L2069" s="7" t="str"/>
      <x:c r="M2069" s="7" t="str"/>
      <x:c r="N2069" s="7" t="str"/>
      <x:c r="O2069" s="7" t="str">
        <x:f>IF(N2069="","OPEN",IF(OR(I2069="",J2069="",K2069="",L2069="",M2069=""),"FAIL","PASS"))</x:f>
        <x:v>OPEN</x:v>
      </x:c>
    </x:row>
    <x:row r="2070">
      <x:c r="B2070" s="7" t="str">
        <x:v>CH-PEA-C-X3-08-6</x:v>
      </x:c>
      <x:c r="C2070" s="7" t="str">
        <x:v>PEA-C-X3</x:v>
      </x:c>
      <x:c r="D2070" s="7" t="str">
        <x:v>BLD-C</x:v>
      </x:c>
      <x:c r="E2070" s="7" t="str">
        <x:v>BL-X</x:v>
      </x:c>
      <x:c r="F2070" s="7" t="str">
        <x:v>MF-08</x:v>
      </x:c>
      <x:c r="G2070" s="7" t="str">
        <x:v>casualty receiver mass</x:v>
      </x:c>
      <x:c r="H2070" s="7" t="n">
        <x:v>6</x:v>
      </x:c>
      <x:c r="I2070" s="7" t="str"/>
      <x:c r="J2070" s="7" t="str"/>
      <x:c r="K2070" s="7" t="str"/>
      <x:c r="L2070" s="7" t="str"/>
      <x:c r="M2070" s="7" t="str"/>
      <x:c r="N2070" s="7" t="str"/>
      <x:c r="O2070" s="7" t="str">
        <x:f>IF(N2070="","OPEN",IF(OR(I2070="",J2070="",K2070="",L2070="",M2070=""),"FAIL","PASS"))</x:f>
        <x:v>OPEN</x:v>
      </x:c>
    </x:row>
    <x:row r="2071">
      <x:c r="B2071" s="7" t="str">
        <x:v>CH-PEA-C-X3-09-1</x:v>
      </x:c>
      <x:c r="C2071" s="7" t="str">
        <x:v>PEA-C-X3</x:v>
      </x:c>
      <x:c r="D2071" s="7" t="str">
        <x:v>BLD-C</x:v>
      </x:c>
      <x:c r="E2071" s="7" t="str">
        <x:v>BL-X</x:v>
      </x:c>
      <x:c r="F2071" s="7" t="str">
        <x:v>MF-09</x:v>
      </x:c>
      <x:c r="G2071" s="7" t="str">
        <x:v>geometry and slope</x:v>
      </x:c>
      <x:c r="H2071" s="7" t="n">
        <x:v>1</x:v>
      </x:c>
      <x:c r="I2071" s="7" t="str"/>
      <x:c r="J2071" s="7" t="str"/>
      <x:c r="K2071" s="7" t="str"/>
      <x:c r="L2071" s="7" t="str"/>
      <x:c r="M2071" s="7" t="str"/>
      <x:c r="N2071" s="7" t="str"/>
      <x:c r="O2071" s="7" t="str">
        <x:f>IF(N2071="","OPEN",IF(OR(I2071="",J2071="",K2071="",L2071="",M2071=""),"FAIL","PASS"))</x:f>
        <x:v>OPEN</x:v>
      </x:c>
    </x:row>
    <x:row r="2072">
      <x:c r="B2072" s="7" t="str">
        <x:v>CH-PEA-C-X3-09-2</x:v>
      </x:c>
      <x:c r="C2072" s="7" t="str">
        <x:v>PEA-C-X3</x:v>
      </x:c>
      <x:c r="D2072" s="7" t="str">
        <x:v>BLD-C</x:v>
      </x:c>
      <x:c r="E2072" s="7" t="str">
        <x:v>BL-X</x:v>
      </x:c>
      <x:c r="F2072" s="7" t="str">
        <x:v>MF-09</x:v>
      </x:c>
      <x:c r="G2072" s="7" t="str">
        <x:v>geometry and slope</x:v>
      </x:c>
      <x:c r="H2072" s="7" t="n">
        <x:v>2</x:v>
      </x:c>
      <x:c r="I2072" s="7" t="str"/>
      <x:c r="J2072" s="7" t="str"/>
      <x:c r="K2072" s="7" t="str"/>
      <x:c r="L2072" s="7" t="str"/>
      <x:c r="M2072" s="7" t="str"/>
      <x:c r="N2072" s="7" t="str"/>
      <x:c r="O2072" s="7" t="str">
        <x:f>IF(N2072="","OPEN",IF(OR(I2072="",J2072="",K2072="",L2072="",M2072=""),"FAIL","PASS"))</x:f>
        <x:v>OPEN</x:v>
      </x:c>
    </x:row>
    <x:row r="2073">
      <x:c r="B2073" s="7" t="str">
        <x:v>CH-PEA-C-X3-09-3</x:v>
      </x:c>
      <x:c r="C2073" s="7" t="str">
        <x:v>PEA-C-X3</x:v>
      </x:c>
      <x:c r="D2073" s="7" t="str">
        <x:v>BLD-C</x:v>
      </x:c>
      <x:c r="E2073" s="7" t="str">
        <x:v>BL-X</x:v>
      </x:c>
      <x:c r="F2073" s="7" t="str">
        <x:v>MF-09</x:v>
      </x:c>
      <x:c r="G2073" s="7" t="str">
        <x:v>geometry and slope</x:v>
      </x:c>
      <x:c r="H2073" s="7" t="n">
        <x:v>3</x:v>
      </x:c>
      <x:c r="I2073" s="7" t="str"/>
      <x:c r="J2073" s="7" t="str"/>
      <x:c r="K2073" s="7" t="str"/>
      <x:c r="L2073" s="7" t="str"/>
      <x:c r="M2073" s="7" t="str"/>
      <x:c r="N2073" s="7" t="str"/>
      <x:c r="O2073" s="7" t="str">
        <x:f>IF(N2073="","OPEN",IF(OR(I2073="",J2073="",K2073="",L2073="",M2073=""),"FAIL","PASS"))</x:f>
        <x:v>OPEN</x:v>
      </x:c>
    </x:row>
    <x:row r="2074">
      <x:c r="B2074" s="7" t="str">
        <x:v>CH-PEA-C-X3-09-4</x:v>
      </x:c>
      <x:c r="C2074" s="7" t="str">
        <x:v>PEA-C-X3</x:v>
      </x:c>
      <x:c r="D2074" s="7" t="str">
        <x:v>BLD-C</x:v>
      </x:c>
      <x:c r="E2074" s="7" t="str">
        <x:v>BL-X</x:v>
      </x:c>
      <x:c r="F2074" s="7" t="str">
        <x:v>MF-09</x:v>
      </x:c>
      <x:c r="G2074" s="7" t="str">
        <x:v>geometry and slope</x:v>
      </x:c>
      <x:c r="H2074" s="7" t="n">
        <x:v>4</x:v>
      </x:c>
      <x:c r="I2074" s="7" t="str"/>
      <x:c r="J2074" s="7" t="str"/>
      <x:c r="K2074" s="7" t="str"/>
      <x:c r="L2074" s="7" t="str"/>
      <x:c r="M2074" s="7" t="str"/>
      <x:c r="N2074" s="7" t="str"/>
      <x:c r="O2074" s="7" t="str">
        <x:f>IF(N2074="","OPEN",IF(OR(I2074="",J2074="",K2074="",L2074="",M2074=""),"FAIL","PASS"))</x:f>
        <x:v>OPEN</x:v>
      </x:c>
    </x:row>
    <x:row r="2075">
      <x:c r="B2075" s="7" t="str">
        <x:v>CH-PEA-C-X3-09-5</x:v>
      </x:c>
      <x:c r="C2075" s="7" t="str">
        <x:v>PEA-C-X3</x:v>
      </x:c>
      <x:c r="D2075" s="7" t="str">
        <x:v>BLD-C</x:v>
      </x:c>
      <x:c r="E2075" s="7" t="str">
        <x:v>BL-X</x:v>
      </x:c>
      <x:c r="F2075" s="7" t="str">
        <x:v>MF-09</x:v>
      </x:c>
      <x:c r="G2075" s="7" t="str">
        <x:v>geometry and slope</x:v>
      </x:c>
      <x:c r="H2075" s="7" t="n">
        <x:v>5</x:v>
      </x:c>
      <x:c r="I2075" s="7" t="str"/>
      <x:c r="J2075" s="7" t="str"/>
      <x:c r="K2075" s="7" t="str"/>
      <x:c r="L2075" s="7" t="str"/>
      <x:c r="M2075" s="7" t="str"/>
      <x:c r="N2075" s="7" t="str"/>
      <x:c r="O2075" s="7" t="str">
        <x:f>IF(N2075="","OPEN",IF(OR(I2075="",J2075="",K2075="",L2075="",M2075=""),"FAIL","PASS"))</x:f>
        <x:v>OPEN</x:v>
      </x:c>
    </x:row>
    <x:row r="2076">
      <x:c r="B2076" s="7" t="str">
        <x:v>CH-PEA-C-X3-09-6</x:v>
      </x:c>
      <x:c r="C2076" s="7" t="str">
        <x:v>PEA-C-X3</x:v>
      </x:c>
      <x:c r="D2076" s="7" t="str">
        <x:v>BLD-C</x:v>
      </x:c>
      <x:c r="E2076" s="7" t="str">
        <x:v>BL-X</x:v>
      </x:c>
      <x:c r="F2076" s="7" t="str">
        <x:v>MF-09</x:v>
      </x:c>
      <x:c r="G2076" s="7" t="str">
        <x:v>geometry and slope</x:v>
      </x:c>
      <x:c r="H2076" s="7" t="n">
        <x:v>6</x:v>
      </x:c>
      <x:c r="I2076" s="7" t="str"/>
      <x:c r="J2076" s="7" t="str"/>
      <x:c r="K2076" s="7" t="str"/>
      <x:c r="L2076" s="7" t="str"/>
      <x:c r="M2076" s="7" t="str"/>
      <x:c r="N2076" s="7" t="str"/>
      <x:c r="O2076" s="7" t="str">
        <x:f>IF(N2076="","OPEN",IF(OR(I2076="",J2076="",K2076="",L2076="",M2076=""),"FAIL","PASS"))</x:f>
        <x:v>OPEN</x:v>
      </x:c>
    </x:row>
    <x:row r="2077">
      <x:c r="B2077" s="7" t="str">
        <x:v>CH-PEA-C-X3-10-1</x:v>
      </x:c>
      <x:c r="C2077" s="7" t="str">
        <x:v>PEA-C-X3</x:v>
      </x:c>
      <x:c r="D2077" s="7" t="str">
        <x:v>BLD-C</x:v>
      </x:c>
      <x:c r="E2077" s="7" t="str">
        <x:v>BL-X</x:v>
      </x:c>
      <x:c r="F2077" s="7" t="str">
        <x:v>MF-10</x:v>
      </x:c>
      <x:c r="G2077" s="7" t="str">
        <x:v>normal-source path state</x:v>
      </x:c>
      <x:c r="H2077" s="7" t="n">
        <x:v>1</x:v>
      </x:c>
      <x:c r="I2077" s="7" t="str"/>
      <x:c r="J2077" s="7" t="str"/>
      <x:c r="K2077" s="7" t="str"/>
      <x:c r="L2077" s="7" t="str"/>
      <x:c r="M2077" s="7" t="str"/>
      <x:c r="N2077" s="7" t="str"/>
      <x:c r="O2077" s="7" t="str">
        <x:f>IF(N2077="","OPEN",IF(OR(I2077="",J2077="",K2077="",L2077="",M2077=""),"FAIL","PASS"))</x:f>
        <x:v>OPEN</x:v>
      </x:c>
    </x:row>
    <x:row r="2078">
      <x:c r="B2078" s="7" t="str">
        <x:v>CH-PEA-C-X3-10-2</x:v>
      </x:c>
      <x:c r="C2078" s="7" t="str">
        <x:v>PEA-C-X3</x:v>
      </x:c>
      <x:c r="D2078" s="7" t="str">
        <x:v>BLD-C</x:v>
      </x:c>
      <x:c r="E2078" s="7" t="str">
        <x:v>BL-X</x:v>
      </x:c>
      <x:c r="F2078" s="7" t="str">
        <x:v>MF-10</x:v>
      </x:c>
      <x:c r="G2078" s="7" t="str">
        <x:v>normal-source path state</x:v>
      </x:c>
      <x:c r="H2078" s="7" t="n">
        <x:v>2</x:v>
      </x:c>
      <x:c r="I2078" s="7" t="str"/>
      <x:c r="J2078" s="7" t="str"/>
      <x:c r="K2078" s="7" t="str"/>
      <x:c r="L2078" s="7" t="str"/>
      <x:c r="M2078" s="7" t="str"/>
      <x:c r="N2078" s="7" t="str"/>
      <x:c r="O2078" s="7" t="str">
        <x:f>IF(N2078="","OPEN",IF(OR(I2078="",J2078="",K2078="",L2078="",M2078=""),"FAIL","PASS"))</x:f>
        <x:v>OPEN</x:v>
      </x:c>
    </x:row>
    <x:row r="2079">
      <x:c r="B2079" s="7" t="str">
        <x:v>CH-PEA-C-X3-10-3</x:v>
      </x:c>
      <x:c r="C2079" s="7" t="str">
        <x:v>PEA-C-X3</x:v>
      </x:c>
      <x:c r="D2079" s="7" t="str">
        <x:v>BLD-C</x:v>
      </x:c>
      <x:c r="E2079" s="7" t="str">
        <x:v>BL-X</x:v>
      </x:c>
      <x:c r="F2079" s="7" t="str">
        <x:v>MF-10</x:v>
      </x:c>
      <x:c r="G2079" s="7" t="str">
        <x:v>normal-source path state</x:v>
      </x:c>
      <x:c r="H2079" s="7" t="n">
        <x:v>3</x:v>
      </x:c>
      <x:c r="I2079" s="7" t="str"/>
      <x:c r="J2079" s="7" t="str"/>
      <x:c r="K2079" s="7" t="str"/>
      <x:c r="L2079" s="7" t="str"/>
      <x:c r="M2079" s="7" t="str"/>
      <x:c r="N2079" s="7" t="str"/>
      <x:c r="O2079" s="7" t="str">
        <x:f>IF(N2079="","OPEN",IF(OR(I2079="",J2079="",K2079="",L2079="",M2079=""),"FAIL","PASS"))</x:f>
        <x:v>OPEN</x:v>
      </x:c>
    </x:row>
    <x:row r="2080">
      <x:c r="B2080" s="7" t="str">
        <x:v>CH-PEA-C-X3-10-4</x:v>
      </x:c>
      <x:c r="C2080" s="7" t="str">
        <x:v>PEA-C-X3</x:v>
      </x:c>
      <x:c r="D2080" s="7" t="str">
        <x:v>BLD-C</x:v>
      </x:c>
      <x:c r="E2080" s="7" t="str">
        <x:v>BL-X</x:v>
      </x:c>
      <x:c r="F2080" s="7" t="str">
        <x:v>MF-10</x:v>
      </x:c>
      <x:c r="G2080" s="7" t="str">
        <x:v>normal-source path state</x:v>
      </x:c>
      <x:c r="H2080" s="7" t="n">
        <x:v>4</x:v>
      </x:c>
      <x:c r="I2080" s="7" t="str"/>
      <x:c r="J2080" s="7" t="str"/>
      <x:c r="K2080" s="7" t="str"/>
      <x:c r="L2080" s="7" t="str"/>
      <x:c r="M2080" s="7" t="str"/>
      <x:c r="N2080" s="7" t="str"/>
      <x:c r="O2080" s="7" t="str">
        <x:f>IF(N2080="","OPEN",IF(OR(I2080="",J2080="",K2080="",L2080="",M2080=""),"FAIL","PASS"))</x:f>
        <x:v>OPEN</x:v>
      </x:c>
    </x:row>
    <x:row r="2081">
      <x:c r="B2081" s="7" t="str">
        <x:v>CH-PEA-C-X3-10-5</x:v>
      </x:c>
      <x:c r="C2081" s="7" t="str">
        <x:v>PEA-C-X3</x:v>
      </x:c>
      <x:c r="D2081" s="7" t="str">
        <x:v>BLD-C</x:v>
      </x:c>
      <x:c r="E2081" s="7" t="str">
        <x:v>BL-X</x:v>
      </x:c>
      <x:c r="F2081" s="7" t="str">
        <x:v>MF-10</x:v>
      </x:c>
      <x:c r="G2081" s="7" t="str">
        <x:v>normal-source path state</x:v>
      </x:c>
      <x:c r="H2081" s="7" t="n">
        <x:v>5</x:v>
      </x:c>
      <x:c r="I2081" s="7" t="str"/>
      <x:c r="J2081" s="7" t="str"/>
      <x:c r="K2081" s="7" t="str"/>
      <x:c r="L2081" s="7" t="str"/>
      <x:c r="M2081" s="7" t="str"/>
      <x:c r="N2081" s="7" t="str"/>
      <x:c r="O2081" s="7" t="str">
        <x:f>IF(N2081="","OPEN",IF(OR(I2081="",J2081="",K2081="",L2081="",M2081=""),"FAIL","PASS"))</x:f>
        <x:v>OPEN</x:v>
      </x:c>
    </x:row>
    <x:row r="2082">
      <x:c r="B2082" s="7" t="str">
        <x:v>CH-PEA-C-X3-10-6</x:v>
      </x:c>
      <x:c r="C2082" s="7" t="str">
        <x:v>PEA-C-X3</x:v>
      </x:c>
      <x:c r="D2082" s="7" t="str">
        <x:v>BLD-C</x:v>
      </x:c>
      <x:c r="E2082" s="7" t="str">
        <x:v>BL-X</x:v>
      </x:c>
      <x:c r="F2082" s="7" t="str">
        <x:v>MF-10</x:v>
      </x:c>
      <x:c r="G2082" s="7" t="str">
        <x:v>normal-source path state</x:v>
      </x:c>
      <x:c r="H2082" s="7" t="n">
        <x:v>6</x:v>
      </x:c>
      <x:c r="I2082" s="7" t="str"/>
      <x:c r="J2082" s="7" t="str"/>
      <x:c r="K2082" s="7" t="str"/>
      <x:c r="L2082" s="7" t="str"/>
      <x:c r="M2082" s="7" t="str"/>
      <x:c r="N2082" s="7" t="str"/>
      <x:c r="O2082" s="7" t="str">
        <x:f>IF(N2082="","OPEN",IF(OR(I2082="",J2082="",K2082="",L2082="",M2082=""),"FAIL","PASS"))</x:f>
        <x:v>OPEN</x:v>
      </x:c>
    </x:row>
    <x:row r="2083">
      <x:c r="B2083" s="7" t="str">
        <x:v>CH-PEA-C-X3-11-1</x:v>
      </x:c>
      <x:c r="C2083" s="7" t="str">
        <x:v>PEA-C-X3</x:v>
      </x:c>
      <x:c r="D2083" s="7" t="str">
        <x:v>BLD-C</x:v>
      </x:c>
      <x:c r="E2083" s="7" t="str">
        <x:v>BL-X</x:v>
      </x:c>
      <x:c r="F2083" s="7" t="str">
        <x:v>MF-11</x:v>
      </x:c>
      <x:c r="G2083" s="7" t="str">
        <x:v>casualty-source path state</x:v>
      </x:c>
      <x:c r="H2083" s="7" t="n">
        <x:v>1</x:v>
      </x:c>
      <x:c r="I2083" s="7" t="str"/>
      <x:c r="J2083" s="7" t="str"/>
      <x:c r="K2083" s="7" t="str"/>
      <x:c r="L2083" s="7" t="str"/>
      <x:c r="M2083" s="7" t="str"/>
      <x:c r="N2083" s="7" t="str"/>
      <x:c r="O2083" s="7" t="str">
        <x:f>IF(N2083="","OPEN",IF(OR(I2083="",J2083="",K2083="",L2083="",M2083=""),"FAIL","PASS"))</x:f>
        <x:v>OPEN</x:v>
      </x:c>
    </x:row>
    <x:row r="2084">
      <x:c r="B2084" s="7" t="str">
        <x:v>CH-PEA-C-X3-11-2</x:v>
      </x:c>
      <x:c r="C2084" s="7" t="str">
        <x:v>PEA-C-X3</x:v>
      </x:c>
      <x:c r="D2084" s="7" t="str">
        <x:v>BLD-C</x:v>
      </x:c>
      <x:c r="E2084" s="7" t="str">
        <x:v>BL-X</x:v>
      </x:c>
      <x:c r="F2084" s="7" t="str">
        <x:v>MF-11</x:v>
      </x:c>
      <x:c r="G2084" s="7" t="str">
        <x:v>casualty-source path state</x:v>
      </x:c>
      <x:c r="H2084" s="7" t="n">
        <x:v>2</x:v>
      </x:c>
      <x:c r="I2084" s="7" t="str"/>
      <x:c r="J2084" s="7" t="str"/>
      <x:c r="K2084" s="7" t="str"/>
      <x:c r="L2084" s="7" t="str"/>
      <x:c r="M2084" s="7" t="str"/>
      <x:c r="N2084" s="7" t="str"/>
      <x:c r="O2084" s="7" t="str">
        <x:f>IF(N2084="","OPEN",IF(OR(I2084="",J2084="",K2084="",L2084="",M2084=""),"FAIL","PASS"))</x:f>
        <x:v>OPEN</x:v>
      </x:c>
    </x:row>
    <x:row r="2085">
      <x:c r="B2085" s="7" t="str">
        <x:v>CH-PEA-C-X3-11-3</x:v>
      </x:c>
      <x:c r="C2085" s="7" t="str">
        <x:v>PEA-C-X3</x:v>
      </x:c>
      <x:c r="D2085" s="7" t="str">
        <x:v>BLD-C</x:v>
      </x:c>
      <x:c r="E2085" s="7" t="str">
        <x:v>BL-X</x:v>
      </x:c>
      <x:c r="F2085" s="7" t="str">
        <x:v>MF-11</x:v>
      </x:c>
      <x:c r="G2085" s="7" t="str">
        <x:v>casualty-source path state</x:v>
      </x:c>
      <x:c r="H2085" s="7" t="n">
        <x:v>3</x:v>
      </x:c>
      <x:c r="I2085" s="7" t="str"/>
      <x:c r="J2085" s="7" t="str"/>
      <x:c r="K2085" s="7" t="str"/>
      <x:c r="L2085" s="7" t="str"/>
      <x:c r="M2085" s="7" t="str"/>
      <x:c r="N2085" s="7" t="str"/>
      <x:c r="O2085" s="7" t="str">
        <x:f>IF(N2085="","OPEN",IF(OR(I2085="",J2085="",K2085="",L2085="",M2085=""),"FAIL","PASS"))</x:f>
        <x:v>OPEN</x:v>
      </x:c>
    </x:row>
    <x:row r="2086">
      <x:c r="B2086" s="7" t="str">
        <x:v>CH-PEA-C-X3-11-4</x:v>
      </x:c>
      <x:c r="C2086" s="7" t="str">
        <x:v>PEA-C-X3</x:v>
      </x:c>
      <x:c r="D2086" s="7" t="str">
        <x:v>BLD-C</x:v>
      </x:c>
      <x:c r="E2086" s="7" t="str">
        <x:v>BL-X</x:v>
      </x:c>
      <x:c r="F2086" s="7" t="str">
        <x:v>MF-11</x:v>
      </x:c>
      <x:c r="G2086" s="7" t="str">
        <x:v>casualty-source path state</x:v>
      </x:c>
      <x:c r="H2086" s="7" t="n">
        <x:v>4</x:v>
      </x:c>
      <x:c r="I2086" s="7" t="str"/>
      <x:c r="J2086" s="7" t="str"/>
      <x:c r="K2086" s="7" t="str"/>
      <x:c r="L2086" s="7" t="str"/>
      <x:c r="M2086" s="7" t="str"/>
      <x:c r="N2086" s="7" t="str"/>
      <x:c r="O2086" s="7" t="str">
        <x:f>IF(N2086="","OPEN",IF(OR(I2086="",J2086="",K2086="",L2086="",M2086=""),"FAIL","PASS"))</x:f>
        <x:v>OPEN</x:v>
      </x:c>
    </x:row>
    <x:row r="2087">
      <x:c r="B2087" s="7" t="str">
        <x:v>CH-PEA-C-X3-11-5</x:v>
      </x:c>
      <x:c r="C2087" s="7" t="str">
        <x:v>PEA-C-X3</x:v>
      </x:c>
      <x:c r="D2087" s="7" t="str">
        <x:v>BLD-C</x:v>
      </x:c>
      <x:c r="E2087" s="7" t="str">
        <x:v>BL-X</x:v>
      </x:c>
      <x:c r="F2087" s="7" t="str">
        <x:v>MF-11</x:v>
      </x:c>
      <x:c r="G2087" s="7" t="str">
        <x:v>casualty-source path state</x:v>
      </x:c>
      <x:c r="H2087" s="7" t="n">
        <x:v>5</x:v>
      </x:c>
      <x:c r="I2087" s="7" t="str"/>
      <x:c r="J2087" s="7" t="str"/>
      <x:c r="K2087" s="7" t="str"/>
      <x:c r="L2087" s="7" t="str"/>
      <x:c r="M2087" s="7" t="str"/>
      <x:c r="N2087" s="7" t="str"/>
      <x:c r="O2087" s="7" t="str">
        <x:f>IF(N2087="","OPEN",IF(OR(I2087="",J2087="",K2087="",L2087="",M2087=""),"FAIL","PASS"))</x:f>
        <x:v>OPEN</x:v>
      </x:c>
    </x:row>
    <x:row r="2088">
      <x:c r="B2088" s="7" t="str">
        <x:v>CH-PEA-C-X3-11-6</x:v>
      </x:c>
      <x:c r="C2088" s="7" t="str">
        <x:v>PEA-C-X3</x:v>
      </x:c>
      <x:c r="D2088" s="7" t="str">
        <x:v>BLD-C</x:v>
      </x:c>
      <x:c r="E2088" s="7" t="str">
        <x:v>BL-X</x:v>
      </x:c>
      <x:c r="F2088" s="7" t="str">
        <x:v>MF-11</x:v>
      </x:c>
      <x:c r="G2088" s="7" t="str">
        <x:v>casualty-source path state</x:v>
      </x:c>
      <x:c r="H2088" s="7" t="n">
        <x:v>6</x:v>
      </x:c>
      <x:c r="I2088" s="7" t="str"/>
      <x:c r="J2088" s="7" t="str"/>
      <x:c r="K2088" s="7" t="str"/>
      <x:c r="L2088" s="7" t="str"/>
      <x:c r="M2088" s="7" t="str"/>
      <x:c r="N2088" s="7" t="str"/>
      <x:c r="O2088" s="7" t="str">
        <x:f>IF(N2088="","OPEN",IF(OR(I2088="",J2088="",K2088="",L2088="",M2088=""),"FAIL","PASS"))</x:f>
        <x:v>OPEN</x:v>
      </x:c>
    </x:row>
    <x:row r="2089">
      <x:c r="B2089" s="7" t="str">
        <x:v>CH-PEA-C-X3-12-1</x:v>
      </x:c>
      <x:c r="C2089" s="7" t="str">
        <x:v>PEA-C-X3</x:v>
      </x:c>
      <x:c r="D2089" s="7" t="str">
        <x:v>BLD-C</x:v>
      </x:c>
      <x:c r="E2089" s="7" t="str">
        <x:v>BL-X</x:v>
      </x:c>
      <x:c r="F2089" s="7" t="str">
        <x:v>MF-12</x:v>
      </x:c>
      <x:c r="G2089" s="7" t="str">
        <x:v>candidate-water path state</x:v>
      </x:c>
      <x:c r="H2089" s="7" t="n">
        <x:v>1</x:v>
      </x:c>
      <x:c r="I2089" s="7" t="str"/>
      <x:c r="J2089" s="7" t="str"/>
      <x:c r="K2089" s="7" t="str"/>
      <x:c r="L2089" s="7" t="str"/>
      <x:c r="M2089" s="7" t="str"/>
      <x:c r="N2089" s="7" t="str"/>
      <x:c r="O2089" s="7" t="str">
        <x:f>IF(N2089="","OPEN",IF(OR(I2089="",J2089="",K2089="",L2089="",M2089=""),"FAIL","PASS"))</x:f>
        <x:v>OPEN</x:v>
      </x:c>
    </x:row>
    <x:row r="2090">
      <x:c r="B2090" s="7" t="str">
        <x:v>CH-PEA-C-X3-12-2</x:v>
      </x:c>
      <x:c r="C2090" s="7" t="str">
        <x:v>PEA-C-X3</x:v>
      </x:c>
      <x:c r="D2090" s="7" t="str">
        <x:v>BLD-C</x:v>
      </x:c>
      <x:c r="E2090" s="7" t="str">
        <x:v>BL-X</x:v>
      </x:c>
      <x:c r="F2090" s="7" t="str">
        <x:v>MF-12</x:v>
      </x:c>
      <x:c r="G2090" s="7" t="str">
        <x:v>candidate-water path state</x:v>
      </x:c>
      <x:c r="H2090" s="7" t="n">
        <x:v>2</x:v>
      </x:c>
      <x:c r="I2090" s="7" t="str"/>
      <x:c r="J2090" s="7" t="str"/>
      <x:c r="K2090" s="7" t="str"/>
      <x:c r="L2090" s="7" t="str"/>
      <x:c r="M2090" s="7" t="str"/>
      <x:c r="N2090" s="7" t="str"/>
      <x:c r="O2090" s="7" t="str">
        <x:f>IF(N2090="","OPEN",IF(OR(I2090="",J2090="",K2090="",L2090="",M2090=""),"FAIL","PASS"))</x:f>
        <x:v>OPEN</x:v>
      </x:c>
    </x:row>
    <x:row r="2091">
      <x:c r="B2091" s="7" t="str">
        <x:v>CH-PEA-C-X3-12-3</x:v>
      </x:c>
      <x:c r="C2091" s="7" t="str">
        <x:v>PEA-C-X3</x:v>
      </x:c>
      <x:c r="D2091" s="7" t="str">
        <x:v>BLD-C</x:v>
      </x:c>
      <x:c r="E2091" s="7" t="str">
        <x:v>BL-X</x:v>
      </x:c>
      <x:c r="F2091" s="7" t="str">
        <x:v>MF-12</x:v>
      </x:c>
      <x:c r="G2091" s="7" t="str">
        <x:v>candidate-water path state</x:v>
      </x:c>
      <x:c r="H2091" s="7" t="n">
        <x:v>3</x:v>
      </x:c>
      <x:c r="I2091" s="7" t="str"/>
      <x:c r="J2091" s="7" t="str"/>
      <x:c r="K2091" s="7" t="str"/>
      <x:c r="L2091" s="7" t="str"/>
      <x:c r="M2091" s="7" t="str"/>
      <x:c r="N2091" s="7" t="str"/>
      <x:c r="O2091" s="7" t="str">
        <x:f>IF(N2091="","OPEN",IF(OR(I2091="",J2091="",K2091="",L2091="",M2091=""),"FAIL","PASS"))</x:f>
        <x:v>OPEN</x:v>
      </x:c>
    </x:row>
    <x:row r="2092">
      <x:c r="B2092" s="7" t="str">
        <x:v>CH-PEA-C-X3-12-4</x:v>
      </x:c>
      <x:c r="C2092" s="7" t="str">
        <x:v>PEA-C-X3</x:v>
      </x:c>
      <x:c r="D2092" s="7" t="str">
        <x:v>BLD-C</x:v>
      </x:c>
      <x:c r="E2092" s="7" t="str">
        <x:v>BL-X</x:v>
      </x:c>
      <x:c r="F2092" s="7" t="str">
        <x:v>MF-12</x:v>
      </x:c>
      <x:c r="G2092" s="7" t="str">
        <x:v>candidate-water path state</x:v>
      </x:c>
      <x:c r="H2092" s="7" t="n">
        <x:v>4</x:v>
      </x:c>
      <x:c r="I2092" s="7" t="str"/>
      <x:c r="J2092" s="7" t="str"/>
      <x:c r="K2092" s="7" t="str"/>
      <x:c r="L2092" s="7" t="str"/>
      <x:c r="M2092" s="7" t="str"/>
      <x:c r="N2092" s="7" t="str"/>
      <x:c r="O2092" s="7" t="str">
        <x:f>IF(N2092="","OPEN",IF(OR(I2092="",J2092="",K2092="",L2092="",M2092=""),"FAIL","PASS"))</x:f>
        <x:v>OPEN</x:v>
      </x:c>
    </x:row>
    <x:row r="2093">
      <x:c r="B2093" s="7" t="str">
        <x:v>CH-PEA-C-X3-12-5</x:v>
      </x:c>
      <x:c r="C2093" s="7" t="str">
        <x:v>PEA-C-X3</x:v>
      </x:c>
      <x:c r="D2093" s="7" t="str">
        <x:v>BLD-C</x:v>
      </x:c>
      <x:c r="E2093" s="7" t="str">
        <x:v>BL-X</x:v>
      </x:c>
      <x:c r="F2093" s="7" t="str">
        <x:v>MF-12</x:v>
      </x:c>
      <x:c r="G2093" s="7" t="str">
        <x:v>candidate-water path state</x:v>
      </x:c>
      <x:c r="H2093" s="7" t="n">
        <x:v>5</x:v>
      </x:c>
      <x:c r="I2093" s="7" t="str"/>
      <x:c r="J2093" s="7" t="str"/>
      <x:c r="K2093" s="7" t="str"/>
      <x:c r="L2093" s="7" t="str"/>
      <x:c r="M2093" s="7" t="str"/>
      <x:c r="N2093" s="7" t="str"/>
      <x:c r="O2093" s="7" t="str">
        <x:f>IF(N2093="","OPEN",IF(OR(I2093="",J2093="",K2093="",L2093="",M2093=""),"FAIL","PASS"))</x:f>
        <x:v>OPEN</x:v>
      </x:c>
    </x:row>
    <x:row r="2094">
      <x:c r="B2094" s="7" t="str">
        <x:v>CH-PEA-C-X3-12-6</x:v>
      </x:c>
      <x:c r="C2094" s="7" t="str">
        <x:v>PEA-C-X3</x:v>
      </x:c>
      <x:c r="D2094" s="7" t="str">
        <x:v>BLD-C</x:v>
      </x:c>
      <x:c r="E2094" s="7" t="str">
        <x:v>BL-X</x:v>
      </x:c>
      <x:c r="F2094" s="7" t="str">
        <x:v>MF-12</x:v>
      </x:c>
      <x:c r="G2094" s="7" t="str">
        <x:v>candidate-water path state</x:v>
      </x:c>
      <x:c r="H2094" s="7" t="n">
        <x:v>6</x:v>
      </x:c>
      <x:c r="I2094" s="7" t="str"/>
      <x:c r="J2094" s="7" t="str"/>
      <x:c r="K2094" s="7" t="str"/>
      <x:c r="L2094" s="7" t="str"/>
      <x:c r="M2094" s="7" t="str"/>
      <x:c r="N2094" s="7" t="str"/>
      <x:c r="O2094" s="7" t="str">
        <x:f>IF(N2094="","OPEN",IF(OR(I2094="",J2094="",K2094="",L2094="",M2094=""),"FAIL","PASS"))</x:f>
        <x:v>OPEN</x:v>
      </x:c>
    </x:row>
    <x:row r="2095">
      <x:c r="B2095" s="7" t="str">
        <x:v>CH-PEA-C-X3-13-1</x:v>
      </x:c>
      <x:c r="C2095" s="7" t="str">
        <x:v>PEA-C-X3</x:v>
      </x:c>
      <x:c r="D2095" s="7" t="str">
        <x:v>BLD-C</x:v>
      </x:c>
      <x:c r="E2095" s="7" t="str">
        <x:v>BL-X</x:v>
      </x:c>
      <x:c r="F2095" s="7" t="str">
        <x:v>MF-13</x:v>
      </x:c>
      <x:c r="G2095" s="7" t="str">
        <x:v>final-element reference</x:v>
      </x:c>
      <x:c r="H2095" s="7" t="n">
        <x:v>1</x:v>
      </x:c>
      <x:c r="I2095" s="7" t="str"/>
      <x:c r="J2095" s="7" t="str"/>
      <x:c r="K2095" s="7" t="str"/>
      <x:c r="L2095" s="7" t="str"/>
      <x:c r="M2095" s="7" t="str"/>
      <x:c r="N2095" s="7" t="str"/>
      <x:c r="O2095" s="7" t="str">
        <x:f>IF(N2095="","OPEN",IF(OR(I2095="",J2095="",K2095="",L2095="",M2095=""),"FAIL","PASS"))</x:f>
        <x:v>OPEN</x:v>
      </x:c>
    </x:row>
    <x:row r="2096">
      <x:c r="B2096" s="7" t="str">
        <x:v>CH-PEA-C-X3-13-2</x:v>
      </x:c>
      <x:c r="C2096" s="7" t="str">
        <x:v>PEA-C-X3</x:v>
      </x:c>
      <x:c r="D2096" s="7" t="str">
        <x:v>BLD-C</x:v>
      </x:c>
      <x:c r="E2096" s="7" t="str">
        <x:v>BL-X</x:v>
      </x:c>
      <x:c r="F2096" s="7" t="str">
        <x:v>MF-13</x:v>
      </x:c>
      <x:c r="G2096" s="7" t="str">
        <x:v>final-element reference</x:v>
      </x:c>
      <x:c r="H2096" s="7" t="n">
        <x:v>2</x:v>
      </x:c>
      <x:c r="I2096" s="7" t="str"/>
      <x:c r="J2096" s="7" t="str"/>
      <x:c r="K2096" s="7" t="str"/>
      <x:c r="L2096" s="7" t="str"/>
      <x:c r="M2096" s="7" t="str"/>
      <x:c r="N2096" s="7" t="str"/>
      <x:c r="O2096" s="7" t="str">
        <x:f>IF(N2096="","OPEN",IF(OR(I2096="",J2096="",K2096="",L2096="",M2096=""),"FAIL","PASS"))</x:f>
        <x:v>OPEN</x:v>
      </x:c>
    </x:row>
    <x:row r="2097">
      <x:c r="B2097" s="7" t="str">
        <x:v>CH-PEA-C-X3-13-3</x:v>
      </x:c>
      <x:c r="C2097" s="7" t="str">
        <x:v>PEA-C-X3</x:v>
      </x:c>
      <x:c r="D2097" s="7" t="str">
        <x:v>BLD-C</x:v>
      </x:c>
      <x:c r="E2097" s="7" t="str">
        <x:v>BL-X</x:v>
      </x:c>
      <x:c r="F2097" s="7" t="str">
        <x:v>MF-13</x:v>
      </x:c>
      <x:c r="G2097" s="7" t="str">
        <x:v>final-element reference</x:v>
      </x:c>
      <x:c r="H2097" s="7" t="n">
        <x:v>3</x:v>
      </x:c>
      <x:c r="I2097" s="7" t="str"/>
      <x:c r="J2097" s="7" t="str"/>
      <x:c r="K2097" s="7" t="str"/>
      <x:c r="L2097" s="7" t="str"/>
      <x:c r="M2097" s="7" t="str"/>
      <x:c r="N2097" s="7" t="str"/>
      <x:c r="O2097" s="7" t="str">
        <x:f>IF(N2097="","OPEN",IF(OR(I2097="",J2097="",K2097="",L2097="",M2097=""),"FAIL","PASS"))</x:f>
        <x:v>OPEN</x:v>
      </x:c>
    </x:row>
    <x:row r="2098">
      <x:c r="B2098" s="7" t="str">
        <x:v>CH-PEA-C-X3-13-4</x:v>
      </x:c>
      <x:c r="C2098" s="7" t="str">
        <x:v>PEA-C-X3</x:v>
      </x:c>
      <x:c r="D2098" s="7" t="str">
        <x:v>BLD-C</x:v>
      </x:c>
      <x:c r="E2098" s="7" t="str">
        <x:v>BL-X</x:v>
      </x:c>
      <x:c r="F2098" s="7" t="str">
        <x:v>MF-13</x:v>
      </x:c>
      <x:c r="G2098" s="7" t="str">
        <x:v>final-element reference</x:v>
      </x:c>
      <x:c r="H2098" s="7" t="n">
        <x:v>4</x:v>
      </x:c>
      <x:c r="I2098" s="7" t="str"/>
      <x:c r="J2098" s="7" t="str"/>
      <x:c r="K2098" s="7" t="str"/>
      <x:c r="L2098" s="7" t="str"/>
      <x:c r="M2098" s="7" t="str"/>
      <x:c r="N2098" s="7" t="str"/>
      <x:c r="O2098" s="7" t="str">
        <x:f>IF(N2098="","OPEN",IF(OR(I2098="",J2098="",K2098="",L2098="",M2098=""),"FAIL","PASS"))</x:f>
        <x:v>OPEN</x:v>
      </x:c>
    </x:row>
    <x:row r="2099">
      <x:c r="B2099" s="7" t="str">
        <x:v>CH-PEA-C-X3-13-5</x:v>
      </x:c>
      <x:c r="C2099" s="7" t="str">
        <x:v>PEA-C-X3</x:v>
      </x:c>
      <x:c r="D2099" s="7" t="str">
        <x:v>BLD-C</x:v>
      </x:c>
      <x:c r="E2099" s="7" t="str">
        <x:v>BL-X</x:v>
      </x:c>
      <x:c r="F2099" s="7" t="str">
        <x:v>MF-13</x:v>
      </x:c>
      <x:c r="G2099" s="7" t="str">
        <x:v>final-element reference</x:v>
      </x:c>
      <x:c r="H2099" s="7" t="n">
        <x:v>5</x:v>
      </x:c>
      <x:c r="I2099" s="7" t="str"/>
      <x:c r="J2099" s="7" t="str"/>
      <x:c r="K2099" s="7" t="str"/>
      <x:c r="L2099" s="7" t="str"/>
      <x:c r="M2099" s="7" t="str"/>
      <x:c r="N2099" s="7" t="str"/>
      <x:c r="O2099" s="7" t="str">
        <x:f>IF(N2099="","OPEN",IF(OR(I2099="",J2099="",K2099="",L2099="",M2099=""),"FAIL","PASS"))</x:f>
        <x:v>OPEN</x:v>
      </x:c>
    </x:row>
    <x:row r="2100">
      <x:c r="B2100" s="7" t="str">
        <x:v>CH-PEA-C-X3-13-6</x:v>
      </x:c>
      <x:c r="C2100" s="7" t="str">
        <x:v>PEA-C-X3</x:v>
      </x:c>
      <x:c r="D2100" s="7" t="str">
        <x:v>BLD-C</x:v>
      </x:c>
      <x:c r="E2100" s="7" t="str">
        <x:v>BL-X</x:v>
      </x:c>
      <x:c r="F2100" s="7" t="str">
        <x:v>MF-13</x:v>
      </x:c>
      <x:c r="G2100" s="7" t="str">
        <x:v>final-element reference</x:v>
      </x:c>
      <x:c r="H2100" s="7" t="n">
        <x:v>6</x:v>
      </x:c>
      <x:c r="I2100" s="7" t="str"/>
      <x:c r="J2100" s="7" t="str"/>
      <x:c r="K2100" s="7" t="str"/>
      <x:c r="L2100" s="7" t="str"/>
      <x:c r="M2100" s="7" t="str"/>
      <x:c r="N2100" s="7" t="str"/>
      <x:c r="O2100" s="7" t="str">
        <x:f>IF(N2100="","OPEN",IF(OR(I2100="",J2100="",K2100="",L2100="",M2100=""),"FAIL","PASS"))</x:f>
        <x:v>OPEN</x:v>
      </x:c>
    </x:row>
    <x:row r="2101">
      <x:c r="B2101" s="7" t="str">
        <x:v>CH-PEA-C-X3-14-1</x:v>
      </x:c>
      <x:c r="C2101" s="7" t="str">
        <x:v>PEA-C-X3</x:v>
      </x:c>
      <x:c r="D2101" s="7" t="str">
        <x:v>BLD-C</x:v>
      </x:c>
      <x:c r="E2101" s="7" t="str">
        <x:v>BL-X</x:v>
      </x:c>
      <x:c r="F2101" s="7" t="str">
        <x:v>MF-14</x:v>
      </x:c>
      <x:c r="G2101" s="7" t="str">
        <x:v>causal time</x:v>
      </x:c>
      <x:c r="H2101" s="7" t="n">
        <x:v>1</x:v>
      </x:c>
      <x:c r="I2101" s="7" t="str"/>
      <x:c r="J2101" s="7" t="str"/>
      <x:c r="K2101" s="7" t="str"/>
      <x:c r="L2101" s="7" t="str"/>
      <x:c r="M2101" s="7" t="str"/>
      <x:c r="N2101" s="7" t="str"/>
      <x:c r="O2101" s="7" t="str">
        <x:f>IF(N2101="","OPEN",IF(OR(I2101="",J2101="",K2101="",L2101="",M2101=""),"FAIL","PASS"))</x:f>
        <x:v>OPEN</x:v>
      </x:c>
    </x:row>
    <x:row r="2102">
      <x:c r="B2102" s="7" t="str">
        <x:v>CH-PEA-C-X3-14-2</x:v>
      </x:c>
      <x:c r="C2102" s="7" t="str">
        <x:v>PEA-C-X3</x:v>
      </x:c>
      <x:c r="D2102" s="7" t="str">
        <x:v>BLD-C</x:v>
      </x:c>
      <x:c r="E2102" s="7" t="str">
        <x:v>BL-X</x:v>
      </x:c>
      <x:c r="F2102" s="7" t="str">
        <x:v>MF-14</x:v>
      </x:c>
      <x:c r="G2102" s="7" t="str">
        <x:v>causal time</x:v>
      </x:c>
      <x:c r="H2102" s="7" t="n">
        <x:v>2</x:v>
      </x:c>
      <x:c r="I2102" s="7" t="str"/>
      <x:c r="J2102" s="7" t="str"/>
      <x:c r="K2102" s="7" t="str"/>
      <x:c r="L2102" s="7" t="str"/>
      <x:c r="M2102" s="7" t="str"/>
      <x:c r="N2102" s="7" t="str"/>
      <x:c r="O2102" s="7" t="str">
        <x:f>IF(N2102="","OPEN",IF(OR(I2102="",J2102="",K2102="",L2102="",M2102=""),"FAIL","PASS"))</x:f>
        <x:v>OPEN</x:v>
      </x:c>
    </x:row>
    <x:row r="2103">
      <x:c r="B2103" s="7" t="str">
        <x:v>CH-PEA-C-X3-14-3</x:v>
      </x:c>
      <x:c r="C2103" s="7" t="str">
        <x:v>PEA-C-X3</x:v>
      </x:c>
      <x:c r="D2103" s="7" t="str">
        <x:v>BLD-C</x:v>
      </x:c>
      <x:c r="E2103" s="7" t="str">
        <x:v>BL-X</x:v>
      </x:c>
      <x:c r="F2103" s="7" t="str">
        <x:v>MF-14</x:v>
      </x:c>
      <x:c r="G2103" s="7" t="str">
        <x:v>causal time</x:v>
      </x:c>
      <x:c r="H2103" s="7" t="n">
        <x:v>3</x:v>
      </x:c>
      <x:c r="I2103" s="7" t="str"/>
      <x:c r="J2103" s="7" t="str"/>
      <x:c r="K2103" s="7" t="str"/>
      <x:c r="L2103" s="7" t="str"/>
      <x:c r="M2103" s="7" t="str"/>
      <x:c r="N2103" s="7" t="str"/>
      <x:c r="O2103" s="7" t="str">
        <x:f>IF(N2103="","OPEN",IF(OR(I2103="",J2103="",K2103="",L2103="",M2103=""),"FAIL","PASS"))</x:f>
        <x:v>OPEN</x:v>
      </x:c>
    </x:row>
    <x:row r="2104">
      <x:c r="B2104" s="7" t="str">
        <x:v>CH-PEA-C-X3-14-4</x:v>
      </x:c>
      <x:c r="C2104" s="7" t="str">
        <x:v>PEA-C-X3</x:v>
      </x:c>
      <x:c r="D2104" s="7" t="str">
        <x:v>BLD-C</x:v>
      </x:c>
      <x:c r="E2104" s="7" t="str">
        <x:v>BL-X</x:v>
      </x:c>
      <x:c r="F2104" s="7" t="str">
        <x:v>MF-14</x:v>
      </x:c>
      <x:c r="G2104" s="7" t="str">
        <x:v>causal time</x:v>
      </x:c>
      <x:c r="H2104" s="7" t="n">
        <x:v>4</x:v>
      </x:c>
      <x:c r="I2104" s="7" t="str"/>
      <x:c r="J2104" s="7" t="str"/>
      <x:c r="K2104" s="7" t="str"/>
      <x:c r="L2104" s="7" t="str"/>
      <x:c r="M2104" s="7" t="str"/>
      <x:c r="N2104" s="7" t="str"/>
      <x:c r="O2104" s="7" t="str">
        <x:f>IF(N2104="","OPEN",IF(OR(I2104="",J2104="",K2104="",L2104="",M2104=""),"FAIL","PASS"))</x:f>
        <x:v>OPEN</x:v>
      </x:c>
    </x:row>
    <x:row r="2105">
      <x:c r="B2105" s="7" t="str">
        <x:v>CH-PEA-C-X3-14-5</x:v>
      </x:c>
      <x:c r="C2105" s="7" t="str">
        <x:v>PEA-C-X3</x:v>
      </x:c>
      <x:c r="D2105" s="7" t="str">
        <x:v>BLD-C</x:v>
      </x:c>
      <x:c r="E2105" s="7" t="str">
        <x:v>BL-X</x:v>
      </x:c>
      <x:c r="F2105" s="7" t="str">
        <x:v>MF-14</x:v>
      </x:c>
      <x:c r="G2105" s="7" t="str">
        <x:v>causal time</x:v>
      </x:c>
      <x:c r="H2105" s="7" t="n">
        <x:v>5</x:v>
      </x:c>
      <x:c r="I2105" s="7" t="str"/>
      <x:c r="J2105" s="7" t="str"/>
      <x:c r="K2105" s="7" t="str"/>
      <x:c r="L2105" s="7" t="str"/>
      <x:c r="M2105" s="7" t="str"/>
      <x:c r="N2105" s="7" t="str"/>
      <x:c r="O2105" s="7" t="str">
        <x:f>IF(N2105="","OPEN",IF(OR(I2105="",J2105="",K2105="",L2105="",M2105=""),"FAIL","PASS"))</x:f>
        <x:v>OPEN</x:v>
      </x:c>
    </x:row>
    <x:row r="2106">
      <x:c r="B2106" s="7" t="str">
        <x:v>CH-PEA-C-X3-14-6</x:v>
      </x:c>
      <x:c r="C2106" s="7" t="str">
        <x:v>PEA-C-X3</x:v>
      </x:c>
      <x:c r="D2106" s="7" t="str">
        <x:v>BLD-C</x:v>
      </x:c>
      <x:c r="E2106" s="7" t="str">
        <x:v>BL-X</x:v>
      </x:c>
      <x:c r="F2106" s="7" t="str">
        <x:v>MF-14</x:v>
      </x:c>
      <x:c r="G2106" s="7" t="str">
        <x:v>causal time</x:v>
      </x:c>
      <x:c r="H2106" s="7" t="n">
        <x:v>6</x:v>
      </x:c>
      <x:c r="I2106" s="7" t="str"/>
      <x:c r="J2106" s="7" t="str"/>
      <x:c r="K2106" s="7" t="str"/>
      <x:c r="L2106" s="7" t="str"/>
      <x:c r="M2106" s="7" t="str"/>
      <x:c r="N2106" s="7" t="str"/>
      <x:c r="O2106" s="7" t="str">
        <x:f>IF(N2106="","OPEN",IF(OR(I2106="",J2106="",K2106="",L2106="",M2106=""),"FAIL","PASS"))</x:f>
        <x:v>OPEN</x:v>
      </x:c>
    </x:row>
    <x:row r="2107">
      <x:c r="B2107" s="7" t="str">
        <x:v>CH-PEA-C-X3-15-1</x:v>
      </x:c>
      <x:c r="C2107" s="7" t="str">
        <x:v>PEA-C-X3</x:v>
      </x:c>
      <x:c r="D2107" s="7" t="str">
        <x:v>BLD-C</x:v>
      </x:c>
      <x:c r="E2107" s="7" t="str">
        <x:v>BL-X</x:v>
      </x:c>
      <x:c r="F2107" s="7" t="str">
        <x:v>MF-15</x:v>
      </x:c>
      <x:c r="G2107" s="7" t="str">
        <x:v>source motive energy</x:v>
      </x:c>
      <x:c r="H2107" s="7" t="n">
        <x:v>1</x:v>
      </x:c>
      <x:c r="I2107" s="7" t="str"/>
      <x:c r="J2107" s="7" t="str"/>
      <x:c r="K2107" s="7" t="str"/>
      <x:c r="L2107" s="7" t="str"/>
      <x:c r="M2107" s="7" t="str"/>
      <x:c r="N2107" s="7" t="str"/>
      <x:c r="O2107" s="7" t="str">
        <x:f>IF(N2107="","OPEN",IF(OR(I2107="",J2107="",K2107="",L2107="",M2107=""),"FAIL","PASS"))</x:f>
        <x:v>OPEN</x:v>
      </x:c>
    </x:row>
    <x:row r="2108">
      <x:c r="B2108" s="7" t="str">
        <x:v>CH-PEA-C-X3-15-2</x:v>
      </x:c>
      <x:c r="C2108" s="7" t="str">
        <x:v>PEA-C-X3</x:v>
      </x:c>
      <x:c r="D2108" s="7" t="str">
        <x:v>BLD-C</x:v>
      </x:c>
      <x:c r="E2108" s="7" t="str">
        <x:v>BL-X</x:v>
      </x:c>
      <x:c r="F2108" s="7" t="str">
        <x:v>MF-15</x:v>
      </x:c>
      <x:c r="G2108" s="7" t="str">
        <x:v>source motive energy</x:v>
      </x:c>
      <x:c r="H2108" s="7" t="n">
        <x:v>2</x:v>
      </x:c>
      <x:c r="I2108" s="7" t="str"/>
      <x:c r="J2108" s="7" t="str"/>
      <x:c r="K2108" s="7" t="str"/>
      <x:c r="L2108" s="7" t="str"/>
      <x:c r="M2108" s="7" t="str"/>
      <x:c r="N2108" s="7" t="str"/>
      <x:c r="O2108" s="7" t="str">
        <x:f>IF(N2108="","OPEN",IF(OR(I2108="",J2108="",K2108="",L2108="",M2108=""),"FAIL","PASS"))</x:f>
        <x:v>OPEN</x:v>
      </x:c>
    </x:row>
    <x:row r="2109">
      <x:c r="B2109" s="7" t="str">
        <x:v>CH-PEA-C-X3-15-3</x:v>
      </x:c>
      <x:c r="C2109" s="7" t="str">
        <x:v>PEA-C-X3</x:v>
      </x:c>
      <x:c r="D2109" s="7" t="str">
        <x:v>BLD-C</x:v>
      </x:c>
      <x:c r="E2109" s="7" t="str">
        <x:v>BL-X</x:v>
      </x:c>
      <x:c r="F2109" s="7" t="str">
        <x:v>MF-15</x:v>
      </x:c>
      <x:c r="G2109" s="7" t="str">
        <x:v>source motive energy</x:v>
      </x:c>
      <x:c r="H2109" s="7" t="n">
        <x:v>3</x:v>
      </x:c>
      <x:c r="I2109" s="7" t="str"/>
      <x:c r="J2109" s="7" t="str"/>
      <x:c r="K2109" s="7" t="str"/>
      <x:c r="L2109" s="7" t="str"/>
      <x:c r="M2109" s="7" t="str"/>
      <x:c r="N2109" s="7" t="str"/>
      <x:c r="O2109" s="7" t="str">
        <x:f>IF(N2109="","OPEN",IF(OR(I2109="",J2109="",K2109="",L2109="",M2109=""),"FAIL","PASS"))</x:f>
        <x:v>OPEN</x:v>
      </x:c>
    </x:row>
    <x:row r="2110">
      <x:c r="B2110" s="7" t="str">
        <x:v>CH-PEA-C-X3-15-4</x:v>
      </x:c>
      <x:c r="C2110" s="7" t="str">
        <x:v>PEA-C-X3</x:v>
      </x:c>
      <x:c r="D2110" s="7" t="str">
        <x:v>BLD-C</x:v>
      </x:c>
      <x:c r="E2110" s="7" t="str">
        <x:v>BL-X</x:v>
      </x:c>
      <x:c r="F2110" s="7" t="str">
        <x:v>MF-15</x:v>
      </x:c>
      <x:c r="G2110" s="7" t="str">
        <x:v>source motive energy</x:v>
      </x:c>
      <x:c r="H2110" s="7" t="n">
        <x:v>4</x:v>
      </x:c>
      <x:c r="I2110" s="7" t="str"/>
      <x:c r="J2110" s="7" t="str"/>
      <x:c r="K2110" s="7" t="str"/>
      <x:c r="L2110" s="7" t="str"/>
      <x:c r="M2110" s="7" t="str"/>
      <x:c r="N2110" s="7" t="str"/>
      <x:c r="O2110" s="7" t="str">
        <x:f>IF(N2110="","OPEN",IF(OR(I2110="",J2110="",K2110="",L2110="",M2110=""),"FAIL","PASS"))</x:f>
        <x:v>OPEN</x:v>
      </x:c>
    </x:row>
    <x:row r="2111">
      <x:c r="B2111" s="7" t="str">
        <x:v>CH-PEA-C-X3-15-5</x:v>
      </x:c>
      <x:c r="C2111" s="7" t="str">
        <x:v>PEA-C-X3</x:v>
      </x:c>
      <x:c r="D2111" s="7" t="str">
        <x:v>BLD-C</x:v>
      </x:c>
      <x:c r="E2111" s="7" t="str">
        <x:v>BL-X</x:v>
      </x:c>
      <x:c r="F2111" s="7" t="str">
        <x:v>MF-15</x:v>
      </x:c>
      <x:c r="G2111" s="7" t="str">
        <x:v>source motive energy</x:v>
      </x:c>
      <x:c r="H2111" s="7" t="n">
        <x:v>5</x:v>
      </x:c>
      <x:c r="I2111" s="7" t="str"/>
      <x:c r="J2111" s="7" t="str"/>
      <x:c r="K2111" s="7" t="str"/>
      <x:c r="L2111" s="7" t="str"/>
      <x:c r="M2111" s="7" t="str"/>
      <x:c r="N2111" s="7" t="str"/>
      <x:c r="O2111" s="7" t="str">
        <x:f>IF(N2111="","OPEN",IF(OR(I2111="",J2111="",K2111="",L2111="",M2111=""),"FAIL","PASS"))</x:f>
        <x:v>OPEN</x:v>
      </x:c>
    </x:row>
    <x:row r="2112">
      <x:c r="B2112" s="7" t="str">
        <x:v>CH-PEA-C-X3-15-6</x:v>
      </x:c>
      <x:c r="C2112" s="7" t="str">
        <x:v>PEA-C-X3</x:v>
      </x:c>
      <x:c r="D2112" s="7" t="str">
        <x:v>BLD-C</x:v>
      </x:c>
      <x:c r="E2112" s="7" t="str">
        <x:v>BL-X</x:v>
      </x:c>
      <x:c r="F2112" s="7" t="str">
        <x:v>MF-15</x:v>
      </x:c>
      <x:c r="G2112" s="7" t="str">
        <x:v>source motive energy</x:v>
      </x:c>
      <x:c r="H2112" s="7" t="n">
        <x:v>6</x:v>
      </x:c>
      <x:c r="I2112" s="7" t="str"/>
      <x:c r="J2112" s="7" t="str"/>
      <x:c r="K2112" s="7" t="str"/>
      <x:c r="L2112" s="7" t="str"/>
      <x:c r="M2112" s="7" t="str"/>
      <x:c r="N2112" s="7" t="str"/>
      <x:c r="O2112" s="7" t="str">
        <x:f>IF(N2112="","OPEN",IF(OR(I2112="",J2112="",K2112="",L2112="",M2112=""),"FAIL","PASS"))</x:f>
        <x:v>OPEN</x:v>
      </x:c>
    </x:row>
    <x:row r="2113">
      <x:c r="B2113" s="7" t="str">
        <x:v>CH-PEA-C-X3-16-1</x:v>
      </x:c>
      <x:c r="C2113" s="7" t="str">
        <x:v>PEA-C-X3</x:v>
      </x:c>
      <x:c r="D2113" s="7" t="str">
        <x:v>BLD-C</x:v>
      </x:c>
      <x:c r="E2113" s="7" t="str">
        <x:v>BL-X</x:v>
      </x:c>
      <x:c r="F2113" s="7" t="str">
        <x:v>MF-16</x:v>
      </x:c>
      <x:c r="G2113" s="7" t="str">
        <x:v>water motive energy</x:v>
      </x:c>
      <x:c r="H2113" s="7" t="n">
        <x:v>1</x:v>
      </x:c>
      <x:c r="I2113" s="7" t="str"/>
      <x:c r="J2113" s="7" t="str"/>
      <x:c r="K2113" s="7" t="str"/>
      <x:c r="L2113" s="7" t="str"/>
      <x:c r="M2113" s="7" t="str"/>
      <x:c r="N2113" s="7" t="str"/>
      <x:c r="O2113" s="7" t="str">
        <x:f>IF(N2113="","OPEN",IF(OR(I2113="",J2113="",K2113="",L2113="",M2113=""),"FAIL","PASS"))</x:f>
        <x:v>OPEN</x:v>
      </x:c>
    </x:row>
    <x:row r="2114">
      <x:c r="B2114" s="7" t="str">
        <x:v>CH-PEA-C-X3-16-2</x:v>
      </x:c>
      <x:c r="C2114" s="7" t="str">
        <x:v>PEA-C-X3</x:v>
      </x:c>
      <x:c r="D2114" s="7" t="str">
        <x:v>BLD-C</x:v>
      </x:c>
      <x:c r="E2114" s="7" t="str">
        <x:v>BL-X</x:v>
      </x:c>
      <x:c r="F2114" s="7" t="str">
        <x:v>MF-16</x:v>
      </x:c>
      <x:c r="G2114" s="7" t="str">
        <x:v>water motive energy</x:v>
      </x:c>
      <x:c r="H2114" s="7" t="n">
        <x:v>2</x:v>
      </x:c>
      <x:c r="I2114" s="7" t="str"/>
      <x:c r="J2114" s="7" t="str"/>
      <x:c r="K2114" s="7" t="str"/>
      <x:c r="L2114" s="7" t="str"/>
      <x:c r="M2114" s="7" t="str"/>
      <x:c r="N2114" s="7" t="str"/>
      <x:c r="O2114" s="7" t="str">
        <x:f>IF(N2114="","OPEN",IF(OR(I2114="",J2114="",K2114="",L2114="",M2114=""),"FAIL","PASS"))</x:f>
        <x:v>OPEN</x:v>
      </x:c>
    </x:row>
    <x:row r="2115">
      <x:c r="B2115" s="7" t="str">
        <x:v>CH-PEA-C-X3-16-3</x:v>
      </x:c>
      <x:c r="C2115" s="7" t="str">
        <x:v>PEA-C-X3</x:v>
      </x:c>
      <x:c r="D2115" s="7" t="str">
        <x:v>BLD-C</x:v>
      </x:c>
      <x:c r="E2115" s="7" t="str">
        <x:v>BL-X</x:v>
      </x:c>
      <x:c r="F2115" s="7" t="str">
        <x:v>MF-16</x:v>
      </x:c>
      <x:c r="G2115" s="7" t="str">
        <x:v>water motive energy</x:v>
      </x:c>
      <x:c r="H2115" s="7" t="n">
        <x:v>3</x:v>
      </x:c>
      <x:c r="I2115" s="7" t="str"/>
      <x:c r="J2115" s="7" t="str"/>
      <x:c r="K2115" s="7" t="str"/>
      <x:c r="L2115" s="7" t="str"/>
      <x:c r="M2115" s="7" t="str"/>
      <x:c r="N2115" s="7" t="str"/>
      <x:c r="O2115" s="7" t="str">
        <x:f>IF(N2115="","OPEN",IF(OR(I2115="",J2115="",K2115="",L2115="",M2115=""),"FAIL","PASS"))</x:f>
        <x:v>OPEN</x:v>
      </x:c>
    </x:row>
    <x:row r="2116">
      <x:c r="B2116" s="7" t="str">
        <x:v>CH-PEA-C-X3-16-4</x:v>
      </x:c>
      <x:c r="C2116" s="7" t="str">
        <x:v>PEA-C-X3</x:v>
      </x:c>
      <x:c r="D2116" s="7" t="str">
        <x:v>BLD-C</x:v>
      </x:c>
      <x:c r="E2116" s="7" t="str">
        <x:v>BL-X</x:v>
      </x:c>
      <x:c r="F2116" s="7" t="str">
        <x:v>MF-16</x:v>
      </x:c>
      <x:c r="G2116" s="7" t="str">
        <x:v>water motive energy</x:v>
      </x:c>
      <x:c r="H2116" s="7" t="n">
        <x:v>4</x:v>
      </x:c>
      <x:c r="I2116" s="7" t="str"/>
      <x:c r="J2116" s="7" t="str"/>
      <x:c r="K2116" s="7" t="str"/>
      <x:c r="L2116" s="7" t="str"/>
      <x:c r="M2116" s="7" t="str"/>
      <x:c r="N2116" s="7" t="str"/>
      <x:c r="O2116" s="7" t="str">
        <x:f>IF(N2116="","OPEN",IF(OR(I2116="",J2116="",K2116="",L2116="",M2116=""),"FAIL","PASS"))</x:f>
        <x:v>OPEN</x:v>
      </x:c>
    </x:row>
    <x:row r="2117">
      <x:c r="B2117" s="7" t="str">
        <x:v>CH-PEA-C-X3-16-5</x:v>
      </x:c>
      <x:c r="C2117" s="7" t="str">
        <x:v>PEA-C-X3</x:v>
      </x:c>
      <x:c r="D2117" s="7" t="str">
        <x:v>BLD-C</x:v>
      </x:c>
      <x:c r="E2117" s="7" t="str">
        <x:v>BL-X</x:v>
      </x:c>
      <x:c r="F2117" s="7" t="str">
        <x:v>MF-16</x:v>
      </x:c>
      <x:c r="G2117" s="7" t="str">
        <x:v>water motive energy</x:v>
      </x:c>
      <x:c r="H2117" s="7" t="n">
        <x:v>5</x:v>
      </x:c>
      <x:c r="I2117" s="7" t="str"/>
      <x:c r="J2117" s="7" t="str"/>
      <x:c r="K2117" s="7" t="str"/>
      <x:c r="L2117" s="7" t="str"/>
      <x:c r="M2117" s="7" t="str"/>
      <x:c r="N2117" s="7" t="str"/>
      <x:c r="O2117" s="7" t="str">
        <x:f>IF(N2117="","OPEN",IF(OR(I2117="",J2117="",K2117="",L2117="",M2117=""),"FAIL","PASS"))</x:f>
        <x:v>OPEN</x:v>
      </x:c>
    </x:row>
    <x:row r="2118">
      <x:c r="B2118" s="7" t="str">
        <x:v>CH-PEA-C-X3-16-6</x:v>
      </x:c>
      <x:c r="C2118" s="7" t="str">
        <x:v>PEA-C-X3</x:v>
      </x:c>
      <x:c r="D2118" s="7" t="str">
        <x:v>BLD-C</x:v>
      </x:c>
      <x:c r="E2118" s="7" t="str">
        <x:v>BL-X</x:v>
      </x:c>
      <x:c r="F2118" s="7" t="str">
        <x:v>MF-16</x:v>
      </x:c>
      <x:c r="G2118" s="7" t="str">
        <x:v>water motive energy</x:v>
      </x:c>
      <x:c r="H2118" s="7" t="n">
        <x:v>6</x:v>
      </x:c>
      <x:c r="I2118" s="7" t="str"/>
      <x:c r="J2118" s="7" t="str"/>
      <x:c r="K2118" s="7" t="str"/>
      <x:c r="L2118" s="7" t="str"/>
      <x:c r="M2118" s="7" t="str"/>
      <x:c r="N2118" s="7" t="str"/>
      <x:c r="O2118" s="7" t="str">
        <x:f>IF(N2118="","OPEN",IF(OR(I2118="",J2118="",K2118="",L2118="",M2118=""),"FAIL","PASS"))</x:f>
        <x:v>OPEN</x:v>
      </x:c>
    </x:row>
    <x:row r="2119">
      <x:c r="B2119" s="7" t="str">
        <x:v>CH-PEA-C-X3-17-1</x:v>
      </x:c>
      <x:c r="C2119" s="7" t="str">
        <x:v>PEA-C-X3</x:v>
      </x:c>
      <x:c r="D2119" s="7" t="str">
        <x:v>BLD-C</x:v>
      </x:c>
      <x:c r="E2119" s="7" t="str">
        <x:v>BL-X</x:v>
      </x:c>
      <x:c r="F2119" s="7" t="str">
        <x:v>MF-17</x:v>
      </x:c>
      <x:c r="G2119" s="7" t="str">
        <x:v>normal power</x:v>
      </x:c>
      <x:c r="H2119" s="7" t="n">
        <x:v>1</x:v>
      </x:c>
      <x:c r="I2119" s="7" t="str"/>
      <x:c r="J2119" s="7" t="str"/>
      <x:c r="K2119" s="7" t="str"/>
      <x:c r="L2119" s="7" t="str"/>
      <x:c r="M2119" s="7" t="str"/>
      <x:c r="N2119" s="7" t="str"/>
      <x:c r="O2119" s="7" t="str">
        <x:f>IF(N2119="","OPEN",IF(OR(I2119="",J2119="",K2119="",L2119="",M2119=""),"FAIL","PASS"))</x:f>
        <x:v>OPEN</x:v>
      </x:c>
    </x:row>
    <x:row r="2120">
      <x:c r="B2120" s="7" t="str">
        <x:v>CH-PEA-C-X3-17-2</x:v>
      </x:c>
      <x:c r="C2120" s="7" t="str">
        <x:v>PEA-C-X3</x:v>
      </x:c>
      <x:c r="D2120" s="7" t="str">
        <x:v>BLD-C</x:v>
      </x:c>
      <x:c r="E2120" s="7" t="str">
        <x:v>BL-X</x:v>
      </x:c>
      <x:c r="F2120" s="7" t="str">
        <x:v>MF-17</x:v>
      </x:c>
      <x:c r="G2120" s="7" t="str">
        <x:v>normal power</x:v>
      </x:c>
      <x:c r="H2120" s="7" t="n">
        <x:v>2</x:v>
      </x:c>
      <x:c r="I2120" s="7" t="str"/>
      <x:c r="J2120" s="7" t="str"/>
      <x:c r="K2120" s="7" t="str"/>
      <x:c r="L2120" s="7" t="str"/>
      <x:c r="M2120" s="7" t="str"/>
      <x:c r="N2120" s="7" t="str"/>
      <x:c r="O2120" s="7" t="str">
        <x:f>IF(N2120="","OPEN",IF(OR(I2120="",J2120="",K2120="",L2120="",M2120=""),"FAIL","PASS"))</x:f>
        <x:v>OPEN</x:v>
      </x:c>
    </x:row>
    <x:row r="2121">
      <x:c r="B2121" s="7" t="str">
        <x:v>CH-PEA-C-X3-17-3</x:v>
      </x:c>
      <x:c r="C2121" s="7" t="str">
        <x:v>PEA-C-X3</x:v>
      </x:c>
      <x:c r="D2121" s="7" t="str">
        <x:v>BLD-C</x:v>
      </x:c>
      <x:c r="E2121" s="7" t="str">
        <x:v>BL-X</x:v>
      </x:c>
      <x:c r="F2121" s="7" t="str">
        <x:v>MF-17</x:v>
      </x:c>
      <x:c r="G2121" s="7" t="str">
        <x:v>normal power</x:v>
      </x:c>
      <x:c r="H2121" s="7" t="n">
        <x:v>3</x:v>
      </x:c>
      <x:c r="I2121" s="7" t="str"/>
      <x:c r="J2121" s="7" t="str"/>
      <x:c r="K2121" s="7" t="str"/>
      <x:c r="L2121" s="7" t="str"/>
      <x:c r="M2121" s="7" t="str"/>
      <x:c r="N2121" s="7" t="str"/>
      <x:c r="O2121" s="7" t="str">
        <x:f>IF(N2121="","OPEN",IF(OR(I2121="",J2121="",K2121="",L2121="",M2121=""),"FAIL","PASS"))</x:f>
        <x:v>OPEN</x:v>
      </x:c>
    </x:row>
    <x:row r="2122">
      <x:c r="B2122" s="7" t="str">
        <x:v>CH-PEA-C-X3-17-4</x:v>
      </x:c>
      <x:c r="C2122" s="7" t="str">
        <x:v>PEA-C-X3</x:v>
      </x:c>
      <x:c r="D2122" s="7" t="str">
        <x:v>BLD-C</x:v>
      </x:c>
      <x:c r="E2122" s="7" t="str">
        <x:v>BL-X</x:v>
      </x:c>
      <x:c r="F2122" s="7" t="str">
        <x:v>MF-17</x:v>
      </x:c>
      <x:c r="G2122" s="7" t="str">
        <x:v>normal power</x:v>
      </x:c>
      <x:c r="H2122" s="7" t="n">
        <x:v>4</x:v>
      </x:c>
      <x:c r="I2122" s="7" t="str"/>
      <x:c r="J2122" s="7" t="str"/>
      <x:c r="K2122" s="7" t="str"/>
      <x:c r="L2122" s="7" t="str"/>
      <x:c r="M2122" s="7" t="str"/>
      <x:c r="N2122" s="7" t="str"/>
      <x:c r="O2122" s="7" t="str">
        <x:f>IF(N2122="","OPEN",IF(OR(I2122="",J2122="",K2122="",L2122="",M2122=""),"FAIL","PASS"))</x:f>
        <x:v>OPEN</x:v>
      </x:c>
    </x:row>
    <x:row r="2123">
      <x:c r="B2123" s="7" t="str">
        <x:v>CH-PEA-C-X3-17-5</x:v>
      </x:c>
      <x:c r="C2123" s="7" t="str">
        <x:v>PEA-C-X3</x:v>
      </x:c>
      <x:c r="D2123" s="7" t="str">
        <x:v>BLD-C</x:v>
      </x:c>
      <x:c r="E2123" s="7" t="str">
        <x:v>BL-X</x:v>
      </x:c>
      <x:c r="F2123" s="7" t="str">
        <x:v>MF-17</x:v>
      </x:c>
      <x:c r="G2123" s="7" t="str">
        <x:v>normal power</x:v>
      </x:c>
      <x:c r="H2123" s="7" t="n">
        <x:v>5</x:v>
      </x:c>
      <x:c r="I2123" s="7" t="str"/>
      <x:c r="J2123" s="7" t="str"/>
      <x:c r="K2123" s="7" t="str"/>
      <x:c r="L2123" s="7" t="str"/>
      <x:c r="M2123" s="7" t="str"/>
      <x:c r="N2123" s="7" t="str"/>
      <x:c r="O2123" s="7" t="str">
        <x:f>IF(N2123="","OPEN",IF(OR(I2123="",J2123="",K2123="",L2123="",M2123=""),"FAIL","PASS"))</x:f>
        <x:v>OPEN</x:v>
      </x:c>
    </x:row>
    <x:row r="2124">
      <x:c r="B2124" s="7" t="str">
        <x:v>CH-PEA-C-X3-17-6</x:v>
      </x:c>
      <x:c r="C2124" s="7" t="str">
        <x:v>PEA-C-X3</x:v>
      </x:c>
      <x:c r="D2124" s="7" t="str">
        <x:v>BLD-C</x:v>
      </x:c>
      <x:c r="E2124" s="7" t="str">
        <x:v>BL-X</x:v>
      </x:c>
      <x:c r="F2124" s="7" t="str">
        <x:v>MF-17</x:v>
      </x:c>
      <x:c r="G2124" s="7" t="str">
        <x:v>normal power</x:v>
      </x:c>
      <x:c r="H2124" s="7" t="n">
        <x:v>6</x:v>
      </x:c>
      <x:c r="I2124" s="7" t="str"/>
      <x:c r="J2124" s="7" t="str"/>
      <x:c r="K2124" s="7" t="str"/>
      <x:c r="L2124" s="7" t="str"/>
      <x:c r="M2124" s="7" t="str"/>
      <x:c r="N2124" s="7" t="str"/>
      <x:c r="O2124" s="7" t="str">
        <x:f>IF(N2124="","OPEN",IF(OR(I2124="",J2124="",K2124="",L2124="",M2124=""),"FAIL","PASS"))</x:f>
        <x:v>OPEN</x:v>
      </x:c>
    </x:row>
    <x:row r="2125">
      <x:c r="B2125" s="7" t="str">
        <x:v>CH-PEA-C-X3-18-1</x:v>
      </x:c>
      <x:c r="C2125" s="7" t="str">
        <x:v>PEA-C-X3</x:v>
      </x:c>
      <x:c r="D2125" s="7" t="str">
        <x:v>BLD-C</x:v>
      </x:c>
      <x:c r="E2125" s="7" t="str">
        <x:v>BL-X</x:v>
      </x:c>
      <x:c r="F2125" s="7" t="str">
        <x:v>MF-18</x:v>
      </x:c>
      <x:c r="G2125" s="7" t="str">
        <x:v>independent power</x:v>
      </x:c>
      <x:c r="H2125" s="7" t="n">
        <x:v>1</x:v>
      </x:c>
      <x:c r="I2125" s="7" t="str"/>
      <x:c r="J2125" s="7" t="str"/>
      <x:c r="K2125" s="7" t="str"/>
      <x:c r="L2125" s="7" t="str"/>
      <x:c r="M2125" s="7" t="str"/>
      <x:c r="N2125" s="7" t="str"/>
      <x:c r="O2125" s="7" t="str">
        <x:f>IF(N2125="","OPEN",IF(OR(I2125="",J2125="",K2125="",L2125="",M2125=""),"FAIL","PASS"))</x:f>
        <x:v>OPEN</x:v>
      </x:c>
    </x:row>
    <x:row r="2126">
      <x:c r="B2126" s="7" t="str">
        <x:v>CH-PEA-C-X3-18-2</x:v>
      </x:c>
      <x:c r="C2126" s="7" t="str">
        <x:v>PEA-C-X3</x:v>
      </x:c>
      <x:c r="D2126" s="7" t="str">
        <x:v>BLD-C</x:v>
      </x:c>
      <x:c r="E2126" s="7" t="str">
        <x:v>BL-X</x:v>
      </x:c>
      <x:c r="F2126" s="7" t="str">
        <x:v>MF-18</x:v>
      </x:c>
      <x:c r="G2126" s="7" t="str">
        <x:v>independent power</x:v>
      </x:c>
      <x:c r="H2126" s="7" t="n">
        <x:v>2</x:v>
      </x:c>
      <x:c r="I2126" s="7" t="str"/>
      <x:c r="J2126" s="7" t="str"/>
      <x:c r="K2126" s="7" t="str"/>
      <x:c r="L2126" s="7" t="str"/>
      <x:c r="M2126" s="7" t="str"/>
      <x:c r="N2126" s="7" t="str"/>
      <x:c r="O2126" s="7" t="str">
        <x:f>IF(N2126="","OPEN",IF(OR(I2126="",J2126="",K2126="",L2126="",M2126=""),"FAIL","PASS"))</x:f>
        <x:v>OPEN</x:v>
      </x:c>
    </x:row>
    <x:row r="2127">
      <x:c r="B2127" s="7" t="str">
        <x:v>CH-PEA-C-X3-18-3</x:v>
      </x:c>
      <x:c r="C2127" s="7" t="str">
        <x:v>PEA-C-X3</x:v>
      </x:c>
      <x:c r="D2127" s="7" t="str">
        <x:v>BLD-C</x:v>
      </x:c>
      <x:c r="E2127" s="7" t="str">
        <x:v>BL-X</x:v>
      </x:c>
      <x:c r="F2127" s="7" t="str">
        <x:v>MF-18</x:v>
      </x:c>
      <x:c r="G2127" s="7" t="str">
        <x:v>independent power</x:v>
      </x:c>
      <x:c r="H2127" s="7" t="n">
        <x:v>3</x:v>
      </x:c>
      <x:c r="I2127" s="7" t="str"/>
      <x:c r="J2127" s="7" t="str"/>
      <x:c r="K2127" s="7" t="str"/>
      <x:c r="L2127" s="7" t="str"/>
      <x:c r="M2127" s="7" t="str"/>
      <x:c r="N2127" s="7" t="str"/>
      <x:c r="O2127" s="7" t="str">
        <x:f>IF(N2127="","OPEN",IF(OR(I2127="",J2127="",K2127="",L2127="",M2127=""),"FAIL","PASS"))</x:f>
        <x:v>OPEN</x:v>
      </x:c>
    </x:row>
    <x:row r="2128">
      <x:c r="B2128" s="7" t="str">
        <x:v>CH-PEA-C-X3-18-4</x:v>
      </x:c>
      <x:c r="C2128" s="7" t="str">
        <x:v>PEA-C-X3</x:v>
      </x:c>
      <x:c r="D2128" s="7" t="str">
        <x:v>BLD-C</x:v>
      </x:c>
      <x:c r="E2128" s="7" t="str">
        <x:v>BL-X</x:v>
      </x:c>
      <x:c r="F2128" s="7" t="str">
        <x:v>MF-18</x:v>
      </x:c>
      <x:c r="G2128" s="7" t="str">
        <x:v>independent power</x:v>
      </x:c>
      <x:c r="H2128" s="7" t="n">
        <x:v>4</x:v>
      </x:c>
      <x:c r="I2128" s="7" t="str"/>
      <x:c r="J2128" s="7" t="str"/>
      <x:c r="K2128" s="7" t="str"/>
      <x:c r="L2128" s="7" t="str"/>
      <x:c r="M2128" s="7" t="str"/>
      <x:c r="N2128" s="7" t="str"/>
      <x:c r="O2128" s="7" t="str">
        <x:f>IF(N2128="","OPEN",IF(OR(I2128="",J2128="",K2128="",L2128="",M2128=""),"FAIL","PASS"))</x:f>
        <x:v>OPEN</x:v>
      </x:c>
    </x:row>
    <x:row r="2129">
      <x:c r="B2129" s="7" t="str">
        <x:v>CH-PEA-C-X3-18-5</x:v>
      </x:c>
      <x:c r="C2129" s="7" t="str">
        <x:v>PEA-C-X3</x:v>
      </x:c>
      <x:c r="D2129" s="7" t="str">
        <x:v>BLD-C</x:v>
      </x:c>
      <x:c r="E2129" s="7" t="str">
        <x:v>BL-X</x:v>
      </x:c>
      <x:c r="F2129" s="7" t="str">
        <x:v>MF-18</x:v>
      </x:c>
      <x:c r="G2129" s="7" t="str">
        <x:v>independent power</x:v>
      </x:c>
      <x:c r="H2129" s="7" t="n">
        <x:v>5</x:v>
      </x:c>
      <x:c r="I2129" s="7" t="str"/>
      <x:c r="J2129" s="7" t="str"/>
      <x:c r="K2129" s="7" t="str"/>
      <x:c r="L2129" s="7" t="str"/>
      <x:c r="M2129" s="7" t="str"/>
      <x:c r="N2129" s="7" t="str"/>
      <x:c r="O2129" s="7" t="str">
        <x:f>IF(N2129="","OPEN",IF(OR(I2129="",J2129="",K2129="",L2129="",M2129=""),"FAIL","PASS"))</x:f>
        <x:v>OPEN</x:v>
      </x:c>
    </x:row>
    <x:row r="2130">
      <x:c r="B2130" s="7" t="str">
        <x:v>CH-PEA-C-X3-18-6</x:v>
      </x:c>
      <x:c r="C2130" s="7" t="str">
        <x:v>PEA-C-X3</x:v>
      </x:c>
      <x:c r="D2130" s="7" t="str">
        <x:v>BLD-C</x:v>
      </x:c>
      <x:c r="E2130" s="7" t="str">
        <x:v>BL-X</x:v>
      </x:c>
      <x:c r="F2130" s="7" t="str">
        <x:v>MF-18</x:v>
      </x:c>
      <x:c r="G2130" s="7" t="str">
        <x:v>independent power</x:v>
      </x:c>
      <x:c r="H2130" s="7" t="n">
        <x:v>6</x:v>
      </x:c>
      <x:c r="I2130" s="7" t="str"/>
      <x:c r="J2130" s="7" t="str"/>
      <x:c r="K2130" s="7" t="str"/>
      <x:c r="L2130" s="7" t="str"/>
      <x:c r="M2130" s="7" t="str"/>
      <x:c r="N2130" s="7" t="str"/>
      <x:c r="O2130" s="7" t="str">
        <x:f>IF(N2130="","OPEN",IF(OR(I2130="",J2130="",K2130="",L2130="",M2130=""),"FAIL","PASS"))</x:f>
        <x:v>OPEN</x:v>
      </x:c>
    </x:row>
    <x:row r="2131">
      <x:c r="B2131" s="7" t="str">
        <x:v>CH-PEA-C-X3-19-1</x:v>
      </x:c>
      <x:c r="C2131" s="7" t="str">
        <x:v>PEA-C-X3</x:v>
      </x:c>
      <x:c r="D2131" s="7" t="str">
        <x:v>BLD-C</x:v>
      </x:c>
      <x:c r="E2131" s="7" t="str">
        <x:v>BL-X</x:v>
      </x:c>
      <x:c r="F2131" s="7" t="str">
        <x:v>MF-19</x:v>
      </x:c>
      <x:c r="G2131" s="7" t="str">
        <x:v>leak collection</x:v>
      </x:c>
      <x:c r="H2131" s="7" t="n">
        <x:v>1</x:v>
      </x:c>
      <x:c r="I2131" s="7" t="str"/>
      <x:c r="J2131" s="7" t="str"/>
      <x:c r="K2131" s="7" t="str"/>
      <x:c r="L2131" s="7" t="str"/>
      <x:c r="M2131" s="7" t="str"/>
      <x:c r="N2131" s="7" t="str"/>
      <x:c r="O2131" s="7" t="str">
        <x:f>IF(N2131="","OPEN",IF(OR(I2131="",J2131="",K2131="",L2131="",M2131=""),"FAIL","PASS"))</x:f>
        <x:v>OPEN</x:v>
      </x:c>
    </x:row>
    <x:row r="2132">
      <x:c r="B2132" s="7" t="str">
        <x:v>CH-PEA-C-X3-19-2</x:v>
      </x:c>
      <x:c r="C2132" s="7" t="str">
        <x:v>PEA-C-X3</x:v>
      </x:c>
      <x:c r="D2132" s="7" t="str">
        <x:v>BLD-C</x:v>
      </x:c>
      <x:c r="E2132" s="7" t="str">
        <x:v>BL-X</x:v>
      </x:c>
      <x:c r="F2132" s="7" t="str">
        <x:v>MF-19</x:v>
      </x:c>
      <x:c r="G2132" s="7" t="str">
        <x:v>leak collection</x:v>
      </x:c>
      <x:c r="H2132" s="7" t="n">
        <x:v>2</x:v>
      </x:c>
      <x:c r="I2132" s="7" t="str"/>
      <x:c r="J2132" s="7" t="str"/>
      <x:c r="K2132" s="7" t="str"/>
      <x:c r="L2132" s="7" t="str"/>
      <x:c r="M2132" s="7" t="str"/>
      <x:c r="N2132" s="7" t="str"/>
      <x:c r="O2132" s="7" t="str">
        <x:f>IF(N2132="","OPEN",IF(OR(I2132="",J2132="",K2132="",L2132="",M2132=""),"FAIL","PASS"))</x:f>
        <x:v>OPEN</x:v>
      </x:c>
    </x:row>
    <x:row r="2133">
      <x:c r="B2133" s="7" t="str">
        <x:v>CH-PEA-C-X3-19-3</x:v>
      </x:c>
      <x:c r="C2133" s="7" t="str">
        <x:v>PEA-C-X3</x:v>
      </x:c>
      <x:c r="D2133" s="7" t="str">
        <x:v>BLD-C</x:v>
      </x:c>
      <x:c r="E2133" s="7" t="str">
        <x:v>BL-X</x:v>
      </x:c>
      <x:c r="F2133" s="7" t="str">
        <x:v>MF-19</x:v>
      </x:c>
      <x:c r="G2133" s="7" t="str">
        <x:v>leak collection</x:v>
      </x:c>
      <x:c r="H2133" s="7" t="n">
        <x:v>3</x:v>
      </x:c>
      <x:c r="I2133" s="7" t="str"/>
      <x:c r="J2133" s="7" t="str"/>
      <x:c r="K2133" s="7" t="str"/>
      <x:c r="L2133" s="7" t="str"/>
      <x:c r="M2133" s="7" t="str"/>
      <x:c r="N2133" s="7" t="str"/>
      <x:c r="O2133" s="7" t="str">
        <x:f>IF(N2133="","OPEN",IF(OR(I2133="",J2133="",K2133="",L2133="",M2133=""),"FAIL","PASS"))</x:f>
        <x:v>OPEN</x:v>
      </x:c>
    </x:row>
    <x:row r="2134">
      <x:c r="B2134" s="7" t="str">
        <x:v>CH-PEA-C-X3-19-4</x:v>
      </x:c>
      <x:c r="C2134" s="7" t="str">
        <x:v>PEA-C-X3</x:v>
      </x:c>
      <x:c r="D2134" s="7" t="str">
        <x:v>BLD-C</x:v>
      </x:c>
      <x:c r="E2134" s="7" t="str">
        <x:v>BL-X</x:v>
      </x:c>
      <x:c r="F2134" s="7" t="str">
        <x:v>MF-19</x:v>
      </x:c>
      <x:c r="G2134" s="7" t="str">
        <x:v>leak collection</x:v>
      </x:c>
      <x:c r="H2134" s="7" t="n">
        <x:v>4</x:v>
      </x:c>
      <x:c r="I2134" s="7" t="str"/>
      <x:c r="J2134" s="7" t="str"/>
      <x:c r="K2134" s="7" t="str"/>
      <x:c r="L2134" s="7" t="str"/>
      <x:c r="M2134" s="7" t="str"/>
      <x:c r="N2134" s="7" t="str"/>
      <x:c r="O2134" s="7" t="str">
        <x:f>IF(N2134="","OPEN",IF(OR(I2134="",J2134="",K2134="",L2134="",M2134=""),"FAIL","PASS"))</x:f>
        <x:v>OPEN</x:v>
      </x:c>
    </x:row>
    <x:row r="2135">
      <x:c r="B2135" s="7" t="str">
        <x:v>CH-PEA-C-X3-19-5</x:v>
      </x:c>
      <x:c r="C2135" s="7" t="str">
        <x:v>PEA-C-X3</x:v>
      </x:c>
      <x:c r="D2135" s="7" t="str">
        <x:v>BLD-C</x:v>
      </x:c>
      <x:c r="E2135" s="7" t="str">
        <x:v>BL-X</x:v>
      </x:c>
      <x:c r="F2135" s="7" t="str">
        <x:v>MF-19</x:v>
      </x:c>
      <x:c r="G2135" s="7" t="str">
        <x:v>leak collection</x:v>
      </x:c>
      <x:c r="H2135" s="7" t="n">
        <x:v>5</x:v>
      </x:c>
      <x:c r="I2135" s="7" t="str"/>
      <x:c r="J2135" s="7" t="str"/>
      <x:c r="K2135" s="7" t="str"/>
      <x:c r="L2135" s="7" t="str"/>
      <x:c r="M2135" s="7" t="str"/>
      <x:c r="N2135" s="7" t="str"/>
      <x:c r="O2135" s="7" t="str">
        <x:f>IF(N2135="","OPEN",IF(OR(I2135="",J2135="",K2135="",L2135="",M2135=""),"FAIL","PASS"))</x:f>
        <x:v>OPEN</x:v>
      </x:c>
    </x:row>
    <x:row r="2136">
      <x:c r="B2136" s="7" t="str">
        <x:v>CH-PEA-C-X3-19-6</x:v>
      </x:c>
      <x:c r="C2136" s="7" t="str">
        <x:v>PEA-C-X3</x:v>
      </x:c>
      <x:c r="D2136" s="7" t="str">
        <x:v>BLD-C</x:v>
      </x:c>
      <x:c r="E2136" s="7" t="str">
        <x:v>BL-X</x:v>
      </x:c>
      <x:c r="F2136" s="7" t="str">
        <x:v>MF-19</x:v>
      </x:c>
      <x:c r="G2136" s="7" t="str">
        <x:v>leak collection</x:v>
      </x:c>
      <x:c r="H2136" s="7" t="n">
        <x:v>6</x:v>
      </x:c>
      <x:c r="I2136" s="7" t="str"/>
      <x:c r="J2136" s="7" t="str"/>
      <x:c r="K2136" s="7" t="str"/>
      <x:c r="L2136" s="7" t="str"/>
      <x:c r="M2136" s="7" t="str"/>
      <x:c r="N2136" s="7" t="str"/>
      <x:c r="O2136" s="7" t="str">
        <x:f>IF(N2136="","OPEN",IF(OR(I2136="",J2136="",K2136="",L2136="",M2136=""),"FAIL","PASS"))</x:f>
        <x:v>OPEN</x:v>
      </x:c>
    </x:row>
    <x:row r="2137">
      <x:c r="B2137" s="7" t="str">
        <x:v>CH-PEA-C-X3-20-1</x:v>
      </x:c>
      <x:c r="C2137" s="7" t="str">
        <x:v>PEA-C-X3</x:v>
      </x:c>
      <x:c r="D2137" s="7" t="str">
        <x:v>BLD-C</x:v>
      </x:c>
      <x:c r="E2137" s="7" t="str">
        <x:v>BL-X</x:v>
      </x:c>
      <x:c r="F2137" s="7" t="str">
        <x:v>MF-20</x:v>
      </x:c>
      <x:c r="G2137" s="7" t="str">
        <x:v>occupied-area state</x:v>
      </x:c>
      <x:c r="H2137" s="7" t="n">
        <x:v>1</x:v>
      </x:c>
      <x:c r="I2137" s="7" t="str"/>
      <x:c r="J2137" s="7" t="str"/>
      <x:c r="K2137" s="7" t="str"/>
      <x:c r="L2137" s="7" t="str"/>
      <x:c r="M2137" s="7" t="str"/>
      <x:c r="N2137" s="7" t="str"/>
      <x:c r="O2137" s="7" t="str">
        <x:f>IF(N2137="","OPEN",IF(OR(I2137="",J2137="",K2137="",L2137="",M2137=""),"FAIL","PASS"))</x:f>
        <x:v>OPEN</x:v>
      </x:c>
    </x:row>
    <x:row r="2138">
      <x:c r="B2138" s="7" t="str">
        <x:v>CH-PEA-C-X3-20-2</x:v>
      </x:c>
      <x:c r="C2138" s="7" t="str">
        <x:v>PEA-C-X3</x:v>
      </x:c>
      <x:c r="D2138" s="7" t="str">
        <x:v>BLD-C</x:v>
      </x:c>
      <x:c r="E2138" s="7" t="str">
        <x:v>BL-X</x:v>
      </x:c>
      <x:c r="F2138" s="7" t="str">
        <x:v>MF-20</x:v>
      </x:c>
      <x:c r="G2138" s="7" t="str">
        <x:v>occupied-area state</x:v>
      </x:c>
      <x:c r="H2138" s="7" t="n">
        <x:v>2</x:v>
      </x:c>
      <x:c r="I2138" s="7" t="str"/>
      <x:c r="J2138" s="7" t="str"/>
      <x:c r="K2138" s="7" t="str"/>
      <x:c r="L2138" s="7" t="str"/>
      <x:c r="M2138" s="7" t="str"/>
      <x:c r="N2138" s="7" t="str"/>
      <x:c r="O2138" s="7" t="str">
        <x:f>IF(N2138="","OPEN",IF(OR(I2138="",J2138="",K2138="",L2138="",M2138=""),"FAIL","PASS"))</x:f>
        <x:v>OPEN</x:v>
      </x:c>
    </x:row>
    <x:row r="2139">
      <x:c r="B2139" s="7" t="str">
        <x:v>CH-PEA-C-X3-20-3</x:v>
      </x:c>
      <x:c r="C2139" s="7" t="str">
        <x:v>PEA-C-X3</x:v>
      </x:c>
      <x:c r="D2139" s="7" t="str">
        <x:v>BLD-C</x:v>
      </x:c>
      <x:c r="E2139" s="7" t="str">
        <x:v>BL-X</x:v>
      </x:c>
      <x:c r="F2139" s="7" t="str">
        <x:v>MF-20</x:v>
      </x:c>
      <x:c r="G2139" s="7" t="str">
        <x:v>occupied-area state</x:v>
      </x:c>
      <x:c r="H2139" s="7" t="n">
        <x:v>3</x:v>
      </x:c>
      <x:c r="I2139" s="7" t="str"/>
      <x:c r="J2139" s="7" t="str"/>
      <x:c r="K2139" s="7" t="str"/>
      <x:c r="L2139" s="7" t="str"/>
      <x:c r="M2139" s="7" t="str"/>
      <x:c r="N2139" s="7" t="str"/>
      <x:c r="O2139" s="7" t="str">
        <x:f>IF(N2139="","OPEN",IF(OR(I2139="",J2139="",K2139="",L2139="",M2139=""),"FAIL","PASS"))</x:f>
        <x:v>OPEN</x:v>
      </x:c>
    </x:row>
    <x:row r="2140">
      <x:c r="B2140" s="7" t="str">
        <x:v>CH-PEA-C-X3-20-4</x:v>
      </x:c>
      <x:c r="C2140" s="7" t="str">
        <x:v>PEA-C-X3</x:v>
      </x:c>
      <x:c r="D2140" s="7" t="str">
        <x:v>BLD-C</x:v>
      </x:c>
      <x:c r="E2140" s="7" t="str">
        <x:v>BL-X</x:v>
      </x:c>
      <x:c r="F2140" s="7" t="str">
        <x:v>MF-20</x:v>
      </x:c>
      <x:c r="G2140" s="7" t="str">
        <x:v>occupied-area state</x:v>
      </x:c>
      <x:c r="H2140" s="7" t="n">
        <x:v>4</x:v>
      </x:c>
      <x:c r="I2140" s="7" t="str"/>
      <x:c r="J2140" s="7" t="str"/>
      <x:c r="K2140" s="7" t="str"/>
      <x:c r="L2140" s="7" t="str"/>
      <x:c r="M2140" s="7" t="str"/>
      <x:c r="N2140" s="7" t="str"/>
      <x:c r="O2140" s="7" t="str">
        <x:f>IF(N2140="","OPEN",IF(OR(I2140="",J2140="",K2140="",L2140="",M2140=""),"FAIL","PASS"))</x:f>
        <x:v>OPEN</x:v>
      </x:c>
    </x:row>
    <x:row r="2141">
      <x:c r="B2141" s="7" t="str">
        <x:v>CH-PEA-C-X3-20-5</x:v>
      </x:c>
      <x:c r="C2141" s="7" t="str">
        <x:v>PEA-C-X3</x:v>
      </x:c>
      <x:c r="D2141" s="7" t="str">
        <x:v>BLD-C</x:v>
      </x:c>
      <x:c r="E2141" s="7" t="str">
        <x:v>BL-X</x:v>
      </x:c>
      <x:c r="F2141" s="7" t="str">
        <x:v>MF-20</x:v>
      </x:c>
      <x:c r="G2141" s="7" t="str">
        <x:v>occupied-area state</x:v>
      </x:c>
      <x:c r="H2141" s="7" t="n">
        <x:v>5</x:v>
      </x:c>
      <x:c r="I2141" s="7" t="str"/>
      <x:c r="J2141" s="7" t="str"/>
      <x:c r="K2141" s="7" t="str"/>
      <x:c r="L2141" s="7" t="str"/>
      <x:c r="M2141" s="7" t="str"/>
      <x:c r="N2141" s="7" t="str"/>
      <x:c r="O2141" s="7" t="str">
        <x:f>IF(N2141="","OPEN",IF(OR(I2141="",J2141="",K2141="",L2141="",M2141=""),"FAIL","PASS"))</x:f>
        <x:v>OPEN</x:v>
      </x:c>
    </x:row>
    <x:row r="2142">
      <x:c r="B2142" s="7" t="str">
        <x:v>CH-PEA-C-X3-20-6</x:v>
      </x:c>
      <x:c r="C2142" s="7" t="str">
        <x:v>PEA-C-X3</x:v>
      </x:c>
      <x:c r="D2142" s="7" t="str">
        <x:v>BLD-C</x:v>
      </x:c>
      <x:c r="E2142" s="7" t="str">
        <x:v>BL-X</x:v>
      </x:c>
      <x:c r="F2142" s="7" t="str">
        <x:v>MF-20</x:v>
      </x:c>
      <x:c r="G2142" s="7" t="str">
        <x:v>occupied-area state</x:v>
      </x:c>
      <x:c r="H2142" s="7" t="n">
        <x:v>6</x:v>
      </x:c>
      <x:c r="I2142" s="7" t="str"/>
      <x:c r="J2142" s="7" t="str"/>
      <x:c r="K2142" s="7" t="str"/>
      <x:c r="L2142" s="7" t="str"/>
      <x:c r="M2142" s="7" t="str"/>
      <x:c r="N2142" s="7" t="str"/>
      <x:c r="O2142" s="7" t="str">
        <x:f>IF(N2142="","OPEN",IF(OR(I2142="",J2142="",K2142="",L2142="",M2142=""),"FAIL","PASS"))</x:f>
        <x:v>OPEN</x:v>
      </x:c>
    </x:row>
    <x:row r="2143">
      <x:c r="B2143" s="7" t="str">
        <x:v>CH-PEA-C-X3-21-1</x:v>
      </x:c>
      <x:c r="C2143" s="7" t="str">
        <x:v>PEA-C-X3</x:v>
      </x:c>
      <x:c r="D2143" s="7" t="str">
        <x:v>BLD-C</x:v>
      </x:c>
      <x:c r="E2143" s="7" t="str">
        <x:v>BL-X</x:v>
      </x:c>
      <x:c r="F2143" s="7" t="str">
        <x:v>MF-21</x:v>
      </x:c>
      <x:c r="G2143" s="7" t="str">
        <x:v>public-water flow</x:v>
      </x:c>
      <x:c r="H2143" s="7" t="n">
        <x:v>1</x:v>
      </x:c>
      <x:c r="I2143" s="7" t="str"/>
      <x:c r="J2143" s="7" t="str"/>
      <x:c r="K2143" s="7" t="str"/>
      <x:c r="L2143" s="7" t="str"/>
      <x:c r="M2143" s="7" t="str"/>
      <x:c r="N2143" s="7" t="str"/>
      <x:c r="O2143" s="7" t="str">
        <x:f>IF(N2143="","OPEN",IF(OR(I2143="",J2143="",K2143="",L2143="",M2143=""),"FAIL","PASS"))</x:f>
        <x:v>OPEN</x:v>
      </x:c>
    </x:row>
    <x:row r="2144">
      <x:c r="B2144" s="7" t="str">
        <x:v>CH-PEA-C-X3-21-2</x:v>
      </x:c>
      <x:c r="C2144" s="7" t="str">
        <x:v>PEA-C-X3</x:v>
      </x:c>
      <x:c r="D2144" s="7" t="str">
        <x:v>BLD-C</x:v>
      </x:c>
      <x:c r="E2144" s="7" t="str">
        <x:v>BL-X</x:v>
      </x:c>
      <x:c r="F2144" s="7" t="str">
        <x:v>MF-21</x:v>
      </x:c>
      <x:c r="G2144" s="7" t="str">
        <x:v>public-water flow</x:v>
      </x:c>
      <x:c r="H2144" s="7" t="n">
        <x:v>2</x:v>
      </x:c>
      <x:c r="I2144" s="7" t="str"/>
      <x:c r="J2144" s="7" t="str"/>
      <x:c r="K2144" s="7" t="str"/>
      <x:c r="L2144" s="7" t="str"/>
      <x:c r="M2144" s="7" t="str"/>
      <x:c r="N2144" s="7" t="str"/>
      <x:c r="O2144" s="7" t="str">
        <x:f>IF(N2144="","OPEN",IF(OR(I2144="",J2144="",K2144="",L2144="",M2144=""),"FAIL","PASS"))</x:f>
        <x:v>OPEN</x:v>
      </x:c>
    </x:row>
    <x:row r="2145">
      <x:c r="B2145" s="7" t="str">
        <x:v>CH-PEA-C-X3-21-3</x:v>
      </x:c>
      <x:c r="C2145" s="7" t="str">
        <x:v>PEA-C-X3</x:v>
      </x:c>
      <x:c r="D2145" s="7" t="str">
        <x:v>BLD-C</x:v>
      </x:c>
      <x:c r="E2145" s="7" t="str">
        <x:v>BL-X</x:v>
      </x:c>
      <x:c r="F2145" s="7" t="str">
        <x:v>MF-21</x:v>
      </x:c>
      <x:c r="G2145" s="7" t="str">
        <x:v>public-water flow</x:v>
      </x:c>
      <x:c r="H2145" s="7" t="n">
        <x:v>3</x:v>
      </x:c>
      <x:c r="I2145" s="7" t="str"/>
      <x:c r="J2145" s="7" t="str"/>
      <x:c r="K2145" s="7" t="str"/>
      <x:c r="L2145" s="7" t="str"/>
      <x:c r="M2145" s="7" t="str"/>
      <x:c r="N2145" s="7" t="str"/>
      <x:c r="O2145" s="7" t="str">
        <x:f>IF(N2145="","OPEN",IF(OR(I2145="",J2145="",K2145="",L2145="",M2145=""),"FAIL","PASS"))</x:f>
        <x:v>OPEN</x:v>
      </x:c>
    </x:row>
    <x:row r="2146">
      <x:c r="B2146" s="7" t="str">
        <x:v>CH-PEA-C-X3-21-4</x:v>
      </x:c>
      <x:c r="C2146" s="7" t="str">
        <x:v>PEA-C-X3</x:v>
      </x:c>
      <x:c r="D2146" s="7" t="str">
        <x:v>BLD-C</x:v>
      </x:c>
      <x:c r="E2146" s="7" t="str">
        <x:v>BL-X</x:v>
      </x:c>
      <x:c r="F2146" s="7" t="str">
        <x:v>MF-21</x:v>
      </x:c>
      <x:c r="G2146" s="7" t="str">
        <x:v>public-water flow</x:v>
      </x:c>
      <x:c r="H2146" s="7" t="n">
        <x:v>4</x:v>
      </x:c>
      <x:c r="I2146" s="7" t="str"/>
      <x:c r="J2146" s="7" t="str"/>
      <x:c r="K2146" s="7" t="str"/>
      <x:c r="L2146" s="7" t="str"/>
      <x:c r="M2146" s="7" t="str"/>
      <x:c r="N2146" s="7" t="str"/>
      <x:c r="O2146" s="7" t="str">
        <x:f>IF(N2146="","OPEN",IF(OR(I2146="",J2146="",K2146="",L2146="",M2146=""),"FAIL","PASS"))</x:f>
        <x:v>OPEN</x:v>
      </x:c>
    </x:row>
    <x:row r="2147">
      <x:c r="B2147" s="7" t="str">
        <x:v>CH-PEA-C-X3-21-5</x:v>
      </x:c>
      <x:c r="C2147" s="7" t="str">
        <x:v>PEA-C-X3</x:v>
      </x:c>
      <x:c r="D2147" s="7" t="str">
        <x:v>BLD-C</x:v>
      </x:c>
      <x:c r="E2147" s="7" t="str">
        <x:v>BL-X</x:v>
      </x:c>
      <x:c r="F2147" s="7" t="str">
        <x:v>MF-21</x:v>
      </x:c>
      <x:c r="G2147" s="7" t="str">
        <x:v>public-water flow</x:v>
      </x:c>
      <x:c r="H2147" s="7" t="n">
        <x:v>5</x:v>
      </x:c>
      <x:c r="I2147" s="7" t="str"/>
      <x:c r="J2147" s="7" t="str"/>
      <x:c r="K2147" s="7" t="str"/>
      <x:c r="L2147" s="7" t="str"/>
      <x:c r="M2147" s="7" t="str"/>
      <x:c r="N2147" s="7" t="str"/>
      <x:c r="O2147" s="7" t="str">
        <x:f>IF(N2147="","OPEN",IF(OR(I2147="",J2147="",K2147="",L2147="",M2147=""),"FAIL","PASS"))</x:f>
        <x:v>OPEN</x:v>
      </x:c>
    </x:row>
    <x:row r="2148">
      <x:c r="B2148" s="7" t="str">
        <x:v>CH-PEA-C-X3-21-6</x:v>
      </x:c>
      <x:c r="C2148" s="7" t="str">
        <x:v>PEA-C-X3</x:v>
      </x:c>
      <x:c r="D2148" s="7" t="str">
        <x:v>BLD-C</x:v>
      </x:c>
      <x:c r="E2148" s="7" t="str">
        <x:v>BL-X</x:v>
      </x:c>
      <x:c r="F2148" s="7" t="str">
        <x:v>MF-21</x:v>
      </x:c>
      <x:c r="G2148" s="7" t="str">
        <x:v>public-water flow</x:v>
      </x:c>
      <x:c r="H2148" s="7" t="n">
        <x:v>6</x:v>
      </x:c>
      <x:c r="I2148" s="7" t="str"/>
      <x:c r="J2148" s="7" t="str"/>
      <x:c r="K2148" s="7" t="str"/>
      <x:c r="L2148" s="7" t="str"/>
      <x:c r="M2148" s="7" t="str"/>
      <x:c r="N2148" s="7" t="str"/>
      <x:c r="O2148" s="7" t="str">
        <x:f>IF(N2148="","OPEN",IF(OR(I2148="",J2148="",K2148="",L2148="",M2148=""),"FAIL","PASS"))</x:f>
        <x:v>OPEN</x:v>
      </x:c>
    </x:row>
    <x:row r="2149">
      <x:c r="B2149" s="7" t="str">
        <x:v>CH-PEA-C-X3-22-1</x:v>
      </x:c>
      <x:c r="C2149" s="7" t="str">
        <x:v>PEA-C-X3</x:v>
      </x:c>
      <x:c r="D2149" s="7" t="str">
        <x:v>BLD-C</x:v>
      </x:c>
      <x:c r="E2149" s="7" t="str">
        <x:v>BL-X</x:v>
      </x:c>
      <x:c r="F2149" s="7" t="str">
        <x:v>MF-22</x:v>
      </x:c>
      <x:c r="G2149" s="7" t="str">
        <x:v>source ancestry</x:v>
      </x:c>
      <x:c r="H2149" s="7" t="n">
        <x:v>1</x:v>
      </x:c>
      <x:c r="I2149" s="7" t="str"/>
      <x:c r="J2149" s="7" t="str"/>
      <x:c r="K2149" s="7" t="str"/>
      <x:c r="L2149" s="7" t="str"/>
      <x:c r="M2149" s="7" t="str"/>
      <x:c r="N2149" s="7" t="str"/>
      <x:c r="O2149" s="7" t="str">
        <x:f>IF(N2149="","OPEN",IF(OR(I2149="",J2149="",K2149="",L2149="",M2149=""),"FAIL","PASS"))</x:f>
        <x:v>OPEN</x:v>
      </x:c>
    </x:row>
    <x:row r="2150">
      <x:c r="B2150" s="7" t="str">
        <x:v>CH-PEA-C-X3-22-2</x:v>
      </x:c>
      <x:c r="C2150" s="7" t="str">
        <x:v>PEA-C-X3</x:v>
      </x:c>
      <x:c r="D2150" s="7" t="str">
        <x:v>BLD-C</x:v>
      </x:c>
      <x:c r="E2150" s="7" t="str">
        <x:v>BL-X</x:v>
      </x:c>
      <x:c r="F2150" s="7" t="str">
        <x:v>MF-22</x:v>
      </x:c>
      <x:c r="G2150" s="7" t="str">
        <x:v>source ancestry</x:v>
      </x:c>
      <x:c r="H2150" s="7" t="n">
        <x:v>2</x:v>
      </x:c>
      <x:c r="I2150" s="7" t="str"/>
      <x:c r="J2150" s="7" t="str"/>
      <x:c r="K2150" s="7" t="str"/>
      <x:c r="L2150" s="7" t="str"/>
      <x:c r="M2150" s="7" t="str"/>
      <x:c r="N2150" s="7" t="str"/>
      <x:c r="O2150" s="7" t="str">
        <x:f>IF(N2150="","OPEN",IF(OR(I2150="",J2150="",K2150="",L2150="",M2150=""),"FAIL","PASS"))</x:f>
        <x:v>OPEN</x:v>
      </x:c>
    </x:row>
    <x:row r="2151">
      <x:c r="B2151" s="7" t="str">
        <x:v>CH-PEA-C-X3-22-3</x:v>
      </x:c>
      <x:c r="C2151" s="7" t="str">
        <x:v>PEA-C-X3</x:v>
      </x:c>
      <x:c r="D2151" s="7" t="str">
        <x:v>BLD-C</x:v>
      </x:c>
      <x:c r="E2151" s="7" t="str">
        <x:v>BL-X</x:v>
      </x:c>
      <x:c r="F2151" s="7" t="str">
        <x:v>MF-22</x:v>
      </x:c>
      <x:c r="G2151" s="7" t="str">
        <x:v>source ancestry</x:v>
      </x:c>
      <x:c r="H2151" s="7" t="n">
        <x:v>3</x:v>
      </x:c>
      <x:c r="I2151" s="7" t="str"/>
      <x:c r="J2151" s="7" t="str"/>
      <x:c r="K2151" s="7" t="str"/>
      <x:c r="L2151" s="7" t="str"/>
      <x:c r="M2151" s="7" t="str"/>
      <x:c r="N2151" s="7" t="str"/>
      <x:c r="O2151" s="7" t="str">
        <x:f>IF(N2151="","OPEN",IF(OR(I2151="",J2151="",K2151="",L2151="",M2151=""),"FAIL","PASS"))</x:f>
        <x:v>OPEN</x:v>
      </x:c>
    </x:row>
    <x:row r="2152">
      <x:c r="B2152" s="7" t="str">
        <x:v>CH-PEA-C-X3-22-4</x:v>
      </x:c>
      <x:c r="C2152" s="7" t="str">
        <x:v>PEA-C-X3</x:v>
      </x:c>
      <x:c r="D2152" s="7" t="str">
        <x:v>BLD-C</x:v>
      </x:c>
      <x:c r="E2152" s="7" t="str">
        <x:v>BL-X</x:v>
      </x:c>
      <x:c r="F2152" s="7" t="str">
        <x:v>MF-22</x:v>
      </x:c>
      <x:c r="G2152" s="7" t="str">
        <x:v>source ancestry</x:v>
      </x:c>
      <x:c r="H2152" s="7" t="n">
        <x:v>4</x:v>
      </x:c>
      <x:c r="I2152" s="7" t="str"/>
      <x:c r="J2152" s="7" t="str"/>
      <x:c r="K2152" s="7" t="str"/>
      <x:c r="L2152" s="7" t="str"/>
      <x:c r="M2152" s="7" t="str"/>
      <x:c r="N2152" s="7" t="str"/>
      <x:c r="O2152" s="7" t="str">
        <x:f>IF(N2152="","OPEN",IF(OR(I2152="",J2152="",K2152="",L2152="",M2152=""),"FAIL","PASS"))</x:f>
        <x:v>OPEN</x:v>
      </x:c>
    </x:row>
    <x:row r="2153">
      <x:c r="B2153" s="7" t="str">
        <x:v>CH-PEA-C-X3-22-5</x:v>
      </x:c>
      <x:c r="C2153" s="7" t="str">
        <x:v>PEA-C-X3</x:v>
      </x:c>
      <x:c r="D2153" s="7" t="str">
        <x:v>BLD-C</x:v>
      </x:c>
      <x:c r="E2153" s="7" t="str">
        <x:v>BL-X</x:v>
      </x:c>
      <x:c r="F2153" s="7" t="str">
        <x:v>MF-22</x:v>
      </x:c>
      <x:c r="G2153" s="7" t="str">
        <x:v>source ancestry</x:v>
      </x:c>
      <x:c r="H2153" s="7" t="n">
        <x:v>5</x:v>
      </x:c>
      <x:c r="I2153" s="7" t="str"/>
      <x:c r="J2153" s="7" t="str"/>
      <x:c r="K2153" s="7" t="str"/>
      <x:c r="L2153" s="7" t="str"/>
      <x:c r="M2153" s="7" t="str"/>
      <x:c r="N2153" s="7" t="str"/>
      <x:c r="O2153" s="7" t="str">
        <x:f>IF(N2153="","OPEN",IF(OR(I2153="",J2153="",K2153="",L2153="",M2153=""),"FAIL","PASS"))</x:f>
        <x:v>OPEN</x:v>
      </x:c>
    </x:row>
    <x:row r="2154">
      <x:c r="B2154" s="7" t="str">
        <x:v>CH-PEA-C-X3-22-6</x:v>
      </x:c>
      <x:c r="C2154" s="7" t="str">
        <x:v>PEA-C-X3</x:v>
      </x:c>
      <x:c r="D2154" s="7" t="str">
        <x:v>BLD-C</x:v>
      </x:c>
      <x:c r="E2154" s="7" t="str">
        <x:v>BL-X</x:v>
      </x:c>
      <x:c r="F2154" s="7" t="str">
        <x:v>MF-22</x:v>
      </x:c>
      <x:c r="G2154" s="7" t="str">
        <x:v>source ancestry</x:v>
      </x:c>
      <x:c r="H2154" s="7" t="n">
        <x:v>6</x:v>
      </x:c>
      <x:c r="I2154" s="7" t="str"/>
      <x:c r="J2154" s="7" t="str"/>
      <x:c r="K2154" s="7" t="str"/>
      <x:c r="L2154" s="7" t="str"/>
      <x:c r="M2154" s="7" t="str"/>
      <x:c r="N2154" s="7" t="str"/>
      <x:c r="O2154" s="7" t="str">
        <x:f>IF(N2154="","OPEN",IF(OR(I2154="",J2154="",K2154="",L2154="",M2154=""),"FAIL","PASS"))</x:f>
        <x:v>OPEN</x:v>
      </x:c>
    </x:row>
    <x:row r="2155">
      <x:c r="B2155" s="7" t="str">
        <x:v>CH-PEA-C-X3-23-1</x:v>
      </x:c>
      <x:c r="C2155" s="7" t="str">
        <x:v>PEA-C-X3</x:v>
      </x:c>
      <x:c r="D2155" s="7" t="str">
        <x:v>BLD-C</x:v>
      </x:c>
      <x:c r="E2155" s="7" t="str">
        <x:v>BL-X</x:v>
      </x:c>
      <x:c r="F2155" s="7" t="str">
        <x:v>MF-23</x:v>
      </x:c>
      <x:c r="G2155" s="7" t="str">
        <x:v>water ancestry</x:v>
      </x:c>
      <x:c r="H2155" s="7" t="n">
        <x:v>1</x:v>
      </x:c>
      <x:c r="I2155" s="7" t="str"/>
      <x:c r="J2155" s="7" t="str"/>
      <x:c r="K2155" s="7" t="str"/>
      <x:c r="L2155" s="7" t="str"/>
      <x:c r="M2155" s="7" t="str"/>
      <x:c r="N2155" s="7" t="str"/>
      <x:c r="O2155" s="7" t="str">
        <x:f>IF(N2155="","OPEN",IF(OR(I2155="",J2155="",K2155="",L2155="",M2155=""),"FAIL","PASS"))</x:f>
        <x:v>OPEN</x:v>
      </x:c>
    </x:row>
    <x:row r="2156">
      <x:c r="B2156" s="7" t="str">
        <x:v>CH-PEA-C-X3-23-2</x:v>
      </x:c>
      <x:c r="C2156" s="7" t="str">
        <x:v>PEA-C-X3</x:v>
      </x:c>
      <x:c r="D2156" s="7" t="str">
        <x:v>BLD-C</x:v>
      </x:c>
      <x:c r="E2156" s="7" t="str">
        <x:v>BL-X</x:v>
      </x:c>
      <x:c r="F2156" s="7" t="str">
        <x:v>MF-23</x:v>
      </x:c>
      <x:c r="G2156" s="7" t="str">
        <x:v>water ancestry</x:v>
      </x:c>
      <x:c r="H2156" s="7" t="n">
        <x:v>2</x:v>
      </x:c>
      <x:c r="I2156" s="7" t="str"/>
      <x:c r="J2156" s="7" t="str"/>
      <x:c r="K2156" s="7" t="str"/>
      <x:c r="L2156" s="7" t="str"/>
      <x:c r="M2156" s="7" t="str"/>
      <x:c r="N2156" s="7" t="str"/>
      <x:c r="O2156" s="7" t="str">
        <x:f>IF(N2156="","OPEN",IF(OR(I2156="",J2156="",K2156="",L2156="",M2156=""),"FAIL","PASS"))</x:f>
        <x:v>OPEN</x:v>
      </x:c>
    </x:row>
    <x:row r="2157">
      <x:c r="B2157" s="7" t="str">
        <x:v>CH-PEA-C-X3-23-3</x:v>
      </x:c>
      <x:c r="C2157" s="7" t="str">
        <x:v>PEA-C-X3</x:v>
      </x:c>
      <x:c r="D2157" s="7" t="str">
        <x:v>BLD-C</x:v>
      </x:c>
      <x:c r="E2157" s="7" t="str">
        <x:v>BL-X</x:v>
      </x:c>
      <x:c r="F2157" s="7" t="str">
        <x:v>MF-23</x:v>
      </x:c>
      <x:c r="G2157" s="7" t="str">
        <x:v>water ancestry</x:v>
      </x:c>
      <x:c r="H2157" s="7" t="n">
        <x:v>3</x:v>
      </x:c>
      <x:c r="I2157" s="7" t="str"/>
      <x:c r="J2157" s="7" t="str"/>
      <x:c r="K2157" s="7" t="str"/>
      <x:c r="L2157" s="7" t="str"/>
      <x:c r="M2157" s="7" t="str"/>
      <x:c r="N2157" s="7" t="str"/>
      <x:c r="O2157" s="7" t="str">
        <x:f>IF(N2157="","OPEN",IF(OR(I2157="",J2157="",K2157="",L2157="",M2157=""),"FAIL","PASS"))</x:f>
        <x:v>OPEN</x:v>
      </x:c>
    </x:row>
    <x:row r="2158">
      <x:c r="B2158" s="7" t="str">
        <x:v>CH-PEA-C-X3-23-4</x:v>
      </x:c>
      <x:c r="C2158" s="7" t="str">
        <x:v>PEA-C-X3</x:v>
      </x:c>
      <x:c r="D2158" s="7" t="str">
        <x:v>BLD-C</x:v>
      </x:c>
      <x:c r="E2158" s="7" t="str">
        <x:v>BL-X</x:v>
      </x:c>
      <x:c r="F2158" s="7" t="str">
        <x:v>MF-23</x:v>
      </x:c>
      <x:c r="G2158" s="7" t="str">
        <x:v>water ancestry</x:v>
      </x:c>
      <x:c r="H2158" s="7" t="n">
        <x:v>4</x:v>
      </x:c>
      <x:c r="I2158" s="7" t="str"/>
      <x:c r="J2158" s="7" t="str"/>
      <x:c r="K2158" s="7" t="str"/>
      <x:c r="L2158" s="7" t="str"/>
      <x:c r="M2158" s="7" t="str"/>
      <x:c r="N2158" s="7" t="str"/>
      <x:c r="O2158" s="7" t="str">
        <x:f>IF(N2158="","OPEN",IF(OR(I2158="",J2158="",K2158="",L2158="",M2158=""),"FAIL","PASS"))</x:f>
        <x:v>OPEN</x:v>
      </x:c>
    </x:row>
    <x:row r="2159">
      <x:c r="B2159" s="7" t="str">
        <x:v>CH-PEA-C-X3-23-5</x:v>
      </x:c>
      <x:c r="C2159" s="7" t="str">
        <x:v>PEA-C-X3</x:v>
      </x:c>
      <x:c r="D2159" s="7" t="str">
        <x:v>BLD-C</x:v>
      </x:c>
      <x:c r="E2159" s="7" t="str">
        <x:v>BL-X</x:v>
      </x:c>
      <x:c r="F2159" s="7" t="str">
        <x:v>MF-23</x:v>
      </x:c>
      <x:c r="G2159" s="7" t="str">
        <x:v>water ancestry</x:v>
      </x:c>
      <x:c r="H2159" s="7" t="n">
        <x:v>5</x:v>
      </x:c>
      <x:c r="I2159" s="7" t="str"/>
      <x:c r="J2159" s="7" t="str"/>
      <x:c r="K2159" s="7" t="str"/>
      <x:c r="L2159" s="7" t="str"/>
      <x:c r="M2159" s="7" t="str"/>
      <x:c r="N2159" s="7" t="str"/>
      <x:c r="O2159" s="7" t="str">
        <x:f>IF(N2159="","OPEN",IF(OR(I2159="",J2159="",K2159="",L2159="",M2159=""),"FAIL","PASS"))</x:f>
        <x:v>OPEN</x:v>
      </x:c>
    </x:row>
    <x:row r="2160">
      <x:c r="B2160" s="7" t="str">
        <x:v>CH-PEA-C-X3-23-6</x:v>
      </x:c>
      <x:c r="C2160" s="7" t="str">
        <x:v>PEA-C-X3</x:v>
      </x:c>
      <x:c r="D2160" s="7" t="str">
        <x:v>BLD-C</x:v>
      </x:c>
      <x:c r="E2160" s="7" t="str">
        <x:v>BL-X</x:v>
      </x:c>
      <x:c r="F2160" s="7" t="str">
        <x:v>MF-23</x:v>
      </x:c>
      <x:c r="G2160" s="7" t="str">
        <x:v>water ancestry</x:v>
      </x:c>
      <x:c r="H2160" s="7" t="n">
        <x:v>6</x:v>
      </x:c>
      <x:c r="I2160" s="7" t="str"/>
      <x:c r="J2160" s="7" t="str"/>
      <x:c r="K2160" s="7" t="str"/>
      <x:c r="L2160" s="7" t="str"/>
      <x:c r="M2160" s="7" t="str"/>
      <x:c r="N2160" s="7" t="str"/>
      <x:c r="O2160" s="7" t="str">
        <x:f>IF(N2160="","OPEN",IF(OR(I2160="",J2160="",K2160="",L2160="",M2160=""),"FAIL","PASS"))</x:f>
        <x:v>OPEN</x:v>
      </x:c>
    </x:row>
    <x:row r="2161">
      <x:c r="B2161" s="7" t="str">
        <x:v>CH-PEA-C-X3-24-1</x:v>
      </x:c>
      <x:c r="C2161" s="7" t="str">
        <x:v>PEA-C-X3</x:v>
      </x:c>
      <x:c r="D2161" s="7" t="str">
        <x:v>BLD-C</x:v>
      </x:c>
      <x:c r="E2161" s="7" t="str">
        <x:v>BL-X</x:v>
      </x:c>
      <x:c r="F2161" s="7" t="str">
        <x:v>MF-24</x:v>
      </x:c>
      <x:c r="G2161" s="7" t="str">
        <x:v>evidence health</x:v>
      </x:c>
      <x:c r="H2161" s="7" t="n">
        <x:v>1</x:v>
      </x:c>
      <x:c r="I2161" s="7" t="str"/>
      <x:c r="J2161" s="7" t="str"/>
      <x:c r="K2161" s="7" t="str"/>
      <x:c r="L2161" s="7" t="str"/>
      <x:c r="M2161" s="7" t="str"/>
      <x:c r="N2161" s="7" t="str"/>
      <x:c r="O2161" s="7" t="str">
        <x:f>IF(N2161="","OPEN",IF(OR(I2161="",J2161="",K2161="",L2161="",M2161=""),"FAIL","PASS"))</x:f>
        <x:v>OPEN</x:v>
      </x:c>
    </x:row>
    <x:row r="2162">
      <x:c r="B2162" s="7" t="str">
        <x:v>CH-PEA-C-X3-24-2</x:v>
      </x:c>
      <x:c r="C2162" s="7" t="str">
        <x:v>PEA-C-X3</x:v>
      </x:c>
      <x:c r="D2162" s="7" t="str">
        <x:v>BLD-C</x:v>
      </x:c>
      <x:c r="E2162" s="7" t="str">
        <x:v>BL-X</x:v>
      </x:c>
      <x:c r="F2162" s="7" t="str">
        <x:v>MF-24</x:v>
      </x:c>
      <x:c r="G2162" s="7" t="str">
        <x:v>evidence health</x:v>
      </x:c>
      <x:c r="H2162" s="7" t="n">
        <x:v>2</x:v>
      </x:c>
      <x:c r="I2162" s="7" t="str"/>
      <x:c r="J2162" s="7" t="str"/>
      <x:c r="K2162" s="7" t="str"/>
      <x:c r="L2162" s="7" t="str"/>
      <x:c r="M2162" s="7" t="str"/>
      <x:c r="N2162" s="7" t="str"/>
      <x:c r="O2162" s="7" t="str">
        <x:f>IF(N2162="","OPEN",IF(OR(I2162="",J2162="",K2162="",L2162="",M2162=""),"FAIL","PASS"))</x:f>
        <x:v>OPEN</x:v>
      </x:c>
    </x:row>
    <x:row r="2163">
      <x:c r="B2163" s="7" t="str">
        <x:v>CH-PEA-C-X3-24-3</x:v>
      </x:c>
      <x:c r="C2163" s="7" t="str">
        <x:v>PEA-C-X3</x:v>
      </x:c>
      <x:c r="D2163" s="7" t="str">
        <x:v>BLD-C</x:v>
      </x:c>
      <x:c r="E2163" s="7" t="str">
        <x:v>BL-X</x:v>
      </x:c>
      <x:c r="F2163" s="7" t="str">
        <x:v>MF-24</x:v>
      </x:c>
      <x:c r="G2163" s="7" t="str">
        <x:v>evidence health</x:v>
      </x:c>
      <x:c r="H2163" s="7" t="n">
        <x:v>3</x:v>
      </x:c>
      <x:c r="I2163" s="7" t="str"/>
      <x:c r="J2163" s="7" t="str"/>
      <x:c r="K2163" s="7" t="str"/>
      <x:c r="L2163" s="7" t="str"/>
      <x:c r="M2163" s="7" t="str"/>
      <x:c r="N2163" s="7" t="str"/>
      <x:c r="O2163" s="7" t="str">
        <x:f>IF(N2163="","OPEN",IF(OR(I2163="",J2163="",K2163="",L2163="",M2163=""),"FAIL","PASS"))</x:f>
        <x:v>OPEN</x:v>
      </x:c>
    </x:row>
    <x:row r="2164">
      <x:c r="B2164" s="7" t="str">
        <x:v>CH-PEA-C-X3-24-4</x:v>
      </x:c>
      <x:c r="C2164" s="7" t="str">
        <x:v>PEA-C-X3</x:v>
      </x:c>
      <x:c r="D2164" s="7" t="str">
        <x:v>BLD-C</x:v>
      </x:c>
      <x:c r="E2164" s="7" t="str">
        <x:v>BL-X</x:v>
      </x:c>
      <x:c r="F2164" s="7" t="str">
        <x:v>MF-24</x:v>
      </x:c>
      <x:c r="G2164" s="7" t="str">
        <x:v>evidence health</x:v>
      </x:c>
      <x:c r="H2164" s="7" t="n">
        <x:v>4</x:v>
      </x:c>
      <x:c r="I2164" s="7" t="str"/>
      <x:c r="J2164" s="7" t="str"/>
      <x:c r="K2164" s="7" t="str"/>
      <x:c r="L2164" s="7" t="str"/>
      <x:c r="M2164" s="7" t="str"/>
      <x:c r="N2164" s="7" t="str"/>
      <x:c r="O2164" s="7" t="str">
        <x:f>IF(N2164="","OPEN",IF(OR(I2164="",J2164="",K2164="",L2164="",M2164=""),"FAIL","PASS"))</x:f>
        <x:v>OPEN</x:v>
      </x:c>
    </x:row>
    <x:row r="2165">
      <x:c r="B2165" s="7" t="str">
        <x:v>CH-PEA-C-X3-24-5</x:v>
      </x:c>
      <x:c r="C2165" s="7" t="str">
        <x:v>PEA-C-X3</x:v>
      </x:c>
      <x:c r="D2165" s="7" t="str">
        <x:v>BLD-C</x:v>
      </x:c>
      <x:c r="E2165" s="7" t="str">
        <x:v>BL-X</x:v>
      </x:c>
      <x:c r="F2165" s="7" t="str">
        <x:v>MF-24</x:v>
      </x:c>
      <x:c r="G2165" s="7" t="str">
        <x:v>evidence health</x:v>
      </x:c>
      <x:c r="H2165" s="7" t="n">
        <x:v>5</x:v>
      </x:c>
      <x:c r="I2165" s="7" t="str"/>
      <x:c r="J2165" s="7" t="str"/>
      <x:c r="K2165" s="7" t="str"/>
      <x:c r="L2165" s="7" t="str"/>
      <x:c r="M2165" s="7" t="str"/>
      <x:c r="N2165" s="7" t="str"/>
      <x:c r="O2165" s="7" t="str">
        <x:f>IF(N2165="","OPEN",IF(OR(I2165="",J2165="",K2165="",L2165="",M2165=""),"FAIL","PASS"))</x:f>
        <x:v>OPEN</x:v>
      </x:c>
    </x:row>
    <x:row r="2166">
      <x:c r="B2166" s="7" t="str">
        <x:v>CH-PEA-C-X3-24-6</x:v>
      </x:c>
      <x:c r="C2166" s="7" t="str">
        <x:v>PEA-C-X3</x:v>
      </x:c>
      <x:c r="D2166" s="7" t="str">
        <x:v>BLD-C</x:v>
      </x:c>
      <x:c r="E2166" s="7" t="str">
        <x:v>BL-X</x:v>
      </x:c>
      <x:c r="F2166" s="7" t="str">
        <x:v>MF-24</x:v>
      </x:c>
      <x:c r="G2166" s="7" t="str">
        <x:v>evidence health</x:v>
      </x:c>
      <x:c r="H2166" s="7" t="n">
        <x:v>6</x:v>
      </x:c>
      <x:c r="I2166" s="7" t="str"/>
      <x:c r="J2166" s="7" t="str"/>
      <x:c r="K2166" s="7" t="str"/>
      <x:c r="L2166" s="7" t="str"/>
      <x:c r="M2166" s="7" t="str"/>
      <x:c r="N2166" s="7" t="str"/>
      <x:c r="O2166" s="7" t="str">
        <x:f>IF(N2166="","OPEN",IF(OR(I2166="",J2166="",K2166="",L2166="",M2166=""),"FAIL","PASS"))</x:f>
        <x:v>OPEN</x:v>
      </x:c>
    </x:row>
    <x:row r="2167">
      <x:c r="B2167" s="7" t="str">
        <x:v>CH-PEA-C-Y1-01-1</x:v>
      </x:c>
      <x:c r="C2167" s="7" t="str">
        <x:v>PEA-C-Y1</x:v>
      </x:c>
      <x:c r="D2167" s="7" t="str">
        <x:v>BLD-C</x:v>
      </x:c>
      <x:c r="E2167" s="7" t="str">
        <x:v>BL-Y</x:v>
      </x:c>
      <x:c r="F2167" s="7" t="str">
        <x:v>MF-01</x:v>
      </x:c>
      <x:c r="G2167" s="7" t="str">
        <x:v>source vessel mass</x:v>
      </x:c>
      <x:c r="H2167" s="7" t="n">
        <x:v>1</x:v>
      </x:c>
      <x:c r="I2167" s="7" t="str"/>
      <x:c r="J2167" s="7" t="str"/>
      <x:c r="K2167" s="7" t="str"/>
      <x:c r="L2167" s="7" t="str"/>
      <x:c r="M2167" s="7" t="str"/>
      <x:c r="N2167" s="7" t="str"/>
      <x:c r="O2167" s="7" t="str">
        <x:f>IF(N2167="","OPEN",IF(OR(I2167="",J2167="",K2167="",L2167="",M2167=""),"FAIL","PASS"))</x:f>
        <x:v>OPEN</x:v>
      </x:c>
    </x:row>
    <x:row r="2168">
      <x:c r="B2168" s="7" t="str">
        <x:v>CH-PEA-C-Y1-01-2</x:v>
      </x:c>
      <x:c r="C2168" s="7" t="str">
        <x:v>PEA-C-Y1</x:v>
      </x:c>
      <x:c r="D2168" s="7" t="str">
        <x:v>BLD-C</x:v>
      </x:c>
      <x:c r="E2168" s="7" t="str">
        <x:v>BL-Y</x:v>
      </x:c>
      <x:c r="F2168" s="7" t="str">
        <x:v>MF-01</x:v>
      </x:c>
      <x:c r="G2168" s="7" t="str">
        <x:v>source vessel mass</x:v>
      </x:c>
      <x:c r="H2168" s="7" t="n">
        <x:v>2</x:v>
      </x:c>
      <x:c r="I2168" s="7" t="str"/>
      <x:c r="J2168" s="7" t="str"/>
      <x:c r="K2168" s="7" t="str"/>
      <x:c r="L2168" s="7" t="str"/>
      <x:c r="M2168" s="7" t="str"/>
      <x:c r="N2168" s="7" t="str"/>
      <x:c r="O2168" s="7" t="str">
        <x:f>IF(N2168="","OPEN",IF(OR(I2168="",J2168="",K2168="",L2168="",M2168=""),"FAIL","PASS"))</x:f>
        <x:v>OPEN</x:v>
      </x:c>
    </x:row>
    <x:row r="2169">
      <x:c r="B2169" s="7" t="str">
        <x:v>CH-PEA-C-Y1-01-3</x:v>
      </x:c>
      <x:c r="C2169" s="7" t="str">
        <x:v>PEA-C-Y1</x:v>
      </x:c>
      <x:c r="D2169" s="7" t="str">
        <x:v>BLD-C</x:v>
      </x:c>
      <x:c r="E2169" s="7" t="str">
        <x:v>BL-Y</x:v>
      </x:c>
      <x:c r="F2169" s="7" t="str">
        <x:v>MF-01</x:v>
      </x:c>
      <x:c r="G2169" s="7" t="str">
        <x:v>source vessel mass</x:v>
      </x:c>
      <x:c r="H2169" s="7" t="n">
        <x:v>3</x:v>
      </x:c>
      <x:c r="I2169" s="7" t="str"/>
      <x:c r="J2169" s="7" t="str"/>
      <x:c r="K2169" s="7" t="str"/>
      <x:c r="L2169" s="7" t="str"/>
      <x:c r="M2169" s="7" t="str"/>
      <x:c r="N2169" s="7" t="str"/>
      <x:c r="O2169" s="7" t="str">
        <x:f>IF(N2169="","OPEN",IF(OR(I2169="",J2169="",K2169="",L2169="",M2169=""),"FAIL","PASS"))</x:f>
        <x:v>OPEN</x:v>
      </x:c>
    </x:row>
    <x:row r="2170">
      <x:c r="B2170" s="7" t="str">
        <x:v>CH-PEA-C-Y1-01-4</x:v>
      </x:c>
      <x:c r="C2170" s="7" t="str">
        <x:v>PEA-C-Y1</x:v>
      </x:c>
      <x:c r="D2170" s="7" t="str">
        <x:v>BLD-C</x:v>
      </x:c>
      <x:c r="E2170" s="7" t="str">
        <x:v>BL-Y</x:v>
      </x:c>
      <x:c r="F2170" s="7" t="str">
        <x:v>MF-01</x:v>
      </x:c>
      <x:c r="G2170" s="7" t="str">
        <x:v>source vessel mass</x:v>
      </x:c>
      <x:c r="H2170" s="7" t="n">
        <x:v>4</x:v>
      </x:c>
      <x:c r="I2170" s="7" t="str"/>
      <x:c r="J2170" s="7" t="str"/>
      <x:c r="K2170" s="7" t="str"/>
      <x:c r="L2170" s="7" t="str"/>
      <x:c r="M2170" s="7" t="str"/>
      <x:c r="N2170" s="7" t="str"/>
      <x:c r="O2170" s="7" t="str">
        <x:f>IF(N2170="","OPEN",IF(OR(I2170="",J2170="",K2170="",L2170="",M2170=""),"FAIL","PASS"))</x:f>
        <x:v>OPEN</x:v>
      </x:c>
    </x:row>
    <x:row r="2171">
      <x:c r="B2171" s="7" t="str">
        <x:v>CH-PEA-C-Y1-01-5</x:v>
      </x:c>
      <x:c r="C2171" s="7" t="str">
        <x:v>PEA-C-Y1</x:v>
      </x:c>
      <x:c r="D2171" s="7" t="str">
        <x:v>BLD-C</x:v>
      </x:c>
      <x:c r="E2171" s="7" t="str">
        <x:v>BL-Y</x:v>
      </x:c>
      <x:c r="F2171" s="7" t="str">
        <x:v>MF-01</x:v>
      </x:c>
      <x:c r="G2171" s="7" t="str">
        <x:v>source vessel mass</x:v>
      </x:c>
      <x:c r="H2171" s="7" t="n">
        <x:v>5</x:v>
      </x:c>
      <x:c r="I2171" s="7" t="str"/>
      <x:c r="J2171" s="7" t="str"/>
      <x:c r="K2171" s="7" t="str"/>
      <x:c r="L2171" s="7" t="str"/>
      <x:c r="M2171" s="7" t="str"/>
      <x:c r="N2171" s="7" t="str"/>
      <x:c r="O2171" s="7" t="str">
        <x:f>IF(N2171="","OPEN",IF(OR(I2171="",J2171="",K2171="",L2171="",M2171=""),"FAIL","PASS"))</x:f>
        <x:v>OPEN</x:v>
      </x:c>
    </x:row>
    <x:row r="2172">
      <x:c r="B2172" s="7" t="str">
        <x:v>CH-PEA-C-Y1-01-6</x:v>
      </x:c>
      <x:c r="C2172" s="7" t="str">
        <x:v>PEA-C-Y1</x:v>
      </x:c>
      <x:c r="D2172" s="7" t="str">
        <x:v>BLD-C</x:v>
      </x:c>
      <x:c r="E2172" s="7" t="str">
        <x:v>BL-Y</x:v>
      </x:c>
      <x:c r="F2172" s="7" t="str">
        <x:v>MF-01</x:v>
      </x:c>
      <x:c r="G2172" s="7" t="str">
        <x:v>source vessel mass</x:v>
      </x:c>
      <x:c r="H2172" s="7" t="n">
        <x:v>6</x:v>
      </x:c>
      <x:c r="I2172" s="7" t="str"/>
      <x:c r="J2172" s="7" t="str"/>
      <x:c r="K2172" s="7" t="str"/>
      <x:c r="L2172" s="7" t="str"/>
      <x:c r="M2172" s="7" t="str"/>
      <x:c r="N2172" s="7" t="str"/>
      <x:c r="O2172" s="7" t="str">
        <x:f>IF(N2172="","OPEN",IF(OR(I2172="",J2172="",K2172="",L2172="",M2172=""),"FAIL","PASS"))</x:f>
        <x:v>OPEN</x:v>
      </x:c>
    </x:row>
    <x:row r="2173">
      <x:c r="B2173" s="7" t="str">
        <x:v>CH-PEA-C-Y1-02-1</x:v>
      </x:c>
      <x:c r="C2173" s="7" t="str">
        <x:v>PEA-C-Y1</x:v>
      </x:c>
      <x:c r="D2173" s="7" t="str">
        <x:v>BLD-C</x:v>
      </x:c>
      <x:c r="E2173" s="7" t="str">
        <x:v>BL-Y</x:v>
      </x:c>
      <x:c r="F2173" s="7" t="str">
        <x:v>MF-02</x:v>
      </x:c>
      <x:c r="G2173" s="7" t="str">
        <x:v>transfer mass</x:v>
      </x:c>
      <x:c r="H2173" s="7" t="n">
        <x:v>1</x:v>
      </x:c>
      <x:c r="I2173" s="7" t="str"/>
      <x:c r="J2173" s="7" t="str"/>
      <x:c r="K2173" s="7" t="str"/>
      <x:c r="L2173" s="7" t="str"/>
      <x:c r="M2173" s="7" t="str"/>
      <x:c r="N2173" s="7" t="str"/>
      <x:c r="O2173" s="7" t="str">
        <x:f>IF(N2173="","OPEN",IF(OR(I2173="",J2173="",K2173="",L2173="",M2173=""),"FAIL","PASS"))</x:f>
        <x:v>OPEN</x:v>
      </x:c>
    </x:row>
    <x:row r="2174">
      <x:c r="B2174" s="7" t="str">
        <x:v>CH-PEA-C-Y1-02-2</x:v>
      </x:c>
      <x:c r="C2174" s="7" t="str">
        <x:v>PEA-C-Y1</x:v>
      </x:c>
      <x:c r="D2174" s="7" t="str">
        <x:v>BLD-C</x:v>
      </x:c>
      <x:c r="E2174" s="7" t="str">
        <x:v>BL-Y</x:v>
      </x:c>
      <x:c r="F2174" s="7" t="str">
        <x:v>MF-02</x:v>
      </x:c>
      <x:c r="G2174" s="7" t="str">
        <x:v>transfer mass</x:v>
      </x:c>
      <x:c r="H2174" s="7" t="n">
        <x:v>2</x:v>
      </x:c>
      <x:c r="I2174" s="7" t="str"/>
      <x:c r="J2174" s="7" t="str"/>
      <x:c r="K2174" s="7" t="str"/>
      <x:c r="L2174" s="7" t="str"/>
      <x:c r="M2174" s="7" t="str"/>
      <x:c r="N2174" s="7" t="str"/>
      <x:c r="O2174" s="7" t="str">
        <x:f>IF(N2174="","OPEN",IF(OR(I2174="",J2174="",K2174="",L2174="",M2174=""),"FAIL","PASS"))</x:f>
        <x:v>OPEN</x:v>
      </x:c>
    </x:row>
    <x:row r="2175">
      <x:c r="B2175" s="7" t="str">
        <x:v>CH-PEA-C-Y1-02-3</x:v>
      </x:c>
      <x:c r="C2175" s="7" t="str">
        <x:v>PEA-C-Y1</x:v>
      </x:c>
      <x:c r="D2175" s="7" t="str">
        <x:v>BLD-C</x:v>
      </x:c>
      <x:c r="E2175" s="7" t="str">
        <x:v>BL-Y</x:v>
      </x:c>
      <x:c r="F2175" s="7" t="str">
        <x:v>MF-02</x:v>
      </x:c>
      <x:c r="G2175" s="7" t="str">
        <x:v>transfer mass</x:v>
      </x:c>
      <x:c r="H2175" s="7" t="n">
        <x:v>3</x:v>
      </x:c>
      <x:c r="I2175" s="7" t="str"/>
      <x:c r="J2175" s="7" t="str"/>
      <x:c r="K2175" s="7" t="str"/>
      <x:c r="L2175" s="7" t="str"/>
      <x:c r="M2175" s="7" t="str"/>
      <x:c r="N2175" s="7" t="str"/>
      <x:c r="O2175" s="7" t="str">
        <x:f>IF(N2175="","OPEN",IF(OR(I2175="",J2175="",K2175="",L2175="",M2175=""),"FAIL","PASS"))</x:f>
        <x:v>OPEN</x:v>
      </x:c>
    </x:row>
    <x:row r="2176">
      <x:c r="B2176" s="7" t="str">
        <x:v>CH-PEA-C-Y1-02-4</x:v>
      </x:c>
      <x:c r="C2176" s="7" t="str">
        <x:v>PEA-C-Y1</x:v>
      </x:c>
      <x:c r="D2176" s="7" t="str">
        <x:v>BLD-C</x:v>
      </x:c>
      <x:c r="E2176" s="7" t="str">
        <x:v>BL-Y</x:v>
      </x:c>
      <x:c r="F2176" s="7" t="str">
        <x:v>MF-02</x:v>
      </x:c>
      <x:c r="G2176" s="7" t="str">
        <x:v>transfer mass</x:v>
      </x:c>
      <x:c r="H2176" s="7" t="n">
        <x:v>4</x:v>
      </x:c>
      <x:c r="I2176" s="7" t="str"/>
      <x:c r="J2176" s="7" t="str"/>
      <x:c r="K2176" s="7" t="str"/>
      <x:c r="L2176" s="7" t="str"/>
      <x:c r="M2176" s="7" t="str"/>
      <x:c r="N2176" s="7" t="str"/>
      <x:c r="O2176" s="7" t="str">
        <x:f>IF(N2176="","OPEN",IF(OR(I2176="",J2176="",K2176="",L2176="",M2176=""),"FAIL","PASS"))</x:f>
        <x:v>OPEN</x:v>
      </x:c>
    </x:row>
    <x:row r="2177">
      <x:c r="B2177" s="7" t="str">
        <x:v>CH-PEA-C-Y1-02-5</x:v>
      </x:c>
      <x:c r="C2177" s="7" t="str">
        <x:v>PEA-C-Y1</x:v>
      </x:c>
      <x:c r="D2177" s="7" t="str">
        <x:v>BLD-C</x:v>
      </x:c>
      <x:c r="E2177" s="7" t="str">
        <x:v>BL-Y</x:v>
      </x:c>
      <x:c r="F2177" s="7" t="str">
        <x:v>MF-02</x:v>
      </x:c>
      <x:c r="G2177" s="7" t="str">
        <x:v>transfer mass</x:v>
      </x:c>
      <x:c r="H2177" s="7" t="n">
        <x:v>5</x:v>
      </x:c>
      <x:c r="I2177" s="7" t="str"/>
      <x:c r="J2177" s="7" t="str"/>
      <x:c r="K2177" s="7" t="str"/>
      <x:c r="L2177" s="7" t="str"/>
      <x:c r="M2177" s="7" t="str"/>
      <x:c r="N2177" s="7" t="str"/>
      <x:c r="O2177" s="7" t="str">
        <x:f>IF(N2177="","OPEN",IF(OR(I2177="",J2177="",K2177="",L2177="",M2177=""),"FAIL","PASS"))</x:f>
        <x:v>OPEN</x:v>
      </x:c>
    </x:row>
    <x:row r="2178">
      <x:c r="B2178" s="7" t="str">
        <x:v>CH-PEA-C-Y1-02-6</x:v>
      </x:c>
      <x:c r="C2178" s="7" t="str">
        <x:v>PEA-C-Y1</x:v>
      </x:c>
      <x:c r="D2178" s="7" t="str">
        <x:v>BLD-C</x:v>
      </x:c>
      <x:c r="E2178" s="7" t="str">
        <x:v>BL-Y</x:v>
      </x:c>
      <x:c r="F2178" s="7" t="str">
        <x:v>MF-02</x:v>
      </x:c>
      <x:c r="G2178" s="7" t="str">
        <x:v>transfer mass</x:v>
      </x:c>
      <x:c r="H2178" s="7" t="n">
        <x:v>6</x:v>
      </x:c>
      <x:c r="I2178" s="7" t="str"/>
      <x:c r="J2178" s="7" t="str"/>
      <x:c r="K2178" s="7" t="str"/>
      <x:c r="L2178" s="7" t="str"/>
      <x:c r="M2178" s="7" t="str"/>
      <x:c r="N2178" s="7" t="str"/>
      <x:c r="O2178" s="7" t="str">
        <x:f>IF(N2178="","OPEN",IF(OR(I2178="",J2178="",K2178="",L2178="",M2178=""),"FAIL","PASS"))</x:f>
        <x:v>OPEN</x:v>
      </x:c>
    </x:row>
    <x:row r="2179">
      <x:c r="B2179" s="7" t="str">
        <x:v>CH-PEA-C-Y1-03-1</x:v>
      </x:c>
      <x:c r="C2179" s="7" t="str">
        <x:v>PEA-C-Y1</x:v>
      </x:c>
      <x:c r="D2179" s="7" t="str">
        <x:v>BLD-C</x:v>
      </x:c>
      <x:c r="E2179" s="7" t="str">
        <x:v>BL-Y</x:v>
      </x:c>
      <x:c r="F2179" s="7" t="str">
        <x:v>MF-03</x:v>
      </x:c>
      <x:c r="G2179" s="7" t="str">
        <x:v>source pressure</x:v>
      </x:c>
      <x:c r="H2179" s="7" t="n">
        <x:v>1</x:v>
      </x:c>
      <x:c r="I2179" s="7" t="str"/>
      <x:c r="J2179" s="7" t="str"/>
      <x:c r="K2179" s="7" t="str"/>
      <x:c r="L2179" s="7" t="str"/>
      <x:c r="M2179" s="7" t="str"/>
      <x:c r="N2179" s="7" t="str"/>
      <x:c r="O2179" s="7" t="str">
        <x:f>IF(N2179="","OPEN",IF(OR(I2179="",J2179="",K2179="",L2179="",M2179=""),"FAIL","PASS"))</x:f>
        <x:v>OPEN</x:v>
      </x:c>
    </x:row>
    <x:row r="2180">
      <x:c r="B2180" s="7" t="str">
        <x:v>CH-PEA-C-Y1-03-2</x:v>
      </x:c>
      <x:c r="C2180" s="7" t="str">
        <x:v>PEA-C-Y1</x:v>
      </x:c>
      <x:c r="D2180" s="7" t="str">
        <x:v>BLD-C</x:v>
      </x:c>
      <x:c r="E2180" s="7" t="str">
        <x:v>BL-Y</x:v>
      </x:c>
      <x:c r="F2180" s="7" t="str">
        <x:v>MF-03</x:v>
      </x:c>
      <x:c r="G2180" s="7" t="str">
        <x:v>source pressure</x:v>
      </x:c>
      <x:c r="H2180" s="7" t="n">
        <x:v>2</x:v>
      </x:c>
      <x:c r="I2180" s="7" t="str"/>
      <x:c r="J2180" s="7" t="str"/>
      <x:c r="K2180" s="7" t="str"/>
      <x:c r="L2180" s="7" t="str"/>
      <x:c r="M2180" s="7" t="str"/>
      <x:c r="N2180" s="7" t="str"/>
      <x:c r="O2180" s="7" t="str">
        <x:f>IF(N2180="","OPEN",IF(OR(I2180="",J2180="",K2180="",L2180="",M2180=""),"FAIL","PASS"))</x:f>
        <x:v>OPEN</x:v>
      </x:c>
    </x:row>
    <x:row r="2181">
      <x:c r="B2181" s="7" t="str">
        <x:v>CH-PEA-C-Y1-03-3</x:v>
      </x:c>
      <x:c r="C2181" s="7" t="str">
        <x:v>PEA-C-Y1</x:v>
      </x:c>
      <x:c r="D2181" s="7" t="str">
        <x:v>BLD-C</x:v>
      </x:c>
      <x:c r="E2181" s="7" t="str">
        <x:v>BL-Y</x:v>
      </x:c>
      <x:c r="F2181" s="7" t="str">
        <x:v>MF-03</x:v>
      </x:c>
      <x:c r="G2181" s="7" t="str">
        <x:v>source pressure</x:v>
      </x:c>
      <x:c r="H2181" s="7" t="n">
        <x:v>3</x:v>
      </x:c>
      <x:c r="I2181" s="7" t="str"/>
      <x:c r="J2181" s="7" t="str"/>
      <x:c r="K2181" s="7" t="str"/>
      <x:c r="L2181" s="7" t="str"/>
      <x:c r="M2181" s="7" t="str"/>
      <x:c r="N2181" s="7" t="str"/>
      <x:c r="O2181" s="7" t="str">
        <x:f>IF(N2181="","OPEN",IF(OR(I2181="",J2181="",K2181="",L2181="",M2181=""),"FAIL","PASS"))</x:f>
        <x:v>OPEN</x:v>
      </x:c>
    </x:row>
    <x:row r="2182">
      <x:c r="B2182" s="7" t="str">
        <x:v>CH-PEA-C-Y1-03-4</x:v>
      </x:c>
      <x:c r="C2182" s="7" t="str">
        <x:v>PEA-C-Y1</x:v>
      </x:c>
      <x:c r="D2182" s="7" t="str">
        <x:v>BLD-C</x:v>
      </x:c>
      <x:c r="E2182" s="7" t="str">
        <x:v>BL-Y</x:v>
      </x:c>
      <x:c r="F2182" s="7" t="str">
        <x:v>MF-03</x:v>
      </x:c>
      <x:c r="G2182" s="7" t="str">
        <x:v>source pressure</x:v>
      </x:c>
      <x:c r="H2182" s="7" t="n">
        <x:v>4</x:v>
      </x:c>
      <x:c r="I2182" s="7" t="str"/>
      <x:c r="J2182" s="7" t="str"/>
      <x:c r="K2182" s="7" t="str"/>
      <x:c r="L2182" s="7" t="str"/>
      <x:c r="M2182" s="7" t="str"/>
      <x:c r="N2182" s="7" t="str"/>
      <x:c r="O2182" s="7" t="str">
        <x:f>IF(N2182="","OPEN",IF(OR(I2182="",J2182="",K2182="",L2182="",M2182=""),"FAIL","PASS"))</x:f>
        <x:v>OPEN</x:v>
      </x:c>
    </x:row>
    <x:row r="2183">
      <x:c r="B2183" s="7" t="str">
        <x:v>CH-PEA-C-Y1-03-5</x:v>
      </x:c>
      <x:c r="C2183" s="7" t="str">
        <x:v>PEA-C-Y1</x:v>
      </x:c>
      <x:c r="D2183" s="7" t="str">
        <x:v>BLD-C</x:v>
      </x:c>
      <x:c r="E2183" s="7" t="str">
        <x:v>BL-Y</x:v>
      </x:c>
      <x:c r="F2183" s="7" t="str">
        <x:v>MF-03</x:v>
      </x:c>
      <x:c r="G2183" s="7" t="str">
        <x:v>source pressure</x:v>
      </x:c>
      <x:c r="H2183" s="7" t="n">
        <x:v>5</x:v>
      </x:c>
      <x:c r="I2183" s="7" t="str"/>
      <x:c r="J2183" s="7" t="str"/>
      <x:c r="K2183" s="7" t="str"/>
      <x:c r="L2183" s="7" t="str"/>
      <x:c r="M2183" s="7" t="str"/>
      <x:c r="N2183" s="7" t="str"/>
      <x:c r="O2183" s="7" t="str">
        <x:f>IF(N2183="","OPEN",IF(OR(I2183="",J2183="",K2183="",L2183="",M2183=""),"FAIL","PASS"))</x:f>
        <x:v>OPEN</x:v>
      </x:c>
    </x:row>
    <x:row r="2184">
      <x:c r="B2184" s="7" t="str">
        <x:v>CH-PEA-C-Y1-03-6</x:v>
      </x:c>
      <x:c r="C2184" s="7" t="str">
        <x:v>PEA-C-Y1</x:v>
      </x:c>
      <x:c r="D2184" s="7" t="str">
        <x:v>BLD-C</x:v>
      </x:c>
      <x:c r="E2184" s="7" t="str">
        <x:v>BL-Y</x:v>
      </x:c>
      <x:c r="F2184" s="7" t="str">
        <x:v>MF-03</x:v>
      </x:c>
      <x:c r="G2184" s="7" t="str">
        <x:v>source pressure</x:v>
      </x:c>
      <x:c r="H2184" s="7" t="n">
        <x:v>6</x:v>
      </x:c>
      <x:c r="I2184" s="7" t="str"/>
      <x:c r="J2184" s="7" t="str"/>
      <x:c r="K2184" s="7" t="str"/>
      <x:c r="L2184" s="7" t="str"/>
      <x:c r="M2184" s="7" t="str"/>
      <x:c r="N2184" s="7" t="str"/>
      <x:c r="O2184" s="7" t="str">
        <x:f>IF(N2184="","OPEN",IF(OR(I2184="",J2184="",K2184="",L2184="",M2184=""),"FAIL","PASS"))</x:f>
        <x:v>OPEN</x:v>
      </x:c>
    </x:row>
    <x:row r="2185">
      <x:c r="B2185" s="7" t="str">
        <x:v>CH-PEA-C-Y1-04-1</x:v>
      </x:c>
      <x:c r="C2185" s="7" t="str">
        <x:v>PEA-C-Y1</x:v>
      </x:c>
      <x:c r="D2185" s="7" t="str">
        <x:v>BLD-C</x:v>
      </x:c>
      <x:c r="E2185" s="7" t="str">
        <x:v>BL-Y</x:v>
      </x:c>
      <x:c r="F2185" s="7" t="str">
        <x:v>MF-04</x:v>
      </x:c>
      <x:c r="G2185" s="7" t="str">
        <x:v>source temperature</x:v>
      </x:c>
      <x:c r="H2185" s="7" t="n">
        <x:v>1</x:v>
      </x:c>
      <x:c r="I2185" s="7" t="str"/>
      <x:c r="J2185" s="7" t="str"/>
      <x:c r="K2185" s="7" t="str"/>
      <x:c r="L2185" s="7" t="str"/>
      <x:c r="M2185" s="7" t="str"/>
      <x:c r="N2185" s="7" t="str"/>
      <x:c r="O2185" s="7" t="str">
        <x:f>IF(N2185="","OPEN",IF(OR(I2185="",J2185="",K2185="",L2185="",M2185=""),"FAIL","PASS"))</x:f>
        <x:v>OPEN</x:v>
      </x:c>
    </x:row>
    <x:row r="2186">
      <x:c r="B2186" s="7" t="str">
        <x:v>CH-PEA-C-Y1-04-2</x:v>
      </x:c>
      <x:c r="C2186" s="7" t="str">
        <x:v>PEA-C-Y1</x:v>
      </x:c>
      <x:c r="D2186" s="7" t="str">
        <x:v>BLD-C</x:v>
      </x:c>
      <x:c r="E2186" s="7" t="str">
        <x:v>BL-Y</x:v>
      </x:c>
      <x:c r="F2186" s="7" t="str">
        <x:v>MF-04</x:v>
      </x:c>
      <x:c r="G2186" s="7" t="str">
        <x:v>source temperature</x:v>
      </x:c>
      <x:c r="H2186" s="7" t="n">
        <x:v>2</x:v>
      </x:c>
      <x:c r="I2186" s="7" t="str"/>
      <x:c r="J2186" s="7" t="str"/>
      <x:c r="K2186" s="7" t="str"/>
      <x:c r="L2186" s="7" t="str"/>
      <x:c r="M2186" s="7" t="str"/>
      <x:c r="N2186" s="7" t="str"/>
      <x:c r="O2186" s="7" t="str">
        <x:f>IF(N2186="","OPEN",IF(OR(I2186="",J2186="",K2186="",L2186="",M2186=""),"FAIL","PASS"))</x:f>
        <x:v>OPEN</x:v>
      </x:c>
    </x:row>
    <x:row r="2187">
      <x:c r="B2187" s="7" t="str">
        <x:v>CH-PEA-C-Y1-04-3</x:v>
      </x:c>
      <x:c r="C2187" s="7" t="str">
        <x:v>PEA-C-Y1</x:v>
      </x:c>
      <x:c r="D2187" s="7" t="str">
        <x:v>BLD-C</x:v>
      </x:c>
      <x:c r="E2187" s="7" t="str">
        <x:v>BL-Y</x:v>
      </x:c>
      <x:c r="F2187" s="7" t="str">
        <x:v>MF-04</x:v>
      </x:c>
      <x:c r="G2187" s="7" t="str">
        <x:v>source temperature</x:v>
      </x:c>
      <x:c r="H2187" s="7" t="n">
        <x:v>3</x:v>
      </x:c>
      <x:c r="I2187" s="7" t="str"/>
      <x:c r="J2187" s="7" t="str"/>
      <x:c r="K2187" s="7" t="str"/>
      <x:c r="L2187" s="7" t="str"/>
      <x:c r="M2187" s="7" t="str"/>
      <x:c r="N2187" s="7" t="str"/>
      <x:c r="O2187" s="7" t="str">
        <x:f>IF(N2187="","OPEN",IF(OR(I2187="",J2187="",K2187="",L2187="",M2187=""),"FAIL","PASS"))</x:f>
        <x:v>OPEN</x:v>
      </x:c>
    </x:row>
    <x:row r="2188">
      <x:c r="B2188" s="7" t="str">
        <x:v>CH-PEA-C-Y1-04-4</x:v>
      </x:c>
      <x:c r="C2188" s="7" t="str">
        <x:v>PEA-C-Y1</x:v>
      </x:c>
      <x:c r="D2188" s="7" t="str">
        <x:v>BLD-C</x:v>
      </x:c>
      <x:c r="E2188" s="7" t="str">
        <x:v>BL-Y</x:v>
      </x:c>
      <x:c r="F2188" s="7" t="str">
        <x:v>MF-04</x:v>
      </x:c>
      <x:c r="G2188" s="7" t="str">
        <x:v>source temperature</x:v>
      </x:c>
      <x:c r="H2188" s="7" t="n">
        <x:v>4</x:v>
      </x:c>
      <x:c r="I2188" s="7" t="str"/>
      <x:c r="J2188" s="7" t="str"/>
      <x:c r="K2188" s="7" t="str"/>
      <x:c r="L2188" s="7" t="str"/>
      <x:c r="M2188" s="7" t="str"/>
      <x:c r="N2188" s="7" t="str"/>
      <x:c r="O2188" s="7" t="str">
        <x:f>IF(N2188="","OPEN",IF(OR(I2188="",J2188="",K2188="",L2188="",M2188=""),"FAIL","PASS"))</x:f>
        <x:v>OPEN</x:v>
      </x:c>
    </x:row>
    <x:row r="2189">
      <x:c r="B2189" s="7" t="str">
        <x:v>CH-PEA-C-Y1-04-5</x:v>
      </x:c>
      <x:c r="C2189" s="7" t="str">
        <x:v>PEA-C-Y1</x:v>
      </x:c>
      <x:c r="D2189" s="7" t="str">
        <x:v>BLD-C</x:v>
      </x:c>
      <x:c r="E2189" s="7" t="str">
        <x:v>BL-Y</x:v>
      </x:c>
      <x:c r="F2189" s="7" t="str">
        <x:v>MF-04</x:v>
      </x:c>
      <x:c r="G2189" s="7" t="str">
        <x:v>source temperature</x:v>
      </x:c>
      <x:c r="H2189" s="7" t="n">
        <x:v>5</x:v>
      </x:c>
      <x:c r="I2189" s="7" t="str"/>
      <x:c r="J2189" s="7" t="str"/>
      <x:c r="K2189" s="7" t="str"/>
      <x:c r="L2189" s="7" t="str"/>
      <x:c r="M2189" s="7" t="str"/>
      <x:c r="N2189" s="7" t="str"/>
      <x:c r="O2189" s="7" t="str">
        <x:f>IF(N2189="","OPEN",IF(OR(I2189="",J2189="",K2189="",L2189="",M2189=""),"FAIL","PASS"))</x:f>
        <x:v>OPEN</x:v>
      </x:c>
    </x:row>
    <x:row r="2190">
      <x:c r="B2190" s="7" t="str">
        <x:v>CH-PEA-C-Y1-04-6</x:v>
      </x:c>
      <x:c r="C2190" s="7" t="str">
        <x:v>PEA-C-Y1</x:v>
      </x:c>
      <x:c r="D2190" s="7" t="str">
        <x:v>BLD-C</x:v>
      </x:c>
      <x:c r="E2190" s="7" t="str">
        <x:v>BL-Y</x:v>
      </x:c>
      <x:c r="F2190" s="7" t="str">
        <x:v>MF-04</x:v>
      </x:c>
      <x:c r="G2190" s="7" t="str">
        <x:v>source temperature</x:v>
      </x:c>
      <x:c r="H2190" s="7" t="n">
        <x:v>6</x:v>
      </x:c>
      <x:c r="I2190" s="7" t="str"/>
      <x:c r="J2190" s="7" t="str"/>
      <x:c r="K2190" s="7" t="str"/>
      <x:c r="L2190" s="7" t="str"/>
      <x:c r="M2190" s="7" t="str"/>
      <x:c r="N2190" s="7" t="str"/>
      <x:c r="O2190" s="7" t="str">
        <x:f>IF(N2190="","OPEN",IF(OR(I2190="",J2190="",K2190="",L2190="",M2190=""),"FAIL","PASS"))</x:f>
        <x:v>OPEN</x:v>
      </x:c>
    </x:row>
    <x:row r="2191">
      <x:c r="B2191" s="7" t="str">
        <x:v>CH-PEA-C-Y1-05-1</x:v>
      </x:c>
      <x:c r="C2191" s="7" t="str">
        <x:v>PEA-C-Y1</x:v>
      </x:c>
      <x:c r="D2191" s="7" t="str">
        <x:v>BLD-C</x:v>
      </x:c>
      <x:c r="E2191" s="7" t="str">
        <x:v>BL-Y</x:v>
      </x:c>
      <x:c r="F2191" s="7" t="str">
        <x:v>MF-05</x:v>
      </x:c>
      <x:c r="G2191" s="7" t="str">
        <x:v>hold-up tomography</x:v>
      </x:c>
      <x:c r="H2191" s="7" t="n">
        <x:v>1</x:v>
      </x:c>
      <x:c r="I2191" s="7" t="str"/>
      <x:c r="J2191" s="7" t="str"/>
      <x:c r="K2191" s="7" t="str"/>
      <x:c r="L2191" s="7" t="str"/>
      <x:c r="M2191" s="7" t="str"/>
      <x:c r="N2191" s="7" t="str"/>
      <x:c r="O2191" s="7" t="str">
        <x:f>IF(N2191="","OPEN",IF(OR(I2191="",J2191="",K2191="",L2191="",M2191=""),"FAIL","PASS"))</x:f>
        <x:v>OPEN</x:v>
      </x:c>
    </x:row>
    <x:row r="2192">
      <x:c r="B2192" s="7" t="str">
        <x:v>CH-PEA-C-Y1-05-2</x:v>
      </x:c>
      <x:c r="C2192" s="7" t="str">
        <x:v>PEA-C-Y1</x:v>
      </x:c>
      <x:c r="D2192" s="7" t="str">
        <x:v>BLD-C</x:v>
      </x:c>
      <x:c r="E2192" s="7" t="str">
        <x:v>BL-Y</x:v>
      </x:c>
      <x:c r="F2192" s="7" t="str">
        <x:v>MF-05</x:v>
      </x:c>
      <x:c r="G2192" s="7" t="str">
        <x:v>hold-up tomography</x:v>
      </x:c>
      <x:c r="H2192" s="7" t="n">
        <x:v>2</x:v>
      </x:c>
      <x:c r="I2192" s="7" t="str"/>
      <x:c r="J2192" s="7" t="str"/>
      <x:c r="K2192" s="7" t="str"/>
      <x:c r="L2192" s="7" t="str"/>
      <x:c r="M2192" s="7" t="str"/>
      <x:c r="N2192" s="7" t="str"/>
      <x:c r="O2192" s="7" t="str">
        <x:f>IF(N2192="","OPEN",IF(OR(I2192="",J2192="",K2192="",L2192="",M2192=""),"FAIL","PASS"))</x:f>
        <x:v>OPEN</x:v>
      </x:c>
    </x:row>
    <x:row r="2193">
      <x:c r="B2193" s="7" t="str">
        <x:v>CH-PEA-C-Y1-05-3</x:v>
      </x:c>
      <x:c r="C2193" s="7" t="str">
        <x:v>PEA-C-Y1</x:v>
      </x:c>
      <x:c r="D2193" s="7" t="str">
        <x:v>BLD-C</x:v>
      </x:c>
      <x:c r="E2193" s="7" t="str">
        <x:v>BL-Y</x:v>
      </x:c>
      <x:c r="F2193" s="7" t="str">
        <x:v>MF-05</x:v>
      </x:c>
      <x:c r="G2193" s="7" t="str">
        <x:v>hold-up tomography</x:v>
      </x:c>
      <x:c r="H2193" s="7" t="n">
        <x:v>3</x:v>
      </x:c>
      <x:c r="I2193" s="7" t="str"/>
      <x:c r="J2193" s="7" t="str"/>
      <x:c r="K2193" s="7" t="str"/>
      <x:c r="L2193" s="7" t="str"/>
      <x:c r="M2193" s="7" t="str"/>
      <x:c r="N2193" s="7" t="str"/>
      <x:c r="O2193" s="7" t="str">
        <x:f>IF(N2193="","OPEN",IF(OR(I2193="",J2193="",K2193="",L2193="",M2193=""),"FAIL","PASS"))</x:f>
        <x:v>OPEN</x:v>
      </x:c>
    </x:row>
    <x:row r="2194">
      <x:c r="B2194" s="7" t="str">
        <x:v>CH-PEA-C-Y1-05-4</x:v>
      </x:c>
      <x:c r="C2194" s="7" t="str">
        <x:v>PEA-C-Y1</x:v>
      </x:c>
      <x:c r="D2194" s="7" t="str">
        <x:v>BLD-C</x:v>
      </x:c>
      <x:c r="E2194" s="7" t="str">
        <x:v>BL-Y</x:v>
      </x:c>
      <x:c r="F2194" s="7" t="str">
        <x:v>MF-05</x:v>
      </x:c>
      <x:c r="G2194" s="7" t="str">
        <x:v>hold-up tomography</x:v>
      </x:c>
      <x:c r="H2194" s="7" t="n">
        <x:v>4</x:v>
      </x:c>
      <x:c r="I2194" s="7" t="str"/>
      <x:c r="J2194" s="7" t="str"/>
      <x:c r="K2194" s="7" t="str"/>
      <x:c r="L2194" s="7" t="str"/>
      <x:c r="M2194" s="7" t="str"/>
      <x:c r="N2194" s="7" t="str"/>
      <x:c r="O2194" s="7" t="str">
        <x:f>IF(N2194="","OPEN",IF(OR(I2194="",J2194="",K2194="",L2194="",M2194=""),"FAIL","PASS"))</x:f>
        <x:v>OPEN</x:v>
      </x:c>
    </x:row>
    <x:row r="2195">
      <x:c r="B2195" s="7" t="str">
        <x:v>CH-PEA-C-Y1-05-5</x:v>
      </x:c>
      <x:c r="C2195" s="7" t="str">
        <x:v>PEA-C-Y1</x:v>
      </x:c>
      <x:c r="D2195" s="7" t="str">
        <x:v>BLD-C</x:v>
      </x:c>
      <x:c r="E2195" s="7" t="str">
        <x:v>BL-Y</x:v>
      </x:c>
      <x:c r="F2195" s="7" t="str">
        <x:v>MF-05</x:v>
      </x:c>
      <x:c r="G2195" s="7" t="str">
        <x:v>hold-up tomography</x:v>
      </x:c>
      <x:c r="H2195" s="7" t="n">
        <x:v>5</x:v>
      </x:c>
      <x:c r="I2195" s="7" t="str"/>
      <x:c r="J2195" s="7" t="str"/>
      <x:c r="K2195" s="7" t="str"/>
      <x:c r="L2195" s="7" t="str"/>
      <x:c r="M2195" s="7" t="str"/>
      <x:c r="N2195" s="7" t="str"/>
      <x:c r="O2195" s="7" t="str">
        <x:f>IF(N2195="","OPEN",IF(OR(I2195="",J2195="",K2195="",L2195="",M2195=""),"FAIL","PASS"))</x:f>
        <x:v>OPEN</x:v>
      </x:c>
    </x:row>
    <x:row r="2196">
      <x:c r="B2196" s="7" t="str">
        <x:v>CH-PEA-C-Y1-05-6</x:v>
      </x:c>
      <x:c r="C2196" s="7" t="str">
        <x:v>PEA-C-Y1</x:v>
      </x:c>
      <x:c r="D2196" s="7" t="str">
        <x:v>BLD-C</x:v>
      </x:c>
      <x:c r="E2196" s="7" t="str">
        <x:v>BL-Y</x:v>
      </x:c>
      <x:c r="F2196" s="7" t="str">
        <x:v>MF-05</x:v>
      </x:c>
      <x:c r="G2196" s="7" t="str">
        <x:v>hold-up tomography</x:v>
      </x:c>
      <x:c r="H2196" s="7" t="n">
        <x:v>6</x:v>
      </x:c>
      <x:c r="I2196" s="7" t="str"/>
      <x:c r="J2196" s="7" t="str"/>
      <x:c r="K2196" s="7" t="str"/>
      <x:c r="L2196" s="7" t="str"/>
      <x:c r="M2196" s="7" t="str"/>
      <x:c r="N2196" s="7" t="str"/>
      <x:c r="O2196" s="7" t="str">
        <x:f>IF(N2196="","OPEN",IF(OR(I2196="",J2196="",K2196="",L2196="",M2196=""),"FAIL","PASS"))</x:f>
        <x:v>OPEN</x:v>
      </x:c>
    </x:row>
    <x:row r="2197">
      <x:c r="B2197" s="7" t="str">
        <x:v>CH-PEA-C-Y1-06-1</x:v>
      </x:c>
      <x:c r="C2197" s="7" t="str">
        <x:v>PEA-C-Y1</x:v>
      </x:c>
      <x:c r="D2197" s="7" t="str">
        <x:v>BLD-C</x:v>
      </x:c>
      <x:c r="E2197" s="7" t="str">
        <x:v>BL-Y</x:v>
      </x:c>
      <x:c r="F2197" s="7" t="str">
        <x:v>MF-06</x:v>
      </x:c>
      <x:c r="G2197" s="7" t="str">
        <x:v>pan level</x:v>
      </x:c>
      <x:c r="H2197" s="7" t="n">
        <x:v>1</x:v>
      </x:c>
      <x:c r="I2197" s="7" t="str"/>
      <x:c r="J2197" s="7" t="str"/>
      <x:c r="K2197" s="7" t="str"/>
      <x:c r="L2197" s="7" t="str"/>
      <x:c r="M2197" s="7" t="str"/>
      <x:c r="N2197" s="7" t="str"/>
      <x:c r="O2197" s="7" t="str">
        <x:f>IF(N2197="","OPEN",IF(OR(I2197="",J2197="",K2197="",L2197="",M2197=""),"FAIL","PASS"))</x:f>
        <x:v>OPEN</x:v>
      </x:c>
    </x:row>
    <x:row r="2198">
      <x:c r="B2198" s="7" t="str">
        <x:v>CH-PEA-C-Y1-06-2</x:v>
      </x:c>
      <x:c r="C2198" s="7" t="str">
        <x:v>PEA-C-Y1</x:v>
      </x:c>
      <x:c r="D2198" s="7" t="str">
        <x:v>BLD-C</x:v>
      </x:c>
      <x:c r="E2198" s="7" t="str">
        <x:v>BL-Y</x:v>
      </x:c>
      <x:c r="F2198" s="7" t="str">
        <x:v>MF-06</x:v>
      </x:c>
      <x:c r="G2198" s="7" t="str">
        <x:v>pan level</x:v>
      </x:c>
      <x:c r="H2198" s="7" t="n">
        <x:v>2</x:v>
      </x:c>
      <x:c r="I2198" s="7" t="str"/>
      <x:c r="J2198" s="7" t="str"/>
      <x:c r="K2198" s="7" t="str"/>
      <x:c r="L2198" s="7" t="str"/>
      <x:c r="M2198" s="7" t="str"/>
      <x:c r="N2198" s="7" t="str"/>
      <x:c r="O2198" s="7" t="str">
        <x:f>IF(N2198="","OPEN",IF(OR(I2198="",J2198="",K2198="",L2198="",M2198=""),"FAIL","PASS"))</x:f>
        <x:v>OPEN</x:v>
      </x:c>
    </x:row>
    <x:row r="2199">
      <x:c r="B2199" s="7" t="str">
        <x:v>CH-PEA-C-Y1-06-3</x:v>
      </x:c>
      <x:c r="C2199" s="7" t="str">
        <x:v>PEA-C-Y1</x:v>
      </x:c>
      <x:c r="D2199" s="7" t="str">
        <x:v>BLD-C</x:v>
      </x:c>
      <x:c r="E2199" s="7" t="str">
        <x:v>BL-Y</x:v>
      </x:c>
      <x:c r="F2199" s="7" t="str">
        <x:v>MF-06</x:v>
      </x:c>
      <x:c r="G2199" s="7" t="str">
        <x:v>pan level</x:v>
      </x:c>
      <x:c r="H2199" s="7" t="n">
        <x:v>3</x:v>
      </x:c>
      <x:c r="I2199" s="7" t="str"/>
      <x:c r="J2199" s="7" t="str"/>
      <x:c r="K2199" s="7" t="str"/>
      <x:c r="L2199" s="7" t="str"/>
      <x:c r="M2199" s="7" t="str"/>
      <x:c r="N2199" s="7" t="str"/>
      <x:c r="O2199" s="7" t="str">
        <x:f>IF(N2199="","OPEN",IF(OR(I2199="",J2199="",K2199="",L2199="",M2199=""),"FAIL","PASS"))</x:f>
        <x:v>OPEN</x:v>
      </x:c>
    </x:row>
    <x:row r="2200">
      <x:c r="B2200" s="7" t="str">
        <x:v>CH-PEA-C-Y1-06-4</x:v>
      </x:c>
      <x:c r="C2200" s="7" t="str">
        <x:v>PEA-C-Y1</x:v>
      </x:c>
      <x:c r="D2200" s="7" t="str">
        <x:v>BLD-C</x:v>
      </x:c>
      <x:c r="E2200" s="7" t="str">
        <x:v>BL-Y</x:v>
      </x:c>
      <x:c r="F2200" s="7" t="str">
        <x:v>MF-06</x:v>
      </x:c>
      <x:c r="G2200" s="7" t="str">
        <x:v>pan level</x:v>
      </x:c>
      <x:c r="H2200" s="7" t="n">
        <x:v>4</x:v>
      </x:c>
      <x:c r="I2200" s="7" t="str"/>
      <x:c r="J2200" s="7" t="str"/>
      <x:c r="K2200" s="7" t="str"/>
      <x:c r="L2200" s="7" t="str"/>
      <x:c r="M2200" s="7" t="str"/>
      <x:c r="N2200" s="7" t="str"/>
      <x:c r="O2200" s="7" t="str">
        <x:f>IF(N2200="","OPEN",IF(OR(I2200="",J2200="",K2200="",L2200="",M2200=""),"FAIL","PASS"))</x:f>
        <x:v>OPEN</x:v>
      </x:c>
    </x:row>
    <x:row r="2201">
      <x:c r="B2201" s="7" t="str">
        <x:v>CH-PEA-C-Y1-06-5</x:v>
      </x:c>
      <x:c r="C2201" s="7" t="str">
        <x:v>PEA-C-Y1</x:v>
      </x:c>
      <x:c r="D2201" s="7" t="str">
        <x:v>BLD-C</x:v>
      </x:c>
      <x:c r="E2201" s="7" t="str">
        <x:v>BL-Y</x:v>
      </x:c>
      <x:c r="F2201" s="7" t="str">
        <x:v>MF-06</x:v>
      </x:c>
      <x:c r="G2201" s="7" t="str">
        <x:v>pan level</x:v>
      </x:c>
      <x:c r="H2201" s="7" t="n">
        <x:v>5</x:v>
      </x:c>
      <x:c r="I2201" s="7" t="str"/>
      <x:c r="J2201" s="7" t="str"/>
      <x:c r="K2201" s="7" t="str"/>
      <x:c r="L2201" s="7" t="str"/>
      <x:c r="M2201" s="7" t="str"/>
      <x:c r="N2201" s="7" t="str"/>
      <x:c r="O2201" s="7" t="str">
        <x:f>IF(N2201="","OPEN",IF(OR(I2201="",J2201="",K2201="",L2201="",M2201=""),"FAIL","PASS"))</x:f>
        <x:v>OPEN</x:v>
      </x:c>
    </x:row>
    <x:row r="2202">
      <x:c r="B2202" s="7" t="str">
        <x:v>CH-PEA-C-Y1-06-6</x:v>
      </x:c>
      <x:c r="C2202" s="7" t="str">
        <x:v>PEA-C-Y1</x:v>
      </x:c>
      <x:c r="D2202" s="7" t="str">
        <x:v>BLD-C</x:v>
      </x:c>
      <x:c r="E2202" s="7" t="str">
        <x:v>BL-Y</x:v>
      </x:c>
      <x:c r="F2202" s="7" t="str">
        <x:v>MF-06</x:v>
      </x:c>
      <x:c r="G2202" s="7" t="str">
        <x:v>pan level</x:v>
      </x:c>
      <x:c r="H2202" s="7" t="n">
        <x:v>6</x:v>
      </x:c>
      <x:c r="I2202" s="7" t="str"/>
      <x:c r="J2202" s="7" t="str"/>
      <x:c r="K2202" s="7" t="str"/>
      <x:c r="L2202" s="7" t="str"/>
      <x:c r="M2202" s="7" t="str"/>
      <x:c r="N2202" s="7" t="str"/>
      <x:c r="O2202" s="7" t="str">
        <x:f>IF(N2202="","OPEN",IF(OR(I2202="",J2202="",K2202="",L2202="",M2202=""),"FAIL","PASS"))</x:f>
        <x:v>OPEN</x:v>
      </x:c>
    </x:row>
    <x:row r="2203">
      <x:c r="B2203" s="7" t="str">
        <x:v>CH-PEA-C-Y1-07-1</x:v>
      </x:c>
      <x:c r="C2203" s="7" t="str">
        <x:v>PEA-C-Y1</x:v>
      </x:c>
      <x:c r="D2203" s="7" t="str">
        <x:v>BLD-C</x:v>
      </x:c>
      <x:c r="E2203" s="7" t="str">
        <x:v>BL-Y</x:v>
      </x:c>
      <x:c r="F2203" s="7" t="str">
        <x:v>MF-07</x:v>
      </x:c>
      <x:c r="G2203" s="7" t="str">
        <x:v>normal receiver mass</x:v>
      </x:c>
      <x:c r="H2203" s="7" t="n">
        <x:v>1</x:v>
      </x:c>
      <x:c r="I2203" s="7" t="str"/>
      <x:c r="J2203" s="7" t="str"/>
      <x:c r="K2203" s="7" t="str"/>
      <x:c r="L2203" s="7" t="str"/>
      <x:c r="M2203" s="7" t="str"/>
      <x:c r="N2203" s="7" t="str"/>
      <x:c r="O2203" s="7" t="str">
        <x:f>IF(N2203="","OPEN",IF(OR(I2203="",J2203="",K2203="",L2203="",M2203=""),"FAIL","PASS"))</x:f>
        <x:v>OPEN</x:v>
      </x:c>
    </x:row>
    <x:row r="2204">
      <x:c r="B2204" s="7" t="str">
        <x:v>CH-PEA-C-Y1-07-2</x:v>
      </x:c>
      <x:c r="C2204" s="7" t="str">
        <x:v>PEA-C-Y1</x:v>
      </x:c>
      <x:c r="D2204" s="7" t="str">
        <x:v>BLD-C</x:v>
      </x:c>
      <x:c r="E2204" s="7" t="str">
        <x:v>BL-Y</x:v>
      </x:c>
      <x:c r="F2204" s="7" t="str">
        <x:v>MF-07</x:v>
      </x:c>
      <x:c r="G2204" s="7" t="str">
        <x:v>normal receiver mass</x:v>
      </x:c>
      <x:c r="H2204" s="7" t="n">
        <x:v>2</x:v>
      </x:c>
      <x:c r="I2204" s="7" t="str"/>
      <x:c r="J2204" s="7" t="str"/>
      <x:c r="K2204" s="7" t="str"/>
      <x:c r="L2204" s="7" t="str"/>
      <x:c r="M2204" s="7" t="str"/>
      <x:c r="N2204" s="7" t="str"/>
      <x:c r="O2204" s="7" t="str">
        <x:f>IF(N2204="","OPEN",IF(OR(I2204="",J2204="",K2204="",L2204="",M2204=""),"FAIL","PASS"))</x:f>
        <x:v>OPEN</x:v>
      </x:c>
    </x:row>
    <x:row r="2205">
      <x:c r="B2205" s="7" t="str">
        <x:v>CH-PEA-C-Y1-07-3</x:v>
      </x:c>
      <x:c r="C2205" s="7" t="str">
        <x:v>PEA-C-Y1</x:v>
      </x:c>
      <x:c r="D2205" s="7" t="str">
        <x:v>BLD-C</x:v>
      </x:c>
      <x:c r="E2205" s="7" t="str">
        <x:v>BL-Y</x:v>
      </x:c>
      <x:c r="F2205" s="7" t="str">
        <x:v>MF-07</x:v>
      </x:c>
      <x:c r="G2205" s="7" t="str">
        <x:v>normal receiver mass</x:v>
      </x:c>
      <x:c r="H2205" s="7" t="n">
        <x:v>3</x:v>
      </x:c>
      <x:c r="I2205" s="7" t="str"/>
      <x:c r="J2205" s="7" t="str"/>
      <x:c r="K2205" s="7" t="str"/>
      <x:c r="L2205" s="7" t="str"/>
      <x:c r="M2205" s="7" t="str"/>
      <x:c r="N2205" s="7" t="str"/>
      <x:c r="O2205" s="7" t="str">
        <x:f>IF(N2205="","OPEN",IF(OR(I2205="",J2205="",K2205="",L2205="",M2205=""),"FAIL","PASS"))</x:f>
        <x:v>OPEN</x:v>
      </x:c>
    </x:row>
    <x:row r="2206">
      <x:c r="B2206" s="7" t="str">
        <x:v>CH-PEA-C-Y1-07-4</x:v>
      </x:c>
      <x:c r="C2206" s="7" t="str">
        <x:v>PEA-C-Y1</x:v>
      </x:c>
      <x:c r="D2206" s="7" t="str">
        <x:v>BLD-C</x:v>
      </x:c>
      <x:c r="E2206" s="7" t="str">
        <x:v>BL-Y</x:v>
      </x:c>
      <x:c r="F2206" s="7" t="str">
        <x:v>MF-07</x:v>
      </x:c>
      <x:c r="G2206" s="7" t="str">
        <x:v>normal receiver mass</x:v>
      </x:c>
      <x:c r="H2206" s="7" t="n">
        <x:v>4</x:v>
      </x:c>
      <x:c r="I2206" s="7" t="str"/>
      <x:c r="J2206" s="7" t="str"/>
      <x:c r="K2206" s="7" t="str"/>
      <x:c r="L2206" s="7" t="str"/>
      <x:c r="M2206" s="7" t="str"/>
      <x:c r="N2206" s="7" t="str"/>
      <x:c r="O2206" s="7" t="str">
        <x:f>IF(N2206="","OPEN",IF(OR(I2206="",J2206="",K2206="",L2206="",M2206=""),"FAIL","PASS"))</x:f>
        <x:v>OPEN</x:v>
      </x:c>
    </x:row>
    <x:row r="2207">
      <x:c r="B2207" s="7" t="str">
        <x:v>CH-PEA-C-Y1-07-5</x:v>
      </x:c>
      <x:c r="C2207" s="7" t="str">
        <x:v>PEA-C-Y1</x:v>
      </x:c>
      <x:c r="D2207" s="7" t="str">
        <x:v>BLD-C</x:v>
      </x:c>
      <x:c r="E2207" s="7" t="str">
        <x:v>BL-Y</x:v>
      </x:c>
      <x:c r="F2207" s="7" t="str">
        <x:v>MF-07</x:v>
      </x:c>
      <x:c r="G2207" s="7" t="str">
        <x:v>normal receiver mass</x:v>
      </x:c>
      <x:c r="H2207" s="7" t="n">
        <x:v>5</x:v>
      </x:c>
      <x:c r="I2207" s="7" t="str"/>
      <x:c r="J2207" s="7" t="str"/>
      <x:c r="K2207" s="7" t="str"/>
      <x:c r="L2207" s="7" t="str"/>
      <x:c r="M2207" s="7" t="str"/>
      <x:c r="N2207" s="7" t="str"/>
      <x:c r="O2207" s="7" t="str">
        <x:f>IF(N2207="","OPEN",IF(OR(I2207="",J2207="",K2207="",L2207="",M2207=""),"FAIL","PASS"))</x:f>
        <x:v>OPEN</x:v>
      </x:c>
    </x:row>
    <x:row r="2208">
      <x:c r="B2208" s="7" t="str">
        <x:v>CH-PEA-C-Y1-07-6</x:v>
      </x:c>
      <x:c r="C2208" s="7" t="str">
        <x:v>PEA-C-Y1</x:v>
      </x:c>
      <x:c r="D2208" s="7" t="str">
        <x:v>BLD-C</x:v>
      </x:c>
      <x:c r="E2208" s="7" t="str">
        <x:v>BL-Y</x:v>
      </x:c>
      <x:c r="F2208" s="7" t="str">
        <x:v>MF-07</x:v>
      </x:c>
      <x:c r="G2208" s="7" t="str">
        <x:v>normal receiver mass</x:v>
      </x:c>
      <x:c r="H2208" s="7" t="n">
        <x:v>6</x:v>
      </x:c>
      <x:c r="I2208" s="7" t="str"/>
      <x:c r="J2208" s="7" t="str"/>
      <x:c r="K2208" s="7" t="str"/>
      <x:c r="L2208" s="7" t="str"/>
      <x:c r="M2208" s="7" t="str"/>
      <x:c r="N2208" s="7" t="str"/>
      <x:c r="O2208" s="7" t="str">
        <x:f>IF(N2208="","OPEN",IF(OR(I2208="",J2208="",K2208="",L2208="",M2208=""),"FAIL","PASS"))</x:f>
        <x:v>OPEN</x:v>
      </x:c>
    </x:row>
    <x:row r="2209">
      <x:c r="B2209" s="7" t="str">
        <x:v>CH-PEA-C-Y1-08-1</x:v>
      </x:c>
      <x:c r="C2209" s="7" t="str">
        <x:v>PEA-C-Y1</x:v>
      </x:c>
      <x:c r="D2209" s="7" t="str">
        <x:v>BLD-C</x:v>
      </x:c>
      <x:c r="E2209" s="7" t="str">
        <x:v>BL-Y</x:v>
      </x:c>
      <x:c r="F2209" s="7" t="str">
        <x:v>MF-08</x:v>
      </x:c>
      <x:c r="G2209" s="7" t="str">
        <x:v>casualty receiver mass</x:v>
      </x:c>
      <x:c r="H2209" s="7" t="n">
        <x:v>1</x:v>
      </x:c>
      <x:c r="I2209" s="7" t="str"/>
      <x:c r="J2209" s="7" t="str"/>
      <x:c r="K2209" s="7" t="str"/>
      <x:c r="L2209" s="7" t="str"/>
      <x:c r="M2209" s="7" t="str"/>
      <x:c r="N2209" s="7" t="str"/>
      <x:c r="O2209" s="7" t="str">
        <x:f>IF(N2209="","OPEN",IF(OR(I2209="",J2209="",K2209="",L2209="",M2209=""),"FAIL","PASS"))</x:f>
        <x:v>OPEN</x:v>
      </x:c>
    </x:row>
    <x:row r="2210">
      <x:c r="B2210" s="7" t="str">
        <x:v>CH-PEA-C-Y1-08-2</x:v>
      </x:c>
      <x:c r="C2210" s="7" t="str">
        <x:v>PEA-C-Y1</x:v>
      </x:c>
      <x:c r="D2210" s="7" t="str">
        <x:v>BLD-C</x:v>
      </x:c>
      <x:c r="E2210" s="7" t="str">
        <x:v>BL-Y</x:v>
      </x:c>
      <x:c r="F2210" s="7" t="str">
        <x:v>MF-08</x:v>
      </x:c>
      <x:c r="G2210" s="7" t="str">
        <x:v>casualty receiver mass</x:v>
      </x:c>
      <x:c r="H2210" s="7" t="n">
        <x:v>2</x:v>
      </x:c>
      <x:c r="I2210" s="7" t="str"/>
      <x:c r="J2210" s="7" t="str"/>
      <x:c r="K2210" s="7" t="str"/>
      <x:c r="L2210" s="7" t="str"/>
      <x:c r="M2210" s="7" t="str"/>
      <x:c r="N2210" s="7" t="str"/>
      <x:c r="O2210" s="7" t="str">
        <x:f>IF(N2210="","OPEN",IF(OR(I2210="",J2210="",K2210="",L2210="",M2210=""),"FAIL","PASS"))</x:f>
        <x:v>OPEN</x:v>
      </x:c>
    </x:row>
    <x:row r="2211">
      <x:c r="B2211" s="7" t="str">
        <x:v>CH-PEA-C-Y1-08-3</x:v>
      </x:c>
      <x:c r="C2211" s="7" t="str">
        <x:v>PEA-C-Y1</x:v>
      </x:c>
      <x:c r="D2211" s="7" t="str">
        <x:v>BLD-C</x:v>
      </x:c>
      <x:c r="E2211" s="7" t="str">
        <x:v>BL-Y</x:v>
      </x:c>
      <x:c r="F2211" s="7" t="str">
        <x:v>MF-08</x:v>
      </x:c>
      <x:c r="G2211" s="7" t="str">
        <x:v>casualty receiver mass</x:v>
      </x:c>
      <x:c r="H2211" s="7" t="n">
        <x:v>3</x:v>
      </x:c>
      <x:c r="I2211" s="7" t="str"/>
      <x:c r="J2211" s="7" t="str"/>
      <x:c r="K2211" s="7" t="str"/>
      <x:c r="L2211" s="7" t="str"/>
      <x:c r="M2211" s="7" t="str"/>
      <x:c r="N2211" s="7" t="str"/>
      <x:c r="O2211" s="7" t="str">
        <x:f>IF(N2211="","OPEN",IF(OR(I2211="",J2211="",K2211="",L2211="",M2211=""),"FAIL","PASS"))</x:f>
        <x:v>OPEN</x:v>
      </x:c>
    </x:row>
    <x:row r="2212">
      <x:c r="B2212" s="7" t="str">
        <x:v>CH-PEA-C-Y1-08-4</x:v>
      </x:c>
      <x:c r="C2212" s="7" t="str">
        <x:v>PEA-C-Y1</x:v>
      </x:c>
      <x:c r="D2212" s="7" t="str">
        <x:v>BLD-C</x:v>
      </x:c>
      <x:c r="E2212" s="7" t="str">
        <x:v>BL-Y</x:v>
      </x:c>
      <x:c r="F2212" s="7" t="str">
        <x:v>MF-08</x:v>
      </x:c>
      <x:c r="G2212" s="7" t="str">
        <x:v>casualty receiver mass</x:v>
      </x:c>
      <x:c r="H2212" s="7" t="n">
        <x:v>4</x:v>
      </x:c>
      <x:c r="I2212" s="7" t="str"/>
      <x:c r="J2212" s="7" t="str"/>
      <x:c r="K2212" s="7" t="str"/>
      <x:c r="L2212" s="7" t="str"/>
      <x:c r="M2212" s="7" t="str"/>
      <x:c r="N2212" s="7" t="str"/>
      <x:c r="O2212" s="7" t="str">
        <x:f>IF(N2212="","OPEN",IF(OR(I2212="",J2212="",K2212="",L2212="",M2212=""),"FAIL","PASS"))</x:f>
        <x:v>OPEN</x:v>
      </x:c>
    </x:row>
    <x:row r="2213">
      <x:c r="B2213" s="7" t="str">
        <x:v>CH-PEA-C-Y1-08-5</x:v>
      </x:c>
      <x:c r="C2213" s="7" t="str">
        <x:v>PEA-C-Y1</x:v>
      </x:c>
      <x:c r="D2213" s="7" t="str">
        <x:v>BLD-C</x:v>
      </x:c>
      <x:c r="E2213" s="7" t="str">
        <x:v>BL-Y</x:v>
      </x:c>
      <x:c r="F2213" s="7" t="str">
        <x:v>MF-08</x:v>
      </x:c>
      <x:c r="G2213" s="7" t="str">
        <x:v>casualty receiver mass</x:v>
      </x:c>
      <x:c r="H2213" s="7" t="n">
        <x:v>5</x:v>
      </x:c>
      <x:c r="I2213" s="7" t="str"/>
      <x:c r="J2213" s="7" t="str"/>
      <x:c r="K2213" s="7" t="str"/>
      <x:c r="L2213" s="7" t="str"/>
      <x:c r="M2213" s="7" t="str"/>
      <x:c r="N2213" s="7" t="str"/>
      <x:c r="O2213" s="7" t="str">
        <x:f>IF(N2213="","OPEN",IF(OR(I2213="",J2213="",K2213="",L2213="",M2213=""),"FAIL","PASS"))</x:f>
        <x:v>OPEN</x:v>
      </x:c>
    </x:row>
    <x:row r="2214">
      <x:c r="B2214" s="7" t="str">
        <x:v>CH-PEA-C-Y1-08-6</x:v>
      </x:c>
      <x:c r="C2214" s="7" t="str">
        <x:v>PEA-C-Y1</x:v>
      </x:c>
      <x:c r="D2214" s="7" t="str">
        <x:v>BLD-C</x:v>
      </x:c>
      <x:c r="E2214" s="7" t="str">
        <x:v>BL-Y</x:v>
      </x:c>
      <x:c r="F2214" s="7" t="str">
        <x:v>MF-08</x:v>
      </x:c>
      <x:c r="G2214" s="7" t="str">
        <x:v>casualty receiver mass</x:v>
      </x:c>
      <x:c r="H2214" s="7" t="n">
        <x:v>6</x:v>
      </x:c>
      <x:c r="I2214" s="7" t="str"/>
      <x:c r="J2214" s="7" t="str"/>
      <x:c r="K2214" s="7" t="str"/>
      <x:c r="L2214" s="7" t="str"/>
      <x:c r="M2214" s="7" t="str"/>
      <x:c r="N2214" s="7" t="str"/>
      <x:c r="O2214" s="7" t="str">
        <x:f>IF(N2214="","OPEN",IF(OR(I2214="",J2214="",K2214="",L2214="",M2214=""),"FAIL","PASS"))</x:f>
        <x:v>OPEN</x:v>
      </x:c>
    </x:row>
    <x:row r="2215">
      <x:c r="B2215" s="7" t="str">
        <x:v>CH-PEA-C-Y1-09-1</x:v>
      </x:c>
      <x:c r="C2215" s="7" t="str">
        <x:v>PEA-C-Y1</x:v>
      </x:c>
      <x:c r="D2215" s="7" t="str">
        <x:v>BLD-C</x:v>
      </x:c>
      <x:c r="E2215" s="7" t="str">
        <x:v>BL-Y</x:v>
      </x:c>
      <x:c r="F2215" s="7" t="str">
        <x:v>MF-09</x:v>
      </x:c>
      <x:c r="G2215" s="7" t="str">
        <x:v>geometry and slope</x:v>
      </x:c>
      <x:c r="H2215" s="7" t="n">
        <x:v>1</x:v>
      </x:c>
      <x:c r="I2215" s="7" t="str"/>
      <x:c r="J2215" s="7" t="str"/>
      <x:c r="K2215" s="7" t="str"/>
      <x:c r="L2215" s="7" t="str"/>
      <x:c r="M2215" s="7" t="str"/>
      <x:c r="N2215" s="7" t="str"/>
      <x:c r="O2215" s="7" t="str">
        <x:f>IF(N2215="","OPEN",IF(OR(I2215="",J2215="",K2215="",L2215="",M2215=""),"FAIL","PASS"))</x:f>
        <x:v>OPEN</x:v>
      </x:c>
    </x:row>
    <x:row r="2216">
      <x:c r="B2216" s="7" t="str">
        <x:v>CH-PEA-C-Y1-09-2</x:v>
      </x:c>
      <x:c r="C2216" s="7" t="str">
        <x:v>PEA-C-Y1</x:v>
      </x:c>
      <x:c r="D2216" s="7" t="str">
        <x:v>BLD-C</x:v>
      </x:c>
      <x:c r="E2216" s="7" t="str">
        <x:v>BL-Y</x:v>
      </x:c>
      <x:c r="F2216" s="7" t="str">
        <x:v>MF-09</x:v>
      </x:c>
      <x:c r="G2216" s="7" t="str">
        <x:v>geometry and slope</x:v>
      </x:c>
      <x:c r="H2216" s="7" t="n">
        <x:v>2</x:v>
      </x:c>
      <x:c r="I2216" s="7" t="str"/>
      <x:c r="J2216" s="7" t="str"/>
      <x:c r="K2216" s="7" t="str"/>
      <x:c r="L2216" s="7" t="str"/>
      <x:c r="M2216" s="7" t="str"/>
      <x:c r="N2216" s="7" t="str"/>
      <x:c r="O2216" s="7" t="str">
        <x:f>IF(N2216="","OPEN",IF(OR(I2216="",J2216="",K2216="",L2216="",M2216=""),"FAIL","PASS"))</x:f>
        <x:v>OPEN</x:v>
      </x:c>
    </x:row>
    <x:row r="2217">
      <x:c r="B2217" s="7" t="str">
        <x:v>CH-PEA-C-Y1-09-3</x:v>
      </x:c>
      <x:c r="C2217" s="7" t="str">
        <x:v>PEA-C-Y1</x:v>
      </x:c>
      <x:c r="D2217" s="7" t="str">
        <x:v>BLD-C</x:v>
      </x:c>
      <x:c r="E2217" s="7" t="str">
        <x:v>BL-Y</x:v>
      </x:c>
      <x:c r="F2217" s="7" t="str">
        <x:v>MF-09</x:v>
      </x:c>
      <x:c r="G2217" s="7" t="str">
        <x:v>geometry and slope</x:v>
      </x:c>
      <x:c r="H2217" s="7" t="n">
        <x:v>3</x:v>
      </x:c>
      <x:c r="I2217" s="7" t="str"/>
      <x:c r="J2217" s="7" t="str"/>
      <x:c r="K2217" s="7" t="str"/>
      <x:c r="L2217" s="7" t="str"/>
      <x:c r="M2217" s="7" t="str"/>
      <x:c r="N2217" s="7" t="str"/>
      <x:c r="O2217" s="7" t="str">
        <x:f>IF(N2217="","OPEN",IF(OR(I2217="",J2217="",K2217="",L2217="",M2217=""),"FAIL","PASS"))</x:f>
        <x:v>OPEN</x:v>
      </x:c>
    </x:row>
    <x:row r="2218">
      <x:c r="B2218" s="7" t="str">
        <x:v>CH-PEA-C-Y1-09-4</x:v>
      </x:c>
      <x:c r="C2218" s="7" t="str">
        <x:v>PEA-C-Y1</x:v>
      </x:c>
      <x:c r="D2218" s="7" t="str">
        <x:v>BLD-C</x:v>
      </x:c>
      <x:c r="E2218" s="7" t="str">
        <x:v>BL-Y</x:v>
      </x:c>
      <x:c r="F2218" s="7" t="str">
        <x:v>MF-09</x:v>
      </x:c>
      <x:c r="G2218" s="7" t="str">
        <x:v>geometry and slope</x:v>
      </x:c>
      <x:c r="H2218" s="7" t="n">
        <x:v>4</x:v>
      </x:c>
      <x:c r="I2218" s="7" t="str"/>
      <x:c r="J2218" s="7" t="str"/>
      <x:c r="K2218" s="7" t="str"/>
      <x:c r="L2218" s="7" t="str"/>
      <x:c r="M2218" s="7" t="str"/>
      <x:c r="N2218" s="7" t="str"/>
      <x:c r="O2218" s="7" t="str">
        <x:f>IF(N2218="","OPEN",IF(OR(I2218="",J2218="",K2218="",L2218="",M2218=""),"FAIL","PASS"))</x:f>
        <x:v>OPEN</x:v>
      </x:c>
    </x:row>
    <x:row r="2219">
      <x:c r="B2219" s="7" t="str">
        <x:v>CH-PEA-C-Y1-09-5</x:v>
      </x:c>
      <x:c r="C2219" s="7" t="str">
        <x:v>PEA-C-Y1</x:v>
      </x:c>
      <x:c r="D2219" s="7" t="str">
        <x:v>BLD-C</x:v>
      </x:c>
      <x:c r="E2219" s="7" t="str">
        <x:v>BL-Y</x:v>
      </x:c>
      <x:c r="F2219" s="7" t="str">
        <x:v>MF-09</x:v>
      </x:c>
      <x:c r="G2219" s="7" t="str">
        <x:v>geometry and slope</x:v>
      </x:c>
      <x:c r="H2219" s="7" t="n">
        <x:v>5</x:v>
      </x:c>
      <x:c r="I2219" s="7" t="str"/>
      <x:c r="J2219" s="7" t="str"/>
      <x:c r="K2219" s="7" t="str"/>
      <x:c r="L2219" s="7" t="str"/>
      <x:c r="M2219" s="7" t="str"/>
      <x:c r="N2219" s="7" t="str"/>
      <x:c r="O2219" s="7" t="str">
        <x:f>IF(N2219="","OPEN",IF(OR(I2219="",J2219="",K2219="",L2219="",M2219=""),"FAIL","PASS"))</x:f>
        <x:v>OPEN</x:v>
      </x:c>
    </x:row>
    <x:row r="2220">
      <x:c r="B2220" s="7" t="str">
        <x:v>CH-PEA-C-Y1-09-6</x:v>
      </x:c>
      <x:c r="C2220" s="7" t="str">
        <x:v>PEA-C-Y1</x:v>
      </x:c>
      <x:c r="D2220" s="7" t="str">
        <x:v>BLD-C</x:v>
      </x:c>
      <x:c r="E2220" s="7" t="str">
        <x:v>BL-Y</x:v>
      </x:c>
      <x:c r="F2220" s="7" t="str">
        <x:v>MF-09</x:v>
      </x:c>
      <x:c r="G2220" s="7" t="str">
        <x:v>geometry and slope</x:v>
      </x:c>
      <x:c r="H2220" s="7" t="n">
        <x:v>6</x:v>
      </x:c>
      <x:c r="I2220" s="7" t="str"/>
      <x:c r="J2220" s="7" t="str"/>
      <x:c r="K2220" s="7" t="str"/>
      <x:c r="L2220" s="7" t="str"/>
      <x:c r="M2220" s="7" t="str"/>
      <x:c r="N2220" s="7" t="str"/>
      <x:c r="O2220" s="7" t="str">
        <x:f>IF(N2220="","OPEN",IF(OR(I2220="",J2220="",K2220="",L2220="",M2220=""),"FAIL","PASS"))</x:f>
        <x:v>OPEN</x:v>
      </x:c>
    </x:row>
    <x:row r="2221">
      <x:c r="B2221" s="7" t="str">
        <x:v>CH-PEA-C-Y1-10-1</x:v>
      </x:c>
      <x:c r="C2221" s="7" t="str">
        <x:v>PEA-C-Y1</x:v>
      </x:c>
      <x:c r="D2221" s="7" t="str">
        <x:v>BLD-C</x:v>
      </x:c>
      <x:c r="E2221" s="7" t="str">
        <x:v>BL-Y</x:v>
      </x:c>
      <x:c r="F2221" s="7" t="str">
        <x:v>MF-10</x:v>
      </x:c>
      <x:c r="G2221" s="7" t="str">
        <x:v>normal-source path state</x:v>
      </x:c>
      <x:c r="H2221" s="7" t="n">
        <x:v>1</x:v>
      </x:c>
      <x:c r="I2221" s="7" t="str"/>
      <x:c r="J2221" s="7" t="str"/>
      <x:c r="K2221" s="7" t="str"/>
      <x:c r="L2221" s="7" t="str"/>
      <x:c r="M2221" s="7" t="str"/>
      <x:c r="N2221" s="7" t="str"/>
      <x:c r="O2221" s="7" t="str">
        <x:f>IF(N2221="","OPEN",IF(OR(I2221="",J2221="",K2221="",L2221="",M2221=""),"FAIL","PASS"))</x:f>
        <x:v>OPEN</x:v>
      </x:c>
    </x:row>
    <x:row r="2222">
      <x:c r="B2222" s="7" t="str">
        <x:v>CH-PEA-C-Y1-10-2</x:v>
      </x:c>
      <x:c r="C2222" s="7" t="str">
        <x:v>PEA-C-Y1</x:v>
      </x:c>
      <x:c r="D2222" s="7" t="str">
        <x:v>BLD-C</x:v>
      </x:c>
      <x:c r="E2222" s="7" t="str">
        <x:v>BL-Y</x:v>
      </x:c>
      <x:c r="F2222" s="7" t="str">
        <x:v>MF-10</x:v>
      </x:c>
      <x:c r="G2222" s="7" t="str">
        <x:v>normal-source path state</x:v>
      </x:c>
      <x:c r="H2222" s="7" t="n">
        <x:v>2</x:v>
      </x:c>
      <x:c r="I2222" s="7" t="str"/>
      <x:c r="J2222" s="7" t="str"/>
      <x:c r="K2222" s="7" t="str"/>
      <x:c r="L2222" s="7" t="str"/>
      <x:c r="M2222" s="7" t="str"/>
      <x:c r="N2222" s="7" t="str"/>
      <x:c r="O2222" s="7" t="str">
        <x:f>IF(N2222="","OPEN",IF(OR(I2222="",J2222="",K2222="",L2222="",M2222=""),"FAIL","PASS"))</x:f>
        <x:v>OPEN</x:v>
      </x:c>
    </x:row>
    <x:row r="2223">
      <x:c r="B2223" s="7" t="str">
        <x:v>CH-PEA-C-Y1-10-3</x:v>
      </x:c>
      <x:c r="C2223" s="7" t="str">
        <x:v>PEA-C-Y1</x:v>
      </x:c>
      <x:c r="D2223" s="7" t="str">
        <x:v>BLD-C</x:v>
      </x:c>
      <x:c r="E2223" s="7" t="str">
        <x:v>BL-Y</x:v>
      </x:c>
      <x:c r="F2223" s="7" t="str">
        <x:v>MF-10</x:v>
      </x:c>
      <x:c r="G2223" s="7" t="str">
        <x:v>normal-source path state</x:v>
      </x:c>
      <x:c r="H2223" s="7" t="n">
        <x:v>3</x:v>
      </x:c>
      <x:c r="I2223" s="7" t="str"/>
      <x:c r="J2223" s="7" t="str"/>
      <x:c r="K2223" s="7" t="str"/>
      <x:c r="L2223" s="7" t="str"/>
      <x:c r="M2223" s="7" t="str"/>
      <x:c r="N2223" s="7" t="str"/>
      <x:c r="O2223" s="7" t="str">
        <x:f>IF(N2223="","OPEN",IF(OR(I2223="",J2223="",K2223="",L2223="",M2223=""),"FAIL","PASS"))</x:f>
        <x:v>OPEN</x:v>
      </x:c>
    </x:row>
    <x:row r="2224">
      <x:c r="B2224" s="7" t="str">
        <x:v>CH-PEA-C-Y1-10-4</x:v>
      </x:c>
      <x:c r="C2224" s="7" t="str">
        <x:v>PEA-C-Y1</x:v>
      </x:c>
      <x:c r="D2224" s="7" t="str">
        <x:v>BLD-C</x:v>
      </x:c>
      <x:c r="E2224" s="7" t="str">
        <x:v>BL-Y</x:v>
      </x:c>
      <x:c r="F2224" s="7" t="str">
        <x:v>MF-10</x:v>
      </x:c>
      <x:c r="G2224" s="7" t="str">
        <x:v>normal-source path state</x:v>
      </x:c>
      <x:c r="H2224" s="7" t="n">
        <x:v>4</x:v>
      </x:c>
      <x:c r="I2224" s="7" t="str"/>
      <x:c r="J2224" s="7" t="str"/>
      <x:c r="K2224" s="7" t="str"/>
      <x:c r="L2224" s="7" t="str"/>
      <x:c r="M2224" s="7" t="str"/>
      <x:c r="N2224" s="7" t="str"/>
      <x:c r="O2224" s="7" t="str">
        <x:f>IF(N2224="","OPEN",IF(OR(I2224="",J2224="",K2224="",L2224="",M2224=""),"FAIL","PASS"))</x:f>
        <x:v>OPEN</x:v>
      </x:c>
    </x:row>
    <x:row r="2225">
      <x:c r="B2225" s="7" t="str">
        <x:v>CH-PEA-C-Y1-10-5</x:v>
      </x:c>
      <x:c r="C2225" s="7" t="str">
        <x:v>PEA-C-Y1</x:v>
      </x:c>
      <x:c r="D2225" s="7" t="str">
        <x:v>BLD-C</x:v>
      </x:c>
      <x:c r="E2225" s="7" t="str">
        <x:v>BL-Y</x:v>
      </x:c>
      <x:c r="F2225" s="7" t="str">
        <x:v>MF-10</x:v>
      </x:c>
      <x:c r="G2225" s="7" t="str">
        <x:v>normal-source path state</x:v>
      </x:c>
      <x:c r="H2225" s="7" t="n">
        <x:v>5</x:v>
      </x:c>
      <x:c r="I2225" s="7" t="str"/>
      <x:c r="J2225" s="7" t="str"/>
      <x:c r="K2225" s="7" t="str"/>
      <x:c r="L2225" s="7" t="str"/>
      <x:c r="M2225" s="7" t="str"/>
      <x:c r="N2225" s="7" t="str"/>
      <x:c r="O2225" s="7" t="str">
        <x:f>IF(N2225="","OPEN",IF(OR(I2225="",J2225="",K2225="",L2225="",M2225=""),"FAIL","PASS"))</x:f>
        <x:v>OPEN</x:v>
      </x:c>
    </x:row>
    <x:row r="2226">
      <x:c r="B2226" s="7" t="str">
        <x:v>CH-PEA-C-Y1-10-6</x:v>
      </x:c>
      <x:c r="C2226" s="7" t="str">
        <x:v>PEA-C-Y1</x:v>
      </x:c>
      <x:c r="D2226" s="7" t="str">
        <x:v>BLD-C</x:v>
      </x:c>
      <x:c r="E2226" s="7" t="str">
        <x:v>BL-Y</x:v>
      </x:c>
      <x:c r="F2226" s="7" t="str">
        <x:v>MF-10</x:v>
      </x:c>
      <x:c r="G2226" s="7" t="str">
        <x:v>normal-source path state</x:v>
      </x:c>
      <x:c r="H2226" s="7" t="n">
        <x:v>6</x:v>
      </x:c>
      <x:c r="I2226" s="7" t="str"/>
      <x:c r="J2226" s="7" t="str"/>
      <x:c r="K2226" s="7" t="str"/>
      <x:c r="L2226" s="7" t="str"/>
      <x:c r="M2226" s="7" t="str"/>
      <x:c r="N2226" s="7" t="str"/>
      <x:c r="O2226" s="7" t="str">
        <x:f>IF(N2226="","OPEN",IF(OR(I2226="",J2226="",K2226="",L2226="",M2226=""),"FAIL","PASS"))</x:f>
        <x:v>OPEN</x:v>
      </x:c>
    </x:row>
    <x:row r="2227">
      <x:c r="B2227" s="7" t="str">
        <x:v>CH-PEA-C-Y1-11-1</x:v>
      </x:c>
      <x:c r="C2227" s="7" t="str">
        <x:v>PEA-C-Y1</x:v>
      </x:c>
      <x:c r="D2227" s="7" t="str">
        <x:v>BLD-C</x:v>
      </x:c>
      <x:c r="E2227" s="7" t="str">
        <x:v>BL-Y</x:v>
      </x:c>
      <x:c r="F2227" s="7" t="str">
        <x:v>MF-11</x:v>
      </x:c>
      <x:c r="G2227" s="7" t="str">
        <x:v>casualty-source path state</x:v>
      </x:c>
      <x:c r="H2227" s="7" t="n">
        <x:v>1</x:v>
      </x:c>
      <x:c r="I2227" s="7" t="str"/>
      <x:c r="J2227" s="7" t="str"/>
      <x:c r="K2227" s="7" t="str"/>
      <x:c r="L2227" s="7" t="str"/>
      <x:c r="M2227" s="7" t="str"/>
      <x:c r="N2227" s="7" t="str"/>
      <x:c r="O2227" s="7" t="str">
        <x:f>IF(N2227="","OPEN",IF(OR(I2227="",J2227="",K2227="",L2227="",M2227=""),"FAIL","PASS"))</x:f>
        <x:v>OPEN</x:v>
      </x:c>
    </x:row>
    <x:row r="2228">
      <x:c r="B2228" s="7" t="str">
        <x:v>CH-PEA-C-Y1-11-2</x:v>
      </x:c>
      <x:c r="C2228" s="7" t="str">
        <x:v>PEA-C-Y1</x:v>
      </x:c>
      <x:c r="D2228" s="7" t="str">
        <x:v>BLD-C</x:v>
      </x:c>
      <x:c r="E2228" s="7" t="str">
        <x:v>BL-Y</x:v>
      </x:c>
      <x:c r="F2228" s="7" t="str">
        <x:v>MF-11</x:v>
      </x:c>
      <x:c r="G2228" s="7" t="str">
        <x:v>casualty-source path state</x:v>
      </x:c>
      <x:c r="H2228" s="7" t="n">
        <x:v>2</x:v>
      </x:c>
      <x:c r="I2228" s="7" t="str"/>
      <x:c r="J2228" s="7" t="str"/>
      <x:c r="K2228" s="7" t="str"/>
      <x:c r="L2228" s="7" t="str"/>
      <x:c r="M2228" s="7" t="str"/>
      <x:c r="N2228" s="7" t="str"/>
      <x:c r="O2228" s="7" t="str">
        <x:f>IF(N2228="","OPEN",IF(OR(I2228="",J2228="",K2228="",L2228="",M2228=""),"FAIL","PASS"))</x:f>
        <x:v>OPEN</x:v>
      </x:c>
    </x:row>
    <x:row r="2229">
      <x:c r="B2229" s="7" t="str">
        <x:v>CH-PEA-C-Y1-11-3</x:v>
      </x:c>
      <x:c r="C2229" s="7" t="str">
        <x:v>PEA-C-Y1</x:v>
      </x:c>
      <x:c r="D2229" s="7" t="str">
        <x:v>BLD-C</x:v>
      </x:c>
      <x:c r="E2229" s="7" t="str">
        <x:v>BL-Y</x:v>
      </x:c>
      <x:c r="F2229" s="7" t="str">
        <x:v>MF-11</x:v>
      </x:c>
      <x:c r="G2229" s="7" t="str">
        <x:v>casualty-source path state</x:v>
      </x:c>
      <x:c r="H2229" s="7" t="n">
        <x:v>3</x:v>
      </x:c>
      <x:c r="I2229" s="7" t="str"/>
      <x:c r="J2229" s="7" t="str"/>
      <x:c r="K2229" s="7" t="str"/>
      <x:c r="L2229" s="7" t="str"/>
      <x:c r="M2229" s="7" t="str"/>
      <x:c r="N2229" s="7" t="str"/>
      <x:c r="O2229" s="7" t="str">
        <x:f>IF(N2229="","OPEN",IF(OR(I2229="",J2229="",K2229="",L2229="",M2229=""),"FAIL","PASS"))</x:f>
        <x:v>OPEN</x:v>
      </x:c>
    </x:row>
    <x:row r="2230">
      <x:c r="B2230" s="7" t="str">
        <x:v>CH-PEA-C-Y1-11-4</x:v>
      </x:c>
      <x:c r="C2230" s="7" t="str">
        <x:v>PEA-C-Y1</x:v>
      </x:c>
      <x:c r="D2230" s="7" t="str">
        <x:v>BLD-C</x:v>
      </x:c>
      <x:c r="E2230" s="7" t="str">
        <x:v>BL-Y</x:v>
      </x:c>
      <x:c r="F2230" s="7" t="str">
        <x:v>MF-11</x:v>
      </x:c>
      <x:c r="G2230" s="7" t="str">
        <x:v>casualty-source path state</x:v>
      </x:c>
      <x:c r="H2230" s="7" t="n">
        <x:v>4</x:v>
      </x:c>
      <x:c r="I2230" s="7" t="str"/>
      <x:c r="J2230" s="7" t="str"/>
      <x:c r="K2230" s="7" t="str"/>
      <x:c r="L2230" s="7" t="str"/>
      <x:c r="M2230" s="7" t="str"/>
      <x:c r="N2230" s="7" t="str"/>
      <x:c r="O2230" s="7" t="str">
        <x:f>IF(N2230="","OPEN",IF(OR(I2230="",J2230="",K2230="",L2230="",M2230=""),"FAIL","PASS"))</x:f>
        <x:v>OPEN</x:v>
      </x:c>
    </x:row>
    <x:row r="2231">
      <x:c r="B2231" s="7" t="str">
        <x:v>CH-PEA-C-Y1-11-5</x:v>
      </x:c>
      <x:c r="C2231" s="7" t="str">
        <x:v>PEA-C-Y1</x:v>
      </x:c>
      <x:c r="D2231" s="7" t="str">
        <x:v>BLD-C</x:v>
      </x:c>
      <x:c r="E2231" s="7" t="str">
        <x:v>BL-Y</x:v>
      </x:c>
      <x:c r="F2231" s="7" t="str">
        <x:v>MF-11</x:v>
      </x:c>
      <x:c r="G2231" s="7" t="str">
        <x:v>casualty-source path state</x:v>
      </x:c>
      <x:c r="H2231" s="7" t="n">
        <x:v>5</x:v>
      </x:c>
      <x:c r="I2231" s="7" t="str"/>
      <x:c r="J2231" s="7" t="str"/>
      <x:c r="K2231" s="7" t="str"/>
      <x:c r="L2231" s="7" t="str"/>
      <x:c r="M2231" s="7" t="str"/>
      <x:c r="N2231" s="7" t="str"/>
      <x:c r="O2231" s="7" t="str">
        <x:f>IF(N2231="","OPEN",IF(OR(I2231="",J2231="",K2231="",L2231="",M2231=""),"FAIL","PASS"))</x:f>
        <x:v>OPEN</x:v>
      </x:c>
    </x:row>
    <x:row r="2232">
      <x:c r="B2232" s="7" t="str">
        <x:v>CH-PEA-C-Y1-11-6</x:v>
      </x:c>
      <x:c r="C2232" s="7" t="str">
        <x:v>PEA-C-Y1</x:v>
      </x:c>
      <x:c r="D2232" s="7" t="str">
        <x:v>BLD-C</x:v>
      </x:c>
      <x:c r="E2232" s="7" t="str">
        <x:v>BL-Y</x:v>
      </x:c>
      <x:c r="F2232" s="7" t="str">
        <x:v>MF-11</x:v>
      </x:c>
      <x:c r="G2232" s="7" t="str">
        <x:v>casualty-source path state</x:v>
      </x:c>
      <x:c r="H2232" s="7" t="n">
        <x:v>6</x:v>
      </x:c>
      <x:c r="I2232" s="7" t="str"/>
      <x:c r="J2232" s="7" t="str"/>
      <x:c r="K2232" s="7" t="str"/>
      <x:c r="L2232" s="7" t="str"/>
      <x:c r="M2232" s="7" t="str"/>
      <x:c r="N2232" s="7" t="str"/>
      <x:c r="O2232" s="7" t="str">
        <x:f>IF(N2232="","OPEN",IF(OR(I2232="",J2232="",K2232="",L2232="",M2232=""),"FAIL","PASS"))</x:f>
        <x:v>OPEN</x:v>
      </x:c>
    </x:row>
    <x:row r="2233">
      <x:c r="B2233" s="7" t="str">
        <x:v>CH-PEA-C-Y1-12-1</x:v>
      </x:c>
      <x:c r="C2233" s="7" t="str">
        <x:v>PEA-C-Y1</x:v>
      </x:c>
      <x:c r="D2233" s="7" t="str">
        <x:v>BLD-C</x:v>
      </x:c>
      <x:c r="E2233" s="7" t="str">
        <x:v>BL-Y</x:v>
      </x:c>
      <x:c r="F2233" s="7" t="str">
        <x:v>MF-12</x:v>
      </x:c>
      <x:c r="G2233" s="7" t="str">
        <x:v>candidate-water path state</x:v>
      </x:c>
      <x:c r="H2233" s="7" t="n">
        <x:v>1</x:v>
      </x:c>
      <x:c r="I2233" s="7" t="str"/>
      <x:c r="J2233" s="7" t="str"/>
      <x:c r="K2233" s="7" t="str"/>
      <x:c r="L2233" s="7" t="str"/>
      <x:c r="M2233" s="7" t="str"/>
      <x:c r="N2233" s="7" t="str"/>
      <x:c r="O2233" s="7" t="str">
        <x:f>IF(N2233="","OPEN",IF(OR(I2233="",J2233="",K2233="",L2233="",M2233=""),"FAIL","PASS"))</x:f>
        <x:v>OPEN</x:v>
      </x:c>
    </x:row>
    <x:row r="2234">
      <x:c r="B2234" s="7" t="str">
        <x:v>CH-PEA-C-Y1-12-2</x:v>
      </x:c>
      <x:c r="C2234" s="7" t="str">
        <x:v>PEA-C-Y1</x:v>
      </x:c>
      <x:c r="D2234" s="7" t="str">
        <x:v>BLD-C</x:v>
      </x:c>
      <x:c r="E2234" s="7" t="str">
        <x:v>BL-Y</x:v>
      </x:c>
      <x:c r="F2234" s="7" t="str">
        <x:v>MF-12</x:v>
      </x:c>
      <x:c r="G2234" s="7" t="str">
        <x:v>candidate-water path state</x:v>
      </x:c>
      <x:c r="H2234" s="7" t="n">
        <x:v>2</x:v>
      </x:c>
      <x:c r="I2234" s="7" t="str"/>
      <x:c r="J2234" s="7" t="str"/>
      <x:c r="K2234" s="7" t="str"/>
      <x:c r="L2234" s="7" t="str"/>
      <x:c r="M2234" s="7" t="str"/>
      <x:c r="N2234" s="7" t="str"/>
      <x:c r="O2234" s="7" t="str">
        <x:f>IF(N2234="","OPEN",IF(OR(I2234="",J2234="",K2234="",L2234="",M2234=""),"FAIL","PASS"))</x:f>
        <x:v>OPEN</x:v>
      </x:c>
    </x:row>
    <x:row r="2235">
      <x:c r="B2235" s="7" t="str">
        <x:v>CH-PEA-C-Y1-12-3</x:v>
      </x:c>
      <x:c r="C2235" s="7" t="str">
        <x:v>PEA-C-Y1</x:v>
      </x:c>
      <x:c r="D2235" s="7" t="str">
        <x:v>BLD-C</x:v>
      </x:c>
      <x:c r="E2235" s="7" t="str">
        <x:v>BL-Y</x:v>
      </x:c>
      <x:c r="F2235" s="7" t="str">
        <x:v>MF-12</x:v>
      </x:c>
      <x:c r="G2235" s="7" t="str">
        <x:v>candidate-water path state</x:v>
      </x:c>
      <x:c r="H2235" s="7" t="n">
        <x:v>3</x:v>
      </x:c>
      <x:c r="I2235" s="7" t="str"/>
      <x:c r="J2235" s="7" t="str"/>
      <x:c r="K2235" s="7" t="str"/>
      <x:c r="L2235" s="7" t="str"/>
      <x:c r="M2235" s="7" t="str"/>
      <x:c r="N2235" s="7" t="str"/>
      <x:c r="O2235" s="7" t="str">
        <x:f>IF(N2235="","OPEN",IF(OR(I2235="",J2235="",K2235="",L2235="",M2235=""),"FAIL","PASS"))</x:f>
        <x:v>OPEN</x:v>
      </x:c>
    </x:row>
    <x:row r="2236">
      <x:c r="B2236" s="7" t="str">
        <x:v>CH-PEA-C-Y1-12-4</x:v>
      </x:c>
      <x:c r="C2236" s="7" t="str">
        <x:v>PEA-C-Y1</x:v>
      </x:c>
      <x:c r="D2236" s="7" t="str">
        <x:v>BLD-C</x:v>
      </x:c>
      <x:c r="E2236" s="7" t="str">
        <x:v>BL-Y</x:v>
      </x:c>
      <x:c r="F2236" s="7" t="str">
        <x:v>MF-12</x:v>
      </x:c>
      <x:c r="G2236" s="7" t="str">
        <x:v>candidate-water path state</x:v>
      </x:c>
      <x:c r="H2236" s="7" t="n">
        <x:v>4</x:v>
      </x:c>
      <x:c r="I2236" s="7" t="str"/>
      <x:c r="J2236" s="7" t="str"/>
      <x:c r="K2236" s="7" t="str"/>
      <x:c r="L2236" s="7" t="str"/>
      <x:c r="M2236" s="7" t="str"/>
      <x:c r="N2236" s="7" t="str"/>
      <x:c r="O2236" s="7" t="str">
        <x:f>IF(N2236="","OPEN",IF(OR(I2236="",J2236="",K2236="",L2236="",M2236=""),"FAIL","PASS"))</x:f>
        <x:v>OPEN</x:v>
      </x:c>
    </x:row>
    <x:row r="2237">
      <x:c r="B2237" s="7" t="str">
        <x:v>CH-PEA-C-Y1-12-5</x:v>
      </x:c>
      <x:c r="C2237" s="7" t="str">
        <x:v>PEA-C-Y1</x:v>
      </x:c>
      <x:c r="D2237" s="7" t="str">
        <x:v>BLD-C</x:v>
      </x:c>
      <x:c r="E2237" s="7" t="str">
        <x:v>BL-Y</x:v>
      </x:c>
      <x:c r="F2237" s="7" t="str">
        <x:v>MF-12</x:v>
      </x:c>
      <x:c r="G2237" s="7" t="str">
        <x:v>candidate-water path state</x:v>
      </x:c>
      <x:c r="H2237" s="7" t="n">
        <x:v>5</x:v>
      </x:c>
      <x:c r="I2237" s="7" t="str"/>
      <x:c r="J2237" s="7" t="str"/>
      <x:c r="K2237" s="7" t="str"/>
      <x:c r="L2237" s="7" t="str"/>
      <x:c r="M2237" s="7" t="str"/>
      <x:c r="N2237" s="7" t="str"/>
      <x:c r="O2237" s="7" t="str">
        <x:f>IF(N2237="","OPEN",IF(OR(I2237="",J2237="",K2237="",L2237="",M2237=""),"FAIL","PASS"))</x:f>
        <x:v>OPEN</x:v>
      </x:c>
    </x:row>
    <x:row r="2238">
      <x:c r="B2238" s="7" t="str">
        <x:v>CH-PEA-C-Y1-12-6</x:v>
      </x:c>
      <x:c r="C2238" s="7" t="str">
        <x:v>PEA-C-Y1</x:v>
      </x:c>
      <x:c r="D2238" s="7" t="str">
        <x:v>BLD-C</x:v>
      </x:c>
      <x:c r="E2238" s="7" t="str">
        <x:v>BL-Y</x:v>
      </x:c>
      <x:c r="F2238" s="7" t="str">
        <x:v>MF-12</x:v>
      </x:c>
      <x:c r="G2238" s="7" t="str">
        <x:v>candidate-water path state</x:v>
      </x:c>
      <x:c r="H2238" s="7" t="n">
        <x:v>6</x:v>
      </x:c>
      <x:c r="I2238" s="7" t="str"/>
      <x:c r="J2238" s="7" t="str"/>
      <x:c r="K2238" s="7" t="str"/>
      <x:c r="L2238" s="7" t="str"/>
      <x:c r="M2238" s="7" t="str"/>
      <x:c r="N2238" s="7" t="str"/>
      <x:c r="O2238" s="7" t="str">
        <x:f>IF(N2238="","OPEN",IF(OR(I2238="",J2238="",K2238="",L2238="",M2238=""),"FAIL","PASS"))</x:f>
        <x:v>OPEN</x:v>
      </x:c>
    </x:row>
    <x:row r="2239">
      <x:c r="B2239" s="7" t="str">
        <x:v>CH-PEA-C-Y1-13-1</x:v>
      </x:c>
      <x:c r="C2239" s="7" t="str">
        <x:v>PEA-C-Y1</x:v>
      </x:c>
      <x:c r="D2239" s="7" t="str">
        <x:v>BLD-C</x:v>
      </x:c>
      <x:c r="E2239" s="7" t="str">
        <x:v>BL-Y</x:v>
      </x:c>
      <x:c r="F2239" s="7" t="str">
        <x:v>MF-13</x:v>
      </x:c>
      <x:c r="G2239" s="7" t="str">
        <x:v>final-element reference</x:v>
      </x:c>
      <x:c r="H2239" s="7" t="n">
        <x:v>1</x:v>
      </x:c>
      <x:c r="I2239" s="7" t="str"/>
      <x:c r="J2239" s="7" t="str"/>
      <x:c r="K2239" s="7" t="str"/>
      <x:c r="L2239" s="7" t="str"/>
      <x:c r="M2239" s="7" t="str"/>
      <x:c r="N2239" s="7" t="str"/>
      <x:c r="O2239" s="7" t="str">
        <x:f>IF(N2239="","OPEN",IF(OR(I2239="",J2239="",K2239="",L2239="",M2239=""),"FAIL","PASS"))</x:f>
        <x:v>OPEN</x:v>
      </x:c>
    </x:row>
    <x:row r="2240">
      <x:c r="B2240" s="7" t="str">
        <x:v>CH-PEA-C-Y1-13-2</x:v>
      </x:c>
      <x:c r="C2240" s="7" t="str">
        <x:v>PEA-C-Y1</x:v>
      </x:c>
      <x:c r="D2240" s="7" t="str">
        <x:v>BLD-C</x:v>
      </x:c>
      <x:c r="E2240" s="7" t="str">
        <x:v>BL-Y</x:v>
      </x:c>
      <x:c r="F2240" s="7" t="str">
        <x:v>MF-13</x:v>
      </x:c>
      <x:c r="G2240" s="7" t="str">
        <x:v>final-element reference</x:v>
      </x:c>
      <x:c r="H2240" s="7" t="n">
        <x:v>2</x:v>
      </x:c>
      <x:c r="I2240" s="7" t="str"/>
      <x:c r="J2240" s="7" t="str"/>
      <x:c r="K2240" s="7" t="str"/>
      <x:c r="L2240" s="7" t="str"/>
      <x:c r="M2240" s="7" t="str"/>
      <x:c r="N2240" s="7" t="str"/>
      <x:c r="O2240" s="7" t="str">
        <x:f>IF(N2240="","OPEN",IF(OR(I2240="",J2240="",K2240="",L2240="",M2240=""),"FAIL","PASS"))</x:f>
        <x:v>OPEN</x:v>
      </x:c>
    </x:row>
    <x:row r="2241">
      <x:c r="B2241" s="7" t="str">
        <x:v>CH-PEA-C-Y1-13-3</x:v>
      </x:c>
      <x:c r="C2241" s="7" t="str">
        <x:v>PEA-C-Y1</x:v>
      </x:c>
      <x:c r="D2241" s="7" t="str">
        <x:v>BLD-C</x:v>
      </x:c>
      <x:c r="E2241" s="7" t="str">
        <x:v>BL-Y</x:v>
      </x:c>
      <x:c r="F2241" s="7" t="str">
        <x:v>MF-13</x:v>
      </x:c>
      <x:c r="G2241" s="7" t="str">
        <x:v>final-element reference</x:v>
      </x:c>
      <x:c r="H2241" s="7" t="n">
        <x:v>3</x:v>
      </x:c>
      <x:c r="I2241" s="7" t="str"/>
      <x:c r="J2241" s="7" t="str"/>
      <x:c r="K2241" s="7" t="str"/>
      <x:c r="L2241" s="7" t="str"/>
      <x:c r="M2241" s="7" t="str"/>
      <x:c r="N2241" s="7" t="str"/>
      <x:c r="O2241" s="7" t="str">
        <x:f>IF(N2241="","OPEN",IF(OR(I2241="",J2241="",K2241="",L2241="",M2241=""),"FAIL","PASS"))</x:f>
        <x:v>OPEN</x:v>
      </x:c>
    </x:row>
    <x:row r="2242">
      <x:c r="B2242" s="7" t="str">
        <x:v>CH-PEA-C-Y1-13-4</x:v>
      </x:c>
      <x:c r="C2242" s="7" t="str">
        <x:v>PEA-C-Y1</x:v>
      </x:c>
      <x:c r="D2242" s="7" t="str">
        <x:v>BLD-C</x:v>
      </x:c>
      <x:c r="E2242" s="7" t="str">
        <x:v>BL-Y</x:v>
      </x:c>
      <x:c r="F2242" s="7" t="str">
        <x:v>MF-13</x:v>
      </x:c>
      <x:c r="G2242" s="7" t="str">
        <x:v>final-element reference</x:v>
      </x:c>
      <x:c r="H2242" s="7" t="n">
        <x:v>4</x:v>
      </x:c>
      <x:c r="I2242" s="7" t="str"/>
      <x:c r="J2242" s="7" t="str"/>
      <x:c r="K2242" s="7" t="str"/>
      <x:c r="L2242" s="7" t="str"/>
      <x:c r="M2242" s="7" t="str"/>
      <x:c r="N2242" s="7" t="str"/>
      <x:c r="O2242" s="7" t="str">
        <x:f>IF(N2242="","OPEN",IF(OR(I2242="",J2242="",K2242="",L2242="",M2242=""),"FAIL","PASS"))</x:f>
        <x:v>OPEN</x:v>
      </x:c>
    </x:row>
    <x:row r="2243">
      <x:c r="B2243" s="7" t="str">
        <x:v>CH-PEA-C-Y1-13-5</x:v>
      </x:c>
      <x:c r="C2243" s="7" t="str">
        <x:v>PEA-C-Y1</x:v>
      </x:c>
      <x:c r="D2243" s="7" t="str">
        <x:v>BLD-C</x:v>
      </x:c>
      <x:c r="E2243" s="7" t="str">
        <x:v>BL-Y</x:v>
      </x:c>
      <x:c r="F2243" s="7" t="str">
        <x:v>MF-13</x:v>
      </x:c>
      <x:c r="G2243" s="7" t="str">
        <x:v>final-element reference</x:v>
      </x:c>
      <x:c r="H2243" s="7" t="n">
        <x:v>5</x:v>
      </x:c>
      <x:c r="I2243" s="7" t="str"/>
      <x:c r="J2243" s="7" t="str"/>
      <x:c r="K2243" s="7" t="str"/>
      <x:c r="L2243" s="7" t="str"/>
      <x:c r="M2243" s="7" t="str"/>
      <x:c r="N2243" s="7" t="str"/>
      <x:c r="O2243" s="7" t="str">
        <x:f>IF(N2243="","OPEN",IF(OR(I2243="",J2243="",K2243="",L2243="",M2243=""),"FAIL","PASS"))</x:f>
        <x:v>OPEN</x:v>
      </x:c>
    </x:row>
    <x:row r="2244">
      <x:c r="B2244" s="7" t="str">
        <x:v>CH-PEA-C-Y1-13-6</x:v>
      </x:c>
      <x:c r="C2244" s="7" t="str">
        <x:v>PEA-C-Y1</x:v>
      </x:c>
      <x:c r="D2244" s="7" t="str">
        <x:v>BLD-C</x:v>
      </x:c>
      <x:c r="E2244" s="7" t="str">
        <x:v>BL-Y</x:v>
      </x:c>
      <x:c r="F2244" s="7" t="str">
        <x:v>MF-13</x:v>
      </x:c>
      <x:c r="G2244" s="7" t="str">
        <x:v>final-element reference</x:v>
      </x:c>
      <x:c r="H2244" s="7" t="n">
        <x:v>6</x:v>
      </x:c>
      <x:c r="I2244" s="7" t="str"/>
      <x:c r="J2244" s="7" t="str"/>
      <x:c r="K2244" s="7" t="str"/>
      <x:c r="L2244" s="7" t="str"/>
      <x:c r="M2244" s="7" t="str"/>
      <x:c r="N2244" s="7" t="str"/>
      <x:c r="O2244" s="7" t="str">
        <x:f>IF(N2244="","OPEN",IF(OR(I2244="",J2244="",K2244="",L2244="",M2244=""),"FAIL","PASS"))</x:f>
        <x:v>OPEN</x:v>
      </x:c>
    </x:row>
    <x:row r="2245">
      <x:c r="B2245" s="7" t="str">
        <x:v>CH-PEA-C-Y1-14-1</x:v>
      </x:c>
      <x:c r="C2245" s="7" t="str">
        <x:v>PEA-C-Y1</x:v>
      </x:c>
      <x:c r="D2245" s="7" t="str">
        <x:v>BLD-C</x:v>
      </x:c>
      <x:c r="E2245" s="7" t="str">
        <x:v>BL-Y</x:v>
      </x:c>
      <x:c r="F2245" s="7" t="str">
        <x:v>MF-14</x:v>
      </x:c>
      <x:c r="G2245" s="7" t="str">
        <x:v>causal time</x:v>
      </x:c>
      <x:c r="H2245" s="7" t="n">
        <x:v>1</x:v>
      </x:c>
      <x:c r="I2245" s="7" t="str"/>
      <x:c r="J2245" s="7" t="str"/>
      <x:c r="K2245" s="7" t="str"/>
      <x:c r="L2245" s="7" t="str"/>
      <x:c r="M2245" s="7" t="str"/>
      <x:c r="N2245" s="7" t="str"/>
      <x:c r="O2245" s="7" t="str">
        <x:f>IF(N2245="","OPEN",IF(OR(I2245="",J2245="",K2245="",L2245="",M2245=""),"FAIL","PASS"))</x:f>
        <x:v>OPEN</x:v>
      </x:c>
    </x:row>
    <x:row r="2246">
      <x:c r="B2246" s="7" t="str">
        <x:v>CH-PEA-C-Y1-14-2</x:v>
      </x:c>
      <x:c r="C2246" s="7" t="str">
        <x:v>PEA-C-Y1</x:v>
      </x:c>
      <x:c r="D2246" s="7" t="str">
        <x:v>BLD-C</x:v>
      </x:c>
      <x:c r="E2246" s="7" t="str">
        <x:v>BL-Y</x:v>
      </x:c>
      <x:c r="F2246" s="7" t="str">
        <x:v>MF-14</x:v>
      </x:c>
      <x:c r="G2246" s="7" t="str">
        <x:v>causal time</x:v>
      </x:c>
      <x:c r="H2246" s="7" t="n">
        <x:v>2</x:v>
      </x:c>
      <x:c r="I2246" s="7" t="str"/>
      <x:c r="J2246" s="7" t="str"/>
      <x:c r="K2246" s="7" t="str"/>
      <x:c r="L2246" s="7" t="str"/>
      <x:c r="M2246" s="7" t="str"/>
      <x:c r="N2246" s="7" t="str"/>
      <x:c r="O2246" s="7" t="str">
        <x:f>IF(N2246="","OPEN",IF(OR(I2246="",J2246="",K2246="",L2246="",M2246=""),"FAIL","PASS"))</x:f>
        <x:v>OPEN</x:v>
      </x:c>
    </x:row>
    <x:row r="2247">
      <x:c r="B2247" s="7" t="str">
        <x:v>CH-PEA-C-Y1-14-3</x:v>
      </x:c>
      <x:c r="C2247" s="7" t="str">
        <x:v>PEA-C-Y1</x:v>
      </x:c>
      <x:c r="D2247" s="7" t="str">
        <x:v>BLD-C</x:v>
      </x:c>
      <x:c r="E2247" s="7" t="str">
        <x:v>BL-Y</x:v>
      </x:c>
      <x:c r="F2247" s="7" t="str">
        <x:v>MF-14</x:v>
      </x:c>
      <x:c r="G2247" s="7" t="str">
        <x:v>causal time</x:v>
      </x:c>
      <x:c r="H2247" s="7" t="n">
        <x:v>3</x:v>
      </x:c>
      <x:c r="I2247" s="7" t="str"/>
      <x:c r="J2247" s="7" t="str"/>
      <x:c r="K2247" s="7" t="str"/>
      <x:c r="L2247" s="7" t="str"/>
      <x:c r="M2247" s="7" t="str"/>
      <x:c r="N2247" s="7" t="str"/>
      <x:c r="O2247" s="7" t="str">
        <x:f>IF(N2247="","OPEN",IF(OR(I2247="",J2247="",K2247="",L2247="",M2247=""),"FAIL","PASS"))</x:f>
        <x:v>OPEN</x:v>
      </x:c>
    </x:row>
    <x:row r="2248">
      <x:c r="B2248" s="7" t="str">
        <x:v>CH-PEA-C-Y1-14-4</x:v>
      </x:c>
      <x:c r="C2248" s="7" t="str">
        <x:v>PEA-C-Y1</x:v>
      </x:c>
      <x:c r="D2248" s="7" t="str">
        <x:v>BLD-C</x:v>
      </x:c>
      <x:c r="E2248" s="7" t="str">
        <x:v>BL-Y</x:v>
      </x:c>
      <x:c r="F2248" s="7" t="str">
        <x:v>MF-14</x:v>
      </x:c>
      <x:c r="G2248" s="7" t="str">
        <x:v>causal time</x:v>
      </x:c>
      <x:c r="H2248" s="7" t="n">
        <x:v>4</x:v>
      </x:c>
      <x:c r="I2248" s="7" t="str"/>
      <x:c r="J2248" s="7" t="str"/>
      <x:c r="K2248" s="7" t="str"/>
      <x:c r="L2248" s="7" t="str"/>
      <x:c r="M2248" s="7" t="str"/>
      <x:c r="N2248" s="7" t="str"/>
      <x:c r="O2248" s="7" t="str">
        <x:f>IF(N2248="","OPEN",IF(OR(I2248="",J2248="",K2248="",L2248="",M2248=""),"FAIL","PASS"))</x:f>
        <x:v>OPEN</x:v>
      </x:c>
    </x:row>
    <x:row r="2249">
      <x:c r="B2249" s="7" t="str">
        <x:v>CH-PEA-C-Y1-14-5</x:v>
      </x:c>
      <x:c r="C2249" s="7" t="str">
        <x:v>PEA-C-Y1</x:v>
      </x:c>
      <x:c r="D2249" s="7" t="str">
        <x:v>BLD-C</x:v>
      </x:c>
      <x:c r="E2249" s="7" t="str">
        <x:v>BL-Y</x:v>
      </x:c>
      <x:c r="F2249" s="7" t="str">
        <x:v>MF-14</x:v>
      </x:c>
      <x:c r="G2249" s="7" t="str">
        <x:v>causal time</x:v>
      </x:c>
      <x:c r="H2249" s="7" t="n">
        <x:v>5</x:v>
      </x:c>
      <x:c r="I2249" s="7" t="str"/>
      <x:c r="J2249" s="7" t="str"/>
      <x:c r="K2249" s="7" t="str"/>
      <x:c r="L2249" s="7" t="str"/>
      <x:c r="M2249" s="7" t="str"/>
      <x:c r="N2249" s="7" t="str"/>
      <x:c r="O2249" s="7" t="str">
        <x:f>IF(N2249="","OPEN",IF(OR(I2249="",J2249="",K2249="",L2249="",M2249=""),"FAIL","PASS"))</x:f>
        <x:v>OPEN</x:v>
      </x:c>
    </x:row>
    <x:row r="2250">
      <x:c r="B2250" s="7" t="str">
        <x:v>CH-PEA-C-Y1-14-6</x:v>
      </x:c>
      <x:c r="C2250" s="7" t="str">
        <x:v>PEA-C-Y1</x:v>
      </x:c>
      <x:c r="D2250" s="7" t="str">
        <x:v>BLD-C</x:v>
      </x:c>
      <x:c r="E2250" s="7" t="str">
        <x:v>BL-Y</x:v>
      </x:c>
      <x:c r="F2250" s="7" t="str">
        <x:v>MF-14</x:v>
      </x:c>
      <x:c r="G2250" s="7" t="str">
        <x:v>causal time</x:v>
      </x:c>
      <x:c r="H2250" s="7" t="n">
        <x:v>6</x:v>
      </x:c>
      <x:c r="I2250" s="7" t="str"/>
      <x:c r="J2250" s="7" t="str"/>
      <x:c r="K2250" s="7" t="str"/>
      <x:c r="L2250" s="7" t="str"/>
      <x:c r="M2250" s="7" t="str"/>
      <x:c r="N2250" s="7" t="str"/>
      <x:c r="O2250" s="7" t="str">
        <x:f>IF(N2250="","OPEN",IF(OR(I2250="",J2250="",K2250="",L2250="",M2250=""),"FAIL","PASS"))</x:f>
        <x:v>OPEN</x:v>
      </x:c>
    </x:row>
    <x:row r="2251">
      <x:c r="B2251" s="7" t="str">
        <x:v>CH-PEA-C-Y1-15-1</x:v>
      </x:c>
      <x:c r="C2251" s="7" t="str">
        <x:v>PEA-C-Y1</x:v>
      </x:c>
      <x:c r="D2251" s="7" t="str">
        <x:v>BLD-C</x:v>
      </x:c>
      <x:c r="E2251" s="7" t="str">
        <x:v>BL-Y</x:v>
      </x:c>
      <x:c r="F2251" s="7" t="str">
        <x:v>MF-15</x:v>
      </x:c>
      <x:c r="G2251" s="7" t="str">
        <x:v>source motive energy</x:v>
      </x:c>
      <x:c r="H2251" s="7" t="n">
        <x:v>1</x:v>
      </x:c>
      <x:c r="I2251" s="7" t="str"/>
      <x:c r="J2251" s="7" t="str"/>
      <x:c r="K2251" s="7" t="str"/>
      <x:c r="L2251" s="7" t="str"/>
      <x:c r="M2251" s="7" t="str"/>
      <x:c r="N2251" s="7" t="str"/>
      <x:c r="O2251" s="7" t="str">
        <x:f>IF(N2251="","OPEN",IF(OR(I2251="",J2251="",K2251="",L2251="",M2251=""),"FAIL","PASS"))</x:f>
        <x:v>OPEN</x:v>
      </x:c>
    </x:row>
    <x:row r="2252">
      <x:c r="B2252" s="7" t="str">
        <x:v>CH-PEA-C-Y1-15-2</x:v>
      </x:c>
      <x:c r="C2252" s="7" t="str">
        <x:v>PEA-C-Y1</x:v>
      </x:c>
      <x:c r="D2252" s="7" t="str">
        <x:v>BLD-C</x:v>
      </x:c>
      <x:c r="E2252" s="7" t="str">
        <x:v>BL-Y</x:v>
      </x:c>
      <x:c r="F2252" s="7" t="str">
        <x:v>MF-15</x:v>
      </x:c>
      <x:c r="G2252" s="7" t="str">
        <x:v>source motive energy</x:v>
      </x:c>
      <x:c r="H2252" s="7" t="n">
        <x:v>2</x:v>
      </x:c>
      <x:c r="I2252" s="7" t="str"/>
      <x:c r="J2252" s="7" t="str"/>
      <x:c r="K2252" s="7" t="str"/>
      <x:c r="L2252" s="7" t="str"/>
      <x:c r="M2252" s="7" t="str"/>
      <x:c r="N2252" s="7" t="str"/>
      <x:c r="O2252" s="7" t="str">
        <x:f>IF(N2252="","OPEN",IF(OR(I2252="",J2252="",K2252="",L2252="",M2252=""),"FAIL","PASS"))</x:f>
        <x:v>OPEN</x:v>
      </x:c>
    </x:row>
    <x:row r="2253">
      <x:c r="B2253" s="7" t="str">
        <x:v>CH-PEA-C-Y1-15-3</x:v>
      </x:c>
      <x:c r="C2253" s="7" t="str">
        <x:v>PEA-C-Y1</x:v>
      </x:c>
      <x:c r="D2253" s="7" t="str">
        <x:v>BLD-C</x:v>
      </x:c>
      <x:c r="E2253" s="7" t="str">
        <x:v>BL-Y</x:v>
      </x:c>
      <x:c r="F2253" s="7" t="str">
        <x:v>MF-15</x:v>
      </x:c>
      <x:c r="G2253" s="7" t="str">
        <x:v>source motive energy</x:v>
      </x:c>
      <x:c r="H2253" s="7" t="n">
        <x:v>3</x:v>
      </x:c>
      <x:c r="I2253" s="7" t="str"/>
      <x:c r="J2253" s="7" t="str"/>
      <x:c r="K2253" s="7" t="str"/>
      <x:c r="L2253" s="7" t="str"/>
      <x:c r="M2253" s="7" t="str"/>
      <x:c r="N2253" s="7" t="str"/>
      <x:c r="O2253" s="7" t="str">
        <x:f>IF(N2253="","OPEN",IF(OR(I2253="",J2253="",K2253="",L2253="",M2253=""),"FAIL","PASS"))</x:f>
        <x:v>OPEN</x:v>
      </x:c>
    </x:row>
    <x:row r="2254">
      <x:c r="B2254" s="7" t="str">
        <x:v>CH-PEA-C-Y1-15-4</x:v>
      </x:c>
      <x:c r="C2254" s="7" t="str">
        <x:v>PEA-C-Y1</x:v>
      </x:c>
      <x:c r="D2254" s="7" t="str">
        <x:v>BLD-C</x:v>
      </x:c>
      <x:c r="E2254" s="7" t="str">
        <x:v>BL-Y</x:v>
      </x:c>
      <x:c r="F2254" s="7" t="str">
        <x:v>MF-15</x:v>
      </x:c>
      <x:c r="G2254" s="7" t="str">
        <x:v>source motive energy</x:v>
      </x:c>
      <x:c r="H2254" s="7" t="n">
        <x:v>4</x:v>
      </x:c>
      <x:c r="I2254" s="7" t="str"/>
      <x:c r="J2254" s="7" t="str"/>
      <x:c r="K2254" s="7" t="str"/>
      <x:c r="L2254" s="7" t="str"/>
      <x:c r="M2254" s="7" t="str"/>
      <x:c r="N2254" s="7" t="str"/>
      <x:c r="O2254" s="7" t="str">
        <x:f>IF(N2254="","OPEN",IF(OR(I2254="",J2254="",K2254="",L2254="",M2254=""),"FAIL","PASS"))</x:f>
        <x:v>OPEN</x:v>
      </x:c>
    </x:row>
    <x:row r="2255">
      <x:c r="B2255" s="7" t="str">
        <x:v>CH-PEA-C-Y1-15-5</x:v>
      </x:c>
      <x:c r="C2255" s="7" t="str">
        <x:v>PEA-C-Y1</x:v>
      </x:c>
      <x:c r="D2255" s="7" t="str">
        <x:v>BLD-C</x:v>
      </x:c>
      <x:c r="E2255" s="7" t="str">
        <x:v>BL-Y</x:v>
      </x:c>
      <x:c r="F2255" s="7" t="str">
        <x:v>MF-15</x:v>
      </x:c>
      <x:c r="G2255" s="7" t="str">
        <x:v>source motive energy</x:v>
      </x:c>
      <x:c r="H2255" s="7" t="n">
        <x:v>5</x:v>
      </x:c>
      <x:c r="I2255" s="7" t="str"/>
      <x:c r="J2255" s="7" t="str"/>
      <x:c r="K2255" s="7" t="str"/>
      <x:c r="L2255" s="7" t="str"/>
      <x:c r="M2255" s="7" t="str"/>
      <x:c r="N2255" s="7" t="str"/>
      <x:c r="O2255" s="7" t="str">
        <x:f>IF(N2255="","OPEN",IF(OR(I2255="",J2255="",K2255="",L2255="",M2255=""),"FAIL","PASS"))</x:f>
        <x:v>OPEN</x:v>
      </x:c>
    </x:row>
    <x:row r="2256">
      <x:c r="B2256" s="7" t="str">
        <x:v>CH-PEA-C-Y1-15-6</x:v>
      </x:c>
      <x:c r="C2256" s="7" t="str">
        <x:v>PEA-C-Y1</x:v>
      </x:c>
      <x:c r="D2256" s="7" t="str">
        <x:v>BLD-C</x:v>
      </x:c>
      <x:c r="E2256" s="7" t="str">
        <x:v>BL-Y</x:v>
      </x:c>
      <x:c r="F2256" s="7" t="str">
        <x:v>MF-15</x:v>
      </x:c>
      <x:c r="G2256" s="7" t="str">
        <x:v>source motive energy</x:v>
      </x:c>
      <x:c r="H2256" s="7" t="n">
        <x:v>6</x:v>
      </x:c>
      <x:c r="I2256" s="7" t="str"/>
      <x:c r="J2256" s="7" t="str"/>
      <x:c r="K2256" s="7" t="str"/>
      <x:c r="L2256" s="7" t="str"/>
      <x:c r="M2256" s="7" t="str"/>
      <x:c r="N2256" s="7" t="str"/>
      <x:c r="O2256" s="7" t="str">
        <x:f>IF(N2256="","OPEN",IF(OR(I2256="",J2256="",K2256="",L2256="",M2256=""),"FAIL","PASS"))</x:f>
        <x:v>OPEN</x:v>
      </x:c>
    </x:row>
    <x:row r="2257">
      <x:c r="B2257" s="7" t="str">
        <x:v>CH-PEA-C-Y1-16-1</x:v>
      </x:c>
      <x:c r="C2257" s="7" t="str">
        <x:v>PEA-C-Y1</x:v>
      </x:c>
      <x:c r="D2257" s="7" t="str">
        <x:v>BLD-C</x:v>
      </x:c>
      <x:c r="E2257" s="7" t="str">
        <x:v>BL-Y</x:v>
      </x:c>
      <x:c r="F2257" s="7" t="str">
        <x:v>MF-16</x:v>
      </x:c>
      <x:c r="G2257" s="7" t="str">
        <x:v>water motive energy</x:v>
      </x:c>
      <x:c r="H2257" s="7" t="n">
        <x:v>1</x:v>
      </x:c>
      <x:c r="I2257" s="7" t="str"/>
      <x:c r="J2257" s="7" t="str"/>
      <x:c r="K2257" s="7" t="str"/>
      <x:c r="L2257" s="7" t="str"/>
      <x:c r="M2257" s="7" t="str"/>
      <x:c r="N2257" s="7" t="str"/>
      <x:c r="O2257" s="7" t="str">
        <x:f>IF(N2257="","OPEN",IF(OR(I2257="",J2257="",K2257="",L2257="",M2257=""),"FAIL","PASS"))</x:f>
        <x:v>OPEN</x:v>
      </x:c>
    </x:row>
    <x:row r="2258">
      <x:c r="B2258" s="7" t="str">
        <x:v>CH-PEA-C-Y1-16-2</x:v>
      </x:c>
      <x:c r="C2258" s="7" t="str">
        <x:v>PEA-C-Y1</x:v>
      </x:c>
      <x:c r="D2258" s="7" t="str">
        <x:v>BLD-C</x:v>
      </x:c>
      <x:c r="E2258" s="7" t="str">
        <x:v>BL-Y</x:v>
      </x:c>
      <x:c r="F2258" s="7" t="str">
        <x:v>MF-16</x:v>
      </x:c>
      <x:c r="G2258" s="7" t="str">
        <x:v>water motive energy</x:v>
      </x:c>
      <x:c r="H2258" s="7" t="n">
        <x:v>2</x:v>
      </x:c>
      <x:c r="I2258" s="7" t="str"/>
      <x:c r="J2258" s="7" t="str"/>
      <x:c r="K2258" s="7" t="str"/>
      <x:c r="L2258" s="7" t="str"/>
      <x:c r="M2258" s="7" t="str"/>
      <x:c r="N2258" s="7" t="str"/>
      <x:c r="O2258" s="7" t="str">
        <x:f>IF(N2258="","OPEN",IF(OR(I2258="",J2258="",K2258="",L2258="",M2258=""),"FAIL","PASS"))</x:f>
        <x:v>OPEN</x:v>
      </x:c>
    </x:row>
    <x:row r="2259">
      <x:c r="B2259" s="7" t="str">
        <x:v>CH-PEA-C-Y1-16-3</x:v>
      </x:c>
      <x:c r="C2259" s="7" t="str">
        <x:v>PEA-C-Y1</x:v>
      </x:c>
      <x:c r="D2259" s="7" t="str">
        <x:v>BLD-C</x:v>
      </x:c>
      <x:c r="E2259" s="7" t="str">
        <x:v>BL-Y</x:v>
      </x:c>
      <x:c r="F2259" s="7" t="str">
        <x:v>MF-16</x:v>
      </x:c>
      <x:c r="G2259" s="7" t="str">
        <x:v>water motive energy</x:v>
      </x:c>
      <x:c r="H2259" s="7" t="n">
        <x:v>3</x:v>
      </x:c>
      <x:c r="I2259" s="7" t="str"/>
      <x:c r="J2259" s="7" t="str"/>
      <x:c r="K2259" s="7" t="str"/>
      <x:c r="L2259" s="7" t="str"/>
      <x:c r="M2259" s="7" t="str"/>
      <x:c r="N2259" s="7" t="str"/>
      <x:c r="O2259" s="7" t="str">
        <x:f>IF(N2259="","OPEN",IF(OR(I2259="",J2259="",K2259="",L2259="",M2259=""),"FAIL","PASS"))</x:f>
        <x:v>OPEN</x:v>
      </x:c>
    </x:row>
    <x:row r="2260">
      <x:c r="B2260" s="7" t="str">
        <x:v>CH-PEA-C-Y1-16-4</x:v>
      </x:c>
      <x:c r="C2260" s="7" t="str">
        <x:v>PEA-C-Y1</x:v>
      </x:c>
      <x:c r="D2260" s="7" t="str">
        <x:v>BLD-C</x:v>
      </x:c>
      <x:c r="E2260" s="7" t="str">
        <x:v>BL-Y</x:v>
      </x:c>
      <x:c r="F2260" s="7" t="str">
        <x:v>MF-16</x:v>
      </x:c>
      <x:c r="G2260" s="7" t="str">
        <x:v>water motive energy</x:v>
      </x:c>
      <x:c r="H2260" s="7" t="n">
        <x:v>4</x:v>
      </x:c>
      <x:c r="I2260" s="7" t="str"/>
      <x:c r="J2260" s="7" t="str"/>
      <x:c r="K2260" s="7" t="str"/>
      <x:c r="L2260" s="7" t="str"/>
      <x:c r="M2260" s="7" t="str"/>
      <x:c r="N2260" s="7" t="str"/>
      <x:c r="O2260" s="7" t="str">
        <x:f>IF(N2260="","OPEN",IF(OR(I2260="",J2260="",K2260="",L2260="",M2260=""),"FAIL","PASS"))</x:f>
        <x:v>OPEN</x:v>
      </x:c>
    </x:row>
    <x:row r="2261">
      <x:c r="B2261" s="7" t="str">
        <x:v>CH-PEA-C-Y1-16-5</x:v>
      </x:c>
      <x:c r="C2261" s="7" t="str">
        <x:v>PEA-C-Y1</x:v>
      </x:c>
      <x:c r="D2261" s="7" t="str">
        <x:v>BLD-C</x:v>
      </x:c>
      <x:c r="E2261" s="7" t="str">
        <x:v>BL-Y</x:v>
      </x:c>
      <x:c r="F2261" s="7" t="str">
        <x:v>MF-16</x:v>
      </x:c>
      <x:c r="G2261" s="7" t="str">
        <x:v>water motive energy</x:v>
      </x:c>
      <x:c r="H2261" s="7" t="n">
        <x:v>5</x:v>
      </x:c>
      <x:c r="I2261" s="7" t="str"/>
      <x:c r="J2261" s="7" t="str"/>
      <x:c r="K2261" s="7" t="str"/>
      <x:c r="L2261" s="7" t="str"/>
      <x:c r="M2261" s="7" t="str"/>
      <x:c r="N2261" s="7" t="str"/>
      <x:c r="O2261" s="7" t="str">
        <x:f>IF(N2261="","OPEN",IF(OR(I2261="",J2261="",K2261="",L2261="",M2261=""),"FAIL","PASS"))</x:f>
        <x:v>OPEN</x:v>
      </x:c>
    </x:row>
    <x:row r="2262">
      <x:c r="B2262" s="7" t="str">
        <x:v>CH-PEA-C-Y1-16-6</x:v>
      </x:c>
      <x:c r="C2262" s="7" t="str">
        <x:v>PEA-C-Y1</x:v>
      </x:c>
      <x:c r="D2262" s="7" t="str">
        <x:v>BLD-C</x:v>
      </x:c>
      <x:c r="E2262" s="7" t="str">
        <x:v>BL-Y</x:v>
      </x:c>
      <x:c r="F2262" s="7" t="str">
        <x:v>MF-16</x:v>
      </x:c>
      <x:c r="G2262" s="7" t="str">
        <x:v>water motive energy</x:v>
      </x:c>
      <x:c r="H2262" s="7" t="n">
        <x:v>6</x:v>
      </x:c>
      <x:c r="I2262" s="7" t="str"/>
      <x:c r="J2262" s="7" t="str"/>
      <x:c r="K2262" s="7" t="str"/>
      <x:c r="L2262" s="7" t="str"/>
      <x:c r="M2262" s="7" t="str"/>
      <x:c r="N2262" s="7" t="str"/>
      <x:c r="O2262" s="7" t="str">
        <x:f>IF(N2262="","OPEN",IF(OR(I2262="",J2262="",K2262="",L2262="",M2262=""),"FAIL","PASS"))</x:f>
        <x:v>OPEN</x:v>
      </x:c>
    </x:row>
    <x:row r="2263">
      <x:c r="B2263" s="7" t="str">
        <x:v>CH-PEA-C-Y1-17-1</x:v>
      </x:c>
      <x:c r="C2263" s="7" t="str">
        <x:v>PEA-C-Y1</x:v>
      </x:c>
      <x:c r="D2263" s="7" t="str">
        <x:v>BLD-C</x:v>
      </x:c>
      <x:c r="E2263" s="7" t="str">
        <x:v>BL-Y</x:v>
      </x:c>
      <x:c r="F2263" s="7" t="str">
        <x:v>MF-17</x:v>
      </x:c>
      <x:c r="G2263" s="7" t="str">
        <x:v>normal power</x:v>
      </x:c>
      <x:c r="H2263" s="7" t="n">
        <x:v>1</x:v>
      </x:c>
      <x:c r="I2263" s="7" t="str"/>
      <x:c r="J2263" s="7" t="str"/>
      <x:c r="K2263" s="7" t="str"/>
      <x:c r="L2263" s="7" t="str"/>
      <x:c r="M2263" s="7" t="str"/>
      <x:c r="N2263" s="7" t="str"/>
      <x:c r="O2263" s="7" t="str">
        <x:f>IF(N2263="","OPEN",IF(OR(I2263="",J2263="",K2263="",L2263="",M2263=""),"FAIL","PASS"))</x:f>
        <x:v>OPEN</x:v>
      </x:c>
    </x:row>
    <x:row r="2264">
      <x:c r="B2264" s="7" t="str">
        <x:v>CH-PEA-C-Y1-17-2</x:v>
      </x:c>
      <x:c r="C2264" s="7" t="str">
        <x:v>PEA-C-Y1</x:v>
      </x:c>
      <x:c r="D2264" s="7" t="str">
        <x:v>BLD-C</x:v>
      </x:c>
      <x:c r="E2264" s="7" t="str">
        <x:v>BL-Y</x:v>
      </x:c>
      <x:c r="F2264" s="7" t="str">
        <x:v>MF-17</x:v>
      </x:c>
      <x:c r="G2264" s="7" t="str">
        <x:v>normal power</x:v>
      </x:c>
      <x:c r="H2264" s="7" t="n">
        <x:v>2</x:v>
      </x:c>
      <x:c r="I2264" s="7" t="str"/>
      <x:c r="J2264" s="7" t="str"/>
      <x:c r="K2264" s="7" t="str"/>
      <x:c r="L2264" s="7" t="str"/>
      <x:c r="M2264" s="7" t="str"/>
      <x:c r="N2264" s="7" t="str"/>
      <x:c r="O2264" s="7" t="str">
        <x:f>IF(N2264="","OPEN",IF(OR(I2264="",J2264="",K2264="",L2264="",M2264=""),"FAIL","PASS"))</x:f>
        <x:v>OPEN</x:v>
      </x:c>
    </x:row>
    <x:row r="2265">
      <x:c r="B2265" s="7" t="str">
        <x:v>CH-PEA-C-Y1-17-3</x:v>
      </x:c>
      <x:c r="C2265" s="7" t="str">
        <x:v>PEA-C-Y1</x:v>
      </x:c>
      <x:c r="D2265" s="7" t="str">
        <x:v>BLD-C</x:v>
      </x:c>
      <x:c r="E2265" s="7" t="str">
        <x:v>BL-Y</x:v>
      </x:c>
      <x:c r="F2265" s="7" t="str">
        <x:v>MF-17</x:v>
      </x:c>
      <x:c r="G2265" s="7" t="str">
        <x:v>normal power</x:v>
      </x:c>
      <x:c r="H2265" s="7" t="n">
        <x:v>3</x:v>
      </x:c>
      <x:c r="I2265" s="7" t="str"/>
      <x:c r="J2265" s="7" t="str"/>
      <x:c r="K2265" s="7" t="str"/>
      <x:c r="L2265" s="7" t="str"/>
      <x:c r="M2265" s="7" t="str"/>
      <x:c r="N2265" s="7" t="str"/>
      <x:c r="O2265" s="7" t="str">
        <x:f>IF(N2265="","OPEN",IF(OR(I2265="",J2265="",K2265="",L2265="",M2265=""),"FAIL","PASS"))</x:f>
        <x:v>OPEN</x:v>
      </x:c>
    </x:row>
    <x:row r="2266">
      <x:c r="B2266" s="7" t="str">
        <x:v>CH-PEA-C-Y1-17-4</x:v>
      </x:c>
      <x:c r="C2266" s="7" t="str">
        <x:v>PEA-C-Y1</x:v>
      </x:c>
      <x:c r="D2266" s="7" t="str">
        <x:v>BLD-C</x:v>
      </x:c>
      <x:c r="E2266" s="7" t="str">
        <x:v>BL-Y</x:v>
      </x:c>
      <x:c r="F2266" s="7" t="str">
        <x:v>MF-17</x:v>
      </x:c>
      <x:c r="G2266" s="7" t="str">
        <x:v>normal power</x:v>
      </x:c>
      <x:c r="H2266" s="7" t="n">
        <x:v>4</x:v>
      </x:c>
      <x:c r="I2266" s="7" t="str"/>
      <x:c r="J2266" s="7" t="str"/>
      <x:c r="K2266" s="7" t="str"/>
      <x:c r="L2266" s="7" t="str"/>
      <x:c r="M2266" s="7" t="str"/>
      <x:c r="N2266" s="7" t="str"/>
      <x:c r="O2266" s="7" t="str">
        <x:f>IF(N2266="","OPEN",IF(OR(I2266="",J2266="",K2266="",L2266="",M2266=""),"FAIL","PASS"))</x:f>
        <x:v>OPEN</x:v>
      </x:c>
    </x:row>
    <x:row r="2267">
      <x:c r="B2267" s="7" t="str">
        <x:v>CH-PEA-C-Y1-17-5</x:v>
      </x:c>
      <x:c r="C2267" s="7" t="str">
        <x:v>PEA-C-Y1</x:v>
      </x:c>
      <x:c r="D2267" s="7" t="str">
        <x:v>BLD-C</x:v>
      </x:c>
      <x:c r="E2267" s="7" t="str">
        <x:v>BL-Y</x:v>
      </x:c>
      <x:c r="F2267" s="7" t="str">
        <x:v>MF-17</x:v>
      </x:c>
      <x:c r="G2267" s="7" t="str">
        <x:v>normal power</x:v>
      </x:c>
      <x:c r="H2267" s="7" t="n">
        <x:v>5</x:v>
      </x:c>
      <x:c r="I2267" s="7" t="str"/>
      <x:c r="J2267" s="7" t="str"/>
      <x:c r="K2267" s="7" t="str"/>
      <x:c r="L2267" s="7" t="str"/>
      <x:c r="M2267" s="7" t="str"/>
      <x:c r="N2267" s="7" t="str"/>
      <x:c r="O2267" s="7" t="str">
        <x:f>IF(N2267="","OPEN",IF(OR(I2267="",J2267="",K2267="",L2267="",M2267=""),"FAIL","PASS"))</x:f>
        <x:v>OPEN</x:v>
      </x:c>
    </x:row>
    <x:row r="2268">
      <x:c r="B2268" s="7" t="str">
        <x:v>CH-PEA-C-Y1-17-6</x:v>
      </x:c>
      <x:c r="C2268" s="7" t="str">
        <x:v>PEA-C-Y1</x:v>
      </x:c>
      <x:c r="D2268" s="7" t="str">
        <x:v>BLD-C</x:v>
      </x:c>
      <x:c r="E2268" s="7" t="str">
        <x:v>BL-Y</x:v>
      </x:c>
      <x:c r="F2268" s="7" t="str">
        <x:v>MF-17</x:v>
      </x:c>
      <x:c r="G2268" s="7" t="str">
        <x:v>normal power</x:v>
      </x:c>
      <x:c r="H2268" s="7" t="n">
        <x:v>6</x:v>
      </x:c>
      <x:c r="I2268" s="7" t="str"/>
      <x:c r="J2268" s="7" t="str"/>
      <x:c r="K2268" s="7" t="str"/>
      <x:c r="L2268" s="7" t="str"/>
      <x:c r="M2268" s="7" t="str"/>
      <x:c r="N2268" s="7" t="str"/>
      <x:c r="O2268" s="7" t="str">
        <x:f>IF(N2268="","OPEN",IF(OR(I2268="",J2268="",K2268="",L2268="",M2268=""),"FAIL","PASS"))</x:f>
        <x:v>OPEN</x:v>
      </x:c>
    </x:row>
    <x:row r="2269">
      <x:c r="B2269" s="7" t="str">
        <x:v>CH-PEA-C-Y1-18-1</x:v>
      </x:c>
      <x:c r="C2269" s="7" t="str">
        <x:v>PEA-C-Y1</x:v>
      </x:c>
      <x:c r="D2269" s="7" t="str">
        <x:v>BLD-C</x:v>
      </x:c>
      <x:c r="E2269" s="7" t="str">
        <x:v>BL-Y</x:v>
      </x:c>
      <x:c r="F2269" s="7" t="str">
        <x:v>MF-18</x:v>
      </x:c>
      <x:c r="G2269" s="7" t="str">
        <x:v>independent power</x:v>
      </x:c>
      <x:c r="H2269" s="7" t="n">
        <x:v>1</x:v>
      </x:c>
      <x:c r="I2269" s="7" t="str"/>
      <x:c r="J2269" s="7" t="str"/>
      <x:c r="K2269" s="7" t="str"/>
      <x:c r="L2269" s="7" t="str"/>
      <x:c r="M2269" s="7" t="str"/>
      <x:c r="N2269" s="7" t="str"/>
      <x:c r="O2269" s="7" t="str">
        <x:f>IF(N2269="","OPEN",IF(OR(I2269="",J2269="",K2269="",L2269="",M2269=""),"FAIL","PASS"))</x:f>
        <x:v>OPEN</x:v>
      </x:c>
    </x:row>
    <x:row r="2270">
      <x:c r="B2270" s="7" t="str">
        <x:v>CH-PEA-C-Y1-18-2</x:v>
      </x:c>
      <x:c r="C2270" s="7" t="str">
        <x:v>PEA-C-Y1</x:v>
      </x:c>
      <x:c r="D2270" s="7" t="str">
        <x:v>BLD-C</x:v>
      </x:c>
      <x:c r="E2270" s="7" t="str">
        <x:v>BL-Y</x:v>
      </x:c>
      <x:c r="F2270" s="7" t="str">
        <x:v>MF-18</x:v>
      </x:c>
      <x:c r="G2270" s="7" t="str">
        <x:v>independent power</x:v>
      </x:c>
      <x:c r="H2270" s="7" t="n">
        <x:v>2</x:v>
      </x:c>
      <x:c r="I2270" s="7" t="str"/>
      <x:c r="J2270" s="7" t="str"/>
      <x:c r="K2270" s="7" t="str"/>
      <x:c r="L2270" s="7" t="str"/>
      <x:c r="M2270" s="7" t="str"/>
      <x:c r="N2270" s="7" t="str"/>
      <x:c r="O2270" s="7" t="str">
        <x:f>IF(N2270="","OPEN",IF(OR(I2270="",J2270="",K2270="",L2270="",M2270=""),"FAIL","PASS"))</x:f>
        <x:v>OPEN</x:v>
      </x:c>
    </x:row>
    <x:row r="2271">
      <x:c r="B2271" s="7" t="str">
        <x:v>CH-PEA-C-Y1-18-3</x:v>
      </x:c>
      <x:c r="C2271" s="7" t="str">
        <x:v>PEA-C-Y1</x:v>
      </x:c>
      <x:c r="D2271" s="7" t="str">
        <x:v>BLD-C</x:v>
      </x:c>
      <x:c r="E2271" s="7" t="str">
        <x:v>BL-Y</x:v>
      </x:c>
      <x:c r="F2271" s="7" t="str">
        <x:v>MF-18</x:v>
      </x:c>
      <x:c r="G2271" s="7" t="str">
        <x:v>independent power</x:v>
      </x:c>
      <x:c r="H2271" s="7" t="n">
        <x:v>3</x:v>
      </x:c>
      <x:c r="I2271" s="7" t="str"/>
      <x:c r="J2271" s="7" t="str"/>
      <x:c r="K2271" s="7" t="str"/>
      <x:c r="L2271" s="7" t="str"/>
      <x:c r="M2271" s="7" t="str"/>
      <x:c r="N2271" s="7" t="str"/>
      <x:c r="O2271" s="7" t="str">
        <x:f>IF(N2271="","OPEN",IF(OR(I2271="",J2271="",K2271="",L2271="",M2271=""),"FAIL","PASS"))</x:f>
        <x:v>OPEN</x:v>
      </x:c>
    </x:row>
    <x:row r="2272">
      <x:c r="B2272" s="7" t="str">
        <x:v>CH-PEA-C-Y1-18-4</x:v>
      </x:c>
      <x:c r="C2272" s="7" t="str">
        <x:v>PEA-C-Y1</x:v>
      </x:c>
      <x:c r="D2272" s="7" t="str">
        <x:v>BLD-C</x:v>
      </x:c>
      <x:c r="E2272" s="7" t="str">
        <x:v>BL-Y</x:v>
      </x:c>
      <x:c r="F2272" s="7" t="str">
        <x:v>MF-18</x:v>
      </x:c>
      <x:c r="G2272" s="7" t="str">
        <x:v>independent power</x:v>
      </x:c>
      <x:c r="H2272" s="7" t="n">
        <x:v>4</x:v>
      </x:c>
      <x:c r="I2272" s="7" t="str"/>
      <x:c r="J2272" s="7" t="str"/>
      <x:c r="K2272" s="7" t="str"/>
      <x:c r="L2272" s="7" t="str"/>
      <x:c r="M2272" s="7" t="str"/>
      <x:c r="N2272" s="7" t="str"/>
      <x:c r="O2272" s="7" t="str">
        <x:f>IF(N2272="","OPEN",IF(OR(I2272="",J2272="",K2272="",L2272="",M2272=""),"FAIL","PASS"))</x:f>
        <x:v>OPEN</x:v>
      </x:c>
    </x:row>
    <x:row r="2273">
      <x:c r="B2273" s="7" t="str">
        <x:v>CH-PEA-C-Y1-18-5</x:v>
      </x:c>
      <x:c r="C2273" s="7" t="str">
        <x:v>PEA-C-Y1</x:v>
      </x:c>
      <x:c r="D2273" s="7" t="str">
        <x:v>BLD-C</x:v>
      </x:c>
      <x:c r="E2273" s="7" t="str">
        <x:v>BL-Y</x:v>
      </x:c>
      <x:c r="F2273" s="7" t="str">
        <x:v>MF-18</x:v>
      </x:c>
      <x:c r="G2273" s="7" t="str">
        <x:v>independent power</x:v>
      </x:c>
      <x:c r="H2273" s="7" t="n">
        <x:v>5</x:v>
      </x:c>
      <x:c r="I2273" s="7" t="str"/>
      <x:c r="J2273" s="7" t="str"/>
      <x:c r="K2273" s="7" t="str"/>
      <x:c r="L2273" s="7" t="str"/>
      <x:c r="M2273" s="7" t="str"/>
      <x:c r="N2273" s="7" t="str"/>
      <x:c r="O2273" s="7" t="str">
        <x:f>IF(N2273="","OPEN",IF(OR(I2273="",J2273="",K2273="",L2273="",M2273=""),"FAIL","PASS"))</x:f>
        <x:v>OPEN</x:v>
      </x:c>
    </x:row>
    <x:row r="2274">
      <x:c r="B2274" s="7" t="str">
        <x:v>CH-PEA-C-Y1-18-6</x:v>
      </x:c>
      <x:c r="C2274" s="7" t="str">
        <x:v>PEA-C-Y1</x:v>
      </x:c>
      <x:c r="D2274" s="7" t="str">
        <x:v>BLD-C</x:v>
      </x:c>
      <x:c r="E2274" s="7" t="str">
        <x:v>BL-Y</x:v>
      </x:c>
      <x:c r="F2274" s="7" t="str">
        <x:v>MF-18</x:v>
      </x:c>
      <x:c r="G2274" s="7" t="str">
        <x:v>independent power</x:v>
      </x:c>
      <x:c r="H2274" s="7" t="n">
        <x:v>6</x:v>
      </x:c>
      <x:c r="I2274" s="7" t="str"/>
      <x:c r="J2274" s="7" t="str"/>
      <x:c r="K2274" s="7" t="str"/>
      <x:c r="L2274" s="7" t="str"/>
      <x:c r="M2274" s="7" t="str"/>
      <x:c r="N2274" s="7" t="str"/>
      <x:c r="O2274" s="7" t="str">
        <x:f>IF(N2274="","OPEN",IF(OR(I2274="",J2274="",K2274="",L2274="",M2274=""),"FAIL","PASS"))</x:f>
        <x:v>OPEN</x:v>
      </x:c>
    </x:row>
    <x:row r="2275">
      <x:c r="B2275" s="7" t="str">
        <x:v>CH-PEA-C-Y1-19-1</x:v>
      </x:c>
      <x:c r="C2275" s="7" t="str">
        <x:v>PEA-C-Y1</x:v>
      </x:c>
      <x:c r="D2275" s="7" t="str">
        <x:v>BLD-C</x:v>
      </x:c>
      <x:c r="E2275" s="7" t="str">
        <x:v>BL-Y</x:v>
      </x:c>
      <x:c r="F2275" s="7" t="str">
        <x:v>MF-19</x:v>
      </x:c>
      <x:c r="G2275" s="7" t="str">
        <x:v>leak collection</x:v>
      </x:c>
      <x:c r="H2275" s="7" t="n">
        <x:v>1</x:v>
      </x:c>
      <x:c r="I2275" s="7" t="str"/>
      <x:c r="J2275" s="7" t="str"/>
      <x:c r="K2275" s="7" t="str"/>
      <x:c r="L2275" s="7" t="str"/>
      <x:c r="M2275" s="7" t="str"/>
      <x:c r="N2275" s="7" t="str"/>
      <x:c r="O2275" s="7" t="str">
        <x:f>IF(N2275="","OPEN",IF(OR(I2275="",J2275="",K2275="",L2275="",M2275=""),"FAIL","PASS"))</x:f>
        <x:v>OPEN</x:v>
      </x:c>
    </x:row>
    <x:row r="2276">
      <x:c r="B2276" s="7" t="str">
        <x:v>CH-PEA-C-Y1-19-2</x:v>
      </x:c>
      <x:c r="C2276" s="7" t="str">
        <x:v>PEA-C-Y1</x:v>
      </x:c>
      <x:c r="D2276" s="7" t="str">
        <x:v>BLD-C</x:v>
      </x:c>
      <x:c r="E2276" s="7" t="str">
        <x:v>BL-Y</x:v>
      </x:c>
      <x:c r="F2276" s="7" t="str">
        <x:v>MF-19</x:v>
      </x:c>
      <x:c r="G2276" s="7" t="str">
        <x:v>leak collection</x:v>
      </x:c>
      <x:c r="H2276" s="7" t="n">
        <x:v>2</x:v>
      </x:c>
      <x:c r="I2276" s="7" t="str"/>
      <x:c r="J2276" s="7" t="str"/>
      <x:c r="K2276" s="7" t="str"/>
      <x:c r="L2276" s="7" t="str"/>
      <x:c r="M2276" s="7" t="str"/>
      <x:c r="N2276" s="7" t="str"/>
      <x:c r="O2276" s="7" t="str">
        <x:f>IF(N2276="","OPEN",IF(OR(I2276="",J2276="",K2276="",L2276="",M2276=""),"FAIL","PASS"))</x:f>
        <x:v>OPEN</x:v>
      </x:c>
    </x:row>
    <x:row r="2277">
      <x:c r="B2277" s="7" t="str">
        <x:v>CH-PEA-C-Y1-19-3</x:v>
      </x:c>
      <x:c r="C2277" s="7" t="str">
        <x:v>PEA-C-Y1</x:v>
      </x:c>
      <x:c r="D2277" s="7" t="str">
        <x:v>BLD-C</x:v>
      </x:c>
      <x:c r="E2277" s="7" t="str">
        <x:v>BL-Y</x:v>
      </x:c>
      <x:c r="F2277" s="7" t="str">
        <x:v>MF-19</x:v>
      </x:c>
      <x:c r="G2277" s="7" t="str">
        <x:v>leak collection</x:v>
      </x:c>
      <x:c r="H2277" s="7" t="n">
        <x:v>3</x:v>
      </x:c>
      <x:c r="I2277" s="7" t="str"/>
      <x:c r="J2277" s="7" t="str"/>
      <x:c r="K2277" s="7" t="str"/>
      <x:c r="L2277" s="7" t="str"/>
      <x:c r="M2277" s="7" t="str"/>
      <x:c r="N2277" s="7" t="str"/>
      <x:c r="O2277" s="7" t="str">
        <x:f>IF(N2277="","OPEN",IF(OR(I2277="",J2277="",K2277="",L2277="",M2277=""),"FAIL","PASS"))</x:f>
        <x:v>OPEN</x:v>
      </x:c>
    </x:row>
    <x:row r="2278">
      <x:c r="B2278" s="7" t="str">
        <x:v>CH-PEA-C-Y1-19-4</x:v>
      </x:c>
      <x:c r="C2278" s="7" t="str">
        <x:v>PEA-C-Y1</x:v>
      </x:c>
      <x:c r="D2278" s="7" t="str">
        <x:v>BLD-C</x:v>
      </x:c>
      <x:c r="E2278" s="7" t="str">
        <x:v>BL-Y</x:v>
      </x:c>
      <x:c r="F2278" s="7" t="str">
        <x:v>MF-19</x:v>
      </x:c>
      <x:c r="G2278" s="7" t="str">
        <x:v>leak collection</x:v>
      </x:c>
      <x:c r="H2278" s="7" t="n">
        <x:v>4</x:v>
      </x:c>
      <x:c r="I2278" s="7" t="str"/>
      <x:c r="J2278" s="7" t="str"/>
      <x:c r="K2278" s="7" t="str"/>
      <x:c r="L2278" s="7" t="str"/>
      <x:c r="M2278" s="7" t="str"/>
      <x:c r="N2278" s="7" t="str"/>
      <x:c r="O2278" s="7" t="str">
        <x:f>IF(N2278="","OPEN",IF(OR(I2278="",J2278="",K2278="",L2278="",M2278=""),"FAIL","PASS"))</x:f>
        <x:v>OPEN</x:v>
      </x:c>
    </x:row>
    <x:row r="2279">
      <x:c r="B2279" s="7" t="str">
        <x:v>CH-PEA-C-Y1-19-5</x:v>
      </x:c>
      <x:c r="C2279" s="7" t="str">
        <x:v>PEA-C-Y1</x:v>
      </x:c>
      <x:c r="D2279" s="7" t="str">
        <x:v>BLD-C</x:v>
      </x:c>
      <x:c r="E2279" s="7" t="str">
        <x:v>BL-Y</x:v>
      </x:c>
      <x:c r="F2279" s="7" t="str">
        <x:v>MF-19</x:v>
      </x:c>
      <x:c r="G2279" s="7" t="str">
        <x:v>leak collection</x:v>
      </x:c>
      <x:c r="H2279" s="7" t="n">
        <x:v>5</x:v>
      </x:c>
      <x:c r="I2279" s="7" t="str"/>
      <x:c r="J2279" s="7" t="str"/>
      <x:c r="K2279" s="7" t="str"/>
      <x:c r="L2279" s="7" t="str"/>
      <x:c r="M2279" s="7" t="str"/>
      <x:c r="N2279" s="7" t="str"/>
      <x:c r="O2279" s="7" t="str">
        <x:f>IF(N2279="","OPEN",IF(OR(I2279="",J2279="",K2279="",L2279="",M2279=""),"FAIL","PASS"))</x:f>
        <x:v>OPEN</x:v>
      </x:c>
    </x:row>
    <x:row r="2280">
      <x:c r="B2280" s="7" t="str">
        <x:v>CH-PEA-C-Y1-19-6</x:v>
      </x:c>
      <x:c r="C2280" s="7" t="str">
        <x:v>PEA-C-Y1</x:v>
      </x:c>
      <x:c r="D2280" s="7" t="str">
        <x:v>BLD-C</x:v>
      </x:c>
      <x:c r="E2280" s="7" t="str">
        <x:v>BL-Y</x:v>
      </x:c>
      <x:c r="F2280" s="7" t="str">
        <x:v>MF-19</x:v>
      </x:c>
      <x:c r="G2280" s="7" t="str">
        <x:v>leak collection</x:v>
      </x:c>
      <x:c r="H2280" s="7" t="n">
        <x:v>6</x:v>
      </x:c>
      <x:c r="I2280" s="7" t="str"/>
      <x:c r="J2280" s="7" t="str"/>
      <x:c r="K2280" s="7" t="str"/>
      <x:c r="L2280" s="7" t="str"/>
      <x:c r="M2280" s="7" t="str"/>
      <x:c r="N2280" s="7" t="str"/>
      <x:c r="O2280" s="7" t="str">
        <x:f>IF(N2280="","OPEN",IF(OR(I2280="",J2280="",K2280="",L2280="",M2280=""),"FAIL","PASS"))</x:f>
        <x:v>OPEN</x:v>
      </x:c>
    </x:row>
    <x:row r="2281">
      <x:c r="B2281" s="7" t="str">
        <x:v>CH-PEA-C-Y1-20-1</x:v>
      </x:c>
      <x:c r="C2281" s="7" t="str">
        <x:v>PEA-C-Y1</x:v>
      </x:c>
      <x:c r="D2281" s="7" t="str">
        <x:v>BLD-C</x:v>
      </x:c>
      <x:c r="E2281" s="7" t="str">
        <x:v>BL-Y</x:v>
      </x:c>
      <x:c r="F2281" s="7" t="str">
        <x:v>MF-20</x:v>
      </x:c>
      <x:c r="G2281" s="7" t="str">
        <x:v>occupied-area state</x:v>
      </x:c>
      <x:c r="H2281" s="7" t="n">
        <x:v>1</x:v>
      </x:c>
      <x:c r="I2281" s="7" t="str"/>
      <x:c r="J2281" s="7" t="str"/>
      <x:c r="K2281" s="7" t="str"/>
      <x:c r="L2281" s="7" t="str"/>
      <x:c r="M2281" s="7" t="str"/>
      <x:c r="N2281" s="7" t="str"/>
      <x:c r="O2281" s="7" t="str">
        <x:f>IF(N2281="","OPEN",IF(OR(I2281="",J2281="",K2281="",L2281="",M2281=""),"FAIL","PASS"))</x:f>
        <x:v>OPEN</x:v>
      </x:c>
    </x:row>
    <x:row r="2282">
      <x:c r="B2282" s="7" t="str">
        <x:v>CH-PEA-C-Y1-20-2</x:v>
      </x:c>
      <x:c r="C2282" s="7" t="str">
        <x:v>PEA-C-Y1</x:v>
      </x:c>
      <x:c r="D2282" s="7" t="str">
        <x:v>BLD-C</x:v>
      </x:c>
      <x:c r="E2282" s="7" t="str">
        <x:v>BL-Y</x:v>
      </x:c>
      <x:c r="F2282" s="7" t="str">
        <x:v>MF-20</x:v>
      </x:c>
      <x:c r="G2282" s="7" t="str">
        <x:v>occupied-area state</x:v>
      </x:c>
      <x:c r="H2282" s="7" t="n">
        <x:v>2</x:v>
      </x:c>
      <x:c r="I2282" s="7" t="str"/>
      <x:c r="J2282" s="7" t="str"/>
      <x:c r="K2282" s="7" t="str"/>
      <x:c r="L2282" s="7" t="str"/>
      <x:c r="M2282" s="7" t="str"/>
      <x:c r="N2282" s="7" t="str"/>
      <x:c r="O2282" s="7" t="str">
        <x:f>IF(N2282="","OPEN",IF(OR(I2282="",J2282="",K2282="",L2282="",M2282=""),"FAIL","PASS"))</x:f>
        <x:v>OPEN</x:v>
      </x:c>
    </x:row>
    <x:row r="2283">
      <x:c r="B2283" s="7" t="str">
        <x:v>CH-PEA-C-Y1-20-3</x:v>
      </x:c>
      <x:c r="C2283" s="7" t="str">
        <x:v>PEA-C-Y1</x:v>
      </x:c>
      <x:c r="D2283" s="7" t="str">
        <x:v>BLD-C</x:v>
      </x:c>
      <x:c r="E2283" s="7" t="str">
        <x:v>BL-Y</x:v>
      </x:c>
      <x:c r="F2283" s="7" t="str">
        <x:v>MF-20</x:v>
      </x:c>
      <x:c r="G2283" s="7" t="str">
        <x:v>occupied-area state</x:v>
      </x:c>
      <x:c r="H2283" s="7" t="n">
        <x:v>3</x:v>
      </x:c>
      <x:c r="I2283" s="7" t="str"/>
      <x:c r="J2283" s="7" t="str"/>
      <x:c r="K2283" s="7" t="str"/>
      <x:c r="L2283" s="7" t="str"/>
      <x:c r="M2283" s="7" t="str"/>
      <x:c r="N2283" s="7" t="str"/>
      <x:c r="O2283" s="7" t="str">
        <x:f>IF(N2283="","OPEN",IF(OR(I2283="",J2283="",K2283="",L2283="",M2283=""),"FAIL","PASS"))</x:f>
        <x:v>OPEN</x:v>
      </x:c>
    </x:row>
    <x:row r="2284">
      <x:c r="B2284" s="7" t="str">
        <x:v>CH-PEA-C-Y1-20-4</x:v>
      </x:c>
      <x:c r="C2284" s="7" t="str">
        <x:v>PEA-C-Y1</x:v>
      </x:c>
      <x:c r="D2284" s="7" t="str">
        <x:v>BLD-C</x:v>
      </x:c>
      <x:c r="E2284" s="7" t="str">
        <x:v>BL-Y</x:v>
      </x:c>
      <x:c r="F2284" s="7" t="str">
        <x:v>MF-20</x:v>
      </x:c>
      <x:c r="G2284" s="7" t="str">
        <x:v>occupied-area state</x:v>
      </x:c>
      <x:c r="H2284" s="7" t="n">
        <x:v>4</x:v>
      </x:c>
      <x:c r="I2284" s="7" t="str"/>
      <x:c r="J2284" s="7" t="str"/>
      <x:c r="K2284" s="7" t="str"/>
      <x:c r="L2284" s="7" t="str"/>
      <x:c r="M2284" s="7" t="str"/>
      <x:c r="N2284" s="7" t="str"/>
      <x:c r="O2284" s="7" t="str">
        <x:f>IF(N2284="","OPEN",IF(OR(I2284="",J2284="",K2284="",L2284="",M2284=""),"FAIL","PASS"))</x:f>
        <x:v>OPEN</x:v>
      </x:c>
    </x:row>
    <x:row r="2285">
      <x:c r="B2285" s="7" t="str">
        <x:v>CH-PEA-C-Y1-20-5</x:v>
      </x:c>
      <x:c r="C2285" s="7" t="str">
        <x:v>PEA-C-Y1</x:v>
      </x:c>
      <x:c r="D2285" s="7" t="str">
        <x:v>BLD-C</x:v>
      </x:c>
      <x:c r="E2285" s="7" t="str">
        <x:v>BL-Y</x:v>
      </x:c>
      <x:c r="F2285" s="7" t="str">
        <x:v>MF-20</x:v>
      </x:c>
      <x:c r="G2285" s="7" t="str">
        <x:v>occupied-area state</x:v>
      </x:c>
      <x:c r="H2285" s="7" t="n">
        <x:v>5</x:v>
      </x:c>
      <x:c r="I2285" s="7" t="str"/>
      <x:c r="J2285" s="7" t="str"/>
      <x:c r="K2285" s="7" t="str"/>
      <x:c r="L2285" s="7" t="str"/>
      <x:c r="M2285" s="7" t="str"/>
      <x:c r="N2285" s="7" t="str"/>
      <x:c r="O2285" s="7" t="str">
        <x:f>IF(N2285="","OPEN",IF(OR(I2285="",J2285="",K2285="",L2285="",M2285=""),"FAIL","PASS"))</x:f>
        <x:v>OPEN</x:v>
      </x:c>
    </x:row>
    <x:row r="2286">
      <x:c r="B2286" s="7" t="str">
        <x:v>CH-PEA-C-Y1-20-6</x:v>
      </x:c>
      <x:c r="C2286" s="7" t="str">
        <x:v>PEA-C-Y1</x:v>
      </x:c>
      <x:c r="D2286" s="7" t="str">
        <x:v>BLD-C</x:v>
      </x:c>
      <x:c r="E2286" s="7" t="str">
        <x:v>BL-Y</x:v>
      </x:c>
      <x:c r="F2286" s="7" t="str">
        <x:v>MF-20</x:v>
      </x:c>
      <x:c r="G2286" s="7" t="str">
        <x:v>occupied-area state</x:v>
      </x:c>
      <x:c r="H2286" s="7" t="n">
        <x:v>6</x:v>
      </x:c>
      <x:c r="I2286" s="7" t="str"/>
      <x:c r="J2286" s="7" t="str"/>
      <x:c r="K2286" s="7" t="str"/>
      <x:c r="L2286" s="7" t="str"/>
      <x:c r="M2286" s="7" t="str"/>
      <x:c r="N2286" s="7" t="str"/>
      <x:c r="O2286" s="7" t="str">
        <x:f>IF(N2286="","OPEN",IF(OR(I2286="",J2286="",K2286="",L2286="",M2286=""),"FAIL","PASS"))</x:f>
        <x:v>OPEN</x:v>
      </x:c>
    </x:row>
    <x:row r="2287">
      <x:c r="B2287" s="7" t="str">
        <x:v>CH-PEA-C-Y1-21-1</x:v>
      </x:c>
      <x:c r="C2287" s="7" t="str">
        <x:v>PEA-C-Y1</x:v>
      </x:c>
      <x:c r="D2287" s="7" t="str">
        <x:v>BLD-C</x:v>
      </x:c>
      <x:c r="E2287" s="7" t="str">
        <x:v>BL-Y</x:v>
      </x:c>
      <x:c r="F2287" s="7" t="str">
        <x:v>MF-21</x:v>
      </x:c>
      <x:c r="G2287" s="7" t="str">
        <x:v>public-water flow</x:v>
      </x:c>
      <x:c r="H2287" s="7" t="n">
        <x:v>1</x:v>
      </x:c>
      <x:c r="I2287" s="7" t="str"/>
      <x:c r="J2287" s="7" t="str"/>
      <x:c r="K2287" s="7" t="str"/>
      <x:c r="L2287" s="7" t="str"/>
      <x:c r="M2287" s="7" t="str"/>
      <x:c r="N2287" s="7" t="str"/>
      <x:c r="O2287" s="7" t="str">
        <x:f>IF(N2287="","OPEN",IF(OR(I2287="",J2287="",K2287="",L2287="",M2287=""),"FAIL","PASS"))</x:f>
        <x:v>OPEN</x:v>
      </x:c>
    </x:row>
    <x:row r="2288">
      <x:c r="B2288" s="7" t="str">
        <x:v>CH-PEA-C-Y1-21-2</x:v>
      </x:c>
      <x:c r="C2288" s="7" t="str">
        <x:v>PEA-C-Y1</x:v>
      </x:c>
      <x:c r="D2288" s="7" t="str">
        <x:v>BLD-C</x:v>
      </x:c>
      <x:c r="E2288" s="7" t="str">
        <x:v>BL-Y</x:v>
      </x:c>
      <x:c r="F2288" s="7" t="str">
        <x:v>MF-21</x:v>
      </x:c>
      <x:c r="G2288" s="7" t="str">
        <x:v>public-water flow</x:v>
      </x:c>
      <x:c r="H2288" s="7" t="n">
        <x:v>2</x:v>
      </x:c>
      <x:c r="I2288" s="7" t="str"/>
      <x:c r="J2288" s="7" t="str"/>
      <x:c r="K2288" s="7" t="str"/>
      <x:c r="L2288" s="7" t="str"/>
      <x:c r="M2288" s="7" t="str"/>
      <x:c r="N2288" s="7" t="str"/>
      <x:c r="O2288" s="7" t="str">
        <x:f>IF(N2288="","OPEN",IF(OR(I2288="",J2288="",K2288="",L2288="",M2288=""),"FAIL","PASS"))</x:f>
        <x:v>OPEN</x:v>
      </x:c>
    </x:row>
    <x:row r="2289">
      <x:c r="B2289" s="7" t="str">
        <x:v>CH-PEA-C-Y1-21-3</x:v>
      </x:c>
      <x:c r="C2289" s="7" t="str">
        <x:v>PEA-C-Y1</x:v>
      </x:c>
      <x:c r="D2289" s="7" t="str">
        <x:v>BLD-C</x:v>
      </x:c>
      <x:c r="E2289" s="7" t="str">
        <x:v>BL-Y</x:v>
      </x:c>
      <x:c r="F2289" s="7" t="str">
        <x:v>MF-21</x:v>
      </x:c>
      <x:c r="G2289" s="7" t="str">
        <x:v>public-water flow</x:v>
      </x:c>
      <x:c r="H2289" s="7" t="n">
        <x:v>3</x:v>
      </x:c>
      <x:c r="I2289" s="7" t="str"/>
      <x:c r="J2289" s="7" t="str"/>
      <x:c r="K2289" s="7" t="str"/>
      <x:c r="L2289" s="7" t="str"/>
      <x:c r="M2289" s="7" t="str"/>
      <x:c r="N2289" s="7" t="str"/>
      <x:c r="O2289" s="7" t="str">
        <x:f>IF(N2289="","OPEN",IF(OR(I2289="",J2289="",K2289="",L2289="",M2289=""),"FAIL","PASS"))</x:f>
        <x:v>OPEN</x:v>
      </x:c>
    </x:row>
    <x:row r="2290">
      <x:c r="B2290" s="7" t="str">
        <x:v>CH-PEA-C-Y1-21-4</x:v>
      </x:c>
      <x:c r="C2290" s="7" t="str">
        <x:v>PEA-C-Y1</x:v>
      </x:c>
      <x:c r="D2290" s="7" t="str">
        <x:v>BLD-C</x:v>
      </x:c>
      <x:c r="E2290" s="7" t="str">
        <x:v>BL-Y</x:v>
      </x:c>
      <x:c r="F2290" s="7" t="str">
        <x:v>MF-21</x:v>
      </x:c>
      <x:c r="G2290" s="7" t="str">
        <x:v>public-water flow</x:v>
      </x:c>
      <x:c r="H2290" s="7" t="n">
        <x:v>4</x:v>
      </x:c>
      <x:c r="I2290" s="7" t="str"/>
      <x:c r="J2290" s="7" t="str"/>
      <x:c r="K2290" s="7" t="str"/>
      <x:c r="L2290" s="7" t="str"/>
      <x:c r="M2290" s="7" t="str"/>
      <x:c r="N2290" s="7" t="str"/>
      <x:c r="O2290" s="7" t="str">
        <x:f>IF(N2290="","OPEN",IF(OR(I2290="",J2290="",K2290="",L2290="",M2290=""),"FAIL","PASS"))</x:f>
        <x:v>OPEN</x:v>
      </x:c>
    </x:row>
    <x:row r="2291">
      <x:c r="B2291" s="7" t="str">
        <x:v>CH-PEA-C-Y1-21-5</x:v>
      </x:c>
      <x:c r="C2291" s="7" t="str">
        <x:v>PEA-C-Y1</x:v>
      </x:c>
      <x:c r="D2291" s="7" t="str">
        <x:v>BLD-C</x:v>
      </x:c>
      <x:c r="E2291" s="7" t="str">
        <x:v>BL-Y</x:v>
      </x:c>
      <x:c r="F2291" s="7" t="str">
        <x:v>MF-21</x:v>
      </x:c>
      <x:c r="G2291" s="7" t="str">
        <x:v>public-water flow</x:v>
      </x:c>
      <x:c r="H2291" s="7" t="n">
        <x:v>5</x:v>
      </x:c>
      <x:c r="I2291" s="7" t="str"/>
      <x:c r="J2291" s="7" t="str"/>
      <x:c r="K2291" s="7" t="str"/>
      <x:c r="L2291" s="7" t="str"/>
      <x:c r="M2291" s="7" t="str"/>
      <x:c r="N2291" s="7" t="str"/>
      <x:c r="O2291" s="7" t="str">
        <x:f>IF(N2291="","OPEN",IF(OR(I2291="",J2291="",K2291="",L2291="",M2291=""),"FAIL","PASS"))</x:f>
        <x:v>OPEN</x:v>
      </x:c>
    </x:row>
    <x:row r="2292">
      <x:c r="B2292" s="7" t="str">
        <x:v>CH-PEA-C-Y1-21-6</x:v>
      </x:c>
      <x:c r="C2292" s="7" t="str">
        <x:v>PEA-C-Y1</x:v>
      </x:c>
      <x:c r="D2292" s="7" t="str">
        <x:v>BLD-C</x:v>
      </x:c>
      <x:c r="E2292" s="7" t="str">
        <x:v>BL-Y</x:v>
      </x:c>
      <x:c r="F2292" s="7" t="str">
        <x:v>MF-21</x:v>
      </x:c>
      <x:c r="G2292" s="7" t="str">
        <x:v>public-water flow</x:v>
      </x:c>
      <x:c r="H2292" s="7" t="n">
        <x:v>6</x:v>
      </x:c>
      <x:c r="I2292" s="7" t="str"/>
      <x:c r="J2292" s="7" t="str"/>
      <x:c r="K2292" s="7" t="str"/>
      <x:c r="L2292" s="7" t="str"/>
      <x:c r="M2292" s="7" t="str"/>
      <x:c r="N2292" s="7" t="str"/>
      <x:c r="O2292" s="7" t="str">
        <x:f>IF(N2292="","OPEN",IF(OR(I2292="",J2292="",K2292="",L2292="",M2292=""),"FAIL","PASS"))</x:f>
        <x:v>OPEN</x:v>
      </x:c>
    </x:row>
    <x:row r="2293">
      <x:c r="B2293" s="7" t="str">
        <x:v>CH-PEA-C-Y1-22-1</x:v>
      </x:c>
      <x:c r="C2293" s="7" t="str">
        <x:v>PEA-C-Y1</x:v>
      </x:c>
      <x:c r="D2293" s="7" t="str">
        <x:v>BLD-C</x:v>
      </x:c>
      <x:c r="E2293" s="7" t="str">
        <x:v>BL-Y</x:v>
      </x:c>
      <x:c r="F2293" s="7" t="str">
        <x:v>MF-22</x:v>
      </x:c>
      <x:c r="G2293" s="7" t="str">
        <x:v>source ancestry</x:v>
      </x:c>
      <x:c r="H2293" s="7" t="n">
        <x:v>1</x:v>
      </x:c>
      <x:c r="I2293" s="7" t="str"/>
      <x:c r="J2293" s="7" t="str"/>
      <x:c r="K2293" s="7" t="str"/>
      <x:c r="L2293" s="7" t="str"/>
      <x:c r="M2293" s="7" t="str"/>
      <x:c r="N2293" s="7" t="str"/>
      <x:c r="O2293" s="7" t="str">
        <x:f>IF(N2293="","OPEN",IF(OR(I2293="",J2293="",K2293="",L2293="",M2293=""),"FAIL","PASS"))</x:f>
        <x:v>OPEN</x:v>
      </x:c>
    </x:row>
    <x:row r="2294">
      <x:c r="B2294" s="7" t="str">
        <x:v>CH-PEA-C-Y1-22-2</x:v>
      </x:c>
      <x:c r="C2294" s="7" t="str">
        <x:v>PEA-C-Y1</x:v>
      </x:c>
      <x:c r="D2294" s="7" t="str">
        <x:v>BLD-C</x:v>
      </x:c>
      <x:c r="E2294" s="7" t="str">
        <x:v>BL-Y</x:v>
      </x:c>
      <x:c r="F2294" s="7" t="str">
        <x:v>MF-22</x:v>
      </x:c>
      <x:c r="G2294" s="7" t="str">
        <x:v>source ancestry</x:v>
      </x:c>
      <x:c r="H2294" s="7" t="n">
        <x:v>2</x:v>
      </x:c>
      <x:c r="I2294" s="7" t="str"/>
      <x:c r="J2294" s="7" t="str"/>
      <x:c r="K2294" s="7" t="str"/>
      <x:c r="L2294" s="7" t="str"/>
      <x:c r="M2294" s="7" t="str"/>
      <x:c r="N2294" s="7" t="str"/>
      <x:c r="O2294" s="7" t="str">
        <x:f>IF(N2294="","OPEN",IF(OR(I2294="",J2294="",K2294="",L2294="",M2294=""),"FAIL","PASS"))</x:f>
        <x:v>OPEN</x:v>
      </x:c>
    </x:row>
    <x:row r="2295">
      <x:c r="B2295" s="7" t="str">
        <x:v>CH-PEA-C-Y1-22-3</x:v>
      </x:c>
      <x:c r="C2295" s="7" t="str">
        <x:v>PEA-C-Y1</x:v>
      </x:c>
      <x:c r="D2295" s="7" t="str">
        <x:v>BLD-C</x:v>
      </x:c>
      <x:c r="E2295" s="7" t="str">
        <x:v>BL-Y</x:v>
      </x:c>
      <x:c r="F2295" s="7" t="str">
        <x:v>MF-22</x:v>
      </x:c>
      <x:c r="G2295" s="7" t="str">
        <x:v>source ancestry</x:v>
      </x:c>
      <x:c r="H2295" s="7" t="n">
        <x:v>3</x:v>
      </x:c>
      <x:c r="I2295" s="7" t="str"/>
      <x:c r="J2295" s="7" t="str"/>
      <x:c r="K2295" s="7" t="str"/>
      <x:c r="L2295" s="7" t="str"/>
      <x:c r="M2295" s="7" t="str"/>
      <x:c r="N2295" s="7" t="str"/>
      <x:c r="O2295" s="7" t="str">
        <x:f>IF(N2295="","OPEN",IF(OR(I2295="",J2295="",K2295="",L2295="",M2295=""),"FAIL","PASS"))</x:f>
        <x:v>OPEN</x:v>
      </x:c>
    </x:row>
    <x:row r="2296">
      <x:c r="B2296" s="7" t="str">
        <x:v>CH-PEA-C-Y1-22-4</x:v>
      </x:c>
      <x:c r="C2296" s="7" t="str">
        <x:v>PEA-C-Y1</x:v>
      </x:c>
      <x:c r="D2296" s="7" t="str">
        <x:v>BLD-C</x:v>
      </x:c>
      <x:c r="E2296" s="7" t="str">
        <x:v>BL-Y</x:v>
      </x:c>
      <x:c r="F2296" s="7" t="str">
        <x:v>MF-22</x:v>
      </x:c>
      <x:c r="G2296" s="7" t="str">
        <x:v>source ancestry</x:v>
      </x:c>
      <x:c r="H2296" s="7" t="n">
        <x:v>4</x:v>
      </x:c>
      <x:c r="I2296" s="7" t="str"/>
      <x:c r="J2296" s="7" t="str"/>
      <x:c r="K2296" s="7" t="str"/>
      <x:c r="L2296" s="7" t="str"/>
      <x:c r="M2296" s="7" t="str"/>
      <x:c r="N2296" s="7" t="str"/>
      <x:c r="O2296" s="7" t="str">
        <x:f>IF(N2296="","OPEN",IF(OR(I2296="",J2296="",K2296="",L2296="",M2296=""),"FAIL","PASS"))</x:f>
        <x:v>OPEN</x:v>
      </x:c>
    </x:row>
    <x:row r="2297">
      <x:c r="B2297" s="7" t="str">
        <x:v>CH-PEA-C-Y1-22-5</x:v>
      </x:c>
      <x:c r="C2297" s="7" t="str">
        <x:v>PEA-C-Y1</x:v>
      </x:c>
      <x:c r="D2297" s="7" t="str">
        <x:v>BLD-C</x:v>
      </x:c>
      <x:c r="E2297" s="7" t="str">
        <x:v>BL-Y</x:v>
      </x:c>
      <x:c r="F2297" s="7" t="str">
        <x:v>MF-22</x:v>
      </x:c>
      <x:c r="G2297" s="7" t="str">
        <x:v>source ancestry</x:v>
      </x:c>
      <x:c r="H2297" s="7" t="n">
        <x:v>5</x:v>
      </x:c>
      <x:c r="I2297" s="7" t="str"/>
      <x:c r="J2297" s="7" t="str"/>
      <x:c r="K2297" s="7" t="str"/>
      <x:c r="L2297" s="7" t="str"/>
      <x:c r="M2297" s="7" t="str"/>
      <x:c r="N2297" s="7" t="str"/>
      <x:c r="O2297" s="7" t="str">
        <x:f>IF(N2297="","OPEN",IF(OR(I2297="",J2297="",K2297="",L2297="",M2297=""),"FAIL","PASS"))</x:f>
        <x:v>OPEN</x:v>
      </x:c>
    </x:row>
    <x:row r="2298">
      <x:c r="B2298" s="7" t="str">
        <x:v>CH-PEA-C-Y1-22-6</x:v>
      </x:c>
      <x:c r="C2298" s="7" t="str">
        <x:v>PEA-C-Y1</x:v>
      </x:c>
      <x:c r="D2298" s="7" t="str">
        <x:v>BLD-C</x:v>
      </x:c>
      <x:c r="E2298" s="7" t="str">
        <x:v>BL-Y</x:v>
      </x:c>
      <x:c r="F2298" s="7" t="str">
        <x:v>MF-22</x:v>
      </x:c>
      <x:c r="G2298" s="7" t="str">
        <x:v>source ancestry</x:v>
      </x:c>
      <x:c r="H2298" s="7" t="n">
        <x:v>6</x:v>
      </x:c>
      <x:c r="I2298" s="7" t="str"/>
      <x:c r="J2298" s="7" t="str"/>
      <x:c r="K2298" s="7" t="str"/>
      <x:c r="L2298" s="7" t="str"/>
      <x:c r="M2298" s="7" t="str"/>
      <x:c r="N2298" s="7" t="str"/>
      <x:c r="O2298" s="7" t="str">
        <x:f>IF(N2298="","OPEN",IF(OR(I2298="",J2298="",K2298="",L2298="",M2298=""),"FAIL","PASS"))</x:f>
        <x:v>OPEN</x:v>
      </x:c>
    </x:row>
    <x:row r="2299">
      <x:c r="B2299" s="7" t="str">
        <x:v>CH-PEA-C-Y1-23-1</x:v>
      </x:c>
      <x:c r="C2299" s="7" t="str">
        <x:v>PEA-C-Y1</x:v>
      </x:c>
      <x:c r="D2299" s="7" t="str">
        <x:v>BLD-C</x:v>
      </x:c>
      <x:c r="E2299" s="7" t="str">
        <x:v>BL-Y</x:v>
      </x:c>
      <x:c r="F2299" s="7" t="str">
        <x:v>MF-23</x:v>
      </x:c>
      <x:c r="G2299" s="7" t="str">
        <x:v>water ancestry</x:v>
      </x:c>
      <x:c r="H2299" s="7" t="n">
        <x:v>1</x:v>
      </x:c>
      <x:c r="I2299" s="7" t="str"/>
      <x:c r="J2299" s="7" t="str"/>
      <x:c r="K2299" s="7" t="str"/>
      <x:c r="L2299" s="7" t="str"/>
      <x:c r="M2299" s="7" t="str"/>
      <x:c r="N2299" s="7" t="str"/>
      <x:c r="O2299" s="7" t="str">
        <x:f>IF(N2299="","OPEN",IF(OR(I2299="",J2299="",K2299="",L2299="",M2299=""),"FAIL","PASS"))</x:f>
        <x:v>OPEN</x:v>
      </x:c>
    </x:row>
    <x:row r="2300">
      <x:c r="B2300" s="7" t="str">
        <x:v>CH-PEA-C-Y1-23-2</x:v>
      </x:c>
      <x:c r="C2300" s="7" t="str">
        <x:v>PEA-C-Y1</x:v>
      </x:c>
      <x:c r="D2300" s="7" t="str">
        <x:v>BLD-C</x:v>
      </x:c>
      <x:c r="E2300" s="7" t="str">
        <x:v>BL-Y</x:v>
      </x:c>
      <x:c r="F2300" s="7" t="str">
        <x:v>MF-23</x:v>
      </x:c>
      <x:c r="G2300" s="7" t="str">
        <x:v>water ancestry</x:v>
      </x:c>
      <x:c r="H2300" s="7" t="n">
        <x:v>2</x:v>
      </x:c>
      <x:c r="I2300" s="7" t="str"/>
      <x:c r="J2300" s="7" t="str"/>
      <x:c r="K2300" s="7" t="str"/>
      <x:c r="L2300" s="7" t="str"/>
      <x:c r="M2300" s="7" t="str"/>
      <x:c r="N2300" s="7" t="str"/>
      <x:c r="O2300" s="7" t="str">
        <x:f>IF(N2300="","OPEN",IF(OR(I2300="",J2300="",K2300="",L2300="",M2300=""),"FAIL","PASS"))</x:f>
        <x:v>OPEN</x:v>
      </x:c>
    </x:row>
    <x:row r="2301">
      <x:c r="B2301" s="7" t="str">
        <x:v>CH-PEA-C-Y1-23-3</x:v>
      </x:c>
      <x:c r="C2301" s="7" t="str">
        <x:v>PEA-C-Y1</x:v>
      </x:c>
      <x:c r="D2301" s="7" t="str">
        <x:v>BLD-C</x:v>
      </x:c>
      <x:c r="E2301" s="7" t="str">
        <x:v>BL-Y</x:v>
      </x:c>
      <x:c r="F2301" s="7" t="str">
        <x:v>MF-23</x:v>
      </x:c>
      <x:c r="G2301" s="7" t="str">
        <x:v>water ancestry</x:v>
      </x:c>
      <x:c r="H2301" s="7" t="n">
        <x:v>3</x:v>
      </x:c>
      <x:c r="I2301" s="7" t="str"/>
      <x:c r="J2301" s="7" t="str"/>
      <x:c r="K2301" s="7" t="str"/>
      <x:c r="L2301" s="7" t="str"/>
      <x:c r="M2301" s="7" t="str"/>
      <x:c r="N2301" s="7" t="str"/>
      <x:c r="O2301" s="7" t="str">
        <x:f>IF(N2301="","OPEN",IF(OR(I2301="",J2301="",K2301="",L2301="",M2301=""),"FAIL","PASS"))</x:f>
        <x:v>OPEN</x:v>
      </x:c>
    </x:row>
    <x:row r="2302">
      <x:c r="B2302" s="7" t="str">
        <x:v>CH-PEA-C-Y1-23-4</x:v>
      </x:c>
      <x:c r="C2302" s="7" t="str">
        <x:v>PEA-C-Y1</x:v>
      </x:c>
      <x:c r="D2302" s="7" t="str">
        <x:v>BLD-C</x:v>
      </x:c>
      <x:c r="E2302" s="7" t="str">
        <x:v>BL-Y</x:v>
      </x:c>
      <x:c r="F2302" s="7" t="str">
        <x:v>MF-23</x:v>
      </x:c>
      <x:c r="G2302" s="7" t="str">
        <x:v>water ancestry</x:v>
      </x:c>
      <x:c r="H2302" s="7" t="n">
        <x:v>4</x:v>
      </x:c>
      <x:c r="I2302" s="7" t="str"/>
      <x:c r="J2302" s="7" t="str"/>
      <x:c r="K2302" s="7" t="str"/>
      <x:c r="L2302" s="7" t="str"/>
      <x:c r="M2302" s="7" t="str"/>
      <x:c r="N2302" s="7" t="str"/>
      <x:c r="O2302" s="7" t="str">
        <x:f>IF(N2302="","OPEN",IF(OR(I2302="",J2302="",K2302="",L2302="",M2302=""),"FAIL","PASS"))</x:f>
        <x:v>OPEN</x:v>
      </x:c>
    </x:row>
    <x:row r="2303">
      <x:c r="B2303" s="7" t="str">
        <x:v>CH-PEA-C-Y1-23-5</x:v>
      </x:c>
      <x:c r="C2303" s="7" t="str">
        <x:v>PEA-C-Y1</x:v>
      </x:c>
      <x:c r="D2303" s="7" t="str">
        <x:v>BLD-C</x:v>
      </x:c>
      <x:c r="E2303" s="7" t="str">
        <x:v>BL-Y</x:v>
      </x:c>
      <x:c r="F2303" s="7" t="str">
        <x:v>MF-23</x:v>
      </x:c>
      <x:c r="G2303" s="7" t="str">
        <x:v>water ancestry</x:v>
      </x:c>
      <x:c r="H2303" s="7" t="n">
        <x:v>5</x:v>
      </x:c>
      <x:c r="I2303" s="7" t="str"/>
      <x:c r="J2303" s="7" t="str"/>
      <x:c r="K2303" s="7" t="str"/>
      <x:c r="L2303" s="7" t="str"/>
      <x:c r="M2303" s="7" t="str"/>
      <x:c r="N2303" s="7" t="str"/>
      <x:c r="O2303" s="7" t="str">
        <x:f>IF(N2303="","OPEN",IF(OR(I2303="",J2303="",K2303="",L2303="",M2303=""),"FAIL","PASS"))</x:f>
        <x:v>OPEN</x:v>
      </x:c>
    </x:row>
    <x:row r="2304">
      <x:c r="B2304" s="7" t="str">
        <x:v>CH-PEA-C-Y1-23-6</x:v>
      </x:c>
      <x:c r="C2304" s="7" t="str">
        <x:v>PEA-C-Y1</x:v>
      </x:c>
      <x:c r="D2304" s="7" t="str">
        <x:v>BLD-C</x:v>
      </x:c>
      <x:c r="E2304" s="7" t="str">
        <x:v>BL-Y</x:v>
      </x:c>
      <x:c r="F2304" s="7" t="str">
        <x:v>MF-23</x:v>
      </x:c>
      <x:c r="G2304" s="7" t="str">
        <x:v>water ancestry</x:v>
      </x:c>
      <x:c r="H2304" s="7" t="n">
        <x:v>6</x:v>
      </x:c>
      <x:c r="I2304" s="7" t="str"/>
      <x:c r="J2304" s="7" t="str"/>
      <x:c r="K2304" s="7" t="str"/>
      <x:c r="L2304" s="7" t="str"/>
      <x:c r="M2304" s="7" t="str"/>
      <x:c r="N2304" s="7" t="str"/>
      <x:c r="O2304" s="7" t="str">
        <x:f>IF(N2304="","OPEN",IF(OR(I2304="",J2304="",K2304="",L2304="",M2304=""),"FAIL","PASS"))</x:f>
        <x:v>OPEN</x:v>
      </x:c>
    </x:row>
    <x:row r="2305">
      <x:c r="B2305" s="7" t="str">
        <x:v>CH-PEA-C-Y1-24-1</x:v>
      </x:c>
      <x:c r="C2305" s="7" t="str">
        <x:v>PEA-C-Y1</x:v>
      </x:c>
      <x:c r="D2305" s="7" t="str">
        <x:v>BLD-C</x:v>
      </x:c>
      <x:c r="E2305" s="7" t="str">
        <x:v>BL-Y</x:v>
      </x:c>
      <x:c r="F2305" s="7" t="str">
        <x:v>MF-24</x:v>
      </x:c>
      <x:c r="G2305" s="7" t="str">
        <x:v>evidence health</x:v>
      </x:c>
      <x:c r="H2305" s="7" t="n">
        <x:v>1</x:v>
      </x:c>
      <x:c r="I2305" s="7" t="str"/>
      <x:c r="J2305" s="7" t="str"/>
      <x:c r="K2305" s="7" t="str"/>
      <x:c r="L2305" s="7" t="str"/>
      <x:c r="M2305" s="7" t="str"/>
      <x:c r="N2305" s="7" t="str"/>
      <x:c r="O2305" s="7" t="str">
        <x:f>IF(N2305="","OPEN",IF(OR(I2305="",J2305="",K2305="",L2305="",M2305=""),"FAIL","PASS"))</x:f>
        <x:v>OPEN</x:v>
      </x:c>
    </x:row>
    <x:row r="2306">
      <x:c r="B2306" s="7" t="str">
        <x:v>CH-PEA-C-Y1-24-2</x:v>
      </x:c>
      <x:c r="C2306" s="7" t="str">
        <x:v>PEA-C-Y1</x:v>
      </x:c>
      <x:c r="D2306" s="7" t="str">
        <x:v>BLD-C</x:v>
      </x:c>
      <x:c r="E2306" s="7" t="str">
        <x:v>BL-Y</x:v>
      </x:c>
      <x:c r="F2306" s="7" t="str">
        <x:v>MF-24</x:v>
      </x:c>
      <x:c r="G2306" s="7" t="str">
        <x:v>evidence health</x:v>
      </x:c>
      <x:c r="H2306" s="7" t="n">
        <x:v>2</x:v>
      </x:c>
      <x:c r="I2306" s="7" t="str"/>
      <x:c r="J2306" s="7" t="str"/>
      <x:c r="K2306" s="7" t="str"/>
      <x:c r="L2306" s="7" t="str"/>
      <x:c r="M2306" s="7" t="str"/>
      <x:c r="N2306" s="7" t="str"/>
      <x:c r="O2306" s="7" t="str">
        <x:f>IF(N2306="","OPEN",IF(OR(I2306="",J2306="",K2306="",L2306="",M2306=""),"FAIL","PASS"))</x:f>
        <x:v>OPEN</x:v>
      </x:c>
    </x:row>
    <x:row r="2307">
      <x:c r="B2307" s="7" t="str">
        <x:v>CH-PEA-C-Y1-24-3</x:v>
      </x:c>
      <x:c r="C2307" s="7" t="str">
        <x:v>PEA-C-Y1</x:v>
      </x:c>
      <x:c r="D2307" s="7" t="str">
        <x:v>BLD-C</x:v>
      </x:c>
      <x:c r="E2307" s="7" t="str">
        <x:v>BL-Y</x:v>
      </x:c>
      <x:c r="F2307" s="7" t="str">
        <x:v>MF-24</x:v>
      </x:c>
      <x:c r="G2307" s="7" t="str">
        <x:v>evidence health</x:v>
      </x:c>
      <x:c r="H2307" s="7" t="n">
        <x:v>3</x:v>
      </x:c>
      <x:c r="I2307" s="7" t="str"/>
      <x:c r="J2307" s="7" t="str"/>
      <x:c r="K2307" s="7" t="str"/>
      <x:c r="L2307" s="7" t="str"/>
      <x:c r="M2307" s="7" t="str"/>
      <x:c r="N2307" s="7" t="str"/>
      <x:c r="O2307" s="7" t="str">
        <x:f>IF(N2307="","OPEN",IF(OR(I2307="",J2307="",K2307="",L2307="",M2307=""),"FAIL","PASS"))</x:f>
        <x:v>OPEN</x:v>
      </x:c>
    </x:row>
    <x:row r="2308">
      <x:c r="B2308" s="7" t="str">
        <x:v>CH-PEA-C-Y1-24-4</x:v>
      </x:c>
      <x:c r="C2308" s="7" t="str">
        <x:v>PEA-C-Y1</x:v>
      </x:c>
      <x:c r="D2308" s="7" t="str">
        <x:v>BLD-C</x:v>
      </x:c>
      <x:c r="E2308" s="7" t="str">
        <x:v>BL-Y</x:v>
      </x:c>
      <x:c r="F2308" s="7" t="str">
        <x:v>MF-24</x:v>
      </x:c>
      <x:c r="G2308" s="7" t="str">
        <x:v>evidence health</x:v>
      </x:c>
      <x:c r="H2308" s="7" t="n">
        <x:v>4</x:v>
      </x:c>
      <x:c r="I2308" s="7" t="str"/>
      <x:c r="J2308" s="7" t="str"/>
      <x:c r="K2308" s="7" t="str"/>
      <x:c r="L2308" s="7" t="str"/>
      <x:c r="M2308" s="7" t="str"/>
      <x:c r="N2308" s="7" t="str"/>
      <x:c r="O2308" s="7" t="str">
        <x:f>IF(N2308="","OPEN",IF(OR(I2308="",J2308="",K2308="",L2308="",M2308=""),"FAIL","PASS"))</x:f>
        <x:v>OPEN</x:v>
      </x:c>
    </x:row>
    <x:row r="2309">
      <x:c r="B2309" s="7" t="str">
        <x:v>CH-PEA-C-Y1-24-5</x:v>
      </x:c>
      <x:c r="C2309" s="7" t="str">
        <x:v>PEA-C-Y1</x:v>
      </x:c>
      <x:c r="D2309" s="7" t="str">
        <x:v>BLD-C</x:v>
      </x:c>
      <x:c r="E2309" s="7" t="str">
        <x:v>BL-Y</x:v>
      </x:c>
      <x:c r="F2309" s="7" t="str">
        <x:v>MF-24</x:v>
      </x:c>
      <x:c r="G2309" s="7" t="str">
        <x:v>evidence health</x:v>
      </x:c>
      <x:c r="H2309" s="7" t="n">
        <x:v>5</x:v>
      </x:c>
      <x:c r="I2309" s="7" t="str"/>
      <x:c r="J2309" s="7" t="str"/>
      <x:c r="K2309" s="7" t="str"/>
      <x:c r="L2309" s="7" t="str"/>
      <x:c r="M2309" s="7" t="str"/>
      <x:c r="N2309" s="7" t="str"/>
      <x:c r="O2309" s="7" t="str">
        <x:f>IF(N2309="","OPEN",IF(OR(I2309="",J2309="",K2309="",L2309="",M2309=""),"FAIL","PASS"))</x:f>
        <x:v>OPEN</x:v>
      </x:c>
    </x:row>
    <x:row r="2310">
      <x:c r="B2310" s="7" t="str">
        <x:v>CH-PEA-C-Y1-24-6</x:v>
      </x:c>
      <x:c r="C2310" s="7" t="str">
        <x:v>PEA-C-Y1</x:v>
      </x:c>
      <x:c r="D2310" s="7" t="str">
        <x:v>BLD-C</x:v>
      </x:c>
      <x:c r="E2310" s="7" t="str">
        <x:v>BL-Y</x:v>
      </x:c>
      <x:c r="F2310" s="7" t="str">
        <x:v>MF-24</x:v>
      </x:c>
      <x:c r="G2310" s="7" t="str">
        <x:v>evidence health</x:v>
      </x:c>
      <x:c r="H2310" s="7" t="n">
        <x:v>6</x:v>
      </x:c>
      <x:c r="I2310" s="7" t="str"/>
      <x:c r="J2310" s="7" t="str"/>
      <x:c r="K2310" s="7" t="str"/>
      <x:c r="L2310" s="7" t="str"/>
      <x:c r="M2310" s="7" t="str"/>
      <x:c r="N2310" s="7" t="str"/>
      <x:c r="O2310" s="7" t="str">
        <x:f>IF(N2310="","OPEN",IF(OR(I2310="",J2310="",K2310="",L2310="",M2310=""),"FAIL","PASS"))</x:f>
        <x:v>OPEN</x:v>
      </x:c>
    </x:row>
    <x:row r="2311">
      <x:c r="B2311" s="7" t="str">
        <x:v>CH-PEA-C-Y2-01-1</x:v>
      </x:c>
      <x:c r="C2311" s="7" t="str">
        <x:v>PEA-C-Y2</x:v>
      </x:c>
      <x:c r="D2311" s="7" t="str">
        <x:v>BLD-C</x:v>
      </x:c>
      <x:c r="E2311" s="7" t="str">
        <x:v>BL-Y</x:v>
      </x:c>
      <x:c r="F2311" s="7" t="str">
        <x:v>MF-01</x:v>
      </x:c>
      <x:c r="G2311" s="7" t="str">
        <x:v>source vessel mass</x:v>
      </x:c>
      <x:c r="H2311" s="7" t="n">
        <x:v>1</x:v>
      </x:c>
      <x:c r="I2311" s="7" t="str"/>
      <x:c r="J2311" s="7" t="str"/>
      <x:c r="K2311" s="7" t="str"/>
      <x:c r="L2311" s="7" t="str"/>
      <x:c r="M2311" s="7" t="str"/>
      <x:c r="N2311" s="7" t="str"/>
      <x:c r="O2311" s="7" t="str">
        <x:f>IF(N2311="","OPEN",IF(OR(I2311="",J2311="",K2311="",L2311="",M2311=""),"FAIL","PASS"))</x:f>
        <x:v>OPEN</x:v>
      </x:c>
    </x:row>
    <x:row r="2312">
      <x:c r="B2312" s="7" t="str">
        <x:v>CH-PEA-C-Y2-01-2</x:v>
      </x:c>
      <x:c r="C2312" s="7" t="str">
        <x:v>PEA-C-Y2</x:v>
      </x:c>
      <x:c r="D2312" s="7" t="str">
        <x:v>BLD-C</x:v>
      </x:c>
      <x:c r="E2312" s="7" t="str">
        <x:v>BL-Y</x:v>
      </x:c>
      <x:c r="F2312" s="7" t="str">
        <x:v>MF-01</x:v>
      </x:c>
      <x:c r="G2312" s="7" t="str">
        <x:v>source vessel mass</x:v>
      </x:c>
      <x:c r="H2312" s="7" t="n">
        <x:v>2</x:v>
      </x:c>
      <x:c r="I2312" s="7" t="str"/>
      <x:c r="J2312" s="7" t="str"/>
      <x:c r="K2312" s="7" t="str"/>
      <x:c r="L2312" s="7" t="str"/>
      <x:c r="M2312" s="7" t="str"/>
      <x:c r="N2312" s="7" t="str"/>
      <x:c r="O2312" s="7" t="str">
        <x:f>IF(N2312="","OPEN",IF(OR(I2312="",J2312="",K2312="",L2312="",M2312=""),"FAIL","PASS"))</x:f>
        <x:v>OPEN</x:v>
      </x:c>
    </x:row>
    <x:row r="2313">
      <x:c r="B2313" s="7" t="str">
        <x:v>CH-PEA-C-Y2-01-3</x:v>
      </x:c>
      <x:c r="C2313" s="7" t="str">
        <x:v>PEA-C-Y2</x:v>
      </x:c>
      <x:c r="D2313" s="7" t="str">
        <x:v>BLD-C</x:v>
      </x:c>
      <x:c r="E2313" s="7" t="str">
        <x:v>BL-Y</x:v>
      </x:c>
      <x:c r="F2313" s="7" t="str">
        <x:v>MF-01</x:v>
      </x:c>
      <x:c r="G2313" s="7" t="str">
        <x:v>source vessel mass</x:v>
      </x:c>
      <x:c r="H2313" s="7" t="n">
        <x:v>3</x:v>
      </x:c>
      <x:c r="I2313" s="7" t="str"/>
      <x:c r="J2313" s="7" t="str"/>
      <x:c r="K2313" s="7" t="str"/>
      <x:c r="L2313" s="7" t="str"/>
      <x:c r="M2313" s="7" t="str"/>
      <x:c r="N2313" s="7" t="str"/>
      <x:c r="O2313" s="7" t="str">
        <x:f>IF(N2313="","OPEN",IF(OR(I2313="",J2313="",K2313="",L2313="",M2313=""),"FAIL","PASS"))</x:f>
        <x:v>OPEN</x:v>
      </x:c>
    </x:row>
    <x:row r="2314">
      <x:c r="B2314" s="7" t="str">
        <x:v>CH-PEA-C-Y2-01-4</x:v>
      </x:c>
      <x:c r="C2314" s="7" t="str">
        <x:v>PEA-C-Y2</x:v>
      </x:c>
      <x:c r="D2314" s="7" t="str">
        <x:v>BLD-C</x:v>
      </x:c>
      <x:c r="E2314" s="7" t="str">
        <x:v>BL-Y</x:v>
      </x:c>
      <x:c r="F2314" s="7" t="str">
        <x:v>MF-01</x:v>
      </x:c>
      <x:c r="G2314" s="7" t="str">
        <x:v>source vessel mass</x:v>
      </x:c>
      <x:c r="H2314" s="7" t="n">
        <x:v>4</x:v>
      </x:c>
      <x:c r="I2314" s="7" t="str"/>
      <x:c r="J2314" s="7" t="str"/>
      <x:c r="K2314" s="7" t="str"/>
      <x:c r="L2314" s="7" t="str"/>
      <x:c r="M2314" s="7" t="str"/>
      <x:c r="N2314" s="7" t="str"/>
      <x:c r="O2314" s="7" t="str">
        <x:f>IF(N2314="","OPEN",IF(OR(I2314="",J2314="",K2314="",L2314="",M2314=""),"FAIL","PASS"))</x:f>
        <x:v>OPEN</x:v>
      </x:c>
    </x:row>
    <x:row r="2315">
      <x:c r="B2315" s="7" t="str">
        <x:v>CH-PEA-C-Y2-01-5</x:v>
      </x:c>
      <x:c r="C2315" s="7" t="str">
        <x:v>PEA-C-Y2</x:v>
      </x:c>
      <x:c r="D2315" s="7" t="str">
        <x:v>BLD-C</x:v>
      </x:c>
      <x:c r="E2315" s="7" t="str">
        <x:v>BL-Y</x:v>
      </x:c>
      <x:c r="F2315" s="7" t="str">
        <x:v>MF-01</x:v>
      </x:c>
      <x:c r="G2315" s="7" t="str">
        <x:v>source vessel mass</x:v>
      </x:c>
      <x:c r="H2315" s="7" t="n">
        <x:v>5</x:v>
      </x:c>
      <x:c r="I2315" s="7" t="str"/>
      <x:c r="J2315" s="7" t="str"/>
      <x:c r="K2315" s="7" t="str"/>
      <x:c r="L2315" s="7" t="str"/>
      <x:c r="M2315" s="7" t="str"/>
      <x:c r="N2315" s="7" t="str"/>
      <x:c r="O2315" s="7" t="str">
        <x:f>IF(N2315="","OPEN",IF(OR(I2315="",J2315="",K2315="",L2315="",M2315=""),"FAIL","PASS"))</x:f>
        <x:v>OPEN</x:v>
      </x:c>
    </x:row>
    <x:row r="2316">
      <x:c r="B2316" s="7" t="str">
        <x:v>CH-PEA-C-Y2-01-6</x:v>
      </x:c>
      <x:c r="C2316" s="7" t="str">
        <x:v>PEA-C-Y2</x:v>
      </x:c>
      <x:c r="D2316" s="7" t="str">
        <x:v>BLD-C</x:v>
      </x:c>
      <x:c r="E2316" s="7" t="str">
        <x:v>BL-Y</x:v>
      </x:c>
      <x:c r="F2316" s="7" t="str">
        <x:v>MF-01</x:v>
      </x:c>
      <x:c r="G2316" s="7" t="str">
        <x:v>source vessel mass</x:v>
      </x:c>
      <x:c r="H2316" s="7" t="n">
        <x:v>6</x:v>
      </x:c>
      <x:c r="I2316" s="7" t="str"/>
      <x:c r="J2316" s="7" t="str"/>
      <x:c r="K2316" s="7" t="str"/>
      <x:c r="L2316" s="7" t="str"/>
      <x:c r="M2316" s="7" t="str"/>
      <x:c r="N2316" s="7" t="str"/>
      <x:c r="O2316" s="7" t="str">
        <x:f>IF(N2316="","OPEN",IF(OR(I2316="",J2316="",K2316="",L2316="",M2316=""),"FAIL","PASS"))</x:f>
        <x:v>OPEN</x:v>
      </x:c>
    </x:row>
    <x:row r="2317">
      <x:c r="B2317" s="7" t="str">
        <x:v>CH-PEA-C-Y2-02-1</x:v>
      </x:c>
      <x:c r="C2317" s="7" t="str">
        <x:v>PEA-C-Y2</x:v>
      </x:c>
      <x:c r="D2317" s="7" t="str">
        <x:v>BLD-C</x:v>
      </x:c>
      <x:c r="E2317" s="7" t="str">
        <x:v>BL-Y</x:v>
      </x:c>
      <x:c r="F2317" s="7" t="str">
        <x:v>MF-02</x:v>
      </x:c>
      <x:c r="G2317" s="7" t="str">
        <x:v>transfer mass</x:v>
      </x:c>
      <x:c r="H2317" s="7" t="n">
        <x:v>1</x:v>
      </x:c>
      <x:c r="I2317" s="7" t="str"/>
      <x:c r="J2317" s="7" t="str"/>
      <x:c r="K2317" s="7" t="str"/>
      <x:c r="L2317" s="7" t="str"/>
      <x:c r="M2317" s="7" t="str"/>
      <x:c r="N2317" s="7" t="str"/>
      <x:c r="O2317" s="7" t="str">
        <x:f>IF(N2317="","OPEN",IF(OR(I2317="",J2317="",K2317="",L2317="",M2317=""),"FAIL","PASS"))</x:f>
        <x:v>OPEN</x:v>
      </x:c>
    </x:row>
    <x:row r="2318">
      <x:c r="B2318" s="7" t="str">
        <x:v>CH-PEA-C-Y2-02-2</x:v>
      </x:c>
      <x:c r="C2318" s="7" t="str">
        <x:v>PEA-C-Y2</x:v>
      </x:c>
      <x:c r="D2318" s="7" t="str">
        <x:v>BLD-C</x:v>
      </x:c>
      <x:c r="E2318" s="7" t="str">
        <x:v>BL-Y</x:v>
      </x:c>
      <x:c r="F2318" s="7" t="str">
        <x:v>MF-02</x:v>
      </x:c>
      <x:c r="G2318" s="7" t="str">
        <x:v>transfer mass</x:v>
      </x:c>
      <x:c r="H2318" s="7" t="n">
        <x:v>2</x:v>
      </x:c>
      <x:c r="I2318" s="7" t="str"/>
      <x:c r="J2318" s="7" t="str"/>
      <x:c r="K2318" s="7" t="str"/>
      <x:c r="L2318" s="7" t="str"/>
      <x:c r="M2318" s="7" t="str"/>
      <x:c r="N2318" s="7" t="str"/>
      <x:c r="O2318" s="7" t="str">
        <x:f>IF(N2318="","OPEN",IF(OR(I2318="",J2318="",K2318="",L2318="",M2318=""),"FAIL","PASS"))</x:f>
        <x:v>OPEN</x:v>
      </x:c>
    </x:row>
    <x:row r="2319">
      <x:c r="B2319" s="7" t="str">
        <x:v>CH-PEA-C-Y2-02-3</x:v>
      </x:c>
      <x:c r="C2319" s="7" t="str">
        <x:v>PEA-C-Y2</x:v>
      </x:c>
      <x:c r="D2319" s="7" t="str">
        <x:v>BLD-C</x:v>
      </x:c>
      <x:c r="E2319" s="7" t="str">
        <x:v>BL-Y</x:v>
      </x:c>
      <x:c r="F2319" s="7" t="str">
        <x:v>MF-02</x:v>
      </x:c>
      <x:c r="G2319" s="7" t="str">
        <x:v>transfer mass</x:v>
      </x:c>
      <x:c r="H2319" s="7" t="n">
        <x:v>3</x:v>
      </x:c>
      <x:c r="I2319" s="7" t="str"/>
      <x:c r="J2319" s="7" t="str"/>
      <x:c r="K2319" s="7" t="str"/>
      <x:c r="L2319" s="7" t="str"/>
      <x:c r="M2319" s="7" t="str"/>
      <x:c r="N2319" s="7" t="str"/>
      <x:c r="O2319" s="7" t="str">
        <x:f>IF(N2319="","OPEN",IF(OR(I2319="",J2319="",K2319="",L2319="",M2319=""),"FAIL","PASS"))</x:f>
        <x:v>OPEN</x:v>
      </x:c>
    </x:row>
    <x:row r="2320">
      <x:c r="B2320" s="7" t="str">
        <x:v>CH-PEA-C-Y2-02-4</x:v>
      </x:c>
      <x:c r="C2320" s="7" t="str">
        <x:v>PEA-C-Y2</x:v>
      </x:c>
      <x:c r="D2320" s="7" t="str">
        <x:v>BLD-C</x:v>
      </x:c>
      <x:c r="E2320" s="7" t="str">
        <x:v>BL-Y</x:v>
      </x:c>
      <x:c r="F2320" s="7" t="str">
        <x:v>MF-02</x:v>
      </x:c>
      <x:c r="G2320" s="7" t="str">
        <x:v>transfer mass</x:v>
      </x:c>
      <x:c r="H2320" s="7" t="n">
        <x:v>4</x:v>
      </x:c>
      <x:c r="I2320" s="7" t="str"/>
      <x:c r="J2320" s="7" t="str"/>
      <x:c r="K2320" s="7" t="str"/>
      <x:c r="L2320" s="7" t="str"/>
      <x:c r="M2320" s="7" t="str"/>
      <x:c r="N2320" s="7" t="str"/>
      <x:c r="O2320" s="7" t="str">
        <x:f>IF(N2320="","OPEN",IF(OR(I2320="",J2320="",K2320="",L2320="",M2320=""),"FAIL","PASS"))</x:f>
        <x:v>OPEN</x:v>
      </x:c>
    </x:row>
    <x:row r="2321">
      <x:c r="B2321" s="7" t="str">
        <x:v>CH-PEA-C-Y2-02-5</x:v>
      </x:c>
      <x:c r="C2321" s="7" t="str">
        <x:v>PEA-C-Y2</x:v>
      </x:c>
      <x:c r="D2321" s="7" t="str">
        <x:v>BLD-C</x:v>
      </x:c>
      <x:c r="E2321" s="7" t="str">
        <x:v>BL-Y</x:v>
      </x:c>
      <x:c r="F2321" s="7" t="str">
        <x:v>MF-02</x:v>
      </x:c>
      <x:c r="G2321" s="7" t="str">
        <x:v>transfer mass</x:v>
      </x:c>
      <x:c r="H2321" s="7" t="n">
        <x:v>5</x:v>
      </x:c>
      <x:c r="I2321" s="7" t="str"/>
      <x:c r="J2321" s="7" t="str"/>
      <x:c r="K2321" s="7" t="str"/>
      <x:c r="L2321" s="7" t="str"/>
      <x:c r="M2321" s="7" t="str"/>
      <x:c r="N2321" s="7" t="str"/>
      <x:c r="O2321" s="7" t="str">
        <x:f>IF(N2321="","OPEN",IF(OR(I2321="",J2321="",K2321="",L2321="",M2321=""),"FAIL","PASS"))</x:f>
        <x:v>OPEN</x:v>
      </x:c>
    </x:row>
    <x:row r="2322">
      <x:c r="B2322" s="7" t="str">
        <x:v>CH-PEA-C-Y2-02-6</x:v>
      </x:c>
      <x:c r="C2322" s="7" t="str">
        <x:v>PEA-C-Y2</x:v>
      </x:c>
      <x:c r="D2322" s="7" t="str">
        <x:v>BLD-C</x:v>
      </x:c>
      <x:c r="E2322" s="7" t="str">
        <x:v>BL-Y</x:v>
      </x:c>
      <x:c r="F2322" s="7" t="str">
        <x:v>MF-02</x:v>
      </x:c>
      <x:c r="G2322" s="7" t="str">
        <x:v>transfer mass</x:v>
      </x:c>
      <x:c r="H2322" s="7" t="n">
        <x:v>6</x:v>
      </x:c>
      <x:c r="I2322" s="7" t="str"/>
      <x:c r="J2322" s="7" t="str"/>
      <x:c r="K2322" s="7" t="str"/>
      <x:c r="L2322" s="7" t="str"/>
      <x:c r="M2322" s="7" t="str"/>
      <x:c r="N2322" s="7" t="str"/>
      <x:c r="O2322" s="7" t="str">
        <x:f>IF(N2322="","OPEN",IF(OR(I2322="",J2322="",K2322="",L2322="",M2322=""),"FAIL","PASS"))</x:f>
        <x:v>OPEN</x:v>
      </x:c>
    </x:row>
    <x:row r="2323">
      <x:c r="B2323" s="7" t="str">
        <x:v>CH-PEA-C-Y2-03-1</x:v>
      </x:c>
      <x:c r="C2323" s="7" t="str">
        <x:v>PEA-C-Y2</x:v>
      </x:c>
      <x:c r="D2323" s="7" t="str">
        <x:v>BLD-C</x:v>
      </x:c>
      <x:c r="E2323" s="7" t="str">
        <x:v>BL-Y</x:v>
      </x:c>
      <x:c r="F2323" s="7" t="str">
        <x:v>MF-03</x:v>
      </x:c>
      <x:c r="G2323" s="7" t="str">
        <x:v>source pressure</x:v>
      </x:c>
      <x:c r="H2323" s="7" t="n">
        <x:v>1</x:v>
      </x:c>
      <x:c r="I2323" s="7" t="str"/>
      <x:c r="J2323" s="7" t="str"/>
      <x:c r="K2323" s="7" t="str"/>
      <x:c r="L2323" s="7" t="str"/>
      <x:c r="M2323" s="7" t="str"/>
      <x:c r="N2323" s="7" t="str"/>
      <x:c r="O2323" s="7" t="str">
        <x:f>IF(N2323="","OPEN",IF(OR(I2323="",J2323="",K2323="",L2323="",M2323=""),"FAIL","PASS"))</x:f>
        <x:v>OPEN</x:v>
      </x:c>
    </x:row>
    <x:row r="2324">
      <x:c r="B2324" s="7" t="str">
        <x:v>CH-PEA-C-Y2-03-2</x:v>
      </x:c>
      <x:c r="C2324" s="7" t="str">
        <x:v>PEA-C-Y2</x:v>
      </x:c>
      <x:c r="D2324" s="7" t="str">
        <x:v>BLD-C</x:v>
      </x:c>
      <x:c r="E2324" s="7" t="str">
        <x:v>BL-Y</x:v>
      </x:c>
      <x:c r="F2324" s="7" t="str">
        <x:v>MF-03</x:v>
      </x:c>
      <x:c r="G2324" s="7" t="str">
        <x:v>source pressure</x:v>
      </x:c>
      <x:c r="H2324" s="7" t="n">
        <x:v>2</x:v>
      </x:c>
      <x:c r="I2324" s="7" t="str"/>
      <x:c r="J2324" s="7" t="str"/>
      <x:c r="K2324" s="7" t="str"/>
      <x:c r="L2324" s="7" t="str"/>
      <x:c r="M2324" s="7" t="str"/>
      <x:c r="N2324" s="7" t="str"/>
      <x:c r="O2324" s="7" t="str">
        <x:f>IF(N2324="","OPEN",IF(OR(I2324="",J2324="",K2324="",L2324="",M2324=""),"FAIL","PASS"))</x:f>
        <x:v>OPEN</x:v>
      </x:c>
    </x:row>
    <x:row r="2325">
      <x:c r="B2325" s="7" t="str">
        <x:v>CH-PEA-C-Y2-03-3</x:v>
      </x:c>
      <x:c r="C2325" s="7" t="str">
        <x:v>PEA-C-Y2</x:v>
      </x:c>
      <x:c r="D2325" s="7" t="str">
        <x:v>BLD-C</x:v>
      </x:c>
      <x:c r="E2325" s="7" t="str">
        <x:v>BL-Y</x:v>
      </x:c>
      <x:c r="F2325" s="7" t="str">
        <x:v>MF-03</x:v>
      </x:c>
      <x:c r="G2325" s="7" t="str">
        <x:v>source pressure</x:v>
      </x:c>
      <x:c r="H2325" s="7" t="n">
        <x:v>3</x:v>
      </x:c>
      <x:c r="I2325" s="7" t="str"/>
      <x:c r="J2325" s="7" t="str"/>
      <x:c r="K2325" s="7" t="str"/>
      <x:c r="L2325" s="7" t="str"/>
      <x:c r="M2325" s="7" t="str"/>
      <x:c r="N2325" s="7" t="str"/>
      <x:c r="O2325" s="7" t="str">
        <x:f>IF(N2325="","OPEN",IF(OR(I2325="",J2325="",K2325="",L2325="",M2325=""),"FAIL","PASS"))</x:f>
        <x:v>OPEN</x:v>
      </x:c>
    </x:row>
    <x:row r="2326">
      <x:c r="B2326" s="7" t="str">
        <x:v>CH-PEA-C-Y2-03-4</x:v>
      </x:c>
      <x:c r="C2326" s="7" t="str">
        <x:v>PEA-C-Y2</x:v>
      </x:c>
      <x:c r="D2326" s="7" t="str">
        <x:v>BLD-C</x:v>
      </x:c>
      <x:c r="E2326" s="7" t="str">
        <x:v>BL-Y</x:v>
      </x:c>
      <x:c r="F2326" s="7" t="str">
        <x:v>MF-03</x:v>
      </x:c>
      <x:c r="G2326" s="7" t="str">
        <x:v>source pressure</x:v>
      </x:c>
      <x:c r="H2326" s="7" t="n">
        <x:v>4</x:v>
      </x:c>
      <x:c r="I2326" s="7" t="str"/>
      <x:c r="J2326" s="7" t="str"/>
      <x:c r="K2326" s="7" t="str"/>
      <x:c r="L2326" s="7" t="str"/>
      <x:c r="M2326" s="7" t="str"/>
      <x:c r="N2326" s="7" t="str"/>
      <x:c r="O2326" s="7" t="str">
        <x:f>IF(N2326="","OPEN",IF(OR(I2326="",J2326="",K2326="",L2326="",M2326=""),"FAIL","PASS"))</x:f>
        <x:v>OPEN</x:v>
      </x:c>
    </x:row>
    <x:row r="2327">
      <x:c r="B2327" s="7" t="str">
        <x:v>CH-PEA-C-Y2-03-5</x:v>
      </x:c>
      <x:c r="C2327" s="7" t="str">
        <x:v>PEA-C-Y2</x:v>
      </x:c>
      <x:c r="D2327" s="7" t="str">
        <x:v>BLD-C</x:v>
      </x:c>
      <x:c r="E2327" s="7" t="str">
        <x:v>BL-Y</x:v>
      </x:c>
      <x:c r="F2327" s="7" t="str">
        <x:v>MF-03</x:v>
      </x:c>
      <x:c r="G2327" s="7" t="str">
        <x:v>source pressure</x:v>
      </x:c>
      <x:c r="H2327" s="7" t="n">
        <x:v>5</x:v>
      </x:c>
      <x:c r="I2327" s="7" t="str"/>
      <x:c r="J2327" s="7" t="str"/>
      <x:c r="K2327" s="7" t="str"/>
      <x:c r="L2327" s="7" t="str"/>
      <x:c r="M2327" s="7" t="str"/>
      <x:c r="N2327" s="7" t="str"/>
      <x:c r="O2327" s="7" t="str">
        <x:f>IF(N2327="","OPEN",IF(OR(I2327="",J2327="",K2327="",L2327="",M2327=""),"FAIL","PASS"))</x:f>
        <x:v>OPEN</x:v>
      </x:c>
    </x:row>
    <x:row r="2328">
      <x:c r="B2328" s="7" t="str">
        <x:v>CH-PEA-C-Y2-03-6</x:v>
      </x:c>
      <x:c r="C2328" s="7" t="str">
        <x:v>PEA-C-Y2</x:v>
      </x:c>
      <x:c r="D2328" s="7" t="str">
        <x:v>BLD-C</x:v>
      </x:c>
      <x:c r="E2328" s="7" t="str">
        <x:v>BL-Y</x:v>
      </x:c>
      <x:c r="F2328" s="7" t="str">
        <x:v>MF-03</x:v>
      </x:c>
      <x:c r="G2328" s="7" t="str">
        <x:v>source pressure</x:v>
      </x:c>
      <x:c r="H2328" s="7" t="n">
        <x:v>6</x:v>
      </x:c>
      <x:c r="I2328" s="7" t="str"/>
      <x:c r="J2328" s="7" t="str"/>
      <x:c r="K2328" s="7" t="str"/>
      <x:c r="L2328" s="7" t="str"/>
      <x:c r="M2328" s="7" t="str"/>
      <x:c r="N2328" s="7" t="str"/>
      <x:c r="O2328" s="7" t="str">
        <x:f>IF(N2328="","OPEN",IF(OR(I2328="",J2328="",K2328="",L2328="",M2328=""),"FAIL","PASS"))</x:f>
        <x:v>OPEN</x:v>
      </x:c>
    </x:row>
    <x:row r="2329">
      <x:c r="B2329" s="7" t="str">
        <x:v>CH-PEA-C-Y2-04-1</x:v>
      </x:c>
      <x:c r="C2329" s="7" t="str">
        <x:v>PEA-C-Y2</x:v>
      </x:c>
      <x:c r="D2329" s="7" t="str">
        <x:v>BLD-C</x:v>
      </x:c>
      <x:c r="E2329" s="7" t="str">
        <x:v>BL-Y</x:v>
      </x:c>
      <x:c r="F2329" s="7" t="str">
        <x:v>MF-04</x:v>
      </x:c>
      <x:c r="G2329" s="7" t="str">
        <x:v>source temperature</x:v>
      </x:c>
      <x:c r="H2329" s="7" t="n">
        <x:v>1</x:v>
      </x:c>
      <x:c r="I2329" s="7" t="str"/>
      <x:c r="J2329" s="7" t="str"/>
      <x:c r="K2329" s="7" t="str"/>
      <x:c r="L2329" s="7" t="str"/>
      <x:c r="M2329" s="7" t="str"/>
      <x:c r="N2329" s="7" t="str"/>
      <x:c r="O2329" s="7" t="str">
        <x:f>IF(N2329="","OPEN",IF(OR(I2329="",J2329="",K2329="",L2329="",M2329=""),"FAIL","PASS"))</x:f>
        <x:v>OPEN</x:v>
      </x:c>
    </x:row>
    <x:row r="2330">
      <x:c r="B2330" s="7" t="str">
        <x:v>CH-PEA-C-Y2-04-2</x:v>
      </x:c>
      <x:c r="C2330" s="7" t="str">
        <x:v>PEA-C-Y2</x:v>
      </x:c>
      <x:c r="D2330" s="7" t="str">
        <x:v>BLD-C</x:v>
      </x:c>
      <x:c r="E2330" s="7" t="str">
        <x:v>BL-Y</x:v>
      </x:c>
      <x:c r="F2330" s="7" t="str">
        <x:v>MF-04</x:v>
      </x:c>
      <x:c r="G2330" s="7" t="str">
        <x:v>source temperature</x:v>
      </x:c>
      <x:c r="H2330" s="7" t="n">
        <x:v>2</x:v>
      </x:c>
      <x:c r="I2330" s="7" t="str"/>
      <x:c r="J2330" s="7" t="str"/>
      <x:c r="K2330" s="7" t="str"/>
      <x:c r="L2330" s="7" t="str"/>
      <x:c r="M2330" s="7" t="str"/>
      <x:c r="N2330" s="7" t="str"/>
      <x:c r="O2330" s="7" t="str">
        <x:f>IF(N2330="","OPEN",IF(OR(I2330="",J2330="",K2330="",L2330="",M2330=""),"FAIL","PASS"))</x:f>
        <x:v>OPEN</x:v>
      </x:c>
    </x:row>
    <x:row r="2331">
      <x:c r="B2331" s="7" t="str">
        <x:v>CH-PEA-C-Y2-04-3</x:v>
      </x:c>
      <x:c r="C2331" s="7" t="str">
        <x:v>PEA-C-Y2</x:v>
      </x:c>
      <x:c r="D2331" s="7" t="str">
        <x:v>BLD-C</x:v>
      </x:c>
      <x:c r="E2331" s="7" t="str">
        <x:v>BL-Y</x:v>
      </x:c>
      <x:c r="F2331" s="7" t="str">
        <x:v>MF-04</x:v>
      </x:c>
      <x:c r="G2331" s="7" t="str">
        <x:v>source temperature</x:v>
      </x:c>
      <x:c r="H2331" s="7" t="n">
        <x:v>3</x:v>
      </x:c>
      <x:c r="I2331" s="7" t="str"/>
      <x:c r="J2331" s="7" t="str"/>
      <x:c r="K2331" s="7" t="str"/>
      <x:c r="L2331" s="7" t="str"/>
      <x:c r="M2331" s="7" t="str"/>
      <x:c r="N2331" s="7" t="str"/>
      <x:c r="O2331" s="7" t="str">
        <x:f>IF(N2331="","OPEN",IF(OR(I2331="",J2331="",K2331="",L2331="",M2331=""),"FAIL","PASS"))</x:f>
        <x:v>OPEN</x:v>
      </x:c>
    </x:row>
    <x:row r="2332">
      <x:c r="B2332" s="7" t="str">
        <x:v>CH-PEA-C-Y2-04-4</x:v>
      </x:c>
      <x:c r="C2332" s="7" t="str">
        <x:v>PEA-C-Y2</x:v>
      </x:c>
      <x:c r="D2332" s="7" t="str">
        <x:v>BLD-C</x:v>
      </x:c>
      <x:c r="E2332" s="7" t="str">
        <x:v>BL-Y</x:v>
      </x:c>
      <x:c r="F2332" s="7" t="str">
        <x:v>MF-04</x:v>
      </x:c>
      <x:c r="G2332" s="7" t="str">
        <x:v>source temperature</x:v>
      </x:c>
      <x:c r="H2332" s="7" t="n">
        <x:v>4</x:v>
      </x:c>
      <x:c r="I2332" s="7" t="str"/>
      <x:c r="J2332" s="7" t="str"/>
      <x:c r="K2332" s="7" t="str"/>
      <x:c r="L2332" s="7" t="str"/>
      <x:c r="M2332" s="7" t="str"/>
      <x:c r="N2332" s="7" t="str"/>
      <x:c r="O2332" s="7" t="str">
        <x:f>IF(N2332="","OPEN",IF(OR(I2332="",J2332="",K2332="",L2332="",M2332=""),"FAIL","PASS"))</x:f>
        <x:v>OPEN</x:v>
      </x:c>
    </x:row>
    <x:row r="2333">
      <x:c r="B2333" s="7" t="str">
        <x:v>CH-PEA-C-Y2-04-5</x:v>
      </x:c>
      <x:c r="C2333" s="7" t="str">
        <x:v>PEA-C-Y2</x:v>
      </x:c>
      <x:c r="D2333" s="7" t="str">
        <x:v>BLD-C</x:v>
      </x:c>
      <x:c r="E2333" s="7" t="str">
        <x:v>BL-Y</x:v>
      </x:c>
      <x:c r="F2333" s="7" t="str">
        <x:v>MF-04</x:v>
      </x:c>
      <x:c r="G2333" s="7" t="str">
        <x:v>source temperature</x:v>
      </x:c>
      <x:c r="H2333" s="7" t="n">
        <x:v>5</x:v>
      </x:c>
      <x:c r="I2333" s="7" t="str"/>
      <x:c r="J2333" s="7" t="str"/>
      <x:c r="K2333" s="7" t="str"/>
      <x:c r="L2333" s="7" t="str"/>
      <x:c r="M2333" s="7" t="str"/>
      <x:c r="N2333" s="7" t="str"/>
      <x:c r="O2333" s="7" t="str">
        <x:f>IF(N2333="","OPEN",IF(OR(I2333="",J2333="",K2333="",L2333="",M2333=""),"FAIL","PASS"))</x:f>
        <x:v>OPEN</x:v>
      </x:c>
    </x:row>
    <x:row r="2334">
      <x:c r="B2334" s="7" t="str">
        <x:v>CH-PEA-C-Y2-04-6</x:v>
      </x:c>
      <x:c r="C2334" s="7" t="str">
        <x:v>PEA-C-Y2</x:v>
      </x:c>
      <x:c r="D2334" s="7" t="str">
        <x:v>BLD-C</x:v>
      </x:c>
      <x:c r="E2334" s="7" t="str">
        <x:v>BL-Y</x:v>
      </x:c>
      <x:c r="F2334" s="7" t="str">
        <x:v>MF-04</x:v>
      </x:c>
      <x:c r="G2334" s="7" t="str">
        <x:v>source temperature</x:v>
      </x:c>
      <x:c r="H2334" s="7" t="n">
        <x:v>6</x:v>
      </x:c>
      <x:c r="I2334" s="7" t="str"/>
      <x:c r="J2334" s="7" t="str"/>
      <x:c r="K2334" s="7" t="str"/>
      <x:c r="L2334" s="7" t="str"/>
      <x:c r="M2334" s="7" t="str"/>
      <x:c r="N2334" s="7" t="str"/>
      <x:c r="O2334" s="7" t="str">
        <x:f>IF(N2334="","OPEN",IF(OR(I2334="",J2334="",K2334="",L2334="",M2334=""),"FAIL","PASS"))</x:f>
        <x:v>OPEN</x:v>
      </x:c>
    </x:row>
    <x:row r="2335">
      <x:c r="B2335" s="7" t="str">
        <x:v>CH-PEA-C-Y2-05-1</x:v>
      </x:c>
      <x:c r="C2335" s="7" t="str">
        <x:v>PEA-C-Y2</x:v>
      </x:c>
      <x:c r="D2335" s="7" t="str">
        <x:v>BLD-C</x:v>
      </x:c>
      <x:c r="E2335" s="7" t="str">
        <x:v>BL-Y</x:v>
      </x:c>
      <x:c r="F2335" s="7" t="str">
        <x:v>MF-05</x:v>
      </x:c>
      <x:c r="G2335" s="7" t="str">
        <x:v>hold-up tomography</x:v>
      </x:c>
      <x:c r="H2335" s="7" t="n">
        <x:v>1</x:v>
      </x:c>
      <x:c r="I2335" s="7" t="str"/>
      <x:c r="J2335" s="7" t="str"/>
      <x:c r="K2335" s="7" t="str"/>
      <x:c r="L2335" s="7" t="str"/>
      <x:c r="M2335" s="7" t="str"/>
      <x:c r="N2335" s="7" t="str"/>
      <x:c r="O2335" s="7" t="str">
        <x:f>IF(N2335="","OPEN",IF(OR(I2335="",J2335="",K2335="",L2335="",M2335=""),"FAIL","PASS"))</x:f>
        <x:v>OPEN</x:v>
      </x:c>
    </x:row>
    <x:row r="2336">
      <x:c r="B2336" s="7" t="str">
        <x:v>CH-PEA-C-Y2-05-2</x:v>
      </x:c>
      <x:c r="C2336" s="7" t="str">
        <x:v>PEA-C-Y2</x:v>
      </x:c>
      <x:c r="D2336" s="7" t="str">
        <x:v>BLD-C</x:v>
      </x:c>
      <x:c r="E2336" s="7" t="str">
        <x:v>BL-Y</x:v>
      </x:c>
      <x:c r="F2336" s="7" t="str">
        <x:v>MF-05</x:v>
      </x:c>
      <x:c r="G2336" s="7" t="str">
        <x:v>hold-up tomography</x:v>
      </x:c>
      <x:c r="H2336" s="7" t="n">
        <x:v>2</x:v>
      </x:c>
      <x:c r="I2336" s="7" t="str"/>
      <x:c r="J2336" s="7" t="str"/>
      <x:c r="K2336" s="7" t="str"/>
      <x:c r="L2336" s="7" t="str"/>
      <x:c r="M2336" s="7" t="str"/>
      <x:c r="N2336" s="7" t="str"/>
      <x:c r="O2336" s="7" t="str">
        <x:f>IF(N2336="","OPEN",IF(OR(I2336="",J2336="",K2336="",L2336="",M2336=""),"FAIL","PASS"))</x:f>
        <x:v>OPEN</x:v>
      </x:c>
    </x:row>
    <x:row r="2337">
      <x:c r="B2337" s="7" t="str">
        <x:v>CH-PEA-C-Y2-05-3</x:v>
      </x:c>
      <x:c r="C2337" s="7" t="str">
        <x:v>PEA-C-Y2</x:v>
      </x:c>
      <x:c r="D2337" s="7" t="str">
        <x:v>BLD-C</x:v>
      </x:c>
      <x:c r="E2337" s="7" t="str">
        <x:v>BL-Y</x:v>
      </x:c>
      <x:c r="F2337" s="7" t="str">
        <x:v>MF-05</x:v>
      </x:c>
      <x:c r="G2337" s="7" t="str">
        <x:v>hold-up tomography</x:v>
      </x:c>
      <x:c r="H2337" s="7" t="n">
        <x:v>3</x:v>
      </x:c>
      <x:c r="I2337" s="7" t="str"/>
      <x:c r="J2337" s="7" t="str"/>
      <x:c r="K2337" s="7" t="str"/>
      <x:c r="L2337" s="7" t="str"/>
      <x:c r="M2337" s="7" t="str"/>
      <x:c r="N2337" s="7" t="str"/>
      <x:c r="O2337" s="7" t="str">
        <x:f>IF(N2337="","OPEN",IF(OR(I2337="",J2337="",K2337="",L2337="",M2337=""),"FAIL","PASS"))</x:f>
        <x:v>OPEN</x:v>
      </x:c>
    </x:row>
    <x:row r="2338">
      <x:c r="B2338" s="7" t="str">
        <x:v>CH-PEA-C-Y2-05-4</x:v>
      </x:c>
      <x:c r="C2338" s="7" t="str">
        <x:v>PEA-C-Y2</x:v>
      </x:c>
      <x:c r="D2338" s="7" t="str">
        <x:v>BLD-C</x:v>
      </x:c>
      <x:c r="E2338" s="7" t="str">
        <x:v>BL-Y</x:v>
      </x:c>
      <x:c r="F2338" s="7" t="str">
        <x:v>MF-05</x:v>
      </x:c>
      <x:c r="G2338" s="7" t="str">
        <x:v>hold-up tomography</x:v>
      </x:c>
      <x:c r="H2338" s="7" t="n">
        <x:v>4</x:v>
      </x:c>
      <x:c r="I2338" s="7" t="str"/>
      <x:c r="J2338" s="7" t="str"/>
      <x:c r="K2338" s="7" t="str"/>
      <x:c r="L2338" s="7" t="str"/>
      <x:c r="M2338" s="7" t="str"/>
      <x:c r="N2338" s="7" t="str"/>
      <x:c r="O2338" s="7" t="str">
        <x:f>IF(N2338="","OPEN",IF(OR(I2338="",J2338="",K2338="",L2338="",M2338=""),"FAIL","PASS"))</x:f>
        <x:v>OPEN</x:v>
      </x:c>
    </x:row>
    <x:row r="2339">
      <x:c r="B2339" s="7" t="str">
        <x:v>CH-PEA-C-Y2-05-5</x:v>
      </x:c>
      <x:c r="C2339" s="7" t="str">
        <x:v>PEA-C-Y2</x:v>
      </x:c>
      <x:c r="D2339" s="7" t="str">
        <x:v>BLD-C</x:v>
      </x:c>
      <x:c r="E2339" s="7" t="str">
        <x:v>BL-Y</x:v>
      </x:c>
      <x:c r="F2339" s="7" t="str">
        <x:v>MF-05</x:v>
      </x:c>
      <x:c r="G2339" s="7" t="str">
        <x:v>hold-up tomography</x:v>
      </x:c>
      <x:c r="H2339" s="7" t="n">
        <x:v>5</x:v>
      </x:c>
      <x:c r="I2339" s="7" t="str"/>
      <x:c r="J2339" s="7" t="str"/>
      <x:c r="K2339" s="7" t="str"/>
      <x:c r="L2339" s="7" t="str"/>
      <x:c r="M2339" s="7" t="str"/>
      <x:c r="N2339" s="7" t="str"/>
      <x:c r="O2339" s="7" t="str">
        <x:f>IF(N2339="","OPEN",IF(OR(I2339="",J2339="",K2339="",L2339="",M2339=""),"FAIL","PASS"))</x:f>
        <x:v>OPEN</x:v>
      </x:c>
    </x:row>
    <x:row r="2340">
      <x:c r="B2340" s="7" t="str">
        <x:v>CH-PEA-C-Y2-05-6</x:v>
      </x:c>
      <x:c r="C2340" s="7" t="str">
        <x:v>PEA-C-Y2</x:v>
      </x:c>
      <x:c r="D2340" s="7" t="str">
        <x:v>BLD-C</x:v>
      </x:c>
      <x:c r="E2340" s="7" t="str">
        <x:v>BL-Y</x:v>
      </x:c>
      <x:c r="F2340" s="7" t="str">
        <x:v>MF-05</x:v>
      </x:c>
      <x:c r="G2340" s="7" t="str">
        <x:v>hold-up tomography</x:v>
      </x:c>
      <x:c r="H2340" s="7" t="n">
        <x:v>6</x:v>
      </x:c>
      <x:c r="I2340" s="7" t="str"/>
      <x:c r="J2340" s="7" t="str"/>
      <x:c r="K2340" s="7" t="str"/>
      <x:c r="L2340" s="7" t="str"/>
      <x:c r="M2340" s="7" t="str"/>
      <x:c r="N2340" s="7" t="str"/>
      <x:c r="O2340" s="7" t="str">
        <x:f>IF(N2340="","OPEN",IF(OR(I2340="",J2340="",K2340="",L2340="",M2340=""),"FAIL","PASS"))</x:f>
        <x:v>OPEN</x:v>
      </x:c>
    </x:row>
    <x:row r="2341">
      <x:c r="B2341" s="7" t="str">
        <x:v>CH-PEA-C-Y2-06-1</x:v>
      </x:c>
      <x:c r="C2341" s="7" t="str">
        <x:v>PEA-C-Y2</x:v>
      </x:c>
      <x:c r="D2341" s="7" t="str">
        <x:v>BLD-C</x:v>
      </x:c>
      <x:c r="E2341" s="7" t="str">
        <x:v>BL-Y</x:v>
      </x:c>
      <x:c r="F2341" s="7" t="str">
        <x:v>MF-06</x:v>
      </x:c>
      <x:c r="G2341" s="7" t="str">
        <x:v>pan level</x:v>
      </x:c>
      <x:c r="H2341" s="7" t="n">
        <x:v>1</x:v>
      </x:c>
      <x:c r="I2341" s="7" t="str"/>
      <x:c r="J2341" s="7" t="str"/>
      <x:c r="K2341" s="7" t="str"/>
      <x:c r="L2341" s="7" t="str"/>
      <x:c r="M2341" s="7" t="str"/>
      <x:c r="N2341" s="7" t="str"/>
      <x:c r="O2341" s="7" t="str">
        <x:f>IF(N2341="","OPEN",IF(OR(I2341="",J2341="",K2341="",L2341="",M2341=""),"FAIL","PASS"))</x:f>
        <x:v>OPEN</x:v>
      </x:c>
    </x:row>
    <x:row r="2342">
      <x:c r="B2342" s="7" t="str">
        <x:v>CH-PEA-C-Y2-06-2</x:v>
      </x:c>
      <x:c r="C2342" s="7" t="str">
        <x:v>PEA-C-Y2</x:v>
      </x:c>
      <x:c r="D2342" s="7" t="str">
        <x:v>BLD-C</x:v>
      </x:c>
      <x:c r="E2342" s="7" t="str">
        <x:v>BL-Y</x:v>
      </x:c>
      <x:c r="F2342" s="7" t="str">
        <x:v>MF-06</x:v>
      </x:c>
      <x:c r="G2342" s="7" t="str">
        <x:v>pan level</x:v>
      </x:c>
      <x:c r="H2342" s="7" t="n">
        <x:v>2</x:v>
      </x:c>
      <x:c r="I2342" s="7" t="str"/>
      <x:c r="J2342" s="7" t="str"/>
      <x:c r="K2342" s="7" t="str"/>
      <x:c r="L2342" s="7" t="str"/>
      <x:c r="M2342" s="7" t="str"/>
      <x:c r="N2342" s="7" t="str"/>
      <x:c r="O2342" s="7" t="str">
        <x:f>IF(N2342="","OPEN",IF(OR(I2342="",J2342="",K2342="",L2342="",M2342=""),"FAIL","PASS"))</x:f>
        <x:v>OPEN</x:v>
      </x:c>
    </x:row>
    <x:row r="2343">
      <x:c r="B2343" s="7" t="str">
        <x:v>CH-PEA-C-Y2-06-3</x:v>
      </x:c>
      <x:c r="C2343" s="7" t="str">
        <x:v>PEA-C-Y2</x:v>
      </x:c>
      <x:c r="D2343" s="7" t="str">
        <x:v>BLD-C</x:v>
      </x:c>
      <x:c r="E2343" s="7" t="str">
        <x:v>BL-Y</x:v>
      </x:c>
      <x:c r="F2343" s="7" t="str">
        <x:v>MF-06</x:v>
      </x:c>
      <x:c r="G2343" s="7" t="str">
        <x:v>pan level</x:v>
      </x:c>
      <x:c r="H2343" s="7" t="n">
        <x:v>3</x:v>
      </x:c>
      <x:c r="I2343" s="7" t="str"/>
      <x:c r="J2343" s="7" t="str"/>
      <x:c r="K2343" s="7" t="str"/>
      <x:c r="L2343" s="7" t="str"/>
      <x:c r="M2343" s="7" t="str"/>
      <x:c r="N2343" s="7" t="str"/>
      <x:c r="O2343" s="7" t="str">
        <x:f>IF(N2343="","OPEN",IF(OR(I2343="",J2343="",K2343="",L2343="",M2343=""),"FAIL","PASS"))</x:f>
        <x:v>OPEN</x:v>
      </x:c>
    </x:row>
    <x:row r="2344">
      <x:c r="B2344" s="7" t="str">
        <x:v>CH-PEA-C-Y2-06-4</x:v>
      </x:c>
      <x:c r="C2344" s="7" t="str">
        <x:v>PEA-C-Y2</x:v>
      </x:c>
      <x:c r="D2344" s="7" t="str">
        <x:v>BLD-C</x:v>
      </x:c>
      <x:c r="E2344" s="7" t="str">
        <x:v>BL-Y</x:v>
      </x:c>
      <x:c r="F2344" s="7" t="str">
        <x:v>MF-06</x:v>
      </x:c>
      <x:c r="G2344" s="7" t="str">
        <x:v>pan level</x:v>
      </x:c>
      <x:c r="H2344" s="7" t="n">
        <x:v>4</x:v>
      </x:c>
      <x:c r="I2344" s="7" t="str"/>
      <x:c r="J2344" s="7" t="str"/>
      <x:c r="K2344" s="7" t="str"/>
      <x:c r="L2344" s="7" t="str"/>
      <x:c r="M2344" s="7" t="str"/>
      <x:c r="N2344" s="7" t="str"/>
      <x:c r="O2344" s="7" t="str">
        <x:f>IF(N2344="","OPEN",IF(OR(I2344="",J2344="",K2344="",L2344="",M2344=""),"FAIL","PASS"))</x:f>
        <x:v>OPEN</x:v>
      </x:c>
    </x:row>
    <x:row r="2345">
      <x:c r="B2345" s="7" t="str">
        <x:v>CH-PEA-C-Y2-06-5</x:v>
      </x:c>
      <x:c r="C2345" s="7" t="str">
        <x:v>PEA-C-Y2</x:v>
      </x:c>
      <x:c r="D2345" s="7" t="str">
        <x:v>BLD-C</x:v>
      </x:c>
      <x:c r="E2345" s="7" t="str">
        <x:v>BL-Y</x:v>
      </x:c>
      <x:c r="F2345" s="7" t="str">
        <x:v>MF-06</x:v>
      </x:c>
      <x:c r="G2345" s="7" t="str">
        <x:v>pan level</x:v>
      </x:c>
      <x:c r="H2345" s="7" t="n">
        <x:v>5</x:v>
      </x:c>
      <x:c r="I2345" s="7" t="str"/>
      <x:c r="J2345" s="7" t="str"/>
      <x:c r="K2345" s="7" t="str"/>
      <x:c r="L2345" s="7" t="str"/>
      <x:c r="M2345" s="7" t="str"/>
      <x:c r="N2345" s="7" t="str"/>
      <x:c r="O2345" s="7" t="str">
        <x:f>IF(N2345="","OPEN",IF(OR(I2345="",J2345="",K2345="",L2345="",M2345=""),"FAIL","PASS"))</x:f>
        <x:v>OPEN</x:v>
      </x:c>
    </x:row>
    <x:row r="2346">
      <x:c r="B2346" s="7" t="str">
        <x:v>CH-PEA-C-Y2-06-6</x:v>
      </x:c>
      <x:c r="C2346" s="7" t="str">
        <x:v>PEA-C-Y2</x:v>
      </x:c>
      <x:c r="D2346" s="7" t="str">
        <x:v>BLD-C</x:v>
      </x:c>
      <x:c r="E2346" s="7" t="str">
        <x:v>BL-Y</x:v>
      </x:c>
      <x:c r="F2346" s="7" t="str">
        <x:v>MF-06</x:v>
      </x:c>
      <x:c r="G2346" s="7" t="str">
        <x:v>pan level</x:v>
      </x:c>
      <x:c r="H2346" s="7" t="n">
        <x:v>6</x:v>
      </x:c>
      <x:c r="I2346" s="7" t="str"/>
      <x:c r="J2346" s="7" t="str"/>
      <x:c r="K2346" s="7" t="str"/>
      <x:c r="L2346" s="7" t="str"/>
      <x:c r="M2346" s="7" t="str"/>
      <x:c r="N2346" s="7" t="str"/>
      <x:c r="O2346" s="7" t="str">
        <x:f>IF(N2346="","OPEN",IF(OR(I2346="",J2346="",K2346="",L2346="",M2346=""),"FAIL","PASS"))</x:f>
        <x:v>OPEN</x:v>
      </x:c>
    </x:row>
    <x:row r="2347">
      <x:c r="B2347" s="7" t="str">
        <x:v>CH-PEA-C-Y2-07-1</x:v>
      </x:c>
      <x:c r="C2347" s="7" t="str">
        <x:v>PEA-C-Y2</x:v>
      </x:c>
      <x:c r="D2347" s="7" t="str">
        <x:v>BLD-C</x:v>
      </x:c>
      <x:c r="E2347" s="7" t="str">
        <x:v>BL-Y</x:v>
      </x:c>
      <x:c r="F2347" s="7" t="str">
        <x:v>MF-07</x:v>
      </x:c>
      <x:c r="G2347" s="7" t="str">
        <x:v>normal receiver mass</x:v>
      </x:c>
      <x:c r="H2347" s="7" t="n">
        <x:v>1</x:v>
      </x:c>
      <x:c r="I2347" s="7" t="str"/>
      <x:c r="J2347" s="7" t="str"/>
      <x:c r="K2347" s="7" t="str"/>
      <x:c r="L2347" s="7" t="str"/>
      <x:c r="M2347" s="7" t="str"/>
      <x:c r="N2347" s="7" t="str"/>
      <x:c r="O2347" s="7" t="str">
        <x:f>IF(N2347="","OPEN",IF(OR(I2347="",J2347="",K2347="",L2347="",M2347=""),"FAIL","PASS"))</x:f>
        <x:v>OPEN</x:v>
      </x:c>
    </x:row>
    <x:row r="2348">
      <x:c r="B2348" s="7" t="str">
        <x:v>CH-PEA-C-Y2-07-2</x:v>
      </x:c>
      <x:c r="C2348" s="7" t="str">
        <x:v>PEA-C-Y2</x:v>
      </x:c>
      <x:c r="D2348" s="7" t="str">
        <x:v>BLD-C</x:v>
      </x:c>
      <x:c r="E2348" s="7" t="str">
        <x:v>BL-Y</x:v>
      </x:c>
      <x:c r="F2348" s="7" t="str">
        <x:v>MF-07</x:v>
      </x:c>
      <x:c r="G2348" s="7" t="str">
        <x:v>normal receiver mass</x:v>
      </x:c>
      <x:c r="H2348" s="7" t="n">
        <x:v>2</x:v>
      </x:c>
      <x:c r="I2348" s="7" t="str"/>
      <x:c r="J2348" s="7" t="str"/>
      <x:c r="K2348" s="7" t="str"/>
      <x:c r="L2348" s="7" t="str"/>
      <x:c r="M2348" s="7" t="str"/>
      <x:c r="N2348" s="7" t="str"/>
      <x:c r="O2348" s="7" t="str">
        <x:f>IF(N2348="","OPEN",IF(OR(I2348="",J2348="",K2348="",L2348="",M2348=""),"FAIL","PASS"))</x:f>
        <x:v>OPEN</x:v>
      </x:c>
    </x:row>
    <x:row r="2349">
      <x:c r="B2349" s="7" t="str">
        <x:v>CH-PEA-C-Y2-07-3</x:v>
      </x:c>
      <x:c r="C2349" s="7" t="str">
        <x:v>PEA-C-Y2</x:v>
      </x:c>
      <x:c r="D2349" s="7" t="str">
        <x:v>BLD-C</x:v>
      </x:c>
      <x:c r="E2349" s="7" t="str">
        <x:v>BL-Y</x:v>
      </x:c>
      <x:c r="F2349" s="7" t="str">
        <x:v>MF-07</x:v>
      </x:c>
      <x:c r="G2349" s="7" t="str">
        <x:v>normal receiver mass</x:v>
      </x:c>
      <x:c r="H2349" s="7" t="n">
        <x:v>3</x:v>
      </x:c>
      <x:c r="I2349" s="7" t="str"/>
      <x:c r="J2349" s="7" t="str"/>
      <x:c r="K2349" s="7" t="str"/>
      <x:c r="L2349" s="7" t="str"/>
      <x:c r="M2349" s="7" t="str"/>
      <x:c r="N2349" s="7" t="str"/>
      <x:c r="O2349" s="7" t="str">
        <x:f>IF(N2349="","OPEN",IF(OR(I2349="",J2349="",K2349="",L2349="",M2349=""),"FAIL","PASS"))</x:f>
        <x:v>OPEN</x:v>
      </x:c>
    </x:row>
    <x:row r="2350">
      <x:c r="B2350" s="7" t="str">
        <x:v>CH-PEA-C-Y2-07-4</x:v>
      </x:c>
      <x:c r="C2350" s="7" t="str">
        <x:v>PEA-C-Y2</x:v>
      </x:c>
      <x:c r="D2350" s="7" t="str">
        <x:v>BLD-C</x:v>
      </x:c>
      <x:c r="E2350" s="7" t="str">
        <x:v>BL-Y</x:v>
      </x:c>
      <x:c r="F2350" s="7" t="str">
        <x:v>MF-07</x:v>
      </x:c>
      <x:c r="G2350" s="7" t="str">
        <x:v>normal receiver mass</x:v>
      </x:c>
      <x:c r="H2350" s="7" t="n">
        <x:v>4</x:v>
      </x:c>
      <x:c r="I2350" s="7" t="str"/>
      <x:c r="J2350" s="7" t="str"/>
      <x:c r="K2350" s="7" t="str"/>
      <x:c r="L2350" s="7" t="str"/>
      <x:c r="M2350" s="7" t="str"/>
      <x:c r="N2350" s="7" t="str"/>
      <x:c r="O2350" s="7" t="str">
        <x:f>IF(N2350="","OPEN",IF(OR(I2350="",J2350="",K2350="",L2350="",M2350=""),"FAIL","PASS"))</x:f>
        <x:v>OPEN</x:v>
      </x:c>
    </x:row>
    <x:row r="2351">
      <x:c r="B2351" s="7" t="str">
        <x:v>CH-PEA-C-Y2-07-5</x:v>
      </x:c>
      <x:c r="C2351" s="7" t="str">
        <x:v>PEA-C-Y2</x:v>
      </x:c>
      <x:c r="D2351" s="7" t="str">
        <x:v>BLD-C</x:v>
      </x:c>
      <x:c r="E2351" s="7" t="str">
        <x:v>BL-Y</x:v>
      </x:c>
      <x:c r="F2351" s="7" t="str">
        <x:v>MF-07</x:v>
      </x:c>
      <x:c r="G2351" s="7" t="str">
        <x:v>normal receiver mass</x:v>
      </x:c>
      <x:c r="H2351" s="7" t="n">
        <x:v>5</x:v>
      </x:c>
      <x:c r="I2351" s="7" t="str"/>
      <x:c r="J2351" s="7" t="str"/>
      <x:c r="K2351" s="7" t="str"/>
      <x:c r="L2351" s="7" t="str"/>
      <x:c r="M2351" s="7" t="str"/>
      <x:c r="N2351" s="7" t="str"/>
      <x:c r="O2351" s="7" t="str">
        <x:f>IF(N2351="","OPEN",IF(OR(I2351="",J2351="",K2351="",L2351="",M2351=""),"FAIL","PASS"))</x:f>
        <x:v>OPEN</x:v>
      </x:c>
    </x:row>
    <x:row r="2352">
      <x:c r="B2352" s="7" t="str">
        <x:v>CH-PEA-C-Y2-07-6</x:v>
      </x:c>
      <x:c r="C2352" s="7" t="str">
        <x:v>PEA-C-Y2</x:v>
      </x:c>
      <x:c r="D2352" s="7" t="str">
        <x:v>BLD-C</x:v>
      </x:c>
      <x:c r="E2352" s="7" t="str">
        <x:v>BL-Y</x:v>
      </x:c>
      <x:c r="F2352" s="7" t="str">
        <x:v>MF-07</x:v>
      </x:c>
      <x:c r="G2352" s="7" t="str">
        <x:v>normal receiver mass</x:v>
      </x:c>
      <x:c r="H2352" s="7" t="n">
        <x:v>6</x:v>
      </x:c>
      <x:c r="I2352" s="7" t="str"/>
      <x:c r="J2352" s="7" t="str"/>
      <x:c r="K2352" s="7" t="str"/>
      <x:c r="L2352" s="7" t="str"/>
      <x:c r="M2352" s="7" t="str"/>
      <x:c r="N2352" s="7" t="str"/>
      <x:c r="O2352" s="7" t="str">
        <x:f>IF(N2352="","OPEN",IF(OR(I2352="",J2352="",K2352="",L2352="",M2352=""),"FAIL","PASS"))</x:f>
        <x:v>OPEN</x:v>
      </x:c>
    </x:row>
    <x:row r="2353">
      <x:c r="B2353" s="7" t="str">
        <x:v>CH-PEA-C-Y2-08-1</x:v>
      </x:c>
      <x:c r="C2353" s="7" t="str">
        <x:v>PEA-C-Y2</x:v>
      </x:c>
      <x:c r="D2353" s="7" t="str">
        <x:v>BLD-C</x:v>
      </x:c>
      <x:c r="E2353" s="7" t="str">
        <x:v>BL-Y</x:v>
      </x:c>
      <x:c r="F2353" s="7" t="str">
        <x:v>MF-08</x:v>
      </x:c>
      <x:c r="G2353" s="7" t="str">
        <x:v>casualty receiver mass</x:v>
      </x:c>
      <x:c r="H2353" s="7" t="n">
        <x:v>1</x:v>
      </x:c>
      <x:c r="I2353" s="7" t="str"/>
      <x:c r="J2353" s="7" t="str"/>
      <x:c r="K2353" s="7" t="str"/>
      <x:c r="L2353" s="7" t="str"/>
      <x:c r="M2353" s="7" t="str"/>
      <x:c r="N2353" s="7" t="str"/>
      <x:c r="O2353" s="7" t="str">
        <x:f>IF(N2353="","OPEN",IF(OR(I2353="",J2353="",K2353="",L2353="",M2353=""),"FAIL","PASS"))</x:f>
        <x:v>OPEN</x:v>
      </x:c>
    </x:row>
    <x:row r="2354">
      <x:c r="B2354" s="7" t="str">
        <x:v>CH-PEA-C-Y2-08-2</x:v>
      </x:c>
      <x:c r="C2354" s="7" t="str">
        <x:v>PEA-C-Y2</x:v>
      </x:c>
      <x:c r="D2354" s="7" t="str">
        <x:v>BLD-C</x:v>
      </x:c>
      <x:c r="E2354" s="7" t="str">
        <x:v>BL-Y</x:v>
      </x:c>
      <x:c r="F2354" s="7" t="str">
        <x:v>MF-08</x:v>
      </x:c>
      <x:c r="G2354" s="7" t="str">
        <x:v>casualty receiver mass</x:v>
      </x:c>
      <x:c r="H2354" s="7" t="n">
        <x:v>2</x:v>
      </x:c>
      <x:c r="I2354" s="7" t="str"/>
      <x:c r="J2354" s="7" t="str"/>
      <x:c r="K2354" s="7" t="str"/>
      <x:c r="L2354" s="7" t="str"/>
      <x:c r="M2354" s="7" t="str"/>
      <x:c r="N2354" s="7" t="str"/>
      <x:c r="O2354" s="7" t="str">
        <x:f>IF(N2354="","OPEN",IF(OR(I2354="",J2354="",K2354="",L2354="",M2354=""),"FAIL","PASS"))</x:f>
        <x:v>OPEN</x:v>
      </x:c>
    </x:row>
    <x:row r="2355">
      <x:c r="B2355" s="7" t="str">
        <x:v>CH-PEA-C-Y2-08-3</x:v>
      </x:c>
      <x:c r="C2355" s="7" t="str">
        <x:v>PEA-C-Y2</x:v>
      </x:c>
      <x:c r="D2355" s="7" t="str">
        <x:v>BLD-C</x:v>
      </x:c>
      <x:c r="E2355" s="7" t="str">
        <x:v>BL-Y</x:v>
      </x:c>
      <x:c r="F2355" s="7" t="str">
        <x:v>MF-08</x:v>
      </x:c>
      <x:c r="G2355" s="7" t="str">
        <x:v>casualty receiver mass</x:v>
      </x:c>
      <x:c r="H2355" s="7" t="n">
        <x:v>3</x:v>
      </x:c>
      <x:c r="I2355" s="7" t="str"/>
      <x:c r="J2355" s="7" t="str"/>
      <x:c r="K2355" s="7" t="str"/>
      <x:c r="L2355" s="7" t="str"/>
      <x:c r="M2355" s="7" t="str"/>
      <x:c r="N2355" s="7" t="str"/>
      <x:c r="O2355" s="7" t="str">
        <x:f>IF(N2355="","OPEN",IF(OR(I2355="",J2355="",K2355="",L2355="",M2355=""),"FAIL","PASS"))</x:f>
        <x:v>OPEN</x:v>
      </x:c>
    </x:row>
    <x:row r="2356">
      <x:c r="B2356" s="7" t="str">
        <x:v>CH-PEA-C-Y2-08-4</x:v>
      </x:c>
      <x:c r="C2356" s="7" t="str">
        <x:v>PEA-C-Y2</x:v>
      </x:c>
      <x:c r="D2356" s="7" t="str">
        <x:v>BLD-C</x:v>
      </x:c>
      <x:c r="E2356" s="7" t="str">
        <x:v>BL-Y</x:v>
      </x:c>
      <x:c r="F2356" s="7" t="str">
        <x:v>MF-08</x:v>
      </x:c>
      <x:c r="G2356" s="7" t="str">
        <x:v>casualty receiver mass</x:v>
      </x:c>
      <x:c r="H2356" s="7" t="n">
        <x:v>4</x:v>
      </x:c>
      <x:c r="I2356" s="7" t="str"/>
      <x:c r="J2356" s="7" t="str"/>
      <x:c r="K2356" s="7" t="str"/>
      <x:c r="L2356" s="7" t="str"/>
      <x:c r="M2356" s="7" t="str"/>
      <x:c r="N2356" s="7" t="str"/>
      <x:c r="O2356" s="7" t="str">
        <x:f>IF(N2356="","OPEN",IF(OR(I2356="",J2356="",K2356="",L2356="",M2356=""),"FAIL","PASS"))</x:f>
        <x:v>OPEN</x:v>
      </x:c>
    </x:row>
    <x:row r="2357">
      <x:c r="B2357" s="7" t="str">
        <x:v>CH-PEA-C-Y2-08-5</x:v>
      </x:c>
      <x:c r="C2357" s="7" t="str">
        <x:v>PEA-C-Y2</x:v>
      </x:c>
      <x:c r="D2357" s="7" t="str">
        <x:v>BLD-C</x:v>
      </x:c>
      <x:c r="E2357" s="7" t="str">
        <x:v>BL-Y</x:v>
      </x:c>
      <x:c r="F2357" s="7" t="str">
        <x:v>MF-08</x:v>
      </x:c>
      <x:c r="G2357" s="7" t="str">
        <x:v>casualty receiver mass</x:v>
      </x:c>
      <x:c r="H2357" s="7" t="n">
        <x:v>5</x:v>
      </x:c>
      <x:c r="I2357" s="7" t="str"/>
      <x:c r="J2357" s="7" t="str"/>
      <x:c r="K2357" s="7" t="str"/>
      <x:c r="L2357" s="7" t="str"/>
      <x:c r="M2357" s="7" t="str"/>
      <x:c r="N2357" s="7" t="str"/>
      <x:c r="O2357" s="7" t="str">
        <x:f>IF(N2357="","OPEN",IF(OR(I2357="",J2357="",K2357="",L2357="",M2357=""),"FAIL","PASS"))</x:f>
        <x:v>OPEN</x:v>
      </x:c>
    </x:row>
    <x:row r="2358">
      <x:c r="B2358" s="7" t="str">
        <x:v>CH-PEA-C-Y2-08-6</x:v>
      </x:c>
      <x:c r="C2358" s="7" t="str">
        <x:v>PEA-C-Y2</x:v>
      </x:c>
      <x:c r="D2358" s="7" t="str">
        <x:v>BLD-C</x:v>
      </x:c>
      <x:c r="E2358" s="7" t="str">
        <x:v>BL-Y</x:v>
      </x:c>
      <x:c r="F2358" s="7" t="str">
        <x:v>MF-08</x:v>
      </x:c>
      <x:c r="G2358" s="7" t="str">
        <x:v>casualty receiver mass</x:v>
      </x:c>
      <x:c r="H2358" s="7" t="n">
        <x:v>6</x:v>
      </x:c>
      <x:c r="I2358" s="7" t="str"/>
      <x:c r="J2358" s="7" t="str"/>
      <x:c r="K2358" s="7" t="str"/>
      <x:c r="L2358" s="7" t="str"/>
      <x:c r="M2358" s="7" t="str"/>
      <x:c r="N2358" s="7" t="str"/>
      <x:c r="O2358" s="7" t="str">
        <x:f>IF(N2358="","OPEN",IF(OR(I2358="",J2358="",K2358="",L2358="",M2358=""),"FAIL","PASS"))</x:f>
        <x:v>OPEN</x:v>
      </x:c>
    </x:row>
    <x:row r="2359">
      <x:c r="B2359" s="7" t="str">
        <x:v>CH-PEA-C-Y2-09-1</x:v>
      </x:c>
      <x:c r="C2359" s="7" t="str">
        <x:v>PEA-C-Y2</x:v>
      </x:c>
      <x:c r="D2359" s="7" t="str">
        <x:v>BLD-C</x:v>
      </x:c>
      <x:c r="E2359" s="7" t="str">
        <x:v>BL-Y</x:v>
      </x:c>
      <x:c r="F2359" s="7" t="str">
        <x:v>MF-09</x:v>
      </x:c>
      <x:c r="G2359" s="7" t="str">
        <x:v>geometry and slope</x:v>
      </x:c>
      <x:c r="H2359" s="7" t="n">
        <x:v>1</x:v>
      </x:c>
      <x:c r="I2359" s="7" t="str"/>
      <x:c r="J2359" s="7" t="str"/>
      <x:c r="K2359" s="7" t="str"/>
      <x:c r="L2359" s="7" t="str"/>
      <x:c r="M2359" s="7" t="str"/>
      <x:c r="N2359" s="7" t="str"/>
      <x:c r="O2359" s="7" t="str">
        <x:f>IF(N2359="","OPEN",IF(OR(I2359="",J2359="",K2359="",L2359="",M2359=""),"FAIL","PASS"))</x:f>
        <x:v>OPEN</x:v>
      </x:c>
    </x:row>
    <x:row r="2360">
      <x:c r="B2360" s="7" t="str">
        <x:v>CH-PEA-C-Y2-09-2</x:v>
      </x:c>
      <x:c r="C2360" s="7" t="str">
        <x:v>PEA-C-Y2</x:v>
      </x:c>
      <x:c r="D2360" s="7" t="str">
        <x:v>BLD-C</x:v>
      </x:c>
      <x:c r="E2360" s="7" t="str">
        <x:v>BL-Y</x:v>
      </x:c>
      <x:c r="F2360" s="7" t="str">
        <x:v>MF-09</x:v>
      </x:c>
      <x:c r="G2360" s="7" t="str">
        <x:v>geometry and slope</x:v>
      </x:c>
      <x:c r="H2360" s="7" t="n">
        <x:v>2</x:v>
      </x:c>
      <x:c r="I2360" s="7" t="str"/>
      <x:c r="J2360" s="7" t="str"/>
      <x:c r="K2360" s="7" t="str"/>
      <x:c r="L2360" s="7" t="str"/>
      <x:c r="M2360" s="7" t="str"/>
      <x:c r="N2360" s="7" t="str"/>
      <x:c r="O2360" s="7" t="str">
        <x:f>IF(N2360="","OPEN",IF(OR(I2360="",J2360="",K2360="",L2360="",M2360=""),"FAIL","PASS"))</x:f>
        <x:v>OPEN</x:v>
      </x:c>
    </x:row>
    <x:row r="2361">
      <x:c r="B2361" s="7" t="str">
        <x:v>CH-PEA-C-Y2-09-3</x:v>
      </x:c>
      <x:c r="C2361" s="7" t="str">
        <x:v>PEA-C-Y2</x:v>
      </x:c>
      <x:c r="D2361" s="7" t="str">
        <x:v>BLD-C</x:v>
      </x:c>
      <x:c r="E2361" s="7" t="str">
        <x:v>BL-Y</x:v>
      </x:c>
      <x:c r="F2361" s="7" t="str">
        <x:v>MF-09</x:v>
      </x:c>
      <x:c r="G2361" s="7" t="str">
        <x:v>geometry and slope</x:v>
      </x:c>
      <x:c r="H2361" s="7" t="n">
        <x:v>3</x:v>
      </x:c>
      <x:c r="I2361" s="7" t="str"/>
      <x:c r="J2361" s="7" t="str"/>
      <x:c r="K2361" s="7" t="str"/>
      <x:c r="L2361" s="7" t="str"/>
      <x:c r="M2361" s="7" t="str"/>
      <x:c r="N2361" s="7" t="str"/>
      <x:c r="O2361" s="7" t="str">
        <x:f>IF(N2361="","OPEN",IF(OR(I2361="",J2361="",K2361="",L2361="",M2361=""),"FAIL","PASS"))</x:f>
        <x:v>OPEN</x:v>
      </x:c>
    </x:row>
    <x:row r="2362">
      <x:c r="B2362" s="7" t="str">
        <x:v>CH-PEA-C-Y2-09-4</x:v>
      </x:c>
      <x:c r="C2362" s="7" t="str">
        <x:v>PEA-C-Y2</x:v>
      </x:c>
      <x:c r="D2362" s="7" t="str">
        <x:v>BLD-C</x:v>
      </x:c>
      <x:c r="E2362" s="7" t="str">
        <x:v>BL-Y</x:v>
      </x:c>
      <x:c r="F2362" s="7" t="str">
        <x:v>MF-09</x:v>
      </x:c>
      <x:c r="G2362" s="7" t="str">
        <x:v>geometry and slope</x:v>
      </x:c>
      <x:c r="H2362" s="7" t="n">
        <x:v>4</x:v>
      </x:c>
      <x:c r="I2362" s="7" t="str"/>
      <x:c r="J2362" s="7" t="str"/>
      <x:c r="K2362" s="7" t="str"/>
      <x:c r="L2362" s="7" t="str"/>
      <x:c r="M2362" s="7" t="str"/>
      <x:c r="N2362" s="7" t="str"/>
      <x:c r="O2362" s="7" t="str">
        <x:f>IF(N2362="","OPEN",IF(OR(I2362="",J2362="",K2362="",L2362="",M2362=""),"FAIL","PASS"))</x:f>
        <x:v>OPEN</x:v>
      </x:c>
    </x:row>
    <x:row r="2363">
      <x:c r="B2363" s="7" t="str">
        <x:v>CH-PEA-C-Y2-09-5</x:v>
      </x:c>
      <x:c r="C2363" s="7" t="str">
        <x:v>PEA-C-Y2</x:v>
      </x:c>
      <x:c r="D2363" s="7" t="str">
        <x:v>BLD-C</x:v>
      </x:c>
      <x:c r="E2363" s="7" t="str">
        <x:v>BL-Y</x:v>
      </x:c>
      <x:c r="F2363" s="7" t="str">
        <x:v>MF-09</x:v>
      </x:c>
      <x:c r="G2363" s="7" t="str">
        <x:v>geometry and slope</x:v>
      </x:c>
      <x:c r="H2363" s="7" t="n">
        <x:v>5</x:v>
      </x:c>
      <x:c r="I2363" s="7" t="str"/>
      <x:c r="J2363" s="7" t="str"/>
      <x:c r="K2363" s="7" t="str"/>
      <x:c r="L2363" s="7" t="str"/>
      <x:c r="M2363" s="7" t="str"/>
      <x:c r="N2363" s="7" t="str"/>
      <x:c r="O2363" s="7" t="str">
        <x:f>IF(N2363="","OPEN",IF(OR(I2363="",J2363="",K2363="",L2363="",M2363=""),"FAIL","PASS"))</x:f>
        <x:v>OPEN</x:v>
      </x:c>
    </x:row>
    <x:row r="2364">
      <x:c r="B2364" s="7" t="str">
        <x:v>CH-PEA-C-Y2-09-6</x:v>
      </x:c>
      <x:c r="C2364" s="7" t="str">
        <x:v>PEA-C-Y2</x:v>
      </x:c>
      <x:c r="D2364" s="7" t="str">
        <x:v>BLD-C</x:v>
      </x:c>
      <x:c r="E2364" s="7" t="str">
        <x:v>BL-Y</x:v>
      </x:c>
      <x:c r="F2364" s="7" t="str">
        <x:v>MF-09</x:v>
      </x:c>
      <x:c r="G2364" s="7" t="str">
        <x:v>geometry and slope</x:v>
      </x:c>
      <x:c r="H2364" s="7" t="n">
        <x:v>6</x:v>
      </x:c>
      <x:c r="I2364" s="7" t="str"/>
      <x:c r="J2364" s="7" t="str"/>
      <x:c r="K2364" s="7" t="str"/>
      <x:c r="L2364" s="7" t="str"/>
      <x:c r="M2364" s="7" t="str"/>
      <x:c r="N2364" s="7" t="str"/>
      <x:c r="O2364" s="7" t="str">
        <x:f>IF(N2364="","OPEN",IF(OR(I2364="",J2364="",K2364="",L2364="",M2364=""),"FAIL","PASS"))</x:f>
        <x:v>OPEN</x:v>
      </x:c>
    </x:row>
    <x:row r="2365">
      <x:c r="B2365" s="7" t="str">
        <x:v>CH-PEA-C-Y2-10-1</x:v>
      </x:c>
      <x:c r="C2365" s="7" t="str">
        <x:v>PEA-C-Y2</x:v>
      </x:c>
      <x:c r="D2365" s="7" t="str">
        <x:v>BLD-C</x:v>
      </x:c>
      <x:c r="E2365" s="7" t="str">
        <x:v>BL-Y</x:v>
      </x:c>
      <x:c r="F2365" s="7" t="str">
        <x:v>MF-10</x:v>
      </x:c>
      <x:c r="G2365" s="7" t="str">
        <x:v>normal-source path state</x:v>
      </x:c>
      <x:c r="H2365" s="7" t="n">
        <x:v>1</x:v>
      </x:c>
      <x:c r="I2365" s="7" t="str"/>
      <x:c r="J2365" s="7" t="str"/>
      <x:c r="K2365" s="7" t="str"/>
      <x:c r="L2365" s="7" t="str"/>
      <x:c r="M2365" s="7" t="str"/>
      <x:c r="N2365" s="7" t="str"/>
      <x:c r="O2365" s="7" t="str">
        <x:f>IF(N2365="","OPEN",IF(OR(I2365="",J2365="",K2365="",L2365="",M2365=""),"FAIL","PASS"))</x:f>
        <x:v>OPEN</x:v>
      </x:c>
    </x:row>
    <x:row r="2366">
      <x:c r="B2366" s="7" t="str">
        <x:v>CH-PEA-C-Y2-10-2</x:v>
      </x:c>
      <x:c r="C2366" s="7" t="str">
        <x:v>PEA-C-Y2</x:v>
      </x:c>
      <x:c r="D2366" s="7" t="str">
        <x:v>BLD-C</x:v>
      </x:c>
      <x:c r="E2366" s="7" t="str">
        <x:v>BL-Y</x:v>
      </x:c>
      <x:c r="F2366" s="7" t="str">
        <x:v>MF-10</x:v>
      </x:c>
      <x:c r="G2366" s="7" t="str">
        <x:v>normal-source path state</x:v>
      </x:c>
      <x:c r="H2366" s="7" t="n">
        <x:v>2</x:v>
      </x:c>
      <x:c r="I2366" s="7" t="str"/>
      <x:c r="J2366" s="7" t="str"/>
      <x:c r="K2366" s="7" t="str"/>
      <x:c r="L2366" s="7" t="str"/>
      <x:c r="M2366" s="7" t="str"/>
      <x:c r="N2366" s="7" t="str"/>
      <x:c r="O2366" s="7" t="str">
        <x:f>IF(N2366="","OPEN",IF(OR(I2366="",J2366="",K2366="",L2366="",M2366=""),"FAIL","PASS"))</x:f>
        <x:v>OPEN</x:v>
      </x:c>
    </x:row>
    <x:row r="2367">
      <x:c r="B2367" s="7" t="str">
        <x:v>CH-PEA-C-Y2-10-3</x:v>
      </x:c>
      <x:c r="C2367" s="7" t="str">
        <x:v>PEA-C-Y2</x:v>
      </x:c>
      <x:c r="D2367" s="7" t="str">
        <x:v>BLD-C</x:v>
      </x:c>
      <x:c r="E2367" s="7" t="str">
        <x:v>BL-Y</x:v>
      </x:c>
      <x:c r="F2367" s="7" t="str">
        <x:v>MF-10</x:v>
      </x:c>
      <x:c r="G2367" s="7" t="str">
        <x:v>normal-source path state</x:v>
      </x:c>
      <x:c r="H2367" s="7" t="n">
        <x:v>3</x:v>
      </x:c>
      <x:c r="I2367" s="7" t="str"/>
      <x:c r="J2367" s="7" t="str"/>
      <x:c r="K2367" s="7" t="str"/>
      <x:c r="L2367" s="7" t="str"/>
      <x:c r="M2367" s="7" t="str"/>
      <x:c r="N2367" s="7" t="str"/>
      <x:c r="O2367" s="7" t="str">
        <x:f>IF(N2367="","OPEN",IF(OR(I2367="",J2367="",K2367="",L2367="",M2367=""),"FAIL","PASS"))</x:f>
        <x:v>OPEN</x:v>
      </x:c>
    </x:row>
    <x:row r="2368">
      <x:c r="B2368" s="7" t="str">
        <x:v>CH-PEA-C-Y2-10-4</x:v>
      </x:c>
      <x:c r="C2368" s="7" t="str">
        <x:v>PEA-C-Y2</x:v>
      </x:c>
      <x:c r="D2368" s="7" t="str">
        <x:v>BLD-C</x:v>
      </x:c>
      <x:c r="E2368" s="7" t="str">
        <x:v>BL-Y</x:v>
      </x:c>
      <x:c r="F2368" s="7" t="str">
        <x:v>MF-10</x:v>
      </x:c>
      <x:c r="G2368" s="7" t="str">
        <x:v>normal-source path state</x:v>
      </x:c>
      <x:c r="H2368" s="7" t="n">
        <x:v>4</x:v>
      </x:c>
      <x:c r="I2368" s="7" t="str"/>
      <x:c r="J2368" s="7" t="str"/>
      <x:c r="K2368" s="7" t="str"/>
      <x:c r="L2368" s="7" t="str"/>
      <x:c r="M2368" s="7" t="str"/>
      <x:c r="N2368" s="7" t="str"/>
      <x:c r="O2368" s="7" t="str">
        <x:f>IF(N2368="","OPEN",IF(OR(I2368="",J2368="",K2368="",L2368="",M2368=""),"FAIL","PASS"))</x:f>
        <x:v>OPEN</x:v>
      </x:c>
    </x:row>
    <x:row r="2369">
      <x:c r="B2369" s="7" t="str">
        <x:v>CH-PEA-C-Y2-10-5</x:v>
      </x:c>
      <x:c r="C2369" s="7" t="str">
        <x:v>PEA-C-Y2</x:v>
      </x:c>
      <x:c r="D2369" s="7" t="str">
        <x:v>BLD-C</x:v>
      </x:c>
      <x:c r="E2369" s="7" t="str">
        <x:v>BL-Y</x:v>
      </x:c>
      <x:c r="F2369" s="7" t="str">
        <x:v>MF-10</x:v>
      </x:c>
      <x:c r="G2369" s="7" t="str">
        <x:v>normal-source path state</x:v>
      </x:c>
      <x:c r="H2369" s="7" t="n">
        <x:v>5</x:v>
      </x:c>
      <x:c r="I2369" s="7" t="str"/>
      <x:c r="J2369" s="7" t="str"/>
      <x:c r="K2369" s="7" t="str"/>
      <x:c r="L2369" s="7" t="str"/>
      <x:c r="M2369" s="7" t="str"/>
      <x:c r="N2369" s="7" t="str"/>
      <x:c r="O2369" s="7" t="str">
        <x:f>IF(N2369="","OPEN",IF(OR(I2369="",J2369="",K2369="",L2369="",M2369=""),"FAIL","PASS"))</x:f>
        <x:v>OPEN</x:v>
      </x:c>
    </x:row>
    <x:row r="2370">
      <x:c r="B2370" s="7" t="str">
        <x:v>CH-PEA-C-Y2-10-6</x:v>
      </x:c>
      <x:c r="C2370" s="7" t="str">
        <x:v>PEA-C-Y2</x:v>
      </x:c>
      <x:c r="D2370" s="7" t="str">
        <x:v>BLD-C</x:v>
      </x:c>
      <x:c r="E2370" s="7" t="str">
        <x:v>BL-Y</x:v>
      </x:c>
      <x:c r="F2370" s="7" t="str">
        <x:v>MF-10</x:v>
      </x:c>
      <x:c r="G2370" s="7" t="str">
        <x:v>normal-source path state</x:v>
      </x:c>
      <x:c r="H2370" s="7" t="n">
        <x:v>6</x:v>
      </x:c>
      <x:c r="I2370" s="7" t="str"/>
      <x:c r="J2370" s="7" t="str"/>
      <x:c r="K2370" s="7" t="str"/>
      <x:c r="L2370" s="7" t="str"/>
      <x:c r="M2370" s="7" t="str"/>
      <x:c r="N2370" s="7" t="str"/>
      <x:c r="O2370" s="7" t="str">
        <x:f>IF(N2370="","OPEN",IF(OR(I2370="",J2370="",K2370="",L2370="",M2370=""),"FAIL","PASS"))</x:f>
        <x:v>OPEN</x:v>
      </x:c>
    </x:row>
    <x:row r="2371">
      <x:c r="B2371" s="7" t="str">
        <x:v>CH-PEA-C-Y2-11-1</x:v>
      </x:c>
      <x:c r="C2371" s="7" t="str">
        <x:v>PEA-C-Y2</x:v>
      </x:c>
      <x:c r="D2371" s="7" t="str">
        <x:v>BLD-C</x:v>
      </x:c>
      <x:c r="E2371" s="7" t="str">
        <x:v>BL-Y</x:v>
      </x:c>
      <x:c r="F2371" s="7" t="str">
        <x:v>MF-11</x:v>
      </x:c>
      <x:c r="G2371" s="7" t="str">
        <x:v>casualty-source path state</x:v>
      </x:c>
      <x:c r="H2371" s="7" t="n">
        <x:v>1</x:v>
      </x:c>
      <x:c r="I2371" s="7" t="str"/>
      <x:c r="J2371" s="7" t="str"/>
      <x:c r="K2371" s="7" t="str"/>
      <x:c r="L2371" s="7" t="str"/>
      <x:c r="M2371" s="7" t="str"/>
      <x:c r="N2371" s="7" t="str"/>
      <x:c r="O2371" s="7" t="str">
        <x:f>IF(N2371="","OPEN",IF(OR(I2371="",J2371="",K2371="",L2371="",M2371=""),"FAIL","PASS"))</x:f>
        <x:v>OPEN</x:v>
      </x:c>
    </x:row>
    <x:row r="2372">
      <x:c r="B2372" s="7" t="str">
        <x:v>CH-PEA-C-Y2-11-2</x:v>
      </x:c>
      <x:c r="C2372" s="7" t="str">
        <x:v>PEA-C-Y2</x:v>
      </x:c>
      <x:c r="D2372" s="7" t="str">
        <x:v>BLD-C</x:v>
      </x:c>
      <x:c r="E2372" s="7" t="str">
        <x:v>BL-Y</x:v>
      </x:c>
      <x:c r="F2372" s="7" t="str">
        <x:v>MF-11</x:v>
      </x:c>
      <x:c r="G2372" s="7" t="str">
        <x:v>casualty-source path state</x:v>
      </x:c>
      <x:c r="H2372" s="7" t="n">
        <x:v>2</x:v>
      </x:c>
      <x:c r="I2372" s="7" t="str"/>
      <x:c r="J2372" s="7" t="str"/>
      <x:c r="K2372" s="7" t="str"/>
      <x:c r="L2372" s="7" t="str"/>
      <x:c r="M2372" s="7" t="str"/>
      <x:c r="N2372" s="7" t="str"/>
      <x:c r="O2372" s="7" t="str">
        <x:f>IF(N2372="","OPEN",IF(OR(I2372="",J2372="",K2372="",L2372="",M2372=""),"FAIL","PASS"))</x:f>
        <x:v>OPEN</x:v>
      </x:c>
    </x:row>
    <x:row r="2373">
      <x:c r="B2373" s="7" t="str">
        <x:v>CH-PEA-C-Y2-11-3</x:v>
      </x:c>
      <x:c r="C2373" s="7" t="str">
        <x:v>PEA-C-Y2</x:v>
      </x:c>
      <x:c r="D2373" s="7" t="str">
        <x:v>BLD-C</x:v>
      </x:c>
      <x:c r="E2373" s="7" t="str">
        <x:v>BL-Y</x:v>
      </x:c>
      <x:c r="F2373" s="7" t="str">
        <x:v>MF-11</x:v>
      </x:c>
      <x:c r="G2373" s="7" t="str">
        <x:v>casualty-source path state</x:v>
      </x:c>
      <x:c r="H2373" s="7" t="n">
        <x:v>3</x:v>
      </x:c>
      <x:c r="I2373" s="7" t="str"/>
      <x:c r="J2373" s="7" t="str"/>
      <x:c r="K2373" s="7" t="str"/>
      <x:c r="L2373" s="7" t="str"/>
      <x:c r="M2373" s="7" t="str"/>
      <x:c r="N2373" s="7" t="str"/>
      <x:c r="O2373" s="7" t="str">
        <x:f>IF(N2373="","OPEN",IF(OR(I2373="",J2373="",K2373="",L2373="",M2373=""),"FAIL","PASS"))</x:f>
        <x:v>OPEN</x:v>
      </x:c>
    </x:row>
    <x:row r="2374">
      <x:c r="B2374" s="7" t="str">
        <x:v>CH-PEA-C-Y2-11-4</x:v>
      </x:c>
      <x:c r="C2374" s="7" t="str">
        <x:v>PEA-C-Y2</x:v>
      </x:c>
      <x:c r="D2374" s="7" t="str">
        <x:v>BLD-C</x:v>
      </x:c>
      <x:c r="E2374" s="7" t="str">
        <x:v>BL-Y</x:v>
      </x:c>
      <x:c r="F2374" s="7" t="str">
        <x:v>MF-11</x:v>
      </x:c>
      <x:c r="G2374" s="7" t="str">
        <x:v>casualty-source path state</x:v>
      </x:c>
      <x:c r="H2374" s="7" t="n">
        <x:v>4</x:v>
      </x:c>
      <x:c r="I2374" s="7" t="str"/>
      <x:c r="J2374" s="7" t="str"/>
      <x:c r="K2374" s="7" t="str"/>
      <x:c r="L2374" s="7" t="str"/>
      <x:c r="M2374" s="7" t="str"/>
      <x:c r="N2374" s="7" t="str"/>
      <x:c r="O2374" s="7" t="str">
        <x:f>IF(N2374="","OPEN",IF(OR(I2374="",J2374="",K2374="",L2374="",M2374=""),"FAIL","PASS"))</x:f>
        <x:v>OPEN</x:v>
      </x:c>
    </x:row>
    <x:row r="2375">
      <x:c r="B2375" s="7" t="str">
        <x:v>CH-PEA-C-Y2-11-5</x:v>
      </x:c>
      <x:c r="C2375" s="7" t="str">
        <x:v>PEA-C-Y2</x:v>
      </x:c>
      <x:c r="D2375" s="7" t="str">
        <x:v>BLD-C</x:v>
      </x:c>
      <x:c r="E2375" s="7" t="str">
        <x:v>BL-Y</x:v>
      </x:c>
      <x:c r="F2375" s="7" t="str">
        <x:v>MF-11</x:v>
      </x:c>
      <x:c r="G2375" s="7" t="str">
        <x:v>casualty-source path state</x:v>
      </x:c>
      <x:c r="H2375" s="7" t="n">
        <x:v>5</x:v>
      </x:c>
      <x:c r="I2375" s="7" t="str"/>
      <x:c r="J2375" s="7" t="str"/>
      <x:c r="K2375" s="7" t="str"/>
      <x:c r="L2375" s="7" t="str"/>
      <x:c r="M2375" s="7" t="str"/>
      <x:c r="N2375" s="7" t="str"/>
      <x:c r="O2375" s="7" t="str">
        <x:f>IF(N2375="","OPEN",IF(OR(I2375="",J2375="",K2375="",L2375="",M2375=""),"FAIL","PASS"))</x:f>
        <x:v>OPEN</x:v>
      </x:c>
    </x:row>
    <x:row r="2376">
      <x:c r="B2376" s="7" t="str">
        <x:v>CH-PEA-C-Y2-11-6</x:v>
      </x:c>
      <x:c r="C2376" s="7" t="str">
        <x:v>PEA-C-Y2</x:v>
      </x:c>
      <x:c r="D2376" s="7" t="str">
        <x:v>BLD-C</x:v>
      </x:c>
      <x:c r="E2376" s="7" t="str">
        <x:v>BL-Y</x:v>
      </x:c>
      <x:c r="F2376" s="7" t="str">
        <x:v>MF-11</x:v>
      </x:c>
      <x:c r="G2376" s="7" t="str">
        <x:v>casualty-source path state</x:v>
      </x:c>
      <x:c r="H2376" s="7" t="n">
        <x:v>6</x:v>
      </x:c>
      <x:c r="I2376" s="7" t="str"/>
      <x:c r="J2376" s="7" t="str"/>
      <x:c r="K2376" s="7" t="str"/>
      <x:c r="L2376" s="7" t="str"/>
      <x:c r="M2376" s="7" t="str"/>
      <x:c r="N2376" s="7" t="str"/>
      <x:c r="O2376" s="7" t="str">
        <x:f>IF(N2376="","OPEN",IF(OR(I2376="",J2376="",K2376="",L2376="",M2376=""),"FAIL","PASS"))</x:f>
        <x:v>OPEN</x:v>
      </x:c>
    </x:row>
    <x:row r="2377">
      <x:c r="B2377" s="7" t="str">
        <x:v>CH-PEA-C-Y2-12-1</x:v>
      </x:c>
      <x:c r="C2377" s="7" t="str">
        <x:v>PEA-C-Y2</x:v>
      </x:c>
      <x:c r="D2377" s="7" t="str">
        <x:v>BLD-C</x:v>
      </x:c>
      <x:c r="E2377" s="7" t="str">
        <x:v>BL-Y</x:v>
      </x:c>
      <x:c r="F2377" s="7" t="str">
        <x:v>MF-12</x:v>
      </x:c>
      <x:c r="G2377" s="7" t="str">
        <x:v>candidate-water path state</x:v>
      </x:c>
      <x:c r="H2377" s="7" t="n">
        <x:v>1</x:v>
      </x:c>
      <x:c r="I2377" s="7" t="str"/>
      <x:c r="J2377" s="7" t="str"/>
      <x:c r="K2377" s="7" t="str"/>
      <x:c r="L2377" s="7" t="str"/>
      <x:c r="M2377" s="7" t="str"/>
      <x:c r="N2377" s="7" t="str"/>
      <x:c r="O2377" s="7" t="str">
        <x:f>IF(N2377="","OPEN",IF(OR(I2377="",J2377="",K2377="",L2377="",M2377=""),"FAIL","PASS"))</x:f>
        <x:v>OPEN</x:v>
      </x:c>
    </x:row>
    <x:row r="2378">
      <x:c r="B2378" s="7" t="str">
        <x:v>CH-PEA-C-Y2-12-2</x:v>
      </x:c>
      <x:c r="C2378" s="7" t="str">
        <x:v>PEA-C-Y2</x:v>
      </x:c>
      <x:c r="D2378" s="7" t="str">
        <x:v>BLD-C</x:v>
      </x:c>
      <x:c r="E2378" s="7" t="str">
        <x:v>BL-Y</x:v>
      </x:c>
      <x:c r="F2378" s="7" t="str">
        <x:v>MF-12</x:v>
      </x:c>
      <x:c r="G2378" s="7" t="str">
        <x:v>candidate-water path state</x:v>
      </x:c>
      <x:c r="H2378" s="7" t="n">
        <x:v>2</x:v>
      </x:c>
      <x:c r="I2378" s="7" t="str"/>
      <x:c r="J2378" s="7" t="str"/>
      <x:c r="K2378" s="7" t="str"/>
      <x:c r="L2378" s="7" t="str"/>
      <x:c r="M2378" s="7" t="str"/>
      <x:c r="N2378" s="7" t="str"/>
      <x:c r="O2378" s="7" t="str">
        <x:f>IF(N2378="","OPEN",IF(OR(I2378="",J2378="",K2378="",L2378="",M2378=""),"FAIL","PASS"))</x:f>
        <x:v>OPEN</x:v>
      </x:c>
    </x:row>
    <x:row r="2379">
      <x:c r="B2379" s="7" t="str">
        <x:v>CH-PEA-C-Y2-12-3</x:v>
      </x:c>
      <x:c r="C2379" s="7" t="str">
        <x:v>PEA-C-Y2</x:v>
      </x:c>
      <x:c r="D2379" s="7" t="str">
        <x:v>BLD-C</x:v>
      </x:c>
      <x:c r="E2379" s="7" t="str">
        <x:v>BL-Y</x:v>
      </x:c>
      <x:c r="F2379" s="7" t="str">
        <x:v>MF-12</x:v>
      </x:c>
      <x:c r="G2379" s="7" t="str">
        <x:v>candidate-water path state</x:v>
      </x:c>
      <x:c r="H2379" s="7" t="n">
        <x:v>3</x:v>
      </x:c>
      <x:c r="I2379" s="7" t="str"/>
      <x:c r="J2379" s="7" t="str"/>
      <x:c r="K2379" s="7" t="str"/>
      <x:c r="L2379" s="7" t="str"/>
      <x:c r="M2379" s="7" t="str"/>
      <x:c r="N2379" s="7" t="str"/>
      <x:c r="O2379" s="7" t="str">
        <x:f>IF(N2379="","OPEN",IF(OR(I2379="",J2379="",K2379="",L2379="",M2379=""),"FAIL","PASS"))</x:f>
        <x:v>OPEN</x:v>
      </x:c>
    </x:row>
    <x:row r="2380">
      <x:c r="B2380" s="7" t="str">
        <x:v>CH-PEA-C-Y2-12-4</x:v>
      </x:c>
      <x:c r="C2380" s="7" t="str">
        <x:v>PEA-C-Y2</x:v>
      </x:c>
      <x:c r="D2380" s="7" t="str">
        <x:v>BLD-C</x:v>
      </x:c>
      <x:c r="E2380" s="7" t="str">
        <x:v>BL-Y</x:v>
      </x:c>
      <x:c r="F2380" s="7" t="str">
        <x:v>MF-12</x:v>
      </x:c>
      <x:c r="G2380" s="7" t="str">
        <x:v>candidate-water path state</x:v>
      </x:c>
      <x:c r="H2380" s="7" t="n">
        <x:v>4</x:v>
      </x:c>
      <x:c r="I2380" s="7" t="str"/>
      <x:c r="J2380" s="7" t="str"/>
      <x:c r="K2380" s="7" t="str"/>
      <x:c r="L2380" s="7" t="str"/>
      <x:c r="M2380" s="7" t="str"/>
      <x:c r="N2380" s="7" t="str"/>
      <x:c r="O2380" s="7" t="str">
        <x:f>IF(N2380="","OPEN",IF(OR(I2380="",J2380="",K2380="",L2380="",M2380=""),"FAIL","PASS"))</x:f>
        <x:v>OPEN</x:v>
      </x:c>
    </x:row>
    <x:row r="2381">
      <x:c r="B2381" s="7" t="str">
        <x:v>CH-PEA-C-Y2-12-5</x:v>
      </x:c>
      <x:c r="C2381" s="7" t="str">
        <x:v>PEA-C-Y2</x:v>
      </x:c>
      <x:c r="D2381" s="7" t="str">
        <x:v>BLD-C</x:v>
      </x:c>
      <x:c r="E2381" s="7" t="str">
        <x:v>BL-Y</x:v>
      </x:c>
      <x:c r="F2381" s="7" t="str">
        <x:v>MF-12</x:v>
      </x:c>
      <x:c r="G2381" s="7" t="str">
        <x:v>candidate-water path state</x:v>
      </x:c>
      <x:c r="H2381" s="7" t="n">
        <x:v>5</x:v>
      </x:c>
      <x:c r="I2381" s="7" t="str"/>
      <x:c r="J2381" s="7" t="str"/>
      <x:c r="K2381" s="7" t="str"/>
      <x:c r="L2381" s="7" t="str"/>
      <x:c r="M2381" s="7" t="str"/>
      <x:c r="N2381" s="7" t="str"/>
      <x:c r="O2381" s="7" t="str">
        <x:f>IF(N2381="","OPEN",IF(OR(I2381="",J2381="",K2381="",L2381="",M2381=""),"FAIL","PASS"))</x:f>
        <x:v>OPEN</x:v>
      </x:c>
    </x:row>
    <x:row r="2382">
      <x:c r="B2382" s="7" t="str">
        <x:v>CH-PEA-C-Y2-12-6</x:v>
      </x:c>
      <x:c r="C2382" s="7" t="str">
        <x:v>PEA-C-Y2</x:v>
      </x:c>
      <x:c r="D2382" s="7" t="str">
        <x:v>BLD-C</x:v>
      </x:c>
      <x:c r="E2382" s="7" t="str">
        <x:v>BL-Y</x:v>
      </x:c>
      <x:c r="F2382" s="7" t="str">
        <x:v>MF-12</x:v>
      </x:c>
      <x:c r="G2382" s="7" t="str">
        <x:v>candidate-water path state</x:v>
      </x:c>
      <x:c r="H2382" s="7" t="n">
        <x:v>6</x:v>
      </x:c>
      <x:c r="I2382" s="7" t="str"/>
      <x:c r="J2382" s="7" t="str"/>
      <x:c r="K2382" s="7" t="str"/>
      <x:c r="L2382" s="7" t="str"/>
      <x:c r="M2382" s="7" t="str"/>
      <x:c r="N2382" s="7" t="str"/>
      <x:c r="O2382" s="7" t="str">
        <x:f>IF(N2382="","OPEN",IF(OR(I2382="",J2382="",K2382="",L2382="",M2382=""),"FAIL","PASS"))</x:f>
        <x:v>OPEN</x:v>
      </x:c>
    </x:row>
    <x:row r="2383">
      <x:c r="B2383" s="7" t="str">
        <x:v>CH-PEA-C-Y2-13-1</x:v>
      </x:c>
      <x:c r="C2383" s="7" t="str">
        <x:v>PEA-C-Y2</x:v>
      </x:c>
      <x:c r="D2383" s="7" t="str">
        <x:v>BLD-C</x:v>
      </x:c>
      <x:c r="E2383" s="7" t="str">
        <x:v>BL-Y</x:v>
      </x:c>
      <x:c r="F2383" s="7" t="str">
        <x:v>MF-13</x:v>
      </x:c>
      <x:c r="G2383" s="7" t="str">
        <x:v>final-element reference</x:v>
      </x:c>
      <x:c r="H2383" s="7" t="n">
        <x:v>1</x:v>
      </x:c>
      <x:c r="I2383" s="7" t="str"/>
      <x:c r="J2383" s="7" t="str"/>
      <x:c r="K2383" s="7" t="str"/>
      <x:c r="L2383" s="7" t="str"/>
      <x:c r="M2383" s="7" t="str"/>
      <x:c r="N2383" s="7" t="str"/>
      <x:c r="O2383" s="7" t="str">
        <x:f>IF(N2383="","OPEN",IF(OR(I2383="",J2383="",K2383="",L2383="",M2383=""),"FAIL","PASS"))</x:f>
        <x:v>OPEN</x:v>
      </x:c>
    </x:row>
    <x:row r="2384">
      <x:c r="B2384" s="7" t="str">
        <x:v>CH-PEA-C-Y2-13-2</x:v>
      </x:c>
      <x:c r="C2384" s="7" t="str">
        <x:v>PEA-C-Y2</x:v>
      </x:c>
      <x:c r="D2384" s="7" t="str">
        <x:v>BLD-C</x:v>
      </x:c>
      <x:c r="E2384" s="7" t="str">
        <x:v>BL-Y</x:v>
      </x:c>
      <x:c r="F2384" s="7" t="str">
        <x:v>MF-13</x:v>
      </x:c>
      <x:c r="G2384" s="7" t="str">
        <x:v>final-element reference</x:v>
      </x:c>
      <x:c r="H2384" s="7" t="n">
        <x:v>2</x:v>
      </x:c>
      <x:c r="I2384" s="7" t="str"/>
      <x:c r="J2384" s="7" t="str"/>
      <x:c r="K2384" s="7" t="str"/>
      <x:c r="L2384" s="7" t="str"/>
      <x:c r="M2384" s="7" t="str"/>
      <x:c r="N2384" s="7" t="str"/>
      <x:c r="O2384" s="7" t="str">
        <x:f>IF(N2384="","OPEN",IF(OR(I2384="",J2384="",K2384="",L2384="",M2384=""),"FAIL","PASS"))</x:f>
        <x:v>OPEN</x:v>
      </x:c>
    </x:row>
    <x:row r="2385">
      <x:c r="B2385" s="7" t="str">
        <x:v>CH-PEA-C-Y2-13-3</x:v>
      </x:c>
      <x:c r="C2385" s="7" t="str">
        <x:v>PEA-C-Y2</x:v>
      </x:c>
      <x:c r="D2385" s="7" t="str">
        <x:v>BLD-C</x:v>
      </x:c>
      <x:c r="E2385" s="7" t="str">
        <x:v>BL-Y</x:v>
      </x:c>
      <x:c r="F2385" s="7" t="str">
        <x:v>MF-13</x:v>
      </x:c>
      <x:c r="G2385" s="7" t="str">
        <x:v>final-element reference</x:v>
      </x:c>
      <x:c r="H2385" s="7" t="n">
        <x:v>3</x:v>
      </x:c>
      <x:c r="I2385" s="7" t="str"/>
      <x:c r="J2385" s="7" t="str"/>
      <x:c r="K2385" s="7" t="str"/>
      <x:c r="L2385" s="7" t="str"/>
      <x:c r="M2385" s="7" t="str"/>
      <x:c r="N2385" s="7" t="str"/>
      <x:c r="O2385" s="7" t="str">
        <x:f>IF(N2385="","OPEN",IF(OR(I2385="",J2385="",K2385="",L2385="",M2385=""),"FAIL","PASS"))</x:f>
        <x:v>OPEN</x:v>
      </x:c>
    </x:row>
    <x:row r="2386">
      <x:c r="B2386" s="7" t="str">
        <x:v>CH-PEA-C-Y2-13-4</x:v>
      </x:c>
      <x:c r="C2386" s="7" t="str">
        <x:v>PEA-C-Y2</x:v>
      </x:c>
      <x:c r="D2386" s="7" t="str">
        <x:v>BLD-C</x:v>
      </x:c>
      <x:c r="E2386" s="7" t="str">
        <x:v>BL-Y</x:v>
      </x:c>
      <x:c r="F2386" s="7" t="str">
        <x:v>MF-13</x:v>
      </x:c>
      <x:c r="G2386" s="7" t="str">
        <x:v>final-element reference</x:v>
      </x:c>
      <x:c r="H2386" s="7" t="n">
        <x:v>4</x:v>
      </x:c>
      <x:c r="I2386" s="7" t="str"/>
      <x:c r="J2386" s="7" t="str"/>
      <x:c r="K2386" s="7" t="str"/>
      <x:c r="L2386" s="7" t="str"/>
      <x:c r="M2386" s="7" t="str"/>
      <x:c r="N2386" s="7" t="str"/>
      <x:c r="O2386" s="7" t="str">
        <x:f>IF(N2386="","OPEN",IF(OR(I2386="",J2386="",K2386="",L2386="",M2386=""),"FAIL","PASS"))</x:f>
        <x:v>OPEN</x:v>
      </x:c>
    </x:row>
    <x:row r="2387">
      <x:c r="B2387" s="7" t="str">
        <x:v>CH-PEA-C-Y2-13-5</x:v>
      </x:c>
      <x:c r="C2387" s="7" t="str">
        <x:v>PEA-C-Y2</x:v>
      </x:c>
      <x:c r="D2387" s="7" t="str">
        <x:v>BLD-C</x:v>
      </x:c>
      <x:c r="E2387" s="7" t="str">
        <x:v>BL-Y</x:v>
      </x:c>
      <x:c r="F2387" s="7" t="str">
        <x:v>MF-13</x:v>
      </x:c>
      <x:c r="G2387" s="7" t="str">
        <x:v>final-element reference</x:v>
      </x:c>
      <x:c r="H2387" s="7" t="n">
        <x:v>5</x:v>
      </x:c>
      <x:c r="I2387" s="7" t="str"/>
      <x:c r="J2387" s="7" t="str"/>
      <x:c r="K2387" s="7" t="str"/>
      <x:c r="L2387" s="7" t="str"/>
      <x:c r="M2387" s="7" t="str"/>
      <x:c r="N2387" s="7" t="str"/>
      <x:c r="O2387" s="7" t="str">
        <x:f>IF(N2387="","OPEN",IF(OR(I2387="",J2387="",K2387="",L2387="",M2387=""),"FAIL","PASS"))</x:f>
        <x:v>OPEN</x:v>
      </x:c>
    </x:row>
    <x:row r="2388">
      <x:c r="B2388" s="7" t="str">
        <x:v>CH-PEA-C-Y2-13-6</x:v>
      </x:c>
      <x:c r="C2388" s="7" t="str">
        <x:v>PEA-C-Y2</x:v>
      </x:c>
      <x:c r="D2388" s="7" t="str">
        <x:v>BLD-C</x:v>
      </x:c>
      <x:c r="E2388" s="7" t="str">
        <x:v>BL-Y</x:v>
      </x:c>
      <x:c r="F2388" s="7" t="str">
        <x:v>MF-13</x:v>
      </x:c>
      <x:c r="G2388" s="7" t="str">
        <x:v>final-element reference</x:v>
      </x:c>
      <x:c r="H2388" s="7" t="n">
        <x:v>6</x:v>
      </x:c>
      <x:c r="I2388" s="7" t="str"/>
      <x:c r="J2388" s="7" t="str"/>
      <x:c r="K2388" s="7" t="str"/>
      <x:c r="L2388" s="7" t="str"/>
      <x:c r="M2388" s="7" t="str"/>
      <x:c r="N2388" s="7" t="str"/>
      <x:c r="O2388" s="7" t="str">
        <x:f>IF(N2388="","OPEN",IF(OR(I2388="",J2388="",K2388="",L2388="",M2388=""),"FAIL","PASS"))</x:f>
        <x:v>OPEN</x:v>
      </x:c>
    </x:row>
    <x:row r="2389">
      <x:c r="B2389" s="7" t="str">
        <x:v>CH-PEA-C-Y2-14-1</x:v>
      </x:c>
      <x:c r="C2389" s="7" t="str">
        <x:v>PEA-C-Y2</x:v>
      </x:c>
      <x:c r="D2389" s="7" t="str">
        <x:v>BLD-C</x:v>
      </x:c>
      <x:c r="E2389" s="7" t="str">
        <x:v>BL-Y</x:v>
      </x:c>
      <x:c r="F2389" s="7" t="str">
        <x:v>MF-14</x:v>
      </x:c>
      <x:c r="G2389" s="7" t="str">
        <x:v>causal time</x:v>
      </x:c>
      <x:c r="H2389" s="7" t="n">
        <x:v>1</x:v>
      </x:c>
      <x:c r="I2389" s="7" t="str"/>
      <x:c r="J2389" s="7" t="str"/>
      <x:c r="K2389" s="7" t="str"/>
      <x:c r="L2389" s="7" t="str"/>
      <x:c r="M2389" s="7" t="str"/>
      <x:c r="N2389" s="7" t="str"/>
      <x:c r="O2389" s="7" t="str">
        <x:f>IF(N2389="","OPEN",IF(OR(I2389="",J2389="",K2389="",L2389="",M2389=""),"FAIL","PASS"))</x:f>
        <x:v>OPEN</x:v>
      </x:c>
    </x:row>
    <x:row r="2390">
      <x:c r="B2390" s="7" t="str">
        <x:v>CH-PEA-C-Y2-14-2</x:v>
      </x:c>
      <x:c r="C2390" s="7" t="str">
        <x:v>PEA-C-Y2</x:v>
      </x:c>
      <x:c r="D2390" s="7" t="str">
        <x:v>BLD-C</x:v>
      </x:c>
      <x:c r="E2390" s="7" t="str">
        <x:v>BL-Y</x:v>
      </x:c>
      <x:c r="F2390" s="7" t="str">
        <x:v>MF-14</x:v>
      </x:c>
      <x:c r="G2390" s="7" t="str">
        <x:v>causal time</x:v>
      </x:c>
      <x:c r="H2390" s="7" t="n">
        <x:v>2</x:v>
      </x:c>
      <x:c r="I2390" s="7" t="str"/>
      <x:c r="J2390" s="7" t="str"/>
      <x:c r="K2390" s="7" t="str"/>
      <x:c r="L2390" s="7" t="str"/>
      <x:c r="M2390" s="7" t="str"/>
      <x:c r="N2390" s="7" t="str"/>
      <x:c r="O2390" s="7" t="str">
        <x:f>IF(N2390="","OPEN",IF(OR(I2390="",J2390="",K2390="",L2390="",M2390=""),"FAIL","PASS"))</x:f>
        <x:v>OPEN</x:v>
      </x:c>
    </x:row>
    <x:row r="2391">
      <x:c r="B2391" s="7" t="str">
        <x:v>CH-PEA-C-Y2-14-3</x:v>
      </x:c>
      <x:c r="C2391" s="7" t="str">
        <x:v>PEA-C-Y2</x:v>
      </x:c>
      <x:c r="D2391" s="7" t="str">
        <x:v>BLD-C</x:v>
      </x:c>
      <x:c r="E2391" s="7" t="str">
        <x:v>BL-Y</x:v>
      </x:c>
      <x:c r="F2391" s="7" t="str">
        <x:v>MF-14</x:v>
      </x:c>
      <x:c r="G2391" s="7" t="str">
        <x:v>causal time</x:v>
      </x:c>
      <x:c r="H2391" s="7" t="n">
        <x:v>3</x:v>
      </x:c>
      <x:c r="I2391" s="7" t="str"/>
      <x:c r="J2391" s="7" t="str"/>
      <x:c r="K2391" s="7" t="str"/>
      <x:c r="L2391" s="7" t="str"/>
      <x:c r="M2391" s="7" t="str"/>
      <x:c r="N2391" s="7" t="str"/>
      <x:c r="O2391" s="7" t="str">
        <x:f>IF(N2391="","OPEN",IF(OR(I2391="",J2391="",K2391="",L2391="",M2391=""),"FAIL","PASS"))</x:f>
        <x:v>OPEN</x:v>
      </x:c>
    </x:row>
    <x:row r="2392">
      <x:c r="B2392" s="7" t="str">
        <x:v>CH-PEA-C-Y2-14-4</x:v>
      </x:c>
      <x:c r="C2392" s="7" t="str">
        <x:v>PEA-C-Y2</x:v>
      </x:c>
      <x:c r="D2392" s="7" t="str">
        <x:v>BLD-C</x:v>
      </x:c>
      <x:c r="E2392" s="7" t="str">
        <x:v>BL-Y</x:v>
      </x:c>
      <x:c r="F2392" s="7" t="str">
        <x:v>MF-14</x:v>
      </x:c>
      <x:c r="G2392" s="7" t="str">
        <x:v>causal time</x:v>
      </x:c>
      <x:c r="H2392" s="7" t="n">
        <x:v>4</x:v>
      </x:c>
      <x:c r="I2392" s="7" t="str"/>
      <x:c r="J2392" s="7" t="str"/>
      <x:c r="K2392" s="7" t="str"/>
      <x:c r="L2392" s="7" t="str"/>
      <x:c r="M2392" s="7" t="str"/>
      <x:c r="N2392" s="7" t="str"/>
      <x:c r="O2392" s="7" t="str">
        <x:f>IF(N2392="","OPEN",IF(OR(I2392="",J2392="",K2392="",L2392="",M2392=""),"FAIL","PASS"))</x:f>
        <x:v>OPEN</x:v>
      </x:c>
    </x:row>
    <x:row r="2393">
      <x:c r="B2393" s="7" t="str">
        <x:v>CH-PEA-C-Y2-14-5</x:v>
      </x:c>
      <x:c r="C2393" s="7" t="str">
        <x:v>PEA-C-Y2</x:v>
      </x:c>
      <x:c r="D2393" s="7" t="str">
        <x:v>BLD-C</x:v>
      </x:c>
      <x:c r="E2393" s="7" t="str">
        <x:v>BL-Y</x:v>
      </x:c>
      <x:c r="F2393" s="7" t="str">
        <x:v>MF-14</x:v>
      </x:c>
      <x:c r="G2393" s="7" t="str">
        <x:v>causal time</x:v>
      </x:c>
      <x:c r="H2393" s="7" t="n">
        <x:v>5</x:v>
      </x:c>
      <x:c r="I2393" s="7" t="str"/>
      <x:c r="J2393" s="7" t="str"/>
      <x:c r="K2393" s="7" t="str"/>
      <x:c r="L2393" s="7" t="str"/>
      <x:c r="M2393" s="7" t="str"/>
      <x:c r="N2393" s="7" t="str"/>
      <x:c r="O2393" s="7" t="str">
        <x:f>IF(N2393="","OPEN",IF(OR(I2393="",J2393="",K2393="",L2393="",M2393=""),"FAIL","PASS"))</x:f>
        <x:v>OPEN</x:v>
      </x:c>
    </x:row>
    <x:row r="2394">
      <x:c r="B2394" s="7" t="str">
        <x:v>CH-PEA-C-Y2-14-6</x:v>
      </x:c>
      <x:c r="C2394" s="7" t="str">
        <x:v>PEA-C-Y2</x:v>
      </x:c>
      <x:c r="D2394" s="7" t="str">
        <x:v>BLD-C</x:v>
      </x:c>
      <x:c r="E2394" s="7" t="str">
        <x:v>BL-Y</x:v>
      </x:c>
      <x:c r="F2394" s="7" t="str">
        <x:v>MF-14</x:v>
      </x:c>
      <x:c r="G2394" s="7" t="str">
        <x:v>causal time</x:v>
      </x:c>
      <x:c r="H2394" s="7" t="n">
        <x:v>6</x:v>
      </x:c>
      <x:c r="I2394" s="7" t="str"/>
      <x:c r="J2394" s="7" t="str"/>
      <x:c r="K2394" s="7" t="str"/>
      <x:c r="L2394" s="7" t="str"/>
      <x:c r="M2394" s="7" t="str"/>
      <x:c r="N2394" s="7" t="str"/>
      <x:c r="O2394" s="7" t="str">
        <x:f>IF(N2394="","OPEN",IF(OR(I2394="",J2394="",K2394="",L2394="",M2394=""),"FAIL","PASS"))</x:f>
        <x:v>OPEN</x:v>
      </x:c>
    </x:row>
    <x:row r="2395">
      <x:c r="B2395" s="7" t="str">
        <x:v>CH-PEA-C-Y2-15-1</x:v>
      </x:c>
      <x:c r="C2395" s="7" t="str">
        <x:v>PEA-C-Y2</x:v>
      </x:c>
      <x:c r="D2395" s="7" t="str">
        <x:v>BLD-C</x:v>
      </x:c>
      <x:c r="E2395" s="7" t="str">
        <x:v>BL-Y</x:v>
      </x:c>
      <x:c r="F2395" s="7" t="str">
        <x:v>MF-15</x:v>
      </x:c>
      <x:c r="G2395" s="7" t="str">
        <x:v>source motive energy</x:v>
      </x:c>
      <x:c r="H2395" s="7" t="n">
        <x:v>1</x:v>
      </x:c>
      <x:c r="I2395" s="7" t="str"/>
      <x:c r="J2395" s="7" t="str"/>
      <x:c r="K2395" s="7" t="str"/>
      <x:c r="L2395" s="7" t="str"/>
      <x:c r="M2395" s="7" t="str"/>
      <x:c r="N2395" s="7" t="str"/>
      <x:c r="O2395" s="7" t="str">
        <x:f>IF(N2395="","OPEN",IF(OR(I2395="",J2395="",K2395="",L2395="",M2395=""),"FAIL","PASS"))</x:f>
        <x:v>OPEN</x:v>
      </x:c>
    </x:row>
    <x:row r="2396">
      <x:c r="B2396" s="7" t="str">
        <x:v>CH-PEA-C-Y2-15-2</x:v>
      </x:c>
      <x:c r="C2396" s="7" t="str">
        <x:v>PEA-C-Y2</x:v>
      </x:c>
      <x:c r="D2396" s="7" t="str">
        <x:v>BLD-C</x:v>
      </x:c>
      <x:c r="E2396" s="7" t="str">
        <x:v>BL-Y</x:v>
      </x:c>
      <x:c r="F2396" s="7" t="str">
        <x:v>MF-15</x:v>
      </x:c>
      <x:c r="G2396" s="7" t="str">
        <x:v>source motive energy</x:v>
      </x:c>
      <x:c r="H2396" s="7" t="n">
        <x:v>2</x:v>
      </x:c>
      <x:c r="I2396" s="7" t="str"/>
      <x:c r="J2396" s="7" t="str"/>
      <x:c r="K2396" s="7" t="str"/>
      <x:c r="L2396" s="7" t="str"/>
      <x:c r="M2396" s="7" t="str"/>
      <x:c r="N2396" s="7" t="str"/>
      <x:c r="O2396" s="7" t="str">
        <x:f>IF(N2396="","OPEN",IF(OR(I2396="",J2396="",K2396="",L2396="",M2396=""),"FAIL","PASS"))</x:f>
        <x:v>OPEN</x:v>
      </x:c>
    </x:row>
    <x:row r="2397">
      <x:c r="B2397" s="7" t="str">
        <x:v>CH-PEA-C-Y2-15-3</x:v>
      </x:c>
      <x:c r="C2397" s="7" t="str">
        <x:v>PEA-C-Y2</x:v>
      </x:c>
      <x:c r="D2397" s="7" t="str">
        <x:v>BLD-C</x:v>
      </x:c>
      <x:c r="E2397" s="7" t="str">
        <x:v>BL-Y</x:v>
      </x:c>
      <x:c r="F2397" s="7" t="str">
        <x:v>MF-15</x:v>
      </x:c>
      <x:c r="G2397" s="7" t="str">
        <x:v>source motive energy</x:v>
      </x:c>
      <x:c r="H2397" s="7" t="n">
        <x:v>3</x:v>
      </x:c>
      <x:c r="I2397" s="7" t="str"/>
      <x:c r="J2397" s="7" t="str"/>
      <x:c r="K2397" s="7" t="str"/>
      <x:c r="L2397" s="7" t="str"/>
      <x:c r="M2397" s="7" t="str"/>
      <x:c r="N2397" s="7" t="str"/>
      <x:c r="O2397" s="7" t="str">
        <x:f>IF(N2397="","OPEN",IF(OR(I2397="",J2397="",K2397="",L2397="",M2397=""),"FAIL","PASS"))</x:f>
        <x:v>OPEN</x:v>
      </x:c>
    </x:row>
    <x:row r="2398">
      <x:c r="B2398" s="7" t="str">
        <x:v>CH-PEA-C-Y2-15-4</x:v>
      </x:c>
      <x:c r="C2398" s="7" t="str">
        <x:v>PEA-C-Y2</x:v>
      </x:c>
      <x:c r="D2398" s="7" t="str">
        <x:v>BLD-C</x:v>
      </x:c>
      <x:c r="E2398" s="7" t="str">
        <x:v>BL-Y</x:v>
      </x:c>
      <x:c r="F2398" s="7" t="str">
        <x:v>MF-15</x:v>
      </x:c>
      <x:c r="G2398" s="7" t="str">
        <x:v>source motive energy</x:v>
      </x:c>
      <x:c r="H2398" s="7" t="n">
        <x:v>4</x:v>
      </x:c>
      <x:c r="I2398" s="7" t="str"/>
      <x:c r="J2398" s="7" t="str"/>
      <x:c r="K2398" s="7" t="str"/>
      <x:c r="L2398" s="7" t="str"/>
      <x:c r="M2398" s="7" t="str"/>
      <x:c r="N2398" s="7" t="str"/>
      <x:c r="O2398" s="7" t="str">
        <x:f>IF(N2398="","OPEN",IF(OR(I2398="",J2398="",K2398="",L2398="",M2398=""),"FAIL","PASS"))</x:f>
        <x:v>OPEN</x:v>
      </x:c>
    </x:row>
    <x:row r="2399">
      <x:c r="B2399" s="7" t="str">
        <x:v>CH-PEA-C-Y2-15-5</x:v>
      </x:c>
      <x:c r="C2399" s="7" t="str">
        <x:v>PEA-C-Y2</x:v>
      </x:c>
      <x:c r="D2399" s="7" t="str">
        <x:v>BLD-C</x:v>
      </x:c>
      <x:c r="E2399" s="7" t="str">
        <x:v>BL-Y</x:v>
      </x:c>
      <x:c r="F2399" s="7" t="str">
        <x:v>MF-15</x:v>
      </x:c>
      <x:c r="G2399" s="7" t="str">
        <x:v>source motive energy</x:v>
      </x:c>
      <x:c r="H2399" s="7" t="n">
        <x:v>5</x:v>
      </x:c>
      <x:c r="I2399" s="7" t="str"/>
      <x:c r="J2399" s="7" t="str"/>
      <x:c r="K2399" s="7" t="str"/>
      <x:c r="L2399" s="7" t="str"/>
      <x:c r="M2399" s="7" t="str"/>
      <x:c r="N2399" s="7" t="str"/>
      <x:c r="O2399" s="7" t="str">
        <x:f>IF(N2399="","OPEN",IF(OR(I2399="",J2399="",K2399="",L2399="",M2399=""),"FAIL","PASS"))</x:f>
        <x:v>OPEN</x:v>
      </x:c>
    </x:row>
    <x:row r="2400">
      <x:c r="B2400" s="7" t="str">
        <x:v>CH-PEA-C-Y2-15-6</x:v>
      </x:c>
      <x:c r="C2400" s="7" t="str">
        <x:v>PEA-C-Y2</x:v>
      </x:c>
      <x:c r="D2400" s="7" t="str">
        <x:v>BLD-C</x:v>
      </x:c>
      <x:c r="E2400" s="7" t="str">
        <x:v>BL-Y</x:v>
      </x:c>
      <x:c r="F2400" s="7" t="str">
        <x:v>MF-15</x:v>
      </x:c>
      <x:c r="G2400" s="7" t="str">
        <x:v>source motive energy</x:v>
      </x:c>
      <x:c r="H2400" s="7" t="n">
        <x:v>6</x:v>
      </x:c>
      <x:c r="I2400" s="7" t="str"/>
      <x:c r="J2400" s="7" t="str"/>
      <x:c r="K2400" s="7" t="str"/>
      <x:c r="L2400" s="7" t="str"/>
      <x:c r="M2400" s="7" t="str"/>
      <x:c r="N2400" s="7" t="str"/>
      <x:c r="O2400" s="7" t="str">
        <x:f>IF(N2400="","OPEN",IF(OR(I2400="",J2400="",K2400="",L2400="",M2400=""),"FAIL","PASS"))</x:f>
        <x:v>OPEN</x:v>
      </x:c>
    </x:row>
    <x:row r="2401">
      <x:c r="B2401" s="7" t="str">
        <x:v>CH-PEA-C-Y2-16-1</x:v>
      </x:c>
      <x:c r="C2401" s="7" t="str">
        <x:v>PEA-C-Y2</x:v>
      </x:c>
      <x:c r="D2401" s="7" t="str">
        <x:v>BLD-C</x:v>
      </x:c>
      <x:c r="E2401" s="7" t="str">
        <x:v>BL-Y</x:v>
      </x:c>
      <x:c r="F2401" s="7" t="str">
        <x:v>MF-16</x:v>
      </x:c>
      <x:c r="G2401" s="7" t="str">
        <x:v>water motive energy</x:v>
      </x:c>
      <x:c r="H2401" s="7" t="n">
        <x:v>1</x:v>
      </x:c>
      <x:c r="I2401" s="7" t="str"/>
      <x:c r="J2401" s="7" t="str"/>
      <x:c r="K2401" s="7" t="str"/>
      <x:c r="L2401" s="7" t="str"/>
      <x:c r="M2401" s="7" t="str"/>
      <x:c r="N2401" s="7" t="str"/>
      <x:c r="O2401" s="7" t="str">
        <x:f>IF(N2401="","OPEN",IF(OR(I2401="",J2401="",K2401="",L2401="",M2401=""),"FAIL","PASS"))</x:f>
        <x:v>OPEN</x:v>
      </x:c>
    </x:row>
    <x:row r="2402">
      <x:c r="B2402" s="7" t="str">
        <x:v>CH-PEA-C-Y2-16-2</x:v>
      </x:c>
      <x:c r="C2402" s="7" t="str">
        <x:v>PEA-C-Y2</x:v>
      </x:c>
      <x:c r="D2402" s="7" t="str">
        <x:v>BLD-C</x:v>
      </x:c>
      <x:c r="E2402" s="7" t="str">
        <x:v>BL-Y</x:v>
      </x:c>
      <x:c r="F2402" s="7" t="str">
        <x:v>MF-16</x:v>
      </x:c>
      <x:c r="G2402" s="7" t="str">
        <x:v>water motive energy</x:v>
      </x:c>
      <x:c r="H2402" s="7" t="n">
        <x:v>2</x:v>
      </x:c>
      <x:c r="I2402" s="7" t="str"/>
      <x:c r="J2402" s="7" t="str"/>
      <x:c r="K2402" s="7" t="str"/>
      <x:c r="L2402" s="7" t="str"/>
      <x:c r="M2402" s="7" t="str"/>
      <x:c r="N2402" s="7" t="str"/>
      <x:c r="O2402" s="7" t="str">
        <x:f>IF(N2402="","OPEN",IF(OR(I2402="",J2402="",K2402="",L2402="",M2402=""),"FAIL","PASS"))</x:f>
        <x:v>OPEN</x:v>
      </x:c>
    </x:row>
    <x:row r="2403">
      <x:c r="B2403" s="7" t="str">
        <x:v>CH-PEA-C-Y2-16-3</x:v>
      </x:c>
      <x:c r="C2403" s="7" t="str">
        <x:v>PEA-C-Y2</x:v>
      </x:c>
      <x:c r="D2403" s="7" t="str">
        <x:v>BLD-C</x:v>
      </x:c>
      <x:c r="E2403" s="7" t="str">
        <x:v>BL-Y</x:v>
      </x:c>
      <x:c r="F2403" s="7" t="str">
        <x:v>MF-16</x:v>
      </x:c>
      <x:c r="G2403" s="7" t="str">
        <x:v>water motive energy</x:v>
      </x:c>
      <x:c r="H2403" s="7" t="n">
        <x:v>3</x:v>
      </x:c>
      <x:c r="I2403" s="7" t="str"/>
      <x:c r="J2403" s="7" t="str"/>
      <x:c r="K2403" s="7" t="str"/>
      <x:c r="L2403" s="7" t="str"/>
      <x:c r="M2403" s="7" t="str"/>
      <x:c r="N2403" s="7" t="str"/>
      <x:c r="O2403" s="7" t="str">
        <x:f>IF(N2403="","OPEN",IF(OR(I2403="",J2403="",K2403="",L2403="",M2403=""),"FAIL","PASS"))</x:f>
        <x:v>OPEN</x:v>
      </x:c>
    </x:row>
    <x:row r="2404">
      <x:c r="B2404" s="7" t="str">
        <x:v>CH-PEA-C-Y2-16-4</x:v>
      </x:c>
      <x:c r="C2404" s="7" t="str">
        <x:v>PEA-C-Y2</x:v>
      </x:c>
      <x:c r="D2404" s="7" t="str">
        <x:v>BLD-C</x:v>
      </x:c>
      <x:c r="E2404" s="7" t="str">
        <x:v>BL-Y</x:v>
      </x:c>
      <x:c r="F2404" s="7" t="str">
        <x:v>MF-16</x:v>
      </x:c>
      <x:c r="G2404" s="7" t="str">
        <x:v>water motive energy</x:v>
      </x:c>
      <x:c r="H2404" s="7" t="n">
        <x:v>4</x:v>
      </x:c>
      <x:c r="I2404" s="7" t="str"/>
      <x:c r="J2404" s="7" t="str"/>
      <x:c r="K2404" s="7" t="str"/>
      <x:c r="L2404" s="7" t="str"/>
      <x:c r="M2404" s="7" t="str"/>
      <x:c r="N2404" s="7" t="str"/>
      <x:c r="O2404" s="7" t="str">
        <x:f>IF(N2404="","OPEN",IF(OR(I2404="",J2404="",K2404="",L2404="",M2404=""),"FAIL","PASS"))</x:f>
        <x:v>OPEN</x:v>
      </x:c>
    </x:row>
    <x:row r="2405">
      <x:c r="B2405" s="7" t="str">
        <x:v>CH-PEA-C-Y2-16-5</x:v>
      </x:c>
      <x:c r="C2405" s="7" t="str">
        <x:v>PEA-C-Y2</x:v>
      </x:c>
      <x:c r="D2405" s="7" t="str">
        <x:v>BLD-C</x:v>
      </x:c>
      <x:c r="E2405" s="7" t="str">
        <x:v>BL-Y</x:v>
      </x:c>
      <x:c r="F2405" s="7" t="str">
        <x:v>MF-16</x:v>
      </x:c>
      <x:c r="G2405" s="7" t="str">
        <x:v>water motive energy</x:v>
      </x:c>
      <x:c r="H2405" s="7" t="n">
        <x:v>5</x:v>
      </x:c>
      <x:c r="I2405" s="7" t="str"/>
      <x:c r="J2405" s="7" t="str"/>
      <x:c r="K2405" s="7" t="str"/>
      <x:c r="L2405" s="7" t="str"/>
      <x:c r="M2405" s="7" t="str"/>
      <x:c r="N2405" s="7" t="str"/>
      <x:c r="O2405" s="7" t="str">
        <x:f>IF(N2405="","OPEN",IF(OR(I2405="",J2405="",K2405="",L2405="",M2405=""),"FAIL","PASS"))</x:f>
        <x:v>OPEN</x:v>
      </x:c>
    </x:row>
    <x:row r="2406">
      <x:c r="B2406" s="7" t="str">
        <x:v>CH-PEA-C-Y2-16-6</x:v>
      </x:c>
      <x:c r="C2406" s="7" t="str">
        <x:v>PEA-C-Y2</x:v>
      </x:c>
      <x:c r="D2406" s="7" t="str">
        <x:v>BLD-C</x:v>
      </x:c>
      <x:c r="E2406" s="7" t="str">
        <x:v>BL-Y</x:v>
      </x:c>
      <x:c r="F2406" s="7" t="str">
        <x:v>MF-16</x:v>
      </x:c>
      <x:c r="G2406" s="7" t="str">
        <x:v>water motive energy</x:v>
      </x:c>
      <x:c r="H2406" s="7" t="n">
        <x:v>6</x:v>
      </x:c>
      <x:c r="I2406" s="7" t="str"/>
      <x:c r="J2406" s="7" t="str"/>
      <x:c r="K2406" s="7" t="str"/>
      <x:c r="L2406" s="7" t="str"/>
      <x:c r="M2406" s="7" t="str"/>
      <x:c r="N2406" s="7" t="str"/>
      <x:c r="O2406" s="7" t="str">
        <x:f>IF(N2406="","OPEN",IF(OR(I2406="",J2406="",K2406="",L2406="",M2406=""),"FAIL","PASS"))</x:f>
        <x:v>OPEN</x:v>
      </x:c>
    </x:row>
    <x:row r="2407">
      <x:c r="B2407" s="7" t="str">
        <x:v>CH-PEA-C-Y2-17-1</x:v>
      </x:c>
      <x:c r="C2407" s="7" t="str">
        <x:v>PEA-C-Y2</x:v>
      </x:c>
      <x:c r="D2407" s="7" t="str">
        <x:v>BLD-C</x:v>
      </x:c>
      <x:c r="E2407" s="7" t="str">
        <x:v>BL-Y</x:v>
      </x:c>
      <x:c r="F2407" s="7" t="str">
        <x:v>MF-17</x:v>
      </x:c>
      <x:c r="G2407" s="7" t="str">
        <x:v>normal power</x:v>
      </x:c>
      <x:c r="H2407" s="7" t="n">
        <x:v>1</x:v>
      </x:c>
      <x:c r="I2407" s="7" t="str"/>
      <x:c r="J2407" s="7" t="str"/>
      <x:c r="K2407" s="7" t="str"/>
      <x:c r="L2407" s="7" t="str"/>
      <x:c r="M2407" s="7" t="str"/>
      <x:c r="N2407" s="7" t="str"/>
      <x:c r="O2407" s="7" t="str">
        <x:f>IF(N2407="","OPEN",IF(OR(I2407="",J2407="",K2407="",L2407="",M2407=""),"FAIL","PASS"))</x:f>
        <x:v>OPEN</x:v>
      </x:c>
    </x:row>
    <x:row r="2408">
      <x:c r="B2408" s="7" t="str">
        <x:v>CH-PEA-C-Y2-17-2</x:v>
      </x:c>
      <x:c r="C2408" s="7" t="str">
        <x:v>PEA-C-Y2</x:v>
      </x:c>
      <x:c r="D2408" s="7" t="str">
        <x:v>BLD-C</x:v>
      </x:c>
      <x:c r="E2408" s="7" t="str">
        <x:v>BL-Y</x:v>
      </x:c>
      <x:c r="F2408" s="7" t="str">
        <x:v>MF-17</x:v>
      </x:c>
      <x:c r="G2408" s="7" t="str">
        <x:v>normal power</x:v>
      </x:c>
      <x:c r="H2408" s="7" t="n">
        <x:v>2</x:v>
      </x:c>
      <x:c r="I2408" s="7" t="str"/>
      <x:c r="J2408" s="7" t="str"/>
      <x:c r="K2408" s="7" t="str"/>
      <x:c r="L2408" s="7" t="str"/>
      <x:c r="M2408" s="7" t="str"/>
      <x:c r="N2408" s="7" t="str"/>
      <x:c r="O2408" s="7" t="str">
        <x:f>IF(N2408="","OPEN",IF(OR(I2408="",J2408="",K2408="",L2408="",M2408=""),"FAIL","PASS"))</x:f>
        <x:v>OPEN</x:v>
      </x:c>
    </x:row>
    <x:row r="2409">
      <x:c r="B2409" s="7" t="str">
        <x:v>CH-PEA-C-Y2-17-3</x:v>
      </x:c>
      <x:c r="C2409" s="7" t="str">
        <x:v>PEA-C-Y2</x:v>
      </x:c>
      <x:c r="D2409" s="7" t="str">
        <x:v>BLD-C</x:v>
      </x:c>
      <x:c r="E2409" s="7" t="str">
        <x:v>BL-Y</x:v>
      </x:c>
      <x:c r="F2409" s="7" t="str">
        <x:v>MF-17</x:v>
      </x:c>
      <x:c r="G2409" s="7" t="str">
        <x:v>normal power</x:v>
      </x:c>
      <x:c r="H2409" s="7" t="n">
        <x:v>3</x:v>
      </x:c>
      <x:c r="I2409" s="7" t="str"/>
      <x:c r="J2409" s="7" t="str"/>
      <x:c r="K2409" s="7" t="str"/>
      <x:c r="L2409" s="7" t="str"/>
      <x:c r="M2409" s="7" t="str"/>
      <x:c r="N2409" s="7" t="str"/>
      <x:c r="O2409" s="7" t="str">
        <x:f>IF(N2409="","OPEN",IF(OR(I2409="",J2409="",K2409="",L2409="",M2409=""),"FAIL","PASS"))</x:f>
        <x:v>OPEN</x:v>
      </x:c>
    </x:row>
    <x:row r="2410">
      <x:c r="B2410" s="7" t="str">
        <x:v>CH-PEA-C-Y2-17-4</x:v>
      </x:c>
      <x:c r="C2410" s="7" t="str">
        <x:v>PEA-C-Y2</x:v>
      </x:c>
      <x:c r="D2410" s="7" t="str">
        <x:v>BLD-C</x:v>
      </x:c>
      <x:c r="E2410" s="7" t="str">
        <x:v>BL-Y</x:v>
      </x:c>
      <x:c r="F2410" s="7" t="str">
        <x:v>MF-17</x:v>
      </x:c>
      <x:c r="G2410" s="7" t="str">
        <x:v>normal power</x:v>
      </x:c>
      <x:c r="H2410" s="7" t="n">
        <x:v>4</x:v>
      </x:c>
      <x:c r="I2410" s="7" t="str"/>
      <x:c r="J2410" s="7" t="str"/>
      <x:c r="K2410" s="7" t="str"/>
      <x:c r="L2410" s="7" t="str"/>
      <x:c r="M2410" s="7" t="str"/>
      <x:c r="N2410" s="7" t="str"/>
      <x:c r="O2410" s="7" t="str">
        <x:f>IF(N2410="","OPEN",IF(OR(I2410="",J2410="",K2410="",L2410="",M2410=""),"FAIL","PASS"))</x:f>
        <x:v>OPEN</x:v>
      </x:c>
    </x:row>
    <x:row r="2411">
      <x:c r="B2411" s="7" t="str">
        <x:v>CH-PEA-C-Y2-17-5</x:v>
      </x:c>
      <x:c r="C2411" s="7" t="str">
        <x:v>PEA-C-Y2</x:v>
      </x:c>
      <x:c r="D2411" s="7" t="str">
        <x:v>BLD-C</x:v>
      </x:c>
      <x:c r="E2411" s="7" t="str">
        <x:v>BL-Y</x:v>
      </x:c>
      <x:c r="F2411" s="7" t="str">
        <x:v>MF-17</x:v>
      </x:c>
      <x:c r="G2411" s="7" t="str">
        <x:v>normal power</x:v>
      </x:c>
      <x:c r="H2411" s="7" t="n">
        <x:v>5</x:v>
      </x:c>
      <x:c r="I2411" s="7" t="str"/>
      <x:c r="J2411" s="7" t="str"/>
      <x:c r="K2411" s="7" t="str"/>
      <x:c r="L2411" s="7" t="str"/>
      <x:c r="M2411" s="7" t="str"/>
      <x:c r="N2411" s="7" t="str"/>
      <x:c r="O2411" s="7" t="str">
        <x:f>IF(N2411="","OPEN",IF(OR(I2411="",J2411="",K2411="",L2411="",M2411=""),"FAIL","PASS"))</x:f>
        <x:v>OPEN</x:v>
      </x:c>
    </x:row>
    <x:row r="2412">
      <x:c r="B2412" s="7" t="str">
        <x:v>CH-PEA-C-Y2-17-6</x:v>
      </x:c>
      <x:c r="C2412" s="7" t="str">
        <x:v>PEA-C-Y2</x:v>
      </x:c>
      <x:c r="D2412" s="7" t="str">
        <x:v>BLD-C</x:v>
      </x:c>
      <x:c r="E2412" s="7" t="str">
        <x:v>BL-Y</x:v>
      </x:c>
      <x:c r="F2412" s="7" t="str">
        <x:v>MF-17</x:v>
      </x:c>
      <x:c r="G2412" s="7" t="str">
        <x:v>normal power</x:v>
      </x:c>
      <x:c r="H2412" s="7" t="n">
        <x:v>6</x:v>
      </x:c>
      <x:c r="I2412" s="7" t="str"/>
      <x:c r="J2412" s="7" t="str"/>
      <x:c r="K2412" s="7" t="str"/>
      <x:c r="L2412" s="7" t="str"/>
      <x:c r="M2412" s="7" t="str"/>
      <x:c r="N2412" s="7" t="str"/>
      <x:c r="O2412" s="7" t="str">
        <x:f>IF(N2412="","OPEN",IF(OR(I2412="",J2412="",K2412="",L2412="",M2412=""),"FAIL","PASS"))</x:f>
        <x:v>OPEN</x:v>
      </x:c>
    </x:row>
    <x:row r="2413">
      <x:c r="B2413" s="7" t="str">
        <x:v>CH-PEA-C-Y2-18-1</x:v>
      </x:c>
      <x:c r="C2413" s="7" t="str">
        <x:v>PEA-C-Y2</x:v>
      </x:c>
      <x:c r="D2413" s="7" t="str">
        <x:v>BLD-C</x:v>
      </x:c>
      <x:c r="E2413" s="7" t="str">
        <x:v>BL-Y</x:v>
      </x:c>
      <x:c r="F2413" s="7" t="str">
        <x:v>MF-18</x:v>
      </x:c>
      <x:c r="G2413" s="7" t="str">
        <x:v>independent power</x:v>
      </x:c>
      <x:c r="H2413" s="7" t="n">
        <x:v>1</x:v>
      </x:c>
      <x:c r="I2413" s="7" t="str"/>
      <x:c r="J2413" s="7" t="str"/>
      <x:c r="K2413" s="7" t="str"/>
      <x:c r="L2413" s="7" t="str"/>
      <x:c r="M2413" s="7" t="str"/>
      <x:c r="N2413" s="7" t="str"/>
      <x:c r="O2413" s="7" t="str">
        <x:f>IF(N2413="","OPEN",IF(OR(I2413="",J2413="",K2413="",L2413="",M2413=""),"FAIL","PASS"))</x:f>
        <x:v>OPEN</x:v>
      </x:c>
    </x:row>
    <x:row r="2414">
      <x:c r="B2414" s="7" t="str">
        <x:v>CH-PEA-C-Y2-18-2</x:v>
      </x:c>
      <x:c r="C2414" s="7" t="str">
        <x:v>PEA-C-Y2</x:v>
      </x:c>
      <x:c r="D2414" s="7" t="str">
        <x:v>BLD-C</x:v>
      </x:c>
      <x:c r="E2414" s="7" t="str">
        <x:v>BL-Y</x:v>
      </x:c>
      <x:c r="F2414" s="7" t="str">
        <x:v>MF-18</x:v>
      </x:c>
      <x:c r="G2414" s="7" t="str">
        <x:v>independent power</x:v>
      </x:c>
      <x:c r="H2414" s="7" t="n">
        <x:v>2</x:v>
      </x:c>
      <x:c r="I2414" s="7" t="str"/>
      <x:c r="J2414" s="7" t="str"/>
      <x:c r="K2414" s="7" t="str"/>
      <x:c r="L2414" s="7" t="str"/>
      <x:c r="M2414" s="7" t="str"/>
      <x:c r="N2414" s="7" t="str"/>
      <x:c r="O2414" s="7" t="str">
        <x:f>IF(N2414="","OPEN",IF(OR(I2414="",J2414="",K2414="",L2414="",M2414=""),"FAIL","PASS"))</x:f>
        <x:v>OPEN</x:v>
      </x:c>
    </x:row>
    <x:row r="2415">
      <x:c r="B2415" s="7" t="str">
        <x:v>CH-PEA-C-Y2-18-3</x:v>
      </x:c>
      <x:c r="C2415" s="7" t="str">
        <x:v>PEA-C-Y2</x:v>
      </x:c>
      <x:c r="D2415" s="7" t="str">
        <x:v>BLD-C</x:v>
      </x:c>
      <x:c r="E2415" s="7" t="str">
        <x:v>BL-Y</x:v>
      </x:c>
      <x:c r="F2415" s="7" t="str">
        <x:v>MF-18</x:v>
      </x:c>
      <x:c r="G2415" s="7" t="str">
        <x:v>independent power</x:v>
      </x:c>
      <x:c r="H2415" s="7" t="n">
        <x:v>3</x:v>
      </x:c>
      <x:c r="I2415" s="7" t="str"/>
      <x:c r="J2415" s="7" t="str"/>
      <x:c r="K2415" s="7" t="str"/>
      <x:c r="L2415" s="7" t="str"/>
      <x:c r="M2415" s="7" t="str"/>
      <x:c r="N2415" s="7" t="str"/>
      <x:c r="O2415" s="7" t="str">
        <x:f>IF(N2415="","OPEN",IF(OR(I2415="",J2415="",K2415="",L2415="",M2415=""),"FAIL","PASS"))</x:f>
        <x:v>OPEN</x:v>
      </x:c>
    </x:row>
    <x:row r="2416">
      <x:c r="B2416" s="7" t="str">
        <x:v>CH-PEA-C-Y2-18-4</x:v>
      </x:c>
      <x:c r="C2416" s="7" t="str">
        <x:v>PEA-C-Y2</x:v>
      </x:c>
      <x:c r="D2416" s="7" t="str">
        <x:v>BLD-C</x:v>
      </x:c>
      <x:c r="E2416" s="7" t="str">
        <x:v>BL-Y</x:v>
      </x:c>
      <x:c r="F2416" s="7" t="str">
        <x:v>MF-18</x:v>
      </x:c>
      <x:c r="G2416" s="7" t="str">
        <x:v>independent power</x:v>
      </x:c>
      <x:c r="H2416" s="7" t="n">
        <x:v>4</x:v>
      </x:c>
      <x:c r="I2416" s="7" t="str"/>
      <x:c r="J2416" s="7" t="str"/>
      <x:c r="K2416" s="7" t="str"/>
      <x:c r="L2416" s="7" t="str"/>
      <x:c r="M2416" s="7" t="str"/>
      <x:c r="N2416" s="7" t="str"/>
      <x:c r="O2416" s="7" t="str">
        <x:f>IF(N2416="","OPEN",IF(OR(I2416="",J2416="",K2416="",L2416="",M2416=""),"FAIL","PASS"))</x:f>
        <x:v>OPEN</x:v>
      </x:c>
    </x:row>
    <x:row r="2417">
      <x:c r="B2417" s="7" t="str">
        <x:v>CH-PEA-C-Y2-18-5</x:v>
      </x:c>
      <x:c r="C2417" s="7" t="str">
        <x:v>PEA-C-Y2</x:v>
      </x:c>
      <x:c r="D2417" s="7" t="str">
        <x:v>BLD-C</x:v>
      </x:c>
      <x:c r="E2417" s="7" t="str">
        <x:v>BL-Y</x:v>
      </x:c>
      <x:c r="F2417" s="7" t="str">
        <x:v>MF-18</x:v>
      </x:c>
      <x:c r="G2417" s="7" t="str">
        <x:v>independent power</x:v>
      </x:c>
      <x:c r="H2417" s="7" t="n">
        <x:v>5</x:v>
      </x:c>
      <x:c r="I2417" s="7" t="str"/>
      <x:c r="J2417" s="7" t="str"/>
      <x:c r="K2417" s="7" t="str"/>
      <x:c r="L2417" s="7" t="str"/>
      <x:c r="M2417" s="7" t="str"/>
      <x:c r="N2417" s="7" t="str"/>
      <x:c r="O2417" s="7" t="str">
        <x:f>IF(N2417="","OPEN",IF(OR(I2417="",J2417="",K2417="",L2417="",M2417=""),"FAIL","PASS"))</x:f>
        <x:v>OPEN</x:v>
      </x:c>
    </x:row>
    <x:row r="2418">
      <x:c r="B2418" s="7" t="str">
        <x:v>CH-PEA-C-Y2-18-6</x:v>
      </x:c>
      <x:c r="C2418" s="7" t="str">
        <x:v>PEA-C-Y2</x:v>
      </x:c>
      <x:c r="D2418" s="7" t="str">
        <x:v>BLD-C</x:v>
      </x:c>
      <x:c r="E2418" s="7" t="str">
        <x:v>BL-Y</x:v>
      </x:c>
      <x:c r="F2418" s="7" t="str">
        <x:v>MF-18</x:v>
      </x:c>
      <x:c r="G2418" s="7" t="str">
        <x:v>independent power</x:v>
      </x:c>
      <x:c r="H2418" s="7" t="n">
        <x:v>6</x:v>
      </x:c>
      <x:c r="I2418" s="7" t="str"/>
      <x:c r="J2418" s="7" t="str"/>
      <x:c r="K2418" s="7" t="str"/>
      <x:c r="L2418" s="7" t="str"/>
      <x:c r="M2418" s="7" t="str"/>
      <x:c r="N2418" s="7" t="str"/>
      <x:c r="O2418" s="7" t="str">
        <x:f>IF(N2418="","OPEN",IF(OR(I2418="",J2418="",K2418="",L2418="",M2418=""),"FAIL","PASS"))</x:f>
        <x:v>OPEN</x:v>
      </x:c>
    </x:row>
    <x:row r="2419">
      <x:c r="B2419" s="7" t="str">
        <x:v>CH-PEA-C-Y2-19-1</x:v>
      </x:c>
      <x:c r="C2419" s="7" t="str">
        <x:v>PEA-C-Y2</x:v>
      </x:c>
      <x:c r="D2419" s="7" t="str">
        <x:v>BLD-C</x:v>
      </x:c>
      <x:c r="E2419" s="7" t="str">
        <x:v>BL-Y</x:v>
      </x:c>
      <x:c r="F2419" s="7" t="str">
        <x:v>MF-19</x:v>
      </x:c>
      <x:c r="G2419" s="7" t="str">
        <x:v>leak collection</x:v>
      </x:c>
      <x:c r="H2419" s="7" t="n">
        <x:v>1</x:v>
      </x:c>
      <x:c r="I2419" s="7" t="str"/>
      <x:c r="J2419" s="7" t="str"/>
      <x:c r="K2419" s="7" t="str"/>
      <x:c r="L2419" s="7" t="str"/>
      <x:c r="M2419" s="7" t="str"/>
      <x:c r="N2419" s="7" t="str"/>
      <x:c r="O2419" s="7" t="str">
        <x:f>IF(N2419="","OPEN",IF(OR(I2419="",J2419="",K2419="",L2419="",M2419=""),"FAIL","PASS"))</x:f>
        <x:v>OPEN</x:v>
      </x:c>
    </x:row>
    <x:row r="2420">
      <x:c r="B2420" s="7" t="str">
        <x:v>CH-PEA-C-Y2-19-2</x:v>
      </x:c>
      <x:c r="C2420" s="7" t="str">
        <x:v>PEA-C-Y2</x:v>
      </x:c>
      <x:c r="D2420" s="7" t="str">
        <x:v>BLD-C</x:v>
      </x:c>
      <x:c r="E2420" s="7" t="str">
        <x:v>BL-Y</x:v>
      </x:c>
      <x:c r="F2420" s="7" t="str">
        <x:v>MF-19</x:v>
      </x:c>
      <x:c r="G2420" s="7" t="str">
        <x:v>leak collection</x:v>
      </x:c>
      <x:c r="H2420" s="7" t="n">
        <x:v>2</x:v>
      </x:c>
      <x:c r="I2420" s="7" t="str"/>
      <x:c r="J2420" s="7" t="str"/>
      <x:c r="K2420" s="7" t="str"/>
      <x:c r="L2420" s="7" t="str"/>
      <x:c r="M2420" s="7" t="str"/>
      <x:c r="N2420" s="7" t="str"/>
      <x:c r="O2420" s="7" t="str">
        <x:f>IF(N2420="","OPEN",IF(OR(I2420="",J2420="",K2420="",L2420="",M2420=""),"FAIL","PASS"))</x:f>
        <x:v>OPEN</x:v>
      </x:c>
    </x:row>
    <x:row r="2421">
      <x:c r="B2421" s="7" t="str">
        <x:v>CH-PEA-C-Y2-19-3</x:v>
      </x:c>
      <x:c r="C2421" s="7" t="str">
        <x:v>PEA-C-Y2</x:v>
      </x:c>
      <x:c r="D2421" s="7" t="str">
        <x:v>BLD-C</x:v>
      </x:c>
      <x:c r="E2421" s="7" t="str">
        <x:v>BL-Y</x:v>
      </x:c>
      <x:c r="F2421" s="7" t="str">
        <x:v>MF-19</x:v>
      </x:c>
      <x:c r="G2421" s="7" t="str">
        <x:v>leak collection</x:v>
      </x:c>
      <x:c r="H2421" s="7" t="n">
        <x:v>3</x:v>
      </x:c>
      <x:c r="I2421" s="7" t="str"/>
      <x:c r="J2421" s="7" t="str"/>
      <x:c r="K2421" s="7" t="str"/>
      <x:c r="L2421" s="7" t="str"/>
      <x:c r="M2421" s="7" t="str"/>
      <x:c r="N2421" s="7" t="str"/>
      <x:c r="O2421" s="7" t="str">
        <x:f>IF(N2421="","OPEN",IF(OR(I2421="",J2421="",K2421="",L2421="",M2421=""),"FAIL","PASS"))</x:f>
        <x:v>OPEN</x:v>
      </x:c>
    </x:row>
    <x:row r="2422">
      <x:c r="B2422" s="7" t="str">
        <x:v>CH-PEA-C-Y2-19-4</x:v>
      </x:c>
      <x:c r="C2422" s="7" t="str">
        <x:v>PEA-C-Y2</x:v>
      </x:c>
      <x:c r="D2422" s="7" t="str">
        <x:v>BLD-C</x:v>
      </x:c>
      <x:c r="E2422" s="7" t="str">
        <x:v>BL-Y</x:v>
      </x:c>
      <x:c r="F2422" s="7" t="str">
        <x:v>MF-19</x:v>
      </x:c>
      <x:c r="G2422" s="7" t="str">
        <x:v>leak collection</x:v>
      </x:c>
      <x:c r="H2422" s="7" t="n">
        <x:v>4</x:v>
      </x:c>
      <x:c r="I2422" s="7" t="str"/>
      <x:c r="J2422" s="7" t="str"/>
      <x:c r="K2422" s="7" t="str"/>
      <x:c r="L2422" s="7" t="str"/>
      <x:c r="M2422" s="7" t="str"/>
      <x:c r="N2422" s="7" t="str"/>
      <x:c r="O2422" s="7" t="str">
        <x:f>IF(N2422="","OPEN",IF(OR(I2422="",J2422="",K2422="",L2422="",M2422=""),"FAIL","PASS"))</x:f>
        <x:v>OPEN</x:v>
      </x:c>
    </x:row>
    <x:row r="2423">
      <x:c r="B2423" s="7" t="str">
        <x:v>CH-PEA-C-Y2-19-5</x:v>
      </x:c>
      <x:c r="C2423" s="7" t="str">
        <x:v>PEA-C-Y2</x:v>
      </x:c>
      <x:c r="D2423" s="7" t="str">
        <x:v>BLD-C</x:v>
      </x:c>
      <x:c r="E2423" s="7" t="str">
        <x:v>BL-Y</x:v>
      </x:c>
      <x:c r="F2423" s="7" t="str">
        <x:v>MF-19</x:v>
      </x:c>
      <x:c r="G2423" s="7" t="str">
        <x:v>leak collection</x:v>
      </x:c>
      <x:c r="H2423" s="7" t="n">
        <x:v>5</x:v>
      </x:c>
      <x:c r="I2423" s="7" t="str"/>
      <x:c r="J2423" s="7" t="str"/>
      <x:c r="K2423" s="7" t="str"/>
      <x:c r="L2423" s="7" t="str"/>
      <x:c r="M2423" s="7" t="str"/>
      <x:c r="N2423" s="7" t="str"/>
      <x:c r="O2423" s="7" t="str">
        <x:f>IF(N2423="","OPEN",IF(OR(I2423="",J2423="",K2423="",L2423="",M2423=""),"FAIL","PASS"))</x:f>
        <x:v>OPEN</x:v>
      </x:c>
    </x:row>
    <x:row r="2424">
      <x:c r="B2424" s="7" t="str">
        <x:v>CH-PEA-C-Y2-19-6</x:v>
      </x:c>
      <x:c r="C2424" s="7" t="str">
        <x:v>PEA-C-Y2</x:v>
      </x:c>
      <x:c r="D2424" s="7" t="str">
        <x:v>BLD-C</x:v>
      </x:c>
      <x:c r="E2424" s="7" t="str">
        <x:v>BL-Y</x:v>
      </x:c>
      <x:c r="F2424" s="7" t="str">
        <x:v>MF-19</x:v>
      </x:c>
      <x:c r="G2424" s="7" t="str">
        <x:v>leak collection</x:v>
      </x:c>
      <x:c r="H2424" s="7" t="n">
        <x:v>6</x:v>
      </x:c>
      <x:c r="I2424" s="7" t="str"/>
      <x:c r="J2424" s="7" t="str"/>
      <x:c r="K2424" s="7" t="str"/>
      <x:c r="L2424" s="7" t="str"/>
      <x:c r="M2424" s="7" t="str"/>
      <x:c r="N2424" s="7" t="str"/>
      <x:c r="O2424" s="7" t="str">
        <x:f>IF(N2424="","OPEN",IF(OR(I2424="",J2424="",K2424="",L2424="",M2424=""),"FAIL","PASS"))</x:f>
        <x:v>OPEN</x:v>
      </x:c>
    </x:row>
    <x:row r="2425">
      <x:c r="B2425" s="7" t="str">
        <x:v>CH-PEA-C-Y2-20-1</x:v>
      </x:c>
      <x:c r="C2425" s="7" t="str">
        <x:v>PEA-C-Y2</x:v>
      </x:c>
      <x:c r="D2425" s="7" t="str">
        <x:v>BLD-C</x:v>
      </x:c>
      <x:c r="E2425" s="7" t="str">
        <x:v>BL-Y</x:v>
      </x:c>
      <x:c r="F2425" s="7" t="str">
        <x:v>MF-20</x:v>
      </x:c>
      <x:c r="G2425" s="7" t="str">
        <x:v>occupied-area state</x:v>
      </x:c>
      <x:c r="H2425" s="7" t="n">
        <x:v>1</x:v>
      </x:c>
      <x:c r="I2425" s="7" t="str"/>
      <x:c r="J2425" s="7" t="str"/>
      <x:c r="K2425" s="7" t="str"/>
      <x:c r="L2425" s="7" t="str"/>
      <x:c r="M2425" s="7" t="str"/>
      <x:c r="N2425" s="7" t="str"/>
      <x:c r="O2425" s="7" t="str">
        <x:f>IF(N2425="","OPEN",IF(OR(I2425="",J2425="",K2425="",L2425="",M2425=""),"FAIL","PASS"))</x:f>
        <x:v>OPEN</x:v>
      </x:c>
    </x:row>
    <x:row r="2426">
      <x:c r="B2426" s="7" t="str">
        <x:v>CH-PEA-C-Y2-20-2</x:v>
      </x:c>
      <x:c r="C2426" s="7" t="str">
        <x:v>PEA-C-Y2</x:v>
      </x:c>
      <x:c r="D2426" s="7" t="str">
        <x:v>BLD-C</x:v>
      </x:c>
      <x:c r="E2426" s="7" t="str">
        <x:v>BL-Y</x:v>
      </x:c>
      <x:c r="F2426" s="7" t="str">
        <x:v>MF-20</x:v>
      </x:c>
      <x:c r="G2426" s="7" t="str">
        <x:v>occupied-area state</x:v>
      </x:c>
      <x:c r="H2426" s="7" t="n">
        <x:v>2</x:v>
      </x:c>
      <x:c r="I2426" s="7" t="str"/>
      <x:c r="J2426" s="7" t="str"/>
      <x:c r="K2426" s="7" t="str"/>
      <x:c r="L2426" s="7" t="str"/>
      <x:c r="M2426" s="7" t="str"/>
      <x:c r="N2426" s="7" t="str"/>
      <x:c r="O2426" s="7" t="str">
        <x:f>IF(N2426="","OPEN",IF(OR(I2426="",J2426="",K2426="",L2426="",M2426=""),"FAIL","PASS"))</x:f>
        <x:v>OPEN</x:v>
      </x:c>
    </x:row>
    <x:row r="2427">
      <x:c r="B2427" s="7" t="str">
        <x:v>CH-PEA-C-Y2-20-3</x:v>
      </x:c>
      <x:c r="C2427" s="7" t="str">
        <x:v>PEA-C-Y2</x:v>
      </x:c>
      <x:c r="D2427" s="7" t="str">
        <x:v>BLD-C</x:v>
      </x:c>
      <x:c r="E2427" s="7" t="str">
        <x:v>BL-Y</x:v>
      </x:c>
      <x:c r="F2427" s="7" t="str">
        <x:v>MF-20</x:v>
      </x:c>
      <x:c r="G2427" s="7" t="str">
        <x:v>occupied-area state</x:v>
      </x:c>
      <x:c r="H2427" s="7" t="n">
        <x:v>3</x:v>
      </x:c>
      <x:c r="I2427" s="7" t="str"/>
      <x:c r="J2427" s="7" t="str"/>
      <x:c r="K2427" s="7" t="str"/>
      <x:c r="L2427" s="7" t="str"/>
      <x:c r="M2427" s="7" t="str"/>
      <x:c r="N2427" s="7" t="str"/>
      <x:c r="O2427" s="7" t="str">
        <x:f>IF(N2427="","OPEN",IF(OR(I2427="",J2427="",K2427="",L2427="",M2427=""),"FAIL","PASS"))</x:f>
        <x:v>OPEN</x:v>
      </x:c>
    </x:row>
    <x:row r="2428">
      <x:c r="B2428" s="7" t="str">
        <x:v>CH-PEA-C-Y2-20-4</x:v>
      </x:c>
      <x:c r="C2428" s="7" t="str">
        <x:v>PEA-C-Y2</x:v>
      </x:c>
      <x:c r="D2428" s="7" t="str">
        <x:v>BLD-C</x:v>
      </x:c>
      <x:c r="E2428" s="7" t="str">
        <x:v>BL-Y</x:v>
      </x:c>
      <x:c r="F2428" s="7" t="str">
        <x:v>MF-20</x:v>
      </x:c>
      <x:c r="G2428" s="7" t="str">
        <x:v>occupied-area state</x:v>
      </x:c>
      <x:c r="H2428" s="7" t="n">
        <x:v>4</x:v>
      </x:c>
      <x:c r="I2428" s="7" t="str"/>
      <x:c r="J2428" s="7" t="str"/>
      <x:c r="K2428" s="7" t="str"/>
      <x:c r="L2428" s="7" t="str"/>
      <x:c r="M2428" s="7" t="str"/>
      <x:c r="N2428" s="7" t="str"/>
      <x:c r="O2428" s="7" t="str">
        <x:f>IF(N2428="","OPEN",IF(OR(I2428="",J2428="",K2428="",L2428="",M2428=""),"FAIL","PASS"))</x:f>
        <x:v>OPEN</x:v>
      </x:c>
    </x:row>
    <x:row r="2429">
      <x:c r="B2429" s="7" t="str">
        <x:v>CH-PEA-C-Y2-20-5</x:v>
      </x:c>
      <x:c r="C2429" s="7" t="str">
        <x:v>PEA-C-Y2</x:v>
      </x:c>
      <x:c r="D2429" s="7" t="str">
        <x:v>BLD-C</x:v>
      </x:c>
      <x:c r="E2429" s="7" t="str">
        <x:v>BL-Y</x:v>
      </x:c>
      <x:c r="F2429" s="7" t="str">
        <x:v>MF-20</x:v>
      </x:c>
      <x:c r="G2429" s="7" t="str">
        <x:v>occupied-area state</x:v>
      </x:c>
      <x:c r="H2429" s="7" t="n">
        <x:v>5</x:v>
      </x:c>
      <x:c r="I2429" s="7" t="str"/>
      <x:c r="J2429" s="7" t="str"/>
      <x:c r="K2429" s="7" t="str"/>
      <x:c r="L2429" s="7" t="str"/>
      <x:c r="M2429" s="7" t="str"/>
      <x:c r="N2429" s="7" t="str"/>
      <x:c r="O2429" s="7" t="str">
        <x:f>IF(N2429="","OPEN",IF(OR(I2429="",J2429="",K2429="",L2429="",M2429=""),"FAIL","PASS"))</x:f>
        <x:v>OPEN</x:v>
      </x:c>
    </x:row>
    <x:row r="2430">
      <x:c r="B2430" s="7" t="str">
        <x:v>CH-PEA-C-Y2-20-6</x:v>
      </x:c>
      <x:c r="C2430" s="7" t="str">
        <x:v>PEA-C-Y2</x:v>
      </x:c>
      <x:c r="D2430" s="7" t="str">
        <x:v>BLD-C</x:v>
      </x:c>
      <x:c r="E2430" s="7" t="str">
        <x:v>BL-Y</x:v>
      </x:c>
      <x:c r="F2430" s="7" t="str">
        <x:v>MF-20</x:v>
      </x:c>
      <x:c r="G2430" s="7" t="str">
        <x:v>occupied-area state</x:v>
      </x:c>
      <x:c r="H2430" s="7" t="n">
        <x:v>6</x:v>
      </x:c>
      <x:c r="I2430" s="7" t="str"/>
      <x:c r="J2430" s="7" t="str"/>
      <x:c r="K2430" s="7" t="str"/>
      <x:c r="L2430" s="7" t="str"/>
      <x:c r="M2430" s="7" t="str"/>
      <x:c r="N2430" s="7" t="str"/>
      <x:c r="O2430" s="7" t="str">
        <x:f>IF(N2430="","OPEN",IF(OR(I2430="",J2430="",K2430="",L2430="",M2430=""),"FAIL","PASS"))</x:f>
        <x:v>OPEN</x:v>
      </x:c>
    </x:row>
    <x:row r="2431">
      <x:c r="B2431" s="7" t="str">
        <x:v>CH-PEA-C-Y2-21-1</x:v>
      </x:c>
      <x:c r="C2431" s="7" t="str">
        <x:v>PEA-C-Y2</x:v>
      </x:c>
      <x:c r="D2431" s="7" t="str">
        <x:v>BLD-C</x:v>
      </x:c>
      <x:c r="E2431" s="7" t="str">
        <x:v>BL-Y</x:v>
      </x:c>
      <x:c r="F2431" s="7" t="str">
        <x:v>MF-21</x:v>
      </x:c>
      <x:c r="G2431" s="7" t="str">
        <x:v>public-water flow</x:v>
      </x:c>
      <x:c r="H2431" s="7" t="n">
        <x:v>1</x:v>
      </x:c>
      <x:c r="I2431" s="7" t="str"/>
      <x:c r="J2431" s="7" t="str"/>
      <x:c r="K2431" s="7" t="str"/>
      <x:c r="L2431" s="7" t="str"/>
      <x:c r="M2431" s="7" t="str"/>
      <x:c r="N2431" s="7" t="str"/>
      <x:c r="O2431" s="7" t="str">
        <x:f>IF(N2431="","OPEN",IF(OR(I2431="",J2431="",K2431="",L2431="",M2431=""),"FAIL","PASS"))</x:f>
        <x:v>OPEN</x:v>
      </x:c>
    </x:row>
    <x:row r="2432">
      <x:c r="B2432" s="7" t="str">
        <x:v>CH-PEA-C-Y2-21-2</x:v>
      </x:c>
      <x:c r="C2432" s="7" t="str">
        <x:v>PEA-C-Y2</x:v>
      </x:c>
      <x:c r="D2432" s="7" t="str">
        <x:v>BLD-C</x:v>
      </x:c>
      <x:c r="E2432" s="7" t="str">
        <x:v>BL-Y</x:v>
      </x:c>
      <x:c r="F2432" s="7" t="str">
        <x:v>MF-21</x:v>
      </x:c>
      <x:c r="G2432" s="7" t="str">
        <x:v>public-water flow</x:v>
      </x:c>
      <x:c r="H2432" s="7" t="n">
        <x:v>2</x:v>
      </x:c>
      <x:c r="I2432" s="7" t="str"/>
      <x:c r="J2432" s="7" t="str"/>
      <x:c r="K2432" s="7" t="str"/>
      <x:c r="L2432" s="7" t="str"/>
      <x:c r="M2432" s="7" t="str"/>
      <x:c r="N2432" s="7" t="str"/>
      <x:c r="O2432" s="7" t="str">
        <x:f>IF(N2432="","OPEN",IF(OR(I2432="",J2432="",K2432="",L2432="",M2432=""),"FAIL","PASS"))</x:f>
        <x:v>OPEN</x:v>
      </x:c>
    </x:row>
    <x:row r="2433">
      <x:c r="B2433" s="7" t="str">
        <x:v>CH-PEA-C-Y2-21-3</x:v>
      </x:c>
      <x:c r="C2433" s="7" t="str">
        <x:v>PEA-C-Y2</x:v>
      </x:c>
      <x:c r="D2433" s="7" t="str">
        <x:v>BLD-C</x:v>
      </x:c>
      <x:c r="E2433" s="7" t="str">
        <x:v>BL-Y</x:v>
      </x:c>
      <x:c r="F2433" s="7" t="str">
        <x:v>MF-21</x:v>
      </x:c>
      <x:c r="G2433" s="7" t="str">
        <x:v>public-water flow</x:v>
      </x:c>
      <x:c r="H2433" s="7" t="n">
        <x:v>3</x:v>
      </x:c>
      <x:c r="I2433" s="7" t="str"/>
      <x:c r="J2433" s="7" t="str"/>
      <x:c r="K2433" s="7" t="str"/>
      <x:c r="L2433" s="7" t="str"/>
      <x:c r="M2433" s="7" t="str"/>
      <x:c r="N2433" s="7" t="str"/>
      <x:c r="O2433" s="7" t="str">
        <x:f>IF(N2433="","OPEN",IF(OR(I2433="",J2433="",K2433="",L2433="",M2433=""),"FAIL","PASS"))</x:f>
        <x:v>OPEN</x:v>
      </x:c>
    </x:row>
    <x:row r="2434">
      <x:c r="B2434" s="7" t="str">
        <x:v>CH-PEA-C-Y2-21-4</x:v>
      </x:c>
      <x:c r="C2434" s="7" t="str">
        <x:v>PEA-C-Y2</x:v>
      </x:c>
      <x:c r="D2434" s="7" t="str">
        <x:v>BLD-C</x:v>
      </x:c>
      <x:c r="E2434" s="7" t="str">
        <x:v>BL-Y</x:v>
      </x:c>
      <x:c r="F2434" s="7" t="str">
        <x:v>MF-21</x:v>
      </x:c>
      <x:c r="G2434" s="7" t="str">
        <x:v>public-water flow</x:v>
      </x:c>
      <x:c r="H2434" s="7" t="n">
        <x:v>4</x:v>
      </x:c>
      <x:c r="I2434" s="7" t="str"/>
      <x:c r="J2434" s="7" t="str"/>
      <x:c r="K2434" s="7" t="str"/>
      <x:c r="L2434" s="7" t="str"/>
      <x:c r="M2434" s="7" t="str"/>
      <x:c r="N2434" s="7" t="str"/>
      <x:c r="O2434" s="7" t="str">
        <x:f>IF(N2434="","OPEN",IF(OR(I2434="",J2434="",K2434="",L2434="",M2434=""),"FAIL","PASS"))</x:f>
        <x:v>OPEN</x:v>
      </x:c>
    </x:row>
    <x:row r="2435">
      <x:c r="B2435" s="7" t="str">
        <x:v>CH-PEA-C-Y2-21-5</x:v>
      </x:c>
      <x:c r="C2435" s="7" t="str">
        <x:v>PEA-C-Y2</x:v>
      </x:c>
      <x:c r="D2435" s="7" t="str">
        <x:v>BLD-C</x:v>
      </x:c>
      <x:c r="E2435" s="7" t="str">
        <x:v>BL-Y</x:v>
      </x:c>
      <x:c r="F2435" s="7" t="str">
        <x:v>MF-21</x:v>
      </x:c>
      <x:c r="G2435" s="7" t="str">
        <x:v>public-water flow</x:v>
      </x:c>
      <x:c r="H2435" s="7" t="n">
        <x:v>5</x:v>
      </x:c>
      <x:c r="I2435" s="7" t="str"/>
      <x:c r="J2435" s="7" t="str"/>
      <x:c r="K2435" s="7" t="str"/>
      <x:c r="L2435" s="7" t="str"/>
      <x:c r="M2435" s="7" t="str"/>
      <x:c r="N2435" s="7" t="str"/>
      <x:c r="O2435" s="7" t="str">
        <x:f>IF(N2435="","OPEN",IF(OR(I2435="",J2435="",K2435="",L2435="",M2435=""),"FAIL","PASS"))</x:f>
        <x:v>OPEN</x:v>
      </x:c>
    </x:row>
    <x:row r="2436">
      <x:c r="B2436" s="7" t="str">
        <x:v>CH-PEA-C-Y2-21-6</x:v>
      </x:c>
      <x:c r="C2436" s="7" t="str">
        <x:v>PEA-C-Y2</x:v>
      </x:c>
      <x:c r="D2436" s="7" t="str">
        <x:v>BLD-C</x:v>
      </x:c>
      <x:c r="E2436" s="7" t="str">
        <x:v>BL-Y</x:v>
      </x:c>
      <x:c r="F2436" s="7" t="str">
        <x:v>MF-21</x:v>
      </x:c>
      <x:c r="G2436" s="7" t="str">
        <x:v>public-water flow</x:v>
      </x:c>
      <x:c r="H2436" s="7" t="n">
        <x:v>6</x:v>
      </x:c>
      <x:c r="I2436" s="7" t="str"/>
      <x:c r="J2436" s="7" t="str"/>
      <x:c r="K2436" s="7" t="str"/>
      <x:c r="L2436" s="7" t="str"/>
      <x:c r="M2436" s="7" t="str"/>
      <x:c r="N2436" s="7" t="str"/>
      <x:c r="O2436" s="7" t="str">
        <x:f>IF(N2436="","OPEN",IF(OR(I2436="",J2436="",K2436="",L2436="",M2436=""),"FAIL","PASS"))</x:f>
        <x:v>OPEN</x:v>
      </x:c>
    </x:row>
    <x:row r="2437">
      <x:c r="B2437" s="7" t="str">
        <x:v>CH-PEA-C-Y2-22-1</x:v>
      </x:c>
      <x:c r="C2437" s="7" t="str">
        <x:v>PEA-C-Y2</x:v>
      </x:c>
      <x:c r="D2437" s="7" t="str">
        <x:v>BLD-C</x:v>
      </x:c>
      <x:c r="E2437" s="7" t="str">
        <x:v>BL-Y</x:v>
      </x:c>
      <x:c r="F2437" s="7" t="str">
        <x:v>MF-22</x:v>
      </x:c>
      <x:c r="G2437" s="7" t="str">
        <x:v>source ancestry</x:v>
      </x:c>
      <x:c r="H2437" s="7" t="n">
        <x:v>1</x:v>
      </x:c>
      <x:c r="I2437" s="7" t="str"/>
      <x:c r="J2437" s="7" t="str"/>
      <x:c r="K2437" s="7" t="str"/>
      <x:c r="L2437" s="7" t="str"/>
      <x:c r="M2437" s="7" t="str"/>
      <x:c r="N2437" s="7" t="str"/>
      <x:c r="O2437" s="7" t="str">
        <x:f>IF(N2437="","OPEN",IF(OR(I2437="",J2437="",K2437="",L2437="",M2437=""),"FAIL","PASS"))</x:f>
        <x:v>OPEN</x:v>
      </x:c>
    </x:row>
    <x:row r="2438">
      <x:c r="B2438" s="7" t="str">
        <x:v>CH-PEA-C-Y2-22-2</x:v>
      </x:c>
      <x:c r="C2438" s="7" t="str">
        <x:v>PEA-C-Y2</x:v>
      </x:c>
      <x:c r="D2438" s="7" t="str">
        <x:v>BLD-C</x:v>
      </x:c>
      <x:c r="E2438" s="7" t="str">
        <x:v>BL-Y</x:v>
      </x:c>
      <x:c r="F2438" s="7" t="str">
        <x:v>MF-22</x:v>
      </x:c>
      <x:c r="G2438" s="7" t="str">
        <x:v>source ancestry</x:v>
      </x:c>
      <x:c r="H2438" s="7" t="n">
        <x:v>2</x:v>
      </x:c>
      <x:c r="I2438" s="7" t="str"/>
      <x:c r="J2438" s="7" t="str"/>
      <x:c r="K2438" s="7" t="str"/>
      <x:c r="L2438" s="7" t="str"/>
      <x:c r="M2438" s="7" t="str"/>
      <x:c r="N2438" s="7" t="str"/>
      <x:c r="O2438" s="7" t="str">
        <x:f>IF(N2438="","OPEN",IF(OR(I2438="",J2438="",K2438="",L2438="",M2438=""),"FAIL","PASS"))</x:f>
        <x:v>OPEN</x:v>
      </x:c>
    </x:row>
    <x:row r="2439">
      <x:c r="B2439" s="7" t="str">
        <x:v>CH-PEA-C-Y2-22-3</x:v>
      </x:c>
      <x:c r="C2439" s="7" t="str">
        <x:v>PEA-C-Y2</x:v>
      </x:c>
      <x:c r="D2439" s="7" t="str">
        <x:v>BLD-C</x:v>
      </x:c>
      <x:c r="E2439" s="7" t="str">
        <x:v>BL-Y</x:v>
      </x:c>
      <x:c r="F2439" s="7" t="str">
        <x:v>MF-22</x:v>
      </x:c>
      <x:c r="G2439" s="7" t="str">
        <x:v>source ancestry</x:v>
      </x:c>
      <x:c r="H2439" s="7" t="n">
        <x:v>3</x:v>
      </x:c>
      <x:c r="I2439" s="7" t="str"/>
      <x:c r="J2439" s="7" t="str"/>
      <x:c r="K2439" s="7" t="str"/>
      <x:c r="L2439" s="7" t="str"/>
      <x:c r="M2439" s="7" t="str"/>
      <x:c r="N2439" s="7" t="str"/>
      <x:c r="O2439" s="7" t="str">
        <x:f>IF(N2439="","OPEN",IF(OR(I2439="",J2439="",K2439="",L2439="",M2439=""),"FAIL","PASS"))</x:f>
        <x:v>OPEN</x:v>
      </x:c>
    </x:row>
    <x:row r="2440">
      <x:c r="B2440" s="7" t="str">
        <x:v>CH-PEA-C-Y2-22-4</x:v>
      </x:c>
      <x:c r="C2440" s="7" t="str">
        <x:v>PEA-C-Y2</x:v>
      </x:c>
      <x:c r="D2440" s="7" t="str">
        <x:v>BLD-C</x:v>
      </x:c>
      <x:c r="E2440" s="7" t="str">
        <x:v>BL-Y</x:v>
      </x:c>
      <x:c r="F2440" s="7" t="str">
        <x:v>MF-22</x:v>
      </x:c>
      <x:c r="G2440" s="7" t="str">
        <x:v>source ancestry</x:v>
      </x:c>
      <x:c r="H2440" s="7" t="n">
        <x:v>4</x:v>
      </x:c>
      <x:c r="I2440" s="7" t="str"/>
      <x:c r="J2440" s="7" t="str"/>
      <x:c r="K2440" s="7" t="str"/>
      <x:c r="L2440" s="7" t="str"/>
      <x:c r="M2440" s="7" t="str"/>
      <x:c r="N2440" s="7" t="str"/>
      <x:c r="O2440" s="7" t="str">
        <x:f>IF(N2440="","OPEN",IF(OR(I2440="",J2440="",K2440="",L2440="",M2440=""),"FAIL","PASS"))</x:f>
        <x:v>OPEN</x:v>
      </x:c>
    </x:row>
    <x:row r="2441">
      <x:c r="B2441" s="7" t="str">
        <x:v>CH-PEA-C-Y2-22-5</x:v>
      </x:c>
      <x:c r="C2441" s="7" t="str">
        <x:v>PEA-C-Y2</x:v>
      </x:c>
      <x:c r="D2441" s="7" t="str">
        <x:v>BLD-C</x:v>
      </x:c>
      <x:c r="E2441" s="7" t="str">
        <x:v>BL-Y</x:v>
      </x:c>
      <x:c r="F2441" s="7" t="str">
        <x:v>MF-22</x:v>
      </x:c>
      <x:c r="G2441" s="7" t="str">
        <x:v>source ancestry</x:v>
      </x:c>
      <x:c r="H2441" s="7" t="n">
        <x:v>5</x:v>
      </x:c>
      <x:c r="I2441" s="7" t="str"/>
      <x:c r="J2441" s="7" t="str"/>
      <x:c r="K2441" s="7" t="str"/>
      <x:c r="L2441" s="7" t="str"/>
      <x:c r="M2441" s="7" t="str"/>
      <x:c r="N2441" s="7" t="str"/>
      <x:c r="O2441" s="7" t="str">
        <x:f>IF(N2441="","OPEN",IF(OR(I2441="",J2441="",K2441="",L2441="",M2441=""),"FAIL","PASS"))</x:f>
        <x:v>OPEN</x:v>
      </x:c>
    </x:row>
    <x:row r="2442">
      <x:c r="B2442" s="7" t="str">
        <x:v>CH-PEA-C-Y2-22-6</x:v>
      </x:c>
      <x:c r="C2442" s="7" t="str">
        <x:v>PEA-C-Y2</x:v>
      </x:c>
      <x:c r="D2442" s="7" t="str">
        <x:v>BLD-C</x:v>
      </x:c>
      <x:c r="E2442" s="7" t="str">
        <x:v>BL-Y</x:v>
      </x:c>
      <x:c r="F2442" s="7" t="str">
        <x:v>MF-22</x:v>
      </x:c>
      <x:c r="G2442" s="7" t="str">
        <x:v>source ancestry</x:v>
      </x:c>
      <x:c r="H2442" s="7" t="n">
        <x:v>6</x:v>
      </x:c>
      <x:c r="I2442" s="7" t="str"/>
      <x:c r="J2442" s="7" t="str"/>
      <x:c r="K2442" s="7" t="str"/>
      <x:c r="L2442" s="7" t="str"/>
      <x:c r="M2442" s="7" t="str"/>
      <x:c r="N2442" s="7" t="str"/>
      <x:c r="O2442" s="7" t="str">
        <x:f>IF(N2442="","OPEN",IF(OR(I2442="",J2442="",K2442="",L2442="",M2442=""),"FAIL","PASS"))</x:f>
        <x:v>OPEN</x:v>
      </x:c>
    </x:row>
    <x:row r="2443">
      <x:c r="B2443" s="7" t="str">
        <x:v>CH-PEA-C-Y2-23-1</x:v>
      </x:c>
      <x:c r="C2443" s="7" t="str">
        <x:v>PEA-C-Y2</x:v>
      </x:c>
      <x:c r="D2443" s="7" t="str">
        <x:v>BLD-C</x:v>
      </x:c>
      <x:c r="E2443" s="7" t="str">
        <x:v>BL-Y</x:v>
      </x:c>
      <x:c r="F2443" s="7" t="str">
        <x:v>MF-23</x:v>
      </x:c>
      <x:c r="G2443" s="7" t="str">
        <x:v>water ancestry</x:v>
      </x:c>
      <x:c r="H2443" s="7" t="n">
        <x:v>1</x:v>
      </x:c>
      <x:c r="I2443" s="7" t="str"/>
      <x:c r="J2443" s="7" t="str"/>
      <x:c r="K2443" s="7" t="str"/>
      <x:c r="L2443" s="7" t="str"/>
      <x:c r="M2443" s="7" t="str"/>
      <x:c r="N2443" s="7" t="str"/>
      <x:c r="O2443" s="7" t="str">
        <x:f>IF(N2443="","OPEN",IF(OR(I2443="",J2443="",K2443="",L2443="",M2443=""),"FAIL","PASS"))</x:f>
        <x:v>OPEN</x:v>
      </x:c>
    </x:row>
    <x:row r="2444">
      <x:c r="B2444" s="7" t="str">
        <x:v>CH-PEA-C-Y2-23-2</x:v>
      </x:c>
      <x:c r="C2444" s="7" t="str">
        <x:v>PEA-C-Y2</x:v>
      </x:c>
      <x:c r="D2444" s="7" t="str">
        <x:v>BLD-C</x:v>
      </x:c>
      <x:c r="E2444" s="7" t="str">
        <x:v>BL-Y</x:v>
      </x:c>
      <x:c r="F2444" s="7" t="str">
        <x:v>MF-23</x:v>
      </x:c>
      <x:c r="G2444" s="7" t="str">
        <x:v>water ancestry</x:v>
      </x:c>
      <x:c r="H2444" s="7" t="n">
        <x:v>2</x:v>
      </x:c>
      <x:c r="I2444" s="7" t="str"/>
      <x:c r="J2444" s="7" t="str"/>
      <x:c r="K2444" s="7" t="str"/>
      <x:c r="L2444" s="7" t="str"/>
      <x:c r="M2444" s="7" t="str"/>
      <x:c r="N2444" s="7" t="str"/>
      <x:c r="O2444" s="7" t="str">
        <x:f>IF(N2444="","OPEN",IF(OR(I2444="",J2444="",K2444="",L2444="",M2444=""),"FAIL","PASS"))</x:f>
        <x:v>OPEN</x:v>
      </x:c>
    </x:row>
    <x:row r="2445">
      <x:c r="B2445" s="7" t="str">
        <x:v>CH-PEA-C-Y2-23-3</x:v>
      </x:c>
      <x:c r="C2445" s="7" t="str">
        <x:v>PEA-C-Y2</x:v>
      </x:c>
      <x:c r="D2445" s="7" t="str">
        <x:v>BLD-C</x:v>
      </x:c>
      <x:c r="E2445" s="7" t="str">
        <x:v>BL-Y</x:v>
      </x:c>
      <x:c r="F2445" s="7" t="str">
        <x:v>MF-23</x:v>
      </x:c>
      <x:c r="G2445" s="7" t="str">
        <x:v>water ancestry</x:v>
      </x:c>
      <x:c r="H2445" s="7" t="n">
        <x:v>3</x:v>
      </x:c>
      <x:c r="I2445" s="7" t="str"/>
      <x:c r="J2445" s="7" t="str"/>
      <x:c r="K2445" s="7" t="str"/>
      <x:c r="L2445" s="7" t="str"/>
      <x:c r="M2445" s="7" t="str"/>
      <x:c r="N2445" s="7" t="str"/>
      <x:c r="O2445" s="7" t="str">
        <x:f>IF(N2445="","OPEN",IF(OR(I2445="",J2445="",K2445="",L2445="",M2445=""),"FAIL","PASS"))</x:f>
        <x:v>OPEN</x:v>
      </x:c>
    </x:row>
    <x:row r="2446">
      <x:c r="B2446" s="7" t="str">
        <x:v>CH-PEA-C-Y2-23-4</x:v>
      </x:c>
      <x:c r="C2446" s="7" t="str">
        <x:v>PEA-C-Y2</x:v>
      </x:c>
      <x:c r="D2446" s="7" t="str">
        <x:v>BLD-C</x:v>
      </x:c>
      <x:c r="E2446" s="7" t="str">
        <x:v>BL-Y</x:v>
      </x:c>
      <x:c r="F2446" s="7" t="str">
        <x:v>MF-23</x:v>
      </x:c>
      <x:c r="G2446" s="7" t="str">
        <x:v>water ancestry</x:v>
      </x:c>
      <x:c r="H2446" s="7" t="n">
        <x:v>4</x:v>
      </x:c>
      <x:c r="I2446" s="7" t="str"/>
      <x:c r="J2446" s="7" t="str"/>
      <x:c r="K2446" s="7" t="str"/>
      <x:c r="L2446" s="7" t="str"/>
      <x:c r="M2446" s="7" t="str"/>
      <x:c r="N2446" s="7" t="str"/>
      <x:c r="O2446" s="7" t="str">
        <x:f>IF(N2446="","OPEN",IF(OR(I2446="",J2446="",K2446="",L2446="",M2446=""),"FAIL","PASS"))</x:f>
        <x:v>OPEN</x:v>
      </x:c>
    </x:row>
    <x:row r="2447">
      <x:c r="B2447" s="7" t="str">
        <x:v>CH-PEA-C-Y2-23-5</x:v>
      </x:c>
      <x:c r="C2447" s="7" t="str">
        <x:v>PEA-C-Y2</x:v>
      </x:c>
      <x:c r="D2447" s="7" t="str">
        <x:v>BLD-C</x:v>
      </x:c>
      <x:c r="E2447" s="7" t="str">
        <x:v>BL-Y</x:v>
      </x:c>
      <x:c r="F2447" s="7" t="str">
        <x:v>MF-23</x:v>
      </x:c>
      <x:c r="G2447" s="7" t="str">
        <x:v>water ancestry</x:v>
      </x:c>
      <x:c r="H2447" s="7" t="n">
        <x:v>5</x:v>
      </x:c>
      <x:c r="I2447" s="7" t="str"/>
      <x:c r="J2447" s="7" t="str"/>
      <x:c r="K2447" s="7" t="str"/>
      <x:c r="L2447" s="7" t="str"/>
      <x:c r="M2447" s="7" t="str"/>
      <x:c r="N2447" s="7" t="str"/>
      <x:c r="O2447" s="7" t="str">
        <x:f>IF(N2447="","OPEN",IF(OR(I2447="",J2447="",K2447="",L2447="",M2447=""),"FAIL","PASS"))</x:f>
        <x:v>OPEN</x:v>
      </x:c>
    </x:row>
    <x:row r="2448">
      <x:c r="B2448" s="7" t="str">
        <x:v>CH-PEA-C-Y2-23-6</x:v>
      </x:c>
      <x:c r="C2448" s="7" t="str">
        <x:v>PEA-C-Y2</x:v>
      </x:c>
      <x:c r="D2448" s="7" t="str">
        <x:v>BLD-C</x:v>
      </x:c>
      <x:c r="E2448" s="7" t="str">
        <x:v>BL-Y</x:v>
      </x:c>
      <x:c r="F2448" s="7" t="str">
        <x:v>MF-23</x:v>
      </x:c>
      <x:c r="G2448" s="7" t="str">
        <x:v>water ancestry</x:v>
      </x:c>
      <x:c r="H2448" s="7" t="n">
        <x:v>6</x:v>
      </x:c>
      <x:c r="I2448" s="7" t="str"/>
      <x:c r="J2448" s="7" t="str"/>
      <x:c r="K2448" s="7" t="str"/>
      <x:c r="L2448" s="7" t="str"/>
      <x:c r="M2448" s="7" t="str"/>
      <x:c r="N2448" s="7" t="str"/>
      <x:c r="O2448" s="7" t="str">
        <x:f>IF(N2448="","OPEN",IF(OR(I2448="",J2448="",K2448="",L2448="",M2448=""),"FAIL","PASS"))</x:f>
        <x:v>OPEN</x:v>
      </x:c>
    </x:row>
    <x:row r="2449">
      <x:c r="B2449" s="7" t="str">
        <x:v>CH-PEA-C-Y2-24-1</x:v>
      </x:c>
      <x:c r="C2449" s="7" t="str">
        <x:v>PEA-C-Y2</x:v>
      </x:c>
      <x:c r="D2449" s="7" t="str">
        <x:v>BLD-C</x:v>
      </x:c>
      <x:c r="E2449" s="7" t="str">
        <x:v>BL-Y</x:v>
      </x:c>
      <x:c r="F2449" s="7" t="str">
        <x:v>MF-24</x:v>
      </x:c>
      <x:c r="G2449" s="7" t="str">
        <x:v>evidence health</x:v>
      </x:c>
      <x:c r="H2449" s="7" t="n">
        <x:v>1</x:v>
      </x:c>
      <x:c r="I2449" s="7" t="str"/>
      <x:c r="J2449" s="7" t="str"/>
      <x:c r="K2449" s="7" t="str"/>
      <x:c r="L2449" s="7" t="str"/>
      <x:c r="M2449" s="7" t="str"/>
      <x:c r="N2449" s="7" t="str"/>
      <x:c r="O2449" s="7" t="str">
        <x:f>IF(N2449="","OPEN",IF(OR(I2449="",J2449="",K2449="",L2449="",M2449=""),"FAIL","PASS"))</x:f>
        <x:v>OPEN</x:v>
      </x:c>
    </x:row>
    <x:row r="2450">
      <x:c r="B2450" s="7" t="str">
        <x:v>CH-PEA-C-Y2-24-2</x:v>
      </x:c>
      <x:c r="C2450" s="7" t="str">
        <x:v>PEA-C-Y2</x:v>
      </x:c>
      <x:c r="D2450" s="7" t="str">
        <x:v>BLD-C</x:v>
      </x:c>
      <x:c r="E2450" s="7" t="str">
        <x:v>BL-Y</x:v>
      </x:c>
      <x:c r="F2450" s="7" t="str">
        <x:v>MF-24</x:v>
      </x:c>
      <x:c r="G2450" s="7" t="str">
        <x:v>evidence health</x:v>
      </x:c>
      <x:c r="H2450" s="7" t="n">
        <x:v>2</x:v>
      </x:c>
      <x:c r="I2450" s="7" t="str"/>
      <x:c r="J2450" s="7" t="str"/>
      <x:c r="K2450" s="7" t="str"/>
      <x:c r="L2450" s="7" t="str"/>
      <x:c r="M2450" s="7" t="str"/>
      <x:c r="N2450" s="7" t="str"/>
      <x:c r="O2450" s="7" t="str">
        <x:f>IF(N2450="","OPEN",IF(OR(I2450="",J2450="",K2450="",L2450="",M2450=""),"FAIL","PASS"))</x:f>
        <x:v>OPEN</x:v>
      </x:c>
    </x:row>
    <x:row r="2451">
      <x:c r="B2451" s="7" t="str">
        <x:v>CH-PEA-C-Y2-24-3</x:v>
      </x:c>
      <x:c r="C2451" s="7" t="str">
        <x:v>PEA-C-Y2</x:v>
      </x:c>
      <x:c r="D2451" s="7" t="str">
        <x:v>BLD-C</x:v>
      </x:c>
      <x:c r="E2451" s="7" t="str">
        <x:v>BL-Y</x:v>
      </x:c>
      <x:c r="F2451" s="7" t="str">
        <x:v>MF-24</x:v>
      </x:c>
      <x:c r="G2451" s="7" t="str">
        <x:v>evidence health</x:v>
      </x:c>
      <x:c r="H2451" s="7" t="n">
        <x:v>3</x:v>
      </x:c>
      <x:c r="I2451" s="7" t="str"/>
      <x:c r="J2451" s="7" t="str"/>
      <x:c r="K2451" s="7" t="str"/>
      <x:c r="L2451" s="7" t="str"/>
      <x:c r="M2451" s="7" t="str"/>
      <x:c r="N2451" s="7" t="str"/>
      <x:c r="O2451" s="7" t="str">
        <x:f>IF(N2451="","OPEN",IF(OR(I2451="",J2451="",K2451="",L2451="",M2451=""),"FAIL","PASS"))</x:f>
        <x:v>OPEN</x:v>
      </x:c>
    </x:row>
    <x:row r="2452">
      <x:c r="B2452" s="7" t="str">
        <x:v>CH-PEA-C-Y2-24-4</x:v>
      </x:c>
      <x:c r="C2452" s="7" t="str">
        <x:v>PEA-C-Y2</x:v>
      </x:c>
      <x:c r="D2452" s="7" t="str">
        <x:v>BLD-C</x:v>
      </x:c>
      <x:c r="E2452" s="7" t="str">
        <x:v>BL-Y</x:v>
      </x:c>
      <x:c r="F2452" s="7" t="str">
        <x:v>MF-24</x:v>
      </x:c>
      <x:c r="G2452" s="7" t="str">
        <x:v>evidence health</x:v>
      </x:c>
      <x:c r="H2452" s="7" t="n">
        <x:v>4</x:v>
      </x:c>
      <x:c r="I2452" s="7" t="str"/>
      <x:c r="J2452" s="7" t="str"/>
      <x:c r="K2452" s="7" t="str"/>
      <x:c r="L2452" s="7" t="str"/>
      <x:c r="M2452" s="7" t="str"/>
      <x:c r="N2452" s="7" t="str"/>
      <x:c r="O2452" s="7" t="str">
        <x:f>IF(N2452="","OPEN",IF(OR(I2452="",J2452="",K2452="",L2452="",M2452=""),"FAIL","PASS"))</x:f>
        <x:v>OPEN</x:v>
      </x:c>
    </x:row>
    <x:row r="2453">
      <x:c r="B2453" s="7" t="str">
        <x:v>CH-PEA-C-Y2-24-5</x:v>
      </x:c>
      <x:c r="C2453" s="7" t="str">
        <x:v>PEA-C-Y2</x:v>
      </x:c>
      <x:c r="D2453" s="7" t="str">
        <x:v>BLD-C</x:v>
      </x:c>
      <x:c r="E2453" s="7" t="str">
        <x:v>BL-Y</x:v>
      </x:c>
      <x:c r="F2453" s="7" t="str">
        <x:v>MF-24</x:v>
      </x:c>
      <x:c r="G2453" s="7" t="str">
        <x:v>evidence health</x:v>
      </x:c>
      <x:c r="H2453" s="7" t="n">
        <x:v>5</x:v>
      </x:c>
      <x:c r="I2453" s="7" t="str"/>
      <x:c r="J2453" s="7" t="str"/>
      <x:c r="K2453" s="7" t="str"/>
      <x:c r="L2453" s="7" t="str"/>
      <x:c r="M2453" s="7" t="str"/>
      <x:c r="N2453" s="7" t="str"/>
      <x:c r="O2453" s="7" t="str">
        <x:f>IF(N2453="","OPEN",IF(OR(I2453="",J2453="",K2453="",L2453="",M2453=""),"FAIL","PASS"))</x:f>
        <x:v>OPEN</x:v>
      </x:c>
    </x:row>
    <x:row r="2454">
      <x:c r="B2454" s="7" t="str">
        <x:v>CH-PEA-C-Y2-24-6</x:v>
      </x:c>
      <x:c r="C2454" s="7" t="str">
        <x:v>PEA-C-Y2</x:v>
      </x:c>
      <x:c r="D2454" s="7" t="str">
        <x:v>BLD-C</x:v>
      </x:c>
      <x:c r="E2454" s="7" t="str">
        <x:v>BL-Y</x:v>
      </x:c>
      <x:c r="F2454" s="7" t="str">
        <x:v>MF-24</x:v>
      </x:c>
      <x:c r="G2454" s="7" t="str">
        <x:v>evidence health</x:v>
      </x:c>
      <x:c r="H2454" s="7" t="n">
        <x:v>6</x:v>
      </x:c>
      <x:c r="I2454" s="7" t="str"/>
      <x:c r="J2454" s="7" t="str"/>
      <x:c r="K2454" s="7" t="str"/>
      <x:c r="L2454" s="7" t="str"/>
      <x:c r="M2454" s="7" t="str"/>
      <x:c r="N2454" s="7" t="str"/>
      <x:c r="O2454" s="7" t="str">
        <x:f>IF(N2454="","OPEN",IF(OR(I2454="",J2454="",K2454="",L2454="",M2454=""),"FAIL","PASS"))</x:f>
        <x:v>OPEN</x:v>
      </x:c>
    </x:row>
    <x:row r="2455">
      <x:c r="B2455" s="7" t="str">
        <x:v>CH-PEA-C-Y3-01-1</x:v>
      </x:c>
      <x:c r="C2455" s="7" t="str">
        <x:v>PEA-C-Y3</x:v>
      </x:c>
      <x:c r="D2455" s="7" t="str">
        <x:v>BLD-C</x:v>
      </x:c>
      <x:c r="E2455" s="7" t="str">
        <x:v>BL-Y</x:v>
      </x:c>
      <x:c r="F2455" s="7" t="str">
        <x:v>MF-01</x:v>
      </x:c>
      <x:c r="G2455" s="7" t="str">
        <x:v>source vessel mass</x:v>
      </x:c>
      <x:c r="H2455" s="7" t="n">
        <x:v>1</x:v>
      </x:c>
      <x:c r="I2455" s="7" t="str"/>
      <x:c r="J2455" s="7" t="str"/>
      <x:c r="K2455" s="7" t="str"/>
      <x:c r="L2455" s="7" t="str"/>
      <x:c r="M2455" s="7" t="str"/>
      <x:c r="N2455" s="7" t="str"/>
      <x:c r="O2455" s="7" t="str">
        <x:f>IF(N2455="","OPEN",IF(OR(I2455="",J2455="",K2455="",L2455="",M2455=""),"FAIL","PASS"))</x:f>
        <x:v>OPEN</x:v>
      </x:c>
    </x:row>
    <x:row r="2456">
      <x:c r="B2456" s="7" t="str">
        <x:v>CH-PEA-C-Y3-01-2</x:v>
      </x:c>
      <x:c r="C2456" s="7" t="str">
        <x:v>PEA-C-Y3</x:v>
      </x:c>
      <x:c r="D2456" s="7" t="str">
        <x:v>BLD-C</x:v>
      </x:c>
      <x:c r="E2456" s="7" t="str">
        <x:v>BL-Y</x:v>
      </x:c>
      <x:c r="F2456" s="7" t="str">
        <x:v>MF-01</x:v>
      </x:c>
      <x:c r="G2456" s="7" t="str">
        <x:v>source vessel mass</x:v>
      </x:c>
      <x:c r="H2456" s="7" t="n">
        <x:v>2</x:v>
      </x:c>
      <x:c r="I2456" s="7" t="str"/>
      <x:c r="J2456" s="7" t="str"/>
      <x:c r="K2456" s="7" t="str"/>
      <x:c r="L2456" s="7" t="str"/>
      <x:c r="M2456" s="7" t="str"/>
      <x:c r="N2456" s="7" t="str"/>
      <x:c r="O2456" s="7" t="str">
        <x:f>IF(N2456="","OPEN",IF(OR(I2456="",J2456="",K2456="",L2456="",M2456=""),"FAIL","PASS"))</x:f>
        <x:v>OPEN</x:v>
      </x:c>
    </x:row>
    <x:row r="2457">
      <x:c r="B2457" s="7" t="str">
        <x:v>CH-PEA-C-Y3-01-3</x:v>
      </x:c>
      <x:c r="C2457" s="7" t="str">
        <x:v>PEA-C-Y3</x:v>
      </x:c>
      <x:c r="D2457" s="7" t="str">
        <x:v>BLD-C</x:v>
      </x:c>
      <x:c r="E2457" s="7" t="str">
        <x:v>BL-Y</x:v>
      </x:c>
      <x:c r="F2457" s="7" t="str">
        <x:v>MF-01</x:v>
      </x:c>
      <x:c r="G2457" s="7" t="str">
        <x:v>source vessel mass</x:v>
      </x:c>
      <x:c r="H2457" s="7" t="n">
        <x:v>3</x:v>
      </x:c>
      <x:c r="I2457" s="7" t="str"/>
      <x:c r="J2457" s="7" t="str"/>
      <x:c r="K2457" s="7" t="str"/>
      <x:c r="L2457" s="7" t="str"/>
      <x:c r="M2457" s="7" t="str"/>
      <x:c r="N2457" s="7" t="str"/>
      <x:c r="O2457" s="7" t="str">
        <x:f>IF(N2457="","OPEN",IF(OR(I2457="",J2457="",K2457="",L2457="",M2457=""),"FAIL","PASS"))</x:f>
        <x:v>OPEN</x:v>
      </x:c>
    </x:row>
    <x:row r="2458">
      <x:c r="B2458" s="7" t="str">
        <x:v>CH-PEA-C-Y3-01-4</x:v>
      </x:c>
      <x:c r="C2458" s="7" t="str">
        <x:v>PEA-C-Y3</x:v>
      </x:c>
      <x:c r="D2458" s="7" t="str">
        <x:v>BLD-C</x:v>
      </x:c>
      <x:c r="E2458" s="7" t="str">
        <x:v>BL-Y</x:v>
      </x:c>
      <x:c r="F2458" s="7" t="str">
        <x:v>MF-01</x:v>
      </x:c>
      <x:c r="G2458" s="7" t="str">
        <x:v>source vessel mass</x:v>
      </x:c>
      <x:c r="H2458" s="7" t="n">
        <x:v>4</x:v>
      </x:c>
      <x:c r="I2458" s="7" t="str"/>
      <x:c r="J2458" s="7" t="str"/>
      <x:c r="K2458" s="7" t="str"/>
      <x:c r="L2458" s="7" t="str"/>
      <x:c r="M2458" s="7" t="str"/>
      <x:c r="N2458" s="7" t="str"/>
      <x:c r="O2458" s="7" t="str">
        <x:f>IF(N2458="","OPEN",IF(OR(I2458="",J2458="",K2458="",L2458="",M2458=""),"FAIL","PASS"))</x:f>
        <x:v>OPEN</x:v>
      </x:c>
    </x:row>
    <x:row r="2459">
      <x:c r="B2459" s="7" t="str">
        <x:v>CH-PEA-C-Y3-01-5</x:v>
      </x:c>
      <x:c r="C2459" s="7" t="str">
        <x:v>PEA-C-Y3</x:v>
      </x:c>
      <x:c r="D2459" s="7" t="str">
        <x:v>BLD-C</x:v>
      </x:c>
      <x:c r="E2459" s="7" t="str">
        <x:v>BL-Y</x:v>
      </x:c>
      <x:c r="F2459" s="7" t="str">
        <x:v>MF-01</x:v>
      </x:c>
      <x:c r="G2459" s="7" t="str">
        <x:v>source vessel mass</x:v>
      </x:c>
      <x:c r="H2459" s="7" t="n">
        <x:v>5</x:v>
      </x:c>
      <x:c r="I2459" s="7" t="str"/>
      <x:c r="J2459" s="7" t="str"/>
      <x:c r="K2459" s="7" t="str"/>
      <x:c r="L2459" s="7" t="str"/>
      <x:c r="M2459" s="7" t="str"/>
      <x:c r="N2459" s="7" t="str"/>
      <x:c r="O2459" s="7" t="str">
        <x:f>IF(N2459="","OPEN",IF(OR(I2459="",J2459="",K2459="",L2459="",M2459=""),"FAIL","PASS"))</x:f>
        <x:v>OPEN</x:v>
      </x:c>
    </x:row>
    <x:row r="2460">
      <x:c r="B2460" s="7" t="str">
        <x:v>CH-PEA-C-Y3-01-6</x:v>
      </x:c>
      <x:c r="C2460" s="7" t="str">
        <x:v>PEA-C-Y3</x:v>
      </x:c>
      <x:c r="D2460" s="7" t="str">
        <x:v>BLD-C</x:v>
      </x:c>
      <x:c r="E2460" s="7" t="str">
        <x:v>BL-Y</x:v>
      </x:c>
      <x:c r="F2460" s="7" t="str">
        <x:v>MF-01</x:v>
      </x:c>
      <x:c r="G2460" s="7" t="str">
        <x:v>source vessel mass</x:v>
      </x:c>
      <x:c r="H2460" s="7" t="n">
        <x:v>6</x:v>
      </x:c>
      <x:c r="I2460" s="7" t="str"/>
      <x:c r="J2460" s="7" t="str"/>
      <x:c r="K2460" s="7" t="str"/>
      <x:c r="L2460" s="7" t="str"/>
      <x:c r="M2460" s="7" t="str"/>
      <x:c r="N2460" s="7" t="str"/>
      <x:c r="O2460" s="7" t="str">
        <x:f>IF(N2460="","OPEN",IF(OR(I2460="",J2460="",K2460="",L2460="",M2460=""),"FAIL","PASS"))</x:f>
        <x:v>OPEN</x:v>
      </x:c>
    </x:row>
    <x:row r="2461">
      <x:c r="B2461" s="7" t="str">
        <x:v>CH-PEA-C-Y3-02-1</x:v>
      </x:c>
      <x:c r="C2461" s="7" t="str">
        <x:v>PEA-C-Y3</x:v>
      </x:c>
      <x:c r="D2461" s="7" t="str">
        <x:v>BLD-C</x:v>
      </x:c>
      <x:c r="E2461" s="7" t="str">
        <x:v>BL-Y</x:v>
      </x:c>
      <x:c r="F2461" s="7" t="str">
        <x:v>MF-02</x:v>
      </x:c>
      <x:c r="G2461" s="7" t="str">
        <x:v>transfer mass</x:v>
      </x:c>
      <x:c r="H2461" s="7" t="n">
        <x:v>1</x:v>
      </x:c>
      <x:c r="I2461" s="7" t="str"/>
      <x:c r="J2461" s="7" t="str"/>
      <x:c r="K2461" s="7" t="str"/>
      <x:c r="L2461" s="7" t="str"/>
      <x:c r="M2461" s="7" t="str"/>
      <x:c r="N2461" s="7" t="str"/>
      <x:c r="O2461" s="7" t="str">
        <x:f>IF(N2461="","OPEN",IF(OR(I2461="",J2461="",K2461="",L2461="",M2461=""),"FAIL","PASS"))</x:f>
        <x:v>OPEN</x:v>
      </x:c>
    </x:row>
    <x:row r="2462">
      <x:c r="B2462" s="7" t="str">
        <x:v>CH-PEA-C-Y3-02-2</x:v>
      </x:c>
      <x:c r="C2462" s="7" t="str">
        <x:v>PEA-C-Y3</x:v>
      </x:c>
      <x:c r="D2462" s="7" t="str">
        <x:v>BLD-C</x:v>
      </x:c>
      <x:c r="E2462" s="7" t="str">
        <x:v>BL-Y</x:v>
      </x:c>
      <x:c r="F2462" s="7" t="str">
        <x:v>MF-02</x:v>
      </x:c>
      <x:c r="G2462" s="7" t="str">
        <x:v>transfer mass</x:v>
      </x:c>
      <x:c r="H2462" s="7" t="n">
        <x:v>2</x:v>
      </x:c>
      <x:c r="I2462" s="7" t="str"/>
      <x:c r="J2462" s="7" t="str"/>
      <x:c r="K2462" s="7" t="str"/>
      <x:c r="L2462" s="7" t="str"/>
      <x:c r="M2462" s="7" t="str"/>
      <x:c r="N2462" s="7" t="str"/>
      <x:c r="O2462" s="7" t="str">
        <x:f>IF(N2462="","OPEN",IF(OR(I2462="",J2462="",K2462="",L2462="",M2462=""),"FAIL","PASS"))</x:f>
        <x:v>OPEN</x:v>
      </x:c>
    </x:row>
    <x:row r="2463">
      <x:c r="B2463" s="7" t="str">
        <x:v>CH-PEA-C-Y3-02-3</x:v>
      </x:c>
      <x:c r="C2463" s="7" t="str">
        <x:v>PEA-C-Y3</x:v>
      </x:c>
      <x:c r="D2463" s="7" t="str">
        <x:v>BLD-C</x:v>
      </x:c>
      <x:c r="E2463" s="7" t="str">
        <x:v>BL-Y</x:v>
      </x:c>
      <x:c r="F2463" s="7" t="str">
        <x:v>MF-02</x:v>
      </x:c>
      <x:c r="G2463" s="7" t="str">
        <x:v>transfer mass</x:v>
      </x:c>
      <x:c r="H2463" s="7" t="n">
        <x:v>3</x:v>
      </x:c>
      <x:c r="I2463" s="7" t="str"/>
      <x:c r="J2463" s="7" t="str"/>
      <x:c r="K2463" s="7" t="str"/>
      <x:c r="L2463" s="7" t="str"/>
      <x:c r="M2463" s="7" t="str"/>
      <x:c r="N2463" s="7" t="str"/>
      <x:c r="O2463" s="7" t="str">
        <x:f>IF(N2463="","OPEN",IF(OR(I2463="",J2463="",K2463="",L2463="",M2463=""),"FAIL","PASS"))</x:f>
        <x:v>OPEN</x:v>
      </x:c>
    </x:row>
    <x:row r="2464">
      <x:c r="B2464" s="7" t="str">
        <x:v>CH-PEA-C-Y3-02-4</x:v>
      </x:c>
      <x:c r="C2464" s="7" t="str">
        <x:v>PEA-C-Y3</x:v>
      </x:c>
      <x:c r="D2464" s="7" t="str">
        <x:v>BLD-C</x:v>
      </x:c>
      <x:c r="E2464" s="7" t="str">
        <x:v>BL-Y</x:v>
      </x:c>
      <x:c r="F2464" s="7" t="str">
        <x:v>MF-02</x:v>
      </x:c>
      <x:c r="G2464" s="7" t="str">
        <x:v>transfer mass</x:v>
      </x:c>
      <x:c r="H2464" s="7" t="n">
        <x:v>4</x:v>
      </x:c>
      <x:c r="I2464" s="7" t="str"/>
      <x:c r="J2464" s="7" t="str"/>
      <x:c r="K2464" s="7" t="str"/>
      <x:c r="L2464" s="7" t="str"/>
      <x:c r="M2464" s="7" t="str"/>
      <x:c r="N2464" s="7" t="str"/>
      <x:c r="O2464" s="7" t="str">
        <x:f>IF(N2464="","OPEN",IF(OR(I2464="",J2464="",K2464="",L2464="",M2464=""),"FAIL","PASS"))</x:f>
        <x:v>OPEN</x:v>
      </x:c>
    </x:row>
    <x:row r="2465">
      <x:c r="B2465" s="7" t="str">
        <x:v>CH-PEA-C-Y3-02-5</x:v>
      </x:c>
      <x:c r="C2465" s="7" t="str">
        <x:v>PEA-C-Y3</x:v>
      </x:c>
      <x:c r="D2465" s="7" t="str">
        <x:v>BLD-C</x:v>
      </x:c>
      <x:c r="E2465" s="7" t="str">
        <x:v>BL-Y</x:v>
      </x:c>
      <x:c r="F2465" s="7" t="str">
        <x:v>MF-02</x:v>
      </x:c>
      <x:c r="G2465" s="7" t="str">
        <x:v>transfer mass</x:v>
      </x:c>
      <x:c r="H2465" s="7" t="n">
        <x:v>5</x:v>
      </x:c>
      <x:c r="I2465" s="7" t="str"/>
      <x:c r="J2465" s="7" t="str"/>
      <x:c r="K2465" s="7" t="str"/>
      <x:c r="L2465" s="7" t="str"/>
      <x:c r="M2465" s="7" t="str"/>
      <x:c r="N2465" s="7" t="str"/>
      <x:c r="O2465" s="7" t="str">
        <x:f>IF(N2465="","OPEN",IF(OR(I2465="",J2465="",K2465="",L2465="",M2465=""),"FAIL","PASS"))</x:f>
        <x:v>OPEN</x:v>
      </x:c>
    </x:row>
    <x:row r="2466">
      <x:c r="B2466" s="7" t="str">
        <x:v>CH-PEA-C-Y3-02-6</x:v>
      </x:c>
      <x:c r="C2466" s="7" t="str">
        <x:v>PEA-C-Y3</x:v>
      </x:c>
      <x:c r="D2466" s="7" t="str">
        <x:v>BLD-C</x:v>
      </x:c>
      <x:c r="E2466" s="7" t="str">
        <x:v>BL-Y</x:v>
      </x:c>
      <x:c r="F2466" s="7" t="str">
        <x:v>MF-02</x:v>
      </x:c>
      <x:c r="G2466" s="7" t="str">
        <x:v>transfer mass</x:v>
      </x:c>
      <x:c r="H2466" s="7" t="n">
        <x:v>6</x:v>
      </x:c>
      <x:c r="I2466" s="7" t="str"/>
      <x:c r="J2466" s="7" t="str"/>
      <x:c r="K2466" s="7" t="str"/>
      <x:c r="L2466" s="7" t="str"/>
      <x:c r="M2466" s="7" t="str"/>
      <x:c r="N2466" s="7" t="str"/>
      <x:c r="O2466" s="7" t="str">
        <x:f>IF(N2466="","OPEN",IF(OR(I2466="",J2466="",K2466="",L2466="",M2466=""),"FAIL","PASS"))</x:f>
        <x:v>OPEN</x:v>
      </x:c>
    </x:row>
    <x:row r="2467">
      <x:c r="B2467" s="7" t="str">
        <x:v>CH-PEA-C-Y3-03-1</x:v>
      </x:c>
      <x:c r="C2467" s="7" t="str">
        <x:v>PEA-C-Y3</x:v>
      </x:c>
      <x:c r="D2467" s="7" t="str">
        <x:v>BLD-C</x:v>
      </x:c>
      <x:c r="E2467" s="7" t="str">
        <x:v>BL-Y</x:v>
      </x:c>
      <x:c r="F2467" s="7" t="str">
        <x:v>MF-03</x:v>
      </x:c>
      <x:c r="G2467" s="7" t="str">
        <x:v>source pressure</x:v>
      </x:c>
      <x:c r="H2467" s="7" t="n">
        <x:v>1</x:v>
      </x:c>
      <x:c r="I2467" s="7" t="str"/>
      <x:c r="J2467" s="7" t="str"/>
      <x:c r="K2467" s="7" t="str"/>
      <x:c r="L2467" s="7" t="str"/>
      <x:c r="M2467" s="7" t="str"/>
      <x:c r="N2467" s="7" t="str"/>
      <x:c r="O2467" s="7" t="str">
        <x:f>IF(N2467="","OPEN",IF(OR(I2467="",J2467="",K2467="",L2467="",M2467=""),"FAIL","PASS"))</x:f>
        <x:v>OPEN</x:v>
      </x:c>
    </x:row>
    <x:row r="2468">
      <x:c r="B2468" s="7" t="str">
        <x:v>CH-PEA-C-Y3-03-2</x:v>
      </x:c>
      <x:c r="C2468" s="7" t="str">
        <x:v>PEA-C-Y3</x:v>
      </x:c>
      <x:c r="D2468" s="7" t="str">
        <x:v>BLD-C</x:v>
      </x:c>
      <x:c r="E2468" s="7" t="str">
        <x:v>BL-Y</x:v>
      </x:c>
      <x:c r="F2468" s="7" t="str">
        <x:v>MF-03</x:v>
      </x:c>
      <x:c r="G2468" s="7" t="str">
        <x:v>source pressure</x:v>
      </x:c>
      <x:c r="H2468" s="7" t="n">
        <x:v>2</x:v>
      </x:c>
      <x:c r="I2468" s="7" t="str"/>
      <x:c r="J2468" s="7" t="str"/>
      <x:c r="K2468" s="7" t="str"/>
      <x:c r="L2468" s="7" t="str"/>
      <x:c r="M2468" s="7" t="str"/>
      <x:c r="N2468" s="7" t="str"/>
      <x:c r="O2468" s="7" t="str">
        <x:f>IF(N2468="","OPEN",IF(OR(I2468="",J2468="",K2468="",L2468="",M2468=""),"FAIL","PASS"))</x:f>
        <x:v>OPEN</x:v>
      </x:c>
    </x:row>
    <x:row r="2469">
      <x:c r="B2469" s="7" t="str">
        <x:v>CH-PEA-C-Y3-03-3</x:v>
      </x:c>
      <x:c r="C2469" s="7" t="str">
        <x:v>PEA-C-Y3</x:v>
      </x:c>
      <x:c r="D2469" s="7" t="str">
        <x:v>BLD-C</x:v>
      </x:c>
      <x:c r="E2469" s="7" t="str">
        <x:v>BL-Y</x:v>
      </x:c>
      <x:c r="F2469" s="7" t="str">
        <x:v>MF-03</x:v>
      </x:c>
      <x:c r="G2469" s="7" t="str">
        <x:v>source pressure</x:v>
      </x:c>
      <x:c r="H2469" s="7" t="n">
        <x:v>3</x:v>
      </x:c>
      <x:c r="I2469" s="7" t="str"/>
      <x:c r="J2469" s="7" t="str"/>
      <x:c r="K2469" s="7" t="str"/>
      <x:c r="L2469" s="7" t="str"/>
      <x:c r="M2469" s="7" t="str"/>
      <x:c r="N2469" s="7" t="str"/>
      <x:c r="O2469" s="7" t="str">
        <x:f>IF(N2469="","OPEN",IF(OR(I2469="",J2469="",K2469="",L2469="",M2469=""),"FAIL","PASS"))</x:f>
        <x:v>OPEN</x:v>
      </x:c>
    </x:row>
    <x:row r="2470">
      <x:c r="B2470" s="7" t="str">
        <x:v>CH-PEA-C-Y3-03-4</x:v>
      </x:c>
      <x:c r="C2470" s="7" t="str">
        <x:v>PEA-C-Y3</x:v>
      </x:c>
      <x:c r="D2470" s="7" t="str">
        <x:v>BLD-C</x:v>
      </x:c>
      <x:c r="E2470" s="7" t="str">
        <x:v>BL-Y</x:v>
      </x:c>
      <x:c r="F2470" s="7" t="str">
        <x:v>MF-03</x:v>
      </x:c>
      <x:c r="G2470" s="7" t="str">
        <x:v>source pressure</x:v>
      </x:c>
      <x:c r="H2470" s="7" t="n">
        <x:v>4</x:v>
      </x:c>
      <x:c r="I2470" s="7" t="str"/>
      <x:c r="J2470" s="7" t="str"/>
      <x:c r="K2470" s="7" t="str"/>
      <x:c r="L2470" s="7" t="str"/>
      <x:c r="M2470" s="7" t="str"/>
      <x:c r="N2470" s="7" t="str"/>
      <x:c r="O2470" s="7" t="str">
        <x:f>IF(N2470="","OPEN",IF(OR(I2470="",J2470="",K2470="",L2470="",M2470=""),"FAIL","PASS"))</x:f>
        <x:v>OPEN</x:v>
      </x:c>
    </x:row>
    <x:row r="2471">
      <x:c r="B2471" s="7" t="str">
        <x:v>CH-PEA-C-Y3-03-5</x:v>
      </x:c>
      <x:c r="C2471" s="7" t="str">
        <x:v>PEA-C-Y3</x:v>
      </x:c>
      <x:c r="D2471" s="7" t="str">
        <x:v>BLD-C</x:v>
      </x:c>
      <x:c r="E2471" s="7" t="str">
        <x:v>BL-Y</x:v>
      </x:c>
      <x:c r="F2471" s="7" t="str">
        <x:v>MF-03</x:v>
      </x:c>
      <x:c r="G2471" s="7" t="str">
        <x:v>source pressure</x:v>
      </x:c>
      <x:c r="H2471" s="7" t="n">
        <x:v>5</x:v>
      </x:c>
      <x:c r="I2471" s="7" t="str"/>
      <x:c r="J2471" s="7" t="str"/>
      <x:c r="K2471" s="7" t="str"/>
      <x:c r="L2471" s="7" t="str"/>
      <x:c r="M2471" s="7" t="str"/>
      <x:c r="N2471" s="7" t="str"/>
      <x:c r="O2471" s="7" t="str">
        <x:f>IF(N2471="","OPEN",IF(OR(I2471="",J2471="",K2471="",L2471="",M2471=""),"FAIL","PASS"))</x:f>
        <x:v>OPEN</x:v>
      </x:c>
    </x:row>
    <x:row r="2472">
      <x:c r="B2472" s="7" t="str">
        <x:v>CH-PEA-C-Y3-03-6</x:v>
      </x:c>
      <x:c r="C2472" s="7" t="str">
        <x:v>PEA-C-Y3</x:v>
      </x:c>
      <x:c r="D2472" s="7" t="str">
        <x:v>BLD-C</x:v>
      </x:c>
      <x:c r="E2472" s="7" t="str">
        <x:v>BL-Y</x:v>
      </x:c>
      <x:c r="F2472" s="7" t="str">
        <x:v>MF-03</x:v>
      </x:c>
      <x:c r="G2472" s="7" t="str">
        <x:v>source pressure</x:v>
      </x:c>
      <x:c r="H2472" s="7" t="n">
        <x:v>6</x:v>
      </x:c>
      <x:c r="I2472" s="7" t="str"/>
      <x:c r="J2472" s="7" t="str"/>
      <x:c r="K2472" s="7" t="str"/>
      <x:c r="L2472" s="7" t="str"/>
      <x:c r="M2472" s="7" t="str"/>
      <x:c r="N2472" s="7" t="str"/>
      <x:c r="O2472" s="7" t="str">
        <x:f>IF(N2472="","OPEN",IF(OR(I2472="",J2472="",K2472="",L2472="",M2472=""),"FAIL","PASS"))</x:f>
        <x:v>OPEN</x:v>
      </x:c>
    </x:row>
    <x:row r="2473">
      <x:c r="B2473" s="7" t="str">
        <x:v>CH-PEA-C-Y3-04-1</x:v>
      </x:c>
      <x:c r="C2473" s="7" t="str">
        <x:v>PEA-C-Y3</x:v>
      </x:c>
      <x:c r="D2473" s="7" t="str">
        <x:v>BLD-C</x:v>
      </x:c>
      <x:c r="E2473" s="7" t="str">
        <x:v>BL-Y</x:v>
      </x:c>
      <x:c r="F2473" s="7" t="str">
        <x:v>MF-04</x:v>
      </x:c>
      <x:c r="G2473" s="7" t="str">
        <x:v>source temperature</x:v>
      </x:c>
      <x:c r="H2473" s="7" t="n">
        <x:v>1</x:v>
      </x:c>
      <x:c r="I2473" s="7" t="str"/>
      <x:c r="J2473" s="7" t="str"/>
      <x:c r="K2473" s="7" t="str"/>
      <x:c r="L2473" s="7" t="str"/>
      <x:c r="M2473" s="7" t="str"/>
      <x:c r="N2473" s="7" t="str"/>
      <x:c r="O2473" s="7" t="str">
        <x:f>IF(N2473="","OPEN",IF(OR(I2473="",J2473="",K2473="",L2473="",M2473=""),"FAIL","PASS"))</x:f>
        <x:v>OPEN</x:v>
      </x:c>
    </x:row>
    <x:row r="2474">
      <x:c r="B2474" s="7" t="str">
        <x:v>CH-PEA-C-Y3-04-2</x:v>
      </x:c>
      <x:c r="C2474" s="7" t="str">
        <x:v>PEA-C-Y3</x:v>
      </x:c>
      <x:c r="D2474" s="7" t="str">
        <x:v>BLD-C</x:v>
      </x:c>
      <x:c r="E2474" s="7" t="str">
        <x:v>BL-Y</x:v>
      </x:c>
      <x:c r="F2474" s="7" t="str">
        <x:v>MF-04</x:v>
      </x:c>
      <x:c r="G2474" s="7" t="str">
        <x:v>source temperature</x:v>
      </x:c>
      <x:c r="H2474" s="7" t="n">
        <x:v>2</x:v>
      </x:c>
      <x:c r="I2474" s="7" t="str"/>
      <x:c r="J2474" s="7" t="str"/>
      <x:c r="K2474" s="7" t="str"/>
      <x:c r="L2474" s="7" t="str"/>
      <x:c r="M2474" s="7" t="str"/>
      <x:c r="N2474" s="7" t="str"/>
      <x:c r="O2474" s="7" t="str">
        <x:f>IF(N2474="","OPEN",IF(OR(I2474="",J2474="",K2474="",L2474="",M2474=""),"FAIL","PASS"))</x:f>
        <x:v>OPEN</x:v>
      </x:c>
    </x:row>
    <x:row r="2475">
      <x:c r="B2475" s="7" t="str">
        <x:v>CH-PEA-C-Y3-04-3</x:v>
      </x:c>
      <x:c r="C2475" s="7" t="str">
        <x:v>PEA-C-Y3</x:v>
      </x:c>
      <x:c r="D2475" s="7" t="str">
        <x:v>BLD-C</x:v>
      </x:c>
      <x:c r="E2475" s="7" t="str">
        <x:v>BL-Y</x:v>
      </x:c>
      <x:c r="F2475" s="7" t="str">
        <x:v>MF-04</x:v>
      </x:c>
      <x:c r="G2475" s="7" t="str">
        <x:v>source temperature</x:v>
      </x:c>
      <x:c r="H2475" s="7" t="n">
        <x:v>3</x:v>
      </x:c>
      <x:c r="I2475" s="7" t="str"/>
      <x:c r="J2475" s="7" t="str"/>
      <x:c r="K2475" s="7" t="str"/>
      <x:c r="L2475" s="7" t="str"/>
      <x:c r="M2475" s="7" t="str"/>
      <x:c r="N2475" s="7" t="str"/>
      <x:c r="O2475" s="7" t="str">
        <x:f>IF(N2475="","OPEN",IF(OR(I2475="",J2475="",K2475="",L2475="",M2475=""),"FAIL","PASS"))</x:f>
        <x:v>OPEN</x:v>
      </x:c>
    </x:row>
    <x:row r="2476">
      <x:c r="B2476" s="7" t="str">
        <x:v>CH-PEA-C-Y3-04-4</x:v>
      </x:c>
      <x:c r="C2476" s="7" t="str">
        <x:v>PEA-C-Y3</x:v>
      </x:c>
      <x:c r="D2476" s="7" t="str">
        <x:v>BLD-C</x:v>
      </x:c>
      <x:c r="E2476" s="7" t="str">
        <x:v>BL-Y</x:v>
      </x:c>
      <x:c r="F2476" s="7" t="str">
        <x:v>MF-04</x:v>
      </x:c>
      <x:c r="G2476" s="7" t="str">
        <x:v>source temperature</x:v>
      </x:c>
      <x:c r="H2476" s="7" t="n">
        <x:v>4</x:v>
      </x:c>
      <x:c r="I2476" s="7" t="str"/>
      <x:c r="J2476" s="7" t="str"/>
      <x:c r="K2476" s="7" t="str"/>
      <x:c r="L2476" s="7" t="str"/>
      <x:c r="M2476" s="7" t="str"/>
      <x:c r="N2476" s="7" t="str"/>
      <x:c r="O2476" s="7" t="str">
        <x:f>IF(N2476="","OPEN",IF(OR(I2476="",J2476="",K2476="",L2476="",M2476=""),"FAIL","PASS"))</x:f>
        <x:v>OPEN</x:v>
      </x:c>
    </x:row>
    <x:row r="2477">
      <x:c r="B2477" s="7" t="str">
        <x:v>CH-PEA-C-Y3-04-5</x:v>
      </x:c>
      <x:c r="C2477" s="7" t="str">
        <x:v>PEA-C-Y3</x:v>
      </x:c>
      <x:c r="D2477" s="7" t="str">
        <x:v>BLD-C</x:v>
      </x:c>
      <x:c r="E2477" s="7" t="str">
        <x:v>BL-Y</x:v>
      </x:c>
      <x:c r="F2477" s="7" t="str">
        <x:v>MF-04</x:v>
      </x:c>
      <x:c r="G2477" s="7" t="str">
        <x:v>source temperature</x:v>
      </x:c>
      <x:c r="H2477" s="7" t="n">
        <x:v>5</x:v>
      </x:c>
      <x:c r="I2477" s="7" t="str"/>
      <x:c r="J2477" s="7" t="str"/>
      <x:c r="K2477" s="7" t="str"/>
      <x:c r="L2477" s="7" t="str"/>
      <x:c r="M2477" s="7" t="str"/>
      <x:c r="N2477" s="7" t="str"/>
      <x:c r="O2477" s="7" t="str">
        <x:f>IF(N2477="","OPEN",IF(OR(I2477="",J2477="",K2477="",L2477="",M2477=""),"FAIL","PASS"))</x:f>
        <x:v>OPEN</x:v>
      </x:c>
    </x:row>
    <x:row r="2478">
      <x:c r="B2478" s="7" t="str">
        <x:v>CH-PEA-C-Y3-04-6</x:v>
      </x:c>
      <x:c r="C2478" s="7" t="str">
        <x:v>PEA-C-Y3</x:v>
      </x:c>
      <x:c r="D2478" s="7" t="str">
        <x:v>BLD-C</x:v>
      </x:c>
      <x:c r="E2478" s="7" t="str">
        <x:v>BL-Y</x:v>
      </x:c>
      <x:c r="F2478" s="7" t="str">
        <x:v>MF-04</x:v>
      </x:c>
      <x:c r="G2478" s="7" t="str">
        <x:v>source temperature</x:v>
      </x:c>
      <x:c r="H2478" s="7" t="n">
        <x:v>6</x:v>
      </x:c>
      <x:c r="I2478" s="7" t="str"/>
      <x:c r="J2478" s="7" t="str"/>
      <x:c r="K2478" s="7" t="str"/>
      <x:c r="L2478" s="7" t="str"/>
      <x:c r="M2478" s="7" t="str"/>
      <x:c r="N2478" s="7" t="str"/>
      <x:c r="O2478" s="7" t="str">
        <x:f>IF(N2478="","OPEN",IF(OR(I2478="",J2478="",K2478="",L2478="",M2478=""),"FAIL","PASS"))</x:f>
        <x:v>OPEN</x:v>
      </x:c>
    </x:row>
    <x:row r="2479">
      <x:c r="B2479" s="7" t="str">
        <x:v>CH-PEA-C-Y3-05-1</x:v>
      </x:c>
      <x:c r="C2479" s="7" t="str">
        <x:v>PEA-C-Y3</x:v>
      </x:c>
      <x:c r="D2479" s="7" t="str">
        <x:v>BLD-C</x:v>
      </x:c>
      <x:c r="E2479" s="7" t="str">
        <x:v>BL-Y</x:v>
      </x:c>
      <x:c r="F2479" s="7" t="str">
        <x:v>MF-05</x:v>
      </x:c>
      <x:c r="G2479" s="7" t="str">
        <x:v>hold-up tomography</x:v>
      </x:c>
      <x:c r="H2479" s="7" t="n">
        <x:v>1</x:v>
      </x:c>
      <x:c r="I2479" s="7" t="str"/>
      <x:c r="J2479" s="7" t="str"/>
      <x:c r="K2479" s="7" t="str"/>
      <x:c r="L2479" s="7" t="str"/>
      <x:c r="M2479" s="7" t="str"/>
      <x:c r="N2479" s="7" t="str"/>
      <x:c r="O2479" s="7" t="str">
        <x:f>IF(N2479="","OPEN",IF(OR(I2479="",J2479="",K2479="",L2479="",M2479=""),"FAIL","PASS"))</x:f>
        <x:v>OPEN</x:v>
      </x:c>
    </x:row>
    <x:row r="2480">
      <x:c r="B2480" s="7" t="str">
        <x:v>CH-PEA-C-Y3-05-2</x:v>
      </x:c>
      <x:c r="C2480" s="7" t="str">
        <x:v>PEA-C-Y3</x:v>
      </x:c>
      <x:c r="D2480" s="7" t="str">
        <x:v>BLD-C</x:v>
      </x:c>
      <x:c r="E2480" s="7" t="str">
        <x:v>BL-Y</x:v>
      </x:c>
      <x:c r="F2480" s="7" t="str">
        <x:v>MF-05</x:v>
      </x:c>
      <x:c r="G2480" s="7" t="str">
        <x:v>hold-up tomography</x:v>
      </x:c>
      <x:c r="H2480" s="7" t="n">
        <x:v>2</x:v>
      </x:c>
      <x:c r="I2480" s="7" t="str"/>
      <x:c r="J2480" s="7" t="str"/>
      <x:c r="K2480" s="7" t="str"/>
      <x:c r="L2480" s="7" t="str"/>
      <x:c r="M2480" s="7" t="str"/>
      <x:c r="N2480" s="7" t="str"/>
      <x:c r="O2480" s="7" t="str">
        <x:f>IF(N2480="","OPEN",IF(OR(I2480="",J2480="",K2480="",L2480="",M2480=""),"FAIL","PASS"))</x:f>
        <x:v>OPEN</x:v>
      </x:c>
    </x:row>
    <x:row r="2481">
      <x:c r="B2481" s="7" t="str">
        <x:v>CH-PEA-C-Y3-05-3</x:v>
      </x:c>
      <x:c r="C2481" s="7" t="str">
        <x:v>PEA-C-Y3</x:v>
      </x:c>
      <x:c r="D2481" s="7" t="str">
        <x:v>BLD-C</x:v>
      </x:c>
      <x:c r="E2481" s="7" t="str">
        <x:v>BL-Y</x:v>
      </x:c>
      <x:c r="F2481" s="7" t="str">
        <x:v>MF-05</x:v>
      </x:c>
      <x:c r="G2481" s="7" t="str">
        <x:v>hold-up tomography</x:v>
      </x:c>
      <x:c r="H2481" s="7" t="n">
        <x:v>3</x:v>
      </x:c>
      <x:c r="I2481" s="7" t="str"/>
      <x:c r="J2481" s="7" t="str"/>
      <x:c r="K2481" s="7" t="str"/>
      <x:c r="L2481" s="7" t="str"/>
      <x:c r="M2481" s="7" t="str"/>
      <x:c r="N2481" s="7" t="str"/>
      <x:c r="O2481" s="7" t="str">
        <x:f>IF(N2481="","OPEN",IF(OR(I2481="",J2481="",K2481="",L2481="",M2481=""),"FAIL","PASS"))</x:f>
        <x:v>OPEN</x:v>
      </x:c>
    </x:row>
    <x:row r="2482">
      <x:c r="B2482" s="7" t="str">
        <x:v>CH-PEA-C-Y3-05-4</x:v>
      </x:c>
      <x:c r="C2482" s="7" t="str">
        <x:v>PEA-C-Y3</x:v>
      </x:c>
      <x:c r="D2482" s="7" t="str">
        <x:v>BLD-C</x:v>
      </x:c>
      <x:c r="E2482" s="7" t="str">
        <x:v>BL-Y</x:v>
      </x:c>
      <x:c r="F2482" s="7" t="str">
        <x:v>MF-05</x:v>
      </x:c>
      <x:c r="G2482" s="7" t="str">
        <x:v>hold-up tomography</x:v>
      </x:c>
      <x:c r="H2482" s="7" t="n">
        <x:v>4</x:v>
      </x:c>
      <x:c r="I2482" s="7" t="str"/>
      <x:c r="J2482" s="7" t="str"/>
      <x:c r="K2482" s="7" t="str"/>
      <x:c r="L2482" s="7" t="str"/>
      <x:c r="M2482" s="7" t="str"/>
      <x:c r="N2482" s="7" t="str"/>
      <x:c r="O2482" s="7" t="str">
        <x:f>IF(N2482="","OPEN",IF(OR(I2482="",J2482="",K2482="",L2482="",M2482=""),"FAIL","PASS"))</x:f>
        <x:v>OPEN</x:v>
      </x:c>
    </x:row>
    <x:row r="2483">
      <x:c r="B2483" s="7" t="str">
        <x:v>CH-PEA-C-Y3-05-5</x:v>
      </x:c>
      <x:c r="C2483" s="7" t="str">
        <x:v>PEA-C-Y3</x:v>
      </x:c>
      <x:c r="D2483" s="7" t="str">
        <x:v>BLD-C</x:v>
      </x:c>
      <x:c r="E2483" s="7" t="str">
        <x:v>BL-Y</x:v>
      </x:c>
      <x:c r="F2483" s="7" t="str">
        <x:v>MF-05</x:v>
      </x:c>
      <x:c r="G2483" s="7" t="str">
        <x:v>hold-up tomography</x:v>
      </x:c>
      <x:c r="H2483" s="7" t="n">
        <x:v>5</x:v>
      </x:c>
      <x:c r="I2483" s="7" t="str"/>
      <x:c r="J2483" s="7" t="str"/>
      <x:c r="K2483" s="7" t="str"/>
      <x:c r="L2483" s="7" t="str"/>
      <x:c r="M2483" s="7" t="str"/>
      <x:c r="N2483" s="7" t="str"/>
      <x:c r="O2483" s="7" t="str">
        <x:f>IF(N2483="","OPEN",IF(OR(I2483="",J2483="",K2483="",L2483="",M2483=""),"FAIL","PASS"))</x:f>
        <x:v>OPEN</x:v>
      </x:c>
    </x:row>
    <x:row r="2484">
      <x:c r="B2484" s="7" t="str">
        <x:v>CH-PEA-C-Y3-05-6</x:v>
      </x:c>
      <x:c r="C2484" s="7" t="str">
        <x:v>PEA-C-Y3</x:v>
      </x:c>
      <x:c r="D2484" s="7" t="str">
        <x:v>BLD-C</x:v>
      </x:c>
      <x:c r="E2484" s="7" t="str">
        <x:v>BL-Y</x:v>
      </x:c>
      <x:c r="F2484" s="7" t="str">
        <x:v>MF-05</x:v>
      </x:c>
      <x:c r="G2484" s="7" t="str">
        <x:v>hold-up tomography</x:v>
      </x:c>
      <x:c r="H2484" s="7" t="n">
        <x:v>6</x:v>
      </x:c>
      <x:c r="I2484" s="7" t="str"/>
      <x:c r="J2484" s="7" t="str"/>
      <x:c r="K2484" s="7" t="str"/>
      <x:c r="L2484" s="7" t="str"/>
      <x:c r="M2484" s="7" t="str"/>
      <x:c r="N2484" s="7" t="str"/>
      <x:c r="O2484" s="7" t="str">
        <x:f>IF(N2484="","OPEN",IF(OR(I2484="",J2484="",K2484="",L2484="",M2484=""),"FAIL","PASS"))</x:f>
        <x:v>OPEN</x:v>
      </x:c>
    </x:row>
    <x:row r="2485">
      <x:c r="B2485" s="7" t="str">
        <x:v>CH-PEA-C-Y3-06-1</x:v>
      </x:c>
      <x:c r="C2485" s="7" t="str">
        <x:v>PEA-C-Y3</x:v>
      </x:c>
      <x:c r="D2485" s="7" t="str">
        <x:v>BLD-C</x:v>
      </x:c>
      <x:c r="E2485" s="7" t="str">
        <x:v>BL-Y</x:v>
      </x:c>
      <x:c r="F2485" s="7" t="str">
        <x:v>MF-06</x:v>
      </x:c>
      <x:c r="G2485" s="7" t="str">
        <x:v>pan level</x:v>
      </x:c>
      <x:c r="H2485" s="7" t="n">
        <x:v>1</x:v>
      </x:c>
      <x:c r="I2485" s="7" t="str"/>
      <x:c r="J2485" s="7" t="str"/>
      <x:c r="K2485" s="7" t="str"/>
      <x:c r="L2485" s="7" t="str"/>
      <x:c r="M2485" s="7" t="str"/>
      <x:c r="N2485" s="7" t="str"/>
      <x:c r="O2485" s="7" t="str">
        <x:f>IF(N2485="","OPEN",IF(OR(I2485="",J2485="",K2485="",L2485="",M2485=""),"FAIL","PASS"))</x:f>
        <x:v>OPEN</x:v>
      </x:c>
    </x:row>
    <x:row r="2486">
      <x:c r="B2486" s="7" t="str">
        <x:v>CH-PEA-C-Y3-06-2</x:v>
      </x:c>
      <x:c r="C2486" s="7" t="str">
        <x:v>PEA-C-Y3</x:v>
      </x:c>
      <x:c r="D2486" s="7" t="str">
        <x:v>BLD-C</x:v>
      </x:c>
      <x:c r="E2486" s="7" t="str">
        <x:v>BL-Y</x:v>
      </x:c>
      <x:c r="F2486" s="7" t="str">
        <x:v>MF-06</x:v>
      </x:c>
      <x:c r="G2486" s="7" t="str">
        <x:v>pan level</x:v>
      </x:c>
      <x:c r="H2486" s="7" t="n">
        <x:v>2</x:v>
      </x:c>
      <x:c r="I2486" s="7" t="str"/>
      <x:c r="J2486" s="7" t="str"/>
      <x:c r="K2486" s="7" t="str"/>
      <x:c r="L2486" s="7" t="str"/>
      <x:c r="M2486" s="7" t="str"/>
      <x:c r="N2486" s="7" t="str"/>
      <x:c r="O2486" s="7" t="str">
        <x:f>IF(N2486="","OPEN",IF(OR(I2486="",J2486="",K2486="",L2486="",M2486=""),"FAIL","PASS"))</x:f>
        <x:v>OPEN</x:v>
      </x:c>
    </x:row>
    <x:row r="2487">
      <x:c r="B2487" s="7" t="str">
        <x:v>CH-PEA-C-Y3-06-3</x:v>
      </x:c>
      <x:c r="C2487" s="7" t="str">
        <x:v>PEA-C-Y3</x:v>
      </x:c>
      <x:c r="D2487" s="7" t="str">
        <x:v>BLD-C</x:v>
      </x:c>
      <x:c r="E2487" s="7" t="str">
        <x:v>BL-Y</x:v>
      </x:c>
      <x:c r="F2487" s="7" t="str">
        <x:v>MF-06</x:v>
      </x:c>
      <x:c r="G2487" s="7" t="str">
        <x:v>pan level</x:v>
      </x:c>
      <x:c r="H2487" s="7" t="n">
        <x:v>3</x:v>
      </x:c>
      <x:c r="I2487" s="7" t="str"/>
      <x:c r="J2487" s="7" t="str"/>
      <x:c r="K2487" s="7" t="str"/>
      <x:c r="L2487" s="7" t="str"/>
      <x:c r="M2487" s="7" t="str"/>
      <x:c r="N2487" s="7" t="str"/>
      <x:c r="O2487" s="7" t="str">
        <x:f>IF(N2487="","OPEN",IF(OR(I2487="",J2487="",K2487="",L2487="",M2487=""),"FAIL","PASS"))</x:f>
        <x:v>OPEN</x:v>
      </x:c>
    </x:row>
    <x:row r="2488">
      <x:c r="B2488" s="7" t="str">
        <x:v>CH-PEA-C-Y3-06-4</x:v>
      </x:c>
      <x:c r="C2488" s="7" t="str">
        <x:v>PEA-C-Y3</x:v>
      </x:c>
      <x:c r="D2488" s="7" t="str">
        <x:v>BLD-C</x:v>
      </x:c>
      <x:c r="E2488" s="7" t="str">
        <x:v>BL-Y</x:v>
      </x:c>
      <x:c r="F2488" s="7" t="str">
        <x:v>MF-06</x:v>
      </x:c>
      <x:c r="G2488" s="7" t="str">
        <x:v>pan level</x:v>
      </x:c>
      <x:c r="H2488" s="7" t="n">
        <x:v>4</x:v>
      </x:c>
      <x:c r="I2488" s="7" t="str"/>
      <x:c r="J2488" s="7" t="str"/>
      <x:c r="K2488" s="7" t="str"/>
      <x:c r="L2488" s="7" t="str"/>
      <x:c r="M2488" s="7" t="str"/>
      <x:c r="N2488" s="7" t="str"/>
      <x:c r="O2488" s="7" t="str">
        <x:f>IF(N2488="","OPEN",IF(OR(I2488="",J2488="",K2488="",L2488="",M2488=""),"FAIL","PASS"))</x:f>
        <x:v>OPEN</x:v>
      </x:c>
    </x:row>
    <x:row r="2489">
      <x:c r="B2489" s="7" t="str">
        <x:v>CH-PEA-C-Y3-06-5</x:v>
      </x:c>
      <x:c r="C2489" s="7" t="str">
        <x:v>PEA-C-Y3</x:v>
      </x:c>
      <x:c r="D2489" s="7" t="str">
        <x:v>BLD-C</x:v>
      </x:c>
      <x:c r="E2489" s="7" t="str">
        <x:v>BL-Y</x:v>
      </x:c>
      <x:c r="F2489" s="7" t="str">
        <x:v>MF-06</x:v>
      </x:c>
      <x:c r="G2489" s="7" t="str">
        <x:v>pan level</x:v>
      </x:c>
      <x:c r="H2489" s="7" t="n">
        <x:v>5</x:v>
      </x:c>
      <x:c r="I2489" s="7" t="str"/>
      <x:c r="J2489" s="7" t="str"/>
      <x:c r="K2489" s="7" t="str"/>
      <x:c r="L2489" s="7" t="str"/>
      <x:c r="M2489" s="7" t="str"/>
      <x:c r="N2489" s="7" t="str"/>
      <x:c r="O2489" s="7" t="str">
        <x:f>IF(N2489="","OPEN",IF(OR(I2489="",J2489="",K2489="",L2489="",M2489=""),"FAIL","PASS"))</x:f>
        <x:v>OPEN</x:v>
      </x:c>
    </x:row>
    <x:row r="2490">
      <x:c r="B2490" s="7" t="str">
        <x:v>CH-PEA-C-Y3-06-6</x:v>
      </x:c>
      <x:c r="C2490" s="7" t="str">
        <x:v>PEA-C-Y3</x:v>
      </x:c>
      <x:c r="D2490" s="7" t="str">
        <x:v>BLD-C</x:v>
      </x:c>
      <x:c r="E2490" s="7" t="str">
        <x:v>BL-Y</x:v>
      </x:c>
      <x:c r="F2490" s="7" t="str">
        <x:v>MF-06</x:v>
      </x:c>
      <x:c r="G2490" s="7" t="str">
        <x:v>pan level</x:v>
      </x:c>
      <x:c r="H2490" s="7" t="n">
        <x:v>6</x:v>
      </x:c>
      <x:c r="I2490" s="7" t="str"/>
      <x:c r="J2490" s="7" t="str"/>
      <x:c r="K2490" s="7" t="str"/>
      <x:c r="L2490" s="7" t="str"/>
      <x:c r="M2490" s="7" t="str"/>
      <x:c r="N2490" s="7" t="str"/>
      <x:c r="O2490" s="7" t="str">
        <x:f>IF(N2490="","OPEN",IF(OR(I2490="",J2490="",K2490="",L2490="",M2490=""),"FAIL","PASS"))</x:f>
        <x:v>OPEN</x:v>
      </x:c>
    </x:row>
    <x:row r="2491">
      <x:c r="B2491" s="7" t="str">
        <x:v>CH-PEA-C-Y3-07-1</x:v>
      </x:c>
      <x:c r="C2491" s="7" t="str">
        <x:v>PEA-C-Y3</x:v>
      </x:c>
      <x:c r="D2491" s="7" t="str">
        <x:v>BLD-C</x:v>
      </x:c>
      <x:c r="E2491" s="7" t="str">
        <x:v>BL-Y</x:v>
      </x:c>
      <x:c r="F2491" s="7" t="str">
        <x:v>MF-07</x:v>
      </x:c>
      <x:c r="G2491" s="7" t="str">
        <x:v>normal receiver mass</x:v>
      </x:c>
      <x:c r="H2491" s="7" t="n">
        <x:v>1</x:v>
      </x:c>
      <x:c r="I2491" s="7" t="str"/>
      <x:c r="J2491" s="7" t="str"/>
      <x:c r="K2491" s="7" t="str"/>
      <x:c r="L2491" s="7" t="str"/>
      <x:c r="M2491" s="7" t="str"/>
      <x:c r="N2491" s="7" t="str"/>
      <x:c r="O2491" s="7" t="str">
        <x:f>IF(N2491="","OPEN",IF(OR(I2491="",J2491="",K2491="",L2491="",M2491=""),"FAIL","PASS"))</x:f>
        <x:v>OPEN</x:v>
      </x:c>
    </x:row>
    <x:row r="2492">
      <x:c r="B2492" s="7" t="str">
        <x:v>CH-PEA-C-Y3-07-2</x:v>
      </x:c>
      <x:c r="C2492" s="7" t="str">
        <x:v>PEA-C-Y3</x:v>
      </x:c>
      <x:c r="D2492" s="7" t="str">
        <x:v>BLD-C</x:v>
      </x:c>
      <x:c r="E2492" s="7" t="str">
        <x:v>BL-Y</x:v>
      </x:c>
      <x:c r="F2492" s="7" t="str">
        <x:v>MF-07</x:v>
      </x:c>
      <x:c r="G2492" s="7" t="str">
        <x:v>normal receiver mass</x:v>
      </x:c>
      <x:c r="H2492" s="7" t="n">
        <x:v>2</x:v>
      </x:c>
      <x:c r="I2492" s="7" t="str"/>
      <x:c r="J2492" s="7" t="str"/>
      <x:c r="K2492" s="7" t="str"/>
      <x:c r="L2492" s="7" t="str"/>
      <x:c r="M2492" s="7" t="str"/>
      <x:c r="N2492" s="7" t="str"/>
      <x:c r="O2492" s="7" t="str">
        <x:f>IF(N2492="","OPEN",IF(OR(I2492="",J2492="",K2492="",L2492="",M2492=""),"FAIL","PASS"))</x:f>
        <x:v>OPEN</x:v>
      </x:c>
    </x:row>
    <x:row r="2493">
      <x:c r="B2493" s="7" t="str">
        <x:v>CH-PEA-C-Y3-07-3</x:v>
      </x:c>
      <x:c r="C2493" s="7" t="str">
        <x:v>PEA-C-Y3</x:v>
      </x:c>
      <x:c r="D2493" s="7" t="str">
        <x:v>BLD-C</x:v>
      </x:c>
      <x:c r="E2493" s="7" t="str">
        <x:v>BL-Y</x:v>
      </x:c>
      <x:c r="F2493" s="7" t="str">
        <x:v>MF-07</x:v>
      </x:c>
      <x:c r="G2493" s="7" t="str">
        <x:v>normal receiver mass</x:v>
      </x:c>
      <x:c r="H2493" s="7" t="n">
        <x:v>3</x:v>
      </x:c>
      <x:c r="I2493" s="7" t="str"/>
      <x:c r="J2493" s="7" t="str"/>
      <x:c r="K2493" s="7" t="str"/>
      <x:c r="L2493" s="7" t="str"/>
      <x:c r="M2493" s="7" t="str"/>
      <x:c r="N2493" s="7" t="str"/>
      <x:c r="O2493" s="7" t="str">
        <x:f>IF(N2493="","OPEN",IF(OR(I2493="",J2493="",K2493="",L2493="",M2493=""),"FAIL","PASS"))</x:f>
        <x:v>OPEN</x:v>
      </x:c>
    </x:row>
    <x:row r="2494">
      <x:c r="B2494" s="7" t="str">
        <x:v>CH-PEA-C-Y3-07-4</x:v>
      </x:c>
      <x:c r="C2494" s="7" t="str">
        <x:v>PEA-C-Y3</x:v>
      </x:c>
      <x:c r="D2494" s="7" t="str">
        <x:v>BLD-C</x:v>
      </x:c>
      <x:c r="E2494" s="7" t="str">
        <x:v>BL-Y</x:v>
      </x:c>
      <x:c r="F2494" s="7" t="str">
        <x:v>MF-07</x:v>
      </x:c>
      <x:c r="G2494" s="7" t="str">
        <x:v>normal receiver mass</x:v>
      </x:c>
      <x:c r="H2494" s="7" t="n">
        <x:v>4</x:v>
      </x:c>
      <x:c r="I2494" s="7" t="str"/>
      <x:c r="J2494" s="7" t="str"/>
      <x:c r="K2494" s="7" t="str"/>
      <x:c r="L2494" s="7" t="str"/>
      <x:c r="M2494" s="7" t="str"/>
      <x:c r="N2494" s="7" t="str"/>
      <x:c r="O2494" s="7" t="str">
        <x:f>IF(N2494="","OPEN",IF(OR(I2494="",J2494="",K2494="",L2494="",M2494=""),"FAIL","PASS"))</x:f>
        <x:v>OPEN</x:v>
      </x:c>
    </x:row>
    <x:row r="2495">
      <x:c r="B2495" s="7" t="str">
        <x:v>CH-PEA-C-Y3-07-5</x:v>
      </x:c>
      <x:c r="C2495" s="7" t="str">
        <x:v>PEA-C-Y3</x:v>
      </x:c>
      <x:c r="D2495" s="7" t="str">
        <x:v>BLD-C</x:v>
      </x:c>
      <x:c r="E2495" s="7" t="str">
        <x:v>BL-Y</x:v>
      </x:c>
      <x:c r="F2495" s="7" t="str">
        <x:v>MF-07</x:v>
      </x:c>
      <x:c r="G2495" s="7" t="str">
        <x:v>normal receiver mass</x:v>
      </x:c>
      <x:c r="H2495" s="7" t="n">
        <x:v>5</x:v>
      </x:c>
      <x:c r="I2495" s="7" t="str"/>
      <x:c r="J2495" s="7" t="str"/>
      <x:c r="K2495" s="7" t="str"/>
      <x:c r="L2495" s="7" t="str"/>
      <x:c r="M2495" s="7" t="str"/>
      <x:c r="N2495" s="7" t="str"/>
      <x:c r="O2495" s="7" t="str">
        <x:f>IF(N2495="","OPEN",IF(OR(I2495="",J2495="",K2495="",L2495="",M2495=""),"FAIL","PASS"))</x:f>
        <x:v>OPEN</x:v>
      </x:c>
    </x:row>
    <x:row r="2496">
      <x:c r="B2496" s="7" t="str">
        <x:v>CH-PEA-C-Y3-07-6</x:v>
      </x:c>
      <x:c r="C2496" s="7" t="str">
        <x:v>PEA-C-Y3</x:v>
      </x:c>
      <x:c r="D2496" s="7" t="str">
        <x:v>BLD-C</x:v>
      </x:c>
      <x:c r="E2496" s="7" t="str">
        <x:v>BL-Y</x:v>
      </x:c>
      <x:c r="F2496" s="7" t="str">
        <x:v>MF-07</x:v>
      </x:c>
      <x:c r="G2496" s="7" t="str">
        <x:v>normal receiver mass</x:v>
      </x:c>
      <x:c r="H2496" s="7" t="n">
        <x:v>6</x:v>
      </x:c>
      <x:c r="I2496" s="7" t="str"/>
      <x:c r="J2496" s="7" t="str"/>
      <x:c r="K2496" s="7" t="str"/>
      <x:c r="L2496" s="7" t="str"/>
      <x:c r="M2496" s="7" t="str"/>
      <x:c r="N2496" s="7" t="str"/>
      <x:c r="O2496" s="7" t="str">
        <x:f>IF(N2496="","OPEN",IF(OR(I2496="",J2496="",K2496="",L2496="",M2496=""),"FAIL","PASS"))</x:f>
        <x:v>OPEN</x:v>
      </x:c>
    </x:row>
    <x:row r="2497">
      <x:c r="B2497" s="7" t="str">
        <x:v>CH-PEA-C-Y3-08-1</x:v>
      </x:c>
      <x:c r="C2497" s="7" t="str">
        <x:v>PEA-C-Y3</x:v>
      </x:c>
      <x:c r="D2497" s="7" t="str">
        <x:v>BLD-C</x:v>
      </x:c>
      <x:c r="E2497" s="7" t="str">
        <x:v>BL-Y</x:v>
      </x:c>
      <x:c r="F2497" s="7" t="str">
        <x:v>MF-08</x:v>
      </x:c>
      <x:c r="G2497" s="7" t="str">
        <x:v>casualty receiver mass</x:v>
      </x:c>
      <x:c r="H2497" s="7" t="n">
        <x:v>1</x:v>
      </x:c>
      <x:c r="I2497" s="7" t="str"/>
      <x:c r="J2497" s="7" t="str"/>
      <x:c r="K2497" s="7" t="str"/>
      <x:c r="L2497" s="7" t="str"/>
      <x:c r="M2497" s="7" t="str"/>
      <x:c r="N2497" s="7" t="str"/>
      <x:c r="O2497" s="7" t="str">
        <x:f>IF(N2497="","OPEN",IF(OR(I2497="",J2497="",K2497="",L2497="",M2497=""),"FAIL","PASS"))</x:f>
        <x:v>OPEN</x:v>
      </x:c>
    </x:row>
    <x:row r="2498">
      <x:c r="B2498" s="7" t="str">
        <x:v>CH-PEA-C-Y3-08-2</x:v>
      </x:c>
      <x:c r="C2498" s="7" t="str">
        <x:v>PEA-C-Y3</x:v>
      </x:c>
      <x:c r="D2498" s="7" t="str">
        <x:v>BLD-C</x:v>
      </x:c>
      <x:c r="E2498" s="7" t="str">
        <x:v>BL-Y</x:v>
      </x:c>
      <x:c r="F2498" s="7" t="str">
        <x:v>MF-08</x:v>
      </x:c>
      <x:c r="G2498" s="7" t="str">
        <x:v>casualty receiver mass</x:v>
      </x:c>
      <x:c r="H2498" s="7" t="n">
        <x:v>2</x:v>
      </x:c>
      <x:c r="I2498" s="7" t="str"/>
      <x:c r="J2498" s="7" t="str"/>
      <x:c r="K2498" s="7" t="str"/>
      <x:c r="L2498" s="7" t="str"/>
      <x:c r="M2498" s="7" t="str"/>
      <x:c r="N2498" s="7" t="str"/>
      <x:c r="O2498" s="7" t="str">
        <x:f>IF(N2498="","OPEN",IF(OR(I2498="",J2498="",K2498="",L2498="",M2498=""),"FAIL","PASS"))</x:f>
        <x:v>OPEN</x:v>
      </x:c>
    </x:row>
    <x:row r="2499">
      <x:c r="B2499" s="7" t="str">
        <x:v>CH-PEA-C-Y3-08-3</x:v>
      </x:c>
      <x:c r="C2499" s="7" t="str">
        <x:v>PEA-C-Y3</x:v>
      </x:c>
      <x:c r="D2499" s="7" t="str">
        <x:v>BLD-C</x:v>
      </x:c>
      <x:c r="E2499" s="7" t="str">
        <x:v>BL-Y</x:v>
      </x:c>
      <x:c r="F2499" s="7" t="str">
        <x:v>MF-08</x:v>
      </x:c>
      <x:c r="G2499" s="7" t="str">
        <x:v>casualty receiver mass</x:v>
      </x:c>
      <x:c r="H2499" s="7" t="n">
        <x:v>3</x:v>
      </x:c>
      <x:c r="I2499" s="7" t="str"/>
      <x:c r="J2499" s="7" t="str"/>
      <x:c r="K2499" s="7" t="str"/>
      <x:c r="L2499" s="7" t="str"/>
      <x:c r="M2499" s="7" t="str"/>
      <x:c r="N2499" s="7" t="str"/>
      <x:c r="O2499" s="7" t="str">
        <x:f>IF(N2499="","OPEN",IF(OR(I2499="",J2499="",K2499="",L2499="",M2499=""),"FAIL","PASS"))</x:f>
        <x:v>OPEN</x:v>
      </x:c>
    </x:row>
    <x:row r="2500">
      <x:c r="B2500" s="7" t="str">
        <x:v>CH-PEA-C-Y3-08-4</x:v>
      </x:c>
      <x:c r="C2500" s="7" t="str">
        <x:v>PEA-C-Y3</x:v>
      </x:c>
      <x:c r="D2500" s="7" t="str">
        <x:v>BLD-C</x:v>
      </x:c>
      <x:c r="E2500" s="7" t="str">
        <x:v>BL-Y</x:v>
      </x:c>
      <x:c r="F2500" s="7" t="str">
        <x:v>MF-08</x:v>
      </x:c>
      <x:c r="G2500" s="7" t="str">
        <x:v>casualty receiver mass</x:v>
      </x:c>
      <x:c r="H2500" s="7" t="n">
        <x:v>4</x:v>
      </x:c>
      <x:c r="I2500" s="7" t="str"/>
      <x:c r="J2500" s="7" t="str"/>
      <x:c r="K2500" s="7" t="str"/>
      <x:c r="L2500" s="7" t="str"/>
      <x:c r="M2500" s="7" t="str"/>
      <x:c r="N2500" s="7" t="str"/>
      <x:c r="O2500" s="7" t="str">
        <x:f>IF(N2500="","OPEN",IF(OR(I2500="",J2500="",K2500="",L2500="",M2500=""),"FAIL","PASS"))</x:f>
        <x:v>OPEN</x:v>
      </x:c>
    </x:row>
    <x:row r="2501">
      <x:c r="B2501" s="7" t="str">
        <x:v>CH-PEA-C-Y3-08-5</x:v>
      </x:c>
      <x:c r="C2501" s="7" t="str">
        <x:v>PEA-C-Y3</x:v>
      </x:c>
      <x:c r="D2501" s="7" t="str">
        <x:v>BLD-C</x:v>
      </x:c>
      <x:c r="E2501" s="7" t="str">
        <x:v>BL-Y</x:v>
      </x:c>
      <x:c r="F2501" s="7" t="str">
        <x:v>MF-08</x:v>
      </x:c>
      <x:c r="G2501" s="7" t="str">
        <x:v>casualty receiver mass</x:v>
      </x:c>
      <x:c r="H2501" s="7" t="n">
        <x:v>5</x:v>
      </x:c>
      <x:c r="I2501" s="7" t="str"/>
      <x:c r="J2501" s="7" t="str"/>
      <x:c r="K2501" s="7" t="str"/>
      <x:c r="L2501" s="7" t="str"/>
      <x:c r="M2501" s="7" t="str"/>
      <x:c r="N2501" s="7" t="str"/>
      <x:c r="O2501" s="7" t="str">
        <x:f>IF(N2501="","OPEN",IF(OR(I2501="",J2501="",K2501="",L2501="",M2501=""),"FAIL","PASS"))</x:f>
        <x:v>OPEN</x:v>
      </x:c>
    </x:row>
    <x:row r="2502">
      <x:c r="B2502" s="7" t="str">
        <x:v>CH-PEA-C-Y3-08-6</x:v>
      </x:c>
      <x:c r="C2502" s="7" t="str">
        <x:v>PEA-C-Y3</x:v>
      </x:c>
      <x:c r="D2502" s="7" t="str">
        <x:v>BLD-C</x:v>
      </x:c>
      <x:c r="E2502" s="7" t="str">
        <x:v>BL-Y</x:v>
      </x:c>
      <x:c r="F2502" s="7" t="str">
        <x:v>MF-08</x:v>
      </x:c>
      <x:c r="G2502" s="7" t="str">
        <x:v>casualty receiver mass</x:v>
      </x:c>
      <x:c r="H2502" s="7" t="n">
        <x:v>6</x:v>
      </x:c>
      <x:c r="I2502" s="7" t="str"/>
      <x:c r="J2502" s="7" t="str"/>
      <x:c r="K2502" s="7" t="str"/>
      <x:c r="L2502" s="7" t="str"/>
      <x:c r="M2502" s="7" t="str"/>
      <x:c r="N2502" s="7" t="str"/>
      <x:c r="O2502" s="7" t="str">
        <x:f>IF(N2502="","OPEN",IF(OR(I2502="",J2502="",K2502="",L2502="",M2502=""),"FAIL","PASS"))</x:f>
        <x:v>OPEN</x:v>
      </x:c>
    </x:row>
    <x:row r="2503">
      <x:c r="B2503" s="7" t="str">
        <x:v>CH-PEA-C-Y3-09-1</x:v>
      </x:c>
      <x:c r="C2503" s="7" t="str">
        <x:v>PEA-C-Y3</x:v>
      </x:c>
      <x:c r="D2503" s="7" t="str">
        <x:v>BLD-C</x:v>
      </x:c>
      <x:c r="E2503" s="7" t="str">
        <x:v>BL-Y</x:v>
      </x:c>
      <x:c r="F2503" s="7" t="str">
        <x:v>MF-09</x:v>
      </x:c>
      <x:c r="G2503" s="7" t="str">
        <x:v>geometry and slope</x:v>
      </x:c>
      <x:c r="H2503" s="7" t="n">
        <x:v>1</x:v>
      </x:c>
      <x:c r="I2503" s="7" t="str"/>
      <x:c r="J2503" s="7" t="str"/>
      <x:c r="K2503" s="7" t="str"/>
      <x:c r="L2503" s="7" t="str"/>
      <x:c r="M2503" s="7" t="str"/>
      <x:c r="N2503" s="7" t="str"/>
      <x:c r="O2503" s="7" t="str">
        <x:f>IF(N2503="","OPEN",IF(OR(I2503="",J2503="",K2503="",L2503="",M2503=""),"FAIL","PASS"))</x:f>
        <x:v>OPEN</x:v>
      </x:c>
    </x:row>
    <x:row r="2504">
      <x:c r="B2504" s="7" t="str">
        <x:v>CH-PEA-C-Y3-09-2</x:v>
      </x:c>
      <x:c r="C2504" s="7" t="str">
        <x:v>PEA-C-Y3</x:v>
      </x:c>
      <x:c r="D2504" s="7" t="str">
        <x:v>BLD-C</x:v>
      </x:c>
      <x:c r="E2504" s="7" t="str">
        <x:v>BL-Y</x:v>
      </x:c>
      <x:c r="F2504" s="7" t="str">
        <x:v>MF-09</x:v>
      </x:c>
      <x:c r="G2504" s="7" t="str">
        <x:v>geometry and slope</x:v>
      </x:c>
      <x:c r="H2504" s="7" t="n">
        <x:v>2</x:v>
      </x:c>
      <x:c r="I2504" s="7" t="str"/>
      <x:c r="J2504" s="7" t="str"/>
      <x:c r="K2504" s="7" t="str"/>
      <x:c r="L2504" s="7" t="str"/>
      <x:c r="M2504" s="7" t="str"/>
      <x:c r="N2504" s="7" t="str"/>
      <x:c r="O2504" s="7" t="str">
        <x:f>IF(N2504="","OPEN",IF(OR(I2504="",J2504="",K2504="",L2504="",M2504=""),"FAIL","PASS"))</x:f>
        <x:v>OPEN</x:v>
      </x:c>
    </x:row>
    <x:row r="2505">
      <x:c r="B2505" s="7" t="str">
        <x:v>CH-PEA-C-Y3-09-3</x:v>
      </x:c>
      <x:c r="C2505" s="7" t="str">
        <x:v>PEA-C-Y3</x:v>
      </x:c>
      <x:c r="D2505" s="7" t="str">
        <x:v>BLD-C</x:v>
      </x:c>
      <x:c r="E2505" s="7" t="str">
        <x:v>BL-Y</x:v>
      </x:c>
      <x:c r="F2505" s="7" t="str">
        <x:v>MF-09</x:v>
      </x:c>
      <x:c r="G2505" s="7" t="str">
        <x:v>geometry and slope</x:v>
      </x:c>
      <x:c r="H2505" s="7" t="n">
        <x:v>3</x:v>
      </x:c>
      <x:c r="I2505" s="7" t="str"/>
      <x:c r="J2505" s="7" t="str"/>
      <x:c r="K2505" s="7" t="str"/>
      <x:c r="L2505" s="7" t="str"/>
      <x:c r="M2505" s="7" t="str"/>
      <x:c r="N2505" s="7" t="str"/>
      <x:c r="O2505" s="7" t="str">
        <x:f>IF(N2505="","OPEN",IF(OR(I2505="",J2505="",K2505="",L2505="",M2505=""),"FAIL","PASS"))</x:f>
        <x:v>OPEN</x:v>
      </x:c>
    </x:row>
    <x:row r="2506">
      <x:c r="B2506" s="7" t="str">
        <x:v>CH-PEA-C-Y3-09-4</x:v>
      </x:c>
      <x:c r="C2506" s="7" t="str">
        <x:v>PEA-C-Y3</x:v>
      </x:c>
      <x:c r="D2506" s="7" t="str">
        <x:v>BLD-C</x:v>
      </x:c>
      <x:c r="E2506" s="7" t="str">
        <x:v>BL-Y</x:v>
      </x:c>
      <x:c r="F2506" s="7" t="str">
        <x:v>MF-09</x:v>
      </x:c>
      <x:c r="G2506" s="7" t="str">
        <x:v>geometry and slope</x:v>
      </x:c>
      <x:c r="H2506" s="7" t="n">
        <x:v>4</x:v>
      </x:c>
      <x:c r="I2506" s="7" t="str"/>
      <x:c r="J2506" s="7" t="str"/>
      <x:c r="K2506" s="7" t="str"/>
      <x:c r="L2506" s="7" t="str"/>
      <x:c r="M2506" s="7" t="str"/>
      <x:c r="N2506" s="7" t="str"/>
      <x:c r="O2506" s="7" t="str">
        <x:f>IF(N2506="","OPEN",IF(OR(I2506="",J2506="",K2506="",L2506="",M2506=""),"FAIL","PASS"))</x:f>
        <x:v>OPEN</x:v>
      </x:c>
    </x:row>
    <x:row r="2507">
      <x:c r="B2507" s="7" t="str">
        <x:v>CH-PEA-C-Y3-09-5</x:v>
      </x:c>
      <x:c r="C2507" s="7" t="str">
        <x:v>PEA-C-Y3</x:v>
      </x:c>
      <x:c r="D2507" s="7" t="str">
        <x:v>BLD-C</x:v>
      </x:c>
      <x:c r="E2507" s="7" t="str">
        <x:v>BL-Y</x:v>
      </x:c>
      <x:c r="F2507" s="7" t="str">
        <x:v>MF-09</x:v>
      </x:c>
      <x:c r="G2507" s="7" t="str">
        <x:v>geometry and slope</x:v>
      </x:c>
      <x:c r="H2507" s="7" t="n">
        <x:v>5</x:v>
      </x:c>
      <x:c r="I2507" s="7" t="str"/>
      <x:c r="J2507" s="7" t="str"/>
      <x:c r="K2507" s="7" t="str"/>
      <x:c r="L2507" s="7" t="str"/>
      <x:c r="M2507" s="7" t="str"/>
      <x:c r="N2507" s="7" t="str"/>
      <x:c r="O2507" s="7" t="str">
        <x:f>IF(N2507="","OPEN",IF(OR(I2507="",J2507="",K2507="",L2507="",M2507=""),"FAIL","PASS"))</x:f>
        <x:v>OPEN</x:v>
      </x:c>
    </x:row>
    <x:row r="2508">
      <x:c r="B2508" s="7" t="str">
        <x:v>CH-PEA-C-Y3-09-6</x:v>
      </x:c>
      <x:c r="C2508" s="7" t="str">
        <x:v>PEA-C-Y3</x:v>
      </x:c>
      <x:c r="D2508" s="7" t="str">
        <x:v>BLD-C</x:v>
      </x:c>
      <x:c r="E2508" s="7" t="str">
        <x:v>BL-Y</x:v>
      </x:c>
      <x:c r="F2508" s="7" t="str">
        <x:v>MF-09</x:v>
      </x:c>
      <x:c r="G2508" s="7" t="str">
        <x:v>geometry and slope</x:v>
      </x:c>
      <x:c r="H2508" s="7" t="n">
        <x:v>6</x:v>
      </x:c>
      <x:c r="I2508" s="7" t="str"/>
      <x:c r="J2508" s="7" t="str"/>
      <x:c r="K2508" s="7" t="str"/>
      <x:c r="L2508" s="7" t="str"/>
      <x:c r="M2508" s="7" t="str"/>
      <x:c r="N2508" s="7" t="str"/>
      <x:c r="O2508" s="7" t="str">
        <x:f>IF(N2508="","OPEN",IF(OR(I2508="",J2508="",K2508="",L2508="",M2508=""),"FAIL","PASS"))</x:f>
        <x:v>OPEN</x:v>
      </x:c>
    </x:row>
    <x:row r="2509">
      <x:c r="B2509" s="7" t="str">
        <x:v>CH-PEA-C-Y3-10-1</x:v>
      </x:c>
      <x:c r="C2509" s="7" t="str">
        <x:v>PEA-C-Y3</x:v>
      </x:c>
      <x:c r="D2509" s="7" t="str">
        <x:v>BLD-C</x:v>
      </x:c>
      <x:c r="E2509" s="7" t="str">
        <x:v>BL-Y</x:v>
      </x:c>
      <x:c r="F2509" s="7" t="str">
        <x:v>MF-10</x:v>
      </x:c>
      <x:c r="G2509" s="7" t="str">
        <x:v>normal-source path state</x:v>
      </x:c>
      <x:c r="H2509" s="7" t="n">
        <x:v>1</x:v>
      </x:c>
      <x:c r="I2509" s="7" t="str"/>
      <x:c r="J2509" s="7" t="str"/>
      <x:c r="K2509" s="7" t="str"/>
      <x:c r="L2509" s="7" t="str"/>
      <x:c r="M2509" s="7" t="str"/>
      <x:c r="N2509" s="7" t="str"/>
      <x:c r="O2509" s="7" t="str">
        <x:f>IF(N2509="","OPEN",IF(OR(I2509="",J2509="",K2509="",L2509="",M2509=""),"FAIL","PASS"))</x:f>
        <x:v>OPEN</x:v>
      </x:c>
    </x:row>
    <x:row r="2510">
      <x:c r="B2510" s="7" t="str">
        <x:v>CH-PEA-C-Y3-10-2</x:v>
      </x:c>
      <x:c r="C2510" s="7" t="str">
        <x:v>PEA-C-Y3</x:v>
      </x:c>
      <x:c r="D2510" s="7" t="str">
        <x:v>BLD-C</x:v>
      </x:c>
      <x:c r="E2510" s="7" t="str">
        <x:v>BL-Y</x:v>
      </x:c>
      <x:c r="F2510" s="7" t="str">
        <x:v>MF-10</x:v>
      </x:c>
      <x:c r="G2510" s="7" t="str">
        <x:v>normal-source path state</x:v>
      </x:c>
      <x:c r="H2510" s="7" t="n">
        <x:v>2</x:v>
      </x:c>
      <x:c r="I2510" s="7" t="str"/>
      <x:c r="J2510" s="7" t="str"/>
      <x:c r="K2510" s="7" t="str"/>
      <x:c r="L2510" s="7" t="str"/>
      <x:c r="M2510" s="7" t="str"/>
      <x:c r="N2510" s="7" t="str"/>
      <x:c r="O2510" s="7" t="str">
        <x:f>IF(N2510="","OPEN",IF(OR(I2510="",J2510="",K2510="",L2510="",M2510=""),"FAIL","PASS"))</x:f>
        <x:v>OPEN</x:v>
      </x:c>
    </x:row>
    <x:row r="2511">
      <x:c r="B2511" s="7" t="str">
        <x:v>CH-PEA-C-Y3-10-3</x:v>
      </x:c>
      <x:c r="C2511" s="7" t="str">
        <x:v>PEA-C-Y3</x:v>
      </x:c>
      <x:c r="D2511" s="7" t="str">
        <x:v>BLD-C</x:v>
      </x:c>
      <x:c r="E2511" s="7" t="str">
        <x:v>BL-Y</x:v>
      </x:c>
      <x:c r="F2511" s="7" t="str">
        <x:v>MF-10</x:v>
      </x:c>
      <x:c r="G2511" s="7" t="str">
        <x:v>normal-source path state</x:v>
      </x:c>
      <x:c r="H2511" s="7" t="n">
        <x:v>3</x:v>
      </x:c>
      <x:c r="I2511" s="7" t="str"/>
      <x:c r="J2511" s="7" t="str"/>
      <x:c r="K2511" s="7" t="str"/>
      <x:c r="L2511" s="7" t="str"/>
      <x:c r="M2511" s="7" t="str"/>
      <x:c r="N2511" s="7" t="str"/>
      <x:c r="O2511" s="7" t="str">
        <x:f>IF(N2511="","OPEN",IF(OR(I2511="",J2511="",K2511="",L2511="",M2511=""),"FAIL","PASS"))</x:f>
        <x:v>OPEN</x:v>
      </x:c>
    </x:row>
    <x:row r="2512">
      <x:c r="B2512" s="7" t="str">
        <x:v>CH-PEA-C-Y3-10-4</x:v>
      </x:c>
      <x:c r="C2512" s="7" t="str">
        <x:v>PEA-C-Y3</x:v>
      </x:c>
      <x:c r="D2512" s="7" t="str">
        <x:v>BLD-C</x:v>
      </x:c>
      <x:c r="E2512" s="7" t="str">
        <x:v>BL-Y</x:v>
      </x:c>
      <x:c r="F2512" s="7" t="str">
        <x:v>MF-10</x:v>
      </x:c>
      <x:c r="G2512" s="7" t="str">
        <x:v>normal-source path state</x:v>
      </x:c>
      <x:c r="H2512" s="7" t="n">
        <x:v>4</x:v>
      </x:c>
      <x:c r="I2512" s="7" t="str"/>
      <x:c r="J2512" s="7" t="str"/>
      <x:c r="K2512" s="7" t="str"/>
      <x:c r="L2512" s="7" t="str"/>
      <x:c r="M2512" s="7" t="str"/>
      <x:c r="N2512" s="7" t="str"/>
      <x:c r="O2512" s="7" t="str">
        <x:f>IF(N2512="","OPEN",IF(OR(I2512="",J2512="",K2512="",L2512="",M2512=""),"FAIL","PASS"))</x:f>
        <x:v>OPEN</x:v>
      </x:c>
    </x:row>
    <x:row r="2513">
      <x:c r="B2513" s="7" t="str">
        <x:v>CH-PEA-C-Y3-10-5</x:v>
      </x:c>
      <x:c r="C2513" s="7" t="str">
        <x:v>PEA-C-Y3</x:v>
      </x:c>
      <x:c r="D2513" s="7" t="str">
        <x:v>BLD-C</x:v>
      </x:c>
      <x:c r="E2513" s="7" t="str">
        <x:v>BL-Y</x:v>
      </x:c>
      <x:c r="F2513" s="7" t="str">
        <x:v>MF-10</x:v>
      </x:c>
      <x:c r="G2513" s="7" t="str">
        <x:v>normal-source path state</x:v>
      </x:c>
      <x:c r="H2513" s="7" t="n">
        <x:v>5</x:v>
      </x:c>
      <x:c r="I2513" s="7" t="str"/>
      <x:c r="J2513" s="7" t="str"/>
      <x:c r="K2513" s="7" t="str"/>
      <x:c r="L2513" s="7" t="str"/>
      <x:c r="M2513" s="7" t="str"/>
      <x:c r="N2513" s="7" t="str"/>
      <x:c r="O2513" s="7" t="str">
        <x:f>IF(N2513="","OPEN",IF(OR(I2513="",J2513="",K2513="",L2513="",M2513=""),"FAIL","PASS"))</x:f>
        <x:v>OPEN</x:v>
      </x:c>
    </x:row>
    <x:row r="2514">
      <x:c r="B2514" s="7" t="str">
        <x:v>CH-PEA-C-Y3-10-6</x:v>
      </x:c>
      <x:c r="C2514" s="7" t="str">
        <x:v>PEA-C-Y3</x:v>
      </x:c>
      <x:c r="D2514" s="7" t="str">
        <x:v>BLD-C</x:v>
      </x:c>
      <x:c r="E2514" s="7" t="str">
        <x:v>BL-Y</x:v>
      </x:c>
      <x:c r="F2514" s="7" t="str">
        <x:v>MF-10</x:v>
      </x:c>
      <x:c r="G2514" s="7" t="str">
        <x:v>normal-source path state</x:v>
      </x:c>
      <x:c r="H2514" s="7" t="n">
        <x:v>6</x:v>
      </x:c>
      <x:c r="I2514" s="7" t="str"/>
      <x:c r="J2514" s="7" t="str"/>
      <x:c r="K2514" s="7" t="str"/>
      <x:c r="L2514" s="7" t="str"/>
      <x:c r="M2514" s="7" t="str"/>
      <x:c r="N2514" s="7" t="str"/>
      <x:c r="O2514" s="7" t="str">
        <x:f>IF(N2514="","OPEN",IF(OR(I2514="",J2514="",K2514="",L2514="",M2514=""),"FAIL","PASS"))</x:f>
        <x:v>OPEN</x:v>
      </x:c>
    </x:row>
    <x:row r="2515">
      <x:c r="B2515" s="7" t="str">
        <x:v>CH-PEA-C-Y3-11-1</x:v>
      </x:c>
      <x:c r="C2515" s="7" t="str">
        <x:v>PEA-C-Y3</x:v>
      </x:c>
      <x:c r="D2515" s="7" t="str">
        <x:v>BLD-C</x:v>
      </x:c>
      <x:c r="E2515" s="7" t="str">
        <x:v>BL-Y</x:v>
      </x:c>
      <x:c r="F2515" s="7" t="str">
        <x:v>MF-11</x:v>
      </x:c>
      <x:c r="G2515" s="7" t="str">
        <x:v>casualty-source path state</x:v>
      </x:c>
      <x:c r="H2515" s="7" t="n">
        <x:v>1</x:v>
      </x:c>
      <x:c r="I2515" s="7" t="str"/>
      <x:c r="J2515" s="7" t="str"/>
      <x:c r="K2515" s="7" t="str"/>
      <x:c r="L2515" s="7" t="str"/>
      <x:c r="M2515" s="7" t="str"/>
      <x:c r="N2515" s="7" t="str"/>
      <x:c r="O2515" s="7" t="str">
        <x:f>IF(N2515="","OPEN",IF(OR(I2515="",J2515="",K2515="",L2515="",M2515=""),"FAIL","PASS"))</x:f>
        <x:v>OPEN</x:v>
      </x:c>
    </x:row>
    <x:row r="2516">
      <x:c r="B2516" s="7" t="str">
        <x:v>CH-PEA-C-Y3-11-2</x:v>
      </x:c>
      <x:c r="C2516" s="7" t="str">
        <x:v>PEA-C-Y3</x:v>
      </x:c>
      <x:c r="D2516" s="7" t="str">
        <x:v>BLD-C</x:v>
      </x:c>
      <x:c r="E2516" s="7" t="str">
        <x:v>BL-Y</x:v>
      </x:c>
      <x:c r="F2516" s="7" t="str">
        <x:v>MF-11</x:v>
      </x:c>
      <x:c r="G2516" s="7" t="str">
        <x:v>casualty-source path state</x:v>
      </x:c>
      <x:c r="H2516" s="7" t="n">
        <x:v>2</x:v>
      </x:c>
      <x:c r="I2516" s="7" t="str"/>
      <x:c r="J2516" s="7" t="str"/>
      <x:c r="K2516" s="7" t="str"/>
      <x:c r="L2516" s="7" t="str"/>
      <x:c r="M2516" s="7" t="str"/>
      <x:c r="N2516" s="7" t="str"/>
      <x:c r="O2516" s="7" t="str">
        <x:f>IF(N2516="","OPEN",IF(OR(I2516="",J2516="",K2516="",L2516="",M2516=""),"FAIL","PASS"))</x:f>
        <x:v>OPEN</x:v>
      </x:c>
    </x:row>
    <x:row r="2517">
      <x:c r="B2517" s="7" t="str">
        <x:v>CH-PEA-C-Y3-11-3</x:v>
      </x:c>
      <x:c r="C2517" s="7" t="str">
        <x:v>PEA-C-Y3</x:v>
      </x:c>
      <x:c r="D2517" s="7" t="str">
        <x:v>BLD-C</x:v>
      </x:c>
      <x:c r="E2517" s="7" t="str">
        <x:v>BL-Y</x:v>
      </x:c>
      <x:c r="F2517" s="7" t="str">
        <x:v>MF-11</x:v>
      </x:c>
      <x:c r="G2517" s="7" t="str">
        <x:v>casualty-source path state</x:v>
      </x:c>
      <x:c r="H2517" s="7" t="n">
        <x:v>3</x:v>
      </x:c>
      <x:c r="I2517" s="7" t="str"/>
      <x:c r="J2517" s="7" t="str"/>
      <x:c r="K2517" s="7" t="str"/>
      <x:c r="L2517" s="7" t="str"/>
      <x:c r="M2517" s="7" t="str"/>
      <x:c r="N2517" s="7" t="str"/>
      <x:c r="O2517" s="7" t="str">
        <x:f>IF(N2517="","OPEN",IF(OR(I2517="",J2517="",K2517="",L2517="",M2517=""),"FAIL","PASS"))</x:f>
        <x:v>OPEN</x:v>
      </x:c>
    </x:row>
    <x:row r="2518">
      <x:c r="B2518" s="7" t="str">
        <x:v>CH-PEA-C-Y3-11-4</x:v>
      </x:c>
      <x:c r="C2518" s="7" t="str">
        <x:v>PEA-C-Y3</x:v>
      </x:c>
      <x:c r="D2518" s="7" t="str">
        <x:v>BLD-C</x:v>
      </x:c>
      <x:c r="E2518" s="7" t="str">
        <x:v>BL-Y</x:v>
      </x:c>
      <x:c r="F2518" s="7" t="str">
        <x:v>MF-11</x:v>
      </x:c>
      <x:c r="G2518" s="7" t="str">
        <x:v>casualty-source path state</x:v>
      </x:c>
      <x:c r="H2518" s="7" t="n">
        <x:v>4</x:v>
      </x:c>
      <x:c r="I2518" s="7" t="str"/>
      <x:c r="J2518" s="7" t="str"/>
      <x:c r="K2518" s="7" t="str"/>
      <x:c r="L2518" s="7" t="str"/>
      <x:c r="M2518" s="7" t="str"/>
      <x:c r="N2518" s="7" t="str"/>
      <x:c r="O2518" s="7" t="str">
        <x:f>IF(N2518="","OPEN",IF(OR(I2518="",J2518="",K2518="",L2518="",M2518=""),"FAIL","PASS"))</x:f>
        <x:v>OPEN</x:v>
      </x:c>
    </x:row>
    <x:row r="2519">
      <x:c r="B2519" s="7" t="str">
        <x:v>CH-PEA-C-Y3-11-5</x:v>
      </x:c>
      <x:c r="C2519" s="7" t="str">
        <x:v>PEA-C-Y3</x:v>
      </x:c>
      <x:c r="D2519" s="7" t="str">
        <x:v>BLD-C</x:v>
      </x:c>
      <x:c r="E2519" s="7" t="str">
        <x:v>BL-Y</x:v>
      </x:c>
      <x:c r="F2519" s="7" t="str">
        <x:v>MF-11</x:v>
      </x:c>
      <x:c r="G2519" s="7" t="str">
        <x:v>casualty-source path state</x:v>
      </x:c>
      <x:c r="H2519" s="7" t="n">
        <x:v>5</x:v>
      </x:c>
      <x:c r="I2519" s="7" t="str"/>
      <x:c r="J2519" s="7" t="str"/>
      <x:c r="K2519" s="7" t="str"/>
      <x:c r="L2519" s="7" t="str"/>
      <x:c r="M2519" s="7" t="str"/>
      <x:c r="N2519" s="7" t="str"/>
      <x:c r="O2519" s="7" t="str">
        <x:f>IF(N2519="","OPEN",IF(OR(I2519="",J2519="",K2519="",L2519="",M2519=""),"FAIL","PASS"))</x:f>
        <x:v>OPEN</x:v>
      </x:c>
    </x:row>
    <x:row r="2520">
      <x:c r="B2520" s="7" t="str">
        <x:v>CH-PEA-C-Y3-11-6</x:v>
      </x:c>
      <x:c r="C2520" s="7" t="str">
        <x:v>PEA-C-Y3</x:v>
      </x:c>
      <x:c r="D2520" s="7" t="str">
        <x:v>BLD-C</x:v>
      </x:c>
      <x:c r="E2520" s="7" t="str">
        <x:v>BL-Y</x:v>
      </x:c>
      <x:c r="F2520" s="7" t="str">
        <x:v>MF-11</x:v>
      </x:c>
      <x:c r="G2520" s="7" t="str">
        <x:v>casualty-source path state</x:v>
      </x:c>
      <x:c r="H2520" s="7" t="n">
        <x:v>6</x:v>
      </x:c>
      <x:c r="I2520" s="7" t="str"/>
      <x:c r="J2520" s="7" t="str"/>
      <x:c r="K2520" s="7" t="str"/>
      <x:c r="L2520" s="7" t="str"/>
      <x:c r="M2520" s="7" t="str"/>
      <x:c r="N2520" s="7" t="str"/>
      <x:c r="O2520" s="7" t="str">
        <x:f>IF(N2520="","OPEN",IF(OR(I2520="",J2520="",K2520="",L2520="",M2520=""),"FAIL","PASS"))</x:f>
        <x:v>OPEN</x:v>
      </x:c>
    </x:row>
    <x:row r="2521">
      <x:c r="B2521" s="7" t="str">
        <x:v>CH-PEA-C-Y3-12-1</x:v>
      </x:c>
      <x:c r="C2521" s="7" t="str">
        <x:v>PEA-C-Y3</x:v>
      </x:c>
      <x:c r="D2521" s="7" t="str">
        <x:v>BLD-C</x:v>
      </x:c>
      <x:c r="E2521" s="7" t="str">
        <x:v>BL-Y</x:v>
      </x:c>
      <x:c r="F2521" s="7" t="str">
        <x:v>MF-12</x:v>
      </x:c>
      <x:c r="G2521" s="7" t="str">
        <x:v>candidate-water path state</x:v>
      </x:c>
      <x:c r="H2521" s="7" t="n">
        <x:v>1</x:v>
      </x:c>
      <x:c r="I2521" s="7" t="str"/>
      <x:c r="J2521" s="7" t="str"/>
      <x:c r="K2521" s="7" t="str"/>
      <x:c r="L2521" s="7" t="str"/>
      <x:c r="M2521" s="7" t="str"/>
      <x:c r="N2521" s="7" t="str"/>
      <x:c r="O2521" s="7" t="str">
        <x:f>IF(N2521="","OPEN",IF(OR(I2521="",J2521="",K2521="",L2521="",M2521=""),"FAIL","PASS"))</x:f>
        <x:v>OPEN</x:v>
      </x:c>
    </x:row>
    <x:row r="2522">
      <x:c r="B2522" s="7" t="str">
        <x:v>CH-PEA-C-Y3-12-2</x:v>
      </x:c>
      <x:c r="C2522" s="7" t="str">
        <x:v>PEA-C-Y3</x:v>
      </x:c>
      <x:c r="D2522" s="7" t="str">
        <x:v>BLD-C</x:v>
      </x:c>
      <x:c r="E2522" s="7" t="str">
        <x:v>BL-Y</x:v>
      </x:c>
      <x:c r="F2522" s="7" t="str">
        <x:v>MF-12</x:v>
      </x:c>
      <x:c r="G2522" s="7" t="str">
        <x:v>candidate-water path state</x:v>
      </x:c>
      <x:c r="H2522" s="7" t="n">
        <x:v>2</x:v>
      </x:c>
      <x:c r="I2522" s="7" t="str"/>
      <x:c r="J2522" s="7" t="str"/>
      <x:c r="K2522" s="7" t="str"/>
      <x:c r="L2522" s="7" t="str"/>
      <x:c r="M2522" s="7" t="str"/>
      <x:c r="N2522" s="7" t="str"/>
      <x:c r="O2522" s="7" t="str">
        <x:f>IF(N2522="","OPEN",IF(OR(I2522="",J2522="",K2522="",L2522="",M2522=""),"FAIL","PASS"))</x:f>
        <x:v>OPEN</x:v>
      </x:c>
    </x:row>
    <x:row r="2523">
      <x:c r="B2523" s="7" t="str">
        <x:v>CH-PEA-C-Y3-12-3</x:v>
      </x:c>
      <x:c r="C2523" s="7" t="str">
        <x:v>PEA-C-Y3</x:v>
      </x:c>
      <x:c r="D2523" s="7" t="str">
        <x:v>BLD-C</x:v>
      </x:c>
      <x:c r="E2523" s="7" t="str">
        <x:v>BL-Y</x:v>
      </x:c>
      <x:c r="F2523" s="7" t="str">
        <x:v>MF-12</x:v>
      </x:c>
      <x:c r="G2523" s="7" t="str">
        <x:v>candidate-water path state</x:v>
      </x:c>
      <x:c r="H2523" s="7" t="n">
        <x:v>3</x:v>
      </x:c>
      <x:c r="I2523" s="7" t="str"/>
      <x:c r="J2523" s="7" t="str"/>
      <x:c r="K2523" s="7" t="str"/>
      <x:c r="L2523" s="7" t="str"/>
      <x:c r="M2523" s="7" t="str"/>
      <x:c r="N2523" s="7" t="str"/>
      <x:c r="O2523" s="7" t="str">
        <x:f>IF(N2523="","OPEN",IF(OR(I2523="",J2523="",K2523="",L2523="",M2523=""),"FAIL","PASS"))</x:f>
        <x:v>OPEN</x:v>
      </x:c>
    </x:row>
    <x:row r="2524">
      <x:c r="B2524" s="7" t="str">
        <x:v>CH-PEA-C-Y3-12-4</x:v>
      </x:c>
      <x:c r="C2524" s="7" t="str">
        <x:v>PEA-C-Y3</x:v>
      </x:c>
      <x:c r="D2524" s="7" t="str">
        <x:v>BLD-C</x:v>
      </x:c>
      <x:c r="E2524" s="7" t="str">
        <x:v>BL-Y</x:v>
      </x:c>
      <x:c r="F2524" s="7" t="str">
        <x:v>MF-12</x:v>
      </x:c>
      <x:c r="G2524" s="7" t="str">
        <x:v>candidate-water path state</x:v>
      </x:c>
      <x:c r="H2524" s="7" t="n">
        <x:v>4</x:v>
      </x:c>
      <x:c r="I2524" s="7" t="str"/>
      <x:c r="J2524" s="7" t="str"/>
      <x:c r="K2524" s="7" t="str"/>
      <x:c r="L2524" s="7" t="str"/>
      <x:c r="M2524" s="7" t="str"/>
      <x:c r="N2524" s="7" t="str"/>
      <x:c r="O2524" s="7" t="str">
        <x:f>IF(N2524="","OPEN",IF(OR(I2524="",J2524="",K2524="",L2524="",M2524=""),"FAIL","PASS"))</x:f>
        <x:v>OPEN</x:v>
      </x:c>
    </x:row>
    <x:row r="2525">
      <x:c r="B2525" s="7" t="str">
        <x:v>CH-PEA-C-Y3-12-5</x:v>
      </x:c>
      <x:c r="C2525" s="7" t="str">
        <x:v>PEA-C-Y3</x:v>
      </x:c>
      <x:c r="D2525" s="7" t="str">
        <x:v>BLD-C</x:v>
      </x:c>
      <x:c r="E2525" s="7" t="str">
        <x:v>BL-Y</x:v>
      </x:c>
      <x:c r="F2525" s="7" t="str">
        <x:v>MF-12</x:v>
      </x:c>
      <x:c r="G2525" s="7" t="str">
        <x:v>candidate-water path state</x:v>
      </x:c>
      <x:c r="H2525" s="7" t="n">
        <x:v>5</x:v>
      </x:c>
      <x:c r="I2525" s="7" t="str"/>
      <x:c r="J2525" s="7" t="str"/>
      <x:c r="K2525" s="7" t="str"/>
      <x:c r="L2525" s="7" t="str"/>
      <x:c r="M2525" s="7" t="str"/>
      <x:c r="N2525" s="7" t="str"/>
      <x:c r="O2525" s="7" t="str">
        <x:f>IF(N2525="","OPEN",IF(OR(I2525="",J2525="",K2525="",L2525="",M2525=""),"FAIL","PASS"))</x:f>
        <x:v>OPEN</x:v>
      </x:c>
    </x:row>
    <x:row r="2526">
      <x:c r="B2526" s="7" t="str">
        <x:v>CH-PEA-C-Y3-12-6</x:v>
      </x:c>
      <x:c r="C2526" s="7" t="str">
        <x:v>PEA-C-Y3</x:v>
      </x:c>
      <x:c r="D2526" s="7" t="str">
        <x:v>BLD-C</x:v>
      </x:c>
      <x:c r="E2526" s="7" t="str">
        <x:v>BL-Y</x:v>
      </x:c>
      <x:c r="F2526" s="7" t="str">
        <x:v>MF-12</x:v>
      </x:c>
      <x:c r="G2526" s="7" t="str">
        <x:v>candidate-water path state</x:v>
      </x:c>
      <x:c r="H2526" s="7" t="n">
        <x:v>6</x:v>
      </x:c>
      <x:c r="I2526" s="7" t="str"/>
      <x:c r="J2526" s="7" t="str"/>
      <x:c r="K2526" s="7" t="str"/>
      <x:c r="L2526" s="7" t="str"/>
      <x:c r="M2526" s="7" t="str"/>
      <x:c r="N2526" s="7" t="str"/>
      <x:c r="O2526" s="7" t="str">
        <x:f>IF(N2526="","OPEN",IF(OR(I2526="",J2526="",K2526="",L2526="",M2526=""),"FAIL","PASS"))</x:f>
        <x:v>OPEN</x:v>
      </x:c>
    </x:row>
    <x:row r="2527">
      <x:c r="B2527" s="7" t="str">
        <x:v>CH-PEA-C-Y3-13-1</x:v>
      </x:c>
      <x:c r="C2527" s="7" t="str">
        <x:v>PEA-C-Y3</x:v>
      </x:c>
      <x:c r="D2527" s="7" t="str">
        <x:v>BLD-C</x:v>
      </x:c>
      <x:c r="E2527" s="7" t="str">
        <x:v>BL-Y</x:v>
      </x:c>
      <x:c r="F2527" s="7" t="str">
        <x:v>MF-13</x:v>
      </x:c>
      <x:c r="G2527" s="7" t="str">
        <x:v>final-element reference</x:v>
      </x:c>
      <x:c r="H2527" s="7" t="n">
        <x:v>1</x:v>
      </x:c>
      <x:c r="I2527" s="7" t="str"/>
      <x:c r="J2527" s="7" t="str"/>
      <x:c r="K2527" s="7" t="str"/>
      <x:c r="L2527" s="7" t="str"/>
      <x:c r="M2527" s="7" t="str"/>
      <x:c r="N2527" s="7" t="str"/>
      <x:c r="O2527" s="7" t="str">
        <x:f>IF(N2527="","OPEN",IF(OR(I2527="",J2527="",K2527="",L2527="",M2527=""),"FAIL","PASS"))</x:f>
        <x:v>OPEN</x:v>
      </x:c>
    </x:row>
    <x:row r="2528">
      <x:c r="B2528" s="7" t="str">
        <x:v>CH-PEA-C-Y3-13-2</x:v>
      </x:c>
      <x:c r="C2528" s="7" t="str">
        <x:v>PEA-C-Y3</x:v>
      </x:c>
      <x:c r="D2528" s="7" t="str">
        <x:v>BLD-C</x:v>
      </x:c>
      <x:c r="E2528" s="7" t="str">
        <x:v>BL-Y</x:v>
      </x:c>
      <x:c r="F2528" s="7" t="str">
        <x:v>MF-13</x:v>
      </x:c>
      <x:c r="G2528" s="7" t="str">
        <x:v>final-element reference</x:v>
      </x:c>
      <x:c r="H2528" s="7" t="n">
        <x:v>2</x:v>
      </x:c>
      <x:c r="I2528" s="7" t="str"/>
      <x:c r="J2528" s="7" t="str"/>
      <x:c r="K2528" s="7" t="str"/>
      <x:c r="L2528" s="7" t="str"/>
      <x:c r="M2528" s="7" t="str"/>
      <x:c r="N2528" s="7" t="str"/>
      <x:c r="O2528" s="7" t="str">
        <x:f>IF(N2528="","OPEN",IF(OR(I2528="",J2528="",K2528="",L2528="",M2528=""),"FAIL","PASS"))</x:f>
        <x:v>OPEN</x:v>
      </x:c>
    </x:row>
    <x:row r="2529">
      <x:c r="B2529" s="7" t="str">
        <x:v>CH-PEA-C-Y3-13-3</x:v>
      </x:c>
      <x:c r="C2529" s="7" t="str">
        <x:v>PEA-C-Y3</x:v>
      </x:c>
      <x:c r="D2529" s="7" t="str">
        <x:v>BLD-C</x:v>
      </x:c>
      <x:c r="E2529" s="7" t="str">
        <x:v>BL-Y</x:v>
      </x:c>
      <x:c r="F2529" s="7" t="str">
        <x:v>MF-13</x:v>
      </x:c>
      <x:c r="G2529" s="7" t="str">
        <x:v>final-element reference</x:v>
      </x:c>
      <x:c r="H2529" s="7" t="n">
        <x:v>3</x:v>
      </x:c>
      <x:c r="I2529" s="7" t="str"/>
      <x:c r="J2529" s="7" t="str"/>
      <x:c r="K2529" s="7" t="str"/>
      <x:c r="L2529" s="7" t="str"/>
      <x:c r="M2529" s="7" t="str"/>
      <x:c r="N2529" s="7" t="str"/>
      <x:c r="O2529" s="7" t="str">
        <x:f>IF(N2529="","OPEN",IF(OR(I2529="",J2529="",K2529="",L2529="",M2529=""),"FAIL","PASS"))</x:f>
        <x:v>OPEN</x:v>
      </x:c>
    </x:row>
    <x:row r="2530">
      <x:c r="B2530" s="7" t="str">
        <x:v>CH-PEA-C-Y3-13-4</x:v>
      </x:c>
      <x:c r="C2530" s="7" t="str">
        <x:v>PEA-C-Y3</x:v>
      </x:c>
      <x:c r="D2530" s="7" t="str">
        <x:v>BLD-C</x:v>
      </x:c>
      <x:c r="E2530" s="7" t="str">
        <x:v>BL-Y</x:v>
      </x:c>
      <x:c r="F2530" s="7" t="str">
        <x:v>MF-13</x:v>
      </x:c>
      <x:c r="G2530" s="7" t="str">
        <x:v>final-element reference</x:v>
      </x:c>
      <x:c r="H2530" s="7" t="n">
        <x:v>4</x:v>
      </x:c>
      <x:c r="I2530" s="7" t="str"/>
      <x:c r="J2530" s="7" t="str"/>
      <x:c r="K2530" s="7" t="str"/>
      <x:c r="L2530" s="7" t="str"/>
      <x:c r="M2530" s="7" t="str"/>
      <x:c r="N2530" s="7" t="str"/>
      <x:c r="O2530" s="7" t="str">
        <x:f>IF(N2530="","OPEN",IF(OR(I2530="",J2530="",K2530="",L2530="",M2530=""),"FAIL","PASS"))</x:f>
        <x:v>OPEN</x:v>
      </x:c>
    </x:row>
    <x:row r="2531">
      <x:c r="B2531" s="7" t="str">
        <x:v>CH-PEA-C-Y3-13-5</x:v>
      </x:c>
      <x:c r="C2531" s="7" t="str">
        <x:v>PEA-C-Y3</x:v>
      </x:c>
      <x:c r="D2531" s="7" t="str">
        <x:v>BLD-C</x:v>
      </x:c>
      <x:c r="E2531" s="7" t="str">
        <x:v>BL-Y</x:v>
      </x:c>
      <x:c r="F2531" s="7" t="str">
        <x:v>MF-13</x:v>
      </x:c>
      <x:c r="G2531" s="7" t="str">
        <x:v>final-element reference</x:v>
      </x:c>
      <x:c r="H2531" s="7" t="n">
        <x:v>5</x:v>
      </x:c>
      <x:c r="I2531" s="7" t="str"/>
      <x:c r="J2531" s="7" t="str"/>
      <x:c r="K2531" s="7" t="str"/>
      <x:c r="L2531" s="7" t="str"/>
      <x:c r="M2531" s="7" t="str"/>
      <x:c r="N2531" s="7" t="str"/>
      <x:c r="O2531" s="7" t="str">
        <x:f>IF(N2531="","OPEN",IF(OR(I2531="",J2531="",K2531="",L2531="",M2531=""),"FAIL","PASS"))</x:f>
        <x:v>OPEN</x:v>
      </x:c>
    </x:row>
    <x:row r="2532">
      <x:c r="B2532" s="7" t="str">
        <x:v>CH-PEA-C-Y3-13-6</x:v>
      </x:c>
      <x:c r="C2532" s="7" t="str">
        <x:v>PEA-C-Y3</x:v>
      </x:c>
      <x:c r="D2532" s="7" t="str">
        <x:v>BLD-C</x:v>
      </x:c>
      <x:c r="E2532" s="7" t="str">
        <x:v>BL-Y</x:v>
      </x:c>
      <x:c r="F2532" s="7" t="str">
        <x:v>MF-13</x:v>
      </x:c>
      <x:c r="G2532" s="7" t="str">
        <x:v>final-element reference</x:v>
      </x:c>
      <x:c r="H2532" s="7" t="n">
        <x:v>6</x:v>
      </x:c>
      <x:c r="I2532" s="7" t="str"/>
      <x:c r="J2532" s="7" t="str"/>
      <x:c r="K2532" s="7" t="str"/>
      <x:c r="L2532" s="7" t="str"/>
      <x:c r="M2532" s="7" t="str"/>
      <x:c r="N2532" s="7" t="str"/>
      <x:c r="O2532" s="7" t="str">
        <x:f>IF(N2532="","OPEN",IF(OR(I2532="",J2532="",K2532="",L2532="",M2532=""),"FAIL","PASS"))</x:f>
        <x:v>OPEN</x:v>
      </x:c>
    </x:row>
    <x:row r="2533">
      <x:c r="B2533" s="7" t="str">
        <x:v>CH-PEA-C-Y3-14-1</x:v>
      </x:c>
      <x:c r="C2533" s="7" t="str">
        <x:v>PEA-C-Y3</x:v>
      </x:c>
      <x:c r="D2533" s="7" t="str">
        <x:v>BLD-C</x:v>
      </x:c>
      <x:c r="E2533" s="7" t="str">
        <x:v>BL-Y</x:v>
      </x:c>
      <x:c r="F2533" s="7" t="str">
        <x:v>MF-14</x:v>
      </x:c>
      <x:c r="G2533" s="7" t="str">
        <x:v>causal time</x:v>
      </x:c>
      <x:c r="H2533" s="7" t="n">
        <x:v>1</x:v>
      </x:c>
      <x:c r="I2533" s="7" t="str"/>
      <x:c r="J2533" s="7" t="str"/>
      <x:c r="K2533" s="7" t="str"/>
      <x:c r="L2533" s="7" t="str"/>
      <x:c r="M2533" s="7" t="str"/>
      <x:c r="N2533" s="7" t="str"/>
      <x:c r="O2533" s="7" t="str">
        <x:f>IF(N2533="","OPEN",IF(OR(I2533="",J2533="",K2533="",L2533="",M2533=""),"FAIL","PASS"))</x:f>
        <x:v>OPEN</x:v>
      </x:c>
    </x:row>
    <x:row r="2534">
      <x:c r="B2534" s="7" t="str">
        <x:v>CH-PEA-C-Y3-14-2</x:v>
      </x:c>
      <x:c r="C2534" s="7" t="str">
        <x:v>PEA-C-Y3</x:v>
      </x:c>
      <x:c r="D2534" s="7" t="str">
        <x:v>BLD-C</x:v>
      </x:c>
      <x:c r="E2534" s="7" t="str">
        <x:v>BL-Y</x:v>
      </x:c>
      <x:c r="F2534" s="7" t="str">
        <x:v>MF-14</x:v>
      </x:c>
      <x:c r="G2534" s="7" t="str">
        <x:v>causal time</x:v>
      </x:c>
      <x:c r="H2534" s="7" t="n">
        <x:v>2</x:v>
      </x:c>
      <x:c r="I2534" s="7" t="str"/>
      <x:c r="J2534" s="7" t="str"/>
      <x:c r="K2534" s="7" t="str"/>
      <x:c r="L2534" s="7" t="str"/>
      <x:c r="M2534" s="7" t="str"/>
      <x:c r="N2534" s="7" t="str"/>
      <x:c r="O2534" s="7" t="str">
        <x:f>IF(N2534="","OPEN",IF(OR(I2534="",J2534="",K2534="",L2534="",M2534=""),"FAIL","PASS"))</x:f>
        <x:v>OPEN</x:v>
      </x:c>
    </x:row>
    <x:row r="2535">
      <x:c r="B2535" s="7" t="str">
        <x:v>CH-PEA-C-Y3-14-3</x:v>
      </x:c>
      <x:c r="C2535" s="7" t="str">
        <x:v>PEA-C-Y3</x:v>
      </x:c>
      <x:c r="D2535" s="7" t="str">
        <x:v>BLD-C</x:v>
      </x:c>
      <x:c r="E2535" s="7" t="str">
        <x:v>BL-Y</x:v>
      </x:c>
      <x:c r="F2535" s="7" t="str">
        <x:v>MF-14</x:v>
      </x:c>
      <x:c r="G2535" s="7" t="str">
        <x:v>causal time</x:v>
      </x:c>
      <x:c r="H2535" s="7" t="n">
        <x:v>3</x:v>
      </x:c>
      <x:c r="I2535" s="7" t="str"/>
      <x:c r="J2535" s="7" t="str"/>
      <x:c r="K2535" s="7" t="str"/>
      <x:c r="L2535" s="7" t="str"/>
      <x:c r="M2535" s="7" t="str"/>
      <x:c r="N2535" s="7" t="str"/>
      <x:c r="O2535" s="7" t="str">
        <x:f>IF(N2535="","OPEN",IF(OR(I2535="",J2535="",K2535="",L2535="",M2535=""),"FAIL","PASS"))</x:f>
        <x:v>OPEN</x:v>
      </x:c>
    </x:row>
    <x:row r="2536">
      <x:c r="B2536" s="7" t="str">
        <x:v>CH-PEA-C-Y3-14-4</x:v>
      </x:c>
      <x:c r="C2536" s="7" t="str">
        <x:v>PEA-C-Y3</x:v>
      </x:c>
      <x:c r="D2536" s="7" t="str">
        <x:v>BLD-C</x:v>
      </x:c>
      <x:c r="E2536" s="7" t="str">
        <x:v>BL-Y</x:v>
      </x:c>
      <x:c r="F2536" s="7" t="str">
        <x:v>MF-14</x:v>
      </x:c>
      <x:c r="G2536" s="7" t="str">
        <x:v>causal time</x:v>
      </x:c>
      <x:c r="H2536" s="7" t="n">
        <x:v>4</x:v>
      </x:c>
      <x:c r="I2536" s="7" t="str"/>
      <x:c r="J2536" s="7" t="str"/>
      <x:c r="K2536" s="7" t="str"/>
      <x:c r="L2536" s="7" t="str"/>
      <x:c r="M2536" s="7" t="str"/>
      <x:c r="N2536" s="7" t="str"/>
      <x:c r="O2536" s="7" t="str">
        <x:f>IF(N2536="","OPEN",IF(OR(I2536="",J2536="",K2536="",L2536="",M2536=""),"FAIL","PASS"))</x:f>
        <x:v>OPEN</x:v>
      </x:c>
    </x:row>
    <x:row r="2537">
      <x:c r="B2537" s="7" t="str">
        <x:v>CH-PEA-C-Y3-14-5</x:v>
      </x:c>
      <x:c r="C2537" s="7" t="str">
        <x:v>PEA-C-Y3</x:v>
      </x:c>
      <x:c r="D2537" s="7" t="str">
        <x:v>BLD-C</x:v>
      </x:c>
      <x:c r="E2537" s="7" t="str">
        <x:v>BL-Y</x:v>
      </x:c>
      <x:c r="F2537" s="7" t="str">
        <x:v>MF-14</x:v>
      </x:c>
      <x:c r="G2537" s="7" t="str">
        <x:v>causal time</x:v>
      </x:c>
      <x:c r="H2537" s="7" t="n">
        <x:v>5</x:v>
      </x:c>
      <x:c r="I2537" s="7" t="str"/>
      <x:c r="J2537" s="7" t="str"/>
      <x:c r="K2537" s="7" t="str"/>
      <x:c r="L2537" s="7" t="str"/>
      <x:c r="M2537" s="7" t="str"/>
      <x:c r="N2537" s="7" t="str"/>
      <x:c r="O2537" s="7" t="str">
        <x:f>IF(N2537="","OPEN",IF(OR(I2537="",J2537="",K2537="",L2537="",M2537=""),"FAIL","PASS"))</x:f>
        <x:v>OPEN</x:v>
      </x:c>
    </x:row>
    <x:row r="2538">
      <x:c r="B2538" s="7" t="str">
        <x:v>CH-PEA-C-Y3-14-6</x:v>
      </x:c>
      <x:c r="C2538" s="7" t="str">
        <x:v>PEA-C-Y3</x:v>
      </x:c>
      <x:c r="D2538" s="7" t="str">
        <x:v>BLD-C</x:v>
      </x:c>
      <x:c r="E2538" s="7" t="str">
        <x:v>BL-Y</x:v>
      </x:c>
      <x:c r="F2538" s="7" t="str">
        <x:v>MF-14</x:v>
      </x:c>
      <x:c r="G2538" s="7" t="str">
        <x:v>causal time</x:v>
      </x:c>
      <x:c r="H2538" s="7" t="n">
        <x:v>6</x:v>
      </x:c>
      <x:c r="I2538" s="7" t="str"/>
      <x:c r="J2538" s="7" t="str"/>
      <x:c r="K2538" s="7" t="str"/>
      <x:c r="L2538" s="7" t="str"/>
      <x:c r="M2538" s="7" t="str"/>
      <x:c r="N2538" s="7" t="str"/>
      <x:c r="O2538" s="7" t="str">
        <x:f>IF(N2538="","OPEN",IF(OR(I2538="",J2538="",K2538="",L2538="",M2538=""),"FAIL","PASS"))</x:f>
        <x:v>OPEN</x:v>
      </x:c>
    </x:row>
    <x:row r="2539">
      <x:c r="B2539" s="7" t="str">
        <x:v>CH-PEA-C-Y3-15-1</x:v>
      </x:c>
      <x:c r="C2539" s="7" t="str">
        <x:v>PEA-C-Y3</x:v>
      </x:c>
      <x:c r="D2539" s="7" t="str">
        <x:v>BLD-C</x:v>
      </x:c>
      <x:c r="E2539" s="7" t="str">
        <x:v>BL-Y</x:v>
      </x:c>
      <x:c r="F2539" s="7" t="str">
        <x:v>MF-15</x:v>
      </x:c>
      <x:c r="G2539" s="7" t="str">
        <x:v>source motive energy</x:v>
      </x:c>
      <x:c r="H2539" s="7" t="n">
        <x:v>1</x:v>
      </x:c>
      <x:c r="I2539" s="7" t="str"/>
      <x:c r="J2539" s="7" t="str"/>
      <x:c r="K2539" s="7" t="str"/>
      <x:c r="L2539" s="7" t="str"/>
      <x:c r="M2539" s="7" t="str"/>
      <x:c r="N2539" s="7" t="str"/>
      <x:c r="O2539" s="7" t="str">
        <x:f>IF(N2539="","OPEN",IF(OR(I2539="",J2539="",K2539="",L2539="",M2539=""),"FAIL","PASS"))</x:f>
        <x:v>OPEN</x:v>
      </x:c>
    </x:row>
    <x:row r="2540">
      <x:c r="B2540" s="7" t="str">
        <x:v>CH-PEA-C-Y3-15-2</x:v>
      </x:c>
      <x:c r="C2540" s="7" t="str">
        <x:v>PEA-C-Y3</x:v>
      </x:c>
      <x:c r="D2540" s="7" t="str">
        <x:v>BLD-C</x:v>
      </x:c>
      <x:c r="E2540" s="7" t="str">
        <x:v>BL-Y</x:v>
      </x:c>
      <x:c r="F2540" s="7" t="str">
        <x:v>MF-15</x:v>
      </x:c>
      <x:c r="G2540" s="7" t="str">
        <x:v>source motive energy</x:v>
      </x:c>
      <x:c r="H2540" s="7" t="n">
        <x:v>2</x:v>
      </x:c>
      <x:c r="I2540" s="7" t="str"/>
      <x:c r="J2540" s="7" t="str"/>
      <x:c r="K2540" s="7" t="str"/>
      <x:c r="L2540" s="7" t="str"/>
      <x:c r="M2540" s="7" t="str"/>
      <x:c r="N2540" s="7" t="str"/>
      <x:c r="O2540" s="7" t="str">
        <x:f>IF(N2540="","OPEN",IF(OR(I2540="",J2540="",K2540="",L2540="",M2540=""),"FAIL","PASS"))</x:f>
        <x:v>OPEN</x:v>
      </x:c>
    </x:row>
    <x:row r="2541">
      <x:c r="B2541" s="7" t="str">
        <x:v>CH-PEA-C-Y3-15-3</x:v>
      </x:c>
      <x:c r="C2541" s="7" t="str">
        <x:v>PEA-C-Y3</x:v>
      </x:c>
      <x:c r="D2541" s="7" t="str">
        <x:v>BLD-C</x:v>
      </x:c>
      <x:c r="E2541" s="7" t="str">
        <x:v>BL-Y</x:v>
      </x:c>
      <x:c r="F2541" s="7" t="str">
        <x:v>MF-15</x:v>
      </x:c>
      <x:c r="G2541" s="7" t="str">
        <x:v>source motive energy</x:v>
      </x:c>
      <x:c r="H2541" s="7" t="n">
        <x:v>3</x:v>
      </x:c>
      <x:c r="I2541" s="7" t="str"/>
      <x:c r="J2541" s="7" t="str"/>
      <x:c r="K2541" s="7" t="str"/>
      <x:c r="L2541" s="7" t="str"/>
      <x:c r="M2541" s="7" t="str"/>
      <x:c r="N2541" s="7" t="str"/>
      <x:c r="O2541" s="7" t="str">
        <x:f>IF(N2541="","OPEN",IF(OR(I2541="",J2541="",K2541="",L2541="",M2541=""),"FAIL","PASS"))</x:f>
        <x:v>OPEN</x:v>
      </x:c>
    </x:row>
    <x:row r="2542">
      <x:c r="B2542" s="7" t="str">
        <x:v>CH-PEA-C-Y3-15-4</x:v>
      </x:c>
      <x:c r="C2542" s="7" t="str">
        <x:v>PEA-C-Y3</x:v>
      </x:c>
      <x:c r="D2542" s="7" t="str">
        <x:v>BLD-C</x:v>
      </x:c>
      <x:c r="E2542" s="7" t="str">
        <x:v>BL-Y</x:v>
      </x:c>
      <x:c r="F2542" s="7" t="str">
        <x:v>MF-15</x:v>
      </x:c>
      <x:c r="G2542" s="7" t="str">
        <x:v>source motive energy</x:v>
      </x:c>
      <x:c r="H2542" s="7" t="n">
        <x:v>4</x:v>
      </x:c>
      <x:c r="I2542" s="7" t="str"/>
      <x:c r="J2542" s="7" t="str"/>
      <x:c r="K2542" s="7" t="str"/>
      <x:c r="L2542" s="7" t="str"/>
      <x:c r="M2542" s="7" t="str"/>
      <x:c r="N2542" s="7" t="str"/>
      <x:c r="O2542" s="7" t="str">
        <x:f>IF(N2542="","OPEN",IF(OR(I2542="",J2542="",K2542="",L2542="",M2542=""),"FAIL","PASS"))</x:f>
        <x:v>OPEN</x:v>
      </x:c>
    </x:row>
    <x:row r="2543">
      <x:c r="B2543" s="7" t="str">
        <x:v>CH-PEA-C-Y3-15-5</x:v>
      </x:c>
      <x:c r="C2543" s="7" t="str">
        <x:v>PEA-C-Y3</x:v>
      </x:c>
      <x:c r="D2543" s="7" t="str">
        <x:v>BLD-C</x:v>
      </x:c>
      <x:c r="E2543" s="7" t="str">
        <x:v>BL-Y</x:v>
      </x:c>
      <x:c r="F2543" s="7" t="str">
        <x:v>MF-15</x:v>
      </x:c>
      <x:c r="G2543" s="7" t="str">
        <x:v>source motive energy</x:v>
      </x:c>
      <x:c r="H2543" s="7" t="n">
        <x:v>5</x:v>
      </x:c>
      <x:c r="I2543" s="7" t="str"/>
      <x:c r="J2543" s="7" t="str"/>
      <x:c r="K2543" s="7" t="str"/>
      <x:c r="L2543" s="7" t="str"/>
      <x:c r="M2543" s="7" t="str"/>
      <x:c r="N2543" s="7" t="str"/>
      <x:c r="O2543" s="7" t="str">
        <x:f>IF(N2543="","OPEN",IF(OR(I2543="",J2543="",K2543="",L2543="",M2543=""),"FAIL","PASS"))</x:f>
        <x:v>OPEN</x:v>
      </x:c>
    </x:row>
    <x:row r="2544">
      <x:c r="B2544" s="7" t="str">
        <x:v>CH-PEA-C-Y3-15-6</x:v>
      </x:c>
      <x:c r="C2544" s="7" t="str">
        <x:v>PEA-C-Y3</x:v>
      </x:c>
      <x:c r="D2544" s="7" t="str">
        <x:v>BLD-C</x:v>
      </x:c>
      <x:c r="E2544" s="7" t="str">
        <x:v>BL-Y</x:v>
      </x:c>
      <x:c r="F2544" s="7" t="str">
        <x:v>MF-15</x:v>
      </x:c>
      <x:c r="G2544" s="7" t="str">
        <x:v>source motive energy</x:v>
      </x:c>
      <x:c r="H2544" s="7" t="n">
        <x:v>6</x:v>
      </x:c>
      <x:c r="I2544" s="7" t="str"/>
      <x:c r="J2544" s="7" t="str"/>
      <x:c r="K2544" s="7" t="str"/>
      <x:c r="L2544" s="7" t="str"/>
      <x:c r="M2544" s="7" t="str"/>
      <x:c r="N2544" s="7" t="str"/>
      <x:c r="O2544" s="7" t="str">
        <x:f>IF(N2544="","OPEN",IF(OR(I2544="",J2544="",K2544="",L2544="",M2544=""),"FAIL","PASS"))</x:f>
        <x:v>OPEN</x:v>
      </x:c>
    </x:row>
    <x:row r="2545">
      <x:c r="B2545" s="7" t="str">
        <x:v>CH-PEA-C-Y3-16-1</x:v>
      </x:c>
      <x:c r="C2545" s="7" t="str">
        <x:v>PEA-C-Y3</x:v>
      </x:c>
      <x:c r="D2545" s="7" t="str">
        <x:v>BLD-C</x:v>
      </x:c>
      <x:c r="E2545" s="7" t="str">
        <x:v>BL-Y</x:v>
      </x:c>
      <x:c r="F2545" s="7" t="str">
        <x:v>MF-16</x:v>
      </x:c>
      <x:c r="G2545" s="7" t="str">
        <x:v>water motive energy</x:v>
      </x:c>
      <x:c r="H2545" s="7" t="n">
        <x:v>1</x:v>
      </x:c>
      <x:c r="I2545" s="7" t="str"/>
      <x:c r="J2545" s="7" t="str"/>
      <x:c r="K2545" s="7" t="str"/>
      <x:c r="L2545" s="7" t="str"/>
      <x:c r="M2545" s="7" t="str"/>
      <x:c r="N2545" s="7" t="str"/>
      <x:c r="O2545" s="7" t="str">
        <x:f>IF(N2545="","OPEN",IF(OR(I2545="",J2545="",K2545="",L2545="",M2545=""),"FAIL","PASS"))</x:f>
        <x:v>OPEN</x:v>
      </x:c>
    </x:row>
    <x:row r="2546">
      <x:c r="B2546" s="7" t="str">
        <x:v>CH-PEA-C-Y3-16-2</x:v>
      </x:c>
      <x:c r="C2546" s="7" t="str">
        <x:v>PEA-C-Y3</x:v>
      </x:c>
      <x:c r="D2546" s="7" t="str">
        <x:v>BLD-C</x:v>
      </x:c>
      <x:c r="E2546" s="7" t="str">
        <x:v>BL-Y</x:v>
      </x:c>
      <x:c r="F2546" s="7" t="str">
        <x:v>MF-16</x:v>
      </x:c>
      <x:c r="G2546" s="7" t="str">
        <x:v>water motive energy</x:v>
      </x:c>
      <x:c r="H2546" s="7" t="n">
        <x:v>2</x:v>
      </x:c>
      <x:c r="I2546" s="7" t="str"/>
      <x:c r="J2546" s="7" t="str"/>
      <x:c r="K2546" s="7" t="str"/>
      <x:c r="L2546" s="7" t="str"/>
      <x:c r="M2546" s="7" t="str"/>
      <x:c r="N2546" s="7" t="str"/>
      <x:c r="O2546" s="7" t="str">
        <x:f>IF(N2546="","OPEN",IF(OR(I2546="",J2546="",K2546="",L2546="",M2546=""),"FAIL","PASS"))</x:f>
        <x:v>OPEN</x:v>
      </x:c>
    </x:row>
    <x:row r="2547">
      <x:c r="B2547" s="7" t="str">
        <x:v>CH-PEA-C-Y3-16-3</x:v>
      </x:c>
      <x:c r="C2547" s="7" t="str">
        <x:v>PEA-C-Y3</x:v>
      </x:c>
      <x:c r="D2547" s="7" t="str">
        <x:v>BLD-C</x:v>
      </x:c>
      <x:c r="E2547" s="7" t="str">
        <x:v>BL-Y</x:v>
      </x:c>
      <x:c r="F2547" s="7" t="str">
        <x:v>MF-16</x:v>
      </x:c>
      <x:c r="G2547" s="7" t="str">
        <x:v>water motive energy</x:v>
      </x:c>
      <x:c r="H2547" s="7" t="n">
        <x:v>3</x:v>
      </x:c>
      <x:c r="I2547" s="7" t="str"/>
      <x:c r="J2547" s="7" t="str"/>
      <x:c r="K2547" s="7" t="str"/>
      <x:c r="L2547" s="7" t="str"/>
      <x:c r="M2547" s="7" t="str"/>
      <x:c r="N2547" s="7" t="str"/>
      <x:c r="O2547" s="7" t="str">
        <x:f>IF(N2547="","OPEN",IF(OR(I2547="",J2547="",K2547="",L2547="",M2547=""),"FAIL","PASS"))</x:f>
        <x:v>OPEN</x:v>
      </x:c>
    </x:row>
    <x:row r="2548">
      <x:c r="B2548" s="7" t="str">
        <x:v>CH-PEA-C-Y3-16-4</x:v>
      </x:c>
      <x:c r="C2548" s="7" t="str">
        <x:v>PEA-C-Y3</x:v>
      </x:c>
      <x:c r="D2548" s="7" t="str">
        <x:v>BLD-C</x:v>
      </x:c>
      <x:c r="E2548" s="7" t="str">
        <x:v>BL-Y</x:v>
      </x:c>
      <x:c r="F2548" s="7" t="str">
        <x:v>MF-16</x:v>
      </x:c>
      <x:c r="G2548" s="7" t="str">
        <x:v>water motive energy</x:v>
      </x:c>
      <x:c r="H2548" s="7" t="n">
        <x:v>4</x:v>
      </x:c>
      <x:c r="I2548" s="7" t="str"/>
      <x:c r="J2548" s="7" t="str"/>
      <x:c r="K2548" s="7" t="str"/>
      <x:c r="L2548" s="7" t="str"/>
      <x:c r="M2548" s="7" t="str"/>
      <x:c r="N2548" s="7" t="str"/>
      <x:c r="O2548" s="7" t="str">
        <x:f>IF(N2548="","OPEN",IF(OR(I2548="",J2548="",K2548="",L2548="",M2548=""),"FAIL","PASS"))</x:f>
        <x:v>OPEN</x:v>
      </x:c>
    </x:row>
    <x:row r="2549">
      <x:c r="B2549" s="7" t="str">
        <x:v>CH-PEA-C-Y3-16-5</x:v>
      </x:c>
      <x:c r="C2549" s="7" t="str">
        <x:v>PEA-C-Y3</x:v>
      </x:c>
      <x:c r="D2549" s="7" t="str">
        <x:v>BLD-C</x:v>
      </x:c>
      <x:c r="E2549" s="7" t="str">
        <x:v>BL-Y</x:v>
      </x:c>
      <x:c r="F2549" s="7" t="str">
        <x:v>MF-16</x:v>
      </x:c>
      <x:c r="G2549" s="7" t="str">
        <x:v>water motive energy</x:v>
      </x:c>
      <x:c r="H2549" s="7" t="n">
        <x:v>5</x:v>
      </x:c>
      <x:c r="I2549" s="7" t="str"/>
      <x:c r="J2549" s="7" t="str"/>
      <x:c r="K2549" s="7" t="str"/>
      <x:c r="L2549" s="7" t="str"/>
      <x:c r="M2549" s="7" t="str"/>
      <x:c r="N2549" s="7" t="str"/>
      <x:c r="O2549" s="7" t="str">
        <x:f>IF(N2549="","OPEN",IF(OR(I2549="",J2549="",K2549="",L2549="",M2549=""),"FAIL","PASS"))</x:f>
        <x:v>OPEN</x:v>
      </x:c>
    </x:row>
    <x:row r="2550">
      <x:c r="B2550" s="7" t="str">
        <x:v>CH-PEA-C-Y3-16-6</x:v>
      </x:c>
      <x:c r="C2550" s="7" t="str">
        <x:v>PEA-C-Y3</x:v>
      </x:c>
      <x:c r="D2550" s="7" t="str">
        <x:v>BLD-C</x:v>
      </x:c>
      <x:c r="E2550" s="7" t="str">
        <x:v>BL-Y</x:v>
      </x:c>
      <x:c r="F2550" s="7" t="str">
        <x:v>MF-16</x:v>
      </x:c>
      <x:c r="G2550" s="7" t="str">
        <x:v>water motive energy</x:v>
      </x:c>
      <x:c r="H2550" s="7" t="n">
        <x:v>6</x:v>
      </x:c>
      <x:c r="I2550" s="7" t="str"/>
      <x:c r="J2550" s="7" t="str"/>
      <x:c r="K2550" s="7" t="str"/>
      <x:c r="L2550" s="7" t="str"/>
      <x:c r="M2550" s="7" t="str"/>
      <x:c r="N2550" s="7" t="str"/>
      <x:c r="O2550" s="7" t="str">
        <x:f>IF(N2550="","OPEN",IF(OR(I2550="",J2550="",K2550="",L2550="",M2550=""),"FAIL","PASS"))</x:f>
        <x:v>OPEN</x:v>
      </x:c>
    </x:row>
    <x:row r="2551">
      <x:c r="B2551" s="7" t="str">
        <x:v>CH-PEA-C-Y3-17-1</x:v>
      </x:c>
      <x:c r="C2551" s="7" t="str">
        <x:v>PEA-C-Y3</x:v>
      </x:c>
      <x:c r="D2551" s="7" t="str">
        <x:v>BLD-C</x:v>
      </x:c>
      <x:c r="E2551" s="7" t="str">
        <x:v>BL-Y</x:v>
      </x:c>
      <x:c r="F2551" s="7" t="str">
        <x:v>MF-17</x:v>
      </x:c>
      <x:c r="G2551" s="7" t="str">
        <x:v>normal power</x:v>
      </x:c>
      <x:c r="H2551" s="7" t="n">
        <x:v>1</x:v>
      </x:c>
      <x:c r="I2551" s="7" t="str"/>
      <x:c r="J2551" s="7" t="str"/>
      <x:c r="K2551" s="7" t="str"/>
      <x:c r="L2551" s="7" t="str"/>
      <x:c r="M2551" s="7" t="str"/>
      <x:c r="N2551" s="7" t="str"/>
      <x:c r="O2551" s="7" t="str">
        <x:f>IF(N2551="","OPEN",IF(OR(I2551="",J2551="",K2551="",L2551="",M2551=""),"FAIL","PASS"))</x:f>
        <x:v>OPEN</x:v>
      </x:c>
    </x:row>
    <x:row r="2552">
      <x:c r="B2552" s="7" t="str">
        <x:v>CH-PEA-C-Y3-17-2</x:v>
      </x:c>
      <x:c r="C2552" s="7" t="str">
        <x:v>PEA-C-Y3</x:v>
      </x:c>
      <x:c r="D2552" s="7" t="str">
        <x:v>BLD-C</x:v>
      </x:c>
      <x:c r="E2552" s="7" t="str">
        <x:v>BL-Y</x:v>
      </x:c>
      <x:c r="F2552" s="7" t="str">
        <x:v>MF-17</x:v>
      </x:c>
      <x:c r="G2552" s="7" t="str">
        <x:v>normal power</x:v>
      </x:c>
      <x:c r="H2552" s="7" t="n">
        <x:v>2</x:v>
      </x:c>
      <x:c r="I2552" s="7" t="str"/>
      <x:c r="J2552" s="7" t="str"/>
      <x:c r="K2552" s="7" t="str"/>
      <x:c r="L2552" s="7" t="str"/>
      <x:c r="M2552" s="7" t="str"/>
      <x:c r="N2552" s="7" t="str"/>
      <x:c r="O2552" s="7" t="str">
        <x:f>IF(N2552="","OPEN",IF(OR(I2552="",J2552="",K2552="",L2552="",M2552=""),"FAIL","PASS"))</x:f>
        <x:v>OPEN</x:v>
      </x:c>
    </x:row>
    <x:row r="2553">
      <x:c r="B2553" s="7" t="str">
        <x:v>CH-PEA-C-Y3-17-3</x:v>
      </x:c>
      <x:c r="C2553" s="7" t="str">
        <x:v>PEA-C-Y3</x:v>
      </x:c>
      <x:c r="D2553" s="7" t="str">
        <x:v>BLD-C</x:v>
      </x:c>
      <x:c r="E2553" s="7" t="str">
        <x:v>BL-Y</x:v>
      </x:c>
      <x:c r="F2553" s="7" t="str">
        <x:v>MF-17</x:v>
      </x:c>
      <x:c r="G2553" s="7" t="str">
        <x:v>normal power</x:v>
      </x:c>
      <x:c r="H2553" s="7" t="n">
        <x:v>3</x:v>
      </x:c>
      <x:c r="I2553" s="7" t="str"/>
      <x:c r="J2553" s="7" t="str"/>
      <x:c r="K2553" s="7" t="str"/>
      <x:c r="L2553" s="7" t="str"/>
      <x:c r="M2553" s="7" t="str"/>
      <x:c r="N2553" s="7" t="str"/>
      <x:c r="O2553" s="7" t="str">
        <x:f>IF(N2553="","OPEN",IF(OR(I2553="",J2553="",K2553="",L2553="",M2553=""),"FAIL","PASS"))</x:f>
        <x:v>OPEN</x:v>
      </x:c>
    </x:row>
    <x:row r="2554">
      <x:c r="B2554" s="7" t="str">
        <x:v>CH-PEA-C-Y3-17-4</x:v>
      </x:c>
      <x:c r="C2554" s="7" t="str">
        <x:v>PEA-C-Y3</x:v>
      </x:c>
      <x:c r="D2554" s="7" t="str">
        <x:v>BLD-C</x:v>
      </x:c>
      <x:c r="E2554" s="7" t="str">
        <x:v>BL-Y</x:v>
      </x:c>
      <x:c r="F2554" s="7" t="str">
        <x:v>MF-17</x:v>
      </x:c>
      <x:c r="G2554" s="7" t="str">
        <x:v>normal power</x:v>
      </x:c>
      <x:c r="H2554" s="7" t="n">
        <x:v>4</x:v>
      </x:c>
      <x:c r="I2554" s="7" t="str"/>
      <x:c r="J2554" s="7" t="str"/>
      <x:c r="K2554" s="7" t="str"/>
      <x:c r="L2554" s="7" t="str"/>
      <x:c r="M2554" s="7" t="str"/>
      <x:c r="N2554" s="7" t="str"/>
      <x:c r="O2554" s="7" t="str">
        <x:f>IF(N2554="","OPEN",IF(OR(I2554="",J2554="",K2554="",L2554="",M2554=""),"FAIL","PASS"))</x:f>
        <x:v>OPEN</x:v>
      </x:c>
    </x:row>
    <x:row r="2555">
      <x:c r="B2555" s="7" t="str">
        <x:v>CH-PEA-C-Y3-17-5</x:v>
      </x:c>
      <x:c r="C2555" s="7" t="str">
        <x:v>PEA-C-Y3</x:v>
      </x:c>
      <x:c r="D2555" s="7" t="str">
        <x:v>BLD-C</x:v>
      </x:c>
      <x:c r="E2555" s="7" t="str">
        <x:v>BL-Y</x:v>
      </x:c>
      <x:c r="F2555" s="7" t="str">
        <x:v>MF-17</x:v>
      </x:c>
      <x:c r="G2555" s="7" t="str">
        <x:v>normal power</x:v>
      </x:c>
      <x:c r="H2555" s="7" t="n">
        <x:v>5</x:v>
      </x:c>
      <x:c r="I2555" s="7" t="str"/>
      <x:c r="J2555" s="7" t="str"/>
      <x:c r="K2555" s="7" t="str"/>
      <x:c r="L2555" s="7" t="str"/>
      <x:c r="M2555" s="7" t="str"/>
      <x:c r="N2555" s="7" t="str"/>
      <x:c r="O2555" s="7" t="str">
        <x:f>IF(N2555="","OPEN",IF(OR(I2555="",J2555="",K2555="",L2555="",M2555=""),"FAIL","PASS"))</x:f>
        <x:v>OPEN</x:v>
      </x:c>
    </x:row>
    <x:row r="2556">
      <x:c r="B2556" s="7" t="str">
        <x:v>CH-PEA-C-Y3-17-6</x:v>
      </x:c>
      <x:c r="C2556" s="7" t="str">
        <x:v>PEA-C-Y3</x:v>
      </x:c>
      <x:c r="D2556" s="7" t="str">
        <x:v>BLD-C</x:v>
      </x:c>
      <x:c r="E2556" s="7" t="str">
        <x:v>BL-Y</x:v>
      </x:c>
      <x:c r="F2556" s="7" t="str">
        <x:v>MF-17</x:v>
      </x:c>
      <x:c r="G2556" s="7" t="str">
        <x:v>normal power</x:v>
      </x:c>
      <x:c r="H2556" s="7" t="n">
        <x:v>6</x:v>
      </x:c>
      <x:c r="I2556" s="7" t="str"/>
      <x:c r="J2556" s="7" t="str"/>
      <x:c r="K2556" s="7" t="str"/>
      <x:c r="L2556" s="7" t="str"/>
      <x:c r="M2556" s="7" t="str"/>
      <x:c r="N2556" s="7" t="str"/>
      <x:c r="O2556" s="7" t="str">
        <x:f>IF(N2556="","OPEN",IF(OR(I2556="",J2556="",K2556="",L2556="",M2556=""),"FAIL","PASS"))</x:f>
        <x:v>OPEN</x:v>
      </x:c>
    </x:row>
    <x:row r="2557">
      <x:c r="B2557" s="7" t="str">
        <x:v>CH-PEA-C-Y3-18-1</x:v>
      </x:c>
      <x:c r="C2557" s="7" t="str">
        <x:v>PEA-C-Y3</x:v>
      </x:c>
      <x:c r="D2557" s="7" t="str">
        <x:v>BLD-C</x:v>
      </x:c>
      <x:c r="E2557" s="7" t="str">
        <x:v>BL-Y</x:v>
      </x:c>
      <x:c r="F2557" s="7" t="str">
        <x:v>MF-18</x:v>
      </x:c>
      <x:c r="G2557" s="7" t="str">
        <x:v>independent power</x:v>
      </x:c>
      <x:c r="H2557" s="7" t="n">
        <x:v>1</x:v>
      </x:c>
      <x:c r="I2557" s="7" t="str"/>
      <x:c r="J2557" s="7" t="str"/>
      <x:c r="K2557" s="7" t="str"/>
      <x:c r="L2557" s="7" t="str"/>
      <x:c r="M2557" s="7" t="str"/>
      <x:c r="N2557" s="7" t="str"/>
      <x:c r="O2557" s="7" t="str">
        <x:f>IF(N2557="","OPEN",IF(OR(I2557="",J2557="",K2557="",L2557="",M2557=""),"FAIL","PASS"))</x:f>
        <x:v>OPEN</x:v>
      </x:c>
    </x:row>
    <x:row r="2558">
      <x:c r="B2558" s="7" t="str">
        <x:v>CH-PEA-C-Y3-18-2</x:v>
      </x:c>
      <x:c r="C2558" s="7" t="str">
        <x:v>PEA-C-Y3</x:v>
      </x:c>
      <x:c r="D2558" s="7" t="str">
        <x:v>BLD-C</x:v>
      </x:c>
      <x:c r="E2558" s="7" t="str">
        <x:v>BL-Y</x:v>
      </x:c>
      <x:c r="F2558" s="7" t="str">
        <x:v>MF-18</x:v>
      </x:c>
      <x:c r="G2558" s="7" t="str">
        <x:v>independent power</x:v>
      </x:c>
      <x:c r="H2558" s="7" t="n">
        <x:v>2</x:v>
      </x:c>
      <x:c r="I2558" s="7" t="str"/>
      <x:c r="J2558" s="7" t="str"/>
      <x:c r="K2558" s="7" t="str"/>
      <x:c r="L2558" s="7" t="str"/>
      <x:c r="M2558" s="7" t="str"/>
      <x:c r="N2558" s="7" t="str"/>
      <x:c r="O2558" s="7" t="str">
        <x:f>IF(N2558="","OPEN",IF(OR(I2558="",J2558="",K2558="",L2558="",M2558=""),"FAIL","PASS"))</x:f>
        <x:v>OPEN</x:v>
      </x:c>
    </x:row>
    <x:row r="2559">
      <x:c r="B2559" s="7" t="str">
        <x:v>CH-PEA-C-Y3-18-3</x:v>
      </x:c>
      <x:c r="C2559" s="7" t="str">
        <x:v>PEA-C-Y3</x:v>
      </x:c>
      <x:c r="D2559" s="7" t="str">
        <x:v>BLD-C</x:v>
      </x:c>
      <x:c r="E2559" s="7" t="str">
        <x:v>BL-Y</x:v>
      </x:c>
      <x:c r="F2559" s="7" t="str">
        <x:v>MF-18</x:v>
      </x:c>
      <x:c r="G2559" s="7" t="str">
        <x:v>independent power</x:v>
      </x:c>
      <x:c r="H2559" s="7" t="n">
        <x:v>3</x:v>
      </x:c>
      <x:c r="I2559" s="7" t="str"/>
      <x:c r="J2559" s="7" t="str"/>
      <x:c r="K2559" s="7" t="str"/>
      <x:c r="L2559" s="7" t="str"/>
      <x:c r="M2559" s="7" t="str"/>
      <x:c r="N2559" s="7" t="str"/>
      <x:c r="O2559" s="7" t="str">
        <x:f>IF(N2559="","OPEN",IF(OR(I2559="",J2559="",K2559="",L2559="",M2559=""),"FAIL","PASS"))</x:f>
        <x:v>OPEN</x:v>
      </x:c>
    </x:row>
    <x:row r="2560">
      <x:c r="B2560" s="7" t="str">
        <x:v>CH-PEA-C-Y3-18-4</x:v>
      </x:c>
      <x:c r="C2560" s="7" t="str">
        <x:v>PEA-C-Y3</x:v>
      </x:c>
      <x:c r="D2560" s="7" t="str">
        <x:v>BLD-C</x:v>
      </x:c>
      <x:c r="E2560" s="7" t="str">
        <x:v>BL-Y</x:v>
      </x:c>
      <x:c r="F2560" s="7" t="str">
        <x:v>MF-18</x:v>
      </x:c>
      <x:c r="G2560" s="7" t="str">
        <x:v>independent power</x:v>
      </x:c>
      <x:c r="H2560" s="7" t="n">
        <x:v>4</x:v>
      </x:c>
      <x:c r="I2560" s="7" t="str"/>
      <x:c r="J2560" s="7" t="str"/>
      <x:c r="K2560" s="7" t="str"/>
      <x:c r="L2560" s="7" t="str"/>
      <x:c r="M2560" s="7" t="str"/>
      <x:c r="N2560" s="7" t="str"/>
      <x:c r="O2560" s="7" t="str">
        <x:f>IF(N2560="","OPEN",IF(OR(I2560="",J2560="",K2560="",L2560="",M2560=""),"FAIL","PASS"))</x:f>
        <x:v>OPEN</x:v>
      </x:c>
    </x:row>
    <x:row r="2561">
      <x:c r="B2561" s="7" t="str">
        <x:v>CH-PEA-C-Y3-18-5</x:v>
      </x:c>
      <x:c r="C2561" s="7" t="str">
        <x:v>PEA-C-Y3</x:v>
      </x:c>
      <x:c r="D2561" s="7" t="str">
        <x:v>BLD-C</x:v>
      </x:c>
      <x:c r="E2561" s="7" t="str">
        <x:v>BL-Y</x:v>
      </x:c>
      <x:c r="F2561" s="7" t="str">
        <x:v>MF-18</x:v>
      </x:c>
      <x:c r="G2561" s="7" t="str">
        <x:v>independent power</x:v>
      </x:c>
      <x:c r="H2561" s="7" t="n">
        <x:v>5</x:v>
      </x:c>
      <x:c r="I2561" s="7" t="str"/>
      <x:c r="J2561" s="7" t="str"/>
      <x:c r="K2561" s="7" t="str"/>
      <x:c r="L2561" s="7" t="str"/>
      <x:c r="M2561" s="7" t="str"/>
      <x:c r="N2561" s="7" t="str"/>
      <x:c r="O2561" s="7" t="str">
        <x:f>IF(N2561="","OPEN",IF(OR(I2561="",J2561="",K2561="",L2561="",M2561=""),"FAIL","PASS"))</x:f>
        <x:v>OPEN</x:v>
      </x:c>
    </x:row>
    <x:row r="2562">
      <x:c r="B2562" s="7" t="str">
        <x:v>CH-PEA-C-Y3-18-6</x:v>
      </x:c>
      <x:c r="C2562" s="7" t="str">
        <x:v>PEA-C-Y3</x:v>
      </x:c>
      <x:c r="D2562" s="7" t="str">
        <x:v>BLD-C</x:v>
      </x:c>
      <x:c r="E2562" s="7" t="str">
        <x:v>BL-Y</x:v>
      </x:c>
      <x:c r="F2562" s="7" t="str">
        <x:v>MF-18</x:v>
      </x:c>
      <x:c r="G2562" s="7" t="str">
        <x:v>independent power</x:v>
      </x:c>
      <x:c r="H2562" s="7" t="n">
        <x:v>6</x:v>
      </x:c>
      <x:c r="I2562" s="7" t="str"/>
      <x:c r="J2562" s="7" t="str"/>
      <x:c r="K2562" s="7" t="str"/>
      <x:c r="L2562" s="7" t="str"/>
      <x:c r="M2562" s="7" t="str"/>
      <x:c r="N2562" s="7" t="str"/>
      <x:c r="O2562" s="7" t="str">
        <x:f>IF(N2562="","OPEN",IF(OR(I2562="",J2562="",K2562="",L2562="",M2562=""),"FAIL","PASS"))</x:f>
        <x:v>OPEN</x:v>
      </x:c>
    </x:row>
    <x:row r="2563">
      <x:c r="B2563" s="7" t="str">
        <x:v>CH-PEA-C-Y3-19-1</x:v>
      </x:c>
      <x:c r="C2563" s="7" t="str">
        <x:v>PEA-C-Y3</x:v>
      </x:c>
      <x:c r="D2563" s="7" t="str">
        <x:v>BLD-C</x:v>
      </x:c>
      <x:c r="E2563" s="7" t="str">
        <x:v>BL-Y</x:v>
      </x:c>
      <x:c r="F2563" s="7" t="str">
        <x:v>MF-19</x:v>
      </x:c>
      <x:c r="G2563" s="7" t="str">
        <x:v>leak collection</x:v>
      </x:c>
      <x:c r="H2563" s="7" t="n">
        <x:v>1</x:v>
      </x:c>
      <x:c r="I2563" s="7" t="str"/>
      <x:c r="J2563" s="7" t="str"/>
      <x:c r="K2563" s="7" t="str"/>
      <x:c r="L2563" s="7" t="str"/>
      <x:c r="M2563" s="7" t="str"/>
      <x:c r="N2563" s="7" t="str"/>
      <x:c r="O2563" s="7" t="str">
        <x:f>IF(N2563="","OPEN",IF(OR(I2563="",J2563="",K2563="",L2563="",M2563=""),"FAIL","PASS"))</x:f>
        <x:v>OPEN</x:v>
      </x:c>
    </x:row>
    <x:row r="2564">
      <x:c r="B2564" s="7" t="str">
        <x:v>CH-PEA-C-Y3-19-2</x:v>
      </x:c>
      <x:c r="C2564" s="7" t="str">
        <x:v>PEA-C-Y3</x:v>
      </x:c>
      <x:c r="D2564" s="7" t="str">
        <x:v>BLD-C</x:v>
      </x:c>
      <x:c r="E2564" s="7" t="str">
        <x:v>BL-Y</x:v>
      </x:c>
      <x:c r="F2564" s="7" t="str">
        <x:v>MF-19</x:v>
      </x:c>
      <x:c r="G2564" s="7" t="str">
        <x:v>leak collection</x:v>
      </x:c>
      <x:c r="H2564" s="7" t="n">
        <x:v>2</x:v>
      </x:c>
      <x:c r="I2564" s="7" t="str"/>
      <x:c r="J2564" s="7" t="str"/>
      <x:c r="K2564" s="7" t="str"/>
      <x:c r="L2564" s="7" t="str"/>
      <x:c r="M2564" s="7" t="str"/>
      <x:c r="N2564" s="7" t="str"/>
      <x:c r="O2564" s="7" t="str">
        <x:f>IF(N2564="","OPEN",IF(OR(I2564="",J2564="",K2564="",L2564="",M2564=""),"FAIL","PASS"))</x:f>
        <x:v>OPEN</x:v>
      </x:c>
    </x:row>
    <x:row r="2565">
      <x:c r="B2565" s="7" t="str">
        <x:v>CH-PEA-C-Y3-19-3</x:v>
      </x:c>
      <x:c r="C2565" s="7" t="str">
        <x:v>PEA-C-Y3</x:v>
      </x:c>
      <x:c r="D2565" s="7" t="str">
        <x:v>BLD-C</x:v>
      </x:c>
      <x:c r="E2565" s="7" t="str">
        <x:v>BL-Y</x:v>
      </x:c>
      <x:c r="F2565" s="7" t="str">
        <x:v>MF-19</x:v>
      </x:c>
      <x:c r="G2565" s="7" t="str">
        <x:v>leak collection</x:v>
      </x:c>
      <x:c r="H2565" s="7" t="n">
        <x:v>3</x:v>
      </x:c>
      <x:c r="I2565" s="7" t="str"/>
      <x:c r="J2565" s="7" t="str"/>
      <x:c r="K2565" s="7" t="str"/>
      <x:c r="L2565" s="7" t="str"/>
      <x:c r="M2565" s="7" t="str"/>
      <x:c r="N2565" s="7" t="str"/>
      <x:c r="O2565" s="7" t="str">
        <x:f>IF(N2565="","OPEN",IF(OR(I2565="",J2565="",K2565="",L2565="",M2565=""),"FAIL","PASS"))</x:f>
        <x:v>OPEN</x:v>
      </x:c>
    </x:row>
    <x:row r="2566">
      <x:c r="B2566" s="7" t="str">
        <x:v>CH-PEA-C-Y3-19-4</x:v>
      </x:c>
      <x:c r="C2566" s="7" t="str">
        <x:v>PEA-C-Y3</x:v>
      </x:c>
      <x:c r="D2566" s="7" t="str">
        <x:v>BLD-C</x:v>
      </x:c>
      <x:c r="E2566" s="7" t="str">
        <x:v>BL-Y</x:v>
      </x:c>
      <x:c r="F2566" s="7" t="str">
        <x:v>MF-19</x:v>
      </x:c>
      <x:c r="G2566" s="7" t="str">
        <x:v>leak collection</x:v>
      </x:c>
      <x:c r="H2566" s="7" t="n">
        <x:v>4</x:v>
      </x:c>
      <x:c r="I2566" s="7" t="str"/>
      <x:c r="J2566" s="7" t="str"/>
      <x:c r="K2566" s="7" t="str"/>
      <x:c r="L2566" s="7" t="str"/>
      <x:c r="M2566" s="7" t="str"/>
      <x:c r="N2566" s="7" t="str"/>
      <x:c r="O2566" s="7" t="str">
        <x:f>IF(N2566="","OPEN",IF(OR(I2566="",J2566="",K2566="",L2566="",M2566=""),"FAIL","PASS"))</x:f>
        <x:v>OPEN</x:v>
      </x:c>
    </x:row>
    <x:row r="2567">
      <x:c r="B2567" s="7" t="str">
        <x:v>CH-PEA-C-Y3-19-5</x:v>
      </x:c>
      <x:c r="C2567" s="7" t="str">
        <x:v>PEA-C-Y3</x:v>
      </x:c>
      <x:c r="D2567" s="7" t="str">
        <x:v>BLD-C</x:v>
      </x:c>
      <x:c r="E2567" s="7" t="str">
        <x:v>BL-Y</x:v>
      </x:c>
      <x:c r="F2567" s="7" t="str">
        <x:v>MF-19</x:v>
      </x:c>
      <x:c r="G2567" s="7" t="str">
        <x:v>leak collection</x:v>
      </x:c>
      <x:c r="H2567" s="7" t="n">
        <x:v>5</x:v>
      </x:c>
      <x:c r="I2567" s="7" t="str"/>
      <x:c r="J2567" s="7" t="str"/>
      <x:c r="K2567" s="7" t="str"/>
      <x:c r="L2567" s="7" t="str"/>
      <x:c r="M2567" s="7" t="str"/>
      <x:c r="N2567" s="7" t="str"/>
      <x:c r="O2567" s="7" t="str">
        <x:f>IF(N2567="","OPEN",IF(OR(I2567="",J2567="",K2567="",L2567="",M2567=""),"FAIL","PASS"))</x:f>
        <x:v>OPEN</x:v>
      </x:c>
    </x:row>
    <x:row r="2568">
      <x:c r="B2568" s="7" t="str">
        <x:v>CH-PEA-C-Y3-19-6</x:v>
      </x:c>
      <x:c r="C2568" s="7" t="str">
        <x:v>PEA-C-Y3</x:v>
      </x:c>
      <x:c r="D2568" s="7" t="str">
        <x:v>BLD-C</x:v>
      </x:c>
      <x:c r="E2568" s="7" t="str">
        <x:v>BL-Y</x:v>
      </x:c>
      <x:c r="F2568" s="7" t="str">
        <x:v>MF-19</x:v>
      </x:c>
      <x:c r="G2568" s="7" t="str">
        <x:v>leak collection</x:v>
      </x:c>
      <x:c r="H2568" s="7" t="n">
        <x:v>6</x:v>
      </x:c>
      <x:c r="I2568" s="7" t="str"/>
      <x:c r="J2568" s="7" t="str"/>
      <x:c r="K2568" s="7" t="str"/>
      <x:c r="L2568" s="7" t="str"/>
      <x:c r="M2568" s="7" t="str"/>
      <x:c r="N2568" s="7" t="str"/>
      <x:c r="O2568" s="7" t="str">
        <x:f>IF(N2568="","OPEN",IF(OR(I2568="",J2568="",K2568="",L2568="",M2568=""),"FAIL","PASS"))</x:f>
        <x:v>OPEN</x:v>
      </x:c>
    </x:row>
    <x:row r="2569">
      <x:c r="B2569" s="7" t="str">
        <x:v>CH-PEA-C-Y3-20-1</x:v>
      </x:c>
      <x:c r="C2569" s="7" t="str">
        <x:v>PEA-C-Y3</x:v>
      </x:c>
      <x:c r="D2569" s="7" t="str">
        <x:v>BLD-C</x:v>
      </x:c>
      <x:c r="E2569" s="7" t="str">
        <x:v>BL-Y</x:v>
      </x:c>
      <x:c r="F2569" s="7" t="str">
        <x:v>MF-20</x:v>
      </x:c>
      <x:c r="G2569" s="7" t="str">
        <x:v>occupied-area state</x:v>
      </x:c>
      <x:c r="H2569" s="7" t="n">
        <x:v>1</x:v>
      </x:c>
      <x:c r="I2569" s="7" t="str"/>
      <x:c r="J2569" s="7" t="str"/>
      <x:c r="K2569" s="7" t="str"/>
      <x:c r="L2569" s="7" t="str"/>
      <x:c r="M2569" s="7" t="str"/>
      <x:c r="N2569" s="7" t="str"/>
      <x:c r="O2569" s="7" t="str">
        <x:f>IF(N2569="","OPEN",IF(OR(I2569="",J2569="",K2569="",L2569="",M2569=""),"FAIL","PASS"))</x:f>
        <x:v>OPEN</x:v>
      </x:c>
    </x:row>
    <x:row r="2570">
      <x:c r="B2570" s="7" t="str">
        <x:v>CH-PEA-C-Y3-20-2</x:v>
      </x:c>
      <x:c r="C2570" s="7" t="str">
        <x:v>PEA-C-Y3</x:v>
      </x:c>
      <x:c r="D2570" s="7" t="str">
        <x:v>BLD-C</x:v>
      </x:c>
      <x:c r="E2570" s="7" t="str">
        <x:v>BL-Y</x:v>
      </x:c>
      <x:c r="F2570" s="7" t="str">
        <x:v>MF-20</x:v>
      </x:c>
      <x:c r="G2570" s="7" t="str">
        <x:v>occupied-area state</x:v>
      </x:c>
      <x:c r="H2570" s="7" t="n">
        <x:v>2</x:v>
      </x:c>
      <x:c r="I2570" s="7" t="str"/>
      <x:c r="J2570" s="7" t="str"/>
      <x:c r="K2570" s="7" t="str"/>
      <x:c r="L2570" s="7" t="str"/>
      <x:c r="M2570" s="7" t="str"/>
      <x:c r="N2570" s="7" t="str"/>
      <x:c r="O2570" s="7" t="str">
        <x:f>IF(N2570="","OPEN",IF(OR(I2570="",J2570="",K2570="",L2570="",M2570=""),"FAIL","PASS"))</x:f>
        <x:v>OPEN</x:v>
      </x:c>
    </x:row>
    <x:row r="2571">
      <x:c r="B2571" s="7" t="str">
        <x:v>CH-PEA-C-Y3-20-3</x:v>
      </x:c>
      <x:c r="C2571" s="7" t="str">
        <x:v>PEA-C-Y3</x:v>
      </x:c>
      <x:c r="D2571" s="7" t="str">
        <x:v>BLD-C</x:v>
      </x:c>
      <x:c r="E2571" s="7" t="str">
        <x:v>BL-Y</x:v>
      </x:c>
      <x:c r="F2571" s="7" t="str">
        <x:v>MF-20</x:v>
      </x:c>
      <x:c r="G2571" s="7" t="str">
        <x:v>occupied-area state</x:v>
      </x:c>
      <x:c r="H2571" s="7" t="n">
        <x:v>3</x:v>
      </x:c>
      <x:c r="I2571" s="7" t="str"/>
      <x:c r="J2571" s="7" t="str"/>
      <x:c r="K2571" s="7" t="str"/>
      <x:c r="L2571" s="7" t="str"/>
      <x:c r="M2571" s="7" t="str"/>
      <x:c r="N2571" s="7" t="str"/>
      <x:c r="O2571" s="7" t="str">
        <x:f>IF(N2571="","OPEN",IF(OR(I2571="",J2571="",K2571="",L2571="",M2571=""),"FAIL","PASS"))</x:f>
        <x:v>OPEN</x:v>
      </x:c>
    </x:row>
    <x:row r="2572">
      <x:c r="B2572" s="7" t="str">
        <x:v>CH-PEA-C-Y3-20-4</x:v>
      </x:c>
      <x:c r="C2572" s="7" t="str">
        <x:v>PEA-C-Y3</x:v>
      </x:c>
      <x:c r="D2572" s="7" t="str">
        <x:v>BLD-C</x:v>
      </x:c>
      <x:c r="E2572" s="7" t="str">
        <x:v>BL-Y</x:v>
      </x:c>
      <x:c r="F2572" s="7" t="str">
        <x:v>MF-20</x:v>
      </x:c>
      <x:c r="G2572" s="7" t="str">
        <x:v>occupied-area state</x:v>
      </x:c>
      <x:c r="H2572" s="7" t="n">
        <x:v>4</x:v>
      </x:c>
      <x:c r="I2572" s="7" t="str"/>
      <x:c r="J2572" s="7" t="str"/>
      <x:c r="K2572" s="7" t="str"/>
      <x:c r="L2572" s="7" t="str"/>
      <x:c r="M2572" s="7" t="str"/>
      <x:c r="N2572" s="7" t="str"/>
      <x:c r="O2572" s="7" t="str">
        <x:f>IF(N2572="","OPEN",IF(OR(I2572="",J2572="",K2572="",L2572="",M2572=""),"FAIL","PASS"))</x:f>
        <x:v>OPEN</x:v>
      </x:c>
    </x:row>
    <x:row r="2573">
      <x:c r="B2573" s="7" t="str">
        <x:v>CH-PEA-C-Y3-20-5</x:v>
      </x:c>
      <x:c r="C2573" s="7" t="str">
        <x:v>PEA-C-Y3</x:v>
      </x:c>
      <x:c r="D2573" s="7" t="str">
        <x:v>BLD-C</x:v>
      </x:c>
      <x:c r="E2573" s="7" t="str">
        <x:v>BL-Y</x:v>
      </x:c>
      <x:c r="F2573" s="7" t="str">
        <x:v>MF-20</x:v>
      </x:c>
      <x:c r="G2573" s="7" t="str">
        <x:v>occupied-area state</x:v>
      </x:c>
      <x:c r="H2573" s="7" t="n">
        <x:v>5</x:v>
      </x:c>
      <x:c r="I2573" s="7" t="str"/>
      <x:c r="J2573" s="7" t="str"/>
      <x:c r="K2573" s="7" t="str"/>
      <x:c r="L2573" s="7" t="str"/>
      <x:c r="M2573" s="7" t="str"/>
      <x:c r="N2573" s="7" t="str"/>
      <x:c r="O2573" s="7" t="str">
        <x:f>IF(N2573="","OPEN",IF(OR(I2573="",J2573="",K2573="",L2573="",M2573=""),"FAIL","PASS"))</x:f>
        <x:v>OPEN</x:v>
      </x:c>
    </x:row>
    <x:row r="2574">
      <x:c r="B2574" s="7" t="str">
        <x:v>CH-PEA-C-Y3-20-6</x:v>
      </x:c>
      <x:c r="C2574" s="7" t="str">
        <x:v>PEA-C-Y3</x:v>
      </x:c>
      <x:c r="D2574" s="7" t="str">
        <x:v>BLD-C</x:v>
      </x:c>
      <x:c r="E2574" s="7" t="str">
        <x:v>BL-Y</x:v>
      </x:c>
      <x:c r="F2574" s="7" t="str">
        <x:v>MF-20</x:v>
      </x:c>
      <x:c r="G2574" s="7" t="str">
        <x:v>occupied-area state</x:v>
      </x:c>
      <x:c r="H2574" s="7" t="n">
        <x:v>6</x:v>
      </x:c>
      <x:c r="I2574" s="7" t="str"/>
      <x:c r="J2574" s="7" t="str"/>
      <x:c r="K2574" s="7" t="str"/>
      <x:c r="L2574" s="7" t="str"/>
      <x:c r="M2574" s="7" t="str"/>
      <x:c r="N2574" s="7" t="str"/>
      <x:c r="O2574" s="7" t="str">
        <x:f>IF(N2574="","OPEN",IF(OR(I2574="",J2574="",K2574="",L2574="",M2574=""),"FAIL","PASS"))</x:f>
        <x:v>OPEN</x:v>
      </x:c>
    </x:row>
    <x:row r="2575">
      <x:c r="B2575" s="7" t="str">
        <x:v>CH-PEA-C-Y3-21-1</x:v>
      </x:c>
      <x:c r="C2575" s="7" t="str">
        <x:v>PEA-C-Y3</x:v>
      </x:c>
      <x:c r="D2575" s="7" t="str">
        <x:v>BLD-C</x:v>
      </x:c>
      <x:c r="E2575" s="7" t="str">
        <x:v>BL-Y</x:v>
      </x:c>
      <x:c r="F2575" s="7" t="str">
        <x:v>MF-21</x:v>
      </x:c>
      <x:c r="G2575" s="7" t="str">
        <x:v>public-water flow</x:v>
      </x:c>
      <x:c r="H2575" s="7" t="n">
        <x:v>1</x:v>
      </x:c>
      <x:c r="I2575" s="7" t="str"/>
      <x:c r="J2575" s="7" t="str"/>
      <x:c r="K2575" s="7" t="str"/>
      <x:c r="L2575" s="7" t="str"/>
      <x:c r="M2575" s="7" t="str"/>
      <x:c r="N2575" s="7" t="str"/>
      <x:c r="O2575" s="7" t="str">
        <x:f>IF(N2575="","OPEN",IF(OR(I2575="",J2575="",K2575="",L2575="",M2575=""),"FAIL","PASS"))</x:f>
        <x:v>OPEN</x:v>
      </x:c>
    </x:row>
    <x:row r="2576">
      <x:c r="B2576" s="7" t="str">
        <x:v>CH-PEA-C-Y3-21-2</x:v>
      </x:c>
      <x:c r="C2576" s="7" t="str">
        <x:v>PEA-C-Y3</x:v>
      </x:c>
      <x:c r="D2576" s="7" t="str">
        <x:v>BLD-C</x:v>
      </x:c>
      <x:c r="E2576" s="7" t="str">
        <x:v>BL-Y</x:v>
      </x:c>
      <x:c r="F2576" s="7" t="str">
        <x:v>MF-21</x:v>
      </x:c>
      <x:c r="G2576" s="7" t="str">
        <x:v>public-water flow</x:v>
      </x:c>
      <x:c r="H2576" s="7" t="n">
        <x:v>2</x:v>
      </x:c>
      <x:c r="I2576" s="7" t="str"/>
      <x:c r="J2576" s="7" t="str"/>
      <x:c r="K2576" s="7" t="str"/>
      <x:c r="L2576" s="7" t="str"/>
      <x:c r="M2576" s="7" t="str"/>
      <x:c r="N2576" s="7" t="str"/>
      <x:c r="O2576" s="7" t="str">
        <x:f>IF(N2576="","OPEN",IF(OR(I2576="",J2576="",K2576="",L2576="",M2576=""),"FAIL","PASS"))</x:f>
        <x:v>OPEN</x:v>
      </x:c>
    </x:row>
    <x:row r="2577">
      <x:c r="B2577" s="7" t="str">
        <x:v>CH-PEA-C-Y3-21-3</x:v>
      </x:c>
      <x:c r="C2577" s="7" t="str">
        <x:v>PEA-C-Y3</x:v>
      </x:c>
      <x:c r="D2577" s="7" t="str">
        <x:v>BLD-C</x:v>
      </x:c>
      <x:c r="E2577" s="7" t="str">
        <x:v>BL-Y</x:v>
      </x:c>
      <x:c r="F2577" s="7" t="str">
        <x:v>MF-21</x:v>
      </x:c>
      <x:c r="G2577" s="7" t="str">
        <x:v>public-water flow</x:v>
      </x:c>
      <x:c r="H2577" s="7" t="n">
        <x:v>3</x:v>
      </x:c>
      <x:c r="I2577" s="7" t="str"/>
      <x:c r="J2577" s="7" t="str"/>
      <x:c r="K2577" s="7" t="str"/>
      <x:c r="L2577" s="7" t="str"/>
      <x:c r="M2577" s="7" t="str"/>
      <x:c r="N2577" s="7" t="str"/>
      <x:c r="O2577" s="7" t="str">
        <x:f>IF(N2577="","OPEN",IF(OR(I2577="",J2577="",K2577="",L2577="",M2577=""),"FAIL","PASS"))</x:f>
        <x:v>OPEN</x:v>
      </x:c>
    </x:row>
    <x:row r="2578">
      <x:c r="B2578" s="7" t="str">
        <x:v>CH-PEA-C-Y3-21-4</x:v>
      </x:c>
      <x:c r="C2578" s="7" t="str">
        <x:v>PEA-C-Y3</x:v>
      </x:c>
      <x:c r="D2578" s="7" t="str">
        <x:v>BLD-C</x:v>
      </x:c>
      <x:c r="E2578" s="7" t="str">
        <x:v>BL-Y</x:v>
      </x:c>
      <x:c r="F2578" s="7" t="str">
        <x:v>MF-21</x:v>
      </x:c>
      <x:c r="G2578" s="7" t="str">
        <x:v>public-water flow</x:v>
      </x:c>
      <x:c r="H2578" s="7" t="n">
        <x:v>4</x:v>
      </x:c>
      <x:c r="I2578" s="7" t="str"/>
      <x:c r="J2578" s="7" t="str"/>
      <x:c r="K2578" s="7" t="str"/>
      <x:c r="L2578" s="7" t="str"/>
      <x:c r="M2578" s="7" t="str"/>
      <x:c r="N2578" s="7" t="str"/>
      <x:c r="O2578" s="7" t="str">
        <x:f>IF(N2578="","OPEN",IF(OR(I2578="",J2578="",K2578="",L2578="",M2578=""),"FAIL","PASS"))</x:f>
        <x:v>OPEN</x:v>
      </x:c>
    </x:row>
    <x:row r="2579">
      <x:c r="B2579" s="7" t="str">
        <x:v>CH-PEA-C-Y3-21-5</x:v>
      </x:c>
      <x:c r="C2579" s="7" t="str">
        <x:v>PEA-C-Y3</x:v>
      </x:c>
      <x:c r="D2579" s="7" t="str">
        <x:v>BLD-C</x:v>
      </x:c>
      <x:c r="E2579" s="7" t="str">
        <x:v>BL-Y</x:v>
      </x:c>
      <x:c r="F2579" s="7" t="str">
        <x:v>MF-21</x:v>
      </x:c>
      <x:c r="G2579" s="7" t="str">
        <x:v>public-water flow</x:v>
      </x:c>
      <x:c r="H2579" s="7" t="n">
        <x:v>5</x:v>
      </x:c>
      <x:c r="I2579" s="7" t="str"/>
      <x:c r="J2579" s="7" t="str"/>
      <x:c r="K2579" s="7" t="str"/>
      <x:c r="L2579" s="7" t="str"/>
      <x:c r="M2579" s="7" t="str"/>
      <x:c r="N2579" s="7" t="str"/>
      <x:c r="O2579" s="7" t="str">
        <x:f>IF(N2579="","OPEN",IF(OR(I2579="",J2579="",K2579="",L2579="",M2579=""),"FAIL","PASS"))</x:f>
        <x:v>OPEN</x:v>
      </x:c>
    </x:row>
    <x:row r="2580">
      <x:c r="B2580" s="7" t="str">
        <x:v>CH-PEA-C-Y3-21-6</x:v>
      </x:c>
      <x:c r="C2580" s="7" t="str">
        <x:v>PEA-C-Y3</x:v>
      </x:c>
      <x:c r="D2580" s="7" t="str">
        <x:v>BLD-C</x:v>
      </x:c>
      <x:c r="E2580" s="7" t="str">
        <x:v>BL-Y</x:v>
      </x:c>
      <x:c r="F2580" s="7" t="str">
        <x:v>MF-21</x:v>
      </x:c>
      <x:c r="G2580" s="7" t="str">
        <x:v>public-water flow</x:v>
      </x:c>
      <x:c r="H2580" s="7" t="n">
        <x:v>6</x:v>
      </x:c>
      <x:c r="I2580" s="7" t="str"/>
      <x:c r="J2580" s="7" t="str"/>
      <x:c r="K2580" s="7" t="str"/>
      <x:c r="L2580" s="7" t="str"/>
      <x:c r="M2580" s="7" t="str"/>
      <x:c r="N2580" s="7" t="str"/>
      <x:c r="O2580" s="7" t="str">
        <x:f>IF(N2580="","OPEN",IF(OR(I2580="",J2580="",K2580="",L2580="",M2580=""),"FAIL","PASS"))</x:f>
        <x:v>OPEN</x:v>
      </x:c>
    </x:row>
    <x:row r="2581">
      <x:c r="B2581" s="7" t="str">
        <x:v>CH-PEA-C-Y3-22-1</x:v>
      </x:c>
      <x:c r="C2581" s="7" t="str">
        <x:v>PEA-C-Y3</x:v>
      </x:c>
      <x:c r="D2581" s="7" t="str">
        <x:v>BLD-C</x:v>
      </x:c>
      <x:c r="E2581" s="7" t="str">
        <x:v>BL-Y</x:v>
      </x:c>
      <x:c r="F2581" s="7" t="str">
        <x:v>MF-22</x:v>
      </x:c>
      <x:c r="G2581" s="7" t="str">
        <x:v>source ancestry</x:v>
      </x:c>
      <x:c r="H2581" s="7" t="n">
        <x:v>1</x:v>
      </x:c>
      <x:c r="I2581" s="7" t="str"/>
      <x:c r="J2581" s="7" t="str"/>
      <x:c r="K2581" s="7" t="str"/>
      <x:c r="L2581" s="7" t="str"/>
      <x:c r="M2581" s="7" t="str"/>
      <x:c r="N2581" s="7" t="str"/>
      <x:c r="O2581" s="7" t="str">
        <x:f>IF(N2581="","OPEN",IF(OR(I2581="",J2581="",K2581="",L2581="",M2581=""),"FAIL","PASS"))</x:f>
        <x:v>OPEN</x:v>
      </x:c>
    </x:row>
    <x:row r="2582">
      <x:c r="B2582" s="7" t="str">
        <x:v>CH-PEA-C-Y3-22-2</x:v>
      </x:c>
      <x:c r="C2582" s="7" t="str">
        <x:v>PEA-C-Y3</x:v>
      </x:c>
      <x:c r="D2582" s="7" t="str">
        <x:v>BLD-C</x:v>
      </x:c>
      <x:c r="E2582" s="7" t="str">
        <x:v>BL-Y</x:v>
      </x:c>
      <x:c r="F2582" s="7" t="str">
        <x:v>MF-22</x:v>
      </x:c>
      <x:c r="G2582" s="7" t="str">
        <x:v>source ancestry</x:v>
      </x:c>
      <x:c r="H2582" s="7" t="n">
        <x:v>2</x:v>
      </x:c>
      <x:c r="I2582" s="7" t="str"/>
      <x:c r="J2582" s="7" t="str"/>
      <x:c r="K2582" s="7" t="str"/>
      <x:c r="L2582" s="7" t="str"/>
      <x:c r="M2582" s="7" t="str"/>
      <x:c r="N2582" s="7" t="str"/>
      <x:c r="O2582" s="7" t="str">
        <x:f>IF(N2582="","OPEN",IF(OR(I2582="",J2582="",K2582="",L2582="",M2582=""),"FAIL","PASS"))</x:f>
        <x:v>OPEN</x:v>
      </x:c>
    </x:row>
    <x:row r="2583">
      <x:c r="B2583" s="7" t="str">
        <x:v>CH-PEA-C-Y3-22-3</x:v>
      </x:c>
      <x:c r="C2583" s="7" t="str">
        <x:v>PEA-C-Y3</x:v>
      </x:c>
      <x:c r="D2583" s="7" t="str">
        <x:v>BLD-C</x:v>
      </x:c>
      <x:c r="E2583" s="7" t="str">
        <x:v>BL-Y</x:v>
      </x:c>
      <x:c r="F2583" s="7" t="str">
        <x:v>MF-22</x:v>
      </x:c>
      <x:c r="G2583" s="7" t="str">
        <x:v>source ancestry</x:v>
      </x:c>
      <x:c r="H2583" s="7" t="n">
        <x:v>3</x:v>
      </x:c>
      <x:c r="I2583" s="7" t="str"/>
      <x:c r="J2583" s="7" t="str"/>
      <x:c r="K2583" s="7" t="str"/>
      <x:c r="L2583" s="7" t="str"/>
      <x:c r="M2583" s="7" t="str"/>
      <x:c r="N2583" s="7" t="str"/>
      <x:c r="O2583" s="7" t="str">
        <x:f>IF(N2583="","OPEN",IF(OR(I2583="",J2583="",K2583="",L2583="",M2583=""),"FAIL","PASS"))</x:f>
        <x:v>OPEN</x:v>
      </x:c>
    </x:row>
    <x:row r="2584">
      <x:c r="B2584" s="7" t="str">
        <x:v>CH-PEA-C-Y3-22-4</x:v>
      </x:c>
      <x:c r="C2584" s="7" t="str">
        <x:v>PEA-C-Y3</x:v>
      </x:c>
      <x:c r="D2584" s="7" t="str">
        <x:v>BLD-C</x:v>
      </x:c>
      <x:c r="E2584" s="7" t="str">
        <x:v>BL-Y</x:v>
      </x:c>
      <x:c r="F2584" s="7" t="str">
        <x:v>MF-22</x:v>
      </x:c>
      <x:c r="G2584" s="7" t="str">
        <x:v>source ancestry</x:v>
      </x:c>
      <x:c r="H2584" s="7" t="n">
        <x:v>4</x:v>
      </x:c>
      <x:c r="I2584" s="7" t="str"/>
      <x:c r="J2584" s="7" t="str"/>
      <x:c r="K2584" s="7" t="str"/>
      <x:c r="L2584" s="7" t="str"/>
      <x:c r="M2584" s="7" t="str"/>
      <x:c r="N2584" s="7" t="str"/>
      <x:c r="O2584" s="7" t="str">
        <x:f>IF(N2584="","OPEN",IF(OR(I2584="",J2584="",K2584="",L2584="",M2584=""),"FAIL","PASS"))</x:f>
        <x:v>OPEN</x:v>
      </x:c>
    </x:row>
    <x:row r="2585">
      <x:c r="B2585" s="7" t="str">
        <x:v>CH-PEA-C-Y3-22-5</x:v>
      </x:c>
      <x:c r="C2585" s="7" t="str">
        <x:v>PEA-C-Y3</x:v>
      </x:c>
      <x:c r="D2585" s="7" t="str">
        <x:v>BLD-C</x:v>
      </x:c>
      <x:c r="E2585" s="7" t="str">
        <x:v>BL-Y</x:v>
      </x:c>
      <x:c r="F2585" s="7" t="str">
        <x:v>MF-22</x:v>
      </x:c>
      <x:c r="G2585" s="7" t="str">
        <x:v>source ancestry</x:v>
      </x:c>
      <x:c r="H2585" s="7" t="n">
        <x:v>5</x:v>
      </x:c>
      <x:c r="I2585" s="7" t="str"/>
      <x:c r="J2585" s="7" t="str"/>
      <x:c r="K2585" s="7" t="str"/>
      <x:c r="L2585" s="7" t="str"/>
      <x:c r="M2585" s="7" t="str"/>
      <x:c r="N2585" s="7" t="str"/>
      <x:c r="O2585" s="7" t="str">
        <x:f>IF(N2585="","OPEN",IF(OR(I2585="",J2585="",K2585="",L2585="",M2585=""),"FAIL","PASS"))</x:f>
        <x:v>OPEN</x:v>
      </x:c>
    </x:row>
    <x:row r="2586">
      <x:c r="B2586" s="7" t="str">
        <x:v>CH-PEA-C-Y3-22-6</x:v>
      </x:c>
      <x:c r="C2586" s="7" t="str">
        <x:v>PEA-C-Y3</x:v>
      </x:c>
      <x:c r="D2586" s="7" t="str">
        <x:v>BLD-C</x:v>
      </x:c>
      <x:c r="E2586" s="7" t="str">
        <x:v>BL-Y</x:v>
      </x:c>
      <x:c r="F2586" s="7" t="str">
        <x:v>MF-22</x:v>
      </x:c>
      <x:c r="G2586" s="7" t="str">
        <x:v>source ancestry</x:v>
      </x:c>
      <x:c r="H2586" s="7" t="n">
        <x:v>6</x:v>
      </x:c>
      <x:c r="I2586" s="7" t="str"/>
      <x:c r="J2586" s="7" t="str"/>
      <x:c r="K2586" s="7" t="str"/>
      <x:c r="L2586" s="7" t="str"/>
      <x:c r="M2586" s="7" t="str"/>
      <x:c r="N2586" s="7" t="str"/>
      <x:c r="O2586" s="7" t="str">
        <x:f>IF(N2586="","OPEN",IF(OR(I2586="",J2586="",K2586="",L2586="",M2586=""),"FAIL","PASS"))</x:f>
        <x:v>OPEN</x:v>
      </x:c>
    </x:row>
    <x:row r="2587">
      <x:c r="B2587" s="7" t="str">
        <x:v>CH-PEA-C-Y3-23-1</x:v>
      </x:c>
      <x:c r="C2587" s="7" t="str">
        <x:v>PEA-C-Y3</x:v>
      </x:c>
      <x:c r="D2587" s="7" t="str">
        <x:v>BLD-C</x:v>
      </x:c>
      <x:c r="E2587" s="7" t="str">
        <x:v>BL-Y</x:v>
      </x:c>
      <x:c r="F2587" s="7" t="str">
        <x:v>MF-23</x:v>
      </x:c>
      <x:c r="G2587" s="7" t="str">
        <x:v>water ancestry</x:v>
      </x:c>
      <x:c r="H2587" s="7" t="n">
        <x:v>1</x:v>
      </x:c>
      <x:c r="I2587" s="7" t="str"/>
      <x:c r="J2587" s="7" t="str"/>
      <x:c r="K2587" s="7" t="str"/>
      <x:c r="L2587" s="7" t="str"/>
      <x:c r="M2587" s="7" t="str"/>
      <x:c r="N2587" s="7" t="str"/>
      <x:c r="O2587" s="7" t="str">
        <x:f>IF(N2587="","OPEN",IF(OR(I2587="",J2587="",K2587="",L2587="",M2587=""),"FAIL","PASS"))</x:f>
        <x:v>OPEN</x:v>
      </x:c>
    </x:row>
    <x:row r="2588">
      <x:c r="B2588" s="7" t="str">
        <x:v>CH-PEA-C-Y3-23-2</x:v>
      </x:c>
      <x:c r="C2588" s="7" t="str">
        <x:v>PEA-C-Y3</x:v>
      </x:c>
      <x:c r="D2588" s="7" t="str">
        <x:v>BLD-C</x:v>
      </x:c>
      <x:c r="E2588" s="7" t="str">
        <x:v>BL-Y</x:v>
      </x:c>
      <x:c r="F2588" s="7" t="str">
        <x:v>MF-23</x:v>
      </x:c>
      <x:c r="G2588" s="7" t="str">
        <x:v>water ancestry</x:v>
      </x:c>
      <x:c r="H2588" s="7" t="n">
        <x:v>2</x:v>
      </x:c>
      <x:c r="I2588" s="7" t="str"/>
      <x:c r="J2588" s="7" t="str"/>
      <x:c r="K2588" s="7" t="str"/>
      <x:c r="L2588" s="7" t="str"/>
      <x:c r="M2588" s="7" t="str"/>
      <x:c r="N2588" s="7" t="str"/>
      <x:c r="O2588" s="7" t="str">
        <x:f>IF(N2588="","OPEN",IF(OR(I2588="",J2588="",K2588="",L2588="",M2588=""),"FAIL","PASS"))</x:f>
        <x:v>OPEN</x:v>
      </x:c>
    </x:row>
    <x:row r="2589">
      <x:c r="B2589" s="7" t="str">
        <x:v>CH-PEA-C-Y3-23-3</x:v>
      </x:c>
      <x:c r="C2589" s="7" t="str">
        <x:v>PEA-C-Y3</x:v>
      </x:c>
      <x:c r="D2589" s="7" t="str">
        <x:v>BLD-C</x:v>
      </x:c>
      <x:c r="E2589" s="7" t="str">
        <x:v>BL-Y</x:v>
      </x:c>
      <x:c r="F2589" s="7" t="str">
        <x:v>MF-23</x:v>
      </x:c>
      <x:c r="G2589" s="7" t="str">
        <x:v>water ancestry</x:v>
      </x:c>
      <x:c r="H2589" s="7" t="n">
        <x:v>3</x:v>
      </x:c>
      <x:c r="I2589" s="7" t="str"/>
      <x:c r="J2589" s="7" t="str"/>
      <x:c r="K2589" s="7" t="str"/>
      <x:c r="L2589" s="7" t="str"/>
      <x:c r="M2589" s="7" t="str"/>
      <x:c r="N2589" s="7" t="str"/>
      <x:c r="O2589" s="7" t="str">
        <x:f>IF(N2589="","OPEN",IF(OR(I2589="",J2589="",K2589="",L2589="",M2589=""),"FAIL","PASS"))</x:f>
        <x:v>OPEN</x:v>
      </x:c>
    </x:row>
    <x:row r="2590">
      <x:c r="B2590" s="7" t="str">
        <x:v>CH-PEA-C-Y3-23-4</x:v>
      </x:c>
      <x:c r="C2590" s="7" t="str">
        <x:v>PEA-C-Y3</x:v>
      </x:c>
      <x:c r="D2590" s="7" t="str">
        <x:v>BLD-C</x:v>
      </x:c>
      <x:c r="E2590" s="7" t="str">
        <x:v>BL-Y</x:v>
      </x:c>
      <x:c r="F2590" s="7" t="str">
        <x:v>MF-23</x:v>
      </x:c>
      <x:c r="G2590" s="7" t="str">
        <x:v>water ancestry</x:v>
      </x:c>
      <x:c r="H2590" s="7" t="n">
        <x:v>4</x:v>
      </x:c>
      <x:c r="I2590" s="7" t="str"/>
      <x:c r="J2590" s="7" t="str"/>
      <x:c r="K2590" s="7" t="str"/>
      <x:c r="L2590" s="7" t="str"/>
      <x:c r="M2590" s="7" t="str"/>
      <x:c r="N2590" s="7" t="str"/>
      <x:c r="O2590" s="7" t="str">
        <x:f>IF(N2590="","OPEN",IF(OR(I2590="",J2590="",K2590="",L2590="",M2590=""),"FAIL","PASS"))</x:f>
        <x:v>OPEN</x:v>
      </x:c>
    </x:row>
    <x:row r="2591">
      <x:c r="B2591" s="7" t="str">
        <x:v>CH-PEA-C-Y3-23-5</x:v>
      </x:c>
      <x:c r="C2591" s="7" t="str">
        <x:v>PEA-C-Y3</x:v>
      </x:c>
      <x:c r="D2591" s="7" t="str">
        <x:v>BLD-C</x:v>
      </x:c>
      <x:c r="E2591" s="7" t="str">
        <x:v>BL-Y</x:v>
      </x:c>
      <x:c r="F2591" s="7" t="str">
        <x:v>MF-23</x:v>
      </x:c>
      <x:c r="G2591" s="7" t="str">
        <x:v>water ancestry</x:v>
      </x:c>
      <x:c r="H2591" s="7" t="n">
        <x:v>5</x:v>
      </x:c>
      <x:c r="I2591" s="7" t="str"/>
      <x:c r="J2591" s="7" t="str"/>
      <x:c r="K2591" s="7" t="str"/>
      <x:c r="L2591" s="7" t="str"/>
      <x:c r="M2591" s="7" t="str"/>
      <x:c r="N2591" s="7" t="str"/>
      <x:c r="O2591" s="7" t="str">
        <x:f>IF(N2591="","OPEN",IF(OR(I2591="",J2591="",K2591="",L2591="",M2591=""),"FAIL","PASS"))</x:f>
        <x:v>OPEN</x:v>
      </x:c>
    </x:row>
    <x:row r="2592">
      <x:c r="B2592" s="7" t="str">
        <x:v>CH-PEA-C-Y3-23-6</x:v>
      </x:c>
      <x:c r="C2592" s="7" t="str">
        <x:v>PEA-C-Y3</x:v>
      </x:c>
      <x:c r="D2592" s="7" t="str">
        <x:v>BLD-C</x:v>
      </x:c>
      <x:c r="E2592" s="7" t="str">
        <x:v>BL-Y</x:v>
      </x:c>
      <x:c r="F2592" s="7" t="str">
        <x:v>MF-23</x:v>
      </x:c>
      <x:c r="G2592" s="7" t="str">
        <x:v>water ancestry</x:v>
      </x:c>
      <x:c r="H2592" s="7" t="n">
        <x:v>6</x:v>
      </x:c>
      <x:c r="I2592" s="7" t="str"/>
      <x:c r="J2592" s="7" t="str"/>
      <x:c r="K2592" s="7" t="str"/>
      <x:c r="L2592" s="7" t="str"/>
      <x:c r="M2592" s="7" t="str"/>
      <x:c r="N2592" s="7" t="str"/>
      <x:c r="O2592" s="7" t="str">
        <x:f>IF(N2592="","OPEN",IF(OR(I2592="",J2592="",K2592="",L2592="",M2592=""),"FAIL","PASS"))</x:f>
        <x:v>OPEN</x:v>
      </x:c>
    </x:row>
    <x:row r="2593">
      <x:c r="B2593" s="7" t="str">
        <x:v>CH-PEA-C-Y3-24-1</x:v>
      </x:c>
      <x:c r="C2593" s="7" t="str">
        <x:v>PEA-C-Y3</x:v>
      </x:c>
      <x:c r="D2593" s="7" t="str">
        <x:v>BLD-C</x:v>
      </x:c>
      <x:c r="E2593" s="7" t="str">
        <x:v>BL-Y</x:v>
      </x:c>
      <x:c r="F2593" s="7" t="str">
        <x:v>MF-24</x:v>
      </x:c>
      <x:c r="G2593" s="7" t="str">
        <x:v>evidence health</x:v>
      </x:c>
      <x:c r="H2593" s="7" t="n">
        <x:v>1</x:v>
      </x:c>
      <x:c r="I2593" s="7" t="str"/>
      <x:c r="J2593" s="7" t="str"/>
      <x:c r="K2593" s="7" t="str"/>
      <x:c r="L2593" s="7" t="str"/>
      <x:c r="M2593" s="7" t="str"/>
      <x:c r="N2593" s="7" t="str"/>
      <x:c r="O2593" s="7" t="str">
        <x:f>IF(N2593="","OPEN",IF(OR(I2593="",J2593="",K2593="",L2593="",M2593=""),"FAIL","PASS"))</x:f>
        <x:v>OPEN</x:v>
      </x:c>
    </x:row>
    <x:row r="2594">
      <x:c r="B2594" s="7" t="str">
        <x:v>CH-PEA-C-Y3-24-2</x:v>
      </x:c>
      <x:c r="C2594" s="7" t="str">
        <x:v>PEA-C-Y3</x:v>
      </x:c>
      <x:c r="D2594" s="7" t="str">
        <x:v>BLD-C</x:v>
      </x:c>
      <x:c r="E2594" s="7" t="str">
        <x:v>BL-Y</x:v>
      </x:c>
      <x:c r="F2594" s="7" t="str">
        <x:v>MF-24</x:v>
      </x:c>
      <x:c r="G2594" s="7" t="str">
        <x:v>evidence health</x:v>
      </x:c>
      <x:c r="H2594" s="7" t="n">
        <x:v>2</x:v>
      </x:c>
      <x:c r="I2594" s="7" t="str"/>
      <x:c r="J2594" s="7" t="str"/>
      <x:c r="K2594" s="7" t="str"/>
      <x:c r="L2594" s="7" t="str"/>
      <x:c r="M2594" s="7" t="str"/>
      <x:c r="N2594" s="7" t="str"/>
      <x:c r="O2594" s="7" t="str">
        <x:f>IF(N2594="","OPEN",IF(OR(I2594="",J2594="",K2594="",L2594="",M2594=""),"FAIL","PASS"))</x:f>
        <x:v>OPEN</x:v>
      </x:c>
    </x:row>
    <x:row r="2595">
      <x:c r="B2595" s="7" t="str">
        <x:v>CH-PEA-C-Y3-24-3</x:v>
      </x:c>
      <x:c r="C2595" s="7" t="str">
        <x:v>PEA-C-Y3</x:v>
      </x:c>
      <x:c r="D2595" s="7" t="str">
        <x:v>BLD-C</x:v>
      </x:c>
      <x:c r="E2595" s="7" t="str">
        <x:v>BL-Y</x:v>
      </x:c>
      <x:c r="F2595" s="7" t="str">
        <x:v>MF-24</x:v>
      </x:c>
      <x:c r="G2595" s="7" t="str">
        <x:v>evidence health</x:v>
      </x:c>
      <x:c r="H2595" s="7" t="n">
        <x:v>3</x:v>
      </x:c>
      <x:c r="I2595" s="7" t="str"/>
      <x:c r="J2595" s="7" t="str"/>
      <x:c r="K2595" s="7" t="str"/>
      <x:c r="L2595" s="7" t="str"/>
      <x:c r="M2595" s="7" t="str"/>
      <x:c r="N2595" s="7" t="str"/>
      <x:c r="O2595" s="7" t="str">
        <x:f>IF(N2595="","OPEN",IF(OR(I2595="",J2595="",K2595="",L2595="",M2595=""),"FAIL","PASS"))</x:f>
        <x:v>OPEN</x:v>
      </x:c>
    </x:row>
    <x:row r="2596">
      <x:c r="B2596" s="7" t="str">
        <x:v>CH-PEA-C-Y3-24-4</x:v>
      </x:c>
      <x:c r="C2596" s="7" t="str">
        <x:v>PEA-C-Y3</x:v>
      </x:c>
      <x:c r="D2596" s="7" t="str">
        <x:v>BLD-C</x:v>
      </x:c>
      <x:c r="E2596" s="7" t="str">
        <x:v>BL-Y</x:v>
      </x:c>
      <x:c r="F2596" s="7" t="str">
        <x:v>MF-24</x:v>
      </x:c>
      <x:c r="G2596" s="7" t="str">
        <x:v>evidence health</x:v>
      </x:c>
      <x:c r="H2596" s="7" t="n">
        <x:v>4</x:v>
      </x:c>
      <x:c r="I2596" s="7" t="str"/>
      <x:c r="J2596" s="7" t="str"/>
      <x:c r="K2596" s="7" t="str"/>
      <x:c r="L2596" s="7" t="str"/>
      <x:c r="M2596" s="7" t="str"/>
      <x:c r="N2596" s="7" t="str"/>
      <x:c r="O2596" s="7" t="str">
        <x:f>IF(N2596="","OPEN",IF(OR(I2596="",J2596="",K2596="",L2596="",M2596=""),"FAIL","PASS"))</x:f>
        <x:v>OPEN</x:v>
      </x:c>
    </x:row>
    <x:row r="2597">
      <x:c r="B2597" s="7" t="str">
        <x:v>CH-PEA-C-Y3-24-5</x:v>
      </x:c>
      <x:c r="C2597" s="7" t="str">
        <x:v>PEA-C-Y3</x:v>
      </x:c>
      <x:c r="D2597" s="7" t="str">
        <x:v>BLD-C</x:v>
      </x:c>
      <x:c r="E2597" s="7" t="str">
        <x:v>BL-Y</x:v>
      </x:c>
      <x:c r="F2597" s="7" t="str">
        <x:v>MF-24</x:v>
      </x:c>
      <x:c r="G2597" s="7" t="str">
        <x:v>evidence health</x:v>
      </x:c>
      <x:c r="H2597" s="7" t="n">
        <x:v>5</x:v>
      </x:c>
      <x:c r="I2597" s="7" t="str"/>
      <x:c r="J2597" s="7" t="str"/>
      <x:c r="K2597" s="7" t="str"/>
      <x:c r="L2597" s="7" t="str"/>
      <x:c r="M2597" s="7" t="str"/>
      <x:c r="N2597" s="7" t="str"/>
      <x:c r="O2597" s="7" t="str">
        <x:f>IF(N2597="","OPEN",IF(OR(I2597="",J2597="",K2597="",L2597="",M2597=""),"FAIL","PASS"))</x:f>
        <x:v>OPEN</x:v>
      </x:c>
    </x:row>
    <x:row r="2598">
      <x:c r="B2598" s="7" t="str">
        <x:v>CH-PEA-C-Y3-24-6</x:v>
      </x:c>
      <x:c r="C2598" s="7" t="str">
        <x:v>PEA-C-Y3</x:v>
      </x:c>
      <x:c r="D2598" s="7" t="str">
        <x:v>BLD-C</x:v>
      </x:c>
      <x:c r="E2598" s="7" t="str">
        <x:v>BL-Y</x:v>
      </x:c>
      <x:c r="F2598" s="7" t="str">
        <x:v>MF-24</x:v>
      </x:c>
      <x:c r="G2598" s="7" t="str">
        <x:v>evidence health</x:v>
      </x:c>
      <x:c r="H2598" s="7" t="n">
        <x:v>6</x:v>
      </x:c>
      <x:c r="I2598" s="7" t="str"/>
      <x:c r="J2598" s="7" t="str"/>
      <x:c r="K2598" s="7" t="str"/>
      <x:c r="L2598" s="7" t="str"/>
      <x:c r="M2598" s="7" t="str"/>
      <x:c r="N2598" s="7" t="str"/>
      <x:c r="O2598" s="7" t="str">
        <x:f>IF(N2598="","OPEN",IF(OR(I2598="",J2598="",K2598="",L2598="",M2598=""),"FAIL","PASS"))</x:f>
        <x:v>OPEN</x:v>
      </x:c>
    </x:row>
  </x:sheetData>
  <x:conditionalFormatting sqref="O7:O2598">
    <x:cfRule type="containsText" dxfId="90" priority="1" operator="containsText" text="FAIL"/>
    <x:cfRule type="containsText" dxfId="91" priority="2" operator="containsText" text="BLOCKED"/>
    <x:cfRule type="containsText" dxfId="92" priority="3" operator="containsText" text="OPEN"/>
    <x:cfRule type="containsText" dxfId="93" priority="4" operator="containsText" text="DORMANT"/>
    <x:cfRule type="containsText" dxfId="94" priority="5" operator="containsText" text="REVIEW"/>
    <x:cfRule type="containsText" dxfId="95" priority="6" operator="containsText" text="PASS"/>
  </x:conditionalFormatting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35" hidden="0" customWidth="1"/>
    <x:col min="3" max="3" width="31" hidden="0" customWidth="1"/>
    <x:col min="4" max="4" width="17" hidden="0" customWidth="1"/>
    <x:col min="5" max="5" width="14" hidden="0" customWidth="1"/>
    <x:col min="6" max="6" width="13" hidden="0" customWidth="1"/>
    <x:col min="7" max="7" width="14" hidden="0" customWidth="1"/>
    <x:col min="8" max="8" width="20" hidden="0" customWidth="1"/>
    <x:col min="9" max="9" width="20" hidden="0" customWidth="1"/>
    <x:col min="10" max="10" width="18" hidden="0" customWidth="1"/>
    <x:col min="11" max="11" width="18" hidden="0" customWidth="1"/>
    <x:col min="12" max="12" width="21" hidden="0" customWidth="1"/>
    <x:col min="13" max="13" width="14" hidden="0" customWidth="1"/>
  </x:cols>
  <x:sheetData>
    <x:row r="2">
      <x:c r="B2" s="1" t="str">
        <x:v>Two thousand five hundred ninety-two factory calibrations</x:v>
      </x:c>
    </x:row>
    <x:row r="3">
      <x:c r="B3" s="2" t="str">
        <x:v>One accepted calibration belongs to one installed channel. Later RAP-1 post-exposure calibration remains future work.</x:v>
      </x:c>
    </x:row>
    <x:row r="6" ht="24" customHeight="1">
      <x:c r="B6" s="6" t="str">
        <x:v>Calibration</x:v>
      </x:c>
      <x:c r="C6" s="6" t="str">
        <x:v>Channel</x:v>
      </x:c>
      <x:c r="D6" s="6" t="str">
        <x:v>Article</x:v>
      </x:c>
      <x:c r="E6" s="6" t="str">
        <x:v>Builder</x:v>
      </x:c>
      <x:c r="F6" s="6" t="str">
        <x:v>Lineage</x:v>
      </x:c>
      <x:c r="G6" s="6" t="str">
        <x:v>Family</x:v>
      </x:c>
      <x:c r="H6" s="6" t="str">
        <x:v>Reference value</x:v>
      </x:c>
      <x:c r="I6" s="6" t="str">
        <x:v>Observed value</x:v>
      </x:c>
      <x:c r="J6" s="6" t="str">
        <x:v>Error</x:v>
      </x:c>
      <x:c r="K6" s="6" t="str">
        <x:v>Tolerance</x:v>
      </x:c>
      <x:c r="L6" s="6" t="str">
        <x:v>Accepted UTC</x:v>
      </x:c>
      <x:c r="M6" s="6" t="str">
        <x:v>State</x:v>
      </x:c>
    </x:row>
    <x:row r="7">
      <x:c r="B7" s="7" t="str">
        <x:v>CAL-CH-PEA-A-X1-01-1</x:v>
      </x:c>
      <x:c r="C7" s="7" t="str">
        <x:v>CH-PEA-A-X1-01-1</x:v>
      </x:c>
      <x:c r="D7" s="7" t="str">
        <x:v>PEA-A-X1</x:v>
      </x:c>
      <x:c r="E7" s="7" t="str">
        <x:v>BLD-A</x:v>
      </x:c>
      <x:c r="F7" s="7" t="str">
        <x:v>BL-X</x:v>
      </x:c>
      <x:c r="G7" s="7" t="str">
        <x:v>MF-01</x:v>
      </x:c>
      <x:c r="H7" s="7" t="str"/>
      <x:c r="I7" s="7" t="str"/>
      <x:c r="J7" s="7" t="str">
        <x:f>IF(OR(H7="",I7=""),"",I7-H7)</x:f>
      </x:c>
      <x:c r="K7" s="7" t="str"/>
      <x:c r="L7" s="7" t="str"/>
      <x:c r="M7" s="7" t="str">
        <x:f>IF(L7="","OPEN",IF(OR(NOT(ISNUMBER(H7)),NOT(ISNUMBER(I7)),NOT(ISNUMBER(K7)),ABS(J7)&gt;K7),"FAIL","PASS"))</x:f>
        <x:v>OPEN</x:v>
      </x:c>
    </x:row>
    <x:row r="8">
      <x:c r="B8" s="7" t="str">
        <x:v>CAL-CH-PEA-A-X1-01-2</x:v>
      </x:c>
      <x:c r="C8" s="7" t="str">
        <x:v>CH-PEA-A-X1-01-2</x:v>
      </x:c>
      <x:c r="D8" s="7" t="str">
        <x:v>PEA-A-X1</x:v>
      </x:c>
      <x:c r="E8" s="7" t="str">
        <x:v>BLD-A</x:v>
      </x:c>
      <x:c r="F8" s="7" t="str">
        <x:v>BL-X</x:v>
      </x:c>
      <x:c r="G8" s="7" t="str">
        <x:v>MF-01</x:v>
      </x:c>
      <x:c r="H8" s="7" t="str"/>
      <x:c r="I8" s="7" t="str"/>
      <x:c r="J8" s="7" t="str">
        <x:f>IF(OR(H8="",I8=""),"",I8-H8)</x:f>
      </x:c>
      <x:c r="K8" s="7" t="str"/>
      <x:c r="L8" s="7" t="str"/>
      <x:c r="M8" s="7" t="str">
        <x:f>IF(L8="","OPEN",IF(OR(NOT(ISNUMBER(H8)),NOT(ISNUMBER(I8)),NOT(ISNUMBER(K8)),ABS(J8)&gt;K8),"FAIL","PASS"))</x:f>
        <x:v>OPEN</x:v>
      </x:c>
    </x:row>
    <x:row r="9">
      <x:c r="B9" s="7" t="str">
        <x:v>CAL-CH-PEA-A-X1-01-3</x:v>
      </x:c>
      <x:c r="C9" s="7" t="str">
        <x:v>CH-PEA-A-X1-01-3</x:v>
      </x:c>
      <x:c r="D9" s="7" t="str">
        <x:v>PEA-A-X1</x:v>
      </x:c>
      <x:c r="E9" s="7" t="str">
        <x:v>BLD-A</x:v>
      </x:c>
      <x:c r="F9" s="7" t="str">
        <x:v>BL-X</x:v>
      </x:c>
      <x:c r="G9" s="7" t="str">
        <x:v>MF-01</x:v>
      </x:c>
      <x:c r="H9" s="7" t="str"/>
      <x:c r="I9" s="7" t="str"/>
      <x:c r="J9" s="7" t="str">
        <x:f>IF(OR(H9="",I9=""),"",I9-H9)</x:f>
      </x:c>
      <x:c r="K9" s="7" t="str"/>
      <x:c r="L9" s="7" t="str"/>
      <x:c r="M9" s="7" t="str">
        <x:f>IF(L9="","OPEN",IF(OR(NOT(ISNUMBER(H9)),NOT(ISNUMBER(I9)),NOT(ISNUMBER(K9)),ABS(J9)&gt;K9),"FAIL","PASS"))</x:f>
        <x:v>OPEN</x:v>
      </x:c>
    </x:row>
    <x:row r="10">
      <x:c r="B10" s="7" t="str">
        <x:v>CAL-CH-PEA-A-X1-01-4</x:v>
      </x:c>
      <x:c r="C10" s="7" t="str">
        <x:v>CH-PEA-A-X1-01-4</x:v>
      </x:c>
      <x:c r="D10" s="7" t="str">
        <x:v>PEA-A-X1</x:v>
      </x:c>
      <x:c r="E10" s="7" t="str">
        <x:v>BLD-A</x:v>
      </x:c>
      <x:c r="F10" s="7" t="str">
        <x:v>BL-X</x:v>
      </x:c>
      <x:c r="G10" s="7" t="str">
        <x:v>MF-01</x:v>
      </x:c>
      <x:c r="H10" s="7" t="str"/>
      <x:c r="I10" s="7" t="str"/>
      <x:c r="J10" s="7" t="str">
        <x:f>IF(OR(H10="",I10=""),"",I10-H10)</x:f>
      </x:c>
      <x:c r="K10" s="7" t="str"/>
      <x:c r="L10" s="7" t="str"/>
      <x:c r="M10" s="7" t="str">
        <x:f>IF(L10="","OPEN",IF(OR(NOT(ISNUMBER(H10)),NOT(ISNUMBER(I10)),NOT(ISNUMBER(K10)),ABS(J10)&gt;K10),"FAIL","PASS"))</x:f>
        <x:v>OPEN</x:v>
      </x:c>
    </x:row>
    <x:row r="11">
      <x:c r="B11" s="7" t="str">
        <x:v>CAL-CH-PEA-A-X1-01-5</x:v>
      </x:c>
      <x:c r="C11" s="7" t="str">
        <x:v>CH-PEA-A-X1-01-5</x:v>
      </x:c>
      <x:c r="D11" s="7" t="str">
        <x:v>PEA-A-X1</x:v>
      </x:c>
      <x:c r="E11" s="7" t="str">
        <x:v>BLD-A</x:v>
      </x:c>
      <x:c r="F11" s="7" t="str">
        <x:v>BL-X</x:v>
      </x:c>
      <x:c r="G11" s="7" t="str">
        <x:v>MF-01</x:v>
      </x:c>
      <x:c r="H11" s="7" t="str"/>
      <x:c r="I11" s="7" t="str"/>
      <x:c r="J11" s="7" t="str">
        <x:f>IF(OR(H11="",I11=""),"",I11-H11)</x:f>
      </x:c>
      <x:c r="K11" s="7" t="str"/>
      <x:c r="L11" s="7" t="str"/>
      <x:c r="M11" s="7" t="str">
        <x:f>IF(L11="","OPEN",IF(OR(NOT(ISNUMBER(H11)),NOT(ISNUMBER(I11)),NOT(ISNUMBER(K11)),ABS(J11)&gt;K11),"FAIL","PASS"))</x:f>
        <x:v>OPEN</x:v>
      </x:c>
    </x:row>
    <x:row r="12">
      <x:c r="B12" s="7" t="str">
        <x:v>CAL-CH-PEA-A-X1-01-6</x:v>
      </x:c>
      <x:c r="C12" s="7" t="str">
        <x:v>CH-PEA-A-X1-01-6</x:v>
      </x:c>
      <x:c r="D12" s="7" t="str">
        <x:v>PEA-A-X1</x:v>
      </x:c>
      <x:c r="E12" s="7" t="str">
        <x:v>BLD-A</x:v>
      </x:c>
      <x:c r="F12" s="7" t="str">
        <x:v>BL-X</x:v>
      </x:c>
      <x:c r="G12" s="7" t="str">
        <x:v>MF-01</x:v>
      </x:c>
      <x:c r="H12" s="7" t="str"/>
      <x:c r="I12" s="7" t="str"/>
      <x:c r="J12" s="7" t="str">
        <x:f>IF(OR(H12="",I12=""),"",I12-H12)</x:f>
      </x:c>
      <x:c r="K12" s="7" t="str"/>
      <x:c r="L12" s="7" t="str"/>
      <x:c r="M12" s="7" t="str">
        <x:f>IF(L12="","OPEN",IF(OR(NOT(ISNUMBER(H12)),NOT(ISNUMBER(I12)),NOT(ISNUMBER(K12)),ABS(J12)&gt;K12),"FAIL","PASS"))</x:f>
        <x:v>OPEN</x:v>
      </x:c>
    </x:row>
    <x:row r="13">
      <x:c r="B13" s="7" t="str">
        <x:v>CAL-CH-PEA-A-X1-02-1</x:v>
      </x:c>
      <x:c r="C13" s="7" t="str">
        <x:v>CH-PEA-A-X1-02-1</x:v>
      </x:c>
      <x:c r="D13" s="7" t="str">
        <x:v>PEA-A-X1</x:v>
      </x:c>
      <x:c r="E13" s="7" t="str">
        <x:v>BLD-A</x:v>
      </x:c>
      <x:c r="F13" s="7" t="str">
        <x:v>BL-X</x:v>
      </x:c>
      <x:c r="G13" s="7" t="str">
        <x:v>MF-02</x:v>
      </x:c>
      <x:c r="H13" s="7" t="str"/>
      <x:c r="I13" s="7" t="str"/>
      <x:c r="J13" s="7" t="str">
        <x:f>IF(OR(H13="",I13=""),"",I13-H13)</x:f>
      </x:c>
      <x:c r="K13" s="7" t="str"/>
      <x:c r="L13" s="7" t="str"/>
      <x:c r="M13" s="7" t="str">
        <x:f>IF(L13="","OPEN",IF(OR(NOT(ISNUMBER(H13)),NOT(ISNUMBER(I13)),NOT(ISNUMBER(K13)),ABS(J13)&gt;K13),"FAIL","PASS"))</x:f>
        <x:v>OPEN</x:v>
      </x:c>
    </x:row>
    <x:row r="14">
      <x:c r="B14" s="7" t="str">
        <x:v>CAL-CH-PEA-A-X1-02-2</x:v>
      </x:c>
      <x:c r="C14" s="7" t="str">
        <x:v>CH-PEA-A-X1-02-2</x:v>
      </x:c>
      <x:c r="D14" s="7" t="str">
        <x:v>PEA-A-X1</x:v>
      </x:c>
      <x:c r="E14" s="7" t="str">
        <x:v>BLD-A</x:v>
      </x:c>
      <x:c r="F14" s="7" t="str">
        <x:v>BL-X</x:v>
      </x:c>
      <x:c r="G14" s="7" t="str">
        <x:v>MF-02</x:v>
      </x:c>
      <x:c r="H14" s="7" t="str"/>
      <x:c r="I14" s="7" t="str"/>
      <x:c r="J14" s="7" t="str">
        <x:f>IF(OR(H14="",I14=""),"",I14-H14)</x:f>
      </x:c>
      <x:c r="K14" s="7" t="str"/>
      <x:c r="L14" s="7" t="str"/>
      <x:c r="M14" s="7" t="str">
        <x:f>IF(L14="","OPEN",IF(OR(NOT(ISNUMBER(H14)),NOT(ISNUMBER(I14)),NOT(ISNUMBER(K14)),ABS(J14)&gt;K14),"FAIL","PASS"))</x:f>
        <x:v>OPEN</x:v>
      </x:c>
    </x:row>
    <x:row r="15">
      <x:c r="B15" s="7" t="str">
        <x:v>CAL-CH-PEA-A-X1-02-3</x:v>
      </x:c>
      <x:c r="C15" s="7" t="str">
        <x:v>CH-PEA-A-X1-02-3</x:v>
      </x:c>
      <x:c r="D15" s="7" t="str">
        <x:v>PEA-A-X1</x:v>
      </x:c>
      <x:c r="E15" s="7" t="str">
        <x:v>BLD-A</x:v>
      </x:c>
      <x:c r="F15" s="7" t="str">
        <x:v>BL-X</x:v>
      </x:c>
      <x:c r="G15" s="7" t="str">
        <x:v>MF-02</x:v>
      </x:c>
      <x:c r="H15" s="7" t="str"/>
      <x:c r="I15" s="7" t="str"/>
      <x:c r="J15" s="7" t="str">
        <x:f>IF(OR(H15="",I15=""),"",I15-H15)</x:f>
      </x:c>
      <x:c r="K15" s="7" t="str"/>
      <x:c r="L15" s="7" t="str"/>
      <x:c r="M15" s="7" t="str">
        <x:f>IF(L15="","OPEN",IF(OR(NOT(ISNUMBER(H15)),NOT(ISNUMBER(I15)),NOT(ISNUMBER(K15)),ABS(J15)&gt;K15),"FAIL","PASS"))</x:f>
        <x:v>OPEN</x:v>
      </x:c>
    </x:row>
    <x:row r="16">
      <x:c r="B16" s="7" t="str">
        <x:v>CAL-CH-PEA-A-X1-02-4</x:v>
      </x:c>
      <x:c r="C16" s="7" t="str">
        <x:v>CH-PEA-A-X1-02-4</x:v>
      </x:c>
      <x:c r="D16" s="7" t="str">
        <x:v>PEA-A-X1</x:v>
      </x:c>
      <x:c r="E16" s="7" t="str">
        <x:v>BLD-A</x:v>
      </x:c>
      <x:c r="F16" s="7" t="str">
        <x:v>BL-X</x:v>
      </x:c>
      <x:c r="G16" s="7" t="str">
        <x:v>MF-02</x:v>
      </x:c>
      <x:c r="H16" s="7" t="str"/>
      <x:c r="I16" s="7" t="str"/>
      <x:c r="J16" s="7" t="str">
        <x:f>IF(OR(H16="",I16=""),"",I16-H16)</x:f>
      </x:c>
      <x:c r="K16" s="7" t="str"/>
      <x:c r="L16" s="7" t="str"/>
      <x:c r="M16" s="7" t="str">
        <x:f>IF(L16="","OPEN",IF(OR(NOT(ISNUMBER(H16)),NOT(ISNUMBER(I16)),NOT(ISNUMBER(K16)),ABS(J16)&gt;K16),"FAIL","PASS"))</x:f>
        <x:v>OPEN</x:v>
      </x:c>
    </x:row>
    <x:row r="17">
      <x:c r="B17" s="7" t="str">
        <x:v>CAL-CH-PEA-A-X1-02-5</x:v>
      </x:c>
      <x:c r="C17" s="7" t="str">
        <x:v>CH-PEA-A-X1-02-5</x:v>
      </x:c>
      <x:c r="D17" s="7" t="str">
        <x:v>PEA-A-X1</x:v>
      </x:c>
      <x:c r="E17" s="7" t="str">
        <x:v>BLD-A</x:v>
      </x:c>
      <x:c r="F17" s="7" t="str">
        <x:v>BL-X</x:v>
      </x:c>
      <x:c r="G17" s="7" t="str">
        <x:v>MF-02</x:v>
      </x:c>
      <x:c r="H17" s="7" t="str"/>
      <x:c r="I17" s="7" t="str"/>
      <x:c r="J17" s="7" t="str">
        <x:f>IF(OR(H17="",I17=""),"",I17-H17)</x:f>
      </x:c>
      <x:c r="K17" s="7" t="str"/>
      <x:c r="L17" s="7" t="str"/>
      <x:c r="M17" s="7" t="str">
        <x:f>IF(L17="","OPEN",IF(OR(NOT(ISNUMBER(H17)),NOT(ISNUMBER(I17)),NOT(ISNUMBER(K17)),ABS(J17)&gt;K17),"FAIL","PASS"))</x:f>
        <x:v>OPEN</x:v>
      </x:c>
    </x:row>
    <x:row r="18">
      <x:c r="B18" s="7" t="str">
        <x:v>CAL-CH-PEA-A-X1-02-6</x:v>
      </x:c>
      <x:c r="C18" s="7" t="str">
        <x:v>CH-PEA-A-X1-02-6</x:v>
      </x:c>
      <x:c r="D18" s="7" t="str">
        <x:v>PEA-A-X1</x:v>
      </x:c>
      <x:c r="E18" s="7" t="str">
        <x:v>BLD-A</x:v>
      </x:c>
      <x:c r="F18" s="7" t="str">
        <x:v>BL-X</x:v>
      </x:c>
      <x:c r="G18" s="7" t="str">
        <x:v>MF-02</x:v>
      </x:c>
      <x:c r="H18" s="7" t="str"/>
      <x:c r="I18" s="7" t="str"/>
      <x:c r="J18" s="7" t="str">
        <x:f>IF(OR(H18="",I18=""),"",I18-H18)</x:f>
      </x:c>
      <x:c r="K18" s="7" t="str"/>
      <x:c r="L18" s="7" t="str"/>
      <x:c r="M18" s="7" t="str">
        <x:f>IF(L18="","OPEN",IF(OR(NOT(ISNUMBER(H18)),NOT(ISNUMBER(I18)),NOT(ISNUMBER(K18)),ABS(J18)&gt;K18),"FAIL","PASS"))</x:f>
        <x:v>OPEN</x:v>
      </x:c>
    </x:row>
    <x:row r="19">
      <x:c r="B19" s="7" t="str">
        <x:v>CAL-CH-PEA-A-X1-03-1</x:v>
      </x:c>
      <x:c r="C19" s="7" t="str">
        <x:v>CH-PEA-A-X1-03-1</x:v>
      </x:c>
      <x:c r="D19" s="7" t="str">
        <x:v>PEA-A-X1</x:v>
      </x:c>
      <x:c r="E19" s="7" t="str">
        <x:v>BLD-A</x:v>
      </x:c>
      <x:c r="F19" s="7" t="str">
        <x:v>BL-X</x:v>
      </x:c>
      <x:c r="G19" s="7" t="str">
        <x:v>MF-03</x:v>
      </x:c>
      <x:c r="H19" s="7" t="str"/>
      <x:c r="I19" s="7" t="str"/>
      <x:c r="J19" s="7" t="str">
        <x:f>IF(OR(H19="",I19=""),"",I19-H19)</x:f>
      </x:c>
      <x:c r="K19" s="7" t="str"/>
      <x:c r="L19" s="7" t="str"/>
      <x:c r="M19" s="7" t="str">
        <x:f>IF(L19="","OPEN",IF(OR(NOT(ISNUMBER(H19)),NOT(ISNUMBER(I19)),NOT(ISNUMBER(K19)),ABS(J19)&gt;K19),"FAIL","PASS"))</x:f>
        <x:v>OPEN</x:v>
      </x:c>
    </x:row>
    <x:row r="20">
      <x:c r="B20" s="7" t="str">
        <x:v>CAL-CH-PEA-A-X1-03-2</x:v>
      </x:c>
      <x:c r="C20" s="7" t="str">
        <x:v>CH-PEA-A-X1-03-2</x:v>
      </x:c>
      <x:c r="D20" s="7" t="str">
        <x:v>PEA-A-X1</x:v>
      </x:c>
      <x:c r="E20" s="7" t="str">
        <x:v>BLD-A</x:v>
      </x:c>
      <x:c r="F20" s="7" t="str">
        <x:v>BL-X</x:v>
      </x:c>
      <x:c r="G20" s="7" t="str">
        <x:v>MF-03</x:v>
      </x:c>
      <x:c r="H20" s="7" t="str"/>
      <x:c r="I20" s="7" t="str"/>
      <x:c r="J20" s="7" t="str">
        <x:f>IF(OR(H20="",I20=""),"",I20-H20)</x:f>
      </x:c>
      <x:c r="K20" s="7" t="str"/>
      <x:c r="L20" s="7" t="str"/>
      <x:c r="M20" s="7" t="str">
        <x:f>IF(L20="","OPEN",IF(OR(NOT(ISNUMBER(H20)),NOT(ISNUMBER(I20)),NOT(ISNUMBER(K20)),ABS(J20)&gt;K20),"FAIL","PASS"))</x:f>
        <x:v>OPEN</x:v>
      </x:c>
    </x:row>
    <x:row r="21">
      <x:c r="B21" s="7" t="str">
        <x:v>CAL-CH-PEA-A-X1-03-3</x:v>
      </x:c>
      <x:c r="C21" s="7" t="str">
        <x:v>CH-PEA-A-X1-03-3</x:v>
      </x:c>
      <x:c r="D21" s="7" t="str">
        <x:v>PEA-A-X1</x:v>
      </x:c>
      <x:c r="E21" s="7" t="str">
        <x:v>BLD-A</x:v>
      </x:c>
      <x:c r="F21" s="7" t="str">
        <x:v>BL-X</x:v>
      </x:c>
      <x:c r="G21" s="7" t="str">
        <x:v>MF-03</x:v>
      </x:c>
      <x:c r="H21" s="7" t="str"/>
      <x:c r="I21" s="7" t="str"/>
      <x:c r="J21" s="7" t="str">
        <x:f>IF(OR(H21="",I21=""),"",I21-H21)</x:f>
      </x:c>
      <x:c r="K21" s="7" t="str"/>
      <x:c r="L21" s="7" t="str"/>
      <x:c r="M21" s="7" t="str">
        <x:f>IF(L21="","OPEN",IF(OR(NOT(ISNUMBER(H21)),NOT(ISNUMBER(I21)),NOT(ISNUMBER(K21)),ABS(J21)&gt;K21),"FAIL","PASS"))</x:f>
        <x:v>OPEN</x:v>
      </x:c>
    </x:row>
    <x:row r="22">
      <x:c r="B22" s="7" t="str">
        <x:v>CAL-CH-PEA-A-X1-03-4</x:v>
      </x:c>
      <x:c r="C22" s="7" t="str">
        <x:v>CH-PEA-A-X1-03-4</x:v>
      </x:c>
      <x:c r="D22" s="7" t="str">
        <x:v>PEA-A-X1</x:v>
      </x:c>
      <x:c r="E22" s="7" t="str">
        <x:v>BLD-A</x:v>
      </x:c>
      <x:c r="F22" s="7" t="str">
        <x:v>BL-X</x:v>
      </x:c>
      <x:c r="G22" s="7" t="str">
        <x:v>MF-03</x:v>
      </x:c>
      <x:c r="H22" s="7" t="str"/>
      <x:c r="I22" s="7" t="str"/>
      <x:c r="J22" s="7" t="str">
        <x:f>IF(OR(H22="",I22=""),"",I22-H22)</x:f>
      </x:c>
      <x:c r="K22" s="7" t="str"/>
      <x:c r="L22" s="7" t="str"/>
      <x:c r="M22" s="7" t="str">
        <x:f>IF(L22="","OPEN",IF(OR(NOT(ISNUMBER(H22)),NOT(ISNUMBER(I22)),NOT(ISNUMBER(K22)),ABS(J22)&gt;K22),"FAIL","PASS"))</x:f>
        <x:v>OPEN</x:v>
      </x:c>
    </x:row>
    <x:row r="23">
      <x:c r="B23" s="7" t="str">
        <x:v>CAL-CH-PEA-A-X1-03-5</x:v>
      </x:c>
      <x:c r="C23" s="7" t="str">
        <x:v>CH-PEA-A-X1-03-5</x:v>
      </x:c>
      <x:c r="D23" s="7" t="str">
        <x:v>PEA-A-X1</x:v>
      </x:c>
      <x:c r="E23" s="7" t="str">
        <x:v>BLD-A</x:v>
      </x:c>
      <x:c r="F23" s="7" t="str">
        <x:v>BL-X</x:v>
      </x:c>
      <x:c r="G23" s="7" t="str">
        <x:v>MF-03</x:v>
      </x:c>
      <x:c r="H23" s="7" t="str"/>
      <x:c r="I23" s="7" t="str"/>
      <x:c r="J23" s="7" t="str">
        <x:f>IF(OR(H23="",I23=""),"",I23-H23)</x:f>
      </x:c>
      <x:c r="K23" s="7" t="str"/>
      <x:c r="L23" s="7" t="str"/>
      <x:c r="M23" s="7" t="str">
        <x:f>IF(L23="","OPEN",IF(OR(NOT(ISNUMBER(H23)),NOT(ISNUMBER(I23)),NOT(ISNUMBER(K23)),ABS(J23)&gt;K23),"FAIL","PASS"))</x:f>
        <x:v>OPEN</x:v>
      </x:c>
    </x:row>
    <x:row r="24">
      <x:c r="B24" s="7" t="str">
        <x:v>CAL-CH-PEA-A-X1-03-6</x:v>
      </x:c>
      <x:c r="C24" s="7" t="str">
        <x:v>CH-PEA-A-X1-03-6</x:v>
      </x:c>
      <x:c r="D24" s="7" t="str">
        <x:v>PEA-A-X1</x:v>
      </x:c>
      <x:c r="E24" s="7" t="str">
        <x:v>BLD-A</x:v>
      </x:c>
      <x:c r="F24" s="7" t="str">
        <x:v>BL-X</x:v>
      </x:c>
      <x:c r="G24" s="7" t="str">
        <x:v>MF-03</x:v>
      </x:c>
      <x:c r="H24" s="7" t="str"/>
      <x:c r="I24" s="7" t="str"/>
      <x:c r="J24" s="7" t="str">
        <x:f>IF(OR(H24="",I24=""),"",I24-H24)</x:f>
      </x:c>
      <x:c r="K24" s="7" t="str"/>
      <x:c r="L24" s="7" t="str"/>
      <x:c r="M24" s="7" t="str">
        <x:f>IF(L24="","OPEN",IF(OR(NOT(ISNUMBER(H24)),NOT(ISNUMBER(I24)),NOT(ISNUMBER(K24)),ABS(J24)&gt;K24),"FAIL","PASS"))</x:f>
        <x:v>OPEN</x:v>
      </x:c>
    </x:row>
    <x:row r="25">
      <x:c r="B25" s="7" t="str">
        <x:v>CAL-CH-PEA-A-X1-04-1</x:v>
      </x:c>
      <x:c r="C25" s="7" t="str">
        <x:v>CH-PEA-A-X1-04-1</x:v>
      </x:c>
      <x:c r="D25" s="7" t="str">
        <x:v>PEA-A-X1</x:v>
      </x:c>
      <x:c r="E25" s="7" t="str">
        <x:v>BLD-A</x:v>
      </x:c>
      <x:c r="F25" s="7" t="str">
        <x:v>BL-X</x:v>
      </x:c>
      <x:c r="G25" s="7" t="str">
        <x:v>MF-04</x:v>
      </x:c>
      <x:c r="H25" s="7" t="str"/>
      <x:c r="I25" s="7" t="str"/>
      <x:c r="J25" s="7" t="str">
        <x:f>IF(OR(H25="",I25=""),"",I25-H25)</x:f>
      </x:c>
      <x:c r="K25" s="7" t="str"/>
      <x:c r="L25" s="7" t="str"/>
      <x:c r="M25" s="7" t="str">
        <x:f>IF(L25="","OPEN",IF(OR(NOT(ISNUMBER(H25)),NOT(ISNUMBER(I25)),NOT(ISNUMBER(K25)),ABS(J25)&gt;K25),"FAIL","PASS"))</x:f>
        <x:v>OPEN</x:v>
      </x:c>
    </x:row>
    <x:row r="26">
      <x:c r="B26" s="7" t="str">
        <x:v>CAL-CH-PEA-A-X1-04-2</x:v>
      </x:c>
      <x:c r="C26" s="7" t="str">
        <x:v>CH-PEA-A-X1-04-2</x:v>
      </x:c>
      <x:c r="D26" s="7" t="str">
        <x:v>PEA-A-X1</x:v>
      </x:c>
      <x:c r="E26" s="7" t="str">
        <x:v>BLD-A</x:v>
      </x:c>
      <x:c r="F26" s="7" t="str">
        <x:v>BL-X</x:v>
      </x:c>
      <x:c r="G26" s="7" t="str">
        <x:v>MF-04</x:v>
      </x:c>
      <x:c r="H26" s="7" t="str"/>
      <x:c r="I26" s="7" t="str"/>
      <x:c r="J26" s="7" t="str">
        <x:f>IF(OR(H26="",I26=""),"",I26-H26)</x:f>
      </x:c>
      <x:c r="K26" s="7" t="str"/>
      <x:c r="L26" s="7" t="str"/>
      <x:c r="M26" s="7" t="str">
        <x:f>IF(L26="","OPEN",IF(OR(NOT(ISNUMBER(H26)),NOT(ISNUMBER(I26)),NOT(ISNUMBER(K26)),ABS(J26)&gt;K26),"FAIL","PASS"))</x:f>
        <x:v>OPEN</x:v>
      </x:c>
    </x:row>
    <x:row r="27">
      <x:c r="B27" s="7" t="str">
        <x:v>CAL-CH-PEA-A-X1-04-3</x:v>
      </x:c>
      <x:c r="C27" s="7" t="str">
        <x:v>CH-PEA-A-X1-04-3</x:v>
      </x:c>
      <x:c r="D27" s="7" t="str">
        <x:v>PEA-A-X1</x:v>
      </x:c>
      <x:c r="E27" s="7" t="str">
        <x:v>BLD-A</x:v>
      </x:c>
      <x:c r="F27" s="7" t="str">
        <x:v>BL-X</x:v>
      </x:c>
      <x:c r="G27" s="7" t="str">
        <x:v>MF-04</x:v>
      </x:c>
      <x:c r="H27" s="7" t="str"/>
      <x:c r="I27" s="7" t="str"/>
      <x:c r="J27" s="7" t="str">
        <x:f>IF(OR(H27="",I27=""),"",I27-H27)</x:f>
      </x:c>
      <x:c r="K27" s="7" t="str"/>
      <x:c r="L27" s="7" t="str"/>
      <x:c r="M27" s="7" t="str">
        <x:f>IF(L27="","OPEN",IF(OR(NOT(ISNUMBER(H27)),NOT(ISNUMBER(I27)),NOT(ISNUMBER(K27)),ABS(J27)&gt;K27),"FAIL","PASS"))</x:f>
        <x:v>OPEN</x:v>
      </x:c>
    </x:row>
    <x:row r="28">
      <x:c r="B28" s="7" t="str">
        <x:v>CAL-CH-PEA-A-X1-04-4</x:v>
      </x:c>
      <x:c r="C28" s="7" t="str">
        <x:v>CH-PEA-A-X1-04-4</x:v>
      </x:c>
      <x:c r="D28" s="7" t="str">
        <x:v>PEA-A-X1</x:v>
      </x:c>
      <x:c r="E28" s="7" t="str">
        <x:v>BLD-A</x:v>
      </x:c>
      <x:c r="F28" s="7" t="str">
        <x:v>BL-X</x:v>
      </x:c>
      <x:c r="G28" s="7" t="str">
        <x:v>MF-04</x:v>
      </x:c>
      <x:c r="H28" s="7" t="str"/>
      <x:c r="I28" s="7" t="str"/>
      <x:c r="J28" s="7" t="str">
        <x:f>IF(OR(H28="",I28=""),"",I28-H28)</x:f>
      </x:c>
      <x:c r="K28" s="7" t="str"/>
      <x:c r="L28" s="7" t="str"/>
      <x:c r="M28" s="7" t="str">
        <x:f>IF(L28="","OPEN",IF(OR(NOT(ISNUMBER(H28)),NOT(ISNUMBER(I28)),NOT(ISNUMBER(K28)),ABS(J28)&gt;K28),"FAIL","PASS"))</x:f>
        <x:v>OPEN</x:v>
      </x:c>
    </x:row>
    <x:row r="29">
      <x:c r="B29" s="7" t="str">
        <x:v>CAL-CH-PEA-A-X1-04-5</x:v>
      </x:c>
      <x:c r="C29" s="7" t="str">
        <x:v>CH-PEA-A-X1-04-5</x:v>
      </x:c>
      <x:c r="D29" s="7" t="str">
        <x:v>PEA-A-X1</x:v>
      </x:c>
      <x:c r="E29" s="7" t="str">
        <x:v>BLD-A</x:v>
      </x:c>
      <x:c r="F29" s="7" t="str">
        <x:v>BL-X</x:v>
      </x:c>
      <x:c r="G29" s="7" t="str">
        <x:v>MF-04</x:v>
      </x:c>
      <x:c r="H29" s="7" t="str"/>
      <x:c r="I29" s="7" t="str"/>
      <x:c r="J29" s="7" t="str">
        <x:f>IF(OR(H29="",I29=""),"",I29-H29)</x:f>
      </x:c>
      <x:c r="K29" s="7" t="str"/>
      <x:c r="L29" s="7" t="str"/>
      <x:c r="M29" s="7" t="str">
        <x:f>IF(L29="","OPEN",IF(OR(NOT(ISNUMBER(H29)),NOT(ISNUMBER(I29)),NOT(ISNUMBER(K29)),ABS(J29)&gt;K29),"FAIL","PASS"))</x:f>
        <x:v>OPEN</x:v>
      </x:c>
    </x:row>
    <x:row r="30">
      <x:c r="B30" s="7" t="str">
        <x:v>CAL-CH-PEA-A-X1-04-6</x:v>
      </x:c>
      <x:c r="C30" s="7" t="str">
        <x:v>CH-PEA-A-X1-04-6</x:v>
      </x:c>
      <x:c r="D30" s="7" t="str">
        <x:v>PEA-A-X1</x:v>
      </x:c>
      <x:c r="E30" s="7" t="str">
        <x:v>BLD-A</x:v>
      </x:c>
      <x:c r="F30" s="7" t="str">
        <x:v>BL-X</x:v>
      </x:c>
      <x:c r="G30" s="7" t="str">
        <x:v>MF-04</x:v>
      </x:c>
      <x:c r="H30" s="7" t="str"/>
      <x:c r="I30" s="7" t="str"/>
      <x:c r="J30" s="7" t="str">
        <x:f>IF(OR(H30="",I30=""),"",I30-H30)</x:f>
      </x:c>
      <x:c r="K30" s="7" t="str"/>
      <x:c r="L30" s="7" t="str"/>
      <x:c r="M30" s="7" t="str">
        <x:f>IF(L30="","OPEN",IF(OR(NOT(ISNUMBER(H30)),NOT(ISNUMBER(I30)),NOT(ISNUMBER(K30)),ABS(J30)&gt;K30),"FAIL","PASS"))</x:f>
        <x:v>OPEN</x:v>
      </x:c>
    </x:row>
    <x:row r="31">
      <x:c r="B31" s="7" t="str">
        <x:v>CAL-CH-PEA-A-X1-05-1</x:v>
      </x:c>
      <x:c r="C31" s="7" t="str">
        <x:v>CH-PEA-A-X1-05-1</x:v>
      </x:c>
      <x:c r="D31" s="7" t="str">
        <x:v>PEA-A-X1</x:v>
      </x:c>
      <x:c r="E31" s="7" t="str">
        <x:v>BLD-A</x:v>
      </x:c>
      <x:c r="F31" s="7" t="str">
        <x:v>BL-X</x:v>
      </x:c>
      <x:c r="G31" s="7" t="str">
        <x:v>MF-05</x:v>
      </x:c>
      <x:c r="H31" s="7" t="str"/>
      <x:c r="I31" s="7" t="str"/>
      <x:c r="J31" s="7" t="str">
        <x:f>IF(OR(H31="",I31=""),"",I31-H31)</x:f>
      </x:c>
      <x:c r="K31" s="7" t="str"/>
      <x:c r="L31" s="7" t="str"/>
      <x:c r="M31" s="7" t="str">
        <x:f>IF(L31="","OPEN",IF(OR(NOT(ISNUMBER(H31)),NOT(ISNUMBER(I31)),NOT(ISNUMBER(K31)),ABS(J31)&gt;K31),"FAIL","PASS"))</x:f>
        <x:v>OPEN</x:v>
      </x:c>
    </x:row>
    <x:row r="32">
      <x:c r="B32" s="7" t="str">
        <x:v>CAL-CH-PEA-A-X1-05-2</x:v>
      </x:c>
      <x:c r="C32" s="7" t="str">
        <x:v>CH-PEA-A-X1-05-2</x:v>
      </x:c>
      <x:c r="D32" s="7" t="str">
        <x:v>PEA-A-X1</x:v>
      </x:c>
      <x:c r="E32" s="7" t="str">
        <x:v>BLD-A</x:v>
      </x:c>
      <x:c r="F32" s="7" t="str">
        <x:v>BL-X</x:v>
      </x:c>
      <x:c r="G32" s="7" t="str">
        <x:v>MF-05</x:v>
      </x:c>
      <x:c r="H32" s="7" t="str"/>
      <x:c r="I32" s="7" t="str"/>
      <x:c r="J32" s="7" t="str">
        <x:f>IF(OR(H32="",I32=""),"",I32-H32)</x:f>
      </x:c>
      <x:c r="K32" s="7" t="str"/>
      <x:c r="L32" s="7" t="str"/>
      <x:c r="M32" s="7" t="str">
        <x:f>IF(L32="","OPEN",IF(OR(NOT(ISNUMBER(H32)),NOT(ISNUMBER(I32)),NOT(ISNUMBER(K32)),ABS(J32)&gt;K32),"FAIL","PASS"))</x:f>
        <x:v>OPEN</x:v>
      </x:c>
    </x:row>
    <x:row r="33">
      <x:c r="B33" s="7" t="str">
        <x:v>CAL-CH-PEA-A-X1-05-3</x:v>
      </x:c>
      <x:c r="C33" s="7" t="str">
        <x:v>CH-PEA-A-X1-05-3</x:v>
      </x:c>
      <x:c r="D33" s="7" t="str">
        <x:v>PEA-A-X1</x:v>
      </x:c>
      <x:c r="E33" s="7" t="str">
        <x:v>BLD-A</x:v>
      </x:c>
      <x:c r="F33" s="7" t="str">
        <x:v>BL-X</x:v>
      </x:c>
      <x:c r="G33" s="7" t="str">
        <x:v>MF-05</x:v>
      </x:c>
      <x:c r="H33" s="7" t="str"/>
      <x:c r="I33" s="7" t="str"/>
      <x:c r="J33" s="7" t="str">
        <x:f>IF(OR(H33="",I33=""),"",I33-H33)</x:f>
      </x:c>
      <x:c r="K33" s="7" t="str"/>
      <x:c r="L33" s="7" t="str"/>
      <x:c r="M33" s="7" t="str">
        <x:f>IF(L33="","OPEN",IF(OR(NOT(ISNUMBER(H33)),NOT(ISNUMBER(I33)),NOT(ISNUMBER(K33)),ABS(J33)&gt;K33),"FAIL","PASS"))</x:f>
        <x:v>OPEN</x:v>
      </x:c>
    </x:row>
    <x:row r="34">
      <x:c r="B34" s="7" t="str">
        <x:v>CAL-CH-PEA-A-X1-05-4</x:v>
      </x:c>
      <x:c r="C34" s="7" t="str">
        <x:v>CH-PEA-A-X1-05-4</x:v>
      </x:c>
      <x:c r="D34" s="7" t="str">
        <x:v>PEA-A-X1</x:v>
      </x:c>
      <x:c r="E34" s="7" t="str">
        <x:v>BLD-A</x:v>
      </x:c>
      <x:c r="F34" s="7" t="str">
        <x:v>BL-X</x:v>
      </x:c>
      <x:c r="G34" s="7" t="str">
        <x:v>MF-05</x:v>
      </x:c>
      <x:c r="H34" s="7" t="str"/>
      <x:c r="I34" s="7" t="str"/>
      <x:c r="J34" s="7" t="str">
        <x:f>IF(OR(H34="",I34=""),"",I34-H34)</x:f>
      </x:c>
      <x:c r="K34" s="7" t="str"/>
      <x:c r="L34" s="7" t="str"/>
      <x:c r="M34" s="7" t="str">
        <x:f>IF(L34="","OPEN",IF(OR(NOT(ISNUMBER(H34)),NOT(ISNUMBER(I34)),NOT(ISNUMBER(K34)),ABS(J34)&gt;K34),"FAIL","PASS"))</x:f>
        <x:v>OPEN</x:v>
      </x:c>
    </x:row>
    <x:row r="35">
      <x:c r="B35" s="7" t="str">
        <x:v>CAL-CH-PEA-A-X1-05-5</x:v>
      </x:c>
      <x:c r="C35" s="7" t="str">
        <x:v>CH-PEA-A-X1-05-5</x:v>
      </x:c>
      <x:c r="D35" s="7" t="str">
        <x:v>PEA-A-X1</x:v>
      </x:c>
      <x:c r="E35" s="7" t="str">
        <x:v>BLD-A</x:v>
      </x:c>
      <x:c r="F35" s="7" t="str">
        <x:v>BL-X</x:v>
      </x:c>
      <x:c r="G35" s="7" t="str">
        <x:v>MF-05</x:v>
      </x:c>
      <x:c r="H35" s="7" t="str"/>
      <x:c r="I35" s="7" t="str"/>
      <x:c r="J35" s="7" t="str">
        <x:f>IF(OR(H35="",I35=""),"",I35-H35)</x:f>
      </x:c>
      <x:c r="K35" s="7" t="str"/>
      <x:c r="L35" s="7" t="str"/>
      <x:c r="M35" s="7" t="str">
        <x:f>IF(L35="","OPEN",IF(OR(NOT(ISNUMBER(H35)),NOT(ISNUMBER(I35)),NOT(ISNUMBER(K35)),ABS(J35)&gt;K35),"FAIL","PASS"))</x:f>
        <x:v>OPEN</x:v>
      </x:c>
    </x:row>
    <x:row r="36">
      <x:c r="B36" s="7" t="str">
        <x:v>CAL-CH-PEA-A-X1-05-6</x:v>
      </x:c>
      <x:c r="C36" s="7" t="str">
        <x:v>CH-PEA-A-X1-05-6</x:v>
      </x:c>
      <x:c r="D36" s="7" t="str">
        <x:v>PEA-A-X1</x:v>
      </x:c>
      <x:c r="E36" s="7" t="str">
        <x:v>BLD-A</x:v>
      </x:c>
      <x:c r="F36" s="7" t="str">
        <x:v>BL-X</x:v>
      </x:c>
      <x:c r="G36" s="7" t="str">
        <x:v>MF-05</x:v>
      </x:c>
      <x:c r="H36" s="7" t="str"/>
      <x:c r="I36" s="7" t="str"/>
      <x:c r="J36" s="7" t="str">
        <x:f>IF(OR(H36="",I36=""),"",I36-H36)</x:f>
      </x:c>
      <x:c r="K36" s="7" t="str"/>
      <x:c r="L36" s="7" t="str"/>
      <x:c r="M36" s="7" t="str">
        <x:f>IF(L36="","OPEN",IF(OR(NOT(ISNUMBER(H36)),NOT(ISNUMBER(I36)),NOT(ISNUMBER(K36)),ABS(J36)&gt;K36),"FAIL","PASS"))</x:f>
        <x:v>OPEN</x:v>
      </x:c>
    </x:row>
    <x:row r="37">
      <x:c r="B37" s="7" t="str">
        <x:v>CAL-CH-PEA-A-X1-06-1</x:v>
      </x:c>
      <x:c r="C37" s="7" t="str">
        <x:v>CH-PEA-A-X1-06-1</x:v>
      </x:c>
      <x:c r="D37" s="7" t="str">
        <x:v>PEA-A-X1</x:v>
      </x:c>
      <x:c r="E37" s="7" t="str">
        <x:v>BLD-A</x:v>
      </x:c>
      <x:c r="F37" s="7" t="str">
        <x:v>BL-X</x:v>
      </x:c>
      <x:c r="G37" s="7" t="str">
        <x:v>MF-06</x:v>
      </x:c>
      <x:c r="H37" s="7" t="str"/>
      <x:c r="I37" s="7" t="str"/>
      <x:c r="J37" s="7" t="str">
        <x:f>IF(OR(H37="",I37=""),"",I37-H37)</x:f>
      </x:c>
      <x:c r="K37" s="7" t="str"/>
      <x:c r="L37" s="7" t="str"/>
      <x:c r="M37" s="7" t="str">
        <x:f>IF(L37="","OPEN",IF(OR(NOT(ISNUMBER(H37)),NOT(ISNUMBER(I37)),NOT(ISNUMBER(K37)),ABS(J37)&gt;K37),"FAIL","PASS"))</x:f>
        <x:v>OPEN</x:v>
      </x:c>
    </x:row>
    <x:row r="38">
      <x:c r="B38" s="7" t="str">
        <x:v>CAL-CH-PEA-A-X1-06-2</x:v>
      </x:c>
      <x:c r="C38" s="7" t="str">
        <x:v>CH-PEA-A-X1-06-2</x:v>
      </x:c>
      <x:c r="D38" s="7" t="str">
        <x:v>PEA-A-X1</x:v>
      </x:c>
      <x:c r="E38" s="7" t="str">
        <x:v>BLD-A</x:v>
      </x:c>
      <x:c r="F38" s="7" t="str">
        <x:v>BL-X</x:v>
      </x:c>
      <x:c r="G38" s="7" t="str">
        <x:v>MF-06</x:v>
      </x:c>
      <x:c r="H38" s="7" t="str"/>
      <x:c r="I38" s="7" t="str"/>
      <x:c r="J38" s="7" t="str">
        <x:f>IF(OR(H38="",I38=""),"",I38-H38)</x:f>
      </x:c>
      <x:c r="K38" s="7" t="str"/>
      <x:c r="L38" s="7" t="str"/>
      <x:c r="M38" s="7" t="str">
        <x:f>IF(L38="","OPEN",IF(OR(NOT(ISNUMBER(H38)),NOT(ISNUMBER(I38)),NOT(ISNUMBER(K38)),ABS(J38)&gt;K38),"FAIL","PASS"))</x:f>
        <x:v>OPEN</x:v>
      </x:c>
    </x:row>
    <x:row r="39">
      <x:c r="B39" s="7" t="str">
        <x:v>CAL-CH-PEA-A-X1-06-3</x:v>
      </x:c>
      <x:c r="C39" s="7" t="str">
        <x:v>CH-PEA-A-X1-06-3</x:v>
      </x:c>
      <x:c r="D39" s="7" t="str">
        <x:v>PEA-A-X1</x:v>
      </x:c>
      <x:c r="E39" s="7" t="str">
        <x:v>BLD-A</x:v>
      </x:c>
      <x:c r="F39" s="7" t="str">
        <x:v>BL-X</x:v>
      </x:c>
      <x:c r="G39" s="7" t="str">
        <x:v>MF-06</x:v>
      </x:c>
      <x:c r="H39" s="7" t="str"/>
      <x:c r="I39" s="7" t="str"/>
      <x:c r="J39" s="7" t="str">
        <x:f>IF(OR(H39="",I39=""),"",I39-H39)</x:f>
      </x:c>
      <x:c r="K39" s="7" t="str"/>
      <x:c r="L39" s="7" t="str"/>
      <x:c r="M39" s="7" t="str">
        <x:f>IF(L39="","OPEN",IF(OR(NOT(ISNUMBER(H39)),NOT(ISNUMBER(I39)),NOT(ISNUMBER(K39)),ABS(J39)&gt;K39),"FAIL","PASS"))</x:f>
        <x:v>OPEN</x:v>
      </x:c>
    </x:row>
    <x:row r="40">
      <x:c r="B40" s="7" t="str">
        <x:v>CAL-CH-PEA-A-X1-06-4</x:v>
      </x:c>
      <x:c r="C40" s="7" t="str">
        <x:v>CH-PEA-A-X1-06-4</x:v>
      </x:c>
      <x:c r="D40" s="7" t="str">
        <x:v>PEA-A-X1</x:v>
      </x:c>
      <x:c r="E40" s="7" t="str">
        <x:v>BLD-A</x:v>
      </x:c>
      <x:c r="F40" s="7" t="str">
        <x:v>BL-X</x:v>
      </x:c>
      <x:c r="G40" s="7" t="str">
        <x:v>MF-06</x:v>
      </x:c>
      <x:c r="H40" s="7" t="str"/>
      <x:c r="I40" s="7" t="str"/>
      <x:c r="J40" s="7" t="str">
        <x:f>IF(OR(H40="",I40=""),"",I40-H40)</x:f>
      </x:c>
      <x:c r="K40" s="7" t="str"/>
      <x:c r="L40" s="7" t="str"/>
      <x:c r="M40" s="7" t="str">
        <x:f>IF(L40="","OPEN",IF(OR(NOT(ISNUMBER(H40)),NOT(ISNUMBER(I40)),NOT(ISNUMBER(K40)),ABS(J40)&gt;K40),"FAIL","PASS"))</x:f>
        <x:v>OPEN</x:v>
      </x:c>
    </x:row>
    <x:row r="41">
      <x:c r="B41" s="7" t="str">
        <x:v>CAL-CH-PEA-A-X1-06-5</x:v>
      </x:c>
      <x:c r="C41" s="7" t="str">
        <x:v>CH-PEA-A-X1-06-5</x:v>
      </x:c>
      <x:c r="D41" s="7" t="str">
        <x:v>PEA-A-X1</x:v>
      </x:c>
      <x:c r="E41" s="7" t="str">
        <x:v>BLD-A</x:v>
      </x:c>
      <x:c r="F41" s="7" t="str">
        <x:v>BL-X</x:v>
      </x:c>
      <x:c r="G41" s="7" t="str">
        <x:v>MF-06</x:v>
      </x:c>
      <x:c r="H41" s="7" t="str"/>
      <x:c r="I41" s="7" t="str"/>
      <x:c r="J41" s="7" t="str">
        <x:f>IF(OR(H41="",I41=""),"",I41-H41)</x:f>
      </x:c>
      <x:c r="K41" s="7" t="str"/>
      <x:c r="L41" s="7" t="str"/>
      <x:c r="M41" s="7" t="str">
        <x:f>IF(L41="","OPEN",IF(OR(NOT(ISNUMBER(H41)),NOT(ISNUMBER(I41)),NOT(ISNUMBER(K41)),ABS(J41)&gt;K41),"FAIL","PASS"))</x:f>
        <x:v>OPEN</x:v>
      </x:c>
    </x:row>
    <x:row r="42">
      <x:c r="B42" s="7" t="str">
        <x:v>CAL-CH-PEA-A-X1-06-6</x:v>
      </x:c>
      <x:c r="C42" s="7" t="str">
        <x:v>CH-PEA-A-X1-06-6</x:v>
      </x:c>
      <x:c r="D42" s="7" t="str">
        <x:v>PEA-A-X1</x:v>
      </x:c>
      <x:c r="E42" s="7" t="str">
        <x:v>BLD-A</x:v>
      </x:c>
      <x:c r="F42" s="7" t="str">
        <x:v>BL-X</x:v>
      </x:c>
      <x:c r="G42" s="7" t="str">
        <x:v>MF-06</x:v>
      </x:c>
      <x:c r="H42" s="7" t="str"/>
      <x:c r="I42" s="7" t="str"/>
      <x:c r="J42" s="7" t="str">
        <x:f>IF(OR(H42="",I42=""),"",I42-H42)</x:f>
      </x:c>
      <x:c r="K42" s="7" t="str"/>
      <x:c r="L42" s="7" t="str"/>
      <x:c r="M42" s="7" t="str">
        <x:f>IF(L42="","OPEN",IF(OR(NOT(ISNUMBER(H42)),NOT(ISNUMBER(I42)),NOT(ISNUMBER(K42)),ABS(J42)&gt;K42),"FAIL","PASS"))</x:f>
        <x:v>OPEN</x:v>
      </x:c>
    </x:row>
    <x:row r="43">
      <x:c r="B43" s="7" t="str">
        <x:v>CAL-CH-PEA-A-X1-07-1</x:v>
      </x:c>
      <x:c r="C43" s="7" t="str">
        <x:v>CH-PEA-A-X1-07-1</x:v>
      </x:c>
      <x:c r="D43" s="7" t="str">
        <x:v>PEA-A-X1</x:v>
      </x:c>
      <x:c r="E43" s="7" t="str">
        <x:v>BLD-A</x:v>
      </x:c>
      <x:c r="F43" s="7" t="str">
        <x:v>BL-X</x:v>
      </x:c>
      <x:c r="G43" s="7" t="str">
        <x:v>MF-07</x:v>
      </x:c>
      <x:c r="H43" s="7" t="str"/>
      <x:c r="I43" s="7" t="str"/>
      <x:c r="J43" s="7" t="str">
        <x:f>IF(OR(H43="",I43=""),"",I43-H43)</x:f>
      </x:c>
      <x:c r="K43" s="7" t="str"/>
      <x:c r="L43" s="7" t="str"/>
      <x:c r="M43" s="7" t="str">
        <x:f>IF(L43="","OPEN",IF(OR(NOT(ISNUMBER(H43)),NOT(ISNUMBER(I43)),NOT(ISNUMBER(K43)),ABS(J43)&gt;K43),"FAIL","PASS"))</x:f>
        <x:v>OPEN</x:v>
      </x:c>
    </x:row>
    <x:row r="44">
      <x:c r="B44" s="7" t="str">
        <x:v>CAL-CH-PEA-A-X1-07-2</x:v>
      </x:c>
      <x:c r="C44" s="7" t="str">
        <x:v>CH-PEA-A-X1-07-2</x:v>
      </x:c>
      <x:c r="D44" s="7" t="str">
        <x:v>PEA-A-X1</x:v>
      </x:c>
      <x:c r="E44" s="7" t="str">
        <x:v>BLD-A</x:v>
      </x:c>
      <x:c r="F44" s="7" t="str">
        <x:v>BL-X</x:v>
      </x:c>
      <x:c r="G44" s="7" t="str">
        <x:v>MF-07</x:v>
      </x:c>
      <x:c r="H44" s="7" t="str"/>
      <x:c r="I44" s="7" t="str"/>
      <x:c r="J44" s="7" t="str">
        <x:f>IF(OR(H44="",I44=""),"",I44-H44)</x:f>
      </x:c>
      <x:c r="K44" s="7" t="str"/>
      <x:c r="L44" s="7" t="str"/>
      <x:c r="M44" s="7" t="str">
        <x:f>IF(L44="","OPEN",IF(OR(NOT(ISNUMBER(H44)),NOT(ISNUMBER(I44)),NOT(ISNUMBER(K44)),ABS(J44)&gt;K44),"FAIL","PASS"))</x:f>
        <x:v>OPEN</x:v>
      </x:c>
    </x:row>
    <x:row r="45">
      <x:c r="B45" s="7" t="str">
        <x:v>CAL-CH-PEA-A-X1-07-3</x:v>
      </x:c>
      <x:c r="C45" s="7" t="str">
        <x:v>CH-PEA-A-X1-07-3</x:v>
      </x:c>
      <x:c r="D45" s="7" t="str">
        <x:v>PEA-A-X1</x:v>
      </x:c>
      <x:c r="E45" s="7" t="str">
        <x:v>BLD-A</x:v>
      </x:c>
      <x:c r="F45" s="7" t="str">
        <x:v>BL-X</x:v>
      </x:c>
      <x:c r="G45" s="7" t="str">
        <x:v>MF-07</x:v>
      </x:c>
      <x:c r="H45" s="7" t="str"/>
      <x:c r="I45" s="7" t="str"/>
      <x:c r="J45" s="7" t="str">
        <x:f>IF(OR(H45="",I45=""),"",I45-H45)</x:f>
      </x:c>
      <x:c r="K45" s="7" t="str"/>
      <x:c r="L45" s="7" t="str"/>
      <x:c r="M45" s="7" t="str">
        <x:f>IF(L45="","OPEN",IF(OR(NOT(ISNUMBER(H45)),NOT(ISNUMBER(I45)),NOT(ISNUMBER(K45)),ABS(J45)&gt;K45),"FAIL","PASS"))</x:f>
        <x:v>OPEN</x:v>
      </x:c>
    </x:row>
    <x:row r="46">
      <x:c r="B46" s="7" t="str">
        <x:v>CAL-CH-PEA-A-X1-07-4</x:v>
      </x:c>
      <x:c r="C46" s="7" t="str">
        <x:v>CH-PEA-A-X1-07-4</x:v>
      </x:c>
      <x:c r="D46" s="7" t="str">
        <x:v>PEA-A-X1</x:v>
      </x:c>
      <x:c r="E46" s="7" t="str">
        <x:v>BLD-A</x:v>
      </x:c>
      <x:c r="F46" s="7" t="str">
        <x:v>BL-X</x:v>
      </x:c>
      <x:c r="G46" s="7" t="str">
        <x:v>MF-07</x:v>
      </x:c>
      <x:c r="H46" s="7" t="str"/>
      <x:c r="I46" s="7" t="str"/>
      <x:c r="J46" s="7" t="str">
        <x:f>IF(OR(H46="",I46=""),"",I46-H46)</x:f>
      </x:c>
      <x:c r="K46" s="7" t="str"/>
      <x:c r="L46" s="7" t="str"/>
      <x:c r="M46" s="7" t="str">
        <x:f>IF(L46="","OPEN",IF(OR(NOT(ISNUMBER(H46)),NOT(ISNUMBER(I46)),NOT(ISNUMBER(K46)),ABS(J46)&gt;K46),"FAIL","PASS"))</x:f>
        <x:v>OPEN</x:v>
      </x:c>
    </x:row>
    <x:row r="47">
      <x:c r="B47" s="7" t="str">
        <x:v>CAL-CH-PEA-A-X1-07-5</x:v>
      </x:c>
      <x:c r="C47" s="7" t="str">
        <x:v>CH-PEA-A-X1-07-5</x:v>
      </x:c>
      <x:c r="D47" s="7" t="str">
        <x:v>PEA-A-X1</x:v>
      </x:c>
      <x:c r="E47" s="7" t="str">
        <x:v>BLD-A</x:v>
      </x:c>
      <x:c r="F47" s="7" t="str">
        <x:v>BL-X</x:v>
      </x:c>
      <x:c r="G47" s="7" t="str">
        <x:v>MF-07</x:v>
      </x:c>
      <x:c r="H47" s="7" t="str"/>
      <x:c r="I47" s="7" t="str"/>
      <x:c r="J47" s="7" t="str">
        <x:f>IF(OR(H47="",I47=""),"",I47-H47)</x:f>
      </x:c>
      <x:c r="K47" s="7" t="str"/>
      <x:c r="L47" s="7" t="str"/>
      <x:c r="M47" s="7" t="str">
        <x:f>IF(L47="","OPEN",IF(OR(NOT(ISNUMBER(H47)),NOT(ISNUMBER(I47)),NOT(ISNUMBER(K47)),ABS(J47)&gt;K47),"FAIL","PASS"))</x:f>
        <x:v>OPEN</x:v>
      </x:c>
    </x:row>
    <x:row r="48">
      <x:c r="B48" s="7" t="str">
        <x:v>CAL-CH-PEA-A-X1-07-6</x:v>
      </x:c>
      <x:c r="C48" s="7" t="str">
        <x:v>CH-PEA-A-X1-07-6</x:v>
      </x:c>
      <x:c r="D48" s="7" t="str">
        <x:v>PEA-A-X1</x:v>
      </x:c>
      <x:c r="E48" s="7" t="str">
        <x:v>BLD-A</x:v>
      </x:c>
      <x:c r="F48" s="7" t="str">
        <x:v>BL-X</x:v>
      </x:c>
      <x:c r="G48" s="7" t="str">
        <x:v>MF-07</x:v>
      </x:c>
      <x:c r="H48" s="7" t="str"/>
      <x:c r="I48" s="7" t="str"/>
      <x:c r="J48" s="7" t="str">
        <x:f>IF(OR(H48="",I48=""),"",I48-H48)</x:f>
      </x:c>
      <x:c r="K48" s="7" t="str"/>
      <x:c r="L48" s="7" t="str"/>
      <x:c r="M48" s="7" t="str">
        <x:f>IF(L48="","OPEN",IF(OR(NOT(ISNUMBER(H48)),NOT(ISNUMBER(I48)),NOT(ISNUMBER(K48)),ABS(J48)&gt;K48),"FAIL","PASS"))</x:f>
        <x:v>OPEN</x:v>
      </x:c>
    </x:row>
    <x:row r="49">
      <x:c r="B49" s="7" t="str">
        <x:v>CAL-CH-PEA-A-X1-08-1</x:v>
      </x:c>
      <x:c r="C49" s="7" t="str">
        <x:v>CH-PEA-A-X1-08-1</x:v>
      </x:c>
      <x:c r="D49" s="7" t="str">
        <x:v>PEA-A-X1</x:v>
      </x:c>
      <x:c r="E49" s="7" t="str">
        <x:v>BLD-A</x:v>
      </x:c>
      <x:c r="F49" s="7" t="str">
        <x:v>BL-X</x:v>
      </x:c>
      <x:c r="G49" s="7" t="str">
        <x:v>MF-08</x:v>
      </x:c>
      <x:c r="H49" s="7" t="str"/>
      <x:c r="I49" s="7" t="str"/>
      <x:c r="J49" s="7" t="str">
        <x:f>IF(OR(H49="",I49=""),"",I49-H49)</x:f>
      </x:c>
      <x:c r="K49" s="7" t="str"/>
      <x:c r="L49" s="7" t="str"/>
      <x:c r="M49" s="7" t="str">
        <x:f>IF(L49="","OPEN",IF(OR(NOT(ISNUMBER(H49)),NOT(ISNUMBER(I49)),NOT(ISNUMBER(K49)),ABS(J49)&gt;K49),"FAIL","PASS"))</x:f>
        <x:v>OPEN</x:v>
      </x:c>
    </x:row>
    <x:row r="50">
      <x:c r="B50" s="7" t="str">
        <x:v>CAL-CH-PEA-A-X1-08-2</x:v>
      </x:c>
      <x:c r="C50" s="7" t="str">
        <x:v>CH-PEA-A-X1-08-2</x:v>
      </x:c>
      <x:c r="D50" s="7" t="str">
        <x:v>PEA-A-X1</x:v>
      </x:c>
      <x:c r="E50" s="7" t="str">
        <x:v>BLD-A</x:v>
      </x:c>
      <x:c r="F50" s="7" t="str">
        <x:v>BL-X</x:v>
      </x:c>
      <x:c r="G50" s="7" t="str">
        <x:v>MF-08</x:v>
      </x:c>
      <x:c r="H50" s="7" t="str"/>
      <x:c r="I50" s="7" t="str"/>
      <x:c r="J50" s="7" t="str">
        <x:f>IF(OR(H50="",I50=""),"",I50-H50)</x:f>
      </x:c>
      <x:c r="K50" s="7" t="str"/>
      <x:c r="L50" s="7" t="str"/>
      <x:c r="M50" s="7" t="str">
        <x:f>IF(L50="","OPEN",IF(OR(NOT(ISNUMBER(H50)),NOT(ISNUMBER(I50)),NOT(ISNUMBER(K50)),ABS(J50)&gt;K50),"FAIL","PASS"))</x:f>
        <x:v>OPEN</x:v>
      </x:c>
    </x:row>
    <x:row r="51">
      <x:c r="B51" s="7" t="str">
        <x:v>CAL-CH-PEA-A-X1-08-3</x:v>
      </x:c>
      <x:c r="C51" s="7" t="str">
        <x:v>CH-PEA-A-X1-08-3</x:v>
      </x:c>
      <x:c r="D51" s="7" t="str">
        <x:v>PEA-A-X1</x:v>
      </x:c>
      <x:c r="E51" s="7" t="str">
        <x:v>BLD-A</x:v>
      </x:c>
      <x:c r="F51" s="7" t="str">
        <x:v>BL-X</x:v>
      </x:c>
      <x:c r="G51" s="7" t="str">
        <x:v>MF-08</x:v>
      </x:c>
      <x:c r="H51" s="7" t="str"/>
      <x:c r="I51" s="7" t="str"/>
      <x:c r="J51" s="7" t="str">
        <x:f>IF(OR(H51="",I51=""),"",I51-H51)</x:f>
      </x:c>
      <x:c r="K51" s="7" t="str"/>
      <x:c r="L51" s="7" t="str"/>
      <x:c r="M51" s="7" t="str">
        <x:f>IF(L51="","OPEN",IF(OR(NOT(ISNUMBER(H51)),NOT(ISNUMBER(I51)),NOT(ISNUMBER(K51)),ABS(J51)&gt;K51),"FAIL","PASS"))</x:f>
        <x:v>OPEN</x:v>
      </x:c>
    </x:row>
    <x:row r="52">
      <x:c r="B52" s="7" t="str">
        <x:v>CAL-CH-PEA-A-X1-08-4</x:v>
      </x:c>
      <x:c r="C52" s="7" t="str">
        <x:v>CH-PEA-A-X1-08-4</x:v>
      </x:c>
      <x:c r="D52" s="7" t="str">
        <x:v>PEA-A-X1</x:v>
      </x:c>
      <x:c r="E52" s="7" t="str">
        <x:v>BLD-A</x:v>
      </x:c>
      <x:c r="F52" s="7" t="str">
        <x:v>BL-X</x:v>
      </x:c>
      <x:c r="G52" s="7" t="str">
        <x:v>MF-08</x:v>
      </x:c>
      <x:c r="H52" s="7" t="str"/>
      <x:c r="I52" s="7" t="str"/>
      <x:c r="J52" s="7" t="str">
        <x:f>IF(OR(H52="",I52=""),"",I52-H52)</x:f>
      </x:c>
      <x:c r="K52" s="7" t="str"/>
      <x:c r="L52" s="7" t="str"/>
      <x:c r="M52" s="7" t="str">
        <x:f>IF(L52="","OPEN",IF(OR(NOT(ISNUMBER(H52)),NOT(ISNUMBER(I52)),NOT(ISNUMBER(K52)),ABS(J52)&gt;K52),"FAIL","PASS"))</x:f>
        <x:v>OPEN</x:v>
      </x:c>
    </x:row>
    <x:row r="53">
      <x:c r="B53" s="7" t="str">
        <x:v>CAL-CH-PEA-A-X1-08-5</x:v>
      </x:c>
      <x:c r="C53" s="7" t="str">
        <x:v>CH-PEA-A-X1-08-5</x:v>
      </x:c>
      <x:c r="D53" s="7" t="str">
        <x:v>PEA-A-X1</x:v>
      </x:c>
      <x:c r="E53" s="7" t="str">
        <x:v>BLD-A</x:v>
      </x:c>
      <x:c r="F53" s="7" t="str">
        <x:v>BL-X</x:v>
      </x:c>
      <x:c r="G53" s="7" t="str">
        <x:v>MF-08</x:v>
      </x:c>
      <x:c r="H53" s="7" t="str"/>
      <x:c r="I53" s="7" t="str"/>
      <x:c r="J53" s="7" t="str">
        <x:f>IF(OR(H53="",I53=""),"",I53-H53)</x:f>
      </x:c>
      <x:c r="K53" s="7" t="str"/>
      <x:c r="L53" s="7" t="str"/>
      <x:c r="M53" s="7" t="str">
        <x:f>IF(L53="","OPEN",IF(OR(NOT(ISNUMBER(H53)),NOT(ISNUMBER(I53)),NOT(ISNUMBER(K53)),ABS(J53)&gt;K53),"FAIL","PASS"))</x:f>
        <x:v>OPEN</x:v>
      </x:c>
    </x:row>
    <x:row r="54">
      <x:c r="B54" s="7" t="str">
        <x:v>CAL-CH-PEA-A-X1-08-6</x:v>
      </x:c>
      <x:c r="C54" s="7" t="str">
        <x:v>CH-PEA-A-X1-08-6</x:v>
      </x:c>
      <x:c r="D54" s="7" t="str">
        <x:v>PEA-A-X1</x:v>
      </x:c>
      <x:c r="E54" s="7" t="str">
        <x:v>BLD-A</x:v>
      </x:c>
      <x:c r="F54" s="7" t="str">
        <x:v>BL-X</x:v>
      </x:c>
      <x:c r="G54" s="7" t="str">
        <x:v>MF-08</x:v>
      </x:c>
      <x:c r="H54" s="7" t="str"/>
      <x:c r="I54" s="7" t="str"/>
      <x:c r="J54" s="7" t="str">
        <x:f>IF(OR(H54="",I54=""),"",I54-H54)</x:f>
      </x:c>
      <x:c r="K54" s="7" t="str"/>
      <x:c r="L54" s="7" t="str"/>
      <x:c r="M54" s="7" t="str">
        <x:f>IF(L54="","OPEN",IF(OR(NOT(ISNUMBER(H54)),NOT(ISNUMBER(I54)),NOT(ISNUMBER(K54)),ABS(J54)&gt;K54),"FAIL","PASS"))</x:f>
        <x:v>OPEN</x:v>
      </x:c>
    </x:row>
    <x:row r="55">
      <x:c r="B55" s="7" t="str">
        <x:v>CAL-CH-PEA-A-X1-09-1</x:v>
      </x:c>
      <x:c r="C55" s="7" t="str">
        <x:v>CH-PEA-A-X1-09-1</x:v>
      </x:c>
      <x:c r="D55" s="7" t="str">
        <x:v>PEA-A-X1</x:v>
      </x:c>
      <x:c r="E55" s="7" t="str">
        <x:v>BLD-A</x:v>
      </x:c>
      <x:c r="F55" s="7" t="str">
        <x:v>BL-X</x:v>
      </x:c>
      <x:c r="G55" s="7" t="str">
        <x:v>MF-09</x:v>
      </x:c>
      <x:c r="H55" s="7" t="str"/>
      <x:c r="I55" s="7" t="str"/>
      <x:c r="J55" s="7" t="str">
        <x:f>IF(OR(H55="",I55=""),"",I55-H55)</x:f>
      </x:c>
      <x:c r="K55" s="7" t="str"/>
      <x:c r="L55" s="7" t="str"/>
      <x:c r="M55" s="7" t="str">
        <x:f>IF(L55="","OPEN",IF(OR(NOT(ISNUMBER(H55)),NOT(ISNUMBER(I55)),NOT(ISNUMBER(K55)),ABS(J55)&gt;K55),"FAIL","PASS"))</x:f>
        <x:v>OPEN</x:v>
      </x:c>
    </x:row>
    <x:row r="56">
      <x:c r="B56" s="7" t="str">
        <x:v>CAL-CH-PEA-A-X1-09-2</x:v>
      </x:c>
      <x:c r="C56" s="7" t="str">
        <x:v>CH-PEA-A-X1-09-2</x:v>
      </x:c>
      <x:c r="D56" s="7" t="str">
        <x:v>PEA-A-X1</x:v>
      </x:c>
      <x:c r="E56" s="7" t="str">
        <x:v>BLD-A</x:v>
      </x:c>
      <x:c r="F56" s="7" t="str">
        <x:v>BL-X</x:v>
      </x:c>
      <x:c r="G56" s="7" t="str">
        <x:v>MF-09</x:v>
      </x:c>
      <x:c r="H56" s="7" t="str"/>
      <x:c r="I56" s="7" t="str"/>
      <x:c r="J56" s="7" t="str">
        <x:f>IF(OR(H56="",I56=""),"",I56-H56)</x:f>
      </x:c>
      <x:c r="K56" s="7" t="str"/>
      <x:c r="L56" s="7" t="str"/>
      <x:c r="M56" s="7" t="str">
        <x:f>IF(L56="","OPEN",IF(OR(NOT(ISNUMBER(H56)),NOT(ISNUMBER(I56)),NOT(ISNUMBER(K56)),ABS(J56)&gt;K56),"FAIL","PASS"))</x:f>
        <x:v>OPEN</x:v>
      </x:c>
    </x:row>
    <x:row r="57">
      <x:c r="B57" s="7" t="str">
        <x:v>CAL-CH-PEA-A-X1-09-3</x:v>
      </x:c>
      <x:c r="C57" s="7" t="str">
        <x:v>CH-PEA-A-X1-09-3</x:v>
      </x:c>
      <x:c r="D57" s="7" t="str">
        <x:v>PEA-A-X1</x:v>
      </x:c>
      <x:c r="E57" s="7" t="str">
        <x:v>BLD-A</x:v>
      </x:c>
      <x:c r="F57" s="7" t="str">
        <x:v>BL-X</x:v>
      </x:c>
      <x:c r="G57" s="7" t="str">
        <x:v>MF-09</x:v>
      </x:c>
      <x:c r="H57" s="7" t="str"/>
      <x:c r="I57" s="7" t="str"/>
      <x:c r="J57" s="7" t="str">
        <x:f>IF(OR(H57="",I57=""),"",I57-H57)</x:f>
      </x:c>
      <x:c r="K57" s="7" t="str"/>
      <x:c r="L57" s="7" t="str"/>
      <x:c r="M57" s="7" t="str">
        <x:f>IF(L57="","OPEN",IF(OR(NOT(ISNUMBER(H57)),NOT(ISNUMBER(I57)),NOT(ISNUMBER(K57)),ABS(J57)&gt;K57),"FAIL","PASS"))</x:f>
        <x:v>OPEN</x:v>
      </x:c>
    </x:row>
    <x:row r="58">
      <x:c r="B58" s="7" t="str">
        <x:v>CAL-CH-PEA-A-X1-09-4</x:v>
      </x:c>
      <x:c r="C58" s="7" t="str">
        <x:v>CH-PEA-A-X1-09-4</x:v>
      </x:c>
      <x:c r="D58" s="7" t="str">
        <x:v>PEA-A-X1</x:v>
      </x:c>
      <x:c r="E58" s="7" t="str">
        <x:v>BLD-A</x:v>
      </x:c>
      <x:c r="F58" s="7" t="str">
        <x:v>BL-X</x:v>
      </x:c>
      <x:c r="G58" s="7" t="str">
        <x:v>MF-09</x:v>
      </x:c>
      <x:c r="H58" s="7" t="str"/>
      <x:c r="I58" s="7" t="str"/>
      <x:c r="J58" s="7" t="str">
        <x:f>IF(OR(H58="",I58=""),"",I58-H58)</x:f>
      </x:c>
      <x:c r="K58" s="7" t="str"/>
      <x:c r="L58" s="7" t="str"/>
      <x:c r="M58" s="7" t="str">
        <x:f>IF(L58="","OPEN",IF(OR(NOT(ISNUMBER(H58)),NOT(ISNUMBER(I58)),NOT(ISNUMBER(K58)),ABS(J58)&gt;K58),"FAIL","PASS"))</x:f>
        <x:v>OPEN</x:v>
      </x:c>
    </x:row>
    <x:row r="59">
      <x:c r="B59" s="7" t="str">
        <x:v>CAL-CH-PEA-A-X1-09-5</x:v>
      </x:c>
      <x:c r="C59" s="7" t="str">
        <x:v>CH-PEA-A-X1-09-5</x:v>
      </x:c>
      <x:c r="D59" s="7" t="str">
        <x:v>PEA-A-X1</x:v>
      </x:c>
      <x:c r="E59" s="7" t="str">
        <x:v>BLD-A</x:v>
      </x:c>
      <x:c r="F59" s="7" t="str">
        <x:v>BL-X</x:v>
      </x:c>
      <x:c r="G59" s="7" t="str">
        <x:v>MF-09</x:v>
      </x:c>
      <x:c r="H59" s="7" t="str"/>
      <x:c r="I59" s="7" t="str"/>
      <x:c r="J59" s="7" t="str">
        <x:f>IF(OR(H59="",I59=""),"",I59-H59)</x:f>
      </x:c>
      <x:c r="K59" s="7" t="str"/>
      <x:c r="L59" s="7" t="str"/>
      <x:c r="M59" s="7" t="str">
        <x:f>IF(L59="","OPEN",IF(OR(NOT(ISNUMBER(H59)),NOT(ISNUMBER(I59)),NOT(ISNUMBER(K59)),ABS(J59)&gt;K59),"FAIL","PASS"))</x:f>
        <x:v>OPEN</x:v>
      </x:c>
    </x:row>
    <x:row r="60">
      <x:c r="B60" s="7" t="str">
        <x:v>CAL-CH-PEA-A-X1-09-6</x:v>
      </x:c>
      <x:c r="C60" s="7" t="str">
        <x:v>CH-PEA-A-X1-09-6</x:v>
      </x:c>
      <x:c r="D60" s="7" t="str">
        <x:v>PEA-A-X1</x:v>
      </x:c>
      <x:c r="E60" s="7" t="str">
        <x:v>BLD-A</x:v>
      </x:c>
      <x:c r="F60" s="7" t="str">
        <x:v>BL-X</x:v>
      </x:c>
      <x:c r="G60" s="7" t="str">
        <x:v>MF-09</x:v>
      </x:c>
      <x:c r="H60" s="7" t="str"/>
      <x:c r="I60" s="7" t="str"/>
      <x:c r="J60" s="7" t="str">
        <x:f>IF(OR(H60="",I60=""),"",I60-H60)</x:f>
      </x:c>
      <x:c r="K60" s="7" t="str"/>
      <x:c r="L60" s="7" t="str"/>
      <x:c r="M60" s="7" t="str">
        <x:f>IF(L60="","OPEN",IF(OR(NOT(ISNUMBER(H60)),NOT(ISNUMBER(I60)),NOT(ISNUMBER(K60)),ABS(J60)&gt;K60),"FAIL","PASS"))</x:f>
        <x:v>OPEN</x:v>
      </x:c>
    </x:row>
    <x:row r="61">
      <x:c r="B61" s="7" t="str">
        <x:v>CAL-CH-PEA-A-X1-10-1</x:v>
      </x:c>
      <x:c r="C61" s="7" t="str">
        <x:v>CH-PEA-A-X1-10-1</x:v>
      </x:c>
      <x:c r="D61" s="7" t="str">
        <x:v>PEA-A-X1</x:v>
      </x:c>
      <x:c r="E61" s="7" t="str">
        <x:v>BLD-A</x:v>
      </x:c>
      <x:c r="F61" s="7" t="str">
        <x:v>BL-X</x:v>
      </x:c>
      <x:c r="G61" s="7" t="str">
        <x:v>MF-10</x:v>
      </x:c>
      <x:c r="H61" s="7" t="str"/>
      <x:c r="I61" s="7" t="str"/>
      <x:c r="J61" s="7" t="str">
        <x:f>IF(OR(H61="",I61=""),"",I61-H61)</x:f>
      </x:c>
      <x:c r="K61" s="7" t="str"/>
      <x:c r="L61" s="7" t="str"/>
      <x:c r="M61" s="7" t="str">
        <x:f>IF(L61="","OPEN",IF(OR(NOT(ISNUMBER(H61)),NOT(ISNUMBER(I61)),NOT(ISNUMBER(K61)),ABS(J61)&gt;K61),"FAIL","PASS"))</x:f>
        <x:v>OPEN</x:v>
      </x:c>
    </x:row>
    <x:row r="62">
      <x:c r="B62" s="7" t="str">
        <x:v>CAL-CH-PEA-A-X1-10-2</x:v>
      </x:c>
      <x:c r="C62" s="7" t="str">
        <x:v>CH-PEA-A-X1-10-2</x:v>
      </x:c>
      <x:c r="D62" s="7" t="str">
        <x:v>PEA-A-X1</x:v>
      </x:c>
      <x:c r="E62" s="7" t="str">
        <x:v>BLD-A</x:v>
      </x:c>
      <x:c r="F62" s="7" t="str">
        <x:v>BL-X</x:v>
      </x:c>
      <x:c r="G62" s="7" t="str">
        <x:v>MF-10</x:v>
      </x:c>
      <x:c r="H62" s="7" t="str"/>
      <x:c r="I62" s="7" t="str"/>
      <x:c r="J62" s="7" t="str">
        <x:f>IF(OR(H62="",I62=""),"",I62-H62)</x:f>
      </x:c>
      <x:c r="K62" s="7" t="str"/>
      <x:c r="L62" s="7" t="str"/>
      <x:c r="M62" s="7" t="str">
        <x:f>IF(L62="","OPEN",IF(OR(NOT(ISNUMBER(H62)),NOT(ISNUMBER(I62)),NOT(ISNUMBER(K62)),ABS(J62)&gt;K62),"FAIL","PASS"))</x:f>
        <x:v>OPEN</x:v>
      </x:c>
    </x:row>
    <x:row r="63">
      <x:c r="B63" s="7" t="str">
        <x:v>CAL-CH-PEA-A-X1-10-3</x:v>
      </x:c>
      <x:c r="C63" s="7" t="str">
        <x:v>CH-PEA-A-X1-10-3</x:v>
      </x:c>
      <x:c r="D63" s="7" t="str">
        <x:v>PEA-A-X1</x:v>
      </x:c>
      <x:c r="E63" s="7" t="str">
        <x:v>BLD-A</x:v>
      </x:c>
      <x:c r="F63" s="7" t="str">
        <x:v>BL-X</x:v>
      </x:c>
      <x:c r="G63" s="7" t="str">
        <x:v>MF-10</x:v>
      </x:c>
      <x:c r="H63" s="7" t="str"/>
      <x:c r="I63" s="7" t="str"/>
      <x:c r="J63" s="7" t="str">
        <x:f>IF(OR(H63="",I63=""),"",I63-H63)</x:f>
      </x:c>
      <x:c r="K63" s="7" t="str"/>
      <x:c r="L63" s="7" t="str"/>
      <x:c r="M63" s="7" t="str">
        <x:f>IF(L63="","OPEN",IF(OR(NOT(ISNUMBER(H63)),NOT(ISNUMBER(I63)),NOT(ISNUMBER(K63)),ABS(J63)&gt;K63),"FAIL","PASS"))</x:f>
        <x:v>OPEN</x:v>
      </x:c>
    </x:row>
    <x:row r="64">
      <x:c r="B64" s="7" t="str">
        <x:v>CAL-CH-PEA-A-X1-10-4</x:v>
      </x:c>
      <x:c r="C64" s="7" t="str">
        <x:v>CH-PEA-A-X1-10-4</x:v>
      </x:c>
      <x:c r="D64" s="7" t="str">
        <x:v>PEA-A-X1</x:v>
      </x:c>
      <x:c r="E64" s="7" t="str">
        <x:v>BLD-A</x:v>
      </x:c>
      <x:c r="F64" s="7" t="str">
        <x:v>BL-X</x:v>
      </x:c>
      <x:c r="G64" s="7" t="str">
        <x:v>MF-10</x:v>
      </x:c>
      <x:c r="H64" s="7" t="str"/>
      <x:c r="I64" s="7" t="str"/>
      <x:c r="J64" s="7" t="str">
        <x:f>IF(OR(H64="",I64=""),"",I64-H64)</x:f>
      </x:c>
      <x:c r="K64" s="7" t="str"/>
      <x:c r="L64" s="7" t="str"/>
      <x:c r="M64" s="7" t="str">
        <x:f>IF(L64="","OPEN",IF(OR(NOT(ISNUMBER(H64)),NOT(ISNUMBER(I64)),NOT(ISNUMBER(K64)),ABS(J64)&gt;K64),"FAIL","PASS"))</x:f>
        <x:v>OPEN</x:v>
      </x:c>
    </x:row>
    <x:row r="65">
      <x:c r="B65" s="7" t="str">
        <x:v>CAL-CH-PEA-A-X1-10-5</x:v>
      </x:c>
      <x:c r="C65" s="7" t="str">
        <x:v>CH-PEA-A-X1-10-5</x:v>
      </x:c>
      <x:c r="D65" s="7" t="str">
        <x:v>PEA-A-X1</x:v>
      </x:c>
      <x:c r="E65" s="7" t="str">
        <x:v>BLD-A</x:v>
      </x:c>
      <x:c r="F65" s="7" t="str">
        <x:v>BL-X</x:v>
      </x:c>
      <x:c r="G65" s="7" t="str">
        <x:v>MF-10</x:v>
      </x:c>
      <x:c r="H65" s="7" t="str"/>
      <x:c r="I65" s="7" t="str"/>
      <x:c r="J65" s="7" t="str">
        <x:f>IF(OR(H65="",I65=""),"",I65-H65)</x:f>
      </x:c>
      <x:c r="K65" s="7" t="str"/>
      <x:c r="L65" s="7" t="str"/>
      <x:c r="M65" s="7" t="str">
        <x:f>IF(L65="","OPEN",IF(OR(NOT(ISNUMBER(H65)),NOT(ISNUMBER(I65)),NOT(ISNUMBER(K65)),ABS(J65)&gt;K65),"FAIL","PASS"))</x:f>
        <x:v>OPEN</x:v>
      </x:c>
    </x:row>
    <x:row r="66">
      <x:c r="B66" s="7" t="str">
        <x:v>CAL-CH-PEA-A-X1-10-6</x:v>
      </x:c>
      <x:c r="C66" s="7" t="str">
        <x:v>CH-PEA-A-X1-10-6</x:v>
      </x:c>
      <x:c r="D66" s="7" t="str">
        <x:v>PEA-A-X1</x:v>
      </x:c>
      <x:c r="E66" s="7" t="str">
        <x:v>BLD-A</x:v>
      </x:c>
      <x:c r="F66" s="7" t="str">
        <x:v>BL-X</x:v>
      </x:c>
      <x:c r="G66" s="7" t="str">
        <x:v>MF-10</x:v>
      </x:c>
      <x:c r="H66" s="7" t="str"/>
      <x:c r="I66" s="7" t="str"/>
      <x:c r="J66" s="7" t="str">
        <x:f>IF(OR(H66="",I66=""),"",I66-H66)</x:f>
      </x:c>
      <x:c r="K66" s="7" t="str"/>
      <x:c r="L66" s="7" t="str"/>
      <x:c r="M66" s="7" t="str">
        <x:f>IF(L66="","OPEN",IF(OR(NOT(ISNUMBER(H66)),NOT(ISNUMBER(I66)),NOT(ISNUMBER(K66)),ABS(J66)&gt;K66),"FAIL","PASS"))</x:f>
        <x:v>OPEN</x:v>
      </x:c>
    </x:row>
    <x:row r="67">
      <x:c r="B67" s="7" t="str">
        <x:v>CAL-CH-PEA-A-X1-11-1</x:v>
      </x:c>
      <x:c r="C67" s="7" t="str">
        <x:v>CH-PEA-A-X1-11-1</x:v>
      </x:c>
      <x:c r="D67" s="7" t="str">
        <x:v>PEA-A-X1</x:v>
      </x:c>
      <x:c r="E67" s="7" t="str">
        <x:v>BLD-A</x:v>
      </x:c>
      <x:c r="F67" s="7" t="str">
        <x:v>BL-X</x:v>
      </x:c>
      <x:c r="G67" s="7" t="str">
        <x:v>MF-11</x:v>
      </x:c>
      <x:c r="H67" s="7" t="str"/>
      <x:c r="I67" s="7" t="str"/>
      <x:c r="J67" s="7" t="str">
        <x:f>IF(OR(H67="",I67=""),"",I67-H67)</x:f>
      </x:c>
      <x:c r="K67" s="7" t="str"/>
      <x:c r="L67" s="7" t="str"/>
      <x:c r="M67" s="7" t="str">
        <x:f>IF(L67="","OPEN",IF(OR(NOT(ISNUMBER(H67)),NOT(ISNUMBER(I67)),NOT(ISNUMBER(K67)),ABS(J67)&gt;K67),"FAIL","PASS"))</x:f>
        <x:v>OPEN</x:v>
      </x:c>
    </x:row>
    <x:row r="68">
      <x:c r="B68" s="7" t="str">
        <x:v>CAL-CH-PEA-A-X1-11-2</x:v>
      </x:c>
      <x:c r="C68" s="7" t="str">
        <x:v>CH-PEA-A-X1-11-2</x:v>
      </x:c>
      <x:c r="D68" s="7" t="str">
        <x:v>PEA-A-X1</x:v>
      </x:c>
      <x:c r="E68" s="7" t="str">
        <x:v>BLD-A</x:v>
      </x:c>
      <x:c r="F68" s="7" t="str">
        <x:v>BL-X</x:v>
      </x:c>
      <x:c r="G68" s="7" t="str">
        <x:v>MF-11</x:v>
      </x:c>
      <x:c r="H68" s="7" t="str"/>
      <x:c r="I68" s="7" t="str"/>
      <x:c r="J68" s="7" t="str">
        <x:f>IF(OR(H68="",I68=""),"",I68-H68)</x:f>
      </x:c>
      <x:c r="K68" s="7" t="str"/>
      <x:c r="L68" s="7" t="str"/>
      <x:c r="M68" s="7" t="str">
        <x:f>IF(L68="","OPEN",IF(OR(NOT(ISNUMBER(H68)),NOT(ISNUMBER(I68)),NOT(ISNUMBER(K68)),ABS(J68)&gt;K68),"FAIL","PASS"))</x:f>
        <x:v>OPEN</x:v>
      </x:c>
    </x:row>
    <x:row r="69">
      <x:c r="B69" s="7" t="str">
        <x:v>CAL-CH-PEA-A-X1-11-3</x:v>
      </x:c>
      <x:c r="C69" s="7" t="str">
        <x:v>CH-PEA-A-X1-11-3</x:v>
      </x:c>
      <x:c r="D69" s="7" t="str">
        <x:v>PEA-A-X1</x:v>
      </x:c>
      <x:c r="E69" s="7" t="str">
        <x:v>BLD-A</x:v>
      </x:c>
      <x:c r="F69" s="7" t="str">
        <x:v>BL-X</x:v>
      </x:c>
      <x:c r="G69" s="7" t="str">
        <x:v>MF-11</x:v>
      </x:c>
      <x:c r="H69" s="7" t="str"/>
      <x:c r="I69" s="7" t="str"/>
      <x:c r="J69" s="7" t="str">
        <x:f>IF(OR(H69="",I69=""),"",I69-H69)</x:f>
      </x:c>
      <x:c r="K69" s="7" t="str"/>
      <x:c r="L69" s="7" t="str"/>
      <x:c r="M69" s="7" t="str">
        <x:f>IF(L69="","OPEN",IF(OR(NOT(ISNUMBER(H69)),NOT(ISNUMBER(I69)),NOT(ISNUMBER(K69)),ABS(J69)&gt;K69),"FAIL","PASS"))</x:f>
        <x:v>OPEN</x:v>
      </x:c>
    </x:row>
    <x:row r="70">
      <x:c r="B70" s="7" t="str">
        <x:v>CAL-CH-PEA-A-X1-11-4</x:v>
      </x:c>
      <x:c r="C70" s="7" t="str">
        <x:v>CH-PEA-A-X1-11-4</x:v>
      </x:c>
      <x:c r="D70" s="7" t="str">
        <x:v>PEA-A-X1</x:v>
      </x:c>
      <x:c r="E70" s="7" t="str">
        <x:v>BLD-A</x:v>
      </x:c>
      <x:c r="F70" s="7" t="str">
        <x:v>BL-X</x:v>
      </x:c>
      <x:c r="G70" s="7" t="str">
        <x:v>MF-11</x:v>
      </x:c>
      <x:c r="H70" s="7" t="str"/>
      <x:c r="I70" s="7" t="str"/>
      <x:c r="J70" s="7" t="str">
        <x:f>IF(OR(H70="",I70=""),"",I70-H70)</x:f>
      </x:c>
      <x:c r="K70" s="7" t="str"/>
      <x:c r="L70" s="7" t="str"/>
      <x:c r="M70" s="7" t="str">
        <x:f>IF(L70="","OPEN",IF(OR(NOT(ISNUMBER(H70)),NOT(ISNUMBER(I70)),NOT(ISNUMBER(K70)),ABS(J70)&gt;K70),"FAIL","PASS"))</x:f>
        <x:v>OPEN</x:v>
      </x:c>
    </x:row>
    <x:row r="71">
      <x:c r="B71" s="7" t="str">
        <x:v>CAL-CH-PEA-A-X1-11-5</x:v>
      </x:c>
      <x:c r="C71" s="7" t="str">
        <x:v>CH-PEA-A-X1-11-5</x:v>
      </x:c>
      <x:c r="D71" s="7" t="str">
        <x:v>PEA-A-X1</x:v>
      </x:c>
      <x:c r="E71" s="7" t="str">
        <x:v>BLD-A</x:v>
      </x:c>
      <x:c r="F71" s="7" t="str">
        <x:v>BL-X</x:v>
      </x:c>
      <x:c r="G71" s="7" t="str">
        <x:v>MF-11</x:v>
      </x:c>
      <x:c r="H71" s="7" t="str"/>
      <x:c r="I71" s="7" t="str"/>
      <x:c r="J71" s="7" t="str">
        <x:f>IF(OR(H71="",I71=""),"",I71-H71)</x:f>
      </x:c>
      <x:c r="K71" s="7" t="str"/>
      <x:c r="L71" s="7" t="str"/>
      <x:c r="M71" s="7" t="str">
        <x:f>IF(L71="","OPEN",IF(OR(NOT(ISNUMBER(H71)),NOT(ISNUMBER(I71)),NOT(ISNUMBER(K71)),ABS(J71)&gt;K71),"FAIL","PASS"))</x:f>
        <x:v>OPEN</x:v>
      </x:c>
    </x:row>
    <x:row r="72">
      <x:c r="B72" s="7" t="str">
        <x:v>CAL-CH-PEA-A-X1-11-6</x:v>
      </x:c>
      <x:c r="C72" s="7" t="str">
        <x:v>CH-PEA-A-X1-11-6</x:v>
      </x:c>
      <x:c r="D72" s="7" t="str">
        <x:v>PEA-A-X1</x:v>
      </x:c>
      <x:c r="E72" s="7" t="str">
        <x:v>BLD-A</x:v>
      </x:c>
      <x:c r="F72" s="7" t="str">
        <x:v>BL-X</x:v>
      </x:c>
      <x:c r="G72" s="7" t="str">
        <x:v>MF-11</x:v>
      </x:c>
      <x:c r="H72" s="7" t="str"/>
      <x:c r="I72" s="7" t="str"/>
      <x:c r="J72" s="7" t="str">
        <x:f>IF(OR(H72="",I72=""),"",I72-H72)</x:f>
      </x:c>
      <x:c r="K72" s="7" t="str"/>
      <x:c r="L72" s="7" t="str"/>
      <x:c r="M72" s="7" t="str">
        <x:f>IF(L72="","OPEN",IF(OR(NOT(ISNUMBER(H72)),NOT(ISNUMBER(I72)),NOT(ISNUMBER(K72)),ABS(J72)&gt;K72),"FAIL","PASS"))</x:f>
        <x:v>OPEN</x:v>
      </x:c>
    </x:row>
    <x:row r="73">
      <x:c r="B73" s="7" t="str">
        <x:v>CAL-CH-PEA-A-X1-12-1</x:v>
      </x:c>
      <x:c r="C73" s="7" t="str">
        <x:v>CH-PEA-A-X1-12-1</x:v>
      </x:c>
      <x:c r="D73" s="7" t="str">
        <x:v>PEA-A-X1</x:v>
      </x:c>
      <x:c r="E73" s="7" t="str">
        <x:v>BLD-A</x:v>
      </x:c>
      <x:c r="F73" s="7" t="str">
        <x:v>BL-X</x:v>
      </x:c>
      <x:c r="G73" s="7" t="str">
        <x:v>MF-12</x:v>
      </x:c>
      <x:c r="H73" s="7" t="str"/>
      <x:c r="I73" s="7" t="str"/>
      <x:c r="J73" s="7" t="str">
        <x:f>IF(OR(H73="",I73=""),"",I73-H73)</x:f>
      </x:c>
      <x:c r="K73" s="7" t="str"/>
      <x:c r="L73" s="7" t="str"/>
      <x:c r="M73" s="7" t="str">
        <x:f>IF(L73="","OPEN",IF(OR(NOT(ISNUMBER(H73)),NOT(ISNUMBER(I73)),NOT(ISNUMBER(K73)),ABS(J73)&gt;K73),"FAIL","PASS"))</x:f>
        <x:v>OPEN</x:v>
      </x:c>
    </x:row>
    <x:row r="74">
      <x:c r="B74" s="7" t="str">
        <x:v>CAL-CH-PEA-A-X1-12-2</x:v>
      </x:c>
      <x:c r="C74" s="7" t="str">
        <x:v>CH-PEA-A-X1-12-2</x:v>
      </x:c>
      <x:c r="D74" s="7" t="str">
        <x:v>PEA-A-X1</x:v>
      </x:c>
      <x:c r="E74" s="7" t="str">
        <x:v>BLD-A</x:v>
      </x:c>
      <x:c r="F74" s="7" t="str">
        <x:v>BL-X</x:v>
      </x:c>
      <x:c r="G74" s="7" t="str">
        <x:v>MF-12</x:v>
      </x:c>
      <x:c r="H74" s="7" t="str"/>
      <x:c r="I74" s="7" t="str"/>
      <x:c r="J74" s="7" t="str">
        <x:f>IF(OR(H74="",I74=""),"",I74-H74)</x:f>
      </x:c>
      <x:c r="K74" s="7" t="str"/>
      <x:c r="L74" s="7" t="str"/>
      <x:c r="M74" s="7" t="str">
        <x:f>IF(L74="","OPEN",IF(OR(NOT(ISNUMBER(H74)),NOT(ISNUMBER(I74)),NOT(ISNUMBER(K74)),ABS(J74)&gt;K74),"FAIL","PASS"))</x:f>
        <x:v>OPEN</x:v>
      </x:c>
    </x:row>
    <x:row r="75">
      <x:c r="B75" s="7" t="str">
        <x:v>CAL-CH-PEA-A-X1-12-3</x:v>
      </x:c>
      <x:c r="C75" s="7" t="str">
        <x:v>CH-PEA-A-X1-12-3</x:v>
      </x:c>
      <x:c r="D75" s="7" t="str">
        <x:v>PEA-A-X1</x:v>
      </x:c>
      <x:c r="E75" s="7" t="str">
        <x:v>BLD-A</x:v>
      </x:c>
      <x:c r="F75" s="7" t="str">
        <x:v>BL-X</x:v>
      </x:c>
      <x:c r="G75" s="7" t="str">
        <x:v>MF-12</x:v>
      </x:c>
      <x:c r="H75" s="7" t="str"/>
      <x:c r="I75" s="7" t="str"/>
      <x:c r="J75" s="7" t="str">
        <x:f>IF(OR(H75="",I75=""),"",I75-H75)</x:f>
      </x:c>
      <x:c r="K75" s="7" t="str"/>
      <x:c r="L75" s="7" t="str"/>
      <x:c r="M75" s="7" t="str">
        <x:f>IF(L75="","OPEN",IF(OR(NOT(ISNUMBER(H75)),NOT(ISNUMBER(I75)),NOT(ISNUMBER(K75)),ABS(J75)&gt;K75),"FAIL","PASS"))</x:f>
        <x:v>OPEN</x:v>
      </x:c>
    </x:row>
    <x:row r="76">
      <x:c r="B76" s="7" t="str">
        <x:v>CAL-CH-PEA-A-X1-12-4</x:v>
      </x:c>
      <x:c r="C76" s="7" t="str">
        <x:v>CH-PEA-A-X1-12-4</x:v>
      </x:c>
      <x:c r="D76" s="7" t="str">
        <x:v>PEA-A-X1</x:v>
      </x:c>
      <x:c r="E76" s="7" t="str">
        <x:v>BLD-A</x:v>
      </x:c>
      <x:c r="F76" s="7" t="str">
        <x:v>BL-X</x:v>
      </x:c>
      <x:c r="G76" s="7" t="str">
        <x:v>MF-12</x:v>
      </x:c>
      <x:c r="H76" s="7" t="str"/>
      <x:c r="I76" s="7" t="str"/>
      <x:c r="J76" s="7" t="str">
        <x:f>IF(OR(H76="",I76=""),"",I76-H76)</x:f>
      </x:c>
      <x:c r="K76" s="7" t="str"/>
      <x:c r="L76" s="7" t="str"/>
      <x:c r="M76" s="7" t="str">
        <x:f>IF(L76="","OPEN",IF(OR(NOT(ISNUMBER(H76)),NOT(ISNUMBER(I76)),NOT(ISNUMBER(K76)),ABS(J76)&gt;K76),"FAIL","PASS"))</x:f>
        <x:v>OPEN</x:v>
      </x:c>
    </x:row>
    <x:row r="77">
      <x:c r="B77" s="7" t="str">
        <x:v>CAL-CH-PEA-A-X1-12-5</x:v>
      </x:c>
      <x:c r="C77" s="7" t="str">
        <x:v>CH-PEA-A-X1-12-5</x:v>
      </x:c>
      <x:c r="D77" s="7" t="str">
        <x:v>PEA-A-X1</x:v>
      </x:c>
      <x:c r="E77" s="7" t="str">
        <x:v>BLD-A</x:v>
      </x:c>
      <x:c r="F77" s="7" t="str">
        <x:v>BL-X</x:v>
      </x:c>
      <x:c r="G77" s="7" t="str">
        <x:v>MF-12</x:v>
      </x:c>
      <x:c r="H77" s="7" t="str"/>
      <x:c r="I77" s="7" t="str"/>
      <x:c r="J77" s="7" t="str">
        <x:f>IF(OR(H77="",I77=""),"",I77-H77)</x:f>
      </x:c>
      <x:c r="K77" s="7" t="str"/>
      <x:c r="L77" s="7" t="str"/>
      <x:c r="M77" s="7" t="str">
        <x:f>IF(L77="","OPEN",IF(OR(NOT(ISNUMBER(H77)),NOT(ISNUMBER(I77)),NOT(ISNUMBER(K77)),ABS(J77)&gt;K77),"FAIL","PASS"))</x:f>
        <x:v>OPEN</x:v>
      </x:c>
    </x:row>
    <x:row r="78">
      <x:c r="B78" s="7" t="str">
        <x:v>CAL-CH-PEA-A-X1-12-6</x:v>
      </x:c>
      <x:c r="C78" s="7" t="str">
        <x:v>CH-PEA-A-X1-12-6</x:v>
      </x:c>
      <x:c r="D78" s="7" t="str">
        <x:v>PEA-A-X1</x:v>
      </x:c>
      <x:c r="E78" s="7" t="str">
        <x:v>BLD-A</x:v>
      </x:c>
      <x:c r="F78" s="7" t="str">
        <x:v>BL-X</x:v>
      </x:c>
      <x:c r="G78" s="7" t="str">
        <x:v>MF-12</x:v>
      </x:c>
      <x:c r="H78" s="7" t="str"/>
      <x:c r="I78" s="7" t="str"/>
      <x:c r="J78" s="7" t="str">
        <x:f>IF(OR(H78="",I78=""),"",I78-H78)</x:f>
      </x:c>
      <x:c r="K78" s="7" t="str"/>
      <x:c r="L78" s="7" t="str"/>
      <x:c r="M78" s="7" t="str">
        <x:f>IF(L78="","OPEN",IF(OR(NOT(ISNUMBER(H78)),NOT(ISNUMBER(I78)),NOT(ISNUMBER(K78)),ABS(J78)&gt;K78),"FAIL","PASS"))</x:f>
        <x:v>OPEN</x:v>
      </x:c>
    </x:row>
    <x:row r="79">
      <x:c r="B79" s="7" t="str">
        <x:v>CAL-CH-PEA-A-X1-13-1</x:v>
      </x:c>
      <x:c r="C79" s="7" t="str">
        <x:v>CH-PEA-A-X1-13-1</x:v>
      </x:c>
      <x:c r="D79" s="7" t="str">
        <x:v>PEA-A-X1</x:v>
      </x:c>
      <x:c r="E79" s="7" t="str">
        <x:v>BLD-A</x:v>
      </x:c>
      <x:c r="F79" s="7" t="str">
        <x:v>BL-X</x:v>
      </x:c>
      <x:c r="G79" s="7" t="str">
        <x:v>MF-13</x:v>
      </x:c>
      <x:c r="H79" s="7" t="str"/>
      <x:c r="I79" s="7" t="str"/>
      <x:c r="J79" s="7" t="str">
        <x:f>IF(OR(H79="",I79=""),"",I79-H79)</x:f>
      </x:c>
      <x:c r="K79" s="7" t="str"/>
      <x:c r="L79" s="7" t="str"/>
      <x:c r="M79" s="7" t="str">
        <x:f>IF(L79="","OPEN",IF(OR(NOT(ISNUMBER(H79)),NOT(ISNUMBER(I79)),NOT(ISNUMBER(K79)),ABS(J79)&gt;K79),"FAIL","PASS"))</x:f>
        <x:v>OPEN</x:v>
      </x:c>
    </x:row>
    <x:row r="80">
      <x:c r="B80" s="7" t="str">
        <x:v>CAL-CH-PEA-A-X1-13-2</x:v>
      </x:c>
      <x:c r="C80" s="7" t="str">
        <x:v>CH-PEA-A-X1-13-2</x:v>
      </x:c>
      <x:c r="D80" s="7" t="str">
        <x:v>PEA-A-X1</x:v>
      </x:c>
      <x:c r="E80" s="7" t="str">
        <x:v>BLD-A</x:v>
      </x:c>
      <x:c r="F80" s="7" t="str">
        <x:v>BL-X</x:v>
      </x:c>
      <x:c r="G80" s="7" t="str">
        <x:v>MF-13</x:v>
      </x:c>
      <x:c r="H80" s="7" t="str"/>
      <x:c r="I80" s="7" t="str"/>
      <x:c r="J80" s="7" t="str">
        <x:f>IF(OR(H80="",I80=""),"",I80-H80)</x:f>
      </x:c>
      <x:c r="K80" s="7" t="str"/>
      <x:c r="L80" s="7" t="str"/>
      <x:c r="M80" s="7" t="str">
        <x:f>IF(L80="","OPEN",IF(OR(NOT(ISNUMBER(H80)),NOT(ISNUMBER(I80)),NOT(ISNUMBER(K80)),ABS(J80)&gt;K80),"FAIL","PASS"))</x:f>
        <x:v>OPEN</x:v>
      </x:c>
    </x:row>
    <x:row r="81">
      <x:c r="B81" s="7" t="str">
        <x:v>CAL-CH-PEA-A-X1-13-3</x:v>
      </x:c>
      <x:c r="C81" s="7" t="str">
        <x:v>CH-PEA-A-X1-13-3</x:v>
      </x:c>
      <x:c r="D81" s="7" t="str">
        <x:v>PEA-A-X1</x:v>
      </x:c>
      <x:c r="E81" s="7" t="str">
        <x:v>BLD-A</x:v>
      </x:c>
      <x:c r="F81" s="7" t="str">
        <x:v>BL-X</x:v>
      </x:c>
      <x:c r="G81" s="7" t="str">
        <x:v>MF-13</x:v>
      </x:c>
      <x:c r="H81" s="7" t="str"/>
      <x:c r="I81" s="7" t="str"/>
      <x:c r="J81" s="7" t="str">
        <x:f>IF(OR(H81="",I81=""),"",I81-H81)</x:f>
      </x:c>
      <x:c r="K81" s="7" t="str"/>
      <x:c r="L81" s="7" t="str"/>
      <x:c r="M81" s="7" t="str">
        <x:f>IF(L81="","OPEN",IF(OR(NOT(ISNUMBER(H81)),NOT(ISNUMBER(I81)),NOT(ISNUMBER(K81)),ABS(J81)&gt;K81),"FAIL","PASS"))</x:f>
        <x:v>OPEN</x:v>
      </x:c>
    </x:row>
    <x:row r="82">
      <x:c r="B82" s="7" t="str">
        <x:v>CAL-CH-PEA-A-X1-13-4</x:v>
      </x:c>
      <x:c r="C82" s="7" t="str">
        <x:v>CH-PEA-A-X1-13-4</x:v>
      </x:c>
      <x:c r="D82" s="7" t="str">
        <x:v>PEA-A-X1</x:v>
      </x:c>
      <x:c r="E82" s="7" t="str">
        <x:v>BLD-A</x:v>
      </x:c>
      <x:c r="F82" s="7" t="str">
        <x:v>BL-X</x:v>
      </x:c>
      <x:c r="G82" s="7" t="str">
        <x:v>MF-13</x:v>
      </x:c>
      <x:c r="H82" s="7" t="str"/>
      <x:c r="I82" s="7" t="str"/>
      <x:c r="J82" s="7" t="str">
        <x:f>IF(OR(H82="",I82=""),"",I82-H82)</x:f>
      </x:c>
      <x:c r="K82" s="7" t="str"/>
      <x:c r="L82" s="7" t="str"/>
      <x:c r="M82" s="7" t="str">
        <x:f>IF(L82="","OPEN",IF(OR(NOT(ISNUMBER(H82)),NOT(ISNUMBER(I82)),NOT(ISNUMBER(K82)),ABS(J82)&gt;K82),"FAIL","PASS"))</x:f>
        <x:v>OPEN</x:v>
      </x:c>
    </x:row>
    <x:row r="83">
      <x:c r="B83" s="7" t="str">
        <x:v>CAL-CH-PEA-A-X1-13-5</x:v>
      </x:c>
      <x:c r="C83" s="7" t="str">
        <x:v>CH-PEA-A-X1-13-5</x:v>
      </x:c>
      <x:c r="D83" s="7" t="str">
        <x:v>PEA-A-X1</x:v>
      </x:c>
      <x:c r="E83" s="7" t="str">
        <x:v>BLD-A</x:v>
      </x:c>
      <x:c r="F83" s="7" t="str">
        <x:v>BL-X</x:v>
      </x:c>
      <x:c r="G83" s="7" t="str">
        <x:v>MF-13</x:v>
      </x:c>
      <x:c r="H83" s="7" t="str"/>
      <x:c r="I83" s="7" t="str"/>
      <x:c r="J83" s="7" t="str">
        <x:f>IF(OR(H83="",I83=""),"",I83-H83)</x:f>
      </x:c>
      <x:c r="K83" s="7" t="str"/>
      <x:c r="L83" s="7" t="str"/>
      <x:c r="M83" s="7" t="str">
        <x:f>IF(L83="","OPEN",IF(OR(NOT(ISNUMBER(H83)),NOT(ISNUMBER(I83)),NOT(ISNUMBER(K83)),ABS(J83)&gt;K83),"FAIL","PASS"))</x:f>
        <x:v>OPEN</x:v>
      </x:c>
    </x:row>
    <x:row r="84">
      <x:c r="B84" s="7" t="str">
        <x:v>CAL-CH-PEA-A-X1-13-6</x:v>
      </x:c>
      <x:c r="C84" s="7" t="str">
        <x:v>CH-PEA-A-X1-13-6</x:v>
      </x:c>
      <x:c r="D84" s="7" t="str">
        <x:v>PEA-A-X1</x:v>
      </x:c>
      <x:c r="E84" s="7" t="str">
        <x:v>BLD-A</x:v>
      </x:c>
      <x:c r="F84" s="7" t="str">
        <x:v>BL-X</x:v>
      </x:c>
      <x:c r="G84" s="7" t="str">
        <x:v>MF-13</x:v>
      </x:c>
      <x:c r="H84" s="7" t="str"/>
      <x:c r="I84" s="7" t="str"/>
      <x:c r="J84" s="7" t="str">
        <x:f>IF(OR(H84="",I84=""),"",I84-H84)</x:f>
      </x:c>
      <x:c r="K84" s="7" t="str"/>
      <x:c r="L84" s="7" t="str"/>
      <x:c r="M84" s="7" t="str">
        <x:f>IF(L84="","OPEN",IF(OR(NOT(ISNUMBER(H84)),NOT(ISNUMBER(I84)),NOT(ISNUMBER(K84)),ABS(J84)&gt;K84),"FAIL","PASS"))</x:f>
        <x:v>OPEN</x:v>
      </x:c>
    </x:row>
    <x:row r="85">
      <x:c r="B85" s="7" t="str">
        <x:v>CAL-CH-PEA-A-X1-14-1</x:v>
      </x:c>
      <x:c r="C85" s="7" t="str">
        <x:v>CH-PEA-A-X1-14-1</x:v>
      </x:c>
      <x:c r="D85" s="7" t="str">
        <x:v>PEA-A-X1</x:v>
      </x:c>
      <x:c r="E85" s="7" t="str">
        <x:v>BLD-A</x:v>
      </x:c>
      <x:c r="F85" s="7" t="str">
        <x:v>BL-X</x:v>
      </x:c>
      <x:c r="G85" s="7" t="str">
        <x:v>MF-14</x:v>
      </x:c>
      <x:c r="H85" s="7" t="str"/>
      <x:c r="I85" s="7" t="str"/>
      <x:c r="J85" s="7" t="str">
        <x:f>IF(OR(H85="",I85=""),"",I85-H85)</x:f>
      </x:c>
      <x:c r="K85" s="7" t="str"/>
      <x:c r="L85" s="7" t="str"/>
      <x:c r="M85" s="7" t="str">
        <x:f>IF(L85="","OPEN",IF(OR(NOT(ISNUMBER(H85)),NOT(ISNUMBER(I85)),NOT(ISNUMBER(K85)),ABS(J85)&gt;K85),"FAIL","PASS"))</x:f>
        <x:v>OPEN</x:v>
      </x:c>
    </x:row>
    <x:row r="86">
      <x:c r="B86" s="7" t="str">
        <x:v>CAL-CH-PEA-A-X1-14-2</x:v>
      </x:c>
      <x:c r="C86" s="7" t="str">
        <x:v>CH-PEA-A-X1-14-2</x:v>
      </x:c>
      <x:c r="D86" s="7" t="str">
        <x:v>PEA-A-X1</x:v>
      </x:c>
      <x:c r="E86" s="7" t="str">
        <x:v>BLD-A</x:v>
      </x:c>
      <x:c r="F86" s="7" t="str">
        <x:v>BL-X</x:v>
      </x:c>
      <x:c r="G86" s="7" t="str">
        <x:v>MF-14</x:v>
      </x:c>
      <x:c r="H86" s="7" t="str"/>
      <x:c r="I86" s="7" t="str"/>
      <x:c r="J86" s="7" t="str">
        <x:f>IF(OR(H86="",I86=""),"",I86-H86)</x:f>
      </x:c>
      <x:c r="K86" s="7" t="str"/>
      <x:c r="L86" s="7" t="str"/>
      <x:c r="M86" s="7" t="str">
        <x:f>IF(L86="","OPEN",IF(OR(NOT(ISNUMBER(H86)),NOT(ISNUMBER(I86)),NOT(ISNUMBER(K86)),ABS(J86)&gt;K86),"FAIL","PASS"))</x:f>
        <x:v>OPEN</x:v>
      </x:c>
    </x:row>
    <x:row r="87">
      <x:c r="B87" s="7" t="str">
        <x:v>CAL-CH-PEA-A-X1-14-3</x:v>
      </x:c>
      <x:c r="C87" s="7" t="str">
        <x:v>CH-PEA-A-X1-14-3</x:v>
      </x:c>
      <x:c r="D87" s="7" t="str">
        <x:v>PEA-A-X1</x:v>
      </x:c>
      <x:c r="E87" s="7" t="str">
        <x:v>BLD-A</x:v>
      </x:c>
      <x:c r="F87" s="7" t="str">
        <x:v>BL-X</x:v>
      </x:c>
      <x:c r="G87" s="7" t="str">
        <x:v>MF-14</x:v>
      </x:c>
      <x:c r="H87" s="7" t="str"/>
      <x:c r="I87" s="7" t="str"/>
      <x:c r="J87" s="7" t="str">
        <x:f>IF(OR(H87="",I87=""),"",I87-H87)</x:f>
      </x:c>
      <x:c r="K87" s="7" t="str"/>
      <x:c r="L87" s="7" t="str"/>
      <x:c r="M87" s="7" t="str">
        <x:f>IF(L87="","OPEN",IF(OR(NOT(ISNUMBER(H87)),NOT(ISNUMBER(I87)),NOT(ISNUMBER(K87)),ABS(J87)&gt;K87),"FAIL","PASS"))</x:f>
        <x:v>OPEN</x:v>
      </x:c>
    </x:row>
    <x:row r="88">
      <x:c r="B88" s="7" t="str">
        <x:v>CAL-CH-PEA-A-X1-14-4</x:v>
      </x:c>
      <x:c r="C88" s="7" t="str">
        <x:v>CH-PEA-A-X1-14-4</x:v>
      </x:c>
      <x:c r="D88" s="7" t="str">
        <x:v>PEA-A-X1</x:v>
      </x:c>
      <x:c r="E88" s="7" t="str">
        <x:v>BLD-A</x:v>
      </x:c>
      <x:c r="F88" s="7" t="str">
        <x:v>BL-X</x:v>
      </x:c>
      <x:c r="G88" s="7" t="str">
        <x:v>MF-14</x:v>
      </x:c>
      <x:c r="H88" s="7" t="str"/>
      <x:c r="I88" s="7" t="str"/>
      <x:c r="J88" s="7" t="str">
        <x:f>IF(OR(H88="",I88=""),"",I88-H88)</x:f>
      </x:c>
      <x:c r="K88" s="7" t="str"/>
      <x:c r="L88" s="7" t="str"/>
      <x:c r="M88" s="7" t="str">
        <x:f>IF(L88="","OPEN",IF(OR(NOT(ISNUMBER(H88)),NOT(ISNUMBER(I88)),NOT(ISNUMBER(K88)),ABS(J88)&gt;K88),"FAIL","PASS"))</x:f>
        <x:v>OPEN</x:v>
      </x:c>
    </x:row>
    <x:row r="89">
      <x:c r="B89" s="7" t="str">
        <x:v>CAL-CH-PEA-A-X1-14-5</x:v>
      </x:c>
      <x:c r="C89" s="7" t="str">
        <x:v>CH-PEA-A-X1-14-5</x:v>
      </x:c>
      <x:c r="D89" s="7" t="str">
        <x:v>PEA-A-X1</x:v>
      </x:c>
      <x:c r="E89" s="7" t="str">
        <x:v>BLD-A</x:v>
      </x:c>
      <x:c r="F89" s="7" t="str">
        <x:v>BL-X</x:v>
      </x:c>
      <x:c r="G89" s="7" t="str">
        <x:v>MF-14</x:v>
      </x:c>
      <x:c r="H89" s="7" t="str"/>
      <x:c r="I89" s="7" t="str"/>
      <x:c r="J89" s="7" t="str">
        <x:f>IF(OR(H89="",I89=""),"",I89-H89)</x:f>
      </x:c>
      <x:c r="K89" s="7" t="str"/>
      <x:c r="L89" s="7" t="str"/>
      <x:c r="M89" s="7" t="str">
        <x:f>IF(L89="","OPEN",IF(OR(NOT(ISNUMBER(H89)),NOT(ISNUMBER(I89)),NOT(ISNUMBER(K89)),ABS(J89)&gt;K89),"FAIL","PASS"))</x:f>
        <x:v>OPEN</x:v>
      </x:c>
    </x:row>
    <x:row r="90">
      <x:c r="B90" s="7" t="str">
        <x:v>CAL-CH-PEA-A-X1-14-6</x:v>
      </x:c>
      <x:c r="C90" s="7" t="str">
        <x:v>CH-PEA-A-X1-14-6</x:v>
      </x:c>
      <x:c r="D90" s="7" t="str">
        <x:v>PEA-A-X1</x:v>
      </x:c>
      <x:c r="E90" s="7" t="str">
        <x:v>BLD-A</x:v>
      </x:c>
      <x:c r="F90" s="7" t="str">
        <x:v>BL-X</x:v>
      </x:c>
      <x:c r="G90" s="7" t="str">
        <x:v>MF-14</x:v>
      </x:c>
      <x:c r="H90" s="7" t="str"/>
      <x:c r="I90" s="7" t="str"/>
      <x:c r="J90" s="7" t="str">
        <x:f>IF(OR(H90="",I90=""),"",I90-H90)</x:f>
      </x:c>
      <x:c r="K90" s="7" t="str"/>
      <x:c r="L90" s="7" t="str"/>
      <x:c r="M90" s="7" t="str">
        <x:f>IF(L90="","OPEN",IF(OR(NOT(ISNUMBER(H90)),NOT(ISNUMBER(I90)),NOT(ISNUMBER(K90)),ABS(J90)&gt;K90),"FAIL","PASS"))</x:f>
        <x:v>OPEN</x:v>
      </x:c>
    </x:row>
    <x:row r="91">
      <x:c r="B91" s="7" t="str">
        <x:v>CAL-CH-PEA-A-X1-15-1</x:v>
      </x:c>
      <x:c r="C91" s="7" t="str">
        <x:v>CH-PEA-A-X1-15-1</x:v>
      </x:c>
      <x:c r="D91" s="7" t="str">
        <x:v>PEA-A-X1</x:v>
      </x:c>
      <x:c r="E91" s="7" t="str">
        <x:v>BLD-A</x:v>
      </x:c>
      <x:c r="F91" s="7" t="str">
        <x:v>BL-X</x:v>
      </x:c>
      <x:c r="G91" s="7" t="str">
        <x:v>MF-15</x:v>
      </x:c>
      <x:c r="H91" s="7" t="str"/>
      <x:c r="I91" s="7" t="str"/>
      <x:c r="J91" s="7" t="str">
        <x:f>IF(OR(H91="",I91=""),"",I91-H91)</x:f>
      </x:c>
      <x:c r="K91" s="7" t="str"/>
      <x:c r="L91" s="7" t="str"/>
      <x:c r="M91" s="7" t="str">
        <x:f>IF(L91="","OPEN",IF(OR(NOT(ISNUMBER(H91)),NOT(ISNUMBER(I91)),NOT(ISNUMBER(K91)),ABS(J91)&gt;K91),"FAIL","PASS"))</x:f>
        <x:v>OPEN</x:v>
      </x:c>
    </x:row>
    <x:row r="92">
      <x:c r="B92" s="7" t="str">
        <x:v>CAL-CH-PEA-A-X1-15-2</x:v>
      </x:c>
      <x:c r="C92" s="7" t="str">
        <x:v>CH-PEA-A-X1-15-2</x:v>
      </x:c>
      <x:c r="D92" s="7" t="str">
        <x:v>PEA-A-X1</x:v>
      </x:c>
      <x:c r="E92" s="7" t="str">
        <x:v>BLD-A</x:v>
      </x:c>
      <x:c r="F92" s="7" t="str">
        <x:v>BL-X</x:v>
      </x:c>
      <x:c r="G92" s="7" t="str">
        <x:v>MF-15</x:v>
      </x:c>
      <x:c r="H92" s="7" t="str"/>
      <x:c r="I92" s="7" t="str"/>
      <x:c r="J92" s="7" t="str">
        <x:f>IF(OR(H92="",I92=""),"",I92-H92)</x:f>
      </x:c>
      <x:c r="K92" s="7" t="str"/>
      <x:c r="L92" s="7" t="str"/>
      <x:c r="M92" s="7" t="str">
        <x:f>IF(L92="","OPEN",IF(OR(NOT(ISNUMBER(H92)),NOT(ISNUMBER(I92)),NOT(ISNUMBER(K92)),ABS(J92)&gt;K92),"FAIL","PASS"))</x:f>
        <x:v>OPEN</x:v>
      </x:c>
    </x:row>
    <x:row r="93">
      <x:c r="B93" s="7" t="str">
        <x:v>CAL-CH-PEA-A-X1-15-3</x:v>
      </x:c>
      <x:c r="C93" s="7" t="str">
        <x:v>CH-PEA-A-X1-15-3</x:v>
      </x:c>
      <x:c r="D93" s="7" t="str">
        <x:v>PEA-A-X1</x:v>
      </x:c>
      <x:c r="E93" s="7" t="str">
        <x:v>BLD-A</x:v>
      </x:c>
      <x:c r="F93" s="7" t="str">
        <x:v>BL-X</x:v>
      </x:c>
      <x:c r="G93" s="7" t="str">
        <x:v>MF-15</x:v>
      </x:c>
      <x:c r="H93" s="7" t="str"/>
      <x:c r="I93" s="7" t="str"/>
      <x:c r="J93" s="7" t="str">
        <x:f>IF(OR(H93="",I93=""),"",I93-H93)</x:f>
      </x:c>
      <x:c r="K93" s="7" t="str"/>
      <x:c r="L93" s="7" t="str"/>
      <x:c r="M93" s="7" t="str">
        <x:f>IF(L93="","OPEN",IF(OR(NOT(ISNUMBER(H93)),NOT(ISNUMBER(I93)),NOT(ISNUMBER(K93)),ABS(J93)&gt;K93),"FAIL","PASS"))</x:f>
        <x:v>OPEN</x:v>
      </x:c>
    </x:row>
    <x:row r="94">
      <x:c r="B94" s="7" t="str">
        <x:v>CAL-CH-PEA-A-X1-15-4</x:v>
      </x:c>
      <x:c r="C94" s="7" t="str">
        <x:v>CH-PEA-A-X1-15-4</x:v>
      </x:c>
      <x:c r="D94" s="7" t="str">
        <x:v>PEA-A-X1</x:v>
      </x:c>
      <x:c r="E94" s="7" t="str">
        <x:v>BLD-A</x:v>
      </x:c>
      <x:c r="F94" s="7" t="str">
        <x:v>BL-X</x:v>
      </x:c>
      <x:c r="G94" s="7" t="str">
        <x:v>MF-15</x:v>
      </x:c>
      <x:c r="H94" s="7" t="str"/>
      <x:c r="I94" s="7" t="str"/>
      <x:c r="J94" s="7" t="str">
        <x:f>IF(OR(H94="",I94=""),"",I94-H94)</x:f>
      </x:c>
      <x:c r="K94" s="7" t="str"/>
      <x:c r="L94" s="7" t="str"/>
      <x:c r="M94" s="7" t="str">
        <x:f>IF(L94="","OPEN",IF(OR(NOT(ISNUMBER(H94)),NOT(ISNUMBER(I94)),NOT(ISNUMBER(K94)),ABS(J94)&gt;K94),"FAIL","PASS"))</x:f>
        <x:v>OPEN</x:v>
      </x:c>
    </x:row>
    <x:row r="95">
      <x:c r="B95" s="7" t="str">
        <x:v>CAL-CH-PEA-A-X1-15-5</x:v>
      </x:c>
      <x:c r="C95" s="7" t="str">
        <x:v>CH-PEA-A-X1-15-5</x:v>
      </x:c>
      <x:c r="D95" s="7" t="str">
        <x:v>PEA-A-X1</x:v>
      </x:c>
      <x:c r="E95" s="7" t="str">
        <x:v>BLD-A</x:v>
      </x:c>
      <x:c r="F95" s="7" t="str">
        <x:v>BL-X</x:v>
      </x:c>
      <x:c r="G95" s="7" t="str">
        <x:v>MF-15</x:v>
      </x:c>
      <x:c r="H95" s="7" t="str"/>
      <x:c r="I95" s="7" t="str"/>
      <x:c r="J95" s="7" t="str">
        <x:f>IF(OR(H95="",I95=""),"",I95-H95)</x:f>
      </x:c>
      <x:c r="K95" s="7" t="str"/>
      <x:c r="L95" s="7" t="str"/>
      <x:c r="M95" s="7" t="str">
        <x:f>IF(L95="","OPEN",IF(OR(NOT(ISNUMBER(H95)),NOT(ISNUMBER(I95)),NOT(ISNUMBER(K95)),ABS(J95)&gt;K95),"FAIL","PASS"))</x:f>
        <x:v>OPEN</x:v>
      </x:c>
    </x:row>
    <x:row r="96">
      <x:c r="B96" s="7" t="str">
        <x:v>CAL-CH-PEA-A-X1-15-6</x:v>
      </x:c>
      <x:c r="C96" s="7" t="str">
        <x:v>CH-PEA-A-X1-15-6</x:v>
      </x:c>
      <x:c r="D96" s="7" t="str">
        <x:v>PEA-A-X1</x:v>
      </x:c>
      <x:c r="E96" s="7" t="str">
        <x:v>BLD-A</x:v>
      </x:c>
      <x:c r="F96" s="7" t="str">
        <x:v>BL-X</x:v>
      </x:c>
      <x:c r="G96" s="7" t="str">
        <x:v>MF-15</x:v>
      </x:c>
      <x:c r="H96" s="7" t="str"/>
      <x:c r="I96" s="7" t="str"/>
      <x:c r="J96" s="7" t="str">
        <x:f>IF(OR(H96="",I96=""),"",I96-H96)</x:f>
      </x:c>
      <x:c r="K96" s="7" t="str"/>
      <x:c r="L96" s="7" t="str"/>
      <x:c r="M96" s="7" t="str">
        <x:f>IF(L96="","OPEN",IF(OR(NOT(ISNUMBER(H96)),NOT(ISNUMBER(I96)),NOT(ISNUMBER(K96)),ABS(J96)&gt;K96),"FAIL","PASS"))</x:f>
        <x:v>OPEN</x:v>
      </x:c>
    </x:row>
    <x:row r="97">
      <x:c r="B97" s="7" t="str">
        <x:v>CAL-CH-PEA-A-X1-16-1</x:v>
      </x:c>
      <x:c r="C97" s="7" t="str">
        <x:v>CH-PEA-A-X1-16-1</x:v>
      </x:c>
      <x:c r="D97" s="7" t="str">
        <x:v>PEA-A-X1</x:v>
      </x:c>
      <x:c r="E97" s="7" t="str">
        <x:v>BLD-A</x:v>
      </x:c>
      <x:c r="F97" s="7" t="str">
        <x:v>BL-X</x:v>
      </x:c>
      <x:c r="G97" s="7" t="str">
        <x:v>MF-16</x:v>
      </x:c>
      <x:c r="H97" s="7" t="str"/>
      <x:c r="I97" s="7" t="str"/>
      <x:c r="J97" s="7" t="str">
        <x:f>IF(OR(H97="",I97=""),"",I97-H97)</x:f>
      </x:c>
      <x:c r="K97" s="7" t="str"/>
      <x:c r="L97" s="7" t="str"/>
      <x:c r="M97" s="7" t="str">
        <x:f>IF(L97="","OPEN",IF(OR(NOT(ISNUMBER(H97)),NOT(ISNUMBER(I97)),NOT(ISNUMBER(K97)),ABS(J97)&gt;K97),"FAIL","PASS"))</x:f>
        <x:v>OPEN</x:v>
      </x:c>
    </x:row>
    <x:row r="98">
      <x:c r="B98" s="7" t="str">
        <x:v>CAL-CH-PEA-A-X1-16-2</x:v>
      </x:c>
      <x:c r="C98" s="7" t="str">
        <x:v>CH-PEA-A-X1-16-2</x:v>
      </x:c>
      <x:c r="D98" s="7" t="str">
        <x:v>PEA-A-X1</x:v>
      </x:c>
      <x:c r="E98" s="7" t="str">
        <x:v>BLD-A</x:v>
      </x:c>
      <x:c r="F98" s="7" t="str">
        <x:v>BL-X</x:v>
      </x:c>
      <x:c r="G98" s="7" t="str">
        <x:v>MF-16</x:v>
      </x:c>
      <x:c r="H98" s="7" t="str"/>
      <x:c r="I98" s="7" t="str"/>
      <x:c r="J98" s="7" t="str">
        <x:f>IF(OR(H98="",I98=""),"",I98-H98)</x:f>
      </x:c>
      <x:c r="K98" s="7" t="str"/>
      <x:c r="L98" s="7" t="str"/>
      <x:c r="M98" s="7" t="str">
        <x:f>IF(L98="","OPEN",IF(OR(NOT(ISNUMBER(H98)),NOT(ISNUMBER(I98)),NOT(ISNUMBER(K98)),ABS(J98)&gt;K98),"FAIL","PASS"))</x:f>
        <x:v>OPEN</x:v>
      </x:c>
    </x:row>
    <x:row r="99">
      <x:c r="B99" s="7" t="str">
        <x:v>CAL-CH-PEA-A-X1-16-3</x:v>
      </x:c>
      <x:c r="C99" s="7" t="str">
        <x:v>CH-PEA-A-X1-16-3</x:v>
      </x:c>
      <x:c r="D99" s="7" t="str">
        <x:v>PEA-A-X1</x:v>
      </x:c>
      <x:c r="E99" s="7" t="str">
        <x:v>BLD-A</x:v>
      </x:c>
      <x:c r="F99" s="7" t="str">
        <x:v>BL-X</x:v>
      </x:c>
      <x:c r="G99" s="7" t="str">
        <x:v>MF-16</x:v>
      </x:c>
      <x:c r="H99" s="7" t="str"/>
      <x:c r="I99" s="7" t="str"/>
      <x:c r="J99" s="7" t="str">
        <x:f>IF(OR(H99="",I99=""),"",I99-H99)</x:f>
      </x:c>
      <x:c r="K99" s="7" t="str"/>
      <x:c r="L99" s="7" t="str"/>
      <x:c r="M99" s="7" t="str">
        <x:f>IF(L99="","OPEN",IF(OR(NOT(ISNUMBER(H99)),NOT(ISNUMBER(I99)),NOT(ISNUMBER(K99)),ABS(J99)&gt;K99),"FAIL","PASS"))</x:f>
        <x:v>OPEN</x:v>
      </x:c>
    </x:row>
    <x:row r="100">
      <x:c r="B100" s="7" t="str">
        <x:v>CAL-CH-PEA-A-X1-16-4</x:v>
      </x:c>
      <x:c r="C100" s="7" t="str">
        <x:v>CH-PEA-A-X1-16-4</x:v>
      </x:c>
      <x:c r="D100" s="7" t="str">
        <x:v>PEA-A-X1</x:v>
      </x:c>
      <x:c r="E100" s="7" t="str">
        <x:v>BLD-A</x:v>
      </x:c>
      <x:c r="F100" s="7" t="str">
        <x:v>BL-X</x:v>
      </x:c>
      <x:c r="G100" s="7" t="str">
        <x:v>MF-16</x:v>
      </x:c>
      <x:c r="H100" s="7" t="str"/>
      <x:c r="I100" s="7" t="str"/>
      <x:c r="J100" s="7" t="str">
        <x:f>IF(OR(H100="",I100=""),"",I100-H100)</x:f>
      </x:c>
      <x:c r="K100" s="7" t="str"/>
      <x:c r="L100" s="7" t="str"/>
      <x:c r="M100" s="7" t="str">
        <x:f>IF(L100="","OPEN",IF(OR(NOT(ISNUMBER(H100)),NOT(ISNUMBER(I100)),NOT(ISNUMBER(K100)),ABS(J100)&gt;K100),"FAIL","PASS"))</x:f>
        <x:v>OPEN</x:v>
      </x:c>
    </x:row>
    <x:row r="101">
      <x:c r="B101" s="7" t="str">
        <x:v>CAL-CH-PEA-A-X1-16-5</x:v>
      </x:c>
      <x:c r="C101" s="7" t="str">
        <x:v>CH-PEA-A-X1-16-5</x:v>
      </x:c>
      <x:c r="D101" s="7" t="str">
        <x:v>PEA-A-X1</x:v>
      </x:c>
      <x:c r="E101" s="7" t="str">
        <x:v>BLD-A</x:v>
      </x:c>
      <x:c r="F101" s="7" t="str">
        <x:v>BL-X</x:v>
      </x:c>
      <x:c r="G101" s="7" t="str">
        <x:v>MF-16</x:v>
      </x:c>
      <x:c r="H101" s="7" t="str"/>
      <x:c r="I101" s="7" t="str"/>
      <x:c r="J101" s="7" t="str">
        <x:f>IF(OR(H101="",I101=""),"",I101-H101)</x:f>
      </x:c>
      <x:c r="K101" s="7" t="str"/>
      <x:c r="L101" s="7" t="str"/>
      <x:c r="M101" s="7" t="str">
        <x:f>IF(L101="","OPEN",IF(OR(NOT(ISNUMBER(H101)),NOT(ISNUMBER(I101)),NOT(ISNUMBER(K101)),ABS(J101)&gt;K101),"FAIL","PASS"))</x:f>
        <x:v>OPEN</x:v>
      </x:c>
    </x:row>
    <x:row r="102">
      <x:c r="B102" s="7" t="str">
        <x:v>CAL-CH-PEA-A-X1-16-6</x:v>
      </x:c>
      <x:c r="C102" s="7" t="str">
        <x:v>CH-PEA-A-X1-16-6</x:v>
      </x:c>
      <x:c r="D102" s="7" t="str">
        <x:v>PEA-A-X1</x:v>
      </x:c>
      <x:c r="E102" s="7" t="str">
        <x:v>BLD-A</x:v>
      </x:c>
      <x:c r="F102" s="7" t="str">
        <x:v>BL-X</x:v>
      </x:c>
      <x:c r="G102" s="7" t="str">
        <x:v>MF-16</x:v>
      </x:c>
      <x:c r="H102" s="7" t="str"/>
      <x:c r="I102" s="7" t="str"/>
      <x:c r="J102" s="7" t="str">
        <x:f>IF(OR(H102="",I102=""),"",I102-H102)</x:f>
      </x:c>
      <x:c r="K102" s="7" t="str"/>
      <x:c r="L102" s="7" t="str"/>
      <x:c r="M102" s="7" t="str">
        <x:f>IF(L102="","OPEN",IF(OR(NOT(ISNUMBER(H102)),NOT(ISNUMBER(I102)),NOT(ISNUMBER(K102)),ABS(J102)&gt;K102),"FAIL","PASS"))</x:f>
        <x:v>OPEN</x:v>
      </x:c>
    </x:row>
    <x:row r="103">
      <x:c r="B103" s="7" t="str">
        <x:v>CAL-CH-PEA-A-X1-17-1</x:v>
      </x:c>
      <x:c r="C103" s="7" t="str">
        <x:v>CH-PEA-A-X1-17-1</x:v>
      </x:c>
      <x:c r="D103" s="7" t="str">
        <x:v>PEA-A-X1</x:v>
      </x:c>
      <x:c r="E103" s="7" t="str">
        <x:v>BLD-A</x:v>
      </x:c>
      <x:c r="F103" s="7" t="str">
        <x:v>BL-X</x:v>
      </x:c>
      <x:c r="G103" s="7" t="str">
        <x:v>MF-17</x:v>
      </x:c>
      <x:c r="H103" s="7" t="str"/>
      <x:c r="I103" s="7" t="str"/>
      <x:c r="J103" s="7" t="str">
        <x:f>IF(OR(H103="",I103=""),"",I103-H103)</x:f>
      </x:c>
      <x:c r="K103" s="7" t="str"/>
      <x:c r="L103" s="7" t="str"/>
      <x:c r="M103" s="7" t="str">
        <x:f>IF(L103="","OPEN",IF(OR(NOT(ISNUMBER(H103)),NOT(ISNUMBER(I103)),NOT(ISNUMBER(K103)),ABS(J103)&gt;K103),"FAIL","PASS"))</x:f>
        <x:v>OPEN</x:v>
      </x:c>
    </x:row>
    <x:row r="104">
      <x:c r="B104" s="7" t="str">
        <x:v>CAL-CH-PEA-A-X1-17-2</x:v>
      </x:c>
      <x:c r="C104" s="7" t="str">
        <x:v>CH-PEA-A-X1-17-2</x:v>
      </x:c>
      <x:c r="D104" s="7" t="str">
        <x:v>PEA-A-X1</x:v>
      </x:c>
      <x:c r="E104" s="7" t="str">
        <x:v>BLD-A</x:v>
      </x:c>
      <x:c r="F104" s="7" t="str">
        <x:v>BL-X</x:v>
      </x:c>
      <x:c r="G104" s="7" t="str">
        <x:v>MF-17</x:v>
      </x:c>
      <x:c r="H104" s="7" t="str"/>
      <x:c r="I104" s="7" t="str"/>
      <x:c r="J104" s="7" t="str">
        <x:f>IF(OR(H104="",I104=""),"",I104-H104)</x:f>
      </x:c>
      <x:c r="K104" s="7" t="str"/>
      <x:c r="L104" s="7" t="str"/>
      <x:c r="M104" s="7" t="str">
        <x:f>IF(L104="","OPEN",IF(OR(NOT(ISNUMBER(H104)),NOT(ISNUMBER(I104)),NOT(ISNUMBER(K104)),ABS(J104)&gt;K104),"FAIL","PASS"))</x:f>
        <x:v>OPEN</x:v>
      </x:c>
    </x:row>
    <x:row r="105">
      <x:c r="B105" s="7" t="str">
        <x:v>CAL-CH-PEA-A-X1-17-3</x:v>
      </x:c>
      <x:c r="C105" s="7" t="str">
        <x:v>CH-PEA-A-X1-17-3</x:v>
      </x:c>
      <x:c r="D105" s="7" t="str">
        <x:v>PEA-A-X1</x:v>
      </x:c>
      <x:c r="E105" s="7" t="str">
        <x:v>BLD-A</x:v>
      </x:c>
      <x:c r="F105" s="7" t="str">
        <x:v>BL-X</x:v>
      </x:c>
      <x:c r="G105" s="7" t="str">
        <x:v>MF-17</x:v>
      </x:c>
      <x:c r="H105" s="7" t="str"/>
      <x:c r="I105" s="7" t="str"/>
      <x:c r="J105" s="7" t="str">
        <x:f>IF(OR(H105="",I105=""),"",I105-H105)</x:f>
      </x:c>
      <x:c r="K105" s="7" t="str"/>
      <x:c r="L105" s="7" t="str"/>
      <x:c r="M105" s="7" t="str">
        <x:f>IF(L105="","OPEN",IF(OR(NOT(ISNUMBER(H105)),NOT(ISNUMBER(I105)),NOT(ISNUMBER(K105)),ABS(J105)&gt;K105),"FAIL","PASS"))</x:f>
        <x:v>OPEN</x:v>
      </x:c>
    </x:row>
    <x:row r="106">
      <x:c r="B106" s="7" t="str">
        <x:v>CAL-CH-PEA-A-X1-17-4</x:v>
      </x:c>
      <x:c r="C106" s="7" t="str">
        <x:v>CH-PEA-A-X1-17-4</x:v>
      </x:c>
      <x:c r="D106" s="7" t="str">
        <x:v>PEA-A-X1</x:v>
      </x:c>
      <x:c r="E106" s="7" t="str">
        <x:v>BLD-A</x:v>
      </x:c>
      <x:c r="F106" s="7" t="str">
        <x:v>BL-X</x:v>
      </x:c>
      <x:c r="G106" s="7" t="str">
        <x:v>MF-17</x:v>
      </x:c>
      <x:c r="H106" s="7" t="str"/>
      <x:c r="I106" s="7" t="str"/>
      <x:c r="J106" s="7" t="str">
        <x:f>IF(OR(H106="",I106=""),"",I106-H106)</x:f>
      </x:c>
      <x:c r="K106" s="7" t="str"/>
      <x:c r="L106" s="7" t="str"/>
      <x:c r="M106" s="7" t="str">
        <x:f>IF(L106="","OPEN",IF(OR(NOT(ISNUMBER(H106)),NOT(ISNUMBER(I106)),NOT(ISNUMBER(K106)),ABS(J106)&gt;K106),"FAIL","PASS"))</x:f>
        <x:v>OPEN</x:v>
      </x:c>
    </x:row>
    <x:row r="107">
      <x:c r="B107" s="7" t="str">
        <x:v>CAL-CH-PEA-A-X1-17-5</x:v>
      </x:c>
      <x:c r="C107" s="7" t="str">
        <x:v>CH-PEA-A-X1-17-5</x:v>
      </x:c>
      <x:c r="D107" s="7" t="str">
        <x:v>PEA-A-X1</x:v>
      </x:c>
      <x:c r="E107" s="7" t="str">
        <x:v>BLD-A</x:v>
      </x:c>
      <x:c r="F107" s="7" t="str">
        <x:v>BL-X</x:v>
      </x:c>
      <x:c r="G107" s="7" t="str">
        <x:v>MF-17</x:v>
      </x:c>
      <x:c r="H107" s="7" t="str"/>
      <x:c r="I107" s="7" t="str"/>
      <x:c r="J107" s="7" t="str">
        <x:f>IF(OR(H107="",I107=""),"",I107-H107)</x:f>
      </x:c>
      <x:c r="K107" s="7" t="str"/>
      <x:c r="L107" s="7" t="str"/>
      <x:c r="M107" s="7" t="str">
        <x:f>IF(L107="","OPEN",IF(OR(NOT(ISNUMBER(H107)),NOT(ISNUMBER(I107)),NOT(ISNUMBER(K107)),ABS(J107)&gt;K107),"FAIL","PASS"))</x:f>
        <x:v>OPEN</x:v>
      </x:c>
    </x:row>
    <x:row r="108">
      <x:c r="B108" s="7" t="str">
        <x:v>CAL-CH-PEA-A-X1-17-6</x:v>
      </x:c>
      <x:c r="C108" s="7" t="str">
        <x:v>CH-PEA-A-X1-17-6</x:v>
      </x:c>
      <x:c r="D108" s="7" t="str">
        <x:v>PEA-A-X1</x:v>
      </x:c>
      <x:c r="E108" s="7" t="str">
        <x:v>BLD-A</x:v>
      </x:c>
      <x:c r="F108" s="7" t="str">
        <x:v>BL-X</x:v>
      </x:c>
      <x:c r="G108" s="7" t="str">
        <x:v>MF-17</x:v>
      </x:c>
      <x:c r="H108" s="7" t="str"/>
      <x:c r="I108" s="7" t="str"/>
      <x:c r="J108" s="7" t="str">
        <x:f>IF(OR(H108="",I108=""),"",I108-H108)</x:f>
      </x:c>
      <x:c r="K108" s="7" t="str"/>
      <x:c r="L108" s="7" t="str"/>
      <x:c r="M108" s="7" t="str">
        <x:f>IF(L108="","OPEN",IF(OR(NOT(ISNUMBER(H108)),NOT(ISNUMBER(I108)),NOT(ISNUMBER(K108)),ABS(J108)&gt;K108),"FAIL","PASS"))</x:f>
        <x:v>OPEN</x:v>
      </x:c>
    </x:row>
    <x:row r="109">
      <x:c r="B109" s="7" t="str">
        <x:v>CAL-CH-PEA-A-X1-18-1</x:v>
      </x:c>
      <x:c r="C109" s="7" t="str">
        <x:v>CH-PEA-A-X1-18-1</x:v>
      </x:c>
      <x:c r="D109" s="7" t="str">
        <x:v>PEA-A-X1</x:v>
      </x:c>
      <x:c r="E109" s="7" t="str">
        <x:v>BLD-A</x:v>
      </x:c>
      <x:c r="F109" s="7" t="str">
        <x:v>BL-X</x:v>
      </x:c>
      <x:c r="G109" s="7" t="str">
        <x:v>MF-18</x:v>
      </x:c>
      <x:c r="H109" s="7" t="str"/>
      <x:c r="I109" s="7" t="str"/>
      <x:c r="J109" s="7" t="str">
        <x:f>IF(OR(H109="",I109=""),"",I109-H109)</x:f>
      </x:c>
      <x:c r="K109" s="7" t="str"/>
      <x:c r="L109" s="7" t="str"/>
      <x:c r="M109" s="7" t="str">
        <x:f>IF(L109="","OPEN",IF(OR(NOT(ISNUMBER(H109)),NOT(ISNUMBER(I109)),NOT(ISNUMBER(K109)),ABS(J109)&gt;K109),"FAIL","PASS"))</x:f>
        <x:v>OPEN</x:v>
      </x:c>
    </x:row>
    <x:row r="110">
      <x:c r="B110" s="7" t="str">
        <x:v>CAL-CH-PEA-A-X1-18-2</x:v>
      </x:c>
      <x:c r="C110" s="7" t="str">
        <x:v>CH-PEA-A-X1-18-2</x:v>
      </x:c>
      <x:c r="D110" s="7" t="str">
        <x:v>PEA-A-X1</x:v>
      </x:c>
      <x:c r="E110" s="7" t="str">
        <x:v>BLD-A</x:v>
      </x:c>
      <x:c r="F110" s="7" t="str">
        <x:v>BL-X</x:v>
      </x:c>
      <x:c r="G110" s="7" t="str">
        <x:v>MF-18</x:v>
      </x:c>
      <x:c r="H110" s="7" t="str"/>
      <x:c r="I110" s="7" t="str"/>
      <x:c r="J110" s="7" t="str">
        <x:f>IF(OR(H110="",I110=""),"",I110-H110)</x:f>
      </x:c>
      <x:c r="K110" s="7" t="str"/>
      <x:c r="L110" s="7" t="str"/>
      <x:c r="M110" s="7" t="str">
        <x:f>IF(L110="","OPEN",IF(OR(NOT(ISNUMBER(H110)),NOT(ISNUMBER(I110)),NOT(ISNUMBER(K110)),ABS(J110)&gt;K110),"FAIL","PASS"))</x:f>
        <x:v>OPEN</x:v>
      </x:c>
    </x:row>
    <x:row r="111">
      <x:c r="B111" s="7" t="str">
        <x:v>CAL-CH-PEA-A-X1-18-3</x:v>
      </x:c>
      <x:c r="C111" s="7" t="str">
        <x:v>CH-PEA-A-X1-18-3</x:v>
      </x:c>
      <x:c r="D111" s="7" t="str">
        <x:v>PEA-A-X1</x:v>
      </x:c>
      <x:c r="E111" s="7" t="str">
        <x:v>BLD-A</x:v>
      </x:c>
      <x:c r="F111" s="7" t="str">
        <x:v>BL-X</x:v>
      </x:c>
      <x:c r="G111" s="7" t="str">
        <x:v>MF-18</x:v>
      </x:c>
      <x:c r="H111" s="7" t="str"/>
      <x:c r="I111" s="7" t="str"/>
      <x:c r="J111" s="7" t="str">
        <x:f>IF(OR(H111="",I111=""),"",I111-H111)</x:f>
      </x:c>
      <x:c r="K111" s="7" t="str"/>
      <x:c r="L111" s="7" t="str"/>
      <x:c r="M111" s="7" t="str">
        <x:f>IF(L111="","OPEN",IF(OR(NOT(ISNUMBER(H111)),NOT(ISNUMBER(I111)),NOT(ISNUMBER(K111)),ABS(J111)&gt;K111),"FAIL","PASS"))</x:f>
        <x:v>OPEN</x:v>
      </x:c>
    </x:row>
    <x:row r="112">
      <x:c r="B112" s="7" t="str">
        <x:v>CAL-CH-PEA-A-X1-18-4</x:v>
      </x:c>
      <x:c r="C112" s="7" t="str">
        <x:v>CH-PEA-A-X1-18-4</x:v>
      </x:c>
      <x:c r="D112" s="7" t="str">
        <x:v>PEA-A-X1</x:v>
      </x:c>
      <x:c r="E112" s="7" t="str">
        <x:v>BLD-A</x:v>
      </x:c>
      <x:c r="F112" s="7" t="str">
        <x:v>BL-X</x:v>
      </x:c>
      <x:c r="G112" s="7" t="str">
        <x:v>MF-18</x:v>
      </x:c>
      <x:c r="H112" s="7" t="str"/>
      <x:c r="I112" s="7" t="str"/>
      <x:c r="J112" s="7" t="str">
        <x:f>IF(OR(H112="",I112=""),"",I112-H112)</x:f>
      </x:c>
      <x:c r="K112" s="7" t="str"/>
      <x:c r="L112" s="7" t="str"/>
      <x:c r="M112" s="7" t="str">
        <x:f>IF(L112="","OPEN",IF(OR(NOT(ISNUMBER(H112)),NOT(ISNUMBER(I112)),NOT(ISNUMBER(K112)),ABS(J112)&gt;K112),"FAIL","PASS"))</x:f>
        <x:v>OPEN</x:v>
      </x:c>
    </x:row>
    <x:row r="113">
      <x:c r="B113" s="7" t="str">
        <x:v>CAL-CH-PEA-A-X1-18-5</x:v>
      </x:c>
      <x:c r="C113" s="7" t="str">
        <x:v>CH-PEA-A-X1-18-5</x:v>
      </x:c>
      <x:c r="D113" s="7" t="str">
        <x:v>PEA-A-X1</x:v>
      </x:c>
      <x:c r="E113" s="7" t="str">
        <x:v>BLD-A</x:v>
      </x:c>
      <x:c r="F113" s="7" t="str">
        <x:v>BL-X</x:v>
      </x:c>
      <x:c r="G113" s="7" t="str">
        <x:v>MF-18</x:v>
      </x:c>
      <x:c r="H113" s="7" t="str"/>
      <x:c r="I113" s="7" t="str"/>
      <x:c r="J113" s="7" t="str">
        <x:f>IF(OR(H113="",I113=""),"",I113-H113)</x:f>
      </x:c>
      <x:c r="K113" s="7" t="str"/>
      <x:c r="L113" s="7" t="str"/>
      <x:c r="M113" s="7" t="str">
        <x:f>IF(L113="","OPEN",IF(OR(NOT(ISNUMBER(H113)),NOT(ISNUMBER(I113)),NOT(ISNUMBER(K113)),ABS(J113)&gt;K113),"FAIL","PASS"))</x:f>
        <x:v>OPEN</x:v>
      </x:c>
    </x:row>
    <x:row r="114">
      <x:c r="B114" s="7" t="str">
        <x:v>CAL-CH-PEA-A-X1-18-6</x:v>
      </x:c>
      <x:c r="C114" s="7" t="str">
        <x:v>CH-PEA-A-X1-18-6</x:v>
      </x:c>
      <x:c r="D114" s="7" t="str">
        <x:v>PEA-A-X1</x:v>
      </x:c>
      <x:c r="E114" s="7" t="str">
        <x:v>BLD-A</x:v>
      </x:c>
      <x:c r="F114" s="7" t="str">
        <x:v>BL-X</x:v>
      </x:c>
      <x:c r="G114" s="7" t="str">
        <x:v>MF-18</x:v>
      </x:c>
      <x:c r="H114" s="7" t="str"/>
      <x:c r="I114" s="7" t="str"/>
      <x:c r="J114" s="7" t="str">
        <x:f>IF(OR(H114="",I114=""),"",I114-H114)</x:f>
      </x:c>
      <x:c r="K114" s="7" t="str"/>
      <x:c r="L114" s="7" t="str"/>
      <x:c r="M114" s="7" t="str">
        <x:f>IF(L114="","OPEN",IF(OR(NOT(ISNUMBER(H114)),NOT(ISNUMBER(I114)),NOT(ISNUMBER(K114)),ABS(J114)&gt;K114),"FAIL","PASS"))</x:f>
        <x:v>OPEN</x:v>
      </x:c>
    </x:row>
    <x:row r="115">
      <x:c r="B115" s="7" t="str">
        <x:v>CAL-CH-PEA-A-X1-19-1</x:v>
      </x:c>
      <x:c r="C115" s="7" t="str">
        <x:v>CH-PEA-A-X1-19-1</x:v>
      </x:c>
      <x:c r="D115" s="7" t="str">
        <x:v>PEA-A-X1</x:v>
      </x:c>
      <x:c r="E115" s="7" t="str">
        <x:v>BLD-A</x:v>
      </x:c>
      <x:c r="F115" s="7" t="str">
        <x:v>BL-X</x:v>
      </x:c>
      <x:c r="G115" s="7" t="str">
        <x:v>MF-19</x:v>
      </x:c>
      <x:c r="H115" s="7" t="str"/>
      <x:c r="I115" s="7" t="str"/>
      <x:c r="J115" s="7" t="str">
        <x:f>IF(OR(H115="",I115=""),"",I115-H115)</x:f>
      </x:c>
      <x:c r="K115" s="7" t="str"/>
      <x:c r="L115" s="7" t="str"/>
      <x:c r="M115" s="7" t="str">
        <x:f>IF(L115="","OPEN",IF(OR(NOT(ISNUMBER(H115)),NOT(ISNUMBER(I115)),NOT(ISNUMBER(K115)),ABS(J115)&gt;K115),"FAIL","PASS"))</x:f>
        <x:v>OPEN</x:v>
      </x:c>
    </x:row>
    <x:row r="116">
      <x:c r="B116" s="7" t="str">
        <x:v>CAL-CH-PEA-A-X1-19-2</x:v>
      </x:c>
      <x:c r="C116" s="7" t="str">
        <x:v>CH-PEA-A-X1-19-2</x:v>
      </x:c>
      <x:c r="D116" s="7" t="str">
        <x:v>PEA-A-X1</x:v>
      </x:c>
      <x:c r="E116" s="7" t="str">
        <x:v>BLD-A</x:v>
      </x:c>
      <x:c r="F116" s="7" t="str">
        <x:v>BL-X</x:v>
      </x:c>
      <x:c r="G116" s="7" t="str">
        <x:v>MF-19</x:v>
      </x:c>
      <x:c r="H116" s="7" t="str"/>
      <x:c r="I116" s="7" t="str"/>
      <x:c r="J116" s="7" t="str">
        <x:f>IF(OR(H116="",I116=""),"",I116-H116)</x:f>
      </x:c>
      <x:c r="K116" s="7" t="str"/>
      <x:c r="L116" s="7" t="str"/>
      <x:c r="M116" s="7" t="str">
        <x:f>IF(L116="","OPEN",IF(OR(NOT(ISNUMBER(H116)),NOT(ISNUMBER(I116)),NOT(ISNUMBER(K116)),ABS(J116)&gt;K116),"FAIL","PASS"))</x:f>
        <x:v>OPEN</x:v>
      </x:c>
    </x:row>
    <x:row r="117">
      <x:c r="B117" s="7" t="str">
        <x:v>CAL-CH-PEA-A-X1-19-3</x:v>
      </x:c>
      <x:c r="C117" s="7" t="str">
        <x:v>CH-PEA-A-X1-19-3</x:v>
      </x:c>
      <x:c r="D117" s="7" t="str">
        <x:v>PEA-A-X1</x:v>
      </x:c>
      <x:c r="E117" s="7" t="str">
        <x:v>BLD-A</x:v>
      </x:c>
      <x:c r="F117" s="7" t="str">
        <x:v>BL-X</x:v>
      </x:c>
      <x:c r="G117" s="7" t="str">
        <x:v>MF-19</x:v>
      </x:c>
      <x:c r="H117" s="7" t="str"/>
      <x:c r="I117" s="7" t="str"/>
      <x:c r="J117" s="7" t="str">
        <x:f>IF(OR(H117="",I117=""),"",I117-H117)</x:f>
      </x:c>
      <x:c r="K117" s="7" t="str"/>
      <x:c r="L117" s="7" t="str"/>
      <x:c r="M117" s="7" t="str">
        <x:f>IF(L117="","OPEN",IF(OR(NOT(ISNUMBER(H117)),NOT(ISNUMBER(I117)),NOT(ISNUMBER(K117)),ABS(J117)&gt;K117),"FAIL","PASS"))</x:f>
        <x:v>OPEN</x:v>
      </x:c>
    </x:row>
    <x:row r="118">
      <x:c r="B118" s="7" t="str">
        <x:v>CAL-CH-PEA-A-X1-19-4</x:v>
      </x:c>
      <x:c r="C118" s="7" t="str">
        <x:v>CH-PEA-A-X1-19-4</x:v>
      </x:c>
      <x:c r="D118" s="7" t="str">
        <x:v>PEA-A-X1</x:v>
      </x:c>
      <x:c r="E118" s="7" t="str">
        <x:v>BLD-A</x:v>
      </x:c>
      <x:c r="F118" s="7" t="str">
        <x:v>BL-X</x:v>
      </x:c>
      <x:c r="G118" s="7" t="str">
        <x:v>MF-19</x:v>
      </x:c>
      <x:c r="H118" s="7" t="str"/>
      <x:c r="I118" s="7" t="str"/>
      <x:c r="J118" s="7" t="str">
        <x:f>IF(OR(H118="",I118=""),"",I118-H118)</x:f>
      </x:c>
      <x:c r="K118" s="7" t="str"/>
      <x:c r="L118" s="7" t="str"/>
      <x:c r="M118" s="7" t="str">
        <x:f>IF(L118="","OPEN",IF(OR(NOT(ISNUMBER(H118)),NOT(ISNUMBER(I118)),NOT(ISNUMBER(K118)),ABS(J118)&gt;K118),"FAIL","PASS"))</x:f>
        <x:v>OPEN</x:v>
      </x:c>
    </x:row>
    <x:row r="119">
      <x:c r="B119" s="7" t="str">
        <x:v>CAL-CH-PEA-A-X1-19-5</x:v>
      </x:c>
      <x:c r="C119" s="7" t="str">
        <x:v>CH-PEA-A-X1-19-5</x:v>
      </x:c>
      <x:c r="D119" s="7" t="str">
        <x:v>PEA-A-X1</x:v>
      </x:c>
      <x:c r="E119" s="7" t="str">
        <x:v>BLD-A</x:v>
      </x:c>
      <x:c r="F119" s="7" t="str">
        <x:v>BL-X</x:v>
      </x:c>
      <x:c r="G119" s="7" t="str">
        <x:v>MF-19</x:v>
      </x:c>
      <x:c r="H119" s="7" t="str"/>
      <x:c r="I119" s="7" t="str"/>
      <x:c r="J119" s="7" t="str">
        <x:f>IF(OR(H119="",I119=""),"",I119-H119)</x:f>
      </x:c>
      <x:c r="K119" s="7" t="str"/>
      <x:c r="L119" s="7" t="str"/>
      <x:c r="M119" s="7" t="str">
        <x:f>IF(L119="","OPEN",IF(OR(NOT(ISNUMBER(H119)),NOT(ISNUMBER(I119)),NOT(ISNUMBER(K119)),ABS(J119)&gt;K119),"FAIL","PASS"))</x:f>
        <x:v>OPEN</x:v>
      </x:c>
    </x:row>
    <x:row r="120">
      <x:c r="B120" s="7" t="str">
        <x:v>CAL-CH-PEA-A-X1-19-6</x:v>
      </x:c>
      <x:c r="C120" s="7" t="str">
        <x:v>CH-PEA-A-X1-19-6</x:v>
      </x:c>
      <x:c r="D120" s="7" t="str">
        <x:v>PEA-A-X1</x:v>
      </x:c>
      <x:c r="E120" s="7" t="str">
        <x:v>BLD-A</x:v>
      </x:c>
      <x:c r="F120" s="7" t="str">
        <x:v>BL-X</x:v>
      </x:c>
      <x:c r="G120" s="7" t="str">
        <x:v>MF-19</x:v>
      </x:c>
      <x:c r="H120" s="7" t="str"/>
      <x:c r="I120" s="7" t="str"/>
      <x:c r="J120" s="7" t="str">
        <x:f>IF(OR(H120="",I120=""),"",I120-H120)</x:f>
      </x:c>
      <x:c r="K120" s="7" t="str"/>
      <x:c r="L120" s="7" t="str"/>
      <x:c r="M120" s="7" t="str">
        <x:f>IF(L120="","OPEN",IF(OR(NOT(ISNUMBER(H120)),NOT(ISNUMBER(I120)),NOT(ISNUMBER(K120)),ABS(J120)&gt;K120),"FAIL","PASS"))</x:f>
        <x:v>OPEN</x:v>
      </x:c>
    </x:row>
    <x:row r="121">
      <x:c r="B121" s="7" t="str">
        <x:v>CAL-CH-PEA-A-X1-20-1</x:v>
      </x:c>
      <x:c r="C121" s="7" t="str">
        <x:v>CH-PEA-A-X1-20-1</x:v>
      </x:c>
      <x:c r="D121" s="7" t="str">
        <x:v>PEA-A-X1</x:v>
      </x:c>
      <x:c r="E121" s="7" t="str">
        <x:v>BLD-A</x:v>
      </x:c>
      <x:c r="F121" s="7" t="str">
        <x:v>BL-X</x:v>
      </x:c>
      <x:c r="G121" s="7" t="str">
        <x:v>MF-20</x:v>
      </x:c>
      <x:c r="H121" s="7" t="str"/>
      <x:c r="I121" s="7" t="str"/>
      <x:c r="J121" s="7" t="str">
        <x:f>IF(OR(H121="",I121=""),"",I121-H121)</x:f>
      </x:c>
      <x:c r="K121" s="7" t="str"/>
      <x:c r="L121" s="7" t="str"/>
      <x:c r="M121" s="7" t="str">
        <x:f>IF(L121="","OPEN",IF(OR(NOT(ISNUMBER(H121)),NOT(ISNUMBER(I121)),NOT(ISNUMBER(K121)),ABS(J121)&gt;K121),"FAIL","PASS"))</x:f>
        <x:v>OPEN</x:v>
      </x:c>
    </x:row>
    <x:row r="122">
      <x:c r="B122" s="7" t="str">
        <x:v>CAL-CH-PEA-A-X1-20-2</x:v>
      </x:c>
      <x:c r="C122" s="7" t="str">
        <x:v>CH-PEA-A-X1-20-2</x:v>
      </x:c>
      <x:c r="D122" s="7" t="str">
        <x:v>PEA-A-X1</x:v>
      </x:c>
      <x:c r="E122" s="7" t="str">
        <x:v>BLD-A</x:v>
      </x:c>
      <x:c r="F122" s="7" t="str">
        <x:v>BL-X</x:v>
      </x:c>
      <x:c r="G122" s="7" t="str">
        <x:v>MF-20</x:v>
      </x:c>
      <x:c r="H122" s="7" t="str"/>
      <x:c r="I122" s="7" t="str"/>
      <x:c r="J122" s="7" t="str">
        <x:f>IF(OR(H122="",I122=""),"",I122-H122)</x:f>
      </x:c>
      <x:c r="K122" s="7" t="str"/>
      <x:c r="L122" s="7" t="str"/>
      <x:c r="M122" s="7" t="str">
        <x:f>IF(L122="","OPEN",IF(OR(NOT(ISNUMBER(H122)),NOT(ISNUMBER(I122)),NOT(ISNUMBER(K122)),ABS(J122)&gt;K122),"FAIL","PASS"))</x:f>
        <x:v>OPEN</x:v>
      </x:c>
    </x:row>
    <x:row r="123">
      <x:c r="B123" s="7" t="str">
        <x:v>CAL-CH-PEA-A-X1-20-3</x:v>
      </x:c>
      <x:c r="C123" s="7" t="str">
        <x:v>CH-PEA-A-X1-20-3</x:v>
      </x:c>
      <x:c r="D123" s="7" t="str">
        <x:v>PEA-A-X1</x:v>
      </x:c>
      <x:c r="E123" s="7" t="str">
        <x:v>BLD-A</x:v>
      </x:c>
      <x:c r="F123" s="7" t="str">
        <x:v>BL-X</x:v>
      </x:c>
      <x:c r="G123" s="7" t="str">
        <x:v>MF-20</x:v>
      </x:c>
      <x:c r="H123" s="7" t="str"/>
      <x:c r="I123" s="7" t="str"/>
      <x:c r="J123" s="7" t="str">
        <x:f>IF(OR(H123="",I123=""),"",I123-H123)</x:f>
      </x:c>
      <x:c r="K123" s="7" t="str"/>
      <x:c r="L123" s="7" t="str"/>
      <x:c r="M123" s="7" t="str">
        <x:f>IF(L123="","OPEN",IF(OR(NOT(ISNUMBER(H123)),NOT(ISNUMBER(I123)),NOT(ISNUMBER(K123)),ABS(J123)&gt;K123),"FAIL","PASS"))</x:f>
        <x:v>OPEN</x:v>
      </x:c>
    </x:row>
    <x:row r="124">
      <x:c r="B124" s="7" t="str">
        <x:v>CAL-CH-PEA-A-X1-20-4</x:v>
      </x:c>
      <x:c r="C124" s="7" t="str">
        <x:v>CH-PEA-A-X1-20-4</x:v>
      </x:c>
      <x:c r="D124" s="7" t="str">
        <x:v>PEA-A-X1</x:v>
      </x:c>
      <x:c r="E124" s="7" t="str">
        <x:v>BLD-A</x:v>
      </x:c>
      <x:c r="F124" s="7" t="str">
        <x:v>BL-X</x:v>
      </x:c>
      <x:c r="G124" s="7" t="str">
        <x:v>MF-20</x:v>
      </x:c>
      <x:c r="H124" s="7" t="str"/>
      <x:c r="I124" s="7" t="str"/>
      <x:c r="J124" s="7" t="str">
        <x:f>IF(OR(H124="",I124=""),"",I124-H124)</x:f>
      </x:c>
      <x:c r="K124" s="7" t="str"/>
      <x:c r="L124" s="7" t="str"/>
      <x:c r="M124" s="7" t="str">
        <x:f>IF(L124="","OPEN",IF(OR(NOT(ISNUMBER(H124)),NOT(ISNUMBER(I124)),NOT(ISNUMBER(K124)),ABS(J124)&gt;K124),"FAIL","PASS"))</x:f>
        <x:v>OPEN</x:v>
      </x:c>
    </x:row>
    <x:row r="125">
      <x:c r="B125" s="7" t="str">
        <x:v>CAL-CH-PEA-A-X1-20-5</x:v>
      </x:c>
      <x:c r="C125" s="7" t="str">
        <x:v>CH-PEA-A-X1-20-5</x:v>
      </x:c>
      <x:c r="D125" s="7" t="str">
        <x:v>PEA-A-X1</x:v>
      </x:c>
      <x:c r="E125" s="7" t="str">
        <x:v>BLD-A</x:v>
      </x:c>
      <x:c r="F125" s="7" t="str">
        <x:v>BL-X</x:v>
      </x:c>
      <x:c r="G125" s="7" t="str">
        <x:v>MF-20</x:v>
      </x:c>
      <x:c r="H125" s="7" t="str"/>
      <x:c r="I125" s="7" t="str"/>
      <x:c r="J125" s="7" t="str">
        <x:f>IF(OR(H125="",I125=""),"",I125-H125)</x:f>
      </x:c>
      <x:c r="K125" s="7" t="str"/>
      <x:c r="L125" s="7" t="str"/>
      <x:c r="M125" s="7" t="str">
        <x:f>IF(L125="","OPEN",IF(OR(NOT(ISNUMBER(H125)),NOT(ISNUMBER(I125)),NOT(ISNUMBER(K125)),ABS(J125)&gt;K125),"FAIL","PASS"))</x:f>
        <x:v>OPEN</x:v>
      </x:c>
    </x:row>
    <x:row r="126">
      <x:c r="B126" s="7" t="str">
        <x:v>CAL-CH-PEA-A-X1-20-6</x:v>
      </x:c>
      <x:c r="C126" s="7" t="str">
        <x:v>CH-PEA-A-X1-20-6</x:v>
      </x:c>
      <x:c r="D126" s="7" t="str">
        <x:v>PEA-A-X1</x:v>
      </x:c>
      <x:c r="E126" s="7" t="str">
        <x:v>BLD-A</x:v>
      </x:c>
      <x:c r="F126" s="7" t="str">
        <x:v>BL-X</x:v>
      </x:c>
      <x:c r="G126" s="7" t="str">
        <x:v>MF-20</x:v>
      </x:c>
      <x:c r="H126" s="7" t="str"/>
      <x:c r="I126" s="7" t="str"/>
      <x:c r="J126" s="7" t="str">
        <x:f>IF(OR(H126="",I126=""),"",I126-H126)</x:f>
      </x:c>
      <x:c r="K126" s="7" t="str"/>
      <x:c r="L126" s="7" t="str"/>
      <x:c r="M126" s="7" t="str">
        <x:f>IF(L126="","OPEN",IF(OR(NOT(ISNUMBER(H126)),NOT(ISNUMBER(I126)),NOT(ISNUMBER(K126)),ABS(J126)&gt;K126),"FAIL","PASS"))</x:f>
        <x:v>OPEN</x:v>
      </x:c>
    </x:row>
    <x:row r="127">
      <x:c r="B127" s="7" t="str">
        <x:v>CAL-CH-PEA-A-X1-21-1</x:v>
      </x:c>
      <x:c r="C127" s="7" t="str">
        <x:v>CH-PEA-A-X1-21-1</x:v>
      </x:c>
      <x:c r="D127" s="7" t="str">
        <x:v>PEA-A-X1</x:v>
      </x:c>
      <x:c r="E127" s="7" t="str">
        <x:v>BLD-A</x:v>
      </x:c>
      <x:c r="F127" s="7" t="str">
        <x:v>BL-X</x:v>
      </x:c>
      <x:c r="G127" s="7" t="str">
        <x:v>MF-21</x:v>
      </x:c>
      <x:c r="H127" s="7" t="str"/>
      <x:c r="I127" s="7" t="str"/>
      <x:c r="J127" s="7" t="str">
        <x:f>IF(OR(H127="",I127=""),"",I127-H127)</x:f>
      </x:c>
      <x:c r="K127" s="7" t="str"/>
      <x:c r="L127" s="7" t="str"/>
      <x:c r="M127" s="7" t="str">
        <x:f>IF(L127="","OPEN",IF(OR(NOT(ISNUMBER(H127)),NOT(ISNUMBER(I127)),NOT(ISNUMBER(K127)),ABS(J127)&gt;K127),"FAIL","PASS"))</x:f>
        <x:v>OPEN</x:v>
      </x:c>
    </x:row>
    <x:row r="128">
      <x:c r="B128" s="7" t="str">
        <x:v>CAL-CH-PEA-A-X1-21-2</x:v>
      </x:c>
      <x:c r="C128" s="7" t="str">
        <x:v>CH-PEA-A-X1-21-2</x:v>
      </x:c>
      <x:c r="D128" s="7" t="str">
        <x:v>PEA-A-X1</x:v>
      </x:c>
      <x:c r="E128" s="7" t="str">
        <x:v>BLD-A</x:v>
      </x:c>
      <x:c r="F128" s="7" t="str">
        <x:v>BL-X</x:v>
      </x:c>
      <x:c r="G128" s="7" t="str">
        <x:v>MF-21</x:v>
      </x:c>
      <x:c r="H128" s="7" t="str"/>
      <x:c r="I128" s="7" t="str"/>
      <x:c r="J128" s="7" t="str">
        <x:f>IF(OR(H128="",I128=""),"",I128-H128)</x:f>
      </x:c>
      <x:c r="K128" s="7" t="str"/>
      <x:c r="L128" s="7" t="str"/>
      <x:c r="M128" s="7" t="str">
        <x:f>IF(L128="","OPEN",IF(OR(NOT(ISNUMBER(H128)),NOT(ISNUMBER(I128)),NOT(ISNUMBER(K128)),ABS(J128)&gt;K128),"FAIL","PASS"))</x:f>
        <x:v>OPEN</x:v>
      </x:c>
    </x:row>
    <x:row r="129">
      <x:c r="B129" s="7" t="str">
        <x:v>CAL-CH-PEA-A-X1-21-3</x:v>
      </x:c>
      <x:c r="C129" s="7" t="str">
        <x:v>CH-PEA-A-X1-21-3</x:v>
      </x:c>
      <x:c r="D129" s="7" t="str">
        <x:v>PEA-A-X1</x:v>
      </x:c>
      <x:c r="E129" s="7" t="str">
        <x:v>BLD-A</x:v>
      </x:c>
      <x:c r="F129" s="7" t="str">
        <x:v>BL-X</x:v>
      </x:c>
      <x:c r="G129" s="7" t="str">
        <x:v>MF-21</x:v>
      </x:c>
      <x:c r="H129" s="7" t="str"/>
      <x:c r="I129" s="7" t="str"/>
      <x:c r="J129" s="7" t="str">
        <x:f>IF(OR(H129="",I129=""),"",I129-H129)</x:f>
      </x:c>
      <x:c r="K129" s="7" t="str"/>
      <x:c r="L129" s="7" t="str"/>
      <x:c r="M129" s="7" t="str">
        <x:f>IF(L129="","OPEN",IF(OR(NOT(ISNUMBER(H129)),NOT(ISNUMBER(I129)),NOT(ISNUMBER(K129)),ABS(J129)&gt;K129),"FAIL","PASS"))</x:f>
        <x:v>OPEN</x:v>
      </x:c>
    </x:row>
    <x:row r="130">
      <x:c r="B130" s="7" t="str">
        <x:v>CAL-CH-PEA-A-X1-21-4</x:v>
      </x:c>
      <x:c r="C130" s="7" t="str">
        <x:v>CH-PEA-A-X1-21-4</x:v>
      </x:c>
      <x:c r="D130" s="7" t="str">
        <x:v>PEA-A-X1</x:v>
      </x:c>
      <x:c r="E130" s="7" t="str">
        <x:v>BLD-A</x:v>
      </x:c>
      <x:c r="F130" s="7" t="str">
        <x:v>BL-X</x:v>
      </x:c>
      <x:c r="G130" s="7" t="str">
        <x:v>MF-21</x:v>
      </x:c>
      <x:c r="H130" s="7" t="str"/>
      <x:c r="I130" s="7" t="str"/>
      <x:c r="J130" s="7" t="str">
        <x:f>IF(OR(H130="",I130=""),"",I130-H130)</x:f>
      </x:c>
      <x:c r="K130" s="7" t="str"/>
      <x:c r="L130" s="7" t="str"/>
      <x:c r="M130" s="7" t="str">
        <x:f>IF(L130="","OPEN",IF(OR(NOT(ISNUMBER(H130)),NOT(ISNUMBER(I130)),NOT(ISNUMBER(K130)),ABS(J130)&gt;K130),"FAIL","PASS"))</x:f>
        <x:v>OPEN</x:v>
      </x:c>
    </x:row>
    <x:row r="131">
      <x:c r="B131" s="7" t="str">
        <x:v>CAL-CH-PEA-A-X1-21-5</x:v>
      </x:c>
      <x:c r="C131" s="7" t="str">
        <x:v>CH-PEA-A-X1-21-5</x:v>
      </x:c>
      <x:c r="D131" s="7" t="str">
        <x:v>PEA-A-X1</x:v>
      </x:c>
      <x:c r="E131" s="7" t="str">
        <x:v>BLD-A</x:v>
      </x:c>
      <x:c r="F131" s="7" t="str">
        <x:v>BL-X</x:v>
      </x:c>
      <x:c r="G131" s="7" t="str">
        <x:v>MF-21</x:v>
      </x:c>
      <x:c r="H131" s="7" t="str"/>
      <x:c r="I131" s="7" t="str"/>
      <x:c r="J131" s="7" t="str">
        <x:f>IF(OR(H131="",I131=""),"",I131-H131)</x:f>
      </x:c>
      <x:c r="K131" s="7" t="str"/>
      <x:c r="L131" s="7" t="str"/>
      <x:c r="M131" s="7" t="str">
        <x:f>IF(L131="","OPEN",IF(OR(NOT(ISNUMBER(H131)),NOT(ISNUMBER(I131)),NOT(ISNUMBER(K131)),ABS(J131)&gt;K131),"FAIL","PASS"))</x:f>
        <x:v>OPEN</x:v>
      </x:c>
    </x:row>
    <x:row r="132">
      <x:c r="B132" s="7" t="str">
        <x:v>CAL-CH-PEA-A-X1-21-6</x:v>
      </x:c>
      <x:c r="C132" s="7" t="str">
        <x:v>CH-PEA-A-X1-21-6</x:v>
      </x:c>
      <x:c r="D132" s="7" t="str">
        <x:v>PEA-A-X1</x:v>
      </x:c>
      <x:c r="E132" s="7" t="str">
        <x:v>BLD-A</x:v>
      </x:c>
      <x:c r="F132" s="7" t="str">
        <x:v>BL-X</x:v>
      </x:c>
      <x:c r="G132" s="7" t="str">
        <x:v>MF-21</x:v>
      </x:c>
      <x:c r="H132" s="7" t="str"/>
      <x:c r="I132" s="7" t="str"/>
      <x:c r="J132" s="7" t="str">
        <x:f>IF(OR(H132="",I132=""),"",I132-H132)</x:f>
      </x:c>
      <x:c r="K132" s="7" t="str"/>
      <x:c r="L132" s="7" t="str"/>
      <x:c r="M132" s="7" t="str">
        <x:f>IF(L132="","OPEN",IF(OR(NOT(ISNUMBER(H132)),NOT(ISNUMBER(I132)),NOT(ISNUMBER(K132)),ABS(J132)&gt;K132),"FAIL","PASS"))</x:f>
        <x:v>OPEN</x:v>
      </x:c>
    </x:row>
    <x:row r="133">
      <x:c r="B133" s="7" t="str">
        <x:v>CAL-CH-PEA-A-X1-22-1</x:v>
      </x:c>
      <x:c r="C133" s="7" t="str">
        <x:v>CH-PEA-A-X1-22-1</x:v>
      </x:c>
      <x:c r="D133" s="7" t="str">
        <x:v>PEA-A-X1</x:v>
      </x:c>
      <x:c r="E133" s="7" t="str">
        <x:v>BLD-A</x:v>
      </x:c>
      <x:c r="F133" s="7" t="str">
        <x:v>BL-X</x:v>
      </x:c>
      <x:c r="G133" s="7" t="str">
        <x:v>MF-22</x:v>
      </x:c>
      <x:c r="H133" s="7" t="str"/>
      <x:c r="I133" s="7" t="str"/>
      <x:c r="J133" s="7" t="str">
        <x:f>IF(OR(H133="",I133=""),"",I133-H133)</x:f>
      </x:c>
      <x:c r="K133" s="7" t="str"/>
      <x:c r="L133" s="7" t="str"/>
      <x:c r="M133" s="7" t="str">
        <x:f>IF(L133="","OPEN",IF(OR(NOT(ISNUMBER(H133)),NOT(ISNUMBER(I133)),NOT(ISNUMBER(K133)),ABS(J133)&gt;K133),"FAIL","PASS"))</x:f>
        <x:v>OPEN</x:v>
      </x:c>
    </x:row>
    <x:row r="134">
      <x:c r="B134" s="7" t="str">
        <x:v>CAL-CH-PEA-A-X1-22-2</x:v>
      </x:c>
      <x:c r="C134" s="7" t="str">
        <x:v>CH-PEA-A-X1-22-2</x:v>
      </x:c>
      <x:c r="D134" s="7" t="str">
        <x:v>PEA-A-X1</x:v>
      </x:c>
      <x:c r="E134" s="7" t="str">
        <x:v>BLD-A</x:v>
      </x:c>
      <x:c r="F134" s="7" t="str">
        <x:v>BL-X</x:v>
      </x:c>
      <x:c r="G134" s="7" t="str">
        <x:v>MF-22</x:v>
      </x:c>
      <x:c r="H134" s="7" t="str"/>
      <x:c r="I134" s="7" t="str"/>
      <x:c r="J134" s="7" t="str">
        <x:f>IF(OR(H134="",I134=""),"",I134-H134)</x:f>
      </x:c>
      <x:c r="K134" s="7" t="str"/>
      <x:c r="L134" s="7" t="str"/>
      <x:c r="M134" s="7" t="str">
        <x:f>IF(L134="","OPEN",IF(OR(NOT(ISNUMBER(H134)),NOT(ISNUMBER(I134)),NOT(ISNUMBER(K134)),ABS(J134)&gt;K134),"FAIL","PASS"))</x:f>
        <x:v>OPEN</x:v>
      </x:c>
    </x:row>
    <x:row r="135">
      <x:c r="B135" s="7" t="str">
        <x:v>CAL-CH-PEA-A-X1-22-3</x:v>
      </x:c>
      <x:c r="C135" s="7" t="str">
        <x:v>CH-PEA-A-X1-22-3</x:v>
      </x:c>
      <x:c r="D135" s="7" t="str">
        <x:v>PEA-A-X1</x:v>
      </x:c>
      <x:c r="E135" s="7" t="str">
        <x:v>BLD-A</x:v>
      </x:c>
      <x:c r="F135" s="7" t="str">
        <x:v>BL-X</x:v>
      </x:c>
      <x:c r="G135" s="7" t="str">
        <x:v>MF-22</x:v>
      </x:c>
      <x:c r="H135" s="7" t="str"/>
      <x:c r="I135" s="7" t="str"/>
      <x:c r="J135" s="7" t="str">
        <x:f>IF(OR(H135="",I135=""),"",I135-H135)</x:f>
      </x:c>
      <x:c r="K135" s="7" t="str"/>
      <x:c r="L135" s="7" t="str"/>
      <x:c r="M135" s="7" t="str">
        <x:f>IF(L135="","OPEN",IF(OR(NOT(ISNUMBER(H135)),NOT(ISNUMBER(I135)),NOT(ISNUMBER(K135)),ABS(J135)&gt;K135),"FAIL","PASS"))</x:f>
        <x:v>OPEN</x:v>
      </x:c>
    </x:row>
    <x:row r="136">
      <x:c r="B136" s="7" t="str">
        <x:v>CAL-CH-PEA-A-X1-22-4</x:v>
      </x:c>
      <x:c r="C136" s="7" t="str">
        <x:v>CH-PEA-A-X1-22-4</x:v>
      </x:c>
      <x:c r="D136" s="7" t="str">
        <x:v>PEA-A-X1</x:v>
      </x:c>
      <x:c r="E136" s="7" t="str">
        <x:v>BLD-A</x:v>
      </x:c>
      <x:c r="F136" s="7" t="str">
        <x:v>BL-X</x:v>
      </x:c>
      <x:c r="G136" s="7" t="str">
        <x:v>MF-22</x:v>
      </x:c>
      <x:c r="H136" s="7" t="str"/>
      <x:c r="I136" s="7" t="str"/>
      <x:c r="J136" s="7" t="str">
        <x:f>IF(OR(H136="",I136=""),"",I136-H136)</x:f>
      </x:c>
      <x:c r="K136" s="7" t="str"/>
      <x:c r="L136" s="7" t="str"/>
      <x:c r="M136" s="7" t="str">
        <x:f>IF(L136="","OPEN",IF(OR(NOT(ISNUMBER(H136)),NOT(ISNUMBER(I136)),NOT(ISNUMBER(K136)),ABS(J136)&gt;K136),"FAIL","PASS"))</x:f>
        <x:v>OPEN</x:v>
      </x:c>
    </x:row>
    <x:row r="137">
      <x:c r="B137" s="7" t="str">
        <x:v>CAL-CH-PEA-A-X1-22-5</x:v>
      </x:c>
      <x:c r="C137" s="7" t="str">
        <x:v>CH-PEA-A-X1-22-5</x:v>
      </x:c>
      <x:c r="D137" s="7" t="str">
        <x:v>PEA-A-X1</x:v>
      </x:c>
      <x:c r="E137" s="7" t="str">
        <x:v>BLD-A</x:v>
      </x:c>
      <x:c r="F137" s="7" t="str">
        <x:v>BL-X</x:v>
      </x:c>
      <x:c r="G137" s="7" t="str">
        <x:v>MF-22</x:v>
      </x:c>
      <x:c r="H137" s="7" t="str"/>
      <x:c r="I137" s="7" t="str"/>
      <x:c r="J137" s="7" t="str">
        <x:f>IF(OR(H137="",I137=""),"",I137-H137)</x:f>
      </x:c>
      <x:c r="K137" s="7" t="str"/>
      <x:c r="L137" s="7" t="str"/>
      <x:c r="M137" s="7" t="str">
        <x:f>IF(L137="","OPEN",IF(OR(NOT(ISNUMBER(H137)),NOT(ISNUMBER(I137)),NOT(ISNUMBER(K137)),ABS(J137)&gt;K137),"FAIL","PASS"))</x:f>
        <x:v>OPEN</x:v>
      </x:c>
    </x:row>
    <x:row r="138">
      <x:c r="B138" s="7" t="str">
        <x:v>CAL-CH-PEA-A-X1-22-6</x:v>
      </x:c>
      <x:c r="C138" s="7" t="str">
        <x:v>CH-PEA-A-X1-22-6</x:v>
      </x:c>
      <x:c r="D138" s="7" t="str">
        <x:v>PEA-A-X1</x:v>
      </x:c>
      <x:c r="E138" s="7" t="str">
        <x:v>BLD-A</x:v>
      </x:c>
      <x:c r="F138" s="7" t="str">
        <x:v>BL-X</x:v>
      </x:c>
      <x:c r="G138" s="7" t="str">
        <x:v>MF-22</x:v>
      </x:c>
      <x:c r="H138" s="7" t="str"/>
      <x:c r="I138" s="7" t="str"/>
      <x:c r="J138" s="7" t="str">
        <x:f>IF(OR(H138="",I138=""),"",I138-H138)</x:f>
      </x:c>
      <x:c r="K138" s="7" t="str"/>
      <x:c r="L138" s="7" t="str"/>
      <x:c r="M138" s="7" t="str">
        <x:f>IF(L138="","OPEN",IF(OR(NOT(ISNUMBER(H138)),NOT(ISNUMBER(I138)),NOT(ISNUMBER(K138)),ABS(J138)&gt;K138),"FAIL","PASS"))</x:f>
        <x:v>OPEN</x:v>
      </x:c>
    </x:row>
    <x:row r="139">
      <x:c r="B139" s="7" t="str">
        <x:v>CAL-CH-PEA-A-X1-23-1</x:v>
      </x:c>
      <x:c r="C139" s="7" t="str">
        <x:v>CH-PEA-A-X1-23-1</x:v>
      </x:c>
      <x:c r="D139" s="7" t="str">
        <x:v>PEA-A-X1</x:v>
      </x:c>
      <x:c r="E139" s="7" t="str">
        <x:v>BLD-A</x:v>
      </x:c>
      <x:c r="F139" s="7" t="str">
        <x:v>BL-X</x:v>
      </x:c>
      <x:c r="G139" s="7" t="str">
        <x:v>MF-23</x:v>
      </x:c>
      <x:c r="H139" s="7" t="str"/>
      <x:c r="I139" s="7" t="str"/>
      <x:c r="J139" s="7" t="str">
        <x:f>IF(OR(H139="",I139=""),"",I139-H139)</x:f>
      </x:c>
      <x:c r="K139" s="7" t="str"/>
      <x:c r="L139" s="7" t="str"/>
      <x:c r="M139" s="7" t="str">
        <x:f>IF(L139="","OPEN",IF(OR(NOT(ISNUMBER(H139)),NOT(ISNUMBER(I139)),NOT(ISNUMBER(K139)),ABS(J139)&gt;K139),"FAIL","PASS"))</x:f>
        <x:v>OPEN</x:v>
      </x:c>
    </x:row>
    <x:row r="140">
      <x:c r="B140" s="7" t="str">
        <x:v>CAL-CH-PEA-A-X1-23-2</x:v>
      </x:c>
      <x:c r="C140" s="7" t="str">
        <x:v>CH-PEA-A-X1-23-2</x:v>
      </x:c>
      <x:c r="D140" s="7" t="str">
        <x:v>PEA-A-X1</x:v>
      </x:c>
      <x:c r="E140" s="7" t="str">
        <x:v>BLD-A</x:v>
      </x:c>
      <x:c r="F140" s="7" t="str">
        <x:v>BL-X</x:v>
      </x:c>
      <x:c r="G140" s="7" t="str">
        <x:v>MF-23</x:v>
      </x:c>
      <x:c r="H140" s="7" t="str"/>
      <x:c r="I140" s="7" t="str"/>
      <x:c r="J140" s="7" t="str">
        <x:f>IF(OR(H140="",I140=""),"",I140-H140)</x:f>
      </x:c>
      <x:c r="K140" s="7" t="str"/>
      <x:c r="L140" s="7" t="str"/>
      <x:c r="M140" s="7" t="str">
        <x:f>IF(L140="","OPEN",IF(OR(NOT(ISNUMBER(H140)),NOT(ISNUMBER(I140)),NOT(ISNUMBER(K140)),ABS(J140)&gt;K140),"FAIL","PASS"))</x:f>
        <x:v>OPEN</x:v>
      </x:c>
    </x:row>
    <x:row r="141">
      <x:c r="B141" s="7" t="str">
        <x:v>CAL-CH-PEA-A-X1-23-3</x:v>
      </x:c>
      <x:c r="C141" s="7" t="str">
        <x:v>CH-PEA-A-X1-23-3</x:v>
      </x:c>
      <x:c r="D141" s="7" t="str">
        <x:v>PEA-A-X1</x:v>
      </x:c>
      <x:c r="E141" s="7" t="str">
        <x:v>BLD-A</x:v>
      </x:c>
      <x:c r="F141" s="7" t="str">
        <x:v>BL-X</x:v>
      </x:c>
      <x:c r="G141" s="7" t="str">
        <x:v>MF-23</x:v>
      </x:c>
      <x:c r="H141" s="7" t="str"/>
      <x:c r="I141" s="7" t="str"/>
      <x:c r="J141" s="7" t="str">
        <x:f>IF(OR(H141="",I141=""),"",I141-H141)</x:f>
      </x:c>
      <x:c r="K141" s="7" t="str"/>
      <x:c r="L141" s="7" t="str"/>
      <x:c r="M141" s="7" t="str">
        <x:f>IF(L141="","OPEN",IF(OR(NOT(ISNUMBER(H141)),NOT(ISNUMBER(I141)),NOT(ISNUMBER(K141)),ABS(J141)&gt;K141),"FAIL","PASS"))</x:f>
        <x:v>OPEN</x:v>
      </x:c>
    </x:row>
    <x:row r="142">
      <x:c r="B142" s="7" t="str">
        <x:v>CAL-CH-PEA-A-X1-23-4</x:v>
      </x:c>
      <x:c r="C142" s="7" t="str">
        <x:v>CH-PEA-A-X1-23-4</x:v>
      </x:c>
      <x:c r="D142" s="7" t="str">
        <x:v>PEA-A-X1</x:v>
      </x:c>
      <x:c r="E142" s="7" t="str">
        <x:v>BLD-A</x:v>
      </x:c>
      <x:c r="F142" s="7" t="str">
        <x:v>BL-X</x:v>
      </x:c>
      <x:c r="G142" s="7" t="str">
        <x:v>MF-23</x:v>
      </x:c>
      <x:c r="H142" s="7" t="str"/>
      <x:c r="I142" s="7" t="str"/>
      <x:c r="J142" s="7" t="str">
        <x:f>IF(OR(H142="",I142=""),"",I142-H142)</x:f>
      </x:c>
      <x:c r="K142" s="7" t="str"/>
      <x:c r="L142" s="7" t="str"/>
      <x:c r="M142" s="7" t="str">
        <x:f>IF(L142="","OPEN",IF(OR(NOT(ISNUMBER(H142)),NOT(ISNUMBER(I142)),NOT(ISNUMBER(K142)),ABS(J142)&gt;K142),"FAIL","PASS"))</x:f>
        <x:v>OPEN</x:v>
      </x:c>
    </x:row>
    <x:row r="143">
      <x:c r="B143" s="7" t="str">
        <x:v>CAL-CH-PEA-A-X1-23-5</x:v>
      </x:c>
      <x:c r="C143" s="7" t="str">
        <x:v>CH-PEA-A-X1-23-5</x:v>
      </x:c>
      <x:c r="D143" s="7" t="str">
        <x:v>PEA-A-X1</x:v>
      </x:c>
      <x:c r="E143" s="7" t="str">
        <x:v>BLD-A</x:v>
      </x:c>
      <x:c r="F143" s="7" t="str">
        <x:v>BL-X</x:v>
      </x:c>
      <x:c r="G143" s="7" t="str">
        <x:v>MF-23</x:v>
      </x:c>
      <x:c r="H143" s="7" t="str"/>
      <x:c r="I143" s="7" t="str"/>
      <x:c r="J143" s="7" t="str">
        <x:f>IF(OR(H143="",I143=""),"",I143-H143)</x:f>
      </x:c>
      <x:c r="K143" s="7" t="str"/>
      <x:c r="L143" s="7" t="str"/>
      <x:c r="M143" s="7" t="str">
        <x:f>IF(L143="","OPEN",IF(OR(NOT(ISNUMBER(H143)),NOT(ISNUMBER(I143)),NOT(ISNUMBER(K143)),ABS(J143)&gt;K143),"FAIL","PASS"))</x:f>
        <x:v>OPEN</x:v>
      </x:c>
    </x:row>
    <x:row r="144">
      <x:c r="B144" s="7" t="str">
        <x:v>CAL-CH-PEA-A-X1-23-6</x:v>
      </x:c>
      <x:c r="C144" s="7" t="str">
        <x:v>CH-PEA-A-X1-23-6</x:v>
      </x:c>
      <x:c r="D144" s="7" t="str">
        <x:v>PEA-A-X1</x:v>
      </x:c>
      <x:c r="E144" s="7" t="str">
        <x:v>BLD-A</x:v>
      </x:c>
      <x:c r="F144" s="7" t="str">
        <x:v>BL-X</x:v>
      </x:c>
      <x:c r="G144" s="7" t="str">
        <x:v>MF-23</x:v>
      </x:c>
      <x:c r="H144" s="7" t="str"/>
      <x:c r="I144" s="7" t="str"/>
      <x:c r="J144" s="7" t="str">
        <x:f>IF(OR(H144="",I144=""),"",I144-H144)</x:f>
      </x:c>
      <x:c r="K144" s="7" t="str"/>
      <x:c r="L144" s="7" t="str"/>
      <x:c r="M144" s="7" t="str">
        <x:f>IF(L144="","OPEN",IF(OR(NOT(ISNUMBER(H144)),NOT(ISNUMBER(I144)),NOT(ISNUMBER(K144)),ABS(J144)&gt;K144),"FAIL","PASS"))</x:f>
        <x:v>OPEN</x:v>
      </x:c>
    </x:row>
    <x:row r="145">
      <x:c r="B145" s="7" t="str">
        <x:v>CAL-CH-PEA-A-X1-24-1</x:v>
      </x:c>
      <x:c r="C145" s="7" t="str">
        <x:v>CH-PEA-A-X1-24-1</x:v>
      </x:c>
      <x:c r="D145" s="7" t="str">
        <x:v>PEA-A-X1</x:v>
      </x:c>
      <x:c r="E145" s="7" t="str">
        <x:v>BLD-A</x:v>
      </x:c>
      <x:c r="F145" s="7" t="str">
        <x:v>BL-X</x:v>
      </x:c>
      <x:c r="G145" s="7" t="str">
        <x:v>MF-24</x:v>
      </x:c>
      <x:c r="H145" s="7" t="str"/>
      <x:c r="I145" s="7" t="str"/>
      <x:c r="J145" s="7" t="str">
        <x:f>IF(OR(H145="",I145=""),"",I145-H145)</x:f>
      </x:c>
      <x:c r="K145" s="7" t="str"/>
      <x:c r="L145" s="7" t="str"/>
      <x:c r="M145" s="7" t="str">
        <x:f>IF(L145="","OPEN",IF(OR(NOT(ISNUMBER(H145)),NOT(ISNUMBER(I145)),NOT(ISNUMBER(K145)),ABS(J145)&gt;K145),"FAIL","PASS"))</x:f>
        <x:v>OPEN</x:v>
      </x:c>
    </x:row>
    <x:row r="146">
      <x:c r="B146" s="7" t="str">
        <x:v>CAL-CH-PEA-A-X1-24-2</x:v>
      </x:c>
      <x:c r="C146" s="7" t="str">
        <x:v>CH-PEA-A-X1-24-2</x:v>
      </x:c>
      <x:c r="D146" s="7" t="str">
        <x:v>PEA-A-X1</x:v>
      </x:c>
      <x:c r="E146" s="7" t="str">
        <x:v>BLD-A</x:v>
      </x:c>
      <x:c r="F146" s="7" t="str">
        <x:v>BL-X</x:v>
      </x:c>
      <x:c r="G146" s="7" t="str">
        <x:v>MF-24</x:v>
      </x:c>
      <x:c r="H146" s="7" t="str"/>
      <x:c r="I146" s="7" t="str"/>
      <x:c r="J146" s="7" t="str">
        <x:f>IF(OR(H146="",I146=""),"",I146-H146)</x:f>
      </x:c>
      <x:c r="K146" s="7" t="str"/>
      <x:c r="L146" s="7" t="str"/>
      <x:c r="M146" s="7" t="str">
        <x:f>IF(L146="","OPEN",IF(OR(NOT(ISNUMBER(H146)),NOT(ISNUMBER(I146)),NOT(ISNUMBER(K146)),ABS(J146)&gt;K146),"FAIL","PASS"))</x:f>
        <x:v>OPEN</x:v>
      </x:c>
    </x:row>
    <x:row r="147">
      <x:c r="B147" s="7" t="str">
        <x:v>CAL-CH-PEA-A-X1-24-3</x:v>
      </x:c>
      <x:c r="C147" s="7" t="str">
        <x:v>CH-PEA-A-X1-24-3</x:v>
      </x:c>
      <x:c r="D147" s="7" t="str">
        <x:v>PEA-A-X1</x:v>
      </x:c>
      <x:c r="E147" s="7" t="str">
        <x:v>BLD-A</x:v>
      </x:c>
      <x:c r="F147" s="7" t="str">
        <x:v>BL-X</x:v>
      </x:c>
      <x:c r="G147" s="7" t="str">
        <x:v>MF-24</x:v>
      </x:c>
      <x:c r="H147" s="7" t="str"/>
      <x:c r="I147" s="7" t="str"/>
      <x:c r="J147" s="7" t="str">
        <x:f>IF(OR(H147="",I147=""),"",I147-H147)</x:f>
      </x:c>
      <x:c r="K147" s="7" t="str"/>
      <x:c r="L147" s="7" t="str"/>
      <x:c r="M147" s="7" t="str">
        <x:f>IF(L147="","OPEN",IF(OR(NOT(ISNUMBER(H147)),NOT(ISNUMBER(I147)),NOT(ISNUMBER(K147)),ABS(J147)&gt;K147),"FAIL","PASS"))</x:f>
        <x:v>OPEN</x:v>
      </x:c>
    </x:row>
    <x:row r="148">
      <x:c r="B148" s="7" t="str">
        <x:v>CAL-CH-PEA-A-X1-24-4</x:v>
      </x:c>
      <x:c r="C148" s="7" t="str">
        <x:v>CH-PEA-A-X1-24-4</x:v>
      </x:c>
      <x:c r="D148" s="7" t="str">
        <x:v>PEA-A-X1</x:v>
      </x:c>
      <x:c r="E148" s="7" t="str">
        <x:v>BLD-A</x:v>
      </x:c>
      <x:c r="F148" s="7" t="str">
        <x:v>BL-X</x:v>
      </x:c>
      <x:c r="G148" s="7" t="str">
        <x:v>MF-24</x:v>
      </x:c>
      <x:c r="H148" s="7" t="str"/>
      <x:c r="I148" s="7" t="str"/>
      <x:c r="J148" s="7" t="str">
        <x:f>IF(OR(H148="",I148=""),"",I148-H148)</x:f>
      </x:c>
      <x:c r="K148" s="7" t="str"/>
      <x:c r="L148" s="7" t="str"/>
      <x:c r="M148" s="7" t="str">
        <x:f>IF(L148="","OPEN",IF(OR(NOT(ISNUMBER(H148)),NOT(ISNUMBER(I148)),NOT(ISNUMBER(K148)),ABS(J148)&gt;K148),"FAIL","PASS"))</x:f>
        <x:v>OPEN</x:v>
      </x:c>
    </x:row>
    <x:row r="149">
      <x:c r="B149" s="7" t="str">
        <x:v>CAL-CH-PEA-A-X1-24-5</x:v>
      </x:c>
      <x:c r="C149" s="7" t="str">
        <x:v>CH-PEA-A-X1-24-5</x:v>
      </x:c>
      <x:c r="D149" s="7" t="str">
        <x:v>PEA-A-X1</x:v>
      </x:c>
      <x:c r="E149" s="7" t="str">
        <x:v>BLD-A</x:v>
      </x:c>
      <x:c r="F149" s="7" t="str">
        <x:v>BL-X</x:v>
      </x:c>
      <x:c r="G149" s="7" t="str">
        <x:v>MF-24</x:v>
      </x:c>
      <x:c r="H149" s="7" t="str"/>
      <x:c r="I149" s="7" t="str"/>
      <x:c r="J149" s="7" t="str">
        <x:f>IF(OR(H149="",I149=""),"",I149-H149)</x:f>
      </x:c>
      <x:c r="K149" s="7" t="str"/>
      <x:c r="L149" s="7" t="str"/>
      <x:c r="M149" s="7" t="str">
        <x:f>IF(L149="","OPEN",IF(OR(NOT(ISNUMBER(H149)),NOT(ISNUMBER(I149)),NOT(ISNUMBER(K149)),ABS(J149)&gt;K149),"FAIL","PASS"))</x:f>
        <x:v>OPEN</x:v>
      </x:c>
    </x:row>
    <x:row r="150">
      <x:c r="B150" s="7" t="str">
        <x:v>CAL-CH-PEA-A-X1-24-6</x:v>
      </x:c>
      <x:c r="C150" s="7" t="str">
        <x:v>CH-PEA-A-X1-24-6</x:v>
      </x:c>
      <x:c r="D150" s="7" t="str">
        <x:v>PEA-A-X1</x:v>
      </x:c>
      <x:c r="E150" s="7" t="str">
        <x:v>BLD-A</x:v>
      </x:c>
      <x:c r="F150" s="7" t="str">
        <x:v>BL-X</x:v>
      </x:c>
      <x:c r="G150" s="7" t="str">
        <x:v>MF-24</x:v>
      </x:c>
      <x:c r="H150" s="7" t="str"/>
      <x:c r="I150" s="7" t="str"/>
      <x:c r="J150" s="7" t="str">
        <x:f>IF(OR(H150="",I150=""),"",I150-H150)</x:f>
      </x:c>
      <x:c r="K150" s="7" t="str"/>
      <x:c r="L150" s="7" t="str"/>
      <x:c r="M150" s="7" t="str">
        <x:f>IF(L150="","OPEN",IF(OR(NOT(ISNUMBER(H150)),NOT(ISNUMBER(I150)),NOT(ISNUMBER(K150)),ABS(J150)&gt;K150),"FAIL","PASS"))</x:f>
        <x:v>OPEN</x:v>
      </x:c>
    </x:row>
    <x:row r="151">
      <x:c r="B151" s="7" t="str">
        <x:v>CAL-CH-PEA-A-X2-01-1</x:v>
      </x:c>
      <x:c r="C151" s="7" t="str">
        <x:v>CH-PEA-A-X2-01-1</x:v>
      </x:c>
      <x:c r="D151" s="7" t="str">
        <x:v>PEA-A-X2</x:v>
      </x:c>
      <x:c r="E151" s="7" t="str">
        <x:v>BLD-A</x:v>
      </x:c>
      <x:c r="F151" s="7" t="str">
        <x:v>BL-X</x:v>
      </x:c>
      <x:c r="G151" s="7" t="str">
        <x:v>MF-01</x:v>
      </x:c>
      <x:c r="H151" s="7" t="str"/>
      <x:c r="I151" s="7" t="str"/>
      <x:c r="J151" s="7" t="str">
        <x:f>IF(OR(H151="",I151=""),"",I151-H151)</x:f>
      </x:c>
      <x:c r="K151" s="7" t="str"/>
      <x:c r="L151" s="7" t="str"/>
      <x:c r="M151" s="7" t="str">
        <x:f>IF(L151="","OPEN",IF(OR(NOT(ISNUMBER(H151)),NOT(ISNUMBER(I151)),NOT(ISNUMBER(K151)),ABS(J151)&gt;K151),"FAIL","PASS"))</x:f>
        <x:v>OPEN</x:v>
      </x:c>
    </x:row>
    <x:row r="152">
      <x:c r="B152" s="7" t="str">
        <x:v>CAL-CH-PEA-A-X2-01-2</x:v>
      </x:c>
      <x:c r="C152" s="7" t="str">
        <x:v>CH-PEA-A-X2-01-2</x:v>
      </x:c>
      <x:c r="D152" s="7" t="str">
        <x:v>PEA-A-X2</x:v>
      </x:c>
      <x:c r="E152" s="7" t="str">
        <x:v>BLD-A</x:v>
      </x:c>
      <x:c r="F152" s="7" t="str">
        <x:v>BL-X</x:v>
      </x:c>
      <x:c r="G152" s="7" t="str">
        <x:v>MF-01</x:v>
      </x:c>
      <x:c r="H152" s="7" t="str"/>
      <x:c r="I152" s="7" t="str"/>
      <x:c r="J152" s="7" t="str">
        <x:f>IF(OR(H152="",I152=""),"",I152-H152)</x:f>
      </x:c>
      <x:c r="K152" s="7" t="str"/>
      <x:c r="L152" s="7" t="str"/>
      <x:c r="M152" s="7" t="str">
        <x:f>IF(L152="","OPEN",IF(OR(NOT(ISNUMBER(H152)),NOT(ISNUMBER(I152)),NOT(ISNUMBER(K152)),ABS(J152)&gt;K152),"FAIL","PASS"))</x:f>
        <x:v>OPEN</x:v>
      </x:c>
    </x:row>
    <x:row r="153">
      <x:c r="B153" s="7" t="str">
        <x:v>CAL-CH-PEA-A-X2-01-3</x:v>
      </x:c>
      <x:c r="C153" s="7" t="str">
        <x:v>CH-PEA-A-X2-01-3</x:v>
      </x:c>
      <x:c r="D153" s="7" t="str">
        <x:v>PEA-A-X2</x:v>
      </x:c>
      <x:c r="E153" s="7" t="str">
        <x:v>BLD-A</x:v>
      </x:c>
      <x:c r="F153" s="7" t="str">
        <x:v>BL-X</x:v>
      </x:c>
      <x:c r="G153" s="7" t="str">
        <x:v>MF-01</x:v>
      </x:c>
      <x:c r="H153" s="7" t="str"/>
      <x:c r="I153" s="7" t="str"/>
      <x:c r="J153" s="7" t="str">
        <x:f>IF(OR(H153="",I153=""),"",I153-H153)</x:f>
      </x:c>
      <x:c r="K153" s="7" t="str"/>
      <x:c r="L153" s="7" t="str"/>
      <x:c r="M153" s="7" t="str">
        <x:f>IF(L153="","OPEN",IF(OR(NOT(ISNUMBER(H153)),NOT(ISNUMBER(I153)),NOT(ISNUMBER(K153)),ABS(J153)&gt;K153),"FAIL","PASS"))</x:f>
        <x:v>OPEN</x:v>
      </x:c>
    </x:row>
    <x:row r="154">
      <x:c r="B154" s="7" t="str">
        <x:v>CAL-CH-PEA-A-X2-01-4</x:v>
      </x:c>
      <x:c r="C154" s="7" t="str">
        <x:v>CH-PEA-A-X2-01-4</x:v>
      </x:c>
      <x:c r="D154" s="7" t="str">
        <x:v>PEA-A-X2</x:v>
      </x:c>
      <x:c r="E154" s="7" t="str">
        <x:v>BLD-A</x:v>
      </x:c>
      <x:c r="F154" s="7" t="str">
        <x:v>BL-X</x:v>
      </x:c>
      <x:c r="G154" s="7" t="str">
        <x:v>MF-01</x:v>
      </x:c>
      <x:c r="H154" s="7" t="str"/>
      <x:c r="I154" s="7" t="str"/>
      <x:c r="J154" s="7" t="str">
        <x:f>IF(OR(H154="",I154=""),"",I154-H154)</x:f>
      </x:c>
      <x:c r="K154" s="7" t="str"/>
      <x:c r="L154" s="7" t="str"/>
      <x:c r="M154" s="7" t="str">
        <x:f>IF(L154="","OPEN",IF(OR(NOT(ISNUMBER(H154)),NOT(ISNUMBER(I154)),NOT(ISNUMBER(K154)),ABS(J154)&gt;K154),"FAIL","PASS"))</x:f>
        <x:v>OPEN</x:v>
      </x:c>
    </x:row>
    <x:row r="155">
      <x:c r="B155" s="7" t="str">
        <x:v>CAL-CH-PEA-A-X2-01-5</x:v>
      </x:c>
      <x:c r="C155" s="7" t="str">
        <x:v>CH-PEA-A-X2-01-5</x:v>
      </x:c>
      <x:c r="D155" s="7" t="str">
        <x:v>PEA-A-X2</x:v>
      </x:c>
      <x:c r="E155" s="7" t="str">
        <x:v>BLD-A</x:v>
      </x:c>
      <x:c r="F155" s="7" t="str">
        <x:v>BL-X</x:v>
      </x:c>
      <x:c r="G155" s="7" t="str">
        <x:v>MF-01</x:v>
      </x:c>
      <x:c r="H155" s="7" t="str"/>
      <x:c r="I155" s="7" t="str"/>
      <x:c r="J155" s="7" t="str">
        <x:f>IF(OR(H155="",I155=""),"",I155-H155)</x:f>
      </x:c>
      <x:c r="K155" s="7" t="str"/>
      <x:c r="L155" s="7" t="str"/>
      <x:c r="M155" s="7" t="str">
        <x:f>IF(L155="","OPEN",IF(OR(NOT(ISNUMBER(H155)),NOT(ISNUMBER(I155)),NOT(ISNUMBER(K155)),ABS(J155)&gt;K155),"FAIL","PASS"))</x:f>
        <x:v>OPEN</x:v>
      </x:c>
    </x:row>
    <x:row r="156">
      <x:c r="B156" s="7" t="str">
        <x:v>CAL-CH-PEA-A-X2-01-6</x:v>
      </x:c>
      <x:c r="C156" s="7" t="str">
        <x:v>CH-PEA-A-X2-01-6</x:v>
      </x:c>
      <x:c r="D156" s="7" t="str">
        <x:v>PEA-A-X2</x:v>
      </x:c>
      <x:c r="E156" s="7" t="str">
        <x:v>BLD-A</x:v>
      </x:c>
      <x:c r="F156" s="7" t="str">
        <x:v>BL-X</x:v>
      </x:c>
      <x:c r="G156" s="7" t="str">
        <x:v>MF-01</x:v>
      </x:c>
      <x:c r="H156" s="7" t="str"/>
      <x:c r="I156" s="7" t="str"/>
      <x:c r="J156" s="7" t="str">
        <x:f>IF(OR(H156="",I156=""),"",I156-H156)</x:f>
      </x:c>
      <x:c r="K156" s="7" t="str"/>
      <x:c r="L156" s="7" t="str"/>
      <x:c r="M156" s="7" t="str">
        <x:f>IF(L156="","OPEN",IF(OR(NOT(ISNUMBER(H156)),NOT(ISNUMBER(I156)),NOT(ISNUMBER(K156)),ABS(J156)&gt;K156),"FAIL","PASS"))</x:f>
        <x:v>OPEN</x:v>
      </x:c>
    </x:row>
    <x:row r="157">
      <x:c r="B157" s="7" t="str">
        <x:v>CAL-CH-PEA-A-X2-02-1</x:v>
      </x:c>
      <x:c r="C157" s="7" t="str">
        <x:v>CH-PEA-A-X2-02-1</x:v>
      </x:c>
      <x:c r="D157" s="7" t="str">
        <x:v>PEA-A-X2</x:v>
      </x:c>
      <x:c r="E157" s="7" t="str">
        <x:v>BLD-A</x:v>
      </x:c>
      <x:c r="F157" s="7" t="str">
        <x:v>BL-X</x:v>
      </x:c>
      <x:c r="G157" s="7" t="str">
        <x:v>MF-02</x:v>
      </x:c>
      <x:c r="H157" s="7" t="str"/>
      <x:c r="I157" s="7" t="str"/>
      <x:c r="J157" s="7" t="str">
        <x:f>IF(OR(H157="",I157=""),"",I157-H157)</x:f>
      </x:c>
      <x:c r="K157" s="7" t="str"/>
      <x:c r="L157" s="7" t="str"/>
      <x:c r="M157" s="7" t="str">
        <x:f>IF(L157="","OPEN",IF(OR(NOT(ISNUMBER(H157)),NOT(ISNUMBER(I157)),NOT(ISNUMBER(K157)),ABS(J157)&gt;K157),"FAIL","PASS"))</x:f>
        <x:v>OPEN</x:v>
      </x:c>
    </x:row>
    <x:row r="158">
      <x:c r="B158" s="7" t="str">
        <x:v>CAL-CH-PEA-A-X2-02-2</x:v>
      </x:c>
      <x:c r="C158" s="7" t="str">
        <x:v>CH-PEA-A-X2-02-2</x:v>
      </x:c>
      <x:c r="D158" s="7" t="str">
        <x:v>PEA-A-X2</x:v>
      </x:c>
      <x:c r="E158" s="7" t="str">
        <x:v>BLD-A</x:v>
      </x:c>
      <x:c r="F158" s="7" t="str">
        <x:v>BL-X</x:v>
      </x:c>
      <x:c r="G158" s="7" t="str">
        <x:v>MF-02</x:v>
      </x:c>
      <x:c r="H158" s="7" t="str"/>
      <x:c r="I158" s="7" t="str"/>
      <x:c r="J158" s="7" t="str">
        <x:f>IF(OR(H158="",I158=""),"",I158-H158)</x:f>
      </x:c>
      <x:c r="K158" s="7" t="str"/>
      <x:c r="L158" s="7" t="str"/>
      <x:c r="M158" s="7" t="str">
        <x:f>IF(L158="","OPEN",IF(OR(NOT(ISNUMBER(H158)),NOT(ISNUMBER(I158)),NOT(ISNUMBER(K158)),ABS(J158)&gt;K158),"FAIL","PASS"))</x:f>
        <x:v>OPEN</x:v>
      </x:c>
    </x:row>
    <x:row r="159">
      <x:c r="B159" s="7" t="str">
        <x:v>CAL-CH-PEA-A-X2-02-3</x:v>
      </x:c>
      <x:c r="C159" s="7" t="str">
        <x:v>CH-PEA-A-X2-02-3</x:v>
      </x:c>
      <x:c r="D159" s="7" t="str">
        <x:v>PEA-A-X2</x:v>
      </x:c>
      <x:c r="E159" s="7" t="str">
        <x:v>BLD-A</x:v>
      </x:c>
      <x:c r="F159" s="7" t="str">
        <x:v>BL-X</x:v>
      </x:c>
      <x:c r="G159" s="7" t="str">
        <x:v>MF-02</x:v>
      </x:c>
      <x:c r="H159" s="7" t="str"/>
      <x:c r="I159" s="7" t="str"/>
      <x:c r="J159" s="7" t="str">
        <x:f>IF(OR(H159="",I159=""),"",I159-H159)</x:f>
      </x:c>
      <x:c r="K159" s="7" t="str"/>
      <x:c r="L159" s="7" t="str"/>
      <x:c r="M159" s="7" t="str">
        <x:f>IF(L159="","OPEN",IF(OR(NOT(ISNUMBER(H159)),NOT(ISNUMBER(I159)),NOT(ISNUMBER(K159)),ABS(J159)&gt;K159),"FAIL","PASS"))</x:f>
        <x:v>OPEN</x:v>
      </x:c>
    </x:row>
    <x:row r="160">
      <x:c r="B160" s="7" t="str">
        <x:v>CAL-CH-PEA-A-X2-02-4</x:v>
      </x:c>
      <x:c r="C160" s="7" t="str">
        <x:v>CH-PEA-A-X2-02-4</x:v>
      </x:c>
      <x:c r="D160" s="7" t="str">
        <x:v>PEA-A-X2</x:v>
      </x:c>
      <x:c r="E160" s="7" t="str">
        <x:v>BLD-A</x:v>
      </x:c>
      <x:c r="F160" s="7" t="str">
        <x:v>BL-X</x:v>
      </x:c>
      <x:c r="G160" s="7" t="str">
        <x:v>MF-02</x:v>
      </x:c>
      <x:c r="H160" s="7" t="str"/>
      <x:c r="I160" s="7" t="str"/>
      <x:c r="J160" s="7" t="str">
        <x:f>IF(OR(H160="",I160=""),"",I160-H160)</x:f>
      </x:c>
      <x:c r="K160" s="7" t="str"/>
      <x:c r="L160" s="7" t="str"/>
      <x:c r="M160" s="7" t="str">
        <x:f>IF(L160="","OPEN",IF(OR(NOT(ISNUMBER(H160)),NOT(ISNUMBER(I160)),NOT(ISNUMBER(K160)),ABS(J160)&gt;K160),"FAIL","PASS"))</x:f>
        <x:v>OPEN</x:v>
      </x:c>
    </x:row>
    <x:row r="161">
      <x:c r="B161" s="7" t="str">
        <x:v>CAL-CH-PEA-A-X2-02-5</x:v>
      </x:c>
      <x:c r="C161" s="7" t="str">
        <x:v>CH-PEA-A-X2-02-5</x:v>
      </x:c>
      <x:c r="D161" s="7" t="str">
        <x:v>PEA-A-X2</x:v>
      </x:c>
      <x:c r="E161" s="7" t="str">
        <x:v>BLD-A</x:v>
      </x:c>
      <x:c r="F161" s="7" t="str">
        <x:v>BL-X</x:v>
      </x:c>
      <x:c r="G161" s="7" t="str">
        <x:v>MF-02</x:v>
      </x:c>
      <x:c r="H161" s="7" t="str"/>
      <x:c r="I161" s="7" t="str"/>
      <x:c r="J161" s="7" t="str">
        <x:f>IF(OR(H161="",I161=""),"",I161-H161)</x:f>
      </x:c>
      <x:c r="K161" s="7" t="str"/>
      <x:c r="L161" s="7" t="str"/>
      <x:c r="M161" s="7" t="str">
        <x:f>IF(L161="","OPEN",IF(OR(NOT(ISNUMBER(H161)),NOT(ISNUMBER(I161)),NOT(ISNUMBER(K161)),ABS(J161)&gt;K161),"FAIL","PASS"))</x:f>
        <x:v>OPEN</x:v>
      </x:c>
    </x:row>
    <x:row r="162">
      <x:c r="B162" s="7" t="str">
        <x:v>CAL-CH-PEA-A-X2-02-6</x:v>
      </x:c>
      <x:c r="C162" s="7" t="str">
        <x:v>CH-PEA-A-X2-02-6</x:v>
      </x:c>
      <x:c r="D162" s="7" t="str">
        <x:v>PEA-A-X2</x:v>
      </x:c>
      <x:c r="E162" s="7" t="str">
        <x:v>BLD-A</x:v>
      </x:c>
      <x:c r="F162" s="7" t="str">
        <x:v>BL-X</x:v>
      </x:c>
      <x:c r="G162" s="7" t="str">
        <x:v>MF-02</x:v>
      </x:c>
      <x:c r="H162" s="7" t="str"/>
      <x:c r="I162" s="7" t="str"/>
      <x:c r="J162" s="7" t="str">
        <x:f>IF(OR(H162="",I162=""),"",I162-H162)</x:f>
      </x:c>
      <x:c r="K162" s="7" t="str"/>
      <x:c r="L162" s="7" t="str"/>
      <x:c r="M162" s="7" t="str">
        <x:f>IF(L162="","OPEN",IF(OR(NOT(ISNUMBER(H162)),NOT(ISNUMBER(I162)),NOT(ISNUMBER(K162)),ABS(J162)&gt;K162),"FAIL","PASS"))</x:f>
        <x:v>OPEN</x:v>
      </x:c>
    </x:row>
    <x:row r="163">
      <x:c r="B163" s="7" t="str">
        <x:v>CAL-CH-PEA-A-X2-03-1</x:v>
      </x:c>
      <x:c r="C163" s="7" t="str">
        <x:v>CH-PEA-A-X2-03-1</x:v>
      </x:c>
      <x:c r="D163" s="7" t="str">
        <x:v>PEA-A-X2</x:v>
      </x:c>
      <x:c r="E163" s="7" t="str">
        <x:v>BLD-A</x:v>
      </x:c>
      <x:c r="F163" s="7" t="str">
        <x:v>BL-X</x:v>
      </x:c>
      <x:c r="G163" s="7" t="str">
        <x:v>MF-03</x:v>
      </x:c>
      <x:c r="H163" s="7" t="str"/>
      <x:c r="I163" s="7" t="str"/>
      <x:c r="J163" s="7" t="str">
        <x:f>IF(OR(H163="",I163=""),"",I163-H163)</x:f>
      </x:c>
      <x:c r="K163" s="7" t="str"/>
      <x:c r="L163" s="7" t="str"/>
      <x:c r="M163" s="7" t="str">
        <x:f>IF(L163="","OPEN",IF(OR(NOT(ISNUMBER(H163)),NOT(ISNUMBER(I163)),NOT(ISNUMBER(K163)),ABS(J163)&gt;K163),"FAIL","PASS"))</x:f>
        <x:v>OPEN</x:v>
      </x:c>
    </x:row>
    <x:row r="164">
      <x:c r="B164" s="7" t="str">
        <x:v>CAL-CH-PEA-A-X2-03-2</x:v>
      </x:c>
      <x:c r="C164" s="7" t="str">
        <x:v>CH-PEA-A-X2-03-2</x:v>
      </x:c>
      <x:c r="D164" s="7" t="str">
        <x:v>PEA-A-X2</x:v>
      </x:c>
      <x:c r="E164" s="7" t="str">
        <x:v>BLD-A</x:v>
      </x:c>
      <x:c r="F164" s="7" t="str">
        <x:v>BL-X</x:v>
      </x:c>
      <x:c r="G164" s="7" t="str">
        <x:v>MF-03</x:v>
      </x:c>
      <x:c r="H164" s="7" t="str"/>
      <x:c r="I164" s="7" t="str"/>
      <x:c r="J164" s="7" t="str">
        <x:f>IF(OR(H164="",I164=""),"",I164-H164)</x:f>
      </x:c>
      <x:c r="K164" s="7" t="str"/>
      <x:c r="L164" s="7" t="str"/>
      <x:c r="M164" s="7" t="str">
        <x:f>IF(L164="","OPEN",IF(OR(NOT(ISNUMBER(H164)),NOT(ISNUMBER(I164)),NOT(ISNUMBER(K164)),ABS(J164)&gt;K164),"FAIL","PASS"))</x:f>
        <x:v>OPEN</x:v>
      </x:c>
    </x:row>
    <x:row r="165">
      <x:c r="B165" s="7" t="str">
        <x:v>CAL-CH-PEA-A-X2-03-3</x:v>
      </x:c>
      <x:c r="C165" s="7" t="str">
        <x:v>CH-PEA-A-X2-03-3</x:v>
      </x:c>
      <x:c r="D165" s="7" t="str">
        <x:v>PEA-A-X2</x:v>
      </x:c>
      <x:c r="E165" s="7" t="str">
        <x:v>BLD-A</x:v>
      </x:c>
      <x:c r="F165" s="7" t="str">
        <x:v>BL-X</x:v>
      </x:c>
      <x:c r="G165" s="7" t="str">
        <x:v>MF-03</x:v>
      </x:c>
      <x:c r="H165" s="7" t="str"/>
      <x:c r="I165" s="7" t="str"/>
      <x:c r="J165" s="7" t="str">
        <x:f>IF(OR(H165="",I165=""),"",I165-H165)</x:f>
      </x:c>
      <x:c r="K165" s="7" t="str"/>
      <x:c r="L165" s="7" t="str"/>
      <x:c r="M165" s="7" t="str">
        <x:f>IF(L165="","OPEN",IF(OR(NOT(ISNUMBER(H165)),NOT(ISNUMBER(I165)),NOT(ISNUMBER(K165)),ABS(J165)&gt;K165),"FAIL","PASS"))</x:f>
        <x:v>OPEN</x:v>
      </x:c>
    </x:row>
    <x:row r="166">
      <x:c r="B166" s="7" t="str">
        <x:v>CAL-CH-PEA-A-X2-03-4</x:v>
      </x:c>
      <x:c r="C166" s="7" t="str">
        <x:v>CH-PEA-A-X2-03-4</x:v>
      </x:c>
      <x:c r="D166" s="7" t="str">
        <x:v>PEA-A-X2</x:v>
      </x:c>
      <x:c r="E166" s="7" t="str">
        <x:v>BLD-A</x:v>
      </x:c>
      <x:c r="F166" s="7" t="str">
        <x:v>BL-X</x:v>
      </x:c>
      <x:c r="G166" s="7" t="str">
        <x:v>MF-03</x:v>
      </x:c>
      <x:c r="H166" s="7" t="str"/>
      <x:c r="I166" s="7" t="str"/>
      <x:c r="J166" s="7" t="str">
        <x:f>IF(OR(H166="",I166=""),"",I166-H166)</x:f>
      </x:c>
      <x:c r="K166" s="7" t="str"/>
      <x:c r="L166" s="7" t="str"/>
      <x:c r="M166" s="7" t="str">
        <x:f>IF(L166="","OPEN",IF(OR(NOT(ISNUMBER(H166)),NOT(ISNUMBER(I166)),NOT(ISNUMBER(K166)),ABS(J166)&gt;K166),"FAIL","PASS"))</x:f>
        <x:v>OPEN</x:v>
      </x:c>
    </x:row>
    <x:row r="167">
      <x:c r="B167" s="7" t="str">
        <x:v>CAL-CH-PEA-A-X2-03-5</x:v>
      </x:c>
      <x:c r="C167" s="7" t="str">
        <x:v>CH-PEA-A-X2-03-5</x:v>
      </x:c>
      <x:c r="D167" s="7" t="str">
        <x:v>PEA-A-X2</x:v>
      </x:c>
      <x:c r="E167" s="7" t="str">
        <x:v>BLD-A</x:v>
      </x:c>
      <x:c r="F167" s="7" t="str">
        <x:v>BL-X</x:v>
      </x:c>
      <x:c r="G167" s="7" t="str">
        <x:v>MF-03</x:v>
      </x:c>
      <x:c r="H167" s="7" t="str"/>
      <x:c r="I167" s="7" t="str"/>
      <x:c r="J167" s="7" t="str">
        <x:f>IF(OR(H167="",I167=""),"",I167-H167)</x:f>
      </x:c>
      <x:c r="K167" s="7" t="str"/>
      <x:c r="L167" s="7" t="str"/>
      <x:c r="M167" s="7" t="str">
        <x:f>IF(L167="","OPEN",IF(OR(NOT(ISNUMBER(H167)),NOT(ISNUMBER(I167)),NOT(ISNUMBER(K167)),ABS(J167)&gt;K167),"FAIL","PASS"))</x:f>
        <x:v>OPEN</x:v>
      </x:c>
    </x:row>
    <x:row r="168">
      <x:c r="B168" s="7" t="str">
        <x:v>CAL-CH-PEA-A-X2-03-6</x:v>
      </x:c>
      <x:c r="C168" s="7" t="str">
        <x:v>CH-PEA-A-X2-03-6</x:v>
      </x:c>
      <x:c r="D168" s="7" t="str">
        <x:v>PEA-A-X2</x:v>
      </x:c>
      <x:c r="E168" s="7" t="str">
        <x:v>BLD-A</x:v>
      </x:c>
      <x:c r="F168" s="7" t="str">
        <x:v>BL-X</x:v>
      </x:c>
      <x:c r="G168" s="7" t="str">
        <x:v>MF-03</x:v>
      </x:c>
      <x:c r="H168" s="7" t="str"/>
      <x:c r="I168" s="7" t="str"/>
      <x:c r="J168" s="7" t="str">
        <x:f>IF(OR(H168="",I168=""),"",I168-H168)</x:f>
      </x:c>
      <x:c r="K168" s="7" t="str"/>
      <x:c r="L168" s="7" t="str"/>
      <x:c r="M168" s="7" t="str">
        <x:f>IF(L168="","OPEN",IF(OR(NOT(ISNUMBER(H168)),NOT(ISNUMBER(I168)),NOT(ISNUMBER(K168)),ABS(J168)&gt;K168),"FAIL","PASS"))</x:f>
        <x:v>OPEN</x:v>
      </x:c>
    </x:row>
    <x:row r="169">
      <x:c r="B169" s="7" t="str">
        <x:v>CAL-CH-PEA-A-X2-04-1</x:v>
      </x:c>
      <x:c r="C169" s="7" t="str">
        <x:v>CH-PEA-A-X2-04-1</x:v>
      </x:c>
      <x:c r="D169" s="7" t="str">
        <x:v>PEA-A-X2</x:v>
      </x:c>
      <x:c r="E169" s="7" t="str">
        <x:v>BLD-A</x:v>
      </x:c>
      <x:c r="F169" s="7" t="str">
        <x:v>BL-X</x:v>
      </x:c>
      <x:c r="G169" s="7" t="str">
        <x:v>MF-04</x:v>
      </x:c>
      <x:c r="H169" s="7" t="str"/>
      <x:c r="I169" s="7" t="str"/>
      <x:c r="J169" s="7" t="str">
        <x:f>IF(OR(H169="",I169=""),"",I169-H169)</x:f>
      </x:c>
      <x:c r="K169" s="7" t="str"/>
      <x:c r="L169" s="7" t="str"/>
      <x:c r="M169" s="7" t="str">
        <x:f>IF(L169="","OPEN",IF(OR(NOT(ISNUMBER(H169)),NOT(ISNUMBER(I169)),NOT(ISNUMBER(K169)),ABS(J169)&gt;K169),"FAIL","PASS"))</x:f>
        <x:v>OPEN</x:v>
      </x:c>
    </x:row>
    <x:row r="170">
      <x:c r="B170" s="7" t="str">
        <x:v>CAL-CH-PEA-A-X2-04-2</x:v>
      </x:c>
      <x:c r="C170" s="7" t="str">
        <x:v>CH-PEA-A-X2-04-2</x:v>
      </x:c>
      <x:c r="D170" s="7" t="str">
        <x:v>PEA-A-X2</x:v>
      </x:c>
      <x:c r="E170" s="7" t="str">
        <x:v>BLD-A</x:v>
      </x:c>
      <x:c r="F170" s="7" t="str">
        <x:v>BL-X</x:v>
      </x:c>
      <x:c r="G170" s="7" t="str">
        <x:v>MF-04</x:v>
      </x:c>
      <x:c r="H170" s="7" t="str"/>
      <x:c r="I170" s="7" t="str"/>
      <x:c r="J170" s="7" t="str">
        <x:f>IF(OR(H170="",I170=""),"",I170-H170)</x:f>
      </x:c>
      <x:c r="K170" s="7" t="str"/>
      <x:c r="L170" s="7" t="str"/>
      <x:c r="M170" s="7" t="str">
        <x:f>IF(L170="","OPEN",IF(OR(NOT(ISNUMBER(H170)),NOT(ISNUMBER(I170)),NOT(ISNUMBER(K170)),ABS(J170)&gt;K170),"FAIL","PASS"))</x:f>
        <x:v>OPEN</x:v>
      </x:c>
    </x:row>
    <x:row r="171">
      <x:c r="B171" s="7" t="str">
        <x:v>CAL-CH-PEA-A-X2-04-3</x:v>
      </x:c>
      <x:c r="C171" s="7" t="str">
        <x:v>CH-PEA-A-X2-04-3</x:v>
      </x:c>
      <x:c r="D171" s="7" t="str">
        <x:v>PEA-A-X2</x:v>
      </x:c>
      <x:c r="E171" s="7" t="str">
        <x:v>BLD-A</x:v>
      </x:c>
      <x:c r="F171" s="7" t="str">
        <x:v>BL-X</x:v>
      </x:c>
      <x:c r="G171" s="7" t="str">
        <x:v>MF-04</x:v>
      </x:c>
      <x:c r="H171" s="7" t="str"/>
      <x:c r="I171" s="7" t="str"/>
      <x:c r="J171" s="7" t="str">
        <x:f>IF(OR(H171="",I171=""),"",I171-H171)</x:f>
      </x:c>
      <x:c r="K171" s="7" t="str"/>
      <x:c r="L171" s="7" t="str"/>
      <x:c r="M171" s="7" t="str">
        <x:f>IF(L171="","OPEN",IF(OR(NOT(ISNUMBER(H171)),NOT(ISNUMBER(I171)),NOT(ISNUMBER(K171)),ABS(J171)&gt;K171),"FAIL","PASS"))</x:f>
        <x:v>OPEN</x:v>
      </x:c>
    </x:row>
    <x:row r="172">
      <x:c r="B172" s="7" t="str">
        <x:v>CAL-CH-PEA-A-X2-04-4</x:v>
      </x:c>
      <x:c r="C172" s="7" t="str">
        <x:v>CH-PEA-A-X2-04-4</x:v>
      </x:c>
      <x:c r="D172" s="7" t="str">
        <x:v>PEA-A-X2</x:v>
      </x:c>
      <x:c r="E172" s="7" t="str">
        <x:v>BLD-A</x:v>
      </x:c>
      <x:c r="F172" s="7" t="str">
        <x:v>BL-X</x:v>
      </x:c>
      <x:c r="G172" s="7" t="str">
        <x:v>MF-04</x:v>
      </x:c>
      <x:c r="H172" s="7" t="str"/>
      <x:c r="I172" s="7" t="str"/>
      <x:c r="J172" s="7" t="str">
        <x:f>IF(OR(H172="",I172=""),"",I172-H172)</x:f>
      </x:c>
      <x:c r="K172" s="7" t="str"/>
      <x:c r="L172" s="7" t="str"/>
      <x:c r="M172" s="7" t="str">
        <x:f>IF(L172="","OPEN",IF(OR(NOT(ISNUMBER(H172)),NOT(ISNUMBER(I172)),NOT(ISNUMBER(K172)),ABS(J172)&gt;K172),"FAIL","PASS"))</x:f>
        <x:v>OPEN</x:v>
      </x:c>
    </x:row>
    <x:row r="173">
      <x:c r="B173" s="7" t="str">
        <x:v>CAL-CH-PEA-A-X2-04-5</x:v>
      </x:c>
      <x:c r="C173" s="7" t="str">
        <x:v>CH-PEA-A-X2-04-5</x:v>
      </x:c>
      <x:c r="D173" s="7" t="str">
        <x:v>PEA-A-X2</x:v>
      </x:c>
      <x:c r="E173" s="7" t="str">
        <x:v>BLD-A</x:v>
      </x:c>
      <x:c r="F173" s="7" t="str">
        <x:v>BL-X</x:v>
      </x:c>
      <x:c r="G173" s="7" t="str">
        <x:v>MF-04</x:v>
      </x:c>
      <x:c r="H173" s="7" t="str"/>
      <x:c r="I173" s="7" t="str"/>
      <x:c r="J173" s="7" t="str">
        <x:f>IF(OR(H173="",I173=""),"",I173-H173)</x:f>
      </x:c>
      <x:c r="K173" s="7" t="str"/>
      <x:c r="L173" s="7" t="str"/>
      <x:c r="M173" s="7" t="str">
        <x:f>IF(L173="","OPEN",IF(OR(NOT(ISNUMBER(H173)),NOT(ISNUMBER(I173)),NOT(ISNUMBER(K173)),ABS(J173)&gt;K173),"FAIL","PASS"))</x:f>
        <x:v>OPEN</x:v>
      </x:c>
    </x:row>
    <x:row r="174">
      <x:c r="B174" s="7" t="str">
        <x:v>CAL-CH-PEA-A-X2-04-6</x:v>
      </x:c>
      <x:c r="C174" s="7" t="str">
        <x:v>CH-PEA-A-X2-04-6</x:v>
      </x:c>
      <x:c r="D174" s="7" t="str">
        <x:v>PEA-A-X2</x:v>
      </x:c>
      <x:c r="E174" s="7" t="str">
        <x:v>BLD-A</x:v>
      </x:c>
      <x:c r="F174" s="7" t="str">
        <x:v>BL-X</x:v>
      </x:c>
      <x:c r="G174" s="7" t="str">
        <x:v>MF-04</x:v>
      </x:c>
      <x:c r="H174" s="7" t="str"/>
      <x:c r="I174" s="7" t="str"/>
      <x:c r="J174" s="7" t="str">
        <x:f>IF(OR(H174="",I174=""),"",I174-H174)</x:f>
      </x:c>
      <x:c r="K174" s="7" t="str"/>
      <x:c r="L174" s="7" t="str"/>
      <x:c r="M174" s="7" t="str">
        <x:f>IF(L174="","OPEN",IF(OR(NOT(ISNUMBER(H174)),NOT(ISNUMBER(I174)),NOT(ISNUMBER(K174)),ABS(J174)&gt;K174),"FAIL","PASS"))</x:f>
        <x:v>OPEN</x:v>
      </x:c>
    </x:row>
    <x:row r="175">
      <x:c r="B175" s="7" t="str">
        <x:v>CAL-CH-PEA-A-X2-05-1</x:v>
      </x:c>
      <x:c r="C175" s="7" t="str">
        <x:v>CH-PEA-A-X2-05-1</x:v>
      </x:c>
      <x:c r="D175" s="7" t="str">
        <x:v>PEA-A-X2</x:v>
      </x:c>
      <x:c r="E175" s="7" t="str">
        <x:v>BLD-A</x:v>
      </x:c>
      <x:c r="F175" s="7" t="str">
        <x:v>BL-X</x:v>
      </x:c>
      <x:c r="G175" s="7" t="str">
        <x:v>MF-05</x:v>
      </x:c>
      <x:c r="H175" s="7" t="str"/>
      <x:c r="I175" s="7" t="str"/>
      <x:c r="J175" s="7" t="str">
        <x:f>IF(OR(H175="",I175=""),"",I175-H175)</x:f>
      </x:c>
      <x:c r="K175" s="7" t="str"/>
      <x:c r="L175" s="7" t="str"/>
      <x:c r="M175" s="7" t="str">
        <x:f>IF(L175="","OPEN",IF(OR(NOT(ISNUMBER(H175)),NOT(ISNUMBER(I175)),NOT(ISNUMBER(K175)),ABS(J175)&gt;K175),"FAIL","PASS"))</x:f>
        <x:v>OPEN</x:v>
      </x:c>
    </x:row>
    <x:row r="176">
      <x:c r="B176" s="7" t="str">
        <x:v>CAL-CH-PEA-A-X2-05-2</x:v>
      </x:c>
      <x:c r="C176" s="7" t="str">
        <x:v>CH-PEA-A-X2-05-2</x:v>
      </x:c>
      <x:c r="D176" s="7" t="str">
        <x:v>PEA-A-X2</x:v>
      </x:c>
      <x:c r="E176" s="7" t="str">
        <x:v>BLD-A</x:v>
      </x:c>
      <x:c r="F176" s="7" t="str">
        <x:v>BL-X</x:v>
      </x:c>
      <x:c r="G176" s="7" t="str">
        <x:v>MF-05</x:v>
      </x:c>
      <x:c r="H176" s="7" t="str"/>
      <x:c r="I176" s="7" t="str"/>
      <x:c r="J176" s="7" t="str">
        <x:f>IF(OR(H176="",I176=""),"",I176-H176)</x:f>
      </x:c>
      <x:c r="K176" s="7" t="str"/>
      <x:c r="L176" s="7" t="str"/>
      <x:c r="M176" s="7" t="str">
        <x:f>IF(L176="","OPEN",IF(OR(NOT(ISNUMBER(H176)),NOT(ISNUMBER(I176)),NOT(ISNUMBER(K176)),ABS(J176)&gt;K176),"FAIL","PASS"))</x:f>
        <x:v>OPEN</x:v>
      </x:c>
    </x:row>
    <x:row r="177">
      <x:c r="B177" s="7" t="str">
        <x:v>CAL-CH-PEA-A-X2-05-3</x:v>
      </x:c>
      <x:c r="C177" s="7" t="str">
        <x:v>CH-PEA-A-X2-05-3</x:v>
      </x:c>
      <x:c r="D177" s="7" t="str">
        <x:v>PEA-A-X2</x:v>
      </x:c>
      <x:c r="E177" s="7" t="str">
        <x:v>BLD-A</x:v>
      </x:c>
      <x:c r="F177" s="7" t="str">
        <x:v>BL-X</x:v>
      </x:c>
      <x:c r="G177" s="7" t="str">
        <x:v>MF-05</x:v>
      </x:c>
      <x:c r="H177" s="7" t="str"/>
      <x:c r="I177" s="7" t="str"/>
      <x:c r="J177" s="7" t="str">
        <x:f>IF(OR(H177="",I177=""),"",I177-H177)</x:f>
      </x:c>
      <x:c r="K177" s="7" t="str"/>
      <x:c r="L177" s="7" t="str"/>
      <x:c r="M177" s="7" t="str">
        <x:f>IF(L177="","OPEN",IF(OR(NOT(ISNUMBER(H177)),NOT(ISNUMBER(I177)),NOT(ISNUMBER(K177)),ABS(J177)&gt;K177),"FAIL","PASS"))</x:f>
        <x:v>OPEN</x:v>
      </x:c>
    </x:row>
    <x:row r="178">
      <x:c r="B178" s="7" t="str">
        <x:v>CAL-CH-PEA-A-X2-05-4</x:v>
      </x:c>
      <x:c r="C178" s="7" t="str">
        <x:v>CH-PEA-A-X2-05-4</x:v>
      </x:c>
      <x:c r="D178" s="7" t="str">
        <x:v>PEA-A-X2</x:v>
      </x:c>
      <x:c r="E178" s="7" t="str">
        <x:v>BLD-A</x:v>
      </x:c>
      <x:c r="F178" s="7" t="str">
        <x:v>BL-X</x:v>
      </x:c>
      <x:c r="G178" s="7" t="str">
        <x:v>MF-05</x:v>
      </x:c>
      <x:c r="H178" s="7" t="str"/>
      <x:c r="I178" s="7" t="str"/>
      <x:c r="J178" s="7" t="str">
        <x:f>IF(OR(H178="",I178=""),"",I178-H178)</x:f>
      </x:c>
      <x:c r="K178" s="7" t="str"/>
      <x:c r="L178" s="7" t="str"/>
      <x:c r="M178" s="7" t="str">
        <x:f>IF(L178="","OPEN",IF(OR(NOT(ISNUMBER(H178)),NOT(ISNUMBER(I178)),NOT(ISNUMBER(K178)),ABS(J178)&gt;K178),"FAIL","PASS"))</x:f>
        <x:v>OPEN</x:v>
      </x:c>
    </x:row>
    <x:row r="179">
      <x:c r="B179" s="7" t="str">
        <x:v>CAL-CH-PEA-A-X2-05-5</x:v>
      </x:c>
      <x:c r="C179" s="7" t="str">
        <x:v>CH-PEA-A-X2-05-5</x:v>
      </x:c>
      <x:c r="D179" s="7" t="str">
        <x:v>PEA-A-X2</x:v>
      </x:c>
      <x:c r="E179" s="7" t="str">
        <x:v>BLD-A</x:v>
      </x:c>
      <x:c r="F179" s="7" t="str">
        <x:v>BL-X</x:v>
      </x:c>
      <x:c r="G179" s="7" t="str">
        <x:v>MF-05</x:v>
      </x:c>
      <x:c r="H179" s="7" t="str"/>
      <x:c r="I179" s="7" t="str"/>
      <x:c r="J179" s="7" t="str">
        <x:f>IF(OR(H179="",I179=""),"",I179-H179)</x:f>
      </x:c>
      <x:c r="K179" s="7" t="str"/>
      <x:c r="L179" s="7" t="str"/>
      <x:c r="M179" s="7" t="str">
        <x:f>IF(L179="","OPEN",IF(OR(NOT(ISNUMBER(H179)),NOT(ISNUMBER(I179)),NOT(ISNUMBER(K179)),ABS(J179)&gt;K179),"FAIL","PASS"))</x:f>
        <x:v>OPEN</x:v>
      </x:c>
    </x:row>
    <x:row r="180">
      <x:c r="B180" s="7" t="str">
        <x:v>CAL-CH-PEA-A-X2-05-6</x:v>
      </x:c>
      <x:c r="C180" s="7" t="str">
        <x:v>CH-PEA-A-X2-05-6</x:v>
      </x:c>
      <x:c r="D180" s="7" t="str">
        <x:v>PEA-A-X2</x:v>
      </x:c>
      <x:c r="E180" s="7" t="str">
        <x:v>BLD-A</x:v>
      </x:c>
      <x:c r="F180" s="7" t="str">
        <x:v>BL-X</x:v>
      </x:c>
      <x:c r="G180" s="7" t="str">
        <x:v>MF-05</x:v>
      </x:c>
      <x:c r="H180" s="7" t="str"/>
      <x:c r="I180" s="7" t="str"/>
      <x:c r="J180" s="7" t="str">
        <x:f>IF(OR(H180="",I180=""),"",I180-H180)</x:f>
      </x:c>
      <x:c r="K180" s="7" t="str"/>
      <x:c r="L180" s="7" t="str"/>
      <x:c r="M180" s="7" t="str">
        <x:f>IF(L180="","OPEN",IF(OR(NOT(ISNUMBER(H180)),NOT(ISNUMBER(I180)),NOT(ISNUMBER(K180)),ABS(J180)&gt;K180),"FAIL","PASS"))</x:f>
        <x:v>OPEN</x:v>
      </x:c>
    </x:row>
    <x:row r="181">
      <x:c r="B181" s="7" t="str">
        <x:v>CAL-CH-PEA-A-X2-06-1</x:v>
      </x:c>
      <x:c r="C181" s="7" t="str">
        <x:v>CH-PEA-A-X2-06-1</x:v>
      </x:c>
      <x:c r="D181" s="7" t="str">
        <x:v>PEA-A-X2</x:v>
      </x:c>
      <x:c r="E181" s="7" t="str">
        <x:v>BLD-A</x:v>
      </x:c>
      <x:c r="F181" s="7" t="str">
        <x:v>BL-X</x:v>
      </x:c>
      <x:c r="G181" s="7" t="str">
        <x:v>MF-06</x:v>
      </x:c>
      <x:c r="H181" s="7" t="str"/>
      <x:c r="I181" s="7" t="str"/>
      <x:c r="J181" s="7" t="str">
        <x:f>IF(OR(H181="",I181=""),"",I181-H181)</x:f>
      </x:c>
      <x:c r="K181" s="7" t="str"/>
      <x:c r="L181" s="7" t="str"/>
      <x:c r="M181" s="7" t="str">
        <x:f>IF(L181="","OPEN",IF(OR(NOT(ISNUMBER(H181)),NOT(ISNUMBER(I181)),NOT(ISNUMBER(K181)),ABS(J181)&gt;K181),"FAIL","PASS"))</x:f>
        <x:v>OPEN</x:v>
      </x:c>
    </x:row>
    <x:row r="182">
      <x:c r="B182" s="7" t="str">
        <x:v>CAL-CH-PEA-A-X2-06-2</x:v>
      </x:c>
      <x:c r="C182" s="7" t="str">
        <x:v>CH-PEA-A-X2-06-2</x:v>
      </x:c>
      <x:c r="D182" s="7" t="str">
        <x:v>PEA-A-X2</x:v>
      </x:c>
      <x:c r="E182" s="7" t="str">
        <x:v>BLD-A</x:v>
      </x:c>
      <x:c r="F182" s="7" t="str">
        <x:v>BL-X</x:v>
      </x:c>
      <x:c r="G182" s="7" t="str">
        <x:v>MF-06</x:v>
      </x:c>
      <x:c r="H182" s="7" t="str"/>
      <x:c r="I182" s="7" t="str"/>
      <x:c r="J182" s="7" t="str">
        <x:f>IF(OR(H182="",I182=""),"",I182-H182)</x:f>
      </x:c>
      <x:c r="K182" s="7" t="str"/>
      <x:c r="L182" s="7" t="str"/>
      <x:c r="M182" s="7" t="str">
        <x:f>IF(L182="","OPEN",IF(OR(NOT(ISNUMBER(H182)),NOT(ISNUMBER(I182)),NOT(ISNUMBER(K182)),ABS(J182)&gt;K182),"FAIL","PASS"))</x:f>
        <x:v>OPEN</x:v>
      </x:c>
    </x:row>
    <x:row r="183">
      <x:c r="B183" s="7" t="str">
        <x:v>CAL-CH-PEA-A-X2-06-3</x:v>
      </x:c>
      <x:c r="C183" s="7" t="str">
        <x:v>CH-PEA-A-X2-06-3</x:v>
      </x:c>
      <x:c r="D183" s="7" t="str">
        <x:v>PEA-A-X2</x:v>
      </x:c>
      <x:c r="E183" s="7" t="str">
        <x:v>BLD-A</x:v>
      </x:c>
      <x:c r="F183" s="7" t="str">
        <x:v>BL-X</x:v>
      </x:c>
      <x:c r="G183" s="7" t="str">
        <x:v>MF-06</x:v>
      </x:c>
      <x:c r="H183" s="7" t="str"/>
      <x:c r="I183" s="7" t="str"/>
      <x:c r="J183" s="7" t="str">
        <x:f>IF(OR(H183="",I183=""),"",I183-H183)</x:f>
      </x:c>
      <x:c r="K183" s="7" t="str"/>
      <x:c r="L183" s="7" t="str"/>
      <x:c r="M183" s="7" t="str">
        <x:f>IF(L183="","OPEN",IF(OR(NOT(ISNUMBER(H183)),NOT(ISNUMBER(I183)),NOT(ISNUMBER(K183)),ABS(J183)&gt;K183),"FAIL","PASS"))</x:f>
        <x:v>OPEN</x:v>
      </x:c>
    </x:row>
    <x:row r="184">
      <x:c r="B184" s="7" t="str">
        <x:v>CAL-CH-PEA-A-X2-06-4</x:v>
      </x:c>
      <x:c r="C184" s="7" t="str">
        <x:v>CH-PEA-A-X2-06-4</x:v>
      </x:c>
      <x:c r="D184" s="7" t="str">
        <x:v>PEA-A-X2</x:v>
      </x:c>
      <x:c r="E184" s="7" t="str">
        <x:v>BLD-A</x:v>
      </x:c>
      <x:c r="F184" s="7" t="str">
        <x:v>BL-X</x:v>
      </x:c>
      <x:c r="G184" s="7" t="str">
        <x:v>MF-06</x:v>
      </x:c>
      <x:c r="H184" s="7" t="str"/>
      <x:c r="I184" s="7" t="str"/>
      <x:c r="J184" s="7" t="str">
        <x:f>IF(OR(H184="",I184=""),"",I184-H184)</x:f>
      </x:c>
      <x:c r="K184" s="7" t="str"/>
      <x:c r="L184" s="7" t="str"/>
      <x:c r="M184" s="7" t="str">
        <x:f>IF(L184="","OPEN",IF(OR(NOT(ISNUMBER(H184)),NOT(ISNUMBER(I184)),NOT(ISNUMBER(K184)),ABS(J184)&gt;K184),"FAIL","PASS"))</x:f>
        <x:v>OPEN</x:v>
      </x:c>
    </x:row>
    <x:row r="185">
      <x:c r="B185" s="7" t="str">
        <x:v>CAL-CH-PEA-A-X2-06-5</x:v>
      </x:c>
      <x:c r="C185" s="7" t="str">
        <x:v>CH-PEA-A-X2-06-5</x:v>
      </x:c>
      <x:c r="D185" s="7" t="str">
        <x:v>PEA-A-X2</x:v>
      </x:c>
      <x:c r="E185" s="7" t="str">
        <x:v>BLD-A</x:v>
      </x:c>
      <x:c r="F185" s="7" t="str">
        <x:v>BL-X</x:v>
      </x:c>
      <x:c r="G185" s="7" t="str">
        <x:v>MF-06</x:v>
      </x:c>
      <x:c r="H185" s="7" t="str"/>
      <x:c r="I185" s="7" t="str"/>
      <x:c r="J185" s="7" t="str">
        <x:f>IF(OR(H185="",I185=""),"",I185-H185)</x:f>
      </x:c>
      <x:c r="K185" s="7" t="str"/>
      <x:c r="L185" s="7" t="str"/>
      <x:c r="M185" s="7" t="str">
        <x:f>IF(L185="","OPEN",IF(OR(NOT(ISNUMBER(H185)),NOT(ISNUMBER(I185)),NOT(ISNUMBER(K185)),ABS(J185)&gt;K185),"FAIL","PASS"))</x:f>
        <x:v>OPEN</x:v>
      </x:c>
    </x:row>
    <x:row r="186">
      <x:c r="B186" s="7" t="str">
        <x:v>CAL-CH-PEA-A-X2-06-6</x:v>
      </x:c>
      <x:c r="C186" s="7" t="str">
        <x:v>CH-PEA-A-X2-06-6</x:v>
      </x:c>
      <x:c r="D186" s="7" t="str">
        <x:v>PEA-A-X2</x:v>
      </x:c>
      <x:c r="E186" s="7" t="str">
        <x:v>BLD-A</x:v>
      </x:c>
      <x:c r="F186" s="7" t="str">
        <x:v>BL-X</x:v>
      </x:c>
      <x:c r="G186" s="7" t="str">
        <x:v>MF-06</x:v>
      </x:c>
      <x:c r="H186" s="7" t="str"/>
      <x:c r="I186" s="7" t="str"/>
      <x:c r="J186" s="7" t="str">
        <x:f>IF(OR(H186="",I186=""),"",I186-H186)</x:f>
      </x:c>
      <x:c r="K186" s="7" t="str"/>
      <x:c r="L186" s="7" t="str"/>
      <x:c r="M186" s="7" t="str">
        <x:f>IF(L186="","OPEN",IF(OR(NOT(ISNUMBER(H186)),NOT(ISNUMBER(I186)),NOT(ISNUMBER(K186)),ABS(J186)&gt;K186),"FAIL","PASS"))</x:f>
        <x:v>OPEN</x:v>
      </x:c>
    </x:row>
    <x:row r="187">
      <x:c r="B187" s="7" t="str">
        <x:v>CAL-CH-PEA-A-X2-07-1</x:v>
      </x:c>
      <x:c r="C187" s="7" t="str">
        <x:v>CH-PEA-A-X2-07-1</x:v>
      </x:c>
      <x:c r="D187" s="7" t="str">
        <x:v>PEA-A-X2</x:v>
      </x:c>
      <x:c r="E187" s="7" t="str">
        <x:v>BLD-A</x:v>
      </x:c>
      <x:c r="F187" s="7" t="str">
        <x:v>BL-X</x:v>
      </x:c>
      <x:c r="G187" s="7" t="str">
        <x:v>MF-07</x:v>
      </x:c>
      <x:c r="H187" s="7" t="str"/>
      <x:c r="I187" s="7" t="str"/>
      <x:c r="J187" s="7" t="str">
        <x:f>IF(OR(H187="",I187=""),"",I187-H187)</x:f>
      </x:c>
      <x:c r="K187" s="7" t="str"/>
      <x:c r="L187" s="7" t="str"/>
      <x:c r="M187" s="7" t="str">
        <x:f>IF(L187="","OPEN",IF(OR(NOT(ISNUMBER(H187)),NOT(ISNUMBER(I187)),NOT(ISNUMBER(K187)),ABS(J187)&gt;K187),"FAIL","PASS"))</x:f>
        <x:v>OPEN</x:v>
      </x:c>
    </x:row>
    <x:row r="188">
      <x:c r="B188" s="7" t="str">
        <x:v>CAL-CH-PEA-A-X2-07-2</x:v>
      </x:c>
      <x:c r="C188" s="7" t="str">
        <x:v>CH-PEA-A-X2-07-2</x:v>
      </x:c>
      <x:c r="D188" s="7" t="str">
        <x:v>PEA-A-X2</x:v>
      </x:c>
      <x:c r="E188" s="7" t="str">
        <x:v>BLD-A</x:v>
      </x:c>
      <x:c r="F188" s="7" t="str">
        <x:v>BL-X</x:v>
      </x:c>
      <x:c r="G188" s="7" t="str">
        <x:v>MF-07</x:v>
      </x:c>
      <x:c r="H188" s="7" t="str"/>
      <x:c r="I188" s="7" t="str"/>
      <x:c r="J188" s="7" t="str">
        <x:f>IF(OR(H188="",I188=""),"",I188-H188)</x:f>
      </x:c>
      <x:c r="K188" s="7" t="str"/>
      <x:c r="L188" s="7" t="str"/>
      <x:c r="M188" s="7" t="str">
        <x:f>IF(L188="","OPEN",IF(OR(NOT(ISNUMBER(H188)),NOT(ISNUMBER(I188)),NOT(ISNUMBER(K188)),ABS(J188)&gt;K188),"FAIL","PASS"))</x:f>
        <x:v>OPEN</x:v>
      </x:c>
    </x:row>
    <x:row r="189">
      <x:c r="B189" s="7" t="str">
        <x:v>CAL-CH-PEA-A-X2-07-3</x:v>
      </x:c>
      <x:c r="C189" s="7" t="str">
        <x:v>CH-PEA-A-X2-07-3</x:v>
      </x:c>
      <x:c r="D189" s="7" t="str">
        <x:v>PEA-A-X2</x:v>
      </x:c>
      <x:c r="E189" s="7" t="str">
        <x:v>BLD-A</x:v>
      </x:c>
      <x:c r="F189" s="7" t="str">
        <x:v>BL-X</x:v>
      </x:c>
      <x:c r="G189" s="7" t="str">
        <x:v>MF-07</x:v>
      </x:c>
      <x:c r="H189" s="7" t="str"/>
      <x:c r="I189" s="7" t="str"/>
      <x:c r="J189" s="7" t="str">
        <x:f>IF(OR(H189="",I189=""),"",I189-H189)</x:f>
      </x:c>
      <x:c r="K189" s="7" t="str"/>
      <x:c r="L189" s="7" t="str"/>
      <x:c r="M189" s="7" t="str">
        <x:f>IF(L189="","OPEN",IF(OR(NOT(ISNUMBER(H189)),NOT(ISNUMBER(I189)),NOT(ISNUMBER(K189)),ABS(J189)&gt;K189),"FAIL","PASS"))</x:f>
        <x:v>OPEN</x:v>
      </x:c>
    </x:row>
    <x:row r="190">
      <x:c r="B190" s="7" t="str">
        <x:v>CAL-CH-PEA-A-X2-07-4</x:v>
      </x:c>
      <x:c r="C190" s="7" t="str">
        <x:v>CH-PEA-A-X2-07-4</x:v>
      </x:c>
      <x:c r="D190" s="7" t="str">
        <x:v>PEA-A-X2</x:v>
      </x:c>
      <x:c r="E190" s="7" t="str">
        <x:v>BLD-A</x:v>
      </x:c>
      <x:c r="F190" s="7" t="str">
        <x:v>BL-X</x:v>
      </x:c>
      <x:c r="G190" s="7" t="str">
        <x:v>MF-07</x:v>
      </x:c>
      <x:c r="H190" s="7" t="str"/>
      <x:c r="I190" s="7" t="str"/>
      <x:c r="J190" s="7" t="str">
        <x:f>IF(OR(H190="",I190=""),"",I190-H190)</x:f>
      </x:c>
      <x:c r="K190" s="7" t="str"/>
      <x:c r="L190" s="7" t="str"/>
      <x:c r="M190" s="7" t="str">
        <x:f>IF(L190="","OPEN",IF(OR(NOT(ISNUMBER(H190)),NOT(ISNUMBER(I190)),NOT(ISNUMBER(K190)),ABS(J190)&gt;K190),"FAIL","PASS"))</x:f>
        <x:v>OPEN</x:v>
      </x:c>
    </x:row>
    <x:row r="191">
      <x:c r="B191" s="7" t="str">
        <x:v>CAL-CH-PEA-A-X2-07-5</x:v>
      </x:c>
      <x:c r="C191" s="7" t="str">
        <x:v>CH-PEA-A-X2-07-5</x:v>
      </x:c>
      <x:c r="D191" s="7" t="str">
        <x:v>PEA-A-X2</x:v>
      </x:c>
      <x:c r="E191" s="7" t="str">
        <x:v>BLD-A</x:v>
      </x:c>
      <x:c r="F191" s="7" t="str">
        <x:v>BL-X</x:v>
      </x:c>
      <x:c r="G191" s="7" t="str">
        <x:v>MF-07</x:v>
      </x:c>
      <x:c r="H191" s="7" t="str"/>
      <x:c r="I191" s="7" t="str"/>
      <x:c r="J191" s="7" t="str">
        <x:f>IF(OR(H191="",I191=""),"",I191-H191)</x:f>
      </x:c>
      <x:c r="K191" s="7" t="str"/>
      <x:c r="L191" s="7" t="str"/>
      <x:c r="M191" s="7" t="str">
        <x:f>IF(L191="","OPEN",IF(OR(NOT(ISNUMBER(H191)),NOT(ISNUMBER(I191)),NOT(ISNUMBER(K191)),ABS(J191)&gt;K191),"FAIL","PASS"))</x:f>
        <x:v>OPEN</x:v>
      </x:c>
    </x:row>
    <x:row r="192">
      <x:c r="B192" s="7" t="str">
        <x:v>CAL-CH-PEA-A-X2-07-6</x:v>
      </x:c>
      <x:c r="C192" s="7" t="str">
        <x:v>CH-PEA-A-X2-07-6</x:v>
      </x:c>
      <x:c r="D192" s="7" t="str">
        <x:v>PEA-A-X2</x:v>
      </x:c>
      <x:c r="E192" s="7" t="str">
        <x:v>BLD-A</x:v>
      </x:c>
      <x:c r="F192" s="7" t="str">
        <x:v>BL-X</x:v>
      </x:c>
      <x:c r="G192" s="7" t="str">
        <x:v>MF-07</x:v>
      </x:c>
      <x:c r="H192" s="7" t="str"/>
      <x:c r="I192" s="7" t="str"/>
      <x:c r="J192" s="7" t="str">
        <x:f>IF(OR(H192="",I192=""),"",I192-H192)</x:f>
      </x:c>
      <x:c r="K192" s="7" t="str"/>
      <x:c r="L192" s="7" t="str"/>
      <x:c r="M192" s="7" t="str">
        <x:f>IF(L192="","OPEN",IF(OR(NOT(ISNUMBER(H192)),NOT(ISNUMBER(I192)),NOT(ISNUMBER(K192)),ABS(J192)&gt;K192),"FAIL","PASS"))</x:f>
        <x:v>OPEN</x:v>
      </x:c>
    </x:row>
    <x:row r="193">
      <x:c r="B193" s="7" t="str">
        <x:v>CAL-CH-PEA-A-X2-08-1</x:v>
      </x:c>
      <x:c r="C193" s="7" t="str">
        <x:v>CH-PEA-A-X2-08-1</x:v>
      </x:c>
      <x:c r="D193" s="7" t="str">
        <x:v>PEA-A-X2</x:v>
      </x:c>
      <x:c r="E193" s="7" t="str">
        <x:v>BLD-A</x:v>
      </x:c>
      <x:c r="F193" s="7" t="str">
        <x:v>BL-X</x:v>
      </x:c>
      <x:c r="G193" s="7" t="str">
        <x:v>MF-08</x:v>
      </x:c>
      <x:c r="H193" s="7" t="str"/>
      <x:c r="I193" s="7" t="str"/>
      <x:c r="J193" s="7" t="str">
        <x:f>IF(OR(H193="",I193=""),"",I193-H193)</x:f>
      </x:c>
      <x:c r="K193" s="7" t="str"/>
      <x:c r="L193" s="7" t="str"/>
      <x:c r="M193" s="7" t="str">
        <x:f>IF(L193="","OPEN",IF(OR(NOT(ISNUMBER(H193)),NOT(ISNUMBER(I193)),NOT(ISNUMBER(K193)),ABS(J193)&gt;K193),"FAIL","PASS"))</x:f>
        <x:v>OPEN</x:v>
      </x:c>
    </x:row>
    <x:row r="194">
      <x:c r="B194" s="7" t="str">
        <x:v>CAL-CH-PEA-A-X2-08-2</x:v>
      </x:c>
      <x:c r="C194" s="7" t="str">
        <x:v>CH-PEA-A-X2-08-2</x:v>
      </x:c>
      <x:c r="D194" s="7" t="str">
        <x:v>PEA-A-X2</x:v>
      </x:c>
      <x:c r="E194" s="7" t="str">
        <x:v>BLD-A</x:v>
      </x:c>
      <x:c r="F194" s="7" t="str">
        <x:v>BL-X</x:v>
      </x:c>
      <x:c r="G194" s="7" t="str">
        <x:v>MF-08</x:v>
      </x:c>
      <x:c r="H194" s="7" t="str"/>
      <x:c r="I194" s="7" t="str"/>
      <x:c r="J194" s="7" t="str">
        <x:f>IF(OR(H194="",I194=""),"",I194-H194)</x:f>
      </x:c>
      <x:c r="K194" s="7" t="str"/>
      <x:c r="L194" s="7" t="str"/>
      <x:c r="M194" s="7" t="str">
        <x:f>IF(L194="","OPEN",IF(OR(NOT(ISNUMBER(H194)),NOT(ISNUMBER(I194)),NOT(ISNUMBER(K194)),ABS(J194)&gt;K194),"FAIL","PASS"))</x:f>
        <x:v>OPEN</x:v>
      </x:c>
    </x:row>
    <x:row r="195">
      <x:c r="B195" s="7" t="str">
        <x:v>CAL-CH-PEA-A-X2-08-3</x:v>
      </x:c>
      <x:c r="C195" s="7" t="str">
        <x:v>CH-PEA-A-X2-08-3</x:v>
      </x:c>
      <x:c r="D195" s="7" t="str">
        <x:v>PEA-A-X2</x:v>
      </x:c>
      <x:c r="E195" s="7" t="str">
        <x:v>BLD-A</x:v>
      </x:c>
      <x:c r="F195" s="7" t="str">
        <x:v>BL-X</x:v>
      </x:c>
      <x:c r="G195" s="7" t="str">
        <x:v>MF-08</x:v>
      </x:c>
      <x:c r="H195" s="7" t="str"/>
      <x:c r="I195" s="7" t="str"/>
      <x:c r="J195" s="7" t="str">
        <x:f>IF(OR(H195="",I195=""),"",I195-H195)</x:f>
      </x:c>
      <x:c r="K195" s="7" t="str"/>
      <x:c r="L195" s="7" t="str"/>
      <x:c r="M195" s="7" t="str">
        <x:f>IF(L195="","OPEN",IF(OR(NOT(ISNUMBER(H195)),NOT(ISNUMBER(I195)),NOT(ISNUMBER(K195)),ABS(J195)&gt;K195),"FAIL","PASS"))</x:f>
        <x:v>OPEN</x:v>
      </x:c>
    </x:row>
    <x:row r="196">
      <x:c r="B196" s="7" t="str">
        <x:v>CAL-CH-PEA-A-X2-08-4</x:v>
      </x:c>
      <x:c r="C196" s="7" t="str">
        <x:v>CH-PEA-A-X2-08-4</x:v>
      </x:c>
      <x:c r="D196" s="7" t="str">
        <x:v>PEA-A-X2</x:v>
      </x:c>
      <x:c r="E196" s="7" t="str">
        <x:v>BLD-A</x:v>
      </x:c>
      <x:c r="F196" s="7" t="str">
        <x:v>BL-X</x:v>
      </x:c>
      <x:c r="G196" s="7" t="str">
        <x:v>MF-08</x:v>
      </x:c>
      <x:c r="H196" s="7" t="str"/>
      <x:c r="I196" s="7" t="str"/>
      <x:c r="J196" s="7" t="str">
        <x:f>IF(OR(H196="",I196=""),"",I196-H196)</x:f>
      </x:c>
      <x:c r="K196" s="7" t="str"/>
      <x:c r="L196" s="7" t="str"/>
      <x:c r="M196" s="7" t="str">
        <x:f>IF(L196="","OPEN",IF(OR(NOT(ISNUMBER(H196)),NOT(ISNUMBER(I196)),NOT(ISNUMBER(K196)),ABS(J196)&gt;K196),"FAIL","PASS"))</x:f>
        <x:v>OPEN</x:v>
      </x:c>
    </x:row>
    <x:row r="197">
      <x:c r="B197" s="7" t="str">
        <x:v>CAL-CH-PEA-A-X2-08-5</x:v>
      </x:c>
      <x:c r="C197" s="7" t="str">
        <x:v>CH-PEA-A-X2-08-5</x:v>
      </x:c>
      <x:c r="D197" s="7" t="str">
        <x:v>PEA-A-X2</x:v>
      </x:c>
      <x:c r="E197" s="7" t="str">
        <x:v>BLD-A</x:v>
      </x:c>
      <x:c r="F197" s="7" t="str">
        <x:v>BL-X</x:v>
      </x:c>
      <x:c r="G197" s="7" t="str">
        <x:v>MF-08</x:v>
      </x:c>
      <x:c r="H197" s="7" t="str"/>
      <x:c r="I197" s="7" t="str"/>
      <x:c r="J197" s="7" t="str">
        <x:f>IF(OR(H197="",I197=""),"",I197-H197)</x:f>
      </x:c>
      <x:c r="K197" s="7" t="str"/>
      <x:c r="L197" s="7" t="str"/>
      <x:c r="M197" s="7" t="str">
        <x:f>IF(L197="","OPEN",IF(OR(NOT(ISNUMBER(H197)),NOT(ISNUMBER(I197)),NOT(ISNUMBER(K197)),ABS(J197)&gt;K197),"FAIL","PASS"))</x:f>
        <x:v>OPEN</x:v>
      </x:c>
    </x:row>
    <x:row r="198">
      <x:c r="B198" s="7" t="str">
        <x:v>CAL-CH-PEA-A-X2-08-6</x:v>
      </x:c>
      <x:c r="C198" s="7" t="str">
        <x:v>CH-PEA-A-X2-08-6</x:v>
      </x:c>
      <x:c r="D198" s="7" t="str">
        <x:v>PEA-A-X2</x:v>
      </x:c>
      <x:c r="E198" s="7" t="str">
        <x:v>BLD-A</x:v>
      </x:c>
      <x:c r="F198" s="7" t="str">
        <x:v>BL-X</x:v>
      </x:c>
      <x:c r="G198" s="7" t="str">
        <x:v>MF-08</x:v>
      </x:c>
      <x:c r="H198" s="7" t="str"/>
      <x:c r="I198" s="7" t="str"/>
      <x:c r="J198" s="7" t="str">
        <x:f>IF(OR(H198="",I198=""),"",I198-H198)</x:f>
      </x:c>
      <x:c r="K198" s="7" t="str"/>
      <x:c r="L198" s="7" t="str"/>
      <x:c r="M198" s="7" t="str">
        <x:f>IF(L198="","OPEN",IF(OR(NOT(ISNUMBER(H198)),NOT(ISNUMBER(I198)),NOT(ISNUMBER(K198)),ABS(J198)&gt;K198),"FAIL","PASS"))</x:f>
        <x:v>OPEN</x:v>
      </x:c>
    </x:row>
    <x:row r="199">
      <x:c r="B199" s="7" t="str">
        <x:v>CAL-CH-PEA-A-X2-09-1</x:v>
      </x:c>
      <x:c r="C199" s="7" t="str">
        <x:v>CH-PEA-A-X2-09-1</x:v>
      </x:c>
      <x:c r="D199" s="7" t="str">
        <x:v>PEA-A-X2</x:v>
      </x:c>
      <x:c r="E199" s="7" t="str">
        <x:v>BLD-A</x:v>
      </x:c>
      <x:c r="F199" s="7" t="str">
        <x:v>BL-X</x:v>
      </x:c>
      <x:c r="G199" s="7" t="str">
        <x:v>MF-09</x:v>
      </x:c>
      <x:c r="H199" s="7" t="str"/>
      <x:c r="I199" s="7" t="str"/>
      <x:c r="J199" s="7" t="str">
        <x:f>IF(OR(H199="",I199=""),"",I199-H199)</x:f>
      </x:c>
      <x:c r="K199" s="7" t="str"/>
      <x:c r="L199" s="7" t="str"/>
      <x:c r="M199" s="7" t="str">
        <x:f>IF(L199="","OPEN",IF(OR(NOT(ISNUMBER(H199)),NOT(ISNUMBER(I199)),NOT(ISNUMBER(K199)),ABS(J199)&gt;K199),"FAIL","PASS"))</x:f>
        <x:v>OPEN</x:v>
      </x:c>
    </x:row>
    <x:row r="200">
      <x:c r="B200" s="7" t="str">
        <x:v>CAL-CH-PEA-A-X2-09-2</x:v>
      </x:c>
      <x:c r="C200" s="7" t="str">
        <x:v>CH-PEA-A-X2-09-2</x:v>
      </x:c>
      <x:c r="D200" s="7" t="str">
        <x:v>PEA-A-X2</x:v>
      </x:c>
      <x:c r="E200" s="7" t="str">
        <x:v>BLD-A</x:v>
      </x:c>
      <x:c r="F200" s="7" t="str">
        <x:v>BL-X</x:v>
      </x:c>
      <x:c r="G200" s="7" t="str">
        <x:v>MF-09</x:v>
      </x:c>
      <x:c r="H200" s="7" t="str"/>
      <x:c r="I200" s="7" t="str"/>
      <x:c r="J200" s="7" t="str">
        <x:f>IF(OR(H200="",I200=""),"",I200-H200)</x:f>
      </x:c>
      <x:c r="K200" s="7" t="str"/>
      <x:c r="L200" s="7" t="str"/>
      <x:c r="M200" s="7" t="str">
        <x:f>IF(L200="","OPEN",IF(OR(NOT(ISNUMBER(H200)),NOT(ISNUMBER(I200)),NOT(ISNUMBER(K200)),ABS(J200)&gt;K200),"FAIL","PASS"))</x:f>
        <x:v>OPEN</x:v>
      </x:c>
    </x:row>
    <x:row r="201">
      <x:c r="B201" s="7" t="str">
        <x:v>CAL-CH-PEA-A-X2-09-3</x:v>
      </x:c>
      <x:c r="C201" s="7" t="str">
        <x:v>CH-PEA-A-X2-09-3</x:v>
      </x:c>
      <x:c r="D201" s="7" t="str">
        <x:v>PEA-A-X2</x:v>
      </x:c>
      <x:c r="E201" s="7" t="str">
        <x:v>BLD-A</x:v>
      </x:c>
      <x:c r="F201" s="7" t="str">
        <x:v>BL-X</x:v>
      </x:c>
      <x:c r="G201" s="7" t="str">
        <x:v>MF-09</x:v>
      </x:c>
      <x:c r="H201" s="7" t="str"/>
      <x:c r="I201" s="7" t="str"/>
      <x:c r="J201" s="7" t="str">
        <x:f>IF(OR(H201="",I201=""),"",I201-H201)</x:f>
      </x:c>
      <x:c r="K201" s="7" t="str"/>
      <x:c r="L201" s="7" t="str"/>
      <x:c r="M201" s="7" t="str">
        <x:f>IF(L201="","OPEN",IF(OR(NOT(ISNUMBER(H201)),NOT(ISNUMBER(I201)),NOT(ISNUMBER(K201)),ABS(J201)&gt;K201),"FAIL","PASS"))</x:f>
        <x:v>OPEN</x:v>
      </x:c>
    </x:row>
    <x:row r="202">
      <x:c r="B202" s="7" t="str">
        <x:v>CAL-CH-PEA-A-X2-09-4</x:v>
      </x:c>
      <x:c r="C202" s="7" t="str">
        <x:v>CH-PEA-A-X2-09-4</x:v>
      </x:c>
      <x:c r="D202" s="7" t="str">
        <x:v>PEA-A-X2</x:v>
      </x:c>
      <x:c r="E202" s="7" t="str">
        <x:v>BLD-A</x:v>
      </x:c>
      <x:c r="F202" s="7" t="str">
        <x:v>BL-X</x:v>
      </x:c>
      <x:c r="G202" s="7" t="str">
        <x:v>MF-09</x:v>
      </x:c>
      <x:c r="H202" s="7" t="str"/>
      <x:c r="I202" s="7" t="str"/>
      <x:c r="J202" s="7" t="str">
        <x:f>IF(OR(H202="",I202=""),"",I202-H202)</x:f>
      </x:c>
      <x:c r="K202" s="7" t="str"/>
      <x:c r="L202" s="7" t="str"/>
      <x:c r="M202" s="7" t="str">
        <x:f>IF(L202="","OPEN",IF(OR(NOT(ISNUMBER(H202)),NOT(ISNUMBER(I202)),NOT(ISNUMBER(K202)),ABS(J202)&gt;K202),"FAIL","PASS"))</x:f>
        <x:v>OPEN</x:v>
      </x:c>
    </x:row>
    <x:row r="203">
      <x:c r="B203" s="7" t="str">
        <x:v>CAL-CH-PEA-A-X2-09-5</x:v>
      </x:c>
      <x:c r="C203" s="7" t="str">
        <x:v>CH-PEA-A-X2-09-5</x:v>
      </x:c>
      <x:c r="D203" s="7" t="str">
        <x:v>PEA-A-X2</x:v>
      </x:c>
      <x:c r="E203" s="7" t="str">
        <x:v>BLD-A</x:v>
      </x:c>
      <x:c r="F203" s="7" t="str">
        <x:v>BL-X</x:v>
      </x:c>
      <x:c r="G203" s="7" t="str">
        <x:v>MF-09</x:v>
      </x:c>
      <x:c r="H203" s="7" t="str"/>
      <x:c r="I203" s="7" t="str"/>
      <x:c r="J203" s="7" t="str">
        <x:f>IF(OR(H203="",I203=""),"",I203-H203)</x:f>
      </x:c>
      <x:c r="K203" s="7" t="str"/>
      <x:c r="L203" s="7" t="str"/>
      <x:c r="M203" s="7" t="str">
        <x:f>IF(L203="","OPEN",IF(OR(NOT(ISNUMBER(H203)),NOT(ISNUMBER(I203)),NOT(ISNUMBER(K203)),ABS(J203)&gt;K203),"FAIL","PASS"))</x:f>
        <x:v>OPEN</x:v>
      </x:c>
    </x:row>
    <x:row r="204">
      <x:c r="B204" s="7" t="str">
        <x:v>CAL-CH-PEA-A-X2-09-6</x:v>
      </x:c>
      <x:c r="C204" s="7" t="str">
        <x:v>CH-PEA-A-X2-09-6</x:v>
      </x:c>
      <x:c r="D204" s="7" t="str">
        <x:v>PEA-A-X2</x:v>
      </x:c>
      <x:c r="E204" s="7" t="str">
        <x:v>BLD-A</x:v>
      </x:c>
      <x:c r="F204" s="7" t="str">
        <x:v>BL-X</x:v>
      </x:c>
      <x:c r="G204" s="7" t="str">
        <x:v>MF-09</x:v>
      </x:c>
      <x:c r="H204" s="7" t="str"/>
      <x:c r="I204" s="7" t="str"/>
      <x:c r="J204" s="7" t="str">
        <x:f>IF(OR(H204="",I204=""),"",I204-H204)</x:f>
      </x:c>
      <x:c r="K204" s="7" t="str"/>
      <x:c r="L204" s="7" t="str"/>
      <x:c r="M204" s="7" t="str">
        <x:f>IF(L204="","OPEN",IF(OR(NOT(ISNUMBER(H204)),NOT(ISNUMBER(I204)),NOT(ISNUMBER(K204)),ABS(J204)&gt;K204),"FAIL","PASS"))</x:f>
        <x:v>OPEN</x:v>
      </x:c>
    </x:row>
    <x:row r="205">
      <x:c r="B205" s="7" t="str">
        <x:v>CAL-CH-PEA-A-X2-10-1</x:v>
      </x:c>
      <x:c r="C205" s="7" t="str">
        <x:v>CH-PEA-A-X2-10-1</x:v>
      </x:c>
      <x:c r="D205" s="7" t="str">
        <x:v>PEA-A-X2</x:v>
      </x:c>
      <x:c r="E205" s="7" t="str">
        <x:v>BLD-A</x:v>
      </x:c>
      <x:c r="F205" s="7" t="str">
        <x:v>BL-X</x:v>
      </x:c>
      <x:c r="G205" s="7" t="str">
        <x:v>MF-10</x:v>
      </x:c>
      <x:c r="H205" s="7" t="str"/>
      <x:c r="I205" s="7" t="str"/>
      <x:c r="J205" s="7" t="str">
        <x:f>IF(OR(H205="",I205=""),"",I205-H205)</x:f>
      </x:c>
      <x:c r="K205" s="7" t="str"/>
      <x:c r="L205" s="7" t="str"/>
      <x:c r="M205" s="7" t="str">
        <x:f>IF(L205="","OPEN",IF(OR(NOT(ISNUMBER(H205)),NOT(ISNUMBER(I205)),NOT(ISNUMBER(K205)),ABS(J205)&gt;K205),"FAIL","PASS"))</x:f>
        <x:v>OPEN</x:v>
      </x:c>
    </x:row>
    <x:row r="206">
      <x:c r="B206" s="7" t="str">
        <x:v>CAL-CH-PEA-A-X2-10-2</x:v>
      </x:c>
      <x:c r="C206" s="7" t="str">
        <x:v>CH-PEA-A-X2-10-2</x:v>
      </x:c>
      <x:c r="D206" s="7" t="str">
        <x:v>PEA-A-X2</x:v>
      </x:c>
      <x:c r="E206" s="7" t="str">
        <x:v>BLD-A</x:v>
      </x:c>
      <x:c r="F206" s="7" t="str">
        <x:v>BL-X</x:v>
      </x:c>
      <x:c r="G206" s="7" t="str">
        <x:v>MF-10</x:v>
      </x:c>
      <x:c r="H206" s="7" t="str"/>
      <x:c r="I206" s="7" t="str"/>
      <x:c r="J206" s="7" t="str">
        <x:f>IF(OR(H206="",I206=""),"",I206-H206)</x:f>
      </x:c>
      <x:c r="K206" s="7" t="str"/>
      <x:c r="L206" s="7" t="str"/>
      <x:c r="M206" s="7" t="str">
        <x:f>IF(L206="","OPEN",IF(OR(NOT(ISNUMBER(H206)),NOT(ISNUMBER(I206)),NOT(ISNUMBER(K206)),ABS(J206)&gt;K206),"FAIL","PASS"))</x:f>
        <x:v>OPEN</x:v>
      </x:c>
    </x:row>
    <x:row r="207">
      <x:c r="B207" s="7" t="str">
        <x:v>CAL-CH-PEA-A-X2-10-3</x:v>
      </x:c>
      <x:c r="C207" s="7" t="str">
        <x:v>CH-PEA-A-X2-10-3</x:v>
      </x:c>
      <x:c r="D207" s="7" t="str">
        <x:v>PEA-A-X2</x:v>
      </x:c>
      <x:c r="E207" s="7" t="str">
        <x:v>BLD-A</x:v>
      </x:c>
      <x:c r="F207" s="7" t="str">
        <x:v>BL-X</x:v>
      </x:c>
      <x:c r="G207" s="7" t="str">
        <x:v>MF-10</x:v>
      </x:c>
      <x:c r="H207" s="7" t="str"/>
      <x:c r="I207" s="7" t="str"/>
      <x:c r="J207" s="7" t="str">
        <x:f>IF(OR(H207="",I207=""),"",I207-H207)</x:f>
      </x:c>
      <x:c r="K207" s="7" t="str"/>
      <x:c r="L207" s="7" t="str"/>
      <x:c r="M207" s="7" t="str">
        <x:f>IF(L207="","OPEN",IF(OR(NOT(ISNUMBER(H207)),NOT(ISNUMBER(I207)),NOT(ISNUMBER(K207)),ABS(J207)&gt;K207),"FAIL","PASS"))</x:f>
        <x:v>OPEN</x:v>
      </x:c>
    </x:row>
    <x:row r="208">
      <x:c r="B208" s="7" t="str">
        <x:v>CAL-CH-PEA-A-X2-10-4</x:v>
      </x:c>
      <x:c r="C208" s="7" t="str">
        <x:v>CH-PEA-A-X2-10-4</x:v>
      </x:c>
      <x:c r="D208" s="7" t="str">
        <x:v>PEA-A-X2</x:v>
      </x:c>
      <x:c r="E208" s="7" t="str">
        <x:v>BLD-A</x:v>
      </x:c>
      <x:c r="F208" s="7" t="str">
        <x:v>BL-X</x:v>
      </x:c>
      <x:c r="G208" s="7" t="str">
        <x:v>MF-10</x:v>
      </x:c>
      <x:c r="H208" s="7" t="str"/>
      <x:c r="I208" s="7" t="str"/>
      <x:c r="J208" s="7" t="str">
        <x:f>IF(OR(H208="",I208=""),"",I208-H208)</x:f>
      </x:c>
      <x:c r="K208" s="7" t="str"/>
      <x:c r="L208" s="7" t="str"/>
      <x:c r="M208" s="7" t="str">
        <x:f>IF(L208="","OPEN",IF(OR(NOT(ISNUMBER(H208)),NOT(ISNUMBER(I208)),NOT(ISNUMBER(K208)),ABS(J208)&gt;K208),"FAIL","PASS"))</x:f>
        <x:v>OPEN</x:v>
      </x:c>
    </x:row>
    <x:row r="209">
      <x:c r="B209" s="7" t="str">
        <x:v>CAL-CH-PEA-A-X2-10-5</x:v>
      </x:c>
      <x:c r="C209" s="7" t="str">
        <x:v>CH-PEA-A-X2-10-5</x:v>
      </x:c>
      <x:c r="D209" s="7" t="str">
        <x:v>PEA-A-X2</x:v>
      </x:c>
      <x:c r="E209" s="7" t="str">
        <x:v>BLD-A</x:v>
      </x:c>
      <x:c r="F209" s="7" t="str">
        <x:v>BL-X</x:v>
      </x:c>
      <x:c r="G209" s="7" t="str">
        <x:v>MF-10</x:v>
      </x:c>
      <x:c r="H209" s="7" t="str"/>
      <x:c r="I209" s="7" t="str"/>
      <x:c r="J209" s="7" t="str">
        <x:f>IF(OR(H209="",I209=""),"",I209-H209)</x:f>
      </x:c>
      <x:c r="K209" s="7" t="str"/>
      <x:c r="L209" s="7" t="str"/>
      <x:c r="M209" s="7" t="str">
        <x:f>IF(L209="","OPEN",IF(OR(NOT(ISNUMBER(H209)),NOT(ISNUMBER(I209)),NOT(ISNUMBER(K209)),ABS(J209)&gt;K209),"FAIL","PASS"))</x:f>
        <x:v>OPEN</x:v>
      </x:c>
    </x:row>
    <x:row r="210">
      <x:c r="B210" s="7" t="str">
        <x:v>CAL-CH-PEA-A-X2-10-6</x:v>
      </x:c>
      <x:c r="C210" s="7" t="str">
        <x:v>CH-PEA-A-X2-10-6</x:v>
      </x:c>
      <x:c r="D210" s="7" t="str">
        <x:v>PEA-A-X2</x:v>
      </x:c>
      <x:c r="E210" s="7" t="str">
        <x:v>BLD-A</x:v>
      </x:c>
      <x:c r="F210" s="7" t="str">
        <x:v>BL-X</x:v>
      </x:c>
      <x:c r="G210" s="7" t="str">
        <x:v>MF-10</x:v>
      </x:c>
      <x:c r="H210" s="7" t="str"/>
      <x:c r="I210" s="7" t="str"/>
      <x:c r="J210" s="7" t="str">
        <x:f>IF(OR(H210="",I210=""),"",I210-H210)</x:f>
      </x:c>
      <x:c r="K210" s="7" t="str"/>
      <x:c r="L210" s="7" t="str"/>
      <x:c r="M210" s="7" t="str">
        <x:f>IF(L210="","OPEN",IF(OR(NOT(ISNUMBER(H210)),NOT(ISNUMBER(I210)),NOT(ISNUMBER(K210)),ABS(J210)&gt;K210),"FAIL","PASS"))</x:f>
        <x:v>OPEN</x:v>
      </x:c>
    </x:row>
    <x:row r="211">
      <x:c r="B211" s="7" t="str">
        <x:v>CAL-CH-PEA-A-X2-11-1</x:v>
      </x:c>
      <x:c r="C211" s="7" t="str">
        <x:v>CH-PEA-A-X2-11-1</x:v>
      </x:c>
      <x:c r="D211" s="7" t="str">
        <x:v>PEA-A-X2</x:v>
      </x:c>
      <x:c r="E211" s="7" t="str">
        <x:v>BLD-A</x:v>
      </x:c>
      <x:c r="F211" s="7" t="str">
        <x:v>BL-X</x:v>
      </x:c>
      <x:c r="G211" s="7" t="str">
        <x:v>MF-11</x:v>
      </x:c>
      <x:c r="H211" s="7" t="str"/>
      <x:c r="I211" s="7" t="str"/>
      <x:c r="J211" s="7" t="str">
        <x:f>IF(OR(H211="",I211=""),"",I211-H211)</x:f>
      </x:c>
      <x:c r="K211" s="7" t="str"/>
      <x:c r="L211" s="7" t="str"/>
      <x:c r="M211" s="7" t="str">
        <x:f>IF(L211="","OPEN",IF(OR(NOT(ISNUMBER(H211)),NOT(ISNUMBER(I211)),NOT(ISNUMBER(K211)),ABS(J211)&gt;K211),"FAIL","PASS"))</x:f>
        <x:v>OPEN</x:v>
      </x:c>
    </x:row>
    <x:row r="212">
      <x:c r="B212" s="7" t="str">
        <x:v>CAL-CH-PEA-A-X2-11-2</x:v>
      </x:c>
      <x:c r="C212" s="7" t="str">
        <x:v>CH-PEA-A-X2-11-2</x:v>
      </x:c>
      <x:c r="D212" s="7" t="str">
        <x:v>PEA-A-X2</x:v>
      </x:c>
      <x:c r="E212" s="7" t="str">
        <x:v>BLD-A</x:v>
      </x:c>
      <x:c r="F212" s="7" t="str">
        <x:v>BL-X</x:v>
      </x:c>
      <x:c r="G212" s="7" t="str">
        <x:v>MF-11</x:v>
      </x:c>
      <x:c r="H212" s="7" t="str"/>
      <x:c r="I212" s="7" t="str"/>
      <x:c r="J212" s="7" t="str">
        <x:f>IF(OR(H212="",I212=""),"",I212-H212)</x:f>
      </x:c>
      <x:c r="K212" s="7" t="str"/>
      <x:c r="L212" s="7" t="str"/>
      <x:c r="M212" s="7" t="str">
        <x:f>IF(L212="","OPEN",IF(OR(NOT(ISNUMBER(H212)),NOT(ISNUMBER(I212)),NOT(ISNUMBER(K212)),ABS(J212)&gt;K212),"FAIL","PASS"))</x:f>
        <x:v>OPEN</x:v>
      </x:c>
    </x:row>
    <x:row r="213">
      <x:c r="B213" s="7" t="str">
        <x:v>CAL-CH-PEA-A-X2-11-3</x:v>
      </x:c>
      <x:c r="C213" s="7" t="str">
        <x:v>CH-PEA-A-X2-11-3</x:v>
      </x:c>
      <x:c r="D213" s="7" t="str">
        <x:v>PEA-A-X2</x:v>
      </x:c>
      <x:c r="E213" s="7" t="str">
        <x:v>BLD-A</x:v>
      </x:c>
      <x:c r="F213" s="7" t="str">
        <x:v>BL-X</x:v>
      </x:c>
      <x:c r="G213" s="7" t="str">
        <x:v>MF-11</x:v>
      </x:c>
      <x:c r="H213" s="7" t="str"/>
      <x:c r="I213" s="7" t="str"/>
      <x:c r="J213" s="7" t="str">
        <x:f>IF(OR(H213="",I213=""),"",I213-H213)</x:f>
      </x:c>
      <x:c r="K213" s="7" t="str"/>
      <x:c r="L213" s="7" t="str"/>
      <x:c r="M213" s="7" t="str">
        <x:f>IF(L213="","OPEN",IF(OR(NOT(ISNUMBER(H213)),NOT(ISNUMBER(I213)),NOT(ISNUMBER(K213)),ABS(J213)&gt;K213),"FAIL","PASS"))</x:f>
        <x:v>OPEN</x:v>
      </x:c>
    </x:row>
    <x:row r="214">
      <x:c r="B214" s="7" t="str">
        <x:v>CAL-CH-PEA-A-X2-11-4</x:v>
      </x:c>
      <x:c r="C214" s="7" t="str">
        <x:v>CH-PEA-A-X2-11-4</x:v>
      </x:c>
      <x:c r="D214" s="7" t="str">
        <x:v>PEA-A-X2</x:v>
      </x:c>
      <x:c r="E214" s="7" t="str">
        <x:v>BLD-A</x:v>
      </x:c>
      <x:c r="F214" s="7" t="str">
        <x:v>BL-X</x:v>
      </x:c>
      <x:c r="G214" s="7" t="str">
        <x:v>MF-11</x:v>
      </x:c>
      <x:c r="H214" s="7" t="str"/>
      <x:c r="I214" s="7" t="str"/>
      <x:c r="J214" s="7" t="str">
        <x:f>IF(OR(H214="",I214=""),"",I214-H214)</x:f>
      </x:c>
      <x:c r="K214" s="7" t="str"/>
      <x:c r="L214" s="7" t="str"/>
      <x:c r="M214" s="7" t="str">
        <x:f>IF(L214="","OPEN",IF(OR(NOT(ISNUMBER(H214)),NOT(ISNUMBER(I214)),NOT(ISNUMBER(K214)),ABS(J214)&gt;K214),"FAIL","PASS"))</x:f>
        <x:v>OPEN</x:v>
      </x:c>
    </x:row>
    <x:row r="215">
      <x:c r="B215" s="7" t="str">
        <x:v>CAL-CH-PEA-A-X2-11-5</x:v>
      </x:c>
      <x:c r="C215" s="7" t="str">
        <x:v>CH-PEA-A-X2-11-5</x:v>
      </x:c>
      <x:c r="D215" s="7" t="str">
        <x:v>PEA-A-X2</x:v>
      </x:c>
      <x:c r="E215" s="7" t="str">
        <x:v>BLD-A</x:v>
      </x:c>
      <x:c r="F215" s="7" t="str">
        <x:v>BL-X</x:v>
      </x:c>
      <x:c r="G215" s="7" t="str">
        <x:v>MF-11</x:v>
      </x:c>
      <x:c r="H215" s="7" t="str"/>
      <x:c r="I215" s="7" t="str"/>
      <x:c r="J215" s="7" t="str">
        <x:f>IF(OR(H215="",I215=""),"",I215-H215)</x:f>
      </x:c>
      <x:c r="K215" s="7" t="str"/>
      <x:c r="L215" s="7" t="str"/>
      <x:c r="M215" s="7" t="str">
        <x:f>IF(L215="","OPEN",IF(OR(NOT(ISNUMBER(H215)),NOT(ISNUMBER(I215)),NOT(ISNUMBER(K215)),ABS(J215)&gt;K215),"FAIL","PASS"))</x:f>
        <x:v>OPEN</x:v>
      </x:c>
    </x:row>
    <x:row r="216">
      <x:c r="B216" s="7" t="str">
        <x:v>CAL-CH-PEA-A-X2-11-6</x:v>
      </x:c>
      <x:c r="C216" s="7" t="str">
        <x:v>CH-PEA-A-X2-11-6</x:v>
      </x:c>
      <x:c r="D216" s="7" t="str">
        <x:v>PEA-A-X2</x:v>
      </x:c>
      <x:c r="E216" s="7" t="str">
        <x:v>BLD-A</x:v>
      </x:c>
      <x:c r="F216" s="7" t="str">
        <x:v>BL-X</x:v>
      </x:c>
      <x:c r="G216" s="7" t="str">
        <x:v>MF-11</x:v>
      </x:c>
      <x:c r="H216" s="7" t="str"/>
      <x:c r="I216" s="7" t="str"/>
      <x:c r="J216" s="7" t="str">
        <x:f>IF(OR(H216="",I216=""),"",I216-H216)</x:f>
      </x:c>
      <x:c r="K216" s="7" t="str"/>
      <x:c r="L216" s="7" t="str"/>
      <x:c r="M216" s="7" t="str">
        <x:f>IF(L216="","OPEN",IF(OR(NOT(ISNUMBER(H216)),NOT(ISNUMBER(I216)),NOT(ISNUMBER(K216)),ABS(J216)&gt;K216),"FAIL","PASS"))</x:f>
        <x:v>OPEN</x:v>
      </x:c>
    </x:row>
    <x:row r="217">
      <x:c r="B217" s="7" t="str">
        <x:v>CAL-CH-PEA-A-X2-12-1</x:v>
      </x:c>
      <x:c r="C217" s="7" t="str">
        <x:v>CH-PEA-A-X2-12-1</x:v>
      </x:c>
      <x:c r="D217" s="7" t="str">
        <x:v>PEA-A-X2</x:v>
      </x:c>
      <x:c r="E217" s="7" t="str">
        <x:v>BLD-A</x:v>
      </x:c>
      <x:c r="F217" s="7" t="str">
        <x:v>BL-X</x:v>
      </x:c>
      <x:c r="G217" s="7" t="str">
        <x:v>MF-12</x:v>
      </x:c>
      <x:c r="H217" s="7" t="str"/>
      <x:c r="I217" s="7" t="str"/>
      <x:c r="J217" s="7" t="str">
        <x:f>IF(OR(H217="",I217=""),"",I217-H217)</x:f>
      </x:c>
      <x:c r="K217" s="7" t="str"/>
      <x:c r="L217" s="7" t="str"/>
      <x:c r="M217" s="7" t="str">
        <x:f>IF(L217="","OPEN",IF(OR(NOT(ISNUMBER(H217)),NOT(ISNUMBER(I217)),NOT(ISNUMBER(K217)),ABS(J217)&gt;K217),"FAIL","PASS"))</x:f>
        <x:v>OPEN</x:v>
      </x:c>
    </x:row>
    <x:row r="218">
      <x:c r="B218" s="7" t="str">
        <x:v>CAL-CH-PEA-A-X2-12-2</x:v>
      </x:c>
      <x:c r="C218" s="7" t="str">
        <x:v>CH-PEA-A-X2-12-2</x:v>
      </x:c>
      <x:c r="D218" s="7" t="str">
        <x:v>PEA-A-X2</x:v>
      </x:c>
      <x:c r="E218" s="7" t="str">
        <x:v>BLD-A</x:v>
      </x:c>
      <x:c r="F218" s="7" t="str">
        <x:v>BL-X</x:v>
      </x:c>
      <x:c r="G218" s="7" t="str">
        <x:v>MF-12</x:v>
      </x:c>
      <x:c r="H218" s="7" t="str"/>
      <x:c r="I218" s="7" t="str"/>
      <x:c r="J218" s="7" t="str">
        <x:f>IF(OR(H218="",I218=""),"",I218-H218)</x:f>
      </x:c>
      <x:c r="K218" s="7" t="str"/>
      <x:c r="L218" s="7" t="str"/>
      <x:c r="M218" s="7" t="str">
        <x:f>IF(L218="","OPEN",IF(OR(NOT(ISNUMBER(H218)),NOT(ISNUMBER(I218)),NOT(ISNUMBER(K218)),ABS(J218)&gt;K218),"FAIL","PASS"))</x:f>
        <x:v>OPEN</x:v>
      </x:c>
    </x:row>
    <x:row r="219">
      <x:c r="B219" s="7" t="str">
        <x:v>CAL-CH-PEA-A-X2-12-3</x:v>
      </x:c>
      <x:c r="C219" s="7" t="str">
        <x:v>CH-PEA-A-X2-12-3</x:v>
      </x:c>
      <x:c r="D219" s="7" t="str">
        <x:v>PEA-A-X2</x:v>
      </x:c>
      <x:c r="E219" s="7" t="str">
        <x:v>BLD-A</x:v>
      </x:c>
      <x:c r="F219" s="7" t="str">
        <x:v>BL-X</x:v>
      </x:c>
      <x:c r="G219" s="7" t="str">
        <x:v>MF-12</x:v>
      </x:c>
      <x:c r="H219" s="7" t="str"/>
      <x:c r="I219" s="7" t="str"/>
      <x:c r="J219" s="7" t="str">
        <x:f>IF(OR(H219="",I219=""),"",I219-H219)</x:f>
      </x:c>
      <x:c r="K219" s="7" t="str"/>
      <x:c r="L219" s="7" t="str"/>
      <x:c r="M219" s="7" t="str">
        <x:f>IF(L219="","OPEN",IF(OR(NOT(ISNUMBER(H219)),NOT(ISNUMBER(I219)),NOT(ISNUMBER(K219)),ABS(J219)&gt;K219),"FAIL","PASS"))</x:f>
        <x:v>OPEN</x:v>
      </x:c>
    </x:row>
    <x:row r="220">
      <x:c r="B220" s="7" t="str">
        <x:v>CAL-CH-PEA-A-X2-12-4</x:v>
      </x:c>
      <x:c r="C220" s="7" t="str">
        <x:v>CH-PEA-A-X2-12-4</x:v>
      </x:c>
      <x:c r="D220" s="7" t="str">
        <x:v>PEA-A-X2</x:v>
      </x:c>
      <x:c r="E220" s="7" t="str">
        <x:v>BLD-A</x:v>
      </x:c>
      <x:c r="F220" s="7" t="str">
        <x:v>BL-X</x:v>
      </x:c>
      <x:c r="G220" s="7" t="str">
        <x:v>MF-12</x:v>
      </x:c>
      <x:c r="H220" s="7" t="str"/>
      <x:c r="I220" s="7" t="str"/>
      <x:c r="J220" s="7" t="str">
        <x:f>IF(OR(H220="",I220=""),"",I220-H220)</x:f>
      </x:c>
      <x:c r="K220" s="7" t="str"/>
      <x:c r="L220" s="7" t="str"/>
      <x:c r="M220" s="7" t="str">
        <x:f>IF(L220="","OPEN",IF(OR(NOT(ISNUMBER(H220)),NOT(ISNUMBER(I220)),NOT(ISNUMBER(K220)),ABS(J220)&gt;K220),"FAIL","PASS"))</x:f>
        <x:v>OPEN</x:v>
      </x:c>
    </x:row>
    <x:row r="221">
      <x:c r="B221" s="7" t="str">
        <x:v>CAL-CH-PEA-A-X2-12-5</x:v>
      </x:c>
      <x:c r="C221" s="7" t="str">
        <x:v>CH-PEA-A-X2-12-5</x:v>
      </x:c>
      <x:c r="D221" s="7" t="str">
        <x:v>PEA-A-X2</x:v>
      </x:c>
      <x:c r="E221" s="7" t="str">
        <x:v>BLD-A</x:v>
      </x:c>
      <x:c r="F221" s="7" t="str">
        <x:v>BL-X</x:v>
      </x:c>
      <x:c r="G221" s="7" t="str">
        <x:v>MF-12</x:v>
      </x:c>
      <x:c r="H221" s="7" t="str"/>
      <x:c r="I221" s="7" t="str"/>
      <x:c r="J221" s="7" t="str">
        <x:f>IF(OR(H221="",I221=""),"",I221-H221)</x:f>
      </x:c>
      <x:c r="K221" s="7" t="str"/>
      <x:c r="L221" s="7" t="str"/>
      <x:c r="M221" s="7" t="str">
        <x:f>IF(L221="","OPEN",IF(OR(NOT(ISNUMBER(H221)),NOT(ISNUMBER(I221)),NOT(ISNUMBER(K221)),ABS(J221)&gt;K221),"FAIL","PASS"))</x:f>
        <x:v>OPEN</x:v>
      </x:c>
    </x:row>
    <x:row r="222">
      <x:c r="B222" s="7" t="str">
        <x:v>CAL-CH-PEA-A-X2-12-6</x:v>
      </x:c>
      <x:c r="C222" s="7" t="str">
        <x:v>CH-PEA-A-X2-12-6</x:v>
      </x:c>
      <x:c r="D222" s="7" t="str">
        <x:v>PEA-A-X2</x:v>
      </x:c>
      <x:c r="E222" s="7" t="str">
        <x:v>BLD-A</x:v>
      </x:c>
      <x:c r="F222" s="7" t="str">
        <x:v>BL-X</x:v>
      </x:c>
      <x:c r="G222" s="7" t="str">
        <x:v>MF-12</x:v>
      </x:c>
      <x:c r="H222" s="7" t="str"/>
      <x:c r="I222" s="7" t="str"/>
      <x:c r="J222" s="7" t="str">
        <x:f>IF(OR(H222="",I222=""),"",I222-H222)</x:f>
      </x:c>
      <x:c r="K222" s="7" t="str"/>
      <x:c r="L222" s="7" t="str"/>
      <x:c r="M222" s="7" t="str">
        <x:f>IF(L222="","OPEN",IF(OR(NOT(ISNUMBER(H222)),NOT(ISNUMBER(I222)),NOT(ISNUMBER(K222)),ABS(J222)&gt;K222),"FAIL","PASS"))</x:f>
        <x:v>OPEN</x:v>
      </x:c>
    </x:row>
    <x:row r="223">
      <x:c r="B223" s="7" t="str">
        <x:v>CAL-CH-PEA-A-X2-13-1</x:v>
      </x:c>
      <x:c r="C223" s="7" t="str">
        <x:v>CH-PEA-A-X2-13-1</x:v>
      </x:c>
      <x:c r="D223" s="7" t="str">
        <x:v>PEA-A-X2</x:v>
      </x:c>
      <x:c r="E223" s="7" t="str">
        <x:v>BLD-A</x:v>
      </x:c>
      <x:c r="F223" s="7" t="str">
        <x:v>BL-X</x:v>
      </x:c>
      <x:c r="G223" s="7" t="str">
        <x:v>MF-13</x:v>
      </x:c>
      <x:c r="H223" s="7" t="str"/>
      <x:c r="I223" s="7" t="str"/>
      <x:c r="J223" s="7" t="str">
        <x:f>IF(OR(H223="",I223=""),"",I223-H223)</x:f>
      </x:c>
      <x:c r="K223" s="7" t="str"/>
      <x:c r="L223" s="7" t="str"/>
      <x:c r="M223" s="7" t="str">
        <x:f>IF(L223="","OPEN",IF(OR(NOT(ISNUMBER(H223)),NOT(ISNUMBER(I223)),NOT(ISNUMBER(K223)),ABS(J223)&gt;K223),"FAIL","PASS"))</x:f>
        <x:v>OPEN</x:v>
      </x:c>
    </x:row>
    <x:row r="224">
      <x:c r="B224" s="7" t="str">
        <x:v>CAL-CH-PEA-A-X2-13-2</x:v>
      </x:c>
      <x:c r="C224" s="7" t="str">
        <x:v>CH-PEA-A-X2-13-2</x:v>
      </x:c>
      <x:c r="D224" s="7" t="str">
        <x:v>PEA-A-X2</x:v>
      </x:c>
      <x:c r="E224" s="7" t="str">
        <x:v>BLD-A</x:v>
      </x:c>
      <x:c r="F224" s="7" t="str">
        <x:v>BL-X</x:v>
      </x:c>
      <x:c r="G224" s="7" t="str">
        <x:v>MF-13</x:v>
      </x:c>
      <x:c r="H224" s="7" t="str"/>
      <x:c r="I224" s="7" t="str"/>
      <x:c r="J224" s="7" t="str">
        <x:f>IF(OR(H224="",I224=""),"",I224-H224)</x:f>
      </x:c>
      <x:c r="K224" s="7" t="str"/>
      <x:c r="L224" s="7" t="str"/>
      <x:c r="M224" s="7" t="str">
        <x:f>IF(L224="","OPEN",IF(OR(NOT(ISNUMBER(H224)),NOT(ISNUMBER(I224)),NOT(ISNUMBER(K224)),ABS(J224)&gt;K224),"FAIL","PASS"))</x:f>
        <x:v>OPEN</x:v>
      </x:c>
    </x:row>
    <x:row r="225">
      <x:c r="B225" s="7" t="str">
        <x:v>CAL-CH-PEA-A-X2-13-3</x:v>
      </x:c>
      <x:c r="C225" s="7" t="str">
        <x:v>CH-PEA-A-X2-13-3</x:v>
      </x:c>
      <x:c r="D225" s="7" t="str">
        <x:v>PEA-A-X2</x:v>
      </x:c>
      <x:c r="E225" s="7" t="str">
        <x:v>BLD-A</x:v>
      </x:c>
      <x:c r="F225" s="7" t="str">
        <x:v>BL-X</x:v>
      </x:c>
      <x:c r="G225" s="7" t="str">
        <x:v>MF-13</x:v>
      </x:c>
      <x:c r="H225" s="7" t="str"/>
      <x:c r="I225" s="7" t="str"/>
      <x:c r="J225" s="7" t="str">
        <x:f>IF(OR(H225="",I225=""),"",I225-H225)</x:f>
      </x:c>
      <x:c r="K225" s="7" t="str"/>
      <x:c r="L225" s="7" t="str"/>
      <x:c r="M225" s="7" t="str">
        <x:f>IF(L225="","OPEN",IF(OR(NOT(ISNUMBER(H225)),NOT(ISNUMBER(I225)),NOT(ISNUMBER(K225)),ABS(J225)&gt;K225),"FAIL","PASS"))</x:f>
        <x:v>OPEN</x:v>
      </x:c>
    </x:row>
    <x:row r="226">
      <x:c r="B226" s="7" t="str">
        <x:v>CAL-CH-PEA-A-X2-13-4</x:v>
      </x:c>
      <x:c r="C226" s="7" t="str">
        <x:v>CH-PEA-A-X2-13-4</x:v>
      </x:c>
      <x:c r="D226" s="7" t="str">
        <x:v>PEA-A-X2</x:v>
      </x:c>
      <x:c r="E226" s="7" t="str">
        <x:v>BLD-A</x:v>
      </x:c>
      <x:c r="F226" s="7" t="str">
        <x:v>BL-X</x:v>
      </x:c>
      <x:c r="G226" s="7" t="str">
        <x:v>MF-13</x:v>
      </x:c>
      <x:c r="H226" s="7" t="str"/>
      <x:c r="I226" s="7" t="str"/>
      <x:c r="J226" s="7" t="str">
        <x:f>IF(OR(H226="",I226=""),"",I226-H226)</x:f>
      </x:c>
      <x:c r="K226" s="7" t="str"/>
      <x:c r="L226" s="7" t="str"/>
      <x:c r="M226" s="7" t="str">
        <x:f>IF(L226="","OPEN",IF(OR(NOT(ISNUMBER(H226)),NOT(ISNUMBER(I226)),NOT(ISNUMBER(K226)),ABS(J226)&gt;K226),"FAIL","PASS"))</x:f>
        <x:v>OPEN</x:v>
      </x:c>
    </x:row>
    <x:row r="227">
      <x:c r="B227" s="7" t="str">
        <x:v>CAL-CH-PEA-A-X2-13-5</x:v>
      </x:c>
      <x:c r="C227" s="7" t="str">
        <x:v>CH-PEA-A-X2-13-5</x:v>
      </x:c>
      <x:c r="D227" s="7" t="str">
        <x:v>PEA-A-X2</x:v>
      </x:c>
      <x:c r="E227" s="7" t="str">
        <x:v>BLD-A</x:v>
      </x:c>
      <x:c r="F227" s="7" t="str">
        <x:v>BL-X</x:v>
      </x:c>
      <x:c r="G227" s="7" t="str">
        <x:v>MF-13</x:v>
      </x:c>
      <x:c r="H227" s="7" t="str"/>
      <x:c r="I227" s="7" t="str"/>
      <x:c r="J227" s="7" t="str">
        <x:f>IF(OR(H227="",I227=""),"",I227-H227)</x:f>
      </x:c>
      <x:c r="K227" s="7" t="str"/>
      <x:c r="L227" s="7" t="str"/>
      <x:c r="M227" s="7" t="str">
        <x:f>IF(L227="","OPEN",IF(OR(NOT(ISNUMBER(H227)),NOT(ISNUMBER(I227)),NOT(ISNUMBER(K227)),ABS(J227)&gt;K227),"FAIL","PASS"))</x:f>
        <x:v>OPEN</x:v>
      </x:c>
    </x:row>
    <x:row r="228">
      <x:c r="B228" s="7" t="str">
        <x:v>CAL-CH-PEA-A-X2-13-6</x:v>
      </x:c>
      <x:c r="C228" s="7" t="str">
        <x:v>CH-PEA-A-X2-13-6</x:v>
      </x:c>
      <x:c r="D228" s="7" t="str">
        <x:v>PEA-A-X2</x:v>
      </x:c>
      <x:c r="E228" s="7" t="str">
        <x:v>BLD-A</x:v>
      </x:c>
      <x:c r="F228" s="7" t="str">
        <x:v>BL-X</x:v>
      </x:c>
      <x:c r="G228" s="7" t="str">
        <x:v>MF-13</x:v>
      </x:c>
      <x:c r="H228" s="7" t="str"/>
      <x:c r="I228" s="7" t="str"/>
      <x:c r="J228" s="7" t="str">
        <x:f>IF(OR(H228="",I228=""),"",I228-H228)</x:f>
      </x:c>
      <x:c r="K228" s="7" t="str"/>
      <x:c r="L228" s="7" t="str"/>
      <x:c r="M228" s="7" t="str">
        <x:f>IF(L228="","OPEN",IF(OR(NOT(ISNUMBER(H228)),NOT(ISNUMBER(I228)),NOT(ISNUMBER(K228)),ABS(J228)&gt;K228),"FAIL","PASS"))</x:f>
        <x:v>OPEN</x:v>
      </x:c>
    </x:row>
    <x:row r="229">
      <x:c r="B229" s="7" t="str">
        <x:v>CAL-CH-PEA-A-X2-14-1</x:v>
      </x:c>
      <x:c r="C229" s="7" t="str">
        <x:v>CH-PEA-A-X2-14-1</x:v>
      </x:c>
      <x:c r="D229" s="7" t="str">
        <x:v>PEA-A-X2</x:v>
      </x:c>
      <x:c r="E229" s="7" t="str">
        <x:v>BLD-A</x:v>
      </x:c>
      <x:c r="F229" s="7" t="str">
        <x:v>BL-X</x:v>
      </x:c>
      <x:c r="G229" s="7" t="str">
        <x:v>MF-14</x:v>
      </x:c>
      <x:c r="H229" s="7" t="str"/>
      <x:c r="I229" s="7" t="str"/>
      <x:c r="J229" s="7" t="str">
        <x:f>IF(OR(H229="",I229=""),"",I229-H229)</x:f>
      </x:c>
      <x:c r="K229" s="7" t="str"/>
      <x:c r="L229" s="7" t="str"/>
      <x:c r="M229" s="7" t="str">
        <x:f>IF(L229="","OPEN",IF(OR(NOT(ISNUMBER(H229)),NOT(ISNUMBER(I229)),NOT(ISNUMBER(K229)),ABS(J229)&gt;K229),"FAIL","PASS"))</x:f>
        <x:v>OPEN</x:v>
      </x:c>
    </x:row>
    <x:row r="230">
      <x:c r="B230" s="7" t="str">
        <x:v>CAL-CH-PEA-A-X2-14-2</x:v>
      </x:c>
      <x:c r="C230" s="7" t="str">
        <x:v>CH-PEA-A-X2-14-2</x:v>
      </x:c>
      <x:c r="D230" s="7" t="str">
        <x:v>PEA-A-X2</x:v>
      </x:c>
      <x:c r="E230" s="7" t="str">
        <x:v>BLD-A</x:v>
      </x:c>
      <x:c r="F230" s="7" t="str">
        <x:v>BL-X</x:v>
      </x:c>
      <x:c r="G230" s="7" t="str">
        <x:v>MF-14</x:v>
      </x:c>
      <x:c r="H230" s="7" t="str"/>
      <x:c r="I230" s="7" t="str"/>
      <x:c r="J230" s="7" t="str">
        <x:f>IF(OR(H230="",I230=""),"",I230-H230)</x:f>
      </x:c>
      <x:c r="K230" s="7" t="str"/>
      <x:c r="L230" s="7" t="str"/>
      <x:c r="M230" s="7" t="str">
        <x:f>IF(L230="","OPEN",IF(OR(NOT(ISNUMBER(H230)),NOT(ISNUMBER(I230)),NOT(ISNUMBER(K230)),ABS(J230)&gt;K230),"FAIL","PASS"))</x:f>
        <x:v>OPEN</x:v>
      </x:c>
    </x:row>
    <x:row r="231">
      <x:c r="B231" s="7" t="str">
        <x:v>CAL-CH-PEA-A-X2-14-3</x:v>
      </x:c>
      <x:c r="C231" s="7" t="str">
        <x:v>CH-PEA-A-X2-14-3</x:v>
      </x:c>
      <x:c r="D231" s="7" t="str">
        <x:v>PEA-A-X2</x:v>
      </x:c>
      <x:c r="E231" s="7" t="str">
        <x:v>BLD-A</x:v>
      </x:c>
      <x:c r="F231" s="7" t="str">
        <x:v>BL-X</x:v>
      </x:c>
      <x:c r="G231" s="7" t="str">
        <x:v>MF-14</x:v>
      </x:c>
      <x:c r="H231" s="7" t="str"/>
      <x:c r="I231" s="7" t="str"/>
      <x:c r="J231" s="7" t="str">
        <x:f>IF(OR(H231="",I231=""),"",I231-H231)</x:f>
      </x:c>
      <x:c r="K231" s="7" t="str"/>
      <x:c r="L231" s="7" t="str"/>
      <x:c r="M231" s="7" t="str">
        <x:f>IF(L231="","OPEN",IF(OR(NOT(ISNUMBER(H231)),NOT(ISNUMBER(I231)),NOT(ISNUMBER(K231)),ABS(J231)&gt;K231),"FAIL","PASS"))</x:f>
        <x:v>OPEN</x:v>
      </x:c>
    </x:row>
    <x:row r="232">
      <x:c r="B232" s="7" t="str">
        <x:v>CAL-CH-PEA-A-X2-14-4</x:v>
      </x:c>
      <x:c r="C232" s="7" t="str">
        <x:v>CH-PEA-A-X2-14-4</x:v>
      </x:c>
      <x:c r="D232" s="7" t="str">
        <x:v>PEA-A-X2</x:v>
      </x:c>
      <x:c r="E232" s="7" t="str">
        <x:v>BLD-A</x:v>
      </x:c>
      <x:c r="F232" s="7" t="str">
        <x:v>BL-X</x:v>
      </x:c>
      <x:c r="G232" s="7" t="str">
        <x:v>MF-14</x:v>
      </x:c>
      <x:c r="H232" s="7" t="str"/>
      <x:c r="I232" s="7" t="str"/>
      <x:c r="J232" s="7" t="str">
        <x:f>IF(OR(H232="",I232=""),"",I232-H232)</x:f>
      </x:c>
      <x:c r="K232" s="7" t="str"/>
      <x:c r="L232" s="7" t="str"/>
      <x:c r="M232" s="7" t="str">
        <x:f>IF(L232="","OPEN",IF(OR(NOT(ISNUMBER(H232)),NOT(ISNUMBER(I232)),NOT(ISNUMBER(K232)),ABS(J232)&gt;K232),"FAIL","PASS"))</x:f>
        <x:v>OPEN</x:v>
      </x:c>
    </x:row>
    <x:row r="233">
      <x:c r="B233" s="7" t="str">
        <x:v>CAL-CH-PEA-A-X2-14-5</x:v>
      </x:c>
      <x:c r="C233" s="7" t="str">
        <x:v>CH-PEA-A-X2-14-5</x:v>
      </x:c>
      <x:c r="D233" s="7" t="str">
        <x:v>PEA-A-X2</x:v>
      </x:c>
      <x:c r="E233" s="7" t="str">
        <x:v>BLD-A</x:v>
      </x:c>
      <x:c r="F233" s="7" t="str">
        <x:v>BL-X</x:v>
      </x:c>
      <x:c r="G233" s="7" t="str">
        <x:v>MF-14</x:v>
      </x:c>
      <x:c r="H233" s="7" t="str"/>
      <x:c r="I233" s="7" t="str"/>
      <x:c r="J233" s="7" t="str">
        <x:f>IF(OR(H233="",I233=""),"",I233-H233)</x:f>
      </x:c>
      <x:c r="K233" s="7" t="str"/>
      <x:c r="L233" s="7" t="str"/>
      <x:c r="M233" s="7" t="str">
        <x:f>IF(L233="","OPEN",IF(OR(NOT(ISNUMBER(H233)),NOT(ISNUMBER(I233)),NOT(ISNUMBER(K233)),ABS(J233)&gt;K233),"FAIL","PASS"))</x:f>
        <x:v>OPEN</x:v>
      </x:c>
    </x:row>
    <x:row r="234">
      <x:c r="B234" s="7" t="str">
        <x:v>CAL-CH-PEA-A-X2-14-6</x:v>
      </x:c>
      <x:c r="C234" s="7" t="str">
        <x:v>CH-PEA-A-X2-14-6</x:v>
      </x:c>
      <x:c r="D234" s="7" t="str">
        <x:v>PEA-A-X2</x:v>
      </x:c>
      <x:c r="E234" s="7" t="str">
        <x:v>BLD-A</x:v>
      </x:c>
      <x:c r="F234" s="7" t="str">
        <x:v>BL-X</x:v>
      </x:c>
      <x:c r="G234" s="7" t="str">
        <x:v>MF-14</x:v>
      </x:c>
      <x:c r="H234" s="7" t="str"/>
      <x:c r="I234" s="7" t="str"/>
      <x:c r="J234" s="7" t="str">
        <x:f>IF(OR(H234="",I234=""),"",I234-H234)</x:f>
      </x:c>
      <x:c r="K234" s="7" t="str"/>
      <x:c r="L234" s="7" t="str"/>
      <x:c r="M234" s="7" t="str">
        <x:f>IF(L234="","OPEN",IF(OR(NOT(ISNUMBER(H234)),NOT(ISNUMBER(I234)),NOT(ISNUMBER(K234)),ABS(J234)&gt;K234),"FAIL","PASS"))</x:f>
        <x:v>OPEN</x:v>
      </x:c>
    </x:row>
    <x:row r="235">
      <x:c r="B235" s="7" t="str">
        <x:v>CAL-CH-PEA-A-X2-15-1</x:v>
      </x:c>
      <x:c r="C235" s="7" t="str">
        <x:v>CH-PEA-A-X2-15-1</x:v>
      </x:c>
      <x:c r="D235" s="7" t="str">
        <x:v>PEA-A-X2</x:v>
      </x:c>
      <x:c r="E235" s="7" t="str">
        <x:v>BLD-A</x:v>
      </x:c>
      <x:c r="F235" s="7" t="str">
        <x:v>BL-X</x:v>
      </x:c>
      <x:c r="G235" s="7" t="str">
        <x:v>MF-15</x:v>
      </x:c>
      <x:c r="H235" s="7" t="str"/>
      <x:c r="I235" s="7" t="str"/>
      <x:c r="J235" s="7" t="str">
        <x:f>IF(OR(H235="",I235=""),"",I235-H235)</x:f>
      </x:c>
      <x:c r="K235" s="7" t="str"/>
      <x:c r="L235" s="7" t="str"/>
      <x:c r="M235" s="7" t="str">
        <x:f>IF(L235="","OPEN",IF(OR(NOT(ISNUMBER(H235)),NOT(ISNUMBER(I235)),NOT(ISNUMBER(K235)),ABS(J235)&gt;K235),"FAIL","PASS"))</x:f>
        <x:v>OPEN</x:v>
      </x:c>
    </x:row>
    <x:row r="236">
      <x:c r="B236" s="7" t="str">
        <x:v>CAL-CH-PEA-A-X2-15-2</x:v>
      </x:c>
      <x:c r="C236" s="7" t="str">
        <x:v>CH-PEA-A-X2-15-2</x:v>
      </x:c>
      <x:c r="D236" s="7" t="str">
        <x:v>PEA-A-X2</x:v>
      </x:c>
      <x:c r="E236" s="7" t="str">
        <x:v>BLD-A</x:v>
      </x:c>
      <x:c r="F236" s="7" t="str">
        <x:v>BL-X</x:v>
      </x:c>
      <x:c r="G236" s="7" t="str">
        <x:v>MF-15</x:v>
      </x:c>
      <x:c r="H236" s="7" t="str"/>
      <x:c r="I236" s="7" t="str"/>
      <x:c r="J236" s="7" t="str">
        <x:f>IF(OR(H236="",I236=""),"",I236-H236)</x:f>
      </x:c>
      <x:c r="K236" s="7" t="str"/>
      <x:c r="L236" s="7" t="str"/>
      <x:c r="M236" s="7" t="str">
        <x:f>IF(L236="","OPEN",IF(OR(NOT(ISNUMBER(H236)),NOT(ISNUMBER(I236)),NOT(ISNUMBER(K236)),ABS(J236)&gt;K236),"FAIL","PASS"))</x:f>
        <x:v>OPEN</x:v>
      </x:c>
    </x:row>
    <x:row r="237">
      <x:c r="B237" s="7" t="str">
        <x:v>CAL-CH-PEA-A-X2-15-3</x:v>
      </x:c>
      <x:c r="C237" s="7" t="str">
        <x:v>CH-PEA-A-X2-15-3</x:v>
      </x:c>
      <x:c r="D237" s="7" t="str">
        <x:v>PEA-A-X2</x:v>
      </x:c>
      <x:c r="E237" s="7" t="str">
        <x:v>BLD-A</x:v>
      </x:c>
      <x:c r="F237" s="7" t="str">
        <x:v>BL-X</x:v>
      </x:c>
      <x:c r="G237" s="7" t="str">
        <x:v>MF-15</x:v>
      </x:c>
      <x:c r="H237" s="7" t="str"/>
      <x:c r="I237" s="7" t="str"/>
      <x:c r="J237" s="7" t="str">
        <x:f>IF(OR(H237="",I237=""),"",I237-H237)</x:f>
      </x:c>
      <x:c r="K237" s="7" t="str"/>
      <x:c r="L237" s="7" t="str"/>
      <x:c r="M237" s="7" t="str">
        <x:f>IF(L237="","OPEN",IF(OR(NOT(ISNUMBER(H237)),NOT(ISNUMBER(I237)),NOT(ISNUMBER(K237)),ABS(J237)&gt;K237),"FAIL","PASS"))</x:f>
        <x:v>OPEN</x:v>
      </x:c>
    </x:row>
    <x:row r="238">
      <x:c r="B238" s="7" t="str">
        <x:v>CAL-CH-PEA-A-X2-15-4</x:v>
      </x:c>
      <x:c r="C238" s="7" t="str">
        <x:v>CH-PEA-A-X2-15-4</x:v>
      </x:c>
      <x:c r="D238" s="7" t="str">
        <x:v>PEA-A-X2</x:v>
      </x:c>
      <x:c r="E238" s="7" t="str">
        <x:v>BLD-A</x:v>
      </x:c>
      <x:c r="F238" s="7" t="str">
        <x:v>BL-X</x:v>
      </x:c>
      <x:c r="G238" s="7" t="str">
        <x:v>MF-15</x:v>
      </x:c>
      <x:c r="H238" s="7" t="str"/>
      <x:c r="I238" s="7" t="str"/>
      <x:c r="J238" s="7" t="str">
        <x:f>IF(OR(H238="",I238=""),"",I238-H238)</x:f>
      </x:c>
      <x:c r="K238" s="7" t="str"/>
      <x:c r="L238" s="7" t="str"/>
      <x:c r="M238" s="7" t="str">
        <x:f>IF(L238="","OPEN",IF(OR(NOT(ISNUMBER(H238)),NOT(ISNUMBER(I238)),NOT(ISNUMBER(K238)),ABS(J238)&gt;K238),"FAIL","PASS"))</x:f>
        <x:v>OPEN</x:v>
      </x:c>
    </x:row>
    <x:row r="239">
      <x:c r="B239" s="7" t="str">
        <x:v>CAL-CH-PEA-A-X2-15-5</x:v>
      </x:c>
      <x:c r="C239" s="7" t="str">
        <x:v>CH-PEA-A-X2-15-5</x:v>
      </x:c>
      <x:c r="D239" s="7" t="str">
        <x:v>PEA-A-X2</x:v>
      </x:c>
      <x:c r="E239" s="7" t="str">
        <x:v>BLD-A</x:v>
      </x:c>
      <x:c r="F239" s="7" t="str">
        <x:v>BL-X</x:v>
      </x:c>
      <x:c r="G239" s="7" t="str">
        <x:v>MF-15</x:v>
      </x:c>
      <x:c r="H239" s="7" t="str"/>
      <x:c r="I239" s="7" t="str"/>
      <x:c r="J239" s="7" t="str">
        <x:f>IF(OR(H239="",I239=""),"",I239-H239)</x:f>
      </x:c>
      <x:c r="K239" s="7" t="str"/>
      <x:c r="L239" s="7" t="str"/>
      <x:c r="M239" s="7" t="str">
        <x:f>IF(L239="","OPEN",IF(OR(NOT(ISNUMBER(H239)),NOT(ISNUMBER(I239)),NOT(ISNUMBER(K239)),ABS(J239)&gt;K239),"FAIL","PASS"))</x:f>
        <x:v>OPEN</x:v>
      </x:c>
    </x:row>
    <x:row r="240">
      <x:c r="B240" s="7" t="str">
        <x:v>CAL-CH-PEA-A-X2-15-6</x:v>
      </x:c>
      <x:c r="C240" s="7" t="str">
        <x:v>CH-PEA-A-X2-15-6</x:v>
      </x:c>
      <x:c r="D240" s="7" t="str">
        <x:v>PEA-A-X2</x:v>
      </x:c>
      <x:c r="E240" s="7" t="str">
        <x:v>BLD-A</x:v>
      </x:c>
      <x:c r="F240" s="7" t="str">
        <x:v>BL-X</x:v>
      </x:c>
      <x:c r="G240" s="7" t="str">
        <x:v>MF-15</x:v>
      </x:c>
      <x:c r="H240" s="7" t="str"/>
      <x:c r="I240" s="7" t="str"/>
      <x:c r="J240" s="7" t="str">
        <x:f>IF(OR(H240="",I240=""),"",I240-H240)</x:f>
      </x:c>
      <x:c r="K240" s="7" t="str"/>
      <x:c r="L240" s="7" t="str"/>
      <x:c r="M240" s="7" t="str">
        <x:f>IF(L240="","OPEN",IF(OR(NOT(ISNUMBER(H240)),NOT(ISNUMBER(I240)),NOT(ISNUMBER(K240)),ABS(J240)&gt;K240),"FAIL","PASS"))</x:f>
        <x:v>OPEN</x:v>
      </x:c>
    </x:row>
    <x:row r="241">
      <x:c r="B241" s="7" t="str">
        <x:v>CAL-CH-PEA-A-X2-16-1</x:v>
      </x:c>
      <x:c r="C241" s="7" t="str">
        <x:v>CH-PEA-A-X2-16-1</x:v>
      </x:c>
      <x:c r="D241" s="7" t="str">
        <x:v>PEA-A-X2</x:v>
      </x:c>
      <x:c r="E241" s="7" t="str">
        <x:v>BLD-A</x:v>
      </x:c>
      <x:c r="F241" s="7" t="str">
        <x:v>BL-X</x:v>
      </x:c>
      <x:c r="G241" s="7" t="str">
        <x:v>MF-16</x:v>
      </x:c>
      <x:c r="H241" s="7" t="str"/>
      <x:c r="I241" s="7" t="str"/>
      <x:c r="J241" s="7" t="str">
        <x:f>IF(OR(H241="",I241=""),"",I241-H241)</x:f>
      </x:c>
      <x:c r="K241" s="7" t="str"/>
      <x:c r="L241" s="7" t="str"/>
      <x:c r="M241" s="7" t="str">
        <x:f>IF(L241="","OPEN",IF(OR(NOT(ISNUMBER(H241)),NOT(ISNUMBER(I241)),NOT(ISNUMBER(K241)),ABS(J241)&gt;K241),"FAIL","PASS"))</x:f>
        <x:v>OPEN</x:v>
      </x:c>
    </x:row>
    <x:row r="242">
      <x:c r="B242" s="7" t="str">
        <x:v>CAL-CH-PEA-A-X2-16-2</x:v>
      </x:c>
      <x:c r="C242" s="7" t="str">
        <x:v>CH-PEA-A-X2-16-2</x:v>
      </x:c>
      <x:c r="D242" s="7" t="str">
        <x:v>PEA-A-X2</x:v>
      </x:c>
      <x:c r="E242" s="7" t="str">
        <x:v>BLD-A</x:v>
      </x:c>
      <x:c r="F242" s="7" t="str">
        <x:v>BL-X</x:v>
      </x:c>
      <x:c r="G242" s="7" t="str">
        <x:v>MF-16</x:v>
      </x:c>
      <x:c r="H242" s="7" t="str"/>
      <x:c r="I242" s="7" t="str"/>
      <x:c r="J242" s="7" t="str">
        <x:f>IF(OR(H242="",I242=""),"",I242-H242)</x:f>
      </x:c>
      <x:c r="K242" s="7" t="str"/>
      <x:c r="L242" s="7" t="str"/>
      <x:c r="M242" s="7" t="str">
        <x:f>IF(L242="","OPEN",IF(OR(NOT(ISNUMBER(H242)),NOT(ISNUMBER(I242)),NOT(ISNUMBER(K242)),ABS(J242)&gt;K242),"FAIL","PASS"))</x:f>
        <x:v>OPEN</x:v>
      </x:c>
    </x:row>
    <x:row r="243">
      <x:c r="B243" s="7" t="str">
        <x:v>CAL-CH-PEA-A-X2-16-3</x:v>
      </x:c>
      <x:c r="C243" s="7" t="str">
        <x:v>CH-PEA-A-X2-16-3</x:v>
      </x:c>
      <x:c r="D243" s="7" t="str">
        <x:v>PEA-A-X2</x:v>
      </x:c>
      <x:c r="E243" s="7" t="str">
        <x:v>BLD-A</x:v>
      </x:c>
      <x:c r="F243" s="7" t="str">
        <x:v>BL-X</x:v>
      </x:c>
      <x:c r="G243" s="7" t="str">
        <x:v>MF-16</x:v>
      </x:c>
      <x:c r="H243" s="7" t="str"/>
      <x:c r="I243" s="7" t="str"/>
      <x:c r="J243" s="7" t="str">
        <x:f>IF(OR(H243="",I243=""),"",I243-H243)</x:f>
      </x:c>
      <x:c r="K243" s="7" t="str"/>
      <x:c r="L243" s="7" t="str"/>
      <x:c r="M243" s="7" t="str">
        <x:f>IF(L243="","OPEN",IF(OR(NOT(ISNUMBER(H243)),NOT(ISNUMBER(I243)),NOT(ISNUMBER(K243)),ABS(J243)&gt;K243),"FAIL","PASS"))</x:f>
        <x:v>OPEN</x:v>
      </x:c>
    </x:row>
    <x:row r="244">
      <x:c r="B244" s="7" t="str">
        <x:v>CAL-CH-PEA-A-X2-16-4</x:v>
      </x:c>
      <x:c r="C244" s="7" t="str">
        <x:v>CH-PEA-A-X2-16-4</x:v>
      </x:c>
      <x:c r="D244" s="7" t="str">
        <x:v>PEA-A-X2</x:v>
      </x:c>
      <x:c r="E244" s="7" t="str">
        <x:v>BLD-A</x:v>
      </x:c>
      <x:c r="F244" s="7" t="str">
        <x:v>BL-X</x:v>
      </x:c>
      <x:c r="G244" s="7" t="str">
        <x:v>MF-16</x:v>
      </x:c>
      <x:c r="H244" s="7" t="str"/>
      <x:c r="I244" s="7" t="str"/>
      <x:c r="J244" s="7" t="str">
        <x:f>IF(OR(H244="",I244=""),"",I244-H244)</x:f>
      </x:c>
      <x:c r="K244" s="7" t="str"/>
      <x:c r="L244" s="7" t="str"/>
      <x:c r="M244" s="7" t="str">
        <x:f>IF(L244="","OPEN",IF(OR(NOT(ISNUMBER(H244)),NOT(ISNUMBER(I244)),NOT(ISNUMBER(K244)),ABS(J244)&gt;K244),"FAIL","PASS"))</x:f>
        <x:v>OPEN</x:v>
      </x:c>
    </x:row>
    <x:row r="245">
      <x:c r="B245" s="7" t="str">
        <x:v>CAL-CH-PEA-A-X2-16-5</x:v>
      </x:c>
      <x:c r="C245" s="7" t="str">
        <x:v>CH-PEA-A-X2-16-5</x:v>
      </x:c>
      <x:c r="D245" s="7" t="str">
        <x:v>PEA-A-X2</x:v>
      </x:c>
      <x:c r="E245" s="7" t="str">
        <x:v>BLD-A</x:v>
      </x:c>
      <x:c r="F245" s="7" t="str">
        <x:v>BL-X</x:v>
      </x:c>
      <x:c r="G245" s="7" t="str">
        <x:v>MF-16</x:v>
      </x:c>
      <x:c r="H245" s="7" t="str"/>
      <x:c r="I245" s="7" t="str"/>
      <x:c r="J245" s="7" t="str">
        <x:f>IF(OR(H245="",I245=""),"",I245-H245)</x:f>
      </x:c>
      <x:c r="K245" s="7" t="str"/>
      <x:c r="L245" s="7" t="str"/>
      <x:c r="M245" s="7" t="str">
        <x:f>IF(L245="","OPEN",IF(OR(NOT(ISNUMBER(H245)),NOT(ISNUMBER(I245)),NOT(ISNUMBER(K245)),ABS(J245)&gt;K245),"FAIL","PASS"))</x:f>
        <x:v>OPEN</x:v>
      </x:c>
    </x:row>
    <x:row r="246">
      <x:c r="B246" s="7" t="str">
        <x:v>CAL-CH-PEA-A-X2-16-6</x:v>
      </x:c>
      <x:c r="C246" s="7" t="str">
        <x:v>CH-PEA-A-X2-16-6</x:v>
      </x:c>
      <x:c r="D246" s="7" t="str">
        <x:v>PEA-A-X2</x:v>
      </x:c>
      <x:c r="E246" s="7" t="str">
        <x:v>BLD-A</x:v>
      </x:c>
      <x:c r="F246" s="7" t="str">
        <x:v>BL-X</x:v>
      </x:c>
      <x:c r="G246" s="7" t="str">
        <x:v>MF-16</x:v>
      </x:c>
      <x:c r="H246" s="7" t="str"/>
      <x:c r="I246" s="7" t="str"/>
      <x:c r="J246" s="7" t="str">
        <x:f>IF(OR(H246="",I246=""),"",I246-H246)</x:f>
      </x:c>
      <x:c r="K246" s="7" t="str"/>
      <x:c r="L246" s="7" t="str"/>
      <x:c r="M246" s="7" t="str">
        <x:f>IF(L246="","OPEN",IF(OR(NOT(ISNUMBER(H246)),NOT(ISNUMBER(I246)),NOT(ISNUMBER(K246)),ABS(J246)&gt;K246),"FAIL","PASS"))</x:f>
        <x:v>OPEN</x:v>
      </x:c>
    </x:row>
    <x:row r="247">
      <x:c r="B247" s="7" t="str">
        <x:v>CAL-CH-PEA-A-X2-17-1</x:v>
      </x:c>
      <x:c r="C247" s="7" t="str">
        <x:v>CH-PEA-A-X2-17-1</x:v>
      </x:c>
      <x:c r="D247" s="7" t="str">
        <x:v>PEA-A-X2</x:v>
      </x:c>
      <x:c r="E247" s="7" t="str">
        <x:v>BLD-A</x:v>
      </x:c>
      <x:c r="F247" s="7" t="str">
        <x:v>BL-X</x:v>
      </x:c>
      <x:c r="G247" s="7" t="str">
        <x:v>MF-17</x:v>
      </x:c>
      <x:c r="H247" s="7" t="str"/>
      <x:c r="I247" s="7" t="str"/>
      <x:c r="J247" s="7" t="str">
        <x:f>IF(OR(H247="",I247=""),"",I247-H247)</x:f>
      </x:c>
      <x:c r="K247" s="7" t="str"/>
      <x:c r="L247" s="7" t="str"/>
      <x:c r="M247" s="7" t="str">
        <x:f>IF(L247="","OPEN",IF(OR(NOT(ISNUMBER(H247)),NOT(ISNUMBER(I247)),NOT(ISNUMBER(K247)),ABS(J247)&gt;K247),"FAIL","PASS"))</x:f>
        <x:v>OPEN</x:v>
      </x:c>
    </x:row>
    <x:row r="248">
      <x:c r="B248" s="7" t="str">
        <x:v>CAL-CH-PEA-A-X2-17-2</x:v>
      </x:c>
      <x:c r="C248" s="7" t="str">
        <x:v>CH-PEA-A-X2-17-2</x:v>
      </x:c>
      <x:c r="D248" s="7" t="str">
        <x:v>PEA-A-X2</x:v>
      </x:c>
      <x:c r="E248" s="7" t="str">
        <x:v>BLD-A</x:v>
      </x:c>
      <x:c r="F248" s="7" t="str">
        <x:v>BL-X</x:v>
      </x:c>
      <x:c r="G248" s="7" t="str">
        <x:v>MF-17</x:v>
      </x:c>
      <x:c r="H248" s="7" t="str"/>
      <x:c r="I248" s="7" t="str"/>
      <x:c r="J248" s="7" t="str">
        <x:f>IF(OR(H248="",I248=""),"",I248-H248)</x:f>
      </x:c>
      <x:c r="K248" s="7" t="str"/>
      <x:c r="L248" s="7" t="str"/>
      <x:c r="M248" s="7" t="str">
        <x:f>IF(L248="","OPEN",IF(OR(NOT(ISNUMBER(H248)),NOT(ISNUMBER(I248)),NOT(ISNUMBER(K248)),ABS(J248)&gt;K248),"FAIL","PASS"))</x:f>
        <x:v>OPEN</x:v>
      </x:c>
    </x:row>
    <x:row r="249">
      <x:c r="B249" s="7" t="str">
        <x:v>CAL-CH-PEA-A-X2-17-3</x:v>
      </x:c>
      <x:c r="C249" s="7" t="str">
        <x:v>CH-PEA-A-X2-17-3</x:v>
      </x:c>
      <x:c r="D249" s="7" t="str">
        <x:v>PEA-A-X2</x:v>
      </x:c>
      <x:c r="E249" s="7" t="str">
        <x:v>BLD-A</x:v>
      </x:c>
      <x:c r="F249" s="7" t="str">
        <x:v>BL-X</x:v>
      </x:c>
      <x:c r="G249" s="7" t="str">
        <x:v>MF-17</x:v>
      </x:c>
      <x:c r="H249" s="7" t="str"/>
      <x:c r="I249" s="7" t="str"/>
      <x:c r="J249" s="7" t="str">
        <x:f>IF(OR(H249="",I249=""),"",I249-H249)</x:f>
      </x:c>
      <x:c r="K249" s="7" t="str"/>
      <x:c r="L249" s="7" t="str"/>
      <x:c r="M249" s="7" t="str">
        <x:f>IF(L249="","OPEN",IF(OR(NOT(ISNUMBER(H249)),NOT(ISNUMBER(I249)),NOT(ISNUMBER(K249)),ABS(J249)&gt;K249),"FAIL","PASS"))</x:f>
        <x:v>OPEN</x:v>
      </x:c>
    </x:row>
    <x:row r="250">
      <x:c r="B250" s="7" t="str">
        <x:v>CAL-CH-PEA-A-X2-17-4</x:v>
      </x:c>
      <x:c r="C250" s="7" t="str">
        <x:v>CH-PEA-A-X2-17-4</x:v>
      </x:c>
      <x:c r="D250" s="7" t="str">
        <x:v>PEA-A-X2</x:v>
      </x:c>
      <x:c r="E250" s="7" t="str">
        <x:v>BLD-A</x:v>
      </x:c>
      <x:c r="F250" s="7" t="str">
        <x:v>BL-X</x:v>
      </x:c>
      <x:c r="G250" s="7" t="str">
        <x:v>MF-17</x:v>
      </x:c>
      <x:c r="H250" s="7" t="str"/>
      <x:c r="I250" s="7" t="str"/>
      <x:c r="J250" s="7" t="str">
        <x:f>IF(OR(H250="",I250=""),"",I250-H250)</x:f>
      </x:c>
      <x:c r="K250" s="7" t="str"/>
      <x:c r="L250" s="7" t="str"/>
      <x:c r="M250" s="7" t="str">
        <x:f>IF(L250="","OPEN",IF(OR(NOT(ISNUMBER(H250)),NOT(ISNUMBER(I250)),NOT(ISNUMBER(K250)),ABS(J250)&gt;K250),"FAIL","PASS"))</x:f>
        <x:v>OPEN</x:v>
      </x:c>
    </x:row>
    <x:row r="251">
      <x:c r="B251" s="7" t="str">
        <x:v>CAL-CH-PEA-A-X2-17-5</x:v>
      </x:c>
      <x:c r="C251" s="7" t="str">
        <x:v>CH-PEA-A-X2-17-5</x:v>
      </x:c>
      <x:c r="D251" s="7" t="str">
        <x:v>PEA-A-X2</x:v>
      </x:c>
      <x:c r="E251" s="7" t="str">
        <x:v>BLD-A</x:v>
      </x:c>
      <x:c r="F251" s="7" t="str">
        <x:v>BL-X</x:v>
      </x:c>
      <x:c r="G251" s="7" t="str">
        <x:v>MF-17</x:v>
      </x:c>
      <x:c r="H251" s="7" t="str"/>
      <x:c r="I251" s="7" t="str"/>
      <x:c r="J251" s="7" t="str">
        <x:f>IF(OR(H251="",I251=""),"",I251-H251)</x:f>
      </x:c>
      <x:c r="K251" s="7" t="str"/>
      <x:c r="L251" s="7" t="str"/>
      <x:c r="M251" s="7" t="str">
        <x:f>IF(L251="","OPEN",IF(OR(NOT(ISNUMBER(H251)),NOT(ISNUMBER(I251)),NOT(ISNUMBER(K251)),ABS(J251)&gt;K251),"FAIL","PASS"))</x:f>
        <x:v>OPEN</x:v>
      </x:c>
    </x:row>
    <x:row r="252">
      <x:c r="B252" s="7" t="str">
        <x:v>CAL-CH-PEA-A-X2-17-6</x:v>
      </x:c>
      <x:c r="C252" s="7" t="str">
        <x:v>CH-PEA-A-X2-17-6</x:v>
      </x:c>
      <x:c r="D252" s="7" t="str">
        <x:v>PEA-A-X2</x:v>
      </x:c>
      <x:c r="E252" s="7" t="str">
        <x:v>BLD-A</x:v>
      </x:c>
      <x:c r="F252" s="7" t="str">
        <x:v>BL-X</x:v>
      </x:c>
      <x:c r="G252" s="7" t="str">
        <x:v>MF-17</x:v>
      </x:c>
      <x:c r="H252" s="7" t="str"/>
      <x:c r="I252" s="7" t="str"/>
      <x:c r="J252" s="7" t="str">
        <x:f>IF(OR(H252="",I252=""),"",I252-H252)</x:f>
      </x:c>
      <x:c r="K252" s="7" t="str"/>
      <x:c r="L252" s="7" t="str"/>
      <x:c r="M252" s="7" t="str">
        <x:f>IF(L252="","OPEN",IF(OR(NOT(ISNUMBER(H252)),NOT(ISNUMBER(I252)),NOT(ISNUMBER(K252)),ABS(J252)&gt;K252),"FAIL","PASS"))</x:f>
        <x:v>OPEN</x:v>
      </x:c>
    </x:row>
    <x:row r="253">
      <x:c r="B253" s="7" t="str">
        <x:v>CAL-CH-PEA-A-X2-18-1</x:v>
      </x:c>
      <x:c r="C253" s="7" t="str">
        <x:v>CH-PEA-A-X2-18-1</x:v>
      </x:c>
      <x:c r="D253" s="7" t="str">
        <x:v>PEA-A-X2</x:v>
      </x:c>
      <x:c r="E253" s="7" t="str">
        <x:v>BLD-A</x:v>
      </x:c>
      <x:c r="F253" s="7" t="str">
        <x:v>BL-X</x:v>
      </x:c>
      <x:c r="G253" s="7" t="str">
        <x:v>MF-18</x:v>
      </x:c>
      <x:c r="H253" s="7" t="str"/>
      <x:c r="I253" s="7" t="str"/>
      <x:c r="J253" s="7" t="str">
        <x:f>IF(OR(H253="",I253=""),"",I253-H253)</x:f>
      </x:c>
      <x:c r="K253" s="7" t="str"/>
      <x:c r="L253" s="7" t="str"/>
      <x:c r="M253" s="7" t="str">
        <x:f>IF(L253="","OPEN",IF(OR(NOT(ISNUMBER(H253)),NOT(ISNUMBER(I253)),NOT(ISNUMBER(K253)),ABS(J253)&gt;K253),"FAIL","PASS"))</x:f>
        <x:v>OPEN</x:v>
      </x:c>
    </x:row>
    <x:row r="254">
      <x:c r="B254" s="7" t="str">
        <x:v>CAL-CH-PEA-A-X2-18-2</x:v>
      </x:c>
      <x:c r="C254" s="7" t="str">
        <x:v>CH-PEA-A-X2-18-2</x:v>
      </x:c>
      <x:c r="D254" s="7" t="str">
        <x:v>PEA-A-X2</x:v>
      </x:c>
      <x:c r="E254" s="7" t="str">
        <x:v>BLD-A</x:v>
      </x:c>
      <x:c r="F254" s="7" t="str">
        <x:v>BL-X</x:v>
      </x:c>
      <x:c r="G254" s="7" t="str">
        <x:v>MF-18</x:v>
      </x:c>
      <x:c r="H254" s="7" t="str"/>
      <x:c r="I254" s="7" t="str"/>
      <x:c r="J254" s="7" t="str">
        <x:f>IF(OR(H254="",I254=""),"",I254-H254)</x:f>
      </x:c>
      <x:c r="K254" s="7" t="str"/>
      <x:c r="L254" s="7" t="str"/>
      <x:c r="M254" s="7" t="str">
        <x:f>IF(L254="","OPEN",IF(OR(NOT(ISNUMBER(H254)),NOT(ISNUMBER(I254)),NOT(ISNUMBER(K254)),ABS(J254)&gt;K254),"FAIL","PASS"))</x:f>
        <x:v>OPEN</x:v>
      </x:c>
    </x:row>
    <x:row r="255">
      <x:c r="B255" s="7" t="str">
        <x:v>CAL-CH-PEA-A-X2-18-3</x:v>
      </x:c>
      <x:c r="C255" s="7" t="str">
        <x:v>CH-PEA-A-X2-18-3</x:v>
      </x:c>
      <x:c r="D255" s="7" t="str">
        <x:v>PEA-A-X2</x:v>
      </x:c>
      <x:c r="E255" s="7" t="str">
        <x:v>BLD-A</x:v>
      </x:c>
      <x:c r="F255" s="7" t="str">
        <x:v>BL-X</x:v>
      </x:c>
      <x:c r="G255" s="7" t="str">
        <x:v>MF-18</x:v>
      </x:c>
      <x:c r="H255" s="7" t="str"/>
      <x:c r="I255" s="7" t="str"/>
      <x:c r="J255" s="7" t="str">
        <x:f>IF(OR(H255="",I255=""),"",I255-H255)</x:f>
      </x:c>
      <x:c r="K255" s="7" t="str"/>
      <x:c r="L255" s="7" t="str"/>
      <x:c r="M255" s="7" t="str">
        <x:f>IF(L255="","OPEN",IF(OR(NOT(ISNUMBER(H255)),NOT(ISNUMBER(I255)),NOT(ISNUMBER(K255)),ABS(J255)&gt;K255),"FAIL","PASS"))</x:f>
        <x:v>OPEN</x:v>
      </x:c>
    </x:row>
    <x:row r="256">
      <x:c r="B256" s="7" t="str">
        <x:v>CAL-CH-PEA-A-X2-18-4</x:v>
      </x:c>
      <x:c r="C256" s="7" t="str">
        <x:v>CH-PEA-A-X2-18-4</x:v>
      </x:c>
      <x:c r="D256" s="7" t="str">
        <x:v>PEA-A-X2</x:v>
      </x:c>
      <x:c r="E256" s="7" t="str">
        <x:v>BLD-A</x:v>
      </x:c>
      <x:c r="F256" s="7" t="str">
        <x:v>BL-X</x:v>
      </x:c>
      <x:c r="G256" s="7" t="str">
        <x:v>MF-18</x:v>
      </x:c>
      <x:c r="H256" s="7" t="str"/>
      <x:c r="I256" s="7" t="str"/>
      <x:c r="J256" s="7" t="str">
        <x:f>IF(OR(H256="",I256=""),"",I256-H256)</x:f>
      </x:c>
      <x:c r="K256" s="7" t="str"/>
      <x:c r="L256" s="7" t="str"/>
      <x:c r="M256" s="7" t="str">
        <x:f>IF(L256="","OPEN",IF(OR(NOT(ISNUMBER(H256)),NOT(ISNUMBER(I256)),NOT(ISNUMBER(K256)),ABS(J256)&gt;K256),"FAIL","PASS"))</x:f>
        <x:v>OPEN</x:v>
      </x:c>
    </x:row>
    <x:row r="257">
      <x:c r="B257" s="7" t="str">
        <x:v>CAL-CH-PEA-A-X2-18-5</x:v>
      </x:c>
      <x:c r="C257" s="7" t="str">
        <x:v>CH-PEA-A-X2-18-5</x:v>
      </x:c>
      <x:c r="D257" s="7" t="str">
        <x:v>PEA-A-X2</x:v>
      </x:c>
      <x:c r="E257" s="7" t="str">
        <x:v>BLD-A</x:v>
      </x:c>
      <x:c r="F257" s="7" t="str">
        <x:v>BL-X</x:v>
      </x:c>
      <x:c r="G257" s="7" t="str">
        <x:v>MF-18</x:v>
      </x:c>
      <x:c r="H257" s="7" t="str"/>
      <x:c r="I257" s="7" t="str"/>
      <x:c r="J257" s="7" t="str">
        <x:f>IF(OR(H257="",I257=""),"",I257-H257)</x:f>
      </x:c>
      <x:c r="K257" s="7" t="str"/>
      <x:c r="L257" s="7" t="str"/>
      <x:c r="M257" s="7" t="str">
        <x:f>IF(L257="","OPEN",IF(OR(NOT(ISNUMBER(H257)),NOT(ISNUMBER(I257)),NOT(ISNUMBER(K257)),ABS(J257)&gt;K257),"FAIL","PASS"))</x:f>
        <x:v>OPEN</x:v>
      </x:c>
    </x:row>
    <x:row r="258">
      <x:c r="B258" s="7" t="str">
        <x:v>CAL-CH-PEA-A-X2-18-6</x:v>
      </x:c>
      <x:c r="C258" s="7" t="str">
        <x:v>CH-PEA-A-X2-18-6</x:v>
      </x:c>
      <x:c r="D258" s="7" t="str">
        <x:v>PEA-A-X2</x:v>
      </x:c>
      <x:c r="E258" s="7" t="str">
        <x:v>BLD-A</x:v>
      </x:c>
      <x:c r="F258" s="7" t="str">
        <x:v>BL-X</x:v>
      </x:c>
      <x:c r="G258" s="7" t="str">
        <x:v>MF-18</x:v>
      </x:c>
      <x:c r="H258" s="7" t="str"/>
      <x:c r="I258" s="7" t="str"/>
      <x:c r="J258" s="7" t="str">
        <x:f>IF(OR(H258="",I258=""),"",I258-H258)</x:f>
      </x:c>
      <x:c r="K258" s="7" t="str"/>
      <x:c r="L258" s="7" t="str"/>
      <x:c r="M258" s="7" t="str">
        <x:f>IF(L258="","OPEN",IF(OR(NOT(ISNUMBER(H258)),NOT(ISNUMBER(I258)),NOT(ISNUMBER(K258)),ABS(J258)&gt;K258),"FAIL","PASS"))</x:f>
        <x:v>OPEN</x:v>
      </x:c>
    </x:row>
    <x:row r="259">
      <x:c r="B259" s="7" t="str">
        <x:v>CAL-CH-PEA-A-X2-19-1</x:v>
      </x:c>
      <x:c r="C259" s="7" t="str">
        <x:v>CH-PEA-A-X2-19-1</x:v>
      </x:c>
      <x:c r="D259" s="7" t="str">
        <x:v>PEA-A-X2</x:v>
      </x:c>
      <x:c r="E259" s="7" t="str">
        <x:v>BLD-A</x:v>
      </x:c>
      <x:c r="F259" s="7" t="str">
        <x:v>BL-X</x:v>
      </x:c>
      <x:c r="G259" s="7" t="str">
        <x:v>MF-19</x:v>
      </x:c>
      <x:c r="H259" s="7" t="str"/>
      <x:c r="I259" s="7" t="str"/>
      <x:c r="J259" s="7" t="str">
        <x:f>IF(OR(H259="",I259=""),"",I259-H259)</x:f>
      </x:c>
      <x:c r="K259" s="7" t="str"/>
      <x:c r="L259" s="7" t="str"/>
      <x:c r="M259" s="7" t="str">
        <x:f>IF(L259="","OPEN",IF(OR(NOT(ISNUMBER(H259)),NOT(ISNUMBER(I259)),NOT(ISNUMBER(K259)),ABS(J259)&gt;K259),"FAIL","PASS"))</x:f>
        <x:v>OPEN</x:v>
      </x:c>
    </x:row>
    <x:row r="260">
      <x:c r="B260" s="7" t="str">
        <x:v>CAL-CH-PEA-A-X2-19-2</x:v>
      </x:c>
      <x:c r="C260" s="7" t="str">
        <x:v>CH-PEA-A-X2-19-2</x:v>
      </x:c>
      <x:c r="D260" s="7" t="str">
        <x:v>PEA-A-X2</x:v>
      </x:c>
      <x:c r="E260" s="7" t="str">
        <x:v>BLD-A</x:v>
      </x:c>
      <x:c r="F260" s="7" t="str">
        <x:v>BL-X</x:v>
      </x:c>
      <x:c r="G260" s="7" t="str">
        <x:v>MF-19</x:v>
      </x:c>
      <x:c r="H260" s="7" t="str"/>
      <x:c r="I260" s="7" t="str"/>
      <x:c r="J260" s="7" t="str">
        <x:f>IF(OR(H260="",I260=""),"",I260-H260)</x:f>
      </x:c>
      <x:c r="K260" s="7" t="str"/>
      <x:c r="L260" s="7" t="str"/>
      <x:c r="M260" s="7" t="str">
        <x:f>IF(L260="","OPEN",IF(OR(NOT(ISNUMBER(H260)),NOT(ISNUMBER(I260)),NOT(ISNUMBER(K260)),ABS(J260)&gt;K260),"FAIL","PASS"))</x:f>
        <x:v>OPEN</x:v>
      </x:c>
    </x:row>
    <x:row r="261">
      <x:c r="B261" s="7" t="str">
        <x:v>CAL-CH-PEA-A-X2-19-3</x:v>
      </x:c>
      <x:c r="C261" s="7" t="str">
        <x:v>CH-PEA-A-X2-19-3</x:v>
      </x:c>
      <x:c r="D261" s="7" t="str">
        <x:v>PEA-A-X2</x:v>
      </x:c>
      <x:c r="E261" s="7" t="str">
        <x:v>BLD-A</x:v>
      </x:c>
      <x:c r="F261" s="7" t="str">
        <x:v>BL-X</x:v>
      </x:c>
      <x:c r="G261" s="7" t="str">
        <x:v>MF-19</x:v>
      </x:c>
      <x:c r="H261" s="7" t="str"/>
      <x:c r="I261" s="7" t="str"/>
      <x:c r="J261" s="7" t="str">
        <x:f>IF(OR(H261="",I261=""),"",I261-H261)</x:f>
      </x:c>
      <x:c r="K261" s="7" t="str"/>
      <x:c r="L261" s="7" t="str"/>
      <x:c r="M261" s="7" t="str">
        <x:f>IF(L261="","OPEN",IF(OR(NOT(ISNUMBER(H261)),NOT(ISNUMBER(I261)),NOT(ISNUMBER(K261)),ABS(J261)&gt;K261),"FAIL","PASS"))</x:f>
        <x:v>OPEN</x:v>
      </x:c>
    </x:row>
    <x:row r="262">
      <x:c r="B262" s="7" t="str">
        <x:v>CAL-CH-PEA-A-X2-19-4</x:v>
      </x:c>
      <x:c r="C262" s="7" t="str">
        <x:v>CH-PEA-A-X2-19-4</x:v>
      </x:c>
      <x:c r="D262" s="7" t="str">
        <x:v>PEA-A-X2</x:v>
      </x:c>
      <x:c r="E262" s="7" t="str">
        <x:v>BLD-A</x:v>
      </x:c>
      <x:c r="F262" s="7" t="str">
        <x:v>BL-X</x:v>
      </x:c>
      <x:c r="G262" s="7" t="str">
        <x:v>MF-19</x:v>
      </x:c>
      <x:c r="H262" s="7" t="str"/>
      <x:c r="I262" s="7" t="str"/>
      <x:c r="J262" s="7" t="str">
        <x:f>IF(OR(H262="",I262=""),"",I262-H262)</x:f>
      </x:c>
      <x:c r="K262" s="7" t="str"/>
      <x:c r="L262" s="7" t="str"/>
      <x:c r="M262" s="7" t="str">
        <x:f>IF(L262="","OPEN",IF(OR(NOT(ISNUMBER(H262)),NOT(ISNUMBER(I262)),NOT(ISNUMBER(K262)),ABS(J262)&gt;K262),"FAIL","PASS"))</x:f>
        <x:v>OPEN</x:v>
      </x:c>
    </x:row>
    <x:row r="263">
      <x:c r="B263" s="7" t="str">
        <x:v>CAL-CH-PEA-A-X2-19-5</x:v>
      </x:c>
      <x:c r="C263" s="7" t="str">
        <x:v>CH-PEA-A-X2-19-5</x:v>
      </x:c>
      <x:c r="D263" s="7" t="str">
        <x:v>PEA-A-X2</x:v>
      </x:c>
      <x:c r="E263" s="7" t="str">
        <x:v>BLD-A</x:v>
      </x:c>
      <x:c r="F263" s="7" t="str">
        <x:v>BL-X</x:v>
      </x:c>
      <x:c r="G263" s="7" t="str">
        <x:v>MF-19</x:v>
      </x:c>
      <x:c r="H263" s="7" t="str"/>
      <x:c r="I263" s="7" t="str"/>
      <x:c r="J263" s="7" t="str">
        <x:f>IF(OR(H263="",I263=""),"",I263-H263)</x:f>
      </x:c>
      <x:c r="K263" s="7" t="str"/>
      <x:c r="L263" s="7" t="str"/>
      <x:c r="M263" s="7" t="str">
        <x:f>IF(L263="","OPEN",IF(OR(NOT(ISNUMBER(H263)),NOT(ISNUMBER(I263)),NOT(ISNUMBER(K263)),ABS(J263)&gt;K263),"FAIL","PASS"))</x:f>
        <x:v>OPEN</x:v>
      </x:c>
    </x:row>
    <x:row r="264">
      <x:c r="B264" s="7" t="str">
        <x:v>CAL-CH-PEA-A-X2-19-6</x:v>
      </x:c>
      <x:c r="C264" s="7" t="str">
        <x:v>CH-PEA-A-X2-19-6</x:v>
      </x:c>
      <x:c r="D264" s="7" t="str">
        <x:v>PEA-A-X2</x:v>
      </x:c>
      <x:c r="E264" s="7" t="str">
        <x:v>BLD-A</x:v>
      </x:c>
      <x:c r="F264" s="7" t="str">
        <x:v>BL-X</x:v>
      </x:c>
      <x:c r="G264" s="7" t="str">
        <x:v>MF-19</x:v>
      </x:c>
      <x:c r="H264" s="7" t="str"/>
      <x:c r="I264" s="7" t="str"/>
      <x:c r="J264" s="7" t="str">
        <x:f>IF(OR(H264="",I264=""),"",I264-H264)</x:f>
      </x:c>
      <x:c r="K264" s="7" t="str"/>
      <x:c r="L264" s="7" t="str"/>
      <x:c r="M264" s="7" t="str">
        <x:f>IF(L264="","OPEN",IF(OR(NOT(ISNUMBER(H264)),NOT(ISNUMBER(I264)),NOT(ISNUMBER(K264)),ABS(J264)&gt;K264),"FAIL","PASS"))</x:f>
        <x:v>OPEN</x:v>
      </x:c>
    </x:row>
    <x:row r="265">
      <x:c r="B265" s="7" t="str">
        <x:v>CAL-CH-PEA-A-X2-20-1</x:v>
      </x:c>
      <x:c r="C265" s="7" t="str">
        <x:v>CH-PEA-A-X2-20-1</x:v>
      </x:c>
      <x:c r="D265" s="7" t="str">
        <x:v>PEA-A-X2</x:v>
      </x:c>
      <x:c r="E265" s="7" t="str">
        <x:v>BLD-A</x:v>
      </x:c>
      <x:c r="F265" s="7" t="str">
        <x:v>BL-X</x:v>
      </x:c>
      <x:c r="G265" s="7" t="str">
        <x:v>MF-20</x:v>
      </x:c>
      <x:c r="H265" s="7" t="str"/>
      <x:c r="I265" s="7" t="str"/>
      <x:c r="J265" s="7" t="str">
        <x:f>IF(OR(H265="",I265=""),"",I265-H265)</x:f>
      </x:c>
      <x:c r="K265" s="7" t="str"/>
      <x:c r="L265" s="7" t="str"/>
      <x:c r="M265" s="7" t="str">
        <x:f>IF(L265="","OPEN",IF(OR(NOT(ISNUMBER(H265)),NOT(ISNUMBER(I265)),NOT(ISNUMBER(K265)),ABS(J265)&gt;K265),"FAIL","PASS"))</x:f>
        <x:v>OPEN</x:v>
      </x:c>
    </x:row>
    <x:row r="266">
      <x:c r="B266" s="7" t="str">
        <x:v>CAL-CH-PEA-A-X2-20-2</x:v>
      </x:c>
      <x:c r="C266" s="7" t="str">
        <x:v>CH-PEA-A-X2-20-2</x:v>
      </x:c>
      <x:c r="D266" s="7" t="str">
        <x:v>PEA-A-X2</x:v>
      </x:c>
      <x:c r="E266" s="7" t="str">
        <x:v>BLD-A</x:v>
      </x:c>
      <x:c r="F266" s="7" t="str">
        <x:v>BL-X</x:v>
      </x:c>
      <x:c r="G266" s="7" t="str">
        <x:v>MF-20</x:v>
      </x:c>
      <x:c r="H266" s="7" t="str"/>
      <x:c r="I266" s="7" t="str"/>
      <x:c r="J266" s="7" t="str">
        <x:f>IF(OR(H266="",I266=""),"",I266-H266)</x:f>
      </x:c>
      <x:c r="K266" s="7" t="str"/>
      <x:c r="L266" s="7" t="str"/>
      <x:c r="M266" s="7" t="str">
        <x:f>IF(L266="","OPEN",IF(OR(NOT(ISNUMBER(H266)),NOT(ISNUMBER(I266)),NOT(ISNUMBER(K266)),ABS(J266)&gt;K266),"FAIL","PASS"))</x:f>
        <x:v>OPEN</x:v>
      </x:c>
    </x:row>
    <x:row r="267">
      <x:c r="B267" s="7" t="str">
        <x:v>CAL-CH-PEA-A-X2-20-3</x:v>
      </x:c>
      <x:c r="C267" s="7" t="str">
        <x:v>CH-PEA-A-X2-20-3</x:v>
      </x:c>
      <x:c r="D267" s="7" t="str">
        <x:v>PEA-A-X2</x:v>
      </x:c>
      <x:c r="E267" s="7" t="str">
        <x:v>BLD-A</x:v>
      </x:c>
      <x:c r="F267" s="7" t="str">
        <x:v>BL-X</x:v>
      </x:c>
      <x:c r="G267" s="7" t="str">
        <x:v>MF-20</x:v>
      </x:c>
      <x:c r="H267" s="7" t="str"/>
      <x:c r="I267" s="7" t="str"/>
      <x:c r="J267" s="7" t="str">
        <x:f>IF(OR(H267="",I267=""),"",I267-H267)</x:f>
      </x:c>
      <x:c r="K267" s="7" t="str"/>
      <x:c r="L267" s="7" t="str"/>
      <x:c r="M267" s="7" t="str">
        <x:f>IF(L267="","OPEN",IF(OR(NOT(ISNUMBER(H267)),NOT(ISNUMBER(I267)),NOT(ISNUMBER(K267)),ABS(J267)&gt;K267),"FAIL","PASS"))</x:f>
        <x:v>OPEN</x:v>
      </x:c>
    </x:row>
    <x:row r="268">
      <x:c r="B268" s="7" t="str">
        <x:v>CAL-CH-PEA-A-X2-20-4</x:v>
      </x:c>
      <x:c r="C268" s="7" t="str">
        <x:v>CH-PEA-A-X2-20-4</x:v>
      </x:c>
      <x:c r="D268" s="7" t="str">
        <x:v>PEA-A-X2</x:v>
      </x:c>
      <x:c r="E268" s="7" t="str">
        <x:v>BLD-A</x:v>
      </x:c>
      <x:c r="F268" s="7" t="str">
        <x:v>BL-X</x:v>
      </x:c>
      <x:c r="G268" s="7" t="str">
        <x:v>MF-20</x:v>
      </x:c>
      <x:c r="H268" s="7" t="str"/>
      <x:c r="I268" s="7" t="str"/>
      <x:c r="J268" s="7" t="str">
        <x:f>IF(OR(H268="",I268=""),"",I268-H268)</x:f>
      </x:c>
      <x:c r="K268" s="7" t="str"/>
      <x:c r="L268" s="7" t="str"/>
      <x:c r="M268" s="7" t="str">
        <x:f>IF(L268="","OPEN",IF(OR(NOT(ISNUMBER(H268)),NOT(ISNUMBER(I268)),NOT(ISNUMBER(K268)),ABS(J268)&gt;K268),"FAIL","PASS"))</x:f>
        <x:v>OPEN</x:v>
      </x:c>
    </x:row>
    <x:row r="269">
      <x:c r="B269" s="7" t="str">
        <x:v>CAL-CH-PEA-A-X2-20-5</x:v>
      </x:c>
      <x:c r="C269" s="7" t="str">
        <x:v>CH-PEA-A-X2-20-5</x:v>
      </x:c>
      <x:c r="D269" s="7" t="str">
        <x:v>PEA-A-X2</x:v>
      </x:c>
      <x:c r="E269" s="7" t="str">
        <x:v>BLD-A</x:v>
      </x:c>
      <x:c r="F269" s="7" t="str">
        <x:v>BL-X</x:v>
      </x:c>
      <x:c r="G269" s="7" t="str">
        <x:v>MF-20</x:v>
      </x:c>
      <x:c r="H269" s="7" t="str"/>
      <x:c r="I269" s="7" t="str"/>
      <x:c r="J269" s="7" t="str">
        <x:f>IF(OR(H269="",I269=""),"",I269-H269)</x:f>
      </x:c>
      <x:c r="K269" s="7" t="str"/>
      <x:c r="L269" s="7" t="str"/>
      <x:c r="M269" s="7" t="str">
        <x:f>IF(L269="","OPEN",IF(OR(NOT(ISNUMBER(H269)),NOT(ISNUMBER(I269)),NOT(ISNUMBER(K269)),ABS(J269)&gt;K269),"FAIL","PASS"))</x:f>
        <x:v>OPEN</x:v>
      </x:c>
    </x:row>
    <x:row r="270">
      <x:c r="B270" s="7" t="str">
        <x:v>CAL-CH-PEA-A-X2-20-6</x:v>
      </x:c>
      <x:c r="C270" s="7" t="str">
        <x:v>CH-PEA-A-X2-20-6</x:v>
      </x:c>
      <x:c r="D270" s="7" t="str">
        <x:v>PEA-A-X2</x:v>
      </x:c>
      <x:c r="E270" s="7" t="str">
        <x:v>BLD-A</x:v>
      </x:c>
      <x:c r="F270" s="7" t="str">
        <x:v>BL-X</x:v>
      </x:c>
      <x:c r="G270" s="7" t="str">
        <x:v>MF-20</x:v>
      </x:c>
      <x:c r="H270" s="7" t="str"/>
      <x:c r="I270" s="7" t="str"/>
      <x:c r="J270" s="7" t="str">
        <x:f>IF(OR(H270="",I270=""),"",I270-H270)</x:f>
      </x:c>
      <x:c r="K270" s="7" t="str"/>
      <x:c r="L270" s="7" t="str"/>
      <x:c r="M270" s="7" t="str">
        <x:f>IF(L270="","OPEN",IF(OR(NOT(ISNUMBER(H270)),NOT(ISNUMBER(I270)),NOT(ISNUMBER(K270)),ABS(J270)&gt;K270),"FAIL","PASS"))</x:f>
        <x:v>OPEN</x:v>
      </x:c>
    </x:row>
    <x:row r="271">
      <x:c r="B271" s="7" t="str">
        <x:v>CAL-CH-PEA-A-X2-21-1</x:v>
      </x:c>
      <x:c r="C271" s="7" t="str">
        <x:v>CH-PEA-A-X2-21-1</x:v>
      </x:c>
      <x:c r="D271" s="7" t="str">
        <x:v>PEA-A-X2</x:v>
      </x:c>
      <x:c r="E271" s="7" t="str">
        <x:v>BLD-A</x:v>
      </x:c>
      <x:c r="F271" s="7" t="str">
        <x:v>BL-X</x:v>
      </x:c>
      <x:c r="G271" s="7" t="str">
        <x:v>MF-21</x:v>
      </x:c>
      <x:c r="H271" s="7" t="str"/>
      <x:c r="I271" s="7" t="str"/>
      <x:c r="J271" s="7" t="str">
        <x:f>IF(OR(H271="",I271=""),"",I271-H271)</x:f>
      </x:c>
      <x:c r="K271" s="7" t="str"/>
      <x:c r="L271" s="7" t="str"/>
      <x:c r="M271" s="7" t="str">
        <x:f>IF(L271="","OPEN",IF(OR(NOT(ISNUMBER(H271)),NOT(ISNUMBER(I271)),NOT(ISNUMBER(K271)),ABS(J271)&gt;K271),"FAIL","PASS"))</x:f>
        <x:v>OPEN</x:v>
      </x:c>
    </x:row>
    <x:row r="272">
      <x:c r="B272" s="7" t="str">
        <x:v>CAL-CH-PEA-A-X2-21-2</x:v>
      </x:c>
      <x:c r="C272" s="7" t="str">
        <x:v>CH-PEA-A-X2-21-2</x:v>
      </x:c>
      <x:c r="D272" s="7" t="str">
        <x:v>PEA-A-X2</x:v>
      </x:c>
      <x:c r="E272" s="7" t="str">
        <x:v>BLD-A</x:v>
      </x:c>
      <x:c r="F272" s="7" t="str">
        <x:v>BL-X</x:v>
      </x:c>
      <x:c r="G272" s="7" t="str">
        <x:v>MF-21</x:v>
      </x:c>
      <x:c r="H272" s="7" t="str"/>
      <x:c r="I272" s="7" t="str"/>
      <x:c r="J272" s="7" t="str">
        <x:f>IF(OR(H272="",I272=""),"",I272-H272)</x:f>
      </x:c>
      <x:c r="K272" s="7" t="str"/>
      <x:c r="L272" s="7" t="str"/>
      <x:c r="M272" s="7" t="str">
        <x:f>IF(L272="","OPEN",IF(OR(NOT(ISNUMBER(H272)),NOT(ISNUMBER(I272)),NOT(ISNUMBER(K272)),ABS(J272)&gt;K272),"FAIL","PASS"))</x:f>
        <x:v>OPEN</x:v>
      </x:c>
    </x:row>
    <x:row r="273">
      <x:c r="B273" s="7" t="str">
        <x:v>CAL-CH-PEA-A-X2-21-3</x:v>
      </x:c>
      <x:c r="C273" s="7" t="str">
        <x:v>CH-PEA-A-X2-21-3</x:v>
      </x:c>
      <x:c r="D273" s="7" t="str">
        <x:v>PEA-A-X2</x:v>
      </x:c>
      <x:c r="E273" s="7" t="str">
        <x:v>BLD-A</x:v>
      </x:c>
      <x:c r="F273" s="7" t="str">
        <x:v>BL-X</x:v>
      </x:c>
      <x:c r="G273" s="7" t="str">
        <x:v>MF-21</x:v>
      </x:c>
      <x:c r="H273" s="7" t="str"/>
      <x:c r="I273" s="7" t="str"/>
      <x:c r="J273" s="7" t="str">
        <x:f>IF(OR(H273="",I273=""),"",I273-H273)</x:f>
      </x:c>
      <x:c r="K273" s="7" t="str"/>
      <x:c r="L273" s="7" t="str"/>
      <x:c r="M273" s="7" t="str">
        <x:f>IF(L273="","OPEN",IF(OR(NOT(ISNUMBER(H273)),NOT(ISNUMBER(I273)),NOT(ISNUMBER(K273)),ABS(J273)&gt;K273),"FAIL","PASS"))</x:f>
        <x:v>OPEN</x:v>
      </x:c>
    </x:row>
    <x:row r="274">
      <x:c r="B274" s="7" t="str">
        <x:v>CAL-CH-PEA-A-X2-21-4</x:v>
      </x:c>
      <x:c r="C274" s="7" t="str">
        <x:v>CH-PEA-A-X2-21-4</x:v>
      </x:c>
      <x:c r="D274" s="7" t="str">
        <x:v>PEA-A-X2</x:v>
      </x:c>
      <x:c r="E274" s="7" t="str">
        <x:v>BLD-A</x:v>
      </x:c>
      <x:c r="F274" s="7" t="str">
        <x:v>BL-X</x:v>
      </x:c>
      <x:c r="G274" s="7" t="str">
        <x:v>MF-21</x:v>
      </x:c>
      <x:c r="H274" s="7" t="str"/>
      <x:c r="I274" s="7" t="str"/>
      <x:c r="J274" s="7" t="str">
        <x:f>IF(OR(H274="",I274=""),"",I274-H274)</x:f>
      </x:c>
      <x:c r="K274" s="7" t="str"/>
      <x:c r="L274" s="7" t="str"/>
      <x:c r="M274" s="7" t="str">
        <x:f>IF(L274="","OPEN",IF(OR(NOT(ISNUMBER(H274)),NOT(ISNUMBER(I274)),NOT(ISNUMBER(K274)),ABS(J274)&gt;K274),"FAIL","PASS"))</x:f>
        <x:v>OPEN</x:v>
      </x:c>
    </x:row>
    <x:row r="275">
      <x:c r="B275" s="7" t="str">
        <x:v>CAL-CH-PEA-A-X2-21-5</x:v>
      </x:c>
      <x:c r="C275" s="7" t="str">
        <x:v>CH-PEA-A-X2-21-5</x:v>
      </x:c>
      <x:c r="D275" s="7" t="str">
        <x:v>PEA-A-X2</x:v>
      </x:c>
      <x:c r="E275" s="7" t="str">
        <x:v>BLD-A</x:v>
      </x:c>
      <x:c r="F275" s="7" t="str">
        <x:v>BL-X</x:v>
      </x:c>
      <x:c r="G275" s="7" t="str">
        <x:v>MF-21</x:v>
      </x:c>
      <x:c r="H275" s="7" t="str"/>
      <x:c r="I275" s="7" t="str"/>
      <x:c r="J275" s="7" t="str">
        <x:f>IF(OR(H275="",I275=""),"",I275-H275)</x:f>
      </x:c>
      <x:c r="K275" s="7" t="str"/>
      <x:c r="L275" s="7" t="str"/>
      <x:c r="M275" s="7" t="str">
        <x:f>IF(L275="","OPEN",IF(OR(NOT(ISNUMBER(H275)),NOT(ISNUMBER(I275)),NOT(ISNUMBER(K275)),ABS(J275)&gt;K275),"FAIL","PASS"))</x:f>
        <x:v>OPEN</x:v>
      </x:c>
    </x:row>
    <x:row r="276">
      <x:c r="B276" s="7" t="str">
        <x:v>CAL-CH-PEA-A-X2-21-6</x:v>
      </x:c>
      <x:c r="C276" s="7" t="str">
        <x:v>CH-PEA-A-X2-21-6</x:v>
      </x:c>
      <x:c r="D276" s="7" t="str">
        <x:v>PEA-A-X2</x:v>
      </x:c>
      <x:c r="E276" s="7" t="str">
        <x:v>BLD-A</x:v>
      </x:c>
      <x:c r="F276" s="7" t="str">
        <x:v>BL-X</x:v>
      </x:c>
      <x:c r="G276" s="7" t="str">
        <x:v>MF-21</x:v>
      </x:c>
      <x:c r="H276" s="7" t="str"/>
      <x:c r="I276" s="7" t="str"/>
      <x:c r="J276" s="7" t="str">
        <x:f>IF(OR(H276="",I276=""),"",I276-H276)</x:f>
      </x:c>
      <x:c r="K276" s="7" t="str"/>
      <x:c r="L276" s="7" t="str"/>
      <x:c r="M276" s="7" t="str">
        <x:f>IF(L276="","OPEN",IF(OR(NOT(ISNUMBER(H276)),NOT(ISNUMBER(I276)),NOT(ISNUMBER(K276)),ABS(J276)&gt;K276),"FAIL","PASS"))</x:f>
        <x:v>OPEN</x:v>
      </x:c>
    </x:row>
    <x:row r="277">
      <x:c r="B277" s="7" t="str">
        <x:v>CAL-CH-PEA-A-X2-22-1</x:v>
      </x:c>
      <x:c r="C277" s="7" t="str">
        <x:v>CH-PEA-A-X2-22-1</x:v>
      </x:c>
      <x:c r="D277" s="7" t="str">
        <x:v>PEA-A-X2</x:v>
      </x:c>
      <x:c r="E277" s="7" t="str">
        <x:v>BLD-A</x:v>
      </x:c>
      <x:c r="F277" s="7" t="str">
        <x:v>BL-X</x:v>
      </x:c>
      <x:c r="G277" s="7" t="str">
        <x:v>MF-22</x:v>
      </x:c>
      <x:c r="H277" s="7" t="str"/>
      <x:c r="I277" s="7" t="str"/>
      <x:c r="J277" s="7" t="str">
        <x:f>IF(OR(H277="",I277=""),"",I277-H277)</x:f>
      </x:c>
      <x:c r="K277" s="7" t="str"/>
      <x:c r="L277" s="7" t="str"/>
      <x:c r="M277" s="7" t="str">
        <x:f>IF(L277="","OPEN",IF(OR(NOT(ISNUMBER(H277)),NOT(ISNUMBER(I277)),NOT(ISNUMBER(K277)),ABS(J277)&gt;K277),"FAIL","PASS"))</x:f>
        <x:v>OPEN</x:v>
      </x:c>
    </x:row>
    <x:row r="278">
      <x:c r="B278" s="7" t="str">
        <x:v>CAL-CH-PEA-A-X2-22-2</x:v>
      </x:c>
      <x:c r="C278" s="7" t="str">
        <x:v>CH-PEA-A-X2-22-2</x:v>
      </x:c>
      <x:c r="D278" s="7" t="str">
        <x:v>PEA-A-X2</x:v>
      </x:c>
      <x:c r="E278" s="7" t="str">
        <x:v>BLD-A</x:v>
      </x:c>
      <x:c r="F278" s="7" t="str">
        <x:v>BL-X</x:v>
      </x:c>
      <x:c r="G278" s="7" t="str">
        <x:v>MF-22</x:v>
      </x:c>
      <x:c r="H278" s="7" t="str"/>
      <x:c r="I278" s="7" t="str"/>
      <x:c r="J278" s="7" t="str">
        <x:f>IF(OR(H278="",I278=""),"",I278-H278)</x:f>
      </x:c>
      <x:c r="K278" s="7" t="str"/>
      <x:c r="L278" s="7" t="str"/>
      <x:c r="M278" s="7" t="str">
        <x:f>IF(L278="","OPEN",IF(OR(NOT(ISNUMBER(H278)),NOT(ISNUMBER(I278)),NOT(ISNUMBER(K278)),ABS(J278)&gt;K278),"FAIL","PASS"))</x:f>
        <x:v>OPEN</x:v>
      </x:c>
    </x:row>
    <x:row r="279">
      <x:c r="B279" s="7" t="str">
        <x:v>CAL-CH-PEA-A-X2-22-3</x:v>
      </x:c>
      <x:c r="C279" s="7" t="str">
        <x:v>CH-PEA-A-X2-22-3</x:v>
      </x:c>
      <x:c r="D279" s="7" t="str">
        <x:v>PEA-A-X2</x:v>
      </x:c>
      <x:c r="E279" s="7" t="str">
        <x:v>BLD-A</x:v>
      </x:c>
      <x:c r="F279" s="7" t="str">
        <x:v>BL-X</x:v>
      </x:c>
      <x:c r="G279" s="7" t="str">
        <x:v>MF-22</x:v>
      </x:c>
      <x:c r="H279" s="7" t="str"/>
      <x:c r="I279" s="7" t="str"/>
      <x:c r="J279" s="7" t="str">
        <x:f>IF(OR(H279="",I279=""),"",I279-H279)</x:f>
      </x:c>
      <x:c r="K279" s="7" t="str"/>
      <x:c r="L279" s="7" t="str"/>
      <x:c r="M279" s="7" t="str">
        <x:f>IF(L279="","OPEN",IF(OR(NOT(ISNUMBER(H279)),NOT(ISNUMBER(I279)),NOT(ISNUMBER(K279)),ABS(J279)&gt;K279),"FAIL","PASS"))</x:f>
        <x:v>OPEN</x:v>
      </x:c>
    </x:row>
    <x:row r="280">
      <x:c r="B280" s="7" t="str">
        <x:v>CAL-CH-PEA-A-X2-22-4</x:v>
      </x:c>
      <x:c r="C280" s="7" t="str">
        <x:v>CH-PEA-A-X2-22-4</x:v>
      </x:c>
      <x:c r="D280" s="7" t="str">
        <x:v>PEA-A-X2</x:v>
      </x:c>
      <x:c r="E280" s="7" t="str">
        <x:v>BLD-A</x:v>
      </x:c>
      <x:c r="F280" s="7" t="str">
        <x:v>BL-X</x:v>
      </x:c>
      <x:c r="G280" s="7" t="str">
        <x:v>MF-22</x:v>
      </x:c>
      <x:c r="H280" s="7" t="str"/>
      <x:c r="I280" s="7" t="str"/>
      <x:c r="J280" s="7" t="str">
        <x:f>IF(OR(H280="",I280=""),"",I280-H280)</x:f>
      </x:c>
      <x:c r="K280" s="7" t="str"/>
      <x:c r="L280" s="7" t="str"/>
      <x:c r="M280" s="7" t="str">
        <x:f>IF(L280="","OPEN",IF(OR(NOT(ISNUMBER(H280)),NOT(ISNUMBER(I280)),NOT(ISNUMBER(K280)),ABS(J280)&gt;K280),"FAIL","PASS"))</x:f>
        <x:v>OPEN</x:v>
      </x:c>
    </x:row>
    <x:row r="281">
      <x:c r="B281" s="7" t="str">
        <x:v>CAL-CH-PEA-A-X2-22-5</x:v>
      </x:c>
      <x:c r="C281" s="7" t="str">
        <x:v>CH-PEA-A-X2-22-5</x:v>
      </x:c>
      <x:c r="D281" s="7" t="str">
        <x:v>PEA-A-X2</x:v>
      </x:c>
      <x:c r="E281" s="7" t="str">
        <x:v>BLD-A</x:v>
      </x:c>
      <x:c r="F281" s="7" t="str">
        <x:v>BL-X</x:v>
      </x:c>
      <x:c r="G281" s="7" t="str">
        <x:v>MF-22</x:v>
      </x:c>
      <x:c r="H281" s="7" t="str"/>
      <x:c r="I281" s="7" t="str"/>
      <x:c r="J281" s="7" t="str">
        <x:f>IF(OR(H281="",I281=""),"",I281-H281)</x:f>
      </x:c>
      <x:c r="K281" s="7" t="str"/>
      <x:c r="L281" s="7" t="str"/>
      <x:c r="M281" s="7" t="str">
        <x:f>IF(L281="","OPEN",IF(OR(NOT(ISNUMBER(H281)),NOT(ISNUMBER(I281)),NOT(ISNUMBER(K281)),ABS(J281)&gt;K281),"FAIL","PASS"))</x:f>
        <x:v>OPEN</x:v>
      </x:c>
    </x:row>
    <x:row r="282">
      <x:c r="B282" s="7" t="str">
        <x:v>CAL-CH-PEA-A-X2-22-6</x:v>
      </x:c>
      <x:c r="C282" s="7" t="str">
        <x:v>CH-PEA-A-X2-22-6</x:v>
      </x:c>
      <x:c r="D282" s="7" t="str">
        <x:v>PEA-A-X2</x:v>
      </x:c>
      <x:c r="E282" s="7" t="str">
        <x:v>BLD-A</x:v>
      </x:c>
      <x:c r="F282" s="7" t="str">
        <x:v>BL-X</x:v>
      </x:c>
      <x:c r="G282" s="7" t="str">
        <x:v>MF-22</x:v>
      </x:c>
      <x:c r="H282" s="7" t="str"/>
      <x:c r="I282" s="7" t="str"/>
      <x:c r="J282" s="7" t="str">
        <x:f>IF(OR(H282="",I282=""),"",I282-H282)</x:f>
      </x:c>
      <x:c r="K282" s="7" t="str"/>
      <x:c r="L282" s="7" t="str"/>
      <x:c r="M282" s="7" t="str">
        <x:f>IF(L282="","OPEN",IF(OR(NOT(ISNUMBER(H282)),NOT(ISNUMBER(I282)),NOT(ISNUMBER(K282)),ABS(J282)&gt;K282),"FAIL","PASS"))</x:f>
        <x:v>OPEN</x:v>
      </x:c>
    </x:row>
    <x:row r="283">
      <x:c r="B283" s="7" t="str">
        <x:v>CAL-CH-PEA-A-X2-23-1</x:v>
      </x:c>
      <x:c r="C283" s="7" t="str">
        <x:v>CH-PEA-A-X2-23-1</x:v>
      </x:c>
      <x:c r="D283" s="7" t="str">
        <x:v>PEA-A-X2</x:v>
      </x:c>
      <x:c r="E283" s="7" t="str">
        <x:v>BLD-A</x:v>
      </x:c>
      <x:c r="F283" s="7" t="str">
        <x:v>BL-X</x:v>
      </x:c>
      <x:c r="G283" s="7" t="str">
        <x:v>MF-23</x:v>
      </x:c>
      <x:c r="H283" s="7" t="str"/>
      <x:c r="I283" s="7" t="str"/>
      <x:c r="J283" s="7" t="str">
        <x:f>IF(OR(H283="",I283=""),"",I283-H283)</x:f>
      </x:c>
      <x:c r="K283" s="7" t="str"/>
      <x:c r="L283" s="7" t="str"/>
      <x:c r="M283" s="7" t="str">
        <x:f>IF(L283="","OPEN",IF(OR(NOT(ISNUMBER(H283)),NOT(ISNUMBER(I283)),NOT(ISNUMBER(K283)),ABS(J283)&gt;K283),"FAIL","PASS"))</x:f>
        <x:v>OPEN</x:v>
      </x:c>
    </x:row>
    <x:row r="284">
      <x:c r="B284" s="7" t="str">
        <x:v>CAL-CH-PEA-A-X2-23-2</x:v>
      </x:c>
      <x:c r="C284" s="7" t="str">
        <x:v>CH-PEA-A-X2-23-2</x:v>
      </x:c>
      <x:c r="D284" s="7" t="str">
        <x:v>PEA-A-X2</x:v>
      </x:c>
      <x:c r="E284" s="7" t="str">
        <x:v>BLD-A</x:v>
      </x:c>
      <x:c r="F284" s="7" t="str">
        <x:v>BL-X</x:v>
      </x:c>
      <x:c r="G284" s="7" t="str">
        <x:v>MF-23</x:v>
      </x:c>
      <x:c r="H284" s="7" t="str"/>
      <x:c r="I284" s="7" t="str"/>
      <x:c r="J284" s="7" t="str">
        <x:f>IF(OR(H284="",I284=""),"",I284-H284)</x:f>
      </x:c>
      <x:c r="K284" s="7" t="str"/>
      <x:c r="L284" s="7" t="str"/>
      <x:c r="M284" s="7" t="str">
        <x:f>IF(L284="","OPEN",IF(OR(NOT(ISNUMBER(H284)),NOT(ISNUMBER(I284)),NOT(ISNUMBER(K284)),ABS(J284)&gt;K284),"FAIL","PASS"))</x:f>
        <x:v>OPEN</x:v>
      </x:c>
    </x:row>
    <x:row r="285">
      <x:c r="B285" s="7" t="str">
        <x:v>CAL-CH-PEA-A-X2-23-3</x:v>
      </x:c>
      <x:c r="C285" s="7" t="str">
        <x:v>CH-PEA-A-X2-23-3</x:v>
      </x:c>
      <x:c r="D285" s="7" t="str">
        <x:v>PEA-A-X2</x:v>
      </x:c>
      <x:c r="E285" s="7" t="str">
        <x:v>BLD-A</x:v>
      </x:c>
      <x:c r="F285" s="7" t="str">
        <x:v>BL-X</x:v>
      </x:c>
      <x:c r="G285" s="7" t="str">
        <x:v>MF-23</x:v>
      </x:c>
      <x:c r="H285" s="7" t="str"/>
      <x:c r="I285" s="7" t="str"/>
      <x:c r="J285" s="7" t="str">
        <x:f>IF(OR(H285="",I285=""),"",I285-H285)</x:f>
      </x:c>
      <x:c r="K285" s="7" t="str"/>
      <x:c r="L285" s="7" t="str"/>
      <x:c r="M285" s="7" t="str">
        <x:f>IF(L285="","OPEN",IF(OR(NOT(ISNUMBER(H285)),NOT(ISNUMBER(I285)),NOT(ISNUMBER(K285)),ABS(J285)&gt;K285),"FAIL","PASS"))</x:f>
        <x:v>OPEN</x:v>
      </x:c>
    </x:row>
    <x:row r="286">
      <x:c r="B286" s="7" t="str">
        <x:v>CAL-CH-PEA-A-X2-23-4</x:v>
      </x:c>
      <x:c r="C286" s="7" t="str">
        <x:v>CH-PEA-A-X2-23-4</x:v>
      </x:c>
      <x:c r="D286" s="7" t="str">
        <x:v>PEA-A-X2</x:v>
      </x:c>
      <x:c r="E286" s="7" t="str">
        <x:v>BLD-A</x:v>
      </x:c>
      <x:c r="F286" s="7" t="str">
        <x:v>BL-X</x:v>
      </x:c>
      <x:c r="G286" s="7" t="str">
        <x:v>MF-23</x:v>
      </x:c>
      <x:c r="H286" s="7" t="str"/>
      <x:c r="I286" s="7" t="str"/>
      <x:c r="J286" s="7" t="str">
        <x:f>IF(OR(H286="",I286=""),"",I286-H286)</x:f>
      </x:c>
      <x:c r="K286" s="7" t="str"/>
      <x:c r="L286" s="7" t="str"/>
      <x:c r="M286" s="7" t="str">
        <x:f>IF(L286="","OPEN",IF(OR(NOT(ISNUMBER(H286)),NOT(ISNUMBER(I286)),NOT(ISNUMBER(K286)),ABS(J286)&gt;K286),"FAIL","PASS"))</x:f>
        <x:v>OPEN</x:v>
      </x:c>
    </x:row>
    <x:row r="287">
      <x:c r="B287" s="7" t="str">
        <x:v>CAL-CH-PEA-A-X2-23-5</x:v>
      </x:c>
      <x:c r="C287" s="7" t="str">
        <x:v>CH-PEA-A-X2-23-5</x:v>
      </x:c>
      <x:c r="D287" s="7" t="str">
        <x:v>PEA-A-X2</x:v>
      </x:c>
      <x:c r="E287" s="7" t="str">
        <x:v>BLD-A</x:v>
      </x:c>
      <x:c r="F287" s="7" t="str">
        <x:v>BL-X</x:v>
      </x:c>
      <x:c r="G287" s="7" t="str">
        <x:v>MF-23</x:v>
      </x:c>
      <x:c r="H287" s="7" t="str"/>
      <x:c r="I287" s="7" t="str"/>
      <x:c r="J287" s="7" t="str">
        <x:f>IF(OR(H287="",I287=""),"",I287-H287)</x:f>
      </x:c>
      <x:c r="K287" s="7" t="str"/>
      <x:c r="L287" s="7" t="str"/>
      <x:c r="M287" s="7" t="str">
        <x:f>IF(L287="","OPEN",IF(OR(NOT(ISNUMBER(H287)),NOT(ISNUMBER(I287)),NOT(ISNUMBER(K287)),ABS(J287)&gt;K287),"FAIL","PASS"))</x:f>
        <x:v>OPEN</x:v>
      </x:c>
    </x:row>
    <x:row r="288">
      <x:c r="B288" s="7" t="str">
        <x:v>CAL-CH-PEA-A-X2-23-6</x:v>
      </x:c>
      <x:c r="C288" s="7" t="str">
        <x:v>CH-PEA-A-X2-23-6</x:v>
      </x:c>
      <x:c r="D288" s="7" t="str">
        <x:v>PEA-A-X2</x:v>
      </x:c>
      <x:c r="E288" s="7" t="str">
        <x:v>BLD-A</x:v>
      </x:c>
      <x:c r="F288" s="7" t="str">
        <x:v>BL-X</x:v>
      </x:c>
      <x:c r="G288" s="7" t="str">
        <x:v>MF-23</x:v>
      </x:c>
      <x:c r="H288" s="7" t="str"/>
      <x:c r="I288" s="7" t="str"/>
      <x:c r="J288" s="7" t="str">
        <x:f>IF(OR(H288="",I288=""),"",I288-H288)</x:f>
      </x:c>
      <x:c r="K288" s="7" t="str"/>
      <x:c r="L288" s="7" t="str"/>
      <x:c r="M288" s="7" t="str">
        <x:f>IF(L288="","OPEN",IF(OR(NOT(ISNUMBER(H288)),NOT(ISNUMBER(I288)),NOT(ISNUMBER(K288)),ABS(J288)&gt;K288),"FAIL","PASS"))</x:f>
        <x:v>OPEN</x:v>
      </x:c>
    </x:row>
    <x:row r="289">
      <x:c r="B289" s="7" t="str">
        <x:v>CAL-CH-PEA-A-X2-24-1</x:v>
      </x:c>
      <x:c r="C289" s="7" t="str">
        <x:v>CH-PEA-A-X2-24-1</x:v>
      </x:c>
      <x:c r="D289" s="7" t="str">
        <x:v>PEA-A-X2</x:v>
      </x:c>
      <x:c r="E289" s="7" t="str">
        <x:v>BLD-A</x:v>
      </x:c>
      <x:c r="F289" s="7" t="str">
        <x:v>BL-X</x:v>
      </x:c>
      <x:c r="G289" s="7" t="str">
        <x:v>MF-24</x:v>
      </x:c>
      <x:c r="H289" s="7" t="str"/>
      <x:c r="I289" s="7" t="str"/>
      <x:c r="J289" s="7" t="str">
        <x:f>IF(OR(H289="",I289=""),"",I289-H289)</x:f>
      </x:c>
      <x:c r="K289" s="7" t="str"/>
      <x:c r="L289" s="7" t="str"/>
      <x:c r="M289" s="7" t="str">
        <x:f>IF(L289="","OPEN",IF(OR(NOT(ISNUMBER(H289)),NOT(ISNUMBER(I289)),NOT(ISNUMBER(K289)),ABS(J289)&gt;K289),"FAIL","PASS"))</x:f>
        <x:v>OPEN</x:v>
      </x:c>
    </x:row>
    <x:row r="290">
      <x:c r="B290" s="7" t="str">
        <x:v>CAL-CH-PEA-A-X2-24-2</x:v>
      </x:c>
      <x:c r="C290" s="7" t="str">
        <x:v>CH-PEA-A-X2-24-2</x:v>
      </x:c>
      <x:c r="D290" s="7" t="str">
        <x:v>PEA-A-X2</x:v>
      </x:c>
      <x:c r="E290" s="7" t="str">
        <x:v>BLD-A</x:v>
      </x:c>
      <x:c r="F290" s="7" t="str">
        <x:v>BL-X</x:v>
      </x:c>
      <x:c r="G290" s="7" t="str">
        <x:v>MF-24</x:v>
      </x:c>
      <x:c r="H290" s="7" t="str"/>
      <x:c r="I290" s="7" t="str"/>
      <x:c r="J290" s="7" t="str">
        <x:f>IF(OR(H290="",I290=""),"",I290-H290)</x:f>
      </x:c>
      <x:c r="K290" s="7" t="str"/>
      <x:c r="L290" s="7" t="str"/>
      <x:c r="M290" s="7" t="str">
        <x:f>IF(L290="","OPEN",IF(OR(NOT(ISNUMBER(H290)),NOT(ISNUMBER(I290)),NOT(ISNUMBER(K290)),ABS(J290)&gt;K290),"FAIL","PASS"))</x:f>
        <x:v>OPEN</x:v>
      </x:c>
    </x:row>
    <x:row r="291">
      <x:c r="B291" s="7" t="str">
        <x:v>CAL-CH-PEA-A-X2-24-3</x:v>
      </x:c>
      <x:c r="C291" s="7" t="str">
        <x:v>CH-PEA-A-X2-24-3</x:v>
      </x:c>
      <x:c r="D291" s="7" t="str">
        <x:v>PEA-A-X2</x:v>
      </x:c>
      <x:c r="E291" s="7" t="str">
        <x:v>BLD-A</x:v>
      </x:c>
      <x:c r="F291" s="7" t="str">
        <x:v>BL-X</x:v>
      </x:c>
      <x:c r="G291" s="7" t="str">
        <x:v>MF-24</x:v>
      </x:c>
      <x:c r="H291" s="7" t="str"/>
      <x:c r="I291" s="7" t="str"/>
      <x:c r="J291" s="7" t="str">
        <x:f>IF(OR(H291="",I291=""),"",I291-H291)</x:f>
      </x:c>
      <x:c r="K291" s="7" t="str"/>
      <x:c r="L291" s="7" t="str"/>
      <x:c r="M291" s="7" t="str">
        <x:f>IF(L291="","OPEN",IF(OR(NOT(ISNUMBER(H291)),NOT(ISNUMBER(I291)),NOT(ISNUMBER(K291)),ABS(J291)&gt;K291),"FAIL","PASS"))</x:f>
        <x:v>OPEN</x:v>
      </x:c>
    </x:row>
    <x:row r="292">
      <x:c r="B292" s="7" t="str">
        <x:v>CAL-CH-PEA-A-X2-24-4</x:v>
      </x:c>
      <x:c r="C292" s="7" t="str">
        <x:v>CH-PEA-A-X2-24-4</x:v>
      </x:c>
      <x:c r="D292" s="7" t="str">
        <x:v>PEA-A-X2</x:v>
      </x:c>
      <x:c r="E292" s="7" t="str">
        <x:v>BLD-A</x:v>
      </x:c>
      <x:c r="F292" s="7" t="str">
        <x:v>BL-X</x:v>
      </x:c>
      <x:c r="G292" s="7" t="str">
        <x:v>MF-24</x:v>
      </x:c>
      <x:c r="H292" s="7" t="str"/>
      <x:c r="I292" s="7" t="str"/>
      <x:c r="J292" s="7" t="str">
        <x:f>IF(OR(H292="",I292=""),"",I292-H292)</x:f>
      </x:c>
      <x:c r="K292" s="7" t="str"/>
      <x:c r="L292" s="7" t="str"/>
      <x:c r="M292" s="7" t="str">
        <x:f>IF(L292="","OPEN",IF(OR(NOT(ISNUMBER(H292)),NOT(ISNUMBER(I292)),NOT(ISNUMBER(K292)),ABS(J292)&gt;K292),"FAIL","PASS"))</x:f>
        <x:v>OPEN</x:v>
      </x:c>
    </x:row>
    <x:row r="293">
      <x:c r="B293" s="7" t="str">
        <x:v>CAL-CH-PEA-A-X2-24-5</x:v>
      </x:c>
      <x:c r="C293" s="7" t="str">
        <x:v>CH-PEA-A-X2-24-5</x:v>
      </x:c>
      <x:c r="D293" s="7" t="str">
        <x:v>PEA-A-X2</x:v>
      </x:c>
      <x:c r="E293" s="7" t="str">
        <x:v>BLD-A</x:v>
      </x:c>
      <x:c r="F293" s="7" t="str">
        <x:v>BL-X</x:v>
      </x:c>
      <x:c r="G293" s="7" t="str">
        <x:v>MF-24</x:v>
      </x:c>
      <x:c r="H293" s="7" t="str"/>
      <x:c r="I293" s="7" t="str"/>
      <x:c r="J293" s="7" t="str">
        <x:f>IF(OR(H293="",I293=""),"",I293-H293)</x:f>
      </x:c>
      <x:c r="K293" s="7" t="str"/>
      <x:c r="L293" s="7" t="str"/>
      <x:c r="M293" s="7" t="str">
        <x:f>IF(L293="","OPEN",IF(OR(NOT(ISNUMBER(H293)),NOT(ISNUMBER(I293)),NOT(ISNUMBER(K293)),ABS(J293)&gt;K293),"FAIL","PASS"))</x:f>
        <x:v>OPEN</x:v>
      </x:c>
    </x:row>
    <x:row r="294">
      <x:c r="B294" s="7" t="str">
        <x:v>CAL-CH-PEA-A-X2-24-6</x:v>
      </x:c>
      <x:c r="C294" s="7" t="str">
        <x:v>CH-PEA-A-X2-24-6</x:v>
      </x:c>
      <x:c r="D294" s="7" t="str">
        <x:v>PEA-A-X2</x:v>
      </x:c>
      <x:c r="E294" s="7" t="str">
        <x:v>BLD-A</x:v>
      </x:c>
      <x:c r="F294" s="7" t="str">
        <x:v>BL-X</x:v>
      </x:c>
      <x:c r="G294" s="7" t="str">
        <x:v>MF-24</x:v>
      </x:c>
      <x:c r="H294" s="7" t="str"/>
      <x:c r="I294" s="7" t="str"/>
      <x:c r="J294" s="7" t="str">
        <x:f>IF(OR(H294="",I294=""),"",I294-H294)</x:f>
      </x:c>
      <x:c r="K294" s="7" t="str"/>
      <x:c r="L294" s="7" t="str"/>
      <x:c r="M294" s="7" t="str">
        <x:f>IF(L294="","OPEN",IF(OR(NOT(ISNUMBER(H294)),NOT(ISNUMBER(I294)),NOT(ISNUMBER(K294)),ABS(J294)&gt;K294),"FAIL","PASS"))</x:f>
        <x:v>OPEN</x:v>
      </x:c>
    </x:row>
    <x:row r="295">
      <x:c r="B295" s="7" t="str">
        <x:v>CAL-CH-PEA-A-X3-01-1</x:v>
      </x:c>
      <x:c r="C295" s="7" t="str">
        <x:v>CH-PEA-A-X3-01-1</x:v>
      </x:c>
      <x:c r="D295" s="7" t="str">
        <x:v>PEA-A-X3</x:v>
      </x:c>
      <x:c r="E295" s="7" t="str">
        <x:v>BLD-A</x:v>
      </x:c>
      <x:c r="F295" s="7" t="str">
        <x:v>BL-X</x:v>
      </x:c>
      <x:c r="G295" s="7" t="str">
        <x:v>MF-01</x:v>
      </x:c>
      <x:c r="H295" s="7" t="str"/>
      <x:c r="I295" s="7" t="str"/>
      <x:c r="J295" s="7" t="str">
        <x:f>IF(OR(H295="",I295=""),"",I295-H295)</x:f>
      </x:c>
      <x:c r="K295" s="7" t="str"/>
      <x:c r="L295" s="7" t="str"/>
      <x:c r="M295" s="7" t="str">
        <x:f>IF(L295="","OPEN",IF(OR(NOT(ISNUMBER(H295)),NOT(ISNUMBER(I295)),NOT(ISNUMBER(K295)),ABS(J295)&gt;K295),"FAIL","PASS"))</x:f>
        <x:v>OPEN</x:v>
      </x:c>
    </x:row>
    <x:row r="296">
      <x:c r="B296" s="7" t="str">
        <x:v>CAL-CH-PEA-A-X3-01-2</x:v>
      </x:c>
      <x:c r="C296" s="7" t="str">
        <x:v>CH-PEA-A-X3-01-2</x:v>
      </x:c>
      <x:c r="D296" s="7" t="str">
        <x:v>PEA-A-X3</x:v>
      </x:c>
      <x:c r="E296" s="7" t="str">
        <x:v>BLD-A</x:v>
      </x:c>
      <x:c r="F296" s="7" t="str">
        <x:v>BL-X</x:v>
      </x:c>
      <x:c r="G296" s="7" t="str">
        <x:v>MF-01</x:v>
      </x:c>
      <x:c r="H296" s="7" t="str"/>
      <x:c r="I296" s="7" t="str"/>
      <x:c r="J296" s="7" t="str">
        <x:f>IF(OR(H296="",I296=""),"",I296-H296)</x:f>
      </x:c>
      <x:c r="K296" s="7" t="str"/>
      <x:c r="L296" s="7" t="str"/>
      <x:c r="M296" s="7" t="str">
        <x:f>IF(L296="","OPEN",IF(OR(NOT(ISNUMBER(H296)),NOT(ISNUMBER(I296)),NOT(ISNUMBER(K296)),ABS(J296)&gt;K296),"FAIL","PASS"))</x:f>
        <x:v>OPEN</x:v>
      </x:c>
    </x:row>
    <x:row r="297">
      <x:c r="B297" s="7" t="str">
        <x:v>CAL-CH-PEA-A-X3-01-3</x:v>
      </x:c>
      <x:c r="C297" s="7" t="str">
        <x:v>CH-PEA-A-X3-01-3</x:v>
      </x:c>
      <x:c r="D297" s="7" t="str">
        <x:v>PEA-A-X3</x:v>
      </x:c>
      <x:c r="E297" s="7" t="str">
        <x:v>BLD-A</x:v>
      </x:c>
      <x:c r="F297" s="7" t="str">
        <x:v>BL-X</x:v>
      </x:c>
      <x:c r="G297" s="7" t="str">
        <x:v>MF-01</x:v>
      </x:c>
      <x:c r="H297" s="7" t="str"/>
      <x:c r="I297" s="7" t="str"/>
      <x:c r="J297" s="7" t="str">
        <x:f>IF(OR(H297="",I297=""),"",I297-H297)</x:f>
      </x:c>
      <x:c r="K297" s="7" t="str"/>
      <x:c r="L297" s="7" t="str"/>
      <x:c r="M297" s="7" t="str">
        <x:f>IF(L297="","OPEN",IF(OR(NOT(ISNUMBER(H297)),NOT(ISNUMBER(I297)),NOT(ISNUMBER(K297)),ABS(J297)&gt;K297),"FAIL","PASS"))</x:f>
        <x:v>OPEN</x:v>
      </x:c>
    </x:row>
    <x:row r="298">
      <x:c r="B298" s="7" t="str">
        <x:v>CAL-CH-PEA-A-X3-01-4</x:v>
      </x:c>
      <x:c r="C298" s="7" t="str">
        <x:v>CH-PEA-A-X3-01-4</x:v>
      </x:c>
      <x:c r="D298" s="7" t="str">
        <x:v>PEA-A-X3</x:v>
      </x:c>
      <x:c r="E298" s="7" t="str">
        <x:v>BLD-A</x:v>
      </x:c>
      <x:c r="F298" s="7" t="str">
        <x:v>BL-X</x:v>
      </x:c>
      <x:c r="G298" s="7" t="str">
        <x:v>MF-01</x:v>
      </x:c>
      <x:c r="H298" s="7" t="str"/>
      <x:c r="I298" s="7" t="str"/>
      <x:c r="J298" s="7" t="str">
        <x:f>IF(OR(H298="",I298=""),"",I298-H298)</x:f>
      </x:c>
      <x:c r="K298" s="7" t="str"/>
      <x:c r="L298" s="7" t="str"/>
      <x:c r="M298" s="7" t="str">
        <x:f>IF(L298="","OPEN",IF(OR(NOT(ISNUMBER(H298)),NOT(ISNUMBER(I298)),NOT(ISNUMBER(K298)),ABS(J298)&gt;K298),"FAIL","PASS"))</x:f>
        <x:v>OPEN</x:v>
      </x:c>
    </x:row>
    <x:row r="299">
      <x:c r="B299" s="7" t="str">
        <x:v>CAL-CH-PEA-A-X3-01-5</x:v>
      </x:c>
      <x:c r="C299" s="7" t="str">
        <x:v>CH-PEA-A-X3-01-5</x:v>
      </x:c>
      <x:c r="D299" s="7" t="str">
        <x:v>PEA-A-X3</x:v>
      </x:c>
      <x:c r="E299" s="7" t="str">
        <x:v>BLD-A</x:v>
      </x:c>
      <x:c r="F299" s="7" t="str">
        <x:v>BL-X</x:v>
      </x:c>
      <x:c r="G299" s="7" t="str">
        <x:v>MF-01</x:v>
      </x:c>
      <x:c r="H299" s="7" t="str"/>
      <x:c r="I299" s="7" t="str"/>
      <x:c r="J299" s="7" t="str">
        <x:f>IF(OR(H299="",I299=""),"",I299-H299)</x:f>
      </x:c>
      <x:c r="K299" s="7" t="str"/>
      <x:c r="L299" s="7" t="str"/>
      <x:c r="M299" s="7" t="str">
        <x:f>IF(L299="","OPEN",IF(OR(NOT(ISNUMBER(H299)),NOT(ISNUMBER(I299)),NOT(ISNUMBER(K299)),ABS(J299)&gt;K299),"FAIL","PASS"))</x:f>
        <x:v>OPEN</x:v>
      </x:c>
    </x:row>
    <x:row r="300">
      <x:c r="B300" s="7" t="str">
        <x:v>CAL-CH-PEA-A-X3-01-6</x:v>
      </x:c>
      <x:c r="C300" s="7" t="str">
        <x:v>CH-PEA-A-X3-01-6</x:v>
      </x:c>
      <x:c r="D300" s="7" t="str">
        <x:v>PEA-A-X3</x:v>
      </x:c>
      <x:c r="E300" s="7" t="str">
        <x:v>BLD-A</x:v>
      </x:c>
      <x:c r="F300" s="7" t="str">
        <x:v>BL-X</x:v>
      </x:c>
      <x:c r="G300" s="7" t="str">
        <x:v>MF-01</x:v>
      </x:c>
      <x:c r="H300" s="7" t="str"/>
      <x:c r="I300" s="7" t="str"/>
      <x:c r="J300" s="7" t="str">
        <x:f>IF(OR(H300="",I300=""),"",I300-H300)</x:f>
      </x:c>
      <x:c r="K300" s="7" t="str"/>
      <x:c r="L300" s="7" t="str"/>
      <x:c r="M300" s="7" t="str">
        <x:f>IF(L300="","OPEN",IF(OR(NOT(ISNUMBER(H300)),NOT(ISNUMBER(I300)),NOT(ISNUMBER(K300)),ABS(J300)&gt;K300),"FAIL","PASS"))</x:f>
        <x:v>OPEN</x:v>
      </x:c>
    </x:row>
    <x:row r="301">
      <x:c r="B301" s="7" t="str">
        <x:v>CAL-CH-PEA-A-X3-02-1</x:v>
      </x:c>
      <x:c r="C301" s="7" t="str">
        <x:v>CH-PEA-A-X3-02-1</x:v>
      </x:c>
      <x:c r="D301" s="7" t="str">
        <x:v>PEA-A-X3</x:v>
      </x:c>
      <x:c r="E301" s="7" t="str">
        <x:v>BLD-A</x:v>
      </x:c>
      <x:c r="F301" s="7" t="str">
        <x:v>BL-X</x:v>
      </x:c>
      <x:c r="G301" s="7" t="str">
        <x:v>MF-02</x:v>
      </x:c>
      <x:c r="H301" s="7" t="str"/>
      <x:c r="I301" s="7" t="str"/>
      <x:c r="J301" s="7" t="str">
        <x:f>IF(OR(H301="",I301=""),"",I301-H301)</x:f>
      </x:c>
      <x:c r="K301" s="7" t="str"/>
      <x:c r="L301" s="7" t="str"/>
      <x:c r="M301" s="7" t="str">
        <x:f>IF(L301="","OPEN",IF(OR(NOT(ISNUMBER(H301)),NOT(ISNUMBER(I301)),NOT(ISNUMBER(K301)),ABS(J301)&gt;K301),"FAIL","PASS"))</x:f>
        <x:v>OPEN</x:v>
      </x:c>
    </x:row>
    <x:row r="302">
      <x:c r="B302" s="7" t="str">
        <x:v>CAL-CH-PEA-A-X3-02-2</x:v>
      </x:c>
      <x:c r="C302" s="7" t="str">
        <x:v>CH-PEA-A-X3-02-2</x:v>
      </x:c>
      <x:c r="D302" s="7" t="str">
        <x:v>PEA-A-X3</x:v>
      </x:c>
      <x:c r="E302" s="7" t="str">
        <x:v>BLD-A</x:v>
      </x:c>
      <x:c r="F302" s="7" t="str">
        <x:v>BL-X</x:v>
      </x:c>
      <x:c r="G302" s="7" t="str">
        <x:v>MF-02</x:v>
      </x:c>
      <x:c r="H302" s="7" t="str"/>
      <x:c r="I302" s="7" t="str"/>
      <x:c r="J302" s="7" t="str">
        <x:f>IF(OR(H302="",I302=""),"",I302-H302)</x:f>
      </x:c>
      <x:c r="K302" s="7" t="str"/>
      <x:c r="L302" s="7" t="str"/>
      <x:c r="M302" s="7" t="str">
        <x:f>IF(L302="","OPEN",IF(OR(NOT(ISNUMBER(H302)),NOT(ISNUMBER(I302)),NOT(ISNUMBER(K302)),ABS(J302)&gt;K302),"FAIL","PASS"))</x:f>
        <x:v>OPEN</x:v>
      </x:c>
    </x:row>
    <x:row r="303">
      <x:c r="B303" s="7" t="str">
        <x:v>CAL-CH-PEA-A-X3-02-3</x:v>
      </x:c>
      <x:c r="C303" s="7" t="str">
        <x:v>CH-PEA-A-X3-02-3</x:v>
      </x:c>
      <x:c r="D303" s="7" t="str">
        <x:v>PEA-A-X3</x:v>
      </x:c>
      <x:c r="E303" s="7" t="str">
        <x:v>BLD-A</x:v>
      </x:c>
      <x:c r="F303" s="7" t="str">
        <x:v>BL-X</x:v>
      </x:c>
      <x:c r="G303" s="7" t="str">
        <x:v>MF-02</x:v>
      </x:c>
      <x:c r="H303" s="7" t="str"/>
      <x:c r="I303" s="7" t="str"/>
      <x:c r="J303" s="7" t="str">
        <x:f>IF(OR(H303="",I303=""),"",I303-H303)</x:f>
      </x:c>
      <x:c r="K303" s="7" t="str"/>
      <x:c r="L303" s="7" t="str"/>
      <x:c r="M303" s="7" t="str">
        <x:f>IF(L303="","OPEN",IF(OR(NOT(ISNUMBER(H303)),NOT(ISNUMBER(I303)),NOT(ISNUMBER(K303)),ABS(J303)&gt;K303),"FAIL","PASS"))</x:f>
        <x:v>OPEN</x:v>
      </x:c>
    </x:row>
    <x:row r="304">
      <x:c r="B304" s="7" t="str">
        <x:v>CAL-CH-PEA-A-X3-02-4</x:v>
      </x:c>
      <x:c r="C304" s="7" t="str">
        <x:v>CH-PEA-A-X3-02-4</x:v>
      </x:c>
      <x:c r="D304" s="7" t="str">
        <x:v>PEA-A-X3</x:v>
      </x:c>
      <x:c r="E304" s="7" t="str">
        <x:v>BLD-A</x:v>
      </x:c>
      <x:c r="F304" s="7" t="str">
        <x:v>BL-X</x:v>
      </x:c>
      <x:c r="G304" s="7" t="str">
        <x:v>MF-02</x:v>
      </x:c>
      <x:c r="H304" s="7" t="str"/>
      <x:c r="I304" s="7" t="str"/>
      <x:c r="J304" s="7" t="str">
        <x:f>IF(OR(H304="",I304=""),"",I304-H304)</x:f>
      </x:c>
      <x:c r="K304" s="7" t="str"/>
      <x:c r="L304" s="7" t="str"/>
      <x:c r="M304" s="7" t="str">
        <x:f>IF(L304="","OPEN",IF(OR(NOT(ISNUMBER(H304)),NOT(ISNUMBER(I304)),NOT(ISNUMBER(K304)),ABS(J304)&gt;K304),"FAIL","PASS"))</x:f>
        <x:v>OPEN</x:v>
      </x:c>
    </x:row>
    <x:row r="305">
      <x:c r="B305" s="7" t="str">
        <x:v>CAL-CH-PEA-A-X3-02-5</x:v>
      </x:c>
      <x:c r="C305" s="7" t="str">
        <x:v>CH-PEA-A-X3-02-5</x:v>
      </x:c>
      <x:c r="D305" s="7" t="str">
        <x:v>PEA-A-X3</x:v>
      </x:c>
      <x:c r="E305" s="7" t="str">
        <x:v>BLD-A</x:v>
      </x:c>
      <x:c r="F305" s="7" t="str">
        <x:v>BL-X</x:v>
      </x:c>
      <x:c r="G305" s="7" t="str">
        <x:v>MF-02</x:v>
      </x:c>
      <x:c r="H305" s="7" t="str"/>
      <x:c r="I305" s="7" t="str"/>
      <x:c r="J305" s="7" t="str">
        <x:f>IF(OR(H305="",I305=""),"",I305-H305)</x:f>
      </x:c>
      <x:c r="K305" s="7" t="str"/>
      <x:c r="L305" s="7" t="str"/>
      <x:c r="M305" s="7" t="str">
        <x:f>IF(L305="","OPEN",IF(OR(NOT(ISNUMBER(H305)),NOT(ISNUMBER(I305)),NOT(ISNUMBER(K305)),ABS(J305)&gt;K305),"FAIL","PASS"))</x:f>
        <x:v>OPEN</x:v>
      </x:c>
    </x:row>
    <x:row r="306">
      <x:c r="B306" s="7" t="str">
        <x:v>CAL-CH-PEA-A-X3-02-6</x:v>
      </x:c>
      <x:c r="C306" s="7" t="str">
        <x:v>CH-PEA-A-X3-02-6</x:v>
      </x:c>
      <x:c r="D306" s="7" t="str">
        <x:v>PEA-A-X3</x:v>
      </x:c>
      <x:c r="E306" s="7" t="str">
        <x:v>BLD-A</x:v>
      </x:c>
      <x:c r="F306" s="7" t="str">
        <x:v>BL-X</x:v>
      </x:c>
      <x:c r="G306" s="7" t="str">
        <x:v>MF-02</x:v>
      </x:c>
      <x:c r="H306" s="7" t="str"/>
      <x:c r="I306" s="7" t="str"/>
      <x:c r="J306" s="7" t="str">
        <x:f>IF(OR(H306="",I306=""),"",I306-H306)</x:f>
      </x:c>
      <x:c r="K306" s="7" t="str"/>
      <x:c r="L306" s="7" t="str"/>
      <x:c r="M306" s="7" t="str">
        <x:f>IF(L306="","OPEN",IF(OR(NOT(ISNUMBER(H306)),NOT(ISNUMBER(I306)),NOT(ISNUMBER(K306)),ABS(J306)&gt;K306),"FAIL","PASS"))</x:f>
        <x:v>OPEN</x:v>
      </x:c>
    </x:row>
    <x:row r="307">
      <x:c r="B307" s="7" t="str">
        <x:v>CAL-CH-PEA-A-X3-03-1</x:v>
      </x:c>
      <x:c r="C307" s="7" t="str">
        <x:v>CH-PEA-A-X3-03-1</x:v>
      </x:c>
      <x:c r="D307" s="7" t="str">
        <x:v>PEA-A-X3</x:v>
      </x:c>
      <x:c r="E307" s="7" t="str">
        <x:v>BLD-A</x:v>
      </x:c>
      <x:c r="F307" s="7" t="str">
        <x:v>BL-X</x:v>
      </x:c>
      <x:c r="G307" s="7" t="str">
        <x:v>MF-03</x:v>
      </x:c>
      <x:c r="H307" s="7" t="str"/>
      <x:c r="I307" s="7" t="str"/>
      <x:c r="J307" s="7" t="str">
        <x:f>IF(OR(H307="",I307=""),"",I307-H307)</x:f>
      </x:c>
      <x:c r="K307" s="7" t="str"/>
      <x:c r="L307" s="7" t="str"/>
      <x:c r="M307" s="7" t="str">
        <x:f>IF(L307="","OPEN",IF(OR(NOT(ISNUMBER(H307)),NOT(ISNUMBER(I307)),NOT(ISNUMBER(K307)),ABS(J307)&gt;K307),"FAIL","PASS"))</x:f>
        <x:v>OPEN</x:v>
      </x:c>
    </x:row>
    <x:row r="308">
      <x:c r="B308" s="7" t="str">
        <x:v>CAL-CH-PEA-A-X3-03-2</x:v>
      </x:c>
      <x:c r="C308" s="7" t="str">
        <x:v>CH-PEA-A-X3-03-2</x:v>
      </x:c>
      <x:c r="D308" s="7" t="str">
        <x:v>PEA-A-X3</x:v>
      </x:c>
      <x:c r="E308" s="7" t="str">
        <x:v>BLD-A</x:v>
      </x:c>
      <x:c r="F308" s="7" t="str">
        <x:v>BL-X</x:v>
      </x:c>
      <x:c r="G308" s="7" t="str">
        <x:v>MF-03</x:v>
      </x:c>
      <x:c r="H308" s="7" t="str"/>
      <x:c r="I308" s="7" t="str"/>
      <x:c r="J308" s="7" t="str">
        <x:f>IF(OR(H308="",I308=""),"",I308-H308)</x:f>
      </x:c>
      <x:c r="K308" s="7" t="str"/>
      <x:c r="L308" s="7" t="str"/>
      <x:c r="M308" s="7" t="str">
        <x:f>IF(L308="","OPEN",IF(OR(NOT(ISNUMBER(H308)),NOT(ISNUMBER(I308)),NOT(ISNUMBER(K308)),ABS(J308)&gt;K308),"FAIL","PASS"))</x:f>
        <x:v>OPEN</x:v>
      </x:c>
    </x:row>
    <x:row r="309">
      <x:c r="B309" s="7" t="str">
        <x:v>CAL-CH-PEA-A-X3-03-3</x:v>
      </x:c>
      <x:c r="C309" s="7" t="str">
        <x:v>CH-PEA-A-X3-03-3</x:v>
      </x:c>
      <x:c r="D309" s="7" t="str">
        <x:v>PEA-A-X3</x:v>
      </x:c>
      <x:c r="E309" s="7" t="str">
        <x:v>BLD-A</x:v>
      </x:c>
      <x:c r="F309" s="7" t="str">
        <x:v>BL-X</x:v>
      </x:c>
      <x:c r="G309" s="7" t="str">
        <x:v>MF-03</x:v>
      </x:c>
      <x:c r="H309" s="7" t="str"/>
      <x:c r="I309" s="7" t="str"/>
      <x:c r="J309" s="7" t="str">
        <x:f>IF(OR(H309="",I309=""),"",I309-H309)</x:f>
      </x:c>
      <x:c r="K309" s="7" t="str"/>
      <x:c r="L309" s="7" t="str"/>
      <x:c r="M309" s="7" t="str">
        <x:f>IF(L309="","OPEN",IF(OR(NOT(ISNUMBER(H309)),NOT(ISNUMBER(I309)),NOT(ISNUMBER(K309)),ABS(J309)&gt;K309),"FAIL","PASS"))</x:f>
        <x:v>OPEN</x:v>
      </x:c>
    </x:row>
    <x:row r="310">
      <x:c r="B310" s="7" t="str">
        <x:v>CAL-CH-PEA-A-X3-03-4</x:v>
      </x:c>
      <x:c r="C310" s="7" t="str">
        <x:v>CH-PEA-A-X3-03-4</x:v>
      </x:c>
      <x:c r="D310" s="7" t="str">
        <x:v>PEA-A-X3</x:v>
      </x:c>
      <x:c r="E310" s="7" t="str">
        <x:v>BLD-A</x:v>
      </x:c>
      <x:c r="F310" s="7" t="str">
        <x:v>BL-X</x:v>
      </x:c>
      <x:c r="G310" s="7" t="str">
        <x:v>MF-03</x:v>
      </x:c>
      <x:c r="H310" s="7" t="str"/>
      <x:c r="I310" s="7" t="str"/>
      <x:c r="J310" s="7" t="str">
        <x:f>IF(OR(H310="",I310=""),"",I310-H310)</x:f>
      </x:c>
      <x:c r="K310" s="7" t="str"/>
      <x:c r="L310" s="7" t="str"/>
      <x:c r="M310" s="7" t="str">
        <x:f>IF(L310="","OPEN",IF(OR(NOT(ISNUMBER(H310)),NOT(ISNUMBER(I310)),NOT(ISNUMBER(K310)),ABS(J310)&gt;K310),"FAIL","PASS"))</x:f>
        <x:v>OPEN</x:v>
      </x:c>
    </x:row>
    <x:row r="311">
      <x:c r="B311" s="7" t="str">
        <x:v>CAL-CH-PEA-A-X3-03-5</x:v>
      </x:c>
      <x:c r="C311" s="7" t="str">
        <x:v>CH-PEA-A-X3-03-5</x:v>
      </x:c>
      <x:c r="D311" s="7" t="str">
        <x:v>PEA-A-X3</x:v>
      </x:c>
      <x:c r="E311" s="7" t="str">
        <x:v>BLD-A</x:v>
      </x:c>
      <x:c r="F311" s="7" t="str">
        <x:v>BL-X</x:v>
      </x:c>
      <x:c r="G311" s="7" t="str">
        <x:v>MF-03</x:v>
      </x:c>
      <x:c r="H311" s="7" t="str"/>
      <x:c r="I311" s="7" t="str"/>
      <x:c r="J311" s="7" t="str">
        <x:f>IF(OR(H311="",I311=""),"",I311-H311)</x:f>
      </x:c>
      <x:c r="K311" s="7" t="str"/>
      <x:c r="L311" s="7" t="str"/>
      <x:c r="M311" s="7" t="str">
        <x:f>IF(L311="","OPEN",IF(OR(NOT(ISNUMBER(H311)),NOT(ISNUMBER(I311)),NOT(ISNUMBER(K311)),ABS(J311)&gt;K311),"FAIL","PASS"))</x:f>
        <x:v>OPEN</x:v>
      </x:c>
    </x:row>
    <x:row r="312">
      <x:c r="B312" s="7" t="str">
        <x:v>CAL-CH-PEA-A-X3-03-6</x:v>
      </x:c>
      <x:c r="C312" s="7" t="str">
        <x:v>CH-PEA-A-X3-03-6</x:v>
      </x:c>
      <x:c r="D312" s="7" t="str">
        <x:v>PEA-A-X3</x:v>
      </x:c>
      <x:c r="E312" s="7" t="str">
        <x:v>BLD-A</x:v>
      </x:c>
      <x:c r="F312" s="7" t="str">
        <x:v>BL-X</x:v>
      </x:c>
      <x:c r="G312" s="7" t="str">
        <x:v>MF-03</x:v>
      </x:c>
      <x:c r="H312" s="7" t="str"/>
      <x:c r="I312" s="7" t="str"/>
      <x:c r="J312" s="7" t="str">
        <x:f>IF(OR(H312="",I312=""),"",I312-H312)</x:f>
      </x:c>
      <x:c r="K312" s="7" t="str"/>
      <x:c r="L312" s="7" t="str"/>
      <x:c r="M312" s="7" t="str">
        <x:f>IF(L312="","OPEN",IF(OR(NOT(ISNUMBER(H312)),NOT(ISNUMBER(I312)),NOT(ISNUMBER(K312)),ABS(J312)&gt;K312),"FAIL","PASS"))</x:f>
        <x:v>OPEN</x:v>
      </x:c>
    </x:row>
    <x:row r="313">
      <x:c r="B313" s="7" t="str">
        <x:v>CAL-CH-PEA-A-X3-04-1</x:v>
      </x:c>
      <x:c r="C313" s="7" t="str">
        <x:v>CH-PEA-A-X3-04-1</x:v>
      </x:c>
      <x:c r="D313" s="7" t="str">
        <x:v>PEA-A-X3</x:v>
      </x:c>
      <x:c r="E313" s="7" t="str">
        <x:v>BLD-A</x:v>
      </x:c>
      <x:c r="F313" s="7" t="str">
        <x:v>BL-X</x:v>
      </x:c>
      <x:c r="G313" s="7" t="str">
        <x:v>MF-04</x:v>
      </x:c>
      <x:c r="H313" s="7" t="str"/>
      <x:c r="I313" s="7" t="str"/>
      <x:c r="J313" s="7" t="str">
        <x:f>IF(OR(H313="",I313=""),"",I313-H313)</x:f>
      </x:c>
      <x:c r="K313" s="7" t="str"/>
      <x:c r="L313" s="7" t="str"/>
      <x:c r="M313" s="7" t="str">
        <x:f>IF(L313="","OPEN",IF(OR(NOT(ISNUMBER(H313)),NOT(ISNUMBER(I313)),NOT(ISNUMBER(K313)),ABS(J313)&gt;K313),"FAIL","PASS"))</x:f>
        <x:v>OPEN</x:v>
      </x:c>
    </x:row>
    <x:row r="314">
      <x:c r="B314" s="7" t="str">
        <x:v>CAL-CH-PEA-A-X3-04-2</x:v>
      </x:c>
      <x:c r="C314" s="7" t="str">
        <x:v>CH-PEA-A-X3-04-2</x:v>
      </x:c>
      <x:c r="D314" s="7" t="str">
        <x:v>PEA-A-X3</x:v>
      </x:c>
      <x:c r="E314" s="7" t="str">
        <x:v>BLD-A</x:v>
      </x:c>
      <x:c r="F314" s="7" t="str">
        <x:v>BL-X</x:v>
      </x:c>
      <x:c r="G314" s="7" t="str">
        <x:v>MF-04</x:v>
      </x:c>
      <x:c r="H314" s="7" t="str"/>
      <x:c r="I314" s="7" t="str"/>
      <x:c r="J314" s="7" t="str">
        <x:f>IF(OR(H314="",I314=""),"",I314-H314)</x:f>
      </x:c>
      <x:c r="K314" s="7" t="str"/>
      <x:c r="L314" s="7" t="str"/>
      <x:c r="M314" s="7" t="str">
        <x:f>IF(L314="","OPEN",IF(OR(NOT(ISNUMBER(H314)),NOT(ISNUMBER(I314)),NOT(ISNUMBER(K314)),ABS(J314)&gt;K314),"FAIL","PASS"))</x:f>
        <x:v>OPEN</x:v>
      </x:c>
    </x:row>
    <x:row r="315">
      <x:c r="B315" s="7" t="str">
        <x:v>CAL-CH-PEA-A-X3-04-3</x:v>
      </x:c>
      <x:c r="C315" s="7" t="str">
        <x:v>CH-PEA-A-X3-04-3</x:v>
      </x:c>
      <x:c r="D315" s="7" t="str">
        <x:v>PEA-A-X3</x:v>
      </x:c>
      <x:c r="E315" s="7" t="str">
        <x:v>BLD-A</x:v>
      </x:c>
      <x:c r="F315" s="7" t="str">
        <x:v>BL-X</x:v>
      </x:c>
      <x:c r="G315" s="7" t="str">
        <x:v>MF-04</x:v>
      </x:c>
      <x:c r="H315" s="7" t="str"/>
      <x:c r="I315" s="7" t="str"/>
      <x:c r="J315" s="7" t="str">
        <x:f>IF(OR(H315="",I315=""),"",I315-H315)</x:f>
      </x:c>
      <x:c r="K315" s="7" t="str"/>
      <x:c r="L315" s="7" t="str"/>
      <x:c r="M315" s="7" t="str">
        <x:f>IF(L315="","OPEN",IF(OR(NOT(ISNUMBER(H315)),NOT(ISNUMBER(I315)),NOT(ISNUMBER(K315)),ABS(J315)&gt;K315),"FAIL","PASS"))</x:f>
        <x:v>OPEN</x:v>
      </x:c>
    </x:row>
    <x:row r="316">
      <x:c r="B316" s="7" t="str">
        <x:v>CAL-CH-PEA-A-X3-04-4</x:v>
      </x:c>
      <x:c r="C316" s="7" t="str">
        <x:v>CH-PEA-A-X3-04-4</x:v>
      </x:c>
      <x:c r="D316" s="7" t="str">
        <x:v>PEA-A-X3</x:v>
      </x:c>
      <x:c r="E316" s="7" t="str">
        <x:v>BLD-A</x:v>
      </x:c>
      <x:c r="F316" s="7" t="str">
        <x:v>BL-X</x:v>
      </x:c>
      <x:c r="G316" s="7" t="str">
        <x:v>MF-04</x:v>
      </x:c>
      <x:c r="H316" s="7" t="str"/>
      <x:c r="I316" s="7" t="str"/>
      <x:c r="J316" s="7" t="str">
        <x:f>IF(OR(H316="",I316=""),"",I316-H316)</x:f>
      </x:c>
      <x:c r="K316" s="7" t="str"/>
      <x:c r="L316" s="7" t="str"/>
      <x:c r="M316" s="7" t="str">
        <x:f>IF(L316="","OPEN",IF(OR(NOT(ISNUMBER(H316)),NOT(ISNUMBER(I316)),NOT(ISNUMBER(K316)),ABS(J316)&gt;K316),"FAIL","PASS"))</x:f>
        <x:v>OPEN</x:v>
      </x:c>
    </x:row>
    <x:row r="317">
      <x:c r="B317" s="7" t="str">
        <x:v>CAL-CH-PEA-A-X3-04-5</x:v>
      </x:c>
      <x:c r="C317" s="7" t="str">
        <x:v>CH-PEA-A-X3-04-5</x:v>
      </x:c>
      <x:c r="D317" s="7" t="str">
        <x:v>PEA-A-X3</x:v>
      </x:c>
      <x:c r="E317" s="7" t="str">
        <x:v>BLD-A</x:v>
      </x:c>
      <x:c r="F317" s="7" t="str">
        <x:v>BL-X</x:v>
      </x:c>
      <x:c r="G317" s="7" t="str">
        <x:v>MF-04</x:v>
      </x:c>
      <x:c r="H317" s="7" t="str"/>
      <x:c r="I317" s="7" t="str"/>
      <x:c r="J317" s="7" t="str">
        <x:f>IF(OR(H317="",I317=""),"",I317-H317)</x:f>
      </x:c>
      <x:c r="K317" s="7" t="str"/>
      <x:c r="L317" s="7" t="str"/>
      <x:c r="M317" s="7" t="str">
        <x:f>IF(L317="","OPEN",IF(OR(NOT(ISNUMBER(H317)),NOT(ISNUMBER(I317)),NOT(ISNUMBER(K317)),ABS(J317)&gt;K317),"FAIL","PASS"))</x:f>
        <x:v>OPEN</x:v>
      </x:c>
    </x:row>
    <x:row r="318">
      <x:c r="B318" s="7" t="str">
        <x:v>CAL-CH-PEA-A-X3-04-6</x:v>
      </x:c>
      <x:c r="C318" s="7" t="str">
        <x:v>CH-PEA-A-X3-04-6</x:v>
      </x:c>
      <x:c r="D318" s="7" t="str">
        <x:v>PEA-A-X3</x:v>
      </x:c>
      <x:c r="E318" s="7" t="str">
        <x:v>BLD-A</x:v>
      </x:c>
      <x:c r="F318" s="7" t="str">
        <x:v>BL-X</x:v>
      </x:c>
      <x:c r="G318" s="7" t="str">
        <x:v>MF-04</x:v>
      </x:c>
      <x:c r="H318" s="7" t="str"/>
      <x:c r="I318" s="7" t="str"/>
      <x:c r="J318" s="7" t="str">
        <x:f>IF(OR(H318="",I318=""),"",I318-H318)</x:f>
      </x:c>
      <x:c r="K318" s="7" t="str"/>
      <x:c r="L318" s="7" t="str"/>
      <x:c r="M318" s="7" t="str">
        <x:f>IF(L318="","OPEN",IF(OR(NOT(ISNUMBER(H318)),NOT(ISNUMBER(I318)),NOT(ISNUMBER(K318)),ABS(J318)&gt;K318),"FAIL","PASS"))</x:f>
        <x:v>OPEN</x:v>
      </x:c>
    </x:row>
    <x:row r="319">
      <x:c r="B319" s="7" t="str">
        <x:v>CAL-CH-PEA-A-X3-05-1</x:v>
      </x:c>
      <x:c r="C319" s="7" t="str">
        <x:v>CH-PEA-A-X3-05-1</x:v>
      </x:c>
      <x:c r="D319" s="7" t="str">
        <x:v>PEA-A-X3</x:v>
      </x:c>
      <x:c r="E319" s="7" t="str">
        <x:v>BLD-A</x:v>
      </x:c>
      <x:c r="F319" s="7" t="str">
        <x:v>BL-X</x:v>
      </x:c>
      <x:c r="G319" s="7" t="str">
        <x:v>MF-05</x:v>
      </x:c>
      <x:c r="H319" s="7" t="str"/>
      <x:c r="I319" s="7" t="str"/>
      <x:c r="J319" s="7" t="str">
        <x:f>IF(OR(H319="",I319=""),"",I319-H319)</x:f>
      </x:c>
      <x:c r="K319" s="7" t="str"/>
      <x:c r="L319" s="7" t="str"/>
      <x:c r="M319" s="7" t="str">
        <x:f>IF(L319="","OPEN",IF(OR(NOT(ISNUMBER(H319)),NOT(ISNUMBER(I319)),NOT(ISNUMBER(K319)),ABS(J319)&gt;K319),"FAIL","PASS"))</x:f>
        <x:v>OPEN</x:v>
      </x:c>
    </x:row>
    <x:row r="320">
      <x:c r="B320" s="7" t="str">
        <x:v>CAL-CH-PEA-A-X3-05-2</x:v>
      </x:c>
      <x:c r="C320" s="7" t="str">
        <x:v>CH-PEA-A-X3-05-2</x:v>
      </x:c>
      <x:c r="D320" s="7" t="str">
        <x:v>PEA-A-X3</x:v>
      </x:c>
      <x:c r="E320" s="7" t="str">
        <x:v>BLD-A</x:v>
      </x:c>
      <x:c r="F320" s="7" t="str">
        <x:v>BL-X</x:v>
      </x:c>
      <x:c r="G320" s="7" t="str">
        <x:v>MF-05</x:v>
      </x:c>
      <x:c r="H320" s="7" t="str"/>
      <x:c r="I320" s="7" t="str"/>
      <x:c r="J320" s="7" t="str">
        <x:f>IF(OR(H320="",I320=""),"",I320-H320)</x:f>
      </x:c>
      <x:c r="K320" s="7" t="str"/>
      <x:c r="L320" s="7" t="str"/>
      <x:c r="M320" s="7" t="str">
        <x:f>IF(L320="","OPEN",IF(OR(NOT(ISNUMBER(H320)),NOT(ISNUMBER(I320)),NOT(ISNUMBER(K320)),ABS(J320)&gt;K320),"FAIL","PASS"))</x:f>
        <x:v>OPEN</x:v>
      </x:c>
    </x:row>
    <x:row r="321">
      <x:c r="B321" s="7" t="str">
        <x:v>CAL-CH-PEA-A-X3-05-3</x:v>
      </x:c>
      <x:c r="C321" s="7" t="str">
        <x:v>CH-PEA-A-X3-05-3</x:v>
      </x:c>
      <x:c r="D321" s="7" t="str">
        <x:v>PEA-A-X3</x:v>
      </x:c>
      <x:c r="E321" s="7" t="str">
        <x:v>BLD-A</x:v>
      </x:c>
      <x:c r="F321" s="7" t="str">
        <x:v>BL-X</x:v>
      </x:c>
      <x:c r="G321" s="7" t="str">
        <x:v>MF-05</x:v>
      </x:c>
      <x:c r="H321" s="7" t="str"/>
      <x:c r="I321" s="7" t="str"/>
      <x:c r="J321" s="7" t="str">
        <x:f>IF(OR(H321="",I321=""),"",I321-H321)</x:f>
      </x:c>
      <x:c r="K321" s="7" t="str"/>
      <x:c r="L321" s="7" t="str"/>
      <x:c r="M321" s="7" t="str">
        <x:f>IF(L321="","OPEN",IF(OR(NOT(ISNUMBER(H321)),NOT(ISNUMBER(I321)),NOT(ISNUMBER(K321)),ABS(J321)&gt;K321),"FAIL","PASS"))</x:f>
        <x:v>OPEN</x:v>
      </x:c>
    </x:row>
    <x:row r="322">
      <x:c r="B322" s="7" t="str">
        <x:v>CAL-CH-PEA-A-X3-05-4</x:v>
      </x:c>
      <x:c r="C322" s="7" t="str">
        <x:v>CH-PEA-A-X3-05-4</x:v>
      </x:c>
      <x:c r="D322" s="7" t="str">
        <x:v>PEA-A-X3</x:v>
      </x:c>
      <x:c r="E322" s="7" t="str">
        <x:v>BLD-A</x:v>
      </x:c>
      <x:c r="F322" s="7" t="str">
        <x:v>BL-X</x:v>
      </x:c>
      <x:c r="G322" s="7" t="str">
        <x:v>MF-05</x:v>
      </x:c>
      <x:c r="H322" s="7" t="str"/>
      <x:c r="I322" s="7" t="str"/>
      <x:c r="J322" s="7" t="str">
        <x:f>IF(OR(H322="",I322=""),"",I322-H322)</x:f>
      </x:c>
      <x:c r="K322" s="7" t="str"/>
      <x:c r="L322" s="7" t="str"/>
      <x:c r="M322" s="7" t="str">
        <x:f>IF(L322="","OPEN",IF(OR(NOT(ISNUMBER(H322)),NOT(ISNUMBER(I322)),NOT(ISNUMBER(K322)),ABS(J322)&gt;K322),"FAIL","PASS"))</x:f>
        <x:v>OPEN</x:v>
      </x:c>
    </x:row>
    <x:row r="323">
      <x:c r="B323" s="7" t="str">
        <x:v>CAL-CH-PEA-A-X3-05-5</x:v>
      </x:c>
      <x:c r="C323" s="7" t="str">
        <x:v>CH-PEA-A-X3-05-5</x:v>
      </x:c>
      <x:c r="D323" s="7" t="str">
        <x:v>PEA-A-X3</x:v>
      </x:c>
      <x:c r="E323" s="7" t="str">
        <x:v>BLD-A</x:v>
      </x:c>
      <x:c r="F323" s="7" t="str">
        <x:v>BL-X</x:v>
      </x:c>
      <x:c r="G323" s="7" t="str">
        <x:v>MF-05</x:v>
      </x:c>
      <x:c r="H323" s="7" t="str"/>
      <x:c r="I323" s="7" t="str"/>
      <x:c r="J323" s="7" t="str">
        <x:f>IF(OR(H323="",I323=""),"",I323-H323)</x:f>
      </x:c>
      <x:c r="K323" s="7" t="str"/>
      <x:c r="L323" s="7" t="str"/>
      <x:c r="M323" s="7" t="str">
        <x:f>IF(L323="","OPEN",IF(OR(NOT(ISNUMBER(H323)),NOT(ISNUMBER(I323)),NOT(ISNUMBER(K323)),ABS(J323)&gt;K323),"FAIL","PASS"))</x:f>
        <x:v>OPEN</x:v>
      </x:c>
    </x:row>
    <x:row r="324">
      <x:c r="B324" s="7" t="str">
        <x:v>CAL-CH-PEA-A-X3-05-6</x:v>
      </x:c>
      <x:c r="C324" s="7" t="str">
        <x:v>CH-PEA-A-X3-05-6</x:v>
      </x:c>
      <x:c r="D324" s="7" t="str">
        <x:v>PEA-A-X3</x:v>
      </x:c>
      <x:c r="E324" s="7" t="str">
        <x:v>BLD-A</x:v>
      </x:c>
      <x:c r="F324" s="7" t="str">
        <x:v>BL-X</x:v>
      </x:c>
      <x:c r="G324" s="7" t="str">
        <x:v>MF-05</x:v>
      </x:c>
      <x:c r="H324" s="7" t="str"/>
      <x:c r="I324" s="7" t="str"/>
      <x:c r="J324" s="7" t="str">
        <x:f>IF(OR(H324="",I324=""),"",I324-H324)</x:f>
      </x:c>
      <x:c r="K324" s="7" t="str"/>
      <x:c r="L324" s="7" t="str"/>
      <x:c r="M324" s="7" t="str">
        <x:f>IF(L324="","OPEN",IF(OR(NOT(ISNUMBER(H324)),NOT(ISNUMBER(I324)),NOT(ISNUMBER(K324)),ABS(J324)&gt;K324),"FAIL","PASS"))</x:f>
        <x:v>OPEN</x:v>
      </x:c>
    </x:row>
    <x:row r="325">
      <x:c r="B325" s="7" t="str">
        <x:v>CAL-CH-PEA-A-X3-06-1</x:v>
      </x:c>
      <x:c r="C325" s="7" t="str">
        <x:v>CH-PEA-A-X3-06-1</x:v>
      </x:c>
      <x:c r="D325" s="7" t="str">
        <x:v>PEA-A-X3</x:v>
      </x:c>
      <x:c r="E325" s="7" t="str">
        <x:v>BLD-A</x:v>
      </x:c>
      <x:c r="F325" s="7" t="str">
        <x:v>BL-X</x:v>
      </x:c>
      <x:c r="G325" s="7" t="str">
        <x:v>MF-06</x:v>
      </x:c>
      <x:c r="H325" s="7" t="str"/>
      <x:c r="I325" s="7" t="str"/>
      <x:c r="J325" s="7" t="str">
        <x:f>IF(OR(H325="",I325=""),"",I325-H325)</x:f>
      </x:c>
      <x:c r="K325" s="7" t="str"/>
      <x:c r="L325" s="7" t="str"/>
      <x:c r="M325" s="7" t="str">
        <x:f>IF(L325="","OPEN",IF(OR(NOT(ISNUMBER(H325)),NOT(ISNUMBER(I325)),NOT(ISNUMBER(K325)),ABS(J325)&gt;K325),"FAIL","PASS"))</x:f>
        <x:v>OPEN</x:v>
      </x:c>
    </x:row>
    <x:row r="326">
      <x:c r="B326" s="7" t="str">
        <x:v>CAL-CH-PEA-A-X3-06-2</x:v>
      </x:c>
      <x:c r="C326" s="7" t="str">
        <x:v>CH-PEA-A-X3-06-2</x:v>
      </x:c>
      <x:c r="D326" s="7" t="str">
        <x:v>PEA-A-X3</x:v>
      </x:c>
      <x:c r="E326" s="7" t="str">
        <x:v>BLD-A</x:v>
      </x:c>
      <x:c r="F326" s="7" t="str">
        <x:v>BL-X</x:v>
      </x:c>
      <x:c r="G326" s="7" t="str">
        <x:v>MF-06</x:v>
      </x:c>
      <x:c r="H326" s="7" t="str"/>
      <x:c r="I326" s="7" t="str"/>
      <x:c r="J326" s="7" t="str">
        <x:f>IF(OR(H326="",I326=""),"",I326-H326)</x:f>
      </x:c>
      <x:c r="K326" s="7" t="str"/>
      <x:c r="L326" s="7" t="str"/>
      <x:c r="M326" s="7" t="str">
        <x:f>IF(L326="","OPEN",IF(OR(NOT(ISNUMBER(H326)),NOT(ISNUMBER(I326)),NOT(ISNUMBER(K326)),ABS(J326)&gt;K326),"FAIL","PASS"))</x:f>
        <x:v>OPEN</x:v>
      </x:c>
    </x:row>
    <x:row r="327">
      <x:c r="B327" s="7" t="str">
        <x:v>CAL-CH-PEA-A-X3-06-3</x:v>
      </x:c>
      <x:c r="C327" s="7" t="str">
        <x:v>CH-PEA-A-X3-06-3</x:v>
      </x:c>
      <x:c r="D327" s="7" t="str">
        <x:v>PEA-A-X3</x:v>
      </x:c>
      <x:c r="E327" s="7" t="str">
        <x:v>BLD-A</x:v>
      </x:c>
      <x:c r="F327" s="7" t="str">
        <x:v>BL-X</x:v>
      </x:c>
      <x:c r="G327" s="7" t="str">
        <x:v>MF-06</x:v>
      </x:c>
      <x:c r="H327" s="7" t="str"/>
      <x:c r="I327" s="7" t="str"/>
      <x:c r="J327" s="7" t="str">
        <x:f>IF(OR(H327="",I327=""),"",I327-H327)</x:f>
      </x:c>
      <x:c r="K327" s="7" t="str"/>
      <x:c r="L327" s="7" t="str"/>
      <x:c r="M327" s="7" t="str">
        <x:f>IF(L327="","OPEN",IF(OR(NOT(ISNUMBER(H327)),NOT(ISNUMBER(I327)),NOT(ISNUMBER(K327)),ABS(J327)&gt;K327),"FAIL","PASS"))</x:f>
        <x:v>OPEN</x:v>
      </x:c>
    </x:row>
    <x:row r="328">
      <x:c r="B328" s="7" t="str">
        <x:v>CAL-CH-PEA-A-X3-06-4</x:v>
      </x:c>
      <x:c r="C328" s="7" t="str">
        <x:v>CH-PEA-A-X3-06-4</x:v>
      </x:c>
      <x:c r="D328" s="7" t="str">
        <x:v>PEA-A-X3</x:v>
      </x:c>
      <x:c r="E328" s="7" t="str">
        <x:v>BLD-A</x:v>
      </x:c>
      <x:c r="F328" s="7" t="str">
        <x:v>BL-X</x:v>
      </x:c>
      <x:c r="G328" s="7" t="str">
        <x:v>MF-06</x:v>
      </x:c>
      <x:c r="H328" s="7" t="str"/>
      <x:c r="I328" s="7" t="str"/>
      <x:c r="J328" s="7" t="str">
        <x:f>IF(OR(H328="",I328=""),"",I328-H328)</x:f>
      </x:c>
      <x:c r="K328" s="7" t="str"/>
      <x:c r="L328" s="7" t="str"/>
      <x:c r="M328" s="7" t="str">
        <x:f>IF(L328="","OPEN",IF(OR(NOT(ISNUMBER(H328)),NOT(ISNUMBER(I328)),NOT(ISNUMBER(K328)),ABS(J328)&gt;K328),"FAIL","PASS"))</x:f>
        <x:v>OPEN</x:v>
      </x:c>
    </x:row>
    <x:row r="329">
      <x:c r="B329" s="7" t="str">
        <x:v>CAL-CH-PEA-A-X3-06-5</x:v>
      </x:c>
      <x:c r="C329" s="7" t="str">
        <x:v>CH-PEA-A-X3-06-5</x:v>
      </x:c>
      <x:c r="D329" s="7" t="str">
        <x:v>PEA-A-X3</x:v>
      </x:c>
      <x:c r="E329" s="7" t="str">
        <x:v>BLD-A</x:v>
      </x:c>
      <x:c r="F329" s="7" t="str">
        <x:v>BL-X</x:v>
      </x:c>
      <x:c r="G329" s="7" t="str">
        <x:v>MF-06</x:v>
      </x:c>
      <x:c r="H329" s="7" t="str"/>
      <x:c r="I329" s="7" t="str"/>
      <x:c r="J329" s="7" t="str">
        <x:f>IF(OR(H329="",I329=""),"",I329-H329)</x:f>
      </x:c>
      <x:c r="K329" s="7" t="str"/>
      <x:c r="L329" s="7" t="str"/>
      <x:c r="M329" s="7" t="str">
        <x:f>IF(L329="","OPEN",IF(OR(NOT(ISNUMBER(H329)),NOT(ISNUMBER(I329)),NOT(ISNUMBER(K329)),ABS(J329)&gt;K329),"FAIL","PASS"))</x:f>
        <x:v>OPEN</x:v>
      </x:c>
    </x:row>
    <x:row r="330">
      <x:c r="B330" s="7" t="str">
        <x:v>CAL-CH-PEA-A-X3-06-6</x:v>
      </x:c>
      <x:c r="C330" s="7" t="str">
        <x:v>CH-PEA-A-X3-06-6</x:v>
      </x:c>
      <x:c r="D330" s="7" t="str">
        <x:v>PEA-A-X3</x:v>
      </x:c>
      <x:c r="E330" s="7" t="str">
        <x:v>BLD-A</x:v>
      </x:c>
      <x:c r="F330" s="7" t="str">
        <x:v>BL-X</x:v>
      </x:c>
      <x:c r="G330" s="7" t="str">
        <x:v>MF-06</x:v>
      </x:c>
      <x:c r="H330" s="7" t="str"/>
      <x:c r="I330" s="7" t="str"/>
      <x:c r="J330" s="7" t="str">
        <x:f>IF(OR(H330="",I330=""),"",I330-H330)</x:f>
      </x:c>
      <x:c r="K330" s="7" t="str"/>
      <x:c r="L330" s="7" t="str"/>
      <x:c r="M330" s="7" t="str">
        <x:f>IF(L330="","OPEN",IF(OR(NOT(ISNUMBER(H330)),NOT(ISNUMBER(I330)),NOT(ISNUMBER(K330)),ABS(J330)&gt;K330),"FAIL","PASS"))</x:f>
        <x:v>OPEN</x:v>
      </x:c>
    </x:row>
    <x:row r="331">
      <x:c r="B331" s="7" t="str">
        <x:v>CAL-CH-PEA-A-X3-07-1</x:v>
      </x:c>
      <x:c r="C331" s="7" t="str">
        <x:v>CH-PEA-A-X3-07-1</x:v>
      </x:c>
      <x:c r="D331" s="7" t="str">
        <x:v>PEA-A-X3</x:v>
      </x:c>
      <x:c r="E331" s="7" t="str">
        <x:v>BLD-A</x:v>
      </x:c>
      <x:c r="F331" s="7" t="str">
        <x:v>BL-X</x:v>
      </x:c>
      <x:c r="G331" s="7" t="str">
        <x:v>MF-07</x:v>
      </x:c>
      <x:c r="H331" s="7" t="str"/>
      <x:c r="I331" s="7" t="str"/>
      <x:c r="J331" s="7" t="str">
        <x:f>IF(OR(H331="",I331=""),"",I331-H331)</x:f>
      </x:c>
      <x:c r="K331" s="7" t="str"/>
      <x:c r="L331" s="7" t="str"/>
      <x:c r="M331" s="7" t="str">
        <x:f>IF(L331="","OPEN",IF(OR(NOT(ISNUMBER(H331)),NOT(ISNUMBER(I331)),NOT(ISNUMBER(K331)),ABS(J331)&gt;K331),"FAIL","PASS"))</x:f>
        <x:v>OPEN</x:v>
      </x:c>
    </x:row>
    <x:row r="332">
      <x:c r="B332" s="7" t="str">
        <x:v>CAL-CH-PEA-A-X3-07-2</x:v>
      </x:c>
      <x:c r="C332" s="7" t="str">
        <x:v>CH-PEA-A-X3-07-2</x:v>
      </x:c>
      <x:c r="D332" s="7" t="str">
        <x:v>PEA-A-X3</x:v>
      </x:c>
      <x:c r="E332" s="7" t="str">
        <x:v>BLD-A</x:v>
      </x:c>
      <x:c r="F332" s="7" t="str">
        <x:v>BL-X</x:v>
      </x:c>
      <x:c r="G332" s="7" t="str">
        <x:v>MF-07</x:v>
      </x:c>
      <x:c r="H332" s="7" t="str"/>
      <x:c r="I332" s="7" t="str"/>
      <x:c r="J332" s="7" t="str">
        <x:f>IF(OR(H332="",I332=""),"",I332-H332)</x:f>
      </x:c>
      <x:c r="K332" s="7" t="str"/>
      <x:c r="L332" s="7" t="str"/>
      <x:c r="M332" s="7" t="str">
        <x:f>IF(L332="","OPEN",IF(OR(NOT(ISNUMBER(H332)),NOT(ISNUMBER(I332)),NOT(ISNUMBER(K332)),ABS(J332)&gt;K332),"FAIL","PASS"))</x:f>
        <x:v>OPEN</x:v>
      </x:c>
    </x:row>
    <x:row r="333">
      <x:c r="B333" s="7" t="str">
        <x:v>CAL-CH-PEA-A-X3-07-3</x:v>
      </x:c>
      <x:c r="C333" s="7" t="str">
        <x:v>CH-PEA-A-X3-07-3</x:v>
      </x:c>
      <x:c r="D333" s="7" t="str">
        <x:v>PEA-A-X3</x:v>
      </x:c>
      <x:c r="E333" s="7" t="str">
        <x:v>BLD-A</x:v>
      </x:c>
      <x:c r="F333" s="7" t="str">
        <x:v>BL-X</x:v>
      </x:c>
      <x:c r="G333" s="7" t="str">
        <x:v>MF-07</x:v>
      </x:c>
      <x:c r="H333" s="7" t="str"/>
      <x:c r="I333" s="7" t="str"/>
      <x:c r="J333" s="7" t="str">
        <x:f>IF(OR(H333="",I333=""),"",I333-H333)</x:f>
      </x:c>
      <x:c r="K333" s="7" t="str"/>
      <x:c r="L333" s="7" t="str"/>
      <x:c r="M333" s="7" t="str">
        <x:f>IF(L333="","OPEN",IF(OR(NOT(ISNUMBER(H333)),NOT(ISNUMBER(I333)),NOT(ISNUMBER(K333)),ABS(J333)&gt;K333),"FAIL","PASS"))</x:f>
        <x:v>OPEN</x:v>
      </x:c>
    </x:row>
    <x:row r="334">
      <x:c r="B334" s="7" t="str">
        <x:v>CAL-CH-PEA-A-X3-07-4</x:v>
      </x:c>
      <x:c r="C334" s="7" t="str">
        <x:v>CH-PEA-A-X3-07-4</x:v>
      </x:c>
      <x:c r="D334" s="7" t="str">
        <x:v>PEA-A-X3</x:v>
      </x:c>
      <x:c r="E334" s="7" t="str">
        <x:v>BLD-A</x:v>
      </x:c>
      <x:c r="F334" s="7" t="str">
        <x:v>BL-X</x:v>
      </x:c>
      <x:c r="G334" s="7" t="str">
        <x:v>MF-07</x:v>
      </x:c>
      <x:c r="H334" s="7" t="str"/>
      <x:c r="I334" s="7" t="str"/>
      <x:c r="J334" s="7" t="str">
        <x:f>IF(OR(H334="",I334=""),"",I334-H334)</x:f>
      </x:c>
      <x:c r="K334" s="7" t="str"/>
      <x:c r="L334" s="7" t="str"/>
      <x:c r="M334" s="7" t="str">
        <x:f>IF(L334="","OPEN",IF(OR(NOT(ISNUMBER(H334)),NOT(ISNUMBER(I334)),NOT(ISNUMBER(K334)),ABS(J334)&gt;K334),"FAIL","PASS"))</x:f>
        <x:v>OPEN</x:v>
      </x:c>
    </x:row>
    <x:row r="335">
      <x:c r="B335" s="7" t="str">
        <x:v>CAL-CH-PEA-A-X3-07-5</x:v>
      </x:c>
      <x:c r="C335" s="7" t="str">
        <x:v>CH-PEA-A-X3-07-5</x:v>
      </x:c>
      <x:c r="D335" s="7" t="str">
        <x:v>PEA-A-X3</x:v>
      </x:c>
      <x:c r="E335" s="7" t="str">
        <x:v>BLD-A</x:v>
      </x:c>
      <x:c r="F335" s="7" t="str">
        <x:v>BL-X</x:v>
      </x:c>
      <x:c r="G335" s="7" t="str">
        <x:v>MF-07</x:v>
      </x:c>
      <x:c r="H335" s="7" t="str"/>
      <x:c r="I335" s="7" t="str"/>
      <x:c r="J335" s="7" t="str">
        <x:f>IF(OR(H335="",I335=""),"",I335-H335)</x:f>
      </x:c>
      <x:c r="K335" s="7" t="str"/>
      <x:c r="L335" s="7" t="str"/>
      <x:c r="M335" s="7" t="str">
        <x:f>IF(L335="","OPEN",IF(OR(NOT(ISNUMBER(H335)),NOT(ISNUMBER(I335)),NOT(ISNUMBER(K335)),ABS(J335)&gt;K335),"FAIL","PASS"))</x:f>
        <x:v>OPEN</x:v>
      </x:c>
    </x:row>
    <x:row r="336">
      <x:c r="B336" s="7" t="str">
        <x:v>CAL-CH-PEA-A-X3-07-6</x:v>
      </x:c>
      <x:c r="C336" s="7" t="str">
        <x:v>CH-PEA-A-X3-07-6</x:v>
      </x:c>
      <x:c r="D336" s="7" t="str">
        <x:v>PEA-A-X3</x:v>
      </x:c>
      <x:c r="E336" s="7" t="str">
        <x:v>BLD-A</x:v>
      </x:c>
      <x:c r="F336" s="7" t="str">
        <x:v>BL-X</x:v>
      </x:c>
      <x:c r="G336" s="7" t="str">
        <x:v>MF-07</x:v>
      </x:c>
      <x:c r="H336" s="7" t="str"/>
      <x:c r="I336" s="7" t="str"/>
      <x:c r="J336" s="7" t="str">
        <x:f>IF(OR(H336="",I336=""),"",I336-H336)</x:f>
      </x:c>
      <x:c r="K336" s="7" t="str"/>
      <x:c r="L336" s="7" t="str"/>
      <x:c r="M336" s="7" t="str">
        <x:f>IF(L336="","OPEN",IF(OR(NOT(ISNUMBER(H336)),NOT(ISNUMBER(I336)),NOT(ISNUMBER(K336)),ABS(J336)&gt;K336),"FAIL","PASS"))</x:f>
        <x:v>OPEN</x:v>
      </x:c>
    </x:row>
    <x:row r="337">
      <x:c r="B337" s="7" t="str">
        <x:v>CAL-CH-PEA-A-X3-08-1</x:v>
      </x:c>
      <x:c r="C337" s="7" t="str">
        <x:v>CH-PEA-A-X3-08-1</x:v>
      </x:c>
      <x:c r="D337" s="7" t="str">
        <x:v>PEA-A-X3</x:v>
      </x:c>
      <x:c r="E337" s="7" t="str">
        <x:v>BLD-A</x:v>
      </x:c>
      <x:c r="F337" s="7" t="str">
        <x:v>BL-X</x:v>
      </x:c>
      <x:c r="G337" s="7" t="str">
        <x:v>MF-08</x:v>
      </x:c>
      <x:c r="H337" s="7" t="str"/>
      <x:c r="I337" s="7" t="str"/>
      <x:c r="J337" s="7" t="str">
        <x:f>IF(OR(H337="",I337=""),"",I337-H337)</x:f>
      </x:c>
      <x:c r="K337" s="7" t="str"/>
      <x:c r="L337" s="7" t="str"/>
      <x:c r="M337" s="7" t="str">
        <x:f>IF(L337="","OPEN",IF(OR(NOT(ISNUMBER(H337)),NOT(ISNUMBER(I337)),NOT(ISNUMBER(K337)),ABS(J337)&gt;K337),"FAIL","PASS"))</x:f>
        <x:v>OPEN</x:v>
      </x:c>
    </x:row>
    <x:row r="338">
      <x:c r="B338" s="7" t="str">
        <x:v>CAL-CH-PEA-A-X3-08-2</x:v>
      </x:c>
      <x:c r="C338" s="7" t="str">
        <x:v>CH-PEA-A-X3-08-2</x:v>
      </x:c>
      <x:c r="D338" s="7" t="str">
        <x:v>PEA-A-X3</x:v>
      </x:c>
      <x:c r="E338" s="7" t="str">
        <x:v>BLD-A</x:v>
      </x:c>
      <x:c r="F338" s="7" t="str">
        <x:v>BL-X</x:v>
      </x:c>
      <x:c r="G338" s="7" t="str">
        <x:v>MF-08</x:v>
      </x:c>
      <x:c r="H338" s="7" t="str"/>
      <x:c r="I338" s="7" t="str"/>
      <x:c r="J338" s="7" t="str">
        <x:f>IF(OR(H338="",I338=""),"",I338-H338)</x:f>
      </x:c>
      <x:c r="K338" s="7" t="str"/>
      <x:c r="L338" s="7" t="str"/>
      <x:c r="M338" s="7" t="str">
        <x:f>IF(L338="","OPEN",IF(OR(NOT(ISNUMBER(H338)),NOT(ISNUMBER(I338)),NOT(ISNUMBER(K338)),ABS(J338)&gt;K338),"FAIL","PASS"))</x:f>
        <x:v>OPEN</x:v>
      </x:c>
    </x:row>
    <x:row r="339">
      <x:c r="B339" s="7" t="str">
        <x:v>CAL-CH-PEA-A-X3-08-3</x:v>
      </x:c>
      <x:c r="C339" s="7" t="str">
        <x:v>CH-PEA-A-X3-08-3</x:v>
      </x:c>
      <x:c r="D339" s="7" t="str">
        <x:v>PEA-A-X3</x:v>
      </x:c>
      <x:c r="E339" s="7" t="str">
        <x:v>BLD-A</x:v>
      </x:c>
      <x:c r="F339" s="7" t="str">
        <x:v>BL-X</x:v>
      </x:c>
      <x:c r="G339" s="7" t="str">
        <x:v>MF-08</x:v>
      </x:c>
      <x:c r="H339" s="7" t="str"/>
      <x:c r="I339" s="7" t="str"/>
      <x:c r="J339" s="7" t="str">
        <x:f>IF(OR(H339="",I339=""),"",I339-H339)</x:f>
      </x:c>
      <x:c r="K339" s="7" t="str"/>
      <x:c r="L339" s="7" t="str"/>
      <x:c r="M339" s="7" t="str">
        <x:f>IF(L339="","OPEN",IF(OR(NOT(ISNUMBER(H339)),NOT(ISNUMBER(I339)),NOT(ISNUMBER(K339)),ABS(J339)&gt;K339),"FAIL","PASS"))</x:f>
        <x:v>OPEN</x:v>
      </x:c>
    </x:row>
    <x:row r="340">
      <x:c r="B340" s="7" t="str">
        <x:v>CAL-CH-PEA-A-X3-08-4</x:v>
      </x:c>
      <x:c r="C340" s="7" t="str">
        <x:v>CH-PEA-A-X3-08-4</x:v>
      </x:c>
      <x:c r="D340" s="7" t="str">
        <x:v>PEA-A-X3</x:v>
      </x:c>
      <x:c r="E340" s="7" t="str">
        <x:v>BLD-A</x:v>
      </x:c>
      <x:c r="F340" s="7" t="str">
        <x:v>BL-X</x:v>
      </x:c>
      <x:c r="G340" s="7" t="str">
        <x:v>MF-08</x:v>
      </x:c>
      <x:c r="H340" s="7" t="str"/>
      <x:c r="I340" s="7" t="str"/>
      <x:c r="J340" s="7" t="str">
        <x:f>IF(OR(H340="",I340=""),"",I340-H340)</x:f>
      </x:c>
      <x:c r="K340" s="7" t="str"/>
      <x:c r="L340" s="7" t="str"/>
      <x:c r="M340" s="7" t="str">
        <x:f>IF(L340="","OPEN",IF(OR(NOT(ISNUMBER(H340)),NOT(ISNUMBER(I340)),NOT(ISNUMBER(K340)),ABS(J340)&gt;K340),"FAIL","PASS"))</x:f>
        <x:v>OPEN</x:v>
      </x:c>
    </x:row>
    <x:row r="341">
      <x:c r="B341" s="7" t="str">
        <x:v>CAL-CH-PEA-A-X3-08-5</x:v>
      </x:c>
      <x:c r="C341" s="7" t="str">
        <x:v>CH-PEA-A-X3-08-5</x:v>
      </x:c>
      <x:c r="D341" s="7" t="str">
        <x:v>PEA-A-X3</x:v>
      </x:c>
      <x:c r="E341" s="7" t="str">
        <x:v>BLD-A</x:v>
      </x:c>
      <x:c r="F341" s="7" t="str">
        <x:v>BL-X</x:v>
      </x:c>
      <x:c r="G341" s="7" t="str">
        <x:v>MF-08</x:v>
      </x:c>
      <x:c r="H341" s="7" t="str"/>
      <x:c r="I341" s="7" t="str"/>
      <x:c r="J341" s="7" t="str">
        <x:f>IF(OR(H341="",I341=""),"",I341-H341)</x:f>
      </x:c>
      <x:c r="K341" s="7" t="str"/>
      <x:c r="L341" s="7" t="str"/>
      <x:c r="M341" s="7" t="str">
        <x:f>IF(L341="","OPEN",IF(OR(NOT(ISNUMBER(H341)),NOT(ISNUMBER(I341)),NOT(ISNUMBER(K341)),ABS(J341)&gt;K341),"FAIL","PASS"))</x:f>
        <x:v>OPEN</x:v>
      </x:c>
    </x:row>
    <x:row r="342">
      <x:c r="B342" s="7" t="str">
        <x:v>CAL-CH-PEA-A-X3-08-6</x:v>
      </x:c>
      <x:c r="C342" s="7" t="str">
        <x:v>CH-PEA-A-X3-08-6</x:v>
      </x:c>
      <x:c r="D342" s="7" t="str">
        <x:v>PEA-A-X3</x:v>
      </x:c>
      <x:c r="E342" s="7" t="str">
        <x:v>BLD-A</x:v>
      </x:c>
      <x:c r="F342" s="7" t="str">
        <x:v>BL-X</x:v>
      </x:c>
      <x:c r="G342" s="7" t="str">
        <x:v>MF-08</x:v>
      </x:c>
      <x:c r="H342" s="7" t="str"/>
      <x:c r="I342" s="7" t="str"/>
      <x:c r="J342" s="7" t="str">
        <x:f>IF(OR(H342="",I342=""),"",I342-H342)</x:f>
      </x:c>
      <x:c r="K342" s="7" t="str"/>
      <x:c r="L342" s="7" t="str"/>
      <x:c r="M342" s="7" t="str">
        <x:f>IF(L342="","OPEN",IF(OR(NOT(ISNUMBER(H342)),NOT(ISNUMBER(I342)),NOT(ISNUMBER(K342)),ABS(J342)&gt;K342),"FAIL","PASS"))</x:f>
        <x:v>OPEN</x:v>
      </x:c>
    </x:row>
    <x:row r="343">
      <x:c r="B343" s="7" t="str">
        <x:v>CAL-CH-PEA-A-X3-09-1</x:v>
      </x:c>
      <x:c r="C343" s="7" t="str">
        <x:v>CH-PEA-A-X3-09-1</x:v>
      </x:c>
      <x:c r="D343" s="7" t="str">
        <x:v>PEA-A-X3</x:v>
      </x:c>
      <x:c r="E343" s="7" t="str">
        <x:v>BLD-A</x:v>
      </x:c>
      <x:c r="F343" s="7" t="str">
        <x:v>BL-X</x:v>
      </x:c>
      <x:c r="G343" s="7" t="str">
        <x:v>MF-09</x:v>
      </x:c>
      <x:c r="H343" s="7" t="str"/>
      <x:c r="I343" s="7" t="str"/>
      <x:c r="J343" s="7" t="str">
        <x:f>IF(OR(H343="",I343=""),"",I343-H343)</x:f>
      </x:c>
      <x:c r="K343" s="7" t="str"/>
      <x:c r="L343" s="7" t="str"/>
      <x:c r="M343" s="7" t="str">
        <x:f>IF(L343="","OPEN",IF(OR(NOT(ISNUMBER(H343)),NOT(ISNUMBER(I343)),NOT(ISNUMBER(K343)),ABS(J343)&gt;K343),"FAIL","PASS"))</x:f>
        <x:v>OPEN</x:v>
      </x:c>
    </x:row>
    <x:row r="344">
      <x:c r="B344" s="7" t="str">
        <x:v>CAL-CH-PEA-A-X3-09-2</x:v>
      </x:c>
      <x:c r="C344" s="7" t="str">
        <x:v>CH-PEA-A-X3-09-2</x:v>
      </x:c>
      <x:c r="D344" s="7" t="str">
        <x:v>PEA-A-X3</x:v>
      </x:c>
      <x:c r="E344" s="7" t="str">
        <x:v>BLD-A</x:v>
      </x:c>
      <x:c r="F344" s="7" t="str">
        <x:v>BL-X</x:v>
      </x:c>
      <x:c r="G344" s="7" t="str">
        <x:v>MF-09</x:v>
      </x:c>
      <x:c r="H344" s="7" t="str"/>
      <x:c r="I344" s="7" t="str"/>
      <x:c r="J344" s="7" t="str">
        <x:f>IF(OR(H344="",I344=""),"",I344-H344)</x:f>
      </x:c>
      <x:c r="K344" s="7" t="str"/>
      <x:c r="L344" s="7" t="str"/>
      <x:c r="M344" s="7" t="str">
        <x:f>IF(L344="","OPEN",IF(OR(NOT(ISNUMBER(H344)),NOT(ISNUMBER(I344)),NOT(ISNUMBER(K344)),ABS(J344)&gt;K344),"FAIL","PASS"))</x:f>
        <x:v>OPEN</x:v>
      </x:c>
    </x:row>
    <x:row r="345">
      <x:c r="B345" s="7" t="str">
        <x:v>CAL-CH-PEA-A-X3-09-3</x:v>
      </x:c>
      <x:c r="C345" s="7" t="str">
        <x:v>CH-PEA-A-X3-09-3</x:v>
      </x:c>
      <x:c r="D345" s="7" t="str">
        <x:v>PEA-A-X3</x:v>
      </x:c>
      <x:c r="E345" s="7" t="str">
        <x:v>BLD-A</x:v>
      </x:c>
      <x:c r="F345" s="7" t="str">
        <x:v>BL-X</x:v>
      </x:c>
      <x:c r="G345" s="7" t="str">
        <x:v>MF-09</x:v>
      </x:c>
      <x:c r="H345" s="7" t="str"/>
      <x:c r="I345" s="7" t="str"/>
      <x:c r="J345" s="7" t="str">
        <x:f>IF(OR(H345="",I345=""),"",I345-H345)</x:f>
      </x:c>
      <x:c r="K345" s="7" t="str"/>
      <x:c r="L345" s="7" t="str"/>
      <x:c r="M345" s="7" t="str">
        <x:f>IF(L345="","OPEN",IF(OR(NOT(ISNUMBER(H345)),NOT(ISNUMBER(I345)),NOT(ISNUMBER(K345)),ABS(J345)&gt;K345),"FAIL","PASS"))</x:f>
        <x:v>OPEN</x:v>
      </x:c>
    </x:row>
    <x:row r="346">
      <x:c r="B346" s="7" t="str">
        <x:v>CAL-CH-PEA-A-X3-09-4</x:v>
      </x:c>
      <x:c r="C346" s="7" t="str">
        <x:v>CH-PEA-A-X3-09-4</x:v>
      </x:c>
      <x:c r="D346" s="7" t="str">
        <x:v>PEA-A-X3</x:v>
      </x:c>
      <x:c r="E346" s="7" t="str">
        <x:v>BLD-A</x:v>
      </x:c>
      <x:c r="F346" s="7" t="str">
        <x:v>BL-X</x:v>
      </x:c>
      <x:c r="G346" s="7" t="str">
        <x:v>MF-09</x:v>
      </x:c>
      <x:c r="H346" s="7" t="str"/>
      <x:c r="I346" s="7" t="str"/>
      <x:c r="J346" s="7" t="str">
        <x:f>IF(OR(H346="",I346=""),"",I346-H346)</x:f>
      </x:c>
      <x:c r="K346" s="7" t="str"/>
      <x:c r="L346" s="7" t="str"/>
      <x:c r="M346" s="7" t="str">
        <x:f>IF(L346="","OPEN",IF(OR(NOT(ISNUMBER(H346)),NOT(ISNUMBER(I346)),NOT(ISNUMBER(K346)),ABS(J346)&gt;K346),"FAIL","PASS"))</x:f>
        <x:v>OPEN</x:v>
      </x:c>
    </x:row>
    <x:row r="347">
      <x:c r="B347" s="7" t="str">
        <x:v>CAL-CH-PEA-A-X3-09-5</x:v>
      </x:c>
      <x:c r="C347" s="7" t="str">
        <x:v>CH-PEA-A-X3-09-5</x:v>
      </x:c>
      <x:c r="D347" s="7" t="str">
        <x:v>PEA-A-X3</x:v>
      </x:c>
      <x:c r="E347" s="7" t="str">
        <x:v>BLD-A</x:v>
      </x:c>
      <x:c r="F347" s="7" t="str">
        <x:v>BL-X</x:v>
      </x:c>
      <x:c r="G347" s="7" t="str">
        <x:v>MF-09</x:v>
      </x:c>
      <x:c r="H347" s="7" t="str"/>
      <x:c r="I347" s="7" t="str"/>
      <x:c r="J347" s="7" t="str">
        <x:f>IF(OR(H347="",I347=""),"",I347-H347)</x:f>
      </x:c>
      <x:c r="K347" s="7" t="str"/>
      <x:c r="L347" s="7" t="str"/>
      <x:c r="M347" s="7" t="str">
        <x:f>IF(L347="","OPEN",IF(OR(NOT(ISNUMBER(H347)),NOT(ISNUMBER(I347)),NOT(ISNUMBER(K347)),ABS(J347)&gt;K347),"FAIL","PASS"))</x:f>
        <x:v>OPEN</x:v>
      </x:c>
    </x:row>
    <x:row r="348">
      <x:c r="B348" s="7" t="str">
        <x:v>CAL-CH-PEA-A-X3-09-6</x:v>
      </x:c>
      <x:c r="C348" s="7" t="str">
        <x:v>CH-PEA-A-X3-09-6</x:v>
      </x:c>
      <x:c r="D348" s="7" t="str">
        <x:v>PEA-A-X3</x:v>
      </x:c>
      <x:c r="E348" s="7" t="str">
        <x:v>BLD-A</x:v>
      </x:c>
      <x:c r="F348" s="7" t="str">
        <x:v>BL-X</x:v>
      </x:c>
      <x:c r="G348" s="7" t="str">
        <x:v>MF-09</x:v>
      </x:c>
      <x:c r="H348" s="7" t="str"/>
      <x:c r="I348" s="7" t="str"/>
      <x:c r="J348" s="7" t="str">
        <x:f>IF(OR(H348="",I348=""),"",I348-H348)</x:f>
      </x:c>
      <x:c r="K348" s="7" t="str"/>
      <x:c r="L348" s="7" t="str"/>
      <x:c r="M348" s="7" t="str">
        <x:f>IF(L348="","OPEN",IF(OR(NOT(ISNUMBER(H348)),NOT(ISNUMBER(I348)),NOT(ISNUMBER(K348)),ABS(J348)&gt;K348),"FAIL","PASS"))</x:f>
        <x:v>OPEN</x:v>
      </x:c>
    </x:row>
    <x:row r="349">
      <x:c r="B349" s="7" t="str">
        <x:v>CAL-CH-PEA-A-X3-10-1</x:v>
      </x:c>
      <x:c r="C349" s="7" t="str">
        <x:v>CH-PEA-A-X3-10-1</x:v>
      </x:c>
      <x:c r="D349" s="7" t="str">
        <x:v>PEA-A-X3</x:v>
      </x:c>
      <x:c r="E349" s="7" t="str">
        <x:v>BLD-A</x:v>
      </x:c>
      <x:c r="F349" s="7" t="str">
        <x:v>BL-X</x:v>
      </x:c>
      <x:c r="G349" s="7" t="str">
        <x:v>MF-10</x:v>
      </x:c>
      <x:c r="H349" s="7" t="str"/>
      <x:c r="I349" s="7" t="str"/>
      <x:c r="J349" s="7" t="str">
        <x:f>IF(OR(H349="",I349=""),"",I349-H349)</x:f>
      </x:c>
      <x:c r="K349" s="7" t="str"/>
      <x:c r="L349" s="7" t="str"/>
      <x:c r="M349" s="7" t="str">
        <x:f>IF(L349="","OPEN",IF(OR(NOT(ISNUMBER(H349)),NOT(ISNUMBER(I349)),NOT(ISNUMBER(K349)),ABS(J349)&gt;K349),"FAIL","PASS"))</x:f>
        <x:v>OPEN</x:v>
      </x:c>
    </x:row>
    <x:row r="350">
      <x:c r="B350" s="7" t="str">
        <x:v>CAL-CH-PEA-A-X3-10-2</x:v>
      </x:c>
      <x:c r="C350" s="7" t="str">
        <x:v>CH-PEA-A-X3-10-2</x:v>
      </x:c>
      <x:c r="D350" s="7" t="str">
        <x:v>PEA-A-X3</x:v>
      </x:c>
      <x:c r="E350" s="7" t="str">
        <x:v>BLD-A</x:v>
      </x:c>
      <x:c r="F350" s="7" t="str">
        <x:v>BL-X</x:v>
      </x:c>
      <x:c r="G350" s="7" t="str">
        <x:v>MF-10</x:v>
      </x:c>
      <x:c r="H350" s="7" t="str"/>
      <x:c r="I350" s="7" t="str"/>
      <x:c r="J350" s="7" t="str">
        <x:f>IF(OR(H350="",I350=""),"",I350-H350)</x:f>
      </x:c>
      <x:c r="K350" s="7" t="str"/>
      <x:c r="L350" s="7" t="str"/>
      <x:c r="M350" s="7" t="str">
        <x:f>IF(L350="","OPEN",IF(OR(NOT(ISNUMBER(H350)),NOT(ISNUMBER(I350)),NOT(ISNUMBER(K350)),ABS(J350)&gt;K350),"FAIL","PASS"))</x:f>
        <x:v>OPEN</x:v>
      </x:c>
    </x:row>
    <x:row r="351">
      <x:c r="B351" s="7" t="str">
        <x:v>CAL-CH-PEA-A-X3-10-3</x:v>
      </x:c>
      <x:c r="C351" s="7" t="str">
        <x:v>CH-PEA-A-X3-10-3</x:v>
      </x:c>
      <x:c r="D351" s="7" t="str">
        <x:v>PEA-A-X3</x:v>
      </x:c>
      <x:c r="E351" s="7" t="str">
        <x:v>BLD-A</x:v>
      </x:c>
      <x:c r="F351" s="7" t="str">
        <x:v>BL-X</x:v>
      </x:c>
      <x:c r="G351" s="7" t="str">
        <x:v>MF-10</x:v>
      </x:c>
      <x:c r="H351" s="7" t="str"/>
      <x:c r="I351" s="7" t="str"/>
      <x:c r="J351" s="7" t="str">
        <x:f>IF(OR(H351="",I351=""),"",I351-H351)</x:f>
      </x:c>
      <x:c r="K351" s="7" t="str"/>
      <x:c r="L351" s="7" t="str"/>
      <x:c r="M351" s="7" t="str">
        <x:f>IF(L351="","OPEN",IF(OR(NOT(ISNUMBER(H351)),NOT(ISNUMBER(I351)),NOT(ISNUMBER(K351)),ABS(J351)&gt;K351),"FAIL","PASS"))</x:f>
        <x:v>OPEN</x:v>
      </x:c>
    </x:row>
    <x:row r="352">
      <x:c r="B352" s="7" t="str">
        <x:v>CAL-CH-PEA-A-X3-10-4</x:v>
      </x:c>
      <x:c r="C352" s="7" t="str">
        <x:v>CH-PEA-A-X3-10-4</x:v>
      </x:c>
      <x:c r="D352" s="7" t="str">
        <x:v>PEA-A-X3</x:v>
      </x:c>
      <x:c r="E352" s="7" t="str">
        <x:v>BLD-A</x:v>
      </x:c>
      <x:c r="F352" s="7" t="str">
        <x:v>BL-X</x:v>
      </x:c>
      <x:c r="G352" s="7" t="str">
        <x:v>MF-10</x:v>
      </x:c>
      <x:c r="H352" s="7" t="str"/>
      <x:c r="I352" s="7" t="str"/>
      <x:c r="J352" s="7" t="str">
        <x:f>IF(OR(H352="",I352=""),"",I352-H352)</x:f>
      </x:c>
      <x:c r="K352" s="7" t="str"/>
      <x:c r="L352" s="7" t="str"/>
      <x:c r="M352" s="7" t="str">
        <x:f>IF(L352="","OPEN",IF(OR(NOT(ISNUMBER(H352)),NOT(ISNUMBER(I352)),NOT(ISNUMBER(K352)),ABS(J352)&gt;K352),"FAIL","PASS"))</x:f>
        <x:v>OPEN</x:v>
      </x:c>
    </x:row>
    <x:row r="353">
      <x:c r="B353" s="7" t="str">
        <x:v>CAL-CH-PEA-A-X3-10-5</x:v>
      </x:c>
      <x:c r="C353" s="7" t="str">
        <x:v>CH-PEA-A-X3-10-5</x:v>
      </x:c>
      <x:c r="D353" s="7" t="str">
        <x:v>PEA-A-X3</x:v>
      </x:c>
      <x:c r="E353" s="7" t="str">
        <x:v>BLD-A</x:v>
      </x:c>
      <x:c r="F353" s="7" t="str">
        <x:v>BL-X</x:v>
      </x:c>
      <x:c r="G353" s="7" t="str">
        <x:v>MF-10</x:v>
      </x:c>
      <x:c r="H353" s="7" t="str"/>
      <x:c r="I353" s="7" t="str"/>
      <x:c r="J353" s="7" t="str">
        <x:f>IF(OR(H353="",I353=""),"",I353-H353)</x:f>
      </x:c>
      <x:c r="K353" s="7" t="str"/>
      <x:c r="L353" s="7" t="str"/>
      <x:c r="M353" s="7" t="str">
        <x:f>IF(L353="","OPEN",IF(OR(NOT(ISNUMBER(H353)),NOT(ISNUMBER(I353)),NOT(ISNUMBER(K353)),ABS(J353)&gt;K353),"FAIL","PASS"))</x:f>
        <x:v>OPEN</x:v>
      </x:c>
    </x:row>
    <x:row r="354">
      <x:c r="B354" s="7" t="str">
        <x:v>CAL-CH-PEA-A-X3-10-6</x:v>
      </x:c>
      <x:c r="C354" s="7" t="str">
        <x:v>CH-PEA-A-X3-10-6</x:v>
      </x:c>
      <x:c r="D354" s="7" t="str">
        <x:v>PEA-A-X3</x:v>
      </x:c>
      <x:c r="E354" s="7" t="str">
        <x:v>BLD-A</x:v>
      </x:c>
      <x:c r="F354" s="7" t="str">
        <x:v>BL-X</x:v>
      </x:c>
      <x:c r="G354" s="7" t="str">
        <x:v>MF-10</x:v>
      </x:c>
      <x:c r="H354" s="7" t="str"/>
      <x:c r="I354" s="7" t="str"/>
      <x:c r="J354" s="7" t="str">
        <x:f>IF(OR(H354="",I354=""),"",I354-H354)</x:f>
      </x:c>
      <x:c r="K354" s="7" t="str"/>
      <x:c r="L354" s="7" t="str"/>
      <x:c r="M354" s="7" t="str">
        <x:f>IF(L354="","OPEN",IF(OR(NOT(ISNUMBER(H354)),NOT(ISNUMBER(I354)),NOT(ISNUMBER(K354)),ABS(J354)&gt;K354),"FAIL","PASS"))</x:f>
        <x:v>OPEN</x:v>
      </x:c>
    </x:row>
    <x:row r="355">
      <x:c r="B355" s="7" t="str">
        <x:v>CAL-CH-PEA-A-X3-11-1</x:v>
      </x:c>
      <x:c r="C355" s="7" t="str">
        <x:v>CH-PEA-A-X3-11-1</x:v>
      </x:c>
      <x:c r="D355" s="7" t="str">
        <x:v>PEA-A-X3</x:v>
      </x:c>
      <x:c r="E355" s="7" t="str">
        <x:v>BLD-A</x:v>
      </x:c>
      <x:c r="F355" s="7" t="str">
        <x:v>BL-X</x:v>
      </x:c>
      <x:c r="G355" s="7" t="str">
        <x:v>MF-11</x:v>
      </x:c>
      <x:c r="H355" s="7" t="str"/>
      <x:c r="I355" s="7" t="str"/>
      <x:c r="J355" s="7" t="str">
        <x:f>IF(OR(H355="",I355=""),"",I355-H355)</x:f>
      </x:c>
      <x:c r="K355" s="7" t="str"/>
      <x:c r="L355" s="7" t="str"/>
      <x:c r="M355" s="7" t="str">
        <x:f>IF(L355="","OPEN",IF(OR(NOT(ISNUMBER(H355)),NOT(ISNUMBER(I355)),NOT(ISNUMBER(K355)),ABS(J355)&gt;K355),"FAIL","PASS"))</x:f>
        <x:v>OPEN</x:v>
      </x:c>
    </x:row>
    <x:row r="356">
      <x:c r="B356" s="7" t="str">
        <x:v>CAL-CH-PEA-A-X3-11-2</x:v>
      </x:c>
      <x:c r="C356" s="7" t="str">
        <x:v>CH-PEA-A-X3-11-2</x:v>
      </x:c>
      <x:c r="D356" s="7" t="str">
        <x:v>PEA-A-X3</x:v>
      </x:c>
      <x:c r="E356" s="7" t="str">
        <x:v>BLD-A</x:v>
      </x:c>
      <x:c r="F356" s="7" t="str">
        <x:v>BL-X</x:v>
      </x:c>
      <x:c r="G356" s="7" t="str">
        <x:v>MF-11</x:v>
      </x:c>
      <x:c r="H356" s="7" t="str"/>
      <x:c r="I356" s="7" t="str"/>
      <x:c r="J356" s="7" t="str">
        <x:f>IF(OR(H356="",I356=""),"",I356-H356)</x:f>
      </x:c>
      <x:c r="K356" s="7" t="str"/>
      <x:c r="L356" s="7" t="str"/>
      <x:c r="M356" s="7" t="str">
        <x:f>IF(L356="","OPEN",IF(OR(NOT(ISNUMBER(H356)),NOT(ISNUMBER(I356)),NOT(ISNUMBER(K356)),ABS(J356)&gt;K356),"FAIL","PASS"))</x:f>
        <x:v>OPEN</x:v>
      </x:c>
    </x:row>
    <x:row r="357">
      <x:c r="B357" s="7" t="str">
        <x:v>CAL-CH-PEA-A-X3-11-3</x:v>
      </x:c>
      <x:c r="C357" s="7" t="str">
        <x:v>CH-PEA-A-X3-11-3</x:v>
      </x:c>
      <x:c r="D357" s="7" t="str">
        <x:v>PEA-A-X3</x:v>
      </x:c>
      <x:c r="E357" s="7" t="str">
        <x:v>BLD-A</x:v>
      </x:c>
      <x:c r="F357" s="7" t="str">
        <x:v>BL-X</x:v>
      </x:c>
      <x:c r="G357" s="7" t="str">
        <x:v>MF-11</x:v>
      </x:c>
      <x:c r="H357" s="7" t="str"/>
      <x:c r="I357" s="7" t="str"/>
      <x:c r="J357" s="7" t="str">
        <x:f>IF(OR(H357="",I357=""),"",I357-H357)</x:f>
      </x:c>
      <x:c r="K357" s="7" t="str"/>
      <x:c r="L357" s="7" t="str"/>
      <x:c r="M357" s="7" t="str">
        <x:f>IF(L357="","OPEN",IF(OR(NOT(ISNUMBER(H357)),NOT(ISNUMBER(I357)),NOT(ISNUMBER(K357)),ABS(J357)&gt;K357),"FAIL","PASS"))</x:f>
        <x:v>OPEN</x:v>
      </x:c>
    </x:row>
    <x:row r="358">
      <x:c r="B358" s="7" t="str">
        <x:v>CAL-CH-PEA-A-X3-11-4</x:v>
      </x:c>
      <x:c r="C358" s="7" t="str">
        <x:v>CH-PEA-A-X3-11-4</x:v>
      </x:c>
      <x:c r="D358" s="7" t="str">
        <x:v>PEA-A-X3</x:v>
      </x:c>
      <x:c r="E358" s="7" t="str">
        <x:v>BLD-A</x:v>
      </x:c>
      <x:c r="F358" s="7" t="str">
        <x:v>BL-X</x:v>
      </x:c>
      <x:c r="G358" s="7" t="str">
        <x:v>MF-11</x:v>
      </x:c>
      <x:c r="H358" s="7" t="str"/>
      <x:c r="I358" s="7" t="str"/>
      <x:c r="J358" s="7" t="str">
        <x:f>IF(OR(H358="",I358=""),"",I358-H358)</x:f>
      </x:c>
      <x:c r="K358" s="7" t="str"/>
      <x:c r="L358" s="7" t="str"/>
      <x:c r="M358" s="7" t="str">
        <x:f>IF(L358="","OPEN",IF(OR(NOT(ISNUMBER(H358)),NOT(ISNUMBER(I358)),NOT(ISNUMBER(K358)),ABS(J358)&gt;K358),"FAIL","PASS"))</x:f>
        <x:v>OPEN</x:v>
      </x:c>
    </x:row>
    <x:row r="359">
      <x:c r="B359" s="7" t="str">
        <x:v>CAL-CH-PEA-A-X3-11-5</x:v>
      </x:c>
      <x:c r="C359" s="7" t="str">
        <x:v>CH-PEA-A-X3-11-5</x:v>
      </x:c>
      <x:c r="D359" s="7" t="str">
        <x:v>PEA-A-X3</x:v>
      </x:c>
      <x:c r="E359" s="7" t="str">
        <x:v>BLD-A</x:v>
      </x:c>
      <x:c r="F359" s="7" t="str">
        <x:v>BL-X</x:v>
      </x:c>
      <x:c r="G359" s="7" t="str">
        <x:v>MF-11</x:v>
      </x:c>
      <x:c r="H359" s="7" t="str"/>
      <x:c r="I359" s="7" t="str"/>
      <x:c r="J359" s="7" t="str">
        <x:f>IF(OR(H359="",I359=""),"",I359-H359)</x:f>
      </x:c>
      <x:c r="K359" s="7" t="str"/>
      <x:c r="L359" s="7" t="str"/>
      <x:c r="M359" s="7" t="str">
        <x:f>IF(L359="","OPEN",IF(OR(NOT(ISNUMBER(H359)),NOT(ISNUMBER(I359)),NOT(ISNUMBER(K359)),ABS(J359)&gt;K359),"FAIL","PASS"))</x:f>
        <x:v>OPEN</x:v>
      </x:c>
    </x:row>
    <x:row r="360">
      <x:c r="B360" s="7" t="str">
        <x:v>CAL-CH-PEA-A-X3-11-6</x:v>
      </x:c>
      <x:c r="C360" s="7" t="str">
        <x:v>CH-PEA-A-X3-11-6</x:v>
      </x:c>
      <x:c r="D360" s="7" t="str">
        <x:v>PEA-A-X3</x:v>
      </x:c>
      <x:c r="E360" s="7" t="str">
        <x:v>BLD-A</x:v>
      </x:c>
      <x:c r="F360" s="7" t="str">
        <x:v>BL-X</x:v>
      </x:c>
      <x:c r="G360" s="7" t="str">
        <x:v>MF-11</x:v>
      </x:c>
      <x:c r="H360" s="7" t="str"/>
      <x:c r="I360" s="7" t="str"/>
      <x:c r="J360" s="7" t="str">
        <x:f>IF(OR(H360="",I360=""),"",I360-H360)</x:f>
      </x:c>
      <x:c r="K360" s="7" t="str"/>
      <x:c r="L360" s="7" t="str"/>
      <x:c r="M360" s="7" t="str">
        <x:f>IF(L360="","OPEN",IF(OR(NOT(ISNUMBER(H360)),NOT(ISNUMBER(I360)),NOT(ISNUMBER(K360)),ABS(J360)&gt;K360),"FAIL","PASS"))</x:f>
        <x:v>OPEN</x:v>
      </x:c>
    </x:row>
    <x:row r="361">
      <x:c r="B361" s="7" t="str">
        <x:v>CAL-CH-PEA-A-X3-12-1</x:v>
      </x:c>
      <x:c r="C361" s="7" t="str">
        <x:v>CH-PEA-A-X3-12-1</x:v>
      </x:c>
      <x:c r="D361" s="7" t="str">
        <x:v>PEA-A-X3</x:v>
      </x:c>
      <x:c r="E361" s="7" t="str">
        <x:v>BLD-A</x:v>
      </x:c>
      <x:c r="F361" s="7" t="str">
        <x:v>BL-X</x:v>
      </x:c>
      <x:c r="G361" s="7" t="str">
        <x:v>MF-12</x:v>
      </x:c>
      <x:c r="H361" s="7" t="str"/>
      <x:c r="I361" s="7" t="str"/>
      <x:c r="J361" s="7" t="str">
        <x:f>IF(OR(H361="",I361=""),"",I361-H361)</x:f>
      </x:c>
      <x:c r="K361" s="7" t="str"/>
      <x:c r="L361" s="7" t="str"/>
      <x:c r="M361" s="7" t="str">
        <x:f>IF(L361="","OPEN",IF(OR(NOT(ISNUMBER(H361)),NOT(ISNUMBER(I361)),NOT(ISNUMBER(K361)),ABS(J361)&gt;K361),"FAIL","PASS"))</x:f>
        <x:v>OPEN</x:v>
      </x:c>
    </x:row>
    <x:row r="362">
      <x:c r="B362" s="7" t="str">
        <x:v>CAL-CH-PEA-A-X3-12-2</x:v>
      </x:c>
      <x:c r="C362" s="7" t="str">
        <x:v>CH-PEA-A-X3-12-2</x:v>
      </x:c>
      <x:c r="D362" s="7" t="str">
        <x:v>PEA-A-X3</x:v>
      </x:c>
      <x:c r="E362" s="7" t="str">
        <x:v>BLD-A</x:v>
      </x:c>
      <x:c r="F362" s="7" t="str">
        <x:v>BL-X</x:v>
      </x:c>
      <x:c r="G362" s="7" t="str">
        <x:v>MF-12</x:v>
      </x:c>
      <x:c r="H362" s="7" t="str"/>
      <x:c r="I362" s="7" t="str"/>
      <x:c r="J362" s="7" t="str">
        <x:f>IF(OR(H362="",I362=""),"",I362-H362)</x:f>
      </x:c>
      <x:c r="K362" s="7" t="str"/>
      <x:c r="L362" s="7" t="str"/>
      <x:c r="M362" s="7" t="str">
        <x:f>IF(L362="","OPEN",IF(OR(NOT(ISNUMBER(H362)),NOT(ISNUMBER(I362)),NOT(ISNUMBER(K362)),ABS(J362)&gt;K362),"FAIL","PASS"))</x:f>
        <x:v>OPEN</x:v>
      </x:c>
    </x:row>
    <x:row r="363">
      <x:c r="B363" s="7" t="str">
        <x:v>CAL-CH-PEA-A-X3-12-3</x:v>
      </x:c>
      <x:c r="C363" s="7" t="str">
        <x:v>CH-PEA-A-X3-12-3</x:v>
      </x:c>
      <x:c r="D363" s="7" t="str">
        <x:v>PEA-A-X3</x:v>
      </x:c>
      <x:c r="E363" s="7" t="str">
        <x:v>BLD-A</x:v>
      </x:c>
      <x:c r="F363" s="7" t="str">
        <x:v>BL-X</x:v>
      </x:c>
      <x:c r="G363" s="7" t="str">
        <x:v>MF-12</x:v>
      </x:c>
      <x:c r="H363" s="7" t="str"/>
      <x:c r="I363" s="7" t="str"/>
      <x:c r="J363" s="7" t="str">
        <x:f>IF(OR(H363="",I363=""),"",I363-H363)</x:f>
      </x:c>
      <x:c r="K363" s="7" t="str"/>
      <x:c r="L363" s="7" t="str"/>
      <x:c r="M363" s="7" t="str">
        <x:f>IF(L363="","OPEN",IF(OR(NOT(ISNUMBER(H363)),NOT(ISNUMBER(I363)),NOT(ISNUMBER(K363)),ABS(J363)&gt;K363),"FAIL","PASS"))</x:f>
        <x:v>OPEN</x:v>
      </x:c>
    </x:row>
    <x:row r="364">
      <x:c r="B364" s="7" t="str">
        <x:v>CAL-CH-PEA-A-X3-12-4</x:v>
      </x:c>
      <x:c r="C364" s="7" t="str">
        <x:v>CH-PEA-A-X3-12-4</x:v>
      </x:c>
      <x:c r="D364" s="7" t="str">
        <x:v>PEA-A-X3</x:v>
      </x:c>
      <x:c r="E364" s="7" t="str">
        <x:v>BLD-A</x:v>
      </x:c>
      <x:c r="F364" s="7" t="str">
        <x:v>BL-X</x:v>
      </x:c>
      <x:c r="G364" s="7" t="str">
        <x:v>MF-12</x:v>
      </x:c>
      <x:c r="H364" s="7" t="str"/>
      <x:c r="I364" s="7" t="str"/>
      <x:c r="J364" s="7" t="str">
        <x:f>IF(OR(H364="",I364=""),"",I364-H364)</x:f>
      </x:c>
      <x:c r="K364" s="7" t="str"/>
      <x:c r="L364" s="7" t="str"/>
      <x:c r="M364" s="7" t="str">
        <x:f>IF(L364="","OPEN",IF(OR(NOT(ISNUMBER(H364)),NOT(ISNUMBER(I364)),NOT(ISNUMBER(K364)),ABS(J364)&gt;K364),"FAIL","PASS"))</x:f>
        <x:v>OPEN</x:v>
      </x:c>
    </x:row>
    <x:row r="365">
      <x:c r="B365" s="7" t="str">
        <x:v>CAL-CH-PEA-A-X3-12-5</x:v>
      </x:c>
      <x:c r="C365" s="7" t="str">
        <x:v>CH-PEA-A-X3-12-5</x:v>
      </x:c>
      <x:c r="D365" s="7" t="str">
        <x:v>PEA-A-X3</x:v>
      </x:c>
      <x:c r="E365" s="7" t="str">
        <x:v>BLD-A</x:v>
      </x:c>
      <x:c r="F365" s="7" t="str">
        <x:v>BL-X</x:v>
      </x:c>
      <x:c r="G365" s="7" t="str">
        <x:v>MF-12</x:v>
      </x:c>
      <x:c r="H365" s="7" t="str"/>
      <x:c r="I365" s="7" t="str"/>
      <x:c r="J365" s="7" t="str">
        <x:f>IF(OR(H365="",I365=""),"",I365-H365)</x:f>
      </x:c>
      <x:c r="K365" s="7" t="str"/>
      <x:c r="L365" s="7" t="str"/>
      <x:c r="M365" s="7" t="str">
        <x:f>IF(L365="","OPEN",IF(OR(NOT(ISNUMBER(H365)),NOT(ISNUMBER(I365)),NOT(ISNUMBER(K365)),ABS(J365)&gt;K365),"FAIL","PASS"))</x:f>
        <x:v>OPEN</x:v>
      </x:c>
    </x:row>
    <x:row r="366">
      <x:c r="B366" s="7" t="str">
        <x:v>CAL-CH-PEA-A-X3-12-6</x:v>
      </x:c>
      <x:c r="C366" s="7" t="str">
        <x:v>CH-PEA-A-X3-12-6</x:v>
      </x:c>
      <x:c r="D366" s="7" t="str">
        <x:v>PEA-A-X3</x:v>
      </x:c>
      <x:c r="E366" s="7" t="str">
        <x:v>BLD-A</x:v>
      </x:c>
      <x:c r="F366" s="7" t="str">
        <x:v>BL-X</x:v>
      </x:c>
      <x:c r="G366" s="7" t="str">
        <x:v>MF-12</x:v>
      </x:c>
      <x:c r="H366" s="7" t="str"/>
      <x:c r="I366" s="7" t="str"/>
      <x:c r="J366" s="7" t="str">
        <x:f>IF(OR(H366="",I366=""),"",I366-H366)</x:f>
      </x:c>
      <x:c r="K366" s="7" t="str"/>
      <x:c r="L366" s="7" t="str"/>
      <x:c r="M366" s="7" t="str">
        <x:f>IF(L366="","OPEN",IF(OR(NOT(ISNUMBER(H366)),NOT(ISNUMBER(I366)),NOT(ISNUMBER(K366)),ABS(J366)&gt;K366),"FAIL","PASS"))</x:f>
        <x:v>OPEN</x:v>
      </x:c>
    </x:row>
    <x:row r="367">
      <x:c r="B367" s="7" t="str">
        <x:v>CAL-CH-PEA-A-X3-13-1</x:v>
      </x:c>
      <x:c r="C367" s="7" t="str">
        <x:v>CH-PEA-A-X3-13-1</x:v>
      </x:c>
      <x:c r="D367" s="7" t="str">
        <x:v>PEA-A-X3</x:v>
      </x:c>
      <x:c r="E367" s="7" t="str">
        <x:v>BLD-A</x:v>
      </x:c>
      <x:c r="F367" s="7" t="str">
        <x:v>BL-X</x:v>
      </x:c>
      <x:c r="G367" s="7" t="str">
        <x:v>MF-13</x:v>
      </x:c>
      <x:c r="H367" s="7" t="str"/>
      <x:c r="I367" s="7" t="str"/>
      <x:c r="J367" s="7" t="str">
        <x:f>IF(OR(H367="",I367=""),"",I367-H367)</x:f>
      </x:c>
      <x:c r="K367" s="7" t="str"/>
      <x:c r="L367" s="7" t="str"/>
      <x:c r="M367" s="7" t="str">
        <x:f>IF(L367="","OPEN",IF(OR(NOT(ISNUMBER(H367)),NOT(ISNUMBER(I367)),NOT(ISNUMBER(K367)),ABS(J367)&gt;K367),"FAIL","PASS"))</x:f>
        <x:v>OPEN</x:v>
      </x:c>
    </x:row>
    <x:row r="368">
      <x:c r="B368" s="7" t="str">
        <x:v>CAL-CH-PEA-A-X3-13-2</x:v>
      </x:c>
      <x:c r="C368" s="7" t="str">
        <x:v>CH-PEA-A-X3-13-2</x:v>
      </x:c>
      <x:c r="D368" s="7" t="str">
        <x:v>PEA-A-X3</x:v>
      </x:c>
      <x:c r="E368" s="7" t="str">
        <x:v>BLD-A</x:v>
      </x:c>
      <x:c r="F368" s="7" t="str">
        <x:v>BL-X</x:v>
      </x:c>
      <x:c r="G368" s="7" t="str">
        <x:v>MF-13</x:v>
      </x:c>
      <x:c r="H368" s="7" t="str"/>
      <x:c r="I368" s="7" t="str"/>
      <x:c r="J368" s="7" t="str">
        <x:f>IF(OR(H368="",I368=""),"",I368-H368)</x:f>
      </x:c>
      <x:c r="K368" s="7" t="str"/>
      <x:c r="L368" s="7" t="str"/>
      <x:c r="M368" s="7" t="str">
        <x:f>IF(L368="","OPEN",IF(OR(NOT(ISNUMBER(H368)),NOT(ISNUMBER(I368)),NOT(ISNUMBER(K368)),ABS(J368)&gt;K368),"FAIL","PASS"))</x:f>
        <x:v>OPEN</x:v>
      </x:c>
    </x:row>
    <x:row r="369">
      <x:c r="B369" s="7" t="str">
        <x:v>CAL-CH-PEA-A-X3-13-3</x:v>
      </x:c>
      <x:c r="C369" s="7" t="str">
        <x:v>CH-PEA-A-X3-13-3</x:v>
      </x:c>
      <x:c r="D369" s="7" t="str">
        <x:v>PEA-A-X3</x:v>
      </x:c>
      <x:c r="E369" s="7" t="str">
        <x:v>BLD-A</x:v>
      </x:c>
      <x:c r="F369" s="7" t="str">
        <x:v>BL-X</x:v>
      </x:c>
      <x:c r="G369" s="7" t="str">
        <x:v>MF-13</x:v>
      </x:c>
      <x:c r="H369" s="7" t="str"/>
      <x:c r="I369" s="7" t="str"/>
      <x:c r="J369" s="7" t="str">
        <x:f>IF(OR(H369="",I369=""),"",I369-H369)</x:f>
      </x:c>
      <x:c r="K369" s="7" t="str"/>
      <x:c r="L369" s="7" t="str"/>
      <x:c r="M369" s="7" t="str">
        <x:f>IF(L369="","OPEN",IF(OR(NOT(ISNUMBER(H369)),NOT(ISNUMBER(I369)),NOT(ISNUMBER(K369)),ABS(J369)&gt;K369),"FAIL","PASS"))</x:f>
        <x:v>OPEN</x:v>
      </x:c>
    </x:row>
    <x:row r="370">
      <x:c r="B370" s="7" t="str">
        <x:v>CAL-CH-PEA-A-X3-13-4</x:v>
      </x:c>
      <x:c r="C370" s="7" t="str">
        <x:v>CH-PEA-A-X3-13-4</x:v>
      </x:c>
      <x:c r="D370" s="7" t="str">
        <x:v>PEA-A-X3</x:v>
      </x:c>
      <x:c r="E370" s="7" t="str">
        <x:v>BLD-A</x:v>
      </x:c>
      <x:c r="F370" s="7" t="str">
        <x:v>BL-X</x:v>
      </x:c>
      <x:c r="G370" s="7" t="str">
        <x:v>MF-13</x:v>
      </x:c>
      <x:c r="H370" s="7" t="str"/>
      <x:c r="I370" s="7" t="str"/>
      <x:c r="J370" s="7" t="str">
        <x:f>IF(OR(H370="",I370=""),"",I370-H370)</x:f>
      </x:c>
      <x:c r="K370" s="7" t="str"/>
      <x:c r="L370" s="7" t="str"/>
      <x:c r="M370" s="7" t="str">
        <x:f>IF(L370="","OPEN",IF(OR(NOT(ISNUMBER(H370)),NOT(ISNUMBER(I370)),NOT(ISNUMBER(K370)),ABS(J370)&gt;K370),"FAIL","PASS"))</x:f>
        <x:v>OPEN</x:v>
      </x:c>
    </x:row>
    <x:row r="371">
      <x:c r="B371" s="7" t="str">
        <x:v>CAL-CH-PEA-A-X3-13-5</x:v>
      </x:c>
      <x:c r="C371" s="7" t="str">
        <x:v>CH-PEA-A-X3-13-5</x:v>
      </x:c>
      <x:c r="D371" s="7" t="str">
        <x:v>PEA-A-X3</x:v>
      </x:c>
      <x:c r="E371" s="7" t="str">
        <x:v>BLD-A</x:v>
      </x:c>
      <x:c r="F371" s="7" t="str">
        <x:v>BL-X</x:v>
      </x:c>
      <x:c r="G371" s="7" t="str">
        <x:v>MF-13</x:v>
      </x:c>
      <x:c r="H371" s="7" t="str"/>
      <x:c r="I371" s="7" t="str"/>
      <x:c r="J371" s="7" t="str">
        <x:f>IF(OR(H371="",I371=""),"",I371-H371)</x:f>
      </x:c>
      <x:c r="K371" s="7" t="str"/>
      <x:c r="L371" s="7" t="str"/>
      <x:c r="M371" s="7" t="str">
        <x:f>IF(L371="","OPEN",IF(OR(NOT(ISNUMBER(H371)),NOT(ISNUMBER(I371)),NOT(ISNUMBER(K371)),ABS(J371)&gt;K371),"FAIL","PASS"))</x:f>
        <x:v>OPEN</x:v>
      </x:c>
    </x:row>
    <x:row r="372">
      <x:c r="B372" s="7" t="str">
        <x:v>CAL-CH-PEA-A-X3-13-6</x:v>
      </x:c>
      <x:c r="C372" s="7" t="str">
        <x:v>CH-PEA-A-X3-13-6</x:v>
      </x:c>
      <x:c r="D372" s="7" t="str">
        <x:v>PEA-A-X3</x:v>
      </x:c>
      <x:c r="E372" s="7" t="str">
        <x:v>BLD-A</x:v>
      </x:c>
      <x:c r="F372" s="7" t="str">
        <x:v>BL-X</x:v>
      </x:c>
      <x:c r="G372" s="7" t="str">
        <x:v>MF-13</x:v>
      </x:c>
      <x:c r="H372" s="7" t="str"/>
      <x:c r="I372" s="7" t="str"/>
      <x:c r="J372" s="7" t="str">
        <x:f>IF(OR(H372="",I372=""),"",I372-H372)</x:f>
      </x:c>
      <x:c r="K372" s="7" t="str"/>
      <x:c r="L372" s="7" t="str"/>
      <x:c r="M372" s="7" t="str">
        <x:f>IF(L372="","OPEN",IF(OR(NOT(ISNUMBER(H372)),NOT(ISNUMBER(I372)),NOT(ISNUMBER(K372)),ABS(J372)&gt;K372),"FAIL","PASS"))</x:f>
        <x:v>OPEN</x:v>
      </x:c>
    </x:row>
    <x:row r="373">
      <x:c r="B373" s="7" t="str">
        <x:v>CAL-CH-PEA-A-X3-14-1</x:v>
      </x:c>
      <x:c r="C373" s="7" t="str">
        <x:v>CH-PEA-A-X3-14-1</x:v>
      </x:c>
      <x:c r="D373" s="7" t="str">
        <x:v>PEA-A-X3</x:v>
      </x:c>
      <x:c r="E373" s="7" t="str">
        <x:v>BLD-A</x:v>
      </x:c>
      <x:c r="F373" s="7" t="str">
        <x:v>BL-X</x:v>
      </x:c>
      <x:c r="G373" s="7" t="str">
        <x:v>MF-14</x:v>
      </x:c>
      <x:c r="H373" s="7" t="str"/>
      <x:c r="I373" s="7" t="str"/>
      <x:c r="J373" s="7" t="str">
        <x:f>IF(OR(H373="",I373=""),"",I373-H373)</x:f>
      </x:c>
      <x:c r="K373" s="7" t="str"/>
      <x:c r="L373" s="7" t="str"/>
      <x:c r="M373" s="7" t="str">
        <x:f>IF(L373="","OPEN",IF(OR(NOT(ISNUMBER(H373)),NOT(ISNUMBER(I373)),NOT(ISNUMBER(K373)),ABS(J373)&gt;K373),"FAIL","PASS"))</x:f>
        <x:v>OPEN</x:v>
      </x:c>
    </x:row>
    <x:row r="374">
      <x:c r="B374" s="7" t="str">
        <x:v>CAL-CH-PEA-A-X3-14-2</x:v>
      </x:c>
      <x:c r="C374" s="7" t="str">
        <x:v>CH-PEA-A-X3-14-2</x:v>
      </x:c>
      <x:c r="D374" s="7" t="str">
        <x:v>PEA-A-X3</x:v>
      </x:c>
      <x:c r="E374" s="7" t="str">
        <x:v>BLD-A</x:v>
      </x:c>
      <x:c r="F374" s="7" t="str">
        <x:v>BL-X</x:v>
      </x:c>
      <x:c r="G374" s="7" t="str">
        <x:v>MF-14</x:v>
      </x:c>
      <x:c r="H374" s="7" t="str"/>
      <x:c r="I374" s="7" t="str"/>
      <x:c r="J374" s="7" t="str">
        <x:f>IF(OR(H374="",I374=""),"",I374-H374)</x:f>
      </x:c>
      <x:c r="K374" s="7" t="str"/>
      <x:c r="L374" s="7" t="str"/>
      <x:c r="M374" s="7" t="str">
        <x:f>IF(L374="","OPEN",IF(OR(NOT(ISNUMBER(H374)),NOT(ISNUMBER(I374)),NOT(ISNUMBER(K374)),ABS(J374)&gt;K374),"FAIL","PASS"))</x:f>
        <x:v>OPEN</x:v>
      </x:c>
    </x:row>
    <x:row r="375">
      <x:c r="B375" s="7" t="str">
        <x:v>CAL-CH-PEA-A-X3-14-3</x:v>
      </x:c>
      <x:c r="C375" s="7" t="str">
        <x:v>CH-PEA-A-X3-14-3</x:v>
      </x:c>
      <x:c r="D375" s="7" t="str">
        <x:v>PEA-A-X3</x:v>
      </x:c>
      <x:c r="E375" s="7" t="str">
        <x:v>BLD-A</x:v>
      </x:c>
      <x:c r="F375" s="7" t="str">
        <x:v>BL-X</x:v>
      </x:c>
      <x:c r="G375" s="7" t="str">
        <x:v>MF-14</x:v>
      </x:c>
      <x:c r="H375" s="7" t="str"/>
      <x:c r="I375" s="7" t="str"/>
      <x:c r="J375" s="7" t="str">
        <x:f>IF(OR(H375="",I375=""),"",I375-H375)</x:f>
      </x:c>
      <x:c r="K375" s="7" t="str"/>
      <x:c r="L375" s="7" t="str"/>
      <x:c r="M375" s="7" t="str">
        <x:f>IF(L375="","OPEN",IF(OR(NOT(ISNUMBER(H375)),NOT(ISNUMBER(I375)),NOT(ISNUMBER(K375)),ABS(J375)&gt;K375),"FAIL","PASS"))</x:f>
        <x:v>OPEN</x:v>
      </x:c>
    </x:row>
    <x:row r="376">
      <x:c r="B376" s="7" t="str">
        <x:v>CAL-CH-PEA-A-X3-14-4</x:v>
      </x:c>
      <x:c r="C376" s="7" t="str">
        <x:v>CH-PEA-A-X3-14-4</x:v>
      </x:c>
      <x:c r="D376" s="7" t="str">
        <x:v>PEA-A-X3</x:v>
      </x:c>
      <x:c r="E376" s="7" t="str">
        <x:v>BLD-A</x:v>
      </x:c>
      <x:c r="F376" s="7" t="str">
        <x:v>BL-X</x:v>
      </x:c>
      <x:c r="G376" s="7" t="str">
        <x:v>MF-14</x:v>
      </x:c>
      <x:c r="H376" s="7" t="str"/>
      <x:c r="I376" s="7" t="str"/>
      <x:c r="J376" s="7" t="str">
        <x:f>IF(OR(H376="",I376=""),"",I376-H376)</x:f>
      </x:c>
      <x:c r="K376" s="7" t="str"/>
      <x:c r="L376" s="7" t="str"/>
      <x:c r="M376" s="7" t="str">
        <x:f>IF(L376="","OPEN",IF(OR(NOT(ISNUMBER(H376)),NOT(ISNUMBER(I376)),NOT(ISNUMBER(K376)),ABS(J376)&gt;K376),"FAIL","PASS"))</x:f>
        <x:v>OPEN</x:v>
      </x:c>
    </x:row>
    <x:row r="377">
      <x:c r="B377" s="7" t="str">
        <x:v>CAL-CH-PEA-A-X3-14-5</x:v>
      </x:c>
      <x:c r="C377" s="7" t="str">
        <x:v>CH-PEA-A-X3-14-5</x:v>
      </x:c>
      <x:c r="D377" s="7" t="str">
        <x:v>PEA-A-X3</x:v>
      </x:c>
      <x:c r="E377" s="7" t="str">
        <x:v>BLD-A</x:v>
      </x:c>
      <x:c r="F377" s="7" t="str">
        <x:v>BL-X</x:v>
      </x:c>
      <x:c r="G377" s="7" t="str">
        <x:v>MF-14</x:v>
      </x:c>
      <x:c r="H377" s="7" t="str"/>
      <x:c r="I377" s="7" t="str"/>
      <x:c r="J377" s="7" t="str">
        <x:f>IF(OR(H377="",I377=""),"",I377-H377)</x:f>
      </x:c>
      <x:c r="K377" s="7" t="str"/>
      <x:c r="L377" s="7" t="str"/>
      <x:c r="M377" s="7" t="str">
        <x:f>IF(L377="","OPEN",IF(OR(NOT(ISNUMBER(H377)),NOT(ISNUMBER(I377)),NOT(ISNUMBER(K377)),ABS(J377)&gt;K377),"FAIL","PASS"))</x:f>
        <x:v>OPEN</x:v>
      </x:c>
    </x:row>
    <x:row r="378">
      <x:c r="B378" s="7" t="str">
        <x:v>CAL-CH-PEA-A-X3-14-6</x:v>
      </x:c>
      <x:c r="C378" s="7" t="str">
        <x:v>CH-PEA-A-X3-14-6</x:v>
      </x:c>
      <x:c r="D378" s="7" t="str">
        <x:v>PEA-A-X3</x:v>
      </x:c>
      <x:c r="E378" s="7" t="str">
        <x:v>BLD-A</x:v>
      </x:c>
      <x:c r="F378" s="7" t="str">
        <x:v>BL-X</x:v>
      </x:c>
      <x:c r="G378" s="7" t="str">
        <x:v>MF-14</x:v>
      </x:c>
      <x:c r="H378" s="7" t="str"/>
      <x:c r="I378" s="7" t="str"/>
      <x:c r="J378" s="7" t="str">
        <x:f>IF(OR(H378="",I378=""),"",I378-H378)</x:f>
      </x:c>
      <x:c r="K378" s="7" t="str"/>
      <x:c r="L378" s="7" t="str"/>
      <x:c r="M378" s="7" t="str">
        <x:f>IF(L378="","OPEN",IF(OR(NOT(ISNUMBER(H378)),NOT(ISNUMBER(I378)),NOT(ISNUMBER(K378)),ABS(J378)&gt;K378),"FAIL","PASS"))</x:f>
        <x:v>OPEN</x:v>
      </x:c>
    </x:row>
    <x:row r="379">
      <x:c r="B379" s="7" t="str">
        <x:v>CAL-CH-PEA-A-X3-15-1</x:v>
      </x:c>
      <x:c r="C379" s="7" t="str">
        <x:v>CH-PEA-A-X3-15-1</x:v>
      </x:c>
      <x:c r="D379" s="7" t="str">
        <x:v>PEA-A-X3</x:v>
      </x:c>
      <x:c r="E379" s="7" t="str">
        <x:v>BLD-A</x:v>
      </x:c>
      <x:c r="F379" s="7" t="str">
        <x:v>BL-X</x:v>
      </x:c>
      <x:c r="G379" s="7" t="str">
        <x:v>MF-15</x:v>
      </x:c>
      <x:c r="H379" s="7" t="str"/>
      <x:c r="I379" s="7" t="str"/>
      <x:c r="J379" s="7" t="str">
        <x:f>IF(OR(H379="",I379=""),"",I379-H379)</x:f>
      </x:c>
      <x:c r="K379" s="7" t="str"/>
      <x:c r="L379" s="7" t="str"/>
      <x:c r="M379" s="7" t="str">
        <x:f>IF(L379="","OPEN",IF(OR(NOT(ISNUMBER(H379)),NOT(ISNUMBER(I379)),NOT(ISNUMBER(K379)),ABS(J379)&gt;K379),"FAIL","PASS"))</x:f>
        <x:v>OPEN</x:v>
      </x:c>
    </x:row>
    <x:row r="380">
      <x:c r="B380" s="7" t="str">
        <x:v>CAL-CH-PEA-A-X3-15-2</x:v>
      </x:c>
      <x:c r="C380" s="7" t="str">
        <x:v>CH-PEA-A-X3-15-2</x:v>
      </x:c>
      <x:c r="D380" s="7" t="str">
        <x:v>PEA-A-X3</x:v>
      </x:c>
      <x:c r="E380" s="7" t="str">
        <x:v>BLD-A</x:v>
      </x:c>
      <x:c r="F380" s="7" t="str">
        <x:v>BL-X</x:v>
      </x:c>
      <x:c r="G380" s="7" t="str">
        <x:v>MF-15</x:v>
      </x:c>
      <x:c r="H380" s="7" t="str"/>
      <x:c r="I380" s="7" t="str"/>
      <x:c r="J380" s="7" t="str">
        <x:f>IF(OR(H380="",I380=""),"",I380-H380)</x:f>
      </x:c>
      <x:c r="K380" s="7" t="str"/>
      <x:c r="L380" s="7" t="str"/>
      <x:c r="M380" s="7" t="str">
        <x:f>IF(L380="","OPEN",IF(OR(NOT(ISNUMBER(H380)),NOT(ISNUMBER(I380)),NOT(ISNUMBER(K380)),ABS(J380)&gt;K380),"FAIL","PASS"))</x:f>
        <x:v>OPEN</x:v>
      </x:c>
    </x:row>
    <x:row r="381">
      <x:c r="B381" s="7" t="str">
        <x:v>CAL-CH-PEA-A-X3-15-3</x:v>
      </x:c>
      <x:c r="C381" s="7" t="str">
        <x:v>CH-PEA-A-X3-15-3</x:v>
      </x:c>
      <x:c r="D381" s="7" t="str">
        <x:v>PEA-A-X3</x:v>
      </x:c>
      <x:c r="E381" s="7" t="str">
        <x:v>BLD-A</x:v>
      </x:c>
      <x:c r="F381" s="7" t="str">
        <x:v>BL-X</x:v>
      </x:c>
      <x:c r="G381" s="7" t="str">
        <x:v>MF-15</x:v>
      </x:c>
      <x:c r="H381" s="7" t="str"/>
      <x:c r="I381" s="7" t="str"/>
      <x:c r="J381" s="7" t="str">
        <x:f>IF(OR(H381="",I381=""),"",I381-H381)</x:f>
      </x:c>
      <x:c r="K381" s="7" t="str"/>
      <x:c r="L381" s="7" t="str"/>
      <x:c r="M381" s="7" t="str">
        <x:f>IF(L381="","OPEN",IF(OR(NOT(ISNUMBER(H381)),NOT(ISNUMBER(I381)),NOT(ISNUMBER(K381)),ABS(J381)&gt;K381),"FAIL","PASS"))</x:f>
        <x:v>OPEN</x:v>
      </x:c>
    </x:row>
    <x:row r="382">
      <x:c r="B382" s="7" t="str">
        <x:v>CAL-CH-PEA-A-X3-15-4</x:v>
      </x:c>
      <x:c r="C382" s="7" t="str">
        <x:v>CH-PEA-A-X3-15-4</x:v>
      </x:c>
      <x:c r="D382" s="7" t="str">
        <x:v>PEA-A-X3</x:v>
      </x:c>
      <x:c r="E382" s="7" t="str">
        <x:v>BLD-A</x:v>
      </x:c>
      <x:c r="F382" s="7" t="str">
        <x:v>BL-X</x:v>
      </x:c>
      <x:c r="G382" s="7" t="str">
        <x:v>MF-15</x:v>
      </x:c>
      <x:c r="H382" s="7" t="str"/>
      <x:c r="I382" s="7" t="str"/>
      <x:c r="J382" s="7" t="str">
        <x:f>IF(OR(H382="",I382=""),"",I382-H382)</x:f>
      </x:c>
      <x:c r="K382" s="7" t="str"/>
      <x:c r="L382" s="7" t="str"/>
      <x:c r="M382" s="7" t="str">
        <x:f>IF(L382="","OPEN",IF(OR(NOT(ISNUMBER(H382)),NOT(ISNUMBER(I382)),NOT(ISNUMBER(K382)),ABS(J382)&gt;K382),"FAIL","PASS"))</x:f>
        <x:v>OPEN</x:v>
      </x:c>
    </x:row>
    <x:row r="383">
      <x:c r="B383" s="7" t="str">
        <x:v>CAL-CH-PEA-A-X3-15-5</x:v>
      </x:c>
      <x:c r="C383" s="7" t="str">
        <x:v>CH-PEA-A-X3-15-5</x:v>
      </x:c>
      <x:c r="D383" s="7" t="str">
        <x:v>PEA-A-X3</x:v>
      </x:c>
      <x:c r="E383" s="7" t="str">
        <x:v>BLD-A</x:v>
      </x:c>
      <x:c r="F383" s="7" t="str">
        <x:v>BL-X</x:v>
      </x:c>
      <x:c r="G383" s="7" t="str">
        <x:v>MF-15</x:v>
      </x:c>
      <x:c r="H383" s="7" t="str"/>
      <x:c r="I383" s="7" t="str"/>
      <x:c r="J383" s="7" t="str">
        <x:f>IF(OR(H383="",I383=""),"",I383-H383)</x:f>
      </x:c>
      <x:c r="K383" s="7" t="str"/>
      <x:c r="L383" s="7" t="str"/>
      <x:c r="M383" s="7" t="str">
        <x:f>IF(L383="","OPEN",IF(OR(NOT(ISNUMBER(H383)),NOT(ISNUMBER(I383)),NOT(ISNUMBER(K383)),ABS(J383)&gt;K383),"FAIL","PASS"))</x:f>
        <x:v>OPEN</x:v>
      </x:c>
    </x:row>
    <x:row r="384">
      <x:c r="B384" s="7" t="str">
        <x:v>CAL-CH-PEA-A-X3-15-6</x:v>
      </x:c>
      <x:c r="C384" s="7" t="str">
        <x:v>CH-PEA-A-X3-15-6</x:v>
      </x:c>
      <x:c r="D384" s="7" t="str">
        <x:v>PEA-A-X3</x:v>
      </x:c>
      <x:c r="E384" s="7" t="str">
        <x:v>BLD-A</x:v>
      </x:c>
      <x:c r="F384" s="7" t="str">
        <x:v>BL-X</x:v>
      </x:c>
      <x:c r="G384" s="7" t="str">
        <x:v>MF-15</x:v>
      </x:c>
      <x:c r="H384" s="7" t="str"/>
      <x:c r="I384" s="7" t="str"/>
      <x:c r="J384" s="7" t="str">
        <x:f>IF(OR(H384="",I384=""),"",I384-H384)</x:f>
      </x:c>
      <x:c r="K384" s="7" t="str"/>
      <x:c r="L384" s="7" t="str"/>
      <x:c r="M384" s="7" t="str">
        <x:f>IF(L384="","OPEN",IF(OR(NOT(ISNUMBER(H384)),NOT(ISNUMBER(I384)),NOT(ISNUMBER(K384)),ABS(J384)&gt;K384),"FAIL","PASS"))</x:f>
        <x:v>OPEN</x:v>
      </x:c>
    </x:row>
    <x:row r="385">
      <x:c r="B385" s="7" t="str">
        <x:v>CAL-CH-PEA-A-X3-16-1</x:v>
      </x:c>
      <x:c r="C385" s="7" t="str">
        <x:v>CH-PEA-A-X3-16-1</x:v>
      </x:c>
      <x:c r="D385" s="7" t="str">
        <x:v>PEA-A-X3</x:v>
      </x:c>
      <x:c r="E385" s="7" t="str">
        <x:v>BLD-A</x:v>
      </x:c>
      <x:c r="F385" s="7" t="str">
        <x:v>BL-X</x:v>
      </x:c>
      <x:c r="G385" s="7" t="str">
        <x:v>MF-16</x:v>
      </x:c>
      <x:c r="H385" s="7" t="str"/>
      <x:c r="I385" s="7" t="str"/>
      <x:c r="J385" s="7" t="str">
        <x:f>IF(OR(H385="",I385=""),"",I385-H385)</x:f>
      </x:c>
      <x:c r="K385" s="7" t="str"/>
      <x:c r="L385" s="7" t="str"/>
      <x:c r="M385" s="7" t="str">
        <x:f>IF(L385="","OPEN",IF(OR(NOT(ISNUMBER(H385)),NOT(ISNUMBER(I385)),NOT(ISNUMBER(K385)),ABS(J385)&gt;K385),"FAIL","PASS"))</x:f>
        <x:v>OPEN</x:v>
      </x:c>
    </x:row>
    <x:row r="386">
      <x:c r="B386" s="7" t="str">
        <x:v>CAL-CH-PEA-A-X3-16-2</x:v>
      </x:c>
      <x:c r="C386" s="7" t="str">
        <x:v>CH-PEA-A-X3-16-2</x:v>
      </x:c>
      <x:c r="D386" s="7" t="str">
        <x:v>PEA-A-X3</x:v>
      </x:c>
      <x:c r="E386" s="7" t="str">
        <x:v>BLD-A</x:v>
      </x:c>
      <x:c r="F386" s="7" t="str">
        <x:v>BL-X</x:v>
      </x:c>
      <x:c r="G386" s="7" t="str">
        <x:v>MF-16</x:v>
      </x:c>
      <x:c r="H386" s="7" t="str"/>
      <x:c r="I386" s="7" t="str"/>
      <x:c r="J386" s="7" t="str">
        <x:f>IF(OR(H386="",I386=""),"",I386-H386)</x:f>
      </x:c>
      <x:c r="K386" s="7" t="str"/>
      <x:c r="L386" s="7" t="str"/>
      <x:c r="M386" s="7" t="str">
        <x:f>IF(L386="","OPEN",IF(OR(NOT(ISNUMBER(H386)),NOT(ISNUMBER(I386)),NOT(ISNUMBER(K386)),ABS(J386)&gt;K386),"FAIL","PASS"))</x:f>
        <x:v>OPEN</x:v>
      </x:c>
    </x:row>
    <x:row r="387">
      <x:c r="B387" s="7" t="str">
        <x:v>CAL-CH-PEA-A-X3-16-3</x:v>
      </x:c>
      <x:c r="C387" s="7" t="str">
        <x:v>CH-PEA-A-X3-16-3</x:v>
      </x:c>
      <x:c r="D387" s="7" t="str">
        <x:v>PEA-A-X3</x:v>
      </x:c>
      <x:c r="E387" s="7" t="str">
        <x:v>BLD-A</x:v>
      </x:c>
      <x:c r="F387" s="7" t="str">
        <x:v>BL-X</x:v>
      </x:c>
      <x:c r="G387" s="7" t="str">
        <x:v>MF-16</x:v>
      </x:c>
      <x:c r="H387" s="7" t="str"/>
      <x:c r="I387" s="7" t="str"/>
      <x:c r="J387" s="7" t="str">
        <x:f>IF(OR(H387="",I387=""),"",I387-H387)</x:f>
      </x:c>
      <x:c r="K387" s="7" t="str"/>
      <x:c r="L387" s="7" t="str"/>
      <x:c r="M387" s="7" t="str">
        <x:f>IF(L387="","OPEN",IF(OR(NOT(ISNUMBER(H387)),NOT(ISNUMBER(I387)),NOT(ISNUMBER(K387)),ABS(J387)&gt;K387),"FAIL","PASS"))</x:f>
        <x:v>OPEN</x:v>
      </x:c>
    </x:row>
    <x:row r="388">
      <x:c r="B388" s="7" t="str">
        <x:v>CAL-CH-PEA-A-X3-16-4</x:v>
      </x:c>
      <x:c r="C388" s="7" t="str">
        <x:v>CH-PEA-A-X3-16-4</x:v>
      </x:c>
      <x:c r="D388" s="7" t="str">
        <x:v>PEA-A-X3</x:v>
      </x:c>
      <x:c r="E388" s="7" t="str">
        <x:v>BLD-A</x:v>
      </x:c>
      <x:c r="F388" s="7" t="str">
        <x:v>BL-X</x:v>
      </x:c>
      <x:c r="G388" s="7" t="str">
        <x:v>MF-16</x:v>
      </x:c>
      <x:c r="H388" s="7" t="str"/>
      <x:c r="I388" s="7" t="str"/>
      <x:c r="J388" s="7" t="str">
        <x:f>IF(OR(H388="",I388=""),"",I388-H388)</x:f>
      </x:c>
      <x:c r="K388" s="7" t="str"/>
      <x:c r="L388" s="7" t="str"/>
      <x:c r="M388" s="7" t="str">
        <x:f>IF(L388="","OPEN",IF(OR(NOT(ISNUMBER(H388)),NOT(ISNUMBER(I388)),NOT(ISNUMBER(K388)),ABS(J388)&gt;K388),"FAIL","PASS"))</x:f>
        <x:v>OPEN</x:v>
      </x:c>
    </x:row>
    <x:row r="389">
      <x:c r="B389" s="7" t="str">
        <x:v>CAL-CH-PEA-A-X3-16-5</x:v>
      </x:c>
      <x:c r="C389" s="7" t="str">
        <x:v>CH-PEA-A-X3-16-5</x:v>
      </x:c>
      <x:c r="D389" s="7" t="str">
        <x:v>PEA-A-X3</x:v>
      </x:c>
      <x:c r="E389" s="7" t="str">
        <x:v>BLD-A</x:v>
      </x:c>
      <x:c r="F389" s="7" t="str">
        <x:v>BL-X</x:v>
      </x:c>
      <x:c r="G389" s="7" t="str">
        <x:v>MF-16</x:v>
      </x:c>
      <x:c r="H389" s="7" t="str"/>
      <x:c r="I389" s="7" t="str"/>
      <x:c r="J389" s="7" t="str">
        <x:f>IF(OR(H389="",I389=""),"",I389-H389)</x:f>
      </x:c>
      <x:c r="K389" s="7" t="str"/>
      <x:c r="L389" s="7" t="str"/>
      <x:c r="M389" s="7" t="str">
        <x:f>IF(L389="","OPEN",IF(OR(NOT(ISNUMBER(H389)),NOT(ISNUMBER(I389)),NOT(ISNUMBER(K389)),ABS(J389)&gt;K389),"FAIL","PASS"))</x:f>
        <x:v>OPEN</x:v>
      </x:c>
    </x:row>
    <x:row r="390">
      <x:c r="B390" s="7" t="str">
        <x:v>CAL-CH-PEA-A-X3-16-6</x:v>
      </x:c>
      <x:c r="C390" s="7" t="str">
        <x:v>CH-PEA-A-X3-16-6</x:v>
      </x:c>
      <x:c r="D390" s="7" t="str">
        <x:v>PEA-A-X3</x:v>
      </x:c>
      <x:c r="E390" s="7" t="str">
        <x:v>BLD-A</x:v>
      </x:c>
      <x:c r="F390" s="7" t="str">
        <x:v>BL-X</x:v>
      </x:c>
      <x:c r="G390" s="7" t="str">
        <x:v>MF-16</x:v>
      </x:c>
      <x:c r="H390" s="7" t="str"/>
      <x:c r="I390" s="7" t="str"/>
      <x:c r="J390" s="7" t="str">
        <x:f>IF(OR(H390="",I390=""),"",I390-H390)</x:f>
      </x:c>
      <x:c r="K390" s="7" t="str"/>
      <x:c r="L390" s="7" t="str"/>
      <x:c r="M390" s="7" t="str">
        <x:f>IF(L390="","OPEN",IF(OR(NOT(ISNUMBER(H390)),NOT(ISNUMBER(I390)),NOT(ISNUMBER(K390)),ABS(J390)&gt;K390),"FAIL","PASS"))</x:f>
        <x:v>OPEN</x:v>
      </x:c>
    </x:row>
    <x:row r="391">
      <x:c r="B391" s="7" t="str">
        <x:v>CAL-CH-PEA-A-X3-17-1</x:v>
      </x:c>
      <x:c r="C391" s="7" t="str">
        <x:v>CH-PEA-A-X3-17-1</x:v>
      </x:c>
      <x:c r="D391" s="7" t="str">
        <x:v>PEA-A-X3</x:v>
      </x:c>
      <x:c r="E391" s="7" t="str">
        <x:v>BLD-A</x:v>
      </x:c>
      <x:c r="F391" s="7" t="str">
        <x:v>BL-X</x:v>
      </x:c>
      <x:c r="G391" s="7" t="str">
        <x:v>MF-17</x:v>
      </x:c>
      <x:c r="H391" s="7" t="str"/>
      <x:c r="I391" s="7" t="str"/>
      <x:c r="J391" s="7" t="str">
        <x:f>IF(OR(H391="",I391=""),"",I391-H391)</x:f>
      </x:c>
      <x:c r="K391" s="7" t="str"/>
      <x:c r="L391" s="7" t="str"/>
      <x:c r="M391" s="7" t="str">
        <x:f>IF(L391="","OPEN",IF(OR(NOT(ISNUMBER(H391)),NOT(ISNUMBER(I391)),NOT(ISNUMBER(K391)),ABS(J391)&gt;K391),"FAIL","PASS"))</x:f>
        <x:v>OPEN</x:v>
      </x:c>
    </x:row>
    <x:row r="392">
      <x:c r="B392" s="7" t="str">
        <x:v>CAL-CH-PEA-A-X3-17-2</x:v>
      </x:c>
      <x:c r="C392" s="7" t="str">
        <x:v>CH-PEA-A-X3-17-2</x:v>
      </x:c>
      <x:c r="D392" s="7" t="str">
        <x:v>PEA-A-X3</x:v>
      </x:c>
      <x:c r="E392" s="7" t="str">
        <x:v>BLD-A</x:v>
      </x:c>
      <x:c r="F392" s="7" t="str">
        <x:v>BL-X</x:v>
      </x:c>
      <x:c r="G392" s="7" t="str">
        <x:v>MF-17</x:v>
      </x:c>
      <x:c r="H392" s="7" t="str"/>
      <x:c r="I392" s="7" t="str"/>
      <x:c r="J392" s="7" t="str">
        <x:f>IF(OR(H392="",I392=""),"",I392-H392)</x:f>
      </x:c>
      <x:c r="K392" s="7" t="str"/>
      <x:c r="L392" s="7" t="str"/>
      <x:c r="M392" s="7" t="str">
        <x:f>IF(L392="","OPEN",IF(OR(NOT(ISNUMBER(H392)),NOT(ISNUMBER(I392)),NOT(ISNUMBER(K392)),ABS(J392)&gt;K392),"FAIL","PASS"))</x:f>
        <x:v>OPEN</x:v>
      </x:c>
    </x:row>
    <x:row r="393">
      <x:c r="B393" s="7" t="str">
        <x:v>CAL-CH-PEA-A-X3-17-3</x:v>
      </x:c>
      <x:c r="C393" s="7" t="str">
        <x:v>CH-PEA-A-X3-17-3</x:v>
      </x:c>
      <x:c r="D393" s="7" t="str">
        <x:v>PEA-A-X3</x:v>
      </x:c>
      <x:c r="E393" s="7" t="str">
        <x:v>BLD-A</x:v>
      </x:c>
      <x:c r="F393" s="7" t="str">
        <x:v>BL-X</x:v>
      </x:c>
      <x:c r="G393" s="7" t="str">
        <x:v>MF-17</x:v>
      </x:c>
      <x:c r="H393" s="7" t="str"/>
      <x:c r="I393" s="7" t="str"/>
      <x:c r="J393" s="7" t="str">
        <x:f>IF(OR(H393="",I393=""),"",I393-H393)</x:f>
      </x:c>
      <x:c r="K393" s="7" t="str"/>
      <x:c r="L393" s="7" t="str"/>
      <x:c r="M393" s="7" t="str">
        <x:f>IF(L393="","OPEN",IF(OR(NOT(ISNUMBER(H393)),NOT(ISNUMBER(I393)),NOT(ISNUMBER(K393)),ABS(J393)&gt;K393),"FAIL","PASS"))</x:f>
        <x:v>OPEN</x:v>
      </x:c>
    </x:row>
    <x:row r="394">
      <x:c r="B394" s="7" t="str">
        <x:v>CAL-CH-PEA-A-X3-17-4</x:v>
      </x:c>
      <x:c r="C394" s="7" t="str">
        <x:v>CH-PEA-A-X3-17-4</x:v>
      </x:c>
      <x:c r="D394" s="7" t="str">
        <x:v>PEA-A-X3</x:v>
      </x:c>
      <x:c r="E394" s="7" t="str">
        <x:v>BLD-A</x:v>
      </x:c>
      <x:c r="F394" s="7" t="str">
        <x:v>BL-X</x:v>
      </x:c>
      <x:c r="G394" s="7" t="str">
        <x:v>MF-17</x:v>
      </x:c>
      <x:c r="H394" s="7" t="str"/>
      <x:c r="I394" s="7" t="str"/>
      <x:c r="J394" s="7" t="str">
        <x:f>IF(OR(H394="",I394=""),"",I394-H394)</x:f>
      </x:c>
      <x:c r="K394" s="7" t="str"/>
      <x:c r="L394" s="7" t="str"/>
      <x:c r="M394" s="7" t="str">
        <x:f>IF(L394="","OPEN",IF(OR(NOT(ISNUMBER(H394)),NOT(ISNUMBER(I394)),NOT(ISNUMBER(K394)),ABS(J394)&gt;K394),"FAIL","PASS"))</x:f>
        <x:v>OPEN</x:v>
      </x:c>
    </x:row>
    <x:row r="395">
      <x:c r="B395" s="7" t="str">
        <x:v>CAL-CH-PEA-A-X3-17-5</x:v>
      </x:c>
      <x:c r="C395" s="7" t="str">
        <x:v>CH-PEA-A-X3-17-5</x:v>
      </x:c>
      <x:c r="D395" s="7" t="str">
        <x:v>PEA-A-X3</x:v>
      </x:c>
      <x:c r="E395" s="7" t="str">
        <x:v>BLD-A</x:v>
      </x:c>
      <x:c r="F395" s="7" t="str">
        <x:v>BL-X</x:v>
      </x:c>
      <x:c r="G395" s="7" t="str">
        <x:v>MF-17</x:v>
      </x:c>
      <x:c r="H395" s="7" t="str"/>
      <x:c r="I395" s="7" t="str"/>
      <x:c r="J395" s="7" t="str">
        <x:f>IF(OR(H395="",I395=""),"",I395-H395)</x:f>
      </x:c>
      <x:c r="K395" s="7" t="str"/>
      <x:c r="L395" s="7" t="str"/>
      <x:c r="M395" s="7" t="str">
        <x:f>IF(L395="","OPEN",IF(OR(NOT(ISNUMBER(H395)),NOT(ISNUMBER(I395)),NOT(ISNUMBER(K395)),ABS(J395)&gt;K395),"FAIL","PASS"))</x:f>
        <x:v>OPEN</x:v>
      </x:c>
    </x:row>
    <x:row r="396">
      <x:c r="B396" s="7" t="str">
        <x:v>CAL-CH-PEA-A-X3-17-6</x:v>
      </x:c>
      <x:c r="C396" s="7" t="str">
        <x:v>CH-PEA-A-X3-17-6</x:v>
      </x:c>
      <x:c r="D396" s="7" t="str">
        <x:v>PEA-A-X3</x:v>
      </x:c>
      <x:c r="E396" s="7" t="str">
        <x:v>BLD-A</x:v>
      </x:c>
      <x:c r="F396" s="7" t="str">
        <x:v>BL-X</x:v>
      </x:c>
      <x:c r="G396" s="7" t="str">
        <x:v>MF-17</x:v>
      </x:c>
      <x:c r="H396" s="7" t="str"/>
      <x:c r="I396" s="7" t="str"/>
      <x:c r="J396" s="7" t="str">
        <x:f>IF(OR(H396="",I396=""),"",I396-H396)</x:f>
      </x:c>
      <x:c r="K396" s="7" t="str"/>
      <x:c r="L396" s="7" t="str"/>
      <x:c r="M396" s="7" t="str">
        <x:f>IF(L396="","OPEN",IF(OR(NOT(ISNUMBER(H396)),NOT(ISNUMBER(I396)),NOT(ISNUMBER(K396)),ABS(J396)&gt;K396),"FAIL","PASS"))</x:f>
        <x:v>OPEN</x:v>
      </x:c>
    </x:row>
    <x:row r="397">
      <x:c r="B397" s="7" t="str">
        <x:v>CAL-CH-PEA-A-X3-18-1</x:v>
      </x:c>
      <x:c r="C397" s="7" t="str">
        <x:v>CH-PEA-A-X3-18-1</x:v>
      </x:c>
      <x:c r="D397" s="7" t="str">
        <x:v>PEA-A-X3</x:v>
      </x:c>
      <x:c r="E397" s="7" t="str">
        <x:v>BLD-A</x:v>
      </x:c>
      <x:c r="F397" s="7" t="str">
        <x:v>BL-X</x:v>
      </x:c>
      <x:c r="G397" s="7" t="str">
        <x:v>MF-18</x:v>
      </x:c>
      <x:c r="H397" s="7" t="str"/>
      <x:c r="I397" s="7" t="str"/>
      <x:c r="J397" s="7" t="str">
        <x:f>IF(OR(H397="",I397=""),"",I397-H397)</x:f>
      </x:c>
      <x:c r="K397" s="7" t="str"/>
      <x:c r="L397" s="7" t="str"/>
      <x:c r="M397" s="7" t="str">
        <x:f>IF(L397="","OPEN",IF(OR(NOT(ISNUMBER(H397)),NOT(ISNUMBER(I397)),NOT(ISNUMBER(K397)),ABS(J397)&gt;K397),"FAIL","PASS"))</x:f>
        <x:v>OPEN</x:v>
      </x:c>
    </x:row>
    <x:row r="398">
      <x:c r="B398" s="7" t="str">
        <x:v>CAL-CH-PEA-A-X3-18-2</x:v>
      </x:c>
      <x:c r="C398" s="7" t="str">
        <x:v>CH-PEA-A-X3-18-2</x:v>
      </x:c>
      <x:c r="D398" s="7" t="str">
        <x:v>PEA-A-X3</x:v>
      </x:c>
      <x:c r="E398" s="7" t="str">
        <x:v>BLD-A</x:v>
      </x:c>
      <x:c r="F398" s="7" t="str">
        <x:v>BL-X</x:v>
      </x:c>
      <x:c r="G398" s="7" t="str">
        <x:v>MF-18</x:v>
      </x:c>
      <x:c r="H398" s="7" t="str"/>
      <x:c r="I398" s="7" t="str"/>
      <x:c r="J398" s="7" t="str">
        <x:f>IF(OR(H398="",I398=""),"",I398-H398)</x:f>
      </x:c>
      <x:c r="K398" s="7" t="str"/>
      <x:c r="L398" s="7" t="str"/>
      <x:c r="M398" s="7" t="str">
        <x:f>IF(L398="","OPEN",IF(OR(NOT(ISNUMBER(H398)),NOT(ISNUMBER(I398)),NOT(ISNUMBER(K398)),ABS(J398)&gt;K398),"FAIL","PASS"))</x:f>
        <x:v>OPEN</x:v>
      </x:c>
    </x:row>
    <x:row r="399">
      <x:c r="B399" s="7" t="str">
        <x:v>CAL-CH-PEA-A-X3-18-3</x:v>
      </x:c>
      <x:c r="C399" s="7" t="str">
        <x:v>CH-PEA-A-X3-18-3</x:v>
      </x:c>
      <x:c r="D399" s="7" t="str">
        <x:v>PEA-A-X3</x:v>
      </x:c>
      <x:c r="E399" s="7" t="str">
        <x:v>BLD-A</x:v>
      </x:c>
      <x:c r="F399" s="7" t="str">
        <x:v>BL-X</x:v>
      </x:c>
      <x:c r="G399" s="7" t="str">
        <x:v>MF-18</x:v>
      </x:c>
      <x:c r="H399" s="7" t="str"/>
      <x:c r="I399" s="7" t="str"/>
      <x:c r="J399" s="7" t="str">
        <x:f>IF(OR(H399="",I399=""),"",I399-H399)</x:f>
      </x:c>
      <x:c r="K399" s="7" t="str"/>
      <x:c r="L399" s="7" t="str"/>
      <x:c r="M399" s="7" t="str">
        <x:f>IF(L399="","OPEN",IF(OR(NOT(ISNUMBER(H399)),NOT(ISNUMBER(I399)),NOT(ISNUMBER(K399)),ABS(J399)&gt;K399),"FAIL","PASS"))</x:f>
        <x:v>OPEN</x:v>
      </x:c>
    </x:row>
    <x:row r="400">
      <x:c r="B400" s="7" t="str">
        <x:v>CAL-CH-PEA-A-X3-18-4</x:v>
      </x:c>
      <x:c r="C400" s="7" t="str">
        <x:v>CH-PEA-A-X3-18-4</x:v>
      </x:c>
      <x:c r="D400" s="7" t="str">
        <x:v>PEA-A-X3</x:v>
      </x:c>
      <x:c r="E400" s="7" t="str">
        <x:v>BLD-A</x:v>
      </x:c>
      <x:c r="F400" s="7" t="str">
        <x:v>BL-X</x:v>
      </x:c>
      <x:c r="G400" s="7" t="str">
        <x:v>MF-18</x:v>
      </x:c>
      <x:c r="H400" s="7" t="str"/>
      <x:c r="I400" s="7" t="str"/>
      <x:c r="J400" s="7" t="str">
        <x:f>IF(OR(H400="",I400=""),"",I400-H400)</x:f>
      </x:c>
      <x:c r="K400" s="7" t="str"/>
      <x:c r="L400" s="7" t="str"/>
      <x:c r="M400" s="7" t="str">
        <x:f>IF(L400="","OPEN",IF(OR(NOT(ISNUMBER(H400)),NOT(ISNUMBER(I400)),NOT(ISNUMBER(K400)),ABS(J400)&gt;K400),"FAIL","PASS"))</x:f>
        <x:v>OPEN</x:v>
      </x:c>
    </x:row>
    <x:row r="401">
      <x:c r="B401" s="7" t="str">
        <x:v>CAL-CH-PEA-A-X3-18-5</x:v>
      </x:c>
      <x:c r="C401" s="7" t="str">
        <x:v>CH-PEA-A-X3-18-5</x:v>
      </x:c>
      <x:c r="D401" s="7" t="str">
        <x:v>PEA-A-X3</x:v>
      </x:c>
      <x:c r="E401" s="7" t="str">
        <x:v>BLD-A</x:v>
      </x:c>
      <x:c r="F401" s="7" t="str">
        <x:v>BL-X</x:v>
      </x:c>
      <x:c r="G401" s="7" t="str">
        <x:v>MF-18</x:v>
      </x:c>
      <x:c r="H401" s="7" t="str"/>
      <x:c r="I401" s="7" t="str"/>
      <x:c r="J401" s="7" t="str">
        <x:f>IF(OR(H401="",I401=""),"",I401-H401)</x:f>
      </x:c>
      <x:c r="K401" s="7" t="str"/>
      <x:c r="L401" s="7" t="str"/>
      <x:c r="M401" s="7" t="str">
        <x:f>IF(L401="","OPEN",IF(OR(NOT(ISNUMBER(H401)),NOT(ISNUMBER(I401)),NOT(ISNUMBER(K401)),ABS(J401)&gt;K401),"FAIL","PASS"))</x:f>
        <x:v>OPEN</x:v>
      </x:c>
    </x:row>
    <x:row r="402">
      <x:c r="B402" s="7" t="str">
        <x:v>CAL-CH-PEA-A-X3-18-6</x:v>
      </x:c>
      <x:c r="C402" s="7" t="str">
        <x:v>CH-PEA-A-X3-18-6</x:v>
      </x:c>
      <x:c r="D402" s="7" t="str">
        <x:v>PEA-A-X3</x:v>
      </x:c>
      <x:c r="E402" s="7" t="str">
        <x:v>BLD-A</x:v>
      </x:c>
      <x:c r="F402" s="7" t="str">
        <x:v>BL-X</x:v>
      </x:c>
      <x:c r="G402" s="7" t="str">
        <x:v>MF-18</x:v>
      </x:c>
      <x:c r="H402" s="7" t="str"/>
      <x:c r="I402" s="7" t="str"/>
      <x:c r="J402" s="7" t="str">
        <x:f>IF(OR(H402="",I402=""),"",I402-H402)</x:f>
      </x:c>
      <x:c r="K402" s="7" t="str"/>
      <x:c r="L402" s="7" t="str"/>
      <x:c r="M402" s="7" t="str">
        <x:f>IF(L402="","OPEN",IF(OR(NOT(ISNUMBER(H402)),NOT(ISNUMBER(I402)),NOT(ISNUMBER(K402)),ABS(J402)&gt;K402),"FAIL","PASS"))</x:f>
        <x:v>OPEN</x:v>
      </x:c>
    </x:row>
    <x:row r="403">
      <x:c r="B403" s="7" t="str">
        <x:v>CAL-CH-PEA-A-X3-19-1</x:v>
      </x:c>
      <x:c r="C403" s="7" t="str">
        <x:v>CH-PEA-A-X3-19-1</x:v>
      </x:c>
      <x:c r="D403" s="7" t="str">
        <x:v>PEA-A-X3</x:v>
      </x:c>
      <x:c r="E403" s="7" t="str">
        <x:v>BLD-A</x:v>
      </x:c>
      <x:c r="F403" s="7" t="str">
        <x:v>BL-X</x:v>
      </x:c>
      <x:c r="G403" s="7" t="str">
        <x:v>MF-19</x:v>
      </x:c>
      <x:c r="H403" s="7" t="str"/>
      <x:c r="I403" s="7" t="str"/>
      <x:c r="J403" s="7" t="str">
        <x:f>IF(OR(H403="",I403=""),"",I403-H403)</x:f>
      </x:c>
      <x:c r="K403" s="7" t="str"/>
      <x:c r="L403" s="7" t="str"/>
      <x:c r="M403" s="7" t="str">
        <x:f>IF(L403="","OPEN",IF(OR(NOT(ISNUMBER(H403)),NOT(ISNUMBER(I403)),NOT(ISNUMBER(K403)),ABS(J403)&gt;K403),"FAIL","PASS"))</x:f>
        <x:v>OPEN</x:v>
      </x:c>
    </x:row>
    <x:row r="404">
      <x:c r="B404" s="7" t="str">
        <x:v>CAL-CH-PEA-A-X3-19-2</x:v>
      </x:c>
      <x:c r="C404" s="7" t="str">
        <x:v>CH-PEA-A-X3-19-2</x:v>
      </x:c>
      <x:c r="D404" s="7" t="str">
        <x:v>PEA-A-X3</x:v>
      </x:c>
      <x:c r="E404" s="7" t="str">
        <x:v>BLD-A</x:v>
      </x:c>
      <x:c r="F404" s="7" t="str">
        <x:v>BL-X</x:v>
      </x:c>
      <x:c r="G404" s="7" t="str">
        <x:v>MF-19</x:v>
      </x:c>
      <x:c r="H404" s="7" t="str"/>
      <x:c r="I404" s="7" t="str"/>
      <x:c r="J404" s="7" t="str">
        <x:f>IF(OR(H404="",I404=""),"",I404-H404)</x:f>
      </x:c>
      <x:c r="K404" s="7" t="str"/>
      <x:c r="L404" s="7" t="str"/>
      <x:c r="M404" s="7" t="str">
        <x:f>IF(L404="","OPEN",IF(OR(NOT(ISNUMBER(H404)),NOT(ISNUMBER(I404)),NOT(ISNUMBER(K404)),ABS(J404)&gt;K404),"FAIL","PASS"))</x:f>
        <x:v>OPEN</x:v>
      </x:c>
    </x:row>
    <x:row r="405">
      <x:c r="B405" s="7" t="str">
        <x:v>CAL-CH-PEA-A-X3-19-3</x:v>
      </x:c>
      <x:c r="C405" s="7" t="str">
        <x:v>CH-PEA-A-X3-19-3</x:v>
      </x:c>
      <x:c r="D405" s="7" t="str">
        <x:v>PEA-A-X3</x:v>
      </x:c>
      <x:c r="E405" s="7" t="str">
        <x:v>BLD-A</x:v>
      </x:c>
      <x:c r="F405" s="7" t="str">
        <x:v>BL-X</x:v>
      </x:c>
      <x:c r="G405" s="7" t="str">
        <x:v>MF-19</x:v>
      </x:c>
      <x:c r="H405" s="7" t="str"/>
      <x:c r="I405" s="7" t="str"/>
      <x:c r="J405" s="7" t="str">
        <x:f>IF(OR(H405="",I405=""),"",I405-H405)</x:f>
      </x:c>
      <x:c r="K405" s="7" t="str"/>
      <x:c r="L405" s="7" t="str"/>
      <x:c r="M405" s="7" t="str">
        <x:f>IF(L405="","OPEN",IF(OR(NOT(ISNUMBER(H405)),NOT(ISNUMBER(I405)),NOT(ISNUMBER(K405)),ABS(J405)&gt;K405),"FAIL","PASS"))</x:f>
        <x:v>OPEN</x:v>
      </x:c>
    </x:row>
    <x:row r="406">
      <x:c r="B406" s="7" t="str">
        <x:v>CAL-CH-PEA-A-X3-19-4</x:v>
      </x:c>
      <x:c r="C406" s="7" t="str">
        <x:v>CH-PEA-A-X3-19-4</x:v>
      </x:c>
      <x:c r="D406" s="7" t="str">
        <x:v>PEA-A-X3</x:v>
      </x:c>
      <x:c r="E406" s="7" t="str">
        <x:v>BLD-A</x:v>
      </x:c>
      <x:c r="F406" s="7" t="str">
        <x:v>BL-X</x:v>
      </x:c>
      <x:c r="G406" s="7" t="str">
        <x:v>MF-19</x:v>
      </x:c>
      <x:c r="H406" s="7" t="str"/>
      <x:c r="I406" s="7" t="str"/>
      <x:c r="J406" s="7" t="str">
        <x:f>IF(OR(H406="",I406=""),"",I406-H406)</x:f>
      </x:c>
      <x:c r="K406" s="7" t="str"/>
      <x:c r="L406" s="7" t="str"/>
      <x:c r="M406" s="7" t="str">
        <x:f>IF(L406="","OPEN",IF(OR(NOT(ISNUMBER(H406)),NOT(ISNUMBER(I406)),NOT(ISNUMBER(K406)),ABS(J406)&gt;K406),"FAIL","PASS"))</x:f>
        <x:v>OPEN</x:v>
      </x:c>
    </x:row>
    <x:row r="407">
      <x:c r="B407" s="7" t="str">
        <x:v>CAL-CH-PEA-A-X3-19-5</x:v>
      </x:c>
      <x:c r="C407" s="7" t="str">
        <x:v>CH-PEA-A-X3-19-5</x:v>
      </x:c>
      <x:c r="D407" s="7" t="str">
        <x:v>PEA-A-X3</x:v>
      </x:c>
      <x:c r="E407" s="7" t="str">
        <x:v>BLD-A</x:v>
      </x:c>
      <x:c r="F407" s="7" t="str">
        <x:v>BL-X</x:v>
      </x:c>
      <x:c r="G407" s="7" t="str">
        <x:v>MF-19</x:v>
      </x:c>
      <x:c r="H407" s="7" t="str"/>
      <x:c r="I407" s="7" t="str"/>
      <x:c r="J407" s="7" t="str">
        <x:f>IF(OR(H407="",I407=""),"",I407-H407)</x:f>
      </x:c>
      <x:c r="K407" s="7" t="str"/>
      <x:c r="L407" s="7" t="str"/>
      <x:c r="M407" s="7" t="str">
        <x:f>IF(L407="","OPEN",IF(OR(NOT(ISNUMBER(H407)),NOT(ISNUMBER(I407)),NOT(ISNUMBER(K407)),ABS(J407)&gt;K407),"FAIL","PASS"))</x:f>
        <x:v>OPEN</x:v>
      </x:c>
    </x:row>
    <x:row r="408">
      <x:c r="B408" s="7" t="str">
        <x:v>CAL-CH-PEA-A-X3-19-6</x:v>
      </x:c>
      <x:c r="C408" s="7" t="str">
        <x:v>CH-PEA-A-X3-19-6</x:v>
      </x:c>
      <x:c r="D408" s="7" t="str">
        <x:v>PEA-A-X3</x:v>
      </x:c>
      <x:c r="E408" s="7" t="str">
        <x:v>BLD-A</x:v>
      </x:c>
      <x:c r="F408" s="7" t="str">
        <x:v>BL-X</x:v>
      </x:c>
      <x:c r="G408" s="7" t="str">
        <x:v>MF-19</x:v>
      </x:c>
      <x:c r="H408" s="7" t="str"/>
      <x:c r="I408" s="7" t="str"/>
      <x:c r="J408" s="7" t="str">
        <x:f>IF(OR(H408="",I408=""),"",I408-H408)</x:f>
      </x:c>
      <x:c r="K408" s="7" t="str"/>
      <x:c r="L408" s="7" t="str"/>
      <x:c r="M408" s="7" t="str">
        <x:f>IF(L408="","OPEN",IF(OR(NOT(ISNUMBER(H408)),NOT(ISNUMBER(I408)),NOT(ISNUMBER(K408)),ABS(J408)&gt;K408),"FAIL","PASS"))</x:f>
        <x:v>OPEN</x:v>
      </x:c>
    </x:row>
    <x:row r="409">
      <x:c r="B409" s="7" t="str">
        <x:v>CAL-CH-PEA-A-X3-20-1</x:v>
      </x:c>
      <x:c r="C409" s="7" t="str">
        <x:v>CH-PEA-A-X3-20-1</x:v>
      </x:c>
      <x:c r="D409" s="7" t="str">
        <x:v>PEA-A-X3</x:v>
      </x:c>
      <x:c r="E409" s="7" t="str">
        <x:v>BLD-A</x:v>
      </x:c>
      <x:c r="F409" s="7" t="str">
        <x:v>BL-X</x:v>
      </x:c>
      <x:c r="G409" s="7" t="str">
        <x:v>MF-20</x:v>
      </x:c>
      <x:c r="H409" s="7" t="str"/>
      <x:c r="I409" s="7" t="str"/>
      <x:c r="J409" s="7" t="str">
        <x:f>IF(OR(H409="",I409=""),"",I409-H409)</x:f>
      </x:c>
      <x:c r="K409" s="7" t="str"/>
      <x:c r="L409" s="7" t="str"/>
      <x:c r="M409" s="7" t="str">
        <x:f>IF(L409="","OPEN",IF(OR(NOT(ISNUMBER(H409)),NOT(ISNUMBER(I409)),NOT(ISNUMBER(K409)),ABS(J409)&gt;K409),"FAIL","PASS"))</x:f>
        <x:v>OPEN</x:v>
      </x:c>
    </x:row>
    <x:row r="410">
      <x:c r="B410" s="7" t="str">
        <x:v>CAL-CH-PEA-A-X3-20-2</x:v>
      </x:c>
      <x:c r="C410" s="7" t="str">
        <x:v>CH-PEA-A-X3-20-2</x:v>
      </x:c>
      <x:c r="D410" s="7" t="str">
        <x:v>PEA-A-X3</x:v>
      </x:c>
      <x:c r="E410" s="7" t="str">
        <x:v>BLD-A</x:v>
      </x:c>
      <x:c r="F410" s="7" t="str">
        <x:v>BL-X</x:v>
      </x:c>
      <x:c r="G410" s="7" t="str">
        <x:v>MF-20</x:v>
      </x:c>
      <x:c r="H410" s="7" t="str"/>
      <x:c r="I410" s="7" t="str"/>
      <x:c r="J410" s="7" t="str">
        <x:f>IF(OR(H410="",I410=""),"",I410-H410)</x:f>
      </x:c>
      <x:c r="K410" s="7" t="str"/>
      <x:c r="L410" s="7" t="str"/>
      <x:c r="M410" s="7" t="str">
        <x:f>IF(L410="","OPEN",IF(OR(NOT(ISNUMBER(H410)),NOT(ISNUMBER(I410)),NOT(ISNUMBER(K410)),ABS(J410)&gt;K410),"FAIL","PASS"))</x:f>
        <x:v>OPEN</x:v>
      </x:c>
    </x:row>
    <x:row r="411">
      <x:c r="B411" s="7" t="str">
        <x:v>CAL-CH-PEA-A-X3-20-3</x:v>
      </x:c>
      <x:c r="C411" s="7" t="str">
        <x:v>CH-PEA-A-X3-20-3</x:v>
      </x:c>
      <x:c r="D411" s="7" t="str">
        <x:v>PEA-A-X3</x:v>
      </x:c>
      <x:c r="E411" s="7" t="str">
        <x:v>BLD-A</x:v>
      </x:c>
      <x:c r="F411" s="7" t="str">
        <x:v>BL-X</x:v>
      </x:c>
      <x:c r="G411" s="7" t="str">
        <x:v>MF-20</x:v>
      </x:c>
      <x:c r="H411" s="7" t="str"/>
      <x:c r="I411" s="7" t="str"/>
      <x:c r="J411" s="7" t="str">
        <x:f>IF(OR(H411="",I411=""),"",I411-H411)</x:f>
      </x:c>
      <x:c r="K411" s="7" t="str"/>
      <x:c r="L411" s="7" t="str"/>
      <x:c r="M411" s="7" t="str">
        <x:f>IF(L411="","OPEN",IF(OR(NOT(ISNUMBER(H411)),NOT(ISNUMBER(I411)),NOT(ISNUMBER(K411)),ABS(J411)&gt;K411),"FAIL","PASS"))</x:f>
        <x:v>OPEN</x:v>
      </x:c>
    </x:row>
    <x:row r="412">
      <x:c r="B412" s="7" t="str">
        <x:v>CAL-CH-PEA-A-X3-20-4</x:v>
      </x:c>
      <x:c r="C412" s="7" t="str">
        <x:v>CH-PEA-A-X3-20-4</x:v>
      </x:c>
      <x:c r="D412" s="7" t="str">
        <x:v>PEA-A-X3</x:v>
      </x:c>
      <x:c r="E412" s="7" t="str">
        <x:v>BLD-A</x:v>
      </x:c>
      <x:c r="F412" s="7" t="str">
        <x:v>BL-X</x:v>
      </x:c>
      <x:c r="G412" s="7" t="str">
        <x:v>MF-20</x:v>
      </x:c>
      <x:c r="H412" s="7" t="str"/>
      <x:c r="I412" s="7" t="str"/>
      <x:c r="J412" s="7" t="str">
        <x:f>IF(OR(H412="",I412=""),"",I412-H412)</x:f>
      </x:c>
      <x:c r="K412" s="7" t="str"/>
      <x:c r="L412" s="7" t="str"/>
      <x:c r="M412" s="7" t="str">
        <x:f>IF(L412="","OPEN",IF(OR(NOT(ISNUMBER(H412)),NOT(ISNUMBER(I412)),NOT(ISNUMBER(K412)),ABS(J412)&gt;K412),"FAIL","PASS"))</x:f>
        <x:v>OPEN</x:v>
      </x:c>
    </x:row>
    <x:row r="413">
      <x:c r="B413" s="7" t="str">
        <x:v>CAL-CH-PEA-A-X3-20-5</x:v>
      </x:c>
      <x:c r="C413" s="7" t="str">
        <x:v>CH-PEA-A-X3-20-5</x:v>
      </x:c>
      <x:c r="D413" s="7" t="str">
        <x:v>PEA-A-X3</x:v>
      </x:c>
      <x:c r="E413" s="7" t="str">
        <x:v>BLD-A</x:v>
      </x:c>
      <x:c r="F413" s="7" t="str">
        <x:v>BL-X</x:v>
      </x:c>
      <x:c r="G413" s="7" t="str">
        <x:v>MF-20</x:v>
      </x:c>
      <x:c r="H413" s="7" t="str"/>
      <x:c r="I413" s="7" t="str"/>
      <x:c r="J413" s="7" t="str">
        <x:f>IF(OR(H413="",I413=""),"",I413-H413)</x:f>
      </x:c>
      <x:c r="K413" s="7" t="str"/>
      <x:c r="L413" s="7" t="str"/>
      <x:c r="M413" s="7" t="str">
        <x:f>IF(L413="","OPEN",IF(OR(NOT(ISNUMBER(H413)),NOT(ISNUMBER(I413)),NOT(ISNUMBER(K413)),ABS(J413)&gt;K413),"FAIL","PASS"))</x:f>
        <x:v>OPEN</x:v>
      </x:c>
    </x:row>
    <x:row r="414">
      <x:c r="B414" s="7" t="str">
        <x:v>CAL-CH-PEA-A-X3-20-6</x:v>
      </x:c>
      <x:c r="C414" s="7" t="str">
        <x:v>CH-PEA-A-X3-20-6</x:v>
      </x:c>
      <x:c r="D414" s="7" t="str">
        <x:v>PEA-A-X3</x:v>
      </x:c>
      <x:c r="E414" s="7" t="str">
        <x:v>BLD-A</x:v>
      </x:c>
      <x:c r="F414" s="7" t="str">
        <x:v>BL-X</x:v>
      </x:c>
      <x:c r="G414" s="7" t="str">
        <x:v>MF-20</x:v>
      </x:c>
      <x:c r="H414" s="7" t="str"/>
      <x:c r="I414" s="7" t="str"/>
      <x:c r="J414" s="7" t="str">
        <x:f>IF(OR(H414="",I414=""),"",I414-H414)</x:f>
      </x:c>
      <x:c r="K414" s="7" t="str"/>
      <x:c r="L414" s="7" t="str"/>
      <x:c r="M414" s="7" t="str">
        <x:f>IF(L414="","OPEN",IF(OR(NOT(ISNUMBER(H414)),NOT(ISNUMBER(I414)),NOT(ISNUMBER(K414)),ABS(J414)&gt;K414),"FAIL","PASS"))</x:f>
        <x:v>OPEN</x:v>
      </x:c>
    </x:row>
    <x:row r="415">
      <x:c r="B415" s="7" t="str">
        <x:v>CAL-CH-PEA-A-X3-21-1</x:v>
      </x:c>
      <x:c r="C415" s="7" t="str">
        <x:v>CH-PEA-A-X3-21-1</x:v>
      </x:c>
      <x:c r="D415" s="7" t="str">
        <x:v>PEA-A-X3</x:v>
      </x:c>
      <x:c r="E415" s="7" t="str">
        <x:v>BLD-A</x:v>
      </x:c>
      <x:c r="F415" s="7" t="str">
        <x:v>BL-X</x:v>
      </x:c>
      <x:c r="G415" s="7" t="str">
        <x:v>MF-21</x:v>
      </x:c>
      <x:c r="H415" s="7" t="str"/>
      <x:c r="I415" s="7" t="str"/>
      <x:c r="J415" s="7" t="str">
        <x:f>IF(OR(H415="",I415=""),"",I415-H415)</x:f>
      </x:c>
      <x:c r="K415" s="7" t="str"/>
      <x:c r="L415" s="7" t="str"/>
      <x:c r="M415" s="7" t="str">
        <x:f>IF(L415="","OPEN",IF(OR(NOT(ISNUMBER(H415)),NOT(ISNUMBER(I415)),NOT(ISNUMBER(K415)),ABS(J415)&gt;K415),"FAIL","PASS"))</x:f>
        <x:v>OPEN</x:v>
      </x:c>
    </x:row>
    <x:row r="416">
      <x:c r="B416" s="7" t="str">
        <x:v>CAL-CH-PEA-A-X3-21-2</x:v>
      </x:c>
      <x:c r="C416" s="7" t="str">
        <x:v>CH-PEA-A-X3-21-2</x:v>
      </x:c>
      <x:c r="D416" s="7" t="str">
        <x:v>PEA-A-X3</x:v>
      </x:c>
      <x:c r="E416" s="7" t="str">
        <x:v>BLD-A</x:v>
      </x:c>
      <x:c r="F416" s="7" t="str">
        <x:v>BL-X</x:v>
      </x:c>
      <x:c r="G416" s="7" t="str">
        <x:v>MF-21</x:v>
      </x:c>
      <x:c r="H416" s="7" t="str"/>
      <x:c r="I416" s="7" t="str"/>
      <x:c r="J416" s="7" t="str">
        <x:f>IF(OR(H416="",I416=""),"",I416-H416)</x:f>
      </x:c>
      <x:c r="K416" s="7" t="str"/>
      <x:c r="L416" s="7" t="str"/>
      <x:c r="M416" s="7" t="str">
        <x:f>IF(L416="","OPEN",IF(OR(NOT(ISNUMBER(H416)),NOT(ISNUMBER(I416)),NOT(ISNUMBER(K416)),ABS(J416)&gt;K416),"FAIL","PASS"))</x:f>
        <x:v>OPEN</x:v>
      </x:c>
    </x:row>
    <x:row r="417">
      <x:c r="B417" s="7" t="str">
        <x:v>CAL-CH-PEA-A-X3-21-3</x:v>
      </x:c>
      <x:c r="C417" s="7" t="str">
        <x:v>CH-PEA-A-X3-21-3</x:v>
      </x:c>
      <x:c r="D417" s="7" t="str">
        <x:v>PEA-A-X3</x:v>
      </x:c>
      <x:c r="E417" s="7" t="str">
        <x:v>BLD-A</x:v>
      </x:c>
      <x:c r="F417" s="7" t="str">
        <x:v>BL-X</x:v>
      </x:c>
      <x:c r="G417" s="7" t="str">
        <x:v>MF-21</x:v>
      </x:c>
      <x:c r="H417" s="7" t="str"/>
      <x:c r="I417" s="7" t="str"/>
      <x:c r="J417" s="7" t="str">
        <x:f>IF(OR(H417="",I417=""),"",I417-H417)</x:f>
      </x:c>
      <x:c r="K417" s="7" t="str"/>
      <x:c r="L417" s="7" t="str"/>
      <x:c r="M417" s="7" t="str">
        <x:f>IF(L417="","OPEN",IF(OR(NOT(ISNUMBER(H417)),NOT(ISNUMBER(I417)),NOT(ISNUMBER(K417)),ABS(J417)&gt;K417),"FAIL","PASS"))</x:f>
        <x:v>OPEN</x:v>
      </x:c>
    </x:row>
    <x:row r="418">
      <x:c r="B418" s="7" t="str">
        <x:v>CAL-CH-PEA-A-X3-21-4</x:v>
      </x:c>
      <x:c r="C418" s="7" t="str">
        <x:v>CH-PEA-A-X3-21-4</x:v>
      </x:c>
      <x:c r="D418" s="7" t="str">
        <x:v>PEA-A-X3</x:v>
      </x:c>
      <x:c r="E418" s="7" t="str">
        <x:v>BLD-A</x:v>
      </x:c>
      <x:c r="F418" s="7" t="str">
        <x:v>BL-X</x:v>
      </x:c>
      <x:c r="G418" s="7" t="str">
        <x:v>MF-21</x:v>
      </x:c>
      <x:c r="H418" s="7" t="str"/>
      <x:c r="I418" s="7" t="str"/>
      <x:c r="J418" s="7" t="str">
        <x:f>IF(OR(H418="",I418=""),"",I418-H418)</x:f>
      </x:c>
      <x:c r="K418" s="7" t="str"/>
      <x:c r="L418" s="7" t="str"/>
      <x:c r="M418" s="7" t="str">
        <x:f>IF(L418="","OPEN",IF(OR(NOT(ISNUMBER(H418)),NOT(ISNUMBER(I418)),NOT(ISNUMBER(K418)),ABS(J418)&gt;K418),"FAIL","PASS"))</x:f>
        <x:v>OPEN</x:v>
      </x:c>
    </x:row>
    <x:row r="419">
      <x:c r="B419" s="7" t="str">
        <x:v>CAL-CH-PEA-A-X3-21-5</x:v>
      </x:c>
      <x:c r="C419" s="7" t="str">
        <x:v>CH-PEA-A-X3-21-5</x:v>
      </x:c>
      <x:c r="D419" s="7" t="str">
        <x:v>PEA-A-X3</x:v>
      </x:c>
      <x:c r="E419" s="7" t="str">
        <x:v>BLD-A</x:v>
      </x:c>
      <x:c r="F419" s="7" t="str">
        <x:v>BL-X</x:v>
      </x:c>
      <x:c r="G419" s="7" t="str">
        <x:v>MF-21</x:v>
      </x:c>
      <x:c r="H419" s="7" t="str"/>
      <x:c r="I419" s="7" t="str"/>
      <x:c r="J419" s="7" t="str">
        <x:f>IF(OR(H419="",I419=""),"",I419-H419)</x:f>
      </x:c>
      <x:c r="K419" s="7" t="str"/>
      <x:c r="L419" s="7" t="str"/>
      <x:c r="M419" s="7" t="str">
        <x:f>IF(L419="","OPEN",IF(OR(NOT(ISNUMBER(H419)),NOT(ISNUMBER(I419)),NOT(ISNUMBER(K419)),ABS(J419)&gt;K419),"FAIL","PASS"))</x:f>
        <x:v>OPEN</x:v>
      </x:c>
    </x:row>
    <x:row r="420">
      <x:c r="B420" s="7" t="str">
        <x:v>CAL-CH-PEA-A-X3-21-6</x:v>
      </x:c>
      <x:c r="C420" s="7" t="str">
        <x:v>CH-PEA-A-X3-21-6</x:v>
      </x:c>
      <x:c r="D420" s="7" t="str">
        <x:v>PEA-A-X3</x:v>
      </x:c>
      <x:c r="E420" s="7" t="str">
        <x:v>BLD-A</x:v>
      </x:c>
      <x:c r="F420" s="7" t="str">
        <x:v>BL-X</x:v>
      </x:c>
      <x:c r="G420" s="7" t="str">
        <x:v>MF-21</x:v>
      </x:c>
      <x:c r="H420" s="7" t="str"/>
      <x:c r="I420" s="7" t="str"/>
      <x:c r="J420" s="7" t="str">
        <x:f>IF(OR(H420="",I420=""),"",I420-H420)</x:f>
      </x:c>
      <x:c r="K420" s="7" t="str"/>
      <x:c r="L420" s="7" t="str"/>
      <x:c r="M420" s="7" t="str">
        <x:f>IF(L420="","OPEN",IF(OR(NOT(ISNUMBER(H420)),NOT(ISNUMBER(I420)),NOT(ISNUMBER(K420)),ABS(J420)&gt;K420),"FAIL","PASS"))</x:f>
        <x:v>OPEN</x:v>
      </x:c>
    </x:row>
    <x:row r="421">
      <x:c r="B421" s="7" t="str">
        <x:v>CAL-CH-PEA-A-X3-22-1</x:v>
      </x:c>
      <x:c r="C421" s="7" t="str">
        <x:v>CH-PEA-A-X3-22-1</x:v>
      </x:c>
      <x:c r="D421" s="7" t="str">
        <x:v>PEA-A-X3</x:v>
      </x:c>
      <x:c r="E421" s="7" t="str">
        <x:v>BLD-A</x:v>
      </x:c>
      <x:c r="F421" s="7" t="str">
        <x:v>BL-X</x:v>
      </x:c>
      <x:c r="G421" s="7" t="str">
        <x:v>MF-22</x:v>
      </x:c>
      <x:c r="H421" s="7" t="str"/>
      <x:c r="I421" s="7" t="str"/>
      <x:c r="J421" s="7" t="str">
        <x:f>IF(OR(H421="",I421=""),"",I421-H421)</x:f>
      </x:c>
      <x:c r="K421" s="7" t="str"/>
      <x:c r="L421" s="7" t="str"/>
      <x:c r="M421" s="7" t="str">
        <x:f>IF(L421="","OPEN",IF(OR(NOT(ISNUMBER(H421)),NOT(ISNUMBER(I421)),NOT(ISNUMBER(K421)),ABS(J421)&gt;K421),"FAIL","PASS"))</x:f>
        <x:v>OPEN</x:v>
      </x:c>
    </x:row>
    <x:row r="422">
      <x:c r="B422" s="7" t="str">
        <x:v>CAL-CH-PEA-A-X3-22-2</x:v>
      </x:c>
      <x:c r="C422" s="7" t="str">
        <x:v>CH-PEA-A-X3-22-2</x:v>
      </x:c>
      <x:c r="D422" s="7" t="str">
        <x:v>PEA-A-X3</x:v>
      </x:c>
      <x:c r="E422" s="7" t="str">
        <x:v>BLD-A</x:v>
      </x:c>
      <x:c r="F422" s="7" t="str">
        <x:v>BL-X</x:v>
      </x:c>
      <x:c r="G422" s="7" t="str">
        <x:v>MF-22</x:v>
      </x:c>
      <x:c r="H422" s="7" t="str"/>
      <x:c r="I422" s="7" t="str"/>
      <x:c r="J422" s="7" t="str">
        <x:f>IF(OR(H422="",I422=""),"",I422-H422)</x:f>
      </x:c>
      <x:c r="K422" s="7" t="str"/>
      <x:c r="L422" s="7" t="str"/>
      <x:c r="M422" s="7" t="str">
        <x:f>IF(L422="","OPEN",IF(OR(NOT(ISNUMBER(H422)),NOT(ISNUMBER(I422)),NOT(ISNUMBER(K422)),ABS(J422)&gt;K422),"FAIL","PASS"))</x:f>
        <x:v>OPEN</x:v>
      </x:c>
    </x:row>
    <x:row r="423">
      <x:c r="B423" s="7" t="str">
        <x:v>CAL-CH-PEA-A-X3-22-3</x:v>
      </x:c>
      <x:c r="C423" s="7" t="str">
        <x:v>CH-PEA-A-X3-22-3</x:v>
      </x:c>
      <x:c r="D423" s="7" t="str">
        <x:v>PEA-A-X3</x:v>
      </x:c>
      <x:c r="E423" s="7" t="str">
        <x:v>BLD-A</x:v>
      </x:c>
      <x:c r="F423" s="7" t="str">
        <x:v>BL-X</x:v>
      </x:c>
      <x:c r="G423" s="7" t="str">
        <x:v>MF-22</x:v>
      </x:c>
      <x:c r="H423" s="7" t="str"/>
      <x:c r="I423" s="7" t="str"/>
      <x:c r="J423" s="7" t="str">
        <x:f>IF(OR(H423="",I423=""),"",I423-H423)</x:f>
      </x:c>
      <x:c r="K423" s="7" t="str"/>
      <x:c r="L423" s="7" t="str"/>
      <x:c r="M423" s="7" t="str">
        <x:f>IF(L423="","OPEN",IF(OR(NOT(ISNUMBER(H423)),NOT(ISNUMBER(I423)),NOT(ISNUMBER(K423)),ABS(J423)&gt;K423),"FAIL","PASS"))</x:f>
        <x:v>OPEN</x:v>
      </x:c>
    </x:row>
    <x:row r="424">
      <x:c r="B424" s="7" t="str">
        <x:v>CAL-CH-PEA-A-X3-22-4</x:v>
      </x:c>
      <x:c r="C424" s="7" t="str">
        <x:v>CH-PEA-A-X3-22-4</x:v>
      </x:c>
      <x:c r="D424" s="7" t="str">
        <x:v>PEA-A-X3</x:v>
      </x:c>
      <x:c r="E424" s="7" t="str">
        <x:v>BLD-A</x:v>
      </x:c>
      <x:c r="F424" s="7" t="str">
        <x:v>BL-X</x:v>
      </x:c>
      <x:c r="G424" s="7" t="str">
        <x:v>MF-22</x:v>
      </x:c>
      <x:c r="H424" s="7" t="str"/>
      <x:c r="I424" s="7" t="str"/>
      <x:c r="J424" s="7" t="str">
        <x:f>IF(OR(H424="",I424=""),"",I424-H424)</x:f>
      </x:c>
      <x:c r="K424" s="7" t="str"/>
      <x:c r="L424" s="7" t="str"/>
      <x:c r="M424" s="7" t="str">
        <x:f>IF(L424="","OPEN",IF(OR(NOT(ISNUMBER(H424)),NOT(ISNUMBER(I424)),NOT(ISNUMBER(K424)),ABS(J424)&gt;K424),"FAIL","PASS"))</x:f>
        <x:v>OPEN</x:v>
      </x:c>
    </x:row>
    <x:row r="425">
      <x:c r="B425" s="7" t="str">
        <x:v>CAL-CH-PEA-A-X3-22-5</x:v>
      </x:c>
      <x:c r="C425" s="7" t="str">
        <x:v>CH-PEA-A-X3-22-5</x:v>
      </x:c>
      <x:c r="D425" s="7" t="str">
        <x:v>PEA-A-X3</x:v>
      </x:c>
      <x:c r="E425" s="7" t="str">
        <x:v>BLD-A</x:v>
      </x:c>
      <x:c r="F425" s="7" t="str">
        <x:v>BL-X</x:v>
      </x:c>
      <x:c r="G425" s="7" t="str">
        <x:v>MF-22</x:v>
      </x:c>
      <x:c r="H425" s="7" t="str"/>
      <x:c r="I425" s="7" t="str"/>
      <x:c r="J425" s="7" t="str">
        <x:f>IF(OR(H425="",I425=""),"",I425-H425)</x:f>
      </x:c>
      <x:c r="K425" s="7" t="str"/>
      <x:c r="L425" s="7" t="str"/>
      <x:c r="M425" s="7" t="str">
        <x:f>IF(L425="","OPEN",IF(OR(NOT(ISNUMBER(H425)),NOT(ISNUMBER(I425)),NOT(ISNUMBER(K425)),ABS(J425)&gt;K425),"FAIL","PASS"))</x:f>
        <x:v>OPEN</x:v>
      </x:c>
    </x:row>
    <x:row r="426">
      <x:c r="B426" s="7" t="str">
        <x:v>CAL-CH-PEA-A-X3-22-6</x:v>
      </x:c>
      <x:c r="C426" s="7" t="str">
        <x:v>CH-PEA-A-X3-22-6</x:v>
      </x:c>
      <x:c r="D426" s="7" t="str">
        <x:v>PEA-A-X3</x:v>
      </x:c>
      <x:c r="E426" s="7" t="str">
        <x:v>BLD-A</x:v>
      </x:c>
      <x:c r="F426" s="7" t="str">
        <x:v>BL-X</x:v>
      </x:c>
      <x:c r="G426" s="7" t="str">
        <x:v>MF-22</x:v>
      </x:c>
      <x:c r="H426" s="7" t="str"/>
      <x:c r="I426" s="7" t="str"/>
      <x:c r="J426" s="7" t="str">
        <x:f>IF(OR(H426="",I426=""),"",I426-H426)</x:f>
      </x:c>
      <x:c r="K426" s="7" t="str"/>
      <x:c r="L426" s="7" t="str"/>
      <x:c r="M426" s="7" t="str">
        <x:f>IF(L426="","OPEN",IF(OR(NOT(ISNUMBER(H426)),NOT(ISNUMBER(I426)),NOT(ISNUMBER(K426)),ABS(J426)&gt;K426),"FAIL","PASS"))</x:f>
        <x:v>OPEN</x:v>
      </x:c>
    </x:row>
    <x:row r="427">
      <x:c r="B427" s="7" t="str">
        <x:v>CAL-CH-PEA-A-X3-23-1</x:v>
      </x:c>
      <x:c r="C427" s="7" t="str">
        <x:v>CH-PEA-A-X3-23-1</x:v>
      </x:c>
      <x:c r="D427" s="7" t="str">
        <x:v>PEA-A-X3</x:v>
      </x:c>
      <x:c r="E427" s="7" t="str">
        <x:v>BLD-A</x:v>
      </x:c>
      <x:c r="F427" s="7" t="str">
        <x:v>BL-X</x:v>
      </x:c>
      <x:c r="G427" s="7" t="str">
        <x:v>MF-23</x:v>
      </x:c>
      <x:c r="H427" s="7" t="str"/>
      <x:c r="I427" s="7" t="str"/>
      <x:c r="J427" s="7" t="str">
        <x:f>IF(OR(H427="",I427=""),"",I427-H427)</x:f>
      </x:c>
      <x:c r="K427" s="7" t="str"/>
      <x:c r="L427" s="7" t="str"/>
      <x:c r="M427" s="7" t="str">
        <x:f>IF(L427="","OPEN",IF(OR(NOT(ISNUMBER(H427)),NOT(ISNUMBER(I427)),NOT(ISNUMBER(K427)),ABS(J427)&gt;K427),"FAIL","PASS"))</x:f>
        <x:v>OPEN</x:v>
      </x:c>
    </x:row>
    <x:row r="428">
      <x:c r="B428" s="7" t="str">
        <x:v>CAL-CH-PEA-A-X3-23-2</x:v>
      </x:c>
      <x:c r="C428" s="7" t="str">
        <x:v>CH-PEA-A-X3-23-2</x:v>
      </x:c>
      <x:c r="D428" s="7" t="str">
        <x:v>PEA-A-X3</x:v>
      </x:c>
      <x:c r="E428" s="7" t="str">
        <x:v>BLD-A</x:v>
      </x:c>
      <x:c r="F428" s="7" t="str">
        <x:v>BL-X</x:v>
      </x:c>
      <x:c r="G428" s="7" t="str">
        <x:v>MF-23</x:v>
      </x:c>
      <x:c r="H428" s="7" t="str"/>
      <x:c r="I428" s="7" t="str"/>
      <x:c r="J428" s="7" t="str">
        <x:f>IF(OR(H428="",I428=""),"",I428-H428)</x:f>
      </x:c>
      <x:c r="K428" s="7" t="str"/>
      <x:c r="L428" s="7" t="str"/>
      <x:c r="M428" s="7" t="str">
        <x:f>IF(L428="","OPEN",IF(OR(NOT(ISNUMBER(H428)),NOT(ISNUMBER(I428)),NOT(ISNUMBER(K428)),ABS(J428)&gt;K428),"FAIL","PASS"))</x:f>
        <x:v>OPEN</x:v>
      </x:c>
    </x:row>
    <x:row r="429">
      <x:c r="B429" s="7" t="str">
        <x:v>CAL-CH-PEA-A-X3-23-3</x:v>
      </x:c>
      <x:c r="C429" s="7" t="str">
        <x:v>CH-PEA-A-X3-23-3</x:v>
      </x:c>
      <x:c r="D429" s="7" t="str">
        <x:v>PEA-A-X3</x:v>
      </x:c>
      <x:c r="E429" s="7" t="str">
        <x:v>BLD-A</x:v>
      </x:c>
      <x:c r="F429" s="7" t="str">
        <x:v>BL-X</x:v>
      </x:c>
      <x:c r="G429" s="7" t="str">
        <x:v>MF-23</x:v>
      </x:c>
      <x:c r="H429" s="7" t="str"/>
      <x:c r="I429" s="7" t="str"/>
      <x:c r="J429" s="7" t="str">
        <x:f>IF(OR(H429="",I429=""),"",I429-H429)</x:f>
      </x:c>
      <x:c r="K429" s="7" t="str"/>
      <x:c r="L429" s="7" t="str"/>
      <x:c r="M429" s="7" t="str">
        <x:f>IF(L429="","OPEN",IF(OR(NOT(ISNUMBER(H429)),NOT(ISNUMBER(I429)),NOT(ISNUMBER(K429)),ABS(J429)&gt;K429),"FAIL","PASS"))</x:f>
        <x:v>OPEN</x:v>
      </x:c>
    </x:row>
    <x:row r="430">
      <x:c r="B430" s="7" t="str">
        <x:v>CAL-CH-PEA-A-X3-23-4</x:v>
      </x:c>
      <x:c r="C430" s="7" t="str">
        <x:v>CH-PEA-A-X3-23-4</x:v>
      </x:c>
      <x:c r="D430" s="7" t="str">
        <x:v>PEA-A-X3</x:v>
      </x:c>
      <x:c r="E430" s="7" t="str">
        <x:v>BLD-A</x:v>
      </x:c>
      <x:c r="F430" s="7" t="str">
        <x:v>BL-X</x:v>
      </x:c>
      <x:c r="G430" s="7" t="str">
        <x:v>MF-23</x:v>
      </x:c>
      <x:c r="H430" s="7" t="str"/>
      <x:c r="I430" s="7" t="str"/>
      <x:c r="J430" s="7" t="str">
        <x:f>IF(OR(H430="",I430=""),"",I430-H430)</x:f>
      </x:c>
      <x:c r="K430" s="7" t="str"/>
      <x:c r="L430" s="7" t="str"/>
      <x:c r="M430" s="7" t="str">
        <x:f>IF(L430="","OPEN",IF(OR(NOT(ISNUMBER(H430)),NOT(ISNUMBER(I430)),NOT(ISNUMBER(K430)),ABS(J430)&gt;K430),"FAIL","PASS"))</x:f>
        <x:v>OPEN</x:v>
      </x:c>
    </x:row>
    <x:row r="431">
      <x:c r="B431" s="7" t="str">
        <x:v>CAL-CH-PEA-A-X3-23-5</x:v>
      </x:c>
      <x:c r="C431" s="7" t="str">
        <x:v>CH-PEA-A-X3-23-5</x:v>
      </x:c>
      <x:c r="D431" s="7" t="str">
        <x:v>PEA-A-X3</x:v>
      </x:c>
      <x:c r="E431" s="7" t="str">
        <x:v>BLD-A</x:v>
      </x:c>
      <x:c r="F431" s="7" t="str">
        <x:v>BL-X</x:v>
      </x:c>
      <x:c r="G431" s="7" t="str">
        <x:v>MF-23</x:v>
      </x:c>
      <x:c r="H431" s="7" t="str"/>
      <x:c r="I431" s="7" t="str"/>
      <x:c r="J431" s="7" t="str">
        <x:f>IF(OR(H431="",I431=""),"",I431-H431)</x:f>
      </x:c>
      <x:c r="K431" s="7" t="str"/>
      <x:c r="L431" s="7" t="str"/>
      <x:c r="M431" s="7" t="str">
        <x:f>IF(L431="","OPEN",IF(OR(NOT(ISNUMBER(H431)),NOT(ISNUMBER(I431)),NOT(ISNUMBER(K431)),ABS(J431)&gt;K431),"FAIL","PASS"))</x:f>
        <x:v>OPEN</x:v>
      </x:c>
    </x:row>
    <x:row r="432">
      <x:c r="B432" s="7" t="str">
        <x:v>CAL-CH-PEA-A-X3-23-6</x:v>
      </x:c>
      <x:c r="C432" s="7" t="str">
        <x:v>CH-PEA-A-X3-23-6</x:v>
      </x:c>
      <x:c r="D432" s="7" t="str">
        <x:v>PEA-A-X3</x:v>
      </x:c>
      <x:c r="E432" s="7" t="str">
        <x:v>BLD-A</x:v>
      </x:c>
      <x:c r="F432" s="7" t="str">
        <x:v>BL-X</x:v>
      </x:c>
      <x:c r="G432" s="7" t="str">
        <x:v>MF-23</x:v>
      </x:c>
      <x:c r="H432" s="7" t="str"/>
      <x:c r="I432" s="7" t="str"/>
      <x:c r="J432" s="7" t="str">
        <x:f>IF(OR(H432="",I432=""),"",I432-H432)</x:f>
      </x:c>
      <x:c r="K432" s="7" t="str"/>
      <x:c r="L432" s="7" t="str"/>
      <x:c r="M432" s="7" t="str">
        <x:f>IF(L432="","OPEN",IF(OR(NOT(ISNUMBER(H432)),NOT(ISNUMBER(I432)),NOT(ISNUMBER(K432)),ABS(J432)&gt;K432),"FAIL","PASS"))</x:f>
        <x:v>OPEN</x:v>
      </x:c>
    </x:row>
    <x:row r="433">
      <x:c r="B433" s="7" t="str">
        <x:v>CAL-CH-PEA-A-X3-24-1</x:v>
      </x:c>
      <x:c r="C433" s="7" t="str">
        <x:v>CH-PEA-A-X3-24-1</x:v>
      </x:c>
      <x:c r="D433" s="7" t="str">
        <x:v>PEA-A-X3</x:v>
      </x:c>
      <x:c r="E433" s="7" t="str">
        <x:v>BLD-A</x:v>
      </x:c>
      <x:c r="F433" s="7" t="str">
        <x:v>BL-X</x:v>
      </x:c>
      <x:c r="G433" s="7" t="str">
        <x:v>MF-24</x:v>
      </x:c>
      <x:c r="H433" s="7" t="str"/>
      <x:c r="I433" s="7" t="str"/>
      <x:c r="J433" s="7" t="str">
        <x:f>IF(OR(H433="",I433=""),"",I433-H433)</x:f>
      </x:c>
      <x:c r="K433" s="7" t="str"/>
      <x:c r="L433" s="7" t="str"/>
      <x:c r="M433" s="7" t="str">
        <x:f>IF(L433="","OPEN",IF(OR(NOT(ISNUMBER(H433)),NOT(ISNUMBER(I433)),NOT(ISNUMBER(K433)),ABS(J433)&gt;K433),"FAIL","PASS"))</x:f>
        <x:v>OPEN</x:v>
      </x:c>
    </x:row>
    <x:row r="434">
      <x:c r="B434" s="7" t="str">
        <x:v>CAL-CH-PEA-A-X3-24-2</x:v>
      </x:c>
      <x:c r="C434" s="7" t="str">
        <x:v>CH-PEA-A-X3-24-2</x:v>
      </x:c>
      <x:c r="D434" s="7" t="str">
        <x:v>PEA-A-X3</x:v>
      </x:c>
      <x:c r="E434" s="7" t="str">
        <x:v>BLD-A</x:v>
      </x:c>
      <x:c r="F434" s="7" t="str">
        <x:v>BL-X</x:v>
      </x:c>
      <x:c r="G434" s="7" t="str">
        <x:v>MF-24</x:v>
      </x:c>
      <x:c r="H434" s="7" t="str"/>
      <x:c r="I434" s="7" t="str"/>
      <x:c r="J434" s="7" t="str">
        <x:f>IF(OR(H434="",I434=""),"",I434-H434)</x:f>
      </x:c>
      <x:c r="K434" s="7" t="str"/>
      <x:c r="L434" s="7" t="str"/>
      <x:c r="M434" s="7" t="str">
        <x:f>IF(L434="","OPEN",IF(OR(NOT(ISNUMBER(H434)),NOT(ISNUMBER(I434)),NOT(ISNUMBER(K434)),ABS(J434)&gt;K434),"FAIL","PASS"))</x:f>
        <x:v>OPEN</x:v>
      </x:c>
    </x:row>
    <x:row r="435">
      <x:c r="B435" s="7" t="str">
        <x:v>CAL-CH-PEA-A-X3-24-3</x:v>
      </x:c>
      <x:c r="C435" s="7" t="str">
        <x:v>CH-PEA-A-X3-24-3</x:v>
      </x:c>
      <x:c r="D435" s="7" t="str">
        <x:v>PEA-A-X3</x:v>
      </x:c>
      <x:c r="E435" s="7" t="str">
        <x:v>BLD-A</x:v>
      </x:c>
      <x:c r="F435" s="7" t="str">
        <x:v>BL-X</x:v>
      </x:c>
      <x:c r="G435" s="7" t="str">
        <x:v>MF-24</x:v>
      </x:c>
      <x:c r="H435" s="7" t="str"/>
      <x:c r="I435" s="7" t="str"/>
      <x:c r="J435" s="7" t="str">
        <x:f>IF(OR(H435="",I435=""),"",I435-H435)</x:f>
      </x:c>
      <x:c r="K435" s="7" t="str"/>
      <x:c r="L435" s="7" t="str"/>
      <x:c r="M435" s="7" t="str">
        <x:f>IF(L435="","OPEN",IF(OR(NOT(ISNUMBER(H435)),NOT(ISNUMBER(I435)),NOT(ISNUMBER(K435)),ABS(J435)&gt;K435),"FAIL","PASS"))</x:f>
        <x:v>OPEN</x:v>
      </x:c>
    </x:row>
    <x:row r="436">
      <x:c r="B436" s="7" t="str">
        <x:v>CAL-CH-PEA-A-X3-24-4</x:v>
      </x:c>
      <x:c r="C436" s="7" t="str">
        <x:v>CH-PEA-A-X3-24-4</x:v>
      </x:c>
      <x:c r="D436" s="7" t="str">
        <x:v>PEA-A-X3</x:v>
      </x:c>
      <x:c r="E436" s="7" t="str">
        <x:v>BLD-A</x:v>
      </x:c>
      <x:c r="F436" s="7" t="str">
        <x:v>BL-X</x:v>
      </x:c>
      <x:c r="G436" s="7" t="str">
        <x:v>MF-24</x:v>
      </x:c>
      <x:c r="H436" s="7" t="str"/>
      <x:c r="I436" s="7" t="str"/>
      <x:c r="J436" s="7" t="str">
        <x:f>IF(OR(H436="",I436=""),"",I436-H436)</x:f>
      </x:c>
      <x:c r="K436" s="7" t="str"/>
      <x:c r="L436" s="7" t="str"/>
      <x:c r="M436" s="7" t="str">
        <x:f>IF(L436="","OPEN",IF(OR(NOT(ISNUMBER(H436)),NOT(ISNUMBER(I436)),NOT(ISNUMBER(K436)),ABS(J436)&gt;K436),"FAIL","PASS"))</x:f>
        <x:v>OPEN</x:v>
      </x:c>
    </x:row>
    <x:row r="437">
      <x:c r="B437" s="7" t="str">
        <x:v>CAL-CH-PEA-A-X3-24-5</x:v>
      </x:c>
      <x:c r="C437" s="7" t="str">
        <x:v>CH-PEA-A-X3-24-5</x:v>
      </x:c>
      <x:c r="D437" s="7" t="str">
        <x:v>PEA-A-X3</x:v>
      </x:c>
      <x:c r="E437" s="7" t="str">
        <x:v>BLD-A</x:v>
      </x:c>
      <x:c r="F437" s="7" t="str">
        <x:v>BL-X</x:v>
      </x:c>
      <x:c r="G437" s="7" t="str">
        <x:v>MF-24</x:v>
      </x:c>
      <x:c r="H437" s="7" t="str"/>
      <x:c r="I437" s="7" t="str"/>
      <x:c r="J437" s="7" t="str">
        <x:f>IF(OR(H437="",I437=""),"",I437-H437)</x:f>
      </x:c>
      <x:c r="K437" s="7" t="str"/>
      <x:c r="L437" s="7" t="str"/>
      <x:c r="M437" s="7" t="str">
        <x:f>IF(L437="","OPEN",IF(OR(NOT(ISNUMBER(H437)),NOT(ISNUMBER(I437)),NOT(ISNUMBER(K437)),ABS(J437)&gt;K437),"FAIL","PASS"))</x:f>
        <x:v>OPEN</x:v>
      </x:c>
    </x:row>
    <x:row r="438">
      <x:c r="B438" s="7" t="str">
        <x:v>CAL-CH-PEA-A-X3-24-6</x:v>
      </x:c>
      <x:c r="C438" s="7" t="str">
        <x:v>CH-PEA-A-X3-24-6</x:v>
      </x:c>
      <x:c r="D438" s="7" t="str">
        <x:v>PEA-A-X3</x:v>
      </x:c>
      <x:c r="E438" s="7" t="str">
        <x:v>BLD-A</x:v>
      </x:c>
      <x:c r="F438" s="7" t="str">
        <x:v>BL-X</x:v>
      </x:c>
      <x:c r="G438" s="7" t="str">
        <x:v>MF-24</x:v>
      </x:c>
      <x:c r="H438" s="7" t="str"/>
      <x:c r="I438" s="7" t="str"/>
      <x:c r="J438" s="7" t="str">
        <x:f>IF(OR(H438="",I438=""),"",I438-H438)</x:f>
      </x:c>
      <x:c r="K438" s="7" t="str"/>
      <x:c r="L438" s="7" t="str"/>
      <x:c r="M438" s="7" t="str">
        <x:f>IF(L438="","OPEN",IF(OR(NOT(ISNUMBER(H438)),NOT(ISNUMBER(I438)),NOT(ISNUMBER(K438)),ABS(J438)&gt;K438),"FAIL","PASS"))</x:f>
        <x:v>OPEN</x:v>
      </x:c>
    </x:row>
    <x:row r="439">
      <x:c r="B439" s="7" t="str">
        <x:v>CAL-CH-PEA-A-Y1-01-1</x:v>
      </x:c>
      <x:c r="C439" s="7" t="str">
        <x:v>CH-PEA-A-Y1-01-1</x:v>
      </x:c>
      <x:c r="D439" s="7" t="str">
        <x:v>PEA-A-Y1</x:v>
      </x:c>
      <x:c r="E439" s="7" t="str">
        <x:v>BLD-A</x:v>
      </x:c>
      <x:c r="F439" s="7" t="str">
        <x:v>BL-Y</x:v>
      </x:c>
      <x:c r="G439" s="7" t="str">
        <x:v>MF-01</x:v>
      </x:c>
      <x:c r="H439" s="7" t="str"/>
      <x:c r="I439" s="7" t="str"/>
      <x:c r="J439" s="7" t="str">
        <x:f>IF(OR(H439="",I439=""),"",I439-H439)</x:f>
      </x:c>
      <x:c r="K439" s="7" t="str"/>
      <x:c r="L439" s="7" t="str"/>
      <x:c r="M439" s="7" t="str">
        <x:f>IF(L439="","OPEN",IF(OR(NOT(ISNUMBER(H439)),NOT(ISNUMBER(I439)),NOT(ISNUMBER(K439)),ABS(J439)&gt;K439),"FAIL","PASS"))</x:f>
        <x:v>OPEN</x:v>
      </x:c>
    </x:row>
    <x:row r="440">
      <x:c r="B440" s="7" t="str">
        <x:v>CAL-CH-PEA-A-Y1-01-2</x:v>
      </x:c>
      <x:c r="C440" s="7" t="str">
        <x:v>CH-PEA-A-Y1-01-2</x:v>
      </x:c>
      <x:c r="D440" s="7" t="str">
        <x:v>PEA-A-Y1</x:v>
      </x:c>
      <x:c r="E440" s="7" t="str">
        <x:v>BLD-A</x:v>
      </x:c>
      <x:c r="F440" s="7" t="str">
        <x:v>BL-Y</x:v>
      </x:c>
      <x:c r="G440" s="7" t="str">
        <x:v>MF-01</x:v>
      </x:c>
      <x:c r="H440" s="7" t="str"/>
      <x:c r="I440" s="7" t="str"/>
      <x:c r="J440" s="7" t="str">
        <x:f>IF(OR(H440="",I440=""),"",I440-H440)</x:f>
      </x:c>
      <x:c r="K440" s="7" t="str"/>
      <x:c r="L440" s="7" t="str"/>
      <x:c r="M440" s="7" t="str">
        <x:f>IF(L440="","OPEN",IF(OR(NOT(ISNUMBER(H440)),NOT(ISNUMBER(I440)),NOT(ISNUMBER(K440)),ABS(J440)&gt;K440),"FAIL","PASS"))</x:f>
        <x:v>OPEN</x:v>
      </x:c>
    </x:row>
    <x:row r="441">
      <x:c r="B441" s="7" t="str">
        <x:v>CAL-CH-PEA-A-Y1-01-3</x:v>
      </x:c>
      <x:c r="C441" s="7" t="str">
        <x:v>CH-PEA-A-Y1-01-3</x:v>
      </x:c>
      <x:c r="D441" s="7" t="str">
        <x:v>PEA-A-Y1</x:v>
      </x:c>
      <x:c r="E441" s="7" t="str">
        <x:v>BLD-A</x:v>
      </x:c>
      <x:c r="F441" s="7" t="str">
        <x:v>BL-Y</x:v>
      </x:c>
      <x:c r="G441" s="7" t="str">
        <x:v>MF-01</x:v>
      </x:c>
      <x:c r="H441" s="7" t="str"/>
      <x:c r="I441" s="7" t="str"/>
      <x:c r="J441" s="7" t="str">
        <x:f>IF(OR(H441="",I441=""),"",I441-H441)</x:f>
      </x:c>
      <x:c r="K441" s="7" t="str"/>
      <x:c r="L441" s="7" t="str"/>
      <x:c r="M441" s="7" t="str">
        <x:f>IF(L441="","OPEN",IF(OR(NOT(ISNUMBER(H441)),NOT(ISNUMBER(I441)),NOT(ISNUMBER(K441)),ABS(J441)&gt;K441),"FAIL","PASS"))</x:f>
        <x:v>OPEN</x:v>
      </x:c>
    </x:row>
    <x:row r="442">
      <x:c r="B442" s="7" t="str">
        <x:v>CAL-CH-PEA-A-Y1-01-4</x:v>
      </x:c>
      <x:c r="C442" s="7" t="str">
        <x:v>CH-PEA-A-Y1-01-4</x:v>
      </x:c>
      <x:c r="D442" s="7" t="str">
        <x:v>PEA-A-Y1</x:v>
      </x:c>
      <x:c r="E442" s="7" t="str">
        <x:v>BLD-A</x:v>
      </x:c>
      <x:c r="F442" s="7" t="str">
        <x:v>BL-Y</x:v>
      </x:c>
      <x:c r="G442" s="7" t="str">
        <x:v>MF-01</x:v>
      </x:c>
      <x:c r="H442" s="7" t="str"/>
      <x:c r="I442" s="7" t="str"/>
      <x:c r="J442" s="7" t="str">
        <x:f>IF(OR(H442="",I442=""),"",I442-H442)</x:f>
      </x:c>
      <x:c r="K442" s="7" t="str"/>
      <x:c r="L442" s="7" t="str"/>
      <x:c r="M442" s="7" t="str">
        <x:f>IF(L442="","OPEN",IF(OR(NOT(ISNUMBER(H442)),NOT(ISNUMBER(I442)),NOT(ISNUMBER(K442)),ABS(J442)&gt;K442),"FAIL","PASS"))</x:f>
        <x:v>OPEN</x:v>
      </x:c>
    </x:row>
    <x:row r="443">
      <x:c r="B443" s="7" t="str">
        <x:v>CAL-CH-PEA-A-Y1-01-5</x:v>
      </x:c>
      <x:c r="C443" s="7" t="str">
        <x:v>CH-PEA-A-Y1-01-5</x:v>
      </x:c>
      <x:c r="D443" s="7" t="str">
        <x:v>PEA-A-Y1</x:v>
      </x:c>
      <x:c r="E443" s="7" t="str">
        <x:v>BLD-A</x:v>
      </x:c>
      <x:c r="F443" s="7" t="str">
        <x:v>BL-Y</x:v>
      </x:c>
      <x:c r="G443" s="7" t="str">
        <x:v>MF-01</x:v>
      </x:c>
      <x:c r="H443" s="7" t="str"/>
      <x:c r="I443" s="7" t="str"/>
      <x:c r="J443" s="7" t="str">
        <x:f>IF(OR(H443="",I443=""),"",I443-H443)</x:f>
      </x:c>
      <x:c r="K443" s="7" t="str"/>
      <x:c r="L443" s="7" t="str"/>
      <x:c r="M443" s="7" t="str">
        <x:f>IF(L443="","OPEN",IF(OR(NOT(ISNUMBER(H443)),NOT(ISNUMBER(I443)),NOT(ISNUMBER(K443)),ABS(J443)&gt;K443),"FAIL","PASS"))</x:f>
        <x:v>OPEN</x:v>
      </x:c>
    </x:row>
    <x:row r="444">
      <x:c r="B444" s="7" t="str">
        <x:v>CAL-CH-PEA-A-Y1-01-6</x:v>
      </x:c>
      <x:c r="C444" s="7" t="str">
        <x:v>CH-PEA-A-Y1-01-6</x:v>
      </x:c>
      <x:c r="D444" s="7" t="str">
        <x:v>PEA-A-Y1</x:v>
      </x:c>
      <x:c r="E444" s="7" t="str">
        <x:v>BLD-A</x:v>
      </x:c>
      <x:c r="F444" s="7" t="str">
        <x:v>BL-Y</x:v>
      </x:c>
      <x:c r="G444" s="7" t="str">
        <x:v>MF-01</x:v>
      </x:c>
      <x:c r="H444" s="7" t="str"/>
      <x:c r="I444" s="7" t="str"/>
      <x:c r="J444" s="7" t="str">
        <x:f>IF(OR(H444="",I444=""),"",I444-H444)</x:f>
      </x:c>
      <x:c r="K444" s="7" t="str"/>
      <x:c r="L444" s="7" t="str"/>
      <x:c r="M444" s="7" t="str">
        <x:f>IF(L444="","OPEN",IF(OR(NOT(ISNUMBER(H444)),NOT(ISNUMBER(I444)),NOT(ISNUMBER(K444)),ABS(J444)&gt;K444),"FAIL","PASS"))</x:f>
        <x:v>OPEN</x:v>
      </x:c>
    </x:row>
    <x:row r="445">
      <x:c r="B445" s="7" t="str">
        <x:v>CAL-CH-PEA-A-Y1-02-1</x:v>
      </x:c>
      <x:c r="C445" s="7" t="str">
        <x:v>CH-PEA-A-Y1-02-1</x:v>
      </x:c>
      <x:c r="D445" s="7" t="str">
        <x:v>PEA-A-Y1</x:v>
      </x:c>
      <x:c r="E445" s="7" t="str">
        <x:v>BLD-A</x:v>
      </x:c>
      <x:c r="F445" s="7" t="str">
        <x:v>BL-Y</x:v>
      </x:c>
      <x:c r="G445" s="7" t="str">
        <x:v>MF-02</x:v>
      </x:c>
      <x:c r="H445" s="7" t="str"/>
      <x:c r="I445" s="7" t="str"/>
      <x:c r="J445" s="7" t="str">
        <x:f>IF(OR(H445="",I445=""),"",I445-H445)</x:f>
      </x:c>
      <x:c r="K445" s="7" t="str"/>
      <x:c r="L445" s="7" t="str"/>
      <x:c r="M445" s="7" t="str">
        <x:f>IF(L445="","OPEN",IF(OR(NOT(ISNUMBER(H445)),NOT(ISNUMBER(I445)),NOT(ISNUMBER(K445)),ABS(J445)&gt;K445),"FAIL","PASS"))</x:f>
        <x:v>OPEN</x:v>
      </x:c>
    </x:row>
    <x:row r="446">
      <x:c r="B446" s="7" t="str">
        <x:v>CAL-CH-PEA-A-Y1-02-2</x:v>
      </x:c>
      <x:c r="C446" s="7" t="str">
        <x:v>CH-PEA-A-Y1-02-2</x:v>
      </x:c>
      <x:c r="D446" s="7" t="str">
        <x:v>PEA-A-Y1</x:v>
      </x:c>
      <x:c r="E446" s="7" t="str">
        <x:v>BLD-A</x:v>
      </x:c>
      <x:c r="F446" s="7" t="str">
        <x:v>BL-Y</x:v>
      </x:c>
      <x:c r="G446" s="7" t="str">
        <x:v>MF-02</x:v>
      </x:c>
      <x:c r="H446" s="7" t="str"/>
      <x:c r="I446" s="7" t="str"/>
      <x:c r="J446" s="7" t="str">
        <x:f>IF(OR(H446="",I446=""),"",I446-H446)</x:f>
      </x:c>
      <x:c r="K446" s="7" t="str"/>
      <x:c r="L446" s="7" t="str"/>
      <x:c r="M446" s="7" t="str">
        <x:f>IF(L446="","OPEN",IF(OR(NOT(ISNUMBER(H446)),NOT(ISNUMBER(I446)),NOT(ISNUMBER(K446)),ABS(J446)&gt;K446),"FAIL","PASS"))</x:f>
        <x:v>OPEN</x:v>
      </x:c>
    </x:row>
    <x:row r="447">
      <x:c r="B447" s="7" t="str">
        <x:v>CAL-CH-PEA-A-Y1-02-3</x:v>
      </x:c>
      <x:c r="C447" s="7" t="str">
        <x:v>CH-PEA-A-Y1-02-3</x:v>
      </x:c>
      <x:c r="D447" s="7" t="str">
        <x:v>PEA-A-Y1</x:v>
      </x:c>
      <x:c r="E447" s="7" t="str">
        <x:v>BLD-A</x:v>
      </x:c>
      <x:c r="F447" s="7" t="str">
        <x:v>BL-Y</x:v>
      </x:c>
      <x:c r="G447" s="7" t="str">
        <x:v>MF-02</x:v>
      </x:c>
      <x:c r="H447" s="7" t="str"/>
      <x:c r="I447" s="7" t="str"/>
      <x:c r="J447" s="7" t="str">
        <x:f>IF(OR(H447="",I447=""),"",I447-H447)</x:f>
      </x:c>
      <x:c r="K447" s="7" t="str"/>
      <x:c r="L447" s="7" t="str"/>
      <x:c r="M447" s="7" t="str">
        <x:f>IF(L447="","OPEN",IF(OR(NOT(ISNUMBER(H447)),NOT(ISNUMBER(I447)),NOT(ISNUMBER(K447)),ABS(J447)&gt;K447),"FAIL","PASS"))</x:f>
        <x:v>OPEN</x:v>
      </x:c>
    </x:row>
    <x:row r="448">
      <x:c r="B448" s="7" t="str">
        <x:v>CAL-CH-PEA-A-Y1-02-4</x:v>
      </x:c>
      <x:c r="C448" s="7" t="str">
        <x:v>CH-PEA-A-Y1-02-4</x:v>
      </x:c>
      <x:c r="D448" s="7" t="str">
        <x:v>PEA-A-Y1</x:v>
      </x:c>
      <x:c r="E448" s="7" t="str">
        <x:v>BLD-A</x:v>
      </x:c>
      <x:c r="F448" s="7" t="str">
        <x:v>BL-Y</x:v>
      </x:c>
      <x:c r="G448" s="7" t="str">
        <x:v>MF-02</x:v>
      </x:c>
      <x:c r="H448" s="7" t="str"/>
      <x:c r="I448" s="7" t="str"/>
      <x:c r="J448" s="7" t="str">
        <x:f>IF(OR(H448="",I448=""),"",I448-H448)</x:f>
      </x:c>
      <x:c r="K448" s="7" t="str"/>
      <x:c r="L448" s="7" t="str"/>
      <x:c r="M448" s="7" t="str">
        <x:f>IF(L448="","OPEN",IF(OR(NOT(ISNUMBER(H448)),NOT(ISNUMBER(I448)),NOT(ISNUMBER(K448)),ABS(J448)&gt;K448),"FAIL","PASS"))</x:f>
        <x:v>OPEN</x:v>
      </x:c>
    </x:row>
    <x:row r="449">
      <x:c r="B449" s="7" t="str">
        <x:v>CAL-CH-PEA-A-Y1-02-5</x:v>
      </x:c>
      <x:c r="C449" s="7" t="str">
        <x:v>CH-PEA-A-Y1-02-5</x:v>
      </x:c>
      <x:c r="D449" s="7" t="str">
        <x:v>PEA-A-Y1</x:v>
      </x:c>
      <x:c r="E449" s="7" t="str">
        <x:v>BLD-A</x:v>
      </x:c>
      <x:c r="F449" s="7" t="str">
        <x:v>BL-Y</x:v>
      </x:c>
      <x:c r="G449" s="7" t="str">
        <x:v>MF-02</x:v>
      </x:c>
      <x:c r="H449" s="7" t="str"/>
      <x:c r="I449" s="7" t="str"/>
      <x:c r="J449" s="7" t="str">
        <x:f>IF(OR(H449="",I449=""),"",I449-H449)</x:f>
      </x:c>
      <x:c r="K449" s="7" t="str"/>
      <x:c r="L449" s="7" t="str"/>
      <x:c r="M449" s="7" t="str">
        <x:f>IF(L449="","OPEN",IF(OR(NOT(ISNUMBER(H449)),NOT(ISNUMBER(I449)),NOT(ISNUMBER(K449)),ABS(J449)&gt;K449),"FAIL","PASS"))</x:f>
        <x:v>OPEN</x:v>
      </x:c>
    </x:row>
    <x:row r="450">
      <x:c r="B450" s="7" t="str">
        <x:v>CAL-CH-PEA-A-Y1-02-6</x:v>
      </x:c>
      <x:c r="C450" s="7" t="str">
        <x:v>CH-PEA-A-Y1-02-6</x:v>
      </x:c>
      <x:c r="D450" s="7" t="str">
        <x:v>PEA-A-Y1</x:v>
      </x:c>
      <x:c r="E450" s="7" t="str">
        <x:v>BLD-A</x:v>
      </x:c>
      <x:c r="F450" s="7" t="str">
        <x:v>BL-Y</x:v>
      </x:c>
      <x:c r="G450" s="7" t="str">
        <x:v>MF-02</x:v>
      </x:c>
      <x:c r="H450" s="7" t="str"/>
      <x:c r="I450" s="7" t="str"/>
      <x:c r="J450" s="7" t="str">
        <x:f>IF(OR(H450="",I450=""),"",I450-H450)</x:f>
      </x:c>
      <x:c r="K450" s="7" t="str"/>
      <x:c r="L450" s="7" t="str"/>
      <x:c r="M450" s="7" t="str">
        <x:f>IF(L450="","OPEN",IF(OR(NOT(ISNUMBER(H450)),NOT(ISNUMBER(I450)),NOT(ISNUMBER(K450)),ABS(J450)&gt;K450),"FAIL","PASS"))</x:f>
        <x:v>OPEN</x:v>
      </x:c>
    </x:row>
    <x:row r="451">
      <x:c r="B451" s="7" t="str">
        <x:v>CAL-CH-PEA-A-Y1-03-1</x:v>
      </x:c>
      <x:c r="C451" s="7" t="str">
        <x:v>CH-PEA-A-Y1-03-1</x:v>
      </x:c>
      <x:c r="D451" s="7" t="str">
        <x:v>PEA-A-Y1</x:v>
      </x:c>
      <x:c r="E451" s="7" t="str">
        <x:v>BLD-A</x:v>
      </x:c>
      <x:c r="F451" s="7" t="str">
        <x:v>BL-Y</x:v>
      </x:c>
      <x:c r="G451" s="7" t="str">
        <x:v>MF-03</x:v>
      </x:c>
      <x:c r="H451" s="7" t="str"/>
      <x:c r="I451" s="7" t="str"/>
      <x:c r="J451" s="7" t="str">
        <x:f>IF(OR(H451="",I451=""),"",I451-H451)</x:f>
      </x:c>
      <x:c r="K451" s="7" t="str"/>
      <x:c r="L451" s="7" t="str"/>
      <x:c r="M451" s="7" t="str">
        <x:f>IF(L451="","OPEN",IF(OR(NOT(ISNUMBER(H451)),NOT(ISNUMBER(I451)),NOT(ISNUMBER(K451)),ABS(J451)&gt;K451),"FAIL","PASS"))</x:f>
        <x:v>OPEN</x:v>
      </x:c>
    </x:row>
    <x:row r="452">
      <x:c r="B452" s="7" t="str">
        <x:v>CAL-CH-PEA-A-Y1-03-2</x:v>
      </x:c>
      <x:c r="C452" s="7" t="str">
        <x:v>CH-PEA-A-Y1-03-2</x:v>
      </x:c>
      <x:c r="D452" s="7" t="str">
        <x:v>PEA-A-Y1</x:v>
      </x:c>
      <x:c r="E452" s="7" t="str">
        <x:v>BLD-A</x:v>
      </x:c>
      <x:c r="F452" s="7" t="str">
        <x:v>BL-Y</x:v>
      </x:c>
      <x:c r="G452" s="7" t="str">
        <x:v>MF-03</x:v>
      </x:c>
      <x:c r="H452" s="7" t="str"/>
      <x:c r="I452" s="7" t="str"/>
      <x:c r="J452" s="7" t="str">
        <x:f>IF(OR(H452="",I452=""),"",I452-H452)</x:f>
      </x:c>
      <x:c r="K452" s="7" t="str"/>
      <x:c r="L452" s="7" t="str"/>
      <x:c r="M452" s="7" t="str">
        <x:f>IF(L452="","OPEN",IF(OR(NOT(ISNUMBER(H452)),NOT(ISNUMBER(I452)),NOT(ISNUMBER(K452)),ABS(J452)&gt;K452),"FAIL","PASS"))</x:f>
        <x:v>OPEN</x:v>
      </x:c>
    </x:row>
    <x:row r="453">
      <x:c r="B453" s="7" t="str">
        <x:v>CAL-CH-PEA-A-Y1-03-3</x:v>
      </x:c>
      <x:c r="C453" s="7" t="str">
        <x:v>CH-PEA-A-Y1-03-3</x:v>
      </x:c>
      <x:c r="D453" s="7" t="str">
        <x:v>PEA-A-Y1</x:v>
      </x:c>
      <x:c r="E453" s="7" t="str">
        <x:v>BLD-A</x:v>
      </x:c>
      <x:c r="F453" s="7" t="str">
        <x:v>BL-Y</x:v>
      </x:c>
      <x:c r="G453" s="7" t="str">
        <x:v>MF-03</x:v>
      </x:c>
      <x:c r="H453" s="7" t="str"/>
      <x:c r="I453" s="7" t="str"/>
      <x:c r="J453" s="7" t="str">
        <x:f>IF(OR(H453="",I453=""),"",I453-H453)</x:f>
      </x:c>
      <x:c r="K453" s="7" t="str"/>
      <x:c r="L453" s="7" t="str"/>
      <x:c r="M453" s="7" t="str">
        <x:f>IF(L453="","OPEN",IF(OR(NOT(ISNUMBER(H453)),NOT(ISNUMBER(I453)),NOT(ISNUMBER(K453)),ABS(J453)&gt;K453),"FAIL","PASS"))</x:f>
        <x:v>OPEN</x:v>
      </x:c>
    </x:row>
    <x:row r="454">
      <x:c r="B454" s="7" t="str">
        <x:v>CAL-CH-PEA-A-Y1-03-4</x:v>
      </x:c>
      <x:c r="C454" s="7" t="str">
        <x:v>CH-PEA-A-Y1-03-4</x:v>
      </x:c>
      <x:c r="D454" s="7" t="str">
        <x:v>PEA-A-Y1</x:v>
      </x:c>
      <x:c r="E454" s="7" t="str">
        <x:v>BLD-A</x:v>
      </x:c>
      <x:c r="F454" s="7" t="str">
        <x:v>BL-Y</x:v>
      </x:c>
      <x:c r="G454" s="7" t="str">
        <x:v>MF-03</x:v>
      </x:c>
      <x:c r="H454" s="7" t="str"/>
      <x:c r="I454" s="7" t="str"/>
      <x:c r="J454" s="7" t="str">
        <x:f>IF(OR(H454="",I454=""),"",I454-H454)</x:f>
      </x:c>
      <x:c r="K454" s="7" t="str"/>
      <x:c r="L454" s="7" t="str"/>
      <x:c r="M454" s="7" t="str">
        <x:f>IF(L454="","OPEN",IF(OR(NOT(ISNUMBER(H454)),NOT(ISNUMBER(I454)),NOT(ISNUMBER(K454)),ABS(J454)&gt;K454),"FAIL","PASS"))</x:f>
        <x:v>OPEN</x:v>
      </x:c>
    </x:row>
    <x:row r="455">
      <x:c r="B455" s="7" t="str">
        <x:v>CAL-CH-PEA-A-Y1-03-5</x:v>
      </x:c>
      <x:c r="C455" s="7" t="str">
        <x:v>CH-PEA-A-Y1-03-5</x:v>
      </x:c>
      <x:c r="D455" s="7" t="str">
        <x:v>PEA-A-Y1</x:v>
      </x:c>
      <x:c r="E455" s="7" t="str">
        <x:v>BLD-A</x:v>
      </x:c>
      <x:c r="F455" s="7" t="str">
        <x:v>BL-Y</x:v>
      </x:c>
      <x:c r="G455" s="7" t="str">
        <x:v>MF-03</x:v>
      </x:c>
      <x:c r="H455" s="7" t="str"/>
      <x:c r="I455" s="7" t="str"/>
      <x:c r="J455" s="7" t="str">
        <x:f>IF(OR(H455="",I455=""),"",I455-H455)</x:f>
      </x:c>
      <x:c r="K455" s="7" t="str"/>
      <x:c r="L455" s="7" t="str"/>
      <x:c r="M455" s="7" t="str">
        <x:f>IF(L455="","OPEN",IF(OR(NOT(ISNUMBER(H455)),NOT(ISNUMBER(I455)),NOT(ISNUMBER(K455)),ABS(J455)&gt;K455),"FAIL","PASS"))</x:f>
        <x:v>OPEN</x:v>
      </x:c>
    </x:row>
    <x:row r="456">
      <x:c r="B456" s="7" t="str">
        <x:v>CAL-CH-PEA-A-Y1-03-6</x:v>
      </x:c>
      <x:c r="C456" s="7" t="str">
        <x:v>CH-PEA-A-Y1-03-6</x:v>
      </x:c>
      <x:c r="D456" s="7" t="str">
        <x:v>PEA-A-Y1</x:v>
      </x:c>
      <x:c r="E456" s="7" t="str">
        <x:v>BLD-A</x:v>
      </x:c>
      <x:c r="F456" s="7" t="str">
        <x:v>BL-Y</x:v>
      </x:c>
      <x:c r="G456" s="7" t="str">
        <x:v>MF-03</x:v>
      </x:c>
      <x:c r="H456" s="7" t="str"/>
      <x:c r="I456" s="7" t="str"/>
      <x:c r="J456" s="7" t="str">
        <x:f>IF(OR(H456="",I456=""),"",I456-H456)</x:f>
      </x:c>
      <x:c r="K456" s="7" t="str"/>
      <x:c r="L456" s="7" t="str"/>
      <x:c r="M456" s="7" t="str">
        <x:f>IF(L456="","OPEN",IF(OR(NOT(ISNUMBER(H456)),NOT(ISNUMBER(I456)),NOT(ISNUMBER(K456)),ABS(J456)&gt;K456),"FAIL","PASS"))</x:f>
        <x:v>OPEN</x:v>
      </x:c>
    </x:row>
    <x:row r="457">
      <x:c r="B457" s="7" t="str">
        <x:v>CAL-CH-PEA-A-Y1-04-1</x:v>
      </x:c>
      <x:c r="C457" s="7" t="str">
        <x:v>CH-PEA-A-Y1-04-1</x:v>
      </x:c>
      <x:c r="D457" s="7" t="str">
        <x:v>PEA-A-Y1</x:v>
      </x:c>
      <x:c r="E457" s="7" t="str">
        <x:v>BLD-A</x:v>
      </x:c>
      <x:c r="F457" s="7" t="str">
        <x:v>BL-Y</x:v>
      </x:c>
      <x:c r="G457" s="7" t="str">
        <x:v>MF-04</x:v>
      </x:c>
      <x:c r="H457" s="7" t="str"/>
      <x:c r="I457" s="7" t="str"/>
      <x:c r="J457" s="7" t="str">
        <x:f>IF(OR(H457="",I457=""),"",I457-H457)</x:f>
      </x:c>
      <x:c r="K457" s="7" t="str"/>
      <x:c r="L457" s="7" t="str"/>
      <x:c r="M457" s="7" t="str">
        <x:f>IF(L457="","OPEN",IF(OR(NOT(ISNUMBER(H457)),NOT(ISNUMBER(I457)),NOT(ISNUMBER(K457)),ABS(J457)&gt;K457),"FAIL","PASS"))</x:f>
        <x:v>OPEN</x:v>
      </x:c>
    </x:row>
    <x:row r="458">
      <x:c r="B458" s="7" t="str">
        <x:v>CAL-CH-PEA-A-Y1-04-2</x:v>
      </x:c>
      <x:c r="C458" s="7" t="str">
        <x:v>CH-PEA-A-Y1-04-2</x:v>
      </x:c>
      <x:c r="D458" s="7" t="str">
        <x:v>PEA-A-Y1</x:v>
      </x:c>
      <x:c r="E458" s="7" t="str">
        <x:v>BLD-A</x:v>
      </x:c>
      <x:c r="F458" s="7" t="str">
        <x:v>BL-Y</x:v>
      </x:c>
      <x:c r="G458" s="7" t="str">
        <x:v>MF-04</x:v>
      </x:c>
      <x:c r="H458" s="7" t="str"/>
      <x:c r="I458" s="7" t="str"/>
      <x:c r="J458" s="7" t="str">
        <x:f>IF(OR(H458="",I458=""),"",I458-H458)</x:f>
      </x:c>
      <x:c r="K458" s="7" t="str"/>
      <x:c r="L458" s="7" t="str"/>
      <x:c r="M458" s="7" t="str">
        <x:f>IF(L458="","OPEN",IF(OR(NOT(ISNUMBER(H458)),NOT(ISNUMBER(I458)),NOT(ISNUMBER(K458)),ABS(J458)&gt;K458),"FAIL","PASS"))</x:f>
        <x:v>OPEN</x:v>
      </x:c>
    </x:row>
    <x:row r="459">
      <x:c r="B459" s="7" t="str">
        <x:v>CAL-CH-PEA-A-Y1-04-3</x:v>
      </x:c>
      <x:c r="C459" s="7" t="str">
        <x:v>CH-PEA-A-Y1-04-3</x:v>
      </x:c>
      <x:c r="D459" s="7" t="str">
        <x:v>PEA-A-Y1</x:v>
      </x:c>
      <x:c r="E459" s="7" t="str">
        <x:v>BLD-A</x:v>
      </x:c>
      <x:c r="F459" s="7" t="str">
        <x:v>BL-Y</x:v>
      </x:c>
      <x:c r="G459" s="7" t="str">
        <x:v>MF-04</x:v>
      </x:c>
      <x:c r="H459" s="7" t="str"/>
      <x:c r="I459" s="7" t="str"/>
      <x:c r="J459" s="7" t="str">
        <x:f>IF(OR(H459="",I459=""),"",I459-H459)</x:f>
      </x:c>
      <x:c r="K459" s="7" t="str"/>
      <x:c r="L459" s="7" t="str"/>
      <x:c r="M459" s="7" t="str">
        <x:f>IF(L459="","OPEN",IF(OR(NOT(ISNUMBER(H459)),NOT(ISNUMBER(I459)),NOT(ISNUMBER(K459)),ABS(J459)&gt;K459),"FAIL","PASS"))</x:f>
        <x:v>OPEN</x:v>
      </x:c>
    </x:row>
    <x:row r="460">
      <x:c r="B460" s="7" t="str">
        <x:v>CAL-CH-PEA-A-Y1-04-4</x:v>
      </x:c>
      <x:c r="C460" s="7" t="str">
        <x:v>CH-PEA-A-Y1-04-4</x:v>
      </x:c>
      <x:c r="D460" s="7" t="str">
        <x:v>PEA-A-Y1</x:v>
      </x:c>
      <x:c r="E460" s="7" t="str">
        <x:v>BLD-A</x:v>
      </x:c>
      <x:c r="F460" s="7" t="str">
        <x:v>BL-Y</x:v>
      </x:c>
      <x:c r="G460" s="7" t="str">
        <x:v>MF-04</x:v>
      </x:c>
      <x:c r="H460" s="7" t="str"/>
      <x:c r="I460" s="7" t="str"/>
      <x:c r="J460" s="7" t="str">
        <x:f>IF(OR(H460="",I460=""),"",I460-H460)</x:f>
      </x:c>
      <x:c r="K460" s="7" t="str"/>
      <x:c r="L460" s="7" t="str"/>
      <x:c r="M460" s="7" t="str">
        <x:f>IF(L460="","OPEN",IF(OR(NOT(ISNUMBER(H460)),NOT(ISNUMBER(I460)),NOT(ISNUMBER(K460)),ABS(J460)&gt;K460),"FAIL","PASS"))</x:f>
        <x:v>OPEN</x:v>
      </x:c>
    </x:row>
    <x:row r="461">
      <x:c r="B461" s="7" t="str">
        <x:v>CAL-CH-PEA-A-Y1-04-5</x:v>
      </x:c>
      <x:c r="C461" s="7" t="str">
        <x:v>CH-PEA-A-Y1-04-5</x:v>
      </x:c>
      <x:c r="D461" s="7" t="str">
        <x:v>PEA-A-Y1</x:v>
      </x:c>
      <x:c r="E461" s="7" t="str">
        <x:v>BLD-A</x:v>
      </x:c>
      <x:c r="F461" s="7" t="str">
        <x:v>BL-Y</x:v>
      </x:c>
      <x:c r="G461" s="7" t="str">
        <x:v>MF-04</x:v>
      </x:c>
      <x:c r="H461" s="7" t="str"/>
      <x:c r="I461" s="7" t="str"/>
      <x:c r="J461" s="7" t="str">
        <x:f>IF(OR(H461="",I461=""),"",I461-H461)</x:f>
      </x:c>
      <x:c r="K461" s="7" t="str"/>
      <x:c r="L461" s="7" t="str"/>
      <x:c r="M461" s="7" t="str">
        <x:f>IF(L461="","OPEN",IF(OR(NOT(ISNUMBER(H461)),NOT(ISNUMBER(I461)),NOT(ISNUMBER(K461)),ABS(J461)&gt;K461),"FAIL","PASS"))</x:f>
        <x:v>OPEN</x:v>
      </x:c>
    </x:row>
    <x:row r="462">
      <x:c r="B462" s="7" t="str">
        <x:v>CAL-CH-PEA-A-Y1-04-6</x:v>
      </x:c>
      <x:c r="C462" s="7" t="str">
        <x:v>CH-PEA-A-Y1-04-6</x:v>
      </x:c>
      <x:c r="D462" s="7" t="str">
        <x:v>PEA-A-Y1</x:v>
      </x:c>
      <x:c r="E462" s="7" t="str">
        <x:v>BLD-A</x:v>
      </x:c>
      <x:c r="F462" s="7" t="str">
        <x:v>BL-Y</x:v>
      </x:c>
      <x:c r="G462" s="7" t="str">
        <x:v>MF-04</x:v>
      </x:c>
      <x:c r="H462" s="7" t="str"/>
      <x:c r="I462" s="7" t="str"/>
      <x:c r="J462" s="7" t="str">
        <x:f>IF(OR(H462="",I462=""),"",I462-H462)</x:f>
      </x:c>
      <x:c r="K462" s="7" t="str"/>
      <x:c r="L462" s="7" t="str"/>
      <x:c r="M462" s="7" t="str">
        <x:f>IF(L462="","OPEN",IF(OR(NOT(ISNUMBER(H462)),NOT(ISNUMBER(I462)),NOT(ISNUMBER(K462)),ABS(J462)&gt;K462),"FAIL","PASS"))</x:f>
        <x:v>OPEN</x:v>
      </x:c>
    </x:row>
    <x:row r="463">
      <x:c r="B463" s="7" t="str">
        <x:v>CAL-CH-PEA-A-Y1-05-1</x:v>
      </x:c>
      <x:c r="C463" s="7" t="str">
        <x:v>CH-PEA-A-Y1-05-1</x:v>
      </x:c>
      <x:c r="D463" s="7" t="str">
        <x:v>PEA-A-Y1</x:v>
      </x:c>
      <x:c r="E463" s="7" t="str">
        <x:v>BLD-A</x:v>
      </x:c>
      <x:c r="F463" s="7" t="str">
        <x:v>BL-Y</x:v>
      </x:c>
      <x:c r="G463" s="7" t="str">
        <x:v>MF-05</x:v>
      </x:c>
      <x:c r="H463" s="7" t="str"/>
      <x:c r="I463" s="7" t="str"/>
      <x:c r="J463" s="7" t="str">
        <x:f>IF(OR(H463="",I463=""),"",I463-H463)</x:f>
      </x:c>
      <x:c r="K463" s="7" t="str"/>
      <x:c r="L463" s="7" t="str"/>
      <x:c r="M463" s="7" t="str">
        <x:f>IF(L463="","OPEN",IF(OR(NOT(ISNUMBER(H463)),NOT(ISNUMBER(I463)),NOT(ISNUMBER(K463)),ABS(J463)&gt;K463),"FAIL","PASS"))</x:f>
        <x:v>OPEN</x:v>
      </x:c>
    </x:row>
    <x:row r="464">
      <x:c r="B464" s="7" t="str">
        <x:v>CAL-CH-PEA-A-Y1-05-2</x:v>
      </x:c>
      <x:c r="C464" s="7" t="str">
        <x:v>CH-PEA-A-Y1-05-2</x:v>
      </x:c>
      <x:c r="D464" s="7" t="str">
        <x:v>PEA-A-Y1</x:v>
      </x:c>
      <x:c r="E464" s="7" t="str">
        <x:v>BLD-A</x:v>
      </x:c>
      <x:c r="F464" s="7" t="str">
        <x:v>BL-Y</x:v>
      </x:c>
      <x:c r="G464" s="7" t="str">
        <x:v>MF-05</x:v>
      </x:c>
      <x:c r="H464" s="7" t="str"/>
      <x:c r="I464" s="7" t="str"/>
      <x:c r="J464" s="7" t="str">
        <x:f>IF(OR(H464="",I464=""),"",I464-H464)</x:f>
      </x:c>
      <x:c r="K464" s="7" t="str"/>
      <x:c r="L464" s="7" t="str"/>
      <x:c r="M464" s="7" t="str">
        <x:f>IF(L464="","OPEN",IF(OR(NOT(ISNUMBER(H464)),NOT(ISNUMBER(I464)),NOT(ISNUMBER(K464)),ABS(J464)&gt;K464),"FAIL","PASS"))</x:f>
        <x:v>OPEN</x:v>
      </x:c>
    </x:row>
    <x:row r="465">
      <x:c r="B465" s="7" t="str">
        <x:v>CAL-CH-PEA-A-Y1-05-3</x:v>
      </x:c>
      <x:c r="C465" s="7" t="str">
        <x:v>CH-PEA-A-Y1-05-3</x:v>
      </x:c>
      <x:c r="D465" s="7" t="str">
        <x:v>PEA-A-Y1</x:v>
      </x:c>
      <x:c r="E465" s="7" t="str">
        <x:v>BLD-A</x:v>
      </x:c>
      <x:c r="F465" s="7" t="str">
        <x:v>BL-Y</x:v>
      </x:c>
      <x:c r="G465" s="7" t="str">
        <x:v>MF-05</x:v>
      </x:c>
      <x:c r="H465" s="7" t="str"/>
      <x:c r="I465" s="7" t="str"/>
      <x:c r="J465" s="7" t="str">
        <x:f>IF(OR(H465="",I465=""),"",I465-H465)</x:f>
      </x:c>
      <x:c r="K465" s="7" t="str"/>
      <x:c r="L465" s="7" t="str"/>
      <x:c r="M465" s="7" t="str">
        <x:f>IF(L465="","OPEN",IF(OR(NOT(ISNUMBER(H465)),NOT(ISNUMBER(I465)),NOT(ISNUMBER(K465)),ABS(J465)&gt;K465),"FAIL","PASS"))</x:f>
        <x:v>OPEN</x:v>
      </x:c>
    </x:row>
    <x:row r="466">
      <x:c r="B466" s="7" t="str">
        <x:v>CAL-CH-PEA-A-Y1-05-4</x:v>
      </x:c>
      <x:c r="C466" s="7" t="str">
        <x:v>CH-PEA-A-Y1-05-4</x:v>
      </x:c>
      <x:c r="D466" s="7" t="str">
        <x:v>PEA-A-Y1</x:v>
      </x:c>
      <x:c r="E466" s="7" t="str">
        <x:v>BLD-A</x:v>
      </x:c>
      <x:c r="F466" s="7" t="str">
        <x:v>BL-Y</x:v>
      </x:c>
      <x:c r="G466" s="7" t="str">
        <x:v>MF-05</x:v>
      </x:c>
      <x:c r="H466" s="7" t="str"/>
      <x:c r="I466" s="7" t="str"/>
      <x:c r="J466" s="7" t="str">
        <x:f>IF(OR(H466="",I466=""),"",I466-H466)</x:f>
      </x:c>
      <x:c r="K466" s="7" t="str"/>
      <x:c r="L466" s="7" t="str"/>
      <x:c r="M466" s="7" t="str">
        <x:f>IF(L466="","OPEN",IF(OR(NOT(ISNUMBER(H466)),NOT(ISNUMBER(I466)),NOT(ISNUMBER(K466)),ABS(J466)&gt;K466),"FAIL","PASS"))</x:f>
        <x:v>OPEN</x:v>
      </x:c>
    </x:row>
    <x:row r="467">
      <x:c r="B467" s="7" t="str">
        <x:v>CAL-CH-PEA-A-Y1-05-5</x:v>
      </x:c>
      <x:c r="C467" s="7" t="str">
        <x:v>CH-PEA-A-Y1-05-5</x:v>
      </x:c>
      <x:c r="D467" s="7" t="str">
        <x:v>PEA-A-Y1</x:v>
      </x:c>
      <x:c r="E467" s="7" t="str">
        <x:v>BLD-A</x:v>
      </x:c>
      <x:c r="F467" s="7" t="str">
        <x:v>BL-Y</x:v>
      </x:c>
      <x:c r="G467" s="7" t="str">
        <x:v>MF-05</x:v>
      </x:c>
      <x:c r="H467" s="7" t="str"/>
      <x:c r="I467" s="7" t="str"/>
      <x:c r="J467" s="7" t="str">
        <x:f>IF(OR(H467="",I467=""),"",I467-H467)</x:f>
      </x:c>
      <x:c r="K467" s="7" t="str"/>
      <x:c r="L467" s="7" t="str"/>
      <x:c r="M467" s="7" t="str">
        <x:f>IF(L467="","OPEN",IF(OR(NOT(ISNUMBER(H467)),NOT(ISNUMBER(I467)),NOT(ISNUMBER(K467)),ABS(J467)&gt;K467),"FAIL","PASS"))</x:f>
        <x:v>OPEN</x:v>
      </x:c>
    </x:row>
    <x:row r="468">
      <x:c r="B468" s="7" t="str">
        <x:v>CAL-CH-PEA-A-Y1-05-6</x:v>
      </x:c>
      <x:c r="C468" s="7" t="str">
        <x:v>CH-PEA-A-Y1-05-6</x:v>
      </x:c>
      <x:c r="D468" s="7" t="str">
        <x:v>PEA-A-Y1</x:v>
      </x:c>
      <x:c r="E468" s="7" t="str">
        <x:v>BLD-A</x:v>
      </x:c>
      <x:c r="F468" s="7" t="str">
        <x:v>BL-Y</x:v>
      </x:c>
      <x:c r="G468" s="7" t="str">
        <x:v>MF-05</x:v>
      </x:c>
      <x:c r="H468" s="7" t="str"/>
      <x:c r="I468" s="7" t="str"/>
      <x:c r="J468" s="7" t="str">
        <x:f>IF(OR(H468="",I468=""),"",I468-H468)</x:f>
      </x:c>
      <x:c r="K468" s="7" t="str"/>
      <x:c r="L468" s="7" t="str"/>
      <x:c r="M468" s="7" t="str">
        <x:f>IF(L468="","OPEN",IF(OR(NOT(ISNUMBER(H468)),NOT(ISNUMBER(I468)),NOT(ISNUMBER(K468)),ABS(J468)&gt;K468),"FAIL","PASS"))</x:f>
        <x:v>OPEN</x:v>
      </x:c>
    </x:row>
    <x:row r="469">
      <x:c r="B469" s="7" t="str">
        <x:v>CAL-CH-PEA-A-Y1-06-1</x:v>
      </x:c>
      <x:c r="C469" s="7" t="str">
        <x:v>CH-PEA-A-Y1-06-1</x:v>
      </x:c>
      <x:c r="D469" s="7" t="str">
        <x:v>PEA-A-Y1</x:v>
      </x:c>
      <x:c r="E469" s="7" t="str">
        <x:v>BLD-A</x:v>
      </x:c>
      <x:c r="F469" s="7" t="str">
        <x:v>BL-Y</x:v>
      </x:c>
      <x:c r="G469" s="7" t="str">
        <x:v>MF-06</x:v>
      </x:c>
      <x:c r="H469" s="7" t="str"/>
      <x:c r="I469" s="7" t="str"/>
      <x:c r="J469" s="7" t="str">
        <x:f>IF(OR(H469="",I469=""),"",I469-H469)</x:f>
      </x:c>
      <x:c r="K469" s="7" t="str"/>
      <x:c r="L469" s="7" t="str"/>
      <x:c r="M469" s="7" t="str">
        <x:f>IF(L469="","OPEN",IF(OR(NOT(ISNUMBER(H469)),NOT(ISNUMBER(I469)),NOT(ISNUMBER(K469)),ABS(J469)&gt;K469),"FAIL","PASS"))</x:f>
        <x:v>OPEN</x:v>
      </x:c>
    </x:row>
    <x:row r="470">
      <x:c r="B470" s="7" t="str">
        <x:v>CAL-CH-PEA-A-Y1-06-2</x:v>
      </x:c>
      <x:c r="C470" s="7" t="str">
        <x:v>CH-PEA-A-Y1-06-2</x:v>
      </x:c>
      <x:c r="D470" s="7" t="str">
        <x:v>PEA-A-Y1</x:v>
      </x:c>
      <x:c r="E470" s="7" t="str">
        <x:v>BLD-A</x:v>
      </x:c>
      <x:c r="F470" s="7" t="str">
        <x:v>BL-Y</x:v>
      </x:c>
      <x:c r="G470" s="7" t="str">
        <x:v>MF-06</x:v>
      </x:c>
      <x:c r="H470" s="7" t="str"/>
      <x:c r="I470" s="7" t="str"/>
      <x:c r="J470" s="7" t="str">
        <x:f>IF(OR(H470="",I470=""),"",I470-H470)</x:f>
      </x:c>
      <x:c r="K470" s="7" t="str"/>
      <x:c r="L470" s="7" t="str"/>
      <x:c r="M470" s="7" t="str">
        <x:f>IF(L470="","OPEN",IF(OR(NOT(ISNUMBER(H470)),NOT(ISNUMBER(I470)),NOT(ISNUMBER(K470)),ABS(J470)&gt;K470),"FAIL","PASS"))</x:f>
        <x:v>OPEN</x:v>
      </x:c>
    </x:row>
    <x:row r="471">
      <x:c r="B471" s="7" t="str">
        <x:v>CAL-CH-PEA-A-Y1-06-3</x:v>
      </x:c>
      <x:c r="C471" s="7" t="str">
        <x:v>CH-PEA-A-Y1-06-3</x:v>
      </x:c>
      <x:c r="D471" s="7" t="str">
        <x:v>PEA-A-Y1</x:v>
      </x:c>
      <x:c r="E471" s="7" t="str">
        <x:v>BLD-A</x:v>
      </x:c>
      <x:c r="F471" s="7" t="str">
        <x:v>BL-Y</x:v>
      </x:c>
      <x:c r="G471" s="7" t="str">
        <x:v>MF-06</x:v>
      </x:c>
      <x:c r="H471" s="7" t="str"/>
      <x:c r="I471" s="7" t="str"/>
      <x:c r="J471" s="7" t="str">
        <x:f>IF(OR(H471="",I471=""),"",I471-H471)</x:f>
      </x:c>
      <x:c r="K471" s="7" t="str"/>
      <x:c r="L471" s="7" t="str"/>
      <x:c r="M471" s="7" t="str">
        <x:f>IF(L471="","OPEN",IF(OR(NOT(ISNUMBER(H471)),NOT(ISNUMBER(I471)),NOT(ISNUMBER(K471)),ABS(J471)&gt;K471),"FAIL","PASS"))</x:f>
        <x:v>OPEN</x:v>
      </x:c>
    </x:row>
    <x:row r="472">
      <x:c r="B472" s="7" t="str">
        <x:v>CAL-CH-PEA-A-Y1-06-4</x:v>
      </x:c>
      <x:c r="C472" s="7" t="str">
        <x:v>CH-PEA-A-Y1-06-4</x:v>
      </x:c>
      <x:c r="D472" s="7" t="str">
        <x:v>PEA-A-Y1</x:v>
      </x:c>
      <x:c r="E472" s="7" t="str">
        <x:v>BLD-A</x:v>
      </x:c>
      <x:c r="F472" s="7" t="str">
        <x:v>BL-Y</x:v>
      </x:c>
      <x:c r="G472" s="7" t="str">
        <x:v>MF-06</x:v>
      </x:c>
      <x:c r="H472" s="7" t="str"/>
      <x:c r="I472" s="7" t="str"/>
      <x:c r="J472" s="7" t="str">
        <x:f>IF(OR(H472="",I472=""),"",I472-H472)</x:f>
      </x:c>
      <x:c r="K472" s="7" t="str"/>
      <x:c r="L472" s="7" t="str"/>
      <x:c r="M472" s="7" t="str">
        <x:f>IF(L472="","OPEN",IF(OR(NOT(ISNUMBER(H472)),NOT(ISNUMBER(I472)),NOT(ISNUMBER(K472)),ABS(J472)&gt;K472),"FAIL","PASS"))</x:f>
        <x:v>OPEN</x:v>
      </x:c>
    </x:row>
    <x:row r="473">
      <x:c r="B473" s="7" t="str">
        <x:v>CAL-CH-PEA-A-Y1-06-5</x:v>
      </x:c>
      <x:c r="C473" s="7" t="str">
        <x:v>CH-PEA-A-Y1-06-5</x:v>
      </x:c>
      <x:c r="D473" s="7" t="str">
        <x:v>PEA-A-Y1</x:v>
      </x:c>
      <x:c r="E473" s="7" t="str">
        <x:v>BLD-A</x:v>
      </x:c>
      <x:c r="F473" s="7" t="str">
        <x:v>BL-Y</x:v>
      </x:c>
      <x:c r="G473" s="7" t="str">
        <x:v>MF-06</x:v>
      </x:c>
      <x:c r="H473" s="7" t="str"/>
      <x:c r="I473" s="7" t="str"/>
      <x:c r="J473" s="7" t="str">
        <x:f>IF(OR(H473="",I473=""),"",I473-H473)</x:f>
      </x:c>
      <x:c r="K473" s="7" t="str"/>
      <x:c r="L473" s="7" t="str"/>
      <x:c r="M473" s="7" t="str">
        <x:f>IF(L473="","OPEN",IF(OR(NOT(ISNUMBER(H473)),NOT(ISNUMBER(I473)),NOT(ISNUMBER(K473)),ABS(J473)&gt;K473),"FAIL","PASS"))</x:f>
        <x:v>OPEN</x:v>
      </x:c>
    </x:row>
    <x:row r="474">
      <x:c r="B474" s="7" t="str">
        <x:v>CAL-CH-PEA-A-Y1-06-6</x:v>
      </x:c>
      <x:c r="C474" s="7" t="str">
        <x:v>CH-PEA-A-Y1-06-6</x:v>
      </x:c>
      <x:c r="D474" s="7" t="str">
        <x:v>PEA-A-Y1</x:v>
      </x:c>
      <x:c r="E474" s="7" t="str">
        <x:v>BLD-A</x:v>
      </x:c>
      <x:c r="F474" s="7" t="str">
        <x:v>BL-Y</x:v>
      </x:c>
      <x:c r="G474" s="7" t="str">
        <x:v>MF-06</x:v>
      </x:c>
      <x:c r="H474" s="7" t="str"/>
      <x:c r="I474" s="7" t="str"/>
      <x:c r="J474" s="7" t="str">
        <x:f>IF(OR(H474="",I474=""),"",I474-H474)</x:f>
      </x:c>
      <x:c r="K474" s="7" t="str"/>
      <x:c r="L474" s="7" t="str"/>
      <x:c r="M474" s="7" t="str">
        <x:f>IF(L474="","OPEN",IF(OR(NOT(ISNUMBER(H474)),NOT(ISNUMBER(I474)),NOT(ISNUMBER(K474)),ABS(J474)&gt;K474),"FAIL","PASS"))</x:f>
        <x:v>OPEN</x:v>
      </x:c>
    </x:row>
    <x:row r="475">
      <x:c r="B475" s="7" t="str">
        <x:v>CAL-CH-PEA-A-Y1-07-1</x:v>
      </x:c>
      <x:c r="C475" s="7" t="str">
        <x:v>CH-PEA-A-Y1-07-1</x:v>
      </x:c>
      <x:c r="D475" s="7" t="str">
        <x:v>PEA-A-Y1</x:v>
      </x:c>
      <x:c r="E475" s="7" t="str">
        <x:v>BLD-A</x:v>
      </x:c>
      <x:c r="F475" s="7" t="str">
        <x:v>BL-Y</x:v>
      </x:c>
      <x:c r="G475" s="7" t="str">
        <x:v>MF-07</x:v>
      </x:c>
      <x:c r="H475" s="7" t="str"/>
      <x:c r="I475" s="7" t="str"/>
      <x:c r="J475" s="7" t="str">
        <x:f>IF(OR(H475="",I475=""),"",I475-H475)</x:f>
      </x:c>
      <x:c r="K475" s="7" t="str"/>
      <x:c r="L475" s="7" t="str"/>
      <x:c r="M475" s="7" t="str">
        <x:f>IF(L475="","OPEN",IF(OR(NOT(ISNUMBER(H475)),NOT(ISNUMBER(I475)),NOT(ISNUMBER(K475)),ABS(J475)&gt;K475),"FAIL","PASS"))</x:f>
        <x:v>OPEN</x:v>
      </x:c>
    </x:row>
    <x:row r="476">
      <x:c r="B476" s="7" t="str">
        <x:v>CAL-CH-PEA-A-Y1-07-2</x:v>
      </x:c>
      <x:c r="C476" s="7" t="str">
        <x:v>CH-PEA-A-Y1-07-2</x:v>
      </x:c>
      <x:c r="D476" s="7" t="str">
        <x:v>PEA-A-Y1</x:v>
      </x:c>
      <x:c r="E476" s="7" t="str">
        <x:v>BLD-A</x:v>
      </x:c>
      <x:c r="F476" s="7" t="str">
        <x:v>BL-Y</x:v>
      </x:c>
      <x:c r="G476" s="7" t="str">
        <x:v>MF-07</x:v>
      </x:c>
      <x:c r="H476" s="7" t="str"/>
      <x:c r="I476" s="7" t="str"/>
      <x:c r="J476" s="7" t="str">
        <x:f>IF(OR(H476="",I476=""),"",I476-H476)</x:f>
      </x:c>
      <x:c r="K476" s="7" t="str"/>
      <x:c r="L476" s="7" t="str"/>
      <x:c r="M476" s="7" t="str">
        <x:f>IF(L476="","OPEN",IF(OR(NOT(ISNUMBER(H476)),NOT(ISNUMBER(I476)),NOT(ISNUMBER(K476)),ABS(J476)&gt;K476),"FAIL","PASS"))</x:f>
        <x:v>OPEN</x:v>
      </x:c>
    </x:row>
    <x:row r="477">
      <x:c r="B477" s="7" t="str">
        <x:v>CAL-CH-PEA-A-Y1-07-3</x:v>
      </x:c>
      <x:c r="C477" s="7" t="str">
        <x:v>CH-PEA-A-Y1-07-3</x:v>
      </x:c>
      <x:c r="D477" s="7" t="str">
        <x:v>PEA-A-Y1</x:v>
      </x:c>
      <x:c r="E477" s="7" t="str">
        <x:v>BLD-A</x:v>
      </x:c>
      <x:c r="F477" s="7" t="str">
        <x:v>BL-Y</x:v>
      </x:c>
      <x:c r="G477" s="7" t="str">
        <x:v>MF-07</x:v>
      </x:c>
      <x:c r="H477" s="7" t="str"/>
      <x:c r="I477" s="7" t="str"/>
      <x:c r="J477" s="7" t="str">
        <x:f>IF(OR(H477="",I477=""),"",I477-H477)</x:f>
      </x:c>
      <x:c r="K477" s="7" t="str"/>
      <x:c r="L477" s="7" t="str"/>
      <x:c r="M477" s="7" t="str">
        <x:f>IF(L477="","OPEN",IF(OR(NOT(ISNUMBER(H477)),NOT(ISNUMBER(I477)),NOT(ISNUMBER(K477)),ABS(J477)&gt;K477),"FAIL","PASS"))</x:f>
        <x:v>OPEN</x:v>
      </x:c>
    </x:row>
    <x:row r="478">
      <x:c r="B478" s="7" t="str">
        <x:v>CAL-CH-PEA-A-Y1-07-4</x:v>
      </x:c>
      <x:c r="C478" s="7" t="str">
        <x:v>CH-PEA-A-Y1-07-4</x:v>
      </x:c>
      <x:c r="D478" s="7" t="str">
        <x:v>PEA-A-Y1</x:v>
      </x:c>
      <x:c r="E478" s="7" t="str">
        <x:v>BLD-A</x:v>
      </x:c>
      <x:c r="F478" s="7" t="str">
        <x:v>BL-Y</x:v>
      </x:c>
      <x:c r="G478" s="7" t="str">
        <x:v>MF-07</x:v>
      </x:c>
      <x:c r="H478" s="7" t="str"/>
      <x:c r="I478" s="7" t="str"/>
      <x:c r="J478" s="7" t="str">
        <x:f>IF(OR(H478="",I478=""),"",I478-H478)</x:f>
      </x:c>
      <x:c r="K478" s="7" t="str"/>
      <x:c r="L478" s="7" t="str"/>
      <x:c r="M478" s="7" t="str">
        <x:f>IF(L478="","OPEN",IF(OR(NOT(ISNUMBER(H478)),NOT(ISNUMBER(I478)),NOT(ISNUMBER(K478)),ABS(J478)&gt;K478),"FAIL","PASS"))</x:f>
        <x:v>OPEN</x:v>
      </x:c>
    </x:row>
    <x:row r="479">
      <x:c r="B479" s="7" t="str">
        <x:v>CAL-CH-PEA-A-Y1-07-5</x:v>
      </x:c>
      <x:c r="C479" s="7" t="str">
        <x:v>CH-PEA-A-Y1-07-5</x:v>
      </x:c>
      <x:c r="D479" s="7" t="str">
        <x:v>PEA-A-Y1</x:v>
      </x:c>
      <x:c r="E479" s="7" t="str">
        <x:v>BLD-A</x:v>
      </x:c>
      <x:c r="F479" s="7" t="str">
        <x:v>BL-Y</x:v>
      </x:c>
      <x:c r="G479" s="7" t="str">
        <x:v>MF-07</x:v>
      </x:c>
      <x:c r="H479" s="7" t="str"/>
      <x:c r="I479" s="7" t="str"/>
      <x:c r="J479" s="7" t="str">
        <x:f>IF(OR(H479="",I479=""),"",I479-H479)</x:f>
      </x:c>
      <x:c r="K479" s="7" t="str"/>
      <x:c r="L479" s="7" t="str"/>
      <x:c r="M479" s="7" t="str">
        <x:f>IF(L479="","OPEN",IF(OR(NOT(ISNUMBER(H479)),NOT(ISNUMBER(I479)),NOT(ISNUMBER(K479)),ABS(J479)&gt;K479),"FAIL","PASS"))</x:f>
        <x:v>OPEN</x:v>
      </x:c>
    </x:row>
    <x:row r="480">
      <x:c r="B480" s="7" t="str">
        <x:v>CAL-CH-PEA-A-Y1-07-6</x:v>
      </x:c>
      <x:c r="C480" s="7" t="str">
        <x:v>CH-PEA-A-Y1-07-6</x:v>
      </x:c>
      <x:c r="D480" s="7" t="str">
        <x:v>PEA-A-Y1</x:v>
      </x:c>
      <x:c r="E480" s="7" t="str">
        <x:v>BLD-A</x:v>
      </x:c>
      <x:c r="F480" s="7" t="str">
        <x:v>BL-Y</x:v>
      </x:c>
      <x:c r="G480" s="7" t="str">
        <x:v>MF-07</x:v>
      </x:c>
      <x:c r="H480" s="7" t="str"/>
      <x:c r="I480" s="7" t="str"/>
      <x:c r="J480" s="7" t="str">
        <x:f>IF(OR(H480="",I480=""),"",I480-H480)</x:f>
      </x:c>
      <x:c r="K480" s="7" t="str"/>
      <x:c r="L480" s="7" t="str"/>
      <x:c r="M480" s="7" t="str">
        <x:f>IF(L480="","OPEN",IF(OR(NOT(ISNUMBER(H480)),NOT(ISNUMBER(I480)),NOT(ISNUMBER(K480)),ABS(J480)&gt;K480),"FAIL","PASS"))</x:f>
        <x:v>OPEN</x:v>
      </x:c>
    </x:row>
    <x:row r="481">
      <x:c r="B481" s="7" t="str">
        <x:v>CAL-CH-PEA-A-Y1-08-1</x:v>
      </x:c>
      <x:c r="C481" s="7" t="str">
        <x:v>CH-PEA-A-Y1-08-1</x:v>
      </x:c>
      <x:c r="D481" s="7" t="str">
        <x:v>PEA-A-Y1</x:v>
      </x:c>
      <x:c r="E481" s="7" t="str">
        <x:v>BLD-A</x:v>
      </x:c>
      <x:c r="F481" s="7" t="str">
        <x:v>BL-Y</x:v>
      </x:c>
      <x:c r="G481" s="7" t="str">
        <x:v>MF-08</x:v>
      </x:c>
      <x:c r="H481" s="7" t="str"/>
      <x:c r="I481" s="7" t="str"/>
      <x:c r="J481" s="7" t="str">
        <x:f>IF(OR(H481="",I481=""),"",I481-H481)</x:f>
      </x:c>
      <x:c r="K481" s="7" t="str"/>
      <x:c r="L481" s="7" t="str"/>
      <x:c r="M481" s="7" t="str">
        <x:f>IF(L481="","OPEN",IF(OR(NOT(ISNUMBER(H481)),NOT(ISNUMBER(I481)),NOT(ISNUMBER(K481)),ABS(J481)&gt;K481),"FAIL","PASS"))</x:f>
        <x:v>OPEN</x:v>
      </x:c>
    </x:row>
    <x:row r="482">
      <x:c r="B482" s="7" t="str">
        <x:v>CAL-CH-PEA-A-Y1-08-2</x:v>
      </x:c>
      <x:c r="C482" s="7" t="str">
        <x:v>CH-PEA-A-Y1-08-2</x:v>
      </x:c>
      <x:c r="D482" s="7" t="str">
        <x:v>PEA-A-Y1</x:v>
      </x:c>
      <x:c r="E482" s="7" t="str">
        <x:v>BLD-A</x:v>
      </x:c>
      <x:c r="F482" s="7" t="str">
        <x:v>BL-Y</x:v>
      </x:c>
      <x:c r="G482" s="7" t="str">
        <x:v>MF-08</x:v>
      </x:c>
      <x:c r="H482" s="7" t="str"/>
      <x:c r="I482" s="7" t="str"/>
      <x:c r="J482" s="7" t="str">
        <x:f>IF(OR(H482="",I482=""),"",I482-H482)</x:f>
      </x:c>
      <x:c r="K482" s="7" t="str"/>
      <x:c r="L482" s="7" t="str"/>
      <x:c r="M482" s="7" t="str">
        <x:f>IF(L482="","OPEN",IF(OR(NOT(ISNUMBER(H482)),NOT(ISNUMBER(I482)),NOT(ISNUMBER(K482)),ABS(J482)&gt;K482),"FAIL","PASS"))</x:f>
        <x:v>OPEN</x:v>
      </x:c>
    </x:row>
    <x:row r="483">
      <x:c r="B483" s="7" t="str">
        <x:v>CAL-CH-PEA-A-Y1-08-3</x:v>
      </x:c>
      <x:c r="C483" s="7" t="str">
        <x:v>CH-PEA-A-Y1-08-3</x:v>
      </x:c>
      <x:c r="D483" s="7" t="str">
        <x:v>PEA-A-Y1</x:v>
      </x:c>
      <x:c r="E483" s="7" t="str">
        <x:v>BLD-A</x:v>
      </x:c>
      <x:c r="F483" s="7" t="str">
        <x:v>BL-Y</x:v>
      </x:c>
      <x:c r="G483" s="7" t="str">
        <x:v>MF-08</x:v>
      </x:c>
      <x:c r="H483" s="7" t="str"/>
      <x:c r="I483" s="7" t="str"/>
      <x:c r="J483" s="7" t="str">
        <x:f>IF(OR(H483="",I483=""),"",I483-H483)</x:f>
      </x:c>
      <x:c r="K483" s="7" t="str"/>
      <x:c r="L483" s="7" t="str"/>
      <x:c r="M483" s="7" t="str">
        <x:f>IF(L483="","OPEN",IF(OR(NOT(ISNUMBER(H483)),NOT(ISNUMBER(I483)),NOT(ISNUMBER(K483)),ABS(J483)&gt;K483),"FAIL","PASS"))</x:f>
        <x:v>OPEN</x:v>
      </x:c>
    </x:row>
    <x:row r="484">
      <x:c r="B484" s="7" t="str">
        <x:v>CAL-CH-PEA-A-Y1-08-4</x:v>
      </x:c>
      <x:c r="C484" s="7" t="str">
        <x:v>CH-PEA-A-Y1-08-4</x:v>
      </x:c>
      <x:c r="D484" s="7" t="str">
        <x:v>PEA-A-Y1</x:v>
      </x:c>
      <x:c r="E484" s="7" t="str">
        <x:v>BLD-A</x:v>
      </x:c>
      <x:c r="F484" s="7" t="str">
        <x:v>BL-Y</x:v>
      </x:c>
      <x:c r="G484" s="7" t="str">
        <x:v>MF-08</x:v>
      </x:c>
      <x:c r="H484" s="7" t="str"/>
      <x:c r="I484" s="7" t="str"/>
      <x:c r="J484" s="7" t="str">
        <x:f>IF(OR(H484="",I484=""),"",I484-H484)</x:f>
      </x:c>
      <x:c r="K484" s="7" t="str"/>
      <x:c r="L484" s="7" t="str"/>
      <x:c r="M484" s="7" t="str">
        <x:f>IF(L484="","OPEN",IF(OR(NOT(ISNUMBER(H484)),NOT(ISNUMBER(I484)),NOT(ISNUMBER(K484)),ABS(J484)&gt;K484),"FAIL","PASS"))</x:f>
        <x:v>OPEN</x:v>
      </x:c>
    </x:row>
    <x:row r="485">
      <x:c r="B485" s="7" t="str">
        <x:v>CAL-CH-PEA-A-Y1-08-5</x:v>
      </x:c>
      <x:c r="C485" s="7" t="str">
        <x:v>CH-PEA-A-Y1-08-5</x:v>
      </x:c>
      <x:c r="D485" s="7" t="str">
        <x:v>PEA-A-Y1</x:v>
      </x:c>
      <x:c r="E485" s="7" t="str">
        <x:v>BLD-A</x:v>
      </x:c>
      <x:c r="F485" s="7" t="str">
        <x:v>BL-Y</x:v>
      </x:c>
      <x:c r="G485" s="7" t="str">
        <x:v>MF-08</x:v>
      </x:c>
      <x:c r="H485" s="7" t="str"/>
      <x:c r="I485" s="7" t="str"/>
      <x:c r="J485" s="7" t="str">
        <x:f>IF(OR(H485="",I485=""),"",I485-H485)</x:f>
      </x:c>
      <x:c r="K485" s="7" t="str"/>
      <x:c r="L485" s="7" t="str"/>
      <x:c r="M485" s="7" t="str">
        <x:f>IF(L485="","OPEN",IF(OR(NOT(ISNUMBER(H485)),NOT(ISNUMBER(I485)),NOT(ISNUMBER(K485)),ABS(J485)&gt;K485),"FAIL","PASS"))</x:f>
        <x:v>OPEN</x:v>
      </x:c>
    </x:row>
    <x:row r="486">
      <x:c r="B486" s="7" t="str">
        <x:v>CAL-CH-PEA-A-Y1-08-6</x:v>
      </x:c>
      <x:c r="C486" s="7" t="str">
        <x:v>CH-PEA-A-Y1-08-6</x:v>
      </x:c>
      <x:c r="D486" s="7" t="str">
        <x:v>PEA-A-Y1</x:v>
      </x:c>
      <x:c r="E486" s="7" t="str">
        <x:v>BLD-A</x:v>
      </x:c>
      <x:c r="F486" s="7" t="str">
        <x:v>BL-Y</x:v>
      </x:c>
      <x:c r="G486" s="7" t="str">
        <x:v>MF-08</x:v>
      </x:c>
      <x:c r="H486" s="7" t="str"/>
      <x:c r="I486" s="7" t="str"/>
      <x:c r="J486" s="7" t="str">
        <x:f>IF(OR(H486="",I486=""),"",I486-H486)</x:f>
      </x:c>
      <x:c r="K486" s="7" t="str"/>
      <x:c r="L486" s="7" t="str"/>
      <x:c r="M486" s="7" t="str">
        <x:f>IF(L486="","OPEN",IF(OR(NOT(ISNUMBER(H486)),NOT(ISNUMBER(I486)),NOT(ISNUMBER(K486)),ABS(J486)&gt;K486),"FAIL","PASS"))</x:f>
        <x:v>OPEN</x:v>
      </x:c>
    </x:row>
    <x:row r="487">
      <x:c r="B487" s="7" t="str">
        <x:v>CAL-CH-PEA-A-Y1-09-1</x:v>
      </x:c>
      <x:c r="C487" s="7" t="str">
        <x:v>CH-PEA-A-Y1-09-1</x:v>
      </x:c>
      <x:c r="D487" s="7" t="str">
        <x:v>PEA-A-Y1</x:v>
      </x:c>
      <x:c r="E487" s="7" t="str">
        <x:v>BLD-A</x:v>
      </x:c>
      <x:c r="F487" s="7" t="str">
        <x:v>BL-Y</x:v>
      </x:c>
      <x:c r="G487" s="7" t="str">
        <x:v>MF-09</x:v>
      </x:c>
      <x:c r="H487" s="7" t="str"/>
      <x:c r="I487" s="7" t="str"/>
      <x:c r="J487" s="7" t="str">
        <x:f>IF(OR(H487="",I487=""),"",I487-H487)</x:f>
      </x:c>
      <x:c r="K487" s="7" t="str"/>
      <x:c r="L487" s="7" t="str"/>
      <x:c r="M487" s="7" t="str">
        <x:f>IF(L487="","OPEN",IF(OR(NOT(ISNUMBER(H487)),NOT(ISNUMBER(I487)),NOT(ISNUMBER(K487)),ABS(J487)&gt;K487),"FAIL","PASS"))</x:f>
        <x:v>OPEN</x:v>
      </x:c>
    </x:row>
    <x:row r="488">
      <x:c r="B488" s="7" t="str">
        <x:v>CAL-CH-PEA-A-Y1-09-2</x:v>
      </x:c>
      <x:c r="C488" s="7" t="str">
        <x:v>CH-PEA-A-Y1-09-2</x:v>
      </x:c>
      <x:c r="D488" s="7" t="str">
        <x:v>PEA-A-Y1</x:v>
      </x:c>
      <x:c r="E488" s="7" t="str">
        <x:v>BLD-A</x:v>
      </x:c>
      <x:c r="F488" s="7" t="str">
        <x:v>BL-Y</x:v>
      </x:c>
      <x:c r="G488" s="7" t="str">
        <x:v>MF-09</x:v>
      </x:c>
      <x:c r="H488" s="7" t="str"/>
      <x:c r="I488" s="7" t="str"/>
      <x:c r="J488" s="7" t="str">
        <x:f>IF(OR(H488="",I488=""),"",I488-H488)</x:f>
      </x:c>
      <x:c r="K488" s="7" t="str"/>
      <x:c r="L488" s="7" t="str"/>
      <x:c r="M488" s="7" t="str">
        <x:f>IF(L488="","OPEN",IF(OR(NOT(ISNUMBER(H488)),NOT(ISNUMBER(I488)),NOT(ISNUMBER(K488)),ABS(J488)&gt;K488),"FAIL","PASS"))</x:f>
        <x:v>OPEN</x:v>
      </x:c>
    </x:row>
    <x:row r="489">
      <x:c r="B489" s="7" t="str">
        <x:v>CAL-CH-PEA-A-Y1-09-3</x:v>
      </x:c>
      <x:c r="C489" s="7" t="str">
        <x:v>CH-PEA-A-Y1-09-3</x:v>
      </x:c>
      <x:c r="D489" s="7" t="str">
        <x:v>PEA-A-Y1</x:v>
      </x:c>
      <x:c r="E489" s="7" t="str">
        <x:v>BLD-A</x:v>
      </x:c>
      <x:c r="F489" s="7" t="str">
        <x:v>BL-Y</x:v>
      </x:c>
      <x:c r="G489" s="7" t="str">
        <x:v>MF-09</x:v>
      </x:c>
      <x:c r="H489" s="7" t="str"/>
      <x:c r="I489" s="7" t="str"/>
      <x:c r="J489" s="7" t="str">
        <x:f>IF(OR(H489="",I489=""),"",I489-H489)</x:f>
      </x:c>
      <x:c r="K489" s="7" t="str"/>
      <x:c r="L489" s="7" t="str"/>
      <x:c r="M489" s="7" t="str">
        <x:f>IF(L489="","OPEN",IF(OR(NOT(ISNUMBER(H489)),NOT(ISNUMBER(I489)),NOT(ISNUMBER(K489)),ABS(J489)&gt;K489),"FAIL","PASS"))</x:f>
        <x:v>OPEN</x:v>
      </x:c>
    </x:row>
    <x:row r="490">
      <x:c r="B490" s="7" t="str">
        <x:v>CAL-CH-PEA-A-Y1-09-4</x:v>
      </x:c>
      <x:c r="C490" s="7" t="str">
        <x:v>CH-PEA-A-Y1-09-4</x:v>
      </x:c>
      <x:c r="D490" s="7" t="str">
        <x:v>PEA-A-Y1</x:v>
      </x:c>
      <x:c r="E490" s="7" t="str">
        <x:v>BLD-A</x:v>
      </x:c>
      <x:c r="F490" s="7" t="str">
        <x:v>BL-Y</x:v>
      </x:c>
      <x:c r="G490" s="7" t="str">
        <x:v>MF-09</x:v>
      </x:c>
      <x:c r="H490" s="7" t="str"/>
      <x:c r="I490" s="7" t="str"/>
      <x:c r="J490" s="7" t="str">
        <x:f>IF(OR(H490="",I490=""),"",I490-H490)</x:f>
      </x:c>
      <x:c r="K490" s="7" t="str"/>
      <x:c r="L490" s="7" t="str"/>
      <x:c r="M490" s="7" t="str">
        <x:f>IF(L490="","OPEN",IF(OR(NOT(ISNUMBER(H490)),NOT(ISNUMBER(I490)),NOT(ISNUMBER(K490)),ABS(J490)&gt;K490),"FAIL","PASS"))</x:f>
        <x:v>OPEN</x:v>
      </x:c>
    </x:row>
    <x:row r="491">
      <x:c r="B491" s="7" t="str">
        <x:v>CAL-CH-PEA-A-Y1-09-5</x:v>
      </x:c>
      <x:c r="C491" s="7" t="str">
        <x:v>CH-PEA-A-Y1-09-5</x:v>
      </x:c>
      <x:c r="D491" s="7" t="str">
        <x:v>PEA-A-Y1</x:v>
      </x:c>
      <x:c r="E491" s="7" t="str">
        <x:v>BLD-A</x:v>
      </x:c>
      <x:c r="F491" s="7" t="str">
        <x:v>BL-Y</x:v>
      </x:c>
      <x:c r="G491" s="7" t="str">
        <x:v>MF-09</x:v>
      </x:c>
      <x:c r="H491" s="7" t="str"/>
      <x:c r="I491" s="7" t="str"/>
      <x:c r="J491" s="7" t="str">
        <x:f>IF(OR(H491="",I491=""),"",I491-H491)</x:f>
      </x:c>
      <x:c r="K491" s="7" t="str"/>
      <x:c r="L491" s="7" t="str"/>
      <x:c r="M491" s="7" t="str">
        <x:f>IF(L491="","OPEN",IF(OR(NOT(ISNUMBER(H491)),NOT(ISNUMBER(I491)),NOT(ISNUMBER(K491)),ABS(J491)&gt;K491),"FAIL","PASS"))</x:f>
        <x:v>OPEN</x:v>
      </x:c>
    </x:row>
    <x:row r="492">
      <x:c r="B492" s="7" t="str">
        <x:v>CAL-CH-PEA-A-Y1-09-6</x:v>
      </x:c>
      <x:c r="C492" s="7" t="str">
        <x:v>CH-PEA-A-Y1-09-6</x:v>
      </x:c>
      <x:c r="D492" s="7" t="str">
        <x:v>PEA-A-Y1</x:v>
      </x:c>
      <x:c r="E492" s="7" t="str">
        <x:v>BLD-A</x:v>
      </x:c>
      <x:c r="F492" s="7" t="str">
        <x:v>BL-Y</x:v>
      </x:c>
      <x:c r="G492" s="7" t="str">
        <x:v>MF-09</x:v>
      </x:c>
      <x:c r="H492" s="7" t="str"/>
      <x:c r="I492" s="7" t="str"/>
      <x:c r="J492" s="7" t="str">
        <x:f>IF(OR(H492="",I492=""),"",I492-H492)</x:f>
      </x:c>
      <x:c r="K492" s="7" t="str"/>
      <x:c r="L492" s="7" t="str"/>
      <x:c r="M492" s="7" t="str">
        <x:f>IF(L492="","OPEN",IF(OR(NOT(ISNUMBER(H492)),NOT(ISNUMBER(I492)),NOT(ISNUMBER(K492)),ABS(J492)&gt;K492),"FAIL","PASS"))</x:f>
        <x:v>OPEN</x:v>
      </x:c>
    </x:row>
    <x:row r="493">
      <x:c r="B493" s="7" t="str">
        <x:v>CAL-CH-PEA-A-Y1-10-1</x:v>
      </x:c>
      <x:c r="C493" s="7" t="str">
        <x:v>CH-PEA-A-Y1-10-1</x:v>
      </x:c>
      <x:c r="D493" s="7" t="str">
        <x:v>PEA-A-Y1</x:v>
      </x:c>
      <x:c r="E493" s="7" t="str">
        <x:v>BLD-A</x:v>
      </x:c>
      <x:c r="F493" s="7" t="str">
        <x:v>BL-Y</x:v>
      </x:c>
      <x:c r="G493" s="7" t="str">
        <x:v>MF-10</x:v>
      </x:c>
      <x:c r="H493" s="7" t="str"/>
      <x:c r="I493" s="7" t="str"/>
      <x:c r="J493" s="7" t="str">
        <x:f>IF(OR(H493="",I493=""),"",I493-H493)</x:f>
      </x:c>
      <x:c r="K493" s="7" t="str"/>
      <x:c r="L493" s="7" t="str"/>
      <x:c r="M493" s="7" t="str">
        <x:f>IF(L493="","OPEN",IF(OR(NOT(ISNUMBER(H493)),NOT(ISNUMBER(I493)),NOT(ISNUMBER(K493)),ABS(J493)&gt;K493),"FAIL","PASS"))</x:f>
        <x:v>OPEN</x:v>
      </x:c>
    </x:row>
    <x:row r="494">
      <x:c r="B494" s="7" t="str">
        <x:v>CAL-CH-PEA-A-Y1-10-2</x:v>
      </x:c>
      <x:c r="C494" s="7" t="str">
        <x:v>CH-PEA-A-Y1-10-2</x:v>
      </x:c>
      <x:c r="D494" s="7" t="str">
        <x:v>PEA-A-Y1</x:v>
      </x:c>
      <x:c r="E494" s="7" t="str">
        <x:v>BLD-A</x:v>
      </x:c>
      <x:c r="F494" s="7" t="str">
        <x:v>BL-Y</x:v>
      </x:c>
      <x:c r="G494" s="7" t="str">
        <x:v>MF-10</x:v>
      </x:c>
      <x:c r="H494" s="7" t="str"/>
      <x:c r="I494" s="7" t="str"/>
      <x:c r="J494" s="7" t="str">
        <x:f>IF(OR(H494="",I494=""),"",I494-H494)</x:f>
      </x:c>
      <x:c r="K494" s="7" t="str"/>
      <x:c r="L494" s="7" t="str"/>
      <x:c r="M494" s="7" t="str">
        <x:f>IF(L494="","OPEN",IF(OR(NOT(ISNUMBER(H494)),NOT(ISNUMBER(I494)),NOT(ISNUMBER(K494)),ABS(J494)&gt;K494),"FAIL","PASS"))</x:f>
        <x:v>OPEN</x:v>
      </x:c>
    </x:row>
    <x:row r="495">
      <x:c r="B495" s="7" t="str">
        <x:v>CAL-CH-PEA-A-Y1-10-3</x:v>
      </x:c>
      <x:c r="C495" s="7" t="str">
        <x:v>CH-PEA-A-Y1-10-3</x:v>
      </x:c>
      <x:c r="D495" s="7" t="str">
        <x:v>PEA-A-Y1</x:v>
      </x:c>
      <x:c r="E495" s="7" t="str">
        <x:v>BLD-A</x:v>
      </x:c>
      <x:c r="F495" s="7" t="str">
        <x:v>BL-Y</x:v>
      </x:c>
      <x:c r="G495" s="7" t="str">
        <x:v>MF-10</x:v>
      </x:c>
      <x:c r="H495" s="7" t="str"/>
      <x:c r="I495" s="7" t="str"/>
      <x:c r="J495" s="7" t="str">
        <x:f>IF(OR(H495="",I495=""),"",I495-H495)</x:f>
      </x:c>
      <x:c r="K495" s="7" t="str"/>
      <x:c r="L495" s="7" t="str"/>
      <x:c r="M495" s="7" t="str">
        <x:f>IF(L495="","OPEN",IF(OR(NOT(ISNUMBER(H495)),NOT(ISNUMBER(I495)),NOT(ISNUMBER(K495)),ABS(J495)&gt;K495),"FAIL","PASS"))</x:f>
        <x:v>OPEN</x:v>
      </x:c>
    </x:row>
    <x:row r="496">
      <x:c r="B496" s="7" t="str">
        <x:v>CAL-CH-PEA-A-Y1-10-4</x:v>
      </x:c>
      <x:c r="C496" s="7" t="str">
        <x:v>CH-PEA-A-Y1-10-4</x:v>
      </x:c>
      <x:c r="D496" s="7" t="str">
        <x:v>PEA-A-Y1</x:v>
      </x:c>
      <x:c r="E496" s="7" t="str">
        <x:v>BLD-A</x:v>
      </x:c>
      <x:c r="F496" s="7" t="str">
        <x:v>BL-Y</x:v>
      </x:c>
      <x:c r="G496" s="7" t="str">
        <x:v>MF-10</x:v>
      </x:c>
      <x:c r="H496" s="7" t="str"/>
      <x:c r="I496" s="7" t="str"/>
      <x:c r="J496" s="7" t="str">
        <x:f>IF(OR(H496="",I496=""),"",I496-H496)</x:f>
      </x:c>
      <x:c r="K496" s="7" t="str"/>
      <x:c r="L496" s="7" t="str"/>
      <x:c r="M496" s="7" t="str">
        <x:f>IF(L496="","OPEN",IF(OR(NOT(ISNUMBER(H496)),NOT(ISNUMBER(I496)),NOT(ISNUMBER(K496)),ABS(J496)&gt;K496),"FAIL","PASS"))</x:f>
        <x:v>OPEN</x:v>
      </x:c>
    </x:row>
    <x:row r="497">
      <x:c r="B497" s="7" t="str">
        <x:v>CAL-CH-PEA-A-Y1-10-5</x:v>
      </x:c>
      <x:c r="C497" s="7" t="str">
        <x:v>CH-PEA-A-Y1-10-5</x:v>
      </x:c>
      <x:c r="D497" s="7" t="str">
        <x:v>PEA-A-Y1</x:v>
      </x:c>
      <x:c r="E497" s="7" t="str">
        <x:v>BLD-A</x:v>
      </x:c>
      <x:c r="F497" s="7" t="str">
        <x:v>BL-Y</x:v>
      </x:c>
      <x:c r="G497" s="7" t="str">
        <x:v>MF-10</x:v>
      </x:c>
      <x:c r="H497" s="7" t="str"/>
      <x:c r="I497" s="7" t="str"/>
      <x:c r="J497" s="7" t="str">
        <x:f>IF(OR(H497="",I497=""),"",I497-H497)</x:f>
      </x:c>
      <x:c r="K497" s="7" t="str"/>
      <x:c r="L497" s="7" t="str"/>
      <x:c r="M497" s="7" t="str">
        <x:f>IF(L497="","OPEN",IF(OR(NOT(ISNUMBER(H497)),NOT(ISNUMBER(I497)),NOT(ISNUMBER(K497)),ABS(J497)&gt;K497),"FAIL","PASS"))</x:f>
        <x:v>OPEN</x:v>
      </x:c>
    </x:row>
    <x:row r="498">
      <x:c r="B498" s="7" t="str">
        <x:v>CAL-CH-PEA-A-Y1-10-6</x:v>
      </x:c>
      <x:c r="C498" s="7" t="str">
        <x:v>CH-PEA-A-Y1-10-6</x:v>
      </x:c>
      <x:c r="D498" s="7" t="str">
        <x:v>PEA-A-Y1</x:v>
      </x:c>
      <x:c r="E498" s="7" t="str">
        <x:v>BLD-A</x:v>
      </x:c>
      <x:c r="F498" s="7" t="str">
        <x:v>BL-Y</x:v>
      </x:c>
      <x:c r="G498" s="7" t="str">
        <x:v>MF-10</x:v>
      </x:c>
      <x:c r="H498" s="7" t="str"/>
      <x:c r="I498" s="7" t="str"/>
      <x:c r="J498" s="7" t="str">
        <x:f>IF(OR(H498="",I498=""),"",I498-H498)</x:f>
      </x:c>
      <x:c r="K498" s="7" t="str"/>
      <x:c r="L498" s="7" t="str"/>
      <x:c r="M498" s="7" t="str">
        <x:f>IF(L498="","OPEN",IF(OR(NOT(ISNUMBER(H498)),NOT(ISNUMBER(I498)),NOT(ISNUMBER(K498)),ABS(J498)&gt;K498),"FAIL","PASS"))</x:f>
        <x:v>OPEN</x:v>
      </x:c>
    </x:row>
    <x:row r="499">
      <x:c r="B499" s="7" t="str">
        <x:v>CAL-CH-PEA-A-Y1-11-1</x:v>
      </x:c>
      <x:c r="C499" s="7" t="str">
        <x:v>CH-PEA-A-Y1-11-1</x:v>
      </x:c>
      <x:c r="D499" s="7" t="str">
        <x:v>PEA-A-Y1</x:v>
      </x:c>
      <x:c r="E499" s="7" t="str">
        <x:v>BLD-A</x:v>
      </x:c>
      <x:c r="F499" s="7" t="str">
        <x:v>BL-Y</x:v>
      </x:c>
      <x:c r="G499" s="7" t="str">
        <x:v>MF-11</x:v>
      </x:c>
      <x:c r="H499" s="7" t="str"/>
      <x:c r="I499" s="7" t="str"/>
      <x:c r="J499" s="7" t="str">
        <x:f>IF(OR(H499="",I499=""),"",I499-H499)</x:f>
      </x:c>
      <x:c r="K499" s="7" t="str"/>
      <x:c r="L499" s="7" t="str"/>
      <x:c r="M499" s="7" t="str">
        <x:f>IF(L499="","OPEN",IF(OR(NOT(ISNUMBER(H499)),NOT(ISNUMBER(I499)),NOT(ISNUMBER(K499)),ABS(J499)&gt;K499),"FAIL","PASS"))</x:f>
        <x:v>OPEN</x:v>
      </x:c>
    </x:row>
    <x:row r="500">
      <x:c r="B500" s="7" t="str">
        <x:v>CAL-CH-PEA-A-Y1-11-2</x:v>
      </x:c>
      <x:c r="C500" s="7" t="str">
        <x:v>CH-PEA-A-Y1-11-2</x:v>
      </x:c>
      <x:c r="D500" s="7" t="str">
        <x:v>PEA-A-Y1</x:v>
      </x:c>
      <x:c r="E500" s="7" t="str">
        <x:v>BLD-A</x:v>
      </x:c>
      <x:c r="F500" s="7" t="str">
        <x:v>BL-Y</x:v>
      </x:c>
      <x:c r="G500" s="7" t="str">
        <x:v>MF-11</x:v>
      </x:c>
      <x:c r="H500" s="7" t="str"/>
      <x:c r="I500" s="7" t="str"/>
      <x:c r="J500" s="7" t="str">
        <x:f>IF(OR(H500="",I500=""),"",I500-H500)</x:f>
      </x:c>
      <x:c r="K500" s="7" t="str"/>
      <x:c r="L500" s="7" t="str"/>
      <x:c r="M500" s="7" t="str">
        <x:f>IF(L500="","OPEN",IF(OR(NOT(ISNUMBER(H500)),NOT(ISNUMBER(I500)),NOT(ISNUMBER(K500)),ABS(J500)&gt;K500),"FAIL","PASS"))</x:f>
        <x:v>OPEN</x:v>
      </x:c>
    </x:row>
    <x:row r="501">
      <x:c r="B501" s="7" t="str">
        <x:v>CAL-CH-PEA-A-Y1-11-3</x:v>
      </x:c>
      <x:c r="C501" s="7" t="str">
        <x:v>CH-PEA-A-Y1-11-3</x:v>
      </x:c>
      <x:c r="D501" s="7" t="str">
        <x:v>PEA-A-Y1</x:v>
      </x:c>
      <x:c r="E501" s="7" t="str">
        <x:v>BLD-A</x:v>
      </x:c>
      <x:c r="F501" s="7" t="str">
        <x:v>BL-Y</x:v>
      </x:c>
      <x:c r="G501" s="7" t="str">
        <x:v>MF-11</x:v>
      </x:c>
      <x:c r="H501" s="7" t="str"/>
      <x:c r="I501" s="7" t="str"/>
      <x:c r="J501" s="7" t="str">
        <x:f>IF(OR(H501="",I501=""),"",I501-H501)</x:f>
      </x:c>
      <x:c r="K501" s="7" t="str"/>
      <x:c r="L501" s="7" t="str"/>
      <x:c r="M501" s="7" t="str">
        <x:f>IF(L501="","OPEN",IF(OR(NOT(ISNUMBER(H501)),NOT(ISNUMBER(I501)),NOT(ISNUMBER(K501)),ABS(J501)&gt;K501),"FAIL","PASS"))</x:f>
        <x:v>OPEN</x:v>
      </x:c>
    </x:row>
    <x:row r="502">
      <x:c r="B502" s="7" t="str">
        <x:v>CAL-CH-PEA-A-Y1-11-4</x:v>
      </x:c>
      <x:c r="C502" s="7" t="str">
        <x:v>CH-PEA-A-Y1-11-4</x:v>
      </x:c>
      <x:c r="D502" s="7" t="str">
        <x:v>PEA-A-Y1</x:v>
      </x:c>
      <x:c r="E502" s="7" t="str">
        <x:v>BLD-A</x:v>
      </x:c>
      <x:c r="F502" s="7" t="str">
        <x:v>BL-Y</x:v>
      </x:c>
      <x:c r="G502" s="7" t="str">
        <x:v>MF-11</x:v>
      </x:c>
      <x:c r="H502" s="7" t="str"/>
      <x:c r="I502" s="7" t="str"/>
      <x:c r="J502" s="7" t="str">
        <x:f>IF(OR(H502="",I502=""),"",I502-H502)</x:f>
      </x:c>
      <x:c r="K502" s="7" t="str"/>
      <x:c r="L502" s="7" t="str"/>
      <x:c r="M502" s="7" t="str">
        <x:f>IF(L502="","OPEN",IF(OR(NOT(ISNUMBER(H502)),NOT(ISNUMBER(I502)),NOT(ISNUMBER(K502)),ABS(J502)&gt;K502),"FAIL","PASS"))</x:f>
        <x:v>OPEN</x:v>
      </x:c>
    </x:row>
    <x:row r="503">
      <x:c r="B503" s="7" t="str">
        <x:v>CAL-CH-PEA-A-Y1-11-5</x:v>
      </x:c>
      <x:c r="C503" s="7" t="str">
        <x:v>CH-PEA-A-Y1-11-5</x:v>
      </x:c>
      <x:c r="D503" s="7" t="str">
        <x:v>PEA-A-Y1</x:v>
      </x:c>
      <x:c r="E503" s="7" t="str">
        <x:v>BLD-A</x:v>
      </x:c>
      <x:c r="F503" s="7" t="str">
        <x:v>BL-Y</x:v>
      </x:c>
      <x:c r="G503" s="7" t="str">
        <x:v>MF-11</x:v>
      </x:c>
      <x:c r="H503" s="7" t="str"/>
      <x:c r="I503" s="7" t="str"/>
      <x:c r="J503" s="7" t="str">
        <x:f>IF(OR(H503="",I503=""),"",I503-H503)</x:f>
      </x:c>
      <x:c r="K503" s="7" t="str"/>
      <x:c r="L503" s="7" t="str"/>
      <x:c r="M503" s="7" t="str">
        <x:f>IF(L503="","OPEN",IF(OR(NOT(ISNUMBER(H503)),NOT(ISNUMBER(I503)),NOT(ISNUMBER(K503)),ABS(J503)&gt;K503),"FAIL","PASS"))</x:f>
        <x:v>OPEN</x:v>
      </x:c>
    </x:row>
    <x:row r="504">
      <x:c r="B504" s="7" t="str">
        <x:v>CAL-CH-PEA-A-Y1-11-6</x:v>
      </x:c>
      <x:c r="C504" s="7" t="str">
        <x:v>CH-PEA-A-Y1-11-6</x:v>
      </x:c>
      <x:c r="D504" s="7" t="str">
        <x:v>PEA-A-Y1</x:v>
      </x:c>
      <x:c r="E504" s="7" t="str">
        <x:v>BLD-A</x:v>
      </x:c>
      <x:c r="F504" s="7" t="str">
        <x:v>BL-Y</x:v>
      </x:c>
      <x:c r="G504" s="7" t="str">
        <x:v>MF-11</x:v>
      </x:c>
      <x:c r="H504" s="7" t="str"/>
      <x:c r="I504" s="7" t="str"/>
      <x:c r="J504" s="7" t="str">
        <x:f>IF(OR(H504="",I504=""),"",I504-H504)</x:f>
      </x:c>
      <x:c r="K504" s="7" t="str"/>
      <x:c r="L504" s="7" t="str"/>
      <x:c r="M504" s="7" t="str">
        <x:f>IF(L504="","OPEN",IF(OR(NOT(ISNUMBER(H504)),NOT(ISNUMBER(I504)),NOT(ISNUMBER(K504)),ABS(J504)&gt;K504),"FAIL","PASS"))</x:f>
        <x:v>OPEN</x:v>
      </x:c>
    </x:row>
    <x:row r="505">
      <x:c r="B505" s="7" t="str">
        <x:v>CAL-CH-PEA-A-Y1-12-1</x:v>
      </x:c>
      <x:c r="C505" s="7" t="str">
        <x:v>CH-PEA-A-Y1-12-1</x:v>
      </x:c>
      <x:c r="D505" s="7" t="str">
        <x:v>PEA-A-Y1</x:v>
      </x:c>
      <x:c r="E505" s="7" t="str">
        <x:v>BLD-A</x:v>
      </x:c>
      <x:c r="F505" s="7" t="str">
        <x:v>BL-Y</x:v>
      </x:c>
      <x:c r="G505" s="7" t="str">
        <x:v>MF-12</x:v>
      </x:c>
      <x:c r="H505" s="7" t="str"/>
      <x:c r="I505" s="7" t="str"/>
      <x:c r="J505" s="7" t="str">
        <x:f>IF(OR(H505="",I505=""),"",I505-H505)</x:f>
      </x:c>
      <x:c r="K505" s="7" t="str"/>
      <x:c r="L505" s="7" t="str"/>
      <x:c r="M505" s="7" t="str">
        <x:f>IF(L505="","OPEN",IF(OR(NOT(ISNUMBER(H505)),NOT(ISNUMBER(I505)),NOT(ISNUMBER(K505)),ABS(J505)&gt;K505),"FAIL","PASS"))</x:f>
        <x:v>OPEN</x:v>
      </x:c>
    </x:row>
    <x:row r="506">
      <x:c r="B506" s="7" t="str">
        <x:v>CAL-CH-PEA-A-Y1-12-2</x:v>
      </x:c>
      <x:c r="C506" s="7" t="str">
        <x:v>CH-PEA-A-Y1-12-2</x:v>
      </x:c>
      <x:c r="D506" s="7" t="str">
        <x:v>PEA-A-Y1</x:v>
      </x:c>
      <x:c r="E506" s="7" t="str">
        <x:v>BLD-A</x:v>
      </x:c>
      <x:c r="F506" s="7" t="str">
        <x:v>BL-Y</x:v>
      </x:c>
      <x:c r="G506" s="7" t="str">
        <x:v>MF-12</x:v>
      </x:c>
      <x:c r="H506" s="7" t="str"/>
      <x:c r="I506" s="7" t="str"/>
      <x:c r="J506" s="7" t="str">
        <x:f>IF(OR(H506="",I506=""),"",I506-H506)</x:f>
      </x:c>
      <x:c r="K506" s="7" t="str"/>
      <x:c r="L506" s="7" t="str"/>
      <x:c r="M506" s="7" t="str">
        <x:f>IF(L506="","OPEN",IF(OR(NOT(ISNUMBER(H506)),NOT(ISNUMBER(I506)),NOT(ISNUMBER(K506)),ABS(J506)&gt;K506),"FAIL","PASS"))</x:f>
        <x:v>OPEN</x:v>
      </x:c>
    </x:row>
    <x:row r="507">
      <x:c r="B507" s="7" t="str">
        <x:v>CAL-CH-PEA-A-Y1-12-3</x:v>
      </x:c>
      <x:c r="C507" s="7" t="str">
        <x:v>CH-PEA-A-Y1-12-3</x:v>
      </x:c>
      <x:c r="D507" s="7" t="str">
        <x:v>PEA-A-Y1</x:v>
      </x:c>
      <x:c r="E507" s="7" t="str">
        <x:v>BLD-A</x:v>
      </x:c>
      <x:c r="F507" s="7" t="str">
        <x:v>BL-Y</x:v>
      </x:c>
      <x:c r="G507" s="7" t="str">
        <x:v>MF-12</x:v>
      </x:c>
      <x:c r="H507" s="7" t="str"/>
      <x:c r="I507" s="7" t="str"/>
      <x:c r="J507" s="7" t="str">
        <x:f>IF(OR(H507="",I507=""),"",I507-H507)</x:f>
      </x:c>
      <x:c r="K507" s="7" t="str"/>
      <x:c r="L507" s="7" t="str"/>
      <x:c r="M507" s="7" t="str">
        <x:f>IF(L507="","OPEN",IF(OR(NOT(ISNUMBER(H507)),NOT(ISNUMBER(I507)),NOT(ISNUMBER(K507)),ABS(J507)&gt;K507),"FAIL","PASS"))</x:f>
        <x:v>OPEN</x:v>
      </x:c>
    </x:row>
    <x:row r="508">
      <x:c r="B508" s="7" t="str">
        <x:v>CAL-CH-PEA-A-Y1-12-4</x:v>
      </x:c>
      <x:c r="C508" s="7" t="str">
        <x:v>CH-PEA-A-Y1-12-4</x:v>
      </x:c>
      <x:c r="D508" s="7" t="str">
        <x:v>PEA-A-Y1</x:v>
      </x:c>
      <x:c r="E508" s="7" t="str">
        <x:v>BLD-A</x:v>
      </x:c>
      <x:c r="F508" s="7" t="str">
        <x:v>BL-Y</x:v>
      </x:c>
      <x:c r="G508" s="7" t="str">
        <x:v>MF-12</x:v>
      </x:c>
      <x:c r="H508" s="7" t="str"/>
      <x:c r="I508" s="7" t="str"/>
      <x:c r="J508" s="7" t="str">
        <x:f>IF(OR(H508="",I508=""),"",I508-H508)</x:f>
      </x:c>
      <x:c r="K508" s="7" t="str"/>
      <x:c r="L508" s="7" t="str"/>
      <x:c r="M508" s="7" t="str">
        <x:f>IF(L508="","OPEN",IF(OR(NOT(ISNUMBER(H508)),NOT(ISNUMBER(I508)),NOT(ISNUMBER(K508)),ABS(J508)&gt;K508),"FAIL","PASS"))</x:f>
        <x:v>OPEN</x:v>
      </x:c>
    </x:row>
    <x:row r="509">
      <x:c r="B509" s="7" t="str">
        <x:v>CAL-CH-PEA-A-Y1-12-5</x:v>
      </x:c>
      <x:c r="C509" s="7" t="str">
        <x:v>CH-PEA-A-Y1-12-5</x:v>
      </x:c>
      <x:c r="D509" s="7" t="str">
        <x:v>PEA-A-Y1</x:v>
      </x:c>
      <x:c r="E509" s="7" t="str">
        <x:v>BLD-A</x:v>
      </x:c>
      <x:c r="F509" s="7" t="str">
        <x:v>BL-Y</x:v>
      </x:c>
      <x:c r="G509" s="7" t="str">
        <x:v>MF-12</x:v>
      </x:c>
      <x:c r="H509" s="7" t="str"/>
      <x:c r="I509" s="7" t="str"/>
      <x:c r="J509" s="7" t="str">
        <x:f>IF(OR(H509="",I509=""),"",I509-H509)</x:f>
      </x:c>
      <x:c r="K509" s="7" t="str"/>
      <x:c r="L509" s="7" t="str"/>
      <x:c r="M509" s="7" t="str">
        <x:f>IF(L509="","OPEN",IF(OR(NOT(ISNUMBER(H509)),NOT(ISNUMBER(I509)),NOT(ISNUMBER(K509)),ABS(J509)&gt;K509),"FAIL","PASS"))</x:f>
        <x:v>OPEN</x:v>
      </x:c>
    </x:row>
    <x:row r="510">
      <x:c r="B510" s="7" t="str">
        <x:v>CAL-CH-PEA-A-Y1-12-6</x:v>
      </x:c>
      <x:c r="C510" s="7" t="str">
        <x:v>CH-PEA-A-Y1-12-6</x:v>
      </x:c>
      <x:c r="D510" s="7" t="str">
        <x:v>PEA-A-Y1</x:v>
      </x:c>
      <x:c r="E510" s="7" t="str">
        <x:v>BLD-A</x:v>
      </x:c>
      <x:c r="F510" s="7" t="str">
        <x:v>BL-Y</x:v>
      </x:c>
      <x:c r="G510" s="7" t="str">
        <x:v>MF-12</x:v>
      </x:c>
      <x:c r="H510" s="7" t="str"/>
      <x:c r="I510" s="7" t="str"/>
      <x:c r="J510" s="7" t="str">
        <x:f>IF(OR(H510="",I510=""),"",I510-H510)</x:f>
      </x:c>
      <x:c r="K510" s="7" t="str"/>
      <x:c r="L510" s="7" t="str"/>
      <x:c r="M510" s="7" t="str">
        <x:f>IF(L510="","OPEN",IF(OR(NOT(ISNUMBER(H510)),NOT(ISNUMBER(I510)),NOT(ISNUMBER(K510)),ABS(J510)&gt;K510),"FAIL","PASS"))</x:f>
        <x:v>OPEN</x:v>
      </x:c>
    </x:row>
    <x:row r="511">
      <x:c r="B511" s="7" t="str">
        <x:v>CAL-CH-PEA-A-Y1-13-1</x:v>
      </x:c>
      <x:c r="C511" s="7" t="str">
        <x:v>CH-PEA-A-Y1-13-1</x:v>
      </x:c>
      <x:c r="D511" s="7" t="str">
        <x:v>PEA-A-Y1</x:v>
      </x:c>
      <x:c r="E511" s="7" t="str">
        <x:v>BLD-A</x:v>
      </x:c>
      <x:c r="F511" s="7" t="str">
        <x:v>BL-Y</x:v>
      </x:c>
      <x:c r="G511" s="7" t="str">
        <x:v>MF-13</x:v>
      </x:c>
      <x:c r="H511" s="7" t="str"/>
      <x:c r="I511" s="7" t="str"/>
      <x:c r="J511" s="7" t="str">
        <x:f>IF(OR(H511="",I511=""),"",I511-H511)</x:f>
      </x:c>
      <x:c r="K511" s="7" t="str"/>
      <x:c r="L511" s="7" t="str"/>
      <x:c r="M511" s="7" t="str">
        <x:f>IF(L511="","OPEN",IF(OR(NOT(ISNUMBER(H511)),NOT(ISNUMBER(I511)),NOT(ISNUMBER(K511)),ABS(J511)&gt;K511),"FAIL","PASS"))</x:f>
        <x:v>OPEN</x:v>
      </x:c>
    </x:row>
    <x:row r="512">
      <x:c r="B512" s="7" t="str">
        <x:v>CAL-CH-PEA-A-Y1-13-2</x:v>
      </x:c>
      <x:c r="C512" s="7" t="str">
        <x:v>CH-PEA-A-Y1-13-2</x:v>
      </x:c>
      <x:c r="D512" s="7" t="str">
        <x:v>PEA-A-Y1</x:v>
      </x:c>
      <x:c r="E512" s="7" t="str">
        <x:v>BLD-A</x:v>
      </x:c>
      <x:c r="F512" s="7" t="str">
        <x:v>BL-Y</x:v>
      </x:c>
      <x:c r="G512" s="7" t="str">
        <x:v>MF-13</x:v>
      </x:c>
      <x:c r="H512" s="7" t="str"/>
      <x:c r="I512" s="7" t="str"/>
      <x:c r="J512" s="7" t="str">
        <x:f>IF(OR(H512="",I512=""),"",I512-H512)</x:f>
      </x:c>
      <x:c r="K512" s="7" t="str"/>
      <x:c r="L512" s="7" t="str"/>
      <x:c r="M512" s="7" t="str">
        <x:f>IF(L512="","OPEN",IF(OR(NOT(ISNUMBER(H512)),NOT(ISNUMBER(I512)),NOT(ISNUMBER(K512)),ABS(J512)&gt;K512),"FAIL","PASS"))</x:f>
        <x:v>OPEN</x:v>
      </x:c>
    </x:row>
    <x:row r="513">
      <x:c r="B513" s="7" t="str">
        <x:v>CAL-CH-PEA-A-Y1-13-3</x:v>
      </x:c>
      <x:c r="C513" s="7" t="str">
        <x:v>CH-PEA-A-Y1-13-3</x:v>
      </x:c>
      <x:c r="D513" s="7" t="str">
        <x:v>PEA-A-Y1</x:v>
      </x:c>
      <x:c r="E513" s="7" t="str">
        <x:v>BLD-A</x:v>
      </x:c>
      <x:c r="F513" s="7" t="str">
        <x:v>BL-Y</x:v>
      </x:c>
      <x:c r="G513" s="7" t="str">
        <x:v>MF-13</x:v>
      </x:c>
      <x:c r="H513" s="7" t="str"/>
      <x:c r="I513" s="7" t="str"/>
      <x:c r="J513" s="7" t="str">
        <x:f>IF(OR(H513="",I513=""),"",I513-H513)</x:f>
      </x:c>
      <x:c r="K513" s="7" t="str"/>
      <x:c r="L513" s="7" t="str"/>
      <x:c r="M513" s="7" t="str">
        <x:f>IF(L513="","OPEN",IF(OR(NOT(ISNUMBER(H513)),NOT(ISNUMBER(I513)),NOT(ISNUMBER(K513)),ABS(J513)&gt;K513),"FAIL","PASS"))</x:f>
        <x:v>OPEN</x:v>
      </x:c>
    </x:row>
    <x:row r="514">
      <x:c r="B514" s="7" t="str">
        <x:v>CAL-CH-PEA-A-Y1-13-4</x:v>
      </x:c>
      <x:c r="C514" s="7" t="str">
        <x:v>CH-PEA-A-Y1-13-4</x:v>
      </x:c>
      <x:c r="D514" s="7" t="str">
        <x:v>PEA-A-Y1</x:v>
      </x:c>
      <x:c r="E514" s="7" t="str">
        <x:v>BLD-A</x:v>
      </x:c>
      <x:c r="F514" s="7" t="str">
        <x:v>BL-Y</x:v>
      </x:c>
      <x:c r="G514" s="7" t="str">
        <x:v>MF-13</x:v>
      </x:c>
      <x:c r="H514" s="7" t="str"/>
      <x:c r="I514" s="7" t="str"/>
      <x:c r="J514" s="7" t="str">
        <x:f>IF(OR(H514="",I514=""),"",I514-H514)</x:f>
      </x:c>
      <x:c r="K514" s="7" t="str"/>
      <x:c r="L514" s="7" t="str"/>
      <x:c r="M514" s="7" t="str">
        <x:f>IF(L514="","OPEN",IF(OR(NOT(ISNUMBER(H514)),NOT(ISNUMBER(I514)),NOT(ISNUMBER(K514)),ABS(J514)&gt;K514),"FAIL","PASS"))</x:f>
        <x:v>OPEN</x:v>
      </x:c>
    </x:row>
    <x:row r="515">
      <x:c r="B515" s="7" t="str">
        <x:v>CAL-CH-PEA-A-Y1-13-5</x:v>
      </x:c>
      <x:c r="C515" s="7" t="str">
        <x:v>CH-PEA-A-Y1-13-5</x:v>
      </x:c>
      <x:c r="D515" s="7" t="str">
        <x:v>PEA-A-Y1</x:v>
      </x:c>
      <x:c r="E515" s="7" t="str">
        <x:v>BLD-A</x:v>
      </x:c>
      <x:c r="F515" s="7" t="str">
        <x:v>BL-Y</x:v>
      </x:c>
      <x:c r="G515" s="7" t="str">
        <x:v>MF-13</x:v>
      </x:c>
      <x:c r="H515" s="7" t="str"/>
      <x:c r="I515" s="7" t="str"/>
      <x:c r="J515" s="7" t="str">
        <x:f>IF(OR(H515="",I515=""),"",I515-H515)</x:f>
      </x:c>
      <x:c r="K515" s="7" t="str"/>
      <x:c r="L515" s="7" t="str"/>
      <x:c r="M515" s="7" t="str">
        <x:f>IF(L515="","OPEN",IF(OR(NOT(ISNUMBER(H515)),NOT(ISNUMBER(I515)),NOT(ISNUMBER(K515)),ABS(J515)&gt;K515),"FAIL","PASS"))</x:f>
        <x:v>OPEN</x:v>
      </x:c>
    </x:row>
    <x:row r="516">
      <x:c r="B516" s="7" t="str">
        <x:v>CAL-CH-PEA-A-Y1-13-6</x:v>
      </x:c>
      <x:c r="C516" s="7" t="str">
        <x:v>CH-PEA-A-Y1-13-6</x:v>
      </x:c>
      <x:c r="D516" s="7" t="str">
        <x:v>PEA-A-Y1</x:v>
      </x:c>
      <x:c r="E516" s="7" t="str">
        <x:v>BLD-A</x:v>
      </x:c>
      <x:c r="F516" s="7" t="str">
        <x:v>BL-Y</x:v>
      </x:c>
      <x:c r="G516" s="7" t="str">
        <x:v>MF-13</x:v>
      </x:c>
      <x:c r="H516" s="7" t="str"/>
      <x:c r="I516" s="7" t="str"/>
      <x:c r="J516" s="7" t="str">
        <x:f>IF(OR(H516="",I516=""),"",I516-H516)</x:f>
      </x:c>
      <x:c r="K516" s="7" t="str"/>
      <x:c r="L516" s="7" t="str"/>
      <x:c r="M516" s="7" t="str">
        <x:f>IF(L516="","OPEN",IF(OR(NOT(ISNUMBER(H516)),NOT(ISNUMBER(I516)),NOT(ISNUMBER(K516)),ABS(J516)&gt;K516),"FAIL","PASS"))</x:f>
        <x:v>OPEN</x:v>
      </x:c>
    </x:row>
    <x:row r="517">
      <x:c r="B517" s="7" t="str">
        <x:v>CAL-CH-PEA-A-Y1-14-1</x:v>
      </x:c>
      <x:c r="C517" s="7" t="str">
        <x:v>CH-PEA-A-Y1-14-1</x:v>
      </x:c>
      <x:c r="D517" s="7" t="str">
        <x:v>PEA-A-Y1</x:v>
      </x:c>
      <x:c r="E517" s="7" t="str">
        <x:v>BLD-A</x:v>
      </x:c>
      <x:c r="F517" s="7" t="str">
        <x:v>BL-Y</x:v>
      </x:c>
      <x:c r="G517" s="7" t="str">
        <x:v>MF-14</x:v>
      </x:c>
      <x:c r="H517" s="7" t="str"/>
      <x:c r="I517" s="7" t="str"/>
      <x:c r="J517" s="7" t="str">
        <x:f>IF(OR(H517="",I517=""),"",I517-H517)</x:f>
      </x:c>
      <x:c r="K517" s="7" t="str"/>
      <x:c r="L517" s="7" t="str"/>
      <x:c r="M517" s="7" t="str">
        <x:f>IF(L517="","OPEN",IF(OR(NOT(ISNUMBER(H517)),NOT(ISNUMBER(I517)),NOT(ISNUMBER(K517)),ABS(J517)&gt;K517),"FAIL","PASS"))</x:f>
        <x:v>OPEN</x:v>
      </x:c>
    </x:row>
    <x:row r="518">
      <x:c r="B518" s="7" t="str">
        <x:v>CAL-CH-PEA-A-Y1-14-2</x:v>
      </x:c>
      <x:c r="C518" s="7" t="str">
        <x:v>CH-PEA-A-Y1-14-2</x:v>
      </x:c>
      <x:c r="D518" s="7" t="str">
        <x:v>PEA-A-Y1</x:v>
      </x:c>
      <x:c r="E518" s="7" t="str">
        <x:v>BLD-A</x:v>
      </x:c>
      <x:c r="F518" s="7" t="str">
        <x:v>BL-Y</x:v>
      </x:c>
      <x:c r="G518" s="7" t="str">
        <x:v>MF-14</x:v>
      </x:c>
      <x:c r="H518" s="7" t="str"/>
      <x:c r="I518" s="7" t="str"/>
      <x:c r="J518" s="7" t="str">
        <x:f>IF(OR(H518="",I518=""),"",I518-H518)</x:f>
      </x:c>
      <x:c r="K518" s="7" t="str"/>
      <x:c r="L518" s="7" t="str"/>
      <x:c r="M518" s="7" t="str">
        <x:f>IF(L518="","OPEN",IF(OR(NOT(ISNUMBER(H518)),NOT(ISNUMBER(I518)),NOT(ISNUMBER(K518)),ABS(J518)&gt;K518),"FAIL","PASS"))</x:f>
        <x:v>OPEN</x:v>
      </x:c>
    </x:row>
    <x:row r="519">
      <x:c r="B519" s="7" t="str">
        <x:v>CAL-CH-PEA-A-Y1-14-3</x:v>
      </x:c>
      <x:c r="C519" s="7" t="str">
        <x:v>CH-PEA-A-Y1-14-3</x:v>
      </x:c>
      <x:c r="D519" s="7" t="str">
        <x:v>PEA-A-Y1</x:v>
      </x:c>
      <x:c r="E519" s="7" t="str">
        <x:v>BLD-A</x:v>
      </x:c>
      <x:c r="F519" s="7" t="str">
        <x:v>BL-Y</x:v>
      </x:c>
      <x:c r="G519" s="7" t="str">
        <x:v>MF-14</x:v>
      </x:c>
      <x:c r="H519" s="7" t="str"/>
      <x:c r="I519" s="7" t="str"/>
      <x:c r="J519" s="7" t="str">
        <x:f>IF(OR(H519="",I519=""),"",I519-H519)</x:f>
      </x:c>
      <x:c r="K519" s="7" t="str"/>
      <x:c r="L519" s="7" t="str"/>
      <x:c r="M519" s="7" t="str">
        <x:f>IF(L519="","OPEN",IF(OR(NOT(ISNUMBER(H519)),NOT(ISNUMBER(I519)),NOT(ISNUMBER(K519)),ABS(J519)&gt;K519),"FAIL","PASS"))</x:f>
        <x:v>OPEN</x:v>
      </x:c>
    </x:row>
    <x:row r="520">
      <x:c r="B520" s="7" t="str">
        <x:v>CAL-CH-PEA-A-Y1-14-4</x:v>
      </x:c>
      <x:c r="C520" s="7" t="str">
        <x:v>CH-PEA-A-Y1-14-4</x:v>
      </x:c>
      <x:c r="D520" s="7" t="str">
        <x:v>PEA-A-Y1</x:v>
      </x:c>
      <x:c r="E520" s="7" t="str">
        <x:v>BLD-A</x:v>
      </x:c>
      <x:c r="F520" s="7" t="str">
        <x:v>BL-Y</x:v>
      </x:c>
      <x:c r="G520" s="7" t="str">
        <x:v>MF-14</x:v>
      </x:c>
      <x:c r="H520" s="7" t="str"/>
      <x:c r="I520" s="7" t="str"/>
      <x:c r="J520" s="7" t="str">
        <x:f>IF(OR(H520="",I520=""),"",I520-H520)</x:f>
      </x:c>
      <x:c r="K520" s="7" t="str"/>
      <x:c r="L520" s="7" t="str"/>
      <x:c r="M520" s="7" t="str">
        <x:f>IF(L520="","OPEN",IF(OR(NOT(ISNUMBER(H520)),NOT(ISNUMBER(I520)),NOT(ISNUMBER(K520)),ABS(J520)&gt;K520),"FAIL","PASS"))</x:f>
        <x:v>OPEN</x:v>
      </x:c>
    </x:row>
    <x:row r="521">
      <x:c r="B521" s="7" t="str">
        <x:v>CAL-CH-PEA-A-Y1-14-5</x:v>
      </x:c>
      <x:c r="C521" s="7" t="str">
        <x:v>CH-PEA-A-Y1-14-5</x:v>
      </x:c>
      <x:c r="D521" s="7" t="str">
        <x:v>PEA-A-Y1</x:v>
      </x:c>
      <x:c r="E521" s="7" t="str">
        <x:v>BLD-A</x:v>
      </x:c>
      <x:c r="F521" s="7" t="str">
        <x:v>BL-Y</x:v>
      </x:c>
      <x:c r="G521" s="7" t="str">
        <x:v>MF-14</x:v>
      </x:c>
      <x:c r="H521" s="7" t="str"/>
      <x:c r="I521" s="7" t="str"/>
      <x:c r="J521" s="7" t="str">
        <x:f>IF(OR(H521="",I521=""),"",I521-H521)</x:f>
      </x:c>
      <x:c r="K521" s="7" t="str"/>
      <x:c r="L521" s="7" t="str"/>
      <x:c r="M521" s="7" t="str">
        <x:f>IF(L521="","OPEN",IF(OR(NOT(ISNUMBER(H521)),NOT(ISNUMBER(I521)),NOT(ISNUMBER(K521)),ABS(J521)&gt;K521),"FAIL","PASS"))</x:f>
        <x:v>OPEN</x:v>
      </x:c>
    </x:row>
    <x:row r="522">
      <x:c r="B522" s="7" t="str">
        <x:v>CAL-CH-PEA-A-Y1-14-6</x:v>
      </x:c>
      <x:c r="C522" s="7" t="str">
        <x:v>CH-PEA-A-Y1-14-6</x:v>
      </x:c>
      <x:c r="D522" s="7" t="str">
        <x:v>PEA-A-Y1</x:v>
      </x:c>
      <x:c r="E522" s="7" t="str">
        <x:v>BLD-A</x:v>
      </x:c>
      <x:c r="F522" s="7" t="str">
        <x:v>BL-Y</x:v>
      </x:c>
      <x:c r="G522" s="7" t="str">
        <x:v>MF-14</x:v>
      </x:c>
      <x:c r="H522" s="7" t="str"/>
      <x:c r="I522" s="7" t="str"/>
      <x:c r="J522" s="7" t="str">
        <x:f>IF(OR(H522="",I522=""),"",I522-H522)</x:f>
      </x:c>
      <x:c r="K522" s="7" t="str"/>
      <x:c r="L522" s="7" t="str"/>
      <x:c r="M522" s="7" t="str">
        <x:f>IF(L522="","OPEN",IF(OR(NOT(ISNUMBER(H522)),NOT(ISNUMBER(I522)),NOT(ISNUMBER(K522)),ABS(J522)&gt;K522),"FAIL","PASS"))</x:f>
        <x:v>OPEN</x:v>
      </x:c>
    </x:row>
    <x:row r="523">
      <x:c r="B523" s="7" t="str">
        <x:v>CAL-CH-PEA-A-Y1-15-1</x:v>
      </x:c>
      <x:c r="C523" s="7" t="str">
        <x:v>CH-PEA-A-Y1-15-1</x:v>
      </x:c>
      <x:c r="D523" s="7" t="str">
        <x:v>PEA-A-Y1</x:v>
      </x:c>
      <x:c r="E523" s="7" t="str">
        <x:v>BLD-A</x:v>
      </x:c>
      <x:c r="F523" s="7" t="str">
        <x:v>BL-Y</x:v>
      </x:c>
      <x:c r="G523" s="7" t="str">
        <x:v>MF-15</x:v>
      </x:c>
      <x:c r="H523" s="7" t="str"/>
      <x:c r="I523" s="7" t="str"/>
      <x:c r="J523" s="7" t="str">
        <x:f>IF(OR(H523="",I523=""),"",I523-H523)</x:f>
      </x:c>
      <x:c r="K523" s="7" t="str"/>
      <x:c r="L523" s="7" t="str"/>
      <x:c r="M523" s="7" t="str">
        <x:f>IF(L523="","OPEN",IF(OR(NOT(ISNUMBER(H523)),NOT(ISNUMBER(I523)),NOT(ISNUMBER(K523)),ABS(J523)&gt;K523),"FAIL","PASS"))</x:f>
        <x:v>OPEN</x:v>
      </x:c>
    </x:row>
    <x:row r="524">
      <x:c r="B524" s="7" t="str">
        <x:v>CAL-CH-PEA-A-Y1-15-2</x:v>
      </x:c>
      <x:c r="C524" s="7" t="str">
        <x:v>CH-PEA-A-Y1-15-2</x:v>
      </x:c>
      <x:c r="D524" s="7" t="str">
        <x:v>PEA-A-Y1</x:v>
      </x:c>
      <x:c r="E524" s="7" t="str">
        <x:v>BLD-A</x:v>
      </x:c>
      <x:c r="F524" s="7" t="str">
        <x:v>BL-Y</x:v>
      </x:c>
      <x:c r="G524" s="7" t="str">
        <x:v>MF-15</x:v>
      </x:c>
      <x:c r="H524" s="7" t="str"/>
      <x:c r="I524" s="7" t="str"/>
      <x:c r="J524" s="7" t="str">
        <x:f>IF(OR(H524="",I524=""),"",I524-H524)</x:f>
      </x:c>
      <x:c r="K524" s="7" t="str"/>
      <x:c r="L524" s="7" t="str"/>
      <x:c r="M524" s="7" t="str">
        <x:f>IF(L524="","OPEN",IF(OR(NOT(ISNUMBER(H524)),NOT(ISNUMBER(I524)),NOT(ISNUMBER(K524)),ABS(J524)&gt;K524),"FAIL","PASS"))</x:f>
        <x:v>OPEN</x:v>
      </x:c>
    </x:row>
    <x:row r="525">
      <x:c r="B525" s="7" t="str">
        <x:v>CAL-CH-PEA-A-Y1-15-3</x:v>
      </x:c>
      <x:c r="C525" s="7" t="str">
        <x:v>CH-PEA-A-Y1-15-3</x:v>
      </x:c>
      <x:c r="D525" s="7" t="str">
        <x:v>PEA-A-Y1</x:v>
      </x:c>
      <x:c r="E525" s="7" t="str">
        <x:v>BLD-A</x:v>
      </x:c>
      <x:c r="F525" s="7" t="str">
        <x:v>BL-Y</x:v>
      </x:c>
      <x:c r="G525" s="7" t="str">
        <x:v>MF-15</x:v>
      </x:c>
      <x:c r="H525" s="7" t="str"/>
      <x:c r="I525" s="7" t="str"/>
      <x:c r="J525" s="7" t="str">
        <x:f>IF(OR(H525="",I525=""),"",I525-H525)</x:f>
      </x:c>
      <x:c r="K525" s="7" t="str"/>
      <x:c r="L525" s="7" t="str"/>
      <x:c r="M525" s="7" t="str">
        <x:f>IF(L525="","OPEN",IF(OR(NOT(ISNUMBER(H525)),NOT(ISNUMBER(I525)),NOT(ISNUMBER(K525)),ABS(J525)&gt;K525),"FAIL","PASS"))</x:f>
        <x:v>OPEN</x:v>
      </x:c>
    </x:row>
    <x:row r="526">
      <x:c r="B526" s="7" t="str">
        <x:v>CAL-CH-PEA-A-Y1-15-4</x:v>
      </x:c>
      <x:c r="C526" s="7" t="str">
        <x:v>CH-PEA-A-Y1-15-4</x:v>
      </x:c>
      <x:c r="D526" s="7" t="str">
        <x:v>PEA-A-Y1</x:v>
      </x:c>
      <x:c r="E526" s="7" t="str">
        <x:v>BLD-A</x:v>
      </x:c>
      <x:c r="F526" s="7" t="str">
        <x:v>BL-Y</x:v>
      </x:c>
      <x:c r="G526" s="7" t="str">
        <x:v>MF-15</x:v>
      </x:c>
      <x:c r="H526" s="7" t="str"/>
      <x:c r="I526" s="7" t="str"/>
      <x:c r="J526" s="7" t="str">
        <x:f>IF(OR(H526="",I526=""),"",I526-H526)</x:f>
      </x:c>
      <x:c r="K526" s="7" t="str"/>
      <x:c r="L526" s="7" t="str"/>
      <x:c r="M526" s="7" t="str">
        <x:f>IF(L526="","OPEN",IF(OR(NOT(ISNUMBER(H526)),NOT(ISNUMBER(I526)),NOT(ISNUMBER(K526)),ABS(J526)&gt;K526),"FAIL","PASS"))</x:f>
        <x:v>OPEN</x:v>
      </x:c>
    </x:row>
    <x:row r="527">
      <x:c r="B527" s="7" t="str">
        <x:v>CAL-CH-PEA-A-Y1-15-5</x:v>
      </x:c>
      <x:c r="C527" s="7" t="str">
        <x:v>CH-PEA-A-Y1-15-5</x:v>
      </x:c>
      <x:c r="D527" s="7" t="str">
        <x:v>PEA-A-Y1</x:v>
      </x:c>
      <x:c r="E527" s="7" t="str">
        <x:v>BLD-A</x:v>
      </x:c>
      <x:c r="F527" s="7" t="str">
        <x:v>BL-Y</x:v>
      </x:c>
      <x:c r="G527" s="7" t="str">
        <x:v>MF-15</x:v>
      </x:c>
      <x:c r="H527" s="7" t="str"/>
      <x:c r="I527" s="7" t="str"/>
      <x:c r="J527" s="7" t="str">
        <x:f>IF(OR(H527="",I527=""),"",I527-H527)</x:f>
      </x:c>
      <x:c r="K527" s="7" t="str"/>
      <x:c r="L527" s="7" t="str"/>
      <x:c r="M527" s="7" t="str">
        <x:f>IF(L527="","OPEN",IF(OR(NOT(ISNUMBER(H527)),NOT(ISNUMBER(I527)),NOT(ISNUMBER(K527)),ABS(J527)&gt;K527),"FAIL","PASS"))</x:f>
        <x:v>OPEN</x:v>
      </x:c>
    </x:row>
    <x:row r="528">
      <x:c r="B528" s="7" t="str">
        <x:v>CAL-CH-PEA-A-Y1-15-6</x:v>
      </x:c>
      <x:c r="C528" s="7" t="str">
        <x:v>CH-PEA-A-Y1-15-6</x:v>
      </x:c>
      <x:c r="D528" s="7" t="str">
        <x:v>PEA-A-Y1</x:v>
      </x:c>
      <x:c r="E528" s="7" t="str">
        <x:v>BLD-A</x:v>
      </x:c>
      <x:c r="F528" s="7" t="str">
        <x:v>BL-Y</x:v>
      </x:c>
      <x:c r="G528" s="7" t="str">
        <x:v>MF-15</x:v>
      </x:c>
      <x:c r="H528" s="7" t="str"/>
      <x:c r="I528" s="7" t="str"/>
      <x:c r="J528" s="7" t="str">
        <x:f>IF(OR(H528="",I528=""),"",I528-H528)</x:f>
      </x:c>
      <x:c r="K528" s="7" t="str"/>
      <x:c r="L528" s="7" t="str"/>
      <x:c r="M528" s="7" t="str">
        <x:f>IF(L528="","OPEN",IF(OR(NOT(ISNUMBER(H528)),NOT(ISNUMBER(I528)),NOT(ISNUMBER(K528)),ABS(J528)&gt;K528),"FAIL","PASS"))</x:f>
        <x:v>OPEN</x:v>
      </x:c>
    </x:row>
    <x:row r="529">
      <x:c r="B529" s="7" t="str">
        <x:v>CAL-CH-PEA-A-Y1-16-1</x:v>
      </x:c>
      <x:c r="C529" s="7" t="str">
        <x:v>CH-PEA-A-Y1-16-1</x:v>
      </x:c>
      <x:c r="D529" s="7" t="str">
        <x:v>PEA-A-Y1</x:v>
      </x:c>
      <x:c r="E529" s="7" t="str">
        <x:v>BLD-A</x:v>
      </x:c>
      <x:c r="F529" s="7" t="str">
        <x:v>BL-Y</x:v>
      </x:c>
      <x:c r="G529" s="7" t="str">
        <x:v>MF-16</x:v>
      </x:c>
      <x:c r="H529" s="7" t="str"/>
      <x:c r="I529" s="7" t="str"/>
      <x:c r="J529" s="7" t="str">
        <x:f>IF(OR(H529="",I529=""),"",I529-H529)</x:f>
      </x:c>
      <x:c r="K529" s="7" t="str"/>
      <x:c r="L529" s="7" t="str"/>
      <x:c r="M529" s="7" t="str">
        <x:f>IF(L529="","OPEN",IF(OR(NOT(ISNUMBER(H529)),NOT(ISNUMBER(I529)),NOT(ISNUMBER(K529)),ABS(J529)&gt;K529),"FAIL","PASS"))</x:f>
        <x:v>OPEN</x:v>
      </x:c>
    </x:row>
    <x:row r="530">
      <x:c r="B530" s="7" t="str">
        <x:v>CAL-CH-PEA-A-Y1-16-2</x:v>
      </x:c>
      <x:c r="C530" s="7" t="str">
        <x:v>CH-PEA-A-Y1-16-2</x:v>
      </x:c>
      <x:c r="D530" s="7" t="str">
        <x:v>PEA-A-Y1</x:v>
      </x:c>
      <x:c r="E530" s="7" t="str">
        <x:v>BLD-A</x:v>
      </x:c>
      <x:c r="F530" s="7" t="str">
        <x:v>BL-Y</x:v>
      </x:c>
      <x:c r="G530" s="7" t="str">
        <x:v>MF-16</x:v>
      </x:c>
      <x:c r="H530" s="7" t="str"/>
      <x:c r="I530" s="7" t="str"/>
      <x:c r="J530" s="7" t="str">
        <x:f>IF(OR(H530="",I530=""),"",I530-H530)</x:f>
      </x:c>
      <x:c r="K530" s="7" t="str"/>
      <x:c r="L530" s="7" t="str"/>
      <x:c r="M530" s="7" t="str">
        <x:f>IF(L530="","OPEN",IF(OR(NOT(ISNUMBER(H530)),NOT(ISNUMBER(I530)),NOT(ISNUMBER(K530)),ABS(J530)&gt;K530),"FAIL","PASS"))</x:f>
        <x:v>OPEN</x:v>
      </x:c>
    </x:row>
    <x:row r="531">
      <x:c r="B531" s="7" t="str">
        <x:v>CAL-CH-PEA-A-Y1-16-3</x:v>
      </x:c>
      <x:c r="C531" s="7" t="str">
        <x:v>CH-PEA-A-Y1-16-3</x:v>
      </x:c>
      <x:c r="D531" s="7" t="str">
        <x:v>PEA-A-Y1</x:v>
      </x:c>
      <x:c r="E531" s="7" t="str">
        <x:v>BLD-A</x:v>
      </x:c>
      <x:c r="F531" s="7" t="str">
        <x:v>BL-Y</x:v>
      </x:c>
      <x:c r="G531" s="7" t="str">
        <x:v>MF-16</x:v>
      </x:c>
      <x:c r="H531" s="7" t="str"/>
      <x:c r="I531" s="7" t="str"/>
      <x:c r="J531" s="7" t="str">
        <x:f>IF(OR(H531="",I531=""),"",I531-H531)</x:f>
      </x:c>
      <x:c r="K531" s="7" t="str"/>
      <x:c r="L531" s="7" t="str"/>
      <x:c r="M531" s="7" t="str">
        <x:f>IF(L531="","OPEN",IF(OR(NOT(ISNUMBER(H531)),NOT(ISNUMBER(I531)),NOT(ISNUMBER(K531)),ABS(J531)&gt;K531),"FAIL","PASS"))</x:f>
        <x:v>OPEN</x:v>
      </x:c>
    </x:row>
    <x:row r="532">
      <x:c r="B532" s="7" t="str">
        <x:v>CAL-CH-PEA-A-Y1-16-4</x:v>
      </x:c>
      <x:c r="C532" s="7" t="str">
        <x:v>CH-PEA-A-Y1-16-4</x:v>
      </x:c>
      <x:c r="D532" s="7" t="str">
        <x:v>PEA-A-Y1</x:v>
      </x:c>
      <x:c r="E532" s="7" t="str">
        <x:v>BLD-A</x:v>
      </x:c>
      <x:c r="F532" s="7" t="str">
        <x:v>BL-Y</x:v>
      </x:c>
      <x:c r="G532" s="7" t="str">
        <x:v>MF-16</x:v>
      </x:c>
      <x:c r="H532" s="7" t="str"/>
      <x:c r="I532" s="7" t="str"/>
      <x:c r="J532" s="7" t="str">
        <x:f>IF(OR(H532="",I532=""),"",I532-H532)</x:f>
      </x:c>
      <x:c r="K532" s="7" t="str"/>
      <x:c r="L532" s="7" t="str"/>
      <x:c r="M532" s="7" t="str">
        <x:f>IF(L532="","OPEN",IF(OR(NOT(ISNUMBER(H532)),NOT(ISNUMBER(I532)),NOT(ISNUMBER(K532)),ABS(J532)&gt;K532),"FAIL","PASS"))</x:f>
        <x:v>OPEN</x:v>
      </x:c>
    </x:row>
    <x:row r="533">
      <x:c r="B533" s="7" t="str">
        <x:v>CAL-CH-PEA-A-Y1-16-5</x:v>
      </x:c>
      <x:c r="C533" s="7" t="str">
        <x:v>CH-PEA-A-Y1-16-5</x:v>
      </x:c>
      <x:c r="D533" s="7" t="str">
        <x:v>PEA-A-Y1</x:v>
      </x:c>
      <x:c r="E533" s="7" t="str">
        <x:v>BLD-A</x:v>
      </x:c>
      <x:c r="F533" s="7" t="str">
        <x:v>BL-Y</x:v>
      </x:c>
      <x:c r="G533" s="7" t="str">
        <x:v>MF-16</x:v>
      </x:c>
      <x:c r="H533" s="7" t="str"/>
      <x:c r="I533" s="7" t="str"/>
      <x:c r="J533" s="7" t="str">
        <x:f>IF(OR(H533="",I533=""),"",I533-H533)</x:f>
      </x:c>
      <x:c r="K533" s="7" t="str"/>
      <x:c r="L533" s="7" t="str"/>
      <x:c r="M533" s="7" t="str">
        <x:f>IF(L533="","OPEN",IF(OR(NOT(ISNUMBER(H533)),NOT(ISNUMBER(I533)),NOT(ISNUMBER(K533)),ABS(J533)&gt;K533),"FAIL","PASS"))</x:f>
        <x:v>OPEN</x:v>
      </x:c>
    </x:row>
    <x:row r="534">
      <x:c r="B534" s="7" t="str">
        <x:v>CAL-CH-PEA-A-Y1-16-6</x:v>
      </x:c>
      <x:c r="C534" s="7" t="str">
        <x:v>CH-PEA-A-Y1-16-6</x:v>
      </x:c>
      <x:c r="D534" s="7" t="str">
        <x:v>PEA-A-Y1</x:v>
      </x:c>
      <x:c r="E534" s="7" t="str">
        <x:v>BLD-A</x:v>
      </x:c>
      <x:c r="F534" s="7" t="str">
        <x:v>BL-Y</x:v>
      </x:c>
      <x:c r="G534" s="7" t="str">
        <x:v>MF-16</x:v>
      </x:c>
      <x:c r="H534" s="7" t="str"/>
      <x:c r="I534" s="7" t="str"/>
      <x:c r="J534" s="7" t="str">
        <x:f>IF(OR(H534="",I534=""),"",I534-H534)</x:f>
      </x:c>
      <x:c r="K534" s="7" t="str"/>
      <x:c r="L534" s="7" t="str"/>
      <x:c r="M534" s="7" t="str">
        <x:f>IF(L534="","OPEN",IF(OR(NOT(ISNUMBER(H534)),NOT(ISNUMBER(I534)),NOT(ISNUMBER(K534)),ABS(J534)&gt;K534),"FAIL","PASS"))</x:f>
        <x:v>OPEN</x:v>
      </x:c>
    </x:row>
    <x:row r="535">
      <x:c r="B535" s="7" t="str">
        <x:v>CAL-CH-PEA-A-Y1-17-1</x:v>
      </x:c>
      <x:c r="C535" s="7" t="str">
        <x:v>CH-PEA-A-Y1-17-1</x:v>
      </x:c>
      <x:c r="D535" s="7" t="str">
        <x:v>PEA-A-Y1</x:v>
      </x:c>
      <x:c r="E535" s="7" t="str">
        <x:v>BLD-A</x:v>
      </x:c>
      <x:c r="F535" s="7" t="str">
        <x:v>BL-Y</x:v>
      </x:c>
      <x:c r="G535" s="7" t="str">
        <x:v>MF-17</x:v>
      </x:c>
      <x:c r="H535" s="7" t="str"/>
      <x:c r="I535" s="7" t="str"/>
      <x:c r="J535" s="7" t="str">
        <x:f>IF(OR(H535="",I535=""),"",I535-H535)</x:f>
      </x:c>
      <x:c r="K535" s="7" t="str"/>
      <x:c r="L535" s="7" t="str"/>
      <x:c r="M535" s="7" t="str">
        <x:f>IF(L535="","OPEN",IF(OR(NOT(ISNUMBER(H535)),NOT(ISNUMBER(I535)),NOT(ISNUMBER(K535)),ABS(J535)&gt;K535),"FAIL","PASS"))</x:f>
        <x:v>OPEN</x:v>
      </x:c>
    </x:row>
    <x:row r="536">
      <x:c r="B536" s="7" t="str">
        <x:v>CAL-CH-PEA-A-Y1-17-2</x:v>
      </x:c>
      <x:c r="C536" s="7" t="str">
        <x:v>CH-PEA-A-Y1-17-2</x:v>
      </x:c>
      <x:c r="D536" s="7" t="str">
        <x:v>PEA-A-Y1</x:v>
      </x:c>
      <x:c r="E536" s="7" t="str">
        <x:v>BLD-A</x:v>
      </x:c>
      <x:c r="F536" s="7" t="str">
        <x:v>BL-Y</x:v>
      </x:c>
      <x:c r="G536" s="7" t="str">
        <x:v>MF-17</x:v>
      </x:c>
      <x:c r="H536" s="7" t="str"/>
      <x:c r="I536" s="7" t="str"/>
      <x:c r="J536" s="7" t="str">
        <x:f>IF(OR(H536="",I536=""),"",I536-H536)</x:f>
      </x:c>
      <x:c r="K536" s="7" t="str"/>
      <x:c r="L536" s="7" t="str"/>
      <x:c r="M536" s="7" t="str">
        <x:f>IF(L536="","OPEN",IF(OR(NOT(ISNUMBER(H536)),NOT(ISNUMBER(I536)),NOT(ISNUMBER(K536)),ABS(J536)&gt;K536),"FAIL","PASS"))</x:f>
        <x:v>OPEN</x:v>
      </x:c>
    </x:row>
    <x:row r="537">
      <x:c r="B537" s="7" t="str">
        <x:v>CAL-CH-PEA-A-Y1-17-3</x:v>
      </x:c>
      <x:c r="C537" s="7" t="str">
        <x:v>CH-PEA-A-Y1-17-3</x:v>
      </x:c>
      <x:c r="D537" s="7" t="str">
        <x:v>PEA-A-Y1</x:v>
      </x:c>
      <x:c r="E537" s="7" t="str">
        <x:v>BLD-A</x:v>
      </x:c>
      <x:c r="F537" s="7" t="str">
        <x:v>BL-Y</x:v>
      </x:c>
      <x:c r="G537" s="7" t="str">
        <x:v>MF-17</x:v>
      </x:c>
      <x:c r="H537" s="7" t="str"/>
      <x:c r="I537" s="7" t="str"/>
      <x:c r="J537" s="7" t="str">
        <x:f>IF(OR(H537="",I537=""),"",I537-H537)</x:f>
      </x:c>
      <x:c r="K537" s="7" t="str"/>
      <x:c r="L537" s="7" t="str"/>
      <x:c r="M537" s="7" t="str">
        <x:f>IF(L537="","OPEN",IF(OR(NOT(ISNUMBER(H537)),NOT(ISNUMBER(I537)),NOT(ISNUMBER(K537)),ABS(J537)&gt;K537),"FAIL","PASS"))</x:f>
        <x:v>OPEN</x:v>
      </x:c>
    </x:row>
    <x:row r="538">
      <x:c r="B538" s="7" t="str">
        <x:v>CAL-CH-PEA-A-Y1-17-4</x:v>
      </x:c>
      <x:c r="C538" s="7" t="str">
        <x:v>CH-PEA-A-Y1-17-4</x:v>
      </x:c>
      <x:c r="D538" s="7" t="str">
        <x:v>PEA-A-Y1</x:v>
      </x:c>
      <x:c r="E538" s="7" t="str">
        <x:v>BLD-A</x:v>
      </x:c>
      <x:c r="F538" s="7" t="str">
        <x:v>BL-Y</x:v>
      </x:c>
      <x:c r="G538" s="7" t="str">
        <x:v>MF-17</x:v>
      </x:c>
      <x:c r="H538" s="7" t="str"/>
      <x:c r="I538" s="7" t="str"/>
      <x:c r="J538" s="7" t="str">
        <x:f>IF(OR(H538="",I538=""),"",I538-H538)</x:f>
      </x:c>
      <x:c r="K538" s="7" t="str"/>
      <x:c r="L538" s="7" t="str"/>
      <x:c r="M538" s="7" t="str">
        <x:f>IF(L538="","OPEN",IF(OR(NOT(ISNUMBER(H538)),NOT(ISNUMBER(I538)),NOT(ISNUMBER(K538)),ABS(J538)&gt;K538),"FAIL","PASS"))</x:f>
        <x:v>OPEN</x:v>
      </x:c>
    </x:row>
    <x:row r="539">
      <x:c r="B539" s="7" t="str">
        <x:v>CAL-CH-PEA-A-Y1-17-5</x:v>
      </x:c>
      <x:c r="C539" s="7" t="str">
        <x:v>CH-PEA-A-Y1-17-5</x:v>
      </x:c>
      <x:c r="D539" s="7" t="str">
        <x:v>PEA-A-Y1</x:v>
      </x:c>
      <x:c r="E539" s="7" t="str">
        <x:v>BLD-A</x:v>
      </x:c>
      <x:c r="F539" s="7" t="str">
        <x:v>BL-Y</x:v>
      </x:c>
      <x:c r="G539" s="7" t="str">
        <x:v>MF-17</x:v>
      </x:c>
      <x:c r="H539" s="7" t="str"/>
      <x:c r="I539" s="7" t="str"/>
      <x:c r="J539" s="7" t="str">
        <x:f>IF(OR(H539="",I539=""),"",I539-H539)</x:f>
      </x:c>
      <x:c r="K539" s="7" t="str"/>
      <x:c r="L539" s="7" t="str"/>
      <x:c r="M539" s="7" t="str">
        <x:f>IF(L539="","OPEN",IF(OR(NOT(ISNUMBER(H539)),NOT(ISNUMBER(I539)),NOT(ISNUMBER(K539)),ABS(J539)&gt;K539),"FAIL","PASS"))</x:f>
        <x:v>OPEN</x:v>
      </x:c>
    </x:row>
    <x:row r="540">
      <x:c r="B540" s="7" t="str">
        <x:v>CAL-CH-PEA-A-Y1-17-6</x:v>
      </x:c>
      <x:c r="C540" s="7" t="str">
        <x:v>CH-PEA-A-Y1-17-6</x:v>
      </x:c>
      <x:c r="D540" s="7" t="str">
        <x:v>PEA-A-Y1</x:v>
      </x:c>
      <x:c r="E540" s="7" t="str">
        <x:v>BLD-A</x:v>
      </x:c>
      <x:c r="F540" s="7" t="str">
        <x:v>BL-Y</x:v>
      </x:c>
      <x:c r="G540" s="7" t="str">
        <x:v>MF-17</x:v>
      </x:c>
      <x:c r="H540" s="7" t="str"/>
      <x:c r="I540" s="7" t="str"/>
      <x:c r="J540" s="7" t="str">
        <x:f>IF(OR(H540="",I540=""),"",I540-H540)</x:f>
      </x:c>
      <x:c r="K540" s="7" t="str"/>
      <x:c r="L540" s="7" t="str"/>
      <x:c r="M540" s="7" t="str">
        <x:f>IF(L540="","OPEN",IF(OR(NOT(ISNUMBER(H540)),NOT(ISNUMBER(I540)),NOT(ISNUMBER(K540)),ABS(J540)&gt;K540),"FAIL","PASS"))</x:f>
        <x:v>OPEN</x:v>
      </x:c>
    </x:row>
    <x:row r="541">
      <x:c r="B541" s="7" t="str">
        <x:v>CAL-CH-PEA-A-Y1-18-1</x:v>
      </x:c>
      <x:c r="C541" s="7" t="str">
        <x:v>CH-PEA-A-Y1-18-1</x:v>
      </x:c>
      <x:c r="D541" s="7" t="str">
        <x:v>PEA-A-Y1</x:v>
      </x:c>
      <x:c r="E541" s="7" t="str">
        <x:v>BLD-A</x:v>
      </x:c>
      <x:c r="F541" s="7" t="str">
        <x:v>BL-Y</x:v>
      </x:c>
      <x:c r="G541" s="7" t="str">
        <x:v>MF-18</x:v>
      </x:c>
      <x:c r="H541" s="7" t="str"/>
      <x:c r="I541" s="7" t="str"/>
      <x:c r="J541" s="7" t="str">
        <x:f>IF(OR(H541="",I541=""),"",I541-H541)</x:f>
      </x:c>
      <x:c r="K541" s="7" t="str"/>
      <x:c r="L541" s="7" t="str"/>
      <x:c r="M541" s="7" t="str">
        <x:f>IF(L541="","OPEN",IF(OR(NOT(ISNUMBER(H541)),NOT(ISNUMBER(I541)),NOT(ISNUMBER(K541)),ABS(J541)&gt;K541),"FAIL","PASS"))</x:f>
        <x:v>OPEN</x:v>
      </x:c>
    </x:row>
    <x:row r="542">
      <x:c r="B542" s="7" t="str">
        <x:v>CAL-CH-PEA-A-Y1-18-2</x:v>
      </x:c>
      <x:c r="C542" s="7" t="str">
        <x:v>CH-PEA-A-Y1-18-2</x:v>
      </x:c>
      <x:c r="D542" s="7" t="str">
        <x:v>PEA-A-Y1</x:v>
      </x:c>
      <x:c r="E542" s="7" t="str">
        <x:v>BLD-A</x:v>
      </x:c>
      <x:c r="F542" s="7" t="str">
        <x:v>BL-Y</x:v>
      </x:c>
      <x:c r="G542" s="7" t="str">
        <x:v>MF-18</x:v>
      </x:c>
      <x:c r="H542" s="7" t="str"/>
      <x:c r="I542" s="7" t="str"/>
      <x:c r="J542" s="7" t="str">
        <x:f>IF(OR(H542="",I542=""),"",I542-H542)</x:f>
      </x:c>
      <x:c r="K542" s="7" t="str"/>
      <x:c r="L542" s="7" t="str"/>
      <x:c r="M542" s="7" t="str">
        <x:f>IF(L542="","OPEN",IF(OR(NOT(ISNUMBER(H542)),NOT(ISNUMBER(I542)),NOT(ISNUMBER(K542)),ABS(J542)&gt;K542),"FAIL","PASS"))</x:f>
        <x:v>OPEN</x:v>
      </x:c>
    </x:row>
    <x:row r="543">
      <x:c r="B543" s="7" t="str">
        <x:v>CAL-CH-PEA-A-Y1-18-3</x:v>
      </x:c>
      <x:c r="C543" s="7" t="str">
        <x:v>CH-PEA-A-Y1-18-3</x:v>
      </x:c>
      <x:c r="D543" s="7" t="str">
        <x:v>PEA-A-Y1</x:v>
      </x:c>
      <x:c r="E543" s="7" t="str">
        <x:v>BLD-A</x:v>
      </x:c>
      <x:c r="F543" s="7" t="str">
        <x:v>BL-Y</x:v>
      </x:c>
      <x:c r="G543" s="7" t="str">
        <x:v>MF-18</x:v>
      </x:c>
      <x:c r="H543" s="7" t="str"/>
      <x:c r="I543" s="7" t="str"/>
      <x:c r="J543" s="7" t="str">
        <x:f>IF(OR(H543="",I543=""),"",I543-H543)</x:f>
      </x:c>
      <x:c r="K543" s="7" t="str"/>
      <x:c r="L543" s="7" t="str"/>
      <x:c r="M543" s="7" t="str">
        <x:f>IF(L543="","OPEN",IF(OR(NOT(ISNUMBER(H543)),NOT(ISNUMBER(I543)),NOT(ISNUMBER(K543)),ABS(J543)&gt;K543),"FAIL","PASS"))</x:f>
        <x:v>OPEN</x:v>
      </x:c>
    </x:row>
    <x:row r="544">
      <x:c r="B544" s="7" t="str">
        <x:v>CAL-CH-PEA-A-Y1-18-4</x:v>
      </x:c>
      <x:c r="C544" s="7" t="str">
        <x:v>CH-PEA-A-Y1-18-4</x:v>
      </x:c>
      <x:c r="D544" s="7" t="str">
        <x:v>PEA-A-Y1</x:v>
      </x:c>
      <x:c r="E544" s="7" t="str">
        <x:v>BLD-A</x:v>
      </x:c>
      <x:c r="F544" s="7" t="str">
        <x:v>BL-Y</x:v>
      </x:c>
      <x:c r="G544" s="7" t="str">
        <x:v>MF-18</x:v>
      </x:c>
      <x:c r="H544" s="7" t="str"/>
      <x:c r="I544" s="7" t="str"/>
      <x:c r="J544" s="7" t="str">
        <x:f>IF(OR(H544="",I544=""),"",I544-H544)</x:f>
      </x:c>
      <x:c r="K544" s="7" t="str"/>
      <x:c r="L544" s="7" t="str"/>
      <x:c r="M544" s="7" t="str">
        <x:f>IF(L544="","OPEN",IF(OR(NOT(ISNUMBER(H544)),NOT(ISNUMBER(I544)),NOT(ISNUMBER(K544)),ABS(J544)&gt;K544),"FAIL","PASS"))</x:f>
        <x:v>OPEN</x:v>
      </x:c>
    </x:row>
    <x:row r="545">
      <x:c r="B545" s="7" t="str">
        <x:v>CAL-CH-PEA-A-Y1-18-5</x:v>
      </x:c>
      <x:c r="C545" s="7" t="str">
        <x:v>CH-PEA-A-Y1-18-5</x:v>
      </x:c>
      <x:c r="D545" s="7" t="str">
        <x:v>PEA-A-Y1</x:v>
      </x:c>
      <x:c r="E545" s="7" t="str">
        <x:v>BLD-A</x:v>
      </x:c>
      <x:c r="F545" s="7" t="str">
        <x:v>BL-Y</x:v>
      </x:c>
      <x:c r="G545" s="7" t="str">
        <x:v>MF-18</x:v>
      </x:c>
      <x:c r="H545" s="7" t="str"/>
      <x:c r="I545" s="7" t="str"/>
      <x:c r="J545" s="7" t="str">
        <x:f>IF(OR(H545="",I545=""),"",I545-H545)</x:f>
      </x:c>
      <x:c r="K545" s="7" t="str"/>
      <x:c r="L545" s="7" t="str"/>
      <x:c r="M545" s="7" t="str">
        <x:f>IF(L545="","OPEN",IF(OR(NOT(ISNUMBER(H545)),NOT(ISNUMBER(I545)),NOT(ISNUMBER(K545)),ABS(J545)&gt;K545),"FAIL","PASS"))</x:f>
        <x:v>OPEN</x:v>
      </x:c>
    </x:row>
    <x:row r="546">
      <x:c r="B546" s="7" t="str">
        <x:v>CAL-CH-PEA-A-Y1-18-6</x:v>
      </x:c>
      <x:c r="C546" s="7" t="str">
        <x:v>CH-PEA-A-Y1-18-6</x:v>
      </x:c>
      <x:c r="D546" s="7" t="str">
        <x:v>PEA-A-Y1</x:v>
      </x:c>
      <x:c r="E546" s="7" t="str">
        <x:v>BLD-A</x:v>
      </x:c>
      <x:c r="F546" s="7" t="str">
        <x:v>BL-Y</x:v>
      </x:c>
      <x:c r="G546" s="7" t="str">
        <x:v>MF-18</x:v>
      </x:c>
      <x:c r="H546" s="7" t="str"/>
      <x:c r="I546" s="7" t="str"/>
      <x:c r="J546" s="7" t="str">
        <x:f>IF(OR(H546="",I546=""),"",I546-H546)</x:f>
      </x:c>
      <x:c r="K546" s="7" t="str"/>
      <x:c r="L546" s="7" t="str"/>
      <x:c r="M546" s="7" t="str">
        <x:f>IF(L546="","OPEN",IF(OR(NOT(ISNUMBER(H546)),NOT(ISNUMBER(I546)),NOT(ISNUMBER(K546)),ABS(J546)&gt;K546),"FAIL","PASS"))</x:f>
        <x:v>OPEN</x:v>
      </x:c>
    </x:row>
    <x:row r="547">
      <x:c r="B547" s="7" t="str">
        <x:v>CAL-CH-PEA-A-Y1-19-1</x:v>
      </x:c>
      <x:c r="C547" s="7" t="str">
        <x:v>CH-PEA-A-Y1-19-1</x:v>
      </x:c>
      <x:c r="D547" s="7" t="str">
        <x:v>PEA-A-Y1</x:v>
      </x:c>
      <x:c r="E547" s="7" t="str">
        <x:v>BLD-A</x:v>
      </x:c>
      <x:c r="F547" s="7" t="str">
        <x:v>BL-Y</x:v>
      </x:c>
      <x:c r="G547" s="7" t="str">
        <x:v>MF-19</x:v>
      </x:c>
      <x:c r="H547" s="7" t="str"/>
      <x:c r="I547" s="7" t="str"/>
      <x:c r="J547" s="7" t="str">
        <x:f>IF(OR(H547="",I547=""),"",I547-H547)</x:f>
      </x:c>
      <x:c r="K547" s="7" t="str"/>
      <x:c r="L547" s="7" t="str"/>
      <x:c r="M547" s="7" t="str">
        <x:f>IF(L547="","OPEN",IF(OR(NOT(ISNUMBER(H547)),NOT(ISNUMBER(I547)),NOT(ISNUMBER(K547)),ABS(J547)&gt;K547),"FAIL","PASS"))</x:f>
        <x:v>OPEN</x:v>
      </x:c>
    </x:row>
    <x:row r="548">
      <x:c r="B548" s="7" t="str">
        <x:v>CAL-CH-PEA-A-Y1-19-2</x:v>
      </x:c>
      <x:c r="C548" s="7" t="str">
        <x:v>CH-PEA-A-Y1-19-2</x:v>
      </x:c>
      <x:c r="D548" s="7" t="str">
        <x:v>PEA-A-Y1</x:v>
      </x:c>
      <x:c r="E548" s="7" t="str">
        <x:v>BLD-A</x:v>
      </x:c>
      <x:c r="F548" s="7" t="str">
        <x:v>BL-Y</x:v>
      </x:c>
      <x:c r="G548" s="7" t="str">
        <x:v>MF-19</x:v>
      </x:c>
      <x:c r="H548" s="7" t="str"/>
      <x:c r="I548" s="7" t="str"/>
      <x:c r="J548" s="7" t="str">
        <x:f>IF(OR(H548="",I548=""),"",I548-H548)</x:f>
      </x:c>
      <x:c r="K548" s="7" t="str"/>
      <x:c r="L548" s="7" t="str"/>
      <x:c r="M548" s="7" t="str">
        <x:f>IF(L548="","OPEN",IF(OR(NOT(ISNUMBER(H548)),NOT(ISNUMBER(I548)),NOT(ISNUMBER(K548)),ABS(J548)&gt;K548),"FAIL","PASS"))</x:f>
        <x:v>OPEN</x:v>
      </x:c>
    </x:row>
    <x:row r="549">
      <x:c r="B549" s="7" t="str">
        <x:v>CAL-CH-PEA-A-Y1-19-3</x:v>
      </x:c>
      <x:c r="C549" s="7" t="str">
        <x:v>CH-PEA-A-Y1-19-3</x:v>
      </x:c>
      <x:c r="D549" s="7" t="str">
        <x:v>PEA-A-Y1</x:v>
      </x:c>
      <x:c r="E549" s="7" t="str">
        <x:v>BLD-A</x:v>
      </x:c>
      <x:c r="F549" s="7" t="str">
        <x:v>BL-Y</x:v>
      </x:c>
      <x:c r="G549" s="7" t="str">
        <x:v>MF-19</x:v>
      </x:c>
      <x:c r="H549" s="7" t="str"/>
      <x:c r="I549" s="7" t="str"/>
      <x:c r="J549" s="7" t="str">
        <x:f>IF(OR(H549="",I549=""),"",I549-H549)</x:f>
      </x:c>
      <x:c r="K549" s="7" t="str"/>
      <x:c r="L549" s="7" t="str"/>
      <x:c r="M549" s="7" t="str">
        <x:f>IF(L549="","OPEN",IF(OR(NOT(ISNUMBER(H549)),NOT(ISNUMBER(I549)),NOT(ISNUMBER(K549)),ABS(J549)&gt;K549),"FAIL","PASS"))</x:f>
        <x:v>OPEN</x:v>
      </x:c>
    </x:row>
    <x:row r="550">
      <x:c r="B550" s="7" t="str">
        <x:v>CAL-CH-PEA-A-Y1-19-4</x:v>
      </x:c>
      <x:c r="C550" s="7" t="str">
        <x:v>CH-PEA-A-Y1-19-4</x:v>
      </x:c>
      <x:c r="D550" s="7" t="str">
        <x:v>PEA-A-Y1</x:v>
      </x:c>
      <x:c r="E550" s="7" t="str">
        <x:v>BLD-A</x:v>
      </x:c>
      <x:c r="F550" s="7" t="str">
        <x:v>BL-Y</x:v>
      </x:c>
      <x:c r="G550" s="7" t="str">
        <x:v>MF-19</x:v>
      </x:c>
      <x:c r="H550" s="7" t="str"/>
      <x:c r="I550" s="7" t="str"/>
      <x:c r="J550" s="7" t="str">
        <x:f>IF(OR(H550="",I550=""),"",I550-H550)</x:f>
      </x:c>
      <x:c r="K550" s="7" t="str"/>
      <x:c r="L550" s="7" t="str"/>
      <x:c r="M550" s="7" t="str">
        <x:f>IF(L550="","OPEN",IF(OR(NOT(ISNUMBER(H550)),NOT(ISNUMBER(I550)),NOT(ISNUMBER(K550)),ABS(J550)&gt;K550),"FAIL","PASS"))</x:f>
        <x:v>OPEN</x:v>
      </x:c>
    </x:row>
    <x:row r="551">
      <x:c r="B551" s="7" t="str">
        <x:v>CAL-CH-PEA-A-Y1-19-5</x:v>
      </x:c>
      <x:c r="C551" s="7" t="str">
        <x:v>CH-PEA-A-Y1-19-5</x:v>
      </x:c>
      <x:c r="D551" s="7" t="str">
        <x:v>PEA-A-Y1</x:v>
      </x:c>
      <x:c r="E551" s="7" t="str">
        <x:v>BLD-A</x:v>
      </x:c>
      <x:c r="F551" s="7" t="str">
        <x:v>BL-Y</x:v>
      </x:c>
      <x:c r="G551" s="7" t="str">
        <x:v>MF-19</x:v>
      </x:c>
      <x:c r="H551" s="7" t="str"/>
      <x:c r="I551" s="7" t="str"/>
      <x:c r="J551" s="7" t="str">
        <x:f>IF(OR(H551="",I551=""),"",I551-H551)</x:f>
      </x:c>
      <x:c r="K551" s="7" t="str"/>
      <x:c r="L551" s="7" t="str"/>
      <x:c r="M551" s="7" t="str">
        <x:f>IF(L551="","OPEN",IF(OR(NOT(ISNUMBER(H551)),NOT(ISNUMBER(I551)),NOT(ISNUMBER(K551)),ABS(J551)&gt;K551),"FAIL","PASS"))</x:f>
        <x:v>OPEN</x:v>
      </x:c>
    </x:row>
    <x:row r="552">
      <x:c r="B552" s="7" t="str">
        <x:v>CAL-CH-PEA-A-Y1-19-6</x:v>
      </x:c>
      <x:c r="C552" s="7" t="str">
        <x:v>CH-PEA-A-Y1-19-6</x:v>
      </x:c>
      <x:c r="D552" s="7" t="str">
        <x:v>PEA-A-Y1</x:v>
      </x:c>
      <x:c r="E552" s="7" t="str">
        <x:v>BLD-A</x:v>
      </x:c>
      <x:c r="F552" s="7" t="str">
        <x:v>BL-Y</x:v>
      </x:c>
      <x:c r="G552" s="7" t="str">
        <x:v>MF-19</x:v>
      </x:c>
      <x:c r="H552" s="7" t="str"/>
      <x:c r="I552" s="7" t="str"/>
      <x:c r="J552" s="7" t="str">
        <x:f>IF(OR(H552="",I552=""),"",I552-H552)</x:f>
      </x:c>
      <x:c r="K552" s="7" t="str"/>
      <x:c r="L552" s="7" t="str"/>
      <x:c r="M552" s="7" t="str">
        <x:f>IF(L552="","OPEN",IF(OR(NOT(ISNUMBER(H552)),NOT(ISNUMBER(I552)),NOT(ISNUMBER(K552)),ABS(J552)&gt;K552),"FAIL","PASS"))</x:f>
        <x:v>OPEN</x:v>
      </x:c>
    </x:row>
    <x:row r="553">
      <x:c r="B553" s="7" t="str">
        <x:v>CAL-CH-PEA-A-Y1-20-1</x:v>
      </x:c>
      <x:c r="C553" s="7" t="str">
        <x:v>CH-PEA-A-Y1-20-1</x:v>
      </x:c>
      <x:c r="D553" s="7" t="str">
        <x:v>PEA-A-Y1</x:v>
      </x:c>
      <x:c r="E553" s="7" t="str">
        <x:v>BLD-A</x:v>
      </x:c>
      <x:c r="F553" s="7" t="str">
        <x:v>BL-Y</x:v>
      </x:c>
      <x:c r="G553" s="7" t="str">
        <x:v>MF-20</x:v>
      </x:c>
      <x:c r="H553" s="7" t="str"/>
      <x:c r="I553" s="7" t="str"/>
      <x:c r="J553" s="7" t="str">
        <x:f>IF(OR(H553="",I553=""),"",I553-H553)</x:f>
      </x:c>
      <x:c r="K553" s="7" t="str"/>
      <x:c r="L553" s="7" t="str"/>
      <x:c r="M553" s="7" t="str">
        <x:f>IF(L553="","OPEN",IF(OR(NOT(ISNUMBER(H553)),NOT(ISNUMBER(I553)),NOT(ISNUMBER(K553)),ABS(J553)&gt;K553),"FAIL","PASS"))</x:f>
        <x:v>OPEN</x:v>
      </x:c>
    </x:row>
    <x:row r="554">
      <x:c r="B554" s="7" t="str">
        <x:v>CAL-CH-PEA-A-Y1-20-2</x:v>
      </x:c>
      <x:c r="C554" s="7" t="str">
        <x:v>CH-PEA-A-Y1-20-2</x:v>
      </x:c>
      <x:c r="D554" s="7" t="str">
        <x:v>PEA-A-Y1</x:v>
      </x:c>
      <x:c r="E554" s="7" t="str">
        <x:v>BLD-A</x:v>
      </x:c>
      <x:c r="F554" s="7" t="str">
        <x:v>BL-Y</x:v>
      </x:c>
      <x:c r="G554" s="7" t="str">
        <x:v>MF-20</x:v>
      </x:c>
      <x:c r="H554" s="7" t="str"/>
      <x:c r="I554" s="7" t="str"/>
      <x:c r="J554" s="7" t="str">
        <x:f>IF(OR(H554="",I554=""),"",I554-H554)</x:f>
      </x:c>
      <x:c r="K554" s="7" t="str"/>
      <x:c r="L554" s="7" t="str"/>
      <x:c r="M554" s="7" t="str">
        <x:f>IF(L554="","OPEN",IF(OR(NOT(ISNUMBER(H554)),NOT(ISNUMBER(I554)),NOT(ISNUMBER(K554)),ABS(J554)&gt;K554),"FAIL","PASS"))</x:f>
        <x:v>OPEN</x:v>
      </x:c>
    </x:row>
    <x:row r="555">
      <x:c r="B555" s="7" t="str">
        <x:v>CAL-CH-PEA-A-Y1-20-3</x:v>
      </x:c>
      <x:c r="C555" s="7" t="str">
        <x:v>CH-PEA-A-Y1-20-3</x:v>
      </x:c>
      <x:c r="D555" s="7" t="str">
        <x:v>PEA-A-Y1</x:v>
      </x:c>
      <x:c r="E555" s="7" t="str">
        <x:v>BLD-A</x:v>
      </x:c>
      <x:c r="F555" s="7" t="str">
        <x:v>BL-Y</x:v>
      </x:c>
      <x:c r="G555" s="7" t="str">
        <x:v>MF-20</x:v>
      </x:c>
      <x:c r="H555" s="7" t="str"/>
      <x:c r="I555" s="7" t="str"/>
      <x:c r="J555" s="7" t="str">
        <x:f>IF(OR(H555="",I555=""),"",I555-H555)</x:f>
      </x:c>
      <x:c r="K555" s="7" t="str"/>
      <x:c r="L555" s="7" t="str"/>
      <x:c r="M555" s="7" t="str">
        <x:f>IF(L555="","OPEN",IF(OR(NOT(ISNUMBER(H555)),NOT(ISNUMBER(I555)),NOT(ISNUMBER(K555)),ABS(J555)&gt;K555),"FAIL","PASS"))</x:f>
        <x:v>OPEN</x:v>
      </x:c>
    </x:row>
    <x:row r="556">
      <x:c r="B556" s="7" t="str">
        <x:v>CAL-CH-PEA-A-Y1-20-4</x:v>
      </x:c>
      <x:c r="C556" s="7" t="str">
        <x:v>CH-PEA-A-Y1-20-4</x:v>
      </x:c>
      <x:c r="D556" s="7" t="str">
        <x:v>PEA-A-Y1</x:v>
      </x:c>
      <x:c r="E556" s="7" t="str">
        <x:v>BLD-A</x:v>
      </x:c>
      <x:c r="F556" s="7" t="str">
        <x:v>BL-Y</x:v>
      </x:c>
      <x:c r="G556" s="7" t="str">
        <x:v>MF-20</x:v>
      </x:c>
      <x:c r="H556" s="7" t="str"/>
      <x:c r="I556" s="7" t="str"/>
      <x:c r="J556" s="7" t="str">
        <x:f>IF(OR(H556="",I556=""),"",I556-H556)</x:f>
      </x:c>
      <x:c r="K556" s="7" t="str"/>
      <x:c r="L556" s="7" t="str"/>
      <x:c r="M556" s="7" t="str">
        <x:f>IF(L556="","OPEN",IF(OR(NOT(ISNUMBER(H556)),NOT(ISNUMBER(I556)),NOT(ISNUMBER(K556)),ABS(J556)&gt;K556),"FAIL","PASS"))</x:f>
        <x:v>OPEN</x:v>
      </x:c>
    </x:row>
    <x:row r="557">
      <x:c r="B557" s="7" t="str">
        <x:v>CAL-CH-PEA-A-Y1-20-5</x:v>
      </x:c>
      <x:c r="C557" s="7" t="str">
        <x:v>CH-PEA-A-Y1-20-5</x:v>
      </x:c>
      <x:c r="D557" s="7" t="str">
        <x:v>PEA-A-Y1</x:v>
      </x:c>
      <x:c r="E557" s="7" t="str">
        <x:v>BLD-A</x:v>
      </x:c>
      <x:c r="F557" s="7" t="str">
        <x:v>BL-Y</x:v>
      </x:c>
      <x:c r="G557" s="7" t="str">
        <x:v>MF-20</x:v>
      </x:c>
      <x:c r="H557" s="7" t="str"/>
      <x:c r="I557" s="7" t="str"/>
      <x:c r="J557" s="7" t="str">
        <x:f>IF(OR(H557="",I557=""),"",I557-H557)</x:f>
      </x:c>
      <x:c r="K557" s="7" t="str"/>
      <x:c r="L557" s="7" t="str"/>
      <x:c r="M557" s="7" t="str">
        <x:f>IF(L557="","OPEN",IF(OR(NOT(ISNUMBER(H557)),NOT(ISNUMBER(I557)),NOT(ISNUMBER(K557)),ABS(J557)&gt;K557),"FAIL","PASS"))</x:f>
        <x:v>OPEN</x:v>
      </x:c>
    </x:row>
    <x:row r="558">
      <x:c r="B558" s="7" t="str">
        <x:v>CAL-CH-PEA-A-Y1-20-6</x:v>
      </x:c>
      <x:c r="C558" s="7" t="str">
        <x:v>CH-PEA-A-Y1-20-6</x:v>
      </x:c>
      <x:c r="D558" s="7" t="str">
        <x:v>PEA-A-Y1</x:v>
      </x:c>
      <x:c r="E558" s="7" t="str">
        <x:v>BLD-A</x:v>
      </x:c>
      <x:c r="F558" s="7" t="str">
        <x:v>BL-Y</x:v>
      </x:c>
      <x:c r="G558" s="7" t="str">
        <x:v>MF-20</x:v>
      </x:c>
      <x:c r="H558" s="7" t="str"/>
      <x:c r="I558" s="7" t="str"/>
      <x:c r="J558" s="7" t="str">
        <x:f>IF(OR(H558="",I558=""),"",I558-H558)</x:f>
      </x:c>
      <x:c r="K558" s="7" t="str"/>
      <x:c r="L558" s="7" t="str"/>
      <x:c r="M558" s="7" t="str">
        <x:f>IF(L558="","OPEN",IF(OR(NOT(ISNUMBER(H558)),NOT(ISNUMBER(I558)),NOT(ISNUMBER(K558)),ABS(J558)&gt;K558),"FAIL","PASS"))</x:f>
        <x:v>OPEN</x:v>
      </x:c>
    </x:row>
    <x:row r="559">
      <x:c r="B559" s="7" t="str">
        <x:v>CAL-CH-PEA-A-Y1-21-1</x:v>
      </x:c>
      <x:c r="C559" s="7" t="str">
        <x:v>CH-PEA-A-Y1-21-1</x:v>
      </x:c>
      <x:c r="D559" s="7" t="str">
        <x:v>PEA-A-Y1</x:v>
      </x:c>
      <x:c r="E559" s="7" t="str">
        <x:v>BLD-A</x:v>
      </x:c>
      <x:c r="F559" s="7" t="str">
        <x:v>BL-Y</x:v>
      </x:c>
      <x:c r="G559" s="7" t="str">
        <x:v>MF-21</x:v>
      </x:c>
      <x:c r="H559" s="7" t="str"/>
      <x:c r="I559" s="7" t="str"/>
      <x:c r="J559" s="7" t="str">
        <x:f>IF(OR(H559="",I559=""),"",I559-H559)</x:f>
      </x:c>
      <x:c r="K559" s="7" t="str"/>
      <x:c r="L559" s="7" t="str"/>
      <x:c r="M559" s="7" t="str">
        <x:f>IF(L559="","OPEN",IF(OR(NOT(ISNUMBER(H559)),NOT(ISNUMBER(I559)),NOT(ISNUMBER(K559)),ABS(J559)&gt;K559),"FAIL","PASS"))</x:f>
        <x:v>OPEN</x:v>
      </x:c>
    </x:row>
    <x:row r="560">
      <x:c r="B560" s="7" t="str">
        <x:v>CAL-CH-PEA-A-Y1-21-2</x:v>
      </x:c>
      <x:c r="C560" s="7" t="str">
        <x:v>CH-PEA-A-Y1-21-2</x:v>
      </x:c>
      <x:c r="D560" s="7" t="str">
        <x:v>PEA-A-Y1</x:v>
      </x:c>
      <x:c r="E560" s="7" t="str">
        <x:v>BLD-A</x:v>
      </x:c>
      <x:c r="F560" s="7" t="str">
        <x:v>BL-Y</x:v>
      </x:c>
      <x:c r="G560" s="7" t="str">
        <x:v>MF-21</x:v>
      </x:c>
      <x:c r="H560" s="7" t="str"/>
      <x:c r="I560" s="7" t="str"/>
      <x:c r="J560" s="7" t="str">
        <x:f>IF(OR(H560="",I560=""),"",I560-H560)</x:f>
      </x:c>
      <x:c r="K560" s="7" t="str"/>
      <x:c r="L560" s="7" t="str"/>
      <x:c r="M560" s="7" t="str">
        <x:f>IF(L560="","OPEN",IF(OR(NOT(ISNUMBER(H560)),NOT(ISNUMBER(I560)),NOT(ISNUMBER(K560)),ABS(J560)&gt;K560),"FAIL","PASS"))</x:f>
        <x:v>OPEN</x:v>
      </x:c>
    </x:row>
    <x:row r="561">
      <x:c r="B561" s="7" t="str">
        <x:v>CAL-CH-PEA-A-Y1-21-3</x:v>
      </x:c>
      <x:c r="C561" s="7" t="str">
        <x:v>CH-PEA-A-Y1-21-3</x:v>
      </x:c>
      <x:c r="D561" s="7" t="str">
        <x:v>PEA-A-Y1</x:v>
      </x:c>
      <x:c r="E561" s="7" t="str">
        <x:v>BLD-A</x:v>
      </x:c>
      <x:c r="F561" s="7" t="str">
        <x:v>BL-Y</x:v>
      </x:c>
      <x:c r="G561" s="7" t="str">
        <x:v>MF-21</x:v>
      </x:c>
      <x:c r="H561" s="7" t="str"/>
      <x:c r="I561" s="7" t="str"/>
      <x:c r="J561" s="7" t="str">
        <x:f>IF(OR(H561="",I561=""),"",I561-H561)</x:f>
      </x:c>
      <x:c r="K561" s="7" t="str"/>
      <x:c r="L561" s="7" t="str"/>
      <x:c r="M561" s="7" t="str">
        <x:f>IF(L561="","OPEN",IF(OR(NOT(ISNUMBER(H561)),NOT(ISNUMBER(I561)),NOT(ISNUMBER(K561)),ABS(J561)&gt;K561),"FAIL","PASS"))</x:f>
        <x:v>OPEN</x:v>
      </x:c>
    </x:row>
    <x:row r="562">
      <x:c r="B562" s="7" t="str">
        <x:v>CAL-CH-PEA-A-Y1-21-4</x:v>
      </x:c>
      <x:c r="C562" s="7" t="str">
        <x:v>CH-PEA-A-Y1-21-4</x:v>
      </x:c>
      <x:c r="D562" s="7" t="str">
        <x:v>PEA-A-Y1</x:v>
      </x:c>
      <x:c r="E562" s="7" t="str">
        <x:v>BLD-A</x:v>
      </x:c>
      <x:c r="F562" s="7" t="str">
        <x:v>BL-Y</x:v>
      </x:c>
      <x:c r="G562" s="7" t="str">
        <x:v>MF-21</x:v>
      </x:c>
      <x:c r="H562" s="7" t="str"/>
      <x:c r="I562" s="7" t="str"/>
      <x:c r="J562" s="7" t="str">
        <x:f>IF(OR(H562="",I562=""),"",I562-H562)</x:f>
      </x:c>
      <x:c r="K562" s="7" t="str"/>
      <x:c r="L562" s="7" t="str"/>
      <x:c r="M562" s="7" t="str">
        <x:f>IF(L562="","OPEN",IF(OR(NOT(ISNUMBER(H562)),NOT(ISNUMBER(I562)),NOT(ISNUMBER(K562)),ABS(J562)&gt;K562),"FAIL","PASS"))</x:f>
        <x:v>OPEN</x:v>
      </x:c>
    </x:row>
    <x:row r="563">
      <x:c r="B563" s="7" t="str">
        <x:v>CAL-CH-PEA-A-Y1-21-5</x:v>
      </x:c>
      <x:c r="C563" s="7" t="str">
        <x:v>CH-PEA-A-Y1-21-5</x:v>
      </x:c>
      <x:c r="D563" s="7" t="str">
        <x:v>PEA-A-Y1</x:v>
      </x:c>
      <x:c r="E563" s="7" t="str">
        <x:v>BLD-A</x:v>
      </x:c>
      <x:c r="F563" s="7" t="str">
        <x:v>BL-Y</x:v>
      </x:c>
      <x:c r="G563" s="7" t="str">
        <x:v>MF-21</x:v>
      </x:c>
      <x:c r="H563" s="7" t="str"/>
      <x:c r="I563" s="7" t="str"/>
      <x:c r="J563" s="7" t="str">
        <x:f>IF(OR(H563="",I563=""),"",I563-H563)</x:f>
      </x:c>
      <x:c r="K563" s="7" t="str"/>
      <x:c r="L563" s="7" t="str"/>
      <x:c r="M563" s="7" t="str">
        <x:f>IF(L563="","OPEN",IF(OR(NOT(ISNUMBER(H563)),NOT(ISNUMBER(I563)),NOT(ISNUMBER(K563)),ABS(J563)&gt;K563),"FAIL","PASS"))</x:f>
        <x:v>OPEN</x:v>
      </x:c>
    </x:row>
    <x:row r="564">
      <x:c r="B564" s="7" t="str">
        <x:v>CAL-CH-PEA-A-Y1-21-6</x:v>
      </x:c>
      <x:c r="C564" s="7" t="str">
        <x:v>CH-PEA-A-Y1-21-6</x:v>
      </x:c>
      <x:c r="D564" s="7" t="str">
        <x:v>PEA-A-Y1</x:v>
      </x:c>
      <x:c r="E564" s="7" t="str">
        <x:v>BLD-A</x:v>
      </x:c>
      <x:c r="F564" s="7" t="str">
        <x:v>BL-Y</x:v>
      </x:c>
      <x:c r="G564" s="7" t="str">
        <x:v>MF-21</x:v>
      </x:c>
      <x:c r="H564" s="7" t="str"/>
      <x:c r="I564" s="7" t="str"/>
      <x:c r="J564" s="7" t="str">
        <x:f>IF(OR(H564="",I564=""),"",I564-H564)</x:f>
      </x:c>
      <x:c r="K564" s="7" t="str"/>
      <x:c r="L564" s="7" t="str"/>
      <x:c r="M564" s="7" t="str">
        <x:f>IF(L564="","OPEN",IF(OR(NOT(ISNUMBER(H564)),NOT(ISNUMBER(I564)),NOT(ISNUMBER(K564)),ABS(J564)&gt;K564),"FAIL","PASS"))</x:f>
        <x:v>OPEN</x:v>
      </x:c>
    </x:row>
    <x:row r="565">
      <x:c r="B565" s="7" t="str">
        <x:v>CAL-CH-PEA-A-Y1-22-1</x:v>
      </x:c>
      <x:c r="C565" s="7" t="str">
        <x:v>CH-PEA-A-Y1-22-1</x:v>
      </x:c>
      <x:c r="D565" s="7" t="str">
        <x:v>PEA-A-Y1</x:v>
      </x:c>
      <x:c r="E565" s="7" t="str">
        <x:v>BLD-A</x:v>
      </x:c>
      <x:c r="F565" s="7" t="str">
        <x:v>BL-Y</x:v>
      </x:c>
      <x:c r="G565" s="7" t="str">
        <x:v>MF-22</x:v>
      </x:c>
      <x:c r="H565" s="7" t="str"/>
      <x:c r="I565" s="7" t="str"/>
      <x:c r="J565" s="7" t="str">
        <x:f>IF(OR(H565="",I565=""),"",I565-H565)</x:f>
      </x:c>
      <x:c r="K565" s="7" t="str"/>
      <x:c r="L565" s="7" t="str"/>
      <x:c r="M565" s="7" t="str">
        <x:f>IF(L565="","OPEN",IF(OR(NOT(ISNUMBER(H565)),NOT(ISNUMBER(I565)),NOT(ISNUMBER(K565)),ABS(J565)&gt;K565),"FAIL","PASS"))</x:f>
        <x:v>OPEN</x:v>
      </x:c>
    </x:row>
    <x:row r="566">
      <x:c r="B566" s="7" t="str">
        <x:v>CAL-CH-PEA-A-Y1-22-2</x:v>
      </x:c>
      <x:c r="C566" s="7" t="str">
        <x:v>CH-PEA-A-Y1-22-2</x:v>
      </x:c>
      <x:c r="D566" s="7" t="str">
        <x:v>PEA-A-Y1</x:v>
      </x:c>
      <x:c r="E566" s="7" t="str">
        <x:v>BLD-A</x:v>
      </x:c>
      <x:c r="F566" s="7" t="str">
        <x:v>BL-Y</x:v>
      </x:c>
      <x:c r="G566" s="7" t="str">
        <x:v>MF-22</x:v>
      </x:c>
      <x:c r="H566" s="7" t="str"/>
      <x:c r="I566" s="7" t="str"/>
      <x:c r="J566" s="7" t="str">
        <x:f>IF(OR(H566="",I566=""),"",I566-H566)</x:f>
      </x:c>
      <x:c r="K566" s="7" t="str"/>
      <x:c r="L566" s="7" t="str"/>
      <x:c r="M566" s="7" t="str">
        <x:f>IF(L566="","OPEN",IF(OR(NOT(ISNUMBER(H566)),NOT(ISNUMBER(I566)),NOT(ISNUMBER(K566)),ABS(J566)&gt;K566),"FAIL","PASS"))</x:f>
        <x:v>OPEN</x:v>
      </x:c>
    </x:row>
    <x:row r="567">
      <x:c r="B567" s="7" t="str">
        <x:v>CAL-CH-PEA-A-Y1-22-3</x:v>
      </x:c>
      <x:c r="C567" s="7" t="str">
        <x:v>CH-PEA-A-Y1-22-3</x:v>
      </x:c>
      <x:c r="D567" s="7" t="str">
        <x:v>PEA-A-Y1</x:v>
      </x:c>
      <x:c r="E567" s="7" t="str">
        <x:v>BLD-A</x:v>
      </x:c>
      <x:c r="F567" s="7" t="str">
        <x:v>BL-Y</x:v>
      </x:c>
      <x:c r="G567" s="7" t="str">
        <x:v>MF-22</x:v>
      </x:c>
      <x:c r="H567" s="7" t="str"/>
      <x:c r="I567" s="7" t="str"/>
      <x:c r="J567" s="7" t="str">
        <x:f>IF(OR(H567="",I567=""),"",I567-H567)</x:f>
      </x:c>
      <x:c r="K567" s="7" t="str"/>
      <x:c r="L567" s="7" t="str"/>
      <x:c r="M567" s="7" t="str">
        <x:f>IF(L567="","OPEN",IF(OR(NOT(ISNUMBER(H567)),NOT(ISNUMBER(I567)),NOT(ISNUMBER(K567)),ABS(J567)&gt;K567),"FAIL","PASS"))</x:f>
        <x:v>OPEN</x:v>
      </x:c>
    </x:row>
    <x:row r="568">
      <x:c r="B568" s="7" t="str">
        <x:v>CAL-CH-PEA-A-Y1-22-4</x:v>
      </x:c>
      <x:c r="C568" s="7" t="str">
        <x:v>CH-PEA-A-Y1-22-4</x:v>
      </x:c>
      <x:c r="D568" s="7" t="str">
        <x:v>PEA-A-Y1</x:v>
      </x:c>
      <x:c r="E568" s="7" t="str">
        <x:v>BLD-A</x:v>
      </x:c>
      <x:c r="F568" s="7" t="str">
        <x:v>BL-Y</x:v>
      </x:c>
      <x:c r="G568" s="7" t="str">
        <x:v>MF-22</x:v>
      </x:c>
      <x:c r="H568" s="7" t="str"/>
      <x:c r="I568" s="7" t="str"/>
      <x:c r="J568" s="7" t="str">
        <x:f>IF(OR(H568="",I568=""),"",I568-H568)</x:f>
      </x:c>
      <x:c r="K568" s="7" t="str"/>
      <x:c r="L568" s="7" t="str"/>
      <x:c r="M568" s="7" t="str">
        <x:f>IF(L568="","OPEN",IF(OR(NOT(ISNUMBER(H568)),NOT(ISNUMBER(I568)),NOT(ISNUMBER(K568)),ABS(J568)&gt;K568),"FAIL","PASS"))</x:f>
        <x:v>OPEN</x:v>
      </x:c>
    </x:row>
    <x:row r="569">
      <x:c r="B569" s="7" t="str">
        <x:v>CAL-CH-PEA-A-Y1-22-5</x:v>
      </x:c>
      <x:c r="C569" s="7" t="str">
        <x:v>CH-PEA-A-Y1-22-5</x:v>
      </x:c>
      <x:c r="D569" s="7" t="str">
        <x:v>PEA-A-Y1</x:v>
      </x:c>
      <x:c r="E569" s="7" t="str">
        <x:v>BLD-A</x:v>
      </x:c>
      <x:c r="F569" s="7" t="str">
        <x:v>BL-Y</x:v>
      </x:c>
      <x:c r="G569" s="7" t="str">
        <x:v>MF-22</x:v>
      </x:c>
      <x:c r="H569" s="7" t="str"/>
      <x:c r="I569" s="7" t="str"/>
      <x:c r="J569" s="7" t="str">
        <x:f>IF(OR(H569="",I569=""),"",I569-H569)</x:f>
      </x:c>
      <x:c r="K569" s="7" t="str"/>
      <x:c r="L569" s="7" t="str"/>
      <x:c r="M569" s="7" t="str">
        <x:f>IF(L569="","OPEN",IF(OR(NOT(ISNUMBER(H569)),NOT(ISNUMBER(I569)),NOT(ISNUMBER(K569)),ABS(J569)&gt;K569),"FAIL","PASS"))</x:f>
        <x:v>OPEN</x:v>
      </x:c>
    </x:row>
    <x:row r="570">
      <x:c r="B570" s="7" t="str">
        <x:v>CAL-CH-PEA-A-Y1-22-6</x:v>
      </x:c>
      <x:c r="C570" s="7" t="str">
        <x:v>CH-PEA-A-Y1-22-6</x:v>
      </x:c>
      <x:c r="D570" s="7" t="str">
        <x:v>PEA-A-Y1</x:v>
      </x:c>
      <x:c r="E570" s="7" t="str">
        <x:v>BLD-A</x:v>
      </x:c>
      <x:c r="F570" s="7" t="str">
        <x:v>BL-Y</x:v>
      </x:c>
      <x:c r="G570" s="7" t="str">
        <x:v>MF-22</x:v>
      </x:c>
      <x:c r="H570" s="7" t="str"/>
      <x:c r="I570" s="7" t="str"/>
      <x:c r="J570" s="7" t="str">
        <x:f>IF(OR(H570="",I570=""),"",I570-H570)</x:f>
      </x:c>
      <x:c r="K570" s="7" t="str"/>
      <x:c r="L570" s="7" t="str"/>
      <x:c r="M570" s="7" t="str">
        <x:f>IF(L570="","OPEN",IF(OR(NOT(ISNUMBER(H570)),NOT(ISNUMBER(I570)),NOT(ISNUMBER(K570)),ABS(J570)&gt;K570),"FAIL","PASS"))</x:f>
        <x:v>OPEN</x:v>
      </x:c>
    </x:row>
    <x:row r="571">
      <x:c r="B571" s="7" t="str">
        <x:v>CAL-CH-PEA-A-Y1-23-1</x:v>
      </x:c>
      <x:c r="C571" s="7" t="str">
        <x:v>CH-PEA-A-Y1-23-1</x:v>
      </x:c>
      <x:c r="D571" s="7" t="str">
        <x:v>PEA-A-Y1</x:v>
      </x:c>
      <x:c r="E571" s="7" t="str">
        <x:v>BLD-A</x:v>
      </x:c>
      <x:c r="F571" s="7" t="str">
        <x:v>BL-Y</x:v>
      </x:c>
      <x:c r="G571" s="7" t="str">
        <x:v>MF-23</x:v>
      </x:c>
      <x:c r="H571" s="7" t="str"/>
      <x:c r="I571" s="7" t="str"/>
      <x:c r="J571" s="7" t="str">
        <x:f>IF(OR(H571="",I571=""),"",I571-H571)</x:f>
      </x:c>
      <x:c r="K571" s="7" t="str"/>
      <x:c r="L571" s="7" t="str"/>
      <x:c r="M571" s="7" t="str">
        <x:f>IF(L571="","OPEN",IF(OR(NOT(ISNUMBER(H571)),NOT(ISNUMBER(I571)),NOT(ISNUMBER(K571)),ABS(J571)&gt;K571),"FAIL","PASS"))</x:f>
        <x:v>OPEN</x:v>
      </x:c>
    </x:row>
    <x:row r="572">
      <x:c r="B572" s="7" t="str">
        <x:v>CAL-CH-PEA-A-Y1-23-2</x:v>
      </x:c>
      <x:c r="C572" s="7" t="str">
        <x:v>CH-PEA-A-Y1-23-2</x:v>
      </x:c>
      <x:c r="D572" s="7" t="str">
        <x:v>PEA-A-Y1</x:v>
      </x:c>
      <x:c r="E572" s="7" t="str">
        <x:v>BLD-A</x:v>
      </x:c>
      <x:c r="F572" s="7" t="str">
        <x:v>BL-Y</x:v>
      </x:c>
      <x:c r="G572" s="7" t="str">
        <x:v>MF-23</x:v>
      </x:c>
      <x:c r="H572" s="7" t="str"/>
      <x:c r="I572" s="7" t="str"/>
      <x:c r="J572" s="7" t="str">
        <x:f>IF(OR(H572="",I572=""),"",I572-H572)</x:f>
      </x:c>
      <x:c r="K572" s="7" t="str"/>
      <x:c r="L572" s="7" t="str"/>
      <x:c r="M572" s="7" t="str">
        <x:f>IF(L572="","OPEN",IF(OR(NOT(ISNUMBER(H572)),NOT(ISNUMBER(I572)),NOT(ISNUMBER(K572)),ABS(J572)&gt;K572),"FAIL","PASS"))</x:f>
        <x:v>OPEN</x:v>
      </x:c>
    </x:row>
    <x:row r="573">
      <x:c r="B573" s="7" t="str">
        <x:v>CAL-CH-PEA-A-Y1-23-3</x:v>
      </x:c>
      <x:c r="C573" s="7" t="str">
        <x:v>CH-PEA-A-Y1-23-3</x:v>
      </x:c>
      <x:c r="D573" s="7" t="str">
        <x:v>PEA-A-Y1</x:v>
      </x:c>
      <x:c r="E573" s="7" t="str">
        <x:v>BLD-A</x:v>
      </x:c>
      <x:c r="F573" s="7" t="str">
        <x:v>BL-Y</x:v>
      </x:c>
      <x:c r="G573" s="7" t="str">
        <x:v>MF-23</x:v>
      </x:c>
      <x:c r="H573" s="7" t="str"/>
      <x:c r="I573" s="7" t="str"/>
      <x:c r="J573" s="7" t="str">
        <x:f>IF(OR(H573="",I573=""),"",I573-H573)</x:f>
      </x:c>
      <x:c r="K573" s="7" t="str"/>
      <x:c r="L573" s="7" t="str"/>
      <x:c r="M573" s="7" t="str">
        <x:f>IF(L573="","OPEN",IF(OR(NOT(ISNUMBER(H573)),NOT(ISNUMBER(I573)),NOT(ISNUMBER(K573)),ABS(J573)&gt;K573),"FAIL","PASS"))</x:f>
        <x:v>OPEN</x:v>
      </x:c>
    </x:row>
    <x:row r="574">
      <x:c r="B574" s="7" t="str">
        <x:v>CAL-CH-PEA-A-Y1-23-4</x:v>
      </x:c>
      <x:c r="C574" s="7" t="str">
        <x:v>CH-PEA-A-Y1-23-4</x:v>
      </x:c>
      <x:c r="D574" s="7" t="str">
        <x:v>PEA-A-Y1</x:v>
      </x:c>
      <x:c r="E574" s="7" t="str">
        <x:v>BLD-A</x:v>
      </x:c>
      <x:c r="F574" s="7" t="str">
        <x:v>BL-Y</x:v>
      </x:c>
      <x:c r="G574" s="7" t="str">
        <x:v>MF-23</x:v>
      </x:c>
      <x:c r="H574" s="7" t="str"/>
      <x:c r="I574" s="7" t="str"/>
      <x:c r="J574" s="7" t="str">
        <x:f>IF(OR(H574="",I574=""),"",I574-H574)</x:f>
      </x:c>
      <x:c r="K574" s="7" t="str"/>
      <x:c r="L574" s="7" t="str"/>
      <x:c r="M574" s="7" t="str">
        <x:f>IF(L574="","OPEN",IF(OR(NOT(ISNUMBER(H574)),NOT(ISNUMBER(I574)),NOT(ISNUMBER(K574)),ABS(J574)&gt;K574),"FAIL","PASS"))</x:f>
        <x:v>OPEN</x:v>
      </x:c>
    </x:row>
    <x:row r="575">
      <x:c r="B575" s="7" t="str">
        <x:v>CAL-CH-PEA-A-Y1-23-5</x:v>
      </x:c>
      <x:c r="C575" s="7" t="str">
        <x:v>CH-PEA-A-Y1-23-5</x:v>
      </x:c>
      <x:c r="D575" s="7" t="str">
        <x:v>PEA-A-Y1</x:v>
      </x:c>
      <x:c r="E575" s="7" t="str">
        <x:v>BLD-A</x:v>
      </x:c>
      <x:c r="F575" s="7" t="str">
        <x:v>BL-Y</x:v>
      </x:c>
      <x:c r="G575" s="7" t="str">
        <x:v>MF-23</x:v>
      </x:c>
      <x:c r="H575" s="7" t="str"/>
      <x:c r="I575" s="7" t="str"/>
      <x:c r="J575" s="7" t="str">
        <x:f>IF(OR(H575="",I575=""),"",I575-H575)</x:f>
      </x:c>
      <x:c r="K575" s="7" t="str"/>
      <x:c r="L575" s="7" t="str"/>
      <x:c r="M575" s="7" t="str">
        <x:f>IF(L575="","OPEN",IF(OR(NOT(ISNUMBER(H575)),NOT(ISNUMBER(I575)),NOT(ISNUMBER(K575)),ABS(J575)&gt;K575),"FAIL","PASS"))</x:f>
        <x:v>OPEN</x:v>
      </x:c>
    </x:row>
    <x:row r="576">
      <x:c r="B576" s="7" t="str">
        <x:v>CAL-CH-PEA-A-Y1-23-6</x:v>
      </x:c>
      <x:c r="C576" s="7" t="str">
        <x:v>CH-PEA-A-Y1-23-6</x:v>
      </x:c>
      <x:c r="D576" s="7" t="str">
        <x:v>PEA-A-Y1</x:v>
      </x:c>
      <x:c r="E576" s="7" t="str">
        <x:v>BLD-A</x:v>
      </x:c>
      <x:c r="F576" s="7" t="str">
        <x:v>BL-Y</x:v>
      </x:c>
      <x:c r="G576" s="7" t="str">
        <x:v>MF-23</x:v>
      </x:c>
      <x:c r="H576" s="7" t="str"/>
      <x:c r="I576" s="7" t="str"/>
      <x:c r="J576" s="7" t="str">
        <x:f>IF(OR(H576="",I576=""),"",I576-H576)</x:f>
      </x:c>
      <x:c r="K576" s="7" t="str"/>
      <x:c r="L576" s="7" t="str"/>
      <x:c r="M576" s="7" t="str">
        <x:f>IF(L576="","OPEN",IF(OR(NOT(ISNUMBER(H576)),NOT(ISNUMBER(I576)),NOT(ISNUMBER(K576)),ABS(J576)&gt;K576),"FAIL","PASS"))</x:f>
        <x:v>OPEN</x:v>
      </x:c>
    </x:row>
    <x:row r="577">
      <x:c r="B577" s="7" t="str">
        <x:v>CAL-CH-PEA-A-Y1-24-1</x:v>
      </x:c>
      <x:c r="C577" s="7" t="str">
        <x:v>CH-PEA-A-Y1-24-1</x:v>
      </x:c>
      <x:c r="D577" s="7" t="str">
        <x:v>PEA-A-Y1</x:v>
      </x:c>
      <x:c r="E577" s="7" t="str">
        <x:v>BLD-A</x:v>
      </x:c>
      <x:c r="F577" s="7" t="str">
        <x:v>BL-Y</x:v>
      </x:c>
      <x:c r="G577" s="7" t="str">
        <x:v>MF-24</x:v>
      </x:c>
      <x:c r="H577" s="7" t="str"/>
      <x:c r="I577" s="7" t="str"/>
      <x:c r="J577" s="7" t="str">
        <x:f>IF(OR(H577="",I577=""),"",I577-H577)</x:f>
      </x:c>
      <x:c r="K577" s="7" t="str"/>
      <x:c r="L577" s="7" t="str"/>
      <x:c r="M577" s="7" t="str">
        <x:f>IF(L577="","OPEN",IF(OR(NOT(ISNUMBER(H577)),NOT(ISNUMBER(I577)),NOT(ISNUMBER(K577)),ABS(J577)&gt;K577),"FAIL","PASS"))</x:f>
        <x:v>OPEN</x:v>
      </x:c>
    </x:row>
    <x:row r="578">
      <x:c r="B578" s="7" t="str">
        <x:v>CAL-CH-PEA-A-Y1-24-2</x:v>
      </x:c>
      <x:c r="C578" s="7" t="str">
        <x:v>CH-PEA-A-Y1-24-2</x:v>
      </x:c>
      <x:c r="D578" s="7" t="str">
        <x:v>PEA-A-Y1</x:v>
      </x:c>
      <x:c r="E578" s="7" t="str">
        <x:v>BLD-A</x:v>
      </x:c>
      <x:c r="F578" s="7" t="str">
        <x:v>BL-Y</x:v>
      </x:c>
      <x:c r="G578" s="7" t="str">
        <x:v>MF-24</x:v>
      </x:c>
      <x:c r="H578" s="7" t="str"/>
      <x:c r="I578" s="7" t="str"/>
      <x:c r="J578" s="7" t="str">
        <x:f>IF(OR(H578="",I578=""),"",I578-H578)</x:f>
      </x:c>
      <x:c r="K578" s="7" t="str"/>
      <x:c r="L578" s="7" t="str"/>
      <x:c r="M578" s="7" t="str">
        <x:f>IF(L578="","OPEN",IF(OR(NOT(ISNUMBER(H578)),NOT(ISNUMBER(I578)),NOT(ISNUMBER(K578)),ABS(J578)&gt;K578),"FAIL","PASS"))</x:f>
        <x:v>OPEN</x:v>
      </x:c>
    </x:row>
    <x:row r="579">
      <x:c r="B579" s="7" t="str">
        <x:v>CAL-CH-PEA-A-Y1-24-3</x:v>
      </x:c>
      <x:c r="C579" s="7" t="str">
        <x:v>CH-PEA-A-Y1-24-3</x:v>
      </x:c>
      <x:c r="D579" s="7" t="str">
        <x:v>PEA-A-Y1</x:v>
      </x:c>
      <x:c r="E579" s="7" t="str">
        <x:v>BLD-A</x:v>
      </x:c>
      <x:c r="F579" s="7" t="str">
        <x:v>BL-Y</x:v>
      </x:c>
      <x:c r="G579" s="7" t="str">
        <x:v>MF-24</x:v>
      </x:c>
      <x:c r="H579" s="7" t="str"/>
      <x:c r="I579" s="7" t="str"/>
      <x:c r="J579" s="7" t="str">
        <x:f>IF(OR(H579="",I579=""),"",I579-H579)</x:f>
      </x:c>
      <x:c r="K579" s="7" t="str"/>
      <x:c r="L579" s="7" t="str"/>
      <x:c r="M579" s="7" t="str">
        <x:f>IF(L579="","OPEN",IF(OR(NOT(ISNUMBER(H579)),NOT(ISNUMBER(I579)),NOT(ISNUMBER(K579)),ABS(J579)&gt;K579),"FAIL","PASS"))</x:f>
        <x:v>OPEN</x:v>
      </x:c>
    </x:row>
    <x:row r="580">
      <x:c r="B580" s="7" t="str">
        <x:v>CAL-CH-PEA-A-Y1-24-4</x:v>
      </x:c>
      <x:c r="C580" s="7" t="str">
        <x:v>CH-PEA-A-Y1-24-4</x:v>
      </x:c>
      <x:c r="D580" s="7" t="str">
        <x:v>PEA-A-Y1</x:v>
      </x:c>
      <x:c r="E580" s="7" t="str">
        <x:v>BLD-A</x:v>
      </x:c>
      <x:c r="F580" s="7" t="str">
        <x:v>BL-Y</x:v>
      </x:c>
      <x:c r="G580" s="7" t="str">
        <x:v>MF-24</x:v>
      </x:c>
      <x:c r="H580" s="7" t="str"/>
      <x:c r="I580" s="7" t="str"/>
      <x:c r="J580" s="7" t="str">
        <x:f>IF(OR(H580="",I580=""),"",I580-H580)</x:f>
      </x:c>
      <x:c r="K580" s="7" t="str"/>
      <x:c r="L580" s="7" t="str"/>
      <x:c r="M580" s="7" t="str">
        <x:f>IF(L580="","OPEN",IF(OR(NOT(ISNUMBER(H580)),NOT(ISNUMBER(I580)),NOT(ISNUMBER(K580)),ABS(J580)&gt;K580),"FAIL","PASS"))</x:f>
        <x:v>OPEN</x:v>
      </x:c>
    </x:row>
    <x:row r="581">
      <x:c r="B581" s="7" t="str">
        <x:v>CAL-CH-PEA-A-Y1-24-5</x:v>
      </x:c>
      <x:c r="C581" s="7" t="str">
        <x:v>CH-PEA-A-Y1-24-5</x:v>
      </x:c>
      <x:c r="D581" s="7" t="str">
        <x:v>PEA-A-Y1</x:v>
      </x:c>
      <x:c r="E581" s="7" t="str">
        <x:v>BLD-A</x:v>
      </x:c>
      <x:c r="F581" s="7" t="str">
        <x:v>BL-Y</x:v>
      </x:c>
      <x:c r="G581" s="7" t="str">
        <x:v>MF-24</x:v>
      </x:c>
      <x:c r="H581" s="7" t="str"/>
      <x:c r="I581" s="7" t="str"/>
      <x:c r="J581" s="7" t="str">
        <x:f>IF(OR(H581="",I581=""),"",I581-H581)</x:f>
      </x:c>
      <x:c r="K581" s="7" t="str"/>
      <x:c r="L581" s="7" t="str"/>
      <x:c r="M581" s="7" t="str">
        <x:f>IF(L581="","OPEN",IF(OR(NOT(ISNUMBER(H581)),NOT(ISNUMBER(I581)),NOT(ISNUMBER(K581)),ABS(J581)&gt;K581),"FAIL","PASS"))</x:f>
        <x:v>OPEN</x:v>
      </x:c>
    </x:row>
    <x:row r="582">
      <x:c r="B582" s="7" t="str">
        <x:v>CAL-CH-PEA-A-Y1-24-6</x:v>
      </x:c>
      <x:c r="C582" s="7" t="str">
        <x:v>CH-PEA-A-Y1-24-6</x:v>
      </x:c>
      <x:c r="D582" s="7" t="str">
        <x:v>PEA-A-Y1</x:v>
      </x:c>
      <x:c r="E582" s="7" t="str">
        <x:v>BLD-A</x:v>
      </x:c>
      <x:c r="F582" s="7" t="str">
        <x:v>BL-Y</x:v>
      </x:c>
      <x:c r="G582" s="7" t="str">
        <x:v>MF-24</x:v>
      </x:c>
      <x:c r="H582" s="7" t="str"/>
      <x:c r="I582" s="7" t="str"/>
      <x:c r="J582" s="7" t="str">
        <x:f>IF(OR(H582="",I582=""),"",I582-H582)</x:f>
      </x:c>
      <x:c r="K582" s="7" t="str"/>
      <x:c r="L582" s="7" t="str"/>
      <x:c r="M582" s="7" t="str">
        <x:f>IF(L582="","OPEN",IF(OR(NOT(ISNUMBER(H582)),NOT(ISNUMBER(I582)),NOT(ISNUMBER(K582)),ABS(J582)&gt;K582),"FAIL","PASS"))</x:f>
        <x:v>OPEN</x:v>
      </x:c>
    </x:row>
    <x:row r="583">
      <x:c r="B583" s="7" t="str">
        <x:v>CAL-CH-PEA-A-Y2-01-1</x:v>
      </x:c>
      <x:c r="C583" s="7" t="str">
        <x:v>CH-PEA-A-Y2-01-1</x:v>
      </x:c>
      <x:c r="D583" s="7" t="str">
        <x:v>PEA-A-Y2</x:v>
      </x:c>
      <x:c r="E583" s="7" t="str">
        <x:v>BLD-A</x:v>
      </x:c>
      <x:c r="F583" s="7" t="str">
        <x:v>BL-Y</x:v>
      </x:c>
      <x:c r="G583" s="7" t="str">
        <x:v>MF-01</x:v>
      </x:c>
      <x:c r="H583" s="7" t="str"/>
      <x:c r="I583" s="7" t="str"/>
      <x:c r="J583" s="7" t="str">
        <x:f>IF(OR(H583="",I583=""),"",I583-H583)</x:f>
      </x:c>
      <x:c r="K583" s="7" t="str"/>
      <x:c r="L583" s="7" t="str"/>
      <x:c r="M583" s="7" t="str">
        <x:f>IF(L583="","OPEN",IF(OR(NOT(ISNUMBER(H583)),NOT(ISNUMBER(I583)),NOT(ISNUMBER(K583)),ABS(J583)&gt;K583),"FAIL","PASS"))</x:f>
        <x:v>OPEN</x:v>
      </x:c>
    </x:row>
    <x:row r="584">
      <x:c r="B584" s="7" t="str">
        <x:v>CAL-CH-PEA-A-Y2-01-2</x:v>
      </x:c>
      <x:c r="C584" s="7" t="str">
        <x:v>CH-PEA-A-Y2-01-2</x:v>
      </x:c>
      <x:c r="D584" s="7" t="str">
        <x:v>PEA-A-Y2</x:v>
      </x:c>
      <x:c r="E584" s="7" t="str">
        <x:v>BLD-A</x:v>
      </x:c>
      <x:c r="F584" s="7" t="str">
        <x:v>BL-Y</x:v>
      </x:c>
      <x:c r="G584" s="7" t="str">
        <x:v>MF-01</x:v>
      </x:c>
      <x:c r="H584" s="7" t="str"/>
      <x:c r="I584" s="7" t="str"/>
      <x:c r="J584" s="7" t="str">
        <x:f>IF(OR(H584="",I584=""),"",I584-H584)</x:f>
      </x:c>
      <x:c r="K584" s="7" t="str"/>
      <x:c r="L584" s="7" t="str"/>
      <x:c r="M584" s="7" t="str">
        <x:f>IF(L584="","OPEN",IF(OR(NOT(ISNUMBER(H584)),NOT(ISNUMBER(I584)),NOT(ISNUMBER(K584)),ABS(J584)&gt;K584),"FAIL","PASS"))</x:f>
        <x:v>OPEN</x:v>
      </x:c>
    </x:row>
    <x:row r="585">
      <x:c r="B585" s="7" t="str">
        <x:v>CAL-CH-PEA-A-Y2-01-3</x:v>
      </x:c>
      <x:c r="C585" s="7" t="str">
        <x:v>CH-PEA-A-Y2-01-3</x:v>
      </x:c>
      <x:c r="D585" s="7" t="str">
        <x:v>PEA-A-Y2</x:v>
      </x:c>
      <x:c r="E585" s="7" t="str">
        <x:v>BLD-A</x:v>
      </x:c>
      <x:c r="F585" s="7" t="str">
        <x:v>BL-Y</x:v>
      </x:c>
      <x:c r="G585" s="7" t="str">
        <x:v>MF-01</x:v>
      </x:c>
      <x:c r="H585" s="7" t="str"/>
      <x:c r="I585" s="7" t="str"/>
      <x:c r="J585" s="7" t="str">
        <x:f>IF(OR(H585="",I585=""),"",I585-H585)</x:f>
      </x:c>
      <x:c r="K585" s="7" t="str"/>
      <x:c r="L585" s="7" t="str"/>
      <x:c r="M585" s="7" t="str">
        <x:f>IF(L585="","OPEN",IF(OR(NOT(ISNUMBER(H585)),NOT(ISNUMBER(I585)),NOT(ISNUMBER(K585)),ABS(J585)&gt;K585),"FAIL","PASS"))</x:f>
        <x:v>OPEN</x:v>
      </x:c>
    </x:row>
    <x:row r="586">
      <x:c r="B586" s="7" t="str">
        <x:v>CAL-CH-PEA-A-Y2-01-4</x:v>
      </x:c>
      <x:c r="C586" s="7" t="str">
        <x:v>CH-PEA-A-Y2-01-4</x:v>
      </x:c>
      <x:c r="D586" s="7" t="str">
        <x:v>PEA-A-Y2</x:v>
      </x:c>
      <x:c r="E586" s="7" t="str">
        <x:v>BLD-A</x:v>
      </x:c>
      <x:c r="F586" s="7" t="str">
        <x:v>BL-Y</x:v>
      </x:c>
      <x:c r="G586" s="7" t="str">
        <x:v>MF-01</x:v>
      </x:c>
      <x:c r="H586" s="7" t="str"/>
      <x:c r="I586" s="7" t="str"/>
      <x:c r="J586" s="7" t="str">
        <x:f>IF(OR(H586="",I586=""),"",I586-H586)</x:f>
      </x:c>
      <x:c r="K586" s="7" t="str"/>
      <x:c r="L586" s="7" t="str"/>
      <x:c r="M586" s="7" t="str">
        <x:f>IF(L586="","OPEN",IF(OR(NOT(ISNUMBER(H586)),NOT(ISNUMBER(I586)),NOT(ISNUMBER(K586)),ABS(J586)&gt;K586),"FAIL","PASS"))</x:f>
        <x:v>OPEN</x:v>
      </x:c>
    </x:row>
    <x:row r="587">
      <x:c r="B587" s="7" t="str">
        <x:v>CAL-CH-PEA-A-Y2-01-5</x:v>
      </x:c>
      <x:c r="C587" s="7" t="str">
        <x:v>CH-PEA-A-Y2-01-5</x:v>
      </x:c>
      <x:c r="D587" s="7" t="str">
        <x:v>PEA-A-Y2</x:v>
      </x:c>
      <x:c r="E587" s="7" t="str">
        <x:v>BLD-A</x:v>
      </x:c>
      <x:c r="F587" s="7" t="str">
        <x:v>BL-Y</x:v>
      </x:c>
      <x:c r="G587" s="7" t="str">
        <x:v>MF-01</x:v>
      </x:c>
      <x:c r="H587" s="7" t="str"/>
      <x:c r="I587" s="7" t="str"/>
      <x:c r="J587" s="7" t="str">
        <x:f>IF(OR(H587="",I587=""),"",I587-H587)</x:f>
      </x:c>
      <x:c r="K587" s="7" t="str"/>
      <x:c r="L587" s="7" t="str"/>
      <x:c r="M587" s="7" t="str">
        <x:f>IF(L587="","OPEN",IF(OR(NOT(ISNUMBER(H587)),NOT(ISNUMBER(I587)),NOT(ISNUMBER(K587)),ABS(J587)&gt;K587),"FAIL","PASS"))</x:f>
        <x:v>OPEN</x:v>
      </x:c>
    </x:row>
    <x:row r="588">
      <x:c r="B588" s="7" t="str">
        <x:v>CAL-CH-PEA-A-Y2-01-6</x:v>
      </x:c>
      <x:c r="C588" s="7" t="str">
        <x:v>CH-PEA-A-Y2-01-6</x:v>
      </x:c>
      <x:c r="D588" s="7" t="str">
        <x:v>PEA-A-Y2</x:v>
      </x:c>
      <x:c r="E588" s="7" t="str">
        <x:v>BLD-A</x:v>
      </x:c>
      <x:c r="F588" s="7" t="str">
        <x:v>BL-Y</x:v>
      </x:c>
      <x:c r="G588" s="7" t="str">
        <x:v>MF-01</x:v>
      </x:c>
      <x:c r="H588" s="7" t="str"/>
      <x:c r="I588" s="7" t="str"/>
      <x:c r="J588" s="7" t="str">
        <x:f>IF(OR(H588="",I588=""),"",I588-H588)</x:f>
      </x:c>
      <x:c r="K588" s="7" t="str"/>
      <x:c r="L588" s="7" t="str"/>
      <x:c r="M588" s="7" t="str">
        <x:f>IF(L588="","OPEN",IF(OR(NOT(ISNUMBER(H588)),NOT(ISNUMBER(I588)),NOT(ISNUMBER(K588)),ABS(J588)&gt;K588),"FAIL","PASS"))</x:f>
        <x:v>OPEN</x:v>
      </x:c>
    </x:row>
    <x:row r="589">
      <x:c r="B589" s="7" t="str">
        <x:v>CAL-CH-PEA-A-Y2-02-1</x:v>
      </x:c>
      <x:c r="C589" s="7" t="str">
        <x:v>CH-PEA-A-Y2-02-1</x:v>
      </x:c>
      <x:c r="D589" s="7" t="str">
        <x:v>PEA-A-Y2</x:v>
      </x:c>
      <x:c r="E589" s="7" t="str">
        <x:v>BLD-A</x:v>
      </x:c>
      <x:c r="F589" s="7" t="str">
        <x:v>BL-Y</x:v>
      </x:c>
      <x:c r="G589" s="7" t="str">
        <x:v>MF-02</x:v>
      </x:c>
      <x:c r="H589" s="7" t="str"/>
      <x:c r="I589" s="7" t="str"/>
      <x:c r="J589" s="7" t="str">
        <x:f>IF(OR(H589="",I589=""),"",I589-H589)</x:f>
      </x:c>
      <x:c r="K589" s="7" t="str"/>
      <x:c r="L589" s="7" t="str"/>
      <x:c r="M589" s="7" t="str">
        <x:f>IF(L589="","OPEN",IF(OR(NOT(ISNUMBER(H589)),NOT(ISNUMBER(I589)),NOT(ISNUMBER(K589)),ABS(J589)&gt;K589),"FAIL","PASS"))</x:f>
        <x:v>OPEN</x:v>
      </x:c>
    </x:row>
    <x:row r="590">
      <x:c r="B590" s="7" t="str">
        <x:v>CAL-CH-PEA-A-Y2-02-2</x:v>
      </x:c>
      <x:c r="C590" s="7" t="str">
        <x:v>CH-PEA-A-Y2-02-2</x:v>
      </x:c>
      <x:c r="D590" s="7" t="str">
        <x:v>PEA-A-Y2</x:v>
      </x:c>
      <x:c r="E590" s="7" t="str">
        <x:v>BLD-A</x:v>
      </x:c>
      <x:c r="F590" s="7" t="str">
        <x:v>BL-Y</x:v>
      </x:c>
      <x:c r="G590" s="7" t="str">
        <x:v>MF-02</x:v>
      </x:c>
      <x:c r="H590" s="7" t="str"/>
      <x:c r="I590" s="7" t="str"/>
      <x:c r="J590" s="7" t="str">
        <x:f>IF(OR(H590="",I590=""),"",I590-H590)</x:f>
      </x:c>
      <x:c r="K590" s="7" t="str"/>
      <x:c r="L590" s="7" t="str"/>
      <x:c r="M590" s="7" t="str">
        <x:f>IF(L590="","OPEN",IF(OR(NOT(ISNUMBER(H590)),NOT(ISNUMBER(I590)),NOT(ISNUMBER(K590)),ABS(J590)&gt;K590),"FAIL","PASS"))</x:f>
        <x:v>OPEN</x:v>
      </x:c>
    </x:row>
    <x:row r="591">
      <x:c r="B591" s="7" t="str">
        <x:v>CAL-CH-PEA-A-Y2-02-3</x:v>
      </x:c>
      <x:c r="C591" s="7" t="str">
        <x:v>CH-PEA-A-Y2-02-3</x:v>
      </x:c>
      <x:c r="D591" s="7" t="str">
        <x:v>PEA-A-Y2</x:v>
      </x:c>
      <x:c r="E591" s="7" t="str">
        <x:v>BLD-A</x:v>
      </x:c>
      <x:c r="F591" s="7" t="str">
        <x:v>BL-Y</x:v>
      </x:c>
      <x:c r="G591" s="7" t="str">
        <x:v>MF-02</x:v>
      </x:c>
      <x:c r="H591" s="7" t="str"/>
      <x:c r="I591" s="7" t="str"/>
      <x:c r="J591" s="7" t="str">
        <x:f>IF(OR(H591="",I591=""),"",I591-H591)</x:f>
      </x:c>
      <x:c r="K591" s="7" t="str"/>
      <x:c r="L591" s="7" t="str"/>
      <x:c r="M591" s="7" t="str">
        <x:f>IF(L591="","OPEN",IF(OR(NOT(ISNUMBER(H591)),NOT(ISNUMBER(I591)),NOT(ISNUMBER(K591)),ABS(J591)&gt;K591),"FAIL","PASS"))</x:f>
        <x:v>OPEN</x:v>
      </x:c>
    </x:row>
    <x:row r="592">
      <x:c r="B592" s="7" t="str">
        <x:v>CAL-CH-PEA-A-Y2-02-4</x:v>
      </x:c>
      <x:c r="C592" s="7" t="str">
        <x:v>CH-PEA-A-Y2-02-4</x:v>
      </x:c>
      <x:c r="D592" s="7" t="str">
        <x:v>PEA-A-Y2</x:v>
      </x:c>
      <x:c r="E592" s="7" t="str">
        <x:v>BLD-A</x:v>
      </x:c>
      <x:c r="F592" s="7" t="str">
        <x:v>BL-Y</x:v>
      </x:c>
      <x:c r="G592" s="7" t="str">
        <x:v>MF-02</x:v>
      </x:c>
      <x:c r="H592" s="7" t="str"/>
      <x:c r="I592" s="7" t="str"/>
      <x:c r="J592" s="7" t="str">
        <x:f>IF(OR(H592="",I592=""),"",I592-H592)</x:f>
      </x:c>
      <x:c r="K592" s="7" t="str"/>
      <x:c r="L592" s="7" t="str"/>
      <x:c r="M592" s="7" t="str">
        <x:f>IF(L592="","OPEN",IF(OR(NOT(ISNUMBER(H592)),NOT(ISNUMBER(I592)),NOT(ISNUMBER(K592)),ABS(J592)&gt;K592),"FAIL","PASS"))</x:f>
        <x:v>OPEN</x:v>
      </x:c>
    </x:row>
    <x:row r="593">
      <x:c r="B593" s="7" t="str">
        <x:v>CAL-CH-PEA-A-Y2-02-5</x:v>
      </x:c>
      <x:c r="C593" s="7" t="str">
        <x:v>CH-PEA-A-Y2-02-5</x:v>
      </x:c>
      <x:c r="D593" s="7" t="str">
        <x:v>PEA-A-Y2</x:v>
      </x:c>
      <x:c r="E593" s="7" t="str">
        <x:v>BLD-A</x:v>
      </x:c>
      <x:c r="F593" s="7" t="str">
        <x:v>BL-Y</x:v>
      </x:c>
      <x:c r="G593" s="7" t="str">
        <x:v>MF-02</x:v>
      </x:c>
      <x:c r="H593" s="7" t="str"/>
      <x:c r="I593" s="7" t="str"/>
      <x:c r="J593" s="7" t="str">
        <x:f>IF(OR(H593="",I593=""),"",I593-H593)</x:f>
      </x:c>
      <x:c r="K593" s="7" t="str"/>
      <x:c r="L593" s="7" t="str"/>
      <x:c r="M593" s="7" t="str">
        <x:f>IF(L593="","OPEN",IF(OR(NOT(ISNUMBER(H593)),NOT(ISNUMBER(I593)),NOT(ISNUMBER(K593)),ABS(J593)&gt;K593),"FAIL","PASS"))</x:f>
        <x:v>OPEN</x:v>
      </x:c>
    </x:row>
    <x:row r="594">
      <x:c r="B594" s="7" t="str">
        <x:v>CAL-CH-PEA-A-Y2-02-6</x:v>
      </x:c>
      <x:c r="C594" s="7" t="str">
        <x:v>CH-PEA-A-Y2-02-6</x:v>
      </x:c>
      <x:c r="D594" s="7" t="str">
        <x:v>PEA-A-Y2</x:v>
      </x:c>
      <x:c r="E594" s="7" t="str">
        <x:v>BLD-A</x:v>
      </x:c>
      <x:c r="F594" s="7" t="str">
        <x:v>BL-Y</x:v>
      </x:c>
      <x:c r="G594" s="7" t="str">
        <x:v>MF-02</x:v>
      </x:c>
      <x:c r="H594" s="7" t="str"/>
      <x:c r="I594" s="7" t="str"/>
      <x:c r="J594" s="7" t="str">
        <x:f>IF(OR(H594="",I594=""),"",I594-H594)</x:f>
      </x:c>
      <x:c r="K594" s="7" t="str"/>
      <x:c r="L594" s="7" t="str"/>
      <x:c r="M594" s="7" t="str">
        <x:f>IF(L594="","OPEN",IF(OR(NOT(ISNUMBER(H594)),NOT(ISNUMBER(I594)),NOT(ISNUMBER(K594)),ABS(J594)&gt;K594),"FAIL","PASS"))</x:f>
        <x:v>OPEN</x:v>
      </x:c>
    </x:row>
    <x:row r="595">
      <x:c r="B595" s="7" t="str">
        <x:v>CAL-CH-PEA-A-Y2-03-1</x:v>
      </x:c>
      <x:c r="C595" s="7" t="str">
        <x:v>CH-PEA-A-Y2-03-1</x:v>
      </x:c>
      <x:c r="D595" s="7" t="str">
        <x:v>PEA-A-Y2</x:v>
      </x:c>
      <x:c r="E595" s="7" t="str">
        <x:v>BLD-A</x:v>
      </x:c>
      <x:c r="F595" s="7" t="str">
        <x:v>BL-Y</x:v>
      </x:c>
      <x:c r="G595" s="7" t="str">
        <x:v>MF-03</x:v>
      </x:c>
      <x:c r="H595" s="7" t="str"/>
      <x:c r="I595" s="7" t="str"/>
      <x:c r="J595" s="7" t="str">
        <x:f>IF(OR(H595="",I595=""),"",I595-H595)</x:f>
      </x:c>
      <x:c r="K595" s="7" t="str"/>
      <x:c r="L595" s="7" t="str"/>
      <x:c r="M595" s="7" t="str">
        <x:f>IF(L595="","OPEN",IF(OR(NOT(ISNUMBER(H595)),NOT(ISNUMBER(I595)),NOT(ISNUMBER(K595)),ABS(J595)&gt;K595),"FAIL","PASS"))</x:f>
        <x:v>OPEN</x:v>
      </x:c>
    </x:row>
    <x:row r="596">
      <x:c r="B596" s="7" t="str">
        <x:v>CAL-CH-PEA-A-Y2-03-2</x:v>
      </x:c>
      <x:c r="C596" s="7" t="str">
        <x:v>CH-PEA-A-Y2-03-2</x:v>
      </x:c>
      <x:c r="D596" s="7" t="str">
        <x:v>PEA-A-Y2</x:v>
      </x:c>
      <x:c r="E596" s="7" t="str">
        <x:v>BLD-A</x:v>
      </x:c>
      <x:c r="F596" s="7" t="str">
        <x:v>BL-Y</x:v>
      </x:c>
      <x:c r="G596" s="7" t="str">
        <x:v>MF-03</x:v>
      </x:c>
      <x:c r="H596" s="7" t="str"/>
      <x:c r="I596" s="7" t="str"/>
      <x:c r="J596" s="7" t="str">
        <x:f>IF(OR(H596="",I596=""),"",I596-H596)</x:f>
      </x:c>
      <x:c r="K596" s="7" t="str"/>
      <x:c r="L596" s="7" t="str"/>
      <x:c r="M596" s="7" t="str">
        <x:f>IF(L596="","OPEN",IF(OR(NOT(ISNUMBER(H596)),NOT(ISNUMBER(I596)),NOT(ISNUMBER(K596)),ABS(J596)&gt;K596),"FAIL","PASS"))</x:f>
        <x:v>OPEN</x:v>
      </x:c>
    </x:row>
    <x:row r="597">
      <x:c r="B597" s="7" t="str">
        <x:v>CAL-CH-PEA-A-Y2-03-3</x:v>
      </x:c>
      <x:c r="C597" s="7" t="str">
        <x:v>CH-PEA-A-Y2-03-3</x:v>
      </x:c>
      <x:c r="D597" s="7" t="str">
        <x:v>PEA-A-Y2</x:v>
      </x:c>
      <x:c r="E597" s="7" t="str">
        <x:v>BLD-A</x:v>
      </x:c>
      <x:c r="F597" s="7" t="str">
        <x:v>BL-Y</x:v>
      </x:c>
      <x:c r="G597" s="7" t="str">
        <x:v>MF-03</x:v>
      </x:c>
      <x:c r="H597" s="7" t="str"/>
      <x:c r="I597" s="7" t="str"/>
      <x:c r="J597" s="7" t="str">
        <x:f>IF(OR(H597="",I597=""),"",I597-H597)</x:f>
      </x:c>
      <x:c r="K597" s="7" t="str"/>
      <x:c r="L597" s="7" t="str"/>
      <x:c r="M597" s="7" t="str">
        <x:f>IF(L597="","OPEN",IF(OR(NOT(ISNUMBER(H597)),NOT(ISNUMBER(I597)),NOT(ISNUMBER(K597)),ABS(J597)&gt;K597),"FAIL","PASS"))</x:f>
        <x:v>OPEN</x:v>
      </x:c>
    </x:row>
    <x:row r="598">
      <x:c r="B598" s="7" t="str">
        <x:v>CAL-CH-PEA-A-Y2-03-4</x:v>
      </x:c>
      <x:c r="C598" s="7" t="str">
        <x:v>CH-PEA-A-Y2-03-4</x:v>
      </x:c>
      <x:c r="D598" s="7" t="str">
        <x:v>PEA-A-Y2</x:v>
      </x:c>
      <x:c r="E598" s="7" t="str">
        <x:v>BLD-A</x:v>
      </x:c>
      <x:c r="F598" s="7" t="str">
        <x:v>BL-Y</x:v>
      </x:c>
      <x:c r="G598" s="7" t="str">
        <x:v>MF-03</x:v>
      </x:c>
      <x:c r="H598" s="7" t="str"/>
      <x:c r="I598" s="7" t="str"/>
      <x:c r="J598" s="7" t="str">
        <x:f>IF(OR(H598="",I598=""),"",I598-H598)</x:f>
      </x:c>
      <x:c r="K598" s="7" t="str"/>
      <x:c r="L598" s="7" t="str"/>
      <x:c r="M598" s="7" t="str">
        <x:f>IF(L598="","OPEN",IF(OR(NOT(ISNUMBER(H598)),NOT(ISNUMBER(I598)),NOT(ISNUMBER(K598)),ABS(J598)&gt;K598),"FAIL","PASS"))</x:f>
        <x:v>OPEN</x:v>
      </x:c>
    </x:row>
    <x:row r="599">
      <x:c r="B599" s="7" t="str">
        <x:v>CAL-CH-PEA-A-Y2-03-5</x:v>
      </x:c>
      <x:c r="C599" s="7" t="str">
        <x:v>CH-PEA-A-Y2-03-5</x:v>
      </x:c>
      <x:c r="D599" s="7" t="str">
        <x:v>PEA-A-Y2</x:v>
      </x:c>
      <x:c r="E599" s="7" t="str">
        <x:v>BLD-A</x:v>
      </x:c>
      <x:c r="F599" s="7" t="str">
        <x:v>BL-Y</x:v>
      </x:c>
      <x:c r="G599" s="7" t="str">
        <x:v>MF-03</x:v>
      </x:c>
      <x:c r="H599" s="7" t="str"/>
      <x:c r="I599" s="7" t="str"/>
      <x:c r="J599" s="7" t="str">
        <x:f>IF(OR(H599="",I599=""),"",I599-H599)</x:f>
      </x:c>
      <x:c r="K599" s="7" t="str"/>
      <x:c r="L599" s="7" t="str"/>
      <x:c r="M599" s="7" t="str">
        <x:f>IF(L599="","OPEN",IF(OR(NOT(ISNUMBER(H599)),NOT(ISNUMBER(I599)),NOT(ISNUMBER(K599)),ABS(J599)&gt;K599),"FAIL","PASS"))</x:f>
        <x:v>OPEN</x:v>
      </x:c>
    </x:row>
    <x:row r="600">
      <x:c r="B600" s="7" t="str">
        <x:v>CAL-CH-PEA-A-Y2-03-6</x:v>
      </x:c>
      <x:c r="C600" s="7" t="str">
        <x:v>CH-PEA-A-Y2-03-6</x:v>
      </x:c>
      <x:c r="D600" s="7" t="str">
        <x:v>PEA-A-Y2</x:v>
      </x:c>
      <x:c r="E600" s="7" t="str">
        <x:v>BLD-A</x:v>
      </x:c>
      <x:c r="F600" s="7" t="str">
        <x:v>BL-Y</x:v>
      </x:c>
      <x:c r="G600" s="7" t="str">
        <x:v>MF-03</x:v>
      </x:c>
      <x:c r="H600" s="7" t="str"/>
      <x:c r="I600" s="7" t="str"/>
      <x:c r="J600" s="7" t="str">
        <x:f>IF(OR(H600="",I600=""),"",I600-H600)</x:f>
      </x:c>
      <x:c r="K600" s="7" t="str"/>
      <x:c r="L600" s="7" t="str"/>
      <x:c r="M600" s="7" t="str">
        <x:f>IF(L600="","OPEN",IF(OR(NOT(ISNUMBER(H600)),NOT(ISNUMBER(I600)),NOT(ISNUMBER(K600)),ABS(J600)&gt;K600),"FAIL","PASS"))</x:f>
        <x:v>OPEN</x:v>
      </x:c>
    </x:row>
    <x:row r="601">
      <x:c r="B601" s="7" t="str">
        <x:v>CAL-CH-PEA-A-Y2-04-1</x:v>
      </x:c>
      <x:c r="C601" s="7" t="str">
        <x:v>CH-PEA-A-Y2-04-1</x:v>
      </x:c>
      <x:c r="D601" s="7" t="str">
        <x:v>PEA-A-Y2</x:v>
      </x:c>
      <x:c r="E601" s="7" t="str">
        <x:v>BLD-A</x:v>
      </x:c>
      <x:c r="F601" s="7" t="str">
        <x:v>BL-Y</x:v>
      </x:c>
      <x:c r="G601" s="7" t="str">
        <x:v>MF-04</x:v>
      </x:c>
      <x:c r="H601" s="7" t="str"/>
      <x:c r="I601" s="7" t="str"/>
      <x:c r="J601" s="7" t="str">
        <x:f>IF(OR(H601="",I601=""),"",I601-H601)</x:f>
      </x:c>
      <x:c r="K601" s="7" t="str"/>
      <x:c r="L601" s="7" t="str"/>
      <x:c r="M601" s="7" t="str">
        <x:f>IF(L601="","OPEN",IF(OR(NOT(ISNUMBER(H601)),NOT(ISNUMBER(I601)),NOT(ISNUMBER(K601)),ABS(J601)&gt;K601),"FAIL","PASS"))</x:f>
        <x:v>OPEN</x:v>
      </x:c>
    </x:row>
    <x:row r="602">
      <x:c r="B602" s="7" t="str">
        <x:v>CAL-CH-PEA-A-Y2-04-2</x:v>
      </x:c>
      <x:c r="C602" s="7" t="str">
        <x:v>CH-PEA-A-Y2-04-2</x:v>
      </x:c>
      <x:c r="D602" s="7" t="str">
        <x:v>PEA-A-Y2</x:v>
      </x:c>
      <x:c r="E602" s="7" t="str">
        <x:v>BLD-A</x:v>
      </x:c>
      <x:c r="F602" s="7" t="str">
        <x:v>BL-Y</x:v>
      </x:c>
      <x:c r="G602" s="7" t="str">
        <x:v>MF-04</x:v>
      </x:c>
      <x:c r="H602" s="7" t="str"/>
      <x:c r="I602" s="7" t="str"/>
      <x:c r="J602" s="7" t="str">
        <x:f>IF(OR(H602="",I602=""),"",I602-H602)</x:f>
      </x:c>
      <x:c r="K602" s="7" t="str"/>
      <x:c r="L602" s="7" t="str"/>
      <x:c r="M602" s="7" t="str">
        <x:f>IF(L602="","OPEN",IF(OR(NOT(ISNUMBER(H602)),NOT(ISNUMBER(I602)),NOT(ISNUMBER(K602)),ABS(J602)&gt;K602),"FAIL","PASS"))</x:f>
        <x:v>OPEN</x:v>
      </x:c>
    </x:row>
    <x:row r="603">
      <x:c r="B603" s="7" t="str">
        <x:v>CAL-CH-PEA-A-Y2-04-3</x:v>
      </x:c>
      <x:c r="C603" s="7" t="str">
        <x:v>CH-PEA-A-Y2-04-3</x:v>
      </x:c>
      <x:c r="D603" s="7" t="str">
        <x:v>PEA-A-Y2</x:v>
      </x:c>
      <x:c r="E603" s="7" t="str">
        <x:v>BLD-A</x:v>
      </x:c>
      <x:c r="F603" s="7" t="str">
        <x:v>BL-Y</x:v>
      </x:c>
      <x:c r="G603" s="7" t="str">
        <x:v>MF-04</x:v>
      </x:c>
      <x:c r="H603" s="7" t="str"/>
      <x:c r="I603" s="7" t="str"/>
      <x:c r="J603" s="7" t="str">
        <x:f>IF(OR(H603="",I603=""),"",I603-H603)</x:f>
      </x:c>
      <x:c r="K603" s="7" t="str"/>
      <x:c r="L603" s="7" t="str"/>
      <x:c r="M603" s="7" t="str">
        <x:f>IF(L603="","OPEN",IF(OR(NOT(ISNUMBER(H603)),NOT(ISNUMBER(I603)),NOT(ISNUMBER(K603)),ABS(J603)&gt;K603),"FAIL","PASS"))</x:f>
        <x:v>OPEN</x:v>
      </x:c>
    </x:row>
    <x:row r="604">
      <x:c r="B604" s="7" t="str">
        <x:v>CAL-CH-PEA-A-Y2-04-4</x:v>
      </x:c>
      <x:c r="C604" s="7" t="str">
        <x:v>CH-PEA-A-Y2-04-4</x:v>
      </x:c>
      <x:c r="D604" s="7" t="str">
        <x:v>PEA-A-Y2</x:v>
      </x:c>
      <x:c r="E604" s="7" t="str">
        <x:v>BLD-A</x:v>
      </x:c>
      <x:c r="F604" s="7" t="str">
        <x:v>BL-Y</x:v>
      </x:c>
      <x:c r="G604" s="7" t="str">
        <x:v>MF-04</x:v>
      </x:c>
      <x:c r="H604" s="7" t="str"/>
      <x:c r="I604" s="7" t="str"/>
      <x:c r="J604" s="7" t="str">
        <x:f>IF(OR(H604="",I604=""),"",I604-H604)</x:f>
      </x:c>
      <x:c r="K604" s="7" t="str"/>
      <x:c r="L604" s="7" t="str"/>
      <x:c r="M604" s="7" t="str">
        <x:f>IF(L604="","OPEN",IF(OR(NOT(ISNUMBER(H604)),NOT(ISNUMBER(I604)),NOT(ISNUMBER(K604)),ABS(J604)&gt;K604),"FAIL","PASS"))</x:f>
        <x:v>OPEN</x:v>
      </x:c>
    </x:row>
    <x:row r="605">
      <x:c r="B605" s="7" t="str">
        <x:v>CAL-CH-PEA-A-Y2-04-5</x:v>
      </x:c>
      <x:c r="C605" s="7" t="str">
        <x:v>CH-PEA-A-Y2-04-5</x:v>
      </x:c>
      <x:c r="D605" s="7" t="str">
        <x:v>PEA-A-Y2</x:v>
      </x:c>
      <x:c r="E605" s="7" t="str">
        <x:v>BLD-A</x:v>
      </x:c>
      <x:c r="F605" s="7" t="str">
        <x:v>BL-Y</x:v>
      </x:c>
      <x:c r="G605" s="7" t="str">
        <x:v>MF-04</x:v>
      </x:c>
      <x:c r="H605" s="7" t="str"/>
      <x:c r="I605" s="7" t="str"/>
      <x:c r="J605" s="7" t="str">
        <x:f>IF(OR(H605="",I605=""),"",I605-H605)</x:f>
      </x:c>
      <x:c r="K605" s="7" t="str"/>
      <x:c r="L605" s="7" t="str"/>
      <x:c r="M605" s="7" t="str">
        <x:f>IF(L605="","OPEN",IF(OR(NOT(ISNUMBER(H605)),NOT(ISNUMBER(I605)),NOT(ISNUMBER(K605)),ABS(J605)&gt;K605),"FAIL","PASS"))</x:f>
        <x:v>OPEN</x:v>
      </x:c>
    </x:row>
    <x:row r="606">
      <x:c r="B606" s="7" t="str">
        <x:v>CAL-CH-PEA-A-Y2-04-6</x:v>
      </x:c>
      <x:c r="C606" s="7" t="str">
        <x:v>CH-PEA-A-Y2-04-6</x:v>
      </x:c>
      <x:c r="D606" s="7" t="str">
        <x:v>PEA-A-Y2</x:v>
      </x:c>
      <x:c r="E606" s="7" t="str">
        <x:v>BLD-A</x:v>
      </x:c>
      <x:c r="F606" s="7" t="str">
        <x:v>BL-Y</x:v>
      </x:c>
      <x:c r="G606" s="7" t="str">
        <x:v>MF-04</x:v>
      </x:c>
      <x:c r="H606" s="7" t="str"/>
      <x:c r="I606" s="7" t="str"/>
      <x:c r="J606" s="7" t="str">
        <x:f>IF(OR(H606="",I606=""),"",I606-H606)</x:f>
      </x:c>
      <x:c r="K606" s="7" t="str"/>
      <x:c r="L606" s="7" t="str"/>
      <x:c r="M606" s="7" t="str">
        <x:f>IF(L606="","OPEN",IF(OR(NOT(ISNUMBER(H606)),NOT(ISNUMBER(I606)),NOT(ISNUMBER(K606)),ABS(J606)&gt;K606),"FAIL","PASS"))</x:f>
        <x:v>OPEN</x:v>
      </x:c>
    </x:row>
    <x:row r="607">
      <x:c r="B607" s="7" t="str">
        <x:v>CAL-CH-PEA-A-Y2-05-1</x:v>
      </x:c>
      <x:c r="C607" s="7" t="str">
        <x:v>CH-PEA-A-Y2-05-1</x:v>
      </x:c>
      <x:c r="D607" s="7" t="str">
        <x:v>PEA-A-Y2</x:v>
      </x:c>
      <x:c r="E607" s="7" t="str">
        <x:v>BLD-A</x:v>
      </x:c>
      <x:c r="F607" s="7" t="str">
        <x:v>BL-Y</x:v>
      </x:c>
      <x:c r="G607" s="7" t="str">
        <x:v>MF-05</x:v>
      </x:c>
      <x:c r="H607" s="7" t="str"/>
      <x:c r="I607" s="7" t="str"/>
      <x:c r="J607" s="7" t="str">
        <x:f>IF(OR(H607="",I607=""),"",I607-H607)</x:f>
      </x:c>
      <x:c r="K607" s="7" t="str"/>
      <x:c r="L607" s="7" t="str"/>
      <x:c r="M607" s="7" t="str">
        <x:f>IF(L607="","OPEN",IF(OR(NOT(ISNUMBER(H607)),NOT(ISNUMBER(I607)),NOT(ISNUMBER(K607)),ABS(J607)&gt;K607),"FAIL","PASS"))</x:f>
        <x:v>OPEN</x:v>
      </x:c>
    </x:row>
    <x:row r="608">
      <x:c r="B608" s="7" t="str">
        <x:v>CAL-CH-PEA-A-Y2-05-2</x:v>
      </x:c>
      <x:c r="C608" s="7" t="str">
        <x:v>CH-PEA-A-Y2-05-2</x:v>
      </x:c>
      <x:c r="D608" s="7" t="str">
        <x:v>PEA-A-Y2</x:v>
      </x:c>
      <x:c r="E608" s="7" t="str">
        <x:v>BLD-A</x:v>
      </x:c>
      <x:c r="F608" s="7" t="str">
        <x:v>BL-Y</x:v>
      </x:c>
      <x:c r="G608" s="7" t="str">
        <x:v>MF-05</x:v>
      </x:c>
      <x:c r="H608" s="7" t="str"/>
      <x:c r="I608" s="7" t="str"/>
      <x:c r="J608" s="7" t="str">
        <x:f>IF(OR(H608="",I608=""),"",I608-H608)</x:f>
      </x:c>
      <x:c r="K608" s="7" t="str"/>
      <x:c r="L608" s="7" t="str"/>
      <x:c r="M608" s="7" t="str">
        <x:f>IF(L608="","OPEN",IF(OR(NOT(ISNUMBER(H608)),NOT(ISNUMBER(I608)),NOT(ISNUMBER(K608)),ABS(J608)&gt;K608),"FAIL","PASS"))</x:f>
        <x:v>OPEN</x:v>
      </x:c>
    </x:row>
    <x:row r="609">
      <x:c r="B609" s="7" t="str">
        <x:v>CAL-CH-PEA-A-Y2-05-3</x:v>
      </x:c>
      <x:c r="C609" s="7" t="str">
        <x:v>CH-PEA-A-Y2-05-3</x:v>
      </x:c>
      <x:c r="D609" s="7" t="str">
        <x:v>PEA-A-Y2</x:v>
      </x:c>
      <x:c r="E609" s="7" t="str">
        <x:v>BLD-A</x:v>
      </x:c>
      <x:c r="F609" s="7" t="str">
        <x:v>BL-Y</x:v>
      </x:c>
      <x:c r="G609" s="7" t="str">
        <x:v>MF-05</x:v>
      </x:c>
      <x:c r="H609" s="7" t="str"/>
      <x:c r="I609" s="7" t="str"/>
      <x:c r="J609" s="7" t="str">
        <x:f>IF(OR(H609="",I609=""),"",I609-H609)</x:f>
      </x:c>
      <x:c r="K609" s="7" t="str"/>
      <x:c r="L609" s="7" t="str"/>
      <x:c r="M609" s="7" t="str">
        <x:f>IF(L609="","OPEN",IF(OR(NOT(ISNUMBER(H609)),NOT(ISNUMBER(I609)),NOT(ISNUMBER(K609)),ABS(J609)&gt;K609),"FAIL","PASS"))</x:f>
        <x:v>OPEN</x:v>
      </x:c>
    </x:row>
    <x:row r="610">
      <x:c r="B610" s="7" t="str">
        <x:v>CAL-CH-PEA-A-Y2-05-4</x:v>
      </x:c>
      <x:c r="C610" s="7" t="str">
        <x:v>CH-PEA-A-Y2-05-4</x:v>
      </x:c>
      <x:c r="D610" s="7" t="str">
        <x:v>PEA-A-Y2</x:v>
      </x:c>
      <x:c r="E610" s="7" t="str">
        <x:v>BLD-A</x:v>
      </x:c>
      <x:c r="F610" s="7" t="str">
        <x:v>BL-Y</x:v>
      </x:c>
      <x:c r="G610" s="7" t="str">
        <x:v>MF-05</x:v>
      </x:c>
      <x:c r="H610" s="7" t="str"/>
      <x:c r="I610" s="7" t="str"/>
      <x:c r="J610" s="7" t="str">
        <x:f>IF(OR(H610="",I610=""),"",I610-H610)</x:f>
      </x:c>
      <x:c r="K610" s="7" t="str"/>
      <x:c r="L610" s="7" t="str"/>
      <x:c r="M610" s="7" t="str">
        <x:f>IF(L610="","OPEN",IF(OR(NOT(ISNUMBER(H610)),NOT(ISNUMBER(I610)),NOT(ISNUMBER(K610)),ABS(J610)&gt;K610),"FAIL","PASS"))</x:f>
        <x:v>OPEN</x:v>
      </x:c>
    </x:row>
    <x:row r="611">
      <x:c r="B611" s="7" t="str">
        <x:v>CAL-CH-PEA-A-Y2-05-5</x:v>
      </x:c>
      <x:c r="C611" s="7" t="str">
        <x:v>CH-PEA-A-Y2-05-5</x:v>
      </x:c>
      <x:c r="D611" s="7" t="str">
        <x:v>PEA-A-Y2</x:v>
      </x:c>
      <x:c r="E611" s="7" t="str">
        <x:v>BLD-A</x:v>
      </x:c>
      <x:c r="F611" s="7" t="str">
        <x:v>BL-Y</x:v>
      </x:c>
      <x:c r="G611" s="7" t="str">
        <x:v>MF-05</x:v>
      </x:c>
      <x:c r="H611" s="7" t="str"/>
      <x:c r="I611" s="7" t="str"/>
      <x:c r="J611" s="7" t="str">
        <x:f>IF(OR(H611="",I611=""),"",I611-H611)</x:f>
      </x:c>
      <x:c r="K611" s="7" t="str"/>
      <x:c r="L611" s="7" t="str"/>
      <x:c r="M611" s="7" t="str">
        <x:f>IF(L611="","OPEN",IF(OR(NOT(ISNUMBER(H611)),NOT(ISNUMBER(I611)),NOT(ISNUMBER(K611)),ABS(J611)&gt;K611),"FAIL","PASS"))</x:f>
        <x:v>OPEN</x:v>
      </x:c>
    </x:row>
    <x:row r="612">
      <x:c r="B612" s="7" t="str">
        <x:v>CAL-CH-PEA-A-Y2-05-6</x:v>
      </x:c>
      <x:c r="C612" s="7" t="str">
        <x:v>CH-PEA-A-Y2-05-6</x:v>
      </x:c>
      <x:c r="D612" s="7" t="str">
        <x:v>PEA-A-Y2</x:v>
      </x:c>
      <x:c r="E612" s="7" t="str">
        <x:v>BLD-A</x:v>
      </x:c>
      <x:c r="F612" s="7" t="str">
        <x:v>BL-Y</x:v>
      </x:c>
      <x:c r="G612" s="7" t="str">
        <x:v>MF-05</x:v>
      </x:c>
      <x:c r="H612" s="7" t="str"/>
      <x:c r="I612" s="7" t="str"/>
      <x:c r="J612" s="7" t="str">
        <x:f>IF(OR(H612="",I612=""),"",I612-H612)</x:f>
      </x:c>
      <x:c r="K612" s="7" t="str"/>
      <x:c r="L612" s="7" t="str"/>
      <x:c r="M612" s="7" t="str">
        <x:f>IF(L612="","OPEN",IF(OR(NOT(ISNUMBER(H612)),NOT(ISNUMBER(I612)),NOT(ISNUMBER(K612)),ABS(J612)&gt;K612),"FAIL","PASS"))</x:f>
        <x:v>OPEN</x:v>
      </x:c>
    </x:row>
    <x:row r="613">
      <x:c r="B613" s="7" t="str">
        <x:v>CAL-CH-PEA-A-Y2-06-1</x:v>
      </x:c>
      <x:c r="C613" s="7" t="str">
        <x:v>CH-PEA-A-Y2-06-1</x:v>
      </x:c>
      <x:c r="D613" s="7" t="str">
        <x:v>PEA-A-Y2</x:v>
      </x:c>
      <x:c r="E613" s="7" t="str">
        <x:v>BLD-A</x:v>
      </x:c>
      <x:c r="F613" s="7" t="str">
        <x:v>BL-Y</x:v>
      </x:c>
      <x:c r="G613" s="7" t="str">
        <x:v>MF-06</x:v>
      </x:c>
      <x:c r="H613" s="7" t="str"/>
      <x:c r="I613" s="7" t="str"/>
      <x:c r="J613" s="7" t="str">
        <x:f>IF(OR(H613="",I613=""),"",I613-H613)</x:f>
      </x:c>
      <x:c r="K613" s="7" t="str"/>
      <x:c r="L613" s="7" t="str"/>
      <x:c r="M613" s="7" t="str">
        <x:f>IF(L613="","OPEN",IF(OR(NOT(ISNUMBER(H613)),NOT(ISNUMBER(I613)),NOT(ISNUMBER(K613)),ABS(J613)&gt;K613),"FAIL","PASS"))</x:f>
        <x:v>OPEN</x:v>
      </x:c>
    </x:row>
    <x:row r="614">
      <x:c r="B614" s="7" t="str">
        <x:v>CAL-CH-PEA-A-Y2-06-2</x:v>
      </x:c>
      <x:c r="C614" s="7" t="str">
        <x:v>CH-PEA-A-Y2-06-2</x:v>
      </x:c>
      <x:c r="D614" s="7" t="str">
        <x:v>PEA-A-Y2</x:v>
      </x:c>
      <x:c r="E614" s="7" t="str">
        <x:v>BLD-A</x:v>
      </x:c>
      <x:c r="F614" s="7" t="str">
        <x:v>BL-Y</x:v>
      </x:c>
      <x:c r="G614" s="7" t="str">
        <x:v>MF-06</x:v>
      </x:c>
      <x:c r="H614" s="7" t="str"/>
      <x:c r="I614" s="7" t="str"/>
      <x:c r="J614" s="7" t="str">
        <x:f>IF(OR(H614="",I614=""),"",I614-H614)</x:f>
      </x:c>
      <x:c r="K614" s="7" t="str"/>
      <x:c r="L614" s="7" t="str"/>
      <x:c r="M614" s="7" t="str">
        <x:f>IF(L614="","OPEN",IF(OR(NOT(ISNUMBER(H614)),NOT(ISNUMBER(I614)),NOT(ISNUMBER(K614)),ABS(J614)&gt;K614),"FAIL","PASS"))</x:f>
        <x:v>OPEN</x:v>
      </x:c>
    </x:row>
    <x:row r="615">
      <x:c r="B615" s="7" t="str">
        <x:v>CAL-CH-PEA-A-Y2-06-3</x:v>
      </x:c>
      <x:c r="C615" s="7" t="str">
        <x:v>CH-PEA-A-Y2-06-3</x:v>
      </x:c>
      <x:c r="D615" s="7" t="str">
        <x:v>PEA-A-Y2</x:v>
      </x:c>
      <x:c r="E615" s="7" t="str">
        <x:v>BLD-A</x:v>
      </x:c>
      <x:c r="F615" s="7" t="str">
        <x:v>BL-Y</x:v>
      </x:c>
      <x:c r="G615" s="7" t="str">
        <x:v>MF-06</x:v>
      </x:c>
      <x:c r="H615" s="7" t="str"/>
      <x:c r="I615" s="7" t="str"/>
      <x:c r="J615" s="7" t="str">
        <x:f>IF(OR(H615="",I615=""),"",I615-H615)</x:f>
      </x:c>
      <x:c r="K615" s="7" t="str"/>
      <x:c r="L615" s="7" t="str"/>
      <x:c r="M615" s="7" t="str">
        <x:f>IF(L615="","OPEN",IF(OR(NOT(ISNUMBER(H615)),NOT(ISNUMBER(I615)),NOT(ISNUMBER(K615)),ABS(J615)&gt;K615),"FAIL","PASS"))</x:f>
        <x:v>OPEN</x:v>
      </x:c>
    </x:row>
    <x:row r="616">
      <x:c r="B616" s="7" t="str">
        <x:v>CAL-CH-PEA-A-Y2-06-4</x:v>
      </x:c>
      <x:c r="C616" s="7" t="str">
        <x:v>CH-PEA-A-Y2-06-4</x:v>
      </x:c>
      <x:c r="D616" s="7" t="str">
        <x:v>PEA-A-Y2</x:v>
      </x:c>
      <x:c r="E616" s="7" t="str">
        <x:v>BLD-A</x:v>
      </x:c>
      <x:c r="F616" s="7" t="str">
        <x:v>BL-Y</x:v>
      </x:c>
      <x:c r="G616" s="7" t="str">
        <x:v>MF-06</x:v>
      </x:c>
      <x:c r="H616" s="7" t="str"/>
      <x:c r="I616" s="7" t="str"/>
      <x:c r="J616" s="7" t="str">
        <x:f>IF(OR(H616="",I616=""),"",I616-H616)</x:f>
      </x:c>
      <x:c r="K616" s="7" t="str"/>
      <x:c r="L616" s="7" t="str"/>
      <x:c r="M616" s="7" t="str">
        <x:f>IF(L616="","OPEN",IF(OR(NOT(ISNUMBER(H616)),NOT(ISNUMBER(I616)),NOT(ISNUMBER(K616)),ABS(J616)&gt;K616),"FAIL","PASS"))</x:f>
        <x:v>OPEN</x:v>
      </x:c>
    </x:row>
    <x:row r="617">
      <x:c r="B617" s="7" t="str">
        <x:v>CAL-CH-PEA-A-Y2-06-5</x:v>
      </x:c>
      <x:c r="C617" s="7" t="str">
        <x:v>CH-PEA-A-Y2-06-5</x:v>
      </x:c>
      <x:c r="D617" s="7" t="str">
        <x:v>PEA-A-Y2</x:v>
      </x:c>
      <x:c r="E617" s="7" t="str">
        <x:v>BLD-A</x:v>
      </x:c>
      <x:c r="F617" s="7" t="str">
        <x:v>BL-Y</x:v>
      </x:c>
      <x:c r="G617" s="7" t="str">
        <x:v>MF-06</x:v>
      </x:c>
      <x:c r="H617" s="7" t="str"/>
      <x:c r="I617" s="7" t="str"/>
      <x:c r="J617" s="7" t="str">
        <x:f>IF(OR(H617="",I617=""),"",I617-H617)</x:f>
      </x:c>
      <x:c r="K617" s="7" t="str"/>
      <x:c r="L617" s="7" t="str"/>
      <x:c r="M617" s="7" t="str">
        <x:f>IF(L617="","OPEN",IF(OR(NOT(ISNUMBER(H617)),NOT(ISNUMBER(I617)),NOT(ISNUMBER(K617)),ABS(J617)&gt;K617),"FAIL","PASS"))</x:f>
        <x:v>OPEN</x:v>
      </x:c>
    </x:row>
    <x:row r="618">
      <x:c r="B618" s="7" t="str">
        <x:v>CAL-CH-PEA-A-Y2-06-6</x:v>
      </x:c>
      <x:c r="C618" s="7" t="str">
        <x:v>CH-PEA-A-Y2-06-6</x:v>
      </x:c>
      <x:c r="D618" s="7" t="str">
        <x:v>PEA-A-Y2</x:v>
      </x:c>
      <x:c r="E618" s="7" t="str">
        <x:v>BLD-A</x:v>
      </x:c>
      <x:c r="F618" s="7" t="str">
        <x:v>BL-Y</x:v>
      </x:c>
      <x:c r="G618" s="7" t="str">
        <x:v>MF-06</x:v>
      </x:c>
      <x:c r="H618" s="7" t="str"/>
      <x:c r="I618" s="7" t="str"/>
      <x:c r="J618" s="7" t="str">
        <x:f>IF(OR(H618="",I618=""),"",I618-H618)</x:f>
      </x:c>
      <x:c r="K618" s="7" t="str"/>
      <x:c r="L618" s="7" t="str"/>
      <x:c r="M618" s="7" t="str">
        <x:f>IF(L618="","OPEN",IF(OR(NOT(ISNUMBER(H618)),NOT(ISNUMBER(I618)),NOT(ISNUMBER(K618)),ABS(J618)&gt;K618),"FAIL","PASS"))</x:f>
        <x:v>OPEN</x:v>
      </x:c>
    </x:row>
    <x:row r="619">
      <x:c r="B619" s="7" t="str">
        <x:v>CAL-CH-PEA-A-Y2-07-1</x:v>
      </x:c>
      <x:c r="C619" s="7" t="str">
        <x:v>CH-PEA-A-Y2-07-1</x:v>
      </x:c>
      <x:c r="D619" s="7" t="str">
        <x:v>PEA-A-Y2</x:v>
      </x:c>
      <x:c r="E619" s="7" t="str">
        <x:v>BLD-A</x:v>
      </x:c>
      <x:c r="F619" s="7" t="str">
        <x:v>BL-Y</x:v>
      </x:c>
      <x:c r="G619" s="7" t="str">
        <x:v>MF-07</x:v>
      </x:c>
      <x:c r="H619" s="7" t="str"/>
      <x:c r="I619" s="7" t="str"/>
      <x:c r="J619" s="7" t="str">
        <x:f>IF(OR(H619="",I619=""),"",I619-H619)</x:f>
      </x:c>
      <x:c r="K619" s="7" t="str"/>
      <x:c r="L619" s="7" t="str"/>
      <x:c r="M619" s="7" t="str">
        <x:f>IF(L619="","OPEN",IF(OR(NOT(ISNUMBER(H619)),NOT(ISNUMBER(I619)),NOT(ISNUMBER(K619)),ABS(J619)&gt;K619),"FAIL","PASS"))</x:f>
        <x:v>OPEN</x:v>
      </x:c>
    </x:row>
    <x:row r="620">
      <x:c r="B620" s="7" t="str">
        <x:v>CAL-CH-PEA-A-Y2-07-2</x:v>
      </x:c>
      <x:c r="C620" s="7" t="str">
        <x:v>CH-PEA-A-Y2-07-2</x:v>
      </x:c>
      <x:c r="D620" s="7" t="str">
        <x:v>PEA-A-Y2</x:v>
      </x:c>
      <x:c r="E620" s="7" t="str">
        <x:v>BLD-A</x:v>
      </x:c>
      <x:c r="F620" s="7" t="str">
        <x:v>BL-Y</x:v>
      </x:c>
      <x:c r="G620" s="7" t="str">
        <x:v>MF-07</x:v>
      </x:c>
      <x:c r="H620" s="7" t="str"/>
      <x:c r="I620" s="7" t="str"/>
      <x:c r="J620" s="7" t="str">
        <x:f>IF(OR(H620="",I620=""),"",I620-H620)</x:f>
      </x:c>
      <x:c r="K620" s="7" t="str"/>
      <x:c r="L620" s="7" t="str"/>
      <x:c r="M620" s="7" t="str">
        <x:f>IF(L620="","OPEN",IF(OR(NOT(ISNUMBER(H620)),NOT(ISNUMBER(I620)),NOT(ISNUMBER(K620)),ABS(J620)&gt;K620),"FAIL","PASS"))</x:f>
        <x:v>OPEN</x:v>
      </x:c>
    </x:row>
    <x:row r="621">
      <x:c r="B621" s="7" t="str">
        <x:v>CAL-CH-PEA-A-Y2-07-3</x:v>
      </x:c>
      <x:c r="C621" s="7" t="str">
        <x:v>CH-PEA-A-Y2-07-3</x:v>
      </x:c>
      <x:c r="D621" s="7" t="str">
        <x:v>PEA-A-Y2</x:v>
      </x:c>
      <x:c r="E621" s="7" t="str">
        <x:v>BLD-A</x:v>
      </x:c>
      <x:c r="F621" s="7" t="str">
        <x:v>BL-Y</x:v>
      </x:c>
      <x:c r="G621" s="7" t="str">
        <x:v>MF-07</x:v>
      </x:c>
      <x:c r="H621" s="7" t="str"/>
      <x:c r="I621" s="7" t="str"/>
      <x:c r="J621" s="7" t="str">
        <x:f>IF(OR(H621="",I621=""),"",I621-H621)</x:f>
      </x:c>
      <x:c r="K621" s="7" t="str"/>
      <x:c r="L621" s="7" t="str"/>
      <x:c r="M621" s="7" t="str">
        <x:f>IF(L621="","OPEN",IF(OR(NOT(ISNUMBER(H621)),NOT(ISNUMBER(I621)),NOT(ISNUMBER(K621)),ABS(J621)&gt;K621),"FAIL","PASS"))</x:f>
        <x:v>OPEN</x:v>
      </x:c>
    </x:row>
    <x:row r="622">
      <x:c r="B622" s="7" t="str">
        <x:v>CAL-CH-PEA-A-Y2-07-4</x:v>
      </x:c>
      <x:c r="C622" s="7" t="str">
        <x:v>CH-PEA-A-Y2-07-4</x:v>
      </x:c>
      <x:c r="D622" s="7" t="str">
        <x:v>PEA-A-Y2</x:v>
      </x:c>
      <x:c r="E622" s="7" t="str">
        <x:v>BLD-A</x:v>
      </x:c>
      <x:c r="F622" s="7" t="str">
        <x:v>BL-Y</x:v>
      </x:c>
      <x:c r="G622" s="7" t="str">
        <x:v>MF-07</x:v>
      </x:c>
      <x:c r="H622" s="7" t="str"/>
      <x:c r="I622" s="7" t="str"/>
      <x:c r="J622" s="7" t="str">
        <x:f>IF(OR(H622="",I622=""),"",I622-H622)</x:f>
      </x:c>
      <x:c r="K622" s="7" t="str"/>
      <x:c r="L622" s="7" t="str"/>
      <x:c r="M622" s="7" t="str">
        <x:f>IF(L622="","OPEN",IF(OR(NOT(ISNUMBER(H622)),NOT(ISNUMBER(I622)),NOT(ISNUMBER(K622)),ABS(J622)&gt;K622),"FAIL","PASS"))</x:f>
        <x:v>OPEN</x:v>
      </x:c>
    </x:row>
    <x:row r="623">
      <x:c r="B623" s="7" t="str">
        <x:v>CAL-CH-PEA-A-Y2-07-5</x:v>
      </x:c>
      <x:c r="C623" s="7" t="str">
        <x:v>CH-PEA-A-Y2-07-5</x:v>
      </x:c>
      <x:c r="D623" s="7" t="str">
        <x:v>PEA-A-Y2</x:v>
      </x:c>
      <x:c r="E623" s="7" t="str">
        <x:v>BLD-A</x:v>
      </x:c>
      <x:c r="F623" s="7" t="str">
        <x:v>BL-Y</x:v>
      </x:c>
      <x:c r="G623" s="7" t="str">
        <x:v>MF-07</x:v>
      </x:c>
      <x:c r="H623" s="7" t="str"/>
      <x:c r="I623" s="7" t="str"/>
      <x:c r="J623" s="7" t="str">
        <x:f>IF(OR(H623="",I623=""),"",I623-H623)</x:f>
      </x:c>
      <x:c r="K623" s="7" t="str"/>
      <x:c r="L623" s="7" t="str"/>
      <x:c r="M623" s="7" t="str">
        <x:f>IF(L623="","OPEN",IF(OR(NOT(ISNUMBER(H623)),NOT(ISNUMBER(I623)),NOT(ISNUMBER(K623)),ABS(J623)&gt;K623),"FAIL","PASS"))</x:f>
        <x:v>OPEN</x:v>
      </x:c>
    </x:row>
    <x:row r="624">
      <x:c r="B624" s="7" t="str">
        <x:v>CAL-CH-PEA-A-Y2-07-6</x:v>
      </x:c>
      <x:c r="C624" s="7" t="str">
        <x:v>CH-PEA-A-Y2-07-6</x:v>
      </x:c>
      <x:c r="D624" s="7" t="str">
        <x:v>PEA-A-Y2</x:v>
      </x:c>
      <x:c r="E624" s="7" t="str">
        <x:v>BLD-A</x:v>
      </x:c>
      <x:c r="F624" s="7" t="str">
        <x:v>BL-Y</x:v>
      </x:c>
      <x:c r="G624" s="7" t="str">
        <x:v>MF-07</x:v>
      </x:c>
      <x:c r="H624" s="7" t="str"/>
      <x:c r="I624" s="7" t="str"/>
      <x:c r="J624" s="7" t="str">
        <x:f>IF(OR(H624="",I624=""),"",I624-H624)</x:f>
      </x:c>
      <x:c r="K624" s="7" t="str"/>
      <x:c r="L624" s="7" t="str"/>
      <x:c r="M624" s="7" t="str">
        <x:f>IF(L624="","OPEN",IF(OR(NOT(ISNUMBER(H624)),NOT(ISNUMBER(I624)),NOT(ISNUMBER(K624)),ABS(J624)&gt;K624),"FAIL","PASS"))</x:f>
        <x:v>OPEN</x:v>
      </x:c>
    </x:row>
    <x:row r="625">
      <x:c r="B625" s="7" t="str">
        <x:v>CAL-CH-PEA-A-Y2-08-1</x:v>
      </x:c>
      <x:c r="C625" s="7" t="str">
        <x:v>CH-PEA-A-Y2-08-1</x:v>
      </x:c>
      <x:c r="D625" s="7" t="str">
        <x:v>PEA-A-Y2</x:v>
      </x:c>
      <x:c r="E625" s="7" t="str">
        <x:v>BLD-A</x:v>
      </x:c>
      <x:c r="F625" s="7" t="str">
        <x:v>BL-Y</x:v>
      </x:c>
      <x:c r="G625" s="7" t="str">
        <x:v>MF-08</x:v>
      </x:c>
      <x:c r="H625" s="7" t="str"/>
      <x:c r="I625" s="7" t="str"/>
      <x:c r="J625" s="7" t="str">
        <x:f>IF(OR(H625="",I625=""),"",I625-H625)</x:f>
      </x:c>
      <x:c r="K625" s="7" t="str"/>
      <x:c r="L625" s="7" t="str"/>
      <x:c r="M625" s="7" t="str">
        <x:f>IF(L625="","OPEN",IF(OR(NOT(ISNUMBER(H625)),NOT(ISNUMBER(I625)),NOT(ISNUMBER(K625)),ABS(J625)&gt;K625),"FAIL","PASS"))</x:f>
        <x:v>OPEN</x:v>
      </x:c>
    </x:row>
    <x:row r="626">
      <x:c r="B626" s="7" t="str">
        <x:v>CAL-CH-PEA-A-Y2-08-2</x:v>
      </x:c>
      <x:c r="C626" s="7" t="str">
        <x:v>CH-PEA-A-Y2-08-2</x:v>
      </x:c>
      <x:c r="D626" s="7" t="str">
        <x:v>PEA-A-Y2</x:v>
      </x:c>
      <x:c r="E626" s="7" t="str">
        <x:v>BLD-A</x:v>
      </x:c>
      <x:c r="F626" s="7" t="str">
        <x:v>BL-Y</x:v>
      </x:c>
      <x:c r="G626" s="7" t="str">
        <x:v>MF-08</x:v>
      </x:c>
      <x:c r="H626" s="7" t="str"/>
      <x:c r="I626" s="7" t="str"/>
      <x:c r="J626" s="7" t="str">
        <x:f>IF(OR(H626="",I626=""),"",I626-H626)</x:f>
      </x:c>
      <x:c r="K626" s="7" t="str"/>
      <x:c r="L626" s="7" t="str"/>
      <x:c r="M626" s="7" t="str">
        <x:f>IF(L626="","OPEN",IF(OR(NOT(ISNUMBER(H626)),NOT(ISNUMBER(I626)),NOT(ISNUMBER(K626)),ABS(J626)&gt;K626),"FAIL","PASS"))</x:f>
        <x:v>OPEN</x:v>
      </x:c>
    </x:row>
    <x:row r="627">
      <x:c r="B627" s="7" t="str">
        <x:v>CAL-CH-PEA-A-Y2-08-3</x:v>
      </x:c>
      <x:c r="C627" s="7" t="str">
        <x:v>CH-PEA-A-Y2-08-3</x:v>
      </x:c>
      <x:c r="D627" s="7" t="str">
        <x:v>PEA-A-Y2</x:v>
      </x:c>
      <x:c r="E627" s="7" t="str">
        <x:v>BLD-A</x:v>
      </x:c>
      <x:c r="F627" s="7" t="str">
        <x:v>BL-Y</x:v>
      </x:c>
      <x:c r="G627" s="7" t="str">
        <x:v>MF-08</x:v>
      </x:c>
      <x:c r="H627" s="7" t="str"/>
      <x:c r="I627" s="7" t="str"/>
      <x:c r="J627" s="7" t="str">
        <x:f>IF(OR(H627="",I627=""),"",I627-H627)</x:f>
      </x:c>
      <x:c r="K627" s="7" t="str"/>
      <x:c r="L627" s="7" t="str"/>
      <x:c r="M627" s="7" t="str">
        <x:f>IF(L627="","OPEN",IF(OR(NOT(ISNUMBER(H627)),NOT(ISNUMBER(I627)),NOT(ISNUMBER(K627)),ABS(J627)&gt;K627),"FAIL","PASS"))</x:f>
        <x:v>OPEN</x:v>
      </x:c>
    </x:row>
    <x:row r="628">
      <x:c r="B628" s="7" t="str">
        <x:v>CAL-CH-PEA-A-Y2-08-4</x:v>
      </x:c>
      <x:c r="C628" s="7" t="str">
        <x:v>CH-PEA-A-Y2-08-4</x:v>
      </x:c>
      <x:c r="D628" s="7" t="str">
        <x:v>PEA-A-Y2</x:v>
      </x:c>
      <x:c r="E628" s="7" t="str">
        <x:v>BLD-A</x:v>
      </x:c>
      <x:c r="F628" s="7" t="str">
        <x:v>BL-Y</x:v>
      </x:c>
      <x:c r="G628" s="7" t="str">
        <x:v>MF-08</x:v>
      </x:c>
      <x:c r="H628" s="7" t="str"/>
      <x:c r="I628" s="7" t="str"/>
      <x:c r="J628" s="7" t="str">
        <x:f>IF(OR(H628="",I628=""),"",I628-H628)</x:f>
      </x:c>
      <x:c r="K628" s="7" t="str"/>
      <x:c r="L628" s="7" t="str"/>
      <x:c r="M628" s="7" t="str">
        <x:f>IF(L628="","OPEN",IF(OR(NOT(ISNUMBER(H628)),NOT(ISNUMBER(I628)),NOT(ISNUMBER(K628)),ABS(J628)&gt;K628),"FAIL","PASS"))</x:f>
        <x:v>OPEN</x:v>
      </x:c>
    </x:row>
    <x:row r="629">
      <x:c r="B629" s="7" t="str">
        <x:v>CAL-CH-PEA-A-Y2-08-5</x:v>
      </x:c>
      <x:c r="C629" s="7" t="str">
        <x:v>CH-PEA-A-Y2-08-5</x:v>
      </x:c>
      <x:c r="D629" s="7" t="str">
        <x:v>PEA-A-Y2</x:v>
      </x:c>
      <x:c r="E629" s="7" t="str">
        <x:v>BLD-A</x:v>
      </x:c>
      <x:c r="F629" s="7" t="str">
        <x:v>BL-Y</x:v>
      </x:c>
      <x:c r="G629" s="7" t="str">
        <x:v>MF-08</x:v>
      </x:c>
      <x:c r="H629" s="7" t="str"/>
      <x:c r="I629" s="7" t="str"/>
      <x:c r="J629" s="7" t="str">
        <x:f>IF(OR(H629="",I629=""),"",I629-H629)</x:f>
      </x:c>
      <x:c r="K629" s="7" t="str"/>
      <x:c r="L629" s="7" t="str"/>
      <x:c r="M629" s="7" t="str">
        <x:f>IF(L629="","OPEN",IF(OR(NOT(ISNUMBER(H629)),NOT(ISNUMBER(I629)),NOT(ISNUMBER(K629)),ABS(J629)&gt;K629),"FAIL","PASS"))</x:f>
        <x:v>OPEN</x:v>
      </x:c>
    </x:row>
    <x:row r="630">
      <x:c r="B630" s="7" t="str">
        <x:v>CAL-CH-PEA-A-Y2-08-6</x:v>
      </x:c>
      <x:c r="C630" s="7" t="str">
        <x:v>CH-PEA-A-Y2-08-6</x:v>
      </x:c>
      <x:c r="D630" s="7" t="str">
        <x:v>PEA-A-Y2</x:v>
      </x:c>
      <x:c r="E630" s="7" t="str">
        <x:v>BLD-A</x:v>
      </x:c>
      <x:c r="F630" s="7" t="str">
        <x:v>BL-Y</x:v>
      </x:c>
      <x:c r="G630" s="7" t="str">
        <x:v>MF-08</x:v>
      </x:c>
      <x:c r="H630" s="7" t="str"/>
      <x:c r="I630" s="7" t="str"/>
      <x:c r="J630" s="7" t="str">
        <x:f>IF(OR(H630="",I630=""),"",I630-H630)</x:f>
      </x:c>
      <x:c r="K630" s="7" t="str"/>
      <x:c r="L630" s="7" t="str"/>
      <x:c r="M630" s="7" t="str">
        <x:f>IF(L630="","OPEN",IF(OR(NOT(ISNUMBER(H630)),NOT(ISNUMBER(I630)),NOT(ISNUMBER(K630)),ABS(J630)&gt;K630),"FAIL","PASS"))</x:f>
        <x:v>OPEN</x:v>
      </x:c>
    </x:row>
    <x:row r="631">
      <x:c r="B631" s="7" t="str">
        <x:v>CAL-CH-PEA-A-Y2-09-1</x:v>
      </x:c>
      <x:c r="C631" s="7" t="str">
        <x:v>CH-PEA-A-Y2-09-1</x:v>
      </x:c>
      <x:c r="D631" s="7" t="str">
        <x:v>PEA-A-Y2</x:v>
      </x:c>
      <x:c r="E631" s="7" t="str">
        <x:v>BLD-A</x:v>
      </x:c>
      <x:c r="F631" s="7" t="str">
        <x:v>BL-Y</x:v>
      </x:c>
      <x:c r="G631" s="7" t="str">
        <x:v>MF-09</x:v>
      </x:c>
      <x:c r="H631" s="7" t="str"/>
      <x:c r="I631" s="7" t="str"/>
      <x:c r="J631" s="7" t="str">
        <x:f>IF(OR(H631="",I631=""),"",I631-H631)</x:f>
      </x:c>
      <x:c r="K631" s="7" t="str"/>
      <x:c r="L631" s="7" t="str"/>
      <x:c r="M631" s="7" t="str">
        <x:f>IF(L631="","OPEN",IF(OR(NOT(ISNUMBER(H631)),NOT(ISNUMBER(I631)),NOT(ISNUMBER(K631)),ABS(J631)&gt;K631),"FAIL","PASS"))</x:f>
        <x:v>OPEN</x:v>
      </x:c>
    </x:row>
    <x:row r="632">
      <x:c r="B632" s="7" t="str">
        <x:v>CAL-CH-PEA-A-Y2-09-2</x:v>
      </x:c>
      <x:c r="C632" s="7" t="str">
        <x:v>CH-PEA-A-Y2-09-2</x:v>
      </x:c>
      <x:c r="D632" s="7" t="str">
        <x:v>PEA-A-Y2</x:v>
      </x:c>
      <x:c r="E632" s="7" t="str">
        <x:v>BLD-A</x:v>
      </x:c>
      <x:c r="F632" s="7" t="str">
        <x:v>BL-Y</x:v>
      </x:c>
      <x:c r="G632" s="7" t="str">
        <x:v>MF-09</x:v>
      </x:c>
      <x:c r="H632" s="7" t="str"/>
      <x:c r="I632" s="7" t="str"/>
      <x:c r="J632" s="7" t="str">
        <x:f>IF(OR(H632="",I632=""),"",I632-H632)</x:f>
      </x:c>
      <x:c r="K632" s="7" t="str"/>
      <x:c r="L632" s="7" t="str"/>
      <x:c r="M632" s="7" t="str">
        <x:f>IF(L632="","OPEN",IF(OR(NOT(ISNUMBER(H632)),NOT(ISNUMBER(I632)),NOT(ISNUMBER(K632)),ABS(J632)&gt;K632),"FAIL","PASS"))</x:f>
        <x:v>OPEN</x:v>
      </x:c>
    </x:row>
    <x:row r="633">
      <x:c r="B633" s="7" t="str">
        <x:v>CAL-CH-PEA-A-Y2-09-3</x:v>
      </x:c>
      <x:c r="C633" s="7" t="str">
        <x:v>CH-PEA-A-Y2-09-3</x:v>
      </x:c>
      <x:c r="D633" s="7" t="str">
        <x:v>PEA-A-Y2</x:v>
      </x:c>
      <x:c r="E633" s="7" t="str">
        <x:v>BLD-A</x:v>
      </x:c>
      <x:c r="F633" s="7" t="str">
        <x:v>BL-Y</x:v>
      </x:c>
      <x:c r="G633" s="7" t="str">
        <x:v>MF-09</x:v>
      </x:c>
      <x:c r="H633" s="7" t="str"/>
      <x:c r="I633" s="7" t="str"/>
      <x:c r="J633" s="7" t="str">
        <x:f>IF(OR(H633="",I633=""),"",I633-H633)</x:f>
      </x:c>
      <x:c r="K633" s="7" t="str"/>
      <x:c r="L633" s="7" t="str"/>
      <x:c r="M633" s="7" t="str">
        <x:f>IF(L633="","OPEN",IF(OR(NOT(ISNUMBER(H633)),NOT(ISNUMBER(I633)),NOT(ISNUMBER(K633)),ABS(J633)&gt;K633),"FAIL","PASS"))</x:f>
        <x:v>OPEN</x:v>
      </x:c>
    </x:row>
    <x:row r="634">
      <x:c r="B634" s="7" t="str">
        <x:v>CAL-CH-PEA-A-Y2-09-4</x:v>
      </x:c>
      <x:c r="C634" s="7" t="str">
        <x:v>CH-PEA-A-Y2-09-4</x:v>
      </x:c>
      <x:c r="D634" s="7" t="str">
        <x:v>PEA-A-Y2</x:v>
      </x:c>
      <x:c r="E634" s="7" t="str">
        <x:v>BLD-A</x:v>
      </x:c>
      <x:c r="F634" s="7" t="str">
        <x:v>BL-Y</x:v>
      </x:c>
      <x:c r="G634" s="7" t="str">
        <x:v>MF-09</x:v>
      </x:c>
      <x:c r="H634" s="7" t="str"/>
      <x:c r="I634" s="7" t="str"/>
      <x:c r="J634" s="7" t="str">
        <x:f>IF(OR(H634="",I634=""),"",I634-H634)</x:f>
      </x:c>
      <x:c r="K634" s="7" t="str"/>
      <x:c r="L634" s="7" t="str"/>
      <x:c r="M634" s="7" t="str">
        <x:f>IF(L634="","OPEN",IF(OR(NOT(ISNUMBER(H634)),NOT(ISNUMBER(I634)),NOT(ISNUMBER(K634)),ABS(J634)&gt;K634),"FAIL","PASS"))</x:f>
        <x:v>OPEN</x:v>
      </x:c>
    </x:row>
    <x:row r="635">
      <x:c r="B635" s="7" t="str">
        <x:v>CAL-CH-PEA-A-Y2-09-5</x:v>
      </x:c>
      <x:c r="C635" s="7" t="str">
        <x:v>CH-PEA-A-Y2-09-5</x:v>
      </x:c>
      <x:c r="D635" s="7" t="str">
        <x:v>PEA-A-Y2</x:v>
      </x:c>
      <x:c r="E635" s="7" t="str">
        <x:v>BLD-A</x:v>
      </x:c>
      <x:c r="F635" s="7" t="str">
        <x:v>BL-Y</x:v>
      </x:c>
      <x:c r="G635" s="7" t="str">
        <x:v>MF-09</x:v>
      </x:c>
      <x:c r="H635" s="7" t="str"/>
      <x:c r="I635" s="7" t="str"/>
      <x:c r="J635" s="7" t="str">
        <x:f>IF(OR(H635="",I635=""),"",I635-H635)</x:f>
      </x:c>
      <x:c r="K635" s="7" t="str"/>
      <x:c r="L635" s="7" t="str"/>
      <x:c r="M635" s="7" t="str">
        <x:f>IF(L635="","OPEN",IF(OR(NOT(ISNUMBER(H635)),NOT(ISNUMBER(I635)),NOT(ISNUMBER(K635)),ABS(J635)&gt;K635),"FAIL","PASS"))</x:f>
        <x:v>OPEN</x:v>
      </x:c>
    </x:row>
    <x:row r="636">
      <x:c r="B636" s="7" t="str">
        <x:v>CAL-CH-PEA-A-Y2-09-6</x:v>
      </x:c>
      <x:c r="C636" s="7" t="str">
        <x:v>CH-PEA-A-Y2-09-6</x:v>
      </x:c>
      <x:c r="D636" s="7" t="str">
        <x:v>PEA-A-Y2</x:v>
      </x:c>
      <x:c r="E636" s="7" t="str">
        <x:v>BLD-A</x:v>
      </x:c>
      <x:c r="F636" s="7" t="str">
        <x:v>BL-Y</x:v>
      </x:c>
      <x:c r="G636" s="7" t="str">
        <x:v>MF-09</x:v>
      </x:c>
      <x:c r="H636" s="7" t="str"/>
      <x:c r="I636" s="7" t="str"/>
      <x:c r="J636" s="7" t="str">
        <x:f>IF(OR(H636="",I636=""),"",I636-H636)</x:f>
      </x:c>
      <x:c r="K636" s="7" t="str"/>
      <x:c r="L636" s="7" t="str"/>
      <x:c r="M636" s="7" t="str">
        <x:f>IF(L636="","OPEN",IF(OR(NOT(ISNUMBER(H636)),NOT(ISNUMBER(I636)),NOT(ISNUMBER(K636)),ABS(J636)&gt;K636),"FAIL","PASS"))</x:f>
        <x:v>OPEN</x:v>
      </x:c>
    </x:row>
    <x:row r="637">
      <x:c r="B637" s="7" t="str">
        <x:v>CAL-CH-PEA-A-Y2-10-1</x:v>
      </x:c>
      <x:c r="C637" s="7" t="str">
        <x:v>CH-PEA-A-Y2-10-1</x:v>
      </x:c>
      <x:c r="D637" s="7" t="str">
        <x:v>PEA-A-Y2</x:v>
      </x:c>
      <x:c r="E637" s="7" t="str">
        <x:v>BLD-A</x:v>
      </x:c>
      <x:c r="F637" s="7" t="str">
        <x:v>BL-Y</x:v>
      </x:c>
      <x:c r="G637" s="7" t="str">
        <x:v>MF-10</x:v>
      </x:c>
      <x:c r="H637" s="7" t="str"/>
      <x:c r="I637" s="7" t="str"/>
      <x:c r="J637" s="7" t="str">
        <x:f>IF(OR(H637="",I637=""),"",I637-H637)</x:f>
      </x:c>
      <x:c r="K637" s="7" t="str"/>
      <x:c r="L637" s="7" t="str"/>
      <x:c r="M637" s="7" t="str">
        <x:f>IF(L637="","OPEN",IF(OR(NOT(ISNUMBER(H637)),NOT(ISNUMBER(I637)),NOT(ISNUMBER(K637)),ABS(J637)&gt;K637),"FAIL","PASS"))</x:f>
        <x:v>OPEN</x:v>
      </x:c>
    </x:row>
    <x:row r="638">
      <x:c r="B638" s="7" t="str">
        <x:v>CAL-CH-PEA-A-Y2-10-2</x:v>
      </x:c>
      <x:c r="C638" s="7" t="str">
        <x:v>CH-PEA-A-Y2-10-2</x:v>
      </x:c>
      <x:c r="D638" s="7" t="str">
        <x:v>PEA-A-Y2</x:v>
      </x:c>
      <x:c r="E638" s="7" t="str">
        <x:v>BLD-A</x:v>
      </x:c>
      <x:c r="F638" s="7" t="str">
        <x:v>BL-Y</x:v>
      </x:c>
      <x:c r="G638" s="7" t="str">
        <x:v>MF-10</x:v>
      </x:c>
      <x:c r="H638" s="7" t="str"/>
      <x:c r="I638" s="7" t="str"/>
      <x:c r="J638" s="7" t="str">
        <x:f>IF(OR(H638="",I638=""),"",I638-H638)</x:f>
      </x:c>
      <x:c r="K638" s="7" t="str"/>
      <x:c r="L638" s="7" t="str"/>
      <x:c r="M638" s="7" t="str">
        <x:f>IF(L638="","OPEN",IF(OR(NOT(ISNUMBER(H638)),NOT(ISNUMBER(I638)),NOT(ISNUMBER(K638)),ABS(J638)&gt;K638),"FAIL","PASS"))</x:f>
        <x:v>OPEN</x:v>
      </x:c>
    </x:row>
    <x:row r="639">
      <x:c r="B639" s="7" t="str">
        <x:v>CAL-CH-PEA-A-Y2-10-3</x:v>
      </x:c>
      <x:c r="C639" s="7" t="str">
        <x:v>CH-PEA-A-Y2-10-3</x:v>
      </x:c>
      <x:c r="D639" s="7" t="str">
        <x:v>PEA-A-Y2</x:v>
      </x:c>
      <x:c r="E639" s="7" t="str">
        <x:v>BLD-A</x:v>
      </x:c>
      <x:c r="F639" s="7" t="str">
        <x:v>BL-Y</x:v>
      </x:c>
      <x:c r="G639" s="7" t="str">
        <x:v>MF-10</x:v>
      </x:c>
      <x:c r="H639" s="7" t="str"/>
      <x:c r="I639" s="7" t="str"/>
      <x:c r="J639" s="7" t="str">
        <x:f>IF(OR(H639="",I639=""),"",I639-H639)</x:f>
      </x:c>
      <x:c r="K639" s="7" t="str"/>
      <x:c r="L639" s="7" t="str"/>
      <x:c r="M639" s="7" t="str">
        <x:f>IF(L639="","OPEN",IF(OR(NOT(ISNUMBER(H639)),NOT(ISNUMBER(I639)),NOT(ISNUMBER(K639)),ABS(J639)&gt;K639),"FAIL","PASS"))</x:f>
        <x:v>OPEN</x:v>
      </x:c>
    </x:row>
    <x:row r="640">
      <x:c r="B640" s="7" t="str">
        <x:v>CAL-CH-PEA-A-Y2-10-4</x:v>
      </x:c>
      <x:c r="C640" s="7" t="str">
        <x:v>CH-PEA-A-Y2-10-4</x:v>
      </x:c>
      <x:c r="D640" s="7" t="str">
        <x:v>PEA-A-Y2</x:v>
      </x:c>
      <x:c r="E640" s="7" t="str">
        <x:v>BLD-A</x:v>
      </x:c>
      <x:c r="F640" s="7" t="str">
        <x:v>BL-Y</x:v>
      </x:c>
      <x:c r="G640" s="7" t="str">
        <x:v>MF-10</x:v>
      </x:c>
      <x:c r="H640" s="7" t="str"/>
      <x:c r="I640" s="7" t="str"/>
      <x:c r="J640" s="7" t="str">
        <x:f>IF(OR(H640="",I640=""),"",I640-H640)</x:f>
      </x:c>
      <x:c r="K640" s="7" t="str"/>
      <x:c r="L640" s="7" t="str"/>
      <x:c r="M640" s="7" t="str">
        <x:f>IF(L640="","OPEN",IF(OR(NOT(ISNUMBER(H640)),NOT(ISNUMBER(I640)),NOT(ISNUMBER(K640)),ABS(J640)&gt;K640),"FAIL","PASS"))</x:f>
        <x:v>OPEN</x:v>
      </x:c>
    </x:row>
    <x:row r="641">
      <x:c r="B641" s="7" t="str">
        <x:v>CAL-CH-PEA-A-Y2-10-5</x:v>
      </x:c>
      <x:c r="C641" s="7" t="str">
        <x:v>CH-PEA-A-Y2-10-5</x:v>
      </x:c>
      <x:c r="D641" s="7" t="str">
        <x:v>PEA-A-Y2</x:v>
      </x:c>
      <x:c r="E641" s="7" t="str">
        <x:v>BLD-A</x:v>
      </x:c>
      <x:c r="F641" s="7" t="str">
        <x:v>BL-Y</x:v>
      </x:c>
      <x:c r="G641" s="7" t="str">
        <x:v>MF-10</x:v>
      </x:c>
      <x:c r="H641" s="7" t="str"/>
      <x:c r="I641" s="7" t="str"/>
      <x:c r="J641" s="7" t="str">
        <x:f>IF(OR(H641="",I641=""),"",I641-H641)</x:f>
      </x:c>
      <x:c r="K641" s="7" t="str"/>
      <x:c r="L641" s="7" t="str"/>
      <x:c r="M641" s="7" t="str">
        <x:f>IF(L641="","OPEN",IF(OR(NOT(ISNUMBER(H641)),NOT(ISNUMBER(I641)),NOT(ISNUMBER(K641)),ABS(J641)&gt;K641),"FAIL","PASS"))</x:f>
        <x:v>OPEN</x:v>
      </x:c>
    </x:row>
    <x:row r="642">
      <x:c r="B642" s="7" t="str">
        <x:v>CAL-CH-PEA-A-Y2-10-6</x:v>
      </x:c>
      <x:c r="C642" s="7" t="str">
        <x:v>CH-PEA-A-Y2-10-6</x:v>
      </x:c>
      <x:c r="D642" s="7" t="str">
        <x:v>PEA-A-Y2</x:v>
      </x:c>
      <x:c r="E642" s="7" t="str">
        <x:v>BLD-A</x:v>
      </x:c>
      <x:c r="F642" s="7" t="str">
        <x:v>BL-Y</x:v>
      </x:c>
      <x:c r="G642" s="7" t="str">
        <x:v>MF-10</x:v>
      </x:c>
      <x:c r="H642" s="7" t="str"/>
      <x:c r="I642" s="7" t="str"/>
      <x:c r="J642" s="7" t="str">
        <x:f>IF(OR(H642="",I642=""),"",I642-H642)</x:f>
      </x:c>
      <x:c r="K642" s="7" t="str"/>
      <x:c r="L642" s="7" t="str"/>
      <x:c r="M642" s="7" t="str">
        <x:f>IF(L642="","OPEN",IF(OR(NOT(ISNUMBER(H642)),NOT(ISNUMBER(I642)),NOT(ISNUMBER(K642)),ABS(J642)&gt;K642),"FAIL","PASS"))</x:f>
        <x:v>OPEN</x:v>
      </x:c>
    </x:row>
    <x:row r="643">
      <x:c r="B643" s="7" t="str">
        <x:v>CAL-CH-PEA-A-Y2-11-1</x:v>
      </x:c>
      <x:c r="C643" s="7" t="str">
        <x:v>CH-PEA-A-Y2-11-1</x:v>
      </x:c>
      <x:c r="D643" s="7" t="str">
        <x:v>PEA-A-Y2</x:v>
      </x:c>
      <x:c r="E643" s="7" t="str">
        <x:v>BLD-A</x:v>
      </x:c>
      <x:c r="F643" s="7" t="str">
        <x:v>BL-Y</x:v>
      </x:c>
      <x:c r="G643" s="7" t="str">
        <x:v>MF-11</x:v>
      </x:c>
      <x:c r="H643" s="7" t="str"/>
      <x:c r="I643" s="7" t="str"/>
      <x:c r="J643" s="7" t="str">
        <x:f>IF(OR(H643="",I643=""),"",I643-H643)</x:f>
      </x:c>
      <x:c r="K643" s="7" t="str"/>
      <x:c r="L643" s="7" t="str"/>
      <x:c r="M643" s="7" t="str">
        <x:f>IF(L643="","OPEN",IF(OR(NOT(ISNUMBER(H643)),NOT(ISNUMBER(I643)),NOT(ISNUMBER(K643)),ABS(J643)&gt;K643),"FAIL","PASS"))</x:f>
        <x:v>OPEN</x:v>
      </x:c>
    </x:row>
    <x:row r="644">
      <x:c r="B644" s="7" t="str">
        <x:v>CAL-CH-PEA-A-Y2-11-2</x:v>
      </x:c>
      <x:c r="C644" s="7" t="str">
        <x:v>CH-PEA-A-Y2-11-2</x:v>
      </x:c>
      <x:c r="D644" s="7" t="str">
        <x:v>PEA-A-Y2</x:v>
      </x:c>
      <x:c r="E644" s="7" t="str">
        <x:v>BLD-A</x:v>
      </x:c>
      <x:c r="F644" s="7" t="str">
        <x:v>BL-Y</x:v>
      </x:c>
      <x:c r="G644" s="7" t="str">
        <x:v>MF-11</x:v>
      </x:c>
      <x:c r="H644" s="7" t="str"/>
      <x:c r="I644" s="7" t="str"/>
      <x:c r="J644" s="7" t="str">
        <x:f>IF(OR(H644="",I644=""),"",I644-H644)</x:f>
      </x:c>
      <x:c r="K644" s="7" t="str"/>
      <x:c r="L644" s="7" t="str"/>
      <x:c r="M644" s="7" t="str">
        <x:f>IF(L644="","OPEN",IF(OR(NOT(ISNUMBER(H644)),NOT(ISNUMBER(I644)),NOT(ISNUMBER(K644)),ABS(J644)&gt;K644),"FAIL","PASS"))</x:f>
        <x:v>OPEN</x:v>
      </x:c>
    </x:row>
    <x:row r="645">
      <x:c r="B645" s="7" t="str">
        <x:v>CAL-CH-PEA-A-Y2-11-3</x:v>
      </x:c>
      <x:c r="C645" s="7" t="str">
        <x:v>CH-PEA-A-Y2-11-3</x:v>
      </x:c>
      <x:c r="D645" s="7" t="str">
        <x:v>PEA-A-Y2</x:v>
      </x:c>
      <x:c r="E645" s="7" t="str">
        <x:v>BLD-A</x:v>
      </x:c>
      <x:c r="F645" s="7" t="str">
        <x:v>BL-Y</x:v>
      </x:c>
      <x:c r="G645" s="7" t="str">
        <x:v>MF-11</x:v>
      </x:c>
      <x:c r="H645" s="7" t="str"/>
      <x:c r="I645" s="7" t="str"/>
      <x:c r="J645" s="7" t="str">
        <x:f>IF(OR(H645="",I645=""),"",I645-H645)</x:f>
      </x:c>
      <x:c r="K645" s="7" t="str"/>
      <x:c r="L645" s="7" t="str"/>
      <x:c r="M645" s="7" t="str">
        <x:f>IF(L645="","OPEN",IF(OR(NOT(ISNUMBER(H645)),NOT(ISNUMBER(I645)),NOT(ISNUMBER(K645)),ABS(J645)&gt;K645),"FAIL","PASS"))</x:f>
        <x:v>OPEN</x:v>
      </x:c>
    </x:row>
    <x:row r="646">
      <x:c r="B646" s="7" t="str">
        <x:v>CAL-CH-PEA-A-Y2-11-4</x:v>
      </x:c>
      <x:c r="C646" s="7" t="str">
        <x:v>CH-PEA-A-Y2-11-4</x:v>
      </x:c>
      <x:c r="D646" s="7" t="str">
        <x:v>PEA-A-Y2</x:v>
      </x:c>
      <x:c r="E646" s="7" t="str">
        <x:v>BLD-A</x:v>
      </x:c>
      <x:c r="F646" s="7" t="str">
        <x:v>BL-Y</x:v>
      </x:c>
      <x:c r="G646" s="7" t="str">
        <x:v>MF-11</x:v>
      </x:c>
      <x:c r="H646" s="7" t="str"/>
      <x:c r="I646" s="7" t="str"/>
      <x:c r="J646" s="7" t="str">
        <x:f>IF(OR(H646="",I646=""),"",I646-H646)</x:f>
      </x:c>
      <x:c r="K646" s="7" t="str"/>
      <x:c r="L646" s="7" t="str"/>
      <x:c r="M646" s="7" t="str">
        <x:f>IF(L646="","OPEN",IF(OR(NOT(ISNUMBER(H646)),NOT(ISNUMBER(I646)),NOT(ISNUMBER(K646)),ABS(J646)&gt;K646),"FAIL","PASS"))</x:f>
        <x:v>OPEN</x:v>
      </x:c>
    </x:row>
    <x:row r="647">
      <x:c r="B647" s="7" t="str">
        <x:v>CAL-CH-PEA-A-Y2-11-5</x:v>
      </x:c>
      <x:c r="C647" s="7" t="str">
        <x:v>CH-PEA-A-Y2-11-5</x:v>
      </x:c>
      <x:c r="D647" s="7" t="str">
        <x:v>PEA-A-Y2</x:v>
      </x:c>
      <x:c r="E647" s="7" t="str">
        <x:v>BLD-A</x:v>
      </x:c>
      <x:c r="F647" s="7" t="str">
        <x:v>BL-Y</x:v>
      </x:c>
      <x:c r="G647" s="7" t="str">
        <x:v>MF-11</x:v>
      </x:c>
      <x:c r="H647" s="7" t="str"/>
      <x:c r="I647" s="7" t="str"/>
      <x:c r="J647" s="7" t="str">
        <x:f>IF(OR(H647="",I647=""),"",I647-H647)</x:f>
      </x:c>
      <x:c r="K647" s="7" t="str"/>
      <x:c r="L647" s="7" t="str"/>
      <x:c r="M647" s="7" t="str">
        <x:f>IF(L647="","OPEN",IF(OR(NOT(ISNUMBER(H647)),NOT(ISNUMBER(I647)),NOT(ISNUMBER(K647)),ABS(J647)&gt;K647),"FAIL","PASS"))</x:f>
        <x:v>OPEN</x:v>
      </x:c>
    </x:row>
    <x:row r="648">
      <x:c r="B648" s="7" t="str">
        <x:v>CAL-CH-PEA-A-Y2-11-6</x:v>
      </x:c>
      <x:c r="C648" s="7" t="str">
        <x:v>CH-PEA-A-Y2-11-6</x:v>
      </x:c>
      <x:c r="D648" s="7" t="str">
        <x:v>PEA-A-Y2</x:v>
      </x:c>
      <x:c r="E648" s="7" t="str">
        <x:v>BLD-A</x:v>
      </x:c>
      <x:c r="F648" s="7" t="str">
        <x:v>BL-Y</x:v>
      </x:c>
      <x:c r="G648" s="7" t="str">
        <x:v>MF-11</x:v>
      </x:c>
      <x:c r="H648" s="7" t="str"/>
      <x:c r="I648" s="7" t="str"/>
      <x:c r="J648" s="7" t="str">
        <x:f>IF(OR(H648="",I648=""),"",I648-H648)</x:f>
      </x:c>
      <x:c r="K648" s="7" t="str"/>
      <x:c r="L648" s="7" t="str"/>
      <x:c r="M648" s="7" t="str">
        <x:f>IF(L648="","OPEN",IF(OR(NOT(ISNUMBER(H648)),NOT(ISNUMBER(I648)),NOT(ISNUMBER(K648)),ABS(J648)&gt;K648),"FAIL","PASS"))</x:f>
        <x:v>OPEN</x:v>
      </x:c>
    </x:row>
    <x:row r="649">
      <x:c r="B649" s="7" t="str">
        <x:v>CAL-CH-PEA-A-Y2-12-1</x:v>
      </x:c>
      <x:c r="C649" s="7" t="str">
        <x:v>CH-PEA-A-Y2-12-1</x:v>
      </x:c>
      <x:c r="D649" s="7" t="str">
        <x:v>PEA-A-Y2</x:v>
      </x:c>
      <x:c r="E649" s="7" t="str">
        <x:v>BLD-A</x:v>
      </x:c>
      <x:c r="F649" s="7" t="str">
        <x:v>BL-Y</x:v>
      </x:c>
      <x:c r="G649" s="7" t="str">
        <x:v>MF-12</x:v>
      </x:c>
      <x:c r="H649" s="7" t="str"/>
      <x:c r="I649" s="7" t="str"/>
      <x:c r="J649" s="7" t="str">
        <x:f>IF(OR(H649="",I649=""),"",I649-H649)</x:f>
      </x:c>
      <x:c r="K649" s="7" t="str"/>
      <x:c r="L649" s="7" t="str"/>
      <x:c r="M649" s="7" t="str">
        <x:f>IF(L649="","OPEN",IF(OR(NOT(ISNUMBER(H649)),NOT(ISNUMBER(I649)),NOT(ISNUMBER(K649)),ABS(J649)&gt;K649),"FAIL","PASS"))</x:f>
        <x:v>OPEN</x:v>
      </x:c>
    </x:row>
    <x:row r="650">
      <x:c r="B650" s="7" t="str">
        <x:v>CAL-CH-PEA-A-Y2-12-2</x:v>
      </x:c>
      <x:c r="C650" s="7" t="str">
        <x:v>CH-PEA-A-Y2-12-2</x:v>
      </x:c>
      <x:c r="D650" s="7" t="str">
        <x:v>PEA-A-Y2</x:v>
      </x:c>
      <x:c r="E650" s="7" t="str">
        <x:v>BLD-A</x:v>
      </x:c>
      <x:c r="F650" s="7" t="str">
        <x:v>BL-Y</x:v>
      </x:c>
      <x:c r="G650" s="7" t="str">
        <x:v>MF-12</x:v>
      </x:c>
      <x:c r="H650" s="7" t="str"/>
      <x:c r="I650" s="7" t="str"/>
      <x:c r="J650" s="7" t="str">
        <x:f>IF(OR(H650="",I650=""),"",I650-H650)</x:f>
      </x:c>
      <x:c r="K650" s="7" t="str"/>
      <x:c r="L650" s="7" t="str"/>
      <x:c r="M650" s="7" t="str">
        <x:f>IF(L650="","OPEN",IF(OR(NOT(ISNUMBER(H650)),NOT(ISNUMBER(I650)),NOT(ISNUMBER(K650)),ABS(J650)&gt;K650),"FAIL","PASS"))</x:f>
        <x:v>OPEN</x:v>
      </x:c>
    </x:row>
    <x:row r="651">
      <x:c r="B651" s="7" t="str">
        <x:v>CAL-CH-PEA-A-Y2-12-3</x:v>
      </x:c>
      <x:c r="C651" s="7" t="str">
        <x:v>CH-PEA-A-Y2-12-3</x:v>
      </x:c>
      <x:c r="D651" s="7" t="str">
        <x:v>PEA-A-Y2</x:v>
      </x:c>
      <x:c r="E651" s="7" t="str">
        <x:v>BLD-A</x:v>
      </x:c>
      <x:c r="F651" s="7" t="str">
        <x:v>BL-Y</x:v>
      </x:c>
      <x:c r="G651" s="7" t="str">
        <x:v>MF-12</x:v>
      </x:c>
      <x:c r="H651" s="7" t="str"/>
      <x:c r="I651" s="7" t="str"/>
      <x:c r="J651" s="7" t="str">
        <x:f>IF(OR(H651="",I651=""),"",I651-H651)</x:f>
      </x:c>
      <x:c r="K651" s="7" t="str"/>
      <x:c r="L651" s="7" t="str"/>
      <x:c r="M651" s="7" t="str">
        <x:f>IF(L651="","OPEN",IF(OR(NOT(ISNUMBER(H651)),NOT(ISNUMBER(I651)),NOT(ISNUMBER(K651)),ABS(J651)&gt;K651),"FAIL","PASS"))</x:f>
        <x:v>OPEN</x:v>
      </x:c>
    </x:row>
    <x:row r="652">
      <x:c r="B652" s="7" t="str">
        <x:v>CAL-CH-PEA-A-Y2-12-4</x:v>
      </x:c>
      <x:c r="C652" s="7" t="str">
        <x:v>CH-PEA-A-Y2-12-4</x:v>
      </x:c>
      <x:c r="D652" s="7" t="str">
        <x:v>PEA-A-Y2</x:v>
      </x:c>
      <x:c r="E652" s="7" t="str">
        <x:v>BLD-A</x:v>
      </x:c>
      <x:c r="F652" s="7" t="str">
        <x:v>BL-Y</x:v>
      </x:c>
      <x:c r="G652" s="7" t="str">
        <x:v>MF-12</x:v>
      </x:c>
      <x:c r="H652" s="7" t="str"/>
      <x:c r="I652" s="7" t="str"/>
      <x:c r="J652" s="7" t="str">
        <x:f>IF(OR(H652="",I652=""),"",I652-H652)</x:f>
      </x:c>
      <x:c r="K652" s="7" t="str"/>
      <x:c r="L652" s="7" t="str"/>
      <x:c r="M652" s="7" t="str">
        <x:f>IF(L652="","OPEN",IF(OR(NOT(ISNUMBER(H652)),NOT(ISNUMBER(I652)),NOT(ISNUMBER(K652)),ABS(J652)&gt;K652),"FAIL","PASS"))</x:f>
        <x:v>OPEN</x:v>
      </x:c>
    </x:row>
    <x:row r="653">
      <x:c r="B653" s="7" t="str">
        <x:v>CAL-CH-PEA-A-Y2-12-5</x:v>
      </x:c>
      <x:c r="C653" s="7" t="str">
        <x:v>CH-PEA-A-Y2-12-5</x:v>
      </x:c>
      <x:c r="D653" s="7" t="str">
        <x:v>PEA-A-Y2</x:v>
      </x:c>
      <x:c r="E653" s="7" t="str">
        <x:v>BLD-A</x:v>
      </x:c>
      <x:c r="F653" s="7" t="str">
        <x:v>BL-Y</x:v>
      </x:c>
      <x:c r="G653" s="7" t="str">
        <x:v>MF-12</x:v>
      </x:c>
      <x:c r="H653" s="7" t="str"/>
      <x:c r="I653" s="7" t="str"/>
      <x:c r="J653" s="7" t="str">
        <x:f>IF(OR(H653="",I653=""),"",I653-H653)</x:f>
      </x:c>
      <x:c r="K653" s="7" t="str"/>
      <x:c r="L653" s="7" t="str"/>
      <x:c r="M653" s="7" t="str">
        <x:f>IF(L653="","OPEN",IF(OR(NOT(ISNUMBER(H653)),NOT(ISNUMBER(I653)),NOT(ISNUMBER(K653)),ABS(J653)&gt;K653),"FAIL","PASS"))</x:f>
        <x:v>OPEN</x:v>
      </x:c>
    </x:row>
    <x:row r="654">
      <x:c r="B654" s="7" t="str">
        <x:v>CAL-CH-PEA-A-Y2-12-6</x:v>
      </x:c>
      <x:c r="C654" s="7" t="str">
        <x:v>CH-PEA-A-Y2-12-6</x:v>
      </x:c>
      <x:c r="D654" s="7" t="str">
        <x:v>PEA-A-Y2</x:v>
      </x:c>
      <x:c r="E654" s="7" t="str">
        <x:v>BLD-A</x:v>
      </x:c>
      <x:c r="F654" s="7" t="str">
        <x:v>BL-Y</x:v>
      </x:c>
      <x:c r="G654" s="7" t="str">
        <x:v>MF-12</x:v>
      </x:c>
      <x:c r="H654" s="7" t="str"/>
      <x:c r="I654" s="7" t="str"/>
      <x:c r="J654" s="7" t="str">
        <x:f>IF(OR(H654="",I654=""),"",I654-H654)</x:f>
      </x:c>
      <x:c r="K654" s="7" t="str"/>
      <x:c r="L654" s="7" t="str"/>
      <x:c r="M654" s="7" t="str">
        <x:f>IF(L654="","OPEN",IF(OR(NOT(ISNUMBER(H654)),NOT(ISNUMBER(I654)),NOT(ISNUMBER(K654)),ABS(J654)&gt;K654),"FAIL","PASS"))</x:f>
        <x:v>OPEN</x:v>
      </x:c>
    </x:row>
    <x:row r="655">
      <x:c r="B655" s="7" t="str">
        <x:v>CAL-CH-PEA-A-Y2-13-1</x:v>
      </x:c>
      <x:c r="C655" s="7" t="str">
        <x:v>CH-PEA-A-Y2-13-1</x:v>
      </x:c>
      <x:c r="D655" s="7" t="str">
        <x:v>PEA-A-Y2</x:v>
      </x:c>
      <x:c r="E655" s="7" t="str">
        <x:v>BLD-A</x:v>
      </x:c>
      <x:c r="F655" s="7" t="str">
        <x:v>BL-Y</x:v>
      </x:c>
      <x:c r="G655" s="7" t="str">
        <x:v>MF-13</x:v>
      </x:c>
      <x:c r="H655" s="7" t="str"/>
      <x:c r="I655" s="7" t="str"/>
      <x:c r="J655" s="7" t="str">
        <x:f>IF(OR(H655="",I655=""),"",I655-H655)</x:f>
      </x:c>
      <x:c r="K655" s="7" t="str"/>
      <x:c r="L655" s="7" t="str"/>
      <x:c r="M655" s="7" t="str">
        <x:f>IF(L655="","OPEN",IF(OR(NOT(ISNUMBER(H655)),NOT(ISNUMBER(I655)),NOT(ISNUMBER(K655)),ABS(J655)&gt;K655),"FAIL","PASS"))</x:f>
        <x:v>OPEN</x:v>
      </x:c>
    </x:row>
    <x:row r="656">
      <x:c r="B656" s="7" t="str">
        <x:v>CAL-CH-PEA-A-Y2-13-2</x:v>
      </x:c>
      <x:c r="C656" s="7" t="str">
        <x:v>CH-PEA-A-Y2-13-2</x:v>
      </x:c>
      <x:c r="D656" s="7" t="str">
        <x:v>PEA-A-Y2</x:v>
      </x:c>
      <x:c r="E656" s="7" t="str">
        <x:v>BLD-A</x:v>
      </x:c>
      <x:c r="F656" s="7" t="str">
        <x:v>BL-Y</x:v>
      </x:c>
      <x:c r="G656" s="7" t="str">
        <x:v>MF-13</x:v>
      </x:c>
      <x:c r="H656" s="7" t="str"/>
      <x:c r="I656" s="7" t="str"/>
      <x:c r="J656" s="7" t="str">
        <x:f>IF(OR(H656="",I656=""),"",I656-H656)</x:f>
      </x:c>
      <x:c r="K656" s="7" t="str"/>
      <x:c r="L656" s="7" t="str"/>
      <x:c r="M656" s="7" t="str">
        <x:f>IF(L656="","OPEN",IF(OR(NOT(ISNUMBER(H656)),NOT(ISNUMBER(I656)),NOT(ISNUMBER(K656)),ABS(J656)&gt;K656),"FAIL","PASS"))</x:f>
        <x:v>OPEN</x:v>
      </x:c>
    </x:row>
    <x:row r="657">
      <x:c r="B657" s="7" t="str">
        <x:v>CAL-CH-PEA-A-Y2-13-3</x:v>
      </x:c>
      <x:c r="C657" s="7" t="str">
        <x:v>CH-PEA-A-Y2-13-3</x:v>
      </x:c>
      <x:c r="D657" s="7" t="str">
        <x:v>PEA-A-Y2</x:v>
      </x:c>
      <x:c r="E657" s="7" t="str">
        <x:v>BLD-A</x:v>
      </x:c>
      <x:c r="F657" s="7" t="str">
        <x:v>BL-Y</x:v>
      </x:c>
      <x:c r="G657" s="7" t="str">
        <x:v>MF-13</x:v>
      </x:c>
      <x:c r="H657" s="7" t="str"/>
      <x:c r="I657" s="7" t="str"/>
      <x:c r="J657" s="7" t="str">
        <x:f>IF(OR(H657="",I657=""),"",I657-H657)</x:f>
      </x:c>
      <x:c r="K657" s="7" t="str"/>
      <x:c r="L657" s="7" t="str"/>
      <x:c r="M657" s="7" t="str">
        <x:f>IF(L657="","OPEN",IF(OR(NOT(ISNUMBER(H657)),NOT(ISNUMBER(I657)),NOT(ISNUMBER(K657)),ABS(J657)&gt;K657),"FAIL","PASS"))</x:f>
        <x:v>OPEN</x:v>
      </x:c>
    </x:row>
    <x:row r="658">
      <x:c r="B658" s="7" t="str">
        <x:v>CAL-CH-PEA-A-Y2-13-4</x:v>
      </x:c>
      <x:c r="C658" s="7" t="str">
        <x:v>CH-PEA-A-Y2-13-4</x:v>
      </x:c>
      <x:c r="D658" s="7" t="str">
        <x:v>PEA-A-Y2</x:v>
      </x:c>
      <x:c r="E658" s="7" t="str">
        <x:v>BLD-A</x:v>
      </x:c>
      <x:c r="F658" s="7" t="str">
        <x:v>BL-Y</x:v>
      </x:c>
      <x:c r="G658" s="7" t="str">
        <x:v>MF-13</x:v>
      </x:c>
      <x:c r="H658" s="7" t="str"/>
      <x:c r="I658" s="7" t="str"/>
      <x:c r="J658" s="7" t="str">
        <x:f>IF(OR(H658="",I658=""),"",I658-H658)</x:f>
      </x:c>
      <x:c r="K658" s="7" t="str"/>
      <x:c r="L658" s="7" t="str"/>
      <x:c r="M658" s="7" t="str">
        <x:f>IF(L658="","OPEN",IF(OR(NOT(ISNUMBER(H658)),NOT(ISNUMBER(I658)),NOT(ISNUMBER(K658)),ABS(J658)&gt;K658),"FAIL","PASS"))</x:f>
        <x:v>OPEN</x:v>
      </x:c>
    </x:row>
    <x:row r="659">
      <x:c r="B659" s="7" t="str">
        <x:v>CAL-CH-PEA-A-Y2-13-5</x:v>
      </x:c>
      <x:c r="C659" s="7" t="str">
        <x:v>CH-PEA-A-Y2-13-5</x:v>
      </x:c>
      <x:c r="D659" s="7" t="str">
        <x:v>PEA-A-Y2</x:v>
      </x:c>
      <x:c r="E659" s="7" t="str">
        <x:v>BLD-A</x:v>
      </x:c>
      <x:c r="F659" s="7" t="str">
        <x:v>BL-Y</x:v>
      </x:c>
      <x:c r="G659" s="7" t="str">
        <x:v>MF-13</x:v>
      </x:c>
      <x:c r="H659" s="7" t="str"/>
      <x:c r="I659" s="7" t="str"/>
      <x:c r="J659" s="7" t="str">
        <x:f>IF(OR(H659="",I659=""),"",I659-H659)</x:f>
      </x:c>
      <x:c r="K659" s="7" t="str"/>
      <x:c r="L659" s="7" t="str"/>
      <x:c r="M659" s="7" t="str">
        <x:f>IF(L659="","OPEN",IF(OR(NOT(ISNUMBER(H659)),NOT(ISNUMBER(I659)),NOT(ISNUMBER(K659)),ABS(J659)&gt;K659),"FAIL","PASS"))</x:f>
        <x:v>OPEN</x:v>
      </x:c>
    </x:row>
    <x:row r="660">
      <x:c r="B660" s="7" t="str">
        <x:v>CAL-CH-PEA-A-Y2-13-6</x:v>
      </x:c>
      <x:c r="C660" s="7" t="str">
        <x:v>CH-PEA-A-Y2-13-6</x:v>
      </x:c>
      <x:c r="D660" s="7" t="str">
        <x:v>PEA-A-Y2</x:v>
      </x:c>
      <x:c r="E660" s="7" t="str">
        <x:v>BLD-A</x:v>
      </x:c>
      <x:c r="F660" s="7" t="str">
        <x:v>BL-Y</x:v>
      </x:c>
      <x:c r="G660" s="7" t="str">
        <x:v>MF-13</x:v>
      </x:c>
      <x:c r="H660" s="7" t="str"/>
      <x:c r="I660" s="7" t="str"/>
      <x:c r="J660" s="7" t="str">
        <x:f>IF(OR(H660="",I660=""),"",I660-H660)</x:f>
      </x:c>
      <x:c r="K660" s="7" t="str"/>
      <x:c r="L660" s="7" t="str"/>
      <x:c r="M660" s="7" t="str">
        <x:f>IF(L660="","OPEN",IF(OR(NOT(ISNUMBER(H660)),NOT(ISNUMBER(I660)),NOT(ISNUMBER(K660)),ABS(J660)&gt;K660),"FAIL","PASS"))</x:f>
        <x:v>OPEN</x:v>
      </x:c>
    </x:row>
    <x:row r="661">
      <x:c r="B661" s="7" t="str">
        <x:v>CAL-CH-PEA-A-Y2-14-1</x:v>
      </x:c>
      <x:c r="C661" s="7" t="str">
        <x:v>CH-PEA-A-Y2-14-1</x:v>
      </x:c>
      <x:c r="D661" s="7" t="str">
        <x:v>PEA-A-Y2</x:v>
      </x:c>
      <x:c r="E661" s="7" t="str">
        <x:v>BLD-A</x:v>
      </x:c>
      <x:c r="F661" s="7" t="str">
        <x:v>BL-Y</x:v>
      </x:c>
      <x:c r="G661" s="7" t="str">
        <x:v>MF-14</x:v>
      </x:c>
      <x:c r="H661" s="7" t="str"/>
      <x:c r="I661" s="7" t="str"/>
      <x:c r="J661" s="7" t="str">
        <x:f>IF(OR(H661="",I661=""),"",I661-H661)</x:f>
      </x:c>
      <x:c r="K661" s="7" t="str"/>
      <x:c r="L661" s="7" t="str"/>
      <x:c r="M661" s="7" t="str">
        <x:f>IF(L661="","OPEN",IF(OR(NOT(ISNUMBER(H661)),NOT(ISNUMBER(I661)),NOT(ISNUMBER(K661)),ABS(J661)&gt;K661),"FAIL","PASS"))</x:f>
        <x:v>OPEN</x:v>
      </x:c>
    </x:row>
    <x:row r="662">
      <x:c r="B662" s="7" t="str">
        <x:v>CAL-CH-PEA-A-Y2-14-2</x:v>
      </x:c>
      <x:c r="C662" s="7" t="str">
        <x:v>CH-PEA-A-Y2-14-2</x:v>
      </x:c>
      <x:c r="D662" s="7" t="str">
        <x:v>PEA-A-Y2</x:v>
      </x:c>
      <x:c r="E662" s="7" t="str">
        <x:v>BLD-A</x:v>
      </x:c>
      <x:c r="F662" s="7" t="str">
        <x:v>BL-Y</x:v>
      </x:c>
      <x:c r="G662" s="7" t="str">
        <x:v>MF-14</x:v>
      </x:c>
      <x:c r="H662" s="7" t="str"/>
      <x:c r="I662" s="7" t="str"/>
      <x:c r="J662" s="7" t="str">
        <x:f>IF(OR(H662="",I662=""),"",I662-H662)</x:f>
      </x:c>
      <x:c r="K662" s="7" t="str"/>
      <x:c r="L662" s="7" t="str"/>
      <x:c r="M662" s="7" t="str">
        <x:f>IF(L662="","OPEN",IF(OR(NOT(ISNUMBER(H662)),NOT(ISNUMBER(I662)),NOT(ISNUMBER(K662)),ABS(J662)&gt;K662),"FAIL","PASS"))</x:f>
        <x:v>OPEN</x:v>
      </x:c>
    </x:row>
    <x:row r="663">
      <x:c r="B663" s="7" t="str">
        <x:v>CAL-CH-PEA-A-Y2-14-3</x:v>
      </x:c>
      <x:c r="C663" s="7" t="str">
        <x:v>CH-PEA-A-Y2-14-3</x:v>
      </x:c>
      <x:c r="D663" s="7" t="str">
        <x:v>PEA-A-Y2</x:v>
      </x:c>
      <x:c r="E663" s="7" t="str">
        <x:v>BLD-A</x:v>
      </x:c>
      <x:c r="F663" s="7" t="str">
        <x:v>BL-Y</x:v>
      </x:c>
      <x:c r="G663" s="7" t="str">
        <x:v>MF-14</x:v>
      </x:c>
      <x:c r="H663" s="7" t="str"/>
      <x:c r="I663" s="7" t="str"/>
      <x:c r="J663" s="7" t="str">
        <x:f>IF(OR(H663="",I663=""),"",I663-H663)</x:f>
      </x:c>
      <x:c r="K663" s="7" t="str"/>
      <x:c r="L663" s="7" t="str"/>
      <x:c r="M663" s="7" t="str">
        <x:f>IF(L663="","OPEN",IF(OR(NOT(ISNUMBER(H663)),NOT(ISNUMBER(I663)),NOT(ISNUMBER(K663)),ABS(J663)&gt;K663),"FAIL","PASS"))</x:f>
        <x:v>OPEN</x:v>
      </x:c>
    </x:row>
    <x:row r="664">
      <x:c r="B664" s="7" t="str">
        <x:v>CAL-CH-PEA-A-Y2-14-4</x:v>
      </x:c>
      <x:c r="C664" s="7" t="str">
        <x:v>CH-PEA-A-Y2-14-4</x:v>
      </x:c>
      <x:c r="D664" s="7" t="str">
        <x:v>PEA-A-Y2</x:v>
      </x:c>
      <x:c r="E664" s="7" t="str">
        <x:v>BLD-A</x:v>
      </x:c>
      <x:c r="F664" s="7" t="str">
        <x:v>BL-Y</x:v>
      </x:c>
      <x:c r="G664" s="7" t="str">
        <x:v>MF-14</x:v>
      </x:c>
      <x:c r="H664" s="7" t="str"/>
      <x:c r="I664" s="7" t="str"/>
      <x:c r="J664" s="7" t="str">
        <x:f>IF(OR(H664="",I664=""),"",I664-H664)</x:f>
      </x:c>
      <x:c r="K664" s="7" t="str"/>
      <x:c r="L664" s="7" t="str"/>
      <x:c r="M664" s="7" t="str">
        <x:f>IF(L664="","OPEN",IF(OR(NOT(ISNUMBER(H664)),NOT(ISNUMBER(I664)),NOT(ISNUMBER(K664)),ABS(J664)&gt;K664),"FAIL","PASS"))</x:f>
        <x:v>OPEN</x:v>
      </x:c>
    </x:row>
    <x:row r="665">
      <x:c r="B665" s="7" t="str">
        <x:v>CAL-CH-PEA-A-Y2-14-5</x:v>
      </x:c>
      <x:c r="C665" s="7" t="str">
        <x:v>CH-PEA-A-Y2-14-5</x:v>
      </x:c>
      <x:c r="D665" s="7" t="str">
        <x:v>PEA-A-Y2</x:v>
      </x:c>
      <x:c r="E665" s="7" t="str">
        <x:v>BLD-A</x:v>
      </x:c>
      <x:c r="F665" s="7" t="str">
        <x:v>BL-Y</x:v>
      </x:c>
      <x:c r="G665" s="7" t="str">
        <x:v>MF-14</x:v>
      </x:c>
      <x:c r="H665" s="7" t="str"/>
      <x:c r="I665" s="7" t="str"/>
      <x:c r="J665" s="7" t="str">
        <x:f>IF(OR(H665="",I665=""),"",I665-H665)</x:f>
      </x:c>
      <x:c r="K665" s="7" t="str"/>
      <x:c r="L665" s="7" t="str"/>
      <x:c r="M665" s="7" t="str">
        <x:f>IF(L665="","OPEN",IF(OR(NOT(ISNUMBER(H665)),NOT(ISNUMBER(I665)),NOT(ISNUMBER(K665)),ABS(J665)&gt;K665),"FAIL","PASS"))</x:f>
        <x:v>OPEN</x:v>
      </x:c>
    </x:row>
    <x:row r="666">
      <x:c r="B666" s="7" t="str">
        <x:v>CAL-CH-PEA-A-Y2-14-6</x:v>
      </x:c>
      <x:c r="C666" s="7" t="str">
        <x:v>CH-PEA-A-Y2-14-6</x:v>
      </x:c>
      <x:c r="D666" s="7" t="str">
        <x:v>PEA-A-Y2</x:v>
      </x:c>
      <x:c r="E666" s="7" t="str">
        <x:v>BLD-A</x:v>
      </x:c>
      <x:c r="F666" s="7" t="str">
        <x:v>BL-Y</x:v>
      </x:c>
      <x:c r="G666" s="7" t="str">
        <x:v>MF-14</x:v>
      </x:c>
      <x:c r="H666" s="7" t="str"/>
      <x:c r="I666" s="7" t="str"/>
      <x:c r="J666" s="7" t="str">
        <x:f>IF(OR(H666="",I666=""),"",I666-H666)</x:f>
      </x:c>
      <x:c r="K666" s="7" t="str"/>
      <x:c r="L666" s="7" t="str"/>
      <x:c r="M666" s="7" t="str">
        <x:f>IF(L666="","OPEN",IF(OR(NOT(ISNUMBER(H666)),NOT(ISNUMBER(I666)),NOT(ISNUMBER(K666)),ABS(J666)&gt;K666),"FAIL","PASS"))</x:f>
        <x:v>OPEN</x:v>
      </x:c>
    </x:row>
    <x:row r="667">
      <x:c r="B667" s="7" t="str">
        <x:v>CAL-CH-PEA-A-Y2-15-1</x:v>
      </x:c>
      <x:c r="C667" s="7" t="str">
        <x:v>CH-PEA-A-Y2-15-1</x:v>
      </x:c>
      <x:c r="D667" s="7" t="str">
        <x:v>PEA-A-Y2</x:v>
      </x:c>
      <x:c r="E667" s="7" t="str">
        <x:v>BLD-A</x:v>
      </x:c>
      <x:c r="F667" s="7" t="str">
        <x:v>BL-Y</x:v>
      </x:c>
      <x:c r="G667" s="7" t="str">
        <x:v>MF-15</x:v>
      </x:c>
      <x:c r="H667" s="7" t="str"/>
      <x:c r="I667" s="7" t="str"/>
      <x:c r="J667" s="7" t="str">
        <x:f>IF(OR(H667="",I667=""),"",I667-H667)</x:f>
      </x:c>
      <x:c r="K667" s="7" t="str"/>
      <x:c r="L667" s="7" t="str"/>
      <x:c r="M667" s="7" t="str">
        <x:f>IF(L667="","OPEN",IF(OR(NOT(ISNUMBER(H667)),NOT(ISNUMBER(I667)),NOT(ISNUMBER(K667)),ABS(J667)&gt;K667),"FAIL","PASS"))</x:f>
        <x:v>OPEN</x:v>
      </x:c>
    </x:row>
    <x:row r="668">
      <x:c r="B668" s="7" t="str">
        <x:v>CAL-CH-PEA-A-Y2-15-2</x:v>
      </x:c>
      <x:c r="C668" s="7" t="str">
        <x:v>CH-PEA-A-Y2-15-2</x:v>
      </x:c>
      <x:c r="D668" s="7" t="str">
        <x:v>PEA-A-Y2</x:v>
      </x:c>
      <x:c r="E668" s="7" t="str">
        <x:v>BLD-A</x:v>
      </x:c>
      <x:c r="F668" s="7" t="str">
        <x:v>BL-Y</x:v>
      </x:c>
      <x:c r="G668" s="7" t="str">
        <x:v>MF-15</x:v>
      </x:c>
      <x:c r="H668" s="7" t="str"/>
      <x:c r="I668" s="7" t="str"/>
      <x:c r="J668" s="7" t="str">
        <x:f>IF(OR(H668="",I668=""),"",I668-H668)</x:f>
      </x:c>
      <x:c r="K668" s="7" t="str"/>
      <x:c r="L668" s="7" t="str"/>
      <x:c r="M668" s="7" t="str">
        <x:f>IF(L668="","OPEN",IF(OR(NOT(ISNUMBER(H668)),NOT(ISNUMBER(I668)),NOT(ISNUMBER(K668)),ABS(J668)&gt;K668),"FAIL","PASS"))</x:f>
        <x:v>OPEN</x:v>
      </x:c>
    </x:row>
    <x:row r="669">
      <x:c r="B669" s="7" t="str">
        <x:v>CAL-CH-PEA-A-Y2-15-3</x:v>
      </x:c>
      <x:c r="C669" s="7" t="str">
        <x:v>CH-PEA-A-Y2-15-3</x:v>
      </x:c>
      <x:c r="D669" s="7" t="str">
        <x:v>PEA-A-Y2</x:v>
      </x:c>
      <x:c r="E669" s="7" t="str">
        <x:v>BLD-A</x:v>
      </x:c>
      <x:c r="F669" s="7" t="str">
        <x:v>BL-Y</x:v>
      </x:c>
      <x:c r="G669" s="7" t="str">
        <x:v>MF-15</x:v>
      </x:c>
      <x:c r="H669" s="7" t="str"/>
      <x:c r="I669" s="7" t="str"/>
      <x:c r="J669" s="7" t="str">
        <x:f>IF(OR(H669="",I669=""),"",I669-H669)</x:f>
      </x:c>
      <x:c r="K669" s="7" t="str"/>
      <x:c r="L669" s="7" t="str"/>
      <x:c r="M669" s="7" t="str">
        <x:f>IF(L669="","OPEN",IF(OR(NOT(ISNUMBER(H669)),NOT(ISNUMBER(I669)),NOT(ISNUMBER(K669)),ABS(J669)&gt;K669),"FAIL","PASS"))</x:f>
        <x:v>OPEN</x:v>
      </x:c>
    </x:row>
    <x:row r="670">
      <x:c r="B670" s="7" t="str">
        <x:v>CAL-CH-PEA-A-Y2-15-4</x:v>
      </x:c>
      <x:c r="C670" s="7" t="str">
        <x:v>CH-PEA-A-Y2-15-4</x:v>
      </x:c>
      <x:c r="D670" s="7" t="str">
        <x:v>PEA-A-Y2</x:v>
      </x:c>
      <x:c r="E670" s="7" t="str">
        <x:v>BLD-A</x:v>
      </x:c>
      <x:c r="F670" s="7" t="str">
        <x:v>BL-Y</x:v>
      </x:c>
      <x:c r="G670" s="7" t="str">
        <x:v>MF-15</x:v>
      </x:c>
      <x:c r="H670" s="7" t="str"/>
      <x:c r="I670" s="7" t="str"/>
      <x:c r="J670" s="7" t="str">
        <x:f>IF(OR(H670="",I670=""),"",I670-H670)</x:f>
      </x:c>
      <x:c r="K670" s="7" t="str"/>
      <x:c r="L670" s="7" t="str"/>
      <x:c r="M670" s="7" t="str">
        <x:f>IF(L670="","OPEN",IF(OR(NOT(ISNUMBER(H670)),NOT(ISNUMBER(I670)),NOT(ISNUMBER(K670)),ABS(J670)&gt;K670),"FAIL","PASS"))</x:f>
        <x:v>OPEN</x:v>
      </x:c>
    </x:row>
    <x:row r="671">
      <x:c r="B671" s="7" t="str">
        <x:v>CAL-CH-PEA-A-Y2-15-5</x:v>
      </x:c>
      <x:c r="C671" s="7" t="str">
        <x:v>CH-PEA-A-Y2-15-5</x:v>
      </x:c>
      <x:c r="D671" s="7" t="str">
        <x:v>PEA-A-Y2</x:v>
      </x:c>
      <x:c r="E671" s="7" t="str">
        <x:v>BLD-A</x:v>
      </x:c>
      <x:c r="F671" s="7" t="str">
        <x:v>BL-Y</x:v>
      </x:c>
      <x:c r="G671" s="7" t="str">
        <x:v>MF-15</x:v>
      </x:c>
      <x:c r="H671" s="7" t="str"/>
      <x:c r="I671" s="7" t="str"/>
      <x:c r="J671" s="7" t="str">
        <x:f>IF(OR(H671="",I671=""),"",I671-H671)</x:f>
      </x:c>
      <x:c r="K671" s="7" t="str"/>
      <x:c r="L671" s="7" t="str"/>
      <x:c r="M671" s="7" t="str">
        <x:f>IF(L671="","OPEN",IF(OR(NOT(ISNUMBER(H671)),NOT(ISNUMBER(I671)),NOT(ISNUMBER(K671)),ABS(J671)&gt;K671),"FAIL","PASS"))</x:f>
        <x:v>OPEN</x:v>
      </x:c>
    </x:row>
    <x:row r="672">
      <x:c r="B672" s="7" t="str">
        <x:v>CAL-CH-PEA-A-Y2-15-6</x:v>
      </x:c>
      <x:c r="C672" s="7" t="str">
        <x:v>CH-PEA-A-Y2-15-6</x:v>
      </x:c>
      <x:c r="D672" s="7" t="str">
        <x:v>PEA-A-Y2</x:v>
      </x:c>
      <x:c r="E672" s="7" t="str">
        <x:v>BLD-A</x:v>
      </x:c>
      <x:c r="F672" s="7" t="str">
        <x:v>BL-Y</x:v>
      </x:c>
      <x:c r="G672" s="7" t="str">
        <x:v>MF-15</x:v>
      </x:c>
      <x:c r="H672" s="7" t="str"/>
      <x:c r="I672" s="7" t="str"/>
      <x:c r="J672" s="7" t="str">
        <x:f>IF(OR(H672="",I672=""),"",I672-H672)</x:f>
      </x:c>
      <x:c r="K672" s="7" t="str"/>
      <x:c r="L672" s="7" t="str"/>
      <x:c r="M672" s="7" t="str">
        <x:f>IF(L672="","OPEN",IF(OR(NOT(ISNUMBER(H672)),NOT(ISNUMBER(I672)),NOT(ISNUMBER(K672)),ABS(J672)&gt;K672),"FAIL","PASS"))</x:f>
        <x:v>OPEN</x:v>
      </x:c>
    </x:row>
    <x:row r="673">
      <x:c r="B673" s="7" t="str">
        <x:v>CAL-CH-PEA-A-Y2-16-1</x:v>
      </x:c>
      <x:c r="C673" s="7" t="str">
        <x:v>CH-PEA-A-Y2-16-1</x:v>
      </x:c>
      <x:c r="D673" s="7" t="str">
        <x:v>PEA-A-Y2</x:v>
      </x:c>
      <x:c r="E673" s="7" t="str">
        <x:v>BLD-A</x:v>
      </x:c>
      <x:c r="F673" s="7" t="str">
        <x:v>BL-Y</x:v>
      </x:c>
      <x:c r="G673" s="7" t="str">
        <x:v>MF-16</x:v>
      </x:c>
      <x:c r="H673" s="7" t="str"/>
      <x:c r="I673" s="7" t="str"/>
      <x:c r="J673" s="7" t="str">
        <x:f>IF(OR(H673="",I673=""),"",I673-H673)</x:f>
      </x:c>
      <x:c r="K673" s="7" t="str"/>
      <x:c r="L673" s="7" t="str"/>
      <x:c r="M673" s="7" t="str">
        <x:f>IF(L673="","OPEN",IF(OR(NOT(ISNUMBER(H673)),NOT(ISNUMBER(I673)),NOT(ISNUMBER(K673)),ABS(J673)&gt;K673),"FAIL","PASS"))</x:f>
        <x:v>OPEN</x:v>
      </x:c>
    </x:row>
    <x:row r="674">
      <x:c r="B674" s="7" t="str">
        <x:v>CAL-CH-PEA-A-Y2-16-2</x:v>
      </x:c>
      <x:c r="C674" s="7" t="str">
        <x:v>CH-PEA-A-Y2-16-2</x:v>
      </x:c>
      <x:c r="D674" s="7" t="str">
        <x:v>PEA-A-Y2</x:v>
      </x:c>
      <x:c r="E674" s="7" t="str">
        <x:v>BLD-A</x:v>
      </x:c>
      <x:c r="F674" s="7" t="str">
        <x:v>BL-Y</x:v>
      </x:c>
      <x:c r="G674" s="7" t="str">
        <x:v>MF-16</x:v>
      </x:c>
      <x:c r="H674" s="7" t="str"/>
      <x:c r="I674" s="7" t="str"/>
      <x:c r="J674" s="7" t="str">
        <x:f>IF(OR(H674="",I674=""),"",I674-H674)</x:f>
      </x:c>
      <x:c r="K674" s="7" t="str"/>
      <x:c r="L674" s="7" t="str"/>
      <x:c r="M674" s="7" t="str">
        <x:f>IF(L674="","OPEN",IF(OR(NOT(ISNUMBER(H674)),NOT(ISNUMBER(I674)),NOT(ISNUMBER(K674)),ABS(J674)&gt;K674),"FAIL","PASS"))</x:f>
        <x:v>OPEN</x:v>
      </x:c>
    </x:row>
    <x:row r="675">
      <x:c r="B675" s="7" t="str">
        <x:v>CAL-CH-PEA-A-Y2-16-3</x:v>
      </x:c>
      <x:c r="C675" s="7" t="str">
        <x:v>CH-PEA-A-Y2-16-3</x:v>
      </x:c>
      <x:c r="D675" s="7" t="str">
        <x:v>PEA-A-Y2</x:v>
      </x:c>
      <x:c r="E675" s="7" t="str">
        <x:v>BLD-A</x:v>
      </x:c>
      <x:c r="F675" s="7" t="str">
        <x:v>BL-Y</x:v>
      </x:c>
      <x:c r="G675" s="7" t="str">
        <x:v>MF-16</x:v>
      </x:c>
      <x:c r="H675" s="7" t="str"/>
      <x:c r="I675" s="7" t="str"/>
      <x:c r="J675" s="7" t="str">
        <x:f>IF(OR(H675="",I675=""),"",I675-H675)</x:f>
      </x:c>
      <x:c r="K675" s="7" t="str"/>
      <x:c r="L675" s="7" t="str"/>
      <x:c r="M675" s="7" t="str">
        <x:f>IF(L675="","OPEN",IF(OR(NOT(ISNUMBER(H675)),NOT(ISNUMBER(I675)),NOT(ISNUMBER(K675)),ABS(J675)&gt;K675),"FAIL","PASS"))</x:f>
        <x:v>OPEN</x:v>
      </x:c>
    </x:row>
    <x:row r="676">
      <x:c r="B676" s="7" t="str">
        <x:v>CAL-CH-PEA-A-Y2-16-4</x:v>
      </x:c>
      <x:c r="C676" s="7" t="str">
        <x:v>CH-PEA-A-Y2-16-4</x:v>
      </x:c>
      <x:c r="D676" s="7" t="str">
        <x:v>PEA-A-Y2</x:v>
      </x:c>
      <x:c r="E676" s="7" t="str">
        <x:v>BLD-A</x:v>
      </x:c>
      <x:c r="F676" s="7" t="str">
        <x:v>BL-Y</x:v>
      </x:c>
      <x:c r="G676" s="7" t="str">
        <x:v>MF-16</x:v>
      </x:c>
      <x:c r="H676" s="7" t="str"/>
      <x:c r="I676" s="7" t="str"/>
      <x:c r="J676" s="7" t="str">
        <x:f>IF(OR(H676="",I676=""),"",I676-H676)</x:f>
      </x:c>
      <x:c r="K676" s="7" t="str"/>
      <x:c r="L676" s="7" t="str"/>
      <x:c r="M676" s="7" t="str">
        <x:f>IF(L676="","OPEN",IF(OR(NOT(ISNUMBER(H676)),NOT(ISNUMBER(I676)),NOT(ISNUMBER(K676)),ABS(J676)&gt;K676),"FAIL","PASS"))</x:f>
        <x:v>OPEN</x:v>
      </x:c>
    </x:row>
    <x:row r="677">
      <x:c r="B677" s="7" t="str">
        <x:v>CAL-CH-PEA-A-Y2-16-5</x:v>
      </x:c>
      <x:c r="C677" s="7" t="str">
        <x:v>CH-PEA-A-Y2-16-5</x:v>
      </x:c>
      <x:c r="D677" s="7" t="str">
        <x:v>PEA-A-Y2</x:v>
      </x:c>
      <x:c r="E677" s="7" t="str">
        <x:v>BLD-A</x:v>
      </x:c>
      <x:c r="F677" s="7" t="str">
        <x:v>BL-Y</x:v>
      </x:c>
      <x:c r="G677" s="7" t="str">
        <x:v>MF-16</x:v>
      </x:c>
      <x:c r="H677" s="7" t="str"/>
      <x:c r="I677" s="7" t="str"/>
      <x:c r="J677" s="7" t="str">
        <x:f>IF(OR(H677="",I677=""),"",I677-H677)</x:f>
      </x:c>
      <x:c r="K677" s="7" t="str"/>
      <x:c r="L677" s="7" t="str"/>
      <x:c r="M677" s="7" t="str">
        <x:f>IF(L677="","OPEN",IF(OR(NOT(ISNUMBER(H677)),NOT(ISNUMBER(I677)),NOT(ISNUMBER(K677)),ABS(J677)&gt;K677),"FAIL","PASS"))</x:f>
        <x:v>OPEN</x:v>
      </x:c>
    </x:row>
    <x:row r="678">
      <x:c r="B678" s="7" t="str">
        <x:v>CAL-CH-PEA-A-Y2-16-6</x:v>
      </x:c>
      <x:c r="C678" s="7" t="str">
        <x:v>CH-PEA-A-Y2-16-6</x:v>
      </x:c>
      <x:c r="D678" s="7" t="str">
        <x:v>PEA-A-Y2</x:v>
      </x:c>
      <x:c r="E678" s="7" t="str">
        <x:v>BLD-A</x:v>
      </x:c>
      <x:c r="F678" s="7" t="str">
        <x:v>BL-Y</x:v>
      </x:c>
      <x:c r="G678" s="7" t="str">
        <x:v>MF-16</x:v>
      </x:c>
      <x:c r="H678" s="7" t="str"/>
      <x:c r="I678" s="7" t="str"/>
      <x:c r="J678" s="7" t="str">
        <x:f>IF(OR(H678="",I678=""),"",I678-H678)</x:f>
      </x:c>
      <x:c r="K678" s="7" t="str"/>
      <x:c r="L678" s="7" t="str"/>
      <x:c r="M678" s="7" t="str">
        <x:f>IF(L678="","OPEN",IF(OR(NOT(ISNUMBER(H678)),NOT(ISNUMBER(I678)),NOT(ISNUMBER(K678)),ABS(J678)&gt;K678),"FAIL","PASS"))</x:f>
        <x:v>OPEN</x:v>
      </x:c>
    </x:row>
    <x:row r="679">
      <x:c r="B679" s="7" t="str">
        <x:v>CAL-CH-PEA-A-Y2-17-1</x:v>
      </x:c>
      <x:c r="C679" s="7" t="str">
        <x:v>CH-PEA-A-Y2-17-1</x:v>
      </x:c>
      <x:c r="D679" s="7" t="str">
        <x:v>PEA-A-Y2</x:v>
      </x:c>
      <x:c r="E679" s="7" t="str">
        <x:v>BLD-A</x:v>
      </x:c>
      <x:c r="F679" s="7" t="str">
        <x:v>BL-Y</x:v>
      </x:c>
      <x:c r="G679" s="7" t="str">
        <x:v>MF-17</x:v>
      </x:c>
      <x:c r="H679" s="7" t="str"/>
      <x:c r="I679" s="7" t="str"/>
      <x:c r="J679" s="7" t="str">
        <x:f>IF(OR(H679="",I679=""),"",I679-H679)</x:f>
      </x:c>
      <x:c r="K679" s="7" t="str"/>
      <x:c r="L679" s="7" t="str"/>
      <x:c r="M679" s="7" t="str">
        <x:f>IF(L679="","OPEN",IF(OR(NOT(ISNUMBER(H679)),NOT(ISNUMBER(I679)),NOT(ISNUMBER(K679)),ABS(J679)&gt;K679),"FAIL","PASS"))</x:f>
        <x:v>OPEN</x:v>
      </x:c>
    </x:row>
    <x:row r="680">
      <x:c r="B680" s="7" t="str">
        <x:v>CAL-CH-PEA-A-Y2-17-2</x:v>
      </x:c>
      <x:c r="C680" s="7" t="str">
        <x:v>CH-PEA-A-Y2-17-2</x:v>
      </x:c>
      <x:c r="D680" s="7" t="str">
        <x:v>PEA-A-Y2</x:v>
      </x:c>
      <x:c r="E680" s="7" t="str">
        <x:v>BLD-A</x:v>
      </x:c>
      <x:c r="F680" s="7" t="str">
        <x:v>BL-Y</x:v>
      </x:c>
      <x:c r="G680" s="7" t="str">
        <x:v>MF-17</x:v>
      </x:c>
      <x:c r="H680" s="7" t="str"/>
      <x:c r="I680" s="7" t="str"/>
      <x:c r="J680" s="7" t="str">
        <x:f>IF(OR(H680="",I680=""),"",I680-H680)</x:f>
      </x:c>
      <x:c r="K680" s="7" t="str"/>
      <x:c r="L680" s="7" t="str"/>
      <x:c r="M680" s="7" t="str">
        <x:f>IF(L680="","OPEN",IF(OR(NOT(ISNUMBER(H680)),NOT(ISNUMBER(I680)),NOT(ISNUMBER(K680)),ABS(J680)&gt;K680),"FAIL","PASS"))</x:f>
        <x:v>OPEN</x:v>
      </x:c>
    </x:row>
    <x:row r="681">
      <x:c r="B681" s="7" t="str">
        <x:v>CAL-CH-PEA-A-Y2-17-3</x:v>
      </x:c>
      <x:c r="C681" s="7" t="str">
        <x:v>CH-PEA-A-Y2-17-3</x:v>
      </x:c>
      <x:c r="D681" s="7" t="str">
        <x:v>PEA-A-Y2</x:v>
      </x:c>
      <x:c r="E681" s="7" t="str">
        <x:v>BLD-A</x:v>
      </x:c>
      <x:c r="F681" s="7" t="str">
        <x:v>BL-Y</x:v>
      </x:c>
      <x:c r="G681" s="7" t="str">
        <x:v>MF-17</x:v>
      </x:c>
      <x:c r="H681" s="7" t="str"/>
      <x:c r="I681" s="7" t="str"/>
      <x:c r="J681" s="7" t="str">
        <x:f>IF(OR(H681="",I681=""),"",I681-H681)</x:f>
      </x:c>
      <x:c r="K681" s="7" t="str"/>
      <x:c r="L681" s="7" t="str"/>
      <x:c r="M681" s="7" t="str">
        <x:f>IF(L681="","OPEN",IF(OR(NOT(ISNUMBER(H681)),NOT(ISNUMBER(I681)),NOT(ISNUMBER(K681)),ABS(J681)&gt;K681),"FAIL","PASS"))</x:f>
        <x:v>OPEN</x:v>
      </x:c>
    </x:row>
    <x:row r="682">
      <x:c r="B682" s="7" t="str">
        <x:v>CAL-CH-PEA-A-Y2-17-4</x:v>
      </x:c>
      <x:c r="C682" s="7" t="str">
        <x:v>CH-PEA-A-Y2-17-4</x:v>
      </x:c>
      <x:c r="D682" s="7" t="str">
        <x:v>PEA-A-Y2</x:v>
      </x:c>
      <x:c r="E682" s="7" t="str">
        <x:v>BLD-A</x:v>
      </x:c>
      <x:c r="F682" s="7" t="str">
        <x:v>BL-Y</x:v>
      </x:c>
      <x:c r="G682" s="7" t="str">
        <x:v>MF-17</x:v>
      </x:c>
      <x:c r="H682" s="7" t="str"/>
      <x:c r="I682" s="7" t="str"/>
      <x:c r="J682" s="7" t="str">
        <x:f>IF(OR(H682="",I682=""),"",I682-H682)</x:f>
      </x:c>
      <x:c r="K682" s="7" t="str"/>
      <x:c r="L682" s="7" t="str"/>
      <x:c r="M682" s="7" t="str">
        <x:f>IF(L682="","OPEN",IF(OR(NOT(ISNUMBER(H682)),NOT(ISNUMBER(I682)),NOT(ISNUMBER(K682)),ABS(J682)&gt;K682),"FAIL","PASS"))</x:f>
        <x:v>OPEN</x:v>
      </x:c>
    </x:row>
    <x:row r="683">
      <x:c r="B683" s="7" t="str">
        <x:v>CAL-CH-PEA-A-Y2-17-5</x:v>
      </x:c>
      <x:c r="C683" s="7" t="str">
        <x:v>CH-PEA-A-Y2-17-5</x:v>
      </x:c>
      <x:c r="D683" s="7" t="str">
        <x:v>PEA-A-Y2</x:v>
      </x:c>
      <x:c r="E683" s="7" t="str">
        <x:v>BLD-A</x:v>
      </x:c>
      <x:c r="F683" s="7" t="str">
        <x:v>BL-Y</x:v>
      </x:c>
      <x:c r="G683" s="7" t="str">
        <x:v>MF-17</x:v>
      </x:c>
      <x:c r="H683" s="7" t="str"/>
      <x:c r="I683" s="7" t="str"/>
      <x:c r="J683" s="7" t="str">
        <x:f>IF(OR(H683="",I683=""),"",I683-H683)</x:f>
      </x:c>
      <x:c r="K683" s="7" t="str"/>
      <x:c r="L683" s="7" t="str"/>
      <x:c r="M683" s="7" t="str">
        <x:f>IF(L683="","OPEN",IF(OR(NOT(ISNUMBER(H683)),NOT(ISNUMBER(I683)),NOT(ISNUMBER(K683)),ABS(J683)&gt;K683),"FAIL","PASS"))</x:f>
        <x:v>OPEN</x:v>
      </x:c>
    </x:row>
    <x:row r="684">
      <x:c r="B684" s="7" t="str">
        <x:v>CAL-CH-PEA-A-Y2-17-6</x:v>
      </x:c>
      <x:c r="C684" s="7" t="str">
        <x:v>CH-PEA-A-Y2-17-6</x:v>
      </x:c>
      <x:c r="D684" s="7" t="str">
        <x:v>PEA-A-Y2</x:v>
      </x:c>
      <x:c r="E684" s="7" t="str">
        <x:v>BLD-A</x:v>
      </x:c>
      <x:c r="F684" s="7" t="str">
        <x:v>BL-Y</x:v>
      </x:c>
      <x:c r="G684" s="7" t="str">
        <x:v>MF-17</x:v>
      </x:c>
      <x:c r="H684" s="7" t="str"/>
      <x:c r="I684" s="7" t="str"/>
      <x:c r="J684" s="7" t="str">
        <x:f>IF(OR(H684="",I684=""),"",I684-H684)</x:f>
      </x:c>
      <x:c r="K684" s="7" t="str"/>
      <x:c r="L684" s="7" t="str"/>
      <x:c r="M684" s="7" t="str">
        <x:f>IF(L684="","OPEN",IF(OR(NOT(ISNUMBER(H684)),NOT(ISNUMBER(I684)),NOT(ISNUMBER(K684)),ABS(J684)&gt;K684),"FAIL","PASS"))</x:f>
        <x:v>OPEN</x:v>
      </x:c>
    </x:row>
    <x:row r="685">
      <x:c r="B685" s="7" t="str">
        <x:v>CAL-CH-PEA-A-Y2-18-1</x:v>
      </x:c>
      <x:c r="C685" s="7" t="str">
        <x:v>CH-PEA-A-Y2-18-1</x:v>
      </x:c>
      <x:c r="D685" s="7" t="str">
        <x:v>PEA-A-Y2</x:v>
      </x:c>
      <x:c r="E685" s="7" t="str">
        <x:v>BLD-A</x:v>
      </x:c>
      <x:c r="F685" s="7" t="str">
        <x:v>BL-Y</x:v>
      </x:c>
      <x:c r="G685" s="7" t="str">
        <x:v>MF-18</x:v>
      </x:c>
      <x:c r="H685" s="7" t="str"/>
      <x:c r="I685" s="7" t="str"/>
      <x:c r="J685" s="7" t="str">
        <x:f>IF(OR(H685="",I685=""),"",I685-H685)</x:f>
      </x:c>
      <x:c r="K685" s="7" t="str"/>
      <x:c r="L685" s="7" t="str"/>
      <x:c r="M685" s="7" t="str">
        <x:f>IF(L685="","OPEN",IF(OR(NOT(ISNUMBER(H685)),NOT(ISNUMBER(I685)),NOT(ISNUMBER(K685)),ABS(J685)&gt;K685),"FAIL","PASS"))</x:f>
        <x:v>OPEN</x:v>
      </x:c>
    </x:row>
    <x:row r="686">
      <x:c r="B686" s="7" t="str">
        <x:v>CAL-CH-PEA-A-Y2-18-2</x:v>
      </x:c>
      <x:c r="C686" s="7" t="str">
        <x:v>CH-PEA-A-Y2-18-2</x:v>
      </x:c>
      <x:c r="D686" s="7" t="str">
        <x:v>PEA-A-Y2</x:v>
      </x:c>
      <x:c r="E686" s="7" t="str">
        <x:v>BLD-A</x:v>
      </x:c>
      <x:c r="F686" s="7" t="str">
        <x:v>BL-Y</x:v>
      </x:c>
      <x:c r="G686" s="7" t="str">
        <x:v>MF-18</x:v>
      </x:c>
      <x:c r="H686" s="7" t="str"/>
      <x:c r="I686" s="7" t="str"/>
      <x:c r="J686" s="7" t="str">
        <x:f>IF(OR(H686="",I686=""),"",I686-H686)</x:f>
      </x:c>
      <x:c r="K686" s="7" t="str"/>
      <x:c r="L686" s="7" t="str"/>
      <x:c r="M686" s="7" t="str">
        <x:f>IF(L686="","OPEN",IF(OR(NOT(ISNUMBER(H686)),NOT(ISNUMBER(I686)),NOT(ISNUMBER(K686)),ABS(J686)&gt;K686),"FAIL","PASS"))</x:f>
        <x:v>OPEN</x:v>
      </x:c>
    </x:row>
    <x:row r="687">
      <x:c r="B687" s="7" t="str">
        <x:v>CAL-CH-PEA-A-Y2-18-3</x:v>
      </x:c>
      <x:c r="C687" s="7" t="str">
        <x:v>CH-PEA-A-Y2-18-3</x:v>
      </x:c>
      <x:c r="D687" s="7" t="str">
        <x:v>PEA-A-Y2</x:v>
      </x:c>
      <x:c r="E687" s="7" t="str">
        <x:v>BLD-A</x:v>
      </x:c>
      <x:c r="F687" s="7" t="str">
        <x:v>BL-Y</x:v>
      </x:c>
      <x:c r="G687" s="7" t="str">
        <x:v>MF-18</x:v>
      </x:c>
      <x:c r="H687" s="7" t="str"/>
      <x:c r="I687" s="7" t="str"/>
      <x:c r="J687" s="7" t="str">
        <x:f>IF(OR(H687="",I687=""),"",I687-H687)</x:f>
      </x:c>
      <x:c r="K687" s="7" t="str"/>
      <x:c r="L687" s="7" t="str"/>
      <x:c r="M687" s="7" t="str">
        <x:f>IF(L687="","OPEN",IF(OR(NOT(ISNUMBER(H687)),NOT(ISNUMBER(I687)),NOT(ISNUMBER(K687)),ABS(J687)&gt;K687),"FAIL","PASS"))</x:f>
        <x:v>OPEN</x:v>
      </x:c>
    </x:row>
    <x:row r="688">
      <x:c r="B688" s="7" t="str">
        <x:v>CAL-CH-PEA-A-Y2-18-4</x:v>
      </x:c>
      <x:c r="C688" s="7" t="str">
        <x:v>CH-PEA-A-Y2-18-4</x:v>
      </x:c>
      <x:c r="D688" s="7" t="str">
        <x:v>PEA-A-Y2</x:v>
      </x:c>
      <x:c r="E688" s="7" t="str">
        <x:v>BLD-A</x:v>
      </x:c>
      <x:c r="F688" s="7" t="str">
        <x:v>BL-Y</x:v>
      </x:c>
      <x:c r="G688" s="7" t="str">
        <x:v>MF-18</x:v>
      </x:c>
      <x:c r="H688" s="7" t="str"/>
      <x:c r="I688" s="7" t="str"/>
      <x:c r="J688" s="7" t="str">
        <x:f>IF(OR(H688="",I688=""),"",I688-H688)</x:f>
      </x:c>
      <x:c r="K688" s="7" t="str"/>
      <x:c r="L688" s="7" t="str"/>
      <x:c r="M688" s="7" t="str">
        <x:f>IF(L688="","OPEN",IF(OR(NOT(ISNUMBER(H688)),NOT(ISNUMBER(I688)),NOT(ISNUMBER(K688)),ABS(J688)&gt;K688),"FAIL","PASS"))</x:f>
        <x:v>OPEN</x:v>
      </x:c>
    </x:row>
    <x:row r="689">
      <x:c r="B689" s="7" t="str">
        <x:v>CAL-CH-PEA-A-Y2-18-5</x:v>
      </x:c>
      <x:c r="C689" s="7" t="str">
        <x:v>CH-PEA-A-Y2-18-5</x:v>
      </x:c>
      <x:c r="D689" s="7" t="str">
        <x:v>PEA-A-Y2</x:v>
      </x:c>
      <x:c r="E689" s="7" t="str">
        <x:v>BLD-A</x:v>
      </x:c>
      <x:c r="F689" s="7" t="str">
        <x:v>BL-Y</x:v>
      </x:c>
      <x:c r="G689" s="7" t="str">
        <x:v>MF-18</x:v>
      </x:c>
      <x:c r="H689" s="7" t="str"/>
      <x:c r="I689" s="7" t="str"/>
      <x:c r="J689" s="7" t="str">
        <x:f>IF(OR(H689="",I689=""),"",I689-H689)</x:f>
      </x:c>
      <x:c r="K689" s="7" t="str"/>
      <x:c r="L689" s="7" t="str"/>
      <x:c r="M689" s="7" t="str">
        <x:f>IF(L689="","OPEN",IF(OR(NOT(ISNUMBER(H689)),NOT(ISNUMBER(I689)),NOT(ISNUMBER(K689)),ABS(J689)&gt;K689),"FAIL","PASS"))</x:f>
        <x:v>OPEN</x:v>
      </x:c>
    </x:row>
    <x:row r="690">
      <x:c r="B690" s="7" t="str">
        <x:v>CAL-CH-PEA-A-Y2-18-6</x:v>
      </x:c>
      <x:c r="C690" s="7" t="str">
        <x:v>CH-PEA-A-Y2-18-6</x:v>
      </x:c>
      <x:c r="D690" s="7" t="str">
        <x:v>PEA-A-Y2</x:v>
      </x:c>
      <x:c r="E690" s="7" t="str">
        <x:v>BLD-A</x:v>
      </x:c>
      <x:c r="F690" s="7" t="str">
        <x:v>BL-Y</x:v>
      </x:c>
      <x:c r="G690" s="7" t="str">
        <x:v>MF-18</x:v>
      </x:c>
      <x:c r="H690" s="7" t="str"/>
      <x:c r="I690" s="7" t="str"/>
      <x:c r="J690" s="7" t="str">
        <x:f>IF(OR(H690="",I690=""),"",I690-H690)</x:f>
      </x:c>
      <x:c r="K690" s="7" t="str"/>
      <x:c r="L690" s="7" t="str"/>
      <x:c r="M690" s="7" t="str">
        <x:f>IF(L690="","OPEN",IF(OR(NOT(ISNUMBER(H690)),NOT(ISNUMBER(I690)),NOT(ISNUMBER(K690)),ABS(J690)&gt;K690),"FAIL","PASS"))</x:f>
        <x:v>OPEN</x:v>
      </x:c>
    </x:row>
    <x:row r="691">
      <x:c r="B691" s="7" t="str">
        <x:v>CAL-CH-PEA-A-Y2-19-1</x:v>
      </x:c>
      <x:c r="C691" s="7" t="str">
        <x:v>CH-PEA-A-Y2-19-1</x:v>
      </x:c>
      <x:c r="D691" s="7" t="str">
        <x:v>PEA-A-Y2</x:v>
      </x:c>
      <x:c r="E691" s="7" t="str">
        <x:v>BLD-A</x:v>
      </x:c>
      <x:c r="F691" s="7" t="str">
        <x:v>BL-Y</x:v>
      </x:c>
      <x:c r="G691" s="7" t="str">
        <x:v>MF-19</x:v>
      </x:c>
      <x:c r="H691" s="7" t="str"/>
      <x:c r="I691" s="7" t="str"/>
      <x:c r="J691" s="7" t="str">
        <x:f>IF(OR(H691="",I691=""),"",I691-H691)</x:f>
      </x:c>
      <x:c r="K691" s="7" t="str"/>
      <x:c r="L691" s="7" t="str"/>
      <x:c r="M691" s="7" t="str">
        <x:f>IF(L691="","OPEN",IF(OR(NOT(ISNUMBER(H691)),NOT(ISNUMBER(I691)),NOT(ISNUMBER(K691)),ABS(J691)&gt;K691),"FAIL","PASS"))</x:f>
        <x:v>OPEN</x:v>
      </x:c>
    </x:row>
    <x:row r="692">
      <x:c r="B692" s="7" t="str">
        <x:v>CAL-CH-PEA-A-Y2-19-2</x:v>
      </x:c>
      <x:c r="C692" s="7" t="str">
        <x:v>CH-PEA-A-Y2-19-2</x:v>
      </x:c>
      <x:c r="D692" s="7" t="str">
        <x:v>PEA-A-Y2</x:v>
      </x:c>
      <x:c r="E692" s="7" t="str">
        <x:v>BLD-A</x:v>
      </x:c>
      <x:c r="F692" s="7" t="str">
        <x:v>BL-Y</x:v>
      </x:c>
      <x:c r="G692" s="7" t="str">
        <x:v>MF-19</x:v>
      </x:c>
      <x:c r="H692" s="7" t="str"/>
      <x:c r="I692" s="7" t="str"/>
      <x:c r="J692" s="7" t="str">
        <x:f>IF(OR(H692="",I692=""),"",I692-H692)</x:f>
      </x:c>
      <x:c r="K692" s="7" t="str"/>
      <x:c r="L692" s="7" t="str"/>
      <x:c r="M692" s="7" t="str">
        <x:f>IF(L692="","OPEN",IF(OR(NOT(ISNUMBER(H692)),NOT(ISNUMBER(I692)),NOT(ISNUMBER(K692)),ABS(J692)&gt;K692),"FAIL","PASS"))</x:f>
        <x:v>OPEN</x:v>
      </x:c>
    </x:row>
    <x:row r="693">
      <x:c r="B693" s="7" t="str">
        <x:v>CAL-CH-PEA-A-Y2-19-3</x:v>
      </x:c>
      <x:c r="C693" s="7" t="str">
        <x:v>CH-PEA-A-Y2-19-3</x:v>
      </x:c>
      <x:c r="D693" s="7" t="str">
        <x:v>PEA-A-Y2</x:v>
      </x:c>
      <x:c r="E693" s="7" t="str">
        <x:v>BLD-A</x:v>
      </x:c>
      <x:c r="F693" s="7" t="str">
        <x:v>BL-Y</x:v>
      </x:c>
      <x:c r="G693" s="7" t="str">
        <x:v>MF-19</x:v>
      </x:c>
      <x:c r="H693" s="7" t="str"/>
      <x:c r="I693" s="7" t="str"/>
      <x:c r="J693" s="7" t="str">
        <x:f>IF(OR(H693="",I693=""),"",I693-H693)</x:f>
      </x:c>
      <x:c r="K693" s="7" t="str"/>
      <x:c r="L693" s="7" t="str"/>
      <x:c r="M693" s="7" t="str">
        <x:f>IF(L693="","OPEN",IF(OR(NOT(ISNUMBER(H693)),NOT(ISNUMBER(I693)),NOT(ISNUMBER(K693)),ABS(J693)&gt;K693),"FAIL","PASS"))</x:f>
        <x:v>OPEN</x:v>
      </x:c>
    </x:row>
    <x:row r="694">
      <x:c r="B694" s="7" t="str">
        <x:v>CAL-CH-PEA-A-Y2-19-4</x:v>
      </x:c>
      <x:c r="C694" s="7" t="str">
        <x:v>CH-PEA-A-Y2-19-4</x:v>
      </x:c>
      <x:c r="D694" s="7" t="str">
        <x:v>PEA-A-Y2</x:v>
      </x:c>
      <x:c r="E694" s="7" t="str">
        <x:v>BLD-A</x:v>
      </x:c>
      <x:c r="F694" s="7" t="str">
        <x:v>BL-Y</x:v>
      </x:c>
      <x:c r="G694" s="7" t="str">
        <x:v>MF-19</x:v>
      </x:c>
      <x:c r="H694" s="7" t="str"/>
      <x:c r="I694" s="7" t="str"/>
      <x:c r="J694" s="7" t="str">
        <x:f>IF(OR(H694="",I694=""),"",I694-H694)</x:f>
      </x:c>
      <x:c r="K694" s="7" t="str"/>
      <x:c r="L694" s="7" t="str"/>
      <x:c r="M694" s="7" t="str">
        <x:f>IF(L694="","OPEN",IF(OR(NOT(ISNUMBER(H694)),NOT(ISNUMBER(I694)),NOT(ISNUMBER(K694)),ABS(J694)&gt;K694),"FAIL","PASS"))</x:f>
        <x:v>OPEN</x:v>
      </x:c>
    </x:row>
    <x:row r="695">
      <x:c r="B695" s="7" t="str">
        <x:v>CAL-CH-PEA-A-Y2-19-5</x:v>
      </x:c>
      <x:c r="C695" s="7" t="str">
        <x:v>CH-PEA-A-Y2-19-5</x:v>
      </x:c>
      <x:c r="D695" s="7" t="str">
        <x:v>PEA-A-Y2</x:v>
      </x:c>
      <x:c r="E695" s="7" t="str">
        <x:v>BLD-A</x:v>
      </x:c>
      <x:c r="F695" s="7" t="str">
        <x:v>BL-Y</x:v>
      </x:c>
      <x:c r="G695" s="7" t="str">
        <x:v>MF-19</x:v>
      </x:c>
      <x:c r="H695" s="7" t="str"/>
      <x:c r="I695" s="7" t="str"/>
      <x:c r="J695" s="7" t="str">
        <x:f>IF(OR(H695="",I695=""),"",I695-H695)</x:f>
      </x:c>
      <x:c r="K695" s="7" t="str"/>
      <x:c r="L695" s="7" t="str"/>
      <x:c r="M695" s="7" t="str">
        <x:f>IF(L695="","OPEN",IF(OR(NOT(ISNUMBER(H695)),NOT(ISNUMBER(I695)),NOT(ISNUMBER(K695)),ABS(J695)&gt;K695),"FAIL","PASS"))</x:f>
        <x:v>OPEN</x:v>
      </x:c>
    </x:row>
    <x:row r="696">
      <x:c r="B696" s="7" t="str">
        <x:v>CAL-CH-PEA-A-Y2-19-6</x:v>
      </x:c>
      <x:c r="C696" s="7" t="str">
        <x:v>CH-PEA-A-Y2-19-6</x:v>
      </x:c>
      <x:c r="D696" s="7" t="str">
        <x:v>PEA-A-Y2</x:v>
      </x:c>
      <x:c r="E696" s="7" t="str">
        <x:v>BLD-A</x:v>
      </x:c>
      <x:c r="F696" s="7" t="str">
        <x:v>BL-Y</x:v>
      </x:c>
      <x:c r="G696" s="7" t="str">
        <x:v>MF-19</x:v>
      </x:c>
      <x:c r="H696" s="7" t="str"/>
      <x:c r="I696" s="7" t="str"/>
      <x:c r="J696" s="7" t="str">
        <x:f>IF(OR(H696="",I696=""),"",I696-H696)</x:f>
      </x:c>
      <x:c r="K696" s="7" t="str"/>
      <x:c r="L696" s="7" t="str"/>
      <x:c r="M696" s="7" t="str">
        <x:f>IF(L696="","OPEN",IF(OR(NOT(ISNUMBER(H696)),NOT(ISNUMBER(I696)),NOT(ISNUMBER(K696)),ABS(J696)&gt;K696),"FAIL","PASS"))</x:f>
        <x:v>OPEN</x:v>
      </x:c>
    </x:row>
    <x:row r="697">
      <x:c r="B697" s="7" t="str">
        <x:v>CAL-CH-PEA-A-Y2-20-1</x:v>
      </x:c>
      <x:c r="C697" s="7" t="str">
        <x:v>CH-PEA-A-Y2-20-1</x:v>
      </x:c>
      <x:c r="D697" s="7" t="str">
        <x:v>PEA-A-Y2</x:v>
      </x:c>
      <x:c r="E697" s="7" t="str">
        <x:v>BLD-A</x:v>
      </x:c>
      <x:c r="F697" s="7" t="str">
        <x:v>BL-Y</x:v>
      </x:c>
      <x:c r="G697" s="7" t="str">
        <x:v>MF-20</x:v>
      </x:c>
      <x:c r="H697" s="7" t="str"/>
      <x:c r="I697" s="7" t="str"/>
      <x:c r="J697" s="7" t="str">
        <x:f>IF(OR(H697="",I697=""),"",I697-H697)</x:f>
      </x:c>
      <x:c r="K697" s="7" t="str"/>
      <x:c r="L697" s="7" t="str"/>
      <x:c r="M697" s="7" t="str">
        <x:f>IF(L697="","OPEN",IF(OR(NOT(ISNUMBER(H697)),NOT(ISNUMBER(I697)),NOT(ISNUMBER(K697)),ABS(J697)&gt;K697),"FAIL","PASS"))</x:f>
        <x:v>OPEN</x:v>
      </x:c>
    </x:row>
    <x:row r="698">
      <x:c r="B698" s="7" t="str">
        <x:v>CAL-CH-PEA-A-Y2-20-2</x:v>
      </x:c>
      <x:c r="C698" s="7" t="str">
        <x:v>CH-PEA-A-Y2-20-2</x:v>
      </x:c>
      <x:c r="D698" s="7" t="str">
        <x:v>PEA-A-Y2</x:v>
      </x:c>
      <x:c r="E698" s="7" t="str">
        <x:v>BLD-A</x:v>
      </x:c>
      <x:c r="F698" s="7" t="str">
        <x:v>BL-Y</x:v>
      </x:c>
      <x:c r="G698" s="7" t="str">
        <x:v>MF-20</x:v>
      </x:c>
      <x:c r="H698" s="7" t="str"/>
      <x:c r="I698" s="7" t="str"/>
      <x:c r="J698" s="7" t="str">
        <x:f>IF(OR(H698="",I698=""),"",I698-H698)</x:f>
      </x:c>
      <x:c r="K698" s="7" t="str"/>
      <x:c r="L698" s="7" t="str"/>
      <x:c r="M698" s="7" t="str">
        <x:f>IF(L698="","OPEN",IF(OR(NOT(ISNUMBER(H698)),NOT(ISNUMBER(I698)),NOT(ISNUMBER(K698)),ABS(J698)&gt;K698),"FAIL","PASS"))</x:f>
        <x:v>OPEN</x:v>
      </x:c>
    </x:row>
    <x:row r="699">
      <x:c r="B699" s="7" t="str">
        <x:v>CAL-CH-PEA-A-Y2-20-3</x:v>
      </x:c>
      <x:c r="C699" s="7" t="str">
        <x:v>CH-PEA-A-Y2-20-3</x:v>
      </x:c>
      <x:c r="D699" s="7" t="str">
        <x:v>PEA-A-Y2</x:v>
      </x:c>
      <x:c r="E699" s="7" t="str">
        <x:v>BLD-A</x:v>
      </x:c>
      <x:c r="F699" s="7" t="str">
        <x:v>BL-Y</x:v>
      </x:c>
      <x:c r="G699" s="7" t="str">
        <x:v>MF-20</x:v>
      </x:c>
      <x:c r="H699" s="7" t="str"/>
      <x:c r="I699" s="7" t="str"/>
      <x:c r="J699" s="7" t="str">
        <x:f>IF(OR(H699="",I699=""),"",I699-H699)</x:f>
      </x:c>
      <x:c r="K699" s="7" t="str"/>
      <x:c r="L699" s="7" t="str"/>
      <x:c r="M699" s="7" t="str">
        <x:f>IF(L699="","OPEN",IF(OR(NOT(ISNUMBER(H699)),NOT(ISNUMBER(I699)),NOT(ISNUMBER(K699)),ABS(J699)&gt;K699),"FAIL","PASS"))</x:f>
        <x:v>OPEN</x:v>
      </x:c>
    </x:row>
    <x:row r="700">
      <x:c r="B700" s="7" t="str">
        <x:v>CAL-CH-PEA-A-Y2-20-4</x:v>
      </x:c>
      <x:c r="C700" s="7" t="str">
        <x:v>CH-PEA-A-Y2-20-4</x:v>
      </x:c>
      <x:c r="D700" s="7" t="str">
        <x:v>PEA-A-Y2</x:v>
      </x:c>
      <x:c r="E700" s="7" t="str">
        <x:v>BLD-A</x:v>
      </x:c>
      <x:c r="F700" s="7" t="str">
        <x:v>BL-Y</x:v>
      </x:c>
      <x:c r="G700" s="7" t="str">
        <x:v>MF-20</x:v>
      </x:c>
      <x:c r="H700" s="7" t="str"/>
      <x:c r="I700" s="7" t="str"/>
      <x:c r="J700" s="7" t="str">
        <x:f>IF(OR(H700="",I700=""),"",I700-H700)</x:f>
      </x:c>
      <x:c r="K700" s="7" t="str"/>
      <x:c r="L700" s="7" t="str"/>
      <x:c r="M700" s="7" t="str">
        <x:f>IF(L700="","OPEN",IF(OR(NOT(ISNUMBER(H700)),NOT(ISNUMBER(I700)),NOT(ISNUMBER(K700)),ABS(J700)&gt;K700),"FAIL","PASS"))</x:f>
        <x:v>OPEN</x:v>
      </x:c>
    </x:row>
    <x:row r="701">
      <x:c r="B701" s="7" t="str">
        <x:v>CAL-CH-PEA-A-Y2-20-5</x:v>
      </x:c>
      <x:c r="C701" s="7" t="str">
        <x:v>CH-PEA-A-Y2-20-5</x:v>
      </x:c>
      <x:c r="D701" s="7" t="str">
        <x:v>PEA-A-Y2</x:v>
      </x:c>
      <x:c r="E701" s="7" t="str">
        <x:v>BLD-A</x:v>
      </x:c>
      <x:c r="F701" s="7" t="str">
        <x:v>BL-Y</x:v>
      </x:c>
      <x:c r="G701" s="7" t="str">
        <x:v>MF-20</x:v>
      </x:c>
      <x:c r="H701" s="7" t="str"/>
      <x:c r="I701" s="7" t="str"/>
      <x:c r="J701" s="7" t="str">
        <x:f>IF(OR(H701="",I701=""),"",I701-H701)</x:f>
      </x:c>
      <x:c r="K701" s="7" t="str"/>
      <x:c r="L701" s="7" t="str"/>
      <x:c r="M701" s="7" t="str">
        <x:f>IF(L701="","OPEN",IF(OR(NOT(ISNUMBER(H701)),NOT(ISNUMBER(I701)),NOT(ISNUMBER(K701)),ABS(J701)&gt;K701),"FAIL","PASS"))</x:f>
        <x:v>OPEN</x:v>
      </x:c>
    </x:row>
    <x:row r="702">
      <x:c r="B702" s="7" t="str">
        <x:v>CAL-CH-PEA-A-Y2-20-6</x:v>
      </x:c>
      <x:c r="C702" s="7" t="str">
        <x:v>CH-PEA-A-Y2-20-6</x:v>
      </x:c>
      <x:c r="D702" s="7" t="str">
        <x:v>PEA-A-Y2</x:v>
      </x:c>
      <x:c r="E702" s="7" t="str">
        <x:v>BLD-A</x:v>
      </x:c>
      <x:c r="F702" s="7" t="str">
        <x:v>BL-Y</x:v>
      </x:c>
      <x:c r="G702" s="7" t="str">
        <x:v>MF-20</x:v>
      </x:c>
      <x:c r="H702" s="7" t="str"/>
      <x:c r="I702" s="7" t="str"/>
      <x:c r="J702" s="7" t="str">
        <x:f>IF(OR(H702="",I702=""),"",I702-H702)</x:f>
      </x:c>
      <x:c r="K702" s="7" t="str"/>
      <x:c r="L702" s="7" t="str"/>
      <x:c r="M702" s="7" t="str">
        <x:f>IF(L702="","OPEN",IF(OR(NOT(ISNUMBER(H702)),NOT(ISNUMBER(I702)),NOT(ISNUMBER(K702)),ABS(J702)&gt;K702),"FAIL","PASS"))</x:f>
        <x:v>OPEN</x:v>
      </x:c>
    </x:row>
    <x:row r="703">
      <x:c r="B703" s="7" t="str">
        <x:v>CAL-CH-PEA-A-Y2-21-1</x:v>
      </x:c>
      <x:c r="C703" s="7" t="str">
        <x:v>CH-PEA-A-Y2-21-1</x:v>
      </x:c>
      <x:c r="D703" s="7" t="str">
        <x:v>PEA-A-Y2</x:v>
      </x:c>
      <x:c r="E703" s="7" t="str">
        <x:v>BLD-A</x:v>
      </x:c>
      <x:c r="F703" s="7" t="str">
        <x:v>BL-Y</x:v>
      </x:c>
      <x:c r="G703" s="7" t="str">
        <x:v>MF-21</x:v>
      </x:c>
      <x:c r="H703" s="7" t="str"/>
      <x:c r="I703" s="7" t="str"/>
      <x:c r="J703" s="7" t="str">
        <x:f>IF(OR(H703="",I703=""),"",I703-H703)</x:f>
      </x:c>
      <x:c r="K703" s="7" t="str"/>
      <x:c r="L703" s="7" t="str"/>
      <x:c r="M703" s="7" t="str">
        <x:f>IF(L703="","OPEN",IF(OR(NOT(ISNUMBER(H703)),NOT(ISNUMBER(I703)),NOT(ISNUMBER(K703)),ABS(J703)&gt;K703),"FAIL","PASS"))</x:f>
        <x:v>OPEN</x:v>
      </x:c>
    </x:row>
    <x:row r="704">
      <x:c r="B704" s="7" t="str">
        <x:v>CAL-CH-PEA-A-Y2-21-2</x:v>
      </x:c>
      <x:c r="C704" s="7" t="str">
        <x:v>CH-PEA-A-Y2-21-2</x:v>
      </x:c>
      <x:c r="D704" s="7" t="str">
        <x:v>PEA-A-Y2</x:v>
      </x:c>
      <x:c r="E704" s="7" t="str">
        <x:v>BLD-A</x:v>
      </x:c>
      <x:c r="F704" s="7" t="str">
        <x:v>BL-Y</x:v>
      </x:c>
      <x:c r="G704" s="7" t="str">
        <x:v>MF-21</x:v>
      </x:c>
      <x:c r="H704" s="7" t="str"/>
      <x:c r="I704" s="7" t="str"/>
      <x:c r="J704" s="7" t="str">
        <x:f>IF(OR(H704="",I704=""),"",I704-H704)</x:f>
      </x:c>
      <x:c r="K704" s="7" t="str"/>
      <x:c r="L704" s="7" t="str"/>
      <x:c r="M704" s="7" t="str">
        <x:f>IF(L704="","OPEN",IF(OR(NOT(ISNUMBER(H704)),NOT(ISNUMBER(I704)),NOT(ISNUMBER(K704)),ABS(J704)&gt;K704),"FAIL","PASS"))</x:f>
        <x:v>OPEN</x:v>
      </x:c>
    </x:row>
    <x:row r="705">
      <x:c r="B705" s="7" t="str">
        <x:v>CAL-CH-PEA-A-Y2-21-3</x:v>
      </x:c>
      <x:c r="C705" s="7" t="str">
        <x:v>CH-PEA-A-Y2-21-3</x:v>
      </x:c>
      <x:c r="D705" s="7" t="str">
        <x:v>PEA-A-Y2</x:v>
      </x:c>
      <x:c r="E705" s="7" t="str">
        <x:v>BLD-A</x:v>
      </x:c>
      <x:c r="F705" s="7" t="str">
        <x:v>BL-Y</x:v>
      </x:c>
      <x:c r="G705" s="7" t="str">
        <x:v>MF-21</x:v>
      </x:c>
      <x:c r="H705" s="7" t="str"/>
      <x:c r="I705" s="7" t="str"/>
      <x:c r="J705" s="7" t="str">
        <x:f>IF(OR(H705="",I705=""),"",I705-H705)</x:f>
      </x:c>
      <x:c r="K705" s="7" t="str"/>
      <x:c r="L705" s="7" t="str"/>
      <x:c r="M705" s="7" t="str">
        <x:f>IF(L705="","OPEN",IF(OR(NOT(ISNUMBER(H705)),NOT(ISNUMBER(I705)),NOT(ISNUMBER(K705)),ABS(J705)&gt;K705),"FAIL","PASS"))</x:f>
        <x:v>OPEN</x:v>
      </x:c>
    </x:row>
    <x:row r="706">
      <x:c r="B706" s="7" t="str">
        <x:v>CAL-CH-PEA-A-Y2-21-4</x:v>
      </x:c>
      <x:c r="C706" s="7" t="str">
        <x:v>CH-PEA-A-Y2-21-4</x:v>
      </x:c>
      <x:c r="D706" s="7" t="str">
        <x:v>PEA-A-Y2</x:v>
      </x:c>
      <x:c r="E706" s="7" t="str">
        <x:v>BLD-A</x:v>
      </x:c>
      <x:c r="F706" s="7" t="str">
        <x:v>BL-Y</x:v>
      </x:c>
      <x:c r="G706" s="7" t="str">
        <x:v>MF-21</x:v>
      </x:c>
      <x:c r="H706" s="7" t="str"/>
      <x:c r="I706" s="7" t="str"/>
      <x:c r="J706" s="7" t="str">
        <x:f>IF(OR(H706="",I706=""),"",I706-H706)</x:f>
      </x:c>
      <x:c r="K706" s="7" t="str"/>
      <x:c r="L706" s="7" t="str"/>
      <x:c r="M706" s="7" t="str">
        <x:f>IF(L706="","OPEN",IF(OR(NOT(ISNUMBER(H706)),NOT(ISNUMBER(I706)),NOT(ISNUMBER(K706)),ABS(J706)&gt;K706),"FAIL","PASS"))</x:f>
        <x:v>OPEN</x:v>
      </x:c>
    </x:row>
    <x:row r="707">
      <x:c r="B707" s="7" t="str">
        <x:v>CAL-CH-PEA-A-Y2-21-5</x:v>
      </x:c>
      <x:c r="C707" s="7" t="str">
        <x:v>CH-PEA-A-Y2-21-5</x:v>
      </x:c>
      <x:c r="D707" s="7" t="str">
        <x:v>PEA-A-Y2</x:v>
      </x:c>
      <x:c r="E707" s="7" t="str">
        <x:v>BLD-A</x:v>
      </x:c>
      <x:c r="F707" s="7" t="str">
        <x:v>BL-Y</x:v>
      </x:c>
      <x:c r="G707" s="7" t="str">
        <x:v>MF-21</x:v>
      </x:c>
      <x:c r="H707" s="7" t="str"/>
      <x:c r="I707" s="7" t="str"/>
      <x:c r="J707" s="7" t="str">
        <x:f>IF(OR(H707="",I707=""),"",I707-H707)</x:f>
      </x:c>
      <x:c r="K707" s="7" t="str"/>
      <x:c r="L707" s="7" t="str"/>
      <x:c r="M707" s="7" t="str">
        <x:f>IF(L707="","OPEN",IF(OR(NOT(ISNUMBER(H707)),NOT(ISNUMBER(I707)),NOT(ISNUMBER(K707)),ABS(J707)&gt;K707),"FAIL","PASS"))</x:f>
        <x:v>OPEN</x:v>
      </x:c>
    </x:row>
    <x:row r="708">
      <x:c r="B708" s="7" t="str">
        <x:v>CAL-CH-PEA-A-Y2-21-6</x:v>
      </x:c>
      <x:c r="C708" s="7" t="str">
        <x:v>CH-PEA-A-Y2-21-6</x:v>
      </x:c>
      <x:c r="D708" s="7" t="str">
        <x:v>PEA-A-Y2</x:v>
      </x:c>
      <x:c r="E708" s="7" t="str">
        <x:v>BLD-A</x:v>
      </x:c>
      <x:c r="F708" s="7" t="str">
        <x:v>BL-Y</x:v>
      </x:c>
      <x:c r="G708" s="7" t="str">
        <x:v>MF-21</x:v>
      </x:c>
      <x:c r="H708" s="7" t="str"/>
      <x:c r="I708" s="7" t="str"/>
      <x:c r="J708" s="7" t="str">
        <x:f>IF(OR(H708="",I708=""),"",I708-H708)</x:f>
      </x:c>
      <x:c r="K708" s="7" t="str"/>
      <x:c r="L708" s="7" t="str"/>
      <x:c r="M708" s="7" t="str">
        <x:f>IF(L708="","OPEN",IF(OR(NOT(ISNUMBER(H708)),NOT(ISNUMBER(I708)),NOT(ISNUMBER(K708)),ABS(J708)&gt;K708),"FAIL","PASS"))</x:f>
        <x:v>OPEN</x:v>
      </x:c>
    </x:row>
    <x:row r="709">
      <x:c r="B709" s="7" t="str">
        <x:v>CAL-CH-PEA-A-Y2-22-1</x:v>
      </x:c>
      <x:c r="C709" s="7" t="str">
        <x:v>CH-PEA-A-Y2-22-1</x:v>
      </x:c>
      <x:c r="D709" s="7" t="str">
        <x:v>PEA-A-Y2</x:v>
      </x:c>
      <x:c r="E709" s="7" t="str">
        <x:v>BLD-A</x:v>
      </x:c>
      <x:c r="F709" s="7" t="str">
        <x:v>BL-Y</x:v>
      </x:c>
      <x:c r="G709" s="7" t="str">
        <x:v>MF-22</x:v>
      </x:c>
      <x:c r="H709" s="7" t="str"/>
      <x:c r="I709" s="7" t="str"/>
      <x:c r="J709" s="7" t="str">
        <x:f>IF(OR(H709="",I709=""),"",I709-H709)</x:f>
      </x:c>
      <x:c r="K709" s="7" t="str"/>
      <x:c r="L709" s="7" t="str"/>
      <x:c r="M709" s="7" t="str">
        <x:f>IF(L709="","OPEN",IF(OR(NOT(ISNUMBER(H709)),NOT(ISNUMBER(I709)),NOT(ISNUMBER(K709)),ABS(J709)&gt;K709),"FAIL","PASS"))</x:f>
        <x:v>OPEN</x:v>
      </x:c>
    </x:row>
    <x:row r="710">
      <x:c r="B710" s="7" t="str">
        <x:v>CAL-CH-PEA-A-Y2-22-2</x:v>
      </x:c>
      <x:c r="C710" s="7" t="str">
        <x:v>CH-PEA-A-Y2-22-2</x:v>
      </x:c>
      <x:c r="D710" s="7" t="str">
        <x:v>PEA-A-Y2</x:v>
      </x:c>
      <x:c r="E710" s="7" t="str">
        <x:v>BLD-A</x:v>
      </x:c>
      <x:c r="F710" s="7" t="str">
        <x:v>BL-Y</x:v>
      </x:c>
      <x:c r="G710" s="7" t="str">
        <x:v>MF-22</x:v>
      </x:c>
      <x:c r="H710" s="7" t="str"/>
      <x:c r="I710" s="7" t="str"/>
      <x:c r="J710" s="7" t="str">
        <x:f>IF(OR(H710="",I710=""),"",I710-H710)</x:f>
      </x:c>
      <x:c r="K710" s="7" t="str"/>
      <x:c r="L710" s="7" t="str"/>
      <x:c r="M710" s="7" t="str">
        <x:f>IF(L710="","OPEN",IF(OR(NOT(ISNUMBER(H710)),NOT(ISNUMBER(I710)),NOT(ISNUMBER(K710)),ABS(J710)&gt;K710),"FAIL","PASS"))</x:f>
        <x:v>OPEN</x:v>
      </x:c>
    </x:row>
    <x:row r="711">
      <x:c r="B711" s="7" t="str">
        <x:v>CAL-CH-PEA-A-Y2-22-3</x:v>
      </x:c>
      <x:c r="C711" s="7" t="str">
        <x:v>CH-PEA-A-Y2-22-3</x:v>
      </x:c>
      <x:c r="D711" s="7" t="str">
        <x:v>PEA-A-Y2</x:v>
      </x:c>
      <x:c r="E711" s="7" t="str">
        <x:v>BLD-A</x:v>
      </x:c>
      <x:c r="F711" s="7" t="str">
        <x:v>BL-Y</x:v>
      </x:c>
      <x:c r="G711" s="7" t="str">
        <x:v>MF-22</x:v>
      </x:c>
      <x:c r="H711" s="7" t="str"/>
      <x:c r="I711" s="7" t="str"/>
      <x:c r="J711" s="7" t="str">
        <x:f>IF(OR(H711="",I711=""),"",I711-H711)</x:f>
      </x:c>
      <x:c r="K711" s="7" t="str"/>
      <x:c r="L711" s="7" t="str"/>
      <x:c r="M711" s="7" t="str">
        <x:f>IF(L711="","OPEN",IF(OR(NOT(ISNUMBER(H711)),NOT(ISNUMBER(I711)),NOT(ISNUMBER(K711)),ABS(J711)&gt;K711),"FAIL","PASS"))</x:f>
        <x:v>OPEN</x:v>
      </x:c>
    </x:row>
    <x:row r="712">
      <x:c r="B712" s="7" t="str">
        <x:v>CAL-CH-PEA-A-Y2-22-4</x:v>
      </x:c>
      <x:c r="C712" s="7" t="str">
        <x:v>CH-PEA-A-Y2-22-4</x:v>
      </x:c>
      <x:c r="D712" s="7" t="str">
        <x:v>PEA-A-Y2</x:v>
      </x:c>
      <x:c r="E712" s="7" t="str">
        <x:v>BLD-A</x:v>
      </x:c>
      <x:c r="F712" s="7" t="str">
        <x:v>BL-Y</x:v>
      </x:c>
      <x:c r="G712" s="7" t="str">
        <x:v>MF-22</x:v>
      </x:c>
      <x:c r="H712" s="7" t="str"/>
      <x:c r="I712" s="7" t="str"/>
      <x:c r="J712" s="7" t="str">
        <x:f>IF(OR(H712="",I712=""),"",I712-H712)</x:f>
      </x:c>
      <x:c r="K712" s="7" t="str"/>
      <x:c r="L712" s="7" t="str"/>
      <x:c r="M712" s="7" t="str">
        <x:f>IF(L712="","OPEN",IF(OR(NOT(ISNUMBER(H712)),NOT(ISNUMBER(I712)),NOT(ISNUMBER(K712)),ABS(J712)&gt;K712),"FAIL","PASS"))</x:f>
        <x:v>OPEN</x:v>
      </x:c>
    </x:row>
    <x:row r="713">
      <x:c r="B713" s="7" t="str">
        <x:v>CAL-CH-PEA-A-Y2-22-5</x:v>
      </x:c>
      <x:c r="C713" s="7" t="str">
        <x:v>CH-PEA-A-Y2-22-5</x:v>
      </x:c>
      <x:c r="D713" s="7" t="str">
        <x:v>PEA-A-Y2</x:v>
      </x:c>
      <x:c r="E713" s="7" t="str">
        <x:v>BLD-A</x:v>
      </x:c>
      <x:c r="F713" s="7" t="str">
        <x:v>BL-Y</x:v>
      </x:c>
      <x:c r="G713" s="7" t="str">
        <x:v>MF-22</x:v>
      </x:c>
      <x:c r="H713" s="7" t="str"/>
      <x:c r="I713" s="7" t="str"/>
      <x:c r="J713" s="7" t="str">
        <x:f>IF(OR(H713="",I713=""),"",I713-H713)</x:f>
      </x:c>
      <x:c r="K713" s="7" t="str"/>
      <x:c r="L713" s="7" t="str"/>
      <x:c r="M713" s="7" t="str">
        <x:f>IF(L713="","OPEN",IF(OR(NOT(ISNUMBER(H713)),NOT(ISNUMBER(I713)),NOT(ISNUMBER(K713)),ABS(J713)&gt;K713),"FAIL","PASS"))</x:f>
        <x:v>OPEN</x:v>
      </x:c>
    </x:row>
    <x:row r="714">
      <x:c r="B714" s="7" t="str">
        <x:v>CAL-CH-PEA-A-Y2-22-6</x:v>
      </x:c>
      <x:c r="C714" s="7" t="str">
        <x:v>CH-PEA-A-Y2-22-6</x:v>
      </x:c>
      <x:c r="D714" s="7" t="str">
        <x:v>PEA-A-Y2</x:v>
      </x:c>
      <x:c r="E714" s="7" t="str">
        <x:v>BLD-A</x:v>
      </x:c>
      <x:c r="F714" s="7" t="str">
        <x:v>BL-Y</x:v>
      </x:c>
      <x:c r="G714" s="7" t="str">
        <x:v>MF-22</x:v>
      </x:c>
      <x:c r="H714" s="7" t="str"/>
      <x:c r="I714" s="7" t="str"/>
      <x:c r="J714" s="7" t="str">
        <x:f>IF(OR(H714="",I714=""),"",I714-H714)</x:f>
      </x:c>
      <x:c r="K714" s="7" t="str"/>
      <x:c r="L714" s="7" t="str"/>
      <x:c r="M714" s="7" t="str">
        <x:f>IF(L714="","OPEN",IF(OR(NOT(ISNUMBER(H714)),NOT(ISNUMBER(I714)),NOT(ISNUMBER(K714)),ABS(J714)&gt;K714),"FAIL","PASS"))</x:f>
        <x:v>OPEN</x:v>
      </x:c>
    </x:row>
    <x:row r="715">
      <x:c r="B715" s="7" t="str">
        <x:v>CAL-CH-PEA-A-Y2-23-1</x:v>
      </x:c>
      <x:c r="C715" s="7" t="str">
        <x:v>CH-PEA-A-Y2-23-1</x:v>
      </x:c>
      <x:c r="D715" s="7" t="str">
        <x:v>PEA-A-Y2</x:v>
      </x:c>
      <x:c r="E715" s="7" t="str">
        <x:v>BLD-A</x:v>
      </x:c>
      <x:c r="F715" s="7" t="str">
        <x:v>BL-Y</x:v>
      </x:c>
      <x:c r="G715" s="7" t="str">
        <x:v>MF-23</x:v>
      </x:c>
      <x:c r="H715" s="7" t="str"/>
      <x:c r="I715" s="7" t="str"/>
      <x:c r="J715" s="7" t="str">
        <x:f>IF(OR(H715="",I715=""),"",I715-H715)</x:f>
      </x:c>
      <x:c r="K715" s="7" t="str"/>
      <x:c r="L715" s="7" t="str"/>
      <x:c r="M715" s="7" t="str">
        <x:f>IF(L715="","OPEN",IF(OR(NOT(ISNUMBER(H715)),NOT(ISNUMBER(I715)),NOT(ISNUMBER(K715)),ABS(J715)&gt;K715),"FAIL","PASS"))</x:f>
        <x:v>OPEN</x:v>
      </x:c>
    </x:row>
    <x:row r="716">
      <x:c r="B716" s="7" t="str">
        <x:v>CAL-CH-PEA-A-Y2-23-2</x:v>
      </x:c>
      <x:c r="C716" s="7" t="str">
        <x:v>CH-PEA-A-Y2-23-2</x:v>
      </x:c>
      <x:c r="D716" s="7" t="str">
        <x:v>PEA-A-Y2</x:v>
      </x:c>
      <x:c r="E716" s="7" t="str">
        <x:v>BLD-A</x:v>
      </x:c>
      <x:c r="F716" s="7" t="str">
        <x:v>BL-Y</x:v>
      </x:c>
      <x:c r="G716" s="7" t="str">
        <x:v>MF-23</x:v>
      </x:c>
      <x:c r="H716" s="7" t="str"/>
      <x:c r="I716" s="7" t="str"/>
      <x:c r="J716" s="7" t="str">
        <x:f>IF(OR(H716="",I716=""),"",I716-H716)</x:f>
      </x:c>
      <x:c r="K716" s="7" t="str"/>
      <x:c r="L716" s="7" t="str"/>
      <x:c r="M716" s="7" t="str">
        <x:f>IF(L716="","OPEN",IF(OR(NOT(ISNUMBER(H716)),NOT(ISNUMBER(I716)),NOT(ISNUMBER(K716)),ABS(J716)&gt;K716),"FAIL","PASS"))</x:f>
        <x:v>OPEN</x:v>
      </x:c>
    </x:row>
    <x:row r="717">
      <x:c r="B717" s="7" t="str">
        <x:v>CAL-CH-PEA-A-Y2-23-3</x:v>
      </x:c>
      <x:c r="C717" s="7" t="str">
        <x:v>CH-PEA-A-Y2-23-3</x:v>
      </x:c>
      <x:c r="D717" s="7" t="str">
        <x:v>PEA-A-Y2</x:v>
      </x:c>
      <x:c r="E717" s="7" t="str">
        <x:v>BLD-A</x:v>
      </x:c>
      <x:c r="F717" s="7" t="str">
        <x:v>BL-Y</x:v>
      </x:c>
      <x:c r="G717" s="7" t="str">
        <x:v>MF-23</x:v>
      </x:c>
      <x:c r="H717" s="7" t="str"/>
      <x:c r="I717" s="7" t="str"/>
      <x:c r="J717" s="7" t="str">
        <x:f>IF(OR(H717="",I717=""),"",I717-H717)</x:f>
      </x:c>
      <x:c r="K717" s="7" t="str"/>
      <x:c r="L717" s="7" t="str"/>
      <x:c r="M717" s="7" t="str">
        <x:f>IF(L717="","OPEN",IF(OR(NOT(ISNUMBER(H717)),NOT(ISNUMBER(I717)),NOT(ISNUMBER(K717)),ABS(J717)&gt;K717),"FAIL","PASS"))</x:f>
        <x:v>OPEN</x:v>
      </x:c>
    </x:row>
    <x:row r="718">
      <x:c r="B718" s="7" t="str">
        <x:v>CAL-CH-PEA-A-Y2-23-4</x:v>
      </x:c>
      <x:c r="C718" s="7" t="str">
        <x:v>CH-PEA-A-Y2-23-4</x:v>
      </x:c>
      <x:c r="D718" s="7" t="str">
        <x:v>PEA-A-Y2</x:v>
      </x:c>
      <x:c r="E718" s="7" t="str">
        <x:v>BLD-A</x:v>
      </x:c>
      <x:c r="F718" s="7" t="str">
        <x:v>BL-Y</x:v>
      </x:c>
      <x:c r="G718" s="7" t="str">
        <x:v>MF-23</x:v>
      </x:c>
      <x:c r="H718" s="7" t="str"/>
      <x:c r="I718" s="7" t="str"/>
      <x:c r="J718" s="7" t="str">
        <x:f>IF(OR(H718="",I718=""),"",I718-H718)</x:f>
      </x:c>
      <x:c r="K718" s="7" t="str"/>
      <x:c r="L718" s="7" t="str"/>
      <x:c r="M718" s="7" t="str">
        <x:f>IF(L718="","OPEN",IF(OR(NOT(ISNUMBER(H718)),NOT(ISNUMBER(I718)),NOT(ISNUMBER(K718)),ABS(J718)&gt;K718),"FAIL","PASS"))</x:f>
        <x:v>OPEN</x:v>
      </x:c>
    </x:row>
    <x:row r="719">
      <x:c r="B719" s="7" t="str">
        <x:v>CAL-CH-PEA-A-Y2-23-5</x:v>
      </x:c>
      <x:c r="C719" s="7" t="str">
        <x:v>CH-PEA-A-Y2-23-5</x:v>
      </x:c>
      <x:c r="D719" s="7" t="str">
        <x:v>PEA-A-Y2</x:v>
      </x:c>
      <x:c r="E719" s="7" t="str">
        <x:v>BLD-A</x:v>
      </x:c>
      <x:c r="F719" s="7" t="str">
        <x:v>BL-Y</x:v>
      </x:c>
      <x:c r="G719" s="7" t="str">
        <x:v>MF-23</x:v>
      </x:c>
      <x:c r="H719" s="7" t="str"/>
      <x:c r="I719" s="7" t="str"/>
      <x:c r="J719" s="7" t="str">
        <x:f>IF(OR(H719="",I719=""),"",I719-H719)</x:f>
      </x:c>
      <x:c r="K719" s="7" t="str"/>
      <x:c r="L719" s="7" t="str"/>
      <x:c r="M719" s="7" t="str">
        <x:f>IF(L719="","OPEN",IF(OR(NOT(ISNUMBER(H719)),NOT(ISNUMBER(I719)),NOT(ISNUMBER(K719)),ABS(J719)&gt;K719),"FAIL","PASS"))</x:f>
        <x:v>OPEN</x:v>
      </x:c>
    </x:row>
    <x:row r="720">
      <x:c r="B720" s="7" t="str">
        <x:v>CAL-CH-PEA-A-Y2-23-6</x:v>
      </x:c>
      <x:c r="C720" s="7" t="str">
        <x:v>CH-PEA-A-Y2-23-6</x:v>
      </x:c>
      <x:c r="D720" s="7" t="str">
        <x:v>PEA-A-Y2</x:v>
      </x:c>
      <x:c r="E720" s="7" t="str">
        <x:v>BLD-A</x:v>
      </x:c>
      <x:c r="F720" s="7" t="str">
        <x:v>BL-Y</x:v>
      </x:c>
      <x:c r="G720" s="7" t="str">
        <x:v>MF-23</x:v>
      </x:c>
      <x:c r="H720" s="7" t="str"/>
      <x:c r="I720" s="7" t="str"/>
      <x:c r="J720" s="7" t="str">
        <x:f>IF(OR(H720="",I720=""),"",I720-H720)</x:f>
      </x:c>
      <x:c r="K720" s="7" t="str"/>
      <x:c r="L720" s="7" t="str"/>
      <x:c r="M720" s="7" t="str">
        <x:f>IF(L720="","OPEN",IF(OR(NOT(ISNUMBER(H720)),NOT(ISNUMBER(I720)),NOT(ISNUMBER(K720)),ABS(J720)&gt;K720),"FAIL","PASS"))</x:f>
        <x:v>OPEN</x:v>
      </x:c>
    </x:row>
    <x:row r="721">
      <x:c r="B721" s="7" t="str">
        <x:v>CAL-CH-PEA-A-Y2-24-1</x:v>
      </x:c>
      <x:c r="C721" s="7" t="str">
        <x:v>CH-PEA-A-Y2-24-1</x:v>
      </x:c>
      <x:c r="D721" s="7" t="str">
        <x:v>PEA-A-Y2</x:v>
      </x:c>
      <x:c r="E721" s="7" t="str">
        <x:v>BLD-A</x:v>
      </x:c>
      <x:c r="F721" s="7" t="str">
        <x:v>BL-Y</x:v>
      </x:c>
      <x:c r="G721" s="7" t="str">
        <x:v>MF-24</x:v>
      </x:c>
      <x:c r="H721" s="7" t="str"/>
      <x:c r="I721" s="7" t="str"/>
      <x:c r="J721" s="7" t="str">
        <x:f>IF(OR(H721="",I721=""),"",I721-H721)</x:f>
      </x:c>
      <x:c r="K721" s="7" t="str"/>
      <x:c r="L721" s="7" t="str"/>
      <x:c r="M721" s="7" t="str">
        <x:f>IF(L721="","OPEN",IF(OR(NOT(ISNUMBER(H721)),NOT(ISNUMBER(I721)),NOT(ISNUMBER(K721)),ABS(J721)&gt;K721),"FAIL","PASS"))</x:f>
        <x:v>OPEN</x:v>
      </x:c>
    </x:row>
    <x:row r="722">
      <x:c r="B722" s="7" t="str">
        <x:v>CAL-CH-PEA-A-Y2-24-2</x:v>
      </x:c>
      <x:c r="C722" s="7" t="str">
        <x:v>CH-PEA-A-Y2-24-2</x:v>
      </x:c>
      <x:c r="D722" s="7" t="str">
        <x:v>PEA-A-Y2</x:v>
      </x:c>
      <x:c r="E722" s="7" t="str">
        <x:v>BLD-A</x:v>
      </x:c>
      <x:c r="F722" s="7" t="str">
        <x:v>BL-Y</x:v>
      </x:c>
      <x:c r="G722" s="7" t="str">
        <x:v>MF-24</x:v>
      </x:c>
      <x:c r="H722" s="7" t="str"/>
      <x:c r="I722" s="7" t="str"/>
      <x:c r="J722" s="7" t="str">
        <x:f>IF(OR(H722="",I722=""),"",I722-H722)</x:f>
      </x:c>
      <x:c r="K722" s="7" t="str"/>
      <x:c r="L722" s="7" t="str"/>
      <x:c r="M722" s="7" t="str">
        <x:f>IF(L722="","OPEN",IF(OR(NOT(ISNUMBER(H722)),NOT(ISNUMBER(I722)),NOT(ISNUMBER(K722)),ABS(J722)&gt;K722),"FAIL","PASS"))</x:f>
        <x:v>OPEN</x:v>
      </x:c>
    </x:row>
    <x:row r="723">
      <x:c r="B723" s="7" t="str">
        <x:v>CAL-CH-PEA-A-Y2-24-3</x:v>
      </x:c>
      <x:c r="C723" s="7" t="str">
        <x:v>CH-PEA-A-Y2-24-3</x:v>
      </x:c>
      <x:c r="D723" s="7" t="str">
        <x:v>PEA-A-Y2</x:v>
      </x:c>
      <x:c r="E723" s="7" t="str">
        <x:v>BLD-A</x:v>
      </x:c>
      <x:c r="F723" s="7" t="str">
        <x:v>BL-Y</x:v>
      </x:c>
      <x:c r="G723" s="7" t="str">
        <x:v>MF-24</x:v>
      </x:c>
      <x:c r="H723" s="7" t="str"/>
      <x:c r="I723" s="7" t="str"/>
      <x:c r="J723" s="7" t="str">
        <x:f>IF(OR(H723="",I723=""),"",I723-H723)</x:f>
      </x:c>
      <x:c r="K723" s="7" t="str"/>
      <x:c r="L723" s="7" t="str"/>
      <x:c r="M723" s="7" t="str">
        <x:f>IF(L723="","OPEN",IF(OR(NOT(ISNUMBER(H723)),NOT(ISNUMBER(I723)),NOT(ISNUMBER(K723)),ABS(J723)&gt;K723),"FAIL","PASS"))</x:f>
        <x:v>OPEN</x:v>
      </x:c>
    </x:row>
    <x:row r="724">
      <x:c r="B724" s="7" t="str">
        <x:v>CAL-CH-PEA-A-Y2-24-4</x:v>
      </x:c>
      <x:c r="C724" s="7" t="str">
        <x:v>CH-PEA-A-Y2-24-4</x:v>
      </x:c>
      <x:c r="D724" s="7" t="str">
        <x:v>PEA-A-Y2</x:v>
      </x:c>
      <x:c r="E724" s="7" t="str">
        <x:v>BLD-A</x:v>
      </x:c>
      <x:c r="F724" s="7" t="str">
        <x:v>BL-Y</x:v>
      </x:c>
      <x:c r="G724" s="7" t="str">
        <x:v>MF-24</x:v>
      </x:c>
      <x:c r="H724" s="7" t="str"/>
      <x:c r="I724" s="7" t="str"/>
      <x:c r="J724" s="7" t="str">
        <x:f>IF(OR(H724="",I724=""),"",I724-H724)</x:f>
      </x:c>
      <x:c r="K724" s="7" t="str"/>
      <x:c r="L724" s="7" t="str"/>
      <x:c r="M724" s="7" t="str">
        <x:f>IF(L724="","OPEN",IF(OR(NOT(ISNUMBER(H724)),NOT(ISNUMBER(I724)),NOT(ISNUMBER(K724)),ABS(J724)&gt;K724),"FAIL","PASS"))</x:f>
        <x:v>OPEN</x:v>
      </x:c>
    </x:row>
    <x:row r="725">
      <x:c r="B725" s="7" t="str">
        <x:v>CAL-CH-PEA-A-Y2-24-5</x:v>
      </x:c>
      <x:c r="C725" s="7" t="str">
        <x:v>CH-PEA-A-Y2-24-5</x:v>
      </x:c>
      <x:c r="D725" s="7" t="str">
        <x:v>PEA-A-Y2</x:v>
      </x:c>
      <x:c r="E725" s="7" t="str">
        <x:v>BLD-A</x:v>
      </x:c>
      <x:c r="F725" s="7" t="str">
        <x:v>BL-Y</x:v>
      </x:c>
      <x:c r="G725" s="7" t="str">
        <x:v>MF-24</x:v>
      </x:c>
      <x:c r="H725" s="7" t="str"/>
      <x:c r="I725" s="7" t="str"/>
      <x:c r="J725" s="7" t="str">
        <x:f>IF(OR(H725="",I725=""),"",I725-H725)</x:f>
      </x:c>
      <x:c r="K725" s="7" t="str"/>
      <x:c r="L725" s="7" t="str"/>
      <x:c r="M725" s="7" t="str">
        <x:f>IF(L725="","OPEN",IF(OR(NOT(ISNUMBER(H725)),NOT(ISNUMBER(I725)),NOT(ISNUMBER(K725)),ABS(J725)&gt;K725),"FAIL","PASS"))</x:f>
        <x:v>OPEN</x:v>
      </x:c>
    </x:row>
    <x:row r="726">
      <x:c r="B726" s="7" t="str">
        <x:v>CAL-CH-PEA-A-Y2-24-6</x:v>
      </x:c>
      <x:c r="C726" s="7" t="str">
        <x:v>CH-PEA-A-Y2-24-6</x:v>
      </x:c>
      <x:c r="D726" s="7" t="str">
        <x:v>PEA-A-Y2</x:v>
      </x:c>
      <x:c r="E726" s="7" t="str">
        <x:v>BLD-A</x:v>
      </x:c>
      <x:c r="F726" s="7" t="str">
        <x:v>BL-Y</x:v>
      </x:c>
      <x:c r="G726" s="7" t="str">
        <x:v>MF-24</x:v>
      </x:c>
      <x:c r="H726" s="7" t="str"/>
      <x:c r="I726" s="7" t="str"/>
      <x:c r="J726" s="7" t="str">
        <x:f>IF(OR(H726="",I726=""),"",I726-H726)</x:f>
      </x:c>
      <x:c r="K726" s="7" t="str"/>
      <x:c r="L726" s="7" t="str"/>
      <x:c r="M726" s="7" t="str">
        <x:f>IF(L726="","OPEN",IF(OR(NOT(ISNUMBER(H726)),NOT(ISNUMBER(I726)),NOT(ISNUMBER(K726)),ABS(J726)&gt;K726),"FAIL","PASS"))</x:f>
        <x:v>OPEN</x:v>
      </x:c>
    </x:row>
    <x:row r="727">
      <x:c r="B727" s="7" t="str">
        <x:v>CAL-CH-PEA-A-Y3-01-1</x:v>
      </x:c>
      <x:c r="C727" s="7" t="str">
        <x:v>CH-PEA-A-Y3-01-1</x:v>
      </x:c>
      <x:c r="D727" s="7" t="str">
        <x:v>PEA-A-Y3</x:v>
      </x:c>
      <x:c r="E727" s="7" t="str">
        <x:v>BLD-A</x:v>
      </x:c>
      <x:c r="F727" s="7" t="str">
        <x:v>BL-Y</x:v>
      </x:c>
      <x:c r="G727" s="7" t="str">
        <x:v>MF-01</x:v>
      </x:c>
      <x:c r="H727" s="7" t="str"/>
      <x:c r="I727" s="7" t="str"/>
      <x:c r="J727" s="7" t="str">
        <x:f>IF(OR(H727="",I727=""),"",I727-H727)</x:f>
      </x:c>
      <x:c r="K727" s="7" t="str"/>
      <x:c r="L727" s="7" t="str"/>
      <x:c r="M727" s="7" t="str">
        <x:f>IF(L727="","OPEN",IF(OR(NOT(ISNUMBER(H727)),NOT(ISNUMBER(I727)),NOT(ISNUMBER(K727)),ABS(J727)&gt;K727),"FAIL","PASS"))</x:f>
        <x:v>OPEN</x:v>
      </x:c>
    </x:row>
    <x:row r="728">
      <x:c r="B728" s="7" t="str">
        <x:v>CAL-CH-PEA-A-Y3-01-2</x:v>
      </x:c>
      <x:c r="C728" s="7" t="str">
        <x:v>CH-PEA-A-Y3-01-2</x:v>
      </x:c>
      <x:c r="D728" s="7" t="str">
        <x:v>PEA-A-Y3</x:v>
      </x:c>
      <x:c r="E728" s="7" t="str">
        <x:v>BLD-A</x:v>
      </x:c>
      <x:c r="F728" s="7" t="str">
        <x:v>BL-Y</x:v>
      </x:c>
      <x:c r="G728" s="7" t="str">
        <x:v>MF-01</x:v>
      </x:c>
      <x:c r="H728" s="7" t="str"/>
      <x:c r="I728" s="7" t="str"/>
      <x:c r="J728" s="7" t="str">
        <x:f>IF(OR(H728="",I728=""),"",I728-H728)</x:f>
      </x:c>
      <x:c r="K728" s="7" t="str"/>
      <x:c r="L728" s="7" t="str"/>
      <x:c r="M728" s="7" t="str">
        <x:f>IF(L728="","OPEN",IF(OR(NOT(ISNUMBER(H728)),NOT(ISNUMBER(I728)),NOT(ISNUMBER(K728)),ABS(J728)&gt;K728),"FAIL","PASS"))</x:f>
        <x:v>OPEN</x:v>
      </x:c>
    </x:row>
    <x:row r="729">
      <x:c r="B729" s="7" t="str">
        <x:v>CAL-CH-PEA-A-Y3-01-3</x:v>
      </x:c>
      <x:c r="C729" s="7" t="str">
        <x:v>CH-PEA-A-Y3-01-3</x:v>
      </x:c>
      <x:c r="D729" s="7" t="str">
        <x:v>PEA-A-Y3</x:v>
      </x:c>
      <x:c r="E729" s="7" t="str">
        <x:v>BLD-A</x:v>
      </x:c>
      <x:c r="F729" s="7" t="str">
        <x:v>BL-Y</x:v>
      </x:c>
      <x:c r="G729" s="7" t="str">
        <x:v>MF-01</x:v>
      </x:c>
      <x:c r="H729" s="7" t="str"/>
      <x:c r="I729" s="7" t="str"/>
      <x:c r="J729" s="7" t="str">
        <x:f>IF(OR(H729="",I729=""),"",I729-H729)</x:f>
      </x:c>
      <x:c r="K729" s="7" t="str"/>
      <x:c r="L729" s="7" t="str"/>
      <x:c r="M729" s="7" t="str">
        <x:f>IF(L729="","OPEN",IF(OR(NOT(ISNUMBER(H729)),NOT(ISNUMBER(I729)),NOT(ISNUMBER(K729)),ABS(J729)&gt;K729),"FAIL","PASS"))</x:f>
        <x:v>OPEN</x:v>
      </x:c>
    </x:row>
    <x:row r="730">
      <x:c r="B730" s="7" t="str">
        <x:v>CAL-CH-PEA-A-Y3-01-4</x:v>
      </x:c>
      <x:c r="C730" s="7" t="str">
        <x:v>CH-PEA-A-Y3-01-4</x:v>
      </x:c>
      <x:c r="D730" s="7" t="str">
        <x:v>PEA-A-Y3</x:v>
      </x:c>
      <x:c r="E730" s="7" t="str">
        <x:v>BLD-A</x:v>
      </x:c>
      <x:c r="F730" s="7" t="str">
        <x:v>BL-Y</x:v>
      </x:c>
      <x:c r="G730" s="7" t="str">
        <x:v>MF-01</x:v>
      </x:c>
      <x:c r="H730" s="7" t="str"/>
      <x:c r="I730" s="7" t="str"/>
      <x:c r="J730" s="7" t="str">
        <x:f>IF(OR(H730="",I730=""),"",I730-H730)</x:f>
      </x:c>
      <x:c r="K730" s="7" t="str"/>
      <x:c r="L730" s="7" t="str"/>
      <x:c r="M730" s="7" t="str">
        <x:f>IF(L730="","OPEN",IF(OR(NOT(ISNUMBER(H730)),NOT(ISNUMBER(I730)),NOT(ISNUMBER(K730)),ABS(J730)&gt;K730),"FAIL","PASS"))</x:f>
        <x:v>OPEN</x:v>
      </x:c>
    </x:row>
    <x:row r="731">
      <x:c r="B731" s="7" t="str">
        <x:v>CAL-CH-PEA-A-Y3-01-5</x:v>
      </x:c>
      <x:c r="C731" s="7" t="str">
        <x:v>CH-PEA-A-Y3-01-5</x:v>
      </x:c>
      <x:c r="D731" s="7" t="str">
        <x:v>PEA-A-Y3</x:v>
      </x:c>
      <x:c r="E731" s="7" t="str">
        <x:v>BLD-A</x:v>
      </x:c>
      <x:c r="F731" s="7" t="str">
        <x:v>BL-Y</x:v>
      </x:c>
      <x:c r="G731" s="7" t="str">
        <x:v>MF-01</x:v>
      </x:c>
      <x:c r="H731" s="7" t="str"/>
      <x:c r="I731" s="7" t="str"/>
      <x:c r="J731" s="7" t="str">
        <x:f>IF(OR(H731="",I731=""),"",I731-H731)</x:f>
      </x:c>
      <x:c r="K731" s="7" t="str"/>
      <x:c r="L731" s="7" t="str"/>
      <x:c r="M731" s="7" t="str">
        <x:f>IF(L731="","OPEN",IF(OR(NOT(ISNUMBER(H731)),NOT(ISNUMBER(I731)),NOT(ISNUMBER(K731)),ABS(J731)&gt;K731),"FAIL","PASS"))</x:f>
        <x:v>OPEN</x:v>
      </x:c>
    </x:row>
    <x:row r="732">
      <x:c r="B732" s="7" t="str">
        <x:v>CAL-CH-PEA-A-Y3-01-6</x:v>
      </x:c>
      <x:c r="C732" s="7" t="str">
        <x:v>CH-PEA-A-Y3-01-6</x:v>
      </x:c>
      <x:c r="D732" s="7" t="str">
        <x:v>PEA-A-Y3</x:v>
      </x:c>
      <x:c r="E732" s="7" t="str">
        <x:v>BLD-A</x:v>
      </x:c>
      <x:c r="F732" s="7" t="str">
        <x:v>BL-Y</x:v>
      </x:c>
      <x:c r="G732" s="7" t="str">
        <x:v>MF-01</x:v>
      </x:c>
      <x:c r="H732" s="7" t="str"/>
      <x:c r="I732" s="7" t="str"/>
      <x:c r="J732" s="7" t="str">
        <x:f>IF(OR(H732="",I732=""),"",I732-H732)</x:f>
      </x:c>
      <x:c r="K732" s="7" t="str"/>
      <x:c r="L732" s="7" t="str"/>
      <x:c r="M732" s="7" t="str">
        <x:f>IF(L732="","OPEN",IF(OR(NOT(ISNUMBER(H732)),NOT(ISNUMBER(I732)),NOT(ISNUMBER(K732)),ABS(J732)&gt;K732),"FAIL","PASS"))</x:f>
        <x:v>OPEN</x:v>
      </x:c>
    </x:row>
    <x:row r="733">
      <x:c r="B733" s="7" t="str">
        <x:v>CAL-CH-PEA-A-Y3-02-1</x:v>
      </x:c>
      <x:c r="C733" s="7" t="str">
        <x:v>CH-PEA-A-Y3-02-1</x:v>
      </x:c>
      <x:c r="D733" s="7" t="str">
        <x:v>PEA-A-Y3</x:v>
      </x:c>
      <x:c r="E733" s="7" t="str">
        <x:v>BLD-A</x:v>
      </x:c>
      <x:c r="F733" s="7" t="str">
        <x:v>BL-Y</x:v>
      </x:c>
      <x:c r="G733" s="7" t="str">
        <x:v>MF-02</x:v>
      </x:c>
      <x:c r="H733" s="7" t="str"/>
      <x:c r="I733" s="7" t="str"/>
      <x:c r="J733" s="7" t="str">
        <x:f>IF(OR(H733="",I733=""),"",I733-H733)</x:f>
      </x:c>
      <x:c r="K733" s="7" t="str"/>
      <x:c r="L733" s="7" t="str"/>
      <x:c r="M733" s="7" t="str">
        <x:f>IF(L733="","OPEN",IF(OR(NOT(ISNUMBER(H733)),NOT(ISNUMBER(I733)),NOT(ISNUMBER(K733)),ABS(J733)&gt;K733),"FAIL","PASS"))</x:f>
        <x:v>OPEN</x:v>
      </x:c>
    </x:row>
    <x:row r="734">
      <x:c r="B734" s="7" t="str">
        <x:v>CAL-CH-PEA-A-Y3-02-2</x:v>
      </x:c>
      <x:c r="C734" s="7" t="str">
        <x:v>CH-PEA-A-Y3-02-2</x:v>
      </x:c>
      <x:c r="D734" s="7" t="str">
        <x:v>PEA-A-Y3</x:v>
      </x:c>
      <x:c r="E734" s="7" t="str">
        <x:v>BLD-A</x:v>
      </x:c>
      <x:c r="F734" s="7" t="str">
        <x:v>BL-Y</x:v>
      </x:c>
      <x:c r="G734" s="7" t="str">
        <x:v>MF-02</x:v>
      </x:c>
      <x:c r="H734" s="7" t="str"/>
      <x:c r="I734" s="7" t="str"/>
      <x:c r="J734" s="7" t="str">
        <x:f>IF(OR(H734="",I734=""),"",I734-H734)</x:f>
      </x:c>
      <x:c r="K734" s="7" t="str"/>
      <x:c r="L734" s="7" t="str"/>
      <x:c r="M734" s="7" t="str">
        <x:f>IF(L734="","OPEN",IF(OR(NOT(ISNUMBER(H734)),NOT(ISNUMBER(I734)),NOT(ISNUMBER(K734)),ABS(J734)&gt;K734),"FAIL","PASS"))</x:f>
        <x:v>OPEN</x:v>
      </x:c>
    </x:row>
    <x:row r="735">
      <x:c r="B735" s="7" t="str">
        <x:v>CAL-CH-PEA-A-Y3-02-3</x:v>
      </x:c>
      <x:c r="C735" s="7" t="str">
        <x:v>CH-PEA-A-Y3-02-3</x:v>
      </x:c>
      <x:c r="D735" s="7" t="str">
        <x:v>PEA-A-Y3</x:v>
      </x:c>
      <x:c r="E735" s="7" t="str">
        <x:v>BLD-A</x:v>
      </x:c>
      <x:c r="F735" s="7" t="str">
        <x:v>BL-Y</x:v>
      </x:c>
      <x:c r="G735" s="7" t="str">
        <x:v>MF-02</x:v>
      </x:c>
      <x:c r="H735" s="7" t="str"/>
      <x:c r="I735" s="7" t="str"/>
      <x:c r="J735" s="7" t="str">
        <x:f>IF(OR(H735="",I735=""),"",I735-H735)</x:f>
      </x:c>
      <x:c r="K735" s="7" t="str"/>
      <x:c r="L735" s="7" t="str"/>
      <x:c r="M735" s="7" t="str">
        <x:f>IF(L735="","OPEN",IF(OR(NOT(ISNUMBER(H735)),NOT(ISNUMBER(I735)),NOT(ISNUMBER(K735)),ABS(J735)&gt;K735),"FAIL","PASS"))</x:f>
        <x:v>OPEN</x:v>
      </x:c>
    </x:row>
    <x:row r="736">
      <x:c r="B736" s="7" t="str">
        <x:v>CAL-CH-PEA-A-Y3-02-4</x:v>
      </x:c>
      <x:c r="C736" s="7" t="str">
        <x:v>CH-PEA-A-Y3-02-4</x:v>
      </x:c>
      <x:c r="D736" s="7" t="str">
        <x:v>PEA-A-Y3</x:v>
      </x:c>
      <x:c r="E736" s="7" t="str">
        <x:v>BLD-A</x:v>
      </x:c>
      <x:c r="F736" s="7" t="str">
        <x:v>BL-Y</x:v>
      </x:c>
      <x:c r="G736" s="7" t="str">
        <x:v>MF-02</x:v>
      </x:c>
      <x:c r="H736" s="7" t="str"/>
      <x:c r="I736" s="7" t="str"/>
      <x:c r="J736" s="7" t="str">
        <x:f>IF(OR(H736="",I736=""),"",I736-H736)</x:f>
      </x:c>
      <x:c r="K736" s="7" t="str"/>
      <x:c r="L736" s="7" t="str"/>
      <x:c r="M736" s="7" t="str">
        <x:f>IF(L736="","OPEN",IF(OR(NOT(ISNUMBER(H736)),NOT(ISNUMBER(I736)),NOT(ISNUMBER(K736)),ABS(J736)&gt;K736),"FAIL","PASS"))</x:f>
        <x:v>OPEN</x:v>
      </x:c>
    </x:row>
    <x:row r="737">
      <x:c r="B737" s="7" t="str">
        <x:v>CAL-CH-PEA-A-Y3-02-5</x:v>
      </x:c>
      <x:c r="C737" s="7" t="str">
        <x:v>CH-PEA-A-Y3-02-5</x:v>
      </x:c>
      <x:c r="D737" s="7" t="str">
        <x:v>PEA-A-Y3</x:v>
      </x:c>
      <x:c r="E737" s="7" t="str">
        <x:v>BLD-A</x:v>
      </x:c>
      <x:c r="F737" s="7" t="str">
        <x:v>BL-Y</x:v>
      </x:c>
      <x:c r="G737" s="7" t="str">
        <x:v>MF-02</x:v>
      </x:c>
      <x:c r="H737" s="7" t="str"/>
      <x:c r="I737" s="7" t="str"/>
      <x:c r="J737" s="7" t="str">
        <x:f>IF(OR(H737="",I737=""),"",I737-H737)</x:f>
      </x:c>
      <x:c r="K737" s="7" t="str"/>
      <x:c r="L737" s="7" t="str"/>
      <x:c r="M737" s="7" t="str">
        <x:f>IF(L737="","OPEN",IF(OR(NOT(ISNUMBER(H737)),NOT(ISNUMBER(I737)),NOT(ISNUMBER(K737)),ABS(J737)&gt;K737),"FAIL","PASS"))</x:f>
        <x:v>OPEN</x:v>
      </x:c>
    </x:row>
    <x:row r="738">
      <x:c r="B738" s="7" t="str">
        <x:v>CAL-CH-PEA-A-Y3-02-6</x:v>
      </x:c>
      <x:c r="C738" s="7" t="str">
        <x:v>CH-PEA-A-Y3-02-6</x:v>
      </x:c>
      <x:c r="D738" s="7" t="str">
        <x:v>PEA-A-Y3</x:v>
      </x:c>
      <x:c r="E738" s="7" t="str">
        <x:v>BLD-A</x:v>
      </x:c>
      <x:c r="F738" s="7" t="str">
        <x:v>BL-Y</x:v>
      </x:c>
      <x:c r="G738" s="7" t="str">
        <x:v>MF-02</x:v>
      </x:c>
      <x:c r="H738" s="7" t="str"/>
      <x:c r="I738" s="7" t="str"/>
      <x:c r="J738" s="7" t="str">
        <x:f>IF(OR(H738="",I738=""),"",I738-H738)</x:f>
      </x:c>
      <x:c r="K738" s="7" t="str"/>
      <x:c r="L738" s="7" t="str"/>
      <x:c r="M738" s="7" t="str">
        <x:f>IF(L738="","OPEN",IF(OR(NOT(ISNUMBER(H738)),NOT(ISNUMBER(I738)),NOT(ISNUMBER(K738)),ABS(J738)&gt;K738),"FAIL","PASS"))</x:f>
        <x:v>OPEN</x:v>
      </x:c>
    </x:row>
    <x:row r="739">
      <x:c r="B739" s="7" t="str">
        <x:v>CAL-CH-PEA-A-Y3-03-1</x:v>
      </x:c>
      <x:c r="C739" s="7" t="str">
        <x:v>CH-PEA-A-Y3-03-1</x:v>
      </x:c>
      <x:c r="D739" s="7" t="str">
        <x:v>PEA-A-Y3</x:v>
      </x:c>
      <x:c r="E739" s="7" t="str">
        <x:v>BLD-A</x:v>
      </x:c>
      <x:c r="F739" s="7" t="str">
        <x:v>BL-Y</x:v>
      </x:c>
      <x:c r="G739" s="7" t="str">
        <x:v>MF-03</x:v>
      </x:c>
      <x:c r="H739" s="7" t="str"/>
      <x:c r="I739" s="7" t="str"/>
      <x:c r="J739" s="7" t="str">
        <x:f>IF(OR(H739="",I739=""),"",I739-H739)</x:f>
      </x:c>
      <x:c r="K739" s="7" t="str"/>
      <x:c r="L739" s="7" t="str"/>
      <x:c r="M739" s="7" t="str">
        <x:f>IF(L739="","OPEN",IF(OR(NOT(ISNUMBER(H739)),NOT(ISNUMBER(I739)),NOT(ISNUMBER(K739)),ABS(J739)&gt;K739),"FAIL","PASS"))</x:f>
        <x:v>OPEN</x:v>
      </x:c>
    </x:row>
    <x:row r="740">
      <x:c r="B740" s="7" t="str">
        <x:v>CAL-CH-PEA-A-Y3-03-2</x:v>
      </x:c>
      <x:c r="C740" s="7" t="str">
        <x:v>CH-PEA-A-Y3-03-2</x:v>
      </x:c>
      <x:c r="D740" s="7" t="str">
        <x:v>PEA-A-Y3</x:v>
      </x:c>
      <x:c r="E740" s="7" t="str">
        <x:v>BLD-A</x:v>
      </x:c>
      <x:c r="F740" s="7" t="str">
        <x:v>BL-Y</x:v>
      </x:c>
      <x:c r="G740" s="7" t="str">
        <x:v>MF-03</x:v>
      </x:c>
      <x:c r="H740" s="7" t="str"/>
      <x:c r="I740" s="7" t="str"/>
      <x:c r="J740" s="7" t="str">
        <x:f>IF(OR(H740="",I740=""),"",I740-H740)</x:f>
      </x:c>
      <x:c r="K740" s="7" t="str"/>
      <x:c r="L740" s="7" t="str"/>
      <x:c r="M740" s="7" t="str">
        <x:f>IF(L740="","OPEN",IF(OR(NOT(ISNUMBER(H740)),NOT(ISNUMBER(I740)),NOT(ISNUMBER(K740)),ABS(J740)&gt;K740),"FAIL","PASS"))</x:f>
        <x:v>OPEN</x:v>
      </x:c>
    </x:row>
    <x:row r="741">
      <x:c r="B741" s="7" t="str">
        <x:v>CAL-CH-PEA-A-Y3-03-3</x:v>
      </x:c>
      <x:c r="C741" s="7" t="str">
        <x:v>CH-PEA-A-Y3-03-3</x:v>
      </x:c>
      <x:c r="D741" s="7" t="str">
        <x:v>PEA-A-Y3</x:v>
      </x:c>
      <x:c r="E741" s="7" t="str">
        <x:v>BLD-A</x:v>
      </x:c>
      <x:c r="F741" s="7" t="str">
        <x:v>BL-Y</x:v>
      </x:c>
      <x:c r="G741" s="7" t="str">
        <x:v>MF-03</x:v>
      </x:c>
      <x:c r="H741" s="7" t="str"/>
      <x:c r="I741" s="7" t="str"/>
      <x:c r="J741" s="7" t="str">
        <x:f>IF(OR(H741="",I741=""),"",I741-H741)</x:f>
      </x:c>
      <x:c r="K741" s="7" t="str"/>
      <x:c r="L741" s="7" t="str"/>
      <x:c r="M741" s="7" t="str">
        <x:f>IF(L741="","OPEN",IF(OR(NOT(ISNUMBER(H741)),NOT(ISNUMBER(I741)),NOT(ISNUMBER(K741)),ABS(J741)&gt;K741),"FAIL","PASS"))</x:f>
        <x:v>OPEN</x:v>
      </x:c>
    </x:row>
    <x:row r="742">
      <x:c r="B742" s="7" t="str">
        <x:v>CAL-CH-PEA-A-Y3-03-4</x:v>
      </x:c>
      <x:c r="C742" s="7" t="str">
        <x:v>CH-PEA-A-Y3-03-4</x:v>
      </x:c>
      <x:c r="D742" s="7" t="str">
        <x:v>PEA-A-Y3</x:v>
      </x:c>
      <x:c r="E742" s="7" t="str">
        <x:v>BLD-A</x:v>
      </x:c>
      <x:c r="F742" s="7" t="str">
        <x:v>BL-Y</x:v>
      </x:c>
      <x:c r="G742" s="7" t="str">
        <x:v>MF-03</x:v>
      </x:c>
      <x:c r="H742" s="7" t="str"/>
      <x:c r="I742" s="7" t="str"/>
      <x:c r="J742" s="7" t="str">
        <x:f>IF(OR(H742="",I742=""),"",I742-H742)</x:f>
      </x:c>
      <x:c r="K742" s="7" t="str"/>
      <x:c r="L742" s="7" t="str"/>
      <x:c r="M742" s="7" t="str">
        <x:f>IF(L742="","OPEN",IF(OR(NOT(ISNUMBER(H742)),NOT(ISNUMBER(I742)),NOT(ISNUMBER(K742)),ABS(J742)&gt;K742),"FAIL","PASS"))</x:f>
        <x:v>OPEN</x:v>
      </x:c>
    </x:row>
    <x:row r="743">
      <x:c r="B743" s="7" t="str">
        <x:v>CAL-CH-PEA-A-Y3-03-5</x:v>
      </x:c>
      <x:c r="C743" s="7" t="str">
        <x:v>CH-PEA-A-Y3-03-5</x:v>
      </x:c>
      <x:c r="D743" s="7" t="str">
        <x:v>PEA-A-Y3</x:v>
      </x:c>
      <x:c r="E743" s="7" t="str">
        <x:v>BLD-A</x:v>
      </x:c>
      <x:c r="F743" s="7" t="str">
        <x:v>BL-Y</x:v>
      </x:c>
      <x:c r="G743" s="7" t="str">
        <x:v>MF-03</x:v>
      </x:c>
      <x:c r="H743" s="7" t="str"/>
      <x:c r="I743" s="7" t="str"/>
      <x:c r="J743" s="7" t="str">
        <x:f>IF(OR(H743="",I743=""),"",I743-H743)</x:f>
      </x:c>
      <x:c r="K743" s="7" t="str"/>
      <x:c r="L743" s="7" t="str"/>
      <x:c r="M743" s="7" t="str">
        <x:f>IF(L743="","OPEN",IF(OR(NOT(ISNUMBER(H743)),NOT(ISNUMBER(I743)),NOT(ISNUMBER(K743)),ABS(J743)&gt;K743),"FAIL","PASS"))</x:f>
        <x:v>OPEN</x:v>
      </x:c>
    </x:row>
    <x:row r="744">
      <x:c r="B744" s="7" t="str">
        <x:v>CAL-CH-PEA-A-Y3-03-6</x:v>
      </x:c>
      <x:c r="C744" s="7" t="str">
        <x:v>CH-PEA-A-Y3-03-6</x:v>
      </x:c>
      <x:c r="D744" s="7" t="str">
        <x:v>PEA-A-Y3</x:v>
      </x:c>
      <x:c r="E744" s="7" t="str">
        <x:v>BLD-A</x:v>
      </x:c>
      <x:c r="F744" s="7" t="str">
        <x:v>BL-Y</x:v>
      </x:c>
      <x:c r="G744" s="7" t="str">
        <x:v>MF-03</x:v>
      </x:c>
      <x:c r="H744" s="7" t="str"/>
      <x:c r="I744" s="7" t="str"/>
      <x:c r="J744" s="7" t="str">
        <x:f>IF(OR(H744="",I744=""),"",I744-H744)</x:f>
      </x:c>
      <x:c r="K744" s="7" t="str"/>
      <x:c r="L744" s="7" t="str"/>
      <x:c r="M744" s="7" t="str">
        <x:f>IF(L744="","OPEN",IF(OR(NOT(ISNUMBER(H744)),NOT(ISNUMBER(I744)),NOT(ISNUMBER(K744)),ABS(J744)&gt;K744),"FAIL","PASS"))</x:f>
        <x:v>OPEN</x:v>
      </x:c>
    </x:row>
    <x:row r="745">
      <x:c r="B745" s="7" t="str">
        <x:v>CAL-CH-PEA-A-Y3-04-1</x:v>
      </x:c>
      <x:c r="C745" s="7" t="str">
        <x:v>CH-PEA-A-Y3-04-1</x:v>
      </x:c>
      <x:c r="D745" s="7" t="str">
        <x:v>PEA-A-Y3</x:v>
      </x:c>
      <x:c r="E745" s="7" t="str">
        <x:v>BLD-A</x:v>
      </x:c>
      <x:c r="F745" s="7" t="str">
        <x:v>BL-Y</x:v>
      </x:c>
      <x:c r="G745" s="7" t="str">
        <x:v>MF-04</x:v>
      </x:c>
      <x:c r="H745" s="7" t="str"/>
      <x:c r="I745" s="7" t="str"/>
      <x:c r="J745" s="7" t="str">
        <x:f>IF(OR(H745="",I745=""),"",I745-H745)</x:f>
      </x:c>
      <x:c r="K745" s="7" t="str"/>
      <x:c r="L745" s="7" t="str"/>
      <x:c r="M745" s="7" t="str">
        <x:f>IF(L745="","OPEN",IF(OR(NOT(ISNUMBER(H745)),NOT(ISNUMBER(I745)),NOT(ISNUMBER(K745)),ABS(J745)&gt;K745),"FAIL","PASS"))</x:f>
        <x:v>OPEN</x:v>
      </x:c>
    </x:row>
    <x:row r="746">
      <x:c r="B746" s="7" t="str">
        <x:v>CAL-CH-PEA-A-Y3-04-2</x:v>
      </x:c>
      <x:c r="C746" s="7" t="str">
        <x:v>CH-PEA-A-Y3-04-2</x:v>
      </x:c>
      <x:c r="D746" s="7" t="str">
        <x:v>PEA-A-Y3</x:v>
      </x:c>
      <x:c r="E746" s="7" t="str">
        <x:v>BLD-A</x:v>
      </x:c>
      <x:c r="F746" s="7" t="str">
        <x:v>BL-Y</x:v>
      </x:c>
      <x:c r="G746" s="7" t="str">
        <x:v>MF-04</x:v>
      </x:c>
      <x:c r="H746" s="7" t="str"/>
      <x:c r="I746" s="7" t="str"/>
      <x:c r="J746" s="7" t="str">
        <x:f>IF(OR(H746="",I746=""),"",I746-H746)</x:f>
      </x:c>
      <x:c r="K746" s="7" t="str"/>
      <x:c r="L746" s="7" t="str"/>
      <x:c r="M746" s="7" t="str">
        <x:f>IF(L746="","OPEN",IF(OR(NOT(ISNUMBER(H746)),NOT(ISNUMBER(I746)),NOT(ISNUMBER(K746)),ABS(J746)&gt;K746),"FAIL","PASS"))</x:f>
        <x:v>OPEN</x:v>
      </x:c>
    </x:row>
    <x:row r="747">
      <x:c r="B747" s="7" t="str">
        <x:v>CAL-CH-PEA-A-Y3-04-3</x:v>
      </x:c>
      <x:c r="C747" s="7" t="str">
        <x:v>CH-PEA-A-Y3-04-3</x:v>
      </x:c>
      <x:c r="D747" s="7" t="str">
        <x:v>PEA-A-Y3</x:v>
      </x:c>
      <x:c r="E747" s="7" t="str">
        <x:v>BLD-A</x:v>
      </x:c>
      <x:c r="F747" s="7" t="str">
        <x:v>BL-Y</x:v>
      </x:c>
      <x:c r="G747" s="7" t="str">
        <x:v>MF-04</x:v>
      </x:c>
      <x:c r="H747" s="7" t="str"/>
      <x:c r="I747" s="7" t="str"/>
      <x:c r="J747" s="7" t="str">
        <x:f>IF(OR(H747="",I747=""),"",I747-H747)</x:f>
      </x:c>
      <x:c r="K747" s="7" t="str"/>
      <x:c r="L747" s="7" t="str"/>
      <x:c r="M747" s="7" t="str">
        <x:f>IF(L747="","OPEN",IF(OR(NOT(ISNUMBER(H747)),NOT(ISNUMBER(I747)),NOT(ISNUMBER(K747)),ABS(J747)&gt;K747),"FAIL","PASS"))</x:f>
        <x:v>OPEN</x:v>
      </x:c>
    </x:row>
    <x:row r="748">
      <x:c r="B748" s="7" t="str">
        <x:v>CAL-CH-PEA-A-Y3-04-4</x:v>
      </x:c>
      <x:c r="C748" s="7" t="str">
        <x:v>CH-PEA-A-Y3-04-4</x:v>
      </x:c>
      <x:c r="D748" s="7" t="str">
        <x:v>PEA-A-Y3</x:v>
      </x:c>
      <x:c r="E748" s="7" t="str">
        <x:v>BLD-A</x:v>
      </x:c>
      <x:c r="F748" s="7" t="str">
        <x:v>BL-Y</x:v>
      </x:c>
      <x:c r="G748" s="7" t="str">
        <x:v>MF-04</x:v>
      </x:c>
      <x:c r="H748" s="7" t="str"/>
      <x:c r="I748" s="7" t="str"/>
      <x:c r="J748" s="7" t="str">
        <x:f>IF(OR(H748="",I748=""),"",I748-H748)</x:f>
      </x:c>
      <x:c r="K748" s="7" t="str"/>
      <x:c r="L748" s="7" t="str"/>
      <x:c r="M748" s="7" t="str">
        <x:f>IF(L748="","OPEN",IF(OR(NOT(ISNUMBER(H748)),NOT(ISNUMBER(I748)),NOT(ISNUMBER(K748)),ABS(J748)&gt;K748),"FAIL","PASS"))</x:f>
        <x:v>OPEN</x:v>
      </x:c>
    </x:row>
    <x:row r="749">
      <x:c r="B749" s="7" t="str">
        <x:v>CAL-CH-PEA-A-Y3-04-5</x:v>
      </x:c>
      <x:c r="C749" s="7" t="str">
        <x:v>CH-PEA-A-Y3-04-5</x:v>
      </x:c>
      <x:c r="D749" s="7" t="str">
        <x:v>PEA-A-Y3</x:v>
      </x:c>
      <x:c r="E749" s="7" t="str">
        <x:v>BLD-A</x:v>
      </x:c>
      <x:c r="F749" s="7" t="str">
        <x:v>BL-Y</x:v>
      </x:c>
      <x:c r="G749" s="7" t="str">
        <x:v>MF-04</x:v>
      </x:c>
      <x:c r="H749" s="7" t="str"/>
      <x:c r="I749" s="7" t="str"/>
      <x:c r="J749" s="7" t="str">
        <x:f>IF(OR(H749="",I749=""),"",I749-H749)</x:f>
      </x:c>
      <x:c r="K749" s="7" t="str"/>
      <x:c r="L749" s="7" t="str"/>
      <x:c r="M749" s="7" t="str">
        <x:f>IF(L749="","OPEN",IF(OR(NOT(ISNUMBER(H749)),NOT(ISNUMBER(I749)),NOT(ISNUMBER(K749)),ABS(J749)&gt;K749),"FAIL","PASS"))</x:f>
        <x:v>OPEN</x:v>
      </x:c>
    </x:row>
    <x:row r="750">
      <x:c r="B750" s="7" t="str">
        <x:v>CAL-CH-PEA-A-Y3-04-6</x:v>
      </x:c>
      <x:c r="C750" s="7" t="str">
        <x:v>CH-PEA-A-Y3-04-6</x:v>
      </x:c>
      <x:c r="D750" s="7" t="str">
        <x:v>PEA-A-Y3</x:v>
      </x:c>
      <x:c r="E750" s="7" t="str">
        <x:v>BLD-A</x:v>
      </x:c>
      <x:c r="F750" s="7" t="str">
        <x:v>BL-Y</x:v>
      </x:c>
      <x:c r="G750" s="7" t="str">
        <x:v>MF-04</x:v>
      </x:c>
      <x:c r="H750" s="7" t="str"/>
      <x:c r="I750" s="7" t="str"/>
      <x:c r="J750" s="7" t="str">
        <x:f>IF(OR(H750="",I750=""),"",I750-H750)</x:f>
      </x:c>
      <x:c r="K750" s="7" t="str"/>
      <x:c r="L750" s="7" t="str"/>
      <x:c r="M750" s="7" t="str">
        <x:f>IF(L750="","OPEN",IF(OR(NOT(ISNUMBER(H750)),NOT(ISNUMBER(I750)),NOT(ISNUMBER(K750)),ABS(J750)&gt;K750),"FAIL","PASS"))</x:f>
        <x:v>OPEN</x:v>
      </x:c>
    </x:row>
    <x:row r="751">
      <x:c r="B751" s="7" t="str">
        <x:v>CAL-CH-PEA-A-Y3-05-1</x:v>
      </x:c>
      <x:c r="C751" s="7" t="str">
        <x:v>CH-PEA-A-Y3-05-1</x:v>
      </x:c>
      <x:c r="D751" s="7" t="str">
        <x:v>PEA-A-Y3</x:v>
      </x:c>
      <x:c r="E751" s="7" t="str">
        <x:v>BLD-A</x:v>
      </x:c>
      <x:c r="F751" s="7" t="str">
        <x:v>BL-Y</x:v>
      </x:c>
      <x:c r="G751" s="7" t="str">
        <x:v>MF-05</x:v>
      </x:c>
      <x:c r="H751" s="7" t="str"/>
      <x:c r="I751" s="7" t="str"/>
      <x:c r="J751" s="7" t="str">
        <x:f>IF(OR(H751="",I751=""),"",I751-H751)</x:f>
      </x:c>
      <x:c r="K751" s="7" t="str"/>
      <x:c r="L751" s="7" t="str"/>
      <x:c r="M751" s="7" t="str">
        <x:f>IF(L751="","OPEN",IF(OR(NOT(ISNUMBER(H751)),NOT(ISNUMBER(I751)),NOT(ISNUMBER(K751)),ABS(J751)&gt;K751),"FAIL","PASS"))</x:f>
        <x:v>OPEN</x:v>
      </x:c>
    </x:row>
    <x:row r="752">
      <x:c r="B752" s="7" t="str">
        <x:v>CAL-CH-PEA-A-Y3-05-2</x:v>
      </x:c>
      <x:c r="C752" s="7" t="str">
        <x:v>CH-PEA-A-Y3-05-2</x:v>
      </x:c>
      <x:c r="D752" s="7" t="str">
        <x:v>PEA-A-Y3</x:v>
      </x:c>
      <x:c r="E752" s="7" t="str">
        <x:v>BLD-A</x:v>
      </x:c>
      <x:c r="F752" s="7" t="str">
        <x:v>BL-Y</x:v>
      </x:c>
      <x:c r="G752" s="7" t="str">
        <x:v>MF-05</x:v>
      </x:c>
      <x:c r="H752" s="7" t="str"/>
      <x:c r="I752" s="7" t="str"/>
      <x:c r="J752" s="7" t="str">
        <x:f>IF(OR(H752="",I752=""),"",I752-H752)</x:f>
      </x:c>
      <x:c r="K752" s="7" t="str"/>
      <x:c r="L752" s="7" t="str"/>
      <x:c r="M752" s="7" t="str">
        <x:f>IF(L752="","OPEN",IF(OR(NOT(ISNUMBER(H752)),NOT(ISNUMBER(I752)),NOT(ISNUMBER(K752)),ABS(J752)&gt;K752),"FAIL","PASS"))</x:f>
        <x:v>OPEN</x:v>
      </x:c>
    </x:row>
    <x:row r="753">
      <x:c r="B753" s="7" t="str">
        <x:v>CAL-CH-PEA-A-Y3-05-3</x:v>
      </x:c>
      <x:c r="C753" s="7" t="str">
        <x:v>CH-PEA-A-Y3-05-3</x:v>
      </x:c>
      <x:c r="D753" s="7" t="str">
        <x:v>PEA-A-Y3</x:v>
      </x:c>
      <x:c r="E753" s="7" t="str">
        <x:v>BLD-A</x:v>
      </x:c>
      <x:c r="F753" s="7" t="str">
        <x:v>BL-Y</x:v>
      </x:c>
      <x:c r="G753" s="7" t="str">
        <x:v>MF-05</x:v>
      </x:c>
      <x:c r="H753" s="7" t="str"/>
      <x:c r="I753" s="7" t="str"/>
      <x:c r="J753" s="7" t="str">
        <x:f>IF(OR(H753="",I753=""),"",I753-H753)</x:f>
      </x:c>
      <x:c r="K753" s="7" t="str"/>
      <x:c r="L753" s="7" t="str"/>
      <x:c r="M753" s="7" t="str">
        <x:f>IF(L753="","OPEN",IF(OR(NOT(ISNUMBER(H753)),NOT(ISNUMBER(I753)),NOT(ISNUMBER(K753)),ABS(J753)&gt;K753),"FAIL","PASS"))</x:f>
        <x:v>OPEN</x:v>
      </x:c>
    </x:row>
    <x:row r="754">
      <x:c r="B754" s="7" t="str">
        <x:v>CAL-CH-PEA-A-Y3-05-4</x:v>
      </x:c>
      <x:c r="C754" s="7" t="str">
        <x:v>CH-PEA-A-Y3-05-4</x:v>
      </x:c>
      <x:c r="D754" s="7" t="str">
        <x:v>PEA-A-Y3</x:v>
      </x:c>
      <x:c r="E754" s="7" t="str">
        <x:v>BLD-A</x:v>
      </x:c>
      <x:c r="F754" s="7" t="str">
        <x:v>BL-Y</x:v>
      </x:c>
      <x:c r="G754" s="7" t="str">
        <x:v>MF-05</x:v>
      </x:c>
      <x:c r="H754" s="7" t="str"/>
      <x:c r="I754" s="7" t="str"/>
      <x:c r="J754" s="7" t="str">
        <x:f>IF(OR(H754="",I754=""),"",I754-H754)</x:f>
      </x:c>
      <x:c r="K754" s="7" t="str"/>
      <x:c r="L754" s="7" t="str"/>
      <x:c r="M754" s="7" t="str">
        <x:f>IF(L754="","OPEN",IF(OR(NOT(ISNUMBER(H754)),NOT(ISNUMBER(I754)),NOT(ISNUMBER(K754)),ABS(J754)&gt;K754),"FAIL","PASS"))</x:f>
        <x:v>OPEN</x:v>
      </x:c>
    </x:row>
    <x:row r="755">
      <x:c r="B755" s="7" t="str">
        <x:v>CAL-CH-PEA-A-Y3-05-5</x:v>
      </x:c>
      <x:c r="C755" s="7" t="str">
        <x:v>CH-PEA-A-Y3-05-5</x:v>
      </x:c>
      <x:c r="D755" s="7" t="str">
        <x:v>PEA-A-Y3</x:v>
      </x:c>
      <x:c r="E755" s="7" t="str">
        <x:v>BLD-A</x:v>
      </x:c>
      <x:c r="F755" s="7" t="str">
        <x:v>BL-Y</x:v>
      </x:c>
      <x:c r="G755" s="7" t="str">
        <x:v>MF-05</x:v>
      </x:c>
      <x:c r="H755" s="7" t="str"/>
      <x:c r="I755" s="7" t="str"/>
      <x:c r="J755" s="7" t="str">
        <x:f>IF(OR(H755="",I755=""),"",I755-H755)</x:f>
      </x:c>
      <x:c r="K755" s="7" t="str"/>
      <x:c r="L755" s="7" t="str"/>
      <x:c r="M755" s="7" t="str">
        <x:f>IF(L755="","OPEN",IF(OR(NOT(ISNUMBER(H755)),NOT(ISNUMBER(I755)),NOT(ISNUMBER(K755)),ABS(J755)&gt;K755),"FAIL","PASS"))</x:f>
        <x:v>OPEN</x:v>
      </x:c>
    </x:row>
    <x:row r="756">
      <x:c r="B756" s="7" t="str">
        <x:v>CAL-CH-PEA-A-Y3-05-6</x:v>
      </x:c>
      <x:c r="C756" s="7" t="str">
        <x:v>CH-PEA-A-Y3-05-6</x:v>
      </x:c>
      <x:c r="D756" s="7" t="str">
        <x:v>PEA-A-Y3</x:v>
      </x:c>
      <x:c r="E756" s="7" t="str">
        <x:v>BLD-A</x:v>
      </x:c>
      <x:c r="F756" s="7" t="str">
        <x:v>BL-Y</x:v>
      </x:c>
      <x:c r="G756" s="7" t="str">
        <x:v>MF-05</x:v>
      </x:c>
      <x:c r="H756" s="7" t="str"/>
      <x:c r="I756" s="7" t="str"/>
      <x:c r="J756" s="7" t="str">
        <x:f>IF(OR(H756="",I756=""),"",I756-H756)</x:f>
      </x:c>
      <x:c r="K756" s="7" t="str"/>
      <x:c r="L756" s="7" t="str"/>
      <x:c r="M756" s="7" t="str">
        <x:f>IF(L756="","OPEN",IF(OR(NOT(ISNUMBER(H756)),NOT(ISNUMBER(I756)),NOT(ISNUMBER(K756)),ABS(J756)&gt;K756),"FAIL","PASS"))</x:f>
        <x:v>OPEN</x:v>
      </x:c>
    </x:row>
    <x:row r="757">
      <x:c r="B757" s="7" t="str">
        <x:v>CAL-CH-PEA-A-Y3-06-1</x:v>
      </x:c>
      <x:c r="C757" s="7" t="str">
        <x:v>CH-PEA-A-Y3-06-1</x:v>
      </x:c>
      <x:c r="D757" s="7" t="str">
        <x:v>PEA-A-Y3</x:v>
      </x:c>
      <x:c r="E757" s="7" t="str">
        <x:v>BLD-A</x:v>
      </x:c>
      <x:c r="F757" s="7" t="str">
        <x:v>BL-Y</x:v>
      </x:c>
      <x:c r="G757" s="7" t="str">
        <x:v>MF-06</x:v>
      </x:c>
      <x:c r="H757" s="7" t="str"/>
      <x:c r="I757" s="7" t="str"/>
      <x:c r="J757" s="7" t="str">
        <x:f>IF(OR(H757="",I757=""),"",I757-H757)</x:f>
      </x:c>
      <x:c r="K757" s="7" t="str"/>
      <x:c r="L757" s="7" t="str"/>
      <x:c r="M757" s="7" t="str">
        <x:f>IF(L757="","OPEN",IF(OR(NOT(ISNUMBER(H757)),NOT(ISNUMBER(I757)),NOT(ISNUMBER(K757)),ABS(J757)&gt;K757),"FAIL","PASS"))</x:f>
        <x:v>OPEN</x:v>
      </x:c>
    </x:row>
    <x:row r="758">
      <x:c r="B758" s="7" t="str">
        <x:v>CAL-CH-PEA-A-Y3-06-2</x:v>
      </x:c>
      <x:c r="C758" s="7" t="str">
        <x:v>CH-PEA-A-Y3-06-2</x:v>
      </x:c>
      <x:c r="D758" s="7" t="str">
        <x:v>PEA-A-Y3</x:v>
      </x:c>
      <x:c r="E758" s="7" t="str">
        <x:v>BLD-A</x:v>
      </x:c>
      <x:c r="F758" s="7" t="str">
        <x:v>BL-Y</x:v>
      </x:c>
      <x:c r="G758" s="7" t="str">
        <x:v>MF-06</x:v>
      </x:c>
      <x:c r="H758" s="7" t="str"/>
      <x:c r="I758" s="7" t="str"/>
      <x:c r="J758" s="7" t="str">
        <x:f>IF(OR(H758="",I758=""),"",I758-H758)</x:f>
      </x:c>
      <x:c r="K758" s="7" t="str"/>
      <x:c r="L758" s="7" t="str"/>
      <x:c r="M758" s="7" t="str">
        <x:f>IF(L758="","OPEN",IF(OR(NOT(ISNUMBER(H758)),NOT(ISNUMBER(I758)),NOT(ISNUMBER(K758)),ABS(J758)&gt;K758),"FAIL","PASS"))</x:f>
        <x:v>OPEN</x:v>
      </x:c>
    </x:row>
    <x:row r="759">
      <x:c r="B759" s="7" t="str">
        <x:v>CAL-CH-PEA-A-Y3-06-3</x:v>
      </x:c>
      <x:c r="C759" s="7" t="str">
        <x:v>CH-PEA-A-Y3-06-3</x:v>
      </x:c>
      <x:c r="D759" s="7" t="str">
        <x:v>PEA-A-Y3</x:v>
      </x:c>
      <x:c r="E759" s="7" t="str">
        <x:v>BLD-A</x:v>
      </x:c>
      <x:c r="F759" s="7" t="str">
        <x:v>BL-Y</x:v>
      </x:c>
      <x:c r="G759" s="7" t="str">
        <x:v>MF-06</x:v>
      </x:c>
      <x:c r="H759" s="7" t="str"/>
      <x:c r="I759" s="7" t="str"/>
      <x:c r="J759" s="7" t="str">
        <x:f>IF(OR(H759="",I759=""),"",I759-H759)</x:f>
      </x:c>
      <x:c r="K759" s="7" t="str"/>
      <x:c r="L759" s="7" t="str"/>
      <x:c r="M759" s="7" t="str">
        <x:f>IF(L759="","OPEN",IF(OR(NOT(ISNUMBER(H759)),NOT(ISNUMBER(I759)),NOT(ISNUMBER(K759)),ABS(J759)&gt;K759),"FAIL","PASS"))</x:f>
        <x:v>OPEN</x:v>
      </x:c>
    </x:row>
    <x:row r="760">
      <x:c r="B760" s="7" t="str">
        <x:v>CAL-CH-PEA-A-Y3-06-4</x:v>
      </x:c>
      <x:c r="C760" s="7" t="str">
        <x:v>CH-PEA-A-Y3-06-4</x:v>
      </x:c>
      <x:c r="D760" s="7" t="str">
        <x:v>PEA-A-Y3</x:v>
      </x:c>
      <x:c r="E760" s="7" t="str">
        <x:v>BLD-A</x:v>
      </x:c>
      <x:c r="F760" s="7" t="str">
        <x:v>BL-Y</x:v>
      </x:c>
      <x:c r="G760" s="7" t="str">
        <x:v>MF-06</x:v>
      </x:c>
      <x:c r="H760" s="7" t="str"/>
      <x:c r="I760" s="7" t="str"/>
      <x:c r="J760" s="7" t="str">
        <x:f>IF(OR(H760="",I760=""),"",I760-H760)</x:f>
      </x:c>
      <x:c r="K760" s="7" t="str"/>
      <x:c r="L760" s="7" t="str"/>
      <x:c r="M760" s="7" t="str">
        <x:f>IF(L760="","OPEN",IF(OR(NOT(ISNUMBER(H760)),NOT(ISNUMBER(I760)),NOT(ISNUMBER(K760)),ABS(J760)&gt;K760),"FAIL","PASS"))</x:f>
        <x:v>OPEN</x:v>
      </x:c>
    </x:row>
    <x:row r="761">
      <x:c r="B761" s="7" t="str">
        <x:v>CAL-CH-PEA-A-Y3-06-5</x:v>
      </x:c>
      <x:c r="C761" s="7" t="str">
        <x:v>CH-PEA-A-Y3-06-5</x:v>
      </x:c>
      <x:c r="D761" s="7" t="str">
        <x:v>PEA-A-Y3</x:v>
      </x:c>
      <x:c r="E761" s="7" t="str">
        <x:v>BLD-A</x:v>
      </x:c>
      <x:c r="F761" s="7" t="str">
        <x:v>BL-Y</x:v>
      </x:c>
      <x:c r="G761" s="7" t="str">
        <x:v>MF-06</x:v>
      </x:c>
      <x:c r="H761" s="7" t="str"/>
      <x:c r="I761" s="7" t="str"/>
      <x:c r="J761" s="7" t="str">
        <x:f>IF(OR(H761="",I761=""),"",I761-H761)</x:f>
      </x:c>
      <x:c r="K761" s="7" t="str"/>
      <x:c r="L761" s="7" t="str"/>
      <x:c r="M761" s="7" t="str">
        <x:f>IF(L761="","OPEN",IF(OR(NOT(ISNUMBER(H761)),NOT(ISNUMBER(I761)),NOT(ISNUMBER(K761)),ABS(J761)&gt;K761),"FAIL","PASS"))</x:f>
        <x:v>OPEN</x:v>
      </x:c>
    </x:row>
    <x:row r="762">
      <x:c r="B762" s="7" t="str">
        <x:v>CAL-CH-PEA-A-Y3-06-6</x:v>
      </x:c>
      <x:c r="C762" s="7" t="str">
        <x:v>CH-PEA-A-Y3-06-6</x:v>
      </x:c>
      <x:c r="D762" s="7" t="str">
        <x:v>PEA-A-Y3</x:v>
      </x:c>
      <x:c r="E762" s="7" t="str">
        <x:v>BLD-A</x:v>
      </x:c>
      <x:c r="F762" s="7" t="str">
        <x:v>BL-Y</x:v>
      </x:c>
      <x:c r="G762" s="7" t="str">
        <x:v>MF-06</x:v>
      </x:c>
      <x:c r="H762" s="7" t="str"/>
      <x:c r="I762" s="7" t="str"/>
      <x:c r="J762" s="7" t="str">
        <x:f>IF(OR(H762="",I762=""),"",I762-H762)</x:f>
      </x:c>
      <x:c r="K762" s="7" t="str"/>
      <x:c r="L762" s="7" t="str"/>
      <x:c r="M762" s="7" t="str">
        <x:f>IF(L762="","OPEN",IF(OR(NOT(ISNUMBER(H762)),NOT(ISNUMBER(I762)),NOT(ISNUMBER(K762)),ABS(J762)&gt;K762),"FAIL","PASS"))</x:f>
        <x:v>OPEN</x:v>
      </x:c>
    </x:row>
    <x:row r="763">
      <x:c r="B763" s="7" t="str">
        <x:v>CAL-CH-PEA-A-Y3-07-1</x:v>
      </x:c>
      <x:c r="C763" s="7" t="str">
        <x:v>CH-PEA-A-Y3-07-1</x:v>
      </x:c>
      <x:c r="D763" s="7" t="str">
        <x:v>PEA-A-Y3</x:v>
      </x:c>
      <x:c r="E763" s="7" t="str">
        <x:v>BLD-A</x:v>
      </x:c>
      <x:c r="F763" s="7" t="str">
        <x:v>BL-Y</x:v>
      </x:c>
      <x:c r="G763" s="7" t="str">
        <x:v>MF-07</x:v>
      </x:c>
      <x:c r="H763" s="7" t="str"/>
      <x:c r="I763" s="7" t="str"/>
      <x:c r="J763" s="7" t="str">
        <x:f>IF(OR(H763="",I763=""),"",I763-H763)</x:f>
      </x:c>
      <x:c r="K763" s="7" t="str"/>
      <x:c r="L763" s="7" t="str"/>
      <x:c r="M763" s="7" t="str">
        <x:f>IF(L763="","OPEN",IF(OR(NOT(ISNUMBER(H763)),NOT(ISNUMBER(I763)),NOT(ISNUMBER(K763)),ABS(J763)&gt;K763),"FAIL","PASS"))</x:f>
        <x:v>OPEN</x:v>
      </x:c>
    </x:row>
    <x:row r="764">
      <x:c r="B764" s="7" t="str">
        <x:v>CAL-CH-PEA-A-Y3-07-2</x:v>
      </x:c>
      <x:c r="C764" s="7" t="str">
        <x:v>CH-PEA-A-Y3-07-2</x:v>
      </x:c>
      <x:c r="D764" s="7" t="str">
        <x:v>PEA-A-Y3</x:v>
      </x:c>
      <x:c r="E764" s="7" t="str">
        <x:v>BLD-A</x:v>
      </x:c>
      <x:c r="F764" s="7" t="str">
        <x:v>BL-Y</x:v>
      </x:c>
      <x:c r="G764" s="7" t="str">
        <x:v>MF-07</x:v>
      </x:c>
      <x:c r="H764" s="7" t="str"/>
      <x:c r="I764" s="7" t="str"/>
      <x:c r="J764" s="7" t="str">
        <x:f>IF(OR(H764="",I764=""),"",I764-H764)</x:f>
      </x:c>
      <x:c r="K764" s="7" t="str"/>
      <x:c r="L764" s="7" t="str"/>
      <x:c r="M764" s="7" t="str">
        <x:f>IF(L764="","OPEN",IF(OR(NOT(ISNUMBER(H764)),NOT(ISNUMBER(I764)),NOT(ISNUMBER(K764)),ABS(J764)&gt;K764),"FAIL","PASS"))</x:f>
        <x:v>OPEN</x:v>
      </x:c>
    </x:row>
    <x:row r="765">
      <x:c r="B765" s="7" t="str">
        <x:v>CAL-CH-PEA-A-Y3-07-3</x:v>
      </x:c>
      <x:c r="C765" s="7" t="str">
        <x:v>CH-PEA-A-Y3-07-3</x:v>
      </x:c>
      <x:c r="D765" s="7" t="str">
        <x:v>PEA-A-Y3</x:v>
      </x:c>
      <x:c r="E765" s="7" t="str">
        <x:v>BLD-A</x:v>
      </x:c>
      <x:c r="F765" s="7" t="str">
        <x:v>BL-Y</x:v>
      </x:c>
      <x:c r="G765" s="7" t="str">
        <x:v>MF-07</x:v>
      </x:c>
      <x:c r="H765" s="7" t="str"/>
      <x:c r="I765" s="7" t="str"/>
      <x:c r="J765" s="7" t="str">
        <x:f>IF(OR(H765="",I765=""),"",I765-H765)</x:f>
      </x:c>
      <x:c r="K765" s="7" t="str"/>
      <x:c r="L765" s="7" t="str"/>
      <x:c r="M765" s="7" t="str">
        <x:f>IF(L765="","OPEN",IF(OR(NOT(ISNUMBER(H765)),NOT(ISNUMBER(I765)),NOT(ISNUMBER(K765)),ABS(J765)&gt;K765),"FAIL","PASS"))</x:f>
        <x:v>OPEN</x:v>
      </x:c>
    </x:row>
    <x:row r="766">
      <x:c r="B766" s="7" t="str">
        <x:v>CAL-CH-PEA-A-Y3-07-4</x:v>
      </x:c>
      <x:c r="C766" s="7" t="str">
        <x:v>CH-PEA-A-Y3-07-4</x:v>
      </x:c>
      <x:c r="D766" s="7" t="str">
        <x:v>PEA-A-Y3</x:v>
      </x:c>
      <x:c r="E766" s="7" t="str">
        <x:v>BLD-A</x:v>
      </x:c>
      <x:c r="F766" s="7" t="str">
        <x:v>BL-Y</x:v>
      </x:c>
      <x:c r="G766" s="7" t="str">
        <x:v>MF-07</x:v>
      </x:c>
      <x:c r="H766" s="7" t="str"/>
      <x:c r="I766" s="7" t="str"/>
      <x:c r="J766" s="7" t="str">
        <x:f>IF(OR(H766="",I766=""),"",I766-H766)</x:f>
      </x:c>
      <x:c r="K766" s="7" t="str"/>
      <x:c r="L766" s="7" t="str"/>
      <x:c r="M766" s="7" t="str">
        <x:f>IF(L766="","OPEN",IF(OR(NOT(ISNUMBER(H766)),NOT(ISNUMBER(I766)),NOT(ISNUMBER(K766)),ABS(J766)&gt;K766),"FAIL","PASS"))</x:f>
        <x:v>OPEN</x:v>
      </x:c>
    </x:row>
    <x:row r="767">
      <x:c r="B767" s="7" t="str">
        <x:v>CAL-CH-PEA-A-Y3-07-5</x:v>
      </x:c>
      <x:c r="C767" s="7" t="str">
        <x:v>CH-PEA-A-Y3-07-5</x:v>
      </x:c>
      <x:c r="D767" s="7" t="str">
        <x:v>PEA-A-Y3</x:v>
      </x:c>
      <x:c r="E767" s="7" t="str">
        <x:v>BLD-A</x:v>
      </x:c>
      <x:c r="F767" s="7" t="str">
        <x:v>BL-Y</x:v>
      </x:c>
      <x:c r="G767" s="7" t="str">
        <x:v>MF-07</x:v>
      </x:c>
      <x:c r="H767" s="7" t="str"/>
      <x:c r="I767" s="7" t="str"/>
      <x:c r="J767" s="7" t="str">
        <x:f>IF(OR(H767="",I767=""),"",I767-H767)</x:f>
      </x:c>
      <x:c r="K767" s="7" t="str"/>
      <x:c r="L767" s="7" t="str"/>
      <x:c r="M767" s="7" t="str">
        <x:f>IF(L767="","OPEN",IF(OR(NOT(ISNUMBER(H767)),NOT(ISNUMBER(I767)),NOT(ISNUMBER(K767)),ABS(J767)&gt;K767),"FAIL","PASS"))</x:f>
        <x:v>OPEN</x:v>
      </x:c>
    </x:row>
    <x:row r="768">
      <x:c r="B768" s="7" t="str">
        <x:v>CAL-CH-PEA-A-Y3-07-6</x:v>
      </x:c>
      <x:c r="C768" s="7" t="str">
        <x:v>CH-PEA-A-Y3-07-6</x:v>
      </x:c>
      <x:c r="D768" s="7" t="str">
        <x:v>PEA-A-Y3</x:v>
      </x:c>
      <x:c r="E768" s="7" t="str">
        <x:v>BLD-A</x:v>
      </x:c>
      <x:c r="F768" s="7" t="str">
        <x:v>BL-Y</x:v>
      </x:c>
      <x:c r="G768" s="7" t="str">
        <x:v>MF-07</x:v>
      </x:c>
      <x:c r="H768" s="7" t="str"/>
      <x:c r="I768" s="7" t="str"/>
      <x:c r="J768" s="7" t="str">
        <x:f>IF(OR(H768="",I768=""),"",I768-H768)</x:f>
      </x:c>
      <x:c r="K768" s="7" t="str"/>
      <x:c r="L768" s="7" t="str"/>
      <x:c r="M768" s="7" t="str">
        <x:f>IF(L768="","OPEN",IF(OR(NOT(ISNUMBER(H768)),NOT(ISNUMBER(I768)),NOT(ISNUMBER(K768)),ABS(J768)&gt;K768),"FAIL","PASS"))</x:f>
        <x:v>OPEN</x:v>
      </x:c>
    </x:row>
    <x:row r="769">
      <x:c r="B769" s="7" t="str">
        <x:v>CAL-CH-PEA-A-Y3-08-1</x:v>
      </x:c>
      <x:c r="C769" s="7" t="str">
        <x:v>CH-PEA-A-Y3-08-1</x:v>
      </x:c>
      <x:c r="D769" s="7" t="str">
        <x:v>PEA-A-Y3</x:v>
      </x:c>
      <x:c r="E769" s="7" t="str">
        <x:v>BLD-A</x:v>
      </x:c>
      <x:c r="F769" s="7" t="str">
        <x:v>BL-Y</x:v>
      </x:c>
      <x:c r="G769" s="7" t="str">
        <x:v>MF-08</x:v>
      </x:c>
      <x:c r="H769" s="7" t="str"/>
      <x:c r="I769" s="7" t="str"/>
      <x:c r="J769" s="7" t="str">
        <x:f>IF(OR(H769="",I769=""),"",I769-H769)</x:f>
      </x:c>
      <x:c r="K769" s="7" t="str"/>
      <x:c r="L769" s="7" t="str"/>
      <x:c r="M769" s="7" t="str">
        <x:f>IF(L769="","OPEN",IF(OR(NOT(ISNUMBER(H769)),NOT(ISNUMBER(I769)),NOT(ISNUMBER(K769)),ABS(J769)&gt;K769),"FAIL","PASS"))</x:f>
        <x:v>OPEN</x:v>
      </x:c>
    </x:row>
    <x:row r="770">
      <x:c r="B770" s="7" t="str">
        <x:v>CAL-CH-PEA-A-Y3-08-2</x:v>
      </x:c>
      <x:c r="C770" s="7" t="str">
        <x:v>CH-PEA-A-Y3-08-2</x:v>
      </x:c>
      <x:c r="D770" s="7" t="str">
        <x:v>PEA-A-Y3</x:v>
      </x:c>
      <x:c r="E770" s="7" t="str">
        <x:v>BLD-A</x:v>
      </x:c>
      <x:c r="F770" s="7" t="str">
        <x:v>BL-Y</x:v>
      </x:c>
      <x:c r="G770" s="7" t="str">
        <x:v>MF-08</x:v>
      </x:c>
      <x:c r="H770" s="7" t="str"/>
      <x:c r="I770" s="7" t="str"/>
      <x:c r="J770" s="7" t="str">
        <x:f>IF(OR(H770="",I770=""),"",I770-H770)</x:f>
      </x:c>
      <x:c r="K770" s="7" t="str"/>
      <x:c r="L770" s="7" t="str"/>
      <x:c r="M770" s="7" t="str">
        <x:f>IF(L770="","OPEN",IF(OR(NOT(ISNUMBER(H770)),NOT(ISNUMBER(I770)),NOT(ISNUMBER(K770)),ABS(J770)&gt;K770),"FAIL","PASS"))</x:f>
        <x:v>OPEN</x:v>
      </x:c>
    </x:row>
    <x:row r="771">
      <x:c r="B771" s="7" t="str">
        <x:v>CAL-CH-PEA-A-Y3-08-3</x:v>
      </x:c>
      <x:c r="C771" s="7" t="str">
        <x:v>CH-PEA-A-Y3-08-3</x:v>
      </x:c>
      <x:c r="D771" s="7" t="str">
        <x:v>PEA-A-Y3</x:v>
      </x:c>
      <x:c r="E771" s="7" t="str">
        <x:v>BLD-A</x:v>
      </x:c>
      <x:c r="F771" s="7" t="str">
        <x:v>BL-Y</x:v>
      </x:c>
      <x:c r="G771" s="7" t="str">
        <x:v>MF-08</x:v>
      </x:c>
      <x:c r="H771" s="7" t="str"/>
      <x:c r="I771" s="7" t="str"/>
      <x:c r="J771" s="7" t="str">
        <x:f>IF(OR(H771="",I771=""),"",I771-H771)</x:f>
      </x:c>
      <x:c r="K771" s="7" t="str"/>
      <x:c r="L771" s="7" t="str"/>
      <x:c r="M771" s="7" t="str">
        <x:f>IF(L771="","OPEN",IF(OR(NOT(ISNUMBER(H771)),NOT(ISNUMBER(I771)),NOT(ISNUMBER(K771)),ABS(J771)&gt;K771),"FAIL","PASS"))</x:f>
        <x:v>OPEN</x:v>
      </x:c>
    </x:row>
    <x:row r="772">
      <x:c r="B772" s="7" t="str">
        <x:v>CAL-CH-PEA-A-Y3-08-4</x:v>
      </x:c>
      <x:c r="C772" s="7" t="str">
        <x:v>CH-PEA-A-Y3-08-4</x:v>
      </x:c>
      <x:c r="D772" s="7" t="str">
        <x:v>PEA-A-Y3</x:v>
      </x:c>
      <x:c r="E772" s="7" t="str">
        <x:v>BLD-A</x:v>
      </x:c>
      <x:c r="F772" s="7" t="str">
        <x:v>BL-Y</x:v>
      </x:c>
      <x:c r="G772" s="7" t="str">
        <x:v>MF-08</x:v>
      </x:c>
      <x:c r="H772" s="7" t="str"/>
      <x:c r="I772" s="7" t="str"/>
      <x:c r="J772" s="7" t="str">
        <x:f>IF(OR(H772="",I772=""),"",I772-H772)</x:f>
      </x:c>
      <x:c r="K772" s="7" t="str"/>
      <x:c r="L772" s="7" t="str"/>
      <x:c r="M772" s="7" t="str">
        <x:f>IF(L772="","OPEN",IF(OR(NOT(ISNUMBER(H772)),NOT(ISNUMBER(I772)),NOT(ISNUMBER(K772)),ABS(J772)&gt;K772),"FAIL","PASS"))</x:f>
        <x:v>OPEN</x:v>
      </x:c>
    </x:row>
    <x:row r="773">
      <x:c r="B773" s="7" t="str">
        <x:v>CAL-CH-PEA-A-Y3-08-5</x:v>
      </x:c>
      <x:c r="C773" s="7" t="str">
        <x:v>CH-PEA-A-Y3-08-5</x:v>
      </x:c>
      <x:c r="D773" s="7" t="str">
        <x:v>PEA-A-Y3</x:v>
      </x:c>
      <x:c r="E773" s="7" t="str">
        <x:v>BLD-A</x:v>
      </x:c>
      <x:c r="F773" s="7" t="str">
        <x:v>BL-Y</x:v>
      </x:c>
      <x:c r="G773" s="7" t="str">
        <x:v>MF-08</x:v>
      </x:c>
      <x:c r="H773" s="7" t="str"/>
      <x:c r="I773" s="7" t="str"/>
      <x:c r="J773" s="7" t="str">
        <x:f>IF(OR(H773="",I773=""),"",I773-H773)</x:f>
      </x:c>
      <x:c r="K773" s="7" t="str"/>
      <x:c r="L773" s="7" t="str"/>
      <x:c r="M773" s="7" t="str">
        <x:f>IF(L773="","OPEN",IF(OR(NOT(ISNUMBER(H773)),NOT(ISNUMBER(I773)),NOT(ISNUMBER(K773)),ABS(J773)&gt;K773),"FAIL","PASS"))</x:f>
        <x:v>OPEN</x:v>
      </x:c>
    </x:row>
    <x:row r="774">
      <x:c r="B774" s="7" t="str">
        <x:v>CAL-CH-PEA-A-Y3-08-6</x:v>
      </x:c>
      <x:c r="C774" s="7" t="str">
        <x:v>CH-PEA-A-Y3-08-6</x:v>
      </x:c>
      <x:c r="D774" s="7" t="str">
        <x:v>PEA-A-Y3</x:v>
      </x:c>
      <x:c r="E774" s="7" t="str">
        <x:v>BLD-A</x:v>
      </x:c>
      <x:c r="F774" s="7" t="str">
        <x:v>BL-Y</x:v>
      </x:c>
      <x:c r="G774" s="7" t="str">
        <x:v>MF-08</x:v>
      </x:c>
      <x:c r="H774" s="7" t="str"/>
      <x:c r="I774" s="7" t="str"/>
      <x:c r="J774" s="7" t="str">
        <x:f>IF(OR(H774="",I774=""),"",I774-H774)</x:f>
      </x:c>
      <x:c r="K774" s="7" t="str"/>
      <x:c r="L774" s="7" t="str"/>
      <x:c r="M774" s="7" t="str">
        <x:f>IF(L774="","OPEN",IF(OR(NOT(ISNUMBER(H774)),NOT(ISNUMBER(I774)),NOT(ISNUMBER(K774)),ABS(J774)&gt;K774),"FAIL","PASS"))</x:f>
        <x:v>OPEN</x:v>
      </x:c>
    </x:row>
    <x:row r="775">
      <x:c r="B775" s="7" t="str">
        <x:v>CAL-CH-PEA-A-Y3-09-1</x:v>
      </x:c>
      <x:c r="C775" s="7" t="str">
        <x:v>CH-PEA-A-Y3-09-1</x:v>
      </x:c>
      <x:c r="D775" s="7" t="str">
        <x:v>PEA-A-Y3</x:v>
      </x:c>
      <x:c r="E775" s="7" t="str">
        <x:v>BLD-A</x:v>
      </x:c>
      <x:c r="F775" s="7" t="str">
        <x:v>BL-Y</x:v>
      </x:c>
      <x:c r="G775" s="7" t="str">
        <x:v>MF-09</x:v>
      </x:c>
      <x:c r="H775" s="7" t="str"/>
      <x:c r="I775" s="7" t="str"/>
      <x:c r="J775" s="7" t="str">
        <x:f>IF(OR(H775="",I775=""),"",I775-H775)</x:f>
      </x:c>
      <x:c r="K775" s="7" t="str"/>
      <x:c r="L775" s="7" t="str"/>
      <x:c r="M775" s="7" t="str">
        <x:f>IF(L775="","OPEN",IF(OR(NOT(ISNUMBER(H775)),NOT(ISNUMBER(I775)),NOT(ISNUMBER(K775)),ABS(J775)&gt;K775),"FAIL","PASS"))</x:f>
        <x:v>OPEN</x:v>
      </x:c>
    </x:row>
    <x:row r="776">
      <x:c r="B776" s="7" t="str">
        <x:v>CAL-CH-PEA-A-Y3-09-2</x:v>
      </x:c>
      <x:c r="C776" s="7" t="str">
        <x:v>CH-PEA-A-Y3-09-2</x:v>
      </x:c>
      <x:c r="D776" s="7" t="str">
        <x:v>PEA-A-Y3</x:v>
      </x:c>
      <x:c r="E776" s="7" t="str">
        <x:v>BLD-A</x:v>
      </x:c>
      <x:c r="F776" s="7" t="str">
        <x:v>BL-Y</x:v>
      </x:c>
      <x:c r="G776" s="7" t="str">
        <x:v>MF-09</x:v>
      </x:c>
      <x:c r="H776" s="7" t="str"/>
      <x:c r="I776" s="7" t="str"/>
      <x:c r="J776" s="7" t="str">
        <x:f>IF(OR(H776="",I776=""),"",I776-H776)</x:f>
      </x:c>
      <x:c r="K776" s="7" t="str"/>
      <x:c r="L776" s="7" t="str"/>
      <x:c r="M776" s="7" t="str">
        <x:f>IF(L776="","OPEN",IF(OR(NOT(ISNUMBER(H776)),NOT(ISNUMBER(I776)),NOT(ISNUMBER(K776)),ABS(J776)&gt;K776),"FAIL","PASS"))</x:f>
        <x:v>OPEN</x:v>
      </x:c>
    </x:row>
    <x:row r="777">
      <x:c r="B777" s="7" t="str">
        <x:v>CAL-CH-PEA-A-Y3-09-3</x:v>
      </x:c>
      <x:c r="C777" s="7" t="str">
        <x:v>CH-PEA-A-Y3-09-3</x:v>
      </x:c>
      <x:c r="D777" s="7" t="str">
        <x:v>PEA-A-Y3</x:v>
      </x:c>
      <x:c r="E777" s="7" t="str">
        <x:v>BLD-A</x:v>
      </x:c>
      <x:c r="F777" s="7" t="str">
        <x:v>BL-Y</x:v>
      </x:c>
      <x:c r="G777" s="7" t="str">
        <x:v>MF-09</x:v>
      </x:c>
      <x:c r="H777" s="7" t="str"/>
      <x:c r="I777" s="7" t="str"/>
      <x:c r="J777" s="7" t="str">
        <x:f>IF(OR(H777="",I777=""),"",I777-H777)</x:f>
      </x:c>
      <x:c r="K777" s="7" t="str"/>
      <x:c r="L777" s="7" t="str"/>
      <x:c r="M777" s="7" t="str">
        <x:f>IF(L777="","OPEN",IF(OR(NOT(ISNUMBER(H777)),NOT(ISNUMBER(I777)),NOT(ISNUMBER(K777)),ABS(J777)&gt;K777),"FAIL","PASS"))</x:f>
        <x:v>OPEN</x:v>
      </x:c>
    </x:row>
    <x:row r="778">
      <x:c r="B778" s="7" t="str">
        <x:v>CAL-CH-PEA-A-Y3-09-4</x:v>
      </x:c>
      <x:c r="C778" s="7" t="str">
        <x:v>CH-PEA-A-Y3-09-4</x:v>
      </x:c>
      <x:c r="D778" s="7" t="str">
        <x:v>PEA-A-Y3</x:v>
      </x:c>
      <x:c r="E778" s="7" t="str">
        <x:v>BLD-A</x:v>
      </x:c>
      <x:c r="F778" s="7" t="str">
        <x:v>BL-Y</x:v>
      </x:c>
      <x:c r="G778" s="7" t="str">
        <x:v>MF-09</x:v>
      </x:c>
      <x:c r="H778" s="7" t="str"/>
      <x:c r="I778" s="7" t="str"/>
      <x:c r="J778" s="7" t="str">
        <x:f>IF(OR(H778="",I778=""),"",I778-H778)</x:f>
      </x:c>
      <x:c r="K778" s="7" t="str"/>
      <x:c r="L778" s="7" t="str"/>
      <x:c r="M778" s="7" t="str">
        <x:f>IF(L778="","OPEN",IF(OR(NOT(ISNUMBER(H778)),NOT(ISNUMBER(I778)),NOT(ISNUMBER(K778)),ABS(J778)&gt;K778),"FAIL","PASS"))</x:f>
        <x:v>OPEN</x:v>
      </x:c>
    </x:row>
    <x:row r="779">
      <x:c r="B779" s="7" t="str">
        <x:v>CAL-CH-PEA-A-Y3-09-5</x:v>
      </x:c>
      <x:c r="C779" s="7" t="str">
        <x:v>CH-PEA-A-Y3-09-5</x:v>
      </x:c>
      <x:c r="D779" s="7" t="str">
        <x:v>PEA-A-Y3</x:v>
      </x:c>
      <x:c r="E779" s="7" t="str">
        <x:v>BLD-A</x:v>
      </x:c>
      <x:c r="F779" s="7" t="str">
        <x:v>BL-Y</x:v>
      </x:c>
      <x:c r="G779" s="7" t="str">
        <x:v>MF-09</x:v>
      </x:c>
      <x:c r="H779" s="7" t="str"/>
      <x:c r="I779" s="7" t="str"/>
      <x:c r="J779" s="7" t="str">
        <x:f>IF(OR(H779="",I779=""),"",I779-H779)</x:f>
      </x:c>
      <x:c r="K779" s="7" t="str"/>
      <x:c r="L779" s="7" t="str"/>
      <x:c r="M779" s="7" t="str">
        <x:f>IF(L779="","OPEN",IF(OR(NOT(ISNUMBER(H779)),NOT(ISNUMBER(I779)),NOT(ISNUMBER(K779)),ABS(J779)&gt;K779),"FAIL","PASS"))</x:f>
        <x:v>OPEN</x:v>
      </x:c>
    </x:row>
    <x:row r="780">
      <x:c r="B780" s="7" t="str">
        <x:v>CAL-CH-PEA-A-Y3-09-6</x:v>
      </x:c>
      <x:c r="C780" s="7" t="str">
        <x:v>CH-PEA-A-Y3-09-6</x:v>
      </x:c>
      <x:c r="D780" s="7" t="str">
        <x:v>PEA-A-Y3</x:v>
      </x:c>
      <x:c r="E780" s="7" t="str">
        <x:v>BLD-A</x:v>
      </x:c>
      <x:c r="F780" s="7" t="str">
        <x:v>BL-Y</x:v>
      </x:c>
      <x:c r="G780" s="7" t="str">
        <x:v>MF-09</x:v>
      </x:c>
      <x:c r="H780" s="7" t="str"/>
      <x:c r="I780" s="7" t="str"/>
      <x:c r="J780" s="7" t="str">
        <x:f>IF(OR(H780="",I780=""),"",I780-H780)</x:f>
      </x:c>
      <x:c r="K780" s="7" t="str"/>
      <x:c r="L780" s="7" t="str"/>
      <x:c r="M780" s="7" t="str">
        <x:f>IF(L780="","OPEN",IF(OR(NOT(ISNUMBER(H780)),NOT(ISNUMBER(I780)),NOT(ISNUMBER(K780)),ABS(J780)&gt;K780),"FAIL","PASS"))</x:f>
        <x:v>OPEN</x:v>
      </x:c>
    </x:row>
    <x:row r="781">
      <x:c r="B781" s="7" t="str">
        <x:v>CAL-CH-PEA-A-Y3-10-1</x:v>
      </x:c>
      <x:c r="C781" s="7" t="str">
        <x:v>CH-PEA-A-Y3-10-1</x:v>
      </x:c>
      <x:c r="D781" s="7" t="str">
        <x:v>PEA-A-Y3</x:v>
      </x:c>
      <x:c r="E781" s="7" t="str">
        <x:v>BLD-A</x:v>
      </x:c>
      <x:c r="F781" s="7" t="str">
        <x:v>BL-Y</x:v>
      </x:c>
      <x:c r="G781" s="7" t="str">
        <x:v>MF-10</x:v>
      </x:c>
      <x:c r="H781" s="7" t="str"/>
      <x:c r="I781" s="7" t="str"/>
      <x:c r="J781" s="7" t="str">
        <x:f>IF(OR(H781="",I781=""),"",I781-H781)</x:f>
      </x:c>
      <x:c r="K781" s="7" t="str"/>
      <x:c r="L781" s="7" t="str"/>
      <x:c r="M781" s="7" t="str">
        <x:f>IF(L781="","OPEN",IF(OR(NOT(ISNUMBER(H781)),NOT(ISNUMBER(I781)),NOT(ISNUMBER(K781)),ABS(J781)&gt;K781),"FAIL","PASS"))</x:f>
        <x:v>OPEN</x:v>
      </x:c>
    </x:row>
    <x:row r="782">
      <x:c r="B782" s="7" t="str">
        <x:v>CAL-CH-PEA-A-Y3-10-2</x:v>
      </x:c>
      <x:c r="C782" s="7" t="str">
        <x:v>CH-PEA-A-Y3-10-2</x:v>
      </x:c>
      <x:c r="D782" s="7" t="str">
        <x:v>PEA-A-Y3</x:v>
      </x:c>
      <x:c r="E782" s="7" t="str">
        <x:v>BLD-A</x:v>
      </x:c>
      <x:c r="F782" s="7" t="str">
        <x:v>BL-Y</x:v>
      </x:c>
      <x:c r="G782" s="7" t="str">
        <x:v>MF-10</x:v>
      </x:c>
      <x:c r="H782" s="7" t="str"/>
      <x:c r="I782" s="7" t="str"/>
      <x:c r="J782" s="7" t="str">
        <x:f>IF(OR(H782="",I782=""),"",I782-H782)</x:f>
      </x:c>
      <x:c r="K782" s="7" t="str"/>
      <x:c r="L782" s="7" t="str"/>
      <x:c r="M782" s="7" t="str">
        <x:f>IF(L782="","OPEN",IF(OR(NOT(ISNUMBER(H782)),NOT(ISNUMBER(I782)),NOT(ISNUMBER(K782)),ABS(J782)&gt;K782),"FAIL","PASS"))</x:f>
        <x:v>OPEN</x:v>
      </x:c>
    </x:row>
    <x:row r="783">
      <x:c r="B783" s="7" t="str">
        <x:v>CAL-CH-PEA-A-Y3-10-3</x:v>
      </x:c>
      <x:c r="C783" s="7" t="str">
        <x:v>CH-PEA-A-Y3-10-3</x:v>
      </x:c>
      <x:c r="D783" s="7" t="str">
        <x:v>PEA-A-Y3</x:v>
      </x:c>
      <x:c r="E783" s="7" t="str">
        <x:v>BLD-A</x:v>
      </x:c>
      <x:c r="F783" s="7" t="str">
        <x:v>BL-Y</x:v>
      </x:c>
      <x:c r="G783" s="7" t="str">
        <x:v>MF-10</x:v>
      </x:c>
      <x:c r="H783" s="7" t="str"/>
      <x:c r="I783" s="7" t="str"/>
      <x:c r="J783" s="7" t="str">
        <x:f>IF(OR(H783="",I783=""),"",I783-H783)</x:f>
      </x:c>
      <x:c r="K783" s="7" t="str"/>
      <x:c r="L783" s="7" t="str"/>
      <x:c r="M783" s="7" t="str">
        <x:f>IF(L783="","OPEN",IF(OR(NOT(ISNUMBER(H783)),NOT(ISNUMBER(I783)),NOT(ISNUMBER(K783)),ABS(J783)&gt;K783),"FAIL","PASS"))</x:f>
        <x:v>OPEN</x:v>
      </x:c>
    </x:row>
    <x:row r="784">
      <x:c r="B784" s="7" t="str">
        <x:v>CAL-CH-PEA-A-Y3-10-4</x:v>
      </x:c>
      <x:c r="C784" s="7" t="str">
        <x:v>CH-PEA-A-Y3-10-4</x:v>
      </x:c>
      <x:c r="D784" s="7" t="str">
        <x:v>PEA-A-Y3</x:v>
      </x:c>
      <x:c r="E784" s="7" t="str">
        <x:v>BLD-A</x:v>
      </x:c>
      <x:c r="F784" s="7" t="str">
        <x:v>BL-Y</x:v>
      </x:c>
      <x:c r="G784" s="7" t="str">
        <x:v>MF-10</x:v>
      </x:c>
      <x:c r="H784" s="7" t="str"/>
      <x:c r="I784" s="7" t="str"/>
      <x:c r="J784" s="7" t="str">
        <x:f>IF(OR(H784="",I784=""),"",I784-H784)</x:f>
      </x:c>
      <x:c r="K784" s="7" t="str"/>
      <x:c r="L784" s="7" t="str"/>
      <x:c r="M784" s="7" t="str">
        <x:f>IF(L784="","OPEN",IF(OR(NOT(ISNUMBER(H784)),NOT(ISNUMBER(I784)),NOT(ISNUMBER(K784)),ABS(J784)&gt;K784),"FAIL","PASS"))</x:f>
        <x:v>OPEN</x:v>
      </x:c>
    </x:row>
    <x:row r="785">
      <x:c r="B785" s="7" t="str">
        <x:v>CAL-CH-PEA-A-Y3-10-5</x:v>
      </x:c>
      <x:c r="C785" s="7" t="str">
        <x:v>CH-PEA-A-Y3-10-5</x:v>
      </x:c>
      <x:c r="D785" s="7" t="str">
        <x:v>PEA-A-Y3</x:v>
      </x:c>
      <x:c r="E785" s="7" t="str">
        <x:v>BLD-A</x:v>
      </x:c>
      <x:c r="F785" s="7" t="str">
        <x:v>BL-Y</x:v>
      </x:c>
      <x:c r="G785" s="7" t="str">
        <x:v>MF-10</x:v>
      </x:c>
      <x:c r="H785" s="7" t="str"/>
      <x:c r="I785" s="7" t="str"/>
      <x:c r="J785" s="7" t="str">
        <x:f>IF(OR(H785="",I785=""),"",I785-H785)</x:f>
      </x:c>
      <x:c r="K785" s="7" t="str"/>
      <x:c r="L785" s="7" t="str"/>
      <x:c r="M785" s="7" t="str">
        <x:f>IF(L785="","OPEN",IF(OR(NOT(ISNUMBER(H785)),NOT(ISNUMBER(I785)),NOT(ISNUMBER(K785)),ABS(J785)&gt;K785),"FAIL","PASS"))</x:f>
        <x:v>OPEN</x:v>
      </x:c>
    </x:row>
    <x:row r="786">
      <x:c r="B786" s="7" t="str">
        <x:v>CAL-CH-PEA-A-Y3-10-6</x:v>
      </x:c>
      <x:c r="C786" s="7" t="str">
        <x:v>CH-PEA-A-Y3-10-6</x:v>
      </x:c>
      <x:c r="D786" s="7" t="str">
        <x:v>PEA-A-Y3</x:v>
      </x:c>
      <x:c r="E786" s="7" t="str">
        <x:v>BLD-A</x:v>
      </x:c>
      <x:c r="F786" s="7" t="str">
        <x:v>BL-Y</x:v>
      </x:c>
      <x:c r="G786" s="7" t="str">
        <x:v>MF-10</x:v>
      </x:c>
      <x:c r="H786" s="7" t="str"/>
      <x:c r="I786" s="7" t="str"/>
      <x:c r="J786" s="7" t="str">
        <x:f>IF(OR(H786="",I786=""),"",I786-H786)</x:f>
      </x:c>
      <x:c r="K786" s="7" t="str"/>
      <x:c r="L786" s="7" t="str"/>
      <x:c r="M786" s="7" t="str">
        <x:f>IF(L786="","OPEN",IF(OR(NOT(ISNUMBER(H786)),NOT(ISNUMBER(I786)),NOT(ISNUMBER(K786)),ABS(J786)&gt;K786),"FAIL","PASS"))</x:f>
        <x:v>OPEN</x:v>
      </x:c>
    </x:row>
    <x:row r="787">
      <x:c r="B787" s="7" t="str">
        <x:v>CAL-CH-PEA-A-Y3-11-1</x:v>
      </x:c>
      <x:c r="C787" s="7" t="str">
        <x:v>CH-PEA-A-Y3-11-1</x:v>
      </x:c>
      <x:c r="D787" s="7" t="str">
        <x:v>PEA-A-Y3</x:v>
      </x:c>
      <x:c r="E787" s="7" t="str">
        <x:v>BLD-A</x:v>
      </x:c>
      <x:c r="F787" s="7" t="str">
        <x:v>BL-Y</x:v>
      </x:c>
      <x:c r="G787" s="7" t="str">
        <x:v>MF-11</x:v>
      </x:c>
      <x:c r="H787" s="7" t="str"/>
      <x:c r="I787" s="7" t="str"/>
      <x:c r="J787" s="7" t="str">
        <x:f>IF(OR(H787="",I787=""),"",I787-H787)</x:f>
      </x:c>
      <x:c r="K787" s="7" t="str"/>
      <x:c r="L787" s="7" t="str"/>
      <x:c r="M787" s="7" t="str">
        <x:f>IF(L787="","OPEN",IF(OR(NOT(ISNUMBER(H787)),NOT(ISNUMBER(I787)),NOT(ISNUMBER(K787)),ABS(J787)&gt;K787),"FAIL","PASS"))</x:f>
        <x:v>OPEN</x:v>
      </x:c>
    </x:row>
    <x:row r="788">
      <x:c r="B788" s="7" t="str">
        <x:v>CAL-CH-PEA-A-Y3-11-2</x:v>
      </x:c>
      <x:c r="C788" s="7" t="str">
        <x:v>CH-PEA-A-Y3-11-2</x:v>
      </x:c>
      <x:c r="D788" s="7" t="str">
        <x:v>PEA-A-Y3</x:v>
      </x:c>
      <x:c r="E788" s="7" t="str">
        <x:v>BLD-A</x:v>
      </x:c>
      <x:c r="F788" s="7" t="str">
        <x:v>BL-Y</x:v>
      </x:c>
      <x:c r="G788" s="7" t="str">
        <x:v>MF-11</x:v>
      </x:c>
      <x:c r="H788" s="7" t="str"/>
      <x:c r="I788" s="7" t="str"/>
      <x:c r="J788" s="7" t="str">
        <x:f>IF(OR(H788="",I788=""),"",I788-H788)</x:f>
      </x:c>
      <x:c r="K788" s="7" t="str"/>
      <x:c r="L788" s="7" t="str"/>
      <x:c r="M788" s="7" t="str">
        <x:f>IF(L788="","OPEN",IF(OR(NOT(ISNUMBER(H788)),NOT(ISNUMBER(I788)),NOT(ISNUMBER(K788)),ABS(J788)&gt;K788),"FAIL","PASS"))</x:f>
        <x:v>OPEN</x:v>
      </x:c>
    </x:row>
    <x:row r="789">
      <x:c r="B789" s="7" t="str">
        <x:v>CAL-CH-PEA-A-Y3-11-3</x:v>
      </x:c>
      <x:c r="C789" s="7" t="str">
        <x:v>CH-PEA-A-Y3-11-3</x:v>
      </x:c>
      <x:c r="D789" s="7" t="str">
        <x:v>PEA-A-Y3</x:v>
      </x:c>
      <x:c r="E789" s="7" t="str">
        <x:v>BLD-A</x:v>
      </x:c>
      <x:c r="F789" s="7" t="str">
        <x:v>BL-Y</x:v>
      </x:c>
      <x:c r="G789" s="7" t="str">
        <x:v>MF-11</x:v>
      </x:c>
      <x:c r="H789" s="7" t="str"/>
      <x:c r="I789" s="7" t="str"/>
      <x:c r="J789" s="7" t="str">
        <x:f>IF(OR(H789="",I789=""),"",I789-H789)</x:f>
      </x:c>
      <x:c r="K789" s="7" t="str"/>
      <x:c r="L789" s="7" t="str"/>
      <x:c r="M789" s="7" t="str">
        <x:f>IF(L789="","OPEN",IF(OR(NOT(ISNUMBER(H789)),NOT(ISNUMBER(I789)),NOT(ISNUMBER(K789)),ABS(J789)&gt;K789),"FAIL","PASS"))</x:f>
        <x:v>OPEN</x:v>
      </x:c>
    </x:row>
    <x:row r="790">
      <x:c r="B790" s="7" t="str">
        <x:v>CAL-CH-PEA-A-Y3-11-4</x:v>
      </x:c>
      <x:c r="C790" s="7" t="str">
        <x:v>CH-PEA-A-Y3-11-4</x:v>
      </x:c>
      <x:c r="D790" s="7" t="str">
        <x:v>PEA-A-Y3</x:v>
      </x:c>
      <x:c r="E790" s="7" t="str">
        <x:v>BLD-A</x:v>
      </x:c>
      <x:c r="F790" s="7" t="str">
        <x:v>BL-Y</x:v>
      </x:c>
      <x:c r="G790" s="7" t="str">
        <x:v>MF-11</x:v>
      </x:c>
      <x:c r="H790" s="7" t="str"/>
      <x:c r="I790" s="7" t="str"/>
      <x:c r="J790" s="7" t="str">
        <x:f>IF(OR(H790="",I790=""),"",I790-H790)</x:f>
      </x:c>
      <x:c r="K790" s="7" t="str"/>
      <x:c r="L790" s="7" t="str"/>
      <x:c r="M790" s="7" t="str">
        <x:f>IF(L790="","OPEN",IF(OR(NOT(ISNUMBER(H790)),NOT(ISNUMBER(I790)),NOT(ISNUMBER(K790)),ABS(J790)&gt;K790),"FAIL","PASS"))</x:f>
        <x:v>OPEN</x:v>
      </x:c>
    </x:row>
    <x:row r="791">
      <x:c r="B791" s="7" t="str">
        <x:v>CAL-CH-PEA-A-Y3-11-5</x:v>
      </x:c>
      <x:c r="C791" s="7" t="str">
        <x:v>CH-PEA-A-Y3-11-5</x:v>
      </x:c>
      <x:c r="D791" s="7" t="str">
        <x:v>PEA-A-Y3</x:v>
      </x:c>
      <x:c r="E791" s="7" t="str">
        <x:v>BLD-A</x:v>
      </x:c>
      <x:c r="F791" s="7" t="str">
        <x:v>BL-Y</x:v>
      </x:c>
      <x:c r="G791" s="7" t="str">
        <x:v>MF-11</x:v>
      </x:c>
      <x:c r="H791" s="7" t="str"/>
      <x:c r="I791" s="7" t="str"/>
      <x:c r="J791" s="7" t="str">
        <x:f>IF(OR(H791="",I791=""),"",I791-H791)</x:f>
      </x:c>
      <x:c r="K791" s="7" t="str"/>
      <x:c r="L791" s="7" t="str"/>
      <x:c r="M791" s="7" t="str">
        <x:f>IF(L791="","OPEN",IF(OR(NOT(ISNUMBER(H791)),NOT(ISNUMBER(I791)),NOT(ISNUMBER(K791)),ABS(J791)&gt;K791),"FAIL","PASS"))</x:f>
        <x:v>OPEN</x:v>
      </x:c>
    </x:row>
    <x:row r="792">
      <x:c r="B792" s="7" t="str">
        <x:v>CAL-CH-PEA-A-Y3-11-6</x:v>
      </x:c>
      <x:c r="C792" s="7" t="str">
        <x:v>CH-PEA-A-Y3-11-6</x:v>
      </x:c>
      <x:c r="D792" s="7" t="str">
        <x:v>PEA-A-Y3</x:v>
      </x:c>
      <x:c r="E792" s="7" t="str">
        <x:v>BLD-A</x:v>
      </x:c>
      <x:c r="F792" s="7" t="str">
        <x:v>BL-Y</x:v>
      </x:c>
      <x:c r="G792" s="7" t="str">
        <x:v>MF-11</x:v>
      </x:c>
      <x:c r="H792" s="7" t="str"/>
      <x:c r="I792" s="7" t="str"/>
      <x:c r="J792" s="7" t="str">
        <x:f>IF(OR(H792="",I792=""),"",I792-H792)</x:f>
      </x:c>
      <x:c r="K792" s="7" t="str"/>
      <x:c r="L792" s="7" t="str"/>
      <x:c r="M792" s="7" t="str">
        <x:f>IF(L792="","OPEN",IF(OR(NOT(ISNUMBER(H792)),NOT(ISNUMBER(I792)),NOT(ISNUMBER(K792)),ABS(J792)&gt;K792),"FAIL","PASS"))</x:f>
        <x:v>OPEN</x:v>
      </x:c>
    </x:row>
    <x:row r="793">
      <x:c r="B793" s="7" t="str">
        <x:v>CAL-CH-PEA-A-Y3-12-1</x:v>
      </x:c>
      <x:c r="C793" s="7" t="str">
        <x:v>CH-PEA-A-Y3-12-1</x:v>
      </x:c>
      <x:c r="D793" s="7" t="str">
        <x:v>PEA-A-Y3</x:v>
      </x:c>
      <x:c r="E793" s="7" t="str">
        <x:v>BLD-A</x:v>
      </x:c>
      <x:c r="F793" s="7" t="str">
        <x:v>BL-Y</x:v>
      </x:c>
      <x:c r="G793" s="7" t="str">
        <x:v>MF-12</x:v>
      </x:c>
      <x:c r="H793" s="7" t="str"/>
      <x:c r="I793" s="7" t="str"/>
      <x:c r="J793" s="7" t="str">
        <x:f>IF(OR(H793="",I793=""),"",I793-H793)</x:f>
      </x:c>
      <x:c r="K793" s="7" t="str"/>
      <x:c r="L793" s="7" t="str"/>
      <x:c r="M793" s="7" t="str">
        <x:f>IF(L793="","OPEN",IF(OR(NOT(ISNUMBER(H793)),NOT(ISNUMBER(I793)),NOT(ISNUMBER(K793)),ABS(J793)&gt;K793),"FAIL","PASS"))</x:f>
        <x:v>OPEN</x:v>
      </x:c>
    </x:row>
    <x:row r="794">
      <x:c r="B794" s="7" t="str">
        <x:v>CAL-CH-PEA-A-Y3-12-2</x:v>
      </x:c>
      <x:c r="C794" s="7" t="str">
        <x:v>CH-PEA-A-Y3-12-2</x:v>
      </x:c>
      <x:c r="D794" s="7" t="str">
        <x:v>PEA-A-Y3</x:v>
      </x:c>
      <x:c r="E794" s="7" t="str">
        <x:v>BLD-A</x:v>
      </x:c>
      <x:c r="F794" s="7" t="str">
        <x:v>BL-Y</x:v>
      </x:c>
      <x:c r="G794" s="7" t="str">
        <x:v>MF-12</x:v>
      </x:c>
      <x:c r="H794" s="7" t="str"/>
      <x:c r="I794" s="7" t="str"/>
      <x:c r="J794" s="7" t="str">
        <x:f>IF(OR(H794="",I794=""),"",I794-H794)</x:f>
      </x:c>
      <x:c r="K794" s="7" t="str"/>
      <x:c r="L794" s="7" t="str"/>
      <x:c r="M794" s="7" t="str">
        <x:f>IF(L794="","OPEN",IF(OR(NOT(ISNUMBER(H794)),NOT(ISNUMBER(I794)),NOT(ISNUMBER(K794)),ABS(J794)&gt;K794),"FAIL","PASS"))</x:f>
        <x:v>OPEN</x:v>
      </x:c>
    </x:row>
    <x:row r="795">
      <x:c r="B795" s="7" t="str">
        <x:v>CAL-CH-PEA-A-Y3-12-3</x:v>
      </x:c>
      <x:c r="C795" s="7" t="str">
        <x:v>CH-PEA-A-Y3-12-3</x:v>
      </x:c>
      <x:c r="D795" s="7" t="str">
        <x:v>PEA-A-Y3</x:v>
      </x:c>
      <x:c r="E795" s="7" t="str">
        <x:v>BLD-A</x:v>
      </x:c>
      <x:c r="F795" s="7" t="str">
        <x:v>BL-Y</x:v>
      </x:c>
      <x:c r="G795" s="7" t="str">
        <x:v>MF-12</x:v>
      </x:c>
      <x:c r="H795" s="7" t="str"/>
      <x:c r="I795" s="7" t="str"/>
      <x:c r="J795" s="7" t="str">
        <x:f>IF(OR(H795="",I795=""),"",I795-H795)</x:f>
      </x:c>
      <x:c r="K795" s="7" t="str"/>
      <x:c r="L795" s="7" t="str"/>
      <x:c r="M795" s="7" t="str">
        <x:f>IF(L795="","OPEN",IF(OR(NOT(ISNUMBER(H795)),NOT(ISNUMBER(I795)),NOT(ISNUMBER(K795)),ABS(J795)&gt;K795),"FAIL","PASS"))</x:f>
        <x:v>OPEN</x:v>
      </x:c>
    </x:row>
    <x:row r="796">
      <x:c r="B796" s="7" t="str">
        <x:v>CAL-CH-PEA-A-Y3-12-4</x:v>
      </x:c>
      <x:c r="C796" s="7" t="str">
        <x:v>CH-PEA-A-Y3-12-4</x:v>
      </x:c>
      <x:c r="D796" s="7" t="str">
        <x:v>PEA-A-Y3</x:v>
      </x:c>
      <x:c r="E796" s="7" t="str">
        <x:v>BLD-A</x:v>
      </x:c>
      <x:c r="F796" s="7" t="str">
        <x:v>BL-Y</x:v>
      </x:c>
      <x:c r="G796" s="7" t="str">
        <x:v>MF-12</x:v>
      </x:c>
      <x:c r="H796" s="7" t="str"/>
      <x:c r="I796" s="7" t="str"/>
      <x:c r="J796" s="7" t="str">
        <x:f>IF(OR(H796="",I796=""),"",I796-H796)</x:f>
      </x:c>
      <x:c r="K796" s="7" t="str"/>
      <x:c r="L796" s="7" t="str"/>
      <x:c r="M796" s="7" t="str">
        <x:f>IF(L796="","OPEN",IF(OR(NOT(ISNUMBER(H796)),NOT(ISNUMBER(I796)),NOT(ISNUMBER(K796)),ABS(J796)&gt;K796),"FAIL","PASS"))</x:f>
        <x:v>OPEN</x:v>
      </x:c>
    </x:row>
    <x:row r="797">
      <x:c r="B797" s="7" t="str">
        <x:v>CAL-CH-PEA-A-Y3-12-5</x:v>
      </x:c>
      <x:c r="C797" s="7" t="str">
        <x:v>CH-PEA-A-Y3-12-5</x:v>
      </x:c>
      <x:c r="D797" s="7" t="str">
        <x:v>PEA-A-Y3</x:v>
      </x:c>
      <x:c r="E797" s="7" t="str">
        <x:v>BLD-A</x:v>
      </x:c>
      <x:c r="F797" s="7" t="str">
        <x:v>BL-Y</x:v>
      </x:c>
      <x:c r="G797" s="7" t="str">
        <x:v>MF-12</x:v>
      </x:c>
      <x:c r="H797" s="7" t="str"/>
      <x:c r="I797" s="7" t="str"/>
      <x:c r="J797" s="7" t="str">
        <x:f>IF(OR(H797="",I797=""),"",I797-H797)</x:f>
      </x:c>
      <x:c r="K797" s="7" t="str"/>
      <x:c r="L797" s="7" t="str"/>
      <x:c r="M797" s="7" t="str">
        <x:f>IF(L797="","OPEN",IF(OR(NOT(ISNUMBER(H797)),NOT(ISNUMBER(I797)),NOT(ISNUMBER(K797)),ABS(J797)&gt;K797),"FAIL","PASS"))</x:f>
        <x:v>OPEN</x:v>
      </x:c>
    </x:row>
    <x:row r="798">
      <x:c r="B798" s="7" t="str">
        <x:v>CAL-CH-PEA-A-Y3-12-6</x:v>
      </x:c>
      <x:c r="C798" s="7" t="str">
        <x:v>CH-PEA-A-Y3-12-6</x:v>
      </x:c>
      <x:c r="D798" s="7" t="str">
        <x:v>PEA-A-Y3</x:v>
      </x:c>
      <x:c r="E798" s="7" t="str">
        <x:v>BLD-A</x:v>
      </x:c>
      <x:c r="F798" s="7" t="str">
        <x:v>BL-Y</x:v>
      </x:c>
      <x:c r="G798" s="7" t="str">
        <x:v>MF-12</x:v>
      </x:c>
      <x:c r="H798" s="7" t="str"/>
      <x:c r="I798" s="7" t="str"/>
      <x:c r="J798" s="7" t="str">
        <x:f>IF(OR(H798="",I798=""),"",I798-H798)</x:f>
      </x:c>
      <x:c r="K798" s="7" t="str"/>
      <x:c r="L798" s="7" t="str"/>
      <x:c r="M798" s="7" t="str">
        <x:f>IF(L798="","OPEN",IF(OR(NOT(ISNUMBER(H798)),NOT(ISNUMBER(I798)),NOT(ISNUMBER(K798)),ABS(J798)&gt;K798),"FAIL","PASS"))</x:f>
        <x:v>OPEN</x:v>
      </x:c>
    </x:row>
    <x:row r="799">
      <x:c r="B799" s="7" t="str">
        <x:v>CAL-CH-PEA-A-Y3-13-1</x:v>
      </x:c>
      <x:c r="C799" s="7" t="str">
        <x:v>CH-PEA-A-Y3-13-1</x:v>
      </x:c>
      <x:c r="D799" s="7" t="str">
        <x:v>PEA-A-Y3</x:v>
      </x:c>
      <x:c r="E799" s="7" t="str">
        <x:v>BLD-A</x:v>
      </x:c>
      <x:c r="F799" s="7" t="str">
        <x:v>BL-Y</x:v>
      </x:c>
      <x:c r="G799" s="7" t="str">
        <x:v>MF-13</x:v>
      </x:c>
      <x:c r="H799" s="7" t="str"/>
      <x:c r="I799" s="7" t="str"/>
      <x:c r="J799" s="7" t="str">
        <x:f>IF(OR(H799="",I799=""),"",I799-H799)</x:f>
      </x:c>
      <x:c r="K799" s="7" t="str"/>
      <x:c r="L799" s="7" t="str"/>
      <x:c r="M799" s="7" t="str">
        <x:f>IF(L799="","OPEN",IF(OR(NOT(ISNUMBER(H799)),NOT(ISNUMBER(I799)),NOT(ISNUMBER(K799)),ABS(J799)&gt;K799),"FAIL","PASS"))</x:f>
        <x:v>OPEN</x:v>
      </x:c>
    </x:row>
    <x:row r="800">
      <x:c r="B800" s="7" t="str">
        <x:v>CAL-CH-PEA-A-Y3-13-2</x:v>
      </x:c>
      <x:c r="C800" s="7" t="str">
        <x:v>CH-PEA-A-Y3-13-2</x:v>
      </x:c>
      <x:c r="D800" s="7" t="str">
        <x:v>PEA-A-Y3</x:v>
      </x:c>
      <x:c r="E800" s="7" t="str">
        <x:v>BLD-A</x:v>
      </x:c>
      <x:c r="F800" s="7" t="str">
        <x:v>BL-Y</x:v>
      </x:c>
      <x:c r="G800" s="7" t="str">
        <x:v>MF-13</x:v>
      </x:c>
      <x:c r="H800" s="7" t="str"/>
      <x:c r="I800" s="7" t="str"/>
      <x:c r="J800" s="7" t="str">
        <x:f>IF(OR(H800="",I800=""),"",I800-H800)</x:f>
      </x:c>
      <x:c r="K800" s="7" t="str"/>
      <x:c r="L800" s="7" t="str"/>
      <x:c r="M800" s="7" t="str">
        <x:f>IF(L800="","OPEN",IF(OR(NOT(ISNUMBER(H800)),NOT(ISNUMBER(I800)),NOT(ISNUMBER(K800)),ABS(J800)&gt;K800),"FAIL","PASS"))</x:f>
        <x:v>OPEN</x:v>
      </x:c>
    </x:row>
    <x:row r="801">
      <x:c r="B801" s="7" t="str">
        <x:v>CAL-CH-PEA-A-Y3-13-3</x:v>
      </x:c>
      <x:c r="C801" s="7" t="str">
        <x:v>CH-PEA-A-Y3-13-3</x:v>
      </x:c>
      <x:c r="D801" s="7" t="str">
        <x:v>PEA-A-Y3</x:v>
      </x:c>
      <x:c r="E801" s="7" t="str">
        <x:v>BLD-A</x:v>
      </x:c>
      <x:c r="F801" s="7" t="str">
        <x:v>BL-Y</x:v>
      </x:c>
      <x:c r="G801" s="7" t="str">
        <x:v>MF-13</x:v>
      </x:c>
      <x:c r="H801" s="7" t="str"/>
      <x:c r="I801" s="7" t="str"/>
      <x:c r="J801" s="7" t="str">
        <x:f>IF(OR(H801="",I801=""),"",I801-H801)</x:f>
      </x:c>
      <x:c r="K801" s="7" t="str"/>
      <x:c r="L801" s="7" t="str"/>
      <x:c r="M801" s="7" t="str">
        <x:f>IF(L801="","OPEN",IF(OR(NOT(ISNUMBER(H801)),NOT(ISNUMBER(I801)),NOT(ISNUMBER(K801)),ABS(J801)&gt;K801),"FAIL","PASS"))</x:f>
        <x:v>OPEN</x:v>
      </x:c>
    </x:row>
    <x:row r="802">
      <x:c r="B802" s="7" t="str">
        <x:v>CAL-CH-PEA-A-Y3-13-4</x:v>
      </x:c>
      <x:c r="C802" s="7" t="str">
        <x:v>CH-PEA-A-Y3-13-4</x:v>
      </x:c>
      <x:c r="D802" s="7" t="str">
        <x:v>PEA-A-Y3</x:v>
      </x:c>
      <x:c r="E802" s="7" t="str">
        <x:v>BLD-A</x:v>
      </x:c>
      <x:c r="F802" s="7" t="str">
        <x:v>BL-Y</x:v>
      </x:c>
      <x:c r="G802" s="7" t="str">
        <x:v>MF-13</x:v>
      </x:c>
      <x:c r="H802" s="7" t="str"/>
      <x:c r="I802" s="7" t="str"/>
      <x:c r="J802" s="7" t="str">
        <x:f>IF(OR(H802="",I802=""),"",I802-H802)</x:f>
      </x:c>
      <x:c r="K802" s="7" t="str"/>
      <x:c r="L802" s="7" t="str"/>
      <x:c r="M802" s="7" t="str">
        <x:f>IF(L802="","OPEN",IF(OR(NOT(ISNUMBER(H802)),NOT(ISNUMBER(I802)),NOT(ISNUMBER(K802)),ABS(J802)&gt;K802),"FAIL","PASS"))</x:f>
        <x:v>OPEN</x:v>
      </x:c>
    </x:row>
    <x:row r="803">
      <x:c r="B803" s="7" t="str">
        <x:v>CAL-CH-PEA-A-Y3-13-5</x:v>
      </x:c>
      <x:c r="C803" s="7" t="str">
        <x:v>CH-PEA-A-Y3-13-5</x:v>
      </x:c>
      <x:c r="D803" s="7" t="str">
        <x:v>PEA-A-Y3</x:v>
      </x:c>
      <x:c r="E803" s="7" t="str">
        <x:v>BLD-A</x:v>
      </x:c>
      <x:c r="F803" s="7" t="str">
        <x:v>BL-Y</x:v>
      </x:c>
      <x:c r="G803" s="7" t="str">
        <x:v>MF-13</x:v>
      </x:c>
      <x:c r="H803" s="7" t="str"/>
      <x:c r="I803" s="7" t="str"/>
      <x:c r="J803" s="7" t="str">
        <x:f>IF(OR(H803="",I803=""),"",I803-H803)</x:f>
      </x:c>
      <x:c r="K803" s="7" t="str"/>
      <x:c r="L803" s="7" t="str"/>
      <x:c r="M803" s="7" t="str">
        <x:f>IF(L803="","OPEN",IF(OR(NOT(ISNUMBER(H803)),NOT(ISNUMBER(I803)),NOT(ISNUMBER(K803)),ABS(J803)&gt;K803),"FAIL","PASS"))</x:f>
        <x:v>OPEN</x:v>
      </x:c>
    </x:row>
    <x:row r="804">
      <x:c r="B804" s="7" t="str">
        <x:v>CAL-CH-PEA-A-Y3-13-6</x:v>
      </x:c>
      <x:c r="C804" s="7" t="str">
        <x:v>CH-PEA-A-Y3-13-6</x:v>
      </x:c>
      <x:c r="D804" s="7" t="str">
        <x:v>PEA-A-Y3</x:v>
      </x:c>
      <x:c r="E804" s="7" t="str">
        <x:v>BLD-A</x:v>
      </x:c>
      <x:c r="F804" s="7" t="str">
        <x:v>BL-Y</x:v>
      </x:c>
      <x:c r="G804" s="7" t="str">
        <x:v>MF-13</x:v>
      </x:c>
      <x:c r="H804" s="7" t="str"/>
      <x:c r="I804" s="7" t="str"/>
      <x:c r="J804" s="7" t="str">
        <x:f>IF(OR(H804="",I804=""),"",I804-H804)</x:f>
      </x:c>
      <x:c r="K804" s="7" t="str"/>
      <x:c r="L804" s="7" t="str"/>
      <x:c r="M804" s="7" t="str">
        <x:f>IF(L804="","OPEN",IF(OR(NOT(ISNUMBER(H804)),NOT(ISNUMBER(I804)),NOT(ISNUMBER(K804)),ABS(J804)&gt;K804),"FAIL","PASS"))</x:f>
        <x:v>OPEN</x:v>
      </x:c>
    </x:row>
    <x:row r="805">
      <x:c r="B805" s="7" t="str">
        <x:v>CAL-CH-PEA-A-Y3-14-1</x:v>
      </x:c>
      <x:c r="C805" s="7" t="str">
        <x:v>CH-PEA-A-Y3-14-1</x:v>
      </x:c>
      <x:c r="D805" s="7" t="str">
        <x:v>PEA-A-Y3</x:v>
      </x:c>
      <x:c r="E805" s="7" t="str">
        <x:v>BLD-A</x:v>
      </x:c>
      <x:c r="F805" s="7" t="str">
        <x:v>BL-Y</x:v>
      </x:c>
      <x:c r="G805" s="7" t="str">
        <x:v>MF-14</x:v>
      </x:c>
      <x:c r="H805" s="7" t="str"/>
      <x:c r="I805" s="7" t="str"/>
      <x:c r="J805" s="7" t="str">
        <x:f>IF(OR(H805="",I805=""),"",I805-H805)</x:f>
      </x:c>
      <x:c r="K805" s="7" t="str"/>
      <x:c r="L805" s="7" t="str"/>
      <x:c r="M805" s="7" t="str">
        <x:f>IF(L805="","OPEN",IF(OR(NOT(ISNUMBER(H805)),NOT(ISNUMBER(I805)),NOT(ISNUMBER(K805)),ABS(J805)&gt;K805),"FAIL","PASS"))</x:f>
        <x:v>OPEN</x:v>
      </x:c>
    </x:row>
    <x:row r="806">
      <x:c r="B806" s="7" t="str">
        <x:v>CAL-CH-PEA-A-Y3-14-2</x:v>
      </x:c>
      <x:c r="C806" s="7" t="str">
        <x:v>CH-PEA-A-Y3-14-2</x:v>
      </x:c>
      <x:c r="D806" s="7" t="str">
        <x:v>PEA-A-Y3</x:v>
      </x:c>
      <x:c r="E806" s="7" t="str">
        <x:v>BLD-A</x:v>
      </x:c>
      <x:c r="F806" s="7" t="str">
        <x:v>BL-Y</x:v>
      </x:c>
      <x:c r="G806" s="7" t="str">
        <x:v>MF-14</x:v>
      </x:c>
      <x:c r="H806" s="7" t="str"/>
      <x:c r="I806" s="7" t="str"/>
      <x:c r="J806" s="7" t="str">
        <x:f>IF(OR(H806="",I806=""),"",I806-H806)</x:f>
      </x:c>
      <x:c r="K806" s="7" t="str"/>
      <x:c r="L806" s="7" t="str"/>
      <x:c r="M806" s="7" t="str">
        <x:f>IF(L806="","OPEN",IF(OR(NOT(ISNUMBER(H806)),NOT(ISNUMBER(I806)),NOT(ISNUMBER(K806)),ABS(J806)&gt;K806),"FAIL","PASS"))</x:f>
        <x:v>OPEN</x:v>
      </x:c>
    </x:row>
    <x:row r="807">
      <x:c r="B807" s="7" t="str">
        <x:v>CAL-CH-PEA-A-Y3-14-3</x:v>
      </x:c>
      <x:c r="C807" s="7" t="str">
        <x:v>CH-PEA-A-Y3-14-3</x:v>
      </x:c>
      <x:c r="D807" s="7" t="str">
        <x:v>PEA-A-Y3</x:v>
      </x:c>
      <x:c r="E807" s="7" t="str">
        <x:v>BLD-A</x:v>
      </x:c>
      <x:c r="F807" s="7" t="str">
        <x:v>BL-Y</x:v>
      </x:c>
      <x:c r="G807" s="7" t="str">
        <x:v>MF-14</x:v>
      </x:c>
      <x:c r="H807" s="7" t="str"/>
      <x:c r="I807" s="7" t="str"/>
      <x:c r="J807" s="7" t="str">
        <x:f>IF(OR(H807="",I807=""),"",I807-H807)</x:f>
      </x:c>
      <x:c r="K807" s="7" t="str"/>
      <x:c r="L807" s="7" t="str"/>
      <x:c r="M807" s="7" t="str">
        <x:f>IF(L807="","OPEN",IF(OR(NOT(ISNUMBER(H807)),NOT(ISNUMBER(I807)),NOT(ISNUMBER(K807)),ABS(J807)&gt;K807),"FAIL","PASS"))</x:f>
        <x:v>OPEN</x:v>
      </x:c>
    </x:row>
    <x:row r="808">
      <x:c r="B808" s="7" t="str">
        <x:v>CAL-CH-PEA-A-Y3-14-4</x:v>
      </x:c>
      <x:c r="C808" s="7" t="str">
        <x:v>CH-PEA-A-Y3-14-4</x:v>
      </x:c>
      <x:c r="D808" s="7" t="str">
        <x:v>PEA-A-Y3</x:v>
      </x:c>
      <x:c r="E808" s="7" t="str">
        <x:v>BLD-A</x:v>
      </x:c>
      <x:c r="F808" s="7" t="str">
        <x:v>BL-Y</x:v>
      </x:c>
      <x:c r="G808" s="7" t="str">
        <x:v>MF-14</x:v>
      </x:c>
      <x:c r="H808" s="7" t="str"/>
      <x:c r="I808" s="7" t="str"/>
      <x:c r="J808" s="7" t="str">
        <x:f>IF(OR(H808="",I808=""),"",I808-H808)</x:f>
      </x:c>
      <x:c r="K808" s="7" t="str"/>
      <x:c r="L808" s="7" t="str"/>
      <x:c r="M808" s="7" t="str">
        <x:f>IF(L808="","OPEN",IF(OR(NOT(ISNUMBER(H808)),NOT(ISNUMBER(I808)),NOT(ISNUMBER(K808)),ABS(J808)&gt;K808),"FAIL","PASS"))</x:f>
        <x:v>OPEN</x:v>
      </x:c>
    </x:row>
    <x:row r="809">
      <x:c r="B809" s="7" t="str">
        <x:v>CAL-CH-PEA-A-Y3-14-5</x:v>
      </x:c>
      <x:c r="C809" s="7" t="str">
        <x:v>CH-PEA-A-Y3-14-5</x:v>
      </x:c>
      <x:c r="D809" s="7" t="str">
        <x:v>PEA-A-Y3</x:v>
      </x:c>
      <x:c r="E809" s="7" t="str">
        <x:v>BLD-A</x:v>
      </x:c>
      <x:c r="F809" s="7" t="str">
        <x:v>BL-Y</x:v>
      </x:c>
      <x:c r="G809" s="7" t="str">
        <x:v>MF-14</x:v>
      </x:c>
      <x:c r="H809" s="7" t="str"/>
      <x:c r="I809" s="7" t="str"/>
      <x:c r="J809" s="7" t="str">
        <x:f>IF(OR(H809="",I809=""),"",I809-H809)</x:f>
      </x:c>
      <x:c r="K809" s="7" t="str"/>
      <x:c r="L809" s="7" t="str"/>
      <x:c r="M809" s="7" t="str">
        <x:f>IF(L809="","OPEN",IF(OR(NOT(ISNUMBER(H809)),NOT(ISNUMBER(I809)),NOT(ISNUMBER(K809)),ABS(J809)&gt;K809),"FAIL","PASS"))</x:f>
        <x:v>OPEN</x:v>
      </x:c>
    </x:row>
    <x:row r="810">
      <x:c r="B810" s="7" t="str">
        <x:v>CAL-CH-PEA-A-Y3-14-6</x:v>
      </x:c>
      <x:c r="C810" s="7" t="str">
        <x:v>CH-PEA-A-Y3-14-6</x:v>
      </x:c>
      <x:c r="D810" s="7" t="str">
        <x:v>PEA-A-Y3</x:v>
      </x:c>
      <x:c r="E810" s="7" t="str">
        <x:v>BLD-A</x:v>
      </x:c>
      <x:c r="F810" s="7" t="str">
        <x:v>BL-Y</x:v>
      </x:c>
      <x:c r="G810" s="7" t="str">
        <x:v>MF-14</x:v>
      </x:c>
      <x:c r="H810" s="7" t="str"/>
      <x:c r="I810" s="7" t="str"/>
      <x:c r="J810" s="7" t="str">
        <x:f>IF(OR(H810="",I810=""),"",I810-H810)</x:f>
      </x:c>
      <x:c r="K810" s="7" t="str"/>
      <x:c r="L810" s="7" t="str"/>
      <x:c r="M810" s="7" t="str">
        <x:f>IF(L810="","OPEN",IF(OR(NOT(ISNUMBER(H810)),NOT(ISNUMBER(I810)),NOT(ISNUMBER(K810)),ABS(J810)&gt;K810),"FAIL","PASS"))</x:f>
        <x:v>OPEN</x:v>
      </x:c>
    </x:row>
    <x:row r="811">
      <x:c r="B811" s="7" t="str">
        <x:v>CAL-CH-PEA-A-Y3-15-1</x:v>
      </x:c>
      <x:c r="C811" s="7" t="str">
        <x:v>CH-PEA-A-Y3-15-1</x:v>
      </x:c>
      <x:c r="D811" s="7" t="str">
        <x:v>PEA-A-Y3</x:v>
      </x:c>
      <x:c r="E811" s="7" t="str">
        <x:v>BLD-A</x:v>
      </x:c>
      <x:c r="F811" s="7" t="str">
        <x:v>BL-Y</x:v>
      </x:c>
      <x:c r="G811" s="7" t="str">
        <x:v>MF-15</x:v>
      </x:c>
      <x:c r="H811" s="7" t="str"/>
      <x:c r="I811" s="7" t="str"/>
      <x:c r="J811" s="7" t="str">
        <x:f>IF(OR(H811="",I811=""),"",I811-H811)</x:f>
      </x:c>
      <x:c r="K811" s="7" t="str"/>
      <x:c r="L811" s="7" t="str"/>
      <x:c r="M811" s="7" t="str">
        <x:f>IF(L811="","OPEN",IF(OR(NOT(ISNUMBER(H811)),NOT(ISNUMBER(I811)),NOT(ISNUMBER(K811)),ABS(J811)&gt;K811),"FAIL","PASS"))</x:f>
        <x:v>OPEN</x:v>
      </x:c>
    </x:row>
    <x:row r="812">
      <x:c r="B812" s="7" t="str">
        <x:v>CAL-CH-PEA-A-Y3-15-2</x:v>
      </x:c>
      <x:c r="C812" s="7" t="str">
        <x:v>CH-PEA-A-Y3-15-2</x:v>
      </x:c>
      <x:c r="D812" s="7" t="str">
        <x:v>PEA-A-Y3</x:v>
      </x:c>
      <x:c r="E812" s="7" t="str">
        <x:v>BLD-A</x:v>
      </x:c>
      <x:c r="F812" s="7" t="str">
        <x:v>BL-Y</x:v>
      </x:c>
      <x:c r="G812" s="7" t="str">
        <x:v>MF-15</x:v>
      </x:c>
      <x:c r="H812" s="7" t="str"/>
      <x:c r="I812" s="7" t="str"/>
      <x:c r="J812" s="7" t="str">
        <x:f>IF(OR(H812="",I812=""),"",I812-H812)</x:f>
      </x:c>
      <x:c r="K812" s="7" t="str"/>
      <x:c r="L812" s="7" t="str"/>
      <x:c r="M812" s="7" t="str">
        <x:f>IF(L812="","OPEN",IF(OR(NOT(ISNUMBER(H812)),NOT(ISNUMBER(I812)),NOT(ISNUMBER(K812)),ABS(J812)&gt;K812),"FAIL","PASS"))</x:f>
        <x:v>OPEN</x:v>
      </x:c>
    </x:row>
    <x:row r="813">
      <x:c r="B813" s="7" t="str">
        <x:v>CAL-CH-PEA-A-Y3-15-3</x:v>
      </x:c>
      <x:c r="C813" s="7" t="str">
        <x:v>CH-PEA-A-Y3-15-3</x:v>
      </x:c>
      <x:c r="D813" s="7" t="str">
        <x:v>PEA-A-Y3</x:v>
      </x:c>
      <x:c r="E813" s="7" t="str">
        <x:v>BLD-A</x:v>
      </x:c>
      <x:c r="F813" s="7" t="str">
        <x:v>BL-Y</x:v>
      </x:c>
      <x:c r="G813" s="7" t="str">
        <x:v>MF-15</x:v>
      </x:c>
      <x:c r="H813" s="7" t="str"/>
      <x:c r="I813" s="7" t="str"/>
      <x:c r="J813" s="7" t="str">
        <x:f>IF(OR(H813="",I813=""),"",I813-H813)</x:f>
      </x:c>
      <x:c r="K813" s="7" t="str"/>
      <x:c r="L813" s="7" t="str"/>
      <x:c r="M813" s="7" t="str">
        <x:f>IF(L813="","OPEN",IF(OR(NOT(ISNUMBER(H813)),NOT(ISNUMBER(I813)),NOT(ISNUMBER(K813)),ABS(J813)&gt;K813),"FAIL","PASS"))</x:f>
        <x:v>OPEN</x:v>
      </x:c>
    </x:row>
    <x:row r="814">
      <x:c r="B814" s="7" t="str">
        <x:v>CAL-CH-PEA-A-Y3-15-4</x:v>
      </x:c>
      <x:c r="C814" s="7" t="str">
        <x:v>CH-PEA-A-Y3-15-4</x:v>
      </x:c>
      <x:c r="D814" s="7" t="str">
        <x:v>PEA-A-Y3</x:v>
      </x:c>
      <x:c r="E814" s="7" t="str">
        <x:v>BLD-A</x:v>
      </x:c>
      <x:c r="F814" s="7" t="str">
        <x:v>BL-Y</x:v>
      </x:c>
      <x:c r="G814" s="7" t="str">
        <x:v>MF-15</x:v>
      </x:c>
      <x:c r="H814" s="7" t="str"/>
      <x:c r="I814" s="7" t="str"/>
      <x:c r="J814" s="7" t="str">
        <x:f>IF(OR(H814="",I814=""),"",I814-H814)</x:f>
      </x:c>
      <x:c r="K814" s="7" t="str"/>
      <x:c r="L814" s="7" t="str"/>
      <x:c r="M814" s="7" t="str">
        <x:f>IF(L814="","OPEN",IF(OR(NOT(ISNUMBER(H814)),NOT(ISNUMBER(I814)),NOT(ISNUMBER(K814)),ABS(J814)&gt;K814),"FAIL","PASS"))</x:f>
        <x:v>OPEN</x:v>
      </x:c>
    </x:row>
    <x:row r="815">
      <x:c r="B815" s="7" t="str">
        <x:v>CAL-CH-PEA-A-Y3-15-5</x:v>
      </x:c>
      <x:c r="C815" s="7" t="str">
        <x:v>CH-PEA-A-Y3-15-5</x:v>
      </x:c>
      <x:c r="D815" s="7" t="str">
        <x:v>PEA-A-Y3</x:v>
      </x:c>
      <x:c r="E815" s="7" t="str">
        <x:v>BLD-A</x:v>
      </x:c>
      <x:c r="F815" s="7" t="str">
        <x:v>BL-Y</x:v>
      </x:c>
      <x:c r="G815" s="7" t="str">
        <x:v>MF-15</x:v>
      </x:c>
      <x:c r="H815" s="7" t="str"/>
      <x:c r="I815" s="7" t="str"/>
      <x:c r="J815" s="7" t="str">
        <x:f>IF(OR(H815="",I815=""),"",I815-H815)</x:f>
      </x:c>
      <x:c r="K815" s="7" t="str"/>
      <x:c r="L815" s="7" t="str"/>
      <x:c r="M815" s="7" t="str">
        <x:f>IF(L815="","OPEN",IF(OR(NOT(ISNUMBER(H815)),NOT(ISNUMBER(I815)),NOT(ISNUMBER(K815)),ABS(J815)&gt;K815),"FAIL","PASS"))</x:f>
        <x:v>OPEN</x:v>
      </x:c>
    </x:row>
    <x:row r="816">
      <x:c r="B816" s="7" t="str">
        <x:v>CAL-CH-PEA-A-Y3-15-6</x:v>
      </x:c>
      <x:c r="C816" s="7" t="str">
        <x:v>CH-PEA-A-Y3-15-6</x:v>
      </x:c>
      <x:c r="D816" s="7" t="str">
        <x:v>PEA-A-Y3</x:v>
      </x:c>
      <x:c r="E816" s="7" t="str">
        <x:v>BLD-A</x:v>
      </x:c>
      <x:c r="F816" s="7" t="str">
        <x:v>BL-Y</x:v>
      </x:c>
      <x:c r="G816" s="7" t="str">
        <x:v>MF-15</x:v>
      </x:c>
      <x:c r="H816" s="7" t="str"/>
      <x:c r="I816" s="7" t="str"/>
      <x:c r="J816" s="7" t="str">
        <x:f>IF(OR(H816="",I816=""),"",I816-H816)</x:f>
      </x:c>
      <x:c r="K816" s="7" t="str"/>
      <x:c r="L816" s="7" t="str"/>
      <x:c r="M816" s="7" t="str">
        <x:f>IF(L816="","OPEN",IF(OR(NOT(ISNUMBER(H816)),NOT(ISNUMBER(I816)),NOT(ISNUMBER(K816)),ABS(J816)&gt;K816),"FAIL","PASS"))</x:f>
        <x:v>OPEN</x:v>
      </x:c>
    </x:row>
    <x:row r="817">
      <x:c r="B817" s="7" t="str">
        <x:v>CAL-CH-PEA-A-Y3-16-1</x:v>
      </x:c>
      <x:c r="C817" s="7" t="str">
        <x:v>CH-PEA-A-Y3-16-1</x:v>
      </x:c>
      <x:c r="D817" s="7" t="str">
        <x:v>PEA-A-Y3</x:v>
      </x:c>
      <x:c r="E817" s="7" t="str">
        <x:v>BLD-A</x:v>
      </x:c>
      <x:c r="F817" s="7" t="str">
        <x:v>BL-Y</x:v>
      </x:c>
      <x:c r="G817" s="7" t="str">
        <x:v>MF-16</x:v>
      </x:c>
      <x:c r="H817" s="7" t="str"/>
      <x:c r="I817" s="7" t="str"/>
      <x:c r="J817" s="7" t="str">
        <x:f>IF(OR(H817="",I817=""),"",I817-H817)</x:f>
      </x:c>
      <x:c r="K817" s="7" t="str"/>
      <x:c r="L817" s="7" t="str"/>
      <x:c r="M817" s="7" t="str">
        <x:f>IF(L817="","OPEN",IF(OR(NOT(ISNUMBER(H817)),NOT(ISNUMBER(I817)),NOT(ISNUMBER(K817)),ABS(J817)&gt;K817),"FAIL","PASS"))</x:f>
        <x:v>OPEN</x:v>
      </x:c>
    </x:row>
    <x:row r="818">
      <x:c r="B818" s="7" t="str">
        <x:v>CAL-CH-PEA-A-Y3-16-2</x:v>
      </x:c>
      <x:c r="C818" s="7" t="str">
        <x:v>CH-PEA-A-Y3-16-2</x:v>
      </x:c>
      <x:c r="D818" s="7" t="str">
        <x:v>PEA-A-Y3</x:v>
      </x:c>
      <x:c r="E818" s="7" t="str">
        <x:v>BLD-A</x:v>
      </x:c>
      <x:c r="F818" s="7" t="str">
        <x:v>BL-Y</x:v>
      </x:c>
      <x:c r="G818" s="7" t="str">
        <x:v>MF-16</x:v>
      </x:c>
      <x:c r="H818" s="7" t="str"/>
      <x:c r="I818" s="7" t="str"/>
      <x:c r="J818" s="7" t="str">
        <x:f>IF(OR(H818="",I818=""),"",I818-H818)</x:f>
      </x:c>
      <x:c r="K818" s="7" t="str"/>
      <x:c r="L818" s="7" t="str"/>
      <x:c r="M818" s="7" t="str">
        <x:f>IF(L818="","OPEN",IF(OR(NOT(ISNUMBER(H818)),NOT(ISNUMBER(I818)),NOT(ISNUMBER(K818)),ABS(J818)&gt;K818),"FAIL","PASS"))</x:f>
        <x:v>OPEN</x:v>
      </x:c>
    </x:row>
    <x:row r="819">
      <x:c r="B819" s="7" t="str">
        <x:v>CAL-CH-PEA-A-Y3-16-3</x:v>
      </x:c>
      <x:c r="C819" s="7" t="str">
        <x:v>CH-PEA-A-Y3-16-3</x:v>
      </x:c>
      <x:c r="D819" s="7" t="str">
        <x:v>PEA-A-Y3</x:v>
      </x:c>
      <x:c r="E819" s="7" t="str">
        <x:v>BLD-A</x:v>
      </x:c>
      <x:c r="F819" s="7" t="str">
        <x:v>BL-Y</x:v>
      </x:c>
      <x:c r="G819" s="7" t="str">
        <x:v>MF-16</x:v>
      </x:c>
      <x:c r="H819" s="7" t="str"/>
      <x:c r="I819" s="7" t="str"/>
      <x:c r="J819" s="7" t="str">
        <x:f>IF(OR(H819="",I819=""),"",I819-H819)</x:f>
      </x:c>
      <x:c r="K819" s="7" t="str"/>
      <x:c r="L819" s="7" t="str"/>
      <x:c r="M819" s="7" t="str">
        <x:f>IF(L819="","OPEN",IF(OR(NOT(ISNUMBER(H819)),NOT(ISNUMBER(I819)),NOT(ISNUMBER(K819)),ABS(J819)&gt;K819),"FAIL","PASS"))</x:f>
        <x:v>OPEN</x:v>
      </x:c>
    </x:row>
    <x:row r="820">
      <x:c r="B820" s="7" t="str">
        <x:v>CAL-CH-PEA-A-Y3-16-4</x:v>
      </x:c>
      <x:c r="C820" s="7" t="str">
        <x:v>CH-PEA-A-Y3-16-4</x:v>
      </x:c>
      <x:c r="D820" s="7" t="str">
        <x:v>PEA-A-Y3</x:v>
      </x:c>
      <x:c r="E820" s="7" t="str">
        <x:v>BLD-A</x:v>
      </x:c>
      <x:c r="F820" s="7" t="str">
        <x:v>BL-Y</x:v>
      </x:c>
      <x:c r="G820" s="7" t="str">
        <x:v>MF-16</x:v>
      </x:c>
      <x:c r="H820" s="7" t="str"/>
      <x:c r="I820" s="7" t="str"/>
      <x:c r="J820" s="7" t="str">
        <x:f>IF(OR(H820="",I820=""),"",I820-H820)</x:f>
      </x:c>
      <x:c r="K820" s="7" t="str"/>
      <x:c r="L820" s="7" t="str"/>
      <x:c r="M820" s="7" t="str">
        <x:f>IF(L820="","OPEN",IF(OR(NOT(ISNUMBER(H820)),NOT(ISNUMBER(I820)),NOT(ISNUMBER(K820)),ABS(J820)&gt;K820),"FAIL","PASS"))</x:f>
        <x:v>OPEN</x:v>
      </x:c>
    </x:row>
    <x:row r="821">
      <x:c r="B821" s="7" t="str">
        <x:v>CAL-CH-PEA-A-Y3-16-5</x:v>
      </x:c>
      <x:c r="C821" s="7" t="str">
        <x:v>CH-PEA-A-Y3-16-5</x:v>
      </x:c>
      <x:c r="D821" s="7" t="str">
        <x:v>PEA-A-Y3</x:v>
      </x:c>
      <x:c r="E821" s="7" t="str">
        <x:v>BLD-A</x:v>
      </x:c>
      <x:c r="F821" s="7" t="str">
        <x:v>BL-Y</x:v>
      </x:c>
      <x:c r="G821" s="7" t="str">
        <x:v>MF-16</x:v>
      </x:c>
      <x:c r="H821" s="7" t="str"/>
      <x:c r="I821" s="7" t="str"/>
      <x:c r="J821" s="7" t="str">
        <x:f>IF(OR(H821="",I821=""),"",I821-H821)</x:f>
      </x:c>
      <x:c r="K821" s="7" t="str"/>
      <x:c r="L821" s="7" t="str"/>
      <x:c r="M821" s="7" t="str">
        <x:f>IF(L821="","OPEN",IF(OR(NOT(ISNUMBER(H821)),NOT(ISNUMBER(I821)),NOT(ISNUMBER(K821)),ABS(J821)&gt;K821),"FAIL","PASS"))</x:f>
        <x:v>OPEN</x:v>
      </x:c>
    </x:row>
    <x:row r="822">
      <x:c r="B822" s="7" t="str">
        <x:v>CAL-CH-PEA-A-Y3-16-6</x:v>
      </x:c>
      <x:c r="C822" s="7" t="str">
        <x:v>CH-PEA-A-Y3-16-6</x:v>
      </x:c>
      <x:c r="D822" s="7" t="str">
        <x:v>PEA-A-Y3</x:v>
      </x:c>
      <x:c r="E822" s="7" t="str">
        <x:v>BLD-A</x:v>
      </x:c>
      <x:c r="F822" s="7" t="str">
        <x:v>BL-Y</x:v>
      </x:c>
      <x:c r="G822" s="7" t="str">
        <x:v>MF-16</x:v>
      </x:c>
      <x:c r="H822" s="7" t="str"/>
      <x:c r="I822" s="7" t="str"/>
      <x:c r="J822" s="7" t="str">
        <x:f>IF(OR(H822="",I822=""),"",I822-H822)</x:f>
      </x:c>
      <x:c r="K822" s="7" t="str"/>
      <x:c r="L822" s="7" t="str"/>
      <x:c r="M822" s="7" t="str">
        <x:f>IF(L822="","OPEN",IF(OR(NOT(ISNUMBER(H822)),NOT(ISNUMBER(I822)),NOT(ISNUMBER(K822)),ABS(J822)&gt;K822),"FAIL","PASS"))</x:f>
        <x:v>OPEN</x:v>
      </x:c>
    </x:row>
    <x:row r="823">
      <x:c r="B823" s="7" t="str">
        <x:v>CAL-CH-PEA-A-Y3-17-1</x:v>
      </x:c>
      <x:c r="C823" s="7" t="str">
        <x:v>CH-PEA-A-Y3-17-1</x:v>
      </x:c>
      <x:c r="D823" s="7" t="str">
        <x:v>PEA-A-Y3</x:v>
      </x:c>
      <x:c r="E823" s="7" t="str">
        <x:v>BLD-A</x:v>
      </x:c>
      <x:c r="F823" s="7" t="str">
        <x:v>BL-Y</x:v>
      </x:c>
      <x:c r="G823" s="7" t="str">
        <x:v>MF-17</x:v>
      </x:c>
      <x:c r="H823" s="7" t="str"/>
      <x:c r="I823" s="7" t="str"/>
      <x:c r="J823" s="7" t="str">
        <x:f>IF(OR(H823="",I823=""),"",I823-H823)</x:f>
      </x:c>
      <x:c r="K823" s="7" t="str"/>
      <x:c r="L823" s="7" t="str"/>
      <x:c r="M823" s="7" t="str">
        <x:f>IF(L823="","OPEN",IF(OR(NOT(ISNUMBER(H823)),NOT(ISNUMBER(I823)),NOT(ISNUMBER(K823)),ABS(J823)&gt;K823),"FAIL","PASS"))</x:f>
        <x:v>OPEN</x:v>
      </x:c>
    </x:row>
    <x:row r="824">
      <x:c r="B824" s="7" t="str">
        <x:v>CAL-CH-PEA-A-Y3-17-2</x:v>
      </x:c>
      <x:c r="C824" s="7" t="str">
        <x:v>CH-PEA-A-Y3-17-2</x:v>
      </x:c>
      <x:c r="D824" s="7" t="str">
        <x:v>PEA-A-Y3</x:v>
      </x:c>
      <x:c r="E824" s="7" t="str">
        <x:v>BLD-A</x:v>
      </x:c>
      <x:c r="F824" s="7" t="str">
        <x:v>BL-Y</x:v>
      </x:c>
      <x:c r="G824" s="7" t="str">
        <x:v>MF-17</x:v>
      </x:c>
      <x:c r="H824" s="7" t="str"/>
      <x:c r="I824" s="7" t="str"/>
      <x:c r="J824" s="7" t="str">
        <x:f>IF(OR(H824="",I824=""),"",I824-H824)</x:f>
      </x:c>
      <x:c r="K824" s="7" t="str"/>
      <x:c r="L824" s="7" t="str"/>
      <x:c r="M824" s="7" t="str">
        <x:f>IF(L824="","OPEN",IF(OR(NOT(ISNUMBER(H824)),NOT(ISNUMBER(I824)),NOT(ISNUMBER(K824)),ABS(J824)&gt;K824),"FAIL","PASS"))</x:f>
        <x:v>OPEN</x:v>
      </x:c>
    </x:row>
    <x:row r="825">
      <x:c r="B825" s="7" t="str">
        <x:v>CAL-CH-PEA-A-Y3-17-3</x:v>
      </x:c>
      <x:c r="C825" s="7" t="str">
        <x:v>CH-PEA-A-Y3-17-3</x:v>
      </x:c>
      <x:c r="D825" s="7" t="str">
        <x:v>PEA-A-Y3</x:v>
      </x:c>
      <x:c r="E825" s="7" t="str">
        <x:v>BLD-A</x:v>
      </x:c>
      <x:c r="F825" s="7" t="str">
        <x:v>BL-Y</x:v>
      </x:c>
      <x:c r="G825" s="7" t="str">
        <x:v>MF-17</x:v>
      </x:c>
      <x:c r="H825" s="7" t="str"/>
      <x:c r="I825" s="7" t="str"/>
      <x:c r="J825" s="7" t="str">
        <x:f>IF(OR(H825="",I825=""),"",I825-H825)</x:f>
      </x:c>
      <x:c r="K825" s="7" t="str"/>
      <x:c r="L825" s="7" t="str"/>
      <x:c r="M825" s="7" t="str">
        <x:f>IF(L825="","OPEN",IF(OR(NOT(ISNUMBER(H825)),NOT(ISNUMBER(I825)),NOT(ISNUMBER(K825)),ABS(J825)&gt;K825),"FAIL","PASS"))</x:f>
        <x:v>OPEN</x:v>
      </x:c>
    </x:row>
    <x:row r="826">
      <x:c r="B826" s="7" t="str">
        <x:v>CAL-CH-PEA-A-Y3-17-4</x:v>
      </x:c>
      <x:c r="C826" s="7" t="str">
        <x:v>CH-PEA-A-Y3-17-4</x:v>
      </x:c>
      <x:c r="D826" s="7" t="str">
        <x:v>PEA-A-Y3</x:v>
      </x:c>
      <x:c r="E826" s="7" t="str">
        <x:v>BLD-A</x:v>
      </x:c>
      <x:c r="F826" s="7" t="str">
        <x:v>BL-Y</x:v>
      </x:c>
      <x:c r="G826" s="7" t="str">
        <x:v>MF-17</x:v>
      </x:c>
      <x:c r="H826" s="7" t="str"/>
      <x:c r="I826" s="7" t="str"/>
      <x:c r="J826" s="7" t="str">
        <x:f>IF(OR(H826="",I826=""),"",I826-H826)</x:f>
      </x:c>
      <x:c r="K826" s="7" t="str"/>
      <x:c r="L826" s="7" t="str"/>
      <x:c r="M826" s="7" t="str">
        <x:f>IF(L826="","OPEN",IF(OR(NOT(ISNUMBER(H826)),NOT(ISNUMBER(I826)),NOT(ISNUMBER(K826)),ABS(J826)&gt;K826),"FAIL","PASS"))</x:f>
        <x:v>OPEN</x:v>
      </x:c>
    </x:row>
    <x:row r="827">
      <x:c r="B827" s="7" t="str">
        <x:v>CAL-CH-PEA-A-Y3-17-5</x:v>
      </x:c>
      <x:c r="C827" s="7" t="str">
        <x:v>CH-PEA-A-Y3-17-5</x:v>
      </x:c>
      <x:c r="D827" s="7" t="str">
        <x:v>PEA-A-Y3</x:v>
      </x:c>
      <x:c r="E827" s="7" t="str">
        <x:v>BLD-A</x:v>
      </x:c>
      <x:c r="F827" s="7" t="str">
        <x:v>BL-Y</x:v>
      </x:c>
      <x:c r="G827" s="7" t="str">
        <x:v>MF-17</x:v>
      </x:c>
      <x:c r="H827" s="7" t="str"/>
      <x:c r="I827" s="7" t="str"/>
      <x:c r="J827" s="7" t="str">
        <x:f>IF(OR(H827="",I827=""),"",I827-H827)</x:f>
      </x:c>
      <x:c r="K827" s="7" t="str"/>
      <x:c r="L827" s="7" t="str"/>
      <x:c r="M827" s="7" t="str">
        <x:f>IF(L827="","OPEN",IF(OR(NOT(ISNUMBER(H827)),NOT(ISNUMBER(I827)),NOT(ISNUMBER(K827)),ABS(J827)&gt;K827),"FAIL","PASS"))</x:f>
        <x:v>OPEN</x:v>
      </x:c>
    </x:row>
    <x:row r="828">
      <x:c r="B828" s="7" t="str">
        <x:v>CAL-CH-PEA-A-Y3-17-6</x:v>
      </x:c>
      <x:c r="C828" s="7" t="str">
        <x:v>CH-PEA-A-Y3-17-6</x:v>
      </x:c>
      <x:c r="D828" s="7" t="str">
        <x:v>PEA-A-Y3</x:v>
      </x:c>
      <x:c r="E828" s="7" t="str">
        <x:v>BLD-A</x:v>
      </x:c>
      <x:c r="F828" s="7" t="str">
        <x:v>BL-Y</x:v>
      </x:c>
      <x:c r="G828" s="7" t="str">
        <x:v>MF-17</x:v>
      </x:c>
      <x:c r="H828" s="7" t="str"/>
      <x:c r="I828" s="7" t="str"/>
      <x:c r="J828" s="7" t="str">
        <x:f>IF(OR(H828="",I828=""),"",I828-H828)</x:f>
      </x:c>
      <x:c r="K828" s="7" t="str"/>
      <x:c r="L828" s="7" t="str"/>
      <x:c r="M828" s="7" t="str">
        <x:f>IF(L828="","OPEN",IF(OR(NOT(ISNUMBER(H828)),NOT(ISNUMBER(I828)),NOT(ISNUMBER(K828)),ABS(J828)&gt;K828),"FAIL","PASS"))</x:f>
        <x:v>OPEN</x:v>
      </x:c>
    </x:row>
    <x:row r="829">
      <x:c r="B829" s="7" t="str">
        <x:v>CAL-CH-PEA-A-Y3-18-1</x:v>
      </x:c>
      <x:c r="C829" s="7" t="str">
        <x:v>CH-PEA-A-Y3-18-1</x:v>
      </x:c>
      <x:c r="D829" s="7" t="str">
        <x:v>PEA-A-Y3</x:v>
      </x:c>
      <x:c r="E829" s="7" t="str">
        <x:v>BLD-A</x:v>
      </x:c>
      <x:c r="F829" s="7" t="str">
        <x:v>BL-Y</x:v>
      </x:c>
      <x:c r="G829" s="7" t="str">
        <x:v>MF-18</x:v>
      </x:c>
      <x:c r="H829" s="7" t="str"/>
      <x:c r="I829" s="7" t="str"/>
      <x:c r="J829" s="7" t="str">
        <x:f>IF(OR(H829="",I829=""),"",I829-H829)</x:f>
      </x:c>
      <x:c r="K829" s="7" t="str"/>
      <x:c r="L829" s="7" t="str"/>
      <x:c r="M829" s="7" t="str">
        <x:f>IF(L829="","OPEN",IF(OR(NOT(ISNUMBER(H829)),NOT(ISNUMBER(I829)),NOT(ISNUMBER(K829)),ABS(J829)&gt;K829),"FAIL","PASS"))</x:f>
        <x:v>OPEN</x:v>
      </x:c>
    </x:row>
    <x:row r="830">
      <x:c r="B830" s="7" t="str">
        <x:v>CAL-CH-PEA-A-Y3-18-2</x:v>
      </x:c>
      <x:c r="C830" s="7" t="str">
        <x:v>CH-PEA-A-Y3-18-2</x:v>
      </x:c>
      <x:c r="D830" s="7" t="str">
        <x:v>PEA-A-Y3</x:v>
      </x:c>
      <x:c r="E830" s="7" t="str">
        <x:v>BLD-A</x:v>
      </x:c>
      <x:c r="F830" s="7" t="str">
        <x:v>BL-Y</x:v>
      </x:c>
      <x:c r="G830" s="7" t="str">
        <x:v>MF-18</x:v>
      </x:c>
      <x:c r="H830" s="7" t="str"/>
      <x:c r="I830" s="7" t="str"/>
      <x:c r="J830" s="7" t="str">
        <x:f>IF(OR(H830="",I830=""),"",I830-H830)</x:f>
      </x:c>
      <x:c r="K830" s="7" t="str"/>
      <x:c r="L830" s="7" t="str"/>
      <x:c r="M830" s="7" t="str">
        <x:f>IF(L830="","OPEN",IF(OR(NOT(ISNUMBER(H830)),NOT(ISNUMBER(I830)),NOT(ISNUMBER(K830)),ABS(J830)&gt;K830),"FAIL","PASS"))</x:f>
        <x:v>OPEN</x:v>
      </x:c>
    </x:row>
    <x:row r="831">
      <x:c r="B831" s="7" t="str">
        <x:v>CAL-CH-PEA-A-Y3-18-3</x:v>
      </x:c>
      <x:c r="C831" s="7" t="str">
        <x:v>CH-PEA-A-Y3-18-3</x:v>
      </x:c>
      <x:c r="D831" s="7" t="str">
        <x:v>PEA-A-Y3</x:v>
      </x:c>
      <x:c r="E831" s="7" t="str">
        <x:v>BLD-A</x:v>
      </x:c>
      <x:c r="F831" s="7" t="str">
        <x:v>BL-Y</x:v>
      </x:c>
      <x:c r="G831" s="7" t="str">
        <x:v>MF-18</x:v>
      </x:c>
      <x:c r="H831" s="7" t="str"/>
      <x:c r="I831" s="7" t="str"/>
      <x:c r="J831" s="7" t="str">
        <x:f>IF(OR(H831="",I831=""),"",I831-H831)</x:f>
      </x:c>
      <x:c r="K831" s="7" t="str"/>
      <x:c r="L831" s="7" t="str"/>
      <x:c r="M831" s="7" t="str">
        <x:f>IF(L831="","OPEN",IF(OR(NOT(ISNUMBER(H831)),NOT(ISNUMBER(I831)),NOT(ISNUMBER(K831)),ABS(J831)&gt;K831),"FAIL","PASS"))</x:f>
        <x:v>OPEN</x:v>
      </x:c>
    </x:row>
    <x:row r="832">
      <x:c r="B832" s="7" t="str">
        <x:v>CAL-CH-PEA-A-Y3-18-4</x:v>
      </x:c>
      <x:c r="C832" s="7" t="str">
        <x:v>CH-PEA-A-Y3-18-4</x:v>
      </x:c>
      <x:c r="D832" s="7" t="str">
        <x:v>PEA-A-Y3</x:v>
      </x:c>
      <x:c r="E832" s="7" t="str">
        <x:v>BLD-A</x:v>
      </x:c>
      <x:c r="F832" s="7" t="str">
        <x:v>BL-Y</x:v>
      </x:c>
      <x:c r="G832" s="7" t="str">
        <x:v>MF-18</x:v>
      </x:c>
      <x:c r="H832" s="7" t="str"/>
      <x:c r="I832" s="7" t="str"/>
      <x:c r="J832" s="7" t="str">
        <x:f>IF(OR(H832="",I832=""),"",I832-H832)</x:f>
      </x:c>
      <x:c r="K832" s="7" t="str"/>
      <x:c r="L832" s="7" t="str"/>
      <x:c r="M832" s="7" t="str">
        <x:f>IF(L832="","OPEN",IF(OR(NOT(ISNUMBER(H832)),NOT(ISNUMBER(I832)),NOT(ISNUMBER(K832)),ABS(J832)&gt;K832),"FAIL","PASS"))</x:f>
        <x:v>OPEN</x:v>
      </x:c>
    </x:row>
    <x:row r="833">
      <x:c r="B833" s="7" t="str">
        <x:v>CAL-CH-PEA-A-Y3-18-5</x:v>
      </x:c>
      <x:c r="C833" s="7" t="str">
        <x:v>CH-PEA-A-Y3-18-5</x:v>
      </x:c>
      <x:c r="D833" s="7" t="str">
        <x:v>PEA-A-Y3</x:v>
      </x:c>
      <x:c r="E833" s="7" t="str">
        <x:v>BLD-A</x:v>
      </x:c>
      <x:c r="F833" s="7" t="str">
        <x:v>BL-Y</x:v>
      </x:c>
      <x:c r="G833" s="7" t="str">
        <x:v>MF-18</x:v>
      </x:c>
      <x:c r="H833" s="7" t="str"/>
      <x:c r="I833" s="7" t="str"/>
      <x:c r="J833" s="7" t="str">
        <x:f>IF(OR(H833="",I833=""),"",I833-H833)</x:f>
      </x:c>
      <x:c r="K833" s="7" t="str"/>
      <x:c r="L833" s="7" t="str"/>
      <x:c r="M833" s="7" t="str">
        <x:f>IF(L833="","OPEN",IF(OR(NOT(ISNUMBER(H833)),NOT(ISNUMBER(I833)),NOT(ISNUMBER(K833)),ABS(J833)&gt;K833),"FAIL","PASS"))</x:f>
        <x:v>OPEN</x:v>
      </x:c>
    </x:row>
    <x:row r="834">
      <x:c r="B834" s="7" t="str">
        <x:v>CAL-CH-PEA-A-Y3-18-6</x:v>
      </x:c>
      <x:c r="C834" s="7" t="str">
        <x:v>CH-PEA-A-Y3-18-6</x:v>
      </x:c>
      <x:c r="D834" s="7" t="str">
        <x:v>PEA-A-Y3</x:v>
      </x:c>
      <x:c r="E834" s="7" t="str">
        <x:v>BLD-A</x:v>
      </x:c>
      <x:c r="F834" s="7" t="str">
        <x:v>BL-Y</x:v>
      </x:c>
      <x:c r="G834" s="7" t="str">
        <x:v>MF-18</x:v>
      </x:c>
      <x:c r="H834" s="7" t="str"/>
      <x:c r="I834" s="7" t="str"/>
      <x:c r="J834" s="7" t="str">
        <x:f>IF(OR(H834="",I834=""),"",I834-H834)</x:f>
      </x:c>
      <x:c r="K834" s="7" t="str"/>
      <x:c r="L834" s="7" t="str"/>
      <x:c r="M834" s="7" t="str">
        <x:f>IF(L834="","OPEN",IF(OR(NOT(ISNUMBER(H834)),NOT(ISNUMBER(I834)),NOT(ISNUMBER(K834)),ABS(J834)&gt;K834),"FAIL","PASS"))</x:f>
        <x:v>OPEN</x:v>
      </x:c>
    </x:row>
    <x:row r="835">
      <x:c r="B835" s="7" t="str">
        <x:v>CAL-CH-PEA-A-Y3-19-1</x:v>
      </x:c>
      <x:c r="C835" s="7" t="str">
        <x:v>CH-PEA-A-Y3-19-1</x:v>
      </x:c>
      <x:c r="D835" s="7" t="str">
        <x:v>PEA-A-Y3</x:v>
      </x:c>
      <x:c r="E835" s="7" t="str">
        <x:v>BLD-A</x:v>
      </x:c>
      <x:c r="F835" s="7" t="str">
        <x:v>BL-Y</x:v>
      </x:c>
      <x:c r="G835" s="7" t="str">
        <x:v>MF-19</x:v>
      </x:c>
      <x:c r="H835" s="7" t="str"/>
      <x:c r="I835" s="7" t="str"/>
      <x:c r="J835" s="7" t="str">
        <x:f>IF(OR(H835="",I835=""),"",I835-H835)</x:f>
      </x:c>
      <x:c r="K835" s="7" t="str"/>
      <x:c r="L835" s="7" t="str"/>
      <x:c r="M835" s="7" t="str">
        <x:f>IF(L835="","OPEN",IF(OR(NOT(ISNUMBER(H835)),NOT(ISNUMBER(I835)),NOT(ISNUMBER(K835)),ABS(J835)&gt;K835),"FAIL","PASS"))</x:f>
        <x:v>OPEN</x:v>
      </x:c>
    </x:row>
    <x:row r="836">
      <x:c r="B836" s="7" t="str">
        <x:v>CAL-CH-PEA-A-Y3-19-2</x:v>
      </x:c>
      <x:c r="C836" s="7" t="str">
        <x:v>CH-PEA-A-Y3-19-2</x:v>
      </x:c>
      <x:c r="D836" s="7" t="str">
        <x:v>PEA-A-Y3</x:v>
      </x:c>
      <x:c r="E836" s="7" t="str">
        <x:v>BLD-A</x:v>
      </x:c>
      <x:c r="F836" s="7" t="str">
        <x:v>BL-Y</x:v>
      </x:c>
      <x:c r="G836" s="7" t="str">
        <x:v>MF-19</x:v>
      </x:c>
      <x:c r="H836" s="7" t="str"/>
      <x:c r="I836" s="7" t="str"/>
      <x:c r="J836" s="7" t="str">
        <x:f>IF(OR(H836="",I836=""),"",I836-H836)</x:f>
      </x:c>
      <x:c r="K836" s="7" t="str"/>
      <x:c r="L836" s="7" t="str"/>
      <x:c r="M836" s="7" t="str">
        <x:f>IF(L836="","OPEN",IF(OR(NOT(ISNUMBER(H836)),NOT(ISNUMBER(I836)),NOT(ISNUMBER(K836)),ABS(J836)&gt;K836),"FAIL","PASS"))</x:f>
        <x:v>OPEN</x:v>
      </x:c>
    </x:row>
    <x:row r="837">
      <x:c r="B837" s="7" t="str">
        <x:v>CAL-CH-PEA-A-Y3-19-3</x:v>
      </x:c>
      <x:c r="C837" s="7" t="str">
        <x:v>CH-PEA-A-Y3-19-3</x:v>
      </x:c>
      <x:c r="D837" s="7" t="str">
        <x:v>PEA-A-Y3</x:v>
      </x:c>
      <x:c r="E837" s="7" t="str">
        <x:v>BLD-A</x:v>
      </x:c>
      <x:c r="F837" s="7" t="str">
        <x:v>BL-Y</x:v>
      </x:c>
      <x:c r="G837" s="7" t="str">
        <x:v>MF-19</x:v>
      </x:c>
      <x:c r="H837" s="7" t="str"/>
      <x:c r="I837" s="7" t="str"/>
      <x:c r="J837" s="7" t="str">
        <x:f>IF(OR(H837="",I837=""),"",I837-H837)</x:f>
      </x:c>
      <x:c r="K837" s="7" t="str"/>
      <x:c r="L837" s="7" t="str"/>
      <x:c r="M837" s="7" t="str">
        <x:f>IF(L837="","OPEN",IF(OR(NOT(ISNUMBER(H837)),NOT(ISNUMBER(I837)),NOT(ISNUMBER(K837)),ABS(J837)&gt;K837),"FAIL","PASS"))</x:f>
        <x:v>OPEN</x:v>
      </x:c>
    </x:row>
    <x:row r="838">
      <x:c r="B838" s="7" t="str">
        <x:v>CAL-CH-PEA-A-Y3-19-4</x:v>
      </x:c>
      <x:c r="C838" s="7" t="str">
        <x:v>CH-PEA-A-Y3-19-4</x:v>
      </x:c>
      <x:c r="D838" s="7" t="str">
        <x:v>PEA-A-Y3</x:v>
      </x:c>
      <x:c r="E838" s="7" t="str">
        <x:v>BLD-A</x:v>
      </x:c>
      <x:c r="F838" s="7" t="str">
        <x:v>BL-Y</x:v>
      </x:c>
      <x:c r="G838" s="7" t="str">
        <x:v>MF-19</x:v>
      </x:c>
      <x:c r="H838" s="7" t="str"/>
      <x:c r="I838" s="7" t="str"/>
      <x:c r="J838" s="7" t="str">
        <x:f>IF(OR(H838="",I838=""),"",I838-H838)</x:f>
      </x:c>
      <x:c r="K838" s="7" t="str"/>
      <x:c r="L838" s="7" t="str"/>
      <x:c r="M838" s="7" t="str">
        <x:f>IF(L838="","OPEN",IF(OR(NOT(ISNUMBER(H838)),NOT(ISNUMBER(I838)),NOT(ISNUMBER(K838)),ABS(J838)&gt;K838),"FAIL","PASS"))</x:f>
        <x:v>OPEN</x:v>
      </x:c>
    </x:row>
    <x:row r="839">
      <x:c r="B839" s="7" t="str">
        <x:v>CAL-CH-PEA-A-Y3-19-5</x:v>
      </x:c>
      <x:c r="C839" s="7" t="str">
        <x:v>CH-PEA-A-Y3-19-5</x:v>
      </x:c>
      <x:c r="D839" s="7" t="str">
        <x:v>PEA-A-Y3</x:v>
      </x:c>
      <x:c r="E839" s="7" t="str">
        <x:v>BLD-A</x:v>
      </x:c>
      <x:c r="F839" s="7" t="str">
        <x:v>BL-Y</x:v>
      </x:c>
      <x:c r="G839" s="7" t="str">
        <x:v>MF-19</x:v>
      </x:c>
      <x:c r="H839" s="7" t="str"/>
      <x:c r="I839" s="7" t="str"/>
      <x:c r="J839" s="7" t="str">
        <x:f>IF(OR(H839="",I839=""),"",I839-H839)</x:f>
      </x:c>
      <x:c r="K839" s="7" t="str"/>
      <x:c r="L839" s="7" t="str"/>
      <x:c r="M839" s="7" t="str">
        <x:f>IF(L839="","OPEN",IF(OR(NOT(ISNUMBER(H839)),NOT(ISNUMBER(I839)),NOT(ISNUMBER(K839)),ABS(J839)&gt;K839),"FAIL","PASS"))</x:f>
        <x:v>OPEN</x:v>
      </x:c>
    </x:row>
    <x:row r="840">
      <x:c r="B840" s="7" t="str">
        <x:v>CAL-CH-PEA-A-Y3-19-6</x:v>
      </x:c>
      <x:c r="C840" s="7" t="str">
        <x:v>CH-PEA-A-Y3-19-6</x:v>
      </x:c>
      <x:c r="D840" s="7" t="str">
        <x:v>PEA-A-Y3</x:v>
      </x:c>
      <x:c r="E840" s="7" t="str">
        <x:v>BLD-A</x:v>
      </x:c>
      <x:c r="F840" s="7" t="str">
        <x:v>BL-Y</x:v>
      </x:c>
      <x:c r="G840" s="7" t="str">
        <x:v>MF-19</x:v>
      </x:c>
      <x:c r="H840" s="7" t="str"/>
      <x:c r="I840" s="7" t="str"/>
      <x:c r="J840" s="7" t="str">
        <x:f>IF(OR(H840="",I840=""),"",I840-H840)</x:f>
      </x:c>
      <x:c r="K840" s="7" t="str"/>
      <x:c r="L840" s="7" t="str"/>
      <x:c r="M840" s="7" t="str">
        <x:f>IF(L840="","OPEN",IF(OR(NOT(ISNUMBER(H840)),NOT(ISNUMBER(I840)),NOT(ISNUMBER(K840)),ABS(J840)&gt;K840),"FAIL","PASS"))</x:f>
        <x:v>OPEN</x:v>
      </x:c>
    </x:row>
    <x:row r="841">
      <x:c r="B841" s="7" t="str">
        <x:v>CAL-CH-PEA-A-Y3-20-1</x:v>
      </x:c>
      <x:c r="C841" s="7" t="str">
        <x:v>CH-PEA-A-Y3-20-1</x:v>
      </x:c>
      <x:c r="D841" s="7" t="str">
        <x:v>PEA-A-Y3</x:v>
      </x:c>
      <x:c r="E841" s="7" t="str">
        <x:v>BLD-A</x:v>
      </x:c>
      <x:c r="F841" s="7" t="str">
        <x:v>BL-Y</x:v>
      </x:c>
      <x:c r="G841" s="7" t="str">
        <x:v>MF-20</x:v>
      </x:c>
      <x:c r="H841" s="7" t="str"/>
      <x:c r="I841" s="7" t="str"/>
      <x:c r="J841" s="7" t="str">
        <x:f>IF(OR(H841="",I841=""),"",I841-H841)</x:f>
      </x:c>
      <x:c r="K841" s="7" t="str"/>
      <x:c r="L841" s="7" t="str"/>
      <x:c r="M841" s="7" t="str">
        <x:f>IF(L841="","OPEN",IF(OR(NOT(ISNUMBER(H841)),NOT(ISNUMBER(I841)),NOT(ISNUMBER(K841)),ABS(J841)&gt;K841),"FAIL","PASS"))</x:f>
        <x:v>OPEN</x:v>
      </x:c>
    </x:row>
    <x:row r="842">
      <x:c r="B842" s="7" t="str">
        <x:v>CAL-CH-PEA-A-Y3-20-2</x:v>
      </x:c>
      <x:c r="C842" s="7" t="str">
        <x:v>CH-PEA-A-Y3-20-2</x:v>
      </x:c>
      <x:c r="D842" s="7" t="str">
        <x:v>PEA-A-Y3</x:v>
      </x:c>
      <x:c r="E842" s="7" t="str">
        <x:v>BLD-A</x:v>
      </x:c>
      <x:c r="F842" s="7" t="str">
        <x:v>BL-Y</x:v>
      </x:c>
      <x:c r="G842" s="7" t="str">
        <x:v>MF-20</x:v>
      </x:c>
      <x:c r="H842" s="7" t="str"/>
      <x:c r="I842" s="7" t="str"/>
      <x:c r="J842" s="7" t="str">
        <x:f>IF(OR(H842="",I842=""),"",I842-H842)</x:f>
      </x:c>
      <x:c r="K842" s="7" t="str"/>
      <x:c r="L842" s="7" t="str"/>
      <x:c r="M842" s="7" t="str">
        <x:f>IF(L842="","OPEN",IF(OR(NOT(ISNUMBER(H842)),NOT(ISNUMBER(I842)),NOT(ISNUMBER(K842)),ABS(J842)&gt;K842),"FAIL","PASS"))</x:f>
        <x:v>OPEN</x:v>
      </x:c>
    </x:row>
    <x:row r="843">
      <x:c r="B843" s="7" t="str">
        <x:v>CAL-CH-PEA-A-Y3-20-3</x:v>
      </x:c>
      <x:c r="C843" s="7" t="str">
        <x:v>CH-PEA-A-Y3-20-3</x:v>
      </x:c>
      <x:c r="D843" s="7" t="str">
        <x:v>PEA-A-Y3</x:v>
      </x:c>
      <x:c r="E843" s="7" t="str">
        <x:v>BLD-A</x:v>
      </x:c>
      <x:c r="F843" s="7" t="str">
        <x:v>BL-Y</x:v>
      </x:c>
      <x:c r="G843" s="7" t="str">
        <x:v>MF-20</x:v>
      </x:c>
      <x:c r="H843" s="7" t="str"/>
      <x:c r="I843" s="7" t="str"/>
      <x:c r="J843" s="7" t="str">
        <x:f>IF(OR(H843="",I843=""),"",I843-H843)</x:f>
      </x:c>
      <x:c r="K843" s="7" t="str"/>
      <x:c r="L843" s="7" t="str"/>
      <x:c r="M843" s="7" t="str">
        <x:f>IF(L843="","OPEN",IF(OR(NOT(ISNUMBER(H843)),NOT(ISNUMBER(I843)),NOT(ISNUMBER(K843)),ABS(J843)&gt;K843),"FAIL","PASS"))</x:f>
        <x:v>OPEN</x:v>
      </x:c>
    </x:row>
    <x:row r="844">
      <x:c r="B844" s="7" t="str">
        <x:v>CAL-CH-PEA-A-Y3-20-4</x:v>
      </x:c>
      <x:c r="C844" s="7" t="str">
        <x:v>CH-PEA-A-Y3-20-4</x:v>
      </x:c>
      <x:c r="D844" s="7" t="str">
        <x:v>PEA-A-Y3</x:v>
      </x:c>
      <x:c r="E844" s="7" t="str">
        <x:v>BLD-A</x:v>
      </x:c>
      <x:c r="F844" s="7" t="str">
        <x:v>BL-Y</x:v>
      </x:c>
      <x:c r="G844" s="7" t="str">
        <x:v>MF-20</x:v>
      </x:c>
      <x:c r="H844" s="7" t="str"/>
      <x:c r="I844" s="7" t="str"/>
      <x:c r="J844" s="7" t="str">
        <x:f>IF(OR(H844="",I844=""),"",I844-H844)</x:f>
      </x:c>
      <x:c r="K844" s="7" t="str"/>
      <x:c r="L844" s="7" t="str"/>
      <x:c r="M844" s="7" t="str">
        <x:f>IF(L844="","OPEN",IF(OR(NOT(ISNUMBER(H844)),NOT(ISNUMBER(I844)),NOT(ISNUMBER(K844)),ABS(J844)&gt;K844),"FAIL","PASS"))</x:f>
        <x:v>OPEN</x:v>
      </x:c>
    </x:row>
    <x:row r="845">
      <x:c r="B845" s="7" t="str">
        <x:v>CAL-CH-PEA-A-Y3-20-5</x:v>
      </x:c>
      <x:c r="C845" s="7" t="str">
        <x:v>CH-PEA-A-Y3-20-5</x:v>
      </x:c>
      <x:c r="D845" s="7" t="str">
        <x:v>PEA-A-Y3</x:v>
      </x:c>
      <x:c r="E845" s="7" t="str">
        <x:v>BLD-A</x:v>
      </x:c>
      <x:c r="F845" s="7" t="str">
        <x:v>BL-Y</x:v>
      </x:c>
      <x:c r="G845" s="7" t="str">
        <x:v>MF-20</x:v>
      </x:c>
      <x:c r="H845" s="7" t="str"/>
      <x:c r="I845" s="7" t="str"/>
      <x:c r="J845" s="7" t="str">
        <x:f>IF(OR(H845="",I845=""),"",I845-H845)</x:f>
      </x:c>
      <x:c r="K845" s="7" t="str"/>
      <x:c r="L845" s="7" t="str"/>
      <x:c r="M845" s="7" t="str">
        <x:f>IF(L845="","OPEN",IF(OR(NOT(ISNUMBER(H845)),NOT(ISNUMBER(I845)),NOT(ISNUMBER(K845)),ABS(J845)&gt;K845),"FAIL","PASS"))</x:f>
        <x:v>OPEN</x:v>
      </x:c>
    </x:row>
    <x:row r="846">
      <x:c r="B846" s="7" t="str">
        <x:v>CAL-CH-PEA-A-Y3-20-6</x:v>
      </x:c>
      <x:c r="C846" s="7" t="str">
        <x:v>CH-PEA-A-Y3-20-6</x:v>
      </x:c>
      <x:c r="D846" s="7" t="str">
        <x:v>PEA-A-Y3</x:v>
      </x:c>
      <x:c r="E846" s="7" t="str">
        <x:v>BLD-A</x:v>
      </x:c>
      <x:c r="F846" s="7" t="str">
        <x:v>BL-Y</x:v>
      </x:c>
      <x:c r="G846" s="7" t="str">
        <x:v>MF-20</x:v>
      </x:c>
      <x:c r="H846" s="7" t="str"/>
      <x:c r="I846" s="7" t="str"/>
      <x:c r="J846" s="7" t="str">
        <x:f>IF(OR(H846="",I846=""),"",I846-H846)</x:f>
      </x:c>
      <x:c r="K846" s="7" t="str"/>
      <x:c r="L846" s="7" t="str"/>
      <x:c r="M846" s="7" t="str">
        <x:f>IF(L846="","OPEN",IF(OR(NOT(ISNUMBER(H846)),NOT(ISNUMBER(I846)),NOT(ISNUMBER(K846)),ABS(J846)&gt;K846),"FAIL","PASS"))</x:f>
        <x:v>OPEN</x:v>
      </x:c>
    </x:row>
    <x:row r="847">
      <x:c r="B847" s="7" t="str">
        <x:v>CAL-CH-PEA-A-Y3-21-1</x:v>
      </x:c>
      <x:c r="C847" s="7" t="str">
        <x:v>CH-PEA-A-Y3-21-1</x:v>
      </x:c>
      <x:c r="D847" s="7" t="str">
        <x:v>PEA-A-Y3</x:v>
      </x:c>
      <x:c r="E847" s="7" t="str">
        <x:v>BLD-A</x:v>
      </x:c>
      <x:c r="F847" s="7" t="str">
        <x:v>BL-Y</x:v>
      </x:c>
      <x:c r="G847" s="7" t="str">
        <x:v>MF-21</x:v>
      </x:c>
      <x:c r="H847" s="7" t="str"/>
      <x:c r="I847" s="7" t="str"/>
      <x:c r="J847" s="7" t="str">
        <x:f>IF(OR(H847="",I847=""),"",I847-H847)</x:f>
      </x:c>
      <x:c r="K847" s="7" t="str"/>
      <x:c r="L847" s="7" t="str"/>
      <x:c r="M847" s="7" t="str">
        <x:f>IF(L847="","OPEN",IF(OR(NOT(ISNUMBER(H847)),NOT(ISNUMBER(I847)),NOT(ISNUMBER(K847)),ABS(J847)&gt;K847),"FAIL","PASS"))</x:f>
        <x:v>OPEN</x:v>
      </x:c>
    </x:row>
    <x:row r="848">
      <x:c r="B848" s="7" t="str">
        <x:v>CAL-CH-PEA-A-Y3-21-2</x:v>
      </x:c>
      <x:c r="C848" s="7" t="str">
        <x:v>CH-PEA-A-Y3-21-2</x:v>
      </x:c>
      <x:c r="D848" s="7" t="str">
        <x:v>PEA-A-Y3</x:v>
      </x:c>
      <x:c r="E848" s="7" t="str">
        <x:v>BLD-A</x:v>
      </x:c>
      <x:c r="F848" s="7" t="str">
        <x:v>BL-Y</x:v>
      </x:c>
      <x:c r="G848" s="7" t="str">
        <x:v>MF-21</x:v>
      </x:c>
      <x:c r="H848" s="7" t="str"/>
      <x:c r="I848" s="7" t="str"/>
      <x:c r="J848" s="7" t="str">
        <x:f>IF(OR(H848="",I848=""),"",I848-H848)</x:f>
      </x:c>
      <x:c r="K848" s="7" t="str"/>
      <x:c r="L848" s="7" t="str"/>
      <x:c r="M848" s="7" t="str">
        <x:f>IF(L848="","OPEN",IF(OR(NOT(ISNUMBER(H848)),NOT(ISNUMBER(I848)),NOT(ISNUMBER(K848)),ABS(J848)&gt;K848),"FAIL","PASS"))</x:f>
        <x:v>OPEN</x:v>
      </x:c>
    </x:row>
    <x:row r="849">
      <x:c r="B849" s="7" t="str">
        <x:v>CAL-CH-PEA-A-Y3-21-3</x:v>
      </x:c>
      <x:c r="C849" s="7" t="str">
        <x:v>CH-PEA-A-Y3-21-3</x:v>
      </x:c>
      <x:c r="D849" s="7" t="str">
        <x:v>PEA-A-Y3</x:v>
      </x:c>
      <x:c r="E849" s="7" t="str">
        <x:v>BLD-A</x:v>
      </x:c>
      <x:c r="F849" s="7" t="str">
        <x:v>BL-Y</x:v>
      </x:c>
      <x:c r="G849" s="7" t="str">
        <x:v>MF-21</x:v>
      </x:c>
      <x:c r="H849" s="7" t="str"/>
      <x:c r="I849" s="7" t="str"/>
      <x:c r="J849" s="7" t="str">
        <x:f>IF(OR(H849="",I849=""),"",I849-H849)</x:f>
      </x:c>
      <x:c r="K849" s="7" t="str"/>
      <x:c r="L849" s="7" t="str"/>
      <x:c r="M849" s="7" t="str">
        <x:f>IF(L849="","OPEN",IF(OR(NOT(ISNUMBER(H849)),NOT(ISNUMBER(I849)),NOT(ISNUMBER(K849)),ABS(J849)&gt;K849),"FAIL","PASS"))</x:f>
        <x:v>OPEN</x:v>
      </x:c>
    </x:row>
    <x:row r="850">
      <x:c r="B850" s="7" t="str">
        <x:v>CAL-CH-PEA-A-Y3-21-4</x:v>
      </x:c>
      <x:c r="C850" s="7" t="str">
        <x:v>CH-PEA-A-Y3-21-4</x:v>
      </x:c>
      <x:c r="D850" s="7" t="str">
        <x:v>PEA-A-Y3</x:v>
      </x:c>
      <x:c r="E850" s="7" t="str">
        <x:v>BLD-A</x:v>
      </x:c>
      <x:c r="F850" s="7" t="str">
        <x:v>BL-Y</x:v>
      </x:c>
      <x:c r="G850" s="7" t="str">
        <x:v>MF-21</x:v>
      </x:c>
      <x:c r="H850" s="7" t="str"/>
      <x:c r="I850" s="7" t="str"/>
      <x:c r="J850" s="7" t="str">
        <x:f>IF(OR(H850="",I850=""),"",I850-H850)</x:f>
      </x:c>
      <x:c r="K850" s="7" t="str"/>
      <x:c r="L850" s="7" t="str"/>
      <x:c r="M850" s="7" t="str">
        <x:f>IF(L850="","OPEN",IF(OR(NOT(ISNUMBER(H850)),NOT(ISNUMBER(I850)),NOT(ISNUMBER(K850)),ABS(J850)&gt;K850),"FAIL","PASS"))</x:f>
        <x:v>OPEN</x:v>
      </x:c>
    </x:row>
    <x:row r="851">
      <x:c r="B851" s="7" t="str">
        <x:v>CAL-CH-PEA-A-Y3-21-5</x:v>
      </x:c>
      <x:c r="C851" s="7" t="str">
        <x:v>CH-PEA-A-Y3-21-5</x:v>
      </x:c>
      <x:c r="D851" s="7" t="str">
        <x:v>PEA-A-Y3</x:v>
      </x:c>
      <x:c r="E851" s="7" t="str">
        <x:v>BLD-A</x:v>
      </x:c>
      <x:c r="F851" s="7" t="str">
        <x:v>BL-Y</x:v>
      </x:c>
      <x:c r="G851" s="7" t="str">
        <x:v>MF-21</x:v>
      </x:c>
      <x:c r="H851" s="7" t="str"/>
      <x:c r="I851" s="7" t="str"/>
      <x:c r="J851" s="7" t="str">
        <x:f>IF(OR(H851="",I851=""),"",I851-H851)</x:f>
      </x:c>
      <x:c r="K851" s="7" t="str"/>
      <x:c r="L851" s="7" t="str"/>
      <x:c r="M851" s="7" t="str">
        <x:f>IF(L851="","OPEN",IF(OR(NOT(ISNUMBER(H851)),NOT(ISNUMBER(I851)),NOT(ISNUMBER(K851)),ABS(J851)&gt;K851),"FAIL","PASS"))</x:f>
        <x:v>OPEN</x:v>
      </x:c>
    </x:row>
    <x:row r="852">
      <x:c r="B852" s="7" t="str">
        <x:v>CAL-CH-PEA-A-Y3-21-6</x:v>
      </x:c>
      <x:c r="C852" s="7" t="str">
        <x:v>CH-PEA-A-Y3-21-6</x:v>
      </x:c>
      <x:c r="D852" s="7" t="str">
        <x:v>PEA-A-Y3</x:v>
      </x:c>
      <x:c r="E852" s="7" t="str">
        <x:v>BLD-A</x:v>
      </x:c>
      <x:c r="F852" s="7" t="str">
        <x:v>BL-Y</x:v>
      </x:c>
      <x:c r="G852" s="7" t="str">
        <x:v>MF-21</x:v>
      </x:c>
      <x:c r="H852" s="7" t="str"/>
      <x:c r="I852" s="7" t="str"/>
      <x:c r="J852" s="7" t="str">
        <x:f>IF(OR(H852="",I852=""),"",I852-H852)</x:f>
      </x:c>
      <x:c r="K852" s="7" t="str"/>
      <x:c r="L852" s="7" t="str"/>
      <x:c r="M852" s="7" t="str">
        <x:f>IF(L852="","OPEN",IF(OR(NOT(ISNUMBER(H852)),NOT(ISNUMBER(I852)),NOT(ISNUMBER(K852)),ABS(J852)&gt;K852),"FAIL","PASS"))</x:f>
        <x:v>OPEN</x:v>
      </x:c>
    </x:row>
    <x:row r="853">
      <x:c r="B853" s="7" t="str">
        <x:v>CAL-CH-PEA-A-Y3-22-1</x:v>
      </x:c>
      <x:c r="C853" s="7" t="str">
        <x:v>CH-PEA-A-Y3-22-1</x:v>
      </x:c>
      <x:c r="D853" s="7" t="str">
        <x:v>PEA-A-Y3</x:v>
      </x:c>
      <x:c r="E853" s="7" t="str">
        <x:v>BLD-A</x:v>
      </x:c>
      <x:c r="F853" s="7" t="str">
        <x:v>BL-Y</x:v>
      </x:c>
      <x:c r="G853" s="7" t="str">
        <x:v>MF-22</x:v>
      </x:c>
      <x:c r="H853" s="7" t="str"/>
      <x:c r="I853" s="7" t="str"/>
      <x:c r="J853" s="7" t="str">
        <x:f>IF(OR(H853="",I853=""),"",I853-H853)</x:f>
      </x:c>
      <x:c r="K853" s="7" t="str"/>
      <x:c r="L853" s="7" t="str"/>
      <x:c r="M853" s="7" t="str">
        <x:f>IF(L853="","OPEN",IF(OR(NOT(ISNUMBER(H853)),NOT(ISNUMBER(I853)),NOT(ISNUMBER(K853)),ABS(J853)&gt;K853),"FAIL","PASS"))</x:f>
        <x:v>OPEN</x:v>
      </x:c>
    </x:row>
    <x:row r="854">
      <x:c r="B854" s="7" t="str">
        <x:v>CAL-CH-PEA-A-Y3-22-2</x:v>
      </x:c>
      <x:c r="C854" s="7" t="str">
        <x:v>CH-PEA-A-Y3-22-2</x:v>
      </x:c>
      <x:c r="D854" s="7" t="str">
        <x:v>PEA-A-Y3</x:v>
      </x:c>
      <x:c r="E854" s="7" t="str">
        <x:v>BLD-A</x:v>
      </x:c>
      <x:c r="F854" s="7" t="str">
        <x:v>BL-Y</x:v>
      </x:c>
      <x:c r="G854" s="7" t="str">
        <x:v>MF-22</x:v>
      </x:c>
      <x:c r="H854" s="7" t="str"/>
      <x:c r="I854" s="7" t="str"/>
      <x:c r="J854" s="7" t="str">
        <x:f>IF(OR(H854="",I854=""),"",I854-H854)</x:f>
      </x:c>
      <x:c r="K854" s="7" t="str"/>
      <x:c r="L854" s="7" t="str"/>
      <x:c r="M854" s="7" t="str">
        <x:f>IF(L854="","OPEN",IF(OR(NOT(ISNUMBER(H854)),NOT(ISNUMBER(I854)),NOT(ISNUMBER(K854)),ABS(J854)&gt;K854),"FAIL","PASS"))</x:f>
        <x:v>OPEN</x:v>
      </x:c>
    </x:row>
    <x:row r="855">
      <x:c r="B855" s="7" t="str">
        <x:v>CAL-CH-PEA-A-Y3-22-3</x:v>
      </x:c>
      <x:c r="C855" s="7" t="str">
        <x:v>CH-PEA-A-Y3-22-3</x:v>
      </x:c>
      <x:c r="D855" s="7" t="str">
        <x:v>PEA-A-Y3</x:v>
      </x:c>
      <x:c r="E855" s="7" t="str">
        <x:v>BLD-A</x:v>
      </x:c>
      <x:c r="F855" s="7" t="str">
        <x:v>BL-Y</x:v>
      </x:c>
      <x:c r="G855" s="7" t="str">
        <x:v>MF-22</x:v>
      </x:c>
      <x:c r="H855" s="7" t="str"/>
      <x:c r="I855" s="7" t="str"/>
      <x:c r="J855" s="7" t="str">
        <x:f>IF(OR(H855="",I855=""),"",I855-H855)</x:f>
      </x:c>
      <x:c r="K855" s="7" t="str"/>
      <x:c r="L855" s="7" t="str"/>
      <x:c r="M855" s="7" t="str">
        <x:f>IF(L855="","OPEN",IF(OR(NOT(ISNUMBER(H855)),NOT(ISNUMBER(I855)),NOT(ISNUMBER(K855)),ABS(J855)&gt;K855),"FAIL","PASS"))</x:f>
        <x:v>OPEN</x:v>
      </x:c>
    </x:row>
    <x:row r="856">
      <x:c r="B856" s="7" t="str">
        <x:v>CAL-CH-PEA-A-Y3-22-4</x:v>
      </x:c>
      <x:c r="C856" s="7" t="str">
        <x:v>CH-PEA-A-Y3-22-4</x:v>
      </x:c>
      <x:c r="D856" s="7" t="str">
        <x:v>PEA-A-Y3</x:v>
      </x:c>
      <x:c r="E856" s="7" t="str">
        <x:v>BLD-A</x:v>
      </x:c>
      <x:c r="F856" s="7" t="str">
        <x:v>BL-Y</x:v>
      </x:c>
      <x:c r="G856" s="7" t="str">
        <x:v>MF-22</x:v>
      </x:c>
      <x:c r="H856" s="7" t="str"/>
      <x:c r="I856" s="7" t="str"/>
      <x:c r="J856" s="7" t="str">
        <x:f>IF(OR(H856="",I856=""),"",I856-H856)</x:f>
      </x:c>
      <x:c r="K856" s="7" t="str"/>
      <x:c r="L856" s="7" t="str"/>
      <x:c r="M856" s="7" t="str">
        <x:f>IF(L856="","OPEN",IF(OR(NOT(ISNUMBER(H856)),NOT(ISNUMBER(I856)),NOT(ISNUMBER(K856)),ABS(J856)&gt;K856),"FAIL","PASS"))</x:f>
        <x:v>OPEN</x:v>
      </x:c>
    </x:row>
    <x:row r="857">
      <x:c r="B857" s="7" t="str">
        <x:v>CAL-CH-PEA-A-Y3-22-5</x:v>
      </x:c>
      <x:c r="C857" s="7" t="str">
        <x:v>CH-PEA-A-Y3-22-5</x:v>
      </x:c>
      <x:c r="D857" s="7" t="str">
        <x:v>PEA-A-Y3</x:v>
      </x:c>
      <x:c r="E857" s="7" t="str">
        <x:v>BLD-A</x:v>
      </x:c>
      <x:c r="F857" s="7" t="str">
        <x:v>BL-Y</x:v>
      </x:c>
      <x:c r="G857" s="7" t="str">
        <x:v>MF-22</x:v>
      </x:c>
      <x:c r="H857" s="7" t="str"/>
      <x:c r="I857" s="7" t="str"/>
      <x:c r="J857" s="7" t="str">
        <x:f>IF(OR(H857="",I857=""),"",I857-H857)</x:f>
      </x:c>
      <x:c r="K857" s="7" t="str"/>
      <x:c r="L857" s="7" t="str"/>
      <x:c r="M857" s="7" t="str">
        <x:f>IF(L857="","OPEN",IF(OR(NOT(ISNUMBER(H857)),NOT(ISNUMBER(I857)),NOT(ISNUMBER(K857)),ABS(J857)&gt;K857),"FAIL","PASS"))</x:f>
        <x:v>OPEN</x:v>
      </x:c>
    </x:row>
    <x:row r="858">
      <x:c r="B858" s="7" t="str">
        <x:v>CAL-CH-PEA-A-Y3-22-6</x:v>
      </x:c>
      <x:c r="C858" s="7" t="str">
        <x:v>CH-PEA-A-Y3-22-6</x:v>
      </x:c>
      <x:c r="D858" s="7" t="str">
        <x:v>PEA-A-Y3</x:v>
      </x:c>
      <x:c r="E858" s="7" t="str">
        <x:v>BLD-A</x:v>
      </x:c>
      <x:c r="F858" s="7" t="str">
        <x:v>BL-Y</x:v>
      </x:c>
      <x:c r="G858" s="7" t="str">
        <x:v>MF-22</x:v>
      </x:c>
      <x:c r="H858" s="7" t="str"/>
      <x:c r="I858" s="7" t="str"/>
      <x:c r="J858" s="7" t="str">
        <x:f>IF(OR(H858="",I858=""),"",I858-H858)</x:f>
      </x:c>
      <x:c r="K858" s="7" t="str"/>
      <x:c r="L858" s="7" t="str"/>
      <x:c r="M858" s="7" t="str">
        <x:f>IF(L858="","OPEN",IF(OR(NOT(ISNUMBER(H858)),NOT(ISNUMBER(I858)),NOT(ISNUMBER(K858)),ABS(J858)&gt;K858),"FAIL","PASS"))</x:f>
        <x:v>OPEN</x:v>
      </x:c>
    </x:row>
    <x:row r="859">
      <x:c r="B859" s="7" t="str">
        <x:v>CAL-CH-PEA-A-Y3-23-1</x:v>
      </x:c>
      <x:c r="C859" s="7" t="str">
        <x:v>CH-PEA-A-Y3-23-1</x:v>
      </x:c>
      <x:c r="D859" s="7" t="str">
        <x:v>PEA-A-Y3</x:v>
      </x:c>
      <x:c r="E859" s="7" t="str">
        <x:v>BLD-A</x:v>
      </x:c>
      <x:c r="F859" s="7" t="str">
        <x:v>BL-Y</x:v>
      </x:c>
      <x:c r="G859" s="7" t="str">
        <x:v>MF-23</x:v>
      </x:c>
      <x:c r="H859" s="7" t="str"/>
      <x:c r="I859" s="7" t="str"/>
      <x:c r="J859" s="7" t="str">
        <x:f>IF(OR(H859="",I859=""),"",I859-H859)</x:f>
      </x:c>
      <x:c r="K859" s="7" t="str"/>
      <x:c r="L859" s="7" t="str"/>
      <x:c r="M859" s="7" t="str">
        <x:f>IF(L859="","OPEN",IF(OR(NOT(ISNUMBER(H859)),NOT(ISNUMBER(I859)),NOT(ISNUMBER(K859)),ABS(J859)&gt;K859),"FAIL","PASS"))</x:f>
        <x:v>OPEN</x:v>
      </x:c>
    </x:row>
    <x:row r="860">
      <x:c r="B860" s="7" t="str">
        <x:v>CAL-CH-PEA-A-Y3-23-2</x:v>
      </x:c>
      <x:c r="C860" s="7" t="str">
        <x:v>CH-PEA-A-Y3-23-2</x:v>
      </x:c>
      <x:c r="D860" s="7" t="str">
        <x:v>PEA-A-Y3</x:v>
      </x:c>
      <x:c r="E860" s="7" t="str">
        <x:v>BLD-A</x:v>
      </x:c>
      <x:c r="F860" s="7" t="str">
        <x:v>BL-Y</x:v>
      </x:c>
      <x:c r="G860" s="7" t="str">
        <x:v>MF-23</x:v>
      </x:c>
      <x:c r="H860" s="7" t="str"/>
      <x:c r="I860" s="7" t="str"/>
      <x:c r="J860" s="7" t="str">
        <x:f>IF(OR(H860="",I860=""),"",I860-H860)</x:f>
      </x:c>
      <x:c r="K860" s="7" t="str"/>
      <x:c r="L860" s="7" t="str"/>
      <x:c r="M860" s="7" t="str">
        <x:f>IF(L860="","OPEN",IF(OR(NOT(ISNUMBER(H860)),NOT(ISNUMBER(I860)),NOT(ISNUMBER(K860)),ABS(J860)&gt;K860),"FAIL","PASS"))</x:f>
        <x:v>OPEN</x:v>
      </x:c>
    </x:row>
    <x:row r="861">
      <x:c r="B861" s="7" t="str">
        <x:v>CAL-CH-PEA-A-Y3-23-3</x:v>
      </x:c>
      <x:c r="C861" s="7" t="str">
        <x:v>CH-PEA-A-Y3-23-3</x:v>
      </x:c>
      <x:c r="D861" s="7" t="str">
        <x:v>PEA-A-Y3</x:v>
      </x:c>
      <x:c r="E861" s="7" t="str">
        <x:v>BLD-A</x:v>
      </x:c>
      <x:c r="F861" s="7" t="str">
        <x:v>BL-Y</x:v>
      </x:c>
      <x:c r="G861" s="7" t="str">
        <x:v>MF-23</x:v>
      </x:c>
      <x:c r="H861" s="7" t="str"/>
      <x:c r="I861" s="7" t="str"/>
      <x:c r="J861" s="7" t="str">
        <x:f>IF(OR(H861="",I861=""),"",I861-H861)</x:f>
      </x:c>
      <x:c r="K861" s="7" t="str"/>
      <x:c r="L861" s="7" t="str"/>
      <x:c r="M861" s="7" t="str">
        <x:f>IF(L861="","OPEN",IF(OR(NOT(ISNUMBER(H861)),NOT(ISNUMBER(I861)),NOT(ISNUMBER(K861)),ABS(J861)&gt;K861),"FAIL","PASS"))</x:f>
        <x:v>OPEN</x:v>
      </x:c>
    </x:row>
    <x:row r="862">
      <x:c r="B862" s="7" t="str">
        <x:v>CAL-CH-PEA-A-Y3-23-4</x:v>
      </x:c>
      <x:c r="C862" s="7" t="str">
        <x:v>CH-PEA-A-Y3-23-4</x:v>
      </x:c>
      <x:c r="D862" s="7" t="str">
        <x:v>PEA-A-Y3</x:v>
      </x:c>
      <x:c r="E862" s="7" t="str">
        <x:v>BLD-A</x:v>
      </x:c>
      <x:c r="F862" s="7" t="str">
        <x:v>BL-Y</x:v>
      </x:c>
      <x:c r="G862" s="7" t="str">
        <x:v>MF-23</x:v>
      </x:c>
      <x:c r="H862" s="7" t="str"/>
      <x:c r="I862" s="7" t="str"/>
      <x:c r="J862" s="7" t="str">
        <x:f>IF(OR(H862="",I862=""),"",I862-H862)</x:f>
      </x:c>
      <x:c r="K862" s="7" t="str"/>
      <x:c r="L862" s="7" t="str"/>
      <x:c r="M862" s="7" t="str">
        <x:f>IF(L862="","OPEN",IF(OR(NOT(ISNUMBER(H862)),NOT(ISNUMBER(I862)),NOT(ISNUMBER(K862)),ABS(J862)&gt;K862),"FAIL","PASS"))</x:f>
        <x:v>OPEN</x:v>
      </x:c>
    </x:row>
    <x:row r="863">
      <x:c r="B863" s="7" t="str">
        <x:v>CAL-CH-PEA-A-Y3-23-5</x:v>
      </x:c>
      <x:c r="C863" s="7" t="str">
        <x:v>CH-PEA-A-Y3-23-5</x:v>
      </x:c>
      <x:c r="D863" s="7" t="str">
        <x:v>PEA-A-Y3</x:v>
      </x:c>
      <x:c r="E863" s="7" t="str">
        <x:v>BLD-A</x:v>
      </x:c>
      <x:c r="F863" s="7" t="str">
        <x:v>BL-Y</x:v>
      </x:c>
      <x:c r="G863" s="7" t="str">
        <x:v>MF-23</x:v>
      </x:c>
      <x:c r="H863" s="7" t="str"/>
      <x:c r="I863" s="7" t="str"/>
      <x:c r="J863" s="7" t="str">
        <x:f>IF(OR(H863="",I863=""),"",I863-H863)</x:f>
      </x:c>
      <x:c r="K863" s="7" t="str"/>
      <x:c r="L863" s="7" t="str"/>
      <x:c r="M863" s="7" t="str">
        <x:f>IF(L863="","OPEN",IF(OR(NOT(ISNUMBER(H863)),NOT(ISNUMBER(I863)),NOT(ISNUMBER(K863)),ABS(J863)&gt;K863),"FAIL","PASS"))</x:f>
        <x:v>OPEN</x:v>
      </x:c>
    </x:row>
    <x:row r="864">
      <x:c r="B864" s="7" t="str">
        <x:v>CAL-CH-PEA-A-Y3-23-6</x:v>
      </x:c>
      <x:c r="C864" s="7" t="str">
        <x:v>CH-PEA-A-Y3-23-6</x:v>
      </x:c>
      <x:c r="D864" s="7" t="str">
        <x:v>PEA-A-Y3</x:v>
      </x:c>
      <x:c r="E864" s="7" t="str">
        <x:v>BLD-A</x:v>
      </x:c>
      <x:c r="F864" s="7" t="str">
        <x:v>BL-Y</x:v>
      </x:c>
      <x:c r="G864" s="7" t="str">
        <x:v>MF-23</x:v>
      </x:c>
      <x:c r="H864" s="7" t="str"/>
      <x:c r="I864" s="7" t="str"/>
      <x:c r="J864" s="7" t="str">
        <x:f>IF(OR(H864="",I864=""),"",I864-H864)</x:f>
      </x:c>
      <x:c r="K864" s="7" t="str"/>
      <x:c r="L864" s="7" t="str"/>
      <x:c r="M864" s="7" t="str">
        <x:f>IF(L864="","OPEN",IF(OR(NOT(ISNUMBER(H864)),NOT(ISNUMBER(I864)),NOT(ISNUMBER(K864)),ABS(J864)&gt;K864),"FAIL","PASS"))</x:f>
        <x:v>OPEN</x:v>
      </x:c>
    </x:row>
    <x:row r="865">
      <x:c r="B865" s="7" t="str">
        <x:v>CAL-CH-PEA-A-Y3-24-1</x:v>
      </x:c>
      <x:c r="C865" s="7" t="str">
        <x:v>CH-PEA-A-Y3-24-1</x:v>
      </x:c>
      <x:c r="D865" s="7" t="str">
        <x:v>PEA-A-Y3</x:v>
      </x:c>
      <x:c r="E865" s="7" t="str">
        <x:v>BLD-A</x:v>
      </x:c>
      <x:c r="F865" s="7" t="str">
        <x:v>BL-Y</x:v>
      </x:c>
      <x:c r="G865" s="7" t="str">
        <x:v>MF-24</x:v>
      </x:c>
      <x:c r="H865" s="7" t="str"/>
      <x:c r="I865" s="7" t="str"/>
      <x:c r="J865" s="7" t="str">
        <x:f>IF(OR(H865="",I865=""),"",I865-H865)</x:f>
      </x:c>
      <x:c r="K865" s="7" t="str"/>
      <x:c r="L865" s="7" t="str"/>
      <x:c r="M865" s="7" t="str">
        <x:f>IF(L865="","OPEN",IF(OR(NOT(ISNUMBER(H865)),NOT(ISNUMBER(I865)),NOT(ISNUMBER(K865)),ABS(J865)&gt;K865),"FAIL","PASS"))</x:f>
        <x:v>OPEN</x:v>
      </x:c>
    </x:row>
    <x:row r="866">
      <x:c r="B866" s="7" t="str">
        <x:v>CAL-CH-PEA-A-Y3-24-2</x:v>
      </x:c>
      <x:c r="C866" s="7" t="str">
        <x:v>CH-PEA-A-Y3-24-2</x:v>
      </x:c>
      <x:c r="D866" s="7" t="str">
        <x:v>PEA-A-Y3</x:v>
      </x:c>
      <x:c r="E866" s="7" t="str">
        <x:v>BLD-A</x:v>
      </x:c>
      <x:c r="F866" s="7" t="str">
        <x:v>BL-Y</x:v>
      </x:c>
      <x:c r="G866" s="7" t="str">
        <x:v>MF-24</x:v>
      </x:c>
      <x:c r="H866" s="7" t="str"/>
      <x:c r="I866" s="7" t="str"/>
      <x:c r="J866" s="7" t="str">
        <x:f>IF(OR(H866="",I866=""),"",I866-H866)</x:f>
      </x:c>
      <x:c r="K866" s="7" t="str"/>
      <x:c r="L866" s="7" t="str"/>
      <x:c r="M866" s="7" t="str">
        <x:f>IF(L866="","OPEN",IF(OR(NOT(ISNUMBER(H866)),NOT(ISNUMBER(I866)),NOT(ISNUMBER(K866)),ABS(J866)&gt;K866),"FAIL","PASS"))</x:f>
        <x:v>OPEN</x:v>
      </x:c>
    </x:row>
    <x:row r="867">
      <x:c r="B867" s="7" t="str">
        <x:v>CAL-CH-PEA-A-Y3-24-3</x:v>
      </x:c>
      <x:c r="C867" s="7" t="str">
        <x:v>CH-PEA-A-Y3-24-3</x:v>
      </x:c>
      <x:c r="D867" s="7" t="str">
        <x:v>PEA-A-Y3</x:v>
      </x:c>
      <x:c r="E867" s="7" t="str">
        <x:v>BLD-A</x:v>
      </x:c>
      <x:c r="F867" s="7" t="str">
        <x:v>BL-Y</x:v>
      </x:c>
      <x:c r="G867" s="7" t="str">
        <x:v>MF-24</x:v>
      </x:c>
      <x:c r="H867" s="7" t="str"/>
      <x:c r="I867" s="7" t="str"/>
      <x:c r="J867" s="7" t="str">
        <x:f>IF(OR(H867="",I867=""),"",I867-H867)</x:f>
      </x:c>
      <x:c r="K867" s="7" t="str"/>
      <x:c r="L867" s="7" t="str"/>
      <x:c r="M867" s="7" t="str">
        <x:f>IF(L867="","OPEN",IF(OR(NOT(ISNUMBER(H867)),NOT(ISNUMBER(I867)),NOT(ISNUMBER(K867)),ABS(J867)&gt;K867),"FAIL","PASS"))</x:f>
        <x:v>OPEN</x:v>
      </x:c>
    </x:row>
    <x:row r="868">
      <x:c r="B868" s="7" t="str">
        <x:v>CAL-CH-PEA-A-Y3-24-4</x:v>
      </x:c>
      <x:c r="C868" s="7" t="str">
        <x:v>CH-PEA-A-Y3-24-4</x:v>
      </x:c>
      <x:c r="D868" s="7" t="str">
        <x:v>PEA-A-Y3</x:v>
      </x:c>
      <x:c r="E868" s="7" t="str">
        <x:v>BLD-A</x:v>
      </x:c>
      <x:c r="F868" s="7" t="str">
        <x:v>BL-Y</x:v>
      </x:c>
      <x:c r="G868" s="7" t="str">
        <x:v>MF-24</x:v>
      </x:c>
      <x:c r="H868" s="7" t="str"/>
      <x:c r="I868" s="7" t="str"/>
      <x:c r="J868" s="7" t="str">
        <x:f>IF(OR(H868="",I868=""),"",I868-H868)</x:f>
      </x:c>
      <x:c r="K868" s="7" t="str"/>
      <x:c r="L868" s="7" t="str"/>
      <x:c r="M868" s="7" t="str">
        <x:f>IF(L868="","OPEN",IF(OR(NOT(ISNUMBER(H868)),NOT(ISNUMBER(I868)),NOT(ISNUMBER(K868)),ABS(J868)&gt;K868),"FAIL","PASS"))</x:f>
        <x:v>OPEN</x:v>
      </x:c>
    </x:row>
    <x:row r="869">
      <x:c r="B869" s="7" t="str">
        <x:v>CAL-CH-PEA-A-Y3-24-5</x:v>
      </x:c>
      <x:c r="C869" s="7" t="str">
        <x:v>CH-PEA-A-Y3-24-5</x:v>
      </x:c>
      <x:c r="D869" s="7" t="str">
        <x:v>PEA-A-Y3</x:v>
      </x:c>
      <x:c r="E869" s="7" t="str">
        <x:v>BLD-A</x:v>
      </x:c>
      <x:c r="F869" s="7" t="str">
        <x:v>BL-Y</x:v>
      </x:c>
      <x:c r="G869" s="7" t="str">
        <x:v>MF-24</x:v>
      </x:c>
      <x:c r="H869" s="7" t="str"/>
      <x:c r="I869" s="7" t="str"/>
      <x:c r="J869" s="7" t="str">
        <x:f>IF(OR(H869="",I869=""),"",I869-H869)</x:f>
      </x:c>
      <x:c r="K869" s="7" t="str"/>
      <x:c r="L869" s="7" t="str"/>
      <x:c r="M869" s="7" t="str">
        <x:f>IF(L869="","OPEN",IF(OR(NOT(ISNUMBER(H869)),NOT(ISNUMBER(I869)),NOT(ISNUMBER(K869)),ABS(J869)&gt;K869),"FAIL","PASS"))</x:f>
        <x:v>OPEN</x:v>
      </x:c>
    </x:row>
    <x:row r="870">
      <x:c r="B870" s="7" t="str">
        <x:v>CAL-CH-PEA-A-Y3-24-6</x:v>
      </x:c>
      <x:c r="C870" s="7" t="str">
        <x:v>CH-PEA-A-Y3-24-6</x:v>
      </x:c>
      <x:c r="D870" s="7" t="str">
        <x:v>PEA-A-Y3</x:v>
      </x:c>
      <x:c r="E870" s="7" t="str">
        <x:v>BLD-A</x:v>
      </x:c>
      <x:c r="F870" s="7" t="str">
        <x:v>BL-Y</x:v>
      </x:c>
      <x:c r="G870" s="7" t="str">
        <x:v>MF-24</x:v>
      </x:c>
      <x:c r="H870" s="7" t="str"/>
      <x:c r="I870" s="7" t="str"/>
      <x:c r="J870" s="7" t="str">
        <x:f>IF(OR(H870="",I870=""),"",I870-H870)</x:f>
      </x:c>
      <x:c r="K870" s="7" t="str"/>
      <x:c r="L870" s="7" t="str"/>
      <x:c r="M870" s="7" t="str">
        <x:f>IF(L870="","OPEN",IF(OR(NOT(ISNUMBER(H870)),NOT(ISNUMBER(I870)),NOT(ISNUMBER(K870)),ABS(J870)&gt;K870),"FAIL","PASS"))</x:f>
        <x:v>OPEN</x:v>
      </x:c>
    </x:row>
    <x:row r="871">
      <x:c r="B871" s="7" t="str">
        <x:v>CAL-CH-PEA-B-X1-01-1</x:v>
      </x:c>
      <x:c r="C871" s="7" t="str">
        <x:v>CH-PEA-B-X1-01-1</x:v>
      </x:c>
      <x:c r="D871" s="7" t="str">
        <x:v>PEA-B-X1</x:v>
      </x:c>
      <x:c r="E871" s="7" t="str">
        <x:v>BLD-B</x:v>
      </x:c>
      <x:c r="F871" s="7" t="str">
        <x:v>BL-X</x:v>
      </x:c>
      <x:c r="G871" s="7" t="str">
        <x:v>MF-01</x:v>
      </x:c>
      <x:c r="H871" s="7" t="str"/>
      <x:c r="I871" s="7" t="str"/>
      <x:c r="J871" s="7" t="str">
        <x:f>IF(OR(H871="",I871=""),"",I871-H871)</x:f>
      </x:c>
      <x:c r="K871" s="7" t="str"/>
      <x:c r="L871" s="7" t="str"/>
      <x:c r="M871" s="7" t="str">
        <x:f>IF(L871="","OPEN",IF(OR(NOT(ISNUMBER(H871)),NOT(ISNUMBER(I871)),NOT(ISNUMBER(K871)),ABS(J871)&gt;K871),"FAIL","PASS"))</x:f>
        <x:v>OPEN</x:v>
      </x:c>
    </x:row>
    <x:row r="872">
      <x:c r="B872" s="7" t="str">
        <x:v>CAL-CH-PEA-B-X1-01-2</x:v>
      </x:c>
      <x:c r="C872" s="7" t="str">
        <x:v>CH-PEA-B-X1-01-2</x:v>
      </x:c>
      <x:c r="D872" s="7" t="str">
        <x:v>PEA-B-X1</x:v>
      </x:c>
      <x:c r="E872" s="7" t="str">
        <x:v>BLD-B</x:v>
      </x:c>
      <x:c r="F872" s="7" t="str">
        <x:v>BL-X</x:v>
      </x:c>
      <x:c r="G872" s="7" t="str">
        <x:v>MF-01</x:v>
      </x:c>
      <x:c r="H872" s="7" t="str"/>
      <x:c r="I872" s="7" t="str"/>
      <x:c r="J872" s="7" t="str">
        <x:f>IF(OR(H872="",I872=""),"",I872-H872)</x:f>
      </x:c>
      <x:c r="K872" s="7" t="str"/>
      <x:c r="L872" s="7" t="str"/>
      <x:c r="M872" s="7" t="str">
        <x:f>IF(L872="","OPEN",IF(OR(NOT(ISNUMBER(H872)),NOT(ISNUMBER(I872)),NOT(ISNUMBER(K872)),ABS(J872)&gt;K872),"FAIL","PASS"))</x:f>
        <x:v>OPEN</x:v>
      </x:c>
    </x:row>
    <x:row r="873">
      <x:c r="B873" s="7" t="str">
        <x:v>CAL-CH-PEA-B-X1-01-3</x:v>
      </x:c>
      <x:c r="C873" s="7" t="str">
        <x:v>CH-PEA-B-X1-01-3</x:v>
      </x:c>
      <x:c r="D873" s="7" t="str">
        <x:v>PEA-B-X1</x:v>
      </x:c>
      <x:c r="E873" s="7" t="str">
        <x:v>BLD-B</x:v>
      </x:c>
      <x:c r="F873" s="7" t="str">
        <x:v>BL-X</x:v>
      </x:c>
      <x:c r="G873" s="7" t="str">
        <x:v>MF-01</x:v>
      </x:c>
      <x:c r="H873" s="7" t="str"/>
      <x:c r="I873" s="7" t="str"/>
      <x:c r="J873" s="7" t="str">
        <x:f>IF(OR(H873="",I873=""),"",I873-H873)</x:f>
      </x:c>
      <x:c r="K873" s="7" t="str"/>
      <x:c r="L873" s="7" t="str"/>
      <x:c r="M873" s="7" t="str">
        <x:f>IF(L873="","OPEN",IF(OR(NOT(ISNUMBER(H873)),NOT(ISNUMBER(I873)),NOT(ISNUMBER(K873)),ABS(J873)&gt;K873),"FAIL","PASS"))</x:f>
        <x:v>OPEN</x:v>
      </x:c>
    </x:row>
    <x:row r="874">
      <x:c r="B874" s="7" t="str">
        <x:v>CAL-CH-PEA-B-X1-01-4</x:v>
      </x:c>
      <x:c r="C874" s="7" t="str">
        <x:v>CH-PEA-B-X1-01-4</x:v>
      </x:c>
      <x:c r="D874" s="7" t="str">
        <x:v>PEA-B-X1</x:v>
      </x:c>
      <x:c r="E874" s="7" t="str">
        <x:v>BLD-B</x:v>
      </x:c>
      <x:c r="F874" s="7" t="str">
        <x:v>BL-X</x:v>
      </x:c>
      <x:c r="G874" s="7" t="str">
        <x:v>MF-01</x:v>
      </x:c>
      <x:c r="H874" s="7" t="str"/>
      <x:c r="I874" s="7" t="str"/>
      <x:c r="J874" s="7" t="str">
        <x:f>IF(OR(H874="",I874=""),"",I874-H874)</x:f>
      </x:c>
      <x:c r="K874" s="7" t="str"/>
      <x:c r="L874" s="7" t="str"/>
      <x:c r="M874" s="7" t="str">
        <x:f>IF(L874="","OPEN",IF(OR(NOT(ISNUMBER(H874)),NOT(ISNUMBER(I874)),NOT(ISNUMBER(K874)),ABS(J874)&gt;K874),"FAIL","PASS"))</x:f>
        <x:v>OPEN</x:v>
      </x:c>
    </x:row>
    <x:row r="875">
      <x:c r="B875" s="7" t="str">
        <x:v>CAL-CH-PEA-B-X1-01-5</x:v>
      </x:c>
      <x:c r="C875" s="7" t="str">
        <x:v>CH-PEA-B-X1-01-5</x:v>
      </x:c>
      <x:c r="D875" s="7" t="str">
        <x:v>PEA-B-X1</x:v>
      </x:c>
      <x:c r="E875" s="7" t="str">
        <x:v>BLD-B</x:v>
      </x:c>
      <x:c r="F875" s="7" t="str">
        <x:v>BL-X</x:v>
      </x:c>
      <x:c r="G875" s="7" t="str">
        <x:v>MF-01</x:v>
      </x:c>
      <x:c r="H875" s="7" t="str"/>
      <x:c r="I875" s="7" t="str"/>
      <x:c r="J875" s="7" t="str">
        <x:f>IF(OR(H875="",I875=""),"",I875-H875)</x:f>
      </x:c>
      <x:c r="K875" s="7" t="str"/>
      <x:c r="L875" s="7" t="str"/>
      <x:c r="M875" s="7" t="str">
        <x:f>IF(L875="","OPEN",IF(OR(NOT(ISNUMBER(H875)),NOT(ISNUMBER(I875)),NOT(ISNUMBER(K875)),ABS(J875)&gt;K875),"FAIL","PASS"))</x:f>
        <x:v>OPEN</x:v>
      </x:c>
    </x:row>
    <x:row r="876">
      <x:c r="B876" s="7" t="str">
        <x:v>CAL-CH-PEA-B-X1-01-6</x:v>
      </x:c>
      <x:c r="C876" s="7" t="str">
        <x:v>CH-PEA-B-X1-01-6</x:v>
      </x:c>
      <x:c r="D876" s="7" t="str">
        <x:v>PEA-B-X1</x:v>
      </x:c>
      <x:c r="E876" s="7" t="str">
        <x:v>BLD-B</x:v>
      </x:c>
      <x:c r="F876" s="7" t="str">
        <x:v>BL-X</x:v>
      </x:c>
      <x:c r="G876" s="7" t="str">
        <x:v>MF-01</x:v>
      </x:c>
      <x:c r="H876" s="7" t="str"/>
      <x:c r="I876" s="7" t="str"/>
      <x:c r="J876" s="7" t="str">
        <x:f>IF(OR(H876="",I876=""),"",I876-H876)</x:f>
      </x:c>
      <x:c r="K876" s="7" t="str"/>
      <x:c r="L876" s="7" t="str"/>
      <x:c r="M876" s="7" t="str">
        <x:f>IF(L876="","OPEN",IF(OR(NOT(ISNUMBER(H876)),NOT(ISNUMBER(I876)),NOT(ISNUMBER(K876)),ABS(J876)&gt;K876),"FAIL","PASS"))</x:f>
        <x:v>OPEN</x:v>
      </x:c>
    </x:row>
    <x:row r="877">
      <x:c r="B877" s="7" t="str">
        <x:v>CAL-CH-PEA-B-X1-02-1</x:v>
      </x:c>
      <x:c r="C877" s="7" t="str">
        <x:v>CH-PEA-B-X1-02-1</x:v>
      </x:c>
      <x:c r="D877" s="7" t="str">
        <x:v>PEA-B-X1</x:v>
      </x:c>
      <x:c r="E877" s="7" t="str">
        <x:v>BLD-B</x:v>
      </x:c>
      <x:c r="F877" s="7" t="str">
        <x:v>BL-X</x:v>
      </x:c>
      <x:c r="G877" s="7" t="str">
        <x:v>MF-02</x:v>
      </x:c>
      <x:c r="H877" s="7" t="str"/>
      <x:c r="I877" s="7" t="str"/>
      <x:c r="J877" s="7" t="str">
        <x:f>IF(OR(H877="",I877=""),"",I877-H877)</x:f>
      </x:c>
      <x:c r="K877" s="7" t="str"/>
      <x:c r="L877" s="7" t="str"/>
      <x:c r="M877" s="7" t="str">
        <x:f>IF(L877="","OPEN",IF(OR(NOT(ISNUMBER(H877)),NOT(ISNUMBER(I877)),NOT(ISNUMBER(K877)),ABS(J877)&gt;K877),"FAIL","PASS"))</x:f>
        <x:v>OPEN</x:v>
      </x:c>
    </x:row>
    <x:row r="878">
      <x:c r="B878" s="7" t="str">
        <x:v>CAL-CH-PEA-B-X1-02-2</x:v>
      </x:c>
      <x:c r="C878" s="7" t="str">
        <x:v>CH-PEA-B-X1-02-2</x:v>
      </x:c>
      <x:c r="D878" s="7" t="str">
        <x:v>PEA-B-X1</x:v>
      </x:c>
      <x:c r="E878" s="7" t="str">
        <x:v>BLD-B</x:v>
      </x:c>
      <x:c r="F878" s="7" t="str">
        <x:v>BL-X</x:v>
      </x:c>
      <x:c r="G878" s="7" t="str">
        <x:v>MF-02</x:v>
      </x:c>
      <x:c r="H878" s="7" t="str"/>
      <x:c r="I878" s="7" t="str"/>
      <x:c r="J878" s="7" t="str">
        <x:f>IF(OR(H878="",I878=""),"",I878-H878)</x:f>
      </x:c>
      <x:c r="K878" s="7" t="str"/>
      <x:c r="L878" s="7" t="str"/>
      <x:c r="M878" s="7" t="str">
        <x:f>IF(L878="","OPEN",IF(OR(NOT(ISNUMBER(H878)),NOT(ISNUMBER(I878)),NOT(ISNUMBER(K878)),ABS(J878)&gt;K878),"FAIL","PASS"))</x:f>
        <x:v>OPEN</x:v>
      </x:c>
    </x:row>
    <x:row r="879">
      <x:c r="B879" s="7" t="str">
        <x:v>CAL-CH-PEA-B-X1-02-3</x:v>
      </x:c>
      <x:c r="C879" s="7" t="str">
        <x:v>CH-PEA-B-X1-02-3</x:v>
      </x:c>
      <x:c r="D879" s="7" t="str">
        <x:v>PEA-B-X1</x:v>
      </x:c>
      <x:c r="E879" s="7" t="str">
        <x:v>BLD-B</x:v>
      </x:c>
      <x:c r="F879" s="7" t="str">
        <x:v>BL-X</x:v>
      </x:c>
      <x:c r="G879" s="7" t="str">
        <x:v>MF-02</x:v>
      </x:c>
      <x:c r="H879" s="7" t="str"/>
      <x:c r="I879" s="7" t="str"/>
      <x:c r="J879" s="7" t="str">
        <x:f>IF(OR(H879="",I879=""),"",I879-H879)</x:f>
      </x:c>
      <x:c r="K879" s="7" t="str"/>
      <x:c r="L879" s="7" t="str"/>
      <x:c r="M879" s="7" t="str">
        <x:f>IF(L879="","OPEN",IF(OR(NOT(ISNUMBER(H879)),NOT(ISNUMBER(I879)),NOT(ISNUMBER(K879)),ABS(J879)&gt;K879),"FAIL","PASS"))</x:f>
        <x:v>OPEN</x:v>
      </x:c>
    </x:row>
    <x:row r="880">
      <x:c r="B880" s="7" t="str">
        <x:v>CAL-CH-PEA-B-X1-02-4</x:v>
      </x:c>
      <x:c r="C880" s="7" t="str">
        <x:v>CH-PEA-B-X1-02-4</x:v>
      </x:c>
      <x:c r="D880" s="7" t="str">
        <x:v>PEA-B-X1</x:v>
      </x:c>
      <x:c r="E880" s="7" t="str">
        <x:v>BLD-B</x:v>
      </x:c>
      <x:c r="F880" s="7" t="str">
        <x:v>BL-X</x:v>
      </x:c>
      <x:c r="G880" s="7" t="str">
        <x:v>MF-02</x:v>
      </x:c>
      <x:c r="H880" s="7" t="str"/>
      <x:c r="I880" s="7" t="str"/>
      <x:c r="J880" s="7" t="str">
        <x:f>IF(OR(H880="",I880=""),"",I880-H880)</x:f>
      </x:c>
      <x:c r="K880" s="7" t="str"/>
      <x:c r="L880" s="7" t="str"/>
      <x:c r="M880" s="7" t="str">
        <x:f>IF(L880="","OPEN",IF(OR(NOT(ISNUMBER(H880)),NOT(ISNUMBER(I880)),NOT(ISNUMBER(K880)),ABS(J880)&gt;K880),"FAIL","PASS"))</x:f>
        <x:v>OPEN</x:v>
      </x:c>
    </x:row>
    <x:row r="881">
      <x:c r="B881" s="7" t="str">
        <x:v>CAL-CH-PEA-B-X1-02-5</x:v>
      </x:c>
      <x:c r="C881" s="7" t="str">
        <x:v>CH-PEA-B-X1-02-5</x:v>
      </x:c>
      <x:c r="D881" s="7" t="str">
        <x:v>PEA-B-X1</x:v>
      </x:c>
      <x:c r="E881" s="7" t="str">
        <x:v>BLD-B</x:v>
      </x:c>
      <x:c r="F881" s="7" t="str">
        <x:v>BL-X</x:v>
      </x:c>
      <x:c r="G881" s="7" t="str">
        <x:v>MF-02</x:v>
      </x:c>
      <x:c r="H881" s="7" t="str"/>
      <x:c r="I881" s="7" t="str"/>
      <x:c r="J881" s="7" t="str">
        <x:f>IF(OR(H881="",I881=""),"",I881-H881)</x:f>
      </x:c>
      <x:c r="K881" s="7" t="str"/>
      <x:c r="L881" s="7" t="str"/>
      <x:c r="M881" s="7" t="str">
        <x:f>IF(L881="","OPEN",IF(OR(NOT(ISNUMBER(H881)),NOT(ISNUMBER(I881)),NOT(ISNUMBER(K881)),ABS(J881)&gt;K881),"FAIL","PASS"))</x:f>
        <x:v>OPEN</x:v>
      </x:c>
    </x:row>
    <x:row r="882">
      <x:c r="B882" s="7" t="str">
        <x:v>CAL-CH-PEA-B-X1-02-6</x:v>
      </x:c>
      <x:c r="C882" s="7" t="str">
        <x:v>CH-PEA-B-X1-02-6</x:v>
      </x:c>
      <x:c r="D882" s="7" t="str">
        <x:v>PEA-B-X1</x:v>
      </x:c>
      <x:c r="E882" s="7" t="str">
        <x:v>BLD-B</x:v>
      </x:c>
      <x:c r="F882" s="7" t="str">
        <x:v>BL-X</x:v>
      </x:c>
      <x:c r="G882" s="7" t="str">
        <x:v>MF-02</x:v>
      </x:c>
      <x:c r="H882" s="7" t="str"/>
      <x:c r="I882" s="7" t="str"/>
      <x:c r="J882" s="7" t="str">
        <x:f>IF(OR(H882="",I882=""),"",I882-H882)</x:f>
      </x:c>
      <x:c r="K882" s="7" t="str"/>
      <x:c r="L882" s="7" t="str"/>
      <x:c r="M882" s="7" t="str">
        <x:f>IF(L882="","OPEN",IF(OR(NOT(ISNUMBER(H882)),NOT(ISNUMBER(I882)),NOT(ISNUMBER(K882)),ABS(J882)&gt;K882),"FAIL","PASS"))</x:f>
        <x:v>OPEN</x:v>
      </x:c>
    </x:row>
    <x:row r="883">
      <x:c r="B883" s="7" t="str">
        <x:v>CAL-CH-PEA-B-X1-03-1</x:v>
      </x:c>
      <x:c r="C883" s="7" t="str">
        <x:v>CH-PEA-B-X1-03-1</x:v>
      </x:c>
      <x:c r="D883" s="7" t="str">
        <x:v>PEA-B-X1</x:v>
      </x:c>
      <x:c r="E883" s="7" t="str">
        <x:v>BLD-B</x:v>
      </x:c>
      <x:c r="F883" s="7" t="str">
        <x:v>BL-X</x:v>
      </x:c>
      <x:c r="G883" s="7" t="str">
        <x:v>MF-03</x:v>
      </x:c>
      <x:c r="H883" s="7" t="str"/>
      <x:c r="I883" s="7" t="str"/>
      <x:c r="J883" s="7" t="str">
        <x:f>IF(OR(H883="",I883=""),"",I883-H883)</x:f>
      </x:c>
      <x:c r="K883" s="7" t="str"/>
      <x:c r="L883" s="7" t="str"/>
      <x:c r="M883" s="7" t="str">
        <x:f>IF(L883="","OPEN",IF(OR(NOT(ISNUMBER(H883)),NOT(ISNUMBER(I883)),NOT(ISNUMBER(K883)),ABS(J883)&gt;K883),"FAIL","PASS"))</x:f>
        <x:v>OPEN</x:v>
      </x:c>
    </x:row>
    <x:row r="884">
      <x:c r="B884" s="7" t="str">
        <x:v>CAL-CH-PEA-B-X1-03-2</x:v>
      </x:c>
      <x:c r="C884" s="7" t="str">
        <x:v>CH-PEA-B-X1-03-2</x:v>
      </x:c>
      <x:c r="D884" s="7" t="str">
        <x:v>PEA-B-X1</x:v>
      </x:c>
      <x:c r="E884" s="7" t="str">
        <x:v>BLD-B</x:v>
      </x:c>
      <x:c r="F884" s="7" t="str">
        <x:v>BL-X</x:v>
      </x:c>
      <x:c r="G884" s="7" t="str">
        <x:v>MF-03</x:v>
      </x:c>
      <x:c r="H884" s="7" t="str"/>
      <x:c r="I884" s="7" t="str"/>
      <x:c r="J884" s="7" t="str">
        <x:f>IF(OR(H884="",I884=""),"",I884-H884)</x:f>
      </x:c>
      <x:c r="K884" s="7" t="str"/>
      <x:c r="L884" s="7" t="str"/>
      <x:c r="M884" s="7" t="str">
        <x:f>IF(L884="","OPEN",IF(OR(NOT(ISNUMBER(H884)),NOT(ISNUMBER(I884)),NOT(ISNUMBER(K884)),ABS(J884)&gt;K884),"FAIL","PASS"))</x:f>
        <x:v>OPEN</x:v>
      </x:c>
    </x:row>
    <x:row r="885">
      <x:c r="B885" s="7" t="str">
        <x:v>CAL-CH-PEA-B-X1-03-3</x:v>
      </x:c>
      <x:c r="C885" s="7" t="str">
        <x:v>CH-PEA-B-X1-03-3</x:v>
      </x:c>
      <x:c r="D885" s="7" t="str">
        <x:v>PEA-B-X1</x:v>
      </x:c>
      <x:c r="E885" s="7" t="str">
        <x:v>BLD-B</x:v>
      </x:c>
      <x:c r="F885" s="7" t="str">
        <x:v>BL-X</x:v>
      </x:c>
      <x:c r="G885" s="7" t="str">
        <x:v>MF-03</x:v>
      </x:c>
      <x:c r="H885" s="7" t="str"/>
      <x:c r="I885" s="7" t="str"/>
      <x:c r="J885" s="7" t="str">
        <x:f>IF(OR(H885="",I885=""),"",I885-H885)</x:f>
      </x:c>
      <x:c r="K885" s="7" t="str"/>
      <x:c r="L885" s="7" t="str"/>
      <x:c r="M885" s="7" t="str">
        <x:f>IF(L885="","OPEN",IF(OR(NOT(ISNUMBER(H885)),NOT(ISNUMBER(I885)),NOT(ISNUMBER(K885)),ABS(J885)&gt;K885),"FAIL","PASS"))</x:f>
        <x:v>OPEN</x:v>
      </x:c>
    </x:row>
    <x:row r="886">
      <x:c r="B886" s="7" t="str">
        <x:v>CAL-CH-PEA-B-X1-03-4</x:v>
      </x:c>
      <x:c r="C886" s="7" t="str">
        <x:v>CH-PEA-B-X1-03-4</x:v>
      </x:c>
      <x:c r="D886" s="7" t="str">
        <x:v>PEA-B-X1</x:v>
      </x:c>
      <x:c r="E886" s="7" t="str">
        <x:v>BLD-B</x:v>
      </x:c>
      <x:c r="F886" s="7" t="str">
        <x:v>BL-X</x:v>
      </x:c>
      <x:c r="G886" s="7" t="str">
        <x:v>MF-03</x:v>
      </x:c>
      <x:c r="H886" s="7" t="str"/>
      <x:c r="I886" s="7" t="str"/>
      <x:c r="J886" s="7" t="str">
        <x:f>IF(OR(H886="",I886=""),"",I886-H886)</x:f>
      </x:c>
      <x:c r="K886" s="7" t="str"/>
      <x:c r="L886" s="7" t="str"/>
      <x:c r="M886" s="7" t="str">
        <x:f>IF(L886="","OPEN",IF(OR(NOT(ISNUMBER(H886)),NOT(ISNUMBER(I886)),NOT(ISNUMBER(K886)),ABS(J886)&gt;K886),"FAIL","PASS"))</x:f>
        <x:v>OPEN</x:v>
      </x:c>
    </x:row>
    <x:row r="887">
      <x:c r="B887" s="7" t="str">
        <x:v>CAL-CH-PEA-B-X1-03-5</x:v>
      </x:c>
      <x:c r="C887" s="7" t="str">
        <x:v>CH-PEA-B-X1-03-5</x:v>
      </x:c>
      <x:c r="D887" s="7" t="str">
        <x:v>PEA-B-X1</x:v>
      </x:c>
      <x:c r="E887" s="7" t="str">
        <x:v>BLD-B</x:v>
      </x:c>
      <x:c r="F887" s="7" t="str">
        <x:v>BL-X</x:v>
      </x:c>
      <x:c r="G887" s="7" t="str">
        <x:v>MF-03</x:v>
      </x:c>
      <x:c r="H887" s="7" t="str"/>
      <x:c r="I887" s="7" t="str"/>
      <x:c r="J887" s="7" t="str">
        <x:f>IF(OR(H887="",I887=""),"",I887-H887)</x:f>
      </x:c>
      <x:c r="K887" s="7" t="str"/>
      <x:c r="L887" s="7" t="str"/>
      <x:c r="M887" s="7" t="str">
        <x:f>IF(L887="","OPEN",IF(OR(NOT(ISNUMBER(H887)),NOT(ISNUMBER(I887)),NOT(ISNUMBER(K887)),ABS(J887)&gt;K887),"FAIL","PASS"))</x:f>
        <x:v>OPEN</x:v>
      </x:c>
    </x:row>
    <x:row r="888">
      <x:c r="B888" s="7" t="str">
        <x:v>CAL-CH-PEA-B-X1-03-6</x:v>
      </x:c>
      <x:c r="C888" s="7" t="str">
        <x:v>CH-PEA-B-X1-03-6</x:v>
      </x:c>
      <x:c r="D888" s="7" t="str">
        <x:v>PEA-B-X1</x:v>
      </x:c>
      <x:c r="E888" s="7" t="str">
        <x:v>BLD-B</x:v>
      </x:c>
      <x:c r="F888" s="7" t="str">
        <x:v>BL-X</x:v>
      </x:c>
      <x:c r="G888" s="7" t="str">
        <x:v>MF-03</x:v>
      </x:c>
      <x:c r="H888" s="7" t="str"/>
      <x:c r="I888" s="7" t="str"/>
      <x:c r="J888" s="7" t="str">
        <x:f>IF(OR(H888="",I888=""),"",I888-H888)</x:f>
      </x:c>
      <x:c r="K888" s="7" t="str"/>
      <x:c r="L888" s="7" t="str"/>
      <x:c r="M888" s="7" t="str">
        <x:f>IF(L888="","OPEN",IF(OR(NOT(ISNUMBER(H888)),NOT(ISNUMBER(I888)),NOT(ISNUMBER(K888)),ABS(J888)&gt;K888),"FAIL","PASS"))</x:f>
        <x:v>OPEN</x:v>
      </x:c>
    </x:row>
    <x:row r="889">
      <x:c r="B889" s="7" t="str">
        <x:v>CAL-CH-PEA-B-X1-04-1</x:v>
      </x:c>
      <x:c r="C889" s="7" t="str">
        <x:v>CH-PEA-B-X1-04-1</x:v>
      </x:c>
      <x:c r="D889" s="7" t="str">
        <x:v>PEA-B-X1</x:v>
      </x:c>
      <x:c r="E889" s="7" t="str">
        <x:v>BLD-B</x:v>
      </x:c>
      <x:c r="F889" s="7" t="str">
        <x:v>BL-X</x:v>
      </x:c>
      <x:c r="G889" s="7" t="str">
        <x:v>MF-04</x:v>
      </x:c>
      <x:c r="H889" s="7" t="str"/>
      <x:c r="I889" s="7" t="str"/>
      <x:c r="J889" s="7" t="str">
        <x:f>IF(OR(H889="",I889=""),"",I889-H889)</x:f>
      </x:c>
      <x:c r="K889" s="7" t="str"/>
      <x:c r="L889" s="7" t="str"/>
      <x:c r="M889" s="7" t="str">
        <x:f>IF(L889="","OPEN",IF(OR(NOT(ISNUMBER(H889)),NOT(ISNUMBER(I889)),NOT(ISNUMBER(K889)),ABS(J889)&gt;K889),"FAIL","PASS"))</x:f>
        <x:v>OPEN</x:v>
      </x:c>
    </x:row>
    <x:row r="890">
      <x:c r="B890" s="7" t="str">
        <x:v>CAL-CH-PEA-B-X1-04-2</x:v>
      </x:c>
      <x:c r="C890" s="7" t="str">
        <x:v>CH-PEA-B-X1-04-2</x:v>
      </x:c>
      <x:c r="D890" s="7" t="str">
        <x:v>PEA-B-X1</x:v>
      </x:c>
      <x:c r="E890" s="7" t="str">
        <x:v>BLD-B</x:v>
      </x:c>
      <x:c r="F890" s="7" t="str">
        <x:v>BL-X</x:v>
      </x:c>
      <x:c r="G890" s="7" t="str">
        <x:v>MF-04</x:v>
      </x:c>
      <x:c r="H890" s="7" t="str"/>
      <x:c r="I890" s="7" t="str"/>
      <x:c r="J890" s="7" t="str">
        <x:f>IF(OR(H890="",I890=""),"",I890-H890)</x:f>
      </x:c>
      <x:c r="K890" s="7" t="str"/>
      <x:c r="L890" s="7" t="str"/>
      <x:c r="M890" s="7" t="str">
        <x:f>IF(L890="","OPEN",IF(OR(NOT(ISNUMBER(H890)),NOT(ISNUMBER(I890)),NOT(ISNUMBER(K890)),ABS(J890)&gt;K890),"FAIL","PASS"))</x:f>
        <x:v>OPEN</x:v>
      </x:c>
    </x:row>
    <x:row r="891">
      <x:c r="B891" s="7" t="str">
        <x:v>CAL-CH-PEA-B-X1-04-3</x:v>
      </x:c>
      <x:c r="C891" s="7" t="str">
        <x:v>CH-PEA-B-X1-04-3</x:v>
      </x:c>
      <x:c r="D891" s="7" t="str">
        <x:v>PEA-B-X1</x:v>
      </x:c>
      <x:c r="E891" s="7" t="str">
        <x:v>BLD-B</x:v>
      </x:c>
      <x:c r="F891" s="7" t="str">
        <x:v>BL-X</x:v>
      </x:c>
      <x:c r="G891" s="7" t="str">
        <x:v>MF-04</x:v>
      </x:c>
      <x:c r="H891" s="7" t="str"/>
      <x:c r="I891" s="7" t="str"/>
      <x:c r="J891" s="7" t="str">
        <x:f>IF(OR(H891="",I891=""),"",I891-H891)</x:f>
      </x:c>
      <x:c r="K891" s="7" t="str"/>
      <x:c r="L891" s="7" t="str"/>
      <x:c r="M891" s="7" t="str">
        <x:f>IF(L891="","OPEN",IF(OR(NOT(ISNUMBER(H891)),NOT(ISNUMBER(I891)),NOT(ISNUMBER(K891)),ABS(J891)&gt;K891),"FAIL","PASS"))</x:f>
        <x:v>OPEN</x:v>
      </x:c>
    </x:row>
    <x:row r="892">
      <x:c r="B892" s="7" t="str">
        <x:v>CAL-CH-PEA-B-X1-04-4</x:v>
      </x:c>
      <x:c r="C892" s="7" t="str">
        <x:v>CH-PEA-B-X1-04-4</x:v>
      </x:c>
      <x:c r="D892" s="7" t="str">
        <x:v>PEA-B-X1</x:v>
      </x:c>
      <x:c r="E892" s="7" t="str">
        <x:v>BLD-B</x:v>
      </x:c>
      <x:c r="F892" s="7" t="str">
        <x:v>BL-X</x:v>
      </x:c>
      <x:c r="G892" s="7" t="str">
        <x:v>MF-04</x:v>
      </x:c>
      <x:c r="H892" s="7" t="str"/>
      <x:c r="I892" s="7" t="str"/>
      <x:c r="J892" s="7" t="str">
        <x:f>IF(OR(H892="",I892=""),"",I892-H892)</x:f>
      </x:c>
      <x:c r="K892" s="7" t="str"/>
      <x:c r="L892" s="7" t="str"/>
      <x:c r="M892" s="7" t="str">
        <x:f>IF(L892="","OPEN",IF(OR(NOT(ISNUMBER(H892)),NOT(ISNUMBER(I892)),NOT(ISNUMBER(K892)),ABS(J892)&gt;K892),"FAIL","PASS"))</x:f>
        <x:v>OPEN</x:v>
      </x:c>
    </x:row>
    <x:row r="893">
      <x:c r="B893" s="7" t="str">
        <x:v>CAL-CH-PEA-B-X1-04-5</x:v>
      </x:c>
      <x:c r="C893" s="7" t="str">
        <x:v>CH-PEA-B-X1-04-5</x:v>
      </x:c>
      <x:c r="D893" s="7" t="str">
        <x:v>PEA-B-X1</x:v>
      </x:c>
      <x:c r="E893" s="7" t="str">
        <x:v>BLD-B</x:v>
      </x:c>
      <x:c r="F893" s="7" t="str">
        <x:v>BL-X</x:v>
      </x:c>
      <x:c r="G893" s="7" t="str">
        <x:v>MF-04</x:v>
      </x:c>
      <x:c r="H893" s="7" t="str"/>
      <x:c r="I893" s="7" t="str"/>
      <x:c r="J893" s="7" t="str">
        <x:f>IF(OR(H893="",I893=""),"",I893-H893)</x:f>
      </x:c>
      <x:c r="K893" s="7" t="str"/>
      <x:c r="L893" s="7" t="str"/>
      <x:c r="M893" s="7" t="str">
        <x:f>IF(L893="","OPEN",IF(OR(NOT(ISNUMBER(H893)),NOT(ISNUMBER(I893)),NOT(ISNUMBER(K893)),ABS(J893)&gt;K893),"FAIL","PASS"))</x:f>
        <x:v>OPEN</x:v>
      </x:c>
    </x:row>
    <x:row r="894">
      <x:c r="B894" s="7" t="str">
        <x:v>CAL-CH-PEA-B-X1-04-6</x:v>
      </x:c>
      <x:c r="C894" s="7" t="str">
        <x:v>CH-PEA-B-X1-04-6</x:v>
      </x:c>
      <x:c r="D894" s="7" t="str">
        <x:v>PEA-B-X1</x:v>
      </x:c>
      <x:c r="E894" s="7" t="str">
        <x:v>BLD-B</x:v>
      </x:c>
      <x:c r="F894" s="7" t="str">
        <x:v>BL-X</x:v>
      </x:c>
      <x:c r="G894" s="7" t="str">
        <x:v>MF-04</x:v>
      </x:c>
      <x:c r="H894" s="7" t="str"/>
      <x:c r="I894" s="7" t="str"/>
      <x:c r="J894" s="7" t="str">
        <x:f>IF(OR(H894="",I894=""),"",I894-H894)</x:f>
      </x:c>
      <x:c r="K894" s="7" t="str"/>
      <x:c r="L894" s="7" t="str"/>
      <x:c r="M894" s="7" t="str">
        <x:f>IF(L894="","OPEN",IF(OR(NOT(ISNUMBER(H894)),NOT(ISNUMBER(I894)),NOT(ISNUMBER(K894)),ABS(J894)&gt;K894),"FAIL","PASS"))</x:f>
        <x:v>OPEN</x:v>
      </x:c>
    </x:row>
    <x:row r="895">
      <x:c r="B895" s="7" t="str">
        <x:v>CAL-CH-PEA-B-X1-05-1</x:v>
      </x:c>
      <x:c r="C895" s="7" t="str">
        <x:v>CH-PEA-B-X1-05-1</x:v>
      </x:c>
      <x:c r="D895" s="7" t="str">
        <x:v>PEA-B-X1</x:v>
      </x:c>
      <x:c r="E895" s="7" t="str">
        <x:v>BLD-B</x:v>
      </x:c>
      <x:c r="F895" s="7" t="str">
        <x:v>BL-X</x:v>
      </x:c>
      <x:c r="G895" s="7" t="str">
        <x:v>MF-05</x:v>
      </x:c>
      <x:c r="H895" s="7" t="str"/>
      <x:c r="I895" s="7" t="str"/>
      <x:c r="J895" s="7" t="str">
        <x:f>IF(OR(H895="",I895=""),"",I895-H895)</x:f>
      </x:c>
      <x:c r="K895" s="7" t="str"/>
      <x:c r="L895" s="7" t="str"/>
      <x:c r="M895" s="7" t="str">
        <x:f>IF(L895="","OPEN",IF(OR(NOT(ISNUMBER(H895)),NOT(ISNUMBER(I895)),NOT(ISNUMBER(K895)),ABS(J895)&gt;K895),"FAIL","PASS"))</x:f>
        <x:v>OPEN</x:v>
      </x:c>
    </x:row>
    <x:row r="896">
      <x:c r="B896" s="7" t="str">
        <x:v>CAL-CH-PEA-B-X1-05-2</x:v>
      </x:c>
      <x:c r="C896" s="7" t="str">
        <x:v>CH-PEA-B-X1-05-2</x:v>
      </x:c>
      <x:c r="D896" s="7" t="str">
        <x:v>PEA-B-X1</x:v>
      </x:c>
      <x:c r="E896" s="7" t="str">
        <x:v>BLD-B</x:v>
      </x:c>
      <x:c r="F896" s="7" t="str">
        <x:v>BL-X</x:v>
      </x:c>
      <x:c r="G896" s="7" t="str">
        <x:v>MF-05</x:v>
      </x:c>
      <x:c r="H896" s="7" t="str"/>
      <x:c r="I896" s="7" t="str"/>
      <x:c r="J896" s="7" t="str">
        <x:f>IF(OR(H896="",I896=""),"",I896-H896)</x:f>
      </x:c>
      <x:c r="K896" s="7" t="str"/>
      <x:c r="L896" s="7" t="str"/>
      <x:c r="M896" s="7" t="str">
        <x:f>IF(L896="","OPEN",IF(OR(NOT(ISNUMBER(H896)),NOT(ISNUMBER(I896)),NOT(ISNUMBER(K896)),ABS(J896)&gt;K896),"FAIL","PASS"))</x:f>
        <x:v>OPEN</x:v>
      </x:c>
    </x:row>
    <x:row r="897">
      <x:c r="B897" s="7" t="str">
        <x:v>CAL-CH-PEA-B-X1-05-3</x:v>
      </x:c>
      <x:c r="C897" s="7" t="str">
        <x:v>CH-PEA-B-X1-05-3</x:v>
      </x:c>
      <x:c r="D897" s="7" t="str">
        <x:v>PEA-B-X1</x:v>
      </x:c>
      <x:c r="E897" s="7" t="str">
        <x:v>BLD-B</x:v>
      </x:c>
      <x:c r="F897" s="7" t="str">
        <x:v>BL-X</x:v>
      </x:c>
      <x:c r="G897" s="7" t="str">
        <x:v>MF-05</x:v>
      </x:c>
      <x:c r="H897" s="7" t="str"/>
      <x:c r="I897" s="7" t="str"/>
      <x:c r="J897" s="7" t="str">
        <x:f>IF(OR(H897="",I897=""),"",I897-H897)</x:f>
      </x:c>
      <x:c r="K897" s="7" t="str"/>
      <x:c r="L897" s="7" t="str"/>
      <x:c r="M897" s="7" t="str">
        <x:f>IF(L897="","OPEN",IF(OR(NOT(ISNUMBER(H897)),NOT(ISNUMBER(I897)),NOT(ISNUMBER(K897)),ABS(J897)&gt;K897),"FAIL","PASS"))</x:f>
        <x:v>OPEN</x:v>
      </x:c>
    </x:row>
    <x:row r="898">
      <x:c r="B898" s="7" t="str">
        <x:v>CAL-CH-PEA-B-X1-05-4</x:v>
      </x:c>
      <x:c r="C898" s="7" t="str">
        <x:v>CH-PEA-B-X1-05-4</x:v>
      </x:c>
      <x:c r="D898" s="7" t="str">
        <x:v>PEA-B-X1</x:v>
      </x:c>
      <x:c r="E898" s="7" t="str">
        <x:v>BLD-B</x:v>
      </x:c>
      <x:c r="F898" s="7" t="str">
        <x:v>BL-X</x:v>
      </x:c>
      <x:c r="G898" s="7" t="str">
        <x:v>MF-05</x:v>
      </x:c>
      <x:c r="H898" s="7" t="str"/>
      <x:c r="I898" s="7" t="str"/>
      <x:c r="J898" s="7" t="str">
        <x:f>IF(OR(H898="",I898=""),"",I898-H898)</x:f>
      </x:c>
      <x:c r="K898" s="7" t="str"/>
      <x:c r="L898" s="7" t="str"/>
      <x:c r="M898" s="7" t="str">
        <x:f>IF(L898="","OPEN",IF(OR(NOT(ISNUMBER(H898)),NOT(ISNUMBER(I898)),NOT(ISNUMBER(K898)),ABS(J898)&gt;K898),"FAIL","PASS"))</x:f>
        <x:v>OPEN</x:v>
      </x:c>
    </x:row>
    <x:row r="899">
      <x:c r="B899" s="7" t="str">
        <x:v>CAL-CH-PEA-B-X1-05-5</x:v>
      </x:c>
      <x:c r="C899" s="7" t="str">
        <x:v>CH-PEA-B-X1-05-5</x:v>
      </x:c>
      <x:c r="D899" s="7" t="str">
        <x:v>PEA-B-X1</x:v>
      </x:c>
      <x:c r="E899" s="7" t="str">
        <x:v>BLD-B</x:v>
      </x:c>
      <x:c r="F899" s="7" t="str">
        <x:v>BL-X</x:v>
      </x:c>
      <x:c r="G899" s="7" t="str">
        <x:v>MF-05</x:v>
      </x:c>
      <x:c r="H899" s="7" t="str"/>
      <x:c r="I899" s="7" t="str"/>
      <x:c r="J899" s="7" t="str">
        <x:f>IF(OR(H899="",I899=""),"",I899-H899)</x:f>
      </x:c>
      <x:c r="K899" s="7" t="str"/>
      <x:c r="L899" s="7" t="str"/>
      <x:c r="M899" s="7" t="str">
        <x:f>IF(L899="","OPEN",IF(OR(NOT(ISNUMBER(H899)),NOT(ISNUMBER(I899)),NOT(ISNUMBER(K899)),ABS(J899)&gt;K899),"FAIL","PASS"))</x:f>
        <x:v>OPEN</x:v>
      </x:c>
    </x:row>
    <x:row r="900">
      <x:c r="B900" s="7" t="str">
        <x:v>CAL-CH-PEA-B-X1-05-6</x:v>
      </x:c>
      <x:c r="C900" s="7" t="str">
        <x:v>CH-PEA-B-X1-05-6</x:v>
      </x:c>
      <x:c r="D900" s="7" t="str">
        <x:v>PEA-B-X1</x:v>
      </x:c>
      <x:c r="E900" s="7" t="str">
        <x:v>BLD-B</x:v>
      </x:c>
      <x:c r="F900" s="7" t="str">
        <x:v>BL-X</x:v>
      </x:c>
      <x:c r="G900" s="7" t="str">
        <x:v>MF-05</x:v>
      </x:c>
      <x:c r="H900" s="7" t="str"/>
      <x:c r="I900" s="7" t="str"/>
      <x:c r="J900" s="7" t="str">
        <x:f>IF(OR(H900="",I900=""),"",I900-H900)</x:f>
      </x:c>
      <x:c r="K900" s="7" t="str"/>
      <x:c r="L900" s="7" t="str"/>
      <x:c r="M900" s="7" t="str">
        <x:f>IF(L900="","OPEN",IF(OR(NOT(ISNUMBER(H900)),NOT(ISNUMBER(I900)),NOT(ISNUMBER(K900)),ABS(J900)&gt;K900),"FAIL","PASS"))</x:f>
        <x:v>OPEN</x:v>
      </x:c>
    </x:row>
    <x:row r="901">
      <x:c r="B901" s="7" t="str">
        <x:v>CAL-CH-PEA-B-X1-06-1</x:v>
      </x:c>
      <x:c r="C901" s="7" t="str">
        <x:v>CH-PEA-B-X1-06-1</x:v>
      </x:c>
      <x:c r="D901" s="7" t="str">
        <x:v>PEA-B-X1</x:v>
      </x:c>
      <x:c r="E901" s="7" t="str">
        <x:v>BLD-B</x:v>
      </x:c>
      <x:c r="F901" s="7" t="str">
        <x:v>BL-X</x:v>
      </x:c>
      <x:c r="G901" s="7" t="str">
        <x:v>MF-06</x:v>
      </x:c>
      <x:c r="H901" s="7" t="str"/>
      <x:c r="I901" s="7" t="str"/>
      <x:c r="J901" s="7" t="str">
        <x:f>IF(OR(H901="",I901=""),"",I901-H901)</x:f>
      </x:c>
      <x:c r="K901" s="7" t="str"/>
      <x:c r="L901" s="7" t="str"/>
      <x:c r="M901" s="7" t="str">
        <x:f>IF(L901="","OPEN",IF(OR(NOT(ISNUMBER(H901)),NOT(ISNUMBER(I901)),NOT(ISNUMBER(K901)),ABS(J901)&gt;K901),"FAIL","PASS"))</x:f>
        <x:v>OPEN</x:v>
      </x:c>
    </x:row>
    <x:row r="902">
      <x:c r="B902" s="7" t="str">
        <x:v>CAL-CH-PEA-B-X1-06-2</x:v>
      </x:c>
      <x:c r="C902" s="7" t="str">
        <x:v>CH-PEA-B-X1-06-2</x:v>
      </x:c>
      <x:c r="D902" s="7" t="str">
        <x:v>PEA-B-X1</x:v>
      </x:c>
      <x:c r="E902" s="7" t="str">
        <x:v>BLD-B</x:v>
      </x:c>
      <x:c r="F902" s="7" t="str">
        <x:v>BL-X</x:v>
      </x:c>
      <x:c r="G902" s="7" t="str">
        <x:v>MF-06</x:v>
      </x:c>
      <x:c r="H902" s="7" t="str"/>
      <x:c r="I902" s="7" t="str"/>
      <x:c r="J902" s="7" t="str">
        <x:f>IF(OR(H902="",I902=""),"",I902-H902)</x:f>
      </x:c>
      <x:c r="K902" s="7" t="str"/>
      <x:c r="L902" s="7" t="str"/>
      <x:c r="M902" s="7" t="str">
        <x:f>IF(L902="","OPEN",IF(OR(NOT(ISNUMBER(H902)),NOT(ISNUMBER(I902)),NOT(ISNUMBER(K902)),ABS(J902)&gt;K902),"FAIL","PASS"))</x:f>
        <x:v>OPEN</x:v>
      </x:c>
    </x:row>
    <x:row r="903">
      <x:c r="B903" s="7" t="str">
        <x:v>CAL-CH-PEA-B-X1-06-3</x:v>
      </x:c>
      <x:c r="C903" s="7" t="str">
        <x:v>CH-PEA-B-X1-06-3</x:v>
      </x:c>
      <x:c r="D903" s="7" t="str">
        <x:v>PEA-B-X1</x:v>
      </x:c>
      <x:c r="E903" s="7" t="str">
        <x:v>BLD-B</x:v>
      </x:c>
      <x:c r="F903" s="7" t="str">
        <x:v>BL-X</x:v>
      </x:c>
      <x:c r="G903" s="7" t="str">
        <x:v>MF-06</x:v>
      </x:c>
      <x:c r="H903" s="7" t="str"/>
      <x:c r="I903" s="7" t="str"/>
      <x:c r="J903" s="7" t="str">
        <x:f>IF(OR(H903="",I903=""),"",I903-H903)</x:f>
      </x:c>
      <x:c r="K903" s="7" t="str"/>
      <x:c r="L903" s="7" t="str"/>
      <x:c r="M903" s="7" t="str">
        <x:f>IF(L903="","OPEN",IF(OR(NOT(ISNUMBER(H903)),NOT(ISNUMBER(I903)),NOT(ISNUMBER(K903)),ABS(J903)&gt;K903),"FAIL","PASS"))</x:f>
        <x:v>OPEN</x:v>
      </x:c>
    </x:row>
    <x:row r="904">
      <x:c r="B904" s="7" t="str">
        <x:v>CAL-CH-PEA-B-X1-06-4</x:v>
      </x:c>
      <x:c r="C904" s="7" t="str">
        <x:v>CH-PEA-B-X1-06-4</x:v>
      </x:c>
      <x:c r="D904" s="7" t="str">
        <x:v>PEA-B-X1</x:v>
      </x:c>
      <x:c r="E904" s="7" t="str">
        <x:v>BLD-B</x:v>
      </x:c>
      <x:c r="F904" s="7" t="str">
        <x:v>BL-X</x:v>
      </x:c>
      <x:c r="G904" s="7" t="str">
        <x:v>MF-06</x:v>
      </x:c>
      <x:c r="H904" s="7" t="str"/>
      <x:c r="I904" s="7" t="str"/>
      <x:c r="J904" s="7" t="str">
        <x:f>IF(OR(H904="",I904=""),"",I904-H904)</x:f>
      </x:c>
      <x:c r="K904" s="7" t="str"/>
      <x:c r="L904" s="7" t="str"/>
      <x:c r="M904" s="7" t="str">
        <x:f>IF(L904="","OPEN",IF(OR(NOT(ISNUMBER(H904)),NOT(ISNUMBER(I904)),NOT(ISNUMBER(K904)),ABS(J904)&gt;K904),"FAIL","PASS"))</x:f>
        <x:v>OPEN</x:v>
      </x:c>
    </x:row>
    <x:row r="905">
      <x:c r="B905" s="7" t="str">
        <x:v>CAL-CH-PEA-B-X1-06-5</x:v>
      </x:c>
      <x:c r="C905" s="7" t="str">
        <x:v>CH-PEA-B-X1-06-5</x:v>
      </x:c>
      <x:c r="D905" s="7" t="str">
        <x:v>PEA-B-X1</x:v>
      </x:c>
      <x:c r="E905" s="7" t="str">
        <x:v>BLD-B</x:v>
      </x:c>
      <x:c r="F905" s="7" t="str">
        <x:v>BL-X</x:v>
      </x:c>
      <x:c r="G905" s="7" t="str">
        <x:v>MF-06</x:v>
      </x:c>
      <x:c r="H905" s="7" t="str"/>
      <x:c r="I905" s="7" t="str"/>
      <x:c r="J905" s="7" t="str">
        <x:f>IF(OR(H905="",I905=""),"",I905-H905)</x:f>
      </x:c>
      <x:c r="K905" s="7" t="str"/>
      <x:c r="L905" s="7" t="str"/>
      <x:c r="M905" s="7" t="str">
        <x:f>IF(L905="","OPEN",IF(OR(NOT(ISNUMBER(H905)),NOT(ISNUMBER(I905)),NOT(ISNUMBER(K905)),ABS(J905)&gt;K905),"FAIL","PASS"))</x:f>
        <x:v>OPEN</x:v>
      </x:c>
    </x:row>
    <x:row r="906">
      <x:c r="B906" s="7" t="str">
        <x:v>CAL-CH-PEA-B-X1-06-6</x:v>
      </x:c>
      <x:c r="C906" s="7" t="str">
        <x:v>CH-PEA-B-X1-06-6</x:v>
      </x:c>
      <x:c r="D906" s="7" t="str">
        <x:v>PEA-B-X1</x:v>
      </x:c>
      <x:c r="E906" s="7" t="str">
        <x:v>BLD-B</x:v>
      </x:c>
      <x:c r="F906" s="7" t="str">
        <x:v>BL-X</x:v>
      </x:c>
      <x:c r="G906" s="7" t="str">
        <x:v>MF-06</x:v>
      </x:c>
      <x:c r="H906" s="7" t="str"/>
      <x:c r="I906" s="7" t="str"/>
      <x:c r="J906" s="7" t="str">
        <x:f>IF(OR(H906="",I906=""),"",I906-H906)</x:f>
      </x:c>
      <x:c r="K906" s="7" t="str"/>
      <x:c r="L906" s="7" t="str"/>
      <x:c r="M906" s="7" t="str">
        <x:f>IF(L906="","OPEN",IF(OR(NOT(ISNUMBER(H906)),NOT(ISNUMBER(I906)),NOT(ISNUMBER(K906)),ABS(J906)&gt;K906),"FAIL","PASS"))</x:f>
        <x:v>OPEN</x:v>
      </x:c>
    </x:row>
    <x:row r="907">
      <x:c r="B907" s="7" t="str">
        <x:v>CAL-CH-PEA-B-X1-07-1</x:v>
      </x:c>
      <x:c r="C907" s="7" t="str">
        <x:v>CH-PEA-B-X1-07-1</x:v>
      </x:c>
      <x:c r="D907" s="7" t="str">
        <x:v>PEA-B-X1</x:v>
      </x:c>
      <x:c r="E907" s="7" t="str">
        <x:v>BLD-B</x:v>
      </x:c>
      <x:c r="F907" s="7" t="str">
        <x:v>BL-X</x:v>
      </x:c>
      <x:c r="G907" s="7" t="str">
        <x:v>MF-07</x:v>
      </x:c>
      <x:c r="H907" s="7" t="str"/>
      <x:c r="I907" s="7" t="str"/>
      <x:c r="J907" s="7" t="str">
        <x:f>IF(OR(H907="",I907=""),"",I907-H907)</x:f>
      </x:c>
      <x:c r="K907" s="7" t="str"/>
      <x:c r="L907" s="7" t="str"/>
      <x:c r="M907" s="7" t="str">
        <x:f>IF(L907="","OPEN",IF(OR(NOT(ISNUMBER(H907)),NOT(ISNUMBER(I907)),NOT(ISNUMBER(K907)),ABS(J907)&gt;K907),"FAIL","PASS"))</x:f>
        <x:v>OPEN</x:v>
      </x:c>
    </x:row>
    <x:row r="908">
      <x:c r="B908" s="7" t="str">
        <x:v>CAL-CH-PEA-B-X1-07-2</x:v>
      </x:c>
      <x:c r="C908" s="7" t="str">
        <x:v>CH-PEA-B-X1-07-2</x:v>
      </x:c>
      <x:c r="D908" s="7" t="str">
        <x:v>PEA-B-X1</x:v>
      </x:c>
      <x:c r="E908" s="7" t="str">
        <x:v>BLD-B</x:v>
      </x:c>
      <x:c r="F908" s="7" t="str">
        <x:v>BL-X</x:v>
      </x:c>
      <x:c r="G908" s="7" t="str">
        <x:v>MF-07</x:v>
      </x:c>
      <x:c r="H908" s="7" t="str"/>
      <x:c r="I908" s="7" t="str"/>
      <x:c r="J908" s="7" t="str">
        <x:f>IF(OR(H908="",I908=""),"",I908-H908)</x:f>
      </x:c>
      <x:c r="K908" s="7" t="str"/>
      <x:c r="L908" s="7" t="str"/>
      <x:c r="M908" s="7" t="str">
        <x:f>IF(L908="","OPEN",IF(OR(NOT(ISNUMBER(H908)),NOT(ISNUMBER(I908)),NOT(ISNUMBER(K908)),ABS(J908)&gt;K908),"FAIL","PASS"))</x:f>
        <x:v>OPEN</x:v>
      </x:c>
    </x:row>
    <x:row r="909">
      <x:c r="B909" s="7" t="str">
        <x:v>CAL-CH-PEA-B-X1-07-3</x:v>
      </x:c>
      <x:c r="C909" s="7" t="str">
        <x:v>CH-PEA-B-X1-07-3</x:v>
      </x:c>
      <x:c r="D909" s="7" t="str">
        <x:v>PEA-B-X1</x:v>
      </x:c>
      <x:c r="E909" s="7" t="str">
        <x:v>BLD-B</x:v>
      </x:c>
      <x:c r="F909" s="7" t="str">
        <x:v>BL-X</x:v>
      </x:c>
      <x:c r="G909" s="7" t="str">
        <x:v>MF-07</x:v>
      </x:c>
      <x:c r="H909" s="7" t="str"/>
      <x:c r="I909" s="7" t="str"/>
      <x:c r="J909" s="7" t="str">
        <x:f>IF(OR(H909="",I909=""),"",I909-H909)</x:f>
      </x:c>
      <x:c r="K909" s="7" t="str"/>
      <x:c r="L909" s="7" t="str"/>
      <x:c r="M909" s="7" t="str">
        <x:f>IF(L909="","OPEN",IF(OR(NOT(ISNUMBER(H909)),NOT(ISNUMBER(I909)),NOT(ISNUMBER(K909)),ABS(J909)&gt;K909),"FAIL","PASS"))</x:f>
        <x:v>OPEN</x:v>
      </x:c>
    </x:row>
    <x:row r="910">
      <x:c r="B910" s="7" t="str">
        <x:v>CAL-CH-PEA-B-X1-07-4</x:v>
      </x:c>
      <x:c r="C910" s="7" t="str">
        <x:v>CH-PEA-B-X1-07-4</x:v>
      </x:c>
      <x:c r="D910" s="7" t="str">
        <x:v>PEA-B-X1</x:v>
      </x:c>
      <x:c r="E910" s="7" t="str">
        <x:v>BLD-B</x:v>
      </x:c>
      <x:c r="F910" s="7" t="str">
        <x:v>BL-X</x:v>
      </x:c>
      <x:c r="G910" s="7" t="str">
        <x:v>MF-07</x:v>
      </x:c>
      <x:c r="H910" s="7" t="str"/>
      <x:c r="I910" s="7" t="str"/>
      <x:c r="J910" s="7" t="str">
        <x:f>IF(OR(H910="",I910=""),"",I910-H910)</x:f>
      </x:c>
      <x:c r="K910" s="7" t="str"/>
      <x:c r="L910" s="7" t="str"/>
      <x:c r="M910" s="7" t="str">
        <x:f>IF(L910="","OPEN",IF(OR(NOT(ISNUMBER(H910)),NOT(ISNUMBER(I910)),NOT(ISNUMBER(K910)),ABS(J910)&gt;K910),"FAIL","PASS"))</x:f>
        <x:v>OPEN</x:v>
      </x:c>
    </x:row>
    <x:row r="911">
      <x:c r="B911" s="7" t="str">
        <x:v>CAL-CH-PEA-B-X1-07-5</x:v>
      </x:c>
      <x:c r="C911" s="7" t="str">
        <x:v>CH-PEA-B-X1-07-5</x:v>
      </x:c>
      <x:c r="D911" s="7" t="str">
        <x:v>PEA-B-X1</x:v>
      </x:c>
      <x:c r="E911" s="7" t="str">
        <x:v>BLD-B</x:v>
      </x:c>
      <x:c r="F911" s="7" t="str">
        <x:v>BL-X</x:v>
      </x:c>
      <x:c r="G911" s="7" t="str">
        <x:v>MF-07</x:v>
      </x:c>
      <x:c r="H911" s="7" t="str"/>
      <x:c r="I911" s="7" t="str"/>
      <x:c r="J911" s="7" t="str">
        <x:f>IF(OR(H911="",I911=""),"",I911-H911)</x:f>
      </x:c>
      <x:c r="K911" s="7" t="str"/>
      <x:c r="L911" s="7" t="str"/>
      <x:c r="M911" s="7" t="str">
        <x:f>IF(L911="","OPEN",IF(OR(NOT(ISNUMBER(H911)),NOT(ISNUMBER(I911)),NOT(ISNUMBER(K911)),ABS(J911)&gt;K911),"FAIL","PASS"))</x:f>
        <x:v>OPEN</x:v>
      </x:c>
    </x:row>
    <x:row r="912">
      <x:c r="B912" s="7" t="str">
        <x:v>CAL-CH-PEA-B-X1-07-6</x:v>
      </x:c>
      <x:c r="C912" s="7" t="str">
        <x:v>CH-PEA-B-X1-07-6</x:v>
      </x:c>
      <x:c r="D912" s="7" t="str">
        <x:v>PEA-B-X1</x:v>
      </x:c>
      <x:c r="E912" s="7" t="str">
        <x:v>BLD-B</x:v>
      </x:c>
      <x:c r="F912" s="7" t="str">
        <x:v>BL-X</x:v>
      </x:c>
      <x:c r="G912" s="7" t="str">
        <x:v>MF-07</x:v>
      </x:c>
      <x:c r="H912" s="7" t="str"/>
      <x:c r="I912" s="7" t="str"/>
      <x:c r="J912" s="7" t="str">
        <x:f>IF(OR(H912="",I912=""),"",I912-H912)</x:f>
      </x:c>
      <x:c r="K912" s="7" t="str"/>
      <x:c r="L912" s="7" t="str"/>
      <x:c r="M912" s="7" t="str">
        <x:f>IF(L912="","OPEN",IF(OR(NOT(ISNUMBER(H912)),NOT(ISNUMBER(I912)),NOT(ISNUMBER(K912)),ABS(J912)&gt;K912),"FAIL","PASS"))</x:f>
        <x:v>OPEN</x:v>
      </x:c>
    </x:row>
    <x:row r="913">
      <x:c r="B913" s="7" t="str">
        <x:v>CAL-CH-PEA-B-X1-08-1</x:v>
      </x:c>
      <x:c r="C913" s="7" t="str">
        <x:v>CH-PEA-B-X1-08-1</x:v>
      </x:c>
      <x:c r="D913" s="7" t="str">
        <x:v>PEA-B-X1</x:v>
      </x:c>
      <x:c r="E913" s="7" t="str">
        <x:v>BLD-B</x:v>
      </x:c>
      <x:c r="F913" s="7" t="str">
        <x:v>BL-X</x:v>
      </x:c>
      <x:c r="G913" s="7" t="str">
        <x:v>MF-08</x:v>
      </x:c>
      <x:c r="H913" s="7" t="str"/>
      <x:c r="I913" s="7" t="str"/>
      <x:c r="J913" s="7" t="str">
        <x:f>IF(OR(H913="",I913=""),"",I913-H913)</x:f>
      </x:c>
      <x:c r="K913" s="7" t="str"/>
      <x:c r="L913" s="7" t="str"/>
      <x:c r="M913" s="7" t="str">
        <x:f>IF(L913="","OPEN",IF(OR(NOT(ISNUMBER(H913)),NOT(ISNUMBER(I913)),NOT(ISNUMBER(K913)),ABS(J913)&gt;K913),"FAIL","PASS"))</x:f>
        <x:v>OPEN</x:v>
      </x:c>
    </x:row>
    <x:row r="914">
      <x:c r="B914" s="7" t="str">
        <x:v>CAL-CH-PEA-B-X1-08-2</x:v>
      </x:c>
      <x:c r="C914" s="7" t="str">
        <x:v>CH-PEA-B-X1-08-2</x:v>
      </x:c>
      <x:c r="D914" s="7" t="str">
        <x:v>PEA-B-X1</x:v>
      </x:c>
      <x:c r="E914" s="7" t="str">
        <x:v>BLD-B</x:v>
      </x:c>
      <x:c r="F914" s="7" t="str">
        <x:v>BL-X</x:v>
      </x:c>
      <x:c r="G914" s="7" t="str">
        <x:v>MF-08</x:v>
      </x:c>
      <x:c r="H914" s="7" t="str"/>
      <x:c r="I914" s="7" t="str"/>
      <x:c r="J914" s="7" t="str">
        <x:f>IF(OR(H914="",I914=""),"",I914-H914)</x:f>
      </x:c>
      <x:c r="K914" s="7" t="str"/>
      <x:c r="L914" s="7" t="str"/>
      <x:c r="M914" s="7" t="str">
        <x:f>IF(L914="","OPEN",IF(OR(NOT(ISNUMBER(H914)),NOT(ISNUMBER(I914)),NOT(ISNUMBER(K914)),ABS(J914)&gt;K914),"FAIL","PASS"))</x:f>
        <x:v>OPEN</x:v>
      </x:c>
    </x:row>
    <x:row r="915">
      <x:c r="B915" s="7" t="str">
        <x:v>CAL-CH-PEA-B-X1-08-3</x:v>
      </x:c>
      <x:c r="C915" s="7" t="str">
        <x:v>CH-PEA-B-X1-08-3</x:v>
      </x:c>
      <x:c r="D915" s="7" t="str">
        <x:v>PEA-B-X1</x:v>
      </x:c>
      <x:c r="E915" s="7" t="str">
        <x:v>BLD-B</x:v>
      </x:c>
      <x:c r="F915" s="7" t="str">
        <x:v>BL-X</x:v>
      </x:c>
      <x:c r="G915" s="7" t="str">
        <x:v>MF-08</x:v>
      </x:c>
      <x:c r="H915" s="7" t="str"/>
      <x:c r="I915" s="7" t="str"/>
      <x:c r="J915" s="7" t="str">
        <x:f>IF(OR(H915="",I915=""),"",I915-H915)</x:f>
      </x:c>
      <x:c r="K915" s="7" t="str"/>
      <x:c r="L915" s="7" t="str"/>
      <x:c r="M915" s="7" t="str">
        <x:f>IF(L915="","OPEN",IF(OR(NOT(ISNUMBER(H915)),NOT(ISNUMBER(I915)),NOT(ISNUMBER(K915)),ABS(J915)&gt;K915),"FAIL","PASS"))</x:f>
        <x:v>OPEN</x:v>
      </x:c>
    </x:row>
    <x:row r="916">
      <x:c r="B916" s="7" t="str">
        <x:v>CAL-CH-PEA-B-X1-08-4</x:v>
      </x:c>
      <x:c r="C916" s="7" t="str">
        <x:v>CH-PEA-B-X1-08-4</x:v>
      </x:c>
      <x:c r="D916" s="7" t="str">
        <x:v>PEA-B-X1</x:v>
      </x:c>
      <x:c r="E916" s="7" t="str">
        <x:v>BLD-B</x:v>
      </x:c>
      <x:c r="F916" s="7" t="str">
        <x:v>BL-X</x:v>
      </x:c>
      <x:c r="G916" s="7" t="str">
        <x:v>MF-08</x:v>
      </x:c>
      <x:c r="H916" s="7" t="str"/>
      <x:c r="I916" s="7" t="str"/>
      <x:c r="J916" s="7" t="str">
        <x:f>IF(OR(H916="",I916=""),"",I916-H916)</x:f>
      </x:c>
      <x:c r="K916" s="7" t="str"/>
      <x:c r="L916" s="7" t="str"/>
      <x:c r="M916" s="7" t="str">
        <x:f>IF(L916="","OPEN",IF(OR(NOT(ISNUMBER(H916)),NOT(ISNUMBER(I916)),NOT(ISNUMBER(K916)),ABS(J916)&gt;K916),"FAIL","PASS"))</x:f>
        <x:v>OPEN</x:v>
      </x:c>
    </x:row>
    <x:row r="917">
      <x:c r="B917" s="7" t="str">
        <x:v>CAL-CH-PEA-B-X1-08-5</x:v>
      </x:c>
      <x:c r="C917" s="7" t="str">
        <x:v>CH-PEA-B-X1-08-5</x:v>
      </x:c>
      <x:c r="D917" s="7" t="str">
        <x:v>PEA-B-X1</x:v>
      </x:c>
      <x:c r="E917" s="7" t="str">
        <x:v>BLD-B</x:v>
      </x:c>
      <x:c r="F917" s="7" t="str">
        <x:v>BL-X</x:v>
      </x:c>
      <x:c r="G917" s="7" t="str">
        <x:v>MF-08</x:v>
      </x:c>
      <x:c r="H917" s="7" t="str"/>
      <x:c r="I917" s="7" t="str"/>
      <x:c r="J917" s="7" t="str">
        <x:f>IF(OR(H917="",I917=""),"",I917-H917)</x:f>
      </x:c>
      <x:c r="K917" s="7" t="str"/>
      <x:c r="L917" s="7" t="str"/>
      <x:c r="M917" s="7" t="str">
        <x:f>IF(L917="","OPEN",IF(OR(NOT(ISNUMBER(H917)),NOT(ISNUMBER(I917)),NOT(ISNUMBER(K917)),ABS(J917)&gt;K917),"FAIL","PASS"))</x:f>
        <x:v>OPEN</x:v>
      </x:c>
    </x:row>
    <x:row r="918">
      <x:c r="B918" s="7" t="str">
        <x:v>CAL-CH-PEA-B-X1-08-6</x:v>
      </x:c>
      <x:c r="C918" s="7" t="str">
        <x:v>CH-PEA-B-X1-08-6</x:v>
      </x:c>
      <x:c r="D918" s="7" t="str">
        <x:v>PEA-B-X1</x:v>
      </x:c>
      <x:c r="E918" s="7" t="str">
        <x:v>BLD-B</x:v>
      </x:c>
      <x:c r="F918" s="7" t="str">
        <x:v>BL-X</x:v>
      </x:c>
      <x:c r="G918" s="7" t="str">
        <x:v>MF-08</x:v>
      </x:c>
      <x:c r="H918" s="7" t="str"/>
      <x:c r="I918" s="7" t="str"/>
      <x:c r="J918" s="7" t="str">
        <x:f>IF(OR(H918="",I918=""),"",I918-H918)</x:f>
      </x:c>
      <x:c r="K918" s="7" t="str"/>
      <x:c r="L918" s="7" t="str"/>
      <x:c r="M918" s="7" t="str">
        <x:f>IF(L918="","OPEN",IF(OR(NOT(ISNUMBER(H918)),NOT(ISNUMBER(I918)),NOT(ISNUMBER(K918)),ABS(J918)&gt;K918),"FAIL","PASS"))</x:f>
        <x:v>OPEN</x:v>
      </x:c>
    </x:row>
    <x:row r="919">
      <x:c r="B919" s="7" t="str">
        <x:v>CAL-CH-PEA-B-X1-09-1</x:v>
      </x:c>
      <x:c r="C919" s="7" t="str">
        <x:v>CH-PEA-B-X1-09-1</x:v>
      </x:c>
      <x:c r="D919" s="7" t="str">
        <x:v>PEA-B-X1</x:v>
      </x:c>
      <x:c r="E919" s="7" t="str">
        <x:v>BLD-B</x:v>
      </x:c>
      <x:c r="F919" s="7" t="str">
        <x:v>BL-X</x:v>
      </x:c>
      <x:c r="G919" s="7" t="str">
        <x:v>MF-09</x:v>
      </x:c>
      <x:c r="H919" s="7" t="str"/>
      <x:c r="I919" s="7" t="str"/>
      <x:c r="J919" s="7" t="str">
        <x:f>IF(OR(H919="",I919=""),"",I919-H919)</x:f>
      </x:c>
      <x:c r="K919" s="7" t="str"/>
      <x:c r="L919" s="7" t="str"/>
      <x:c r="M919" s="7" t="str">
        <x:f>IF(L919="","OPEN",IF(OR(NOT(ISNUMBER(H919)),NOT(ISNUMBER(I919)),NOT(ISNUMBER(K919)),ABS(J919)&gt;K919),"FAIL","PASS"))</x:f>
        <x:v>OPEN</x:v>
      </x:c>
    </x:row>
    <x:row r="920">
      <x:c r="B920" s="7" t="str">
        <x:v>CAL-CH-PEA-B-X1-09-2</x:v>
      </x:c>
      <x:c r="C920" s="7" t="str">
        <x:v>CH-PEA-B-X1-09-2</x:v>
      </x:c>
      <x:c r="D920" s="7" t="str">
        <x:v>PEA-B-X1</x:v>
      </x:c>
      <x:c r="E920" s="7" t="str">
        <x:v>BLD-B</x:v>
      </x:c>
      <x:c r="F920" s="7" t="str">
        <x:v>BL-X</x:v>
      </x:c>
      <x:c r="G920" s="7" t="str">
        <x:v>MF-09</x:v>
      </x:c>
      <x:c r="H920" s="7" t="str"/>
      <x:c r="I920" s="7" t="str"/>
      <x:c r="J920" s="7" t="str">
        <x:f>IF(OR(H920="",I920=""),"",I920-H920)</x:f>
      </x:c>
      <x:c r="K920" s="7" t="str"/>
      <x:c r="L920" s="7" t="str"/>
      <x:c r="M920" s="7" t="str">
        <x:f>IF(L920="","OPEN",IF(OR(NOT(ISNUMBER(H920)),NOT(ISNUMBER(I920)),NOT(ISNUMBER(K920)),ABS(J920)&gt;K920),"FAIL","PASS"))</x:f>
        <x:v>OPEN</x:v>
      </x:c>
    </x:row>
    <x:row r="921">
      <x:c r="B921" s="7" t="str">
        <x:v>CAL-CH-PEA-B-X1-09-3</x:v>
      </x:c>
      <x:c r="C921" s="7" t="str">
        <x:v>CH-PEA-B-X1-09-3</x:v>
      </x:c>
      <x:c r="D921" s="7" t="str">
        <x:v>PEA-B-X1</x:v>
      </x:c>
      <x:c r="E921" s="7" t="str">
        <x:v>BLD-B</x:v>
      </x:c>
      <x:c r="F921" s="7" t="str">
        <x:v>BL-X</x:v>
      </x:c>
      <x:c r="G921" s="7" t="str">
        <x:v>MF-09</x:v>
      </x:c>
      <x:c r="H921" s="7" t="str"/>
      <x:c r="I921" s="7" t="str"/>
      <x:c r="J921" s="7" t="str">
        <x:f>IF(OR(H921="",I921=""),"",I921-H921)</x:f>
      </x:c>
      <x:c r="K921" s="7" t="str"/>
      <x:c r="L921" s="7" t="str"/>
      <x:c r="M921" s="7" t="str">
        <x:f>IF(L921="","OPEN",IF(OR(NOT(ISNUMBER(H921)),NOT(ISNUMBER(I921)),NOT(ISNUMBER(K921)),ABS(J921)&gt;K921),"FAIL","PASS"))</x:f>
        <x:v>OPEN</x:v>
      </x:c>
    </x:row>
    <x:row r="922">
      <x:c r="B922" s="7" t="str">
        <x:v>CAL-CH-PEA-B-X1-09-4</x:v>
      </x:c>
      <x:c r="C922" s="7" t="str">
        <x:v>CH-PEA-B-X1-09-4</x:v>
      </x:c>
      <x:c r="D922" s="7" t="str">
        <x:v>PEA-B-X1</x:v>
      </x:c>
      <x:c r="E922" s="7" t="str">
        <x:v>BLD-B</x:v>
      </x:c>
      <x:c r="F922" s="7" t="str">
        <x:v>BL-X</x:v>
      </x:c>
      <x:c r="G922" s="7" t="str">
        <x:v>MF-09</x:v>
      </x:c>
      <x:c r="H922" s="7" t="str"/>
      <x:c r="I922" s="7" t="str"/>
      <x:c r="J922" s="7" t="str">
        <x:f>IF(OR(H922="",I922=""),"",I922-H922)</x:f>
      </x:c>
      <x:c r="K922" s="7" t="str"/>
      <x:c r="L922" s="7" t="str"/>
      <x:c r="M922" s="7" t="str">
        <x:f>IF(L922="","OPEN",IF(OR(NOT(ISNUMBER(H922)),NOT(ISNUMBER(I922)),NOT(ISNUMBER(K922)),ABS(J922)&gt;K922),"FAIL","PASS"))</x:f>
        <x:v>OPEN</x:v>
      </x:c>
    </x:row>
    <x:row r="923">
      <x:c r="B923" s="7" t="str">
        <x:v>CAL-CH-PEA-B-X1-09-5</x:v>
      </x:c>
      <x:c r="C923" s="7" t="str">
        <x:v>CH-PEA-B-X1-09-5</x:v>
      </x:c>
      <x:c r="D923" s="7" t="str">
        <x:v>PEA-B-X1</x:v>
      </x:c>
      <x:c r="E923" s="7" t="str">
        <x:v>BLD-B</x:v>
      </x:c>
      <x:c r="F923" s="7" t="str">
        <x:v>BL-X</x:v>
      </x:c>
      <x:c r="G923" s="7" t="str">
        <x:v>MF-09</x:v>
      </x:c>
      <x:c r="H923" s="7" t="str"/>
      <x:c r="I923" s="7" t="str"/>
      <x:c r="J923" s="7" t="str">
        <x:f>IF(OR(H923="",I923=""),"",I923-H923)</x:f>
      </x:c>
      <x:c r="K923" s="7" t="str"/>
      <x:c r="L923" s="7" t="str"/>
      <x:c r="M923" s="7" t="str">
        <x:f>IF(L923="","OPEN",IF(OR(NOT(ISNUMBER(H923)),NOT(ISNUMBER(I923)),NOT(ISNUMBER(K923)),ABS(J923)&gt;K923),"FAIL","PASS"))</x:f>
        <x:v>OPEN</x:v>
      </x:c>
    </x:row>
    <x:row r="924">
      <x:c r="B924" s="7" t="str">
        <x:v>CAL-CH-PEA-B-X1-09-6</x:v>
      </x:c>
      <x:c r="C924" s="7" t="str">
        <x:v>CH-PEA-B-X1-09-6</x:v>
      </x:c>
      <x:c r="D924" s="7" t="str">
        <x:v>PEA-B-X1</x:v>
      </x:c>
      <x:c r="E924" s="7" t="str">
        <x:v>BLD-B</x:v>
      </x:c>
      <x:c r="F924" s="7" t="str">
        <x:v>BL-X</x:v>
      </x:c>
      <x:c r="G924" s="7" t="str">
        <x:v>MF-09</x:v>
      </x:c>
      <x:c r="H924" s="7" t="str"/>
      <x:c r="I924" s="7" t="str"/>
      <x:c r="J924" s="7" t="str">
        <x:f>IF(OR(H924="",I924=""),"",I924-H924)</x:f>
      </x:c>
      <x:c r="K924" s="7" t="str"/>
      <x:c r="L924" s="7" t="str"/>
      <x:c r="M924" s="7" t="str">
        <x:f>IF(L924="","OPEN",IF(OR(NOT(ISNUMBER(H924)),NOT(ISNUMBER(I924)),NOT(ISNUMBER(K924)),ABS(J924)&gt;K924),"FAIL","PASS"))</x:f>
        <x:v>OPEN</x:v>
      </x:c>
    </x:row>
    <x:row r="925">
      <x:c r="B925" s="7" t="str">
        <x:v>CAL-CH-PEA-B-X1-10-1</x:v>
      </x:c>
      <x:c r="C925" s="7" t="str">
        <x:v>CH-PEA-B-X1-10-1</x:v>
      </x:c>
      <x:c r="D925" s="7" t="str">
        <x:v>PEA-B-X1</x:v>
      </x:c>
      <x:c r="E925" s="7" t="str">
        <x:v>BLD-B</x:v>
      </x:c>
      <x:c r="F925" s="7" t="str">
        <x:v>BL-X</x:v>
      </x:c>
      <x:c r="G925" s="7" t="str">
        <x:v>MF-10</x:v>
      </x:c>
      <x:c r="H925" s="7" t="str"/>
      <x:c r="I925" s="7" t="str"/>
      <x:c r="J925" s="7" t="str">
        <x:f>IF(OR(H925="",I925=""),"",I925-H925)</x:f>
      </x:c>
      <x:c r="K925" s="7" t="str"/>
      <x:c r="L925" s="7" t="str"/>
      <x:c r="M925" s="7" t="str">
        <x:f>IF(L925="","OPEN",IF(OR(NOT(ISNUMBER(H925)),NOT(ISNUMBER(I925)),NOT(ISNUMBER(K925)),ABS(J925)&gt;K925),"FAIL","PASS"))</x:f>
        <x:v>OPEN</x:v>
      </x:c>
    </x:row>
    <x:row r="926">
      <x:c r="B926" s="7" t="str">
        <x:v>CAL-CH-PEA-B-X1-10-2</x:v>
      </x:c>
      <x:c r="C926" s="7" t="str">
        <x:v>CH-PEA-B-X1-10-2</x:v>
      </x:c>
      <x:c r="D926" s="7" t="str">
        <x:v>PEA-B-X1</x:v>
      </x:c>
      <x:c r="E926" s="7" t="str">
        <x:v>BLD-B</x:v>
      </x:c>
      <x:c r="F926" s="7" t="str">
        <x:v>BL-X</x:v>
      </x:c>
      <x:c r="G926" s="7" t="str">
        <x:v>MF-10</x:v>
      </x:c>
      <x:c r="H926" s="7" t="str"/>
      <x:c r="I926" s="7" t="str"/>
      <x:c r="J926" s="7" t="str">
        <x:f>IF(OR(H926="",I926=""),"",I926-H926)</x:f>
      </x:c>
      <x:c r="K926" s="7" t="str"/>
      <x:c r="L926" s="7" t="str"/>
      <x:c r="M926" s="7" t="str">
        <x:f>IF(L926="","OPEN",IF(OR(NOT(ISNUMBER(H926)),NOT(ISNUMBER(I926)),NOT(ISNUMBER(K926)),ABS(J926)&gt;K926),"FAIL","PASS"))</x:f>
        <x:v>OPEN</x:v>
      </x:c>
    </x:row>
    <x:row r="927">
      <x:c r="B927" s="7" t="str">
        <x:v>CAL-CH-PEA-B-X1-10-3</x:v>
      </x:c>
      <x:c r="C927" s="7" t="str">
        <x:v>CH-PEA-B-X1-10-3</x:v>
      </x:c>
      <x:c r="D927" s="7" t="str">
        <x:v>PEA-B-X1</x:v>
      </x:c>
      <x:c r="E927" s="7" t="str">
        <x:v>BLD-B</x:v>
      </x:c>
      <x:c r="F927" s="7" t="str">
        <x:v>BL-X</x:v>
      </x:c>
      <x:c r="G927" s="7" t="str">
        <x:v>MF-10</x:v>
      </x:c>
      <x:c r="H927" s="7" t="str"/>
      <x:c r="I927" s="7" t="str"/>
      <x:c r="J927" s="7" t="str">
        <x:f>IF(OR(H927="",I927=""),"",I927-H927)</x:f>
      </x:c>
      <x:c r="K927" s="7" t="str"/>
      <x:c r="L927" s="7" t="str"/>
      <x:c r="M927" s="7" t="str">
        <x:f>IF(L927="","OPEN",IF(OR(NOT(ISNUMBER(H927)),NOT(ISNUMBER(I927)),NOT(ISNUMBER(K927)),ABS(J927)&gt;K927),"FAIL","PASS"))</x:f>
        <x:v>OPEN</x:v>
      </x:c>
    </x:row>
    <x:row r="928">
      <x:c r="B928" s="7" t="str">
        <x:v>CAL-CH-PEA-B-X1-10-4</x:v>
      </x:c>
      <x:c r="C928" s="7" t="str">
        <x:v>CH-PEA-B-X1-10-4</x:v>
      </x:c>
      <x:c r="D928" s="7" t="str">
        <x:v>PEA-B-X1</x:v>
      </x:c>
      <x:c r="E928" s="7" t="str">
        <x:v>BLD-B</x:v>
      </x:c>
      <x:c r="F928" s="7" t="str">
        <x:v>BL-X</x:v>
      </x:c>
      <x:c r="G928" s="7" t="str">
        <x:v>MF-10</x:v>
      </x:c>
      <x:c r="H928" s="7" t="str"/>
      <x:c r="I928" s="7" t="str"/>
      <x:c r="J928" s="7" t="str">
        <x:f>IF(OR(H928="",I928=""),"",I928-H928)</x:f>
      </x:c>
      <x:c r="K928" s="7" t="str"/>
      <x:c r="L928" s="7" t="str"/>
      <x:c r="M928" s="7" t="str">
        <x:f>IF(L928="","OPEN",IF(OR(NOT(ISNUMBER(H928)),NOT(ISNUMBER(I928)),NOT(ISNUMBER(K928)),ABS(J928)&gt;K928),"FAIL","PASS"))</x:f>
        <x:v>OPEN</x:v>
      </x:c>
    </x:row>
    <x:row r="929">
      <x:c r="B929" s="7" t="str">
        <x:v>CAL-CH-PEA-B-X1-10-5</x:v>
      </x:c>
      <x:c r="C929" s="7" t="str">
        <x:v>CH-PEA-B-X1-10-5</x:v>
      </x:c>
      <x:c r="D929" s="7" t="str">
        <x:v>PEA-B-X1</x:v>
      </x:c>
      <x:c r="E929" s="7" t="str">
        <x:v>BLD-B</x:v>
      </x:c>
      <x:c r="F929" s="7" t="str">
        <x:v>BL-X</x:v>
      </x:c>
      <x:c r="G929" s="7" t="str">
        <x:v>MF-10</x:v>
      </x:c>
      <x:c r="H929" s="7" t="str"/>
      <x:c r="I929" s="7" t="str"/>
      <x:c r="J929" s="7" t="str">
        <x:f>IF(OR(H929="",I929=""),"",I929-H929)</x:f>
      </x:c>
      <x:c r="K929" s="7" t="str"/>
      <x:c r="L929" s="7" t="str"/>
      <x:c r="M929" s="7" t="str">
        <x:f>IF(L929="","OPEN",IF(OR(NOT(ISNUMBER(H929)),NOT(ISNUMBER(I929)),NOT(ISNUMBER(K929)),ABS(J929)&gt;K929),"FAIL","PASS"))</x:f>
        <x:v>OPEN</x:v>
      </x:c>
    </x:row>
    <x:row r="930">
      <x:c r="B930" s="7" t="str">
        <x:v>CAL-CH-PEA-B-X1-10-6</x:v>
      </x:c>
      <x:c r="C930" s="7" t="str">
        <x:v>CH-PEA-B-X1-10-6</x:v>
      </x:c>
      <x:c r="D930" s="7" t="str">
        <x:v>PEA-B-X1</x:v>
      </x:c>
      <x:c r="E930" s="7" t="str">
        <x:v>BLD-B</x:v>
      </x:c>
      <x:c r="F930" s="7" t="str">
        <x:v>BL-X</x:v>
      </x:c>
      <x:c r="G930" s="7" t="str">
        <x:v>MF-10</x:v>
      </x:c>
      <x:c r="H930" s="7" t="str"/>
      <x:c r="I930" s="7" t="str"/>
      <x:c r="J930" s="7" t="str">
        <x:f>IF(OR(H930="",I930=""),"",I930-H930)</x:f>
      </x:c>
      <x:c r="K930" s="7" t="str"/>
      <x:c r="L930" s="7" t="str"/>
      <x:c r="M930" s="7" t="str">
        <x:f>IF(L930="","OPEN",IF(OR(NOT(ISNUMBER(H930)),NOT(ISNUMBER(I930)),NOT(ISNUMBER(K930)),ABS(J930)&gt;K930),"FAIL","PASS"))</x:f>
        <x:v>OPEN</x:v>
      </x:c>
    </x:row>
    <x:row r="931">
      <x:c r="B931" s="7" t="str">
        <x:v>CAL-CH-PEA-B-X1-11-1</x:v>
      </x:c>
      <x:c r="C931" s="7" t="str">
        <x:v>CH-PEA-B-X1-11-1</x:v>
      </x:c>
      <x:c r="D931" s="7" t="str">
        <x:v>PEA-B-X1</x:v>
      </x:c>
      <x:c r="E931" s="7" t="str">
        <x:v>BLD-B</x:v>
      </x:c>
      <x:c r="F931" s="7" t="str">
        <x:v>BL-X</x:v>
      </x:c>
      <x:c r="G931" s="7" t="str">
        <x:v>MF-11</x:v>
      </x:c>
      <x:c r="H931" s="7" t="str"/>
      <x:c r="I931" s="7" t="str"/>
      <x:c r="J931" s="7" t="str">
        <x:f>IF(OR(H931="",I931=""),"",I931-H931)</x:f>
      </x:c>
      <x:c r="K931" s="7" t="str"/>
      <x:c r="L931" s="7" t="str"/>
      <x:c r="M931" s="7" t="str">
        <x:f>IF(L931="","OPEN",IF(OR(NOT(ISNUMBER(H931)),NOT(ISNUMBER(I931)),NOT(ISNUMBER(K931)),ABS(J931)&gt;K931),"FAIL","PASS"))</x:f>
        <x:v>OPEN</x:v>
      </x:c>
    </x:row>
    <x:row r="932">
      <x:c r="B932" s="7" t="str">
        <x:v>CAL-CH-PEA-B-X1-11-2</x:v>
      </x:c>
      <x:c r="C932" s="7" t="str">
        <x:v>CH-PEA-B-X1-11-2</x:v>
      </x:c>
      <x:c r="D932" s="7" t="str">
        <x:v>PEA-B-X1</x:v>
      </x:c>
      <x:c r="E932" s="7" t="str">
        <x:v>BLD-B</x:v>
      </x:c>
      <x:c r="F932" s="7" t="str">
        <x:v>BL-X</x:v>
      </x:c>
      <x:c r="G932" s="7" t="str">
        <x:v>MF-11</x:v>
      </x:c>
      <x:c r="H932" s="7" t="str"/>
      <x:c r="I932" s="7" t="str"/>
      <x:c r="J932" s="7" t="str">
        <x:f>IF(OR(H932="",I932=""),"",I932-H932)</x:f>
      </x:c>
      <x:c r="K932" s="7" t="str"/>
      <x:c r="L932" s="7" t="str"/>
      <x:c r="M932" s="7" t="str">
        <x:f>IF(L932="","OPEN",IF(OR(NOT(ISNUMBER(H932)),NOT(ISNUMBER(I932)),NOT(ISNUMBER(K932)),ABS(J932)&gt;K932),"FAIL","PASS"))</x:f>
        <x:v>OPEN</x:v>
      </x:c>
    </x:row>
    <x:row r="933">
      <x:c r="B933" s="7" t="str">
        <x:v>CAL-CH-PEA-B-X1-11-3</x:v>
      </x:c>
      <x:c r="C933" s="7" t="str">
        <x:v>CH-PEA-B-X1-11-3</x:v>
      </x:c>
      <x:c r="D933" s="7" t="str">
        <x:v>PEA-B-X1</x:v>
      </x:c>
      <x:c r="E933" s="7" t="str">
        <x:v>BLD-B</x:v>
      </x:c>
      <x:c r="F933" s="7" t="str">
        <x:v>BL-X</x:v>
      </x:c>
      <x:c r="G933" s="7" t="str">
        <x:v>MF-11</x:v>
      </x:c>
      <x:c r="H933" s="7" t="str"/>
      <x:c r="I933" s="7" t="str"/>
      <x:c r="J933" s="7" t="str">
        <x:f>IF(OR(H933="",I933=""),"",I933-H933)</x:f>
      </x:c>
      <x:c r="K933" s="7" t="str"/>
      <x:c r="L933" s="7" t="str"/>
      <x:c r="M933" s="7" t="str">
        <x:f>IF(L933="","OPEN",IF(OR(NOT(ISNUMBER(H933)),NOT(ISNUMBER(I933)),NOT(ISNUMBER(K933)),ABS(J933)&gt;K933),"FAIL","PASS"))</x:f>
        <x:v>OPEN</x:v>
      </x:c>
    </x:row>
    <x:row r="934">
      <x:c r="B934" s="7" t="str">
        <x:v>CAL-CH-PEA-B-X1-11-4</x:v>
      </x:c>
      <x:c r="C934" s="7" t="str">
        <x:v>CH-PEA-B-X1-11-4</x:v>
      </x:c>
      <x:c r="D934" s="7" t="str">
        <x:v>PEA-B-X1</x:v>
      </x:c>
      <x:c r="E934" s="7" t="str">
        <x:v>BLD-B</x:v>
      </x:c>
      <x:c r="F934" s="7" t="str">
        <x:v>BL-X</x:v>
      </x:c>
      <x:c r="G934" s="7" t="str">
        <x:v>MF-11</x:v>
      </x:c>
      <x:c r="H934" s="7" t="str"/>
      <x:c r="I934" s="7" t="str"/>
      <x:c r="J934" s="7" t="str">
        <x:f>IF(OR(H934="",I934=""),"",I934-H934)</x:f>
      </x:c>
      <x:c r="K934" s="7" t="str"/>
      <x:c r="L934" s="7" t="str"/>
      <x:c r="M934" s="7" t="str">
        <x:f>IF(L934="","OPEN",IF(OR(NOT(ISNUMBER(H934)),NOT(ISNUMBER(I934)),NOT(ISNUMBER(K934)),ABS(J934)&gt;K934),"FAIL","PASS"))</x:f>
        <x:v>OPEN</x:v>
      </x:c>
    </x:row>
    <x:row r="935">
      <x:c r="B935" s="7" t="str">
        <x:v>CAL-CH-PEA-B-X1-11-5</x:v>
      </x:c>
      <x:c r="C935" s="7" t="str">
        <x:v>CH-PEA-B-X1-11-5</x:v>
      </x:c>
      <x:c r="D935" s="7" t="str">
        <x:v>PEA-B-X1</x:v>
      </x:c>
      <x:c r="E935" s="7" t="str">
        <x:v>BLD-B</x:v>
      </x:c>
      <x:c r="F935" s="7" t="str">
        <x:v>BL-X</x:v>
      </x:c>
      <x:c r="G935" s="7" t="str">
        <x:v>MF-11</x:v>
      </x:c>
      <x:c r="H935" s="7" t="str"/>
      <x:c r="I935" s="7" t="str"/>
      <x:c r="J935" s="7" t="str">
        <x:f>IF(OR(H935="",I935=""),"",I935-H935)</x:f>
      </x:c>
      <x:c r="K935" s="7" t="str"/>
      <x:c r="L935" s="7" t="str"/>
      <x:c r="M935" s="7" t="str">
        <x:f>IF(L935="","OPEN",IF(OR(NOT(ISNUMBER(H935)),NOT(ISNUMBER(I935)),NOT(ISNUMBER(K935)),ABS(J935)&gt;K935),"FAIL","PASS"))</x:f>
        <x:v>OPEN</x:v>
      </x:c>
    </x:row>
    <x:row r="936">
      <x:c r="B936" s="7" t="str">
        <x:v>CAL-CH-PEA-B-X1-11-6</x:v>
      </x:c>
      <x:c r="C936" s="7" t="str">
        <x:v>CH-PEA-B-X1-11-6</x:v>
      </x:c>
      <x:c r="D936" s="7" t="str">
        <x:v>PEA-B-X1</x:v>
      </x:c>
      <x:c r="E936" s="7" t="str">
        <x:v>BLD-B</x:v>
      </x:c>
      <x:c r="F936" s="7" t="str">
        <x:v>BL-X</x:v>
      </x:c>
      <x:c r="G936" s="7" t="str">
        <x:v>MF-11</x:v>
      </x:c>
      <x:c r="H936" s="7" t="str"/>
      <x:c r="I936" s="7" t="str"/>
      <x:c r="J936" s="7" t="str">
        <x:f>IF(OR(H936="",I936=""),"",I936-H936)</x:f>
      </x:c>
      <x:c r="K936" s="7" t="str"/>
      <x:c r="L936" s="7" t="str"/>
      <x:c r="M936" s="7" t="str">
        <x:f>IF(L936="","OPEN",IF(OR(NOT(ISNUMBER(H936)),NOT(ISNUMBER(I936)),NOT(ISNUMBER(K936)),ABS(J936)&gt;K936),"FAIL","PASS"))</x:f>
        <x:v>OPEN</x:v>
      </x:c>
    </x:row>
    <x:row r="937">
      <x:c r="B937" s="7" t="str">
        <x:v>CAL-CH-PEA-B-X1-12-1</x:v>
      </x:c>
      <x:c r="C937" s="7" t="str">
        <x:v>CH-PEA-B-X1-12-1</x:v>
      </x:c>
      <x:c r="D937" s="7" t="str">
        <x:v>PEA-B-X1</x:v>
      </x:c>
      <x:c r="E937" s="7" t="str">
        <x:v>BLD-B</x:v>
      </x:c>
      <x:c r="F937" s="7" t="str">
        <x:v>BL-X</x:v>
      </x:c>
      <x:c r="G937" s="7" t="str">
        <x:v>MF-12</x:v>
      </x:c>
      <x:c r="H937" s="7" t="str"/>
      <x:c r="I937" s="7" t="str"/>
      <x:c r="J937" s="7" t="str">
        <x:f>IF(OR(H937="",I937=""),"",I937-H937)</x:f>
      </x:c>
      <x:c r="K937" s="7" t="str"/>
      <x:c r="L937" s="7" t="str"/>
      <x:c r="M937" s="7" t="str">
        <x:f>IF(L937="","OPEN",IF(OR(NOT(ISNUMBER(H937)),NOT(ISNUMBER(I937)),NOT(ISNUMBER(K937)),ABS(J937)&gt;K937),"FAIL","PASS"))</x:f>
        <x:v>OPEN</x:v>
      </x:c>
    </x:row>
    <x:row r="938">
      <x:c r="B938" s="7" t="str">
        <x:v>CAL-CH-PEA-B-X1-12-2</x:v>
      </x:c>
      <x:c r="C938" s="7" t="str">
        <x:v>CH-PEA-B-X1-12-2</x:v>
      </x:c>
      <x:c r="D938" s="7" t="str">
        <x:v>PEA-B-X1</x:v>
      </x:c>
      <x:c r="E938" s="7" t="str">
        <x:v>BLD-B</x:v>
      </x:c>
      <x:c r="F938" s="7" t="str">
        <x:v>BL-X</x:v>
      </x:c>
      <x:c r="G938" s="7" t="str">
        <x:v>MF-12</x:v>
      </x:c>
      <x:c r="H938" s="7" t="str"/>
      <x:c r="I938" s="7" t="str"/>
      <x:c r="J938" s="7" t="str">
        <x:f>IF(OR(H938="",I938=""),"",I938-H938)</x:f>
      </x:c>
      <x:c r="K938" s="7" t="str"/>
      <x:c r="L938" s="7" t="str"/>
      <x:c r="M938" s="7" t="str">
        <x:f>IF(L938="","OPEN",IF(OR(NOT(ISNUMBER(H938)),NOT(ISNUMBER(I938)),NOT(ISNUMBER(K938)),ABS(J938)&gt;K938),"FAIL","PASS"))</x:f>
        <x:v>OPEN</x:v>
      </x:c>
    </x:row>
    <x:row r="939">
      <x:c r="B939" s="7" t="str">
        <x:v>CAL-CH-PEA-B-X1-12-3</x:v>
      </x:c>
      <x:c r="C939" s="7" t="str">
        <x:v>CH-PEA-B-X1-12-3</x:v>
      </x:c>
      <x:c r="D939" s="7" t="str">
        <x:v>PEA-B-X1</x:v>
      </x:c>
      <x:c r="E939" s="7" t="str">
        <x:v>BLD-B</x:v>
      </x:c>
      <x:c r="F939" s="7" t="str">
        <x:v>BL-X</x:v>
      </x:c>
      <x:c r="G939" s="7" t="str">
        <x:v>MF-12</x:v>
      </x:c>
      <x:c r="H939" s="7" t="str"/>
      <x:c r="I939" s="7" t="str"/>
      <x:c r="J939" s="7" t="str">
        <x:f>IF(OR(H939="",I939=""),"",I939-H939)</x:f>
      </x:c>
      <x:c r="K939" s="7" t="str"/>
      <x:c r="L939" s="7" t="str"/>
      <x:c r="M939" s="7" t="str">
        <x:f>IF(L939="","OPEN",IF(OR(NOT(ISNUMBER(H939)),NOT(ISNUMBER(I939)),NOT(ISNUMBER(K939)),ABS(J939)&gt;K939),"FAIL","PASS"))</x:f>
        <x:v>OPEN</x:v>
      </x:c>
    </x:row>
    <x:row r="940">
      <x:c r="B940" s="7" t="str">
        <x:v>CAL-CH-PEA-B-X1-12-4</x:v>
      </x:c>
      <x:c r="C940" s="7" t="str">
        <x:v>CH-PEA-B-X1-12-4</x:v>
      </x:c>
      <x:c r="D940" s="7" t="str">
        <x:v>PEA-B-X1</x:v>
      </x:c>
      <x:c r="E940" s="7" t="str">
        <x:v>BLD-B</x:v>
      </x:c>
      <x:c r="F940" s="7" t="str">
        <x:v>BL-X</x:v>
      </x:c>
      <x:c r="G940" s="7" t="str">
        <x:v>MF-12</x:v>
      </x:c>
      <x:c r="H940" s="7" t="str"/>
      <x:c r="I940" s="7" t="str"/>
      <x:c r="J940" s="7" t="str">
        <x:f>IF(OR(H940="",I940=""),"",I940-H940)</x:f>
      </x:c>
      <x:c r="K940" s="7" t="str"/>
      <x:c r="L940" s="7" t="str"/>
      <x:c r="M940" s="7" t="str">
        <x:f>IF(L940="","OPEN",IF(OR(NOT(ISNUMBER(H940)),NOT(ISNUMBER(I940)),NOT(ISNUMBER(K940)),ABS(J940)&gt;K940),"FAIL","PASS"))</x:f>
        <x:v>OPEN</x:v>
      </x:c>
    </x:row>
    <x:row r="941">
      <x:c r="B941" s="7" t="str">
        <x:v>CAL-CH-PEA-B-X1-12-5</x:v>
      </x:c>
      <x:c r="C941" s="7" t="str">
        <x:v>CH-PEA-B-X1-12-5</x:v>
      </x:c>
      <x:c r="D941" s="7" t="str">
        <x:v>PEA-B-X1</x:v>
      </x:c>
      <x:c r="E941" s="7" t="str">
        <x:v>BLD-B</x:v>
      </x:c>
      <x:c r="F941" s="7" t="str">
        <x:v>BL-X</x:v>
      </x:c>
      <x:c r="G941" s="7" t="str">
        <x:v>MF-12</x:v>
      </x:c>
      <x:c r="H941" s="7" t="str"/>
      <x:c r="I941" s="7" t="str"/>
      <x:c r="J941" s="7" t="str">
        <x:f>IF(OR(H941="",I941=""),"",I941-H941)</x:f>
      </x:c>
      <x:c r="K941" s="7" t="str"/>
      <x:c r="L941" s="7" t="str"/>
      <x:c r="M941" s="7" t="str">
        <x:f>IF(L941="","OPEN",IF(OR(NOT(ISNUMBER(H941)),NOT(ISNUMBER(I941)),NOT(ISNUMBER(K941)),ABS(J941)&gt;K941),"FAIL","PASS"))</x:f>
        <x:v>OPEN</x:v>
      </x:c>
    </x:row>
    <x:row r="942">
      <x:c r="B942" s="7" t="str">
        <x:v>CAL-CH-PEA-B-X1-12-6</x:v>
      </x:c>
      <x:c r="C942" s="7" t="str">
        <x:v>CH-PEA-B-X1-12-6</x:v>
      </x:c>
      <x:c r="D942" s="7" t="str">
        <x:v>PEA-B-X1</x:v>
      </x:c>
      <x:c r="E942" s="7" t="str">
        <x:v>BLD-B</x:v>
      </x:c>
      <x:c r="F942" s="7" t="str">
        <x:v>BL-X</x:v>
      </x:c>
      <x:c r="G942" s="7" t="str">
        <x:v>MF-12</x:v>
      </x:c>
      <x:c r="H942" s="7" t="str"/>
      <x:c r="I942" s="7" t="str"/>
      <x:c r="J942" s="7" t="str">
        <x:f>IF(OR(H942="",I942=""),"",I942-H942)</x:f>
      </x:c>
      <x:c r="K942" s="7" t="str"/>
      <x:c r="L942" s="7" t="str"/>
      <x:c r="M942" s="7" t="str">
        <x:f>IF(L942="","OPEN",IF(OR(NOT(ISNUMBER(H942)),NOT(ISNUMBER(I942)),NOT(ISNUMBER(K942)),ABS(J942)&gt;K942),"FAIL","PASS"))</x:f>
        <x:v>OPEN</x:v>
      </x:c>
    </x:row>
    <x:row r="943">
      <x:c r="B943" s="7" t="str">
        <x:v>CAL-CH-PEA-B-X1-13-1</x:v>
      </x:c>
      <x:c r="C943" s="7" t="str">
        <x:v>CH-PEA-B-X1-13-1</x:v>
      </x:c>
      <x:c r="D943" s="7" t="str">
        <x:v>PEA-B-X1</x:v>
      </x:c>
      <x:c r="E943" s="7" t="str">
        <x:v>BLD-B</x:v>
      </x:c>
      <x:c r="F943" s="7" t="str">
        <x:v>BL-X</x:v>
      </x:c>
      <x:c r="G943" s="7" t="str">
        <x:v>MF-13</x:v>
      </x:c>
      <x:c r="H943" s="7" t="str"/>
      <x:c r="I943" s="7" t="str"/>
      <x:c r="J943" s="7" t="str">
        <x:f>IF(OR(H943="",I943=""),"",I943-H943)</x:f>
      </x:c>
      <x:c r="K943" s="7" t="str"/>
      <x:c r="L943" s="7" t="str"/>
      <x:c r="M943" s="7" t="str">
        <x:f>IF(L943="","OPEN",IF(OR(NOT(ISNUMBER(H943)),NOT(ISNUMBER(I943)),NOT(ISNUMBER(K943)),ABS(J943)&gt;K943),"FAIL","PASS"))</x:f>
        <x:v>OPEN</x:v>
      </x:c>
    </x:row>
    <x:row r="944">
      <x:c r="B944" s="7" t="str">
        <x:v>CAL-CH-PEA-B-X1-13-2</x:v>
      </x:c>
      <x:c r="C944" s="7" t="str">
        <x:v>CH-PEA-B-X1-13-2</x:v>
      </x:c>
      <x:c r="D944" s="7" t="str">
        <x:v>PEA-B-X1</x:v>
      </x:c>
      <x:c r="E944" s="7" t="str">
        <x:v>BLD-B</x:v>
      </x:c>
      <x:c r="F944" s="7" t="str">
        <x:v>BL-X</x:v>
      </x:c>
      <x:c r="G944" s="7" t="str">
        <x:v>MF-13</x:v>
      </x:c>
      <x:c r="H944" s="7" t="str"/>
      <x:c r="I944" s="7" t="str"/>
      <x:c r="J944" s="7" t="str">
        <x:f>IF(OR(H944="",I944=""),"",I944-H944)</x:f>
      </x:c>
      <x:c r="K944" s="7" t="str"/>
      <x:c r="L944" s="7" t="str"/>
      <x:c r="M944" s="7" t="str">
        <x:f>IF(L944="","OPEN",IF(OR(NOT(ISNUMBER(H944)),NOT(ISNUMBER(I944)),NOT(ISNUMBER(K944)),ABS(J944)&gt;K944),"FAIL","PASS"))</x:f>
        <x:v>OPEN</x:v>
      </x:c>
    </x:row>
    <x:row r="945">
      <x:c r="B945" s="7" t="str">
        <x:v>CAL-CH-PEA-B-X1-13-3</x:v>
      </x:c>
      <x:c r="C945" s="7" t="str">
        <x:v>CH-PEA-B-X1-13-3</x:v>
      </x:c>
      <x:c r="D945" s="7" t="str">
        <x:v>PEA-B-X1</x:v>
      </x:c>
      <x:c r="E945" s="7" t="str">
        <x:v>BLD-B</x:v>
      </x:c>
      <x:c r="F945" s="7" t="str">
        <x:v>BL-X</x:v>
      </x:c>
      <x:c r="G945" s="7" t="str">
        <x:v>MF-13</x:v>
      </x:c>
      <x:c r="H945" s="7" t="str"/>
      <x:c r="I945" s="7" t="str"/>
      <x:c r="J945" s="7" t="str">
        <x:f>IF(OR(H945="",I945=""),"",I945-H945)</x:f>
      </x:c>
      <x:c r="K945" s="7" t="str"/>
      <x:c r="L945" s="7" t="str"/>
      <x:c r="M945" s="7" t="str">
        <x:f>IF(L945="","OPEN",IF(OR(NOT(ISNUMBER(H945)),NOT(ISNUMBER(I945)),NOT(ISNUMBER(K945)),ABS(J945)&gt;K945),"FAIL","PASS"))</x:f>
        <x:v>OPEN</x:v>
      </x:c>
    </x:row>
    <x:row r="946">
      <x:c r="B946" s="7" t="str">
        <x:v>CAL-CH-PEA-B-X1-13-4</x:v>
      </x:c>
      <x:c r="C946" s="7" t="str">
        <x:v>CH-PEA-B-X1-13-4</x:v>
      </x:c>
      <x:c r="D946" s="7" t="str">
        <x:v>PEA-B-X1</x:v>
      </x:c>
      <x:c r="E946" s="7" t="str">
        <x:v>BLD-B</x:v>
      </x:c>
      <x:c r="F946" s="7" t="str">
        <x:v>BL-X</x:v>
      </x:c>
      <x:c r="G946" s="7" t="str">
        <x:v>MF-13</x:v>
      </x:c>
      <x:c r="H946" s="7" t="str"/>
      <x:c r="I946" s="7" t="str"/>
      <x:c r="J946" s="7" t="str">
        <x:f>IF(OR(H946="",I946=""),"",I946-H946)</x:f>
      </x:c>
      <x:c r="K946" s="7" t="str"/>
      <x:c r="L946" s="7" t="str"/>
      <x:c r="M946" s="7" t="str">
        <x:f>IF(L946="","OPEN",IF(OR(NOT(ISNUMBER(H946)),NOT(ISNUMBER(I946)),NOT(ISNUMBER(K946)),ABS(J946)&gt;K946),"FAIL","PASS"))</x:f>
        <x:v>OPEN</x:v>
      </x:c>
    </x:row>
    <x:row r="947">
      <x:c r="B947" s="7" t="str">
        <x:v>CAL-CH-PEA-B-X1-13-5</x:v>
      </x:c>
      <x:c r="C947" s="7" t="str">
        <x:v>CH-PEA-B-X1-13-5</x:v>
      </x:c>
      <x:c r="D947" s="7" t="str">
        <x:v>PEA-B-X1</x:v>
      </x:c>
      <x:c r="E947" s="7" t="str">
        <x:v>BLD-B</x:v>
      </x:c>
      <x:c r="F947" s="7" t="str">
        <x:v>BL-X</x:v>
      </x:c>
      <x:c r="G947" s="7" t="str">
        <x:v>MF-13</x:v>
      </x:c>
      <x:c r="H947" s="7" t="str"/>
      <x:c r="I947" s="7" t="str"/>
      <x:c r="J947" s="7" t="str">
        <x:f>IF(OR(H947="",I947=""),"",I947-H947)</x:f>
      </x:c>
      <x:c r="K947" s="7" t="str"/>
      <x:c r="L947" s="7" t="str"/>
      <x:c r="M947" s="7" t="str">
        <x:f>IF(L947="","OPEN",IF(OR(NOT(ISNUMBER(H947)),NOT(ISNUMBER(I947)),NOT(ISNUMBER(K947)),ABS(J947)&gt;K947),"FAIL","PASS"))</x:f>
        <x:v>OPEN</x:v>
      </x:c>
    </x:row>
    <x:row r="948">
      <x:c r="B948" s="7" t="str">
        <x:v>CAL-CH-PEA-B-X1-13-6</x:v>
      </x:c>
      <x:c r="C948" s="7" t="str">
        <x:v>CH-PEA-B-X1-13-6</x:v>
      </x:c>
      <x:c r="D948" s="7" t="str">
        <x:v>PEA-B-X1</x:v>
      </x:c>
      <x:c r="E948" s="7" t="str">
        <x:v>BLD-B</x:v>
      </x:c>
      <x:c r="F948" s="7" t="str">
        <x:v>BL-X</x:v>
      </x:c>
      <x:c r="G948" s="7" t="str">
        <x:v>MF-13</x:v>
      </x:c>
      <x:c r="H948" s="7" t="str"/>
      <x:c r="I948" s="7" t="str"/>
      <x:c r="J948" s="7" t="str">
        <x:f>IF(OR(H948="",I948=""),"",I948-H948)</x:f>
      </x:c>
      <x:c r="K948" s="7" t="str"/>
      <x:c r="L948" s="7" t="str"/>
      <x:c r="M948" s="7" t="str">
        <x:f>IF(L948="","OPEN",IF(OR(NOT(ISNUMBER(H948)),NOT(ISNUMBER(I948)),NOT(ISNUMBER(K948)),ABS(J948)&gt;K948),"FAIL","PASS"))</x:f>
        <x:v>OPEN</x:v>
      </x:c>
    </x:row>
    <x:row r="949">
      <x:c r="B949" s="7" t="str">
        <x:v>CAL-CH-PEA-B-X1-14-1</x:v>
      </x:c>
      <x:c r="C949" s="7" t="str">
        <x:v>CH-PEA-B-X1-14-1</x:v>
      </x:c>
      <x:c r="D949" s="7" t="str">
        <x:v>PEA-B-X1</x:v>
      </x:c>
      <x:c r="E949" s="7" t="str">
        <x:v>BLD-B</x:v>
      </x:c>
      <x:c r="F949" s="7" t="str">
        <x:v>BL-X</x:v>
      </x:c>
      <x:c r="G949" s="7" t="str">
        <x:v>MF-14</x:v>
      </x:c>
      <x:c r="H949" s="7" t="str"/>
      <x:c r="I949" s="7" t="str"/>
      <x:c r="J949" s="7" t="str">
        <x:f>IF(OR(H949="",I949=""),"",I949-H949)</x:f>
      </x:c>
      <x:c r="K949" s="7" t="str"/>
      <x:c r="L949" s="7" t="str"/>
      <x:c r="M949" s="7" t="str">
        <x:f>IF(L949="","OPEN",IF(OR(NOT(ISNUMBER(H949)),NOT(ISNUMBER(I949)),NOT(ISNUMBER(K949)),ABS(J949)&gt;K949),"FAIL","PASS"))</x:f>
        <x:v>OPEN</x:v>
      </x:c>
    </x:row>
    <x:row r="950">
      <x:c r="B950" s="7" t="str">
        <x:v>CAL-CH-PEA-B-X1-14-2</x:v>
      </x:c>
      <x:c r="C950" s="7" t="str">
        <x:v>CH-PEA-B-X1-14-2</x:v>
      </x:c>
      <x:c r="D950" s="7" t="str">
        <x:v>PEA-B-X1</x:v>
      </x:c>
      <x:c r="E950" s="7" t="str">
        <x:v>BLD-B</x:v>
      </x:c>
      <x:c r="F950" s="7" t="str">
        <x:v>BL-X</x:v>
      </x:c>
      <x:c r="G950" s="7" t="str">
        <x:v>MF-14</x:v>
      </x:c>
      <x:c r="H950" s="7" t="str"/>
      <x:c r="I950" s="7" t="str"/>
      <x:c r="J950" s="7" t="str">
        <x:f>IF(OR(H950="",I950=""),"",I950-H950)</x:f>
      </x:c>
      <x:c r="K950" s="7" t="str"/>
      <x:c r="L950" s="7" t="str"/>
      <x:c r="M950" s="7" t="str">
        <x:f>IF(L950="","OPEN",IF(OR(NOT(ISNUMBER(H950)),NOT(ISNUMBER(I950)),NOT(ISNUMBER(K950)),ABS(J950)&gt;K950),"FAIL","PASS"))</x:f>
        <x:v>OPEN</x:v>
      </x:c>
    </x:row>
    <x:row r="951">
      <x:c r="B951" s="7" t="str">
        <x:v>CAL-CH-PEA-B-X1-14-3</x:v>
      </x:c>
      <x:c r="C951" s="7" t="str">
        <x:v>CH-PEA-B-X1-14-3</x:v>
      </x:c>
      <x:c r="D951" s="7" t="str">
        <x:v>PEA-B-X1</x:v>
      </x:c>
      <x:c r="E951" s="7" t="str">
        <x:v>BLD-B</x:v>
      </x:c>
      <x:c r="F951" s="7" t="str">
        <x:v>BL-X</x:v>
      </x:c>
      <x:c r="G951" s="7" t="str">
        <x:v>MF-14</x:v>
      </x:c>
      <x:c r="H951" s="7" t="str"/>
      <x:c r="I951" s="7" t="str"/>
      <x:c r="J951" s="7" t="str">
        <x:f>IF(OR(H951="",I951=""),"",I951-H951)</x:f>
      </x:c>
      <x:c r="K951" s="7" t="str"/>
      <x:c r="L951" s="7" t="str"/>
      <x:c r="M951" s="7" t="str">
        <x:f>IF(L951="","OPEN",IF(OR(NOT(ISNUMBER(H951)),NOT(ISNUMBER(I951)),NOT(ISNUMBER(K951)),ABS(J951)&gt;K951),"FAIL","PASS"))</x:f>
        <x:v>OPEN</x:v>
      </x:c>
    </x:row>
    <x:row r="952">
      <x:c r="B952" s="7" t="str">
        <x:v>CAL-CH-PEA-B-X1-14-4</x:v>
      </x:c>
      <x:c r="C952" s="7" t="str">
        <x:v>CH-PEA-B-X1-14-4</x:v>
      </x:c>
      <x:c r="D952" s="7" t="str">
        <x:v>PEA-B-X1</x:v>
      </x:c>
      <x:c r="E952" s="7" t="str">
        <x:v>BLD-B</x:v>
      </x:c>
      <x:c r="F952" s="7" t="str">
        <x:v>BL-X</x:v>
      </x:c>
      <x:c r="G952" s="7" t="str">
        <x:v>MF-14</x:v>
      </x:c>
      <x:c r="H952" s="7" t="str"/>
      <x:c r="I952" s="7" t="str"/>
      <x:c r="J952" s="7" t="str">
        <x:f>IF(OR(H952="",I952=""),"",I952-H952)</x:f>
      </x:c>
      <x:c r="K952" s="7" t="str"/>
      <x:c r="L952" s="7" t="str"/>
      <x:c r="M952" s="7" t="str">
        <x:f>IF(L952="","OPEN",IF(OR(NOT(ISNUMBER(H952)),NOT(ISNUMBER(I952)),NOT(ISNUMBER(K952)),ABS(J952)&gt;K952),"FAIL","PASS"))</x:f>
        <x:v>OPEN</x:v>
      </x:c>
    </x:row>
    <x:row r="953">
      <x:c r="B953" s="7" t="str">
        <x:v>CAL-CH-PEA-B-X1-14-5</x:v>
      </x:c>
      <x:c r="C953" s="7" t="str">
        <x:v>CH-PEA-B-X1-14-5</x:v>
      </x:c>
      <x:c r="D953" s="7" t="str">
        <x:v>PEA-B-X1</x:v>
      </x:c>
      <x:c r="E953" s="7" t="str">
        <x:v>BLD-B</x:v>
      </x:c>
      <x:c r="F953" s="7" t="str">
        <x:v>BL-X</x:v>
      </x:c>
      <x:c r="G953" s="7" t="str">
        <x:v>MF-14</x:v>
      </x:c>
      <x:c r="H953" s="7" t="str"/>
      <x:c r="I953" s="7" t="str"/>
      <x:c r="J953" s="7" t="str">
        <x:f>IF(OR(H953="",I953=""),"",I953-H953)</x:f>
      </x:c>
      <x:c r="K953" s="7" t="str"/>
      <x:c r="L953" s="7" t="str"/>
      <x:c r="M953" s="7" t="str">
        <x:f>IF(L953="","OPEN",IF(OR(NOT(ISNUMBER(H953)),NOT(ISNUMBER(I953)),NOT(ISNUMBER(K953)),ABS(J953)&gt;K953),"FAIL","PASS"))</x:f>
        <x:v>OPEN</x:v>
      </x:c>
    </x:row>
    <x:row r="954">
      <x:c r="B954" s="7" t="str">
        <x:v>CAL-CH-PEA-B-X1-14-6</x:v>
      </x:c>
      <x:c r="C954" s="7" t="str">
        <x:v>CH-PEA-B-X1-14-6</x:v>
      </x:c>
      <x:c r="D954" s="7" t="str">
        <x:v>PEA-B-X1</x:v>
      </x:c>
      <x:c r="E954" s="7" t="str">
        <x:v>BLD-B</x:v>
      </x:c>
      <x:c r="F954" s="7" t="str">
        <x:v>BL-X</x:v>
      </x:c>
      <x:c r="G954" s="7" t="str">
        <x:v>MF-14</x:v>
      </x:c>
      <x:c r="H954" s="7" t="str"/>
      <x:c r="I954" s="7" t="str"/>
      <x:c r="J954" s="7" t="str">
        <x:f>IF(OR(H954="",I954=""),"",I954-H954)</x:f>
      </x:c>
      <x:c r="K954" s="7" t="str"/>
      <x:c r="L954" s="7" t="str"/>
      <x:c r="M954" s="7" t="str">
        <x:f>IF(L954="","OPEN",IF(OR(NOT(ISNUMBER(H954)),NOT(ISNUMBER(I954)),NOT(ISNUMBER(K954)),ABS(J954)&gt;K954),"FAIL","PASS"))</x:f>
        <x:v>OPEN</x:v>
      </x:c>
    </x:row>
    <x:row r="955">
      <x:c r="B955" s="7" t="str">
        <x:v>CAL-CH-PEA-B-X1-15-1</x:v>
      </x:c>
      <x:c r="C955" s="7" t="str">
        <x:v>CH-PEA-B-X1-15-1</x:v>
      </x:c>
      <x:c r="D955" s="7" t="str">
        <x:v>PEA-B-X1</x:v>
      </x:c>
      <x:c r="E955" s="7" t="str">
        <x:v>BLD-B</x:v>
      </x:c>
      <x:c r="F955" s="7" t="str">
        <x:v>BL-X</x:v>
      </x:c>
      <x:c r="G955" s="7" t="str">
        <x:v>MF-15</x:v>
      </x:c>
      <x:c r="H955" s="7" t="str"/>
      <x:c r="I955" s="7" t="str"/>
      <x:c r="J955" s="7" t="str">
        <x:f>IF(OR(H955="",I955=""),"",I955-H955)</x:f>
      </x:c>
      <x:c r="K955" s="7" t="str"/>
      <x:c r="L955" s="7" t="str"/>
      <x:c r="M955" s="7" t="str">
        <x:f>IF(L955="","OPEN",IF(OR(NOT(ISNUMBER(H955)),NOT(ISNUMBER(I955)),NOT(ISNUMBER(K955)),ABS(J955)&gt;K955),"FAIL","PASS"))</x:f>
        <x:v>OPEN</x:v>
      </x:c>
    </x:row>
    <x:row r="956">
      <x:c r="B956" s="7" t="str">
        <x:v>CAL-CH-PEA-B-X1-15-2</x:v>
      </x:c>
      <x:c r="C956" s="7" t="str">
        <x:v>CH-PEA-B-X1-15-2</x:v>
      </x:c>
      <x:c r="D956" s="7" t="str">
        <x:v>PEA-B-X1</x:v>
      </x:c>
      <x:c r="E956" s="7" t="str">
        <x:v>BLD-B</x:v>
      </x:c>
      <x:c r="F956" s="7" t="str">
        <x:v>BL-X</x:v>
      </x:c>
      <x:c r="G956" s="7" t="str">
        <x:v>MF-15</x:v>
      </x:c>
      <x:c r="H956" s="7" t="str"/>
      <x:c r="I956" s="7" t="str"/>
      <x:c r="J956" s="7" t="str">
        <x:f>IF(OR(H956="",I956=""),"",I956-H956)</x:f>
      </x:c>
      <x:c r="K956" s="7" t="str"/>
      <x:c r="L956" s="7" t="str"/>
      <x:c r="M956" s="7" t="str">
        <x:f>IF(L956="","OPEN",IF(OR(NOT(ISNUMBER(H956)),NOT(ISNUMBER(I956)),NOT(ISNUMBER(K956)),ABS(J956)&gt;K956),"FAIL","PASS"))</x:f>
        <x:v>OPEN</x:v>
      </x:c>
    </x:row>
    <x:row r="957">
      <x:c r="B957" s="7" t="str">
        <x:v>CAL-CH-PEA-B-X1-15-3</x:v>
      </x:c>
      <x:c r="C957" s="7" t="str">
        <x:v>CH-PEA-B-X1-15-3</x:v>
      </x:c>
      <x:c r="D957" s="7" t="str">
        <x:v>PEA-B-X1</x:v>
      </x:c>
      <x:c r="E957" s="7" t="str">
        <x:v>BLD-B</x:v>
      </x:c>
      <x:c r="F957" s="7" t="str">
        <x:v>BL-X</x:v>
      </x:c>
      <x:c r="G957" s="7" t="str">
        <x:v>MF-15</x:v>
      </x:c>
      <x:c r="H957" s="7" t="str"/>
      <x:c r="I957" s="7" t="str"/>
      <x:c r="J957" s="7" t="str">
        <x:f>IF(OR(H957="",I957=""),"",I957-H957)</x:f>
      </x:c>
      <x:c r="K957" s="7" t="str"/>
      <x:c r="L957" s="7" t="str"/>
      <x:c r="M957" s="7" t="str">
        <x:f>IF(L957="","OPEN",IF(OR(NOT(ISNUMBER(H957)),NOT(ISNUMBER(I957)),NOT(ISNUMBER(K957)),ABS(J957)&gt;K957),"FAIL","PASS"))</x:f>
        <x:v>OPEN</x:v>
      </x:c>
    </x:row>
    <x:row r="958">
      <x:c r="B958" s="7" t="str">
        <x:v>CAL-CH-PEA-B-X1-15-4</x:v>
      </x:c>
      <x:c r="C958" s="7" t="str">
        <x:v>CH-PEA-B-X1-15-4</x:v>
      </x:c>
      <x:c r="D958" s="7" t="str">
        <x:v>PEA-B-X1</x:v>
      </x:c>
      <x:c r="E958" s="7" t="str">
        <x:v>BLD-B</x:v>
      </x:c>
      <x:c r="F958" s="7" t="str">
        <x:v>BL-X</x:v>
      </x:c>
      <x:c r="G958" s="7" t="str">
        <x:v>MF-15</x:v>
      </x:c>
      <x:c r="H958" s="7" t="str"/>
      <x:c r="I958" s="7" t="str"/>
      <x:c r="J958" s="7" t="str">
        <x:f>IF(OR(H958="",I958=""),"",I958-H958)</x:f>
      </x:c>
      <x:c r="K958" s="7" t="str"/>
      <x:c r="L958" s="7" t="str"/>
      <x:c r="M958" s="7" t="str">
        <x:f>IF(L958="","OPEN",IF(OR(NOT(ISNUMBER(H958)),NOT(ISNUMBER(I958)),NOT(ISNUMBER(K958)),ABS(J958)&gt;K958),"FAIL","PASS"))</x:f>
        <x:v>OPEN</x:v>
      </x:c>
    </x:row>
    <x:row r="959">
      <x:c r="B959" s="7" t="str">
        <x:v>CAL-CH-PEA-B-X1-15-5</x:v>
      </x:c>
      <x:c r="C959" s="7" t="str">
        <x:v>CH-PEA-B-X1-15-5</x:v>
      </x:c>
      <x:c r="D959" s="7" t="str">
        <x:v>PEA-B-X1</x:v>
      </x:c>
      <x:c r="E959" s="7" t="str">
        <x:v>BLD-B</x:v>
      </x:c>
      <x:c r="F959" s="7" t="str">
        <x:v>BL-X</x:v>
      </x:c>
      <x:c r="G959" s="7" t="str">
        <x:v>MF-15</x:v>
      </x:c>
      <x:c r="H959" s="7" t="str"/>
      <x:c r="I959" s="7" t="str"/>
      <x:c r="J959" s="7" t="str">
        <x:f>IF(OR(H959="",I959=""),"",I959-H959)</x:f>
      </x:c>
      <x:c r="K959" s="7" t="str"/>
      <x:c r="L959" s="7" t="str"/>
      <x:c r="M959" s="7" t="str">
        <x:f>IF(L959="","OPEN",IF(OR(NOT(ISNUMBER(H959)),NOT(ISNUMBER(I959)),NOT(ISNUMBER(K959)),ABS(J959)&gt;K959),"FAIL","PASS"))</x:f>
        <x:v>OPEN</x:v>
      </x:c>
    </x:row>
    <x:row r="960">
      <x:c r="B960" s="7" t="str">
        <x:v>CAL-CH-PEA-B-X1-15-6</x:v>
      </x:c>
      <x:c r="C960" s="7" t="str">
        <x:v>CH-PEA-B-X1-15-6</x:v>
      </x:c>
      <x:c r="D960" s="7" t="str">
        <x:v>PEA-B-X1</x:v>
      </x:c>
      <x:c r="E960" s="7" t="str">
        <x:v>BLD-B</x:v>
      </x:c>
      <x:c r="F960" s="7" t="str">
        <x:v>BL-X</x:v>
      </x:c>
      <x:c r="G960" s="7" t="str">
        <x:v>MF-15</x:v>
      </x:c>
      <x:c r="H960" s="7" t="str"/>
      <x:c r="I960" s="7" t="str"/>
      <x:c r="J960" s="7" t="str">
        <x:f>IF(OR(H960="",I960=""),"",I960-H960)</x:f>
      </x:c>
      <x:c r="K960" s="7" t="str"/>
      <x:c r="L960" s="7" t="str"/>
      <x:c r="M960" s="7" t="str">
        <x:f>IF(L960="","OPEN",IF(OR(NOT(ISNUMBER(H960)),NOT(ISNUMBER(I960)),NOT(ISNUMBER(K960)),ABS(J960)&gt;K960),"FAIL","PASS"))</x:f>
        <x:v>OPEN</x:v>
      </x:c>
    </x:row>
    <x:row r="961">
      <x:c r="B961" s="7" t="str">
        <x:v>CAL-CH-PEA-B-X1-16-1</x:v>
      </x:c>
      <x:c r="C961" s="7" t="str">
        <x:v>CH-PEA-B-X1-16-1</x:v>
      </x:c>
      <x:c r="D961" s="7" t="str">
        <x:v>PEA-B-X1</x:v>
      </x:c>
      <x:c r="E961" s="7" t="str">
        <x:v>BLD-B</x:v>
      </x:c>
      <x:c r="F961" s="7" t="str">
        <x:v>BL-X</x:v>
      </x:c>
      <x:c r="G961" s="7" t="str">
        <x:v>MF-16</x:v>
      </x:c>
      <x:c r="H961" s="7" t="str"/>
      <x:c r="I961" s="7" t="str"/>
      <x:c r="J961" s="7" t="str">
        <x:f>IF(OR(H961="",I961=""),"",I961-H961)</x:f>
      </x:c>
      <x:c r="K961" s="7" t="str"/>
      <x:c r="L961" s="7" t="str"/>
      <x:c r="M961" s="7" t="str">
        <x:f>IF(L961="","OPEN",IF(OR(NOT(ISNUMBER(H961)),NOT(ISNUMBER(I961)),NOT(ISNUMBER(K961)),ABS(J961)&gt;K961),"FAIL","PASS"))</x:f>
        <x:v>OPEN</x:v>
      </x:c>
    </x:row>
    <x:row r="962">
      <x:c r="B962" s="7" t="str">
        <x:v>CAL-CH-PEA-B-X1-16-2</x:v>
      </x:c>
      <x:c r="C962" s="7" t="str">
        <x:v>CH-PEA-B-X1-16-2</x:v>
      </x:c>
      <x:c r="D962" s="7" t="str">
        <x:v>PEA-B-X1</x:v>
      </x:c>
      <x:c r="E962" s="7" t="str">
        <x:v>BLD-B</x:v>
      </x:c>
      <x:c r="F962" s="7" t="str">
        <x:v>BL-X</x:v>
      </x:c>
      <x:c r="G962" s="7" t="str">
        <x:v>MF-16</x:v>
      </x:c>
      <x:c r="H962" s="7" t="str"/>
      <x:c r="I962" s="7" t="str"/>
      <x:c r="J962" s="7" t="str">
        <x:f>IF(OR(H962="",I962=""),"",I962-H962)</x:f>
      </x:c>
      <x:c r="K962" s="7" t="str"/>
      <x:c r="L962" s="7" t="str"/>
      <x:c r="M962" s="7" t="str">
        <x:f>IF(L962="","OPEN",IF(OR(NOT(ISNUMBER(H962)),NOT(ISNUMBER(I962)),NOT(ISNUMBER(K962)),ABS(J962)&gt;K962),"FAIL","PASS"))</x:f>
        <x:v>OPEN</x:v>
      </x:c>
    </x:row>
    <x:row r="963">
      <x:c r="B963" s="7" t="str">
        <x:v>CAL-CH-PEA-B-X1-16-3</x:v>
      </x:c>
      <x:c r="C963" s="7" t="str">
        <x:v>CH-PEA-B-X1-16-3</x:v>
      </x:c>
      <x:c r="D963" s="7" t="str">
        <x:v>PEA-B-X1</x:v>
      </x:c>
      <x:c r="E963" s="7" t="str">
        <x:v>BLD-B</x:v>
      </x:c>
      <x:c r="F963" s="7" t="str">
        <x:v>BL-X</x:v>
      </x:c>
      <x:c r="G963" s="7" t="str">
        <x:v>MF-16</x:v>
      </x:c>
      <x:c r="H963" s="7" t="str"/>
      <x:c r="I963" s="7" t="str"/>
      <x:c r="J963" s="7" t="str">
        <x:f>IF(OR(H963="",I963=""),"",I963-H963)</x:f>
      </x:c>
      <x:c r="K963" s="7" t="str"/>
      <x:c r="L963" s="7" t="str"/>
      <x:c r="M963" s="7" t="str">
        <x:f>IF(L963="","OPEN",IF(OR(NOT(ISNUMBER(H963)),NOT(ISNUMBER(I963)),NOT(ISNUMBER(K963)),ABS(J963)&gt;K963),"FAIL","PASS"))</x:f>
        <x:v>OPEN</x:v>
      </x:c>
    </x:row>
    <x:row r="964">
      <x:c r="B964" s="7" t="str">
        <x:v>CAL-CH-PEA-B-X1-16-4</x:v>
      </x:c>
      <x:c r="C964" s="7" t="str">
        <x:v>CH-PEA-B-X1-16-4</x:v>
      </x:c>
      <x:c r="D964" s="7" t="str">
        <x:v>PEA-B-X1</x:v>
      </x:c>
      <x:c r="E964" s="7" t="str">
        <x:v>BLD-B</x:v>
      </x:c>
      <x:c r="F964" s="7" t="str">
        <x:v>BL-X</x:v>
      </x:c>
      <x:c r="G964" s="7" t="str">
        <x:v>MF-16</x:v>
      </x:c>
      <x:c r="H964" s="7" t="str"/>
      <x:c r="I964" s="7" t="str"/>
      <x:c r="J964" s="7" t="str">
        <x:f>IF(OR(H964="",I964=""),"",I964-H964)</x:f>
      </x:c>
      <x:c r="K964" s="7" t="str"/>
      <x:c r="L964" s="7" t="str"/>
      <x:c r="M964" s="7" t="str">
        <x:f>IF(L964="","OPEN",IF(OR(NOT(ISNUMBER(H964)),NOT(ISNUMBER(I964)),NOT(ISNUMBER(K964)),ABS(J964)&gt;K964),"FAIL","PASS"))</x:f>
        <x:v>OPEN</x:v>
      </x:c>
    </x:row>
    <x:row r="965">
      <x:c r="B965" s="7" t="str">
        <x:v>CAL-CH-PEA-B-X1-16-5</x:v>
      </x:c>
      <x:c r="C965" s="7" t="str">
        <x:v>CH-PEA-B-X1-16-5</x:v>
      </x:c>
      <x:c r="D965" s="7" t="str">
        <x:v>PEA-B-X1</x:v>
      </x:c>
      <x:c r="E965" s="7" t="str">
        <x:v>BLD-B</x:v>
      </x:c>
      <x:c r="F965" s="7" t="str">
        <x:v>BL-X</x:v>
      </x:c>
      <x:c r="G965" s="7" t="str">
        <x:v>MF-16</x:v>
      </x:c>
      <x:c r="H965" s="7" t="str"/>
      <x:c r="I965" s="7" t="str"/>
      <x:c r="J965" s="7" t="str">
        <x:f>IF(OR(H965="",I965=""),"",I965-H965)</x:f>
      </x:c>
      <x:c r="K965" s="7" t="str"/>
      <x:c r="L965" s="7" t="str"/>
      <x:c r="M965" s="7" t="str">
        <x:f>IF(L965="","OPEN",IF(OR(NOT(ISNUMBER(H965)),NOT(ISNUMBER(I965)),NOT(ISNUMBER(K965)),ABS(J965)&gt;K965),"FAIL","PASS"))</x:f>
        <x:v>OPEN</x:v>
      </x:c>
    </x:row>
    <x:row r="966">
      <x:c r="B966" s="7" t="str">
        <x:v>CAL-CH-PEA-B-X1-16-6</x:v>
      </x:c>
      <x:c r="C966" s="7" t="str">
        <x:v>CH-PEA-B-X1-16-6</x:v>
      </x:c>
      <x:c r="D966" s="7" t="str">
        <x:v>PEA-B-X1</x:v>
      </x:c>
      <x:c r="E966" s="7" t="str">
        <x:v>BLD-B</x:v>
      </x:c>
      <x:c r="F966" s="7" t="str">
        <x:v>BL-X</x:v>
      </x:c>
      <x:c r="G966" s="7" t="str">
        <x:v>MF-16</x:v>
      </x:c>
      <x:c r="H966" s="7" t="str"/>
      <x:c r="I966" s="7" t="str"/>
      <x:c r="J966" s="7" t="str">
        <x:f>IF(OR(H966="",I966=""),"",I966-H966)</x:f>
      </x:c>
      <x:c r="K966" s="7" t="str"/>
      <x:c r="L966" s="7" t="str"/>
      <x:c r="M966" s="7" t="str">
        <x:f>IF(L966="","OPEN",IF(OR(NOT(ISNUMBER(H966)),NOT(ISNUMBER(I966)),NOT(ISNUMBER(K966)),ABS(J966)&gt;K966),"FAIL","PASS"))</x:f>
        <x:v>OPEN</x:v>
      </x:c>
    </x:row>
    <x:row r="967">
      <x:c r="B967" s="7" t="str">
        <x:v>CAL-CH-PEA-B-X1-17-1</x:v>
      </x:c>
      <x:c r="C967" s="7" t="str">
        <x:v>CH-PEA-B-X1-17-1</x:v>
      </x:c>
      <x:c r="D967" s="7" t="str">
        <x:v>PEA-B-X1</x:v>
      </x:c>
      <x:c r="E967" s="7" t="str">
        <x:v>BLD-B</x:v>
      </x:c>
      <x:c r="F967" s="7" t="str">
        <x:v>BL-X</x:v>
      </x:c>
      <x:c r="G967" s="7" t="str">
        <x:v>MF-17</x:v>
      </x:c>
      <x:c r="H967" s="7" t="str"/>
      <x:c r="I967" s="7" t="str"/>
      <x:c r="J967" s="7" t="str">
        <x:f>IF(OR(H967="",I967=""),"",I967-H967)</x:f>
      </x:c>
      <x:c r="K967" s="7" t="str"/>
      <x:c r="L967" s="7" t="str"/>
      <x:c r="M967" s="7" t="str">
        <x:f>IF(L967="","OPEN",IF(OR(NOT(ISNUMBER(H967)),NOT(ISNUMBER(I967)),NOT(ISNUMBER(K967)),ABS(J967)&gt;K967),"FAIL","PASS"))</x:f>
        <x:v>OPEN</x:v>
      </x:c>
    </x:row>
    <x:row r="968">
      <x:c r="B968" s="7" t="str">
        <x:v>CAL-CH-PEA-B-X1-17-2</x:v>
      </x:c>
      <x:c r="C968" s="7" t="str">
        <x:v>CH-PEA-B-X1-17-2</x:v>
      </x:c>
      <x:c r="D968" s="7" t="str">
        <x:v>PEA-B-X1</x:v>
      </x:c>
      <x:c r="E968" s="7" t="str">
        <x:v>BLD-B</x:v>
      </x:c>
      <x:c r="F968" s="7" t="str">
        <x:v>BL-X</x:v>
      </x:c>
      <x:c r="G968" s="7" t="str">
        <x:v>MF-17</x:v>
      </x:c>
      <x:c r="H968" s="7" t="str"/>
      <x:c r="I968" s="7" t="str"/>
      <x:c r="J968" s="7" t="str">
        <x:f>IF(OR(H968="",I968=""),"",I968-H968)</x:f>
      </x:c>
      <x:c r="K968" s="7" t="str"/>
      <x:c r="L968" s="7" t="str"/>
      <x:c r="M968" s="7" t="str">
        <x:f>IF(L968="","OPEN",IF(OR(NOT(ISNUMBER(H968)),NOT(ISNUMBER(I968)),NOT(ISNUMBER(K968)),ABS(J968)&gt;K968),"FAIL","PASS"))</x:f>
        <x:v>OPEN</x:v>
      </x:c>
    </x:row>
    <x:row r="969">
      <x:c r="B969" s="7" t="str">
        <x:v>CAL-CH-PEA-B-X1-17-3</x:v>
      </x:c>
      <x:c r="C969" s="7" t="str">
        <x:v>CH-PEA-B-X1-17-3</x:v>
      </x:c>
      <x:c r="D969" s="7" t="str">
        <x:v>PEA-B-X1</x:v>
      </x:c>
      <x:c r="E969" s="7" t="str">
        <x:v>BLD-B</x:v>
      </x:c>
      <x:c r="F969" s="7" t="str">
        <x:v>BL-X</x:v>
      </x:c>
      <x:c r="G969" s="7" t="str">
        <x:v>MF-17</x:v>
      </x:c>
      <x:c r="H969" s="7" t="str"/>
      <x:c r="I969" s="7" t="str"/>
      <x:c r="J969" s="7" t="str">
        <x:f>IF(OR(H969="",I969=""),"",I969-H969)</x:f>
      </x:c>
      <x:c r="K969" s="7" t="str"/>
      <x:c r="L969" s="7" t="str"/>
      <x:c r="M969" s="7" t="str">
        <x:f>IF(L969="","OPEN",IF(OR(NOT(ISNUMBER(H969)),NOT(ISNUMBER(I969)),NOT(ISNUMBER(K969)),ABS(J969)&gt;K969),"FAIL","PASS"))</x:f>
        <x:v>OPEN</x:v>
      </x:c>
    </x:row>
    <x:row r="970">
      <x:c r="B970" s="7" t="str">
        <x:v>CAL-CH-PEA-B-X1-17-4</x:v>
      </x:c>
      <x:c r="C970" s="7" t="str">
        <x:v>CH-PEA-B-X1-17-4</x:v>
      </x:c>
      <x:c r="D970" s="7" t="str">
        <x:v>PEA-B-X1</x:v>
      </x:c>
      <x:c r="E970" s="7" t="str">
        <x:v>BLD-B</x:v>
      </x:c>
      <x:c r="F970" s="7" t="str">
        <x:v>BL-X</x:v>
      </x:c>
      <x:c r="G970" s="7" t="str">
        <x:v>MF-17</x:v>
      </x:c>
      <x:c r="H970" s="7" t="str"/>
      <x:c r="I970" s="7" t="str"/>
      <x:c r="J970" s="7" t="str">
        <x:f>IF(OR(H970="",I970=""),"",I970-H970)</x:f>
      </x:c>
      <x:c r="K970" s="7" t="str"/>
      <x:c r="L970" s="7" t="str"/>
      <x:c r="M970" s="7" t="str">
        <x:f>IF(L970="","OPEN",IF(OR(NOT(ISNUMBER(H970)),NOT(ISNUMBER(I970)),NOT(ISNUMBER(K970)),ABS(J970)&gt;K970),"FAIL","PASS"))</x:f>
        <x:v>OPEN</x:v>
      </x:c>
    </x:row>
    <x:row r="971">
      <x:c r="B971" s="7" t="str">
        <x:v>CAL-CH-PEA-B-X1-17-5</x:v>
      </x:c>
      <x:c r="C971" s="7" t="str">
        <x:v>CH-PEA-B-X1-17-5</x:v>
      </x:c>
      <x:c r="D971" s="7" t="str">
        <x:v>PEA-B-X1</x:v>
      </x:c>
      <x:c r="E971" s="7" t="str">
        <x:v>BLD-B</x:v>
      </x:c>
      <x:c r="F971" s="7" t="str">
        <x:v>BL-X</x:v>
      </x:c>
      <x:c r="G971" s="7" t="str">
        <x:v>MF-17</x:v>
      </x:c>
      <x:c r="H971" s="7" t="str"/>
      <x:c r="I971" s="7" t="str"/>
      <x:c r="J971" s="7" t="str">
        <x:f>IF(OR(H971="",I971=""),"",I971-H971)</x:f>
      </x:c>
      <x:c r="K971" s="7" t="str"/>
      <x:c r="L971" s="7" t="str"/>
      <x:c r="M971" s="7" t="str">
        <x:f>IF(L971="","OPEN",IF(OR(NOT(ISNUMBER(H971)),NOT(ISNUMBER(I971)),NOT(ISNUMBER(K971)),ABS(J971)&gt;K971),"FAIL","PASS"))</x:f>
        <x:v>OPEN</x:v>
      </x:c>
    </x:row>
    <x:row r="972">
      <x:c r="B972" s="7" t="str">
        <x:v>CAL-CH-PEA-B-X1-17-6</x:v>
      </x:c>
      <x:c r="C972" s="7" t="str">
        <x:v>CH-PEA-B-X1-17-6</x:v>
      </x:c>
      <x:c r="D972" s="7" t="str">
        <x:v>PEA-B-X1</x:v>
      </x:c>
      <x:c r="E972" s="7" t="str">
        <x:v>BLD-B</x:v>
      </x:c>
      <x:c r="F972" s="7" t="str">
        <x:v>BL-X</x:v>
      </x:c>
      <x:c r="G972" s="7" t="str">
        <x:v>MF-17</x:v>
      </x:c>
      <x:c r="H972" s="7" t="str"/>
      <x:c r="I972" s="7" t="str"/>
      <x:c r="J972" s="7" t="str">
        <x:f>IF(OR(H972="",I972=""),"",I972-H972)</x:f>
      </x:c>
      <x:c r="K972" s="7" t="str"/>
      <x:c r="L972" s="7" t="str"/>
      <x:c r="M972" s="7" t="str">
        <x:f>IF(L972="","OPEN",IF(OR(NOT(ISNUMBER(H972)),NOT(ISNUMBER(I972)),NOT(ISNUMBER(K972)),ABS(J972)&gt;K972),"FAIL","PASS"))</x:f>
        <x:v>OPEN</x:v>
      </x:c>
    </x:row>
    <x:row r="973">
      <x:c r="B973" s="7" t="str">
        <x:v>CAL-CH-PEA-B-X1-18-1</x:v>
      </x:c>
      <x:c r="C973" s="7" t="str">
        <x:v>CH-PEA-B-X1-18-1</x:v>
      </x:c>
      <x:c r="D973" s="7" t="str">
        <x:v>PEA-B-X1</x:v>
      </x:c>
      <x:c r="E973" s="7" t="str">
        <x:v>BLD-B</x:v>
      </x:c>
      <x:c r="F973" s="7" t="str">
        <x:v>BL-X</x:v>
      </x:c>
      <x:c r="G973" s="7" t="str">
        <x:v>MF-18</x:v>
      </x:c>
      <x:c r="H973" s="7" t="str"/>
      <x:c r="I973" s="7" t="str"/>
      <x:c r="J973" s="7" t="str">
        <x:f>IF(OR(H973="",I973=""),"",I973-H973)</x:f>
      </x:c>
      <x:c r="K973" s="7" t="str"/>
      <x:c r="L973" s="7" t="str"/>
      <x:c r="M973" s="7" t="str">
        <x:f>IF(L973="","OPEN",IF(OR(NOT(ISNUMBER(H973)),NOT(ISNUMBER(I973)),NOT(ISNUMBER(K973)),ABS(J973)&gt;K973),"FAIL","PASS"))</x:f>
        <x:v>OPEN</x:v>
      </x:c>
    </x:row>
    <x:row r="974">
      <x:c r="B974" s="7" t="str">
        <x:v>CAL-CH-PEA-B-X1-18-2</x:v>
      </x:c>
      <x:c r="C974" s="7" t="str">
        <x:v>CH-PEA-B-X1-18-2</x:v>
      </x:c>
      <x:c r="D974" s="7" t="str">
        <x:v>PEA-B-X1</x:v>
      </x:c>
      <x:c r="E974" s="7" t="str">
        <x:v>BLD-B</x:v>
      </x:c>
      <x:c r="F974" s="7" t="str">
        <x:v>BL-X</x:v>
      </x:c>
      <x:c r="G974" s="7" t="str">
        <x:v>MF-18</x:v>
      </x:c>
      <x:c r="H974" s="7" t="str"/>
      <x:c r="I974" s="7" t="str"/>
      <x:c r="J974" s="7" t="str">
        <x:f>IF(OR(H974="",I974=""),"",I974-H974)</x:f>
      </x:c>
      <x:c r="K974" s="7" t="str"/>
      <x:c r="L974" s="7" t="str"/>
      <x:c r="M974" s="7" t="str">
        <x:f>IF(L974="","OPEN",IF(OR(NOT(ISNUMBER(H974)),NOT(ISNUMBER(I974)),NOT(ISNUMBER(K974)),ABS(J974)&gt;K974),"FAIL","PASS"))</x:f>
        <x:v>OPEN</x:v>
      </x:c>
    </x:row>
    <x:row r="975">
      <x:c r="B975" s="7" t="str">
        <x:v>CAL-CH-PEA-B-X1-18-3</x:v>
      </x:c>
      <x:c r="C975" s="7" t="str">
        <x:v>CH-PEA-B-X1-18-3</x:v>
      </x:c>
      <x:c r="D975" s="7" t="str">
        <x:v>PEA-B-X1</x:v>
      </x:c>
      <x:c r="E975" s="7" t="str">
        <x:v>BLD-B</x:v>
      </x:c>
      <x:c r="F975" s="7" t="str">
        <x:v>BL-X</x:v>
      </x:c>
      <x:c r="G975" s="7" t="str">
        <x:v>MF-18</x:v>
      </x:c>
      <x:c r="H975" s="7" t="str"/>
      <x:c r="I975" s="7" t="str"/>
      <x:c r="J975" s="7" t="str">
        <x:f>IF(OR(H975="",I975=""),"",I975-H975)</x:f>
      </x:c>
      <x:c r="K975" s="7" t="str"/>
      <x:c r="L975" s="7" t="str"/>
      <x:c r="M975" s="7" t="str">
        <x:f>IF(L975="","OPEN",IF(OR(NOT(ISNUMBER(H975)),NOT(ISNUMBER(I975)),NOT(ISNUMBER(K975)),ABS(J975)&gt;K975),"FAIL","PASS"))</x:f>
        <x:v>OPEN</x:v>
      </x:c>
    </x:row>
    <x:row r="976">
      <x:c r="B976" s="7" t="str">
        <x:v>CAL-CH-PEA-B-X1-18-4</x:v>
      </x:c>
      <x:c r="C976" s="7" t="str">
        <x:v>CH-PEA-B-X1-18-4</x:v>
      </x:c>
      <x:c r="D976" s="7" t="str">
        <x:v>PEA-B-X1</x:v>
      </x:c>
      <x:c r="E976" s="7" t="str">
        <x:v>BLD-B</x:v>
      </x:c>
      <x:c r="F976" s="7" t="str">
        <x:v>BL-X</x:v>
      </x:c>
      <x:c r="G976" s="7" t="str">
        <x:v>MF-18</x:v>
      </x:c>
      <x:c r="H976" s="7" t="str"/>
      <x:c r="I976" s="7" t="str"/>
      <x:c r="J976" s="7" t="str">
        <x:f>IF(OR(H976="",I976=""),"",I976-H976)</x:f>
      </x:c>
      <x:c r="K976" s="7" t="str"/>
      <x:c r="L976" s="7" t="str"/>
      <x:c r="M976" s="7" t="str">
        <x:f>IF(L976="","OPEN",IF(OR(NOT(ISNUMBER(H976)),NOT(ISNUMBER(I976)),NOT(ISNUMBER(K976)),ABS(J976)&gt;K976),"FAIL","PASS"))</x:f>
        <x:v>OPEN</x:v>
      </x:c>
    </x:row>
    <x:row r="977">
      <x:c r="B977" s="7" t="str">
        <x:v>CAL-CH-PEA-B-X1-18-5</x:v>
      </x:c>
      <x:c r="C977" s="7" t="str">
        <x:v>CH-PEA-B-X1-18-5</x:v>
      </x:c>
      <x:c r="D977" s="7" t="str">
        <x:v>PEA-B-X1</x:v>
      </x:c>
      <x:c r="E977" s="7" t="str">
        <x:v>BLD-B</x:v>
      </x:c>
      <x:c r="F977" s="7" t="str">
        <x:v>BL-X</x:v>
      </x:c>
      <x:c r="G977" s="7" t="str">
        <x:v>MF-18</x:v>
      </x:c>
      <x:c r="H977" s="7" t="str"/>
      <x:c r="I977" s="7" t="str"/>
      <x:c r="J977" s="7" t="str">
        <x:f>IF(OR(H977="",I977=""),"",I977-H977)</x:f>
      </x:c>
      <x:c r="K977" s="7" t="str"/>
      <x:c r="L977" s="7" t="str"/>
      <x:c r="M977" s="7" t="str">
        <x:f>IF(L977="","OPEN",IF(OR(NOT(ISNUMBER(H977)),NOT(ISNUMBER(I977)),NOT(ISNUMBER(K977)),ABS(J977)&gt;K977),"FAIL","PASS"))</x:f>
        <x:v>OPEN</x:v>
      </x:c>
    </x:row>
    <x:row r="978">
      <x:c r="B978" s="7" t="str">
        <x:v>CAL-CH-PEA-B-X1-18-6</x:v>
      </x:c>
      <x:c r="C978" s="7" t="str">
        <x:v>CH-PEA-B-X1-18-6</x:v>
      </x:c>
      <x:c r="D978" s="7" t="str">
        <x:v>PEA-B-X1</x:v>
      </x:c>
      <x:c r="E978" s="7" t="str">
        <x:v>BLD-B</x:v>
      </x:c>
      <x:c r="F978" s="7" t="str">
        <x:v>BL-X</x:v>
      </x:c>
      <x:c r="G978" s="7" t="str">
        <x:v>MF-18</x:v>
      </x:c>
      <x:c r="H978" s="7" t="str"/>
      <x:c r="I978" s="7" t="str"/>
      <x:c r="J978" s="7" t="str">
        <x:f>IF(OR(H978="",I978=""),"",I978-H978)</x:f>
      </x:c>
      <x:c r="K978" s="7" t="str"/>
      <x:c r="L978" s="7" t="str"/>
      <x:c r="M978" s="7" t="str">
        <x:f>IF(L978="","OPEN",IF(OR(NOT(ISNUMBER(H978)),NOT(ISNUMBER(I978)),NOT(ISNUMBER(K978)),ABS(J978)&gt;K978),"FAIL","PASS"))</x:f>
        <x:v>OPEN</x:v>
      </x:c>
    </x:row>
    <x:row r="979">
      <x:c r="B979" s="7" t="str">
        <x:v>CAL-CH-PEA-B-X1-19-1</x:v>
      </x:c>
      <x:c r="C979" s="7" t="str">
        <x:v>CH-PEA-B-X1-19-1</x:v>
      </x:c>
      <x:c r="D979" s="7" t="str">
        <x:v>PEA-B-X1</x:v>
      </x:c>
      <x:c r="E979" s="7" t="str">
        <x:v>BLD-B</x:v>
      </x:c>
      <x:c r="F979" s="7" t="str">
        <x:v>BL-X</x:v>
      </x:c>
      <x:c r="G979" s="7" t="str">
        <x:v>MF-19</x:v>
      </x:c>
      <x:c r="H979" s="7" t="str"/>
      <x:c r="I979" s="7" t="str"/>
      <x:c r="J979" s="7" t="str">
        <x:f>IF(OR(H979="",I979=""),"",I979-H979)</x:f>
      </x:c>
      <x:c r="K979" s="7" t="str"/>
      <x:c r="L979" s="7" t="str"/>
      <x:c r="M979" s="7" t="str">
        <x:f>IF(L979="","OPEN",IF(OR(NOT(ISNUMBER(H979)),NOT(ISNUMBER(I979)),NOT(ISNUMBER(K979)),ABS(J979)&gt;K979),"FAIL","PASS"))</x:f>
        <x:v>OPEN</x:v>
      </x:c>
    </x:row>
    <x:row r="980">
      <x:c r="B980" s="7" t="str">
        <x:v>CAL-CH-PEA-B-X1-19-2</x:v>
      </x:c>
      <x:c r="C980" s="7" t="str">
        <x:v>CH-PEA-B-X1-19-2</x:v>
      </x:c>
      <x:c r="D980" s="7" t="str">
        <x:v>PEA-B-X1</x:v>
      </x:c>
      <x:c r="E980" s="7" t="str">
        <x:v>BLD-B</x:v>
      </x:c>
      <x:c r="F980" s="7" t="str">
        <x:v>BL-X</x:v>
      </x:c>
      <x:c r="G980" s="7" t="str">
        <x:v>MF-19</x:v>
      </x:c>
      <x:c r="H980" s="7" t="str"/>
      <x:c r="I980" s="7" t="str"/>
      <x:c r="J980" s="7" t="str">
        <x:f>IF(OR(H980="",I980=""),"",I980-H980)</x:f>
      </x:c>
      <x:c r="K980" s="7" t="str"/>
      <x:c r="L980" s="7" t="str"/>
      <x:c r="M980" s="7" t="str">
        <x:f>IF(L980="","OPEN",IF(OR(NOT(ISNUMBER(H980)),NOT(ISNUMBER(I980)),NOT(ISNUMBER(K980)),ABS(J980)&gt;K980),"FAIL","PASS"))</x:f>
        <x:v>OPEN</x:v>
      </x:c>
    </x:row>
    <x:row r="981">
      <x:c r="B981" s="7" t="str">
        <x:v>CAL-CH-PEA-B-X1-19-3</x:v>
      </x:c>
      <x:c r="C981" s="7" t="str">
        <x:v>CH-PEA-B-X1-19-3</x:v>
      </x:c>
      <x:c r="D981" s="7" t="str">
        <x:v>PEA-B-X1</x:v>
      </x:c>
      <x:c r="E981" s="7" t="str">
        <x:v>BLD-B</x:v>
      </x:c>
      <x:c r="F981" s="7" t="str">
        <x:v>BL-X</x:v>
      </x:c>
      <x:c r="G981" s="7" t="str">
        <x:v>MF-19</x:v>
      </x:c>
      <x:c r="H981" s="7" t="str"/>
      <x:c r="I981" s="7" t="str"/>
      <x:c r="J981" s="7" t="str">
        <x:f>IF(OR(H981="",I981=""),"",I981-H981)</x:f>
      </x:c>
      <x:c r="K981" s="7" t="str"/>
      <x:c r="L981" s="7" t="str"/>
      <x:c r="M981" s="7" t="str">
        <x:f>IF(L981="","OPEN",IF(OR(NOT(ISNUMBER(H981)),NOT(ISNUMBER(I981)),NOT(ISNUMBER(K981)),ABS(J981)&gt;K981),"FAIL","PASS"))</x:f>
        <x:v>OPEN</x:v>
      </x:c>
    </x:row>
    <x:row r="982">
      <x:c r="B982" s="7" t="str">
        <x:v>CAL-CH-PEA-B-X1-19-4</x:v>
      </x:c>
      <x:c r="C982" s="7" t="str">
        <x:v>CH-PEA-B-X1-19-4</x:v>
      </x:c>
      <x:c r="D982" s="7" t="str">
        <x:v>PEA-B-X1</x:v>
      </x:c>
      <x:c r="E982" s="7" t="str">
        <x:v>BLD-B</x:v>
      </x:c>
      <x:c r="F982" s="7" t="str">
        <x:v>BL-X</x:v>
      </x:c>
      <x:c r="G982" s="7" t="str">
        <x:v>MF-19</x:v>
      </x:c>
      <x:c r="H982" s="7" t="str"/>
      <x:c r="I982" s="7" t="str"/>
      <x:c r="J982" s="7" t="str">
        <x:f>IF(OR(H982="",I982=""),"",I982-H982)</x:f>
      </x:c>
      <x:c r="K982" s="7" t="str"/>
      <x:c r="L982" s="7" t="str"/>
      <x:c r="M982" s="7" t="str">
        <x:f>IF(L982="","OPEN",IF(OR(NOT(ISNUMBER(H982)),NOT(ISNUMBER(I982)),NOT(ISNUMBER(K982)),ABS(J982)&gt;K982),"FAIL","PASS"))</x:f>
        <x:v>OPEN</x:v>
      </x:c>
    </x:row>
    <x:row r="983">
      <x:c r="B983" s="7" t="str">
        <x:v>CAL-CH-PEA-B-X1-19-5</x:v>
      </x:c>
      <x:c r="C983" s="7" t="str">
        <x:v>CH-PEA-B-X1-19-5</x:v>
      </x:c>
      <x:c r="D983" s="7" t="str">
        <x:v>PEA-B-X1</x:v>
      </x:c>
      <x:c r="E983" s="7" t="str">
        <x:v>BLD-B</x:v>
      </x:c>
      <x:c r="F983" s="7" t="str">
        <x:v>BL-X</x:v>
      </x:c>
      <x:c r="G983" s="7" t="str">
        <x:v>MF-19</x:v>
      </x:c>
      <x:c r="H983" s="7" t="str"/>
      <x:c r="I983" s="7" t="str"/>
      <x:c r="J983" s="7" t="str">
        <x:f>IF(OR(H983="",I983=""),"",I983-H983)</x:f>
      </x:c>
      <x:c r="K983" s="7" t="str"/>
      <x:c r="L983" s="7" t="str"/>
      <x:c r="M983" s="7" t="str">
        <x:f>IF(L983="","OPEN",IF(OR(NOT(ISNUMBER(H983)),NOT(ISNUMBER(I983)),NOT(ISNUMBER(K983)),ABS(J983)&gt;K983),"FAIL","PASS"))</x:f>
        <x:v>OPEN</x:v>
      </x:c>
    </x:row>
    <x:row r="984">
      <x:c r="B984" s="7" t="str">
        <x:v>CAL-CH-PEA-B-X1-19-6</x:v>
      </x:c>
      <x:c r="C984" s="7" t="str">
        <x:v>CH-PEA-B-X1-19-6</x:v>
      </x:c>
      <x:c r="D984" s="7" t="str">
        <x:v>PEA-B-X1</x:v>
      </x:c>
      <x:c r="E984" s="7" t="str">
        <x:v>BLD-B</x:v>
      </x:c>
      <x:c r="F984" s="7" t="str">
        <x:v>BL-X</x:v>
      </x:c>
      <x:c r="G984" s="7" t="str">
        <x:v>MF-19</x:v>
      </x:c>
      <x:c r="H984" s="7" t="str"/>
      <x:c r="I984" s="7" t="str"/>
      <x:c r="J984" s="7" t="str">
        <x:f>IF(OR(H984="",I984=""),"",I984-H984)</x:f>
      </x:c>
      <x:c r="K984" s="7" t="str"/>
      <x:c r="L984" s="7" t="str"/>
      <x:c r="M984" s="7" t="str">
        <x:f>IF(L984="","OPEN",IF(OR(NOT(ISNUMBER(H984)),NOT(ISNUMBER(I984)),NOT(ISNUMBER(K984)),ABS(J984)&gt;K984),"FAIL","PASS"))</x:f>
        <x:v>OPEN</x:v>
      </x:c>
    </x:row>
    <x:row r="985">
      <x:c r="B985" s="7" t="str">
        <x:v>CAL-CH-PEA-B-X1-20-1</x:v>
      </x:c>
      <x:c r="C985" s="7" t="str">
        <x:v>CH-PEA-B-X1-20-1</x:v>
      </x:c>
      <x:c r="D985" s="7" t="str">
        <x:v>PEA-B-X1</x:v>
      </x:c>
      <x:c r="E985" s="7" t="str">
        <x:v>BLD-B</x:v>
      </x:c>
      <x:c r="F985" s="7" t="str">
        <x:v>BL-X</x:v>
      </x:c>
      <x:c r="G985" s="7" t="str">
        <x:v>MF-20</x:v>
      </x:c>
      <x:c r="H985" s="7" t="str"/>
      <x:c r="I985" s="7" t="str"/>
      <x:c r="J985" s="7" t="str">
        <x:f>IF(OR(H985="",I985=""),"",I985-H985)</x:f>
      </x:c>
      <x:c r="K985" s="7" t="str"/>
      <x:c r="L985" s="7" t="str"/>
      <x:c r="M985" s="7" t="str">
        <x:f>IF(L985="","OPEN",IF(OR(NOT(ISNUMBER(H985)),NOT(ISNUMBER(I985)),NOT(ISNUMBER(K985)),ABS(J985)&gt;K985),"FAIL","PASS"))</x:f>
        <x:v>OPEN</x:v>
      </x:c>
    </x:row>
    <x:row r="986">
      <x:c r="B986" s="7" t="str">
        <x:v>CAL-CH-PEA-B-X1-20-2</x:v>
      </x:c>
      <x:c r="C986" s="7" t="str">
        <x:v>CH-PEA-B-X1-20-2</x:v>
      </x:c>
      <x:c r="D986" s="7" t="str">
        <x:v>PEA-B-X1</x:v>
      </x:c>
      <x:c r="E986" s="7" t="str">
        <x:v>BLD-B</x:v>
      </x:c>
      <x:c r="F986" s="7" t="str">
        <x:v>BL-X</x:v>
      </x:c>
      <x:c r="G986" s="7" t="str">
        <x:v>MF-20</x:v>
      </x:c>
      <x:c r="H986" s="7" t="str"/>
      <x:c r="I986" s="7" t="str"/>
      <x:c r="J986" s="7" t="str">
        <x:f>IF(OR(H986="",I986=""),"",I986-H986)</x:f>
      </x:c>
      <x:c r="K986" s="7" t="str"/>
      <x:c r="L986" s="7" t="str"/>
      <x:c r="M986" s="7" t="str">
        <x:f>IF(L986="","OPEN",IF(OR(NOT(ISNUMBER(H986)),NOT(ISNUMBER(I986)),NOT(ISNUMBER(K986)),ABS(J986)&gt;K986),"FAIL","PASS"))</x:f>
        <x:v>OPEN</x:v>
      </x:c>
    </x:row>
    <x:row r="987">
      <x:c r="B987" s="7" t="str">
        <x:v>CAL-CH-PEA-B-X1-20-3</x:v>
      </x:c>
      <x:c r="C987" s="7" t="str">
        <x:v>CH-PEA-B-X1-20-3</x:v>
      </x:c>
      <x:c r="D987" s="7" t="str">
        <x:v>PEA-B-X1</x:v>
      </x:c>
      <x:c r="E987" s="7" t="str">
        <x:v>BLD-B</x:v>
      </x:c>
      <x:c r="F987" s="7" t="str">
        <x:v>BL-X</x:v>
      </x:c>
      <x:c r="G987" s="7" t="str">
        <x:v>MF-20</x:v>
      </x:c>
      <x:c r="H987" s="7" t="str"/>
      <x:c r="I987" s="7" t="str"/>
      <x:c r="J987" s="7" t="str">
        <x:f>IF(OR(H987="",I987=""),"",I987-H987)</x:f>
      </x:c>
      <x:c r="K987" s="7" t="str"/>
      <x:c r="L987" s="7" t="str"/>
      <x:c r="M987" s="7" t="str">
        <x:f>IF(L987="","OPEN",IF(OR(NOT(ISNUMBER(H987)),NOT(ISNUMBER(I987)),NOT(ISNUMBER(K987)),ABS(J987)&gt;K987),"FAIL","PASS"))</x:f>
        <x:v>OPEN</x:v>
      </x:c>
    </x:row>
    <x:row r="988">
      <x:c r="B988" s="7" t="str">
        <x:v>CAL-CH-PEA-B-X1-20-4</x:v>
      </x:c>
      <x:c r="C988" s="7" t="str">
        <x:v>CH-PEA-B-X1-20-4</x:v>
      </x:c>
      <x:c r="D988" s="7" t="str">
        <x:v>PEA-B-X1</x:v>
      </x:c>
      <x:c r="E988" s="7" t="str">
        <x:v>BLD-B</x:v>
      </x:c>
      <x:c r="F988" s="7" t="str">
        <x:v>BL-X</x:v>
      </x:c>
      <x:c r="G988" s="7" t="str">
        <x:v>MF-20</x:v>
      </x:c>
      <x:c r="H988" s="7" t="str"/>
      <x:c r="I988" s="7" t="str"/>
      <x:c r="J988" s="7" t="str">
        <x:f>IF(OR(H988="",I988=""),"",I988-H988)</x:f>
      </x:c>
      <x:c r="K988" s="7" t="str"/>
      <x:c r="L988" s="7" t="str"/>
      <x:c r="M988" s="7" t="str">
        <x:f>IF(L988="","OPEN",IF(OR(NOT(ISNUMBER(H988)),NOT(ISNUMBER(I988)),NOT(ISNUMBER(K988)),ABS(J988)&gt;K988),"FAIL","PASS"))</x:f>
        <x:v>OPEN</x:v>
      </x:c>
    </x:row>
    <x:row r="989">
      <x:c r="B989" s="7" t="str">
        <x:v>CAL-CH-PEA-B-X1-20-5</x:v>
      </x:c>
      <x:c r="C989" s="7" t="str">
        <x:v>CH-PEA-B-X1-20-5</x:v>
      </x:c>
      <x:c r="D989" s="7" t="str">
        <x:v>PEA-B-X1</x:v>
      </x:c>
      <x:c r="E989" s="7" t="str">
        <x:v>BLD-B</x:v>
      </x:c>
      <x:c r="F989" s="7" t="str">
        <x:v>BL-X</x:v>
      </x:c>
      <x:c r="G989" s="7" t="str">
        <x:v>MF-20</x:v>
      </x:c>
      <x:c r="H989" s="7" t="str"/>
      <x:c r="I989" s="7" t="str"/>
      <x:c r="J989" s="7" t="str">
        <x:f>IF(OR(H989="",I989=""),"",I989-H989)</x:f>
      </x:c>
      <x:c r="K989" s="7" t="str"/>
      <x:c r="L989" s="7" t="str"/>
      <x:c r="M989" s="7" t="str">
        <x:f>IF(L989="","OPEN",IF(OR(NOT(ISNUMBER(H989)),NOT(ISNUMBER(I989)),NOT(ISNUMBER(K989)),ABS(J989)&gt;K989),"FAIL","PASS"))</x:f>
        <x:v>OPEN</x:v>
      </x:c>
    </x:row>
    <x:row r="990">
      <x:c r="B990" s="7" t="str">
        <x:v>CAL-CH-PEA-B-X1-20-6</x:v>
      </x:c>
      <x:c r="C990" s="7" t="str">
        <x:v>CH-PEA-B-X1-20-6</x:v>
      </x:c>
      <x:c r="D990" s="7" t="str">
        <x:v>PEA-B-X1</x:v>
      </x:c>
      <x:c r="E990" s="7" t="str">
        <x:v>BLD-B</x:v>
      </x:c>
      <x:c r="F990" s="7" t="str">
        <x:v>BL-X</x:v>
      </x:c>
      <x:c r="G990" s="7" t="str">
        <x:v>MF-20</x:v>
      </x:c>
      <x:c r="H990" s="7" t="str"/>
      <x:c r="I990" s="7" t="str"/>
      <x:c r="J990" s="7" t="str">
        <x:f>IF(OR(H990="",I990=""),"",I990-H990)</x:f>
      </x:c>
      <x:c r="K990" s="7" t="str"/>
      <x:c r="L990" s="7" t="str"/>
      <x:c r="M990" s="7" t="str">
        <x:f>IF(L990="","OPEN",IF(OR(NOT(ISNUMBER(H990)),NOT(ISNUMBER(I990)),NOT(ISNUMBER(K990)),ABS(J990)&gt;K990),"FAIL","PASS"))</x:f>
        <x:v>OPEN</x:v>
      </x:c>
    </x:row>
    <x:row r="991">
      <x:c r="B991" s="7" t="str">
        <x:v>CAL-CH-PEA-B-X1-21-1</x:v>
      </x:c>
      <x:c r="C991" s="7" t="str">
        <x:v>CH-PEA-B-X1-21-1</x:v>
      </x:c>
      <x:c r="D991" s="7" t="str">
        <x:v>PEA-B-X1</x:v>
      </x:c>
      <x:c r="E991" s="7" t="str">
        <x:v>BLD-B</x:v>
      </x:c>
      <x:c r="F991" s="7" t="str">
        <x:v>BL-X</x:v>
      </x:c>
      <x:c r="G991" s="7" t="str">
        <x:v>MF-21</x:v>
      </x:c>
      <x:c r="H991" s="7" t="str"/>
      <x:c r="I991" s="7" t="str"/>
      <x:c r="J991" s="7" t="str">
        <x:f>IF(OR(H991="",I991=""),"",I991-H991)</x:f>
      </x:c>
      <x:c r="K991" s="7" t="str"/>
      <x:c r="L991" s="7" t="str"/>
      <x:c r="M991" s="7" t="str">
        <x:f>IF(L991="","OPEN",IF(OR(NOT(ISNUMBER(H991)),NOT(ISNUMBER(I991)),NOT(ISNUMBER(K991)),ABS(J991)&gt;K991),"FAIL","PASS"))</x:f>
        <x:v>OPEN</x:v>
      </x:c>
    </x:row>
    <x:row r="992">
      <x:c r="B992" s="7" t="str">
        <x:v>CAL-CH-PEA-B-X1-21-2</x:v>
      </x:c>
      <x:c r="C992" s="7" t="str">
        <x:v>CH-PEA-B-X1-21-2</x:v>
      </x:c>
      <x:c r="D992" s="7" t="str">
        <x:v>PEA-B-X1</x:v>
      </x:c>
      <x:c r="E992" s="7" t="str">
        <x:v>BLD-B</x:v>
      </x:c>
      <x:c r="F992" s="7" t="str">
        <x:v>BL-X</x:v>
      </x:c>
      <x:c r="G992" s="7" t="str">
        <x:v>MF-21</x:v>
      </x:c>
      <x:c r="H992" s="7" t="str"/>
      <x:c r="I992" s="7" t="str"/>
      <x:c r="J992" s="7" t="str">
        <x:f>IF(OR(H992="",I992=""),"",I992-H992)</x:f>
      </x:c>
      <x:c r="K992" s="7" t="str"/>
      <x:c r="L992" s="7" t="str"/>
      <x:c r="M992" s="7" t="str">
        <x:f>IF(L992="","OPEN",IF(OR(NOT(ISNUMBER(H992)),NOT(ISNUMBER(I992)),NOT(ISNUMBER(K992)),ABS(J992)&gt;K992),"FAIL","PASS"))</x:f>
        <x:v>OPEN</x:v>
      </x:c>
    </x:row>
    <x:row r="993">
      <x:c r="B993" s="7" t="str">
        <x:v>CAL-CH-PEA-B-X1-21-3</x:v>
      </x:c>
      <x:c r="C993" s="7" t="str">
        <x:v>CH-PEA-B-X1-21-3</x:v>
      </x:c>
      <x:c r="D993" s="7" t="str">
        <x:v>PEA-B-X1</x:v>
      </x:c>
      <x:c r="E993" s="7" t="str">
        <x:v>BLD-B</x:v>
      </x:c>
      <x:c r="F993" s="7" t="str">
        <x:v>BL-X</x:v>
      </x:c>
      <x:c r="G993" s="7" t="str">
        <x:v>MF-21</x:v>
      </x:c>
      <x:c r="H993" s="7" t="str"/>
      <x:c r="I993" s="7" t="str"/>
      <x:c r="J993" s="7" t="str">
        <x:f>IF(OR(H993="",I993=""),"",I993-H993)</x:f>
      </x:c>
      <x:c r="K993" s="7" t="str"/>
      <x:c r="L993" s="7" t="str"/>
      <x:c r="M993" s="7" t="str">
        <x:f>IF(L993="","OPEN",IF(OR(NOT(ISNUMBER(H993)),NOT(ISNUMBER(I993)),NOT(ISNUMBER(K993)),ABS(J993)&gt;K993),"FAIL","PASS"))</x:f>
        <x:v>OPEN</x:v>
      </x:c>
    </x:row>
    <x:row r="994">
      <x:c r="B994" s="7" t="str">
        <x:v>CAL-CH-PEA-B-X1-21-4</x:v>
      </x:c>
      <x:c r="C994" s="7" t="str">
        <x:v>CH-PEA-B-X1-21-4</x:v>
      </x:c>
      <x:c r="D994" s="7" t="str">
        <x:v>PEA-B-X1</x:v>
      </x:c>
      <x:c r="E994" s="7" t="str">
        <x:v>BLD-B</x:v>
      </x:c>
      <x:c r="F994" s="7" t="str">
        <x:v>BL-X</x:v>
      </x:c>
      <x:c r="G994" s="7" t="str">
        <x:v>MF-21</x:v>
      </x:c>
      <x:c r="H994" s="7" t="str"/>
      <x:c r="I994" s="7" t="str"/>
      <x:c r="J994" s="7" t="str">
        <x:f>IF(OR(H994="",I994=""),"",I994-H994)</x:f>
      </x:c>
      <x:c r="K994" s="7" t="str"/>
      <x:c r="L994" s="7" t="str"/>
      <x:c r="M994" s="7" t="str">
        <x:f>IF(L994="","OPEN",IF(OR(NOT(ISNUMBER(H994)),NOT(ISNUMBER(I994)),NOT(ISNUMBER(K994)),ABS(J994)&gt;K994),"FAIL","PASS"))</x:f>
        <x:v>OPEN</x:v>
      </x:c>
    </x:row>
    <x:row r="995">
      <x:c r="B995" s="7" t="str">
        <x:v>CAL-CH-PEA-B-X1-21-5</x:v>
      </x:c>
      <x:c r="C995" s="7" t="str">
        <x:v>CH-PEA-B-X1-21-5</x:v>
      </x:c>
      <x:c r="D995" s="7" t="str">
        <x:v>PEA-B-X1</x:v>
      </x:c>
      <x:c r="E995" s="7" t="str">
        <x:v>BLD-B</x:v>
      </x:c>
      <x:c r="F995" s="7" t="str">
        <x:v>BL-X</x:v>
      </x:c>
      <x:c r="G995" s="7" t="str">
        <x:v>MF-21</x:v>
      </x:c>
      <x:c r="H995" s="7" t="str"/>
      <x:c r="I995" s="7" t="str"/>
      <x:c r="J995" s="7" t="str">
        <x:f>IF(OR(H995="",I995=""),"",I995-H995)</x:f>
      </x:c>
      <x:c r="K995" s="7" t="str"/>
      <x:c r="L995" s="7" t="str"/>
      <x:c r="M995" s="7" t="str">
        <x:f>IF(L995="","OPEN",IF(OR(NOT(ISNUMBER(H995)),NOT(ISNUMBER(I995)),NOT(ISNUMBER(K995)),ABS(J995)&gt;K995),"FAIL","PASS"))</x:f>
        <x:v>OPEN</x:v>
      </x:c>
    </x:row>
    <x:row r="996">
      <x:c r="B996" s="7" t="str">
        <x:v>CAL-CH-PEA-B-X1-21-6</x:v>
      </x:c>
      <x:c r="C996" s="7" t="str">
        <x:v>CH-PEA-B-X1-21-6</x:v>
      </x:c>
      <x:c r="D996" s="7" t="str">
        <x:v>PEA-B-X1</x:v>
      </x:c>
      <x:c r="E996" s="7" t="str">
        <x:v>BLD-B</x:v>
      </x:c>
      <x:c r="F996" s="7" t="str">
        <x:v>BL-X</x:v>
      </x:c>
      <x:c r="G996" s="7" t="str">
        <x:v>MF-21</x:v>
      </x:c>
      <x:c r="H996" s="7" t="str"/>
      <x:c r="I996" s="7" t="str"/>
      <x:c r="J996" s="7" t="str">
        <x:f>IF(OR(H996="",I996=""),"",I996-H996)</x:f>
      </x:c>
      <x:c r="K996" s="7" t="str"/>
      <x:c r="L996" s="7" t="str"/>
      <x:c r="M996" s="7" t="str">
        <x:f>IF(L996="","OPEN",IF(OR(NOT(ISNUMBER(H996)),NOT(ISNUMBER(I996)),NOT(ISNUMBER(K996)),ABS(J996)&gt;K996),"FAIL","PASS"))</x:f>
        <x:v>OPEN</x:v>
      </x:c>
    </x:row>
    <x:row r="997">
      <x:c r="B997" s="7" t="str">
        <x:v>CAL-CH-PEA-B-X1-22-1</x:v>
      </x:c>
      <x:c r="C997" s="7" t="str">
        <x:v>CH-PEA-B-X1-22-1</x:v>
      </x:c>
      <x:c r="D997" s="7" t="str">
        <x:v>PEA-B-X1</x:v>
      </x:c>
      <x:c r="E997" s="7" t="str">
        <x:v>BLD-B</x:v>
      </x:c>
      <x:c r="F997" s="7" t="str">
        <x:v>BL-X</x:v>
      </x:c>
      <x:c r="G997" s="7" t="str">
        <x:v>MF-22</x:v>
      </x:c>
      <x:c r="H997" s="7" t="str"/>
      <x:c r="I997" s="7" t="str"/>
      <x:c r="J997" s="7" t="str">
        <x:f>IF(OR(H997="",I997=""),"",I997-H997)</x:f>
      </x:c>
      <x:c r="K997" s="7" t="str"/>
      <x:c r="L997" s="7" t="str"/>
      <x:c r="M997" s="7" t="str">
        <x:f>IF(L997="","OPEN",IF(OR(NOT(ISNUMBER(H997)),NOT(ISNUMBER(I997)),NOT(ISNUMBER(K997)),ABS(J997)&gt;K997),"FAIL","PASS"))</x:f>
        <x:v>OPEN</x:v>
      </x:c>
    </x:row>
    <x:row r="998">
      <x:c r="B998" s="7" t="str">
        <x:v>CAL-CH-PEA-B-X1-22-2</x:v>
      </x:c>
      <x:c r="C998" s="7" t="str">
        <x:v>CH-PEA-B-X1-22-2</x:v>
      </x:c>
      <x:c r="D998" s="7" t="str">
        <x:v>PEA-B-X1</x:v>
      </x:c>
      <x:c r="E998" s="7" t="str">
        <x:v>BLD-B</x:v>
      </x:c>
      <x:c r="F998" s="7" t="str">
        <x:v>BL-X</x:v>
      </x:c>
      <x:c r="G998" s="7" t="str">
        <x:v>MF-22</x:v>
      </x:c>
      <x:c r="H998" s="7" t="str"/>
      <x:c r="I998" s="7" t="str"/>
      <x:c r="J998" s="7" t="str">
        <x:f>IF(OR(H998="",I998=""),"",I998-H998)</x:f>
      </x:c>
      <x:c r="K998" s="7" t="str"/>
      <x:c r="L998" s="7" t="str"/>
      <x:c r="M998" s="7" t="str">
        <x:f>IF(L998="","OPEN",IF(OR(NOT(ISNUMBER(H998)),NOT(ISNUMBER(I998)),NOT(ISNUMBER(K998)),ABS(J998)&gt;K998),"FAIL","PASS"))</x:f>
        <x:v>OPEN</x:v>
      </x:c>
    </x:row>
    <x:row r="999">
      <x:c r="B999" s="7" t="str">
        <x:v>CAL-CH-PEA-B-X1-22-3</x:v>
      </x:c>
      <x:c r="C999" s="7" t="str">
        <x:v>CH-PEA-B-X1-22-3</x:v>
      </x:c>
      <x:c r="D999" s="7" t="str">
        <x:v>PEA-B-X1</x:v>
      </x:c>
      <x:c r="E999" s="7" t="str">
        <x:v>BLD-B</x:v>
      </x:c>
      <x:c r="F999" s="7" t="str">
        <x:v>BL-X</x:v>
      </x:c>
      <x:c r="G999" s="7" t="str">
        <x:v>MF-22</x:v>
      </x:c>
      <x:c r="H999" s="7" t="str"/>
      <x:c r="I999" s="7" t="str"/>
      <x:c r="J999" s="7" t="str">
        <x:f>IF(OR(H999="",I999=""),"",I999-H999)</x:f>
      </x:c>
      <x:c r="K999" s="7" t="str"/>
      <x:c r="L999" s="7" t="str"/>
      <x:c r="M999" s="7" t="str">
        <x:f>IF(L999="","OPEN",IF(OR(NOT(ISNUMBER(H999)),NOT(ISNUMBER(I999)),NOT(ISNUMBER(K999)),ABS(J999)&gt;K999),"FAIL","PASS"))</x:f>
        <x:v>OPEN</x:v>
      </x:c>
    </x:row>
    <x:row r="1000">
      <x:c r="B1000" s="7" t="str">
        <x:v>CAL-CH-PEA-B-X1-22-4</x:v>
      </x:c>
      <x:c r="C1000" s="7" t="str">
        <x:v>CH-PEA-B-X1-22-4</x:v>
      </x:c>
      <x:c r="D1000" s="7" t="str">
        <x:v>PEA-B-X1</x:v>
      </x:c>
      <x:c r="E1000" s="7" t="str">
        <x:v>BLD-B</x:v>
      </x:c>
      <x:c r="F1000" s="7" t="str">
        <x:v>BL-X</x:v>
      </x:c>
      <x:c r="G1000" s="7" t="str">
        <x:v>MF-22</x:v>
      </x:c>
      <x:c r="H1000" s="7" t="str"/>
      <x:c r="I1000" s="7" t="str"/>
      <x:c r="J1000" s="7" t="str">
        <x:f>IF(OR(H1000="",I1000=""),"",I1000-H1000)</x:f>
      </x:c>
      <x:c r="K1000" s="7" t="str"/>
      <x:c r="L1000" s="7" t="str"/>
      <x:c r="M1000" s="7" t="str">
        <x:f>IF(L1000="","OPEN",IF(OR(NOT(ISNUMBER(H1000)),NOT(ISNUMBER(I1000)),NOT(ISNUMBER(K1000)),ABS(J1000)&gt;K1000),"FAIL","PASS"))</x:f>
        <x:v>OPEN</x:v>
      </x:c>
    </x:row>
    <x:row r="1001">
      <x:c r="B1001" s="7" t="str">
        <x:v>CAL-CH-PEA-B-X1-22-5</x:v>
      </x:c>
      <x:c r="C1001" s="7" t="str">
        <x:v>CH-PEA-B-X1-22-5</x:v>
      </x:c>
      <x:c r="D1001" s="7" t="str">
        <x:v>PEA-B-X1</x:v>
      </x:c>
      <x:c r="E1001" s="7" t="str">
        <x:v>BLD-B</x:v>
      </x:c>
      <x:c r="F1001" s="7" t="str">
        <x:v>BL-X</x:v>
      </x:c>
      <x:c r="G1001" s="7" t="str">
        <x:v>MF-22</x:v>
      </x:c>
      <x:c r="H1001" s="7" t="str"/>
      <x:c r="I1001" s="7" t="str"/>
      <x:c r="J1001" s="7" t="str">
        <x:f>IF(OR(H1001="",I1001=""),"",I1001-H1001)</x:f>
      </x:c>
      <x:c r="K1001" s="7" t="str"/>
      <x:c r="L1001" s="7" t="str"/>
      <x:c r="M1001" s="7" t="str">
        <x:f>IF(L1001="","OPEN",IF(OR(NOT(ISNUMBER(H1001)),NOT(ISNUMBER(I1001)),NOT(ISNUMBER(K1001)),ABS(J1001)&gt;K1001),"FAIL","PASS"))</x:f>
        <x:v>OPEN</x:v>
      </x:c>
    </x:row>
    <x:row r="1002">
      <x:c r="B1002" s="7" t="str">
        <x:v>CAL-CH-PEA-B-X1-22-6</x:v>
      </x:c>
      <x:c r="C1002" s="7" t="str">
        <x:v>CH-PEA-B-X1-22-6</x:v>
      </x:c>
      <x:c r="D1002" s="7" t="str">
        <x:v>PEA-B-X1</x:v>
      </x:c>
      <x:c r="E1002" s="7" t="str">
        <x:v>BLD-B</x:v>
      </x:c>
      <x:c r="F1002" s="7" t="str">
        <x:v>BL-X</x:v>
      </x:c>
      <x:c r="G1002" s="7" t="str">
        <x:v>MF-22</x:v>
      </x:c>
      <x:c r="H1002" s="7" t="str"/>
      <x:c r="I1002" s="7" t="str"/>
      <x:c r="J1002" s="7" t="str">
        <x:f>IF(OR(H1002="",I1002=""),"",I1002-H1002)</x:f>
      </x:c>
      <x:c r="K1002" s="7" t="str"/>
      <x:c r="L1002" s="7" t="str"/>
      <x:c r="M1002" s="7" t="str">
        <x:f>IF(L1002="","OPEN",IF(OR(NOT(ISNUMBER(H1002)),NOT(ISNUMBER(I1002)),NOT(ISNUMBER(K1002)),ABS(J1002)&gt;K1002),"FAIL","PASS"))</x:f>
        <x:v>OPEN</x:v>
      </x:c>
    </x:row>
    <x:row r="1003">
      <x:c r="B1003" s="7" t="str">
        <x:v>CAL-CH-PEA-B-X1-23-1</x:v>
      </x:c>
      <x:c r="C1003" s="7" t="str">
        <x:v>CH-PEA-B-X1-23-1</x:v>
      </x:c>
      <x:c r="D1003" s="7" t="str">
        <x:v>PEA-B-X1</x:v>
      </x:c>
      <x:c r="E1003" s="7" t="str">
        <x:v>BLD-B</x:v>
      </x:c>
      <x:c r="F1003" s="7" t="str">
        <x:v>BL-X</x:v>
      </x:c>
      <x:c r="G1003" s="7" t="str">
        <x:v>MF-23</x:v>
      </x:c>
      <x:c r="H1003" s="7" t="str"/>
      <x:c r="I1003" s="7" t="str"/>
      <x:c r="J1003" s="7" t="str">
        <x:f>IF(OR(H1003="",I1003=""),"",I1003-H1003)</x:f>
      </x:c>
      <x:c r="K1003" s="7" t="str"/>
      <x:c r="L1003" s="7" t="str"/>
      <x:c r="M1003" s="7" t="str">
        <x:f>IF(L1003="","OPEN",IF(OR(NOT(ISNUMBER(H1003)),NOT(ISNUMBER(I1003)),NOT(ISNUMBER(K1003)),ABS(J1003)&gt;K1003),"FAIL","PASS"))</x:f>
        <x:v>OPEN</x:v>
      </x:c>
    </x:row>
    <x:row r="1004">
      <x:c r="B1004" s="7" t="str">
        <x:v>CAL-CH-PEA-B-X1-23-2</x:v>
      </x:c>
      <x:c r="C1004" s="7" t="str">
        <x:v>CH-PEA-B-X1-23-2</x:v>
      </x:c>
      <x:c r="D1004" s="7" t="str">
        <x:v>PEA-B-X1</x:v>
      </x:c>
      <x:c r="E1004" s="7" t="str">
        <x:v>BLD-B</x:v>
      </x:c>
      <x:c r="F1004" s="7" t="str">
        <x:v>BL-X</x:v>
      </x:c>
      <x:c r="G1004" s="7" t="str">
        <x:v>MF-23</x:v>
      </x:c>
      <x:c r="H1004" s="7" t="str"/>
      <x:c r="I1004" s="7" t="str"/>
      <x:c r="J1004" s="7" t="str">
        <x:f>IF(OR(H1004="",I1004=""),"",I1004-H1004)</x:f>
      </x:c>
      <x:c r="K1004" s="7" t="str"/>
      <x:c r="L1004" s="7" t="str"/>
      <x:c r="M1004" s="7" t="str">
        <x:f>IF(L1004="","OPEN",IF(OR(NOT(ISNUMBER(H1004)),NOT(ISNUMBER(I1004)),NOT(ISNUMBER(K1004)),ABS(J1004)&gt;K1004),"FAIL","PASS"))</x:f>
        <x:v>OPEN</x:v>
      </x:c>
    </x:row>
    <x:row r="1005">
      <x:c r="B1005" s="7" t="str">
        <x:v>CAL-CH-PEA-B-X1-23-3</x:v>
      </x:c>
      <x:c r="C1005" s="7" t="str">
        <x:v>CH-PEA-B-X1-23-3</x:v>
      </x:c>
      <x:c r="D1005" s="7" t="str">
        <x:v>PEA-B-X1</x:v>
      </x:c>
      <x:c r="E1005" s="7" t="str">
        <x:v>BLD-B</x:v>
      </x:c>
      <x:c r="F1005" s="7" t="str">
        <x:v>BL-X</x:v>
      </x:c>
      <x:c r="G1005" s="7" t="str">
        <x:v>MF-23</x:v>
      </x:c>
      <x:c r="H1005" s="7" t="str"/>
      <x:c r="I1005" s="7" t="str"/>
      <x:c r="J1005" s="7" t="str">
        <x:f>IF(OR(H1005="",I1005=""),"",I1005-H1005)</x:f>
      </x:c>
      <x:c r="K1005" s="7" t="str"/>
      <x:c r="L1005" s="7" t="str"/>
      <x:c r="M1005" s="7" t="str">
        <x:f>IF(L1005="","OPEN",IF(OR(NOT(ISNUMBER(H1005)),NOT(ISNUMBER(I1005)),NOT(ISNUMBER(K1005)),ABS(J1005)&gt;K1005),"FAIL","PASS"))</x:f>
        <x:v>OPEN</x:v>
      </x:c>
    </x:row>
    <x:row r="1006">
      <x:c r="B1006" s="7" t="str">
        <x:v>CAL-CH-PEA-B-X1-23-4</x:v>
      </x:c>
      <x:c r="C1006" s="7" t="str">
        <x:v>CH-PEA-B-X1-23-4</x:v>
      </x:c>
      <x:c r="D1006" s="7" t="str">
        <x:v>PEA-B-X1</x:v>
      </x:c>
      <x:c r="E1006" s="7" t="str">
        <x:v>BLD-B</x:v>
      </x:c>
      <x:c r="F1006" s="7" t="str">
        <x:v>BL-X</x:v>
      </x:c>
      <x:c r="G1006" s="7" t="str">
        <x:v>MF-23</x:v>
      </x:c>
      <x:c r="H1006" s="7" t="str"/>
      <x:c r="I1006" s="7" t="str"/>
      <x:c r="J1006" s="7" t="str">
        <x:f>IF(OR(H1006="",I1006=""),"",I1006-H1006)</x:f>
      </x:c>
      <x:c r="K1006" s="7" t="str"/>
      <x:c r="L1006" s="7" t="str"/>
      <x:c r="M1006" s="7" t="str">
        <x:f>IF(L1006="","OPEN",IF(OR(NOT(ISNUMBER(H1006)),NOT(ISNUMBER(I1006)),NOT(ISNUMBER(K1006)),ABS(J1006)&gt;K1006),"FAIL","PASS"))</x:f>
        <x:v>OPEN</x:v>
      </x:c>
    </x:row>
    <x:row r="1007">
      <x:c r="B1007" s="7" t="str">
        <x:v>CAL-CH-PEA-B-X1-23-5</x:v>
      </x:c>
      <x:c r="C1007" s="7" t="str">
        <x:v>CH-PEA-B-X1-23-5</x:v>
      </x:c>
      <x:c r="D1007" s="7" t="str">
        <x:v>PEA-B-X1</x:v>
      </x:c>
      <x:c r="E1007" s="7" t="str">
        <x:v>BLD-B</x:v>
      </x:c>
      <x:c r="F1007" s="7" t="str">
        <x:v>BL-X</x:v>
      </x:c>
      <x:c r="G1007" s="7" t="str">
        <x:v>MF-23</x:v>
      </x:c>
      <x:c r="H1007" s="7" t="str"/>
      <x:c r="I1007" s="7" t="str"/>
      <x:c r="J1007" s="7" t="str">
        <x:f>IF(OR(H1007="",I1007=""),"",I1007-H1007)</x:f>
      </x:c>
      <x:c r="K1007" s="7" t="str"/>
      <x:c r="L1007" s="7" t="str"/>
      <x:c r="M1007" s="7" t="str">
        <x:f>IF(L1007="","OPEN",IF(OR(NOT(ISNUMBER(H1007)),NOT(ISNUMBER(I1007)),NOT(ISNUMBER(K1007)),ABS(J1007)&gt;K1007),"FAIL","PASS"))</x:f>
        <x:v>OPEN</x:v>
      </x:c>
    </x:row>
    <x:row r="1008">
      <x:c r="B1008" s="7" t="str">
        <x:v>CAL-CH-PEA-B-X1-23-6</x:v>
      </x:c>
      <x:c r="C1008" s="7" t="str">
        <x:v>CH-PEA-B-X1-23-6</x:v>
      </x:c>
      <x:c r="D1008" s="7" t="str">
        <x:v>PEA-B-X1</x:v>
      </x:c>
      <x:c r="E1008" s="7" t="str">
        <x:v>BLD-B</x:v>
      </x:c>
      <x:c r="F1008" s="7" t="str">
        <x:v>BL-X</x:v>
      </x:c>
      <x:c r="G1008" s="7" t="str">
        <x:v>MF-23</x:v>
      </x:c>
      <x:c r="H1008" s="7" t="str"/>
      <x:c r="I1008" s="7" t="str"/>
      <x:c r="J1008" s="7" t="str">
        <x:f>IF(OR(H1008="",I1008=""),"",I1008-H1008)</x:f>
      </x:c>
      <x:c r="K1008" s="7" t="str"/>
      <x:c r="L1008" s="7" t="str"/>
      <x:c r="M1008" s="7" t="str">
        <x:f>IF(L1008="","OPEN",IF(OR(NOT(ISNUMBER(H1008)),NOT(ISNUMBER(I1008)),NOT(ISNUMBER(K1008)),ABS(J1008)&gt;K1008),"FAIL","PASS"))</x:f>
        <x:v>OPEN</x:v>
      </x:c>
    </x:row>
    <x:row r="1009">
      <x:c r="B1009" s="7" t="str">
        <x:v>CAL-CH-PEA-B-X1-24-1</x:v>
      </x:c>
      <x:c r="C1009" s="7" t="str">
        <x:v>CH-PEA-B-X1-24-1</x:v>
      </x:c>
      <x:c r="D1009" s="7" t="str">
        <x:v>PEA-B-X1</x:v>
      </x:c>
      <x:c r="E1009" s="7" t="str">
        <x:v>BLD-B</x:v>
      </x:c>
      <x:c r="F1009" s="7" t="str">
        <x:v>BL-X</x:v>
      </x:c>
      <x:c r="G1009" s="7" t="str">
        <x:v>MF-24</x:v>
      </x:c>
      <x:c r="H1009" s="7" t="str"/>
      <x:c r="I1009" s="7" t="str"/>
      <x:c r="J1009" s="7" t="str">
        <x:f>IF(OR(H1009="",I1009=""),"",I1009-H1009)</x:f>
      </x:c>
      <x:c r="K1009" s="7" t="str"/>
      <x:c r="L1009" s="7" t="str"/>
      <x:c r="M1009" s="7" t="str">
        <x:f>IF(L1009="","OPEN",IF(OR(NOT(ISNUMBER(H1009)),NOT(ISNUMBER(I1009)),NOT(ISNUMBER(K1009)),ABS(J1009)&gt;K1009),"FAIL","PASS"))</x:f>
        <x:v>OPEN</x:v>
      </x:c>
    </x:row>
    <x:row r="1010">
      <x:c r="B1010" s="7" t="str">
        <x:v>CAL-CH-PEA-B-X1-24-2</x:v>
      </x:c>
      <x:c r="C1010" s="7" t="str">
        <x:v>CH-PEA-B-X1-24-2</x:v>
      </x:c>
      <x:c r="D1010" s="7" t="str">
        <x:v>PEA-B-X1</x:v>
      </x:c>
      <x:c r="E1010" s="7" t="str">
        <x:v>BLD-B</x:v>
      </x:c>
      <x:c r="F1010" s="7" t="str">
        <x:v>BL-X</x:v>
      </x:c>
      <x:c r="G1010" s="7" t="str">
        <x:v>MF-24</x:v>
      </x:c>
      <x:c r="H1010" s="7" t="str"/>
      <x:c r="I1010" s="7" t="str"/>
      <x:c r="J1010" s="7" t="str">
        <x:f>IF(OR(H1010="",I1010=""),"",I1010-H1010)</x:f>
      </x:c>
      <x:c r="K1010" s="7" t="str"/>
      <x:c r="L1010" s="7" t="str"/>
      <x:c r="M1010" s="7" t="str">
        <x:f>IF(L1010="","OPEN",IF(OR(NOT(ISNUMBER(H1010)),NOT(ISNUMBER(I1010)),NOT(ISNUMBER(K1010)),ABS(J1010)&gt;K1010),"FAIL","PASS"))</x:f>
        <x:v>OPEN</x:v>
      </x:c>
    </x:row>
    <x:row r="1011">
      <x:c r="B1011" s="7" t="str">
        <x:v>CAL-CH-PEA-B-X1-24-3</x:v>
      </x:c>
      <x:c r="C1011" s="7" t="str">
        <x:v>CH-PEA-B-X1-24-3</x:v>
      </x:c>
      <x:c r="D1011" s="7" t="str">
        <x:v>PEA-B-X1</x:v>
      </x:c>
      <x:c r="E1011" s="7" t="str">
        <x:v>BLD-B</x:v>
      </x:c>
      <x:c r="F1011" s="7" t="str">
        <x:v>BL-X</x:v>
      </x:c>
      <x:c r="G1011" s="7" t="str">
        <x:v>MF-24</x:v>
      </x:c>
      <x:c r="H1011" s="7" t="str"/>
      <x:c r="I1011" s="7" t="str"/>
      <x:c r="J1011" s="7" t="str">
        <x:f>IF(OR(H1011="",I1011=""),"",I1011-H1011)</x:f>
      </x:c>
      <x:c r="K1011" s="7" t="str"/>
      <x:c r="L1011" s="7" t="str"/>
      <x:c r="M1011" s="7" t="str">
        <x:f>IF(L1011="","OPEN",IF(OR(NOT(ISNUMBER(H1011)),NOT(ISNUMBER(I1011)),NOT(ISNUMBER(K1011)),ABS(J1011)&gt;K1011),"FAIL","PASS"))</x:f>
        <x:v>OPEN</x:v>
      </x:c>
    </x:row>
    <x:row r="1012">
      <x:c r="B1012" s="7" t="str">
        <x:v>CAL-CH-PEA-B-X1-24-4</x:v>
      </x:c>
      <x:c r="C1012" s="7" t="str">
        <x:v>CH-PEA-B-X1-24-4</x:v>
      </x:c>
      <x:c r="D1012" s="7" t="str">
        <x:v>PEA-B-X1</x:v>
      </x:c>
      <x:c r="E1012" s="7" t="str">
        <x:v>BLD-B</x:v>
      </x:c>
      <x:c r="F1012" s="7" t="str">
        <x:v>BL-X</x:v>
      </x:c>
      <x:c r="G1012" s="7" t="str">
        <x:v>MF-24</x:v>
      </x:c>
      <x:c r="H1012" s="7" t="str"/>
      <x:c r="I1012" s="7" t="str"/>
      <x:c r="J1012" s="7" t="str">
        <x:f>IF(OR(H1012="",I1012=""),"",I1012-H1012)</x:f>
      </x:c>
      <x:c r="K1012" s="7" t="str"/>
      <x:c r="L1012" s="7" t="str"/>
      <x:c r="M1012" s="7" t="str">
        <x:f>IF(L1012="","OPEN",IF(OR(NOT(ISNUMBER(H1012)),NOT(ISNUMBER(I1012)),NOT(ISNUMBER(K1012)),ABS(J1012)&gt;K1012),"FAIL","PASS"))</x:f>
        <x:v>OPEN</x:v>
      </x:c>
    </x:row>
    <x:row r="1013">
      <x:c r="B1013" s="7" t="str">
        <x:v>CAL-CH-PEA-B-X1-24-5</x:v>
      </x:c>
      <x:c r="C1013" s="7" t="str">
        <x:v>CH-PEA-B-X1-24-5</x:v>
      </x:c>
      <x:c r="D1013" s="7" t="str">
        <x:v>PEA-B-X1</x:v>
      </x:c>
      <x:c r="E1013" s="7" t="str">
        <x:v>BLD-B</x:v>
      </x:c>
      <x:c r="F1013" s="7" t="str">
        <x:v>BL-X</x:v>
      </x:c>
      <x:c r="G1013" s="7" t="str">
        <x:v>MF-24</x:v>
      </x:c>
      <x:c r="H1013" s="7" t="str"/>
      <x:c r="I1013" s="7" t="str"/>
      <x:c r="J1013" s="7" t="str">
        <x:f>IF(OR(H1013="",I1013=""),"",I1013-H1013)</x:f>
      </x:c>
      <x:c r="K1013" s="7" t="str"/>
      <x:c r="L1013" s="7" t="str"/>
      <x:c r="M1013" s="7" t="str">
        <x:f>IF(L1013="","OPEN",IF(OR(NOT(ISNUMBER(H1013)),NOT(ISNUMBER(I1013)),NOT(ISNUMBER(K1013)),ABS(J1013)&gt;K1013),"FAIL","PASS"))</x:f>
        <x:v>OPEN</x:v>
      </x:c>
    </x:row>
    <x:row r="1014">
      <x:c r="B1014" s="7" t="str">
        <x:v>CAL-CH-PEA-B-X1-24-6</x:v>
      </x:c>
      <x:c r="C1014" s="7" t="str">
        <x:v>CH-PEA-B-X1-24-6</x:v>
      </x:c>
      <x:c r="D1014" s="7" t="str">
        <x:v>PEA-B-X1</x:v>
      </x:c>
      <x:c r="E1014" s="7" t="str">
        <x:v>BLD-B</x:v>
      </x:c>
      <x:c r="F1014" s="7" t="str">
        <x:v>BL-X</x:v>
      </x:c>
      <x:c r="G1014" s="7" t="str">
        <x:v>MF-24</x:v>
      </x:c>
      <x:c r="H1014" s="7" t="str"/>
      <x:c r="I1014" s="7" t="str"/>
      <x:c r="J1014" s="7" t="str">
        <x:f>IF(OR(H1014="",I1014=""),"",I1014-H1014)</x:f>
      </x:c>
      <x:c r="K1014" s="7" t="str"/>
      <x:c r="L1014" s="7" t="str"/>
      <x:c r="M1014" s="7" t="str">
        <x:f>IF(L1014="","OPEN",IF(OR(NOT(ISNUMBER(H1014)),NOT(ISNUMBER(I1014)),NOT(ISNUMBER(K1014)),ABS(J1014)&gt;K1014),"FAIL","PASS"))</x:f>
        <x:v>OPEN</x:v>
      </x:c>
    </x:row>
    <x:row r="1015">
      <x:c r="B1015" s="7" t="str">
        <x:v>CAL-CH-PEA-B-X2-01-1</x:v>
      </x:c>
      <x:c r="C1015" s="7" t="str">
        <x:v>CH-PEA-B-X2-01-1</x:v>
      </x:c>
      <x:c r="D1015" s="7" t="str">
        <x:v>PEA-B-X2</x:v>
      </x:c>
      <x:c r="E1015" s="7" t="str">
        <x:v>BLD-B</x:v>
      </x:c>
      <x:c r="F1015" s="7" t="str">
        <x:v>BL-X</x:v>
      </x:c>
      <x:c r="G1015" s="7" t="str">
        <x:v>MF-01</x:v>
      </x:c>
      <x:c r="H1015" s="7" t="str"/>
      <x:c r="I1015" s="7" t="str"/>
      <x:c r="J1015" s="7" t="str">
        <x:f>IF(OR(H1015="",I1015=""),"",I1015-H1015)</x:f>
      </x:c>
      <x:c r="K1015" s="7" t="str"/>
      <x:c r="L1015" s="7" t="str"/>
      <x:c r="M1015" s="7" t="str">
        <x:f>IF(L1015="","OPEN",IF(OR(NOT(ISNUMBER(H1015)),NOT(ISNUMBER(I1015)),NOT(ISNUMBER(K1015)),ABS(J1015)&gt;K1015),"FAIL","PASS"))</x:f>
        <x:v>OPEN</x:v>
      </x:c>
    </x:row>
    <x:row r="1016">
      <x:c r="B1016" s="7" t="str">
        <x:v>CAL-CH-PEA-B-X2-01-2</x:v>
      </x:c>
      <x:c r="C1016" s="7" t="str">
        <x:v>CH-PEA-B-X2-01-2</x:v>
      </x:c>
      <x:c r="D1016" s="7" t="str">
        <x:v>PEA-B-X2</x:v>
      </x:c>
      <x:c r="E1016" s="7" t="str">
        <x:v>BLD-B</x:v>
      </x:c>
      <x:c r="F1016" s="7" t="str">
        <x:v>BL-X</x:v>
      </x:c>
      <x:c r="G1016" s="7" t="str">
        <x:v>MF-01</x:v>
      </x:c>
      <x:c r="H1016" s="7" t="str"/>
      <x:c r="I1016" s="7" t="str"/>
      <x:c r="J1016" s="7" t="str">
        <x:f>IF(OR(H1016="",I1016=""),"",I1016-H1016)</x:f>
      </x:c>
      <x:c r="K1016" s="7" t="str"/>
      <x:c r="L1016" s="7" t="str"/>
      <x:c r="M1016" s="7" t="str">
        <x:f>IF(L1016="","OPEN",IF(OR(NOT(ISNUMBER(H1016)),NOT(ISNUMBER(I1016)),NOT(ISNUMBER(K1016)),ABS(J1016)&gt;K1016),"FAIL","PASS"))</x:f>
        <x:v>OPEN</x:v>
      </x:c>
    </x:row>
    <x:row r="1017">
      <x:c r="B1017" s="7" t="str">
        <x:v>CAL-CH-PEA-B-X2-01-3</x:v>
      </x:c>
      <x:c r="C1017" s="7" t="str">
        <x:v>CH-PEA-B-X2-01-3</x:v>
      </x:c>
      <x:c r="D1017" s="7" t="str">
        <x:v>PEA-B-X2</x:v>
      </x:c>
      <x:c r="E1017" s="7" t="str">
        <x:v>BLD-B</x:v>
      </x:c>
      <x:c r="F1017" s="7" t="str">
        <x:v>BL-X</x:v>
      </x:c>
      <x:c r="G1017" s="7" t="str">
        <x:v>MF-01</x:v>
      </x:c>
      <x:c r="H1017" s="7" t="str"/>
      <x:c r="I1017" s="7" t="str"/>
      <x:c r="J1017" s="7" t="str">
        <x:f>IF(OR(H1017="",I1017=""),"",I1017-H1017)</x:f>
      </x:c>
      <x:c r="K1017" s="7" t="str"/>
      <x:c r="L1017" s="7" t="str"/>
      <x:c r="M1017" s="7" t="str">
        <x:f>IF(L1017="","OPEN",IF(OR(NOT(ISNUMBER(H1017)),NOT(ISNUMBER(I1017)),NOT(ISNUMBER(K1017)),ABS(J1017)&gt;K1017),"FAIL","PASS"))</x:f>
        <x:v>OPEN</x:v>
      </x:c>
    </x:row>
    <x:row r="1018">
      <x:c r="B1018" s="7" t="str">
        <x:v>CAL-CH-PEA-B-X2-01-4</x:v>
      </x:c>
      <x:c r="C1018" s="7" t="str">
        <x:v>CH-PEA-B-X2-01-4</x:v>
      </x:c>
      <x:c r="D1018" s="7" t="str">
        <x:v>PEA-B-X2</x:v>
      </x:c>
      <x:c r="E1018" s="7" t="str">
        <x:v>BLD-B</x:v>
      </x:c>
      <x:c r="F1018" s="7" t="str">
        <x:v>BL-X</x:v>
      </x:c>
      <x:c r="G1018" s="7" t="str">
        <x:v>MF-01</x:v>
      </x:c>
      <x:c r="H1018" s="7" t="str"/>
      <x:c r="I1018" s="7" t="str"/>
      <x:c r="J1018" s="7" t="str">
        <x:f>IF(OR(H1018="",I1018=""),"",I1018-H1018)</x:f>
      </x:c>
      <x:c r="K1018" s="7" t="str"/>
      <x:c r="L1018" s="7" t="str"/>
      <x:c r="M1018" s="7" t="str">
        <x:f>IF(L1018="","OPEN",IF(OR(NOT(ISNUMBER(H1018)),NOT(ISNUMBER(I1018)),NOT(ISNUMBER(K1018)),ABS(J1018)&gt;K1018),"FAIL","PASS"))</x:f>
        <x:v>OPEN</x:v>
      </x:c>
    </x:row>
    <x:row r="1019">
      <x:c r="B1019" s="7" t="str">
        <x:v>CAL-CH-PEA-B-X2-01-5</x:v>
      </x:c>
      <x:c r="C1019" s="7" t="str">
        <x:v>CH-PEA-B-X2-01-5</x:v>
      </x:c>
      <x:c r="D1019" s="7" t="str">
        <x:v>PEA-B-X2</x:v>
      </x:c>
      <x:c r="E1019" s="7" t="str">
        <x:v>BLD-B</x:v>
      </x:c>
      <x:c r="F1019" s="7" t="str">
        <x:v>BL-X</x:v>
      </x:c>
      <x:c r="G1019" s="7" t="str">
        <x:v>MF-01</x:v>
      </x:c>
      <x:c r="H1019" s="7" t="str"/>
      <x:c r="I1019" s="7" t="str"/>
      <x:c r="J1019" s="7" t="str">
        <x:f>IF(OR(H1019="",I1019=""),"",I1019-H1019)</x:f>
      </x:c>
      <x:c r="K1019" s="7" t="str"/>
      <x:c r="L1019" s="7" t="str"/>
      <x:c r="M1019" s="7" t="str">
        <x:f>IF(L1019="","OPEN",IF(OR(NOT(ISNUMBER(H1019)),NOT(ISNUMBER(I1019)),NOT(ISNUMBER(K1019)),ABS(J1019)&gt;K1019),"FAIL","PASS"))</x:f>
        <x:v>OPEN</x:v>
      </x:c>
    </x:row>
    <x:row r="1020">
      <x:c r="B1020" s="7" t="str">
        <x:v>CAL-CH-PEA-B-X2-01-6</x:v>
      </x:c>
      <x:c r="C1020" s="7" t="str">
        <x:v>CH-PEA-B-X2-01-6</x:v>
      </x:c>
      <x:c r="D1020" s="7" t="str">
        <x:v>PEA-B-X2</x:v>
      </x:c>
      <x:c r="E1020" s="7" t="str">
        <x:v>BLD-B</x:v>
      </x:c>
      <x:c r="F1020" s="7" t="str">
        <x:v>BL-X</x:v>
      </x:c>
      <x:c r="G1020" s="7" t="str">
        <x:v>MF-01</x:v>
      </x:c>
      <x:c r="H1020" s="7" t="str"/>
      <x:c r="I1020" s="7" t="str"/>
      <x:c r="J1020" s="7" t="str">
        <x:f>IF(OR(H1020="",I1020=""),"",I1020-H1020)</x:f>
      </x:c>
      <x:c r="K1020" s="7" t="str"/>
      <x:c r="L1020" s="7" t="str"/>
      <x:c r="M1020" s="7" t="str">
        <x:f>IF(L1020="","OPEN",IF(OR(NOT(ISNUMBER(H1020)),NOT(ISNUMBER(I1020)),NOT(ISNUMBER(K1020)),ABS(J1020)&gt;K1020),"FAIL","PASS"))</x:f>
        <x:v>OPEN</x:v>
      </x:c>
    </x:row>
    <x:row r="1021">
      <x:c r="B1021" s="7" t="str">
        <x:v>CAL-CH-PEA-B-X2-02-1</x:v>
      </x:c>
      <x:c r="C1021" s="7" t="str">
        <x:v>CH-PEA-B-X2-02-1</x:v>
      </x:c>
      <x:c r="D1021" s="7" t="str">
        <x:v>PEA-B-X2</x:v>
      </x:c>
      <x:c r="E1021" s="7" t="str">
        <x:v>BLD-B</x:v>
      </x:c>
      <x:c r="F1021" s="7" t="str">
        <x:v>BL-X</x:v>
      </x:c>
      <x:c r="G1021" s="7" t="str">
        <x:v>MF-02</x:v>
      </x:c>
      <x:c r="H1021" s="7" t="str"/>
      <x:c r="I1021" s="7" t="str"/>
      <x:c r="J1021" s="7" t="str">
        <x:f>IF(OR(H1021="",I1021=""),"",I1021-H1021)</x:f>
      </x:c>
      <x:c r="K1021" s="7" t="str"/>
      <x:c r="L1021" s="7" t="str"/>
      <x:c r="M1021" s="7" t="str">
        <x:f>IF(L1021="","OPEN",IF(OR(NOT(ISNUMBER(H1021)),NOT(ISNUMBER(I1021)),NOT(ISNUMBER(K1021)),ABS(J1021)&gt;K1021),"FAIL","PASS"))</x:f>
        <x:v>OPEN</x:v>
      </x:c>
    </x:row>
    <x:row r="1022">
      <x:c r="B1022" s="7" t="str">
        <x:v>CAL-CH-PEA-B-X2-02-2</x:v>
      </x:c>
      <x:c r="C1022" s="7" t="str">
        <x:v>CH-PEA-B-X2-02-2</x:v>
      </x:c>
      <x:c r="D1022" s="7" t="str">
        <x:v>PEA-B-X2</x:v>
      </x:c>
      <x:c r="E1022" s="7" t="str">
        <x:v>BLD-B</x:v>
      </x:c>
      <x:c r="F1022" s="7" t="str">
        <x:v>BL-X</x:v>
      </x:c>
      <x:c r="G1022" s="7" t="str">
        <x:v>MF-02</x:v>
      </x:c>
      <x:c r="H1022" s="7" t="str"/>
      <x:c r="I1022" s="7" t="str"/>
      <x:c r="J1022" s="7" t="str">
        <x:f>IF(OR(H1022="",I1022=""),"",I1022-H1022)</x:f>
      </x:c>
      <x:c r="K1022" s="7" t="str"/>
      <x:c r="L1022" s="7" t="str"/>
      <x:c r="M1022" s="7" t="str">
        <x:f>IF(L1022="","OPEN",IF(OR(NOT(ISNUMBER(H1022)),NOT(ISNUMBER(I1022)),NOT(ISNUMBER(K1022)),ABS(J1022)&gt;K1022),"FAIL","PASS"))</x:f>
        <x:v>OPEN</x:v>
      </x:c>
    </x:row>
    <x:row r="1023">
      <x:c r="B1023" s="7" t="str">
        <x:v>CAL-CH-PEA-B-X2-02-3</x:v>
      </x:c>
      <x:c r="C1023" s="7" t="str">
        <x:v>CH-PEA-B-X2-02-3</x:v>
      </x:c>
      <x:c r="D1023" s="7" t="str">
        <x:v>PEA-B-X2</x:v>
      </x:c>
      <x:c r="E1023" s="7" t="str">
        <x:v>BLD-B</x:v>
      </x:c>
      <x:c r="F1023" s="7" t="str">
        <x:v>BL-X</x:v>
      </x:c>
      <x:c r="G1023" s="7" t="str">
        <x:v>MF-02</x:v>
      </x:c>
      <x:c r="H1023" s="7" t="str"/>
      <x:c r="I1023" s="7" t="str"/>
      <x:c r="J1023" s="7" t="str">
        <x:f>IF(OR(H1023="",I1023=""),"",I1023-H1023)</x:f>
      </x:c>
      <x:c r="K1023" s="7" t="str"/>
      <x:c r="L1023" s="7" t="str"/>
      <x:c r="M1023" s="7" t="str">
        <x:f>IF(L1023="","OPEN",IF(OR(NOT(ISNUMBER(H1023)),NOT(ISNUMBER(I1023)),NOT(ISNUMBER(K1023)),ABS(J1023)&gt;K1023),"FAIL","PASS"))</x:f>
        <x:v>OPEN</x:v>
      </x:c>
    </x:row>
    <x:row r="1024">
      <x:c r="B1024" s="7" t="str">
        <x:v>CAL-CH-PEA-B-X2-02-4</x:v>
      </x:c>
      <x:c r="C1024" s="7" t="str">
        <x:v>CH-PEA-B-X2-02-4</x:v>
      </x:c>
      <x:c r="D1024" s="7" t="str">
        <x:v>PEA-B-X2</x:v>
      </x:c>
      <x:c r="E1024" s="7" t="str">
        <x:v>BLD-B</x:v>
      </x:c>
      <x:c r="F1024" s="7" t="str">
        <x:v>BL-X</x:v>
      </x:c>
      <x:c r="G1024" s="7" t="str">
        <x:v>MF-02</x:v>
      </x:c>
      <x:c r="H1024" s="7" t="str"/>
      <x:c r="I1024" s="7" t="str"/>
      <x:c r="J1024" s="7" t="str">
        <x:f>IF(OR(H1024="",I1024=""),"",I1024-H1024)</x:f>
      </x:c>
      <x:c r="K1024" s="7" t="str"/>
      <x:c r="L1024" s="7" t="str"/>
      <x:c r="M1024" s="7" t="str">
        <x:f>IF(L1024="","OPEN",IF(OR(NOT(ISNUMBER(H1024)),NOT(ISNUMBER(I1024)),NOT(ISNUMBER(K1024)),ABS(J1024)&gt;K1024),"FAIL","PASS"))</x:f>
        <x:v>OPEN</x:v>
      </x:c>
    </x:row>
    <x:row r="1025">
      <x:c r="B1025" s="7" t="str">
        <x:v>CAL-CH-PEA-B-X2-02-5</x:v>
      </x:c>
      <x:c r="C1025" s="7" t="str">
        <x:v>CH-PEA-B-X2-02-5</x:v>
      </x:c>
      <x:c r="D1025" s="7" t="str">
        <x:v>PEA-B-X2</x:v>
      </x:c>
      <x:c r="E1025" s="7" t="str">
        <x:v>BLD-B</x:v>
      </x:c>
      <x:c r="F1025" s="7" t="str">
        <x:v>BL-X</x:v>
      </x:c>
      <x:c r="G1025" s="7" t="str">
        <x:v>MF-02</x:v>
      </x:c>
      <x:c r="H1025" s="7" t="str"/>
      <x:c r="I1025" s="7" t="str"/>
      <x:c r="J1025" s="7" t="str">
        <x:f>IF(OR(H1025="",I1025=""),"",I1025-H1025)</x:f>
      </x:c>
      <x:c r="K1025" s="7" t="str"/>
      <x:c r="L1025" s="7" t="str"/>
      <x:c r="M1025" s="7" t="str">
        <x:f>IF(L1025="","OPEN",IF(OR(NOT(ISNUMBER(H1025)),NOT(ISNUMBER(I1025)),NOT(ISNUMBER(K1025)),ABS(J1025)&gt;K1025),"FAIL","PASS"))</x:f>
        <x:v>OPEN</x:v>
      </x:c>
    </x:row>
    <x:row r="1026">
      <x:c r="B1026" s="7" t="str">
        <x:v>CAL-CH-PEA-B-X2-02-6</x:v>
      </x:c>
      <x:c r="C1026" s="7" t="str">
        <x:v>CH-PEA-B-X2-02-6</x:v>
      </x:c>
      <x:c r="D1026" s="7" t="str">
        <x:v>PEA-B-X2</x:v>
      </x:c>
      <x:c r="E1026" s="7" t="str">
        <x:v>BLD-B</x:v>
      </x:c>
      <x:c r="F1026" s="7" t="str">
        <x:v>BL-X</x:v>
      </x:c>
      <x:c r="G1026" s="7" t="str">
        <x:v>MF-02</x:v>
      </x:c>
      <x:c r="H1026" s="7" t="str"/>
      <x:c r="I1026" s="7" t="str"/>
      <x:c r="J1026" s="7" t="str">
        <x:f>IF(OR(H1026="",I1026=""),"",I1026-H1026)</x:f>
      </x:c>
      <x:c r="K1026" s="7" t="str"/>
      <x:c r="L1026" s="7" t="str"/>
      <x:c r="M1026" s="7" t="str">
        <x:f>IF(L1026="","OPEN",IF(OR(NOT(ISNUMBER(H1026)),NOT(ISNUMBER(I1026)),NOT(ISNUMBER(K1026)),ABS(J1026)&gt;K1026),"FAIL","PASS"))</x:f>
        <x:v>OPEN</x:v>
      </x:c>
    </x:row>
    <x:row r="1027">
      <x:c r="B1027" s="7" t="str">
        <x:v>CAL-CH-PEA-B-X2-03-1</x:v>
      </x:c>
      <x:c r="C1027" s="7" t="str">
        <x:v>CH-PEA-B-X2-03-1</x:v>
      </x:c>
      <x:c r="D1027" s="7" t="str">
        <x:v>PEA-B-X2</x:v>
      </x:c>
      <x:c r="E1027" s="7" t="str">
        <x:v>BLD-B</x:v>
      </x:c>
      <x:c r="F1027" s="7" t="str">
        <x:v>BL-X</x:v>
      </x:c>
      <x:c r="G1027" s="7" t="str">
        <x:v>MF-03</x:v>
      </x:c>
      <x:c r="H1027" s="7" t="str"/>
      <x:c r="I1027" s="7" t="str"/>
      <x:c r="J1027" s="7" t="str">
        <x:f>IF(OR(H1027="",I1027=""),"",I1027-H1027)</x:f>
      </x:c>
      <x:c r="K1027" s="7" t="str"/>
      <x:c r="L1027" s="7" t="str"/>
      <x:c r="M1027" s="7" t="str">
        <x:f>IF(L1027="","OPEN",IF(OR(NOT(ISNUMBER(H1027)),NOT(ISNUMBER(I1027)),NOT(ISNUMBER(K1027)),ABS(J1027)&gt;K1027),"FAIL","PASS"))</x:f>
        <x:v>OPEN</x:v>
      </x:c>
    </x:row>
    <x:row r="1028">
      <x:c r="B1028" s="7" t="str">
        <x:v>CAL-CH-PEA-B-X2-03-2</x:v>
      </x:c>
      <x:c r="C1028" s="7" t="str">
        <x:v>CH-PEA-B-X2-03-2</x:v>
      </x:c>
      <x:c r="D1028" s="7" t="str">
        <x:v>PEA-B-X2</x:v>
      </x:c>
      <x:c r="E1028" s="7" t="str">
        <x:v>BLD-B</x:v>
      </x:c>
      <x:c r="F1028" s="7" t="str">
        <x:v>BL-X</x:v>
      </x:c>
      <x:c r="G1028" s="7" t="str">
        <x:v>MF-03</x:v>
      </x:c>
      <x:c r="H1028" s="7" t="str"/>
      <x:c r="I1028" s="7" t="str"/>
      <x:c r="J1028" s="7" t="str">
        <x:f>IF(OR(H1028="",I1028=""),"",I1028-H1028)</x:f>
      </x:c>
      <x:c r="K1028" s="7" t="str"/>
      <x:c r="L1028" s="7" t="str"/>
      <x:c r="M1028" s="7" t="str">
        <x:f>IF(L1028="","OPEN",IF(OR(NOT(ISNUMBER(H1028)),NOT(ISNUMBER(I1028)),NOT(ISNUMBER(K1028)),ABS(J1028)&gt;K1028),"FAIL","PASS"))</x:f>
        <x:v>OPEN</x:v>
      </x:c>
    </x:row>
    <x:row r="1029">
      <x:c r="B1029" s="7" t="str">
        <x:v>CAL-CH-PEA-B-X2-03-3</x:v>
      </x:c>
      <x:c r="C1029" s="7" t="str">
        <x:v>CH-PEA-B-X2-03-3</x:v>
      </x:c>
      <x:c r="D1029" s="7" t="str">
        <x:v>PEA-B-X2</x:v>
      </x:c>
      <x:c r="E1029" s="7" t="str">
        <x:v>BLD-B</x:v>
      </x:c>
      <x:c r="F1029" s="7" t="str">
        <x:v>BL-X</x:v>
      </x:c>
      <x:c r="G1029" s="7" t="str">
        <x:v>MF-03</x:v>
      </x:c>
      <x:c r="H1029" s="7" t="str"/>
      <x:c r="I1029" s="7" t="str"/>
      <x:c r="J1029" s="7" t="str">
        <x:f>IF(OR(H1029="",I1029=""),"",I1029-H1029)</x:f>
      </x:c>
      <x:c r="K1029" s="7" t="str"/>
      <x:c r="L1029" s="7" t="str"/>
      <x:c r="M1029" s="7" t="str">
        <x:f>IF(L1029="","OPEN",IF(OR(NOT(ISNUMBER(H1029)),NOT(ISNUMBER(I1029)),NOT(ISNUMBER(K1029)),ABS(J1029)&gt;K1029),"FAIL","PASS"))</x:f>
        <x:v>OPEN</x:v>
      </x:c>
    </x:row>
    <x:row r="1030">
      <x:c r="B1030" s="7" t="str">
        <x:v>CAL-CH-PEA-B-X2-03-4</x:v>
      </x:c>
      <x:c r="C1030" s="7" t="str">
        <x:v>CH-PEA-B-X2-03-4</x:v>
      </x:c>
      <x:c r="D1030" s="7" t="str">
        <x:v>PEA-B-X2</x:v>
      </x:c>
      <x:c r="E1030" s="7" t="str">
        <x:v>BLD-B</x:v>
      </x:c>
      <x:c r="F1030" s="7" t="str">
        <x:v>BL-X</x:v>
      </x:c>
      <x:c r="G1030" s="7" t="str">
        <x:v>MF-03</x:v>
      </x:c>
      <x:c r="H1030" s="7" t="str"/>
      <x:c r="I1030" s="7" t="str"/>
      <x:c r="J1030" s="7" t="str">
        <x:f>IF(OR(H1030="",I1030=""),"",I1030-H1030)</x:f>
      </x:c>
      <x:c r="K1030" s="7" t="str"/>
      <x:c r="L1030" s="7" t="str"/>
      <x:c r="M1030" s="7" t="str">
        <x:f>IF(L1030="","OPEN",IF(OR(NOT(ISNUMBER(H1030)),NOT(ISNUMBER(I1030)),NOT(ISNUMBER(K1030)),ABS(J1030)&gt;K1030),"FAIL","PASS"))</x:f>
        <x:v>OPEN</x:v>
      </x:c>
    </x:row>
    <x:row r="1031">
      <x:c r="B1031" s="7" t="str">
        <x:v>CAL-CH-PEA-B-X2-03-5</x:v>
      </x:c>
      <x:c r="C1031" s="7" t="str">
        <x:v>CH-PEA-B-X2-03-5</x:v>
      </x:c>
      <x:c r="D1031" s="7" t="str">
        <x:v>PEA-B-X2</x:v>
      </x:c>
      <x:c r="E1031" s="7" t="str">
        <x:v>BLD-B</x:v>
      </x:c>
      <x:c r="F1031" s="7" t="str">
        <x:v>BL-X</x:v>
      </x:c>
      <x:c r="G1031" s="7" t="str">
        <x:v>MF-03</x:v>
      </x:c>
      <x:c r="H1031" s="7" t="str"/>
      <x:c r="I1031" s="7" t="str"/>
      <x:c r="J1031" s="7" t="str">
        <x:f>IF(OR(H1031="",I1031=""),"",I1031-H1031)</x:f>
      </x:c>
      <x:c r="K1031" s="7" t="str"/>
      <x:c r="L1031" s="7" t="str"/>
      <x:c r="M1031" s="7" t="str">
        <x:f>IF(L1031="","OPEN",IF(OR(NOT(ISNUMBER(H1031)),NOT(ISNUMBER(I1031)),NOT(ISNUMBER(K1031)),ABS(J1031)&gt;K1031),"FAIL","PASS"))</x:f>
        <x:v>OPEN</x:v>
      </x:c>
    </x:row>
    <x:row r="1032">
      <x:c r="B1032" s="7" t="str">
        <x:v>CAL-CH-PEA-B-X2-03-6</x:v>
      </x:c>
      <x:c r="C1032" s="7" t="str">
        <x:v>CH-PEA-B-X2-03-6</x:v>
      </x:c>
      <x:c r="D1032" s="7" t="str">
        <x:v>PEA-B-X2</x:v>
      </x:c>
      <x:c r="E1032" s="7" t="str">
        <x:v>BLD-B</x:v>
      </x:c>
      <x:c r="F1032" s="7" t="str">
        <x:v>BL-X</x:v>
      </x:c>
      <x:c r="G1032" s="7" t="str">
        <x:v>MF-03</x:v>
      </x:c>
      <x:c r="H1032" s="7" t="str"/>
      <x:c r="I1032" s="7" t="str"/>
      <x:c r="J1032" s="7" t="str">
        <x:f>IF(OR(H1032="",I1032=""),"",I1032-H1032)</x:f>
      </x:c>
      <x:c r="K1032" s="7" t="str"/>
      <x:c r="L1032" s="7" t="str"/>
      <x:c r="M1032" s="7" t="str">
        <x:f>IF(L1032="","OPEN",IF(OR(NOT(ISNUMBER(H1032)),NOT(ISNUMBER(I1032)),NOT(ISNUMBER(K1032)),ABS(J1032)&gt;K1032),"FAIL","PASS"))</x:f>
        <x:v>OPEN</x:v>
      </x:c>
    </x:row>
    <x:row r="1033">
      <x:c r="B1033" s="7" t="str">
        <x:v>CAL-CH-PEA-B-X2-04-1</x:v>
      </x:c>
      <x:c r="C1033" s="7" t="str">
        <x:v>CH-PEA-B-X2-04-1</x:v>
      </x:c>
      <x:c r="D1033" s="7" t="str">
        <x:v>PEA-B-X2</x:v>
      </x:c>
      <x:c r="E1033" s="7" t="str">
        <x:v>BLD-B</x:v>
      </x:c>
      <x:c r="F1033" s="7" t="str">
        <x:v>BL-X</x:v>
      </x:c>
      <x:c r="G1033" s="7" t="str">
        <x:v>MF-04</x:v>
      </x:c>
      <x:c r="H1033" s="7" t="str"/>
      <x:c r="I1033" s="7" t="str"/>
      <x:c r="J1033" s="7" t="str">
        <x:f>IF(OR(H1033="",I1033=""),"",I1033-H1033)</x:f>
      </x:c>
      <x:c r="K1033" s="7" t="str"/>
      <x:c r="L1033" s="7" t="str"/>
      <x:c r="M1033" s="7" t="str">
        <x:f>IF(L1033="","OPEN",IF(OR(NOT(ISNUMBER(H1033)),NOT(ISNUMBER(I1033)),NOT(ISNUMBER(K1033)),ABS(J1033)&gt;K1033),"FAIL","PASS"))</x:f>
        <x:v>OPEN</x:v>
      </x:c>
    </x:row>
    <x:row r="1034">
      <x:c r="B1034" s="7" t="str">
        <x:v>CAL-CH-PEA-B-X2-04-2</x:v>
      </x:c>
      <x:c r="C1034" s="7" t="str">
        <x:v>CH-PEA-B-X2-04-2</x:v>
      </x:c>
      <x:c r="D1034" s="7" t="str">
        <x:v>PEA-B-X2</x:v>
      </x:c>
      <x:c r="E1034" s="7" t="str">
        <x:v>BLD-B</x:v>
      </x:c>
      <x:c r="F1034" s="7" t="str">
        <x:v>BL-X</x:v>
      </x:c>
      <x:c r="G1034" s="7" t="str">
        <x:v>MF-04</x:v>
      </x:c>
      <x:c r="H1034" s="7" t="str"/>
      <x:c r="I1034" s="7" t="str"/>
      <x:c r="J1034" s="7" t="str">
        <x:f>IF(OR(H1034="",I1034=""),"",I1034-H1034)</x:f>
      </x:c>
      <x:c r="K1034" s="7" t="str"/>
      <x:c r="L1034" s="7" t="str"/>
      <x:c r="M1034" s="7" t="str">
        <x:f>IF(L1034="","OPEN",IF(OR(NOT(ISNUMBER(H1034)),NOT(ISNUMBER(I1034)),NOT(ISNUMBER(K1034)),ABS(J1034)&gt;K1034),"FAIL","PASS"))</x:f>
        <x:v>OPEN</x:v>
      </x:c>
    </x:row>
    <x:row r="1035">
      <x:c r="B1035" s="7" t="str">
        <x:v>CAL-CH-PEA-B-X2-04-3</x:v>
      </x:c>
      <x:c r="C1035" s="7" t="str">
        <x:v>CH-PEA-B-X2-04-3</x:v>
      </x:c>
      <x:c r="D1035" s="7" t="str">
        <x:v>PEA-B-X2</x:v>
      </x:c>
      <x:c r="E1035" s="7" t="str">
        <x:v>BLD-B</x:v>
      </x:c>
      <x:c r="F1035" s="7" t="str">
        <x:v>BL-X</x:v>
      </x:c>
      <x:c r="G1035" s="7" t="str">
        <x:v>MF-04</x:v>
      </x:c>
      <x:c r="H1035" s="7" t="str"/>
      <x:c r="I1035" s="7" t="str"/>
      <x:c r="J1035" s="7" t="str">
        <x:f>IF(OR(H1035="",I1035=""),"",I1035-H1035)</x:f>
      </x:c>
      <x:c r="K1035" s="7" t="str"/>
      <x:c r="L1035" s="7" t="str"/>
      <x:c r="M1035" s="7" t="str">
        <x:f>IF(L1035="","OPEN",IF(OR(NOT(ISNUMBER(H1035)),NOT(ISNUMBER(I1035)),NOT(ISNUMBER(K1035)),ABS(J1035)&gt;K1035),"FAIL","PASS"))</x:f>
        <x:v>OPEN</x:v>
      </x:c>
    </x:row>
    <x:row r="1036">
      <x:c r="B1036" s="7" t="str">
        <x:v>CAL-CH-PEA-B-X2-04-4</x:v>
      </x:c>
      <x:c r="C1036" s="7" t="str">
        <x:v>CH-PEA-B-X2-04-4</x:v>
      </x:c>
      <x:c r="D1036" s="7" t="str">
        <x:v>PEA-B-X2</x:v>
      </x:c>
      <x:c r="E1036" s="7" t="str">
        <x:v>BLD-B</x:v>
      </x:c>
      <x:c r="F1036" s="7" t="str">
        <x:v>BL-X</x:v>
      </x:c>
      <x:c r="G1036" s="7" t="str">
        <x:v>MF-04</x:v>
      </x:c>
      <x:c r="H1036" s="7" t="str"/>
      <x:c r="I1036" s="7" t="str"/>
      <x:c r="J1036" s="7" t="str">
        <x:f>IF(OR(H1036="",I1036=""),"",I1036-H1036)</x:f>
      </x:c>
      <x:c r="K1036" s="7" t="str"/>
      <x:c r="L1036" s="7" t="str"/>
      <x:c r="M1036" s="7" t="str">
        <x:f>IF(L1036="","OPEN",IF(OR(NOT(ISNUMBER(H1036)),NOT(ISNUMBER(I1036)),NOT(ISNUMBER(K1036)),ABS(J1036)&gt;K1036),"FAIL","PASS"))</x:f>
        <x:v>OPEN</x:v>
      </x:c>
    </x:row>
    <x:row r="1037">
      <x:c r="B1037" s="7" t="str">
        <x:v>CAL-CH-PEA-B-X2-04-5</x:v>
      </x:c>
      <x:c r="C1037" s="7" t="str">
        <x:v>CH-PEA-B-X2-04-5</x:v>
      </x:c>
      <x:c r="D1037" s="7" t="str">
        <x:v>PEA-B-X2</x:v>
      </x:c>
      <x:c r="E1037" s="7" t="str">
        <x:v>BLD-B</x:v>
      </x:c>
      <x:c r="F1037" s="7" t="str">
        <x:v>BL-X</x:v>
      </x:c>
      <x:c r="G1037" s="7" t="str">
        <x:v>MF-04</x:v>
      </x:c>
      <x:c r="H1037" s="7" t="str"/>
      <x:c r="I1037" s="7" t="str"/>
      <x:c r="J1037" s="7" t="str">
        <x:f>IF(OR(H1037="",I1037=""),"",I1037-H1037)</x:f>
      </x:c>
      <x:c r="K1037" s="7" t="str"/>
      <x:c r="L1037" s="7" t="str"/>
      <x:c r="M1037" s="7" t="str">
        <x:f>IF(L1037="","OPEN",IF(OR(NOT(ISNUMBER(H1037)),NOT(ISNUMBER(I1037)),NOT(ISNUMBER(K1037)),ABS(J1037)&gt;K1037),"FAIL","PASS"))</x:f>
        <x:v>OPEN</x:v>
      </x:c>
    </x:row>
    <x:row r="1038">
      <x:c r="B1038" s="7" t="str">
        <x:v>CAL-CH-PEA-B-X2-04-6</x:v>
      </x:c>
      <x:c r="C1038" s="7" t="str">
        <x:v>CH-PEA-B-X2-04-6</x:v>
      </x:c>
      <x:c r="D1038" s="7" t="str">
        <x:v>PEA-B-X2</x:v>
      </x:c>
      <x:c r="E1038" s="7" t="str">
        <x:v>BLD-B</x:v>
      </x:c>
      <x:c r="F1038" s="7" t="str">
        <x:v>BL-X</x:v>
      </x:c>
      <x:c r="G1038" s="7" t="str">
        <x:v>MF-04</x:v>
      </x:c>
      <x:c r="H1038" s="7" t="str"/>
      <x:c r="I1038" s="7" t="str"/>
      <x:c r="J1038" s="7" t="str">
        <x:f>IF(OR(H1038="",I1038=""),"",I1038-H1038)</x:f>
      </x:c>
      <x:c r="K1038" s="7" t="str"/>
      <x:c r="L1038" s="7" t="str"/>
      <x:c r="M1038" s="7" t="str">
        <x:f>IF(L1038="","OPEN",IF(OR(NOT(ISNUMBER(H1038)),NOT(ISNUMBER(I1038)),NOT(ISNUMBER(K1038)),ABS(J1038)&gt;K1038),"FAIL","PASS"))</x:f>
        <x:v>OPEN</x:v>
      </x:c>
    </x:row>
    <x:row r="1039">
      <x:c r="B1039" s="7" t="str">
        <x:v>CAL-CH-PEA-B-X2-05-1</x:v>
      </x:c>
      <x:c r="C1039" s="7" t="str">
        <x:v>CH-PEA-B-X2-05-1</x:v>
      </x:c>
      <x:c r="D1039" s="7" t="str">
        <x:v>PEA-B-X2</x:v>
      </x:c>
      <x:c r="E1039" s="7" t="str">
        <x:v>BLD-B</x:v>
      </x:c>
      <x:c r="F1039" s="7" t="str">
        <x:v>BL-X</x:v>
      </x:c>
      <x:c r="G1039" s="7" t="str">
        <x:v>MF-05</x:v>
      </x:c>
      <x:c r="H1039" s="7" t="str"/>
      <x:c r="I1039" s="7" t="str"/>
      <x:c r="J1039" s="7" t="str">
        <x:f>IF(OR(H1039="",I1039=""),"",I1039-H1039)</x:f>
      </x:c>
      <x:c r="K1039" s="7" t="str"/>
      <x:c r="L1039" s="7" t="str"/>
      <x:c r="M1039" s="7" t="str">
        <x:f>IF(L1039="","OPEN",IF(OR(NOT(ISNUMBER(H1039)),NOT(ISNUMBER(I1039)),NOT(ISNUMBER(K1039)),ABS(J1039)&gt;K1039),"FAIL","PASS"))</x:f>
        <x:v>OPEN</x:v>
      </x:c>
    </x:row>
    <x:row r="1040">
      <x:c r="B1040" s="7" t="str">
        <x:v>CAL-CH-PEA-B-X2-05-2</x:v>
      </x:c>
      <x:c r="C1040" s="7" t="str">
        <x:v>CH-PEA-B-X2-05-2</x:v>
      </x:c>
      <x:c r="D1040" s="7" t="str">
        <x:v>PEA-B-X2</x:v>
      </x:c>
      <x:c r="E1040" s="7" t="str">
        <x:v>BLD-B</x:v>
      </x:c>
      <x:c r="F1040" s="7" t="str">
        <x:v>BL-X</x:v>
      </x:c>
      <x:c r="G1040" s="7" t="str">
        <x:v>MF-05</x:v>
      </x:c>
      <x:c r="H1040" s="7" t="str"/>
      <x:c r="I1040" s="7" t="str"/>
      <x:c r="J1040" s="7" t="str">
        <x:f>IF(OR(H1040="",I1040=""),"",I1040-H1040)</x:f>
      </x:c>
      <x:c r="K1040" s="7" t="str"/>
      <x:c r="L1040" s="7" t="str"/>
      <x:c r="M1040" s="7" t="str">
        <x:f>IF(L1040="","OPEN",IF(OR(NOT(ISNUMBER(H1040)),NOT(ISNUMBER(I1040)),NOT(ISNUMBER(K1040)),ABS(J1040)&gt;K1040),"FAIL","PASS"))</x:f>
        <x:v>OPEN</x:v>
      </x:c>
    </x:row>
    <x:row r="1041">
      <x:c r="B1041" s="7" t="str">
        <x:v>CAL-CH-PEA-B-X2-05-3</x:v>
      </x:c>
      <x:c r="C1041" s="7" t="str">
        <x:v>CH-PEA-B-X2-05-3</x:v>
      </x:c>
      <x:c r="D1041" s="7" t="str">
        <x:v>PEA-B-X2</x:v>
      </x:c>
      <x:c r="E1041" s="7" t="str">
        <x:v>BLD-B</x:v>
      </x:c>
      <x:c r="F1041" s="7" t="str">
        <x:v>BL-X</x:v>
      </x:c>
      <x:c r="G1041" s="7" t="str">
        <x:v>MF-05</x:v>
      </x:c>
      <x:c r="H1041" s="7" t="str"/>
      <x:c r="I1041" s="7" t="str"/>
      <x:c r="J1041" s="7" t="str">
        <x:f>IF(OR(H1041="",I1041=""),"",I1041-H1041)</x:f>
      </x:c>
      <x:c r="K1041" s="7" t="str"/>
      <x:c r="L1041" s="7" t="str"/>
      <x:c r="M1041" s="7" t="str">
        <x:f>IF(L1041="","OPEN",IF(OR(NOT(ISNUMBER(H1041)),NOT(ISNUMBER(I1041)),NOT(ISNUMBER(K1041)),ABS(J1041)&gt;K1041),"FAIL","PASS"))</x:f>
        <x:v>OPEN</x:v>
      </x:c>
    </x:row>
    <x:row r="1042">
      <x:c r="B1042" s="7" t="str">
        <x:v>CAL-CH-PEA-B-X2-05-4</x:v>
      </x:c>
      <x:c r="C1042" s="7" t="str">
        <x:v>CH-PEA-B-X2-05-4</x:v>
      </x:c>
      <x:c r="D1042" s="7" t="str">
        <x:v>PEA-B-X2</x:v>
      </x:c>
      <x:c r="E1042" s="7" t="str">
        <x:v>BLD-B</x:v>
      </x:c>
      <x:c r="F1042" s="7" t="str">
        <x:v>BL-X</x:v>
      </x:c>
      <x:c r="G1042" s="7" t="str">
        <x:v>MF-05</x:v>
      </x:c>
      <x:c r="H1042" s="7" t="str"/>
      <x:c r="I1042" s="7" t="str"/>
      <x:c r="J1042" s="7" t="str">
        <x:f>IF(OR(H1042="",I1042=""),"",I1042-H1042)</x:f>
      </x:c>
      <x:c r="K1042" s="7" t="str"/>
      <x:c r="L1042" s="7" t="str"/>
      <x:c r="M1042" s="7" t="str">
        <x:f>IF(L1042="","OPEN",IF(OR(NOT(ISNUMBER(H1042)),NOT(ISNUMBER(I1042)),NOT(ISNUMBER(K1042)),ABS(J1042)&gt;K1042),"FAIL","PASS"))</x:f>
        <x:v>OPEN</x:v>
      </x:c>
    </x:row>
    <x:row r="1043">
      <x:c r="B1043" s="7" t="str">
        <x:v>CAL-CH-PEA-B-X2-05-5</x:v>
      </x:c>
      <x:c r="C1043" s="7" t="str">
        <x:v>CH-PEA-B-X2-05-5</x:v>
      </x:c>
      <x:c r="D1043" s="7" t="str">
        <x:v>PEA-B-X2</x:v>
      </x:c>
      <x:c r="E1043" s="7" t="str">
        <x:v>BLD-B</x:v>
      </x:c>
      <x:c r="F1043" s="7" t="str">
        <x:v>BL-X</x:v>
      </x:c>
      <x:c r="G1043" s="7" t="str">
        <x:v>MF-05</x:v>
      </x:c>
      <x:c r="H1043" s="7" t="str"/>
      <x:c r="I1043" s="7" t="str"/>
      <x:c r="J1043" s="7" t="str">
        <x:f>IF(OR(H1043="",I1043=""),"",I1043-H1043)</x:f>
      </x:c>
      <x:c r="K1043" s="7" t="str"/>
      <x:c r="L1043" s="7" t="str"/>
      <x:c r="M1043" s="7" t="str">
        <x:f>IF(L1043="","OPEN",IF(OR(NOT(ISNUMBER(H1043)),NOT(ISNUMBER(I1043)),NOT(ISNUMBER(K1043)),ABS(J1043)&gt;K1043),"FAIL","PASS"))</x:f>
        <x:v>OPEN</x:v>
      </x:c>
    </x:row>
    <x:row r="1044">
      <x:c r="B1044" s="7" t="str">
        <x:v>CAL-CH-PEA-B-X2-05-6</x:v>
      </x:c>
      <x:c r="C1044" s="7" t="str">
        <x:v>CH-PEA-B-X2-05-6</x:v>
      </x:c>
      <x:c r="D1044" s="7" t="str">
        <x:v>PEA-B-X2</x:v>
      </x:c>
      <x:c r="E1044" s="7" t="str">
        <x:v>BLD-B</x:v>
      </x:c>
      <x:c r="F1044" s="7" t="str">
        <x:v>BL-X</x:v>
      </x:c>
      <x:c r="G1044" s="7" t="str">
        <x:v>MF-05</x:v>
      </x:c>
      <x:c r="H1044" s="7" t="str"/>
      <x:c r="I1044" s="7" t="str"/>
      <x:c r="J1044" s="7" t="str">
        <x:f>IF(OR(H1044="",I1044=""),"",I1044-H1044)</x:f>
      </x:c>
      <x:c r="K1044" s="7" t="str"/>
      <x:c r="L1044" s="7" t="str"/>
      <x:c r="M1044" s="7" t="str">
        <x:f>IF(L1044="","OPEN",IF(OR(NOT(ISNUMBER(H1044)),NOT(ISNUMBER(I1044)),NOT(ISNUMBER(K1044)),ABS(J1044)&gt;K1044),"FAIL","PASS"))</x:f>
        <x:v>OPEN</x:v>
      </x:c>
    </x:row>
    <x:row r="1045">
      <x:c r="B1045" s="7" t="str">
        <x:v>CAL-CH-PEA-B-X2-06-1</x:v>
      </x:c>
      <x:c r="C1045" s="7" t="str">
        <x:v>CH-PEA-B-X2-06-1</x:v>
      </x:c>
      <x:c r="D1045" s="7" t="str">
        <x:v>PEA-B-X2</x:v>
      </x:c>
      <x:c r="E1045" s="7" t="str">
        <x:v>BLD-B</x:v>
      </x:c>
      <x:c r="F1045" s="7" t="str">
        <x:v>BL-X</x:v>
      </x:c>
      <x:c r="G1045" s="7" t="str">
        <x:v>MF-06</x:v>
      </x:c>
      <x:c r="H1045" s="7" t="str"/>
      <x:c r="I1045" s="7" t="str"/>
      <x:c r="J1045" s="7" t="str">
        <x:f>IF(OR(H1045="",I1045=""),"",I1045-H1045)</x:f>
      </x:c>
      <x:c r="K1045" s="7" t="str"/>
      <x:c r="L1045" s="7" t="str"/>
      <x:c r="M1045" s="7" t="str">
        <x:f>IF(L1045="","OPEN",IF(OR(NOT(ISNUMBER(H1045)),NOT(ISNUMBER(I1045)),NOT(ISNUMBER(K1045)),ABS(J1045)&gt;K1045),"FAIL","PASS"))</x:f>
        <x:v>OPEN</x:v>
      </x:c>
    </x:row>
    <x:row r="1046">
      <x:c r="B1046" s="7" t="str">
        <x:v>CAL-CH-PEA-B-X2-06-2</x:v>
      </x:c>
      <x:c r="C1046" s="7" t="str">
        <x:v>CH-PEA-B-X2-06-2</x:v>
      </x:c>
      <x:c r="D1046" s="7" t="str">
        <x:v>PEA-B-X2</x:v>
      </x:c>
      <x:c r="E1046" s="7" t="str">
        <x:v>BLD-B</x:v>
      </x:c>
      <x:c r="F1046" s="7" t="str">
        <x:v>BL-X</x:v>
      </x:c>
      <x:c r="G1046" s="7" t="str">
        <x:v>MF-06</x:v>
      </x:c>
      <x:c r="H1046" s="7" t="str"/>
      <x:c r="I1046" s="7" t="str"/>
      <x:c r="J1046" s="7" t="str">
        <x:f>IF(OR(H1046="",I1046=""),"",I1046-H1046)</x:f>
      </x:c>
      <x:c r="K1046" s="7" t="str"/>
      <x:c r="L1046" s="7" t="str"/>
      <x:c r="M1046" s="7" t="str">
        <x:f>IF(L1046="","OPEN",IF(OR(NOT(ISNUMBER(H1046)),NOT(ISNUMBER(I1046)),NOT(ISNUMBER(K1046)),ABS(J1046)&gt;K1046),"FAIL","PASS"))</x:f>
        <x:v>OPEN</x:v>
      </x:c>
    </x:row>
    <x:row r="1047">
      <x:c r="B1047" s="7" t="str">
        <x:v>CAL-CH-PEA-B-X2-06-3</x:v>
      </x:c>
      <x:c r="C1047" s="7" t="str">
        <x:v>CH-PEA-B-X2-06-3</x:v>
      </x:c>
      <x:c r="D1047" s="7" t="str">
        <x:v>PEA-B-X2</x:v>
      </x:c>
      <x:c r="E1047" s="7" t="str">
        <x:v>BLD-B</x:v>
      </x:c>
      <x:c r="F1047" s="7" t="str">
        <x:v>BL-X</x:v>
      </x:c>
      <x:c r="G1047" s="7" t="str">
        <x:v>MF-06</x:v>
      </x:c>
      <x:c r="H1047" s="7" t="str"/>
      <x:c r="I1047" s="7" t="str"/>
      <x:c r="J1047" s="7" t="str">
        <x:f>IF(OR(H1047="",I1047=""),"",I1047-H1047)</x:f>
      </x:c>
      <x:c r="K1047" s="7" t="str"/>
      <x:c r="L1047" s="7" t="str"/>
      <x:c r="M1047" s="7" t="str">
        <x:f>IF(L1047="","OPEN",IF(OR(NOT(ISNUMBER(H1047)),NOT(ISNUMBER(I1047)),NOT(ISNUMBER(K1047)),ABS(J1047)&gt;K1047),"FAIL","PASS"))</x:f>
        <x:v>OPEN</x:v>
      </x:c>
    </x:row>
    <x:row r="1048">
      <x:c r="B1048" s="7" t="str">
        <x:v>CAL-CH-PEA-B-X2-06-4</x:v>
      </x:c>
      <x:c r="C1048" s="7" t="str">
        <x:v>CH-PEA-B-X2-06-4</x:v>
      </x:c>
      <x:c r="D1048" s="7" t="str">
        <x:v>PEA-B-X2</x:v>
      </x:c>
      <x:c r="E1048" s="7" t="str">
        <x:v>BLD-B</x:v>
      </x:c>
      <x:c r="F1048" s="7" t="str">
        <x:v>BL-X</x:v>
      </x:c>
      <x:c r="G1048" s="7" t="str">
        <x:v>MF-06</x:v>
      </x:c>
      <x:c r="H1048" s="7" t="str"/>
      <x:c r="I1048" s="7" t="str"/>
      <x:c r="J1048" s="7" t="str">
        <x:f>IF(OR(H1048="",I1048=""),"",I1048-H1048)</x:f>
      </x:c>
      <x:c r="K1048" s="7" t="str"/>
      <x:c r="L1048" s="7" t="str"/>
      <x:c r="M1048" s="7" t="str">
        <x:f>IF(L1048="","OPEN",IF(OR(NOT(ISNUMBER(H1048)),NOT(ISNUMBER(I1048)),NOT(ISNUMBER(K1048)),ABS(J1048)&gt;K1048),"FAIL","PASS"))</x:f>
        <x:v>OPEN</x:v>
      </x:c>
    </x:row>
    <x:row r="1049">
      <x:c r="B1049" s="7" t="str">
        <x:v>CAL-CH-PEA-B-X2-06-5</x:v>
      </x:c>
      <x:c r="C1049" s="7" t="str">
        <x:v>CH-PEA-B-X2-06-5</x:v>
      </x:c>
      <x:c r="D1049" s="7" t="str">
        <x:v>PEA-B-X2</x:v>
      </x:c>
      <x:c r="E1049" s="7" t="str">
        <x:v>BLD-B</x:v>
      </x:c>
      <x:c r="F1049" s="7" t="str">
        <x:v>BL-X</x:v>
      </x:c>
      <x:c r="G1049" s="7" t="str">
        <x:v>MF-06</x:v>
      </x:c>
      <x:c r="H1049" s="7" t="str"/>
      <x:c r="I1049" s="7" t="str"/>
      <x:c r="J1049" s="7" t="str">
        <x:f>IF(OR(H1049="",I1049=""),"",I1049-H1049)</x:f>
      </x:c>
      <x:c r="K1049" s="7" t="str"/>
      <x:c r="L1049" s="7" t="str"/>
      <x:c r="M1049" s="7" t="str">
        <x:f>IF(L1049="","OPEN",IF(OR(NOT(ISNUMBER(H1049)),NOT(ISNUMBER(I1049)),NOT(ISNUMBER(K1049)),ABS(J1049)&gt;K1049),"FAIL","PASS"))</x:f>
        <x:v>OPEN</x:v>
      </x:c>
    </x:row>
    <x:row r="1050">
      <x:c r="B1050" s="7" t="str">
        <x:v>CAL-CH-PEA-B-X2-06-6</x:v>
      </x:c>
      <x:c r="C1050" s="7" t="str">
        <x:v>CH-PEA-B-X2-06-6</x:v>
      </x:c>
      <x:c r="D1050" s="7" t="str">
        <x:v>PEA-B-X2</x:v>
      </x:c>
      <x:c r="E1050" s="7" t="str">
        <x:v>BLD-B</x:v>
      </x:c>
      <x:c r="F1050" s="7" t="str">
        <x:v>BL-X</x:v>
      </x:c>
      <x:c r="G1050" s="7" t="str">
        <x:v>MF-06</x:v>
      </x:c>
      <x:c r="H1050" s="7" t="str"/>
      <x:c r="I1050" s="7" t="str"/>
      <x:c r="J1050" s="7" t="str">
        <x:f>IF(OR(H1050="",I1050=""),"",I1050-H1050)</x:f>
      </x:c>
      <x:c r="K1050" s="7" t="str"/>
      <x:c r="L1050" s="7" t="str"/>
      <x:c r="M1050" s="7" t="str">
        <x:f>IF(L1050="","OPEN",IF(OR(NOT(ISNUMBER(H1050)),NOT(ISNUMBER(I1050)),NOT(ISNUMBER(K1050)),ABS(J1050)&gt;K1050),"FAIL","PASS"))</x:f>
        <x:v>OPEN</x:v>
      </x:c>
    </x:row>
    <x:row r="1051">
      <x:c r="B1051" s="7" t="str">
        <x:v>CAL-CH-PEA-B-X2-07-1</x:v>
      </x:c>
      <x:c r="C1051" s="7" t="str">
        <x:v>CH-PEA-B-X2-07-1</x:v>
      </x:c>
      <x:c r="D1051" s="7" t="str">
        <x:v>PEA-B-X2</x:v>
      </x:c>
      <x:c r="E1051" s="7" t="str">
        <x:v>BLD-B</x:v>
      </x:c>
      <x:c r="F1051" s="7" t="str">
        <x:v>BL-X</x:v>
      </x:c>
      <x:c r="G1051" s="7" t="str">
        <x:v>MF-07</x:v>
      </x:c>
      <x:c r="H1051" s="7" t="str"/>
      <x:c r="I1051" s="7" t="str"/>
      <x:c r="J1051" s="7" t="str">
        <x:f>IF(OR(H1051="",I1051=""),"",I1051-H1051)</x:f>
      </x:c>
      <x:c r="K1051" s="7" t="str"/>
      <x:c r="L1051" s="7" t="str"/>
      <x:c r="M1051" s="7" t="str">
        <x:f>IF(L1051="","OPEN",IF(OR(NOT(ISNUMBER(H1051)),NOT(ISNUMBER(I1051)),NOT(ISNUMBER(K1051)),ABS(J1051)&gt;K1051),"FAIL","PASS"))</x:f>
        <x:v>OPEN</x:v>
      </x:c>
    </x:row>
    <x:row r="1052">
      <x:c r="B1052" s="7" t="str">
        <x:v>CAL-CH-PEA-B-X2-07-2</x:v>
      </x:c>
      <x:c r="C1052" s="7" t="str">
        <x:v>CH-PEA-B-X2-07-2</x:v>
      </x:c>
      <x:c r="D1052" s="7" t="str">
        <x:v>PEA-B-X2</x:v>
      </x:c>
      <x:c r="E1052" s="7" t="str">
        <x:v>BLD-B</x:v>
      </x:c>
      <x:c r="F1052" s="7" t="str">
        <x:v>BL-X</x:v>
      </x:c>
      <x:c r="G1052" s="7" t="str">
        <x:v>MF-07</x:v>
      </x:c>
      <x:c r="H1052" s="7" t="str"/>
      <x:c r="I1052" s="7" t="str"/>
      <x:c r="J1052" s="7" t="str">
        <x:f>IF(OR(H1052="",I1052=""),"",I1052-H1052)</x:f>
      </x:c>
      <x:c r="K1052" s="7" t="str"/>
      <x:c r="L1052" s="7" t="str"/>
      <x:c r="M1052" s="7" t="str">
        <x:f>IF(L1052="","OPEN",IF(OR(NOT(ISNUMBER(H1052)),NOT(ISNUMBER(I1052)),NOT(ISNUMBER(K1052)),ABS(J1052)&gt;K1052),"FAIL","PASS"))</x:f>
        <x:v>OPEN</x:v>
      </x:c>
    </x:row>
    <x:row r="1053">
      <x:c r="B1053" s="7" t="str">
        <x:v>CAL-CH-PEA-B-X2-07-3</x:v>
      </x:c>
      <x:c r="C1053" s="7" t="str">
        <x:v>CH-PEA-B-X2-07-3</x:v>
      </x:c>
      <x:c r="D1053" s="7" t="str">
        <x:v>PEA-B-X2</x:v>
      </x:c>
      <x:c r="E1053" s="7" t="str">
        <x:v>BLD-B</x:v>
      </x:c>
      <x:c r="F1053" s="7" t="str">
        <x:v>BL-X</x:v>
      </x:c>
      <x:c r="G1053" s="7" t="str">
        <x:v>MF-07</x:v>
      </x:c>
      <x:c r="H1053" s="7" t="str"/>
      <x:c r="I1053" s="7" t="str"/>
      <x:c r="J1053" s="7" t="str">
        <x:f>IF(OR(H1053="",I1053=""),"",I1053-H1053)</x:f>
      </x:c>
      <x:c r="K1053" s="7" t="str"/>
      <x:c r="L1053" s="7" t="str"/>
      <x:c r="M1053" s="7" t="str">
        <x:f>IF(L1053="","OPEN",IF(OR(NOT(ISNUMBER(H1053)),NOT(ISNUMBER(I1053)),NOT(ISNUMBER(K1053)),ABS(J1053)&gt;K1053),"FAIL","PASS"))</x:f>
        <x:v>OPEN</x:v>
      </x:c>
    </x:row>
    <x:row r="1054">
      <x:c r="B1054" s="7" t="str">
        <x:v>CAL-CH-PEA-B-X2-07-4</x:v>
      </x:c>
      <x:c r="C1054" s="7" t="str">
        <x:v>CH-PEA-B-X2-07-4</x:v>
      </x:c>
      <x:c r="D1054" s="7" t="str">
        <x:v>PEA-B-X2</x:v>
      </x:c>
      <x:c r="E1054" s="7" t="str">
        <x:v>BLD-B</x:v>
      </x:c>
      <x:c r="F1054" s="7" t="str">
        <x:v>BL-X</x:v>
      </x:c>
      <x:c r="G1054" s="7" t="str">
        <x:v>MF-07</x:v>
      </x:c>
      <x:c r="H1054" s="7" t="str"/>
      <x:c r="I1054" s="7" t="str"/>
      <x:c r="J1054" s="7" t="str">
        <x:f>IF(OR(H1054="",I1054=""),"",I1054-H1054)</x:f>
      </x:c>
      <x:c r="K1054" s="7" t="str"/>
      <x:c r="L1054" s="7" t="str"/>
      <x:c r="M1054" s="7" t="str">
        <x:f>IF(L1054="","OPEN",IF(OR(NOT(ISNUMBER(H1054)),NOT(ISNUMBER(I1054)),NOT(ISNUMBER(K1054)),ABS(J1054)&gt;K1054),"FAIL","PASS"))</x:f>
        <x:v>OPEN</x:v>
      </x:c>
    </x:row>
    <x:row r="1055">
      <x:c r="B1055" s="7" t="str">
        <x:v>CAL-CH-PEA-B-X2-07-5</x:v>
      </x:c>
      <x:c r="C1055" s="7" t="str">
        <x:v>CH-PEA-B-X2-07-5</x:v>
      </x:c>
      <x:c r="D1055" s="7" t="str">
        <x:v>PEA-B-X2</x:v>
      </x:c>
      <x:c r="E1055" s="7" t="str">
        <x:v>BLD-B</x:v>
      </x:c>
      <x:c r="F1055" s="7" t="str">
        <x:v>BL-X</x:v>
      </x:c>
      <x:c r="G1055" s="7" t="str">
        <x:v>MF-07</x:v>
      </x:c>
      <x:c r="H1055" s="7" t="str"/>
      <x:c r="I1055" s="7" t="str"/>
      <x:c r="J1055" s="7" t="str">
        <x:f>IF(OR(H1055="",I1055=""),"",I1055-H1055)</x:f>
      </x:c>
      <x:c r="K1055" s="7" t="str"/>
      <x:c r="L1055" s="7" t="str"/>
      <x:c r="M1055" s="7" t="str">
        <x:f>IF(L1055="","OPEN",IF(OR(NOT(ISNUMBER(H1055)),NOT(ISNUMBER(I1055)),NOT(ISNUMBER(K1055)),ABS(J1055)&gt;K1055),"FAIL","PASS"))</x:f>
        <x:v>OPEN</x:v>
      </x:c>
    </x:row>
    <x:row r="1056">
      <x:c r="B1056" s="7" t="str">
        <x:v>CAL-CH-PEA-B-X2-07-6</x:v>
      </x:c>
      <x:c r="C1056" s="7" t="str">
        <x:v>CH-PEA-B-X2-07-6</x:v>
      </x:c>
      <x:c r="D1056" s="7" t="str">
        <x:v>PEA-B-X2</x:v>
      </x:c>
      <x:c r="E1056" s="7" t="str">
        <x:v>BLD-B</x:v>
      </x:c>
      <x:c r="F1056" s="7" t="str">
        <x:v>BL-X</x:v>
      </x:c>
      <x:c r="G1056" s="7" t="str">
        <x:v>MF-07</x:v>
      </x:c>
      <x:c r="H1056" s="7" t="str"/>
      <x:c r="I1056" s="7" t="str"/>
      <x:c r="J1056" s="7" t="str">
        <x:f>IF(OR(H1056="",I1056=""),"",I1056-H1056)</x:f>
      </x:c>
      <x:c r="K1056" s="7" t="str"/>
      <x:c r="L1056" s="7" t="str"/>
      <x:c r="M1056" s="7" t="str">
        <x:f>IF(L1056="","OPEN",IF(OR(NOT(ISNUMBER(H1056)),NOT(ISNUMBER(I1056)),NOT(ISNUMBER(K1056)),ABS(J1056)&gt;K1056),"FAIL","PASS"))</x:f>
        <x:v>OPEN</x:v>
      </x:c>
    </x:row>
    <x:row r="1057">
      <x:c r="B1057" s="7" t="str">
        <x:v>CAL-CH-PEA-B-X2-08-1</x:v>
      </x:c>
      <x:c r="C1057" s="7" t="str">
        <x:v>CH-PEA-B-X2-08-1</x:v>
      </x:c>
      <x:c r="D1057" s="7" t="str">
        <x:v>PEA-B-X2</x:v>
      </x:c>
      <x:c r="E1057" s="7" t="str">
        <x:v>BLD-B</x:v>
      </x:c>
      <x:c r="F1057" s="7" t="str">
        <x:v>BL-X</x:v>
      </x:c>
      <x:c r="G1057" s="7" t="str">
        <x:v>MF-08</x:v>
      </x:c>
      <x:c r="H1057" s="7" t="str"/>
      <x:c r="I1057" s="7" t="str"/>
      <x:c r="J1057" s="7" t="str">
        <x:f>IF(OR(H1057="",I1057=""),"",I1057-H1057)</x:f>
      </x:c>
      <x:c r="K1057" s="7" t="str"/>
      <x:c r="L1057" s="7" t="str"/>
      <x:c r="M1057" s="7" t="str">
        <x:f>IF(L1057="","OPEN",IF(OR(NOT(ISNUMBER(H1057)),NOT(ISNUMBER(I1057)),NOT(ISNUMBER(K1057)),ABS(J1057)&gt;K1057),"FAIL","PASS"))</x:f>
        <x:v>OPEN</x:v>
      </x:c>
    </x:row>
    <x:row r="1058">
      <x:c r="B1058" s="7" t="str">
        <x:v>CAL-CH-PEA-B-X2-08-2</x:v>
      </x:c>
      <x:c r="C1058" s="7" t="str">
        <x:v>CH-PEA-B-X2-08-2</x:v>
      </x:c>
      <x:c r="D1058" s="7" t="str">
        <x:v>PEA-B-X2</x:v>
      </x:c>
      <x:c r="E1058" s="7" t="str">
        <x:v>BLD-B</x:v>
      </x:c>
      <x:c r="F1058" s="7" t="str">
        <x:v>BL-X</x:v>
      </x:c>
      <x:c r="G1058" s="7" t="str">
        <x:v>MF-08</x:v>
      </x:c>
      <x:c r="H1058" s="7" t="str"/>
      <x:c r="I1058" s="7" t="str"/>
      <x:c r="J1058" s="7" t="str">
        <x:f>IF(OR(H1058="",I1058=""),"",I1058-H1058)</x:f>
      </x:c>
      <x:c r="K1058" s="7" t="str"/>
      <x:c r="L1058" s="7" t="str"/>
      <x:c r="M1058" s="7" t="str">
        <x:f>IF(L1058="","OPEN",IF(OR(NOT(ISNUMBER(H1058)),NOT(ISNUMBER(I1058)),NOT(ISNUMBER(K1058)),ABS(J1058)&gt;K1058),"FAIL","PASS"))</x:f>
        <x:v>OPEN</x:v>
      </x:c>
    </x:row>
    <x:row r="1059">
      <x:c r="B1059" s="7" t="str">
        <x:v>CAL-CH-PEA-B-X2-08-3</x:v>
      </x:c>
      <x:c r="C1059" s="7" t="str">
        <x:v>CH-PEA-B-X2-08-3</x:v>
      </x:c>
      <x:c r="D1059" s="7" t="str">
        <x:v>PEA-B-X2</x:v>
      </x:c>
      <x:c r="E1059" s="7" t="str">
        <x:v>BLD-B</x:v>
      </x:c>
      <x:c r="F1059" s="7" t="str">
        <x:v>BL-X</x:v>
      </x:c>
      <x:c r="G1059" s="7" t="str">
        <x:v>MF-08</x:v>
      </x:c>
      <x:c r="H1059" s="7" t="str"/>
      <x:c r="I1059" s="7" t="str"/>
      <x:c r="J1059" s="7" t="str">
        <x:f>IF(OR(H1059="",I1059=""),"",I1059-H1059)</x:f>
      </x:c>
      <x:c r="K1059" s="7" t="str"/>
      <x:c r="L1059" s="7" t="str"/>
      <x:c r="M1059" s="7" t="str">
        <x:f>IF(L1059="","OPEN",IF(OR(NOT(ISNUMBER(H1059)),NOT(ISNUMBER(I1059)),NOT(ISNUMBER(K1059)),ABS(J1059)&gt;K1059),"FAIL","PASS"))</x:f>
        <x:v>OPEN</x:v>
      </x:c>
    </x:row>
    <x:row r="1060">
      <x:c r="B1060" s="7" t="str">
        <x:v>CAL-CH-PEA-B-X2-08-4</x:v>
      </x:c>
      <x:c r="C1060" s="7" t="str">
        <x:v>CH-PEA-B-X2-08-4</x:v>
      </x:c>
      <x:c r="D1060" s="7" t="str">
        <x:v>PEA-B-X2</x:v>
      </x:c>
      <x:c r="E1060" s="7" t="str">
        <x:v>BLD-B</x:v>
      </x:c>
      <x:c r="F1060" s="7" t="str">
        <x:v>BL-X</x:v>
      </x:c>
      <x:c r="G1060" s="7" t="str">
        <x:v>MF-08</x:v>
      </x:c>
      <x:c r="H1060" s="7" t="str"/>
      <x:c r="I1060" s="7" t="str"/>
      <x:c r="J1060" s="7" t="str">
        <x:f>IF(OR(H1060="",I1060=""),"",I1060-H1060)</x:f>
      </x:c>
      <x:c r="K1060" s="7" t="str"/>
      <x:c r="L1060" s="7" t="str"/>
      <x:c r="M1060" s="7" t="str">
        <x:f>IF(L1060="","OPEN",IF(OR(NOT(ISNUMBER(H1060)),NOT(ISNUMBER(I1060)),NOT(ISNUMBER(K1060)),ABS(J1060)&gt;K1060),"FAIL","PASS"))</x:f>
        <x:v>OPEN</x:v>
      </x:c>
    </x:row>
    <x:row r="1061">
      <x:c r="B1061" s="7" t="str">
        <x:v>CAL-CH-PEA-B-X2-08-5</x:v>
      </x:c>
      <x:c r="C1061" s="7" t="str">
        <x:v>CH-PEA-B-X2-08-5</x:v>
      </x:c>
      <x:c r="D1061" s="7" t="str">
        <x:v>PEA-B-X2</x:v>
      </x:c>
      <x:c r="E1061" s="7" t="str">
        <x:v>BLD-B</x:v>
      </x:c>
      <x:c r="F1061" s="7" t="str">
        <x:v>BL-X</x:v>
      </x:c>
      <x:c r="G1061" s="7" t="str">
        <x:v>MF-08</x:v>
      </x:c>
      <x:c r="H1061" s="7" t="str"/>
      <x:c r="I1061" s="7" t="str"/>
      <x:c r="J1061" s="7" t="str">
        <x:f>IF(OR(H1061="",I1061=""),"",I1061-H1061)</x:f>
      </x:c>
      <x:c r="K1061" s="7" t="str"/>
      <x:c r="L1061" s="7" t="str"/>
      <x:c r="M1061" s="7" t="str">
        <x:f>IF(L1061="","OPEN",IF(OR(NOT(ISNUMBER(H1061)),NOT(ISNUMBER(I1061)),NOT(ISNUMBER(K1061)),ABS(J1061)&gt;K1061),"FAIL","PASS"))</x:f>
        <x:v>OPEN</x:v>
      </x:c>
    </x:row>
    <x:row r="1062">
      <x:c r="B1062" s="7" t="str">
        <x:v>CAL-CH-PEA-B-X2-08-6</x:v>
      </x:c>
      <x:c r="C1062" s="7" t="str">
        <x:v>CH-PEA-B-X2-08-6</x:v>
      </x:c>
      <x:c r="D1062" s="7" t="str">
        <x:v>PEA-B-X2</x:v>
      </x:c>
      <x:c r="E1062" s="7" t="str">
        <x:v>BLD-B</x:v>
      </x:c>
      <x:c r="F1062" s="7" t="str">
        <x:v>BL-X</x:v>
      </x:c>
      <x:c r="G1062" s="7" t="str">
        <x:v>MF-08</x:v>
      </x:c>
      <x:c r="H1062" s="7" t="str"/>
      <x:c r="I1062" s="7" t="str"/>
      <x:c r="J1062" s="7" t="str">
        <x:f>IF(OR(H1062="",I1062=""),"",I1062-H1062)</x:f>
      </x:c>
      <x:c r="K1062" s="7" t="str"/>
      <x:c r="L1062" s="7" t="str"/>
      <x:c r="M1062" s="7" t="str">
        <x:f>IF(L1062="","OPEN",IF(OR(NOT(ISNUMBER(H1062)),NOT(ISNUMBER(I1062)),NOT(ISNUMBER(K1062)),ABS(J1062)&gt;K1062),"FAIL","PASS"))</x:f>
        <x:v>OPEN</x:v>
      </x:c>
    </x:row>
    <x:row r="1063">
      <x:c r="B1063" s="7" t="str">
        <x:v>CAL-CH-PEA-B-X2-09-1</x:v>
      </x:c>
      <x:c r="C1063" s="7" t="str">
        <x:v>CH-PEA-B-X2-09-1</x:v>
      </x:c>
      <x:c r="D1063" s="7" t="str">
        <x:v>PEA-B-X2</x:v>
      </x:c>
      <x:c r="E1063" s="7" t="str">
        <x:v>BLD-B</x:v>
      </x:c>
      <x:c r="F1063" s="7" t="str">
        <x:v>BL-X</x:v>
      </x:c>
      <x:c r="G1063" s="7" t="str">
        <x:v>MF-09</x:v>
      </x:c>
      <x:c r="H1063" s="7" t="str"/>
      <x:c r="I1063" s="7" t="str"/>
      <x:c r="J1063" s="7" t="str">
        <x:f>IF(OR(H1063="",I1063=""),"",I1063-H1063)</x:f>
      </x:c>
      <x:c r="K1063" s="7" t="str"/>
      <x:c r="L1063" s="7" t="str"/>
      <x:c r="M1063" s="7" t="str">
        <x:f>IF(L1063="","OPEN",IF(OR(NOT(ISNUMBER(H1063)),NOT(ISNUMBER(I1063)),NOT(ISNUMBER(K1063)),ABS(J1063)&gt;K1063),"FAIL","PASS"))</x:f>
        <x:v>OPEN</x:v>
      </x:c>
    </x:row>
    <x:row r="1064">
      <x:c r="B1064" s="7" t="str">
        <x:v>CAL-CH-PEA-B-X2-09-2</x:v>
      </x:c>
      <x:c r="C1064" s="7" t="str">
        <x:v>CH-PEA-B-X2-09-2</x:v>
      </x:c>
      <x:c r="D1064" s="7" t="str">
        <x:v>PEA-B-X2</x:v>
      </x:c>
      <x:c r="E1064" s="7" t="str">
        <x:v>BLD-B</x:v>
      </x:c>
      <x:c r="F1064" s="7" t="str">
        <x:v>BL-X</x:v>
      </x:c>
      <x:c r="G1064" s="7" t="str">
        <x:v>MF-09</x:v>
      </x:c>
      <x:c r="H1064" s="7" t="str"/>
      <x:c r="I1064" s="7" t="str"/>
      <x:c r="J1064" s="7" t="str">
        <x:f>IF(OR(H1064="",I1064=""),"",I1064-H1064)</x:f>
      </x:c>
      <x:c r="K1064" s="7" t="str"/>
      <x:c r="L1064" s="7" t="str"/>
      <x:c r="M1064" s="7" t="str">
        <x:f>IF(L1064="","OPEN",IF(OR(NOT(ISNUMBER(H1064)),NOT(ISNUMBER(I1064)),NOT(ISNUMBER(K1064)),ABS(J1064)&gt;K1064),"FAIL","PASS"))</x:f>
        <x:v>OPEN</x:v>
      </x:c>
    </x:row>
    <x:row r="1065">
      <x:c r="B1065" s="7" t="str">
        <x:v>CAL-CH-PEA-B-X2-09-3</x:v>
      </x:c>
      <x:c r="C1065" s="7" t="str">
        <x:v>CH-PEA-B-X2-09-3</x:v>
      </x:c>
      <x:c r="D1065" s="7" t="str">
        <x:v>PEA-B-X2</x:v>
      </x:c>
      <x:c r="E1065" s="7" t="str">
        <x:v>BLD-B</x:v>
      </x:c>
      <x:c r="F1065" s="7" t="str">
        <x:v>BL-X</x:v>
      </x:c>
      <x:c r="G1065" s="7" t="str">
        <x:v>MF-09</x:v>
      </x:c>
      <x:c r="H1065" s="7" t="str"/>
      <x:c r="I1065" s="7" t="str"/>
      <x:c r="J1065" s="7" t="str">
        <x:f>IF(OR(H1065="",I1065=""),"",I1065-H1065)</x:f>
      </x:c>
      <x:c r="K1065" s="7" t="str"/>
      <x:c r="L1065" s="7" t="str"/>
      <x:c r="M1065" s="7" t="str">
        <x:f>IF(L1065="","OPEN",IF(OR(NOT(ISNUMBER(H1065)),NOT(ISNUMBER(I1065)),NOT(ISNUMBER(K1065)),ABS(J1065)&gt;K1065),"FAIL","PASS"))</x:f>
        <x:v>OPEN</x:v>
      </x:c>
    </x:row>
    <x:row r="1066">
      <x:c r="B1066" s="7" t="str">
        <x:v>CAL-CH-PEA-B-X2-09-4</x:v>
      </x:c>
      <x:c r="C1066" s="7" t="str">
        <x:v>CH-PEA-B-X2-09-4</x:v>
      </x:c>
      <x:c r="D1066" s="7" t="str">
        <x:v>PEA-B-X2</x:v>
      </x:c>
      <x:c r="E1066" s="7" t="str">
        <x:v>BLD-B</x:v>
      </x:c>
      <x:c r="F1066" s="7" t="str">
        <x:v>BL-X</x:v>
      </x:c>
      <x:c r="G1066" s="7" t="str">
        <x:v>MF-09</x:v>
      </x:c>
      <x:c r="H1066" s="7" t="str"/>
      <x:c r="I1066" s="7" t="str"/>
      <x:c r="J1066" s="7" t="str">
        <x:f>IF(OR(H1066="",I1066=""),"",I1066-H1066)</x:f>
      </x:c>
      <x:c r="K1066" s="7" t="str"/>
      <x:c r="L1066" s="7" t="str"/>
      <x:c r="M1066" s="7" t="str">
        <x:f>IF(L1066="","OPEN",IF(OR(NOT(ISNUMBER(H1066)),NOT(ISNUMBER(I1066)),NOT(ISNUMBER(K1066)),ABS(J1066)&gt;K1066),"FAIL","PASS"))</x:f>
        <x:v>OPEN</x:v>
      </x:c>
    </x:row>
    <x:row r="1067">
      <x:c r="B1067" s="7" t="str">
        <x:v>CAL-CH-PEA-B-X2-09-5</x:v>
      </x:c>
      <x:c r="C1067" s="7" t="str">
        <x:v>CH-PEA-B-X2-09-5</x:v>
      </x:c>
      <x:c r="D1067" s="7" t="str">
        <x:v>PEA-B-X2</x:v>
      </x:c>
      <x:c r="E1067" s="7" t="str">
        <x:v>BLD-B</x:v>
      </x:c>
      <x:c r="F1067" s="7" t="str">
        <x:v>BL-X</x:v>
      </x:c>
      <x:c r="G1067" s="7" t="str">
        <x:v>MF-09</x:v>
      </x:c>
      <x:c r="H1067" s="7" t="str"/>
      <x:c r="I1067" s="7" t="str"/>
      <x:c r="J1067" s="7" t="str">
        <x:f>IF(OR(H1067="",I1067=""),"",I1067-H1067)</x:f>
      </x:c>
      <x:c r="K1067" s="7" t="str"/>
      <x:c r="L1067" s="7" t="str"/>
      <x:c r="M1067" s="7" t="str">
        <x:f>IF(L1067="","OPEN",IF(OR(NOT(ISNUMBER(H1067)),NOT(ISNUMBER(I1067)),NOT(ISNUMBER(K1067)),ABS(J1067)&gt;K1067),"FAIL","PASS"))</x:f>
        <x:v>OPEN</x:v>
      </x:c>
    </x:row>
    <x:row r="1068">
      <x:c r="B1068" s="7" t="str">
        <x:v>CAL-CH-PEA-B-X2-09-6</x:v>
      </x:c>
      <x:c r="C1068" s="7" t="str">
        <x:v>CH-PEA-B-X2-09-6</x:v>
      </x:c>
      <x:c r="D1068" s="7" t="str">
        <x:v>PEA-B-X2</x:v>
      </x:c>
      <x:c r="E1068" s="7" t="str">
        <x:v>BLD-B</x:v>
      </x:c>
      <x:c r="F1068" s="7" t="str">
        <x:v>BL-X</x:v>
      </x:c>
      <x:c r="G1068" s="7" t="str">
        <x:v>MF-09</x:v>
      </x:c>
      <x:c r="H1068" s="7" t="str"/>
      <x:c r="I1068" s="7" t="str"/>
      <x:c r="J1068" s="7" t="str">
        <x:f>IF(OR(H1068="",I1068=""),"",I1068-H1068)</x:f>
      </x:c>
      <x:c r="K1068" s="7" t="str"/>
      <x:c r="L1068" s="7" t="str"/>
      <x:c r="M1068" s="7" t="str">
        <x:f>IF(L1068="","OPEN",IF(OR(NOT(ISNUMBER(H1068)),NOT(ISNUMBER(I1068)),NOT(ISNUMBER(K1068)),ABS(J1068)&gt;K1068),"FAIL","PASS"))</x:f>
        <x:v>OPEN</x:v>
      </x:c>
    </x:row>
    <x:row r="1069">
      <x:c r="B1069" s="7" t="str">
        <x:v>CAL-CH-PEA-B-X2-10-1</x:v>
      </x:c>
      <x:c r="C1069" s="7" t="str">
        <x:v>CH-PEA-B-X2-10-1</x:v>
      </x:c>
      <x:c r="D1069" s="7" t="str">
        <x:v>PEA-B-X2</x:v>
      </x:c>
      <x:c r="E1069" s="7" t="str">
        <x:v>BLD-B</x:v>
      </x:c>
      <x:c r="F1069" s="7" t="str">
        <x:v>BL-X</x:v>
      </x:c>
      <x:c r="G1069" s="7" t="str">
        <x:v>MF-10</x:v>
      </x:c>
      <x:c r="H1069" s="7" t="str"/>
      <x:c r="I1069" s="7" t="str"/>
      <x:c r="J1069" s="7" t="str">
        <x:f>IF(OR(H1069="",I1069=""),"",I1069-H1069)</x:f>
      </x:c>
      <x:c r="K1069" s="7" t="str"/>
      <x:c r="L1069" s="7" t="str"/>
      <x:c r="M1069" s="7" t="str">
        <x:f>IF(L1069="","OPEN",IF(OR(NOT(ISNUMBER(H1069)),NOT(ISNUMBER(I1069)),NOT(ISNUMBER(K1069)),ABS(J1069)&gt;K1069),"FAIL","PASS"))</x:f>
        <x:v>OPEN</x:v>
      </x:c>
    </x:row>
    <x:row r="1070">
      <x:c r="B1070" s="7" t="str">
        <x:v>CAL-CH-PEA-B-X2-10-2</x:v>
      </x:c>
      <x:c r="C1070" s="7" t="str">
        <x:v>CH-PEA-B-X2-10-2</x:v>
      </x:c>
      <x:c r="D1070" s="7" t="str">
        <x:v>PEA-B-X2</x:v>
      </x:c>
      <x:c r="E1070" s="7" t="str">
        <x:v>BLD-B</x:v>
      </x:c>
      <x:c r="F1070" s="7" t="str">
        <x:v>BL-X</x:v>
      </x:c>
      <x:c r="G1070" s="7" t="str">
        <x:v>MF-10</x:v>
      </x:c>
      <x:c r="H1070" s="7" t="str"/>
      <x:c r="I1070" s="7" t="str"/>
      <x:c r="J1070" s="7" t="str">
        <x:f>IF(OR(H1070="",I1070=""),"",I1070-H1070)</x:f>
      </x:c>
      <x:c r="K1070" s="7" t="str"/>
      <x:c r="L1070" s="7" t="str"/>
      <x:c r="M1070" s="7" t="str">
        <x:f>IF(L1070="","OPEN",IF(OR(NOT(ISNUMBER(H1070)),NOT(ISNUMBER(I1070)),NOT(ISNUMBER(K1070)),ABS(J1070)&gt;K1070),"FAIL","PASS"))</x:f>
        <x:v>OPEN</x:v>
      </x:c>
    </x:row>
    <x:row r="1071">
      <x:c r="B1071" s="7" t="str">
        <x:v>CAL-CH-PEA-B-X2-10-3</x:v>
      </x:c>
      <x:c r="C1071" s="7" t="str">
        <x:v>CH-PEA-B-X2-10-3</x:v>
      </x:c>
      <x:c r="D1071" s="7" t="str">
        <x:v>PEA-B-X2</x:v>
      </x:c>
      <x:c r="E1071" s="7" t="str">
        <x:v>BLD-B</x:v>
      </x:c>
      <x:c r="F1071" s="7" t="str">
        <x:v>BL-X</x:v>
      </x:c>
      <x:c r="G1071" s="7" t="str">
        <x:v>MF-10</x:v>
      </x:c>
      <x:c r="H1071" s="7" t="str"/>
      <x:c r="I1071" s="7" t="str"/>
      <x:c r="J1071" s="7" t="str">
        <x:f>IF(OR(H1071="",I1071=""),"",I1071-H1071)</x:f>
      </x:c>
      <x:c r="K1071" s="7" t="str"/>
      <x:c r="L1071" s="7" t="str"/>
      <x:c r="M1071" s="7" t="str">
        <x:f>IF(L1071="","OPEN",IF(OR(NOT(ISNUMBER(H1071)),NOT(ISNUMBER(I1071)),NOT(ISNUMBER(K1071)),ABS(J1071)&gt;K1071),"FAIL","PASS"))</x:f>
        <x:v>OPEN</x:v>
      </x:c>
    </x:row>
    <x:row r="1072">
      <x:c r="B1072" s="7" t="str">
        <x:v>CAL-CH-PEA-B-X2-10-4</x:v>
      </x:c>
      <x:c r="C1072" s="7" t="str">
        <x:v>CH-PEA-B-X2-10-4</x:v>
      </x:c>
      <x:c r="D1072" s="7" t="str">
        <x:v>PEA-B-X2</x:v>
      </x:c>
      <x:c r="E1072" s="7" t="str">
        <x:v>BLD-B</x:v>
      </x:c>
      <x:c r="F1072" s="7" t="str">
        <x:v>BL-X</x:v>
      </x:c>
      <x:c r="G1072" s="7" t="str">
        <x:v>MF-10</x:v>
      </x:c>
      <x:c r="H1072" s="7" t="str"/>
      <x:c r="I1072" s="7" t="str"/>
      <x:c r="J1072" s="7" t="str">
        <x:f>IF(OR(H1072="",I1072=""),"",I1072-H1072)</x:f>
      </x:c>
      <x:c r="K1072" s="7" t="str"/>
      <x:c r="L1072" s="7" t="str"/>
      <x:c r="M1072" s="7" t="str">
        <x:f>IF(L1072="","OPEN",IF(OR(NOT(ISNUMBER(H1072)),NOT(ISNUMBER(I1072)),NOT(ISNUMBER(K1072)),ABS(J1072)&gt;K1072),"FAIL","PASS"))</x:f>
        <x:v>OPEN</x:v>
      </x:c>
    </x:row>
    <x:row r="1073">
      <x:c r="B1073" s="7" t="str">
        <x:v>CAL-CH-PEA-B-X2-10-5</x:v>
      </x:c>
      <x:c r="C1073" s="7" t="str">
        <x:v>CH-PEA-B-X2-10-5</x:v>
      </x:c>
      <x:c r="D1073" s="7" t="str">
        <x:v>PEA-B-X2</x:v>
      </x:c>
      <x:c r="E1073" s="7" t="str">
        <x:v>BLD-B</x:v>
      </x:c>
      <x:c r="F1073" s="7" t="str">
        <x:v>BL-X</x:v>
      </x:c>
      <x:c r="G1073" s="7" t="str">
        <x:v>MF-10</x:v>
      </x:c>
      <x:c r="H1073" s="7" t="str"/>
      <x:c r="I1073" s="7" t="str"/>
      <x:c r="J1073" s="7" t="str">
        <x:f>IF(OR(H1073="",I1073=""),"",I1073-H1073)</x:f>
      </x:c>
      <x:c r="K1073" s="7" t="str"/>
      <x:c r="L1073" s="7" t="str"/>
      <x:c r="M1073" s="7" t="str">
        <x:f>IF(L1073="","OPEN",IF(OR(NOT(ISNUMBER(H1073)),NOT(ISNUMBER(I1073)),NOT(ISNUMBER(K1073)),ABS(J1073)&gt;K1073),"FAIL","PASS"))</x:f>
        <x:v>OPEN</x:v>
      </x:c>
    </x:row>
    <x:row r="1074">
      <x:c r="B1074" s="7" t="str">
        <x:v>CAL-CH-PEA-B-X2-10-6</x:v>
      </x:c>
      <x:c r="C1074" s="7" t="str">
        <x:v>CH-PEA-B-X2-10-6</x:v>
      </x:c>
      <x:c r="D1074" s="7" t="str">
        <x:v>PEA-B-X2</x:v>
      </x:c>
      <x:c r="E1074" s="7" t="str">
        <x:v>BLD-B</x:v>
      </x:c>
      <x:c r="F1074" s="7" t="str">
        <x:v>BL-X</x:v>
      </x:c>
      <x:c r="G1074" s="7" t="str">
        <x:v>MF-10</x:v>
      </x:c>
      <x:c r="H1074" s="7" t="str"/>
      <x:c r="I1074" s="7" t="str"/>
      <x:c r="J1074" s="7" t="str">
        <x:f>IF(OR(H1074="",I1074=""),"",I1074-H1074)</x:f>
      </x:c>
      <x:c r="K1074" s="7" t="str"/>
      <x:c r="L1074" s="7" t="str"/>
      <x:c r="M1074" s="7" t="str">
        <x:f>IF(L1074="","OPEN",IF(OR(NOT(ISNUMBER(H1074)),NOT(ISNUMBER(I1074)),NOT(ISNUMBER(K1074)),ABS(J1074)&gt;K1074),"FAIL","PASS"))</x:f>
        <x:v>OPEN</x:v>
      </x:c>
    </x:row>
    <x:row r="1075">
      <x:c r="B1075" s="7" t="str">
        <x:v>CAL-CH-PEA-B-X2-11-1</x:v>
      </x:c>
      <x:c r="C1075" s="7" t="str">
        <x:v>CH-PEA-B-X2-11-1</x:v>
      </x:c>
      <x:c r="D1075" s="7" t="str">
        <x:v>PEA-B-X2</x:v>
      </x:c>
      <x:c r="E1075" s="7" t="str">
        <x:v>BLD-B</x:v>
      </x:c>
      <x:c r="F1075" s="7" t="str">
        <x:v>BL-X</x:v>
      </x:c>
      <x:c r="G1075" s="7" t="str">
        <x:v>MF-11</x:v>
      </x:c>
      <x:c r="H1075" s="7" t="str"/>
      <x:c r="I1075" s="7" t="str"/>
      <x:c r="J1075" s="7" t="str">
        <x:f>IF(OR(H1075="",I1075=""),"",I1075-H1075)</x:f>
      </x:c>
      <x:c r="K1075" s="7" t="str"/>
      <x:c r="L1075" s="7" t="str"/>
      <x:c r="M1075" s="7" t="str">
        <x:f>IF(L1075="","OPEN",IF(OR(NOT(ISNUMBER(H1075)),NOT(ISNUMBER(I1075)),NOT(ISNUMBER(K1075)),ABS(J1075)&gt;K1075),"FAIL","PASS"))</x:f>
        <x:v>OPEN</x:v>
      </x:c>
    </x:row>
    <x:row r="1076">
      <x:c r="B1076" s="7" t="str">
        <x:v>CAL-CH-PEA-B-X2-11-2</x:v>
      </x:c>
      <x:c r="C1076" s="7" t="str">
        <x:v>CH-PEA-B-X2-11-2</x:v>
      </x:c>
      <x:c r="D1076" s="7" t="str">
        <x:v>PEA-B-X2</x:v>
      </x:c>
      <x:c r="E1076" s="7" t="str">
        <x:v>BLD-B</x:v>
      </x:c>
      <x:c r="F1076" s="7" t="str">
        <x:v>BL-X</x:v>
      </x:c>
      <x:c r="G1076" s="7" t="str">
        <x:v>MF-11</x:v>
      </x:c>
      <x:c r="H1076" s="7" t="str"/>
      <x:c r="I1076" s="7" t="str"/>
      <x:c r="J1076" s="7" t="str">
        <x:f>IF(OR(H1076="",I1076=""),"",I1076-H1076)</x:f>
      </x:c>
      <x:c r="K1076" s="7" t="str"/>
      <x:c r="L1076" s="7" t="str"/>
      <x:c r="M1076" s="7" t="str">
        <x:f>IF(L1076="","OPEN",IF(OR(NOT(ISNUMBER(H1076)),NOT(ISNUMBER(I1076)),NOT(ISNUMBER(K1076)),ABS(J1076)&gt;K1076),"FAIL","PASS"))</x:f>
        <x:v>OPEN</x:v>
      </x:c>
    </x:row>
    <x:row r="1077">
      <x:c r="B1077" s="7" t="str">
        <x:v>CAL-CH-PEA-B-X2-11-3</x:v>
      </x:c>
      <x:c r="C1077" s="7" t="str">
        <x:v>CH-PEA-B-X2-11-3</x:v>
      </x:c>
      <x:c r="D1077" s="7" t="str">
        <x:v>PEA-B-X2</x:v>
      </x:c>
      <x:c r="E1077" s="7" t="str">
        <x:v>BLD-B</x:v>
      </x:c>
      <x:c r="F1077" s="7" t="str">
        <x:v>BL-X</x:v>
      </x:c>
      <x:c r="G1077" s="7" t="str">
        <x:v>MF-11</x:v>
      </x:c>
      <x:c r="H1077" s="7" t="str"/>
      <x:c r="I1077" s="7" t="str"/>
      <x:c r="J1077" s="7" t="str">
        <x:f>IF(OR(H1077="",I1077=""),"",I1077-H1077)</x:f>
      </x:c>
      <x:c r="K1077" s="7" t="str"/>
      <x:c r="L1077" s="7" t="str"/>
      <x:c r="M1077" s="7" t="str">
        <x:f>IF(L1077="","OPEN",IF(OR(NOT(ISNUMBER(H1077)),NOT(ISNUMBER(I1077)),NOT(ISNUMBER(K1077)),ABS(J1077)&gt;K1077),"FAIL","PASS"))</x:f>
        <x:v>OPEN</x:v>
      </x:c>
    </x:row>
    <x:row r="1078">
      <x:c r="B1078" s="7" t="str">
        <x:v>CAL-CH-PEA-B-X2-11-4</x:v>
      </x:c>
      <x:c r="C1078" s="7" t="str">
        <x:v>CH-PEA-B-X2-11-4</x:v>
      </x:c>
      <x:c r="D1078" s="7" t="str">
        <x:v>PEA-B-X2</x:v>
      </x:c>
      <x:c r="E1078" s="7" t="str">
        <x:v>BLD-B</x:v>
      </x:c>
      <x:c r="F1078" s="7" t="str">
        <x:v>BL-X</x:v>
      </x:c>
      <x:c r="G1078" s="7" t="str">
        <x:v>MF-11</x:v>
      </x:c>
      <x:c r="H1078" s="7" t="str"/>
      <x:c r="I1078" s="7" t="str"/>
      <x:c r="J1078" s="7" t="str">
        <x:f>IF(OR(H1078="",I1078=""),"",I1078-H1078)</x:f>
      </x:c>
      <x:c r="K1078" s="7" t="str"/>
      <x:c r="L1078" s="7" t="str"/>
      <x:c r="M1078" s="7" t="str">
        <x:f>IF(L1078="","OPEN",IF(OR(NOT(ISNUMBER(H1078)),NOT(ISNUMBER(I1078)),NOT(ISNUMBER(K1078)),ABS(J1078)&gt;K1078),"FAIL","PASS"))</x:f>
        <x:v>OPEN</x:v>
      </x:c>
    </x:row>
    <x:row r="1079">
      <x:c r="B1079" s="7" t="str">
        <x:v>CAL-CH-PEA-B-X2-11-5</x:v>
      </x:c>
      <x:c r="C1079" s="7" t="str">
        <x:v>CH-PEA-B-X2-11-5</x:v>
      </x:c>
      <x:c r="D1079" s="7" t="str">
        <x:v>PEA-B-X2</x:v>
      </x:c>
      <x:c r="E1079" s="7" t="str">
        <x:v>BLD-B</x:v>
      </x:c>
      <x:c r="F1079" s="7" t="str">
        <x:v>BL-X</x:v>
      </x:c>
      <x:c r="G1079" s="7" t="str">
        <x:v>MF-11</x:v>
      </x:c>
      <x:c r="H1079" s="7" t="str"/>
      <x:c r="I1079" s="7" t="str"/>
      <x:c r="J1079" s="7" t="str">
        <x:f>IF(OR(H1079="",I1079=""),"",I1079-H1079)</x:f>
      </x:c>
      <x:c r="K1079" s="7" t="str"/>
      <x:c r="L1079" s="7" t="str"/>
      <x:c r="M1079" s="7" t="str">
        <x:f>IF(L1079="","OPEN",IF(OR(NOT(ISNUMBER(H1079)),NOT(ISNUMBER(I1079)),NOT(ISNUMBER(K1079)),ABS(J1079)&gt;K1079),"FAIL","PASS"))</x:f>
        <x:v>OPEN</x:v>
      </x:c>
    </x:row>
    <x:row r="1080">
      <x:c r="B1080" s="7" t="str">
        <x:v>CAL-CH-PEA-B-X2-11-6</x:v>
      </x:c>
      <x:c r="C1080" s="7" t="str">
        <x:v>CH-PEA-B-X2-11-6</x:v>
      </x:c>
      <x:c r="D1080" s="7" t="str">
        <x:v>PEA-B-X2</x:v>
      </x:c>
      <x:c r="E1080" s="7" t="str">
        <x:v>BLD-B</x:v>
      </x:c>
      <x:c r="F1080" s="7" t="str">
        <x:v>BL-X</x:v>
      </x:c>
      <x:c r="G1080" s="7" t="str">
        <x:v>MF-11</x:v>
      </x:c>
      <x:c r="H1080" s="7" t="str"/>
      <x:c r="I1080" s="7" t="str"/>
      <x:c r="J1080" s="7" t="str">
        <x:f>IF(OR(H1080="",I1080=""),"",I1080-H1080)</x:f>
      </x:c>
      <x:c r="K1080" s="7" t="str"/>
      <x:c r="L1080" s="7" t="str"/>
      <x:c r="M1080" s="7" t="str">
        <x:f>IF(L1080="","OPEN",IF(OR(NOT(ISNUMBER(H1080)),NOT(ISNUMBER(I1080)),NOT(ISNUMBER(K1080)),ABS(J1080)&gt;K1080),"FAIL","PASS"))</x:f>
        <x:v>OPEN</x:v>
      </x:c>
    </x:row>
    <x:row r="1081">
      <x:c r="B1081" s="7" t="str">
        <x:v>CAL-CH-PEA-B-X2-12-1</x:v>
      </x:c>
      <x:c r="C1081" s="7" t="str">
        <x:v>CH-PEA-B-X2-12-1</x:v>
      </x:c>
      <x:c r="D1081" s="7" t="str">
        <x:v>PEA-B-X2</x:v>
      </x:c>
      <x:c r="E1081" s="7" t="str">
        <x:v>BLD-B</x:v>
      </x:c>
      <x:c r="F1081" s="7" t="str">
        <x:v>BL-X</x:v>
      </x:c>
      <x:c r="G1081" s="7" t="str">
        <x:v>MF-12</x:v>
      </x:c>
      <x:c r="H1081" s="7" t="str"/>
      <x:c r="I1081" s="7" t="str"/>
      <x:c r="J1081" s="7" t="str">
        <x:f>IF(OR(H1081="",I1081=""),"",I1081-H1081)</x:f>
      </x:c>
      <x:c r="K1081" s="7" t="str"/>
      <x:c r="L1081" s="7" t="str"/>
      <x:c r="M1081" s="7" t="str">
        <x:f>IF(L1081="","OPEN",IF(OR(NOT(ISNUMBER(H1081)),NOT(ISNUMBER(I1081)),NOT(ISNUMBER(K1081)),ABS(J1081)&gt;K1081),"FAIL","PASS"))</x:f>
        <x:v>OPEN</x:v>
      </x:c>
    </x:row>
    <x:row r="1082">
      <x:c r="B1082" s="7" t="str">
        <x:v>CAL-CH-PEA-B-X2-12-2</x:v>
      </x:c>
      <x:c r="C1082" s="7" t="str">
        <x:v>CH-PEA-B-X2-12-2</x:v>
      </x:c>
      <x:c r="D1082" s="7" t="str">
        <x:v>PEA-B-X2</x:v>
      </x:c>
      <x:c r="E1082" s="7" t="str">
        <x:v>BLD-B</x:v>
      </x:c>
      <x:c r="F1082" s="7" t="str">
        <x:v>BL-X</x:v>
      </x:c>
      <x:c r="G1082" s="7" t="str">
        <x:v>MF-12</x:v>
      </x:c>
      <x:c r="H1082" s="7" t="str"/>
      <x:c r="I1082" s="7" t="str"/>
      <x:c r="J1082" s="7" t="str">
        <x:f>IF(OR(H1082="",I1082=""),"",I1082-H1082)</x:f>
      </x:c>
      <x:c r="K1082" s="7" t="str"/>
      <x:c r="L1082" s="7" t="str"/>
      <x:c r="M1082" s="7" t="str">
        <x:f>IF(L1082="","OPEN",IF(OR(NOT(ISNUMBER(H1082)),NOT(ISNUMBER(I1082)),NOT(ISNUMBER(K1082)),ABS(J1082)&gt;K1082),"FAIL","PASS"))</x:f>
        <x:v>OPEN</x:v>
      </x:c>
    </x:row>
    <x:row r="1083">
      <x:c r="B1083" s="7" t="str">
        <x:v>CAL-CH-PEA-B-X2-12-3</x:v>
      </x:c>
      <x:c r="C1083" s="7" t="str">
        <x:v>CH-PEA-B-X2-12-3</x:v>
      </x:c>
      <x:c r="D1083" s="7" t="str">
        <x:v>PEA-B-X2</x:v>
      </x:c>
      <x:c r="E1083" s="7" t="str">
        <x:v>BLD-B</x:v>
      </x:c>
      <x:c r="F1083" s="7" t="str">
        <x:v>BL-X</x:v>
      </x:c>
      <x:c r="G1083" s="7" t="str">
        <x:v>MF-12</x:v>
      </x:c>
      <x:c r="H1083" s="7" t="str"/>
      <x:c r="I1083" s="7" t="str"/>
      <x:c r="J1083" s="7" t="str">
        <x:f>IF(OR(H1083="",I1083=""),"",I1083-H1083)</x:f>
      </x:c>
      <x:c r="K1083" s="7" t="str"/>
      <x:c r="L1083" s="7" t="str"/>
      <x:c r="M1083" s="7" t="str">
        <x:f>IF(L1083="","OPEN",IF(OR(NOT(ISNUMBER(H1083)),NOT(ISNUMBER(I1083)),NOT(ISNUMBER(K1083)),ABS(J1083)&gt;K1083),"FAIL","PASS"))</x:f>
        <x:v>OPEN</x:v>
      </x:c>
    </x:row>
    <x:row r="1084">
      <x:c r="B1084" s="7" t="str">
        <x:v>CAL-CH-PEA-B-X2-12-4</x:v>
      </x:c>
      <x:c r="C1084" s="7" t="str">
        <x:v>CH-PEA-B-X2-12-4</x:v>
      </x:c>
      <x:c r="D1084" s="7" t="str">
        <x:v>PEA-B-X2</x:v>
      </x:c>
      <x:c r="E1084" s="7" t="str">
        <x:v>BLD-B</x:v>
      </x:c>
      <x:c r="F1084" s="7" t="str">
        <x:v>BL-X</x:v>
      </x:c>
      <x:c r="G1084" s="7" t="str">
        <x:v>MF-12</x:v>
      </x:c>
      <x:c r="H1084" s="7" t="str"/>
      <x:c r="I1084" s="7" t="str"/>
      <x:c r="J1084" s="7" t="str">
        <x:f>IF(OR(H1084="",I1084=""),"",I1084-H1084)</x:f>
      </x:c>
      <x:c r="K1084" s="7" t="str"/>
      <x:c r="L1084" s="7" t="str"/>
      <x:c r="M1084" s="7" t="str">
        <x:f>IF(L1084="","OPEN",IF(OR(NOT(ISNUMBER(H1084)),NOT(ISNUMBER(I1084)),NOT(ISNUMBER(K1084)),ABS(J1084)&gt;K1084),"FAIL","PASS"))</x:f>
        <x:v>OPEN</x:v>
      </x:c>
    </x:row>
    <x:row r="1085">
      <x:c r="B1085" s="7" t="str">
        <x:v>CAL-CH-PEA-B-X2-12-5</x:v>
      </x:c>
      <x:c r="C1085" s="7" t="str">
        <x:v>CH-PEA-B-X2-12-5</x:v>
      </x:c>
      <x:c r="D1085" s="7" t="str">
        <x:v>PEA-B-X2</x:v>
      </x:c>
      <x:c r="E1085" s="7" t="str">
        <x:v>BLD-B</x:v>
      </x:c>
      <x:c r="F1085" s="7" t="str">
        <x:v>BL-X</x:v>
      </x:c>
      <x:c r="G1085" s="7" t="str">
        <x:v>MF-12</x:v>
      </x:c>
      <x:c r="H1085" s="7" t="str"/>
      <x:c r="I1085" s="7" t="str"/>
      <x:c r="J1085" s="7" t="str">
        <x:f>IF(OR(H1085="",I1085=""),"",I1085-H1085)</x:f>
      </x:c>
      <x:c r="K1085" s="7" t="str"/>
      <x:c r="L1085" s="7" t="str"/>
      <x:c r="M1085" s="7" t="str">
        <x:f>IF(L1085="","OPEN",IF(OR(NOT(ISNUMBER(H1085)),NOT(ISNUMBER(I1085)),NOT(ISNUMBER(K1085)),ABS(J1085)&gt;K1085),"FAIL","PASS"))</x:f>
        <x:v>OPEN</x:v>
      </x:c>
    </x:row>
    <x:row r="1086">
      <x:c r="B1086" s="7" t="str">
        <x:v>CAL-CH-PEA-B-X2-12-6</x:v>
      </x:c>
      <x:c r="C1086" s="7" t="str">
        <x:v>CH-PEA-B-X2-12-6</x:v>
      </x:c>
      <x:c r="D1086" s="7" t="str">
        <x:v>PEA-B-X2</x:v>
      </x:c>
      <x:c r="E1086" s="7" t="str">
        <x:v>BLD-B</x:v>
      </x:c>
      <x:c r="F1086" s="7" t="str">
        <x:v>BL-X</x:v>
      </x:c>
      <x:c r="G1086" s="7" t="str">
        <x:v>MF-12</x:v>
      </x:c>
      <x:c r="H1086" s="7" t="str"/>
      <x:c r="I1086" s="7" t="str"/>
      <x:c r="J1086" s="7" t="str">
        <x:f>IF(OR(H1086="",I1086=""),"",I1086-H1086)</x:f>
      </x:c>
      <x:c r="K1086" s="7" t="str"/>
      <x:c r="L1086" s="7" t="str"/>
      <x:c r="M1086" s="7" t="str">
        <x:f>IF(L1086="","OPEN",IF(OR(NOT(ISNUMBER(H1086)),NOT(ISNUMBER(I1086)),NOT(ISNUMBER(K1086)),ABS(J1086)&gt;K1086),"FAIL","PASS"))</x:f>
        <x:v>OPEN</x:v>
      </x:c>
    </x:row>
    <x:row r="1087">
      <x:c r="B1087" s="7" t="str">
        <x:v>CAL-CH-PEA-B-X2-13-1</x:v>
      </x:c>
      <x:c r="C1087" s="7" t="str">
        <x:v>CH-PEA-B-X2-13-1</x:v>
      </x:c>
      <x:c r="D1087" s="7" t="str">
        <x:v>PEA-B-X2</x:v>
      </x:c>
      <x:c r="E1087" s="7" t="str">
        <x:v>BLD-B</x:v>
      </x:c>
      <x:c r="F1087" s="7" t="str">
        <x:v>BL-X</x:v>
      </x:c>
      <x:c r="G1087" s="7" t="str">
        <x:v>MF-13</x:v>
      </x:c>
      <x:c r="H1087" s="7" t="str"/>
      <x:c r="I1087" s="7" t="str"/>
      <x:c r="J1087" s="7" t="str">
        <x:f>IF(OR(H1087="",I1087=""),"",I1087-H1087)</x:f>
      </x:c>
      <x:c r="K1087" s="7" t="str"/>
      <x:c r="L1087" s="7" t="str"/>
      <x:c r="M1087" s="7" t="str">
        <x:f>IF(L1087="","OPEN",IF(OR(NOT(ISNUMBER(H1087)),NOT(ISNUMBER(I1087)),NOT(ISNUMBER(K1087)),ABS(J1087)&gt;K1087),"FAIL","PASS"))</x:f>
        <x:v>OPEN</x:v>
      </x:c>
    </x:row>
    <x:row r="1088">
      <x:c r="B1088" s="7" t="str">
        <x:v>CAL-CH-PEA-B-X2-13-2</x:v>
      </x:c>
      <x:c r="C1088" s="7" t="str">
        <x:v>CH-PEA-B-X2-13-2</x:v>
      </x:c>
      <x:c r="D1088" s="7" t="str">
        <x:v>PEA-B-X2</x:v>
      </x:c>
      <x:c r="E1088" s="7" t="str">
        <x:v>BLD-B</x:v>
      </x:c>
      <x:c r="F1088" s="7" t="str">
        <x:v>BL-X</x:v>
      </x:c>
      <x:c r="G1088" s="7" t="str">
        <x:v>MF-13</x:v>
      </x:c>
      <x:c r="H1088" s="7" t="str"/>
      <x:c r="I1088" s="7" t="str"/>
      <x:c r="J1088" s="7" t="str">
        <x:f>IF(OR(H1088="",I1088=""),"",I1088-H1088)</x:f>
      </x:c>
      <x:c r="K1088" s="7" t="str"/>
      <x:c r="L1088" s="7" t="str"/>
      <x:c r="M1088" s="7" t="str">
        <x:f>IF(L1088="","OPEN",IF(OR(NOT(ISNUMBER(H1088)),NOT(ISNUMBER(I1088)),NOT(ISNUMBER(K1088)),ABS(J1088)&gt;K1088),"FAIL","PASS"))</x:f>
        <x:v>OPEN</x:v>
      </x:c>
    </x:row>
    <x:row r="1089">
      <x:c r="B1089" s="7" t="str">
        <x:v>CAL-CH-PEA-B-X2-13-3</x:v>
      </x:c>
      <x:c r="C1089" s="7" t="str">
        <x:v>CH-PEA-B-X2-13-3</x:v>
      </x:c>
      <x:c r="D1089" s="7" t="str">
        <x:v>PEA-B-X2</x:v>
      </x:c>
      <x:c r="E1089" s="7" t="str">
        <x:v>BLD-B</x:v>
      </x:c>
      <x:c r="F1089" s="7" t="str">
        <x:v>BL-X</x:v>
      </x:c>
      <x:c r="G1089" s="7" t="str">
        <x:v>MF-13</x:v>
      </x:c>
      <x:c r="H1089" s="7" t="str"/>
      <x:c r="I1089" s="7" t="str"/>
      <x:c r="J1089" s="7" t="str">
        <x:f>IF(OR(H1089="",I1089=""),"",I1089-H1089)</x:f>
      </x:c>
      <x:c r="K1089" s="7" t="str"/>
      <x:c r="L1089" s="7" t="str"/>
      <x:c r="M1089" s="7" t="str">
        <x:f>IF(L1089="","OPEN",IF(OR(NOT(ISNUMBER(H1089)),NOT(ISNUMBER(I1089)),NOT(ISNUMBER(K1089)),ABS(J1089)&gt;K1089),"FAIL","PASS"))</x:f>
        <x:v>OPEN</x:v>
      </x:c>
    </x:row>
    <x:row r="1090">
      <x:c r="B1090" s="7" t="str">
        <x:v>CAL-CH-PEA-B-X2-13-4</x:v>
      </x:c>
      <x:c r="C1090" s="7" t="str">
        <x:v>CH-PEA-B-X2-13-4</x:v>
      </x:c>
      <x:c r="D1090" s="7" t="str">
        <x:v>PEA-B-X2</x:v>
      </x:c>
      <x:c r="E1090" s="7" t="str">
        <x:v>BLD-B</x:v>
      </x:c>
      <x:c r="F1090" s="7" t="str">
        <x:v>BL-X</x:v>
      </x:c>
      <x:c r="G1090" s="7" t="str">
        <x:v>MF-13</x:v>
      </x:c>
      <x:c r="H1090" s="7" t="str"/>
      <x:c r="I1090" s="7" t="str"/>
      <x:c r="J1090" s="7" t="str">
        <x:f>IF(OR(H1090="",I1090=""),"",I1090-H1090)</x:f>
      </x:c>
      <x:c r="K1090" s="7" t="str"/>
      <x:c r="L1090" s="7" t="str"/>
      <x:c r="M1090" s="7" t="str">
        <x:f>IF(L1090="","OPEN",IF(OR(NOT(ISNUMBER(H1090)),NOT(ISNUMBER(I1090)),NOT(ISNUMBER(K1090)),ABS(J1090)&gt;K1090),"FAIL","PASS"))</x:f>
        <x:v>OPEN</x:v>
      </x:c>
    </x:row>
    <x:row r="1091">
      <x:c r="B1091" s="7" t="str">
        <x:v>CAL-CH-PEA-B-X2-13-5</x:v>
      </x:c>
      <x:c r="C1091" s="7" t="str">
        <x:v>CH-PEA-B-X2-13-5</x:v>
      </x:c>
      <x:c r="D1091" s="7" t="str">
        <x:v>PEA-B-X2</x:v>
      </x:c>
      <x:c r="E1091" s="7" t="str">
        <x:v>BLD-B</x:v>
      </x:c>
      <x:c r="F1091" s="7" t="str">
        <x:v>BL-X</x:v>
      </x:c>
      <x:c r="G1091" s="7" t="str">
        <x:v>MF-13</x:v>
      </x:c>
      <x:c r="H1091" s="7" t="str"/>
      <x:c r="I1091" s="7" t="str"/>
      <x:c r="J1091" s="7" t="str">
        <x:f>IF(OR(H1091="",I1091=""),"",I1091-H1091)</x:f>
      </x:c>
      <x:c r="K1091" s="7" t="str"/>
      <x:c r="L1091" s="7" t="str"/>
      <x:c r="M1091" s="7" t="str">
        <x:f>IF(L1091="","OPEN",IF(OR(NOT(ISNUMBER(H1091)),NOT(ISNUMBER(I1091)),NOT(ISNUMBER(K1091)),ABS(J1091)&gt;K1091),"FAIL","PASS"))</x:f>
        <x:v>OPEN</x:v>
      </x:c>
    </x:row>
    <x:row r="1092">
      <x:c r="B1092" s="7" t="str">
        <x:v>CAL-CH-PEA-B-X2-13-6</x:v>
      </x:c>
      <x:c r="C1092" s="7" t="str">
        <x:v>CH-PEA-B-X2-13-6</x:v>
      </x:c>
      <x:c r="D1092" s="7" t="str">
        <x:v>PEA-B-X2</x:v>
      </x:c>
      <x:c r="E1092" s="7" t="str">
        <x:v>BLD-B</x:v>
      </x:c>
      <x:c r="F1092" s="7" t="str">
        <x:v>BL-X</x:v>
      </x:c>
      <x:c r="G1092" s="7" t="str">
        <x:v>MF-13</x:v>
      </x:c>
      <x:c r="H1092" s="7" t="str"/>
      <x:c r="I1092" s="7" t="str"/>
      <x:c r="J1092" s="7" t="str">
        <x:f>IF(OR(H1092="",I1092=""),"",I1092-H1092)</x:f>
      </x:c>
      <x:c r="K1092" s="7" t="str"/>
      <x:c r="L1092" s="7" t="str"/>
      <x:c r="M1092" s="7" t="str">
        <x:f>IF(L1092="","OPEN",IF(OR(NOT(ISNUMBER(H1092)),NOT(ISNUMBER(I1092)),NOT(ISNUMBER(K1092)),ABS(J1092)&gt;K1092),"FAIL","PASS"))</x:f>
        <x:v>OPEN</x:v>
      </x:c>
    </x:row>
    <x:row r="1093">
      <x:c r="B1093" s="7" t="str">
        <x:v>CAL-CH-PEA-B-X2-14-1</x:v>
      </x:c>
      <x:c r="C1093" s="7" t="str">
        <x:v>CH-PEA-B-X2-14-1</x:v>
      </x:c>
      <x:c r="D1093" s="7" t="str">
        <x:v>PEA-B-X2</x:v>
      </x:c>
      <x:c r="E1093" s="7" t="str">
        <x:v>BLD-B</x:v>
      </x:c>
      <x:c r="F1093" s="7" t="str">
        <x:v>BL-X</x:v>
      </x:c>
      <x:c r="G1093" s="7" t="str">
        <x:v>MF-14</x:v>
      </x:c>
      <x:c r="H1093" s="7" t="str"/>
      <x:c r="I1093" s="7" t="str"/>
      <x:c r="J1093" s="7" t="str">
        <x:f>IF(OR(H1093="",I1093=""),"",I1093-H1093)</x:f>
      </x:c>
      <x:c r="K1093" s="7" t="str"/>
      <x:c r="L1093" s="7" t="str"/>
      <x:c r="M1093" s="7" t="str">
        <x:f>IF(L1093="","OPEN",IF(OR(NOT(ISNUMBER(H1093)),NOT(ISNUMBER(I1093)),NOT(ISNUMBER(K1093)),ABS(J1093)&gt;K1093),"FAIL","PASS"))</x:f>
        <x:v>OPEN</x:v>
      </x:c>
    </x:row>
    <x:row r="1094">
      <x:c r="B1094" s="7" t="str">
        <x:v>CAL-CH-PEA-B-X2-14-2</x:v>
      </x:c>
      <x:c r="C1094" s="7" t="str">
        <x:v>CH-PEA-B-X2-14-2</x:v>
      </x:c>
      <x:c r="D1094" s="7" t="str">
        <x:v>PEA-B-X2</x:v>
      </x:c>
      <x:c r="E1094" s="7" t="str">
        <x:v>BLD-B</x:v>
      </x:c>
      <x:c r="F1094" s="7" t="str">
        <x:v>BL-X</x:v>
      </x:c>
      <x:c r="G1094" s="7" t="str">
        <x:v>MF-14</x:v>
      </x:c>
      <x:c r="H1094" s="7" t="str"/>
      <x:c r="I1094" s="7" t="str"/>
      <x:c r="J1094" s="7" t="str">
        <x:f>IF(OR(H1094="",I1094=""),"",I1094-H1094)</x:f>
      </x:c>
      <x:c r="K1094" s="7" t="str"/>
      <x:c r="L1094" s="7" t="str"/>
      <x:c r="M1094" s="7" t="str">
        <x:f>IF(L1094="","OPEN",IF(OR(NOT(ISNUMBER(H1094)),NOT(ISNUMBER(I1094)),NOT(ISNUMBER(K1094)),ABS(J1094)&gt;K1094),"FAIL","PASS"))</x:f>
        <x:v>OPEN</x:v>
      </x:c>
    </x:row>
    <x:row r="1095">
      <x:c r="B1095" s="7" t="str">
        <x:v>CAL-CH-PEA-B-X2-14-3</x:v>
      </x:c>
      <x:c r="C1095" s="7" t="str">
        <x:v>CH-PEA-B-X2-14-3</x:v>
      </x:c>
      <x:c r="D1095" s="7" t="str">
        <x:v>PEA-B-X2</x:v>
      </x:c>
      <x:c r="E1095" s="7" t="str">
        <x:v>BLD-B</x:v>
      </x:c>
      <x:c r="F1095" s="7" t="str">
        <x:v>BL-X</x:v>
      </x:c>
      <x:c r="G1095" s="7" t="str">
        <x:v>MF-14</x:v>
      </x:c>
      <x:c r="H1095" s="7" t="str"/>
      <x:c r="I1095" s="7" t="str"/>
      <x:c r="J1095" s="7" t="str">
        <x:f>IF(OR(H1095="",I1095=""),"",I1095-H1095)</x:f>
      </x:c>
      <x:c r="K1095" s="7" t="str"/>
      <x:c r="L1095" s="7" t="str"/>
      <x:c r="M1095" s="7" t="str">
        <x:f>IF(L1095="","OPEN",IF(OR(NOT(ISNUMBER(H1095)),NOT(ISNUMBER(I1095)),NOT(ISNUMBER(K1095)),ABS(J1095)&gt;K1095),"FAIL","PASS"))</x:f>
        <x:v>OPEN</x:v>
      </x:c>
    </x:row>
    <x:row r="1096">
      <x:c r="B1096" s="7" t="str">
        <x:v>CAL-CH-PEA-B-X2-14-4</x:v>
      </x:c>
      <x:c r="C1096" s="7" t="str">
        <x:v>CH-PEA-B-X2-14-4</x:v>
      </x:c>
      <x:c r="D1096" s="7" t="str">
        <x:v>PEA-B-X2</x:v>
      </x:c>
      <x:c r="E1096" s="7" t="str">
        <x:v>BLD-B</x:v>
      </x:c>
      <x:c r="F1096" s="7" t="str">
        <x:v>BL-X</x:v>
      </x:c>
      <x:c r="G1096" s="7" t="str">
        <x:v>MF-14</x:v>
      </x:c>
      <x:c r="H1096" s="7" t="str"/>
      <x:c r="I1096" s="7" t="str"/>
      <x:c r="J1096" s="7" t="str">
        <x:f>IF(OR(H1096="",I1096=""),"",I1096-H1096)</x:f>
      </x:c>
      <x:c r="K1096" s="7" t="str"/>
      <x:c r="L1096" s="7" t="str"/>
      <x:c r="M1096" s="7" t="str">
        <x:f>IF(L1096="","OPEN",IF(OR(NOT(ISNUMBER(H1096)),NOT(ISNUMBER(I1096)),NOT(ISNUMBER(K1096)),ABS(J1096)&gt;K1096),"FAIL","PASS"))</x:f>
        <x:v>OPEN</x:v>
      </x:c>
    </x:row>
    <x:row r="1097">
      <x:c r="B1097" s="7" t="str">
        <x:v>CAL-CH-PEA-B-X2-14-5</x:v>
      </x:c>
      <x:c r="C1097" s="7" t="str">
        <x:v>CH-PEA-B-X2-14-5</x:v>
      </x:c>
      <x:c r="D1097" s="7" t="str">
        <x:v>PEA-B-X2</x:v>
      </x:c>
      <x:c r="E1097" s="7" t="str">
        <x:v>BLD-B</x:v>
      </x:c>
      <x:c r="F1097" s="7" t="str">
        <x:v>BL-X</x:v>
      </x:c>
      <x:c r="G1097" s="7" t="str">
        <x:v>MF-14</x:v>
      </x:c>
      <x:c r="H1097" s="7" t="str"/>
      <x:c r="I1097" s="7" t="str"/>
      <x:c r="J1097" s="7" t="str">
        <x:f>IF(OR(H1097="",I1097=""),"",I1097-H1097)</x:f>
      </x:c>
      <x:c r="K1097" s="7" t="str"/>
      <x:c r="L1097" s="7" t="str"/>
      <x:c r="M1097" s="7" t="str">
        <x:f>IF(L1097="","OPEN",IF(OR(NOT(ISNUMBER(H1097)),NOT(ISNUMBER(I1097)),NOT(ISNUMBER(K1097)),ABS(J1097)&gt;K1097),"FAIL","PASS"))</x:f>
        <x:v>OPEN</x:v>
      </x:c>
    </x:row>
    <x:row r="1098">
      <x:c r="B1098" s="7" t="str">
        <x:v>CAL-CH-PEA-B-X2-14-6</x:v>
      </x:c>
      <x:c r="C1098" s="7" t="str">
        <x:v>CH-PEA-B-X2-14-6</x:v>
      </x:c>
      <x:c r="D1098" s="7" t="str">
        <x:v>PEA-B-X2</x:v>
      </x:c>
      <x:c r="E1098" s="7" t="str">
        <x:v>BLD-B</x:v>
      </x:c>
      <x:c r="F1098" s="7" t="str">
        <x:v>BL-X</x:v>
      </x:c>
      <x:c r="G1098" s="7" t="str">
        <x:v>MF-14</x:v>
      </x:c>
      <x:c r="H1098" s="7" t="str"/>
      <x:c r="I1098" s="7" t="str"/>
      <x:c r="J1098" s="7" t="str">
        <x:f>IF(OR(H1098="",I1098=""),"",I1098-H1098)</x:f>
      </x:c>
      <x:c r="K1098" s="7" t="str"/>
      <x:c r="L1098" s="7" t="str"/>
      <x:c r="M1098" s="7" t="str">
        <x:f>IF(L1098="","OPEN",IF(OR(NOT(ISNUMBER(H1098)),NOT(ISNUMBER(I1098)),NOT(ISNUMBER(K1098)),ABS(J1098)&gt;K1098),"FAIL","PASS"))</x:f>
        <x:v>OPEN</x:v>
      </x:c>
    </x:row>
    <x:row r="1099">
      <x:c r="B1099" s="7" t="str">
        <x:v>CAL-CH-PEA-B-X2-15-1</x:v>
      </x:c>
      <x:c r="C1099" s="7" t="str">
        <x:v>CH-PEA-B-X2-15-1</x:v>
      </x:c>
      <x:c r="D1099" s="7" t="str">
        <x:v>PEA-B-X2</x:v>
      </x:c>
      <x:c r="E1099" s="7" t="str">
        <x:v>BLD-B</x:v>
      </x:c>
      <x:c r="F1099" s="7" t="str">
        <x:v>BL-X</x:v>
      </x:c>
      <x:c r="G1099" s="7" t="str">
        <x:v>MF-15</x:v>
      </x:c>
      <x:c r="H1099" s="7" t="str"/>
      <x:c r="I1099" s="7" t="str"/>
      <x:c r="J1099" s="7" t="str">
        <x:f>IF(OR(H1099="",I1099=""),"",I1099-H1099)</x:f>
      </x:c>
      <x:c r="K1099" s="7" t="str"/>
      <x:c r="L1099" s="7" t="str"/>
      <x:c r="M1099" s="7" t="str">
        <x:f>IF(L1099="","OPEN",IF(OR(NOT(ISNUMBER(H1099)),NOT(ISNUMBER(I1099)),NOT(ISNUMBER(K1099)),ABS(J1099)&gt;K1099),"FAIL","PASS"))</x:f>
        <x:v>OPEN</x:v>
      </x:c>
    </x:row>
    <x:row r="1100">
      <x:c r="B1100" s="7" t="str">
        <x:v>CAL-CH-PEA-B-X2-15-2</x:v>
      </x:c>
      <x:c r="C1100" s="7" t="str">
        <x:v>CH-PEA-B-X2-15-2</x:v>
      </x:c>
      <x:c r="D1100" s="7" t="str">
        <x:v>PEA-B-X2</x:v>
      </x:c>
      <x:c r="E1100" s="7" t="str">
        <x:v>BLD-B</x:v>
      </x:c>
      <x:c r="F1100" s="7" t="str">
        <x:v>BL-X</x:v>
      </x:c>
      <x:c r="G1100" s="7" t="str">
        <x:v>MF-15</x:v>
      </x:c>
      <x:c r="H1100" s="7" t="str"/>
      <x:c r="I1100" s="7" t="str"/>
      <x:c r="J1100" s="7" t="str">
        <x:f>IF(OR(H1100="",I1100=""),"",I1100-H1100)</x:f>
      </x:c>
      <x:c r="K1100" s="7" t="str"/>
      <x:c r="L1100" s="7" t="str"/>
      <x:c r="M1100" s="7" t="str">
        <x:f>IF(L1100="","OPEN",IF(OR(NOT(ISNUMBER(H1100)),NOT(ISNUMBER(I1100)),NOT(ISNUMBER(K1100)),ABS(J1100)&gt;K1100),"FAIL","PASS"))</x:f>
        <x:v>OPEN</x:v>
      </x:c>
    </x:row>
    <x:row r="1101">
      <x:c r="B1101" s="7" t="str">
        <x:v>CAL-CH-PEA-B-X2-15-3</x:v>
      </x:c>
      <x:c r="C1101" s="7" t="str">
        <x:v>CH-PEA-B-X2-15-3</x:v>
      </x:c>
      <x:c r="D1101" s="7" t="str">
        <x:v>PEA-B-X2</x:v>
      </x:c>
      <x:c r="E1101" s="7" t="str">
        <x:v>BLD-B</x:v>
      </x:c>
      <x:c r="F1101" s="7" t="str">
        <x:v>BL-X</x:v>
      </x:c>
      <x:c r="G1101" s="7" t="str">
        <x:v>MF-15</x:v>
      </x:c>
      <x:c r="H1101" s="7" t="str"/>
      <x:c r="I1101" s="7" t="str"/>
      <x:c r="J1101" s="7" t="str">
        <x:f>IF(OR(H1101="",I1101=""),"",I1101-H1101)</x:f>
      </x:c>
      <x:c r="K1101" s="7" t="str"/>
      <x:c r="L1101" s="7" t="str"/>
      <x:c r="M1101" s="7" t="str">
        <x:f>IF(L1101="","OPEN",IF(OR(NOT(ISNUMBER(H1101)),NOT(ISNUMBER(I1101)),NOT(ISNUMBER(K1101)),ABS(J1101)&gt;K1101),"FAIL","PASS"))</x:f>
        <x:v>OPEN</x:v>
      </x:c>
    </x:row>
    <x:row r="1102">
      <x:c r="B1102" s="7" t="str">
        <x:v>CAL-CH-PEA-B-X2-15-4</x:v>
      </x:c>
      <x:c r="C1102" s="7" t="str">
        <x:v>CH-PEA-B-X2-15-4</x:v>
      </x:c>
      <x:c r="D1102" s="7" t="str">
        <x:v>PEA-B-X2</x:v>
      </x:c>
      <x:c r="E1102" s="7" t="str">
        <x:v>BLD-B</x:v>
      </x:c>
      <x:c r="F1102" s="7" t="str">
        <x:v>BL-X</x:v>
      </x:c>
      <x:c r="G1102" s="7" t="str">
        <x:v>MF-15</x:v>
      </x:c>
      <x:c r="H1102" s="7" t="str"/>
      <x:c r="I1102" s="7" t="str"/>
      <x:c r="J1102" s="7" t="str">
        <x:f>IF(OR(H1102="",I1102=""),"",I1102-H1102)</x:f>
      </x:c>
      <x:c r="K1102" s="7" t="str"/>
      <x:c r="L1102" s="7" t="str"/>
      <x:c r="M1102" s="7" t="str">
        <x:f>IF(L1102="","OPEN",IF(OR(NOT(ISNUMBER(H1102)),NOT(ISNUMBER(I1102)),NOT(ISNUMBER(K1102)),ABS(J1102)&gt;K1102),"FAIL","PASS"))</x:f>
        <x:v>OPEN</x:v>
      </x:c>
    </x:row>
    <x:row r="1103">
      <x:c r="B1103" s="7" t="str">
        <x:v>CAL-CH-PEA-B-X2-15-5</x:v>
      </x:c>
      <x:c r="C1103" s="7" t="str">
        <x:v>CH-PEA-B-X2-15-5</x:v>
      </x:c>
      <x:c r="D1103" s="7" t="str">
        <x:v>PEA-B-X2</x:v>
      </x:c>
      <x:c r="E1103" s="7" t="str">
        <x:v>BLD-B</x:v>
      </x:c>
      <x:c r="F1103" s="7" t="str">
        <x:v>BL-X</x:v>
      </x:c>
      <x:c r="G1103" s="7" t="str">
        <x:v>MF-15</x:v>
      </x:c>
      <x:c r="H1103" s="7" t="str"/>
      <x:c r="I1103" s="7" t="str"/>
      <x:c r="J1103" s="7" t="str">
        <x:f>IF(OR(H1103="",I1103=""),"",I1103-H1103)</x:f>
      </x:c>
      <x:c r="K1103" s="7" t="str"/>
      <x:c r="L1103" s="7" t="str"/>
      <x:c r="M1103" s="7" t="str">
        <x:f>IF(L1103="","OPEN",IF(OR(NOT(ISNUMBER(H1103)),NOT(ISNUMBER(I1103)),NOT(ISNUMBER(K1103)),ABS(J1103)&gt;K1103),"FAIL","PASS"))</x:f>
        <x:v>OPEN</x:v>
      </x:c>
    </x:row>
    <x:row r="1104">
      <x:c r="B1104" s="7" t="str">
        <x:v>CAL-CH-PEA-B-X2-15-6</x:v>
      </x:c>
      <x:c r="C1104" s="7" t="str">
        <x:v>CH-PEA-B-X2-15-6</x:v>
      </x:c>
      <x:c r="D1104" s="7" t="str">
        <x:v>PEA-B-X2</x:v>
      </x:c>
      <x:c r="E1104" s="7" t="str">
        <x:v>BLD-B</x:v>
      </x:c>
      <x:c r="F1104" s="7" t="str">
        <x:v>BL-X</x:v>
      </x:c>
      <x:c r="G1104" s="7" t="str">
        <x:v>MF-15</x:v>
      </x:c>
      <x:c r="H1104" s="7" t="str"/>
      <x:c r="I1104" s="7" t="str"/>
      <x:c r="J1104" s="7" t="str">
        <x:f>IF(OR(H1104="",I1104=""),"",I1104-H1104)</x:f>
      </x:c>
      <x:c r="K1104" s="7" t="str"/>
      <x:c r="L1104" s="7" t="str"/>
      <x:c r="M1104" s="7" t="str">
        <x:f>IF(L1104="","OPEN",IF(OR(NOT(ISNUMBER(H1104)),NOT(ISNUMBER(I1104)),NOT(ISNUMBER(K1104)),ABS(J1104)&gt;K1104),"FAIL","PASS"))</x:f>
        <x:v>OPEN</x:v>
      </x:c>
    </x:row>
    <x:row r="1105">
      <x:c r="B1105" s="7" t="str">
        <x:v>CAL-CH-PEA-B-X2-16-1</x:v>
      </x:c>
      <x:c r="C1105" s="7" t="str">
        <x:v>CH-PEA-B-X2-16-1</x:v>
      </x:c>
      <x:c r="D1105" s="7" t="str">
        <x:v>PEA-B-X2</x:v>
      </x:c>
      <x:c r="E1105" s="7" t="str">
        <x:v>BLD-B</x:v>
      </x:c>
      <x:c r="F1105" s="7" t="str">
        <x:v>BL-X</x:v>
      </x:c>
      <x:c r="G1105" s="7" t="str">
        <x:v>MF-16</x:v>
      </x:c>
      <x:c r="H1105" s="7" t="str"/>
      <x:c r="I1105" s="7" t="str"/>
      <x:c r="J1105" s="7" t="str">
        <x:f>IF(OR(H1105="",I1105=""),"",I1105-H1105)</x:f>
      </x:c>
      <x:c r="K1105" s="7" t="str"/>
      <x:c r="L1105" s="7" t="str"/>
      <x:c r="M1105" s="7" t="str">
        <x:f>IF(L1105="","OPEN",IF(OR(NOT(ISNUMBER(H1105)),NOT(ISNUMBER(I1105)),NOT(ISNUMBER(K1105)),ABS(J1105)&gt;K1105),"FAIL","PASS"))</x:f>
        <x:v>OPEN</x:v>
      </x:c>
    </x:row>
    <x:row r="1106">
      <x:c r="B1106" s="7" t="str">
        <x:v>CAL-CH-PEA-B-X2-16-2</x:v>
      </x:c>
      <x:c r="C1106" s="7" t="str">
        <x:v>CH-PEA-B-X2-16-2</x:v>
      </x:c>
      <x:c r="D1106" s="7" t="str">
        <x:v>PEA-B-X2</x:v>
      </x:c>
      <x:c r="E1106" s="7" t="str">
        <x:v>BLD-B</x:v>
      </x:c>
      <x:c r="F1106" s="7" t="str">
        <x:v>BL-X</x:v>
      </x:c>
      <x:c r="G1106" s="7" t="str">
        <x:v>MF-16</x:v>
      </x:c>
      <x:c r="H1106" s="7" t="str"/>
      <x:c r="I1106" s="7" t="str"/>
      <x:c r="J1106" s="7" t="str">
        <x:f>IF(OR(H1106="",I1106=""),"",I1106-H1106)</x:f>
      </x:c>
      <x:c r="K1106" s="7" t="str"/>
      <x:c r="L1106" s="7" t="str"/>
      <x:c r="M1106" s="7" t="str">
        <x:f>IF(L1106="","OPEN",IF(OR(NOT(ISNUMBER(H1106)),NOT(ISNUMBER(I1106)),NOT(ISNUMBER(K1106)),ABS(J1106)&gt;K1106),"FAIL","PASS"))</x:f>
        <x:v>OPEN</x:v>
      </x:c>
    </x:row>
    <x:row r="1107">
      <x:c r="B1107" s="7" t="str">
        <x:v>CAL-CH-PEA-B-X2-16-3</x:v>
      </x:c>
      <x:c r="C1107" s="7" t="str">
        <x:v>CH-PEA-B-X2-16-3</x:v>
      </x:c>
      <x:c r="D1107" s="7" t="str">
        <x:v>PEA-B-X2</x:v>
      </x:c>
      <x:c r="E1107" s="7" t="str">
        <x:v>BLD-B</x:v>
      </x:c>
      <x:c r="F1107" s="7" t="str">
        <x:v>BL-X</x:v>
      </x:c>
      <x:c r="G1107" s="7" t="str">
        <x:v>MF-16</x:v>
      </x:c>
      <x:c r="H1107" s="7" t="str"/>
      <x:c r="I1107" s="7" t="str"/>
      <x:c r="J1107" s="7" t="str">
        <x:f>IF(OR(H1107="",I1107=""),"",I1107-H1107)</x:f>
      </x:c>
      <x:c r="K1107" s="7" t="str"/>
      <x:c r="L1107" s="7" t="str"/>
      <x:c r="M1107" s="7" t="str">
        <x:f>IF(L1107="","OPEN",IF(OR(NOT(ISNUMBER(H1107)),NOT(ISNUMBER(I1107)),NOT(ISNUMBER(K1107)),ABS(J1107)&gt;K1107),"FAIL","PASS"))</x:f>
        <x:v>OPEN</x:v>
      </x:c>
    </x:row>
    <x:row r="1108">
      <x:c r="B1108" s="7" t="str">
        <x:v>CAL-CH-PEA-B-X2-16-4</x:v>
      </x:c>
      <x:c r="C1108" s="7" t="str">
        <x:v>CH-PEA-B-X2-16-4</x:v>
      </x:c>
      <x:c r="D1108" s="7" t="str">
        <x:v>PEA-B-X2</x:v>
      </x:c>
      <x:c r="E1108" s="7" t="str">
        <x:v>BLD-B</x:v>
      </x:c>
      <x:c r="F1108" s="7" t="str">
        <x:v>BL-X</x:v>
      </x:c>
      <x:c r="G1108" s="7" t="str">
        <x:v>MF-16</x:v>
      </x:c>
      <x:c r="H1108" s="7" t="str"/>
      <x:c r="I1108" s="7" t="str"/>
      <x:c r="J1108" s="7" t="str">
        <x:f>IF(OR(H1108="",I1108=""),"",I1108-H1108)</x:f>
      </x:c>
      <x:c r="K1108" s="7" t="str"/>
      <x:c r="L1108" s="7" t="str"/>
      <x:c r="M1108" s="7" t="str">
        <x:f>IF(L1108="","OPEN",IF(OR(NOT(ISNUMBER(H1108)),NOT(ISNUMBER(I1108)),NOT(ISNUMBER(K1108)),ABS(J1108)&gt;K1108),"FAIL","PASS"))</x:f>
        <x:v>OPEN</x:v>
      </x:c>
    </x:row>
    <x:row r="1109">
      <x:c r="B1109" s="7" t="str">
        <x:v>CAL-CH-PEA-B-X2-16-5</x:v>
      </x:c>
      <x:c r="C1109" s="7" t="str">
        <x:v>CH-PEA-B-X2-16-5</x:v>
      </x:c>
      <x:c r="D1109" s="7" t="str">
        <x:v>PEA-B-X2</x:v>
      </x:c>
      <x:c r="E1109" s="7" t="str">
        <x:v>BLD-B</x:v>
      </x:c>
      <x:c r="F1109" s="7" t="str">
        <x:v>BL-X</x:v>
      </x:c>
      <x:c r="G1109" s="7" t="str">
        <x:v>MF-16</x:v>
      </x:c>
      <x:c r="H1109" s="7" t="str"/>
      <x:c r="I1109" s="7" t="str"/>
      <x:c r="J1109" s="7" t="str">
        <x:f>IF(OR(H1109="",I1109=""),"",I1109-H1109)</x:f>
      </x:c>
      <x:c r="K1109" s="7" t="str"/>
      <x:c r="L1109" s="7" t="str"/>
      <x:c r="M1109" s="7" t="str">
        <x:f>IF(L1109="","OPEN",IF(OR(NOT(ISNUMBER(H1109)),NOT(ISNUMBER(I1109)),NOT(ISNUMBER(K1109)),ABS(J1109)&gt;K1109),"FAIL","PASS"))</x:f>
        <x:v>OPEN</x:v>
      </x:c>
    </x:row>
    <x:row r="1110">
      <x:c r="B1110" s="7" t="str">
        <x:v>CAL-CH-PEA-B-X2-16-6</x:v>
      </x:c>
      <x:c r="C1110" s="7" t="str">
        <x:v>CH-PEA-B-X2-16-6</x:v>
      </x:c>
      <x:c r="D1110" s="7" t="str">
        <x:v>PEA-B-X2</x:v>
      </x:c>
      <x:c r="E1110" s="7" t="str">
        <x:v>BLD-B</x:v>
      </x:c>
      <x:c r="F1110" s="7" t="str">
        <x:v>BL-X</x:v>
      </x:c>
      <x:c r="G1110" s="7" t="str">
        <x:v>MF-16</x:v>
      </x:c>
      <x:c r="H1110" s="7" t="str"/>
      <x:c r="I1110" s="7" t="str"/>
      <x:c r="J1110" s="7" t="str">
        <x:f>IF(OR(H1110="",I1110=""),"",I1110-H1110)</x:f>
      </x:c>
      <x:c r="K1110" s="7" t="str"/>
      <x:c r="L1110" s="7" t="str"/>
      <x:c r="M1110" s="7" t="str">
        <x:f>IF(L1110="","OPEN",IF(OR(NOT(ISNUMBER(H1110)),NOT(ISNUMBER(I1110)),NOT(ISNUMBER(K1110)),ABS(J1110)&gt;K1110),"FAIL","PASS"))</x:f>
        <x:v>OPEN</x:v>
      </x:c>
    </x:row>
    <x:row r="1111">
      <x:c r="B1111" s="7" t="str">
        <x:v>CAL-CH-PEA-B-X2-17-1</x:v>
      </x:c>
      <x:c r="C1111" s="7" t="str">
        <x:v>CH-PEA-B-X2-17-1</x:v>
      </x:c>
      <x:c r="D1111" s="7" t="str">
        <x:v>PEA-B-X2</x:v>
      </x:c>
      <x:c r="E1111" s="7" t="str">
        <x:v>BLD-B</x:v>
      </x:c>
      <x:c r="F1111" s="7" t="str">
        <x:v>BL-X</x:v>
      </x:c>
      <x:c r="G1111" s="7" t="str">
        <x:v>MF-17</x:v>
      </x:c>
      <x:c r="H1111" s="7" t="str"/>
      <x:c r="I1111" s="7" t="str"/>
      <x:c r="J1111" s="7" t="str">
        <x:f>IF(OR(H1111="",I1111=""),"",I1111-H1111)</x:f>
      </x:c>
      <x:c r="K1111" s="7" t="str"/>
      <x:c r="L1111" s="7" t="str"/>
      <x:c r="M1111" s="7" t="str">
        <x:f>IF(L1111="","OPEN",IF(OR(NOT(ISNUMBER(H1111)),NOT(ISNUMBER(I1111)),NOT(ISNUMBER(K1111)),ABS(J1111)&gt;K1111),"FAIL","PASS"))</x:f>
        <x:v>OPEN</x:v>
      </x:c>
    </x:row>
    <x:row r="1112">
      <x:c r="B1112" s="7" t="str">
        <x:v>CAL-CH-PEA-B-X2-17-2</x:v>
      </x:c>
      <x:c r="C1112" s="7" t="str">
        <x:v>CH-PEA-B-X2-17-2</x:v>
      </x:c>
      <x:c r="D1112" s="7" t="str">
        <x:v>PEA-B-X2</x:v>
      </x:c>
      <x:c r="E1112" s="7" t="str">
        <x:v>BLD-B</x:v>
      </x:c>
      <x:c r="F1112" s="7" t="str">
        <x:v>BL-X</x:v>
      </x:c>
      <x:c r="G1112" s="7" t="str">
        <x:v>MF-17</x:v>
      </x:c>
      <x:c r="H1112" s="7" t="str"/>
      <x:c r="I1112" s="7" t="str"/>
      <x:c r="J1112" s="7" t="str">
        <x:f>IF(OR(H1112="",I1112=""),"",I1112-H1112)</x:f>
      </x:c>
      <x:c r="K1112" s="7" t="str"/>
      <x:c r="L1112" s="7" t="str"/>
      <x:c r="M1112" s="7" t="str">
        <x:f>IF(L1112="","OPEN",IF(OR(NOT(ISNUMBER(H1112)),NOT(ISNUMBER(I1112)),NOT(ISNUMBER(K1112)),ABS(J1112)&gt;K1112),"FAIL","PASS"))</x:f>
        <x:v>OPEN</x:v>
      </x:c>
    </x:row>
    <x:row r="1113">
      <x:c r="B1113" s="7" t="str">
        <x:v>CAL-CH-PEA-B-X2-17-3</x:v>
      </x:c>
      <x:c r="C1113" s="7" t="str">
        <x:v>CH-PEA-B-X2-17-3</x:v>
      </x:c>
      <x:c r="D1113" s="7" t="str">
        <x:v>PEA-B-X2</x:v>
      </x:c>
      <x:c r="E1113" s="7" t="str">
        <x:v>BLD-B</x:v>
      </x:c>
      <x:c r="F1113" s="7" t="str">
        <x:v>BL-X</x:v>
      </x:c>
      <x:c r="G1113" s="7" t="str">
        <x:v>MF-17</x:v>
      </x:c>
      <x:c r="H1113" s="7" t="str"/>
      <x:c r="I1113" s="7" t="str"/>
      <x:c r="J1113" s="7" t="str">
        <x:f>IF(OR(H1113="",I1113=""),"",I1113-H1113)</x:f>
      </x:c>
      <x:c r="K1113" s="7" t="str"/>
      <x:c r="L1113" s="7" t="str"/>
      <x:c r="M1113" s="7" t="str">
        <x:f>IF(L1113="","OPEN",IF(OR(NOT(ISNUMBER(H1113)),NOT(ISNUMBER(I1113)),NOT(ISNUMBER(K1113)),ABS(J1113)&gt;K1113),"FAIL","PASS"))</x:f>
        <x:v>OPEN</x:v>
      </x:c>
    </x:row>
    <x:row r="1114">
      <x:c r="B1114" s="7" t="str">
        <x:v>CAL-CH-PEA-B-X2-17-4</x:v>
      </x:c>
      <x:c r="C1114" s="7" t="str">
        <x:v>CH-PEA-B-X2-17-4</x:v>
      </x:c>
      <x:c r="D1114" s="7" t="str">
        <x:v>PEA-B-X2</x:v>
      </x:c>
      <x:c r="E1114" s="7" t="str">
        <x:v>BLD-B</x:v>
      </x:c>
      <x:c r="F1114" s="7" t="str">
        <x:v>BL-X</x:v>
      </x:c>
      <x:c r="G1114" s="7" t="str">
        <x:v>MF-17</x:v>
      </x:c>
      <x:c r="H1114" s="7" t="str"/>
      <x:c r="I1114" s="7" t="str"/>
      <x:c r="J1114" s="7" t="str">
        <x:f>IF(OR(H1114="",I1114=""),"",I1114-H1114)</x:f>
      </x:c>
      <x:c r="K1114" s="7" t="str"/>
      <x:c r="L1114" s="7" t="str"/>
      <x:c r="M1114" s="7" t="str">
        <x:f>IF(L1114="","OPEN",IF(OR(NOT(ISNUMBER(H1114)),NOT(ISNUMBER(I1114)),NOT(ISNUMBER(K1114)),ABS(J1114)&gt;K1114),"FAIL","PASS"))</x:f>
        <x:v>OPEN</x:v>
      </x:c>
    </x:row>
    <x:row r="1115">
      <x:c r="B1115" s="7" t="str">
        <x:v>CAL-CH-PEA-B-X2-17-5</x:v>
      </x:c>
      <x:c r="C1115" s="7" t="str">
        <x:v>CH-PEA-B-X2-17-5</x:v>
      </x:c>
      <x:c r="D1115" s="7" t="str">
        <x:v>PEA-B-X2</x:v>
      </x:c>
      <x:c r="E1115" s="7" t="str">
        <x:v>BLD-B</x:v>
      </x:c>
      <x:c r="F1115" s="7" t="str">
        <x:v>BL-X</x:v>
      </x:c>
      <x:c r="G1115" s="7" t="str">
        <x:v>MF-17</x:v>
      </x:c>
      <x:c r="H1115" s="7" t="str"/>
      <x:c r="I1115" s="7" t="str"/>
      <x:c r="J1115" s="7" t="str">
        <x:f>IF(OR(H1115="",I1115=""),"",I1115-H1115)</x:f>
      </x:c>
      <x:c r="K1115" s="7" t="str"/>
      <x:c r="L1115" s="7" t="str"/>
      <x:c r="M1115" s="7" t="str">
        <x:f>IF(L1115="","OPEN",IF(OR(NOT(ISNUMBER(H1115)),NOT(ISNUMBER(I1115)),NOT(ISNUMBER(K1115)),ABS(J1115)&gt;K1115),"FAIL","PASS"))</x:f>
        <x:v>OPEN</x:v>
      </x:c>
    </x:row>
    <x:row r="1116">
      <x:c r="B1116" s="7" t="str">
        <x:v>CAL-CH-PEA-B-X2-17-6</x:v>
      </x:c>
      <x:c r="C1116" s="7" t="str">
        <x:v>CH-PEA-B-X2-17-6</x:v>
      </x:c>
      <x:c r="D1116" s="7" t="str">
        <x:v>PEA-B-X2</x:v>
      </x:c>
      <x:c r="E1116" s="7" t="str">
        <x:v>BLD-B</x:v>
      </x:c>
      <x:c r="F1116" s="7" t="str">
        <x:v>BL-X</x:v>
      </x:c>
      <x:c r="G1116" s="7" t="str">
        <x:v>MF-17</x:v>
      </x:c>
      <x:c r="H1116" s="7" t="str"/>
      <x:c r="I1116" s="7" t="str"/>
      <x:c r="J1116" s="7" t="str">
        <x:f>IF(OR(H1116="",I1116=""),"",I1116-H1116)</x:f>
      </x:c>
      <x:c r="K1116" s="7" t="str"/>
      <x:c r="L1116" s="7" t="str"/>
      <x:c r="M1116" s="7" t="str">
        <x:f>IF(L1116="","OPEN",IF(OR(NOT(ISNUMBER(H1116)),NOT(ISNUMBER(I1116)),NOT(ISNUMBER(K1116)),ABS(J1116)&gt;K1116),"FAIL","PASS"))</x:f>
        <x:v>OPEN</x:v>
      </x:c>
    </x:row>
    <x:row r="1117">
      <x:c r="B1117" s="7" t="str">
        <x:v>CAL-CH-PEA-B-X2-18-1</x:v>
      </x:c>
      <x:c r="C1117" s="7" t="str">
        <x:v>CH-PEA-B-X2-18-1</x:v>
      </x:c>
      <x:c r="D1117" s="7" t="str">
        <x:v>PEA-B-X2</x:v>
      </x:c>
      <x:c r="E1117" s="7" t="str">
        <x:v>BLD-B</x:v>
      </x:c>
      <x:c r="F1117" s="7" t="str">
        <x:v>BL-X</x:v>
      </x:c>
      <x:c r="G1117" s="7" t="str">
        <x:v>MF-18</x:v>
      </x:c>
      <x:c r="H1117" s="7" t="str"/>
      <x:c r="I1117" s="7" t="str"/>
      <x:c r="J1117" s="7" t="str">
        <x:f>IF(OR(H1117="",I1117=""),"",I1117-H1117)</x:f>
      </x:c>
      <x:c r="K1117" s="7" t="str"/>
      <x:c r="L1117" s="7" t="str"/>
      <x:c r="M1117" s="7" t="str">
        <x:f>IF(L1117="","OPEN",IF(OR(NOT(ISNUMBER(H1117)),NOT(ISNUMBER(I1117)),NOT(ISNUMBER(K1117)),ABS(J1117)&gt;K1117),"FAIL","PASS"))</x:f>
        <x:v>OPEN</x:v>
      </x:c>
    </x:row>
    <x:row r="1118">
      <x:c r="B1118" s="7" t="str">
        <x:v>CAL-CH-PEA-B-X2-18-2</x:v>
      </x:c>
      <x:c r="C1118" s="7" t="str">
        <x:v>CH-PEA-B-X2-18-2</x:v>
      </x:c>
      <x:c r="D1118" s="7" t="str">
        <x:v>PEA-B-X2</x:v>
      </x:c>
      <x:c r="E1118" s="7" t="str">
        <x:v>BLD-B</x:v>
      </x:c>
      <x:c r="F1118" s="7" t="str">
        <x:v>BL-X</x:v>
      </x:c>
      <x:c r="G1118" s="7" t="str">
        <x:v>MF-18</x:v>
      </x:c>
      <x:c r="H1118" s="7" t="str"/>
      <x:c r="I1118" s="7" t="str"/>
      <x:c r="J1118" s="7" t="str">
        <x:f>IF(OR(H1118="",I1118=""),"",I1118-H1118)</x:f>
      </x:c>
      <x:c r="K1118" s="7" t="str"/>
      <x:c r="L1118" s="7" t="str"/>
      <x:c r="M1118" s="7" t="str">
        <x:f>IF(L1118="","OPEN",IF(OR(NOT(ISNUMBER(H1118)),NOT(ISNUMBER(I1118)),NOT(ISNUMBER(K1118)),ABS(J1118)&gt;K1118),"FAIL","PASS"))</x:f>
        <x:v>OPEN</x:v>
      </x:c>
    </x:row>
    <x:row r="1119">
      <x:c r="B1119" s="7" t="str">
        <x:v>CAL-CH-PEA-B-X2-18-3</x:v>
      </x:c>
      <x:c r="C1119" s="7" t="str">
        <x:v>CH-PEA-B-X2-18-3</x:v>
      </x:c>
      <x:c r="D1119" s="7" t="str">
        <x:v>PEA-B-X2</x:v>
      </x:c>
      <x:c r="E1119" s="7" t="str">
        <x:v>BLD-B</x:v>
      </x:c>
      <x:c r="F1119" s="7" t="str">
        <x:v>BL-X</x:v>
      </x:c>
      <x:c r="G1119" s="7" t="str">
        <x:v>MF-18</x:v>
      </x:c>
      <x:c r="H1119" s="7" t="str"/>
      <x:c r="I1119" s="7" t="str"/>
      <x:c r="J1119" s="7" t="str">
        <x:f>IF(OR(H1119="",I1119=""),"",I1119-H1119)</x:f>
      </x:c>
      <x:c r="K1119" s="7" t="str"/>
      <x:c r="L1119" s="7" t="str"/>
      <x:c r="M1119" s="7" t="str">
        <x:f>IF(L1119="","OPEN",IF(OR(NOT(ISNUMBER(H1119)),NOT(ISNUMBER(I1119)),NOT(ISNUMBER(K1119)),ABS(J1119)&gt;K1119),"FAIL","PASS"))</x:f>
        <x:v>OPEN</x:v>
      </x:c>
    </x:row>
    <x:row r="1120">
      <x:c r="B1120" s="7" t="str">
        <x:v>CAL-CH-PEA-B-X2-18-4</x:v>
      </x:c>
      <x:c r="C1120" s="7" t="str">
        <x:v>CH-PEA-B-X2-18-4</x:v>
      </x:c>
      <x:c r="D1120" s="7" t="str">
        <x:v>PEA-B-X2</x:v>
      </x:c>
      <x:c r="E1120" s="7" t="str">
        <x:v>BLD-B</x:v>
      </x:c>
      <x:c r="F1120" s="7" t="str">
        <x:v>BL-X</x:v>
      </x:c>
      <x:c r="G1120" s="7" t="str">
        <x:v>MF-18</x:v>
      </x:c>
      <x:c r="H1120" s="7" t="str"/>
      <x:c r="I1120" s="7" t="str"/>
      <x:c r="J1120" s="7" t="str">
        <x:f>IF(OR(H1120="",I1120=""),"",I1120-H1120)</x:f>
      </x:c>
      <x:c r="K1120" s="7" t="str"/>
      <x:c r="L1120" s="7" t="str"/>
      <x:c r="M1120" s="7" t="str">
        <x:f>IF(L1120="","OPEN",IF(OR(NOT(ISNUMBER(H1120)),NOT(ISNUMBER(I1120)),NOT(ISNUMBER(K1120)),ABS(J1120)&gt;K1120),"FAIL","PASS"))</x:f>
        <x:v>OPEN</x:v>
      </x:c>
    </x:row>
    <x:row r="1121">
      <x:c r="B1121" s="7" t="str">
        <x:v>CAL-CH-PEA-B-X2-18-5</x:v>
      </x:c>
      <x:c r="C1121" s="7" t="str">
        <x:v>CH-PEA-B-X2-18-5</x:v>
      </x:c>
      <x:c r="D1121" s="7" t="str">
        <x:v>PEA-B-X2</x:v>
      </x:c>
      <x:c r="E1121" s="7" t="str">
        <x:v>BLD-B</x:v>
      </x:c>
      <x:c r="F1121" s="7" t="str">
        <x:v>BL-X</x:v>
      </x:c>
      <x:c r="G1121" s="7" t="str">
        <x:v>MF-18</x:v>
      </x:c>
      <x:c r="H1121" s="7" t="str"/>
      <x:c r="I1121" s="7" t="str"/>
      <x:c r="J1121" s="7" t="str">
        <x:f>IF(OR(H1121="",I1121=""),"",I1121-H1121)</x:f>
      </x:c>
      <x:c r="K1121" s="7" t="str"/>
      <x:c r="L1121" s="7" t="str"/>
      <x:c r="M1121" s="7" t="str">
        <x:f>IF(L1121="","OPEN",IF(OR(NOT(ISNUMBER(H1121)),NOT(ISNUMBER(I1121)),NOT(ISNUMBER(K1121)),ABS(J1121)&gt;K1121),"FAIL","PASS"))</x:f>
        <x:v>OPEN</x:v>
      </x:c>
    </x:row>
    <x:row r="1122">
      <x:c r="B1122" s="7" t="str">
        <x:v>CAL-CH-PEA-B-X2-18-6</x:v>
      </x:c>
      <x:c r="C1122" s="7" t="str">
        <x:v>CH-PEA-B-X2-18-6</x:v>
      </x:c>
      <x:c r="D1122" s="7" t="str">
        <x:v>PEA-B-X2</x:v>
      </x:c>
      <x:c r="E1122" s="7" t="str">
        <x:v>BLD-B</x:v>
      </x:c>
      <x:c r="F1122" s="7" t="str">
        <x:v>BL-X</x:v>
      </x:c>
      <x:c r="G1122" s="7" t="str">
        <x:v>MF-18</x:v>
      </x:c>
      <x:c r="H1122" s="7" t="str"/>
      <x:c r="I1122" s="7" t="str"/>
      <x:c r="J1122" s="7" t="str">
        <x:f>IF(OR(H1122="",I1122=""),"",I1122-H1122)</x:f>
      </x:c>
      <x:c r="K1122" s="7" t="str"/>
      <x:c r="L1122" s="7" t="str"/>
      <x:c r="M1122" s="7" t="str">
        <x:f>IF(L1122="","OPEN",IF(OR(NOT(ISNUMBER(H1122)),NOT(ISNUMBER(I1122)),NOT(ISNUMBER(K1122)),ABS(J1122)&gt;K1122),"FAIL","PASS"))</x:f>
        <x:v>OPEN</x:v>
      </x:c>
    </x:row>
    <x:row r="1123">
      <x:c r="B1123" s="7" t="str">
        <x:v>CAL-CH-PEA-B-X2-19-1</x:v>
      </x:c>
      <x:c r="C1123" s="7" t="str">
        <x:v>CH-PEA-B-X2-19-1</x:v>
      </x:c>
      <x:c r="D1123" s="7" t="str">
        <x:v>PEA-B-X2</x:v>
      </x:c>
      <x:c r="E1123" s="7" t="str">
        <x:v>BLD-B</x:v>
      </x:c>
      <x:c r="F1123" s="7" t="str">
        <x:v>BL-X</x:v>
      </x:c>
      <x:c r="G1123" s="7" t="str">
        <x:v>MF-19</x:v>
      </x:c>
      <x:c r="H1123" s="7" t="str"/>
      <x:c r="I1123" s="7" t="str"/>
      <x:c r="J1123" s="7" t="str">
        <x:f>IF(OR(H1123="",I1123=""),"",I1123-H1123)</x:f>
      </x:c>
      <x:c r="K1123" s="7" t="str"/>
      <x:c r="L1123" s="7" t="str"/>
      <x:c r="M1123" s="7" t="str">
        <x:f>IF(L1123="","OPEN",IF(OR(NOT(ISNUMBER(H1123)),NOT(ISNUMBER(I1123)),NOT(ISNUMBER(K1123)),ABS(J1123)&gt;K1123),"FAIL","PASS"))</x:f>
        <x:v>OPEN</x:v>
      </x:c>
    </x:row>
    <x:row r="1124">
      <x:c r="B1124" s="7" t="str">
        <x:v>CAL-CH-PEA-B-X2-19-2</x:v>
      </x:c>
      <x:c r="C1124" s="7" t="str">
        <x:v>CH-PEA-B-X2-19-2</x:v>
      </x:c>
      <x:c r="D1124" s="7" t="str">
        <x:v>PEA-B-X2</x:v>
      </x:c>
      <x:c r="E1124" s="7" t="str">
        <x:v>BLD-B</x:v>
      </x:c>
      <x:c r="F1124" s="7" t="str">
        <x:v>BL-X</x:v>
      </x:c>
      <x:c r="G1124" s="7" t="str">
        <x:v>MF-19</x:v>
      </x:c>
      <x:c r="H1124" s="7" t="str"/>
      <x:c r="I1124" s="7" t="str"/>
      <x:c r="J1124" s="7" t="str">
        <x:f>IF(OR(H1124="",I1124=""),"",I1124-H1124)</x:f>
      </x:c>
      <x:c r="K1124" s="7" t="str"/>
      <x:c r="L1124" s="7" t="str"/>
      <x:c r="M1124" s="7" t="str">
        <x:f>IF(L1124="","OPEN",IF(OR(NOT(ISNUMBER(H1124)),NOT(ISNUMBER(I1124)),NOT(ISNUMBER(K1124)),ABS(J1124)&gt;K1124),"FAIL","PASS"))</x:f>
        <x:v>OPEN</x:v>
      </x:c>
    </x:row>
    <x:row r="1125">
      <x:c r="B1125" s="7" t="str">
        <x:v>CAL-CH-PEA-B-X2-19-3</x:v>
      </x:c>
      <x:c r="C1125" s="7" t="str">
        <x:v>CH-PEA-B-X2-19-3</x:v>
      </x:c>
      <x:c r="D1125" s="7" t="str">
        <x:v>PEA-B-X2</x:v>
      </x:c>
      <x:c r="E1125" s="7" t="str">
        <x:v>BLD-B</x:v>
      </x:c>
      <x:c r="F1125" s="7" t="str">
        <x:v>BL-X</x:v>
      </x:c>
      <x:c r="G1125" s="7" t="str">
        <x:v>MF-19</x:v>
      </x:c>
      <x:c r="H1125" s="7" t="str"/>
      <x:c r="I1125" s="7" t="str"/>
      <x:c r="J1125" s="7" t="str">
        <x:f>IF(OR(H1125="",I1125=""),"",I1125-H1125)</x:f>
      </x:c>
      <x:c r="K1125" s="7" t="str"/>
      <x:c r="L1125" s="7" t="str"/>
      <x:c r="M1125" s="7" t="str">
        <x:f>IF(L1125="","OPEN",IF(OR(NOT(ISNUMBER(H1125)),NOT(ISNUMBER(I1125)),NOT(ISNUMBER(K1125)),ABS(J1125)&gt;K1125),"FAIL","PASS"))</x:f>
        <x:v>OPEN</x:v>
      </x:c>
    </x:row>
    <x:row r="1126">
      <x:c r="B1126" s="7" t="str">
        <x:v>CAL-CH-PEA-B-X2-19-4</x:v>
      </x:c>
      <x:c r="C1126" s="7" t="str">
        <x:v>CH-PEA-B-X2-19-4</x:v>
      </x:c>
      <x:c r="D1126" s="7" t="str">
        <x:v>PEA-B-X2</x:v>
      </x:c>
      <x:c r="E1126" s="7" t="str">
        <x:v>BLD-B</x:v>
      </x:c>
      <x:c r="F1126" s="7" t="str">
        <x:v>BL-X</x:v>
      </x:c>
      <x:c r="G1126" s="7" t="str">
        <x:v>MF-19</x:v>
      </x:c>
      <x:c r="H1126" s="7" t="str"/>
      <x:c r="I1126" s="7" t="str"/>
      <x:c r="J1126" s="7" t="str">
        <x:f>IF(OR(H1126="",I1126=""),"",I1126-H1126)</x:f>
      </x:c>
      <x:c r="K1126" s="7" t="str"/>
      <x:c r="L1126" s="7" t="str"/>
      <x:c r="M1126" s="7" t="str">
        <x:f>IF(L1126="","OPEN",IF(OR(NOT(ISNUMBER(H1126)),NOT(ISNUMBER(I1126)),NOT(ISNUMBER(K1126)),ABS(J1126)&gt;K1126),"FAIL","PASS"))</x:f>
        <x:v>OPEN</x:v>
      </x:c>
    </x:row>
    <x:row r="1127">
      <x:c r="B1127" s="7" t="str">
        <x:v>CAL-CH-PEA-B-X2-19-5</x:v>
      </x:c>
      <x:c r="C1127" s="7" t="str">
        <x:v>CH-PEA-B-X2-19-5</x:v>
      </x:c>
      <x:c r="D1127" s="7" t="str">
        <x:v>PEA-B-X2</x:v>
      </x:c>
      <x:c r="E1127" s="7" t="str">
        <x:v>BLD-B</x:v>
      </x:c>
      <x:c r="F1127" s="7" t="str">
        <x:v>BL-X</x:v>
      </x:c>
      <x:c r="G1127" s="7" t="str">
        <x:v>MF-19</x:v>
      </x:c>
      <x:c r="H1127" s="7" t="str"/>
      <x:c r="I1127" s="7" t="str"/>
      <x:c r="J1127" s="7" t="str">
        <x:f>IF(OR(H1127="",I1127=""),"",I1127-H1127)</x:f>
      </x:c>
      <x:c r="K1127" s="7" t="str"/>
      <x:c r="L1127" s="7" t="str"/>
      <x:c r="M1127" s="7" t="str">
        <x:f>IF(L1127="","OPEN",IF(OR(NOT(ISNUMBER(H1127)),NOT(ISNUMBER(I1127)),NOT(ISNUMBER(K1127)),ABS(J1127)&gt;K1127),"FAIL","PASS"))</x:f>
        <x:v>OPEN</x:v>
      </x:c>
    </x:row>
    <x:row r="1128">
      <x:c r="B1128" s="7" t="str">
        <x:v>CAL-CH-PEA-B-X2-19-6</x:v>
      </x:c>
      <x:c r="C1128" s="7" t="str">
        <x:v>CH-PEA-B-X2-19-6</x:v>
      </x:c>
      <x:c r="D1128" s="7" t="str">
        <x:v>PEA-B-X2</x:v>
      </x:c>
      <x:c r="E1128" s="7" t="str">
        <x:v>BLD-B</x:v>
      </x:c>
      <x:c r="F1128" s="7" t="str">
        <x:v>BL-X</x:v>
      </x:c>
      <x:c r="G1128" s="7" t="str">
        <x:v>MF-19</x:v>
      </x:c>
      <x:c r="H1128" s="7" t="str"/>
      <x:c r="I1128" s="7" t="str"/>
      <x:c r="J1128" s="7" t="str">
        <x:f>IF(OR(H1128="",I1128=""),"",I1128-H1128)</x:f>
      </x:c>
      <x:c r="K1128" s="7" t="str"/>
      <x:c r="L1128" s="7" t="str"/>
      <x:c r="M1128" s="7" t="str">
        <x:f>IF(L1128="","OPEN",IF(OR(NOT(ISNUMBER(H1128)),NOT(ISNUMBER(I1128)),NOT(ISNUMBER(K1128)),ABS(J1128)&gt;K1128),"FAIL","PASS"))</x:f>
        <x:v>OPEN</x:v>
      </x:c>
    </x:row>
    <x:row r="1129">
      <x:c r="B1129" s="7" t="str">
        <x:v>CAL-CH-PEA-B-X2-20-1</x:v>
      </x:c>
      <x:c r="C1129" s="7" t="str">
        <x:v>CH-PEA-B-X2-20-1</x:v>
      </x:c>
      <x:c r="D1129" s="7" t="str">
        <x:v>PEA-B-X2</x:v>
      </x:c>
      <x:c r="E1129" s="7" t="str">
        <x:v>BLD-B</x:v>
      </x:c>
      <x:c r="F1129" s="7" t="str">
        <x:v>BL-X</x:v>
      </x:c>
      <x:c r="G1129" s="7" t="str">
        <x:v>MF-20</x:v>
      </x:c>
      <x:c r="H1129" s="7" t="str"/>
      <x:c r="I1129" s="7" t="str"/>
      <x:c r="J1129" s="7" t="str">
        <x:f>IF(OR(H1129="",I1129=""),"",I1129-H1129)</x:f>
      </x:c>
      <x:c r="K1129" s="7" t="str"/>
      <x:c r="L1129" s="7" t="str"/>
      <x:c r="M1129" s="7" t="str">
        <x:f>IF(L1129="","OPEN",IF(OR(NOT(ISNUMBER(H1129)),NOT(ISNUMBER(I1129)),NOT(ISNUMBER(K1129)),ABS(J1129)&gt;K1129),"FAIL","PASS"))</x:f>
        <x:v>OPEN</x:v>
      </x:c>
    </x:row>
    <x:row r="1130">
      <x:c r="B1130" s="7" t="str">
        <x:v>CAL-CH-PEA-B-X2-20-2</x:v>
      </x:c>
      <x:c r="C1130" s="7" t="str">
        <x:v>CH-PEA-B-X2-20-2</x:v>
      </x:c>
      <x:c r="D1130" s="7" t="str">
        <x:v>PEA-B-X2</x:v>
      </x:c>
      <x:c r="E1130" s="7" t="str">
        <x:v>BLD-B</x:v>
      </x:c>
      <x:c r="F1130" s="7" t="str">
        <x:v>BL-X</x:v>
      </x:c>
      <x:c r="G1130" s="7" t="str">
        <x:v>MF-20</x:v>
      </x:c>
      <x:c r="H1130" s="7" t="str"/>
      <x:c r="I1130" s="7" t="str"/>
      <x:c r="J1130" s="7" t="str">
        <x:f>IF(OR(H1130="",I1130=""),"",I1130-H1130)</x:f>
      </x:c>
      <x:c r="K1130" s="7" t="str"/>
      <x:c r="L1130" s="7" t="str"/>
      <x:c r="M1130" s="7" t="str">
        <x:f>IF(L1130="","OPEN",IF(OR(NOT(ISNUMBER(H1130)),NOT(ISNUMBER(I1130)),NOT(ISNUMBER(K1130)),ABS(J1130)&gt;K1130),"FAIL","PASS"))</x:f>
        <x:v>OPEN</x:v>
      </x:c>
    </x:row>
    <x:row r="1131">
      <x:c r="B1131" s="7" t="str">
        <x:v>CAL-CH-PEA-B-X2-20-3</x:v>
      </x:c>
      <x:c r="C1131" s="7" t="str">
        <x:v>CH-PEA-B-X2-20-3</x:v>
      </x:c>
      <x:c r="D1131" s="7" t="str">
        <x:v>PEA-B-X2</x:v>
      </x:c>
      <x:c r="E1131" s="7" t="str">
        <x:v>BLD-B</x:v>
      </x:c>
      <x:c r="F1131" s="7" t="str">
        <x:v>BL-X</x:v>
      </x:c>
      <x:c r="G1131" s="7" t="str">
        <x:v>MF-20</x:v>
      </x:c>
      <x:c r="H1131" s="7" t="str"/>
      <x:c r="I1131" s="7" t="str"/>
      <x:c r="J1131" s="7" t="str">
        <x:f>IF(OR(H1131="",I1131=""),"",I1131-H1131)</x:f>
      </x:c>
      <x:c r="K1131" s="7" t="str"/>
      <x:c r="L1131" s="7" t="str"/>
      <x:c r="M1131" s="7" t="str">
        <x:f>IF(L1131="","OPEN",IF(OR(NOT(ISNUMBER(H1131)),NOT(ISNUMBER(I1131)),NOT(ISNUMBER(K1131)),ABS(J1131)&gt;K1131),"FAIL","PASS"))</x:f>
        <x:v>OPEN</x:v>
      </x:c>
    </x:row>
    <x:row r="1132">
      <x:c r="B1132" s="7" t="str">
        <x:v>CAL-CH-PEA-B-X2-20-4</x:v>
      </x:c>
      <x:c r="C1132" s="7" t="str">
        <x:v>CH-PEA-B-X2-20-4</x:v>
      </x:c>
      <x:c r="D1132" s="7" t="str">
        <x:v>PEA-B-X2</x:v>
      </x:c>
      <x:c r="E1132" s="7" t="str">
        <x:v>BLD-B</x:v>
      </x:c>
      <x:c r="F1132" s="7" t="str">
        <x:v>BL-X</x:v>
      </x:c>
      <x:c r="G1132" s="7" t="str">
        <x:v>MF-20</x:v>
      </x:c>
      <x:c r="H1132" s="7" t="str"/>
      <x:c r="I1132" s="7" t="str"/>
      <x:c r="J1132" s="7" t="str">
        <x:f>IF(OR(H1132="",I1132=""),"",I1132-H1132)</x:f>
      </x:c>
      <x:c r="K1132" s="7" t="str"/>
      <x:c r="L1132" s="7" t="str"/>
      <x:c r="M1132" s="7" t="str">
        <x:f>IF(L1132="","OPEN",IF(OR(NOT(ISNUMBER(H1132)),NOT(ISNUMBER(I1132)),NOT(ISNUMBER(K1132)),ABS(J1132)&gt;K1132),"FAIL","PASS"))</x:f>
        <x:v>OPEN</x:v>
      </x:c>
    </x:row>
    <x:row r="1133">
      <x:c r="B1133" s="7" t="str">
        <x:v>CAL-CH-PEA-B-X2-20-5</x:v>
      </x:c>
      <x:c r="C1133" s="7" t="str">
        <x:v>CH-PEA-B-X2-20-5</x:v>
      </x:c>
      <x:c r="D1133" s="7" t="str">
        <x:v>PEA-B-X2</x:v>
      </x:c>
      <x:c r="E1133" s="7" t="str">
        <x:v>BLD-B</x:v>
      </x:c>
      <x:c r="F1133" s="7" t="str">
        <x:v>BL-X</x:v>
      </x:c>
      <x:c r="G1133" s="7" t="str">
        <x:v>MF-20</x:v>
      </x:c>
      <x:c r="H1133" s="7" t="str"/>
      <x:c r="I1133" s="7" t="str"/>
      <x:c r="J1133" s="7" t="str">
        <x:f>IF(OR(H1133="",I1133=""),"",I1133-H1133)</x:f>
      </x:c>
      <x:c r="K1133" s="7" t="str"/>
      <x:c r="L1133" s="7" t="str"/>
      <x:c r="M1133" s="7" t="str">
        <x:f>IF(L1133="","OPEN",IF(OR(NOT(ISNUMBER(H1133)),NOT(ISNUMBER(I1133)),NOT(ISNUMBER(K1133)),ABS(J1133)&gt;K1133),"FAIL","PASS"))</x:f>
        <x:v>OPEN</x:v>
      </x:c>
    </x:row>
    <x:row r="1134">
      <x:c r="B1134" s="7" t="str">
        <x:v>CAL-CH-PEA-B-X2-20-6</x:v>
      </x:c>
      <x:c r="C1134" s="7" t="str">
        <x:v>CH-PEA-B-X2-20-6</x:v>
      </x:c>
      <x:c r="D1134" s="7" t="str">
        <x:v>PEA-B-X2</x:v>
      </x:c>
      <x:c r="E1134" s="7" t="str">
        <x:v>BLD-B</x:v>
      </x:c>
      <x:c r="F1134" s="7" t="str">
        <x:v>BL-X</x:v>
      </x:c>
      <x:c r="G1134" s="7" t="str">
        <x:v>MF-20</x:v>
      </x:c>
      <x:c r="H1134" s="7" t="str"/>
      <x:c r="I1134" s="7" t="str"/>
      <x:c r="J1134" s="7" t="str">
        <x:f>IF(OR(H1134="",I1134=""),"",I1134-H1134)</x:f>
      </x:c>
      <x:c r="K1134" s="7" t="str"/>
      <x:c r="L1134" s="7" t="str"/>
      <x:c r="M1134" s="7" t="str">
        <x:f>IF(L1134="","OPEN",IF(OR(NOT(ISNUMBER(H1134)),NOT(ISNUMBER(I1134)),NOT(ISNUMBER(K1134)),ABS(J1134)&gt;K1134),"FAIL","PASS"))</x:f>
        <x:v>OPEN</x:v>
      </x:c>
    </x:row>
    <x:row r="1135">
      <x:c r="B1135" s="7" t="str">
        <x:v>CAL-CH-PEA-B-X2-21-1</x:v>
      </x:c>
      <x:c r="C1135" s="7" t="str">
        <x:v>CH-PEA-B-X2-21-1</x:v>
      </x:c>
      <x:c r="D1135" s="7" t="str">
        <x:v>PEA-B-X2</x:v>
      </x:c>
      <x:c r="E1135" s="7" t="str">
        <x:v>BLD-B</x:v>
      </x:c>
      <x:c r="F1135" s="7" t="str">
        <x:v>BL-X</x:v>
      </x:c>
      <x:c r="G1135" s="7" t="str">
        <x:v>MF-21</x:v>
      </x:c>
      <x:c r="H1135" s="7" t="str"/>
      <x:c r="I1135" s="7" t="str"/>
      <x:c r="J1135" s="7" t="str">
        <x:f>IF(OR(H1135="",I1135=""),"",I1135-H1135)</x:f>
      </x:c>
      <x:c r="K1135" s="7" t="str"/>
      <x:c r="L1135" s="7" t="str"/>
      <x:c r="M1135" s="7" t="str">
        <x:f>IF(L1135="","OPEN",IF(OR(NOT(ISNUMBER(H1135)),NOT(ISNUMBER(I1135)),NOT(ISNUMBER(K1135)),ABS(J1135)&gt;K1135),"FAIL","PASS"))</x:f>
        <x:v>OPEN</x:v>
      </x:c>
    </x:row>
    <x:row r="1136">
      <x:c r="B1136" s="7" t="str">
        <x:v>CAL-CH-PEA-B-X2-21-2</x:v>
      </x:c>
      <x:c r="C1136" s="7" t="str">
        <x:v>CH-PEA-B-X2-21-2</x:v>
      </x:c>
      <x:c r="D1136" s="7" t="str">
        <x:v>PEA-B-X2</x:v>
      </x:c>
      <x:c r="E1136" s="7" t="str">
        <x:v>BLD-B</x:v>
      </x:c>
      <x:c r="F1136" s="7" t="str">
        <x:v>BL-X</x:v>
      </x:c>
      <x:c r="G1136" s="7" t="str">
        <x:v>MF-21</x:v>
      </x:c>
      <x:c r="H1136" s="7" t="str"/>
      <x:c r="I1136" s="7" t="str"/>
      <x:c r="J1136" s="7" t="str">
        <x:f>IF(OR(H1136="",I1136=""),"",I1136-H1136)</x:f>
      </x:c>
      <x:c r="K1136" s="7" t="str"/>
      <x:c r="L1136" s="7" t="str"/>
      <x:c r="M1136" s="7" t="str">
        <x:f>IF(L1136="","OPEN",IF(OR(NOT(ISNUMBER(H1136)),NOT(ISNUMBER(I1136)),NOT(ISNUMBER(K1136)),ABS(J1136)&gt;K1136),"FAIL","PASS"))</x:f>
        <x:v>OPEN</x:v>
      </x:c>
    </x:row>
    <x:row r="1137">
      <x:c r="B1137" s="7" t="str">
        <x:v>CAL-CH-PEA-B-X2-21-3</x:v>
      </x:c>
      <x:c r="C1137" s="7" t="str">
        <x:v>CH-PEA-B-X2-21-3</x:v>
      </x:c>
      <x:c r="D1137" s="7" t="str">
        <x:v>PEA-B-X2</x:v>
      </x:c>
      <x:c r="E1137" s="7" t="str">
        <x:v>BLD-B</x:v>
      </x:c>
      <x:c r="F1137" s="7" t="str">
        <x:v>BL-X</x:v>
      </x:c>
      <x:c r="G1137" s="7" t="str">
        <x:v>MF-21</x:v>
      </x:c>
      <x:c r="H1137" s="7" t="str"/>
      <x:c r="I1137" s="7" t="str"/>
      <x:c r="J1137" s="7" t="str">
        <x:f>IF(OR(H1137="",I1137=""),"",I1137-H1137)</x:f>
      </x:c>
      <x:c r="K1137" s="7" t="str"/>
      <x:c r="L1137" s="7" t="str"/>
      <x:c r="M1137" s="7" t="str">
        <x:f>IF(L1137="","OPEN",IF(OR(NOT(ISNUMBER(H1137)),NOT(ISNUMBER(I1137)),NOT(ISNUMBER(K1137)),ABS(J1137)&gt;K1137),"FAIL","PASS"))</x:f>
        <x:v>OPEN</x:v>
      </x:c>
    </x:row>
    <x:row r="1138">
      <x:c r="B1138" s="7" t="str">
        <x:v>CAL-CH-PEA-B-X2-21-4</x:v>
      </x:c>
      <x:c r="C1138" s="7" t="str">
        <x:v>CH-PEA-B-X2-21-4</x:v>
      </x:c>
      <x:c r="D1138" s="7" t="str">
        <x:v>PEA-B-X2</x:v>
      </x:c>
      <x:c r="E1138" s="7" t="str">
        <x:v>BLD-B</x:v>
      </x:c>
      <x:c r="F1138" s="7" t="str">
        <x:v>BL-X</x:v>
      </x:c>
      <x:c r="G1138" s="7" t="str">
        <x:v>MF-21</x:v>
      </x:c>
      <x:c r="H1138" s="7" t="str"/>
      <x:c r="I1138" s="7" t="str"/>
      <x:c r="J1138" s="7" t="str">
        <x:f>IF(OR(H1138="",I1138=""),"",I1138-H1138)</x:f>
      </x:c>
      <x:c r="K1138" s="7" t="str"/>
      <x:c r="L1138" s="7" t="str"/>
      <x:c r="M1138" s="7" t="str">
        <x:f>IF(L1138="","OPEN",IF(OR(NOT(ISNUMBER(H1138)),NOT(ISNUMBER(I1138)),NOT(ISNUMBER(K1138)),ABS(J1138)&gt;K1138),"FAIL","PASS"))</x:f>
        <x:v>OPEN</x:v>
      </x:c>
    </x:row>
    <x:row r="1139">
      <x:c r="B1139" s="7" t="str">
        <x:v>CAL-CH-PEA-B-X2-21-5</x:v>
      </x:c>
      <x:c r="C1139" s="7" t="str">
        <x:v>CH-PEA-B-X2-21-5</x:v>
      </x:c>
      <x:c r="D1139" s="7" t="str">
        <x:v>PEA-B-X2</x:v>
      </x:c>
      <x:c r="E1139" s="7" t="str">
        <x:v>BLD-B</x:v>
      </x:c>
      <x:c r="F1139" s="7" t="str">
        <x:v>BL-X</x:v>
      </x:c>
      <x:c r="G1139" s="7" t="str">
        <x:v>MF-21</x:v>
      </x:c>
      <x:c r="H1139" s="7" t="str"/>
      <x:c r="I1139" s="7" t="str"/>
      <x:c r="J1139" s="7" t="str">
        <x:f>IF(OR(H1139="",I1139=""),"",I1139-H1139)</x:f>
      </x:c>
      <x:c r="K1139" s="7" t="str"/>
      <x:c r="L1139" s="7" t="str"/>
      <x:c r="M1139" s="7" t="str">
        <x:f>IF(L1139="","OPEN",IF(OR(NOT(ISNUMBER(H1139)),NOT(ISNUMBER(I1139)),NOT(ISNUMBER(K1139)),ABS(J1139)&gt;K1139),"FAIL","PASS"))</x:f>
        <x:v>OPEN</x:v>
      </x:c>
    </x:row>
    <x:row r="1140">
      <x:c r="B1140" s="7" t="str">
        <x:v>CAL-CH-PEA-B-X2-21-6</x:v>
      </x:c>
      <x:c r="C1140" s="7" t="str">
        <x:v>CH-PEA-B-X2-21-6</x:v>
      </x:c>
      <x:c r="D1140" s="7" t="str">
        <x:v>PEA-B-X2</x:v>
      </x:c>
      <x:c r="E1140" s="7" t="str">
        <x:v>BLD-B</x:v>
      </x:c>
      <x:c r="F1140" s="7" t="str">
        <x:v>BL-X</x:v>
      </x:c>
      <x:c r="G1140" s="7" t="str">
        <x:v>MF-21</x:v>
      </x:c>
      <x:c r="H1140" s="7" t="str"/>
      <x:c r="I1140" s="7" t="str"/>
      <x:c r="J1140" s="7" t="str">
        <x:f>IF(OR(H1140="",I1140=""),"",I1140-H1140)</x:f>
      </x:c>
      <x:c r="K1140" s="7" t="str"/>
      <x:c r="L1140" s="7" t="str"/>
      <x:c r="M1140" s="7" t="str">
        <x:f>IF(L1140="","OPEN",IF(OR(NOT(ISNUMBER(H1140)),NOT(ISNUMBER(I1140)),NOT(ISNUMBER(K1140)),ABS(J1140)&gt;K1140),"FAIL","PASS"))</x:f>
        <x:v>OPEN</x:v>
      </x:c>
    </x:row>
    <x:row r="1141">
      <x:c r="B1141" s="7" t="str">
        <x:v>CAL-CH-PEA-B-X2-22-1</x:v>
      </x:c>
      <x:c r="C1141" s="7" t="str">
        <x:v>CH-PEA-B-X2-22-1</x:v>
      </x:c>
      <x:c r="D1141" s="7" t="str">
        <x:v>PEA-B-X2</x:v>
      </x:c>
      <x:c r="E1141" s="7" t="str">
        <x:v>BLD-B</x:v>
      </x:c>
      <x:c r="F1141" s="7" t="str">
        <x:v>BL-X</x:v>
      </x:c>
      <x:c r="G1141" s="7" t="str">
        <x:v>MF-22</x:v>
      </x:c>
      <x:c r="H1141" s="7" t="str"/>
      <x:c r="I1141" s="7" t="str"/>
      <x:c r="J1141" s="7" t="str">
        <x:f>IF(OR(H1141="",I1141=""),"",I1141-H1141)</x:f>
      </x:c>
      <x:c r="K1141" s="7" t="str"/>
      <x:c r="L1141" s="7" t="str"/>
      <x:c r="M1141" s="7" t="str">
        <x:f>IF(L1141="","OPEN",IF(OR(NOT(ISNUMBER(H1141)),NOT(ISNUMBER(I1141)),NOT(ISNUMBER(K1141)),ABS(J1141)&gt;K1141),"FAIL","PASS"))</x:f>
        <x:v>OPEN</x:v>
      </x:c>
    </x:row>
    <x:row r="1142">
      <x:c r="B1142" s="7" t="str">
        <x:v>CAL-CH-PEA-B-X2-22-2</x:v>
      </x:c>
      <x:c r="C1142" s="7" t="str">
        <x:v>CH-PEA-B-X2-22-2</x:v>
      </x:c>
      <x:c r="D1142" s="7" t="str">
        <x:v>PEA-B-X2</x:v>
      </x:c>
      <x:c r="E1142" s="7" t="str">
        <x:v>BLD-B</x:v>
      </x:c>
      <x:c r="F1142" s="7" t="str">
        <x:v>BL-X</x:v>
      </x:c>
      <x:c r="G1142" s="7" t="str">
        <x:v>MF-22</x:v>
      </x:c>
      <x:c r="H1142" s="7" t="str"/>
      <x:c r="I1142" s="7" t="str"/>
      <x:c r="J1142" s="7" t="str">
        <x:f>IF(OR(H1142="",I1142=""),"",I1142-H1142)</x:f>
      </x:c>
      <x:c r="K1142" s="7" t="str"/>
      <x:c r="L1142" s="7" t="str"/>
      <x:c r="M1142" s="7" t="str">
        <x:f>IF(L1142="","OPEN",IF(OR(NOT(ISNUMBER(H1142)),NOT(ISNUMBER(I1142)),NOT(ISNUMBER(K1142)),ABS(J1142)&gt;K1142),"FAIL","PASS"))</x:f>
        <x:v>OPEN</x:v>
      </x:c>
    </x:row>
    <x:row r="1143">
      <x:c r="B1143" s="7" t="str">
        <x:v>CAL-CH-PEA-B-X2-22-3</x:v>
      </x:c>
      <x:c r="C1143" s="7" t="str">
        <x:v>CH-PEA-B-X2-22-3</x:v>
      </x:c>
      <x:c r="D1143" s="7" t="str">
        <x:v>PEA-B-X2</x:v>
      </x:c>
      <x:c r="E1143" s="7" t="str">
        <x:v>BLD-B</x:v>
      </x:c>
      <x:c r="F1143" s="7" t="str">
        <x:v>BL-X</x:v>
      </x:c>
      <x:c r="G1143" s="7" t="str">
        <x:v>MF-22</x:v>
      </x:c>
      <x:c r="H1143" s="7" t="str"/>
      <x:c r="I1143" s="7" t="str"/>
      <x:c r="J1143" s="7" t="str">
        <x:f>IF(OR(H1143="",I1143=""),"",I1143-H1143)</x:f>
      </x:c>
      <x:c r="K1143" s="7" t="str"/>
      <x:c r="L1143" s="7" t="str"/>
      <x:c r="M1143" s="7" t="str">
        <x:f>IF(L1143="","OPEN",IF(OR(NOT(ISNUMBER(H1143)),NOT(ISNUMBER(I1143)),NOT(ISNUMBER(K1143)),ABS(J1143)&gt;K1143),"FAIL","PASS"))</x:f>
        <x:v>OPEN</x:v>
      </x:c>
    </x:row>
    <x:row r="1144">
      <x:c r="B1144" s="7" t="str">
        <x:v>CAL-CH-PEA-B-X2-22-4</x:v>
      </x:c>
      <x:c r="C1144" s="7" t="str">
        <x:v>CH-PEA-B-X2-22-4</x:v>
      </x:c>
      <x:c r="D1144" s="7" t="str">
        <x:v>PEA-B-X2</x:v>
      </x:c>
      <x:c r="E1144" s="7" t="str">
        <x:v>BLD-B</x:v>
      </x:c>
      <x:c r="F1144" s="7" t="str">
        <x:v>BL-X</x:v>
      </x:c>
      <x:c r="G1144" s="7" t="str">
        <x:v>MF-22</x:v>
      </x:c>
      <x:c r="H1144" s="7" t="str"/>
      <x:c r="I1144" s="7" t="str"/>
      <x:c r="J1144" s="7" t="str">
        <x:f>IF(OR(H1144="",I1144=""),"",I1144-H1144)</x:f>
      </x:c>
      <x:c r="K1144" s="7" t="str"/>
      <x:c r="L1144" s="7" t="str"/>
      <x:c r="M1144" s="7" t="str">
        <x:f>IF(L1144="","OPEN",IF(OR(NOT(ISNUMBER(H1144)),NOT(ISNUMBER(I1144)),NOT(ISNUMBER(K1144)),ABS(J1144)&gt;K1144),"FAIL","PASS"))</x:f>
        <x:v>OPEN</x:v>
      </x:c>
    </x:row>
    <x:row r="1145">
      <x:c r="B1145" s="7" t="str">
        <x:v>CAL-CH-PEA-B-X2-22-5</x:v>
      </x:c>
      <x:c r="C1145" s="7" t="str">
        <x:v>CH-PEA-B-X2-22-5</x:v>
      </x:c>
      <x:c r="D1145" s="7" t="str">
        <x:v>PEA-B-X2</x:v>
      </x:c>
      <x:c r="E1145" s="7" t="str">
        <x:v>BLD-B</x:v>
      </x:c>
      <x:c r="F1145" s="7" t="str">
        <x:v>BL-X</x:v>
      </x:c>
      <x:c r="G1145" s="7" t="str">
        <x:v>MF-22</x:v>
      </x:c>
      <x:c r="H1145" s="7" t="str"/>
      <x:c r="I1145" s="7" t="str"/>
      <x:c r="J1145" s="7" t="str">
        <x:f>IF(OR(H1145="",I1145=""),"",I1145-H1145)</x:f>
      </x:c>
      <x:c r="K1145" s="7" t="str"/>
      <x:c r="L1145" s="7" t="str"/>
      <x:c r="M1145" s="7" t="str">
        <x:f>IF(L1145="","OPEN",IF(OR(NOT(ISNUMBER(H1145)),NOT(ISNUMBER(I1145)),NOT(ISNUMBER(K1145)),ABS(J1145)&gt;K1145),"FAIL","PASS"))</x:f>
        <x:v>OPEN</x:v>
      </x:c>
    </x:row>
    <x:row r="1146">
      <x:c r="B1146" s="7" t="str">
        <x:v>CAL-CH-PEA-B-X2-22-6</x:v>
      </x:c>
      <x:c r="C1146" s="7" t="str">
        <x:v>CH-PEA-B-X2-22-6</x:v>
      </x:c>
      <x:c r="D1146" s="7" t="str">
        <x:v>PEA-B-X2</x:v>
      </x:c>
      <x:c r="E1146" s="7" t="str">
        <x:v>BLD-B</x:v>
      </x:c>
      <x:c r="F1146" s="7" t="str">
        <x:v>BL-X</x:v>
      </x:c>
      <x:c r="G1146" s="7" t="str">
        <x:v>MF-22</x:v>
      </x:c>
      <x:c r="H1146" s="7" t="str"/>
      <x:c r="I1146" s="7" t="str"/>
      <x:c r="J1146" s="7" t="str">
        <x:f>IF(OR(H1146="",I1146=""),"",I1146-H1146)</x:f>
      </x:c>
      <x:c r="K1146" s="7" t="str"/>
      <x:c r="L1146" s="7" t="str"/>
      <x:c r="M1146" s="7" t="str">
        <x:f>IF(L1146="","OPEN",IF(OR(NOT(ISNUMBER(H1146)),NOT(ISNUMBER(I1146)),NOT(ISNUMBER(K1146)),ABS(J1146)&gt;K1146),"FAIL","PASS"))</x:f>
        <x:v>OPEN</x:v>
      </x:c>
    </x:row>
    <x:row r="1147">
      <x:c r="B1147" s="7" t="str">
        <x:v>CAL-CH-PEA-B-X2-23-1</x:v>
      </x:c>
      <x:c r="C1147" s="7" t="str">
        <x:v>CH-PEA-B-X2-23-1</x:v>
      </x:c>
      <x:c r="D1147" s="7" t="str">
        <x:v>PEA-B-X2</x:v>
      </x:c>
      <x:c r="E1147" s="7" t="str">
        <x:v>BLD-B</x:v>
      </x:c>
      <x:c r="F1147" s="7" t="str">
        <x:v>BL-X</x:v>
      </x:c>
      <x:c r="G1147" s="7" t="str">
        <x:v>MF-23</x:v>
      </x:c>
      <x:c r="H1147" s="7" t="str"/>
      <x:c r="I1147" s="7" t="str"/>
      <x:c r="J1147" s="7" t="str">
        <x:f>IF(OR(H1147="",I1147=""),"",I1147-H1147)</x:f>
      </x:c>
      <x:c r="K1147" s="7" t="str"/>
      <x:c r="L1147" s="7" t="str"/>
      <x:c r="M1147" s="7" t="str">
        <x:f>IF(L1147="","OPEN",IF(OR(NOT(ISNUMBER(H1147)),NOT(ISNUMBER(I1147)),NOT(ISNUMBER(K1147)),ABS(J1147)&gt;K1147),"FAIL","PASS"))</x:f>
        <x:v>OPEN</x:v>
      </x:c>
    </x:row>
    <x:row r="1148">
      <x:c r="B1148" s="7" t="str">
        <x:v>CAL-CH-PEA-B-X2-23-2</x:v>
      </x:c>
      <x:c r="C1148" s="7" t="str">
        <x:v>CH-PEA-B-X2-23-2</x:v>
      </x:c>
      <x:c r="D1148" s="7" t="str">
        <x:v>PEA-B-X2</x:v>
      </x:c>
      <x:c r="E1148" s="7" t="str">
        <x:v>BLD-B</x:v>
      </x:c>
      <x:c r="F1148" s="7" t="str">
        <x:v>BL-X</x:v>
      </x:c>
      <x:c r="G1148" s="7" t="str">
        <x:v>MF-23</x:v>
      </x:c>
      <x:c r="H1148" s="7" t="str"/>
      <x:c r="I1148" s="7" t="str"/>
      <x:c r="J1148" s="7" t="str">
        <x:f>IF(OR(H1148="",I1148=""),"",I1148-H1148)</x:f>
      </x:c>
      <x:c r="K1148" s="7" t="str"/>
      <x:c r="L1148" s="7" t="str"/>
      <x:c r="M1148" s="7" t="str">
        <x:f>IF(L1148="","OPEN",IF(OR(NOT(ISNUMBER(H1148)),NOT(ISNUMBER(I1148)),NOT(ISNUMBER(K1148)),ABS(J1148)&gt;K1148),"FAIL","PASS"))</x:f>
        <x:v>OPEN</x:v>
      </x:c>
    </x:row>
    <x:row r="1149">
      <x:c r="B1149" s="7" t="str">
        <x:v>CAL-CH-PEA-B-X2-23-3</x:v>
      </x:c>
      <x:c r="C1149" s="7" t="str">
        <x:v>CH-PEA-B-X2-23-3</x:v>
      </x:c>
      <x:c r="D1149" s="7" t="str">
        <x:v>PEA-B-X2</x:v>
      </x:c>
      <x:c r="E1149" s="7" t="str">
        <x:v>BLD-B</x:v>
      </x:c>
      <x:c r="F1149" s="7" t="str">
        <x:v>BL-X</x:v>
      </x:c>
      <x:c r="G1149" s="7" t="str">
        <x:v>MF-23</x:v>
      </x:c>
      <x:c r="H1149" s="7" t="str"/>
      <x:c r="I1149" s="7" t="str"/>
      <x:c r="J1149" s="7" t="str">
        <x:f>IF(OR(H1149="",I1149=""),"",I1149-H1149)</x:f>
      </x:c>
      <x:c r="K1149" s="7" t="str"/>
      <x:c r="L1149" s="7" t="str"/>
      <x:c r="M1149" s="7" t="str">
        <x:f>IF(L1149="","OPEN",IF(OR(NOT(ISNUMBER(H1149)),NOT(ISNUMBER(I1149)),NOT(ISNUMBER(K1149)),ABS(J1149)&gt;K1149),"FAIL","PASS"))</x:f>
        <x:v>OPEN</x:v>
      </x:c>
    </x:row>
    <x:row r="1150">
      <x:c r="B1150" s="7" t="str">
        <x:v>CAL-CH-PEA-B-X2-23-4</x:v>
      </x:c>
      <x:c r="C1150" s="7" t="str">
        <x:v>CH-PEA-B-X2-23-4</x:v>
      </x:c>
      <x:c r="D1150" s="7" t="str">
        <x:v>PEA-B-X2</x:v>
      </x:c>
      <x:c r="E1150" s="7" t="str">
        <x:v>BLD-B</x:v>
      </x:c>
      <x:c r="F1150" s="7" t="str">
        <x:v>BL-X</x:v>
      </x:c>
      <x:c r="G1150" s="7" t="str">
        <x:v>MF-23</x:v>
      </x:c>
      <x:c r="H1150" s="7" t="str"/>
      <x:c r="I1150" s="7" t="str"/>
      <x:c r="J1150" s="7" t="str">
        <x:f>IF(OR(H1150="",I1150=""),"",I1150-H1150)</x:f>
      </x:c>
      <x:c r="K1150" s="7" t="str"/>
      <x:c r="L1150" s="7" t="str"/>
      <x:c r="M1150" s="7" t="str">
        <x:f>IF(L1150="","OPEN",IF(OR(NOT(ISNUMBER(H1150)),NOT(ISNUMBER(I1150)),NOT(ISNUMBER(K1150)),ABS(J1150)&gt;K1150),"FAIL","PASS"))</x:f>
        <x:v>OPEN</x:v>
      </x:c>
    </x:row>
    <x:row r="1151">
      <x:c r="B1151" s="7" t="str">
        <x:v>CAL-CH-PEA-B-X2-23-5</x:v>
      </x:c>
      <x:c r="C1151" s="7" t="str">
        <x:v>CH-PEA-B-X2-23-5</x:v>
      </x:c>
      <x:c r="D1151" s="7" t="str">
        <x:v>PEA-B-X2</x:v>
      </x:c>
      <x:c r="E1151" s="7" t="str">
        <x:v>BLD-B</x:v>
      </x:c>
      <x:c r="F1151" s="7" t="str">
        <x:v>BL-X</x:v>
      </x:c>
      <x:c r="G1151" s="7" t="str">
        <x:v>MF-23</x:v>
      </x:c>
      <x:c r="H1151" s="7" t="str"/>
      <x:c r="I1151" s="7" t="str"/>
      <x:c r="J1151" s="7" t="str">
        <x:f>IF(OR(H1151="",I1151=""),"",I1151-H1151)</x:f>
      </x:c>
      <x:c r="K1151" s="7" t="str"/>
      <x:c r="L1151" s="7" t="str"/>
      <x:c r="M1151" s="7" t="str">
        <x:f>IF(L1151="","OPEN",IF(OR(NOT(ISNUMBER(H1151)),NOT(ISNUMBER(I1151)),NOT(ISNUMBER(K1151)),ABS(J1151)&gt;K1151),"FAIL","PASS"))</x:f>
        <x:v>OPEN</x:v>
      </x:c>
    </x:row>
    <x:row r="1152">
      <x:c r="B1152" s="7" t="str">
        <x:v>CAL-CH-PEA-B-X2-23-6</x:v>
      </x:c>
      <x:c r="C1152" s="7" t="str">
        <x:v>CH-PEA-B-X2-23-6</x:v>
      </x:c>
      <x:c r="D1152" s="7" t="str">
        <x:v>PEA-B-X2</x:v>
      </x:c>
      <x:c r="E1152" s="7" t="str">
        <x:v>BLD-B</x:v>
      </x:c>
      <x:c r="F1152" s="7" t="str">
        <x:v>BL-X</x:v>
      </x:c>
      <x:c r="G1152" s="7" t="str">
        <x:v>MF-23</x:v>
      </x:c>
      <x:c r="H1152" s="7" t="str"/>
      <x:c r="I1152" s="7" t="str"/>
      <x:c r="J1152" s="7" t="str">
        <x:f>IF(OR(H1152="",I1152=""),"",I1152-H1152)</x:f>
      </x:c>
      <x:c r="K1152" s="7" t="str"/>
      <x:c r="L1152" s="7" t="str"/>
      <x:c r="M1152" s="7" t="str">
        <x:f>IF(L1152="","OPEN",IF(OR(NOT(ISNUMBER(H1152)),NOT(ISNUMBER(I1152)),NOT(ISNUMBER(K1152)),ABS(J1152)&gt;K1152),"FAIL","PASS"))</x:f>
        <x:v>OPEN</x:v>
      </x:c>
    </x:row>
    <x:row r="1153">
      <x:c r="B1153" s="7" t="str">
        <x:v>CAL-CH-PEA-B-X2-24-1</x:v>
      </x:c>
      <x:c r="C1153" s="7" t="str">
        <x:v>CH-PEA-B-X2-24-1</x:v>
      </x:c>
      <x:c r="D1153" s="7" t="str">
        <x:v>PEA-B-X2</x:v>
      </x:c>
      <x:c r="E1153" s="7" t="str">
        <x:v>BLD-B</x:v>
      </x:c>
      <x:c r="F1153" s="7" t="str">
        <x:v>BL-X</x:v>
      </x:c>
      <x:c r="G1153" s="7" t="str">
        <x:v>MF-24</x:v>
      </x:c>
      <x:c r="H1153" s="7" t="str"/>
      <x:c r="I1153" s="7" t="str"/>
      <x:c r="J1153" s="7" t="str">
        <x:f>IF(OR(H1153="",I1153=""),"",I1153-H1153)</x:f>
      </x:c>
      <x:c r="K1153" s="7" t="str"/>
      <x:c r="L1153" s="7" t="str"/>
      <x:c r="M1153" s="7" t="str">
        <x:f>IF(L1153="","OPEN",IF(OR(NOT(ISNUMBER(H1153)),NOT(ISNUMBER(I1153)),NOT(ISNUMBER(K1153)),ABS(J1153)&gt;K1153),"FAIL","PASS"))</x:f>
        <x:v>OPEN</x:v>
      </x:c>
    </x:row>
    <x:row r="1154">
      <x:c r="B1154" s="7" t="str">
        <x:v>CAL-CH-PEA-B-X2-24-2</x:v>
      </x:c>
      <x:c r="C1154" s="7" t="str">
        <x:v>CH-PEA-B-X2-24-2</x:v>
      </x:c>
      <x:c r="D1154" s="7" t="str">
        <x:v>PEA-B-X2</x:v>
      </x:c>
      <x:c r="E1154" s="7" t="str">
        <x:v>BLD-B</x:v>
      </x:c>
      <x:c r="F1154" s="7" t="str">
        <x:v>BL-X</x:v>
      </x:c>
      <x:c r="G1154" s="7" t="str">
        <x:v>MF-24</x:v>
      </x:c>
      <x:c r="H1154" s="7" t="str"/>
      <x:c r="I1154" s="7" t="str"/>
      <x:c r="J1154" s="7" t="str">
        <x:f>IF(OR(H1154="",I1154=""),"",I1154-H1154)</x:f>
      </x:c>
      <x:c r="K1154" s="7" t="str"/>
      <x:c r="L1154" s="7" t="str"/>
      <x:c r="M1154" s="7" t="str">
        <x:f>IF(L1154="","OPEN",IF(OR(NOT(ISNUMBER(H1154)),NOT(ISNUMBER(I1154)),NOT(ISNUMBER(K1154)),ABS(J1154)&gt;K1154),"FAIL","PASS"))</x:f>
        <x:v>OPEN</x:v>
      </x:c>
    </x:row>
    <x:row r="1155">
      <x:c r="B1155" s="7" t="str">
        <x:v>CAL-CH-PEA-B-X2-24-3</x:v>
      </x:c>
      <x:c r="C1155" s="7" t="str">
        <x:v>CH-PEA-B-X2-24-3</x:v>
      </x:c>
      <x:c r="D1155" s="7" t="str">
        <x:v>PEA-B-X2</x:v>
      </x:c>
      <x:c r="E1155" s="7" t="str">
        <x:v>BLD-B</x:v>
      </x:c>
      <x:c r="F1155" s="7" t="str">
        <x:v>BL-X</x:v>
      </x:c>
      <x:c r="G1155" s="7" t="str">
        <x:v>MF-24</x:v>
      </x:c>
      <x:c r="H1155" s="7" t="str"/>
      <x:c r="I1155" s="7" t="str"/>
      <x:c r="J1155" s="7" t="str">
        <x:f>IF(OR(H1155="",I1155=""),"",I1155-H1155)</x:f>
      </x:c>
      <x:c r="K1155" s="7" t="str"/>
      <x:c r="L1155" s="7" t="str"/>
      <x:c r="M1155" s="7" t="str">
        <x:f>IF(L1155="","OPEN",IF(OR(NOT(ISNUMBER(H1155)),NOT(ISNUMBER(I1155)),NOT(ISNUMBER(K1155)),ABS(J1155)&gt;K1155),"FAIL","PASS"))</x:f>
        <x:v>OPEN</x:v>
      </x:c>
    </x:row>
    <x:row r="1156">
      <x:c r="B1156" s="7" t="str">
        <x:v>CAL-CH-PEA-B-X2-24-4</x:v>
      </x:c>
      <x:c r="C1156" s="7" t="str">
        <x:v>CH-PEA-B-X2-24-4</x:v>
      </x:c>
      <x:c r="D1156" s="7" t="str">
        <x:v>PEA-B-X2</x:v>
      </x:c>
      <x:c r="E1156" s="7" t="str">
        <x:v>BLD-B</x:v>
      </x:c>
      <x:c r="F1156" s="7" t="str">
        <x:v>BL-X</x:v>
      </x:c>
      <x:c r="G1156" s="7" t="str">
        <x:v>MF-24</x:v>
      </x:c>
      <x:c r="H1156" s="7" t="str"/>
      <x:c r="I1156" s="7" t="str"/>
      <x:c r="J1156" s="7" t="str">
        <x:f>IF(OR(H1156="",I1156=""),"",I1156-H1156)</x:f>
      </x:c>
      <x:c r="K1156" s="7" t="str"/>
      <x:c r="L1156" s="7" t="str"/>
      <x:c r="M1156" s="7" t="str">
        <x:f>IF(L1156="","OPEN",IF(OR(NOT(ISNUMBER(H1156)),NOT(ISNUMBER(I1156)),NOT(ISNUMBER(K1156)),ABS(J1156)&gt;K1156),"FAIL","PASS"))</x:f>
        <x:v>OPEN</x:v>
      </x:c>
    </x:row>
    <x:row r="1157">
      <x:c r="B1157" s="7" t="str">
        <x:v>CAL-CH-PEA-B-X2-24-5</x:v>
      </x:c>
      <x:c r="C1157" s="7" t="str">
        <x:v>CH-PEA-B-X2-24-5</x:v>
      </x:c>
      <x:c r="D1157" s="7" t="str">
        <x:v>PEA-B-X2</x:v>
      </x:c>
      <x:c r="E1157" s="7" t="str">
        <x:v>BLD-B</x:v>
      </x:c>
      <x:c r="F1157" s="7" t="str">
        <x:v>BL-X</x:v>
      </x:c>
      <x:c r="G1157" s="7" t="str">
        <x:v>MF-24</x:v>
      </x:c>
      <x:c r="H1157" s="7" t="str"/>
      <x:c r="I1157" s="7" t="str"/>
      <x:c r="J1157" s="7" t="str">
        <x:f>IF(OR(H1157="",I1157=""),"",I1157-H1157)</x:f>
      </x:c>
      <x:c r="K1157" s="7" t="str"/>
      <x:c r="L1157" s="7" t="str"/>
      <x:c r="M1157" s="7" t="str">
        <x:f>IF(L1157="","OPEN",IF(OR(NOT(ISNUMBER(H1157)),NOT(ISNUMBER(I1157)),NOT(ISNUMBER(K1157)),ABS(J1157)&gt;K1157),"FAIL","PASS"))</x:f>
        <x:v>OPEN</x:v>
      </x:c>
    </x:row>
    <x:row r="1158">
      <x:c r="B1158" s="7" t="str">
        <x:v>CAL-CH-PEA-B-X2-24-6</x:v>
      </x:c>
      <x:c r="C1158" s="7" t="str">
        <x:v>CH-PEA-B-X2-24-6</x:v>
      </x:c>
      <x:c r="D1158" s="7" t="str">
        <x:v>PEA-B-X2</x:v>
      </x:c>
      <x:c r="E1158" s="7" t="str">
        <x:v>BLD-B</x:v>
      </x:c>
      <x:c r="F1158" s="7" t="str">
        <x:v>BL-X</x:v>
      </x:c>
      <x:c r="G1158" s="7" t="str">
        <x:v>MF-24</x:v>
      </x:c>
      <x:c r="H1158" s="7" t="str"/>
      <x:c r="I1158" s="7" t="str"/>
      <x:c r="J1158" s="7" t="str">
        <x:f>IF(OR(H1158="",I1158=""),"",I1158-H1158)</x:f>
      </x:c>
      <x:c r="K1158" s="7" t="str"/>
      <x:c r="L1158" s="7" t="str"/>
      <x:c r="M1158" s="7" t="str">
        <x:f>IF(L1158="","OPEN",IF(OR(NOT(ISNUMBER(H1158)),NOT(ISNUMBER(I1158)),NOT(ISNUMBER(K1158)),ABS(J1158)&gt;K1158),"FAIL","PASS"))</x:f>
        <x:v>OPEN</x:v>
      </x:c>
    </x:row>
    <x:row r="1159">
      <x:c r="B1159" s="7" t="str">
        <x:v>CAL-CH-PEA-B-X3-01-1</x:v>
      </x:c>
      <x:c r="C1159" s="7" t="str">
        <x:v>CH-PEA-B-X3-01-1</x:v>
      </x:c>
      <x:c r="D1159" s="7" t="str">
        <x:v>PEA-B-X3</x:v>
      </x:c>
      <x:c r="E1159" s="7" t="str">
        <x:v>BLD-B</x:v>
      </x:c>
      <x:c r="F1159" s="7" t="str">
        <x:v>BL-X</x:v>
      </x:c>
      <x:c r="G1159" s="7" t="str">
        <x:v>MF-01</x:v>
      </x:c>
      <x:c r="H1159" s="7" t="str"/>
      <x:c r="I1159" s="7" t="str"/>
      <x:c r="J1159" s="7" t="str">
        <x:f>IF(OR(H1159="",I1159=""),"",I1159-H1159)</x:f>
      </x:c>
      <x:c r="K1159" s="7" t="str"/>
      <x:c r="L1159" s="7" t="str"/>
      <x:c r="M1159" s="7" t="str">
        <x:f>IF(L1159="","OPEN",IF(OR(NOT(ISNUMBER(H1159)),NOT(ISNUMBER(I1159)),NOT(ISNUMBER(K1159)),ABS(J1159)&gt;K1159),"FAIL","PASS"))</x:f>
        <x:v>OPEN</x:v>
      </x:c>
    </x:row>
    <x:row r="1160">
      <x:c r="B1160" s="7" t="str">
        <x:v>CAL-CH-PEA-B-X3-01-2</x:v>
      </x:c>
      <x:c r="C1160" s="7" t="str">
        <x:v>CH-PEA-B-X3-01-2</x:v>
      </x:c>
      <x:c r="D1160" s="7" t="str">
        <x:v>PEA-B-X3</x:v>
      </x:c>
      <x:c r="E1160" s="7" t="str">
        <x:v>BLD-B</x:v>
      </x:c>
      <x:c r="F1160" s="7" t="str">
        <x:v>BL-X</x:v>
      </x:c>
      <x:c r="G1160" s="7" t="str">
        <x:v>MF-01</x:v>
      </x:c>
      <x:c r="H1160" s="7" t="str"/>
      <x:c r="I1160" s="7" t="str"/>
      <x:c r="J1160" s="7" t="str">
        <x:f>IF(OR(H1160="",I1160=""),"",I1160-H1160)</x:f>
      </x:c>
      <x:c r="K1160" s="7" t="str"/>
      <x:c r="L1160" s="7" t="str"/>
      <x:c r="M1160" s="7" t="str">
        <x:f>IF(L1160="","OPEN",IF(OR(NOT(ISNUMBER(H1160)),NOT(ISNUMBER(I1160)),NOT(ISNUMBER(K1160)),ABS(J1160)&gt;K1160),"FAIL","PASS"))</x:f>
        <x:v>OPEN</x:v>
      </x:c>
    </x:row>
    <x:row r="1161">
      <x:c r="B1161" s="7" t="str">
        <x:v>CAL-CH-PEA-B-X3-01-3</x:v>
      </x:c>
      <x:c r="C1161" s="7" t="str">
        <x:v>CH-PEA-B-X3-01-3</x:v>
      </x:c>
      <x:c r="D1161" s="7" t="str">
        <x:v>PEA-B-X3</x:v>
      </x:c>
      <x:c r="E1161" s="7" t="str">
        <x:v>BLD-B</x:v>
      </x:c>
      <x:c r="F1161" s="7" t="str">
        <x:v>BL-X</x:v>
      </x:c>
      <x:c r="G1161" s="7" t="str">
        <x:v>MF-01</x:v>
      </x:c>
      <x:c r="H1161" s="7" t="str"/>
      <x:c r="I1161" s="7" t="str"/>
      <x:c r="J1161" s="7" t="str">
        <x:f>IF(OR(H1161="",I1161=""),"",I1161-H1161)</x:f>
      </x:c>
      <x:c r="K1161" s="7" t="str"/>
      <x:c r="L1161" s="7" t="str"/>
      <x:c r="M1161" s="7" t="str">
        <x:f>IF(L1161="","OPEN",IF(OR(NOT(ISNUMBER(H1161)),NOT(ISNUMBER(I1161)),NOT(ISNUMBER(K1161)),ABS(J1161)&gt;K1161),"FAIL","PASS"))</x:f>
        <x:v>OPEN</x:v>
      </x:c>
    </x:row>
    <x:row r="1162">
      <x:c r="B1162" s="7" t="str">
        <x:v>CAL-CH-PEA-B-X3-01-4</x:v>
      </x:c>
      <x:c r="C1162" s="7" t="str">
        <x:v>CH-PEA-B-X3-01-4</x:v>
      </x:c>
      <x:c r="D1162" s="7" t="str">
        <x:v>PEA-B-X3</x:v>
      </x:c>
      <x:c r="E1162" s="7" t="str">
        <x:v>BLD-B</x:v>
      </x:c>
      <x:c r="F1162" s="7" t="str">
        <x:v>BL-X</x:v>
      </x:c>
      <x:c r="G1162" s="7" t="str">
        <x:v>MF-01</x:v>
      </x:c>
      <x:c r="H1162" s="7" t="str"/>
      <x:c r="I1162" s="7" t="str"/>
      <x:c r="J1162" s="7" t="str">
        <x:f>IF(OR(H1162="",I1162=""),"",I1162-H1162)</x:f>
      </x:c>
      <x:c r="K1162" s="7" t="str"/>
      <x:c r="L1162" s="7" t="str"/>
      <x:c r="M1162" s="7" t="str">
        <x:f>IF(L1162="","OPEN",IF(OR(NOT(ISNUMBER(H1162)),NOT(ISNUMBER(I1162)),NOT(ISNUMBER(K1162)),ABS(J1162)&gt;K1162),"FAIL","PASS"))</x:f>
        <x:v>OPEN</x:v>
      </x:c>
    </x:row>
    <x:row r="1163">
      <x:c r="B1163" s="7" t="str">
        <x:v>CAL-CH-PEA-B-X3-01-5</x:v>
      </x:c>
      <x:c r="C1163" s="7" t="str">
        <x:v>CH-PEA-B-X3-01-5</x:v>
      </x:c>
      <x:c r="D1163" s="7" t="str">
        <x:v>PEA-B-X3</x:v>
      </x:c>
      <x:c r="E1163" s="7" t="str">
        <x:v>BLD-B</x:v>
      </x:c>
      <x:c r="F1163" s="7" t="str">
        <x:v>BL-X</x:v>
      </x:c>
      <x:c r="G1163" s="7" t="str">
        <x:v>MF-01</x:v>
      </x:c>
      <x:c r="H1163" s="7" t="str"/>
      <x:c r="I1163" s="7" t="str"/>
      <x:c r="J1163" s="7" t="str">
        <x:f>IF(OR(H1163="",I1163=""),"",I1163-H1163)</x:f>
      </x:c>
      <x:c r="K1163" s="7" t="str"/>
      <x:c r="L1163" s="7" t="str"/>
      <x:c r="M1163" s="7" t="str">
        <x:f>IF(L1163="","OPEN",IF(OR(NOT(ISNUMBER(H1163)),NOT(ISNUMBER(I1163)),NOT(ISNUMBER(K1163)),ABS(J1163)&gt;K1163),"FAIL","PASS"))</x:f>
        <x:v>OPEN</x:v>
      </x:c>
    </x:row>
    <x:row r="1164">
      <x:c r="B1164" s="7" t="str">
        <x:v>CAL-CH-PEA-B-X3-01-6</x:v>
      </x:c>
      <x:c r="C1164" s="7" t="str">
        <x:v>CH-PEA-B-X3-01-6</x:v>
      </x:c>
      <x:c r="D1164" s="7" t="str">
        <x:v>PEA-B-X3</x:v>
      </x:c>
      <x:c r="E1164" s="7" t="str">
        <x:v>BLD-B</x:v>
      </x:c>
      <x:c r="F1164" s="7" t="str">
        <x:v>BL-X</x:v>
      </x:c>
      <x:c r="G1164" s="7" t="str">
        <x:v>MF-01</x:v>
      </x:c>
      <x:c r="H1164" s="7" t="str"/>
      <x:c r="I1164" s="7" t="str"/>
      <x:c r="J1164" s="7" t="str">
        <x:f>IF(OR(H1164="",I1164=""),"",I1164-H1164)</x:f>
      </x:c>
      <x:c r="K1164" s="7" t="str"/>
      <x:c r="L1164" s="7" t="str"/>
      <x:c r="M1164" s="7" t="str">
        <x:f>IF(L1164="","OPEN",IF(OR(NOT(ISNUMBER(H1164)),NOT(ISNUMBER(I1164)),NOT(ISNUMBER(K1164)),ABS(J1164)&gt;K1164),"FAIL","PASS"))</x:f>
        <x:v>OPEN</x:v>
      </x:c>
    </x:row>
    <x:row r="1165">
      <x:c r="B1165" s="7" t="str">
        <x:v>CAL-CH-PEA-B-X3-02-1</x:v>
      </x:c>
      <x:c r="C1165" s="7" t="str">
        <x:v>CH-PEA-B-X3-02-1</x:v>
      </x:c>
      <x:c r="D1165" s="7" t="str">
        <x:v>PEA-B-X3</x:v>
      </x:c>
      <x:c r="E1165" s="7" t="str">
        <x:v>BLD-B</x:v>
      </x:c>
      <x:c r="F1165" s="7" t="str">
        <x:v>BL-X</x:v>
      </x:c>
      <x:c r="G1165" s="7" t="str">
        <x:v>MF-02</x:v>
      </x:c>
      <x:c r="H1165" s="7" t="str"/>
      <x:c r="I1165" s="7" t="str"/>
      <x:c r="J1165" s="7" t="str">
        <x:f>IF(OR(H1165="",I1165=""),"",I1165-H1165)</x:f>
      </x:c>
      <x:c r="K1165" s="7" t="str"/>
      <x:c r="L1165" s="7" t="str"/>
      <x:c r="M1165" s="7" t="str">
        <x:f>IF(L1165="","OPEN",IF(OR(NOT(ISNUMBER(H1165)),NOT(ISNUMBER(I1165)),NOT(ISNUMBER(K1165)),ABS(J1165)&gt;K1165),"FAIL","PASS"))</x:f>
        <x:v>OPEN</x:v>
      </x:c>
    </x:row>
    <x:row r="1166">
      <x:c r="B1166" s="7" t="str">
        <x:v>CAL-CH-PEA-B-X3-02-2</x:v>
      </x:c>
      <x:c r="C1166" s="7" t="str">
        <x:v>CH-PEA-B-X3-02-2</x:v>
      </x:c>
      <x:c r="D1166" s="7" t="str">
        <x:v>PEA-B-X3</x:v>
      </x:c>
      <x:c r="E1166" s="7" t="str">
        <x:v>BLD-B</x:v>
      </x:c>
      <x:c r="F1166" s="7" t="str">
        <x:v>BL-X</x:v>
      </x:c>
      <x:c r="G1166" s="7" t="str">
        <x:v>MF-02</x:v>
      </x:c>
      <x:c r="H1166" s="7" t="str"/>
      <x:c r="I1166" s="7" t="str"/>
      <x:c r="J1166" s="7" t="str">
        <x:f>IF(OR(H1166="",I1166=""),"",I1166-H1166)</x:f>
      </x:c>
      <x:c r="K1166" s="7" t="str"/>
      <x:c r="L1166" s="7" t="str"/>
      <x:c r="M1166" s="7" t="str">
        <x:f>IF(L1166="","OPEN",IF(OR(NOT(ISNUMBER(H1166)),NOT(ISNUMBER(I1166)),NOT(ISNUMBER(K1166)),ABS(J1166)&gt;K1166),"FAIL","PASS"))</x:f>
        <x:v>OPEN</x:v>
      </x:c>
    </x:row>
    <x:row r="1167">
      <x:c r="B1167" s="7" t="str">
        <x:v>CAL-CH-PEA-B-X3-02-3</x:v>
      </x:c>
      <x:c r="C1167" s="7" t="str">
        <x:v>CH-PEA-B-X3-02-3</x:v>
      </x:c>
      <x:c r="D1167" s="7" t="str">
        <x:v>PEA-B-X3</x:v>
      </x:c>
      <x:c r="E1167" s="7" t="str">
        <x:v>BLD-B</x:v>
      </x:c>
      <x:c r="F1167" s="7" t="str">
        <x:v>BL-X</x:v>
      </x:c>
      <x:c r="G1167" s="7" t="str">
        <x:v>MF-02</x:v>
      </x:c>
      <x:c r="H1167" s="7" t="str"/>
      <x:c r="I1167" s="7" t="str"/>
      <x:c r="J1167" s="7" t="str">
        <x:f>IF(OR(H1167="",I1167=""),"",I1167-H1167)</x:f>
      </x:c>
      <x:c r="K1167" s="7" t="str"/>
      <x:c r="L1167" s="7" t="str"/>
      <x:c r="M1167" s="7" t="str">
        <x:f>IF(L1167="","OPEN",IF(OR(NOT(ISNUMBER(H1167)),NOT(ISNUMBER(I1167)),NOT(ISNUMBER(K1167)),ABS(J1167)&gt;K1167),"FAIL","PASS"))</x:f>
        <x:v>OPEN</x:v>
      </x:c>
    </x:row>
    <x:row r="1168">
      <x:c r="B1168" s="7" t="str">
        <x:v>CAL-CH-PEA-B-X3-02-4</x:v>
      </x:c>
      <x:c r="C1168" s="7" t="str">
        <x:v>CH-PEA-B-X3-02-4</x:v>
      </x:c>
      <x:c r="D1168" s="7" t="str">
        <x:v>PEA-B-X3</x:v>
      </x:c>
      <x:c r="E1168" s="7" t="str">
        <x:v>BLD-B</x:v>
      </x:c>
      <x:c r="F1168" s="7" t="str">
        <x:v>BL-X</x:v>
      </x:c>
      <x:c r="G1168" s="7" t="str">
        <x:v>MF-02</x:v>
      </x:c>
      <x:c r="H1168" s="7" t="str"/>
      <x:c r="I1168" s="7" t="str"/>
      <x:c r="J1168" s="7" t="str">
        <x:f>IF(OR(H1168="",I1168=""),"",I1168-H1168)</x:f>
      </x:c>
      <x:c r="K1168" s="7" t="str"/>
      <x:c r="L1168" s="7" t="str"/>
      <x:c r="M1168" s="7" t="str">
        <x:f>IF(L1168="","OPEN",IF(OR(NOT(ISNUMBER(H1168)),NOT(ISNUMBER(I1168)),NOT(ISNUMBER(K1168)),ABS(J1168)&gt;K1168),"FAIL","PASS"))</x:f>
        <x:v>OPEN</x:v>
      </x:c>
    </x:row>
    <x:row r="1169">
      <x:c r="B1169" s="7" t="str">
        <x:v>CAL-CH-PEA-B-X3-02-5</x:v>
      </x:c>
      <x:c r="C1169" s="7" t="str">
        <x:v>CH-PEA-B-X3-02-5</x:v>
      </x:c>
      <x:c r="D1169" s="7" t="str">
        <x:v>PEA-B-X3</x:v>
      </x:c>
      <x:c r="E1169" s="7" t="str">
        <x:v>BLD-B</x:v>
      </x:c>
      <x:c r="F1169" s="7" t="str">
        <x:v>BL-X</x:v>
      </x:c>
      <x:c r="G1169" s="7" t="str">
        <x:v>MF-02</x:v>
      </x:c>
      <x:c r="H1169" s="7" t="str"/>
      <x:c r="I1169" s="7" t="str"/>
      <x:c r="J1169" s="7" t="str">
        <x:f>IF(OR(H1169="",I1169=""),"",I1169-H1169)</x:f>
      </x:c>
      <x:c r="K1169" s="7" t="str"/>
      <x:c r="L1169" s="7" t="str"/>
      <x:c r="M1169" s="7" t="str">
        <x:f>IF(L1169="","OPEN",IF(OR(NOT(ISNUMBER(H1169)),NOT(ISNUMBER(I1169)),NOT(ISNUMBER(K1169)),ABS(J1169)&gt;K1169),"FAIL","PASS"))</x:f>
        <x:v>OPEN</x:v>
      </x:c>
    </x:row>
    <x:row r="1170">
      <x:c r="B1170" s="7" t="str">
        <x:v>CAL-CH-PEA-B-X3-02-6</x:v>
      </x:c>
      <x:c r="C1170" s="7" t="str">
        <x:v>CH-PEA-B-X3-02-6</x:v>
      </x:c>
      <x:c r="D1170" s="7" t="str">
        <x:v>PEA-B-X3</x:v>
      </x:c>
      <x:c r="E1170" s="7" t="str">
        <x:v>BLD-B</x:v>
      </x:c>
      <x:c r="F1170" s="7" t="str">
        <x:v>BL-X</x:v>
      </x:c>
      <x:c r="G1170" s="7" t="str">
        <x:v>MF-02</x:v>
      </x:c>
      <x:c r="H1170" s="7" t="str"/>
      <x:c r="I1170" s="7" t="str"/>
      <x:c r="J1170" s="7" t="str">
        <x:f>IF(OR(H1170="",I1170=""),"",I1170-H1170)</x:f>
      </x:c>
      <x:c r="K1170" s="7" t="str"/>
      <x:c r="L1170" s="7" t="str"/>
      <x:c r="M1170" s="7" t="str">
        <x:f>IF(L1170="","OPEN",IF(OR(NOT(ISNUMBER(H1170)),NOT(ISNUMBER(I1170)),NOT(ISNUMBER(K1170)),ABS(J1170)&gt;K1170),"FAIL","PASS"))</x:f>
        <x:v>OPEN</x:v>
      </x:c>
    </x:row>
    <x:row r="1171">
      <x:c r="B1171" s="7" t="str">
        <x:v>CAL-CH-PEA-B-X3-03-1</x:v>
      </x:c>
      <x:c r="C1171" s="7" t="str">
        <x:v>CH-PEA-B-X3-03-1</x:v>
      </x:c>
      <x:c r="D1171" s="7" t="str">
        <x:v>PEA-B-X3</x:v>
      </x:c>
      <x:c r="E1171" s="7" t="str">
        <x:v>BLD-B</x:v>
      </x:c>
      <x:c r="F1171" s="7" t="str">
        <x:v>BL-X</x:v>
      </x:c>
      <x:c r="G1171" s="7" t="str">
        <x:v>MF-03</x:v>
      </x:c>
      <x:c r="H1171" s="7" t="str"/>
      <x:c r="I1171" s="7" t="str"/>
      <x:c r="J1171" s="7" t="str">
        <x:f>IF(OR(H1171="",I1171=""),"",I1171-H1171)</x:f>
      </x:c>
      <x:c r="K1171" s="7" t="str"/>
      <x:c r="L1171" s="7" t="str"/>
      <x:c r="M1171" s="7" t="str">
        <x:f>IF(L1171="","OPEN",IF(OR(NOT(ISNUMBER(H1171)),NOT(ISNUMBER(I1171)),NOT(ISNUMBER(K1171)),ABS(J1171)&gt;K1171),"FAIL","PASS"))</x:f>
        <x:v>OPEN</x:v>
      </x:c>
    </x:row>
    <x:row r="1172">
      <x:c r="B1172" s="7" t="str">
        <x:v>CAL-CH-PEA-B-X3-03-2</x:v>
      </x:c>
      <x:c r="C1172" s="7" t="str">
        <x:v>CH-PEA-B-X3-03-2</x:v>
      </x:c>
      <x:c r="D1172" s="7" t="str">
        <x:v>PEA-B-X3</x:v>
      </x:c>
      <x:c r="E1172" s="7" t="str">
        <x:v>BLD-B</x:v>
      </x:c>
      <x:c r="F1172" s="7" t="str">
        <x:v>BL-X</x:v>
      </x:c>
      <x:c r="G1172" s="7" t="str">
        <x:v>MF-03</x:v>
      </x:c>
      <x:c r="H1172" s="7" t="str"/>
      <x:c r="I1172" s="7" t="str"/>
      <x:c r="J1172" s="7" t="str">
        <x:f>IF(OR(H1172="",I1172=""),"",I1172-H1172)</x:f>
      </x:c>
      <x:c r="K1172" s="7" t="str"/>
      <x:c r="L1172" s="7" t="str"/>
      <x:c r="M1172" s="7" t="str">
        <x:f>IF(L1172="","OPEN",IF(OR(NOT(ISNUMBER(H1172)),NOT(ISNUMBER(I1172)),NOT(ISNUMBER(K1172)),ABS(J1172)&gt;K1172),"FAIL","PASS"))</x:f>
        <x:v>OPEN</x:v>
      </x:c>
    </x:row>
    <x:row r="1173">
      <x:c r="B1173" s="7" t="str">
        <x:v>CAL-CH-PEA-B-X3-03-3</x:v>
      </x:c>
      <x:c r="C1173" s="7" t="str">
        <x:v>CH-PEA-B-X3-03-3</x:v>
      </x:c>
      <x:c r="D1173" s="7" t="str">
        <x:v>PEA-B-X3</x:v>
      </x:c>
      <x:c r="E1173" s="7" t="str">
        <x:v>BLD-B</x:v>
      </x:c>
      <x:c r="F1173" s="7" t="str">
        <x:v>BL-X</x:v>
      </x:c>
      <x:c r="G1173" s="7" t="str">
        <x:v>MF-03</x:v>
      </x:c>
      <x:c r="H1173" s="7" t="str"/>
      <x:c r="I1173" s="7" t="str"/>
      <x:c r="J1173" s="7" t="str">
        <x:f>IF(OR(H1173="",I1173=""),"",I1173-H1173)</x:f>
      </x:c>
      <x:c r="K1173" s="7" t="str"/>
      <x:c r="L1173" s="7" t="str"/>
      <x:c r="M1173" s="7" t="str">
        <x:f>IF(L1173="","OPEN",IF(OR(NOT(ISNUMBER(H1173)),NOT(ISNUMBER(I1173)),NOT(ISNUMBER(K1173)),ABS(J1173)&gt;K1173),"FAIL","PASS"))</x:f>
        <x:v>OPEN</x:v>
      </x:c>
    </x:row>
    <x:row r="1174">
      <x:c r="B1174" s="7" t="str">
        <x:v>CAL-CH-PEA-B-X3-03-4</x:v>
      </x:c>
      <x:c r="C1174" s="7" t="str">
        <x:v>CH-PEA-B-X3-03-4</x:v>
      </x:c>
      <x:c r="D1174" s="7" t="str">
        <x:v>PEA-B-X3</x:v>
      </x:c>
      <x:c r="E1174" s="7" t="str">
        <x:v>BLD-B</x:v>
      </x:c>
      <x:c r="F1174" s="7" t="str">
        <x:v>BL-X</x:v>
      </x:c>
      <x:c r="G1174" s="7" t="str">
        <x:v>MF-03</x:v>
      </x:c>
      <x:c r="H1174" s="7" t="str"/>
      <x:c r="I1174" s="7" t="str"/>
      <x:c r="J1174" s="7" t="str">
        <x:f>IF(OR(H1174="",I1174=""),"",I1174-H1174)</x:f>
      </x:c>
      <x:c r="K1174" s="7" t="str"/>
      <x:c r="L1174" s="7" t="str"/>
      <x:c r="M1174" s="7" t="str">
        <x:f>IF(L1174="","OPEN",IF(OR(NOT(ISNUMBER(H1174)),NOT(ISNUMBER(I1174)),NOT(ISNUMBER(K1174)),ABS(J1174)&gt;K1174),"FAIL","PASS"))</x:f>
        <x:v>OPEN</x:v>
      </x:c>
    </x:row>
    <x:row r="1175">
      <x:c r="B1175" s="7" t="str">
        <x:v>CAL-CH-PEA-B-X3-03-5</x:v>
      </x:c>
      <x:c r="C1175" s="7" t="str">
        <x:v>CH-PEA-B-X3-03-5</x:v>
      </x:c>
      <x:c r="D1175" s="7" t="str">
        <x:v>PEA-B-X3</x:v>
      </x:c>
      <x:c r="E1175" s="7" t="str">
        <x:v>BLD-B</x:v>
      </x:c>
      <x:c r="F1175" s="7" t="str">
        <x:v>BL-X</x:v>
      </x:c>
      <x:c r="G1175" s="7" t="str">
        <x:v>MF-03</x:v>
      </x:c>
      <x:c r="H1175" s="7" t="str"/>
      <x:c r="I1175" s="7" t="str"/>
      <x:c r="J1175" s="7" t="str">
        <x:f>IF(OR(H1175="",I1175=""),"",I1175-H1175)</x:f>
      </x:c>
      <x:c r="K1175" s="7" t="str"/>
      <x:c r="L1175" s="7" t="str"/>
      <x:c r="M1175" s="7" t="str">
        <x:f>IF(L1175="","OPEN",IF(OR(NOT(ISNUMBER(H1175)),NOT(ISNUMBER(I1175)),NOT(ISNUMBER(K1175)),ABS(J1175)&gt;K1175),"FAIL","PASS"))</x:f>
        <x:v>OPEN</x:v>
      </x:c>
    </x:row>
    <x:row r="1176">
      <x:c r="B1176" s="7" t="str">
        <x:v>CAL-CH-PEA-B-X3-03-6</x:v>
      </x:c>
      <x:c r="C1176" s="7" t="str">
        <x:v>CH-PEA-B-X3-03-6</x:v>
      </x:c>
      <x:c r="D1176" s="7" t="str">
        <x:v>PEA-B-X3</x:v>
      </x:c>
      <x:c r="E1176" s="7" t="str">
        <x:v>BLD-B</x:v>
      </x:c>
      <x:c r="F1176" s="7" t="str">
        <x:v>BL-X</x:v>
      </x:c>
      <x:c r="G1176" s="7" t="str">
        <x:v>MF-03</x:v>
      </x:c>
      <x:c r="H1176" s="7" t="str"/>
      <x:c r="I1176" s="7" t="str"/>
      <x:c r="J1176" s="7" t="str">
        <x:f>IF(OR(H1176="",I1176=""),"",I1176-H1176)</x:f>
      </x:c>
      <x:c r="K1176" s="7" t="str"/>
      <x:c r="L1176" s="7" t="str"/>
      <x:c r="M1176" s="7" t="str">
        <x:f>IF(L1176="","OPEN",IF(OR(NOT(ISNUMBER(H1176)),NOT(ISNUMBER(I1176)),NOT(ISNUMBER(K1176)),ABS(J1176)&gt;K1176),"FAIL","PASS"))</x:f>
        <x:v>OPEN</x:v>
      </x:c>
    </x:row>
    <x:row r="1177">
      <x:c r="B1177" s="7" t="str">
        <x:v>CAL-CH-PEA-B-X3-04-1</x:v>
      </x:c>
      <x:c r="C1177" s="7" t="str">
        <x:v>CH-PEA-B-X3-04-1</x:v>
      </x:c>
      <x:c r="D1177" s="7" t="str">
        <x:v>PEA-B-X3</x:v>
      </x:c>
      <x:c r="E1177" s="7" t="str">
        <x:v>BLD-B</x:v>
      </x:c>
      <x:c r="F1177" s="7" t="str">
        <x:v>BL-X</x:v>
      </x:c>
      <x:c r="G1177" s="7" t="str">
        <x:v>MF-04</x:v>
      </x:c>
      <x:c r="H1177" s="7" t="str"/>
      <x:c r="I1177" s="7" t="str"/>
      <x:c r="J1177" s="7" t="str">
        <x:f>IF(OR(H1177="",I1177=""),"",I1177-H1177)</x:f>
      </x:c>
      <x:c r="K1177" s="7" t="str"/>
      <x:c r="L1177" s="7" t="str"/>
      <x:c r="M1177" s="7" t="str">
        <x:f>IF(L1177="","OPEN",IF(OR(NOT(ISNUMBER(H1177)),NOT(ISNUMBER(I1177)),NOT(ISNUMBER(K1177)),ABS(J1177)&gt;K1177),"FAIL","PASS"))</x:f>
        <x:v>OPEN</x:v>
      </x:c>
    </x:row>
    <x:row r="1178">
      <x:c r="B1178" s="7" t="str">
        <x:v>CAL-CH-PEA-B-X3-04-2</x:v>
      </x:c>
      <x:c r="C1178" s="7" t="str">
        <x:v>CH-PEA-B-X3-04-2</x:v>
      </x:c>
      <x:c r="D1178" s="7" t="str">
        <x:v>PEA-B-X3</x:v>
      </x:c>
      <x:c r="E1178" s="7" t="str">
        <x:v>BLD-B</x:v>
      </x:c>
      <x:c r="F1178" s="7" t="str">
        <x:v>BL-X</x:v>
      </x:c>
      <x:c r="G1178" s="7" t="str">
        <x:v>MF-04</x:v>
      </x:c>
      <x:c r="H1178" s="7" t="str"/>
      <x:c r="I1178" s="7" t="str"/>
      <x:c r="J1178" s="7" t="str">
        <x:f>IF(OR(H1178="",I1178=""),"",I1178-H1178)</x:f>
      </x:c>
      <x:c r="K1178" s="7" t="str"/>
      <x:c r="L1178" s="7" t="str"/>
      <x:c r="M1178" s="7" t="str">
        <x:f>IF(L1178="","OPEN",IF(OR(NOT(ISNUMBER(H1178)),NOT(ISNUMBER(I1178)),NOT(ISNUMBER(K1178)),ABS(J1178)&gt;K1178),"FAIL","PASS"))</x:f>
        <x:v>OPEN</x:v>
      </x:c>
    </x:row>
    <x:row r="1179">
      <x:c r="B1179" s="7" t="str">
        <x:v>CAL-CH-PEA-B-X3-04-3</x:v>
      </x:c>
      <x:c r="C1179" s="7" t="str">
        <x:v>CH-PEA-B-X3-04-3</x:v>
      </x:c>
      <x:c r="D1179" s="7" t="str">
        <x:v>PEA-B-X3</x:v>
      </x:c>
      <x:c r="E1179" s="7" t="str">
        <x:v>BLD-B</x:v>
      </x:c>
      <x:c r="F1179" s="7" t="str">
        <x:v>BL-X</x:v>
      </x:c>
      <x:c r="G1179" s="7" t="str">
        <x:v>MF-04</x:v>
      </x:c>
      <x:c r="H1179" s="7" t="str"/>
      <x:c r="I1179" s="7" t="str"/>
      <x:c r="J1179" s="7" t="str">
        <x:f>IF(OR(H1179="",I1179=""),"",I1179-H1179)</x:f>
      </x:c>
      <x:c r="K1179" s="7" t="str"/>
      <x:c r="L1179" s="7" t="str"/>
      <x:c r="M1179" s="7" t="str">
        <x:f>IF(L1179="","OPEN",IF(OR(NOT(ISNUMBER(H1179)),NOT(ISNUMBER(I1179)),NOT(ISNUMBER(K1179)),ABS(J1179)&gt;K1179),"FAIL","PASS"))</x:f>
        <x:v>OPEN</x:v>
      </x:c>
    </x:row>
    <x:row r="1180">
      <x:c r="B1180" s="7" t="str">
        <x:v>CAL-CH-PEA-B-X3-04-4</x:v>
      </x:c>
      <x:c r="C1180" s="7" t="str">
        <x:v>CH-PEA-B-X3-04-4</x:v>
      </x:c>
      <x:c r="D1180" s="7" t="str">
        <x:v>PEA-B-X3</x:v>
      </x:c>
      <x:c r="E1180" s="7" t="str">
        <x:v>BLD-B</x:v>
      </x:c>
      <x:c r="F1180" s="7" t="str">
        <x:v>BL-X</x:v>
      </x:c>
      <x:c r="G1180" s="7" t="str">
        <x:v>MF-04</x:v>
      </x:c>
      <x:c r="H1180" s="7" t="str"/>
      <x:c r="I1180" s="7" t="str"/>
      <x:c r="J1180" s="7" t="str">
        <x:f>IF(OR(H1180="",I1180=""),"",I1180-H1180)</x:f>
      </x:c>
      <x:c r="K1180" s="7" t="str"/>
      <x:c r="L1180" s="7" t="str"/>
      <x:c r="M1180" s="7" t="str">
        <x:f>IF(L1180="","OPEN",IF(OR(NOT(ISNUMBER(H1180)),NOT(ISNUMBER(I1180)),NOT(ISNUMBER(K1180)),ABS(J1180)&gt;K1180),"FAIL","PASS"))</x:f>
        <x:v>OPEN</x:v>
      </x:c>
    </x:row>
    <x:row r="1181">
      <x:c r="B1181" s="7" t="str">
        <x:v>CAL-CH-PEA-B-X3-04-5</x:v>
      </x:c>
      <x:c r="C1181" s="7" t="str">
        <x:v>CH-PEA-B-X3-04-5</x:v>
      </x:c>
      <x:c r="D1181" s="7" t="str">
        <x:v>PEA-B-X3</x:v>
      </x:c>
      <x:c r="E1181" s="7" t="str">
        <x:v>BLD-B</x:v>
      </x:c>
      <x:c r="F1181" s="7" t="str">
        <x:v>BL-X</x:v>
      </x:c>
      <x:c r="G1181" s="7" t="str">
        <x:v>MF-04</x:v>
      </x:c>
      <x:c r="H1181" s="7" t="str"/>
      <x:c r="I1181" s="7" t="str"/>
      <x:c r="J1181" s="7" t="str">
        <x:f>IF(OR(H1181="",I1181=""),"",I1181-H1181)</x:f>
      </x:c>
      <x:c r="K1181" s="7" t="str"/>
      <x:c r="L1181" s="7" t="str"/>
      <x:c r="M1181" s="7" t="str">
        <x:f>IF(L1181="","OPEN",IF(OR(NOT(ISNUMBER(H1181)),NOT(ISNUMBER(I1181)),NOT(ISNUMBER(K1181)),ABS(J1181)&gt;K1181),"FAIL","PASS"))</x:f>
        <x:v>OPEN</x:v>
      </x:c>
    </x:row>
    <x:row r="1182">
      <x:c r="B1182" s="7" t="str">
        <x:v>CAL-CH-PEA-B-X3-04-6</x:v>
      </x:c>
      <x:c r="C1182" s="7" t="str">
        <x:v>CH-PEA-B-X3-04-6</x:v>
      </x:c>
      <x:c r="D1182" s="7" t="str">
        <x:v>PEA-B-X3</x:v>
      </x:c>
      <x:c r="E1182" s="7" t="str">
        <x:v>BLD-B</x:v>
      </x:c>
      <x:c r="F1182" s="7" t="str">
        <x:v>BL-X</x:v>
      </x:c>
      <x:c r="G1182" s="7" t="str">
        <x:v>MF-04</x:v>
      </x:c>
      <x:c r="H1182" s="7" t="str"/>
      <x:c r="I1182" s="7" t="str"/>
      <x:c r="J1182" s="7" t="str">
        <x:f>IF(OR(H1182="",I1182=""),"",I1182-H1182)</x:f>
      </x:c>
      <x:c r="K1182" s="7" t="str"/>
      <x:c r="L1182" s="7" t="str"/>
      <x:c r="M1182" s="7" t="str">
        <x:f>IF(L1182="","OPEN",IF(OR(NOT(ISNUMBER(H1182)),NOT(ISNUMBER(I1182)),NOT(ISNUMBER(K1182)),ABS(J1182)&gt;K1182),"FAIL","PASS"))</x:f>
        <x:v>OPEN</x:v>
      </x:c>
    </x:row>
    <x:row r="1183">
      <x:c r="B1183" s="7" t="str">
        <x:v>CAL-CH-PEA-B-X3-05-1</x:v>
      </x:c>
      <x:c r="C1183" s="7" t="str">
        <x:v>CH-PEA-B-X3-05-1</x:v>
      </x:c>
      <x:c r="D1183" s="7" t="str">
        <x:v>PEA-B-X3</x:v>
      </x:c>
      <x:c r="E1183" s="7" t="str">
        <x:v>BLD-B</x:v>
      </x:c>
      <x:c r="F1183" s="7" t="str">
        <x:v>BL-X</x:v>
      </x:c>
      <x:c r="G1183" s="7" t="str">
        <x:v>MF-05</x:v>
      </x:c>
      <x:c r="H1183" s="7" t="str"/>
      <x:c r="I1183" s="7" t="str"/>
      <x:c r="J1183" s="7" t="str">
        <x:f>IF(OR(H1183="",I1183=""),"",I1183-H1183)</x:f>
      </x:c>
      <x:c r="K1183" s="7" t="str"/>
      <x:c r="L1183" s="7" t="str"/>
      <x:c r="M1183" s="7" t="str">
        <x:f>IF(L1183="","OPEN",IF(OR(NOT(ISNUMBER(H1183)),NOT(ISNUMBER(I1183)),NOT(ISNUMBER(K1183)),ABS(J1183)&gt;K1183),"FAIL","PASS"))</x:f>
        <x:v>OPEN</x:v>
      </x:c>
    </x:row>
    <x:row r="1184">
      <x:c r="B1184" s="7" t="str">
        <x:v>CAL-CH-PEA-B-X3-05-2</x:v>
      </x:c>
      <x:c r="C1184" s="7" t="str">
        <x:v>CH-PEA-B-X3-05-2</x:v>
      </x:c>
      <x:c r="D1184" s="7" t="str">
        <x:v>PEA-B-X3</x:v>
      </x:c>
      <x:c r="E1184" s="7" t="str">
        <x:v>BLD-B</x:v>
      </x:c>
      <x:c r="F1184" s="7" t="str">
        <x:v>BL-X</x:v>
      </x:c>
      <x:c r="G1184" s="7" t="str">
        <x:v>MF-05</x:v>
      </x:c>
      <x:c r="H1184" s="7" t="str"/>
      <x:c r="I1184" s="7" t="str"/>
      <x:c r="J1184" s="7" t="str">
        <x:f>IF(OR(H1184="",I1184=""),"",I1184-H1184)</x:f>
      </x:c>
      <x:c r="K1184" s="7" t="str"/>
      <x:c r="L1184" s="7" t="str"/>
      <x:c r="M1184" s="7" t="str">
        <x:f>IF(L1184="","OPEN",IF(OR(NOT(ISNUMBER(H1184)),NOT(ISNUMBER(I1184)),NOT(ISNUMBER(K1184)),ABS(J1184)&gt;K1184),"FAIL","PASS"))</x:f>
        <x:v>OPEN</x:v>
      </x:c>
    </x:row>
    <x:row r="1185">
      <x:c r="B1185" s="7" t="str">
        <x:v>CAL-CH-PEA-B-X3-05-3</x:v>
      </x:c>
      <x:c r="C1185" s="7" t="str">
        <x:v>CH-PEA-B-X3-05-3</x:v>
      </x:c>
      <x:c r="D1185" s="7" t="str">
        <x:v>PEA-B-X3</x:v>
      </x:c>
      <x:c r="E1185" s="7" t="str">
        <x:v>BLD-B</x:v>
      </x:c>
      <x:c r="F1185" s="7" t="str">
        <x:v>BL-X</x:v>
      </x:c>
      <x:c r="G1185" s="7" t="str">
        <x:v>MF-05</x:v>
      </x:c>
      <x:c r="H1185" s="7" t="str"/>
      <x:c r="I1185" s="7" t="str"/>
      <x:c r="J1185" s="7" t="str">
        <x:f>IF(OR(H1185="",I1185=""),"",I1185-H1185)</x:f>
      </x:c>
      <x:c r="K1185" s="7" t="str"/>
      <x:c r="L1185" s="7" t="str"/>
      <x:c r="M1185" s="7" t="str">
        <x:f>IF(L1185="","OPEN",IF(OR(NOT(ISNUMBER(H1185)),NOT(ISNUMBER(I1185)),NOT(ISNUMBER(K1185)),ABS(J1185)&gt;K1185),"FAIL","PASS"))</x:f>
        <x:v>OPEN</x:v>
      </x:c>
    </x:row>
    <x:row r="1186">
      <x:c r="B1186" s="7" t="str">
        <x:v>CAL-CH-PEA-B-X3-05-4</x:v>
      </x:c>
      <x:c r="C1186" s="7" t="str">
        <x:v>CH-PEA-B-X3-05-4</x:v>
      </x:c>
      <x:c r="D1186" s="7" t="str">
        <x:v>PEA-B-X3</x:v>
      </x:c>
      <x:c r="E1186" s="7" t="str">
        <x:v>BLD-B</x:v>
      </x:c>
      <x:c r="F1186" s="7" t="str">
        <x:v>BL-X</x:v>
      </x:c>
      <x:c r="G1186" s="7" t="str">
        <x:v>MF-05</x:v>
      </x:c>
      <x:c r="H1186" s="7" t="str"/>
      <x:c r="I1186" s="7" t="str"/>
      <x:c r="J1186" s="7" t="str">
        <x:f>IF(OR(H1186="",I1186=""),"",I1186-H1186)</x:f>
      </x:c>
      <x:c r="K1186" s="7" t="str"/>
      <x:c r="L1186" s="7" t="str"/>
      <x:c r="M1186" s="7" t="str">
        <x:f>IF(L1186="","OPEN",IF(OR(NOT(ISNUMBER(H1186)),NOT(ISNUMBER(I1186)),NOT(ISNUMBER(K1186)),ABS(J1186)&gt;K1186),"FAIL","PASS"))</x:f>
        <x:v>OPEN</x:v>
      </x:c>
    </x:row>
    <x:row r="1187">
      <x:c r="B1187" s="7" t="str">
        <x:v>CAL-CH-PEA-B-X3-05-5</x:v>
      </x:c>
      <x:c r="C1187" s="7" t="str">
        <x:v>CH-PEA-B-X3-05-5</x:v>
      </x:c>
      <x:c r="D1187" s="7" t="str">
        <x:v>PEA-B-X3</x:v>
      </x:c>
      <x:c r="E1187" s="7" t="str">
        <x:v>BLD-B</x:v>
      </x:c>
      <x:c r="F1187" s="7" t="str">
        <x:v>BL-X</x:v>
      </x:c>
      <x:c r="G1187" s="7" t="str">
        <x:v>MF-05</x:v>
      </x:c>
      <x:c r="H1187" s="7" t="str"/>
      <x:c r="I1187" s="7" t="str"/>
      <x:c r="J1187" s="7" t="str">
        <x:f>IF(OR(H1187="",I1187=""),"",I1187-H1187)</x:f>
      </x:c>
      <x:c r="K1187" s="7" t="str"/>
      <x:c r="L1187" s="7" t="str"/>
      <x:c r="M1187" s="7" t="str">
        <x:f>IF(L1187="","OPEN",IF(OR(NOT(ISNUMBER(H1187)),NOT(ISNUMBER(I1187)),NOT(ISNUMBER(K1187)),ABS(J1187)&gt;K1187),"FAIL","PASS"))</x:f>
        <x:v>OPEN</x:v>
      </x:c>
    </x:row>
    <x:row r="1188">
      <x:c r="B1188" s="7" t="str">
        <x:v>CAL-CH-PEA-B-X3-05-6</x:v>
      </x:c>
      <x:c r="C1188" s="7" t="str">
        <x:v>CH-PEA-B-X3-05-6</x:v>
      </x:c>
      <x:c r="D1188" s="7" t="str">
        <x:v>PEA-B-X3</x:v>
      </x:c>
      <x:c r="E1188" s="7" t="str">
        <x:v>BLD-B</x:v>
      </x:c>
      <x:c r="F1188" s="7" t="str">
        <x:v>BL-X</x:v>
      </x:c>
      <x:c r="G1188" s="7" t="str">
        <x:v>MF-05</x:v>
      </x:c>
      <x:c r="H1188" s="7" t="str"/>
      <x:c r="I1188" s="7" t="str"/>
      <x:c r="J1188" s="7" t="str">
        <x:f>IF(OR(H1188="",I1188=""),"",I1188-H1188)</x:f>
      </x:c>
      <x:c r="K1188" s="7" t="str"/>
      <x:c r="L1188" s="7" t="str"/>
      <x:c r="M1188" s="7" t="str">
        <x:f>IF(L1188="","OPEN",IF(OR(NOT(ISNUMBER(H1188)),NOT(ISNUMBER(I1188)),NOT(ISNUMBER(K1188)),ABS(J1188)&gt;K1188),"FAIL","PASS"))</x:f>
        <x:v>OPEN</x:v>
      </x:c>
    </x:row>
    <x:row r="1189">
      <x:c r="B1189" s="7" t="str">
        <x:v>CAL-CH-PEA-B-X3-06-1</x:v>
      </x:c>
      <x:c r="C1189" s="7" t="str">
        <x:v>CH-PEA-B-X3-06-1</x:v>
      </x:c>
      <x:c r="D1189" s="7" t="str">
        <x:v>PEA-B-X3</x:v>
      </x:c>
      <x:c r="E1189" s="7" t="str">
        <x:v>BLD-B</x:v>
      </x:c>
      <x:c r="F1189" s="7" t="str">
        <x:v>BL-X</x:v>
      </x:c>
      <x:c r="G1189" s="7" t="str">
        <x:v>MF-06</x:v>
      </x:c>
      <x:c r="H1189" s="7" t="str"/>
      <x:c r="I1189" s="7" t="str"/>
      <x:c r="J1189" s="7" t="str">
        <x:f>IF(OR(H1189="",I1189=""),"",I1189-H1189)</x:f>
      </x:c>
      <x:c r="K1189" s="7" t="str"/>
      <x:c r="L1189" s="7" t="str"/>
      <x:c r="M1189" s="7" t="str">
        <x:f>IF(L1189="","OPEN",IF(OR(NOT(ISNUMBER(H1189)),NOT(ISNUMBER(I1189)),NOT(ISNUMBER(K1189)),ABS(J1189)&gt;K1189),"FAIL","PASS"))</x:f>
        <x:v>OPEN</x:v>
      </x:c>
    </x:row>
    <x:row r="1190">
      <x:c r="B1190" s="7" t="str">
        <x:v>CAL-CH-PEA-B-X3-06-2</x:v>
      </x:c>
      <x:c r="C1190" s="7" t="str">
        <x:v>CH-PEA-B-X3-06-2</x:v>
      </x:c>
      <x:c r="D1190" s="7" t="str">
        <x:v>PEA-B-X3</x:v>
      </x:c>
      <x:c r="E1190" s="7" t="str">
        <x:v>BLD-B</x:v>
      </x:c>
      <x:c r="F1190" s="7" t="str">
        <x:v>BL-X</x:v>
      </x:c>
      <x:c r="G1190" s="7" t="str">
        <x:v>MF-06</x:v>
      </x:c>
      <x:c r="H1190" s="7" t="str"/>
      <x:c r="I1190" s="7" t="str"/>
      <x:c r="J1190" s="7" t="str">
        <x:f>IF(OR(H1190="",I1190=""),"",I1190-H1190)</x:f>
      </x:c>
      <x:c r="K1190" s="7" t="str"/>
      <x:c r="L1190" s="7" t="str"/>
      <x:c r="M1190" s="7" t="str">
        <x:f>IF(L1190="","OPEN",IF(OR(NOT(ISNUMBER(H1190)),NOT(ISNUMBER(I1190)),NOT(ISNUMBER(K1190)),ABS(J1190)&gt;K1190),"FAIL","PASS"))</x:f>
        <x:v>OPEN</x:v>
      </x:c>
    </x:row>
    <x:row r="1191">
      <x:c r="B1191" s="7" t="str">
        <x:v>CAL-CH-PEA-B-X3-06-3</x:v>
      </x:c>
      <x:c r="C1191" s="7" t="str">
        <x:v>CH-PEA-B-X3-06-3</x:v>
      </x:c>
      <x:c r="D1191" s="7" t="str">
        <x:v>PEA-B-X3</x:v>
      </x:c>
      <x:c r="E1191" s="7" t="str">
        <x:v>BLD-B</x:v>
      </x:c>
      <x:c r="F1191" s="7" t="str">
        <x:v>BL-X</x:v>
      </x:c>
      <x:c r="G1191" s="7" t="str">
        <x:v>MF-06</x:v>
      </x:c>
      <x:c r="H1191" s="7" t="str"/>
      <x:c r="I1191" s="7" t="str"/>
      <x:c r="J1191" s="7" t="str">
        <x:f>IF(OR(H1191="",I1191=""),"",I1191-H1191)</x:f>
      </x:c>
      <x:c r="K1191" s="7" t="str"/>
      <x:c r="L1191" s="7" t="str"/>
      <x:c r="M1191" s="7" t="str">
        <x:f>IF(L1191="","OPEN",IF(OR(NOT(ISNUMBER(H1191)),NOT(ISNUMBER(I1191)),NOT(ISNUMBER(K1191)),ABS(J1191)&gt;K1191),"FAIL","PASS"))</x:f>
        <x:v>OPEN</x:v>
      </x:c>
    </x:row>
    <x:row r="1192">
      <x:c r="B1192" s="7" t="str">
        <x:v>CAL-CH-PEA-B-X3-06-4</x:v>
      </x:c>
      <x:c r="C1192" s="7" t="str">
        <x:v>CH-PEA-B-X3-06-4</x:v>
      </x:c>
      <x:c r="D1192" s="7" t="str">
        <x:v>PEA-B-X3</x:v>
      </x:c>
      <x:c r="E1192" s="7" t="str">
        <x:v>BLD-B</x:v>
      </x:c>
      <x:c r="F1192" s="7" t="str">
        <x:v>BL-X</x:v>
      </x:c>
      <x:c r="G1192" s="7" t="str">
        <x:v>MF-06</x:v>
      </x:c>
      <x:c r="H1192" s="7" t="str"/>
      <x:c r="I1192" s="7" t="str"/>
      <x:c r="J1192" s="7" t="str">
        <x:f>IF(OR(H1192="",I1192=""),"",I1192-H1192)</x:f>
      </x:c>
      <x:c r="K1192" s="7" t="str"/>
      <x:c r="L1192" s="7" t="str"/>
      <x:c r="M1192" s="7" t="str">
        <x:f>IF(L1192="","OPEN",IF(OR(NOT(ISNUMBER(H1192)),NOT(ISNUMBER(I1192)),NOT(ISNUMBER(K1192)),ABS(J1192)&gt;K1192),"FAIL","PASS"))</x:f>
        <x:v>OPEN</x:v>
      </x:c>
    </x:row>
    <x:row r="1193">
      <x:c r="B1193" s="7" t="str">
        <x:v>CAL-CH-PEA-B-X3-06-5</x:v>
      </x:c>
      <x:c r="C1193" s="7" t="str">
        <x:v>CH-PEA-B-X3-06-5</x:v>
      </x:c>
      <x:c r="D1193" s="7" t="str">
        <x:v>PEA-B-X3</x:v>
      </x:c>
      <x:c r="E1193" s="7" t="str">
        <x:v>BLD-B</x:v>
      </x:c>
      <x:c r="F1193" s="7" t="str">
        <x:v>BL-X</x:v>
      </x:c>
      <x:c r="G1193" s="7" t="str">
        <x:v>MF-06</x:v>
      </x:c>
      <x:c r="H1193" s="7" t="str"/>
      <x:c r="I1193" s="7" t="str"/>
      <x:c r="J1193" s="7" t="str">
        <x:f>IF(OR(H1193="",I1193=""),"",I1193-H1193)</x:f>
      </x:c>
      <x:c r="K1193" s="7" t="str"/>
      <x:c r="L1193" s="7" t="str"/>
      <x:c r="M1193" s="7" t="str">
        <x:f>IF(L1193="","OPEN",IF(OR(NOT(ISNUMBER(H1193)),NOT(ISNUMBER(I1193)),NOT(ISNUMBER(K1193)),ABS(J1193)&gt;K1193),"FAIL","PASS"))</x:f>
        <x:v>OPEN</x:v>
      </x:c>
    </x:row>
    <x:row r="1194">
      <x:c r="B1194" s="7" t="str">
        <x:v>CAL-CH-PEA-B-X3-06-6</x:v>
      </x:c>
      <x:c r="C1194" s="7" t="str">
        <x:v>CH-PEA-B-X3-06-6</x:v>
      </x:c>
      <x:c r="D1194" s="7" t="str">
        <x:v>PEA-B-X3</x:v>
      </x:c>
      <x:c r="E1194" s="7" t="str">
        <x:v>BLD-B</x:v>
      </x:c>
      <x:c r="F1194" s="7" t="str">
        <x:v>BL-X</x:v>
      </x:c>
      <x:c r="G1194" s="7" t="str">
        <x:v>MF-06</x:v>
      </x:c>
      <x:c r="H1194" s="7" t="str"/>
      <x:c r="I1194" s="7" t="str"/>
      <x:c r="J1194" s="7" t="str">
        <x:f>IF(OR(H1194="",I1194=""),"",I1194-H1194)</x:f>
      </x:c>
      <x:c r="K1194" s="7" t="str"/>
      <x:c r="L1194" s="7" t="str"/>
      <x:c r="M1194" s="7" t="str">
        <x:f>IF(L1194="","OPEN",IF(OR(NOT(ISNUMBER(H1194)),NOT(ISNUMBER(I1194)),NOT(ISNUMBER(K1194)),ABS(J1194)&gt;K1194),"FAIL","PASS"))</x:f>
        <x:v>OPEN</x:v>
      </x:c>
    </x:row>
    <x:row r="1195">
      <x:c r="B1195" s="7" t="str">
        <x:v>CAL-CH-PEA-B-X3-07-1</x:v>
      </x:c>
      <x:c r="C1195" s="7" t="str">
        <x:v>CH-PEA-B-X3-07-1</x:v>
      </x:c>
      <x:c r="D1195" s="7" t="str">
        <x:v>PEA-B-X3</x:v>
      </x:c>
      <x:c r="E1195" s="7" t="str">
        <x:v>BLD-B</x:v>
      </x:c>
      <x:c r="F1195" s="7" t="str">
        <x:v>BL-X</x:v>
      </x:c>
      <x:c r="G1195" s="7" t="str">
        <x:v>MF-07</x:v>
      </x:c>
      <x:c r="H1195" s="7" t="str"/>
      <x:c r="I1195" s="7" t="str"/>
      <x:c r="J1195" s="7" t="str">
        <x:f>IF(OR(H1195="",I1195=""),"",I1195-H1195)</x:f>
      </x:c>
      <x:c r="K1195" s="7" t="str"/>
      <x:c r="L1195" s="7" t="str"/>
      <x:c r="M1195" s="7" t="str">
        <x:f>IF(L1195="","OPEN",IF(OR(NOT(ISNUMBER(H1195)),NOT(ISNUMBER(I1195)),NOT(ISNUMBER(K1195)),ABS(J1195)&gt;K1195),"FAIL","PASS"))</x:f>
        <x:v>OPEN</x:v>
      </x:c>
    </x:row>
    <x:row r="1196">
      <x:c r="B1196" s="7" t="str">
        <x:v>CAL-CH-PEA-B-X3-07-2</x:v>
      </x:c>
      <x:c r="C1196" s="7" t="str">
        <x:v>CH-PEA-B-X3-07-2</x:v>
      </x:c>
      <x:c r="D1196" s="7" t="str">
        <x:v>PEA-B-X3</x:v>
      </x:c>
      <x:c r="E1196" s="7" t="str">
        <x:v>BLD-B</x:v>
      </x:c>
      <x:c r="F1196" s="7" t="str">
        <x:v>BL-X</x:v>
      </x:c>
      <x:c r="G1196" s="7" t="str">
        <x:v>MF-07</x:v>
      </x:c>
      <x:c r="H1196" s="7" t="str"/>
      <x:c r="I1196" s="7" t="str"/>
      <x:c r="J1196" s="7" t="str">
        <x:f>IF(OR(H1196="",I1196=""),"",I1196-H1196)</x:f>
      </x:c>
      <x:c r="K1196" s="7" t="str"/>
      <x:c r="L1196" s="7" t="str"/>
      <x:c r="M1196" s="7" t="str">
        <x:f>IF(L1196="","OPEN",IF(OR(NOT(ISNUMBER(H1196)),NOT(ISNUMBER(I1196)),NOT(ISNUMBER(K1196)),ABS(J1196)&gt;K1196),"FAIL","PASS"))</x:f>
        <x:v>OPEN</x:v>
      </x:c>
    </x:row>
    <x:row r="1197">
      <x:c r="B1197" s="7" t="str">
        <x:v>CAL-CH-PEA-B-X3-07-3</x:v>
      </x:c>
      <x:c r="C1197" s="7" t="str">
        <x:v>CH-PEA-B-X3-07-3</x:v>
      </x:c>
      <x:c r="D1197" s="7" t="str">
        <x:v>PEA-B-X3</x:v>
      </x:c>
      <x:c r="E1197" s="7" t="str">
        <x:v>BLD-B</x:v>
      </x:c>
      <x:c r="F1197" s="7" t="str">
        <x:v>BL-X</x:v>
      </x:c>
      <x:c r="G1197" s="7" t="str">
        <x:v>MF-07</x:v>
      </x:c>
      <x:c r="H1197" s="7" t="str"/>
      <x:c r="I1197" s="7" t="str"/>
      <x:c r="J1197" s="7" t="str">
        <x:f>IF(OR(H1197="",I1197=""),"",I1197-H1197)</x:f>
      </x:c>
      <x:c r="K1197" s="7" t="str"/>
      <x:c r="L1197" s="7" t="str"/>
      <x:c r="M1197" s="7" t="str">
        <x:f>IF(L1197="","OPEN",IF(OR(NOT(ISNUMBER(H1197)),NOT(ISNUMBER(I1197)),NOT(ISNUMBER(K1197)),ABS(J1197)&gt;K1197),"FAIL","PASS"))</x:f>
        <x:v>OPEN</x:v>
      </x:c>
    </x:row>
    <x:row r="1198">
      <x:c r="B1198" s="7" t="str">
        <x:v>CAL-CH-PEA-B-X3-07-4</x:v>
      </x:c>
      <x:c r="C1198" s="7" t="str">
        <x:v>CH-PEA-B-X3-07-4</x:v>
      </x:c>
      <x:c r="D1198" s="7" t="str">
        <x:v>PEA-B-X3</x:v>
      </x:c>
      <x:c r="E1198" s="7" t="str">
        <x:v>BLD-B</x:v>
      </x:c>
      <x:c r="F1198" s="7" t="str">
        <x:v>BL-X</x:v>
      </x:c>
      <x:c r="G1198" s="7" t="str">
        <x:v>MF-07</x:v>
      </x:c>
      <x:c r="H1198" s="7" t="str"/>
      <x:c r="I1198" s="7" t="str"/>
      <x:c r="J1198" s="7" t="str">
        <x:f>IF(OR(H1198="",I1198=""),"",I1198-H1198)</x:f>
      </x:c>
      <x:c r="K1198" s="7" t="str"/>
      <x:c r="L1198" s="7" t="str"/>
      <x:c r="M1198" s="7" t="str">
        <x:f>IF(L1198="","OPEN",IF(OR(NOT(ISNUMBER(H1198)),NOT(ISNUMBER(I1198)),NOT(ISNUMBER(K1198)),ABS(J1198)&gt;K1198),"FAIL","PASS"))</x:f>
        <x:v>OPEN</x:v>
      </x:c>
    </x:row>
    <x:row r="1199">
      <x:c r="B1199" s="7" t="str">
        <x:v>CAL-CH-PEA-B-X3-07-5</x:v>
      </x:c>
      <x:c r="C1199" s="7" t="str">
        <x:v>CH-PEA-B-X3-07-5</x:v>
      </x:c>
      <x:c r="D1199" s="7" t="str">
        <x:v>PEA-B-X3</x:v>
      </x:c>
      <x:c r="E1199" s="7" t="str">
        <x:v>BLD-B</x:v>
      </x:c>
      <x:c r="F1199" s="7" t="str">
        <x:v>BL-X</x:v>
      </x:c>
      <x:c r="G1199" s="7" t="str">
        <x:v>MF-07</x:v>
      </x:c>
      <x:c r="H1199" s="7" t="str"/>
      <x:c r="I1199" s="7" t="str"/>
      <x:c r="J1199" s="7" t="str">
        <x:f>IF(OR(H1199="",I1199=""),"",I1199-H1199)</x:f>
      </x:c>
      <x:c r="K1199" s="7" t="str"/>
      <x:c r="L1199" s="7" t="str"/>
      <x:c r="M1199" s="7" t="str">
        <x:f>IF(L1199="","OPEN",IF(OR(NOT(ISNUMBER(H1199)),NOT(ISNUMBER(I1199)),NOT(ISNUMBER(K1199)),ABS(J1199)&gt;K1199),"FAIL","PASS"))</x:f>
        <x:v>OPEN</x:v>
      </x:c>
    </x:row>
    <x:row r="1200">
      <x:c r="B1200" s="7" t="str">
        <x:v>CAL-CH-PEA-B-X3-07-6</x:v>
      </x:c>
      <x:c r="C1200" s="7" t="str">
        <x:v>CH-PEA-B-X3-07-6</x:v>
      </x:c>
      <x:c r="D1200" s="7" t="str">
        <x:v>PEA-B-X3</x:v>
      </x:c>
      <x:c r="E1200" s="7" t="str">
        <x:v>BLD-B</x:v>
      </x:c>
      <x:c r="F1200" s="7" t="str">
        <x:v>BL-X</x:v>
      </x:c>
      <x:c r="G1200" s="7" t="str">
        <x:v>MF-07</x:v>
      </x:c>
      <x:c r="H1200" s="7" t="str"/>
      <x:c r="I1200" s="7" t="str"/>
      <x:c r="J1200" s="7" t="str">
        <x:f>IF(OR(H1200="",I1200=""),"",I1200-H1200)</x:f>
      </x:c>
      <x:c r="K1200" s="7" t="str"/>
      <x:c r="L1200" s="7" t="str"/>
      <x:c r="M1200" s="7" t="str">
        <x:f>IF(L1200="","OPEN",IF(OR(NOT(ISNUMBER(H1200)),NOT(ISNUMBER(I1200)),NOT(ISNUMBER(K1200)),ABS(J1200)&gt;K1200),"FAIL","PASS"))</x:f>
        <x:v>OPEN</x:v>
      </x:c>
    </x:row>
    <x:row r="1201">
      <x:c r="B1201" s="7" t="str">
        <x:v>CAL-CH-PEA-B-X3-08-1</x:v>
      </x:c>
      <x:c r="C1201" s="7" t="str">
        <x:v>CH-PEA-B-X3-08-1</x:v>
      </x:c>
      <x:c r="D1201" s="7" t="str">
        <x:v>PEA-B-X3</x:v>
      </x:c>
      <x:c r="E1201" s="7" t="str">
        <x:v>BLD-B</x:v>
      </x:c>
      <x:c r="F1201" s="7" t="str">
        <x:v>BL-X</x:v>
      </x:c>
      <x:c r="G1201" s="7" t="str">
        <x:v>MF-08</x:v>
      </x:c>
      <x:c r="H1201" s="7" t="str"/>
      <x:c r="I1201" s="7" t="str"/>
      <x:c r="J1201" s="7" t="str">
        <x:f>IF(OR(H1201="",I1201=""),"",I1201-H1201)</x:f>
      </x:c>
      <x:c r="K1201" s="7" t="str"/>
      <x:c r="L1201" s="7" t="str"/>
      <x:c r="M1201" s="7" t="str">
        <x:f>IF(L1201="","OPEN",IF(OR(NOT(ISNUMBER(H1201)),NOT(ISNUMBER(I1201)),NOT(ISNUMBER(K1201)),ABS(J1201)&gt;K1201),"FAIL","PASS"))</x:f>
        <x:v>OPEN</x:v>
      </x:c>
    </x:row>
    <x:row r="1202">
      <x:c r="B1202" s="7" t="str">
        <x:v>CAL-CH-PEA-B-X3-08-2</x:v>
      </x:c>
      <x:c r="C1202" s="7" t="str">
        <x:v>CH-PEA-B-X3-08-2</x:v>
      </x:c>
      <x:c r="D1202" s="7" t="str">
        <x:v>PEA-B-X3</x:v>
      </x:c>
      <x:c r="E1202" s="7" t="str">
        <x:v>BLD-B</x:v>
      </x:c>
      <x:c r="F1202" s="7" t="str">
        <x:v>BL-X</x:v>
      </x:c>
      <x:c r="G1202" s="7" t="str">
        <x:v>MF-08</x:v>
      </x:c>
      <x:c r="H1202" s="7" t="str"/>
      <x:c r="I1202" s="7" t="str"/>
      <x:c r="J1202" s="7" t="str">
        <x:f>IF(OR(H1202="",I1202=""),"",I1202-H1202)</x:f>
      </x:c>
      <x:c r="K1202" s="7" t="str"/>
      <x:c r="L1202" s="7" t="str"/>
      <x:c r="M1202" s="7" t="str">
        <x:f>IF(L1202="","OPEN",IF(OR(NOT(ISNUMBER(H1202)),NOT(ISNUMBER(I1202)),NOT(ISNUMBER(K1202)),ABS(J1202)&gt;K1202),"FAIL","PASS"))</x:f>
        <x:v>OPEN</x:v>
      </x:c>
    </x:row>
    <x:row r="1203">
      <x:c r="B1203" s="7" t="str">
        <x:v>CAL-CH-PEA-B-X3-08-3</x:v>
      </x:c>
      <x:c r="C1203" s="7" t="str">
        <x:v>CH-PEA-B-X3-08-3</x:v>
      </x:c>
      <x:c r="D1203" s="7" t="str">
        <x:v>PEA-B-X3</x:v>
      </x:c>
      <x:c r="E1203" s="7" t="str">
        <x:v>BLD-B</x:v>
      </x:c>
      <x:c r="F1203" s="7" t="str">
        <x:v>BL-X</x:v>
      </x:c>
      <x:c r="G1203" s="7" t="str">
        <x:v>MF-08</x:v>
      </x:c>
      <x:c r="H1203" s="7" t="str"/>
      <x:c r="I1203" s="7" t="str"/>
      <x:c r="J1203" s="7" t="str">
        <x:f>IF(OR(H1203="",I1203=""),"",I1203-H1203)</x:f>
      </x:c>
      <x:c r="K1203" s="7" t="str"/>
      <x:c r="L1203" s="7" t="str"/>
      <x:c r="M1203" s="7" t="str">
        <x:f>IF(L1203="","OPEN",IF(OR(NOT(ISNUMBER(H1203)),NOT(ISNUMBER(I1203)),NOT(ISNUMBER(K1203)),ABS(J1203)&gt;K1203),"FAIL","PASS"))</x:f>
        <x:v>OPEN</x:v>
      </x:c>
    </x:row>
    <x:row r="1204">
      <x:c r="B1204" s="7" t="str">
        <x:v>CAL-CH-PEA-B-X3-08-4</x:v>
      </x:c>
      <x:c r="C1204" s="7" t="str">
        <x:v>CH-PEA-B-X3-08-4</x:v>
      </x:c>
      <x:c r="D1204" s="7" t="str">
        <x:v>PEA-B-X3</x:v>
      </x:c>
      <x:c r="E1204" s="7" t="str">
        <x:v>BLD-B</x:v>
      </x:c>
      <x:c r="F1204" s="7" t="str">
        <x:v>BL-X</x:v>
      </x:c>
      <x:c r="G1204" s="7" t="str">
        <x:v>MF-08</x:v>
      </x:c>
      <x:c r="H1204" s="7" t="str"/>
      <x:c r="I1204" s="7" t="str"/>
      <x:c r="J1204" s="7" t="str">
        <x:f>IF(OR(H1204="",I1204=""),"",I1204-H1204)</x:f>
      </x:c>
      <x:c r="K1204" s="7" t="str"/>
      <x:c r="L1204" s="7" t="str"/>
      <x:c r="M1204" s="7" t="str">
        <x:f>IF(L1204="","OPEN",IF(OR(NOT(ISNUMBER(H1204)),NOT(ISNUMBER(I1204)),NOT(ISNUMBER(K1204)),ABS(J1204)&gt;K1204),"FAIL","PASS"))</x:f>
        <x:v>OPEN</x:v>
      </x:c>
    </x:row>
    <x:row r="1205">
      <x:c r="B1205" s="7" t="str">
        <x:v>CAL-CH-PEA-B-X3-08-5</x:v>
      </x:c>
      <x:c r="C1205" s="7" t="str">
        <x:v>CH-PEA-B-X3-08-5</x:v>
      </x:c>
      <x:c r="D1205" s="7" t="str">
        <x:v>PEA-B-X3</x:v>
      </x:c>
      <x:c r="E1205" s="7" t="str">
        <x:v>BLD-B</x:v>
      </x:c>
      <x:c r="F1205" s="7" t="str">
        <x:v>BL-X</x:v>
      </x:c>
      <x:c r="G1205" s="7" t="str">
        <x:v>MF-08</x:v>
      </x:c>
      <x:c r="H1205" s="7" t="str"/>
      <x:c r="I1205" s="7" t="str"/>
      <x:c r="J1205" s="7" t="str">
        <x:f>IF(OR(H1205="",I1205=""),"",I1205-H1205)</x:f>
      </x:c>
      <x:c r="K1205" s="7" t="str"/>
      <x:c r="L1205" s="7" t="str"/>
      <x:c r="M1205" s="7" t="str">
        <x:f>IF(L1205="","OPEN",IF(OR(NOT(ISNUMBER(H1205)),NOT(ISNUMBER(I1205)),NOT(ISNUMBER(K1205)),ABS(J1205)&gt;K1205),"FAIL","PASS"))</x:f>
        <x:v>OPEN</x:v>
      </x:c>
    </x:row>
    <x:row r="1206">
      <x:c r="B1206" s="7" t="str">
        <x:v>CAL-CH-PEA-B-X3-08-6</x:v>
      </x:c>
      <x:c r="C1206" s="7" t="str">
        <x:v>CH-PEA-B-X3-08-6</x:v>
      </x:c>
      <x:c r="D1206" s="7" t="str">
        <x:v>PEA-B-X3</x:v>
      </x:c>
      <x:c r="E1206" s="7" t="str">
        <x:v>BLD-B</x:v>
      </x:c>
      <x:c r="F1206" s="7" t="str">
        <x:v>BL-X</x:v>
      </x:c>
      <x:c r="G1206" s="7" t="str">
        <x:v>MF-08</x:v>
      </x:c>
      <x:c r="H1206" s="7" t="str"/>
      <x:c r="I1206" s="7" t="str"/>
      <x:c r="J1206" s="7" t="str">
        <x:f>IF(OR(H1206="",I1206=""),"",I1206-H1206)</x:f>
      </x:c>
      <x:c r="K1206" s="7" t="str"/>
      <x:c r="L1206" s="7" t="str"/>
      <x:c r="M1206" s="7" t="str">
        <x:f>IF(L1206="","OPEN",IF(OR(NOT(ISNUMBER(H1206)),NOT(ISNUMBER(I1206)),NOT(ISNUMBER(K1206)),ABS(J1206)&gt;K1206),"FAIL","PASS"))</x:f>
        <x:v>OPEN</x:v>
      </x:c>
    </x:row>
    <x:row r="1207">
      <x:c r="B1207" s="7" t="str">
        <x:v>CAL-CH-PEA-B-X3-09-1</x:v>
      </x:c>
      <x:c r="C1207" s="7" t="str">
        <x:v>CH-PEA-B-X3-09-1</x:v>
      </x:c>
      <x:c r="D1207" s="7" t="str">
        <x:v>PEA-B-X3</x:v>
      </x:c>
      <x:c r="E1207" s="7" t="str">
        <x:v>BLD-B</x:v>
      </x:c>
      <x:c r="F1207" s="7" t="str">
        <x:v>BL-X</x:v>
      </x:c>
      <x:c r="G1207" s="7" t="str">
        <x:v>MF-09</x:v>
      </x:c>
      <x:c r="H1207" s="7" t="str"/>
      <x:c r="I1207" s="7" t="str"/>
      <x:c r="J1207" s="7" t="str">
        <x:f>IF(OR(H1207="",I1207=""),"",I1207-H1207)</x:f>
      </x:c>
      <x:c r="K1207" s="7" t="str"/>
      <x:c r="L1207" s="7" t="str"/>
      <x:c r="M1207" s="7" t="str">
        <x:f>IF(L1207="","OPEN",IF(OR(NOT(ISNUMBER(H1207)),NOT(ISNUMBER(I1207)),NOT(ISNUMBER(K1207)),ABS(J1207)&gt;K1207),"FAIL","PASS"))</x:f>
        <x:v>OPEN</x:v>
      </x:c>
    </x:row>
    <x:row r="1208">
      <x:c r="B1208" s="7" t="str">
        <x:v>CAL-CH-PEA-B-X3-09-2</x:v>
      </x:c>
      <x:c r="C1208" s="7" t="str">
        <x:v>CH-PEA-B-X3-09-2</x:v>
      </x:c>
      <x:c r="D1208" s="7" t="str">
        <x:v>PEA-B-X3</x:v>
      </x:c>
      <x:c r="E1208" s="7" t="str">
        <x:v>BLD-B</x:v>
      </x:c>
      <x:c r="F1208" s="7" t="str">
        <x:v>BL-X</x:v>
      </x:c>
      <x:c r="G1208" s="7" t="str">
        <x:v>MF-09</x:v>
      </x:c>
      <x:c r="H1208" s="7" t="str"/>
      <x:c r="I1208" s="7" t="str"/>
      <x:c r="J1208" s="7" t="str">
        <x:f>IF(OR(H1208="",I1208=""),"",I1208-H1208)</x:f>
      </x:c>
      <x:c r="K1208" s="7" t="str"/>
      <x:c r="L1208" s="7" t="str"/>
      <x:c r="M1208" s="7" t="str">
        <x:f>IF(L1208="","OPEN",IF(OR(NOT(ISNUMBER(H1208)),NOT(ISNUMBER(I1208)),NOT(ISNUMBER(K1208)),ABS(J1208)&gt;K1208),"FAIL","PASS"))</x:f>
        <x:v>OPEN</x:v>
      </x:c>
    </x:row>
    <x:row r="1209">
      <x:c r="B1209" s="7" t="str">
        <x:v>CAL-CH-PEA-B-X3-09-3</x:v>
      </x:c>
      <x:c r="C1209" s="7" t="str">
        <x:v>CH-PEA-B-X3-09-3</x:v>
      </x:c>
      <x:c r="D1209" s="7" t="str">
        <x:v>PEA-B-X3</x:v>
      </x:c>
      <x:c r="E1209" s="7" t="str">
        <x:v>BLD-B</x:v>
      </x:c>
      <x:c r="F1209" s="7" t="str">
        <x:v>BL-X</x:v>
      </x:c>
      <x:c r="G1209" s="7" t="str">
        <x:v>MF-09</x:v>
      </x:c>
      <x:c r="H1209" s="7" t="str"/>
      <x:c r="I1209" s="7" t="str"/>
      <x:c r="J1209" s="7" t="str">
        <x:f>IF(OR(H1209="",I1209=""),"",I1209-H1209)</x:f>
      </x:c>
      <x:c r="K1209" s="7" t="str"/>
      <x:c r="L1209" s="7" t="str"/>
      <x:c r="M1209" s="7" t="str">
        <x:f>IF(L1209="","OPEN",IF(OR(NOT(ISNUMBER(H1209)),NOT(ISNUMBER(I1209)),NOT(ISNUMBER(K1209)),ABS(J1209)&gt;K1209),"FAIL","PASS"))</x:f>
        <x:v>OPEN</x:v>
      </x:c>
    </x:row>
    <x:row r="1210">
      <x:c r="B1210" s="7" t="str">
        <x:v>CAL-CH-PEA-B-X3-09-4</x:v>
      </x:c>
      <x:c r="C1210" s="7" t="str">
        <x:v>CH-PEA-B-X3-09-4</x:v>
      </x:c>
      <x:c r="D1210" s="7" t="str">
        <x:v>PEA-B-X3</x:v>
      </x:c>
      <x:c r="E1210" s="7" t="str">
        <x:v>BLD-B</x:v>
      </x:c>
      <x:c r="F1210" s="7" t="str">
        <x:v>BL-X</x:v>
      </x:c>
      <x:c r="G1210" s="7" t="str">
        <x:v>MF-09</x:v>
      </x:c>
      <x:c r="H1210" s="7" t="str"/>
      <x:c r="I1210" s="7" t="str"/>
      <x:c r="J1210" s="7" t="str">
        <x:f>IF(OR(H1210="",I1210=""),"",I1210-H1210)</x:f>
      </x:c>
      <x:c r="K1210" s="7" t="str"/>
      <x:c r="L1210" s="7" t="str"/>
      <x:c r="M1210" s="7" t="str">
        <x:f>IF(L1210="","OPEN",IF(OR(NOT(ISNUMBER(H1210)),NOT(ISNUMBER(I1210)),NOT(ISNUMBER(K1210)),ABS(J1210)&gt;K1210),"FAIL","PASS"))</x:f>
        <x:v>OPEN</x:v>
      </x:c>
    </x:row>
    <x:row r="1211">
      <x:c r="B1211" s="7" t="str">
        <x:v>CAL-CH-PEA-B-X3-09-5</x:v>
      </x:c>
      <x:c r="C1211" s="7" t="str">
        <x:v>CH-PEA-B-X3-09-5</x:v>
      </x:c>
      <x:c r="D1211" s="7" t="str">
        <x:v>PEA-B-X3</x:v>
      </x:c>
      <x:c r="E1211" s="7" t="str">
        <x:v>BLD-B</x:v>
      </x:c>
      <x:c r="F1211" s="7" t="str">
        <x:v>BL-X</x:v>
      </x:c>
      <x:c r="G1211" s="7" t="str">
        <x:v>MF-09</x:v>
      </x:c>
      <x:c r="H1211" s="7" t="str"/>
      <x:c r="I1211" s="7" t="str"/>
      <x:c r="J1211" s="7" t="str">
        <x:f>IF(OR(H1211="",I1211=""),"",I1211-H1211)</x:f>
      </x:c>
      <x:c r="K1211" s="7" t="str"/>
      <x:c r="L1211" s="7" t="str"/>
      <x:c r="M1211" s="7" t="str">
        <x:f>IF(L1211="","OPEN",IF(OR(NOT(ISNUMBER(H1211)),NOT(ISNUMBER(I1211)),NOT(ISNUMBER(K1211)),ABS(J1211)&gt;K1211),"FAIL","PASS"))</x:f>
        <x:v>OPEN</x:v>
      </x:c>
    </x:row>
    <x:row r="1212">
      <x:c r="B1212" s="7" t="str">
        <x:v>CAL-CH-PEA-B-X3-09-6</x:v>
      </x:c>
      <x:c r="C1212" s="7" t="str">
        <x:v>CH-PEA-B-X3-09-6</x:v>
      </x:c>
      <x:c r="D1212" s="7" t="str">
        <x:v>PEA-B-X3</x:v>
      </x:c>
      <x:c r="E1212" s="7" t="str">
        <x:v>BLD-B</x:v>
      </x:c>
      <x:c r="F1212" s="7" t="str">
        <x:v>BL-X</x:v>
      </x:c>
      <x:c r="G1212" s="7" t="str">
        <x:v>MF-09</x:v>
      </x:c>
      <x:c r="H1212" s="7" t="str"/>
      <x:c r="I1212" s="7" t="str"/>
      <x:c r="J1212" s="7" t="str">
        <x:f>IF(OR(H1212="",I1212=""),"",I1212-H1212)</x:f>
      </x:c>
      <x:c r="K1212" s="7" t="str"/>
      <x:c r="L1212" s="7" t="str"/>
      <x:c r="M1212" s="7" t="str">
        <x:f>IF(L1212="","OPEN",IF(OR(NOT(ISNUMBER(H1212)),NOT(ISNUMBER(I1212)),NOT(ISNUMBER(K1212)),ABS(J1212)&gt;K1212),"FAIL","PASS"))</x:f>
        <x:v>OPEN</x:v>
      </x:c>
    </x:row>
    <x:row r="1213">
      <x:c r="B1213" s="7" t="str">
        <x:v>CAL-CH-PEA-B-X3-10-1</x:v>
      </x:c>
      <x:c r="C1213" s="7" t="str">
        <x:v>CH-PEA-B-X3-10-1</x:v>
      </x:c>
      <x:c r="D1213" s="7" t="str">
        <x:v>PEA-B-X3</x:v>
      </x:c>
      <x:c r="E1213" s="7" t="str">
        <x:v>BLD-B</x:v>
      </x:c>
      <x:c r="F1213" s="7" t="str">
        <x:v>BL-X</x:v>
      </x:c>
      <x:c r="G1213" s="7" t="str">
        <x:v>MF-10</x:v>
      </x:c>
      <x:c r="H1213" s="7" t="str"/>
      <x:c r="I1213" s="7" t="str"/>
      <x:c r="J1213" s="7" t="str">
        <x:f>IF(OR(H1213="",I1213=""),"",I1213-H1213)</x:f>
      </x:c>
      <x:c r="K1213" s="7" t="str"/>
      <x:c r="L1213" s="7" t="str"/>
      <x:c r="M1213" s="7" t="str">
        <x:f>IF(L1213="","OPEN",IF(OR(NOT(ISNUMBER(H1213)),NOT(ISNUMBER(I1213)),NOT(ISNUMBER(K1213)),ABS(J1213)&gt;K1213),"FAIL","PASS"))</x:f>
        <x:v>OPEN</x:v>
      </x:c>
    </x:row>
    <x:row r="1214">
      <x:c r="B1214" s="7" t="str">
        <x:v>CAL-CH-PEA-B-X3-10-2</x:v>
      </x:c>
      <x:c r="C1214" s="7" t="str">
        <x:v>CH-PEA-B-X3-10-2</x:v>
      </x:c>
      <x:c r="D1214" s="7" t="str">
        <x:v>PEA-B-X3</x:v>
      </x:c>
      <x:c r="E1214" s="7" t="str">
        <x:v>BLD-B</x:v>
      </x:c>
      <x:c r="F1214" s="7" t="str">
        <x:v>BL-X</x:v>
      </x:c>
      <x:c r="G1214" s="7" t="str">
        <x:v>MF-10</x:v>
      </x:c>
      <x:c r="H1214" s="7" t="str"/>
      <x:c r="I1214" s="7" t="str"/>
      <x:c r="J1214" s="7" t="str">
        <x:f>IF(OR(H1214="",I1214=""),"",I1214-H1214)</x:f>
      </x:c>
      <x:c r="K1214" s="7" t="str"/>
      <x:c r="L1214" s="7" t="str"/>
      <x:c r="M1214" s="7" t="str">
        <x:f>IF(L1214="","OPEN",IF(OR(NOT(ISNUMBER(H1214)),NOT(ISNUMBER(I1214)),NOT(ISNUMBER(K1214)),ABS(J1214)&gt;K1214),"FAIL","PASS"))</x:f>
        <x:v>OPEN</x:v>
      </x:c>
    </x:row>
    <x:row r="1215">
      <x:c r="B1215" s="7" t="str">
        <x:v>CAL-CH-PEA-B-X3-10-3</x:v>
      </x:c>
      <x:c r="C1215" s="7" t="str">
        <x:v>CH-PEA-B-X3-10-3</x:v>
      </x:c>
      <x:c r="D1215" s="7" t="str">
        <x:v>PEA-B-X3</x:v>
      </x:c>
      <x:c r="E1215" s="7" t="str">
        <x:v>BLD-B</x:v>
      </x:c>
      <x:c r="F1215" s="7" t="str">
        <x:v>BL-X</x:v>
      </x:c>
      <x:c r="G1215" s="7" t="str">
        <x:v>MF-10</x:v>
      </x:c>
      <x:c r="H1215" s="7" t="str"/>
      <x:c r="I1215" s="7" t="str"/>
      <x:c r="J1215" s="7" t="str">
        <x:f>IF(OR(H1215="",I1215=""),"",I1215-H1215)</x:f>
      </x:c>
      <x:c r="K1215" s="7" t="str"/>
      <x:c r="L1215" s="7" t="str"/>
      <x:c r="M1215" s="7" t="str">
        <x:f>IF(L1215="","OPEN",IF(OR(NOT(ISNUMBER(H1215)),NOT(ISNUMBER(I1215)),NOT(ISNUMBER(K1215)),ABS(J1215)&gt;K1215),"FAIL","PASS"))</x:f>
        <x:v>OPEN</x:v>
      </x:c>
    </x:row>
    <x:row r="1216">
      <x:c r="B1216" s="7" t="str">
        <x:v>CAL-CH-PEA-B-X3-10-4</x:v>
      </x:c>
      <x:c r="C1216" s="7" t="str">
        <x:v>CH-PEA-B-X3-10-4</x:v>
      </x:c>
      <x:c r="D1216" s="7" t="str">
        <x:v>PEA-B-X3</x:v>
      </x:c>
      <x:c r="E1216" s="7" t="str">
        <x:v>BLD-B</x:v>
      </x:c>
      <x:c r="F1216" s="7" t="str">
        <x:v>BL-X</x:v>
      </x:c>
      <x:c r="G1216" s="7" t="str">
        <x:v>MF-10</x:v>
      </x:c>
      <x:c r="H1216" s="7" t="str"/>
      <x:c r="I1216" s="7" t="str"/>
      <x:c r="J1216" s="7" t="str">
        <x:f>IF(OR(H1216="",I1216=""),"",I1216-H1216)</x:f>
      </x:c>
      <x:c r="K1216" s="7" t="str"/>
      <x:c r="L1216" s="7" t="str"/>
      <x:c r="M1216" s="7" t="str">
        <x:f>IF(L1216="","OPEN",IF(OR(NOT(ISNUMBER(H1216)),NOT(ISNUMBER(I1216)),NOT(ISNUMBER(K1216)),ABS(J1216)&gt;K1216),"FAIL","PASS"))</x:f>
        <x:v>OPEN</x:v>
      </x:c>
    </x:row>
    <x:row r="1217">
      <x:c r="B1217" s="7" t="str">
        <x:v>CAL-CH-PEA-B-X3-10-5</x:v>
      </x:c>
      <x:c r="C1217" s="7" t="str">
        <x:v>CH-PEA-B-X3-10-5</x:v>
      </x:c>
      <x:c r="D1217" s="7" t="str">
        <x:v>PEA-B-X3</x:v>
      </x:c>
      <x:c r="E1217" s="7" t="str">
        <x:v>BLD-B</x:v>
      </x:c>
      <x:c r="F1217" s="7" t="str">
        <x:v>BL-X</x:v>
      </x:c>
      <x:c r="G1217" s="7" t="str">
        <x:v>MF-10</x:v>
      </x:c>
      <x:c r="H1217" s="7" t="str"/>
      <x:c r="I1217" s="7" t="str"/>
      <x:c r="J1217" s="7" t="str">
        <x:f>IF(OR(H1217="",I1217=""),"",I1217-H1217)</x:f>
      </x:c>
      <x:c r="K1217" s="7" t="str"/>
      <x:c r="L1217" s="7" t="str"/>
      <x:c r="M1217" s="7" t="str">
        <x:f>IF(L1217="","OPEN",IF(OR(NOT(ISNUMBER(H1217)),NOT(ISNUMBER(I1217)),NOT(ISNUMBER(K1217)),ABS(J1217)&gt;K1217),"FAIL","PASS"))</x:f>
        <x:v>OPEN</x:v>
      </x:c>
    </x:row>
    <x:row r="1218">
      <x:c r="B1218" s="7" t="str">
        <x:v>CAL-CH-PEA-B-X3-10-6</x:v>
      </x:c>
      <x:c r="C1218" s="7" t="str">
        <x:v>CH-PEA-B-X3-10-6</x:v>
      </x:c>
      <x:c r="D1218" s="7" t="str">
        <x:v>PEA-B-X3</x:v>
      </x:c>
      <x:c r="E1218" s="7" t="str">
        <x:v>BLD-B</x:v>
      </x:c>
      <x:c r="F1218" s="7" t="str">
        <x:v>BL-X</x:v>
      </x:c>
      <x:c r="G1218" s="7" t="str">
        <x:v>MF-10</x:v>
      </x:c>
      <x:c r="H1218" s="7" t="str"/>
      <x:c r="I1218" s="7" t="str"/>
      <x:c r="J1218" s="7" t="str">
        <x:f>IF(OR(H1218="",I1218=""),"",I1218-H1218)</x:f>
      </x:c>
      <x:c r="K1218" s="7" t="str"/>
      <x:c r="L1218" s="7" t="str"/>
      <x:c r="M1218" s="7" t="str">
        <x:f>IF(L1218="","OPEN",IF(OR(NOT(ISNUMBER(H1218)),NOT(ISNUMBER(I1218)),NOT(ISNUMBER(K1218)),ABS(J1218)&gt;K1218),"FAIL","PASS"))</x:f>
        <x:v>OPEN</x:v>
      </x:c>
    </x:row>
    <x:row r="1219">
      <x:c r="B1219" s="7" t="str">
        <x:v>CAL-CH-PEA-B-X3-11-1</x:v>
      </x:c>
      <x:c r="C1219" s="7" t="str">
        <x:v>CH-PEA-B-X3-11-1</x:v>
      </x:c>
      <x:c r="D1219" s="7" t="str">
        <x:v>PEA-B-X3</x:v>
      </x:c>
      <x:c r="E1219" s="7" t="str">
        <x:v>BLD-B</x:v>
      </x:c>
      <x:c r="F1219" s="7" t="str">
        <x:v>BL-X</x:v>
      </x:c>
      <x:c r="G1219" s="7" t="str">
        <x:v>MF-11</x:v>
      </x:c>
      <x:c r="H1219" s="7" t="str"/>
      <x:c r="I1219" s="7" t="str"/>
      <x:c r="J1219" s="7" t="str">
        <x:f>IF(OR(H1219="",I1219=""),"",I1219-H1219)</x:f>
      </x:c>
      <x:c r="K1219" s="7" t="str"/>
      <x:c r="L1219" s="7" t="str"/>
      <x:c r="M1219" s="7" t="str">
        <x:f>IF(L1219="","OPEN",IF(OR(NOT(ISNUMBER(H1219)),NOT(ISNUMBER(I1219)),NOT(ISNUMBER(K1219)),ABS(J1219)&gt;K1219),"FAIL","PASS"))</x:f>
        <x:v>OPEN</x:v>
      </x:c>
    </x:row>
    <x:row r="1220">
      <x:c r="B1220" s="7" t="str">
        <x:v>CAL-CH-PEA-B-X3-11-2</x:v>
      </x:c>
      <x:c r="C1220" s="7" t="str">
        <x:v>CH-PEA-B-X3-11-2</x:v>
      </x:c>
      <x:c r="D1220" s="7" t="str">
        <x:v>PEA-B-X3</x:v>
      </x:c>
      <x:c r="E1220" s="7" t="str">
        <x:v>BLD-B</x:v>
      </x:c>
      <x:c r="F1220" s="7" t="str">
        <x:v>BL-X</x:v>
      </x:c>
      <x:c r="G1220" s="7" t="str">
        <x:v>MF-11</x:v>
      </x:c>
      <x:c r="H1220" s="7" t="str"/>
      <x:c r="I1220" s="7" t="str"/>
      <x:c r="J1220" s="7" t="str">
        <x:f>IF(OR(H1220="",I1220=""),"",I1220-H1220)</x:f>
      </x:c>
      <x:c r="K1220" s="7" t="str"/>
      <x:c r="L1220" s="7" t="str"/>
      <x:c r="M1220" s="7" t="str">
        <x:f>IF(L1220="","OPEN",IF(OR(NOT(ISNUMBER(H1220)),NOT(ISNUMBER(I1220)),NOT(ISNUMBER(K1220)),ABS(J1220)&gt;K1220),"FAIL","PASS"))</x:f>
        <x:v>OPEN</x:v>
      </x:c>
    </x:row>
    <x:row r="1221">
      <x:c r="B1221" s="7" t="str">
        <x:v>CAL-CH-PEA-B-X3-11-3</x:v>
      </x:c>
      <x:c r="C1221" s="7" t="str">
        <x:v>CH-PEA-B-X3-11-3</x:v>
      </x:c>
      <x:c r="D1221" s="7" t="str">
        <x:v>PEA-B-X3</x:v>
      </x:c>
      <x:c r="E1221" s="7" t="str">
        <x:v>BLD-B</x:v>
      </x:c>
      <x:c r="F1221" s="7" t="str">
        <x:v>BL-X</x:v>
      </x:c>
      <x:c r="G1221" s="7" t="str">
        <x:v>MF-11</x:v>
      </x:c>
      <x:c r="H1221" s="7" t="str"/>
      <x:c r="I1221" s="7" t="str"/>
      <x:c r="J1221" s="7" t="str">
        <x:f>IF(OR(H1221="",I1221=""),"",I1221-H1221)</x:f>
      </x:c>
      <x:c r="K1221" s="7" t="str"/>
      <x:c r="L1221" s="7" t="str"/>
      <x:c r="M1221" s="7" t="str">
        <x:f>IF(L1221="","OPEN",IF(OR(NOT(ISNUMBER(H1221)),NOT(ISNUMBER(I1221)),NOT(ISNUMBER(K1221)),ABS(J1221)&gt;K1221),"FAIL","PASS"))</x:f>
        <x:v>OPEN</x:v>
      </x:c>
    </x:row>
    <x:row r="1222">
      <x:c r="B1222" s="7" t="str">
        <x:v>CAL-CH-PEA-B-X3-11-4</x:v>
      </x:c>
      <x:c r="C1222" s="7" t="str">
        <x:v>CH-PEA-B-X3-11-4</x:v>
      </x:c>
      <x:c r="D1222" s="7" t="str">
        <x:v>PEA-B-X3</x:v>
      </x:c>
      <x:c r="E1222" s="7" t="str">
        <x:v>BLD-B</x:v>
      </x:c>
      <x:c r="F1222" s="7" t="str">
        <x:v>BL-X</x:v>
      </x:c>
      <x:c r="G1222" s="7" t="str">
        <x:v>MF-11</x:v>
      </x:c>
      <x:c r="H1222" s="7" t="str"/>
      <x:c r="I1222" s="7" t="str"/>
      <x:c r="J1222" s="7" t="str">
        <x:f>IF(OR(H1222="",I1222=""),"",I1222-H1222)</x:f>
      </x:c>
      <x:c r="K1222" s="7" t="str"/>
      <x:c r="L1222" s="7" t="str"/>
      <x:c r="M1222" s="7" t="str">
        <x:f>IF(L1222="","OPEN",IF(OR(NOT(ISNUMBER(H1222)),NOT(ISNUMBER(I1222)),NOT(ISNUMBER(K1222)),ABS(J1222)&gt;K1222),"FAIL","PASS"))</x:f>
        <x:v>OPEN</x:v>
      </x:c>
    </x:row>
    <x:row r="1223">
      <x:c r="B1223" s="7" t="str">
        <x:v>CAL-CH-PEA-B-X3-11-5</x:v>
      </x:c>
      <x:c r="C1223" s="7" t="str">
        <x:v>CH-PEA-B-X3-11-5</x:v>
      </x:c>
      <x:c r="D1223" s="7" t="str">
        <x:v>PEA-B-X3</x:v>
      </x:c>
      <x:c r="E1223" s="7" t="str">
        <x:v>BLD-B</x:v>
      </x:c>
      <x:c r="F1223" s="7" t="str">
        <x:v>BL-X</x:v>
      </x:c>
      <x:c r="G1223" s="7" t="str">
        <x:v>MF-11</x:v>
      </x:c>
      <x:c r="H1223" s="7" t="str"/>
      <x:c r="I1223" s="7" t="str"/>
      <x:c r="J1223" s="7" t="str">
        <x:f>IF(OR(H1223="",I1223=""),"",I1223-H1223)</x:f>
      </x:c>
      <x:c r="K1223" s="7" t="str"/>
      <x:c r="L1223" s="7" t="str"/>
      <x:c r="M1223" s="7" t="str">
        <x:f>IF(L1223="","OPEN",IF(OR(NOT(ISNUMBER(H1223)),NOT(ISNUMBER(I1223)),NOT(ISNUMBER(K1223)),ABS(J1223)&gt;K1223),"FAIL","PASS"))</x:f>
        <x:v>OPEN</x:v>
      </x:c>
    </x:row>
    <x:row r="1224">
      <x:c r="B1224" s="7" t="str">
        <x:v>CAL-CH-PEA-B-X3-11-6</x:v>
      </x:c>
      <x:c r="C1224" s="7" t="str">
        <x:v>CH-PEA-B-X3-11-6</x:v>
      </x:c>
      <x:c r="D1224" s="7" t="str">
        <x:v>PEA-B-X3</x:v>
      </x:c>
      <x:c r="E1224" s="7" t="str">
        <x:v>BLD-B</x:v>
      </x:c>
      <x:c r="F1224" s="7" t="str">
        <x:v>BL-X</x:v>
      </x:c>
      <x:c r="G1224" s="7" t="str">
        <x:v>MF-11</x:v>
      </x:c>
      <x:c r="H1224" s="7" t="str"/>
      <x:c r="I1224" s="7" t="str"/>
      <x:c r="J1224" s="7" t="str">
        <x:f>IF(OR(H1224="",I1224=""),"",I1224-H1224)</x:f>
      </x:c>
      <x:c r="K1224" s="7" t="str"/>
      <x:c r="L1224" s="7" t="str"/>
      <x:c r="M1224" s="7" t="str">
        <x:f>IF(L1224="","OPEN",IF(OR(NOT(ISNUMBER(H1224)),NOT(ISNUMBER(I1224)),NOT(ISNUMBER(K1224)),ABS(J1224)&gt;K1224),"FAIL","PASS"))</x:f>
        <x:v>OPEN</x:v>
      </x:c>
    </x:row>
    <x:row r="1225">
      <x:c r="B1225" s="7" t="str">
        <x:v>CAL-CH-PEA-B-X3-12-1</x:v>
      </x:c>
      <x:c r="C1225" s="7" t="str">
        <x:v>CH-PEA-B-X3-12-1</x:v>
      </x:c>
      <x:c r="D1225" s="7" t="str">
        <x:v>PEA-B-X3</x:v>
      </x:c>
      <x:c r="E1225" s="7" t="str">
        <x:v>BLD-B</x:v>
      </x:c>
      <x:c r="F1225" s="7" t="str">
        <x:v>BL-X</x:v>
      </x:c>
      <x:c r="G1225" s="7" t="str">
        <x:v>MF-12</x:v>
      </x:c>
      <x:c r="H1225" s="7" t="str"/>
      <x:c r="I1225" s="7" t="str"/>
      <x:c r="J1225" s="7" t="str">
        <x:f>IF(OR(H1225="",I1225=""),"",I1225-H1225)</x:f>
      </x:c>
      <x:c r="K1225" s="7" t="str"/>
      <x:c r="L1225" s="7" t="str"/>
      <x:c r="M1225" s="7" t="str">
        <x:f>IF(L1225="","OPEN",IF(OR(NOT(ISNUMBER(H1225)),NOT(ISNUMBER(I1225)),NOT(ISNUMBER(K1225)),ABS(J1225)&gt;K1225),"FAIL","PASS"))</x:f>
        <x:v>OPEN</x:v>
      </x:c>
    </x:row>
    <x:row r="1226">
      <x:c r="B1226" s="7" t="str">
        <x:v>CAL-CH-PEA-B-X3-12-2</x:v>
      </x:c>
      <x:c r="C1226" s="7" t="str">
        <x:v>CH-PEA-B-X3-12-2</x:v>
      </x:c>
      <x:c r="D1226" s="7" t="str">
        <x:v>PEA-B-X3</x:v>
      </x:c>
      <x:c r="E1226" s="7" t="str">
        <x:v>BLD-B</x:v>
      </x:c>
      <x:c r="F1226" s="7" t="str">
        <x:v>BL-X</x:v>
      </x:c>
      <x:c r="G1226" s="7" t="str">
        <x:v>MF-12</x:v>
      </x:c>
      <x:c r="H1226" s="7" t="str"/>
      <x:c r="I1226" s="7" t="str"/>
      <x:c r="J1226" s="7" t="str">
        <x:f>IF(OR(H1226="",I1226=""),"",I1226-H1226)</x:f>
      </x:c>
      <x:c r="K1226" s="7" t="str"/>
      <x:c r="L1226" s="7" t="str"/>
      <x:c r="M1226" s="7" t="str">
        <x:f>IF(L1226="","OPEN",IF(OR(NOT(ISNUMBER(H1226)),NOT(ISNUMBER(I1226)),NOT(ISNUMBER(K1226)),ABS(J1226)&gt;K1226),"FAIL","PASS"))</x:f>
        <x:v>OPEN</x:v>
      </x:c>
    </x:row>
    <x:row r="1227">
      <x:c r="B1227" s="7" t="str">
        <x:v>CAL-CH-PEA-B-X3-12-3</x:v>
      </x:c>
      <x:c r="C1227" s="7" t="str">
        <x:v>CH-PEA-B-X3-12-3</x:v>
      </x:c>
      <x:c r="D1227" s="7" t="str">
        <x:v>PEA-B-X3</x:v>
      </x:c>
      <x:c r="E1227" s="7" t="str">
        <x:v>BLD-B</x:v>
      </x:c>
      <x:c r="F1227" s="7" t="str">
        <x:v>BL-X</x:v>
      </x:c>
      <x:c r="G1227" s="7" t="str">
        <x:v>MF-12</x:v>
      </x:c>
      <x:c r="H1227" s="7" t="str"/>
      <x:c r="I1227" s="7" t="str"/>
      <x:c r="J1227" s="7" t="str">
        <x:f>IF(OR(H1227="",I1227=""),"",I1227-H1227)</x:f>
      </x:c>
      <x:c r="K1227" s="7" t="str"/>
      <x:c r="L1227" s="7" t="str"/>
      <x:c r="M1227" s="7" t="str">
        <x:f>IF(L1227="","OPEN",IF(OR(NOT(ISNUMBER(H1227)),NOT(ISNUMBER(I1227)),NOT(ISNUMBER(K1227)),ABS(J1227)&gt;K1227),"FAIL","PASS"))</x:f>
        <x:v>OPEN</x:v>
      </x:c>
    </x:row>
    <x:row r="1228">
      <x:c r="B1228" s="7" t="str">
        <x:v>CAL-CH-PEA-B-X3-12-4</x:v>
      </x:c>
      <x:c r="C1228" s="7" t="str">
        <x:v>CH-PEA-B-X3-12-4</x:v>
      </x:c>
      <x:c r="D1228" s="7" t="str">
        <x:v>PEA-B-X3</x:v>
      </x:c>
      <x:c r="E1228" s="7" t="str">
        <x:v>BLD-B</x:v>
      </x:c>
      <x:c r="F1228" s="7" t="str">
        <x:v>BL-X</x:v>
      </x:c>
      <x:c r="G1228" s="7" t="str">
        <x:v>MF-12</x:v>
      </x:c>
      <x:c r="H1228" s="7" t="str"/>
      <x:c r="I1228" s="7" t="str"/>
      <x:c r="J1228" s="7" t="str">
        <x:f>IF(OR(H1228="",I1228=""),"",I1228-H1228)</x:f>
      </x:c>
      <x:c r="K1228" s="7" t="str"/>
      <x:c r="L1228" s="7" t="str"/>
      <x:c r="M1228" s="7" t="str">
        <x:f>IF(L1228="","OPEN",IF(OR(NOT(ISNUMBER(H1228)),NOT(ISNUMBER(I1228)),NOT(ISNUMBER(K1228)),ABS(J1228)&gt;K1228),"FAIL","PASS"))</x:f>
        <x:v>OPEN</x:v>
      </x:c>
    </x:row>
    <x:row r="1229">
      <x:c r="B1229" s="7" t="str">
        <x:v>CAL-CH-PEA-B-X3-12-5</x:v>
      </x:c>
      <x:c r="C1229" s="7" t="str">
        <x:v>CH-PEA-B-X3-12-5</x:v>
      </x:c>
      <x:c r="D1229" s="7" t="str">
        <x:v>PEA-B-X3</x:v>
      </x:c>
      <x:c r="E1229" s="7" t="str">
        <x:v>BLD-B</x:v>
      </x:c>
      <x:c r="F1229" s="7" t="str">
        <x:v>BL-X</x:v>
      </x:c>
      <x:c r="G1229" s="7" t="str">
        <x:v>MF-12</x:v>
      </x:c>
      <x:c r="H1229" s="7" t="str"/>
      <x:c r="I1229" s="7" t="str"/>
      <x:c r="J1229" s="7" t="str">
        <x:f>IF(OR(H1229="",I1229=""),"",I1229-H1229)</x:f>
      </x:c>
      <x:c r="K1229" s="7" t="str"/>
      <x:c r="L1229" s="7" t="str"/>
      <x:c r="M1229" s="7" t="str">
        <x:f>IF(L1229="","OPEN",IF(OR(NOT(ISNUMBER(H1229)),NOT(ISNUMBER(I1229)),NOT(ISNUMBER(K1229)),ABS(J1229)&gt;K1229),"FAIL","PASS"))</x:f>
        <x:v>OPEN</x:v>
      </x:c>
    </x:row>
    <x:row r="1230">
      <x:c r="B1230" s="7" t="str">
        <x:v>CAL-CH-PEA-B-X3-12-6</x:v>
      </x:c>
      <x:c r="C1230" s="7" t="str">
        <x:v>CH-PEA-B-X3-12-6</x:v>
      </x:c>
      <x:c r="D1230" s="7" t="str">
        <x:v>PEA-B-X3</x:v>
      </x:c>
      <x:c r="E1230" s="7" t="str">
        <x:v>BLD-B</x:v>
      </x:c>
      <x:c r="F1230" s="7" t="str">
        <x:v>BL-X</x:v>
      </x:c>
      <x:c r="G1230" s="7" t="str">
        <x:v>MF-12</x:v>
      </x:c>
      <x:c r="H1230" s="7" t="str"/>
      <x:c r="I1230" s="7" t="str"/>
      <x:c r="J1230" s="7" t="str">
        <x:f>IF(OR(H1230="",I1230=""),"",I1230-H1230)</x:f>
      </x:c>
      <x:c r="K1230" s="7" t="str"/>
      <x:c r="L1230" s="7" t="str"/>
      <x:c r="M1230" s="7" t="str">
        <x:f>IF(L1230="","OPEN",IF(OR(NOT(ISNUMBER(H1230)),NOT(ISNUMBER(I1230)),NOT(ISNUMBER(K1230)),ABS(J1230)&gt;K1230),"FAIL","PASS"))</x:f>
        <x:v>OPEN</x:v>
      </x:c>
    </x:row>
    <x:row r="1231">
      <x:c r="B1231" s="7" t="str">
        <x:v>CAL-CH-PEA-B-X3-13-1</x:v>
      </x:c>
      <x:c r="C1231" s="7" t="str">
        <x:v>CH-PEA-B-X3-13-1</x:v>
      </x:c>
      <x:c r="D1231" s="7" t="str">
        <x:v>PEA-B-X3</x:v>
      </x:c>
      <x:c r="E1231" s="7" t="str">
        <x:v>BLD-B</x:v>
      </x:c>
      <x:c r="F1231" s="7" t="str">
        <x:v>BL-X</x:v>
      </x:c>
      <x:c r="G1231" s="7" t="str">
        <x:v>MF-13</x:v>
      </x:c>
      <x:c r="H1231" s="7" t="str"/>
      <x:c r="I1231" s="7" t="str"/>
      <x:c r="J1231" s="7" t="str">
        <x:f>IF(OR(H1231="",I1231=""),"",I1231-H1231)</x:f>
      </x:c>
      <x:c r="K1231" s="7" t="str"/>
      <x:c r="L1231" s="7" t="str"/>
      <x:c r="M1231" s="7" t="str">
        <x:f>IF(L1231="","OPEN",IF(OR(NOT(ISNUMBER(H1231)),NOT(ISNUMBER(I1231)),NOT(ISNUMBER(K1231)),ABS(J1231)&gt;K1231),"FAIL","PASS"))</x:f>
        <x:v>OPEN</x:v>
      </x:c>
    </x:row>
    <x:row r="1232">
      <x:c r="B1232" s="7" t="str">
        <x:v>CAL-CH-PEA-B-X3-13-2</x:v>
      </x:c>
      <x:c r="C1232" s="7" t="str">
        <x:v>CH-PEA-B-X3-13-2</x:v>
      </x:c>
      <x:c r="D1232" s="7" t="str">
        <x:v>PEA-B-X3</x:v>
      </x:c>
      <x:c r="E1232" s="7" t="str">
        <x:v>BLD-B</x:v>
      </x:c>
      <x:c r="F1232" s="7" t="str">
        <x:v>BL-X</x:v>
      </x:c>
      <x:c r="G1232" s="7" t="str">
        <x:v>MF-13</x:v>
      </x:c>
      <x:c r="H1232" s="7" t="str"/>
      <x:c r="I1232" s="7" t="str"/>
      <x:c r="J1232" s="7" t="str">
        <x:f>IF(OR(H1232="",I1232=""),"",I1232-H1232)</x:f>
      </x:c>
      <x:c r="K1232" s="7" t="str"/>
      <x:c r="L1232" s="7" t="str"/>
      <x:c r="M1232" s="7" t="str">
        <x:f>IF(L1232="","OPEN",IF(OR(NOT(ISNUMBER(H1232)),NOT(ISNUMBER(I1232)),NOT(ISNUMBER(K1232)),ABS(J1232)&gt;K1232),"FAIL","PASS"))</x:f>
        <x:v>OPEN</x:v>
      </x:c>
    </x:row>
    <x:row r="1233">
      <x:c r="B1233" s="7" t="str">
        <x:v>CAL-CH-PEA-B-X3-13-3</x:v>
      </x:c>
      <x:c r="C1233" s="7" t="str">
        <x:v>CH-PEA-B-X3-13-3</x:v>
      </x:c>
      <x:c r="D1233" s="7" t="str">
        <x:v>PEA-B-X3</x:v>
      </x:c>
      <x:c r="E1233" s="7" t="str">
        <x:v>BLD-B</x:v>
      </x:c>
      <x:c r="F1233" s="7" t="str">
        <x:v>BL-X</x:v>
      </x:c>
      <x:c r="G1233" s="7" t="str">
        <x:v>MF-13</x:v>
      </x:c>
      <x:c r="H1233" s="7" t="str"/>
      <x:c r="I1233" s="7" t="str"/>
      <x:c r="J1233" s="7" t="str">
        <x:f>IF(OR(H1233="",I1233=""),"",I1233-H1233)</x:f>
      </x:c>
      <x:c r="K1233" s="7" t="str"/>
      <x:c r="L1233" s="7" t="str"/>
      <x:c r="M1233" s="7" t="str">
        <x:f>IF(L1233="","OPEN",IF(OR(NOT(ISNUMBER(H1233)),NOT(ISNUMBER(I1233)),NOT(ISNUMBER(K1233)),ABS(J1233)&gt;K1233),"FAIL","PASS"))</x:f>
        <x:v>OPEN</x:v>
      </x:c>
    </x:row>
    <x:row r="1234">
      <x:c r="B1234" s="7" t="str">
        <x:v>CAL-CH-PEA-B-X3-13-4</x:v>
      </x:c>
      <x:c r="C1234" s="7" t="str">
        <x:v>CH-PEA-B-X3-13-4</x:v>
      </x:c>
      <x:c r="D1234" s="7" t="str">
        <x:v>PEA-B-X3</x:v>
      </x:c>
      <x:c r="E1234" s="7" t="str">
        <x:v>BLD-B</x:v>
      </x:c>
      <x:c r="F1234" s="7" t="str">
        <x:v>BL-X</x:v>
      </x:c>
      <x:c r="G1234" s="7" t="str">
        <x:v>MF-13</x:v>
      </x:c>
      <x:c r="H1234" s="7" t="str"/>
      <x:c r="I1234" s="7" t="str"/>
      <x:c r="J1234" s="7" t="str">
        <x:f>IF(OR(H1234="",I1234=""),"",I1234-H1234)</x:f>
      </x:c>
      <x:c r="K1234" s="7" t="str"/>
      <x:c r="L1234" s="7" t="str"/>
      <x:c r="M1234" s="7" t="str">
        <x:f>IF(L1234="","OPEN",IF(OR(NOT(ISNUMBER(H1234)),NOT(ISNUMBER(I1234)),NOT(ISNUMBER(K1234)),ABS(J1234)&gt;K1234),"FAIL","PASS"))</x:f>
        <x:v>OPEN</x:v>
      </x:c>
    </x:row>
    <x:row r="1235">
      <x:c r="B1235" s="7" t="str">
        <x:v>CAL-CH-PEA-B-X3-13-5</x:v>
      </x:c>
      <x:c r="C1235" s="7" t="str">
        <x:v>CH-PEA-B-X3-13-5</x:v>
      </x:c>
      <x:c r="D1235" s="7" t="str">
        <x:v>PEA-B-X3</x:v>
      </x:c>
      <x:c r="E1235" s="7" t="str">
        <x:v>BLD-B</x:v>
      </x:c>
      <x:c r="F1235" s="7" t="str">
        <x:v>BL-X</x:v>
      </x:c>
      <x:c r="G1235" s="7" t="str">
        <x:v>MF-13</x:v>
      </x:c>
      <x:c r="H1235" s="7" t="str"/>
      <x:c r="I1235" s="7" t="str"/>
      <x:c r="J1235" s="7" t="str">
        <x:f>IF(OR(H1235="",I1235=""),"",I1235-H1235)</x:f>
      </x:c>
      <x:c r="K1235" s="7" t="str"/>
      <x:c r="L1235" s="7" t="str"/>
      <x:c r="M1235" s="7" t="str">
        <x:f>IF(L1235="","OPEN",IF(OR(NOT(ISNUMBER(H1235)),NOT(ISNUMBER(I1235)),NOT(ISNUMBER(K1235)),ABS(J1235)&gt;K1235),"FAIL","PASS"))</x:f>
        <x:v>OPEN</x:v>
      </x:c>
    </x:row>
    <x:row r="1236">
      <x:c r="B1236" s="7" t="str">
        <x:v>CAL-CH-PEA-B-X3-13-6</x:v>
      </x:c>
      <x:c r="C1236" s="7" t="str">
        <x:v>CH-PEA-B-X3-13-6</x:v>
      </x:c>
      <x:c r="D1236" s="7" t="str">
        <x:v>PEA-B-X3</x:v>
      </x:c>
      <x:c r="E1236" s="7" t="str">
        <x:v>BLD-B</x:v>
      </x:c>
      <x:c r="F1236" s="7" t="str">
        <x:v>BL-X</x:v>
      </x:c>
      <x:c r="G1236" s="7" t="str">
        <x:v>MF-13</x:v>
      </x:c>
      <x:c r="H1236" s="7" t="str"/>
      <x:c r="I1236" s="7" t="str"/>
      <x:c r="J1236" s="7" t="str">
        <x:f>IF(OR(H1236="",I1236=""),"",I1236-H1236)</x:f>
      </x:c>
      <x:c r="K1236" s="7" t="str"/>
      <x:c r="L1236" s="7" t="str"/>
      <x:c r="M1236" s="7" t="str">
        <x:f>IF(L1236="","OPEN",IF(OR(NOT(ISNUMBER(H1236)),NOT(ISNUMBER(I1236)),NOT(ISNUMBER(K1236)),ABS(J1236)&gt;K1236),"FAIL","PASS"))</x:f>
        <x:v>OPEN</x:v>
      </x:c>
    </x:row>
    <x:row r="1237">
      <x:c r="B1237" s="7" t="str">
        <x:v>CAL-CH-PEA-B-X3-14-1</x:v>
      </x:c>
      <x:c r="C1237" s="7" t="str">
        <x:v>CH-PEA-B-X3-14-1</x:v>
      </x:c>
      <x:c r="D1237" s="7" t="str">
        <x:v>PEA-B-X3</x:v>
      </x:c>
      <x:c r="E1237" s="7" t="str">
        <x:v>BLD-B</x:v>
      </x:c>
      <x:c r="F1237" s="7" t="str">
        <x:v>BL-X</x:v>
      </x:c>
      <x:c r="G1237" s="7" t="str">
        <x:v>MF-14</x:v>
      </x:c>
      <x:c r="H1237" s="7" t="str"/>
      <x:c r="I1237" s="7" t="str"/>
      <x:c r="J1237" s="7" t="str">
        <x:f>IF(OR(H1237="",I1237=""),"",I1237-H1237)</x:f>
      </x:c>
      <x:c r="K1237" s="7" t="str"/>
      <x:c r="L1237" s="7" t="str"/>
      <x:c r="M1237" s="7" t="str">
        <x:f>IF(L1237="","OPEN",IF(OR(NOT(ISNUMBER(H1237)),NOT(ISNUMBER(I1237)),NOT(ISNUMBER(K1237)),ABS(J1237)&gt;K1237),"FAIL","PASS"))</x:f>
        <x:v>OPEN</x:v>
      </x:c>
    </x:row>
    <x:row r="1238">
      <x:c r="B1238" s="7" t="str">
        <x:v>CAL-CH-PEA-B-X3-14-2</x:v>
      </x:c>
      <x:c r="C1238" s="7" t="str">
        <x:v>CH-PEA-B-X3-14-2</x:v>
      </x:c>
      <x:c r="D1238" s="7" t="str">
        <x:v>PEA-B-X3</x:v>
      </x:c>
      <x:c r="E1238" s="7" t="str">
        <x:v>BLD-B</x:v>
      </x:c>
      <x:c r="F1238" s="7" t="str">
        <x:v>BL-X</x:v>
      </x:c>
      <x:c r="G1238" s="7" t="str">
        <x:v>MF-14</x:v>
      </x:c>
      <x:c r="H1238" s="7" t="str"/>
      <x:c r="I1238" s="7" t="str"/>
      <x:c r="J1238" s="7" t="str">
        <x:f>IF(OR(H1238="",I1238=""),"",I1238-H1238)</x:f>
      </x:c>
      <x:c r="K1238" s="7" t="str"/>
      <x:c r="L1238" s="7" t="str"/>
      <x:c r="M1238" s="7" t="str">
        <x:f>IF(L1238="","OPEN",IF(OR(NOT(ISNUMBER(H1238)),NOT(ISNUMBER(I1238)),NOT(ISNUMBER(K1238)),ABS(J1238)&gt;K1238),"FAIL","PASS"))</x:f>
        <x:v>OPEN</x:v>
      </x:c>
    </x:row>
    <x:row r="1239">
      <x:c r="B1239" s="7" t="str">
        <x:v>CAL-CH-PEA-B-X3-14-3</x:v>
      </x:c>
      <x:c r="C1239" s="7" t="str">
        <x:v>CH-PEA-B-X3-14-3</x:v>
      </x:c>
      <x:c r="D1239" s="7" t="str">
        <x:v>PEA-B-X3</x:v>
      </x:c>
      <x:c r="E1239" s="7" t="str">
        <x:v>BLD-B</x:v>
      </x:c>
      <x:c r="F1239" s="7" t="str">
        <x:v>BL-X</x:v>
      </x:c>
      <x:c r="G1239" s="7" t="str">
        <x:v>MF-14</x:v>
      </x:c>
      <x:c r="H1239" s="7" t="str"/>
      <x:c r="I1239" s="7" t="str"/>
      <x:c r="J1239" s="7" t="str">
        <x:f>IF(OR(H1239="",I1239=""),"",I1239-H1239)</x:f>
      </x:c>
      <x:c r="K1239" s="7" t="str"/>
      <x:c r="L1239" s="7" t="str"/>
      <x:c r="M1239" s="7" t="str">
        <x:f>IF(L1239="","OPEN",IF(OR(NOT(ISNUMBER(H1239)),NOT(ISNUMBER(I1239)),NOT(ISNUMBER(K1239)),ABS(J1239)&gt;K1239),"FAIL","PASS"))</x:f>
        <x:v>OPEN</x:v>
      </x:c>
    </x:row>
    <x:row r="1240">
      <x:c r="B1240" s="7" t="str">
        <x:v>CAL-CH-PEA-B-X3-14-4</x:v>
      </x:c>
      <x:c r="C1240" s="7" t="str">
        <x:v>CH-PEA-B-X3-14-4</x:v>
      </x:c>
      <x:c r="D1240" s="7" t="str">
        <x:v>PEA-B-X3</x:v>
      </x:c>
      <x:c r="E1240" s="7" t="str">
        <x:v>BLD-B</x:v>
      </x:c>
      <x:c r="F1240" s="7" t="str">
        <x:v>BL-X</x:v>
      </x:c>
      <x:c r="G1240" s="7" t="str">
        <x:v>MF-14</x:v>
      </x:c>
      <x:c r="H1240" s="7" t="str"/>
      <x:c r="I1240" s="7" t="str"/>
      <x:c r="J1240" s="7" t="str">
        <x:f>IF(OR(H1240="",I1240=""),"",I1240-H1240)</x:f>
      </x:c>
      <x:c r="K1240" s="7" t="str"/>
      <x:c r="L1240" s="7" t="str"/>
      <x:c r="M1240" s="7" t="str">
        <x:f>IF(L1240="","OPEN",IF(OR(NOT(ISNUMBER(H1240)),NOT(ISNUMBER(I1240)),NOT(ISNUMBER(K1240)),ABS(J1240)&gt;K1240),"FAIL","PASS"))</x:f>
        <x:v>OPEN</x:v>
      </x:c>
    </x:row>
    <x:row r="1241">
      <x:c r="B1241" s="7" t="str">
        <x:v>CAL-CH-PEA-B-X3-14-5</x:v>
      </x:c>
      <x:c r="C1241" s="7" t="str">
        <x:v>CH-PEA-B-X3-14-5</x:v>
      </x:c>
      <x:c r="D1241" s="7" t="str">
        <x:v>PEA-B-X3</x:v>
      </x:c>
      <x:c r="E1241" s="7" t="str">
        <x:v>BLD-B</x:v>
      </x:c>
      <x:c r="F1241" s="7" t="str">
        <x:v>BL-X</x:v>
      </x:c>
      <x:c r="G1241" s="7" t="str">
        <x:v>MF-14</x:v>
      </x:c>
      <x:c r="H1241" s="7" t="str"/>
      <x:c r="I1241" s="7" t="str"/>
      <x:c r="J1241" s="7" t="str">
        <x:f>IF(OR(H1241="",I1241=""),"",I1241-H1241)</x:f>
      </x:c>
      <x:c r="K1241" s="7" t="str"/>
      <x:c r="L1241" s="7" t="str"/>
      <x:c r="M1241" s="7" t="str">
        <x:f>IF(L1241="","OPEN",IF(OR(NOT(ISNUMBER(H1241)),NOT(ISNUMBER(I1241)),NOT(ISNUMBER(K1241)),ABS(J1241)&gt;K1241),"FAIL","PASS"))</x:f>
        <x:v>OPEN</x:v>
      </x:c>
    </x:row>
    <x:row r="1242">
      <x:c r="B1242" s="7" t="str">
        <x:v>CAL-CH-PEA-B-X3-14-6</x:v>
      </x:c>
      <x:c r="C1242" s="7" t="str">
        <x:v>CH-PEA-B-X3-14-6</x:v>
      </x:c>
      <x:c r="D1242" s="7" t="str">
        <x:v>PEA-B-X3</x:v>
      </x:c>
      <x:c r="E1242" s="7" t="str">
        <x:v>BLD-B</x:v>
      </x:c>
      <x:c r="F1242" s="7" t="str">
        <x:v>BL-X</x:v>
      </x:c>
      <x:c r="G1242" s="7" t="str">
        <x:v>MF-14</x:v>
      </x:c>
      <x:c r="H1242" s="7" t="str"/>
      <x:c r="I1242" s="7" t="str"/>
      <x:c r="J1242" s="7" t="str">
        <x:f>IF(OR(H1242="",I1242=""),"",I1242-H1242)</x:f>
      </x:c>
      <x:c r="K1242" s="7" t="str"/>
      <x:c r="L1242" s="7" t="str"/>
      <x:c r="M1242" s="7" t="str">
        <x:f>IF(L1242="","OPEN",IF(OR(NOT(ISNUMBER(H1242)),NOT(ISNUMBER(I1242)),NOT(ISNUMBER(K1242)),ABS(J1242)&gt;K1242),"FAIL","PASS"))</x:f>
        <x:v>OPEN</x:v>
      </x:c>
    </x:row>
    <x:row r="1243">
      <x:c r="B1243" s="7" t="str">
        <x:v>CAL-CH-PEA-B-X3-15-1</x:v>
      </x:c>
      <x:c r="C1243" s="7" t="str">
        <x:v>CH-PEA-B-X3-15-1</x:v>
      </x:c>
      <x:c r="D1243" s="7" t="str">
        <x:v>PEA-B-X3</x:v>
      </x:c>
      <x:c r="E1243" s="7" t="str">
        <x:v>BLD-B</x:v>
      </x:c>
      <x:c r="F1243" s="7" t="str">
        <x:v>BL-X</x:v>
      </x:c>
      <x:c r="G1243" s="7" t="str">
        <x:v>MF-15</x:v>
      </x:c>
      <x:c r="H1243" s="7" t="str"/>
      <x:c r="I1243" s="7" t="str"/>
      <x:c r="J1243" s="7" t="str">
        <x:f>IF(OR(H1243="",I1243=""),"",I1243-H1243)</x:f>
      </x:c>
      <x:c r="K1243" s="7" t="str"/>
      <x:c r="L1243" s="7" t="str"/>
      <x:c r="M1243" s="7" t="str">
        <x:f>IF(L1243="","OPEN",IF(OR(NOT(ISNUMBER(H1243)),NOT(ISNUMBER(I1243)),NOT(ISNUMBER(K1243)),ABS(J1243)&gt;K1243),"FAIL","PASS"))</x:f>
        <x:v>OPEN</x:v>
      </x:c>
    </x:row>
    <x:row r="1244">
      <x:c r="B1244" s="7" t="str">
        <x:v>CAL-CH-PEA-B-X3-15-2</x:v>
      </x:c>
      <x:c r="C1244" s="7" t="str">
        <x:v>CH-PEA-B-X3-15-2</x:v>
      </x:c>
      <x:c r="D1244" s="7" t="str">
        <x:v>PEA-B-X3</x:v>
      </x:c>
      <x:c r="E1244" s="7" t="str">
        <x:v>BLD-B</x:v>
      </x:c>
      <x:c r="F1244" s="7" t="str">
        <x:v>BL-X</x:v>
      </x:c>
      <x:c r="G1244" s="7" t="str">
        <x:v>MF-15</x:v>
      </x:c>
      <x:c r="H1244" s="7" t="str"/>
      <x:c r="I1244" s="7" t="str"/>
      <x:c r="J1244" s="7" t="str">
        <x:f>IF(OR(H1244="",I1244=""),"",I1244-H1244)</x:f>
      </x:c>
      <x:c r="K1244" s="7" t="str"/>
      <x:c r="L1244" s="7" t="str"/>
      <x:c r="M1244" s="7" t="str">
        <x:f>IF(L1244="","OPEN",IF(OR(NOT(ISNUMBER(H1244)),NOT(ISNUMBER(I1244)),NOT(ISNUMBER(K1244)),ABS(J1244)&gt;K1244),"FAIL","PASS"))</x:f>
        <x:v>OPEN</x:v>
      </x:c>
    </x:row>
    <x:row r="1245">
      <x:c r="B1245" s="7" t="str">
        <x:v>CAL-CH-PEA-B-X3-15-3</x:v>
      </x:c>
      <x:c r="C1245" s="7" t="str">
        <x:v>CH-PEA-B-X3-15-3</x:v>
      </x:c>
      <x:c r="D1245" s="7" t="str">
        <x:v>PEA-B-X3</x:v>
      </x:c>
      <x:c r="E1245" s="7" t="str">
        <x:v>BLD-B</x:v>
      </x:c>
      <x:c r="F1245" s="7" t="str">
        <x:v>BL-X</x:v>
      </x:c>
      <x:c r="G1245" s="7" t="str">
        <x:v>MF-15</x:v>
      </x:c>
      <x:c r="H1245" s="7" t="str"/>
      <x:c r="I1245" s="7" t="str"/>
      <x:c r="J1245" s="7" t="str">
        <x:f>IF(OR(H1245="",I1245=""),"",I1245-H1245)</x:f>
      </x:c>
      <x:c r="K1245" s="7" t="str"/>
      <x:c r="L1245" s="7" t="str"/>
      <x:c r="M1245" s="7" t="str">
        <x:f>IF(L1245="","OPEN",IF(OR(NOT(ISNUMBER(H1245)),NOT(ISNUMBER(I1245)),NOT(ISNUMBER(K1245)),ABS(J1245)&gt;K1245),"FAIL","PASS"))</x:f>
        <x:v>OPEN</x:v>
      </x:c>
    </x:row>
    <x:row r="1246">
      <x:c r="B1246" s="7" t="str">
        <x:v>CAL-CH-PEA-B-X3-15-4</x:v>
      </x:c>
      <x:c r="C1246" s="7" t="str">
        <x:v>CH-PEA-B-X3-15-4</x:v>
      </x:c>
      <x:c r="D1246" s="7" t="str">
        <x:v>PEA-B-X3</x:v>
      </x:c>
      <x:c r="E1246" s="7" t="str">
        <x:v>BLD-B</x:v>
      </x:c>
      <x:c r="F1246" s="7" t="str">
        <x:v>BL-X</x:v>
      </x:c>
      <x:c r="G1246" s="7" t="str">
        <x:v>MF-15</x:v>
      </x:c>
      <x:c r="H1246" s="7" t="str"/>
      <x:c r="I1246" s="7" t="str"/>
      <x:c r="J1246" s="7" t="str">
        <x:f>IF(OR(H1246="",I1246=""),"",I1246-H1246)</x:f>
      </x:c>
      <x:c r="K1246" s="7" t="str"/>
      <x:c r="L1246" s="7" t="str"/>
      <x:c r="M1246" s="7" t="str">
        <x:f>IF(L1246="","OPEN",IF(OR(NOT(ISNUMBER(H1246)),NOT(ISNUMBER(I1246)),NOT(ISNUMBER(K1246)),ABS(J1246)&gt;K1246),"FAIL","PASS"))</x:f>
        <x:v>OPEN</x:v>
      </x:c>
    </x:row>
    <x:row r="1247">
      <x:c r="B1247" s="7" t="str">
        <x:v>CAL-CH-PEA-B-X3-15-5</x:v>
      </x:c>
      <x:c r="C1247" s="7" t="str">
        <x:v>CH-PEA-B-X3-15-5</x:v>
      </x:c>
      <x:c r="D1247" s="7" t="str">
        <x:v>PEA-B-X3</x:v>
      </x:c>
      <x:c r="E1247" s="7" t="str">
        <x:v>BLD-B</x:v>
      </x:c>
      <x:c r="F1247" s="7" t="str">
        <x:v>BL-X</x:v>
      </x:c>
      <x:c r="G1247" s="7" t="str">
        <x:v>MF-15</x:v>
      </x:c>
      <x:c r="H1247" s="7" t="str"/>
      <x:c r="I1247" s="7" t="str"/>
      <x:c r="J1247" s="7" t="str">
        <x:f>IF(OR(H1247="",I1247=""),"",I1247-H1247)</x:f>
      </x:c>
      <x:c r="K1247" s="7" t="str"/>
      <x:c r="L1247" s="7" t="str"/>
      <x:c r="M1247" s="7" t="str">
        <x:f>IF(L1247="","OPEN",IF(OR(NOT(ISNUMBER(H1247)),NOT(ISNUMBER(I1247)),NOT(ISNUMBER(K1247)),ABS(J1247)&gt;K1247),"FAIL","PASS"))</x:f>
        <x:v>OPEN</x:v>
      </x:c>
    </x:row>
    <x:row r="1248">
      <x:c r="B1248" s="7" t="str">
        <x:v>CAL-CH-PEA-B-X3-15-6</x:v>
      </x:c>
      <x:c r="C1248" s="7" t="str">
        <x:v>CH-PEA-B-X3-15-6</x:v>
      </x:c>
      <x:c r="D1248" s="7" t="str">
        <x:v>PEA-B-X3</x:v>
      </x:c>
      <x:c r="E1248" s="7" t="str">
        <x:v>BLD-B</x:v>
      </x:c>
      <x:c r="F1248" s="7" t="str">
        <x:v>BL-X</x:v>
      </x:c>
      <x:c r="G1248" s="7" t="str">
        <x:v>MF-15</x:v>
      </x:c>
      <x:c r="H1248" s="7" t="str"/>
      <x:c r="I1248" s="7" t="str"/>
      <x:c r="J1248" s="7" t="str">
        <x:f>IF(OR(H1248="",I1248=""),"",I1248-H1248)</x:f>
      </x:c>
      <x:c r="K1248" s="7" t="str"/>
      <x:c r="L1248" s="7" t="str"/>
      <x:c r="M1248" s="7" t="str">
        <x:f>IF(L1248="","OPEN",IF(OR(NOT(ISNUMBER(H1248)),NOT(ISNUMBER(I1248)),NOT(ISNUMBER(K1248)),ABS(J1248)&gt;K1248),"FAIL","PASS"))</x:f>
        <x:v>OPEN</x:v>
      </x:c>
    </x:row>
    <x:row r="1249">
      <x:c r="B1249" s="7" t="str">
        <x:v>CAL-CH-PEA-B-X3-16-1</x:v>
      </x:c>
      <x:c r="C1249" s="7" t="str">
        <x:v>CH-PEA-B-X3-16-1</x:v>
      </x:c>
      <x:c r="D1249" s="7" t="str">
        <x:v>PEA-B-X3</x:v>
      </x:c>
      <x:c r="E1249" s="7" t="str">
        <x:v>BLD-B</x:v>
      </x:c>
      <x:c r="F1249" s="7" t="str">
        <x:v>BL-X</x:v>
      </x:c>
      <x:c r="G1249" s="7" t="str">
        <x:v>MF-16</x:v>
      </x:c>
      <x:c r="H1249" s="7" t="str"/>
      <x:c r="I1249" s="7" t="str"/>
      <x:c r="J1249" s="7" t="str">
        <x:f>IF(OR(H1249="",I1249=""),"",I1249-H1249)</x:f>
      </x:c>
      <x:c r="K1249" s="7" t="str"/>
      <x:c r="L1249" s="7" t="str"/>
      <x:c r="M1249" s="7" t="str">
        <x:f>IF(L1249="","OPEN",IF(OR(NOT(ISNUMBER(H1249)),NOT(ISNUMBER(I1249)),NOT(ISNUMBER(K1249)),ABS(J1249)&gt;K1249),"FAIL","PASS"))</x:f>
        <x:v>OPEN</x:v>
      </x:c>
    </x:row>
    <x:row r="1250">
      <x:c r="B1250" s="7" t="str">
        <x:v>CAL-CH-PEA-B-X3-16-2</x:v>
      </x:c>
      <x:c r="C1250" s="7" t="str">
        <x:v>CH-PEA-B-X3-16-2</x:v>
      </x:c>
      <x:c r="D1250" s="7" t="str">
        <x:v>PEA-B-X3</x:v>
      </x:c>
      <x:c r="E1250" s="7" t="str">
        <x:v>BLD-B</x:v>
      </x:c>
      <x:c r="F1250" s="7" t="str">
        <x:v>BL-X</x:v>
      </x:c>
      <x:c r="G1250" s="7" t="str">
        <x:v>MF-16</x:v>
      </x:c>
      <x:c r="H1250" s="7" t="str"/>
      <x:c r="I1250" s="7" t="str"/>
      <x:c r="J1250" s="7" t="str">
        <x:f>IF(OR(H1250="",I1250=""),"",I1250-H1250)</x:f>
      </x:c>
      <x:c r="K1250" s="7" t="str"/>
      <x:c r="L1250" s="7" t="str"/>
      <x:c r="M1250" s="7" t="str">
        <x:f>IF(L1250="","OPEN",IF(OR(NOT(ISNUMBER(H1250)),NOT(ISNUMBER(I1250)),NOT(ISNUMBER(K1250)),ABS(J1250)&gt;K1250),"FAIL","PASS"))</x:f>
        <x:v>OPEN</x:v>
      </x:c>
    </x:row>
    <x:row r="1251">
      <x:c r="B1251" s="7" t="str">
        <x:v>CAL-CH-PEA-B-X3-16-3</x:v>
      </x:c>
      <x:c r="C1251" s="7" t="str">
        <x:v>CH-PEA-B-X3-16-3</x:v>
      </x:c>
      <x:c r="D1251" s="7" t="str">
        <x:v>PEA-B-X3</x:v>
      </x:c>
      <x:c r="E1251" s="7" t="str">
        <x:v>BLD-B</x:v>
      </x:c>
      <x:c r="F1251" s="7" t="str">
        <x:v>BL-X</x:v>
      </x:c>
      <x:c r="G1251" s="7" t="str">
        <x:v>MF-16</x:v>
      </x:c>
      <x:c r="H1251" s="7" t="str"/>
      <x:c r="I1251" s="7" t="str"/>
      <x:c r="J1251" s="7" t="str">
        <x:f>IF(OR(H1251="",I1251=""),"",I1251-H1251)</x:f>
      </x:c>
      <x:c r="K1251" s="7" t="str"/>
      <x:c r="L1251" s="7" t="str"/>
      <x:c r="M1251" s="7" t="str">
        <x:f>IF(L1251="","OPEN",IF(OR(NOT(ISNUMBER(H1251)),NOT(ISNUMBER(I1251)),NOT(ISNUMBER(K1251)),ABS(J1251)&gt;K1251),"FAIL","PASS"))</x:f>
        <x:v>OPEN</x:v>
      </x:c>
    </x:row>
    <x:row r="1252">
      <x:c r="B1252" s="7" t="str">
        <x:v>CAL-CH-PEA-B-X3-16-4</x:v>
      </x:c>
      <x:c r="C1252" s="7" t="str">
        <x:v>CH-PEA-B-X3-16-4</x:v>
      </x:c>
      <x:c r="D1252" s="7" t="str">
        <x:v>PEA-B-X3</x:v>
      </x:c>
      <x:c r="E1252" s="7" t="str">
        <x:v>BLD-B</x:v>
      </x:c>
      <x:c r="F1252" s="7" t="str">
        <x:v>BL-X</x:v>
      </x:c>
      <x:c r="G1252" s="7" t="str">
        <x:v>MF-16</x:v>
      </x:c>
      <x:c r="H1252" s="7" t="str"/>
      <x:c r="I1252" s="7" t="str"/>
      <x:c r="J1252" s="7" t="str">
        <x:f>IF(OR(H1252="",I1252=""),"",I1252-H1252)</x:f>
      </x:c>
      <x:c r="K1252" s="7" t="str"/>
      <x:c r="L1252" s="7" t="str"/>
      <x:c r="M1252" s="7" t="str">
        <x:f>IF(L1252="","OPEN",IF(OR(NOT(ISNUMBER(H1252)),NOT(ISNUMBER(I1252)),NOT(ISNUMBER(K1252)),ABS(J1252)&gt;K1252),"FAIL","PASS"))</x:f>
        <x:v>OPEN</x:v>
      </x:c>
    </x:row>
    <x:row r="1253">
      <x:c r="B1253" s="7" t="str">
        <x:v>CAL-CH-PEA-B-X3-16-5</x:v>
      </x:c>
      <x:c r="C1253" s="7" t="str">
        <x:v>CH-PEA-B-X3-16-5</x:v>
      </x:c>
      <x:c r="D1253" s="7" t="str">
        <x:v>PEA-B-X3</x:v>
      </x:c>
      <x:c r="E1253" s="7" t="str">
        <x:v>BLD-B</x:v>
      </x:c>
      <x:c r="F1253" s="7" t="str">
        <x:v>BL-X</x:v>
      </x:c>
      <x:c r="G1253" s="7" t="str">
        <x:v>MF-16</x:v>
      </x:c>
      <x:c r="H1253" s="7" t="str"/>
      <x:c r="I1253" s="7" t="str"/>
      <x:c r="J1253" s="7" t="str">
        <x:f>IF(OR(H1253="",I1253=""),"",I1253-H1253)</x:f>
      </x:c>
      <x:c r="K1253" s="7" t="str"/>
      <x:c r="L1253" s="7" t="str"/>
      <x:c r="M1253" s="7" t="str">
        <x:f>IF(L1253="","OPEN",IF(OR(NOT(ISNUMBER(H1253)),NOT(ISNUMBER(I1253)),NOT(ISNUMBER(K1253)),ABS(J1253)&gt;K1253),"FAIL","PASS"))</x:f>
        <x:v>OPEN</x:v>
      </x:c>
    </x:row>
    <x:row r="1254">
      <x:c r="B1254" s="7" t="str">
        <x:v>CAL-CH-PEA-B-X3-16-6</x:v>
      </x:c>
      <x:c r="C1254" s="7" t="str">
        <x:v>CH-PEA-B-X3-16-6</x:v>
      </x:c>
      <x:c r="D1254" s="7" t="str">
        <x:v>PEA-B-X3</x:v>
      </x:c>
      <x:c r="E1254" s="7" t="str">
        <x:v>BLD-B</x:v>
      </x:c>
      <x:c r="F1254" s="7" t="str">
        <x:v>BL-X</x:v>
      </x:c>
      <x:c r="G1254" s="7" t="str">
        <x:v>MF-16</x:v>
      </x:c>
      <x:c r="H1254" s="7" t="str"/>
      <x:c r="I1254" s="7" t="str"/>
      <x:c r="J1254" s="7" t="str">
        <x:f>IF(OR(H1254="",I1254=""),"",I1254-H1254)</x:f>
      </x:c>
      <x:c r="K1254" s="7" t="str"/>
      <x:c r="L1254" s="7" t="str"/>
      <x:c r="M1254" s="7" t="str">
        <x:f>IF(L1254="","OPEN",IF(OR(NOT(ISNUMBER(H1254)),NOT(ISNUMBER(I1254)),NOT(ISNUMBER(K1254)),ABS(J1254)&gt;K1254),"FAIL","PASS"))</x:f>
        <x:v>OPEN</x:v>
      </x:c>
    </x:row>
    <x:row r="1255">
      <x:c r="B1255" s="7" t="str">
        <x:v>CAL-CH-PEA-B-X3-17-1</x:v>
      </x:c>
      <x:c r="C1255" s="7" t="str">
        <x:v>CH-PEA-B-X3-17-1</x:v>
      </x:c>
      <x:c r="D1255" s="7" t="str">
        <x:v>PEA-B-X3</x:v>
      </x:c>
      <x:c r="E1255" s="7" t="str">
        <x:v>BLD-B</x:v>
      </x:c>
      <x:c r="F1255" s="7" t="str">
        <x:v>BL-X</x:v>
      </x:c>
      <x:c r="G1255" s="7" t="str">
        <x:v>MF-17</x:v>
      </x:c>
      <x:c r="H1255" s="7" t="str"/>
      <x:c r="I1255" s="7" t="str"/>
      <x:c r="J1255" s="7" t="str">
        <x:f>IF(OR(H1255="",I1255=""),"",I1255-H1255)</x:f>
      </x:c>
      <x:c r="K1255" s="7" t="str"/>
      <x:c r="L1255" s="7" t="str"/>
      <x:c r="M1255" s="7" t="str">
        <x:f>IF(L1255="","OPEN",IF(OR(NOT(ISNUMBER(H1255)),NOT(ISNUMBER(I1255)),NOT(ISNUMBER(K1255)),ABS(J1255)&gt;K1255),"FAIL","PASS"))</x:f>
        <x:v>OPEN</x:v>
      </x:c>
    </x:row>
    <x:row r="1256">
      <x:c r="B1256" s="7" t="str">
        <x:v>CAL-CH-PEA-B-X3-17-2</x:v>
      </x:c>
      <x:c r="C1256" s="7" t="str">
        <x:v>CH-PEA-B-X3-17-2</x:v>
      </x:c>
      <x:c r="D1256" s="7" t="str">
        <x:v>PEA-B-X3</x:v>
      </x:c>
      <x:c r="E1256" s="7" t="str">
        <x:v>BLD-B</x:v>
      </x:c>
      <x:c r="F1256" s="7" t="str">
        <x:v>BL-X</x:v>
      </x:c>
      <x:c r="G1256" s="7" t="str">
        <x:v>MF-17</x:v>
      </x:c>
      <x:c r="H1256" s="7" t="str"/>
      <x:c r="I1256" s="7" t="str"/>
      <x:c r="J1256" s="7" t="str">
        <x:f>IF(OR(H1256="",I1256=""),"",I1256-H1256)</x:f>
      </x:c>
      <x:c r="K1256" s="7" t="str"/>
      <x:c r="L1256" s="7" t="str"/>
      <x:c r="M1256" s="7" t="str">
        <x:f>IF(L1256="","OPEN",IF(OR(NOT(ISNUMBER(H1256)),NOT(ISNUMBER(I1256)),NOT(ISNUMBER(K1256)),ABS(J1256)&gt;K1256),"FAIL","PASS"))</x:f>
        <x:v>OPEN</x:v>
      </x:c>
    </x:row>
    <x:row r="1257">
      <x:c r="B1257" s="7" t="str">
        <x:v>CAL-CH-PEA-B-X3-17-3</x:v>
      </x:c>
      <x:c r="C1257" s="7" t="str">
        <x:v>CH-PEA-B-X3-17-3</x:v>
      </x:c>
      <x:c r="D1257" s="7" t="str">
        <x:v>PEA-B-X3</x:v>
      </x:c>
      <x:c r="E1257" s="7" t="str">
        <x:v>BLD-B</x:v>
      </x:c>
      <x:c r="F1257" s="7" t="str">
        <x:v>BL-X</x:v>
      </x:c>
      <x:c r="G1257" s="7" t="str">
        <x:v>MF-17</x:v>
      </x:c>
      <x:c r="H1257" s="7" t="str"/>
      <x:c r="I1257" s="7" t="str"/>
      <x:c r="J1257" s="7" t="str">
        <x:f>IF(OR(H1257="",I1257=""),"",I1257-H1257)</x:f>
      </x:c>
      <x:c r="K1257" s="7" t="str"/>
      <x:c r="L1257" s="7" t="str"/>
      <x:c r="M1257" s="7" t="str">
        <x:f>IF(L1257="","OPEN",IF(OR(NOT(ISNUMBER(H1257)),NOT(ISNUMBER(I1257)),NOT(ISNUMBER(K1257)),ABS(J1257)&gt;K1257),"FAIL","PASS"))</x:f>
        <x:v>OPEN</x:v>
      </x:c>
    </x:row>
    <x:row r="1258">
      <x:c r="B1258" s="7" t="str">
        <x:v>CAL-CH-PEA-B-X3-17-4</x:v>
      </x:c>
      <x:c r="C1258" s="7" t="str">
        <x:v>CH-PEA-B-X3-17-4</x:v>
      </x:c>
      <x:c r="D1258" s="7" t="str">
        <x:v>PEA-B-X3</x:v>
      </x:c>
      <x:c r="E1258" s="7" t="str">
        <x:v>BLD-B</x:v>
      </x:c>
      <x:c r="F1258" s="7" t="str">
        <x:v>BL-X</x:v>
      </x:c>
      <x:c r="G1258" s="7" t="str">
        <x:v>MF-17</x:v>
      </x:c>
      <x:c r="H1258" s="7" t="str"/>
      <x:c r="I1258" s="7" t="str"/>
      <x:c r="J1258" s="7" t="str">
        <x:f>IF(OR(H1258="",I1258=""),"",I1258-H1258)</x:f>
      </x:c>
      <x:c r="K1258" s="7" t="str"/>
      <x:c r="L1258" s="7" t="str"/>
      <x:c r="M1258" s="7" t="str">
        <x:f>IF(L1258="","OPEN",IF(OR(NOT(ISNUMBER(H1258)),NOT(ISNUMBER(I1258)),NOT(ISNUMBER(K1258)),ABS(J1258)&gt;K1258),"FAIL","PASS"))</x:f>
        <x:v>OPEN</x:v>
      </x:c>
    </x:row>
    <x:row r="1259">
      <x:c r="B1259" s="7" t="str">
        <x:v>CAL-CH-PEA-B-X3-17-5</x:v>
      </x:c>
      <x:c r="C1259" s="7" t="str">
        <x:v>CH-PEA-B-X3-17-5</x:v>
      </x:c>
      <x:c r="D1259" s="7" t="str">
        <x:v>PEA-B-X3</x:v>
      </x:c>
      <x:c r="E1259" s="7" t="str">
        <x:v>BLD-B</x:v>
      </x:c>
      <x:c r="F1259" s="7" t="str">
        <x:v>BL-X</x:v>
      </x:c>
      <x:c r="G1259" s="7" t="str">
        <x:v>MF-17</x:v>
      </x:c>
      <x:c r="H1259" s="7" t="str"/>
      <x:c r="I1259" s="7" t="str"/>
      <x:c r="J1259" s="7" t="str">
        <x:f>IF(OR(H1259="",I1259=""),"",I1259-H1259)</x:f>
      </x:c>
      <x:c r="K1259" s="7" t="str"/>
      <x:c r="L1259" s="7" t="str"/>
      <x:c r="M1259" s="7" t="str">
        <x:f>IF(L1259="","OPEN",IF(OR(NOT(ISNUMBER(H1259)),NOT(ISNUMBER(I1259)),NOT(ISNUMBER(K1259)),ABS(J1259)&gt;K1259),"FAIL","PASS"))</x:f>
        <x:v>OPEN</x:v>
      </x:c>
    </x:row>
    <x:row r="1260">
      <x:c r="B1260" s="7" t="str">
        <x:v>CAL-CH-PEA-B-X3-17-6</x:v>
      </x:c>
      <x:c r="C1260" s="7" t="str">
        <x:v>CH-PEA-B-X3-17-6</x:v>
      </x:c>
      <x:c r="D1260" s="7" t="str">
        <x:v>PEA-B-X3</x:v>
      </x:c>
      <x:c r="E1260" s="7" t="str">
        <x:v>BLD-B</x:v>
      </x:c>
      <x:c r="F1260" s="7" t="str">
        <x:v>BL-X</x:v>
      </x:c>
      <x:c r="G1260" s="7" t="str">
        <x:v>MF-17</x:v>
      </x:c>
      <x:c r="H1260" s="7" t="str"/>
      <x:c r="I1260" s="7" t="str"/>
      <x:c r="J1260" s="7" t="str">
        <x:f>IF(OR(H1260="",I1260=""),"",I1260-H1260)</x:f>
      </x:c>
      <x:c r="K1260" s="7" t="str"/>
      <x:c r="L1260" s="7" t="str"/>
      <x:c r="M1260" s="7" t="str">
        <x:f>IF(L1260="","OPEN",IF(OR(NOT(ISNUMBER(H1260)),NOT(ISNUMBER(I1260)),NOT(ISNUMBER(K1260)),ABS(J1260)&gt;K1260),"FAIL","PASS"))</x:f>
        <x:v>OPEN</x:v>
      </x:c>
    </x:row>
    <x:row r="1261">
      <x:c r="B1261" s="7" t="str">
        <x:v>CAL-CH-PEA-B-X3-18-1</x:v>
      </x:c>
      <x:c r="C1261" s="7" t="str">
        <x:v>CH-PEA-B-X3-18-1</x:v>
      </x:c>
      <x:c r="D1261" s="7" t="str">
        <x:v>PEA-B-X3</x:v>
      </x:c>
      <x:c r="E1261" s="7" t="str">
        <x:v>BLD-B</x:v>
      </x:c>
      <x:c r="F1261" s="7" t="str">
        <x:v>BL-X</x:v>
      </x:c>
      <x:c r="G1261" s="7" t="str">
        <x:v>MF-18</x:v>
      </x:c>
      <x:c r="H1261" s="7" t="str"/>
      <x:c r="I1261" s="7" t="str"/>
      <x:c r="J1261" s="7" t="str">
        <x:f>IF(OR(H1261="",I1261=""),"",I1261-H1261)</x:f>
      </x:c>
      <x:c r="K1261" s="7" t="str"/>
      <x:c r="L1261" s="7" t="str"/>
      <x:c r="M1261" s="7" t="str">
        <x:f>IF(L1261="","OPEN",IF(OR(NOT(ISNUMBER(H1261)),NOT(ISNUMBER(I1261)),NOT(ISNUMBER(K1261)),ABS(J1261)&gt;K1261),"FAIL","PASS"))</x:f>
        <x:v>OPEN</x:v>
      </x:c>
    </x:row>
    <x:row r="1262">
      <x:c r="B1262" s="7" t="str">
        <x:v>CAL-CH-PEA-B-X3-18-2</x:v>
      </x:c>
      <x:c r="C1262" s="7" t="str">
        <x:v>CH-PEA-B-X3-18-2</x:v>
      </x:c>
      <x:c r="D1262" s="7" t="str">
        <x:v>PEA-B-X3</x:v>
      </x:c>
      <x:c r="E1262" s="7" t="str">
        <x:v>BLD-B</x:v>
      </x:c>
      <x:c r="F1262" s="7" t="str">
        <x:v>BL-X</x:v>
      </x:c>
      <x:c r="G1262" s="7" t="str">
        <x:v>MF-18</x:v>
      </x:c>
      <x:c r="H1262" s="7" t="str"/>
      <x:c r="I1262" s="7" t="str"/>
      <x:c r="J1262" s="7" t="str">
        <x:f>IF(OR(H1262="",I1262=""),"",I1262-H1262)</x:f>
      </x:c>
      <x:c r="K1262" s="7" t="str"/>
      <x:c r="L1262" s="7" t="str"/>
      <x:c r="M1262" s="7" t="str">
        <x:f>IF(L1262="","OPEN",IF(OR(NOT(ISNUMBER(H1262)),NOT(ISNUMBER(I1262)),NOT(ISNUMBER(K1262)),ABS(J1262)&gt;K1262),"FAIL","PASS"))</x:f>
        <x:v>OPEN</x:v>
      </x:c>
    </x:row>
    <x:row r="1263">
      <x:c r="B1263" s="7" t="str">
        <x:v>CAL-CH-PEA-B-X3-18-3</x:v>
      </x:c>
      <x:c r="C1263" s="7" t="str">
        <x:v>CH-PEA-B-X3-18-3</x:v>
      </x:c>
      <x:c r="D1263" s="7" t="str">
        <x:v>PEA-B-X3</x:v>
      </x:c>
      <x:c r="E1263" s="7" t="str">
        <x:v>BLD-B</x:v>
      </x:c>
      <x:c r="F1263" s="7" t="str">
        <x:v>BL-X</x:v>
      </x:c>
      <x:c r="G1263" s="7" t="str">
        <x:v>MF-18</x:v>
      </x:c>
      <x:c r="H1263" s="7" t="str"/>
      <x:c r="I1263" s="7" t="str"/>
      <x:c r="J1263" s="7" t="str">
        <x:f>IF(OR(H1263="",I1263=""),"",I1263-H1263)</x:f>
      </x:c>
      <x:c r="K1263" s="7" t="str"/>
      <x:c r="L1263" s="7" t="str"/>
      <x:c r="M1263" s="7" t="str">
        <x:f>IF(L1263="","OPEN",IF(OR(NOT(ISNUMBER(H1263)),NOT(ISNUMBER(I1263)),NOT(ISNUMBER(K1263)),ABS(J1263)&gt;K1263),"FAIL","PASS"))</x:f>
        <x:v>OPEN</x:v>
      </x:c>
    </x:row>
    <x:row r="1264">
      <x:c r="B1264" s="7" t="str">
        <x:v>CAL-CH-PEA-B-X3-18-4</x:v>
      </x:c>
      <x:c r="C1264" s="7" t="str">
        <x:v>CH-PEA-B-X3-18-4</x:v>
      </x:c>
      <x:c r="D1264" s="7" t="str">
        <x:v>PEA-B-X3</x:v>
      </x:c>
      <x:c r="E1264" s="7" t="str">
        <x:v>BLD-B</x:v>
      </x:c>
      <x:c r="F1264" s="7" t="str">
        <x:v>BL-X</x:v>
      </x:c>
      <x:c r="G1264" s="7" t="str">
        <x:v>MF-18</x:v>
      </x:c>
      <x:c r="H1264" s="7" t="str"/>
      <x:c r="I1264" s="7" t="str"/>
      <x:c r="J1264" s="7" t="str">
        <x:f>IF(OR(H1264="",I1264=""),"",I1264-H1264)</x:f>
      </x:c>
      <x:c r="K1264" s="7" t="str"/>
      <x:c r="L1264" s="7" t="str"/>
      <x:c r="M1264" s="7" t="str">
        <x:f>IF(L1264="","OPEN",IF(OR(NOT(ISNUMBER(H1264)),NOT(ISNUMBER(I1264)),NOT(ISNUMBER(K1264)),ABS(J1264)&gt;K1264),"FAIL","PASS"))</x:f>
        <x:v>OPEN</x:v>
      </x:c>
    </x:row>
    <x:row r="1265">
      <x:c r="B1265" s="7" t="str">
        <x:v>CAL-CH-PEA-B-X3-18-5</x:v>
      </x:c>
      <x:c r="C1265" s="7" t="str">
        <x:v>CH-PEA-B-X3-18-5</x:v>
      </x:c>
      <x:c r="D1265" s="7" t="str">
        <x:v>PEA-B-X3</x:v>
      </x:c>
      <x:c r="E1265" s="7" t="str">
        <x:v>BLD-B</x:v>
      </x:c>
      <x:c r="F1265" s="7" t="str">
        <x:v>BL-X</x:v>
      </x:c>
      <x:c r="G1265" s="7" t="str">
        <x:v>MF-18</x:v>
      </x:c>
      <x:c r="H1265" s="7" t="str"/>
      <x:c r="I1265" s="7" t="str"/>
      <x:c r="J1265" s="7" t="str">
        <x:f>IF(OR(H1265="",I1265=""),"",I1265-H1265)</x:f>
      </x:c>
      <x:c r="K1265" s="7" t="str"/>
      <x:c r="L1265" s="7" t="str"/>
      <x:c r="M1265" s="7" t="str">
        <x:f>IF(L1265="","OPEN",IF(OR(NOT(ISNUMBER(H1265)),NOT(ISNUMBER(I1265)),NOT(ISNUMBER(K1265)),ABS(J1265)&gt;K1265),"FAIL","PASS"))</x:f>
        <x:v>OPEN</x:v>
      </x:c>
    </x:row>
    <x:row r="1266">
      <x:c r="B1266" s="7" t="str">
        <x:v>CAL-CH-PEA-B-X3-18-6</x:v>
      </x:c>
      <x:c r="C1266" s="7" t="str">
        <x:v>CH-PEA-B-X3-18-6</x:v>
      </x:c>
      <x:c r="D1266" s="7" t="str">
        <x:v>PEA-B-X3</x:v>
      </x:c>
      <x:c r="E1266" s="7" t="str">
        <x:v>BLD-B</x:v>
      </x:c>
      <x:c r="F1266" s="7" t="str">
        <x:v>BL-X</x:v>
      </x:c>
      <x:c r="G1266" s="7" t="str">
        <x:v>MF-18</x:v>
      </x:c>
      <x:c r="H1266" s="7" t="str"/>
      <x:c r="I1266" s="7" t="str"/>
      <x:c r="J1266" s="7" t="str">
        <x:f>IF(OR(H1266="",I1266=""),"",I1266-H1266)</x:f>
      </x:c>
      <x:c r="K1266" s="7" t="str"/>
      <x:c r="L1266" s="7" t="str"/>
      <x:c r="M1266" s="7" t="str">
        <x:f>IF(L1266="","OPEN",IF(OR(NOT(ISNUMBER(H1266)),NOT(ISNUMBER(I1266)),NOT(ISNUMBER(K1266)),ABS(J1266)&gt;K1266),"FAIL","PASS"))</x:f>
        <x:v>OPEN</x:v>
      </x:c>
    </x:row>
    <x:row r="1267">
      <x:c r="B1267" s="7" t="str">
        <x:v>CAL-CH-PEA-B-X3-19-1</x:v>
      </x:c>
      <x:c r="C1267" s="7" t="str">
        <x:v>CH-PEA-B-X3-19-1</x:v>
      </x:c>
      <x:c r="D1267" s="7" t="str">
        <x:v>PEA-B-X3</x:v>
      </x:c>
      <x:c r="E1267" s="7" t="str">
        <x:v>BLD-B</x:v>
      </x:c>
      <x:c r="F1267" s="7" t="str">
        <x:v>BL-X</x:v>
      </x:c>
      <x:c r="G1267" s="7" t="str">
        <x:v>MF-19</x:v>
      </x:c>
      <x:c r="H1267" s="7" t="str"/>
      <x:c r="I1267" s="7" t="str"/>
      <x:c r="J1267" s="7" t="str">
        <x:f>IF(OR(H1267="",I1267=""),"",I1267-H1267)</x:f>
      </x:c>
      <x:c r="K1267" s="7" t="str"/>
      <x:c r="L1267" s="7" t="str"/>
      <x:c r="M1267" s="7" t="str">
        <x:f>IF(L1267="","OPEN",IF(OR(NOT(ISNUMBER(H1267)),NOT(ISNUMBER(I1267)),NOT(ISNUMBER(K1267)),ABS(J1267)&gt;K1267),"FAIL","PASS"))</x:f>
        <x:v>OPEN</x:v>
      </x:c>
    </x:row>
    <x:row r="1268">
      <x:c r="B1268" s="7" t="str">
        <x:v>CAL-CH-PEA-B-X3-19-2</x:v>
      </x:c>
      <x:c r="C1268" s="7" t="str">
        <x:v>CH-PEA-B-X3-19-2</x:v>
      </x:c>
      <x:c r="D1268" s="7" t="str">
        <x:v>PEA-B-X3</x:v>
      </x:c>
      <x:c r="E1268" s="7" t="str">
        <x:v>BLD-B</x:v>
      </x:c>
      <x:c r="F1268" s="7" t="str">
        <x:v>BL-X</x:v>
      </x:c>
      <x:c r="G1268" s="7" t="str">
        <x:v>MF-19</x:v>
      </x:c>
      <x:c r="H1268" s="7" t="str"/>
      <x:c r="I1268" s="7" t="str"/>
      <x:c r="J1268" s="7" t="str">
        <x:f>IF(OR(H1268="",I1268=""),"",I1268-H1268)</x:f>
      </x:c>
      <x:c r="K1268" s="7" t="str"/>
      <x:c r="L1268" s="7" t="str"/>
      <x:c r="M1268" s="7" t="str">
        <x:f>IF(L1268="","OPEN",IF(OR(NOT(ISNUMBER(H1268)),NOT(ISNUMBER(I1268)),NOT(ISNUMBER(K1268)),ABS(J1268)&gt;K1268),"FAIL","PASS"))</x:f>
        <x:v>OPEN</x:v>
      </x:c>
    </x:row>
    <x:row r="1269">
      <x:c r="B1269" s="7" t="str">
        <x:v>CAL-CH-PEA-B-X3-19-3</x:v>
      </x:c>
      <x:c r="C1269" s="7" t="str">
        <x:v>CH-PEA-B-X3-19-3</x:v>
      </x:c>
      <x:c r="D1269" s="7" t="str">
        <x:v>PEA-B-X3</x:v>
      </x:c>
      <x:c r="E1269" s="7" t="str">
        <x:v>BLD-B</x:v>
      </x:c>
      <x:c r="F1269" s="7" t="str">
        <x:v>BL-X</x:v>
      </x:c>
      <x:c r="G1269" s="7" t="str">
        <x:v>MF-19</x:v>
      </x:c>
      <x:c r="H1269" s="7" t="str"/>
      <x:c r="I1269" s="7" t="str"/>
      <x:c r="J1269" s="7" t="str">
        <x:f>IF(OR(H1269="",I1269=""),"",I1269-H1269)</x:f>
      </x:c>
      <x:c r="K1269" s="7" t="str"/>
      <x:c r="L1269" s="7" t="str"/>
      <x:c r="M1269" s="7" t="str">
        <x:f>IF(L1269="","OPEN",IF(OR(NOT(ISNUMBER(H1269)),NOT(ISNUMBER(I1269)),NOT(ISNUMBER(K1269)),ABS(J1269)&gt;K1269),"FAIL","PASS"))</x:f>
        <x:v>OPEN</x:v>
      </x:c>
    </x:row>
    <x:row r="1270">
      <x:c r="B1270" s="7" t="str">
        <x:v>CAL-CH-PEA-B-X3-19-4</x:v>
      </x:c>
      <x:c r="C1270" s="7" t="str">
        <x:v>CH-PEA-B-X3-19-4</x:v>
      </x:c>
      <x:c r="D1270" s="7" t="str">
        <x:v>PEA-B-X3</x:v>
      </x:c>
      <x:c r="E1270" s="7" t="str">
        <x:v>BLD-B</x:v>
      </x:c>
      <x:c r="F1270" s="7" t="str">
        <x:v>BL-X</x:v>
      </x:c>
      <x:c r="G1270" s="7" t="str">
        <x:v>MF-19</x:v>
      </x:c>
      <x:c r="H1270" s="7" t="str"/>
      <x:c r="I1270" s="7" t="str"/>
      <x:c r="J1270" s="7" t="str">
        <x:f>IF(OR(H1270="",I1270=""),"",I1270-H1270)</x:f>
      </x:c>
      <x:c r="K1270" s="7" t="str"/>
      <x:c r="L1270" s="7" t="str"/>
      <x:c r="M1270" s="7" t="str">
        <x:f>IF(L1270="","OPEN",IF(OR(NOT(ISNUMBER(H1270)),NOT(ISNUMBER(I1270)),NOT(ISNUMBER(K1270)),ABS(J1270)&gt;K1270),"FAIL","PASS"))</x:f>
        <x:v>OPEN</x:v>
      </x:c>
    </x:row>
    <x:row r="1271">
      <x:c r="B1271" s="7" t="str">
        <x:v>CAL-CH-PEA-B-X3-19-5</x:v>
      </x:c>
      <x:c r="C1271" s="7" t="str">
        <x:v>CH-PEA-B-X3-19-5</x:v>
      </x:c>
      <x:c r="D1271" s="7" t="str">
        <x:v>PEA-B-X3</x:v>
      </x:c>
      <x:c r="E1271" s="7" t="str">
        <x:v>BLD-B</x:v>
      </x:c>
      <x:c r="F1271" s="7" t="str">
        <x:v>BL-X</x:v>
      </x:c>
      <x:c r="G1271" s="7" t="str">
        <x:v>MF-19</x:v>
      </x:c>
      <x:c r="H1271" s="7" t="str"/>
      <x:c r="I1271" s="7" t="str"/>
      <x:c r="J1271" s="7" t="str">
        <x:f>IF(OR(H1271="",I1271=""),"",I1271-H1271)</x:f>
      </x:c>
      <x:c r="K1271" s="7" t="str"/>
      <x:c r="L1271" s="7" t="str"/>
      <x:c r="M1271" s="7" t="str">
        <x:f>IF(L1271="","OPEN",IF(OR(NOT(ISNUMBER(H1271)),NOT(ISNUMBER(I1271)),NOT(ISNUMBER(K1271)),ABS(J1271)&gt;K1271),"FAIL","PASS"))</x:f>
        <x:v>OPEN</x:v>
      </x:c>
    </x:row>
    <x:row r="1272">
      <x:c r="B1272" s="7" t="str">
        <x:v>CAL-CH-PEA-B-X3-19-6</x:v>
      </x:c>
      <x:c r="C1272" s="7" t="str">
        <x:v>CH-PEA-B-X3-19-6</x:v>
      </x:c>
      <x:c r="D1272" s="7" t="str">
        <x:v>PEA-B-X3</x:v>
      </x:c>
      <x:c r="E1272" s="7" t="str">
        <x:v>BLD-B</x:v>
      </x:c>
      <x:c r="F1272" s="7" t="str">
        <x:v>BL-X</x:v>
      </x:c>
      <x:c r="G1272" s="7" t="str">
        <x:v>MF-19</x:v>
      </x:c>
      <x:c r="H1272" s="7" t="str"/>
      <x:c r="I1272" s="7" t="str"/>
      <x:c r="J1272" s="7" t="str">
        <x:f>IF(OR(H1272="",I1272=""),"",I1272-H1272)</x:f>
      </x:c>
      <x:c r="K1272" s="7" t="str"/>
      <x:c r="L1272" s="7" t="str"/>
      <x:c r="M1272" s="7" t="str">
        <x:f>IF(L1272="","OPEN",IF(OR(NOT(ISNUMBER(H1272)),NOT(ISNUMBER(I1272)),NOT(ISNUMBER(K1272)),ABS(J1272)&gt;K1272),"FAIL","PASS"))</x:f>
        <x:v>OPEN</x:v>
      </x:c>
    </x:row>
    <x:row r="1273">
      <x:c r="B1273" s="7" t="str">
        <x:v>CAL-CH-PEA-B-X3-20-1</x:v>
      </x:c>
      <x:c r="C1273" s="7" t="str">
        <x:v>CH-PEA-B-X3-20-1</x:v>
      </x:c>
      <x:c r="D1273" s="7" t="str">
        <x:v>PEA-B-X3</x:v>
      </x:c>
      <x:c r="E1273" s="7" t="str">
        <x:v>BLD-B</x:v>
      </x:c>
      <x:c r="F1273" s="7" t="str">
        <x:v>BL-X</x:v>
      </x:c>
      <x:c r="G1273" s="7" t="str">
        <x:v>MF-20</x:v>
      </x:c>
      <x:c r="H1273" s="7" t="str"/>
      <x:c r="I1273" s="7" t="str"/>
      <x:c r="J1273" s="7" t="str">
        <x:f>IF(OR(H1273="",I1273=""),"",I1273-H1273)</x:f>
      </x:c>
      <x:c r="K1273" s="7" t="str"/>
      <x:c r="L1273" s="7" t="str"/>
      <x:c r="M1273" s="7" t="str">
        <x:f>IF(L1273="","OPEN",IF(OR(NOT(ISNUMBER(H1273)),NOT(ISNUMBER(I1273)),NOT(ISNUMBER(K1273)),ABS(J1273)&gt;K1273),"FAIL","PASS"))</x:f>
        <x:v>OPEN</x:v>
      </x:c>
    </x:row>
    <x:row r="1274">
      <x:c r="B1274" s="7" t="str">
        <x:v>CAL-CH-PEA-B-X3-20-2</x:v>
      </x:c>
      <x:c r="C1274" s="7" t="str">
        <x:v>CH-PEA-B-X3-20-2</x:v>
      </x:c>
      <x:c r="D1274" s="7" t="str">
        <x:v>PEA-B-X3</x:v>
      </x:c>
      <x:c r="E1274" s="7" t="str">
        <x:v>BLD-B</x:v>
      </x:c>
      <x:c r="F1274" s="7" t="str">
        <x:v>BL-X</x:v>
      </x:c>
      <x:c r="G1274" s="7" t="str">
        <x:v>MF-20</x:v>
      </x:c>
      <x:c r="H1274" s="7" t="str"/>
      <x:c r="I1274" s="7" t="str"/>
      <x:c r="J1274" s="7" t="str">
        <x:f>IF(OR(H1274="",I1274=""),"",I1274-H1274)</x:f>
      </x:c>
      <x:c r="K1274" s="7" t="str"/>
      <x:c r="L1274" s="7" t="str"/>
      <x:c r="M1274" s="7" t="str">
        <x:f>IF(L1274="","OPEN",IF(OR(NOT(ISNUMBER(H1274)),NOT(ISNUMBER(I1274)),NOT(ISNUMBER(K1274)),ABS(J1274)&gt;K1274),"FAIL","PASS"))</x:f>
        <x:v>OPEN</x:v>
      </x:c>
    </x:row>
    <x:row r="1275">
      <x:c r="B1275" s="7" t="str">
        <x:v>CAL-CH-PEA-B-X3-20-3</x:v>
      </x:c>
      <x:c r="C1275" s="7" t="str">
        <x:v>CH-PEA-B-X3-20-3</x:v>
      </x:c>
      <x:c r="D1275" s="7" t="str">
        <x:v>PEA-B-X3</x:v>
      </x:c>
      <x:c r="E1275" s="7" t="str">
        <x:v>BLD-B</x:v>
      </x:c>
      <x:c r="F1275" s="7" t="str">
        <x:v>BL-X</x:v>
      </x:c>
      <x:c r="G1275" s="7" t="str">
        <x:v>MF-20</x:v>
      </x:c>
      <x:c r="H1275" s="7" t="str"/>
      <x:c r="I1275" s="7" t="str"/>
      <x:c r="J1275" s="7" t="str">
        <x:f>IF(OR(H1275="",I1275=""),"",I1275-H1275)</x:f>
      </x:c>
      <x:c r="K1275" s="7" t="str"/>
      <x:c r="L1275" s="7" t="str"/>
      <x:c r="M1275" s="7" t="str">
        <x:f>IF(L1275="","OPEN",IF(OR(NOT(ISNUMBER(H1275)),NOT(ISNUMBER(I1275)),NOT(ISNUMBER(K1275)),ABS(J1275)&gt;K1275),"FAIL","PASS"))</x:f>
        <x:v>OPEN</x:v>
      </x:c>
    </x:row>
    <x:row r="1276">
      <x:c r="B1276" s="7" t="str">
        <x:v>CAL-CH-PEA-B-X3-20-4</x:v>
      </x:c>
      <x:c r="C1276" s="7" t="str">
        <x:v>CH-PEA-B-X3-20-4</x:v>
      </x:c>
      <x:c r="D1276" s="7" t="str">
        <x:v>PEA-B-X3</x:v>
      </x:c>
      <x:c r="E1276" s="7" t="str">
        <x:v>BLD-B</x:v>
      </x:c>
      <x:c r="F1276" s="7" t="str">
        <x:v>BL-X</x:v>
      </x:c>
      <x:c r="G1276" s="7" t="str">
        <x:v>MF-20</x:v>
      </x:c>
      <x:c r="H1276" s="7" t="str"/>
      <x:c r="I1276" s="7" t="str"/>
      <x:c r="J1276" s="7" t="str">
        <x:f>IF(OR(H1276="",I1276=""),"",I1276-H1276)</x:f>
      </x:c>
      <x:c r="K1276" s="7" t="str"/>
      <x:c r="L1276" s="7" t="str"/>
      <x:c r="M1276" s="7" t="str">
        <x:f>IF(L1276="","OPEN",IF(OR(NOT(ISNUMBER(H1276)),NOT(ISNUMBER(I1276)),NOT(ISNUMBER(K1276)),ABS(J1276)&gt;K1276),"FAIL","PASS"))</x:f>
        <x:v>OPEN</x:v>
      </x:c>
    </x:row>
    <x:row r="1277">
      <x:c r="B1277" s="7" t="str">
        <x:v>CAL-CH-PEA-B-X3-20-5</x:v>
      </x:c>
      <x:c r="C1277" s="7" t="str">
        <x:v>CH-PEA-B-X3-20-5</x:v>
      </x:c>
      <x:c r="D1277" s="7" t="str">
        <x:v>PEA-B-X3</x:v>
      </x:c>
      <x:c r="E1277" s="7" t="str">
        <x:v>BLD-B</x:v>
      </x:c>
      <x:c r="F1277" s="7" t="str">
        <x:v>BL-X</x:v>
      </x:c>
      <x:c r="G1277" s="7" t="str">
        <x:v>MF-20</x:v>
      </x:c>
      <x:c r="H1277" s="7" t="str"/>
      <x:c r="I1277" s="7" t="str"/>
      <x:c r="J1277" s="7" t="str">
        <x:f>IF(OR(H1277="",I1277=""),"",I1277-H1277)</x:f>
      </x:c>
      <x:c r="K1277" s="7" t="str"/>
      <x:c r="L1277" s="7" t="str"/>
      <x:c r="M1277" s="7" t="str">
        <x:f>IF(L1277="","OPEN",IF(OR(NOT(ISNUMBER(H1277)),NOT(ISNUMBER(I1277)),NOT(ISNUMBER(K1277)),ABS(J1277)&gt;K1277),"FAIL","PASS"))</x:f>
        <x:v>OPEN</x:v>
      </x:c>
    </x:row>
    <x:row r="1278">
      <x:c r="B1278" s="7" t="str">
        <x:v>CAL-CH-PEA-B-X3-20-6</x:v>
      </x:c>
      <x:c r="C1278" s="7" t="str">
        <x:v>CH-PEA-B-X3-20-6</x:v>
      </x:c>
      <x:c r="D1278" s="7" t="str">
        <x:v>PEA-B-X3</x:v>
      </x:c>
      <x:c r="E1278" s="7" t="str">
        <x:v>BLD-B</x:v>
      </x:c>
      <x:c r="F1278" s="7" t="str">
        <x:v>BL-X</x:v>
      </x:c>
      <x:c r="G1278" s="7" t="str">
        <x:v>MF-20</x:v>
      </x:c>
      <x:c r="H1278" s="7" t="str"/>
      <x:c r="I1278" s="7" t="str"/>
      <x:c r="J1278" s="7" t="str">
        <x:f>IF(OR(H1278="",I1278=""),"",I1278-H1278)</x:f>
      </x:c>
      <x:c r="K1278" s="7" t="str"/>
      <x:c r="L1278" s="7" t="str"/>
      <x:c r="M1278" s="7" t="str">
        <x:f>IF(L1278="","OPEN",IF(OR(NOT(ISNUMBER(H1278)),NOT(ISNUMBER(I1278)),NOT(ISNUMBER(K1278)),ABS(J1278)&gt;K1278),"FAIL","PASS"))</x:f>
        <x:v>OPEN</x:v>
      </x:c>
    </x:row>
    <x:row r="1279">
      <x:c r="B1279" s="7" t="str">
        <x:v>CAL-CH-PEA-B-X3-21-1</x:v>
      </x:c>
      <x:c r="C1279" s="7" t="str">
        <x:v>CH-PEA-B-X3-21-1</x:v>
      </x:c>
      <x:c r="D1279" s="7" t="str">
        <x:v>PEA-B-X3</x:v>
      </x:c>
      <x:c r="E1279" s="7" t="str">
        <x:v>BLD-B</x:v>
      </x:c>
      <x:c r="F1279" s="7" t="str">
        <x:v>BL-X</x:v>
      </x:c>
      <x:c r="G1279" s="7" t="str">
        <x:v>MF-21</x:v>
      </x:c>
      <x:c r="H1279" s="7" t="str"/>
      <x:c r="I1279" s="7" t="str"/>
      <x:c r="J1279" s="7" t="str">
        <x:f>IF(OR(H1279="",I1279=""),"",I1279-H1279)</x:f>
      </x:c>
      <x:c r="K1279" s="7" t="str"/>
      <x:c r="L1279" s="7" t="str"/>
      <x:c r="M1279" s="7" t="str">
        <x:f>IF(L1279="","OPEN",IF(OR(NOT(ISNUMBER(H1279)),NOT(ISNUMBER(I1279)),NOT(ISNUMBER(K1279)),ABS(J1279)&gt;K1279),"FAIL","PASS"))</x:f>
        <x:v>OPEN</x:v>
      </x:c>
    </x:row>
    <x:row r="1280">
      <x:c r="B1280" s="7" t="str">
        <x:v>CAL-CH-PEA-B-X3-21-2</x:v>
      </x:c>
      <x:c r="C1280" s="7" t="str">
        <x:v>CH-PEA-B-X3-21-2</x:v>
      </x:c>
      <x:c r="D1280" s="7" t="str">
        <x:v>PEA-B-X3</x:v>
      </x:c>
      <x:c r="E1280" s="7" t="str">
        <x:v>BLD-B</x:v>
      </x:c>
      <x:c r="F1280" s="7" t="str">
        <x:v>BL-X</x:v>
      </x:c>
      <x:c r="G1280" s="7" t="str">
        <x:v>MF-21</x:v>
      </x:c>
      <x:c r="H1280" s="7" t="str"/>
      <x:c r="I1280" s="7" t="str"/>
      <x:c r="J1280" s="7" t="str">
        <x:f>IF(OR(H1280="",I1280=""),"",I1280-H1280)</x:f>
      </x:c>
      <x:c r="K1280" s="7" t="str"/>
      <x:c r="L1280" s="7" t="str"/>
      <x:c r="M1280" s="7" t="str">
        <x:f>IF(L1280="","OPEN",IF(OR(NOT(ISNUMBER(H1280)),NOT(ISNUMBER(I1280)),NOT(ISNUMBER(K1280)),ABS(J1280)&gt;K1280),"FAIL","PASS"))</x:f>
        <x:v>OPEN</x:v>
      </x:c>
    </x:row>
    <x:row r="1281">
      <x:c r="B1281" s="7" t="str">
        <x:v>CAL-CH-PEA-B-X3-21-3</x:v>
      </x:c>
      <x:c r="C1281" s="7" t="str">
        <x:v>CH-PEA-B-X3-21-3</x:v>
      </x:c>
      <x:c r="D1281" s="7" t="str">
        <x:v>PEA-B-X3</x:v>
      </x:c>
      <x:c r="E1281" s="7" t="str">
        <x:v>BLD-B</x:v>
      </x:c>
      <x:c r="F1281" s="7" t="str">
        <x:v>BL-X</x:v>
      </x:c>
      <x:c r="G1281" s="7" t="str">
        <x:v>MF-21</x:v>
      </x:c>
      <x:c r="H1281" s="7" t="str"/>
      <x:c r="I1281" s="7" t="str"/>
      <x:c r="J1281" s="7" t="str">
        <x:f>IF(OR(H1281="",I1281=""),"",I1281-H1281)</x:f>
      </x:c>
      <x:c r="K1281" s="7" t="str"/>
      <x:c r="L1281" s="7" t="str"/>
      <x:c r="M1281" s="7" t="str">
        <x:f>IF(L1281="","OPEN",IF(OR(NOT(ISNUMBER(H1281)),NOT(ISNUMBER(I1281)),NOT(ISNUMBER(K1281)),ABS(J1281)&gt;K1281),"FAIL","PASS"))</x:f>
        <x:v>OPEN</x:v>
      </x:c>
    </x:row>
    <x:row r="1282">
      <x:c r="B1282" s="7" t="str">
        <x:v>CAL-CH-PEA-B-X3-21-4</x:v>
      </x:c>
      <x:c r="C1282" s="7" t="str">
        <x:v>CH-PEA-B-X3-21-4</x:v>
      </x:c>
      <x:c r="D1282" s="7" t="str">
        <x:v>PEA-B-X3</x:v>
      </x:c>
      <x:c r="E1282" s="7" t="str">
        <x:v>BLD-B</x:v>
      </x:c>
      <x:c r="F1282" s="7" t="str">
        <x:v>BL-X</x:v>
      </x:c>
      <x:c r="G1282" s="7" t="str">
        <x:v>MF-21</x:v>
      </x:c>
      <x:c r="H1282" s="7" t="str"/>
      <x:c r="I1282" s="7" t="str"/>
      <x:c r="J1282" s="7" t="str">
        <x:f>IF(OR(H1282="",I1282=""),"",I1282-H1282)</x:f>
      </x:c>
      <x:c r="K1282" s="7" t="str"/>
      <x:c r="L1282" s="7" t="str"/>
      <x:c r="M1282" s="7" t="str">
        <x:f>IF(L1282="","OPEN",IF(OR(NOT(ISNUMBER(H1282)),NOT(ISNUMBER(I1282)),NOT(ISNUMBER(K1282)),ABS(J1282)&gt;K1282),"FAIL","PASS"))</x:f>
        <x:v>OPEN</x:v>
      </x:c>
    </x:row>
    <x:row r="1283">
      <x:c r="B1283" s="7" t="str">
        <x:v>CAL-CH-PEA-B-X3-21-5</x:v>
      </x:c>
      <x:c r="C1283" s="7" t="str">
        <x:v>CH-PEA-B-X3-21-5</x:v>
      </x:c>
      <x:c r="D1283" s="7" t="str">
        <x:v>PEA-B-X3</x:v>
      </x:c>
      <x:c r="E1283" s="7" t="str">
        <x:v>BLD-B</x:v>
      </x:c>
      <x:c r="F1283" s="7" t="str">
        <x:v>BL-X</x:v>
      </x:c>
      <x:c r="G1283" s="7" t="str">
        <x:v>MF-21</x:v>
      </x:c>
      <x:c r="H1283" s="7" t="str"/>
      <x:c r="I1283" s="7" t="str"/>
      <x:c r="J1283" s="7" t="str">
        <x:f>IF(OR(H1283="",I1283=""),"",I1283-H1283)</x:f>
      </x:c>
      <x:c r="K1283" s="7" t="str"/>
      <x:c r="L1283" s="7" t="str"/>
      <x:c r="M1283" s="7" t="str">
        <x:f>IF(L1283="","OPEN",IF(OR(NOT(ISNUMBER(H1283)),NOT(ISNUMBER(I1283)),NOT(ISNUMBER(K1283)),ABS(J1283)&gt;K1283),"FAIL","PASS"))</x:f>
        <x:v>OPEN</x:v>
      </x:c>
    </x:row>
    <x:row r="1284">
      <x:c r="B1284" s="7" t="str">
        <x:v>CAL-CH-PEA-B-X3-21-6</x:v>
      </x:c>
      <x:c r="C1284" s="7" t="str">
        <x:v>CH-PEA-B-X3-21-6</x:v>
      </x:c>
      <x:c r="D1284" s="7" t="str">
        <x:v>PEA-B-X3</x:v>
      </x:c>
      <x:c r="E1284" s="7" t="str">
        <x:v>BLD-B</x:v>
      </x:c>
      <x:c r="F1284" s="7" t="str">
        <x:v>BL-X</x:v>
      </x:c>
      <x:c r="G1284" s="7" t="str">
        <x:v>MF-21</x:v>
      </x:c>
      <x:c r="H1284" s="7" t="str"/>
      <x:c r="I1284" s="7" t="str"/>
      <x:c r="J1284" s="7" t="str">
        <x:f>IF(OR(H1284="",I1284=""),"",I1284-H1284)</x:f>
      </x:c>
      <x:c r="K1284" s="7" t="str"/>
      <x:c r="L1284" s="7" t="str"/>
      <x:c r="M1284" s="7" t="str">
        <x:f>IF(L1284="","OPEN",IF(OR(NOT(ISNUMBER(H1284)),NOT(ISNUMBER(I1284)),NOT(ISNUMBER(K1284)),ABS(J1284)&gt;K1284),"FAIL","PASS"))</x:f>
        <x:v>OPEN</x:v>
      </x:c>
    </x:row>
    <x:row r="1285">
      <x:c r="B1285" s="7" t="str">
        <x:v>CAL-CH-PEA-B-X3-22-1</x:v>
      </x:c>
      <x:c r="C1285" s="7" t="str">
        <x:v>CH-PEA-B-X3-22-1</x:v>
      </x:c>
      <x:c r="D1285" s="7" t="str">
        <x:v>PEA-B-X3</x:v>
      </x:c>
      <x:c r="E1285" s="7" t="str">
        <x:v>BLD-B</x:v>
      </x:c>
      <x:c r="F1285" s="7" t="str">
        <x:v>BL-X</x:v>
      </x:c>
      <x:c r="G1285" s="7" t="str">
        <x:v>MF-22</x:v>
      </x:c>
      <x:c r="H1285" s="7" t="str"/>
      <x:c r="I1285" s="7" t="str"/>
      <x:c r="J1285" s="7" t="str">
        <x:f>IF(OR(H1285="",I1285=""),"",I1285-H1285)</x:f>
      </x:c>
      <x:c r="K1285" s="7" t="str"/>
      <x:c r="L1285" s="7" t="str"/>
      <x:c r="M1285" s="7" t="str">
        <x:f>IF(L1285="","OPEN",IF(OR(NOT(ISNUMBER(H1285)),NOT(ISNUMBER(I1285)),NOT(ISNUMBER(K1285)),ABS(J1285)&gt;K1285),"FAIL","PASS"))</x:f>
        <x:v>OPEN</x:v>
      </x:c>
    </x:row>
    <x:row r="1286">
      <x:c r="B1286" s="7" t="str">
        <x:v>CAL-CH-PEA-B-X3-22-2</x:v>
      </x:c>
      <x:c r="C1286" s="7" t="str">
        <x:v>CH-PEA-B-X3-22-2</x:v>
      </x:c>
      <x:c r="D1286" s="7" t="str">
        <x:v>PEA-B-X3</x:v>
      </x:c>
      <x:c r="E1286" s="7" t="str">
        <x:v>BLD-B</x:v>
      </x:c>
      <x:c r="F1286" s="7" t="str">
        <x:v>BL-X</x:v>
      </x:c>
      <x:c r="G1286" s="7" t="str">
        <x:v>MF-22</x:v>
      </x:c>
      <x:c r="H1286" s="7" t="str"/>
      <x:c r="I1286" s="7" t="str"/>
      <x:c r="J1286" s="7" t="str">
        <x:f>IF(OR(H1286="",I1286=""),"",I1286-H1286)</x:f>
      </x:c>
      <x:c r="K1286" s="7" t="str"/>
      <x:c r="L1286" s="7" t="str"/>
      <x:c r="M1286" s="7" t="str">
        <x:f>IF(L1286="","OPEN",IF(OR(NOT(ISNUMBER(H1286)),NOT(ISNUMBER(I1286)),NOT(ISNUMBER(K1286)),ABS(J1286)&gt;K1286),"FAIL","PASS"))</x:f>
        <x:v>OPEN</x:v>
      </x:c>
    </x:row>
    <x:row r="1287">
      <x:c r="B1287" s="7" t="str">
        <x:v>CAL-CH-PEA-B-X3-22-3</x:v>
      </x:c>
      <x:c r="C1287" s="7" t="str">
        <x:v>CH-PEA-B-X3-22-3</x:v>
      </x:c>
      <x:c r="D1287" s="7" t="str">
        <x:v>PEA-B-X3</x:v>
      </x:c>
      <x:c r="E1287" s="7" t="str">
        <x:v>BLD-B</x:v>
      </x:c>
      <x:c r="F1287" s="7" t="str">
        <x:v>BL-X</x:v>
      </x:c>
      <x:c r="G1287" s="7" t="str">
        <x:v>MF-22</x:v>
      </x:c>
      <x:c r="H1287" s="7" t="str"/>
      <x:c r="I1287" s="7" t="str"/>
      <x:c r="J1287" s="7" t="str">
        <x:f>IF(OR(H1287="",I1287=""),"",I1287-H1287)</x:f>
      </x:c>
      <x:c r="K1287" s="7" t="str"/>
      <x:c r="L1287" s="7" t="str"/>
      <x:c r="M1287" s="7" t="str">
        <x:f>IF(L1287="","OPEN",IF(OR(NOT(ISNUMBER(H1287)),NOT(ISNUMBER(I1287)),NOT(ISNUMBER(K1287)),ABS(J1287)&gt;K1287),"FAIL","PASS"))</x:f>
        <x:v>OPEN</x:v>
      </x:c>
    </x:row>
    <x:row r="1288">
      <x:c r="B1288" s="7" t="str">
        <x:v>CAL-CH-PEA-B-X3-22-4</x:v>
      </x:c>
      <x:c r="C1288" s="7" t="str">
        <x:v>CH-PEA-B-X3-22-4</x:v>
      </x:c>
      <x:c r="D1288" s="7" t="str">
        <x:v>PEA-B-X3</x:v>
      </x:c>
      <x:c r="E1288" s="7" t="str">
        <x:v>BLD-B</x:v>
      </x:c>
      <x:c r="F1288" s="7" t="str">
        <x:v>BL-X</x:v>
      </x:c>
      <x:c r="G1288" s="7" t="str">
        <x:v>MF-22</x:v>
      </x:c>
      <x:c r="H1288" s="7" t="str"/>
      <x:c r="I1288" s="7" t="str"/>
      <x:c r="J1288" s="7" t="str">
        <x:f>IF(OR(H1288="",I1288=""),"",I1288-H1288)</x:f>
      </x:c>
      <x:c r="K1288" s="7" t="str"/>
      <x:c r="L1288" s="7" t="str"/>
      <x:c r="M1288" s="7" t="str">
        <x:f>IF(L1288="","OPEN",IF(OR(NOT(ISNUMBER(H1288)),NOT(ISNUMBER(I1288)),NOT(ISNUMBER(K1288)),ABS(J1288)&gt;K1288),"FAIL","PASS"))</x:f>
        <x:v>OPEN</x:v>
      </x:c>
    </x:row>
    <x:row r="1289">
      <x:c r="B1289" s="7" t="str">
        <x:v>CAL-CH-PEA-B-X3-22-5</x:v>
      </x:c>
      <x:c r="C1289" s="7" t="str">
        <x:v>CH-PEA-B-X3-22-5</x:v>
      </x:c>
      <x:c r="D1289" s="7" t="str">
        <x:v>PEA-B-X3</x:v>
      </x:c>
      <x:c r="E1289" s="7" t="str">
        <x:v>BLD-B</x:v>
      </x:c>
      <x:c r="F1289" s="7" t="str">
        <x:v>BL-X</x:v>
      </x:c>
      <x:c r="G1289" s="7" t="str">
        <x:v>MF-22</x:v>
      </x:c>
      <x:c r="H1289" s="7" t="str"/>
      <x:c r="I1289" s="7" t="str"/>
      <x:c r="J1289" s="7" t="str">
        <x:f>IF(OR(H1289="",I1289=""),"",I1289-H1289)</x:f>
      </x:c>
      <x:c r="K1289" s="7" t="str"/>
      <x:c r="L1289" s="7" t="str"/>
      <x:c r="M1289" s="7" t="str">
        <x:f>IF(L1289="","OPEN",IF(OR(NOT(ISNUMBER(H1289)),NOT(ISNUMBER(I1289)),NOT(ISNUMBER(K1289)),ABS(J1289)&gt;K1289),"FAIL","PASS"))</x:f>
        <x:v>OPEN</x:v>
      </x:c>
    </x:row>
    <x:row r="1290">
      <x:c r="B1290" s="7" t="str">
        <x:v>CAL-CH-PEA-B-X3-22-6</x:v>
      </x:c>
      <x:c r="C1290" s="7" t="str">
        <x:v>CH-PEA-B-X3-22-6</x:v>
      </x:c>
      <x:c r="D1290" s="7" t="str">
        <x:v>PEA-B-X3</x:v>
      </x:c>
      <x:c r="E1290" s="7" t="str">
        <x:v>BLD-B</x:v>
      </x:c>
      <x:c r="F1290" s="7" t="str">
        <x:v>BL-X</x:v>
      </x:c>
      <x:c r="G1290" s="7" t="str">
        <x:v>MF-22</x:v>
      </x:c>
      <x:c r="H1290" s="7" t="str"/>
      <x:c r="I1290" s="7" t="str"/>
      <x:c r="J1290" s="7" t="str">
        <x:f>IF(OR(H1290="",I1290=""),"",I1290-H1290)</x:f>
      </x:c>
      <x:c r="K1290" s="7" t="str"/>
      <x:c r="L1290" s="7" t="str"/>
      <x:c r="M1290" s="7" t="str">
        <x:f>IF(L1290="","OPEN",IF(OR(NOT(ISNUMBER(H1290)),NOT(ISNUMBER(I1290)),NOT(ISNUMBER(K1290)),ABS(J1290)&gt;K1290),"FAIL","PASS"))</x:f>
        <x:v>OPEN</x:v>
      </x:c>
    </x:row>
    <x:row r="1291">
      <x:c r="B1291" s="7" t="str">
        <x:v>CAL-CH-PEA-B-X3-23-1</x:v>
      </x:c>
      <x:c r="C1291" s="7" t="str">
        <x:v>CH-PEA-B-X3-23-1</x:v>
      </x:c>
      <x:c r="D1291" s="7" t="str">
        <x:v>PEA-B-X3</x:v>
      </x:c>
      <x:c r="E1291" s="7" t="str">
        <x:v>BLD-B</x:v>
      </x:c>
      <x:c r="F1291" s="7" t="str">
        <x:v>BL-X</x:v>
      </x:c>
      <x:c r="G1291" s="7" t="str">
        <x:v>MF-23</x:v>
      </x:c>
      <x:c r="H1291" s="7" t="str"/>
      <x:c r="I1291" s="7" t="str"/>
      <x:c r="J1291" s="7" t="str">
        <x:f>IF(OR(H1291="",I1291=""),"",I1291-H1291)</x:f>
      </x:c>
      <x:c r="K1291" s="7" t="str"/>
      <x:c r="L1291" s="7" t="str"/>
      <x:c r="M1291" s="7" t="str">
        <x:f>IF(L1291="","OPEN",IF(OR(NOT(ISNUMBER(H1291)),NOT(ISNUMBER(I1291)),NOT(ISNUMBER(K1291)),ABS(J1291)&gt;K1291),"FAIL","PASS"))</x:f>
        <x:v>OPEN</x:v>
      </x:c>
    </x:row>
    <x:row r="1292">
      <x:c r="B1292" s="7" t="str">
        <x:v>CAL-CH-PEA-B-X3-23-2</x:v>
      </x:c>
      <x:c r="C1292" s="7" t="str">
        <x:v>CH-PEA-B-X3-23-2</x:v>
      </x:c>
      <x:c r="D1292" s="7" t="str">
        <x:v>PEA-B-X3</x:v>
      </x:c>
      <x:c r="E1292" s="7" t="str">
        <x:v>BLD-B</x:v>
      </x:c>
      <x:c r="F1292" s="7" t="str">
        <x:v>BL-X</x:v>
      </x:c>
      <x:c r="G1292" s="7" t="str">
        <x:v>MF-23</x:v>
      </x:c>
      <x:c r="H1292" s="7" t="str"/>
      <x:c r="I1292" s="7" t="str"/>
      <x:c r="J1292" s="7" t="str">
        <x:f>IF(OR(H1292="",I1292=""),"",I1292-H1292)</x:f>
      </x:c>
      <x:c r="K1292" s="7" t="str"/>
      <x:c r="L1292" s="7" t="str"/>
      <x:c r="M1292" s="7" t="str">
        <x:f>IF(L1292="","OPEN",IF(OR(NOT(ISNUMBER(H1292)),NOT(ISNUMBER(I1292)),NOT(ISNUMBER(K1292)),ABS(J1292)&gt;K1292),"FAIL","PASS"))</x:f>
        <x:v>OPEN</x:v>
      </x:c>
    </x:row>
    <x:row r="1293">
      <x:c r="B1293" s="7" t="str">
        <x:v>CAL-CH-PEA-B-X3-23-3</x:v>
      </x:c>
      <x:c r="C1293" s="7" t="str">
        <x:v>CH-PEA-B-X3-23-3</x:v>
      </x:c>
      <x:c r="D1293" s="7" t="str">
        <x:v>PEA-B-X3</x:v>
      </x:c>
      <x:c r="E1293" s="7" t="str">
        <x:v>BLD-B</x:v>
      </x:c>
      <x:c r="F1293" s="7" t="str">
        <x:v>BL-X</x:v>
      </x:c>
      <x:c r="G1293" s="7" t="str">
        <x:v>MF-23</x:v>
      </x:c>
      <x:c r="H1293" s="7" t="str"/>
      <x:c r="I1293" s="7" t="str"/>
      <x:c r="J1293" s="7" t="str">
        <x:f>IF(OR(H1293="",I1293=""),"",I1293-H1293)</x:f>
      </x:c>
      <x:c r="K1293" s="7" t="str"/>
      <x:c r="L1293" s="7" t="str"/>
      <x:c r="M1293" s="7" t="str">
        <x:f>IF(L1293="","OPEN",IF(OR(NOT(ISNUMBER(H1293)),NOT(ISNUMBER(I1293)),NOT(ISNUMBER(K1293)),ABS(J1293)&gt;K1293),"FAIL","PASS"))</x:f>
        <x:v>OPEN</x:v>
      </x:c>
    </x:row>
    <x:row r="1294">
      <x:c r="B1294" s="7" t="str">
        <x:v>CAL-CH-PEA-B-X3-23-4</x:v>
      </x:c>
      <x:c r="C1294" s="7" t="str">
        <x:v>CH-PEA-B-X3-23-4</x:v>
      </x:c>
      <x:c r="D1294" s="7" t="str">
        <x:v>PEA-B-X3</x:v>
      </x:c>
      <x:c r="E1294" s="7" t="str">
        <x:v>BLD-B</x:v>
      </x:c>
      <x:c r="F1294" s="7" t="str">
        <x:v>BL-X</x:v>
      </x:c>
      <x:c r="G1294" s="7" t="str">
        <x:v>MF-23</x:v>
      </x:c>
      <x:c r="H1294" s="7" t="str"/>
      <x:c r="I1294" s="7" t="str"/>
      <x:c r="J1294" s="7" t="str">
        <x:f>IF(OR(H1294="",I1294=""),"",I1294-H1294)</x:f>
      </x:c>
      <x:c r="K1294" s="7" t="str"/>
      <x:c r="L1294" s="7" t="str"/>
      <x:c r="M1294" s="7" t="str">
        <x:f>IF(L1294="","OPEN",IF(OR(NOT(ISNUMBER(H1294)),NOT(ISNUMBER(I1294)),NOT(ISNUMBER(K1294)),ABS(J1294)&gt;K1294),"FAIL","PASS"))</x:f>
        <x:v>OPEN</x:v>
      </x:c>
    </x:row>
    <x:row r="1295">
      <x:c r="B1295" s="7" t="str">
        <x:v>CAL-CH-PEA-B-X3-23-5</x:v>
      </x:c>
      <x:c r="C1295" s="7" t="str">
        <x:v>CH-PEA-B-X3-23-5</x:v>
      </x:c>
      <x:c r="D1295" s="7" t="str">
        <x:v>PEA-B-X3</x:v>
      </x:c>
      <x:c r="E1295" s="7" t="str">
        <x:v>BLD-B</x:v>
      </x:c>
      <x:c r="F1295" s="7" t="str">
        <x:v>BL-X</x:v>
      </x:c>
      <x:c r="G1295" s="7" t="str">
        <x:v>MF-23</x:v>
      </x:c>
      <x:c r="H1295" s="7" t="str"/>
      <x:c r="I1295" s="7" t="str"/>
      <x:c r="J1295" s="7" t="str">
        <x:f>IF(OR(H1295="",I1295=""),"",I1295-H1295)</x:f>
      </x:c>
      <x:c r="K1295" s="7" t="str"/>
      <x:c r="L1295" s="7" t="str"/>
      <x:c r="M1295" s="7" t="str">
        <x:f>IF(L1295="","OPEN",IF(OR(NOT(ISNUMBER(H1295)),NOT(ISNUMBER(I1295)),NOT(ISNUMBER(K1295)),ABS(J1295)&gt;K1295),"FAIL","PASS"))</x:f>
        <x:v>OPEN</x:v>
      </x:c>
    </x:row>
    <x:row r="1296">
      <x:c r="B1296" s="7" t="str">
        <x:v>CAL-CH-PEA-B-X3-23-6</x:v>
      </x:c>
      <x:c r="C1296" s="7" t="str">
        <x:v>CH-PEA-B-X3-23-6</x:v>
      </x:c>
      <x:c r="D1296" s="7" t="str">
        <x:v>PEA-B-X3</x:v>
      </x:c>
      <x:c r="E1296" s="7" t="str">
        <x:v>BLD-B</x:v>
      </x:c>
      <x:c r="F1296" s="7" t="str">
        <x:v>BL-X</x:v>
      </x:c>
      <x:c r="G1296" s="7" t="str">
        <x:v>MF-23</x:v>
      </x:c>
      <x:c r="H1296" s="7" t="str"/>
      <x:c r="I1296" s="7" t="str"/>
      <x:c r="J1296" s="7" t="str">
        <x:f>IF(OR(H1296="",I1296=""),"",I1296-H1296)</x:f>
      </x:c>
      <x:c r="K1296" s="7" t="str"/>
      <x:c r="L1296" s="7" t="str"/>
      <x:c r="M1296" s="7" t="str">
        <x:f>IF(L1296="","OPEN",IF(OR(NOT(ISNUMBER(H1296)),NOT(ISNUMBER(I1296)),NOT(ISNUMBER(K1296)),ABS(J1296)&gt;K1296),"FAIL","PASS"))</x:f>
        <x:v>OPEN</x:v>
      </x:c>
    </x:row>
    <x:row r="1297">
      <x:c r="B1297" s="7" t="str">
        <x:v>CAL-CH-PEA-B-X3-24-1</x:v>
      </x:c>
      <x:c r="C1297" s="7" t="str">
        <x:v>CH-PEA-B-X3-24-1</x:v>
      </x:c>
      <x:c r="D1297" s="7" t="str">
        <x:v>PEA-B-X3</x:v>
      </x:c>
      <x:c r="E1297" s="7" t="str">
        <x:v>BLD-B</x:v>
      </x:c>
      <x:c r="F1297" s="7" t="str">
        <x:v>BL-X</x:v>
      </x:c>
      <x:c r="G1297" s="7" t="str">
        <x:v>MF-24</x:v>
      </x:c>
      <x:c r="H1297" s="7" t="str"/>
      <x:c r="I1297" s="7" t="str"/>
      <x:c r="J1297" s="7" t="str">
        <x:f>IF(OR(H1297="",I1297=""),"",I1297-H1297)</x:f>
      </x:c>
      <x:c r="K1297" s="7" t="str"/>
      <x:c r="L1297" s="7" t="str"/>
      <x:c r="M1297" s="7" t="str">
        <x:f>IF(L1297="","OPEN",IF(OR(NOT(ISNUMBER(H1297)),NOT(ISNUMBER(I1297)),NOT(ISNUMBER(K1297)),ABS(J1297)&gt;K1297),"FAIL","PASS"))</x:f>
        <x:v>OPEN</x:v>
      </x:c>
    </x:row>
    <x:row r="1298">
      <x:c r="B1298" s="7" t="str">
        <x:v>CAL-CH-PEA-B-X3-24-2</x:v>
      </x:c>
      <x:c r="C1298" s="7" t="str">
        <x:v>CH-PEA-B-X3-24-2</x:v>
      </x:c>
      <x:c r="D1298" s="7" t="str">
        <x:v>PEA-B-X3</x:v>
      </x:c>
      <x:c r="E1298" s="7" t="str">
        <x:v>BLD-B</x:v>
      </x:c>
      <x:c r="F1298" s="7" t="str">
        <x:v>BL-X</x:v>
      </x:c>
      <x:c r="G1298" s="7" t="str">
        <x:v>MF-24</x:v>
      </x:c>
      <x:c r="H1298" s="7" t="str"/>
      <x:c r="I1298" s="7" t="str"/>
      <x:c r="J1298" s="7" t="str">
        <x:f>IF(OR(H1298="",I1298=""),"",I1298-H1298)</x:f>
      </x:c>
      <x:c r="K1298" s="7" t="str"/>
      <x:c r="L1298" s="7" t="str"/>
      <x:c r="M1298" s="7" t="str">
        <x:f>IF(L1298="","OPEN",IF(OR(NOT(ISNUMBER(H1298)),NOT(ISNUMBER(I1298)),NOT(ISNUMBER(K1298)),ABS(J1298)&gt;K1298),"FAIL","PASS"))</x:f>
        <x:v>OPEN</x:v>
      </x:c>
    </x:row>
    <x:row r="1299">
      <x:c r="B1299" s="7" t="str">
        <x:v>CAL-CH-PEA-B-X3-24-3</x:v>
      </x:c>
      <x:c r="C1299" s="7" t="str">
        <x:v>CH-PEA-B-X3-24-3</x:v>
      </x:c>
      <x:c r="D1299" s="7" t="str">
        <x:v>PEA-B-X3</x:v>
      </x:c>
      <x:c r="E1299" s="7" t="str">
        <x:v>BLD-B</x:v>
      </x:c>
      <x:c r="F1299" s="7" t="str">
        <x:v>BL-X</x:v>
      </x:c>
      <x:c r="G1299" s="7" t="str">
        <x:v>MF-24</x:v>
      </x:c>
      <x:c r="H1299" s="7" t="str"/>
      <x:c r="I1299" s="7" t="str"/>
      <x:c r="J1299" s="7" t="str">
        <x:f>IF(OR(H1299="",I1299=""),"",I1299-H1299)</x:f>
      </x:c>
      <x:c r="K1299" s="7" t="str"/>
      <x:c r="L1299" s="7" t="str"/>
      <x:c r="M1299" s="7" t="str">
        <x:f>IF(L1299="","OPEN",IF(OR(NOT(ISNUMBER(H1299)),NOT(ISNUMBER(I1299)),NOT(ISNUMBER(K1299)),ABS(J1299)&gt;K1299),"FAIL","PASS"))</x:f>
        <x:v>OPEN</x:v>
      </x:c>
    </x:row>
    <x:row r="1300">
      <x:c r="B1300" s="7" t="str">
        <x:v>CAL-CH-PEA-B-X3-24-4</x:v>
      </x:c>
      <x:c r="C1300" s="7" t="str">
        <x:v>CH-PEA-B-X3-24-4</x:v>
      </x:c>
      <x:c r="D1300" s="7" t="str">
        <x:v>PEA-B-X3</x:v>
      </x:c>
      <x:c r="E1300" s="7" t="str">
        <x:v>BLD-B</x:v>
      </x:c>
      <x:c r="F1300" s="7" t="str">
        <x:v>BL-X</x:v>
      </x:c>
      <x:c r="G1300" s="7" t="str">
        <x:v>MF-24</x:v>
      </x:c>
      <x:c r="H1300" s="7" t="str"/>
      <x:c r="I1300" s="7" t="str"/>
      <x:c r="J1300" s="7" t="str">
        <x:f>IF(OR(H1300="",I1300=""),"",I1300-H1300)</x:f>
      </x:c>
      <x:c r="K1300" s="7" t="str"/>
      <x:c r="L1300" s="7" t="str"/>
      <x:c r="M1300" s="7" t="str">
        <x:f>IF(L1300="","OPEN",IF(OR(NOT(ISNUMBER(H1300)),NOT(ISNUMBER(I1300)),NOT(ISNUMBER(K1300)),ABS(J1300)&gt;K1300),"FAIL","PASS"))</x:f>
        <x:v>OPEN</x:v>
      </x:c>
    </x:row>
    <x:row r="1301">
      <x:c r="B1301" s="7" t="str">
        <x:v>CAL-CH-PEA-B-X3-24-5</x:v>
      </x:c>
      <x:c r="C1301" s="7" t="str">
        <x:v>CH-PEA-B-X3-24-5</x:v>
      </x:c>
      <x:c r="D1301" s="7" t="str">
        <x:v>PEA-B-X3</x:v>
      </x:c>
      <x:c r="E1301" s="7" t="str">
        <x:v>BLD-B</x:v>
      </x:c>
      <x:c r="F1301" s="7" t="str">
        <x:v>BL-X</x:v>
      </x:c>
      <x:c r="G1301" s="7" t="str">
        <x:v>MF-24</x:v>
      </x:c>
      <x:c r="H1301" s="7" t="str"/>
      <x:c r="I1301" s="7" t="str"/>
      <x:c r="J1301" s="7" t="str">
        <x:f>IF(OR(H1301="",I1301=""),"",I1301-H1301)</x:f>
      </x:c>
      <x:c r="K1301" s="7" t="str"/>
      <x:c r="L1301" s="7" t="str"/>
      <x:c r="M1301" s="7" t="str">
        <x:f>IF(L1301="","OPEN",IF(OR(NOT(ISNUMBER(H1301)),NOT(ISNUMBER(I1301)),NOT(ISNUMBER(K1301)),ABS(J1301)&gt;K1301),"FAIL","PASS"))</x:f>
        <x:v>OPEN</x:v>
      </x:c>
    </x:row>
    <x:row r="1302">
      <x:c r="B1302" s="7" t="str">
        <x:v>CAL-CH-PEA-B-X3-24-6</x:v>
      </x:c>
      <x:c r="C1302" s="7" t="str">
        <x:v>CH-PEA-B-X3-24-6</x:v>
      </x:c>
      <x:c r="D1302" s="7" t="str">
        <x:v>PEA-B-X3</x:v>
      </x:c>
      <x:c r="E1302" s="7" t="str">
        <x:v>BLD-B</x:v>
      </x:c>
      <x:c r="F1302" s="7" t="str">
        <x:v>BL-X</x:v>
      </x:c>
      <x:c r="G1302" s="7" t="str">
        <x:v>MF-24</x:v>
      </x:c>
      <x:c r="H1302" s="7" t="str"/>
      <x:c r="I1302" s="7" t="str"/>
      <x:c r="J1302" s="7" t="str">
        <x:f>IF(OR(H1302="",I1302=""),"",I1302-H1302)</x:f>
      </x:c>
      <x:c r="K1302" s="7" t="str"/>
      <x:c r="L1302" s="7" t="str"/>
      <x:c r="M1302" s="7" t="str">
        <x:f>IF(L1302="","OPEN",IF(OR(NOT(ISNUMBER(H1302)),NOT(ISNUMBER(I1302)),NOT(ISNUMBER(K1302)),ABS(J1302)&gt;K1302),"FAIL","PASS"))</x:f>
        <x:v>OPEN</x:v>
      </x:c>
    </x:row>
    <x:row r="1303">
      <x:c r="B1303" s="7" t="str">
        <x:v>CAL-CH-PEA-B-Y1-01-1</x:v>
      </x:c>
      <x:c r="C1303" s="7" t="str">
        <x:v>CH-PEA-B-Y1-01-1</x:v>
      </x:c>
      <x:c r="D1303" s="7" t="str">
        <x:v>PEA-B-Y1</x:v>
      </x:c>
      <x:c r="E1303" s="7" t="str">
        <x:v>BLD-B</x:v>
      </x:c>
      <x:c r="F1303" s="7" t="str">
        <x:v>BL-Y</x:v>
      </x:c>
      <x:c r="G1303" s="7" t="str">
        <x:v>MF-01</x:v>
      </x:c>
      <x:c r="H1303" s="7" t="str"/>
      <x:c r="I1303" s="7" t="str"/>
      <x:c r="J1303" s="7" t="str">
        <x:f>IF(OR(H1303="",I1303=""),"",I1303-H1303)</x:f>
      </x:c>
      <x:c r="K1303" s="7" t="str"/>
      <x:c r="L1303" s="7" t="str"/>
      <x:c r="M1303" s="7" t="str">
        <x:f>IF(L1303="","OPEN",IF(OR(NOT(ISNUMBER(H1303)),NOT(ISNUMBER(I1303)),NOT(ISNUMBER(K1303)),ABS(J1303)&gt;K1303),"FAIL","PASS"))</x:f>
        <x:v>OPEN</x:v>
      </x:c>
    </x:row>
    <x:row r="1304">
      <x:c r="B1304" s="7" t="str">
        <x:v>CAL-CH-PEA-B-Y1-01-2</x:v>
      </x:c>
      <x:c r="C1304" s="7" t="str">
        <x:v>CH-PEA-B-Y1-01-2</x:v>
      </x:c>
      <x:c r="D1304" s="7" t="str">
        <x:v>PEA-B-Y1</x:v>
      </x:c>
      <x:c r="E1304" s="7" t="str">
        <x:v>BLD-B</x:v>
      </x:c>
      <x:c r="F1304" s="7" t="str">
        <x:v>BL-Y</x:v>
      </x:c>
      <x:c r="G1304" s="7" t="str">
        <x:v>MF-01</x:v>
      </x:c>
      <x:c r="H1304" s="7" t="str"/>
      <x:c r="I1304" s="7" t="str"/>
      <x:c r="J1304" s="7" t="str">
        <x:f>IF(OR(H1304="",I1304=""),"",I1304-H1304)</x:f>
      </x:c>
      <x:c r="K1304" s="7" t="str"/>
      <x:c r="L1304" s="7" t="str"/>
      <x:c r="M1304" s="7" t="str">
        <x:f>IF(L1304="","OPEN",IF(OR(NOT(ISNUMBER(H1304)),NOT(ISNUMBER(I1304)),NOT(ISNUMBER(K1304)),ABS(J1304)&gt;K1304),"FAIL","PASS"))</x:f>
        <x:v>OPEN</x:v>
      </x:c>
    </x:row>
    <x:row r="1305">
      <x:c r="B1305" s="7" t="str">
        <x:v>CAL-CH-PEA-B-Y1-01-3</x:v>
      </x:c>
      <x:c r="C1305" s="7" t="str">
        <x:v>CH-PEA-B-Y1-01-3</x:v>
      </x:c>
      <x:c r="D1305" s="7" t="str">
        <x:v>PEA-B-Y1</x:v>
      </x:c>
      <x:c r="E1305" s="7" t="str">
        <x:v>BLD-B</x:v>
      </x:c>
      <x:c r="F1305" s="7" t="str">
        <x:v>BL-Y</x:v>
      </x:c>
      <x:c r="G1305" s="7" t="str">
        <x:v>MF-01</x:v>
      </x:c>
      <x:c r="H1305" s="7" t="str"/>
      <x:c r="I1305" s="7" t="str"/>
      <x:c r="J1305" s="7" t="str">
        <x:f>IF(OR(H1305="",I1305=""),"",I1305-H1305)</x:f>
      </x:c>
      <x:c r="K1305" s="7" t="str"/>
      <x:c r="L1305" s="7" t="str"/>
      <x:c r="M1305" s="7" t="str">
        <x:f>IF(L1305="","OPEN",IF(OR(NOT(ISNUMBER(H1305)),NOT(ISNUMBER(I1305)),NOT(ISNUMBER(K1305)),ABS(J1305)&gt;K1305),"FAIL","PASS"))</x:f>
        <x:v>OPEN</x:v>
      </x:c>
    </x:row>
    <x:row r="1306">
      <x:c r="B1306" s="7" t="str">
        <x:v>CAL-CH-PEA-B-Y1-01-4</x:v>
      </x:c>
      <x:c r="C1306" s="7" t="str">
        <x:v>CH-PEA-B-Y1-01-4</x:v>
      </x:c>
      <x:c r="D1306" s="7" t="str">
        <x:v>PEA-B-Y1</x:v>
      </x:c>
      <x:c r="E1306" s="7" t="str">
        <x:v>BLD-B</x:v>
      </x:c>
      <x:c r="F1306" s="7" t="str">
        <x:v>BL-Y</x:v>
      </x:c>
      <x:c r="G1306" s="7" t="str">
        <x:v>MF-01</x:v>
      </x:c>
      <x:c r="H1306" s="7" t="str"/>
      <x:c r="I1306" s="7" t="str"/>
      <x:c r="J1306" s="7" t="str">
        <x:f>IF(OR(H1306="",I1306=""),"",I1306-H1306)</x:f>
      </x:c>
      <x:c r="K1306" s="7" t="str"/>
      <x:c r="L1306" s="7" t="str"/>
      <x:c r="M1306" s="7" t="str">
        <x:f>IF(L1306="","OPEN",IF(OR(NOT(ISNUMBER(H1306)),NOT(ISNUMBER(I1306)),NOT(ISNUMBER(K1306)),ABS(J1306)&gt;K1306),"FAIL","PASS"))</x:f>
        <x:v>OPEN</x:v>
      </x:c>
    </x:row>
    <x:row r="1307">
      <x:c r="B1307" s="7" t="str">
        <x:v>CAL-CH-PEA-B-Y1-01-5</x:v>
      </x:c>
      <x:c r="C1307" s="7" t="str">
        <x:v>CH-PEA-B-Y1-01-5</x:v>
      </x:c>
      <x:c r="D1307" s="7" t="str">
        <x:v>PEA-B-Y1</x:v>
      </x:c>
      <x:c r="E1307" s="7" t="str">
        <x:v>BLD-B</x:v>
      </x:c>
      <x:c r="F1307" s="7" t="str">
        <x:v>BL-Y</x:v>
      </x:c>
      <x:c r="G1307" s="7" t="str">
        <x:v>MF-01</x:v>
      </x:c>
      <x:c r="H1307" s="7" t="str"/>
      <x:c r="I1307" s="7" t="str"/>
      <x:c r="J1307" s="7" t="str">
        <x:f>IF(OR(H1307="",I1307=""),"",I1307-H1307)</x:f>
      </x:c>
      <x:c r="K1307" s="7" t="str"/>
      <x:c r="L1307" s="7" t="str"/>
      <x:c r="M1307" s="7" t="str">
        <x:f>IF(L1307="","OPEN",IF(OR(NOT(ISNUMBER(H1307)),NOT(ISNUMBER(I1307)),NOT(ISNUMBER(K1307)),ABS(J1307)&gt;K1307),"FAIL","PASS"))</x:f>
        <x:v>OPEN</x:v>
      </x:c>
    </x:row>
    <x:row r="1308">
      <x:c r="B1308" s="7" t="str">
        <x:v>CAL-CH-PEA-B-Y1-01-6</x:v>
      </x:c>
      <x:c r="C1308" s="7" t="str">
        <x:v>CH-PEA-B-Y1-01-6</x:v>
      </x:c>
      <x:c r="D1308" s="7" t="str">
        <x:v>PEA-B-Y1</x:v>
      </x:c>
      <x:c r="E1308" s="7" t="str">
        <x:v>BLD-B</x:v>
      </x:c>
      <x:c r="F1308" s="7" t="str">
        <x:v>BL-Y</x:v>
      </x:c>
      <x:c r="G1308" s="7" t="str">
        <x:v>MF-01</x:v>
      </x:c>
      <x:c r="H1308" s="7" t="str"/>
      <x:c r="I1308" s="7" t="str"/>
      <x:c r="J1308" s="7" t="str">
        <x:f>IF(OR(H1308="",I1308=""),"",I1308-H1308)</x:f>
      </x:c>
      <x:c r="K1308" s="7" t="str"/>
      <x:c r="L1308" s="7" t="str"/>
      <x:c r="M1308" s="7" t="str">
        <x:f>IF(L1308="","OPEN",IF(OR(NOT(ISNUMBER(H1308)),NOT(ISNUMBER(I1308)),NOT(ISNUMBER(K1308)),ABS(J1308)&gt;K1308),"FAIL","PASS"))</x:f>
        <x:v>OPEN</x:v>
      </x:c>
    </x:row>
    <x:row r="1309">
      <x:c r="B1309" s="7" t="str">
        <x:v>CAL-CH-PEA-B-Y1-02-1</x:v>
      </x:c>
      <x:c r="C1309" s="7" t="str">
        <x:v>CH-PEA-B-Y1-02-1</x:v>
      </x:c>
      <x:c r="D1309" s="7" t="str">
        <x:v>PEA-B-Y1</x:v>
      </x:c>
      <x:c r="E1309" s="7" t="str">
        <x:v>BLD-B</x:v>
      </x:c>
      <x:c r="F1309" s="7" t="str">
        <x:v>BL-Y</x:v>
      </x:c>
      <x:c r="G1309" s="7" t="str">
        <x:v>MF-02</x:v>
      </x:c>
      <x:c r="H1309" s="7" t="str"/>
      <x:c r="I1309" s="7" t="str"/>
      <x:c r="J1309" s="7" t="str">
        <x:f>IF(OR(H1309="",I1309=""),"",I1309-H1309)</x:f>
      </x:c>
      <x:c r="K1309" s="7" t="str"/>
      <x:c r="L1309" s="7" t="str"/>
      <x:c r="M1309" s="7" t="str">
        <x:f>IF(L1309="","OPEN",IF(OR(NOT(ISNUMBER(H1309)),NOT(ISNUMBER(I1309)),NOT(ISNUMBER(K1309)),ABS(J1309)&gt;K1309),"FAIL","PASS"))</x:f>
        <x:v>OPEN</x:v>
      </x:c>
    </x:row>
    <x:row r="1310">
      <x:c r="B1310" s="7" t="str">
        <x:v>CAL-CH-PEA-B-Y1-02-2</x:v>
      </x:c>
      <x:c r="C1310" s="7" t="str">
        <x:v>CH-PEA-B-Y1-02-2</x:v>
      </x:c>
      <x:c r="D1310" s="7" t="str">
        <x:v>PEA-B-Y1</x:v>
      </x:c>
      <x:c r="E1310" s="7" t="str">
        <x:v>BLD-B</x:v>
      </x:c>
      <x:c r="F1310" s="7" t="str">
        <x:v>BL-Y</x:v>
      </x:c>
      <x:c r="G1310" s="7" t="str">
        <x:v>MF-02</x:v>
      </x:c>
      <x:c r="H1310" s="7" t="str"/>
      <x:c r="I1310" s="7" t="str"/>
      <x:c r="J1310" s="7" t="str">
        <x:f>IF(OR(H1310="",I1310=""),"",I1310-H1310)</x:f>
      </x:c>
      <x:c r="K1310" s="7" t="str"/>
      <x:c r="L1310" s="7" t="str"/>
      <x:c r="M1310" s="7" t="str">
        <x:f>IF(L1310="","OPEN",IF(OR(NOT(ISNUMBER(H1310)),NOT(ISNUMBER(I1310)),NOT(ISNUMBER(K1310)),ABS(J1310)&gt;K1310),"FAIL","PASS"))</x:f>
        <x:v>OPEN</x:v>
      </x:c>
    </x:row>
    <x:row r="1311">
      <x:c r="B1311" s="7" t="str">
        <x:v>CAL-CH-PEA-B-Y1-02-3</x:v>
      </x:c>
      <x:c r="C1311" s="7" t="str">
        <x:v>CH-PEA-B-Y1-02-3</x:v>
      </x:c>
      <x:c r="D1311" s="7" t="str">
        <x:v>PEA-B-Y1</x:v>
      </x:c>
      <x:c r="E1311" s="7" t="str">
        <x:v>BLD-B</x:v>
      </x:c>
      <x:c r="F1311" s="7" t="str">
        <x:v>BL-Y</x:v>
      </x:c>
      <x:c r="G1311" s="7" t="str">
        <x:v>MF-02</x:v>
      </x:c>
      <x:c r="H1311" s="7" t="str"/>
      <x:c r="I1311" s="7" t="str"/>
      <x:c r="J1311" s="7" t="str">
        <x:f>IF(OR(H1311="",I1311=""),"",I1311-H1311)</x:f>
      </x:c>
      <x:c r="K1311" s="7" t="str"/>
      <x:c r="L1311" s="7" t="str"/>
      <x:c r="M1311" s="7" t="str">
        <x:f>IF(L1311="","OPEN",IF(OR(NOT(ISNUMBER(H1311)),NOT(ISNUMBER(I1311)),NOT(ISNUMBER(K1311)),ABS(J1311)&gt;K1311),"FAIL","PASS"))</x:f>
        <x:v>OPEN</x:v>
      </x:c>
    </x:row>
    <x:row r="1312">
      <x:c r="B1312" s="7" t="str">
        <x:v>CAL-CH-PEA-B-Y1-02-4</x:v>
      </x:c>
      <x:c r="C1312" s="7" t="str">
        <x:v>CH-PEA-B-Y1-02-4</x:v>
      </x:c>
      <x:c r="D1312" s="7" t="str">
        <x:v>PEA-B-Y1</x:v>
      </x:c>
      <x:c r="E1312" s="7" t="str">
        <x:v>BLD-B</x:v>
      </x:c>
      <x:c r="F1312" s="7" t="str">
        <x:v>BL-Y</x:v>
      </x:c>
      <x:c r="G1312" s="7" t="str">
        <x:v>MF-02</x:v>
      </x:c>
      <x:c r="H1312" s="7" t="str"/>
      <x:c r="I1312" s="7" t="str"/>
      <x:c r="J1312" s="7" t="str">
        <x:f>IF(OR(H1312="",I1312=""),"",I1312-H1312)</x:f>
      </x:c>
      <x:c r="K1312" s="7" t="str"/>
      <x:c r="L1312" s="7" t="str"/>
      <x:c r="M1312" s="7" t="str">
        <x:f>IF(L1312="","OPEN",IF(OR(NOT(ISNUMBER(H1312)),NOT(ISNUMBER(I1312)),NOT(ISNUMBER(K1312)),ABS(J1312)&gt;K1312),"FAIL","PASS"))</x:f>
        <x:v>OPEN</x:v>
      </x:c>
    </x:row>
    <x:row r="1313">
      <x:c r="B1313" s="7" t="str">
        <x:v>CAL-CH-PEA-B-Y1-02-5</x:v>
      </x:c>
      <x:c r="C1313" s="7" t="str">
        <x:v>CH-PEA-B-Y1-02-5</x:v>
      </x:c>
      <x:c r="D1313" s="7" t="str">
        <x:v>PEA-B-Y1</x:v>
      </x:c>
      <x:c r="E1313" s="7" t="str">
        <x:v>BLD-B</x:v>
      </x:c>
      <x:c r="F1313" s="7" t="str">
        <x:v>BL-Y</x:v>
      </x:c>
      <x:c r="G1313" s="7" t="str">
        <x:v>MF-02</x:v>
      </x:c>
      <x:c r="H1313" s="7" t="str"/>
      <x:c r="I1313" s="7" t="str"/>
      <x:c r="J1313" s="7" t="str">
        <x:f>IF(OR(H1313="",I1313=""),"",I1313-H1313)</x:f>
      </x:c>
      <x:c r="K1313" s="7" t="str"/>
      <x:c r="L1313" s="7" t="str"/>
      <x:c r="M1313" s="7" t="str">
        <x:f>IF(L1313="","OPEN",IF(OR(NOT(ISNUMBER(H1313)),NOT(ISNUMBER(I1313)),NOT(ISNUMBER(K1313)),ABS(J1313)&gt;K1313),"FAIL","PASS"))</x:f>
        <x:v>OPEN</x:v>
      </x:c>
    </x:row>
    <x:row r="1314">
      <x:c r="B1314" s="7" t="str">
        <x:v>CAL-CH-PEA-B-Y1-02-6</x:v>
      </x:c>
      <x:c r="C1314" s="7" t="str">
        <x:v>CH-PEA-B-Y1-02-6</x:v>
      </x:c>
      <x:c r="D1314" s="7" t="str">
        <x:v>PEA-B-Y1</x:v>
      </x:c>
      <x:c r="E1314" s="7" t="str">
        <x:v>BLD-B</x:v>
      </x:c>
      <x:c r="F1314" s="7" t="str">
        <x:v>BL-Y</x:v>
      </x:c>
      <x:c r="G1314" s="7" t="str">
        <x:v>MF-02</x:v>
      </x:c>
      <x:c r="H1314" s="7" t="str"/>
      <x:c r="I1314" s="7" t="str"/>
      <x:c r="J1314" s="7" t="str">
        <x:f>IF(OR(H1314="",I1314=""),"",I1314-H1314)</x:f>
      </x:c>
      <x:c r="K1314" s="7" t="str"/>
      <x:c r="L1314" s="7" t="str"/>
      <x:c r="M1314" s="7" t="str">
        <x:f>IF(L1314="","OPEN",IF(OR(NOT(ISNUMBER(H1314)),NOT(ISNUMBER(I1314)),NOT(ISNUMBER(K1314)),ABS(J1314)&gt;K1314),"FAIL","PASS"))</x:f>
        <x:v>OPEN</x:v>
      </x:c>
    </x:row>
    <x:row r="1315">
      <x:c r="B1315" s="7" t="str">
        <x:v>CAL-CH-PEA-B-Y1-03-1</x:v>
      </x:c>
      <x:c r="C1315" s="7" t="str">
        <x:v>CH-PEA-B-Y1-03-1</x:v>
      </x:c>
      <x:c r="D1315" s="7" t="str">
        <x:v>PEA-B-Y1</x:v>
      </x:c>
      <x:c r="E1315" s="7" t="str">
        <x:v>BLD-B</x:v>
      </x:c>
      <x:c r="F1315" s="7" t="str">
        <x:v>BL-Y</x:v>
      </x:c>
      <x:c r="G1315" s="7" t="str">
        <x:v>MF-03</x:v>
      </x:c>
      <x:c r="H1315" s="7" t="str"/>
      <x:c r="I1315" s="7" t="str"/>
      <x:c r="J1315" s="7" t="str">
        <x:f>IF(OR(H1315="",I1315=""),"",I1315-H1315)</x:f>
      </x:c>
      <x:c r="K1315" s="7" t="str"/>
      <x:c r="L1315" s="7" t="str"/>
      <x:c r="M1315" s="7" t="str">
        <x:f>IF(L1315="","OPEN",IF(OR(NOT(ISNUMBER(H1315)),NOT(ISNUMBER(I1315)),NOT(ISNUMBER(K1315)),ABS(J1315)&gt;K1315),"FAIL","PASS"))</x:f>
        <x:v>OPEN</x:v>
      </x:c>
    </x:row>
    <x:row r="1316">
      <x:c r="B1316" s="7" t="str">
        <x:v>CAL-CH-PEA-B-Y1-03-2</x:v>
      </x:c>
      <x:c r="C1316" s="7" t="str">
        <x:v>CH-PEA-B-Y1-03-2</x:v>
      </x:c>
      <x:c r="D1316" s="7" t="str">
        <x:v>PEA-B-Y1</x:v>
      </x:c>
      <x:c r="E1316" s="7" t="str">
        <x:v>BLD-B</x:v>
      </x:c>
      <x:c r="F1316" s="7" t="str">
        <x:v>BL-Y</x:v>
      </x:c>
      <x:c r="G1316" s="7" t="str">
        <x:v>MF-03</x:v>
      </x:c>
      <x:c r="H1316" s="7" t="str"/>
      <x:c r="I1316" s="7" t="str"/>
      <x:c r="J1316" s="7" t="str">
        <x:f>IF(OR(H1316="",I1316=""),"",I1316-H1316)</x:f>
      </x:c>
      <x:c r="K1316" s="7" t="str"/>
      <x:c r="L1316" s="7" t="str"/>
      <x:c r="M1316" s="7" t="str">
        <x:f>IF(L1316="","OPEN",IF(OR(NOT(ISNUMBER(H1316)),NOT(ISNUMBER(I1316)),NOT(ISNUMBER(K1316)),ABS(J1316)&gt;K1316),"FAIL","PASS"))</x:f>
        <x:v>OPEN</x:v>
      </x:c>
    </x:row>
    <x:row r="1317">
      <x:c r="B1317" s="7" t="str">
        <x:v>CAL-CH-PEA-B-Y1-03-3</x:v>
      </x:c>
      <x:c r="C1317" s="7" t="str">
        <x:v>CH-PEA-B-Y1-03-3</x:v>
      </x:c>
      <x:c r="D1317" s="7" t="str">
        <x:v>PEA-B-Y1</x:v>
      </x:c>
      <x:c r="E1317" s="7" t="str">
        <x:v>BLD-B</x:v>
      </x:c>
      <x:c r="F1317" s="7" t="str">
        <x:v>BL-Y</x:v>
      </x:c>
      <x:c r="G1317" s="7" t="str">
        <x:v>MF-03</x:v>
      </x:c>
      <x:c r="H1317" s="7" t="str"/>
      <x:c r="I1317" s="7" t="str"/>
      <x:c r="J1317" s="7" t="str">
        <x:f>IF(OR(H1317="",I1317=""),"",I1317-H1317)</x:f>
      </x:c>
      <x:c r="K1317" s="7" t="str"/>
      <x:c r="L1317" s="7" t="str"/>
      <x:c r="M1317" s="7" t="str">
        <x:f>IF(L1317="","OPEN",IF(OR(NOT(ISNUMBER(H1317)),NOT(ISNUMBER(I1317)),NOT(ISNUMBER(K1317)),ABS(J1317)&gt;K1317),"FAIL","PASS"))</x:f>
        <x:v>OPEN</x:v>
      </x:c>
    </x:row>
    <x:row r="1318">
      <x:c r="B1318" s="7" t="str">
        <x:v>CAL-CH-PEA-B-Y1-03-4</x:v>
      </x:c>
      <x:c r="C1318" s="7" t="str">
        <x:v>CH-PEA-B-Y1-03-4</x:v>
      </x:c>
      <x:c r="D1318" s="7" t="str">
        <x:v>PEA-B-Y1</x:v>
      </x:c>
      <x:c r="E1318" s="7" t="str">
        <x:v>BLD-B</x:v>
      </x:c>
      <x:c r="F1318" s="7" t="str">
        <x:v>BL-Y</x:v>
      </x:c>
      <x:c r="G1318" s="7" t="str">
        <x:v>MF-03</x:v>
      </x:c>
      <x:c r="H1318" s="7" t="str"/>
      <x:c r="I1318" s="7" t="str"/>
      <x:c r="J1318" s="7" t="str">
        <x:f>IF(OR(H1318="",I1318=""),"",I1318-H1318)</x:f>
      </x:c>
      <x:c r="K1318" s="7" t="str"/>
      <x:c r="L1318" s="7" t="str"/>
      <x:c r="M1318" s="7" t="str">
        <x:f>IF(L1318="","OPEN",IF(OR(NOT(ISNUMBER(H1318)),NOT(ISNUMBER(I1318)),NOT(ISNUMBER(K1318)),ABS(J1318)&gt;K1318),"FAIL","PASS"))</x:f>
        <x:v>OPEN</x:v>
      </x:c>
    </x:row>
    <x:row r="1319">
      <x:c r="B1319" s="7" t="str">
        <x:v>CAL-CH-PEA-B-Y1-03-5</x:v>
      </x:c>
      <x:c r="C1319" s="7" t="str">
        <x:v>CH-PEA-B-Y1-03-5</x:v>
      </x:c>
      <x:c r="D1319" s="7" t="str">
        <x:v>PEA-B-Y1</x:v>
      </x:c>
      <x:c r="E1319" s="7" t="str">
        <x:v>BLD-B</x:v>
      </x:c>
      <x:c r="F1319" s="7" t="str">
        <x:v>BL-Y</x:v>
      </x:c>
      <x:c r="G1319" s="7" t="str">
        <x:v>MF-03</x:v>
      </x:c>
      <x:c r="H1319" s="7" t="str"/>
      <x:c r="I1319" s="7" t="str"/>
      <x:c r="J1319" s="7" t="str">
        <x:f>IF(OR(H1319="",I1319=""),"",I1319-H1319)</x:f>
      </x:c>
      <x:c r="K1319" s="7" t="str"/>
      <x:c r="L1319" s="7" t="str"/>
      <x:c r="M1319" s="7" t="str">
        <x:f>IF(L1319="","OPEN",IF(OR(NOT(ISNUMBER(H1319)),NOT(ISNUMBER(I1319)),NOT(ISNUMBER(K1319)),ABS(J1319)&gt;K1319),"FAIL","PASS"))</x:f>
        <x:v>OPEN</x:v>
      </x:c>
    </x:row>
    <x:row r="1320">
      <x:c r="B1320" s="7" t="str">
        <x:v>CAL-CH-PEA-B-Y1-03-6</x:v>
      </x:c>
      <x:c r="C1320" s="7" t="str">
        <x:v>CH-PEA-B-Y1-03-6</x:v>
      </x:c>
      <x:c r="D1320" s="7" t="str">
        <x:v>PEA-B-Y1</x:v>
      </x:c>
      <x:c r="E1320" s="7" t="str">
        <x:v>BLD-B</x:v>
      </x:c>
      <x:c r="F1320" s="7" t="str">
        <x:v>BL-Y</x:v>
      </x:c>
      <x:c r="G1320" s="7" t="str">
        <x:v>MF-03</x:v>
      </x:c>
      <x:c r="H1320" s="7" t="str"/>
      <x:c r="I1320" s="7" t="str"/>
      <x:c r="J1320" s="7" t="str">
        <x:f>IF(OR(H1320="",I1320=""),"",I1320-H1320)</x:f>
      </x:c>
      <x:c r="K1320" s="7" t="str"/>
      <x:c r="L1320" s="7" t="str"/>
      <x:c r="M1320" s="7" t="str">
        <x:f>IF(L1320="","OPEN",IF(OR(NOT(ISNUMBER(H1320)),NOT(ISNUMBER(I1320)),NOT(ISNUMBER(K1320)),ABS(J1320)&gt;K1320),"FAIL","PASS"))</x:f>
        <x:v>OPEN</x:v>
      </x:c>
    </x:row>
    <x:row r="1321">
      <x:c r="B1321" s="7" t="str">
        <x:v>CAL-CH-PEA-B-Y1-04-1</x:v>
      </x:c>
      <x:c r="C1321" s="7" t="str">
        <x:v>CH-PEA-B-Y1-04-1</x:v>
      </x:c>
      <x:c r="D1321" s="7" t="str">
        <x:v>PEA-B-Y1</x:v>
      </x:c>
      <x:c r="E1321" s="7" t="str">
        <x:v>BLD-B</x:v>
      </x:c>
      <x:c r="F1321" s="7" t="str">
        <x:v>BL-Y</x:v>
      </x:c>
      <x:c r="G1321" s="7" t="str">
        <x:v>MF-04</x:v>
      </x:c>
      <x:c r="H1321" s="7" t="str"/>
      <x:c r="I1321" s="7" t="str"/>
      <x:c r="J1321" s="7" t="str">
        <x:f>IF(OR(H1321="",I1321=""),"",I1321-H1321)</x:f>
      </x:c>
      <x:c r="K1321" s="7" t="str"/>
      <x:c r="L1321" s="7" t="str"/>
      <x:c r="M1321" s="7" t="str">
        <x:f>IF(L1321="","OPEN",IF(OR(NOT(ISNUMBER(H1321)),NOT(ISNUMBER(I1321)),NOT(ISNUMBER(K1321)),ABS(J1321)&gt;K1321),"FAIL","PASS"))</x:f>
        <x:v>OPEN</x:v>
      </x:c>
    </x:row>
    <x:row r="1322">
      <x:c r="B1322" s="7" t="str">
        <x:v>CAL-CH-PEA-B-Y1-04-2</x:v>
      </x:c>
      <x:c r="C1322" s="7" t="str">
        <x:v>CH-PEA-B-Y1-04-2</x:v>
      </x:c>
      <x:c r="D1322" s="7" t="str">
        <x:v>PEA-B-Y1</x:v>
      </x:c>
      <x:c r="E1322" s="7" t="str">
        <x:v>BLD-B</x:v>
      </x:c>
      <x:c r="F1322" s="7" t="str">
        <x:v>BL-Y</x:v>
      </x:c>
      <x:c r="G1322" s="7" t="str">
        <x:v>MF-04</x:v>
      </x:c>
      <x:c r="H1322" s="7" t="str"/>
      <x:c r="I1322" s="7" t="str"/>
      <x:c r="J1322" s="7" t="str">
        <x:f>IF(OR(H1322="",I1322=""),"",I1322-H1322)</x:f>
      </x:c>
      <x:c r="K1322" s="7" t="str"/>
      <x:c r="L1322" s="7" t="str"/>
      <x:c r="M1322" s="7" t="str">
        <x:f>IF(L1322="","OPEN",IF(OR(NOT(ISNUMBER(H1322)),NOT(ISNUMBER(I1322)),NOT(ISNUMBER(K1322)),ABS(J1322)&gt;K1322),"FAIL","PASS"))</x:f>
        <x:v>OPEN</x:v>
      </x:c>
    </x:row>
    <x:row r="1323">
      <x:c r="B1323" s="7" t="str">
        <x:v>CAL-CH-PEA-B-Y1-04-3</x:v>
      </x:c>
      <x:c r="C1323" s="7" t="str">
        <x:v>CH-PEA-B-Y1-04-3</x:v>
      </x:c>
      <x:c r="D1323" s="7" t="str">
        <x:v>PEA-B-Y1</x:v>
      </x:c>
      <x:c r="E1323" s="7" t="str">
        <x:v>BLD-B</x:v>
      </x:c>
      <x:c r="F1323" s="7" t="str">
        <x:v>BL-Y</x:v>
      </x:c>
      <x:c r="G1323" s="7" t="str">
        <x:v>MF-04</x:v>
      </x:c>
      <x:c r="H1323" s="7" t="str"/>
      <x:c r="I1323" s="7" t="str"/>
      <x:c r="J1323" s="7" t="str">
        <x:f>IF(OR(H1323="",I1323=""),"",I1323-H1323)</x:f>
      </x:c>
      <x:c r="K1323" s="7" t="str"/>
      <x:c r="L1323" s="7" t="str"/>
      <x:c r="M1323" s="7" t="str">
        <x:f>IF(L1323="","OPEN",IF(OR(NOT(ISNUMBER(H1323)),NOT(ISNUMBER(I1323)),NOT(ISNUMBER(K1323)),ABS(J1323)&gt;K1323),"FAIL","PASS"))</x:f>
        <x:v>OPEN</x:v>
      </x:c>
    </x:row>
    <x:row r="1324">
      <x:c r="B1324" s="7" t="str">
        <x:v>CAL-CH-PEA-B-Y1-04-4</x:v>
      </x:c>
      <x:c r="C1324" s="7" t="str">
        <x:v>CH-PEA-B-Y1-04-4</x:v>
      </x:c>
      <x:c r="D1324" s="7" t="str">
        <x:v>PEA-B-Y1</x:v>
      </x:c>
      <x:c r="E1324" s="7" t="str">
        <x:v>BLD-B</x:v>
      </x:c>
      <x:c r="F1324" s="7" t="str">
        <x:v>BL-Y</x:v>
      </x:c>
      <x:c r="G1324" s="7" t="str">
        <x:v>MF-04</x:v>
      </x:c>
      <x:c r="H1324" s="7" t="str"/>
      <x:c r="I1324" s="7" t="str"/>
      <x:c r="J1324" s="7" t="str">
        <x:f>IF(OR(H1324="",I1324=""),"",I1324-H1324)</x:f>
      </x:c>
      <x:c r="K1324" s="7" t="str"/>
      <x:c r="L1324" s="7" t="str"/>
      <x:c r="M1324" s="7" t="str">
        <x:f>IF(L1324="","OPEN",IF(OR(NOT(ISNUMBER(H1324)),NOT(ISNUMBER(I1324)),NOT(ISNUMBER(K1324)),ABS(J1324)&gt;K1324),"FAIL","PASS"))</x:f>
        <x:v>OPEN</x:v>
      </x:c>
    </x:row>
    <x:row r="1325">
      <x:c r="B1325" s="7" t="str">
        <x:v>CAL-CH-PEA-B-Y1-04-5</x:v>
      </x:c>
      <x:c r="C1325" s="7" t="str">
        <x:v>CH-PEA-B-Y1-04-5</x:v>
      </x:c>
      <x:c r="D1325" s="7" t="str">
        <x:v>PEA-B-Y1</x:v>
      </x:c>
      <x:c r="E1325" s="7" t="str">
        <x:v>BLD-B</x:v>
      </x:c>
      <x:c r="F1325" s="7" t="str">
        <x:v>BL-Y</x:v>
      </x:c>
      <x:c r="G1325" s="7" t="str">
        <x:v>MF-04</x:v>
      </x:c>
      <x:c r="H1325" s="7" t="str"/>
      <x:c r="I1325" s="7" t="str"/>
      <x:c r="J1325" s="7" t="str">
        <x:f>IF(OR(H1325="",I1325=""),"",I1325-H1325)</x:f>
      </x:c>
      <x:c r="K1325" s="7" t="str"/>
      <x:c r="L1325" s="7" t="str"/>
      <x:c r="M1325" s="7" t="str">
        <x:f>IF(L1325="","OPEN",IF(OR(NOT(ISNUMBER(H1325)),NOT(ISNUMBER(I1325)),NOT(ISNUMBER(K1325)),ABS(J1325)&gt;K1325),"FAIL","PASS"))</x:f>
        <x:v>OPEN</x:v>
      </x:c>
    </x:row>
    <x:row r="1326">
      <x:c r="B1326" s="7" t="str">
        <x:v>CAL-CH-PEA-B-Y1-04-6</x:v>
      </x:c>
      <x:c r="C1326" s="7" t="str">
        <x:v>CH-PEA-B-Y1-04-6</x:v>
      </x:c>
      <x:c r="D1326" s="7" t="str">
        <x:v>PEA-B-Y1</x:v>
      </x:c>
      <x:c r="E1326" s="7" t="str">
        <x:v>BLD-B</x:v>
      </x:c>
      <x:c r="F1326" s="7" t="str">
        <x:v>BL-Y</x:v>
      </x:c>
      <x:c r="G1326" s="7" t="str">
        <x:v>MF-04</x:v>
      </x:c>
      <x:c r="H1326" s="7" t="str"/>
      <x:c r="I1326" s="7" t="str"/>
      <x:c r="J1326" s="7" t="str">
        <x:f>IF(OR(H1326="",I1326=""),"",I1326-H1326)</x:f>
      </x:c>
      <x:c r="K1326" s="7" t="str"/>
      <x:c r="L1326" s="7" t="str"/>
      <x:c r="M1326" s="7" t="str">
        <x:f>IF(L1326="","OPEN",IF(OR(NOT(ISNUMBER(H1326)),NOT(ISNUMBER(I1326)),NOT(ISNUMBER(K1326)),ABS(J1326)&gt;K1326),"FAIL","PASS"))</x:f>
        <x:v>OPEN</x:v>
      </x:c>
    </x:row>
    <x:row r="1327">
      <x:c r="B1327" s="7" t="str">
        <x:v>CAL-CH-PEA-B-Y1-05-1</x:v>
      </x:c>
      <x:c r="C1327" s="7" t="str">
        <x:v>CH-PEA-B-Y1-05-1</x:v>
      </x:c>
      <x:c r="D1327" s="7" t="str">
        <x:v>PEA-B-Y1</x:v>
      </x:c>
      <x:c r="E1327" s="7" t="str">
        <x:v>BLD-B</x:v>
      </x:c>
      <x:c r="F1327" s="7" t="str">
        <x:v>BL-Y</x:v>
      </x:c>
      <x:c r="G1327" s="7" t="str">
        <x:v>MF-05</x:v>
      </x:c>
      <x:c r="H1327" s="7" t="str"/>
      <x:c r="I1327" s="7" t="str"/>
      <x:c r="J1327" s="7" t="str">
        <x:f>IF(OR(H1327="",I1327=""),"",I1327-H1327)</x:f>
      </x:c>
      <x:c r="K1327" s="7" t="str"/>
      <x:c r="L1327" s="7" t="str"/>
      <x:c r="M1327" s="7" t="str">
        <x:f>IF(L1327="","OPEN",IF(OR(NOT(ISNUMBER(H1327)),NOT(ISNUMBER(I1327)),NOT(ISNUMBER(K1327)),ABS(J1327)&gt;K1327),"FAIL","PASS"))</x:f>
        <x:v>OPEN</x:v>
      </x:c>
    </x:row>
    <x:row r="1328">
      <x:c r="B1328" s="7" t="str">
        <x:v>CAL-CH-PEA-B-Y1-05-2</x:v>
      </x:c>
      <x:c r="C1328" s="7" t="str">
        <x:v>CH-PEA-B-Y1-05-2</x:v>
      </x:c>
      <x:c r="D1328" s="7" t="str">
        <x:v>PEA-B-Y1</x:v>
      </x:c>
      <x:c r="E1328" s="7" t="str">
        <x:v>BLD-B</x:v>
      </x:c>
      <x:c r="F1328" s="7" t="str">
        <x:v>BL-Y</x:v>
      </x:c>
      <x:c r="G1328" s="7" t="str">
        <x:v>MF-05</x:v>
      </x:c>
      <x:c r="H1328" s="7" t="str"/>
      <x:c r="I1328" s="7" t="str"/>
      <x:c r="J1328" s="7" t="str">
        <x:f>IF(OR(H1328="",I1328=""),"",I1328-H1328)</x:f>
      </x:c>
      <x:c r="K1328" s="7" t="str"/>
      <x:c r="L1328" s="7" t="str"/>
      <x:c r="M1328" s="7" t="str">
        <x:f>IF(L1328="","OPEN",IF(OR(NOT(ISNUMBER(H1328)),NOT(ISNUMBER(I1328)),NOT(ISNUMBER(K1328)),ABS(J1328)&gt;K1328),"FAIL","PASS"))</x:f>
        <x:v>OPEN</x:v>
      </x:c>
    </x:row>
    <x:row r="1329">
      <x:c r="B1329" s="7" t="str">
        <x:v>CAL-CH-PEA-B-Y1-05-3</x:v>
      </x:c>
      <x:c r="C1329" s="7" t="str">
        <x:v>CH-PEA-B-Y1-05-3</x:v>
      </x:c>
      <x:c r="D1329" s="7" t="str">
        <x:v>PEA-B-Y1</x:v>
      </x:c>
      <x:c r="E1329" s="7" t="str">
        <x:v>BLD-B</x:v>
      </x:c>
      <x:c r="F1329" s="7" t="str">
        <x:v>BL-Y</x:v>
      </x:c>
      <x:c r="G1329" s="7" t="str">
        <x:v>MF-05</x:v>
      </x:c>
      <x:c r="H1329" s="7" t="str"/>
      <x:c r="I1329" s="7" t="str"/>
      <x:c r="J1329" s="7" t="str">
        <x:f>IF(OR(H1329="",I1329=""),"",I1329-H1329)</x:f>
      </x:c>
      <x:c r="K1329" s="7" t="str"/>
      <x:c r="L1329" s="7" t="str"/>
      <x:c r="M1329" s="7" t="str">
        <x:f>IF(L1329="","OPEN",IF(OR(NOT(ISNUMBER(H1329)),NOT(ISNUMBER(I1329)),NOT(ISNUMBER(K1329)),ABS(J1329)&gt;K1329),"FAIL","PASS"))</x:f>
        <x:v>OPEN</x:v>
      </x:c>
    </x:row>
    <x:row r="1330">
      <x:c r="B1330" s="7" t="str">
        <x:v>CAL-CH-PEA-B-Y1-05-4</x:v>
      </x:c>
      <x:c r="C1330" s="7" t="str">
        <x:v>CH-PEA-B-Y1-05-4</x:v>
      </x:c>
      <x:c r="D1330" s="7" t="str">
        <x:v>PEA-B-Y1</x:v>
      </x:c>
      <x:c r="E1330" s="7" t="str">
        <x:v>BLD-B</x:v>
      </x:c>
      <x:c r="F1330" s="7" t="str">
        <x:v>BL-Y</x:v>
      </x:c>
      <x:c r="G1330" s="7" t="str">
        <x:v>MF-05</x:v>
      </x:c>
      <x:c r="H1330" s="7" t="str"/>
      <x:c r="I1330" s="7" t="str"/>
      <x:c r="J1330" s="7" t="str">
        <x:f>IF(OR(H1330="",I1330=""),"",I1330-H1330)</x:f>
      </x:c>
      <x:c r="K1330" s="7" t="str"/>
      <x:c r="L1330" s="7" t="str"/>
      <x:c r="M1330" s="7" t="str">
        <x:f>IF(L1330="","OPEN",IF(OR(NOT(ISNUMBER(H1330)),NOT(ISNUMBER(I1330)),NOT(ISNUMBER(K1330)),ABS(J1330)&gt;K1330),"FAIL","PASS"))</x:f>
        <x:v>OPEN</x:v>
      </x:c>
    </x:row>
    <x:row r="1331">
      <x:c r="B1331" s="7" t="str">
        <x:v>CAL-CH-PEA-B-Y1-05-5</x:v>
      </x:c>
      <x:c r="C1331" s="7" t="str">
        <x:v>CH-PEA-B-Y1-05-5</x:v>
      </x:c>
      <x:c r="D1331" s="7" t="str">
        <x:v>PEA-B-Y1</x:v>
      </x:c>
      <x:c r="E1331" s="7" t="str">
        <x:v>BLD-B</x:v>
      </x:c>
      <x:c r="F1331" s="7" t="str">
        <x:v>BL-Y</x:v>
      </x:c>
      <x:c r="G1331" s="7" t="str">
        <x:v>MF-05</x:v>
      </x:c>
      <x:c r="H1331" s="7" t="str"/>
      <x:c r="I1331" s="7" t="str"/>
      <x:c r="J1331" s="7" t="str">
        <x:f>IF(OR(H1331="",I1331=""),"",I1331-H1331)</x:f>
      </x:c>
      <x:c r="K1331" s="7" t="str"/>
      <x:c r="L1331" s="7" t="str"/>
      <x:c r="M1331" s="7" t="str">
        <x:f>IF(L1331="","OPEN",IF(OR(NOT(ISNUMBER(H1331)),NOT(ISNUMBER(I1331)),NOT(ISNUMBER(K1331)),ABS(J1331)&gt;K1331),"FAIL","PASS"))</x:f>
        <x:v>OPEN</x:v>
      </x:c>
    </x:row>
    <x:row r="1332">
      <x:c r="B1332" s="7" t="str">
        <x:v>CAL-CH-PEA-B-Y1-05-6</x:v>
      </x:c>
      <x:c r="C1332" s="7" t="str">
        <x:v>CH-PEA-B-Y1-05-6</x:v>
      </x:c>
      <x:c r="D1332" s="7" t="str">
        <x:v>PEA-B-Y1</x:v>
      </x:c>
      <x:c r="E1332" s="7" t="str">
        <x:v>BLD-B</x:v>
      </x:c>
      <x:c r="F1332" s="7" t="str">
        <x:v>BL-Y</x:v>
      </x:c>
      <x:c r="G1332" s="7" t="str">
        <x:v>MF-05</x:v>
      </x:c>
      <x:c r="H1332" s="7" t="str"/>
      <x:c r="I1332" s="7" t="str"/>
      <x:c r="J1332" s="7" t="str">
        <x:f>IF(OR(H1332="",I1332=""),"",I1332-H1332)</x:f>
      </x:c>
      <x:c r="K1332" s="7" t="str"/>
      <x:c r="L1332" s="7" t="str"/>
      <x:c r="M1332" s="7" t="str">
        <x:f>IF(L1332="","OPEN",IF(OR(NOT(ISNUMBER(H1332)),NOT(ISNUMBER(I1332)),NOT(ISNUMBER(K1332)),ABS(J1332)&gt;K1332),"FAIL","PASS"))</x:f>
        <x:v>OPEN</x:v>
      </x:c>
    </x:row>
    <x:row r="1333">
      <x:c r="B1333" s="7" t="str">
        <x:v>CAL-CH-PEA-B-Y1-06-1</x:v>
      </x:c>
      <x:c r="C1333" s="7" t="str">
        <x:v>CH-PEA-B-Y1-06-1</x:v>
      </x:c>
      <x:c r="D1333" s="7" t="str">
        <x:v>PEA-B-Y1</x:v>
      </x:c>
      <x:c r="E1333" s="7" t="str">
        <x:v>BLD-B</x:v>
      </x:c>
      <x:c r="F1333" s="7" t="str">
        <x:v>BL-Y</x:v>
      </x:c>
      <x:c r="G1333" s="7" t="str">
        <x:v>MF-06</x:v>
      </x:c>
      <x:c r="H1333" s="7" t="str"/>
      <x:c r="I1333" s="7" t="str"/>
      <x:c r="J1333" s="7" t="str">
        <x:f>IF(OR(H1333="",I1333=""),"",I1333-H1333)</x:f>
      </x:c>
      <x:c r="K1333" s="7" t="str"/>
      <x:c r="L1333" s="7" t="str"/>
      <x:c r="M1333" s="7" t="str">
        <x:f>IF(L1333="","OPEN",IF(OR(NOT(ISNUMBER(H1333)),NOT(ISNUMBER(I1333)),NOT(ISNUMBER(K1333)),ABS(J1333)&gt;K1333),"FAIL","PASS"))</x:f>
        <x:v>OPEN</x:v>
      </x:c>
    </x:row>
    <x:row r="1334">
      <x:c r="B1334" s="7" t="str">
        <x:v>CAL-CH-PEA-B-Y1-06-2</x:v>
      </x:c>
      <x:c r="C1334" s="7" t="str">
        <x:v>CH-PEA-B-Y1-06-2</x:v>
      </x:c>
      <x:c r="D1334" s="7" t="str">
        <x:v>PEA-B-Y1</x:v>
      </x:c>
      <x:c r="E1334" s="7" t="str">
        <x:v>BLD-B</x:v>
      </x:c>
      <x:c r="F1334" s="7" t="str">
        <x:v>BL-Y</x:v>
      </x:c>
      <x:c r="G1334" s="7" t="str">
        <x:v>MF-06</x:v>
      </x:c>
      <x:c r="H1334" s="7" t="str"/>
      <x:c r="I1334" s="7" t="str"/>
      <x:c r="J1334" s="7" t="str">
        <x:f>IF(OR(H1334="",I1334=""),"",I1334-H1334)</x:f>
      </x:c>
      <x:c r="K1334" s="7" t="str"/>
      <x:c r="L1334" s="7" t="str"/>
      <x:c r="M1334" s="7" t="str">
        <x:f>IF(L1334="","OPEN",IF(OR(NOT(ISNUMBER(H1334)),NOT(ISNUMBER(I1334)),NOT(ISNUMBER(K1334)),ABS(J1334)&gt;K1334),"FAIL","PASS"))</x:f>
        <x:v>OPEN</x:v>
      </x:c>
    </x:row>
    <x:row r="1335">
      <x:c r="B1335" s="7" t="str">
        <x:v>CAL-CH-PEA-B-Y1-06-3</x:v>
      </x:c>
      <x:c r="C1335" s="7" t="str">
        <x:v>CH-PEA-B-Y1-06-3</x:v>
      </x:c>
      <x:c r="D1335" s="7" t="str">
        <x:v>PEA-B-Y1</x:v>
      </x:c>
      <x:c r="E1335" s="7" t="str">
        <x:v>BLD-B</x:v>
      </x:c>
      <x:c r="F1335" s="7" t="str">
        <x:v>BL-Y</x:v>
      </x:c>
      <x:c r="G1335" s="7" t="str">
        <x:v>MF-06</x:v>
      </x:c>
      <x:c r="H1335" s="7" t="str"/>
      <x:c r="I1335" s="7" t="str"/>
      <x:c r="J1335" s="7" t="str">
        <x:f>IF(OR(H1335="",I1335=""),"",I1335-H1335)</x:f>
      </x:c>
      <x:c r="K1335" s="7" t="str"/>
      <x:c r="L1335" s="7" t="str"/>
      <x:c r="M1335" s="7" t="str">
        <x:f>IF(L1335="","OPEN",IF(OR(NOT(ISNUMBER(H1335)),NOT(ISNUMBER(I1335)),NOT(ISNUMBER(K1335)),ABS(J1335)&gt;K1335),"FAIL","PASS"))</x:f>
        <x:v>OPEN</x:v>
      </x:c>
    </x:row>
    <x:row r="1336">
      <x:c r="B1336" s="7" t="str">
        <x:v>CAL-CH-PEA-B-Y1-06-4</x:v>
      </x:c>
      <x:c r="C1336" s="7" t="str">
        <x:v>CH-PEA-B-Y1-06-4</x:v>
      </x:c>
      <x:c r="D1336" s="7" t="str">
        <x:v>PEA-B-Y1</x:v>
      </x:c>
      <x:c r="E1336" s="7" t="str">
        <x:v>BLD-B</x:v>
      </x:c>
      <x:c r="F1336" s="7" t="str">
        <x:v>BL-Y</x:v>
      </x:c>
      <x:c r="G1336" s="7" t="str">
        <x:v>MF-06</x:v>
      </x:c>
      <x:c r="H1336" s="7" t="str"/>
      <x:c r="I1336" s="7" t="str"/>
      <x:c r="J1336" s="7" t="str">
        <x:f>IF(OR(H1336="",I1336=""),"",I1336-H1336)</x:f>
      </x:c>
      <x:c r="K1336" s="7" t="str"/>
      <x:c r="L1336" s="7" t="str"/>
      <x:c r="M1336" s="7" t="str">
        <x:f>IF(L1336="","OPEN",IF(OR(NOT(ISNUMBER(H1336)),NOT(ISNUMBER(I1336)),NOT(ISNUMBER(K1336)),ABS(J1336)&gt;K1336),"FAIL","PASS"))</x:f>
        <x:v>OPEN</x:v>
      </x:c>
    </x:row>
    <x:row r="1337">
      <x:c r="B1337" s="7" t="str">
        <x:v>CAL-CH-PEA-B-Y1-06-5</x:v>
      </x:c>
      <x:c r="C1337" s="7" t="str">
        <x:v>CH-PEA-B-Y1-06-5</x:v>
      </x:c>
      <x:c r="D1337" s="7" t="str">
        <x:v>PEA-B-Y1</x:v>
      </x:c>
      <x:c r="E1337" s="7" t="str">
        <x:v>BLD-B</x:v>
      </x:c>
      <x:c r="F1337" s="7" t="str">
        <x:v>BL-Y</x:v>
      </x:c>
      <x:c r="G1337" s="7" t="str">
        <x:v>MF-06</x:v>
      </x:c>
      <x:c r="H1337" s="7" t="str"/>
      <x:c r="I1337" s="7" t="str"/>
      <x:c r="J1337" s="7" t="str">
        <x:f>IF(OR(H1337="",I1337=""),"",I1337-H1337)</x:f>
      </x:c>
      <x:c r="K1337" s="7" t="str"/>
      <x:c r="L1337" s="7" t="str"/>
      <x:c r="M1337" s="7" t="str">
        <x:f>IF(L1337="","OPEN",IF(OR(NOT(ISNUMBER(H1337)),NOT(ISNUMBER(I1337)),NOT(ISNUMBER(K1337)),ABS(J1337)&gt;K1337),"FAIL","PASS"))</x:f>
        <x:v>OPEN</x:v>
      </x:c>
    </x:row>
    <x:row r="1338">
      <x:c r="B1338" s="7" t="str">
        <x:v>CAL-CH-PEA-B-Y1-06-6</x:v>
      </x:c>
      <x:c r="C1338" s="7" t="str">
        <x:v>CH-PEA-B-Y1-06-6</x:v>
      </x:c>
      <x:c r="D1338" s="7" t="str">
        <x:v>PEA-B-Y1</x:v>
      </x:c>
      <x:c r="E1338" s="7" t="str">
        <x:v>BLD-B</x:v>
      </x:c>
      <x:c r="F1338" s="7" t="str">
        <x:v>BL-Y</x:v>
      </x:c>
      <x:c r="G1338" s="7" t="str">
        <x:v>MF-06</x:v>
      </x:c>
      <x:c r="H1338" s="7" t="str"/>
      <x:c r="I1338" s="7" t="str"/>
      <x:c r="J1338" s="7" t="str">
        <x:f>IF(OR(H1338="",I1338=""),"",I1338-H1338)</x:f>
      </x:c>
      <x:c r="K1338" s="7" t="str"/>
      <x:c r="L1338" s="7" t="str"/>
      <x:c r="M1338" s="7" t="str">
        <x:f>IF(L1338="","OPEN",IF(OR(NOT(ISNUMBER(H1338)),NOT(ISNUMBER(I1338)),NOT(ISNUMBER(K1338)),ABS(J1338)&gt;K1338),"FAIL","PASS"))</x:f>
        <x:v>OPEN</x:v>
      </x:c>
    </x:row>
    <x:row r="1339">
      <x:c r="B1339" s="7" t="str">
        <x:v>CAL-CH-PEA-B-Y1-07-1</x:v>
      </x:c>
      <x:c r="C1339" s="7" t="str">
        <x:v>CH-PEA-B-Y1-07-1</x:v>
      </x:c>
      <x:c r="D1339" s="7" t="str">
        <x:v>PEA-B-Y1</x:v>
      </x:c>
      <x:c r="E1339" s="7" t="str">
        <x:v>BLD-B</x:v>
      </x:c>
      <x:c r="F1339" s="7" t="str">
        <x:v>BL-Y</x:v>
      </x:c>
      <x:c r="G1339" s="7" t="str">
        <x:v>MF-07</x:v>
      </x:c>
      <x:c r="H1339" s="7" t="str"/>
      <x:c r="I1339" s="7" t="str"/>
      <x:c r="J1339" s="7" t="str">
        <x:f>IF(OR(H1339="",I1339=""),"",I1339-H1339)</x:f>
      </x:c>
      <x:c r="K1339" s="7" t="str"/>
      <x:c r="L1339" s="7" t="str"/>
      <x:c r="M1339" s="7" t="str">
        <x:f>IF(L1339="","OPEN",IF(OR(NOT(ISNUMBER(H1339)),NOT(ISNUMBER(I1339)),NOT(ISNUMBER(K1339)),ABS(J1339)&gt;K1339),"FAIL","PASS"))</x:f>
        <x:v>OPEN</x:v>
      </x:c>
    </x:row>
    <x:row r="1340">
      <x:c r="B1340" s="7" t="str">
        <x:v>CAL-CH-PEA-B-Y1-07-2</x:v>
      </x:c>
      <x:c r="C1340" s="7" t="str">
        <x:v>CH-PEA-B-Y1-07-2</x:v>
      </x:c>
      <x:c r="D1340" s="7" t="str">
        <x:v>PEA-B-Y1</x:v>
      </x:c>
      <x:c r="E1340" s="7" t="str">
        <x:v>BLD-B</x:v>
      </x:c>
      <x:c r="F1340" s="7" t="str">
        <x:v>BL-Y</x:v>
      </x:c>
      <x:c r="G1340" s="7" t="str">
        <x:v>MF-07</x:v>
      </x:c>
      <x:c r="H1340" s="7" t="str"/>
      <x:c r="I1340" s="7" t="str"/>
      <x:c r="J1340" s="7" t="str">
        <x:f>IF(OR(H1340="",I1340=""),"",I1340-H1340)</x:f>
      </x:c>
      <x:c r="K1340" s="7" t="str"/>
      <x:c r="L1340" s="7" t="str"/>
      <x:c r="M1340" s="7" t="str">
        <x:f>IF(L1340="","OPEN",IF(OR(NOT(ISNUMBER(H1340)),NOT(ISNUMBER(I1340)),NOT(ISNUMBER(K1340)),ABS(J1340)&gt;K1340),"FAIL","PASS"))</x:f>
        <x:v>OPEN</x:v>
      </x:c>
    </x:row>
    <x:row r="1341">
      <x:c r="B1341" s="7" t="str">
        <x:v>CAL-CH-PEA-B-Y1-07-3</x:v>
      </x:c>
      <x:c r="C1341" s="7" t="str">
        <x:v>CH-PEA-B-Y1-07-3</x:v>
      </x:c>
      <x:c r="D1341" s="7" t="str">
        <x:v>PEA-B-Y1</x:v>
      </x:c>
      <x:c r="E1341" s="7" t="str">
        <x:v>BLD-B</x:v>
      </x:c>
      <x:c r="F1341" s="7" t="str">
        <x:v>BL-Y</x:v>
      </x:c>
      <x:c r="G1341" s="7" t="str">
        <x:v>MF-07</x:v>
      </x:c>
      <x:c r="H1341" s="7" t="str"/>
      <x:c r="I1341" s="7" t="str"/>
      <x:c r="J1341" s="7" t="str">
        <x:f>IF(OR(H1341="",I1341=""),"",I1341-H1341)</x:f>
      </x:c>
      <x:c r="K1341" s="7" t="str"/>
      <x:c r="L1341" s="7" t="str"/>
      <x:c r="M1341" s="7" t="str">
        <x:f>IF(L1341="","OPEN",IF(OR(NOT(ISNUMBER(H1341)),NOT(ISNUMBER(I1341)),NOT(ISNUMBER(K1341)),ABS(J1341)&gt;K1341),"FAIL","PASS"))</x:f>
        <x:v>OPEN</x:v>
      </x:c>
    </x:row>
    <x:row r="1342">
      <x:c r="B1342" s="7" t="str">
        <x:v>CAL-CH-PEA-B-Y1-07-4</x:v>
      </x:c>
      <x:c r="C1342" s="7" t="str">
        <x:v>CH-PEA-B-Y1-07-4</x:v>
      </x:c>
      <x:c r="D1342" s="7" t="str">
        <x:v>PEA-B-Y1</x:v>
      </x:c>
      <x:c r="E1342" s="7" t="str">
        <x:v>BLD-B</x:v>
      </x:c>
      <x:c r="F1342" s="7" t="str">
        <x:v>BL-Y</x:v>
      </x:c>
      <x:c r="G1342" s="7" t="str">
        <x:v>MF-07</x:v>
      </x:c>
      <x:c r="H1342" s="7" t="str"/>
      <x:c r="I1342" s="7" t="str"/>
      <x:c r="J1342" s="7" t="str">
        <x:f>IF(OR(H1342="",I1342=""),"",I1342-H1342)</x:f>
      </x:c>
      <x:c r="K1342" s="7" t="str"/>
      <x:c r="L1342" s="7" t="str"/>
      <x:c r="M1342" s="7" t="str">
        <x:f>IF(L1342="","OPEN",IF(OR(NOT(ISNUMBER(H1342)),NOT(ISNUMBER(I1342)),NOT(ISNUMBER(K1342)),ABS(J1342)&gt;K1342),"FAIL","PASS"))</x:f>
        <x:v>OPEN</x:v>
      </x:c>
    </x:row>
    <x:row r="1343">
      <x:c r="B1343" s="7" t="str">
        <x:v>CAL-CH-PEA-B-Y1-07-5</x:v>
      </x:c>
      <x:c r="C1343" s="7" t="str">
        <x:v>CH-PEA-B-Y1-07-5</x:v>
      </x:c>
      <x:c r="D1343" s="7" t="str">
        <x:v>PEA-B-Y1</x:v>
      </x:c>
      <x:c r="E1343" s="7" t="str">
        <x:v>BLD-B</x:v>
      </x:c>
      <x:c r="F1343" s="7" t="str">
        <x:v>BL-Y</x:v>
      </x:c>
      <x:c r="G1343" s="7" t="str">
        <x:v>MF-07</x:v>
      </x:c>
      <x:c r="H1343" s="7" t="str"/>
      <x:c r="I1343" s="7" t="str"/>
      <x:c r="J1343" s="7" t="str">
        <x:f>IF(OR(H1343="",I1343=""),"",I1343-H1343)</x:f>
      </x:c>
      <x:c r="K1343" s="7" t="str"/>
      <x:c r="L1343" s="7" t="str"/>
      <x:c r="M1343" s="7" t="str">
        <x:f>IF(L1343="","OPEN",IF(OR(NOT(ISNUMBER(H1343)),NOT(ISNUMBER(I1343)),NOT(ISNUMBER(K1343)),ABS(J1343)&gt;K1343),"FAIL","PASS"))</x:f>
        <x:v>OPEN</x:v>
      </x:c>
    </x:row>
    <x:row r="1344">
      <x:c r="B1344" s="7" t="str">
        <x:v>CAL-CH-PEA-B-Y1-07-6</x:v>
      </x:c>
      <x:c r="C1344" s="7" t="str">
        <x:v>CH-PEA-B-Y1-07-6</x:v>
      </x:c>
      <x:c r="D1344" s="7" t="str">
        <x:v>PEA-B-Y1</x:v>
      </x:c>
      <x:c r="E1344" s="7" t="str">
        <x:v>BLD-B</x:v>
      </x:c>
      <x:c r="F1344" s="7" t="str">
        <x:v>BL-Y</x:v>
      </x:c>
      <x:c r="G1344" s="7" t="str">
        <x:v>MF-07</x:v>
      </x:c>
      <x:c r="H1344" s="7" t="str"/>
      <x:c r="I1344" s="7" t="str"/>
      <x:c r="J1344" s="7" t="str">
        <x:f>IF(OR(H1344="",I1344=""),"",I1344-H1344)</x:f>
      </x:c>
      <x:c r="K1344" s="7" t="str"/>
      <x:c r="L1344" s="7" t="str"/>
      <x:c r="M1344" s="7" t="str">
        <x:f>IF(L1344="","OPEN",IF(OR(NOT(ISNUMBER(H1344)),NOT(ISNUMBER(I1344)),NOT(ISNUMBER(K1344)),ABS(J1344)&gt;K1344),"FAIL","PASS"))</x:f>
        <x:v>OPEN</x:v>
      </x:c>
    </x:row>
    <x:row r="1345">
      <x:c r="B1345" s="7" t="str">
        <x:v>CAL-CH-PEA-B-Y1-08-1</x:v>
      </x:c>
      <x:c r="C1345" s="7" t="str">
        <x:v>CH-PEA-B-Y1-08-1</x:v>
      </x:c>
      <x:c r="D1345" s="7" t="str">
        <x:v>PEA-B-Y1</x:v>
      </x:c>
      <x:c r="E1345" s="7" t="str">
        <x:v>BLD-B</x:v>
      </x:c>
      <x:c r="F1345" s="7" t="str">
        <x:v>BL-Y</x:v>
      </x:c>
      <x:c r="G1345" s="7" t="str">
        <x:v>MF-08</x:v>
      </x:c>
      <x:c r="H1345" s="7" t="str"/>
      <x:c r="I1345" s="7" t="str"/>
      <x:c r="J1345" s="7" t="str">
        <x:f>IF(OR(H1345="",I1345=""),"",I1345-H1345)</x:f>
      </x:c>
      <x:c r="K1345" s="7" t="str"/>
      <x:c r="L1345" s="7" t="str"/>
      <x:c r="M1345" s="7" t="str">
        <x:f>IF(L1345="","OPEN",IF(OR(NOT(ISNUMBER(H1345)),NOT(ISNUMBER(I1345)),NOT(ISNUMBER(K1345)),ABS(J1345)&gt;K1345),"FAIL","PASS"))</x:f>
        <x:v>OPEN</x:v>
      </x:c>
    </x:row>
    <x:row r="1346">
      <x:c r="B1346" s="7" t="str">
        <x:v>CAL-CH-PEA-B-Y1-08-2</x:v>
      </x:c>
      <x:c r="C1346" s="7" t="str">
        <x:v>CH-PEA-B-Y1-08-2</x:v>
      </x:c>
      <x:c r="D1346" s="7" t="str">
        <x:v>PEA-B-Y1</x:v>
      </x:c>
      <x:c r="E1346" s="7" t="str">
        <x:v>BLD-B</x:v>
      </x:c>
      <x:c r="F1346" s="7" t="str">
        <x:v>BL-Y</x:v>
      </x:c>
      <x:c r="G1346" s="7" t="str">
        <x:v>MF-08</x:v>
      </x:c>
      <x:c r="H1346" s="7" t="str"/>
      <x:c r="I1346" s="7" t="str"/>
      <x:c r="J1346" s="7" t="str">
        <x:f>IF(OR(H1346="",I1346=""),"",I1346-H1346)</x:f>
      </x:c>
      <x:c r="K1346" s="7" t="str"/>
      <x:c r="L1346" s="7" t="str"/>
      <x:c r="M1346" s="7" t="str">
        <x:f>IF(L1346="","OPEN",IF(OR(NOT(ISNUMBER(H1346)),NOT(ISNUMBER(I1346)),NOT(ISNUMBER(K1346)),ABS(J1346)&gt;K1346),"FAIL","PASS"))</x:f>
        <x:v>OPEN</x:v>
      </x:c>
    </x:row>
    <x:row r="1347">
      <x:c r="B1347" s="7" t="str">
        <x:v>CAL-CH-PEA-B-Y1-08-3</x:v>
      </x:c>
      <x:c r="C1347" s="7" t="str">
        <x:v>CH-PEA-B-Y1-08-3</x:v>
      </x:c>
      <x:c r="D1347" s="7" t="str">
        <x:v>PEA-B-Y1</x:v>
      </x:c>
      <x:c r="E1347" s="7" t="str">
        <x:v>BLD-B</x:v>
      </x:c>
      <x:c r="F1347" s="7" t="str">
        <x:v>BL-Y</x:v>
      </x:c>
      <x:c r="G1347" s="7" t="str">
        <x:v>MF-08</x:v>
      </x:c>
      <x:c r="H1347" s="7" t="str"/>
      <x:c r="I1347" s="7" t="str"/>
      <x:c r="J1347" s="7" t="str">
        <x:f>IF(OR(H1347="",I1347=""),"",I1347-H1347)</x:f>
      </x:c>
      <x:c r="K1347" s="7" t="str"/>
      <x:c r="L1347" s="7" t="str"/>
      <x:c r="M1347" s="7" t="str">
        <x:f>IF(L1347="","OPEN",IF(OR(NOT(ISNUMBER(H1347)),NOT(ISNUMBER(I1347)),NOT(ISNUMBER(K1347)),ABS(J1347)&gt;K1347),"FAIL","PASS"))</x:f>
        <x:v>OPEN</x:v>
      </x:c>
    </x:row>
    <x:row r="1348">
      <x:c r="B1348" s="7" t="str">
        <x:v>CAL-CH-PEA-B-Y1-08-4</x:v>
      </x:c>
      <x:c r="C1348" s="7" t="str">
        <x:v>CH-PEA-B-Y1-08-4</x:v>
      </x:c>
      <x:c r="D1348" s="7" t="str">
        <x:v>PEA-B-Y1</x:v>
      </x:c>
      <x:c r="E1348" s="7" t="str">
        <x:v>BLD-B</x:v>
      </x:c>
      <x:c r="F1348" s="7" t="str">
        <x:v>BL-Y</x:v>
      </x:c>
      <x:c r="G1348" s="7" t="str">
        <x:v>MF-08</x:v>
      </x:c>
      <x:c r="H1348" s="7" t="str"/>
      <x:c r="I1348" s="7" t="str"/>
      <x:c r="J1348" s="7" t="str">
        <x:f>IF(OR(H1348="",I1348=""),"",I1348-H1348)</x:f>
      </x:c>
      <x:c r="K1348" s="7" t="str"/>
      <x:c r="L1348" s="7" t="str"/>
      <x:c r="M1348" s="7" t="str">
        <x:f>IF(L1348="","OPEN",IF(OR(NOT(ISNUMBER(H1348)),NOT(ISNUMBER(I1348)),NOT(ISNUMBER(K1348)),ABS(J1348)&gt;K1348),"FAIL","PASS"))</x:f>
        <x:v>OPEN</x:v>
      </x:c>
    </x:row>
    <x:row r="1349">
      <x:c r="B1349" s="7" t="str">
        <x:v>CAL-CH-PEA-B-Y1-08-5</x:v>
      </x:c>
      <x:c r="C1349" s="7" t="str">
        <x:v>CH-PEA-B-Y1-08-5</x:v>
      </x:c>
      <x:c r="D1349" s="7" t="str">
        <x:v>PEA-B-Y1</x:v>
      </x:c>
      <x:c r="E1349" s="7" t="str">
        <x:v>BLD-B</x:v>
      </x:c>
      <x:c r="F1349" s="7" t="str">
        <x:v>BL-Y</x:v>
      </x:c>
      <x:c r="G1349" s="7" t="str">
        <x:v>MF-08</x:v>
      </x:c>
      <x:c r="H1349" s="7" t="str"/>
      <x:c r="I1349" s="7" t="str"/>
      <x:c r="J1349" s="7" t="str">
        <x:f>IF(OR(H1349="",I1349=""),"",I1349-H1349)</x:f>
      </x:c>
      <x:c r="K1349" s="7" t="str"/>
      <x:c r="L1349" s="7" t="str"/>
      <x:c r="M1349" s="7" t="str">
        <x:f>IF(L1349="","OPEN",IF(OR(NOT(ISNUMBER(H1349)),NOT(ISNUMBER(I1349)),NOT(ISNUMBER(K1349)),ABS(J1349)&gt;K1349),"FAIL","PASS"))</x:f>
        <x:v>OPEN</x:v>
      </x:c>
    </x:row>
    <x:row r="1350">
      <x:c r="B1350" s="7" t="str">
        <x:v>CAL-CH-PEA-B-Y1-08-6</x:v>
      </x:c>
      <x:c r="C1350" s="7" t="str">
        <x:v>CH-PEA-B-Y1-08-6</x:v>
      </x:c>
      <x:c r="D1350" s="7" t="str">
        <x:v>PEA-B-Y1</x:v>
      </x:c>
      <x:c r="E1350" s="7" t="str">
        <x:v>BLD-B</x:v>
      </x:c>
      <x:c r="F1350" s="7" t="str">
        <x:v>BL-Y</x:v>
      </x:c>
      <x:c r="G1350" s="7" t="str">
        <x:v>MF-08</x:v>
      </x:c>
      <x:c r="H1350" s="7" t="str"/>
      <x:c r="I1350" s="7" t="str"/>
      <x:c r="J1350" s="7" t="str">
        <x:f>IF(OR(H1350="",I1350=""),"",I1350-H1350)</x:f>
      </x:c>
      <x:c r="K1350" s="7" t="str"/>
      <x:c r="L1350" s="7" t="str"/>
      <x:c r="M1350" s="7" t="str">
        <x:f>IF(L1350="","OPEN",IF(OR(NOT(ISNUMBER(H1350)),NOT(ISNUMBER(I1350)),NOT(ISNUMBER(K1350)),ABS(J1350)&gt;K1350),"FAIL","PASS"))</x:f>
        <x:v>OPEN</x:v>
      </x:c>
    </x:row>
    <x:row r="1351">
      <x:c r="B1351" s="7" t="str">
        <x:v>CAL-CH-PEA-B-Y1-09-1</x:v>
      </x:c>
      <x:c r="C1351" s="7" t="str">
        <x:v>CH-PEA-B-Y1-09-1</x:v>
      </x:c>
      <x:c r="D1351" s="7" t="str">
        <x:v>PEA-B-Y1</x:v>
      </x:c>
      <x:c r="E1351" s="7" t="str">
        <x:v>BLD-B</x:v>
      </x:c>
      <x:c r="F1351" s="7" t="str">
        <x:v>BL-Y</x:v>
      </x:c>
      <x:c r="G1351" s="7" t="str">
        <x:v>MF-09</x:v>
      </x:c>
      <x:c r="H1351" s="7" t="str"/>
      <x:c r="I1351" s="7" t="str"/>
      <x:c r="J1351" s="7" t="str">
        <x:f>IF(OR(H1351="",I1351=""),"",I1351-H1351)</x:f>
      </x:c>
      <x:c r="K1351" s="7" t="str"/>
      <x:c r="L1351" s="7" t="str"/>
      <x:c r="M1351" s="7" t="str">
        <x:f>IF(L1351="","OPEN",IF(OR(NOT(ISNUMBER(H1351)),NOT(ISNUMBER(I1351)),NOT(ISNUMBER(K1351)),ABS(J1351)&gt;K1351),"FAIL","PASS"))</x:f>
        <x:v>OPEN</x:v>
      </x:c>
    </x:row>
    <x:row r="1352">
      <x:c r="B1352" s="7" t="str">
        <x:v>CAL-CH-PEA-B-Y1-09-2</x:v>
      </x:c>
      <x:c r="C1352" s="7" t="str">
        <x:v>CH-PEA-B-Y1-09-2</x:v>
      </x:c>
      <x:c r="D1352" s="7" t="str">
        <x:v>PEA-B-Y1</x:v>
      </x:c>
      <x:c r="E1352" s="7" t="str">
        <x:v>BLD-B</x:v>
      </x:c>
      <x:c r="F1352" s="7" t="str">
        <x:v>BL-Y</x:v>
      </x:c>
      <x:c r="G1352" s="7" t="str">
        <x:v>MF-09</x:v>
      </x:c>
      <x:c r="H1352" s="7" t="str"/>
      <x:c r="I1352" s="7" t="str"/>
      <x:c r="J1352" s="7" t="str">
        <x:f>IF(OR(H1352="",I1352=""),"",I1352-H1352)</x:f>
      </x:c>
      <x:c r="K1352" s="7" t="str"/>
      <x:c r="L1352" s="7" t="str"/>
      <x:c r="M1352" s="7" t="str">
        <x:f>IF(L1352="","OPEN",IF(OR(NOT(ISNUMBER(H1352)),NOT(ISNUMBER(I1352)),NOT(ISNUMBER(K1352)),ABS(J1352)&gt;K1352),"FAIL","PASS"))</x:f>
        <x:v>OPEN</x:v>
      </x:c>
    </x:row>
    <x:row r="1353">
      <x:c r="B1353" s="7" t="str">
        <x:v>CAL-CH-PEA-B-Y1-09-3</x:v>
      </x:c>
      <x:c r="C1353" s="7" t="str">
        <x:v>CH-PEA-B-Y1-09-3</x:v>
      </x:c>
      <x:c r="D1353" s="7" t="str">
        <x:v>PEA-B-Y1</x:v>
      </x:c>
      <x:c r="E1353" s="7" t="str">
        <x:v>BLD-B</x:v>
      </x:c>
      <x:c r="F1353" s="7" t="str">
        <x:v>BL-Y</x:v>
      </x:c>
      <x:c r="G1353" s="7" t="str">
        <x:v>MF-09</x:v>
      </x:c>
      <x:c r="H1353" s="7" t="str"/>
      <x:c r="I1353" s="7" t="str"/>
      <x:c r="J1353" s="7" t="str">
        <x:f>IF(OR(H1353="",I1353=""),"",I1353-H1353)</x:f>
      </x:c>
      <x:c r="K1353" s="7" t="str"/>
      <x:c r="L1353" s="7" t="str"/>
      <x:c r="M1353" s="7" t="str">
        <x:f>IF(L1353="","OPEN",IF(OR(NOT(ISNUMBER(H1353)),NOT(ISNUMBER(I1353)),NOT(ISNUMBER(K1353)),ABS(J1353)&gt;K1353),"FAIL","PASS"))</x:f>
        <x:v>OPEN</x:v>
      </x:c>
    </x:row>
    <x:row r="1354">
      <x:c r="B1354" s="7" t="str">
        <x:v>CAL-CH-PEA-B-Y1-09-4</x:v>
      </x:c>
      <x:c r="C1354" s="7" t="str">
        <x:v>CH-PEA-B-Y1-09-4</x:v>
      </x:c>
      <x:c r="D1354" s="7" t="str">
        <x:v>PEA-B-Y1</x:v>
      </x:c>
      <x:c r="E1354" s="7" t="str">
        <x:v>BLD-B</x:v>
      </x:c>
      <x:c r="F1354" s="7" t="str">
        <x:v>BL-Y</x:v>
      </x:c>
      <x:c r="G1354" s="7" t="str">
        <x:v>MF-09</x:v>
      </x:c>
      <x:c r="H1354" s="7" t="str"/>
      <x:c r="I1354" s="7" t="str"/>
      <x:c r="J1354" s="7" t="str">
        <x:f>IF(OR(H1354="",I1354=""),"",I1354-H1354)</x:f>
      </x:c>
      <x:c r="K1354" s="7" t="str"/>
      <x:c r="L1354" s="7" t="str"/>
      <x:c r="M1354" s="7" t="str">
        <x:f>IF(L1354="","OPEN",IF(OR(NOT(ISNUMBER(H1354)),NOT(ISNUMBER(I1354)),NOT(ISNUMBER(K1354)),ABS(J1354)&gt;K1354),"FAIL","PASS"))</x:f>
        <x:v>OPEN</x:v>
      </x:c>
    </x:row>
    <x:row r="1355">
      <x:c r="B1355" s="7" t="str">
        <x:v>CAL-CH-PEA-B-Y1-09-5</x:v>
      </x:c>
      <x:c r="C1355" s="7" t="str">
        <x:v>CH-PEA-B-Y1-09-5</x:v>
      </x:c>
      <x:c r="D1355" s="7" t="str">
        <x:v>PEA-B-Y1</x:v>
      </x:c>
      <x:c r="E1355" s="7" t="str">
        <x:v>BLD-B</x:v>
      </x:c>
      <x:c r="F1355" s="7" t="str">
        <x:v>BL-Y</x:v>
      </x:c>
      <x:c r="G1355" s="7" t="str">
        <x:v>MF-09</x:v>
      </x:c>
      <x:c r="H1355" s="7" t="str"/>
      <x:c r="I1355" s="7" t="str"/>
      <x:c r="J1355" s="7" t="str">
        <x:f>IF(OR(H1355="",I1355=""),"",I1355-H1355)</x:f>
      </x:c>
      <x:c r="K1355" s="7" t="str"/>
      <x:c r="L1355" s="7" t="str"/>
      <x:c r="M1355" s="7" t="str">
        <x:f>IF(L1355="","OPEN",IF(OR(NOT(ISNUMBER(H1355)),NOT(ISNUMBER(I1355)),NOT(ISNUMBER(K1355)),ABS(J1355)&gt;K1355),"FAIL","PASS"))</x:f>
        <x:v>OPEN</x:v>
      </x:c>
    </x:row>
    <x:row r="1356">
      <x:c r="B1356" s="7" t="str">
        <x:v>CAL-CH-PEA-B-Y1-09-6</x:v>
      </x:c>
      <x:c r="C1356" s="7" t="str">
        <x:v>CH-PEA-B-Y1-09-6</x:v>
      </x:c>
      <x:c r="D1356" s="7" t="str">
        <x:v>PEA-B-Y1</x:v>
      </x:c>
      <x:c r="E1356" s="7" t="str">
        <x:v>BLD-B</x:v>
      </x:c>
      <x:c r="F1356" s="7" t="str">
        <x:v>BL-Y</x:v>
      </x:c>
      <x:c r="G1356" s="7" t="str">
        <x:v>MF-09</x:v>
      </x:c>
      <x:c r="H1356" s="7" t="str"/>
      <x:c r="I1356" s="7" t="str"/>
      <x:c r="J1356" s="7" t="str">
        <x:f>IF(OR(H1356="",I1356=""),"",I1356-H1356)</x:f>
      </x:c>
      <x:c r="K1356" s="7" t="str"/>
      <x:c r="L1356" s="7" t="str"/>
      <x:c r="M1356" s="7" t="str">
        <x:f>IF(L1356="","OPEN",IF(OR(NOT(ISNUMBER(H1356)),NOT(ISNUMBER(I1356)),NOT(ISNUMBER(K1356)),ABS(J1356)&gt;K1356),"FAIL","PASS"))</x:f>
        <x:v>OPEN</x:v>
      </x:c>
    </x:row>
    <x:row r="1357">
      <x:c r="B1357" s="7" t="str">
        <x:v>CAL-CH-PEA-B-Y1-10-1</x:v>
      </x:c>
      <x:c r="C1357" s="7" t="str">
        <x:v>CH-PEA-B-Y1-10-1</x:v>
      </x:c>
      <x:c r="D1357" s="7" t="str">
        <x:v>PEA-B-Y1</x:v>
      </x:c>
      <x:c r="E1357" s="7" t="str">
        <x:v>BLD-B</x:v>
      </x:c>
      <x:c r="F1357" s="7" t="str">
        <x:v>BL-Y</x:v>
      </x:c>
      <x:c r="G1357" s="7" t="str">
        <x:v>MF-10</x:v>
      </x:c>
      <x:c r="H1357" s="7" t="str"/>
      <x:c r="I1357" s="7" t="str"/>
      <x:c r="J1357" s="7" t="str">
        <x:f>IF(OR(H1357="",I1357=""),"",I1357-H1357)</x:f>
      </x:c>
      <x:c r="K1357" s="7" t="str"/>
      <x:c r="L1357" s="7" t="str"/>
      <x:c r="M1357" s="7" t="str">
        <x:f>IF(L1357="","OPEN",IF(OR(NOT(ISNUMBER(H1357)),NOT(ISNUMBER(I1357)),NOT(ISNUMBER(K1357)),ABS(J1357)&gt;K1357),"FAIL","PASS"))</x:f>
        <x:v>OPEN</x:v>
      </x:c>
    </x:row>
    <x:row r="1358">
      <x:c r="B1358" s="7" t="str">
        <x:v>CAL-CH-PEA-B-Y1-10-2</x:v>
      </x:c>
      <x:c r="C1358" s="7" t="str">
        <x:v>CH-PEA-B-Y1-10-2</x:v>
      </x:c>
      <x:c r="D1358" s="7" t="str">
        <x:v>PEA-B-Y1</x:v>
      </x:c>
      <x:c r="E1358" s="7" t="str">
        <x:v>BLD-B</x:v>
      </x:c>
      <x:c r="F1358" s="7" t="str">
        <x:v>BL-Y</x:v>
      </x:c>
      <x:c r="G1358" s="7" t="str">
        <x:v>MF-10</x:v>
      </x:c>
      <x:c r="H1358" s="7" t="str"/>
      <x:c r="I1358" s="7" t="str"/>
      <x:c r="J1358" s="7" t="str">
        <x:f>IF(OR(H1358="",I1358=""),"",I1358-H1358)</x:f>
      </x:c>
      <x:c r="K1358" s="7" t="str"/>
      <x:c r="L1358" s="7" t="str"/>
      <x:c r="M1358" s="7" t="str">
        <x:f>IF(L1358="","OPEN",IF(OR(NOT(ISNUMBER(H1358)),NOT(ISNUMBER(I1358)),NOT(ISNUMBER(K1358)),ABS(J1358)&gt;K1358),"FAIL","PASS"))</x:f>
        <x:v>OPEN</x:v>
      </x:c>
    </x:row>
    <x:row r="1359">
      <x:c r="B1359" s="7" t="str">
        <x:v>CAL-CH-PEA-B-Y1-10-3</x:v>
      </x:c>
      <x:c r="C1359" s="7" t="str">
        <x:v>CH-PEA-B-Y1-10-3</x:v>
      </x:c>
      <x:c r="D1359" s="7" t="str">
        <x:v>PEA-B-Y1</x:v>
      </x:c>
      <x:c r="E1359" s="7" t="str">
        <x:v>BLD-B</x:v>
      </x:c>
      <x:c r="F1359" s="7" t="str">
        <x:v>BL-Y</x:v>
      </x:c>
      <x:c r="G1359" s="7" t="str">
        <x:v>MF-10</x:v>
      </x:c>
      <x:c r="H1359" s="7" t="str"/>
      <x:c r="I1359" s="7" t="str"/>
      <x:c r="J1359" s="7" t="str">
        <x:f>IF(OR(H1359="",I1359=""),"",I1359-H1359)</x:f>
      </x:c>
      <x:c r="K1359" s="7" t="str"/>
      <x:c r="L1359" s="7" t="str"/>
      <x:c r="M1359" s="7" t="str">
        <x:f>IF(L1359="","OPEN",IF(OR(NOT(ISNUMBER(H1359)),NOT(ISNUMBER(I1359)),NOT(ISNUMBER(K1359)),ABS(J1359)&gt;K1359),"FAIL","PASS"))</x:f>
        <x:v>OPEN</x:v>
      </x:c>
    </x:row>
    <x:row r="1360">
      <x:c r="B1360" s="7" t="str">
        <x:v>CAL-CH-PEA-B-Y1-10-4</x:v>
      </x:c>
      <x:c r="C1360" s="7" t="str">
        <x:v>CH-PEA-B-Y1-10-4</x:v>
      </x:c>
      <x:c r="D1360" s="7" t="str">
        <x:v>PEA-B-Y1</x:v>
      </x:c>
      <x:c r="E1360" s="7" t="str">
        <x:v>BLD-B</x:v>
      </x:c>
      <x:c r="F1360" s="7" t="str">
        <x:v>BL-Y</x:v>
      </x:c>
      <x:c r="G1360" s="7" t="str">
        <x:v>MF-10</x:v>
      </x:c>
      <x:c r="H1360" s="7" t="str"/>
      <x:c r="I1360" s="7" t="str"/>
      <x:c r="J1360" s="7" t="str">
        <x:f>IF(OR(H1360="",I1360=""),"",I1360-H1360)</x:f>
      </x:c>
      <x:c r="K1360" s="7" t="str"/>
      <x:c r="L1360" s="7" t="str"/>
      <x:c r="M1360" s="7" t="str">
        <x:f>IF(L1360="","OPEN",IF(OR(NOT(ISNUMBER(H1360)),NOT(ISNUMBER(I1360)),NOT(ISNUMBER(K1360)),ABS(J1360)&gt;K1360),"FAIL","PASS"))</x:f>
        <x:v>OPEN</x:v>
      </x:c>
    </x:row>
    <x:row r="1361">
      <x:c r="B1361" s="7" t="str">
        <x:v>CAL-CH-PEA-B-Y1-10-5</x:v>
      </x:c>
      <x:c r="C1361" s="7" t="str">
        <x:v>CH-PEA-B-Y1-10-5</x:v>
      </x:c>
      <x:c r="D1361" s="7" t="str">
        <x:v>PEA-B-Y1</x:v>
      </x:c>
      <x:c r="E1361" s="7" t="str">
        <x:v>BLD-B</x:v>
      </x:c>
      <x:c r="F1361" s="7" t="str">
        <x:v>BL-Y</x:v>
      </x:c>
      <x:c r="G1361" s="7" t="str">
        <x:v>MF-10</x:v>
      </x:c>
      <x:c r="H1361" s="7" t="str"/>
      <x:c r="I1361" s="7" t="str"/>
      <x:c r="J1361" s="7" t="str">
        <x:f>IF(OR(H1361="",I1361=""),"",I1361-H1361)</x:f>
      </x:c>
      <x:c r="K1361" s="7" t="str"/>
      <x:c r="L1361" s="7" t="str"/>
      <x:c r="M1361" s="7" t="str">
        <x:f>IF(L1361="","OPEN",IF(OR(NOT(ISNUMBER(H1361)),NOT(ISNUMBER(I1361)),NOT(ISNUMBER(K1361)),ABS(J1361)&gt;K1361),"FAIL","PASS"))</x:f>
        <x:v>OPEN</x:v>
      </x:c>
    </x:row>
    <x:row r="1362">
      <x:c r="B1362" s="7" t="str">
        <x:v>CAL-CH-PEA-B-Y1-10-6</x:v>
      </x:c>
      <x:c r="C1362" s="7" t="str">
        <x:v>CH-PEA-B-Y1-10-6</x:v>
      </x:c>
      <x:c r="D1362" s="7" t="str">
        <x:v>PEA-B-Y1</x:v>
      </x:c>
      <x:c r="E1362" s="7" t="str">
        <x:v>BLD-B</x:v>
      </x:c>
      <x:c r="F1362" s="7" t="str">
        <x:v>BL-Y</x:v>
      </x:c>
      <x:c r="G1362" s="7" t="str">
        <x:v>MF-10</x:v>
      </x:c>
      <x:c r="H1362" s="7" t="str"/>
      <x:c r="I1362" s="7" t="str"/>
      <x:c r="J1362" s="7" t="str">
        <x:f>IF(OR(H1362="",I1362=""),"",I1362-H1362)</x:f>
      </x:c>
      <x:c r="K1362" s="7" t="str"/>
      <x:c r="L1362" s="7" t="str"/>
      <x:c r="M1362" s="7" t="str">
        <x:f>IF(L1362="","OPEN",IF(OR(NOT(ISNUMBER(H1362)),NOT(ISNUMBER(I1362)),NOT(ISNUMBER(K1362)),ABS(J1362)&gt;K1362),"FAIL","PASS"))</x:f>
        <x:v>OPEN</x:v>
      </x:c>
    </x:row>
    <x:row r="1363">
      <x:c r="B1363" s="7" t="str">
        <x:v>CAL-CH-PEA-B-Y1-11-1</x:v>
      </x:c>
      <x:c r="C1363" s="7" t="str">
        <x:v>CH-PEA-B-Y1-11-1</x:v>
      </x:c>
      <x:c r="D1363" s="7" t="str">
        <x:v>PEA-B-Y1</x:v>
      </x:c>
      <x:c r="E1363" s="7" t="str">
        <x:v>BLD-B</x:v>
      </x:c>
      <x:c r="F1363" s="7" t="str">
        <x:v>BL-Y</x:v>
      </x:c>
      <x:c r="G1363" s="7" t="str">
        <x:v>MF-11</x:v>
      </x:c>
      <x:c r="H1363" s="7" t="str"/>
      <x:c r="I1363" s="7" t="str"/>
      <x:c r="J1363" s="7" t="str">
        <x:f>IF(OR(H1363="",I1363=""),"",I1363-H1363)</x:f>
      </x:c>
      <x:c r="K1363" s="7" t="str"/>
      <x:c r="L1363" s="7" t="str"/>
      <x:c r="M1363" s="7" t="str">
        <x:f>IF(L1363="","OPEN",IF(OR(NOT(ISNUMBER(H1363)),NOT(ISNUMBER(I1363)),NOT(ISNUMBER(K1363)),ABS(J1363)&gt;K1363),"FAIL","PASS"))</x:f>
        <x:v>OPEN</x:v>
      </x:c>
    </x:row>
    <x:row r="1364">
      <x:c r="B1364" s="7" t="str">
        <x:v>CAL-CH-PEA-B-Y1-11-2</x:v>
      </x:c>
      <x:c r="C1364" s="7" t="str">
        <x:v>CH-PEA-B-Y1-11-2</x:v>
      </x:c>
      <x:c r="D1364" s="7" t="str">
        <x:v>PEA-B-Y1</x:v>
      </x:c>
      <x:c r="E1364" s="7" t="str">
        <x:v>BLD-B</x:v>
      </x:c>
      <x:c r="F1364" s="7" t="str">
        <x:v>BL-Y</x:v>
      </x:c>
      <x:c r="G1364" s="7" t="str">
        <x:v>MF-11</x:v>
      </x:c>
      <x:c r="H1364" s="7" t="str"/>
      <x:c r="I1364" s="7" t="str"/>
      <x:c r="J1364" s="7" t="str">
        <x:f>IF(OR(H1364="",I1364=""),"",I1364-H1364)</x:f>
      </x:c>
      <x:c r="K1364" s="7" t="str"/>
      <x:c r="L1364" s="7" t="str"/>
      <x:c r="M1364" s="7" t="str">
        <x:f>IF(L1364="","OPEN",IF(OR(NOT(ISNUMBER(H1364)),NOT(ISNUMBER(I1364)),NOT(ISNUMBER(K1364)),ABS(J1364)&gt;K1364),"FAIL","PASS"))</x:f>
        <x:v>OPEN</x:v>
      </x:c>
    </x:row>
    <x:row r="1365">
      <x:c r="B1365" s="7" t="str">
        <x:v>CAL-CH-PEA-B-Y1-11-3</x:v>
      </x:c>
      <x:c r="C1365" s="7" t="str">
        <x:v>CH-PEA-B-Y1-11-3</x:v>
      </x:c>
      <x:c r="D1365" s="7" t="str">
        <x:v>PEA-B-Y1</x:v>
      </x:c>
      <x:c r="E1365" s="7" t="str">
        <x:v>BLD-B</x:v>
      </x:c>
      <x:c r="F1365" s="7" t="str">
        <x:v>BL-Y</x:v>
      </x:c>
      <x:c r="G1365" s="7" t="str">
        <x:v>MF-11</x:v>
      </x:c>
      <x:c r="H1365" s="7" t="str"/>
      <x:c r="I1365" s="7" t="str"/>
      <x:c r="J1365" s="7" t="str">
        <x:f>IF(OR(H1365="",I1365=""),"",I1365-H1365)</x:f>
      </x:c>
      <x:c r="K1365" s="7" t="str"/>
      <x:c r="L1365" s="7" t="str"/>
      <x:c r="M1365" s="7" t="str">
        <x:f>IF(L1365="","OPEN",IF(OR(NOT(ISNUMBER(H1365)),NOT(ISNUMBER(I1365)),NOT(ISNUMBER(K1365)),ABS(J1365)&gt;K1365),"FAIL","PASS"))</x:f>
        <x:v>OPEN</x:v>
      </x:c>
    </x:row>
    <x:row r="1366">
      <x:c r="B1366" s="7" t="str">
        <x:v>CAL-CH-PEA-B-Y1-11-4</x:v>
      </x:c>
      <x:c r="C1366" s="7" t="str">
        <x:v>CH-PEA-B-Y1-11-4</x:v>
      </x:c>
      <x:c r="D1366" s="7" t="str">
        <x:v>PEA-B-Y1</x:v>
      </x:c>
      <x:c r="E1366" s="7" t="str">
        <x:v>BLD-B</x:v>
      </x:c>
      <x:c r="F1366" s="7" t="str">
        <x:v>BL-Y</x:v>
      </x:c>
      <x:c r="G1366" s="7" t="str">
        <x:v>MF-11</x:v>
      </x:c>
      <x:c r="H1366" s="7" t="str"/>
      <x:c r="I1366" s="7" t="str"/>
      <x:c r="J1366" s="7" t="str">
        <x:f>IF(OR(H1366="",I1366=""),"",I1366-H1366)</x:f>
      </x:c>
      <x:c r="K1366" s="7" t="str"/>
      <x:c r="L1366" s="7" t="str"/>
      <x:c r="M1366" s="7" t="str">
        <x:f>IF(L1366="","OPEN",IF(OR(NOT(ISNUMBER(H1366)),NOT(ISNUMBER(I1366)),NOT(ISNUMBER(K1366)),ABS(J1366)&gt;K1366),"FAIL","PASS"))</x:f>
        <x:v>OPEN</x:v>
      </x:c>
    </x:row>
    <x:row r="1367">
      <x:c r="B1367" s="7" t="str">
        <x:v>CAL-CH-PEA-B-Y1-11-5</x:v>
      </x:c>
      <x:c r="C1367" s="7" t="str">
        <x:v>CH-PEA-B-Y1-11-5</x:v>
      </x:c>
      <x:c r="D1367" s="7" t="str">
        <x:v>PEA-B-Y1</x:v>
      </x:c>
      <x:c r="E1367" s="7" t="str">
        <x:v>BLD-B</x:v>
      </x:c>
      <x:c r="F1367" s="7" t="str">
        <x:v>BL-Y</x:v>
      </x:c>
      <x:c r="G1367" s="7" t="str">
        <x:v>MF-11</x:v>
      </x:c>
      <x:c r="H1367" s="7" t="str"/>
      <x:c r="I1367" s="7" t="str"/>
      <x:c r="J1367" s="7" t="str">
        <x:f>IF(OR(H1367="",I1367=""),"",I1367-H1367)</x:f>
      </x:c>
      <x:c r="K1367" s="7" t="str"/>
      <x:c r="L1367" s="7" t="str"/>
      <x:c r="M1367" s="7" t="str">
        <x:f>IF(L1367="","OPEN",IF(OR(NOT(ISNUMBER(H1367)),NOT(ISNUMBER(I1367)),NOT(ISNUMBER(K1367)),ABS(J1367)&gt;K1367),"FAIL","PASS"))</x:f>
        <x:v>OPEN</x:v>
      </x:c>
    </x:row>
    <x:row r="1368">
      <x:c r="B1368" s="7" t="str">
        <x:v>CAL-CH-PEA-B-Y1-11-6</x:v>
      </x:c>
      <x:c r="C1368" s="7" t="str">
        <x:v>CH-PEA-B-Y1-11-6</x:v>
      </x:c>
      <x:c r="D1368" s="7" t="str">
        <x:v>PEA-B-Y1</x:v>
      </x:c>
      <x:c r="E1368" s="7" t="str">
        <x:v>BLD-B</x:v>
      </x:c>
      <x:c r="F1368" s="7" t="str">
        <x:v>BL-Y</x:v>
      </x:c>
      <x:c r="G1368" s="7" t="str">
        <x:v>MF-11</x:v>
      </x:c>
      <x:c r="H1368" s="7" t="str"/>
      <x:c r="I1368" s="7" t="str"/>
      <x:c r="J1368" s="7" t="str">
        <x:f>IF(OR(H1368="",I1368=""),"",I1368-H1368)</x:f>
      </x:c>
      <x:c r="K1368" s="7" t="str"/>
      <x:c r="L1368" s="7" t="str"/>
      <x:c r="M1368" s="7" t="str">
        <x:f>IF(L1368="","OPEN",IF(OR(NOT(ISNUMBER(H1368)),NOT(ISNUMBER(I1368)),NOT(ISNUMBER(K1368)),ABS(J1368)&gt;K1368),"FAIL","PASS"))</x:f>
        <x:v>OPEN</x:v>
      </x:c>
    </x:row>
    <x:row r="1369">
      <x:c r="B1369" s="7" t="str">
        <x:v>CAL-CH-PEA-B-Y1-12-1</x:v>
      </x:c>
      <x:c r="C1369" s="7" t="str">
        <x:v>CH-PEA-B-Y1-12-1</x:v>
      </x:c>
      <x:c r="D1369" s="7" t="str">
        <x:v>PEA-B-Y1</x:v>
      </x:c>
      <x:c r="E1369" s="7" t="str">
        <x:v>BLD-B</x:v>
      </x:c>
      <x:c r="F1369" s="7" t="str">
        <x:v>BL-Y</x:v>
      </x:c>
      <x:c r="G1369" s="7" t="str">
        <x:v>MF-12</x:v>
      </x:c>
      <x:c r="H1369" s="7" t="str"/>
      <x:c r="I1369" s="7" t="str"/>
      <x:c r="J1369" s="7" t="str">
        <x:f>IF(OR(H1369="",I1369=""),"",I1369-H1369)</x:f>
      </x:c>
      <x:c r="K1369" s="7" t="str"/>
      <x:c r="L1369" s="7" t="str"/>
      <x:c r="M1369" s="7" t="str">
        <x:f>IF(L1369="","OPEN",IF(OR(NOT(ISNUMBER(H1369)),NOT(ISNUMBER(I1369)),NOT(ISNUMBER(K1369)),ABS(J1369)&gt;K1369),"FAIL","PASS"))</x:f>
        <x:v>OPEN</x:v>
      </x:c>
    </x:row>
    <x:row r="1370">
      <x:c r="B1370" s="7" t="str">
        <x:v>CAL-CH-PEA-B-Y1-12-2</x:v>
      </x:c>
      <x:c r="C1370" s="7" t="str">
        <x:v>CH-PEA-B-Y1-12-2</x:v>
      </x:c>
      <x:c r="D1370" s="7" t="str">
        <x:v>PEA-B-Y1</x:v>
      </x:c>
      <x:c r="E1370" s="7" t="str">
        <x:v>BLD-B</x:v>
      </x:c>
      <x:c r="F1370" s="7" t="str">
        <x:v>BL-Y</x:v>
      </x:c>
      <x:c r="G1370" s="7" t="str">
        <x:v>MF-12</x:v>
      </x:c>
      <x:c r="H1370" s="7" t="str"/>
      <x:c r="I1370" s="7" t="str"/>
      <x:c r="J1370" s="7" t="str">
        <x:f>IF(OR(H1370="",I1370=""),"",I1370-H1370)</x:f>
      </x:c>
      <x:c r="K1370" s="7" t="str"/>
      <x:c r="L1370" s="7" t="str"/>
      <x:c r="M1370" s="7" t="str">
        <x:f>IF(L1370="","OPEN",IF(OR(NOT(ISNUMBER(H1370)),NOT(ISNUMBER(I1370)),NOT(ISNUMBER(K1370)),ABS(J1370)&gt;K1370),"FAIL","PASS"))</x:f>
        <x:v>OPEN</x:v>
      </x:c>
    </x:row>
    <x:row r="1371">
      <x:c r="B1371" s="7" t="str">
        <x:v>CAL-CH-PEA-B-Y1-12-3</x:v>
      </x:c>
      <x:c r="C1371" s="7" t="str">
        <x:v>CH-PEA-B-Y1-12-3</x:v>
      </x:c>
      <x:c r="D1371" s="7" t="str">
        <x:v>PEA-B-Y1</x:v>
      </x:c>
      <x:c r="E1371" s="7" t="str">
        <x:v>BLD-B</x:v>
      </x:c>
      <x:c r="F1371" s="7" t="str">
        <x:v>BL-Y</x:v>
      </x:c>
      <x:c r="G1371" s="7" t="str">
        <x:v>MF-12</x:v>
      </x:c>
      <x:c r="H1371" s="7" t="str"/>
      <x:c r="I1371" s="7" t="str"/>
      <x:c r="J1371" s="7" t="str">
        <x:f>IF(OR(H1371="",I1371=""),"",I1371-H1371)</x:f>
      </x:c>
      <x:c r="K1371" s="7" t="str"/>
      <x:c r="L1371" s="7" t="str"/>
      <x:c r="M1371" s="7" t="str">
        <x:f>IF(L1371="","OPEN",IF(OR(NOT(ISNUMBER(H1371)),NOT(ISNUMBER(I1371)),NOT(ISNUMBER(K1371)),ABS(J1371)&gt;K1371),"FAIL","PASS"))</x:f>
        <x:v>OPEN</x:v>
      </x:c>
    </x:row>
    <x:row r="1372">
      <x:c r="B1372" s="7" t="str">
        <x:v>CAL-CH-PEA-B-Y1-12-4</x:v>
      </x:c>
      <x:c r="C1372" s="7" t="str">
        <x:v>CH-PEA-B-Y1-12-4</x:v>
      </x:c>
      <x:c r="D1372" s="7" t="str">
        <x:v>PEA-B-Y1</x:v>
      </x:c>
      <x:c r="E1372" s="7" t="str">
        <x:v>BLD-B</x:v>
      </x:c>
      <x:c r="F1372" s="7" t="str">
        <x:v>BL-Y</x:v>
      </x:c>
      <x:c r="G1372" s="7" t="str">
        <x:v>MF-12</x:v>
      </x:c>
      <x:c r="H1372" s="7" t="str"/>
      <x:c r="I1372" s="7" t="str"/>
      <x:c r="J1372" s="7" t="str">
        <x:f>IF(OR(H1372="",I1372=""),"",I1372-H1372)</x:f>
      </x:c>
      <x:c r="K1372" s="7" t="str"/>
      <x:c r="L1372" s="7" t="str"/>
      <x:c r="M1372" s="7" t="str">
        <x:f>IF(L1372="","OPEN",IF(OR(NOT(ISNUMBER(H1372)),NOT(ISNUMBER(I1372)),NOT(ISNUMBER(K1372)),ABS(J1372)&gt;K1372),"FAIL","PASS"))</x:f>
        <x:v>OPEN</x:v>
      </x:c>
    </x:row>
    <x:row r="1373">
      <x:c r="B1373" s="7" t="str">
        <x:v>CAL-CH-PEA-B-Y1-12-5</x:v>
      </x:c>
      <x:c r="C1373" s="7" t="str">
        <x:v>CH-PEA-B-Y1-12-5</x:v>
      </x:c>
      <x:c r="D1373" s="7" t="str">
        <x:v>PEA-B-Y1</x:v>
      </x:c>
      <x:c r="E1373" s="7" t="str">
        <x:v>BLD-B</x:v>
      </x:c>
      <x:c r="F1373" s="7" t="str">
        <x:v>BL-Y</x:v>
      </x:c>
      <x:c r="G1373" s="7" t="str">
        <x:v>MF-12</x:v>
      </x:c>
      <x:c r="H1373" s="7" t="str"/>
      <x:c r="I1373" s="7" t="str"/>
      <x:c r="J1373" s="7" t="str">
        <x:f>IF(OR(H1373="",I1373=""),"",I1373-H1373)</x:f>
      </x:c>
      <x:c r="K1373" s="7" t="str"/>
      <x:c r="L1373" s="7" t="str"/>
      <x:c r="M1373" s="7" t="str">
        <x:f>IF(L1373="","OPEN",IF(OR(NOT(ISNUMBER(H1373)),NOT(ISNUMBER(I1373)),NOT(ISNUMBER(K1373)),ABS(J1373)&gt;K1373),"FAIL","PASS"))</x:f>
        <x:v>OPEN</x:v>
      </x:c>
    </x:row>
    <x:row r="1374">
      <x:c r="B1374" s="7" t="str">
        <x:v>CAL-CH-PEA-B-Y1-12-6</x:v>
      </x:c>
      <x:c r="C1374" s="7" t="str">
        <x:v>CH-PEA-B-Y1-12-6</x:v>
      </x:c>
      <x:c r="D1374" s="7" t="str">
        <x:v>PEA-B-Y1</x:v>
      </x:c>
      <x:c r="E1374" s="7" t="str">
        <x:v>BLD-B</x:v>
      </x:c>
      <x:c r="F1374" s="7" t="str">
        <x:v>BL-Y</x:v>
      </x:c>
      <x:c r="G1374" s="7" t="str">
        <x:v>MF-12</x:v>
      </x:c>
      <x:c r="H1374" s="7" t="str"/>
      <x:c r="I1374" s="7" t="str"/>
      <x:c r="J1374" s="7" t="str">
        <x:f>IF(OR(H1374="",I1374=""),"",I1374-H1374)</x:f>
      </x:c>
      <x:c r="K1374" s="7" t="str"/>
      <x:c r="L1374" s="7" t="str"/>
      <x:c r="M1374" s="7" t="str">
        <x:f>IF(L1374="","OPEN",IF(OR(NOT(ISNUMBER(H1374)),NOT(ISNUMBER(I1374)),NOT(ISNUMBER(K1374)),ABS(J1374)&gt;K1374),"FAIL","PASS"))</x:f>
        <x:v>OPEN</x:v>
      </x:c>
    </x:row>
    <x:row r="1375">
      <x:c r="B1375" s="7" t="str">
        <x:v>CAL-CH-PEA-B-Y1-13-1</x:v>
      </x:c>
      <x:c r="C1375" s="7" t="str">
        <x:v>CH-PEA-B-Y1-13-1</x:v>
      </x:c>
      <x:c r="D1375" s="7" t="str">
        <x:v>PEA-B-Y1</x:v>
      </x:c>
      <x:c r="E1375" s="7" t="str">
        <x:v>BLD-B</x:v>
      </x:c>
      <x:c r="F1375" s="7" t="str">
        <x:v>BL-Y</x:v>
      </x:c>
      <x:c r="G1375" s="7" t="str">
        <x:v>MF-13</x:v>
      </x:c>
      <x:c r="H1375" s="7" t="str"/>
      <x:c r="I1375" s="7" t="str"/>
      <x:c r="J1375" s="7" t="str">
        <x:f>IF(OR(H1375="",I1375=""),"",I1375-H1375)</x:f>
      </x:c>
      <x:c r="K1375" s="7" t="str"/>
      <x:c r="L1375" s="7" t="str"/>
      <x:c r="M1375" s="7" t="str">
        <x:f>IF(L1375="","OPEN",IF(OR(NOT(ISNUMBER(H1375)),NOT(ISNUMBER(I1375)),NOT(ISNUMBER(K1375)),ABS(J1375)&gt;K1375),"FAIL","PASS"))</x:f>
        <x:v>OPEN</x:v>
      </x:c>
    </x:row>
    <x:row r="1376">
      <x:c r="B1376" s="7" t="str">
        <x:v>CAL-CH-PEA-B-Y1-13-2</x:v>
      </x:c>
      <x:c r="C1376" s="7" t="str">
        <x:v>CH-PEA-B-Y1-13-2</x:v>
      </x:c>
      <x:c r="D1376" s="7" t="str">
        <x:v>PEA-B-Y1</x:v>
      </x:c>
      <x:c r="E1376" s="7" t="str">
        <x:v>BLD-B</x:v>
      </x:c>
      <x:c r="F1376" s="7" t="str">
        <x:v>BL-Y</x:v>
      </x:c>
      <x:c r="G1376" s="7" t="str">
        <x:v>MF-13</x:v>
      </x:c>
      <x:c r="H1376" s="7" t="str"/>
      <x:c r="I1376" s="7" t="str"/>
      <x:c r="J1376" s="7" t="str">
        <x:f>IF(OR(H1376="",I1376=""),"",I1376-H1376)</x:f>
      </x:c>
      <x:c r="K1376" s="7" t="str"/>
      <x:c r="L1376" s="7" t="str"/>
      <x:c r="M1376" s="7" t="str">
        <x:f>IF(L1376="","OPEN",IF(OR(NOT(ISNUMBER(H1376)),NOT(ISNUMBER(I1376)),NOT(ISNUMBER(K1376)),ABS(J1376)&gt;K1376),"FAIL","PASS"))</x:f>
        <x:v>OPEN</x:v>
      </x:c>
    </x:row>
    <x:row r="1377">
      <x:c r="B1377" s="7" t="str">
        <x:v>CAL-CH-PEA-B-Y1-13-3</x:v>
      </x:c>
      <x:c r="C1377" s="7" t="str">
        <x:v>CH-PEA-B-Y1-13-3</x:v>
      </x:c>
      <x:c r="D1377" s="7" t="str">
        <x:v>PEA-B-Y1</x:v>
      </x:c>
      <x:c r="E1377" s="7" t="str">
        <x:v>BLD-B</x:v>
      </x:c>
      <x:c r="F1377" s="7" t="str">
        <x:v>BL-Y</x:v>
      </x:c>
      <x:c r="G1377" s="7" t="str">
        <x:v>MF-13</x:v>
      </x:c>
      <x:c r="H1377" s="7" t="str"/>
      <x:c r="I1377" s="7" t="str"/>
      <x:c r="J1377" s="7" t="str">
        <x:f>IF(OR(H1377="",I1377=""),"",I1377-H1377)</x:f>
      </x:c>
      <x:c r="K1377" s="7" t="str"/>
      <x:c r="L1377" s="7" t="str"/>
      <x:c r="M1377" s="7" t="str">
        <x:f>IF(L1377="","OPEN",IF(OR(NOT(ISNUMBER(H1377)),NOT(ISNUMBER(I1377)),NOT(ISNUMBER(K1377)),ABS(J1377)&gt;K1377),"FAIL","PASS"))</x:f>
        <x:v>OPEN</x:v>
      </x:c>
    </x:row>
    <x:row r="1378">
      <x:c r="B1378" s="7" t="str">
        <x:v>CAL-CH-PEA-B-Y1-13-4</x:v>
      </x:c>
      <x:c r="C1378" s="7" t="str">
        <x:v>CH-PEA-B-Y1-13-4</x:v>
      </x:c>
      <x:c r="D1378" s="7" t="str">
        <x:v>PEA-B-Y1</x:v>
      </x:c>
      <x:c r="E1378" s="7" t="str">
        <x:v>BLD-B</x:v>
      </x:c>
      <x:c r="F1378" s="7" t="str">
        <x:v>BL-Y</x:v>
      </x:c>
      <x:c r="G1378" s="7" t="str">
        <x:v>MF-13</x:v>
      </x:c>
      <x:c r="H1378" s="7" t="str"/>
      <x:c r="I1378" s="7" t="str"/>
      <x:c r="J1378" s="7" t="str">
        <x:f>IF(OR(H1378="",I1378=""),"",I1378-H1378)</x:f>
      </x:c>
      <x:c r="K1378" s="7" t="str"/>
      <x:c r="L1378" s="7" t="str"/>
      <x:c r="M1378" s="7" t="str">
        <x:f>IF(L1378="","OPEN",IF(OR(NOT(ISNUMBER(H1378)),NOT(ISNUMBER(I1378)),NOT(ISNUMBER(K1378)),ABS(J1378)&gt;K1378),"FAIL","PASS"))</x:f>
        <x:v>OPEN</x:v>
      </x:c>
    </x:row>
    <x:row r="1379">
      <x:c r="B1379" s="7" t="str">
        <x:v>CAL-CH-PEA-B-Y1-13-5</x:v>
      </x:c>
      <x:c r="C1379" s="7" t="str">
        <x:v>CH-PEA-B-Y1-13-5</x:v>
      </x:c>
      <x:c r="D1379" s="7" t="str">
        <x:v>PEA-B-Y1</x:v>
      </x:c>
      <x:c r="E1379" s="7" t="str">
        <x:v>BLD-B</x:v>
      </x:c>
      <x:c r="F1379" s="7" t="str">
        <x:v>BL-Y</x:v>
      </x:c>
      <x:c r="G1379" s="7" t="str">
        <x:v>MF-13</x:v>
      </x:c>
      <x:c r="H1379" s="7" t="str"/>
      <x:c r="I1379" s="7" t="str"/>
      <x:c r="J1379" s="7" t="str">
        <x:f>IF(OR(H1379="",I1379=""),"",I1379-H1379)</x:f>
      </x:c>
      <x:c r="K1379" s="7" t="str"/>
      <x:c r="L1379" s="7" t="str"/>
      <x:c r="M1379" s="7" t="str">
        <x:f>IF(L1379="","OPEN",IF(OR(NOT(ISNUMBER(H1379)),NOT(ISNUMBER(I1379)),NOT(ISNUMBER(K1379)),ABS(J1379)&gt;K1379),"FAIL","PASS"))</x:f>
        <x:v>OPEN</x:v>
      </x:c>
    </x:row>
    <x:row r="1380">
      <x:c r="B1380" s="7" t="str">
        <x:v>CAL-CH-PEA-B-Y1-13-6</x:v>
      </x:c>
      <x:c r="C1380" s="7" t="str">
        <x:v>CH-PEA-B-Y1-13-6</x:v>
      </x:c>
      <x:c r="D1380" s="7" t="str">
        <x:v>PEA-B-Y1</x:v>
      </x:c>
      <x:c r="E1380" s="7" t="str">
        <x:v>BLD-B</x:v>
      </x:c>
      <x:c r="F1380" s="7" t="str">
        <x:v>BL-Y</x:v>
      </x:c>
      <x:c r="G1380" s="7" t="str">
        <x:v>MF-13</x:v>
      </x:c>
      <x:c r="H1380" s="7" t="str"/>
      <x:c r="I1380" s="7" t="str"/>
      <x:c r="J1380" s="7" t="str">
        <x:f>IF(OR(H1380="",I1380=""),"",I1380-H1380)</x:f>
      </x:c>
      <x:c r="K1380" s="7" t="str"/>
      <x:c r="L1380" s="7" t="str"/>
      <x:c r="M1380" s="7" t="str">
        <x:f>IF(L1380="","OPEN",IF(OR(NOT(ISNUMBER(H1380)),NOT(ISNUMBER(I1380)),NOT(ISNUMBER(K1380)),ABS(J1380)&gt;K1380),"FAIL","PASS"))</x:f>
        <x:v>OPEN</x:v>
      </x:c>
    </x:row>
    <x:row r="1381">
      <x:c r="B1381" s="7" t="str">
        <x:v>CAL-CH-PEA-B-Y1-14-1</x:v>
      </x:c>
      <x:c r="C1381" s="7" t="str">
        <x:v>CH-PEA-B-Y1-14-1</x:v>
      </x:c>
      <x:c r="D1381" s="7" t="str">
        <x:v>PEA-B-Y1</x:v>
      </x:c>
      <x:c r="E1381" s="7" t="str">
        <x:v>BLD-B</x:v>
      </x:c>
      <x:c r="F1381" s="7" t="str">
        <x:v>BL-Y</x:v>
      </x:c>
      <x:c r="G1381" s="7" t="str">
        <x:v>MF-14</x:v>
      </x:c>
      <x:c r="H1381" s="7" t="str"/>
      <x:c r="I1381" s="7" t="str"/>
      <x:c r="J1381" s="7" t="str">
        <x:f>IF(OR(H1381="",I1381=""),"",I1381-H1381)</x:f>
      </x:c>
      <x:c r="K1381" s="7" t="str"/>
      <x:c r="L1381" s="7" t="str"/>
      <x:c r="M1381" s="7" t="str">
        <x:f>IF(L1381="","OPEN",IF(OR(NOT(ISNUMBER(H1381)),NOT(ISNUMBER(I1381)),NOT(ISNUMBER(K1381)),ABS(J1381)&gt;K1381),"FAIL","PASS"))</x:f>
        <x:v>OPEN</x:v>
      </x:c>
    </x:row>
    <x:row r="1382">
      <x:c r="B1382" s="7" t="str">
        <x:v>CAL-CH-PEA-B-Y1-14-2</x:v>
      </x:c>
      <x:c r="C1382" s="7" t="str">
        <x:v>CH-PEA-B-Y1-14-2</x:v>
      </x:c>
      <x:c r="D1382" s="7" t="str">
        <x:v>PEA-B-Y1</x:v>
      </x:c>
      <x:c r="E1382" s="7" t="str">
        <x:v>BLD-B</x:v>
      </x:c>
      <x:c r="F1382" s="7" t="str">
        <x:v>BL-Y</x:v>
      </x:c>
      <x:c r="G1382" s="7" t="str">
        <x:v>MF-14</x:v>
      </x:c>
      <x:c r="H1382" s="7" t="str"/>
      <x:c r="I1382" s="7" t="str"/>
      <x:c r="J1382" s="7" t="str">
        <x:f>IF(OR(H1382="",I1382=""),"",I1382-H1382)</x:f>
      </x:c>
      <x:c r="K1382" s="7" t="str"/>
      <x:c r="L1382" s="7" t="str"/>
      <x:c r="M1382" s="7" t="str">
        <x:f>IF(L1382="","OPEN",IF(OR(NOT(ISNUMBER(H1382)),NOT(ISNUMBER(I1382)),NOT(ISNUMBER(K1382)),ABS(J1382)&gt;K1382),"FAIL","PASS"))</x:f>
        <x:v>OPEN</x:v>
      </x:c>
    </x:row>
    <x:row r="1383">
      <x:c r="B1383" s="7" t="str">
        <x:v>CAL-CH-PEA-B-Y1-14-3</x:v>
      </x:c>
      <x:c r="C1383" s="7" t="str">
        <x:v>CH-PEA-B-Y1-14-3</x:v>
      </x:c>
      <x:c r="D1383" s="7" t="str">
        <x:v>PEA-B-Y1</x:v>
      </x:c>
      <x:c r="E1383" s="7" t="str">
        <x:v>BLD-B</x:v>
      </x:c>
      <x:c r="F1383" s="7" t="str">
        <x:v>BL-Y</x:v>
      </x:c>
      <x:c r="G1383" s="7" t="str">
        <x:v>MF-14</x:v>
      </x:c>
      <x:c r="H1383" s="7" t="str"/>
      <x:c r="I1383" s="7" t="str"/>
      <x:c r="J1383" s="7" t="str">
        <x:f>IF(OR(H1383="",I1383=""),"",I1383-H1383)</x:f>
      </x:c>
      <x:c r="K1383" s="7" t="str"/>
      <x:c r="L1383" s="7" t="str"/>
      <x:c r="M1383" s="7" t="str">
        <x:f>IF(L1383="","OPEN",IF(OR(NOT(ISNUMBER(H1383)),NOT(ISNUMBER(I1383)),NOT(ISNUMBER(K1383)),ABS(J1383)&gt;K1383),"FAIL","PASS"))</x:f>
        <x:v>OPEN</x:v>
      </x:c>
    </x:row>
    <x:row r="1384">
      <x:c r="B1384" s="7" t="str">
        <x:v>CAL-CH-PEA-B-Y1-14-4</x:v>
      </x:c>
      <x:c r="C1384" s="7" t="str">
        <x:v>CH-PEA-B-Y1-14-4</x:v>
      </x:c>
      <x:c r="D1384" s="7" t="str">
        <x:v>PEA-B-Y1</x:v>
      </x:c>
      <x:c r="E1384" s="7" t="str">
        <x:v>BLD-B</x:v>
      </x:c>
      <x:c r="F1384" s="7" t="str">
        <x:v>BL-Y</x:v>
      </x:c>
      <x:c r="G1384" s="7" t="str">
        <x:v>MF-14</x:v>
      </x:c>
      <x:c r="H1384" s="7" t="str"/>
      <x:c r="I1384" s="7" t="str"/>
      <x:c r="J1384" s="7" t="str">
        <x:f>IF(OR(H1384="",I1384=""),"",I1384-H1384)</x:f>
      </x:c>
      <x:c r="K1384" s="7" t="str"/>
      <x:c r="L1384" s="7" t="str"/>
      <x:c r="M1384" s="7" t="str">
        <x:f>IF(L1384="","OPEN",IF(OR(NOT(ISNUMBER(H1384)),NOT(ISNUMBER(I1384)),NOT(ISNUMBER(K1384)),ABS(J1384)&gt;K1384),"FAIL","PASS"))</x:f>
        <x:v>OPEN</x:v>
      </x:c>
    </x:row>
    <x:row r="1385">
      <x:c r="B1385" s="7" t="str">
        <x:v>CAL-CH-PEA-B-Y1-14-5</x:v>
      </x:c>
      <x:c r="C1385" s="7" t="str">
        <x:v>CH-PEA-B-Y1-14-5</x:v>
      </x:c>
      <x:c r="D1385" s="7" t="str">
        <x:v>PEA-B-Y1</x:v>
      </x:c>
      <x:c r="E1385" s="7" t="str">
        <x:v>BLD-B</x:v>
      </x:c>
      <x:c r="F1385" s="7" t="str">
        <x:v>BL-Y</x:v>
      </x:c>
      <x:c r="G1385" s="7" t="str">
        <x:v>MF-14</x:v>
      </x:c>
      <x:c r="H1385" s="7" t="str"/>
      <x:c r="I1385" s="7" t="str"/>
      <x:c r="J1385" s="7" t="str">
        <x:f>IF(OR(H1385="",I1385=""),"",I1385-H1385)</x:f>
      </x:c>
      <x:c r="K1385" s="7" t="str"/>
      <x:c r="L1385" s="7" t="str"/>
      <x:c r="M1385" s="7" t="str">
        <x:f>IF(L1385="","OPEN",IF(OR(NOT(ISNUMBER(H1385)),NOT(ISNUMBER(I1385)),NOT(ISNUMBER(K1385)),ABS(J1385)&gt;K1385),"FAIL","PASS"))</x:f>
        <x:v>OPEN</x:v>
      </x:c>
    </x:row>
    <x:row r="1386">
      <x:c r="B1386" s="7" t="str">
        <x:v>CAL-CH-PEA-B-Y1-14-6</x:v>
      </x:c>
      <x:c r="C1386" s="7" t="str">
        <x:v>CH-PEA-B-Y1-14-6</x:v>
      </x:c>
      <x:c r="D1386" s="7" t="str">
        <x:v>PEA-B-Y1</x:v>
      </x:c>
      <x:c r="E1386" s="7" t="str">
        <x:v>BLD-B</x:v>
      </x:c>
      <x:c r="F1386" s="7" t="str">
        <x:v>BL-Y</x:v>
      </x:c>
      <x:c r="G1386" s="7" t="str">
        <x:v>MF-14</x:v>
      </x:c>
      <x:c r="H1386" s="7" t="str"/>
      <x:c r="I1386" s="7" t="str"/>
      <x:c r="J1386" s="7" t="str">
        <x:f>IF(OR(H1386="",I1386=""),"",I1386-H1386)</x:f>
      </x:c>
      <x:c r="K1386" s="7" t="str"/>
      <x:c r="L1386" s="7" t="str"/>
      <x:c r="M1386" s="7" t="str">
        <x:f>IF(L1386="","OPEN",IF(OR(NOT(ISNUMBER(H1386)),NOT(ISNUMBER(I1386)),NOT(ISNUMBER(K1386)),ABS(J1386)&gt;K1386),"FAIL","PASS"))</x:f>
        <x:v>OPEN</x:v>
      </x:c>
    </x:row>
    <x:row r="1387">
      <x:c r="B1387" s="7" t="str">
        <x:v>CAL-CH-PEA-B-Y1-15-1</x:v>
      </x:c>
      <x:c r="C1387" s="7" t="str">
        <x:v>CH-PEA-B-Y1-15-1</x:v>
      </x:c>
      <x:c r="D1387" s="7" t="str">
        <x:v>PEA-B-Y1</x:v>
      </x:c>
      <x:c r="E1387" s="7" t="str">
        <x:v>BLD-B</x:v>
      </x:c>
      <x:c r="F1387" s="7" t="str">
        <x:v>BL-Y</x:v>
      </x:c>
      <x:c r="G1387" s="7" t="str">
        <x:v>MF-15</x:v>
      </x:c>
      <x:c r="H1387" s="7" t="str"/>
      <x:c r="I1387" s="7" t="str"/>
      <x:c r="J1387" s="7" t="str">
        <x:f>IF(OR(H1387="",I1387=""),"",I1387-H1387)</x:f>
      </x:c>
      <x:c r="K1387" s="7" t="str"/>
      <x:c r="L1387" s="7" t="str"/>
      <x:c r="M1387" s="7" t="str">
        <x:f>IF(L1387="","OPEN",IF(OR(NOT(ISNUMBER(H1387)),NOT(ISNUMBER(I1387)),NOT(ISNUMBER(K1387)),ABS(J1387)&gt;K1387),"FAIL","PASS"))</x:f>
        <x:v>OPEN</x:v>
      </x:c>
    </x:row>
    <x:row r="1388">
      <x:c r="B1388" s="7" t="str">
        <x:v>CAL-CH-PEA-B-Y1-15-2</x:v>
      </x:c>
      <x:c r="C1388" s="7" t="str">
        <x:v>CH-PEA-B-Y1-15-2</x:v>
      </x:c>
      <x:c r="D1388" s="7" t="str">
        <x:v>PEA-B-Y1</x:v>
      </x:c>
      <x:c r="E1388" s="7" t="str">
        <x:v>BLD-B</x:v>
      </x:c>
      <x:c r="F1388" s="7" t="str">
        <x:v>BL-Y</x:v>
      </x:c>
      <x:c r="G1388" s="7" t="str">
        <x:v>MF-15</x:v>
      </x:c>
      <x:c r="H1388" s="7" t="str"/>
      <x:c r="I1388" s="7" t="str"/>
      <x:c r="J1388" s="7" t="str">
        <x:f>IF(OR(H1388="",I1388=""),"",I1388-H1388)</x:f>
      </x:c>
      <x:c r="K1388" s="7" t="str"/>
      <x:c r="L1388" s="7" t="str"/>
      <x:c r="M1388" s="7" t="str">
        <x:f>IF(L1388="","OPEN",IF(OR(NOT(ISNUMBER(H1388)),NOT(ISNUMBER(I1388)),NOT(ISNUMBER(K1388)),ABS(J1388)&gt;K1388),"FAIL","PASS"))</x:f>
        <x:v>OPEN</x:v>
      </x:c>
    </x:row>
    <x:row r="1389">
      <x:c r="B1389" s="7" t="str">
        <x:v>CAL-CH-PEA-B-Y1-15-3</x:v>
      </x:c>
      <x:c r="C1389" s="7" t="str">
        <x:v>CH-PEA-B-Y1-15-3</x:v>
      </x:c>
      <x:c r="D1389" s="7" t="str">
        <x:v>PEA-B-Y1</x:v>
      </x:c>
      <x:c r="E1389" s="7" t="str">
        <x:v>BLD-B</x:v>
      </x:c>
      <x:c r="F1389" s="7" t="str">
        <x:v>BL-Y</x:v>
      </x:c>
      <x:c r="G1389" s="7" t="str">
        <x:v>MF-15</x:v>
      </x:c>
      <x:c r="H1389" s="7" t="str"/>
      <x:c r="I1389" s="7" t="str"/>
      <x:c r="J1389" s="7" t="str">
        <x:f>IF(OR(H1389="",I1389=""),"",I1389-H1389)</x:f>
      </x:c>
      <x:c r="K1389" s="7" t="str"/>
      <x:c r="L1389" s="7" t="str"/>
      <x:c r="M1389" s="7" t="str">
        <x:f>IF(L1389="","OPEN",IF(OR(NOT(ISNUMBER(H1389)),NOT(ISNUMBER(I1389)),NOT(ISNUMBER(K1389)),ABS(J1389)&gt;K1389),"FAIL","PASS"))</x:f>
        <x:v>OPEN</x:v>
      </x:c>
    </x:row>
    <x:row r="1390">
      <x:c r="B1390" s="7" t="str">
        <x:v>CAL-CH-PEA-B-Y1-15-4</x:v>
      </x:c>
      <x:c r="C1390" s="7" t="str">
        <x:v>CH-PEA-B-Y1-15-4</x:v>
      </x:c>
      <x:c r="D1390" s="7" t="str">
        <x:v>PEA-B-Y1</x:v>
      </x:c>
      <x:c r="E1390" s="7" t="str">
        <x:v>BLD-B</x:v>
      </x:c>
      <x:c r="F1390" s="7" t="str">
        <x:v>BL-Y</x:v>
      </x:c>
      <x:c r="G1390" s="7" t="str">
        <x:v>MF-15</x:v>
      </x:c>
      <x:c r="H1390" s="7" t="str"/>
      <x:c r="I1390" s="7" t="str"/>
      <x:c r="J1390" s="7" t="str">
        <x:f>IF(OR(H1390="",I1390=""),"",I1390-H1390)</x:f>
      </x:c>
      <x:c r="K1390" s="7" t="str"/>
      <x:c r="L1390" s="7" t="str"/>
      <x:c r="M1390" s="7" t="str">
        <x:f>IF(L1390="","OPEN",IF(OR(NOT(ISNUMBER(H1390)),NOT(ISNUMBER(I1390)),NOT(ISNUMBER(K1390)),ABS(J1390)&gt;K1390),"FAIL","PASS"))</x:f>
        <x:v>OPEN</x:v>
      </x:c>
    </x:row>
    <x:row r="1391">
      <x:c r="B1391" s="7" t="str">
        <x:v>CAL-CH-PEA-B-Y1-15-5</x:v>
      </x:c>
      <x:c r="C1391" s="7" t="str">
        <x:v>CH-PEA-B-Y1-15-5</x:v>
      </x:c>
      <x:c r="D1391" s="7" t="str">
        <x:v>PEA-B-Y1</x:v>
      </x:c>
      <x:c r="E1391" s="7" t="str">
        <x:v>BLD-B</x:v>
      </x:c>
      <x:c r="F1391" s="7" t="str">
        <x:v>BL-Y</x:v>
      </x:c>
      <x:c r="G1391" s="7" t="str">
        <x:v>MF-15</x:v>
      </x:c>
      <x:c r="H1391" s="7" t="str"/>
      <x:c r="I1391" s="7" t="str"/>
      <x:c r="J1391" s="7" t="str">
        <x:f>IF(OR(H1391="",I1391=""),"",I1391-H1391)</x:f>
      </x:c>
      <x:c r="K1391" s="7" t="str"/>
      <x:c r="L1391" s="7" t="str"/>
      <x:c r="M1391" s="7" t="str">
        <x:f>IF(L1391="","OPEN",IF(OR(NOT(ISNUMBER(H1391)),NOT(ISNUMBER(I1391)),NOT(ISNUMBER(K1391)),ABS(J1391)&gt;K1391),"FAIL","PASS"))</x:f>
        <x:v>OPEN</x:v>
      </x:c>
    </x:row>
    <x:row r="1392">
      <x:c r="B1392" s="7" t="str">
        <x:v>CAL-CH-PEA-B-Y1-15-6</x:v>
      </x:c>
      <x:c r="C1392" s="7" t="str">
        <x:v>CH-PEA-B-Y1-15-6</x:v>
      </x:c>
      <x:c r="D1392" s="7" t="str">
        <x:v>PEA-B-Y1</x:v>
      </x:c>
      <x:c r="E1392" s="7" t="str">
        <x:v>BLD-B</x:v>
      </x:c>
      <x:c r="F1392" s="7" t="str">
        <x:v>BL-Y</x:v>
      </x:c>
      <x:c r="G1392" s="7" t="str">
        <x:v>MF-15</x:v>
      </x:c>
      <x:c r="H1392" s="7" t="str"/>
      <x:c r="I1392" s="7" t="str"/>
      <x:c r="J1392" s="7" t="str">
        <x:f>IF(OR(H1392="",I1392=""),"",I1392-H1392)</x:f>
      </x:c>
      <x:c r="K1392" s="7" t="str"/>
      <x:c r="L1392" s="7" t="str"/>
      <x:c r="M1392" s="7" t="str">
        <x:f>IF(L1392="","OPEN",IF(OR(NOT(ISNUMBER(H1392)),NOT(ISNUMBER(I1392)),NOT(ISNUMBER(K1392)),ABS(J1392)&gt;K1392),"FAIL","PASS"))</x:f>
        <x:v>OPEN</x:v>
      </x:c>
    </x:row>
    <x:row r="1393">
      <x:c r="B1393" s="7" t="str">
        <x:v>CAL-CH-PEA-B-Y1-16-1</x:v>
      </x:c>
      <x:c r="C1393" s="7" t="str">
        <x:v>CH-PEA-B-Y1-16-1</x:v>
      </x:c>
      <x:c r="D1393" s="7" t="str">
        <x:v>PEA-B-Y1</x:v>
      </x:c>
      <x:c r="E1393" s="7" t="str">
        <x:v>BLD-B</x:v>
      </x:c>
      <x:c r="F1393" s="7" t="str">
        <x:v>BL-Y</x:v>
      </x:c>
      <x:c r="G1393" s="7" t="str">
        <x:v>MF-16</x:v>
      </x:c>
      <x:c r="H1393" s="7" t="str"/>
      <x:c r="I1393" s="7" t="str"/>
      <x:c r="J1393" s="7" t="str">
        <x:f>IF(OR(H1393="",I1393=""),"",I1393-H1393)</x:f>
      </x:c>
      <x:c r="K1393" s="7" t="str"/>
      <x:c r="L1393" s="7" t="str"/>
      <x:c r="M1393" s="7" t="str">
        <x:f>IF(L1393="","OPEN",IF(OR(NOT(ISNUMBER(H1393)),NOT(ISNUMBER(I1393)),NOT(ISNUMBER(K1393)),ABS(J1393)&gt;K1393),"FAIL","PASS"))</x:f>
        <x:v>OPEN</x:v>
      </x:c>
    </x:row>
    <x:row r="1394">
      <x:c r="B1394" s="7" t="str">
        <x:v>CAL-CH-PEA-B-Y1-16-2</x:v>
      </x:c>
      <x:c r="C1394" s="7" t="str">
        <x:v>CH-PEA-B-Y1-16-2</x:v>
      </x:c>
      <x:c r="D1394" s="7" t="str">
        <x:v>PEA-B-Y1</x:v>
      </x:c>
      <x:c r="E1394" s="7" t="str">
        <x:v>BLD-B</x:v>
      </x:c>
      <x:c r="F1394" s="7" t="str">
        <x:v>BL-Y</x:v>
      </x:c>
      <x:c r="G1394" s="7" t="str">
        <x:v>MF-16</x:v>
      </x:c>
      <x:c r="H1394" s="7" t="str"/>
      <x:c r="I1394" s="7" t="str"/>
      <x:c r="J1394" s="7" t="str">
        <x:f>IF(OR(H1394="",I1394=""),"",I1394-H1394)</x:f>
      </x:c>
      <x:c r="K1394" s="7" t="str"/>
      <x:c r="L1394" s="7" t="str"/>
      <x:c r="M1394" s="7" t="str">
        <x:f>IF(L1394="","OPEN",IF(OR(NOT(ISNUMBER(H1394)),NOT(ISNUMBER(I1394)),NOT(ISNUMBER(K1394)),ABS(J1394)&gt;K1394),"FAIL","PASS"))</x:f>
        <x:v>OPEN</x:v>
      </x:c>
    </x:row>
    <x:row r="1395">
      <x:c r="B1395" s="7" t="str">
        <x:v>CAL-CH-PEA-B-Y1-16-3</x:v>
      </x:c>
      <x:c r="C1395" s="7" t="str">
        <x:v>CH-PEA-B-Y1-16-3</x:v>
      </x:c>
      <x:c r="D1395" s="7" t="str">
        <x:v>PEA-B-Y1</x:v>
      </x:c>
      <x:c r="E1395" s="7" t="str">
        <x:v>BLD-B</x:v>
      </x:c>
      <x:c r="F1395" s="7" t="str">
        <x:v>BL-Y</x:v>
      </x:c>
      <x:c r="G1395" s="7" t="str">
        <x:v>MF-16</x:v>
      </x:c>
      <x:c r="H1395" s="7" t="str"/>
      <x:c r="I1395" s="7" t="str"/>
      <x:c r="J1395" s="7" t="str">
        <x:f>IF(OR(H1395="",I1395=""),"",I1395-H1395)</x:f>
      </x:c>
      <x:c r="K1395" s="7" t="str"/>
      <x:c r="L1395" s="7" t="str"/>
      <x:c r="M1395" s="7" t="str">
        <x:f>IF(L1395="","OPEN",IF(OR(NOT(ISNUMBER(H1395)),NOT(ISNUMBER(I1395)),NOT(ISNUMBER(K1395)),ABS(J1395)&gt;K1395),"FAIL","PASS"))</x:f>
        <x:v>OPEN</x:v>
      </x:c>
    </x:row>
    <x:row r="1396">
      <x:c r="B1396" s="7" t="str">
        <x:v>CAL-CH-PEA-B-Y1-16-4</x:v>
      </x:c>
      <x:c r="C1396" s="7" t="str">
        <x:v>CH-PEA-B-Y1-16-4</x:v>
      </x:c>
      <x:c r="D1396" s="7" t="str">
        <x:v>PEA-B-Y1</x:v>
      </x:c>
      <x:c r="E1396" s="7" t="str">
        <x:v>BLD-B</x:v>
      </x:c>
      <x:c r="F1396" s="7" t="str">
        <x:v>BL-Y</x:v>
      </x:c>
      <x:c r="G1396" s="7" t="str">
        <x:v>MF-16</x:v>
      </x:c>
      <x:c r="H1396" s="7" t="str"/>
      <x:c r="I1396" s="7" t="str"/>
      <x:c r="J1396" s="7" t="str">
        <x:f>IF(OR(H1396="",I1396=""),"",I1396-H1396)</x:f>
      </x:c>
      <x:c r="K1396" s="7" t="str"/>
      <x:c r="L1396" s="7" t="str"/>
      <x:c r="M1396" s="7" t="str">
        <x:f>IF(L1396="","OPEN",IF(OR(NOT(ISNUMBER(H1396)),NOT(ISNUMBER(I1396)),NOT(ISNUMBER(K1396)),ABS(J1396)&gt;K1396),"FAIL","PASS"))</x:f>
        <x:v>OPEN</x:v>
      </x:c>
    </x:row>
    <x:row r="1397">
      <x:c r="B1397" s="7" t="str">
        <x:v>CAL-CH-PEA-B-Y1-16-5</x:v>
      </x:c>
      <x:c r="C1397" s="7" t="str">
        <x:v>CH-PEA-B-Y1-16-5</x:v>
      </x:c>
      <x:c r="D1397" s="7" t="str">
        <x:v>PEA-B-Y1</x:v>
      </x:c>
      <x:c r="E1397" s="7" t="str">
        <x:v>BLD-B</x:v>
      </x:c>
      <x:c r="F1397" s="7" t="str">
        <x:v>BL-Y</x:v>
      </x:c>
      <x:c r="G1397" s="7" t="str">
        <x:v>MF-16</x:v>
      </x:c>
      <x:c r="H1397" s="7" t="str"/>
      <x:c r="I1397" s="7" t="str"/>
      <x:c r="J1397" s="7" t="str">
        <x:f>IF(OR(H1397="",I1397=""),"",I1397-H1397)</x:f>
      </x:c>
      <x:c r="K1397" s="7" t="str"/>
      <x:c r="L1397" s="7" t="str"/>
      <x:c r="M1397" s="7" t="str">
        <x:f>IF(L1397="","OPEN",IF(OR(NOT(ISNUMBER(H1397)),NOT(ISNUMBER(I1397)),NOT(ISNUMBER(K1397)),ABS(J1397)&gt;K1397),"FAIL","PASS"))</x:f>
        <x:v>OPEN</x:v>
      </x:c>
    </x:row>
    <x:row r="1398">
      <x:c r="B1398" s="7" t="str">
        <x:v>CAL-CH-PEA-B-Y1-16-6</x:v>
      </x:c>
      <x:c r="C1398" s="7" t="str">
        <x:v>CH-PEA-B-Y1-16-6</x:v>
      </x:c>
      <x:c r="D1398" s="7" t="str">
        <x:v>PEA-B-Y1</x:v>
      </x:c>
      <x:c r="E1398" s="7" t="str">
        <x:v>BLD-B</x:v>
      </x:c>
      <x:c r="F1398" s="7" t="str">
        <x:v>BL-Y</x:v>
      </x:c>
      <x:c r="G1398" s="7" t="str">
        <x:v>MF-16</x:v>
      </x:c>
      <x:c r="H1398" s="7" t="str"/>
      <x:c r="I1398" s="7" t="str"/>
      <x:c r="J1398" s="7" t="str">
        <x:f>IF(OR(H1398="",I1398=""),"",I1398-H1398)</x:f>
      </x:c>
      <x:c r="K1398" s="7" t="str"/>
      <x:c r="L1398" s="7" t="str"/>
      <x:c r="M1398" s="7" t="str">
        <x:f>IF(L1398="","OPEN",IF(OR(NOT(ISNUMBER(H1398)),NOT(ISNUMBER(I1398)),NOT(ISNUMBER(K1398)),ABS(J1398)&gt;K1398),"FAIL","PASS"))</x:f>
        <x:v>OPEN</x:v>
      </x:c>
    </x:row>
    <x:row r="1399">
      <x:c r="B1399" s="7" t="str">
        <x:v>CAL-CH-PEA-B-Y1-17-1</x:v>
      </x:c>
      <x:c r="C1399" s="7" t="str">
        <x:v>CH-PEA-B-Y1-17-1</x:v>
      </x:c>
      <x:c r="D1399" s="7" t="str">
        <x:v>PEA-B-Y1</x:v>
      </x:c>
      <x:c r="E1399" s="7" t="str">
        <x:v>BLD-B</x:v>
      </x:c>
      <x:c r="F1399" s="7" t="str">
        <x:v>BL-Y</x:v>
      </x:c>
      <x:c r="G1399" s="7" t="str">
        <x:v>MF-17</x:v>
      </x:c>
      <x:c r="H1399" s="7" t="str"/>
      <x:c r="I1399" s="7" t="str"/>
      <x:c r="J1399" s="7" t="str">
        <x:f>IF(OR(H1399="",I1399=""),"",I1399-H1399)</x:f>
      </x:c>
      <x:c r="K1399" s="7" t="str"/>
      <x:c r="L1399" s="7" t="str"/>
      <x:c r="M1399" s="7" t="str">
        <x:f>IF(L1399="","OPEN",IF(OR(NOT(ISNUMBER(H1399)),NOT(ISNUMBER(I1399)),NOT(ISNUMBER(K1399)),ABS(J1399)&gt;K1399),"FAIL","PASS"))</x:f>
        <x:v>OPEN</x:v>
      </x:c>
    </x:row>
    <x:row r="1400">
      <x:c r="B1400" s="7" t="str">
        <x:v>CAL-CH-PEA-B-Y1-17-2</x:v>
      </x:c>
      <x:c r="C1400" s="7" t="str">
        <x:v>CH-PEA-B-Y1-17-2</x:v>
      </x:c>
      <x:c r="D1400" s="7" t="str">
        <x:v>PEA-B-Y1</x:v>
      </x:c>
      <x:c r="E1400" s="7" t="str">
        <x:v>BLD-B</x:v>
      </x:c>
      <x:c r="F1400" s="7" t="str">
        <x:v>BL-Y</x:v>
      </x:c>
      <x:c r="G1400" s="7" t="str">
        <x:v>MF-17</x:v>
      </x:c>
      <x:c r="H1400" s="7" t="str"/>
      <x:c r="I1400" s="7" t="str"/>
      <x:c r="J1400" s="7" t="str">
        <x:f>IF(OR(H1400="",I1400=""),"",I1400-H1400)</x:f>
      </x:c>
      <x:c r="K1400" s="7" t="str"/>
      <x:c r="L1400" s="7" t="str"/>
      <x:c r="M1400" s="7" t="str">
        <x:f>IF(L1400="","OPEN",IF(OR(NOT(ISNUMBER(H1400)),NOT(ISNUMBER(I1400)),NOT(ISNUMBER(K1400)),ABS(J1400)&gt;K1400),"FAIL","PASS"))</x:f>
        <x:v>OPEN</x:v>
      </x:c>
    </x:row>
    <x:row r="1401">
      <x:c r="B1401" s="7" t="str">
        <x:v>CAL-CH-PEA-B-Y1-17-3</x:v>
      </x:c>
      <x:c r="C1401" s="7" t="str">
        <x:v>CH-PEA-B-Y1-17-3</x:v>
      </x:c>
      <x:c r="D1401" s="7" t="str">
        <x:v>PEA-B-Y1</x:v>
      </x:c>
      <x:c r="E1401" s="7" t="str">
        <x:v>BLD-B</x:v>
      </x:c>
      <x:c r="F1401" s="7" t="str">
        <x:v>BL-Y</x:v>
      </x:c>
      <x:c r="G1401" s="7" t="str">
        <x:v>MF-17</x:v>
      </x:c>
      <x:c r="H1401" s="7" t="str"/>
      <x:c r="I1401" s="7" t="str"/>
      <x:c r="J1401" s="7" t="str">
        <x:f>IF(OR(H1401="",I1401=""),"",I1401-H1401)</x:f>
      </x:c>
      <x:c r="K1401" s="7" t="str"/>
      <x:c r="L1401" s="7" t="str"/>
      <x:c r="M1401" s="7" t="str">
        <x:f>IF(L1401="","OPEN",IF(OR(NOT(ISNUMBER(H1401)),NOT(ISNUMBER(I1401)),NOT(ISNUMBER(K1401)),ABS(J1401)&gt;K1401),"FAIL","PASS"))</x:f>
        <x:v>OPEN</x:v>
      </x:c>
    </x:row>
    <x:row r="1402">
      <x:c r="B1402" s="7" t="str">
        <x:v>CAL-CH-PEA-B-Y1-17-4</x:v>
      </x:c>
      <x:c r="C1402" s="7" t="str">
        <x:v>CH-PEA-B-Y1-17-4</x:v>
      </x:c>
      <x:c r="D1402" s="7" t="str">
        <x:v>PEA-B-Y1</x:v>
      </x:c>
      <x:c r="E1402" s="7" t="str">
        <x:v>BLD-B</x:v>
      </x:c>
      <x:c r="F1402" s="7" t="str">
        <x:v>BL-Y</x:v>
      </x:c>
      <x:c r="G1402" s="7" t="str">
        <x:v>MF-17</x:v>
      </x:c>
      <x:c r="H1402" s="7" t="str"/>
      <x:c r="I1402" s="7" t="str"/>
      <x:c r="J1402" s="7" t="str">
        <x:f>IF(OR(H1402="",I1402=""),"",I1402-H1402)</x:f>
      </x:c>
      <x:c r="K1402" s="7" t="str"/>
      <x:c r="L1402" s="7" t="str"/>
      <x:c r="M1402" s="7" t="str">
        <x:f>IF(L1402="","OPEN",IF(OR(NOT(ISNUMBER(H1402)),NOT(ISNUMBER(I1402)),NOT(ISNUMBER(K1402)),ABS(J1402)&gt;K1402),"FAIL","PASS"))</x:f>
        <x:v>OPEN</x:v>
      </x:c>
    </x:row>
    <x:row r="1403">
      <x:c r="B1403" s="7" t="str">
        <x:v>CAL-CH-PEA-B-Y1-17-5</x:v>
      </x:c>
      <x:c r="C1403" s="7" t="str">
        <x:v>CH-PEA-B-Y1-17-5</x:v>
      </x:c>
      <x:c r="D1403" s="7" t="str">
        <x:v>PEA-B-Y1</x:v>
      </x:c>
      <x:c r="E1403" s="7" t="str">
        <x:v>BLD-B</x:v>
      </x:c>
      <x:c r="F1403" s="7" t="str">
        <x:v>BL-Y</x:v>
      </x:c>
      <x:c r="G1403" s="7" t="str">
        <x:v>MF-17</x:v>
      </x:c>
      <x:c r="H1403" s="7" t="str"/>
      <x:c r="I1403" s="7" t="str"/>
      <x:c r="J1403" s="7" t="str">
        <x:f>IF(OR(H1403="",I1403=""),"",I1403-H1403)</x:f>
      </x:c>
      <x:c r="K1403" s="7" t="str"/>
      <x:c r="L1403" s="7" t="str"/>
      <x:c r="M1403" s="7" t="str">
        <x:f>IF(L1403="","OPEN",IF(OR(NOT(ISNUMBER(H1403)),NOT(ISNUMBER(I1403)),NOT(ISNUMBER(K1403)),ABS(J1403)&gt;K1403),"FAIL","PASS"))</x:f>
        <x:v>OPEN</x:v>
      </x:c>
    </x:row>
    <x:row r="1404">
      <x:c r="B1404" s="7" t="str">
        <x:v>CAL-CH-PEA-B-Y1-17-6</x:v>
      </x:c>
      <x:c r="C1404" s="7" t="str">
        <x:v>CH-PEA-B-Y1-17-6</x:v>
      </x:c>
      <x:c r="D1404" s="7" t="str">
        <x:v>PEA-B-Y1</x:v>
      </x:c>
      <x:c r="E1404" s="7" t="str">
        <x:v>BLD-B</x:v>
      </x:c>
      <x:c r="F1404" s="7" t="str">
        <x:v>BL-Y</x:v>
      </x:c>
      <x:c r="G1404" s="7" t="str">
        <x:v>MF-17</x:v>
      </x:c>
      <x:c r="H1404" s="7" t="str"/>
      <x:c r="I1404" s="7" t="str"/>
      <x:c r="J1404" s="7" t="str">
        <x:f>IF(OR(H1404="",I1404=""),"",I1404-H1404)</x:f>
      </x:c>
      <x:c r="K1404" s="7" t="str"/>
      <x:c r="L1404" s="7" t="str"/>
      <x:c r="M1404" s="7" t="str">
        <x:f>IF(L1404="","OPEN",IF(OR(NOT(ISNUMBER(H1404)),NOT(ISNUMBER(I1404)),NOT(ISNUMBER(K1404)),ABS(J1404)&gt;K1404),"FAIL","PASS"))</x:f>
        <x:v>OPEN</x:v>
      </x:c>
    </x:row>
    <x:row r="1405">
      <x:c r="B1405" s="7" t="str">
        <x:v>CAL-CH-PEA-B-Y1-18-1</x:v>
      </x:c>
      <x:c r="C1405" s="7" t="str">
        <x:v>CH-PEA-B-Y1-18-1</x:v>
      </x:c>
      <x:c r="D1405" s="7" t="str">
        <x:v>PEA-B-Y1</x:v>
      </x:c>
      <x:c r="E1405" s="7" t="str">
        <x:v>BLD-B</x:v>
      </x:c>
      <x:c r="F1405" s="7" t="str">
        <x:v>BL-Y</x:v>
      </x:c>
      <x:c r="G1405" s="7" t="str">
        <x:v>MF-18</x:v>
      </x:c>
      <x:c r="H1405" s="7" t="str"/>
      <x:c r="I1405" s="7" t="str"/>
      <x:c r="J1405" s="7" t="str">
        <x:f>IF(OR(H1405="",I1405=""),"",I1405-H1405)</x:f>
      </x:c>
      <x:c r="K1405" s="7" t="str"/>
      <x:c r="L1405" s="7" t="str"/>
      <x:c r="M1405" s="7" t="str">
        <x:f>IF(L1405="","OPEN",IF(OR(NOT(ISNUMBER(H1405)),NOT(ISNUMBER(I1405)),NOT(ISNUMBER(K1405)),ABS(J1405)&gt;K1405),"FAIL","PASS"))</x:f>
        <x:v>OPEN</x:v>
      </x:c>
    </x:row>
    <x:row r="1406">
      <x:c r="B1406" s="7" t="str">
        <x:v>CAL-CH-PEA-B-Y1-18-2</x:v>
      </x:c>
      <x:c r="C1406" s="7" t="str">
        <x:v>CH-PEA-B-Y1-18-2</x:v>
      </x:c>
      <x:c r="D1406" s="7" t="str">
        <x:v>PEA-B-Y1</x:v>
      </x:c>
      <x:c r="E1406" s="7" t="str">
        <x:v>BLD-B</x:v>
      </x:c>
      <x:c r="F1406" s="7" t="str">
        <x:v>BL-Y</x:v>
      </x:c>
      <x:c r="G1406" s="7" t="str">
        <x:v>MF-18</x:v>
      </x:c>
      <x:c r="H1406" s="7" t="str"/>
      <x:c r="I1406" s="7" t="str"/>
      <x:c r="J1406" s="7" t="str">
        <x:f>IF(OR(H1406="",I1406=""),"",I1406-H1406)</x:f>
      </x:c>
      <x:c r="K1406" s="7" t="str"/>
      <x:c r="L1406" s="7" t="str"/>
      <x:c r="M1406" s="7" t="str">
        <x:f>IF(L1406="","OPEN",IF(OR(NOT(ISNUMBER(H1406)),NOT(ISNUMBER(I1406)),NOT(ISNUMBER(K1406)),ABS(J1406)&gt;K1406),"FAIL","PASS"))</x:f>
        <x:v>OPEN</x:v>
      </x:c>
    </x:row>
    <x:row r="1407">
      <x:c r="B1407" s="7" t="str">
        <x:v>CAL-CH-PEA-B-Y1-18-3</x:v>
      </x:c>
      <x:c r="C1407" s="7" t="str">
        <x:v>CH-PEA-B-Y1-18-3</x:v>
      </x:c>
      <x:c r="D1407" s="7" t="str">
        <x:v>PEA-B-Y1</x:v>
      </x:c>
      <x:c r="E1407" s="7" t="str">
        <x:v>BLD-B</x:v>
      </x:c>
      <x:c r="F1407" s="7" t="str">
        <x:v>BL-Y</x:v>
      </x:c>
      <x:c r="G1407" s="7" t="str">
        <x:v>MF-18</x:v>
      </x:c>
      <x:c r="H1407" s="7" t="str"/>
      <x:c r="I1407" s="7" t="str"/>
      <x:c r="J1407" s="7" t="str">
        <x:f>IF(OR(H1407="",I1407=""),"",I1407-H1407)</x:f>
      </x:c>
      <x:c r="K1407" s="7" t="str"/>
      <x:c r="L1407" s="7" t="str"/>
      <x:c r="M1407" s="7" t="str">
        <x:f>IF(L1407="","OPEN",IF(OR(NOT(ISNUMBER(H1407)),NOT(ISNUMBER(I1407)),NOT(ISNUMBER(K1407)),ABS(J1407)&gt;K1407),"FAIL","PASS"))</x:f>
        <x:v>OPEN</x:v>
      </x:c>
    </x:row>
    <x:row r="1408">
      <x:c r="B1408" s="7" t="str">
        <x:v>CAL-CH-PEA-B-Y1-18-4</x:v>
      </x:c>
      <x:c r="C1408" s="7" t="str">
        <x:v>CH-PEA-B-Y1-18-4</x:v>
      </x:c>
      <x:c r="D1408" s="7" t="str">
        <x:v>PEA-B-Y1</x:v>
      </x:c>
      <x:c r="E1408" s="7" t="str">
        <x:v>BLD-B</x:v>
      </x:c>
      <x:c r="F1408" s="7" t="str">
        <x:v>BL-Y</x:v>
      </x:c>
      <x:c r="G1408" s="7" t="str">
        <x:v>MF-18</x:v>
      </x:c>
      <x:c r="H1408" s="7" t="str"/>
      <x:c r="I1408" s="7" t="str"/>
      <x:c r="J1408" s="7" t="str">
        <x:f>IF(OR(H1408="",I1408=""),"",I1408-H1408)</x:f>
      </x:c>
      <x:c r="K1408" s="7" t="str"/>
      <x:c r="L1408" s="7" t="str"/>
      <x:c r="M1408" s="7" t="str">
        <x:f>IF(L1408="","OPEN",IF(OR(NOT(ISNUMBER(H1408)),NOT(ISNUMBER(I1408)),NOT(ISNUMBER(K1408)),ABS(J1408)&gt;K1408),"FAIL","PASS"))</x:f>
        <x:v>OPEN</x:v>
      </x:c>
    </x:row>
    <x:row r="1409">
      <x:c r="B1409" s="7" t="str">
        <x:v>CAL-CH-PEA-B-Y1-18-5</x:v>
      </x:c>
      <x:c r="C1409" s="7" t="str">
        <x:v>CH-PEA-B-Y1-18-5</x:v>
      </x:c>
      <x:c r="D1409" s="7" t="str">
        <x:v>PEA-B-Y1</x:v>
      </x:c>
      <x:c r="E1409" s="7" t="str">
        <x:v>BLD-B</x:v>
      </x:c>
      <x:c r="F1409" s="7" t="str">
        <x:v>BL-Y</x:v>
      </x:c>
      <x:c r="G1409" s="7" t="str">
        <x:v>MF-18</x:v>
      </x:c>
      <x:c r="H1409" s="7" t="str"/>
      <x:c r="I1409" s="7" t="str"/>
      <x:c r="J1409" s="7" t="str">
        <x:f>IF(OR(H1409="",I1409=""),"",I1409-H1409)</x:f>
      </x:c>
      <x:c r="K1409" s="7" t="str"/>
      <x:c r="L1409" s="7" t="str"/>
      <x:c r="M1409" s="7" t="str">
        <x:f>IF(L1409="","OPEN",IF(OR(NOT(ISNUMBER(H1409)),NOT(ISNUMBER(I1409)),NOT(ISNUMBER(K1409)),ABS(J1409)&gt;K1409),"FAIL","PASS"))</x:f>
        <x:v>OPEN</x:v>
      </x:c>
    </x:row>
    <x:row r="1410">
      <x:c r="B1410" s="7" t="str">
        <x:v>CAL-CH-PEA-B-Y1-18-6</x:v>
      </x:c>
      <x:c r="C1410" s="7" t="str">
        <x:v>CH-PEA-B-Y1-18-6</x:v>
      </x:c>
      <x:c r="D1410" s="7" t="str">
        <x:v>PEA-B-Y1</x:v>
      </x:c>
      <x:c r="E1410" s="7" t="str">
        <x:v>BLD-B</x:v>
      </x:c>
      <x:c r="F1410" s="7" t="str">
        <x:v>BL-Y</x:v>
      </x:c>
      <x:c r="G1410" s="7" t="str">
        <x:v>MF-18</x:v>
      </x:c>
      <x:c r="H1410" s="7" t="str"/>
      <x:c r="I1410" s="7" t="str"/>
      <x:c r="J1410" s="7" t="str">
        <x:f>IF(OR(H1410="",I1410=""),"",I1410-H1410)</x:f>
      </x:c>
      <x:c r="K1410" s="7" t="str"/>
      <x:c r="L1410" s="7" t="str"/>
      <x:c r="M1410" s="7" t="str">
        <x:f>IF(L1410="","OPEN",IF(OR(NOT(ISNUMBER(H1410)),NOT(ISNUMBER(I1410)),NOT(ISNUMBER(K1410)),ABS(J1410)&gt;K1410),"FAIL","PASS"))</x:f>
        <x:v>OPEN</x:v>
      </x:c>
    </x:row>
    <x:row r="1411">
      <x:c r="B1411" s="7" t="str">
        <x:v>CAL-CH-PEA-B-Y1-19-1</x:v>
      </x:c>
      <x:c r="C1411" s="7" t="str">
        <x:v>CH-PEA-B-Y1-19-1</x:v>
      </x:c>
      <x:c r="D1411" s="7" t="str">
        <x:v>PEA-B-Y1</x:v>
      </x:c>
      <x:c r="E1411" s="7" t="str">
        <x:v>BLD-B</x:v>
      </x:c>
      <x:c r="F1411" s="7" t="str">
        <x:v>BL-Y</x:v>
      </x:c>
      <x:c r="G1411" s="7" t="str">
        <x:v>MF-19</x:v>
      </x:c>
      <x:c r="H1411" s="7" t="str"/>
      <x:c r="I1411" s="7" t="str"/>
      <x:c r="J1411" s="7" t="str">
        <x:f>IF(OR(H1411="",I1411=""),"",I1411-H1411)</x:f>
      </x:c>
      <x:c r="K1411" s="7" t="str"/>
      <x:c r="L1411" s="7" t="str"/>
      <x:c r="M1411" s="7" t="str">
        <x:f>IF(L1411="","OPEN",IF(OR(NOT(ISNUMBER(H1411)),NOT(ISNUMBER(I1411)),NOT(ISNUMBER(K1411)),ABS(J1411)&gt;K1411),"FAIL","PASS"))</x:f>
        <x:v>OPEN</x:v>
      </x:c>
    </x:row>
    <x:row r="1412">
      <x:c r="B1412" s="7" t="str">
        <x:v>CAL-CH-PEA-B-Y1-19-2</x:v>
      </x:c>
      <x:c r="C1412" s="7" t="str">
        <x:v>CH-PEA-B-Y1-19-2</x:v>
      </x:c>
      <x:c r="D1412" s="7" t="str">
        <x:v>PEA-B-Y1</x:v>
      </x:c>
      <x:c r="E1412" s="7" t="str">
        <x:v>BLD-B</x:v>
      </x:c>
      <x:c r="F1412" s="7" t="str">
        <x:v>BL-Y</x:v>
      </x:c>
      <x:c r="G1412" s="7" t="str">
        <x:v>MF-19</x:v>
      </x:c>
      <x:c r="H1412" s="7" t="str"/>
      <x:c r="I1412" s="7" t="str"/>
      <x:c r="J1412" s="7" t="str">
        <x:f>IF(OR(H1412="",I1412=""),"",I1412-H1412)</x:f>
      </x:c>
      <x:c r="K1412" s="7" t="str"/>
      <x:c r="L1412" s="7" t="str"/>
      <x:c r="M1412" s="7" t="str">
        <x:f>IF(L1412="","OPEN",IF(OR(NOT(ISNUMBER(H1412)),NOT(ISNUMBER(I1412)),NOT(ISNUMBER(K1412)),ABS(J1412)&gt;K1412),"FAIL","PASS"))</x:f>
        <x:v>OPEN</x:v>
      </x:c>
    </x:row>
    <x:row r="1413">
      <x:c r="B1413" s="7" t="str">
        <x:v>CAL-CH-PEA-B-Y1-19-3</x:v>
      </x:c>
      <x:c r="C1413" s="7" t="str">
        <x:v>CH-PEA-B-Y1-19-3</x:v>
      </x:c>
      <x:c r="D1413" s="7" t="str">
        <x:v>PEA-B-Y1</x:v>
      </x:c>
      <x:c r="E1413" s="7" t="str">
        <x:v>BLD-B</x:v>
      </x:c>
      <x:c r="F1413" s="7" t="str">
        <x:v>BL-Y</x:v>
      </x:c>
      <x:c r="G1413" s="7" t="str">
        <x:v>MF-19</x:v>
      </x:c>
      <x:c r="H1413" s="7" t="str"/>
      <x:c r="I1413" s="7" t="str"/>
      <x:c r="J1413" s="7" t="str">
        <x:f>IF(OR(H1413="",I1413=""),"",I1413-H1413)</x:f>
      </x:c>
      <x:c r="K1413" s="7" t="str"/>
      <x:c r="L1413" s="7" t="str"/>
      <x:c r="M1413" s="7" t="str">
        <x:f>IF(L1413="","OPEN",IF(OR(NOT(ISNUMBER(H1413)),NOT(ISNUMBER(I1413)),NOT(ISNUMBER(K1413)),ABS(J1413)&gt;K1413),"FAIL","PASS"))</x:f>
        <x:v>OPEN</x:v>
      </x:c>
    </x:row>
    <x:row r="1414">
      <x:c r="B1414" s="7" t="str">
        <x:v>CAL-CH-PEA-B-Y1-19-4</x:v>
      </x:c>
      <x:c r="C1414" s="7" t="str">
        <x:v>CH-PEA-B-Y1-19-4</x:v>
      </x:c>
      <x:c r="D1414" s="7" t="str">
        <x:v>PEA-B-Y1</x:v>
      </x:c>
      <x:c r="E1414" s="7" t="str">
        <x:v>BLD-B</x:v>
      </x:c>
      <x:c r="F1414" s="7" t="str">
        <x:v>BL-Y</x:v>
      </x:c>
      <x:c r="G1414" s="7" t="str">
        <x:v>MF-19</x:v>
      </x:c>
      <x:c r="H1414" s="7" t="str"/>
      <x:c r="I1414" s="7" t="str"/>
      <x:c r="J1414" s="7" t="str">
        <x:f>IF(OR(H1414="",I1414=""),"",I1414-H1414)</x:f>
      </x:c>
      <x:c r="K1414" s="7" t="str"/>
      <x:c r="L1414" s="7" t="str"/>
      <x:c r="M1414" s="7" t="str">
        <x:f>IF(L1414="","OPEN",IF(OR(NOT(ISNUMBER(H1414)),NOT(ISNUMBER(I1414)),NOT(ISNUMBER(K1414)),ABS(J1414)&gt;K1414),"FAIL","PASS"))</x:f>
        <x:v>OPEN</x:v>
      </x:c>
    </x:row>
    <x:row r="1415">
      <x:c r="B1415" s="7" t="str">
        <x:v>CAL-CH-PEA-B-Y1-19-5</x:v>
      </x:c>
      <x:c r="C1415" s="7" t="str">
        <x:v>CH-PEA-B-Y1-19-5</x:v>
      </x:c>
      <x:c r="D1415" s="7" t="str">
        <x:v>PEA-B-Y1</x:v>
      </x:c>
      <x:c r="E1415" s="7" t="str">
        <x:v>BLD-B</x:v>
      </x:c>
      <x:c r="F1415" s="7" t="str">
        <x:v>BL-Y</x:v>
      </x:c>
      <x:c r="G1415" s="7" t="str">
        <x:v>MF-19</x:v>
      </x:c>
      <x:c r="H1415" s="7" t="str"/>
      <x:c r="I1415" s="7" t="str"/>
      <x:c r="J1415" s="7" t="str">
        <x:f>IF(OR(H1415="",I1415=""),"",I1415-H1415)</x:f>
      </x:c>
      <x:c r="K1415" s="7" t="str"/>
      <x:c r="L1415" s="7" t="str"/>
      <x:c r="M1415" s="7" t="str">
        <x:f>IF(L1415="","OPEN",IF(OR(NOT(ISNUMBER(H1415)),NOT(ISNUMBER(I1415)),NOT(ISNUMBER(K1415)),ABS(J1415)&gt;K1415),"FAIL","PASS"))</x:f>
        <x:v>OPEN</x:v>
      </x:c>
    </x:row>
    <x:row r="1416">
      <x:c r="B1416" s="7" t="str">
        <x:v>CAL-CH-PEA-B-Y1-19-6</x:v>
      </x:c>
      <x:c r="C1416" s="7" t="str">
        <x:v>CH-PEA-B-Y1-19-6</x:v>
      </x:c>
      <x:c r="D1416" s="7" t="str">
        <x:v>PEA-B-Y1</x:v>
      </x:c>
      <x:c r="E1416" s="7" t="str">
        <x:v>BLD-B</x:v>
      </x:c>
      <x:c r="F1416" s="7" t="str">
        <x:v>BL-Y</x:v>
      </x:c>
      <x:c r="G1416" s="7" t="str">
        <x:v>MF-19</x:v>
      </x:c>
      <x:c r="H1416" s="7" t="str"/>
      <x:c r="I1416" s="7" t="str"/>
      <x:c r="J1416" s="7" t="str">
        <x:f>IF(OR(H1416="",I1416=""),"",I1416-H1416)</x:f>
      </x:c>
      <x:c r="K1416" s="7" t="str"/>
      <x:c r="L1416" s="7" t="str"/>
      <x:c r="M1416" s="7" t="str">
        <x:f>IF(L1416="","OPEN",IF(OR(NOT(ISNUMBER(H1416)),NOT(ISNUMBER(I1416)),NOT(ISNUMBER(K1416)),ABS(J1416)&gt;K1416),"FAIL","PASS"))</x:f>
        <x:v>OPEN</x:v>
      </x:c>
    </x:row>
    <x:row r="1417">
      <x:c r="B1417" s="7" t="str">
        <x:v>CAL-CH-PEA-B-Y1-20-1</x:v>
      </x:c>
      <x:c r="C1417" s="7" t="str">
        <x:v>CH-PEA-B-Y1-20-1</x:v>
      </x:c>
      <x:c r="D1417" s="7" t="str">
        <x:v>PEA-B-Y1</x:v>
      </x:c>
      <x:c r="E1417" s="7" t="str">
        <x:v>BLD-B</x:v>
      </x:c>
      <x:c r="F1417" s="7" t="str">
        <x:v>BL-Y</x:v>
      </x:c>
      <x:c r="G1417" s="7" t="str">
        <x:v>MF-20</x:v>
      </x:c>
      <x:c r="H1417" s="7" t="str"/>
      <x:c r="I1417" s="7" t="str"/>
      <x:c r="J1417" s="7" t="str">
        <x:f>IF(OR(H1417="",I1417=""),"",I1417-H1417)</x:f>
      </x:c>
      <x:c r="K1417" s="7" t="str"/>
      <x:c r="L1417" s="7" t="str"/>
      <x:c r="M1417" s="7" t="str">
        <x:f>IF(L1417="","OPEN",IF(OR(NOT(ISNUMBER(H1417)),NOT(ISNUMBER(I1417)),NOT(ISNUMBER(K1417)),ABS(J1417)&gt;K1417),"FAIL","PASS"))</x:f>
        <x:v>OPEN</x:v>
      </x:c>
    </x:row>
    <x:row r="1418">
      <x:c r="B1418" s="7" t="str">
        <x:v>CAL-CH-PEA-B-Y1-20-2</x:v>
      </x:c>
      <x:c r="C1418" s="7" t="str">
        <x:v>CH-PEA-B-Y1-20-2</x:v>
      </x:c>
      <x:c r="D1418" s="7" t="str">
        <x:v>PEA-B-Y1</x:v>
      </x:c>
      <x:c r="E1418" s="7" t="str">
        <x:v>BLD-B</x:v>
      </x:c>
      <x:c r="F1418" s="7" t="str">
        <x:v>BL-Y</x:v>
      </x:c>
      <x:c r="G1418" s="7" t="str">
        <x:v>MF-20</x:v>
      </x:c>
      <x:c r="H1418" s="7" t="str"/>
      <x:c r="I1418" s="7" t="str"/>
      <x:c r="J1418" s="7" t="str">
        <x:f>IF(OR(H1418="",I1418=""),"",I1418-H1418)</x:f>
      </x:c>
      <x:c r="K1418" s="7" t="str"/>
      <x:c r="L1418" s="7" t="str"/>
      <x:c r="M1418" s="7" t="str">
        <x:f>IF(L1418="","OPEN",IF(OR(NOT(ISNUMBER(H1418)),NOT(ISNUMBER(I1418)),NOT(ISNUMBER(K1418)),ABS(J1418)&gt;K1418),"FAIL","PASS"))</x:f>
        <x:v>OPEN</x:v>
      </x:c>
    </x:row>
    <x:row r="1419">
      <x:c r="B1419" s="7" t="str">
        <x:v>CAL-CH-PEA-B-Y1-20-3</x:v>
      </x:c>
      <x:c r="C1419" s="7" t="str">
        <x:v>CH-PEA-B-Y1-20-3</x:v>
      </x:c>
      <x:c r="D1419" s="7" t="str">
        <x:v>PEA-B-Y1</x:v>
      </x:c>
      <x:c r="E1419" s="7" t="str">
        <x:v>BLD-B</x:v>
      </x:c>
      <x:c r="F1419" s="7" t="str">
        <x:v>BL-Y</x:v>
      </x:c>
      <x:c r="G1419" s="7" t="str">
        <x:v>MF-20</x:v>
      </x:c>
      <x:c r="H1419" s="7" t="str"/>
      <x:c r="I1419" s="7" t="str"/>
      <x:c r="J1419" s="7" t="str">
        <x:f>IF(OR(H1419="",I1419=""),"",I1419-H1419)</x:f>
      </x:c>
      <x:c r="K1419" s="7" t="str"/>
      <x:c r="L1419" s="7" t="str"/>
      <x:c r="M1419" s="7" t="str">
        <x:f>IF(L1419="","OPEN",IF(OR(NOT(ISNUMBER(H1419)),NOT(ISNUMBER(I1419)),NOT(ISNUMBER(K1419)),ABS(J1419)&gt;K1419),"FAIL","PASS"))</x:f>
        <x:v>OPEN</x:v>
      </x:c>
    </x:row>
    <x:row r="1420">
      <x:c r="B1420" s="7" t="str">
        <x:v>CAL-CH-PEA-B-Y1-20-4</x:v>
      </x:c>
      <x:c r="C1420" s="7" t="str">
        <x:v>CH-PEA-B-Y1-20-4</x:v>
      </x:c>
      <x:c r="D1420" s="7" t="str">
        <x:v>PEA-B-Y1</x:v>
      </x:c>
      <x:c r="E1420" s="7" t="str">
        <x:v>BLD-B</x:v>
      </x:c>
      <x:c r="F1420" s="7" t="str">
        <x:v>BL-Y</x:v>
      </x:c>
      <x:c r="G1420" s="7" t="str">
        <x:v>MF-20</x:v>
      </x:c>
      <x:c r="H1420" s="7" t="str"/>
      <x:c r="I1420" s="7" t="str"/>
      <x:c r="J1420" s="7" t="str">
        <x:f>IF(OR(H1420="",I1420=""),"",I1420-H1420)</x:f>
      </x:c>
      <x:c r="K1420" s="7" t="str"/>
      <x:c r="L1420" s="7" t="str"/>
      <x:c r="M1420" s="7" t="str">
        <x:f>IF(L1420="","OPEN",IF(OR(NOT(ISNUMBER(H1420)),NOT(ISNUMBER(I1420)),NOT(ISNUMBER(K1420)),ABS(J1420)&gt;K1420),"FAIL","PASS"))</x:f>
        <x:v>OPEN</x:v>
      </x:c>
    </x:row>
    <x:row r="1421">
      <x:c r="B1421" s="7" t="str">
        <x:v>CAL-CH-PEA-B-Y1-20-5</x:v>
      </x:c>
      <x:c r="C1421" s="7" t="str">
        <x:v>CH-PEA-B-Y1-20-5</x:v>
      </x:c>
      <x:c r="D1421" s="7" t="str">
        <x:v>PEA-B-Y1</x:v>
      </x:c>
      <x:c r="E1421" s="7" t="str">
        <x:v>BLD-B</x:v>
      </x:c>
      <x:c r="F1421" s="7" t="str">
        <x:v>BL-Y</x:v>
      </x:c>
      <x:c r="G1421" s="7" t="str">
        <x:v>MF-20</x:v>
      </x:c>
      <x:c r="H1421" s="7" t="str"/>
      <x:c r="I1421" s="7" t="str"/>
      <x:c r="J1421" s="7" t="str">
        <x:f>IF(OR(H1421="",I1421=""),"",I1421-H1421)</x:f>
      </x:c>
      <x:c r="K1421" s="7" t="str"/>
      <x:c r="L1421" s="7" t="str"/>
      <x:c r="M1421" s="7" t="str">
        <x:f>IF(L1421="","OPEN",IF(OR(NOT(ISNUMBER(H1421)),NOT(ISNUMBER(I1421)),NOT(ISNUMBER(K1421)),ABS(J1421)&gt;K1421),"FAIL","PASS"))</x:f>
        <x:v>OPEN</x:v>
      </x:c>
    </x:row>
    <x:row r="1422">
      <x:c r="B1422" s="7" t="str">
        <x:v>CAL-CH-PEA-B-Y1-20-6</x:v>
      </x:c>
      <x:c r="C1422" s="7" t="str">
        <x:v>CH-PEA-B-Y1-20-6</x:v>
      </x:c>
      <x:c r="D1422" s="7" t="str">
        <x:v>PEA-B-Y1</x:v>
      </x:c>
      <x:c r="E1422" s="7" t="str">
        <x:v>BLD-B</x:v>
      </x:c>
      <x:c r="F1422" s="7" t="str">
        <x:v>BL-Y</x:v>
      </x:c>
      <x:c r="G1422" s="7" t="str">
        <x:v>MF-20</x:v>
      </x:c>
      <x:c r="H1422" s="7" t="str"/>
      <x:c r="I1422" s="7" t="str"/>
      <x:c r="J1422" s="7" t="str">
        <x:f>IF(OR(H1422="",I1422=""),"",I1422-H1422)</x:f>
      </x:c>
      <x:c r="K1422" s="7" t="str"/>
      <x:c r="L1422" s="7" t="str"/>
      <x:c r="M1422" s="7" t="str">
        <x:f>IF(L1422="","OPEN",IF(OR(NOT(ISNUMBER(H1422)),NOT(ISNUMBER(I1422)),NOT(ISNUMBER(K1422)),ABS(J1422)&gt;K1422),"FAIL","PASS"))</x:f>
        <x:v>OPEN</x:v>
      </x:c>
    </x:row>
    <x:row r="1423">
      <x:c r="B1423" s="7" t="str">
        <x:v>CAL-CH-PEA-B-Y1-21-1</x:v>
      </x:c>
      <x:c r="C1423" s="7" t="str">
        <x:v>CH-PEA-B-Y1-21-1</x:v>
      </x:c>
      <x:c r="D1423" s="7" t="str">
        <x:v>PEA-B-Y1</x:v>
      </x:c>
      <x:c r="E1423" s="7" t="str">
        <x:v>BLD-B</x:v>
      </x:c>
      <x:c r="F1423" s="7" t="str">
        <x:v>BL-Y</x:v>
      </x:c>
      <x:c r="G1423" s="7" t="str">
        <x:v>MF-21</x:v>
      </x:c>
      <x:c r="H1423" s="7" t="str"/>
      <x:c r="I1423" s="7" t="str"/>
      <x:c r="J1423" s="7" t="str">
        <x:f>IF(OR(H1423="",I1423=""),"",I1423-H1423)</x:f>
      </x:c>
      <x:c r="K1423" s="7" t="str"/>
      <x:c r="L1423" s="7" t="str"/>
      <x:c r="M1423" s="7" t="str">
        <x:f>IF(L1423="","OPEN",IF(OR(NOT(ISNUMBER(H1423)),NOT(ISNUMBER(I1423)),NOT(ISNUMBER(K1423)),ABS(J1423)&gt;K1423),"FAIL","PASS"))</x:f>
        <x:v>OPEN</x:v>
      </x:c>
    </x:row>
    <x:row r="1424">
      <x:c r="B1424" s="7" t="str">
        <x:v>CAL-CH-PEA-B-Y1-21-2</x:v>
      </x:c>
      <x:c r="C1424" s="7" t="str">
        <x:v>CH-PEA-B-Y1-21-2</x:v>
      </x:c>
      <x:c r="D1424" s="7" t="str">
        <x:v>PEA-B-Y1</x:v>
      </x:c>
      <x:c r="E1424" s="7" t="str">
        <x:v>BLD-B</x:v>
      </x:c>
      <x:c r="F1424" s="7" t="str">
        <x:v>BL-Y</x:v>
      </x:c>
      <x:c r="G1424" s="7" t="str">
        <x:v>MF-21</x:v>
      </x:c>
      <x:c r="H1424" s="7" t="str"/>
      <x:c r="I1424" s="7" t="str"/>
      <x:c r="J1424" s="7" t="str">
        <x:f>IF(OR(H1424="",I1424=""),"",I1424-H1424)</x:f>
      </x:c>
      <x:c r="K1424" s="7" t="str"/>
      <x:c r="L1424" s="7" t="str"/>
      <x:c r="M1424" s="7" t="str">
        <x:f>IF(L1424="","OPEN",IF(OR(NOT(ISNUMBER(H1424)),NOT(ISNUMBER(I1424)),NOT(ISNUMBER(K1424)),ABS(J1424)&gt;K1424),"FAIL","PASS"))</x:f>
        <x:v>OPEN</x:v>
      </x:c>
    </x:row>
    <x:row r="1425">
      <x:c r="B1425" s="7" t="str">
        <x:v>CAL-CH-PEA-B-Y1-21-3</x:v>
      </x:c>
      <x:c r="C1425" s="7" t="str">
        <x:v>CH-PEA-B-Y1-21-3</x:v>
      </x:c>
      <x:c r="D1425" s="7" t="str">
        <x:v>PEA-B-Y1</x:v>
      </x:c>
      <x:c r="E1425" s="7" t="str">
        <x:v>BLD-B</x:v>
      </x:c>
      <x:c r="F1425" s="7" t="str">
        <x:v>BL-Y</x:v>
      </x:c>
      <x:c r="G1425" s="7" t="str">
        <x:v>MF-21</x:v>
      </x:c>
      <x:c r="H1425" s="7" t="str"/>
      <x:c r="I1425" s="7" t="str"/>
      <x:c r="J1425" s="7" t="str">
        <x:f>IF(OR(H1425="",I1425=""),"",I1425-H1425)</x:f>
      </x:c>
      <x:c r="K1425" s="7" t="str"/>
      <x:c r="L1425" s="7" t="str"/>
      <x:c r="M1425" s="7" t="str">
        <x:f>IF(L1425="","OPEN",IF(OR(NOT(ISNUMBER(H1425)),NOT(ISNUMBER(I1425)),NOT(ISNUMBER(K1425)),ABS(J1425)&gt;K1425),"FAIL","PASS"))</x:f>
        <x:v>OPEN</x:v>
      </x:c>
    </x:row>
    <x:row r="1426">
      <x:c r="B1426" s="7" t="str">
        <x:v>CAL-CH-PEA-B-Y1-21-4</x:v>
      </x:c>
      <x:c r="C1426" s="7" t="str">
        <x:v>CH-PEA-B-Y1-21-4</x:v>
      </x:c>
      <x:c r="D1426" s="7" t="str">
        <x:v>PEA-B-Y1</x:v>
      </x:c>
      <x:c r="E1426" s="7" t="str">
        <x:v>BLD-B</x:v>
      </x:c>
      <x:c r="F1426" s="7" t="str">
        <x:v>BL-Y</x:v>
      </x:c>
      <x:c r="G1426" s="7" t="str">
        <x:v>MF-21</x:v>
      </x:c>
      <x:c r="H1426" s="7" t="str"/>
      <x:c r="I1426" s="7" t="str"/>
      <x:c r="J1426" s="7" t="str">
        <x:f>IF(OR(H1426="",I1426=""),"",I1426-H1426)</x:f>
      </x:c>
      <x:c r="K1426" s="7" t="str"/>
      <x:c r="L1426" s="7" t="str"/>
      <x:c r="M1426" s="7" t="str">
        <x:f>IF(L1426="","OPEN",IF(OR(NOT(ISNUMBER(H1426)),NOT(ISNUMBER(I1426)),NOT(ISNUMBER(K1426)),ABS(J1426)&gt;K1426),"FAIL","PASS"))</x:f>
        <x:v>OPEN</x:v>
      </x:c>
    </x:row>
    <x:row r="1427">
      <x:c r="B1427" s="7" t="str">
        <x:v>CAL-CH-PEA-B-Y1-21-5</x:v>
      </x:c>
      <x:c r="C1427" s="7" t="str">
        <x:v>CH-PEA-B-Y1-21-5</x:v>
      </x:c>
      <x:c r="D1427" s="7" t="str">
        <x:v>PEA-B-Y1</x:v>
      </x:c>
      <x:c r="E1427" s="7" t="str">
        <x:v>BLD-B</x:v>
      </x:c>
      <x:c r="F1427" s="7" t="str">
        <x:v>BL-Y</x:v>
      </x:c>
      <x:c r="G1427" s="7" t="str">
        <x:v>MF-21</x:v>
      </x:c>
      <x:c r="H1427" s="7" t="str"/>
      <x:c r="I1427" s="7" t="str"/>
      <x:c r="J1427" s="7" t="str">
        <x:f>IF(OR(H1427="",I1427=""),"",I1427-H1427)</x:f>
      </x:c>
      <x:c r="K1427" s="7" t="str"/>
      <x:c r="L1427" s="7" t="str"/>
      <x:c r="M1427" s="7" t="str">
        <x:f>IF(L1427="","OPEN",IF(OR(NOT(ISNUMBER(H1427)),NOT(ISNUMBER(I1427)),NOT(ISNUMBER(K1427)),ABS(J1427)&gt;K1427),"FAIL","PASS"))</x:f>
        <x:v>OPEN</x:v>
      </x:c>
    </x:row>
    <x:row r="1428">
      <x:c r="B1428" s="7" t="str">
        <x:v>CAL-CH-PEA-B-Y1-21-6</x:v>
      </x:c>
      <x:c r="C1428" s="7" t="str">
        <x:v>CH-PEA-B-Y1-21-6</x:v>
      </x:c>
      <x:c r="D1428" s="7" t="str">
        <x:v>PEA-B-Y1</x:v>
      </x:c>
      <x:c r="E1428" s="7" t="str">
        <x:v>BLD-B</x:v>
      </x:c>
      <x:c r="F1428" s="7" t="str">
        <x:v>BL-Y</x:v>
      </x:c>
      <x:c r="G1428" s="7" t="str">
        <x:v>MF-21</x:v>
      </x:c>
      <x:c r="H1428" s="7" t="str"/>
      <x:c r="I1428" s="7" t="str"/>
      <x:c r="J1428" s="7" t="str">
        <x:f>IF(OR(H1428="",I1428=""),"",I1428-H1428)</x:f>
      </x:c>
      <x:c r="K1428" s="7" t="str"/>
      <x:c r="L1428" s="7" t="str"/>
      <x:c r="M1428" s="7" t="str">
        <x:f>IF(L1428="","OPEN",IF(OR(NOT(ISNUMBER(H1428)),NOT(ISNUMBER(I1428)),NOT(ISNUMBER(K1428)),ABS(J1428)&gt;K1428),"FAIL","PASS"))</x:f>
        <x:v>OPEN</x:v>
      </x:c>
    </x:row>
    <x:row r="1429">
      <x:c r="B1429" s="7" t="str">
        <x:v>CAL-CH-PEA-B-Y1-22-1</x:v>
      </x:c>
      <x:c r="C1429" s="7" t="str">
        <x:v>CH-PEA-B-Y1-22-1</x:v>
      </x:c>
      <x:c r="D1429" s="7" t="str">
        <x:v>PEA-B-Y1</x:v>
      </x:c>
      <x:c r="E1429" s="7" t="str">
        <x:v>BLD-B</x:v>
      </x:c>
      <x:c r="F1429" s="7" t="str">
        <x:v>BL-Y</x:v>
      </x:c>
      <x:c r="G1429" s="7" t="str">
        <x:v>MF-22</x:v>
      </x:c>
      <x:c r="H1429" s="7" t="str"/>
      <x:c r="I1429" s="7" t="str"/>
      <x:c r="J1429" s="7" t="str">
        <x:f>IF(OR(H1429="",I1429=""),"",I1429-H1429)</x:f>
      </x:c>
      <x:c r="K1429" s="7" t="str"/>
      <x:c r="L1429" s="7" t="str"/>
      <x:c r="M1429" s="7" t="str">
        <x:f>IF(L1429="","OPEN",IF(OR(NOT(ISNUMBER(H1429)),NOT(ISNUMBER(I1429)),NOT(ISNUMBER(K1429)),ABS(J1429)&gt;K1429),"FAIL","PASS"))</x:f>
        <x:v>OPEN</x:v>
      </x:c>
    </x:row>
    <x:row r="1430">
      <x:c r="B1430" s="7" t="str">
        <x:v>CAL-CH-PEA-B-Y1-22-2</x:v>
      </x:c>
      <x:c r="C1430" s="7" t="str">
        <x:v>CH-PEA-B-Y1-22-2</x:v>
      </x:c>
      <x:c r="D1430" s="7" t="str">
        <x:v>PEA-B-Y1</x:v>
      </x:c>
      <x:c r="E1430" s="7" t="str">
        <x:v>BLD-B</x:v>
      </x:c>
      <x:c r="F1430" s="7" t="str">
        <x:v>BL-Y</x:v>
      </x:c>
      <x:c r="G1430" s="7" t="str">
        <x:v>MF-22</x:v>
      </x:c>
      <x:c r="H1430" s="7" t="str"/>
      <x:c r="I1430" s="7" t="str"/>
      <x:c r="J1430" s="7" t="str">
        <x:f>IF(OR(H1430="",I1430=""),"",I1430-H1430)</x:f>
      </x:c>
      <x:c r="K1430" s="7" t="str"/>
      <x:c r="L1430" s="7" t="str"/>
      <x:c r="M1430" s="7" t="str">
        <x:f>IF(L1430="","OPEN",IF(OR(NOT(ISNUMBER(H1430)),NOT(ISNUMBER(I1430)),NOT(ISNUMBER(K1430)),ABS(J1430)&gt;K1430),"FAIL","PASS"))</x:f>
        <x:v>OPEN</x:v>
      </x:c>
    </x:row>
    <x:row r="1431">
      <x:c r="B1431" s="7" t="str">
        <x:v>CAL-CH-PEA-B-Y1-22-3</x:v>
      </x:c>
      <x:c r="C1431" s="7" t="str">
        <x:v>CH-PEA-B-Y1-22-3</x:v>
      </x:c>
      <x:c r="D1431" s="7" t="str">
        <x:v>PEA-B-Y1</x:v>
      </x:c>
      <x:c r="E1431" s="7" t="str">
        <x:v>BLD-B</x:v>
      </x:c>
      <x:c r="F1431" s="7" t="str">
        <x:v>BL-Y</x:v>
      </x:c>
      <x:c r="G1431" s="7" t="str">
        <x:v>MF-22</x:v>
      </x:c>
      <x:c r="H1431" s="7" t="str"/>
      <x:c r="I1431" s="7" t="str"/>
      <x:c r="J1431" s="7" t="str">
        <x:f>IF(OR(H1431="",I1431=""),"",I1431-H1431)</x:f>
      </x:c>
      <x:c r="K1431" s="7" t="str"/>
      <x:c r="L1431" s="7" t="str"/>
      <x:c r="M1431" s="7" t="str">
        <x:f>IF(L1431="","OPEN",IF(OR(NOT(ISNUMBER(H1431)),NOT(ISNUMBER(I1431)),NOT(ISNUMBER(K1431)),ABS(J1431)&gt;K1431),"FAIL","PASS"))</x:f>
        <x:v>OPEN</x:v>
      </x:c>
    </x:row>
    <x:row r="1432">
      <x:c r="B1432" s="7" t="str">
        <x:v>CAL-CH-PEA-B-Y1-22-4</x:v>
      </x:c>
      <x:c r="C1432" s="7" t="str">
        <x:v>CH-PEA-B-Y1-22-4</x:v>
      </x:c>
      <x:c r="D1432" s="7" t="str">
        <x:v>PEA-B-Y1</x:v>
      </x:c>
      <x:c r="E1432" s="7" t="str">
        <x:v>BLD-B</x:v>
      </x:c>
      <x:c r="F1432" s="7" t="str">
        <x:v>BL-Y</x:v>
      </x:c>
      <x:c r="G1432" s="7" t="str">
        <x:v>MF-22</x:v>
      </x:c>
      <x:c r="H1432" s="7" t="str"/>
      <x:c r="I1432" s="7" t="str"/>
      <x:c r="J1432" s="7" t="str">
        <x:f>IF(OR(H1432="",I1432=""),"",I1432-H1432)</x:f>
      </x:c>
      <x:c r="K1432" s="7" t="str"/>
      <x:c r="L1432" s="7" t="str"/>
      <x:c r="M1432" s="7" t="str">
        <x:f>IF(L1432="","OPEN",IF(OR(NOT(ISNUMBER(H1432)),NOT(ISNUMBER(I1432)),NOT(ISNUMBER(K1432)),ABS(J1432)&gt;K1432),"FAIL","PASS"))</x:f>
        <x:v>OPEN</x:v>
      </x:c>
    </x:row>
    <x:row r="1433">
      <x:c r="B1433" s="7" t="str">
        <x:v>CAL-CH-PEA-B-Y1-22-5</x:v>
      </x:c>
      <x:c r="C1433" s="7" t="str">
        <x:v>CH-PEA-B-Y1-22-5</x:v>
      </x:c>
      <x:c r="D1433" s="7" t="str">
        <x:v>PEA-B-Y1</x:v>
      </x:c>
      <x:c r="E1433" s="7" t="str">
        <x:v>BLD-B</x:v>
      </x:c>
      <x:c r="F1433" s="7" t="str">
        <x:v>BL-Y</x:v>
      </x:c>
      <x:c r="G1433" s="7" t="str">
        <x:v>MF-22</x:v>
      </x:c>
      <x:c r="H1433" s="7" t="str"/>
      <x:c r="I1433" s="7" t="str"/>
      <x:c r="J1433" s="7" t="str">
        <x:f>IF(OR(H1433="",I1433=""),"",I1433-H1433)</x:f>
      </x:c>
      <x:c r="K1433" s="7" t="str"/>
      <x:c r="L1433" s="7" t="str"/>
      <x:c r="M1433" s="7" t="str">
        <x:f>IF(L1433="","OPEN",IF(OR(NOT(ISNUMBER(H1433)),NOT(ISNUMBER(I1433)),NOT(ISNUMBER(K1433)),ABS(J1433)&gt;K1433),"FAIL","PASS"))</x:f>
        <x:v>OPEN</x:v>
      </x:c>
    </x:row>
    <x:row r="1434">
      <x:c r="B1434" s="7" t="str">
        <x:v>CAL-CH-PEA-B-Y1-22-6</x:v>
      </x:c>
      <x:c r="C1434" s="7" t="str">
        <x:v>CH-PEA-B-Y1-22-6</x:v>
      </x:c>
      <x:c r="D1434" s="7" t="str">
        <x:v>PEA-B-Y1</x:v>
      </x:c>
      <x:c r="E1434" s="7" t="str">
        <x:v>BLD-B</x:v>
      </x:c>
      <x:c r="F1434" s="7" t="str">
        <x:v>BL-Y</x:v>
      </x:c>
      <x:c r="G1434" s="7" t="str">
        <x:v>MF-22</x:v>
      </x:c>
      <x:c r="H1434" s="7" t="str"/>
      <x:c r="I1434" s="7" t="str"/>
      <x:c r="J1434" s="7" t="str">
        <x:f>IF(OR(H1434="",I1434=""),"",I1434-H1434)</x:f>
      </x:c>
      <x:c r="K1434" s="7" t="str"/>
      <x:c r="L1434" s="7" t="str"/>
      <x:c r="M1434" s="7" t="str">
        <x:f>IF(L1434="","OPEN",IF(OR(NOT(ISNUMBER(H1434)),NOT(ISNUMBER(I1434)),NOT(ISNUMBER(K1434)),ABS(J1434)&gt;K1434),"FAIL","PASS"))</x:f>
        <x:v>OPEN</x:v>
      </x:c>
    </x:row>
    <x:row r="1435">
      <x:c r="B1435" s="7" t="str">
        <x:v>CAL-CH-PEA-B-Y1-23-1</x:v>
      </x:c>
      <x:c r="C1435" s="7" t="str">
        <x:v>CH-PEA-B-Y1-23-1</x:v>
      </x:c>
      <x:c r="D1435" s="7" t="str">
        <x:v>PEA-B-Y1</x:v>
      </x:c>
      <x:c r="E1435" s="7" t="str">
        <x:v>BLD-B</x:v>
      </x:c>
      <x:c r="F1435" s="7" t="str">
        <x:v>BL-Y</x:v>
      </x:c>
      <x:c r="G1435" s="7" t="str">
        <x:v>MF-23</x:v>
      </x:c>
      <x:c r="H1435" s="7" t="str"/>
      <x:c r="I1435" s="7" t="str"/>
      <x:c r="J1435" s="7" t="str">
        <x:f>IF(OR(H1435="",I1435=""),"",I1435-H1435)</x:f>
      </x:c>
      <x:c r="K1435" s="7" t="str"/>
      <x:c r="L1435" s="7" t="str"/>
      <x:c r="M1435" s="7" t="str">
        <x:f>IF(L1435="","OPEN",IF(OR(NOT(ISNUMBER(H1435)),NOT(ISNUMBER(I1435)),NOT(ISNUMBER(K1435)),ABS(J1435)&gt;K1435),"FAIL","PASS"))</x:f>
        <x:v>OPEN</x:v>
      </x:c>
    </x:row>
    <x:row r="1436">
      <x:c r="B1436" s="7" t="str">
        <x:v>CAL-CH-PEA-B-Y1-23-2</x:v>
      </x:c>
      <x:c r="C1436" s="7" t="str">
        <x:v>CH-PEA-B-Y1-23-2</x:v>
      </x:c>
      <x:c r="D1436" s="7" t="str">
        <x:v>PEA-B-Y1</x:v>
      </x:c>
      <x:c r="E1436" s="7" t="str">
        <x:v>BLD-B</x:v>
      </x:c>
      <x:c r="F1436" s="7" t="str">
        <x:v>BL-Y</x:v>
      </x:c>
      <x:c r="G1436" s="7" t="str">
        <x:v>MF-23</x:v>
      </x:c>
      <x:c r="H1436" s="7" t="str"/>
      <x:c r="I1436" s="7" t="str"/>
      <x:c r="J1436" s="7" t="str">
        <x:f>IF(OR(H1436="",I1436=""),"",I1436-H1436)</x:f>
      </x:c>
      <x:c r="K1436" s="7" t="str"/>
      <x:c r="L1436" s="7" t="str"/>
      <x:c r="M1436" s="7" t="str">
        <x:f>IF(L1436="","OPEN",IF(OR(NOT(ISNUMBER(H1436)),NOT(ISNUMBER(I1436)),NOT(ISNUMBER(K1436)),ABS(J1436)&gt;K1436),"FAIL","PASS"))</x:f>
        <x:v>OPEN</x:v>
      </x:c>
    </x:row>
    <x:row r="1437">
      <x:c r="B1437" s="7" t="str">
        <x:v>CAL-CH-PEA-B-Y1-23-3</x:v>
      </x:c>
      <x:c r="C1437" s="7" t="str">
        <x:v>CH-PEA-B-Y1-23-3</x:v>
      </x:c>
      <x:c r="D1437" s="7" t="str">
        <x:v>PEA-B-Y1</x:v>
      </x:c>
      <x:c r="E1437" s="7" t="str">
        <x:v>BLD-B</x:v>
      </x:c>
      <x:c r="F1437" s="7" t="str">
        <x:v>BL-Y</x:v>
      </x:c>
      <x:c r="G1437" s="7" t="str">
        <x:v>MF-23</x:v>
      </x:c>
      <x:c r="H1437" s="7" t="str"/>
      <x:c r="I1437" s="7" t="str"/>
      <x:c r="J1437" s="7" t="str">
        <x:f>IF(OR(H1437="",I1437=""),"",I1437-H1437)</x:f>
      </x:c>
      <x:c r="K1437" s="7" t="str"/>
      <x:c r="L1437" s="7" t="str"/>
      <x:c r="M1437" s="7" t="str">
        <x:f>IF(L1437="","OPEN",IF(OR(NOT(ISNUMBER(H1437)),NOT(ISNUMBER(I1437)),NOT(ISNUMBER(K1437)),ABS(J1437)&gt;K1437),"FAIL","PASS"))</x:f>
        <x:v>OPEN</x:v>
      </x:c>
    </x:row>
    <x:row r="1438">
      <x:c r="B1438" s="7" t="str">
        <x:v>CAL-CH-PEA-B-Y1-23-4</x:v>
      </x:c>
      <x:c r="C1438" s="7" t="str">
        <x:v>CH-PEA-B-Y1-23-4</x:v>
      </x:c>
      <x:c r="D1438" s="7" t="str">
        <x:v>PEA-B-Y1</x:v>
      </x:c>
      <x:c r="E1438" s="7" t="str">
        <x:v>BLD-B</x:v>
      </x:c>
      <x:c r="F1438" s="7" t="str">
        <x:v>BL-Y</x:v>
      </x:c>
      <x:c r="G1438" s="7" t="str">
        <x:v>MF-23</x:v>
      </x:c>
      <x:c r="H1438" s="7" t="str"/>
      <x:c r="I1438" s="7" t="str"/>
      <x:c r="J1438" s="7" t="str">
        <x:f>IF(OR(H1438="",I1438=""),"",I1438-H1438)</x:f>
      </x:c>
      <x:c r="K1438" s="7" t="str"/>
      <x:c r="L1438" s="7" t="str"/>
      <x:c r="M1438" s="7" t="str">
        <x:f>IF(L1438="","OPEN",IF(OR(NOT(ISNUMBER(H1438)),NOT(ISNUMBER(I1438)),NOT(ISNUMBER(K1438)),ABS(J1438)&gt;K1438),"FAIL","PASS"))</x:f>
        <x:v>OPEN</x:v>
      </x:c>
    </x:row>
    <x:row r="1439">
      <x:c r="B1439" s="7" t="str">
        <x:v>CAL-CH-PEA-B-Y1-23-5</x:v>
      </x:c>
      <x:c r="C1439" s="7" t="str">
        <x:v>CH-PEA-B-Y1-23-5</x:v>
      </x:c>
      <x:c r="D1439" s="7" t="str">
        <x:v>PEA-B-Y1</x:v>
      </x:c>
      <x:c r="E1439" s="7" t="str">
        <x:v>BLD-B</x:v>
      </x:c>
      <x:c r="F1439" s="7" t="str">
        <x:v>BL-Y</x:v>
      </x:c>
      <x:c r="G1439" s="7" t="str">
        <x:v>MF-23</x:v>
      </x:c>
      <x:c r="H1439" s="7" t="str"/>
      <x:c r="I1439" s="7" t="str"/>
      <x:c r="J1439" s="7" t="str">
        <x:f>IF(OR(H1439="",I1439=""),"",I1439-H1439)</x:f>
      </x:c>
      <x:c r="K1439" s="7" t="str"/>
      <x:c r="L1439" s="7" t="str"/>
      <x:c r="M1439" s="7" t="str">
        <x:f>IF(L1439="","OPEN",IF(OR(NOT(ISNUMBER(H1439)),NOT(ISNUMBER(I1439)),NOT(ISNUMBER(K1439)),ABS(J1439)&gt;K1439),"FAIL","PASS"))</x:f>
        <x:v>OPEN</x:v>
      </x:c>
    </x:row>
    <x:row r="1440">
      <x:c r="B1440" s="7" t="str">
        <x:v>CAL-CH-PEA-B-Y1-23-6</x:v>
      </x:c>
      <x:c r="C1440" s="7" t="str">
        <x:v>CH-PEA-B-Y1-23-6</x:v>
      </x:c>
      <x:c r="D1440" s="7" t="str">
        <x:v>PEA-B-Y1</x:v>
      </x:c>
      <x:c r="E1440" s="7" t="str">
        <x:v>BLD-B</x:v>
      </x:c>
      <x:c r="F1440" s="7" t="str">
        <x:v>BL-Y</x:v>
      </x:c>
      <x:c r="G1440" s="7" t="str">
        <x:v>MF-23</x:v>
      </x:c>
      <x:c r="H1440" s="7" t="str"/>
      <x:c r="I1440" s="7" t="str"/>
      <x:c r="J1440" s="7" t="str">
        <x:f>IF(OR(H1440="",I1440=""),"",I1440-H1440)</x:f>
      </x:c>
      <x:c r="K1440" s="7" t="str"/>
      <x:c r="L1440" s="7" t="str"/>
      <x:c r="M1440" s="7" t="str">
        <x:f>IF(L1440="","OPEN",IF(OR(NOT(ISNUMBER(H1440)),NOT(ISNUMBER(I1440)),NOT(ISNUMBER(K1440)),ABS(J1440)&gt;K1440),"FAIL","PASS"))</x:f>
        <x:v>OPEN</x:v>
      </x:c>
    </x:row>
    <x:row r="1441">
      <x:c r="B1441" s="7" t="str">
        <x:v>CAL-CH-PEA-B-Y1-24-1</x:v>
      </x:c>
      <x:c r="C1441" s="7" t="str">
        <x:v>CH-PEA-B-Y1-24-1</x:v>
      </x:c>
      <x:c r="D1441" s="7" t="str">
        <x:v>PEA-B-Y1</x:v>
      </x:c>
      <x:c r="E1441" s="7" t="str">
        <x:v>BLD-B</x:v>
      </x:c>
      <x:c r="F1441" s="7" t="str">
        <x:v>BL-Y</x:v>
      </x:c>
      <x:c r="G1441" s="7" t="str">
        <x:v>MF-24</x:v>
      </x:c>
      <x:c r="H1441" s="7" t="str"/>
      <x:c r="I1441" s="7" t="str"/>
      <x:c r="J1441" s="7" t="str">
        <x:f>IF(OR(H1441="",I1441=""),"",I1441-H1441)</x:f>
      </x:c>
      <x:c r="K1441" s="7" t="str"/>
      <x:c r="L1441" s="7" t="str"/>
      <x:c r="M1441" s="7" t="str">
        <x:f>IF(L1441="","OPEN",IF(OR(NOT(ISNUMBER(H1441)),NOT(ISNUMBER(I1441)),NOT(ISNUMBER(K1441)),ABS(J1441)&gt;K1441),"FAIL","PASS"))</x:f>
        <x:v>OPEN</x:v>
      </x:c>
    </x:row>
    <x:row r="1442">
      <x:c r="B1442" s="7" t="str">
        <x:v>CAL-CH-PEA-B-Y1-24-2</x:v>
      </x:c>
      <x:c r="C1442" s="7" t="str">
        <x:v>CH-PEA-B-Y1-24-2</x:v>
      </x:c>
      <x:c r="D1442" s="7" t="str">
        <x:v>PEA-B-Y1</x:v>
      </x:c>
      <x:c r="E1442" s="7" t="str">
        <x:v>BLD-B</x:v>
      </x:c>
      <x:c r="F1442" s="7" t="str">
        <x:v>BL-Y</x:v>
      </x:c>
      <x:c r="G1442" s="7" t="str">
        <x:v>MF-24</x:v>
      </x:c>
      <x:c r="H1442" s="7" t="str"/>
      <x:c r="I1442" s="7" t="str"/>
      <x:c r="J1442" s="7" t="str">
        <x:f>IF(OR(H1442="",I1442=""),"",I1442-H1442)</x:f>
      </x:c>
      <x:c r="K1442" s="7" t="str"/>
      <x:c r="L1442" s="7" t="str"/>
      <x:c r="M1442" s="7" t="str">
        <x:f>IF(L1442="","OPEN",IF(OR(NOT(ISNUMBER(H1442)),NOT(ISNUMBER(I1442)),NOT(ISNUMBER(K1442)),ABS(J1442)&gt;K1442),"FAIL","PASS"))</x:f>
        <x:v>OPEN</x:v>
      </x:c>
    </x:row>
    <x:row r="1443">
      <x:c r="B1443" s="7" t="str">
        <x:v>CAL-CH-PEA-B-Y1-24-3</x:v>
      </x:c>
      <x:c r="C1443" s="7" t="str">
        <x:v>CH-PEA-B-Y1-24-3</x:v>
      </x:c>
      <x:c r="D1443" s="7" t="str">
        <x:v>PEA-B-Y1</x:v>
      </x:c>
      <x:c r="E1443" s="7" t="str">
        <x:v>BLD-B</x:v>
      </x:c>
      <x:c r="F1443" s="7" t="str">
        <x:v>BL-Y</x:v>
      </x:c>
      <x:c r="G1443" s="7" t="str">
        <x:v>MF-24</x:v>
      </x:c>
      <x:c r="H1443" s="7" t="str"/>
      <x:c r="I1443" s="7" t="str"/>
      <x:c r="J1443" s="7" t="str">
        <x:f>IF(OR(H1443="",I1443=""),"",I1443-H1443)</x:f>
      </x:c>
      <x:c r="K1443" s="7" t="str"/>
      <x:c r="L1443" s="7" t="str"/>
      <x:c r="M1443" s="7" t="str">
        <x:f>IF(L1443="","OPEN",IF(OR(NOT(ISNUMBER(H1443)),NOT(ISNUMBER(I1443)),NOT(ISNUMBER(K1443)),ABS(J1443)&gt;K1443),"FAIL","PASS"))</x:f>
        <x:v>OPEN</x:v>
      </x:c>
    </x:row>
    <x:row r="1444">
      <x:c r="B1444" s="7" t="str">
        <x:v>CAL-CH-PEA-B-Y1-24-4</x:v>
      </x:c>
      <x:c r="C1444" s="7" t="str">
        <x:v>CH-PEA-B-Y1-24-4</x:v>
      </x:c>
      <x:c r="D1444" s="7" t="str">
        <x:v>PEA-B-Y1</x:v>
      </x:c>
      <x:c r="E1444" s="7" t="str">
        <x:v>BLD-B</x:v>
      </x:c>
      <x:c r="F1444" s="7" t="str">
        <x:v>BL-Y</x:v>
      </x:c>
      <x:c r="G1444" s="7" t="str">
        <x:v>MF-24</x:v>
      </x:c>
      <x:c r="H1444" s="7" t="str"/>
      <x:c r="I1444" s="7" t="str"/>
      <x:c r="J1444" s="7" t="str">
        <x:f>IF(OR(H1444="",I1444=""),"",I1444-H1444)</x:f>
      </x:c>
      <x:c r="K1444" s="7" t="str"/>
      <x:c r="L1444" s="7" t="str"/>
      <x:c r="M1444" s="7" t="str">
        <x:f>IF(L1444="","OPEN",IF(OR(NOT(ISNUMBER(H1444)),NOT(ISNUMBER(I1444)),NOT(ISNUMBER(K1444)),ABS(J1444)&gt;K1444),"FAIL","PASS"))</x:f>
        <x:v>OPEN</x:v>
      </x:c>
    </x:row>
    <x:row r="1445">
      <x:c r="B1445" s="7" t="str">
        <x:v>CAL-CH-PEA-B-Y1-24-5</x:v>
      </x:c>
      <x:c r="C1445" s="7" t="str">
        <x:v>CH-PEA-B-Y1-24-5</x:v>
      </x:c>
      <x:c r="D1445" s="7" t="str">
        <x:v>PEA-B-Y1</x:v>
      </x:c>
      <x:c r="E1445" s="7" t="str">
        <x:v>BLD-B</x:v>
      </x:c>
      <x:c r="F1445" s="7" t="str">
        <x:v>BL-Y</x:v>
      </x:c>
      <x:c r="G1445" s="7" t="str">
        <x:v>MF-24</x:v>
      </x:c>
      <x:c r="H1445" s="7" t="str"/>
      <x:c r="I1445" s="7" t="str"/>
      <x:c r="J1445" s="7" t="str">
        <x:f>IF(OR(H1445="",I1445=""),"",I1445-H1445)</x:f>
      </x:c>
      <x:c r="K1445" s="7" t="str"/>
      <x:c r="L1445" s="7" t="str"/>
      <x:c r="M1445" s="7" t="str">
        <x:f>IF(L1445="","OPEN",IF(OR(NOT(ISNUMBER(H1445)),NOT(ISNUMBER(I1445)),NOT(ISNUMBER(K1445)),ABS(J1445)&gt;K1445),"FAIL","PASS"))</x:f>
        <x:v>OPEN</x:v>
      </x:c>
    </x:row>
    <x:row r="1446">
      <x:c r="B1446" s="7" t="str">
        <x:v>CAL-CH-PEA-B-Y1-24-6</x:v>
      </x:c>
      <x:c r="C1446" s="7" t="str">
        <x:v>CH-PEA-B-Y1-24-6</x:v>
      </x:c>
      <x:c r="D1446" s="7" t="str">
        <x:v>PEA-B-Y1</x:v>
      </x:c>
      <x:c r="E1446" s="7" t="str">
        <x:v>BLD-B</x:v>
      </x:c>
      <x:c r="F1446" s="7" t="str">
        <x:v>BL-Y</x:v>
      </x:c>
      <x:c r="G1446" s="7" t="str">
        <x:v>MF-24</x:v>
      </x:c>
      <x:c r="H1446" s="7" t="str"/>
      <x:c r="I1446" s="7" t="str"/>
      <x:c r="J1446" s="7" t="str">
        <x:f>IF(OR(H1446="",I1446=""),"",I1446-H1446)</x:f>
      </x:c>
      <x:c r="K1446" s="7" t="str"/>
      <x:c r="L1446" s="7" t="str"/>
      <x:c r="M1446" s="7" t="str">
        <x:f>IF(L1446="","OPEN",IF(OR(NOT(ISNUMBER(H1446)),NOT(ISNUMBER(I1446)),NOT(ISNUMBER(K1446)),ABS(J1446)&gt;K1446),"FAIL","PASS"))</x:f>
        <x:v>OPEN</x:v>
      </x:c>
    </x:row>
    <x:row r="1447">
      <x:c r="B1447" s="7" t="str">
        <x:v>CAL-CH-PEA-B-Y2-01-1</x:v>
      </x:c>
      <x:c r="C1447" s="7" t="str">
        <x:v>CH-PEA-B-Y2-01-1</x:v>
      </x:c>
      <x:c r="D1447" s="7" t="str">
        <x:v>PEA-B-Y2</x:v>
      </x:c>
      <x:c r="E1447" s="7" t="str">
        <x:v>BLD-B</x:v>
      </x:c>
      <x:c r="F1447" s="7" t="str">
        <x:v>BL-Y</x:v>
      </x:c>
      <x:c r="G1447" s="7" t="str">
        <x:v>MF-01</x:v>
      </x:c>
      <x:c r="H1447" s="7" t="str"/>
      <x:c r="I1447" s="7" t="str"/>
      <x:c r="J1447" s="7" t="str">
        <x:f>IF(OR(H1447="",I1447=""),"",I1447-H1447)</x:f>
      </x:c>
      <x:c r="K1447" s="7" t="str"/>
      <x:c r="L1447" s="7" t="str"/>
      <x:c r="M1447" s="7" t="str">
        <x:f>IF(L1447="","OPEN",IF(OR(NOT(ISNUMBER(H1447)),NOT(ISNUMBER(I1447)),NOT(ISNUMBER(K1447)),ABS(J1447)&gt;K1447),"FAIL","PASS"))</x:f>
        <x:v>OPEN</x:v>
      </x:c>
    </x:row>
    <x:row r="1448">
      <x:c r="B1448" s="7" t="str">
        <x:v>CAL-CH-PEA-B-Y2-01-2</x:v>
      </x:c>
      <x:c r="C1448" s="7" t="str">
        <x:v>CH-PEA-B-Y2-01-2</x:v>
      </x:c>
      <x:c r="D1448" s="7" t="str">
        <x:v>PEA-B-Y2</x:v>
      </x:c>
      <x:c r="E1448" s="7" t="str">
        <x:v>BLD-B</x:v>
      </x:c>
      <x:c r="F1448" s="7" t="str">
        <x:v>BL-Y</x:v>
      </x:c>
      <x:c r="G1448" s="7" t="str">
        <x:v>MF-01</x:v>
      </x:c>
      <x:c r="H1448" s="7" t="str"/>
      <x:c r="I1448" s="7" t="str"/>
      <x:c r="J1448" s="7" t="str">
        <x:f>IF(OR(H1448="",I1448=""),"",I1448-H1448)</x:f>
      </x:c>
      <x:c r="K1448" s="7" t="str"/>
      <x:c r="L1448" s="7" t="str"/>
      <x:c r="M1448" s="7" t="str">
        <x:f>IF(L1448="","OPEN",IF(OR(NOT(ISNUMBER(H1448)),NOT(ISNUMBER(I1448)),NOT(ISNUMBER(K1448)),ABS(J1448)&gt;K1448),"FAIL","PASS"))</x:f>
        <x:v>OPEN</x:v>
      </x:c>
    </x:row>
    <x:row r="1449">
      <x:c r="B1449" s="7" t="str">
        <x:v>CAL-CH-PEA-B-Y2-01-3</x:v>
      </x:c>
      <x:c r="C1449" s="7" t="str">
        <x:v>CH-PEA-B-Y2-01-3</x:v>
      </x:c>
      <x:c r="D1449" s="7" t="str">
        <x:v>PEA-B-Y2</x:v>
      </x:c>
      <x:c r="E1449" s="7" t="str">
        <x:v>BLD-B</x:v>
      </x:c>
      <x:c r="F1449" s="7" t="str">
        <x:v>BL-Y</x:v>
      </x:c>
      <x:c r="G1449" s="7" t="str">
        <x:v>MF-01</x:v>
      </x:c>
      <x:c r="H1449" s="7" t="str"/>
      <x:c r="I1449" s="7" t="str"/>
      <x:c r="J1449" s="7" t="str">
        <x:f>IF(OR(H1449="",I1449=""),"",I1449-H1449)</x:f>
      </x:c>
      <x:c r="K1449" s="7" t="str"/>
      <x:c r="L1449" s="7" t="str"/>
      <x:c r="M1449" s="7" t="str">
        <x:f>IF(L1449="","OPEN",IF(OR(NOT(ISNUMBER(H1449)),NOT(ISNUMBER(I1449)),NOT(ISNUMBER(K1449)),ABS(J1449)&gt;K1449),"FAIL","PASS"))</x:f>
        <x:v>OPEN</x:v>
      </x:c>
    </x:row>
    <x:row r="1450">
      <x:c r="B1450" s="7" t="str">
        <x:v>CAL-CH-PEA-B-Y2-01-4</x:v>
      </x:c>
      <x:c r="C1450" s="7" t="str">
        <x:v>CH-PEA-B-Y2-01-4</x:v>
      </x:c>
      <x:c r="D1450" s="7" t="str">
        <x:v>PEA-B-Y2</x:v>
      </x:c>
      <x:c r="E1450" s="7" t="str">
        <x:v>BLD-B</x:v>
      </x:c>
      <x:c r="F1450" s="7" t="str">
        <x:v>BL-Y</x:v>
      </x:c>
      <x:c r="G1450" s="7" t="str">
        <x:v>MF-01</x:v>
      </x:c>
      <x:c r="H1450" s="7" t="str"/>
      <x:c r="I1450" s="7" t="str"/>
      <x:c r="J1450" s="7" t="str">
        <x:f>IF(OR(H1450="",I1450=""),"",I1450-H1450)</x:f>
      </x:c>
      <x:c r="K1450" s="7" t="str"/>
      <x:c r="L1450" s="7" t="str"/>
      <x:c r="M1450" s="7" t="str">
        <x:f>IF(L1450="","OPEN",IF(OR(NOT(ISNUMBER(H1450)),NOT(ISNUMBER(I1450)),NOT(ISNUMBER(K1450)),ABS(J1450)&gt;K1450),"FAIL","PASS"))</x:f>
        <x:v>OPEN</x:v>
      </x:c>
    </x:row>
    <x:row r="1451">
      <x:c r="B1451" s="7" t="str">
        <x:v>CAL-CH-PEA-B-Y2-01-5</x:v>
      </x:c>
      <x:c r="C1451" s="7" t="str">
        <x:v>CH-PEA-B-Y2-01-5</x:v>
      </x:c>
      <x:c r="D1451" s="7" t="str">
        <x:v>PEA-B-Y2</x:v>
      </x:c>
      <x:c r="E1451" s="7" t="str">
        <x:v>BLD-B</x:v>
      </x:c>
      <x:c r="F1451" s="7" t="str">
        <x:v>BL-Y</x:v>
      </x:c>
      <x:c r="G1451" s="7" t="str">
        <x:v>MF-01</x:v>
      </x:c>
      <x:c r="H1451" s="7" t="str"/>
      <x:c r="I1451" s="7" t="str"/>
      <x:c r="J1451" s="7" t="str">
        <x:f>IF(OR(H1451="",I1451=""),"",I1451-H1451)</x:f>
      </x:c>
      <x:c r="K1451" s="7" t="str"/>
      <x:c r="L1451" s="7" t="str"/>
      <x:c r="M1451" s="7" t="str">
        <x:f>IF(L1451="","OPEN",IF(OR(NOT(ISNUMBER(H1451)),NOT(ISNUMBER(I1451)),NOT(ISNUMBER(K1451)),ABS(J1451)&gt;K1451),"FAIL","PASS"))</x:f>
        <x:v>OPEN</x:v>
      </x:c>
    </x:row>
    <x:row r="1452">
      <x:c r="B1452" s="7" t="str">
        <x:v>CAL-CH-PEA-B-Y2-01-6</x:v>
      </x:c>
      <x:c r="C1452" s="7" t="str">
        <x:v>CH-PEA-B-Y2-01-6</x:v>
      </x:c>
      <x:c r="D1452" s="7" t="str">
        <x:v>PEA-B-Y2</x:v>
      </x:c>
      <x:c r="E1452" s="7" t="str">
        <x:v>BLD-B</x:v>
      </x:c>
      <x:c r="F1452" s="7" t="str">
        <x:v>BL-Y</x:v>
      </x:c>
      <x:c r="G1452" s="7" t="str">
        <x:v>MF-01</x:v>
      </x:c>
      <x:c r="H1452" s="7" t="str"/>
      <x:c r="I1452" s="7" t="str"/>
      <x:c r="J1452" s="7" t="str">
        <x:f>IF(OR(H1452="",I1452=""),"",I1452-H1452)</x:f>
      </x:c>
      <x:c r="K1452" s="7" t="str"/>
      <x:c r="L1452" s="7" t="str"/>
      <x:c r="M1452" s="7" t="str">
        <x:f>IF(L1452="","OPEN",IF(OR(NOT(ISNUMBER(H1452)),NOT(ISNUMBER(I1452)),NOT(ISNUMBER(K1452)),ABS(J1452)&gt;K1452),"FAIL","PASS"))</x:f>
        <x:v>OPEN</x:v>
      </x:c>
    </x:row>
    <x:row r="1453">
      <x:c r="B1453" s="7" t="str">
        <x:v>CAL-CH-PEA-B-Y2-02-1</x:v>
      </x:c>
      <x:c r="C1453" s="7" t="str">
        <x:v>CH-PEA-B-Y2-02-1</x:v>
      </x:c>
      <x:c r="D1453" s="7" t="str">
        <x:v>PEA-B-Y2</x:v>
      </x:c>
      <x:c r="E1453" s="7" t="str">
        <x:v>BLD-B</x:v>
      </x:c>
      <x:c r="F1453" s="7" t="str">
        <x:v>BL-Y</x:v>
      </x:c>
      <x:c r="G1453" s="7" t="str">
        <x:v>MF-02</x:v>
      </x:c>
      <x:c r="H1453" s="7" t="str"/>
      <x:c r="I1453" s="7" t="str"/>
      <x:c r="J1453" s="7" t="str">
        <x:f>IF(OR(H1453="",I1453=""),"",I1453-H1453)</x:f>
      </x:c>
      <x:c r="K1453" s="7" t="str"/>
      <x:c r="L1453" s="7" t="str"/>
      <x:c r="M1453" s="7" t="str">
        <x:f>IF(L1453="","OPEN",IF(OR(NOT(ISNUMBER(H1453)),NOT(ISNUMBER(I1453)),NOT(ISNUMBER(K1453)),ABS(J1453)&gt;K1453),"FAIL","PASS"))</x:f>
        <x:v>OPEN</x:v>
      </x:c>
    </x:row>
    <x:row r="1454">
      <x:c r="B1454" s="7" t="str">
        <x:v>CAL-CH-PEA-B-Y2-02-2</x:v>
      </x:c>
      <x:c r="C1454" s="7" t="str">
        <x:v>CH-PEA-B-Y2-02-2</x:v>
      </x:c>
      <x:c r="D1454" s="7" t="str">
        <x:v>PEA-B-Y2</x:v>
      </x:c>
      <x:c r="E1454" s="7" t="str">
        <x:v>BLD-B</x:v>
      </x:c>
      <x:c r="F1454" s="7" t="str">
        <x:v>BL-Y</x:v>
      </x:c>
      <x:c r="G1454" s="7" t="str">
        <x:v>MF-02</x:v>
      </x:c>
      <x:c r="H1454" s="7" t="str"/>
      <x:c r="I1454" s="7" t="str"/>
      <x:c r="J1454" s="7" t="str">
        <x:f>IF(OR(H1454="",I1454=""),"",I1454-H1454)</x:f>
      </x:c>
      <x:c r="K1454" s="7" t="str"/>
      <x:c r="L1454" s="7" t="str"/>
      <x:c r="M1454" s="7" t="str">
        <x:f>IF(L1454="","OPEN",IF(OR(NOT(ISNUMBER(H1454)),NOT(ISNUMBER(I1454)),NOT(ISNUMBER(K1454)),ABS(J1454)&gt;K1454),"FAIL","PASS"))</x:f>
        <x:v>OPEN</x:v>
      </x:c>
    </x:row>
    <x:row r="1455">
      <x:c r="B1455" s="7" t="str">
        <x:v>CAL-CH-PEA-B-Y2-02-3</x:v>
      </x:c>
      <x:c r="C1455" s="7" t="str">
        <x:v>CH-PEA-B-Y2-02-3</x:v>
      </x:c>
      <x:c r="D1455" s="7" t="str">
        <x:v>PEA-B-Y2</x:v>
      </x:c>
      <x:c r="E1455" s="7" t="str">
        <x:v>BLD-B</x:v>
      </x:c>
      <x:c r="F1455" s="7" t="str">
        <x:v>BL-Y</x:v>
      </x:c>
      <x:c r="G1455" s="7" t="str">
        <x:v>MF-02</x:v>
      </x:c>
      <x:c r="H1455" s="7" t="str"/>
      <x:c r="I1455" s="7" t="str"/>
      <x:c r="J1455" s="7" t="str">
        <x:f>IF(OR(H1455="",I1455=""),"",I1455-H1455)</x:f>
      </x:c>
      <x:c r="K1455" s="7" t="str"/>
      <x:c r="L1455" s="7" t="str"/>
      <x:c r="M1455" s="7" t="str">
        <x:f>IF(L1455="","OPEN",IF(OR(NOT(ISNUMBER(H1455)),NOT(ISNUMBER(I1455)),NOT(ISNUMBER(K1455)),ABS(J1455)&gt;K1455),"FAIL","PASS"))</x:f>
        <x:v>OPEN</x:v>
      </x:c>
    </x:row>
    <x:row r="1456">
      <x:c r="B1456" s="7" t="str">
        <x:v>CAL-CH-PEA-B-Y2-02-4</x:v>
      </x:c>
      <x:c r="C1456" s="7" t="str">
        <x:v>CH-PEA-B-Y2-02-4</x:v>
      </x:c>
      <x:c r="D1456" s="7" t="str">
        <x:v>PEA-B-Y2</x:v>
      </x:c>
      <x:c r="E1456" s="7" t="str">
        <x:v>BLD-B</x:v>
      </x:c>
      <x:c r="F1456" s="7" t="str">
        <x:v>BL-Y</x:v>
      </x:c>
      <x:c r="G1456" s="7" t="str">
        <x:v>MF-02</x:v>
      </x:c>
      <x:c r="H1456" s="7" t="str"/>
      <x:c r="I1456" s="7" t="str"/>
      <x:c r="J1456" s="7" t="str">
        <x:f>IF(OR(H1456="",I1456=""),"",I1456-H1456)</x:f>
      </x:c>
      <x:c r="K1456" s="7" t="str"/>
      <x:c r="L1456" s="7" t="str"/>
      <x:c r="M1456" s="7" t="str">
        <x:f>IF(L1456="","OPEN",IF(OR(NOT(ISNUMBER(H1456)),NOT(ISNUMBER(I1456)),NOT(ISNUMBER(K1456)),ABS(J1456)&gt;K1456),"FAIL","PASS"))</x:f>
        <x:v>OPEN</x:v>
      </x:c>
    </x:row>
    <x:row r="1457">
      <x:c r="B1457" s="7" t="str">
        <x:v>CAL-CH-PEA-B-Y2-02-5</x:v>
      </x:c>
      <x:c r="C1457" s="7" t="str">
        <x:v>CH-PEA-B-Y2-02-5</x:v>
      </x:c>
      <x:c r="D1457" s="7" t="str">
        <x:v>PEA-B-Y2</x:v>
      </x:c>
      <x:c r="E1457" s="7" t="str">
        <x:v>BLD-B</x:v>
      </x:c>
      <x:c r="F1457" s="7" t="str">
        <x:v>BL-Y</x:v>
      </x:c>
      <x:c r="G1457" s="7" t="str">
        <x:v>MF-02</x:v>
      </x:c>
      <x:c r="H1457" s="7" t="str"/>
      <x:c r="I1457" s="7" t="str"/>
      <x:c r="J1457" s="7" t="str">
        <x:f>IF(OR(H1457="",I1457=""),"",I1457-H1457)</x:f>
      </x:c>
      <x:c r="K1457" s="7" t="str"/>
      <x:c r="L1457" s="7" t="str"/>
      <x:c r="M1457" s="7" t="str">
        <x:f>IF(L1457="","OPEN",IF(OR(NOT(ISNUMBER(H1457)),NOT(ISNUMBER(I1457)),NOT(ISNUMBER(K1457)),ABS(J1457)&gt;K1457),"FAIL","PASS"))</x:f>
        <x:v>OPEN</x:v>
      </x:c>
    </x:row>
    <x:row r="1458">
      <x:c r="B1458" s="7" t="str">
        <x:v>CAL-CH-PEA-B-Y2-02-6</x:v>
      </x:c>
      <x:c r="C1458" s="7" t="str">
        <x:v>CH-PEA-B-Y2-02-6</x:v>
      </x:c>
      <x:c r="D1458" s="7" t="str">
        <x:v>PEA-B-Y2</x:v>
      </x:c>
      <x:c r="E1458" s="7" t="str">
        <x:v>BLD-B</x:v>
      </x:c>
      <x:c r="F1458" s="7" t="str">
        <x:v>BL-Y</x:v>
      </x:c>
      <x:c r="G1458" s="7" t="str">
        <x:v>MF-02</x:v>
      </x:c>
      <x:c r="H1458" s="7" t="str"/>
      <x:c r="I1458" s="7" t="str"/>
      <x:c r="J1458" s="7" t="str">
        <x:f>IF(OR(H1458="",I1458=""),"",I1458-H1458)</x:f>
      </x:c>
      <x:c r="K1458" s="7" t="str"/>
      <x:c r="L1458" s="7" t="str"/>
      <x:c r="M1458" s="7" t="str">
        <x:f>IF(L1458="","OPEN",IF(OR(NOT(ISNUMBER(H1458)),NOT(ISNUMBER(I1458)),NOT(ISNUMBER(K1458)),ABS(J1458)&gt;K1458),"FAIL","PASS"))</x:f>
        <x:v>OPEN</x:v>
      </x:c>
    </x:row>
    <x:row r="1459">
      <x:c r="B1459" s="7" t="str">
        <x:v>CAL-CH-PEA-B-Y2-03-1</x:v>
      </x:c>
      <x:c r="C1459" s="7" t="str">
        <x:v>CH-PEA-B-Y2-03-1</x:v>
      </x:c>
      <x:c r="D1459" s="7" t="str">
        <x:v>PEA-B-Y2</x:v>
      </x:c>
      <x:c r="E1459" s="7" t="str">
        <x:v>BLD-B</x:v>
      </x:c>
      <x:c r="F1459" s="7" t="str">
        <x:v>BL-Y</x:v>
      </x:c>
      <x:c r="G1459" s="7" t="str">
        <x:v>MF-03</x:v>
      </x:c>
      <x:c r="H1459" s="7" t="str"/>
      <x:c r="I1459" s="7" t="str"/>
      <x:c r="J1459" s="7" t="str">
        <x:f>IF(OR(H1459="",I1459=""),"",I1459-H1459)</x:f>
      </x:c>
      <x:c r="K1459" s="7" t="str"/>
      <x:c r="L1459" s="7" t="str"/>
      <x:c r="M1459" s="7" t="str">
        <x:f>IF(L1459="","OPEN",IF(OR(NOT(ISNUMBER(H1459)),NOT(ISNUMBER(I1459)),NOT(ISNUMBER(K1459)),ABS(J1459)&gt;K1459),"FAIL","PASS"))</x:f>
        <x:v>OPEN</x:v>
      </x:c>
    </x:row>
    <x:row r="1460">
      <x:c r="B1460" s="7" t="str">
        <x:v>CAL-CH-PEA-B-Y2-03-2</x:v>
      </x:c>
      <x:c r="C1460" s="7" t="str">
        <x:v>CH-PEA-B-Y2-03-2</x:v>
      </x:c>
      <x:c r="D1460" s="7" t="str">
        <x:v>PEA-B-Y2</x:v>
      </x:c>
      <x:c r="E1460" s="7" t="str">
        <x:v>BLD-B</x:v>
      </x:c>
      <x:c r="F1460" s="7" t="str">
        <x:v>BL-Y</x:v>
      </x:c>
      <x:c r="G1460" s="7" t="str">
        <x:v>MF-03</x:v>
      </x:c>
      <x:c r="H1460" s="7" t="str"/>
      <x:c r="I1460" s="7" t="str"/>
      <x:c r="J1460" s="7" t="str">
        <x:f>IF(OR(H1460="",I1460=""),"",I1460-H1460)</x:f>
      </x:c>
      <x:c r="K1460" s="7" t="str"/>
      <x:c r="L1460" s="7" t="str"/>
      <x:c r="M1460" s="7" t="str">
        <x:f>IF(L1460="","OPEN",IF(OR(NOT(ISNUMBER(H1460)),NOT(ISNUMBER(I1460)),NOT(ISNUMBER(K1460)),ABS(J1460)&gt;K1460),"FAIL","PASS"))</x:f>
        <x:v>OPEN</x:v>
      </x:c>
    </x:row>
    <x:row r="1461">
      <x:c r="B1461" s="7" t="str">
        <x:v>CAL-CH-PEA-B-Y2-03-3</x:v>
      </x:c>
      <x:c r="C1461" s="7" t="str">
        <x:v>CH-PEA-B-Y2-03-3</x:v>
      </x:c>
      <x:c r="D1461" s="7" t="str">
        <x:v>PEA-B-Y2</x:v>
      </x:c>
      <x:c r="E1461" s="7" t="str">
        <x:v>BLD-B</x:v>
      </x:c>
      <x:c r="F1461" s="7" t="str">
        <x:v>BL-Y</x:v>
      </x:c>
      <x:c r="G1461" s="7" t="str">
        <x:v>MF-03</x:v>
      </x:c>
      <x:c r="H1461" s="7" t="str"/>
      <x:c r="I1461" s="7" t="str"/>
      <x:c r="J1461" s="7" t="str">
        <x:f>IF(OR(H1461="",I1461=""),"",I1461-H1461)</x:f>
      </x:c>
      <x:c r="K1461" s="7" t="str"/>
      <x:c r="L1461" s="7" t="str"/>
      <x:c r="M1461" s="7" t="str">
        <x:f>IF(L1461="","OPEN",IF(OR(NOT(ISNUMBER(H1461)),NOT(ISNUMBER(I1461)),NOT(ISNUMBER(K1461)),ABS(J1461)&gt;K1461),"FAIL","PASS"))</x:f>
        <x:v>OPEN</x:v>
      </x:c>
    </x:row>
    <x:row r="1462">
      <x:c r="B1462" s="7" t="str">
        <x:v>CAL-CH-PEA-B-Y2-03-4</x:v>
      </x:c>
      <x:c r="C1462" s="7" t="str">
        <x:v>CH-PEA-B-Y2-03-4</x:v>
      </x:c>
      <x:c r="D1462" s="7" t="str">
        <x:v>PEA-B-Y2</x:v>
      </x:c>
      <x:c r="E1462" s="7" t="str">
        <x:v>BLD-B</x:v>
      </x:c>
      <x:c r="F1462" s="7" t="str">
        <x:v>BL-Y</x:v>
      </x:c>
      <x:c r="G1462" s="7" t="str">
        <x:v>MF-03</x:v>
      </x:c>
      <x:c r="H1462" s="7" t="str"/>
      <x:c r="I1462" s="7" t="str"/>
      <x:c r="J1462" s="7" t="str">
        <x:f>IF(OR(H1462="",I1462=""),"",I1462-H1462)</x:f>
      </x:c>
      <x:c r="K1462" s="7" t="str"/>
      <x:c r="L1462" s="7" t="str"/>
      <x:c r="M1462" s="7" t="str">
        <x:f>IF(L1462="","OPEN",IF(OR(NOT(ISNUMBER(H1462)),NOT(ISNUMBER(I1462)),NOT(ISNUMBER(K1462)),ABS(J1462)&gt;K1462),"FAIL","PASS"))</x:f>
        <x:v>OPEN</x:v>
      </x:c>
    </x:row>
    <x:row r="1463">
      <x:c r="B1463" s="7" t="str">
        <x:v>CAL-CH-PEA-B-Y2-03-5</x:v>
      </x:c>
      <x:c r="C1463" s="7" t="str">
        <x:v>CH-PEA-B-Y2-03-5</x:v>
      </x:c>
      <x:c r="D1463" s="7" t="str">
        <x:v>PEA-B-Y2</x:v>
      </x:c>
      <x:c r="E1463" s="7" t="str">
        <x:v>BLD-B</x:v>
      </x:c>
      <x:c r="F1463" s="7" t="str">
        <x:v>BL-Y</x:v>
      </x:c>
      <x:c r="G1463" s="7" t="str">
        <x:v>MF-03</x:v>
      </x:c>
      <x:c r="H1463" s="7" t="str"/>
      <x:c r="I1463" s="7" t="str"/>
      <x:c r="J1463" s="7" t="str">
        <x:f>IF(OR(H1463="",I1463=""),"",I1463-H1463)</x:f>
      </x:c>
      <x:c r="K1463" s="7" t="str"/>
      <x:c r="L1463" s="7" t="str"/>
      <x:c r="M1463" s="7" t="str">
        <x:f>IF(L1463="","OPEN",IF(OR(NOT(ISNUMBER(H1463)),NOT(ISNUMBER(I1463)),NOT(ISNUMBER(K1463)),ABS(J1463)&gt;K1463),"FAIL","PASS"))</x:f>
        <x:v>OPEN</x:v>
      </x:c>
    </x:row>
    <x:row r="1464">
      <x:c r="B1464" s="7" t="str">
        <x:v>CAL-CH-PEA-B-Y2-03-6</x:v>
      </x:c>
      <x:c r="C1464" s="7" t="str">
        <x:v>CH-PEA-B-Y2-03-6</x:v>
      </x:c>
      <x:c r="D1464" s="7" t="str">
        <x:v>PEA-B-Y2</x:v>
      </x:c>
      <x:c r="E1464" s="7" t="str">
        <x:v>BLD-B</x:v>
      </x:c>
      <x:c r="F1464" s="7" t="str">
        <x:v>BL-Y</x:v>
      </x:c>
      <x:c r="G1464" s="7" t="str">
        <x:v>MF-03</x:v>
      </x:c>
      <x:c r="H1464" s="7" t="str"/>
      <x:c r="I1464" s="7" t="str"/>
      <x:c r="J1464" s="7" t="str">
        <x:f>IF(OR(H1464="",I1464=""),"",I1464-H1464)</x:f>
      </x:c>
      <x:c r="K1464" s="7" t="str"/>
      <x:c r="L1464" s="7" t="str"/>
      <x:c r="M1464" s="7" t="str">
        <x:f>IF(L1464="","OPEN",IF(OR(NOT(ISNUMBER(H1464)),NOT(ISNUMBER(I1464)),NOT(ISNUMBER(K1464)),ABS(J1464)&gt;K1464),"FAIL","PASS"))</x:f>
        <x:v>OPEN</x:v>
      </x:c>
    </x:row>
    <x:row r="1465">
      <x:c r="B1465" s="7" t="str">
        <x:v>CAL-CH-PEA-B-Y2-04-1</x:v>
      </x:c>
      <x:c r="C1465" s="7" t="str">
        <x:v>CH-PEA-B-Y2-04-1</x:v>
      </x:c>
      <x:c r="D1465" s="7" t="str">
        <x:v>PEA-B-Y2</x:v>
      </x:c>
      <x:c r="E1465" s="7" t="str">
        <x:v>BLD-B</x:v>
      </x:c>
      <x:c r="F1465" s="7" t="str">
        <x:v>BL-Y</x:v>
      </x:c>
      <x:c r="G1465" s="7" t="str">
        <x:v>MF-04</x:v>
      </x:c>
      <x:c r="H1465" s="7" t="str"/>
      <x:c r="I1465" s="7" t="str"/>
      <x:c r="J1465" s="7" t="str">
        <x:f>IF(OR(H1465="",I1465=""),"",I1465-H1465)</x:f>
      </x:c>
      <x:c r="K1465" s="7" t="str"/>
      <x:c r="L1465" s="7" t="str"/>
      <x:c r="M1465" s="7" t="str">
        <x:f>IF(L1465="","OPEN",IF(OR(NOT(ISNUMBER(H1465)),NOT(ISNUMBER(I1465)),NOT(ISNUMBER(K1465)),ABS(J1465)&gt;K1465),"FAIL","PASS"))</x:f>
        <x:v>OPEN</x:v>
      </x:c>
    </x:row>
    <x:row r="1466">
      <x:c r="B1466" s="7" t="str">
        <x:v>CAL-CH-PEA-B-Y2-04-2</x:v>
      </x:c>
      <x:c r="C1466" s="7" t="str">
        <x:v>CH-PEA-B-Y2-04-2</x:v>
      </x:c>
      <x:c r="D1466" s="7" t="str">
        <x:v>PEA-B-Y2</x:v>
      </x:c>
      <x:c r="E1466" s="7" t="str">
        <x:v>BLD-B</x:v>
      </x:c>
      <x:c r="F1466" s="7" t="str">
        <x:v>BL-Y</x:v>
      </x:c>
      <x:c r="G1466" s="7" t="str">
        <x:v>MF-04</x:v>
      </x:c>
      <x:c r="H1466" s="7" t="str"/>
      <x:c r="I1466" s="7" t="str"/>
      <x:c r="J1466" s="7" t="str">
        <x:f>IF(OR(H1466="",I1466=""),"",I1466-H1466)</x:f>
      </x:c>
      <x:c r="K1466" s="7" t="str"/>
      <x:c r="L1466" s="7" t="str"/>
      <x:c r="M1466" s="7" t="str">
        <x:f>IF(L1466="","OPEN",IF(OR(NOT(ISNUMBER(H1466)),NOT(ISNUMBER(I1466)),NOT(ISNUMBER(K1466)),ABS(J1466)&gt;K1466),"FAIL","PASS"))</x:f>
        <x:v>OPEN</x:v>
      </x:c>
    </x:row>
    <x:row r="1467">
      <x:c r="B1467" s="7" t="str">
        <x:v>CAL-CH-PEA-B-Y2-04-3</x:v>
      </x:c>
      <x:c r="C1467" s="7" t="str">
        <x:v>CH-PEA-B-Y2-04-3</x:v>
      </x:c>
      <x:c r="D1467" s="7" t="str">
        <x:v>PEA-B-Y2</x:v>
      </x:c>
      <x:c r="E1467" s="7" t="str">
        <x:v>BLD-B</x:v>
      </x:c>
      <x:c r="F1467" s="7" t="str">
        <x:v>BL-Y</x:v>
      </x:c>
      <x:c r="G1467" s="7" t="str">
        <x:v>MF-04</x:v>
      </x:c>
      <x:c r="H1467" s="7" t="str"/>
      <x:c r="I1467" s="7" t="str"/>
      <x:c r="J1467" s="7" t="str">
        <x:f>IF(OR(H1467="",I1467=""),"",I1467-H1467)</x:f>
      </x:c>
      <x:c r="K1467" s="7" t="str"/>
      <x:c r="L1467" s="7" t="str"/>
      <x:c r="M1467" s="7" t="str">
        <x:f>IF(L1467="","OPEN",IF(OR(NOT(ISNUMBER(H1467)),NOT(ISNUMBER(I1467)),NOT(ISNUMBER(K1467)),ABS(J1467)&gt;K1467),"FAIL","PASS"))</x:f>
        <x:v>OPEN</x:v>
      </x:c>
    </x:row>
    <x:row r="1468">
      <x:c r="B1468" s="7" t="str">
        <x:v>CAL-CH-PEA-B-Y2-04-4</x:v>
      </x:c>
      <x:c r="C1468" s="7" t="str">
        <x:v>CH-PEA-B-Y2-04-4</x:v>
      </x:c>
      <x:c r="D1468" s="7" t="str">
        <x:v>PEA-B-Y2</x:v>
      </x:c>
      <x:c r="E1468" s="7" t="str">
        <x:v>BLD-B</x:v>
      </x:c>
      <x:c r="F1468" s="7" t="str">
        <x:v>BL-Y</x:v>
      </x:c>
      <x:c r="G1468" s="7" t="str">
        <x:v>MF-04</x:v>
      </x:c>
      <x:c r="H1468" s="7" t="str"/>
      <x:c r="I1468" s="7" t="str"/>
      <x:c r="J1468" s="7" t="str">
        <x:f>IF(OR(H1468="",I1468=""),"",I1468-H1468)</x:f>
      </x:c>
      <x:c r="K1468" s="7" t="str"/>
      <x:c r="L1468" s="7" t="str"/>
      <x:c r="M1468" s="7" t="str">
        <x:f>IF(L1468="","OPEN",IF(OR(NOT(ISNUMBER(H1468)),NOT(ISNUMBER(I1468)),NOT(ISNUMBER(K1468)),ABS(J1468)&gt;K1468),"FAIL","PASS"))</x:f>
        <x:v>OPEN</x:v>
      </x:c>
    </x:row>
    <x:row r="1469">
      <x:c r="B1469" s="7" t="str">
        <x:v>CAL-CH-PEA-B-Y2-04-5</x:v>
      </x:c>
      <x:c r="C1469" s="7" t="str">
        <x:v>CH-PEA-B-Y2-04-5</x:v>
      </x:c>
      <x:c r="D1469" s="7" t="str">
        <x:v>PEA-B-Y2</x:v>
      </x:c>
      <x:c r="E1469" s="7" t="str">
        <x:v>BLD-B</x:v>
      </x:c>
      <x:c r="F1469" s="7" t="str">
        <x:v>BL-Y</x:v>
      </x:c>
      <x:c r="G1469" s="7" t="str">
        <x:v>MF-04</x:v>
      </x:c>
      <x:c r="H1469" s="7" t="str"/>
      <x:c r="I1469" s="7" t="str"/>
      <x:c r="J1469" s="7" t="str">
        <x:f>IF(OR(H1469="",I1469=""),"",I1469-H1469)</x:f>
      </x:c>
      <x:c r="K1469" s="7" t="str"/>
      <x:c r="L1469" s="7" t="str"/>
      <x:c r="M1469" s="7" t="str">
        <x:f>IF(L1469="","OPEN",IF(OR(NOT(ISNUMBER(H1469)),NOT(ISNUMBER(I1469)),NOT(ISNUMBER(K1469)),ABS(J1469)&gt;K1469),"FAIL","PASS"))</x:f>
        <x:v>OPEN</x:v>
      </x:c>
    </x:row>
    <x:row r="1470">
      <x:c r="B1470" s="7" t="str">
        <x:v>CAL-CH-PEA-B-Y2-04-6</x:v>
      </x:c>
      <x:c r="C1470" s="7" t="str">
        <x:v>CH-PEA-B-Y2-04-6</x:v>
      </x:c>
      <x:c r="D1470" s="7" t="str">
        <x:v>PEA-B-Y2</x:v>
      </x:c>
      <x:c r="E1470" s="7" t="str">
        <x:v>BLD-B</x:v>
      </x:c>
      <x:c r="F1470" s="7" t="str">
        <x:v>BL-Y</x:v>
      </x:c>
      <x:c r="G1470" s="7" t="str">
        <x:v>MF-04</x:v>
      </x:c>
      <x:c r="H1470" s="7" t="str"/>
      <x:c r="I1470" s="7" t="str"/>
      <x:c r="J1470" s="7" t="str">
        <x:f>IF(OR(H1470="",I1470=""),"",I1470-H1470)</x:f>
      </x:c>
      <x:c r="K1470" s="7" t="str"/>
      <x:c r="L1470" s="7" t="str"/>
      <x:c r="M1470" s="7" t="str">
        <x:f>IF(L1470="","OPEN",IF(OR(NOT(ISNUMBER(H1470)),NOT(ISNUMBER(I1470)),NOT(ISNUMBER(K1470)),ABS(J1470)&gt;K1470),"FAIL","PASS"))</x:f>
        <x:v>OPEN</x:v>
      </x:c>
    </x:row>
    <x:row r="1471">
      <x:c r="B1471" s="7" t="str">
        <x:v>CAL-CH-PEA-B-Y2-05-1</x:v>
      </x:c>
      <x:c r="C1471" s="7" t="str">
        <x:v>CH-PEA-B-Y2-05-1</x:v>
      </x:c>
      <x:c r="D1471" s="7" t="str">
        <x:v>PEA-B-Y2</x:v>
      </x:c>
      <x:c r="E1471" s="7" t="str">
        <x:v>BLD-B</x:v>
      </x:c>
      <x:c r="F1471" s="7" t="str">
        <x:v>BL-Y</x:v>
      </x:c>
      <x:c r="G1471" s="7" t="str">
        <x:v>MF-05</x:v>
      </x:c>
      <x:c r="H1471" s="7" t="str"/>
      <x:c r="I1471" s="7" t="str"/>
      <x:c r="J1471" s="7" t="str">
        <x:f>IF(OR(H1471="",I1471=""),"",I1471-H1471)</x:f>
      </x:c>
      <x:c r="K1471" s="7" t="str"/>
      <x:c r="L1471" s="7" t="str"/>
      <x:c r="M1471" s="7" t="str">
        <x:f>IF(L1471="","OPEN",IF(OR(NOT(ISNUMBER(H1471)),NOT(ISNUMBER(I1471)),NOT(ISNUMBER(K1471)),ABS(J1471)&gt;K1471),"FAIL","PASS"))</x:f>
        <x:v>OPEN</x:v>
      </x:c>
    </x:row>
    <x:row r="1472">
      <x:c r="B1472" s="7" t="str">
        <x:v>CAL-CH-PEA-B-Y2-05-2</x:v>
      </x:c>
      <x:c r="C1472" s="7" t="str">
        <x:v>CH-PEA-B-Y2-05-2</x:v>
      </x:c>
      <x:c r="D1472" s="7" t="str">
        <x:v>PEA-B-Y2</x:v>
      </x:c>
      <x:c r="E1472" s="7" t="str">
        <x:v>BLD-B</x:v>
      </x:c>
      <x:c r="F1472" s="7" t="str">
        <x:v>BL-Y</x:v>
      </x:c>
      <x:c r="G1472" s="7" t="str">
        <x:v>MF-05</x:v>
      </x:c>
      <x:c r="H1472" s="7" t="str"/>
      <x:c r="I1472" s="7" t="str"/>
      <x:c r="J1472" s="7" t="str">
        <x:f>IF(OR(H1472="",I1472=""),"",I1472-H1472)</x:f>
      </x:c>
      <x:c r="K1472" s="7" t="str"/>
      <x:c r="L1472" s="7" t="str"/>
      <x:c r="M1472" s="7" t="str">
        <x:f>IF(L1472="","OPEN",IF(OR(NOT(ISNUMBER(H1472)),NOT(ISNUMBER(I1472)),NOT(ISNUMBER(K1472)),ABS(J1472)&gt;K1472),"FAIL","PASS"))</x:f>
        <x:v>OPEN</x:v>
      </x:c>
    </x:row>
    <x:row r="1473">
      <x:c r="B1473" s="7" t="str">
        <x:v>CAL-CH-PEA-B-Y2-05-3</x:v>
      </x:c>
      <x:c r="C1473" s="7" t="str">
        <x:v>CH-PEA-B-Y2-05-3</x:v>
      </x:c>
      <x:c r="D1473" s="7" t="str">
        <x:v>PEA-B-Y2</x:v>
      </x:c>
      <x:c r="E1473" s="7" t="str">
        <x:v>BLD-B</x:v>
      </x:c>
      <x:c r="F1473" s="7" t="str">
        <x:v>BL-Y</x:v>
      </x:c>
      <x:c r="G1473" s="7" t="str">
        <x:v>MF-05</x:v>
      </x:c>
      <x:c r="H1473" s="7" t="str"/>
      <x:c r="I1473" s="7" t="str"/>
      <x:c r="J1473" s="7" t="str">
        <x:f>IF(OR(H1473="",I1473=""),"",I1473-H1473)</x:f>
      </x:c>
      <x:c r="K1473" s="7" t="str"/>
      <x:c r="L1473" s="7" t="str"/>
      <x:c r="M1473" s="7" t="str">
        <x:f>IF(L1473="","OPEN",IF(OR(NOT(ISNUMBER(H1473)),NOT(ISNUMBER(I1473)),NOT(ISNUMBER(K1473)),ABS(J1473)&gt;K1473),"FAIL","PASS"))</x:f>
        <x:v>OPEN</x:v>
      </x:c>
    </x:row>
    <x:row r="1474">
      <x:c r="B1474" s="7" t="str">
        <x:v>CAL-CH-PEA-B-Y2-05-4</x:v>
      </x:c>
      <x:c r="C1474" s="7" t="str">
        <x:v>CH-PEA-B-Y2-05-4</x:v>
      </x:c>
      <x:c r="D1474" s="7" t="str">
        <x:v>PEA-B-Y2</x:v>
      </x:c>
      <x:c r="E1474" s="7" t="str">
        <x:v>BLD-B</x:v>
      </x:c>
      <x:c r="F1474" s="7" t="str">
        <x:v>BL-Y</x:v>
      </x:c>
      <x:c r="G1474" s="7" t="str">
        <x:v>MF-05</x:v>
      </x:c>
      <x:c r="H1474" s="7" t="str"/>
      <x:c r="I1474" s="7" t="str"/>
      <x:c r="J1474" s="7" t="str">
        <x:f>IF(OR(H1474="",I1474=""),"",I1474-H1474)</x:f>
      </x:c>
      <x:c r="K1474" s="7" t="str"/>
      <x:c r="L1474" s="7" t="str"/>
      <x:c r="M1474" s="7" t="str">
        <x:f>IF(L1474="","OPEN",IF(OR(NOT(ISNUMBER(H1474)),NOT(ISNUMBER(I1474)),NOT(ISNUMBER(K1474)),ABS(J1474)&gt;K1474),"FAIL","PASS"))</x:f>
        <x:v>OPEN</x:v>
      </x:c>
    </x:row>
    <x:row r="1475">
      <x:c r="B1475" s="7" t="str">
        <x:v>CAL-CH-PEA-B-Y2-05-5</x:v>
      </x:c>
      <x:c r="C1475" s="7" t="str">
        <x:v>CH-PEA-B-Y2-05-5</x:v>
      </x:c>
      <x:c r="D1475" s="7" t="str">
        <x:v>PEA-B-Y2</x:v>
      </x:c>
      <x:c r="E1475" s="7" t="str">
        <x:v>BLD-B</x:v>
      </x:c>
      <x:c r="F1475" s="7" t="str">
        <x:v>BL-Y</x:v>
      </x:c>
      <x:c r="G1475" s="7" t="str">
        <x:v>MF-05</x:v>
      </x:c>
      <x:c r="H1475" s="7" t="str"/>
      <x:c r="I1475" s="7" t="str"/>
      <x:c r="J1475" s="7" t="str">
        <x:f>IF(OR(H1475="",I1475=""),"",I1475-H1475)</x:f>
      </x:c>
      <x:c r="K1475" s="7" t="str"/>
      <x:c r="L1475" s="7" t="str"/>
      <x:c r="M1475" s="7" t="str">
        <x:f>IF(L1475="","OPEN",IF(OR(NOT(ISNUMBER(H1475)),NOT(ISNUMBER(I1475)),NOT(ISNUMBER(K1475)),ABS(J1475)&gt;K1475),"FAIL","PASS"))</x:f>
        <x:v>OPEN</x:v>
      </x:c>
    </x:row>
    <x:row r="1476">
      <x:c r="B1476" s="7" t="str">
        <x:v>CAL-CH-PEA-B-Y2-05-6</x:v>
      </x:c>
      <x:c r="C1476" s="7" t="str">
        <x:v>CH-PEA-B-Y2-05-6</x:v>
      </x:c>
      <x:c r="D1476" s="7" t="str">
        <x:v>PEA-B-Y2</x:v>
      </x:c>
      <x:c r="E1476" s="7" t="str">
        <x:v>BLD-B</x:v>
      </x:c>
      <x:c r="F1476" s="7" t="str">
        <x:v>BL-Y</x:v>
      </x:c>
      <x:c r="G1476" s="7" t="str">
        <x:v>MF-05</x:v>
      </x:c>
      <x:c r="H1476" s="7" t="str"/>
      <x:c r="I1476" s="7" t="str"/>
      <x:c r="J1476" s="7" t="str">
        <x:f>IF(OR(H1476="",I1476=""),"",I1476-H1476)</x:f>
      </x:c>
      <x:c r="K1476" s="7" t="str"/>
      <x:c r="L1476" s="7" t="str"/>
      <x:c r="M1476" s="7" t="str">
        <x:f>IF(L1476="","OPEN",IF(OR(NOT(ISNUMBER(H1476)),NOT(ISNUMBER(I1476)),NOT(ISNUMBER(K1476)),ABS(J1476)&gt;K1476),"FAIL","PASS"))</x:f>
        <x:v>OPEN</x:v>
      </x:c>
    </x:row>
    <x:row r="1477">
      <x:c r="B1477" s="7" t="str">
        <x:v>CAL-CH-PEA-B-Y2-06-1</x:v>
      </x:c>
      <x:c r="C1477" s="7" t="str">
        <x:v>CH-PEA-B-Y2-06-1</x:v>
      </x:c>
      <x:c r="D1477" s="7" t="str">
        <x:v>PEA-B-Y2</x:v>
      </x:c>
      <x:c r="E1477" s="7" t="str">
        <x:v>BLD-B</x:v>
      </x:c>
      <x:c r="F1477" s="7" t="str">
        <x:v>BL-Y</x:v>
      </x:c>
      <x:c r="G1477" s="7" t="str">
        <x:v>MF-06</x:v>
      </x:c>
      <x:c r="H1477" s="7" t="str"/>
      <x:c r="I1477" s="7" t="str"/>
      <x:c r="J1477" s="7" t="str">
        <x:f>IF(OR(H1477="",I1477=""),"",I1477-H1477)</x:f>
      </x:c>
      <x:c r="K1477" s="7" t="str"/>
      <x:c r="L1477" s="7" t="str"/>
      <x:c r="M1477" s="7" t="str">
        <x:f>IF(L1477="","OPEN",IF(OR(NOT(ISNUMBER(H1477)),NOT(ISNUMBER(I1477)),NOT(ISNUMBER(K1477)),ABS(J1477)&gt;K1477),"FAIL","PASS"))</x:f>
        <x:v>OPEN</x:v>
      </x:c>
    </x:row>
    <x:row r="1478">
      <x:c r="B1478" s="7" t="str">
        <x:v>CAL-CH-PEA-B-Y2-06-2</x:v>
      </x:c>
      <x:c r="C1478" s="7" t="str">
        <x:v>CH-PEA-B-Y2-06-2</x:v>
      </x:c>
      <x:c r="D1478" s="7" t="str">
        <x:v>PEA-B-Y2</x:v>
      </x:c>
      <x:c r="E1478" s="7" t="str">
        <x:v>BLD-B</x:v>
      </x:c>
      <x:c r="F1478" s="7" t="str">
        <x:v>BL-Y</x:v>
      </x:c>
      <x:c r="G1478" s="7" t="str">
        <x:v>MF-06</x:v>
      </x:c>
      <x:c r="H1478" s="7" t="str"/>
      <x:c r="I1478" s="7" t="str"/>
      <x:c r="J1478" s="7" t="str">
        <x:f>IF(OR(H1478="",I1478=""),"",I1478-H1478)</x:f>
      </x:c>
      <x:c r="K1478" s="7" t="str"/>
      <x:c r="L1478" s="7" t="str"/>
      <x:c r="M1478" s="7" t="str">
        <x:f>IF(L1478="","OPEN",IF(OR(NOT(ISNUMBER(H1478)),NOT(ISNUMBER(I1478)),NOT(ISNUMBER(K1478)),ABS(J1478)&gt;K1478),"FAIL","PASS"))</x:f>
        <x:v>OPEN</x:v>
      </x:c>
    </x:row>
    <x:row r="1479">
      <x:c r="B1479" s="7" t="str">
        <x:v>CAL-CH-PEA-B-Y2-06-3</x:v>
      </x:c>
      <x:c r="C1479" s="7" t="str">
        <x:v>CH-PEA-B-Y2-06-3</x:v>
      </x:c>
      <x:c r="D1479" s="7" t="str">
        <x:v>PEA-B-Y2</x:v>
      </x:c>
      <x:c r="E1479" s="7" t="str">
        <x:v>BLD-B</x:v>
      </x:c>
      <x:c r="F1479" s="7" t="str">
        <x:v>BL-Y</x:v>
      </x:c>
      <x:c r="G1479" s="7" t="str">
        <x:v>MF-06</x:v>
      </x:c>
      <x:c r="H1479" s="7" t="str"/>
      <x:c r="I1479" s="7" t="str"/>
      <x:c r="J1479" s="7" t="str">
        <x:f>IF(OR(H1479="",I1479=""),"",I1479-H1479)</x:f>
      </x:c>
      <x:c r="K1479" s="7" t="str"/>
      <x:c r="L1479" s="7" t="str"/>
      <x:c r="M1479" s="7" t="str">
        <x:f>IF(L1479="","OPEN",IF(OR(NOT(ISNUMBER(H1479)),NOT(ISNUMBER(I1479)),NOT(ISNUMBER(K1479)),ABS(J1479)&gt;K1479),"FAIL","PASS"))</x:f>
        <x:v>OPEN</x:v>
      </x:c>
    </x:row>
    <x:row r="1480">
      <x:c r="B1480" s="7" t="str">
        <x:v>CAL-CH-PEA-B-Y2-06-4</x:v>
      </x:c>
      <x:c r="C1480" s="7" t="str">
        <x:v>CH-PEA-B-Y2-06-4</x:v>
      </x:c>
      <x:c r="D1480" s="7" t="str">
        <x:v>PEA-B-Y2</x:v>
      </x:c>
      <x:c r="E1480" s="7" t="str">
        <x:v>BLD-B</x:v>
      </x:c>
      <x:c r="F1480" s="7" t="str">
        <x:v>BL-Y</x:v>
      </x:c>
      <x:c r="G1480" s="7" t="str">
        <x:v>MF-06</x:v>
      </x:c>
      <x:c r="H1480" s="7" t="str"/>
      <x:c r="I1480" s="7" t="str"/>
      <x:c r="J1480" s="7" t="str">
        <x:f>IF(OR(H1480="",I1480=""),"",I1480-H1480)</x:f>
      </x:c>
      <x:c r="K1480" s="7" t="str"/>
      <x:c r="L1480" s="7" t="str"/>
      <x:c r="M1480" s="7" t="str">
        <x:f>IF(L1480="","OPEN",IF(OR(NOT(ISNUMBER(H1480)),NOT(ISNUMBER(I1480)),NOT(ISNUMBER(K1480)),ABS(J1480)&gt;K1480),"FAIL","PASS"))</x:f>
        <x:v>OPEN</x:v>
      </x:c>
    </x:row>
    <x:row r="1481">
      <x:c r="B1481" s="7" t="str">
        <x:v>CAL-CH-PEA-B-Y2-06-5</x:v>
      </x:c>
      <x:c r="C1481" s="7" t="str">
        <x:v>CH-PEA-B-Y2-06-5</x:v>
      </x:c>
      <x:c r="D1481" s="7" t="str">
        <x:v>PEA-B-Y2</x:v>
      </x:c>
      <x:c r="E1481" s="7" t="str">
        <x:v>BLD-B</x:v>
      </x:c>
      <x:c r="F1481" s="7" t="str">
        <x:v>BL-Y</x:v>
      </x:c>
      <x:c r="G1481" s="7" t="str">
        <x:v>MF-06</x:v>
      </x:c>
      <x:c r="H1481" s="7" t="str"/>
      <x:c r="I1481" s="7" t="str"/>
      <x:c r="J1481" s="7" t="str">
        <x:f>IF(OR(H1481="",I1481=""),"",I1481-H1481)</x:f>
      </x:c>
      <x:c r="K1481" s="7" t="str"/>
      <x:c r="L1481" s="7" t="str"/>
      <x:c r="M1481" s="7" t="str">
        <x:f>IF(L1481="","OPEN",IF(OR(NOT(ISNUMBER(H1481)),NOT(ISNUMBER(I1481)),NOT(ISNUMBER(K1481)),ABS(J1481)&gt;K1481),"FAIL","PASS"))</x:f>
        <x:v>OPEN</x:v>
      </x:c>
    </x:row>
    <x:row r="1482">
      <x:c r="B1482" s="7" t="str">
        <x:v>CAL-CH-PEA-B-Y2-06-6</x:v>
      </x:c>
      <x:c r="C1482" s="7" t="str">
        <x:v>CH-PEA-B-Y2-06-6</x:v>
      </x:c>
      <x:c r="D1482" s="7" t="str">
        <x:v>PEA-B-Y2</x:v>
      </x:c>
      <x:c r="E1482" s="7" t="str">
        <x:v>BLD-B</x:v>
      </x:c>
      <x:c r="F1482" s="7" t="str">
        <x:v>BL-Y</x:v>
      </x:c>
      <x:c r="G1482" s="7" t="str">
        <x:v>MF-06</x:v>
      </x:c>
      <x:c r="H1482" s="7" t="str"/>
      <x:c r="I1482" s="7" t="str"/>
      <x:c r="J1482" s="7" t="str">
        <x:f>IF(OR(H1482="",I1482=""),"",I1482-H1482)</x:f>
      </x:c>
      <x:c r="K1482" s="7" t="str"/>
      <x:c r="L1482" s="7" t="str"/>
      <x:c r="M1482" s="7" t="str">
        <x:f>IF(L1482="","OPEN",IF(OR(NOT(ISNUMBER(H1482)),NOT(ISNUMBER(I1482)),NOT(ISNUMBER(K1482)),ABS(J1482)&gt;K1482),"FAIL","PASS"))</x:f>
        <x:v>OPEN</x:v>
      </x:c>
    </x:row>
    <x:row r="1483">
      <x:c r="B1483" s="7" t="str">
        <x:v>CAL-CH-PEA-B-Y2-07-1</x:v>
      </x:c>
      <x:c r="C1483" s="7" t="str">
        <x:v>CH-PEA-B-Y2-07-1</x:v>
      </x:c>
      <x:c r="D1483" s="7" t="str">
        <x:v>PEA-B-Y2</x:v>
      </x:c>
      <x:c r="E1483" s="7" t="str">
        <x:v>BLD-B</x:v>
      </x:c>
      <x:c r="F1483" s="7" t="str">
        <x:v>BL-Y</x:v>
      </x:c>
      <x:c r="G1483" s="7" t="str">
        <x:v>MF-07</x:v>
      </x:c>
      <x:c r="H1483" s="7" t="str"/>
      <x:c r="I1483" s="7" t="str"/>
      <x:c r="J1483" s="7" t="str">
        <x:f>IF(OR(H1483="",I1483=""),"",I1483-H1483)</x:f>
      </x:c>
      <x:c r="K1483" s="7" t="str"/>
      <x:c r="L1483" s="7" t="str"/>
      <x:c r="M1483" s="7" t="str">
        <x:f>IF(L1483="","OPEN",IF(OR(NOT(ISNUMBER(H1483)),NOT(ISNUMBER(I1483)),NOT(ISNUMBER(K1483)),ABS(J1483)&gt;K1483),"FAIL","PASS"))</x:f>
        <x:v>OPEN</x:v>
      </x:c>
    </x:row>
    <x:row r="1484">
      <x:c r="B1484" s="7" t="str">
        <x:v>CAL-CH-PEA-B-Y2-07-2</x:v>
      </x:c>
      <x:c r="C1484" s="7" t="str">
        <x:v>CH-PEA-B-Y2-07-2</x:v>
      </x:c>
      <x:c r="D1484" s="7" t="str">
        <x:v>PEA-B-Y2</x:v>
      </x:c>
      <x:c r="E1484" s="7" t="str">
        <x:v>BLD-B</x:v>
      </x:c>
      <x:c r="F1484" s="7" t="str">
        <x:v>BL-Y</x:v>
      </x:c>
      <x:c r="G1484" s="7" t="str">
        <x:v>MF-07</x:v>
      </x:c>
      <x:c r="H1484" s="7" t="str"/>
      <x:c r="I1484" s="7" t="str"/>
      <x:c r="J1484" s="7" t="str">
        <x:f>IF(OR(H1484="",I1484=""),"",I1484-H1484)</x:f>
      </x:c>
      <x:c r="K1484" s="7" t="str"/>
      <x:c r="L1484" s="7" t="str"/>
      <x:c r="M1484" s="7" t="str">
        <x:f>IF(L1484="","OPEN",IF(OR(NOT(ISNUMBER(H1484)),NOT(ISNUMBER(I1484)),NOT(ISNUMBER(K1484)),ABS(J1484)&gt;K1484),"FAIL","PASS"))</x:f>
        <x:v>OPEN</x:v>
      </x:c>
    </x:row>
    <x:row r="1485">
      <x:c r="B1485" s="7" t="str">
        <x:v>CAL-CH-PEA-B-Y2-07-3</x:v>
      </x:c>
      <x:c r="C1485" s="7" t="str">
        <x:v>CH-PEA-B-Y2-07-3</x:v>
      </x:c>
      <x:c r="D1485" s="7" t="str">
        <x:v>PEA-B-Y2</x:v>
      </x:c>
      <x:c r="E1485" s="7" t="str">
        <x:v>BLD-B</x:v>
      </x:c>
      <x:c r="F1485" s="7" t="str">
        <x:v>BL-Y</x:v>
      </x:c>
      <x:c r="G1485" s="7" t="str">
        <x:v>MF-07</x:v>
      </x:c>
      <x:c r="H1485" s="7" t="str"/>
      <x:c r="I1485" s="7" t="str"/>
      <x:c r="J1485" s="7" t="str">
        <x:f>IF(OR(H1485="",I1485=""),"",I1485-H1485)</x:f>
      </x:c>
      <x:c r="K1485" s="7" t="str"/>
      <x:c r="L1485" s="7" t="str"/>
      <x:c r="M1485" s="7" t="str">
        <x:f>IF(L1485="","OPEN",IF(OR(NOT(ISNUMBER(H1485)),NOT(ISNUMBER(I1485)),NOT(ISNUMBER(K1485)),ABS(J1485)&gt;K1485),"FAIL","PASS"))</x:f>
        <x:v>OPEN</x:v>
      </x:c>
    </x:row>
    <x:row r="1486">
      <x:c r="B1486" s="7" t="str">
        <x:v>CAL-CH-PEA-B-Y2-07-4</x:v>
      </x:c>
      <x:c r="C1486" s="7" t="str">
        <x:v>CH-PEA-B-Y2-07-4</x:v>
      </x:c>
      <x:c r="D1486" s="7" t="str">
        <x:v>PEA-B-Y2</x:v>
      </x:c>
      <x:c r="E1486" s="7" t="str">
        <x:v>BLD-B</x:v>
      </x:c>
      <x:c r="F1486" s="7" t="str">
        <x:v>BL-Y</x:v>
      </x:c>
      <x:c r="G1486" s="7" t="str">
        <x:v>MF-07</x:v>
      </x:c>
      <x:c r="H1486" s="7" t="str"/>
      <x:c r="I1486" s="7" t="str"/>
      <x:c r="J1486" s="7" t="str">
        <x:f>IF(OR(H1486="",I1486=""),"",I1486-H1486)</x:f>
      </x:c>
      <x:c r="K1486" s="7" t="str"/>
      <x:c r="L1486" s="7" t="str"/>
      <x:c r="M1486" s="7" t="str">
        <x:f>IF(L1486="","OPEN",IF(OR(NOT(ISNUMBER(H1486)),NOT(ISNUMBER(I1486)),NOT(ISNUMBER(K1486)),ABS(J1486)&gt;K1486),"FAIL","PASS"))</x:f>
        <x:v>OPEN</x:v>
      </x:c>
    </x:row>
    <x:row r="1487">
      <x:c r="B1487" s="7" t="str">
        <x:v>CAL-CH-PEA-B-Y2-07-5</x:v>
      </x:c>
      <x:c r="C1487" s="7" t="str">
        <x:v>CH-PEA-B-Y2-07-5</x:v>
      </x:c>
      <x:c r="D1487" s="7" t="str">
        <x:v>PEA-B-Y2</x:v>
      </x:c>
      <x:c r="E1487" s="7" t="str">
        <x:v>BLD-B</x:v>
      </x:c>
      <x:c r="F1487" s="7" t="str">
        <x:v>BL-Y</x:v>
      </x:c>
      <x:c r="G1487" s="7" t="str">
        <x:v>MF-07</x:v>
      </x:c>
      <x:c r="H1487" s="7" t="str"/>
      <x:c r="I1487" s="7" t="str"/>
      <x:c r="J1487" s="7" t="str">
        <x:f>IF(OR(H1487="",I1487=""),"",I1487-H1487)</x:f>
      </x:c>
      <x:c r="K1487" s="7" t="str"/>
      <x:c r="L1487" s="7" t="str"/>
      <x:c r="M1487" s="7" t="str">
        <x:f>IF(L1487="","OPEN",IF(OR(NOT(ISNUMBER(H1487)),NOT(ISNUMBER(I1487)),NOT(ISNUMBER(K1487)),ABS(J1487)&gt;K1487),"FAIL","PASS"))</x:f>
        <x:v>OPEN</x:v>
      </x:c>
    </x:row>
    <x:row r="1488">
      <x:c r="B1488" s="7" t="str">
        <x:v>CAL-CH-PEA-B-Y2-07-6</x:v>
      </x:c>
      <x:c r="C1488" s="7" t="str">
        <x:v>CH-PEA-B-Y2-07-6</x:v>
      </x:c>
      <x:c r="D1488" s="7" t="str">
        <x:v>PEA-B-Y2</x:v>
      </x:c>
      <x:c r="E1488" s="7" t="str">
        <x:v>BLD-B</x:v>
      </x:c>
      <x:c r="F1488" s="7" t="str">
        <x:v>BL-Y</x:v>
      </x:c>
      <x:c r="G1488" s="7" t="str">
        <x:v>MF-07</x:v>
      </x:c>
      <x:c r="H1488" s="7" t="str"/>
      <x:c r="I1488" s="7" t="str"/>
      <x:c r="J1488" s="7" t="str">
        <x:f>IF(OR(H1488="",I1488=""),"",I1488-H1488)</x:f>
      </x:c>
      <x:c r="K1488" s="7" t="str"/>
      <x:c r="L1488" s="7" t="str"/>
      <x:c r="M1488" s="7" t="str">
        <x:f>IF(L1488="","OPEN",IF(OR(NOT(ISNUMBER(H1488)),NOT(ISNUMBER(I1488)),NOT(ISNUMBER(K1488)),ABS(J1488)&gt;K1488),"FAIL","PASS"))</x:f>
        <x:v>OPEN</x:v>
      </x:c>
    </x:row>
    <x:row r="1489">
      <x:c r="B1489" s="7" t="str">
        <x:v>CAL-CH-PEA-B-Y2-08-1</x:v>
      </x:c>
      <x:c r="C1489" s="7" t="str">
        <x:v>CH-PEA-B-Y2-08-1</x:v>
      </x:c>
      <x:c r="D1489" s="7" t="str">
        <x:v>PEA-B-Y2</x:v>
      </x:c>
      <x:c r="E1489" s="7" t="str">
        <x:v>BLD-B</x:v>
      </x:c>
      <x:c r="F1489" s="7" t="str">
        <x:v>BL-Y</x:v>
      </x:c>
      <x:c r="G1489" s="7" t="str">
        <x:v>MF-08</x:v>
      </x:c>
      <x:c r="H1489" s="7" t="str"/>
      <x:c r="I1489" s="7" t="str"/>
      <x:c r="J1489" s="7" t="str">
        <x:f>IF(OR(H1489="",I1489=""),"",I1489-H1489)</x:f>
      </x:c>
      <x:c r="K1489" s="7" t="str"/>
      <x:c r="L1489" s="7" t="str"/>
      <x:c r="M1489" s="7" t="str">
        <x:f>IF(L1489="","OPEN",IF(OR(NOT(ISNUMBER(H1489)),NOT(ISNUMBER(I1489)),NOT(ISNUMBER(K1489)),ABS(J1489)&gt;K1489),"FAIL","PASS"))</x:f>
        <x:v>OPEN</x:v>
      </x:c>
    </x:row>
    <x:row r="1490">
      <x:c r="B1490" s="7" t="str">
        <x:v>CAL-CH-PEA-B-Y2-08-2</x:v>
      </x:c>
      <x:c r="C1490" s="7" t="str">
        <x:v>CH-PEA-B-Y2-08-2</x:v>
      </x:c>
      <x:c r="D1490" s="7" t="str">
        <x:v>PEA-B-Y2</x:v>
      </x:c>
      <x:c r="E1490" s="7" t="str">
        <x:v>BLD-B</x:v>
      </x:c>
      <x:c r="F1490" s="7" t="str">
        <x:v>BL-Y</x:v>
      </x:c>
      <x:c r="G1490" s="7" t="str">
        <x:v>MF-08</x:v>
      </x:c>
      <x:c r="H1490" s="7" t="str"/>
      <x:c r="I1490" s="7" t="str"/>
      <x:c r="J1490" s="7" t="str">
        <x:f>IF(OR(H1490="",I1490=""),"",I1490-H1490)</x:f>
      </x:c>
      <x:c r="K1490" s="7" t="str"/>
      <x:c r="L1490" s="7" t="str"/>
      <x:c r="M1490" s="7" t="str">
        <x:f>IF(L1490="","OPEN",IF(OR(NOT(ISNUMBER(H1490)),NOT(ISNUMBER(I1490)),NOT(ISNUMBER(K1490)),ABS(J1490)&gt;K1490),"FAIL","PASS"))</x:f>
        <x:v>OPEN</x:v>
      </x:c>
    </x:row>
    <x:row r="1491">
      <x:c r="B1491" s="7" t="str">
        <x:v>CAL-CH-PEA-B-Y2-08-3</x:v>
      </x:c>
      <x:c r="C1491" s="7" t="str">
        <x:v>CH-PEA-B-Y2-08-3</x:v>
      </x:c>
      <x:c r="D1491" s="7" t="str">
        <x:v>PEA-B-Y2</x:v>
      </x:c>
      <x:c r="E1491" s="7" t="str">
        <x:v>BLD-B</x:v>
      </x:c>
      <x:c r="F1491" s="7" t="str">
        <x:v>BL-Y</x:v>
      </x:c>
      <x:c r="G1491" s="7" t="str">
        <x:v>MF-08</x:v>
      </x:c>
      <x:c r="H1491" s="7" t="str"/>
      <x:c r="I1491" s="7" t="str"/>
      <x:c r="J1491" s="7" t="str">
        <x:f>IF(OR(H1491="",I1491=""),"",I1491-H1491)</x:f>
      </x:c>
      <x:c r="K1491" s="7" t="str"/>
      <x:c r="L1491" s="7" t="str"/>
      <x:c r="M1491" s="7" t="str">
        <x:f>IF(L1491="","OPEN",IF(OR(NOT(ISNUMBER(H1491)),NOT(ISNUMBER(I1491)),NOT(ISNUMBER(K1491)),ABS(J1491)&gt;K1491),"FAIL","PASS"))</x:f>
        <x:v>OPEN</x:v>
      </x:c>
    </x:row>
    <x:row r="1492">
      <x:c r="B1492" s="7" t="str">
        <x:v>CAL-CH-PEA-B-Y2-08-4</x:v>
      </x:c>
      <x:c r="C1492" s="7" t="str">
        <x:v>CH-PEA-B-Y2-08-4</x:v>
      </x:c>
      <x:c r="D1492" s="7" t="str">
        <x:v>PEA-B-Y2</x:v>
      </x:c>
      <x:c r="E1492" s="7" t="str">
        <x:v>BLD-B</x:v>
      </x:c>
      <x:c r="F1492" s="7" t="str">
        <x:v>BL-Y</x:v>
      </x:c>
      <x:c r="G1492" s="7" t="str">
        <x:v>MF-08</x:v>
      </x:c>
      <x:c r="H1492" s="7" t="str"/>
      <x:c r="I1492" s="7" t="str"/>
      <x:c r="J1492" s="7" t="str">
        <x:f>IF(OR(H1492="",I1492=""),"",I1492-H1492)</x:f>
      </x:c>
      <x:c r="K1492" s="7" t="str"/>
      <x:c r="L1492" s="7" t="str"/>
      <x:c r="M1492" s="7" t="str">
        <x:f>IF(L1492="","OPEN",IF(OR(NOT(ISNUMBER(H1492)),NOT(ISNUMBER(I1492)),NOT(ISNUMBER(K1492)),ABS(J1492)&gt;K1492),"FAIL","PASS"))</x:f>
        <x:v>OPEN</x:v>
      </x:c>
    </x:row>
    <x:row r="1493">
      <x:c r="B1493" s="7" t="str">
        <x:v>CAL-CH-PEA-B-Y2-08-5</x:v>
      </x:c>
      <x:c r="C1493" s="7" t="str">
        <x:v>CH-PEA-B-Y2-08-5</x:v>
      </x:c>
      <x:c r="D1493" s="7" t="str">
        <x:v>PEA-B-Y2</x:v>
      </x:c>
      <x:c r="E1493" s="7" t="str">
        <x:v>BLD-B</x:v>
      </x:c>
      <x:c r="F1493" s="7" t="str">
        <x:v>BL-Y</x:v>
      </x:c>
      <x:c r="G1493" s="7" t="str">
        <x:v>MF-08</x:v>
      </x:c>
      <x:c r="H1493" s="7" t="str"/>
      <x:c r="I1493" s="7" t="str"/>
      <x:c r="J1493" s="7" t="str">
        <x:f>IF(OR(H1493="",I1493=""),"",I1493-H1493)</x:f>
      </x:c>
      <x:c r="K1493" s="7" t="str"/>
      <x:c r="L1493" s="7" t="str"/>
      <x:c r="M1493" s="7" t="str">
        <x:f>IF(L1493="","OPEN",IF(OR(NOT(ISNUMBER(H1493)),NOT(ISNUMBER(I1493)),NOT(ISNUMBER(K1493)),ABS(J1493)&gt;K1493),"FAIL","PASS"))</x:f>
        <x:v>OPEN</x:v>
      </x:c>
    </x:row>
    <x:row r="1494">
      <x:c r="B1494" s="7" t="str">
        <x:v>CAL-CH-PEA-B-Y2-08-6</x:v>
      </x:c>
      <x:c r="C1494" s="7" t="str">
        <x:v>CH-PEA-B-Y2-08-6</x:v>
      </x:c>
      <x:c r="D1494" s="7" t="str">
        <x:v>PEA-B-Y2</x:v>
      </x:c>
      <x:c r="E1494" s="7" t="str">
        <x:v>BLD-B</x:v>
      </x:c>
      <x:c r="F1494" s="7" t="str">
        <x:v>BL-Y</x:v>
      </x:c>
      <x:c r="G1494" s="7" t="str">
        <x:v>MF-08</x:v>
      </x:c>
      <x:c r="H1494" s="7" t="str"/>
      <x:c r="I1494" s="7" t="str"/>
      <x:c r="J1494" s="7" t="str">
        <x:f>IF(OR(H1494="",I1494=""),"",I1494-H1494)</x:f>
      </x:c>
      <x:c r="K1494" s="7" t="str"/>
      <x:c r="L1494" s="7" t="str"/>
      <x:c r="M1494" s="7" t="str">
        <x:f>IF(L1494="","OPEN",IF(OR(NOT(ISNUMBER(H1494)),NOT(ISNUMBER(I1494)),NOT(ISNUMBER(K1494)),ABS(J1494)&gt;K1494),"FAIL","PASS"))</x:f>
        <x:v>OPEN</x:v>
      </x:c>
    </x:row>
    <x:row r="1495">
      <x:c r="B1495" s="7" t="str">
        <x:v>CAL-CH-PEA-B-Y2-09-1</x:v>
      </x:c>
      <x:c r="C1495" s="7" t="str">
        <x:v>CH-PEA-B-Y2-09-1</x:v>
      </x:c>
      <x:c r="D1495" s="7" t="str">
        <x:v>PEA-B-Y2</x:v>
      </x:c>
      <x:c r="E1495" s="7" t="str">
        <x:v>BLD-B</x:v>
      </x:c>
      <x:c r="F1495" s="7" t="str">
        <x:v>BL-Y</x:v>
      </x:c>
      <x:c r="G1495" s="7" t="str">
        <x:v>MF-09</x:v>
      </x:c>
      <x:c r="H1495" s="7" t="str"/>
      <x:c r="I1495" s="7" t="str"/>
      <x:c r="J1495" s="7" t="str">
        <x:f>IF(OR(H1495="",I1495=""),"",I1495-H1495)</x:f>
      </x:c>
      <x:c r="K1495" s="7" t="str"/>
      <x:c r="L1495" s="7" t="str"/>
      <x:c r="M1495" s="7" t="str">
        <x:f>IF(L1495="","OPEN",IF(OR(NOT(ISNUMBER(H1495)),NOT(ISNUMBER(I1495)),NOT(ISNUMBER(K1495)),ABS(J1495)&gt;K1495),"FAIL","PASS"))</x:f>
        <x:v>OPEN</x:v>
      </x:c>
    </x:row>
    <x:row r="1496">
      <x:c r="B1496" s="7" t="str">
        <x:v>CAL-CH-PEA-B-Y2-09-2</x:v>
      </x:c>
      <x:c r="C1496" s="7" t="str">
        <x:v>CH-PEA-B-Y2-09-2</x:v>
      </x:c>
      <x:c r="D1496" s="7" t="str">
        <x:v>PEA-B-Y2</x:v>
      </x:c>
      <x:c r="E1496" s="7" t="str">
        <x:v>BLD-B</x:v>
      </x:c>
      <x:c r="F1496" s="7" t="str">
        <x:v>BL-Y</x:v>
      </x:c>
      <x:c r="G1496" s="7" t="str">
        <x:v>MF-09</x:v>
      </x:c>
      <x:c r="H1496" s="7" t="str"/>
      <x:c r="I1496" s="7" t="str"/>
      <x:c r="J1496" s="7" t="str">
        <x:f>IF(OR(H1496="",I1496=""),"",I1496-H1496)</x:f>
      </x:c>
      <x:c r="K1496" s="7" t="str"/>
      <x:c r="L1496" s="7" t="str"/>
      <x:c r="M1496" s="7" t="str">
        <x:f>IF(L1496="","OPEN",IF(OR(NOT(ISNUMBER(H1496)),NOT(ISNUMBER(I1496)),NOT(ISNUMBER(K1496)),ABS(J1496)&gt;K1496),"FAIL","PASS"))</x:f>
        <x:v>OPEN</x:v>
      </x:c>
    </x:row>
    <x:row r="1497">
      <x:c r="B1497" s="7" t="str">
        <x:v>CAL-CH-PEA-B-Y2-09-3</x:v>
      </x:c>
      <x:c r="C1497" s="7" t="str">
        <x:v>CH-PEA-B-Y2-09-3</x:v>
      </x:c>
      <x:c r="D1497" s="7" t="str">
        <x:v>PEA-B-Y2</x:v>
      </x:c>
      <x:c r="E1497" s="7" t="str">
        <x:v>BLD-B</x:v>
      </x:c>
      <x:c r="F1497" s="7" t="str">
        <x:v>BL-Y</x:v>
      </x:c>
      <x:c r="G1497" s="7" t="str">
        <x:v>MF-09</x:v>
      </x:c>
      <x:c r="H1497" s="7" t="str"/>
      <x:c r="I1497" s="7" t="str"/>
      <x:c r="J1497" s="7" t="str">
        <x:f>IF(OR(H1497="",I1497=""),"",I1497-H1497)</x:f>
      </x:c>
      <x:c r="K1497" s="7" t="str"/>
      <x:c r="L1497" s="7" t="str"/>
      <x:c r="M1497" s="7" t="str">
        <x:f>IF(L1497="","OPEN",IF(OR(NOT(ISNUMBER(H1497)),NOT(ISNUMBER(I1497)),NOT(ISNUMBER(K1497)),ABS(J1497)&gt;K1497),"FAIL","PASS"))</x:f>
        <x:v>OPEN</x:v>
      </x:c>
    </x:row>
    <x:row r="1498">
      <x:c r="B1498" s="7" t="str">
        <x:v>CAL-CH-PEA-B-Y2-09-4</x:v>
      </x:c>
      <x:c r="C1498" s="7" t="str">
        <x:v>CH-PEA-B-Y2-09-4</x:v>
      </x:c>
      <x:c r="D1498" s="7" t="str">
        <x:v>PEA-B-Y2</x:v>
      </x:c>
      <x:c r="E1498" s="7" t="str">
        <x:v>BLD-B</x:v>
      </x:c>
      <x:c r="F1498" s="7" t="str">
        <x:v>BL-Y</x:v>
      </x:c>
      <x:c r="G1498" s="7" t="str">
        <x:v>MF-09</x:v>
      </x:c>
      <x:c r="H1498" s="7" t="str"/>
      <x:c r="I1498" s="7" t="str"/>
      <x:c r="J1498" s="7" t="str">
        <x:f>IF(OR(H1498="",I1498=""),"",I1498-H1498)</x:f>
      </x:c>
      <x:c r="K1498" s="7" t="str"/>
      <x:c r="L1498" s="7" t="str"/>
      <x:c r="M1498" s="7" t="str">
        <x:f>IF(L1498="","OPEN",IF(OR(NOT(ISNUMBER(H1498)),NOT(ISNUMBER(I1498)),NOT(ISNUMBER(K1498)),ABS(J1498)&gt;K1498),"FAIL","PASS"))</x:f>
        <x:v>OPEN</x:v>
      </x:c>
    </x:row>
    <x:row r="1499">
      <x:c r="B1499" s="7" t="str">
        <x:v>CAL-CH-PEA-B-Y2-09-5</x:v>
      </x:c>
      <x:c r="C1499" s="7" t="str">
        <x:v>CH-PEA-B-Y2-09-5</x:v>
      </x:c>
      <x:c r="D1499" s="7" t="str">
        <x:v>PEA-B-Y2</x:v>
      </x:c>
      <x:c r="E1499" s="7" t="str">
        <x:v>BLD-B</x:v>
      </x:c>
      <x:c r="F1499" s="7" t="str">
        <x:v>BL-Y</x:v>
      </x:c>
      <x:c r="G1499" s="7" t="str">
        <x:v>MF-09</x:v>
      </x:c>
      <x:c r="H1499" s="7" t="str"/>
      <x:c r="I1499" s="7" t="str"/>
      <x:c r="J1499" s="7" t="str">
        <x:f>IF(OR(H1499="",I1499=""),"",I1499-H1499)</x:f>
      </x:c>
      <x:c r="K1499" s="7" t="str"/>
      <x:c r="L1499" s="7" t="str"/>
      <x:c r="M1499" s="7" t="str">
        <x:f>IF(L1499="","OPEN",IF(OR(NOT(ISNUMBER(H1499)),NOT(ISNUMBER(I1499)),NOT(ISNUMBER(K1499)),ABS(J1499)&gt;K1499),"FAIL","PASS"))</x:f>
        <x:v>OPEN</x:v>
      </x:c>
    </x:row>
    <x:row r="1500">
      <x:c r="B1500" s="7" t="str">
        <x:v>CAL-CH-PEA-B-Y2-09-6</x:v>
      </x:c>
      <x:c r="C1500" s="7" t="str">
        <x:v>CH-PEA-B-Y2-09-6</x:v>
      </x:c>
      <x:c r="D1500" s="7" t="str">
        <x:v>PEA-B-Y2</x:v>
      </x:c>
      <x:c r="E1500" s="7" t="str">
        <x:v>BLD-B</x:v>
      </x:c>
      <x:c r="F1500" s="7" t="str">
        <x:v>BL-Y</x:v>
      </x:c>
      <x:c r="G1500" s="7" t="str">
        <x:v>MF-09</x:v>
      </x:c>
      <x:c r="H1500" s="7" t="str"/>
      <x:c r="I1500" s="7" t="str"/>
      <x:c r="J1500" s="7" t="str">
        <x:f>IF(OR(H1500="",I1500=""),"",I1500-H1500)</x:f>
      </x:c>
      <x:c r="K1500" s="7" t="str"/>
      <x:c r="L1500" s="7" t="str"/>
      <x:c r="M1500" s="7" t="str">
        <x:f>IF(L1500="","OPEN",IF(OR(NOT(ISNUMBER(H1500)),NOT(ISNUMBER(I1500)),NOT(ISNUMBER(K1500)),ABS(J1500)&gt;K1500),"FAIL","PASS"))</x:f>
        <x:v>OPEN</x:v>
      </x:c>
    </x:row>
    <x:row r="1501">
      <x:c r="B1501" s="7" t="str">
        <x:v>CAL-CH-PEA-B-Y2-10-1</x:v>
      </x:c>
      <x:c r="C1501" s="7" t="str">
        <x:v>CH-PEA-B-Y2-10-1</x:v>
      </x:c>
      <x:c r="D1501" s="7" t="str">
        <x:v>PEA-B-Y2</x:v>
      </x:c>
      <x:c r="E1501" s="7" t="str">
        <x:v>BLD-B</x:v>
      </x:c>
      <x:c r="F1501" s="7" t="str">
        <x:v>BL-Y</x:v>
      </x:c>
      <x:c r="G1501" s="7" t="str">
        <x:v>MF-10</x:v>
      </x:c>
      <x:c r="H1501" s="7" t="str"/>
      <x:c r="I1501" s="7" t="str"/>
      <x:c r="J1501" s="7" t="str">
        <x:f>IF(OR(H1501="",I1501=""),"",I1501-H1501)</x:f>
      </x:c>
      <x:c r="K1501" s="7" t="str"/>
      <x:c r="L1501" s="7" t="str"/>
      <x:c r="M1501" s="7" t="str">
        <x:f>IF(L1501="","OPEN",IF(OR(NOT(ISNUMBER(H1501)),NOT(ISNUMBER(I1501)),NOT(ISNUMBER(K1501)),ABS(J1501)&gt;K1501),"FAIL","PASS"))</x:f>
        <x:v>OPEN</x:v>
      </x:c>
    </x:row>
    <x:row r="1502">
      <x:c r="B1502" s="7" t="str">
        <x:v>CAL-CH-PEA-B-Y2-10-2</x:v>
      </x:c>
      <x:c r="C1502" s="7" t="str">
        <x:v>CH-PEA-B-Y2-10-2</x:v>
      </x:c>
      <x:c r="D1502" s="7" t="str">
        <x:v>PEA-B-Y2</x:v>
      </x:c>
      <x:c r="E1502" s="7" t="str">
        <x:v>BLD-B</x:v>
      </x:c>
      <x:c r="F1502" s="7" t="str">
        <x:v>BL-Y</x:v>
      </x:c>
      <x:c r="G1502" s="7" t="str">
        <x:v>MF-10</x:v>
      </x:c>
      <x:c r="H1502" s="7" t="str"/>
      <x:c r="I1502" s="7" t="str"/>
      <x:c r="J1502" s="7" t="str">
        <x:f>IF(OR(H1502="",I1502=""),"",I1502-H1502)</x:f>
      </x:c>
      <x:c r="K1502" s="7" t="str"/>
      <x:c r="L1502" s="7" t="str"/>
      <x:c r="M1502" s="7" t="str">
        <x:f>IF(L1502="","OPEN",IF(OR(NOT(ISNUMBER(H1502)),NOT(ISNUMBER(I1502)),NOT(ISNUMBER(K1502)),ABS(J1502)&gt;K1502),"FAIL","PASS"))</x:f>
        <x:v>OPEN</x:v>
      </x:c>
    </x:row>
    <x:row r="1503">
      <x:c r="B1503" s="7" t="str">
        <x:v>CAL-CH-PEA-B-Y2-10-3</x:v>
      </x:c>
      <x:c r="C1503" s="7" t="str">
        <x:v>CH-PEA-B-Y2-10-3</x:v>
      </x:c>
      <x:c r="D1503" s="7" t="str">
        <x:v>PEA-B-Y2</x:v>
      </x:c>
      <x:c r="E1503" s="7" t="str">
        <x:v>BLD-B</x:v>
      </x:c>
      <x:c r="F1503" s="7" t="str">
        <x:v>BL-Y</x:v>
      </x:c>
      <x:c r="G1503" s="7" t="str">
        <x:v>MF-10</x:v>
      </x:c>
      <x:c r="H1503" s="7" t="str"/>
      <x:c r="I1503" s="7" t="str"/>
      <x:c r="J1503" s="7" t="str">
        <x:f>IF(OR(H1503="",I1503=""),"",I1503-H1503)</x:f>
      </x:c>
      <x:c r="K1503" s="7" t="str"/>
      <x:c r="L1503" s="7" t="str"/>
      <x:c r="M1503" s="7" t="str">
        <x:f>IF(L1503="","OPEN",IF(OR(NOT(ISNUMBER(H1503)),NOT(ISNUMBER(I1503)),NOT(ISNUMBER(K1503)),ABS(J1503)&gt;K1503),"FAIL","PASS"))</x:f>
        <x:v>OPEN</x:v>
      </x:c>
    </x:row>
    <x:row r="1504">
      <x:c r="B1504" s="7" t="str">
        <x:v>CAL-CH-PEA-B-Y2-10-4</x:v>
      </x:c>
      <x:c r="C1504" s="7" t="str">
        <x:v>CH-PEA-B-Y2-10-4</x:v>
      </x:c>
      <x:c r="D1504" s="7" t="str">
        <x:v>PEA-B-Y2</x:v>
      </x:c>
      <x:c r="E1504" s="7" t="str">
        <x:v>BLD-B</x:v>
      </x:c>
      <x:c r="F1504" s="7" t="str">
        <x:v>BL-Y</x:v>
      </x:c>
      <x:c r="G1504" s="7" t="str">
        <x:v>MF-10</x:v>
      </x:c>
      <x:c r="H1504" s="7" t="str"/>
      <x:c r="I1504" s="7" t="str"/>
      <x:c r="J1504" s="7" t="str">
        <x:f>IF(OR(H1504="",I1504=""),"",I1504-H1504)</x:f>
      </x:c>
      <x:c r="K1504" s="7" t="str"/>
      <x:c r="L1504" s="7" t="str"/>
      <x:c r="M1504" s="7" t="str">
        <x:f>IF(L1504="","OPEN",IF(OR(NOT(ISNUMBER(H1504)),NOT(ISNUMBER(I1504)),NOT(ISNUMBER(K1504)),ABS(J1504)&gt;K1504),"FAIL","PASS"))</x:f>
        <x:v>OPEN</x:v>
      </x:c>
    </x:row>
    <x:row r="1505">
      <x:c r="B1505" s="7" t="str">
        <x:v>CAL-CH-PEA-B-Y2-10-5</x:v>
      </x:c>
      <x:c r="C1505" s="7" t="str">
        <x:v>CH-PEA-B-Y2-10-5</x:v>
      </x:c>
      <x:c r="D1505" s="7" t="str">
        <x:v>PEA-B-Y2</x:v>
      </x:c>
      <x:c r="E1505" s="7" t="str">
        <x:v>BLD-B</x:v>
      </x:c>
      <x:c r="F1505" s="7" t="str">
        <x:v>BL-Y</x:v>
      </x:c>
      <x:c r="G1505" s="7" t="str">
        <x:v>MF-10</x:v>
      </x:c>
      <x:c r="H1505" s="7" t="str"/>
      <x:c r="I1505" s="7" t="str"/>
      <x:c r="J1505" s="7" t="str">
        <x:f>IF(OR(H1505="",I1505=""),"",I1505-H1505)</x:f>
      </x:c>
      <x:c r="K1505" s="7" t="str"/>
      <x:c r="L1505" s="7" t="str"/>
      <x:c r="M1505" s="7" t="str">
        <x:f>IF(L1505="","OPEN",IF(OR(NOT(ISNUMBER(H1505)),NOT(ISNUMBER(I1505)),NOT(ISNUMBER(K1505)),ABS(J1505)&gt;K1505),"FAIL","PASS"))</x:f>
        <x:v>OPEN</x:v>
      </x:c>
    </x:row>
    <x:row r="1506">
      <x:c r="B1506" s="7" t="str">
        <x:v>CAL-CH-PEA-B-Y2-10-6</x:v>
      </x:c>
      <x:c r="C1506" s="7" t="str">
        <x:v>CH-PEA-B-Y2-10-6</x:v>
      </x:c>
      <x:c r="D1506" s="7" t="str">
        <x:v>PEA-B-Y2</x:v>
      </x:c>
      <x:c r="E1506" s="7" t="str">
        <x:v>BLD-B</x:v>
      </x:c>
      <x:c r="F1506" s="7" t="str">
        <x:v>BL-Y</x:v>
      </x:c>
      <x:c r="G1506" s="7" t="str">
        <x:v>MF-10</x:v>
      </x:c>
      <x:c r="H1506" s="7" t="str"/>
      <x:c r="I1506" s="7" t="str"/>
      <x:c r="J1506" s="7" t="str">
        <x:f>IF(OR(H1506="",I1506=""),"",I1506-H1506)</x:f>
      </x:c>
      <x:c r="K1506" s="7" t="str"/>
      <x:c r="L1506" s="7" t="str"/>
      <x:c r="M1506" s="7" t="str">
        <x:f>IF(L1506="","OPEN",IF(OR(NOT(ISNUMBER(H1506)),NOT(ISNUMBER(I1506)),NOT(ISNUMBER(K1506)),ABS(J1506)&gt;K1506),"FAIL","PASS"))</x:f>
        <x:v>OPEN</x:v>
      </x:c>
    </x:row>
    <x:row r="1507">
      <x:c r="B1507" s="7" t="str">
        <x:v>CAL-CH-PEA-B-Y2-11-1</x:v>
      </x:c>
      <x:c r="C1507" s="7" t="str">
        <x:v>CH-PEA-B-Y2-11-1</x:v>
      </x:c>
      <x:c r="D1507" s="7" t="str">
        <x:v>PEA-B-Y2</x:v>
      </x:c>
      <x:c r="E1507" s="7" t="str">
        <x:v>BLD-B</x:v>
      </x:c>
      <x:c r="F1507" s="7" t="str">
        <x:v>BL-Y</x:v>
      </x:c>
      <x:c r="G1507" s="7" t="str">
        <x:v>MF-11</x:v>
      </x:c>
      <x:c r="H1507" s="7" t="str"/>
      <x:c r="I1507" s="7" t="str"/>
      <x:c r="J1507" s="7" t="str">
        <x:f>IF(OR(H1507="",I1507=""),"",I1507-H1507)</x:f>
      </x:c>
      <x:c r="K1507" s="7" t="str"/>
      <x:c r="L1507" s="7" t="str"/>
      <x:c r="M1507" s="7" t="str">
        <x:f>IF(L1507="","OPEN",IF(OR(NOT(ISNUMBER(H1507)),NOT(ISNUMBER(I1507)),NOT(ISNUMBER(K1507)),ABS(J1507)&gt;K1507),"FAIL","PASS"))</x:f>
        <x:v>OPEN</x:v>
      </x:c>
    </x:row>
    <x:row r="1508">
      <x:c r="B1508" s="7" t="str">
        <x:v>CAL-CH-PEA-B-Y2-11-2</x:v>
      </x:c>
      <x:c r="C1508" s="7" t="str">
        <x:v>CH-PEA-B-Y2-11-2</x:v>
      </x:c>
      <x:c r="D1508" s="7" t="str">
        <x:v>PEA-B-Y2</x:v>
      </x:c>
      <x:c r="E1508" s="7" t="str">
        <x:v>BLD-B</x:v>
      </x:c>
      <x:c r="F1508" s="7" t="str">
        <x:v>BL-Y</x:v>
      </x:c>
      <x:c r="G1508" s="7" t="str">
        <x:v>MF-11</x:v>
      </x:c>
      <x:c r="H1508" s="7" t="str"/>
      <x:c r="I1508" s="7" t="str"/>
      <x:c r="J1508" s="7" t="str">
        <x:f>IF(OR(H1508="",I1508=""),"",I1508-H1508)</x:f>
      </x:c>
      <x:c r="K1508" s="7" t="str"/>
      <x:c r="L1508" s="7" t="str"/>
      <x:c r="M1508" s="7" t="str">
        <x:f>IF(L1508="","OPEN",IF(OR(NOT(ISNUMBER(H1508)),NOT(ISNUMBER(I1508)),NOT(ISNUMBER(K1508)),ABS(J1508)&gt;K1508),"FAIL","PASS"))</x:f>
        <x:v>OPEN</x:v>
      </x:c>
    </x:row>
    <x:row r="1509">
      <x:c r="B1509" s="7" t="str">
        <x:v>CAL-CH-PEA-B-Y2-11-3</x:v>
      </x:c>
      <x:c r="C1509" s="7" t="str">
        <x:v>CH-PEA-B-Y2-11-3</x:v>
      </x:c>
      <x:c r="D1509" s="7" t="str">
        <x:v>PEA-B-Y2</x:v>
      </x:c>
      <x:c r="E1509" s="7" t="str">
        <x:v>BLD-B</x:v>
      </x:c>
      <x:c r="F1509" s="7" t="str">
        <x:v>BL-Y</x:v>
      </x:c>
      <x:c r="G1509" s="7" t="str">
        <x:v>MF-11</x:v>
      </x:c>
      <x:c r="H1509" s="7" t="str"/>
      <x:c r="I1509" s="7" t="str"/>
      <x:c r="J1509" s="7" t="str">
        <x:f>IF(OR(H1509="",I1509=""),"",I1509-H1509)</x:f>
      </x:c>
      <x:c r="K1509" s="7" t="str"/>
      <x:c r="L1509" s="7" t="str"/>
      <x:c r="M1509" s="7" t="str">
        <x:f>IF(L1509="","OPEN",IF(OR(NOT(ISNUMBER(H1509)),NOT(ISNUMBER(I1509)),NOT(ISNUMBER(K1509)),ABS(J1509)&gt;K1509),"FAIL","PASS"))</x:f>
        <x:v>OPEN</x:v>
      </x:c>
    </x:row>
    <x:row r="1510">
      <x:c r="B1510" s="7" t="str">
        <x:v>CAL-CH-PEA-B-Y2-11-4</x:v>
      </x:c>
      <x:c r="C1510" s="7" t="str">
        <x:v>CH-PEA-B-Y2-11-4</x:v>
      </x:c>
      <x:c r="D1510" s="7" t="str">
        <x:v>PEA-B-Y2</x:v>
      </x:c>
      <x:c r="E1510" s="7" t="str">
        <x:v>BLD-B</x:v>
      </x:c>
      <x:c r="F1510" s="7" t="str">
        <x:v>BL-Y</x:v>
      </x:c>
      <x:c r="G1510" s="7" t="str">
        <x:v>MF-11</x:v>
      </x:c>
      <x:c r="H1510" s="7" t="str"/>
      <x:c r="I1510" s="7" t="str"/>
      <x:c r="J1510" s="7" t="str">
        <x:f>IF(OR(H1510="",I1510=""),"",I1510-H1510)</x:f>
      </x:c>
      <x:c r="K1510" s="7" t="str"/>
      <x:c r="L1510" s="7" t="str"/>
      <x:c r="M1510" s="7" t="str">
        <x:f>IF(L1510="","OPEN",IF(OR(NOT(ISNUMBER(H1510)),NOT(ISNUMBER(I1510)),NOT(ISNUMBER(K1510)),ABS(J1510)&gt;K1510),"FAIL","PASS"))</x:f>
        <x:v>OPEN</x:v>
      </x:c>
    </x:row>
    <x:row r="1511">
      <x:c r="B1511" s="7" t="str">
        <x:v>CAL-CH-PEA-B-Y2-11-5</x:v>
      </x:c>
      <x:c r="C1511" s="7" t="str">
        <x:v>CH-PEA-B-Y2-11-5</x:v>
      </x:c>
      <x:c r="D1511" s="7" t="str">
        <x:v>PEA-B-Y2</x:v>
      </x:c>
      <x:c r="E1511" s="7" t="str">
        <x:v>BLD-B</x:v>
      </x:c>
      <x:c r="F1511" s="7" t="str">
        <x:v>BL-Y</x:v>
      </x:c>
      <x:c r="G1511" s="7" t="str">
        <x:v>MF-11</x:v>
      </x:c>
      <x:c r="H1511" s="7" t="str"/>
      <x:c r="I1511" s="7" t="str"/>
      <x:c r="J1511" s="7" t="str">
        <x:f>IF(OR(H1511="",I1511=""),"",I1511-H1511)</x:f>
      </x:c>
      <x:c r="K1511" s="7" t="str"/>
      <x:c r="L1511" s="7" t="str"/>
      <x:c r="M1511" s="7" t="str">
        <x:f>IF(L1511="","OPEN",IF(OR(NOT(ISNUMBER(H1511)),NOT(ISNUMBER(I1511)),NOT(ISNUMBER(K1511)),ABS(J1511)&gt;K1511),"FAIL","PASS"))</x:f>
        <x:v>OPEN</x:v>
      </x:c>
    </x:row>
    <x:row r="1512">
      <x:c r="B1512" s="7" t="str">
        <x:v>CAL-CH-PEA-B-Y2-11-6</x:v>
      </x:c>
      <x:c r="C1512" s="7" t="str">
        <x:v>CH-PEA-B-Y2-11-6</x:v>
      </x:c>
      <x:c r="D1512" s="7" t="str">
        <x:v>PEA-B-Y2</x:v>
      </x:c>
      <x:c r="E1512" s="7" t="str">
        <x:v>BLD-B</x:v>
      </x:c>
      <x:c r="F1512" s="7" t="str">
        <x:v>BL-Y</x:v>
      </x:c>
      <x:c r="G1512" s="7" t="str">
        <x:v>MF-11</x:v>
      </x:c>
      <x:c r="H1512" s="7" t="str"/>
      <x:c r="I1512" s="7" t="str"/>
      <x:c r="J1512" s="7" t="str">
        <x:f>IF(OR(H1512="",I1512=""),"",I1512-H1512)</x:f>
      </x:c>
      <x:c r="K1512" s="7" t="str"/>
      <x:c r="L1512" s="7" t="str"/>
      <x:c r="M1512" s="7" t="str">
        <x:f>IF(L1512="","OPEN",IF(OR(NOT(ISNUMBER(H1512)),NOT(ISNUMBER(I1512)),NOT(ISNUMBER(K1512)),ABS(J1512)&gt;K1512),"FAIL","PASS"))</x:f>
        <x:v>OPEN</x:v>
      </x:c>
    </x:row>
    <x:row r="1513">
      <x:c r="B1513" s="7" t="str">
        <x:v>CAL-CH-PEA-B-Y2-12-1</x:v>
      </x:c>
      <x:c r="C1513" s="7" t="str">
        <x:v>CH-PEA-B-Y2-12-1</x:v>
      </x:c>
      <x:c r="D1513" s="7" t="str">
        <x:v>PEA-B-Y2</x:v>
      </x:c>
      <x:c r="E1513" s="7" t="str">
        <x:v>BLD-B</x:v>
      </x:c>
      <x:c r="F1513" s="7" t="str">
        <x:v>BL-Y</x:v>
      </x:c>
      <x:c r="G1513" s="7" t="str">
        <x:v>MF-12</x:v>
      </x:c>
      <x:c r="H1513" s="7" t="str"/>
      <x:c r="I1513" s="7" t="str"/>
      <x:c r="J1513" s="7" t="str">
        <x:f>IF(OR(H1513="",I1513=""),"",I1513-H1513)</x:f>
      </x:c>
      <x:c r="K1513" s="7" t="str"/>
      <x:c r="L1513" s="7" t="str"/>
      <x:c r="M1513" s="7" t="str">
        <x:f>IF(L1513="","OPEN",IF(OR(NOT(ISNUMBER(H1513)),NOT(ISNUMBER(I1513)),NOT(ISNUMBER(K1513)),ABS(J1513)&gt;K1513),"FAIL","PASS"))</x:f>
        <x:v>OPEN</x:v>
      </x:c>
    </x:row>
    <x:row r="1514">
      <x:c r="B1514" s="7" t="str">
        <x:v>CAL-CH-PEA-B-Y2-12-2</x:v>
      </x:c>
      <x:c r="C1514" s="7" t="str">
        <x:v>CH-PEA-B-Y2-12-2</x:v>
      </x:c>
      <x:c r="D1514" s="7" t="str">
        <x:v>PEA-B-Y2</x:v>
      </x:c>
      <x:c r="E1514" s="7" t="str">
        <x:v>BLD-B</x:v>
      </x:c>
      <x:c r="F1514" s="7" t="str">
        <x:v>BL-Y</x:v>
      </x:c>
      <x:c r="G1514" s="7" t="str">
        <x:v>MF-12</x:v>
      </x:c>
      <x:c r="H1514" s="7" t="str"/>
      <x:c r="I1514" s="7" t="str"/>
      <x:c r="J1514" s="7" t="str">
        <x:f>IF(OR(H1514="",I1514=""),"",I1514-H1514)</x:f>
      </x:c>
      <x:c r="K1514" s="7" t="str"/>
      <x:c r="L1514" s="7" t="str"/>
      <x:c r="M1514" s="7" t="str">
        <x:f>IF(L1514="","OPEN",IF(OR(NOT(ISNUMBER(H1514)),NOT(ISNUMBER(I1514)),NOT(ISNUMBER(K1514)),ABS(J1514)&gt;K1514),"FAIL","PASS"))</x:f>
        <x:v>OPEN</x:v>
      </x:c>
    </x:row>
    <x:row r="1515">
      <x:c r="B1515" s="7" t="str">
        <x:v>CAL-CH-PEA-B-Y2-12-3</x:v>
      </x:c>
      <x:c r="C1515" s="7" t="str">
        <x:v>CH-PEA-B-Y2-12-3</x:v>
      </x:c>
      <x:c r="D1515" s="7" t="str">
        <x:v>PEA-B-Y2</x:v>
      </x:c>
      <x:c r="E1515" s="7" t="str">
        <x:v>BLD-B</x:v>
      </x:c>
      <x:c r="F1515" s="7" t="str">
        <x:v>BL-Y</x:v>
      </x:c>
      <x:c r="G1515" s="7" t="str">
        <x:v>MF-12</x:v>
      </x:c>
      <x:c r="H1515" s="7" t="str"/>
      <x:c r="I1515" s="7" t="str"/>
      <x:c r="J1515" s="7" t="str">
        <x:f>IF(OR(H1515="",I1515=""),"",I1515-H1515)</x:f>
      </x:c>
      <x:c r="K1515" s="7" t="str"/>
      <x:c r="L1515" s="7" t="str"/>
      <x:c r="M1515" s="7" t="str">
        <x:f>IF(L1515="","OPEN",IF(OR(NOT(ISNUMBER(H1515)),NOT(ISNUMBER(I1515)),NOT(ISNUMBER(K1515)),ABS(J1515)&gt;K1515),"FAIL","PASS"))</x:f>
        <x:v>OPEN</x:v>
      </x:c>
    </x:row>
    <x:row r="1516">
      <x:c r="B1516" s="7" t="str">
        <x:v>CAL-CH-PEA-B-Y2-12-4</x:v>
      </x:c>
      <x:c r="C1516" s="7" t="str">
        <x:v>CH-PEA-B-Y2-12-4</x:v>
      </x:c>
      <x:c r="D1516" s="7" t="str">
        <x:v>PEA-B-Y2</x:v>
      </x:c>
      <x:c r="E1516" s="7" t="str">
        <x:v>BLD-B</x:v>
      </x:c>
      <x:c r="F1516" s="7" t="str">
        <x:v>BL-Y</x:v>
      </x:c>
      <x:c r="G1516" s="7" t="str">
        <x:v>MF-12</x:v>
      </x:c>
      <x:c r="H1516" s="7" t="str"/>
      <x:c r="I1516" s="7" t="str"/>
      <x:c r="J1516" s="7" t="str">
        <x:f>IF(OR(H1516="",I1516=""),"",I1516-H1516)</x:f>
      </x:c>
      <x:c r="K1516" s="7" t="str"/>
      <x:c r="L1516" s="7" t="str"/>
      <x:c r="M1516" s="7" t="str">
        <x:f>IF(L1516="","OPEN",IF(OR(NOT(ISNUMBER(H1516)),NOT(ISNUMBER(I1516)),NOT(ISNUMBER(K1516)),ABS(J1516)&gt;K1516),"FAIL","PASS"))</x:f>
        <x:v>OPEN</x:v>
      </x:c>
    </x:row>
    <x:row r="1517">
      <x:c r="B1517" s="7" t="str">
        <x:v>CAL-CH-PEA-B-Y2-12-5</x:v>
      </x:c>
      <x:c r="C1517" s="7" t="str">
        <x:v>CH-PEA-B-Y2-12-5</x:v>
      </x:c>
      <x:c r="D1517" s="7" t="str">
        <x:v>PEA-B-Y2</x:v>
      </x:c>
      <x:c r="E1517" s="7" t="str">
        <x:v>BLD-B</x:v>
      </x:c>
      <x:c r="F1517" s="7" t="str">
        <x:v>BL-Y</x:v>
      </x:c>
      <x:c r="G1517" s="7" t="str">
        <x:v>MF-12</x:v>
      </x:c>
      <x:c r="H1517" s="7" t="str"/>
      <x:c r="I1517" s="7" t="str"/>
      <x:c r="J1517" s="7" t="str">
        <x:f>IF(OR(H1517="",I1517=""),"",I1517-H1517)</x:f>
      </x:c>
      <x:c r="K1517" s="7" t="str"/>
      <x:c r="L1517" s="7" t="str"/>
      <x:c r="M1517" s="7" t="str">
        <x:f>IF(L1517="","OPEN",IF(OR(NOT(ISNUMBER(H1517)),NOT(ISNUMBER(I1517)),NOT(ISNUMBER(K1517)),ABS(J1517)&gt;K1517),"FAIL","PASS"))</x:f>
        <x:v>OPEN</x:v>
      </x:c>
    </x:row>
    <x:row r="1518">
      <x:c r="B1518" s="7" t="str">
        <x:v>CAL-CH-PEA-B-Y2-12-6</x:v>
      </x:c>
      <x:c r="C1518" s="7" t="str">
        <x:v>CH-PEA-B-Y2-12-6</x:v>
      </x:c>
      <x:c r="D1518" s="7" t="str">
        <x:v>PEA-B-Y2</x:v>
      </x:c>
      <x:c r="E1518" s="7" t="str">
        <x:v>BLD-B</x:v>
      </x:c>
      <x:c r="F1518" s="7" t="str">
        <x:v>BL-Y</x:v>
      </x:c>
      <x:c r="G1518" s="7" t="str">
        <x:v>MF-12</x:v>
      </x:c>
      <x:c r="H1518" s="7" t="str"/>
      <x:c r="I1518" s="7" t="str"/>
      <x:c r="J1518" s="7" t="str">
        <x:f>IF(OR(H1518="",I1518=""),"",I1518-H1518)</x:f>
      </x:c>
      <x:c r="K1518" s="7" t="str"/>
      <x:c r="L1518" s="7" t="str"/>
      <x:c r="M1518" s="7" t="str">
        <x:f>IF(L1518="","OPEN",IF(OR(NOT(ISNUMBER(H1518)),NOT(ISNUMBER(I1518)),NOT(ISNUMBER(K1518)),ABS(J1518)&gt;K1518),"FAIL","PASS"))</x:f>
        <x:v>OPEN</x:v>
      </x:c>
    </x:row>
    <x:row r="1519">
      <x:c r="B1519" s="7" t="str">
        <x:v>CAL-CH-PEA-B-Y2-13-1</x:v>
      </x:c>
      <x:c r="C1519" s="7" t="str">
        <x:v>CH-PEA-B-Y2-13-1</x:v>
      </x:c>
      <x:c r="D1519" s="7" t="str">
        <x:v>PEA-B-Y2</x:v>
      </x:c>
      <x:c r="E1519" s="7" t="str">
        <x:v>BLD-B</x:v>
      </x:c>
      <x:c r="F1519" s="7" t="str">
        <x:v>BL-Y</x:v>
      </x:c>
      <x:c r="G1519" s="7" t="str">
        <x:v>MF-13</x:v>
      </x:c>
      <x:c r="H1519" s="7" t="str"/>
      <x:c r="I1519" s="7" t="str"/>
      <x:c r="J1519" s="7" t="str">
        <x:f>IF(OR(H1519="",I1519=""),"",I1519-H1519)</x:f>
      </x:c>
      <x:c r="K1519" s="7" t="str"/>
      <x:c r="L1519" s="7" t="str"/>
      <x:c r="M1519" s="7" t="str">
        <x:f>IF(L1519="","OPEN",IF(OR(NOT(ISNUMBER(H1519)),NOT(ISNUMBER(I1519)),NOT(ISNUMBER(K1519)),ABS(J1519)&gt;K1519),"FAIL","PASS"))</x:f>
        <x:v>OPEN</x:v>
      </x:c>
    </x:row>
    <x:row r="1520">
      <x:c r="B1520" s="7" t="str">
        <x:v>CAL-CH-PEA-B-Y2-13-2</x:v>
      </x:c>
      <x:c r="C1520" s="7" t="str">
        <x:v>CH-PEA-B-Y2-13-2</x:v>
      </x:c>
      <x:c r="D1520" s="7" t="str">
        <x:v>PEA-B-Y2</x:v>
      </x:c>
      <x:c r="E1520" s="7" t="str">
        <x:v>BLD-B</x:v>
      </x:c>
      <x:c r="F1520" s="7" t="str">
        <x:v>BL-Y</x:v>
      </x:c>
      <x:c r="G1520" s="7" t="str">
        <x:v>MF-13</x:v>
      </x:c>
      <x:c r="H1520" s="7" t="str"/>
      <x:c r="I1520" s="7" t="str"/>
      <x:c r="J1520" s="7" t="str">
        <x:f>IF(OR(H1520="",I1520=""),"",I1520-H1520)</x:f>
      </x:c>
      <x:c r="K1520" s="7" t="str"/>
      <x:c r="L1520" s="7" t="str"/>
      <x:c r="M1520" s="7" t="str">
        <x:f>IF(L1520="","OPEN",IF(OR(NOT(ISNUMBER(H1520)),NOT(ISNUMBER(I1520)),NOT(ISNUMBER(K1520)),ABS(J1520)&gt;K1520),"FAIL","PASS"))</x:f>
        <x:v>OPEN</x:v>
      </x:c>
    </x:row>
    <x:row r="1521">
      <x:c r="B1521" s="7" t="str">
        <x:v>CAL-CH-PEA-B-Y2-13-3</x:v>
      </x:c>
      <x:c r="C1521" s="7" t="str">
        <x:v>CH-PEA-B-Y2-13-3</x:v>
      </x:c>
      <x:c r="D1521" s="7" t="str">
        <x:v>PEA-B-Y2</x:v>
      </x:c>
      <x:c r="E1521" s="7" t="str">
        <x:v>BLD-B</x:v>
      </x:c>
      <x:c r="F1521" s="7" t="str">
        <x:v>BL-Y</x:v>
      </x:c>
      <x:c r="G1521" s="7" t="str">
        <x:v>MF-13</x:v>
      </x:c>
      <x:c r="H1521" s="7" t="str"/>
      <x:c r="I1521" s="7" t="str"/>
      <x:c r="J1521" s="7" t="str">
        <x:f>IF(OR(H1521="",I1521=""),"",I1521-H1521)</x:f>
      </x:c>
      <x:c r="K1521" s="7" t="str"/>
      <x:c r="L1521" s="7" t="str"/>
      <x:c r="M1521" s="7" t="str">
        <x:f>IF(L1521="","OPEN",IF(OR(NOT(ISNUMBER(H1521)),NOT(ISNUMBER(I1521)),NOT(ISNUMBER(K1521)),ABS(J1521)&gt;K1521),"FAIL","PASS"))</x:f>
        <x:v>OPEN</x:v>
      </x:c>
    </x:row>
    <x:row r="1522">
      <x:c r="B1522" s="7" t="str">
        <x:v>CAL-CH-PEA-B-Y2-13-4</x:v>
      </x:c>
      <x:c r="C1522" s="7" t="str">
        <x:v>CH-PEA-B-Y2-13-4</x:v>
      </x:c>
      <x:c r="D1522" s="7" t="str">
        <x:v>PEA-B-Y2</x:v>
      </x:c>
      <x:c r="E1522" s="7" t="str">
        <x:v>BLD-B</x:v>
      </x:c>
      <x:c r="F1522" s="7" t="str">
        <x:v>BL-Y</x:v>
      </x:c>
      <x:c r="G1522" s="7" t="str">
        <x:v>MF-13</x:v>
      </x:c>
      <x:c r="H1522" s="7" t="str"/>
      <x:c r="I1522" s="7" t="str"/>
      <x:c r="J1522" s="7" t="str">
        <x:f>IF(OR(H1522="",I1522=""),"",I1522-H1522)</x:f>
      </x:c>
      <x:c r="K1522" s="7" t="str"/>
      <x:c r="L1522" s="7" t="str"/>
      <x:c r="M1522" s="7" t="str">
        <x:f>IF(L1522="","OPEN",IF(OR(NOT(ISNUMBER(H1522)),NOT(ISNUMBER(I1522)),NOT(ISNUMBER(K1522)),ABS(J1522)&gt;K1522),"FAIL","PASS"))</x:f>
        <x:v>OPEN</x:v>
      </x:c>
    </x:row>
    <x:row r="1523">
      <x:c r="B1523" s="7" t="str">
        <x:v>CAL-CH-PEA-B-Y2-13-5</x:v>
      </x:c>
      <x:c r="C1523" s="7" t="str">
        <x:v>CH-PEA-B-Y2-13-5</x:v>
      </x:c>
      <x:c r="D1523" s="7" t="str">
        <x:v>PEA-B-Y2</x:v>
      </x:c>
      <x:c r="E1523" s="7" t="str">
        <x:v>BLD-B</x:v>
      </x:c>
      <x:c r="F1523" s="7" t="str">
        <x:v>BL-Y</x:v>
      </x:c>
      <x:c r="G1523" s="7" t="str">
        <x:v>MF-13</x:v>
      </x:c>
      <x:c r="H1523" s="7" t="str"/>
      <x:c r="I1523" s="7" t="str"/>
      <x:c r="J1523" s="7" t="str">
        <x:f>IF(OR(H1523="",I1523=""),"",I1523-H1523)</x:f>
      </x:c>
      <x:c r="K1523" s="7" t="str"/>
      <x:c r="L1523" s="7" t="str"/>
      <x:c r="M1523" s="7" t="str">
        <x:f>IF(L1523="","OPEN",IF(OR(NOT(ISNUMBER(H1523)),NOT(ISNUMBER(I1523)),NOT(ISNUMBER(K1523)),ABS(J1523)&gt;K1523),"FAIL","PASS"))</x:f>
        <x:v>OPEN</x:v>
      </x:c>
    </x:row>
    <x:row r="1524">
      <x:c r="B1524" s="7" t="str">
        <x:v>CAL-CH-PEA-B-Y2-13-6</x:v>
      </x:c>
      <x:c r="C1524" s="7" t="str">
        <x:v>CH-PEA-B-Y2-13-6</x:v>
      </x:c>
      <x:c r="D1524" s="7" t="str">
        <x:v>PEA-B-Y2</x:v>
      </x:c>
      <x:c r="E1524" s="7" t="str">
        <x:v>BLD-B</x:v>
      </x:c>
      <x:c r="F1524" s="7" t="str">
        <x:v>BL-Y</x:v>
      </x:c>
      <x:c r="G1524" s="7" t="str">
        <x:v>MF-13</x:v>
      </x:c>
      <x:c r="H1524" s="7" t="str"/>
      <x:c r="I1524" s="7" t="str"/>
      <x:c r="J1524" s="7" t="str">
        <x:f>IF(OR(H1524="",I1524=""),"",I1524-H1524)</x:f>
      </x:c>
      <x:c r="K1524" s="7" t="str"/>
      <x:c r="L1524" s="7" t="str"/>
      <x:c r="M1524" s="7" t="str">
        <x:f>IF(L1524="","OPEN",IF(OR(NOT(ISNUMBER(H1524)),NOT(ISNUMBER(I1524)),NOT(ISNUMBER(K1524)),ABS(J1524)&gt;K1524),"FAIL","PASS"))</x:f>
        <x:v>OPEN</x:v>
      </x:c>
    </x:row>
    <x:row r="1525">
      <x:c r="B1525" s="7" t="str">
        <x:v>CAL-CH-PEA-B-Y2-14-1</x:v>
      </x:c>
      <x:c r="C1525" s="7" t="str">
        <x:v>CH-PEA-B-Y2-14-1</x:v>
      </x:c>
      <x:c r="D1525" s="7" t="str">
        <x:v>PEA-B-Y2</x:v>
      </x:c>
      <x:c r="E1525" s="7" t="str">
        <x:v>BLD-B</x:v>
      </x:c>
      <x:c r="F1525" s="7" t="str">
        <x:v>BL-Y</x:v>
      </x:c>
      <x:c r="G1525" s="7" t="str">
        <x:v>MF-14</x:v>
      </x:c>
      <x:c r="H1525" s="7" t="str"/>
      <x:c r="I1525" s="7" t="str"/>
      <x:c r="J1525" s="7" t="str">
        <x:f>IF(OR(H1525="",I1525=""),"",I1525-H1525)</x:f>
      </x:c>
      <x:c r="K1525" s="7" t="str"/>
      <x:c r="L1525" s="7" t="str"/>
      <x:c r="M1525" s="7" t="str">
        <x:f>IF(L1525="","OPEN",IF(OR(NOT(ISNUMBER(H1525)),NOT(ISNUMBER(I1525)),NOT(ISNUMBER(K1525)),ABS(J1525)&gt;K1525),"FAIL","PASS"))</x:f>
        <x:v>OPEN</x:v>
      </x:c>
    </x:row>
    <x:row r="1526">
      <x:c r="B1526" s="7" t="str">
        <x:v>CAL-CH-PEA-B-Y2-14-2</x:v>
      </x:c>
      <x:c r="C1526" s="7" t="str">
        <x:v>CH-PEA-B-Y2-14-2</x:v>
      </x:c>
      <x:c r="D1526" s="7" t="str">
        <x:v>PEA-B-Y2</x:v>
      </x:c>
      <x:c r="E1526" s="7" t="str">
        <x:v>BLD-B</x:v>
      </x:c>
      <x:c r="F1526" s="7" t="str">
        <x:v>BL-Y</x:v>
      </x:c>
      <x:c r="G1526" s="7" t="str">
        <x:v>MF-14</x:v>
      </x:c>
      <x:c r="H1526" s="7" t="str"/>
      <x:c r="I1526" s="7" t="str"/>
      <x:c r="J1526" s="7" t="str">
        <x:f>IF(OR(H1526="",I1526=""),"",I1526-H1526)</x:f>
      </x:c>
      <x:c r="K1526" s="7" t="str"/>
      <x:c r="L1526" s="7" t="str"/>
      <x:c r="M1526" s="7" t="str">
        <x:f>IF(L1526="","OPEN",IF(OR(NOT(ISNUMBER(H1526)),NOT(ISNUMBER(I1526)),NOT(ISNUMBER(K1526)),ABS(J1526)&gt;K1526),"FAIL","PASS"))</x:f>
        <x:v>OPEN</x:v>
      </x:c>
    </x:row>
    <x:row r="1527">
      <x:c r="B1527" s="7" t="str">
        <x:v>CAL-CH-PEA-B-Y2-14-3</x:v>
      </x:c>
      <x:c r="C1527" s="7" t="str">
        <x:v>CH-PEA-B-Y2-14-3</x:v>
      </x:c>
      <x:c r="D1527" s="7" t="str">
        <x:v>PEA-B-Y2</x:v>
      </x:c>
      <x:c r="E1527" s="7" t="str">
        <x:v>BLD-B</x:v>
      </x:c>
      <x:c r="F1527" s="7" t="str">
        <x:v>BL-Y</x:v>
      </x:c>
      <x:c r="G1527" s="7" t="str">
        <x:v>MF-14</x:v>
      </x:c>
      <x:c r="H1527" s="7" t="str"/>
      <x:c r="I1527" s="7" t="str"/>
      <x:c r="J1527" s="7" t="str">
        <x:f>IF(OR(H1527="",I1527=""),"",I1527-H1527)</x:f>
      </x:c>
      <x:c r="K1527" s="7" t="str"/>
      <x:c r="L1527" s="7" t="str"/>
      <x:c r="M1527" s="7" t="str">
        <x:f>IF(L1527="","OPEN",IF(OR(NOT(ISNUMBER(H1527)),NOT(ISNUMBER(I1527)),NOT(ISNUMBER(K1527)),ABS(J1527)&gt;K1527),"FAIL","PASS"))</x:f>
        <x:v>OPEN</x:v>
      </x:c>
    </x:row>
    <x:row r="1528">
      <x:c r="B1528" s="7" t="str">
        <x:v>CAL-CH-PEA-B-Y2-14-4</x:v>
      </x:c>
      <x:c r="C1528" s="7" t="str">
        <x:v>CH-PEA-B-Y2-14-4</x:v>
      </x:c>
      <x:c r="D1528" s="7" t="str">
        <x:v>PEA-B-Y2</x:v>
      </x:c>
      <x:c r="E1528" s="7" t="str">
        <x:v>BLD-B</x:v>
      </x:c>
      <x:c r="F1528" s="7" t="str">
        <x:v>BL-Y</x:v>
      </x:c>
      <x:c r="G1528" s="7" t="str">
        <x:v>MF-14</x:v>
      </x:c>
      <x:c r="H1528" s="7" t="str"/>
      <x:c r="I1528" s="7" t="str"/>
      <x:c r="J1528" s="7" t="str">
        <x:f>IF(OR(H1528="",I1528=""),"",I1528-H1528)</x:f>
      </x:c>
      <x:c r="K1528" s="7" t="str"/>
      <x:c r="L1528" s="7" t="str"/>
      <x:c r="M1528" s="7" t="str">
        <x:f>IF(L1528="","OPEN",IF(OR(NOT(ISNUMBER(H1528)),NOT(ISNUMBER(I1528)),NOT(ISNUMBER(K1528)),ABS(J1528)&gt;K1528),"FAIL","PASS"))</x:f>
        <x:v>OPEN</x:v>
      </x:c>
    </x:row>
    <x:row r="1529">
      <x:c r="B1529" s="7" t="str">
        <x:v>CAL-CH-PEA-B-Y2-14-5</x:v>
      </x:c>
      <x:c r="C1529" s="7" t="str">
        <x:v>CH-PEA-B-Y2-14-5</x:v>
      </x:c>
      <x:c r="D1529" s="7" t="str">
        <x:v>PEA-B-Y2</x:v>
      </x:c>
      <x:c r="E1529" s="7" t="str">
        <x:v>BLD-B</x:v>
      </x:c>
      <x:c r="F1529" s="7" t="str">
        <x:v>BL-Y</x:v>
      </x:c>
      <x:c r="G1529" s="7" t="str">
        <x:v>MF-14</x:v>
      </x:c>
      <x:c r="H1529" s="7" t="str"/>
      <x:c r="I1529" s="7" t="str"/>
      <x:c r="J1529" s="7" t="str">
        <x:f>IF(OR(H1529="",I1529=""),"",I1529-H1529)</x:f>
      </x:c>
      <x:c r="K1529" s="7" t="str"/>
      <x:c r="L1529" s="7" t="str"/>
      <x:c r="M1529" s="7" t="str">
        <x:f>IF(L1529="","OPEN",IF(OR(NOT(ISNUMBER(H1529)),NOT(ISNUMBER(I1529)),NOT(ISNUMBER(K1529)),ABS(J1529)&gt;K1529),"FAIL","PASS"))</x:f>
        <x:v>OPEN</x:v>
      </x:c>
    </x:row>
    <x:row r="1530">
      <x:c r="B1530" s="7" t="str">
        <x:v>CAL-CH-PEA-B-Y2-14-6</x:v>
      </x:c>
      <x:c r="C1530" s="7" t="str">
        <x:v>CH-PEA-B-Y2-14-6</x:v>
      </x:c>
      <x:c r="D1530" s="7" t="str">
        <x:v>PEA-B-Y2</x:v>
      </x:c>
      <x:c r="E1530" s="7" t="str">
        <x:v>BLD-B</x:v>
      </x:c>
      <x:c r="F1530" s="7" t="str">
        <x:v>BL-Y</x:v>
      </x:c>
      <x:c r="G1530" s="7" t="str">
        <x:v>MF-14</x:v>
      </x:c>
      <x:c r="H1530" s="7" t="str"/>
      <x:c r="I1530" s="7" t="str"/>
      <x:c r="J1530" s="7" t="str">
        <x:f>IF(OR(H1530="",I1530=""),"",I1530-H1530)</x:f>
      </x:c>
      <x:c r="K1530" s="7" t="str"/>
      <x:c r="L1530" s="7" t="str"/>
      <x:c r="M1530" s="7" t="str">
        <x:f>IF(L1530="","OPEN",IF(OR(NOT(ISNUMBER(H1530)),NOT(ISNUMBER(I1530)),NOT(ISNUMBER(K1530)),ABS(J1530)&gt;K1530),"FAIL","PASS"))</x:f>
        <x:v>OPEN</x:v>
      </x:c>
    </x:row>
    <x:row r="1531">
      <x:c r="B1531" s="7" t="str">
        <x:v>CAL-CH-PEA-B-Y2-15-1</x:v>
      </x:c>
      <x:c r="C1531" s="7" t="str">
        <x:v>CH-PEA-B-Y2-15-1</x:v>
      </x:c>
      <x:c r="D1531" s="7" t="str">
        <x:v>PEA-B-Y2</x:v>
      </x:c>
      <x:c r="E1531" s="7" t="str">
        <x:v>BLD-B</x:v>
      </x:c>
      <x:c r="F1531" s="7" t="str">
        <x:v>BL-Y</x:v>
      </x:c>
      <x:c r="G1531" s="7" t="str">
        <x:v>MF-15</x:v>
      </x:c>
      <x:c r="H1531" s="7" t="str"/>
      <x:c r="I1531" s="7" t="str"/>
      <x:c r="J1531" s="7" t="str">
        <x:f>IF(OR(H1531="",I1531=""),"",I1531-H1531)</x:f>
      </x:c>
      <x:c r="K1531" s="7" t="str"/>
      <x:c r="L1531" s="7" t="str"/>
      <x:c r="M1531" s="7" t="str">
        <x:f>IF(L1531="","OPEN",IF(OR(NOT(ISNUMBER(H1531)),NOT(ISNUMBER(I1531)),NOT(ISNUMBER(K1531)),ABS(J1531)&gt;K1531),"FAIL","PASS"))</x:f>
        <x:v>OPEN</x:v>
      </x:c>
    </x:row>
    <x:row r="1532">
      <x:c r="B1532" s="7" t="str">
        <x:v>CAL-CH-PEA-B-Y2-15-2</x:v>
      </x:c>
      <x:c r="C1532" s="7" t="str">
        <x:v>CH-PEA-B-Y2-15-2</x:v>
      </x:c>
      <x:c r="D1532" s="7" t="str">
        <x:v>PEA-B-Y2</x:v>
      </x:c>
      <x:c r="E1532" s="7" t="str">
        <x:v>BLD-B</x:v>
      </x:c>
      <x:c r="F1532" s="7" t="str">
        <x:v>BL-Y</x:v>
      </x:c>
      <x:c r="G1532" s="7" t="str">
        <x:v>MF-15</x:v>
      </x:c>
      <x:c r="H1532" s="7" t="str"/>
      <x:c r="I1532" s="7" t="str"/>
      <x:c r="J1532" s="7" t="str">
        <x:f>IF(OR(H1532="",I1532=""),"",I1532-H1532)</x:f>
      </x:c>
      <x:c r="K1532" s="7" t="str"/>
      <x:c r="L1532" s="7" t="str"/>
      <x:c r="M1532" s="7" t="str">
        <x:f>IF(L1532="","OPEN",IF(OR(NOT(ISNUMBER(H1532)),NOT(ISNUMBER(I1532)),NOT(ISNUMBER(K1532)),ABS(J1532)&gt;K1532),"FAIL","PASS"))</x:f>
        <x:v>OPEN</x:v>
      </x:c>
    </x:row>
    <x:row r="1533">
      <x:c r="B1533" s="7" t="str">
        <x:v>CAL-CH-PEA-B-Y2-15-3</x:v>
      </x:c>
      <x:c r="C1533" s="7" t="str">
        <x:v>CH-PEA-B-Y2-15-3</x:v>
      </x:c>
      <x:c r="D1533" s="7" t="str">
        <x:v>PEA-B-Y2</x:v>
      </x:c>
      <x:c r="E1533" s="7" t="str">
        <x:v>BLD-B</x:v>
      </x:c>
      <x:c r="F1533" s="7" t="str">
        <x:v>BL-Y</x:v>
      </x:c>
      <x:c r="G1533" s="7" t="str">
        <x:v>MF-15</x:v>
      </x:c>
      <x:c r="H1533" s="7" t="str"/>
      <x:c r="I1533" s="7" t="str"/>
      <x:c r="J1533" s="7" t="str">
        <x:f>IF(OR(H1533="",I1533=""),"",I1533-H1533)</x:f>
      </x:c>
      <x:c r="K1533" s="7" t="str"/>
      <x:c r="L1533" s="7" t="str"/>
      <x:c r="M1533" s="7" t="str">
        <x:f>IF(L1533="","OPEN",IF(OR(NOT(ISNUMBER(H1533)),NOT(ISNUMBER(I1533)),NOT(ISNUMBER(K1533)),ABS(J1533)&gt;K1533),"FAIL","PASS"))</x:f>
        <x:v>OPEN</x:v>
      </x:c>
    </x:row>
    <x:row r="1534">
      <x:c r="B1534" s="7" t="str">
        <x:v>CAL-CH-PEA-B-Y2-15-4</x:v>
      </x:c>
      <x:c r="C1534" s="7" t="str">
        <x:v>CH-PEA-B-Y2-15-4</x:v>
      </x:c>
      <x:c r="D1534" s="7" t="str">
        <x:v>PEA-B-Y2</x:v>
      </x:c>
      <x:c r="E1534" s="7" t="str">
        <x:v>BLD-B</x:v>
      </x:c>
      <x:c r="F1534" s="7" t="str">
        <x:v>BL-Y</x:v>
      </x:c>
      <x:c r="G1534" s="7" t="str">
        <x:v>MF-15</x:v>
      </x:c>
      <x:c r="H1534" s="7" t="str"/>
      <x:c r="I1534" s="7" t="str"/>
      <x:c r="J1534" s="7" t="str">
        <x:f>IF(OR(H1534="",I1534=""),"",I1534-H1534)</x:f>
      </x:c>
      <x:c r="K1534" s="7" t="str"/>
      <x:c r="L1534" s="7" t="str"/>
      <x:c r="M1534" s="7" t="str">
        <x:f>IF(L1534="","OPEN",IF(OR(NOT(ISNUMBER(H1534)),NOT(ISNUMBER(I1534)),NOT(ISNUMBER(K1534)),ABS(J1534)&gt;K1534),"FAIL","PASS"))</x:f>
        <x:v>OPEN</x:v>
      </x:c>
    </x:row>
    <x:row r="1535">
      <x:c r="B1535" s="7" t="str">
        <x:v>CAL-CH-PEA-B-Y2-15-5</x:v>
      </x:c>
      <x:c r="C1535" s="7" t="str">
        <x:v>CH-PEA-B-Y2-15-5</x:v>
      </x:c>
      <x:c r="D1535" s="7" t="str">
        <x:v>PEA-B-Y2</x:v>
      </x:c>
      <x:c r="E1535" s="7" t="str">
        <x:v>BLD-B</x:v>
      </x:c>
      <x:c r="F1535" s="7" t="str">
        <x:v>BL-Y</x:v>
      </x:c>
      <x:c r="G1535" s="7" t="str">
        <x:v>MF-15</x:v>
      </x:c>
      <x:c r="H1535" s="7" t="str"/>
      <x:c r="I1535" s="7" t="str"/>
      <x:c r="J1535" s="7" t="str">
        <x:f>IF(OR(H1535="",I1535=""),"",I1535-H1535)</x:f>
      </x:c>
      <x:c r="K1535" s="7" t="str"/>
      <x:c r="L1535" s="7" t="str"/>
      <x:c r="M1535" s="7" t="str">
        <x:f>IF(L1535="","OPEN",IF(OR(NOT(ISNUMBER(H1535)),NOT(ISNUMBER(I1535)),NOT(ISNUMBER(K1535)),ABS(J1535)&gt;K1535),"FAIL","PASS"))</x:f>
        <x:v>OPEN</x:v>
      </x:c>
    </x:row>
    <x:row r="1536">
      <x:c r="B1536" s="7" t="str">
        <x:v>CAL-CH-PEA-B-Y2-15-6</x:v>
      </x:c>
      <x:c r="C1536" s="7" t="str">
        <x:v>CH-PEA-B-Y2-15-6</x:v>
      </x:c>
      <x:c r="D1536" s="7" t="str">
        <x:v>PEA-B-Y2</x:v>
      </x:c>
      <x:c r="E1536" s="7" t="str">
        <x:v>BLD-B</x:v>
      </x:c>
      <x:c r="F1536" s="7" t="str">
        <x:v>BL-Y</x:v>
      </x:c>
      <x:c r="G1536" s="7" t="str">
        <x:v>MF-15</x:v>
      </x:c>
      <x:c r="H1536" s="7" t="str"/>
      <x:c r="I1536" s="7" t="str"/>
      <x:c r="J1536" s="7" t="str">
        <x:f>IF(OR(H1536="",I1536=""),"",I1536-H1536)</x:f>
      </x:c>
      <x:c r="K1536" s="7" t="str"/>
      <x:c r="L1536" s="7" t="str"/>
      <x:c r="M1536" s="7" t="str">
        <x:f>IF(L1536="","OPEN",IF(OR(NOT(ISNUMBER(H1536)),NOT(ISNUMBER(I1536)),NOT(ISNUMBER(K1536)),ABS(J1536)&gt;K1536),"FAIL","PASS"))</x:f>
        <x:v>OPEN</x:v>
      </x:c>
    </x:row>
    <x:row r="1537">
      <x:c r="B1537" s="7" t="str">
        <x:v>CAL-CH-PEA-B-Y2-16-1</x:v>
      </x:c>
      <x:c r="C1537" s="7" t="str">
        <x:v>CH-PEA-B-Y2-16-1</x:v>
      </x:c>
      <x:c r="D1537" s="7" t="str">
        <x:v>PEA-B-Y2</x:v>
      </x:c>
      <x:c r="E1537" s="7" t="str">
        <x:v>BLD-B</x:v>
      </x:c>
      <x:c r="F1537" s="7" t="str">
        <x:v>BL-Y</x:v>
      </x:c>
      <x:c r="G1537" s="7" t="str">
        <x:v>MF-16</x:v>
      </x:c>
      <x:c r="H1537" s="7" t="str"/>
      <x:c r="I1537" s="7" t="str"/>
      <x:c r="J1537" s="7" t="str">
        <x:f>IF(OR(H1537="",I1537=""),"",I1537-H1537)</x:f>
      </x:c>
      <x:c r="K1537" s="7" t="str"/>
      <x:c r="L1537" s="7" t="str"/>
      <x:c r="M1537" s="7" t="str">
        <x:f>IF(L1537="","OPEN",IF(OR(NOT(ISNUMBER(H1537)),NOT(ISNUMBER(I1537)),NOT(ISNUMBER(K1537)),ABS(J1537)&gt;K1537),"FAIL","PASS"))</x:f>
        <x:v>OPEN</x:v>
      </x:c>
    </x:row>
    <x:row r="1538">
      <x:c r="B1538" s="7" t="str">
        <x:v>CAL-CH-PEA-B-Y2-16-2</x:v>
      </x:c>
      <x:c r="C1538" s="7" t="str">
        <x:v>CH-PEA-B-Y2-16-2</x:v>
      </x:c>
      <x:c r="D1538" s="7" t="str">
        <x:v>PEA-B-Y2</x:v>
      </x:c>
      <x:c r="E1538" s="7" t="str">
        <x:v>BLD-B</x:v>
      </x:c>
      <x:c r="F1538" s="7" t="str">
        <x:v>BL-Y</x:v>
      </x:c>
      <x:c r="G1538" s="7" t="str">
        <x:v>MF-16</x:v>
      </x:c>
      <x:c r="H1538" s="7" t="str"/>
      <x:c r="I1538" s="7" t="str"/>
      <x:c r="J1538" s="7" t="str">
        <x:f>IF(OR(H1538="",I1538=""),"",I1538-H1538)</x:f>
      </x:c>
      <x:c r="K1538" s="7" t="str"/>
      <x:c r="L1538" s="7" t="str"/>
      <x:c r="M1538" s="7" t="str">
        <x:f>IF(L1538="","OPEN",IF(OR(NOT(ISNUMBER(H1538)),NOT(ISNUMBER(I1538)),NOT(ISNUMBER(K1538)),ABS(J1538)&gt;K1538),"FAIL","PASS"))</x:f>
        <x:v>OPEN</x:v>
      </x:c>
    </x:row>
    <x:row r="1539">
      <x:c r="B1539" s="7" t="str">
        <x:v>CAL-CH-PEA-B-Y2-16-3</x:v>
      </x:c>
      <x:c r="C1539" s="7" t="str">
        <x:v>CH-PEA-B-Y2-16-3</x:v>
      </x:c>
      <x:c r="D1539" s="7" t="str">
        <x:v>PEA-B-Y2</x:v>
      </x:c>
      <x:c r="E1539" s="7" t="str">
        <x:v>BLD-B</x:v>
      </x:c>
      <x:c r="F1539" s="7" t="str">
        <x:v>BL-Y</x:v>
      </x:c>
      <x:c r="G1539" s="7" t="str">
        <x:v>MF-16</x:v>
      </x:c>
      <x:c r="H1539" s="7" t="str"/>
      <x:c r="I1539" s="7" t="str"/>
      <x:c r="J1539" s="7" t="str">
        <x:f>IF(OR(H1539="",I1539=""),"",I1539-H1539)</x:f>
      </x:c>
      <x:c r="K1539" s="7" t="str"/>
      <x:c r="L1539" s="7" t="str"/>
      <x:c r="M1539" s="7" t="str">
        <x:f>IF(L1539="","OPEN",IF(OR(NOT(ISNUMBER(H1539)),NOT(ISNUMBER(I1539)),NOT(ISNUMBER(K1539)),ABS(J1539)&gt;K1539),"FAIL","PASS"))</x:f>
        <x:v>OPEN</x:v>
      </x:c>
    </x:row>
    <x:row r="1540">
      <x:c r="B1540" s="7" t="str">
        <x:v>CAL-CH-PEA-B-Y2-16-4</x:v>
      </x:c>
      <x:c r="C1540" s="7" t="str">
        <x:v>CH-PEA-B-Y2-16-4</x:v>
      </x:c>
      <x:c r="D1540" s="7" t="str">
        <x:v>PEA-B-Y2</x:v>
      </x:c>
      <x:c r="E1540" s="7" t="str">
        <x:v>BLD-B</x:v>
      </x:c>
      <x:c r="F1540" s="7" t="str">
        <x:v>BL-Y</x:v>
      </x:c>
      <x:c r="G1540" s="7" t="str">
        <x:v>MF-16</x:v>
      </x:c>
      <x:c r="H1540" s="7" t="str"/>
      <x:c r="I1540" s="7" t="str"/>
      <x:c r="J1540" s="7" t="str">
        <x:f>IF(OR(H1540="",I1540=""),"",I1540-H1540)</x:f>
      </x:c>
      <x:c r="K1540" s="7" t="str"/>
      <x:c r="L1540" s="7" t="str"/>
      <x:c r="M1540" s="7" t="str">
        <x:f>IF(L1540="","OPEN",IF(OR(NOT(ISNUMBER(H1540)),NOT(ISNUMBER(I1540)),NOT(ISNUMBER(K1540)),ABS(J1540)&gt;K1540),"FAIL","PASS"))</x:f>
        <x:v>OPEN</x:v>
      </x:c>
    </x:row>
    <x:row r="1541">
      <x:c r="B1541" s="7" t="str">
        <x:v>CAL-CH-PEA-B-Y2-16-5</x:v>
      </x:c>
      <x:c r="C1541" s="7" t="str">
        <x:v>CH-PEA-B-Y2-16-5</x:v>
      </x:c>
      <x:c r="D1541" s="7" t="str">
        <x:v>PEA-B-Y2</x:v>
      </x:c>
      <x:c r="E1541" s="7" t="str">
        <x:v>BLD-B</x:v>
      </x:c>
      <x:c r="F1541" s="7" t="str">
        <x:v>BL-Y</x:v>
      </x:c>
      <x:c r="G1541" s="7" t="str">
        <x:v>MF-16</x:v>
      </x:c>
      <x:c r="H1541" s="7" t="str"/>
      <x:c r="I1541" s="7" t="str"/>
      <x:c r="J1541" s="7" t="str">
        <x:f>IF(OR(H1541="",I1541=""),"",I1541-H1541)</x:f>
      </x:c>
      <x:c r="K1541" s="7" t="str"/>
      <x:c r="L1541" s="7" t="str"/>
      <x:c r="M1541" s="7" t="str">
        <x:f>IF(L1541="","OPEN",IF(OR(NOT(ISNUMBER(H1541)),NOT(ISNUMBER(I1541)),NOT(ISNUMBER(K1541)),ABS(J1541)&gt;K1541),"FAIL","PASS"))</x:f>
        <x:v>OPEN</x:v>
      </x:c>
    </x:row>
    <x:row r="1542">
      <x:c r="B1542" s="7" t="str">
        <x:v>CAL-CH-PEA-B-Y2-16-6</x:v>
      </x:c>
      <x:c r="C1542" s="7" t="str">
        <x:v>CH-PEA-B-Y2-16-6</x:v>
      </x:c>
      <x:c r="D1542" s="7" t="str">
        <x:v>PEA-B-Y2</x:v>
      </x:c>
      <x:c r="E1542" s="7" t="str">
        <x:v>BLD-B</x:v>
      </x:c>
      <x:c r="F1542" s="7" t="str">
        <x:v>BL-Y</x:v>
      </x:c>
      <x:c r="G1542" s="7" t="str">
        <x:v>MF-16</x:v>
      </x:c>
      <x:c r="H1542" s="7" t="str"/>
      <x:c r="I1542" s="7" t="str"/>
      <x:c r="J1542" s="7" t="str">
        <x:f>IF(OR(H1542="",I1542=""),"",I1542-H1542)</x:f>
      </x:c>
      <x:c r="K1542" s="7" t="str"/>
      <x:c r="L1542" s="7" t="str"/>
      <x:c r="M1542" s="7" t="str">
        <x:f>IF(L1542="","OPEN",IF(OR(NOT(ISNUMBER(H1542)),NOT(ISNUMBER(I1542)),NOT(ISNUMBER(K1542)),ABS(J1542)&gt;K1542),"FAIL","PASS"))</x:f>
        <x:v>OPEN</x:v>
      </x:c>
    </x:row>
    <x:row r="1543">
      <x:c r="B1543" s="7" t="str">
        <x:v>CAL-CH-PEA-B-Y2-17-1</x:v>
      </x:c>
      <x:c r="C1543" s="7" t="str">
        <x:v>CH-PEA-B-Y2-17-1</x:v>
      </x:c>
      <x:c r="D1543" s="7" t="str">
        <x:v>PEA-B-Y2</x:v>
      </x:c>
      <x:c r="E1543" s="7" t="str">
        <x:v>BLD-B</x:v>
      </x:c>
      <x:c r="F1543" s="7" t="str">
        <x:v>BL-Y</x:v>
      </x:c>
      <x:c r="G1543" s="7" t="str">
        <x:v>MF-17</x:v>
      </x:c>
      <x:c r="H1543" s="7" t="str"/>
      <x:c r="I1543" s="7" t="str"/>
      <x:c r="J1543" s="7" t="str">
        <x:f>IF(OR(H1543="",I1543=""),"",I1543-H1543)</x:f>
      </x:c>
      <x:c r="K1543" s="7" t="str"/>
      <x:c r="L1543" s="7" t="str"/>
      <x:c r="M1543" s="7" t="str">
        <x:f>IF(L1543="","OPEN",IF(OR(NOT(ISNUMBER(H1543)),NOT(ISNUMBER(I1543)),NOT(ISNUMBER(K1543)),ABS(J1543)&gt;K1543),"FAIL","PASS"))</x:f>
        <x:v>OPEN</x:v>
      </x:c>
    </x:row>
    <x:row r="1544">
      <x:c r="B1544" s="7" t="str">
        <x:v>CAL-CH-PEA-B-Y2-17-2</x:v>
      </x:c>
      <x:c r="C1544" s="7" t="str">
        <x:v>CH-PEA-B-Y2-17-2</x:v>
      </x:c>
      <x:c r="D1544" s="7" t="str">
        <x:v>PEA-B-Y2</x:v>
      </x:c>
      <x:c r="E1544" s="7" t="str">
        <x:v>BLD-B</x:v>
      </x:c>
      <x:c r="F1544" s="7" t="str">
        <x:v>BL-Y</x:v>
      </x:c>
      <x:c r="G1544" s="7" t="str">
        <x:v>MF-17</x:v>
      </x:c>
      <x:c r="H1544" s="7" t="str"/>
      <x:c r="I1544" s="7" t="str"/>
      <x:c r="J1544" s="7" t="str">
        <x:f>IF(OR(H1544="",I1544=""),"",I1544-H1544)</x:f>
      </x:c>
      <x:c r="K1544" s="7" t="str"/>
      <x:c r="L1544" s="7" t="str"/>
      <x:c r="M1544" s="7" t="str">
        <x:f>IF(L1544="","OPEN",IF(OR(NOT(ISNUMBER(H1544)),NOT(ISNUMBER(I1544)),NOT(ISNUMBER(K1544)),ABS(J1544)&gt;K1544),"FAIL","PASS"))</x:f>
        <x:v>OPEN</x:v>
      </x:c>
    </x:row>
    <x:row r="1545">
      <x:c r="B1545" s="7" t="str">
        <x:v>CAL-CH-PEA-B-Y2-17-3</x:v>
      </x:c>
      <x:c r="C1545" s="7" t="str">
        <x:v>CH-PEA-B-Y2-17-3</x:v>
      </x:c>
      <x:c r="D1545" s="7" t="str">
        <x:v>PEA-B-Y2</x:v>
      </x:c>
      <x:c r="E1545" s="7" t="str">
        <x:v>BLD-B</x:v>
      </x:c>
      <x:c r="F1545" s="7" t="str">
        <x:v>BL-Y</x:v>
      </x:c>
      <x:c r="G1545" s="7" t="str">
        <x:v>MF-17</x:v>
      </x:c>
      <x:c r="H1545" s="7" t="str"/>
      <x:c r="I1545" s="7" t="str"/>
      <x:c r="J1545" s="7" t="str">
        <x:f>IF(OR(H1545="",I1545=""),"",I1545-H1545)</x:f>
      </x:c>
      <x:c r="K1545" s="7" t="str"/>
      <x:c r="L1545" s="7" t="str"/>
      <x:c r="M1545" s="7" t="str">
        <x:f>IF(L1545="","OPEN",IF(OR(NOT(ISNUMBER(H1545)),NOT(ISNUMBER(I1545)),NOT(ISNUMBER(K1545)),ABS(J1545)&gt;K1545),"FAIL","PASS"))</x:f>
        <x:v>OPEN</x:v>
      </x:c>
    </x:row>
    <x:row r="1546">
      <x:c r="B1546" s="7" t="str">
        <x:v>CAL-CH-PEA-B-Y2-17-4</x:v>
      </x:c>
      <x:c r="C1546" s="7" t="str">
        <x:v>CH-PEA-B-Y2-17-4</x:v>
      </x:c>
      <x:c r="D1546" s="7" t="str">
        <x:v>PEA-B-Y2</x:v>
      </x:c>
      <x:c r="E1546" s="7" t="str">
        <x:v>BLD-B</x:v>
      </x:c>
      <x:c r="F1546" s="7" t="str">
        <x:v>BL-Y</x:v>
      </x:c>
      <x:c r="G1546" s="7" t="str">
        <x:v>MF-17</x:v>
      </x:c>
      <x:c r="H1546" s="7" t="str"/>
      <x:c r="I1546" s="7" t="str"/>
      <x:c r="J1546" s="7" t="str">
        <x:f>IF(OR(H1546="",I1546=""),"",I1546-H1546)</x:f>
      </x:c>
      <x:c r="K1546" s="7" t="str"/>
      <x:c r="L1546" s="7" t="str"/>
      <x:c r="M1546" s="7" t="str">
        <x:f>IF(L1546="","OPEN",IF(OR(NOT(ISNUMBER(H1546)),NOT(ISNUMBER(I1546)),NOT(ISNUMBER(K1546)),ABS(J1546)&gt;K1546),"FAIL","PASS"))</x:f>
        <x:v>OPEN</x:v>
      </x:c>
    </x:row>
    <x:row r="1547">
      <x:c r="B1547" s="7" t="str">
        <x:v>CAL-CH-PEA-B-Y2-17-5</x:v>
      </x:c>
      <x:c r="C1547" s="7" t="str">
        <x:v>CH-PEA-B-Y2-17-5</x:v>
      </x:c>
      <x:c r="D1547" s="7" t="str">
        <x:v>PEA-B-Y2</x:v>
      </x:c>
      <x:c r="E1547" s="7" t="str">
        <x:v>BLD-B</x:v>
      </x:c>
      <x:c r="F1547" s="7" t="str">
        <x:v>BL-Y</x:v>
      </x:c>
      <x:c r="G1547" s="7" t="str">
        <x:v>MF-17</x:v>
      </x:c>
      <x:c r="H1547" s="7" t="str"/>
      <x:c r="I1547" s="7" t="str"/>
      <x:c r="J1547" s="7" t="str">
        <x:f>IF(OR(H1547="",I1547=""),"",I1547-H1547)</x:f>
      </x:c>
      <x:c r="K1547" s="7" t="str"/>
      <x:c r="L1547" s="7" t="str"/>
      <x:c r="M1547" s="7" t="str">
        <x:f>IF(L1547="","OPEN",IF(OR(NOT(ISNUMBER(H1547)),NOT(ISNUMBER(I1547)),NOT(ISNUMBER(K1547)),ABS(J1547)&gt;K1547),"FAIL","PASS"))</x:f>
        <x:v>OPEN</x:v>
      </x:c>
    </x:row>
    <x:row r="1548">
      <x:c r="B1548" s="7" t="str">
        <x:v>CAL-CH-PEA-B-Y2-17-6</x:v>
      </x:c>
      <x:c r="C1548" s="7" t="str">
        <x:v>CH-PEA-B-Y2-17-6</x:v>
      </x:c>
      <x:c r="D1548" s="7" t="str">
        <x:v>PEA-B-Y2</x:v>
      </x:c>
      <x:c r="E1548" s="7" t="str">
        <x:v>BLD-B</x:v>
      </x:c>
      <x:c r="F1548" s="7" t="str">
        <x:v>BL-Y</x:v>
      </x:c>
      <x:c r="G1548" s="7" t="str">
        <x:v>MF-17</x:v>
      </x:c>
      <x:c r="H1548" s="7" t="str"/>
      <x:c r="I1548" s="7" t="str"/>
      <x:c r="J1548" s="7" t="str">
        <x:f>IF(OR(H1548="",I1548=""),"",I1548-H1548)</x:f>
      </x:c>
      <x:c r="K1548" s="7" t="str"/>
      <x:c r="L1548" s="7" t="str"/>
      <x:c r="M1548" s="7" t="str">
        <x:f>IF(L1548="","OPEN",IF(OR(NOT(ISNUMBER(H1548)),NOT(ISNUMBER(I1548)),NOT(ISNUMBER(K1548)),ABS(J1548)&gt;K1548),"FAIL","PASS"))</x:f>
        <x:v>OPEN</x:v>
      </x:c>
    </x:row>
    <x:row r="1549">
      <x:c r="B1549" s="7" t="str">
        <x:v>CAL-CH-PEA-B-Y2-18-1</x:v>
      </x:c>
      <x:c r="C1549" s="7" t="str">
        <x:v>CH-PEA-B-Y2-18-1</x:v>
      </x:c>
      <x:c r="D1549" s="7" t="str">
        <x:v>PEA-B-Y2</x:v>
      </x:c>
      <x:c r="E1549" s="7" t="str">
        <x:v>BLD-B</x:v>
      </x:c>
      <x:c r="F1549" s="7" t="str">
        <x:v>BL-Y</x:v>
      </x:c>
      <x:c r="G1549" s="7" t="str">
        <x:v>MF-18</x:v>
      </x:c>
      <x:c r="H1549" s="7" t="str"/>
      <x:c r="I1549" s="7" t="str"/>
      <x:c r="J1549" s="7" t="str">
        <x:f>IF(OR(H1549="",I1549=""),"",I1549-H1549)</x:f>
      </x:c>
      <x:c r="K1549" s="7" t="str"/>
      <x:c r="L1549" s="7" t="str"/>
      <x:c r="M1549" s="7" t="str">
        <x:f>IF(L1549="","OPEN",IF(OR(NOT(ISNUMBER(H1549)),NOT(ISNUMBER(I1549)),NOT(ISNUMBER(K1549)),ABS(J1549)&gt;K1549),"FAIL","PASS"))</x:f>
        <x:v>OPEN</x:v>
      </x:c>
    </x:row>
    <x:row r="1550">
      <x:c r="B1550" s="7" t="str">
        <x:v>CAL-CH-PEA-B-Y2-18-2</x:v>
      </x:c>
      <x:c r="C1550" s="7" t="str">
        <x:v>CH-PEA-B-Y2-18-2</x:v>
      </x:c>
      <x:c r="D1550" s="7" t="str">
        <x:v>PEA-B-Y2</x:v>
      </x:c>
      <x:c r="E1550" s="7" t="str">
        <x:v>BLD-B</x:v>
      </x:c>
      <x:c r="F1550" s="7" t="str">
        <x:v>BL-Y</x:v>
      </x:c>
      <x:c r="G1550" s="7" t="str">
        <x:v>MF-18</x:v>
      </x:c>
      <x:c r="H1550" s="7" t="str"/>
      <x:c r="I1550" s="7" t="str"/>
      <x:c r="J1550" s="7" t="str">
        <x:f>IF(OR(H1550="",I1550=""),"",I1550-H1550)</x:f>
      </x:c>
      <x:c r="K1550" s="7" t="str"/>
      <x:c r="L1550" s="7" t="str"/>
      <x:c r="M1550" s="7" t="str">
        <x:f>IF(L1550="","OPEN",IF(OR(NOT(ISNUMBER(H1550)),NOT(ISNUMBER(I1550)),NOT(ISNUMBER(K1550)),ABS(J1550)&gt;K1550),"FAIL","PASS"))</x:f>
        <x:v>OPEN</x:v>
      </x:c>
    </x:row>
    <x:row r="1551">
      <x:c r="B1551" s="7" t="str">
        <x:v>CAL-CH-PEA-B-Y2-18-3</x:v>
      </x:c>
      <x:c r="C1551" s="7" t="str">
        <x:v>CH-PEA-B-Y2-18-3</x:v>
      </x:c>
      <x:c r="D1551" s="7" t="str">
        <x:v>PEA-B-Y2</x:v>
      </x:c>
      <x:c r="E1551" s="7" t="str">
        <x:v>BLD-B</x:v>
      </x:c>
      <x:c r="F1551" s="7" t="str">
        <x:v>BL-Y</x:v>
      </x:c>
      <x:c r="G1551" s="7" t="str">
        <x:v>MF-18</x:v>
      </x:c>
      <x:c r="H1551" s="7" t="str"/>
      <x:c r="I1551" s="7" t="str"/>
      <x:c r="J1551" s="7" t="str">
        <x:f>IF(OR(H1551="",I1551=""),"",I1551-H1551)</x:f>
      </x:c>
      <x:c r="K1551" s="7" t="str"/>
      <x:c r="L1551" s="7" t="str"/>
      <x:c r="M1551" s="7" t="str">
        <x:f>IF(L1551="","OPEN",IF(OR(NOT(ISNUMBER(H1551)),NOT(ISNUMBER(I1551)),NOT(ISNUMBER(K1551)),ABS(J1551)&gt;K1551),"FAIL","PASS"))</x:f>
        <x:v>OPEN</x:v>
      </x:c>
    </x:row>
    <x:row r="1552">
      <x:c r="B1552" s="7" t="str">
        <x:v>CAL-CH-PEA-B-Y2-18-4</x:v>
      </x:c>
      <x:c r="C1552" s="7" t="str">
        <x:v>CH-PEA-B-Y2-18-4</x:v>
      </x:c>
      <x:c r="D1552" s="7" t="str">
        <x:v>PEA-B-Y2</x:v>
      </x:c>
      <x:c r="E1552" s="7" t="str">
        <x:v>BLD-B</x:v>
      </x:c>
      <x:c r="F1552" s="7" t="str">
        <x:v>BL-Y</x:v>
      </x:c>
      <x:c r="G1552" s="7" t="str">
        <x:v>MF-18</x:v>
      </x:c>
      <x:c r="H1552" s="7" t="str"/>
      <x:c r="I1552" s="7" t="str"/>
      <x:c r="J1552" s="7" t="str">
        <x:f>IF(OR(H1552="",I1552=""),"",I1552-H1552)</x:f>
      </x:c>
      <x:c r="K1552" s="7" t="str"/>
      <x:c r="L1552" s="7" t="str"/>
      <x:c r="M1552" s="7" t="str">
        <x:f>IF(L1552="","OPEN",IF(OR(NOT(ISNUMBER(H1552)),NOT(ISNUMBER(I1552)),NOT(ISNUMBER(K1552)),ABS(J1552)&gt;K1552),"FAIL","PASS"))</x:f>
        <x:v>OPEN</x:v>
      </x:c>
    </x:row>
    <x:row r="1553">
      <x:c r="B1553" s="7" t="str">
        <x:v>CAL-CH-PEA-B-Y2-18-5</x:v>
      </x:c>
      <x:c r="C1553" s="7" t="str">
        <x:v>CH-PEA-B-Y2-18-5</x:v>
      </x:c>
      <x:c r="D1553" s="7" t="str">
        <x:v>PEA-B-Y2</x:v>
      </x:c>
      <x:c r="E1553" s="7" t="str">
        <x:v>BLD-B</x:v>
      </x:c>
      <x:c r="F1553" s="7" t="str">
        <x:v>BL-Y</x:v>
      </x:c>
      <x:c r="G1553" s="7" t="str">
        <x:v>MF-18</x:v>
      </x:c>
      <x:c r="H1553" s="7" t="str"/>
      <x:c r="I1553" s="7" t="str"/>
      <x:c r="J1553" s="7" t="str">
        <x:f>IF(OR(H1553="",I1553=""),"",I1553-H1553)</x:f>
      </x:c>
      <x:c r="K1553" s="7" t="str"/>
      <x:c r="L1553" s="7" t="str"/>
      <x:c r="M1553" s="7" t="str">
        <x:f>IF(L1553="","OPEN",IF(OR(NOT(ISNUMBER(H1553)),NOT(ISNUMBER(I1553)),NOT(ISNUMBER(K1553)),ABS(J1553)&gt;K1553),"FAIL","PASS"))</x:f>
        <x:v>OPEN</x:v>
      </x:c>
    </x:row>
    <x:row r="1554">
      <x:c r="B1554" s="7" t="str">
        <x:v>CAL-CH-PEA-B-Y2-18-6</x:v>
      </x:c>
      <x:c r="C1554" s="7" t="str">
        <x:v>CH-PEA-B-Y2-18-6</x:v>
      </x:c>
      <x:c r="D1554" s="7" t="str">
        <x:v>PEA-B-Y2</x:v>
      </x:c>
      <x:c r="E1554" s="7" t="str">
        <x:v>BLD-B</x:v>
      </x:c>
      <x:c r="F1554" s="7" t="str">
        <x:v>BL-Y</x:v>
      </x:c>
      <x:c r="G1554" s="7" t="str">
        <x:v>MF-18</x:v>
      </x:c>
      <x:c r="H1554" s="7" t="str"/>
      <x:c r="I1554" s="7" t="str"/>
      <x:c r="J1554" s="7" t="str">
        <x:f>IF(OR(H1554="",I1554=""),"",I1554-H1554)</x:f>
      </x:c>
      <x:c r="K1554" s="7" t="str"/>
      <x:c r="L1554" s="7" t="str"/>
      <x:c r="M1554" s="7" t="str">
        <x:f>IF(L1554="","OPEN",IF(OR(NOT(ISNUMBER(H1554)),NOT(ISNUMBER(I1554)),NOT(ISNUMBER(K1554)),ABS(J1554)&gt;K1554),"FAIL","PASS"))</x:f>
        <x:v>OPEN</x:v>
      </x:c>
    </x:row>
    <x:row r="1555">
      <x:c r="B1555" s="7" t="str">
        <x:v>CAL-CH-PEA-B-Y2-19-1</x:v>
      </x:c>
      <x:c r="C1555" s="7" t="str">
        <x:v>CH-PEA-B-Y2-19-1</x:v>
      </x:c>
      <x:c r="D1555" s="7" t="str">
        <x:v>PEA-B-Y2</x:v>
      </x:c>
      <x:c r="E1555" s="7" t="str">
        <x:v>BLD-B</x:v>
      </x:c>
      <x:c r="F1555" s="7" t="str">
        <x:v>BL-Y</x:v>
      </x:c>
      <x:c r="G1555" s="7" t="str">
        <x:v>MF-19</x:v>
      </x:c>
      <x:c r="H1555" s="7" t="str"/>
      <x:c r="I1555" s="7" t="str"/>
      <x:c r="J1555" s="7" t="str">
        <x:f>IF(OR(H1555="",I1555=""),"",I1555-H1555)</x:f>
      </x:c>
      <x:c r="K1555" s="7" t="str"/>
      <x:c r="L1555" s="7" t="str"/>
      <x:c r="M1555" s="7" t="str">
        <x:f>IF(L1555="","OPEN",IF(OR(NOT(ISNUMBER(H1555)),NOT(ISNUMBER(I1555)),NOT(ISNUMBER(K1555)),ABS(J1555)&gt;K1555),"FAIL","PASS"))</x:f>
        <x:v>OPEN</x:v>
      </x:c>
    </x:row>
    <x:row r="1556">
      <x:c r="B1556" s="7" t="str">
        <x:v>CAL-CH-PEA-B-Y2-19-2</x:v>
      </x:c>
      <x:c r="C1556" s="7" t="str">
        <x:v>CH-PEA-B-Y2-19-2</x:v>
      </x:c>
      <x:c r="D1556" s="7" t="str">
        <x:v>PEA-B-Y2</x:v>
      </x:c>
      <x:c r="E1556" s="7" t="str">
        <x:v>BLD-B</x:v>
      </x:c>
      <x:c r="F1556" s="7" t="str">
        <x:v>BL-Y</x:v>
      </x:c>
      <x:c r="G1556" s="7" t="str">
        <x:v>MF-19</x:v>
      </x:c>
      <x:c r="H1556" s="7" t="str"/>
      <x:c r="I1556" s="7" t="str"/>
      <x:c r="J1556" s="7" t="str">
        <x:f>IF(OR(H1556="",I1556=""),"",I1556-H1556)</x:f>
      </x:c>
      <x:c r="K1556" s="7" t="str"/>
      <x:c r="L1556" s="7" t="str"/>
      <x:c r="M1556" s="7" t="str">
        <x:f>IF(L1556="","OPEN",IF(OR(NOT(ISNUMBER(H1556)),NOT(ISNUMBER(I1556)),NOT(ISNUMBER(K1556)),ABS(J1556)&gt;K1556),"FAIL","PASS"))</x:f>
        <x:v>OPEN</x:v>
      </x:c>
    </x:row>
    <x:row r="1557">
      <x:c r="B1557" s="7" t="str">
        <x:v>CAL-CH-PEA-B-Y2-19-3</x:v>
      </x:c>
      <x:c r="C1557" s="7" t="str">
        <x:v>CH-PEA-B-Y2-19-3</x:v>
      </x:c>
      <x:c r="D1557" s="7" t="str">
        <x:v>PEA-B-Y2</x:v>
      </x:c>
      <x:c r="E1557" s="7" t="str">
        <x:v>BLD-B</x:v>
      </x:c>
      <x:c r="F1557" s="7" t="str">
        <x:v>BL-Y</x:v>
      </x:c>
      <x:c r="G1557" s="7" t="str">
        <x:v>MF-19</x:v>
      </x:c>
      <x:c r="H1557" s="7" t="str"/>
      <x:c r="I1557" s="7" t="str"/>
      <x:c r="J1557" s="7" t="str">
        <x:f>IF(OR(H1557="",I1557=""),"",I1557-H1557)</x:f>
      </x:c>
      <x:c r="K1557" s="7" t="str"/>
      <x:c r="L1557" s="7" t="str"/>
      <x:c r="M1557" s="7" t="str">
        <x:f>IF(L1557="","OPEN",IF(OR(NOT(ISNUMBER(H1557)),NOT(ISNUMBER(I1557)),NOT(ISNUMBER(K1557)),ABS(J1557)&gt;K1557),"FAIL","PASS"))</x:f>
        <x:v>OPEN</x:v>
      </x:c>
    </x:row>
    <x:row r="1558">
      <x:c r="B1558" s="7" t="str">
        <x:v>CAL-CH-PEA-B-Y2-19-4</x:v>
      </x:c>
      <x:c r="C1558" s="7" t="str">
        <x:v>CH-PEA-B-Y2-19-4</x:v>
      </x:c>
      <x:c r="D1558" s="7" t="str">
        <x:v>PEA-B-Y2</x:v>
      </x:c>
      <x:c r="E1558" s="7" t="str">
        <x:v>BLD-B</x:v>
      </x:c>
      <x:c r="F1558" s="7" t="str">
        <x:v>BL-Y</x:v>
      </x:c>
      <x:c r="G1558" s="7" t="str">
        <x:v>MF-19</x:v>
      </x:c>
      <x:c r="H1558" s="7" t="str"/>
      <x:c r="I1558" s="7" t="str"/>
      <x:c r="J1558" s="7" t="str">
        <x:f>IF(OR(H1558="",I1558=""),"",I1558-H1558)</x:f>
      </x:c>
      <x:c r="K1558" s="7" t="str"/>
      <x:c r="L1558" s="7" t="str"/>
      <x:c r="M1558" s="7" t="str">
        <x:f>IF(L1558="","OPEN",IF(OR(NOT(ISNUMBER(H1558)),NOT(ISNUMBER(I1558)),NOT(ISNUMBER(K1558)),ABS(J1558)&gt;K1558),"FAIL","PASS"))</x:f>
        <x:v>OPEN</x:v>
      </x:c>
    </x:row>
    <x:row r="1559">
      <x:c r="B1559" s="7" t="str">
        <x:v>CAL-CH-PEA-B-Y2-19-5</x:v>
      </x:c>
      <x:c r="C1559" s="7" t="str">
        <x:v>CH-PEA-B-Y2-19-5</x:v>
      </x:c>
      <x:c r="D1559" s="7" t="str">
        <x:v>PEA-B-Y2</x:v>
      </x:c>
      <x:c r="E1559" s="7" t="str">
        <x:v>BLD-B</x:v>
      </x:c>
      <x:c r="F1559" s="7" t="str">
        <x:v>BL-Y</x:v>
      </x:c>
      <x:c r="G1559" s="7" t="str">
        <x:v>MF-19</x:v>
      </x:c>
      <x:c r="H1559" s="7" t="str"/>
      <x:c r="I1559" s="7" t="str"/>
      <x:c r="J1559" s="7" t="str">
        <x:f>IF(OR(H1559="",I1559=""),"",I1559-H1559)</x:f>
      </x:c>
      <x:c r="K1559" s="7" t="str"/>
      <x:c r="L1559" s="7" t="str"/>
      <x:c r="M1559" s="7" t="str">
        <x:f>IF(L1559="","OPEN",IF(OR(NOT(ISNUMBER(H1559)),NOT(ISNUMBER(I1559)),NOT(ISNUMBER(K1559)),ABS(J1559)&gt;K1559),"FAIL","PASS"))</x:f>
        <x:v>OPEN</x:v>
      </x:c>
    </x:row>
    <x:row r="1560">
      <x:c r="B1560" s="7" t="str">
        <x:v>CAL-CH-PEA-B-Y2-19-6</x:v>
      </x:c>
      <x:c r="C1560" s="7" t="str">
        <x:v>CH-PEA-B-Y2-19-6</x:v>
      </x:c>
      <x:c r="D1560" s="7" t="str">
        <x:v>PEA-B-Y2</x:v>
      </x:c>
      <x:c r="E1560" s="7" t="str">
        <x:v>BLD-B</x:v>
      </x:c>
      <x:c r="F1560" s="7" t="str">
        <x:v>BL-Y</x:v>
      </x:c>
      <x:c r="G1560" s="7" t="str">
        <x:v>MF-19</x:v>
      </x:c>
      <x:c r="H1560" s="7" t="str"/>
      <x:c r="I1560" s="7" t="str"/>
      <x:c r="J1560" s="7" t="str">
        <x:f>IF(OR(H1560="",I1560=""),"",I1560-H1560)</x:f>
      </x:c>
      <x:c r="K1560" s="7" t="str"/>
      <x:c r="L1560" s="7" t="str"/>
      <x:c r="M1560" s="7" t="str">
        <x:f>IF(L1560="","OPEN",IF(OR(NOT(ISNUMBER(H1560)),NOT(ISNUMBER(I1560)),NOT(ISNUMBER(K1560)),ABS(J1560)&gt;K1560),"FAIL","PASS"))</x:f>
        <x:v>OPEN</x:v>
      </x:c>
    </x:row>
    <x:row r="1561">
      <x:c r="B1561" s="7" t="str">
        <x:v>CAL-CH-PEA-B-Y2-20-1</x:v>
      </x:c>
      <x:c r="C1561" s="7" t="str">
        <x:v>CH-PEA-B-Y2-20-1</x:v>
      </x:c>
      <x:c r="D1561" s="7" t="str">
        <x:v>PEA-B-Y2</x:v>
      </x:c>
      <x:c r="E1561" s="7" t="str">
        <x:v>BLD-B</x:v>
      </x:c>
      <x:c r="F1561" s="7" t="str">
        <x:v>BL-Y</x:v>
      </x:c>
      <x:c r="G1561" s="7" t="str">
        <x:v>MF-20</x:v>
      </x:c>
      <x:c r="H1561" s="7" t="str"/>
      <x:c r="I1561" s="7" t="str"/>
      <x:c r="J1561" s="7" t="str">
        <x:f>IF(OR(H1561="",I1561=""),"",I1561-H1561)</x:f>
      </x:c>
      <x:c r="K1561" s="7" t="str"/>
      <x:c r="L1561" s="7" t="str"/>
      <x:c r="M1561" s="7" t="str">
        <x:f>IF(L1561="","OPEN",IF(OR(NOT(ISNUMBER(H1561)),NOT(ISNUMBER(I1561)),NOT(ISNUMBER(K1561)),ABS(J1561)&gt;K1561),"FAIL","PASS"))</x:f>
        <x:v>OPEN</x:v>
      </x:c>
    </x:row>
    <x:row r="1562">
      <x:c r="B1562" s="7" t="str">
        <x:v>CAL-CH-PEA-B-Y2-20-2</x:v>
      </x:c>
      <x:c r="C1562" s="7" t="str">
        <x:v>CH-PEA-B-Y2-20-2</x:v>
      </x:c>
      <x:c r="D1562" s="7" t="str">
        <x:v>PEA-B-Y2</x:v>
      </x:c>
      <x:c r="E1562" s="7" t="str">
        <x:v>BLD-B</x:v>
      </x:c>
      <x:c r="F1562" s="7" t="str">
        <x:v>BL-Y</x:v>
      </x:c>
      <x:c r="G1562" s="7" t="str">
        <x:v>MF-20</x:v>
      </x:c>
      <x:c r="H1562" s="7" t="str"/>
      <x:c r="I1562" s="7" t="str"/>
      <x:c r="J1562" s="7" t="str">
        <x:f>IF(OR(H1562="",I1562=""),"",I1562-H1562)</x:f>
      </x:c>
      <x:c r="K1562" s="7" t="str"/>
      <x:c r="L1562" s="7" t="str"/>
      <x:c r="M1562" s="7" t="str">
        <x:f>IF(L1562="","OPEN",IF(OR(NOT(ISNUMBER(H1562)),NOT(ISNUMBER(I1562)),NOT(ISNUMBER(K1562)),ABS(J1562)&gt;K1562),"FAIL","PASS"))</x:f>
        <x:v>OPEN</x:v>
      </x:c>
    </x:row>
    <x:row r="1563">
      <x:c r="B1563" s="7" t="str">
        <x:v>CAL-CH-PEA-B-Y2-20-3</x:v>
      </x:c>
      <x:c r="C1563" s="7" t="str">
        <x:v>CH-PEA-B-Y2-20-3</x:v>
      </x:c>
      <x:c r="D1563" s="7" t="str">
        <x:v>PEA-B-Y2</x:v>
      </x:c>
      <x:c r="E1563" s="7" t="str">
        <x:v>BLD-B</x:v>
      </x:c>
      <x:c r="F1563" s="7" t="str">
        <x:v>BL-Y</x:v>
      </x:c>
      <x:c r="G1563" s="7" t="str">
        <x:v>MF-20</x:v>
      </x:c>
      <x:c r="H1563" s="7" t="str"/>
      <x:c r="I1563" s="7" t="str"/>
      <x:c r="J1563" s="7" t="str">
        <x:f>IF(OR(H1563="",I1563=""),"",I1563-H1563)</x:f>
      </x:c>
      <x:c r="K1563" s="7" t="str"/>
      <x:c r="L1563" s="7" t="str"/>
      <x:c r="M1563" s="7" t="str">
        <x:f>IF(L1563="","OPEN",IF(OR(NOT(ISNUMBER(H1563)),NOT(ISNUMBER(I1563)),NOT(ISNUMBER(K1563)),ABS(J1563)&gt;K1563),"FAIL","PASS"))</x:f>
        <x:v>OPEN</x:v>
      </x:c>
    </x:row>
    <x:row r="1564">
      <x:c r="B1564" s="7" t="str">
        <x:v>CAL-CH-PEA-B-Y2-20-4</x:v>
      </x:c>
      <x:c r="C1564" s="7" t="str">
        <x:v>CH-PEA-B-Y2-20-4</x:v>
      </x:c>
      <x:c r="D1564" s="7" t="str">
        <x:v>PEA-B-Y2</x:v>
      </x:c>
      <x:c r="E1564" s="7" t="str">
        <x:v>BLD-B</x:v>
      </x:c>
      <x:c r="F1564" s="7" t="str">
        <x:v>BL-Y</x:v>
      </x:c>
      <x:c r="G1564" s="7" t="str">
        <x:v>MF-20</x:v>
      </x:c>
      <x:c r="H1564" s="7" t="str"/>
      <x:c r="I1564" s="7" t="str"/>
      <x:c r="J1564" s="7" t="str">
        <x:f>IF(OR(H1564="",I1564=""),"",I1564-H1564)</x:f>
      </x:c>
      <x:c r="K1564" s="7" t="str"/>
      <x:c r="L1564" s="7" t="str"/>
      <x:c r="M1564" s="7" t="str">
        <x:f>IF(L1564="","OPEN",IF(OR(NOT(ISNUMBER(H1564)),NOT(ISNUMBER(I1564)),NOT(ISNUMBER(K1564)),ABS(J1564)&gt;K1564),"FAIL","PASS"))</x:f>
        <x:v>OPEN</x:v>
      </x:c>
    </x:row>
    <x:row r="1565">
      <x:c r="B1565" s="7" t="str">
        <x:v>CAL-CH-PEA-B-Y2-20-5</x:v>
      </x:c>
      <x:c r="C1565" s="7" t="str">
        <x:v>CH-PEA-B-Y2-20-5</x:v>
      </x:c>
      <x:c r="D1565" s="7" t="str">
        <x:v>PEA-B-Y2</x:v>
      </x:c>
      <x:c r="E1565" s="7" t="str">
        <x:v>BLD-B</x:v>
      </x:c>
      <x:c r="F1565" s="7" t="str">
        <x:v>BL-Y</x:v>
      </x:c>
      <x:c r="G1565" s="7" t="str">
        <x:v>MF-20</x:v>
      </x:c>
      <x:c r="H1565" s="7" t="str"/>
      <x:c r="I1565" s="7" t="str"/>
      <x:c r="J1565" s="7" t="str">
        <x:f>IF(OR(H1565="",I1565=""),"",I1565-H1565)</x:f>
      </x:c>
      <x:c r="K1565" s="7" t="str"/>
      <x:c r="L1565" s="7" t="str"/>
      <x:c r="M1565" s="7" t="str">
        <x:f>IF(L1565="","OPEN",IF(OR(NOT(ISNUMBER(H1565)),NOT(ISNUMBER(I1565)),NOT(ISNUMBER(K1565)),ABS(J1565)&gt;K1565),"FAIL","PASS"))</x:f>
        <x:v>OPEN</x:v>
      </x:c>
    </x:row>
    <x:row r="1566">
      <x:c r="B1566" s="7" t="str">
        <x:v>CAL-CH-PEA-B-Y2-20-6</x:v>
      </x:c>
      <x:c r="C1566" s="7" t="str">
        <x:v>CH-PEA-B-Y2-20-6</x:v>
      </x:c>
      <x:c r="D1566" s="7" t="str">
        <x:v>PEA-B-Y2</x:v>
      </x:c>
      <x:c r="E1566" s="7" t="str">
        <x:v>BLD-B</x:v>
      </x:c>
      <x:c r="F1566" s="7" t="str">
        <x:v>BL-Y</x:v>
      </x:c>
      <x:c r="G1566" s="7" t="str">
        <x:v>MF-20</x:v>
      </x:c>
      <x:c r="H1566" s="7" t="str"/>
      <x:c r="I1566" s="7" t="str"/>
      <x:c r="J1566" s="7" t="str">
        <x:f>IF(OR(H1566="",I1566=""),"",I1566-H1566)</x:f>
      </x:c>
      <x:c r="K1566" s="7" t="str"/>
      <x:c r="L1566" s="7" t="str"/>
      <x:c r="M1566" s="7" t="str">
        <x:f>IF(L1566="","OPEN",IF(OR(NOT(ISNUMBER(H1566)),NOT(ISNUMBER(I1566)),NOT(ISNUMBER(K1566)),ABS(J1566)&gt;K1566),"FAIL","PASS"))</x:f>
        <x:v>OPEN</x:v>
      </x:c>
    </x:row>
    <x:row r="1567">
      <x:c r="B1567" s="7" t="str">
        <x:v>CAL-CH-PEA-B-Y2-21-1</x:v>
      </x:c>
      <x:c r="C1567" s="7" t="str">
        <x:v>CH-PEA-B-Y2-21-1</x:v>
      </x:c>
      <x:c r="D1567" s="7" t="str">
        <x:v>PEA-B-Y2</x:v>
      </x:c>
      <x:c r="E1567" s="7" t="str">
        <x:v>BLD-B</x:v>
      </x:c>
      <x:c r="F1567" s="7" t="str">
        <x:v>BL-Y</x:v>
      </x:c>
      <x:c r="G1567" s="7" t="str">
        <x:v>MF-21</x:v>
      </x:c>
      <x:c r="H1567" s="7" t="str"/>
      <x:c r="I1567" s="7" t="str"/>
      <x:c r="J1567" s="7" t="str">
        <x:f>IF(OR(H1567="",I1567=""),"",I1567-H1567)</x:f>
      </x:c>
      <x:c r="K1567" s="7" t="str"/>
      <x:c r="L1567" s="7" t="str"/>
      <x:c r="M1567" s="7" t="str">
        <x:f>IF(L1567="","OPEN",IF(OR(NOT(ISNUMBER(H1567)),NOT(ISNUMBER(I1567)),NOT(ISNUMBER(K1567)),ABS(J1567)&gt;K1567),"FAIL","PASS"))</x:f>
        <x:v>OPEN</x:v>
      </x:c>
    </x:row>
    <x:row r="1568">
      <x:c r="B1568" s="7" t="str">
        <x:v>CAL-CH-PEA-B-Y2-21-2</x:v>
      </x:c>
      <x:c r="C1568" s="7" t="str">
        <x:v>CH-PEA-B-Y2-21-2</x:v>
      </x:c>
      <x:c r="D1568" s="7" t="str">
        <x:v>PEA-B-Y2</x:v>
      </x:c>
      <x:c r="E1568" s="7" t="str">
        <x:v>BLD-B</x:v>
      </x:c>
      <x:c r="F1568" s="7" t="str">
        <x:v>BL-Y</x:v>
      </x:c>
      <x:c r="G1568" s="7" t="str">
        <x:v>MF-21</x:v>
      </x:c>
      <x:c r="H1568" s="7" t="str"/>
      <x:c r="I1568" s="7" t="str"/>
      <x:c r="J1568" s="7" t="str">
        <x:f>IF(OR(H1568="",I1568=""),"",I1568-H1568)</x:f>
      </x:c>
      <x:c r="K1568" s="7" t="str"/>
      <x:c r="L1568" s="7" t="str"/>
      <x:c r="M1568" s="7" t="str">
        <x:f>IF(L1568="","OPEN",IF(OR(NOT(ISNUMBER(H1568)),NOT(ISNUMBER(I1568)),NOT(ISNUMBER(K1568)),ABS(J1568)&gt;K1568),"FAIL","PASS"))</x:f>
        <x:v>OPEN</x:v>
      </x:c>
    </x:row>
    <x:row r="1569">
      <x:c r="B1569" s="7" t="str">
        <x:v>CAL-CH-PEA-B-Y2-21-3</x:v>
      </x:c>
      <x:c r="C1569" s="7" t="str">
        <x:v>CH-PEA-B-Y2-21-3</x:v>
      </x:c>
      <x:c r="D1569" s="7" t="str">
        <x:v>PEA-B-Y2</x:v>
      </x:c>
      <x:c r="E1569" s="7" t="str">
        <x:v>BLD-B</x:v>
      </x:c>
      <x:c r="F1569" s="7" t="str">
        <x:v>BL-Y</x:v>
      </x:c>
      <x:c r="G1569" s="7" t="str">
        <x:v>MF-21</x:v>
      </x:c>
      <x:c r="H1569" s="7" t="str"/>
      <x:c r="I1569" s="7" t="str"/>
      <x:c r="J1569" s="7" t="str">
        <x:f>IF(OR(H1569="",I1569=""),"",I1569-H1569)</x:f>
      </x:c>
      <x:c r="K1569" s="7" t="str"/>
      <x:c r="L1569" s="7" t="str"/>
      <x:c r="M1569" s="7" t="str">
        <x:f>IF(L1569="","OPEN",IF(OR(NOT(ISNUMBER(H1569)),NOT(ISNUMBER(I1569)),NOT(ISNUMBER(K1569)),ABS(J1569)&gt;K1569),"FAIL","PASS"))</x:f>
        <x:v>OPEN</x:v>
      </x:c>
    </x:row>
    <x:row r="1570">
      <x:c r="B1570" s="7" t="str">
        <x:v>CAL-CH-PEA-B-Y2-21-4</x:v>
      </x:c>
      <x:c r="C1570" s="7" t="str">
        <x:v>CH-PEA-B-Y2-21-4</x:v>
      </x:c>
      <x:c r="D1570" s="7" t="str">
        <x:v>PEA-B-Y2</x:v>
      </x:c>
      <x:c r="E1570" s="7" t="str">
        <x:v>BLD-B</x:v>
      </x:c>
      <x:c r="F1570" s="7" t="str">
        <x:v>BL-Y</x:v>
      </x:c>
      <x:c r="G1570" s="7" t="str">
        <x:v>MF-21</x:v>
      </x:c>
      <x:c r="H1570" s="7" t="str"/>
      <x:c r="I1570" s="7" t="str"/>
      <x:c r="J1570" s="7" t="str">
        <x:f>IF(OR(H1570="",I1570=""),"",I1570-H1570)</x:f>
      </x:c>
      <x:c r="K1570" s="7" t="str"/>
      <x:c r="L1570" s="7" t="str"/>
      <x:c r="M1570" s="7" t="str">
        <x:f>IF(L1570="","OPEN",IF(OR(NOT(ISNUMBER(H1570)),NOT(ISNUMBER(I1570)),NOT(ISNUMBER(K1570)),ABS(J1570)&gt;K1570),"FAIL","PASS"))</x:f>
        <x:v>OPEN</x:v>
      </x:c>
    </x:row>
    <x:row r="1571">
      <x:c r="B1571" s="7" t="str">
        <x:v>CAL-CH-PEA-B-Y2-21-5</x:v>
      </x:c>
      <x:c r="C1571" s="7" t="str">
        <x:v>CH-PEA-B-Y2-21-5</x:v>
      </x:c>
      <x:c r="D1571" s="7" t="str">
        <x:v>PEA-B-Y2</x:v>
      </x:c>
      <x:c r="E1571" s="7" t="str">
        <x:v>BLD-B</x:v>
      </x:c>
      <x:c r="F1571" s="7" t="str">
        <x:v>BL-Y</x:v>
      </x:c>
      <x:c r="G1571" s="7" t="str">
        <x:v>MF-21</x:v>
      </x:c>
      <x:c r="H1571" s="7" t="str"/>
      <x:c r="I1571" s="7" t="str"/>
      <x:c r="J1571" s="7" t="str">
        <x:f>IF(OR(H1571="",I1571=""),"",I1571-H1571)</x:f>
      </x:c>
      <x:c r="K1571" s="7" t="str"/>
      <x:c r="L1571" s="7" t="str"/>
      <x:c r="M1571" s="7" t="str">
        <x:f>IF(L1571="","OPEN",IF(OR(NOT(ISNUMBER(H1571)),NOT(ISNUMBER(I1571)),NOT(ISNUMBER(K1571)),ABS(J1571)&gt;K1571),"FAIL","PASS"))</x:f>
        <x:v>OPEN</x:v>
      </x:c>
    </x:row>
    <x:row r="1572">
      <x:c r="B1572" s="7" t="str">
        <x:v>CAL-CH-PEA-B-Y2-21-6</x:v>
      </x:c>
      <x:c r="C1572" s="7" t="str">
        <x:v>CH-PEA-B-Y2-21-6</x:v>
      </x:c>
      <x:c r="D1572" s="7" t="str">
        <x:v>PEA-B-Y2</x:v>
      </x:c>
      <x:c r="E1572" s="7" t="str">
        <x:v>BLD-B</x:v>
      </x:c>
      <x:c r="F1572" s="7" t="str">
        <x:v>BL-Y</x:v>
      </x:c>
      <x:c r="G1572" s="7" t="str">
        <x:v>MF-21</x:v>
      </x:c>
      <x:c r="H1572" s="7" t="str"/>
      <x:c r="I1572" s="7" t="str"/>
      <x:c r="J1572" s="7" t="str">
        <x:f>IF(OR(H1572="",I1572=""),"",I1572-H1572)</x:f>
      </x:c>
      <x:c r="K1572" s="7" t="str"/>
      <x:c r="L1572" s="7" t="str"/>
      <x:c r="M1572" s="7" t="str">
        <x:f>IF(L1572="","OPEN",IF(OR(NOT(ISNUMBER(H1572)),NOT(ISNUMBER(I1572)),NOT(ISNUMBER(K1572)),ABS(J1572)&gt;K1572),"FAIL","PASS"))</x:f>
        <x:v>OPEN</x:v>
      </x:c>
    </x:row>
    <x:row r="1573">
      <x:c r="B1573" s="7" t="str">
        <x:v>CAL-CH-PEA-B-Y2-22-1</x:v>
      </x:c>
      <x:c r="C1573" s="7" t="str">
        <x:v>CH-PEA-B-Y2-22-1</x:v>
      </x:c>
      <x:c r="D1573" s="7" t="str">
        <x:v>PEA-B-Y2</x:v>
      </x:c>
      <x:c r="E1573" s="7" t="str">
        <x:v>BLD-B</x:v>
      </x:c>
      <x:c r="F1573" s="7" t="str">
        <x:v>BL-Y</x:v>
      </x:c>
      <x:c r="G1573" s="7" t="str">
        <x:v>MF-22</x:v>
      </x:c>
      <x:c r="H1573" s="7" t="str"/>
      <x:c r="I1573" s="7" t="str"/>
      <x:c r="J1573" s="7" t="str">
        <x:f>IF(OR(H1573="",I1573=""),"",I1573-H1573)</x:f>
      </x:c>
      <x:c r="K1573" s="7" t="str"/>
      <x:c r="L1573" s="7" t="str"/>
      <x:c r="M1573" s="7" t="str">
        <x:f>IF(L1573="","OPEN",IF(OR(NOT(ISNUMBER(H1573)),NOT(ISNUMBER(I1573)),NOT(ISNUMBER(K1573)),ABS(J1573)&gt;K1573),"FAIL","PASS"))</x:f>
        <x:v>OPEN</x:v>
      </x:c>
    </x:row>
    <x:row r="1574">
      <x:c r="B1574" s="7" t="str">
        <x:v>CAL-CH-PEA-B-Y2-22-2</x:v>
      </x:c>
      <x:c r="C1574" s="7" t="str">
        <x:v>CH-PEA-B-Y2-22-2</x:v>
      </x:c>
      <x:c r="D1574" s="7" t="str">
        <x:v>PEA-B-Y2</x:v>
      </x:c>
      <x:c r="E1574" s="7" t="str">
        <x:v>BLD-B</x:v>
      </x:c>
      <x:c r="F1574" s="7" t="str">
        <x:v>BL-Y</x:v>
      </x:c>
      <x:c r="G1574" s="7" t="str">
        <x:v>MF-22</x:v>
      </x:c>
      <x:c r="H1574" s="7" t="str"/>
      <x:c r="I1574" s="7" t="str"/>
      <x:c r="J1574" s="7" t="str">
        <x:f>IF(OR(H1574="",I1574=""),"",I1574-H1574)</x:f>
      </x:c>
      <x:c r="K1574" s="7" t="str"/>
      <x:c r="L1574" s="7" t="str"/>
      <x:c r="M1574" s="7" t="str">
        <x:f>IF(L1574="","OPEN",IF(OR(NOT(ISNUMBER(H1574)),NOT(ISNUMBER(I1574)),NOT(ISNUMBER(K1574)),ABS(J1574)&gt;K1574),"FAIL","PASS"))</x:f>
        <x:v>OPEN</x:v>
      </x:c>
    </x:row>
    <x:row r="1575">
      <x:c r="B1575" s="7" t="str">
        <x:v>CAL-CH-PEA-B-Y2-22-3</x:v>
      </x:c>
      <x:c r="C1575" s="7" t="str">
        <x:v>CH-PEA-B-Y2-22-3</x:v>
      </x:c>
      <x:c r="D1575" s="7" t="str">
        <x:v>PEA-B-Y2</x:v>
      </x:c>
      <x:c r="E1575" s="7" t="str">
        <x:v>BLD-B</x:v>
      </x:c>
      <x:c r="F1575" s="7" t="str">
        <x:v>BL-Y</x:v>
      </x:c>
      <x:c r="G1575" s="7" t="str">
        <x:v>MF-22</x:v>
      </x:c>
      <x:c r="H1575" s="7" t="str"/>
      <x:c r="I1575" s="7" t="str"/>
      <x:c r="J1575" s="7" t="str">
        <x:f>IF(OR(H1575="",I1575=""),"",I1575-H1575)</x:f>
      </x:c>
      <x:c r="K1575" s="7" t="str"/>
      <x:c r="L1575" s="7" t="str"/>
      <x:c r="M1575" s="7" t="str">
        <x:f>IF(L1575="","OPEN",IF(OR(NOT(ISNUMBER(H1575)),NOT(ISNUMBER(I1575)),NOT(ISNUMBER(K1575)),ABS(J1575)&gt;K1575),"FAIL","PASS"))</x:f>
        <x:v>OPEN</x:v>
      </x:c>
    </x:row>
    <x:row r="1576">
      <x:c r="B1576" s="7" t="str">
        <x:v>CAL-CH-PEA-B-Y2-22-4</x:v>
      </x:c>
      <x:c r="C1576" s="7" t="str">
        <x:v>CH-PEA-B-Y2-22-4</x:v>
      </x:c>
      <x:c r="D1576" s="7" t="str">
        <x:v>PEA-B-Y2</x:v>
      </x:c>
      <x:c r="E1576" s="7" t="str">
        <x:v>BLD-B</x:v>
      </x:c>
      <x:c r="F1576" s="7" t="str">
        <x:v>BL-Y</x:v>
      </x:c>
      <x:c r="G1576" s="7" t="str">
        <x:v>MF-22</x:v>
      </x:c>
      <x:c r="H1576" s="7" t="str"/>
      <x:c r="I1576" s="7" t="str"/>
      <x:c r="J1576" s="7" t="str">
        <x:f>IF(OR(H1576="",I1576=""),"",I1576-H1576)</x:f>
      </x:c>
      <x:c r="K1576" s="7" t="str"/>
      <x:c r="L1576" s="7" t="str"/>
      <x:c r="M1576" s="7" t="str">
        <x:f>IF(L1576="","OPEN",IF(OR(NOT(ISNUMBER(H1576)),NOT(ISNUMBER(I1576)),NOT(ISNUMBER(K1576)),ABS(J1576)&gt;K1576),"FAIL","PASS"))</x:f>
        <x:v>OPEN</x:v>
      </x:c>
    </x:row>
    <x:row r="1577">
      <x:c r="B1577" s="7" t="str">
        <x:v>CAL-CH-PEA-B-Y2-22-5</x:v>
      </x:c>
      <x:c r="C1577" s="7" t="str">
        <x:v>CH-PEA-B-Y2-22-5</x:v>
      </x:c>
      <x:c r="D1577" s="7" t="str">
        <x:v>PEA-B-Y2</x:v>
      </x:c>
      <x:c r="E1577" s="7" t="str">
        <x:v>BLD-B</x:v>
      </x:c>
      <x:c r="F1577" s="7" t="str">
        <x:v>BL-Y</x:v>
      </x:c>
      <x:c r="G1577" s="7" t="str">
        <x:v>MF-22</x:v>
      </x:c>
      <x:c r="H1577" s="7" t="str"/>
      <x:c r="I1577" s="7" t="str"/>
      <x:c r="J1577" s="7" t="str">
        <x:f>IF(OR(H1577="",I1577=""),"",I1577-H1577)</x:f>
      </x:c>
      <x:c r="K1577" s="7" t="str"/>
      <x:c r="L1577" s="7" t="str"/>
      <x:c r="M1577" s="7" t="str">
        <x:f>IF(L1577="","OPEN",IF(OR(NOT(ISNUMBER(H1577)),NOT(ISNUMBER(I1577)),NOT(ISNUMBER(K1577)),ABS(J1577)&gt;K1577),"FAIL","PASS"))</x:f>
        <x:v>OPEN</x:v>
      </x:c>
    </x:row>
    <x:row r="1578">
      <x:c r="B1578" s="7" t="str">
        <x:v>CAL-CH-PEA-B-Y2-22-6</x:v>
      </x:c>
      <x:c r="C1578" s="7" t="str">
        <x:v>CH-PEA-B-Y2-22-6</x:v>
      </x:c>
      <x:c r="D1578" s="7" t="str">
        <x:v>PEA-B-Y2</x:v>
      </x:c>
      <x:c r="E1578" s="7" t="str">
        <x:v>BLD-B</x:v>
      </x:c>
      <x:c r="F1578" s="7" t="str">
        <x:v>BL-Y</x:v>
      </x:c>
      <x:c r="G1578" s="7" t="str">
        <x:v>MF-22</x:v>
      </x:c>
      <x:c r="H1578" s="7" t="str"/>
      <x:c r="I1578" s="7" t="str"/>
      <x:c r="J1578" s="7" t="str">
        <x:f>IF(OR(H1578="",I1578=""),"",I1578-H1578)</x:f>
      </x:c>
      <x:c r="K1578" s="7" t="str"/>
      <x:c r="L1578" s="7" t="str"/>
      <x:c r="M1578" s="7" t="str">
        <x:f>IF(L1578="","OPEN",IF(OR(NOT(ISNUMBER(H1578)),NOT(ISNUMBER(I1578)),NOT(ISNUMBER(K1578)),ABS(J1578)&gt;K1578),"FAIL","PASS"))</x:f>
        <x:v>OPEN</x:v>
      </x:c>
    </x:row>
    <x:row r="1579">
      <x:c r="B1579" s="7" t="str">
        <x:v>CAL-CH-PEA-B-Y2-23-1</x:v>
      </x:c>
      <x:c r="C1579" s="7" t="str">
        <x:v>CH-PEA-B-Y2-23-1</x:v>
      </x:c>
      <x:c r="D1579" s="7" t="str">
        <x:v>PEA-B-Y2</x:v>
      </x:c>
      <x:c r="E1579" s="7" t="str">
        <x:v>BLD-B</x:v>
      </x:c>
      <x:c r="F1579" s="7" t="str">
        <x:v>BL-Y</x:v>
      </x:c>
      <x:c r="G1579" s="7" t="str">
        <x:v>MF-23</x:v>
      </x:c>
      <x:c r="H1579" s="7" t="str"/>
      <x:c r="I1579" s="7" t="str"/>
      <x:c r="J1579" s="7" t="str">
        <x:f>IF(OR(H1579="",I1579=""),"",I1579-H1579)</x:f>
      </x:c>
      <x:c r="K1579" s="7" t="str"/>
      <x:c r="L1579" s="7" t="str"/>
      <x:c r="M1579" s="7" t="str">
        <x:f>IF(L1579="","OPEN",IF(OR(NOT(ISNUMBER(H1579)),NOT(ISNUMBER(I1579)),NOT(ISNUMBER(K1579)),ABS(J1579)&gt;K1579),"FAIL","PASS"))</x:f>
        <x:v>OPEN</x:v>
      </x:c>
    </x:row>
    <x:row r="1580">
      <x:c r="B1580" s="7" t="str">
        <x:v>CAL-CH-PEA-B-Y2-23-2</x:v>
      </x:c>
      <x:c r="C1580" s="7" t="str">
        <x:v>CH-PEA-B-Y2-23-2</x:v>
      </x:c>
      <x:c r="D1580" s="7" t="str">
        <x:v>PEA-B-Y2</x:v>
      </x:c>
      <x:c r="E1580" s="7" t="str">
        <x:v>BLD-B</x:v>
      </x:c>
      <x:c r="F1580" s="7" t="str">
        <x:v>BL-Y</x:v>
      </x:c>
      <x:c r="G1580" s="7" t="str">
        <x:v>MF-23</x:v>
      </x:c>
      <x:c r="H1580" s="7" t="str"/>
      <x:c r="I1580" s="7" t="str"/>
      <x:c r="J1580" s="7" t="str">
        <x:f>IF(OR(H1580="",I1580=""),"",I1580-H1580)</x:f>
      </x:c>
      <x:c r="K1580" s="7" t="str"/>
      <x:c r="L1580" s="7" t="str"/>
      <x:c r="M1580" s="7" t="str">
        <x:f>IF(L1580="","OPEN",IF(OR(NOT(ISNUMBER(H1580)),NOT(ISNUMBER(I1580)),NOT(ISNUMBER(K1580)),ABS(J1580)&gt;K1580),"FAIL","PASS"))</x:f>
        <x:v>OPEN</x:v>
      </x:c>
    </x:row>
    <x:row r="1581">
      <x:c r="B1581" s="7" t="str">
        <x:v>CAL-CH-PEA-B-Y2-23-3</x:v>
      </x:c>
      <x:c r="C1581" s="7" t="str">
        <x:v>CH-PEA-B-Y2-23-3</x:v>
      </x:c>
      <x:c r="D1581" s="7" t="str">
        <x:v>PEA-B-Y2</x:v>
      </x:c>
      <x:c r="E1581" s="7" t="str">
        <x:v>BLD-B</x:v>
      </x:c>
      <x:c r="F1581" s="7" t="str">
        <x:v>BL-Y</x:v>
      </x:c>
      <x:c r="G1581" s="7" t="str">
        <x:v>MF-23</x:v>
      </x:c>
      <x:c r="H1581" s="7" t="str"/>
      <x:c r="I1581" s="7" t="str"/>
      <x:c r="J1581" s="7" t="str">
        <x:f>IF(OR(H1581="",I1581=""),"",I1581-H1581)</x:f>
      </x:c>
      <x:c r="K1581" s="7" t="str"/>
      <x:c r="L1581" s="7" t="str"/>
      <x:c r="M1581" s="7" t="str">
        <x:f>IF(L1581="","OPEN",IF(OR(NOT(ISNUMBER(H1581)),NOT(ISNUMBER(I1581)),NOT(ISNUMBER(K1581)),ABS(J1581)&gt;K1581),"FAIL","PASS"))</x:f>
        <x:v>OPEN</x:v>
      </x:c>
    </x:row>
    <x:row r="1582">
      <x:c r="B1582" s="7" t="str">
        <x:v>CAL-CH-PEA-B-Y2-23-4</x:v>
      </x:c>
      <x:c r="C1582" s="7" t="str">
        <x:v>CH-PEA-B-Y2-23-4</x:v>
      </x:c>
      <x:c r="D1582" s="7" t="str">
        <x:v>PEA-B-Y2</x:v>
      </x:c>
      <x:c r="E1582" s="7" t="str">
        <x:v>BLD-B</x:v>
      </x:c>
      <x:c r="F1582" s="7" t="str">
        <x:v>BL-Y</x:v>
      </x:c>
      <x:c r="G1582" s="7" t="str">
        <x:v>MF-23</x:v>
      </x:c>
      <x:c r="H1582" s="7" t="str"/>
      <x:c r="I1582" s="7" t="str"/>
      <x:c r="J1582" s="7" t="str">
        <x:f>IF(OR(H1582="",I1582=""),"",I1582-H1582)</x:f>
      </x:c>
      <x:c r="K1582" s="7" t="str"/>
      <x:c r="L1582" s="7" t="str"/>
      <x:c r="M1582" s="7" t="str">
        <x:f>IF(L1582="","OPEN",IF(OR(NOT(ISNUMBER(H1582)),NOT(ISNUMBER(I1582)),NOT(ISNUMBER(K1582)),ABS(J1582)&gt;K1582),"FAIL","PASS"))</x:f>
        <x:v>OPEN</x:v>
      </x:c>
    </x:row>
    <x:row r="1583">
      <x:c r="B1583" s="7" t="str">
        <x:v>CAL-CH-PEA-B-Y2-23-5</x:v>
      </x:c>
      <x:c r="C1583" s="7" t="str">
        <x:v>CH-PEA-B-Y2-23-5</x:v>
      </x:c>
      <x:c r="D1583" s="7" t="str">
        <x:v>PEA-B-Y2</x:v>
      </x:c>
      <x:c r="E1583" s="7" t="str">
        <x:v>BLD-B</x:v>
      </x:c>
      <x:c r="F1583" s="7" t="str">
        <x:v>BL-Y</x:v>
      </x:c>
      <x:c r="G1583" s="7" t="str">
        <x:v>MF-23</x:v>
      </x:c>
      <x:c r="H1583" s="7" t="str"/>
      <x:c r="I1583" s="7" t="str"/>
      <x:c r="J1583" s="7" t="str">
        <x:f>IF(OR(H1583="",I1583=""),"",I1583-H1583)</x:f>
      </x:c>
      <x:c r="K1583" s="7" t="str"/>
      <x:c r="L1583" s="7" t="str"/>
      <x:c r="M1583" s="7" t="str">
        <x:f>IF(L1583="","OPEN",IF(OR(NOT(ISNUMBER(H1583)),NOT(ISNUMBER(I1583)),NOT(ISNUMBER(K1583)),ABS(J1583)&gt;K1583),"FAIL","PASS"))</x:f>
        <x:v>OPEN</x:v>
      </x:c>
    </x:row>
    <x:row r="1584">
      <x:c r="B1584" s="7" t="str">
        <x:v>CAL-CH-PEA-B-Y2-23-6</x:v>
      </x:c>
      <x:c r="C1584" s="7" t="str">
        <x:v>CH-PEA-B-Y2-23-6</x:v>
      </x:c>
      <x:c r="D1584" s="7" t="str">
        <x:v>PEA-B-Y2</x:v>
      </x:c>
      <x:c r="E1584" s="7" t="str">
        <x:v>BLD-B</x:v>
      </x:c>
      <x:c r="F1584" s="7" t="str">
        <x:v>BL-Y</x:v>
      </x:c>
      <x:c r="G1584" s="7" t="str">
        <x:v>MF-23</x:v>
      </x:c>
      <x:c r="H1584" s="7" t="str"/>
      <x:c r="I1584" s="7" t="str"/>
      <x:c r="J1584" s="7" t="str">
        <x:f>IF(OR(H1584="",I1584=""),"",I1584-H1584)</x:f>
      </x:c>
      <x:c r="K1584" s="7" t="str"/>
      <x:c r="L1584" s="7" t="str"/>
      <x:c r="M1584" s="7" t="str">
        <x:f>IF(L1584="","OPEN",IF(OR(NOT(ISNUMBER(H1584)),NOT(ISNUMBER(I1584)),NOT(ISNUMBER(K1584)),ABS(J1584)&gt;K1584),"FAIL","PASS"))</x:f>
        <x:v>OPEN</x:v>
      </x:c>
    </x:row>
    <x:row r="1585">
      <x:c r="B1585" s="7" t="str">
        <x:v>CAL-CH-PEA-B-Y2-24-1</x:v>
      </x:c>
      <x:c r="C1585" s="7" t="str">
        <x:v>CH-PEA-B-Y2-24-1</x:v>
      </x:c>
      <x:c r="D1585" s="7" t="str">
        <x:v>PEA-B-Y2</x:v>
      </x:c>
      <x:c r="E1585" s="7" t="str">
        <x:v>BLD-B</x:v>
      </x:c>
      <x:c r="F1585" s="7" t="str">
        <x:v>BL-Y</x:v>
      </x:c>
      <x:c r="G1585" s="7" t="str">
        <x:v>MF-24</x:v>
      </x:c>
      <x:c r="H1585" s="7" t="str"/>
      <x:c r="I1585" s="7" t="str"/>
      <x:c r="J1585" s="7" t="str">
        <x:f>IF(OR(H1585="",I1585=""),"",I1585-H1585)</x:f>
      </x:c>
      <x:c r="K1585" s="7" t="str"/>
      <x:c r="L1585" s="7" t="str"/>
      <x:c r="M1585" s="7" t="str">
        <x:f>IF(L1585="","OPEN",IF(OR(NOT(ISNUMBER(H1585)),NOT(ISNUMBER(I1585)),NOT(ISNUMBER(K1585)),ABS(J1585)&gt;K1585),"FAIL","PASS"))</x:f>
        <x:v>OPEN</x:v>
      </x:c>
    </x:row>
    <x:row r="1586">
      <x:c r="B1586" s="7" t="str">
        <x:v>CAL-CH-PEA-B-Y2-24-2</x:v>
      </x:c>
      <x:c r="C1586" s="7" t="str">
        <x:v>CH-PEA-B-Y2-24-2</x:v>
      </x:c>
      <x:c r="D1586" s="7" t="str">
        <x:v>PEA-B-Y2</x:v>
      </x:c>
      <x:c r="E1586" s="7" t="str">
        <x:v>BLD-B</x:v>
      </x:c>
      <x:c r="F1586" s="7" t="str">
        <x:v>BL-Y</x:v>
      </x:c>
      <x:c r="G1586" s="7" t="str">
        <x:v>MF-24</x:v>
      </x:c>
      <x:c r="H1586" s="7" t="str"/>
      <x:c r="I1586" s="7" t="str"/>
      <x:c r="J1586" s="7" t="str">
        <x:f>IF(OR(H1586="",I1586=""),"",I1586-H1586)</x:f>
      </x:c>
      <x:c r="K1586" s="7" t="str"/>
      <x:c r="L1586" s="7" t="str"/>
      <x:c r="M1586" s="7" t="str">
        <x:f>IF(L1586="","OPEN",IF(OR(NOT(ISNUMBER(H1586)),NOT(ISNUMBER(I1586)),NOT(ISNUMBER(K1586)),ABS(J1586)&gt;K1586),"FAIL","PASS"))</x:f>
        <x:v>OPEN</x:v>
      </x:c>
    </x:row>
    <x:row r="1587">
      <x:c r="B1587" s="7" t="str">
        <x:v>CAL-CH-PEA-B-Y2-24-3</x:v>
      </x:c>
      <x:c r="C1587" s="7" t="str">
        <x:v>CH-PEA-B-Y2-24-3</x:v>
      </x:c>
      <x:c r="D1587" s="7" t="str">
        <x:v>PEA-B-Y2</x:v>
      </x:c>
      <x:c r="E1587" s="7" t="str">
        <x:v>BLD-B</x:v>
      </x:c>
      <x:c r="F1587" s="7" t="str">
        <x:v>BL-Y</x:v>
      </x:c>
      <x:c r="G1587" s="7" t="str">
        <x:v>MF-24</x:v>
      </x:c>
      <x:c r="H1587" s="7" t="str"/>
      <x:c r="I1587" s="7" t="str"/>
      <x:c r="J1587" s="7" t="str">
        <x:f>IF(OR(H1587="",I1587=""),"",I1587-H1587)</x:f>
      </x:c>
      <x:c r="K1587" s="7" t="str"/>
      <x:c r="L1587" s="7" t="str"/>
      <x:c r="M1587" s="7" t="str">
        <x:f>IF(L1587="","OPEN",IF(OR(NOT(ISNUMBER(H1587)),NOT(ISNUMBER(I1587)),NOT(ISNUMBER(K1587)),ABS(J1587)&gt;K1587),"FAIL","PASS"))</x:f>
        <x:v>OPEN</x:v>
      </x:c>
    </x:row>
    <x:row r="1588">
      <x:c r="B1588" s="7" t="str">
        <x:v>CAL-CH-PEA-B-Y2-24-4</x:v>
      </x:c>
      <x:c r="C1588" s="7" t="str">
        <x:v>CH-PEA-B-Y2-24-4</x:v>
      </x:c>
      <x:c r="D1588" s="7" t="str">
        <x:v>PEA-B-Y2</x:v>
      </x:c>
      <x:c r="E1588" s="7" t="str">
        <x:v>BLD-B</x:v>
      </x:c>
      <x:c r="F1588" s="7" t="str">
        <x:v>BL-Y</x:v>
      </x:c>
      <x:c r="G1588" s="7" t="str">
        <x:v>MF-24</x:v>
      </x:c>
      <x:c r="H1588" s="7" t="str"/>
      <x:c r="I1588" s="7" t="str"/>
      <x:c r="J1588" s="7" t="str">
        <x:f>IF(OR(H1588="",I1588=""),"",I1588-H1588)</x:f>
      </x:c>
      <x:c r="K1588" s="7" t="str"/>
      <x:c r="L1588" s="7" t="str"/>
      <x:c r="M1588" s="7" t="str">
        <x:f>IF(L1588="","OPEN",IF(OR(NOT(ISNUMBER(H1588)),NOT(ISNUMBER(I1588)),NOT(ISNUMBER(K1588)),ABS(J1588)&gt;K1588),"FAIL","PASS"))</x:f>
        <x:v>OPEN</x:v>
      </x:c>
    </x:row>
    <x:row r="1589">
      <x:c r="B1589" s="7" t="str">
        <x:v>CAL-CH-PEA-B-Y2-24-5</x:v>
      </x:c>
      <x:c r="C1589" s="7" t="str">
        <x:v>CH-PEA-B-Y2-24-5</x:v>
      </x:c>
      <x:c r="D1589" s="7" t="str">
        <x:v>PEA-B-Y2</x:v>
      </x:c>
      <x:c r="E1589" s="7" t="str">
        <x:v>BLD-B</x:v>
      </x:c>
      <x:c r="F1589" s="7" t="str">
        <x:v>BL-Y</x:v>
      </x:c>
      <x:c r="G1589" s="7" t="str">
        <x:v>MF-24</x:v>
      </x:c>
      <x:c r="H1589" s="7" t="str"/>
      <x:c r="I1589" s="7" t="str"/>
      <x:c r="J1589" s="7" t="str">
        <x:f>IF(OR(H1589="",I1589=""),"",I1589-H1589)</x:f>
      </x:c>
      <x:c r="K1589" s="7" t="str"/>
      <x:c r="L1589" s="7" t="str"/>
      <x:c r="M1589" s="7" t="str">
        <x:f>IF(L1589="","OPEN",IF(OR(NOT(ISNUMBER(H1589)),NOT(ISNUMBER(I1589)),NOT(ISNUMBER(K1589)),ABS(J1589)&gt;K1589),"FAIL","PASS"))</x:f>
        <x:v>OPEN</x:v>
      </x:c>
    </x:row>
    <x:row r="1590">
      <x:c r="B1590" s="7" t="str">
        <x:v>CAL-CH-PEA-B-Y2-24-6</x:v>
      </x:c>
      <x:c r="C1590" s="7" t="str">
        <x:v>CH-PEA-B-Y2-24-6</x:v>
      </x:c>
      <x:c r="D1590" s="7" t="str">
        <x:v>PEA-B-Y2</x:v>
      </x:c>
      <x:c r="E1590" s="7" t="str">
        <x:v>BLD-B</x:v>
      </x:c>
      <x:c r="F1590" s="7" t="str">
        <x:v>BL-Y</x:v>
      </x:c>
      <x:c r="G1590" s="7" t="str">
        <x:v>MF-24</x:v>
      </x:c>
      <x:c r="H1590" s="7" t="str"/>
      <x:c r="I1590" s="7" t="str"/>
      <x:c r="J1590" s="7" t="str">
        <x:f>IF(OR(H1590="",I1590=""),"",I1590-H1590)</x:f>
      </x:c>
      <x:c r="K1590" s="7" t="str"/>
      <x:c r="L1590" s="7" t="str"/>
      <x:c r="M1590" s="7" t="str">
        <x:f>IF(L1590="","OPEN",IF(OR(NOT(ISNUMBER(H1590)),NOT(ISNUMBER(I1590)),NOT(ISNUMBER(K1590)),ABS(J1590)&gt;K1590),"FAIL","PASS"))</x:f>
        <x:v>OPEN</x:v>
      </x:c>
    </x:row>
    <x:row r="1591">
      <x:c r="B1591" s="7" t="str">
        <x:v>CAL-CH-PEA-B-Y3-01-1</x:v>
      </x:c>
      <x:c r="C1591" s="7" t="str">
        <x:v>CH-PEA-B-Y3-01-1</x:v>
      </x:c>
      <x:c r="D1591" s="7" t="str">
        <x:v>PEA-B-Y3</x:v>
      </x:c>
      <x:c r="E1591" s="7" t="str">
        <x:v>BLD-B</x:v>
      </x:c>
      <x:c r="F1591" s="7" t="str">
        <x:v>BL-Y</x:v>
      </x:c>
      <x:c r="G1591" s="7" t="str">
        <x:v>MF-01</x:v>
      </x:c>
      <x:c r="H1591" s="7" t="str"/>
      <x:c r="I1591" s="7" t="str"/>
      <x:c r="J1591" s="7" t="str">
        <x:f>IF(OR(H1591="",I1591=""),"",I1591-H1591)</x:f>
      </x:c>
      <x:c r="K1591" s="7" t="str"/>
      <x:c r="L1591" s="7" t="str"/>
      <x:c r="M1591" s="7" t="str">
        <x:f>IF(L1591="","OPEN",IF(OR(NOT(ISNUMBER(H1591)),NOT(ISNUMBER(I1591)),NOT(ISNUMBER(K1591)),ABS(J1591)&gt;K1591),"FAIL","PASS"))</x:f>
        <x:v>OPEN</x:v>
      </x:c>
    </x:row>
    <x:row r="1592">
      <x:c r="B1592" s="7" t="str">
        <x:v>CAL-CH-PEA-B-Y3-01-2</x:v>
      </x:c>
      <x:c r="C1592" s="7" t="str">
        <x:v>CH-PEA-B-Y3-01-2</x:v>
      </x:c>
      <x:c r="D1592" s="7" t="str">
        <x:v>PEA-B-Y3</x:v>
      </x:c>
      <x:c r="E1592" s="7" t="str">
        <x:v>BLD-B</x:v>
      </x:c>
      <x:c r="F1592" s="7" t="str">
        <x:v>BL-Y</x:v>
      </x:c>
      <x:c r="G1592" s="7" t="str">
        <x:v>MF-01</x:v>
      </x:c>
      <x:c r="H1592" s="7" t="str"/>
      <x:c r="I1592" s="7" t="str"/>
      <x:c r="J1592" s="7" t="str">
        <x:f>IF(OR(H1592="",I1592=""),"",I1592-H1592)</x:f>
      </x:c>
      <x:c r="K1592" s="7" t="str"/>
      <x:c r="L1592" s="7" t="str"/>
      <x:c r="M1592" s="7" t="str">
        <x:f>IF(L1592="","OPEN",IF(OR(NOT(ISNUMBER(H1592)),NOT(ISNUMBER(I1592)),NOT(ISNUMBER(K1592)),ABS(J1592)&gt;K1592),"FAIL","PASS"))</x:f>
        <x:v>OPEN</x:v>
      </x:c>
    </x:row>
    <x:row r="1593">
      <x:c r="B1593" s="7" t="str">
        <x:v>CAL-CH-PEA-B-Y3-01-3</x:v>
      </x:c>
      <x:c r="C1593" s="7" t="str">
        <x:v>CH-PEA-B-Y3-01-3</x:v>
      </x:c>
      <x:c r="D1593" s="7" t="str">
        <x:v>PEA-B-Y3</x:v>
      </x:c>
      <x:c r="E1593" s="7" t="str">
        <x:v>BLD-B</x:v>
      </x:c>
      <x:c r="F1593" s="7" t="str">
        <x:v>BL-Y</x:v>
      </x:c>
      <x:c r="G1593" s="7" t="str">
        <x:v>MF-01</x:v>
      </x:c>
      <x:c r="H1593" s="7" t="str"/>
      <x:c r="I1593" s="7" t="str"/>
      <x:c r="J1593" s="7" t="str">
        <x:f>IF(OR(H1593="",I1593=""),"",I1593-H1593)</x:f>
      </x:c>
      <x:c r="K1593" s="7" t="str"/>
      <x:c r="L1593" s="7" t="str"/>
      <x:c r="M1593" s="7" t="str">
        <x:f>IF(L1593="","OPEN",IF(OR(NOT(ISNUMBER(H1593)),NOT(ISNUMBER(I1593)),NOT(ISNUMBER(K1593)),ABS(J1593)&gt;K1593),"FAIL","PASS"))</x:f>
        <x:v>OPEN</x:v>
      </x:c>
    </x:row>
    <x:row r="1594">
      <x:c r="B1594" s="7" t="str">
        <x:v>CAL-CH-PEA-B-Y3-01-4</x:v>
      </x:c>
      <x:c r="C1594" s="7" t="str">
        <x:v>CH-PEA-B-Y3-01-4</x:v>
      </x:c>
      <x:c r="D1594" s="7" t="str">
        <x:v>PEA-B-Y3</x:v>
      </x:c>
      <x:c r="E1594" s="7" t="str">
        <x:v>BLD-B</x:v>
      </x:c>
      <x:c r="F1594" s="7" t="str">
        <x:v>BL-Y</x:v>
      </x:c>
      <x:c r="G1594" s="7" t="str">
        <x:v>MF-01</x:v>
      </x:c>
      <x:c r="H1594" s="7" t="str"/>
      <x:c r="I1594" s="7" t="str"/>
      <x:c r="J1594" s="7" t="str">
        <x:f>IF(OR(H1594="",I1594=""),"",I1594-H1594)</x:f>
      </x:c>
      <x:c r="K1594" s="7" t="str"/>
      <x:c r="L1594" s="7" t="str"/>
      <x:c r="M1594" s="7" t="str">
        <x:f>IF(L1594="","OPEN",IF(OR(NOT(ISNUMBER(H1594)),NOT(ISNUMBER(I1594)),NOT(ISNUMBER(K1594)),ABS(J1594)&gt;K1594),"FAIL","PASS"))</x:f>
        <x:v>OPEN</x:v>
      </x:c>
    </x:row>
    <x:row r="1595">
      <x:c r="B1595" s="7" t="str">
        <x:v>CAL-CH-PEA-B-Y3-01-5</x:v>
      </x:c>
      <x:c r="C1595" s="7" t="str">
        <x:v>CH-PEA-B-Y3-01-5</x:v>
      </x:c>
      <x:c r="D1595" s="7" t="str">
        <x:v>PEA-B-Y3</x:v>
      </x:c>
      <x:c r="E1595" s="7" t="str">
        <x:v>BLD-B</x:v>
      </x:c>
      <x:c r="F1595" s="7" t="str">
        <x:v>BL-Y</x:v>
      </x:c>
      <x:c r="G1595" s="7" t="str">
        <x:v>MF-01</x:v>
      </x:c>
      <x:c r="H1595" s="7" t="str"/>
      <x:c r="I1595" s="7" t="str"/>
      <x:c r="J1595" s="7" t="str">
        <x:f>IF(OR(H1595="",I1595=""),"",I1595-H1595)</x:f>
      </x:c>
      <x:c r="K1595" s="7" t="str"/>
      <x:c r="L1595" s="7" t="str"/>
      <x:c r="M1595" s="7" t="str">
        <x:f>IF(L1595="","OPEN",IF(OR(NOT(ISNUMBER(H1595)),NOT(ISNUMBER(I1595)),NOT(ISNUMBER(K1595)),ABS(J1595)&gt;K1595),"FAIL","PASS"))</x:f>
        <x:v>OPEN</x:v>
      </x:c>
    </x:row>
    <x:row r="1596">
      <x:c r="B1596" s="7" t="str">
        <x:v>CAL-CH-PEA-B-Y3-01-6</x:v>
      </x:c>
      <x:c r="C1596" s="7" t="str">
        <x:v>CH-PEA-B-Y3-01-6</x:v>
      </x:c>
      <x:c r="D1596" s="7" t="str">
        <x:v>PEA-B-Y3</x:v>
      </x:c>
      <x:c r="E1596" s="7" t="str">
        <x:v>BLD-B</x:v>
      </x:c>
      <x:c r="F1596" s="7" t="str">
        <x:v>BL-Y</x:v>
      </x:c>
      <x:c r="G1596" s="7" t="str">
        <x:v>MF-01</x:v>
      </x:c>
      <x:c r="H1596" s="7" t="str"/>
      <x:c r="I1596" s="7" t="str"/>
      <x:c r="J1596" s="7" t="str">
        <x:f>IF(OR(H1596="",I1596=""),"",I1596-H1596)</x:f>
      </x:c>
      <x:c r="K1596" s="7" t="str"/>
      <x:c r="L1596" s="7" t="str"/>
      <x:c r="M1596" s="7" t="str">
        <x:f>IF(L1596="","OPEN",IF(OR(NOT(ISNUMBER(H1596)),NOT(ISNUMBER(I1596)),NOT(ISNUMBER(K1596)),ABS(J1596)&gt;K1596),"FAIL","PASS"))</x:f>
        <x:v>OPEN</x:v>
      </x:c>
    </x:row>
    <x:row r="1597">
      <x:c r="B1597" s="7" t="str">
        <x:v>CAL-CH-PEA-B-Y3-02-1</x:v>
      </x:c>
      <x:c r="C1597" s="7" t="str">
        <x:v>CH-PEA-B-Y3-02-1</x:v>
      </x:c>
      <x:c r="D1597" s="7" t="str">
        <x:v>PEA-B-Y3</x:v>
      </x:c>
      <x:c r="E1597" s="7" t="str">
        <x:v>BLD-B</x:v>
      </x:c>
      <x:c r="F1597" s="7" t="str">
        <x:v>BL-Y</x:v>
      </x:c>
      <x:c r="G1597" s="7" t="str">
        <x:v>MF-02</x:v>
      </x:c>
      <x:c r="H1597" s="7" t="str"/>
      <x:c r="I1597" s="7" t="str"/>
      <x:c r="J1597" s="7" t="str">
        <x:f>IF(OR(H1597="",I1597=""),"",I1597-H1597)</x:f>
      </x:c>
      <x:c r="K1597" s="7" t="str"/>
      <x:c r="L1597" s="7" t="str"/>
      <x:c r="M1597" s="7" t="str">
        <x:f>IF(L1597="","OPEN",IF(OR(NOT(ISNUMBER(H1597)),NOT(ISNUMBER(I1597)),NOT(ISNUMBER(K1597)),ABS(J1597)&gt;K1597),"FAIL","PASS"))</x:f>
        <x:v>OPEN</x:v>
      </x:c>
    </x:row>
    <x:row r="1598">
      <x:c r="B1598" s="7" t="str">
        <x:v>CAL-CH-PEA-B-Y3-02-2</x:v>
      </x:c>
      <x:c r="C1598" s="7" t="str">
        <x:v>CH-PEA-B-Y3-02-2</x:v>
      </x:c>
      <x:c r="D1598" s="7" t="str">
        <x:v>PEA-B-Y3</x:v>
      </x:c>
      <x:c r="E1598" s="7" t="str">
        <x:v>BLD-B</x:v>
      </x:c>
      <x:c r="F1598" s="7" t="str">
        <x:v>BL-Y</x:v>
      </x:c>
      <x:c r="G1598" s="7" t="str">
        <x:v>MF-02</x:v>
      </x:c>
      <x:c r="H1598" s="7" t="str"/>
      <x:c r="I1598" s="7" t="str"/>
      <x:c r="J1598" s="7" t="str">
        <x:f>IF(OR(H1598="",I1598=""),"",I1598-H1598)</x:f>
      </x:c>
      <x:c r="K1598" s="7" t="str"/>
      <x:c r="L1598" s="7" t="str"/>
      <x:c r="M1598" s="7" t="str">
        <x:f>IF(L1598="","OPEN",IF(OR(NOT(ISNUMBER(H1598)),NOT(ISNUMBER(I1598)),NOT(ISNUMBER(K1598)),ABS(J1598)&gt;K1598),"FAIL","PASS"))</x:f>
        <x:v>OPEN</x:v>
      </x:c>
    </x:row>
    <x:row r="1599">
      <x:c r="B1599" s="7" t="str">
        <x:v>CAL-CH-PEA-B-Y3-02-3</x:v>
      </x:c>
      <x:c r="C1599" s="7" t="str">
        <x:v>CH-PEA-B-Y3-02-3</x:v>
      </x:c>
      <x:c r="D1599" s="7" t="str">
        <x:v>PEA-B-Y3</x:v>
      </x:c>
      <x:c r="E1599" s="7" t="str">
        <x:v>BLD-B</x:v>
      </x:c>
      <x:c r="F1599" s="7" t="str">
        <x:v>BL-Y</x:v>
      </x:c>
      <x:c r="G1599" s="7" t="str">
        <x:v>MF-02</x:v>
      </x:c>
      <x:c r="H1599" s="7" t="str"/>
      <x:c r="I1599" s="7" t="str"/>
      <x:c r="J1599" s="7" t="str">
        <x:f>IF(OR(H1599="",I1599=""),"",I1599-H1599)</x:f>
      </x:c>
      <x:c r="K1599" s="7" t="str"/>
      <x:c r="L1599" s="7" t="str"/>
      <x:c r="M1599" s="7" t="str">
        <x:f>IF(L1599="","OPEN",IF(OR(NOT(ISNUMBER(H1599)),NOT(ISNUMBER(I1599)),NOT(ISNUMBER(K1599)),ABS(J1599)&gt;K1599),"FAIL","PASS"))</x:f>
        <x:v>OPEN</x:v>
      </x:c>
    </x:row>
    <x:row r="1600">
      <x:c r="B1600" s="7" t="str">
        <x:v>CAL-CH-PEA-B-Y3-02-4</x:v>
      </x:c>
      <x:c r="C1600" s="7" t="str">
        <x:v>CH-PEA-B-Y3-02-4</x:v>
      </x:c>
      <x:c r="D1600" s="7" t="str">
        <x:v>PEA-B-Y3</x:v>
      </x:c>
      <x:c r="E1600" s="7" t="str">
        <x:v>BLD-B</x:v>
      </x:c>
      <x:c r="F1600" s="7" t="str">
        <x:v>BL-Y</x:v>
      </x:c>
      <x:c r="G1600" s="7" t="str">
        <x:v>MF-02</x:v>
      </x:c>
      <x:c r="H1600" s="7" t="str"/>
      <x:c r="I1600" s="7" t="str"/>
      <x:c r="J1600" s="7" t="str">
        <x:f>IF(OR(H1600="",I1600=""),"",I1600-H1600)</x:f>
      </x:c>
      <x:c r="K1600" s="7" t="str"/>
      <x:c r="L1600" s="7" t="str"/>
      <x:c r="M1600" s="7" t="str">
        <x:f>IF(L1600="","OPEN",IF(OR(NOT(ISNUMBER(H1600)),NOT(ISNUMBER(I1600)),NOT(ISNUMBER(K1600)),ABS(J1600)&gt;K1600),"FAIL","PASS"))</x:f>
        <x:v>OPEN</x:v>
      </x:c>
    </x:row>
    <x:row r="1601">
      <x:c r="B1601" s="7" t="str">
        <x:v>CAL-CH-PEA-B-Y3-02-5</x:v>
      </x:c>
      <x:c r="C1601" s="7" t="str">
        <x:v>CH-PEA-B-Y3-02-5</x:v>
      </x:c>
      <x:c r="D1601" s="7" t="str">
        <x:v>PEA-B-Y3</x:v>
      </x:c>
      <x:c r="E1601" s="7" t="str">
        <x:v>BLD-B</x:v>
      </x:c>
      <x:c r="F1601" s="7" t="str">
        <x:v>BL-Y</x:v>
      </x:c>
      <x:c r="G1601" s="7" t="str">
        <x:v>MF-02</x:v>
      </x:c>
      <x:c r="H1601" s="7" t="str"/>
      <x:c r="I1601" s="7" t="str"/>
      <x:c r="J1601" s="7" t="str">
        <x:f>IF(OR(H1601="",I1601=""),"",I1601-H1601)</x:f>
      </x:c>
      <x:c r="K1601" s="7" t="str"/>
      <x:c r="L1601" s="7" t="str"/>
      <x:c r="M1601" s="7" t="str">
        <x:f>IF(L1601="","OPEN",IF(OR(NOT(ISNUMBER(H1601)),NOT(ISNUMBER(I1601)),NOT(ISNUMBER(K1601)),ABS(J1601)&gt;K1601),"FAIL","PASS"))</x:f>
        <x:v>OPEN</x:v>
      </x:c>
    </x:row>
    <x:row r="1602">
      <x:c r="B1602" s="7" t="str">
        <x:v>CAL-CH-PEA-B-Y3-02-6</x:v>
      </x:c>
      <x:c r="C1602" s="7" t="str">
        <x:v>CH-PEA-B-Y3-02-6</x:v>
      </x:c>
      <x:c r="D1602" s="7" t="str">
        <x:v>PEA-B-Y3</x:v>
      </x:c>
      <x:c r="E1602" s="7" t="str">
        <x:v>BLD-B</x:v>
      </x:c>
      <x:c r="F1602" s="7" t="str">
        <x:v>BL-Y</x:v>
      </x:c>
      <x:c r="G1602" s="7" t="str">
        <x:v>MF-02</x:v>
      </x:c>
      <x:c r="H1602" s="7" t="str"/>
      <x:c r="I1602" s="7" t="str"/>
      <x:c r="J1602" s="7" t="str">
        <x:f>IF(OR(H1602="",I1602=""),"",I1602-H1602)</x:f>
      </x:c>
      <x:c r="K1602" s="7" t="str"/>
      <x:c r="L1602" s="7" t="str"/>
      <x:c r="M1602" s="7" t="str">
        <x:f>IF(L1602="","OPEN",IF(OR(NOT(ISNUMBER(H1602)),NOT(ISNUMBER(I1602)),NOT(ISNUMBER(K1602)),ABS(J1602)&gt;K1602),"FAIL","PASS"))</x:f>
        <x:v>OPEN</x:v>
      </x:c>
    </x:row>
    <x:row r="1603">
      <x:c r="B1603" s="7" t="str">
        <x:v>CAL-CH-PEA-B-Y3-03-1</x:v>
      </x:c>
      <x:c r="C1603" s="7" t="str">
        <x:v>CH-PEA-B-Y3-03-1</x:v>
      </x:c>
      <x:c r="D1603" s="7" t="str">
        <x:v>PEA-B-Y3</x:v>
      </x:c>
      <x:c r="E1603" s="7" t="str">
        <x:v>BLD-B</x:v>
      </x:c>
      <x:c r="F1603" s="7" t="str">
        <x:v>BL-Y</x:v>
      </x:c>
      <x:c r="G1603" s="7" t="str">
        <x:v>MF-03</x:v>
      </x:c>
      <x:c r="H1603" s="7" t="str"/>
      <x:c r="I1603" s="7" t="str"/>
      <x:c r="J1603" s="7" t="str">
        <x:f>IF(OR(H1603="",I1603=""),"",I1603-H1603)</x:f>
      </x:c>
      <x:c r="K1603" s="7" t="str"/>
      <x:c r="L1603" s="7" t="str"/>
      <x:c r="M1603" s="7" t="str">
        <x:f>IF(L1603="","OPEN",IF(OR(NOT(ISNUMBER(H1603)),NOT(ISNUMBER(I1603)),NOT(ISNUMBER(K1603)),ABS(J1603)&gt;K1603),"FAIL","PASS"))</x:f>
        <x:v>OPEN</x:v>
      </x:c>
    </x:row>
    <x:row r="1604">
      <x:c r="B1604" s="7" t="str">
        <x:v>CAL-CH-PEA-B-Y3-03-2</x:v>
      </x:c>
      <x:c r="C1604" s="7" t="str">
        <x:v>CH-PEA-B-Y3-03-2</x:v>
      </x:c>
      <x:c r="D1604" s="7" t="str">
        <x:v>PEA-B-Y3</x:v>
      </x:c>
      <x:c r="E1604" s="7" t="str">
        <x:v>BLD-B</x:v>
      </x:c>
      <x:c r="F1604" s="7" t="str">
        <x:v>BL-Y</x:v>
      </x:c>
      <x:c r="G1604" s="7" t="str">
        <x:v>MF-03</x:v>
      </x:c>
      <x:c r="H1604" s="7" t="str"/>
      <x:c r="I1604" s="7" t="str"/>
      <x:c r="J1604" s="7" t="str">
        <x:f>IF(OR(H1604="",I1604=""),"",I1604-H1604)</x:f>
      </x:c>
      <x:c r="K1604" s="7" t="str"/>
      <x:c r="L1604" s="7" t="str"/>
      <x:c r="M1604" s="7" t="str">
        <x:f>IF(L1604="","OPEN",IF(OR(NOT(ISNUMBER(H1604)),NOT(ISNUMBER(I1604)),NOT(ISNUMBER(K1604)),ABS(J1604)&gt;K1604),"FAIL","PASS"))</x:f>
        <x:v>OPEN</x:v>
      </x:c>
    </x:row>
    <x:row r="1605">
      <x:c r="B1605" s="7" t="str">
        <x:v>CAL-CH-PEA-B-Y3-03-3</x:v>
      </x:c>
      <x:c r="C1605" s="7" t="str">
        <x:v>CH-PEA-B-Y3-03-3</x:v>
      </x:c>
      <x:c r="D1605" s="7" t="str">
        <x:v>PEA-B-Y3</x:v>
      </x:c>
      <x:c r="E1605" s="7" t="str">
        <x:v>BLD-B</x:v>
      </x:c>
      <x:c r="F1605" s="7" t="str">
        <x:v>BL-Y</x:v>
      </x:c>
      <x:c r="G1605" s="7" t="str">
        <x:v>MF-03</x:v>
      </x:c>
      <x:c r="H1605" s="7" t="str"/>
      <x:c r="I1605" s="7" t="str"/>
      <x:c r="J1605" s="7" t="str">
        <x:f>IF(OR(H1605="",I1605=""),"",I1605-H1605)</x:f>
      </x:c>
      <x:c r="K1605" s="7" t="str"/>
      <x:c r="L1605" s="7" t="str"/>
      <x:c r="M1605" s="7" t="str">
        <x:f>IF(L1605="","OPEN",IF(OR(NOT(ISNUMBER(H1605)),NOT(ISNUMBER(I1605)),NOT(ISNUMBER(K1605)),ABS(J1605)&gt;K1605),"FAIL","PASS"))</x:f>
        <x:v>OPEN</x:v>
      </x:c>
    </x:row>
    <x:row r="1606">
      <x:c r="B1606" s="7" t="str">
        <x:v>CAL-CH-PEA-B-Y3-03-4</x:v>
      </x:c>
      <x:c r="C1606" s="7" t="str">
        <x:v>CH-PEA-B-Y3-03-4</x:v>
      </x:c>
      <x:c r="D1606" s="7" t="str">
        <x:v>PEA-B-Y3</x:v>
      </x:c>
      <x:c r="E1606" s="7" t="str">
        <x:v>BLD-B</x:v>
      </x:c>
      <x:c r="F1606" s="7" t="str">
        <x:v>BL-Y</x:v>
      </x:c>
      <x:c r="G1606" s="7" t="str">
        <x:v>MF-03</x:v>
      </x:c>
      <x:c r="H1606" s="7" t="str"/>
      <x:c r="I1606" s="7" t="str"/>
      <x:c r="J1606" s="7" t="str">
        <x:f>IF(OR(H1606="",I1606=""),"",I1606-H1606)</x:f>
      </x:c>
      <x:c r="K1606" s="7" t="str"/>
      <x:c r="L1606" s="7" t="str"/>
      <x:c r="M1606" s="7" t="str">
        <x:f>IF(L1606="","OPEN",IF(OR(NOT(ISNUMBER(H1606)),NOT(ISNUMBER(I1606)),NOT(ISNUMBER(K1606)),ABS(J1606)&gt;K1606),"FAIL","PASS"))</x:f>
        <x:v>OPEN</x:v>
      </x:c>
    </x:row>
    <x:row r="1607">
      <x:c r="B1607" s="7" t="str">
        <x:v>CAL-CH-PEA-B-Y3-03-5</x:v>
      </x:c>
      <x:c r="C1607" s="7" t="str">
        <x:v>CH-PEA-B-Y3-03-5</x:v>
      </x:c>
      <x:c r="D1607" s="7" t="str">
        <x:v>PEA-B-Y3</x:v>
      </x:c>
      <x:c r="E1607" s="7" t="str">
        <x:v>BLD-B</x:v>
      </x:c>
      <x:c r="F1607" s="7" t="str">
        <x:v>BL-Y</x:v>
      </x:c>
      <x:c r="G1607" s="7" t="str">
        <x:v>MF-03</x:v>
      </x:c>
      <x:c r="H1607" s="7" t="str"/>
      <x:c r="I1607" s="7" t="str"/>
      <x:c r="J1607" s="7" t="str">
        <x:f>IF(OR(H1607="",I1607=""),"",I1607-H1607)</x:f>
      </x:c>
      <x:c r="K1607" s="7" t="str"/>
      <x:c r="L1607" s="7" t="str"/>
      <x:c r="M1607" s="7" t="str">
        <x:f>IF(L1607="","OPEN",IF(OR(NOT(ISNUMBER(H1607)),NOT(ISNUMBER(I1607)),NOT(ISNUMBER(K1607)),ABS(J1607)&gt;K1607),"FAIL","PASS"))</x:f>
        <x:v>OPEN</x:v>
      </x:c>
    </x:row>
    <x:row r="1608">
      <x:c r="B1608" s="7" t="str">
        <x:v>CAL-CH-PEA-B-Y3-03-6</x:v>
      </x:c>
      <x:c r="C1608" s="7" t="str">
        <x:v>CH-PEA-B-Y3-03-6</x:v>
      </x:c>
      <x:c r="D1608" s="7" t="str">
        <x:v>PEA-B-Y3</x:v>
      </x:c>
      <x:c r="E1608" s="7" t="str">
        <x:v>BLD-B</x:v>
      </x:c>
      <x:c r="F1608" s="7" t="str">
        <x:v>BL-Y</x:v>
      </x:c>
      <x:c r="G1608" s="7" t="str">
        <x:v>MF-03</x:v>
      </x:c>
      <x:c r="H1608" s="7" t="str"/>
      <x:c r="I1608" s="7" t="str"/>
      <x:c r="J1608" s="7" t="str">
        <x:f>IF(OR(H1608="",I1608=""),"",I1608-H1608)</x:f>
      </x:c>
      <x:c r="K1608" s="7" t="str"/>
      <x:c r="L1608" s="7" t="str"/>
      <x:c r="M1608" s="7" t="str">
        <x:f>IF(L1608="","OPEN",IF(OR(NOT(ISNUMBER(H1608)),NOT(ISNUMBER(I1608)),NOT(ISNUMBER(K1608)),ABS(J1608)&gt;K1608),"FAIL","PASS"))</x:f>
        <x:v>OPEN</x:v>
      </x:c>
    </x:row>
    <x:row r="1609">
      <x:c r="B1609" s="7" t="str">
        <x:v>CAL-CH-PEA-B-Y3-04-1</x:v>
      </x:c>
      <x:c r="C1609" s="7" t="str">
        <x:v>CH-PEA-B-Y3-04-1</x:v>
      </x:c>
      <x:c r="D1609" s="7" t="str">
        <x:v>PEA-B-Y3</x:v>
      </x:c>
      <x:c r="E1609" s="7" t="str">
        <x:v>BLD-B</x:v>
      </x:c>
      <x:c r="F1609" s="7" t="str">
        <x:v>BL-Y</x:v>
      </x:c>
      <x:c r="G1609" s="7" t="str">
        <x:v>MF-04</x:v>
      </x:c>
      <x:c r="H1609" s="7" t="str"/>
      <x:c r="I1609" s="7" t="str"/>
      <x:c r="J1609" s="7" t="str">
        <x:f>IF(OR(H1609="",I1609=""),"",I1609-H1609)</x:f>
      </x:c>
      <x:c r="K1609" s="7" t="str"/>
      <x:c r="L1609" s="7" t="str"/>
      <x:c r="M1609" s="7" t="str">
        <x:f>IF(L1609="","OPEN",IF(OR(NOT(ISNUMBER(H1609)),NOT(ISNUMBER(I1609)),NOT(ISNUMBER(K1609)),ABS(J1609)&gt;K1609),"FAIL","PASS"))</x:f>
        <x:v>OPEN</x:v>
      </x:c>
    </x:row>
    <x:row r="1610">
      <x:c r="B1610" s="7" t="str">
        <x:v>CAL-CH-PEA-B-Y3-04-2</x:v>
      </x:c>
      <x:c r="C1610" s="7" t="str">
        <x:v>CH-PEA-B-Y3-04-2</x:v>
      </x:c>
      <x:c r="D1610" s="7" t="str">
        <x:v>PEA-B-Y3</x:v>
      </x:c>
      <x:c r="E1610" s="7" t="str">
        <x:v>BLD-B</x:v>
      </x:c>
      <x:c r="F1610" s="7" t="str">
        <x:v>BL-Y</x:v>
      </x:c>
      <x:c r="G1610" s="7" t="str">
        <x:v>MF-04</x:v>
      </x:c>
      <x:c r="H1610" s="7" t="str"/>
      <x:c r="I1610" s="7" t="str"/>
      <x:c r="J1610" s="7" t="str">
        <x:f>IF(OR(H1610="",I1610=""),"",I1610-H1610)</x:f>
      </x:c>
      <x:c r="K1610" s="7" t="str"/>
      <x:c r="L1610" s="7" t="str"/>
      <x:c r="M1610" s="7" t="str">
        <x:f>IF(L1610="","OPEN",IF(OR(NOT(ISNUMBER(H1610)),NOT(ISNUMBER(I1610)),NOT(ISNUMBER(K1610)),ABS(J1610)&gt;K1610),"FAIL","PASS"))</x:f>
        <x:v>OPEN</x:v>
      </x:c>
    </x:row>
    <x:row r="1611">
      <x:c r="B1611" s="7" t="str">
        <x:v>CAL-CH-PEA-B-Y3-04-3</x:v>
      </x:c>
      <x:c r="C1611" s="7" t="str">
        <x:v>CH-PEA-B-Y3-04-3</x:v>
      </x:c>
      <x:c r="D1611" s="7" t="str">
        <x:v>PEA-B-Y3</x:v>
      </x:c>
      <x:c r="E1611" s="7" t="str">
        <x:v>BLD-B</x:v>
      </x:c>
      <x:c r="F1611" s="7" t="str">
        <x:v>BL-Y</x:v>
      </x:c>
      <x:c r="G1611" s="7" t="str">
        <x:v>MF-04</x:v>
      </x:c>
      <x:c r="H1611" s="7" t="str"/>
      <x:c r="I1611" s="7" t="str"/>
      <x:c r="J1611" s="7" t="str">
        <x:f>IF(OR(H1611="",I1611=""),"",I1611-H1611)</x:f>
      </x:c>
      <x:c r="K1611" s="7" t="str"/>
      <x:c r="L1611" s="7" t="str"/>
      <x:c r="M1611" s="7" t="str">
        <x:f>IF(L1611="","OPEN",IF(OR(NOT(ISNUMBER(H1611)),NOT(ISNUMBER(I1611)),NOT(ISNUMBER(K1611)),ABS(J1611)&gt;K1611),"FAIL","PASS"))</x:f>
        <x:v>OPEN</x:v>
      </x:c>
    </x:row>
    <x:row r="1612">
      <x:c r="B1612" s="7" t="str">
        <x:v>CAL-CH-PEA-B-Y3-04-4</x:v>
      </x:c>
      <x:c r="C1612" s="7" t="str">
        <x:v>CH-PEA-B-Y3-04-4</x:v>
      </x:c>
      <x:c r="D1612" s="7" t="str">
        <x:v>PEA-B-Y3</x:v>
      </x:c>
      <x:c r="E1612" s="7" t="str">
        <x:v>BLD-B</x:v>
      </x:c>
      <x:c r="F1612" s="7" t="str">
        <x:v>BL-Y</x:v>
      </x:c>
      <x:c r="G1612" s="7" t="str">
        <x:v>MF-04</x:v>
      </x:c>
      <x:c r="H1612" s="7" t="str"/>
      <x:c r="I1612" s="7" t="str"/>
      <x:c r="J1612" s="7" t="str">
        <x:f>IF(OR(H1612="",I1612=""),"",I1612-H1612)</x:f>
      </x:c>
      <x:c r="K1612" s="7" t="str"/>
      <x:c r="L1612" s="7" t="str"/>
      <x:c r="M1612" s="7" t="str">
        <x:f>IF(L1612="","OPEN",IF(OR(NOT(ISNUMBER(H1612)),NOT(ISNUMBER(I1612)),NOT(ISNUMBER(K1612)),ABS(J1612)&gt;K1612),"FAIL","PASS"))</x:f>
        <x:v>OPEN</x:v>
      </x:c>
    </x:row>
    <x:row r="1613">
      <x:c r="B1613" s="7" t="str">
        <x:v>CAL-CH-PEA-B-Y3-04-5</x:v>
      </x:c>
      <x:c r="C1613" s="7" t="str">
        <x:v>CH-PEA-B-Y3-04-5</x:v>
      </x:c>
      <x:c r="D1613" s="7" t="str">
        <x:v>PEA-B-Y3</x:v>
      </x:c>
      <x:c r="E1613" s="7" t="str">
        <x:v>BLD-B</x:v>
      </x:c>
      <x:c r="F1613" s="7" t="str">
        <x:v>BL-Y</x:v>
      </x:c>
      <x:c r="G1613" s="7" t="str">
        <x:v>MF-04</x:v>
      </x:c>
      <x:c r="H1613" s="7" t="str"/>
      <x:c r="I1613" s="7" t="str"/>
      <x:c r="J1613" s="7" t="str">
        <x:f>IF(OR(H1613="",I1613=""),"",I1613-H1613)</x:f>
      </x:c>
      <x:c r="K1613" s="7" t="str"/>
      <x:c r="L1613" s="7" t="str"/>
      <x:c r="M1613" s="7" t="str">
        <x:f>IF(L1613="","OPEN",IF(OR(NOT(ISNUMBER(H1613)),NOT(ISNUMBER(I1613)),NOT(ISNUMBER(K1613)),ABS(J1613)&gt;K1613),"FAIL","PASS"))</x:f>
        <x:v>OPEN</x:v>
      </x:c>
    </x:row>
    <x:row r="1614">
      <x:c r="B1614" s="7" t="str">
        <x:v>CAL-CH-PEA-B-Y3-04-6</x:v>
      </x:c>
      <x:c r="C1614" s="7" t="str">
        <x:v>CH-PEA-B-Y3-04-6</x:v>
      </x:c>
      <x:c r="D1614" s="7" t="str">
        <x:v>PEA-B-Y3</x:v>
      </x:c>
      <x:c r="E1614" s="7" t="str">
        <x:v>BLD-B</x:v>
      </x:c>
      <x:c r="F1614" s="7" t="str">
        <x:v>BL-Y</x:v>
      </x:c>
      <x:c r="G1614" s="7" t="str">
        <x:v>MF-04</x:v>
      </x:c>
      <x:c r="H1614" s="7" t="str"/>
      <x:c r="I1614" s="7" t="str"/>
      <x:c r="J1614" s="7" t="str">
        <x:f>IF(OR(H1614="",I1614=""),"",I1614-H1614)</x:f>
      </x:c>
      <x:c r="K1614" s="7" t="str"/>
      <x:c r="L1614" s="7" t="str"/>
      <x:c r="M1614" s="7" t="str">
        <x:f>IF(L1614="","OPEN",IF(OR(NOT(ISNUMBER(H1614)),NOT(ISNUMBER(I1614)),NOT(ISNUMBER(K1614)),ABS(J1614)&gt;K1614),"FAIL","PASS"))</x:f>
        <x:v>OPEN</x:v>
      </x:c>
    </x:row>
    <x:row r="1615">
      <x:c r="B1615" s="7" t="str">
        <x:v>CAL-CH-PEA-B-Y3-05-1</x:v>
      </x:c>
      <x:c r="C1615" s="7" t="str">
        <x:v>CH-PEA-B-Y3-05-1</x:v>
      </x:c>
      <x:c r="D1615" s="7" t="str">
        <x:v>PEA-B-Y3</x:v>
      </x:c>
      <x:c r="E1615" s="7" t="str">
        <x:v>BLD-B</x:v>
      </x:c>
      <x:c r="F1615" s="7" t="str">
        <x:v>BL-Y</x:v>
      </x:c>
      <x:c r="G1615" s="7" t="str">
        <x:v>MF-05</x:v>
      </x:c>
      <x:c r="H1615" s="7" t="str"/>
      <x:c r="I1615" s="7" t="str"/>
      <x:c r="J1615" s="7" t="str">
        <x:f>IF(OR(H1615="",I1615=""),"",I1615-H1615)</x:f>
      </x:c>
      <x:c r="K1615" s="7" t="str"/>
      <x:c r="L1615" s="7" t="str"/>
      <x:c r="M1615" s="7" t="str">
        <x:f>IF(L1615="","OPEN",IF(OR(NOT(ISNUMBER(H1615)),NOT(ISNUMBER(I1615)),NOT(ISNUMBER(K1615)),ABS(J1615)&gt;K1615),"FAIL","PASS"))</x:f>
        <x:v>OPEN</x:v>
      </x:c>
    </x:row>
    <x:row r="1616">
      <x:c r="B1616" s="7" t="str">
        <x:v>CAL-CH-PEA-B-Y3-05-2</x:v>
      </x:c>
      <x:c r="C1616" s="7" t="str">
        <x:v>CH-PEA-B-Y3-05-2</x:v>
      </x:c>
      <x:c r="D1616" s="7" t="str">
        <x:v>PEA-B-Y3</x:v>
      </x:c>
      <x:c r="E1616" s="7" t="str">
        <x:v>BLD-B</x:v>
      </x:c>
      <x:c r="F1616" s="7" t="str">
        <x:v>BL-Y</x:v>
      </x:c>
      <x:c r="G1616" s="7" t="str">
        <x:v>MF-05</x:v>
      </x:c>
      <x:c r="H1616" s="7" t="str"/>
      <x:c r="I1616" s="7" t="str"/>
      <x:c r="J1616" s="7" t="str">
        <x:f>IF(OR(H1616="",I1616=""),"",I1616-H1616)</x:f>
      </x:c>
      <x:c r="K1616" s="7" t="str"/>
      <x:c r="L1616" s="7" t="str"/>
      <x:c r="M1616" s="7" t="str">
        <x:f>IF(L1616="","OPEN",IF(OR(NOT(ISNUMBER(H1616)),NOT(ISNUMBER(I1616)),NOT(ISNUMBER(K1616)),ABS(J1616)&gt;K1616),"FAIL","PASS"))</x:f>
        <x:v>OPEN</x:v>
      </x:c>
    </x:row>
    <x:row r="1617">
      <x:c r="B1617" s="7" t="str">
        <x:v>CAL-CH-PEA-B-Y3-05-3</x:v>
      </x:c>
      <x:c r="C1617" s="7" t="str">
        <x:v>CH-PEA-B-Y3-05-3</x:v>
      </x:c>
      <x:c r="D1617" s="7" t="str">
        <x:v>PEA-B-Y3</x:v>
      </x:c>
      <x:c r="E1617" s="7" t="str">
        <x:v>BLD-B</x:v>
      </x:c>
      <x:c r="F1617" s="7" t="str">
        <x:v>BL-Y</x:v>
      </x:c>
      <x:c r="G1617" s="7" t="str">
        <x:v>MF-05</x:v>
      </x:c>
      <x:c r="H1617" s="7" t="str"/>
      <x:c r="I1617" s="7" t="str"/>
      <x:c r="J1617" s="7" t="str">
        <x:f>IF(OR(H1617="",I1617=""),"",I1617-H1617)</x:f>
      </x:c>
      <x:c r="K1617" s="7" t="str"/>
      <x:c r="L1617" s="7" t="str"/>
      <x:c r="M1617" s="7" t="str">
        <x:f>IF(L1617="","OPEN",IF(OR(NOT(ISNUMBER(H1617)),NOT(ISNUMBER(I1617)),NOT(ISNUMBER(K1617)),ABS(J1617)&gt;K1617),"FAIL","PASS"))</x:f>
        <x:v>OPEN</x:v>
      </x:c>
    </x:row>
    <x:row r="1618">
      <x:c r="B1618" s="7" t="str">
        <x:v>CAL-CH-PEA-B-Y3-05-4</x:v>
      </x:c>
      <x:c r="C1618" s="7" t="str">
        <x:v>CH-PEA-B-Y3-05-4</x:v>
      </x:c>
      <x:c r="D1618" s="7" t="str">
        <x:v>PEA-B-Y3</x:v>
      </x:c>
      <x:c r="E1618" s="7" t="str">
        <x:v>BLD-B</x:v>
      </x:c>
      <x:c r="F1618" s="7" t="str">
        <x:v>BL-Y</x:v>
      </x:c>
      <x:c r="G1618" s="7" t="str">
        <x:v>MF-05</x:v>
      </x:c>
      <x:c r="H1618" s="7" t="str"/>
      <x:c r="I1618" s="7" t="str"/>
      <x:c r="J1618" s="7" t="str">
        <x:f>IF(OR(H1618="",I1618=""),"",I1618-H1618)</x:f>
      </x:c>
      <x:c r="K1618" s="7" t="str"/>
      <x:c r="L1618" s="7" t="str"/>
      <x:c r="M1618" s="7" t="str">
        <x:f>IF(L1618="","OPEN",IF(OR(NOT(ISNUMBER(H1618)),NOT(ISNUMBER(I1618)),NOT(ISNUMBER(K1618)),ABS(J1618)&gt;K1618),"FAIL","PASS"))</x:f>
        <x:v>OPEN</x:v>
      </x:c>
    </x:row>
    <x:row r="1619">
      <x:c r="B1619" s="7" t="str">
        <x:v>CAL-CH-PEA-B-Y3-05-5</x:v>
      </x:c>
      <x:c r="C1619" s="7" t="str">
        <x:v>CH-PEA-B-Y3-05-5</x:v>
      </x:c>
      <x:c r="D1619" s="7" t="str">
        <x:v>PEA-B-Y3</x:v>
      </x:c>
      <x:c r="E1619" s="7" t="str">
        <x:v>BLD-B</x:v>
      </x:c>
      <x:c r="F1619" s="7" t="str">
        <x:v>BL-Y</x:v>
      </x:c>
      <x:c r="G1619" s="7" t="str">
        <x:v>MF-05</x:v>
      </x:c>
      <x:c r="H1619" s="7" t="str"/>
      <x:c r="I1619" s="7" t="str"/>
      <x:c r="J1619" s="7" t="str">
        <x:f>IF(OR(H1619="",I1619=""),"",I1619-H1619)</x:f>
      </x:c>
      <x:c r="K1619" s="7" t="str"/>
      <x:c r="L1619" s="7" t="str"/>
      <x:c r="M1619" s="7" t="str">
        <x:f>IF(L1619="","OPEN",IF(OR(NOT(ISNUMBER(H1619)),NOT(ISNUMBER(I1619)),NOT(ISNUMBER(K1619)),ABS(J1619)&gt;K1619),"FAIL","PASS"))</x:f>
        <x:v>OPEN</x:v>
      </x:c>
    </x:row>
    <x:row r="1620">
      <x:c r="B1620" s="7" t="str">
        <x:v>CAL-CH-PEA-B-Y3-05-6</x:v>
      </x:c>
      <x:c r="C1620" s="7" t="str">
        <x:v>CH-PEA-B-Y3-05-6</x:v>
      </x:c>
      <x:c r="D1620" s="7" t="str">
        <x:v>PEA-B-Y3</x:v>
      </x:c>
      <x:c r="E1620" s="7" t="str">
        <x:v>BLD-B</x:v>
      </x:c>
      <x:c r="F1620" s="7" t="str">
        <x:v>BL-Y</x:v>
      </x:c>
      <x:c r="G1620" s="7" t="str">
        <x:v>MF-05</x:v>
      </x:c>
      <x:c r="H1620" s="7" t="str"/>
      <x:c r="I1620" s="7" t="str"/>
      <x:c r="J1620" s="7" t="str">
        <x:f>IF(OR(H1620="",I1620=""),"",I1620-H1620)</x:f>
      </x:c>
      <x:c r="K1620" s="7" t="str"/>
      <x:c r="L1620" s="7" t="str"/>
      <x:c r="M1620" s="7" t="str">
        <x:f>IF(L1620="","OPEN",IF(OR(NOT(ISNUMBER(H1620)),NOT(ISNUMBER(I1620)),NOT(ISNUMBER(K1620)),ABS(J1620)&gt;K1620),"FAIL","PASS"))</x:f>
        <x:v>OPEN</x:v>
      </x:c>
    </x:row>
    <x:row r="1621">
      <x:c r="B1621" s="7" t="str">
        <x:v>CAL-CH-PEA-B-Y3-06-1</x:v>
      </x:c>
      <x:c r="C1621" s="7" t="str">
        <x:v>CH-PEA-B-Y3-06-1</x:v>
      </x:c>
      <x:c r="D1621" s="7" t="str">
        <x:v>PEA-B-Y3</x:v>
      </x:c>
      <x:c r="E1621" s="7" t="str">
        <x:v>BLD-B</x:v>
      </x:c>
      <x:c r="F1621" s="7" t="str">
        <x:v>BL-Y</x:v>
      </x:c>
      <x:c r="G1621" s="7" t="str">
        <x:v>MF-06</x:v>
      </x:c>
      <x:c r="H1621" s="7" t="str"/>
      <x:c r="I1621" s="7" t="str"/>
      <x:c r="J1621" s="7" t="str">
        <x:f>IF(OR(H1621="",I1621=""),"",I1621-H1621)</x:f>
      </x:c>
      <x:c r="K1621" s="7" t="str"/>
      <x:c r="L1621" s="7" t="str"/>
      <x:c r="M1621" s="7" t="str">
        <x:f>IF(L1621="","OPEN",IF(OR(NOT(ISNUMBER(H1621)),NOT(ISNUMBER(I1621)),NOT(ISNUMBER(K1621)),ABS(J1621)&gt;K1621),"FAIL","PASS"))</x:f>
        <x:v>OPEN</x:v>
      </x:c>
    </x:row>
    <x:row r="1622">
      <x:c r="B1622" s="7" t="str">
        <x:v>CAL-CH-PEA-B-Y3-06-2</x:v>
      </x:c>
      <x:c r="C1622" s="7" t="str">
        <x:v>CH-PEA-B-Y3-06-2</x:v>
      </x:c>
      <x:c r="D1622" s="7" t="str">
        <x:v>PEA-B-Y3</x:v>
      </x:c>
      <x:c r="E1622" s="7" t="str">
        <x:v>BLD-B</x:v>
      </x:c>
      <x:c r="F1622" s="7" t="str">
        <x:v>BL-Y</x:v>
      </x:c>
      <x:c r="G1622" s="7" t="str">
        <x:v>MF-06</x:v>
      </x:c>
      <x:c r="H1622" s="7" t="str"/>
      <x:c r="I1622" s="7" t="str"/>
      <x:c r="J1622" s="7" t="str">
        <x:f>IF(OR(H1622="",I1622=""),"",I1622-H1622)</x:f>
      </x:c>
      <x:c r="K1622" s="7" t="str"/>
      <x:c r="L1622" s="7" t="str"/>
      <x:c r="M1622" s="7" t="str">
        <x:f>IF(L1622="","OPEN",IF(OR(NOT(ISNUMBER(H1622)),NOT(ISNUMBER(I1622)),NOT(ISNUMBER(K1622)),ABS(J1622)&gt;K1622),"FAIL","PASS"))</x:f>
        <x:v>OPEN</x:v>
      </x:c>
    </x:row>
    <x:row r="1623">
      <x:c r="B1623" s="7" t="str">
        <x:v>CAL-CH-PEA-B-Y3-06-3</x:v>
      </x:c>
      <x:c r="C1623" s="7" t="str">
        <x:v>CH-PEA-B-Y3-06-3</x:v>
      </x:c>
      <x:c r="D1623" s="7" t="str">
        <x:v>PEA-B-Y3</x:v>
      </x:c>
      <x:c r="E1623" s="7" t="str">
        <x:v>BLD-B</x:v>
      </x:c>
      <x:c r="F1623" s="7" t="str">
        <x:v>BL-Y</x:v>
      </x:c>
      <x:c r="G1623" s="7" t="str">
        <x:v>MF-06</x:v>
      </x:c>
      <x:c r="H1623" s="7" t="str"/>
      <x:c r="I1623" s="7" t="str"/>
      <x:c r="J1623" s="7" t="str">
        <x:f>IF(OR(H1623="",I1623=""),"",I1623-H1623)</x:f>
      </x:c>
      <x:c r="K1623" s="7" t="str"/>
      <x:c r="L1623" s="7" t="str"/>
      <x:c r="M1623" s="7" t="str">
        <x:f>IF(L1623="","OPEN",IF(OR(NOT(ISNUMBER(H1623)),NOT(ISNUMBER(I1623)),NOT(ISNUMBER(K1623)),ABS(J1623)&gt;K1623),"FAIL","PASS"))</x:f>
        <x:v>OPEN</x:v>
      </x:c>
    </x:row>
    <x:row r="1624">
      <x:c r="B1624" s="7" t="str">
        <x:v>CAL-CH-PEA-B-Y3-06-4</x:v>
      </x:c>
      <x:c r="C1624" s="7" t="str">
        <x:v>CH-PEA-B-Y3-06-4</x:v>
      </x:c>
      <x:c r="D1624" s="7" t="str">
        <x:v>PEA-B-Y3</x:v>
      </x:c>
      <x:c r="E1624" s="7" t="str">
        <x:v>BLD-B</x:v>
      </x:c>
      <x:c r="F1624" s="7" t="str">
        <x:v>BL-Y</x:v>
      </x:c>
      <x:c r="G1624" s="7" t="str">
        <x:v>MF-06</x:v>
      </x:c>
      <x:c r="H1624" s="7" t="str"/>
      <x:c r="I1624" s="7" t="str"/>
      <x:c r="J1624" s="7" t="str">
        <x:f>IF(OR(H1624="",I1624=""),"",I1624-H1624)</x:f>
      </x:c>
      <x:c r="K1624" s="7" t="str"/>
      <x:c r="L1624" s="7" t="str"/>
      <x:c r="M1624" s="7" t="str">
        <x:f>IF(L1624="","OPEN",IF(OR(NOT(ISNUMBER(H1624)),NOT(ISNUMBER(I1624)),NOT(ISNUMBER(K1624)),ABS(J1624)&gt;K1624),"FAIL","PASS"))</x:f>
        <x:v>OPEN</x:v>
      </x:c>
    </x:row>
    <x:row r="1625">
      <x:c r="B1625" s="7" t="str">
        <x:v>CAL-CH-PEA-B-Y3-06-5</x:v>
      </x:c>
      <x:c r="C1625" s="7" t="str">
        <x:v>CH-PEA-B-Y3-06-5</x:v>
      </x:c>
      <x:c r="D1625" s="7" t="str">
        <x:v>PEA-B-Y3</x:v>
      </x:c>
      <x:c r="E1625" s="7" t="str">
        <x:v>BLD-B</x:v>
      </x:c>
      <x:c r="F1625" s="7" t="str">
        <x:v>BL-Y</x:v>
      </x:c>
      <x:c r="G1625" s="7" t="str">
        <x:v>MF-06</x:v>
      </x:c>
      <x:c r="H1625" s="7" t="str"/>
      <x:c r="I1625" s="7" t="str"/>
      <x:c r="J1625" s="7" t="str">
        <x:f>IF(OR(H1625="",I1625=""),"",I1625-H1625)</x:f>
      </x:c>
      <x:c r="K1625" s="7" t="str"/>
      <x:c r="L1625" s="7" t="str"/>
      <x:c r="M1625" s="7" t="str">
        <x:f>IF(L1625="","OPEN",IF(OR(NOT(ISNUMBER(H1625)),NOT(ISNUMBER(I1625)),NOT(ISNUMBER(K1625)),ABS(J1625)&gt;K1625),"FAIL","PASS"))</x:f>
        <x:v>OPEN</x:v>
      </x:c>
    </x:row>
    <x:row r="1626">
      <x:c r="B1626" s="7" t="str">
        <x:v>CAL-CH-PEA-B-Y3-06-6</x:v>
      </x:c>
      <x:c r="C1626" s="7" t="str">
        <x:v>CH-PEA-B-Y3-06-6</x:v>
      </x:c>
      <x:c r="D1626" s="7" t="str">
        <x:v>PEA-B-Y3</x:v>
      </x:c>
      <x:c r="E1626" s="7" t="str">
        <x:v>BLD-B</x:v>
      </x:c>
      <x:c r="F1626" s="7" t="str">
        <x:v>BL-Y</x:v>
      </x:c>
      <x:c r="G1626" s="7" t="str">
        <x:v>MF-06</x:v>
      </x:c>
      <x:c r="H1626" s="7" t="str"/>
      <x:c r="I1626" s="7" t="str"/>
      <x:c r="J1626" s="7" t="str">
        <x:f>IF(OR(H1626="",I1626=""),"",I1626-H1626)</x:f>
      </x:c>
      <x:c r="K1626" s="7" t="str"/>
      <x:c r="L1626" s="7" t="str"/>
      <x:c r="M1626" s="7" t="str">
        <x:f>IF(L1626="","OPEN",IF(OR(NOT(ISNUMBER(H1626)),NOT(ISNUMBER(I1626)),NOT(ISNUMBER(K1626)),ABS(J1626)&gt;K1626),"FAIL","PASS"))</x:f>
        <x:v>OPEN</x:v>
      </x:c>
    </x:row>
    <x:row r="1627">
      <x:c r="B1627" s="7" t="str">
        <x:v>CAL-CH-PEA-B-Y3-07-1</x:v>
      </x:c>
      <x:c r="C1627" s="7" t="str">
        <x:v>CH-PEA-B-Y3-07-1</x:v>
      </x:c>
      <x:c r="D1627" s="7" t="str">
        <x:v>PEA-B-Y3</x:v>
      </x:c>
      <x:c r="E1627" s="7" t="str">
        <x:v>BLD-B</x:v>
      </x:c>
      <x:c r="F1627" s="7" t="str">
        <x:v>BL-Y</x:v>
      </x:c>
      <x:c r="G1627" s="7" t="str">
        <x:v>MF-07</x:v>
      </x:c>
      <x:c r="H1627" s="7" t="str"/>
      <x:c r="I1627" s="7" t="str"/>
      <x:c r="J1627" s="7" t="str">
        <x:f>IF(OR(H1627="",I1627=""),"",I1627-H1627)</x:f>
      </x:c>
      <x:c r="K1627" s="7" t="str"/>
      <x:c r="L1627" s="7" t="str"/>
      <x:c r="M1627" s="7" t="str">
        <x:f>IF(L1627="","OPEN",IF(OR(NOT(ISNUMBER(H1627)),NOT(ISNUMBER(I1627)),NOT(ISNUMBER(K1627)),ABS(J1627)&gt;K1627),"FAIL","PASS"))</x:f>
        <x:v>OPEN</x:v>
      </x:c>
    </x:row>
    <x:row r="1628">
      <x:c r="B1628" s="7" t="str">
        <x:v>CAL-CH-PEA-B-Y3-07-2</x:v>
      </x:c>
      <x:c r="C1628" s="7" t="str">
        <x:v>CH-PEA-B-Y3-07-2</x:v>
      </x:c>
      <x:c r="D1628" s="7" t="str">
        <x:v>PEA-B-Y3</x:v>
      </x:c>
      <x:c r="E1628" s="7" t="str">
        <x:v>BLD-B</x:v>
      </x:c>
      <x:c r="F1628" s="7" t="str">
        <x:v>BL-Y</x:v>
      </x:c>
      <x:c r="G1628" s="7" t="str">
        <x:v>MF-07</x:v>
      </x:c>
      <x:c r="H1628" s="7" t="str"/>
      <x:c r="I1628" s="7" t="str"/>
      <x:c r="J1628" s="7" t="str">
        <x:f>IF(OR(H1628="",I1628=""),"",I1628-H1628)</x:f>
      </x:c>
      <x:c r="K1628" s="7" t="str"/>
      <x:c r="L1628" s="7" t="str"/>
      <x:c r="M1628" s="7" t="str">
        <x:f>IF(L1628="","OPEN",IF(OR(NOT(ISNUMBER(H1628)),NOT(ISNUMBER(I1628)),NOT(ISNUMBER(K1628)),ABS(J1628)&gt;K1628),"FAIL","PASS"))</x:f>
        <x:v>OPEN</x:v>
      </x:c>
    </x:row>
    <x:row r="1629">
      <x:c r="B1629" s="7" t="str">
        <x:v>CAL-CH-PEA-B-Y3-07-3</x:v>
      </x:c>
      <x:c r="C1629" s="7" t="str">
        <x:v>CH-PEA-B-Y3-07-3</x:v>
      </x:c>
      <x:c r="D1629" s="7" t="str">
        <x:v>PEA-B-Y3</x:v>
      </x:c>
      <x:c r="E1629" s="7" t="str">
        <x:v>BLD-B</x:v>
      </x:c>
      <x:c r="F1629" s="7" t="str">
        <x:v>BL-Y</x:v>
      </x:c>
      <x:c r="G1629" s="7" t="str">
        <x:v>MF-07</x:v>
      </x:c>
      <x:c r="H1629" s="7" t="str"/>
      <x:c r="I1629" s="7" t="str"/>
      <x:c r="J1629" s="7" t="str">
        <x:f>IF(OR(H1629="",I1629=""),"",I1629-H1629)</x:f>
      </x:c>
      <x:c r="K1629" s="7" t="str"/>
      <x:c r="L1629" s="7" t="str"/>
      <x:c r="M1629" s="7" t="str">
        <x:f>IF(L1629="","OPEN",IF(OR(NOT(ISNUMBER(H1629)),NOT(ISNUMBER(I1629)),NOT(ISNUMBER(K1629)),ABS(J1629)&gt;K1629),"FAIL","PASS"))</x:f>
        <x:v>OPEN</x:v>
      </x:c>
    </x:row>
    <x:row r="1630">
      <x:c r="B1630" s="7" t="str">
        <x:v>CAL-CH-PEA-B-Y3-07-4</x:v>
      </x:c>
      <x:c r="C1630" s="7" t="str">
        <x:v>CH-PEA-B-Y3-07-4</x:v>
      </x:c>
      <x:c r="D1630" s="7" t="str">
        <x:v>PEA-B-Y3</x:v>
      </x:c>
      <x:c r="E1630" s="7" t="str">
        <x:v>BLD-B</x:v>
      </x:c>
      <x:c r="F1630" s="7" t="str">
        <x:v>BL-Y</x:v>
      </x:c>
      <x:c r="G1630" s="7" t="str">
        <x:v>MF-07</x:v>
      </x:c>
      <x:c r="H1630" s="7" t="str"/>
      <x:c r="I1630" s="7" t="str"/>
      <x:c r="J1630" s="7" t="str">
        <x:f>IF(OR(H1630="",I1630=""),"",I1630-H1630)</x:f>
      </x:c>
      <x:c r="K1630" s="7" t="str"/>
      <x:c r="L1630" s="7" t="str"/>
      <x:c r="M1630" s="7" t="str">
        <x:f>IF(L1630="","OPEN",IF(OR(NOT(ISNUMBER(H1630)),NOT(ISNUMBER(I1630)),NOT(ISNUMBER(K1630)),ABS(J1630)&gt;K1630),"FAIL","PASS"))</x:f>
        <x:v>OPEN</x:v>
      </x:c>
    </x:row>
    <x:row r="1631">
      <x:c r="B1631" s="7" t="str">
        <x:v>CAL-CH-PEA-B-Y3-07-5</x:v>
      </x:c>
      <x:c r="C1631" s="7" t="str">
        <x:v>CH-PEA-B-Y3-07-5</x:v>
      </x:c>
      <x:c r="D1631" s="7" t="str">
        <x:v>PEA-B-Y3</x:v>
      </x:c>
      <x:c r="E1631" s="7" t="str">
        <x:v>BLD-B</x:v>
      </x:c>
      <x:c r="F1631" s="7" t="str">
        <x:v>BL-Y</x:v>
      </x:c>
      <x:c r="G1631" s="7" t="str">
        <x:v>MF-07</x:v>
      </x:c>
      <x:c r="H1631" s="7" t="str"/>
      <x:c r="I1631" s="7" t="str"/>
      <x:c r="J1631" s="7" t="str">
        <x:f>IF(OR(H1631="",I1631=""),"",I1631-H1631)</x:f>
      </x:c>
      <x:c r="K1631" s="7" t="str"/>
      <x:c r="L1631" s="7" t="str"/>
      <x:c r="M1631" s="7" t="str">
        <x:f>IF(L1631="","OPEN",IF(OR(NOT(ISNUMBER(H1631)),NOT(ISNUMBER(I1631)),NOT(ISNUMBER(K1631)),ABS(J1631)&gt;K1631),"FAIL","PASS"))</x:f>
        <x:v>OPEN</x:v>
      </x:c>
    </x:row>
    <x:row r="1632">
      <x:c r="B1632" s="7" t="str">
        <x:v>CAL-CH-PEA-B-Y3-07-6</x:v>
      </x:c>
      <x:c r="C1632" s="7" t="str">
        <x:v>CH-PEA-B-Y3-07-6</x:v>
      </x:c>
      <x:c r="D1632" s="7" t="str">
        <x:v>PEA-B-Y3</x:v>
      </x:c>
      <x:c r="E1632" s="7" t="str">
        <x:v>BLD-B</x:v>
      </x:c>
      <x:c r="F1632" s="7" t="str">
        <x:v>BL-Y</x:v>
      </x:c>
      <x:c r="G1632" s="7" t="str">
        <x:v>MF-07</x:v>
      </x:c>
      <x:c r="H1632" s="7" t="str"/>
      <x:c r="I1632" s="7" t="str"/>
      <x:c r="J1632" s="7" t="str">
        <x:f>IF(OR(H1632="",I1632=""),"",I1632-H1632)</x:f>
      </x:c>
      <x:c r="K1632" s="7" t="str"/>
      <x:c r="L1632" s="7" t="str"/>
      <x:c r="M1632" s="7" t="str">
        <x:f>IF(L1632="","OPEN",IF(OR(NOT(ISNUMBER(H1632)),NOT(ISNUMBER(I1632)),NOT(ISNUMBER(K1632)),ABS(J1632)&gt;K1632),"FAIL","PASS"))</x:f>
        <x:v>OPEN</x:v>
      </x:c>
    </x:row>
    <x:row r="1633">
      <x:c r="B1633" s="7" t="str">
        <x:v>CAL-CH-PEA-B-Y3-08-1</x:v>
      </x:c>
      <x:c r="C1633" s="7" t="str">
        <x:v>CH-PEA-B-Y3-08-1</x:v>
      </x:c>
      <x:c r="D1633" s="7" t="str">
        <x:v>PEA-B-Y3</x:v>
      </x:c>
      <x:c r="E1633" s="7" t="str">
        <x:v>BLD-B</x:v>
      </x:c>
      <x:c r="F1633" s="7" t="str">
        <x:v>BL-Y</x:v>
      </x:c>
      <x:c r="G1633" s="7" t="str">
        <x:v>MF-08</x:v>
      </x:c>
      <x:c r="H1633" s="7" t="str"/>
      <x:c r="I1633" s="7" t="str"/>
      <x:c r="J1633" s="7" t="str">
        <x:f>IF(OR(H1633="",I1633=""),"",I1633-H1633)</x:f>
      </x:c>
      <x:c r="K1633" s="7" t="str"/>
      <x:c r="L1633" s="7" t="str"/>
      <x:c r="M1633" s="7" t="str">
        <x:f>IF(L1633="","OPEN",IF(OR(NOT(ISNUMBER(H1633)),NOT(ISNUMBER(I1633)),NOT(ISNUMBER(K1633)),ABS(J1633)&gt;K1633),"FAIL","PASS"))</x:f>
        <x:v>OPEN</x:v>
      </x:c>
    </x:row>
    <x:row r="1634">
      <x:c r="B1634" s="7" t="str">
        <x:v>CAL-CH-PEA-B-Y3-08-2</x:v>
      </x:c>
      <x:c r="C1634" s="7" t="str">
        <x:v>CH-PEA-B-Y3-08-2</x:v>
      </x:c>
      <x:c r="D1634" s="7" t="str">
        <x:v>PEA-B-Y3</x:v>
      </x:c>
      <x:c r="E1634" s="7" t="str">
        <x:v>BLD-B</x:v>
      </x:c>
      <x:c r="F1634" s="7" t="str">
        <x:v>BL-Y</x:v>
      </x:c>
      <x:c r="G1634" s="7" t="str">
        <x:v>MF-08</x:v>
      </x:c>
      <x:c r="H1634" s="7" t="str"/>
      <x:c r="I1634" s="7" t="str"/>
      <x:c r="J1634" s="7" t="str">
        <x:f>IF(OR(H1634="",I1634=""),"",I1634-H1634)</x:f>
      </x:c>
      <x:c r="K1634" s="7" t="str"/>
      <x:c r="L1634" s="7" t="str"/>
      <x:c r="M1634" s="7" t="str">
        <x:f>IF(L1634="","OPEN",IF(OR(NOT(ISNUMBER(H1634)),NOT(ISNUMBER(I1634)),NOT(ISNUMBER(K1634)),ABS(J1634)&gt;K1634),"FAIL","PASS"))</x:f>
        <x:v>OPEN</x:v>
      </x:c>
    </x:row>
    <x:row r="1635">
      <x:c r="B1635" s="7" t="str">
        <x:v>CAL-CH-PEA-B-Y3-08-3</x:v>
      </x:c>
      <x:c r="C1635" s="7" t="str">
        <x:v>CH-PEA-B-Y3-08-3</x:v>
      </x:c>
      <x:c r="D1635" s="7" t="str">
        <x:v>PEA-B-Y3</x:v>
      </x:c>
      <x:c r="E1635" s="7" t="str">
        <x:v>BLD-B</x:v>
      </x:c>
      <x:c r="F1635" s="7" t="str">
        <x:v>BL-Y</x:v>
      </x:c>
      <x:c r="G1635" s="7" t="str">
        <x:v>MF-08</x:v>
      </x:c>
      <x:c r="H1635" s="7" t="str"/>
      <x:c r="I1635" s="7" t="str"/>
      <x:c r="J1635" s="7" t="str">
        <x:f>IF(OR(H1635="",I1635=""),"",I1635-H1635)</x:f>
      </x:c>
      <x:c r="K1635" s="7" t="str"/>
      <x:c r="L1635" s="7" t="str"/>
      <x:c r="M1635" s="7" t="str">
        <x:f>IF(L1635="","OPEN",IF(OR(NOT(ISNUMBER(H1635)),NOT(ISNUMBER(I1635)),NOT(ISNUMBER(K1635)),ABS(J1635)&gt;K1635),"FAIL","PASS"))</x:f>
        <x:v>OPEN</x:v>
      </x:c>
    </x:row>
    <x:row r="1636">
      <x:c r="B1636" s="7" t="str">
        <x:v>CAL-CH-PEA-B-Y3-08-4</x:v>
      </x:c>
      <x:c r="C1636" s="7" t="str">
        <x:v>CH-PEA-B-Y3-08-4</x:v>
      </x:c>
      <x:c r="D1636" s="7" t="str">
        <x:v>PEA-B-Y3</x:v>
      </x:c>
      <x:c r="E1636" s="7" t="str">
        <x:v>BLD-B</x:v>
      </x:c>
      <x:c r="F1636" s="7" t="str">
        <x:v>BL-Y</x:v>
      </x:c>
      <x:c r="G1636" s="7" t="str">
        <x:v>MF-08</x:v>
      </x:c>
      <x:c r="H1636" s="7" t="str"/>
      <x:c r="I1636" s="7" t="str"/>
      <x:c r="J1636" s="7" t="str">
        <x:f>IF(OR(H1636="",I1636=""),"",I1636-H1636)</x:f>
      </x:c>
      <x:c r="K1636" s="7" t="str"/>
      <x:c r="L1636" s="7" t="str"/>
      <x:c r="M1636" s="7" t="str">
        <x:f>IF(L1636="","OPEN",IF(OR(NOT(ISNUMBER(H1636)),NOT(ISNUMBER(I1636)),NOT(ISNUMBER(K1636)),ABS(J1636)&gt;K1636),"FAIL","PASS"))</x:f>
        <x:v>OPEN</x:v>
      </x:c>
    </x:row>
    <x:row r="1637">
      <x:c r="B1637" s="7" t="str">
        <x:v>CAL-CH-PEA-B-Y3-08-5</x:v>
      </x:c>
      <x:c r="C1637" s="7" t="str">
        <x:v>CH-PEA-B-Y3-08-5</x:v>
      </x:c>
      <x:c r="D1637" s="7" t="str">
        <x:v>PEA-B-Y3</x:v>
      </x:c>
      <x:c r="E1637" s="7" t="str">
        <x:v>BLD-B</x:v>
      </x:c>
      <x:c r="F1637" s="7" t="str">
        <x:v>BL-Y</x:v>
      </x:c>
      <x:c r="G1637" s="7" t="str">
        <x:v>MF-08</x:v>
      </x:c>
      <x:c r="H1637" s="7" t="str"/>
      <x:c r="I1637" s="7" t="str"/>
      <x:c r="J1637" s="7" t="str">
        <x:f>IF(OR(H1637="",I1637=""),"",I1637-H1637)</x:f>
      </x:c>
      <x:c r="K1637" s="7" t="str"/>
      <x:c r="L1637" s="7" t="str"/>
      <x:c r="M1637" s="7" t="str">
        <x:f>IF(L1637="","OPEN",IF(OR(NOT(ISNUMBER(H1637)),NOT(ISNUMBER(I1637)),NOT(ISNUMBER(K1637)),ABS(J1637)&gt;K1637),"FAIL","PASS"))</x:f>
        <x:v>OPEN</x:v>
      </x:c>
    </x:row>
    <x:row r="1638">
      <x:c r="B1638" s="7" t="str">
        <x:v>CAL-CH-PEA-B-Y3-08-6</x:v>
      </x:c>
      <x:c r="C1638" s="7" t="str">
        <x:v>CH-PEA-B-Y3-08-6</x:v>
      </x:c>
      <x:c r="D1638" s="7" t="str">
        <x:v>PEA-B-Y3</x:v>
      </x:c>
      <x:c r="E1638" s="7" t="str">
        <x:v>BLD-B</x:v>
      </x:c>
      <x:c r="F1638" s="7" t="str">
        <x:v>BL-Y</x:v>
      </x:c>
      <x:c r="G1638" s="7" t="str">
        <x:v>MF-08</x:v>
      </x:c>
      <x:c r="H1638" s="7" t="str"/>
      <x:c r="I1638" s="7" t="str"/>
      <x:c r="J1638" s="7" t="str">
        <x:f>IF(OR(H1638="",I1638=""),"",I1638-H1638)</x:f>
      </x:c>
      <x:c r="K1638" s="7" t="str"/>
      <x:c r="L1638" s="7" t="str"/>
      <x:c r="M1638" s="7" t="str">
        <x:f>IF(L1638="","OPEN",IF(OR(NOT(ISNUMBER(H1638)),NOT(ISNUMBER(I1638)),NOT(ISNUMBER(K1638)),ABS(J1638)&gt;K1638),"FAIL","PASS"))</x:f>
        <x:v>OPEN</x:v>
      </x:c>
    </x:row>
    <x:row r="1639">
      <x:c r="B1639" s="7" t="str">
        <x:v>CAL-CH-PEA-B-Y3-09-1</x:v>
      </x:c>
      <x:c r="C1639" s="7" t="str">
        <x:v>CH-PEA-B-Y3-09-1</x:v>
      </x:c>
      <x:c r="D1639" s="7" t="str">
        <x:v>PEA-B-Y3</x:v>
      </x:c>
      <x:c r="E1639" s="7" t="str">
        <x:v>BLD-B</x:v>
      </x:c>
      <x:c r="F1639" s="7" t="str">
        <x:v>BL-Y</x:v>
      </x:c>
      <x:c r="G1639" s="7" t="str">
        <x:v>MF-09</x:v>
      </x:c>
      <x:c r="H1639" s="7" t="str"/>
      <x:c r="I1639" s="7" t="str"/>
      <x:c r="J1639" s="7" t="str">
        <x:f>IF(OR(H1639="",I1639=""),"",I1639-H1639)</x:f>
      </x:c>
      <x:c r="K1639" s="7" t="str"/>
      <x:c r="L1639" s="7" t="str"/>
      <x:c r="M1639" s="7" t="str">
        <x:f>IF(L1639="","OPEN",IF(OR(NOT(ISNUMBER(H1639)),NOT(ISNUMBER(I1639)),NOT(ISNUMBER(K1639)),ABS(J1639)&gt;K1639),"FAIL","PASS"))</x:f>
        <x:v>OPEN</x:v>
      </x:c>
    </x:row>
    <x:row r="1640">
      <x:c r="B1640" s="7" t="str">
        <x:v>CAL-CH-PEA-B-Y3-09-2</x:v>
      </x:c>
      <x:c r="C1640" s="7" t="str">
        <x:v>CH-PEA-B-Y3-09-2</x:v>
      </x:c>
      <x:c r="D1640" s="7" t="str">
        <x:v>PEA-B-Y3</x:v>
      </x:c>
      <x:c r="E1640" s="7" t="str">
        <x:v>BLD-B</x:v>
      </x:c>
      <x:c r="F1640" s="7" t="str">
        <x:v>BL-Y</x:v>
      </x:c>
      <x:c r="G1640" s="7" t="str">
        <x:v>MF-09</x:v>
      </x:c>
      <x:c r="H1640" s="7" t="str"/>
      <x:c r="I1640" s="7" t="str"/>
      <x:c r="J1640" s="7" t="str">
        <x:f>IF(OR(H1640="",I1640=""),"",I1640-H1640)</x:f>
      </x:c>
      <x:c r="K1640" s="7" t="str"/>
      <x:c r="L1640" s="7" t="str"/>
      <x:c r="M1640" s="7" t="str">
        <x:f>IF(L1640="","OPEN",IF(OR(NOT(ISNUMBER(H1640)),NOT(ISNUMBER(I1640)),NOT(ISNUMBER(K1640)),ABS(J1640)&gt;K1640),"FAIL","PASS"))</x:f>
        <x:v>OPEN</x:v>
      </x:c>
    </x:row>
    <x:row r="1641">
      <x:c r="B1641" s="7" t="str">
        <x:v>CAL-CH-PEA-B-Y3-09-3</x:v>
      </x:c>
      <x:c r="C1641" s="7" t="str">
        <x:v>CH-PEA-B-Y3-09-3</x:v>
      </x:c>
      <x:c r="D1641" s="7" t="str">
        <x:v>PEA-B-Y3</x:v>
      </x:c>
      <x:c r="E1641" s="7" t="str">
        <x:v>BLD-B</x:v>
      </x:c>
      <x:c r="F1641" s="7" t="str">
        <x:v>BL-Y</x:v>
      </x:c>
      <x:c r="G1641" s="7" t="str">
        <x:v>MF-09</x:v>
      </x:c>
      <x:c r="H1641" s="7" t="str"/>
      <x:c r="I1641" s="7" t="str"/>
      <x:c r="J1641" s="7" t="str">
        <x:f>IF(OR(H1641="",I1641=""),"",I1641-H1641)</x:f>
      </x:c>
      <x:c r="K1641" s="7" t="str"/>
      <x:c r="L1641" s="7" t="str"/>
      <x:c r="M1641" s="7" t="str">
        <x:f>IF(L1641="","OPEN",IF(OR(NOT(ISNUMBER(H1641)),NOT(ISNUMBER(I1641)),NOT(ISNUMBER(K1641)),ABS(J1641)&gt;K1641),"FAIL","PASS"))</x:f>
        <x:v>OPEN</x:v>
      </x:c>
    </x:row>
    <x:row r="1642">
      <x:c r="B1642" s="7" t="str">
        <x:v>CAL-CH-PEA-B-Y3-09-4</x:v>
      </x:c>
      <x:c r="C1642" s="7" t="str">
        <x:v>CH-PEA-B-Y3-09-4</x:v>
      </x:c>
      <x:c r="D1642" s="7" t="str">
        <x:v>PEA-B-Y3</x:v>
      </x:c>
      <x:c r="E1642" s="7" t="str">
        <x:v>BLD-B</x:v>
      </x:c>
      <x:c r="F1642" s="7" t="str">
        <x:v>BL-Y</x:v>
      </x:c>
      <x:c r="G1642" s="7" t="str">
        <x:v>MF-09</x:v>
      </x:c>
      <x:c r="H1642" s="7" t="str"/>
      <x:c r="I1642" s="7" t="str"/>
      <x:c r="J1642" s="7" t="str">
        <x:f>IF(OR(H1642="",I1642=""),"",I1642-H1642)</x:f>
      </x:c>
      <x:c r="K1642" s="7" t="str"/>
      <x:c r="L1642" s="7" t="str"/>
      <x:c r="M1642" s="7" t="str">
        <x:f>IF(L1642="","OPEN",IF(OR(NOT(ISNUMBER(H1642)),NOT(ISNUMBER(I1642)),NOT(ISNUMBER(K1642)),ABS(J1642)&gt;K1642),"FAIL","PASS"))</x:f>
        <x:v>OPEN</x:v>
      </x:c>
    </x:row>
    <x:row r="1643">
      <x:c r="B1643" s="7" t="str">
        <x:v>CAL-CH-PEA-B-Y3-09-5</x:v>
      </x:c>
      <x:c r="C1643" s="7" t="str">
        <x:v>CH-PEA-B-Y3-09-5</x:v>
      </x:c>
      <x:c r="D1643" s="7" t="str">
        <x:v>PEA-B-Y3</x:v>
      </x:c>
      <x:c r="E1643" s="7" t="str">
        <x:v>BLD-B</x:v>
      </x:c>
      <x:c r="F1643" s="7" t="str">
        <x:v>BL-Y</x:v>
      </x:c>
      <x:c r="G1643" s="7" t="str">
        <x:v>MF-09</x:v>
      </x:c>
      <x:c r="H1643" s="7" t="str"/>
      <x:c r="I1643" s="7" t="str"/>
      <x:c r="J1643" s="7" t="str">
        <x:f>IF(OR(H1643="",I1643=""),"",I1643-H1643)</x:f>
      </x:c>
      <x:c r="K1643" s="7" t="str"/>
      <x:c r="L1643" s="7" t="str"/>
      <x:c r="M1643" s="7" t="str">
        <x:f>IF(L1643="","OPEN",IF(OR(NOT(ISNUMBER(H1643)),NOT(ISNUMBER(I1643)),NOT(ISNUMBER(K1643)),ABS(J1643)&gt;K1643),"FAIL","PASS"))</x:f>
        <x:v>OPEN</x:v>
      </x:c>
    </x:row>
    <x:row r="1644">
      <x:c r="B1644" s="7" t="str">
        <x:v>CAL-CH-PEA-B-Y3-09-6</x:v>
      </x:c>
      <x:c r="C1644" s="7" t="str">
        <x:v>CH-PEA-B-Y3-09-6</x:v>
      </x:c>
      <x:c r="D1644" s="7" t="str">
        <x:v>PEA-B-Y3</x:v>
      </x:c>
      <x:c r="E1644" s="7" t="str">
        <x:v>BLD-B</x:v>
      </x:c>
      <x:c r="F1644" s="7" t="str">
        <x:v>BL-Y</x:v>
      </x:c>
      <x:c r="G1644" s="7" t="str">
        <x:v>MF-09</x:v>
      </x:c>
      <x:c r="H1644" s="7" t="str"/>
      <x:c r="I1644" s="7" t="str"/>
      <x:c r="J1644" s="7" t="str">
        <x:f>IF(OR(H1644="",I1644=""),"",I1644-H1644)</x:f>
      </x:c>
      <x:c r="K1644" s="7" t="str"/>
      <x:c r="L1644" s="7" t="str"/>
      <x:c r="M1644" s="7" t="str">
        <x:f>IF(L1644="","OPEN",IF(OR(NOT(ISNUMBER(H1644)),NOT(ISNUMBER(I1644)),NOT(ISNUMBER(K1644)),ABS(J1644)&gt;K1644),"FAIL","PASS"))</x:f>
        <x:v>OPEN</x:v>
      </x:c>
    </x:row>
    <x:row r="1645">
      <x:c r="B1645" s="7" t="str">
        <x:v>CAL-CH-PEA-B-Y3-10-1</x:v>
      </x:c>
      <x:c r="C1645" s="7" t="str">
        <x:v>CH-PEA-B-Y3-10-1</x:v>
      </x:c>
      <x:c r="D1645" s="7" t="str">
        <x:v>PEA-B-Y3</x:v>
      </x:c>
      <x:c r="E1645" s="7" t="str">
        <x:v>BLD-B</x:v>
      </x:c>
      <x:c r="F1645" s="7" t="str">
        <x:v>BL-Y</x:v>
      </x:c>
      <x:c r="G1645" s="7" t="str">
        <x:v>MF-10</x:v>
      </x:c>
      <x:c r="H1645" s="7" t="str"/>
      <x:c r="I1645" s="7" t="str"/>
      <x:c r="J1645" s="7" t="str">
        <x:f>IF(OR(H1645="",I1645=""),"",I1645-H1645)</x:f>
      </x:c>
      <x:c r="K1645" s="7" t="str"/>
      <x:c r="L1645" s="7" t="str"/>
      <x:c r="M1645" s="7" t="str">
        <x:f>IF(L1645="","OPEN",IF(OR(NOT(ISNUMBER(H1645)),NOT(ISNUMBER(I1645)),NOT(ISNUMBER(K1645)),ABS(J1645)&gt;K1645),"FAIL","PASS"))</x:f>
        <x:v>OPEN</x:v>
      </x:c>
    </x:row>
    <x:row r="1646">
      <x:c r="B1646" s="7" t="str">
        <x:v>CAL-CH-PEA-B-Y3-10-2</x:v>
      </x:c>
      <x:c r="C1646" s="7" t="str">
        <x:v>CH-PEA-B-Y3-10-2</x:v>
      </x:c>
      <x:c r="D1646" s="7" t="str">
        <x:v>PEA-B-Y3</x:v>
      </x:c>
      <x:c r="E1646" s="7" t="str">
        <x:v>BLD-B</x:v>
      </x:c>
      <x:c r="F1646" s="7" t="str">
        <x:v>BL-Y</x:v>
      </x:c>
      <x:c r="G1646" s="7" t="str">
        <x:v>MF-10</x:v>
      </x:c>
      <x:c r="H1646" s="7" t="str"/>
      <x:c r="I1646" s="7" t="str"/>
      <x:c r="J1646" s="7" t="str">
        <x:f>IF(OR(H1646="",I1646=""),"",I1646-H1646)</x:f>
      </x:c>
      <x:c r="K1646" s="7" t="str"/>
      <x:c r="L1646" s="7" t="str"/>
      <x:c r="M1646" s="7" t="str">
        <x:f>IF(L1646="","OPEN",IF(OR(NOT(ISNUMBER(H1646)),NOT(ISNUMBER(I1646)),NOT(ISNUMBER(K1646)),ABS(J1646)&gt;K1646),"FAIL","PASS"))</x:f>
        <x:v>OPEN</x:v>
      </x:c>
    </x:row>
    <x:row r="1647">
      <x:c r="B1647" s="7" t="str">
        <x:v>CAL-CH-PEA-B-Y3-10-3</x:v>
      </x:c>
      <x:c r="C1647" s="7" t="str">
        <x:v>CH-PEA-B-Y3-10-3</x:v>
      </x:c>
      <x:c r="D1647" s="7" t="str">
        <x:v>PEA-B-Y3</x:v>
      </x:c>
      <x:c r="E1647" s="7" t="str">
        <x:v>BLD-B</x:v>
      </x:c>
      <x:c r="F1647" s="7" t="str">
        <x:v>BL-Y</x:v>
      </x:c>
      <x:c r="G1647" s="7" t="str">
        <x:v>MF-10</x:v>
      </x:c>
      <x:c r="H1647" s="7" t="str"/>
      <x:c r="I1647" s="7" t="str"/>
      <x:c r="J1647" s="7" t="str">
        <x:f>IF(OR(H1647="",I1647=""),"",I1647-H1647)</x:f>
      </x:c>
      <x:c r="K1647" s="7" t="str"/>
      <x:c r="L1647" s="7" t="str"/>
      <x:c r="M1647" s="7" t="str">
        <x:f>IF(L1647="","OPEN",IF(OR(NOT(ISNUMBER(H1647)),NOT(ISNUMBER(I1647)),NOT(ISNUMBER(K1647)),ABS(J1647)&gt;K1647),"FAIL","PASS"))</x:f>
        <x:v>OPEN</x:v>
      </x:c>
    </x:row>
    <x:row r="1648">
      <x:c r="B1648" s="7" t="str">
        <x:v>CAL-CH-PEA-B-Y3-10-4</x:v>
      </x:c>
      <x:c r="C1648" s="7" t="str">
        <x:v>CH-PEA-B-Y3-10-4</x:v>
      </x:c>
      <x:c r="D1648" s="7" t="str">
        <x:v>PEA-B-Y3</x:v>
      </x:c>
      <x:c r="E1648" s="7" t="str">
        <x:v>BLD-B</x:v>
      </x:c>
      <x:c r="F1648" s="7" t="str">
        <x:v>BL-Y</x:v>
      </x:c>
      <x:c r="G1648" s="7" t="str">
        <x:v>MF-10</x:v>
      </x:c>
      <x:c r="H1648" s="7" t="str"/>
      <x:c r="I1648" s="7" t="str"/>
      <x:c r="J1648" s="7" t="str">
        <x:f>IF(OR(H1648="",I1648=""),"",I1648-H1648)</x:f>
      </x:c>
      <x:c r="K1648" s="7" t="str"/>
      <x:c r="L1648" s="7" t="str"/>
      <x:c r="M1648" s="7" t="str">
        <x:f>IF(L1648="","OPEN",IF(OR(NOT(ISNUMBER(H1648)),NOT(ISNUMBER(I1648)),NOT(ISNUMBER(K1648)),ABS(J1648)&gt;K1648),"FAIL","PASS"))</x:f>
        <x:v>OPEN</x:v>
      </x:c>
    </x:row>
    <x:row r="1649">
      <x:c r="B1649" s="7" t="str">
        <x:v>CAL-CH-PEA-B-Y3-10-5</x:v>
      </x:c>
      <x:c r="C1649" s="7" t="str">
        <x:v>CH-PEA-B-Y3-10-5</x:v>
      </x:c>
      <x:c r="D1649" s="7" t="str">
        <x:v>PEA-B-Y3</x:v>
      </x:c>
      <x:c r="E1649" s="7" t="str">
        <x:v>BLD-B</x:v>
      </x:c>
      <x:c r="F1649" s="7" t="str">
        <x:v>BL-Y</x:v>
      </x:c>
      <x:c r="G1649" s="7" t="str">
        <x:v>MF-10</x:v>
      </x:c>
      <x:c r="H1649" s="7" t="str"/>
      <x:c r="I1649" s="7" t="str"/>
      <x:c r="J1649" s="7" t="str">
        <x:f>IF(OR(H1649="",I1649=""),"",I1649-H1649)</x:f>
      </x:c>
      <x:c r="K1649" s="7" t="str"/>
      <x:c r="L1649" s="7" t="str"/>
      <x:c r="M1649" s="7" t="str">
        <x:f>IF(L1649="","OPEN",IF(OR(NOT(ISNUMBER(H1649)),NOT(ISNUMBER(I1649)),NOT(ISNUMBER(K1649)),ABS(J1649)&gt;K1649),"FAIL","PASS"))</x:f>
        <x:v>OPEN</x:v>
      </x:c>
    </x:row>
    <x:row r="1650">
      <x:c r="B1650" s="7" t="str">
        <x:v>CAL-CH-PEA-B-Y3-10-6</x:v>
      </x:c>
      <x:c r="C1650" s="7" t="str">
        <x:v>CH-PEA-B-Y3-10-6</x:v>
      </x:c>
      <x:c r="D1650" s="7" t="str">
        <x:v>PEA-B-Y3</x:v>
      </x:c>
      <x:c r="E1650" s="7" t="str">
        <x:v>BLD-B</x:v>
      </x:c>
      <x:c r="F1650" s="7" t="str">
        <x:v>BL-Y</x:v>
      </x:c>
      <x:c r="G1650" s="7" t="str">
        <x:v>MF-10</x:v>
      </x:c>
      <x:c r="H1650" s="7" t="str"/>
      <x:c r="I1650" s="7" t="str"/>
      <x:c r="J1650" s="7" t="str">
        <x:f>IF(OR(H1650="",I1650=""),"",I1650-H1650)</x:f>
      </x:c>
      <x:c r="K1650" s="7" t="str"/>
      <x:c r="L1650" s="7" t="str"/>
      <x:c r="M1650" s="7" t="str">
        <x:f>IF(L1650="","OPEN",IF(OR(NOT(ISNUMBER(H1650)),NOT(ISNUMBER(I1650)),NOT(ISNUMBER(K1650)),ABS(J1650)&gt;K1650),"FAIL","PASS"))</x:f>
        <x:v>OPEN</x:v>
      </x:c>
    </x:row>
    <x:row r="1651">
      <x:c r="B1651" s="7" t="str">
        <x:v>CAL-CH-PEA-B-Y3-11-1</x:v>
      </x:c>
      <x:c r="C1651" s="7" t="str">
        <x:v>CH-PEA-B-Y3-11-1</x:v>
      </x:c>
      <x:c r="D1651" s="7" t="str">
        <x:v>PEA-B-Y3</x:v>
      </x:c>
      <x:c r="E1651" s="7" t="str">
        <x:v>BLD-B</x:v>
      </x:c>
      <x:c r="F1651" s="7" t="str">
        <x:v>BL-Y</x:v>
      </x:c>
      <x:c r="G1651" s="7" t="str">
        <x:v>MF-11</x:v>
      </x:c>
      <x:c r="H1651" s="7" t="str"/>
      <x:c r="I1651" s="7" t="str"/>
      <x:c r="J1651" s="7" t="str">
        <x:f>IF(OR(H1651="",I1651=""),"",I1651-H1651)</x:f>
      </x:c>
      <x:c r="K1651" s="7" t="str"/>
      <x:c r="L1651" s="7" t="str"/>
      <x:c r="M1651" s="7" t="str">
        <x:f>IF(L1651="","OPEN",IF(OR(NOT(ISNUMBER(H1651)),NOT(ISNUMBER(I1651)),NOT(ISNUMBER(K1651)),ABS(J1651)&gt;K1651),"FAIL","PASS"))</x:f>
        <x:v>OPEN</x:v>
      </x:c>
    </x:row>
    <x:row r="1652">
      <x:c r="B1652" s="7" t="str">
        <x:v>CAL-CH-PEA-B-Y3-11-2</x:v>
      </x:c>
      <x:c r="C1652" s="7" t="str">
        <x:v>CH-PEA-B-Y3-11-2</x:v>
      </x:c>
      <x:c r="D1652" s="7" t="str">
        <x:v>PEA-B-Y3</x:v>
      </x:c>
      <x:c r="E1652" s="7" t="str">
        <x:v>BLD-B</x:v>
      </x:c>
      <x:c r="F1652" s="7" t="str">
        <x:v>BL-Y</x:v>
      </x:c>
      <x:c r="G1652" s="7" t="str">
        <x:v>MF-11</x:v>
      </x:c>
      <x:c r="H1652" s="7" t="str"/>
      <x:c r="I1652" s="7" t="str"/>
      <x:c r="J1652" s="7" t="str">
        <x:f>IF(OR(H1652="",I1652=""),"",I1652-H1652)</x:f>
      </x:c>
      <x:c r="K1652" s="7" t="str"/>
      <x:c r="L1652" s="7" t="str"/>
      <x:c r="M1652" s="7" t="str">
        <x:f>IF(L1652="","OPEN",IF(OR(NOT(ISNUMBER(H1652)),NOT(ISNUMBER(I1652)),NOT(ISNUMBER(K1652)),ABS(J1652)&gt;K1652),"FAIL","PASS"))</x:f>
        <x:v>OPEN</x:v>
      </x:c>
    </x:row>
    <x:row r="1653">
      <x:c r="B1653" s="7" t="str">
        <x:v>CAL-CH-PEA-B-Y3-11-3</x:v>
      </x:c>
      <x:c r="C1653" s="7" t="str">
        <x:v>CH-PEA-B-Y3-11-3</x:v>
      </x:c>
      <x:c r="D1653" s="7" t="str">
        <x:v>PEA-B-Y3</x:v>
      </x:c>
      <x:c r="E1653" s="7" t="str">
        <x:v>BLD-B</x:v>
      </x:c>
      <x:c r="F1653" s="7" t="str">
        <x:v>BL-Y</x:v>
      </x:c>
      <x:c r="G1653" s="7" t="str">
        <x:v>MF-11</x:v>
      </x:c>
      <x:c r="H1653" s="7" t="str"/>
      <x:c r="I1653" s="7" t="str"/>
      <x:c r="J1653" s="7" t="str">
        <x:f>IF(OR(H1653="",I1653=""),"",I1653-H1653)</x:f>
      </x:c>
      <x:c r="K1653" s="7" t="str"/>
      <x:c r="L1653" s="7" t="str"/>
      <x:c r="M1653" s="7" t="str">
        <x:f>IF(L1653="","OPEN",IF(OR(NOT(ISNUMBER(H1653)),NOT(ISNUMBER(I1653)),NOT(ISNUMBER(K1653)),ABS(J1653)&gt;K1653),"FAIL","PASS"))</x:f>
        <x:v>OPEN</x:v>
      </x:c>
    </x:row>
    <x:row r="1654">
      <x:c r="B1654" s="7" t="str">
        <x:v>CAL-CH-PEA-B-Y3-11-4</x:v>
      </x:c>
      <x:c r="C1654" s="7" t="str">
        <x:v>CH-PEA-B-Y3-11-4</x:v>
      </x:c>
      <x:c r="D1654" s="7" t="str">
        <x:v>PEA-B-Y3</x:v>
      </x:c>
      <x:c r="E1654" s="7" t="str">
        <x:v>BLD-B</x:v>
      </x:c>
      <x:c r="F1654" s="7" t="str">
        <x:v>BL-Y</x:v>
      </x:c>
      <x:c r="G1654" s="7" t="str">
        <x:v>MF-11</x:v>
      </x:c>
      <x:c r="H1654" s="7" t="str"/>
      <x:c r="I1654" s="7" t="str"/>
      <x:c r="J1654" s="7" t="str">
        <x:f>IF(OR(H1654="",I1654=""),"",I1654-H1654)</x:f>
      </x:c>
      <x:c r="K1654" s="7" t="str"/>
      <x:c r="L1654" s="7" t="str"/>
      <x:c r="M1654" s="7" t="str">
        <x:f>IF(L1654="","OPEN",IF(OR(NOT(ISNUMBER(H1654)),NOT(ISNUMBER(I1654)),NOT(ISNUMBER(K1654)),ABS(J1654)&gt;K1654),"FAIL","PASS"))</x:f>
        <x:v>OPEN</x:v>
      </x:c>
    </x:row>
    <x:row r="1655">
      <x:c r="B1655" s="7" t="str">
        <x:v>CAL-CH-PEA-B-Y3-11-5</x:v>
      </x:c>
      <x:c r="C1655" s="7" t="str">
        <x:v>CH-PEA-B-Y3-11-5</x:v>
      </x:c>
      <x:c r="D1655" s="7" t="str">
        <x:v>PEA-B-Y3</x:v>
      </x:c>
      <x:c r="E1655" s="7" t="str">
        <x:v>BLD-B</x:v>
      </x:c>
      <x:c r="F1655" s="7" t="str">
        <x:v>BL-Y</x:v>
      </x:c>
      <x:c r="G1655" s="7" t="str">
        <x:v>MF-11</x:v>
      </x:c>
      <x:c r="H1655" s="7" t="str"/>
      <x:c r="I1655" s="7" t="str"/>
      <x:c r="J1655" s="7" t="str">
        <x:f>IF(OR(H1655="",I1655=""),"",I1655-H1655)</x:f>
      </x:c>
      <x:c r="K1655" s="7" t="str"/>
      <x:c r="L1655" s="7" t="str"/>
      <x:c r="M1655" s="7" t="str">
        <x:f>IF(L1655="","OPEN",IF(OR(NOT(ISNUMBER(H1655)),NOT(ISNUMBER(I1655)),NOT(ISNUMBER(K1655)),ABS(J1655)&gt;K1655),"FAIL","PASS"))</x:f>
        <x:v>OPEN</x:v>
      </x:c>
    </x:row>
    <x:row r="1656">
      <x:c r="B1656" s="7" t="str">
        <x:v>CAL-CH-PEA-B-Y3-11-6</x:v>
      </x:c>
      <x:c r="C1656" s="7" t="str">
        <x:v>CH-PEA-B-Y3-11-6</x:v>
      </x:c>
      <x:c r="D1656" s="7" t="str">
        <x:v>PEA-B-Y3</x:v>
      </x:c>
      <x:c r="E1656" s="7" t="str">
        <x:v>BLD-B</x:v>
      </x:c>
      <x:c r="F1656" s="7" t="str">
        <x:v>BL-Y</x:v>
      </x:c>
      <x:c r="G1656" s="7" t="str">
        <x:v>MF-11</x:v>
      </x:c>
      <x:c r="H1656" s="7" t="str"/>
      <x:c r="I1656" s="7" t="str"/>
      <x:c r="J1656" s="7" t="str">
        <x:f>IF(OR(H1656="",I1656=""),"",I1656-H1656)</x:f>
      </x:c>
      <x:c r="K1656" s="7" t="str"/>
      <x:c r="L1656" s="7" t="str"/>
      <x:c r="M1656" s="7" t="str">
        <x:f>IF(L1656="","OPEN",IF(OR(NOT(ISNUMBER(H1656)),NOT(ISNUMBER(I1656)),NOT(ISNUMBER(K1656)),ABS(J1656)&gt;K1656),"FAIL","PASS"))</x:f>
        <x:v>OPEN</x:v>
      </x:c>
    </x:row>
    <x:row r="1657">
      <x:c r="B1657" s="7" t="str">
        <x:v>CAL-CH-PEA-B-Y3-12-1</x:v>
      </x:c>
      <x:c r="C1657" s="7" t="str">
        <x:v>CH-PEA-B-Y3-12-1</x:v>
      </x:c>
      <x:c r="D1657" s="7" t="str">
        <x:v>PEA-B-Y3</x:v>
      </x:c>
      <x:c r="E1657" s="7" t="str">
        <x:v>BLD-B</x:v>
      </x:c>
      <x:c r="F1657" s="7" t="str">
        <x:v>BL-Y</x:v>
      </x:c>
      <x:c r="G1657" s="7" t="str">
        <x:v>MF-12</x:v>
      </x:c>
      <x:c r="H1657" s="7" t="str"/>
      <x:c r="I1657" s="7" t="str"/>
      <x:c r="J1657" s="7" t="str">
        <x:f>IF(OR(H1657="",I1657=""),"",I1657-H1657)</x:f>
      </x:c>
      <x:c r="K1657" s="7" t="str"/>
      <x:c r="L1657" s="7" t="str"/>
      <x:c r="M1657" s="7" t="str">
        <x:f>IF(L1657="","OPEN",IF(OR(NOT(ISNUMBER(H1657)),NOT(ISNUMBER(I1657)),NOT(ISNUMBER(K1657)),ABS(J1657)&gt;K1657),"FAIL","PASS"))</x:f>
        <x:v>OPEN</x:v>
      </x:c>
    </x:row>
    <x:row r="1658">
      <x:c r="B1658" s="7" t="str">
        <x:v>CAL-CH-PEA-B-Y3-12-2</x:v>
      </x:c>
      <x:c r="C1658" s="7" t="str">
        <x:v>CH-PEA-B-Y3-12-2</x:v>
      </x:c>
      <x:c r="D1658" s="7" t="str">
        <x:v>PEA-B-Y3</x:v>
      </x:c>
      <x:c r="E1658" s="7" t="str">
        <x:v>BLD-B</x:v>
      </x:c>
      <x:c r="F1658" s="7" t="str">
        <x:v>BL-Y</x:v>
      </x:c>
      <x:c r="G1658" s="7" t="str">
        <x:v>MF-12</x:v>
      </x:c>
      <x:c r="H1658" s="7" t="str"/>
      <x:c r="I1658" s="7" t="str"/>
      <x:c r="J1658" s="7" t="str">
        <x:f>IF(OR(H1658="",I1658=""),"",I1658-H1658)</x:f>
      </x:c>
      <x:c r="K1658" s="7" t="str"/>
      <x:c r="L1658" s="7" t="str"/>
      <x:c r="M1658" s="7" t="str">
        <x:f>IF(L1658="","OPEN",IF(OR(NOT(ISNUMBER(H1658)),NOT(ISNUMBER(I1658)),NOT(ISNUMBER(K1658)),ABS(J1658)&gt;K1658),"FAIL","PASS"))</x:f>
        <x:v>OPEN</x:v>
      </x:c>
    </x:row>
    <x:row r="1659">
      <x:c r="B1659" s="7" t="str">
        <x:v>CAL-CH-PEA-B-Y3-12-3</x:v>
      </x:c>
      <x:c r="C1659" s="7" t="str">
        <x:v>CH-PEA-B-Y3-12-3</x:v>
      </x:c>
      <x:c r="D1659" s="7" t="str">
        <x:v>PEA-B-Y3</x:v>
      </x:c>
      <x:c r="E1659" s="7" t="str">
        <x:v>BLD-B</x:v>
      </x:c>
      <x:c r="F1659" s="7" t="str">
        <x:v>BL-Y</x:v>
      </x:c>
      <x:c r="G1659" s="7" t="str">
        <x:v>MF-12</x:v>
      </x:c>
      <x:c r="H1659" s="7" t="str"/>
      <x:c r="I1659" s="7" t="str"/>
      <x:c r="J1659" s="7" t="str">
        <x:f>IF(OR(H1659="",I1659=""),"",I1659-H1659)</x:f>
      </x:c>
      <x:c r="K1659" s="7" t="str"/>
      <x:c r="L1659" s="7" t="str"/>
      <x:c r="M1659" s="7" t="str">
        <x:f>IF(L1659="","OPEN",IF(OR(NOT(ISNUMBER(H1659)),NOT(ISNUMBER(I1659)),NOT(ISNUMBER(K1659)),ABS(J1659)&gt;K1659),"FAIL","PASS"))</x:f>
        <x:v>OPEN</x:v>
      </x:c>
    </x:row>
    <x:row r="1660">
      <x:c r="B1660" s="7" t="str">
        <x:v>CAL-CH-PEA-B-Y3-12-4</x:v>
      </x:c>
      <x:c r="C1660" s="7" t="str">
        <x:v>CH-PEA-B-Y3-12-4</x:v>
      </x:c>
      <x:c r="D1660" s="7" t="str">
        <x:v>PEA-B-Y3</x:v>
      </x:c>
      <x:c r="E1660" s="7" t="str">
        <x:v>BLD-B</x:v>
      </x:c>
      <x:c r="F1660" s="7" t="str">
        <x:v>BL-Y</x:v>
      </x:c>
      <x:c r="G1660" s="7" t="str">
        <x:v>MF-12</x:v>
      </x:c>
      <x:c r="H1660" s="7" t="str"/>
      <x:c r="I1660" s="7" t="str"/>
      <x:c r="J1660" s="7" t="str">
        <x:f>IF(OR(H1660="",I1660=""),"",I1660-H1660)</x:f>
      </x:c>
      <x:c r="K1660" s="7" t="str"/>
      <x:c r="L1660" s="7" t="str"/>
      <x:c r="M1660" s="7" t="str">
        <x:f>IF(L1660="","OPEN",IF(OR(NOT(ISNUMBER(H1660)),NOT(ISNUMBER(I1660)),NOT(ISNUMBER(K1660)),ABS(J1660)&gt;K1660),"FAIL","PASS"))</x:f>
        <x:v>OPEN</x:v>
      </x:c>
    </x:row>
    <x:row r="1661">
      <x:c r="B1661" s="7" t="str">
        <x:v>CAL-CH-PEA-B-Y3-12-5</x:v>
      </x:c>
      <x:c r="C1661" s="7" t="str">
        <x:v>CH-PEA-B-Y3-12-5</x:v>
      </x:c>
      <x:c r="D1661" s="7" t="str">
        <x:v>PEA-B-Y3</x:v>
      </x:c>
      <x:c r="E1661" s="7" t="str">
        <x:v>BLD-B</x:v>
      </x:c>
      <x:c r="F1661" s="7" t="str">
        <x:v>BL-Y</x:v>
      </x:c>
      <x:c r="G1661" s="7" t="str">
        <x:v>MF-12</x:v>
      </x:c>
      <x:c r="H1661" s="7" t="str"/>
      <x:c r="I1661" s="7" t="str"/>
      <x:c r="J1661" s="7" t="str">
        <x:f>IF(OR(H1661="",I1661=""),"",I1661-H1661)</x:f>
      </x:c>
      <x:c r="K1661" s="7" t="str"/>
      <x:c r="L1661" s="7" t="str"/>
      <x:c r="M1661" s="7" t="str">
        <x:f>IF(L1661="","OPEN",IF(OR(NOT(ISNUMBER(H1661)),NOT(ISNUMBER(I1661)),NOT(ISNUMBER(K1661)),ABS(J1661)&gt;K1661),"FAIL","PASS"))</x:f>
        <x:v>OPEN</x:v>
      </x:c>
    </x:row>
    <x:row r="1662">
      <x:c r="B1662" s="7" t="str">
        <x:v>CAL-CH-PEA-B-Y3-12-6</x:v>
      </x:c>
      <x:c r="C1662" s="7" t="str">
        <x:v>CH-PEA-B-Y3-12-6</x:v>
      </x:c>
      <x:c r="D1662" s="7" t="str">
        <x:v>PEA-B-Y3</x:v>
      </x:c>
      <x:c r="E1662" s="7" t="str">
        <x:v>BLD-B</x:v>
      </x:c>
      <x:c r="F1662" s="7" t="str">
        <x:v>BL-Y</x:v>
      </x:c>
      <x:c r="G1662" s="7" t="str">
        <x:v>MF-12</x:v>
      </x:c>
      <x:c r="H1662" s="7" t="str"/>
      <x:c r="I1662" s="7" t="str"/>
      <x:c r="J1662" s="7" t="str">
        <x:f>IF(OR(H1662="",I1662=""),"",I1662-H1662)</x:f>
      </x:c>
      <x:c r="K1662" s="7" t="str"/>
      <x:c r="L1662" s="7" t="str"/>
      <x:c r="M1662" s="7" t="str">
        <x:f>IF(L1662="","OPEN",IF(OR(NOT(ISNUMBER(H1662)),NOT(ISNUMBER(I1662)),NOT(ISNUMBER(K1662)),ABS(J1662)&gt;K1662),"FAIL","PASS"))</x:f>
        <x:v>OPEN</x:v>
      </x:c>
    </x:row>
    <x:row r="1663">
      <x:c r="B1663" s="7" t="str">
        <x:v>CAL-CH-PEA-B-Y3-13-1</x:v>
      </x:c>
      <x:c r="C1663" s="7" t="str">
        <x:v>CH-PEA-B-Y3-13-1</x:v>
      </x:c>
      <x:c r="D1663" s="7" t="str">
        <x:v>PEA-B-Y3</x:v>
      </x:c>
      <x:c r="E1663" s="7" t="str">
        <x:v>BLD-B</x:v>
      </x:c>
      <x:c r="F1663" s="7" t="str">
        <x:v>BL-Y</x:v>
      </x:c>
      <x:c r="G1663" s="7" t="str">
        <x:v>MF-13</x:v>
      </x:c>
      <x:c r="H1663" s="7" t="str"/>
      <x:c r="I1663" s="7" t="str"/>
      <x:c r="J1663" s="7" t="str">
        <x:f>IF(OR(H1663="",I1663=""),"",I1663-H1663)</x:f>
      </x:c>
      <x:c r="K1663" s="7" t="str"/>
      <x:c r="L1663" s="7" t="str"/>
      <x:c r="M1663" s="7" t="str">
        <x:f>IF(L1663="","OPEN",IF(OR(NOT(ISNUMBER(H1663)),NOT(ISNUMBER(I1663)),NOT(ISNUMBER(K1663)),ABS(J1663)&gt;K1663),"FAIL","PASS"))</x:f>
        <x:v>OPEN</x:v>
      </x:c>
    </x:row>
    <x:row r="1664">
      <x:c r="B1664" s="7" t="str">
        <x:v>CAL-CH-PEA-B-Y3-13-2</x:v>
      </x:c>
      <x:c r="C1664" s="7" t="str">
        <x:v>CH-PEA-B-Y3-13-2</x:v>
      </x:c>
      <x:c r="D1664" s="7" t="str">
        <x:v>PEA-B-Y3</x:v>
      </x:c>
      <x:c r="E1664" s="7" t="str">
        <x:v>BLD-B</x:v>
      </x:c>
      <x:c r="F1664" s="7" t="str">
        <x:v>BL-Y</x:v>
      </x:c>
      <x:c r="G1664" s="7" t="str">
        <x:v>MF-13</x:v>
      </x:c>
      <x:c r="H1664" s="7" t="str"/>
      <x:c r="I1664" s="7" t="str"/>
      <x:c r="J1664" s="7" t="str">
        <x:f>IF(OR(H1664="",I1664=""),"",I1664-H1664)</x:f>
      </x:c>
      <x:c r="K1664" s="7" t="str"/>
      <x:c r="L1664" s="7" t="str"/>
      <x:c r="M1664" s="7" t="str">
        <x:f>IF(L1664="","OPEN",IF(OR(NOT(ISNUMBER(H1664)),NOT(ISNUMBER(I1664)),NOT(ISNUMBER(K1664)),ABS(J1664)&gt;K1664),"FAIL","PASS"))</x:f>
        <x:v>OPEN</x:v>
      </x:c>
    </x:row>
    <x:row r="1665">
      <x:c r="B1665" s="7" t="str">
        <x:v>CAL-CH-PEA-B-Y3-13-3</x:v>
      </x:c>
      <x:c r="C1665" s="7" t="str">
        <x:v>CH-PEA-B-Y3-13-3</x:v>
      </x:c>
      <x:c r="D1665" s="7" t="str">
        <x:v>PEA-B-Y3</x:v>
      </x:c>
      <x:c r="E1665" s="7" t="str">
        <x:v>BLD-B</x:v>
      </x:c>
      <x:c r="F1665" s="7" t="str">
        <x:v>BL-Y</x:v>
      </x:c>
      <x:c r="G1665" s="7" t="str">
        <x:v>MF-13</x:v>
      </x:c>
      <x:c r="H1665" s="7" t="str"/>
      <x:c r="I1665" s="7" t="str"/>
      <x:c r="J1665" s="7" t="str">
        <x:f>IF(OR(H1665="",I1665=""),"",I1665-H1665)</x:f>
      </x:c>
      <x:c r="K1665" s="7" t="str"/>
      <x:c r="L1665" s="7" t="str"/>
      <x:c r="M1665" s="7" t="str">
        <x:f>IF(L1665="","OPEN",IF(OR(NOT(ISNUMBER(H1665)),NOT(ISNUMBER(I1665)),NOT(ISNUMBER(K1665)),ABS(J1665)&gt;K1665),"FAIL","PASS"))</x:f>
        <x:v>OPEN</x:v>
      </x:c>
    </x:row>
    <x:row r="1666">
      <x:c r="B1666" s="7" t="str">
        <x:v>CAL-CH-PEA-B-Y3-13-4</x:v>
      </x:c>
      <x:c r="C1666" s="7" t="str">
        <x:v>CH-PEA-B-Y3-13-4</x:v>
      </x:c>
      <x:c r="D1666" s="7" t="str">
        <x:v>PEA-B-Y3</x:v>
      </x:c>
      <x:c r="E1666" s="7" t="str">
        <x:v>BLD-B</x:v>
      </x:c>
      <x:c r="F1666" s="7" t="str">
        <x:v>BL-Y</x:v>
      </x:c>
      <x:c r="G1666" s="7" t="str">
        <x:v>MF-13</x:v>
      </x:c>
      <x:c r="H1666" s="7" t="str"/>
      <x:c r="I1666" s="7" t="str"/>
      <x:c r="J1666" s="7" t="str">
        <x:f>IF(OR(H1666="",I1666=""),"",I1666-H1666)</x:f>
      </x:c>
      <x:c r="K1666" s="7" t="str"/>
      <x:c r="L1666" s="7" t="str"/>
      <x:c r="M1666" s="7" t="str">
        <x:f>IF(L1666="","OPEN",IF(OR(NOT(ISNUMBER(H1666)),NOT(ISNUMBER(I1666)),NOT(ISNUMBER(K1666)),ABS(J1666)&gt;K1666),"FAIL","PASS"))</x:f>
        <x:v>OPEN</x:v>
      </x:c>
    </x:row>
    <x:row r="1667">
      <x:c r="B1667" s="7" t="str">
        <x:v>CAL-CH-PEA-B-Y3-13-5</x:v>
      </x:c>
      <x:c r="C1667" s="7" t="str">
        <x:v>CH-PEA-B-Y3-13-5</x:v>
      </x:c>
      <x:c r="D1667" s="7" t="str">
        <x:v>PEA-B-Y3</x:v>
      </x:c>
      <x:c r="E1667" s="7" t="str">
        <x:v>BLD-B</x:v>
      </x:c>
      <x:c r="F1667" s="7" t="str">
        <x:v>BL-Y</x:v>
      </x:c>
      <x:c r="G1667" s="7" t="str">
        <x:v>MF-13</x:v>
      </x:c>
      <x:c r="H1667" s="7" t="str"/>
      <x:c r="I1667" s="7" t="str"/>
      <x:c r="J1667" s="7" t="str">
        <x:f>IF(OR(H1667="",I1667=""),"",I1667-H1667)</x:f>
      </x:c>
      <x:c r="K1667" s="7" t="str"/>
      <x:c r="L1667" s="7" t="str"/>
      <x:c r="M1667" s="7" t="str">
        <x:f>IF(L1667="","OPEN",IF(OR(NOT(ISNUMBER(H1667)),NOT(ISNUMBER(I1667)),NOT(ISNUMBER(K1667)),ABS(J1667)&gt;K1667),"FAIL","PASS"))</x:f>
        <x:v>OPEN</x:v>
      </x:c>
    </x:row>
    <x:row r="1668">
      <x:c r="B1668" s="7" t="str">
        <x:v>CAL-CH-PEA-B-Y3-13-6</x:v>
      </x:c>
      <x:c r="C1668" s="7" t="str">
        <x:v>CH-PEA-B-Y3-13-6</x:v>
      </x:c>
      <x:c r="D1668" s="7" t="str">
        <x:v>PEA-B-Y3</x:v>
      </x:c>
      <x:c r="E1668" s="7" t="str">
        <x:v>BLD-B</x:v>
      </x:c>
      <x:c r="F1668" s="7" t="str">
        <x:v>BL-Y</x:v>
      </x:c>
      <x:c r="G1668" s="7" t="str">
        <x:v>MF-13</x:v>
      </x:c>
      <x:c r="H1668" s="7" t="str"/>
      <x:c r="I1668" s="7" t="str"/>
      <x:c r="J1668" s="7" t="str">
        <x:f>IF(OR(H1668="",I1668=""),"",I1668-H1668)</x:f>
      </x:c>
      <x:c r="K1668" s="7" t="str"/>
      <x:c r="L1668" s="7" t="str"/>
      <x:c r="M1668" s="7" t="str">
        <x:f>IF(L1668="","OPEN",IF(OR(NOT(ISNUMBER(H1668)),NOT(ISNUMBER(I1668)),NOT(ISNUMBER(K1668)),ABS(J1668)&gt;K1668),"FAIL","PASS"))</x:f>
        <x:v>OPEN</x:v>
      </x:c>
    </x:row>
    <x:row r="1669">
      <x:c r="B1669" s="7" t="str">
        <x:v>CAL-CH-PEA-B-Y3-14-1</x:v>
      </x:c>
      <x:c r="C1669" s="7" t="str">
        <x:v>CH-PEA-B-Y3-14-1</x:v>
      </x:c>
      <x:c r="D1669" s="7" t="str">
        <x:v>PEA-B-Y3</x:v>
      </x:c>
      <x:c r="E1669" s="7" t="str">
        <x:v>BLD-B</x:v>
      </x:c>
      <x:c r="F1669" s="7" t="str">
        <x:v>BL-Y</x:v>
      </x:c>
      <x:c r="G1669" s="7" t="str">
        <x:v>MF-14</x:v>
      </x:c>
      <x:c r="H1669" s="7" t="str"/>
      <x:c r="I1669" s="7" t="str"/>
      <x:c r="J1669" s="7" t="str">
        <x:f>IF(OR(H1669="",I1669=""),"",I1669-H1669)</x:f>
      </x:c>
      <x:c r="K1669" s="7" t="str"/>
      <x:c r="L1669" s="7" t="str"/>
      <x:c r="M1669" s="7" t="str">
        <x:f>IF(L1669="","OPEN",IF(OR(NOT(ISNUMBER(H1669)),NOT(ISNUMBER(I1669)),NOT(ISNUMBER(K1669)),ABS(J1669)&gt;K1669),"FAIL","PASS"))</x:f>
        <x:v>OPEN</x:v>
      </x:c>
    </x:row>
    <x:row r="1670">
      <x:c r="B1670" s="7" t="str">
        <x:v>CAL-CH-PEA-B-Y3-14-2</x:v>
      </x:c>
      <x:c r="C1670" s="7" t="str">
        <x:v>CH-PEA-B-Y3-14-2</x:v>
      </x:c>
      <x:c r="D1670" s="7" t="str">
        <x:v>PEA-B-Y3</x:v>
      </x:c>
      <x:c r="E1670" s="7" t="str">
        <x:v>BLD-B</x:v>
      </x:c>
      <x:c r="F1670" s="7" t="str">
        <x:v>BL-Y</x:v>
      </x:c>
      <x:c r="G1670" s="7" t="str">
        <x:v>MF-14</x:v>
      </x:c>
      <x:c r="H1670" s="7" t="str"/>
      <x:c r="I1670" s="7" t="str"/>
      <x:c r="J1670" s="7" t="str">
        <x:f>IF(OR(H1670="",I1670=""),"",I1670-H1670)</x:f>
      </x:c>
      <x:c r="K1670" s="7" t="str"/>
      <x:c r="L1670" s="7" t="str"/>
      <x:c r="M1670" s="7" t="str">
        <x:f>IF(L1670="","OPEN",IF(OR(NOT(ISNUMBER(H1670)),NOT(ISNUMBER(I1670)),NOT(ISNUMBER(K1670)),ABS(J1670)&gt;K1670),"FAIL","PASS"))</x:f>
        <x:v>OPEN</x:v>
      </x:c>
    </x:row>
    <x:row r="1671">
      <x:c r="B1671" s="7" t="str">
        <x:v>CAL-CH-PEA-B-Y3-14-3</x:v>
      </x:c>
      <x:c r="C1671" s="7" t="str">
        <x:v>CH-PEA-B-Y3-14-3</x:v>
      </x:c>
      <x:c r="D1671" s="7" t="str">
        <x:v>PEA-B-Y3</x:v>
      </x:c>
      <x:c r="E1671" s="7" t="str">
        <x:v>BLD-B</x:v>
      </x:c>
      <x:c r="F1671" s="7" t="str">
        <x:v>BL-Y</x:v>
      </x:c>
      <x:c r="G1671" s="7" t="str">
        <x:v>MF-14</x:v>
      </x:c>
      <x:c r="H1671" s="7" t="str"/>
      <x:c r="I1671" s="7" t="str"/>
      <x:c r="J1671" s="7" t="str">
        <x:f>IF(OR(H1671="",I1671=""),"",I1671-H1671)</x:f>
      </x:c>
      <x:c r="K1671" s="7" t="str"/>
      <x:c r="L1671" s="7" t="str"/>
      <x:c r="M1671" s="7" t="str">
        <x:f>IF(L1671="","OPEN",IF(OR(NOT(ISNUMBER(H1671)),NOT(ISNUMBER(I1671)),NOT(ISNUMBER(K1671)),ABS(J1671)&gt;K1671),"FAIL","PASS"))</x:f>
        <x:v>OPEN</x:v>
      </x:c>
    </x:row>
    <x:row r="1672">
      <x:c r="B1672" s="7" t="str">
        <x:v>CAL-CH-PEA-B-Y3-14-4</x:v>
      </x:c>
      <x:c r="C1672" s="7" t="str">
        <x:v>CH-PEA-B-Y3-14-4</x:v>
      </x:c>
      <x:c r="D1672" s="7" t="str">
        <x:v>PEA-B-Y3</x:v>
      </x:c>
      <x:c r="E1672" s="7" t="str">
        <x:v>BLD-B</x:v>
      </x:c>
      <x:c r="F1672" s="7" t="str">
        <x:v>BL-Y</x:v>
      </x:c>
      <x:c r="G1672" s="7" t="str">
        <x:v>MF-14</x:v>
      </x:c>
      <x:c r="H1672" s="7" t="str"/>
      <x:c r="I1672" s="7" t="str"/>
      <x:c r="J1672" s="7" t="str">
        <x:f>IF(OR(H1672="",I1672=""),"",I1672-H1672)</x:f>
      </x:c>
      <x:c r="K1672" s="7" t="str"/>
      <x:c r="L1672" s="7" t="str"/>
      <x:c r="M1672" s="7" t="str">
        <x:f>IF(L1672="","OPEN",IF(OR(NOT(ISNUMBER(H1672)),NOT(ISNUMBER(I1672)),NOT(ISNUMBER(K1672)),ABS(J1672)&gt;K1672),"FAIL","PASS"))</x:f>
        <x:v>OPEN</x:v>
      </x:c>
    </x:row>
    <x:row r="1673">
      <x:c r="B1673" s="7" t="str">
        <x:v>CAL-CH-PEA-B-Y3-14-5</x:v>
      </x:c>
      <x:c r="C1673" s="7" t="str">
        <x:v>CH-PEA-B-Y3-14-5</x:v>
      </x:c>
      <x:c r="D1673" s="7" t="str">
        <x:v>PEA-B-Y3</x:v>
      </x:c>
      <x:c r="E1673" s="7" t="str">
        <x:v>BLD-B</x:v>
      </x:c>
      <x:c r="F1673" s="7" t="str">
        <x:v>BL-Y</x:v>
      </x:c>
      <x:c r="G1673" s="7" t="str">
        <x:v>MF-14</x:v>
      </x:c>
      <x:c r="H1673" s="7" t="str"/>
      <x:c r="I1673" s="7" t="str"/>
      <x:c r="J1673" s="7" t="str">
        <x:f>IF(OR(H1673="",I1673=""),"",I1673-H1673)</x:f>
      </x:c>
      <x:c r="K1673" s="7" t="str"/>
      <x:c r="L1673" s="7" t="str"/>
      <x:c r="M1673" s="7" t="str">
        <x:f>IF(L1673="","OPEN",IF(OR(NOT(ISNUMBER(H1673)),NOT(ISNUMBER(I1673)),NOT(ISNUMBER(K1673)),ABS(J1673)&gt;K1673),"FAIL","PASS"))</x:f>
        <x:v>OPEN</x:v>
      </x:c>
    </x:row>
    <x:row r="1674">
      <x:c r="B1674" s="7" t="str">
        <x:v>CAL-CH-PEA-B-Y3-14-6</x:v>
      </x:c>
      <x:c r="C1674" s="7" t="str">
        <x:v>CH-PEA-B-Y3-14-6</x:v>
      </x:c>
      <x:c r="D1674" s="7" t="str">
        <x:v>PEA-B-Y3</x:v>
      </x:c>
      <x:c r="E1674" s="7" t="str">
        <x:v>BLD-B</x:v>
      </x:c>
      <x:c r="F1674" s="7" t="str">
        <x:v>BL-Y</x:v>
      </x:c>
      <x:c r="G1674" s="7" t="str">
        <x:v>MF-14</x:v>
      </x:c>
      <x:c r="H1674" s="7" t="str"/>
      <x:c r="I1674" s="7" t="str"/>
      <x:c r="J1674" s="7" t="str">
        <x:f>IF(OR(H1674="",I1674=""),"",I1674-H1674)</x:f>
      </x:c>
      <x:c r="K1674" s="7" t="str"/>
      <x:c r="L1674" s="7" t="str"/>
      <x:c r="M1674" s="7" t="str">
        <x:f>IF(L1674="","OPEN",IF(OR(NOT(ISNUMBER(H1674)),NOT(ISNUMBER(I1674)),NOT(ISNUMBER(K1674)),ABS(J1674)&gt;K1674),"FAIL","PASS"))</x:f>
        <x:v>OPEN</x:v>
      </x:c>
    </x:row>
    <x:row r="1675">
      <x:c r="B1675" s="7" t="str">
        <x:v>CAL-CH-PEA-B-Y3-15-1</x:v>
      </x:c>
      <x:c r="C1675" s="7" t="str">
        <x:v>CH-PEA-B-Y3-15-1</x:v>
      </x:c>
      <x:c r="D1675" s="7" t="str">
        <x:v>PEA-B-Y3</x:v>
      </x:c>
      <x:c r="E1675" s="7" t="str">
        <x:v>BLD-B</x:v>
      </x:c>
      <x:c r="F1675" s="7" t="str">
        <x:v>BL-Y</x:v>
      </x:c>
      <x:c r="G1675" s="7" t="str">
        <x:v>MF-15</x:v>
      </x:c>
      <x:c r="H1675" s="7" t="str"/>
      <x:c r="I1675" s="7" t="str"/>
      <x:c r="J1675" s="7" t="str">
        <x:f>IF(OR(H1675="",I1675=""),"",I1675-H1675)</x:f>
      </x:c>
      <x:c r="K1675" s="7" t="str"/>
      <x:c r="L1675" s="7" t="str"/>
      <x:c r="M1675" s="7" t="str">
        <x:f>IF(L1675="","OPEN",IF(OR(NOT(ISNUMBER(H1675)),NOT(ISNUMBER(I1675)),NOT(ISNUMBER(K1675)),ABS(J1675)&gt;K1675),"FAIL","PASS"))</x:f>
        <x:v>OPEN</x:v>
      </x:c>
    </x:row>
    <x:row r="1676">
      <x:c r="B1676" s="7" t="str">
        <x:v>CAL-CH-PEA-B-Y3-15-2</x:v>
      </x:c>
      <x:c r="C1676" s="7" t="str">
        <x:v>CH-PEA-B-Y3-15-2</x:v>
      </x:c>
      <x:c r="D1676" s="7" t="str">
        <x:v>PEA-B-Y3</x:v>
      </x:c>
      <x:c r="E1676" s="7" t="str">
        <x:v>BLD-B</x:v>
      </x:c>
      <x:c r="F1676" s="7" t="str">
        <x:v>BL-Y</x:v>
      </x:c>
      <x:c r="G1676" s="7" t="str">
        <x:v>MF-15</x:v>
      </x:c>
      <x:c r="H1676" s="7" t="str"/>
      <x:c r="I1676" s="7" t="str"/>
      <x:c r="J1676" s="7" t="str">
        <x:f>IF(OR(H1676="",I1676=""),"",I1676-H1676)</x:f>
      </x:c>
      <x:c r="K1676" s="7" t="str"/>
      <x:c r="L1676" s="7" t="str"/>
      <x:c r="M1676" s="7" t="str">
        <x:f>IF(L1676="","OPEN",IF(OR(NOT(ISNUMBER(H1676)),NOT(ISNUMBER(I1676)),NOT(ISNUMBER(K1676)),ABS(J1676)&gt;K1676),"FAIL","PASS"))</x:f>
        <x:v>OPEN</x:v>
      </x:c>
    </x:row>
    <x:row r="1677">
      <x:c r="B1677" s="7" t="str">
        <x:v>CAL-CH-PEA-B-Y3-15-3</x:v>
      </x:c>
      <x:c r="C1677" s="7" t="str">
        <x:v>CH-PEA-B-Y3-15-3</x:v>
      </x:c>
      <x:c r="D1677" s="7" t="str">
        <x:v>PEA-B-Y3</x:v>
      </x:c>
      <x:c r="E1677" s="7" t="str">
        <x:v>BLD-B</x:v>
      </x:c>
      <x:c r="F1677" s="7" t="str">
        <x:v>BL-Y</x:v>
      </x:c>
      <x:c r="G1677" s="7" t="str">
        <x:v>MF-15</x:v>
      </x:c>
      <x:c r="H1677" s="7" t="str"/>
      <x:c r="I1677" s="7" t="str"/>
      <x:c r="J1677" s="7" t="str">
        <x:f>IF(OR(H1677="",I1677=""),"",I1677-H1677)</x:f>
      </x:c>
      <x:c r="K1677" s="7" t="str"/>
      <x:c r="L1677" s="7" t="str"/>
      <x:c r="M1677" s="7" t="str">
        <x:f>IF(L1677="","OPEN",IF(OR(NOT(ISNUMBER(H1677)),NOT(ISNUMBER(I1677)),NOT(ISNUMBER(K1677)),ABS(J1677)&gt;K1677),"FAIL","PASS"))</x:f>
        <x:v>OPEN</x:v>
      </x:c>
    </x:row>
    <x:row r="1678">
      <x:c r="B1678" s="7" t="str">
        <x:v>CAL-CH-PEA-B-Y3-15-4</x:v>
      </x:c>
      <x:c r="C1678" s="7" t="str">
        <x:v>CH-PEA-B-Y3-15-4</x:v>
      </x:c>
      <x:c r="D1678" s="7" t="str">
        <x:v>PEA-B-Y3</x:v>
      </x:c>
      <x:c r="E1678" s="7" t="str">
        <x:v>BLD-B</x:v>
      </x:c>
      <x:c r="F1678" s="7" t="str">
        <x:v>BL-Y</x:v>
      </x:c>
      <x:c r="G1678" s="7" t="str">
        <x:v>MF-15</x:v>
      </x:c>
      <x:c r="H1678" s="7" t="str"/>
      <x:c r="I1678" s="7" t="str"/>
      <x:c r="J1678" s="7" t="str">
        <x:f>IF(OR(H1678="",I1678=""),"",I1678-H1678)</x:f>
      </x:c>
      <x:c r="K1678" s="7" t="str"/>
      <x:c r="L1678" s="7" t="str"/>
      <x:c r="M1678" s="7" t="str">
        <x:f>IF(L1678="","OPEN",IF(OR(NOT(ISNUMBER(H1678)),NOT(ISNUMBER(I1678)),NOT(ISNUMBER(K1678)),ABS(J1678)&gt;K1678),"FAIL","PASS"))</x:f>
        <x:v>OPEN</x:v>
      </x:c>
    </x:row>
    <x:row r="1679">
      <x:c r="B1679" s="7" t="str">
        <x:v>CAL-CH-PEA-B-Y3-15-5</x:v>
      </x:c>
      <x:c r="C1679" s="7" t="str">
        <x:v>CH-PEA-B-Y3-15-5</x:v>
      </x:c>
      <x:c r="D1679" s="7" t="str">
        <x:v>PEA-B-Y3</x:v>
      </x:c>
      <x:c r="E1679" s="7" t="str">
        <x:v>BLD-B</x:v>
      </x:c>
      <x:c r="F1679" s="7" t="str">
        <x:v>BL-Y</x:v>
      </x:c>
      <x:c r="G1679" s="7" t="str">
        <x:v>MF-15</x:v>
      </x:c>
      <x:c r="H1679" s="7" t="str"/>
      <x:c r="I1679" s="7" t="str"/>
      <x:c r="J1679" s="7" t="str">
        <x:f>IF(OR(H1679="",I1679=""),"",I1679-H1679)</x:f>
      </x:c>
      <x:c r="K1679" s="7" t="str"/>
      <x:c r="L1679" s="7" t="str"/>
      <x:c r="M1679" s="7" t="str">
        <x:f>IF(L1679="","OPEN",IF(OR(NOT(ISNUMBER(H1679)),NOT(ISNUMBER(I1679)),NOT(ISNUMBER(K1679)),ABS(J1679)&gt;K1679),"FAIL","PASS"))</x:f>
        <x:v>OPEN</x:v>
      </x:c>
    </x:row>
    <x:row r="1680">
      <x:c r="B1680" s="7" t="str">
        <x:v>CAL-CH-PEA-B-Y3-15-6</x:v>
      </x:c>
      <x:c r="C1680" s="7" t="str">
        <x:v>CH-PEA-B-Y3-15-6</x:v>
      </x:c>
      <x:c r="D1680" s="7" t="str">
        <x:v>PEA-B-Y3</x:v>
      </x:c>
      <x:c r="E1680" s="7" t="str">
        <x:v>BLD-B</x:v>
      </x:c>
      <x:c r="F1680" s="7" t="str">
        <x:v>BL-Y</x:v>
      </x:c>
      <x:c r="G1680" s="7" t="str">
        <x:v>MF-15</x:v>
      </x:c>
      <x:c r="H1680" s="7" t="str"/>
      <x:c r="I1680" s="7" t="str"/>
      <x:c r="J1680" s="7" t="str">
        <x:f>IF(OR(H1680="",I1680=""),"",I1680-H1680)</x:f>
      </x:c>
      <x:c r="K1680" s="7" t="str"/>
      <x:c r="L1680" s="7" t="str"/>
      <x:c r="M1680" s="7" t="str">
        <x:f>IF(L1680="","OPEN",IF(OR(NOT(ISNUMBER(H1680)),NOT(ISNUMBER(I1680)),NOT(ISNUMBER(K1680)),ABS(J1680)&gt;K1680),"FAIL","PASS"))</x:f>
        <x:v>OPEN</x:v>
      </x:c>
    </x:row>
    <x:row r="1681">
      <x:c r="B1681" s="7" t="str">
        <x:v>CAL-CH-PEA-B-Y3-16-1</x:v>
      </x:c>
      <x:c r="C1681" s="7" t="str">
        <x:v>CH-PEA-B-Y3-16-1</x:v>
      </x:c>
      <x:c r="D1681" s="7" t="str">
        <x:v>PEA-B-Y3</x:v>
      </x:c>
      <x:c r="E1681" s="7" t="str">
        <x:v>BLD-B</x:v>
      </x:c>
      <x:c r="F1681" s="7" t="str">
        <x:v>BL-Y</x:v>
      </x:c>
      <x:c r="G1681" s="7" t="str">
        <x:v>MF-16</x:v>
      </x:c>
      <x:c r="H1681" s="7" t="str"/>
      <x:c r="I1681" s="7" t="str"/>
      <x:c r="J1681" s="7" t="str">
        <x:f>IF(OR(H1681="",I1681=""),"",I1681-H1681)</x:f>
      </x:c>
      <x:c r="K1681" s="7" t="str"/>
      <x:c r="L1681" s="7" t="str"/>
      <x:c r="M1681" s="7" t="str">
        <x:f>IF(L1681="","OPEN",IF(OR(NOT(ISNUMBER(H1681)),NOT(ISNUMBER(I1681)),NOT(ISNUMBER(K1681)),ABS(J1681)&gt;K1681),"FAIL","PASS"))</x:f>
        <x:v>OPEN</x:v>
      </x:c>
    </x:row>
    <x:row r="1682">
      <x:c r="B1682" s="7" t="str">
        <x:v>CAL-CH-PEA-B-Y3-16-2</x:v>
      </x:c>
      <x:c r="C1682" s="7" t="str">
        <x:v>CH-PEA-B-Y3-16-2</x:v>
      </x:c>
      <x:c r="D1682" s="7" t="str">
        <x:v>PEA-B-Y3</x:v>
      </x:c>
      <x:c r="E1682" s="7" t="str">
        <x:v>BLD-B</x:v>
      </x:c>
      <x:c r="F1682" s="7" t="str">
        <x:v>BL-Y</x:v>
      </x:c>
      <x:c r="G1682" s="7" t="str">
        <x:v>MF-16</x:v>
      </x:c>
      <x:c r="H1682" s="7" t="str"/>
      <x:c r="I1682" s="7" t="str"/>
      <x:c r="J1682" s="7" t="str">
        <x:f>IF(OR(H1682="",I1682=""),"",I1682-H1682)</x:f>
      </x:c>
      <x:c r="K1682" s="7" t="str"/>
      <x:c r="L1682" s="7" t="str"/>
      <x:c r="M1682" s="7" t="str">
        <x:f>IF(L1682="","OPEN",IF(OR(NOT(ISNUMBER(H1682)),NOT(ISNUMBER(I1682)),NOT(ISNUMBER(K1682)),ABS(J1682)&gt;K1682),"FAIL","PASS"))</x:f>
        <x:v>OPEN</x:v>
      </x:c>
    </x:row>
    <x:row r="1683">
      <x:c r="B1683" s="7" t="str">
        <x:v>CAL-CH-PEA-B-Y3-16-3</x:v>
      </x:c>
      <x:c r="C1683" s="7" t="str">
        <x:v>CH-PEA-B-Y3-16-3</x:v>
      </x:c>
      <x:c r="D1683" s="7" t="str">
        <x:v>PEA-B-Y3</x:v>
      </x:c>
      <x:c r="E1683" s="7" t="str">
        <x:v>BLD-B</x:v>
      </x:c>
      <x:c r="F1683" s="7" t="str">
        <x:v>BL-Y</x:v>
      </x:c>
      <x:c r="G1683" s="7" t="str">
        <x:v>MF-16</x:v>
      </x:c>
      <x:c r="H1683" s="7" t="str"/>
      <x:c r="I1683" s="7" t="str"/>
      <x:c r="J1683" s="7" t="str">
        <x:f>IF(OR(H1683="",I1683=""),"",I1683-H1683)</x:f>
      </x:c>
      <x:c r="K1683" s="7" t="str"/>
      <x:c r="L1683" s="7" t="str"/>
      <x:c r="M1683" s="7" t="str">
        <x:f>IF(L1683="","OPEN",IF(OR(NOT(ISNUMBER(H1683)),NOT(ISNUMBER(I1683)),NOT(ISNUMBER(K1683)),ABS(J1683)&gt;K1683),"FAIL","PASS"))</x:f>
        <x:v>OPEN</x:v>
      </x:c>
    </x:row>
    <x:row r="1684">
      <x:c r="B1684" s="7" t="str">
        <x:v>CAL-CH-PEA-B-Y3-16-4</x:v>
      </x:c>
      <x:c r="C1684" s="7" t="str">
        <x:v>CH-PEA-B-Y3-16-4</x:v>
      </x:c>
      <x:c r="D1684" s="7" t="str">
        <x:v>PEA-B-Y3</x:v>
      </x:c>
      <x:c r="E1684" s="7" t="str">
        <x:v>BLD-B</x:v>
      </x:c>
      <x:c r="F1684" s="7" t="str">
        <x:v>BL-Y</x:v>
      </x:c>
      <x:c r="G1684" s="7" t="str">
        <x:v>MF-16</x:v>
      </x:c>
      <x:c r="H1684" s="7" t="str"/>
      <x:c r="I1684" s="7" t="str"/>
      <x:c r="J1684" s="7" t="str">
        <x:f>IF(OR(H1684="",I1684=""),"",I1684-H1684)</x:f>
      </x:c>
      <x:c r="K1684" s="7" t="str"/>
      <x:c r="L1684" s="7" t="str"/>
      <x:c r="M1684" s="7" t="str">
        <x:f>IF(L1684="","OPEN",IF(OR(NOT(ISNUMBER(H1684)),NOT(ISNUMBER(I1684)),NOT(ISNUMBER(K1684)),ABS(J1684)&gt;K1684),"FAIL","PASS"))</x:f>
        <x:v>OPEN</x:v>
      </x:c>
    </x:row>
    <x:row r="1685">
      <x:c r="B1685" s="7" t="str">
        <x:v>CAL-CH-PEA-B-Y3-16-5</x:v>
      </x:c>
      <x:c r="C1685" s="7" t="str">
        <x:v>CH-PEA-B-Y3-16-5</x:v>
      </x:c>
      <x:c r="D1685" s="7" t="str">
        <x:v>PEA-B-Y3</x:v>
      </x:c>
      <x:c r="E1685" s="7" t="str">
        <x:v>BLD-B</x:v>
      </x:c>
      <x:c r="F1685" s="7" t="str">
        <x:v>BL-Y</x:v>
      </x:c>
      <x:c r="G1685" s="7" t="str">
        <x:v>MF-16</x:v>
      </x:c>
      <x:c r="H1685" s="7" t="str"/>
      <x:c r="I1685" s="7" t="str"/>
      <x:c r="J1685" s="7" t="str">
        <x:f>IF(OR(H1685="",I1685=""),"",I1685-H1685)</x:f>
      </x:c>
      <x:c r="K1685" s="7" t="str"/>
      <x:c r="L1685" s="7" t="str"/>
      <x:c r="M1685" s="7" t="str">
        <x:f>IF(L1685="","OPEN",IF(OR(NOT(ISNUMBER(H1685)),NOT(ISNUMBER(I1685)),NOT(ISNUMBER(K1685)),ABS(J1685)&gt;K1685),"FAIL","PASS"))</x:f>
        <x:v>OPEN</x:v>
      </x:c>
    </x:row>
    <x:row r="1686">
      <x:c r="B1686" s="7" t="str">
        <x:v>CAL-CH-PEA-B-Y3-16-6</x:v>
      </x:c>
      <x:c r="C1686" s="7" t="str">
        <x:v>CH-PEA-B-Y3-16-6</x:v>
      </x:c>
      <x:c r="D1686" s="7" t="str">
        <x:v>PEA-B-Y3</x:v>
      </x:c>
      <x:c r="E1686" s="7" t="str">
        <x:v>BLD-B</x:v>
      </x:c>
      <x:c r="F1686" s="7" t="str">
        <x:v>BL-Y</x:v>
      </x:c>
      <x:c r="G1686" s="7" t="str">
        <x:v>MF-16</x:v>
      </x:c>
      <x:c r="H1686" s="7" t="str"/>
      <x:c r="I1686" s="7" t="str"/>
      <x:c r="J1686" s="7" t="str">
        <x:f>IF(OR(H1686="",I1686=""),"",I1686-H1686)</x:f>
      </x:c>
      <x:c r="K1686" s="7" t="str"/>
      <x:c r="L1686" s="7" t="str"/>
      <x:c r="M1686" s="7" t="str">
        <x:f>IF(L1686="","OPEN",IF(OR(NOT(ISNUMBER(H1686)),NOT(ISNUMBER(I1686)),NOT(ISNUMBER(K1686)),ABS(J1686)&gt;K1686),"FAIL","PASS"))</x:f>
        <x:v>OPEN</x:v>
      </x:c>
    </x:row>
    <x:row r="1687">
      <x:c r="B1687" s="7" t="str">
        <x:v>CAL-CH-PEA-B-Y3-17-1</x:v>
      </x:c>
      <x:c r="C1687" s="7" t="str">
        <x:v>CH-PEA-B-Y3-17-1</x:v>
      </x:c>
      <x:c r="D1687" s="7" t="str">
        <x:v>PEA-B-Y3</x:v>
      </x:c>
      <x:c r="E1687" s="7" t="str">
        <x:v>BLD-B</x:v>
      </x:c>
      <x:c r="F1687" s="7" t="str">
        <x:v>BL-Y</x:v>
      </x:c>
      <x:c r="G1687" s="7" t="str">
        <x:v>MF-17</x:v>
      </x:c>
      <x:c r="H1687" s="7" t="str"/>
      <x:c r="I1687" s="7" t="str"/>
      <x:c r="J1687" s="7" t="str">
        <x:f>IF(OR(H1687="",I1687=""),"",I1687-H1687)</x:f>
      </x:c>
      <x:c r="K1687" s="7" t="str"/>
      <x:c r="L1687" s="7" t="str"/>
      <x:c r="M1687" s="7" t="str">
        <x:f>IF(L1687="","OPEN",IF(OR(NOT(ISNUMBER(H1687)),NOT(ISNUMBER(I1687)),NOT(ISNUMBER(K1687)),ABS(J1687)&gt;K1687),"FAIL","PASS"))</x:f>
        <x:v>OPEN</x:v>
      </x:c>
    </x:row>
    <x:row r="1688">
      <x:c r="B1688" s="7" t="str">
        <x:v>CAL-CH-PEA-B-Y3-17-2</x:v>
      </x:c>
      <x:c r="C1688" s="7" t="str">
        <x:v>CH-PEA-B-Y3-17-2</x:v>
      </x:c>
      <x:c r="D1688" s="7" t="str">
        <x:v>PEA-B-Y3</x:v>
      </x:c>
      <x:c r="E1688" s="7" t="str">
        <x:v>BLD-B</x:v>
      </x:c>
      <x:c r="F1688" s="7" t="str">
        <x:v>BL-Y</x:v>
      </x:c>
      <x:c r="G1688" s="7" t="str">
        <x:v>MF-17</x:v>
      </x:c>
      <x:c r="H1688" s="7" t="str"/>
      <x:c r="I1688" s="7" t="str"/>
      <x:c r="J1688" s="7" t="str">
        <x:f>IF(OR(H1688="",I1688=""),"",I1688-H1688)</x:f>
      </x:c>
      <x:c r="K1688" s="7" t="str"/>
      <x:c r="L1688" s="7" t="str"/>
      <x:c r="M1688" s="7" t="str">
        <x:f>IF(L1688="","OPEN",IF(OR(NOT(ISNUMBER(H1688)),NOT(ISNUMBER(I1688)),NOT(ISNUMBER(K1688)),ABS(J1688)&gt;K1688),"FAIL","PASS"))</x:f>
        <x:v>OPEN</x:v>
      </x:c>
    </x:row>
    <x:row r="1689">
      <x:c r="B1689" s="7" t="str">
        <x:v>CAL-CH-PEA-B-Y3-17-3</x:v>
      </x:c>
      <x:c r="C1689" s="7" t="str">
        <x:v>CH-PEA-B-Y3-17-3</x:v>
      </x:c>
      <x:c r="D1689" s="7" t="str">
        <x:v>PEA-B-Y3</x:v>
      </x:c>
      <x:c r="E1689" s="7" t="str">
        <x:v>BLD-B</x:v>
      </x:c>
      <x:c r="F1689" s="7" t="str">
        <x:v>BL-Y</x:v>
      </x:c>
      <x:c r="G1689" s="7" t="str">
        <x:v>MF-17</x:v>
      </x:c>
      <x:c r="H1689" s="7" t="str"/>
      <x:c r="I1689" s="7" t="str"/>
      <x:c r="J1689" s="7" t="str">
        <x:f>IF(OR(H1689="",I1689=""),"",I1689-H1689)</x:f>
      </x:c>
      <x:c r="K1689" s="7" t="str"/>
      <x:c r="L1689" s="7" t="str"/>
      <x:c r="M1689" s="7" t="str">
        <x:f>IF(L1689="","OPEN",IF(OR(NOT(ISNUMBER(H1689)),NOT(ISNUMBER(I1689)),NOT(ISNUMBER(K1689)),ABS(J1689)&gt;K1689),"FAIL","PASS"))</x:f>
        <x:v>OPEN</x:v>
      </x:c>
    </x:row>
    <x:row r="1690">
      <x:c r="B1690" s="7" t="str">
        <x:v>CAL-CH-PEA-B-Y3-17-4</x:v>
      </x:c>
      <x:c r="C1690" s="7" t="str">
        <x:v>CH-PEA-B-Y3-17-4</x:v>
      </x:c>
      <x:c r="D1690" s="7" t="str">
        <x:v>PEA-B-Y3</x:v>
      </x:c>
      <x:c r="E1690" s="7" t="str">
        <x:v>BLD-B</x:v>
      </x:c>
      <x:c r="F1690" s="7" t="str">
        <x:v>BL-Y</x:v>
      </x:c>
      <x:c r="G1690" s="7" t="str">
        <x:v>MF-17</x:v>
      </x:c>
      <x:c r="H1690" s="7" t="str"/>
      <x:c r="I1690" s="7" t="str"/>
      <x:c r="J1690" s="7" t="str">
        <x:f>IF(OR(H1690="",I1690=""),"",I1690-H1690)</x:f>
      </x:c>
      <x:c r="K1690" s="7" t="str"/>
      <x:c r="L1690" s="7" t="str"/>
      <x:c r="M1690" s="7" t="str">
        <x:f>IF(L1690="","OPEN",IF(OR(NOT(ISNUMBER(H1690)),NOT(ISNUMBER(I1690)),NOT(ISNUMBER(K1690)),ABS(J1690)&gt;K1690),"FAIL","PASS"))</x:f>
        <x:v>OPEN</x:v>
      </x:c>
    </x:row>
    <x:row r="1691">
      <x:c r="B1691" s="7" t="str">
        <x:v>CAL-CH-PEA-B-Y3-17-5</x:v>
      </x:c>
      <x:c r="C1691" s="7" t="str">
        <x:v>CH-PEA-B-Y3-17-5</x:v>
      </x:c>
      <x:c r="D1691" s="7" t="str">
        <x:v>PEA-B-Y3</x:v>
      </x:c>
      <x:c r="E1691" s="7" t="str">
        <x:v>BLD-B</x:v>
      </x:c>
      <x:c r="F1691" s="7" t="str">
        <x:v>BL-Y</x:v>
      </x:c>
      <x:c r="G1691" s="7" t="str">
        <x:v>MF-17</x:v>
      </x:c>
      <x:c r="H1691" s="7" t="str"/>
      <x:c r="I1691" s="7" t="str"/>
      <x:c r="J1691" s="7" t="str">
        <x:f>IF(OR(H1691="",I1691=""),"",I1691-H1691)</x:f>
      </x:c>
      <x:c r="K1691" s="7" t="str"/>
      <x:c r="L1691" s="7" t="str"/>
      <x:c r="M1691" s="7" t="str">
        <x:f>IF(L1691="","OPEN",IF(OR(NOT(ISNUMBER(H1691)),NOT(ISNUMBER(I1691)),NOT(ISNUMBER(K1691)),ABS(J1691)&gt;K1691),"FAIL","PASS"))</x:f>
        <x:v>OPEN</x:v>
      </x:c>
    </x:row>
    <x:row r="1692">
      <x:c r="B1692" s="7" t="str">
        <x:v>CAL-CH-PEA-B-Y3-17-6</x:v>
      </x:c>
      <x:c r="C1692" s="7" t="str">
        <x:v>CH-PEA-B-Y3-17-6</x:v>
      </x:c>
      <x:c r="D1692" s="7" t="str">
        <x:v>PEA-B-Y3</x:v>
      </x:c>
      <x:c r="E1692" s="7" t="str">
        <x:v>BLD-B</x:v>
      </x:c>
      <x:c r="F1692" s="7" t="str">
        <x:v>BL-Y</x:v>
      </x:c>
      <x:c r="G1692" s="7" t="str">
        <x:v>MF-17</x:v>
      </x:c>
      <x:c r="H1692" s="7" t="str"/>
      <x:c r="I1692" s="7" t="str"/>
      <x:c r="J1692" s="7" t="str">
        <x:f>IF(OR(H1692="",I1692=""),"",I1692-H1692)</x:f>
      </x:c>
      <x:c r="K1692" s="7" t="str"/>
      <x:c r="L1692" s="7" t="str"/>
      <x:c r="M1692" s="7" t="str">
        <x:f>IF(L1692="","OPEN",IF(OR(NOT(ISNUMBER(H1692)),NOT(ISNUMBER(I1692)),NOT(ISNUMBER(K1692)),ABS(J1692)&gt;K1692),"FAIL","PASS"))</x:f>
        <x:v>OPEN</x:v>
      </x:c>
    </x:row>
    <x:row r="1693">
      <x:c r="B1693" s="7" t="str">
        <x:v>CAL-CH-PEA-B-Y3-18-1</x:v>
      </x:c>
      <x:c r="C1693" s="7" t="str">
        <x:v>CH-PEA-B-Y3-18-1</x:v>
      </x:c>
      <x:c r="D1693" s="7" t="str">
        <x:v>PEA-B-Y3</x:v>
      </x:c>
      <x:c r="E1693" s="7" t="str">
        <x:v>BLD-B</x:v>
      </x:c>
      <x:c r="F1693" s="7" t="str">
        <x:v>BL-Y</x:v>
      </x:c>
      <x:c r="G1693" s="7" t="str">
        <x:v>MF-18</x:v>
      </x:c>
      <x:c r="H1693" s="7" t="str"/>
      <x:c r="I1693" s="7" t="str"/>
      <x:c r="J1693" s="7" t="str">
        <x:f>IF(OR(H1693="",I1693=""),"",I1693-H1693)</x:f>
      </x:c>
      <x:c r="K1693" s="7" t="str"/>
      <x:c r="L1693" s="7" t="str"/>
      <x:c r="M1693" s="7" t="str">
        <x:f>IF(L1693="","OPEN",IF(OR(NOT(ISNUMBER(H1693)),NOT(ISNUMBER(I1693)),NOT(ISNUMBER(K1693)),ABS(J1693)&gt;K1693),"FAIL","PASS"))</x:f>
        <x:v>OPEN</x:v>
      </x:c>
    </x:row>
    <x:row r="1694">
      <x:c r="B1694" s="7" t="str">
        <x:v>CAL-CH-PEA-B-Y3-18-2</x:v>
      </x:c>
      <x:c r="C1694" s="7" t="str">
        <x:v>CH-PEA-B-Y3-18-2</x:v>
      </x:c>
      <x:c r="D1694" s="7" t="str">
        <x:v>PEA-B-Y3</x:v>
      </x:c>
      <x:c r="E1694" s="7" t="str">
        <x:v>BLD-B</x:v>
      </x:c>
      <x:c r="F1694" s="7" t="str">
        <x:v>BL-Y</x:v>
      </x:c>
      <x:c r="G1694" s="7" t="str">
        <x:v>MF-18</x:v>
      </x:c>
      <x:c r="H1694" s="7" t="str"/>
      <x:c r="I1694" s="7" t="str"/>
      <x:c r="J1694" s="7" t="str">
        <x:f>IF(OR(H1694="",I1694=""),"",I1694-H1694)</x:f>
      </x:c>
      <x:c r="K1694" s="7" t="str"/>
      <x:c r="L1694" s="7" t="str"/>
      <x:c r="M1694" s="7" t="str">
        <x:f>IF(L1694="","OPEN",IF(OR(NOT(ISNUMBER(H1694)),NOT(ISNUMBER(I1694)),NOT(ISNUMBER(K1694)),ABS(J1694)&gt;K1694),"FAIL","PASS"))</x:f>
        <x:v>OPEN</x:v>
      </x:c>
    </x:row>
    <x:row r="1695">
      <x:c r="B1695" s="7" t="str">
        <x:v>CAL-CH-PEA-B-Y3-18-3</x:v>
      </x:c>
      <x:c r="C1695" s="7" t="str">
        <x:v>CH-PEA-B-Y3-18-3</x:v>
      </x:c>
      <x:c r="D1695" s="7" t="str">
        <x:v>PEA-B-Y3</x:v>
      </x:c>
      <x:c r="E1695" s="7" t="str">
        <x:v>BLD-B</x:v>
      </x:c>
      <x:c r="F1695" s="7" t="str">
        <x:v>BL-Y</x:v>
      </x:c>
      <x:c r="G1695" s="7" t="str">
        <x:v>MF-18</x:v>
      </x:c>
      <x:c r="H1695" s="7" t="str"/>
      <x:c r="I1695" s="7" t="str"/>
      <x:c r="J1695" s="7" t="str">
        <x:f>IF(OR(H1695="",I1695=""),"",I1695-H1695)</x:f>
      </x:c>
      <x:c r="K1695" s="7" t="str"/>
      <x:c r="L1695" s="7" t="str"/>
      <x:c r="M1695" s="7" t="str">
        <x:f>IF(L1695="","OPEN",IF(OR(NOT(ISNUMBER(H1695)),NOT(ISNUMBER(I1695)),NOT(ISNUMBER(K1695)),ABS(J1695)&gt;K1695),"FAIL","PASS"))</x:f>
        <x:v>OPEN</x:v>
      </x:c>
    </x:row>
    <x:row r="1696">
      <x:c r="B1696" s="7" t="str">
        <x:v>CAL-CH-PEA-B-Y3-18-4</x:v>
      </x:c>
      <x:c r="C1696" s="7" t="str">
        <x:v>CH-PEA-B-Y3-18-4</x:v>
      </x:c>
      <x:c r="D1696" s="7" t="str">
        <x:v>PEA-B-Y3</x:v>
      </x:c>
      <x:c r="E1696" s="7" t="str">
        <x:v>BLD-B</x:v>
      </x:c>
      <x:c r="F1696" s="7" t="str">
        <x:v>BL-Y</x:v>
      </x:c>
      <x:c r="G1696" s="7" t="str">
        <x:v>MF-18</x:v>
      </x:c>
      <x:c r="H1696" s="7" t="str"/>
      <x:c r="I1696" s="7" t="str"/>
      <x:c r="J1696" s="7" t="str">
        <x:f>IF(OR(H1696="",I1696=""),"",I1696-H1696)</x:f>
      </x:c>
      <x:c r="K1696" s="7" t="str"/>
      <x:c r="L1696" s="7" t="str"/>
      <x:c r="M1696" s="7" t="str">
        <x:f>IF(L1696="","OPEN",IF(OR(NOT(ISNUMBER(H1696)),NOT(ISNUMBER(I1696)),NOT(ISNUMBER(K1696)),ABS(J1696)&gt;K1696),"FAIL","PASS"))</x:f>
        <x:v>OPEN</x:v>
      </x:c>
    </x:row>
    <x:row r="1697">
      <x:c r="B1697" s="7" t="str">
        <x:v>CAL-CH-PEA-B-Y3-18-5</x:v>
      </x:c>
      <x:c r="C1697" s="7" t="str">
        <x:v>CH-PEA-B-Y3-18-5</x:v>
      </x:c>
      <x:c r="D1697" s="7" t="str">
        <x:v>PEA-B-Y3</x:v>
      </x:c>
      <x:c r="E1697" s="7" t="str">
        <x:v>BLD-B</x:v>
      </x:c>
      <x:c r="F1697" s="7" t="str">
        <x:v>BL-Y</x:v>
      </x:c>
      <x:c r="G1697" s="7" t="str">
        <x:v>MF-18</x:v>
      </x:c>
      <x:c r="H1697" s="7" t="str"/>
      <x:c r="I1697" s="7" t="str"/>
      <x:c r="J1697" s="7" t="str">
        <x:f>IF(OR(H1697="",I1697=""),"",I1697-H1697)</x:f>
      </x:c>
      <x:c r="K1697" s="7" t="str"/>
      <x:c r="L1697" s="7" t="str"/>
      <x:c r="M1697" s="7" t="str">
        <x:f>IF(L1697="","OPEN",IF(OR(NOT(ISNUMBER(H1697)),NOT(ISNUMBER(I1697)),NOT(ISNUMBER(K1697)),ABS(J1697)&gt;K1697),"FAIL","PASS"))</x:f>
        <x:v>OPEN</x:v>
      </x:c>
    </x:row>
    <x:row r="1698">
      <x:c r="B1698" s="7" t="str">
        <x:v>CAL-CH-PEA-B-Y3-18-6</x:v>
      </x:c>
      <x:c r="C1698" s="7" t="str">
        <x:v>CH-PEA-B-Y3-18-6</x:v>
      </x:c>
      <x:c r="D1698" s="7" t="str">
        <x:v>PEA-B-Y3</x:v>
      </x:c>
      <x:c r="E1698" s="7" t="str">
        <x:v>BLD-B</x:v>
      </x:c>
      <x:c r="F1698" s="7" t="str">
        <x:v>BL-Y</x:v>
      </x:c>
      <x:c r="G1698" s="7" t="str">
        <x:v>MF-18</x:v>
      </x:c>
      <x:c r="H1698" s="7" t="str"/>
      <x:c r="I1698" s="7" t="str"/>
      <x:c r="J1698" s="7" t="str">
        <x:f>IF(OR(H1698="",I1698=""),"",I1698-H1698)</x:f>
      </x:c>
      <x:c r="K1698" s="7" t="str"/>
      <x:c r="L1698" s="7" t="str"/>
      <x:c r="M1698" s="7" t="str">
        <x:f>IF(L1698="","OPEN",IF(OR(NOT(ISNUMBER(H1698)),NOT(ISNUMBER(I1698)),NOT(ISNUMBER(K1698)),ABS(J1698)&gt;K1698),"FAIL","PASS"))</x:f>
        <x:v>OPEN</x:v>
      </x:c>
    </x:row>
    <x:row r="1699">
      <x:c r="B1699" s="7" t="str">
        <x:v>CAL-CH-PEA-B-Y3-19-1</x:v>
      </x:c>
      <x:c r="C1699" s="7" t="str">
        <x:v>CH-PEA-B-Y3-19-1</x:v>
      </x:c>
      <x:c r="D1699" s="7" t="str">
        <x:v>PEA-B-Y3</x:v>
      </x:c>
      <x:c r="E1699" s="7" t="str">
        <x:v>BLD-B</x:v>
      </x:c>
      <x:c r="F1699" s="7" t="str">
        <x:v>BL-Y</x:v>
      </x:c>
      <x:c r="G1699" s="7" t="str">
        <x:v>MF-19</x:v>
      </x:c>
      <x:c r="H1699" s="7" t="str"/>
      <x:c r="I1699" s="7" t="str"/>
      <x:c r="J1699" s="7" t="str">
        <x:f>IF(OR(H1699="",I1699=""),"",I1699-H1699)</x:f>
      </x:c>
      <x:c r="K1699" s="7" t="str"/>
      <x:c r="L1699" s="7" t="str"/>
      <x:c r="M1699" s="7" t="str">
        <x:f>IF(L1699="","OPEN",IF(OR(NOT(ISNUMBER(H1699)),NOT(ISNUMBER(I1699)),NOT(ISNUMBER(K1699)),ABS(J1699)&gt;K1699),"FAIL","PASS"))</x:f>
        <x:v>OPEN</x:v>
      </x:c>
    </x:row>
    <x:row r="1700">
      <x:c r="B1700" s="7" t="str">
        <x:v>CAL-CH-PEA-B-Y3-19-2</x:v>
      </x:c>
      <x:c r="C1700" s="7" t="str">
        <x:v>CH-PEA-B-Y3-19-2</x:v>
      </x:c>
      <x:c r="D1700" s="7" t="str">
        <x:v>PEA-B-Y3</x:v>
      </x:c>
      <x:c r="E1700" s="7" t="str">
        <x:v>BLD-B</x:v>
      </x:c>
      <x:c r="F1700" s="7" t="str">
        <x:v>BL-Y</x:v>
      </x:c>
      <x:c r="G1700" s="7" t="str">
        <x:v>MF-19</x:v>
      </x:c>
      <x:c r="H1700" s="7" t="str"/>
      <x:c r="I1700" s="7" t="str"/>
      <x:c r="J1700" s="7" t="str">
        <x:f>IF(OR(H1700="",I1700=""),"",I1700-H1700)</x:f>
      </x:c>
      <x:c r="K1700" s="7" t="str"/>
      <x:c r="L1700" s="7" t="str"/>
      <x:c r="M1700" s="7" t="str">
        <x:f>IF(L1700="","OPEN",IF(OR(NOT(ISNUMBER(H1700)),NOT(ISNUMBER(I1700)),NOT(ISNUMBER(K1700)),ABS(J1700)&gt;K1700),"FAIL","PASS"))</x:f>
        <x:v>OPEN</x:v>
      </x:c>
    </x:row>
    <x:row r="1701">
      <x:c r="B1701" s="7" t="str">
        <x:v>CAL-CH-PEA-B-Y3-19-3</x:v>
      </x:c>
      <x:c r="C1701" s="7" t="str">
        <x:v>CH-PEA-B-Y3-19-3</x:v>
      </x:c>
      <x:c r="D1701" s="7" t="str">
        <x:v>PEA-B-Y3</x:v>
      </x:c>
      <x:c r="E1701" s="7" t="str">
        <x:v>BLD-B</x:v>
      </x:c>
      <x:c r="F1701" s="7" t="str">
        <x:v>BL-Y</x:v>
      </x:c>
      <x:c r="G1701" s="7" t="str">
        <x:v>MF-19</x:v>
      </x:c>
      <x:c r="H1701" s="7" t="str"/>
      <x:c r="I1701" s="7" t="str"/>
      <x:c r="J1701" s="7" t="str">
        <x:f>IF(OR(H1701="",I1701=""),"",I1701-H1701)</x:f>
      </x:c>
      <x:c r="K1701" s="7" t="str"/>
      <x:c r="L1701" s="7" t="str"/>
      <x:c r="M1701" s="7" t="str">
        <x:f>IF(L1701="","OPEN",IF(OR(NOT(ISNUMBER(H1701)),NOT(ISNUMBER(I1701)),NOT(ISNUMBER(K1701)),ABS(J1701)&gt;K1701),"FAIL","PASS"))</x:f>
        <x:v>OPEN</x:v>
      </x:c>
    </x:row>
    <x:row r="1702">
      <x:c r="B1702" s="7" t="str">
        <x:v>CAL-CH-PEA-B-Y3-19-4</x:v>
      </x:c>
      <x:c r="C1702" s="7" t="str">
        <x:v>CH-PEA-B-Y3-19-4</x:v>
      </x:c>
      <x:c r="D1702" s="7" t="str">
        <x:v>PEA-B-Y3</x:v>
      </x:c>
      <x:c r="E1702" s="7" t="str">
        <x:v>BLD-B</x:v>
      </x:c>
      <x:c r="F1702" s="7" t="str">
        <x:v>BL-Y</x:v>
      </x:c>
      <x:c r="G1702" s="7" t="str">
        <x:v>MF-19</x:v>
      </x:c>
      <x:c r="H1702" s="7" t="str"/>
      <x:c r="I1702" s="7" t="str"/>
      <x:c r="J1702" s="7" t="str">
        <x:f>IF(OR(H1702="",I1702=""),"",I1702-H1702)</x:f>
      </x:c>
      <x:c r="K1702" s="7" t="str"/>
      <x:c r="L1702" s="7" t="str"/>
      <x:c r="M1702" s="7" t="str">
        <x:f>IF(L1702="","OPEN",IF(OR(NOT(ISNUMBER(H1702)),NOT(ISNUMBER(I1702)),NOT(ISNUMBER(K1702)),ABS(J1702)&gt;K1702),"FAIL","PASS"))</x:f>
        <x:v>OPEN</x:v>
      </x:c>
    </x:row>
    <x:row r="1703">
      <x:c r="B1703" s="7" t="str">
        <x:v>CAL-CH-PEA-B-Y3-19-5</x:v>
      </x:c>
      <x:c r="C1703" s="7" t="str">
        <x:v>CH-PEA-B-Y3-19-5</x:v>
      </x:c>
      <x:c r="D1703" s="7" t="str">
        <x:v>PEA-B-Y3</x:v>
      </x:c>
      <x:c r="E1703" s="7" t="str">
        <x:v>BLD-B</x:v>
      </x:c>
      <x:c r="F1703" s="7" t="str">
        <x:v>BL-Y</x:v>
      </x:c>
      <x:c r="G1703" s="7" t="str">
        <x:v>MF-19</x:v>
      </x:c>
      <x:c r="H1703" s="7" t="str"/>
      <x:c r="I1703" s="7" t="str"/>
      <x:c r="J1703" s="7" t="str">
        <x:f>IF(OR(H1703="",I1703=""),"",I1703-H1703)</x:f>
      </x:c>
      <x:c r="K1703" s="7" t="str"/>
      <x:c r="L1703" s="7" t="str"/>
      <x:c r="M1703" s="7" t="str">
        <x:f>IF(L1703="","OPEN",IF(OR(NOT(ISNUMBER(H1703)),NOT(ISNUMBER(I1703)),NOT(ISNUMBER(K1703)),ABS(J1703)&gt;K1703),"FAIL","PASS"))</x:f>
        <x:v>OPEN</x:v>
      </x:c>
    </x:row>
    <x:row r="1704">
      <x:c r="B1704" s="7" t="str">
        <x:v>CAL-CH-PEA-B-Y3-19-6</x:v>
      </x:c>
      <x:c r="C1704" s="7" t="str">
        <x:v>CH-PEA-B-Y3-19-6</x:v>
      </x:c>
      <x:c r="D1704" s="7" t="str">
        <x:v>PEA-B-Y3</x:v>
      </x:c>
      <x:c r="E1704" s="7" t="str">
        <x:v>BLD-B</x:v>
      </x:c>
      <x:c r="F1704" s="7" t="str">
        <x:v>BL-Y</x:v>
      </x:c>
      <x:c r="G1704" s="7" t="str">
        <x:v>MF-19</x:v>
      </x:c>
      <x:c r="H1704" s="7" t="str"/>
      <x:c r="I1704" s="7" t="str"/>
      <x:c r="J1704" s="7" t="str">
        <x:f>IF(OR(H1704="",I1704=""),"",I1704-H1704)</x:f>
      </x:c>
      <x:c r="K1704" s="7" t="str"/>
      <x:c r="L1704" s="7" t="str"/>
      <x:c r="M1704" s="7" t="str">
        <x:f>IF(L1704="","OPEN",IF(OR(NOT(ISNUMBER(H1704)),NOT(ISNUMBER(I1704)),NOT(ISNUMBER(K1704)),ABS(J1704)&gt;K1704),"FAIL","PASS"))</x:f>
        <x:v>OPEN</x:v>
      </x:c>
    </x:row>
    <x:row r="1705">
      <x:c r="B1705" s="7" t="str">
        <x:v>CAL-CH-PEA-B-Y3-20-1</x:v>
      </x:c>
      <x:c r="C1705" s="7" t="str">
        <x:v>CH-PEA-B-Y3-20-1</x:v>
      </x:c>
      <x:c r="D1705" s="7" t="str">
        <x:v>PEA-B-Y3</x:v>
      </x:c>
      <x:c r="E1705" s="7" t="str">
        <x:v>BLD-B</x:v>
      </x:c>
      <x:c r="F1705" s="7" t="str">
        <x:v>BL-Y</x:v>
      </x:c>
      <x:c r="G1705" s="7" t="str">
        <x:v>MF-20</x:v>
      </x:c>
      <x:c r="H1705" s="7" t="str"/>
      <x:c r="I1705" s="7" t="str"/>
      <x:c r="J1705" s="7" t="str">
        <x:f>IF(OR(H1705="",I1705=""),"",I1705-H1705)</x:f>
      </x:c>
      <x:c r="K1705" s="7" t="str"/>
      <x:c r="L1705" s="7" t="str"/>
      <x:c r="M1705" s="7" t="str">
        <x:f>IF(L1705="","OPEN",IF(OR(NOT(ISNUMBER(H1705)),NOT(ISNUMBER(I1705)),NOT(ISNUMBER(K1705)),ABS(J1705)&gt;K1705),"FAIL","PASS"))</x:f>
        <x:v>OPEN</x:v>
      </x:c>
    </x:row>
    <x:row r="1706">
      <x:c r="B1706" s="7" t="str">
        <x:v>CAL-CH-PEA-B-Y3-20-2</x:v>
      </x:c>
      <x:c r="C1706" s="7" t="str">
        <x:v>CH-PEA-B-Y3-20-2</x:v>
      </x:c>
      <x:c r="D1706" s="7" t="str">
        <x:v>PEA-B-Y3</x:v>
      </x:c>
      <x:c r="E1706" s="7" t="str">
        <x:v>BLD-B</x:v>
      </x:c>
      <x:c r="F1706" s="7" t="str">
        <x:v>BL-Y</x:v>
      </x:c>
      <x:c r="G1706" s="7" t="str">
        <x:v>MF-20</x:v>
      </x:c>
      <x:c r="H1706" s="7" t="str"/>
      <x:c r="I1706" s="7" t="str"/>
      <x:c r="J1706" s="7" t="str">
        <x:f>IF(OR(H1706="",I1706=""),"",I1706-H1706)</x:f>
      </x:c>
      <x:c r="K1706" s="7" t="str"/>
      <x:c r="L1706" s="7" t="str"/>
      <x:c r="M1706" s="7" t="str">
        <x:f>IF(L1706="","OPEN",IF(OR(NOT(ISNUMBER(H1706)),NOT(ISNUMBER(I1706)),NOT(ISNUMBER(K1706)),ABS(J1706)&gt;K1706),"FAIL","PASS"))</x:f>
        <x:v>OPEN</x:v>
      </x:c>
    </x:row>
    <x:row r="1707">
      <x:c r="B1707" s="7" t="str">
        <x:v>CAL-CH-PEA-B-Y3-20-3</x:v>
      </x:c>
      <x:c r="C1707" s="7" t="str">
        <x:v>CH-PEA-B-Y3-20-3</x:v>
      </x:c>
      <x:c r="D1707" s="7" t="str">
        <x:v>PEA-B-Y3</x:v>
      </x:c>
      <x:c r="E1707" s="7" t="str">
        <x:v>BLD-B</x:v>
      </x:c>
      <x:c r="F1707" s="7" t="str">
        <x:v>BL-Y</x:v>
      </x:c>
      <x:c r="G1707" s="7" t="str">
        <x:v>MF-20</x:v>
      </x:c>
      <x:c r="H1707" s="7" t="str"/>
      <x:c r="I1707" s="7" t="str"/>
      <x:c r="J1707" s="7" t="str">
        <x:f>IF(OR(H1707="",I1707=""),"",I1707-H1707)</x:f>
      </x:c>
      <x:c r="K1707" s="7" t="str"/>
      <x:c r="L1707" s="7" t="str"/>
      <x:c r="M1707" s="7" t="str">
        <x:f>IF(L1707="","OPEN",IF(OR(NOT(ISNUMBER(H1707)),NOT(ISNUMBER(I1707)),NOT(ISNUMBER(K1707)),ABS(J1707)&gt;K1707),"FAIL","PASS"))</x:f>
        <x:v>OPEN</x:v>
      </x:c>
    </x:row>
    <x:row r="1708">
      <x:c r="B1708" s="7" t="str">
        <x:v>CAL-CH-PEA-B-Y3-20-4</x:v>
      </x:c>
      <x:c r="C1708" s="7" t="str">
        <x:v>CH-PEA-B-Y3-20-4</x:v>
      </x:c>
      <x:c r="D1708" s="7" t="str">
        <x:v>PEA-B-Y3</x:v>
      </x:c>
      <x:c r="E1708" s="7" t="str">
        <x:v>BLD-B</x:v>
      </x:c>
      <x:c r="F1708" s="7" t="str">
        <x:v>BL-Y</x:v>
      </x:c>
      <x:c r="G1708" s="7" t="str">
        <x:v>MF-20</x:v>
      </x:c>
      <x:c r="H1708" s="7" t="str"/>
      <x:c r="I1708" s="7" t="str"/>
      <x:c r="J1708" s="7" t="str">
        <x:f>IF(OR(H1708="",I1708=""),"",I1708-H1708)</x:f>
      </x:c>
      <x:c r="K1708" s="7" t="str"/>
      <x:c r="L1708" s="7" t="str"/>
      <x:c r="M1708" s="7" t="str">
        <x:f>IF(L1708="","OPEN",IF(OR(NOT(ISNUMBER(H1708)),NOT(ISNUMBER(I1708)),NOT(ISNUMBER(K1708)),ABS(J1708)&gt;K1708),"FAIL","PASS"))</x:f>
        <x:v>OPEN</x:v>
      </x:c>
    </x:row>
    <x:row r="1709">
      <x:c r="B1709" s="7" t="str">
        <x:v>CAL-CH-PEA-B-Y3-20-5</x:v>
      </x:c>
      <x:c r="C1709" s="7" t="str">
        <x:v>CH-PEA-B-Y3-20-5</x:v>
      </x:c>
      <x:c r="D1709" s="7" t="str">
        <x:v>PEA-B-Y3</x:v>
      </x:c>
      <x:c r="E1709" s="7" t="str">
        <x:v>BLD-B</x:v>
      </x:c>
      <x:c r="F1709" s="7" t="str">
        <x:v>BL-Y</x:v>
      </x:c>
      <x:c r="G1709" s="7" t="str">
        <x:v>MF-20</x:v>
      </x:c>
      <x:c r="H1709" s="7" t="str"/>
      <x:c r="I1709" s="7" t="str"/>
      <x:c r="J1709" s="7" t="str">
        <x:f>IF(OR(H1709="",I1709=""),"",I1709-H1709)</x:f>
      </x:c>
      <x:c r="K1709" s="7" t="str"/>
      <x:c r="L1709" s="7" t="str"/>
      <x:c r="M1709" s="7" t="str">
        <x:f>IF(L1709="","OPEN",IF(OR(NOT(ISNUMBER(H1709)),NOT(ISNUMBER(I1709)),NOT(ISNUMBER(K1709)),ABS(J1709)&gt;K1709),"FAIL","PASS"))</x:f>
        <x:v>OPEN</x:v>
      </x:c>
    </x:row>
    <x:row r="1710">
      <x:c r="B1710" s="7" t="str">
        <x:v>CAL-CH-PEA-B-Y3-20-6</x:v>
      </x:c>
      <x:c r="C1710" s="7" t="str">
        <x:v>CH-PEA-B-Y3-20-6</x:v>
      </x:c>
      <x:c r="D1710" s="7" t="str">
        <x:v>PEA-B-Y3</x:v>
      </x:c>
      <x:c r="E1710" s="7" t="str">
        <x:v>BLD-B</x:v>
      </x:c>
      <x:c r="F1710" s="7" t="str">
        <x:v>BL-Y</x:v>
      </x:c>
      <x:c r="G1710" s="7" t="str">
        <x:v>MF-20</x:v>
      </x:c>
      <x:c r="H1710" s="7" t="str"/>
      <x:c r="I1710" s="7" t="str"/>
      <x:c r="J1710" s="7" t="str">
        <x:f>IF(OR(H1710="",I1710=""),"",I1710-H1710)</x:f>
      </x:c>
      <x:c r="K1710" s="7" t="str"/>
      <x:c r="L1710" s="7" t="str"/>
      <x:c r="M1710" s="7" t="str">
        <x:f>IF(L1710="","OPEN",IF(OR(NOT(ISNUMBER(H1710)),NOT(ISNUMBER(I1710)),NOT(ISNUMBER(K1710)),ABS(J1710)&gt;K1710),"FAIL","PASS"))</x:f>
        <x:v>OPEN</x:v>
      </x:c>
    </x:row>
    <x:row r="1711">
      <x:c r="B1711" s="7" t="str">
        <x:v>CAL-CH-PEA-B-Y3-21-1</x:v>
      </x:c>
      <x:c r="C1711" s="7" t="str">
        <x:v>CH-PEA-B-Y3-21-1</x:v>
      </x:c>
      <x:c r="D1711" s="7" t="str">
        <x:v>PEA-B-Y3</x:v>
      </x:c>
      <x:c r="E1711" s="7" t="str">
        <x:v>BLD-B</x:v>
      </x:c>
      <x:c r="F1711" s="7" t="str">
        <x:v>BL-Y</x:v>
      </x:c>
      <x:c r="G1711" s="7" t="str">
        <x:v>MF-21</x:v>
      </x:c>
      <x:c r="H1711" s="7" t="str"/>
      <x:c r="I1711" s="7" t="str"/>
      <x:c r="J1711" s="7" t="str">
        <x:f>IF(OR(H1711="",I1711=""),"",I1711-H1711)</x:f>
      </x:c>
      <x:c r="K1711" s="7" t="str"/>
      <x:c r="L1711" s="7" t="str"/>
      <x:c r="M1711" s="7" t="str">
        <x:f>IF(L1711="","OPEN",IF(OR(NOT(ISNUMBER(H1711)),NOT(ISNUMBER(I1711)),NOT(ISNUMBER(K1711)),ABS(J1711)&gt;K1711),"FAIL","PASS"))</x:f>
        <x:v>OPEN</x:v>
      </x:c>
    </x:row>
    <x:row r="1712">
      <x:c r="B1712" s="7" t="str">
        <x:v>CAL-CH-PEA-B-Y3-21-2</x:v>
      </x:c>
      <x:c r="C1712" s="7" t="str">
        <x:v>CH-PEA-B-Y3-21-2</x:v>
      </x:c>
      <x:c r="D1712" s="7" t="str">
        <x:v>PEA-B-Y3</x:v>
      </x:c>
      <x:c r="E1712" s="7" t="str">
        <x:v>BLD-B</x:v>
      </x:c>
      <x:c r="F1712" s="7" t="str">
        <x:v>BL-Y</x:v>
      </x:c>
      <x:c r="G1712" s="7" t="str">
        <x:v>MF-21</x:v>
      </x:c>
      <x:c r="H1712" s="7" t="str"/>
      <x:c r="I1712" s="7" t="str"/>
      <x:c r="J1712" s="7" t="str">
        <x:f>IF(OR(H1712="",I1712=""),"",I1712-H1712)</x:f>
      </x:c>
      <x:c r="K1712" s="7" t="str"/>
      <x:c r="L1712" s="7" t="str"/>
      <x:c r="M1712" s="7" t="str">
        <x:f>IF(L1712="","OPEN",IF(OR(NOT(ISNUMBER(H1712)),NOT(ISNUMBER(I1712)),NOT(ISNUMBER(K1712)),ABS(J1712)&gt;K1712),"FAIL","PASS"))</x:f>
        <x:v>OPEN</x:v>
      </x:c>
    </x:row>
    <x:row r="1713">
      <x:c r="B1713" s="7" t="str">
        <x:v>CAL-CH-PEA-B-Y3-21-3</x:v>
      </x:c>
      <x:c r="C1713" s="7" t="str">
        <x:v>CH-PEA-B-Y3-21-3</x:v>
      </x:c>
      <x:c r="D1713" s="7" t="str">
        <x:v>PEA-B-Y3</x:v>
      </x:c>
      <x:c r="E1713" s="7" t="str">
        <x:v>BLD-B</x:v>
      </x:c>
      <x:c r="F1713" s="7" t="str">
        <x:v>BL-Y</x:v>
      </x:c>
      <x:c r="G1713" s="7" t="str">
        <x:v>MF-21</x:v>
      </x:c>
      <x:c r="H1713" s="7" t="str"/>
      <x:c r="I1713" s="7" t="str"/>
      <x:c r="J1713" s="7" t="str">
        <x:f>IF(OR(H1713="",I1713=""),"",I1713-H1713)</x:f>
      </x:c>
      <x:c r="K1713" s="7" t="str"/>
      <x:c r="L1713" s="7" t="str"/>
      <x:c r="M1713" s="7" t="str">
        <x:f>IF(L1713="","OPEN",IF(OR(NOT(ISNUMBER(H1713)),NOT(ISNUMBER(I1713)),NOT(ISNUMBER(K1713)),ABS(J1713)&gt;K1713),"FAIL","PASS"))</x:f>
        <x:v>OPEN</x:v>
      </x:c>
    </x:row>
    <x:row r="1714">
      <x:c r="B1714" s="7" t="str">
        <x:v>CAL-CH-PEA-B-Y3-21-4</x:v>
      </x:c>
      <x:c r="C1714" s="7" t="str">
        <x:v>CH-PEA-B-Y3-21-4</x:v>
      </x:c>
      <x:c r="D1714" s="7" t="str">
        <x:v>PEA-B-Y3</x:v>
      </x:c>
      <x:c r="E1714" s="7" t="str">
        <x:v>BLD-B</x:v>
      </x:c>
      <x:c r="F1714" s="7" t="str">
        <x:v>BL-Y</x:v>
      </x:c>
      <x:c r="G1714" s="7" t="str">
        <x:v>MF-21</x:v>
      </x:c>
      <x:c r="H1714" s="7" t="str"/>
      <x:c r="I1714" s="7" t="str"/>
      <x:c r="J1714" s="7" t="str">
        <x:f>IF(OR(H1714="",I1714=""),"",I1714-H1714)</x:f>
      </x:c>
      <x:c r="K1714" s="7" t="str"/>
      <x:c r="L1714" s="7" t="str"/>
      <x:c r="M1714" s="7" t="str">
        <x:f>IF(L1714="","OPEN",IF(OR(NOT(ISNUMBER(H1714)),NOT(ISNUMBER(I1714)),NOT(ISNUMBER(K1714)),ABS(J1714)&gt;K1714),"FAIL","PASS"))</x:f>
        <x:v>OPEN</x:v>
      </x:c>
    </x:row>
    <x:row r="1715">
      <x:c r="B1715" s="7" t="str">
        <x:v>CAL-CH-PEA-B-Y3-21-5</x:v>
      </x:c>
      <x:c r="C1715" s="7" t="str">
        <x:v>CH-PEA-B-Y3-21-5</x:v>
      </x:c>
      <x:c r="D1715" s="7" t="str">
        <x:v>PEA-B-Y3</x:v>
      </x:c>
      <x:c r="E1715" s="7" t="str">
        <x:v>BLD-B</x:v>
      </x:c>
      <x:c r="F1715" s="7" t="str">
        <x:v>BL-Y</x:v>
      </x:c>
      <x:c r="G1715" s="7" t="str">
        <x:v>MF-21</x:v>
      </x:c>
      <x:c r="H1715" s="7" t="str"/>
      <x:c r="I1715" s="7" t="str"/>
      <x:c r="J1715" s="7" t="str">
        <x:f>IF(OR(H1715="",I1715=""),"",I1715-H1715)</x:f>
      </x:c>
      <x:c r="K1715" s="7" t="str"/>
      <x:c r="L1715" s="7" t="str"/>
      <x:c r="M1715" s="7" t="str">
        <x:f>IF(L1715="","OPEN",IF(OR(NOT(ISNUMBER(H1715)),NOT(ISNUMBER(I1715)),NOT(ISNUMBER(K1715)),ABS(J1715)&gt;K1715),"FAIL","PASS"))</x:f>
        <x:v>OPEN</x:v>
      </x:c>
    </x:row>
    <x:row r="1716">
      <x:c r="B1716" s="7" t="str">
        <x:v>CAL-CH-PEA-B-Y3-21-6</x:v>
      </x:c>
      <x:c r="C1716" s="7" t="str">
        <x:v>CH-PEA-B-Y3-21-6</x:v>
      </x:c>
      <x:c r="D1716" s="7" t="str">
        <x:v>PEA-B-Y3</x:v>
      </x:c>
      <x:c r="E1716" s="7" t="str">
        <x:v>BLD-B</x:v>
      </x:c>
      <x:c r="F1716" s="7" t="str">
        <x:v>BL-Y</x:v>
      </x:c>
      <x:c r="G1716" s="7" t="str">
        <x:v>MF-21</x:v>
      </x:c>
      <x:c r="H1716" s="7" t="str"/>
      <x:c r="I1716" s="7" t="str"/>
      <x:c r="J1716" s="7" t="str">
        <x:f>IF(OR(H1716="",I1716=""),"",I1716-H1716)</x:f>
      </x:c>
      <x:c r="K1716" s="7" t="str"/>
      <x:c r="L1716" s="7" t="str"/>
      <x:c r="M1716" s="7" t="str">
        <x:f>IF(L1716="","OPEN",IF(OR(NOT(ISNUMBER(H1716)),NOT(ISNUMBER(I1716)),NOT(ISNUMBER(K1716)),ABS(J1716)&gt;K1716),"FAIL","PASS"))</x:f>
        <x:v>OPEN</x:v>
      </x:c>
    </x:row>
    <x:row r="1717">
      <x:c r="B1717" s="7" t="str">
        <x:v>CAL-CH-PEA-B-Y3-22-1</x:v>
      </x:c>
      <x:c r="C1717" s="7" t="str">
        <x:v>CH-PEA-B-Y3-22-1</x:v>
      </x:c>
      <x:c r="D1717" s="7" t="str">
        <x:v>PEA-B-Y3</x:v>
      </x:c>
      <x:c r="E1717" s="7" t="str">
        <x:v>BLD-B</x:v>
      </x:c>
      <x:c r="F1717" s="7" t="str">
        <x:v>BL-Y</x:v>
      </x:c>
      <x:c r="G1717" s="7" t="str">
        <x:v>MF-22</x:v>
      </x:c>
      <x:c r="H1717" s="7" t="str"/>
      <x:c r="I1717" s="7" t="str"/>
      <x:c r="J1717" s="7" t="str">
        <x:f>IF(OR(H1717="",I1717=""),"",I1717-H1717)</x:f>
      </x:c>
      <x:c r="K1717" s="7" t="str"/>
      <x:c r="L1717" s="7" t="str"/>
      <x:c r="M1717" s="7" t="str">
        <x:f>IF(L1717="","OPEN",IF(OR(NOT(ISNUMBER(H1717)),NOT(ISNUMBER(I1717)),NOT(ISNUMBER(K1717)),ABS(J1717)&gt;K1717),"FAIL","PASS"))</x:f>
        <x:v>OPEN</x:v>
      </x:c>
    </x:row>
    <x:row r="1718">
      <x:c r="B1718" s="7" t="str">
        <x:v>CAL-CH-PEA-B-Y3-22-2</x:v>
      </x:c>
      <x:c r="C1718" s="7" t="str">
        <x:v>CH-PEA-B-Y3-22-2</x:v>
      </x:c>
      <x:c r="D1718" s="7" t="str">
        <x:v>PEA-B-Y3</x:v>
      </x:c>
      <x:c r="E1718" s="7" t="str">
        <x:v>BLD-B</x:v>
      </x:c>
      <x:c r="F1718" s="7" t="str">
        <x:v>BL-Y</x:v>
      </x:c>
      <x:c r="G1718" s="7" t="str">
        <x:v>MF-22</x:v>
      </x:c>
      <x:c r="H1718" s="7" t="str"/>
      <x:c r="I1718" s="7" t="str"/>
      <x:c r="J1718" s="7" t="str">
        <x:f>IF(OR(H1718="",I1718=""),"",I1718-H1718)</x:f>
      </x:c>
      <x:c r="K1718" s="7" t="str"/>
      <x:c r="L1718" s="7" t="str"/>
      <x:c r="M1718" s="7" t="str">
        <x:f>IF(L1718="","OPEN",IF(OR(NOT(ISNUMBER(H1718)),NOT(ISNUMBER(I1718)),NOT(ISNUMBER(K1718)),ABS(J1718)&gt;K1718),"FAIL","PASS"))</x:f>
        <x:v>OPEN</x:v>
      </x:c>
    </x:row>
    <x:row r="1719">
      <x:c r="B1719" s="7" t="str">
        <x:v>CAL-CH-PEA-B-Y3-22-3</x:v>
      </x:c>
      <x:c r="C1719" s="7" t="str">
        <x:v>CH-PEA-B-Y3-22-3</x:v>
      </x:c>
      <x:c r="D1719" s="7" t="str">
        <x:v>PEA-B-Y3</x:v>
      </x:c>
      <x:c r="E1719" s="7" t="str">
        <x:v>BLD-B</x:v>
      </x:c>
      <x:c r="F1719" s="7" t="str">
        <x:v>BL-Y</x:v>
      </x:c>
      <x:c r="G1719" s="7" t="str">
        <x:v>MF-22</x:v>
      </x:c>
      <x:c r="H1719" s="7" t="str"/>
      <x:c r="I1719" s="7" t="str"/>
      <x:c r="J1719" s="7" t="str">
        <x:f>IF(OR(H1719="",I1719=""),"",I1719-H1719)</x:f>
      </x:c>
      <x:c r="K1719" s="7" t="str"/>
      <x:c r="L1719" s="7" t="str"/>
      <x:c r="M1719" s="7" t="str">
        <x:f>IF(L1719="","OPEN",IF(OR(NOT(ISNUMBER(H1719)),NOT(ISNUMBER(I1719)),NOT(ISNUMBER(K1719)),ABS(J1719)&gt;K1719),"FAIL","PASS"))</x:f>
        <x:v>OPEN</x:v>
      </x:c>
    </x:row>
    <x:row r="1720">
      <x:c r="B1720" s="7" t="str">
        <x:v>CAL-CH-PEA-B-Y3-22-4</x:v>
      </x:c>
      <x:c r="C1720" s="7" t="str">
        <x:v>CH-PEA-B-Y3-22-4</x:v>
      </x:c>
      <x:c r="D1720" s="7" t="str">
        <x:v>PEA-B-Y3</x:v>
      </x:c>
      <x:c r="E1720" s="7" t="str">
        <x:v>BLD-B</x:v>
      </x:c>
      <x:c r="F1720" s="7" t="str">
        <x:v>BL-Y</x:v>
      </x:c>
      <x:c r="G1720" s="7" t="str">
        <x:v>MF-22</x:v>
      </x:c>
      <x:c r="H1720" s="7" t="str"/>
      <x:c r="I1720" s="7" t="str"/>
      <x:c r="J1720" s="7" t="str">
        <x:f>IF(OR(H1720="",I1720=""),"",I1720-H1720)</x:f>
      </x:c>
      <x:c r="K1720" s="7" t="str"/>
      <x:c r="L1720" s="7" t="str"/>
      <x:c r="M1720" s="7" t="str">
        <x:f>IF(L1720="","OPEN",IF(OR(NOT(ISNUMBER(H1720)),NOT(ISNUMBER(I1720)),NOT(ISNUMBER(K1720)),ABS(J1720)&gt;K1720),"FAIL","PASS"))</x:f>
        <x:v>OPEN</x:v>
      </x:c>
    </x:row>
    <x:row r="1721">
      <x:c r="B1721" s="7" t="str">
        <x:v>CAL-CH-PEA-B-Y3-22-5</x:v>
      </x:c>
      <x:c r="C1721" s="7" t="str">
        <x:v>CH-PEA-B-Y3-22-5</x:v>
      </x:c>
      <x:c r="D1721" s="7" t="str">
        <x:v>PEA-B-Y3</x:v>
      </x:c>
      <x:c r="E1721" s="7" t="str">
        <x:v>BLD-B</x:v>
      </x:c>
      <x:c r="F1721" s="7" t="str">
        <x:v>BL-Y</x:v>
      </x:c>
      <x:c r="G1721" s="7" t="str">
        <x:v>MF-22</x:v>
      </x:c>
      <x:c r="H1721" s="7" t="str"/>
      <x:c r="I1721" s="7" t="str"/>
      <x:c r="J1721" s="7" t="str">
        <x:f>IF(OR(H1721="",I1721=""),"",I1721-H1721)</x:f>
      </x:c>
      <x:c r="K1721" s="7" t="str"/>
      <x:c r="L1721" s="7" t="str"/>
      <x:c r="M1721" s="7" t="str">
        <x:f>IF(L1721="","OPEN",IF(OR(NOT(ISNUMBER(H1721)),NOT(ISNUMBER(I1721)),NOT(ISNUMBER(K1721)),ABS(J1721)&gt;K1721),"FAIL","PASS"))</x:f>
        <x:v>OPEN</x:v>
      </x:c>
    </x:row>
    <x:row r="1722">
      <x:c r="B1722" s="7" t="str">
        <x:v>CAL-CH-PEA-B-Y3-22-6</x:v>
      </x:c>
      <x:c r="C1722" s="7" t="str">
        <x:v>CH-PEA-B-Y3-22-6</x:v>
      </x:c>
      <x:c r="D1722" s="7" t="str">
        <x:v>PEA-B-Y3</x:v>
      </x:c>
      <x:c r="E1722" s="7" t="str">
        <x:v>BLD-B</x:v>
      </x:c>
      <x:c r="F1722" s="7" t="str">
        <x:v>BL-Y</x:v>
      </x:c>
      <x:c r="G1722" s="7" t="str">
        <x:v>MF-22</x:v>
      </x:c>
      <x:c r="H1722" s="7" t="str"/>
      <x:c r="I1722" s="7" t="str"/>
      <x:c r="J1722" s="7" t="str">
        <x:f>IF(OR(H1722="",I1722=""),"",I1722-H1722)</x:f>
      </x:c>
      <x:c r="K1722" s="7" t="str"/>
      <x:c r="L1722" s="7" t="str"/>
      <x:c r="M1722" s="7" t="str">
        <x:f>IF(L1722="","OPEN",IF(OR(NOT(ISNUMBER(H1722)),NOT(ISNUMBER(I1722)),NOT(ISNUMBER(K1722)),ABS(J1722)&gt;K1722),"FAIL","PASS"))</x:f>
        <x:v>OPEN</x:v>
      </x:c>
    </x:row>
    <x:row r="1723">
      <x:c r="B1723" s="7" t="str">
        <x:v>CAL-CH-PEA-B-Y3-23-1</x:v>
      </x:c>
      <x:c r="C1723" s="7" t="str">
        <x:v>CH-PEA-B-Y3-23-1</x:v>
      </x:c>
      <x:c r="D1723" s="7" t="str">
        <x:v>PEA-B-Y3</x:v>
      </x:c>
      <x:c r="E1723" s="7" t="str">
        <x:v>BLD-B</x:v>
      </x:c>
      <x:c r="F1723" s="7" t="str">
        <x:v>BL-Y</x:v>
      </x:c>
      <x:c r="G1723" s="7" t="str">
        <x:v>MF-23</x:v>
      </x:c>
      <x:c r="H1723" s="7" t="str"/>
      <x:c r="I1723" s="7" t="str"/>
      <x:c r="J1723" s="7" t="str">
        <x:f>IF(OR(H1723="",I1723=""),"",I1723-H1723)</x:f>
      </x:c>
      <x:c r="K1723" s="7" t="str"/>
      <x:c r="L1723" s="7" t="str"/>
      <x:c r="M1723" s="7" t="str">
        <x:f>IF(L1723="","OPEN",IF(OR(NOT(ISNUMBER(H1723)),NOT(ISNUMBER(I1723)),NOT(ISNUMBER(K1723)),ABS(J1723)&gt;K1723),"FAIL","PASS"))</x:f>
        <x:v>OPEN</x:v>
      </x:c>
    </x:row>
    <x:row r="1724">
      <x:c r="B1724" s="7" t="str">
        <x:v>CAL-CH-PEA-B-Y3-23-2</x:v>
      </x:c>
      <x:c r="C1724" s="7" t="str">
        <x:v>CH-PEA-B-Y3-23-2</x:v>
      </x:c>
      <x:c r="D1724" s="7" t="str">
        <x:v>PEA-B-Y3</x:v>
      </x:c>
      <x:c r="E1724" s="7" t="str">
        <x:v>BLD-B</x:v>
      </x:c>
      <x:c r="F1724" s="7" t="str">
        <x:v>BL-Y</x:v>
      </x:c>
      <x:c r="G1724" s="7" t="str">
        <x:v>MF-23</x:v>
      </x:c>
      <x:c r="H1724" s="7" t="str"/>
      <x:c r="I1724" s="7" t="str"/>
      <x:c r="J1724" s="7" t="str">
        <x:f>IF(OR(H1724="",I1724=""),"",I1724-H1724)</x:f>
      </x:c>
      <x:c r="K1724" s="7" t="str"/>
      <x:c r="L1724" s="7" t="str"/>
      <x:c r="M1724" s="7" t="str">
        <x:f>IF(L1724="","OPEN",IF(OR(NOT(ISNUMBER(H1724)),NOT(ISNUMBER(I1724)),NOT(ISNUMBER(K1724)),ABS(J1724)&gt;K1724),"FAIL","PASS"))</x:f>
        <x:v>OPEN</x:v>
      </x:c>
    </x:row>
    <x:row r="1725">
      <x:c r="B1725" s="7" t="str">
        <x:v>CAL-CH-PEA-B-Y3-23-3</x:v>
      </x:c>
      <x:c r="C1725" s="7" t="str">
        <x:v>CH-PEA-B-Y3-23-3</x:v>
      </x:c>
      <x:c r="D1725" s="7" t="str">
        <x:v>PEA-B-Y3</x:v>
      </x:c>
      <x:c r="E1725" s="7" t="str">
        <x:v>BLD-B</x:v>
      </x:c>
      <x:c r="F1725" s="7" t="str">
        <x:v>BL-Y</x:v>
      </x:c>
      <x:c r="G1725" s="7" t="str">
        <x:v>MF-23</x:v>
      </x:c>
      <x:c r="H1725" s="7" t="str"/>
      <x:c r="I1725" s="7" t="str"/>
      <x:c r="J1725" s="7" t="str">
        <x:f>IF(OR(H1725="",I1725=""),"",I1725-H1725)</x:f>
      </x:c>
      <x:c r="K1725" s="7" t="str"/>
      <x:c r="L1725" s="7" t="str"/>
      <x:c r="M1725" s="7" t="str">
        <x:f>IF(L1725="","OPEN",IF(OR(NOT(ISNUMBER(H1725)),NOT(ISNUMBER(I1725)),NOT(ISNUMBER(K1725)),ABS(J1725)&gt;K1725),"FAIL","PASS"))</x:f>
        <x:v>OPEN</x:v>
      </x:c>
    </x:row>
    <x:row r="1726">
      <x:c r="B1726" s="7" t="str">
        <x:v>CAL-CH-PEA-B-Y3-23-4</x:v>
      </x:c>
      <x:c r="C1726" s="7" t="str">
        <x:v>CH-PEA-B-Y3-23-4</x:v>
      </x:c>
      <x:c r="D1726" s="7" t="str">
        <x:v>PEA-B-Y3</x:v>
      </x:c>
      <x:c r="E1726" s="7" t="str">
        <x:v>BLD-B</x:v>
      </x:c>
      <x:c r="F1726" s="7" t="str">
        <x:v>BL-Y</x:v>
      </x:c>
      <x:c r="G1726" s="7" t="str">
        <x:v>MF-23</x:v>
      </x:c>
      <x:c r="H1726" s="7" t="str"/>
      <x:c r="I1726" s="7" t="str"/>
      <x:c r="J1726" s="7" t="str">
        <x:f>IF(OR(H1726="",I1726=""),"",I1726-H1726)</x:f>
      </x:c>
      <x:c r="K1726" s="7" t="str"/>
      <x:c r="L1726" s="7" t="str"/>
      <x:c r="M1726" s="7" t="str">
        <x:f>IF(L1726="","OPEN",IF(OR(NOT(ISNUMBER(H1726)),NOT(ISNUMBER(I1726)),NOT(ISNUMBER(K1726)),ABS(J1726)&gt;K1726),"FAIL","PASS"))</x:f>
        <x:v>OPEN</x:v>
      </x:c>
    </x:row>
    <x:row r="1727">
      <x:c r="B1727" s="7" t="str">
        <x:v>CAL-CH-PEA-B-Y3-23-5</x:v>
      </x:c>
      <x:c r="C1727" s="7" t="str">
        <x:v>CH-PEA-B-Y3-23-5</x:v>
      </x:c>
      <x:c r="D1727" s="7" t="str">
        <x:v>PEA-B-Y3</x:v>
      </x:c>
      <x:c r="E1727" s="7" t="str">
        <x:v>BLD-B</x:v>
      </x:c>
      <x:c r="F1727" s="7" t="str">
        <x:v>BL-Y</x:v>
      </x:c>
      <x:c r="G1727" s="7" t="str">
        <x:v>MF-23</x:v>
      </x:c>
      <x:c r="H1727" s="7" t="str"/>
      <x:c r="I1727" s="7" t="str"/>
      <x:c r="J1727" s="7" t="str">
        <x:f>IF(OR(H1727="",I1727=""),"",I1727-H1727)</x:f>
      </x:c>
      <x:c r="K1727" s="7" t="str"/>
      <x:c r="L1727" s="7" t="str"/>
      <x:c r="M1727" s="7" t="str">
        <x:f>IF(L1727="","OPEN",IF(OR(NOT(ISNUMBER(H1727)),NOT(ISNUMBER(I1727)),NOT(ISNUMBER(K1727)),ABS(J1727)&gt;K1727),"FAIL","PASS"))</x:f>
        <x:v>OPEN</x:v>
      </x:c>
    </x:row>
    <x:row r="1728">
      <x:c r="B1728" s="7" t="str">
        <x:v>CAL-CH-PEA-B-Y3-23-6</x:v>
      </x:c>
      <x:c r="C1728" s="7" t="str">
        <x:v>CH-PEA-B-Y3-23-6</x:v>
      </x:c>
      <x:c r="D1728" s="7" t="str">
        <x:v>PEA-B-Y3</x:v>
      </x:c>
      <x:c r="E1728" s="7" t="str">
        <x:v>BLD-B</x:v>
      </x:c>
      <x:c r="F1728" s="7" t="str">
        <x:v>BL-Y</x:v>
      </x:c>
      <x:c r="G1728" s="7" t="str">
        <x:v>MF-23</x:v>
      </x:c>
      <x:c r="H1728" s="7" t="str"/>
      <x:c r="I1728" s="7" t="str"/>
      <x:c r="J1728" s="7" t="str">
        <x:f>IF(OR(H1728="",I1728=""),"",I1728-H1728)</x:f>
      </x:c>
      <x:c r="K1728" s="7" t="str"/>
      <x:c r="L1728" s="7" t="str"/>
      <x:c r="M1728" s="7" t="str">
        <x:f>IF(L1728="","OPEN",IF(OR(NOT(ISNUMBER(H1728)),NOT(ISNUMBER(I1728)),NOT(ISNUMBER(K1728)),ABS(J1728)&gt;K1728),"FAIL","PASS"))</x:f>
        <x:v>OPEN</x:v>
      </x:c>
    </x:row>
    <x:row r="1729">
      <x:c r="B1729" s="7" t="str">
        <x:v>CAL-CH-PEA-B-Y3-24-1</x:v>
      </x:c>
      <x:c r="C1729" s="7" t="str">
        <x:v>CH-PEA-B-Y3-24-1</x:v>
      </x:c>
      <x:c r="D1729" s="7" t="str">
        <x:v>PEA-B-Y3</x:v>
      </x:c>
      <x:c r="E1729" s="7" t="str">
        <x:v>BLD-B</x:v>
      </x:c>
      <x:c r="F1729" s="7" t="str">
        <x:v>BL-Y</x:v>
      </x:c>
      <x:c r="G1729" s="7" t="str">
        <x:v>MF-24</x:v>
      </x:c>
      <x:c r="H1729" s="7" t="str"/>
      <x:c r="I1729" s="7" t="str"/>
      <x:c r="J1729" s="7" t="str">
        <x:f>IF(OR(H1729="",I1729=""),"",I1729-H1729)</x:f>
      </x:c>
      <x:c r="K1729" s="7" t="str"/>
      <x:c r="L1729" s="7" t="str"/>
      <x:c r="M1729" s="7" t="str">
        <x:f>IF(L1729="","OPEN",IF(OR(NOT(ISNUMBER(H1729)),NOT(ISNUMBER(I1729)),NOT(ISNUMBER(K1729)),ABS(J1729)&gt;K1729),"FAIL","PASS"))</x:f>
        <x:v>OPEN</x:v>
      </x:c>
    </x:row>
    <x:row r="1730">
      <x:c r="B1730" s="7" t="str">
        <x:v>CAL-CH-PEA-B-Y3-24-2</x:v>
      </x:c>
      <x:c r="C1730" s="7" t="str">
        <x:v>CH-PEA-B-Y3-24-2</x:v>
      </x:c>
      <x:c r="D1730" s="7" t="str">
        <x:v>PEA-B-Y3</x:v>
      </x:c>
      <x:c r="E1730" s="7" t="str">
        <x:v>BLD-B</x:v>
      </x:c>
      <x:c r="F1730" s="7" t="str">
        <x:v>BL-Y</x:v>
      </x:c>
      <x:c r="G1730" s="7" t="str">
        <x:v>MF-24</x:v>
      </x:c>
      <x:c r="H1730" s="7" t="str"/>
      <x:c r="I1730" s="7" t="str"/>
      <x:c r="J1730" s="7" t="str">
        <x:f>IF(OR(H1730="",I1730=""),"",I1730-H1730)</x:f>
      </x:c>
      <x:c r="K1730" s="7" t="str"/>
      <x:c r="L1730" s="7" t="str"/>
      <x:c r="M1730" s="7" t="str">
        <x:f>IF(L1730="","OPEN",IF(OR(NOT(ISNUMBER(H1730)),NOT(ISNUMBER(I1730)),NOT(ISNUMBER(K1730)),ABS(J1730)&gt;K1730),"FAIL","PASS"))</x:f>
        <x:v>OPEN</x:v>
      </x:c>
    </x:row>
    <x:row r="1731">
      <x:c r="B1731" s="7" t="str">
        <x:v>CAL-CH-PEA-B-Y3-24-3</x:v>
      </x:c>
      <x:c r="C1731" s="7" t="str">
        <x:v>CH-PEA-B-Y3-24-3</x:v>
      </x:c>
      <x:c r="D1731" s="7" t="str">
        <x:v>PEA-B-Y3</x:v>
      </x:c>
      <x:c r="E1731" s="7" t="str">
        <x:v>BLD-B</x:v>
      </x:c>
      <x:c r="F1731" s="7" t="str">
        <x:v>BL-Y</x:v>
      </x:c>
      <x:c r="G1731" s="7" t="str">
        <x:v>MF-24</x:v>
      </x:c>
      <x:c r="H1731" s="7" t="str"/>
      <x:c r="I1731" s="7" t="str"/>
      <x:c r="J1731" s="7" t="str">
        <x:f>IF(OR(H1731="",I1731=""),"",I1731-H1731)</x:f>
      </x:c>
      <x:c r="K1731" s="7" t="str"/>
      <x:c r="L1731" s="7" t="str"/>
      <x:c r="M1731" s="7" t="str">
        <x:f>IF(L1731="","OPEN",IF(OR(NOT(ISNUMBER(H1731)),NOT(ISNUMBER(I1731)),NOT(ISNUMBER(K1731)),ABS(J1731)&gt;K1731),"FAIL","PASS"))</x:f>
        <x:v>OPEN</x:v>
      </x:c>
    </x:row>
    <x:row r="1732">
      <x:c r="B1732" s="7" t="str">
        <x:v>CAL-CH-PEA-B-Y3-24-4</x:v>
      </x:c>
      <x:c r="C1732" s="7" t="str">
        <x:v>CH-PEA-B-Y3-24-4</x:v>
      </x:c>
      <x:c r="D1732" s="7" t="str">
        <x:v>PEA-B-Y3</x:v>
      </x:c>
      <x:c r="E1732" s="7" t="str">
        <x:v>BLD-B</x:v>
      </x:c>
      <x:c r="F1732" s="7" t="str">
        <x:v>BL-Y</x:v>
      </x:c>
      <x:c r="G1732" s="7" t="str">
        <x:v>MF-24</x:v>
      </x:c>
      <x:c r="H1732" s="7" t="str"/>
      <x:c r="I1732" s="7" t="str"/>
      <x:c r="J1732" s="7" t="str">
        <x:f>IF(OR(H1732="",I1732=""),"",I1732-H1732)</x:f>
      </x:c>
      <x:c r="K1732" s="7" t="str"/>
      <x:c r="L1732" s="7" t="str"/>
      <x:c r="M1732" s="7" t="str">
        <x:f>IF(L1732="","OPEN",IF(OR(NOT(ISNUMBER(H1732)),NOT(ISNUMBER(I1732)),NOT(ISNUMBER(K1732)),ABS(J1732)&gt;K1732),"FAIL","PASS"))</x:f>
        <x:v>OPEN</x:v>
      </x:c>
    </x:row>
    <x:row r="1733">
      <x:c r="B1733" s="7" t="str">
        <x:v>CAL-CH-PEA-B-Y3-24-5</x:v>
      </x:c>
      <x:c r="C1733" s="7" t="str">
        <x:v>CH-PEA-B-Y3-24-5</x:v>
      </x:c>
      <x:c r="D1733" s="7" t="str">
        <x:v>PEA-B-Y3</x:v>
      </x:c>
      <x:c r="E1733" s="7" t="str">
        <x:v>BLD-B</x:v>
      </x:c>
      <x:c r="F1733" s="7" t="str">
        <x:v>BL-Y</x:v>
      </x:c>
      <x:c r="G1733" s="7" t="str">
        <x:v>MF-24</x:v>
      </x:c>
      <x:c r="H1733" s="7" t="str"/>
      <x:c r="I1733" s="7" t="str"/>
      <x:c r="J1733" s="7" t="str">
        <x:f>IF(OR(H1733="",I1733=""),"",I1733-H1733)</x:f>
      </x:c>
      <x:c r="K1733" s="7" t="str"/>
      <x:c r="L1733" s="7" t="str"/>
      <x:c r="M1733" s="7" t="str">
        <x:f>IF(L1733="","OPEN",IF(OR(NOT(ISNUMBER(H1733)),NOT(ISNUMBER(I1733)),NOT(ISNUMBER(K1733)),ABS(J1733)&gt;K1733),"FAIL","PASS"))</x:f>
        <x:v>OPEN</x:v>
      </x:c>
    </x:row>
    <x:row r="1734">
      <x:c r="B1734" s="7" t="str">
        <x:v>CAL-CH-PEA-B-Y3-24-6</x:v>
      </x:c>
      <x:c r="C1734" s="7" t="str">
        <x:v>CH-PEA-B-Y3-24-6</x:v>
      </x:c>
      <x:c r="D1734" s="7" t="str">
        <x:v>PEA-B-Y3</x:v>
      </x:c>
      <x:c r="E1734" s="7" t="str">
        <x:v>BLD-B</x:v>
      </x:c>
      <x:c r="F1734" s="7" t="str">
        <x:v>BL-Y</x:v>
      </x:c>
      <x:c r="G1734" s="7" t="str">
        <x:v>MF-24</x:v>
      </x:c>
      <x:c r="H1734" s="7" t="str"/>
      <x:c r="I1734" s="7" t="str"/>
      <x:c r="J1734" s="7" t="str">
        <x:f>IF(OR(H1734="",I1734=""),"",I1734-H1734)</x:f>
      </x:c>
      <x:c r="K1734" s="7" t="str"/>
      <x:c r="L1734" s="7" t="str"/>
      <x:c r="M1734" s="7" t="str">
        <x:f>IF(L1734="","OPEN",IF(OR(NOT(ISNUMBER(H1734)),NOT(ISNUMBER(I1734)),NOT(ISNUMBER(K1734)),ABS(J1734)&gt;K1734),"FAIL","PASS"))</x:f>
        <x:v>OPEN</x:v>
      </x:c>
    </x:row>
    <x:row r="1735">
      <x:c r="B1735" s="7" t="str">
        <x:v>CAL-CH-PEA-C-X1-01-1</x:v>
      </x:c>
      <x:c r="C1735" s="7" t="str">
        <x:v>CH-PEA-C-X1-01-1</x:v>
      </x:c>
      <x:c r="D1735" s="7" t="str">
        <x:v>PEA-C-X1</x:v>
      </x:c>
      <x:c r="E1735" s="7" t="str">
        <x:v>BLD-C</x:v>
      </x:c>
      <x:c r="F1735" s="7" t="str">
        <x:v>BL-X</x:v>
      </x:c>
      <x:c r="G1735" s="7" t="str">
        <x:v>MF-01</x:v>
      </x:c>
      <x:c r="H1735" s="7" t="str"/>
      <x:c r="I1735" s="7" t="str"/>
      <x:c r="J1735" s="7" t="str">
        <x:f>IF(OR(H1735="",I1735=""),"",I1735-H1735)</x:f>
      </x:c>
      <x:c r="K1735" s="7" t="str"/>
      <x:c r="L1735" s="7" t="str"/>
      <x:c r="M1735" s="7" t="str">
        <x:f>IF(L1735="","OPEN",IF(OR(NOT(ISNUMBER(H1735)),NOT(ISNUMBER(I1735)),NOT(ISNUMBER(K1735)),ABS(J1735)&gt;K1735),"FAIL","PASS"))</x:f>
        <x:v>OPEN</x:v>
      </x:c>
    </x:row>
    <x:row r="1736">
      <x:c r="B1736" s="7" t="str">
        <x:v>CAL-CH-PEA-C-X1-01-2</x:v>
      </x:c>
      <x:c r="C1736" s="7" t="str">
        <x:v>CH-PEA-C-X1-01-2</x:v>
      </x:c>
      <x:c r="D1736" s="7" t="str">
        <x:v>PEA-C-X1</x:v>
      </x:c>
      <x:c r="E1736" s="7" t="str">
        <x:v>BLD-C</x:v>
      </x:c>
      <x:c r="F1736" s="7" t="str">
        <x:v>BL-X</x:v>
      </x:c>
      <x:c r="G1736" s="7" t="str">
        <x:v>MF-01</x:v>
      </x:c>
      <x:c r="H1736" s="7" t="str"/>
      <x:c r="I1736" s="7" t="str"/>
      <x:c r="J1736" s="7" t="str">
        <x:f>IF(OR(H1736="",I1736=""),"",I1736-H1736)</x:f>
      </x:c>
      <x:c r="K1736" s="7" t="str"/>
      <x:c r="L1736" s="7" t="str"/>
      <x:c r="M1736" s="7" t="str">
        <x:f>IF(L1736="","OPEN",IF(OR(NOT(ISNUMBER(H1736)),NOT(ISNUMBER(I1736)),NOT(ISNUMBER(K1736)),ABS(J1736)&gt;K1736),"FAIL","PASS"))</x:f>
        <x:v>OPEN</x:v>
      </x:c>
    </x:row>
    <x:row r="1737">
      <x:c r="B1737" s="7" t="str">
        <x:v>CAL-CH-PEA-C-X1-01-3</x:v>
      </x:c>
      <x:c r="C1737" s="7" t="str">
        <x:v>CH-PEA-C-X1-01-3</x:v>
      </x:c>
      <x:c r="D1737" s="7" t="str">
        <x:v>PEA-C-X1</x:v>
      </x:c>
      <x:c r="E1737" s="7" t="str">
        <x:v>BLD-C</x:v>
      </x:c>
      <x:c r="F1737" s="7" t="str">
        <x:v>BL-X</x:v>
      </x:c>
      <x:c r="G1737" s="7" t="str">
        <x:v>MF-01</x:v>
      </x:c>
      <x:c r="H1737" s="7" t="str"/>
      <x:c r="I1737" s="7" t="str"/>
      <x:c r="J1737" s="7" t="str">
        <x:f>IF(OR(H1737="",I1737=""),"",I1737-H1737)</x:f>
      </x:c>
      <x:c r="K1737" s="7" t="str"/>
      <x:c r="L1737" s="7" t="str"/>
      <x:c r="M1737" s="7" t="str">
        <x:f>IF(L1737="","OPEN",IF(OR(NOT(ISNUMBER(H1737)),NOT(ISNUMBER(I1737)),NOT(ISNUMBER(K1737)),ABS(J1737)&gt;K1737),"FAIL","PASS"))</x:f>
        <x:v>OPEN</x:v>
      </x:c>
    </x:row>
    <x:row r="1738">
      <x:c r="B1738" s="7" t="str">
        <x:v>CAL-CH-PEA-C-X1-01-4</x:v>
      </x:c>
      <x:c r="C1738" s="7" t="str">
        <x:v>CH-PEA-C-X1-01-4</x:v>
      </x:c>
      <x:c r="D1738" s="7" t="str">
        <x:v>PEA-C-X1</x:v>
      </x:c>
      <x:c r="E1738" s="7" t="str">
        <x:v>BLD-C</x:v>
      </x:c>
      <x:c r="F1738" s="7" t="str">
        <x:v>BL-X</x:v>
      </x:c>
      <x:c r="G1738" s="7" t="str">
        <x:v>MF-01</x:v>
      </x:c>
      <x:c r="H1738" s="7" t="str"/>
      <x:c r="I1738" s="7" t="str"/>
      <x:c r="J1738" s="7" t="str">
        <x:f>IF(OR(H1738="",I1738=""),"",I1738-H1738)</x:f>
      </x:c>
      <x:c r="K1738" s="7" t="str"/>
      <x:c r="L1738" s="7" t="str"/>
      <x:c r="M1738" s="7" t="str">
        <x:f>IF(L1738="","OPEN",IF(OR(NOT(ISNUMBER(H1738)),NOT(ISNUMBER(I1738)),NOT(ISNUMBER(K1738)),ABS(J1738)&gt;K1738),"FAIL","PASS"))</x:f>
        <x:v>OPEN</x:v>
      </x:c>
    </x:row>
    <x:row r="1739">
      <x:c r="B1739" s="7" t="str">
        <x:v>CAL-CH-PEA-C-X1-01-5</x:v>
      </x:c>
      <x:c r="C1739" s="7" t="str">
        <x:v>CH-PEA-C-X1-01-5</x:v>
      </x:c>
      <x:c r="D1739" s="7" t="str">
        <x:v>PEA-C-X1</x:v>
      </x:c>
      <x:c r="E1739" s="7" t="str">
        <x:v>BLD-C</x:v>
      </x:c>
      <x:c r="F1739" s="7" t="str">
        <x:v>BL-X</x:v>
      </x:c>
      <x:c r="G1739" s="7" t="str">
        <x:v>MF-01</x:v>
      </x:c>
      <x:c r="H1739" s="7" t="str"/>
      <x:c r="I1739" s="7" t="str"/>
      <x:c r="J1739" s="7" t="str">
        <x:f>IF(OR(H1739="",I1739=""),"",I1739-H1739)</x:f>
      </x:c>
      <x:c r="K1739" s="7" t="str"/>
      <x:c r="L1739" s="7" t="str"/>
      <x:c r="M1739" s="7" t="str">
        <x:f>IF(L1739="","OPEN",IF(OR(NOT(ISNUMBER(H1739)),NOT(ISNUMBER(I1739)),NOT(ISNUMBER(K1739)),ABS(J1739)&gt;K1739),"FAIL","PASS"))</x:f>
        <x:v>OPEN</x:v>
      </x:c>
    </x:row>
    <x:row r="1740">
      <x:c r="B1740" s="7" t="str">
        <x:v>CAL-CH-PEA-C-X1-01-6</x:v>
      </x:c>
      <x:c r="C1740" s="7" t="str">
        <x:v>CH-PEA-C-X1-01-6</x:v>
      </x:c>
      <x:c r="D1740" s="7" t="str">
        <x:v>PEA-C-X1</x:v>
      </x:c>
      <x:c r="E1740" s="7" t="str">
        <x:v>BLD-C</x:v>
      </x:c>
      <x:c r="F1740" s="7" t="str">
        <x:v>BL-X</x:v>
      </x:c>
      <x:c r="G1740" s="7" t="str">
        <x:v>MF-01</x:v>
      </x:c>
      <x:c r="H1740" s="7" t="str"/>
      <x:c r="I1740" s="7" t="str"/>
      <x:c r="J1740" s="7" t="str">
        <x:f>IF(OR(H1740="",I1740=""),"",I1740-H1740)</x:f>
      </x:c>
      <x:c r="K1740" s="7" t="str"/>
      <x:c r="L1740" s="7" t="str"/>
      <x:c r="M1740" s="7" t="str">
        <x:f>IF(L1740="","OPEN",IF(OR(NOT(ISNUMBER(H1740)),NOT(ISNUMBER(I1740)),NOT(ISNUMBER(K1740)),ABS(J1740)&gt;K1740),"FAIL","PASS"))</x:f>
        <x:v>OPEN</x:v>
      </x:c>
    </x:row>
    <x:row r="1741">
      <x:c r="B1741" s="7" t="str">
        <x:v>CAL-CH-PEA-C-X1-02-1</x:v>
      </x:c>
      <x:c r="C1741" s="7" t="str">
        <x:v>CH-PEA-C-X1-02-1</x:v>
      </x:c>
      <x:c r="D1741" s="7" t="str">
        <x:v>PEA-C-X1</x:v>
      </x:c>
      <x:c r="E1741" s="7" t="str">
        <x:v>BLD-C</x:v>
      </x:c>
      <x:c r="F1741" s="7" t="str">
        <x:v>BL-X</x:v>
      </x:c>
      <x:c r="G1741" s="7" t="str">
        <x:v>MF-02</x:v>
      </x:c>
      <x:c r="H1741" s="7" t="str"/>
      <x:c r="I1741" s="7" t="str"/>
      <x:c r="J1741" s="7" t="str">
        <x:f>IF(OR(H1741="",I1741=""),"",I1741-H1741)</x:f>
      </x:c>
      <x:c r="K1741" s="7" t="str"/>
      <x:c r="L1741" s="7" t="str"/>
      <x:c r="M1741" s="7" t="str">
        <x:f>IF(L1741="","OPEN",IF(OR(NOT(ISNUMBER(H1741)),NOT(ISNUMBER(I1741)),NOT(ISNUMBER(K1741)),ABS(J1741)&gt;K1741),"FAIL","PASS"))</x:f>
        <x:v>OPEN</x:v>
      </x:c>
    </x:row>
    <x:row r="1742">
      <x:c r="B1742" s="7" t="str">
        <x:v>CAL-CH-PEA-C-X1-02-2</x:v>
      </x:c>
      <x:c r="C1742" s="7" t="str">
        <x:v>CH-PEA-C-X1-02-2</x:v>
      </x:c>
      <x:c r="D1742" s="7" t="str">
        <x:v>PEA-C-X1</x:v>
      </x:c>
      <x:c r="E1742" s="7" t="str">
        <x:v>BLD-C</x:v>
      </x:c>
      <x:c r="F1742" s="7" t="str">
        <x:v>BL-X</x:v>
      </x:c>
      <x:c r="G1742" s="7" t="str">
        <x:v>MF-02</x:v>
      </x:c>
      <x:c r="H1742" s="7" t="str"/>
      <x:c r="I1742" s="7" t="str"/>
      <x:c r="J1742" s="7" t="str">
        <x:f>IF(OR(H1742="",I1742=""),"",I1742-H1742)</x:f>
      </x:c>
      <x:c r="K1742" s="7" t="str"/>
      <x:c r="L1742" s="7" t="str"/>
      <x:c r="M1742" s="7" t="str">
        <x:f>IF(L1742="","OPEN",IF(OR(NOT(ISNUMBER(H1742)),NOT(ISNUMBER(I1742)),NOT(ISNUMBER(K1742)),ABS(J1742)&gt;K1742),"FAIL","PASS"))</x:f>
        <x:v>OPEN</x:v>
      </x:c>
    </x:row>
    <x:row r="1743">
      <x:c r="B1743" s="7" t="str">
        <x:v>CAL-CH-PEA-C-X1-02-3</x:v>
      </x:c>
      <x:c r="C1743" s="7" t="str">
        <x:v>CH-PEA-C-X1-02-3</x:v>
      </x:c>
      <x:c r="D1743" s="7" t="str">
        <x:v>PEA-C-X1</x:v>
      </x:c>
      <x:c r="E1743" s="7" t="str">
        <x:v>BLD-C</x:v>
      </x:c>
      <x:c r="F1743" s="7" t="str">
        <x:v>BL-X</x:v>
      </x:c>
      <x:c r="G1743" s="7" t="str">
        <x:v>MF-02</x:v>
      </x:c>
      <x:c r="H1743" s="7" t="str"/>
      <x:c r="I1743" s="7" t="str"/>
      <x:c r="J1743" s="7" t="str">
        <x:f>IF(OR(H1743="",I1743=""),"",I1743-H1743)</x:f>
      </x:c>
      <x:c r="K1743" s="7" t="str"/>
      <x:c r="L1743" s="7" t="str"/>
      <x:c r="M1743" s="7" t="str">
        <x:f>IF(L1743="","OPEN",IF(OR(NOT(ISNUMBER(H1743)),NOT(ISNUMBER(I1743)),NOT(ISNUMBER(K1743)),ABS(J1743)&gt;K1743),"FAIL","PASS"))</x:f>
        <x:v>OPEN</x:v>
      </x:c>
    </x:row>
    <x:row r="1744">
      <x:c r="B1744" s="7" t="str">
        <x:v>CAL-CH-PEA-C-X1-02-4</x:v>
      </x:c>
      <x:c r="C1744" s="7" t="str">
        <x:v>CH-PEA-C-X1-02-4</x:v>
      </x:c>
      <x:c r="D1744" s="7" t="str">
        <x:v>PEA-C-X1</x:v>
      </x:c>
      <x:c r="E1744" s="7" t="str">
        <x:v>BLD-C</x:v>
      </x:c>
      <x:c r="F1744" s="7" t="str">
        <x:v>BL-X</x:v>
      </x:c>
      <x:c r="G1744" s="7" t="str">
        <x:v>MF-02</x:v>
      </x:c>
      <x:c r="H1744" s="7" t="str"/>
      <x:c r="I1744" s="7" t="str"/>
      <x:c r="J1744" s="7" t="str">
        <x:f>IF(OR(H1744="",I1744=""),"",I1744-H1744)</x:f>
      </x:c>
      <x:c r="K1744" s="7" t="str"/>
      <x:c r="L1744" s="7" t="str"/>
      <x:c r="M1744" s="7" t="str">
        <x:f>IF(L1744="","OPEN",IF(OR(NOT(ISNUMBER(H1744)),NOT(ISNUMBER(I1744)),NOT(ISNUMBER(K1744)),ABS(J1744)&gt;K1744),"FAIL","PASS"))</x:f>
        <x:v>OPEN</x:v>
      </x:c>
    </x:row>
    <x:row r="1745">
      <x:c r="B1745" s="7" t="str">
        <x:v>CAL-CH-PEA-C-X1-02-5</x:v>
      </x:c>
      <x:c r="C1745" s="7" t="str">
        <x:v>CH-PEA-C-X1-02-5</x:v>
      </x:c>
      <x:c r="D1745" s="7" t="str">
        <x:v>PEA-C-X1</x:v>
      </x:c>
      <x:c r="E1745" s="7" t="str">
        <x:v>BLD-C</x:v>
      </x:c>
      <x:c r="F1745" s="7" t="str">
        <x:v>BL-X</x:v>
      </x:c>
      <x:c r="G1745" s="7" t="str">
        <x:v>MF-02</x:v>
      </x:c>
      <x:c r="H1745" s="7" t="str"/>
      <x:c r="I1745" s="7" t="str"/>
      <x:c r="J1745" s="7" t="str">
        <x:f>IF(OR(H1745="",I1745=""),"",I1745-H1745)</x:f>
      </x:c>
      <x:c r="K1745" s="7" t="str"/>
      <x:c r="L1745" s="7" t="str"/>
      <x:c r="M1745" s="7" t="str">
        <x:f>IF(L1745="","OPEN",IF(OR(NOT(ISNUMBER(H1745)),NOT(ISNUMBER(I1745)),NOT(ISNUMBER(K1745)),ABS(J1745)&gt;K1745),"FAIL","PASS"))</x:f>
        <x:v>OPEN</x:v>
      </x:c>
    </x:row>
    <x:row r="1746">
      <x:c r="B1746" s="7" t="str">
        <x:v>CAL-CH-PEA-C-X1-02-6</x:v>
      </x:c>
      <x:c r="C1746" s="7" t="str">
        <x:v>CH-PEA-C-X1-02-6</x:v>
      </x:c>
      <x:c r="D1746" s="7" t="str">
        <x:v>PEA-C-X1</x:v>
      </x:c>
      <x:c r="E1746" s="7" t="str">
        <x:v>BLD-C</x:v>
      </x:c>
      <x:c r="F1746" s="7" t="str">
        <x:v>BL-X</x:v>
      </x:c>
      <x:c r="G1746" s="7" t="str">
        <x:v>MF-02</x:v>
      </x:c>
      <x:c r="H1746" s="7" t="str"/>
      <x:c r="I1746" s="7" t="str"/>
      <x:c r="J1746" s="7" t="str">
        <x:f>IF(OR(H1746="",I1746=""),"",I1746-H1746)</x:f>
      </x:c>
      <x:c r="K1746" s="7" t="str"/>
      <x:c r="L1746" s="7" t="str"/>
      <x:c r="M1746" s="7" t="str">
        <x:f>IF(L1746="","OPEN",IF(OR(NOT(ISNUMBER(H1746)),NOT(ISNUMBER(I1746)),NOT(ISNUMBER(K1746)),ABS(J1746)&gt;K1746),"FAIL","PASS"))</x:f>
        <x:v>OPEN</x:v>
      </x:c>
    </x:row>
    <x:row r="1747">
      <x:c r="B1747" s="7" t="str">
        <x:v>CAL-CH-PEA-C-X1-03-1</x:v>
      </x:c>
      <x:c r="C1747" s="7" t="str">
        <x:v>CH-PEA-C-X1-03-1</x:v>
      </x:c>
      <x:c r="D1747" s="7" t="str">
        <x:v>PEA-C-X1</x:v>
      </x:c>
      <x:c r="E1747" s="7" t="str">
        <x:v>BLD-C</x:v>
      </x:c>
      <x:c r="F1747" s="7" t="str">
        <x:v>BL-X</x:v>
      </x:c>
      <x:c r="G1747" s="7" t="str">
        <x:v>MF-03</x:v>
      </x:c>
      <x:c r="H1747" s="7" t="str"/>
      <x:c r="I1747" s="7" t="str"/>
      <x:c r="J1747" s="7" t="str">
        <x:f>IF(OR(H1747="",I1747=""),"",I1747-H1747)</x:f>
      </x:c>
      <x:c r="K1747" s="7" t="str"/>
      <x:c r="L1747" s="7" t="str"/>
      <x:c r="M1747" s="7" t="str">
        <x:f>IF(L1747="","OPEN",IF(OR(NOT(ISNUMBER(H1747)),NOT(ISNUMBER(I1747)),NOT(ISNUMBER(K1747)),ABS(J1747)&gt;K1747),"FAIL","PASS"))</x:f>
        <x:v>OPEN</x:v>
      </x:c>
    </x:row>
    <x:row r="1748">
      <x:c r="B1748" s="7" t="str">
        <x:v>CAL-CH-PEA-C-X1-03-2</x:v>
      </x:c>
      <x:c r="C1748" s="7" t="str">
        <x:v>CH-PEA-C-X1-03-2</x:v>
      </x:c>
      <x:c r="D1748" s="7" t="str">
        <x:v>PEA-C-X1</x:v>
      </x:c>
      <x:c r="E1748" s="7" t="str">
        <x:v>BLD-C</x:v>
      </x:c>
      <x:c r="F1748" s="7" t="str">
        <x:v>BL-X</x:v>
      </x:c>
      <x:c r="G1748" s="7" t="str">
        <x:v>MF-03</x:v>
      </x:c>
      <x:c r="H1748" s="7" t="str"/>
      <x:c r="I1748" s="7" t="str"/>
      <x:c r="J1748" s="7" t="str">
        <x:f>IF(OR(H1748="",I1748=""),"",I1748-H1748)</x:f>
      </x:c>
      <x:c r="K1748" s="7" t="str"/>
      <x:c r="L1748" s="7" t="str"/>
      <x:c r="M1748" s="7" t="str">
        <x:f>IF(L1748="","OPEN",IF(OR(NOT(ISNUMBER(H1748)),NOT(ISNUMBER(I1748)),NOT(ISNUMBER(K1748)),ABS(J1748)&gt;K1748),"FAIL","PASS"))</x:f>
        <x:v>OPEN</x:v>
      </x:c>
    </x:row>
    <x:row r="1749">
      <x:c r="B1749" s="7" t="str">
        <x:v>CAL-CH-PEA-C-X1-03-3</x:v>
      </x:c>
      <x:c r="C1749" s="7" t="str">
        <x:v>CH-PEA-C-X1-03-3</x:v>
      </x:c>
      <x:c r="D1749" s="7" t="str">
        <x:v>PEA-C-X1</x:v>
      </x:c>
      <x:c r="E1749" s="7" t="str">
        <x:v>BLD-C</x:v>
      </x:c>
      <x:c r="F1749" s="7" t="str">
        <x:v>BL-X</x:v>
      </x:c>
      <x:c r="G1749" s="7" t="str">
        <x:v>MF-03</x:v>
      </x:c>
      <x:c r="H1749" s="7" t="str"/>
      <x:c r="I1749" s="7" t="str"/>
      <x:c r="J1749" s="7" t="str">
        <x:f>IF(OR(H1749="",I1749=""),"",I1749-H1749)</x:f>
      </x:c>
      <x:c r="K1749" s="7" t="str"/>
      <x:c r="L1749" s="7" t="str"/>
      <x:c r="M1749" s="7" t="str">
        <x:f>IF(L1749="","OPEN",IF(OR(NOT(ISNUMBER(H1749)),NOT(ISNUMBER(I1749)),NOT(ISNUMBER(K1749)),ABS(J1749)&gt;K1749),"FAIL","PASS"))</x:f>
        <x:v>OPEN</x:v>
      </x:c>
    </x:row>
    <x:row r="1750">
      <x:c r="B1750" s="7" t="str">
        <x:v>CAL-CH-PEA-C-X1-03-4</x:v>
      </x:c>
      <x:c r="C1750" s="7" t="str">
        <x:v>CH-PEA-C-X1-03-4</x:v>
      </x:c>
      <x:c r="D1750" s="7" t="str">
        <x:v>PEA-C-X1</x:v>
      </x:c>
      <x:c r="E1750" s="7" t="str">
        <x:v>BLD-C</x:v>
      </x:c>
      <x:c r="F1750" s="7" t="str">
        <x:v>BL-X</x:v>
      </x:c>
      <x:c r="G1750" s="7" t="str">
        <x:v>MF-03</x:v>
      </x:c>
      <x:c r="H1750" s="7" t="str"/>
      <x:c r="I1750" s="7" t="str"/>
      <x:c r="J1750" s="7" t="str">
        <x:f>IF(OR(H1750="",I1750=""),"",I1750-H1750)</x:f>
      </x:c>
      <x:c r="K1750" s="7" t="str"/>
      <x:c r="L1750" s="7" t="str"/>
      <x:c r="M1750" s="7" t="str">
        <x:f>IF(L1750="","OPEN",IF(OR(NOT(ISNUMBER(H1750)),NOT(ISNUMBER(I1750)),NOT(ISNUMBER(K1750)),ABS(J1750)&gt;K1750),"FAIL","PASS"))</x:f>
        <x:v>OPEN</x:v>
      </x:c>
    </x:row>
    <x:row r="1751">
      <x:c r="B1751" s="7" t="str">
        <x:v>CAL-CH-PEA-C-X1-03-5</x:v>
      </x:c>
      <x:c r="C1751" s="7" t="str">
        <x:v>CH-PEA-C-X1-03-5</x:v>
      </x:c>
      <x:c r="D1751" s="7" t="str">
        <x:v>PEA-C-X1</x:v>
      </x:c>
      <x:c r="E1751" s="7" t="str">
        <x:v>BLD-C</x:v>
      </x:c>
      <x:c r="F1751" s="7" t="str">
        <x:v>BL-X</x:v>
      </x:c>
      <x:c r="G1751" s="7" t="str">
        <x:v>MF-03</x:v>
      </x:c>
      <x:c r="H1751" s="7" t="str"/>
      <x:c r="I1751" s="7" t="str"/>
      <x:c r="J1751" s="7" t="str">
        <x:f>IF(OR(H1751="",I1751=""),"",I1751-H1751)</x:f>
      </x:c>
      <x:c r="K1751" s="7" t="str"/>
      <x:c r="L1751" s="7" t="str"/>
      <x:c r="M1751" s="7" t="str">
        <x:f>IF(L1751="","OPEN",IF(OR(NOT(ISNUMBER(H1751)),NOT(ISNUMBER(I1751)),NOT(ISNUMBER(K1751)),ABS(J1751)&gt;K1751),"FAIL","PASS"))</x:f>
        <x:v>OPEN</x:v>
      </x:c>
    </x:row>
    <x:row r="1752">
      <x:c r="B1752" s="7" t="str">
        <x:v>CAL-CH-PEA-C-X1-03-6</x:v>
      </x:c>
      <x:c r="C1752" s="7" t="str">
        <x:v>CH-PEA-C-X1-03-6</x:v>
      </x:c>
      <x:c r="D1752" s="7" t="str">
        <x:v>PEA-C-X1</x:v>
      </x:c>
      <x:c r="E1752" s="7" t="str">
        <x:v>BLD-C</x:v>
      </x:c>
      <x:c r="F1752" s="7" t="str">
        <x:v>BL-X</x:v>
      </x:c>
      <x:c r="G1752" s="7" t="str">
        <x:v>MF-03</x:v>
      </x:c>
      <x:c r="H1752" s="7" t="str"/>
      <x:c r="I1752" s="7" t="str"/>
      <x:c r="J1752" s="7" t="str">
        <x:f>IF(OR(H1752="",I1752=""),"",I1752-H1752)</x:f>
      </x:c>
      <x:c r="K1752" s="7" t="str"/>
      <x:c r="L1752" s="7" t="str"/>
      <x:c r="M1752" s="7" t="str">
        <x:f>IF(L1752="","OPEN",IF(OR(NOT(ISNUMBER(H1752)),NOT(ISNUMBER(I1752)),NOT(ISNUMBER(K1752)),ABS(J1752)&gt;K1752),"FAIL","PASS"))</x:f>
        <x:v>OPEN</x:v>
      </x:c>
    </x:row>
    <x:row r="1753">
      <x:c r="B1753" s="7" t="str">
        <x:v>CAL-CH-PEA-C-X1-04-1</x:v>
      </x:c>
      <x:c r="C1753" s="7" t="str">
        <x:v>CH-PEA-C-X1-04-1</x:v>
      </x:c>
      <x:c r="D1753" s="7" t="str">
        <x:v>PEA-C-X1</x:v>
      </x:c>
      <x:c r="E1753" s="7" t="str">
        <x:v>BLD-C</x:v>
      </x:c>
      <x:c r="F1753" s="7" t="str">
        <x:v>BL-X</x:v>
      </x:c>
      <x:c r="G1753" s="7" t="str">
        <x:v>MF-04</x:v>
      </x:c>
      <x:c r="H1753" s="7" t="str"/>
      <x:c r="I1753" s="7" t="str"/>
      <x:c r="J1753" s="7" t="str">
        <x:f>IF(OR(H1753="",I1753=""),"",I1753-H1753)</x:f>
      </x:c>
      <x:c r="K1753" s="7" t="str"/>
      <x:c r="L1753" s="7" t="str"/>
      <x:c r="M1753" s="7" t="str">
        <x:f>IF(L1753="","OPEN",IF(OR(NOT(ISNUMBER(H1753)),NOT(ISNUMBER(I1753)),NOT(ISNUMBER(K1753)),ABS(J1753)&gt;K1753),"FAIL","PASS"))</x:f>
        <x:v>OPEN</x:v>
      </x:c>
    </x:row>
    <x:row r="1754">
      <x:c r="B1754" s="7" t="str">
        <x:v>CAL-CH-PEA-C-X1-04-2</x:v>
      </x:c>
      <x:c r="C1754" s="7" t="str">
        <x:v>CH-PEA-C-X1-04-2</x:v>
      </x:c>
      <x:c r="D1754" s="7" t="str">
        <x:v>PEA-C-X1</x:v>
      </x:c>
      <x:c r="E1754" s="7" t="str">
        <x:v>BLD-C</x:v>
      </x:c>
      <x:c r="F1754" s="7" t="str">
        <x:v>BL-X</x:v>
      </x:c>
      <x:c r="G1754" s="7" t="str">
        <x:v>MF-04</x:v>
      </x:c>
      <x:c r="H1754" s="7" t="str"/>
      <x:c r="I1754" s="7" t="str"/>
      <x:c r="J1754" s="7" t="str">
        <x:f>IF(OR(H1754="",I1754=""),"",I1754-H1754)</x:f>
      </x:c>
      <x:c r="K1754" s="7" t="str"/>
      <x:c r="L1754" s="7" t="str"/>
      <x:c r="M1754" s="7" t="str">
        <x:f>IF(L1754="","OPEN",IF(OR(NOT(ISNUMBER(H1754)),NOT(ISNUMBER(I1754)),NOT(ISNUMBER(K1754)),ABS(J1754)&gt;K1754),"FAIL","PASS"))</x:f>
        <x:v>OPEN</x:v>
      </x:c>
    </x:row>
    <x:row r="1755">
      <x:c r="B1755" s="7" t="str">
        <x:v>CAL-CH-PEA-C-X1-04-3</x:v>
      </x:c>
      <x:c r="C1755" s="7" t="str">
        <x:v>CH-PEA-C-X1-04-3</x:v>
      </x:c>
      <x:c r="D1755" s="7" t="str">
        <x:v>PEA-C-X1</x:v>
      </x:c>
      <x:c r="E1755" s="7" t="str">
        <x:v>BLD-C</x:v>
      </x:c>
      <x:c r="F1755" s="7" t="str">
        <x:v>BL-X</x:v>
      </x:c>
      <x:c r="G1755" s="7" t="str">
        <x:v>MF-04</x:v>
      </x:c>
      <x:c r="H1755" s="7" t="str"/>
      <x:c r="I1755" s="7" t="str"/>
      <x:c r="J1755" s="7" t="str">
        <x:f>IF(OR(H1755="",I1755=""),"",I1755-H1755)</x:f>
      </x:c>
      <x:c r="K1755" s="7" t="str"/>
      <x:c r="L1755" s="7" t="str"/>
      <x:c r="M1755" s="7" t="str">
        <x:f>IF(L1755="","OPEN",IF(OR(NOT(ISNUMBER(H1755)),NOT(ISNUMBER(I1755)),NOT(ISNUMBER(K1755)),ABS(J1755)&gt;K1755),"FAIL","PASS"))</x:f>
        <x:v>OPEN</x:v>
      </x:c>
    </x:row>
    <x:row r="1756">
      <x:c r="B1756" s="7" t="str">
        <x:v>CAL-CH-PEA-C-X1-04-4</x:v>
      </x:c>
      <x:c r="C1756" s="7" t="str">
        <x:v>CH-PEA-C-X1-04-4</x:v>
      </x:c>
      <x:c r="D1756" s="7" t="str">
        <x:v>PEA-C-X1</x:v>
      </x:c>
      <x:c r="E1756" s="7" t="str">
        <x:v>BLD-C</x:v>
      </x:c>
      <x:c r="F1756" s="7" t="str">
        <x:v>BL-X</x:v>
      </x:c>
      <x:c r="G1756" s="7" t="str">
        <x:v>MF-04</x:v>
      </x:c>
      <x:c r="H1756" s="7" t="str"/>
      <x:c r="I1756" s="7" t="str"/>
      <x:c r="J1756" s="7" t="str">
        <x:f>IF(OR(H1756="",I1756=""),"",I1756-H1756)</x:f>
      </x:c>
      <x:c r="K1756" s="7" t="str"/>
      <x:c r="L1756" s="7" t="str"/>
      <x:c r="M1756" s="7" t="str">
        <x:f>IF(L1756="","OPEN",IF(OR(NOT(ISNUMBER(H1756)),NOT(ISNUMBER(I1756)),NOT(ISNUMBER(K1756)),ABS(J1756)&gt;K1756),"FAIL","PASS"))</x:f>
        <x:v>OPEN</x:v>
      </x:c>
    </x:row>
    <x:row r="1757">
      <x:c r="B1757" s="7" t="str">
        <x:v>CAL-CH-PEA-C-X1-04-5</x:v>
      </x:c>
      <x:c r="C1757" s="7" t="str">
        <x:v>CH-PEA-C-X1-04-5</x:v>
      </x:c>
      <x:c r="D1757" s="7" t="str">
        <x:v>PEA-C-X1</x:v>
      </x:c>
      <x:c r="E1757" s="7" t="str">
        <x:v>BLD-C</x:v>
      </x:c>
      <x:c r="F1757" s="7" t="str">
        <x:v>BL-X</x:v>
      </x:c>
      <x:c r="G1757" s="7" t="str">
        <x:v>MF-04</x:v>
      </x:c>
      <x:c r="H1757" s="7" t="str"/>
      <x:c r="I1757" s="7" t="str"/>
      <x:c r="J1757" s="7" t="str">
        <x:f>IF(OR(H1757="",I1757=""),"",I1757-H1757)</x:f>
      </x:c>
      <x:c r="K1757" s="7" t="str"/>
      <x:c r="L1757" s="7" t="str"/>
      <x:c r="M1757" s="7" t="str">
        <x:f>IF(L1757="","OPEN",IF(OR(NOT(ISNUMBER(H1757)),NOT(ISNUMBER(I1757)),NOT(ISNUMBER(K1757)),ABS(J1757)&gt;K1757),"FAIL","PASS"))</x:f>
        <x:v>OPEN</x:v>
      </x:c>
    </x:row>
    <x:row r="1758">
      <x:c r="B1758" s="7" t="str">
        <x:v>CAL-CH-PEA-C-X1-04-6</x:v>
      </x:c>
      <x:c r="C1758" s="7" t="str">
        <x:v>CH-PEA-C-X1-04-6</x:v>
      </x:c>
      <x:c r="D1758" s="7" t="str">
        <x:v>PEA-C-X1</x:v>
      </x:c>
      <x:c r="E1758" s="7" t="str">
        <x:v>BLD-C</x:v>
      </x:c>
      <x:c r="F1758" s="7" t="str">
        <x:v>BL-X</x:v>
      </x:c>
      <x:c r="G1758" s="7" t="str">
        <x:v>MF-04</x:v>
      </x:c>
      <x:c r="H1758" s="7" t="str"/>
      <x:c r="I1758" s="7" t="str"/>
      <x:c r="J1758" s="7" t="str">
        <x:f>IF(OR(H1758="",I1758=""),"",I1758-H1758)</x:f>
      </x:c>
      <x:c r="K1758" s="7" t="str"/>
      <x:c r="L1758" s="7" t="str"/>
      <x:c r="M1758" s="7" t="str">
        <x:f>IF(L1758="","OPEN",IF(OR(NOT(ISNUMBER(H1758)),NOT(ISNUMBER(I1758)),NOT(ISNUMBER(K1758)),ABS(J1758)&gt;K1758),"FAIL","PASS"))</x:f>
        <x:v>OPEN</x:v>
      </x:c>
    </x:row>
    <x:row r="1759">
      <x:c r="B1759" s="7" t="str">
        <x:v>CAL-CH-PEA-C-X1-05-1</x:v>
      </x:c>
      <x:c r="C1759" s="7" t="str">
        <x:v>CH-PEA-C-X1-05-1</x:v>
      </x:c>
      <x:c r="D1759" s="7" t="str">
        <x:v>PEA-C-X1</x:v>
      </x:c>
      <x:c r="E1759" s="7" t="str">
        <x:v>BLD-C</x:v>
      </x:c>
      <x:c r="F1759" s="7" t="str">
        <x:v>BL-X</x:v>
      </x:c>
      <x:c r="G1759" s="7" t="str">
        <x:v>MF-05</x:v>
      </x:c>
      <x:c r="H1759" s="7" t="str"/>
      <x:c r="I1759" s="7" t="str"/>
      <x:c r="J1759" s="7" t="str">
        <x:f>IF(OR(H1759="",I1759=""),"",I1759-H1759)</x:f>
      </x:c>
      <x:c r="K1759" s="7" t="str"/>
      <x:c r="L1759" s="7" t="str"/>
      <x:c r="M1759" s="7" t="str">
        <x:f>IF(L1759="","OPEN",IF(OR(NOT(ISNUMBER(H1759)),NOT(ISNUMBER(I1759)),NOT(ISNUMBER(K1759)),ABS(J1759)&gt;K1759),"FAIL","PASS"))</x:f>
        <x:v>OPEN</x:v>
      </x:c>
    </x:row>
    <x:row r="1760">
      <x:c r="B1760" s="7" t="str">
        <x:v>CAL-CH-PEA-C-X1-05-2</x:v>
      </x:c>
      <x:c r="C1760" s="7" t="str">
        <x:v>CH-PEA-C-X1-05-2</x:v>
      </x:c>
      <x:c r="D1760" s="7" t="str">
        <x:v>PEA-C-X1</x:v>
      </x:c>
      <x:c r="E1760" s="7" t="str">
        <x:v>BLD-C</x:v>
      </x:c>
      <x:c r="F1760" s="7" t="str">
        <x:v>BL-X</x:v>
      </x:c>
      <x:c r="G1760" s="7" t="str">
        <x:v>MF-05</x:v>
      </x:c>
      <x:c r="H1760" s="7" t="str"/>
      <x:c r="I1760" s="7" t="str"/>
      <x:c r="J1760" s="7" t="str">
        <x:f>IF(OR(H1760="",I1760=""),"",I1760-H1760)</x:f>
      </x:c>
      <x:c r="K1760" s="7" t="str"/>
      <x:c r="L1760" s="7" t="str"/>
      <x:c r="M1760" s="7" t="str">
        <x:f>IF(L1760="","OPEN",IF(OR(NOT(ISNUMBER(H1760)),NOT(ISNUMBER(I1760)),NOT(ISNUMBER(K1760)),ABS(J1760)&gt;K1760),"FAIL","PASS"))</x:f>
        <x:v>OPEN</x:v>
      </x:c>
    </x:row>
    <x:row r="1761">
      <x:c r="B1761" s="7" t="str">
        <x:v>CAL-CH-PEA-C-X1-05-3</x:v>
      </x:c>
      <x:c r="C1761" s="7" t="str">
        <x:v>CH-PEA-C-X1-05-3</x:v>
      </x:c>
      <x:c r="D1761" s="7" t="str">
        <x:v>PEA-C-X1</x:v>
      </x:c>
      <x:c r="E1761" s="7" t="str">
        <x:v>BLD-C</x:v>
      </x:c>
      <x:c r="F1761" s="7" t="str">
        <x:v>BL-X</x:v>
      </x:c>
      <x:c r="G1761" s="7" t="str">
        <x:v>MF-05</x:v>
      </x:c>
      <x:c r="H1761" s="7" t="str"/>
      <x:c r="I1761" s="7" t="str"/>
      <x:c r="J1761" s="7" t="str">
        <x:f>IF(OR(H1761="",I1761=""),"",I1761-H1761)</x:f>
      </x:c>
      <x:c r="K1761" s="7" t="str"/>
      <x:c r="L1761" s="7" t="str"/>
      <x:c r="M1761" s="7" t="str">
        <x:f>IF(L1761="","OPEN",IF(OR(NOT(ISNUMBER(H1761)),NOT(ISNUMBER(I1761)),NOT(ISNUMBER(K1761)),ABS(J1761)&gt;K1761),"FAIL","PASS"))</x:f>
        <x:v>OPEN</x:v>
      </x:c>
    </x:row>
    <x:row r="1762">
      <x:c r="B1762" s="7" t="str">
        <x:v>CAL-CH-PEA-C-X1-05-4</x:v>
      </x:c>
      <x:c r="C1762" s="7" t="str">
        <x:v>CH-PEA-C-X1-05-4</x:v>
      </x:c>
      <x:c r="D1762" s="7" t="str">
        <x:v>PEA-C-X1</x:v>
      </x:c>
      <x:c r="E1762" s="7" t="str">
        <x:v>BLD-C</x:v>
      </x:c>
      <x:c r="F1762" s="7" t="str">
        <x:v>BL-X</x:v>
      </x:c>
      <x:c r="G1762" s="7" t="str">
        <x:v>MF-05</x:v>
      </x:c>
      <x:c r="H1762" s="7" t="str"/>
      <x:c r="I1762" s="7" t="str"/>
      <x:c r="J1762" s="7" t="str">
        <x:f>IF(OR(H1762="",I1762=""),"",I1762-H1762)</x:f>
      </x:c>
      <x:c r="K1762" s="7" t="str"/>
      <x:c r="L1762" s="7" t="str"/>
      <x:c r="M1762" s="7" t="str">
        <x:f>IF(L1762="","OPEN",IF(OR(NOT(ISNUMBER(H1762)),NOT(ISNUMBER(I1762)),NOT(ISNUMBER(K1762)),ABS(J1762)&gt;K1762),"FAIL","PASS"))</x:f>
        <x:v>OPEN</x:v>
      </x:c>
    </x:row>
    <x:row r="1763">
      <x:c r="B1763" s="7" t="str">
        <x:v>CAL-CH-PEA-C-X1-05-5</x:v>
      </x:c>
      <x:c r="C1763" s="7" t="str">
        <x:v>CH-PEA-C-X1-05-5</x:v>
      </x:c>
      <x:c r="D1763" s="7" t="str">
        <x:v>PEA-C-X1</x:v>
      </x:c>
      <x:c r="E1763" s="7" t="str">
        <x:v>BLD-C</x:v>
      </x:c>
      <x:c r="F1763" s="7" t="str">
        <x:v>BL-X</x:v>
      </x:c>
      <x:c r="G1763" s="7" t="str">
        <x:v>MF-05</x:v>
      </x:c>
      <x:c r="H1763" s="7" t="str"/>
      <x:c r="I1763" s="7" t="str"/>
      <x:c r="J1763" s="7" t="str">
        <x:f>IF(OR(H1763="",I1763=""),"",I1763-H1763)</x:f>
      </x:c>
      <x:c r="K1763" s="7" t="str"/>
      <x:c r="L1763" s="7" t="str"/>
      <x:c r="M1763" s="7" t="str">
        <x:f>IF(L1763="","OPEN",IF(OR(NOT(ISNUMBER(H1763)),NOT(ISNUMBER(I1763)),NOT(ISNUMBER(K1763)),ABS(J1763)&gt;K1763),"FAIL","PASS"))</x:f>
        <x:v>OPEN</x:v>
      </x:c>
    </x:row>
    <x:row r="1764">
      <x:c r="B1764" s="7" t="str">
        <x:v>CAL-CH-PEA-C-X1-05-6</x:v>
      </x:c>
      <x:c r="C1764" s="7" t="str">
        <x:v>CH-PEA-C-X1-05-6</x:v>
      </x:c>
      <x:c r="D1764" s="7" t="str">
        <x:v>PEA-C-X1</x:v>
      </x:c>
      <x:c r="E1764" s="7" t="str">
        <x:v>BLD-C</x:v>
      </x:c>
      <x:c r="F1764" s="7" t="str">
        <x:v>BL-X</x:v>
      </x:c>
      <x:c r="G1764" s="7" t="str">
        <x:v>MF-05</x:v>
      </x:c>
      <x:c r="H1764" s="7" t="str"/>
      <x:c r="I1764" s="7" t="str"/>
      <x:c r="J1764" s="7" t="str">
        <x:f>IF(OR(H1764="",I1764=""),"",I1764-H1764)</x:f>
      </x:c>
      <x:c r="K1764" s="7" t="str"/>
      <x:c r="L1764" s="7" t="str"/>
      <x:c r="M1764" s="7" t="str">
        <x:f>IF(L1764="","OPEN",IF(OR(NOT(ISNUMBER(H1764)),NOT(ISNUMBER(I1764)),NOT(ISNUMBER(K1764)),ABS(J1764)&gt;K1764),"FAIL","PASS"))</x:f>
        <x:v>OPEN</x:v>
      </x:c>
    </x:row>
    <x:row r="1765">
      <x:c r="B1765" s="7" t="str">
        <x:v>CAL-CH-PEA-C-X1-06-1</x:v>
      </x:c>
      <x:c r="C1765" s="7" t="str">
        <x:v>CH-PEA-C-X1-06-1</x:v>
      </x:c>
      <x:c r="D1765" s="7" t="str">
        <x:v>PEA-C-X1</x:v>
      </x:c>
      <x:c r="E1765" s="7" t="str">
        <x:v>BLD-C</x:v>
      </x:c>
      <x:c r="F1765" s="7" t="str">
        <x:v>BL-X</x:v>
      </x:c>
      <x:c r="G1765" s="7" t="str">
        <x:v>MF-06</x:v>
      </x:c>
      <x:c r="H1765" s="7" t="str"/>
      <x:c r="I1765" s="7" t="str"/>
      <x:c r="J1765" s="7" t="str">
        <x:f>IF(OR(H1765="",I1765=""),"",I1765-H1765)</x:f>
      </x:c>
      <x:c r="K1765" s="7" t="str"/>
      <x:c r="L1765" s="7" t="str"/>
      <x:c r="M1765" s="7" t="str">
        <x:f>IF(L1765="","OPEN",IF(OR(NOT(ISNUMBER(H1765)),NOT(ISNUMBER(I1765)),NOT(ISNUMBER(K1765)),ABS(J1765)&gt;K1765),"FAIL","PASS"))</x:f>
        <x:v>OPEN</x:v>
      </x:c>
    </x:row>
    <x:row r="1766">
      <x:c r="B1766" s="7" t="str">
        <x:v>CAL-CH-PEA-C-X1-06-2</x:v>
      </x:c>
      <x:c r="C1766" s="7" t="str">
        <x:v>CH-PEA-C-X1-06-2</x:v>
      </x:c>
      <x:c r="D1766" s="7" t="str">
        <x:v>PEA-C-X1</x:v>
      </x:c>
      <x:c r="E1766" s="7" t="str">
        <x:v>BLD-C</x:v>
      </x:c>
      <x:c r="F1766" s="7" t="str">
        <x:v>BL-X</x:v>
      </x:c>
      <x:c r="G1766" s="7" t="str">
        <x:v>MF-06</x:v>
      </x:c>
      <x:c r="H1766" s="7" t="str"/>
      <x:c r="I1766" s="7" t="str"/>
      <x:c r="J1766" s="7" t="str">
        <x:f>IF(OR(H1766="",I1766=""),"",I1766-H1766)</x:f>
      </x:c>
      <x:c r="K1766" s="7" t="str"/>
      <x:c r="L1766" s="7" t="str"/>
      <x:c r="M1766" s="7" t="str">
        <x:f>IF(L1766="","OPEN",IF(OR(NOT(ISNUMBER(H1766)),NOT(ISNUMBER(I1766)),NOT(ISNUMBER(K1766)),ABS(J1766)&gt;K1766),"FAIL","PASS"))</x:f>
        <x:v>OPEN</x:v>
      </x:c>
    </x:row>
    <x:row r="1767">
      <x:c r="B1767" s="7" t="str">
        <x:v>CAL-CH-PEA-C-X1-06-3</x:v>
      </x:c>
      <x:c r="C1767" s="7" t="str">
        <x:v>CH-PEA-C-X1-06-3</x:v>
      </x:c>
      <x:c r="D1767" s="7" t="str">
        <x:v>PEA-C-X1</x:v>
      </x:c>
      <x:c r="E1767" s="7" t="str">
        <x:v>BLD-C</x:v>
      </x:c>
      <x:c r="F1767" s="7" t="str">
        <x:v>BL-X</x:v>
      </x:c>
      <x:c r="G1767" s="7" t="str">
        <x:v>MF-06</x:v>
      </x:c>
      <x:c r="H1767" s="7" t="str"/>
      <x:c r="I1767" s="7" t="str"/>
      <x:c r="J1767" s="7" t="str">
        <x:f>IF(OR(H1767="",I1767=""),"",I1767-H1767)</x:f>
      </x:c>
      <x:c r="K1767" s="7" t="str"/>
      <x:c r="L1767" s="7" t="str"/>
      <x:c r="M1767" s="7" t="str">
        <x:f>IF(L1767="","OPEN",IF(OR(NOT(ISNUMBER(H1767)),NOT(ISNUMBER(I1767)),NOT(ISNUMBER(K1767)),ABS(J1767)&gt;K1767),"FAIL","PASS"))</x:f>
        <x:v>OPEN</x:v>
      </x:c>
    </x:row>
    <x:row r="1768">
      <x:c r="B1768" s="7" t="str">
        <x:v>CAL-CH-PEA-C-X1-06-4</x:v>
      </x:c>
      <x:c r="C1768" s="7" t="str">
        <x:v>CH-PEA-C-X1-06-4</x:v>
      </x:c>
      <x:c r="D1768" s="7" t="str">
        <x:v>PEA-C-X1</x:v>
      </x:c>
      <x:c r="E1768" s="7" t="str">
        <x:v>BLD-C</x:v>
      </x:c>
      <x:c r="F1768" s="7" t="str">
        <x:v>BL-X</x:v>
      </x:c>
      <x:c r="G1768" s="7" t="str">
        <x:v>MF-06</x:v>
      </x:c>
      <x:c r="H1768" s="7" t="str"/>
      <x:c r="I1768" s="7" t="str"/>
      <x:c r="J1768" s="7" t="str">
        <x:f>IF(OR(H1768="",I1768=""),"",I1768-H1768)</x:f>
      </x:c>
      <x:c r="K1768" s="7" t="str"/>
      <x:c r="L1768" s="7" t="str"/>
      <x:c r="M1768" s="7" t="str">
        <x:f>IF(L1768="","OPEN",IF(OR(NOT(ISNUMBER(H1768)),NOT(ISNUMBER(I1768)),NOT(ISNUMBER(K1768)),ABS(J1768)&gt;K1768),"FAIL","PASS"))</x:f>
        <x:v>OPEN</x:v>
      </x:c>
    </x:row>
    <x:row r="1769">
      <x:c r="B1769" s="7" t="str">
        <x:v>CAL-CH-PEA-C-X1-06-5</x:v>
      </x:c>
      <x:c r="C1769" s="7" t="str">
        <x:v>CH-PEA-C-X1-06-5</x:v>
      </x:c>
      <x:c r="D1769" s="7" t="str">
        <x:v>PEA-C-X1</x:v>
      </x:c>
      <x:c r="E1769" s="7" t="str">
        <x:v>BLD-C</x:v>
      </x:c>
      <x:c r="F1769" s="7" t="str">
        <x:v>BL-X</x:v>
      </x:c>
      <x:c r="G1769" s="7" t="str">
        <x:v>MF-06</x:v>
      </x:c>
      <x:c r="H1769" s="7" t="str"/>
      <x:c r="I1769" s="7" t="str"/>
      <x:c r="J1769" s="7" t="str">
        <x:f>IF(OR(H1769="",I1769=""),"",I1769-H1769)</x:f>
      </x:c>
      <x:c r="K1769" s="7" t="str"/>
      <x:c r="L1769" s="7" t="str"/>
      <x:c r="M1769" s="7" t="str">
        <x:f>IF(L1769="","OPEN",IF(OR(NOT(ISNUMBER(H1769)),NOT(ISNUMBER(I1769)),NOT(ISNUMBER(K1769)),ABS(J1769)&gt;K1769),"FAIL","PASS"))</x:f>
        <x:v>OPEN</x:v>
      </x:c>
    </x:row>
    <x:row r="1770">
      <x:c r="B1770" s="7" t="str">
        <x:v>CAL-CH-PEA-C-X1-06-6</x:v>
      </x:c>
      <x:c r="C1770" s="7" t="str">
        <x:v>CH-PEA-C-X1-06-6</x:v>
      </x:c>
      <x:c r="D1770" s="7" t="str">
        <x:v>PEA-C-X1</x:v>
      </x:c>
      <x:c r="E1770" s="7" t="str">
        <x:v>BLD-C</x:v>
      </x:c>
      <x:c r="F1770" s="7" t="str">
        <x:v>BL-X</x:v>
      </x:c>
      <x:c r="G1770" s="7" t="str">
        <x:v>MF-06</x:v>
      </x:c>
      <x:c r="H1770" s="7" t="str"/>
      <x:c r="I1770" s="7" t="str"/>
      <x:c r="J1770" s="7" t="str">
        <x:f>IF(OR(H1770="",I1770=""),"",I1770-H1770)</x:f>
      </x:c>
      <x:c r="K1770" s="7" t="str"/>
      <x:c r="L1770" s="7" t="str"/>
      <x:c r="M1770" s="7" t="str">
        <x:f>IF(L1770="","OPEN",IF(OR(NOT(ISNUMBER(H1770)),NOT(ISNUMBER(I1770)),NOT(ISNUMBER(K1770)),ABS(J1770)&gt;K1770),"FAIL","PASS"))</x:f>
        <x:v>OPEN</x:v>
      </x:c>
    </x:row>
    <x:row r="1771">
      <x:c r="B1771" s="7" t="str">
        <x:v>CAL-CH-PEA-C-X1-07-1</x:v>
      </x:c>
      <x:c r="C1771" s="7" t="str">
        <x:v>CH-PEA-C-X1-07-1</x:v>
      </x:c>
      <x:c r="D1771" s="7" t="str">
        <x:v>PEA-C-X1</x:v>
      </x:c>
      <x:c r="E1771" s="7" t="str">
        <x:v>BLD-C</x:v>
      </x:c>
      <x:c r="F1771" s="7" t="str">
        <x:v>BL-X</x:v>
      </x:c>
      <x:c r="G1771" s="7" t="str">
        <x:v>MF-07</x:v>
      </x:c>
      <x:c r="H1771" s="7" t="str"/>
      <x:c r="I1771" s="7" t="str"/>
      <x:c r="J1771" s="7" t="str">
        <x:f>IF(OR(H1771="",I1771=""),"",I1771-H1771)</x:f>
      </x:c>
      <x:c r="K1771" s="7" t="str"/>
      <x:c r="L1771" s="7" t="str"/>
      <x:c r="M1771" s="7" t="str">
        <x:f>IF(L1771="","OPEN",IF(OR(NOT(ISNUMBER(H1771)),NOT(ISNUMBER(I1771)),NOT(ISNUMBER(K1771)),ABS(J1771)&gt;K1771),"FAIL","PASS"))</x:f>
        <x:v>OPEN</x:v>
      </x:c>
    </x:row>
    <x:row r="1772">
      <x:c r="B1772" s="7" t="str">
        <x:v>CAL-CH-PEA-C-X1-07-2</x:v>
      </x:c>
      <x:c r="C1772" s="7" t="str">
        <x:v>CH-PEA-C-X1-07-2</x:v>
      </x:c>
      <x:c r="D1772" s="7" t="str">
        <x:v>PEA-C-X1</x:v>
      </x:c>
      <x:c r="E1772" s="7" t="str">
        <x:v>BLD-C</x:v>
      </x:c>
      <x:c r="F1772" s="7" t="str">
        <x:v>BL-X</x:v>
      </x:c>
      <x:c r="G1772" s="7" t="str">
        <x:v>MF-07</x:v>
      </x:c>
      <x:c r="H1772" s="7" t="str"/>
      <x:c r="I1772" s="7" t="str"/>
      <x:c r="J1772" s="7" t="str">
        <x:f>IF(OR(H1772="",I1772=""),"",I1772-H1772)</x:f>
      </x:c>
      <x:c r="K1772" s="7" t="str"/>
      <x:c r="L1772" s="7" t="str"/>
      <x:c r="M1772" s="7" t="str">
        <x:f>IF(L1772="","OPEN",IF(OR(NOT(ISNUMBER(H1772)),NOT(ISNUMBER(I1772)),NOT(ISNUMBER(K1772)),ABS(J1772)&gt;K1772),"FAIL","PASS"))</x:f>
        <x:v>OPEN</x:v>
      </x:c>
    </x:row>
    <x:row r="1773">
      <x:c r="B1773" s="7" t="str">
        <x:v>CAL-CH-PEA-C-X1-07-3</x:v>
      </x:c>
      <x:c r="C1773" s="7" t="str">
        <x:v>CH-PEA-C-X1-07-3</x:v>
      </x:c>
      <x:c r="D1773" s="7" t="str">
        <x:v>PEA-C-X1</x:v>
      </x:c>
      <x:c r="E1773" s="7" t="str">
        <x:v>BLD-C</x:v>
      </x:c>
      <x:c r="F1773" s="7" t="str">
        <x:v>BL-X</x:v>
      </x:c>
      <x:c r="G1773" s="7" t="str">
        <x:v>MF-07</x:v>
      </x:c>
      <x:c r="H1773" s="7" t="str"/>
      <x:c r="I1773" s="7" t="str"/>
      <x:c r="J1773" s="7" t="str">
        <x:f>IF(OR(H1773="",I1773=""),"",I1773-H1773)</x:f>
      </x:c>
      <x:c r="K1773" s="7" t="str"/>
      <x:c r="L1773" s="7" t="str"/>
      <x:c r="M1773" s="7" t="str">
        <x:f>IF(L1773="","OPEN",IF(OR(NOT(ISNUMBER(H1773)),NOT(ISNUMBER(I1773)),NOT(ISNUMBER(K1773)),ABS(J1773)&gt;K1773),"FAIL","PASS"))</x:f>
        <x:v>OPEN</x:v>
      </x:c>
    </x:row>
    <x:row r="1774">
      <x:c r="B1774" s="7" t="str">
        <x:v>CAL-CH-PEA-C-X1-07-4</x:v>
      </x:c>
      <x:c r="C1774" s="7" t="str">
        <x:v>CH-PEA-C-X1-07-4</x:v>
      </x:c>
      <x:c r="D1774" s="7" t="str">
        <x:v>PEA-C-X1</x:v>
      </x:c>
      <x:c r="E1774" s="7" t="str">
        <x:v>BLD-C</x:v>
      </x:c>
      <x:c r="F1774" s="7" t="str">
        <x:v>BL-X</x:v>
      </x:c>
      <x:c r="G1774" s="7" t="str">
        <x:v>MF-07</x:v>
      </x:c>
      <x:c r="H1774" s="7" t="str"/>
      <x:c r="I1774" s="7" t="str"/>
      <x:c r="J1774" s="7" t="str">
        <x:f>IF(OR(H1774="",I1774=""),"",I1774-H1774)</x:f>
      </x:c>
      <x:c r="K1774" s="7" t="str"/>
      <x:c r="L1774" s="7" t="str"/>
      <x:c r="M1774" s="7" t="str">
        <x:f>IF(L1774="","OPEN",IF(OR(NOT(ISNUMBER(H1774)),NOT(ISNUMBER(I1774)),NOT(ISNUMBER(K1774)),ABS(J1774)&gt;K1774),"FAIL","PASS"))</x:f>
        <x:v>OPEN</x:v>
      </x:c>
    </x:row>
    <x:row r="1775">
      <x:c r="B1775" s="7" t="str">
        <x:v>CAL-CH-PEA-C-X1-07-5</x:v>
      </x:c>
      <x:c r="C1775" s="7" t="str">
        <x:v>CH-PEA-C-X1-07-5</x:v>
      </x:c>
      <x:c r="D1775" s="7" t="str">
        <x:v>PEA-C-X1</x:v>
      </x:c>
      <x:c r="E1775" s="7" t="str">
        <x:v>BLD-C</x:v>
      </x:c>
      <x:c r="F1775" s="7" t="str">
        <x:v>BL-X</x:v>
      </x:c>
      <x:c r="G1775" s="7" t="str">
        <x:v>MF-07</x:v>
      </x:c>
      <x:c r="H1775" s="7" t="str"/>
      <x:c r="I1775" s="7" t="str"/>
      <x:c r="J1775" s="7" t="str">
        <x:f>IF(OR(H1775="",I1775=""),"",I1775-H1775)</x:f>
      </x:c>
      <x:c r="K1775" s="7" t="str"/>
      <x:c r="L1775" s="7" t="str"/>
      <x:c r="M1775" s="7" t="str">
        <x:f>IF(L1775="","OPEN",IF(OR(NOT(ISNUMBER(H1775)),NOT(ISNUMBER(I1775)),NOT(ISNUMBER(K1775)),ABS(J1775)&gt;K1775),"FAIL","PASS"))</x:f>
        <x:v>OPEN</x:v>
      </x:c>
    </x:row>
    <x:row r="1776">
      <x:c r="B1776" s="7" t="str">
        <x:v>CAL-CH-PEA-C-X1-07-6</x:v>
      </x:c>
      <x:c r="C1776" s="7" t="str">
        <x:v>CH-PEA-C-X1-07-6</x:v>
      </x:c>
      <x:c r="D1776" s="7" t="str">
        <x:v>PEA-C-X1</x:v>
      </x:c>
      <x:c r="E1776" s="7" t="str">
        <x:v>BLD-C</x:v>
      </x:c>
      <x:c r="F1776" s="7" t="str">
        <x:v>BL-X</x:v>
      </x:c>
      <x:c r="G1776" s="7" t="str">
        <x:v>MF-07</x:v>
      </x:c>
      <x:c r="H1776" s="7" t="str"/>
      <x:c r="I1776" s="7" t="str"/>
      <x:c r="J1776" s="7" t="str">
        <x:f>IF(OR(H1776="",I1776=""),"",I1776-H1776)</x:f>
      </x:c>
      <x:c r="K1776" s="7" t="str"/>
      <x:c r="L1776" s="7" t="str"/>
      <x:c r="M1776" s="7" t="str">
        <x:f>IF(L1776="","OPEN",IF(OR(NOT(ISNUMBER(H1776)),NOT(ISNUMBER(I1776)),NOT(ISNUMBER(K1776)),ABS(J1776)&gt;K1776),"FAIL","PASS"))</x:f>
        <x:v>OPEN</x:v>
      </x:c>
    </x:row>
    <x:row r="1777">
      <x:c r="B1777" s="7" t="str">
        <x:v>CAL-CH-PEA-C-X1-08-1</x:v>
      </x:c>
      <x:c r="C1777" s="7" t="str">
        <x:v>CH-PEA-C-X1-08-1</x:v>
      </x:c>
      <x:c r="D1777" s="7" t="str">
        <x:v>PEA-C-X1</x:v>
      </x:c>
      <x:c r="E1777" s="7" t="str">
        <x:v>BLD-C</x:v>
      </x:c>
      <x:c r="F1777" s="7" t="str">
        <x:v>BL-X</x:v>
      </x:c>
      <x:c r="G1777" s="7" t="str">
        <x:v>MF-08</x:v>
      </x:c>
      <x:c r="H1777" s="7" t="str"/>
      <x:c r="I1777" s="7" t="str"/>
      <x:c r="J1777" s="7" t="str">
        <x:f>IF(OR(H1777="",I1777=""),"",I1777-H1777)</x:f>
      </x:c>
      <x:c r="K1777" s="7" t="str"/>
      <x:c r="L1777" s="7" t="str"/>
      <x:c r="M1777" s="7" t="str">
        <x:f>IF(L1777="","OPEN",IF(OR(NOT(ISNUMBER(H1777)),NOT(ISNUMBER(I1777)),NOT(ISNUMBER(K1777)),ABS(J1777)&gt;K1777),"FAIL","PASS"))</x:f>
        <x:v>OPEN</x:v>
      </x:c>
    </x:row>
    <x:row r="1778">
      <x:c r="B1778" s="7" t="str">
        <x:v>CAL-CH-PEA-C-X1-08-2</x:v>
      </x:c>
      <x:c r="C1778" s="7" t="str">
        <x:v>CH-PEA-C-X1-08-2</x:v>
      </x:c>
      <x:c r="D1778" s="7" t="str">
        <x:v>PEA-C-X1</x:v>
      </x:c>
      <x:c r="E1778" s="7" t="str">
        <x:v>BLD-C</x:v>
      </x:c>
      <x:c r="F1778" s="7" t="str">
        <x:v>BL-X</x:v>
      </x:c>
      <x:c r="G1778" s="7" t="str">
        <x:v>MF-08</x:v>
      </x:c>
      <x:c r="H1778" s="7" t="str"/>
      <x:c r="I1778" s="7" t="str"/>
      <x:c r="J1778" s="7" t="str">
        <x:f>IF(OR(H1778="",I1778=""),"",I1778-H1778)</x:f>
      </x:c>
      <x:c r="K1778" s="7" t="str"/>
      <x:c r="L1778" s="7" t="str"/>
      <x:c r="M1778" s="7" t="str">
        <x:f>IF(L1778="","OPEN",IF(OR(NOT(ISNUMBER(H1778)),NOT(ISNUMBER(I1778)),NOT(ISNUMBER(K1778)),ABS(J1778)&gt;K1778),"FAIL","PASS"))</x:f>
        <x:v>OPEN</x:v>
      </x:c>
    </x:row>
    <x:row r="1779">
      <x:c r="B1779" s="7" t="str">
        <x:v>CAL-CH-PEA-C-X1-08-3</x:v>
      </x:c>
      <x:c r="C1779" s="7" t="str">
        <x:v>CH-PEA-C-X1-08-3</x:v>
      </x:c>
      <x:c r="D1779" s="7" t="str">
        <x:v>PEA-C-X1</x:v>
      </x:c>
      <x:c r="E1779" s="7" t="str">
        <x:v>BLD-C</x:v>
      </x:c>
      <x:c r="F1779" s="7" t="str">
        <x:v>BL-X</x:v>
      </x:c>
      <x:c r="G1779" s="7" t="str">
        <x:v>MF-08</x:v>
      </x:c>
      <x:c r="H1779" s="7" t="str"/>
      <x:c r="I1779" s="7" t="str"/>
      <x:c r="J1779" s="7" t="str">
        <x:f>IF(OR(H1779="",I1779=""),"",I1779-H1779)</x:f>
      </x:c>
      <x:c r="K1779" s="7" t="str"/>
      <x:c r="L1779" s="7" t="str"/>
      <x:c r="M1779" s="7" t="str">
        <x:f>IF(L1779="","OPEN",IF(OR(NOT(ISNUMBER(H1779)),NOT(ISNUMBER(I1779)),NOT(ISNUMBER(K1779)),ABS(J1779)&gt;K1779),"FAIL","PASS"))</x:f>
        <x:v>OPEN</x:v>
      </x:c>
    </x:row>
    <x:row r="1780">
      <x:c r="B1780" s="7" t="str">
        <x:v>CAL-CH-PEA-C-X1-08-4</x:v>
      </x:c>
      <x:c r="C1780" s="7" t="str">
        <x:v>CH-PEA-C-X1-08-4</x:v>
      </x:c>
      <x:c r="D1780" s="7" t="str">
        <x:v>PEA-C-X1</x:v>
      </x:c>
      <x:c r="E1780" s="7" t="str">
        <x:v>BLD-C</x:v>
      </x:c>
      <x:c r="F1780" s="7" t="str">
        <x:v>BL-X</x:v>
      </x:c>
      <x:c r="G1780" s="7" t="str">
        <x:v>MF-08</x:v>
      </x:c>
      <x:c r="H1780" s="7" t="str"/>
      <x:c r="I1780" s="7" t="str"/>
      <x:c r="J1780" s="7" t="str">
        <x:f>IF(OR(H1780="",I1780=""),"",I1780-H1780)</x:f>
      </x:c>
      <x:c r="K1780" s="7" t="str"/>
      <x:c r="L1780" s="7" t="str"/>
      <x:c r="M1780" s="7" t="str">
        <x:f>IF(L1780="","OPEN",IF(OR(NOT(ISNUMBER(H1780)),NOT(ISNUMBER(I1780)),NOT(ISNUMBER(K1780)),ABS(J1780)&gt;K1780),"FAIL","PASS"))</x:f>
        <x:v>OPEN</x:v>
      </x:c>
    </x:row>
    <x:row r="1781">
      <x:c r="B1781" s="7" t="str">
        <x:v>CAL-CH-PEA-C-X1-08-5</x:v>
      </x:c>
      <x:c r="C1781" s="7" t="str">
        <x:v>CH-PEA-C-X1-08-5</x:v>
      </x:c>
      <x:c r="D1781" s="7" t="str">
        <x:v>PEA-C-X1</x:v>
      </x:c>
      <x:c r="E1781" s="7" t="str">
        <x:v>BLD-C</x:v>
      </x:c>
      <x:c r="F1781" s="7" t="str">
        <x:v>BL-X</x:v>
      </x:c>
      <x:c r="G1781" s="7" t="str">
        <x:v>MF-08</x:v>
      </x:c>
      <x:c r="H1781" s="7" t="str"/>
      <x:c r="I1781" s="7" t="str"/>
      <x:c r="J1781" s="7" t="str">
        <x:f>IF(OR(H1781="",I1781=""),"",I1781-H1781)</x:f>
      </x:c>
      <x:c r="K1781" s="7" t="str"/>
      <x:c r="L1781" s="7" t="str"/>
      <x:c r="M1781" s="7" t="str">
        <x:f>IF(L1781="","OPEN",IF(OR(NOT(ISNUMBER(H1781)),NOT(ISNUMBER(I1781)),NOT(ISNUMBER(K1781)),ABS(J1781)&gt;K1781),"FAIL","PASS"))</x:f>
        <x:v>OPEN</x:v>
      </x:c>
    </x:row>
    <x:row r="1782">
      <x:c r="B1782" s="7" t="str">
        <x:v>CAL-CH-PEA-C-X1-08-6</x:v>
      </x:c>
      <x:c r="C1782" s="7" t="str">
        <x:v>CH-PEA-C-X1-08-6</x:v>
      </x:c>
      <x:c r="D1782" s="7" t="str">
        <x:v>PEA-C-X1</x:v>
      </x:c>
      <x:c r="E1782" s="7" t="str">
        <x:v>BLD-C</x:v>
      </x:c>
      <x:c r="F1782" s="7" t="str">
        <x:v>BL-X</x:v>
      </x:c>
      <x:c r="G1782" s="7" t="str">
        <x:v>MF-08</x:v>
      </x:c>
      <x:c r="H1782" s="7" t="str"/>
      <x:c r="I1782" s="7" t="str"/>
      <x:c r="J1782" s="7" t="str">
        <x:f>IF(OR(H1782="",I1782=""),"",I1782-H1782)</x:f>
      </x:c>
      <x:c r="K1782" s="7" t="str"/>
      <x:c r="L1782" s="7" t="str"/>
      <x:c r="M1782" s="7" t="str">
        <x:f>IF(L1782="","OPEN",IF(OR(NOT(ISNUMBER(H1782)),NOT(ISNUMBER(I1782)),NOT(ISNUMBER(K1782)),ABS(J1782)&gt;K1782),"FAIL","PASS"))</x:f>
        <x:v>OPEN</x:v>
      </x:c>
    </x:row>
    <x:row r="1783">
      <x:c r="B1783" s="7" t="str">
        <x:v>CAL-CH-PEA-C-X1-09-1</x:v>
      </x:c>
      <x:c r="C1783" s="7" t="str">
        <x:v>CH-PEA-C-X1-09-1</x:v>
      </x:c>
      <x:c r="D1783" s="7" t="str">
        <x:v>PEA-C-X1</x:v>
      </x:c>
      <x:c r="E1783" s="7" t="str">
        <x:v>BLD-C</x:v>
      </x:c>
      <x:c r="F1783" s="7" t="str">
        <x:v>BL-X</x:v>
      </x:c>
      <x:c r="G1783" s="7" t="str">
        <x:v>MF-09</x:v>
      </x:c>
      <x:c r="H1783" s="7" t="str"/>
      <x:c r="I1783" s="7" t="str"/>
      <x:c r="J1783" s="7" t="str">
        <x:f>IF(OR(H1783="",I1783=""),"",I1783-H1783)</x:f>
      </x:c>
      <x:c r="K1783" s="7" t="str"/>
      <x:c r="L1783" s="7" t="str"/>
      <x:c r="M1783" s="7" t="str">
        <x:f>IF(L1783="","OPEN",IF(OR(NOT(ISNUMBER(H1783)),NOT(ISNUMBER(I1783)),NOT(ISNUMBER(K1783)),ABS(J1783)&gt;K1783),"FAIL","PASS"))</x:f>
        <x:v>OPEN</x:v>
      </x:c>
    </x:row>
    <x:row r="1784">
      <x:c r="B1784" s="7" t="str">
        <x:v>CAL-CH-PEA-C-X1-09-2</x:v>
      </x:c>
      <x:c r="C1784" s="7" t="str">
        <x:v>CH-PEA-C-X1-09-2</x:v>
      </x:c>
      <x:c r="D1784" s="7" t="str">
        <x:v>PEA-C-X1</x:v>
      </x:c>
      <x:c r="E1784" s="7" t="str">
        <x:v>BLD-C</x:v>
      </x:c>
      <x:c r="F1784" s="7" t="str">
        <x:v>BL-X</x:v>
      </x:c>
      <x:c r="G1784" s="7" t="str">
        <x:v>MF-09</x:v>
      </x:c>
      <x:c r="H1784" s="7" t="str"/>
      <x:c r="I1784" s="7" t="str"/>
      <x:c r="J1784" s="7" t="str">
        <x:f>IF(OR(H1784="",I1784=""),"",I1784-H1784)</x:f>
      </x:c>
      <x:c r="K1784" s="7" t="str"/>
      <x:c r="L1784" s="7" t="str"/>
      <x:c r="M1784" s="7" t="str">
        <x:f>IF(L1784="","OPEN",IF(OR(NOT(ISNUMBER(H1784)),NOT(ISNUMBER(I1784)),NOT(ISNUMBER(K1784)),ABS(J1784)&gt;K1784),"FAIL","PASS"))</x:f>
        <x:v>OPEN</x:v>
      </x:c>
    </x:row>
    <x:row r="1785">
      <x:c r="B1785" s="7" t="str">
        <x:v>CAL-CH-PEA-C-X1-09-3</x:v>
      </x:c>
      <x:c r="C1785" s="7" t="str">
        <x:v>CH-PEA-C-X1-09-3</x:v>
      </x:c>
      <x:c r="D1785" s="7" t="str">
        <x:v>PEA-C-X1</x:v>
      </x:c>
      <x:c r="E1785" s="7" t="str">
        <x:v>BLD-C</x:v>
      </x:c>
      <x:c r="F1785" s="7" t="str">
        <x:v>BL-X</x:v>
      </x:c>
      <x:c r="G1785" s="7" t="str">
        <x:v>MF-09</x:v>
      </x:c>
      <x:c r="H1785" s="7" t="str"/>
      <x:c r="I1785" s="7" t="str"/>
      <x:c r="J1785" s="7" t="str">
        <x:f>IF(OR(H1785="",I1785=""),"",I1785-H1785)</x:f>
      </x:c>
      <x:c r="K1785" s="7" t="str"/>
      <x:c r="L1785" s="7" t="str"/>
      <x:c r="M1785" s="7" t="str">
        <x:f>IF(L1785="","OPEN",IF(OR(NOT(ISNUMBER(H1785)),NOT(ISNUMBER(I1785)),NOT(ISNUMBER(K1785)),ABS(J1785)&gt;K1785),"FAIL","PASS"))</x:f>
        <x:v>OPEN</x:v>
      </x:c>
    </x:row>
    <x:row r="1786">
      <x:c r="B1786" s="7" t="str">
        <x:v>CAL-CH-PEA-C-X1-09-4</x:v>
      </x:c>
      <x:c r="C1786" s="7" t="str">
        <x:v>CH-PEA-C-X1-09-4</x:v>
      </x:c>
      <x:c r="D1786" s="7" t="str">
        <x:v>PEA-C-X1</x:v>
      </x:c>
      <x:c r="E1786" s="7" t="str">
        <x:v>BLD-C</x:v>
      </x:c>
      <x:c r="F1786" s="7" t="str">
        <x:v>BL-X</x:v>
      </x:c>
      <x:c r="G1786" s="7" t="str">
        <x:v>MF-09</x:v>
      </x:c>
      <x:c r="H1786" s="7" t="str"/>
      <x:c r="I1786" s="7" t="str"/>
      <x:c r="J1786" s="7" t="str">
        <x:f>IF(OR(H1786="",I1786=""),"",I1786-H1786)</x:f>
      </x:c>
      <x:c r="K1786" s="7" t="str"/>
      <x:c r="L1786" s="7" t="str"/>
      <x:c r="M1786" s="7" t="str">
        <x:f>IF(L1786="","OPEN",IF(OR(NOT(ISNUMBER(H1786)),NOT(ISNUMBER(I1786)),NOT(ISNUMBER(K1786)),ABS(J1786)&gt;K1786),"FAIL","PASS"))</x:f>
        <x:v>OPEN</x:v>
      </x:c>
    </x:row>
    <x:row r="1787">
      <x:c r="B1787" s="7" t="str">
        <x:v>CAL-CH-PEA-C-X1-09-5</x:v>
      </x:c>
      <x:c r="C1787" s="7" t="str">
        <x:v>CH-PEA-C-X1-09-5</x:v>
      </x:c>
      <x:c r="D1787" s="7" t="str">
        <x:v>PEA-C-X1</x:v>
      </x:c>
      <x:c r="E1787" s="7" t="str">
        <x:v>BLD-C</x:v>
      </x:c>
      <x:c r="F1787" s="7" t="str">
        <x:v>BL-X</x:v>
      </x:c>
      <x:c r="G1787" s="7" t="str">
        <x:v>MF-09</x:v>
      </x:c>
      <x:c r="H1787" s="7" t="str"/>
      <x:c r="I1787" s="7" t="str"/>
      <x:c r="J1787" s="7" t="str">
        <x:f>IF(OR(H1787="",I1787=""),"",I1787-H1787)</x:f>
      </x:c>
      <x:c r="K1787" s="7" t="str"/>
      <x:c r="L1787" s="7" t="str"/>
      <x:c r="M1787" s="7" t="str">
        <x:f>IF(L1787="","OPEN",IF(OR(NOT(ISNUMBER(H1787)),NOT(ISNUMBER(I1787)),NOT(ISNUMBER(K1787)),ABS(J1787)&gt;K1787),"FAIL","PASS"))</x:f>
        <x:v>OPEN</x:v>
      </x:c>
    </x:row>
    <x:row r="1788">
      <x:c r="B1788" s="7" t="str">
        <x:v>CAL-CH-PEA-C-X1-09-6</x:v>
      </x:c>
      <x:c r="C1788" s="7" t="str">
        <x:v>CH-PEA-C-X1-09-6</x:v>
      </x:c>
      <x:c r="D1788" s="7" t="str">
        <x:v>PEA-C-X1</x:v>
      </x:c>
      <x:c r="E1788" s="7" t="str">
        <x:v>BLD-C</x:v>
      </x:c>
      <x:c r="F1788" s="7" t="str">
        <x:v>BL-X</x:v>
      </x:c>
      <x:c r="G1788" s="7" t="str">
        <x:v>MF-09</x:v>
      </x:c>
      <x:c r="H1788" s="7" t="str"/>
      <x:c r="I1788" s="7" t="str"/>
      <x:c r="J1788" s="7" t="str">
        <x:f>IF(OR(H1788="",I1788=""),"",I1788-H1788)</x:f>
      </x:c>
      <x:c r="K1788" s="7" t="str"/>
      <x:c r="L1788" s="7" t="str"/>
      <x:c r="M1788" s="7" t="str">
        <x:f>IF(L1788="","OPEN",IF(OR(NOT(ISNUMBER(H1788)),NOT(ISNUMBER(I1788)),NOT(ISNUMBER(K1788)),ABS(J1788)&gt;K1788),"FAIL","PASS"))</x:f>
        <x:v>OPEN</x:v>
      </x:c>
    </x:row>
    <x:row r="1789">
      <x:c r="B1789" s="7" t="str">
        <x:v>CAL-CH-PEA-C-X1-10-1</x:v>
      </x:c>
      <x:c r="C1789" s="7" t="str">
        <x:v>CH-PEA-C-X1-10-1</x:v>
      </x:c>
      <x:c r="D1789" s="7" t="str">
        <x:v>PEA-C-X1</x:v>
      </x:c>
      <x:c r="E1789" s="7" t="str">
        <x:v>BLD-C</x:v>
      </x:c>
      <x:c r="F1789" s="7" t="str">
        <x:v>BL-X</x:v>
      </x:c>
      <x:c r="G1789" s="7" t="str">
        <x:v>MF-10</x:v>
      </x:c>
      <x:c r="H1789" s="7" t="str"/>
      <x:c r="I1789" s="7" t="str"/>
      <x:c r="J1789" s="7" t="str">
        <x:f>IF(OR(H1789="",I1789=""),"",I1789-H1789)</x:f>
      </x:c>
      <x:c r="K1789" s="7" t="str"/>
      <x:c r="L1789" s="7" t="str"/>
      <x:c r="M1789" s="7" t="str">
        <x:f>IF(L1789="","OPEN",IF(OR(NOT(ISNUMBER(H1789)),NOT(ISNUMBER(I1789)),NOT(ISNUMBER(K1789)),ABS(J1789)&gt;K1789),"FAIL","PASS"))</x:f>
        <x:v>OPEN</x:v>
      </x:c>
    </x:row>
    <x:row r="1790">
      <x:c r="B1790" s="7" t="str">
        <x:v>CAL-CH-PEA-C-X1-10-2</x:v>
      </x:c>
      <x:c r="C1790" s="7" t="str">
        <x:v>CH-PEA-C-X1-10-2</x:v>
      </x:c>
      <x:c r="D1790" s="7" t="str">
        <x:v>PEA-C-X1</x:v>
      </x:c>
      <x:c r="E1790" s="7" t="str">
        <x:v>BLD-C</x:v>
      </x:c>
      <x:c r="F1790" s="7" t="str">
        <x:v>BL-X</x:v>
      </x:c>
      <x:c r="G1790" s="7" t="str">
        <x:v>MF-10</x:v>
      </x:c>
      <x:c r="H1790" s="7" t="str"/>
      <x:c r="I1790" s="7" t="str"/>
      <x:c r="J1790" s="7" t="str">
        <x:f>IF(OR(H1790="",I1790=""),"",I1790-H1790)</x:f>
      </x:c>
      <x:c r="K1790" s="7" t="str"/>
      <x:c r="L1790" s="7" t="str"/>
      <x:c r="M1790" s="7" t="str">
        <x:f>IF(L1790="","OPEN",IF(OR(NOT(ISNUMBER(H1790)),NOT(ISNUMBER(I1790)),NOT(ISNUMBER(K1790)),ABS(J1790)&gt;K1790),"FAIL","PASS"))</x:f>
        <x:v>OPEN</x:v>
      </x:c>
    </x:row>
    <x:row r="1791">
      <x:c r="B1791" s="7" t="str">
        <x:v>CAL-CH-PEA-C-X1-10-3</x:v>
      </x:c>
      <x:c r="C1791" s="7" t="str">
        <x:v>CH-PEA-C-X1-10-3</x:v>
      </x:c>
      <x:c r="D1791" s="7" t="str">
        <x:v>PEA-C-X1</x:v>
      </x:c>
      <x:c r="E1791" s="7" t="str">
        <x:v>BLD-C</x:v>
      </x:c>
      <x:c r="F1791" s="7" t="str">
        <x:v>BL-X</x:v>
      </x:c>
      <x:c r="G1791" s="7" t="str">
        <x:v>MF-10</x:v>
      </x:c>
      <x:c r="H1791" s="7" t="str"/>
      <x:c r="I1791" s="7" t="str"/>
      <x:c r="J1791" s="7" t="str">
        <x:f>IF(OR(H1791="",I1791=""),"",I1791-H1791)</x:f>
      </x:c>
      <x:c r="K1791" s="7" t="str"/>
      <x:c r="L1791" s="7" t="str"/>
      <x:c r="M1791" s="7" t="str">
        <x:f>IF(L1791="","OPEN",IF(OR(NOT(ISNUMBER(H1791)),NOT(ISNUMBER(I1791)),NOT(ISNUMBER(K1791)),ABS(J1791)&gt;K1791),"FAIL","PASS"))</x:f>
        <x:v>OPEN</x:v>
      </x:c>
    </x:row>
    <x:row r="1792">
      <x:c r="B1792" s="7" t="str">
        <x:v>CAL-CH-PEA-C-X1-10-4</x:v>
      </x:c>
      <x:c r="C1792" s="7" t="str">
        <x:v>CH-PEA-C-X1-10-4</x:v>
      </x:c>
      <x:c r="D1792" s="7" t="str">
        <x:v>PEA-C-X1</x:v>
      </x:c>
      <x:c r="E1792" s="7" t="str">
        <x:v>BLD-C</x:v>
      </x:c>
      <x:c r="F1792" s="7" t="str">
        <x:v>BL-X</x:v>
      </x:c>
      <x:c r="G1792" s="7" t="str">
        <x:v>MF-10</x:v>
      </x:c>
      <x:c r="H1792" s="7" t="str"/>
      <x:c r="I1792" s="7" t="str"/>
      <x:c r="J1792" s="7" t="str">
        <x:f>IF(OR(H1792="",I1792=""),"",I1792-H1792)</x:f>
      </x:c>
      <x:c r="K1792" s="7" t="str"/>
      <x:c r="L1792" s="7" t="str"/>
      <x:c r="M1792" s="7" t="str">
        <x:f>IF(L1792="","OPEN",IF(OR(NOT(ISNUMBER(H1792)),NOT(ISNUMBER(I1792)),NOT(ISNUMBER(K1792)),ABS(J1792)&gt;K1792),"FAIL","PASS"))</x:f>
        <x:v>OPEN</x:v>
      </x:c>
    </x:row>
    <x:row r="1793">
      <x:c r="B1793" s="7" t="str">
        <x:v>CAL-CH-PEA-C-X1-10-5</x:v>
      </x:c>
      <x:c r="C1793" s="7" t="str">
        <x:v>CH-PEA-C-X1-10-5</x:v>
      </x:c>
      <x:c r="D1793" s="7" t="str">
        <x:v>PEA-C-X1</x:v>
      </x:c>
      <x:c r="E1793" s="7" t="str">
        <x:v>BLD-C</x:v>
      </x:c>
      <x:c r="F1793" s="7" t="str">
        <x:v>BL-X</x:v>
      </x:c>
      <x:c r="G1793" s="7" t="str">
        <x:v>MF-10</x:v>
      </x:c>
      <x:c r="H1793" s="7" t="str"/>
      <x:c r="I1793" s="7" t="str"/>
      <x:c r="J1793" s="7" t="str">
        <x:f>IF(OR(H1793="",I1793=""),"",I1793-H1793)</x:f>
      </x:c>
      <x:c r="K1793" s="7" t="str"/>
      <x:c r="L1793" s="7" t="str"/>
      <x:c r="M1793" s="7" t="str">
        <x:f>IF(L1793="","OPEN",IF(OR(NOT(ISNUMBER(H1793)),NOT(ISNUMBER(I1793)),NOT(ISNUMBER(K1793)),ABS(J1793)&gt;K1793),"FAIL","PASS"))</x:f>
        <x:v>OPEN</x:v>
      </x:c>
    </x:row>
    <x:row r="1794">
      <x:c r="B1794" s="7" t="str">
        <x:v>CAL-CH-PEA-C-X1-10-6</x:v>
      </x:c>
      <x:c r="C1794" s="7" t="str">
        <x:v>CH-PEA-C-X1-10-6</x:v>
      </x:c>
      <x:c r="D1794" s="7" t="str">
        <x:v>PEA-C-X1</x:v>
      </x:c>
      <x:c r="E1794" s="7" t="str">
        <x:v>BLD-C</x:v>
      </x:c>
      <x:c r="F1794" s="7" t="str">
        <x:v>BL-X</x:v>
      </x:c>
      <x:c r="G1794" s="7" t="str">
        <x:v>MF-10</x:v>
      </x:c>
      <x:c r="H1794" s="7" t="str"/>
      <x:c r="I1794" s="7" t="str"/>
      <x:c r="J1794" s="7" t="str">
        <x:f>IF(OR(H1794="",I1794=""),"",I1794-H1794)</x:f>
      </x:c>
      <x:c r="K1794" s="7" t="str"/>
      <x:c r="L1794" s="7" t="str"/>
      <x:c r="M1794" s="7" t="str">
        <x:f>IF(L1794="","OPEN",IF(OR(NOT(ISNUMBER(H1794)),NOT(ISNUMBER(I1794)),NOT(ISNUMBER(K1794)),ABS(J1794)&gt;K1794),"FAIL","PASS"))</x:f>
        <x:v>OPEN</x:v>
      </x:c>
    </x:row>
    <x:row r="1795">
      <x:c r="B1795" s="7" t="str">
        <x:v>CAL-CH-PEA-C-X1-11-1</x:v>
      </x:c>
      <x:c r="C1795" s="7" t="str">
        <x:v>CH-PEA-C-X1-11-1</x:v>
      </x:c>
      <x:c r="D1795" s="7" t="str">
        <x:v>PEA-C-X1</x:v>
      </x:c>
      <x:c r="E1795" s="7" t="str">
        <x:v>BLD-C</x:v>
      </x:c>
      <x:c r="F1795" s="7" t="str">
        <x:v>BL-X</x:v>
      </x:c>
      <x:c r="G1795" s="7" t="str">
        <x:v>MF-11</x:v>
      </x:c>
      <x:c r="H1795" s="7" t="str"/>
      <x:c r="I1795" s="7" t="str"/>
      <x:c r="J1795" s="7" t="str">
        <x:f>IF(OR(H1795="",I1795=""),"",I1795-H1795)</x:f>
      </x:c>
      <x:c r="K1795" s="7" t="str"/>
      <x:c r="L1795" s="7" t="str"/>
      <x:c r="M1795" s="7" t="str">
        <x:f>IF(L1795="","OPEN",IF(OR(NOT(ISNUMBER(H1795)),NOT(ISNUMBER(I1795)),NOT(ISNUMBER(K1795)),ABS(J1795)&gt;K1795),"FAIL","PASS"))</x:f>
        <x:v>OPEN</x:v>
      </x:c>
    </x:row>
    <x:row r="1796">
      <x:c r="B1796" s="7" t="str">
        <x:v>CAL-CH-PEA-C-X1-11-2</x:v>
      </x:c>
      <x:c r="C1796" s="7" t="str">
        <x:v>CH-PEA-C-X1-11-2</x:v>
      </x:c>
      <x:c r="D1796" s="7" t="str">
        <x:v>PEA-C-X1</x:v>
      </x:c>
      <x:c r="E1796" s="7" t="str">
        <x:v>BLD-C</x:v>
      </x:c>
      <x:c r="F1796" s="7" t="str">
        <x:v>BL-X</x:v>
      </x:c>
      <x:c r="G1796" s="7" t="str">
        <x:v>MF-11</x:v>
      </x:c>
      <x:c r="H1796" s="7" t="str"/>
      <x:c r="I1796" s="7" t="str"/>
      <x:c r="J1796" s="7" t="str">
        <x:f>IF(OR(H1796="",I1796=""),"",I1796-H1796)</x:f>
      </x:c>
      <x:c r="K1796" s="7" t="str"/>
      <x:c r="L1796" s="7" t="str"/>
      <x:c r="M1796" s="7" t="str">
        <x:f>IF(L1796="","OPEN",IF(OR(NOT(ISNUMBER(H1796)),NOT(ISNUMBER(I1796)),NOT(ISNUMBER(K1796)),ABS(J1796)&gt;K1796),"FAIL","PASS"))</x:f>
        <x:v>OPEN</x:v>
      </x:c>
    </x:row>
    <x:row r="1797">
      <x:c r="B1797" s="7" t="str">
        <x:v>CAL-CH-PEA-C-X1-11-3</x:v>
      </x:c>
      <x:c r="C1797" s="7" t="str">
        <x:v>CH-PEA-C-X1-11-3</x:v>
      </x:c>
      <x:c r="D1797" s="7" t="str">
        <x:v>PEA-C-X1</x:v>
      </x:c>
      <x:c r="E1797" s="7" t="str">
        <x:v>BLD-C</x:v>
      </x:c>
      <x:c r="F1797" s="7" t="str">
        <x:v>BL-X</x:v>
      </x:c>
      <x:c r="G1797" s="7" t="str">
        <x:v>MF-11</x:v>
      </x:c>
      <x:c r="H1797" s="7" t="str"/>
      <x:c r="I1797" s="7" t="str"/>
      <x:c r="J1797" s="7" t="str">
        <x:f>IF(OR(H1797="",I1797=""),"",I1797-H1797)</x:f>
      </x:c>
      <x:c r="K1797" s="7" t="str"/>
      <x:c r="L1797" s="7" t="str"/>
      <x:c r="M1797" s="7" t="str">
        <x:f>IF(L1797="","OPEN",IF(OR(NOT(ISNUMBER(H1797)),NOT(ISNUMBER(I1797)),NOT(ISNUMBER(K1797)),ABS(J1797)&gt;K1797),"FAIL","PASS"))</x:f>
        <x:v>OPEN</x:v>
      </x:c>
    </x:row>
    <x:row r="1798">
      <x:c r="B1798" s="7" t="str">
        <x:v>CAL-CH-PEA-C-X1-11-4</x:v>
      </x:c>
      <x:c r="C1798" s="7" t="str">
        <x:v>CH-PEA-C-X1-11-4</x:v>
      </x:c>
      <x:c r="D1798" s="7" t="str">
        <x:v>PEA-C-X1</x:v>
      </x:c>
      <x:c r="E1798" s="7" t="str">
        <x:v>BLD-C</x:v>
      </x:c>
      <x:c r="F1798" s="7" t="str">
        <x:v>BL-X</x:v>
      </x:c>
      <x:c r="G1798" s="7" t="str">
        <x:v>MF-11</x:v>
      </x:c>
      <x:c r="H1798" s="7" t="str"/>
      <x:c r="I1798" s="7" t="str"/>
      <x:c r="J1798" s="7" t="str">
        <x:f>IF(OR(H1798="",I1798=""),"",I1798-H1798)</x:f>
      </x:c>
      <x:c r="K1798" s="7" t="str"/>
      <x:c r="L1798" s="7" t="str"/>
      <x:c r="M1798" s="7" t="str">
        <x:f>IF(L1798="","OPEN",IF(OR(NOT(ISNUMBER(H1798)),NOT(ISNUMBER(I1798)),NOT(ISNUMBER(K1798)),ABS(J1798)&gt;K1798),"FAIL","PASS"))</x:f>
        <x:v>OPEN</x:v>
      </x:c>
    </x:row>
    <x:row r="1799">
      <x:c r="B1799" s="7" t="str">
        <x:v>CAL-CH-PEA-C-X1-11-5</x:v>
      </x:c>
      <x:c r="C1799" s="7" t="str">
        <x:v>CH-PEA-C-X1-11-5</x:v>
      </x:c>
      <x:c r="D1799" s="7" t="str">
        <x:v>PEA-C-X1</x:v>
      </x:c>
      <x:c r="E1799" s="7" t="str">
        <x:v>BLD-C</x:v>
      </x:c>
      <x:c r="F1799" s="7" t="str">
        <x:v>BL-X</x:v>
      </x:c>
      <x:c r="G1799" s="7" t="str">
        <x:v>MF-11</x:v>
      </x:c>
      <x:c r="H1799" s="7" t="str"/>
      <x:c r="I1799" s="7" t="str"/>
      <x:c r="J1799" s="7" t="str">
        <x:f>IF(OR(H1799="",I1799=""),"",I1799-H1799)</x:f>
      </x:c>
      <x:c r="K1799" s="7" t="str"/>
      <x:c r="L1799" s="7" t="str"/>
      <x:c r="M1799" s="7" t="str">
        <x:f>IF(L1799="","OPEN",IF(OR(NOT(ISNUMBER(H1799)),NOT(ISNUMBER(I1799)),NOT(ISNUMBER(K1799)),ABS(J1799)&gt;K1799),"FAIL","PASS"))</x:f>
        <x:v>OPEN</x:v>
      </x:c>
    </x:row>
    <x:row r="1800">
      <x:c r="B1800" s="7" t="str">
        <x:v>CAL-CH-PEA-C-X1-11-6</x:v>
      </x:c>
      <x:c r="C1800" s="7" t="str">
        <x:v>CH-PEA-C-X1-11-6</x:v>
      </x:c>
      <x:c r="D1800" s="7" t="str">
        <x:v>PEA-C-X1</x:v>
      </x:c>
      <x:c r="E1800" s="7" t="str">
        <x:v>BLD-C</x:v>
      </x:c>
      <x:c r="F1800" s="7" t="str">
        <x:v>BL-X</x:v>
      </x:c>
      <x:c r="G1800" s="7" t="str">
        <x:v>MF-11</x:v>
      </x:c>
      <x:c r="H1800" s="7" t="str"/>
      <x:c r="I1800" s="7" t="str"/>
      <x:c r="J1800" s="7" t="str">
        <x:f>IF(OR(H1800="",I1800=""),"",I1800-H1800)</x:f>
      </x:c>
      <x:c r="K1800" s="7" t="str"/>
      <x:c r="L1800" s="7" t="str"/>
      <x:c r="M1800" s="7" t="str">
        <x:f>IF(L1800="","OPEN",IF(OR(NOT(ISNUMBER(H1800)),NOT(ISNUMBER(I1800)),NOT(ISNUMBER(K1800)),ABS(J1800)&gt;K1800),"FAIL","PASS"))</x:f>
        <x:v>OPEN</x:v>
      </x:c>
    </x:row>
    <x:row r="1801">
      <x:c r="B1801" s="7" t="str">
        <x:v>CAL-CH-PEA-C-X1-12-1</x:v>
      </x:c>
      <x:c r="C1801" s="7" t="str">
        <x:v>CH-PEA-C-X1-12-1</x:v>
      </x:c>
      <x:c r="D1801" s="7" t="str">
        <x:v>PEA-C-X1</x:v>
      </x:c>
      <x:c r="E1801" s="7" t="str">
        <x:v>BLD-C</x:v>
      </x:c>
      <x:c r="F1801" s="7" t="str">
        <x:v>BL-X</x:v>
      </x:c>
      <x:c r="G1801" s="7" t="str">
        <x:v>MF-12</x:v>
      </x:c>
      <x:c r="H1801" s="7" t="str"/>
      <x:c r="I1801" s="7" t="str"/>
      <x:c r="J1801" s="7" t="str">
        <x:f>IF(OR(H1801="",I1801=""),"",I1801-H1801)</x:f>
      </x:c>
      <x:c r="K1801" s="7" t="str"/>
      <x:c r="L1801" s="7" t="str"/>
      <x:c r="M1801" s="7" t="str">
        <x:f>IF(L1801="","OPEN",IF(OR(NOT(ISNUMBER(H1801)),NOT(ISNUMBER(I1801)),NOT(ISNUMBER(K1801)),ABS(J1801)&gt;K1801),"FAIL","PASS"))</x:f>
        <x:v>OPEN</x:v>
      </x:c>
    </x:row>
    <x:row r="1802">
      <x:c r="B1802" s="7" t="str">
        <x:v>CAL-CH-PEA-C-X1-12-2</x:v>
      </x:c>
      <x:c r="C1802" s="7" t="str">
        <x:v>CH-PEA-C-X1-12-2</x:v>
      </x:c>
      <x:c r="D1802" s="7" t="str">
        <x:v>PEA-C-X1</x:v>
      </x:c>
      <x:c r="E1802" s="7" t="str">
        <x:v>BLD-C</x:v>
      </x:c>
      <x:c r="F1802" s="7" t="str">
        <x:v>BL-X</x:v>
      </x:c>
      <x:c r="G1802" s="7" t="str">
        <x:v>MF-12</x:v>
      </x:c>
      <x:c r="H1802" s="7" t="str"/>
      <x:c r="I1802" s="7" t="str"/>
      <x:c r="J1802" s="7" t="str">
        <x:f>IF(OR(H1802="",I1802=""),"",I1802-H1802)</x:f>
      </x:c>
      <x:c r="K1802" s="7" t="str"/>
      <x:c r="L1802" s="7" t="str"/>
      <x:c r="M1802" s="7" t="str">
        <x:f>IF(L1802="","OPEN",IF(OR(NOT(ISNUMBER(H1802)),NOT(ISNUMBER(I1802)),NOT(ISNUMBER(K1802)),ABS(J1802)&gt;K1802),"FAIL","PASS"))</x:f>
        <x:v>OPEN</x:v>
      </x:c>
    </x:row>
    <x:row r="1803">
      <x:c r="B1803" s="7" t="str">
        <x:v>CAL-CH-PEA-C-X1-12-3</x:v>
      </x:c>
      <x:c r="C1803" s="7" t="str">
        <x:v>CH-PEA-C-X1-12-3</x:v>
      </x:c>
      <x:c r="D1803" s="7" t="str">
        <x:v>PEA-C-X1</x:v>
      </x:c>
      <x:c r="E1803" s="7" t="str">
        <x:v>BLD-C</x:v>
      </x:c>
      <x:c r="F1803" s="7" t="str">
        <x:v>BL-X</x:v>
      </x:c>
      <x:c r="G1803" s="7" t="str">
        <x:v>MF-12</x:v>
      </x:c>
      <x:c r="H1803" s="7" t="str"/>
      <x:c r="I1803" s="7" t="str"/>
      <x:c r="J1803" s="7" t="str">
        <x:f>IF(OR(H1803="",I1803=""),"",I1803-H1803)</x:f>
      </x:c>
      <x:c r="K1803" s="7" t="str"/>
      <x:c r="L1803" s="7" t="str"/>
      <x:c r="M1803" s="7" t="str">
        <x:f>IF(L1803="","OPEN",IF(OR(NOT(ISNUMBER(H1803)),NOT(ISNUMBER(I1803)),NOT(ISNUMBER(K1803)),ABS(J1803)&gt;K1803),"FAIL","PASS"))</x:f>
        <x:v>OPEN</x:v>
      </x:c>
    </x:row>
    <x:row r="1804">
      <x:c r="B1804" s="7" t="str">
        <x:v>CAL-CH-PEA-C-X1-12-4</x:v>
      </x:c>
      <x:c r="C1804" s="7" t="str">
        <x:v>CH-PEA-C-X1-12-4</x:v>
      </x:c>
      <x:c r="D1804" s="7" t="str">
        <x:v>PEA-C-X1</x:v>
      </x:c>
      <x:c r="E1804" s="7" t="str">
        <x:v>BLD-C</x:v>
      </x:c>
      <x:c r="F1804" s="7" t="str">
        <x:v>BL-X</x:v>
      </x:c>
      <x:c r="G1804" s="7" t="str">
        <x:v>MF-12</x:v>
      </x:c>
      <x:c r="H1804" s="7" t="str"/>
      <x:c r="I1804" s="7" t="str"/>
      <x:c r="J1804" s="7" t="str">
        <x:f>IF(OR(H1804="",I1804=""),"",I1804-H1804)</x:f>
      </x:c>
      <x:c r="K1804" s="7" t="str"/>
      <x:c r="L1804" s="7" t="str"/>
      <x:c r="M1804" s="7" t="str">
        <x:f>IF(L1804="","OPEN",IF(OR(NOT(ISNUMBER(H1804)),NOT(ISNUMBER(I1804)),NOT(ISNUMBER(K1804)),ABS(J1804)&gt;K1804),"FAIL","PASS"))</x:f>
        <x:v>OPEN</x:v>
      </x:c>
    </x:row>
    <x:row r="1805">
      <x:c r="B1805" s="7" t="str">
        <x:v>CAL-CH-PEA-C-X1-12-5</x:v>
      </x:c>
      <x:c r="C1805" s="7" t="str">
        <x:v>CH-PEA-C-X1-12-5</x:v>
      </x:c>
      <x:c r="D1805" s="7" t="str">
        <x:v>PEA-C-X1</x:v>
      </x:c>
      <x:c r="E1805" s="7" t="str">
        <x:v>BLD-C</x:v>
      </x:c>
      <x:c r="F1805" s="7" t="str">
        <x:v>BL-X</x:v>
      </x:c>
      <x:c r="G1805" s="7" t="str">
        <x:v>MF-12</x:v>
      </x:c>
      <x:c r="H1805" s="7" t="str"/>
      <x:c r="I1805" s="7" t="str"/>
      <x:c r="J1805" s="7" t="str">
        <x:f>IF(OR(H1805="",I1805=""),"",I1805-H1805)</x:f>
      </x:c>
      <x:c r="K1805" s="7" t="str"/>
      <x:c r="L1805" s="7" t="str"/>
      <x:c r="M1805" s="7" t="str">
        <x:f>IF(L1805="","OPEN",IF(OR(NOT(ISNUMBER(H1805)),NOT(ISNUMBER(I1805)),NOT(ISNUMBER(K1805)),ABS(J1805)&gt;K1805),"FAIL","PASS"))</x:f>
        <x:v>OPEN</x:v>
      </x:c>
    </x:row>
    <x:row r="1806">
      <x:c r="B1806" s="7" t="str">
        <x:v>CAL-CH-PEA-C-X1-12-6</x:v>
      </x:c>
      <x:c r="C1806" s="7" t="str">
        <x:v>CH-PEA-C-X1-12-6</x:v>
      </x:c>
      <x:c r="D1806" s="7" t="str">
        <x:v>PEA-C-X1</x:v>
      </x:c>
      <x:c r="E1806" s="7" t="str">
        <x:v>BLD-C</x:v>
      </x:c>
      <x:c r="F1806" s="7" t="str">
        <x:v>BL-X</x:v>
      </x:c>
      <x:c r="G1806" s="7" t="str">
        <x:v>MF-12</x:v>
      </x:c>
      <x:c r="H1806" s="7" t="str"/>
      <x:c r="I1806" s="7" t="str"/>
      <x:c r="J1806" s="7" t="str">
        <x:f>IF(OR(H1806="",I1806=""),"",I1806-H1806)</x:f>
      </x:c>
      <x:c r="K1806" s="7" t="str"/>
      <x:c r="L1806" s="7" t="str"/>
      <x:c r="M1806" s="7" t="str">
        <x:f>IF(L1806="","OPEN",IF(OR(NOT(ISNUMBER(H1806)),NOT(ISNUMBER(I1806)),NOT(ISNUMBER(K1806)),ABS(J1806)&gt;K1806),"FAIL","PASS"))</x:f>
        <x:v>OPEN</x:v>
      </x:c>
    </x:row>
    <x:row r="1807">
      <x:c r="B1807" s="7" t="str">
        <x:v>CAL-CH-PEA-C-X1-13-1</x:v>
      </x:c>
      <x:c r="C1807" s="7" t="str">
        <x:v>CH-PEA-C-X1-13-1</x:v>
      </x:c>
      <x:c r="D1807" s="7" t="str">
        <x:v>PEA-C-X1</x:v>
      </x:c>
      <x:c r="E1807" s="7" t="str">
        <x:v>BLD-C</x:v>
      </x:c>
      <x:c r="F1807" s="7" t="str">
        <x:v>BL-X</x:v>
      </x:c>
      <x:c r="G1807" s="7" t="str">
        <x:v>MF-13</x:v>
      </x:c>
      <x:c r="H1807" s="7" t="str"/>
      <x:c r="I1807" s="7" t="str"/>
      <x:c r="J1807" s="7" t="str">
        <x:f>IF(OR(H1807="",I1807=""),"",I1807-H1807)</x:f>
      </x:c>
      <x:c r="K1807" s="7" t="str"/>
      <x:c r="L1807" s="7" t="str"/>
      <x:c r="M1807" s="7" t="str">
        <x:f>IF(L1807="","OPEN",IF(OR(NOT(ISNUMBER(H1807)),NOT(ISNUMBER(I1807)),NOT(ISNUMBER(K1807)),ABS(J1807)&gt;K1807),"FAIL","PASS"))</x:f>
        <x:v>OPEN</x:v>
      </x:c>
    </x:row>
    <x:row r="1808">
      <x:c r="B1808" s="7" t="str">
        <x:v>CAL-CH-PEA-C-X1-13-2</x:v>
      </x:c>
      <x:c r="C1808" s="7" t="str">
        <x:v>CH-PEA-C-X1-13-2</x:v>
      </x:c>
      <x:c r="D1808" s="7" t="str">
        <x:v>PEA-C-X1</x:v>
      </x:c>
      <x:c r="E1808" s="7" t="str">
        <x:v>BLD-C</x:v>
      </x:c>
      <x:c r="F1808" s="7" t="str">
        <x:v>BL-X</x:v>
      </x:c>
      <x:c r="G1808" s="7" t="str">
        <x:v>MF-13</x:v>
      </x:c>
      <x:c r="H1808" s="7" t="str"/>
      <x:c r="I1808" s="7" t="str"/>
      <x:c r="J1808" s="7" t="str">
        <x:f>IF(OR(H1808="",I1808=""),"",I1808-H1808)</x:f>
      </x:c>
      <x:c r="K1808" s="7" t="str"/>
      <x:c r="L1808" s="7" t="str"/>
      <x:c r="M1808" s="7" t="str">
        <x:f>IF(L1808="","OPEN",IF(OR(NOT(ISNUMBER(H1808)),NOT(ISNUMBER(I1808)),NOT(ISNUMBER(K1808)),ABS(J1808)&gt;K1808),"FAIL","PASS"))</x:f>
        <x:v>OPEN</x:v>
      </x:c>
    </x:row>
    <x:row r="1809">
      <x:c r="B1809" s="7" t="str">
        <x:v>CAL-CH-PEA-C-X1-13-3</x:v>
      </x:c>
      <x:c r="C1809" s="7" t="str">
        <x:v>CH-PEA-C-X1-13-3</x:v>
      </x:c>
      <x:c r="D1809" s="7" t="str">
        <x:v>PEA-C-X1</x:v>
      </x:c>
      <x:c r="E1809" s="7" t="str">
        <x:v>BLD-C</x:v>
      </x:c>
      <x:c r="F1809" s="7" t="str">
        <x:v>BL-X</x:v>
      </x:c>
      <x:c r="G1809" s="7" t="str">
        <x:v>MF-13</x:v>
      </x:c>
      <x:c r="H1809" s="7" t="str"/>
      <x:c r="I1809" s="7" t="str"/>
      <x:c r="J1809" s="7" t="str">
        <x:f>IF(OR(H1809="",I1809=""),"",I1809-H1809)</x:f>
      </x:c>
      <x:c r="K1809" s="7" t="str"/>
      <x:c r="L1809" s="7" t="str"/>
      <x:c r="M1809" s="7" t="str">
        <x:f>IF(L1809="","OPEN",IF(OR(NOT(ISNUMBER(H1809)),NOT(ISNUMBER(I1809)),NOT(ISNUMBER(K1809)),ABS(J1809)&gt;K1809),"FAIL","PASS"))</x:f>
        <x:v>OPEN</x:v>
      </x:c>
    </x:row>
    <x:row r="1810">
      <x:c r="B1810" s="7" t="str">
        <x:v>CAL-CH-PEA-C-X1-13-4</x:v>
      </x:c>
      <x:c r="C1810" s="7" t="str">
        <x:v>CH-PEA-C-X1-13-4</x:v>
      </x:c>
      <x:c r="D1810" s="7" t="str">
        <x:v>PEA-C-X1</x:v>
      </x:c>
      <x:c r="E1810" s="7" t="str">
        <x:v>BLD-C</x:v>
      </x:c>
      <x:c r="F1810" s="7" t="str">
        <x:v>BL-X</x:v>
      </x:c>
      <x:c r="G1810" s="7" t="str">
        <x:v>MF-13</x:v>
      </x:c>
      <x:c r="H1810" s="7" t="str"/>
      <x:c r="I1810" s="7" t="str"/>
      <x:c r="J1810" s="7" t="str">
        <x:f>IF(OR(H1810="",I1810=""),"",I1810-H1810)</x:f>
      </x:c>
      <x:c r="K1810" s="7" t="str"/>
      <x:c r="L1810" s="7" t="str"/>
      <x:c r="M1810" s="7" t="str">
        <x:f>IF(L1810="","OPEN",IF(OR(NOT(ISNUMBER(H1810)),NOT(ISNUMBER(I1810)),NOT(ISNUMBER(K1810)),ABS(J1810)&gt;K1810),"FAIL","PASS"))</x:f>
        <x:v>OPEN</x:v>
      </x:c>
    </x:row>
    <x:row r="1811">
      <x:c r="B1811" s="7" t="str">
        <x:v>CAL-CH-PEA-C-X1-13-5</x:v>
      </x:c>
      <x:c r="C1811" s="7" t="str">
        <x:v>CH-PEA-C-X1-13-5</x:v>
      </x:c>
      <x:c r="D1811" s="7" t="str">
        <x:v>PEA-C-X1</x:v>
      </x:c>
      <x:c r="E1811" s="7" t="str">
        <x:v>BLD-C</x:v>
      </x:c>
      <x:c r="F1811" s="7" t="str">
        <x:v>BL-X</x:v>
      </x:c>
      <x:c r="G1811" s="7" t="str">
        <x:v>MF-13</x:v>
      </x:c>
      <x:c r="H1811" s="7" t="str"/>
      <x:c r="I1811" s="7" t="str"/>
      <x:c r="J1811" s="7" t="str">
        <x:f>IF(OR(H1811="",I1811=""),"",I1811-H1811)</x:f>
      </x:c>
      <x:c r="K1811" s="7" t="str"/>
      <x:c r="L1811" s="7" t="str"/>
      <x:c r="M1811" s="7" t="str">
        <x:f>IF(L1811="","OPEN",IF(OR(NOT(ISNUMBER(H1811)),NOT(ISNUMBER(I1811)),NOT(ISNUMBER(K1811)),ABS(J1811)&gt;K1811),"FAIL","PASS"))</x:f>
        <x:v>OPEN</x:v>
      </x:c>
    </x:row>
    <x:row r="1812">
      <x:c r="B1812" s="7" t="str">
        <x:v>CAL-CH-PEA-C-X1-13-6</x:v>
      </x:c>
      <x:c r="C1812" s="7" t="str">
        <x:v>CH-PEA-C-X1-13-6</x:v>
      </x:c>
      <x:c r="D1812" s="7" t="str">
        <x:v>PEA-C-X1</x:v>
      </x:c>
      <x:c r="E1812" s="7" t="str">
        <x:v>BLD-C</x:v>
      </x:c>
      <x:c r="F1812" s="7" t="str">
        <x:v>BL-X</x:v>
      </x:c>
      <x:c r="G1812" s="7" t="str">
        <x:v>MF-13</x:v>
      </x:c>
      <x:c r="H1812" s="7" t="str"/>
      <x:c r="I1812" s="7" t="str"/>
      <x:c r="J1812" s="7" t="str">
        <x:f>IF(OR(H1812="",I1812=""),"",I1812-H1812)</x:f>
      </x:c>
      <x:c r="K1812" s="7" t="str"/>
      <x:c r="L1812" s="7" t="str"/>
      <x:c r="M1812" s="7" t="str">
        <x:f>IF(L1812="","OPEN",IF(OR(NOT(ISNUMBER(H1812)),NOT(ISNUMBER(I1812)),NOT(ISNUMBER(K1812)),ABS(J1812)&gt;K1812),"FAIL","PASS"))</x:f>
        <x:v>OPEN</x:v>
      </x:c>
    </x:row>
    <x:row r="1813">
      <x:c r="B1813" s="7" t="str">
        <x:v>CAL-CH-PEA-C-X1-14-1</x:v>
      </x:c>
      <x:c r="C1813" s="7" t="str">
        <x:v>CH-PEA-C-X1-14-1</x:v>
      </x:c>
      <x:c r="D1813" s="7" t="str">
        <x:v>PEA-C-X1</x:v>
      </x:c>
      <x:c r="E1813" s="7" t="str">
        <x:v>BLD-C</x:v>
      </x:c>
      <x:c r="F1813" s="7" t="str">
        <x:v>BL-X</x:v>
      </x:c>
      <x:c r="G1813" s="7" t="str">
        <x:v>MF-14</x:v>
      </x:c>
      <x:c r="H1813" s="7" t="str"/>
      <x:c r="I1813" s="7" t="str"/>
      <x:c r="J1813" s="7" t="str">
        <x:f>IF(OR(H1813="",I1813=""),"",I1813-H1813)</x:f>
      </x:c>
      <x:c r="K1813" s="7" t="str"/>
      <x:c r="L1813" s="7" t="str"/>
      <x:c r="M1813" s="7" t="str">
        <x:f>IF(L1813="","OPEN",IF(OR(NOT(ISNUMBER(H1813)),NOT(ISNUMBER(I1813)),NOT(ISNUMBER(K1813)),ABS(J1813)&gt;K1813),"FAIL","PASS"))</x:f>
        <x:v>OPEN</x:v>
      </x:c>
    </x:row>
    <x:row r="1814">
      <x:c r="B1814" s="7" t="str">
        <x:v>CAL-CH-PEA-C-X1-14-2</x:v>
      </x:c>
      <x:c r="C1814" s="7" t="str">
        <x:v>CH-PEA-C-X1-14-2</x:v>
      </x:c>
      <x:c r="D1814" s="7" t="str">
        <x:v>PEA-C-X1</x:v>
      </x:c>
      <x:c r="E1814" s="7" t="str">
        <x:v>BLD-C</x:v>
      </x:c>
      <x:c r="F1814" s="7" t="str">
        <x:v>BL-X</x:v>
      </x:c>
      <x:c r="G1814" s="7" t="str">
        <x:v>MF-14</x:v>
      </x:c>
      <x:c r="H1814" s="7" t="str"/>
      <x:c r="I1814" s="7" t="str"/>
      <x:c r="J1814" s="7" t="str">
        <x:f>IF(OR(H1814="",I1814=""),"",I1814-H1814)</x:f>
      </x:c>
      <x:c r="K1814" s="7" t="str"/>
      <x:c r="L1814" s="7" t="str"/>
      <x:c r="M1814" s="7" t="str">
        <x:f>IF(L1814="","OPEN",IF(OR(NOT(ISNUMBER(H1814)),NOT(ISNUMBER(I1814)),NOT(ISNUMBER(K1814)),ABS(J1814)&gt;K1814),"FAIL","PASS"))</x:f>
        <x:v>OPEN</x:v>
      </x:c>
    </x:row>
    <x:row r="1815">
      <x:c r="B1815" s="7" t="str">
        <x:v>CAL-CH-PEA-C-X1-14-3</x:v>
      </x:c>
      <x:c r="C1815" s="7" t="str">
        <x:v>CH-PEA-C-X1-14-3</x:v>
      </x:c>
      <x:c r="D1815" s="7" t="str">
        <x:v>PEA-C-X1</x:v>
      </x:c>
      <x:c r="E1815" s="7" t="str">
        <x:v>BLD-C</x:v>
      </x:c>
      <x:c r="F1815" s="7" t="str">
        <x:v>BL-X</x:v>
      </x:c>
      <x:c r="G1815" s="7" t="str">
        <x:v>MF-14</x:v>
      </x:c>
      <x:c r="H1815" s="7" t="str"/>
      <x:c r="I1815" s="7" t="str"/>
      <x:c r="J1815" s="7" t="str">
        <x:f>IF(OR(H1815="",I1815=""),"",I1815-H1815)</x:f>
      </x:c>
      <x:c r="K1815" s="7" t="str"/>
      <x:c r="L1815" s="7" t="str"/>
      <x:c r="M1815" s="7" t="str">
        <x:f>IF(L1815="","OPEN",IF(OR(NOT(ISNUMBER(H1815)),NOT(ISNUMBER(I1815)),NOT(ISNUMBER(K1815)),ABS(J1815)&gt;K1815),"FAIL","PASS"))</x:f>
        <x:v>OPEN</x:v>
      </x:c>
    </x:row>
    <x:row r="1816">
      <x:c r="B1816" s="7" t="str">
        <x:v>CAL-CH-PEA-C-X1-14-4</x:v>
      </x:c>
      <x:c r="C1816" s="7" t="str">
        <x:v>CH-PEA-C-X1-14-4</x:v>
      </x:c>
      <x:c r="D1816" s="7" t="str">
        <x:v>PEA-C-X1</x:v>
      </x:c>
      <x:c r="E1816" s="7" t="str">
        <x:v>BLD-C</x:v>
      </x:c>
      <x:c r="F1816" s="7" t="str">
        <x:v>BL-X</x:v>
      </x:c>
      <x:c r="G1816" s="7" t="str">
        <x:v>MF-14</x:v>
      </x:c>
      <x:c r="H1816" s="7" t="str"/>
      <x:c r="I1816" s="7" t="str"/>
      <x:c r="J1816" s="7" t="str">
        <x:f>IF(OR(H1816="",I1816=""),"",I1816-H1816)</x:f>
      </x:c>
      <x:c r="K1816" s="7" t="str"/>
      <x:c r="L1816" s="7" t="str"/>
      <x:c r="M1816" s="7" t="str">
        <x:f>IF(L1816="","OPEN",IF(OR(NOT(ISNUMBER(H1816)),NOT(ISNUMBER(I1816)),NOT(ISNUMBER(K1816)),ABS(J1816)&gt;K1816),"FAIL","PASS"))</x:f>
        <x:v>OPEN</x:v>
      </x:c>
    </x:row>
    <x:row r="1817">
      <x:c r="B1817" s="7" t="str">
        <x:v>CAL-CH-PEA-C-X1-14-5</x:v>
      </x:c>
      <x:c r="C1817" s="7" t="str">
        <x:v>CH-PEA-C-X1-14-5</x:v>
      </x:c>
      <x:c r="D1817" s="7" t="str">
        <x:v>PEA-C-X1</x:v>
      </x:c>
      <x:c r="E1817" s="7" t="str">
        <x:v>BLD-C</x:v>
      </x:c>
      <x:c r="F1817" s="7" t="str">
        <x:v>BL-X</x:v>
      </x:c>
      <x:c r="G1817" s="7" t="str">
        <x:v>MF-14</x:v>
      </x:c>
      <x:c r="H1817" s="7" t="str"/>
      <x:c r="I1817" s="7" t="str"/>
      <x:c r="J1817" s="7" t="str">
        <x:f>IF(OR(H1817="",I1817=""),"",I1817-H1817)</x:f>
      </x:c>
      <x:c r="K1817" s="7" t="str"/>
      <x:c r="L1817" s="7" t="str"/>
      <x:c r="M1817" s="7" t="str">
        <x:f>IF(L1817="","OPEN",IF(OR(NOT(ISNUMBER(H1817)),NOT(ISNUMBER(I1817)),NOT(ISNUMBER(K1817)),ABS(J1817)&gt;K1817),"FAIL","PASS"))</x:f>
        <x:v>OPEN</x:v>
      </x:c>
    </x:row>
    <x:row r="1818">
      <x:c r="B1818" s="7" t="str">
        <x:v>CAL-CH-PEA-C-X1-14-6</x:v>
      </x:c>
      <x:c r="C1818" s="7" t="str">
        <x:v>CH-PEA-C-X1-14-6</x:v>
      </x:c>
      <x:c r="D1818" s="7" t="str">
        <x:v>PEA-C-X1</x:v>
      </x:c>
      <x:c r="E1818" s="7" t="str">
        <x:v>BLD-C</x:v>
      </x:c>
      <x:c r="F1818" s="7" t="str">
        <x:v>BL-X</x:v>
      </x:c>
      <x:c r="G1818" s="7" t="str">
        <x:v>MF-14</x:v>
      </x:c>
      <x:c r="H1818" s="7" t="str"/>
      <x:c r="I1818" s="7" t="str"/>
      <x:c r="J1818" s="7" t="str">
        <x:f>IF(OR(H1818="",I1818=""),"",I1818-H1818)</x:f>
      </x:c>
      <x:c r="K1818" s="7" t="str"/>
      <x:c r="L1818" s="7" t="str"/>
      <x:c r="M1818" s="7" t="str">
        <x:f>IF(L1818="","OPEN",IF(OR(NOT(ISNUMBER(H1818)),NOT(ISNUMBER(I1818)),NOT(ISNUMBER(K1818)),ABS(J1818)&gt;K1818),"FAIL","PASS"))</x:f>
        <x:v>OPEN</x:v>
      </x:c>
    </x:row>
    <x:row r="1819">
      <x:c r="B1819" s="7" t="str">
        <x:v>CAL-CH-PEA-C-X1-15-1</x:v>
      </x:c>
      <x:c r="C1819" s="7" t="str">
        <x:v>CH-PEA-C-X1-15-1</x:v>
      </x:c>
      <x:c r="D1819" s="7" t="str">
        <x:v>PEA-C-X1</x:v>
      </x:c>
      <x:c r="E1819" s="7" t="str">
        <x:v>BLD-C</x:v>
      </x:c>
      <x:c r="F1819" s="7" t="str">
        <x:v>BL-X</x:v>
      </x:c>
      <x:c r="G1819" s="7" t="str">
        <x:v>MF-15</x:v>
      </x:c>
      <x:c r="H1819" s="7" t="str"/>
      <x:c r="I1819" s="7" t="str"/>
      <x:c r="J1819" s="7" t="str">
        <x:f>IF(OR(H1819="",I1819=""),"",I1819-H1819)</x:f>
      </x:c>
      <x:c r="K1819" s="7" t="str"/>
      <x:c r="L1819" s="7" t="str"/>
      <x:c r="M1819" s="7" t="str">
        <x:f>IF(L1819="","OPEN",IF(OR(NOT(ISNUMBER(H1819)),NOT(ISNUMBER(I1819)),NOT(ISNUMBER(K1819)),ABS(J1819)&gt;K1819),"FAIL","PASS"))</x:f>
        <x:v>OPEN</x:v>
      </x:c>
    </x:row>
    <x:row r="1820">
      <x:c r="B1820" s="7" t="str">
        <x:v>CAL-CH-PEA-C-X1-15-2</x:v>
      </x:c>
      <x:c r="C1820" s="7" t="str">
        <x:v>CH-PEA-C-X1-15-2</x:v>
      </x:c>
      <x:c r="D1820" s="7" t="str">
        <x:v>PEA-C-X1</x:v>
      </x:c>
      <x:c r="E1820" s="7" t="str">
        <x:v>BLD-C</x:v>
      </x:c>
      <x:c r="F1820" s="7" t="str">
        <x:v>BL-X</x:v>
      </x:c>
      <x:c r="G1820" s="7" t="str">
        <x:v>MF-15</x:v>
      </x:c>
      <x:c r="H1820" s="7" t="str"/>
      <x:c r="I1820" s="7" t="str"/>
      <x:c r="J1820" s="7" t="str">
        <x:f>IF(OR(H1820="",I1820=""),"",I1820-H1820)</x:f>
      </x:c>
      <x:c r="K1820" s="7" t="str"/>
      <x:c r="L1820" s="7" t="str"/>
      <x:c r="M1820" s="7" t="str">
        <x:f>IF(L1820="","OPEN",IF(OR(NOT(ISNUMBER(H1820)),NOT(ISNUMBER(I1820)),NOT(ISNUMBER(K1820)),ABS(J1820)&gt;K1820),"FAIL","PASS"))</x:f>
        <x:v>OPEN</x:v>
      </x:c>
    </x:row>
    <x:row r="1821">
      <x:c r="B1821" s="7" t="str">
        <x:v>CAL-CH-PEA-C-X1-15-3</x:v>
      </x:c>
      <x:c r="C1821" s="7" t="str">
        <x:v>CH-PEA-C-X1-15-3</x:v>
      </x:c>
      <x:c r="D1821" s="7" t="str">
        <x:v>PEA-C-X1</x:v>
      </x:c>
      <x:c r="E1821" s="7" t="str">
        <x:v>BLD-C</x:v>
      </x:c>
      <x:c r="F1821" s="7" t="str">
        <x:v>BL-X</x:v>
      </x:c>
      <x:c r="G1821" s="7" t="str">
        <x:v>MF-15</x:v>
      </x:c>
      <x:c r="H1821" s="7" t="str"/>
      <x:c r="I1821" s="7" t="str"/>
      <x:c r="J1821" s="7" t="str">
        <x:f>IF(OR(H1821="",I1821=""),"",I1821-H1821)</x:f>
      </x:c>
      <x:c r="K1821" s="7" t="str"/>
      <x:c r="L1821" s="7" t="str"/>
      <x:c r="M1821" s="7" t="str">
        <x:f>IF(L1821="","OPEN",IF(OR(NOT(ISNUMBER(H1821)),NOT(ISNUMBER(I1821)),NOT(ISNUMBER(K1821)),ABS(J1821)&gt;K1821),"FAIL","PASS"))</x:f>
        <x:v>OPEN</x:v>
      </x:c>
    </x:row>
    <x:row r="1822">
      <x:c r="B1822" s="7" t="str">
        <x:v>CAL-CH-PEA-C-X1-15-4</x:v>
      </x:c>
      <x:c r="C1822" s="7" t="str">
        <x:v>CH-PEA-C-X1-15-4</x:v>
      </x:c>
      <x:c r="D1822" s="7" t="str">
        <x:v>PEA-C-X1</x:v>
      </x:c>
      <x:c r="E1822" s="7" t="str">
        <x:v>BLD-C</x:v>
      </x:c>
      <x:c r="F1822" s="7" t="str">
        <x:v>BL-X</x:v>
      </x:c>
      <x:c r="G1822" s="7" t="str">
        <x:v>MF-15</x:v>
      </x:c>
      <x:c r="H1822" s="7" t="str"/>
      <x:c r="I1822" s="7" t="str"/>
      <x:c r="J1822" s="7" t="str">
        <x:f>IF(OR(H1822="",I1822=""),"",I1822-H1822)</x:f>
      </x:c>
      <x:c r="K1822" s="7" t="str"/>
      <x:c r="L1822" s="7" t="str"/>
      <x:c r="M1822" s="7" t="str">
        <x:f>IF(L1822="","OPEN",IF(OR(NOT(ISNUMBER(H1822)),NOT(ISNUMBER(I1822)),NOT(ISNUMBER(K1822)),ABS(J1822)&gt;K1822),"FAIL","PASS"))</x:f>
        <x:v>OPEN</x:v>
      </x:c>
    </x:row>
    <x:row r="1823">
      <x:c r="B1823" s="7" t="str">
        <x:v>CAL-CH-PEA-C-X1-15-5</x:v>
      </x:c>
      <x:c r="C1823" s="7" t="str">
        <x:v>CH-PEA-C-X1-15-5</x:v>
      </x:c>
      <x:c r="D1823" s="7" t="str">
        <x:v>PEA-C-X1</x:v>
      </x:c>
      <x:c r="E1823" s="7" t="str">
        <x:v>BLD-C</x:v>
      </x:c>
      <x:c r="F1823" s="7" t="str">
        <x:v>BL-X</x:v>
      </x:c>
      <x:c r="G1823" s="7" t="str">
        <x:v>MF-15</x:v>
      </x:c>
      <x:c r="H1823" s="7" t="str"/>
      <x:c r="I1823" s="7" t="str"/>
      <x:c r="J1823" s="7" t="str">
        <x:f>IF(OR(H1823="",I1823=""),"",I1823-H1823)</x:f>
      </x:c>
      <x:c r="K1823" s="7" t="str"/>
      <x:c r="L1823" s="7" t="str"/>
      <x:c r="M1823" s="7" t="str">
        <x:f>IF(L1823="","OPEN",IF(OR(NOT(ISNUMBER(H1823)),NOT(ISNUMBER(I1823)),NOT(ISNUMBER(K1823)),ABS(J1823)&gt;K1823),"FAIL","PASS"))</x:f>
        <x:v>OPEN</x:v>
      </x:c>
    </x:row>
    <x:row r="1824">
      <x:c r="B1824" s="7" t="str">
        <x:v>CAL-CH-PEA-C-X1-15-6</x:v>
      </x:c>
      <x:c r="C1824" s="7" t="str">
        <x:v>CH-PEA-C-X1-15-6</x:v>
      </x:c>
      <x:c r="D1824" s="7" t="str">
        <x:v>PEA-C-X1</x:v>
      </x:c>
      <x:c r="E1824" s="7" t="str">
        <x:v>BLD-C</x:v>
      </x:c>
      <x:c r="F1824" s="7" t="str">
        <x:v>BL-X</x:v>
      </x:c>
      <x:c r="G1824" s="7" t="str">
        <x:v>MF-15</x:v>
      </x:c>
      <x:c r="H1824" s="7" t="str"/>
      <x:c r="I1824" s="7" t="str"/>
      <x:c r="J1824" s="7" t="str">
        <x:f>IF(OR(H1824="",I1824=""),"",I1824-H1824)</x:f>
      </x:c>
      <x:c r="K1824" s="7" t="str"/>
      <x:c r="L1824" s="7" t="str"/>
      <x:c r="M1824" s="7" t="str">
        <x:f>IF(L1824="","OPEN",IF(OR(NOT(ISNUMBER(H1824)),NOT(ISNUMBER(I1824)),NOT(ISNUMBER(K1824)),ABS(J1824)&gt;K1824),"FAIL","PASS"))</x:f>
        <x:v>OPEN</x:v>
      </x:c>
    </x:row>
    <x:row r="1825">
      <x:c r="B1825" s="7" t="str">
        <x:v>CAL-CH-PEA-C-X1-16-1</x:v>
      </x:c>
      <x:c r="C1825" s="7" t="str">
        <x:v>CH-PEA-C-X1-16-1</x:v>
      </x:c>
      <x:c r="D1825" s="7" t="str">
        <x:v>PEA-C-X1</x:v>
      </x:c>
      <x:c r="E1825" s="7" t="str">
        <x:v>BLD-C</x:v>
      </x:c>
      <x:c r="F1825" s="7" t="str">
        <x:v>BL-X</x:v>
      </x:c>
      <x:c r="G1825" s="7" t="str">
        <x:v>MF-16</x:v>
      </x:c>
      <x:c r="H1825" s="7" t="str"/>
      <x:c r="I1825" s="7" t="str"/>
      <x:c r="J1825" s="7" t="str">
        <x:f>IF(OR(H1825="",I1825=""),"",I1825-H1825)</x:f>
      </x:c>
      <x:c r="K1825" s="7" t="str"/>
      <x:c r="L1825" s="7" t="str"/>
      <x:c r="M1825" s="7" t="str">
        <x:f>IF(L1825="","OPEN",IF(OR(NOT(ISNUMBER(H1825)),NOT(ISNUMBER(I1825)),NOT(ISNUMBER(K1825)),ABS(J1825)&gt;K1825),"FAIL","PASS"))</x:f>
        <x:v>OPEN</x:v>
      </x:c>
    </x:row>
    <x:row r="1826">
      <x:c r="B1826" s="7" t="str">
        <x:v>CAL-CH-PEA-C-X1-16-2</x:v>
      </x:c>
      <x:c r="C1826" s="7" t="str">
        <x:v>CH-PEA-C-X1-16-2</x:v>
      </x:c>
      <x:c r="D1826" s="7" t="str">
        <x:v>PEA-C-X1</x:v>
      </x:c>
      <x:c r="E1826" s="7" t="str">
        <x:v>BLD-C</x:v>
      </x:c>
      <x:c r="F1826" s="7" t="str">
        <x:v>BL-X</x:v>
      </x:c>
      <x:c r="G1826" s="7" t="str">
        <x:v>MF-16</x:v>
      </x:c>
      <x:c r="H1826" s="7" t="str"/>
      <x:c r="I1826" s="7" t="str"/>
      <x:c r="J1826" s="7" t="str">
        <x:f>IF(OR(H1826="",I1826=""),"",I1826-H1826)</x:f>
      </x:c>
      <x:c r="K1826" s="7" t="str"/>
      <x:c r="L1826" s="7" t="str"/>
      <x:c r="M1826" s="7" t="str">
        <x:f>IF(L1826="","OPEN",IF(OR(NOT(ISNUMBER(H1826)),NOT(ISNUMBER(I1826)),NOT(ISNUMBER(K1826)),ABS(J1826)&gt;K1826),"FAIL","PASS"))</x:f>
        <x:v>OPEN</x:v>
      </x:c>
    </x:row>
    <x:row r="1827">
      <x:c r="B1827" s="7" t="str">
        <x:v>CAL-CH-PEA-C-X1-16-3</x:v>
      </x:c>
      <x:c r="C1827" s="7" t="str">
        <x:v>CH-PEA-C-X1-16-3</x:v>
      </x:c>
      <x:c r="D1827" s="7" t="str">
        <x:v>PEA-C-X1</x:v>
      </x:c>
      <x:c r="E1827" s="7" t="str">
        <x:v>BLD-C</x:v>
      </x:c>
      <x:c r="F1827" s="7" t="str">
        <x:v>BL-X</x:v>
      </x:c>
      <x:c r="G1827" s="7" t="str">
        <x:v>MF-16</x:v>
      </x:c>
      <x:c r="H1827" s="7" t="str"/>
      <x:c r="I1827" s="7" t="str"/>
      <x:c r="J1827" s="7" t="str">
        <x:f>IF(OR(H1827="",I1827=""),"",I1827-H1827)</x:f>
      </x:c>
      <x:c r="K1827" s="7" t="str"/>
      <x:c r="L1827" s="7" t="str"/>
      <x:c r="M1827" s="7" t="str">
        <x:f>IF(L1827="","OPEN",IF(OR(NOT(ISNUMBER(H1827)),NOT(ISNUMBER(I1827)),NOT(ISNUMBER(K1827)),ABS(J1827)&gt;K1827),"FAIL","PASS"))</x:f>
        <x:v>OPEN</x:v>
      </x:c>
    </x:row>
    <x:row r="1828">
      <x:c r="B1828" s="7" t="str">
        <x:v>CAL-CH-PEA-C-X1-16-4</x:v>
      </x:c>
      <x:c r="C1828" s="7" t="str">
        <x:v>CH-PEA-C-X1-16-4</x:v>
      </x:c>
      <x:c r="D1828" s="7" t="str">
        <x:v>PEA-C-X1</x:v>
      </x:c>
      <x:c r="E1828" s="7" t="str">
        <x:v>BLD-C</x:v>
      </x:c>
      <x:c r="F1828" s="7" t="str">
        <x:v>BL-X</x:v>
      </x:c>
      <x:c r="G1828" s="7" t="str">
        <x:v>MF-16</x:v>
      </x:c>
      <x:c r="H1828" s="7" t="str"/>
      <x:c r="I1828" s="7" t="str"/>
      <x:c r="J1828" s="7" t="str">
        <x:f>IF(OR(H1828="",I1828=""),"",I1828-H1828)</x:f>
      </x:c>
      <x:c r="K1828" s="7" t="str"/>
      <x:c r="L1828" s="7" t="str"/>
      <x:c r="M1828" s="7" t="str">
        <x:f>IF(L1828="","OPEN",IF(OR(NOT(ISNUMBER(H1828)),NOT(ISNUMBER(I1828)),NOT(ISNUMBER(K1828)),ABS(J1828)&gt;K1828),"FAIL","PASS"))</x:f>
        <x:v>OPEN</x:v>
      </x:c>
    </x:row>
    <x:row r="1829">
      <x:c r="B1829" s="7" t="str">
        <x:v>CAL-CH-PEA-C-X1-16-5</x:v>
      </x:c>
      <x:c r="C1829" s="7" t="str">
        <x:v>CH-PEA-C-X1-16-5</x:v>
      </x:c>
      <x:c r="D1829" s="7" t="str">
        <x:v>PEA-C-X1</x:v>
      </x:c>
      <x:c r="E1829" s="7" t="str">
        <x:v>BLD-C</x:v>
      </x:c>
      <x:c r="F1829" s="7" t="str">
        <x:v>BL-X</x:v>
      </x:c>
      <x:c r="G1829" s="7" t="str">
        <x:v>MF-16</x:v>
      </x:c>
      <x:c r="H1829" s="7" t="str"/>
      <x:c r="I1829" s="7" t="str"/>
      <x:c r="J1829" s="7" t="str">
        <x:f>IF(OR(H1829="",I1829=""),"",I1829-H1829)</x:f>
      </x:c>
      <x:c r="K1829" s="7" t="str"/>
      <x:c r="L1829" s="7" t="str"/>
      <x:c r="M1829" s="7" t="str">
        <x:f>IF(L1829="","OPEN",IF(OR(NOT(ISNUMBER(H1829)),NOT(ISNUMBER(I1829)),NOT(ISNUMBER(K1829)),ABS(J1829)&gt;K1829),"FAIL","PASS"))</x:f>
        <x:v>OPEN</x:v>
      </x:c>
    </x:row>
    <x:row r="1830">
      <x:c r="B1830" s="7" t="str">
        <x:v>CAL-CH-PEA-C-X1-16-6</x:v>
      </x:c>
      <x:c r="C1830" s="7" t="str">
        <x:v>CH-PEA-C-X1-16-6</x:v>
      </x:c>
      <x:c r="D1830" s="7" t="str">
        <x:v>PEA-C-X1</x:v>
      </x:c>
      <x:c r="E1830" s="7" t="str">
        <x:v>BLD-C</x:v>
      </x:c>
      <x:c r="F1830" s="7" t="str">
        <x:v>BL-X</x:v>
      </x:c>
      <x:c r="G1830" s="7" t="str">
        <x:v>MF-16</x:v>
      </x:c>
      <x:c r="H1830" s="7" t="str"/>
      <x:c r="I1830" s="7" t="str"/>
      <x:c r="J1830" s="7" t="str">
        <x:f>IF(OR(H1830="",I1830=""),"",I1830-H1830)</x:f>
      </x:c>
      <x:c r="K1830" s="7" t="str"/>
      <x:c r="L1830" s="7" t="str"/>
      <x:c r="M1830" s="7" t="str">
        <x:f>IF(L1830="","OPEN",IF(OR(NOT(ISNUMBER(H1830)),NOT(ISNUMBER(I1830)),NOT(ISNUMBER(K1830)),ABS(J1830)&gt;K1830),"FAIL","PASS"))</x:f>
        <x:v>OPEN</x:v>
      </x:c>
    </x:row>
    <x:row r="1831">
      <x:c r="B1831" s="7" t="str">
        <x:v>CAL-CH-PEA-C-X1-17-1</x:v>
      </x:c>
      <x:c r="C1831" s="7" t="str">
        <x:v>CH-PEA-C-X1-17-1</x:v>
      </x:c>
      <x:c r="D1831" s="7" t="str">
        <x:v>PEA-C-X1</x:v>
      </x:c>
      <x:c r="E1831" s="7" t="str">
        <x:v>BLD-C</x:v>
      </x:c>
      <x:c r="F1831" s="7" t="str">
        <x:v>BL-X</x:v>
      </x:c>
      <x:c r="G1831" s="7" t="str">
        <x:v>MF-17</x:v>
      </x:c>
      <x:c r="H1831" s="7" t="str"/>
      <x:c r="I1831" s="7" t="str"/>
      <x:c r="J1831" s="7" t="str">
        <x:f>IF(OR(H1831="",I1831=""),"",I1831-H1831)</x:f>
      </x:c>
      <x:c r="K1831" s="7" t="str"/>
      <x:c r="L1831" s="7" t="str"/>
      <x:c r="M1831" s="7" t="str">
        <x:f>IF(L1831="","OPEN",IF(OR(NOT(ISNUMBER(H1831)),NOT(ISNUMBER(I1831)),NOT(ISNUMBER(K1831)),ABS(J1831)&gt;K1831),"FAIL","PASS"))</x:f>
        <x:v>OPEN</x:v>
      </x:c>
    </x:row>
    <x:row r="1832">
      <x:c r="B1832" s="7" t="str">
        <x:v>CAL-CH-PEA-C-X1-17-2</x:v>
      </x:c>
      <x:c r="C1832" s="7" t="str">
        <x:v>CH-PEA-C-X1-17-2</x:v>
      </x:c>
      <x:c r="D1832" s="7" t="str">
        <x:v>PEA-C-X1</x:v>
      </x:c>
      <x:c r="E1832" s="7" t="str">
        <x:v>BLD-C</x:v>
      </x:c>
      <x:c r="F1832" s="7" t="str">
        <x:v>BL-X</x:v>
      </x:c>
      <x:c r="G1832" s="7" t="str">
        <x:v>MF-17</x:v>
      </x:c>
      <x:c r="H1832" s="7" t="str"/>
      <x:c r="I1832" s="7" t="str"/>
      <x:c r="J1832" s="7" t="str">
        <x:f>IF(OR(H1832="",I1832=""),"",I1832-H1832)</x:f>
      </x:c>
      <x:c r="K1832" s="7" t="str"/>
      <x:c r="L1832" s="7" t="str"/>
      <x:c r="M1832" s="7" t="str">
        <x:f>IF(L1832="","OPEN",IF(OR(NOT(ISNUMBER(H1832)),NOT(ISNUMBER(I1832)),NOT(ISNUMBER(K1832)),ABS(J1832)&gt;K1832),"FAIL","PASS"))</x:f>
        <x:v>OPEN</x:v>
      </x:c>
    </x:row>
    <x:row r="1833">
      <x:c r="B1833" s="7" t="str">
        <x:v>CAL-CH-PEA-C-X1-17-3</x:v>
      </x:c>
      <x:c r="C1833" s="7" t="str">
        <x:v>CH-PEA-C-X1-17-3</x:v>
      </x:c>
      <x:c r="D1833" s="7" t="str">
        <x:v>PEA-C-X1</x:v>
      </x:c>
      <x:c r="E1833" s="7" t="str">
        <x:v>BLD-C</x:v>
      </x:c>
      <x:c r="F1833" s="7" t="str">
        <x:v>BL-X</x:v>
      </x:c>
      <x:c r="G1833" s="7" t="str">
        <x:v>MF-17</x:v>
      </x:c>
      <x:c r="H1833" s="7" t="str"/>
      <x:c r="I1833" s="7" t="str"/>
      <x:c r="J1833" s="7" t="str">
        <x:f>IF(OR(H1833="",I1833=""),"",I1833-H1833)</x:f>
      </x:c>
      <x:c r="K1833" s="7" t="str"/>
      <x:c r="L1833" s="7" t="str"/>
      <x:c r="M1833" s="7" t="str">
        <x:f>IF(L1833="","OPEN",IF(OR(NOT(ISNUMBER(H1833)),NOT(ISNUMBER(I1833)),NOT(ISNUMBER(K1833)),ABS(J1833)&gt;K1833),"FAIL","PASS"))</x:f>
        <x:v>OPEN</x:v>
      </x:c>
    </x:row>
    <x:row r="1834">
      <x:c r="B1834" s="7" t="str">
        <x:v>CAL-CH-PEA-C-X1-17-4</x:v>
      </x:c>
      <x:c r="C1834" s="7" t="str">
        <x:v>CH-PEA-C-X1-17-4</x:v>
      </x:c>
      <x:c r="D1834" s="7" t="str">
        <x:v>PEA-C-X1</x:v>
      </x:c>
      <x:c r="E1834" s="7" t="str">
        <x:v>BLD-C</x:v>
      </x:c>
      <x:c r="F1834" s="7" t="str">
        <x:v>BL-X</x:v>
      </x:c>
      <x:c r="G1834" s="7" t="str">
        <x:v>MF-17</x:v>
      </x:c>
      <x:c r="H1834" s="7" t="str"/>
      <x:c r="I1834" s="7" t="str"/>
      <x:c r="J1834" s="7" t="str">
        <x:f>IF(OR(H1834="",I1834=""),"",I1834-H1834)</x:f>
      </x:c>
      <x:c r="K1834" s="7" t="str"/>
      <x:c r="L1834" s="7" t="str"/>
      <x:c r="M1834" s="7" t="str">
        <x:f>IF(L1834="","OPEN",IF(OR(NOT(ISNUMBER(H1834)),NOT(ISNUMBER(I1834)),NOT(ISNUMBER(K1834)),ABS(J1834)&gt;K1834),"FAIL","PASS"))</x:f>
        <x:v>OPEN</x:v>
      </x:c>
    </x:row>
    <x:row r="1835">
      <x:c r="B1835" s="7" t="str">
        <x:v>CAL-CH-PEA-C-X1-17-5</x:v>
      </x:c>
      <x:c r="C1835" s="7" t="str">
        <x:v>CH-PEA-C-X1-17-5</x:v>
      </x:c>
      <x:c r="D1835" s="7" t="str">
        <x:v>PEA-C-X1</x:v>
      </x:c>
      <x:c r="E1835" s="7" t="str">
        <x:v>BLD-C</x:v>
      </x:c>
      <x:c r="F1835" s="7" t="str">
        <x:v>BL-X</x:v>
      </x:c>
      <x:c r="G1835" s="7" t="str">
        <x:v>MF-17</x:v>
      </x:c>
      <x:c r="H1835" s="7" t="str"/>
      <x:c r="I1835" s="7" t="str"/>
      <x:c r="J1835" s="7" t="str">
        <x:f>IF(OR(H1835="",I1835=""),"",I1835-H1835)</x:f>
      </x:c>
      <x:c r="K1835" s="7" t="str"/>
      <x:c r="L1835" s="7" t="str"/>
      <x:c r="M1835" s="7" t="str">
        <x:f>IF(L1835="","OPEN",IF(OR(NOT(ISNUMBER(H1835)),NOT(ISNUMBER(I1835)),NOT(ISNUMBER(K1835)),ABS(J1835)&gt;K1835),"FAIL","PASS"))</x:f>
        <x:v>OPEN</x:v>
      </x:c>
    </x:row>
    <x:row r="1836">
      <x:c r="B1836" s="7" t="str">
        <x:v>CAL-CH-PEA-C-X1-17-6</x:v>
      </x:c>
      <x:c r="C1836" s="7" t="str">
        <x:v>CH-PEA-C-X1-17-6</x:v>
      </x:c>
      <x:c r="D1836" s="7" t="str">
        <x:v>PEA-C-X1</x:v>
      </x:c>
      <x:c r="E1836" s="7" t="str">
        <x:v>BLD-C</x:v>
      </x:c>
      <x:c r="F1836" s="7" t="str">
        <x:v>BL-X</x:v>
      </x:c>
      <x:c r="G1836" s="7" t="str">
        <x:v>MF-17</x:v>
      </x:c>
      <x:c r="H1836" s="7" t="str"/>
      <x:c r="I1836" s="7" t="str"/>
      <x:c r="J1836" s="7" t="str">
        <x:f>IF(OR(H1836="",I1836=""),"",I1836-H1836)</x:f>
      </x:c>
      <x:c r="K1836" s="7" t="str"/>
      <x:c r="L1836" s="7" t="str"/>
      <x:c r="M1836" s="7" t="str">
        <x:f>IF(L1836="","OPEN",IF(OR(NOT(ISNUMBER(H1836)),NOT(ISNUMBER(I1836)),NOT(ISNUMBER(K1836)),ABS(J1836)&gt;K1836),"FAIL","PASS"))</x:f>
        <x:v>OPEN</x:v>
      </x:c>
    </x:row>
    <x:row r="1837">
      <x:c r="B1837" s="7" t="str">
        <x:v>CAL-CH-PEA-C-X1-18-1</x:v>
      </x:c>
      <x:c r="C1837" s="7" t="str">
        <x:v>CH-PEA-C-X1-18-1</x:v>
      </x:c>
      <x:c r="D1837" s="7" t="str">
        <x:v>PEA-C-X1</x:v>
      </x:c>
      <x:c r="E1837" s="7" t="str">
        <x:v>BLD-C</x:v>
      </x:c>
      <x:c r="F1837" s="7" t="str">
        <x:v>BL-X</x:v>
      </x:c>
      <x:c r="G1837" s="7" t="str">
        <x:v>MF-18</x:v>
      </x:c>
      <x:c r="H1837" s="7" t="str"/>
      <x:c r="I1837" s="7" t="str"/>
      <x:c r="J1837" s="7" t="str">
        <x:f>IF(OR(H1837="",I1837=""),"",I1837-H1837)</x:f>
      </x:c>
      <x:c r="K1837" s="7" t="str"/>
      <x:c r="L1837" s="7" t="str"/>
      <x:c r="M1837" s="7" t="str">
        <x:f>IF(L1837="","OPEN",IF(OR(NOT(ISNUMBER(H1837)),NOT(ISNUMBER(I1837)),NOT(ISNUMBER(K1837)),ABS(J1837)&gt;K1837),"FAIL","PASS"))</x:f>
        <x:v>OPEN</x:v>
      </x:c>
    </x:row>
    <x:row r="1838">
      <x:c r="B1838" s="7" t="str">
        <x:v>CAL-CH-PEA-C-X1-18-2</x:v>
      </x:c>
      <x:c r="C1838" s="7" t="str">
        <x:v>CH-PEA-C-X1-18-2</x:v>
      </x:c>
      <x:c r="D1838" s="7" t="str">
        <x:v>PEA-C-X1</x:v>
      </x:c>
      <x:c r="E1838" s="7" t="str">
        <x:v>BLD-C</x:v>
      </x:c>
      <x:c r="F1838" s="7" t="str">
        <x:v>BL-X</x:v>
      </x:c>
      <x:c r="G1838" s="7" t="str">
        <x:v>MF-18</x:v>
      </x:c>
      <x:c r="H1838" s="7" t="str"/>
      <x:c r="I1838" s="7" t="str"/>
      <x:c r="J1838" s="7" t="str">
        <x:f>IF(OR(H1838="",I1838=""),"",I1838-H1838)</x:f>
      </x:c>
      <x:c r="K1838" s="7" t="str"/>
      <x:c r="L1838" s="7" t="str"/>
      <x:c r="M1838" s="7" t="str">
        <x:f>IF(L1838="","OPEN",IF(OR(NOT(ISNUMBER(H1838)),NOT(ISNUMBER(I1838)),NOT(ISNUMBER(K1838)),ABS(J1838)&gt;K1838),"FAIL","PASS"))</x:f>
        <x:v>OPEN</x:v>
      </x:c>
    </x:row>
    <x:row r="1839">
      <x:c r="B1839" s="7" t="str">
        <x:v>CAL-CH-PEA-C-X1-18-3</x:v>
      </x:c>
      <x:c r="C1839" s="7" t="str">
        <x:v>CH-PEA-C-X1-18-3</x:v>
      </x:c>
      <x:c r="D1839" s="7" t="str">
        <x:v>PEA-C-X1</x:v>
      </x:c>
      <x:c r="E1839" s="7" t="str">
        <x:v>BLD-C</x:v>
      </x:c>
      <x:c r="F1839" s="7" t="str">
        <x:v>BL-X</x:v>
      </x:c>
      <x:c r="G1839" s="7" t="str">
        <x:v>MF-18</x:v>
      </x:c>
      <x:c r="H1839" s="7" t="str"/>
      <x:c r="I1839" s="7" t="str"/>
      <x:c r="J1839" s="7" t="str">
        <x:f>IF(OR(H1839="",I1839=""),"",I1839-H1839)</x:f>
      </x:c>
      <x:c r="K1839" s="7" t="str"/>
      <x:c r="L1839" s="7" t="str"/>
      <x:c r="M1839" s="7" t="str">
        <x:f>IF(L1839="","OPEN",IF(OR(NOT(ISNUMBER(H1839)),NOT(ISNUMBER(I1839)),NOT(ISNUMBER(K1839)),ABS(J1839)&gt;K1839),"FAIL","PASS"))</x:f>
        <x:v>OPEN</x:v>
      </x:c>
    </x:row>
    <x:row r="1840">
      <x:c r="B1840" s="7" t="str">
        <x:v>CAL-CH-PEA-C-X1-18-4</x:v>
      </x:c>
      <x:c r="C1840" s="7" t="str">
        <x:v>CH-PEA-C-X1-18-4</x:v>
      </x:c>
      <x:c r="D1840" s="7" t="str">
        <x:v>PEA-C-X1</x:v>
      </x:c>
      <x:c r="E1840" s="7" t="str">
        <x:v>BLD-C</x:v>
      </x:c>
      <x:c r="F1840" s="7" t="str">
        <x:v>BL-X</x:v>
      </x:c>
      <x:c r="G1840" s="7" t="str">
        <x:v>MF-18</x:v>
      </x:c>
      <x:c r="H1840" s="7" t="str"/>
      <x:c r="I1840" s="7" t="str"/>
      <x:c r="J1840" s="7" t="str">
        <x:f>IF(OR(H1840="",I1840=""),"",I1840-H1840)</x:f>
      </x:c>
      <x:c r="K1840" s="7" t="str"/>
      <x:c r="L1840" s="7" t="str"/>
      <x:c r="M1840" s="7" t="str">
        <x:f>IF(L1840="","OPEN",IF(OR(NOT(ISNUMBER(H1840)),NOT(ISNUMBER(I1840)),NOT(ISNUMBER(K1840)),ABS(J1840)&gt;K1840),"FAIL","PASS"))</x:f>
        <x:v>OPEN</x:v>
      </x:c>
    </x:row>
    <x:row r="1841">
      <x:c r="B1841" s="7" t="str">
        <x:v>CAL-CH-PEA-C-X1-18-5</x:v>
      </x:c>
      <x:c r="C1841" s="7" t="str">
        <x:v>CH-PEA-C-X1-18-5</x:v>
      </x:c>
      <x:c r="D1841" s="7" t="str">
        <x:v>PEA-C-X1</x:v>
      </x:c>
      <x:c r="E1841" s="7" t="str">
        <x:v>BLD-C</x:v>
      </x:c>
      <x:c r="F1841" s="7" t="str">
        <x:v>BL-X</x:v>
      </x:c>
      <x:c r="G1841" s="7" t="str">
        <x:v>MF-18</x:v>
      </x:c>
      <x:c r="H1841" s="7" t="str"/>
      <x:c r="I1841" s="7" t="str"/>
      <x:c r="J1841" s="7" t="str">
        <x:f>IF(OR(H1841="",I1841=""),"",I1841-H1841)</x:f>
      </x:c>
      <x:c r="K1841" s="7" t="str"/>
      <x:c r="L1841" s="7" t="str"/>
      <x:c r="M1841" s="7" t="str">
        <x:f>IF(L1841="","OPEN",IF(OR(NOT(ISNUMBER(H1841)),NOT(ISNUMBER(I1841)),NOT(ISNUMBER(K1841)),ABS(J1841)&gt;K1841),"FAIL","PASS"))</x:f>
        <x:v>OPEN</x:v>
      </x:c>
    </x:row>
    <x:row r="1842">
      <x:c r="B1842" s="7" t="str">
        <x:v>CAL-CH-PEA-C-X1-18-6</x:v>
      </x:c>
      <x:c r="C1842" s="7" t="str">
        <x:v>CH-PEA-C-X1-18-6</x:v>
      </x:c>
      <x:c r="D1842" s="7" t="str">
        <x:v>PEA-C-X1</x:v>
      </x:c>
      <x:c r="E1842" s="7" t="str">
        <x:v>BLD-C</x:v>
      </x:c>
      <x:c r="F1842" s="7" t="str">
        <x:v>BL-X</x:v>
      </x:c>
      <x:c r="G1842" s="7" t="str">
        <x:v>MF-18</x:v>
      </x:c>
      <x:c r="H1842" s="7" t="str"/>
      <x:c r="I1842" s="7" t="str"/>
      <x:c r="J1842" s="7" t="str">
        <x:f>IF(OR(H1842="",I1842=""),"",I1842-H1842)</x:f>
      </x:c>
      <x:c r="K1842" s="7" t="str"/>
      <x:c r="L1842" s="7" t="str"/>
      <x:c r="M1842" s="7" t="str">
        <x:f>IF(L1842="","OPEN",IF(OR(NOT(ISNUMBER(H1842)),NOT(ISNUMBER(I1842)),NOT(ISNUMBER(K1842)),ABS(J1842)&gt;K1842),"FAIL","PASS"))</x:f>
        <x:v>OPEN</x:v>
      </x:c>
    </x:row>
    <x:row r="1843">
      <x:c r="B1843" s="7" t="str">
        <x:v>CAL-CH-PEA-C-X1-19-1</x:v>
      </x:c>
      <x:c r="C1843" s="7" t="str">
        <x:v>CH-PEA-C-X1-19-1</x:v>
      </x:c>
      <x:c r="D1843" s="7" t="str">
        <x:v>PEA-C-X1</x:v>
      </x:c>
      <x:c r="E1843" s="7" t="str">
        <x:v>BLD-C</x:v>
      </x:c>
      <x:c r="F1843" s="7" t="str">
        <x:v>BL-X</x:v>
      </x:c>
      <x:c r="G1843" s="7" t="str">
        <x:v>MF-19</x:v>
      </x:c>
      <x:c r="H1843" s="7" t="str"/>
      <x:c r="I1843" s="7" t="str"/>
      <x:c r="J1843" s="7" t="str">
        <x:f>IF(OR(H1843="",I1843=""),"",I1843-H1843)</x:f>
      </x:c>
      <x:c r="K1843" s="7" t="str"/>
      <x:c r="L1843" s="7" t="str"/>
      <x:c r="M1843" s="7" t="str">
        <x:f>IF(L1843="","OPEN",IF(OR(NOT(ISNUMBER(H1843)),NOT(ISNUMBER(I1843)),NOT(ISNUMBER(K1843)),ABS(J1843)&gt;K1843),"FAIL","PASS"))</x:f>
        <x:v>OPEN</x:v>
      </x:c>
    </x:row>
    <x:row r="1844">
      <x:c r="B1844" s="7" t="str">
        <x:v>CAL-CH-PEA-C-X1-19-2</x:v>
      </x:c>
      <x:c r="C1844" s="7" t="str">
        <x:v>CH-PEA-C-X1-19-2</x:v>
      </x:c>
      <x:c r="D1844" s="7" t="str">
        <x:v>PEA-C-X1</x:v>
      </x:c>
      <x:c r="E1844" s="7" t="str">
        <x:v>BLD-C</x:v>
      </x:c>
      <x:c r="F1844" s="7" t="str">
        <x:v>BL-X</x:v>
      </x:c>
      <x:c r="G1844" s="7" t="str">
        <x:v>MF-19</x:v>
      </x:c>
      <x:c r="H1844" s="7" t="str"/>
      <x:c r="I1844" s="7" t="str"/>
      <x:c r="J1844" s="7" t="str">
        <x:f>IF(OR(H1844="",I1844=""),"",I1844-H1844)</x:f>
      </x:c>
      <x:c r="K1844" s="7" t="str"/>
      <x:c r="L1844" s="7" t="str"/>
      <x:c r="M1844" s="7" t="str">
        <x:f>IF(L1844="","OPEN",IF(OR(NOT(ISNUMBER(H1844)),NOT(ISNUMBER(I1844)),NOT(ISNUMBER(K1844)),ABS(J1844)&gt;K1844),"FAIL","PASS"))</x:f>
        <x:v>OPEN</x:v>
      </x:c>
    </x:row>
    <x:row r="1845">
      <x:c r="B1845" s="7" t="str">
        <x:v>CAL-CH-PEA-C-X1-19-3</x:v>
      </x:c>
      <x:c r="C1845" s="7" t="str">
        <x:v>CH-PEA-C-X1-19-3</x:v>
      </x:c>
      <x:c r="D1845" s="7" t="str">
        <x:v>PEA-C-X1</x:v>
      </x:c>
      <x:c r="E1845" s="7" t="str">
        <x:v>BLD-C</x:v>
      </x:c>
      <x:c r="F1845" s="7" t="str">
        <x:v>BL-X</x:v>
      </x:c>
      <x:c r="G1845" s="7" t="str">
        <x:v>MF-19</x:v>
      </x:c>
      <x:c r="H1845" s="7" t="str"/>
      <x:c r="I1845" s="7" t="str"/>
      <x:c r="J1845" s="7" t="str">
        <x:f>IF(OR(H1845="",I1845=""),"",I1845-H1845)</x:f>
      </x:c>
      <x:c r="K1845" s="7" t="str"/>
      <x:c r="L1845" s="7" t="str"/>
      <x:c r="M1845" s="7" t="str">
        <x:f>IF(L1845="","OPEN",IF(OR(NOT(ISNUMBER(H1845)),NOT(ISNUMBER(I1845)),NOT(ISNUMBER(K1845)),ABS(J1845)&gt;K1845),"FAIL","PASS"))</x:f>
        <x:v>OPEN</x:v>
      </x:c>
    </x:row>
    <x:row r="1846">
      <x:c r="B1846" s="7" t="str">
        <x:v>CAL-CH-PEA-C-X1-19-4</x:v>
      </x:c>
      <x:c r="C1846" s="7" t="str">
        <x:v>CH-PEA-C-X1-19-4</x:v>
      </x:c>
      <x:c r="D1846" s="7" t="str">
        <x:v>PEA-C-X1</x:v>
      </x:c>
      <x:c r="E1846" s="7" t="str">
        <x:v>BLD-C</x:v>
      </x:c>
      <x:c r="F1846" s="7" t="str">
        <x:v>BL-X</x:v>
      </x:c>
      <x:c r="G1846" s="7" t="str">
        <x:v>MF-19</x:v>
      </x:c>
      <x:c r="H1846" s="7" t="str"/>
      <x:c r="I1846" s="7" t="str"/>
      <x:c r="J1846" s="7" t="str">
        <x:f>IF(OR(H1846="",I1846=""),"",I1846-H1846)</x:f>
      </x:c>
      <x:c r="K1846" s="7" t="str"/>
      <x:c r="L1846" s="7" t="str"/>
      <x:c r="M1846" s="7" t="str">
        <x:f>IF(L1846="","OPEN",IF(OR(NOT(ISNUMBER(H1846)),NOT(ISNUMBER(I1846)),NOT(ISNUMBER(K1846)),ABS(J1846)&gt;K1846),"FAIL","PASS"))</x:f>
        <x:v>OPEN</x:v>
      </x:c>
    </x:row>
    <x:row r="1847">
      <x:c r="B1847" s="7" t="str">
        <x:v>CAL-CH-PEA-C-X1-19-5</x:v>
      </x:c>
      <x:c r="C1847" s="7" t="str">
        <x:v>CH-PEA-C-X1-19-5</x:v>
      </x:c>
      <x:c r="D1847" s="7" t="str">
        <x:v>PEA-C-X1</x:v>
      </x:c>
      <x:c r="E1847" s="7" t="str">
        <x:v>BLD-C</x:v>
      </x:c>
      <x:c r="F1847" s="7" t="str">
        <x:v>BL-X</x:v>
      </x:c>
      <x:c r="G1847" s="7" t="str">
        <x:v>MF-19</x:v>
      </x:c>
      <x:c r="H1847" s="7" t="str"/>
      <x:c r="I1847" s="7" t="str"/>
      <x:c r="J1847" s="7" t="str">
        <x:f>IF(OR(H1847="",I1847=""),"",I1847-H1847)</x:f>
      </x:c>
      <x:c r="K1847" s="7" t="str"/>
      <x:c r="L1847" s="7" t="str"/>
      <x:c r="M1847" s="7" t="str">
        <x:f>IF(L1847="","OPEN",IF(OR(NOT(ISNUMBER(H1847)),NOT(ISNUMBER(I1847)),NOT(ISNUMBER(K1847)),ABS(J1847)&gt;K1847),"FAIL","PASS"))</x:f>
        <x:v>OPEN</x:v>
      </x:c>
    </x:row>
    <x:row r="1848">
      <x:c r="B1848" s="7" t="str">
        <x:v>CAL-CH-PEA-C-X1-19-6</x:v>
      </x:c>
      <x:c r="C1848" s="7" t="str">
        <x:v>CH-PEA-C-X1-19-6</x:v>
      </x:c>
      <x:c r="D1848" s="7" t="str">
        <x:v>PEA-C-X1</x:v>
      </x:c>
      <x:c r="E1848" s="7" t="str">
        <x:v>BLD-C</x:v>
      </x:c>
      <x:c r="F1848" s="7" t="str">
        <x:v>BL-X</x:v>
      </x:c>
      <x:c r="G1848" s="7" t="str">
        <x:v>MF-19</x:v>
      </x:c>
      <x:c r="H1848" s="7" t="str"/>
      <x:c r="I1848" s="7" t="str"/>
      <x:c r="J1848" s="7" t="str">
        <x:f>IF(OR(H1848="",I1848=""),"",I1848-H1848)</x:f>
      </x:c>
      <x:c r="K1848" s="7" t="str"/>
      <x:c r="L1848" s="7" t="str"/>
      <x:c r="M1848" s="7" t="str">
        <x:f>IF(L1848="","OPEN",IF(OR(NOT(ISNUMBER(H1848)),NOT(ISNUMBER(I1848)),NOT(ISNUMBER(K1848)),ABS(J1848)&gt;K1848),"FAIL","PASS"))</x:f>
        <x:v>OPEN</x:v>
      </x:c>
    </x:row>
    <x:row r="1849">
      <x:c r="B1849" s="7" t="str">
        <x:v>CAL-CH-PEA-C-X1-20-1</x:v>
      </x:c>
      <x:c r="C1849" s="7" t="str">
        <x:v>CH-PEA-C-X1-20-1</x:v>
      </x:c>
      <x:c r="D1849" s="7" t="str">
        <x:v>PEA-C-X1</x:v>
      </x:c>
      <x:c r="E1849" s="7" t="str">
        <x:v>BLD-C</x:v>
      </x:c>
      <x:c r="F1849" s="7" t="str">
        <x:v>BL-X</x:v>
      </x:c>
      <x:c r="G1849" s="7" t="str">
        <x:v>MF-20</x:v>
      </x:c>
      <x:c r="H1849" s="7" t="str"/>
      <x:c r="I1849" s="7" t="str"/>
      <x:c r="J1849" s="7" t="str">
        <x:f>IF(OR(H1849="",I1849=""),"",I1849-H1849)</x:f>
      </x:c>
      <x:c r="K1849" s="7" t="str"/>
      <x:c r="L1849" s="7" t="str"/>
      <x:c r="M1849" s="7" t="str">
        <x:f>IF(L1849="","OPEN",IF(OR(NOT(ISNUMBER(H1849)),NOT(ISNUMBER(I1849)),NOT(ISNUMBER(K1849)),ABS(J1849)&gt;K1849),"FAIL","PASS"))</x:f>
        <x:v>OPEN</x:v>
      </x:c>
    </x:row>
    <x:row r="1850">
      <x:c r="B1850" s="7" t="str">
        <x:v>CAL-CH-PEA-C-X1-20-2</x:v>
      </x:c>
      <x:c r="C1850" s="7" t="str">
        <x:v>CH-PEA-C-X1-20-2</x:v>
      </x:c>
      <x:c r="D1850" s="7" t="str">
        <x:v>PEA-C-X1</x:v>
      </x:c>
      <x:c r="E1850" s="7" t="str">
        <x:v>BLD-C</x:v>
      </x:c>
      <x:c r="F1850" s="7" t="str">
        <x:v>BL-X</x:v>
      </x:c>
      <x:c r="G1850" s="7" t="str">
        <x:v>MF-20</x:v>
      </x:c>
      <x:c r="H1850" s="7" t="str"/>
      <x:c r="I1850" s="7" t="str"/>
      <x:c r="J1850" s="7" t="str">
        <x:f>IF(OR(H1850="",I1850=""),"",I1850-H1850)</x:f>
      </x:c>
      <x:c r="K1850" s="7" t="str"/>
      <x:c r="L1850" s="7" t="str"/>
      <x:c r="M1850" s="7" t="str">
        <x:f>IF(L1850="","OPEN",IF(OR(NOT(ISNUMBER(H1850)),NOT(ISNUMBER(I1850)),NOT(ISNUMBER(K1850)),ABS(J1850)&gt;K1850),"FAIL","PASS"))</x:f>
        <x:v>OPEN</x:v>
      </x:c>
    </x:row>
    <x:row r="1851">
      <x:c r="B1851" s="7" t="str">
        <x:v>CAL-CH-PEA-C-X1-20-3</x:v>
      </x:c>
      <x:c r="C1851" s="7" t="str">
        <x:v>CH-PEA-C-X1-20-3</x:v>
      </x:c>
      <x:c r="D1851" s="7" t="str">
        <x:v>PEA-C-X1</x:v>
      </x:c>
      <x:c r="E1851" s="7" t="str">
        <x:v>BLD-C</x:v>
      </x:c>
      <x:c r="F1851" s="7" t="str">
        <x:v>BL-X</x:v>
      </x:c>
      <x:c r="G1851" s="7" t="str">
        <x:v>MF-20</x:v>
      </x:c>
      <x:c r="H1851" s="7" t="str"/>
      <x:c r="I1851" s="7" t="str"/>
      <x:c r="J1851" s="7" t="str">
        <x:f>IF(OR(H1851="",I1851=""),"",I1851-H1851)</x:f>
      </x:c>
      <x:c r="K1851" s="7" t="str"/>
      <x:c r="L1851" s="7" t="str"/>
      <x:c r="M1851" s="7" t="str">
        <x:f>IF(L1851="","OPEN",IF(OR(NOT(ISNUMBER(H1851)),NOT(ISNUMBER(I1851)),NOT(ISNUMBER(K1851)),ABS(J1851)&gt;K1851),"FAIL","PASS"))</x:f>
        <x:v>OPEN</x:v>
      </x:c>
    </x:row>
    <x:row r="1852">
      <x:c r="B1852" s="7" t="str">
        <x:v>CAL-CH-PEA-C-X1-20-4</x:v>
      </x:c>
      <x:c r="C1852" s="7" t="str">
        <x:v>CH-PEA-C-X1-20-4</x:v>
      </x:c>
      <x:c r="D1852" s="7" t="str">
        <x:v>PEA-C-X1</x:v>
      </x:c>
      <x:c r="E1852" s="7" t="str">
        <x:v>BLD-C</x:v>
      </x:c>
      <x:c r="F1852" s="7" t="str">
        <x:v>BL-X</x:v>
      </x:c>
      <x:c r="G1852" s="7" t="str">
        <x:v>MF-20</x:v>
      </x:c>
      <x:c r="H1852" s="7" t="str"/>
      <x:c r="I1852" s="7" t="str"/>
      <x:c r="J1852" s="7" t="str">
        <x:f>IF(OR(H1852="",I1852=""),"",I1852-H1852)</x:f>
      </x:c>
      <x:c r="K1852" s="7" t="str"/>
      <x:c r="L1852" s="7" t="str"/>
      <x:c r="M1852" s="7" t="str">
        <x:f>IF(L1852="","OPEN",IF(OR(NOT(ISNUMBER(H1852)),NOT(ISNUMBER(I1852)),NOT(ISNUMBER(K1852)),ABS(J1852)&gt;K1852),"FAIL","PASS"))</x:f>
        <x:v>OPEN</x:v>
      </x:c>
    </x:row>
    <x:row r="1853">
      <x:c r="B1853" s="7" t="str">
        <x:v>CAL-CH-PEA-C-X1-20-5</x:v>
      </x:c>
      <x:c r="C1853" s="7" t="str">
        <x:v>CH-PEA-C-X1-20-5</x:v>
      </x:c>
      <x:c r="D1853" s="7" t="str">
        <x:v>PEA-C-X1</x:v>
      </x:c>
      <x:c r="E1853" s="7" t="str">
        <x:v>BLD-C</x:v>
      </x:c>
      <x:c r="F1853" s="7" t="str">
        <x:v>BL-X</x:v>
      </x:c>
      <x:c r="G1853" s="7" t="str">
        <x:v>MF-20</x:v>
      </x:c>
      <x:c r="H1853" s="7" t="str"/>
      <x:c r="I1853" s="7" t="str"/>
      <x:c r="J1853" s="7" t="str">
        <x:f>IF(OR(H1853="",I1853=""),"",I1853-H1853)</x:f>
      </x:c>
      <x:c r="K1853" s="7" t="str"/>
      <x:c r="L1853" s="7" t="str"/>
      <x:c r="M1853" s="7" t="str">
        <x:f>IF(L1853="","OPEN",IF(OR(NOT(ISNUMBER(H1853)),NOT(ISNUMBER(I1853)),NOT(ISNUMBER(K1853)),ABS(J1853)&gt;K1853),"FAIL","PASS"))</x:f>
        <x:v>OPEN</x:v>
      </x:c>
    </x:row>
    <x:row r="1854">
      <x:c r="B1854" s="7" t="str">
        <x:v>CAL-CH-PEA-C-X1-20-6</x:v>
      </x:c>
      <x:c r="C1854" s="7" t="str">
        <x:v>CH-PEA-C-X1-20-6</x:v>
      </x:c>
      <x:c r="D1854" s="7" t="str">
        <x:v>PEA-C-X1</x:v>
      </x:c>
      <x:c r="E1854" s="7" t="str">
        <x:v>BLD-C</x:v>
      </x:c>
      <x:c r="F1854" s="7" t="str">
        <x:v>BL-X</x:v>
      </x:c>
      <x:c r="G1854" s="7" t="str">
        <x:v>MF-20</x:v>
      </x:c>
      <x:c r="H1854" s="7" t="str"/>
      <x:c r="I1854" s="7" t="str"/>
      <x:c r="J1854" s="7" t="str">
        <x:f>IF(OR(H1854="",I1854=""),"",I1854-H1854)</x:f>
      </x:c>
      <x:c r="K1854" s="7" t="str"/>
      <x:c r="L1854" s="7" t="str"/>
      <x:c r="M1854" s="7" t="str">
        <x:f>IF(L1854="","OPEN",IF(OR(NOT(ISNUMBER(H1854)),NOT(ISNUMBER(I1854)),NOT(ISNUMBER(K1854)),ABS(J1854)&gt;K1854),"FAIL","PASS"))</x:f>
        <x:v>OPEN</x:v>
      </x:c>
    </x:row>
    <x:row r="1855">
      <x:c r="B1855" s="7" t="str">
        <x:v>CAL-CH-PEA-C-X1-21-1</x:v>
      </x:c>
      <x:c r="C1855" s="7" t="str">
        <x:v>CH-PEA-C-X1-21-1</x:v>
      </x:c>
      <x:c r="D1855" s="7" t="str">
        <x:v>PEA-C-X1</x:v>
      </x:c>
      <x:c r="E1855" s="7" t="str">
        <x:v>BLD-C</x:v>
      </x:c>
      <x:c r="F1855" s="7" t="str">
        <x:v>BL-X</x:v>
      </x:c>
      <x:c r="G1855" s="7" t="str">
        <x:v>MF-21</x:v>
      </x:c>
      <x:c r="H1855" s="7" t="str"/>
      <x:c r="I1855" s="7" t="str"/>
      <x:c r="J1855" s="7" t="str">
        <x:f>IF(OR(H1855="",I1855=""),"",I1855-H1855)</x:f>
      </x:c>
      <x:c r="K1855" s="7" t="str"/>
      <x:c r="L1855" s="7" t="str"/>
      <x:c r="M1855" s="7" t="str">
        <x:f>IF(L1855="","OPEN",IF(OR(NOT(ISNUMBER(H1855)),NOT(ISNUMBER(I1855)),NOT(ISNUMBER(K1855)),ABS(J1855)&gt;K1855),"FAIL","PASS"))</x:f>
        <x:v>OPEN</x:v>
      </x:c>
    </x:row>
    <x:row r="1856">
      <x:c r="B1856" s="7" t="str">
        <x:v>CAL-CH-PEA-C-X1-21-2</x:v>
      </x:c>
      <x:c r="C1856" s="7" t="str">
        <x:v>CH-PEA-C-X1-21-2</x:v>
      </x:c>
      <x:c r="D1856" s="7" t="str">
        <x:v>PEA-C-X1</x:v>
      </x:c>
      <x:c r="E1856" s="7" t="str">
        <x:v>BLD-C</x:v>
      </x:c>
      <x:c r="F1856" s="7" t="str">
        <x:v>BL-X</x:v>
      </x:c>
      <x:c r="G1856" s="7" t="str">
        <x:v>MF-21</x:v>
      </x:c>
      <x:c r="H1856" s="7" t="str"/>
      <x:c r="I1856" s="7" t="str"/>
      <x:c r="J1856" s="7" t="str">
        <x:f>IF(OR(H1856="",I1856=""),"",I1856-H1856)</x:f>
      </x:c>
      <x:c r="K1856" s="7" t="str"/>
      <x:c r="L1856" s="7" t="str"/>
      <x:c r="M1856" s="7" t="str">
        <x:f>IF(L1856="","OPEN",IF(OR(NOT(ISNUMBER(H1856)),NOT(ISNUMBER(I1856)),NOT(ISNUMBER(K1856)),ABS(J1856)&gt;K1856),"FAIL","PASS"))</x:f>
        <x:v>OPEN</x:v>
      </x:c>
    </x:row>
    <x:row r="1857">
      <x:c r="B1857" s="7" t="str">
        <x:v>CAL-CH-PEA-C-X1-21-3</x:v>
      </x:c>
      <x:c r="C1857" s="7" t="str">
        <x:v>CH-PEA-C-X1-21-3</x:v>
      </x:c>
      <x:c r="D1857" s="7" t="str">
        <x:v>PEA-C-X1</x:v>
      </x:c>
      <x:c r="E1857" s="7" t="str">
        <x:v>BLD-C</x:v>
      </x:c>
      <x:c r="F1857" s="7" t="str">
        <x:v>BL-X</x:v>
      </x:c>
      <x:c r="G1857" s="7" t="str">
        <x:v>MF-21</x:v>
      </x:c>
      <x:c r="H1857" s="7" t="str"/>
      <x:c r="I1857" s="7" t="str"/>
      <x:c r="J1857" s="7" t="str">
        <x:f>IF(OR(H1857="",I1857=""),"",I1857-H1857)</x:f>
      </x:c>
      <x:c r="K1857" s="7" t="str"/>
      <x:c r="L1857" s="7" t="str"/>
      <x:c r="M1857" s="7" t="str">
        <x:f>IF(L1857="","OPEN",IF(OR(NOT(ISNUMBER(H1857)),NOT(ISNUMBER(I1857)),NOT(ISNUMBER(K1857)),ABS(J1857)&gt;K1857),"FAIL","PASS"))</x:f>
        <x:v>OPEN</x:v>
      </x:c>
    </x:row>
    <x:row r="1858">
      <x:c r="B1858" s="7" t="str">
        <x:v>CAL-CH-PEA-C-X1-21-4</x:v>
      </x:c>
      <x:c r="C1858" s="7" t="str">
        <x:v>CH-PEA-C-X1-21-4</x:v>
      </x:c>
      <x:c r="D1858" s="7" t="str">
        <x:v>PEA-C-X1</x:v>
      </x:c>
      <x:c r="E1858" s="7" t="str">
        <x:v>BLD-C</x:v>
      </x:c>
      <x:c r="F1858" s="7" t="str">
        <x:v>BL-X</x:v>
      </x:c>
      <x:c r="G1858" s="7" t="str">
        <x:v>MF-21</x:v>
      </x:c>
      <x:c r="H1858" s="7" t="str"/>
      <x:c r="I1858" s="7" t="str"/>
      <x:c r="J1858" s="7" t="str">
        <x:f>IF(OR(H1858="",I1858=""),"",I1858-H1858)</x:f>
      </x:c>
      <x:c r="K1858" s="7" t="str"/>
      <x:c r="L1858" s="7" t="str"/>
      <x:c r="M1858" s="7" t="str">
        <x:f>IF(L1858="","OPEN",IF(OR(NOT(ISNUMBER(H1858)),NOT(ISNUMBER(I1858)),NOT(ISNUMBER(K1858)),ABS(J1858)&gt;K1858),"FAIL","PASS"))</x:f>
        <x:v>OPEN</x:v>
      </x:c>
    </x:row>
    <x:row r="1859">
      <x:c r="B1859" s="7" t="str">
        <x:v>CAL-CH-PEA-C-X1-21-5</x:v>
      </x:c>
      <x:c r="C1859" s="7" t="str">
        <x:v>CH-PEA-C-X1-21-5</x:v>
      </x:c>
      <x:c r="D1859" s="7" t="str">
        <x:v>PEA-C-X1</x:v>
      </x:c>
      <x:c r="E1859" s="7" t="str">
        <x:v>BLD-C</x:v>
      </x:c>
      <x:c r="F1859" s="7" t="str">
        <x:v>BL-X</x:v>
      </x:c>
      <x:c r="G1859" s="7" t="str">
        <x:v>MF-21</x:v>
      </x:c>
      <x:c r="H1859" s="7" t="str"/>
      <x:c r="I1859" s="7" t="str"/>
      <x:c r="J1859" s="7" t="str">
        <x:f>IF(OR(H1859="",I1859=""),"",I1859-H1859)</x:f>
      </x:c>
      <x:c r="K1859" s="7" t="str"/>
      <x:c r="L1859" s="7" t="str"/>
      <x:c r="M1859" s="7" t="str">
        <x:f>IF(L1859="","OPEN",IF(OR(NOT(ISNUMBER(H1859)),NOT(ISNUMBER(I1859)),NOT(ISNUMBER(K1859)),ABS(J1859)&gt;K1859),"FAIL","PASS"))</x:f>
        <x:v>OPEN</x:v>
      </x:c>
    </x:row>
    <x:row r="1860">
      <x:c r="B1860" s="7" t="str">
        <x:v>CAL-CH-PEA-C-X1-21-6</x:v>
      </x:c>
      <x:c r="C1860" s="7" t="str">
        <x:v>CH-PEA-C-X1-21-6</x:v>
      </x:c>
      <x:c r="D1860" s="7" t="str">
        <x:v>PEA-C-X1</x:v>
      </x:c>
      <x:c r="E1860" s="7" t="str">
        <x:v>BLD-C</x:v>
      </x:c>
      <x:c r="F1860" s="7" t="str">
        <x:v>BL-X</x:v>
      </x:c>
      <x:c r="G1860" s="7" t="str">
        <x:v>MF-21</x:v>
      </x:c>
      <x:c r="H1860" s="7" t="str"/>
      <x:c r="I1860" s="7" t="str"/>
      <x:c r="J1860" s="7" t="str">
        <x:f>IF(OR(H1860="",I1860=""),"",I1860-H1860)</x:f>
      </x:c>
      <x:c r="K1860" s="7" t="str"/>
      <x:c r="L1860" s="7" t="str"/>
      <x:c r="M1860" s="7" t="str">
        <x:f>IF(L1860="","OPEN",IF(OR(NOT(ISNUMBER(H1860)),NOT(ISNUMBER(I1860)),NOT(ISNUMBER(K1860)),ABS(J1860)&gt;K1860),"FAIL","PASS"))</x:f>
        <x:v>OPEN</x:v>
      </x:c>
    </x:row>
    <x:row r="1861">
      <x:c r="B1861" s="7" t="str">
        <x:v>CAL-CH-PEA-C-X1-22-1</x:v>
      </x:c>
      <x:c r="C1861" s="7" t="str">
        <x:v>CH-PEA-C-X1-22-1</x:v>
      </x:c>
      <x:c r="D1861" s="7" t="str">
        <x:v>PEA-C-X1</x:v>
      </x:c>
      <x:c r="E1861" s="7" t="str">
        <x:v>BLD-C</x:v>
      </x:c>
      <x:c r="F1861" s="7" t="str">
        <x:v>BL-X</x:v>
      </x:c>
      <x:c r="G1861" s="7" t="str">
        <x:v>MF-22</x:v>
      </x:c>
      <x:c r="H1861" s="7" t="str"/>
      <x:c r="I1861" s="7" t="str"/>
      <x:c r="J1861" s="7" t="str">
        <x:f>IF(OR(H1861="",I1861=""),"",I1861-H1861)</x:f>
      </x:c>
      <x:c r="K1861" s="7" t="str"/>
      <x:c r="L1861" s="7" t="str"/>
      <x:c r="M1861" s="7" t="str">
        <x:f>IF(L1861="","OPEN",IF(OR(NOT(ISNUMBER(H1861)),NOT(ISNUMBER(I1861)),NOT(ISNUMBER(K1861)),ABS(J1861)&gt;K1861),"FAIL","PASS"))</x:f>
        <x:v>OPEN</x:v>
      </x:c>
    </x:row>
    <x:row r="1862">
      <x:c r="B1862" s="7" t="str">
        <x:v>CAL-CH-PEA-C-X1-22-2</x:v>
      </x:c>
      <x:c r="C1862" s="7" t="str">
        <x:v>CH-PEA-C-X1-22-2</x:v>
      </x:c>
      <x:c r="D1862" s="7" t="str">
        <x:v>PEA-C-X1</x:v>
      </x:c>
      <x:c r="E1862" s="7" t="str">
        <x:v>BLD-C</x:v>
      </x:c>
      <x:c r="F1862" s="7" t="str">
        <x:v>BL-X</x:v>
      </x:c>
      <x:c r="G1862" s="7" t="str">
        <x:v>MF-22</x:v>
      </x:c>
      <x:c r="H1862" s="7" t="str"/>
      <x:c r="I1862" s="7" t="str"/>
      <x:c r="J1862" s="7" t="str">
        <x:f>IF(OR(H1862="",I1862=""),"",I1862-H1862)</x:f>
      </x:c>
      <x:c r="K1862" s="7" t="str"/>
      <x:c r="L1862" s="7" t="str"/>
      <x:c r="M1862" s="7" t="str">
        <x:f>IF(L1862="","OPEN",IF(OR(NOT(ISNUMBER(H1862)),NOT(ISNUMBER(I1862)),NOT(ISNUMBER(K1862)),ABS(J1862)&gt;K1862),"FAIL","PASS"))</x:f>
        <x:v>OPEN</x:v>
      </x:c>
    </x:row>
    <x:row r="1863">
      <x:c r="B1863" s="7" t="str">
        <x:v>CAL-CH-PEA-C-X1-22-3</x:v>
      </x:c>
      <x:c r="C1863" s="7" t="str">
        <x:v>CH-PEA-C-X1-22-3</x:v>
      </x:c>
      <x:c r="D1863" s="7" t="str">
        <x:v>PEA-C-X1</x:v>
      </x:c>
      <x:c r="E1863" s="7" t="str">
        <x:v>BLD-C</x:v>
      </x:c>
      <x:c r="F1863" s="7" t="str">
        <x:v>BL-X</x:v>
      </x:c>
      <x:c r="G1863" s="7" t="str">
        <x:v>MF-22</x:v>
      </x:c>
      <x:c r="H1863" s="7" t="str"/>
      <x:c r="I1863" s="7" t="str"/>
      <x:c r="J1863" s="7" t="str">
        <x:f>IF(OR(H1863="",I1863=""),"",I1863-H1863)</x:f>
      </x:c>
      <x:c r="K1863" s="7" t="str"/>
      <x:c r="L1863" s="7" t="str"/>
      <x:c r="M1863" s="7" t="str">
        <x:f>IF(L1863="","OPEN",IF(OR(NOT(ISNUMBER(H1863)),NOT(ISNUMBER(I1863)),NOT(ISNUMBER(K1863)),ABS(J1863)&gt;K1863),"FAIL","PASS"))</x:f>
        <x:v>OPEN</x:v>
      </x:c>
    </x:row>
    <x:row r="1864">
      <x:c r="B1864" s="7" t="str">
        <x:v>CAL-CH-PEA-C-X1-22-4</x:v>
      </x:c>
      <x:c r="C1864" s="7" t="str">
        <x:v>CH-PEA-C-X1-22-4</x:v>
      </x:c>
      <x:c r="D1864" s="7" t="str">
        <x:v>PEA-C-X1</x:v>
      </x:c>
      <x:c r="E1864" s="7" t="str">
        <x:v>BLD-C</x:v>
      </x:c>
      <x:c r="F1864" s="7" t="str">
        <x:v>BL-X</x:v>
      </x:c>
      <x:c r="G1864" s="7" t="str">
        <x:v>MF-22</x:v>
      </x:c>
      <x:c r="H1864" s="7" t="str"/>
      <x:c r="I1864" s="7" t="str"/>
      <x:c r="J1864" s="7" t="str">
        <x:f>IF(OR(H1864="",I1864=""),"",I1864-H1864)</x:f>
      </x:c>
      <x:c r="K1864" s="7" t="str"/>
      <x:c r="L1864" s="7" t="str"/>
      <x:c r="M1864" s="7" t="str">
        <x:f>IF(L1864="","OPEN",IF(OR(NOT(ISNUMBER(H1864)),NOT(ISNUMBER(I1864)),NOT(ISNUMBER(K1864)),ABS(J1864)&gt;K1864),"FAIL","PASS"))</x:f>
        <x:v>OPEN</x:v>
      </x:c>
    </x:row>
    <x:row r="1865">
      <x:c r="B1865" s="7" t="str">
        <x:v>CAL-CH-PEA-C-X1-22-5</x:v>
      </x:c>
      <x:c r="C1865" s="7" t="str">
        <x:v>CH-PEA-C-X1-22-5</x:v>
      </x:c>
      <x:c r="D1865" s="7" t="str">
        <x:v>PEA-C-X1</x:v>
      </x:c>
      <x:c r="E1865" s="7" t="str">
        <x:v>BLD-C</x:v>
      </x:c>
      <x:c r="F1865" s="7" t="str">
        <x:v>BL-X</x:v>
      </x:c>
      <x:c r="G1865" s="7" t="str">
        <x:v>MF-22</x:v>
      </x:c>
      <x:c r="H1865" s="7" t="str"/>
      <x:c r="I1865" s="7" t="str"/>
      <x:c r="J1865" s="7" t="str">
        <x:f>IF(OR(H1865="",I1865=""),"",I1865-H1865)</x:f>
      </x:c>
      <x:c r="K1865" s="7" t="str"/>
      <x:c r="L1865" s="7" t="str"/>
      <x:c r="M1865" s="7" t="str">
        <x:f>IF(L1865="","OPEN",IF(OR(NOT(ISNUMBER(H1865)),NOT(ISNUMBER(I1865)),NOT(ISNUMBER(K1865)),ABS(J1865)&gt;K1865),"FAIL","PASS"))</x:f>
        <x:v>OPEN</x:v>
      </x:c>
    </x:row>
    <x:row r="1866">
      <x:c r="B1866" s="7" t="str">
        <x:v>CAL-CH-PEA-C-X1-22-6</x:v>
      </x:c>
      <x:c r="C1866" s="7" t="str">
        <x:v>CH-PEA-C-X1-22-6</x:v>
      </x:c>
      <x:c r="D1866" s="7" t="str">
        <x:v>PEA-C-X1</x:v>
      </x:c>
      <x:c r="E1866" s="7" t="str">
        <x:v>BLD-C</x:v>
      </x:c>
      <x:c r="F1866" s="7" t="str">
        <x:v>BL-X</x:v>
      </x:c>
      <x:c r="G1866" s="7" t="str">
        <x:v>MF-22</x:v>
      </x:c>
      <x:c r="H1866" s="7" t="str"/>
      <x:c r="I1866" s="7" t="str"/>
      <x:c r="J1866" s="7" t="str">
        <x:f>IF(OR(H1866="",I1866=""),"",I1866-H1866)</x:f>
      </x:c>
      <x:c r="K1866" s="7" t="str"/>
      <x:c r="L1866" s="7" t="str"/>
      <x:c r="M1866" s="7" t="str">
        <x:f>IF(L1866="","OPEN",IF(OR(NOT(ISNUMBER(H1866)),NOT(ISNUMBER(I1866)),NOT(ISNUMBER(K1866)),ABS(J1866)&gt;K1866),"FAIL","PASS"))</x:f>
        <x:v>OPEN</x:v>
      </x:c>
    </x:row>
    <x:row r="1867">
      <x:c r="B1867" s="7" t="str">
        <x:v>CAL-CH-PEA-C-X1-23-1</x:v>
      </x:c>
      <x:c r="C1867" s="7" t="str">
        <x:v>CH-PEA-C-X1-23-1</x:v>
      </x:c>
      <x:c r="D1867" s="7" t="str">
        <x:v>PEA-C-X1</x:v>
      </x:c>
      <x:c r="E1867" s="7" t="str">
        <x:v>BLD-C</x:v>
      </x:c>
      <x:c r="F1867" s="7" t="str">
        <x:v>BL-X</x:v>
      </x:c>
      <x:c r="G1867" s="7" t="str">
        <x:v>MF-23</x:v>
      </x:c>
      <x:c r="H1867" s="7" t="str"/>
      <x:c r="I1867" s="7" t="str"/>
      <x:c r="J1867" s="7" t="str">
        <x:f>IF(OR(H1867="",I1867=""),"",I1867-H1867)</x:f>
      </x:c>
      <x:c r="K1867" s="7" t="str"/>
      <x:c r="L1867" s="7" t="str"/>
      <x:c r="M1867" s="7" t="str">
        <x:f>IF(L1867="","OPEN",IF(OR(NOT(ISNUMBER(H1867)),NOT(ISNUMBER(I1867)),NOT(ISNUMBER(K1867)),ABS(J1867)&gt;K1867),"FAIL","PASS"))</x:f>
        <x:v>OPEN</x:v>
      </x:c>
    </x:row>
    <x:row r="1868">
      <x:c r="B1868" s="7" t="str">
        <x:v>CAL-CH-PEA-C-X1-23-2</x:v>
      </x:c>
      <x:c r="C1868" s="7" t="str">
        <x:v>CH-PEA-C-X1-23-2</x:v>
      </x:c>
      <x:c r="D1868" s="7" t="str">
        <x:v>PEA-C-X1</x:v>
      </x:c>
      <x:c r="E1868" s="7" t="str">
        <x:v>BLD-C</x:v>
      </x:c>
      <x:c r="F1868" s="7" t="str">
        <x:v>BL-X</x:v>
      </x:c>
      <x:c r="G1868" s="7" t="str">
        <x:v>MF-23</x:v>
      </x:c>
      <x:c r="H1868" s="7" t="str"/>
      <x:c r="I1868" s="7" t="str"/>
      <x:c r="J1868" s="7" t="str">
        <x:f>IF(OR(H1868="",I1868=""),"",I1868-H1868)</x:f>
      </x:c>
      <x:c r="K1868" s="7" t="str"/>
      <x:c r="L1868" s="7" t="str"/>
      <x:c r="M1868" s="7" t="str">
        <x:f>IF(L1868="","OPEN",IF(OR(NOT(ISNUMBER(H1868)),NOT(ISNUMBER(I1868)),NOT(ISNUMBER(K1868)),ABS(J1868)&gt;K1868),"FAIL","PASS"))</x:f>
        <x:v>OPEN</x:v>
      </x:c>
    </x:row>
    <x:row r="1869">
      <x:c r="B1869" s="7" t="str">
        <x:v>CAL-CH-PEA-C-X1-23-3</x:v>
      </x:c>
      <x:c r="C1869" s="7" t="str">
        <x:v>CH-PEA-C-X1-23-3</x:v>
      </x:c>
      <x:c r="D1869" s="7" t="str">
        <x:v>PEA-C-X1</x:v>
      </x:c>
      <x:c r="E1869" s="7" t="str">
        <x:v>BLD-C</x:v>
      </x:c>
      <x:c r="F1869" s="7" t="str">
        <x:v>BL-X</x:v>
      </x:c>
      <x:c r="G1869" s="7" t="str">
        <x:v>MF-23</x:v>
      </x:c>
      <x:c r="H1869" s="7" t="str"/>
      <x:c r="I1869" s="7" t="str"/>
      <x:c r="J1869" s="7" t="str">
        <x:f>IF(OR(H1869="",I1869=""),"",I1869-H1869)</x:f>
      </x:c>
      <x:c r="K1869" s="7" t="str"/>
      <x:c r="L1869" s="7" t="str"/>
      <x:c r="M1869" s="7" t="str">
        <x:f>IF(L1869="","OPEN",IF(OR(NOT(ISNUMBER(H1869)),NOT(ISNUMBER(I1869)),NOT(ISNUMBER(K1869)),ABS(J1869)&gt;K1869),"FAIL","PASS"))</x:f>
        <x:v>OPEN</x:v>
      </x:c>
    </x:row>
    <x:row r="1870">
      <x:c r="B1870" s="7" t="str">
        <x:v>CAL-CH-PEA-C-X1-23-4</x:v>
      </x:c>
      <x:c r="C1870" s="7" t="str">
        <x:v>CH-PEA-C-X1-23-4</x:v>
      </x:c>
      <x:c r="D1870" s="7" t="str">
        <x:v>PEA-C-X1</x:v>
      </x:c>
      <x:c r="E1870" s="7" t="str">
        <x:v>BLD-C</x:v>
      </x:c>
      <x:c r="F1870" s="7" t="str">
        <x:v>BL-X</x:v>
      </x:c>
      <x:c r="G1870" s="7" t="str">
        <x:v>MF-23</x:v>
      </x:c>
      <x:c r="H1870" s="7" t="str"/>
      <x:c r="I1870" s="7" t="str"/>
      <x:c r="J1870" s="7" t="str">
        <x:f>IF(OR(H1870="",I1870=""),"",I1870-H1870)</x:f>
      </x:c>
      <x:c r="K1870" s="7" t="str"/>
      <x:c r="L1870" s="7" t="str"/>
      <x:c r="M1870" s="7" t="str">
        <x:f>IF(L1870="","OPEN",IF(OR(NOT(ISNUMBER(H1870)),NOT(ISNUMBER(I1870)),NOT(ISNUMBER(K1870)),ABS(J1870)&gt;K1870),"FAIL","PASS"))</x:f>
        <x:v>OPEN</x:v>
      </x:c>
    </x:row>
    <x:row r="1871">
      <x:c r="B1871" s="7" t="str">
        <x:v>CAL-CH-PEA-C-X1-23-5</x:v>
      </x:c>
      <x:c r="C1871" s="7" t="str">
        <x:v>CH-PEA-C-X1-23-5</x:v>
      </x:c>
      <x:c r="D1871" s="7" t="str">
        <x:v>PEA-C-X1</x:v>
      </x:c>
      <x:c r="E1871" s="7" t="str">
        <x:v>BLD-C</x:v>
      </x:c>
      <x:c r="F1871" s="7" t="str">
        <x:v>BL-X</x:v>
      </x:c>
      <x:c r="G1871" s="7" t="str">
        <x:v>MF-23</x:v>
      </x:c>
      <x:c r="H1871" s="7" t="str"/>
      <x:c r="I1871" s="7" t="str"/>
      <x:c r="J1871" s="7" t="str">
        <x:f>IF(OR(H1871="",I1871=""),"",I1871-H1871)</x:f>
      </x:c>
      <x:c r="K1871" s="7" t="str"/>
      <x:c r="L1871" s="7" t="str"/>
      <x:c r="M1871" s="7" t="str">
        <x:f>IF(L1871="","OPEN",IF(OR(NOT(ISNUMBER(H1871)),NOT(ISNUMBER(I1871)),NOT(ISNUMBER(K1871)),ABS(J1871)&gt;K1871),"FAIL","PASS"))</x:f>
        <x:v>OPEN</x:v>
      </x:c>
    </x:row>
    <x:row r="1872">
      <x:c r="B1872" s="7" t="str">
        <x:v>CAL-CH-PEA-C-X1-23-6</x:v>
      </x:c>
      <x:c r="C1872" s="7" t="str">
        <x:v>CH-PEA-C-X1-23-6</x:v>
      </x:c>
      <x:c r="D1872" s="7" t="str">
        <x:v>PEA-C-X1</x:v>
      </x:c>
      <x:c r="E1872" s="7" t="str">
        <x:v>BLD-C</x:v>
      </x:c>
      <x:c r="F1872" s="7" t="str">
        <x:v>BL-X</x:v>
      </x:c>
      <x:c r="G1872" s="7" t="str">
        <x:v>MF-23</x:v>
      </x:c>
      <x:c r="H1872" s="7" t="str"/>
      <x:c r="I1872" s="7" t="str"/>
      <x:c r="J1872" s="7" t="str">
        <x:f>IF(OR(H1872="",I1872=""),"",I1872-H1872)</x:f>
      </x:c>
      <x:c r="K1872" s="7" t="str"/>
      <x:c r="L1872" s="7" t="str"/>
      <x:c r="M1872" s="7" t="str">
        <x:f>IF(L1872="","OPEN",IF(OR(NOT(ISNUMBER(H1872)),NOT(ISNUMBER(I1872)),NOT(ISNUMBER(K1872)),ABS(J1872)&gt;K1872),"FAIL","PASS"))</x:f>
        <x:v>OPEN</x:v>
      </x:c>
    </x:row>
    <x:row r="1873">
      <x:c r="B1873" s="7" t="str">
        <x:v>CAL-CH-PEA-C-X1-24-1</x:v>
      </x:c>
      <x:c r="C1873" s="7" t="str">
        <x:v>CH-PEA-C-X1-24-1</x:v>
      </x:c>
      <x:c r="D1873" s="7" t="str">
        <x:v>PEA-C-X1</x:v>
      </x:c>
      <x:c r="E1873" s="7" t="str">
        <x:v>BLD-C</x:v>
      </x:c>
      <x:c r="F1873" s="7" t="str">
        <x:v>BL-X</x:v>
      </x:c>
      <x:c r="G1873" s="7" t="str">
        <x:v>MF-24</x:v>
      </x:c>
      <x:c r="H1873" s="7" t="str"/>
      <x:c r="I1873" s="7" t="str"/>
      <x:c r="J1873" s="7" t="str">
        <x:f>IF(OR(H1873="",I1873=""),"",I1873-H1873)</x:f>
      </x:c>
      <x:c r="K1873" s="7" t="str"/>
      <x:c r="L1873" s="7" t="str"/>
      <x:c r="M1873" s="7" t="str">
        <x:f>IF(L1873="","OPEN",IF(OR(NOT(ISNUMBER(H1873)),NOT(ISNUMBER(I1873)),NOT(ISNUMBER(K1873)),ABS(J1873)&gt;K1873),"FAIL","PASS"))</x:f>
        <x:v>OPEN</x:v>
      </x:c>
    </x:row>
    <x:row r="1874">
      <x:c r="B1874" s="7" t="str">
        <x:v>CAL-CH-PEA-C-X1-24-2</x:v>
      </x:c>
      <x:c r="C1874" s="7" t="str">
        <x:v>CH-PEA-C-X1-24-2</x:v>
      </x:c>
      <x:c r="D1874" s="7" t="str">
        <x:v>PEA-C-X1</x:v>
      </x:c>
      <x:c r="E1874" s="7" t="str">
        <x:v>BLD-C</x:v>
      </x:c>
      <x:c r="F1874" s="7" t="str">
        <x:v>BL-X</x:v>
      </x:c>
      <x:c r="G1874" s="7" t="str">
        <x:v>MF-24</x:v>
      </x:c>
      <x:c r="H1874" s="7" t="str"/>
      <x:c r="I1874" s="7" t="str"/>
      <x:c r="J1874" s="7" t="str">
        <x:f>IF(OR(H1874="",I1874=""),"",I1874-H1874)</x:f>
      </x:c>
      <x:c r="K1874" s="7" t="str"/>
      <x:c r="L1874" s="7" t="str"/>
      <x:c r="M1874" s="7" t="str">
        <x:f>IF(L1874="","OPEN",IF(OR(NOT(ISNUMBER(H1874)),NOT(ISNUMBER(I1874)),NOT(ISNUMBER(K1874)),ABS(J1874)&gt;K1874),"FAIL","PASS"))</x:f>
        <x:v>OPEN</x:v>
      </x:c>
    </x:row>
    <x:row r="1875">
      <x:c r="B1875" s="7" t="str">
        <x:v>CAL-CH-PEA-C-X1-24-3</x:v>
      </x:c>
      <x:c r="C1875" s="7" t="str">
        <x:v>CH-PEA-C-X1-24-3</x:v>
      </x:c>
      <x:c r="D1875" s="7" t="str">
        <x:v>PEA-C-X1</x:v>
      </x:c>
      <x:c r="E1875" s="7" t="str">
        <x:v>BLD-C</x:v>
      </x:c>
      <x:c r="F1875" s="7" t="str">
        <x:v>BL-X</x:v>
      </x:c>
      <x:c r="G1875" s="7" t="str">
        <x:v>MF-24</x:v>
      </x:c>
      <x:c r="H1875" s="7" t="str"/>
      <x:c r="I1875" s="7" t="str"/>
      <x:c r="J1875" s="7" t="str">
        <x:f>IF(OR(H1875="",I1875=""),"",I1875-H1875)</x:f>
      </x:c>
      <x:c r="K1875" s="7" t="str"/>
      <x:c r="L1875" s="7" t="str"/>
      <x:c r="M1875" s="7" t="str">
        <x:f>IF(L1875="","OPEN",IF(OR(NOT(ISNUMBER(H1875)),NOT(ISNUMBER(I1875)),NOT(ISNUMBER(K1875)),ABS(J1875)&gt;K1875),"FAIL","PASS"))</x:f>
        <x:v>OPEN</x:v>
      </x:c>
    </x:row>
    <x:row r="1876">
      <x:c r="B1876" s="7" t="str">
        <x:v>CAL-CH-PEA-C-X1-24-4</x:v>
      </x:c>
      <x:c r="C1876" s="7" t="str">
        <x:v>CH-PEA-C-X1-24-4</x:v>
      </x:c>
      <x:c r="D1876" s="7" t="str">
        <x:v>PEA-C-X1</x:v>
      </x:c>
      <x:c r="E1876" s="7" t="str">
        <x:v>BLD-C</x:v>
      </x:c>
      <x:c r="F1876" s="7" t="str">
        <x:v>BL-X</x:v>
      </x:c>
      <x:c r="G1876" s="7" t="str">
        <x:v>MF-24</x:v>
      </x:c>
      <x:c r="H1876" s="7" t="str"/>
      <x:c r="I1876" s="7" t="str"/>
      <x:c r="J1876" s="7" t="str">
        <x:f>IF(OR(H1876="",I1876=""),"",I1876-H1876)</x:f>
      </x:c>
      <x:c r="K1876" s="7" t="str"/>
      <x:c r="L1876" s="7" t="str"/>
      <x:c r="M1876" s="7" t="str">
        <x:f>IF(L1876="","OPEN",IF(OR(NOT(ISNUMBER(H1876)),NOT(ISNUMBER(I1876)),NOT(ISNUMBER(K1876)),ABS(J1876)&gt;K1876),"FAIL","PASS"))</x:f>
        <x:v>OPEN</x:v>
      </x:c>
    </x:row>
    <x:row r="1877">
      <x:c r="B1877" s="7" t="str">
        <x:v>CAL-CH-PEA-C-X1-24-5</x:v>
      </x:c>
      <x:c r="C1877" s="7" t="str">
        <x:v>CH-PEA-C-X1-24-5</x:v>
      </x:c>
      <x:c r="D1877" s="7" t="str">
        <x:v>PEA-C-X1</x:v>
      </x:c>
      <x:c r="E1877" s="7" t="str">
        <x:v>BLD-C</x:v>
      </x:c>
      <x:c r="F1877" s="7" t="str">
        <x:v>BL-X</x:v>
      </x:c>
      <x:c r="G1877" s="7" t="str">
        <x:v>MF-24</x:v>
      </x:c>
      <x:c r="H1877" s="7" t="str"/>
      <x:c r="I1877" s="7" t="str"/>
      <x:c r="J1877" s="7" t="str">
        <x:f>IF(OR(H1877="",I1877=""),"",I1877-H1877)</x:f>
      </x:c>
      <x:c r="K1877" s="7" t="str"/>
      <x:c r="L1877" s="7" t="str"/>
      <x:c r="M1877" s="7" t="str">
        <x:f>IF(L1877="","OPEN",IF(OR(NOT(ISNUMBER(H1877)),NOT(ISNUMBER(I1877)),NOT(ISNUMBER(K1877)),ABS(J1877)&gt;K1877),"FAIL","PASS"))</x:f>
        <x:v>OPEN</x:v>
      </x:c>
    </x:row>
    <x:row r="1878">
      <x:c r="B1878" s="7" t="str">
        <x:v>CAL-CH-PEA-C-X1-24-6</x:v>
      </x:c>
      <x:c r="C1878" s="7" t="str">
        <x:v>CH-PEA-C-X1-24-6</x:v>
      </x:c>
      <x:c r="D1878" s="7" t="str">
        <x:v>PEA-C-X1</x:v>
      </x:c>
      <x:c r="E1878" s="7" t="str">
        <x:v>BLD-C</x:v>
      </x:c>
      <x:c r="F1878" s="7" t="str">
        <x:v>BL-X</x:v>
      </x:c>
      <x:c r="G1878" s="7" t="str">
        <x:v>MF-24</x:v>
      </x:c>
      <x:c r="H1878" s="7" t="str"/>
      <x:c r="I1878" s="7" t="str"/>
      <x:c r="J1878" s="7" t="str">
        <x:f>IF(OR(H1878="",I1878=""),"",I1878-H1878)</x:f>
      </x:c>
      <x:c r="K1878" s="7" t="str"/>
      <x:c r="L1878" s="7" t="str"/>
      <x:c r="M1878" s="7" t="str">
        <x:f>IF(L1878="","OPEN",IF(OR(NOT(ISNUMBER(H1878)),NOT(ISNUMBER(I1878)),NOT(ISNUMBER(K1878)),ABS(J1878)&gt;K1878),"FAIL","PASS"))</x:f>
        <x:v>OPEN</x:v>
      </x:c>
    </x:row>
    <x:row r="1879">
      <x:c r="B1879" s="7" t="str">
        <x:v>CAL-CH-PEA-C-X2-01-1</x:v>
      </x:c>
      <x:c r="C1879" s="7" t="str">
        <x:v>CH-PEA-C-X2-01-1</x:v>
      </x:c>
      <x:c r="D1879" s="7" t="str">
        <x:v>PEA-C-X2</x:v>
      </x:c>
      <x:c r="E1879" s="7" t="str">
        <x:v>BLD-C</x:v>
      </x:c>
      <x:c r="F1879" s="7" t="str">
        <x:v>BL-X</x:v>
      </x:c>
      <x:c r="G1879" s="7" t="str">
        <x:v>MF-01</x:v>
      </x:c>
      <x:c r="H1879" s="7" t="str"/>
      <x:c r="I1879" s="7" t="str"/>
      <x:c r="J1879" s="7" t="str">
        <x:f>IF(OR(H1879="",I1879=""),"",I1879-H1879)</x:f>
      </x:c>
      <x:c r="K1879" s="7" t="str"/>
      <x:c r="L1879" s="7" t="str"/>
      <x:c r="M1879" s="7" t="str">
        <x:f>IF(L1879="","OPEN",IF(OR(NOT(ISNUMBER(H1879)),NOT(ISNUMBER(I1879)),NOT(ISNUMBER(K1879)),ABS(J1879)&gt;K1879),"FAIL","PASS"))</x:f>
        <x:v>OPEN</x:v>
      </x:c>
    </x:row>
    <x:row r="1880">
      <x:c r="B1880" s="7" t="str">
        <x:v>CAL-CH-PEA-C-X2-01-2</x:v>
      </x:c>
      <x:c r="C1880" s="7" t="str">
        <x:v>CH-PEA-C-X2-01-2</x:v>
      </x:c>
      <x:c r="D1880" s="7" t="str">
        <x:v>PEA-C-X2</x:v>
      </x:c>
      <x:c r="E1880" s="7" t="str">
        <x:v>BLD-C</x:v>
      </x:c>
      <x:c r="F1880" s="7" t="str">
        <x:v>BL-X</x:v>
      </x:c>
      <x:c r="G1880" s="7" t="str">
        <x:v>MF-01</x:v>
      </x:c>
      <x:c r="H1880" s="7" t="str"/>
      <x:c r="I1880" s="7" t="str"/>
      <x:c r="J1880" s="7" t="str">
        <x:f>IF(OR(H1880="",I1880=""),"",I1880-H1880)</x:f>
      </x:c>
      <x:c r="K1880" s="7" t="str"/>
      <x:c r="L1880" s="7" t="str"/>
      <x:c r="M1880" s="7" t="str">
        <x:f>IF(L1880="","OPEN",IF(OR(NOT(ISNUMBER(H1880)),NOT(ISNUMBER(I1880)),NOT(ISNUMBER(K1880)),ABS(J1880)&gt;K1880),"FAIL","PASS"))</x:f>
        <x:v>OPEN</x:v>
      </x:c>
    </x:row>
    <x:row r="1881">
      <x:c r="B1881" s="7" t="str">
        <x:v>CAL-CH-PEA-C-X2-01-3</x:v>
      </x:c>
      <x:c r="C1881" s="7" t="str">
        <x:v>CH-PEA-C-X2-01-3</x:v>
      </x:c>
      <x:c r="D1881" s="7" t="str">
        <x:v>PEA-C-X2</x:v>
      </x:c>
      <x:c r="E1881" s="7" t="str">
        <x:v>BLD-C</x:v>
      </x:c>
      <x:c r="F1881" s="7" t="str">
        <x:v>BL-X</x:v>
      </x:c>
      <x:c r="G1881" s="7" t="str">
        <x:v>MF-01</x:v>
      </x:c>
      <x:c r="H1881" s="7" t="str"/>
      <x:c r="I1881" s="7" t="str"/>
      <x:c r="J1881" s="7" t="str">
        <x:f>IF(OR(H1881="",I1881=""),"",I1881-H1881)</x:f>
      </x:c>
      <x:c r="K1881" s="7" t="str"/>
      <x:c r="L1881" s="7" t="str"/>
      <x:c r="M1881" s="7" t="str">
        <x:f>IF(L1881="","OPEN",IF(OR(NOT(ISNUMBER(H1881)),NOT(ISNUMBER(I1881)),NOT(ISNUMBER(K1881)),ABS(J1881)&gt;K1881),"FAIL","PASS"))</x:f>
        <x:v>OPEN</x:v>
      </x:c>
    </x:row>
    <x:row r="1882">
      <x:c r="B1882" s="7" t="str">
        <x:v>CAL-CH-PEA-C-X2-01-4</x:v>
      </x:c>
      <x:c r="C1882" s="7" t="str">
        <x:v>CH-PEA-C-X2-01-4</x:v>
      </x:c>
      <x:c r="D1882" s="7" t="str">
        <x:v>PEA-C-X2</x:v>
      </x:c>
      <x:c r="E1882" s="7" t="str">
        <x:v>BLD-C</x:v>
      </x:c>
      <x:c r="F1882" s="7" t="str">
        <x:v>BL-X</x:v>
      </x:c>
      <x:c r="G1882" s="7" t="str">
        <x:v>MF-01</x:v>
      </x:c>
      <x:c r="H1882" s="7" t="str"/>
      <x:c r="I1882" s="7" t="str"/>
      <x:c r="J1882" s="7" t="str">
        <x:f>IF(OR(H1882="",I1882=""),"",I1882-H1882)</x:f>
      </x:c>
      <x:c r="K1882" s="7" t="str"/>
      <x:c r="L1882" s="7" t="str"/>
      <x:c r="M1882" s="7" t="str">
        <x:f>IF(L1882="","OPEN",IF(OR(NOT(ISNUMBER(H1882)),NOT(ISNUMBER(I1882)),NOT(ISNUMBER(K1882)),ABS(J1882)&gt;K1882),"FAIL","PASS"))</x:f>
        <x:v>OPEN</x:v>
      </x:c>
    </x:row>
    <x:row r="1883">
      <x:c r="B1883" s="7" t="str">
        <x:v>CAL-CH-PEA-C-X2-01-5</x:v>
      </x:c>
      <x:c r="C1883" s="7" t="str">
        <x:v>CH-PEA-C-X2-01-5</x:v>
      </x:c>
      <x:c r="D1883" s="7" t="str">
        <x:v>PEA-C-X2</x:v>
      </x:c>
      <x:c r="E1883" s="7" t="str">
        <x:v>BLD-C</x:v>
      </x:c>
      <x:c r="F1883" s="7" t="str">
        <x:v>BL-X</x:v>
      </x:c>
      <x:c r="G1883" s="7" t="str">
        <x:v>MF-01</x:v>
      </x:c>
      <x:c r="H1883" s="7" t="str"/>
      <x:c r="I1883" s="7" t="str"/>
      <x:c r="J1883" s="7" t="str">
        <x:f>IF(OR(H1883="",I1883=""),"",I1883-H1883)</x:f>
      </x:c>
      <x:c r="K1883" s="7" t="str"/>
      <x:c r="L1883" s="7" t="str"/>
      <x:c r="M1883" s="7" t="str">
        <x:f>IF(L1883="","OPEN",IF(OR(NOT(ISNUMBER(H1883)),NOT(ISNUMBER(I1883)),NOT(ISNUMBER(K1883)),ABS(J1883)&gt;K1883),"FAIL","PASS"))</x:f>
        <x:v>OPEN</x:v>
      </x:c>
    </x:row>
    <x:row r="1884">
      <x:c r="B1884" s="7" t="str">
        <x:v>CAL-CH-PEA-C-X2-01-6</x:v>
      </x:c>
      <x:c r="C1884" s="7" t="str">
        <x:v>CH-PEA-C-X2-01-6</x:v>
      </x:c>
      <x:c r="D1884" s="7" t="str">
        <x:v>PEA-C-X2</x:v>
      </x:c>
      <x:c r="E1884" s="7" t="str">
        <x:v>BLD-C</x:v>
      </x:c>
      <x:c r="F1884" s="7" t="str">
        <x:v>BL-X</x:v>
      </x:c>
      <x:c r="G1884" s="7" t="str">
        <x:v>MF-01</x:v>
      </x:c>
      <x:c r="H1884" s="7" t="str"/>
      <x:c r="I1884" s="7" t="str"/>
      <x:c r="J1884" s="7" t="str">
        <x:f>IF(OR(H1884="",I1884=""),"",I1884-H1884)</x:f>
      </x:c>
      <x:c r="K1884" s="7" t="str"/>
      <x:c r="L1884" s="7" t="str"/>
      <x:c r="M1884" s="7" t="str">
        <x:f>IF(L1884="","OPEN",IF(OR(NOT(ISNUMBER(H1884)),NOT(ISNUMBER(I1884)),NOT(ISNUMBER(K1884)),ABS(J1884)&gt;K1884),"FAIL","PASS"))</x:f>
        <x:v>OPEN</x:v>
      </x:c>
    </x:row>
    <x:row r="1885">
      <x:c r="B1885" s="7" t="str">
        <x:v>CAL-CH-PEA-C-X2-02-1</x:v>
      </x:c>
      <x:c r="C1885" s="7" t="str">
        <x:v>CH-PEA-C-X2-02-1</x:v>
      </x:c>
      <x:c r="D1885" s="7" t="str">
        <x:v>PEA-C-X2</x:v>
      </x:c>
      <x:c r="E1885" s="7" t="str">
        <x:v>BLD-C</x:v>
      </x:c>
      <x:c r="F1885" s="7" t="str">
        <x:v>BL-X</x:v>
      </x:c>
      <x:c r="G1885" s="7" t="str">
        <x:v>MF-02</x:v>
      </x:c>
      <x:c r="H1885" s="7" t="str"/>
      <x:c r="I1885" s="7" t="str"/>
      <x:c r="J1885" s="7" t="str">
        <x:f>IF(OR(H1885="",I1885=""),"",I1885-H1885)</x:f>
      </x:c>
      <x:c r="K1885" s="7" t="str"/>
      <x:c r="L1885" s="7" t="str"/>
      <x:c r="M1885" s="7" t="str">
        <x:f>IF(L1885="","OPEN",IF(OR(NOT(ISNUMBER(H1885)),NOT(ISNUMBER(I1885)),NOT(ISNUMBER(K1885)),ABS(J1885)&gt;K1885),"FAIL","PASS"))</x:f>
        <x:v>OPEN</x:v>
      </x:c>
    </x:row>
    <x:row r="1886">
      <x:c r="B1886" s="7" t="str">
        <x:v>CAL-CH-PEA-C-X2-02-2</x:v>
      </x:c>
      <x:c r="C1886" s="7" t="str">
        <x:v>CH-PEA-C-X2-02-2</x:v>
      </x:c>
      <x:c r="D1886" s="7" t="str">
        <x:v>PEA-C-X2</x:v>
      </x:c>
      <x:c r="E1886" s="7" t="str">
        <x:v>BLD-C</x:v>
      </x:c>
      <x:c r="F1886" s="7" t="str">
        <x:v>BL-X</x:v>
      </x:c>
      <x:c r="G1886" s="7" t="str">
        <x:v>MF-02</x:v>
      </x:c>
      <x:c r="H1886" s="7" t="str"/>
      <x:c r="I1886" s="7" t="str"/>
      <x:c r="J1886" s="7" t="str">
        <x:f>IF(OR(H1886="",I1886=""),"",I1886-H1886)</x:f>
      </x:c>
      <x:c r="K1886" s="7" t="str"/>
      <x:c r="L1886" s="7" t="str"/>
      <x:c r="M1886" s="7" t="str">
        <x:f>IF(L1886="","OPEN",IF(OR(NOT(ISNUMBER(H1886)),NOT(ISNUMBER(I1886)),NOT(ISNUMBER(K1886)),ABS(J1886)&gt;K1886),"FAIL","PASS"))</x:f>
        <x:v>OPEN</x:v>
      </x:c>
    </x:row>
    <x:row r="1887">
      <x:c r="B1887" s="7" t="str">
        <x:v>CAL-CH-PEA-C-X2-02-3</x:v>
      </x:c>
      <x:c r="C1887" s="7" t="str">
        <x:v>CH-PEA-C-X2-02-3</x:v>
      </x:c>
      <x:c r="D1887" s="7" t="str">
        <x:v>PEA-C-X2</x:v>
      </x:c>
      <x:c r="E1887" s="7" t="str">
        <x:v>BLD-C</x:v>
      </x:c>
      <x:c r="F1887" s="7" t="str">
        <x:v>BL-X</x:v>
      </x:c>
      <x:c r="G1887" s="7" t="str">
        <x:v>MF-02</x:v>
      </x:c>
      <x:c r="H1887" s="7" t="str"/>
      <x:c r="I1887" s="7" t="str"/>
      <x:c r="J1887" s="7" t="str">
        <x:f>IF(OR(H1887="",I1887=""),"",I1887-H1887)</x:f>
      </x:c>
      <x:c r="K1887" s="7" t="str"/>
      <x:c r="L1887" s="7" t="str"/>
      <x:c r="M1887" s="7" t="str">
        <x:f>IF(L1887="","OPEN",IF(OR(NOT(ISNUMBER(H1887)),NOT(ISNUMBER(I1887)),NOT(ISNUMBER(K1887)),ABS(J1887)&gt;K1887),"FAIL","PASS"))</x:f>
        <x:v>OPEN</x:v>
      </x:c>
    </x:row>
    <x:row r="1888">
      <x:c r="B1888" s="7" t="str">
        <x:v>CAL-CH-PEA-C-X2-02-4</x:v>
      </x:c>
      <x:c r="C1888" s="7" t="str">
        <x:v>CH-PEA-C-X2-02-4</x:v>
      </x:c>
      <x:c r="D1888" s="7" t="str">
        <x:v>PEA-C-X2</x:v>
      </x:c>
      <x:c r="E1888" s="7" t="str">
        <x:v>BLD-C</x:v>
      </x:c>
      <x:c r="F1888" s="7" t="str">
        <x:v>BL-X</x:v>
      </x:c>
      <x:c r="G1888" s="7" t="str">
        <x:v>MF-02</x:v>
      </x:c>
      <x:c r="H1888" s="7" t="str"/>
      <x:c r="I1888" s="7" t="str"/>
      <x:c r="J1888" s="7" t="str">
        <x:f>IF(OR(H1888="",I1888=""),"",I1888-H1888)</x:f>
      </x:c>
      <x:c r="K1888" s="7" t="str"/>
      <x:c r="L1888" s="7" t="str"/>
      <x:c r="M1888" s="7" t="str">
        <x:f>IF(L1888="","OPEN",IF(OR(NOT(ISNUMBER(H1888)),NOT(ISNUMBER(I1888)),NOT(ISNUMBER(K1888)),ABS(J1888)&gt;K1888),"FAIL","PASS"))</x:f>
        <x:v>OPEN</x:v>
      </x:c>
    </x:row>
    <x:row r="1889">
      <x:c r="B1889" s="7" t="str">
        <x:v>CAL-CH-PEA-C-X2-02-5</x:v>
      </x:c>
      <x:c r="C1889" s="7" t="str">
        <x:v>CH-PEA-C-X2-02-5</x:v>
      </x:c>
      <x:c r="D1889" s="7" t="str">
        <x:v>PEA-C-X2</x:v>
      </x:c>
      <x:c r="E1889" s="7" t="str">
        <x:v>BLD-C</x:v>
      </x:c>
      <x:c r="F1889" s="7" t="str">
        <x:v>BL-X</x:v>
      </x:c>
      <x:c r="G1889" s="7" t="str">
        <x:v>MF-02</x:v>
      </x:c>
      <x:c r="H1889" s="7" t="str"/>
      <x:c r="I1889" s="7" t="str"/>
      <x:c r="J1889" s="7" t="str">
        <x:f>IF(OR(H1889="",I1889=""),"",I1889-H1889)</x:f>
      </x:c>
      <x:c r="K1889" s="7" t="str"/>
      <x:c r="L1889" s="7" t="str"/>
      <x:c r="M1889" s="7" t="str">
        <x:f>IF(L1889="","OPEN",IF(OR(NOT(ISNUMBER(H1889)),NOT(ISNUMBER(I1889)),NOT(ISNUMBER(K1889)),ABS(J1889)&gt;K1889),"FAIL","PASS"))</x:f>
        <x:v>OPEN</x:v>
      </x:c>
    </x:row>
    <x:row r="1890">
      <x:c r="B1890" s="7" t="str">
        <x:v>CAL-CH-PEA-C-X2-02-6</x:v>
      </x:c>
      <x:c r="C1890" s="7" t="str">
        <x:v>CH-PEA-C-X2-02-6</x:v>
      </x:c>
      <x:c r="D1890" s="7" t="str">
        <x:v>PEA-C-X2</x:v>
      </x:c>
      <x:c r="E1890" s="7" t="str">
        <x:v>BLD-C</x:v>
      </x:c>
      <x:c r="F1890" s="7" t="str">
        <x:v>BL-X</x:v>
      </x:c>
      <x:c r="G1890" s="7" t="str">
        <x:v>MF-02</x:v>
      </x:c>
      <x:c r="H1890" s="7" t="str"/>
      <x:c r="I1890" s="7" t="str"/>
      <x:c r="J1890" s="7" t="str">
        <x:f>IF(OR(H1890="",I1890=""),"",I1890-H1890)</x:f>
      </x:c>
      <x:c r="K1890" s="7" t="str"/>
      <x:c r="L1890" s="7" t="str"/>
      <x:c r="M1890" s="7" t="str">
        <x:f>IF(L1890="","OPEN",IF(OR(NOT(ISNUMBER(H1890)),NOT(ISNUMBER(I1890)),NOT(ISNUMBER(K1890)),ABS(J1890)&gt;K1890),"FAIL","PASS"))</x:f>
        <x:v>OPEN</x:v>
      </x:c>
    </x:row>
    <x:row r="1891">
      <x:c r="B1891" s="7" t="str">
        <x:v>CAL-CH-PEA-C-X2-03-1</x:v>
      </x:c>
      <x:c r="C1891" s="7" t="str">
        <x:v>CH-PEA-C-X2-03-1</x:v>
      </x:c>
      <x:c r="D1891" s="7" t="str">
        <x:v>PEA-C-X2</x:v>
      </x:c>
      <x:c r="E1891" s="7" t="str">
        <x:v>BLD-C</x:v>
      </x:c>
      <x:c r="F1891" s="7" t="str">
        <x:v>BL-X</x:v>
      </x:c>
      <x:c r="G1891" s="7" t="str">
        <x:v>MF-03</x:v>
      </x:c>
      <x:c r="H1891" s="7" t="str"/>
      <x:c r="I1891" s="7" t="str"/>
      <x:c r="J1891" s="7" t="str">
        <x:f>IF(OR(H1891="",I1891=""),"",I1891-H1891)</x:f>
      </x:c>
      <x:c r="K1891" s="7" t="str"/>
      <x:c r="L1891" s="7" t="str"/>
      <x:c r="M1891" s="7" t="str">
        <x:f>IF(L1891="","OPEN",IF(OR(NOT(ISNUMBER(H1891)),NOT(ISNUMBER(I1891)),NOT(ISNUMBER(K1891)),ABS(J1891)&gt;K1891),"FAIL","PASS"))</x:f>
        <x:v>OPEN</x:v>
      </x:c>
    </x:row>
    <x:row r="1892">
      <x:c r="B1892" s="7" t="str">
        <x:v>CAL-CH-PEA-C-X2-03-2</x:v>
      </x:c>
      <x:c r="C1892" s="7" t="str">
        <x:v>CH-PEA-C-X2-03-2</x:v>
      </x:c>
      <x:c r="D1892" s="7" t="str">
        <x:v>PEA-C-X2</x:v>
      </x:c>
      <x:c r="E1892" s="7" t="str">
        <x:v>BLD-C</x:v>
      </x:c>
      <x:c r="F1892" s="7" t="str">
        <x:v>BL-X</x:v>
      </x:c>
      <x:c r="G1892" s="7" t="str">
        <x:v>MF-03</x:v>
      </x:c>
      <x:c r="H1892" s="7" t="str"/>
      <x:c r="I1892" s="7" t="str"/>
      <x:c r="J1892" s="7" t="str">
        <x:f>IF(OR(H1892="",I1892=""),"",I1892-H1892)</x:f>
      </x:c>
      <x:c r="K1892" s="7" t="str"/>
      <x:c r="L1892" s="7" t="str"/>
      <x:c r="M1892" s="7" t="str">
        <x:f>IF(L1892="","OPEN",IF(OR(NOT(ISNUMBER(H1892)),NOT(ISNUMBER(I1892)),NOT(ISNUMBER(K1892)),ABS(J1892)&gt;K1892),"FAIL","PASS"))</x:f>
        <x:v>OPEN</x:v>
      </x:c>
    </x:row>
    <x:row r="1893">
      <x:c r="B1893" s="7" t="str">
        <x:v>CAL-CH-PEA-C-X2-03-3</x:v>
      </x:c>
      <x:c r="C1893" s="7" t="str">
        <x:v>CH-PEA-C-X2-03-3</x:v>
      </x:c>
      <x:c r="D1893" s="7" t="str">
        <x:v>PEA-C-X2</x:v>
      </x:c>
      <x:c r="E1893" s="7" t="str">
        <x:v>BLD-C</x:v>
      </x:c>
      <x:c r="F1893" s="7" t="str">
        <x:v>BL-X</x:v>
      </x:c>
      <x:c r="G1893" s="7" t="str">
        <x:v>MF-03</x:v>
      </x:c>
      <x:c r="H1893" s="7" t="str"/>
      <x:c r="I1893" s="7" t="str"/>
      <x:c r="J1893" s="7" t="str">
        <x:f>IF(OR(H1893="",I1893=""),"",I1893-H1893)</x:f>
      </x:c>
      <x:c r="K1893" s="7" t="str"/>
      <x:c r="L1893" s="7" t="str"/>
      <x:c r="M1893" s="7" t="str">
        <x:f>IF(L1893="","OPEN",IF(OR(NOT(ISNUMBER(H1893)),NOT(ISNUMBER(I1893)),NOT(ISNUMBER(K1893)),ABS(J1893)&gt;K1893),"FAIL","PASS"))</x:f>
        <x:v>OPEN</x:v>
      </x:c>
    </x:row>
    <x:row r="1894">
      <x:c r="B1894" s="7" t="str">
        <x:v>CAL-CH-PEA-C-X2-03-4</x:v>
      </x:c>
      <x:c r="C1894" s="7" t="str">
        <x:v>CH-PEA-C-X2-03-4</x:v>
      </x:c>
      <x:c r="D1894" s="7" t="str">
        <x:v>PEA-C-X2</x:v>
      </x:c>
      <x:c r="E1894" s="7" t="str">
        <x:v>BLD-C</x:v>
      </x:c>
      <x:c r="F1894" s="7" t="str">
        <x:v>BL-X</x:v>
      </x:c>
      <x:c r="G1894" s="7" t="str">
        <x:v>MF-03</x:v>
      </x:c>
      <x:c r="H1894" s="7" t="str"/>
      <x:c r="I1894" s="7" t="str"/>
      <x:c r="J1894" s="7" t="str">
        <x:f>IF(OR(H1894="",I1894=""),"",I1894-H1894)</x:f>
      </x:c>
      <x:c r="K1894" s="7" t="str"/>
      <x:c r="L1894" s="7" t="str"/>
      <x:c r="M1894" s="7" t="str">
        <x:f>IF(L1894="","OPEN",IF(OR(NOT(ISNUMBER(H1894)),NOT(ISNUMBER(I1894)),NOT(ISNUMBER(K1894)),ABS(J1894)&gt;K1894),"FAIL","PASS"))</x:f>
        <x:v>OPEN</x:v>
      </x:c>
    </x:row>
    <x:row r="1895">
      <x:c r="B1895" s="7" t="str">
        <x:v>CAL-CH-PEA-C-X2-03-5</x:v>
      </x:c>
      <x:c r="C1895" s="7" t="str">
        <x:v>CH-PEA-C-X2-03-5</x:v>
      </x:c>
      <x:c r="D1895" s="7" t="str">
        <x:v>PEA-C-X2</x:v>
      </x:c>
      <x:c r="E1895" s="7" t="str">
        <x:v>BLD-C</x:v>
      </x:c>
      <x:c r="F1895" s="7" t="str">
        <x:v>BL-X</x:v>
      </x:c>
      <x:c r="G1895" s="7" t="str">
        <x:v>MF-03</x:v>
      </x:c>
      <x:c r="H1895" s="7" t="str"/>
      <x:c r="I1895" s="7" t="str"/>
      <x:c r="J1895" s="7" t="str">
        <x:f>IF(OR(H1895="",I1895=""),"",I1895-H1895)</x:f>
      </x:c>
      <x:c r="K1895" s="7" t="str"/>
      <x:c r="L1895" s="7" t="str"/>
      <x:c r="M1895" s="7" t="str">
        <x:f>IF(L1895="","OPEN",IF(OR(NOT(ISNUMBER(H1895)),NOT(ISNUMBER(I1895)),NOT(ISNUMBER(K1895)),ABS(J1895)&gt;K1895),"FAIL","PASS"))</x:f>
        <x:v>OPEN</x:v>
      </x:c>
    </x:row>
    <x:row r="1896">
      <x:c r="B1896" s="7" t="str">
        <x:v>CAL-CH-PEA-C-X2-03-6</x:v>
      </x:c>
      <x:c r="C1896" s="7" t="str">
        <x:v>CH-PEA-C-X2-03-6</x:v>
      </x:c>
      <x:c r="D1896" s="7" t="str">
        <x:v>PEA-C-X2</x:v>
      </x:c>
      <x:c r="E1896" s="7" t="str">
        <x:v>BLD-C</x:v>
      </x:c>
      <x:c r="F1896" s="7" t="str">
        <x:v>BL-X</x:v>
      </x:c>
      <x:c r="G1896" s="7" t="str">
        <x:v>MF-03</x:v>
      </x:c>
      <x:c r="H1896" s="7" t="str"/>
      <x:c r="I1896" s="7" t="str"/>
      <x:c r="J1896" s="7" t="str">
        <x:f>IF(OR(H1896="",I1896=""),"",I1896-H1896)</x:f>
      </x:c>
      <x:c r="K1896" s="7" t="str"/>
      <x:c r="L1896" s="7" t="str"/>
      <x:c r="M1896" s="7" t="str">
        <x:f>IF(L1896="","OPEN",IF(OR(NOT(ISNUMBER(H1896)),NOT(ISNUMBER(I1896)),NOT(ISNUMBER(K1896)),ABS(J1896)&gt;K1896),"FAIL","PASS"))</x:f>
        <x:v>OPEN</x:v>
      </x:c>
    </x:row>
    <x:row r="1897">
      <x:c r="B1897" s="7" t="str">
        <x:v>CAL-CH-PEA-C-X2-04-1</x:v>
      </x:c>
      <x:c r="C1897" s="7" t="str">
        <x:v>CH-PEA-C-X2-04-1</x:v>
      </x:c>
      <x:c r="D1897" s="7" t="str">
        <x:v>PEA-C-X2</x:v>
      </x:c>
      <x:c r="E1897" s="7" t="str">
        <x:v>BLD-C</x:v>
      </x:c>
      <x:c r="F1897" s="7" t="str">
        <x:v>BL-X</x:v>
      </x:c>
      <x:c r="G1897" s="7" t="str">
        <x:v>MF-04</x:v>
      </x:c>
      <x:c r="H1897" s="7" t="str"/>
      <x:c r="I1897" s="7" t="str"/>
      <x:c r="J1897" s="7" t="str">
        <x:f>IF(OR(H1897="",I1897=""),"",I1897-H1897)</x:f>
      </x:c>
      <x:c r="K1897" s="7" t="str"/>
      <x:c r="L1897" s="7" t="str"/>
      <x:c r="M1897" s="7" t="str">
        <x:f>IF(L1897="","OPEN",IF(OR(NOT(ISNUMBER(H1897)),NOT(ISNUMBER(I1897)),NOT(ISNUMBER(K1897)),ABS(J1897)&gt;K1897),"FAIL","PASS"))</x:f>
        <x:v>OPEN</x:v>
      </x:c>
    </x:row>
    <x:row r="1898">
      <x:c r="B1898" s="7" t="str">
        <x:v>CAL-CH-PEA-C-X2-04-2</x:v>
      </x:c>
      <x:c r="C1898" s="7" t="str">
        <x:v>CH-PEA-C-X2-04-2</x:v>
      </x:c>
      <x:c r="D1898" s="7" t="str">
        <x:v>PEA-C-X2</x:v>
      </x:c>
      <x:c r="E1898" s="7" t="str">
        <x:v>BLD-C</x:v>
      </x:c>
      <x:c r="F1898" s="7" t="str">
        <x:v>BL-X</x:v>
      </x:c>
      <x:c r="G1898" s="7" t="str">
        <x:v>MF-04</x:v>
      </x:c>
      <x:c r="H1898" s="7" t="str"/>
      <x:c r="I1898" s="7" t="str"/>
      <x:c r="J1898" s="7" t="str">
        <x:f>IF(OR(H1898="",I1898=""),"",I1898-H1898)</x:f>
      </x:c>
      <x:c r="K1898" s="7" t="str"/>
      <x:c r="L1898" s="7" t="str"/>
      <x:c r="M1898" s="7" t="str">
        <x:f>IF(L1898="","OPEN",IF(OR(NOT(ISNUMBER(H1898)),NOT(ISNUMBER(I1898)),NOT(ISNUMBER(K1898)),ABS(J1898)&gt;K1898),"FAIL","PASS"))</x:f>
        <x:v>OPEN</x:v>
      </x:c>
    </x:row>
    <x:row r="1899">
      <x:c r="B1899" s="7" t="str">
        <x:v>CAL-CH-PEA-C-X2-04-3</x:v>
      </x:c>
      <x:c r="C1899" s="7" t="str">
        <x:v>CH-PEA-C-X2-04-3</x:v>
      </x:c>
      <x:c r="D1899" s="7" t="str">
        <x:v>PEA-C-X2</x:v>
      </x:c>
      <x:c r="E1899" s="7" t="str">
        <x:v>BLD-C</x:v>
      </x:c>
      <x:c r="F1899" s="7" t="str">
        <x:v>BL-X</x:v>
      </x:c>
      <x:c r="G1899" s="7" t="str">
        <x:v>MF-04</x:v>
      </x:c>
      <x:c r="H1899" s="7" t="str"/>
      <x:c r="I1899" s="7" t="str"/>
      <x:c r="J1899" s="7" t="str">
        <x:f>IF(OR(H1899="",I1899=""),"",I1899-H1899)</x:f>
      </x:c>
      <x:c r="K1899" s="7" t="str"/>
      <x:c r="L1899" s="7" t="str"/>
      <x:c r="M1899" s="7" t="str">
        <x:f>IF(L1899="","OPEN",IF(OR(NOT(ISNUMBER(H1899)),NOT(ISNUMBER(I1899)),NOT(ISNUMBER(K1899)),ABS(J1899)&gt;K1899),"FAIL","PASS"))</x:f>
        <x:v>OPEN</x:v>
      </x:c>
    </x:row>
    <x:row r="1900">
      <x:c r="B1900" s="7" t="str">
        <x:v>CAL-CH-PEA-C-X2-04-4</x:v>
      </x:c>
      <x:c r="C1900" s="7" t="str">
        <x:v>CH-PEA-C-X2-04-4</x:v>
      </x:c>
      <x:c r="D1900" s="7" t="str">
        <x:v>PEA-C-X2</x:v>
      </x:c>
      <x:c r="E1900" s="7" t="str">
        <x:v>BLD-C</x:v>
      </x:c>
      <x:c r="F1900" s="7" t="str">
        <x:v>BL-X</x:v>
      </x:c>
      <x:c r="G1900" s="7" t="str">
        <x:v>MF-04</x:v>
      </x:c>
      <x:c r="H1900" s="7" t="str"/>
      <x:c r="I1900" s="7" t="str"/>
      <x:c r="J1900" s="7" t="str">
        <x:f>IF(OR(H1900="",I1900=""),"",I1900-H1900)</x:f>
      </x:c>
      <x:c r="K1900" s="7" t="str"/>
      <x:c r="L1900" s="7" t="str"/>
      <x:c r="M1900" s="7" t="str">
        <x:f>IF(L1900="","OPEN",IF(OR(NOT(ISNUMBER(H1900)),NOT(ISNUMBER(I1900)),NOT(ISNUMBER(K1900)),ABS(J1900)&gt;K1900),"FAIL","PASS"))</x:f>
        <x:v>OPEN</x:v>
      </x:c>
    </x:row>
    <x:row r="1901">
      <x:c r="B1901" s="7" t="str">
        <x:v>CAL-CH-PEA-C-X2-04-5</x:v>
      </x:c>
      <x:c r="C1901" s="7" t="str">
        <x:v>CH-PEA-C-X2-04-5</x:v>
      </x:c>
      <x:c r="D1901" s="7" t="str">
        <x:v>PEA-C-X2</x:v>
      </x:c>
      <x:c r="E1901" s="7" t="str">
        <x:v>BLD-C</x:v>
      </x:c>
      <x:c r="F1901" s="7" t="str">
        <x:v>BL-X</x:v>
      </x:c>
      <x:c r="G1901" s="7" t="str">
        <x:v>MF-04</x:v>
      </x:c>
      <x:c r="H1901" s="7" t="str"/>
      <x:c r="I1901" s="7" t="str"/>
      <x:c r="J1901" s="7" t="str">
        <x:f>IF(OR(H1901="",I1901=""),"",I1901-H1901)</x:f>
      </x:c>
      <x:c r="K1901" s="7" t="str"/>
      <x:c r="L1901" s="7" t="str"/>
      <x:c r="M1901" s="7" t="str">
        <x:f>IF(L1901="","OPEN",IF(OR(NOT(ISNUMBER(H1901)),NOT(ISNUMBER(I1901)),NOT(ISNUMBER(K1901)),ABS(J1901)&gt;K1901),"FAIL","PASS"))</x:f>
        <x:v>OPEN</x:v>
      </x:c>
    </x:row>
    <x:row r="1902">
      <x:c r="B1902" s="7" t="str">
        <x:v>CAL-CH-PEA-C-X2-04-6</x:v>
      </x:c>
      <x:c r="C1902" s="7" t="str">
        <x:v>CH-PEA-C-X2-04-6</x:v>
      </x:c>
      <x:c r="D1902" s="7" t="str">
        <x:v>PEA-C-X2</x:v>
      </x:c>
      <x:c r="E1902" s="7" t="str">
        <x:v>BLD-C</x:v>
      </x:c>
      <x:c r="F1902" s="7" t="str">
        <x:v>BL-X</x:v>
      </x:c>
      <x:c r="G1902" s="7" t="str">
        <x:v>MF-04</x:v>
      </x:c>
      <x:c r="H1902" s="7" t="str"/>
      <x:c r="I1902" s="7" t="str"/>
      <x:c r="J1902" s="7" t="str">
        <x:f>IF(OR(H1902="",I1902=""),"",I1902-H1902)</x:f>
      </x:c>
      <x:c r="K1902" s="7" t="str"/>
      <x:c r="L1902" s="7" t="str"/>
      <x:c r="M1902" s="7" t="str">
        <x:f>IF(L1902="","OPEN",IF(OR(NOT(ISNUMBER(H1902)),NOT(ISNUMBER(I1902)),NOT(ISNUMBER(K1902)),ABS(J1902)&gt;K1902),"FAIL","PASS"))</x:f>
        <x:v>OPEN</x:v>
      </x:c>
    </x:row>
    <x:row r="1903">
      <x:c r="B1903" s="7" t="str">
        <x:v>CAL-CH-PEA-C-X2-05-1</x:v>
      </x:c>
      <x:c r="C1903" s="7" t="str">
        <x:v>CH-PEA-C-X2-05-1</x:v>
      </x:c>
      <x:c r="D1903" s="7" t="str">
        <x:v>PEA-C-X2</x:v>
      </x:c>
      <x:c r="E1903" s="7" t="str">
        <x:v>BLD-C</x:v>
      </x:c>
      <x:c r="F1903" s="7" t="str">
        <x:v>BL-X</x:v>
      </x:c>
      <x:c r="G1903" s="7" t="str">
        <x:v>MF-05</x:v>
      </x:c>
      <x:c r="H1903" s="7" t="str"/>
      <x:c r="I1903" s="7" t="str"/>
      <x:c r="J1903" s="7" t="str">
        <x:f>IF(OR(H1903="",I1903=""),"",I1903-H1903)</x:f>
      </x:c>
      <x:c r="K1903" s="7" t="str"/>
      <x:c r="L1903" s="7" t="str"/>
      <x:c r="M1903" s="7" t="str">
        <x:f>IF(L1903="","OPEN",IF(OR(NOT(ISNUMBER(H1903)),NOT(ISNUMBER(I1903)),NOT(ISNUMBER(K1903)),ABS(J1903)&gt;K1903),"FAIL","PASS"))</x:f>
        <x:v>OPEN</x:v>
      </x:c>
    </x:row>
    <x:row r="1904">
      <x:c r="B1904" s="7" t="str">
        <x:v>CAL-CH-PEA-C-X2-05-2</x:v>
      </x:c>
      <x:c r="C1904" s="7" t="str">
        <x:v>CH-PEA-C-X2-05-2</x:v>
      </x:c>
      <x:c r="D1904" s="7" t="str">
        <x:v>PEA-C-X2</x:v>
      </x:c>
      <x:c r="E1904" s="7" t="str">
        <x:v>BLD-C</x:v>
      </x:c>
      <x:c r="F1904" s="7" t="str">
        <x:v>BL-X</x:v>
      </x:c>
      <x:c r="G1904" s="7" t="str">
        <x:v>MF-05</x:v>
      </x:c>
      <x:c r="H1904" s="7" t="str"/>
      <x:c r="I1904" s="7" t="str"/>
      <x:c r="J1904" s="7" t="str">
        <x:f>IF(OR(H1904="",I1904=""),"",I1904-H1904)</x:f>
      </x:c>
      <x:c r="K1904" s="7" t="str"/>
      <x:c r="L1904" s="7" t="str"/>
      <x:c r="M1904" s="7" t="str">
        <x:f>IF(L1904="","OPEN",IF(OR(NOT(ISNUMBER(H1904)),NOT(ISNUMBER(I1904)),NOT(ISNUMBER(K1904)),ABS(J1904)&gt;K1904),"FAIL","PASS"))</x:f>
        <x:v>OPEN</x:v>
      </x:c>
    </x:row>
    <x:row r="1905">
      <x:c r="B1905" s="7" t="str">
        <x:v>CAL-CH-PEA-C-X2-05-3</x:v>
      </x:c>
      <x:c r="C1905" s="7" t="str">
        <x:v>CH-PEA-C-X2-05-3</x:v>
      </x:c>
      <x:c r="D1905" s="7" t="str">
        <x:v>PEA-C-X2</x:v>
      </x:c>
      <x:c r="E1905" s="7" t="str">
        <x:v>BLD-C</x:v>
      </x:c>
      <x:c r="F1905" s="7" t="str">
        <x:v>BL-X</x:v>
      </x:c>
      <x:c r="G1905" s="7" t="str">
        <x:v>MF-05</x:v>
      </x:c>
      <x:c r="H1905" s="7" t="str"/>
      <x:c r="I1905" s="7" t="str"/>
      <x:c r="J1905" s="7" t="str">
        <x:f>IF(OR(H1905="",I1905=""),"",I1905-H1905)</x:f>
      </x:c>
      <x:c r="K1905" s="7" t="str"/>
      <x:c r="L1905" s="7" t="str"/>
      <x:c r="M1905" s="7" t="str">
        <x:f>IF(L1905="","OPEN",IF(OR(NOT(ISNUMBER(H1905)),NOT(ISNUMBER(I1905)),NOT(ISNUMBER(K1905)),ABS(J1905)&gt;K1905),"FAIL","PASS"))</x:f>
        <x:v>OPEN</x:v>
      </x:c>
    </x:row>
    <x:row r="1906">
      <x:c r="B1906" s="7" t="str">
        <x:v>CAL-CH-PEA-C-X2-05-4</x:v>
      </x:c>
      <x:c r="C1906" s="7" t="str">
        <x:v>CH-PEA-C-X2-05-4</x:v>
      </x:c>
      <x:c r="D1906" s="7" t="str">
        <x:v>PEA-C-X2</x:v>
      </x:c>
      <x:c r="E1906" s="7" t="str">
        <x:v>BLD-C</x:v>
      </x:c>
      <x:c r="F1906" s="7" t="str">
        <x:v>BL-X</x:v>
      </x:c>
      <x:c r="G1906" s="7" t="str">
        <x:v>MF-05</x:v>
      </x:c>
      <x:c r="H1906" s="7" t="str"/>
      <x:c r="I1906" s="7" t="str"/>
      <x:c r="J1906" s="7" t="str">
        <x:f>IF(OR(H1906="",I1906=""),"",I1906-H1906)</x:f>
      </x:c>
      <x:c r="K1906" s="7" t="str"/>
      <x:c r="L1906" s="7" t="str"/>
      <x:c r="M1906" s="7" t="str">
        <x:f>IF(L1906="","OPEN",IF(OR(NOT(ISNUMBER(H1906)),NOT(ISNUMBER(I1906)),NOT(ISNUMBER(K1906)),ABS(J1906)&gt;K1906),"FAIL","PASS"))</x:f>
        <x:v>OPEN</x:v>
      </x:c>
    </x:row>
    <x:row r="1907">
      <x:c r="B1907" s="7" t="str">
        <x:v>CAL-CH-PEA-C-X2-05-5</x:v>
      </x:c>
      <x:c r="C1907" s="7" t="str">
        <x:v>CH-PEA-C-X2-05-5</x:v>
      </x:c>
      <x:c r="D1907" s="7" t="str">
        <x:v>PEA-C-X2</x:v>
      </x:c>
      <x:c r="E1907" s="7" t="str">
        <x:v>BLD-C</x:v>
      </x:c>
      <x:c r="F1907" s="7" t="str">
        <x:v>BL-X</x:v>
      </x:c>
      <x:c r="G1907" s="7" t="str">
        <x:v>MF-05</x:v>
      </x:c>
      <x:c r="H1907" s="7" t="str"/>
      <x:c r="I1907" s="7" t="str"/>
      <x:c r="J1907" s="7" t="str">
        <x:f>IF(OR(H1907="",I1907=""),"",I1907-H1907)</x:f>
      </x:c>
      <x:c r="K1907" s="7" t="str"/>
      <x:c r="L1907" s="7" t="str"/>
      <x:c r="M1907" s="7" t="str">
        <x:f>IF(L1907="","OPEN",IF(OR(NOT(ISNUMBER(H1907)),NOT(ISNUMBER(I1907)),NOT(ISNUMBER(K1907)),ABS(J1907)&gt;K1907),"FAIL","PASS"))</x:f>
        <x:v>OPEN</x:v>
      </x:c>
    </x:row>
    <x:row r="1908">
      <x:c r="B1908" s="7" t="str">
        <x:v>CAL-CH-PEA-C-X2-05-6</x:v>
      </x:c>
      <x:c r="C1908" s="7" t="str">
        <x:v>CH-PEA-C-X2-05-6</x:v>
      </x:c>
      <x:c r="D1908" s="7" t="str">
        <x:v>PEA-C-X2</x:v>
      </x:c>
      <x:c r="E1908" s="7" t="str">
        <x:v>BLD-C</x:v>
      </x:c>
      <x:c r="F1908" s="7" t="str">
        <x:v>BL-X</x:v>
      </x:c>
      <x:c r="G1908" s="7" t="str">
        <x:v>MF-05</x:v>
      </x:c>
      <x:c r="H1908" s="7" t="str"/>
      <x:c r="I1908" s="7" t="str"/>
      <x:c r="J1908" s="7" t="str">
        <x:f>IF(OR(H1908="",I1908=""),"",I1908-H1908)</x:f>
      </x:c>
      <x:c r="K1908" s="7" t="str"/>
      <x:c r="L1908" s="7" t="str"/>
      <x:c r="M1908" s="7" t="str">
        <x:f>IF(L1908="","OPEN",IF(OR(NOT(ISNUMBER(H1908)),NOT(ISNUMBER(I1908)),NOT(ISNUMBER(K1908)),ABS(J1908)&gt;K1908),"FAIL","PASS"))</x:f>
        <x:v>OPEN</x:v>
      </x:c>
    </x:row>
    <x:row r="1909">
      <x:c r="B1909" s="7" t="str">
        <x:v>CAL-CH-PEA-C-X2-06-1</x:v>
      </x:c>
      <x:c r="C1909" s="7" t="str">
        <x:v>CH-PEA-C-X2-06-1</x:v>
      </x:c>
      <x:c r="D1909" s="7" t="str">
        <x:v>PEA-C-X2</x:v>
      </x:c>
      <x:c r="E1909" s="7" t="str">
        <x:v>BLD-C</x:v>
      </x:c>
      <x:c r="F1909" s="7" t="str">
        <x:v>BL-X</x:v>
      </x:c>
      <x:c r="G1909" s="7" t="str">
        <x:v>MF-06</x:v>
      </x:c>
      <x:c r="H1909" s="7" t="str"/>
      <x:c r="I1909" s="7" t="str"/>
      <x:c r="J1909" s="7" t="str">
        <x:f>IF(OR(H1909="",I1909=""),"",I1909-H1909)</x:f>
      </x:c>
      <x:c r="K1909" s="7" t="str"/>
      <x:c r="L1909" s="7" t="str"/>
      <x:c r="M1909" s="7" t="str">
        <x:f>IF(L1909="","OPEN",IF(OR(NOT(ISNUMBER(H1909)),NOT(ISNUMBER(I1909)),NOT(ISNUMBER(K1909)),ABS(J1909)&gt;K1909),"FAIL","PASS"))</x:f>
        <x:v>OPEN</x:v>
      </x:c>
    </x:row>
    <x:row r="1910">
      <x:c r="B1910" s="7" t="str">
        <x:v>CAL-CH-PEA-C-X2-06-2</x:v>
      </x:c>
      <x:c r="C1910" s="7" t="str">
        <x:v>CH-PEA-C-X2-06-2</x:v>
      </x:c>
      <x:c r="D1910" s="7" t="str">
        <x:v>PEA-C-X2</x:v>
      </x:c>
      <x:c r="E1910" s="7" t="str">
        <x:v>BLD-C</x:v>
      </x:c>
      <x:c r="F1910" s="7" t="str">
        <x:v>BL-X</x:v>
      </x:c>
      <x:c r="G1910" s="7" t="str">
        <x:v>MF-06</x:v>
      </x:c>
      <x:c r="H1910" s="7" t="str"/>
      <x:c r="I1910" s="7" t="str"/>
      <x:c r="J1910" s="7" t="str">
        <x:f>IF(OR(H1910="",I1910=""),"",I1910-H1910)</x:f>
      </x:c>
      <x:c r="K1910" s="7" t="str"/>
      <x:c r="L1910" s="7" t="str"/>
      <x:c r="M1910" s="7" t="str">
        <x:f>IF(L1910="","OPEN",IF(OR(NOT(ISNUMBER(H1910)),NOT(ISNUMBER(I1910)),NOT(ISNUMBER(K1910)),ABS(J1910)&gt;K1910),"FAIL","PASS"))</x:f>
        <x:v>OPEN</x:v>
      </x:c>
    </x:row>
    <x:row r="1911">
      <x:c r="B1911" s="7" t="str">
        <x:v>CAL-CH-PEA-C-X2-06-3</x:v>
      </x:c>
      <x:c r="C1911" s="7" t="str">
        <x:v>CH-PEA-C-X2-06-3</x:v>
      </x:c>
      <x:c r="D1911" s="7" t="str">
        <x:v>PEA-C-X2</x:v>
      </x:c>
      <x:c r="E1911" s="7" t="str">
        <x:v>BLD-C</x:v>
      </x:c>
      <x:c r="F1911" s="7" t="str">
        <x:v>BL-X</x:v>
      </x:c>
      <x:c r="G1911" s="7" t="str">
        <x:v>MF-06</x:v>
      </x:c>
      <x:c r="H1911" s="7" t="str"/>
      <x:c r="I1911" s="7" t="str"/>
      <x:c r="J1911" s="7" t="str">
        <x:f>IF(OR(H1911="",I1911=""),"",I1911-H1911)</x:f>
      </x:c>
      <x:c r="K1911" s="7" t="str"/>
      <x:c r="L1911" s="7" t="str"/>
      <x:c r="M1911" s="7" t="str">
        <x:f>IF(L1911="","OPEN",IF(OR(NOT(ISNUMBER(H1911)),NOT(ISNUMBER(I1911)),NOT(ISNUMBER(K1911)),ABS(J1911)&gt;K1911),"FAIL","PASS"))</x:f>
        <x:v>OPEN</x:v>
      </x:c>
    </x:row>
    <x:row r="1912">
      <x:c r="B1912" s="7" t="str">
        <x:v>CAL-CH-PEA-C-X2-06-4</x:v>
      </x:c>
      <x:c r="C1912" s="7" t="str">
        <x:v>CH-PEA-C-X2-06-4</x:v>
      </x:c>
      <x:c r="D1912" s="7" t="str">
        <x:v>PEA-C-X2</x:v>
      </x:c>
      <x:c r="E1912" s="7" t="str">
        <x:v>BLD-C</x:v>
      </x:c>
      <x:c r="F1912" s="7" t="str">
        <x:v>BL-X</x:v>
      </x:c>
      <x:c r="G1912" s="7" t="str">
        <x:v>MF-06</x:v>
      </x:c>
      <x:c r="H1912" s="7" t="str"/>
      <x:c r="I1912" s="7" t="str"/>
      <x:c r="J1912" s="7" t="str">
        <x:f>IF(OR(H1912="",I1912=""),"",I1912-H1912)</x:f>
      </x:c>
      <x:c r="K1912" s="7" t="str"/>
      <x:c r="L1912" s="7" t="str"/>
      <x:c r="M1912" s="7" t="str">
        <x:f>IF(L1912="","OPEN",IF(OR(NOT(ISNUMBER(H1912)),NOT(ISNUMBER(I1912)),NOT(ISNUMBER(K1912)),ABS(J1912)&gt;K1912),"FAIL","PASS"))</x:f>
        <x:v>OPEN</x:v>
      </x:c>
    </x:row>
    <x:row r="1913">
      <x:c r="B1913" s="7" t="str">
        <x:v>CAL-CH-PEA-C-X2-06-5</x:v>
      </x:c>
      <x:c r="C1913" s="7" t="str">
        <x:v>CH-PEA-C-X2-06-5</x:v>
      </x:c>
      <x:c r="D1913" s="7" t="str">
        <x:v>PEA-C-X2</x:v>
      </x:c>
      <x:c r="E1913" s="7" t="str">
        <x:v>BLD-C</x:v>
      </x:c>
      <x:c r="F1913" s="7" t="str">
        <x:v>BL-X</x:v>
      </x:c>
      <x:c r="G1913" s="7" t="str">
        <x:v>MF-06</x:v>
      </x:c>
      <x:c r="H1913" s="7" t="str"/>
      <x:c r="I1913" s="7" t="str"/>
      <x:c r="J1913" s="7" t="str">
        <x:f>IF(OR(H1913="",I1913=""),"",I1913-H1913)</x:f>
      </x:c>
      <x:c r="K1913" s="7" t="str"/>
      <x:c r="L1913" s="7" t="str"/>
      <x:c r="M1913" s="7" t="str">
        <x:f>IF(L1913="","OPEN",IF(OR(NOT(ISNUMBER(H1913)),NOT(ISNUMBER(I1913)),NOT(ISNUMBER(K1913)),ABS(J1913)&gt;K1913),"FAIL","PASS"))</x:f>
        <x:v>OPEN</x:v>
      </x:c>
    </x:row>
    <x:row r="1914">
      <x:c r="B1914" s="7" t="str">
        <x:v>CAL-CH-PEA-C-X2-06-6</x:v>
      </x:c>
      <x:c r="C1914" s="7" t="str">
        <x:v>CH-PEA-C-X2-06-6</x:v>
      </x:c>
      <x:c r="D1914" s="7" t="str">
        <x:v>PEA-C-X2</x:v>
      </x:c>
      <x:c r="E1914" s="7" t="str">
        <x:v>BLD-C</x:v>
      </x:c>
      <x:c r="F1914" s="7" t="str">
        <x:v>BL-X</x:v>
      </x:c>
      <x:c r="G1914" s="7" t="str">
        <x:v>MF-06</x:v>
      </x:c>
      <x:c r="H1914" s="7" t="str"/>
      <x:c r="I1914" s="7" t="str"/>
      <x:c r="J1914" s="7" t="str">
        <x:f>IF(OR(H1914="",I1914=""),"",I1914-H1914)</x:f>
      </x:c>
      <x:c r="K1914" s="7" t="str"/>
      <x:c r="L1914" s="7" t="str"/>
      <x:c r="M1914" s="7" t="str">
        <x:f>IF(L1914="","OPEN",IF(OR(NOT(ISNUMBER(H1914)),NOT(ISNUMBER(I1914)),NOT(ISNUMBER(K1914)),ABS(J1914)&gt;K1914),"FAIL","PASS"))</x:f>
        <x:v>OPEN</x:v>
      </x:c>
    </x:row>
    <x:row r="1915">
      <x:c r="B1915" s="7" t="str">
        <x:v>CAL-CH-PEA-C-X2-07-1</x:v>
      </x:c>
      <x:c r="C1915" s="7" t="str">
        <x:v>CH-PEA-C-X2-07-1</x:v>
      </x:c>
      <x:c r="D1915" s="7" t="str">
        <x:v>PEA-C-X2</x:v>
      </x:c>
      <x:c r="E1915" s="7" t="str">
        <x:v>BLD-C</x:v>
      </x:c>
      <x:c r="F1915" s="7" t="str">
        <x:v>BL-X</x:v>
      </x:c>
      <x:c r="G1915" s="7" t="str">
        <x:v>MF-07</x:v>
      </x:c>
      <x:c r="H1915" s="7" t="str"/>
      <x:c r="I1915" s="7" t="str"/>
      <x:c r="J1915" s="7" t="str">
        <x:f>IF(OR(H1915="",I1915=""),"",I1915-H1915)</x:f>
      </x:c>
      <x:c r="K1915" s="7" t="str"/>
      <x:c r="L1915" s="7" t="str"/>
      <x:c r="M1915" s="7" t="str">
        <x:f>IF(L1915="","OPEN",IF(OR(NOT(ISNUMBER(H1915)),NOT(ISNUMBER(I1915)),NOT(ISNUMBER(K1915)),ABS(J1915)&gt;K1915),"FAIL","PASS"))</x:f>
        <x:v>OPEN</x:v>
      </x:c>
    </x:row>
    <x:row r="1916">
      <x:c r="B1916" s="7" t="str">
        <x:v>CAL-CH-PEA-C-X2-07-2</x:v>
      </x:c>
      <x:c r="C1916" s="7" t="str">
        <x:v>CH-PEA-C-X2-07-2</x:v>
      </x:c>
      <x:c r="D1916" s="7" t="str">
        <x:v>PEA-C-X2</x:v>
      </x:c>
      <x:c r="E1916" s="7" t="str">
        <x:v>BLD-C</x:v>
      </x:c>
      <x:c r="F1916" s="7" t="str">
        <x:v>BL-X</x:v>
      </x:c>
      <x:c r="G1916" s="7" t="str">
        <x:v>MF-07</x:v>
      </x:c>
      <x:c r="H1916" s="7" t="str"/>
      <x:c r="I1916" s="7" t="str"/>
      <x:c r="J1916" s="7" t="str">
        <x:f>IF(OR(H1916="",I1916=""),"",I1916-H1916)</x:f>
      </x:c>
      <x:c r="K1916" s="7" t="str"/>
      <x:c r="L1916" s="7" t="str"/>
      <x:c r="M1916" s="7" t="str">
        <x:f>IF(L1916="","OPEN",IF(OR(NOT(ISNUMBER(H1916)),NOT(ISNUMBER(I1916)),NOT(ISNUMBER(K1916)),ABS(J1916)&gt;K1916),"FAIL","PASS"))</x:f>
        <x:v>OPEN</x:v>
      </x:c>
    </x:row>
    <x:row r="1917">
      <x:c r="B1917" s="7" t="str">
        <x:v>CAL-CH-PEA-C-X2-07-3</x:v>
      </x:c>
      <x:c r="C1917" s="7" t="str">
        <x:v>CH-PEA-C-X2-07-3</x:v>
      </x:c>
      <x:c r="D1917" s="7" t="str">
        <x:v>PEA-C-X2</x:v>
      </x:c>
      <x:c r="E1917" s="7" t="str">
        <x:v>BLD-C</x:v>
      </x:c>
      <x:c r="F1917" s="7" t="str">
        <x:v>BL-X</x:v>
      </x:c>
      <x:c r="G1917" s="7" t="str">
        <x:v>MF-07</x:v>
      </x:c>
      <x:c r="H1917" s="7" t="str"/>
      <x:c r="I1917" s="7" t="str"/>
      <x:c r="J1917" s="7" t="str">
        <x:f>IF(OR(H1917="",I1917=""),"",I1917-H1917)</x:f>
      </x:c>
      <x:c r="K1917" s="7" t="str"/>
      <x:c r="L1917" s="7" t="str"/>
      <x:c r="M1917" s="7" t="str">
        <x:f>IF(L1917="","OPEN",IF(OR(NOT(ISNUMBER(H1917)),NOT(ISNUMBER(I1917)),NOT(ISNUMBER(K1917)),ABS(J1917)&gt;K1917),"FAIL","PASS"))</x:f>
        <x:v>OPEN</x:v>
      </x:c>
    </x:row>
    <x:row r="1918">
      <x:c r="B1918" s="7" t="str">
        <x:v>CAL-CH-PEA-C-X2-07-4</x:v>
      </x:c>
      <x:c r="C1918" s="7" t="str">
        <x:v>CH-PEA-C-X2-07-4</x:v>
      </x:c>
      <x:c r="D1918" s="7" t="str">
        <x:v>PEA-C-X2</x:v>
      </x:c>
      <x:c r="E1918" s="7" t="str">
        <x:v>BLD-C</x:v>
      </x:c>
      <x:c r="F1918" s="7" t="str">
        <x:v>BL-X</x:v>
      </x:c>
      <x:c r="G1918" s="7" t="str">
        <x:v>MF-07</x:v>
      </x:c>
      <x:c r="H1918" s="7" t="str"/>
      <x:c r="I1918" s="7" t="str"/>
      <x:c r="J1918" s="7" t="str">
        <x:f>IF(OR(H1918="",I1918=""),"",I1918-H1918)</x:f>
      </x:c>
      <x:c r="K1918" s="7" t="str"/>
      <x:c r="L1918" s="7" t="str"/>
      <x:c r="M1918" s="7" t="str">
        <x:f>IF(L1918="","OPEN",IF(OR(NOT(ISNUMBER(H1918)),NOT(ISNUMBER(I1918)),NOT(ISNUMBER(K1918)),ABS(J1918)&gt;K1918),"FAIL","PASS"))</x:f>
        <x:v>OPEN</x:v>
      </x:c>
    </x:row>
    <x:row r="1919">
      <x:c r="B1919" s="7" t="str">
        <x:v>CAL-CH-PEA-C-X2-07-5</x:v>
      </x:c>
      <x:c r="C1919" s="7" t="str">
        <x:v>CH-PEA-C-X2-07-5</x:v>
      </x:c>
      <x:c r="D1919" s="7" t="str">
        <x:v>PEA-C-X2</x:v>
      </x:c>
      <x:c r="E1919" s="7" t="str">
        <x:v>BLD-C</x:v>
      </x:c>
      <x:c r="F1919" s="7" t="str">
        <x:v>BL-X</x:v>
      </x:c>
      <x:c r="G1919" s="7" t="str">
        <x:v>MF-07</x:v>
      </x:c>
      <x:c r="H1919" s="7" t="str"/>
      <x:c r="I1919" s="7" t="str"/>
      <x:c r="J1919" s="7" t="str">
        <x:f>IF(OR(H1919="",I1919=""),"",I1919-H1919)</x:f>
      </x:c>
      <x:c r="K1919" s="7" t="str"/>
      <x:c r="L1919" s="7" t="str"/>
      <x:c r="M1919" s="7" t="str">
        <x:f>IF(L1919="","OPEN",IF(OR(NOT(ISNUMBER(H1919)),NOT(ISNUMBER(I1919)),NOT(ISNUMBER(K1919)),ABS(J1919)&gt;K1919),"FAIL","PASS"))</x:f>
        <x:v>OPEN</x:v>
      </x:c>
    </x:row>
    <x:row r="1920">
      <x:c r="B1920" s="7" t="str">
        <x:v>CAL-CH-PEA-C-X2-07-6</x:v>
      </x:c>
      <x:c r="C1920" s="7" t="str">
        <x:v>CH-PEA-C-X2-07-6</x:v>
      </x:c>
      <x:c r="D1920" s="7" t="str">
        <x:v>PEA-C-X2</x:v>
      </x:c>
      <x:c r="E1920" s="7" t="str">
        <x:v>BLD-C</x:v>
      </x:c>
      <x:c r="F1920" s="7" t="str">
        <x:v>BL-X</x:v>
      </x:c>
      <x:c r="G1920" s="7" t="str">
        <x:v>MF-07</x:v>
      </x:c>
      <x:c r="H1920" s="7" t="str"/>
      <x:c r="I1920" s="7" t="str"/>
      <x:c r="J1920" s="7" t="str">
        <x:f>IF(OR(H1920="",I1920=""),"",I1920-H1920)</x:f>
      </x:c>
      <x:c r="K1920" s="7" t="str"/>
      <x:c r="L1920" s="7" t="str"/>
      <x:c r="M1920" s="7" t="str">
        <x:f>IF(L1920="","OPEN",IF(OR(NOT(ISNUMBER(H1920)),NOT(ISNUMBER(I1920)),NOT(ISNUMBER(K1920)),ABS(J1920)&gt;K1920),"FAIL","PASS"))</x:f>
        <x:v>OPEN</x:v>
      </x:c>
    </x:row>
    <x:row r="1921">
      <x:c r="B1921" s="7" t="str">
        <x:v>CAL-CH-PEA-C-X2-08-1</x:v>
      </x:c>
      <x:c r="C1921" s="7" t="str">
        <x:v>CH-PEA-C-X2-08-1</x:v>
      </x:c>
      <x:c r="D1921" s="7" t="str">
        <x:v>PEA-C-X2</x:v>
      </x:c>
      <x:c r="E1921" s="7" t="str">
        <x:v>BLD-C</x:v>
      </x:c>
      <x:c r="F1921" s="7" t="str">
        <x:v>BL-X</x:v>
      </x:c>
      <x:c r="G1921" s="7" t="str">
        <x:v>MF-08</x:v>
      </x:c>
      <x:c r="H1921" s="7" t="str"/>
      <x:c r="I1921" s="7" t="str"/>
      <x:c r="J1921" s="7" t="str">
        <x:f>IF(OR(H1921="",I1921=""),"",I1921-H1921)</x:f>
      </x:c>
      <x:c r="K1921" s="7" t="str"/>
      <x:c r="L1921" s="7" t="str"/>
      <x:c r="M1921" s="7" t="str">
        <x:f>IF(L1921="","OPEN",IF(OR(NOT(ISNUMBER(H1921)),NOT(ISNUMBER(I1921)),NOT(ISNUMBER(K1921)),ABS(J1921)&gt;K1921),"FAIL","PASS"))</x:f>
        <x:v>OPEN</x:v>
      </x:c>
    </x:row>
    <x:row r="1922">
      <x:c r="B1922" s="7" t="str">
        <x:v>CAL-CH-PEA-C-X2-08-2</x:v>
      </x:c>
      <x:c r="C1922" s="7" t="str">
        <x:v>CH-PEA-C-X2-08-2</x:v>
      </x:c>
      <x:c r="D1922" s="7" t="str">
        <x:v>PEA-C-X2</x:v>
      </x:c>
      <x:c r="E1922" s="7" t="str">
        <x:v>BLD-C</x:v>
      </x:c>
      <x:c r="F1922" s="7" t="str">
        <x:v>BL-X</x:v>
      </x:c>
      <x:c r="G1922" s="7" t="str">
        <x:v>MF-08</x:v>
      </x:c>
      <x:c r="H1922" s="7" t="str"/>
      <x:c r="I1922" s="7" t="str"/>
      <x:c r="J1922" s="7" t="str">
        <x:f>IF(OR(H1922="",I1922=""),"",I1922-H1922)</x:f>
      </x:c>
      <x:c r="K1922" s="7" t="str"/>
      <x:c r="L1922" s="7" t="str"/>
      <x:c r="M1922" s="7" t="str">
        <x:f>IF(L1922="","OPEN",IF(OR(NOT(ISNUMBER(H1922)),NOT(ISNUMBER(I1922)),NOT(ISNUMBER(K1922)),ABS(J1922)&gt;K1922),"FAIL","PASS"))</x:f>
        <x:v>OPEN</x:v>
      </x:c>
    </x:row>
    <x:row r="1923">
      <x:c r="B1923" s="7" t="str">
        <x:v>CAL-CH-PEA-C-X2-08-3</x:v>
      </x:c>
      <x:c r="C1923" s="7" t="str">
        <x:v>CH-PEA-C-X2-08-3</x:v>
      </x:c>
      <x:c r="D1923" s="7" t="str">
        <x:v>PEA-C-X2</x:v>
      </x:c>
      <x:c r="E1923" s="7" t="str">
        <x:v>BLD-C</x:v>
      </x:c>
      <x:c r="F1923" s="7" t="str">
        <x:v>BL-X</x:v>
      </x:c>
      <x:c r="G1923" s="7" t="str">
        <x:v>MF-08</x:v>
      </x:c>
      <x:c r="H1923" s="7" t="str"/>
      <x:c r="I1923" s="7" t="str"/>
      <x:c r="J1923" s="7" t="str">
        <x:f>IF(OR(H1923="",I1923=""),"",I1923-H1923)</x:f>
      </x:c>
      <x:c r="K1923" s="7" t="str"/>
      <x:c r="L1923" s="7" t="str"/>
      <x:c r="M1923" s="7" t="str">
        <x:f>IF(L1923="","OPEN",IF(OR(NOT(ISNUMBER(H1923)),NOT(ISNUMBER(I1923)),NOT(ISNUMBER(K1923)),ABS(J1923)&gt;K1923),"FAIL","PASS"))</x:f>
        <x:v>OPEN</x:v>
      </x:c>
    </x:row>
    <x:row r="1924">
      <x:c r="B1924" s="7" t="str">
        <x:v>CAL-CH-PEA-C-X2-08-4</x:v>
      </x:c>
      <x:c r="C1924" s="7" t="str">
        <x:v>CH-PEA-C-X2-08-4</x:v>
      </x:c>
      <x:c r="D1924" s="7" t="str">
        <x:v>PEA-C-X2</x:v>
      </x:c>
      <x:c r="E1924" s="7" t="str">
        <x:v>BLD-C</x:v>
      </x:c>
      <x:c r="F1924" s="7" t="str">
        <x:v>BL-X</x:v>
      </x:c>
      <x:c r="G1924" s="7" t="str">
        <x:v>MF-08</x:v>
      </x:c>
      <x:c r="H1924" s="7" t="str"/>
      <x:c r="I1924" s="7" t="str"/>
      <x:c r="J1924" s="7" t="str">
        <x:f>IF(OR(H1924="",I1924=""),"",I1924-H1924)</x:f>
      </x:c>
      <x:c r="K1924" s="7" t="str"/>
      <x:c r="L1924" s="7" t="str"/>
      <x:c r="M1924" s="7" t="str">
        <x:f>IF(L1924="","OPEN",IF(OR(NOT(ISNUMBER(H1924)),NOT(ISNUMBER(I1924)),NOT(ISNUMBER(K1924)),ABS(J1924)&gt;K1924),"FAIL","PASS"))</x:f>
        <x:v>OPEN</x:v>
      </x:c>
    </x:row>
    <x:row r="1925">
      <x:c r="B1925" s="7" t="str">
        <x:v>CAL-CH-PEA-C-X2-08-5</x:v>
      </x:c>
      <x:c r="C1925" s="7" t="str">
        <x:v>CH-PEA-C-X2-08-5</x:v>
      </x:c>
      <x:c r="D1925" s="7" t="str">
        <x:v>PEA-C-X2</x:v>
      </x:c>
      <x:c r="E1925" s="7" t="str">
        <x:v>BLD-C</x:v>
      </x:c>
      <x:c r="F1925" s="7" t="str">
        <x:v>BL-X</x:v>
      </x:c>
      <x:c r="G1925" s="7" t="str">
        <x:v>MF-08</x:v>
      </x:c>
      <x:c r="H1925" s="7" t="str"/>
      <x:c r="I1925" s="7" t="str"/>
      <x:c r="J1925" s="7" t="str">
        <x:f>IF(OR(H1925="",I1925=""),"",I1925-H1925)</x:f>
      </x:c>
      <x:c r="K1925" s="7" t="str"/>
      <x:c r="L1925" s="7" t="str"/>
      <x:c r="M1925" s="7" t="str">
        <x:f>IF(L1925="","OPEN",IF(OR(NOT(ISNUMBER(H1925)),NOT(ISNUMBER(I1925)),NOT(ISNUMBER(K1925)),ABS(J1925)&gt;K1925),"FAIL","PASS"))</x:f>
        <x:v>OPEN</x:v>
      </x:c>
    </x:row>
    <x:row r="1926">
      <x:c r="B1926" s="7" t="str">
        <x:v>CAL-CH-PEA-C-X2-08-6</x:v>
      </x:c>
      <x:c r="C1926" s="7" t="str">
        <x:v>CH-PEA-C-X2-08-6</x:v>
      </x:c>
      <x:c r="D1926" s="7" t="str">
        <x:v>PEA-C-X2</x:v>
      </x:c>
      <x:c r="E1926" s="7" t="str">
        <x:v>BLD-C</x:v>
      </x:c>
      <x:c r="F1926" s="7" t="str">
        <x:v>BL-X</x:v>
      </x:c>
      <x:c r="G1926" s="7" t="str">
        <x:v>MF-08</x:v>
      </x:c>
      <x:c r="H1926" s="7" t="str"/>
      <x:c r="I1926" s="7" t="str"/>
      <x:c r="J1926" s="7" t="str">
        <x:f>IF(OR(H1926="",I1926=""),"",I1926-H1926)</x:f>
      </x:c>
      <x:c r="K1926" s="7" t="str"/>
      <x:c r="L1926" s="7" t="str"/>
      <x:c r="M1926" s="7" t="str">
        <x:f>IF(L1926="","OPEN",IF(OR(NOT(ISNUMBER(H1926)),NOT(ISNUMBER(I1926)),NOT(ISNUMBER(K1926)),ABS(J1926)&gt;K1926),"FAIL","PASS"))</x:f>
        <x:v>OPEN</x:v>
      </x:c>
    </x:row>
    <x:row r="1927">
      <x:c r="B1927" s="7" t="str">
        <x:v>CAL-CH-PEA-C-X2-09-1</x:v>
      </x:c>
      <x:c r="C1927" s="7" t="str">
        <x:v>CH-PEA-C-X2-09-1</x:v>
      </x:c>
      <x:c r="D1927" s="7" t="str">
        <x:v>PEA-C-X2</x:v>
      </x:c>
      <x:c r="E1927" s="7" t="str">
        <x:v>BLD-C</x:v>
      </x:c>
      <x:c r="F1927" s="7" t="str">
        <x:v>BL-X</x:v>
      </x:c>
      <x:c r="G1927" s="7" t="str">
        <x:v>MF-09</x:v>
      </x:c>
      <x:c r="H1927" s="7" t="str"/>
      <x:c r="I1927" s="7" t="str"/>
      <x:c r="J1927" s="7" t="str">
        <x:f>IF(OR(H1927="",I1927=""),"",I1927-H1927)</x:f>
      </x:c>
      <x:c r="K1927" s="7" t="str"/>
      <x:c r="L1927" s="7" t="str"/>
      <x:c r="M1927" s="7" t="str">
        <x:f>IF(L1927="","OPEN",IF(OR(NOT(ISNUMBER(H1927)),NOT(ISNUMBER(I1927)),NOT(ISNUMBER(K1927)),ABS(J1927)&gt;K1927),"FAIL","PASS"))</x:f>
        <x:v>OPEN</x:v>
      </x:c>
    </x:row>
    <x:row r="1928">
      <x:c r="B1928" s="7" t="str">
        <x:v>CAL-CH-PEA-C-X2-09-2</x:v>
      </x:c>
      <x:c r="C1928" s="7" t="str">
        <x:v>CH-PEA-C-X2-09-2</x:v>
      </x:c>
      <x:c r="D1928" s="7" t="str">
        <x:v>PEA-C-X2</x:v>
      </x:c>
      <x:c r="E1928" s="7" t="str">
        <x:v>BLD-C</x:v>
      </x:c>
      <x:c r="F1928" s="7" t="str">
        <x:v>BL-X</x:v>
      </x:c>
      <x:c r="G1928" s="7" t="str">
        <x:v>MF-09</x:v>
      </x:c>
      <x:c r="H1928" s="7" t="str"/>
      <x:c r="I1928" s="7" t="str"/>
      <x:c r="J1928" s="7" t="str">
        <x:f>IF(OR(H1928="",I1928=""),"",I1928-H1928)</x:f>
      </x:c>
      <x:c r="K1928" s="7" t="str"/>
      <x:c r="L1928" s="7" t="str"/>
      <x:c r="M1928" s="7" t="str">
        <x:f>IF(L1928="","OPEN",IF(OR(NOT(ISNUMBER(H1928)),NOT(ISNUMBER(I1928)),NOT(ISNUMBER(K1928)),ABS(J1928)&gt;K1928),"FAIL","PASS"))</x:f>
        <x:v>OPEN</x:v>
      </x:c>
    </x:row>
    <x:row r="1929">
      <x:c r="B1929" s="7" t="str">
        <x:v>CAL-CH-PEA-C-X2-09-3</x:v>
      </x:c>
      <x:c r="C1929" s="7" t="str">
        <x:v>CH-PEA-C-X2-09-3</x:v>
      </x:c>
      <x:c r="D1929" s="7" t="str">
        <x:v>PEA-C-X2</x:v>
      </x:c>
      <x:c r="E1929" s="7" t="str">
        <x:v>BLD-C</x:v>
      </x:c>
      <x:c r="F1929" s="7" t="str">
        <x:v>BL-X</x:v>
      </x:c>
      <x:c r="G1929" s="7" t="str">
        <x:v>MF-09</x:v>
      </x:c>
      <x:c r="H1929" s="7" t="str"/>
      <x:c r="I1929" s="7" t="str"/>
      <x:c r="J1929" s="7" t="str">
        <x:f>IF(OR(H1929="",I1929=""),"",I1929-H1929)</x:f>
      </x:c>
      <x:c r="K1929" s="7" t="str"/>
      <x:c r="L1929" s="7" t="str"/>
      <x:c r="M1929" s="7" t="str">
        <x:f>IF(L1929="","OPEN",IF(OR(NOT(ISNUMBER(H1929)),NOT(ISNUMBER(I1929)),NOT(ISNUMBER(K1929)),ABS(J1929)&gt;K1929),"FAIL","PASS"))</x:f>
        <x:v>OPEN</x:v>
      </x:c>
    </x:row>
    <x:row r="1930">
      <x:c r="B1930" s="7" t="str">
        <x:v>CAL-CH-PEA-C-X2-09-4</x:v>
      </x:c>
      <x:c r="C1930" s="7" t="str">
        <x:v>CH-PEA-C-X2-09-4</x:v>
      </x:c>
      <x:c r="D1930" s="7" t="str">
        <x:v>PEA-C-X2</x:v>
      </x:c>
      <x:c r="E1930" s="7" t="str">
        <x:v>BLD-C</x:v>
      </x:c>
      <x:c r="F1930" s="7" t="str">
        <x:v>BL-X</x:v>
      </x:c>
      <x:c r="G1930" s="7" t="str">
        <x:v>MF-09</x:v>
      </x:c>
      <x:c r="H1930" s="7" t="str"/>
      <x:c r="I1930" s="7" t="str"/>
      <x:c r="J1930" s="7" t="str">
        <x:f>IF(OR(H1930="",I1930=""),"",I1930-H1930)</x:f>
      </x:c>
      <x:c r="K1930" s="7" t="str"/>
      <x:c r="L1930" s="7" t="str"/>
      <x:c r="M1930" s="7" t="str">
        <x:f>IF(L1930="","OPEN",IF(OR(NOT(ISNUMBER(H1930)),NOT(ISNUMBER(I1930)),NOT(ISNUMBER(K1930)),ABS(J1930)&gt;K1930),"FAIL","PASS"))</x:f>
        <x:v>OPEN</x:v>
      </x:c>
    </x:row>
    <x:row r="1931">
      <x:c r="B1931" s="7" t="str">
        <x:v>CAL-CH-PEA-C-X2-09-5</x:v>
      </x:c>
      <x:c r="C1931" s="7" t="str">
        <x:v>CH-PEA-C-X2-09-5</x:v>
      </x:c>
      <x:c r="D1931" s="7" t="str">
        <x:v>PEA-C-X2</x:v>
      </x:c>
      <x:c r="E1931" s="7" t="str">
        <x:v>BLD-C</x:v>
      </x:c>
      <x:c r="F1931" s="7" t="str">
        <x:v>BL-X</x:v>
      </x:c>
      <x:c r="G1931" s="7" t="str">
        <x:v>MF-09</x:v>
      </x:c>
      <x:c r="H1931" s="7" t="str"/>
      <x:c r="I1931" s="7" t="str"/>
      <x:c r="J1931" s="7" t="str">
        <x:f>IF(OR(H1931="",I1931=""),"",I1931-H1931)</x:f>
      </x:c>
      <x:c r="K1931" s="7" t="str"/>
      <x:c r="L1931" s="7" t="str"/>
      <x:c r="M1931" s="7" t="str">
        <x:f>IF(L1931="","OPEN",IF(OR(NOT(ISNUMBER(H1931)),NOT(ISNUMBER(I1931)),NOT(ISNUMBER(K1931)),ABS(J1931)&gt;K1931),"FAIL","PASS"))</x:f>
        <x:v>OPEN</x:v>
      </x:c>
    </x:row>
    <x:row r="1932">
      <x:c r="B1932" s="7" t="str">
        <x:v>CAL-CH-PEA-C-X2-09-6</x:v>
      </x:c>
      <x:c r="C1932" s="7" t="str">
        <x:v>CH-PEA-C-X2-09-6</x:v>
      </x:c>
      <x:c r="D1932" s="7" t="str">
        <x:v>PEA-C-X2</x:v>
      </x:c>
      <x:c r="E1932" s="7" t="str">
        <x:v>BLD-C</x:v>
      </x:c>
      <x:c r="F1932" s="7" t="str">
        <x:v>BL-X</x:v>
      </x:c>
      <x:c r="G1932" s="7" t="str">
        <x:v>MF-09</x:v>
      </x:c>
      <x:c r="H1932" s="7" t="str"/>
      <x:c r="I1932" s="7" t="str"/>
      <x:c r="J1932" s="7" t="str">
        <x:f>IF(OR(H1932="",I1932=""),"",I1932-H1932)</x:f>
      </x:c>
      <x:c r="K1932" s="7" t="str"/>
      <x:c r="L1932" s="7" t="str"/>
      <x:c r="M1932" s="7" t="str">
        <x:f>IF(L1932="","OPEN",IF(OR(NOT(ISNUMBER(H1932)),NOT(ISNUMBER(I1932)),NOT(ISNUMBER(K1932)),ABS(J1932)&gt;K1932),"FAIL","PASS"))</x:f>
        <x:v>OPEN</x:v>
      </x:c>
    </x:row>
    <x:row r="1933">
      <x:c r="B1933" s="7" t="str">
        <x:v>CAL-CH-PEA-C-X2-10-1</x:v>
      </x:c>
      <x:c r="C1933" s="7" t="str">
        <x:v>CH-PEA-C-X2-10-1</x:v>
      </x:c>
      <x:c r="D1933" s="7" t="str">
        <x:v>PEA-C-X2</x:v>
      </x:c>
      <x:c r="E1933" s="7" t="str">
        <x:v>BLD-C</x:v>
      </x:c>
      <x:c r="F1933" s="7" t="str">
        <x:v>BL-X</x:v>
      </x:c>
      <x:c r="G1933" s="7" t="str">
        <x:v>MF-10</x:v>
      </x:c>
      <x:c r="H1933" s="7" t="str"/>
      <x:c r="I1933" s="7" t="str"/>
      <x:c r="J1933" s="7" t="str">
        <x:f>IF(OR(H1933="",I1933=""),"",I1933-H1933)</x:f>
      </x:c>
      <x:c r="K1933" s="7" t="str"/>
      <x:c r="L1933" s="7" t="str"/>
      <x:c r="M1933" s="7" t="str">
        <x:f>IF(L1933="","OPEN",IF(OR(NOT(ISNUMBER(H1933)),NOT(ISNUMBER(I1933)),NOT(ISNUMBER(K1933)),ABS(J1933)&gt;K1933),"FAIL","PASS"))</x:f>
        <x:v>OPEN</x:v>
      </x:c>
    </x:row>
    <x:row r="1934">
      <x:c r="B1934" s="7" t="str">
        <x:v>CAL-CH-PEA-C-X2-10-2</x:v>
      </x:c>
      <x:c r="C1934" s="7" t="str">
        <x:v>CH-PEA-C-X2-10-2</x:v>
      </x:c>
      <x:c r="D1934" s="7" t="str">
        <x:v>PEA-C-X2</x:v>
      </x:c>
      <x:c r="E1934" s="7" t="str">
        <x:v>BLD-C</x:v>
      </x:c>
      <x:c r="F1934" s="7" t="str">
        <x:v>BL-X</x:v>
      </x:c>
      <x:c r="G1934" s="7" t="str">
        <x:v>MF-10</x:v>
      </x:c>
      <x:c r="H1934" s="7" t="str"/>
      <x:c r="I1934" s="7" t="str"/>
      <x:c r="J1934" s="7" t="str">
        <x:f>IF(OR(H1934="",I1934=""),"",I1934-H1934)</x:f>
      </x:c>
      <x:c r="K1934" s="7" t="str"/>
      <x:c r="L1934" s="7" t="str"/>
      <x:c r="M1934" s="7" t="str">
        <x:f>IF(L1934="","OPEN",IF(OR(NOT(ISNUMBER(H1934)),NOT(ISNUMBER(I1934)),NOT(ISNUMBER(K1934)),ABS(J1934)&gt;K1934),"FAIL","PASS"))</x:f>
        <x:v>OPEN</x:v>
      </x:c>
    </x:row>
    <x:row r="1935">
      <x:c r="B1935" s="7" t="str">
        <x:v>CAL-CH-PEA-C-X2-10-3</x:v>
      </x:c>
      <x:c r="C1935" s="7" t="str">
        <x:v>CH-PEA-C-X2-10-3</x:v>
      </x:c>
      <x:c r="D1935" s="7" t="str">
        <x:v>PEA-C-X2</x:v>
      </x:c>
      <x:c r="E1935" s="7" t="str">
        <x:v>BLD-C</x:v>
      </x:c>
      <x:c r="F1935" s="7" t="str">
        <x:v>BL-X</x:v>
      </x:c>
      <x:c r="G1935" s="7" t="str">
        <x:v>MF-10</x:v>
      </x:c>
      <x:c r="H1935" s="7" t="str"/>
      <x:c r="I1935" s="7" t="str"/>
      <x:c r="J1935" s="7" t="str">
        <x:f>IF(OR(H1935="",I1935=""),"",I1935-H1935)</x:f>
      </x:c>
      <x:c r="K1935" s="7" t="str"/>
      <x:c r="L1935" s="7" t="str"/>
      <x:c r="M1935" s="7" t="str">
        <x:f>IF(L1935="","OPEN",IF(OR(NOT(ISNUMBER(H1935)),NOT(ISNUMBER(I1935)),NOT(ISNUMBER(K1935)),ABS(J1935)&gt;K1935),"FAIL","PASS"))</x:f>
        <x:v>OPEN</x:v>
      </x:c>
    </x:row>
    <x:row r="1936">
      <x:c r="B1936" s="7" t="str">
        <x:v>CAL-CH-PEA-C-X2-10-4</x:v>
      </x:c>
      <x:c r="C1936" s="7" t="str">
        <x:v>CH-PEA-C-X2-10-4</x:v>
      </x:c>
      <x:c r="D1936" s="7" t="str">
        <x:v>PEA-C-X2</x:v>
      </x:c>
      <x:c r="E1936" s="7" t="str">
        <x:v>BLD-C</x:v>
      </x:c>
      <x:c r="F1936" s="7" t="str">
        <x:v>BL-X</x:v>
      </x:c>
      <x:c r="G1936" s="7" t="str">
        <x:v>MF-10</x:v>
      </x:c>
      <x:c r="H1936" s="7" t="str"/>
      <x:c r="I1936" s="7" t="str"/>
      <x:c r="J1936" s="7" t="str">
        <x:f>IF(OR(H1936="",I1936=""),"",I1936-H1936)</x:f>
      </x:c>
      <x:c r="K1936" s="7" t="str"/>
      <x:c r="L1936" s="7" t="str"/>
      <x:c r="M1936" s="7" t="str">
        <x:f>IF(L1936="","OPEN",IF(OR(NOT(ISNUMBER(H1936)),NOT(ISNUMBER(I1936)),NOT(ISNUMBER(K1936)),ABS(J1936)&gt;K1936),"FAIL","PASS"))</x:f>
        <x:v>OPEN</x:v>
      </x:c>
    </x:row>
    <x:row r="1937">
      <x:c r="B1937" s="7" t="str">
        <x:v>CAL-CH-PEA-C-X2-10-5</x:v>
      </x:c>
      <x:c r="C1937" s="7" t="str">
        <x:v>CH-PEA-C-X2-10-5</x:v>
      </x:c>
      <x:c r="D1937" s="7" t="str">
        <x:v>PEA-C-X2</x:v>
      </x:c>
      <x:c r="E1937" s="7" t="str">
        <x:v>BLD-C</x:v>
      </x:c>
      <x:c r="F1937" s="7" t="str">
        <x:v>BL-X</x:v>
      </x:c>
      <x:c r="G1937" s="7" t="str">
        <x:v>MF-10</x:v>
      </x:c>
      <x:c r="H1937" s="7" t="str"/>
      <x:c r="I1937" s="7" t="str"/>
      <x:c r="J1937" s="7" t="str">
        <x:f>IF(OR(H1937="",I1937=""),"",I1937-H1937)</x:f>
      </x:c>
      <x:c r="K1937" s="7" t="str"/>
      <x:c r="L1937" s="7" t="str"/>
      <x:c r="M1937" s="7" t="str">
        <x:f>IF(L1937="","OPEN",IF(OR(NOT(ISNUMBER(H1937)),NOT(ISNUMBER(I1937)),NOT(ISNUMBER(K1937)),ABS(J1937)&gt;K1937),"FAIL","PASS"))</x:f>
        <x:v>OPEN</x:v>
      </x:c>
    </x:row>
    <x:row r="1938">
      <x:c r="B1938" s="7" t="str">
        <x:v>CAL-CH-PEA-C-X2-10-6</x:v>
      </x:c>
      <x:c r="C1938" s="7" t="str">
        <x:v>CH-PEA-C-X2-10-6</x:v>
      </x:c>
      <x:c r="D1938" s="7" t="str">
        <x:v>PEA-C-X2</x:v>
      </x:c>
      <x:c r="E1938" s="7" t="str">
        <x:v>BLD-C</x:v>
      </x:c>
      <x:c r="F1938" s="7" t="str">
        <x:v>BL-X</x:v>
      </x:c>
      <x:c r="G1938" s="7" t="str">
        <x:v>MF-10</x:v>
      </x:c>
      <x:c r="H1938" s="7" t="str"/>
      <x:c r="I1938" s="7" t="str"/>
      <x:c r="J1938" s="7" t="str">
        <x:f>IF(OR(H1938="",I1938=""),"",I1938-H1938)</x:f>
      </x:c>
      <x:c r="K1938" s="7" t="str"/>
      <x:c r="L1938" s="7" t="str"/>
      <x:c r="M1938" s="7" t="str">
        <x:f>IF(L1938="","OPEN",IF(OR(NOT(ISNUMBER(H1938)),NOT(ISNUMBER(I1938)),NOT(ISNUMBER(K1938)),ABS(J1938)&gt;K1938),"FAIL","PASS"))</x:f>
        <x:v>OPEN</x:v>
      </x:c>
    </x:row>
    <x:row r="1939">
      <x:c r="B1939" s="7" t="str">
        <x:v>CAL-CH-PEA-C-X2-11-1</x:v>
      </x:c>
      <x:c r="C1939" s="7" t="str">
        <x:v>CH-PEA-C-X2-11-1</x:v>
      </x:c>
      <x:c r="D1939" s="7" t="str">
        <x:v>PEA-C-X2</x:v>
      </x:c>
      <x:c r="E1939" s="7" t="str">
        <x:v>BLD-C</x:v>
      </x:c>
      <x:c r="F1939" s="7" t="str">
        <x:v>BL-X</x:v>
      </x:c>
      <x:c r="G1939" s="7" t="str">
        <x:v>MF-11</x:v>
      </x:c>
      <x:c r="H1939" s="7" t="str"/>
      <x:c r="I1939" s="7" t="str"/>
      <x:c r="J1939" s="7" t="str">
        <x:f>IF(OR(H1939="",I1939=""),"",I1939-H1939)</x:f>
      </x:c>
      <x:c r="K1939" s="7" t="str"/>
      <x:c r="L1939" s="7" t="str"/>
      <x:c r="M1939" s="7" t="str">
        <x:f>IF(L1939="","OPEN",IF(OR(NOT(ISNUMBER(H1939)),NOT(ISNUMBER(I1939)),NOT(ISNUMBER(K1939)),ABS(J1939)&gt;K1939),"FAIL","PASS"))</x:f>
        <x:v>OPEN</x:v>
      </x:c>
    </x:row>
    <x:row r="1940">
      <x:c r="B1940" s="7" t="str">
        <x:v>CAL-CH-PEA-C-X2-11-2</x:v>
      </x:c>
      <x:c r="C1940" s="7" t="str">
        <x:v>CH-PEA-C-X2-11-2</x:v>
      </x:c>
      <x:c r="D1940" s="7" t="str">
        <x:v>PEA-C-X2</x:v>
      </x:c>
      <x:c r="E1940" s="7" t="str">
        <x:v>BLD-C</x:v>
      </x:c>
      <x:c r="F1940" s="7" t="str">
        <x:v>BL-X</x:v>
      </x:c>
      <x:c r="G1940" s="7" t="str">
        <x:v>MF-11</x:v>
      </x:c>
      <x:c r="H1940" s="7" t="str"/>
      <x:c r="I1940" s="7" t="str"/>
      <x:c r="J1940" s="7" t="str">
        <x:f>IF(OR(H1940="",I1940=""),"",I1940-H1940)</x:f>
      </x:c>
      <x:c r="K1940" s="7" t="str"/>
      <x:c r="L1940" s="7" t="str"/>
      <x:c r="M1940" s="7" t="str">
        <x:f>IF(L1940="","OPEN",IF(OR(NOT(ISNUMBER(H1940)),NOT(ISNUMBER(I1940)),NOT(ISNUMBER(K1940)),ABS(J1940)&gt;K1940),"FAIL","PASS"))</x:f>
        <x:v>OPEN</x:v>
      </x:c>
    </x:row>
    <x:row r="1941">
      <x:c r="B1941" s="7" t="str">
        <x:v>CAL-CH-PEA-C-X2-11-3</x:v>
      </x:c>
      <x:c r="C1941" s="7" t="str">
        <x:v>CH-PEA-C-X2-11-3</x:v>
      </x:c>
      <x:c r="D1941" s="7" t="str">
        <x:v>PEA-C-X2</x:v>
      </x:c>
      <x:c r="E1941" s="7" t="str">
        <x:v>BLD-C</x:v>
      </x:c>
      <x:c r="F1941" s="7" t="str">
        <x:v>BL-X</x:v>
      </x:c>
      <x:c r="G1941" s="7" t="str">
        <x:v>MF-11</x:v>
      </x:c>
      <x:c r="H1941" s="7" t="str"/>
      <x:c r="I1941" s="7" t="str"/>
      <x:c r="J1941" s="7" t="str">
        <x:f>IF(OR(H1941="",I1941=""),"",I1941-H1941)</x:f>
      </x:c>
      <x:c r="K1941" s="7" t="str"/>
      <x:c r="L1941" s="7" t="str"/>
      <x:c r="M1941" s="7" t="str">
        <x:f>IF(L1941="","OPEN",IF(OR(NOT(ISNUMBER(H1941)),NOT(ISNUMBER(I1941)),NOT(ISNUMBER(K1941)),ABS(J1941)&gt;K1941),"FAIL","PASS"))</x:f>
        <x:v>OPEN</x:v>
      </x:c>
    </x:row>
    <x:row r="1942">
      <x:c r="B1942" s="7" t="str">
        <x:v>CAL-CH-PEA-C-X2-11-4</x:v>
      </x:c>
      <x:c r="C1942" s="7" t="str">
        <x:v>CH-PEA-C-X2-11-4</x:v>
      </x:c>
      <x:c r="D1942" s="7" t="str">
        <x:v>PEA-C-X2</x:v>
      </x:c>
      <x:c r="E1942" s="7" t="str">
        <x:v>BLD-C</x:v>
      </x:c>
      <x:c r="F1942" s="7" t="str">
        <x:v>BL-X</x:v>
      </x:c>
      <x:c r="G1942" s="7" t="str">
        <x:v>MF-11</x:v>
      </x:c>
      <x:c r="H1942" s="7" t="str"/>
      <x:c r="I1942" s="7" t="str"/>
      <x:c r="J1942" s="7" t="str">
        <x:f>IF(OR(H1942="",I1942=""),"",I1942-H1942)</x:f>
      </x:c>
      <x:c r="K1942" s="7" t="str"/>
      <x:c r="L1942" s="7" t="str"/>
      <x:c r="M1942" s="7" t="str">
        <x:f>IF(L1942="","OPEN",IF(OR(NOT(ISNUMBER(H1942)),NOT(ISNUMBER(I1942)),NOT(ISNUMBER(K1942)),ABS(J1942)&gt;K1942),"FAIL","PASS"))</x:f>
        <x:v>OPEN</x:v>
      </x:c>
    </x:row>
    <x:row r="1943">
      <x:c r="B1943" s="7" t="str">
        <x:v>CAL-CH-PEA-C-X2-11-5</x:v>
      </x:c>
      <x:c r="C1943" s="7" t="str">
        <x:v>CH-PEA-C-X2-11-5</x:v>
      </x:c>
      <x:c r="D1943" s="7" t="str">
        <x:v>PEA-C-X2</x:v>
      </x:c>
      <x:c r="E1943" s="7" t="str">
        <x:v>BLD-C</x:v>
      </x:c>
      <x:c r="F1943" s="7" t="str">
        <x:v>BL-X</x:v>
      </x:c>
      <x:c r="G1943" s="7" t="str">
        <x:v>MF-11</x:v>
      </x:c>
      <x:c r="H1943" s="7" t="str"/>
      <x:c r="I1943" s="7" t="str"/>
      <x:c r="J1943" s="7" t="str">
        <x:f>IF(OR(H1943="",I1943=""),"",I1943-H1943)</x:f>
      </x:c>
      <x:c r="K1943" s="7" t="str"/>
      <x:c r="L1943" s="7" t="str"/>
      <x:c r="M1943" s="7" t="str">
        <x:f>IF(L1943="","OPEN",IF(OR(NOT(ISNUMBER(H1943)),NOT(ISNUMBER(I1943)),NOT(ISNUMBER(K1943)),ABS(J1943)&gt;K1943),"FAIL","PASS"))</x:f>
        <x:v>OPEN</x:v>
      </x:c>
    </x:row>
    <x:row r="1944">
      <x:c r="B1944" s="7" t="str">
        <x:v>CAL-CH-PEA-C-X2-11-6</x:v>
      </x:c>
      <x:c r="C1944" s="7" t="str">
        <x:v>CH-PEA-C-X2-11-6</x:v>
      </x:c>
      <x:c r="D1944" s="7" t="str">
        <x:v>PEA-C-X2</x:v>
      </x:c>
      <x:c r="E1944" s="7" t="str">
        <x:v>BLD-C</x:v>
      </x:c>
      <x:c r="F1944" s="7" t="str">
        <x:v>BL-X</x:v>
      </x:c>
      <x:c r="G1944" s="7" t="str">
        <x:v>MF-11</x:v>
      </x:c>
      <x:c r="H1944" s="7" t="str"/>
      <x:c r="I1944" s="7" t="str"/>
      <x:c r="J1944" s="7" t="str">
        <x:f>IF(OR(H1944="",I1944=""),"",I1944-H1944)</x:f>
      </x:c>
      <x:c r="K1944" s="7" t="str"/>
      <x:c r="L1944" s="7" t="str"/>
      <x:c r="M1944" s="7" t="str">
        <x:f>IF(L1944="","OPEN",IF(OR(NOT(ISNUMBER(H1944)),NOT(ISNUMBER(I1944)),NOT(ISNUMBER(K1944)),ABS(J1944)&gt;K1944),"FAIL","PASS"))</x:f>
        <x:v>OPEN</x:v>
      </x:c>
    </x:row>
    <x:row r="1945">
      <x:c r="B1945" s="7" t="str">
        <x:v>CAL-CH-PEA-C-X2-12-1</x:v>
      </x:c>
      <x:c r="C1945" s="7" t="str">
        <x:v>CH-PEA-C-X2-12-1</x:v>
      </x:c>
      <x:c r="D1945" s="7" t="str">
        <x:v>PEA-C-X2</x:v>
      </x:c>
      <x:c r="E1945" s="7" t="str">
        <x:v>BLD-C</x:v>
      </x:c>
      <x:c r="F1945" s="7" t="str">
        <x:v>BL-X</x:v>
      </x:c>
      <x:c r="G1945" s="7" t="str">
        <x:v>MF-12</x:v>
      </x:c>
      <x:c r="H1945" s="7" t="str"/>
      <x:c r="I1945" s="7" t="str"/>
      <x:c r="J1945" s="7" t="str">
        <x:f>IF(OR(H1945="",I1945=""),"",I1945-H1945)</x:f>
      </x:c>
      <x:c r="K1945" s="7" t="str"/>
      <x:c r="L1945" s="7" t="str"/>
      <x:c r="M1945" s="7" t="str">
        <x:f>IF(L1945="","OPEN",IF(OR(NOT(ISNUMBER(H1945)),NOT(ISNUMBER(I1945)),NOT(ISNUMBER(K1945)),ABS(J1945)&gt;K1945),"FAIL","PASS"))</x:f>
        <x:v>OPEN</x:v>
      </x:c>
    </x:row>
    <x:row r="1946">
      <x:c r="B1946" s="7" t="str">
        <x:v>CAL-CH-PEA-C-X2-12-2</x:v>
      </x:c>
      <x:c r="C1946" s="7" t="str">
        <x:v>CH-PEA-C-X2-12-2</x:v>
      </x:c>
      <x:c r="D1946" s="7" t="str">
        <x:v>PEA-C-X2</x:v>
      </x:c>
      <x:c r="E1946" s="7" t="str">
        <x:v>BLD-C</x:v>
      </x:c>
      <x:c r="F1946" s="7" t="str">
        <x:v>BL-X</x:v>
      </x:c>
      <x:c r="G1946" s="7" t="str">
        <x:v>MF-12</x:v>
      </x:c>
      <x:c r="H1946" s="7" t="str"/>
      <x:c r="I1946" s="7" t="str"/>
      <x:c r="J1946" s="7" t="str">
        <x:f>IF(OR(H1946="",I1946=""),"",I1946-H1946)</x:f>
      </x:c>
      <x:c r="K1946" s="7" t="str"/>
      <x:c r="L1946" s="7" t="str"/>
      <x:c r="M1946" s="7" t="str">
        <x:f>IF(L1946="","OPEN",IF(OR(NOT(ISNUMBER(H1946)),NOT(ISNUMBER(I1946)),NOT(ISNUMBER(K1946)),ABS(J1946)&gt;K1946),"FAIL","PASS"))</x:f>
        <x:v>OPEN</x:v>
      </x:c>
    </x:row>
    <x:row r="1947">
      <x:c r="B1947" s="7" t="str">
        <x:v>CAL-CH-PEA-C-X2-12-3</x:v>
      </x:c>
      <x:c r="C1947" s="7" t="str">
        <x:v>CH-PEA-C-X2-12-3</x:v>
      </x:c>
      <x:c r="D1947" s="7" t="str">
        <x:v>PEA-C-X2</x:v>
      </x:c>
      <x:c r="E1947" s="7" t="str">
        <x:v>BLD-C</x:v>
      </x:c>
      <x:c r="F1947" s="7" t="str">
        <x:v>BL-X</x:v>
      </x:c>
      <x:c r="G1947" s="7" t="str">
        <x:v>MF-12</x:v>
      </x:c>
      <x:c r="H1947" s="7" t="str"/>
      <x:c r="I1947" s="7" t="str"/>
      <x:c r="J1947" s="7" t="str">
        <x:f>IF(OR(H1947="",I1947=""),"",I1947-H1947)</x:f>
      </x:c>
      <x:c r="K1947" s="7" t="str"/>
      <x:c r="L1947" s="7" t="str"/>
      <x:c r="M1947" s="7" t="str">
        <x:f>IF(L1947="","OPEN",IF(OR(NOT(ISNUMBER(H1947)),NOT(ISNUMBER(I1947)),NOT(ISNUMBER(K1947)),ABS(J1947)&gt;K1947),"FAIL","PASS"))</x:f>
        <x:v>OPEN</x:v>
      </x:c>
    </x:row>
    <x:row r="1948">
      <x:c r="B1948" s="7" t="str">
        <x:v>CAL-CH-PEA-C-X2-12-4</x:v>
      </x:c>
      <x:c r="C1948" s="7" t="str">
        <x:v>CH-PEA-C-X2-12-4</x:v>
      </x:c>
      <x:c r="D1948" s="7" t="str">
        <x:v>PEA-C-X2</x:v>
      </x:c>
      <x:c r="E1948" s="7" t="str">
        <x:v>BLD-C</x:v>
      </x:c>
      <x:c r="F1948" s="7" t="str">
        <x:v>BL-X</x:v>
      </x:c>
      <x:c r="G1948" s="7" t="str">
        <x:v>MF-12</x:v>
      </x:c>
      <x:c r="H1948" s="7" t="str"/>
      <x:c r="I1948" s="7" t="str"/>
      <x:c r="J1948" s="7" t="str">
        <x:f>IF(OR(H1948="",I1948=""),"",I1948-H1948)</x:f>
      </x:c>
      <x:c r="K1948" s="7" t="str"/>
      <x:c r="L1948" s="7" t="str"/>
      <x:c r="M1948" s="7" t="str">
        <x:f>IF(L1948="","OPEN",IF(OR(NOT(ISNUMBER(H1948)),NOT(ISNUMBER(I1948)),NOT(ISNUMBER(K1948)),ABS(J1948)&gt;K1948),"FAIL","PASS"))</x:f>
        <x:v>OPEN</x:v>
      </x:c>
    </x:row>
    <x:row r="1949">
      <x:c r="B1949" s="7" t="str">
        <x:v>CAL-CH-PEA-C-X2-12-5</x:v>
      </x:c>
      <x:c r="C1949" s="7" t="str">
        <x:v>CH-PEA-C-X2-12-5</x:v>
      </x:c>
      <x:c r="D1949" s="7" t="str">
        <x:v>PEA-C-X2</x:v>
      </x:c>
      <x:c r="E1949" s="7" t="str">
        <x:v>BLD-C</x:v>
      </x:c>
      <x:c r="F1949" s="7" t="str">
        <x:v>BL-X</x:v>
      </x:c>
      <x:c r="G1949" s="7" t="str">
        <x:v>MF-12</x:v>
      </x:c>
      <x:c r="H1949" s="7" t="str"/>
      <x:c r="I1949" s="7" t="str"/>
      <x:c r="J1949" s="7" t="str">
        <x:f>IF(OR(H1949="",I1949=""),"",I1949-H1949)</x:f>
      </x:c>
      <x:c r="K1949" s="7" t="str"/>
      <x:c r="L1949" s="7" t="str"/>
      <x:c r="M1949" s="7" t="str">
        <x:f>IF(L1949="","OPEN",IF(OR(NOT(ISNUMBER(H1949)),NOT(ISNUMBER(I1949)),NOT(ISNUMBER(K1949)),ABS(J1949)&gt;K1949),"FAIL","PASS"))</x:f>
        <x:v>OPEN</x:v>
      </x:c>
    </x:row>
    <x:row r="1950">
      <x:c r="B1950" s="7" t="str">
        <x:v>CAL-CH-PEA-C-X2-12-6</x:v>
      </x:c>
      <x:c r="C1950" s="7" t="str">
        <x:v>CH-PEA-C-X2-12-6</x:v>
      </x:c>
      <x:c r="D1950" s="7" t="str">
        <x:v>PEA-C-X2</x:v>
      </x:c>
      <x:c r="E1950" s="7" t="str">
        <x:v>BLD-C</x:v>
      </x:c>
      <x:c r="F1950" s="7" t="str">
        <x:v>BL-X</x:v>
      </x:c>
      <x:c r="G1950" s="7" t="str">
        <x:v>MF-12</x:v>
      </x:c>
      <x:c r="H1950" s="7" t="str"/>
      <x:c r="I1950" s="7" t="str"/>
      <x:c r="J1950" s="7" t="str">
        <x:f>IF(OR(H1950="",I1950=""),"",I1950-H1950)</x:f>
      </x:c>
      <x:c r="K1950" s="7" t="str"/>
      <x:c r="L1950" s="7" t="str"/>
      <x:c r="M1950" s="7" t="str">
        <x:f>IF(L1950="","OPEN",IF(OR(NOT(ISNUMBER(H1950)),NOT(ISNUMBER(I1950)),NOT(ISNUMBER(K1950)),ABS(J1950)&gt;K1950),"FAIL","PASS"))</x:f>
        <x:v>OPEN</x:v>
      </x:c>
    </x:row>
    <x:row r="1951">
      <x:c r="B1951" s="7" t="str">
        <x:v>CAL-CH-PEA-C-X2-13-1</x:v>
      </x:c>
      <x:c r="C1951" s="7" t="str">
        <x:v>CH-PEA-C-X2-13-1</x:v>
      </x:c>
      <x:c r="D1951" s="7" t="str">
        <x:v>PEA-C-X2</x:v>
      </x:c>
      <x:c r="E1951" s="7" t="str">
        <x:v>BLD-C</x:v>
      </x:c>
      <x:c r="F1951" s="7" t="str">
        <x:v>BL-X</x:v>
      </x:c>
      <x:c r="G1951" s="7" t="str">
        <x:v>MF-13</x:v>
      </x:c>
      <x:c r="H1951" s="7" t="str"/>
      <x:c r="I1951" s="7" t="str"/>
      <x:c r="J1951" s="7" t="str">
        <x:f>IF(OR(H1951="",I1951=""),"",I1951-H1951)</x:f>
      </x:c>
      <x:c r="K1951" s="7" t="str"/>
      <x:c r="L1951" s="7" t="str"/>
      <x:c r="M1951" s="7" t="str">
        <x:f>IF(L1951="","OPEN",IF(OR(NOT(ISNUMBER(H1951)),NOT(ISNUMBER(I1951)),NOT(ISNUMBER(K1951)),ABS(J1951)&gt;K1951),"FAIL","PASS"))</x:f>
        <x:v>OPEN</x:v>
      </x:c>
    </x:row>
    <x:row r="1952">
      <x:c r="B1952" s="7" t="str">
        <x:v>CAL-CH-PEA-C-X2-13-2</x:v>
      </x:c>
      <x:c r="C1952" s="7" t="str">
        <x:v>CH-PEA-C-X2-13-2</x:v>
      </x:c>
      <x:c r="D1952" s="7" t="str">
        <x:v>PEA-C-X2</x:v>
      </x:c>
      <x:c r="E1952" s="7" t="str">
        <x:v>BLD-C</x:v>
      </x:c>
      <x:c r="F1952" s="7" t="str">
        <x:v>BL-X</x:v>
      </x:c>
      <x:c r="G1952" s="7" t="str">
        <x:v>MF-13</x:v>
      </x:c>
      <x:c r="H1952" s="7" t="str"/>
      <x:c r="I1952" s="7" t="str"/>
      <x:c r="J1952" s="7" t="str">
        <x:f>IF(OR(H1952="",I1952=""),"",I1952-H1952)</x:f>
      </x:c>
      <x:c r="K1952" s="7" t="str"/>
      <x:c r="L1952" s="7" t="str"/>
      <x:c r="M1952" s="7" t="str">
        <x:f>IF(L1952="","OPEN",IF(OR(NOT(ISNUMBER(H1952)),NOT(ISNUMBER(I1952)),NOT(ISNUMBER(K1952)),ABS(J1952)&gt;K1952),"FAIL","PASS"))</x:f>
        <x:v>OPEN</x:v>
      </x:c>
    </x:row>
    <x:row r="1953">
      <x:c r="B1953" s="7" t="str">
        <x:v>CAL-CH-PEA-C-X2-13-3</x:v>
      </x:c>
      <x:c r="C1953" s="7" t="str">
        <x:v>CH-PEA-C-X2-13-3</x:v>
      </x:c>
      <x:c r="D1953" s="7" t="str">
        <x:v>PEA-C-X2</x:v>
      </x:c>
      <x:c r="E1953" s="7" t="str">
        <x:v>BLD-C</x:v>
      </x:c>
      <x:c r="F1953" s="7" t="str">
        <x:v>BL-X</x:v>
      </x:c>
      <x:c r="G1953" s="7" t="str">
        <x:v>MF-13</x:v>
      </x:c>
      <x:c r="H1953" s="7" t="str"/>
      <x:c r="I1953" s="7" t="str"/>
      <x:c r="J1953" s="7" t="str">
        <x:f>IF(OR(H1953="",I1953=""),"",I1953-H1953)</x:f>
      </x:c>
      <x:c r="K1953" s="7" t="str"/>
      <x:c r="L1953" s="7" t="str"/>
      <x:c r="M1953" s="7" t="str">
        <x:f>IF(L1953="","OPEN",IF(OR(NOT(ISNUMBER(H1953)),NOT(ISNUMBER(I1953)),NOT(ISNUMBER(K1953)),ABS(J1953)&gt;K1953),"FAIL","PASS"))</x:f>
        <x:v>OPEN</x:v>
      </x:c>
    </x:row>
    <x:row r="1954">
      <x:c r="B1954" s="7" t="str">
        <x:v>CAL-CH-PEA-C-X2-13-4</x:v>
      </x:c>
      <x:c r="C1954" s="7" t="str">
        <x:v>CH-PEA-C-X2-13-4</x:v>
      </x:c>
      <x:c r="D1954" s="7" t="str">
        <x:v>PEA-C-X2</x:v>
      </x:c>
      <x:c r="E1954" s="7" t="str">
        <x:v>BLD-C</x:v>
      </x:c>
      <x:c r="F1954" s="7" t="str">
        <x:v>BL-X</x:v>
      </x:c>
      <x:c r="G1954" s="7" t="str">
        <x:v>MF-13</x:v>
      </x:c>
      <x:c r="H1954" s="7" t="str"/>
      <x:c r="I1954" s="7" t="str"/>
      <x:c r="J1954" s="7" t="str">
        <x:f>IF(OR(H1954="",I1954=""),"",I1954-H1954)</x:f>
      </x:c>
      <x:c r="K1954" s="7" t="str"/>
      <x:c r="L1954" s="7" t="str"/>
      <x:c r="M1954" s="7" t="str">
        <x:f>IF(L1954="","OPEN",IF(OR(NOT(ISNUMBER(H1954)),NOT(ISNUMBER(I1954)),NOT(ISNUMBER(K1954)),ABS(J1954)&gt;K1954),"FAIL","PASS"))</x:f>
        <x:v>OPEN</x:v>
      </x:c>
    </x:row>
    <x:row r="1955">
      <x:c r="B1955" s="7" t="str">
        <x:v>CAL-CH-PEA-C-X2-13-5</x:v>
      </x:c>
      <x:c r="C1955" s="7" t="str">
        <x:v>CH-PEA-C-X2-13-5</x:v>
      </x:c>
      <x:c r="D1955" s="7" t="str">
        <x:v>PEA-C-X2</x:v>
      </x:c>
      <x:c r="E1955" s="7" t="str">
        <x:v>BLD-C</x:v>
      </x:c>
      <x:c r="F1955" s="7" t="str">
        <x:v>BL-X</x:v>
      </x:c>
      <x:c r="G1955" s="7" t="str">
        <x:v>MF-13</x:v>
      </x:c>
      <x:c r="H1955" s="7" t="str"/>
      <x:c r="I1955" s="7" t="str"/>
      <x:c r="J1955" s="7" t="str">
        <x:f>IF(OR(H1955="",I1955=""),"",I1955-H1955)</x:f>
      </x:c>
      <x:c r="K1955" s="7" t="str"/>
      <x:c r="L1955" s="7" t="str"/>
      <x:c r="M1955" s="7" t="str">
        <x:f>IF(L1955="","OPEN",IF(OR(NOT(ISNUMBER(H1955)),NOT(ISNUMBER(I1955)),NOT(ISNUMBER(K1955)),ABS(J1955)&gt;K1955),"FAIL","PASS"))</x:f>
        <x:v>OPEN</x:v>
      </x:c>
    </x:row>
    <x:row r="1956">
      <x:c r="B1956" s="7" t="str">
        <x:v>CAL-CH-PEA-C-X2-13-6</x:v>
      </x:c>
      <x:c r="C1956" s="7" t="str">
        <x:v>CH-PEA-C-X2-13-6</x:v>
      </x:c>
      <x:c r="D1956" s="7" t="str">
        <x:v>PEA-C-X2</x:v>
      </x:c>
      <x:c r="E1956" s="7" t="str">
        <x:v>BLD-C</x:v>
      </x:c>
      <x:c r="F1956" s="7" t="str">
        <x:v>BL-X</x:v>
      </x:c>
      <x:c r="G1956" s="7" t="str">
        <x:v>MF-13</x:v>
      </x:c>
      <x:c r="H1956" s="7" t="str"/>
      <x:c r="I1956" s="7" t="str"/>
      <x:c r="J1956" s="7" t="str">
        <x:f>IF(OR(H1956="",I1956=""),"",I1956-H1956)</x:f>
      </x:c>
      <x:c r="K1956" s="7" t="str"/>
      <x:c r="L1956" s="7" t="str"/>
      <x:c r="M1956" s="7" t="str">
        <x:f>IF(L1956="","OPEN",IF(OR(NOT(ISNUMBER(H1956)),NOT(ISNUMBER(I1956)),NOT(ISNUMBER(K1956)),ABS(J1956)&gt;K1956),"FAIL","PASS"))</x:f>
        <x:v>OPEN</x:v>
      </x:c>
    </x:row>
    <x:row r="1957">
      <x:c r="B1957" s="7" t="str">
        <x:v>CAL-CH-PEA-C-X2-14-1</x:v>
      </x:c>
      <x:c r="C1957" s="7" t="str">
        <x:v>CH-PEA-C-X2-14-1</x:v>
      </x:c>
      <x:c r="D1957" s="7" t="str">
        <x:v>PEA-C-X2</x:v>
      </x:c>
      <x:c r="E1957" s="7" t="str">
        <x:v>BLD-C</x:v>
      </x:c>
      <x:c r="F1957" s="7" t="str">
        <x:v>BL-X</x:v>
      </x:c>
      <x:c r="G1957" s="7" t="str">
        <x:v>MF-14</x:v>
      </x:c>
      <x:c r="H1957" s="7" t="str"/>
      <x:c r="I1957" s="7" t="str"/>
      <x:c r="J1957" s="7" t="str">
        <x:f>IF(OR(H1957="",I1957=""),"",I1957-H1957)</x:f>
      </x:c>
      <x:c r="K1957" s="7" t="str"/>
      <x:c r="L1957" s="7" t="str"/>
      <x:c r="M1957" s="7" t="str">
        <x:f>IF(L1957="","OPEN",IF(OR(NOT(ISNUMBER(H1957)),NOT(ISNUMBER(I1957)),NOT(ISNUMBER(K1957)),ABS(J1957)&gt;K1957),"FAIL","PASS"))</x:f>
        <x:v>OPEN</x:v>
      </x:c>
    </x:row>
    <x:row r="1958">
      <x:c r="B1958" s="7" t="str">
        <x:v>CAL-CH-PEA-C-X2-14-2</x:v>
      </x:c>
      <x:c r="C1958" s="7" t="str">
        <x:v>CH-PEA-C-X2-14-2</x:v>
      </x:c>
      <x:c r="D1958" s="7" t="str">
        <x:v>PEA-C-X2</x:v>
      </x:c>
      <x:c r="E1958" s="7" t="str">
        <x:v>BLD-C</x:v>
      </x:c>
      <x:c r="F1958" s="7" t="str">
        <x:v>BL-X</x:v>
      </x:c>
      <x:c r="G1958" s="7" t="str">
        <x:v>MF-14</x:v>
      </x:c>
      <x:c r="H1958" s="7" t="str"/>
      <x:c r="I1958" s="7" t="str"/>
      <x:c r="J1958" s="7" t="str">
        <x:f>IF(OR(H1958="",I1958=""),"",I1958-H1958)</x:f>
      </x:c>
      <x:c r="K1958" s="7" t="str"/>
      <x:c r="L1958" s="7" t="str"/>
      <x:c r="M1958" s="7" t="str">
        <x:f>IF(L1958="","OPEN",IF(OR(NOT(ISNUMBER(H1958)),NOT(ISNUMBER(I1958)),NOT(ISNUMBER(K1958)),ABS(J1958)&gt;K1958),"FAIL","PASS"))</x:f>
        <x:v>OPEN</x:v>
      </x:c>
    </x:row>
    <x:row r="1959">
      <x:c r="B1959" s="7" t="str">
        <x:v>CAL-CH-PEA-C-X2-14-3</x:v>
      </x:c>
      <x:c r="C1959" s="7" t="str">
        <x:v>CH-PEA-C-X2-14-3</x:v>
      </x:c>
      <x:c r="D1959" s="7" t="str">
        <x:v>PEA-C-X2</x:v>
      </x:c>
      <x:c r="E1959" s="7" t="str">
        <x:v>BLD-C</x:v>
      </x:c>
      <x:c r="F1959" s="7" t="str">
        <x:v>BL-X</x:v>
      </x:c>
      <x:c r="G1959" s="7" t="str">
        <x:v>MF-14</x:v>
      </x:c>
      <x:c r="H1959" s="7" t="str"/>
      <x:c r="I1959" s="7" t="str"/>
      <x:c r="J1959" s="7" t="str">
        <x:f>IF(OR(H1959="",I1959=""),"",I1959-H1959)</x:f>
      </x:c>
      <x:c r="K1959" s="7" t="str"/>
      <x:c r="L1959" s="7" t="str"/>
      <x:c r="M1959" s="7" t="str">
        <x:f>IF(L1959="","OPEN",IF(OR(NOT(ISNUMBER(H1959)),NOT(ISNUMBER(I1959)),NOT(ISNUMBER(K1959)),ABS(J1959)&gt;K1959),"FAIL","PASS"))</x:f>
        <x:v>OPEN</x:v>
      </x:c>
    </x:row>
    <x:row r="1960">
      <x:c r="B1960" s="7" t="str">
        <x:v>CAL-CH-PEA-C-X2-14-4</x:v>
      </x:c>
      <x:c r="C1960" s="7" t="str">
        <x:v>CH-PEA-C-X2-14-4</x:v>
      </x:c>
      <x:c r="D1960" s="7" t="str">
        <x:v>PEA-C-X2</x:v>
      </x:c>
      <x:c r="E1960" s="7" t="str">
        <x:v>BLD-C</x:v>
      </x:c>
      <x:c r="F1960" s="7" t="str">
        <x:v>BL-X</x:v>
      </x:c>
      <x:c r="G1960" s="7" t="str">
        <x:v>MF-14</x:v>
      </x:c>
      <x:c r="H1960" s="7" t="str"/>
      <x:c r="I1960" s="7" t="str"/>
      <x:c r="J1960" s="7" t="str">
        <x:f>IF(OR(H1960="",I1960=""),"",I1960-H1960)</x:f>
      </x:c>
      <x:c r="K1960" s="7" t="str"/>
      <x:c r="L1960" s="7" t="str"/>
      <x:c r="M1960" s="7" t="str">
        <x:f>IF(L1960="","OPEN",IF(OR(NOT(ISNUMBER(H1960)),NOT(ISNUMBER(I1960)),NOT(ISNUMBER(K1960)),ABS(J1960)&gt;K1960),"FAIL","PASS"))</x:f>
        <x:v>OPEN</x:v>
      </x:c>
    </x:row>
    <x:row r="1961">
      <x:c r="B1961" s="7" t="str">
        <x:v>CAL-CH-PEA-C-X2-14-5</x:v>
      </x:c>
      <x:c r="C1961" s="7" t="str">
        <x:v>CH-PEA-C-X2-14-5</x:v>
      </x:c>
      <x:c r="D1961" s="7" t="str">
        <x:v>PEA-C-X2</x:v>
      </x:c>
      <x:c r="E1961" s="7" t="str">
        <x:v>BLD-C</x:v>
      </x:c>
      <x:c r="F1961" s="7" t="str">
        <x:v>BL-X</x:v>
      </x:c>
      <x:c r="G1961" s="7" t="str">
        <x:v>MF-14</x:v>
      </x:c>
      <x:c r="H1961" s="7" t="str"/>
      <x:c r="I1961" s="7" t="str"/>
      <x:c r="J1961" s="7" t="str">
        <x:f>IF(OR(H1961="",I1961=""),"",I1961-H1961)</x:f>
      </x:c>
      <x:c r="K1961" s="7" t="str"/>
      <x:c r="L1961" s="7" t="str"/>
      <x:c r="M1961" s="7" t="str">
        <x:f>IF(L1961="","OPEN",IF(OR(NOT(ISNUMBER(H1961)),NOT(ISNUMBER(I1961)),NOT(ISNUMBER(K1961)),ABS(J1961)&gt;K1961),"FAIL","PASS"))</x:f>
        <x:v>OPEN</x:v>
      </x:c>
    </x:row>
    <x:row r="1962">
      <x:c r="B1962" s="7" t="str">
        <x:v>CAL-CH-PEA-C-X2-14-6</x:v>
      </x:c>
      <x:c r="C1962" s="7" t="str">
        <x:v>CH-PEA-C-X2-14-6</x:v>
      </x:c>
      <x:c r="D1962" s="7" t="str">
        <x:v>PEA-C-X2</x:v>
      </x:c>
      <x:c r="E1962" s="7" t="str">
        <x:v>BLD-C</x:v>
      </x:c>
      <x:c r="F1962" s="7" t="str">
        <x:v>BL-X</x:v>
      </x:c>
      <x:c r="G1962" s="7" t="str">
        <x:v>MF-14</x:v>
      </x:c>
      <x:c r="H1962" s="7" t="str"/>
      <x:c r="I1962" s="7" t="str"/>
      <x:c r="J1962" s="7" t="str">
        <x:f>IF(OR(H1962="",I1962=""),"",I1962-H1962)</x:f>
      </x:c>
      <x:c r="K1962" s="7" t="str"/>
      <x:c r="L1962" s="7" t="str"/>
      <x:c r="M1962" s="7" t="str">
        <x:f>IF(L1962="","OPEN",IF(OR(NOT(ISNUMBER(H1962)),NOT(ISNUMBER(I1962)),NOT(ISNUMBER(K1962)),ABS(J1962)&gt;K1962),"FAIL","PASS"))</x:f>
        <x:v>OPEN</x:v>
      </x:c>
    </x:row>
    <x:row r="1963">
      <x:c r="B1963" s="7" t="str">
        <x:v>CAL-CH-PEA-C-X2-15-1</x:v>
      </x:c>
      <x:c r="C1963" s="7" t="str">
        <x:v>CH-PEA-C-X2-15-1</x:v>
      </x:c>
      <x:c r="D1963" s="7" t="str">
        <x:v>PEA-C-X2</x:v>
      </x:c>
      <x:c r="E1963" s="7" t="str">
        <x:v>BLD-C</x:v>
      </x:c>
      <x:c r="F1963" s="7" t="str">
        <x:v>BL-X</x:v>
      </x:c>
      <x:c r="G1963" s="7" t="str">
        <x:v>MF-15</x:v>
      </x:c>
      <x:c r="H1963" s="7" t="str"/>
      <x:c r="I1963" s="7" t="str"/>
      <x:c r="J1963" s="7" t="str">
        <x:f>IF(OR(H1963="",I1963=""),"",I1963-H1963)</x:f>
      </x:c>
      <x:c r="K1963" s="7" t="str"/>
      <x:c r="L1963" s="7" t="str"/>
      <x:c r="M1963" s="7" t="str">
        <x:f>IF(L1963="","OPEN",IF(OR(NOT(ISNUMBER(H1963)),NOT(ISNUMBER(I1963)),NOT(ISNUMBER(K1963)),ABS(J1963)&gt;K1963),"FAIL","PASS"))</x:f>
        <x:v>OPEN</x:v>
      </x:c>
    </x:row>
    <x:row r="1964">
      <x:c r="B1964" s="7" t="str">
        <x:v>CAL-CH-PEA-C-X2-15-2</x:v>
      </x:c>
      <x:c r="C1964" s="7" t="str">
        <x:v>CH-PEA-C-X2-15-2</x:v>
      </x:c>
      <x:c r="D1964" s="7" t="str">
        <x:v>PEA-C-X2</x:v>
      </x:c>
      <x:c r="E1964" s="7" t="str">
        <x:v>BLD-C</x:v>
      </x:c>
      <x:c r="F1964" s="7" t="str">
        <x:v>BL-X</x:v>
      </x:c>
      <x:c r="G1964" s="7" t="str">
        <x:v>MF-15</x:v>
      </x:c>
      <x:c r="H1964" s="7" t="str"/>
      <x:c r="I1964" s="7" t="str"/>
      <x:c r="J1964" s="7" t="str">
        <x:f>IF(OR(H1964="",I1964=""),"",I1964-H1964)</x:f>
      </x:c>
      <x:c r="K1964" s="7" t="str"/>
      <x:c r="L1964" s="7" t="str"/>
      <x:c r="M1964" s="7" t="str">
        <x:f>IF(L1964="","OPEN",IF(OR(NOT(ISNUMBER(H1964)),NOT(ISNUMBER(I1964)),NOT(ISNUMBER(K1964)),ABS(J1964)&gt;K1964),"FAIL","PASS"))</x:f>
        <x:v>OPEN</x:v>
      </x:c>
    </x:row>
    <x:row r="1965">
      <x:c r="B1965" s="7" t="str">
        <x:v>CAL-CH-PEA-C-X2-15-3</x:v>
      </x:c>
      <x:c r="C1965" s="7" t="str">
        <x:v>CH-PEA-C-X2-15-3</x:v>
      </x:c>
      <x:c r="D1965" s="7" t="str">
        <x:v>PEA-C-X2</x:v>
      </x:c>
      <x:c r="E1965" s="7" t="str">
        <x:v>BLD-C</x:v>
      </x:c>
      <x:c r="F1965" s="7" t="str">
        <x:v>BL-X</x:v>
      </x:c>
      <x:c r="G1965" s="7" t="str">
        <x:v>MF-15</x:v>
      </x:c>
      <x:c r="H1965" s="7" t="str"/>
      <x:c r="I1965" s="7" t="str"/>
      <x:c r="J1965" s="7" t="str">
        <x:f>IF(OR(H1965="",I1965=""),"",I1965-H1965)</x:f>
      </x:c>
      <x:c r="K1965" s="7" t="str"/>
      <x:c r="L1965" s="7" t="str"/>
      <x:c r="M1965" s="7" t="str">
        <x:f>IF(L1965="","OPEN",IF(OR(NOT(ISNUMBER(H1965)),NOT(ISNUMBER(I1965)),NOT(ISNUMBER(K1965)),ABS(J1965)&gt;K1965),"FAIL","PASS"))</x:f>
        <x:v>OPEN</x:v>
      </x:c>
    </x:row>
    <x:row r="1966">
      <x:c r="B1966" s="7" t="str">
        <x:v>CAL-CH-PEA-C-X2-15-4</x:v>
      </x:c>
      <x:c r="C1966" s="7" t="str">
        <x:v>CH-PEA-C-X2-15-4</x:v>
      </x:c>
      <x:c r="D1966" s="7" t="str">
        <x:v>PEA-C-X2</x:v>
      </x:c>
      <x:c r="E1966" s="7" t="str">
        <x:v>BLD-C</x:v>
      </x:c>
      <x:c r="F1966" s="7" t="str">
        <x:v>BL-X</x:v>
      </x:c>
      <x:c r="G1966" s="7" t="str">
        <x:v>MF-15</x:v>
      </x:c>
      <x:c r="H1966" s="7" t="str"/>
      <x:c r="I1966" s="7" t="str"/>
      <x:c r="J1966" s="7" t="str">
        <x:f>IF(OR(H1966="",I1966=""),"",I1966-H1966)</x:f>
      </x:c>
      <x:c r="K1966" s="7" t="str"/>
      <x:c r="L1966" s="7" t="str"/>
      <x:c r="M1966" s="7" t="str">
        <x:f>IF(L1966="","OPEN",IF(OR(NOT(ISNUMBER(H1966)),NOT(ISNUMBER(I1966)),NOT(ISNUMBER(K1966)),ABS(J1966)&gt;K1966),"FAIL","PASS"))</x:f>
        <x:v>OPEN</x:v>
      </x:c>
    </x:row>
    <x:row r="1967">
      <x:c r="B1967" s="7" t="str">
        <x:v>CAL-CH-PEA-C-X2-15-5</x:v>
      </x:c>
      <x:c r="C1967" s="7" t="str">
        <x:v>CH-PEA-C-X2-15-5</x:v>
      </x:c>
      <x:c r="D1967" s="7" t="str">
        <x:v>PEA-C-X2</x:v>
      </x:c>
      <x:c r="E1967" s="7" t="str">
        <x:v>BLD-C</x:v>
      </x:c>
      <x:c r="F1967" s="7" t="str">
        <x:v>BL-X</x:v>
      </x:c>
      <x:c r="G1967" s="7" t="str">
        <x:v>MF-15</x:v>
      </x:c>
      <x:c r="H1967" s="7" t="str"/>
      <x:c r="I1967" s="7" t="str"/>
      <x:c r="J1967" s="7" t="str">
        <x:f>IF(OR(H1967="",I1967=""),"",I1967-H1967)</x:f>
      </x:c>
      <x:c r="K1967" s="7" t="str"/>
      <x:c r="L1967" s="7" t="str"/>
      <x:c r="M1967" s="7" t="str">
        <x:f>IF(L1967="","OPEN",IF(OR(NOT(ISNUMBER(H1967)),NOT(ISNUMBER(I1967)),NOT(ISNUMBER(K1967)),ABS(J1967)&gt;K1967),"FAIL","PASS"))</x:f>
        <x:v>OPEN</x:v>
      </x:c>
    </x:row>
    <x:row r="1968">
      <x:c r="B1968" s="7" t="str">
        <x:v>CAL-CH-PEA-C-X2-15-6</x:v>
      </x:c>
      <x:c r="C1968" s="7" t="str">
        <x:v>CH-PEA-C-X2-15-6</x:v>
      </x:c>
      <x:c r="D1968" s="7" t="str">
        <x:v>PEA-C-X2</x:v>
      </x:c>
      <x:c r="E1968" s="7" t="str">
        <x:v>BLD-C</x:v>
      </x:c>
      <x:c r="F1968" s="7" t="str">
        <x:v>BL-X</x:v>
      </x:c>
      <x:c r="G1968" s="7" t="str">
        <x:v>MF-15</x:v>
      </x:c>
      <x:c r="H1968" s="7" t="str"/>
      <x:c r="I1968" s="7" t="str"/>
      <x:c r="J1968" s="7" t="str">
        <x:f>IF(OR(H1968="",I1968=""),"",I1968-H1968)</x:f>
      </x:c>
      <x:c r="K1968" s="7" t="str"/>
      <x:c r="L1968" s="7" t="str"/>
      <x:c r="M1968" s="7" t="str">
        <x:f>IF(L1968="","OPEN",IF(OR(NOT(ISNUMBER(H1968)),NOT(ISNUMBER(I1968)),NOT(ISNUMBER(K1968)),ABS(J1968)&gt;K1968),"FAIL","PASS"))</x:f>
        <x:v>OPEN</x:v>
      </x:c>
    </x:row>
    <x:row r="1969">
      <x:c r="B1969" s="7" t="str">
        <x:v>CAL-CH-PEA-C-X2-16-1</x:v>
      </x:c>
      <x:c r="C1969" s="7" t="str">
        <x:v>CH-PEA-C-X2-16-1</x:v>
      </x:c>
      <x:c r="D1969" s="7" t="str">
        <x:v>PEA-C-X2</x:v>
      </x:c>
      <x:c r="E1969" s="7" t="str">
        <x:v>BLD-C</x:v>
      </x:c>
      <x:c r="F1969" s="7" t="str">
        <x:v>BL-X</x:v>
      </x:c>
      <x:c r="G1969" s="7" t="str">
        <x:v>MF-16</x:v>
      </x:c>
      <x:c r="H1969" s="7" t="str"/>
      <x:c r="I1969" s="7" t="str"/>
      <x:c r="J1969" s="7" t="str">
        <x:f>IF(OR(H1969="",I1969=""),"",I1969-H1969)</x:f>
      </x:c>
      <x:c r="K1969" s="7" t="str"/>
      <x:c r="L1969" s="7" t="str"/>
      <x:c r="M1969" s="7" t="str">
        <x:f>IF(L1969="","OPEN",IF(OR(NOT(ISNUMBER(H1969)),NOT(ISNUMBER(I1969)),NOT(ISNUMBER(K1969)),ABS(J1969)&gt;K1969),"FAIL","PASS"))</x:f>
        <x:v>OPEN</x:v>
      </x:c>
    </x:row>
    <x:row r="1970">
      <x:c r="B1970" s="7" t="str">
        <x:v>CAL-CH-PEA-C-X2-16-2</x:v>
      </x:c>
      <x:c r="C1970" s="7" t="str">
        <x:v>CH-PEA-C-X2-16-2</x:v>
      </x:c>
      <x:c r="D1970" s="7" t="str">
        <x:v>PEA-C-X2</x:v>
      </x:c>
      <x:c r="E1970" s="7" t="str">
        <x:v>BLD-C</x:v>
      </x:c>
      <x:c r="F1970" s="7" t="str">
        <x:v>BL-X</x:v>
      </x:c>
      <x:c r="G1970" s="7" t="str">
        <x:v>MF-16</x:v>
      </x:c>
      <x:c r="H1970" s="7" t="str"/>
      <x:c r="I1970" s="7" t="str"/>
      <x:c r="J1970" s="7" t="str">
        <x:f>IF(OR(H1970="",I1970=""),"",I1970-H1970)</x:f>
      </x:c>
      <x:c r="K1970" s="7" t="str"/>
      <x:c r="L1970" s="7" t="str"/>
      <x:c r="M1970" s="7" t="str">
        <x:f>IF(L1970="","OPEN",IF(OR(NOT(ISNUMBER(H1970)),NOT(ISNUMBER(I1970)),NOT(ISNUMBER(K1970)),ABS(J1970)&gt;K1970),"FAIL","PASS"))</x:f>
        <x:v>OPEN</x:v>
      </x:c>
    </x:row>
    <x:row r="1971">
      <x:c r="B1971" s="7" t="str">
        <x:v>CAL-CH-PEA-C-X2-16-3</x:v>
      </x:c>
      <x:c r="C1971" s="7" t="str">
        <x:v>CH-PEA-C-X2-16-3</x:v>
      </x:c>
      <x:c r="D1971" s="7" t="str">
        <x:v>PEA-C-X2</x:v>
      </x:c>
      <x:c r="E1971" s="7" t="str">
        <x:v>BLD-C</x:v>
      </x:c>
      <x:c r="F1971" s="7" t="str">
        <x:v>BL-X</x:v>
      </x:c>
      <x:c r="G1971" s="7" t="str">
        <x:v>MF-16</x:v>
      </x:c>
      <x:c r="H1971" s="7" t="str"/>
      <x:c r="I1971" s="7" t="str"/>
      <x:c r="J1971" s="7" t="str">
        <x:f>IF(OR(H1971="",I1971=""),"",I1971-H1971)</x:f>
      </x:c>
      <x:c r="K1971" s="7" t="str"/>
      <x:c r="L1971" s="7" t="str"/>
      <x:c r="M1971" s="7" t="str">
        <x:f>IF(L1971="","OPEN",IF(OR(NOT(ISNUMBER(H1971)),NOT(ISNUMBER(I1971)),NOT(ISNUMBER(K1971)),ABS(J1971)&gt;K1971),"FAIL","PASS"))</x:f>
        <x:v>OPEN</x:v>
      </x:c>
    </x:row>
    <x:row r="1972">
      <x:c r="B1972" s="7" t="str">
        <x:v>CAL-CH-PEA-C-X2-16-4</x:v>
      </x:c>
      <x:c r="C1972" s="7" t="str">
        <x:v>CH-PEA-C-X2-16-4</x:v>
      </x:c>
      <x:c r="D1972" s="7" t="str">
        <x:v>PEA-C-X2</x:v>
      </x:c>
      <x:c r="E1972" s="7" t="str">
        <x:v>BLD-C</x:v>
      </x:c>
      <x:c r="F1972" s="7" t="str">
        <x:v>BL-X</x:v>
      </x:c>
      <x:c r="G1972" s="7" t="str">
        <x:v>MF-16</x:v>
      </x:c>
      <x:c r="H1972" s="7" t="str"/>
      <x:c r="I1972" s="7" t="str"/>
      <x:c r="J1972" s="7" t="str">
        <x:f>IF(OR(H1972="",I1972=""),"",I1972-H1972)</x:f>
      </x:c>
      <x:c r="K1972" s="7" t="str"/>
      <x:c r="L1972" s="7" t="str"/>
      <x:c r="M1972" s="7" t="str">
        <x:f>IF(L1972="","OPEN",IF(OR(NOT(ISNUMBER(H1972)),NOT(ISNUMBER(I1972)),NOT(ISNUMBER(K1972)),ABS(J1972)&gt;K1972),"FAIL","PASS"))</x:f>
        <x:v>OPEN</x:v>
      </x:c>
    </x:row>
    <x:row r="1973">
      <x:c r="B1973" s="7" t="str">
        <x:v>CAL-CH-PEA-C-X2-16-5</x:v>
      </x:c>
      <x:c r="C1973" s="7" t="str">
        <x:v>CH-PEA-C-X2-16-5</x:v>
      </x:c>
      <x:c r="D1973" s="7" t="str">
        <x:v>PEA-C-X2</x:v>
      </x:c>
      <x:c r="E1973" s="7" t="str">
        <x:v>BLD-C</x:v>
      </x:c>
      <x:c r="F1973" s="7" t="str">
        <x:v>BL-X</x:v>
      </x:c>
      <x:c r="G1973" s="7" t="str">
        <x:v>MF-16</x:v>
      </x:c>
      <x:c r="H1973" s="7" t="str"/>
      <x:c r="I1973" s="7" t="str"/>
      <x:c r="J1973" s="7" t="str">
        <x:f>IF(OR(H1973="",I1973=""),"",I1973-H1973)</x:f>
      </x:c>
      <x:c r="K1973" s="7" t="str"/>
      <x:c r="L1973" s="7" t="str"/>
      <x:c r="M1973" s="7" t="str">
        <x:f>IF(L1973="","OPEN",IF(OR(NOT(ISNUMBER(H1973)),NOT(ISNUMBER(I1973)),NOT(ISNUMBER(K1973)),ABS(J1973)&gt;K1973),"FAIL","PASS"))</x:f>
        <x:v>OPEN</x:v>
      </x:c>
    </x:row>
    <x:row r="1974">
      <x:c r="B1974" s="7" t="str">
        <x:v>CAL-CH-PEA-C-X2-16-6</x:v>
      </x:c>
      <x:c r="C1974" s="7" t="str">
        <x:v>CH-PEA-C-X2-16-6</x:v>
      </x:c>
      <x:c r="D1974" s="7" t="str">
        <x:v>PEA-C-X2</x:v>
      </x:c>
      <x:c r="E1974" s="7" t="str">
        <x:v>BLD-C</x:v>
      </x:c>
      <x:c r="F1974" s="7" t="str">
        <x:v>BL-X</x:v>
      </x:c>
      <x:c r="G1974" s="7" t="str">
        <x:v>MF-16</x:v>
      </x:c>
      <x:c r="H1974" s="7" t="str"/>
      <x:c r="I1974" s="7" t="str"/>
      <x:c r="J1974" s="7" t="str">
        <x:f>IF(OR(H1974="",I1974=""),"",I1974-H1974)</x:f>
      </x:c>
      <x:c r="K1974" s="7" t="str"/>
      <x:c r="L1974" s="7" t="str"/>
      <x:c r="M1974" s="7" t="str">
        <x:f>IF(L1974="","OPEN",IF(OR(NOT(ISNUMBER(H1974)),NOT(ISNUMBER(I1974)),NOT(ISNUMBER(K1974)),ABS(J1974)&gt;K1974),"FAIL","PASS"))</x:f>
        <x:v>OPEN</x:v>
      </x:c>
    </x:row>
    <x:row r="1975">
      <x:c r="B1975" s="7" t="str">
        <x:v>CAL-CH-PEA-C-X2-17-1</x:v>
      </x:c>
      <x:c r="C1975" s="7" t="str">
        <x:v>CH-PEA-C-X2-17-1</x:v>
      </x:c>
      <x:c r="D1975" s="7" t="str">
        <x:v>PEA-C-X2</x:v>
      </x:c>
      <x:c r="E1975" s="7" t="str">
        <x:v>BLD-C</x:v>
      </x:c>
      <x:c r="F1975" s="7" t="str">
        <x:v>BL-X</x:v>
      </x:c>
      <x:c r="G1975" s="7" t="str">
        <x:v>MF-17</x:v>
      </x:c>
      <x:c r="H1975" s="7" t="str"/>
      <x:c r="I1975" s="7" t="str"/>
      <x:c r="J1975" s="7" t="str">
        <x:f>IF(OR(H1975="",I1975=""),"",I1975-H1975)</x:f>
      </x:c>
      <x:c r="K1975" s="7" t="str"/>
      <x:c r="L1975" s="7" t="str"/>
      <x:c r="M1975" s="7" t="str">
        <x:f>IF(L1975="","OPEN",IF(OR(NOT(ISNUMBER(H1975)),NOT(ISNUMBER(I1975)),NOT(ISNUMBER(K1975)),ABS(J1975)&gt;K1975),"FAIL","PASS"))</x:f>
        <x:v>OPEN</x:v>
      </x:c>
    </x:row>
    <x:row r="1976">
      <x:c r="B1976" s="7" t="str">
        <x:v>CAL-CH-PEA-C-X2-17-2</x:v>
      </x:c>
      <x:c r="C1976" s="7" t="str">
        <x:v>CH-PEA-C-X2-17-2</x:v>
      </x:c>
      <x:c r="D1976" s="7" t="str">
        <x:v>PEA-C-X2</x:v>
      </x:c>
      <x:c r="E1976" s="7" t="str">
        <x:v>BLD-C</x:v>
      </x:c>
      <x:c r="F1976" s="7" t="str">
        <x:v>BL-X</x:v>
      </x:c>
      <x:c r="G1976" s="7" t="str">
        <x:v>MF-17</x:v>
      </x:c>
      <x:c r="H1976" s="7" t="str"/>
      <x:c r="I1976" s="7" t="str"/>
      <x:c r="J1976" s="7" t="str">
        <x:f>IF(OR(H1976="",I1976=""),"",I1976-H1976)</x:f>
      </x:c>
      <x:c r="K1976" s="7" t="str"/>
      <x:c r="L1976" s="7" t="str"/>
      <x:c r="M1976" s="7" t="str">
        <x:f>IF(L1976="","OPEN",IF(OR(NOT(ISNUMBER(H1976)),NOT(ISNUMBER(I1976)),NOT(ISNUMBER(K1976)),ABS(J1976)&gt;K1976),"FAIL","PASS"))</x:f>
        <x:v>OPEN</x:v>
      </x:c>
    </x:row>
    <x:row r="1977">
      <x:c r="B1977" s="7" t="str">
        <x:v>CAL-CH-PEA-C-X2-17-3</x:v>
      </x:c>
      <x:c r="C1977" s="7" t="str">
        <x:v>CH-PEA-C-X2-17-3</x:v>
      </x:c>
      <x:c r="D1977" s="7" t="str">
        <x:v>PEA-C-X2</x:v>
      </x:c>
      <x:c r="E1977" s="7" t="str">
        <x:v>BLD-C</x:v>
      </x:c>
      <x:c r="F1977" s="7" t="str">
        <x:v>BL-X</x:v>
      </x:c>
      <x:c r="G1977" s="7" t="str">
        <x:v>MF-17</x:v>
      </x:c>
      <x:c r="H1977" s="7" t="str"/>
      <x:c r="I1977" s="7" t="str"/>
      <x:c r="J1977" s="7" t="str">
        <x:f>IF(OR(H1977="",I1977=""),"",I1977-H1977)</x:f>
      </x:c>
      <x:c r="K1977" s="7" t="str"/>
      <x:c r="L1977" s="7" t="str"/>
      <x:c r="M1977" s="7" t="str">
        <x:f>IF(L1977="","OPEN",IF(OR(NOT(ISNUMBER(H1977)),NOT(ISNUMBER(I1977)),NOT(ISNUMBER(K1977)),ABS(J1977)&gt;K1977),"FAIL","PASS"))</x:f>
        <x:v>OPEN</x:v>
      </x:c>
    </x:row>
    <x:row r="1978">
      <x:c r="B1978" s="7" t="str">
        <x:v>CAL-CH-PEA-C-X2-17-4</x:v>
      </x:c>
      <x:c r="C1978" s="7" t="str">
        <x:v>CH-PEA-C-X2-17-4</x:v>
      </x:c>
      <x:c r="D1978" s="7" t="str">
        <x:v>PEA-C-X2</x:v>
      </x:c>
      <x:c r="E1978" s="7" t="str">
        <x:v>BLD-C</x:v>
      </x:c>
      <x:c r="F1978" s="7" t="str">
        <x:v>BL-X</x:v>
      </x:c>
      <x:c r="G1978" s="7" t="str">
        <x:v>MF-17</x:v>
      </x:c>
      <x:c r="H1978" s="7" t="str"/>
      <x:c r="I1978" s="7" t="str"/>
      <x:c r="J1978" s="7" t="str">
        <x:f>IF(OR(H1978="",I1978=""),"",I1978-H1978)</x:f>
      </x:c>
      <x:c r="K1978" s="7" t="str"/>
      <x:c r="L1978" s="7" t="str"/>
      <x:c r="M1978" s="7" t="str">
        <x:f>IF(L1978="","OPEN",IF(OR(NOT(ISNUMBER(H1978)),NOT(ISNUMBER(I1978)),NOT(ISNUMBER(K1978)),ABS(J1978)&gt;K1978),"FAIL","PASS"))</x:f>
        <x:v>OPEN</x:v>
      </x:c>
    </x:row>
    <x:row r="1979">
      <x:c r="B1979" s="7" t="str">
        <x:v>CAL-CH-PEA-C-X2-17-5</x:v>
      </x:c>
      <x:c r="C1979" s="7" t="str">
        <x:v>CH-PEA-C-X2-17-5</x:v>
      </x:c>
      <x:c r="D1979" s="7" t="str">
        <x:v>PEA-C-X2</x:v>
      </x:c>
      <x:c r="E1979" s="7" t="str">
        <x:v>BLD-C</x:v>
      </x:c>
      <x:c r="F1979" s="7" t="str">
        <x:v>BL-X</x:v>
      </x:c>
      <x:c r="G1979" s="7" t="str">
        <x:v>MF-17</x:v>
      </x:c>
      <x:c r="H1979" s="7" t="str"/>
      <x:c r="I1979" s="7" t="str"/>
      <x:c r="J1979" s="7" t="str">
        <x:f>IF(OR(H1979="",I1979=""),"",I1979-H1979)</x:f>
      </x:c>
      <x:c r="K1979" s="7" t="str"/>
      <x:c r="L1979" s="7" t="str"/>
      <x:c r="M1979" s="7" t="str">
        <x:f>IF(L1979="","OPEN",IF(OR(NOT(ISNUMBER(H1979)),NOT(ISNUMBER(I1979)),NOT(ISNUMBER(K1979)),ABS(J1979)&gt;K1979),"FAIL","PASS"))</x:f>
        <x:v>OPEN</x:v>
      </x:c>
    </x:row>
    <x:row r="1980">
      <x:c r="B1980" s="7" t="str">
        <x:v>CAL-CH-PEA-C-X2-17-6</x:v>
      </x:c>
      <x:c r="C1980" s="7" t="str">
        <x:v>CH-PEA-C-X2-17-6</x:v>
      </x:c>
      <x:c r="D1980" s="7" t="str">
        <x:v>PEA-C-X2</x:v>
      </x:c>
      <x:c r="E1980" s="7" t="str">
        <x:v>BLD-C</x:v>
      </x:c>
      <x:c r="F1980" s="7" t="str">
        <x:v>BL-X</x:v>
      </x:c>
      <x:c r="G1980" s="7" t="str">
        <x:v>MF-17</x:v>
      </x:c>
      <x:c r="H1980" s="7" t="str"/>
      <x:c r="I1980" s="7" t="str"/>
      <x:c r="J1980" s="7" t="str">
        <x:f>IF(OR(H1980="",I1980=""),"",I1980-H1980)</x:f>
      </x:c>
      <x:c r="K1980" s="7" t="str"/>
      <x:c r="L1980" s="7" t="str"/>
      <x:c r="M1980" s="7" t="str">
        <x:f>IF(L1980="","OPEN",IF(OR(NOT(ISNUMBER(H1980)),NOT(ISNUMBER(I1980)),NOT(ISNUMBER(K1980)),ABS(J1980)&gt;K1980),"FAIL","PASS"))</x:f>
        <x:v>OPEN</x:v>
      </x:c>
    </x:row>
    <x:row r="1981">
      <x:c r="B1981" s="7" t="str">
        <x:v>CAL-CH-PEA-C-X2-18-1</x:v>
      </x:c>
      <x:c r="C1981" s="7" t="str">
        <x:v>CH-PEA-C-X2-18-1</x:v>
      </x:c>
      <x:c r="D1981" s="7" t="str">
        <x:v>PEA-C-X2</x:v>
      </x:c>
      <x:c r="E1981" s="7" t="str">
        <x:v>BLD-C</x:v>
      </x:c>
      <x:c r="F1981" s="7" t="str">
        <x:v>BL-X</x:v>
      </x:c>
      <x:c r="G1981" s="7" t="str">
        <x:v>MF-18</x:v>
      </x:c>
      <x:c r="H1981" s="7" t="str"/>
      <x:c r="I1981" s="7" t="str"/>
      <x:c r="J1981" s="7" t="str">
        <x:f>IF(OR(H1981="",I1981=""),"",I1981-H1981)</x:f>
      </x:c>
      <x:c r="K1981" s="7" t="str"/>
      <x:c r="L1981" s="7" t="str"/>
      <x:c r="M1981" s="7" t="str">
        <x:f>IF(L1981="","OPEN",IF(OR(NOT(ISNUMBER(H1981)),NOT(ISNUMBER(I1981)),NOT(ISNUMBER(K1981)),ABS(J1981)&gt;K1981),"FAIL","PASS"))</x:f>
        <x:v>OPEN</x:v>
      </x:c>
    </x:row>
    <x:row r="1982">
      <x:c r="B1982" s="7" t="str">
        <x:v>CAL-CH-PEA-C-X2-18-2</x:v>
      </x:c>
      <x:c r="C1982" s="7" t="str">
        <x:v>CH-PEA-C-X2-18-2</x:v>
      </x:c>
      <x:c r="D1982" s="7" t="str">
        <x:v>PEA-C-X2</x:v>
      </x:c>
      <x:c r="E1982" s="7" t="str">
        <x:v>BLD-C</x:v>
      </x:c>
      <x:c r="F1982" s="7" t="str">
        <x:v>BL-X</x:v>
      </x:c>
      <x:c r="G1982" s="7" t="str">
        <x:v>MF-18</x:v>
      </x:c>
      <x:c r="H1982" s="7" t="str"/>
      <x:c r="I1982" s="7" t="str"/>
      <x:c r="J1982" s="7" t="str">
        <x:f>IF(OR(H1982="",I1982=""),"",I1982-H1982)</x:f>
      </x:c>
      <x:c r="K1982" s="7" t="str"/>
      <x:c r="L1982" s="7" t="str"/>
      <x:c r="M1982" s="7" t="str">
        <x:f>IF(L1982="","OPEN",IF(OR(NOT(ISNUMBER(H1982)),NOT(ISNUMBER(I1982)),NOT(ISNUMBER(K1982)),ABS(J1982)&gt;K1982),"FAIL","PASS"))</x:f>
        <x:v>OPEN</x:v>
      </x:c>
    </x:row>
    <x:row r="1983">
      <x:c r="B1983" s="7" t="str">
        <x:v>CAL-CH-PEA-C-X2-18-3</x:v>
      </x:c>
      <x:c r="C1983" s="7" t="str">
        <x:v>CH-PEA-C-X2-18-3</x:v>
      </x:c>
      <x:c r="D1983" s="7" t="str">
        <x:v>PEA-C-X2</x:v>
      </x:c>
      <x:c r="E1983" s="7" t="str">
        <x:v>BLD-C</x:v>
      </x:c>
      <x:c r="F1983" s="7" t="str">
        <x:v>BL-X</x:v>
      </x:c>
      <x:c r="G1983" s="7" t="str">
        <x:v>MF-18</x:v>
      </x:c>
      <x:c r="H1983" s="7" t="str"/>
      <x:c r="I1983" s="7" t="str"/>
      <x:c r="J1983" s="7" t="str">
        <x:f>IF(OR(H1983="",I1983=""),"",I1983-H1983)</x:f>
      </x:c>
      <x:c r="K1983" s="7" t="str"/>
      <x:c r="L1983" s="7" t="str"/>
      <x:c r="M1983" s="7" t="str">
        <x:f>IF(L1983="","OPEN",IF(OR(NOT(ISNUMBER(H1983)),NOT(ISNUMBER(I1983)),NOT(ISNUMBER(K1983)),ABS(J1983)&gt;K1983),"FAIL","PASS"))</x:f>
        <x:v>OPEN</x:v>
      </x:c>
    </x:row>
    <x:row r="1984">
      <x:c r="B1984" s="7" t="str">
        <x:v>CAL-CH-PEA-C-X2-18-4</x:v>
      </x:c>
      <x:c r="C1984" s="7" t="str">
        <x:v>CH-PEA-C-X2-18-4</x:v>
      </x:c>
      <x:c r="D1984" s="7" t="str">
        <x:v>PEA-C-X2</x:v>
      </x:c>
      <x:c r="E1984" s="7" t="str">
        <x:v>BLD-C</x:v>
      </x:c>
      <x:c r="F1984" s="7" t="str">
        <x:v>BL-X</x:v>
      </x:c>
      <x:c r="G1984" s="7" t="str">
        <x:v>MF-18</x:v>
      </x:c>
      <x:c r="H1984" s="7" t="str"/>
      <x:c r="I1984" s="7" t="str"/>
      <x:c r="J1984" s="7" t="str">
        <x:f>IF(OR(H1984="",I1984=""),"",I1984-H1984)</x:f>
      </x:c>
      <x:c r="K1984" s="7" t="str"/>
      <x:c r="L1984" s="7" t="str"/>
      <x:c r="M1984" s="7" t="str">
        <x:f>IF(L1984="","OPEN",IF(OR(NOT(ISNUMBER(H1984)),NOT(ISNUMBER(I1984)),NOT(ISNUMBER(K1984)),ABS(J1984)&gt;K1984),"FAIL","PASS"))</x:f>
        <x:v>OPEN</x:v>
      </x:c>
    </x:row>
    <x:row r="1985">
      <x:c r="B1985" s="7" t="str">
        <x:v>CAL-CH-PEA-C-X2-18-5</x:v>
      </x:c>
      <x:c r="C1985" s="7" t="str">
        <x:v>CH-PEA-C-X2-18-5</x:v>
      </x:c>
      <x:c r="D1985" s="7" t="str">
        <x:v>PEA-C-X2</x:v>
      </x:c>
      <x:c r="E1985" s="7" t="str">
        <x:v>BLD-C</x:v>
      </x:c>
      <x:c r="F1985" s="7" t="str">
        <x:v>BL-X</x:v>
      </x:c>
      <x:c r="G1985" s="7" t="str">
        <x:v>MF-18</x:v>
      </x:c>
      <x:c r="H1985" s="7" t="str"/>
      <x:c r="I1985" s="7" t="str"/>
      <x:c r="J1985" s="7" t="str">
        <x:f>IF(OR(H1985="",I1985=""),"",I1985-H1985)</x:f>
      </x:c>
      <x:c r="K1985" s="7" t="str"/>
      <x:c r="L1985" s="7" t="str"/>
      <x:c r="M1985" s="7" t="str">
        <x:f>IF(L1985="","OPEN",IF(OR(NOT(ISNUMBER(H1985)),NOT(ISNUMBER(I1985)),NOT(ISNUMBER(K1985)),ABS(J1985)&gt;K1985),"FAIL","PASS"))</x:f>
        <x:v>OPEN</x:v>
      </x:c>
    </x:row>
    <x:row r="1986">
      <x:c r="B1986" s="7" t="str">
        <x:v>CAL-CH-PEA-C-X2-18-6</x:v>
      </x:c>
      <x:c r="C1986" s="7" t="str">
        <x:v>CH-PEA-C-X2-18-6</x:v>
      </x:c>
      <x:c r="D1986" s="7" t="str">
        <x:v>PEA-C-X2</x:v>
      </x:c>
      <x:c r="E1986" s="7" t="str">
        <x:v>BLD-C</x:v>
      </x:c>
      <x:c r="F1986" s="7" t="str">
        <x:v>BL-X</x:v>
      </x:c>
      <x:c r="G1986" s="7" t="str">
        <x:v>MF-18</x:v>
      </x:c>
      <x:c r="H1986" s="7" t="str"/>
      <x:c r="I1986" s="7" t="str"/>
      <x:c r="J1986" s="7" t="str">
        <x:f>IF(OR(H1986="",I1986=""),"",I1986-H1986)</x:f>
      </x:c>
      <x:c r="K1986" s="7" t="str"/>
      <x:c r="L1986" s="7" t="str"/>
      <x:c r="M1986" s="7" t="str">
        <x:f>IF(L1986="","OPEN",IF(OR(NOT(ISNUMBER(H1986)),NOT(ISNUMBER(I1986)),NOT(ISNUMBER(K1986)),ABS(J1986)&gt;K1986),"FAIL","PASS"))</x:f>
        <x:v>OPEN</x:v>
      </x:c>
    </x:row>
    <x:row r="1987">
      <x:c r="B1987" s="7" t="str">
        <x:v>CAL-CH-PEA-C-X2-19-1</x:v>
      </x:c>
      <x:c r="C1987" s="7" t="str">
        <x:v>CH-PEA-C-X2-19-1</x:v>
      </x:c>
      <x:c r="D1987" s="7" t="str">
        <x:v>PEA-C-X2</x:v>
      </x:c>
      <x:c r="E1987" s="7" t="str">
        <x:v>BLD-C</x:v>
      </x:c>
      <x:c r="F1987" s="7" t="str">
        <x:v>BL-X</x:v>
      </x:c>
      <x:c r="G1987" s="7" t="str">
        <x:v>MF-19</x:v>
      </x:c>
      <x:c r="H1987" s="7" t="str"/>
      <x:c r="I1987" s="7" t="str"/>
      <x:c r="J1987" s="7" t="str">
        <x:f>IF(OR(H1987="",I1987=""),"",I1987-H1987)</x:f>
      </x:c>
      <x:c r="K1987" s="7" t="str"/>
      <x:c r="L1987" s="7" t="str"/>
      <x:c r="M1987" s="7" t="str">
        <x:f>IF(L1987="","OPEN",IF(OR(NOT(ISNUMBER(H1987)),NOT(ISNUMBER(I1987)),NOT(ISNUMBER(K1987)),ABS(J1987)&gt;K1987),"FAIL","PASS"))</x:f>
        <x:v>OPEN</x:v>
      </x:c>
    </x:row>
    <x:row r="1988">
      <x:c r="B1988" s="7" t="str">
        <x:v>CAL-CH-PEA-C-X2-19-2</x:v>
      </x:c>
      <x:c r="C1988" s="7" t="str">
        <x:v>CH-PEA-C-X2-19-2</x:v>
      </x:c>
      <x:c r="D1988" s="7" t="str">
        <x:v>PEA-C-X2</x:v>
      </x:c>
      <x:c r="E1988" s="7" t="str">
        <x:v>BLD-C</x:v>
      </x:c>
      <x:c r="F1988" s="7" t="str">
        <x:v>BL-X</x:v>
      </x:c>
      <x:c r="G1988" s="7" t="str">
        <x:v>MF-19</x:v>
      </x:c>
      <x:c r="H1988" s="7" t="str"/>
      <x:c r="I1988" s="7" t="str"/>
      <x:c r="J1988" s="7" t="str">
        <x:f>IF(OR(H1988="",I1988=""),"",I1988-H1988)</x:f>
      </x:c>
      <x:c r="K1988" s="7" t="str"/>
      <x:c r="L1988" s="7" t="str"/>
      <x:c r="M1988" s="7" t="str">
        <x:f>IF(L1988="","OPEN",IF(OR(NOT(ISNUMBER(H1988)),NOT(ISNUMBER(I1988)),NOT(ISNUMBER(K1988)),ABS(J1988)&gt;K1988),"FAIL","PASS"))</x:f>
        <x:v>OPEN</x:v>
      </x:c>
    </x:row>
    <x:row r="1989">
      <x:c r="B1989" s="7" t="str">
        <x:v>CAL-CH-PEA-C-X2-19-3</x:v>
      </x:c>
      <x:c r="C1989" s="7" t="str">
        <x:v>CH-PEA-C-X2-19-3</x:v>
      </x:c>
      <x:c r="D1989" s="7" t="str">
        <x:v>PEA-C-X2</x:v>
      </x:c>
      <x:c r="E1989" s="7" t="str">
        <x:v>BLD-C</x:v>
      </x:c>
      <x:c r="F1989" s="7" t="str">
        <x:v>BL-X</x:v>
      </x:c>
      <x:c r="G1989" s="7" t="str">
        <x:v>MF-19</x:v>
      </x:c>
      <x:c r="H1989" s="7" t="str"/>
      <x:c r="I1989" s="7" t="str"/>
      <x:c r="J1989" s="7" t="str">
        <x:f>IF(OR(H1989="",I1989=""),"",I1989-H1989)</x:f>
      </x:c>
      <x:c r="K1989" s="7" t="str"/>
      <x:c r="L1989" s="7" t="str"/>
      <x:c r="M1989" s="7" t="str">
        <x:f>IF(L1989="","OPEN",IF(OR(NOT(ISNUMBER(H1989)),NOT(ISNUMBER(I1989)),NOT(ISNUMBER(K1989)),ABS(J1989)&gt;K1989),"FAIL","PASS"))</x:f>
        <x:v>OPEN</x:v>
      </x:c>
    </x:row>
    <x:row r="1990">
      <x:c r="B1990" s="7" t="str">
        <x:v>CAL-CH-PEA-C-X2-19-4</x:v>
      </x:c>
      <x:c r="C1990" s="7" t="str">
        <x:v>CH-PEA-C-X2-19-4</x:v>
      </x:c>
      <x:c r="D1990" s="7" t="str">
        <x:v>PEA-C-X2</x:v>
      </x:c>
      <x:c r="E1990" s="7" t="str">
        <x:v>BLD-C</x:v>
      </x:c>
      <x:c r="F1990" s="7" t="str">
        <x:v>BL-X</x:v>
      </x:c>
      <x:c r="G1990" s="7" t="str">
        <x:v>MF-19</x:v>
      </x:c>
      <x:c r="H1990" s="7" t="str"/>
      <x:c r="I1990" s="7" t="str"/>
      <x:c r="J1990" s="7" t="str">
        <x:f>IF(OR(H1990="",I1990=""),"",I1990-H1990)</x:f>
      </x:c>
      <x:c r="K1990" s="7" t="str"/>
      <x:c r="L1990" s="7" t="str"/>
      <x:c r="M1990" s="7" t="str">
        <x:f>IF(L1990="","OPEN",IF(OR(NOT(ISNUMBER(H1990)),NOT(ISNUMBER(I1990)),NOT(ISNUMBER(K1990)),ABS(J1990)&gt;K1990),"FAIL","PASS"))</x:f>
        <x:v>OPEN</x:v>
      </x:c>
    </x:row>
    <x:row r="1991">
      <x:c r="B1991" s="7" t="str">
        <x:v>CAL-CH-PEA-C-X2-19-5</x:v>
      </x:c>
      <x:c r="C1991" s="7" t="str">
        <x:v>CH-PEA-C-X2-19-5</x:v>
      </x:c>
      <x:c r="D1991" s="7" t="str">
        <x:v>PEA-C-X2</x:v>
      </x:c>
      <x:c r="E1991" s="7" t="str">
        <x:v>BLD-C</x:v>
      </x:c>
      <x:c r="F1991" s="7" t="str">
        <x:v>BL-X</x:v>
      </x:c>
      <x:c r="G1991" s="7" t="str">
        <x:v>MF-19</x:v>
      </x:c>
      <x:c r="H1991" s="7" t="str"/>
      <x:c r="I1991" s="7" t="str"/>
      <x:c r="J1991" s="7" t="str">
        <x:f>IF(OR(H1991="",I1991=""),"",I1991-H1991)</x:f>
      </x:c>
      <x:c r="K1991" s="7" t="str"/>
      <x:c r="L1991" s="7" t="str"/>
      <x:c r="M1991" s="7" t="str">
        <x:f>IF(L1991="","OPEN",IF(OR(NOT(ISNUMBER(H1991)),NOT(ISNUMBER(I1991)),NOT(ISNUMBER(K1991)),ABS(J1991)&gt;K1991),"FAIL","PASS"))</x:f>
        <x:v>OPEN</x:v>
      </x:c>
    </x:row>
    <x:row r="1992">
      <x:c r="B1992" s="7" t="str">
        <x:v>CAL-CH-PEA-C-X2-19-6</x:v>
      </x:c>
      <x:c r="C1992" s="7" t="str">
        <x:v>CH-PEA-C-X2-19-6</x:v>
      </x:c>
      <x:c r="D1992" s="7" t="str">
        <x:v>PEA-C-X2</x:v>
      </x:c>
      <x:c r="E1992" s="7" t="str">
        <x:v>BLD-C</x:v>
      </x:c>
      <x:c r="F1992" s="7" t="str">
        <x:v>BL-X</x:v>
      </x:c>
      <x:c r="G1992" s="7" t="str">
        <x:v>MF-19</x:v>
      </x:c>
      <x:c r="H1992" s="7" t="str"/>
      <x:c r="I1992" s="7" t="str"/>
      <x:c r="J1992" s="7" t="str">
        <x:f>IF(OR(H1992="",I1992=""),"",I1992-H1992)</x:f>
      </x:c>
      <x:c r="K1992" s="7" t="str"/>
      <x:c r="L1992" s="7" t="str"/>
      <x:c r="M1992" s="7" t="str">
        <x:f>IF(L1992="","OPEN",IF(OR(NOT(ISNUMBER(H1992)),NOT(ISNUMBER(I1992)),NOT(ISNUMBER(K1992)),ABS(J1992)&gt;K1992),"FAIL","PASS"))</x:f>
        <x:v>OPEN</x:v>
      </x:c>
    </x:row>
    <x:row r="1993">
      <x:c r="B1993" s="7" t="str">
        <x:v>CAL-CH-PEA-C-X2-20-1</x:v>
      </x:c>
      <x:c r="C1993" s="7" t="str">
        <x:v>CH-PEA-C-X2-20-1</x:v>
      </x:c>
      <x:c r="D1993" s="7" t="str">
        <x:v>PEA-C-X2</x:v>
      </x:c>
      <x:c r="E1993" s="7" t="str">
        <x:v>BLD-C</x:v>
      </x:c>
      <x:c r="F1993" s="7" t="str">
        <x:v>BL-X</x:v>
      </x:c>
      <x:c r="G1993" s="7" t="str">
        <x:v>MF-20</x:v>
      </x:c>
      <x:c r="H1993" s="7" t="str"/>
      <x:c r="I1993" s="7" t="str"/>
      <x:c r="J1993" s="7" t="str">
        <x:f>IF(OR(H1993="",I1993=""),"",I1993-H1993)</x:f>
      </x:c>
      <x:c r="K1993" s="7" t="str"/>
      <x:c r="L1993" s="7" t="str"/>
      <x:c r="M1993" s="7" t="str">
        <x:f>IF(L1993="","OPEN",IF(OR(NOT(ISNUMBER(H1993)),NOT(ISNUMBER(I1993)),NOT(ISNUMBER(K1993)),ABS(J1993)&gt;K1993),"FAIL","PASS"))</x:f>
        <x:v>OPEN</x:v>
      </x:c>
    </x:row>
    <x:row r="1994">
      <x:c r="B1994" s="7" t="str">
        <x:v>CAL-CH-PEA-C-X2-20-2</x:v>
      </x:c>
      <x:c r="C1994" s="7" t="str">
        <x:v>CH-PEA-C-X2-20-2</x:v>
      </x:c>
      <x:c r="D1994" s="7" t="str">
        <x:v>PEA-C-X2</x:v>
      </x:c>
      <x:c r="E1994" s="7" t="str">
        <x:v>BLD-C</x:v>
      </x:c>
      <x:c r="F1994" s="7" t="str">
        <x:v>BL-X</x:v>
      </x:c>
      <x:c r="G1994" s="7" t="str">
        <x:v>MF-20</x:v>
      </x:c>
      <x:c r="H1994" s="7" t="str"/>
      <x:c r="I1994" s="7" t="str"/>
      <x:c r="J1994" s="7" t="str">
        <x:f>IF(OR(H1994="",I1994=""),"",I1994-H1994)</x:f>
      </x:c>
      <x:c r="K1994" s="7" t="str"/>
      <x:c r="L1994" s="7" t="str"/>
      <x:c r="M1994" s="7" t="str">
        <x:f>IF(L1994="","OPEN",IF(OR(NOT(ISNUMBER(H1994)),NOT(ISNUMBER(I1994)),NOT(ISNUMBER(K1994)),ABS(J1994)&gt;K1994),"FAIL","PASS"))</x:f>
        <x:v>OPEN</x:v>
      </x:c>
    </x:row>
    <x:row r="1995">
      <x:c r="B1995" s="7" t="str">
        <x:v>CAL-CH-PEA-C-X2-20-3</x:v>
      </x:c>
      <x:c r="C1995" s="7" t="str">
        <x:v>CH-PEA-C-X2-20-3</x:v>
      </x:c>
      <x:c r="D1995" s="7" t="str">
        <x:v>PEA-C-X2</x:v>
      </x:c>
      <x:c r="E1995" s="7" t="str">
        <x:v>BLD-C</x:v>
      </x:c>
      <x:c r="F1995" s="7" t="str">
        <x:v>BL-X</x:v>
      </x:c>
      <x:c r="G1995" s="7" t="str">
        <x:v>MF-20</x:v>
      </x:c>
      <x:c r="H1995" s="7" t="str"/>
      <x:c r="I1995" s="7" t="str"/>
      <x:c r="J1995" s="7" t="str">
        <x:f>IF(OR(H1995="",I1995=""),"",I1995-H1995)</x:f>
      </x:c>
      <x:c r="K1995" s="7" t="str"/>
      <x:c r="L1995" s="7" t="str"/>
      <x:c r="M1995" s="7" t="str">
        <x:f>IF(L1995="","OPEN",IF(OR(NOT(ISNUMBER(H1995)),NOT(ISNUMBER(I1995)),NOT(ISNUMBER(K1995)),ABS(J1995)&gt;K1995),"FAIL","PASS"))</x:f>
        <x:v>OPEN</x:v>
      </x:c>
    </x:row>
    <x:row r="1996">
      <x:c r="B1996" s="7" t="str">
        <x:v>CAL-CH-PEA-C-X2-20-4</x:v>
      </x:c>
      <x:c r="C1996" s="7" t="str">
        <x:v>CH-PEA-C-X2-20-4</x:v>
      </x:c>
      <x:c r="D1996" s="7" t="str">
        <x:v>PEA-C-X2</x:v>
      </x:c>
      <x:c r="E1996" s="7" t="str">
        <x:v>BLD-C</x:v>
      </x:c>
      <x:c r="F1996" s="7" t="str">
        <x:v>BL-X</x:v>
      </x:c>
      <x:c r="G1996" s="7" t="str">
        <x:v>MF-20</x:v>
      </x:c>
      <x:c r="H1996" s="7" t="str"/>
      <x:c r="I1996" s="7" t="str"/>
      <x:c r="J1996" s="7" t="str">
        <x:f>IF(OR(H1996="",I1996=""),"",I1996-H1996)</x:f>
      </x:c>
      <x:c r="K1996" s="7" t="str"/>
      <x:c r="L1996" s="7" t="str"/>
      <x:c r="M1996" s="7" t="str">
        <x:f>IF(L1996="","OPEN",IF(OR(NOT(ISNUMBER(H1996)),NOT(ISNUMBER(I1996)),NOT(ISNUMBER(K1996)),ABS(J1996)&gt;K1996),"FAIL","PASS"))</x:f>
        <x:v>OPEN</x:v>
      </x:c>
    </x:row>
    <x:row r="1997">
      <x:c r="B1997" s="7" t="str">
        <x:v>CAL-CH-PEA-C-X2-20-5</x:v>
      </x:c>
      <x:c r="C1997" s="7" t="str">
        <x:v>CH-PEA-C-X2-20-5</x:v>
      </x:c>
      <x:c r="D1997" s="7" t="str">
        <x:v>PEA-C-X2</x:v>
      </x:c>
      <x:c r="E1997" s="7" t="str">
        <x:v>BLD-C</x:v>
      </x:c>
      <x:c r="F1997" s="7" t="str">
        <x:v>BL-X</x:v>
      </x:c>
      <x:c r="G1997" s="7" t="str">
        <x:v>MF-20</x:v>
      </x:c>
      <x:c r="H1997" s="7" t="str"/>
      <x:c r="I1997" s="7" t="str"/>
      <x:c r="J1997" s="7" t="str">
        <x:f>IF(OR(H1997="",I1997=""),"",I1997-H1997)</x:f>
      </x:c>
      <x:c r="K1997" s="7" t="str"/>
      <x:c r="L1997" s="7" t="str"/>
      <x:c r="M1997" s="7" t="str">
        <x:f>IF(L1997="","OPEN",IF(OR(NOT(ISNUMBER(H1997)),NOT(ISNUMBER(I1997)),NOT(ISNUMBER(K1997)),ABS(J1997)&gt;K1997),"FAIL","PASS"))</x:f>
        <x:v>OPEN</x:v>
      </x:c>
    </x:row>
    <x:row r="1998">
      <x:c r="B1998" s="7" t="str">
        <x:v>CAL-CH-PEA-C-X2-20-6</x:v>
      </x:c>
      <x:c r="C1998" s="7" t="str">
        <x:v>CH-PEA-C-X2-20-6</x:v>
      </x:c>
      <x:c r="D1998" s="7" t="str">
        <x:v>PEA-C-X2</x:v>
      </x:c>
      <x:c r="E1998" s="7" t="str">
        <x:v>BLD-C</x:v>
      </x:c>
      <x:c r="F1998" s="7" t="str">
        <x:v>BL-X</x:v>
      </x:c>
      <x:c r="G1998" s="7" t="str">
        <x:v>MF-20</x:v>
      </x:c>
      <x:c r="H1998" s="7" t="str"/>
      <x:c r="I1998" s="7" t="str"/>
      <x:c r="J1998" s="7" t="str">
        <x:f>IF(OR(H1998="",I1998=""),"",I1998-H1998)</x:f>
      </x:c>
      <x:c r="K1998" s="7" t="str"/>
      <x:c r="L1998" s="7" t="str"/>
      <x:c r="M1998" s="7" t="str">
        <x:f>IF(L1998="","OPEN",IF(OR(NOT(ISNUMBER(H1998)),NOT(ISNUMBER(I1998)),NOT(ISNUMBER(K1998)),ABS(J1998)&gt;K1998),"FAIL","PASS"))</x:f>
        <x:v>OPEN</x:v>
      </x:c>
    </x:row>
    <x:row r="1999">
      <x:c r="B1999" s="7" t="str">
        <x:v>CAL-CH-PEA-C-X2-21-1</x:v>
      </x:c>
      <x:c r="C1999" s="7" t="str">
        <x:v>CH-PEA-C-X2-21-1</x:v>
      </x:c>
      <x:c r="D1999" s="7" t="str">
        <x:v>PEA-C-X2</x:v>
      </x:c>
      <x:c r="E1999" s="7" t="str">
        <x:v>BLD-C</x:v>
      </x:c>
      <x:c r="F1999" s="7" t="str">
        <x:v>BL-X</x:v>
      </x:c>
      <x:c r="G1999" s="7" t="str">
        <x:v>MF-21</x:v>
      </x:c>
      <x:c r="H1999" s="7" t="str"/>
      <x:c r="I1999" s="7" t="str"/>
      <x:c r="J1999" s="7" t="str">
        <x:f>IF(OR(H1999="",I1999=""),"",I1999-H1999)</x:f>
      </x:c>
      <x:c r="K1999" s="7" t="str"/>
      <x:c r="L1999" s="7" t="str"/>
      <x:c r="M1999" s="7" t="str">
        <x:f>IF(L1999="","OPEN",IF(OR(NOT(ISNUMBER(H1999)),NOT(ISNUMBER(I1999)),NOT(ISNUMBER(K1999)),ABS(J1999)&gt;K1999),"FAIL","PASS"))</x:f>
        <x:v>OPEN</x:v>
      </x:c>
    </x:row>
    <x:row r="2000">
      <x:c r="B2000" s="7" t="str">
        <x:v>CAL-CH-PEA-C-X2-21-2</x:v>
      </x:c>
      <x:c r="C2000" s="7" t="str">
        <x:v>CH-PEA-C-X2-21-2</x:v>
      </x:c>
      <x:c r="D2000" s="7" t="str">
        <x:v>PEA-C-X2</x:v>
      </x:c>
      <x:c r="E2000" s="7" t="str">
        <x:v>BLD-C</x:v>
      </x:c>
      <x:c r="F2000" s="7" t="str">
        <x:v>BL-X</x:v>
      </x:c>
      <x:c r="G2000" s="7" t="str">
        <x:v>MF-21</x:v>
      </x:c>
      <x:c r="H2000" s="7" t="str"/>
      <x:c r="I2000" s="7" t="str"/>
      <x:c r="J2000" s="7" t="str">
        <x:f>IF(OR(H2000="",I2000=""),"",I2000-H2000)</x:f>
      </x:c>
      <x:c r="K2000" s="7" t="str"/>
      <x:c r="L2000" s="7" t="str"/>
      <x:c r="M2000" s="7" t="str">
        <x:f>IF(L2000="","OPEN",IF(OR(NOT(ISNUMBER(H2000)),NOT(ISNUMBER(I2000)),NOT(ISNUMBER(K2000)),ABS(J2000)&gt;K2000),"FAIL","PASS"))</x:f>
        <x:v>OPEN</x:v>
      </x:c>
    </x:row>
    <x:row r="2001">
      <x:c r="B2001" s="7" t="str">
        <x:v>CAL-CH-PEA-C-X2-21-3</x:v>
      </x:c>
      <x:c r="C2001" s="7" t="str">
        <x:v>CH-PEA-C-X2-21-3</x:v>
      </x:c>
      <x:c r="D2001" s="7" t="str">
        <x:v>PEA-C-X2</x:v>
      </x:c>
      <x:c r="E2001" s="7" t="str">
        <x:v>BLD-C</x:v>
      </x:c>
      <x:c r="F2001" s="7" t="str">
        <x:v>BL-X</x:v>
      </x:c>
      <x:c r="G2001" s="7" t="str">
        <x:v>MF-21</x:v>
      </x:c>
      <x:c r="H2001" s="7" t="str"/>
      <x:c r="I2001" s="7" t="str"/>
      <x:c r="J2001" s="7" t="str">
        <x:f>IF(OR(H2001="",I2001=""),"",I2001-H2001)</x:f>
      </x:c>
      <x:c r="K2001" s="7" t="str"/>
      <x:c r="L2001" s="7" t="str"/>
      <x:c r="M2001" s="7" t="str">
        <x:f>IF(L2001="","OPEN",IF(OR(NOT(ISNUMBER(H2001)),NOT(ISNUMBER(I2001)),NOT(ISNUMBER(K2001)),ABS(J2001)&gt;K2001),"FAIL","PASS"))</x:f>
        <x:v>OPEN</x:v>
      </x:c>
    </x:row>
    <x:row r="2002">
      <x:c r="B2002" s="7" t="str">
        <x:v>CAL-CH-PEA-C-X2-21-4</x:v>
      </x:c>
      <x:c r="C2002" s="7" t="str">
        <x:v>CH-PEA-C-X2-21-4</x:v>
      </x:c>
      <x:c r="D2002" s="7" t="str">
        <x:v>PEA-C-X2</x:v>
      </x:c>
      <x:c r="E2002" s="7" t="str">
        <x:v>BLD-C</x:v>
      </x:c>
      <x:c r="F2002" s="7" t="str">
        <x:v>BL-X</x:v>
      </x:c>
      <x:c r="G2002" s="7" t="str">
        <x:v>MF-21</x:v>
      </x:c>
      <x:c r="H2002" s="7" t="str"/>
      <x:c r="I2002" s="7" t="str"/>
      <x:c r="J2002" s="7" t="str">
        <x:f>IF(OR(H2002="",I2002=""),"",I2002-H2002)</x:f>
      </x:c>
      <x:c r="K2002" s="7" t="str"/>
      <x:c r="L2002" s="7" t="str"/>
      <x:c r="M2002" s="7" t="str">
        <x:f>IF(L2002="","OPEN",IF(OR(NOT(ISNUMBER(H2002)),NOT(ISNUMBER(I2002)),NOT(ISNUMBER(K2002)),ABS(J2002)&gt;K2002),"FAIL","PASS"))</x:f>
        <x:v>OPEN</x:v>
      </x:c>
    </x:row>
    <x:row r="2003">
      <x:c r="B2003" s="7" t="str">
        <x:v>CAL-CH-PEA-C-X2-21-5</x:v>
      </x:c>
      <x:c r="C2003" s="7" t="str">
        <x:v>CH-PEA-C-X2-21-5</x:v>
      </x:c>
      <x:c r="D2003" s="7" t="str">
        <x:v>PEA-C-X2</x:v>
      </x:c>
      <x:c r="E2003" s="7" t="str">
        <x:v>BLD-C</x:v>
      </x:c>
      <x:c r="F2003" s="7" t="str">
        <x:v>BL-X</x:v>
      </x:c>
      <x:c r="G2003" s="7" t="str">
        <x:v>MF-21</x:v>
      </x:c>
      <x:c r="H2003" s="7" t="str"/>
      <x:c r="I2003" s="7" t="str"/>
      <x:c r="J2003" s="7" t="str">
        <x:f>IF(OR(H2003="",I2003=""),"",I2003-H2003)</x:f>
      </x:c>
      <x:c r="K2003" s="7" t="str"/>
      <x:c r="L2003" s="7" t="str"/>
      <x:c r="M2003" s="7" t="str">
        <x:f>IF(L2003="","OPEN",IF(OR(NOT(ISNUMBER(H2003)),NOT(ISNUMBER(I2003)),NOT(ISNUMBER(K2003)),ABS(J2003)&gt;K2003),"FAIL","PASS"))</x:f>
        <x:v>OPEN</x:v>
      </x:c>
    </x:row>
    <x:row r="2004">
      <x:c r="B2004" s="7" t="str">
        <x:v>CAL-CH-PEA-C-X2-21-6</x:v>
      </x:c>
      <x:c r="C2004" s="7" t="str">
        <x:v>CH-PEA-C-X2-21-6</x:v>
      </x:c>
      <x:c r="D2004" s="7" t="str">
        <x:v>PEA-C-X2</x:v>
      </x:c>
      <x:c r="E2004" s="7" t="str">
        <x:v>BLD-C</x:v>
      </x:c>
      <x:c r="F2004" s="7" t="str">
        <x:v>BL-X</x:v>
      </x:c>
      <x:c r="G2004" s="7" t="str">
        <x:v>MF-21</x:v>
      </x:c>
      <x:c r="H2004" s="7" t="str"/>
      <x:c r="I2004" s="7" t="str"/>
      <x:c r="J2004" s="7" t="str">
        <x:f>IF(OR(H2004="",I2004=""),"",I2004-H2004)</x:f>
      </x:c>
      <x:c r="K2004" s="7" t="str"/>
      <x:c r="L2004" s="7" t="str"/>
      <x:c r="M2004" s="7" t="str">
        <x:f>IF(L2004="","OPEN",IF(OR(NOT(ISNUMBER(H2004)),NOT(ISNUMBER(I2004)),NOT(ISNUMBER(K2004)),ABS(J2004)&gt;K2004),"FAIL","PASS"))</x:f>
        <x:v>OPEN</x:v>
      </x:c>
    </x:row>
    <x:row r="2005">
      <x:c r="B2005" s="7" t="str">
        <x:v>CAL-CH-PEA-C-X2-22-1</x:v>
      </x:c>
      <x:c r="C2005" s="7" t="str">
        <x:v>CH-PEA-C-X2-22-1</x:v>
      </x:c>
      <x:c r="D2005" s="7" t="str">
        <x:v>PEA-C-X2</x:v>
      </x:c>
      <x:c r="E2005" s="7" t="str">
        <x:v>BLD-C</x:v>
      </x:c>
      <x:c r="F2005" s="7" t="str">
        <x:v>BL-X</x:v>
      </x:c>
      <x:c r="G2005" s="7" t="str">
        <x:v>MF-22</x:v>
      </x:c>
      <x:c r="H2005" s="7" t="str"/>
      <x:c r="I2005" s="7" t="str"/>
      <x:c r="J2005" s="7" t="str">
        <x:f>IF(OR(H2005="",I2005=""),"",I2005-H2005)</x:f>
      </x:c>
      <x:c r="K2005" s="7" t="str"/>
      <x:c r="L2005" s="7" t="str"/>
      <x:c r="M2005" s="7" t="str">
        <x:f>IF(L2005="","OPEN",IF(OR(NOT(ISNUMBER(H2005)),NOT(ISNUMBER(I2005)),NOT(ISNUMBER(K2005)),ABS(J2005)&gt;K2005),"FAIL","PASS"))</x:f>
        <x:v>OPEN</x:v>
      </x:c>
    </x:row>
    <x:row r="2006">
      <x:c r="B2006" s="7" t="str">
        <x:v>CAL-CH-PEA-C-X2-22-2</x:v>
      </x:c>
      <x:c r="C2006" s="7" t="str">
        <x:v>CH-PEA-C-X2-22-2</x:v>
      </x:c>
      <x:c r="D2006" s="7" t="str">
        <x:v>PEA-C-X2</x:v>
      </x:c>
      <x:c r="E2006" s="7" t="str">
        <x:v>BLD-C</x:v>
      </x:c>
      <x:c r="F2006" s="7" t="str">
        <x:v>BL-X</x:v>
      </x:c>
      <x:c r="G2006" s="7" t="str">
        <x:v>MF-22</x:v>
      </x:c>
      <x:c r="H2006" s="7" t="str"/>
      <x:c r="I2006" s="7" t="str"/>
      <x:c r="J2006" s="7" t="str">
        <x:f>IF(OR(H2006="",I2006=""),"",I2006-H2006)</x:f>
      </x:c>
      <x:c r="K2006" s="7" t="str"/>
      <x:c r="L2006" s="7" t="str"/>
      <x:c r="M2006" s="7" t="str">
        <x:f>IF(L2006="","OPEN",IF(OR(NOT(ISNUMBER(H2006)),NOT(ISNUMBER(I2006)),NOT(ISNUMBER(K2006)),ABS(J2006)&gt;K2006),"FAIL","PASS"))</x:f>
        <x:v>OPEN</x:v>
      </x:c>
    </x:row>
    <x:row r="2007">
      <x:c r="B2007" s="7" t="str">
        <x:v>CAL-CH-PEA-C-X2-22-3</x:v>
      </x:c>
      <x:c r="C2007" s="7" t="str">
        <x:v>CH-PEA-C-X2-22-3</x:v>
      </x:c>
      <x:c r="D2007" s="7" t="str">
        <x:v>PEA-C-X2</x:v>
      </x:c>
      <x:c r="E2007" s="7" t="str">
        <x:v>BLD-C</x:v>
      </x:c>
      <x:c r="F2007" s="7" t="str">
        <x:v>BL-X</x:v>
      </x:c>
      <x:c r="G2007" s="7" t="str">
        <x:v>MF-22</x:v>
      </x:c>
      <x:c r="H2007" s="7" t="str"/>
      <x:c r="I2007" s="7" t="str"/>
      <x:c r="J2007" s="7" t="str">
        <x:f>IF(OR(H2007="",I2007=""),"",I2007-H2007)</x:f>
      </x:c>
      <x:c r="K2007" s="7" t="str"/>
      <x:c r="L2007" s="7" t="str"/>
      <x:c r="M2007" s="7" t="str">
        <x:f>IF(L2007="","OPEN",IF(OR(NOT(ISNUMBER(H2007)),NOT(ISNUMBER(I2007)),NOT(ISNUMBER(K2007)),ABS(J2007)&gt;K2007),"FAIL","PASS"))</x:f>
        <x:v>OPEN</x:v>
      </x:c>
    </x:row>
    <x:row r="2008">
      <x:c r="B2008" s="7" t="str">
        <x:v>CAL-CH-PEA-C-X2-22-4</x:v>
      </x:c>
      <x:c r="C2008" s="7" t="str">
        <x:v>CH-PEA-C-X2-22-4</x:v>
      </x:c>
      <x:c r="D2008" s="7" t="str">
        <x:v>PEA-C-X2</x:v>
      </x:c>
      <x:c r="E2008" s="7" t="str">
        <x:v>BLD-C</x:v>
      </x:c>
      <x:c r="F2008" s="7" t="str">
        <x:v>BL-X</x:v>
      </x:c>
      <x:c r="G2008" s="7" t="str">
        <x:v>MF-22</x:v>
      </x:c>
      <x:c r="H2008" s="7" t="str"/>
      <x:c r="I2008" s="7" t="str"/>
      <x:c r="J2008" s="7" t="str">
        <x:f>IF(OR(H2008="",I2008=""),"",I2008-H2008)</x:f>
      </x:c>
      <x:c r="K2008" s="7" t="str"/>
      <x:c r="L2008" s="7" t="str"/>
      <x:c r="M2008" s="7" t="str">
        <x:f>IF(L2008="","OPEN",IF(OR(NOT(ISNUMBER(H2008)),NOT(ISNUMBER(I2008)),NOT(ISNUMBER(K2008)),ABS(J2008)&gt;K2008),"FAIL","PASS"))</x:f>
        <x:v>OPEN</x:v>
      </x:c>
    </x:row>
    <x:row r="2009">
      <x:c r="B2009" s="7" t="str">
        <x:v>CAL-CH-PEA-C-X2-22-5</x:v>
      </x:c>
      <x:c r="C2009" s="7" t="str">
        <x:v>CH-PEA-C-X2-22-5</x:v>
      </x:c>
      <x:c r="D2009" s="7" t="str">
        <x:v>PEA-C-X2</x:v>
      </x:c>
      <x:c r="E2009" s="7" t="str">
        <x:v>BLD-C</x:v>
      </x:c>
      <x:c r="F2009" s="7" t="str">
        <x:v>BL-X</x:v>
      </x:c>
      <x:c r="G2009" s="7" t="str">
        <x:v>MF-22</x:v>
      </x:c>
      <x:c r="H2009" s="7" t="str"/>
      <x:c r="I2009" s="7" t="str"/>
      <x:c r="J2009" s="7" t="str">
        <x:f>IF(OR(H2009="",I2009=""),"",I2009-H2009)</x:f>
      </x:c>
      <x:c r="K2009" s="7" t="str"/>
      <x:c r="L2009" s="7" t="str"/>
      <x:c r="M2009" s="7" t="str">
        <x:f>IF(L2009="","OPEN",IF(OR(NOT(ISNUMBER(H2009)),NOT(ISNUMBER(I2009)),NOT(ISNUMBER(K2009)),ABS(J2009)&gt;K2009),"FAIL","PASS"))</x:f>
        <x:v>OPEN</x:v>
      </x:c>
    </x:row>
    <x:row r="2010">
      <x:c r="B2010" s="7" t="str">
        <x:v>CAL-CH-PEA-C-X2-22-6</x:v>
      </x:c>
      <x:c r="C2010" s="7" t="str">
        <x:v>CH-PEA-C-X2-22-6</x:v>
      </x:c>
      <x:c r="D2010" s="7" t="str">
        <x:v>PEA-C-X2</x:v>
      </x:c>
      <x:c r="E2010" s="7" t="str">
        <x:v>BLD-C</x:v>
      </x:c>
      <x:c r="F2010" s="7" t="str">
        <x:v>BL-X</x:v>
      </x:c>
      <x:c r="G2010" s="7" t="str">
        <x:v>MF-22</x:v>
      </x:c>
      <x:c r="H2010" s="7" t="str"/>
      <x:c r="I2010" s="7" t="str"/>
      <x:c r="J2010" s="7" t="str">
        <x:f>IF(OR(H2010="",I2010=""),"",I2010-H2010)</x:f>
      </x:c>
      <x:c r="K2010" s="7" t="str"/>
      <x:c r="L2010" s="7" t="str"/>
      <x:c r="M2010" s="7" t="str">
        <x:f>IF(L2010="","OPEN",IF(OR(NOT(ISNUMBER(H2010)),NOT(ISNUMBER(I2010)),NOT(ISNUMBER(K2010)),ABS(J2010)&gt;K2010),"FAIL","PASS"))</x:f>
        <x:v>OPEN</x:v>
      </x:c>
    </x:row>
    <x:row r="2011">
      <x:c r="B2011" s="7" t="str">
        <x:v>CAL-CH-PEA-C-X2-23-1</x:v>
      </x:c>
      <x:c r="C2011" s="7" t="str">
        <x:v>CH-PEA-C-X2-23-1</x:v>
      </x:c>
      <x:c r="D2011" s="7" t="str">
        <x:v>PEA-C-X2</x:v>
      </x:c>
      <x:c r="E2011" s="7" t="str">
        <x:v>BLD-C</x:v>
      </x:c>
      <x:c r="F2011" s="7" t="str">
        <x:v>BL-X</x:v>
      </x:c>
      <x:c r="G2011" s="7" t="str">
        <x:v>MF-23</x:v>
      </x:c>
      <x:c r="H2011" s="7" t="str"/>
      <x:c r="I2011" s="7" t="str"/>
      <x:c r="J2011" s="7" t="str">
        <x:f>IF(OR(H2011="",I2011=""),"",I2011-H2011)</x:f>
      </x:c>
      <x:c r="K2011" s="7" t="str"/>
      <x:c r="L2011" s="7" t="str"/>
      <x:c r="M2011" s="7" t="str">
        <x:f>IF(L2011="","OPEN",IF(OR(NOT(ISNUMBER(H2011)),NOT(ISNUMBER(I2011)),NOT(ISNUMBER(K2011)),ABS(J2011)&gt;K2011),"FAIL","PASS"))</x:f>
        <x:v>OPEN</x:v>
      </x:c>
    </x:row>
    <x:row r="2012">
      <x:c r="B2012" s="7" t="str">
        <x:v>CAL-CH-PEA-C-X2-23-2</x:v>
      </x:c>
      <x:c r="C2012" s="7" t="str">
        <x:v>CH-PEA-C-X2-23-2</x:v>
      </x:c>
      <x:c r="D2012" s="7" t="str">
        <x:v>PEA-C-X2</x:v>
      </x:c>
      <x:c r="E2012" s="7" t="str">
        <x:v>BLD-C</x:v>
      </x:c>
      <x:c r="F2012" s="7" t="str">
        <x:v>BL-X</x:v>
      </x:c>
      <x:c r="G2012" s="7" t="str">
        <x:v>MF-23</x:v>
      </x:c>
      <x:c r="H2012" s="7" t="str"/>
      <x:c r="I2012" s="7" t="str"/>
      <x:c r="J2012" s="7" t="str">
        <x:f>IF(OR(H2012="",I2012=""),"",I2012-H2012)</x:f>
      </x:c>
      <x:c r="K2012" s="7" t="str"/>
      <x:c r="L2012" s="7" t="str"/>
      <x:c r="M2012" s="7" t="str">
        <x:f>IF(L2012="","OPEN",IF(OR(NOT(ISNUMBER(H2012)),NOT(ISNUMBER(I2012)),NOT(ISNUMBER(K2012)),ABS(J2012)&gt;K2012),"FAIL","PASS"))</x:f>
        <x:v>OPEN</x:v>
      </x:c>
    </x:row>
    <x:row r="2013">
      <x:c r="B2013" s="7" t="str">
        <x:v>CAL-CH-PEA-C-X2-23-3</x:v>
      </x:c>
      <x:c r="C2013" s="7" t="str">
        <x:v>CH-PEA-C-X2-23-3</x:v>
      </x:c>
      <x:c r="D2013" s="7" t="str">
        <x:v>PEA-C-X2</x:v>
      </x:c>
      <x:c r="E2013" s="7" t="str">
        <x:v>BLD-C</x:v>
      </x:c>
      <x:c r="F2013" s="7" t="str">
        <x:v>BL-X</x:v>
      </x:c>
      <x:c r="G2013" s="7" t="str">
        <x:v>MF-23</x:v>
      </x:c>
      <x:c r="H2013" s="7" t="str"/>
      <x:c r="I2013" s="7" t="str"/>
      <x:c r="J2013" s="7" t="str">
        <x:f>IF(OR(H2013="",I2013=""),"",I2013-H2013)</x:f>
      </x:c>
      <x:c r="K2013" s="7" t="str"/>
      <x:c r="L2013" s="7" t="str"/>
      <x:c r="M2013" s="7" t="str">
        <x:f>IF(L2013="","OPEN",IF(OR(NOT(ISNUMBER(H2013)),NOT(ISNUMBER(I2013)),NOT(ISNUMBER(K2013)),ABS(J2013)&gt;K2013),"FAIL","PASS"))</x:f>
        <x:v>OPEN</x:v>
      </x:c>
    </x:row>
    <x:row r="2014">
      <x:c r="B2014" s="7" t="str">
        <x:v>CAL-CH-PEA-C-X2-23-4</x:v>
      </x:c>
      <x:c r="C2014" s="7" t="str">
        <x:v>CH-PEA-C-X2-23-4</x:v>
      </x:c>
      <x:c r="D2014" s="7" t="str">
        <x:v>PEA-C-X2</x:v>
      </x:c>
      <x:c r="E2014" s="7" t="str">
        <x:v>BLD-C</x:v>
      </x:c>
      <x:c r="F2014" s="7" t="str">
        <x:v>BL-X</x:v>
      </x:c>
      <x:c r="G2014" s="7" t="str">
        <x:v>MF-23</x:v>
      </x:c>
      <x:c r="H2014" s="7" t="str"/>
      <x:c r="I2014" s="7" t="str"/>
      <x:c r="J2014" s="7" t="str">
        <x:f>IF(OR(H2014="",I2014=""),"",I2014-H2014)</x:f>
      </x:c>
      <x:c r="K2014" s="7" t="str"/>
      <x:c r="L2014" s="7" t="str"/>
      <x:c r="M2014" s="7" t="str">
        <x:f>IF(L2014="","OPEN",IF(OR(NOT(ISNUMBER(H2014)),NOT(ISNUMBER(I2014)),NOT(ISNUMBER(K2014)),ABS(J2014)&gt;K2014),"FAIL","PASS"))</x:f>
        <x:v>OPEN</x:v>
      </x:c>
    </x:row>
    <x:row r="2015">
      <x:c r="B2015" s="7" t="str">
        <x:v>CAL-CH-PEA-C-X2-23-5</x:v>
      </x:c>
      <x:c r="C2015" s="7" t="str">
        <x:v>CH-PEA-C-X2-23-5</x:v>
      </x:c>
      <x:c r="D2015" s="7" t="str">
        <x:v>PEA-C-X2</x:v>
      </x:c>
      <x:c r="E2015" s="7" t="str">
        <x:v>BLD-C</x:v>
      </x:c>
      <x:c r="F2015" s="7" t="str">
        <x:v>BL-X</x:v>
      </x:c>
      <x:c r="G2015" s="7" t="str">
        <x:v>MF-23</x:v>
      </x:c>
      <x:c r="H2015" s="7" t="str"/>
      <x:c r="I2015" s="7" t="str"/>
      <x:c r="J2015" s="7" t="str">
        <x:f>IF(OR(H2015="",I2015=""),"",I2015-H2015)</x:f>
      </x:c>
      <x:c r="K2015" s="7" t="str"/>
      <x:c r="L2015" s="7" t="str"/>
      <x:c r="M2015" s="7" t="str">
        <x:f>IF(L2015="","OPEN",IF(OR(NOT(ISNUMBER(H2015)),NOT(ISNUMBER(I2015)),NOT(ISNUMBER(K2015)),ABS(J2015)&gt;K2015),"FAIL","PASS"))</x:f>
        <x:v>OPEN</x:v>
      </x:c>
    </x:row>
    <x:row r="2016">
      <x:c r="B2016" s="7" t="str">
        <x:v>CAL-CH-PEA-C-X2-23-6</x:v>
      </x:c>
      <x:c r="C2016" s="7" t="str">
        <x:v>CH-PEA-C-X2-23-6</x:v>
      </x:c>
      <x:c r="D2016" s="7" t="str">
        <x:v>PEA-C-X2</x:v>
      </x:c>
      <x:c r="E2016" s="7" t="str">
        <x:v>BLD-C</x:v>
      </x:c>
      <x:c r="F2016" s="7" t="str">
        <x:v>BL-X</x:v>
      </x:c>
      <x:c r="G2016" s="7" t="str">
        <x:v>MF-23</x:v>
      </x:c>
      <x:c r="H2016" s="7" t="str"/>
      <x:c r="I2016" s="7" t="str"/>
      <x:c r="J2016" s="7" t="str">
        <x:f>IF(OR(H2016="",I2016=""),"",I2016-H2016)</x:f>
      </x:c>
      <x:c r="K2016" s="7" t="str"/>
      <x:c r="L2016" s="7" t="str"/>
      <x:c r="M2016" s="7" t="str">
        <x:f>IF(L2016="","OPEN",IF(OR(NOT(ISNUMBER(H2016)),NOT(ISNUMBER(I2016)),NOT(ISNUMBER(K2016)),ABS(J2016)&gt;K2016),"FAIL","PASS"))</x:f>
        <x:v>OPEN</x:v>
      </x:c>
    </x:row>
    <x:row r="2017">
      <x:c r="B2017" s="7" t="str">
        <x:v>CAL-CH-PEA-C-X2-24-1</x:v>
      </x:c>
      <x:c r="C2017" s="7" t="str">
        <x:v>CH-PEA-C-X2-24-1</x:v>
      </x:c>
      <x:c r="D2017" s="7" t="str">
        <x:v>PEA-C-X2</x:v>
      </x:c>
      <x:c r="E2017" s="7" t="str">
        <x:v>BLD-C</x:v>
      </x:c>
      <x:c r="F2017" s="7" t="str">
        <x:v>BL-X</x:v>
      </x:c>
      <x:c r="G2017" s="7" t="str">
        <x:v>MF-24</x:v>
      </x:c>
      <x:c r="H2017" s="7" t="str"/>
      <x:c r="I2017" s="7" t="str"/>
      <x:c r="J2017" s="7" t="str">
        <x:f>IF(OR(H2017="",I2017=""),"",I2017-H2017)</x:f>
      </x:c>
      <x:c r="K2017" s="7" t="str"/>
      <x:c r="L2017" s="7" t="str"/>
      <x:c r="M2017" s="7" t="str">
        <x:f>IF(L2017="","OPEN",IF(OR(NOT(ISNUMBER(H2017)),NOT(ISNUMBER(I2017)),NOT(ISNUMBER(K2017)),ABS(J2017)&gt;K2017),"FAIL","PASS"))</x:f>
        <x:v>OPEN</x:v>
      </x:c>
    </x:row>
    <x:row r="2018">
      <x:c r="B2018" s="7" t="str">
        <x:v>CAL-CH-PEA-C-X2-24-2</x:v>
      </x:c>
      <x:c r="C2018" s="7" t="str">
        <x:v>CH-PEA-C-X2-24-2</x:v>
      </x:c>
      <x:c r="D2018" s="7" t="str">
        <x:v>PEA-C-X2</x:v>
      </x:c>
      <x:c r="E2018" s="7" t="str">
        <x:v>BLD-C</x:v>
      </x:c>
      <x:c r="F2018" s="7" t="str">
        <x:v>BL-X</x:v>
      </x:c>
      <x:c r="G2018" s="7" t="str">
        <x:v>MF-24</x:v>
      </x:c>
      <x:c r="H2018" s="7" t="str"/>
      <x:c r="I2018" s="7" t="str"/>
      <x:c r="J2018" s="7" t="str">
        <x:f>IF(OR(H2018="",I2018=""),"",I2018-H2018)</x:f>
      </x:c>
      <x:c r="K2018" s="7" t="str"/>
      <x:c r="L2018" s="7" t="str"/>
      <x:c r="M2018" s="7" t="str">
        <x:f>IF(L2018="","OPEN",IF(OR(NOT(ISNUMBER(H2018)),NOT(ISNUMBER(I2018)),NOT(ISNUMBER(K2018)),ABS(J2018)&gt;K2018),"FAIL","PASS"))</x:f>
        <x:v>OPEN</x:v>
      </x:c>
    </x:row>
    <x:row r="2019">
      <x:c r="B2019" s="7" t="str">
        <x:v>CAL-CH-PEA-C-X2-24-3</x:v>
      </x:c>
      <x:c r="C2019" s="7" t="str">
        <x:v>CH-PEA-C-X2-24-3</x:v>
      </x:c>
      <x:c r="D2019" s="7" t="str">
        <x:v>PEA-C-X2</x:v>
      </x:c>
      <x:c r="E2019" s="7" t="str">
        <x:v>BLD-C</x:v>
      </x:c>
      <x:c r="F2019" s="7" t="str">
        <x:v>BL-X</x:v>
      </x:c>
      <x:c r="G2019" s="7" t="str">
        <x:v>MF-24</x:v>
      </x:c>
      <x:c r="H2019" s="7" t="str"/>
      <x:c r="I2019" s="7" t="str"/>
      <x:c r="J2019" s="7" t="str">
        <x:f>IF(OR(H2019="",I2019=""),"",I2019-H2019)</x:f>
      </x:c>
      <x:c r="K2019" s="7" t="str"/>
      <x:c r="L2019" s="7" t="str"/>
      <x:c r="M2019" s="7" t="str">
        <x:f>IF(L2019="","OPEN",IF(OR(NOT(ISNUMBER(H2019)),NOT(ISNUMBER(I2019)),NOT(ISNUMBER(K2019)),ABS(J2019)&gt;K2019),"FAIL","PASS"))</x:f>
        <x:v>OPEN</x:v>
      </x:c>
    </x:row>
    <x:row r="2020">
      <x:c r="B2020" s="7" t="str">
        <x:v>CAL-CH-PEA-C-X2-24-4</x:v>
      </x:c>
      <x:c r="C2020" s="7" t="str">
        <x:v>CH-PEA-C-X2-24-4</x:v>
      </x:c>
      <x:c r="D2020" s="7" t="str">
        <x:v>PEA-C-X2</x:v>
      </x:c>
      <x:c r="E2020" s="7" t="str">
        <x:v>BLD-C</x:v>
      </x:c>
      <x:c r="F2020" s="7" t="str">
        <x:v>BL-X</x:v>
      </x:c>
      <x:c r="G2020" s="7" t="str">
        <x:v>MF-24</x:v>
      </x:c>
      <x:c r="H2020" s="7" t="str"/>
      <x:c r="I2020" s="7" t="str"/>
      <x:c r="J2020" s="7" t="str">
        <x:f>IF(OR(H2020="",I2020=""),"",I2020-H2020)</x:f>
      </x:c>
      <x:c r="K2020" s="7" t="str"/>
      <x:c r="L2020" s="7" t="str"/>
      <x:c r="M2020" s="7" t="str">
        <x:f>IF(L2020="","OPEN",IF(OR(NOT(ISNUMBER(H2020)),NOT(ISNUMBER(I2020)),NOT(ISNUMBER(K2020)),ABS(J2020)&gt;K2020),"FAIL","PASS"))</x:f>
        <x:v>OPEN</x:v>
      </x:c>
    </x:row>
    <x:row r="2021">
      <x:c r="B2021" s="7" t="str">
        <x:v>CAL-CH-PEA-C-X2-24-5</x:v>
      </x:c>
      <x:c r="C2021" s="7" t="str">
        <x:v>CH-PEA-C-X2-24-5</x:v>
      </x:c>
      <x:c r="D2021" s="7" t="str">
        <x:v>PEA-C-X2</x:v>
      </x:c>
      <x:c r="E2021" s="7" t="str">
        <x:v>BLD-C</x:v>
      </x:c>
      <x:c r="F2021" s="7" t="str">
        <x:v>BL-X</x:v>
      </x:c>
      <x:c r="G2021" s="7" t="str">
        <x:v>MF-24</x:v>
      </x:c>
      <x:c r="H2021" s="7" t="str"/>
      <x:c r="I2021" s="7" t="str"/>
      <x:c r="J2021" s="7" t="str">
        <x:f>IF(OR(H2021="",I2021=""),"",I2021-H2021)</x:f>
      </x:c>
      <x:c r="K2021" s="7" t="str"/>
      <x:c r="L2021" s="7" t="str"/>
      <x:c r="M2021" s="7" t="str">
        <x:f>IF(L2021="","OPEN",IF(OR(NOT(ISNUMBER(H2021)),NOT(ISNUMBER(I2021)),NOT(ISNUMBER(K2021)),ABS(J2021)&gt;K2021),"FAIL","PASS"))</x:f>
        <x:v>OPEN</x:v>
      </x:c>
    </x:row>
    <x:row r="2022">
      <x:c r="B2022" s="7" t="str">
        <x:v>CAL-CH-PEA-C-X2-24-6</x:v>
      </x:c>
      <x:c r="C2022" s="7" t="str">
        <x:v>CH-PEA-C-X2-24-6</x:v>
      </x:c>
      <x:c r="D2022" s="7" t="str">
        <x:v>PEA-C-X2</x:v>
      </x:c>
      <x:c r="E2022" s="7" t="str">
        <x:v>BLD-C</x:v>
      </x:c>
      <x:c r="F2022" s="7" t="str">
        <x:v>BL-X</x:v>
      </x:c>
      <x:c r="G2022" s="7" t="str">
        <x:v>MF-24</x:v>
      </x:c>
      <x:c r="H2022" s="7" t="str"/>
      <x:c r="I2022" s="7" t="str"/>
      <x:c r="J2022" s="7" t="str">
        <x:f>IF(OR(H2022="",I2022=""),"",I2022-H2022)</x:f>
      </x:c>
      <x:c r="K2022" s="7" t="str"/>
      <x:c r="L2022" s="7" t="str"/>
      <x:c r="M2022" s="7" t="str">
        <x:f>IF(L2022="","OPEN",IF(OR(NOT(ISNUMBER(H2022)),NOT(ISNUMBER(I2022)),NOT(ISNUMBER(K2022)),ABS(J2022)&gt;K2022),"FAIL","PASS"))</x:f>
        <x:v>OPEN</x:v>
      </x:c>
    </x:row>
    <x:row r="2023">
      <x:c r="B2023" s="7" t="str">
        <x:v>CAL-CH-PEA-C-X3-01-1</x:v>
      </x:c>
      <x:c r="C2023" s="7" t="str">
        <x:v>CH-PEA-C-X3-01-1</x:v>
      </x:c>
      <x:c r="D2023" s="7" t="str">
        <x:v>PEA-C-X3</x:v>
      </x:c>
      <x:c r="E2023" s="7" t="str">
        <x:v>BLD-C</x:v>
      </x:c>
      <x:c r="F2023" s="7" t="str">
        <x:v>BL-X</x:v>
      </x:c>
      <x:c r="G2023" s="7" t="str">
        <x:v>MF-01</x:v>
      </x:c>
      <x:c r="H2023" s="7" t="str"/>
      <x:c r="I2023" s="7" t="str"/>
      <x:c r="J2023" s="7" t="str">
        <x:f>IF(OR(H2023="",I2023=""),"",I2023-H2023)</x:f>
      </x:c>
      <x:c r="K2023" s="7" t="str"/>
      <x:c r="L2023" s="7" t="str"/>
      <x:c r="M2023" s="7" t="str">
        <x:f>IF(L2023="","OPEN",IF(OR(NOT(ISNUMBER(H2023)),NOT(ISNUMBER(I2023)),NOT(ISNUMBER(K2023)),ABS(J2023)&gt;K2023),"FAIL","PASS"))</x:f>
        <x:v>OPEN</x:v>
      </x:c>
    </x:row>
    <x:row r="2024">
      <x:c r="B2024" s="7" t="str">
        <x:v>CAL-CH-PEA-C-X3-01-2</x:v>
      </x:c>
      <x:c r="C2024" s="7" t="str">
        <x:v>CH-PEA-C-X3-01-2</x:v>
      </x:c>
      <x:c r="D2024" s="7" t="str">
        <x:v>PEA-C-X3</x:v>
      </x:c>
      <x:c r="E2024" s="7" t="str">
        <x:v>BLD-C</x:v>
      </x:c>
      <x:c r="F2024" s="7" t="str">
        <x:v>BL-X</x:v>
      </x:c>
      <x:c r="G2024" s="7" t="str">
        <x:v>MF-01</x:v>
      </x:c>
      <x:c r="H2024" s="7" t="str"/>
      <x:c r="I2024" s="7" t="str"/>
      <x:c r="J2024" s="7" t="str">
        <x:f>IF(OR(H2024="",I2024=""),"",I2024-H2024)</x:f>
      </x:c>
      <x:c r="K2024" s="7" t="str"/>
      <x:c r="L2024" s="7" t="str"/>
      <x:c r="M2024" s="7" t="str">
        <x:f>IF(L2024="","OPEN",IF(OR(NOT(ISNUMBER(H2024)),NOT(ISNUMBER(I2024)),NOT(ISNUMBER(K2024)),ABS(J2024)&gt;K2024),"FAIL","PASS"))</x:f>
        <x:v>OPEN</x:v>
      </x:c>
    </x:row>
    <x:row r="2025">
      <x:c r="B2025" s="7" t="str">
        <x:v>CAL-CH-PEA-C-X3-01-3</x:v>
      </x:c>
      <x:c r="C2025" s="7" t="str">
        <x:v>CH-PEA-C-X3-01-3</x:v>
      </x:c>
      <x:c r="D2025" s="7" t="str">
        <x:v>PEA-C-X3</x:v>
      </x:c>
      <x:c r="E2025" s="7" t="str">
        <x:v>BLD-C</x:v>
      </x:c>
      <x:c r="F2025" s="7" t="str">
        <x:v>BL-X</x:v>
      </x:c>
      <x:c r="G2025" s="7" t="str">
        <x:v>MF-01</x:v>
      </x:c>
      <x:c r="H2025" s="7" t="str"/>
      <x:c r="I2025" s="7" t="str"/>
      <x:c r="J2025" s="7" t="str">
        <x:f>IF(OR(H2025="",I2025=""),"",I2025-H2025)</x:f>
      </x:c>
      <x:c r="K2025" s="7" t="str"/>
      <x:c r="L2025" s="7" t="str"/>
      <x:c r="M2025" s="7" t="str">
        <x:f>IF(L2025="","OPEN",IF(OR(NOT(ISNUMBER(H2025)),NOT(ISNUMBER(I2025)),NOT(ISNUMBER(K2025)),ABS(J2025)&gt;K2025),"FAIL","PASS"))</x:f>
        <x:v>OPEN</x:v>
      </x:c>
    </x:row>
    <x:row r="2026">
      <x:c r="B2026" s="7" t="str">
        <x:v>CAL-CH-PEA-C-X3-01-4</x:v>
      </x:c>
      <x:c r="C2026" s="7" t="str">
        <x:v>CH-PEA-C-X3-01-4</x:v>
      </x:c>
      <x:c r="D2026" s="7" t="str">
        <x:v>PEA-C-X3</x:v>
      </x:c>
      <x:c r="E2026" s="7" t="str">
        <x:v>BLD-C</x:v>
      </x:c>
      <x:c r="F2026" s="7" t="str">
        <x:v>BL-X</x:v>
      </x:c>
      <x:c r="G2026" s="7" t="str">
        <x:v>MF-01</x:v>
      </x:c>
      <x:c r="H2026" s="7" t="str"/>
      <x:c r="I2026" s="7" t="str"/>
      <x:c r="J2026" s="7" t="str">
        <x:f>IF(OR(H2026="",I2026=""),"",I2026-H2026)</x:f>
      </x:c>
      <x:c r="K2026" s="7" t="str"/>
      <x:c r="L2026" s="7" t="str"/>
      <x:c r="M2026" s="7" t="str">
        <x:f>IF(L2026="","OPEN",IF(OR(NOT(ISNUMBER(H2026)),NOT(ISNUMBER(I2026)),NOT(ISNUMBER(K2026)),ABS(J2026)&gt;K2026),"FAIL","PASS"))</x:f>
        <x:v>OPEN</x:v>
      </x:c>
    </x:row>
    <x:row r="2027">
      <x:c r="B2027" s="7" t="str">
        <x:v>CAL-CH-PEA-C-X3-01-5</x:v>
      </x:c>
      <x:c r="C2027" s="7" t="str">
        <x:v>CH-PEA-C-X3-01-5</x:v>
      </x:c>
      <x:c r="D2027" s="7" t="str">
        <x:v>PEA-C-X3</x:v>
      </x:c>
      <x:c r="E2027" s="7" t="str">
        <x:v>BLD-C</x:v>
      </x:c>
      <x:c r="F2027" s="7" t="str">
        <x:v>BL-X</x:v>
      </x:c>
      <x:c r="G2027" s="7" t="str">
        <x:v>MF-01</x:v>
      </x:c>
      <x:c r="H2027" s="7" t="str"/>
      <x:c r="I2027" s="7" t="str"/>
      <x:c r="J2027" s="7" t="str">
        <x:f>IF(OR(H2027="",I2027=""),"",I2027-H2027)</x:f>
      </x:c>
      <x:c r="K2027" s="7" t="str"/>
      <x:c r="L2027" s="7" t="str"/>
      <x:c r="M2027" s="7" t="str">
        <x:f>IF(L2027="","OPEN",IF(OR(NOT(ISNUMBER(H2027)),NOT(ISNUMBER(I2027)),NOT(ISNUMBER(K2027)),ABS(J2027)&gt;K2027),"FAIL","PASS"))</x:f>
        <x:v>OPEN</x:v>
      </x:c>
    </x:row>
    <x:row r="2028">
      <x:c r="B2028" s="7" t="str">
        <x:v>CAL-CH-PEA-C-X3-01-6</x:v>
      </x:c>
      <x:c r="C2028" s="7" t="str">
        <x:v>CH-PEA-C-X3-01-6</x:v>
      </x:c>
      <x:c r="D2028" s="7" t="str">
        <x:v>PEA-C-X3</x:v>
      </x:c>
      <x:c r="E2028" s="7" t="str">
        <x:v>BLD-C</x:v>
      </x:c>
      <x:c r="F2028" s="7" t="str">
        <x:v>BL-X</x:v>
      </x:c>
      <x:c r="G2028" s="7" t="str">
        <x:v>MF-01</x:v>
      </x:c>
      <x:c r="H2028" s="7" t="str"/>
      <x:c r="I2028" s="7" t="str"/>
      <x:c r="J2028" s="7" t="str">
        <x:f>IF(OR(H2028="",I2028=""),"",I2028-H2028)</x:f>
      </x:c>
      <x:c r="K2028" s="7" t="str"/>
      <x:c r="L2028" s="7" t="str"/>
      <x:c r="M2028" s="7" t="str">
        <x:f>IF(L2028="","OPEN",IF(OR(NOT(ISNUMBER(H2028)),NOT(ISNUMBER(I2028)),NOT(ISNUMBER(K2028)),ABS(J2028)&gt;K2028),"FAIL","PASS"))</x:f>
        <x:v>OPEN</x:v>
      </x:c>
    </x:row>
    <x:row r="2029">
      <x:c r="B2029" s="7" t="str">
        <x:v>CAL-CH-PEA-C-X3-02-1</x:v>
      </x:c>
      <x:c r="C2029" s="7" t="str">
        <x:v>CH-PEA-C-X3-02-1</x:v>
      </x:c>
      <x:c r="D2029" s="7" t="str">
        <x:v>PEA-C-X3</x:v>
      </x:c>
      <x:c r="E2029" s="7" t="str">
        <x:v>BLD-C</x:v>
      </x:c>
      <x:c r="F2029" s="7" t="str">
        <x:v>BL-X</x:v>
      </x:c>
      <x:c r="G2029" s="7" t="str">
        <x:v>MF-02</x:v>
      </x:c>
      <x:c r="H2029" s="7" t="str"/>
      <x:c r="I2029" s="7" t="str"/>
      <x:c r="J2029" s="7" t="str">
        <x:f>IF(OR(H2029="",I2029=""),"",I2029-H2029)</x:f>
      </x:c>
      <x:c r="K2029" s="7" t="str"/>
      <x:c r="L2029" s="7" t="str"/>
      <x:c r="M2029" s="7" t="str">
        <x:f>IF(L2029="","OPEN",IF(OR(NOT(ISNUMBER(H2029)),NOT(ISNUMBER(I2029)),NOT(ISNUMBER(K2029)),ABS(J2029)&gt;K2029),"FAIL","PASS"))</x:f>
        <x:v>OPEN</x:v>
      </x:c>
    </x:row>
    <x:row r="2030">
      <x:c r="B2030" s="7" t="str">
        <x:v>CAL-CH-PEA-C-X3-02-2</x:v>
      </x:c>
      <x:c r="C2030" s="7" t="str">
        <x:v>CH-PEA-C-X3-02-2</x:v>
      </x:c>
      <x:c r="D2030" s="7" t="str">
        <x:v>PEA-C-X3</x:v>
      </x:c>
      <x:c r="E2030" s="7" t="str">
        <x:v>BLD-C</x:v>
      </x:c>
      <x:c r="F2030" s="7" t="str">
        <x:v>BL-X</x:v>
      </x:c>
      <x:c r="G2030" s="7" t="str">
        <x:v>MF-02</x:v>
      </x:c>
      <x:c r="H2030" s="7" t="str"/>
      <x:c r="I2030" s="7" t="str"/>
      <x:c r="J2030" s="7" t="str">
        <x:f>IF(OR(H2030="",I2030=""),"",I2030-H2030)</x:f>
      </x:c>
      <x:c r="K2030" s="7" t="str"/>
      <x:c r="L2030" s="7" t="str"/>
      <x:c r="M2030" s="7" t="str">
        <x:f>IF(L2030="","OPEN",IF(OR(NOT(ISNUMBER(H2030)),NOT(ISNUMBER(I2030)),NOT(ISNUMBER(K2030)),ABS(J2030)&gt;K2030),"FAIL","PASS"))</x:f>
        <x:v>OPEN</x:v>
      </x:c>
    </x:row>
    <x:row r="2031">
      <x:c r="B2031" s="7" t="str">
        <x:v>CAL-CH-PEA-C-X3-02-3</x:v>
      </x:c>
      <x:c r="C2031" s="7" t="str">
        <x:v>CH-PEA-C-X3-02-3</x:v>
      </x:c>
      <x:c r="D2031" s="7" t="str">
        <x:v>PEA-C-X3</x:v>
      </x:c>
      <x:c r="E2031" s="7" t="str">
        <x:v>BLD-C</x:v>
      </x:c>
      <x:c r="F2031" s="7" t="str">
        <x:v>BL-X</x:v>
      </x:c>
      <x:c r="G2031" s="7" t="str">
        <x:v>MF-02</x:v>
      </x:c>
      <x:c r="H2031" s="7" t="str"/>
      <x:c r="I2031" s="7" t="str"/>
      <x:c r="J2031" s="7" t="str">
        <x:f>IF(OR(H2031="",I2031=""),"",I2031-H2031)</x:f>
      </x:c>
      <x:c r="K2031" s="7" t="str"/>
      <x:c r="L2031" s="7" t="str"/>
      <x:c r="M2031" s="7" t="str">
        <x:f>IF(L2031="","OPEN",IF(OR(NOT(ISNUMBER(H2031)),NOT(ISNUMBER(I2031)),NOT(ISNUMBER(K2031)),ABS(J2031)&gt;K2031),"FAIL","PASS"))</x:f>
        <x:v>OPEN</x:v>
      </x:c>
    </x:row>
    <x:row r="2032">
      <x:c r="B2032" s="7" t="str">
        <x:v>CAL-CH-PEA-C-X3-02-4</x:v>
      </x:c>
      <x:c r="C2032" s="7" t="str">
        <x:v>CH-PEA-C-X3-02-4</x:v>
      </x:c>
      <x:c r="D2032" s="7" t="str">
        <x:v>PEA-C-X3</x:v>
      </x:c>
      <x:c r="E2032" s="7" t="str">
        <x:v>BLD-C</x:v>
      </x:c>
      <x:c r="F2032" s="7" t="str">
        <x:v>BL-X</x:v>
      </x:c>
      <x:c r="G2032" s="7" t="str">
        <x:v>MF-02</x:v>
      </x:c>
      <x:c r="H2032" s="7" t="str"/>
      <x:c r="I2032" s="7" t="str"/>
      <x:c r="J2032" s="7" t="str">
        <x:f>IF(OR(H2032="",I2032=""),"",I2032-H2032)</x:f>
      </x:c>
      <x:c r="K2032" s="7" t="str"/>
      <x:c r="L2032" s="7" t="str"/>
      <x:c r="M2032" s="7" t="str">
        <x:f>IF(L2032="","OPEN",IF(OR(NOT(ISNUMBER(H2032)),NOT(ISNUMBER(I2032)),NOT(ISNUMBER(K2032)),ABS(J2032)&gt;K2032),"FAIL","PASS"))</x:f>
        <x:v>OPEN</x:v>
      </x:c>
    </x:row>
    <x:row r="2033">
      <x:c r="B2033" s="7" t="str">
        <x:v>CAL-CH-PEA-C-X3-02-5</x:v>
      </x:c>
      <x:c r="C2033" s="7" t="str">
        <x:v>CH-PEA-C-X3-02-5</x:v>
      </x:c>
      <x:c r="D2033" s="7" t="str">
        <x:v>PEA-C-X3</x:v>
      </x:c>
      <x:c r="E2033" s="7" t="str">
        <x:v>BLD-C</x:v>
      </x:c>
      <x:c r="F2033" s="7" t="str">
        <x:v>BL-X</x:v>
      </x:c>
      <x:c r="G2033" s="7" t="str">
        <x:v>MF-02</x:v>
      </x:c>
      <x:c r="H2033" s="7" t="str"/>
      <x:c r="I2033" s="7" t="str"/>
      <x:c r="J2033" s="7" t="str">
        <x:f>IF(OR(H2033="",I2033=""),"",I2033-H2033)</x:f>
      </x:c>
      <x:c r="K2033" s="7" t="str"/>
      <x:c r="L2033" s="7" t="str"/>
      <x:c r="M2033" s="7" t="str">
        <x:f>IF(L2033="","OPEN",IF(OR(NOT(ISNUMBER(H2033)),NOT(ISNUMBER(I2033)),NOT(ISNUMBER(K2033)),ABS(J2033)&gt;K2033),"FAIL","PASS"))</x:f>
        <x:v>OPEN</x:v>
      </x:c>
    </x:row>
    <x:row r="2034">
      <x:c r="B2034" s="7" t="str">
        <x:v>CAL-CH-PEA-C-X3-02-6</x:v>
      </x:c>
      <x:c r="C2034" s="7" t="str">
        <x:v>CH-PEA-C-X3-02-6</x:v>
      </x:c>
      <x:c r="D2034" s="7" t="str">
        <x:v>PEA-C-X3</x:v>
      </x:c>
      <x:c r="E2034" s="7" t="str">
        <x:v>BLD-C</x:v>
      </x:c>
      <x:c r="F2034" s="7" t="str">
        <x:v>BL-X</x:v>
      </x:c>
      <x:c r="G2034" s="7" t="str">
        <x:v>MF-02</x:v>
      </x:c>
      <x:c r="H2034" s="7" t="str"/>
      <x:c r="I2034" s="7" t="str"/>
      <x:c r="J2034" s="7" t="str">
        <x:f>IF(OR(H2034="",I2034=""),"",I2034-H2034)</x:f>
      </x:c>
      <x:c r="K2034" s="7" t="str"/>
      <x:c r="L2034" s="7" t="str"/>
      <x:c r="M2034" s="7" t="str">
        <x:f>IF(L2034="","OPEN",IF(OR(NOT(ISNUMBER(H2034)),NOT(ISNUMBER(I2034)),NOT(ISNUMBER(K2034)),ABS(J2034)&gt;K2034),"FAIL","PASS"))</x:f>
        <x:v>OPEN</x:v>
      </x:c>
    </x:row>
    <x:row r="2035">
      <x:c r="B2035" s="7" t="str">
        <x:v>CAL-CH-PEA-C-X3-03-1</x:v>
      </x:c>
      <x:c r="C2035" s="7" t="str">
        <x:v>CH-PEA-C-X3-03-1</x:v>
      </x:c>
      <x:c r="D2035" s="7" t="str">
        <x:v>PEA-C-X3</x:v>
      </x:c>
      <x:c r="E2035" s="7" t="str">
        <x:v>BLD-C</x:v>
      </x:c>
      <x:c r="F2035" s="7" t="str">
        <x:v>BL-X</x:v>
      </x:c>
      <x:c r="G2035" s="7" t="str">
        <x:v>MF-03</x:v>
      </x:c>
      <x:c r="H2035" s="7" t="str"/>
      <x:c r="I2035" s="7" t="str"/>
      <x:c r="J2035" s="7" t="str">
        <x:f>IF(OR(H2035="",I2035=""),"",I2035-H2035)</x:f>
      </x:c>
      <x:c r="K2035" s="7" t="str"/>
      <x:c r="L2035" s="7" t="str"/>
      <x:c r="M2035" s="7" t="str">
        <x:f>IF(L2035="","OPEN",IF(OR(NOT(ISNUMBER(H2035)),NOT(ISNUMBER(I2035)),NOT(ISNUMBER(K2035)),ABS(J2035)&gt;K2035),"FAIL","PASS"))</x:f>
        <x:v>OPEN</x:v>
      </x:c>
    </x:row>
    <x:row r="2036">
      <x:c r="B2036" s="7" t="str">
        <x:v>CAL-CH-PEA-C-X3-03-2</x:v>
      </x:c>
      <x:c r="C2036" s="7" t="str">
        <x:v>CH-PEA-C-X3-03-2</x:v>
      </x:c>
      <x:c r="D2036" s="7" t="str">
        <x:v>PEA-C-X3</x:v>
      </x:c>
      <x:c r="E2036" s="7" t="str">
        <x:v>BLD-C</x:v>
      </x:c>
      <x:c r="F2036" s="7" t="str">
        <x:v>BL-X</x:v>
      </x:c>
      <x:c r="G2036" s="7" t="str">
        <x:v>MF-03</x:v>
      </x:c>
      <x:c r="H2036" s="7" t="str"/>
      <x:c r="I2036" s="7" t="str"/>
      <x:c r="J2036" s="7" t="str">
        <x:f>IF(OR(H2036="",I2036=""),"",I2036-H2036)</x:f>
      </x:c>
      <x:c r="K2036" s="7" t="str"/>
      <x:c r="L2036" s="7" t="str"/>
      <x:c r="M2036" s="7" t="str">
        <x:f>IF(L2036="","OPEN",IF(OR(NOT(ISNUMBER(H2036)),NOT(ISNUMBER(I2036)),NOT(ISNUMBER(K2036)),ABS(J2036)&gt;K2036),"FAIL","PASS"))</x:f>
        <x:v>OPEN</x:v>
      </x:c>
    </x:row>
    <x:row r="2037">
      <x:c r="B2037" s="7" t="str">
        <x:v>CAL-CH-PEA-C-X3-03-3</x:v>
      </x:c>
      <x:c r="C2037" s="7" t="str">
        <x:v>CH-PEA-C-X3-03-3</x:v>
      </x:c>
      <x:c r="D2037" s="7" t="str">
        <x:v>PEA-C-X3</x:v>
      </x:c>
      <x:c r="E2037" s="7" t="str">
        <x:v>BLD-C</x:v>
      </x:c>
      <x:c r="F2037" s="7" t="str">
        <x:v>BL-X</x:v>
      </x:c>
      <x:c r="G2037" s="7" t="str">
        <x:v>MF-03</x:v>
      </x:c>
      <x:c r="H2037" s="7" t="str"/>
      <x:c r="I2037" s="7" t="str"/>
      <x:c r="J2037" s="7" t="str">
        <x:f>IF(OR(H2037="",I2037=""),"",I2037-H2037)</x:f>
      </x:c>
      <x:c r="K2037" s="7" t="str"/>
      <x:c r="L2037" s="7" t="str"/>
      <x:c r="M2037" s="7" t="str">
        <x:f>IF(L2037="","OPEN",IF(OR(NOT(ISNUMBER(H2037)),NOT(ISNUMBER(I2037)),NOT(ISNUMBER(K2037)),ABS(J2037)&gt;K2037),"FAIL","PASS"))</x:f>
        <x:v>OPEN</x:v>
      </x:c>
    </x:row>
    <x:row r="2038">
      <x:c r="B2038" s="7" t="str">
        <x:v>CAL-CH-PEA-C-X3-03-4</x:v>
      </x:c>
      <x:c r="C2038" s="7" t="str">
        <x:v>CH-PEA-C-X3-03-4</x:v>
      </x:c>
      <x:c r="D2038" s="7" t="str">
        <x:v>PEA-C-X3</x:v>
      </x:c>
      <x:c r="E2038" s="7" t="str">
        <x:v>BLD-C</x:v>
      </x:c>
      <x:c r="F2038" s="7" t="str">
        <x:v>BL-X</x:v>
      </x:c>
      <x:c r="G2038" s="7" t="str">
        <x:v>MF-03</x:v>
      </x:c>
      <x:c r="H2038" s="7" t="str"/>
      <x:c r="I2038" s="7" t="str"/>
      <x:c r="J2038" s="7" t="str">
        <x:f>IF(OR(H2038="",I2038=""),"",I2038-H2038)</x:f>
      </x:c>
      <x:c r="K2038" s="7" t="str"/>
      <x:c r="L2038" s="7" t="str"/>
      <x:c r="M2038" s="7" t="str">
        <x:f>IF(L2038="","OPEN",IF(OR(NOT(ISNUMBER(H2038)),NOT(ISNUMBER(I2038)),NOT(ISNUMBER(K2038)),ABS(J2038)&gt;K2038),"FAIL","PASS"))</x:f>
        <x:v>OPEN</x:v>
      </x:c>
    </x:row>
    <x:row r="2039">
      <x:c r="B2039" s="7" t="str">
        <x:v>CAL-CH-PEA-C-X3-03-5</x:v>
      </x:c>
      <x:c r="C2039" s="7" t="str">
        <x:v>CH-PEA-C-X3-03-5</x:v>
      </x:c>
      <x:c r="D2039" s="7" t="str">
        <x:v>PEA-C-X3</x:v>
      </x:c>
      <x:c r="E2039" s="7" t="str">
        <x:v>BLD-C</x:v>
      </x:c>
      <x:c r="F2039" s="7" t="str">
        <x:v>BL-X</x:v>
      </x:c>
      <x:c r="G2039" s="7" t="str">
        <x:v>MF-03</x:v>
      </x:c>
      <x:c r="H2039" s="7" t="str"/>
      <x:c r="I2039" s="7" t="str"/>
      <x:c r="J2039" s="7" t="str">
        <x:f>IF(OR(H2039="",I2039=""),"",I2039-H2039)</x:f>
      </x:c>
      <x:c r="K2039" s="7" t="str"/>
      <x:c r="L2039" s="7" t="str"/>
      <x:c r="M2039" s="7" t="str">
        <x:f>IF(L2039="","OPEN",IF(OR(NOT(ISNUMBER(H2039)),NOT(ISNUMBER(I2039)),NOT(ISNUMBER(K2039)),ABS(J2039)&gt;K2039),"FAIL","PASS"))</x:f>
        <x:v>OPEN</x:v>
      </x:c>
    </x:row>
    <x:row r="2040">
      <x:c r="B2040" s="7" t="str">
        <x:v>CAL-CH-PEA-C-X3-03-6</x:v>
      </x:c>
      <x:c r="C2040" s="7" t="str">
        <x:v>CH-PEA-C-X3-03-6</x:v>
      </x:c>
      <x:c r="D2040" s="7" t="str">
        <x:v>PEA-C-X3</x:v>
      </x:c>
      <x:c r="E2040" s="7" t="str">
        <x:v>BLD-C</x:v>
      </x:c>
      <x:c r="F2040" s="7" t="str">
        <x:v>BL-X</x:v>
      </x:c>
      <x:c r="G2040" s="7" t="str">
        <x:v>MF-03</x:v>
      </x:c>
      <x:c r="H2040" s="7" t="str"/>
      <x:c r="I2040" s="7" t="str"/>
      <x:c r="J2040" s="7" t="str">
        <x:f>IF(OR(H2040="",I2040=""),"",I2040-H2040)</x:f>
      </x:c>
      <x:c r="K2040" s="7" t="str"/>
      <x:c r="L2040" s="7" t="str"/>
      <x:c r="M2040" s="7" t="str">
        <x:f>IF(L2040="","OPEN",IF(OR(NOT(ISNUMBER(H2040)),NOT(ISNUMBER(I2040)),NOT(ISNUMBER(K2040)),ABS(J2040)&gt;K2040),"FAIL","PASS"))</x:f>
        <x:v>OPEN</x:v>
      </x:c>
    </x:row>
    <x:row r="2041">
      <x:c r="B2041" s="7" t="str">
        <x:v>CAL-CH-PEA-C-X3-04-1</x:v>
      </x:c>
      <x:c r="C2041" s="7" t="str">
        <x:v>CH-PEA-C-X3-04-1</x:v>
      </x:c>
      <x:c r="D2041" s="7" t="str">
        <x:v>PEA-C-X3</x:v>
      </x:c>
      <x:c r="E2041" s="7" t="str">
        <x:v>BLD-C</x:v>
      </x:c>
      <x:c r="F2041" s="7" t="str">
        <x:v>BL-X</x:v>
      </x:c>
      <x:c r="G2041" s="7" t="str">
        <x:v>MF-04</x:v>
      </x:c>
      <x:c r="H2041" s="7" t="str"/>
      <x:c r="I2041" s="7" t="str"/>
      <x:c r="J2041" s="7" t="str">
        <x:f>IF(OR(H2041="",I2041=""),"",I2041-H2041)</x:f>
      </x:c>
      <x:c r="K2041" s="7" t="str"/>
      <x:c r="L2041" s="7" t="str"/>
      <x:c r="M2041" s="7" t="str">
        <x:f>IF(L2041="","OPEN",IF(OR(NOT(ISNUMBER(H2041)),NOT(ISNUMBER(I2041)),NOT(ISNUMBER(K2041)),ABS(J2041)&gt;K2041),"FAIL","PASS"))</x:f>
        <x:v>OPEN</x:v>
      </x:c>
    </x:row>
    <x:row r="2042">
      <x:c r="B2042" s="7" t="str">
        <x:v>CAL-CH-PEA-C-X3-04-2</x:v>
      </x:c>
      <x:c r="C2042" s="7" t="str">
        <x:v>CH-PEA-C-X3-04-2</x:v>
      </x:c>
      <x:c r="D2042" s="7" t="str">
        <x:v>PEA-C-X3</x:v>
      </x:c>
      <x:c r="E2042" s="7" t="str">
        <x:v>BLD-C</x:v>
      </x:c>
      <x:c r="F2042" s="7" t="str">
        <x:v>BL-X</x:v>
      </x:c>
      <x:c r="G2042" s="7" t="str">
        <x:v>MF-04</x:v>
      </x:c>
      <x:c r="H2042" s="7" t="str"/>
      <x:c r="I2042" s="7" t="str"/>
      <x:c r="J2042" s="7" t="str">
        <x:f>IF(OR(H2042="",I2042=""),"",I2042-H2042)</x:f>
      </x:c>
      <x:c r="K2042" s="7" t="str"/>
      <x:c r="L2042" s="7" t="str"/>
      <x:c r="M2042" s="7" t="str">
        <x:f>IF(L2042="","OPEN",IF(OR(NOT(ISNUMBER(H2042)),NOT(ISNUMBER(I2042)),NOT(ISNUMBER(K2042)),ABS(J2042)&gt;K2042),"FAIL","PASS"))</x:f>
        <x:v>OPEN</x:v>
      </x:c>
    </x:row>
    <x:row r="2043">
      <x:c r="B2043" s="7" t="str">
        <x:v>CAL-CH-PEA-C-X3-04-3</x:v>
      </x:c>
      <x:c r="C2043" s="7" t="str">
        <x:v>CH-PEA-C-X3-04-3</x:v>
      </x:c>
      <x:c r="D2043" s="7" t="str">
        <x:v>PEA-C-X3</x:v>
      </x:c>
      <x:c r="E2043" s="7" t="str">
        <x:v>BLD-C</x:v>
      </x:c>
      <x:c r="F2043" s="7" t="str">
        <x:v>BL-X</x:v>
      </x:c>
      <x:c r="G2043" s="7" t="str">
        <x:v>MF-04</x:v>
      </x:c>
      <x:c r="H2043" s="7" t="str"/>
      <x:c r="I2043" s="7" t="str"/>
      <x:c r="J2043" s="7" t="str">
        <x:f>IF(OR(H2043="",I2043=""),"",I2043-H2043)</x:f>
      </x:c>
      <x:c r="K2043" s="7" t="str"/>
      <x:c r="L2043" s="7" t="str"/>
      <x:c r="M2043" s="7" t="str">
        <x:f>IF(L2043="","OPEN",IF(OR(NOT(ISNUMBER(H2043)),NOT(ISNUMBER(I2043)),NOT(ISNUMBER(K2043)),ABS(J2043)&gt;K2043),"FAIL","PASS"))</x:f>
        <x:v>OPEN</x:v>
      </x:c>
    </x:row>
    <x:row r="2044">
      <x:c r="B2044" s="7" t="str">
        <x:v>CAL-CH-PEA-C-X3-04-4</x:v>
      </x:c>
      <x:c r="C2044" s="7" t="str">
        <x:v>CH-PEA-C-X3-04-4</x:v>
      </x:c>
      <x:c r="D2044" s="7" t="str">
        <x:v>PEA-C-X3</x:v>
      </x:c>
      <x:c r="E2044" s="7" t="str">
        <x:v>BLD-C</x:v>
      </x:c>
      <x:c r="F2044" s="7" t="str">
        <x:v>BL-X</x:v>
      </x:c>
      <x:c r="G2044" s="7" t="str">
        <x:v>MF-04</x:v>
      </x:c>
      <x:c r="H2044" s="7" t="str"/>
      <x:c r="I2044" s="7" t="str"/>
      <x:c r="J2044" s="7" t="str">
        <x:f>IF(OR(H2044="",I2044=""),"",I2044-H2044)</x:f>
      </x:c>
      <x:c r="K2044" s="7" t="str"/>
      <x:c r="L2044" s="7" t="str"/>
      <x:c r="M2044" s="7" t="str">
        <x:f>IF(L2044="","OPEN",IF(OR(NOT(ISNUMBER(H2044)),NOT(ISNUMBER(I2044)),NOT(ISNUMBER(K2044)),ABS(J2044)&gt;K2044),"FAIL","PASS"))</x:f>
        <x:v>OPEN</x:v>
      </x:c>
    </x:row>
    <x:row r="2045">
      <x:c r="B2045" s="7" t="str">
        <x:v>CAL-CH-PEA-C-X3-04-5</x:v>
      </x:c>
      <x:c r="C2045" s="7" t="str">
        <x:v>CH-PEA-C-X3-04-5</x:v>
      </x:c>
      <x:c r="D2045" s="7" t="str">
        <x:v>PEA-C-X3</x:v>
      </x:c>
      <x:c r="E2045" s="7" t="str">
        <x:v>BLD-C</x:v>
      </x:c>
      <x:c r="F2045" s="7" t="str">
        <x:v>BL-X</x:v>
      </x:c>
      <x:c r="G2045" s="7" t="str">
        <x:v>MF-04</x:v>
      </x:c>
      <x:c r="H2045" s="7" t="str"/>
      <x:c r="I2045" s="7" t="str"/>
      <x:c r="J2045" s="7" t="str">
        <x:f>IF(OR(H2045="",I2045=""),"",I2045-H2045)</x:f>
      </x:c>
      <x:c r="K2045" s="7" t="str"/>
      <x:c r="L2045" s="7" t="str"/>
      <x:c r="M2045" s="7" t="str">
        <x:f>IF(L2045="","OPEN",IF(OR(NOT(ISNUMBER(H2045)),NOT(ISNUMBER(I2045)),NOT(ISNUMBER(K2045)),ABS(J2045)&gt;K2045),"FAIL","PASS"))</x:f>
        <x:v>OPEN</x:v>
      </x:c>
    </x:row>
    <x:row r="2046">
      <x:c r="B2046" s="7" t="str">
        <x:v>CAL-CH-PEA-C-X3-04-6</x:v>
      </x:c>
      <x:c r="C2046" s="7" t="str">
        <x:v>CH-PEA-C-X3-04-6</x:v>
      </x:c>
      <x:c r="D2046" s="7" t="str">
        <x:v>PEA-C-X3</x:v>
      </x:c>
      <x:c r="E2046" s="7" t="str">
        <x:v>BLD-C</x:v>
      </x:c>
      <x:c r="F2046" s="7" t="str">
        <x:v>BL-X</x:v>
      </x:c>
      <x:c r="G2046" s="7" t="str">
        <x:v>MF-04</x:v>
      </x:c>
      <x:c r="H2046" s="7" t="str"/>
      <x:c r="I2046" s="7" t="str"/>
      <x:c r="J2046" s="7" t="str">
        <x:f>IF(OR(H2046="",I2046=""),"",I2046-H2046)</x:f>
      </x:c>
      <x:c r="K2046" s="7" t="str"/>
      <x:c r="L2046" s="7" t="str"/>
      <x:c r="M2046" s="7" t="str">
        <x:f>IF(L2046="","OPEN",IF(OR(NOT(ISNUMBER(H2046)),NOT(ISNUMBER(I2046)),NOT(ISNUMBER(K2046)),ABS(J2046)&gt;K2046),"FAIL","PASS"))</x:f>
        <x:v>OPEN</x:v>
      </x:c>
    </x:row>
    <x:row r="2047">
      <x:c r="B2047" s="7" t="str">
        <x:v>CAL-CH-PEA-C-X3-05-1</x:v>
      </x:c>
      <x:c r="C2047" s="7" t="str">
        <x:v>CH-PEA-C-X3-05-1</x:v>
      </x:c>
      <x:c r="D2047" s="7" t="str">
        <x:v>PEA-C-X3</x:v>
      </x:c>
      <x:c r="E2047" s="7" t="str">
        <x:v>BLD-C</x:v>
      </x:c>
      <x:c r="F2047" s="7" t="str">
        <x:v>BL-X</x:v>
      </x:c>
      <x:c r="G2047" s="7" t="str">
        <x:v>MF-05</x:v>
      </x:c>
      <x:c r="H2047" s="7" t="str"/>
      <x:c r="I2047" s="7" t="str"/>
      <x:c r="J2047" s="7" t="str">
        <x:f>IF(OR(H2047="",I2047=""),"",I2047-H2047)</x:f>
      </x:c>
      <x:c r="K2047" s="7" t="str"/>
      <x:c r="L2047" s="7" t="str"/>
      <x:c r="M2047" s="7" t="str">
        <x:f>IF(L2047="","OPEN",IF(OR(NOT(ISNUMBER(H2047)),NOT(ISNUMBER(I2047)),NOT(ISNUMBER(K2047)),ABS(J2047)&gt;K2047),"FAIL","PASS"))</x:f>
        <x:v>OPEN</x:v>
      </x:c>
    </x:row>
    <x:row r="2048">
      <x:c r="B2048" s="7" t="str">
        <x:v>CAL-CH-PEA-C-X3-05-2</x:v>
      </x:c>
      <x:c r="C2048" s="7" t="str">
        <x:v>CH-PEA-C-X3-05-2</x:v>
      </x:c>
      <x:c r="D2048" s="7" t="str">
        <x:v>PEA-C-X3</x:v>
      </x:c>
      <x:c r="E2048" s="7" t="str">
        <x:v>BLD-C</x:v>
      </x:c>
      <x:c r="F2048" s="7" t="str">
        <x:v>BL-X</x:v>
      </x:c>
      <x:c r="G2048" s="7" t="str">
        <x:v>MF-05</x:v>
      </x:c>
      <x:c r="H2048" s="7" t="str"/>
      <x:c r="I2048" s="7" t="str"/>
      <x:c r="J2048" s="7" t="str">
        <x:f>IF(OR(H2048="",I2048=""),"",I2048-H2048)</x:f>
      </x:c>
      <x:c r="K2048" s="7" t="str"/>
      <x:c r="L2048" s="7" t="str"/>
      <x:c r="M2048" s="7" t="str">
        <x:f>IF(L2048="","OPEN",IF(OR(NOT(ISNUMBER(H2048)),NOT(ISNUMBER(I2048)),NOT(ISNUMBER(K2048)),ABS(J2048)&gt;K2048),"FAIL","PASS"))</x:f>
        <x:v>OPEN</x:v>
      </x:c>
    </x:row>
    <x:row r="2049">
      <x:c r="B2049" s="7" t="str">
        <x:v>CAL-CH-PEA-C-X3-05-3</x:v>
      </x:c>
      <x:c r="C2049" s="7" t="str">
        <x:v>CH-PEA-C-X3-05-3</x:v>
      </x:c>
      <x:c r="D2049" s="7" t="str">
        <x:v>PEA-C-X3</x:v>
      </x:c>
      <x:c r="E2049" s="7" t="str">
        <x:v>BLD-C</x:v>
      </x:c>
      <x:c r="F2049" s="7" t="str">
        <x:v>BL-X</x:v>
      </x:c>
      <x:c r="G2049" s="7" t="str">
        <x:v>MF-05</x:v>
      </x:c>
      <x:c r="H2049" s="7" t="str"/>
      <x:c r="I2049" s="7" t="str"/>
      <x:c r="J2049" s="7" t="str">
        <x:f>IF(OR(H2049="",I2049=""),"",I2049-H2049)</x:f>
      </x:c>
      <x:c r="K2049" s="7" t="str"/>
      <x:c r="L2049" s="7" t="str"/>
      <x:c r="M2049" s="7" t="str">
        <x:f>IF(L2049="","OPEN",IF(OR(NOT(ISNUMBER(H2049)),NOT(ISNUMBER(I2049)),NOT(ISNUMBER(K2049)),ABS(J2049)&gt;K2049),"FAIL","PASS"))</x:f>
        <x:v>OPEN</x:v>
      </x:c>
    </x:row>
    <x:row r="2050">
      <x:c r="B2050" s="7" t="str">
        <x:v>CAL-CH-PEA-C-X3-05-4</x:v>
      </x:c>
      <x:c r="C2050" s="7" t="str">
        <x:v>CH-PEA-C-X3-05-4</x:v>
      </x:c>
      <x:c r="D2050" s="7" t="str">
        <x:v>PEA-C-X3</x:v>
      </x:c>
      <x:c r="E2050" s="7" t="str">
        <x:v>BLD-C</x:v>
      </x:c>
      <x:c r="F2050" s="7" t="str">
        <x:v>BL-X</x:v>
      </x:c>
      <x:c r="G2050" s="7" t="str">
        <x:v>MF-05</x:v>
      </x:c>
      <x:c r="H2050" s="7" t="str"/>
      <x:c r="I2050" s="7" t="str"/>
      <x:c r="J2050" s="7" t="str">
        <x:f>IF(OR(H2050="",I2050=""),"",I2050-H2050)</x:f>
      </x:c>
      <x:c r="K2050" s="7" t="str"/>
      <x:c r="L2050" s="7" t="str"/>
      <x:c r="M2050" s="7" t="str">
        <x:f>IF(L2050="","OPEN",IF(OR(NOT(ISNUMBER(H2050)),NOT(ISNUMBER(I2050)),NOT(ISNUMBER(K2050)),ABS(J2050)&gt;K2050),"FAIL","PASS"))</x:f>
        <x:v>OPEN</x:v>
      </x:c>
    </x:row>
    <x:row r="2051">
      <x:c r="B2051" s="7" t="str">
        <x:v>CAL-CH-PEA-C-X3-05-5</x:v>
      </x:c>
      <x:c r="C2051" s="7" t="str">
        <x:v>CH-PEA-C-X3-05-5</x:v>
      </x:c>
      <x:c r="D2051" s="7" t="str">
        <x:v>PEA-C-X3</x:v>
      </x:c>
      <x:c r="E2051" s="7" t="str">
        <x:v>BLD-C</x:v>
      </x:c>
      <x:c r="F2051" s="7" t="str">
        <x:v>BL-X</x:v>
      </x:c>
      <x:c r="G2051" s="7" t="str">
        <x:v>MF-05</x:v>
      </x:c>
      <x:c r="H2051" s="7" t="str"/>
      <x:c r="I2051" s="7" t="str"/>
      <x:c r="J2051" s="7" t="str">
        <x:f>IF(OR(H2051="",I2051=""),"",I2051-H2051)</x:f>
      </x:c>
      <x:c r="K2051" s="7" t="str"/>
      <x:c r="L2051" s="7" t="str"/>
      <x:c r="M2051" s="7" t="str">
        <x:f>IF(L2051="","OPEN",IF(OR(NOT(ISNUMBER(H2051)),NOT(ISNUMBER(I2051)),NOT(ISNUMBER(K2051)),ABS(J2051)&gt;K2051),"FAIL","PASS"))</x:f>
        <x:v>OPEN</x:v>
      </x:c>
    </x:row>
    <x:row r="2052">
      <x:c r="B2052" s="7" t="str">
        <x:v>CAL-CH-PEA-C-X3-05-6</x:v>
      </x:c>
      <x:c r="C2052" s="7" t="str">
        <x:v>CH-PEA-C-X3-05-6</x:v>
      </x:c>
      <x:c r="D2052" s="7" t="str">
        <x:v>PEA-C-X3</x:v>
      </x:c>
      <x:c r="E2052" s="7" t="str">
        <x:v>BLD-C</x:v>
      </x:c>
      <x:c r="F2052" s="7" t="str">
        <x:v>BL-X</x:v>
      </x:c>
      <x:c r="G2052" s="7" t="str">
        <x:v>MF-05</x:v>
      </x:c>
      <x:c r="H2052" s="7" t="str"/>
      <x:c r="I2052" s="7" t="str"/>
      <x:c r="J2052" s="7" t="str">
        <x:f>IF(OR(H2052="",I2052=""),"",I2052-H2052)</x:f>
      </x:c>
      <x:c r="K2052" s="7" t="str"/>
      <x:c r="L2052" s="7" t="str"/>
      <x:c r="M2052" s="7" t="str">
        <x:f>IF(L2052="","OPEN",IF(OR(NOT(ISNUMBER(H2052)),NOT(ISNUMBER(I2052)),NOT(ISNUMBER(K2052)),ABS(J2052)&gt;K2052),"FAIL","PASS"))</x:f>
        <x:v>OPEN</x:v>
      </x:c>
    </x:row>
    <x:row r="2053">
      <x:c r="B2053" s="7" t="str">
        <x:v>CAL-CH-PEA-C-X3-06-1</x:v>
      </x:c>
      <x:c r="C2053" s="7" t="str">
        <x:v>CH-PEA-C-X3-06-1</x:v>
      </x:c>
      <x:c r="D2053" s="7" t="str">
        <x:v>PEA-C-X3</x:v>
      </x:c>
      <x:c r="E2053" s="7" t="str">
        <x:v>BLD-C</x:v>
      </x:c>
      <x:c r="F2053" s="7" t="str">
        <x:v>BL-X</x:v>
      </x:c>
      <x:c r="G2053" s="7" t="str">
        <x:v>MF-06</x:v>
      </x:c>
      <x:c r="H2053" s="7" t="str"/>
      <x:c r="I2053" s="7" t="str"/>
      <x:c r="J2053" s="7" t="str">
        <x:f>IF(OR(H2053="",I2053=""),"",I2053-H2053)</x:f>
      </x:c>
      <x:c r="K2053" s="7" t="str"/>
      <x:c r="L2053" s="7" t="str"/>
      <x:c r="M2053" s="7" t="str">
        <x:f>IF(L2053="","OPEN",IF(OR(NOT(ISNUMBER(H2053)),NOT(ISNUMBER(I2053)),NOT(ISNUMBER(K2053)),ABS(J2053)&gt;K2053),"FAIL","PASS"))</x:f>
        <x:v>OPEN</x:v>
      </x:c>
    </x:row>
    <x:row r="2054">
      <x:c r="B2054" s="7" t="str">
        <x:v>CAL-CH-PEA-C-X3-06-2</x:v>
      </x:c>
      <x:c r="C2054" s="7" t="str">
        <x:v>CH-PEA-C-X3-06-2</x:v>
      </x:c>
      <x:c r="D2054" s="7" t="str">
        <x:v>PEA-C-X3</x:v>
      </x:c>
      <x:c r="E2054" s="7" t="str">
        <x:v>BLD-C</x:v>
      </x:c>
      <x:c r="F2054" s="7" t="str">
        <x:v>BL-X</x:v>
      </x:c>
      <x:c r="G2054" s="7" t="str">
        <x:v>MF-06</x:v>
      </x:c>
      <x:c r="H2054" s="7" t="str"/>
      <x:c r="I2054" s="7" t="str"/>
      <x:c r="J2054" s="7" t="str">
        <x:f>IF(OR(H2054="",I2054=""),"",I2054-H2054)</x:f>
      </x:c>
      <x:c r="K2054" s="7" t="str"/>
      <x:c r="L2054" s="7" t="str"/>
      <x:c r="M2054" s="7" t="str">
        <x:f>IF(L2054="","OPEN",IF(OR(NOT(ISNUMBER(H2054)),NOT(ISNUMBER(I2054)),NOT(ISNUMBER(K2054)),ABS(J2054)&gt;K2054),"FAIL","PASS"))</x:f>
        <x:v>OPEN</x:v>
      </x:c>
    </x:row>
    <x:row r="2055">
      <x:c r="B2055" s="7" t="str">
        <x:v>CAL-CH-PEA-C-X3-06-3</x:v>
      </x:c>
      <x:c r="C2055" s="7" t="str">
        <x:v>CH-PEA-C-X3-06-3</x:v>
      </x:c>
      <x:c r="D2055" s="7" t="str">
        <x:v>PEA-C-X3</x:v>
      </x:c>
      <x:c r="E2055" s="7" t="str">
        <x:v>BLD-C</x:v>
      </x:c>
      <x:c r="F2055" s="7" t="str">
        <x:v>BL-X</x:v>
      </x:c>
      <x:c r="G2055" s="7" t="str">
        <x:v>MF-06</x:v>
      </x:c>
      <x:c r="H2055" s="7" t="str"/>
      <x:c r="I2055" s="7" t="str"/>
      <x:c r="J2055" s="7" t="str">
        <x:f>IF(OR(H2055="",I2055=""),"",I2055-H2055)</x:f>
      </x:c>
      <x:c r="K2055" s="7" t="str"/>
      <x:c r="L2055" s="7" t="str"/>
      <x:c r="M2055" s="7" t="str">
        <x:f>IF(L2055="","OPEN",IF(OR(NOT(ISNUMBER(H2055)),NOT(ISNUMBER(I2055)),NOT(ISNUMBER(K2055)),ABS(J2055)&gt;K2055),"FAIL","PASS"))</x:f>
        <x:v>OPEN</x:v>
      </x:c>
    </x:row>
    <x:row r="2056">
      <x:c r="B2056" s="7" t="str">
        <x:v>CAL-CH-PEA-C-X3-06-4</x:v>
      </x:c>
      <x:c r="C2056" s="7" t="str">
        <x:v>CH-PEA-C-X3-06-4</x:v>
      </x:c>
      <x:c r="D2056" s="7" t="str">
        <x:v>PEA-C-X3</x:v>
      </x:c>
      <x:c r="E2056" s="7" t="str">
        <x:v>BLD-C</x:v>
      </x:c>
      <x:c r="F2056" s="7" t="str">
        <x:v>BL-X</x:v>
      </x:c>
      <x:c r="G2056" s="7" t="str">
        <x:v>MF-06</x:v>
      </x:c>
      <x:c r="H2056" s="7" t="str"/>
      <x:c r="I2056" s="7" t="str"/>
      <x:c r="J2056" s="7" t="str">
        <x:f>IF(OR(H2056="",I2056=""),"",I2056-H2056)</x:f>
      </x:c>
      <x:c r="K2056" s="7" t="str"/>
      <x:c r="L2056" s="7" t="str"/>
      <x:c r="M2056" s="7" t="str">
        <x:f>IF(L2056="","OPEN",IF(OR(NOT(ISNUMBER(H2056)),NOT(ISNUMBER(I2056)),NOT(ISNUMBER(K2056)),ABS(J2056)&gt;K2056),"FAIL","PASS"))</x:f>
        <x:v>OPEN</x:v>
      </x:c>
    </x:row>
    <x:row r="2057">
      <x:c r="B2057" s="7" t="str">
        <x:v>CAL-CH-PEA-C-X3-06-5</x:v>
      </x:c>
      <x:c r="C2057" s="7" t="str">
        <x:v>CH-PEA-C-X3-06-5</x:v>
      </x:c>
      <x:c r="D2057" s="7" t="str">
        <x:v>PEA-C-X3</x:v>
      </x:c>
      <x:c r="E2057" s="7" t="str">
        <x:v>BLD-C</x:v>
      </x:c>
      <x:c r="F2057" s="7" t="str">
        <x:v>BL-X</x:v>
      </x:c>
      <x:c r="G2057" s="7" t="str">
        <x:v>MF-06</x:v>
      </x:c>
      <x:c r="H2057" s="7" t="str"/>
      <x:c r="I2057" s="7" t="str"/>
      <x:c r="J2057" s="7" t="str">
        <x:f>IF(OR(H2057="",I2057=""),"",I2057-H2057)</x:f>
      </x:c>
      <x:c r="K2057" s="7" t="str"/>
      <x:c r="L2057" s="7" t="str"/>
      <x:c r="M2057" s="7" t="str">
        <x:f>IF(L2057="","OPEN",IF(OR(NOT(ISNUMBER(H2057)),NOT(ISNUMBER(I2057)),NOT(ISNUMBER(K2057)),ABS(J2057)&gt;K2057),"FAIL","PASS"))</x:f>
        <x:v>OPEN</x:v>
      </x:c>
    </x:row>
    <x:row r="2058">
      <x:c r="B2058" s="7" t="str">
        <x:v>CAL-CH-PEA-C-X3-06-6</x:v>
      </x:c>
      <x:c r="C2058" s="7" t="str">
        <x:v>CH-PEA-C-X3-06-6</x:v>
      </x:c>
      <x:c r="D2058" s="7" t="str">
        <x:v>PEA-C-X3</x:v>
      </x:c>
      <x:c r="E2058" s="7" t="str">
        <x:v>BLD-C</x:v>
      </x:c>
      <x:c r="F2058" s="7" t="str">
        <x:v>BL-X</x:v>
      </x:c>
      <x:c r="G2058" s="7" t="str">
        <x:v>MF-06</x:v>
      </x:c>
      <x:c r="H2058" s="7" t="str"/>
      <x:c r="I2058" s="7" t="str"/>
      <x:c r="J2058" s="7" t="str">
        <x:f>IF(OR(H2058="",I2058=""),"",I2058-H2058)</x:f>
      </x:c>
      <x:c r="K2058" s="7" t="str"/>
      <x:c r="L2058" s="7" t="str"/>
      <x:c r="M2058" s="7" t="str">
        <x:f>IF(L2058="","OPEN",IF(OR(NOT(ISNUMBER(H2058)),NOT(ISNUMBER(I2058)),NOT(ISNUMBER(K2058)),ABS(J2058)&gt;K2058),"FAIL","PASS"))</x:f>
        <x:v>OPEN</x:v>
      </x:c>
    </x:row>
    <x:row r="2059">
      <x:c r="B2059" s="7" t="str">
        <x:v>CAL-CH-PEA-C-X3-07-1</x:v>
      </x:c>
      <x:c r="C2059" s="7" t="str">
        <x:v>CH-PEA-C-X3-07-1</x:v>
      </x:c>
      <x:c r="D2059" s="7" t="str">
        <x:v>PEA-C-X3</x:v>
      </x:c>
      <x:c r="E2059" s="7" t="str">
        <x:v>BLD-C</x:v>
      </x:c>
      <x:c r="F2059" s="7" t="str">
        <x:v>BL-X</x:v>
      </x:c>
      <x:c r="G2059" s="7" t="str">
        <x:v>MF-07</x:v>
      </x:c>
      <x:c r="H2059" s="7" t="str"/>
      <x:c r="I2059" s="7" t="str"/>
      <x:c r="J2059" s="7" t="str">
        <x:f>IF(OR(H2059="",I2059=""),"",I2059-H2059)</x:f>
      </x:c>
      <x:c r="K2059" s="7" t="str"/>
      <x:c r="L2059" s="7" t="str"/>
      <x:c r="M2059" s="7" t="str">
        <x:f>IF(L2059="","OPEN",IF(OR(NOT(ISNUMBER(H2059)),NOT(ISNUMBER(I2059)),NOT(ISNUMBER(K2059)),ABS(J2059)&gt;K2059),"FAIL","PASS"))</x:f>
        <x:v>OPEN</x:v>
      </x:c>
    </x:row>
    <x:row r="2060">
      <x:c r="B2060" s="7" t="str">
        <x:v>CAL-CH-PEA-C-X3-07-2</x:v>
      </x:c>
      <x:c r="C2060" s="7" t="str">
        <x:v>CH-PEA-C-X3-07-2</x:v>
      </x:c>
      <x:c r="D2060" s="7" t="str">
        <x:v>PEA-C-X3</x:v>
      </x:c>
      <x:c r="E2060" s="7" t="str">
        <x:v>BLD-C</x:v>
      </x:c>
      <x:c r="F2060" s="7" t="str">
        <x:v>BL-X</x:v>
      </x:c>
      <x:c r="G2060" s="7" t="str">
        <x:v>MF-07</x:v>
      </x:c>
      <x:c r="H2060" s="7" t="str"/>
      <x:c r="I2060" s="7" t="str"/>
      <x:c r="J2060" s="7" t="str">
        <x:f>IF(OR(H2060="",I2060=""),"",I2060-H2060)</x:f>
      </x:c>
      <x:c r="K2060" s="7" t="str"/>
      <x:c r="L2060" s="7" t="str"/>
      <x:c r="M2060" s="7" t="str">
        <x:f>IF(L2060="","OPEN",IF(OR(NOT(ISNUMBER(H2060)),NOT(ISNUMBER(I2060)),NOT(ISNUMBER(K2060)),ABS(J2060)&gt;K2060),"FAIL","PASS"))</x:f>
        <x:v>OPEN</x:v>
      </x:c>
    </x:row>
    <x:row r="2061">
      <x:c r="B2061" s="7" t="str">
        <x:v>CAL-CH-PEA-C-X3-07-3</x:v>
      </x:c>
      <x:c r="C2061" s="7" t="str">
        <x:v>CH-PEA-C-X3-07-3</x:v>
      </x:c>
      <x:c r="D2061" s="7" t="str">
        <x:v>PEA-C-X3</x:v>
      </x:c>
      <x:c r="E2061" s="7" t="str">
        <x:v>BLD-C</x:v>
      </x:c>
      <x:c r="F2061" s="7" t="str">
        <x:v>BL-X</x:v>
      </x:c>
      <x:c r="G2061" s="7" t="str">
        <x:v>MF-07</x:v>
      </x:c>
      <x:c r="H2061" s="7" t="str"/>
      <x:c r="I2061" s="7" t="str"/>
      <x:c r="J2061" s="7" t="str">
        <x:f>IF(OR(H2061="",I2061=""),"",I2061-H2061)</x:f>
      </x:c>
      <x:c r="K2061" s="7" t="str"/>
      <x:c r="L2061" s="7" t="str"/>
      <x:c r="M2061" s="7" t="str">
        <x:f>IF(L2061="","OPEN",IF(OR(NOT(ISNUMBER(H2061)),NOT(ISNUMBER(I2061)),NOT(ISNUMBER(K2061)),ABS(J2061)&gt;K2061),"FAIL","PASS"))</x:f>
        <x:v>OPEN</x:v>
      </x:c>
    </x:row>
    <x:row r="2062">
      <x:c r="B2062" s="7" t="str">
        <x:v>CAL-CH-PEA-C-X3-07-4</x:v>
      </x:c>
      <x:c r="C2062" s="7" t="str">
        <x:v>CH-PEA-C-X3-07-4</x:v>
      </x:c>
      <x:c r="D2062" s="7" t="str">
        <x:v>PEA-C-X3</x:v>
      </x:c>
      <x:c r="E2062" s="7" t="str">
        <x:v>BLD-C</x:v>
      </x:c>
      <x:c r="F2062" s="7" t="str">
        <x:v>BL-X</x:v>
      </x:c>
      <x:c r="G2062" s="7" t="str">
        <x:v>MF-07</x:v>
      </x:c>
      <x:c r="H2062" s="7" t="str"/>
      <x:c r="I2062" s="7" t="str"/>
      <x:c r="J2062" s="7" t="str">
        <x:f>IF(OR(H2062="",I2062=""),"",I2062-H2062)</x:f>
      </x:c>
      <x:c r="K2062" s="7" t="str"/>
      <x:c r="L2062" s="7" t="str"/>
      <x:c r="M2062" s="7" t="str">
        <x:f>IF(L2062="","OPEN",IF(OR(NOT(ISNUMBER(H2062)),NOT(ISNUMBER(I2062)),NOT(ISNUMBER(K2062)),ABS(J2062)&gt;K2062),"FAIL","PASS"))</x:f>
        <x:v>OPEN</x:v>
      </x:c>
    </x:row>
    <x:row r="2063">
      <x:c r="B2063" s="7" t="str">
        <x:v>CAL-CH-PEA-C-X3-07-5</x:v>
      </x:c>
      <x:c r="C2063" s="7" t="str">
        <x:v>CH-PEA-C-X3-07-5</x:v>
      </x:c>
      <x:c r="D2063" s="7" t="str">
        <x:v>PEA-C-X3</x:v>
      </x:c>
      <x:c r="E2063" s="7" t="str">
        <x:v>BLD-C</x:v>
      </x:c>
      <x:c r="F2063" s="7" t="str">
        <x:v>BL-X</x:v>
      </x:c>
      <x:c r="G2063" s="7" t="str">
        <x:v>MF-07</x:v>
      </x:c>
      <x:c r="H2063" s="7" t="str"/>
      <x:c r="I2063" s="7" t="str"/>
      <x:c r="J2063" s="7" t="str">
        <x:f>IF(OR(H2063="",I2063=""),"",I2063-H2063)</x:f>
      </x:c>
      <x:c r="K2063" s="7" t="str"/>
      <x:c r="L2063" s="7" t="str"/>
      <x:c r="M2063" s="7" t="str">
        <x:f>IF(L2063="","OPEN",IF(OR(NOT(ISNUMBER(H2063)),NOT(ISNUMBER(I2063)),NOT(ISNUMBER(K2063)),ABS(J2063)&gt;K2063),"FAIL","PASS"))</x:f>
        <x:v>OPEN</x:v>
      </x:c>
    </x:row>
    <x:row r="2064">
      <x:c r="B2064" s="7" t="str">
        <x:v>CAL-CH-PEA-C-X3-07-6</x:v>
      </x:c>
      <x:c r="C2064" s="7" t="str">
        <x:v>CH-PEA-C-X3-07-6</x:v>
      </x:c>
      <x:c r="D2064" s="7" t="str">
        <x:v>PEA-C-X3</x:v>
      </x:c>
      <x:c r="E2064" s="7" t="str">
        <x:v>BLD-C</x:v>
      </x:c>
      <x:c r="F2064" s="7" t="str">
        <x:v>BL-X</x:v>
      </x:c>
      <x:c r="G2064" s="7" t="str">
        <x:v>MF-07</x:v>
      </x:c>
      <x:c r="H2064" s="7" t="str"/>
      <x:c r="I2064" s="7" t="str"/>
      <x:c r="J2064" s="7" t="str">
        <x:f>IF(OR(H2064="",I2064=""),"",I2064-H2064)</x:f>
      </x:c>
      <x:c r="K2064" s="7" t="str"/>
      <x:c r="L2064" s="7" t="str"/>
      <x:c r="M2064" s="7" t="str">
        <x:f>IF(L2064="","OPEN",IF(OR(NOT(ISNUMBER(H2064)),NOT(ISNUMBER(I2064)),NOT(ISNUMBER(K2064)),ABS(J2064)&gt;K2064),"FAIL","PASS"))</x:f>
        <x:v>OPEN</x:v>
      </x:c>
    </x:row>
    <x:row r="2065">
      <x:c r="B2065" s="7" t="str">
        <x:v>CAL-CH-PEA-C-X3-08-1</x:v>
      </x:c>
      <x:c r="C2065" s="7" t="str">
        <x:v>CH-PEA-C-X3-08-1</x:v>
      </x:c>
      <x:c r="D2065" s="7" t="str">
        <x:v>PEA-C-X3</x:v>
      </x:c>
      <x:c r="E2065" s="7" t="str">
        <x:v>BLD-C</x:v>
      </x:c>
      <x:c r="F2065" s="7" t="str">
        <x:v>BL-X</x:v>
      </x:c>
      <x:c r="G2065" s="7" t="str">
        <x:v>MF-08</x:v>
      </x:c>
      <x:c r="H2065" s="7" t="str"/>
      <x:c r="I2065" s="7" t="str"/>
      <x:c r="J2065" s="7" t="str">
        <x:f>IF(OR(H2065="",I2065=""),"",I2065-H2065)</x:f>
      </x:c>
      <x:c r="K2065" s="7" t="str"/>
      <x:c r="L2065" s="7" t="str"/>
      <x:c r="M2065" s="7" t="str">
        <x:f>IF(L2065="","OPEN",IF(OR(NOT(ISNUMBER(H2065)),NOT(ISNUMBER(I2065)),NOT(ISNUMBER(K2065)),ABS(J2065)&gt;K2065),"FAIL","PASS"))</x:f>
        <x:v>OPEN</x:v>
      </x:c>
    </x:row>
    <x:row r="2066">
      <x:c r="B2066" s="7" t="str">
        <x:v>CAL-CH-PEA-C-X3-08-2</x:v>
      </x:c>
      <x:c r="C2066" s="7" t="str">
        <x:v>CH-PEA-C-X3-08-2</x:v>
      </x:c>
      <x:c r="D2066" s="7" t="str">
        <x:v>PEA-C-X3</x:v>
      </x:c>
      <x:c r="E2066" s="7" t="str">
        <x:v>BLD-C</x:v>
      </x:c>
      <x:c r="F2066" s="7" t="str">
        <x:v>BL-X</x:v>
      </x:c>
      <x:c r="G2066" s="7" t="str">
        <x:v>MF-08</x:v>
      </x:c>
      <x:c r="H2066" s="7" t="str"/>
      <x:c r="I2066" s="7" t="str"/>
      <x:c r="J2066" s="7" t="str">
        <x:f>IF(OR(H2066="",I2066=""),"",I2066-H2066)</x:f>
      </x:c>
      <x:c r="K2066" s="7" t="str"/>
      <x:c r="L2066" s="7" t="str"/>
      <x:c r="M2066" s="7" t="str">
        <x:f>IF(L2066="","OPEN",IF(OR(NOT(ISNUMBER(H2066)),NOT(ISNUMBER(I2066)),NOT(ISNUMBER(K2066)),ABS(J2066)&gt;K2066),"FAIL","PASS"))</x:f>
        <x:v>OPEN</x:v>
      </x:c>
    </x:row>
    <x:row r="2067">
      <x:c r="B2067" s="7" t="str">
        <x:v>CAL-CH-PEA-C-X3-08-3</x:v>
      </x:c>
      <x:c r="C2067" s="7" t="str">
        <x:v>CH-PEA-C-X3-08-3</x:v>
      </x:c>
      <x:c r="D2067" s="7" t="str">
        <x:v>PEA-C-X3</x:v>
      </x:c>
      <x:c r="E2067" s="7" t="str">
        <x:v>BLD-C</x:v>
      </x:c>
      <x:c r="F2067" s="7" t="str">
        <x:v>BL-X</x:v>
      </x:c>
      <x:c r="G2067" s="7" t="str">
        <x:v>MF-08</x:v>
      </x:c>
      <x:c r="H2067" s="7" t="str"/>
      <x:c r="I2067" s="7" t="str"/>
      <x:c r="J2067" s="7" t="str">
        <x:f>IF(OR(H2067="",I2067=""),"",I2067-H2067)</x:f>
      </x:c>
      <x:c r="K2067" s="7" t="str"/>
      <x:c r="L2067" s="7" t="str"/>
      <x:c r="M2067" s="7" t="str">
        <x:f>IF(L2067="","OPEN",IF(OR(NOT(ISNUMBER(H2067)),NOT(ISNUMBER(I2067)),NOT(ISNUMBER(K2067)),ABS(J2067)&gt;K2067),"FAIL","PASS"))</x:f>
        <x:v>OPEN</x:v>
      </x:c>
    </x:row>
    <x:row r="2068">
      <x:c r="B2068" s="7" t="str">
        <x:v>CAL-CH-PEA-C-X3-08-4</x:v>
      </x:c>
      <x:c r="C2068" s="7" t="str">
        <x:v>CH-PEA-C-X3-08-4</x:v>
      </x:c>
      <x:c r="D2068" s="7" t="str">
        <x:v>PEA-C-X3</x:v>
      </x:c>
      <x:c r="E2068" s="7" t="str">
        <x:v>BLD-C</x:v>
      </x:c>
      <x:c r="F2068" s="7" t="str">
        <x:v>BL-X</x:v>
      </x:c>
      <x:c r="G2068" s="7" t="str">
        <x:v>MF-08</x:v>
      </x:c>
      <x:c r="H2068" s="7" t="str"/>
      <x:c r="I2068" s="7" t="str"/>
      <x:c r="J2068" s="7" t="str">
        <x:f>IF(OR(H2068="",I2068=""),"",I2068-H2068)</x:f>
      </x:c>
      <x:c r="K2068" s="7" t="str"/>
      <x:c r="L2068" s="7" t="str"/>
      <x:c r="M2068" s="7" t="str">
        <x:f>IF(L2068="","OPEN",IF(OR(NOT(ISNUMBER(H2068)),NOT(ISNUMBER(I2068)),NOT(ISNUMBER(K2068)),ABS(J2068)&gt;K2068),"FAIL","PASS"))</x:f>
        <x:v>OPEN</x:v>
      </x:c>
    </x:row>
    <x:row r="2069">
      <x:c r="B2069" s="7" t="str">
        <x:v>CAL-CH-PEA-C-X3-08-5</x:v>
      </x:c>
      <x:c r="C2069" s="7" t="str">
        <x:v>CH-PEA-C-X3-08-5</x:v>
      </x:c>
      <x:c r="D2069" s="7" t="str">
        <x:v>PEA-C-X3</x:v>
      </x:c>
      <x:c r="E2069" s="7" t="str">
        <x:v>BLD-C</x:v>
      </x:c>
      <x:c r="F2069" s="7" t="str">
        <x:v>BL-X</x:v>
      </x:c>
      <x:c r="G2069" s="7" t="str">
        <x:v>MF-08</x:v>
      </x:c>
      <x:c r="H2069" s="7" t="str"/>
      <x:c r="I2069" s="7" t="str"/>
      <x:c r="J2069" s="7" t="str">
        <x:f>IF(OR(H2069="",I2069=""),"",I2069-H2069)</x:f>
      </x:c>
      <x:c r="K2069" s="7" t="str"/>
      <x:c r="L2069" s="7" t="str"/>
      <x:c r="M2069" s="7" t="str">
        <x:f>IF(L2069="","OPEN",IF(OR(NOT(ISNUMBER(H2069)),NOT(ISNUMBER(I2069)),NOT(ISNUMBER(K2069)),ABS(J2069)&gt;K2069),"FAIL","PASS"))</x:f>
        <x:v>OPEN</x:v>
      </x:c>
    </x:row>
    <x:row r="2070">
      <x:c r="B2070" s="7" t="str">
        <x:v>CAL-CH-PEA-C-X3-08-6</x:v>
      </x:c>
      <x:c r="C2070" s="7" t="str">
        <x:v>CH-PEA-C-X3-08-6</x:v>
      </x:c>
      <x:c r="D2070" s="7" t="str">
        <x:v>PEA-C-X3</x:v>
      </x:c>
      <x:c r="E2070" s="7" t="str">
        <x:v>BLD-C</x:v>
      </x:c>
      <x:c r="F2070" s="7" t="str">
        <x:v>BL-X</x:v>
      </x:c>
      <x:c r="G2070" s="7" t="str">
        <x:v>MF-08</x:v>
      </x:c>
      <x:c r="H2070" s="7" t="str"/>
      <x:c r="I2070" s="7" t="str"/>
      <x:c r="J2070" s="7" t="str">
        <x:f>IF(OR(H2070="",I2070=""),"",I2070-H2070)</x:f>
      </x:c>
      <x:c r="K2070" s="7" t="str"/>
      <x:c r="L2070" s="7" t="str"/>
      <x:c r="M2070" s="7" t="str">
        <x:f>IF(L2070="","OPEN",IF(OR(NOT(ISNUMBER(H2070)),NOT(ISNUMBER(I2070)),NOT(ISNUMBER(K2070)),ABS(J2070)&gt;K2070),"FAIL","PASS"))</x:f>
        <x:v>OPEN</x:v>
      </x:c>
    </x:row>
    <x:row r="2071">
      <x:c r="B2071" s="7" t="str">
        <x:v>CAL-CH-PEA-C-X3-09-1</x:v>
      </x:c>
      <x:c r="C2071" s="7" t="str">
        <x:v>CH-PEA-C-X3-09-1</x:v>
      </x:c>
      <x:c r="D2071" s="7" t="str">
        <x:v>PEA-C-X3</x:v>
      </x:c>
      <x:c r="E2071" s="7" t="str">
        <x:v>BLD-C</x:v>
      </x:c>
      <x:c r="F2071" s="7" t="str">
        <x:v>BL-X</x:v>
      </x:c>
      <x:c r="G2071" s="7" t="str">
        <x:v>MF-09</x:v>
      </x:c>
      <x:c r="H2071" s="7" t="str"/>
      <x:c r="I2071" s="7" t="str"/>
      <x:c r="J2071" s="7" t="str">
        <x:f>IF(OR(H2071="",I2071=""),"",I2071-H2071)</x:f>
      </x:c>
      <x:c r="K2071" s="7" t="str"/>
      <x:c r="L2071" s="7" t="str"/>
      <x:c r="M2071" s="7" t="str">
        <x:f>IF(L2071="","OPEN",IF(OR(NOT(ISNUMBER(H2071)),NOT(ISNUMBER(I2071)),NOT(ISNUMBER(K2071)),ABS(J2071)&gt;K2071),"FAIL","PASS"))</x:f>
        <x:v>OPEN</x:v>
      </x:c>
    </x:row>
    <x:row r="2072">
      <x:c r="B2072" s="7" t="str">
        <x:v>CAL-CH-PEA-C-X3-09-2</x:v>
      </x:c>
      <x:c r="C2072" s="7" t="str">
        <x:v>CH-PEA-C-X3-09-2</x:v>
      </x:c>
      <x:c r="D2072" s="7" t="str">
        <x:v>PEA-C-X3</x:v>
      </x:c>
      <x:c r="E2072" s="7" t="str">
        <x:v>BLD-C</x:v>
      </x:c>
      <x:c r="F2072" s="7" t="str">
        <x:v>BL-X</x:v>
      </x:c>
      <x:c r="G2072" s="7" t="str">
        <x:v>MF-09</x:v>
      </x:c>
      <x:c r="H2072" s="7" t="str"/>
      <x:c r="I2072" s="7" t="str"/>
      <x:c r="J2072" s="7" t="str">
        <x:f>IF(OR(H2072="",I2072=""),"",I2072-H2072)</x:f>
      </x:c>
      <x:c r="K2072" s="7" t="str"/>
      <x:c r="L2072" s="7" t="str"/>
      <x:c r="M2072" s="7" t="str">
        <x:f>IF(L2072="","OPEN",IF(OR(NOT(ISNUMBER(H2072)),NOT(ISNUMBER(I2072)),NOT(ISNUMBER(K2072)),ABS(J2072)&gt;K2072),"FAIL","PASS"))</x:f>
        <x:v>OPEN</x:v>
      </x:c>
    </x:row>
    <x:row r="2073">
      <x:c r="B2073" s="7" t="str">
        <x:v>CAL-CH-PEA-C-X3-09-3</x:v>
      </x:c>
      <x:c r="C2073" s="7" t="str">
        <x:v>CH-PEA-C-X3-09-3</x:v>
      </x:c>
      <x:c r="D2073" s="7" t="str">
        <x:v>PEA-C-X3</x:v>
      </x:c>
      <x:c r="E2073" s="7" t="str">
        <x:v>BLD-C</x:v>
      </x:c>
      <x:c r="F2073" s="7" t="str">
        <x:v>BL-X</x:v>
      </x:c>
      <x:c r="G2073" s="7" t="str">
        <x:v>MF-09</x:v>
      </x:c>
      <x:c r="H2073" s="7" t="str"/>
      <x:c r="I2073" s="7" t="str"/>
      <x:c r="J2073" s="7" t="str">
        <x:f>IF(OR(H2073="",I2073=""),"",I2073-H2073)</x:f>
      </x:c>
      <x:c r="K2073" s="7" t="str"/>
      <x:c r="L2073" s="7" t="str"/>
      <x:c r="M2073" s="7" t="str">
        <x:f>IF(L2073="","OPEN",IF(OR(NOT(ISNUMBER(H2073)),NOT(ISNUMBER(I2073)),NOT(ISNUMBER(K2073)),ABS(J2073)&gt;K2073),"FAIL","PASS"))</x:f>
        <x:v>OPEN</x:v>
      </x:c>
    </x:row>
    <x:row r="2074">
      <x:c r="B2074" s="7" t="str">
        <x:v>CAL-CH-PEA-C-X3-09-4</x:v>
      </x:c>
      <x:c r="C2074" s="7" t="str">
        <x:v>CH-PEA-C-X3-09-4</x:v>
      </x:c>
      <x:c r="D2074" s="7" t="str">
        <x:v>PEA-C-X3</x:v>
      </x:c>
      <x:c r="E2074" s="7" t="str">
        <x:v>BLD-C</x:v>
      </x:c>
      <x:c r="F2074" s="7" t="str">
        <x:v>BL-X</x:v>
      </x:c>
      <x:c r="G2074" s="7" t="str">
        <x:v>MF-09</x:v>
      </x:c>
      <x:c r="H2074" s="7" t="str"/>
      <x:c r="I2074" s="7" t="str"/>
      <x:c r="J2074" s="7" t="str">
        <x:f>IF(OR(H2074="",I2074=""),"",I2074-H2074)</x:f>
      </x:c>
      <x:c r="K2074" s="7" t="str"/>
      <x:c r="L2074" s="7" t="str"/>
      <x:c r="M2074" s="7" t="str">
        <x:f>IF(L2074="","OPEN",IF(OR(NOT(ISNUMBER(H2074)),NOT(ISNUMBER(I2074)),NOT(ISNUMBER(K2074)),ABS(J2074)&gt;K2074),"FAIL","PASS"))</x:f>
        <x:v>OPEN</x:v>
      </x:c>
    </x:row>
    <x:row r="2075">
      <x:c r="B2075" s="7" t="str">
        <x:v>CAL-CH-PEA-C-X3-09-5</x:v>
      </x:c>
      <x:c r="C2075" s="7" t="str">
        <x:v>CH-PEA-C-X3-09-5</x:v>
      </x:c>
      <x:c r="D2075" s="7" t="str">
        <x:v>PEA-C-X3</x:v>
      </x:c>
      <x:c r="E2075" s="7" t="str">
        <x:v>BLD-C</x:v>
      </x:c>
      <x:c r="F2075" s="7" t="str">
        <x:v>BL-X</x:v>
      </x:c>
      <x:c r="G2075" s="7" t="str">
        <x:v>MF-09</x:v>
      </x:c>
      <x:c r="H2075" s="7" t="str"/>
      <x:c r="I2075" s="7" t="str"/>
      <x:c r="J2075" s="7" t="str">
        <x:f>IF(OR(H2075="",I2075=""),"",I2075-H2075)</x:f>
      </x:c>
      <x:c r="K2075" s="7" t="str"/>
      <x:c r="L2075" s="7" t="str"/>
      <x:c r="M2075" s="7" t="str">
        <x:f>IF(L2075="","OPEN",IF(OR(NOT(ISNUMBER(H2075)),NOT(ISNUMBER(I2075)),NOT(ISNUMBER(K2075)),ABS(J2075)&gt;K2075),"FAIL","PASS"))</x:f>
        <x:v>OPEN</x:v>
      </x:c>
    </x:row>
    <x:row r="2076">
      <x:c r="B2076" s="7" t="str">
        <x:v>CAL-CH-PEA-C-X3-09-6</x:v>
      </x:c>
      <x:c r="C2076" s="7" t="str">
        <x:v>CH-PEA-C-X3-09-6</x:v>
      </x:c>
      <x:c r="D2076" s="7" t="str">
        <x:v>PEA-C-X3</x:v>
      </x:c>
      <x:c r="E2076" s="7" t="str">
        <x:v>BLD-C</x:v>
      </x:c>
      <x:c r="F2076" s="7" t="str">
        <x:v>BL-X</x:v>
      </x:c>
      <x:c r="G2076" s="7" t="str">
        <x:v>MF-09</x:v>
      </x:c>
      <x:c r="H2076" s="7" t="str"/>
      <x:c r="I2076" s="7" t="str"/>
      <x:c r="J2076" s="7" t="str">
        <x:f>IF(OR(H2076="",I2076=""),"",I2076-H2076)</x:f>
      </x:c>
      <x:c r="K2076" s="7" t="str"/>
      <x:c r="L2076" s="7" t="str"/>
      <x:c r="M2076" s="7" t="str">
        <x:f>IF(L2076="","OPEN",IF(OR(NOT(ISNUMBER(H2076)),NOT(ISNUMBER(I2076)),NOT(ISNUMBER(K2076)),ABS(J2076)&gt;K2076),"FAIL","PASS"))</x:f>
        <x:v>OPEN</x:v>
      </x:c>
    </x:row>
    <x:row r="2077">
      <x:c r="B2077" s="7" t="str">
        <x:v>CAL-CH-PEA-C-X3-10-1</x:v>
      </x:c>
      <x:c r="C2077" s="7" t="str">
        <x:v>CH-PEA-C-X3-10-1</x:v>
      </x:c>
      <x:c r="D2077" s="7" t="str">
        <x:v>PEA-C-X3</x:v>
      </x:c>
      <x:c r="E2077" s="7" t="str">
        <x:v>BLD-C</x:v>
      </x:c>
      <x:c r="F2077" s="7" t="str">
        <x:v>BL-X</x:v>
      </x:c>
      <x:c r="G2077" s="7" t="str">
        <x:v>MF-10</x:v>
      </x:c>
      <x:c r="H2077" s="7" t="str"/>
      <x:c r="I2077" s="7" t="str"/>
      <x:c r="J2077" s="7" t="str">
        <x:f>IF(OR(H2077="",I2077=""),"",I2077-H2077)</x:f>
      </x:c>
      <x:c r="K2077" s="7" t="str"/>
      <x:c r="L2077" s="7" t="str"/>
      <x:c r="M2077" s="7" t="str">
        <x:f>IF(L2077="","OPEN",IF(OR(NOT(ISNUMBER(H2077)),NOT(ISNUMBER(I2077)),NOT(ISNUMBER(K2077)),ABS(J2077)&gt;K2077),"FAIL","PASS"))</x:f>
        <x:v>OPEN</x:v>
      </x:c>
    </x:row>
    <x:row r="2078">
      <x:c r="B2078" s="7" t="str">
        <x:v>CAL-CH-PEA-C-X3-10-2</x:v>
      </x:c>
      <x:c r="C2078" s="7" t="str">
        <x:v>CH-PEA-C-X3-10-2</x:v>
      </x:c>
      <x:c r="D2078" s="7" t="str">
        <x:v>PEA-C-X3</x:v>
      </x:c>
      <x:c r="E2078" s="7" t="str">
        <x:v>BLD-C</x:v>
      </x:c>
      <x:c r="F2078" s="7" t="str">
        <x:v>BL-X</x:v>
      </x:c>
      <x:c r="G2078" s="7" t="str">
        <x:v>MF-10</x:v>
      </x:c>
      <x:c r="H2078" s="7" t="str"/>
      <x:c r="I2078" s="7" t="str"/>
      <x:c r="J2078" s="7" t="str">
        <x:f>IF(OR(H2078="",I2078=""),"",I2078-H2078)</x:f>
      </x:c>
      <x:c r="K2078" s="7" t="str"/>
      <x:c r="L2078" s="7" t="str"/>
      <x:c r="M2078" s="7" t="str">
        <x:f>IF(L2078="","OPEN",IF(OR(NOT(ISNUMBER(H2078)),NOT(ISNUMBER(I2078)),NOT(ISNUMBER(K2078)),ABS(J2078)&gt;K2078),"FAIL","PASS"))</x:f>
        <x:v>OPEN</x:v>
      </x:c>
    </x:row>
    <x:row r="2079">
      <x:c r="B2079" s="7" t="str">
        <x:v>CAL-CH-PEA-C-X3-10-3</x:v>
      </x:c>
      <x:c r="C2079" s="7" t="str">
        <x:v>CH-PEA-C-X3-10-3</x:v>
      </x:c>
      <x:c r="D2079" s="7" t="str">
        <x:v>PEA-C-X3</x:v>
      </x:c>
      <x:c r="E2079" s="7" t="str">
        <x:v>BLD-C</x:v>
      </x:c>
      <x:c r="F2079" s="7" t="str">
        <x:v>BL-X</x:v>
      </x:c>
      <x:c r="G2079" s="7" t="str">
        <x:v>MF-10</x:v>
      </x:c>
      <x:c r="H2079" s="7" t="str"/>
      <x:c r="I2079" s="7" t="str"/>
      <x:c r="J2079" s="7" t="str">
        <x:f>IF(OR(H2079="",I2079=""),"",I2079-H2079)</x:f>
      </x:c>
      <x:c r="K2079" s="7" t="str"/>
      <x:c r="L2079" s="7" t="str"/>
      <x:c r="M2079" s="7" t="str">
        <x:f>IF(L2079="","OPEN",IF(OR(NOT(ISNUMBER(H2079)),NOT(ISNUMBER(I2079)),NOT(ISNUMBER(K2079)),ABS(J2079)&gt;K2079),"FAIL","PASS"))</x:f>
        <x:v>OPEN</x:v>
      </x:c>
    </x:row>
    <x:row r="2080">
      <x:c r="B2080" s="7" t="str">
        <x:v>CAL-CH-PEA-C-X3-10-4</x:v>
      </x:c>
      <x:c r="C2080" s="7" t="str">
        <x:v>CH-PEA-C-X3-10-4</x:v>
      </x:c>
      <x:c r="D2080" s="7" t="str">
        <x:v>PEA-C-X3</x:v>
      </x:c>
      <x:c r="E2080" s="7" t="str">
        <x:v>BLD-C</x:v>
      </x:c>
      <x:c r="F2080" s="7" t="str">
        <x:v>BL-X</x:v>
      </x:c>
      <x:c r="G2080" s="7" t="str">
        <x:v>MF-10</x:v>
      </x:c>
      <x:c r="H2080" s="7" t="str"/>
      <x:c r="I2080" s="7" t="str"/>
      <x:c r="J2080" s="7" t="str">
        <x:f>IF(OR(H2080="",I2080=""),"",I2080-H2080)</x:f>
      </x:c>
      <x:c r="K2080" s="7" t="str"/>
      <x:c r="L2080" s="7" t="str"/>
      <x:c r="M2080" s="7" t="str">
        <x:f>IF(L2080="","OPEN",IF(OR(NOT(ISNUMBER(H2080)),NOT(ISNUMBER(I2080)),NOT(ISNUMBER(K2080)),ABS(J2080)&gt;K2080),"FAIL","PASS"))</x:f>
        <x:v>OPEN</x:v>
      </x:c>
    </x:row>
    <x:row r="2081">
      <x:c r="B2081" s="7" t="str">
        <x:v>CAL-CH-PEA-C-X3-10-5</x:v>
      </x:c>
      <x:c r="C2081" s="7" t="str">
        <x:v>CH-PEA-C-X3-10-5</x:v>
      </x:c>
      <x:c r="D2081" s="7" t="str">
        <x:v>PEA-C-X3</x:v>
      </x:c>
      <x:c r="E2081" s="7" t="str">
        <x:v>BLD-C</x:v>
      </x:c>
      <x:c r="F2081" s="7" t="str">
        <x:v>BL-X</x:v>
      </x:c>
      <x:c r="G2081" s="7" t="str">
        <x:v>MF-10</x:v>
      </x:c>
      <x:c r="H2081" s="7" t="str"/>
      <x:c r="I2081" s="7" t="str"/>
      <x:c r="J2081" s="7" t="str">
        <x:f>IF(OR(H2081="",I2081=""),"",I2081-H2081)</x:f>
      </x:c>
      <x:c r="K2081" s="7" t="str"/>
      <x:c r="L2081" s="7" t="str"/>
      <x:c r="M2081" s="7" t="str">
        <x:f>IF(L2081="","OPEN",IF(OR(NOT(ISNUMBER(H2081)),NOT(ISNUMBER(I2081)),NOT(ISNUMBER(K2081)),ABS(J2081)&gt;K2081),"FAIL","PASS"))</x:f>
        <x:v>OPEN</x:v>
      </x:c>
    </x:row>
    <x:row r="2082">
      <x:c r="B2082" s="7" t="str">
        <x:v>CAL-CH-PEA-C-X3-10-6</x:v>
      </x:c>
      <x:c r="C2082" s="7" t="str">
        <x:v>CH-PEA-C-X3-10-6</x:v>
      </x:c>
      <x:c r="D2082" s="7" t="str">
        <x:v>PEA-C-X3</x:v>
      </x:c>
      <x:c r="E2082" s="7" t="str">
        <x:v>BLD-C</x:v>
      </x:c>
      <x:c r="F2082" s="7" t="str">
        <x:v>BL-X</x:v>
      </x:c>
      <x:c r="G2082" s="7" t="str">
        <x:v>MF-10</x:v>
      </x:c>
      <x:c r="H2082" s="7" t="str"/>
      <x:c r="I2082" s="7" t="str"/>
      <x:c r="J2082" s="7" t="str">
        <x:f>IF(OR(H2082="",I2082=""),"",I2082-H2082)</x:f>
      </x:c>
      <x:c r="K2082" s="7" t="str"/>
      <x:c r="L2082" s="7" t="str"/>
      <x:c r="M2082" s="7" t="str">
        <x:f>IF(L2082="","OPEN",IF(OR(NOT(ISNUMBER(H2082)),NOT(ISNUMBER(I2082)),NOT(ISNUMBER(K2082)),ABS(J2082)&gt;K2082),"FAIL","PASS"))</x:f>
        <x:v>OPEN</x:v>
      </x:c>
    </x:row>
    <x:row r="2083">
      <x:c r="B2083" s="7" t="str">
        <x:v>CAL-CH-PEA-C-X3-11-1</x:v>
      </x:c>
      <x:c r="C2083" s="7" t="str">
        <x:v>CH-PEA-C-X3-11-1</x:v>
      </x:c>
      <x:c r="D2083" s="7" t="str">
        <x:v>PEA-C-X3</x:v>
      </x:c>
      <x:c r="E2083" s="7" t="str">
        <x:v>BLD-C</x:v>
      </x:c>
      <x:c r="F2083" s="7" t="str">
        <x:v>BL-X</x:v>
      </x:c>
      <x:c r="G2083" s="7" t="str">
        <x:v>MF-11</x:v>
      </x:c>
      <x:c r="H2083" s="7" t="str"/>
      <x:c r="I2083" s="7" t="str"/>
      <x:c r="J2083" s="7" t="str">
        <x:f>IF(OR(H2083="",I2083=""),"",I2083-H2083)</x:f>
      </x:c>
      <x:c r="K2083" s="7" t="str"/>
      <x:c r="L2083" s="7" t="str"/>
      <x:c r="M2083" s="7" t="str">
        <x:f>IF(L2083="","OPEN",IF(OR(NOT(ISNUMBER(H2083)),NOT(ISNUMBER(I2083)),NOT(ISNUMBER(K2083)),ABS(J2083)&gt;K2083),"FAIL","PASS"))</x:f>
        <x:v>OPEN</x:v>
      </x:c>
    </x:row>
    <x:row r="2084">
      <x:c r="B2084" s="7" t="str">
        <x:v>CAL-CH-PEA-C-X3-11-2</x:v>
      </x:c>
      <x:c r="C2084" s="7" t="str">
        <x:v>CH-PEA-C-X3-11-2</x:v>
      </x:c>
      <x:c r="D2084" s="7" t="str">
        <x:v>PEA-C-X3</x:v>
      </x:c>
      <x:c r="E2084" s="7" t="str">
        <x:v>BLD-C</x:v>
      </x:c>
      <x:c r="F2084" s="7" t="str">
        <x:v>BL-X</x:v>
      </x:c>
      <x:c r="G2084" s="7" t="str">
        <x:v>MF-11</x:v>
      </x:c>
      <x:c r="H2084" s="7" t="str"/>
      <x:c r="I2084" s="7" t="str"/>
      <x:c r="J2084" s="7" t="str">
        <x:f>IF(OR(H2084="",I2084=""),"",I2084-H2084)</x:f>
      </x:c>
      <x:c r="K2084" s="7" t="str"/>
      <x:c r="L2084" s="7" t="str"/>
      <x:c r="M2084" s="7" t="str">
        <x:f>IF(L2084="","OPEN",IF(OR(NOT(ISNUMBER(H2084)),NOT(ISNUMBER(I2084)),NOT(ISNUMBER(K2084)),ABS(J2084)&gt;K2084),"FAIL","PASS"))</x:f>
        <x:v>OPEN</x:v>
      </x:c>
    </x:row>
    <x:row r="2085">
      <x:c r="B2085" s="7" t="str">
        <x:v>CAL-CH-PEA-C-X3-11-3</x:v>
      </x:c>
      <x:c r="C2085" s="7" t="str">
        <x:v>CH-PEA-C-X3-11-3</x:v>
      </x:c>
      <x:c r="D2085" s="7" t="str">
        <x:v>PEA-C-X3</x:v>
      </x:c>
      <x:c r="E2085" s="7" t="str">
        <x:v>BLD-C</x:v>
      </x:c>
      <x:c r="F2085" s="7" t="str">
        <x:v>BL-X</x:v>
      </x:c>
      <x:c r="G2085" s="7" t="str">
        <x:v>MF-11</x:v>
      </x:c>
      <x:c r="H2085" s="7" t="str"/>
      <x:c r="I2085" s="7" t="str"/>
      <x:c r="J2085" s="7" t="str">
        <x:f>IF(OR(H2085="",I2085=""),"",I2085-H2085)</x:f>
      </x:c>
      <x:c r="K2085" s="7" t="str"/>
      <x:c r="L2085" s="7" t="str"/>
      <x:c r="M2085" s="7" t="str">
        <x:f>IF(L2085="","OPEN",IF(OR(NOT(ISNUMBER(H2085)),NOT(ISNUMBER(I2085)),NOT(ISNUMBER(K2085)),ABS(J2085)&gt;K2085),"FAIL","PASS"))</x:f>
        <x:v>OPEN</x:v>
      </x:c>
    </x:row>
    <x:row r="2086">
      <x:c r="B2086" s="7" t="str">
        <x:v>CAL-CH-PEA-C-X3-11-4</x:v>
      </x:c>
      <x:c r="C2086" s="7" t="str">
        <x:v>CH-PEA-C-X3-11-4</x:v>
      </x:c>
      <x:c r="D2086" s="7" t="str">
        <x:v>PEA-C-X3</x:v>
      </x:c>
      <x:c r="E2086" s="7" t="str">
        <x:v>BLD-C</x:v>
      </x:c>
      <x:c r="F2086" s="7" t="str">
        <x:v>BL-X</x:v>
      </x:c>
      <x:c r="G2086" s="7" t="str">
        <x:v>MF-11</x:v>
      </x:c>
      <x:c r="H2086" s="7" t="str"/>
      <x:c r="I2086" s="7" t="str"/>
      <x:c r="J2086" s="7" t="str">
        <x:f>IF(OR(H2086="",I2086=""),"",I2086-H2086)</x:f>
      </x:c>
      <x:c r="K2086" s="7" t="str"/>
      <x:c r="L2086" s="7" t="str"/>
      <x:c r="M2086" s="7" t="str">
        <x:f>IF(L2086="","OPEN",IF(OR(NOT(ISNUMBER(H2086)),NOT(ISNUMBER(I2086)),NOT(ISNUMBER(K2086)),ABS(J2086)&gt;K2086),"FAIL","PASS"))</x:f>
        <x:v>OPEN</x:v>
      </x:c>
    </x:row>
    <x:row r="2087">
      <x:c r="B2087" s="7" t="str">
        <x:v>CAL-CH-PEA-C-X3-11-5</x:v>
      </x:c>
      <x:c r="C2087" s="7" t="str">
        <x:v>CH-PEA-C-X3-11-5</x:v>
      </x:c>
      <x:c r="D2087" s="7" t="str">
        <x:v>PEA-C-X3</x:v>
      </x:c>
      <x:c r="E2087" s="7" t="str">
        <x:v>BLD-C</x:v>
      </x:c>
      <x:c r="F2087" s="7" t="str">
        <x:v>BL-X</x:v>
      </x:c>
      <x:c r="G2087" s="7" t="str">
        <x:v>MF-11</x:v>
      </x:c>
      <x:c r="H2087" s="7" t="str"/>
      <x:c r="I2087" s="7" t="str"/>
      <x:c r="J2087" s="7" t="str">
        <x:f>IF(OR(H2087="",I2087=""),"",I2087-H2087)</x:f>
      </x:c>
      <x:c r="K2087" s="7" t="str"/>
      <x:c r="L2087" s="7" t="str"/>
      <x:c r="M2087" s="7" t="str">
        <x:f>IF(L2087="","OPEN",IF(OR(NOT(ISNUMBER(H2087)),NOT(ISNUMBER(I2087)),NOT(ISNUMBER(K2087)),ABS(J2087)&gt;K2087),"FAIL","PASS"))</x:f>
        <x:v>OPEN</x:v>
      </x:c>
    </x:row>
    <x:row r="2088">
      <x:c r="B2088" s="7" t="str">
        <x:v>CAL-CH-PEA-C-X3-11-6</x:v>
      </x:c>
      <x:c r="C2088" s="7" t="str">
        <x:v>CH-PEA-C-X3-11-6</x:v>
      </x:c>
      <x:c r="D2088" s="7" t="str">
        <x:v>PEA-C-X3</x:v>
      </x:c>
      <x:c r="E2088" s="7" t="str">
        <x:v>BLD-C</x:v>
      </x:c>
      <x:c r="F2088" s="7" t="str">
        <x:v>BL-X</x:v>
      </x:c>
      <x:c r="G2088" s="7" t="str">
        <x:v>MF-11</x:v>
      </x:c>
      <x:c r="H2088" s="7" t="str"/>
      <x:c r="I2088" s="7" t="str"/>
      <x:c r="J2088" s="7" t="str">
        <x:f>IF(OR(H2088="",I2088=""),"",I2088-H2088)</x:f>
      </x:c>
      <x:c r="K2088" s="7" t="str"/>
      <x:c r="L2088" s="7" t="str"/>
      <x:c r="M2088" s="7" t="str">
        <x:f>IF(L2088="","OPEN",IF(OR(NOT(ISNUMBER(H2088)),NOT(ISNUMBER(I2088)),NOT(ISNUMBER(K2088)),ABS(J2088)&gt;K2088),"FAIL","PASS"))</x:f>
        <x:v>OPEN</x:v>
      </x:c>
    </x:row>
    <x:row r="2089">
      <x:c r="B2089" s="7" t="str">
        <x:v>CAL-CH-PEA-C-X3-12-1</x:v>
      </x:c>
      <x:c r="C2089" s="7" t="str">
        <x:v>CH-PEA-C-X3-12-1</x:v>
      </x:c>
      <x:c r="D2089" s="7" t="str">
        <x:v>PEA-C-X3</x:v>
      </x:c>
      <x:c r="E2089" s="7" t="str">
        <x:v>BLD-C</x:v>
      </x:c>
      <x:c r="F2089" s="7" t="str">
        <x:v>BL-X</x:v>
      </x:c>
      <x:c r="G2089" s="7" t="str">
        <x:v>MF-12</x:v>
      </x:c>
      <x:c r="H2089" s="7" t="str"/>
      <x:c r="I2089" s="7" t="str"/>
      <x:c r="J2089" s="7" t="str">
        <x:f>IF(OR(H2089="",I2089=""),"",I2089-H2089)</x:f>
      </x:c>
      <x:c r="K2089" s="7" t="str"/>
      <x:c r="L2089" s="7" t="str"/>
      <x:c r="M2089" s="7" t="str">
        <x:f>IF(L2089="","OPEN",IF(OR(NOT(ISNUMBER(H2089)),NOT(ISNUMBER(I2089)),NOT(ISNUMBER(K2089)),ABS(J2089)&gt;K2089),"FAIL","PASS"))</x:f>
        <x:v>OPEN</x:v>
      </x:c>
    </x:row>
    <x:row r="2090">
      <x:c r="B2090" s="7" t="str">
        <x:v>CAL-CH-PEA-C-X3-12-2</x:v>
      </x:c>
      <x:c r="C2090" s="7" t="str">
        <x:v>CH-PEA-C-X3-12-2</x:v>
      </x:c>
      <x:c r="D2090" s="7" t="str">
        <x:v>PEA-C-X3</x:v>
      </x:c>
      <x:c r="E2090" s="7" t="str">
        <x:v>BLD-C</x:v>
      </x:c>
      <x:c r="F2090" s="7" t="str">
        <x:v>BL-X</x:v>
      </x:c>
      <x:c r="G2090" s="7" t="str">
        <x:v>MF-12</x:v>
      </x:c>
      <x:c r="H2090" s="7" t="str"/>
      <x:c r="I2090" s="7" t="str"/>
      <x:c r="J2090" s="7" t="str">
        <x:f>IF(OR(H2090="",I2090=""),"",I2090-H2090)</x:f>
      </x:c>
      <x:c r="K2090" s="7" t="str"/>
      <x:c r="L2090" s="7" t="str"/>
      <x:c r="M2090" s="7" t="str">
        <x:f>IF(L2090="","OPEN",IF(OR(NOT(ISNUMBER(H2090)),NOT(ISNUMBER(I2090)),NOT(ISNUMBER(K2090)),ABS(J2090)&gt;K2090),"FAIL","PASS"))</x:f>
        <x:v>OPEN</x:v>
      </x:c>
    </x:row>
    <x:row r="2091">
      <x:c r="B2091" s="7" t="str">
        <x:v>CAL-CH-PEA-C-X3-12-3</x:v>
      </x:c>
      <x:c r="C2091" s="7" t="str">
        <x:v>CH-PEA-C-X3-12-3</x:v>
      </x:c>
      <x:c r="D2091" s="7" t="str">
        <x:v>PEA-C-X3</x:v>
      </x:c>
      <x:c r="E2091" s="7" t="str">
        <x:v>BLD-C</x:v>
      </x:c>
      <x:c r="F2091" s="7" t="str">
        <x:v>BL-X</x:v>
      </x:c>
      <x:c r="G2091" s="7" t="str">
        <x:v>MF-12</x:v>
      </x:c>
      <x:c r="H2091" s="7" t="str"/>
      <x:c r="I2091" s="7" t="str"/>
      <x:c r="J2091" s="7" t="str">
        <x:f>IF(OR(H2091="",I2091=""),"",I2091-H2091)</x:f>
      </x:c>
      <x:c r="K2091" s="7" t="str"/>
      <x:c r="L2091" s="7" t="str"/>
      <x:c r="M2091" s="7" t="str">
        <x:f>IF(L2091="","OPEN",IF(OR(NOT(ISNUMBER(H2091)),NOT(ISNUMBER(I2091)),NOT(ISNUMBER(K2091)),ABS(J2091)&gt;K2091),"FAIL","PASS"))</x:f>
        <x:v>OPEN</x:v>
      </x:c>
    </x:row>
    <x:row r="2092">
      <x:c r="B2092" s="7" t="str">
        <x:v>CAL-CH-PEA-C-X3-12-4</x:v>
      </x:c>
      <x:c r="C2092" s="7" t="str">
        <x:v>CH-PEA-C-X3-12-4</x:v>
      </x:c>
      <x:c r="D2092" s="7" t="str">
        <x:v>PEA-C-X3</x:v>
      </x:c>
      <x:c r="E2092" s="7" t="str">
        <x:v>BLD-C</x:v>
      </x:c>
      <x:c r="F2092" s="7" t="str">
        <x:v>BL-X</x:v>
      </x:c>
      <x:c r="G2092" s="7" t="str">
        <x:v>MF-12</x:v>
      </x:c>
      <x:c r="H2092" s="7" t="str"/>
      <x:c r="I2092" s="7" t="str"/>
      <x:c r="J2092" s="7" t="str">
        <x:f>IF(OR(H2092="",I2092=""),"",I2092-H2092)</x:f>
      </x:c>
      <x:c r="K2092" s="7" t="str"/>
      <x:c r="L2092" s="7" t="str"/>
      <x:c r="M2092" s="7" t="str">
        <x:f>IF(L2092="","OPEN",IF(OR(NOT(ISNUMBER(H2092)),NOT(ISNUMBER(I2092)),NOT(ISNUMBER(K2092)),ABS(J2092)&gt;K2092),"FAIL","PASS"))</x:f>
        <x:v>OPEN</x:v>
      </x:c>
    </x:row>
    <x:row r="2093">
      <x:c r="B2093" s="7" t="str">
        <x:v>CAL-CH-PEA-C-X3-12-5</x:v>
      </x:c>
      <x:c r="C2093" s="7" t="str">
        <x:v>CH-PEA-C-X3-12-5</x:v>
      </x:c>
      <x:c r="D2093" s="7" t="str">
        <x:v>PEA-C-X3</x:v>
      </x:c>
      <x:c r="E2093" s="7" t="str">
        <x:v>BLD-C</x:v>
      </x:c>
      <x:c r="F2093" s="7" t="str">
        <x:v>BL-X</x:v>
      </x:c>
      <x:c r="G2093" s="7" t="str">
        <x:v>MF-12</x:v>
      </x:c>
      <x:c r="H2093" s="7" t="str"/>
      <x:c r="I2093" s="7" t="str"/>
      <x:c r="J2093" s="7" t="str">
        <x:f>IF(OR(H2093="",I2093=""),"",I2093-H2093)</x:f>
      </x:c>
      <x:c r="K2093" s="7" t="str"/>
      <x:c r="L2093" s="7" t="str"/>
      <x:c r="M2093" s="7" t="str">
        <x:f>IF(L2093="","OPEN",IF(OR(NOT(ISNUMBER(H2093)),NOT(ISNUMBER(I2093)),NOT(ISNUMBER(K2093)),ABS(J2093)&gt;K2093),"FAIL","PASS"))</x:f>
        <x:v>OPEN</x:v>
      </x:c>
    </x:row>
    <x:row r="2094">
      <x:c r="B2094" s="7" t="str">
        <x:v>CAL-CH-PEA-C-X3-12-6</x:v>
      </x:c>
      <x:c r="C2094" s="7" t="str">
        <x:v>CH-PEA-C-X3-12-6</x:v>
      </x:c>
      <x:c r="D2094" s="7" t="str">
        <x:v>PEA-C-X3</x:v>
      </x:c>
      <x:c r="E2094" s="7" t="str">
        <x:v>BLD-C</x:v>
      </x:c>
      <x:c r="F2094" s="7" t="str">
        <x:v>BL-X</x:v>
      </x:c>
      <x:c r="G2094" s="7" t="str">
        <x:v>MF-12</x:v>
      </x:c>
      <x:c r="H2094" s="7" t="str"/>
      <x:c r="I2094" s="7" t="str"/>
      <x:c r="J2094" s="7" t="str">
        <x:f>IF(OR(H2094="",I2094=""),"",I2094-H2094)</x:f>
      </x:c>
      <x:c r="K2094" s="7" t="str"/>
      <x:c r="L2094" s="7" t="str"/>
      <x:c r="M2094" s="7" t="str">
        <x:f>IF(L2094="","OPEN",IF(OR(NOT(ISNUMBER(H2094)),NOT(ISNUMBER(I2094)),NOT(ISNUMBER(K2094)),ABS(J2094)&gt;K2094),"FAIL","PASS"))</x:f>
        <x:v>OPEN</x:v>
      </x:c>
    </x:row>
    <x:row r="2095">
      <x:c r="B2095" s="7" t="str">
        <x:v>CAL-CH-PEA-C-X3-13-1</x:v>
      </x:c>
      <x:c r="C2095" s="7" t="str">
        <x:v>CH-PEA-C-X3-13-1</x:v>
      </x:c>
      <x:c r="D2095" s="7" t="str">
        <x:v>PEA-C-X3</x:v>
      </x:c>
      <x:c r="E2095" s="7" t="str">
        <x:v>BLD-C</x:v>
      </x:c>
      <x:c r="F2095" s="7" t="str">
        <x:v>BL-X</x:v>
      </x:c>
      <x:c r="G2095" s="7" t="str">
        <x:v>MF-13</x:v>
      </x:c>
      <x:c r="H2095" s="7" t="str"/>
      <x:c r="I2095" s="7" t="str"/>
      <x:c r="J2095" s="7" t="str">
        <x:f>IF(OR(H2095="",I2095=""),"",I2095-H2095)</x:f>
      </x:c>
      <x:c r="K2095" s="7" t="str"/>
      <x:c r="L2095" s="7" t="str"/>
      <x:c r="M2095" s="7" t="str">
        <x:f>IF(L2095="","OPEN",IF(OR(NOT(ISNUMBER(H2095)),NOT(ISNUMBER(I2095)),NOT(ISNUMBER(K2095)),ABS(J2095)&gt;K2095),"FAIL","PASS"))</x:f>
        <x:v>OPEN</x:v>
      </x:c>
    </x:row>
    <x:row r="2096">
      <x:c r="B2096" s="7" t="str">
        <x:v>CAL-CH-PEA-C-X3-13-2</x:v>
      </x:c>
      <x:c r="C2096" s="7" t="str">
        <x:v>CH-PEA-C-X3-13-2</x:v>
      </x:c>
      <x:c r="D2096" s="7" t="str">
        <x:v>PEA-C-X3</x:v>
      </x:c>
      <x:c r="E2096" s="7" t="str">
        <x:v>BLD-C</x:v>
      </x:c>
      <x:c r="F2096" s="7" t="str">
        <x:v>BL-X</x:v>
      </x:c>
      <x:c r="G2096" s="7" t="str">
        <x:v>MF-13</x:v>
      </x:c>
      <x:c r="H2096" s="7" t="str"/>
      <x:c r="I2096" s="7" t="str"/>
      <x:c r="J2096" s="7" t="str">
        <x:f>IF(OR(H2096="",I2096=""),"",I2096-H2096)</x:f>
      </x:c>
      <x:c r="K2096" s="7" t="str"/>
      <x:c r="L2096" s="7" t="str"/>
      <x:c r="M2096" s="7" t="str">
        <x:f>IF(L2096="","OPEN",IF(OR(NOT(ISNUMBER(H2096)),NOT(ISNUMBER(I2096)),NOT(ISNUMBER(K2096)),ABS(J2096)&gt;K2096),"FAIL","PASS"))</x:f>
        <x:v>OPEN</x:v>
      </x:c>
    </x:row>
    <x:row r="2097">
      <x:c r="B2097" s="7" t="str">
        <x:v>CAL-CH-PEA-C-X3-13-3</x:v>
      </x:c>
      <x:c r="C2097" s="7" t="str">
        <x:v>CH-PEA-C-X3-13-3</x:v>
      </x:c>
      <x:c r="D2097" s="7" t="str">
        <x:v>PEA-C-X3</x:v>
      </x:c>
      <x:c r="E2097" s="7" t="str">
        <x:v>BLD-C</x:v>
      </x:c>
      <x:c r="F2097" s="7" t="str">
        <x:v>BL-X</x:v>
      </x:c>
      <x:c r="G2097" s="7" t="str">
        <x:v>MF-13</x:v>
      </x:c>
      <x:c r="H2097" s="7" t="str"/>
      <x:c r="I2097" s="7" t="str"/>
      <x:c r="J2097" s="7" t="str">
        <x:f>IF(OR(H2097="",I2097=""),"",I2097-H2097)</x:f>
      </x:c>
      <x:c r="K2097" s="7" t="str"/>
      <x:c r="L2097" s="7" t="str"/>
      <x:c r="M2097" s="7" t="str">
        <x:f>IF(L2097="","OPEN",IF(OR(NOT(ISNUMBER(H2097)),NOT(ISNUMBER(I2097)),NOT(ISNUMBER(K2097)),ABS(J2097)&gt;K2097),"FAIL","PASS"))</x:f>
        <x:v>OPEN</x:v>
      </x:c>
    </x:row>
    <x:row r="2098">
      <x:c r="B2098" s="7" t="str">
        <x:v>CAL-CH-PEA-C-X3-13-4</x:v>
      </x:c>
      <x:c r="C2098" s="7" t="str">
        <x:v>CH-PEA-C-X3-13-4</x:v>
      </x:c>
      <x:c r="D2098" s="7" t="str">
        <x:v>PEA-C-X3</x:v>
      </x:c>
      <x:c r="E2098" s="7" t="str">
        <x:v>BLD-C</x:v>
      </x:c>
      <x:c r="F2098" s="7" t="str">
        <x:v>BL-X</x:v>
      </x:c>
      <x:c r="G2098" s="7" t="str">
        <x:v>MF-13</x:v>
      </x:c>
      <x:c r="H2098" s="7" t="str"/>
      <x:c r="I2098" s="7" t="str"/>
      <x:c r="J2098" s="7" t="str">
        <x:f>IF(OR(H2098="",I2098=""),"",I2098-H2098)</x:f>
      </x:c>
      <x:c r="K2098" s="7" t="str"/>
      <x:c r="L2098" s="7" t="str"/>
      <x:c r="M2098" s="7" t="str">
        <x:f>IF(L2098="","OPEN",IF(OR(NOT(ISNUMBER(H2098)),NOT(ISNUMBER(I2098)),NOT(ISNUMBER(K2098)),ABS(J2098)&gt;K2098),"FAIL","PASS"))</x:f>
        <x:v>OPEN</x:v>
      </x:c>
    </x:row>
    <x:row r="2099">
      <x:c r="B2099" s="7" t="str">
        <x:v>CAL-CH-PEA-C-X3-13-5</x:v>
      </x:c>
      <x:c r="C2099" s="7" t="str">
        <x:v>CH-PEA-C-X3-13-5</x:v>
      </x:c>
      <x:c r="D2099" s="7" t="str">
        <x:v>PEA-C-X3</x:v>
      </x:c>
      <x:c r="E2099" s="7" t="str">
        <x:v>BLD-C</x:v>
      </x:c>
      <x:c r="F2099" s="7" t="str">
        <x:v>BL-X</x:v>
      </x:c>
      <x:c r="G2099" s="7" t="str">
        <x:v>MF-13</x:v>
      </x:c>
      <x:c r="H2099" s="7" t="str"/>
      <x:c r="I2099" s="7" t="str"/>
      <x:c r="J2099" s="7" t="str">
        <x:f>IF(OR(H2099="",I2099=""),"",I2099-H2099)</x:f>
      </x:c>
      <x:c r="K2099" s="7" t="str"/>
      <x:c r="L2099" s="7" t="str"/>
      <x:c r="M2099" s="7" t="str">
        <x:f>IF(L2099="","OPEN",IF(OR(NOT(ISNUMBER(H2099)),NOT(ISNUMBER(I2099)),NOT(ISNUMBER(K2099)),ABS(J2099)&gt;K2099),"FAIL","PASS"))</x:f>
        <x:v>OPEN</x:v>
      </x:c>
    </x:row>
    <x:row r="2100">
      <x:c r="B2100" s="7" t="str">
        <x:v>CAL-CH-PEA-C-X3-13-6</x:v>
      </x:c>
      <x:c r="C2100" s="7" t="str">
        <x:v>CH-PEA-C-X3-13-6</x:v>
      </x:c>
      <x:c r="D2100" s="7" t="str">
        <x:v>PEA-C-X3</x:v>
      </x:c>
      <x:c r="E2100" s="7" t="str">
        <x:v>BLD-C</x:v>
      </x:c>
      <x:c r="F2100" s="7" t="str">
        <x:v>BL-X</x:v>
      </x:c>
      <x:c r="G2100" s="7" t="str">
        <x:v>MF-13</x:v>
      </x:c>
      <x:c r="H2100" s="7" t="str"/>
      <x:c r="I2100" s="7" t="str"/>
      <x:c r="J2100" s="7" t="str">
        <x:f>IF(OR(H2100="",I2100=""),"",I2100-H2100)</x:f>
      </x:c>
      <x:c r="K2100" s="7" t="str"/>
      <x:c r="L2100" s="7" t="str"/>
      <x:c r="M2100" s="7" t="str">
        <x:f>IF(L2100="","OPEN",IF(OR(NOT(ISNUMBER(H2100)),NOT(ISNUMBER(I2100)),NOT(ISNUMBER(K2100)),ABS(J2100)&gt;K2100),"FAIL","PASS"))</x:f>
        <x:v>OPEN</x:v>
      </x:c>
    </x:row>
    <x:row r="2101">
      <x:c r="B2101" s="7" t="str">
        <x:v>CAL-CH-PEA-C-X3-14-1</x:v>
      </x:c>
      <x:c r="C2101" s="7" t="str">
        <x:v>CH-PEA-C-X3-14-1</x:v>
      </x:c>
      <x:c r="D2101" s="7" t="str">
        <x:v>PEA-C-X3</x:v>
      </x:c>
      <x:c r="E2101" s="7" t="str">
        <x:v>BLD-C</x:v>
      </x:c>
      <x:c r="F2101" s="7" t="str">
        <x:v>BL-X</x:v>
      </x:c>
      <x:c r="G2101" s="7" t="str">
        <x:v>MF-14</x:v>
      </x:c>
      <x:c r="H2101" s="7" t="str"/>
      <x:c r="I2101" s="7" t="str"/>
      <x:c r="J2101" s="7" t="str">
        <x:f>IF(OR(H2101="",I2101=""),"",I2101-H2101)</x:f>
      </x:c>
      <x:c r="K2101" s="7" t="str"/>
      <x:c r="L2101" s="7" t="str"/>
      <x:c r="M2101" s="7" t="str">
        <x:f>IF(L2101="","OPEN",IF(OR(NOT(ISNUMBER(H2101)),NOT(ISNUMBER(I2101)),NOT(ISNUMBER(K2101)),ABS(J2101)&gt;K2101),"FAIL","PASS"))</x:f>
        <x:v>OPEN</x:v>
      </x:c>
    </x:row>
    <x:row r="2102">
      <x:c r="B2102" s="7" t="str">
        <x:v>CAL-CH-PEA-C-X3-14-2</x:v>
      </x:c>
      <x:c r="C2102" s="7" t="str">
        <x:v>CH-PEA-C-X3-14-2</x:v>
      </x:c>
      <x:c r="D2102" s="7" t="str">
        <x:v>PEA-C-X3</x:v>
      </x:c>
      <x:c r="E2102" s="7" t="str">
        <x:v>BLD-C</x:v>
      </x:c>
      <x:c r="F2102" s="7" t="str">
        <x:v>BL-X</x:v>
      </x:c>
      <x:c r="G2102" s="7" t="str">
        <x:v>MF-14</x:v>
      </x:c>
      <x:c r="H2102" s="7" t="str"/>
      <x:c r="I2102" s="7" t="str"/>
      <x:c r="J2102" s="7" t="str">
        <x:f>IF(OR(H2102="",I2102=""),"",I2102-H2102)</x:f>
      </x:c>
      <x:c r="K2102" s="7" t="str"/>
      <x:c r="L2102" s="7" t="str"/>
      <x:c r="M2102" s="7" t="str">
        <x:f>IF(L2102="","OPEN",IF(OR(NOT(ISNUMBER(H2102)),NOT(ISNUMBER(I2102)),NOT(ISNUMBER(K2102)),ABS(J2102)&gt;K2102),"FAIL","PASS"))</x:f>
        <x:v>OPEN</x:v>
      </x:c>
    </x:row>
    <x:row r="2103">
      <x:c r="B2103" s="7" t="str">
        <x:v>CAL-CH-PEA-C-X3-14-3</x:v>
      </x:c>
      <x:c r="C2103" s="7" t="str">
        <x:v>CH-PEA-C-X3-14-3</x:v>
      </x:c>
      <x:c r="D2103" s="7" t="str">
        <x:v>PEA-C-X3</x:v>
      </x:c>
      <x:c r="E2103" s="7" t="str">
        <x:v>BLD-C</x:v>
      </x:c>
      <x:c r="F2103" s="7" t="str">
        <x:v>BL-X</x:v>
      </x:c>
      <x:c r="G2103" s="7" t="str">
        <x:v>MF-14</x:v>
      </x:c>
      <x:c r="H2103" s="7" t="str"/>
      <x:c r="I2103" s="7" t="str"/>
      <x:c r="J2103" s="7" t="str">
        <x:f>IF(OR(H2103="",I2103=""),"",I2103-H2103)</x:f>
      </x:c>
      <x:c r="K2103" s="7" t="str"/>
      <x:c r="L2103" s="7" t="str"/>
      <x:c r="M2103" s="7" t="str">
        <x:f>IF(L2103="","OPEN",IF(OR(NOT(ISNUMBER(H2103)),NOT(ISNUMBER(I2103)),NOT(ISNUMBER(K2103)),ABS(J2103)&gt;K2103),"FAIL","PASS"))</x:f>
        <x:v>OPEN</x:v>
      </x:c>
    </x:row>
    <x:row r="2104">
      <x:c r="B2104" s="7" t="str">
        <x:v>CAL-CH-PEA-C-X3-14-4</x:v>
      </x:c>
      <x:c r="C2104" s="7" t="str">
        <x:v>CH-PEA-C-X3-14-4</x:v>
      </x:c>
      <x:c r="D2104" s="7" t="str">
        <x:v>PEA-C-X3</x:v>
      </x:c>
      <x:c r="E2104" s="7" t="str">
        <x:v>BLD-C</x:v>
      </x:c>
      <x:c r="F2104" s="7" t="str">
        <x:v>BL-X</x:v>
      </x:c>
      <x:c r="G2104" s="7" t="str">
        <x:v>MF-14</x:v>
      </x:c>
      <x:c r="H2104" s="7" t="str"/>
      <x:c r="I2104" s="7" t="str"/>
      <x:c r="J2104" s="7" t="str">
        <x:f>IF(OR(H2104="",I2104=""),"",I2104-H2104)</x:f>
      </x:c>
      <x:c r="K2104" s="7" t="str"/>
      <x:c r="L2104" s="7" t="str"/>
      <x:c r="M2104" s="7" t="str">
        <x:f>IF(L2104="","OPEN",IF(OR(NOT(ISNUMBER(H2104)),NOT(ISNUMBER(I2104)),NOT(ISNUMBER(K2104)),ABS(J2104)&gt;K2104),"FAIL","PASS"))</x:f>
        <x:v>OPEN</x:v>
      </x:c>
    </x:row>
    <x:row r="2105">
      <x:c r="B2105" s="7" t="str">
        <x:v>CAL-CH-PEA-C-X3-14-5</x:v>
      </x:c>
      <x:c r="C2105" s="7" t="str">
        <x:v>CH-PEA-C-X3-14-5</x:v>
      </x:c>
      <x:c r="D2105" s="7" t="str">
        <x:v>PEA-C-X3</x:v>
      </x:c>
      <x:c r="E2105" s="7" t="str">
        <x:v>BLD-C</x:v>
      </x:c>
      <x:c r="F2105" s="7" t="str">
        <x:v>BL-X</x:v>
      </x:c>
      <x:c r="G2105" s="7" t="str">
        <x:v>MF-14</x:v>
      </x:c>
      <x:c r="H2105" s="7" t="str"/>
      <x:c r="I2105" s="7" t="str"/>
      <x:c r="J2105" s="7" t="str">
        <x:f>IF(OR(H2105="",I2105=""),"",I2105-H2105)</x:f>
      </x:c>
      <x:c r="K2105" s="7" t="str"/>
      <x:c r="L2105" s="7" t="str"/>
      <x:c r="M2105" s="7" t="str">
        <x:f>IF(L2105="","OPEN",IF(OR(NOT(ISNUMBER(H2105)),NOT(ISNUMBER(I2105)),NOT(ISNUMBER(K2105)),ABS(J2105)&gt;K2105),"FAIL","PASS"))</x:f>
        <x:v>OPEN</x:v>
      </x:c>
    </x:row>
    <x:row r="2106">
      <x:c r="B2106" s="7" t="str">
        <x:v>CAL-CH-PEA-C-X3-14-6</x:v>
      </x:c>
      <x:c r="C2106" s="7" t="str">
        <x:v>CH-PEA-C-X3-14-6</x:v>
      </x:c>
      <x:c r="D2106" s="7" t="str">
        <x:v>PEA-C-X3</x:v>
      </x:c>
      <x:c r="E2106" s="7" t="str">
        <x:v>BLD-C</x:v>
      </x:c>
      <x:c r="F2106" s="7" t="str">
        <x:v>BL-X</x:v>
      </x:c>
      <x:c r="G2106" s="7" t="str">
        <x:v>MF-14</x:v>
      </x:c>
      <x:c r="H2106" s="7" t="str"/>
      <x:c r="I2106" s="7" t="str"/>
      <x:c r="J2106" s="7" t="str">
        <x:f>IF(OR(H2106="",I2106=""),"",I2106-H2106)</x:f>
      </x:c>
      <x:c r="K2106" s="7" t="str"/>
      <x:c r="L2106" s="7" t="str"/>
      <x:c r="M2106" s="7" t="str">
        <x:f>IF(L2106="","OPEN",IF(OR(NOT(ISNUMBER(H2106)),NOT(ISNUMBER(I2106)),NOT(ISNUMBER(K2106)),ABS(J2106)&gt;K2106),"FAIL","PASS"))</x:f>
        <x:v>OPEN</x:v>
      </x:c>
    </x:row>
    <x:row r="2107">
      <x:c r="B2107" s="7" t="str">
        <x:v>CAL-CH-PEA-C-X3-15-1</x:v>
      </x:c>
      <x:c r="C2107" s="7" t="str">
        <x:v>CH-PEA-C-X3-15-1</x:v>
      </x:c>
      <x:c r="D2107" s="7" t="str">
        <x:v>PEA-C-X3</x:v>
      </x:c>
      <x:c r="E2107" s="7" t="str">
        <x:v>BLD-C</x:v>
      </x:c>
      <x:c r="F2107" s="7" t="str">
        <x:v>BL-X</x:v>
      </x:c>
      <x:c r="G2107" s="7" t="str">
        <x:v>MF-15</x:v>
      </x:c>
      <x:c r="H2107" s="7" t="str"/>
      <x:c r="I2107" s="7" t="str"/>
      <x:c r="J2107" s="7" t="str">
        <x:f>IF(OR(H2107="",I2107=""),"",I2107-H2107)</x:f>
      </x:c>
      <x:c r="K2107" s="7" t="str"/>
      <x:c r="L2107" s="7" t="str"/>
      <x:c r="M2107" s="7" t="str">
        <x:f>IF(L2107="","OPEN",IF(OR(NOT(ISNUMBER(H2107)),NOT(ISNUMBER(I2107)),NOT(ISNUMBER(K2107)),ABS(J2107)&gt;K2107),"FAIL","PASS"))</x:f>
        <x:v>OPEN</x:v>
      </x:c>
    </x:row>
    <x:row r="2108">
      <x:c r="B2108" s="7" t="str">
        <x:v>CAL-CH-PEA-C-X3-15-2</x:v>
      </x:c>
      <x:c r="C2108" s="7" t="str">
        <x:v>CH-PEA-C-X3-15-2</x:v>
      </x:c>
      <x:c r="D2108" s="7" t="str">
        <x:v>PEA-C-X3</x:v>
      </x:c>
      <x:c r="E2108" s="7" t="str">
        <x:v>BLD-C</x:v>
      </x:c>
      <x:c r="F2108" s="7" t="str">
        <x:v>BL-X</x:v>
      </x:c>
      <x:c r="G2108" s="7" t="str">
        <x:v>MF-15</x:v>
      </x:c>
      <x:c r="H2108" s="7" t="str"/>
      <x:c r="I2108" s="7" t="str"/>
      <x:c r="J2108" s="7" t="str">
        <x:f>IF(OR(H2108="",I2108=""),"",I2108-H2108)</x:f>
      </x:c>
      <x:c r="K2108" s="7" t="str"/>
      <x:c r="L2108" s="7" t="str"/>
      <x:c r="M2108" s="7" t="str">
        <x:f>IF(L2108="","OPEN",IF(OR(NOT(ISNUMBER(H2108)),NOT(ISNUMBER(I2108)),NOT(ISNUMBER(K2108)),ABS(J2108)&gt;K2108),"FAIL","PASS"))</x:f>
        <x:v>OPEN</x:v>
      </x:c>
    </x:row>
    <x:row r="2109">
      <x:c r="B2109" s="7" t="str">
        <x:v>CAL-CH-PEA-C-X3-15-3</x:v>
      </x:c>
      <x:c r="C2109" s="7" t="str">
        <x:v>CH-PEA-C-X3-15-3</x:v>
      </x:c>
      <x:c r="D2109" s="7" t="str">
        <x:v>PEA-C-X3</x:v>
      </x:c>
      <x:c r="E2109" s="7" t="str">
        <x:v>BLD-C</x:v>
      </x:c>
      <x:c r="F2109" s="7" t="str">
        <x:v>BL-X</x:v>
      </x:c>
      <x:c r="G2109" s="7" t="str">
        <x:v>MF-15</x:v>
      </x:c>
      <x:c r="H2109" s="7" t="str"/>
      <x:c r="I2109" s="7" t="str"/>
      <x:c r="J2109" s="7" t="str">
        <x:f>IF(OR(H2109="",I2109=""),"",I2109-H2109)</x:f>
      </x:c>
      <x:c r="K2109" s="7" t="str"/>
      <x:c r="L2109" s="7" t="str"/>
      <x:c r="M2109" s="7" t="str">
        <x:f>IF(L2109="","OPEN",IF(OR(NOT(ISNUMBER(H2109)),NOT(ISNUMBER(I2109)),NOT(ISNUMBER(K2109)),ABS(J2109)&gt;K2109),"FAIL","PASS"))</x:f>
        <x:v>OPEN</x:v>
      </x:c>
    </x:row>
    <x:row r="2110">
      <x:c r="B2110" s="7" t="str">
        <x:v>CAL-CH-PEA-C-X3-15-4</x:v>
      </x:c>
      <x:c r="C2110" s="7" t="str">
        <x:v>CH-PEA-C-X3-15-4</x:v>
      </x:c>
      <x:c r="D2110" s="7" t="str">
        <x:v>PEA-C-X3</x:v>
      </x:c>
      <x:c r="E2110" s="7" t="str">
        <x:v>BLD-C</x:v>
      </x:c>
      <x:c r="F2110" s="7" t="str">
        <x:v>BL-X</x:v>
      </x:c>
      <x:c r="G2110" s="7" t="str">
        <x:v>MF-15</x:v>
      </x:c>
      <x:c r="H2110" s="7" t="str"/>
      <x:c r="I2110" s="7" t="str"/>
      <x:c r="J2110" s="7" t="str">
        <x:f>IF(OR(H2110="",I2110=""),"",I2110-H2110)</x:f>
      </x:c>
      <x:c r="K2110" s="7" t="str"/>
      <x:c r="L2110" s="7" t="str"/>
      <x:c r="M2110" s="7" t="str">
        <x:f>IF(L2110="","OPEN",IF(OR(NOT(ISNUMBER(H2110)),NOT(ISNUMBER(I2110)),NOT(ISNUMBER(K2110)),ABS(J2110)&gt;K2110),"FAIL","PASS"))</x:f>
        <x:v>OPEN</x:v>
      </x:c>
    </x:row>
    <x:row r="2111">
      <x:c r="B2111" s="7" t="str">
        <x:v>CAL-CH-PEA-C-X3-15-5</x:v>
      </x:c>
      <x:c r="C2111" s="7" t="str">
        <x:v>CH-PEA-C-X3-15-5</x:v>
      </x:c>
      <x:c r="D2111" s="7" t="str">
        <x:v>PEA-C-X3</x:v>
      </x:c>
      <x:c r="E2111" s="7" t="str">
        <x:v>BLD-C</x:v>
      </x:c>
      <x:c r="F2111" s="7" t="str">
        <x:v>BL-X</x:v>
      </x:c>
      <x:c r="G2111" s="7" t="str">
        <x:v>MF-15</x:v>
      </x:c>
      <x:c r="H2111" s="7" t="str"/>
      <x:c r="I2111" s="7" t="str"/>
      <x:c r="J2111" s="7" t="str">
        <x:f>IF(OR(H2111="",I2111=""),"",I2111-H2111)</x:f>
      </x:c>
      <x:c r="K2111" s="7" t="str"/>
      <x:c r="L2111" s="7" t="str"/>
      <x:c r="M2111" s="7" t="str">
        <x:f>IF(L2111="","OPEN",IF(OR(NOT(ISNUMBER(H2111)),NOT(ISNUMBER(I2111)),NOT(ISNUMBER(K2111)),ABS(J2111)&gt;K2111),"FAIL","PASS"))</x:f>
        <x:v>OPEN</x:v>
      </x:c>
    </x:row>
    <x:row r="2112">
      <x:c r="B2112" s="7" t="str">
        <x:v>CAL-CH-PEA-C-X3-15-6</x:v>
      </x:c>
      <x:c r="C2112" s="7" t="str">
        <x:v>CH-PEA-C-X3-15-6</x:v>
      </x:c>
      <x:c r="D2112" s="7" t="str">
        <x:v>PEA-C-X3</x:v>
      </x:c>
      <x:c r="E2112" s="7" t="str">
        <x:v>BLD-C</x:v>
      </x:c>
      <x:c r="F2112" s="7" t="str">
        <x:v>BL-X</x:v>
      </x:c>
      <x:c r="G2112" s="7" t="str">
        <x:v>MF-15</x:v>
      </x:c>
      <x:c r="H2112" s="7" t="str"/>
      <x:c r="I2112" s="7" t="str"/>
      <x:c r="J2112" s="7" t="str">
        <x:f>IF(OR(H2112="",I2112=""),"",I2112-H2112)</x:f>
      </x:c>
      <x:c r="K2112" s="7" t="str"/>
      <x:c r="L2112" s="7" t="str"/>
      <x:c r="M2112" s="7" t="str">
        <x:f>IF(L2112="","OPEN",IF(OR(NOT(ISNUMBER(H2112)),NOT(ISNUMBER(I2112)),NOT(ISNUMBER(K2112)),ABS(J2112)&gt;K2112),"FAIL","PASS"))</x:f>
        <x:v>OPEN</x:v>
      </x:c>
    </x:row>
    <x:row r="2113">
      <x:c r="B2113" s="7" t="str">
        <x:v>CAL-CH-PEA-C-X3-16-1</x:v>
      </x:c>
      <x:c r="C2113" s="7" t="str">
        <x:v>CH-PEA-C-X3-16-1</x:v>
      </x:c>
      <x:c r="D2113" s="7" t="str">
        <x:v>PEA-C-X3</x:v>
      </x:c>
      <x:c r="E2113" s="7" t="str">
        <x:v>BLD-C</x:v>
      </x:c>
      <x:c r="F2113" s="7" t="str">
        <x:v>BL-X</x:v>
      </x:c>
      <x:c r="G2113" s="7" t="str">
        <x:v>MF-16</x:v>
      </x:c>
      <x:c r="H2113" s="7" t="str"/>
      <x:c r="I2113" s="7" t="str"/>
      <x:c r="J2113" s="7" t="str">
        <x:f>IF(OR(H2113="",I2113=""),"",I2113-H2113)</x:f>
      </x:c>
      <x:c r="K2113" s="7" t="str"/>
      <x:c r="L2113" s="7" t="str"/>
      <x:c r="M2113" s="7" t="str">
        <x:f>IF(L2113="","OPEN",IF(OR(NOT(ISNUMBER(H2113)),NOT(ISNUMBER(I2113)),NOT(ISNUMBER(K2113)),ABS(J2113)&gt;K2113),"FAIL","PASS"))</x:f>
        <x:v>OPEN</x:v>
      </x:c>
    </x:row>
    <x:row r="2114">
      <x:c r="B2114" s="7" t="str">
        <x:v>CAL-CH-PEA-C-X3-16-2</x:v>
      </x:c>
      <x:c r="C2114" s="7" t="str">
        <x:v>CH-PEA-C-X3-16-2</x:v>
      </x:c>
      <x:c r="D2114" s="7" t="str">
        <x:v>PEA-C-X3</x:v>
      </x:c>
      <x:c r="E2114" s="7" t="str">
        <x:v>BLD-C</x:v>
      </x:c>
      <x:c r="F2114" s="7" t="str">
        <x:v>BL-X</x:v>
      </x:c>
      <x:c r="G2114" s="7" t="str">
        <x:v>MF-16</x:v>
      </x:c>
      <x:c r="H2114" s="7" t="str"/>
      <x:c r="I2114" s="7" t="str"/>
      <x:c r="J2114" s="7" t="str">
        <x:f>IF(OR(H2114="",I2114=""),"",I2114-H2114)</x:f>
      </x:c>
      <x:c r="K2114" s="7" t="str"/>
      <x:c r="L2114" s="7" t="str"/>
      <x:c r="M2114" s="7" t="str">
        <x:f>IF(L2114="","OPEN",IF(OR(NOT(ISNUMBER(H2114)),NOT(ISNUMBER(I2114)),NOT(ISNUMBER(K2114)),ABS(J2114)&gt;K2114),"FAIL","PASS"))</x:f>
        <x:v>OPEN</x:v>
      </x:c>
    </x:row>
    <x:row r="2115">
      <x:c r="B2115" s="7" t="str">
        <x:v>CAL-CH-PEA-C-X3-16-3</x:v>
      </x:c>
      <x:c r="C2115" s="7" t="str">
        <x:v>CH-PEA-C-X3-16-3</x:v>
      </x:c>
      <x:c r="D2115" s="7" t="str">
        <x:v>PEA-C-X3</x:v>
      </x:c>
      <x:c r="E2115" s="7" t="str">
        <x:v>BLD-C</x:v>
      </x:c>
      <x:c r="F2115" s="7" t="str">
        <x:v>BL-X</x:v>
      </x:c>
      <x:c r="G2115" s="7" t="str">
        <x:v>MF-16</x:v>
      </x:c>
      <x:c r="H2115" s="7" t="str"/>
      <x:c r="I2115" s="7" t="str"/>
      <x:c r="J2115" s="7" t="str">
        <x:f>IF(OR(H2115="",I2115=""),"",I2115-H2115)</x:f>
      </x:c>
      <x:c r="K2115" s="7" t="str"/>
      <x:c r="L2115" s="7" t="str"/>
      <x:c r="M2115" s="7" t="str">
        <x:f>IF(L2115="","OPEN",IF(OR(NOT(ISNUMBER(H2115)),NOT(ISNUMBER(I2115)),NOT(ISNUMBER(K2115)),ABS(J2115)&gt;K2115),"FAIL","PASS"))</x:f>
        <x:v>OPEN</x:v>
      </x:c>
    </x:row>
    <x:row r="2116">
      <x:c r="B2116" s="7" t="str">
        <x:v>CAL-CH-PEA-C-X3-16-4</x:v>
      </x:c>
      <x:c r="C2116" s="7" t="str">
        <x:v>CH-PEA-C-X3-16-4</x:v>
      </x:c>
      <x:c r="D2116" s="7" t="str">
        <x:v>PEA-C-X3</x:v>
      </x:c>
      <x:c r="E2116" s="7" t="str">
        <x:v>BLD-C</x:v>
      </x:c>
      <x:c r="F2116" s="7" t="str">
        <x:v>BL-X</x:v>
      </x:c>
      <x:c r="G2116" s="7" t="str">
        <x:v>MF-16</x:v>
      </x:c>
      <x:c r="H2116" s="7" t="str"/>
      <x:c r="I2116" s="7" t="str"/>
      <x:c r="J2116" s="7" t="str">
        <x:f>IF(OR(H2116="",I2116=""),"",I2116-H2116)</x:f>
      </x:c>
      <x:c r="K2116" s="7" t="str"/>
      <x:c r="L2116" s="7" t="str"/>
      <x:c r="M2116" s="7" t="str">
        <x:f>IF(L2116="","OPEN",IF(OR(NOT(ISNUMBER(H2116)),NOT(ISNUMBER(I2116)),NOT(ISNUMBER(K2116)),ABS(J2116)&gt;K2116),"FAIL","PASS"))</x:f>
        <x:v>OPEN</x:v>
      </x:c>
    </x:row>
    <x:row r="2117">
      <x:c r="B2117" s="7" t="str">
        <x:v>CAL-CH-PEA-C-X3-16-5</x:v>
      </x:c>
      <x:c r="C2117" s="7" t="str">
        <x:v>CH-PEA-C-X3-16-5</x:v>
      </x:c>
      <x:c r="D2117" s="7" t="str">
        <x:v>PEA-C-X3</x:v>
      </x:c>
      <x:c r="E2117" s="7" t="str">
        <x:v>BLD-C</x:v>
      </x:c>
      <x:c r="F2117" s="7" t="str">
        <x:v>BL-X</x:v>
      </x:c>
      <x:c r="G2117" s="7" t="str">
        <x:v>MF-16</x:v>
      </x:c>
      <x:c r="H2117" s="7" t="str"/>
      <x:c r="I2117" s="7" t="str"/>
      <x:c r="J2117" s="7" t="str">
        <x:f>IF(OR(H2117="",I2117=""),"",I2117-H2117)</x:f>
      </x:c>
      <x:c r="K2117" s="7" t="str"/>
      <x:c r="L2117" s="7" t="str"/>
      <x:c r="M2117" s="7" t="str">
        <x:f>IF(L2117="","OPEN",IF(OR(NOT(ISNUMBER(H2117)),NOT(ISNUMBER(I2117)),NOT(ISNUMBER(K2117)),ABS(J2117)&gt;K2117),"FAIL","PASS"))</x:f>
        <x:v>OPEN</x:v>
      </x:c>
    </x:row>
    <x:row r="2118">
      <x:c r="B2118" s="7" t="str">
        <x:v>CAL-CH-PEA-C-X3-16-6</x:v>
      </x:c>
      <x:c r="C2118" s="7" t="str">
        <x:v>CH-PEA-C-X3-16-6</x:v>
      </x:c>
      <x:c r="D2118" s="7" t="str">
        <x:v>PEA-C-X3</x:v>
      </x:c>
      <x:c r="E2118" s="7" t="str">
        <x:v>BLD-C</x:v>
      </x:c>
      <x:c r="F2118" s="7" t="str">
        <x:v>BL-X</x:v>
      </x:c>
      <x:c r="G2118" s="7" t="str">
        <x:v>MF-16</x:v>
      </x:c>
      <x:c r="H2118" s="7" t="str"/>
      <x:c r="I2118" s="7" t="str"/>
      <x:c r="J2118" s="7" t="str">
        <x:f>IF(OR(H2118="",I2118=""),"",I2118-H2118)</x:f>
      </x:c>
      <x:c r="K2118" s="7" t="str"/>
      <x:c r="L2118" s="7" t="str"/>
      <x:c r="M2118" s="7" t="str">
        <x:f>IF(L2118="","OPEN",IF(OR(NOT(ISNUMBER(H2118)),NOT(ISNUMBER(I2118)),NOT(ISNUMBER(K2118)),ABS(J2118)&gt;K2118),"FAIL","PASS"))</x:f>
        <x:v>OPEN</x:v>
      </x:c>
    </x:row>
    <x:row r="2119">
      <x:c r="B2119" s="7" t="str">
        <x:v>CAL-CH-PEA-C-X3-17-1</x:v>
      </x:c>
      <x:c r="C2119" s="7" t="str">
        <x:v>CH-PEA-C-X3-17-1</x:v>
      </x:c>
      <x:c r="D2119" s="7" t="str">
        <x:v>PEA-C-X3</x:v>
      </x:c>
      <x:c r="E2119" s="7" t="str">
        <x:v>BLD-C</x:v>
      </x:c>
      <x:c r="F2119" s="7" t="str">
        <x:v>BL-X</x:v>
      </x:c>
      <x:c r="G2119" s="7" t="str">
        <x:v>MF-17</x:v>
      </x:c>
      <x:c r="H2119" s="7" t="str"/>
      <x:c r="I2119" s="7" t="str"/>
      <x:c r="J2119" s="7" t="str">
        <x:f>IF(OR(H2119="",I2119=""),"",I2119-H2119)</x:f>
      </x:c>
      <x:c r="K2119" s="7" t="str"/>
      <x:c r="L2119" s="7" t="str"/>
      <x:c r="M2119" s="7" t="str">
        <x:f>IF(L2119="","OPEN",IF(OR(NOT(ISNUMBER(H2119)),NOT(ISNUMBER(I2119)),NOT(ISNUMBER(K2119)),ABS(J2119)&gt;K2119),"FAIL","PASS"))</x:f>
        <x:v>OPEN</x:v>
      </x:c>
    </x:row>
    <x:row r="2120">
      <x:c r="B2120" s="7" t="str">
        <x:v>CAL-CH-PEA-C-X3-17-2</x:v>
      </x:c>
      <x:c r="C2120" s="7" t="str">
        <x:v>CH-PEA-C-X3-17-2</x:v>
      </x:c>
      <x:c r="D2120" s="7" t="str">
        <x:v>PEA-C-X3</x:v>
      </x:c>
      <x:c r="E2120" s="7" t="str">
        <x:v>BLD-C</x:v>
      </x:c>
      <x:c r="F2120" s="7" t="str">
        <x:v>BL-X</x:v>
      </x:c>
      <x:c r="G2120" s="7" t="str">
        <x:v>MF-17</x:v>
      </x:c>
      <x:c r="H2120" s="7" t="str"/>
      <x:c r="I2120" s="7" t="str"/>
      <x:c r="J2120" s="7" t="str">
        <x:f>IF(OR(H2120="",I2120=""),"",I2120-H2120)</x:f>
      </x:c>
      <x:c r="K2120" s="7" t="str"/>
      <x:c r="L2120" s="7" t="str"/>
      <x:c r="M2120" s="7" t="str">
        <x:f>IF(L2120="","OPEN",IF(OR(NOT(ISNUMBER(H2120)),NOT(ISNUMBER(I2120)),NOT(ISNUMBER(K2120)),ABS(J2120)&gt;K2120),"FAIL","PASS"))</x:f>
        <x:v>OPEN</x:v>
      </x:c>
    </x:row>
    <x:row r="2121">
      <x:c r="B2121" s="7" t="str">
        <x:v>CAL-CH-PEA-C-X3-17-3</x:v>
      </x:c>
      <x:c r="C2121" s="7" t="str">
        <x:v>CH-PEA-C-X3-17-3</x:v>
      </x:c>
      <x:c r="D2121" s="7" t="str">
        <x:v>PEA-C-X3</x:v>
      </x:c>
      <x:c r="E2121" s="7" t="str">
        <x:v>BLD-C</x:v>
      </x:c>
      <x:c r="F2121" s="7" t="str">
        <x:v>BL-X</x:v>
      </x:c>
      <x:c r="G2121" s="7" t="str">
        <x:v>MF-17</x:v>
      </x:c>
      <x:c r="H2121" s="7" t="str"/>
      <x:c r="I2121" s="7" t="str"/>
      <x:c r="J2121" s="7" t="str">
        <x:f>IF(OR(H2121="",I2121=""),"",I2121-H2121)</x:f>
      </x:c>
      <x:c r="K2121" s="7" t="str"/>
      <x:c r="L2121" s="7" t="str"/>
      <x:c r="M2121" s="7" t="str">
        <x:f>IF(L2121="","OPEN",IF(OR(NOT(ISNUMBER(H2121)),NOT(ISNUMBER(I2121)),NOT(ISNUMBER(K2121)),ABS(J2121)&gt;K2121),"FAIL","PASS"))</x:f>
        <x:v>OPEN</x:v>
      </x:c>
    </x:row>
    <x:row r="2122">
      <x:c r="B2122" s="7" t="str">
        <x:v>CAL-CH-PEA-C-X3-17-4</x:v>
      </x:c>
      <x:c r="C2122" s="7" t="str">
        <x:v>CH-PEA-C-X3-17-4</x:v>
      </x:c>
      <x:c r="D2122" s="7" t="str">
        <x:v>PEA-C-X3</x:v>
      </x:c>
      <x:c r="E2122" s="7" t="str">
        <x:v>BLD-C</x:v>
      </x:c>
      <x:c r="F2122" s="7" t="str">
        <x:v>BL-X</x:v>
      </x:c>
      <x:c r="G2122" s="7" t="str">
        <x:v>MF-17</x:v>
      </x:c>
      <x:c r="H2122" s="7" t="str"/>
      <x:c r="I2122" s="7" t="str"/>
      <x:c r="J2122" s="7" t="str">
        <x:f>IF(OR(H2122="",I2122=""),"",I2122-H2122)</x:f>
      </x:c>
      <x:c r="K2122" s="7" t="str"/>
      <x:c r="L2122" s="7" t="str"/>
      <x:c r="M2122" s="7" t="str">
        <x:f>IF(L2122="","OPEN",IF(OR(NOT(ISNUMBER(H2122)),NOT(ISNUMBER(I2122)),NOT(ISNUMBER(K2122)),ABS(J2122)&gt;K2122),"FAIL","PASS"))</x:f>
        <x:v>OPEN</x:v>
      </x:c>
    </x:row>
    <x:row r="2123">
      <x:c r="B2123" s="7" t="str">
        <x:v>CAL-CH-PEA-C-X3-17-5</x:v>
      </x:c>
      <x:c r="C2123" s="7" t="str">
        <x:v>CH-PEA-C-X3-17-5</x:v>
      </x:c>
      <x:c r="D2123" s="7" t="str">
        <x:v>PEA-C-X3</x:v>
      </x:c>
      <x:c r="E2123" s="7" t="str">
        <x:v>BLD-C</x:v>
      </x:c>
      <x:c r="F2123" s="7" t="str">
        <x:v>BL-X</x:v>
      </x:c>
      <x:c r="G2123" s="7" t="str">
        <x:v>MF-17</x:v>
      </x:c>
      <x:c r="H2123" s="7" t="str"/>
      <x:c r="I2123" s="7" t="str"/>
      <x:c r="J2123" s="7" t="str">
        <x:f>IF(OR(H2123="",I2123=""),"",I2123-H2123)</x:f>
      </x:c>
      <x:c r="K2123" s="7" t="str"/>
      <x:c r="L2123" s="7" t="str"/>
      <x:c r="M2123" s="7" t="str">
        <x:f>IF(L2123="","OPEN",IF(OR(NOT(ISNUMBER(H2123)),NOT(ISNUMBER(I2123)),NOT(ISNUMBER(K2123)),ABS(J2123)&gt;K2123),"FAIL","PASS"))</x:f>
        <x:v>OPEN</x:v>
      </x:c>
    </x:row>
    <x:row r="2124">
      <x:c r="B2124" s="7" t="str">
        <x:v>CAL-CH-PEA-C-X3-17-6</x:v>
      </x:c>
      <x:c r="C2124" s="7" t="str">
        <x:v>CH-PEA-C-X3-17-6</x:v>
      </x:c>
      <x:c r="D2124" s="7" t="str">
        <x:v>PEA-C-X3</x:v>
      </x:c>
      <x:c r="E2124" s="7" t="str">
        <x:v>BLD-C</x:v>
      </x:c>
      <x:c r="F2124" s="7" t="str">
        <x:v>BL-X</x:v>
      </x:c>
      <x:c r="G2124" s="7" t="str">
        <x:v>MF-17</x:v>
      </x:c>
      <x:c r="H2124" s="7" t="str"/>
      <x:c r="I2124" s="7" t="str"/>
      <x:c r="J2124" s="7" t="str">
        <x:f>IF(OR(H2124="",I2124=""),"",I2124-H2124)</x:f>
      </x:c>
      <x:c r="K2124" s="7" t="str"/>
      <x:c r="L2124" s="7" t="str"/>
      <x:c r="M2124" s="7" t="str">
        <x:f>IF(L2124="","OPEN",IF(OR(NOT(ISNUMBER(H2124)),NOT(ISNUMBER(I2124)),NOT(ISNUMBER(K2124)),ABS(J2124)&gt;K2124),"FAIL","PASS"))</x:f>
        <x:v>OPEN</x:v>
      </x:c>
    </x:row>
    <x:row r="2125">
      <x:c r="B2125" s="7" t="str">
        <x:v>CAL-CH-PEA-C-X3-18-1</x:v>
      </x:c>
      <x:c r="C2125" s="7" t="str">
        <x:v>CH-PEA-C-X3-18-1</x:v>
      </x:c>
      <x:c r="D2125" s="7" t="str">
        <x:v>PEA-C-X3</x:v>
      </x:c>
      <x:c r="E2125" s="7" t="str">
        <x:v>BLD-C</x:v>
      </x:c>
      <x:c r="F2125" s="7" t="str">
        <x:v>BL-X</x:v>
      </x:c>
      <x:c r="G2125" s="7" t="str">
        <x:v>MF-18</x:v>
      </x:c>
      <x:c r="H2125" s="7" t="str"/>
      <x:c r="I2125" s="7" t="str"/>
      <x:c r="J2125" s="7" t="str">
        <x:f>IF(OR(H2125="",I2125=""),"",I2125-H2125)</x:f>
      </x:c>
      <x:c r="K2125" s="7" t="str"/>
      <x:c r="L2125" s="7" t="str"/>
      <x:c r="M2125" s="7" t="str">
        <x:f>IF(L2125="","OPEN",IF(OR(NOT(ISNUMBER(H2125)),NOT(ISNUMBER(I2125)),NOT(ISNUMBER(K2125)),ABS(J2125)&gt;K2125),"FAIL","PASS"))</x:f>
        <x:v>OPEN</x:v>
      </x:c>
    </x:row>
    <x:row r="2126">
      <x:c r="B2126" s="7" t="str">
        <x:v>CAL-CH-PEA-C-X3-18-2</x:v>
      </x:c>
      <x:c r="C2126" s="7" t="str">
        <x:v>CH-PEA-C-X3-18-2</x:v>
      </x:c>
      <x:c r="D2126" s="7" t="str">
        <x:v>PEA-C-X3</x:v>
      </x:c>
      <x:c r="E2126" s="7" t="str">
        <x:v>BLD-C</x:v>
      </x:c>
      <x:c r="F2126" s="7" t="str">
        <x:v>BL-X</x:v>
      </x:c>
      <x:c r="G2126" s="7" t="str">
        <x:v>MF-18</x:v>
      </x:c>
      <x:c r="H2126" s="7" t="str"/>
      <x:c r="I2126" s="7" t="str"/>
      <x:c r="J2126" s="7" t="str">
        <x:f>IF(OR(H2126="",I2126=""),"",I2126-H2126)</x:f>
      </x:c>
      <x:c r="K2126" s="7" t="str"/>
      <x:c r="L2126" s="7" t="str"/>
      <x:c r="M2126" s="7" t="str">
        <x:f>IF(L2126="","OPEN",IF(OR(NOT(ISNUMBER(H2126)),NOT(ISNUMBER(I2126)),NOT(ISNUMBER(K2126)),ABS(J2126)&gt;K2126),"FAIL","PASS"))</x:f>
        <x:v>OPEN</x:v>
      </x:c>
    </x:row>
    <x:row r="2127">
      <x:c r="B2127" s="7" t="str">
        <x:v>CAL-CH-PEA-C-X3-18-3</x:v>
      </x:c>
      <x:c r="C2127" s="7" t="str">
        <x:v>CH-PEA-C-X3-18-3</x:v>
      </x:c>
      <x:c r="D2127" s="7" t="str">
        <x:v>PEA-C-X3</x:v>
      </x:c>
      <x:c r="E2127" s="7" t="str">
        <x:v>BLD-C</x:v>
      </x:c>
      <x:c r="F2127" s="7" t="str">
        <x:v>BL-X</x:v>
      </x:c>
      <x:c r="G2127" s="7" t="str">
        <x:v>MF-18</x:v>
      </x:c>
      <x:c r="H2127" s="7" t="str"/>
      <x:c r="I2127" s="7" t="str"/>
      <x:c r="J2127" s="7" t="str">
        <x:f>IF(OR(H2127="",I2127=""),"",I2127-H2127)</x:f>
      </x:c>
      <x:c r="K2127" s="7" t="str"/>
      <x:c r="L2127" s="7" t="str"/>
      <x:c r="M2127" s="7" t="str">
        <x:f>IF(L2127="","OPEN",IF(OR(NOT(ISNUMBER(H2127)),NOT(ISNUMBER(I2127)),NOT(ISNUMBER(K2127)),ABS(J2127)&gt;K2127),"FAIL","PASS"))</x:f>
        <x:v>OPEN</x:v>
      </x:c>
    </x:row>
    <x:row r="2128">
      <x:c r="B2128" s="7" t="str">
        <x:v>CAL-CH-PEA-C-X3-18-4</x:v>
      </x:c>
      <x:c r="C2128" s="7" t="str">
        <x:v>CH-PEA-C-X3-18-4</x:v>
      </x:c>
      <x:c r="D2128" s="7" t="str">
        <x:v>PEA-C-X3</x:v>
      </x:c>
      <x:c r="E2128" s="7" t="str">
        <x:v>BLD-C</x:v>
      </x:c>
      <x:c r="F2128" s="7" t="str">
        <x:v>BL-X</x:v>
      </x:c>
      <x:c r="G2128" s="7" t="str">
        <x:v>MF-18</x:v>
      </x:c>
      <x:c r="H2128" s="7" t="str"/>
      <x:c r="I2128" s="7" t="str"/>
      <x:c r="J2128" s="7" t="str">
        <x:f>IF(OR(H2128="",I2128=""),"",I2128-H2128)</x:f>
      </x:c>
      <x:c r="K2128" s="7" t="str"/>
      <x:c r="L2128" s="7" t="str"/>
      <x:c r="M2128" s="7" t="str">
        <x:f>IF(L2128="","OPEN",IF(OR(NOT(ISNUMBER(H2128)),NOT(ISNUMBER(I2128)),NOT(ISNUMBER(K2128)),ABS(J2128)&gt;K2128),"FAIL","PASS"))</x:f>
        <x:v>OPEN</x:v>
      </x:c>
    </x:row>
    <x:row r="2129">
      <x:c r="B2129" s="7" t="str">
        <x:v>CAL-CH-PEA-C-X3-18-5</x:v>
      </x:c>
      <x:c r="C2129" s="7" t="str">
        <x:v>CH-PEA-C-X3-18-5</x:v>
      </x:c>
      <x:c r="D2129" s="7" t="str">
        <x:v>PEA-C-X3</x:v>
      </x:c>
      <x:c r="E2129" s="7" t="str">
        <x:v>BLD-C</x:v>
      </x:c>
      <x:c r="F2129" s="7" t="str">
        <x:v>BL-X</x:v>
      </x:c>
      <x:c r="G2129" s="7" t="str">
        <x:v>MF-18</x:v>
      </x:c>
      <x:c r="H2129" s="7" t="str"/>
      <x:c r="I2129" s="7" t="str"/>
      <x:c r="J2129" s="7" t="str">
        <x:f>IF(OR(H2129="",I2129=""),"",I2129-H2129)</x:f>
      </x:c>
      <x:c r="K2129" s="7" t="str"/>
      <x:c r="L2129" s="7" t="str"/>
      <x:c r="M2129" s="7" t="str">
        <x:f>IF(L2129="","OPEN",IF(OR(NOT(ISNUMBER(H2129)),NOT(ISNUMBER(I2129)),NOT(ISNUMBER(K2129)),ABS(J2129)&gt;K2129),"FAIL","PASS"))</x:f>
        <x:v>OPEN</x:v>
      </x:c>
    </x:row>
    <x:row r="2130">
      <x:c r="B2130" s="7" t="str">
        <x:v>CAL-CH-PEA-C-X3-18-6</x:v>
      </x:c>
      <x:c r="C2130" s="7" t="str">
        <x:v>CH-PEA-C-X3-18-6</x:v>
      </x:c>
      <x:c r="D2130" s="7" t="str">
        <x:v>PEA-C-X3</x:v>
      </x:c>
      <x:c r="E2130" s="7" t="str">
        <x:v>BLD-C</x:v>
      </x:c>
      <x:c r="F2130" s="7" t="str">
        <x:v>BL-X</x:v>
      </x:c>
      <x:c r="G2130" s="7" t="str">
        <x:v>MF-18</x:v>
      </x:c>
      <x:c r="H2130" s="7" t="str"/>
      <x:c r="I2130" s="7" t="str"/>
      <x:c r="J2130" s="7" t="str">
        <x:f>IF(OR(H2130="",I2130=""),"",I2130-H2130)</x:f>
      </x:c>
      <x:c r="K2130" s="7" t="str"/>
      <x:c r="L2130" s="7" t="str"/>
      <x:c r="M2130" s="7" t="str">
        <x:f>IF(L2130="","OPEN",IF(OR(NOT(ISNUMBER(H2130)),NOT(ISNUMBER(I2130)),NOT(ISNUMBER(K2130)),ABS(J2130)&gt;K2130),"FAIL","PASS"))</x:f>
        <x:v>OPEN</x:v>
      </x:c>
    </x:row>
    <x:row r="2131">
      <x:c r="B2131" s="7" t="str">
        <x:v>CAL-CH-PEA-C-X3-19-1</x:v>
      </x:c>
      <x:c r="C2131" s="7" t="str">
        <x:v>CH-PEA-C-X3-19-1</x:v>
      </x:c>
      <x:c r="D2131" s="7" t="str">
        <x:v>PEA-C-X3</x:v>
      </x:c>
      <x:c r="E2131" s="7" t="str">
        <x:v>BLD-C</x:v>
      </x:c>
      <x:c r="F2131" s="7" t="str">
        <x:v>BL-X</x:v>
      </x:c>
      <x:c r="G2131" s="7" t="str">
        <x:v>MF-19</x:v>
      </x:c>
      <x:c r="H2131" s="7" t="str"/>
      <x:c r="I2131" s="7" t="str"/>
      <x:c r="J2131" s="7" t="str">
        <x:f>IF(OR(H2131="",I2131=""),"",I2131-H2131)</x:f>
      </x:c>
      <x:c r="K2131" s="7" t="str"/>
      <x:c r="L2131" s="7" t="str"/>
      <x:c r="M2131" s="7" t="str">
        <x:f>IF(L2131="","OPEN",IF(OR(NOT(ISNUMBER(H2131)),NOT(ISNUMBER(I2131)),NOT(ISNUMBER(K2131)),ABS(J2131)&gt;K2131),"FAIL","PASS"))</x:f>
        <x:v>OPEN</x:v>
      </x:c>
    </x:row>
    <x:row r="2132">
      <x:c r="B2132" s="7" t="str">
        <x:v>CAL-CH-PEA-C-X3-19-2</x:v>
      </x:c>
      <x:c r="C2132" s="7" t="str">
        <x:v>CH-PEA-C-X3-19-2</x:v>
      </x:c>
      <x:c r="D2132" s="7" t="str">
        <x:v>PEA-C-X3</x:v>
      </x:c>
      <x:c r="E2132" s="7" t="str">
        <x:v>BLD-C</x:v>
      </x:c>
      <x:c r="F2132" s="7" t="str">
        <x:v>BL-X</x:v>
      </x:c>
      <x:c r="G2132" s="7" t="str">
        <x:v>MF-19</x:v>
      </x:c>
      <x:c r="H2132" s="7" t="str"/>
      <x:c r="I2132" s="7" t="str"/>
      <x:c r="J2132" s="7" t="str">
        <x:f>IF(OR(H2132="",I2132=""),"",I2132-H2132)</x:f>
      </x:c>
      <x:c r="K2132" s="7" t="str"/>
      <x:c r="L2132" s="7" t="str"/>
      <x:c r="M2132" s="7" t="str">
        <x:f>IF(L2132="","OPEN",IF(OR(NOT(ISNUMBER(H2132)),NOT(ISNUMBER(I2132)),NOT(ISNUMBER(K2132)),ABS(J2132)&gt;K2132),"FAIL","PASS"))</x:f>
        <x:v>OPEN</x:v>
      </x:c>
    </x:row>
    <x:row r="2133">
      <x:c r="B2133" s="7" t="str">
        <x:v>CAL-CH-PEA-C-X3-19-3</x:v>
      </x:c>
      <x:c r="C2133" s="7" t="str">
        <x:v>CH-PEA-C-X3-19-3</x:v>
      </x:c>
      <x:c r="D2133" s="7" t="str">
        <x:v>PEA-C-X3</x:v>
      </x:c>
      <x:c r="E2133" s="7" t="str">
        <x:v>BLD-C</x:v>
      </x:c>
      <x:c r="F2133" s="7" t="str">
        <x:v>BL-X</x:v>
      </x:c>
      <x:c r="G2133" s="7" t="str">
        <x:v>MF-19</x:v>
      </x:c>
      <x:c r="H2133" s="7" t="str"/>
      <x:c r="I2133" s="7" t="str"/>
      <x:c r="J2133" s="7" t="str">
        <x:f>IF(OR(H2133="",I2133=""),"",I2133-H2133)</x:f>
      </x:c>
      <x:c r="K2133" s="7" t="str"/>
      <x:c r="L2133" s="7" t="str"/>
      <x:c r="M2133" s="7" t="str">
        <x:f>IF(L2133="","OPEN",IF(OR(NOT(ISNUMBER(H2133)),NOT(ISNUMBER(I2133)),NOT(ISNUMBER(K2133)),ABS(J2133)&gt;K2133),"FAIL","PASS"))</x:f>
        <x:v>OPEN</x:v>
      </x:c>
    </x:row>
    <x:row r="2134">
      <x:c r="B2134" s="7" t="str">
        <x:v>CAL-CH-PEA-C-X3-19-4</x:v>
      </x:c>
      <x:c r="C2134" s="7" t="str">
        <x:v>CH-PEA-C-X3-19-4</x:v>
      </x:c>
      <x:c r="D2134" s="7" t="str">
        <x:v>PEA-C-X3</x:v>
      </x:c>
      <x:c r="E2134" s="7" t="str">
        <x:v>BLD-C</x:v>
      </x:c>
      <x:c r="F2134" s="7" t="str">
        <x:v>BL-X</x:v>
      </x:c>
      <x:c r="G2134" s="7" t="str">
        <x:v>MF-19</x:v>
      </x:c>
      <x:c r="H2134" s="7" t="str"/>
      <x:c r="I2134" s="7" t="str"/>
      <x:c r="J2134" s="7" t="str">
        <x:f>IF(OR(H2134="",I2134=""),"",I2134-H2134)</x:f>
      </x:c>
      <x:c r="K2134" s="7" t="str"/>
      <x:c r="L2134" s="7" t="str"/>
      <x:c r="M2134" s="7" t="str">
        <x:f>IF(L2134="","OPEN",IF(OR(NOT(ISNUMBER(H2134)),NOT(ISNUMBER(I2134)),NOT(ISNUMBER(K2134)),ABS(J2134)&gt;K2134),"FAIL","PASS"))</x:f>
        <x:v>OPEN</x:v>
      </x:c>
    </x:row>
    <x:row r="2135">
      <x:c r="B2135" s="7" t="str">
        <x:v>CAL-CH-PEA-C-X3-19-5</x:v>
      </x:c>
      <x:c r="C2135" s="7" t="str">
        <x:v>CH-PEA-C-X3-19-5</x:v>
      </x:c>
      <x:c r="D2135" s="7" t="str">
        <x:v>PEA-C-X3</x:v>
      </x:c>
      <x:c r="E2135" s="7" t="str">
        <x:v>BLD-C</x:v>
      </x:c>
      <x:c r="F2135" s="7" t="str">
        <x:v>BL-X</x:v>
      </x:c>
      <x:c r="G2135" s="7" t="str">
        <x:v>MF-19</x:v>
      </x:c>
      <x:c r="H2135" s="7" t="str"/>
      <x:c r="I2135" s="7" t="str"/>
      <x:c r="J2135" s="7" t="str">
        <x:f>IF(OR(H2135="",I2135=""),"",I2135-H2135)</x:f>
      </x:c>
      <x:c r="K2135" s="7" t="str"/>
      <x:c r="L2135" s="7" t="str"/>
      <x:c r="M2135" s="7" t="str">
        <x:f>IF(L2135="","OPEN",IF(OR(NOT(ISNUMBER(H2135)),NOT(ISNUMBER(I2135)),NOT(ISNUMBER(K2135)),ABS(J2135)&gt;K2135),"FAIL","PASS"))</x:f>
        <x:v>OPEN</x:v>
      </x:c>
    </x:row>
    <x:row r="2136">
      <x:c r="B2136" s="7" t="str">
        <x:v>CAL-CH-PEA-C-X3-19-6</x:v>
      </x:c>
      <x:c r="C2136" s="7" t="str">
        <x:v>CH-PEA-C-X3-19-6</x:v>
      </x:c>
      <x:c r="D2136" s="7" t="str">
        <x:v>PEA-C-X3</x:v>
      </x:c>
      <x:c r="E2136" s="7" t="str">
        <x:v>BLD-C</x:v>
      </x:c>
      <x:c r="F2136" s="7" t="str">
        <x:v>BL-X</x:v>
      </x:c>
      <x:c r="G2136" s="7" t="str">
        <x:v>MF-19</x:v>
      </x:c>
      <x:c r="H2136" s="7" t="str"/>
      <x:c r="I2136" s="7" t="str"/>
      <x:c r="J2136" s="7" t="str">
        <x:f>IF(OR(H2136="",I2136=""),"",I2136-H2136)</x:f>
      </x:c>
      <x:c r="K2136" s="7" t="str"/>
      <x:c r="L2136" s="7" t="str"/>
      <x:c r="M2136" s="7" t="str">
        <x:f>IF(L2136="","OPEN",IF(OR(NOT(ISNUMBER(H2136)),NOT(ISNUMBER(I2136)),NOT(ISNUMBER(K2136)),ABS(J2136)&gt;K2136),"FAIL","PASS"))</x:f>
        <x:v>OPEN</x:v>
      </x:c>
    </x:row>
    <x:row r="2137">
      <x:c r="B2137" s="7" t="str">
        <x:v>CAL-CH-PEA-C-X3-20-1</x:v>
      </x:c>
      <x:c r="C2137" s="7" t="str">
        <x:v>CH-PEA-C-X3-20-1</x:v>
      </x:c>
      <x:c r="D2137" s="7" t="str">
        <x:v>PEA-C-X3</x:v>
      </x:c>
      <x:c r="E2137" s="7" t="str">
        <x:v>BLD-C</x:v>
      </x:c>
      <x:c r="F2137" s="7" t="str">
        <x:v>BL-X</x:v>
      </x:c>
      <x:c r="G2137" s="7" t="str">
        <x:v>MF-20</x:v>
      </x:c>
      <x:c r="H2137" s="7" t="str"/>
      <x:c r="I2137" s="7" t="str"/>
      <x:c r="J2137" s="7" t="str">
        <x:f>IF(OR(H2137="",I2137=""),"",I2137-H2137)</x:f>
      </x:c>
      <x:c r="K2137" s="7" t="str"/>
      <x:c r="L2137" s="7" t="str"/>
      <x:c r="M2137" s="7" t="str">
        <x:f>IF(L2137="","OPEN",IF(OR(NOT(ISNUMBER(H2137)),NOT(ISNUMBER(I2137)),NOT(ISNUMBER(K2137)),ABS(J2137)&gt;K2137),"FAIL","PASS"))</x:f>
        <x:v>OPEN</x:v>
      </x:c>
    </x:row>
    <x:row r="2138">
      <x:c r="B2138" s="7" t="str">
        <x:v>CAL-CH-PEA-C-X3-20-2</x:v>
      </x:c>
      <x:c r="C2138" s="7" t="str">
        <x:v>CH-PEA-C-X3-20-2</x:v>
      </x:c>
      <x:c r="D2138" s="7" t="str">
        <x:v>PEA-C-X3</x:v>
      </x:c>
      <x:c r="E2138" s="7" t="str">
        <x:v>BLD-C</x:v>
      </x:c>
      <x:c r="F2138" s="7" t="str">
        <x:v>BL-X</x:v>
      </x:c>
      <x:c r="G2138" s="7" t="str">
        <x:v>MF-20</x:v>
      </x:c>
      <x:c r="H2138" s="7" t="str"/>
      <x:c r="I2138" s="7" t="str"/>
      <x:c r="J2138" s="7" t="str">
        <x:f>IF(OR(H2138="",I2138=""),"",I2138-H2138)</x:f>
      </x:c>
      <x:c r="K2138" s="7" t="str"/>
      <x:c r="L2138" s="7" t="str"/>
      <x:c r="M2138" s="7" t="str">
        <x:f>IF(L2138="","OPEN",IF(OR(NOT(ISNUMBER(H2138)),NOT(ISNUMBER(I2138)),NOT(ISNUMBER(K2138)),ABS(J2138)&gt;K2138),"FAIL","PASS"))</x:f>
        <x:v>OPEN</x:v>
      </x:c>
    </x:row>
    <x:row r="2139">
      <x:c r="B2139" s="7" t="str">
        <x:v>CAL-CH-PEA-C-X3-20-3</x:v>
      </x:c>
      <x:c r="C2139" s="7" t="str">
        <x:v>CH-PEA-C-X3-20-3</x:v>
      </x:c>
      <x:c r="D2139" s="7" t="str">
        <x:v>PEA-C-X3</x:v>
      </x:c>
      <x:c r="E2139" s="7" t="str">
        <x:v>BLD-C</x:v>
      </x:c>
      <x:c r="F2139" s="7" t="str">
        <x:v>BL-X</x:v>
      </x:c>
      <x:c r="G2139" s="7" t="str">
        <x:v>MF-20</x:v>
      </x:c>
      <x:c r="H2139" s="7" t="str"/>
      <x:c r="I2139" s="7" t="str"/>
      <x:c r="J2139" s="7" t="str">
        <x:f>IF(OR(H2139="",I2139=""),"",I2139-H2139)</x:f>
      </x:c>
      <x:c r="K2139" s="7" t="str"/>
      <x:c r="L2139" s="7" t="str"/>
      <x:c r="M2139" s="7" t="str">
        <x:f>IF(L2139="","OPEN",IF(OR(NOT(ISNUMBER(H2139)),NOT(ISNUMBER(I2139)),NOT(ISNUMBER(K2139)),ABS(J2139)&gt;K2139),"FAIL","PASS"))</x:f>
        <x:v>OPEN</x:v>
      </x:c>
    </x:row>
    <x:row r="2140">
      <x:c r="B2140" s="7" t="str">
        <x:v>CAL-CH-PEA-C-X3-20-4</x:v>
      </x:c>
      <x:c r="C2140" s="7" t="str">
        <x:v>CH-PEA-C-X3-20-4</x:v>
      </x:c>
      <x:c r="D2140" s="7" t="str">
        <x:v>PEA-C-X3</x:v>
      </x:c>
      <x:c r="E2140" s="7" t="str">
        <x:v>BLD-C</x:v>
      </x:c>
      <x:c r="F2140" s="7" t="str">
        <x:v>BL-X</x:v>
      </x:c>
      <x:c r="G2140" s="7" t="str">
        <x:v>MF-20</x:v>
      </x:c>
      <x:c r="H2140" s="7" t="str"/>
      <x:c r="I2140" s="7" t="str"/>
      <x:c r="J2140" s="7" t="str">
        <x:f>IF(OR(H2140="",I2140=""),"",I2140-H2140)</x:f>
      </x:c>
      <x:c r="K2140" s="7" t="str"/>
      <x:c r="L2140" s="7" t="str"/>
      <x:c r="M2140" s="7" t="str">
        <x:f>IF(L2140="","OPEN",IF(OR(NOT(ISNUMBER(H2140)),NOT(ISNUMBER(I2140)),NOT(ISNUMBER(K2140)),ABS(J2140)&gt;K2140),"FAIL","PASS"))</x:f>
        <x:v>OPEN</x:v>
      </x:c>
    </x:row>
    <x:row r="2141">
      <x:c r="B2141" s="7" t="str">
        <x:v>CAL-CH-PEA-C-X3-20-5</x:v>
      </x:c>
      <x:c r="C2141" s="7" t="str">
        <x:v>CH-PEA-C-X3-20-5</x:v>
      </x:c>
      <x:c r="D2141" s="7" t="str">
        <x:v>PEA-C-X3</x:v>
      </x:c>
      <x:c r="E2141" s="7" t="str">
        <x:v>BLD-C</x:v>
      </x:c>
      <x:c r="F2141" s="7" t="str">
        <x:v>BL-X</x:v>
      </x:c>
      <x:c r="G2141" s="7" t="str">
        <x:v>MF-20</x:v>
      </x:c>
      <x:c r="H2141" s="7" t="str"/>
      <x:c r="I2141" s="7" t="str"/>
      <x:c r="J2141" s="7" t="str">
        <x:f>IF(OR(H2141="",I2141=""),"",I2141-H2141)</x:f>
      </x:c>
      <x:c r="K2141" s="7" t="str"/>
      <x:c r="L2141" s="7" t="str"/>
      <x:c r="M2141" s="7" t="str">
        <x:f>IF(L2141="","OPEN",IF(OR(NOT(ISNUMBER(H2141)),NOT(ISNUMBER(I2141)),NOT(ISNUMBER(K2141)),ABS(J2141)&gt;K2141),"FAIL","PASS"))</x:f>
        <x:v>OPEN</x:v>
      </x:c>
    </x:row>
    <x:row r="2142">
      <x:c r="B2142" s="7" t="str">
        <x:v>CAL-CH-PEA-C-X3-20-6</x:v>
      </x:c>
      <x:c r="C2142" s="7" t="str">
        <x:v>CH-PEA-C-X3-20-6</x:v>
      </x:c>
      <x:c r="D2142" s="7" t="str">
        <x:v>PEA-C-X3</x:v>
      </x:c>
      <x:c r="E2142" s="7" t="str">
        <x:v>BLD-C</x:v>
      </x:c>
      <x:c r="F2142" s="7" t="str">
        <x:v>BL-X</x:v>
      </x:c>
      <x:c r="G2142" s="7" t="str">
        <x:v>MF-20</x:v>
      </x:c>
      <x:c r="H2142" s="7" t="str"/>
      <x:c r="I2142" s="7" t="str"/>
      <x:c r="J2142" s="7" t="str">
        <x:f>IF(OR(H2142="",I2142=""),"",I2142-H2142)</x:f>
      </x:c>
      <x:c r="K2142" s="7" t="str"/>
      <x:c r="L2142" s="7" t="str"/>
      <x:c r="M2142" s="7" t="str">
        <x:f>IF(L2142="","OPEN",IF(OR(NOT(ISNUMBER(H2142)),NOT(ISNUMBER(I2142)),NOT(ISNUMBER(K2142)),ABS(J2142)&gt;K2142),"FAIL","PASS"))</x:f>
        <x:v>OPEN</x:v>
      </x:c>
    </x:row>
    <x:row r="2143">
      <x:c r="B2143" s="7" t="str">
        <x:v>CAL-CH-PEA-C-X3-21-1</x:v>
      </x:c>
      <x:c r="C2143" s="7" t="str">
        <x:v>CH-PEA-C-X3-21-1</x:v>
      </x:c>
      <x:c r="D2143" s="7" t="str">
        <x:v>PEA-C-X3</x:v>
      </x:c>
      <x:c r="E2143" s="7" t="str">
        <x:v>BLD-C</x:v>
      </x:c>
      <x:c r="F2143" s="7" t="str">
        <x:v>BL-X</x:v>
      </x:c>
      <x:c r="G2143" s="7" t="str">
        <x:v>MF-21</x:v>
      </x:c>
      <x:c r="H2143" s="7" t="str"/>
      <x:c r="I2143" s="7" t="str"/>
      <x:c r="J2143" s="7" t="str">
        <x:f>IF(OR(H2143="",I2143=""),"",I2143-H2143)</x:f>
      </x:c>
      <x:c r="K2143" s="7" t="str"/>
      <x:c r="L2143" s="7" t="str"/>
      <x:c r="M2143" s="7" t="str">
        <x:f>IF(L2143="","OPEN",IF(OR(NOT(ISNUMBER(H2143)),NOT(ISNUMBER(I2143)),NOT(ISNUMBER(K2143)),ABS(J2143)&gt;K2143),"FAIL","PASS"))</x:f>
        <x:v>OPEN</x:v>
      </x:c>
    </x:row>
    <x:row r="2144">
      <x:c r="B2144" s="7" t="str">
        <x:v>CAL-CH-PEA-C-X3-21-2</x:v>
      </x:c>
      <x:c r="C2144" s="7" t="str">
        <x:v>CH-PEA-C-X3-21-2</x:v>
      </x:c>
      <x:c r="D2144" s="7" t="str">
        <x:v>PEA-C-X3</x:v>
      </x:c>
      <x:c r="E2144" s="7" t="str">
        <x:v>BLD-C</x:v>
      </x:c>
      <x:c r="F2144" s="7" t="str">
        <x:v>BL-X</x:v>
      </x:c>
      <x:c r="G2144" s="7" t="str">
        <x:v>MF-21</x:v>
      </x:c>
      <x:c r="H2144" s="7" t="str"/>
      <x:c r="I2144" s="7" t="str"/>
      <x:c r="J2144" s="7" t="str">
        <x:f>IF(OR(H2144="",I2144=""),"",I2144-H2144)</x:f>
      </x:c>
      <x:c r="K2144" s="7" t="str"/>
      <x:c r="L2144" s="7" t="str"/>
      <x:c r="M2144" s="7" t="str">
        <x:f>IF(L2144="","OPEN",IF(OR(NOT(ISNUMBER(H2144)),NOT(ISNUMBER(I2144)),NOT(ISNUMBER(K2144)),ABS(J2144)&gt;K2144),"FAIL","PASS"))</x:f>
        <x:v>OPEN</x:v>
      </x:c>
    </x:row>
    <x:row r="2145">
      <x:c r="B2145" s="7" t="str">
        <x:v>CAL-CH-PEA-C-X3-21-3</x:v>
      </x:c>
      <x:c r="C2145" s="7" t="str">
        <x:v>CH-PEA-C-X3-21-3</x:v>
      </x:c>
      <x:c r="D2145" s="7" t="str">
        <x:v>PEA-C-X3</x:v>
      </x:c>
      <x:c r="E2145" s="7" t="str">
        <x:v>BLD-C</x:v>
      </x:c>
      <x:c r="F2145" s="7" t="str">
        <x:v>BL-X</x:v>
      </x:c>
      <x:c r="G2145" s="7" t="str">
        <x:v>MF-21</x:v>
      </x:c>
      <x:c r="H2145" s="7" t="str"/>
      <x:c r="I2145" s="7" t="str"/>
      <x:c r="J2145" s="7" t="str">
        <x:f>IF(OR(H2145="",I2145=""),"",I2145-H2145)</x:f>
      </x:c>
      <x:c r="K2145" s="7" t="str"/>
      <x:c r="L2145" s="7" t="str"/>
      <x:c r="M2145" s="7" t="str">
        <x:f>IF(L2145="","OPEN",IF(OR(NOT(ISNUMBER(H2145)),NOT(ISNUMBER(I2145)),NOT(ISNUMBER(K2145)),ABS(J2145)&gt;K2145),"FAIL","PASS"))</x:f>
        <x:v>OPEN</x:v>
      </x:c>
    </x:row>
    <x:row r="2146">
      <x:c r="B2146" s="7" t="str">
        <x:v>CAL-CH-PEA-C-X3-21-4</x:v>
      </x:c>
      <x:c r="C2146" s="7" t="str">
        <x:v>CH-PEA-C-X3-21-4</x:v>
      </x:c>
      <x:c r="D2146" s="7" t="str">
        <x:v>PEA-C-X3</x:v>
      </x:c>
      <x:c r="E2146" s="7" t="str">
        <x:v>BLD-C</x:v>
      </x:c>
      <x:c r="F2146" s="7" t="str">
        <x:v>BL-X</x:v>
      </x:c>
      <x:c r="G2146" s="7" t="str">
        <x:v>MF-21</x:v>
      </x:c>
      <x:c r="H2146" s="7" t="str"/>
      <x:c r="I2146" s="7" t="str"/>
      <x:c r="J2146" s="7" t="str">
        <x:f>IF(OR(H2146="",I2146=""),"",I2146-H2146)</x:f>
      </x:c>
      <x:c r="K2146" s="7" t="str"/>
      <x:c r="L2146" s="7" t="str"/>
      <x:c r="M2146" s="7" t="str">
        <x:f>IF(L2146="","OPEN",IF(OR(NOT(ISNUMBER(H2146)),NOT(ISNUMBER(I2146)),NOT(ISNUMBER(K2146)),ABS(J2146)&gt;K2146),"FAIL","PASS"))</x:f>
        <x:v>OPEN</x:v>
      </x:c>
    </x:row>
    <x:row r="2147">
      <x:c r="B2147" s="7" t="str">
        <x:v>CAL-CH-PEA-C-X3-21-5</x:v>
      </x:c>
      <x:c r="C2147" s="7" t="str">
        <x:v>CH-PEA-C-X3-21-5</x:v>
      </x:c>
      <x:c r="D2147" s="7" t="str">
        <x:v>PEA-C-X3</x:v>
      </x:c>
      <x:c r="E2147" s="7" t="str">
        <x:v>BLD-C</x:v>
      </x:c>
      <x:c r="F2147" s="7" t="str">
        <x:v>BL-X</x:v>
      </x:c>
      <x:c r="G2147" s="7" t="str">
        <x:v>MF-21</x:v>
      </x:c>
      <x:c r="H2147" s="7" t="str"/>
      <x:c r="I2147" s="7" t="str"/>
      <x:c r="J2147" s="7" t="str">
        <x:f>IF(OR(H2147="",I2147=""),"",I2147-H2147)</x:f>
      </x:c>
      <x:c r="K2147" s="7" t="str"/>
      <x:c r="L2147" s="7" t="str"/>
      <x:c r="M2147" s="7" t="str">
        <x:f>IF(L2147="","OPEN",IF(OR(NOT(ISNUMBER(H2147)),NOT(ISNUMBER(I2147)),NOT(ISNUMBER(K2147)),ABS(J2147)&gt;K2147),"FAIL","PASS"))</x:f>
        <x:v>OPEN</x:v>
      </x:c>
    </x:row>
    <x:row r="2148">
      <x:c r="B2148" s="7" t="str">
        <x:v>CAL-CH-PEA-C-X3-21-6</x:v>
      </x:c>
      <x:c r="C2148" s="7" t="str">
        <x:v>CH-PEA-C-X3-21-6</x:v>
      </x:c>
      <x:c r="D2148" s="7" t="str">
        <x:v>PEA-C-X3</x:v>
      </x:c>
      <x:c r="E2148" s="7" t="str">
        <x:v>BLD-C</x:v>
      </x:c>
      <x:c r="F2148" s="7" t="str">
        <x:v>BL-X</x:v>
      </x:c>
      <x:c r="G2148" s="7" t="str">
        <x:v>MF-21</x:v>
      </x:c>
      <x:c r="H2148" s="7" t="str"/>
      <x:c r="I2148" s="7" t="str"/>
      <x:c r="J2148" s="7" t="str">
        <x:f>IF(OR(H2148="",I2148=""),"",I2148-H2148)</x:f>
      </x:c>
      <x:c r="K2148" s="7" t="str"/>
      <x:c r="L2148" s="7" t="str"/>
      <x:c r="M2148" s="7" t="str">
        <x:f>IF(L2148="","OPEN",IF(OR(NOT(ISNUMBER(H2148)),NOT(ISNUMBER(I2148)),NOT(ISNUMBER(K2148)),ABS(J2148)&gt;K2148),"FAIL","PASS"))</x:f>
        <x:v>OPEN</x:v>
      </x:c>
    </x:row>
    <x:row r="2149">
      <x:c r="B2149" s="7" t="str">
        <x:v>CAL-CH-PEA-C-X3-22-1</x:v>
      </x:c>
      <x:c r="C2149" s="7" t="str">
        <x:v>CH-PEA-C-X3-22-1</x:v>
      </x:c>
      <x:c r="D2149" s="7" t="str">
        <x:v>PEA-C-X3</x:v>
      </x:c>
      <x:c r="E2149" s="7" t="str">
        <x:v>BLD-C</x:v>
      </x:c>
      <x:c r="F2149" s="7" t="str">
        <x:v>BL-X</x:v>
      </x:c>
      <x:c r="G2149" s="7" t="str">
        <x:v>MF-22</x:v>
      </x:c>
      <x:c r="H2149" s="7" t="str"/>
      <x:c r="I2149" s="7" t="str"/>
      <x:c r="J2149" s="7" t="str">
        <x:f>IF(OR(H2149="",I2149=""),"",I2149-H2149)</x:f>
      </x:c>
      <x:c r="K2149" s="7" t="str"/>
      <x:c r="L2149" s="7" t="str"/>
      <x:c r="M2149" s="7" t="str">
        <x:f>IF(L2149="","OPEN",IF(OR(NOT(ISNUMBER(H2149)),NOT(ISNUMBER(I2149)),NOT(ISNUMBER(K2149)),ABS(J2149)&gt;K2149),"FAIL","PASS"))</x:f>
        <x:v>OPEN</x:v>
      </x:c>
    </x:row>
    <x:row r="2150">
      <x:c r="B2150" s="7" t="str">
        <x:v>CAL-CH-PEA-C-X3-22-2</x:v>
      </x:c>
      <x:c r="C2150" s="7" t="str">
        <x:v>CH-PEA-C-X3-22-2</x:v>
      </x:c>
      <x:c r="D2150" s="7" t="str">
        <x:v>PEA-C-X3</x:v>
      </x:c>
      <x:c r="E2150" s="7" t="str">
        <x:v>BLD-C</x:v>
      </x:c>
      <x:c r="F2150" s="7" t="str">
        <x:v>BL-X</x:v>
      </x:c>
      <x:c r="G2150" s="7" t="str">
        <x:v>MF-22</x:v>
      </x:c>
      <x:c r="H2150" s="7" t="str"/>
      <x:c r="I2150" s="7" t="str"/>
      <x:c r="J2150" s="7" t="str">
        <x:f>IF(OR(H2150="",I2150=""),"",I2150-H2150)</x:f>
      </x:c>
      <x:c r="K2150" s="7" t="str"/>
      <x:c r="L2150" s="7" t="str"/>
      <x:c r="M2150" s="7" t="str">
        <x:f>IF(L2150="","OPEN",IF(OR(NOT(ISNUMBER(H2150)),NOT(ISNUMBER(I2150)),NOT(ISNUMBER(K2150)),ABS(J2150)&gt;K2150),"FAIL","PASS"))</x:f>
        <x:v>OPEN</x:v>
      </x:c>
    </x:row>
    <x:row r="2151">
      <x:c r="B2151" s="7" t="str">
        <x:v>CAL-CH-PEA-C-X3-22-3</x:v>
      </x:c>
      <x:c r="C2151" s="7" t="str">
        <x:v>CH-PEA-C-X3-22-3</x:v>
      </x:c>
      <x:c r="D2151" s="7" t="str">
        <x:v>PEA-C-X3</x:v>
      </x:c>
      <x:c r="E2151" s="7" t="str">
        <x:v>BLD-C</x:v>
      </x:c>
      <x:c r="F2151" s="7" t="str">
        <x:v>BL-X</x:v>
      </x:c>
      <x:c r="G2151" s="7" t="str">
        <x:v>MF-22</x:v>
      </x:c>
      <x:c r="H2151" s="7" t="str"/>
      <x:c r="I2151" s="7" t="str"/>
      <x:c r="J2151" s="7" t="str">
        <x:f>IF(OR(H2151="",I2151=""),"",I2151-H2151)</x:f>
      </x:c>
      <x:c r="K2151" s="7" t="str"/>
      <x:c r="L2151" s="7" t="str"/>
      <x:c r="M2151" s="7" t="str">
        <x:f>IF(L2151="","OPEN",IF(OR(NOT(ISNUMBER(H2151)),NOT(ISNUMBER(I2151)),NOT(ISNUMBER(K2151)),ABS(J2151)&gt;K2151),"FAIL","PASS"))</x:f>
        <x:v>OPEN</x:v>
      </x:c>
    </x:row>
    <x:row r="2152">
      <x:c r="B2152" s="7" t="str">
        <x:v>CAL-CH-PEA-C-X3-22-4</x:v>
      </x:c>
      <x:c r="C2152" s="7" t="str">
        <x:v>CH-PEA-C-X3-22-4</x:v>
      </x:c>
      <x:c r="D2152" s="7" t="str">
        <x:v>PEA-C-X3</x:v>
      </x:c>
      <x:c r="E2152" s="7" t="str">
        <x:v>BLD-C</x:v>
      </x:c>
      <x:c r="F2152" s="7" t="str">
        <x:v>BL-X</x:v>
      </x:c>
      <x:c r="G2152" s="7" t="str">
        <x:v>MF-22</x:v>
      </x:c>
      <x:c r="H2152" s="7" t="str"/>
      <x:c r="I2152" s="7" t="str"/>
      <x:c r="J2152" s="7" t="str">
        <x:f>IF(OR(H2152="",I2152=""),"",I2152-H2152)</x:f>
      </x:c>
      <x:c r="K2152" s="7" t="str"/>
      <x:c r="L2152" s="7" t="str"/>
      <x:c r="M2152" s="7" t="str">
        <x:f>IF(L2152="","OPEN",IF(OR(NOT(ISNUMBER(H2152)),NOT(ISNUMBER(I2152)),NOT(ISNUMBER(K2152)),ABS(J2152)&gt;K2152),"FAIL","PASS"))</x:f>
        <x:v>OPEN</x:v>
      </x:c>
    </x:row>
    <x:row r="2153">
      <x:c r="B2153" s="7" t="str">
        <x:v>CAL-CH-PEA-C-X3-22-5</x:v>
      </x:c>
      <x:c r="C2153" s="7" t="str">
        <x:v>CH-PEA-C-X3-22-5</x:v>
      </x:c>
      <x:c r="D2153" s="7" t="str">
        <x:v>PEA-C-X3</x:v>
      </x:c>
      <x:c r="E2153" s="7" t="str">
        <x:v>BLD-C</x:v>
      </x:c>
      <x:c r="F2153" s="7" t="str">
        <x:v>BL-X</x:v>
      </x:c>
      <x:c r="G2153" s="7" t="str">
        <x:v>MF-22</x:v>
      </x:c>
      <x:c r="H2153" s="7" t="str"/>
      <x:c r="I2153" s="7" t="str"/>
      <x:c r="J2153" s="7" t="str">
        <x:f>IF(OR(H2153="",I2153=""),"",I2153-H2153)</x:f>
      </x:c>
      <x:c r="K2153" s="7" t="str"/>
      <x:c r="L2153" s="7" t="str"/>
      <x:c r="M2153" s="7" t="str">
        <x:f>IF(L2153="","OPEN",IF(OR(NOT(ISNUMBER(H2153)),NOT(ISNUMBER(I2153)),NOT(ISNUMBER(K2153)),ABS(J2153)&gt;K2153),"FAIL","PASS"))</x:f>
        <x:v>OPEN</x:v>
      </x:c>
    </x:row>
    <x:row r="2154">
      <x:c r="B2154" s="7" t="str">
        <x:v>CAL-CH-PEA-C-X3-22-6</x:v>
      </x:c>
      <x:c r="C2154" s="7" t="str">
        <x:v>CH-PEA-C-X3-22-6</x:v>
      </x:c>
      <x:c r="D2154" s="7" t="str">
        <x:v>PEA-C-X3</x:v>
      </x:c>
      <x:c r="E2154" s="7" t="str">
        <x:v>BLD-C</x:v>
      </x:c>
      <x:c r="F2154" s="7" t="str">
        <x:v>BL-X</x:v>
      </x:c>
      <x:c r="G2154" s="7" t="str">
        <x:v>MF-22</x:v>
      </x:c>
      <x:c r="H2154" s="7" t="str"/>
      <x:c r="I2154" s="7" t="str"/>
      <x:c r="J2154" s="7" t="str">
        <x:f>IF(OR(H2154="",I2154=""),"",I2154-H2154)</x:f>
      </x:c>
      <x:c r="K2154" s="7" t="str"/>
      <x:c r="L2154" s="7" t="str"/>
      <x:c r="M2154" s="7" t="str">
        <x:f>IF(L2154="","OPEN",IF(OR(NOT(ISNUMBER(H2154)),NOT(ISNUMBER(I2154)),NOT(ISNUMBER(K2154)),ABS(J2154)&gt;K2154),"FAIL","PASS"))</x:f>
        <x:v>OPEN</x:v>
      </x:c>
    </x:row>
    <x:row r="2155">
      <x:c r="B2155" s="7" t="str">
        <x:v>CAL-CH-PEA-C-X3-23-1</x:v>
      </x:c>
      <x:c r="C2155" s="7" t="str">
        <x:v>CH-PEA-C-X3-23-1</x:v>
      </x:c>
      <x:c r="D2155" s="7" t="str">
        <x:v>PEA-C-X3</x:v>
      </x:c>
      <x:c r="E2155" s="7" t="str">
        <x:v>BLD-C</x:v>
      </x:c>
      <x:c r="F2155" s="7" t="str">
        <x:v>BL-X</x:v>
      </x:c>
      <x:c r="G2155" s="7" t="str">
        <x:v>MF-23</x:v>
      </x:c>
      <x:c r="H2155" s="7" t="str"/>
      <x:c r="I2155" s="7" t="str"/>
      <x:c r="J2155" s="7" t="str">
        <x:f>IF(OR(H2155="",I2155=""),"",I2155-H2155)</x:f>
      </x:c>
      <x:c r="K2155" s="7" t="str"/>
      <x:c r="L2155" s="7" t="str"/>
      <x:c r="M2155" s="7" t="str">
        <x:f>IF(L2155="","OPEN",IF(OR(NOT(ISNUMBER(H2155)),NOT(ISNUMBER(I2155)),NOT(ISNUMBER(K2155)),ABS(J2155)&gt;K2155),"FAIL","PASS"))</x:f>
        <x:v>OPEN</x:v>
      </x:c>
    </x:row>
    <x:row r="2156">
      <x:c r="B2156" s="7" t="str">
        <x:v>CAL-CH-PEA-C-X3-23-2</x:v>
      </x:c>
      <x:c r="C2156" s="7" t="str">
        <x:v>CH-PEA-C-X3-23-2</x:v>
      </x:c>
      <x:c r="D2156" s="7" t="str">
        <x:v>PEA-C-X3</x:v>
      </x:c>
      <x:c r="E2156" s="7" t="str">
        <x:v>BLD-C</x:v>
      </x:c>
      <x:c r="F2156" s="7" t="str">
        <x:v>BL-X</x:v>
      </x:c>
      <x:c r="G2156" s="7" t="str">
        <x:v>MF-23</x:v>
      </x:c>
      <x:c r="H2156" s="7" t="str"/>
      <x:c r="I2156" s="7" t="str"/>
      <x:c r="J2156" s="7" t="str">
        <x:f>IF(OR(H2156="",I2156=""),"",I2156-H2156)</x:f>
      </x:c>
      <x:c r="K2156" s="7" t="str"/>
      <x:c r="L2156" s="7" t="str"/>
      <x:c r="M2156" s="7" t="str">
        <x:f>IF(L2156="","OPEN",IF(OR(NOT(ISNUMBER(H2156)),NOT(ISNUMBER(I2156)),NOT(ISNUMBER(K2156)),ABS(J2156)&gt;K2156),"FAIL","PASS"))</x:f>
        <x:v>OPEN</x:v>
      </x:c>
    </x:row>
    <x:row r="2157">
      <x:c r="B2157" s="7" t="str">
        <x:v>CAL-CH-PEA-C-X3-23-3</x:v>
      </x:c>
      <x:c r="C2157" s="7" t="str">
        <x:v>CH-PEA-C-X3-23-3</x:v>
      </x:c>
      <x:c r="D2157" s="7" t="str">
        <x:v>PEA-C-X3</x:v>
      </x:c>
      <x:c r="E2157" s="7" t="str">
        <x:v>BLD-C</x:v>
      </x:c>
      <x:c r="F2157" s="7" t="str">
        <x:v>BL-X</x:v>
      </x:c>
      <x:c r="G2157" s="7" t="str">
        <x:v>MF-23</x:v>
      </x:c>
      <x:c r="H2157" s="7" t="str"/>
      <x:c r="I2157" s="7" t="str"/>
      <x:c r="J2157" s="7" t="str">
        <x:f>IF(OR(H2157="",I2157=""),"",I2157-H2157)</x:f>
      </x:c>
      <x:c r="K2157" s="7" t="str"/>
      <x:c r="L2157" s="7" t="str"/>
      <x:c r="M2157" s="7" t="str">
        <x:f>IF(L2157="","OPEN",IF(OR(NOT(ISNUMBER(H2157)),NOT(ISNUMBER(I2157)),NOT(ISNUMBER(K2157)),ABS(J2157)&gt;K2157),"FAIL","PASS"))</x:f>
        <x:v>OPEN</x:v>
      </x:c>
    </x:row>
    <x:row r="2158">
      <x:c r="B2158" s="7" t="str">
        <x:v>CAL-CH-PEA-C-X3-23-4</x:v>
      </x:c>
      <x:c r="C2158" s="7" t="str">
        <x:v>CH-PEA-C-X3-23-4</x:v>
      </x:c>
      <x:c r="D2158" s="7" t="str">
        <x:v>PEA-C-X3</x:v>
      </x:c>
      <x:c r="E2158" s="7" t="str">
        <x:v>BLD-C</x:v>
      </x:c>
      <x:c r="F2158" s="7" t="str">
        <x:v>BL-X</x:v>
      </x:c>
      <x:c r="G2158" s="7" t="str">
        <x:v>MF-23</x:v>
      </x:c>
      <x:c r="H2158" s="7" t="str"/>
      <x:c r="I2158" s="7" t="str"/>
      <x:c r="J2158" s="7" t="str">
        <x:f>IF(OR(H2158="",I2158=""),"",I2158-H2158)</x:f>
      </x:c>
      <x:c r="K2158" s="7" t="str"/>
      <x:c r="L2158" s="7" t="str"/>
      <x:c r="M2158" s="7" t="str">
        <x:f>IF(L2158="","OPEN",IF(OR(NOT(ISNUMBER(H2158)),NOT(ISNUMBER(I2158)),NOT(ISNUMBER(K2158)),ABS(J2158)&gt;K2158),"FAIL","PASS"))</x:f>
        <x:v>OPEN</x:v>
      </x:c>
    </x:row>
    <x:row r="2159">
      <x:c r="B2159" s="7" t="str">
        <x:v>CAL-CH-PEA-C-X3-23-5</x:v>
      </x:c>
      <x:c r="C2159" s="7" t="str">
        <x:v>CH-PEA-C-X3-23-5</x:v>
      </x:c>
      <x:c r="D2159" s="7" t="str">
        <x:v>PEA-C-X3</x:v>
      </x:c>
      <x:c r="E2159" s="7" t="str">
        <x:v>BLD-C</x:v>
      </x:c>
      <x:c r="F2159" s="7" t="str">
        <x:v>BL-X</x:v>
      </x:c>
      <x:c r="G2159" s="7" t="str">
        <x:v>MF-23</x:v>
      </x:c>
      <x:c r="H2159" s="7" t="str"/>
      <x:c r="I2159" s="7" t="str"/>
      <x:c r="J2159" s="7" t="str">
        <x:f>IF(OR(H2159="",I2159=""),"",I2159-H2159)</x:f>
      </x:c>
      <x:c r="K2159" s="7" t="str"/>
      <x:c r="L2159" s="7" t="str"/>
      <x:c r="M2159" s="7" t="str">
        <x:f>IF(L2159="","OPEN",IF(OR(NOT(ISNUMBER(H2159)),NOT(ISNUMBER(I2159)),NOT(ISNUMBER(K2159)),ABS(J2159)&gt;K2159),"FAIL","PASS"))</x:f>
        <x:v>OPEN</x:v>
      </x:c>
    </x:row>
    <x:row r="2160">
      <x:c r="B2160" s="7" t="str">
        <x:v>CAL-CH-PEA-C-X3-23-6</x:v>
      </x:c>
      <x:c r="C2160" s="7" t="str">
        <x:v>CH-PEA-C-X3-23-6</x:v>
      </x:c>
      <x:c r="D2160" s="7" t="str">
        <x:v>PEA-C-X3</x:v>
      </x:c>
      <x:c r="E2160" s="7" t="str">
        <x:v>BLD-C</x:v>
      </x:c>
      <x:c r="F2160" s="7" t="str">
        <x:v>BL-X</x:v>
      </x:c>
      <x:c r="G2160" s="7" t="str">
        <x:v>MF-23</x:v>
      </x:c>
      <x:c r="H2160" s="7" t="str"/>
      <x:c r="I2160" s="7" t="str"/>
      <x:c r="J2160" s="7" t="str">
        <x:f>IF(OR(H2160="",I2160=""),"",I2160-H2160)</x:f>
      </x:c>
      <x:c r="K2160" s="7" t="str"/>
      <x:c r="L2160" s="7" t="str"/>
      <x:c r="M2160" s="7" t="str">
        <x:f>IF(L2160="","OPEN",IF(OR(NOT(ISNUMBER(H2160)),NOT(ISNUMBER(I2160)),NOT(ISNUMBER(K2160)),ABS(J2160)&gt;K2160),"FAIL","PASS"))</x:f>
        <x:v>OPEN</x:v>
      </x:c>
    </x:row>
    <x:row r="2161">
      <x:c r="B2161" s="7" t="str">
        <x:v>CAL-CH-PEA-C-X3-24-1</x:v>
      </x:c>
      <x:c r="C2161" s="7" t="str">
        <x:v>CH-PEA-C-X3-24-1</x:v>
      </x:c>
      <x:c r="D2161" s="7" t="str">
        <x:v>PEA-C-X3</x:v>
      </x:c>
      <x:c r="E2161" s="7" t="str">
        <x:v>BLD-C</x:v>
      </x:c>
      <x:c r="F2161" s="7" t="str">
        <x:v>BL-X</x:v>
      </x:c>
      <x:c r="G2161" s="7" t="str">
        <x:v>MF-24</x:v>
      </x:c>
      <x:c r="H2161" s="7" t="str"/>
      <x:c r="I2161" s="7" t="str"/>
      <x:c r="J2161" s="7" t="str">
        <x:f>IF(OR(H2161="",I2161=""),"",I2161-H2161)</x:f>
      </x:c>
      <x:c r="K2161" s="7" t="str"/>
      <x:c r="L2161" s="7" t="str"/>
      <x:c r="M2161" s="7" t="str">
        <x:f>IF(L2161="","OPEN",IF(OR(NOT(ISNUMBER(H2161)),NOT(ISNUMBER(I2161)),NOT(ISNUMBER(K2161)),ABS(J2161)&gt;K2161),"FAIL","PASS"))</x:f>
        <x:v>OPEN</x:v>
      </x:c>
    </x:row>
    <x:row r="2162">
      <x:c r="B2162" s="7" t="str">
        <x:v>CAL-CH-PEA-C-X3-24-2</x:v>
      </x:c>
      <x:c r="C2162" s="7" t="str">
        <x:v>CH-PEA-C-X3-24-2</x:v>
      </x:c>
      <x:c r="D2162" s="7" t="str">
        <x:v>PEA-C-X3</x:v>
      </x:c>
      <x:c r="E2162" s="7" t="str">
        <x:v>BLD-C</x:v>
      </x:c>
      <x:c r="F2162" s="7" t="str">
        <x:v>BL-X</x:v>
      </x:c>
      <x:c r="G2162" s="7" t="str">
        <x:v>MF-24</x:v>
      </x:c>
      <x:c r="H2162" s="7" t="str"/>
      <x:c r="I2162" s="7" t="str"/>
      <x:c r="J2162" s="7" t="str">
        <x:f>IF(OR(H2162="",I2162=""),"",I2162-H2162)</x:f>
      </x:c>
      <x:c r="K2162" s="7" t="str"/>
      <x:c r="L2162" s="7" t="str"/>
      <x:c r="M2162" s="7" t="str">
        <x:f>IF(L2162="","OPEN",IF(OR(NOT(ISNUMBER(H2162)),NOT(ISNUMBER(I2162)),NOT(ISNUMBER(K2162)),ABS(J2162)&gt;K2162),"FAIL","PASS"))</x:f>
        <x:v>OPEN</x:v>
      </x:c>
    </x:row>
    <x:row r="2163">
      <x:c r="B2163" s="7" t="str">
        <x:v>CAL-CH-PEA-C-X3-24-3</x:v>
      </x:c>
      <x:c r="C2163" s="7" t="str">
        <x:v>CH-PEA-C-X3-24-3</x:v>
      </x:c>
      <x:c r="D2163" s="7" t="str">
        <x:v>PEA-C-X3</x:v>
      </x:c>
      <x:c r="E2163" s="7" t="str">
        <x:v>BLD-C</x:v>
      </x:c>
      <x:c r="F2163" s="7" t="str">
        <x:v>BL-X</x:v>
      </x:c>
      <x:c r="G2163" s="7" t="str">
        <x:v>MF-24</x:v>
      </x:c>
      <x:c r="H2163" s="7" t="str"/>
      <x:c r="I2163" s="7" t="str"/>
      <x:c r="J2163" s="7" t="str">
        <x:f>IF(OR(H2163="",I2163=""),"",I2163-H2163)</x:f>
      </x:c>
      <x:c r="K2163" s="7" t="str"/>
      <x:c r="L2163" s="7" t="str"/>
      <x:c r="M2163" s="7" t="str">
        <x:f>IF(L2163="","OPEN",IF(OR(NOT(ISNUMBER(H2163)),NOT(ISNUMBER(I2163)),NOT(ISNUMBER(K2163)),ABS(J2163)&gt;K2163),"FAIL","PASS"))</x:f>
        <x:v>OPEN</x:v>
      </x:c>
    </x:row>
    <x:row r="2164">
      <x:c r="B2164" s="7" t="str">
        <x:v>CAL-CH-PEA-C-X3-24-4</x:v>
      </x:c>
      <x:c r="C2164" s="7" t="str">
        <x:v>CH-PEA-C-X3-24-4</x:v>
      </x:c>
      <x:c r="D2164" s="7" t="str">
        <x:v>PEA-C-X3</x:v>
      </x:c>
      <x:c r="E2164" s="7" t="str">
        <x:v>BLD-C</x:v>
      </x:c>
      <x:c r="F2164" s="7" t="str">
        <x:v>BL-X</x:v>
      </x:c>
      <x:c r="G2164" s="7" t="str">
        <x:v>MF-24</x:v>
      </x:c>
      <x:c r="H2164" s="7" t="str"/>
      <x:c r="I2164" s="7" t="str"/>
      <x:c r="J2164" s="7" t="str">
        <x:f>IF(OR(H2164="",I2164=""),"",I2164-H2164)</x:f>
      </x:c>
      <x:c r="K2164" s="7" t="str"/>
      <x:c r="L2164" s="7" t="str"/>
      <x:c r="M2164" s="7" t="str">
        <x:f>IF(L2164="","OPEN",IF(OR(NOT(ISNUMBER(H2164)),NOT(ISNUMBER(I2164)),NOT(ISNUMBER(K2164)),ABS(J2164)&gt;K2164),"FAIL","PASS"))</x:f>
        <x:v>OPEN</x:v>
      </x:c>
    </x:row>
    <x:row r="2165">
      <x:c r="B2165" s="7" t="str">
        <x:v>CAL-CH-PEA-C-X3-24-5</x:v>
      </x:c>
      <x:c r="C2165" s="7" t="str">
        <x:v>CH-PEA-C-X3-24-5</x:v>
      </x:c>
      <x:c r="D2165" s="7" t="str">
        <x:v>PEA-C-X3</x:v>
      </x:c>
      <x:c r="E2165" s="7" t="str">
        <x:v>BLD-C</x:v>
      </x:c>
      <x:c r="F2165" s="7" t="str">
        <x:v>BL-X</x:v>
      </x:c>
      <x:c r="G2165" s="7" t="str">
        <x:v>MF-24</x:v>
      </x:c>
      <x:c r="H2165" s="7" t="str"/>
      <x:c r="I2165" s="7" t="str"/>
      <x:c r="J2165" s="7" t="str">
        <x:f>IF(OR(H2165="",I2165=""),"",I2165-H2165)</x:f>
      </x:c>
      <x:c r="K2165" s="7" t="str"/>
      <x:c r="L2165" s="7" t="str"/>
      <x:c r="M2165" s="7" t="str">
        <x:f>IF(L2165="","OPEN",IF(OR(NOT(ISNUMBER(H2165)),NOT(ISNUMBER(I2165)),NOT(ISNUMBER(K2165)),ABS(J2165)&gt;K2165),"FAIL","PASS"))</x:f>
        <x:v>OPEN</x:v>
      </x:c>
    </x:row>
    <x:row r="2166">
      <x:c r="B2166" s="7" t="str">
        <x:v>CAL-CH-PEA-C-X3-24-6</x:v>
      </x:c>
      <x:c r="C2166" s="7" t="str">
        <x:v>CH-PEA-C-X3-24-6</x:v>
      </x:c>
      <x:c r="D2166" s="7" t="str">
        <x:v>PEA-C-X3</x:v>
      </x:c>
      <x:c r="E2166" s="7" t="str">
        <x:v>BLD-C</x:v>
      </x:c>
      <x:c r="F2166" s="7" t="str">
        <x:v>BL-X</x:v>
      </x:c>
      <x:c r="G2166" s="7" t="str">
        <x:v>MF-24</x:v>
      </x:c>
      <x:c r="H2166" s="7" t="str"/>
      <x:c r="I2166" s="7" t="str"/>
      <x:c r="J2166" s="7" t="str">
        <x:f>IF(OR(H2166="",I2166=""),"",I2166-H2166)</x:f>
      </x:c>
      <x:c r="K2166" s="7" t="str"/>
      <x:c r="L2166" s="7" t="str"/>
      <x:c r="M2166" s="7" t="str">
        <x:f>IF(L2166="","OPEN",IF(OR(NOT(ISNUMBER(H2166)),NOT(ISNUMBER(I2166)),NOT(ISNUMBER(K2166)),ABS(J2166)&gt;K2166),"FAIL","PASS"))</x:f>
        <x:v>OPEN</x:v>
      </x:c>
    </x:row>
    <x:row r="2167">
      <x:c r="B2167" s="7" t="str">
        <x:v>CAL-CH-PEA-C-Y1-01-1</x:v>
      </x:c>
      <x:c r="C2167" s="7" t="str">
        <x:v>CH-PEA-C-Y1-01-1</x:v>
      </x:c>
      <x:c r="D2167" s="7" t="str">
        <x:v>PEA-C-Y1</x:v>
      </x:c>
      <x:c r="E2167" s="7" t="str">
        <x:v>BLD-C</x:v>
      </x:c>
      <x:c r="F2167" s="7" t="str">
        <x:v>BL-Y</x:v>
      </x:c>
      <x:c r="G2167" s="7" t="str">
        <x:v>MF-01</x:v>
      </x:c>
      <x:c r="H2167" s="7" t="str"/>
      <x:c r="I2167" s="7" t="str"/>
      <x:c r="J2167" s="7" t="str">
        <x:f>IF(OR(H2167="",I2167=""),"",I2167-H2167)</x:f>
      </x:c>
      <x:c r="K2167" s="7" t="str"/>
      <x:c r="L2167" s="7" t="str"/>
      <x:c r="M2167" s="7" t="str">
        <x:f>IF(L2167="","OPEN",IF(OR(NOT(ISNUMBER(H2167)),NOT(ISNUMBER(I2167)),NOT(ISNUMBER(K2167)),ABS(J2167)&gt;K2167),"FAIL","PASS"))</x:f>
        <x:v>OPEN</x:v>
      </x:c>
    </x:row>
    <x:row r="2168">
      <x:c r="B2168" s="7" t="str">
        <x:v>CAL-CH-PEA-C-Y1-01-2</x:v>
      </x:c>
      <x:c r="C2168" s="7" t="str">
        <x:v>CH-PEA-C-Y1-01-2</x:v>
      </x:c>
      <x:c r="D2168" s="7" t="str">
        <x:v>PEA-C-Y1</x:v>
      </x:c>
      <x:c r="E2168" s="7" t="str">
        <x:v>BLD-C</x:v>
      </x:c>
      <x:c r="F2168" s="7" t="str">
        <x:v>BL-Y</x:v>
      </x:c>
      <x:c r="G2168" s="7" t="str">
        <x:v>MF-01</x:v>
      </x:c>
      <x:c r="H2168" s="7" t="str"/>
      <x:c r="I2168" s="7" t="str"/>
      <x:c r="J2168" s="7" t="str">
        <x:f>IF(OR(H2168="",I2168=""),"",I2168-H2168)</x:f>
      </x:c>
      <x:c r="K2168" s="7" t="str"/>
      <x:c r="L2168" s="7" t="str"/>
      <x:c r="M2168" s="7" t="str">
        <x:f>IF(L2168="","OPEN",IF(OR(NOT(ISNUMBER(H2168)),NOT(ISNUMBER(I2168)),NOT(ISNUMBER(K2168)),ABS(J2168)&gt;K2168),"FAIL","PASS"))</x:f>
        <x:v>OPEN</x:v>
      </x:c>
    </x:row>
    <x:row r="2169">
      <x:c r="B2169" s="7" t="str">
        <x:v>CAL-CH-PEA-C-Y1-01-3</x:v>
      </x:c>
      <x:c r="C2169" s="7" t="str">
        <x:v>CH-PEA-C-Y1-01-3</x:v>
      </x:c>
      <x:c r="D2169" s="7" t="str">
        <x:v>PEA-C-Y1</x:v>
      </x:c>
      <x:c r="E2169" s="7" t="str">
        <x:v>BLD-C</x:v>
      </x:c>
      <x:c r="F2169" s="7" t="str">
        <x:v>BL-Y</x:v>
      </x:c>
      <x:c r="G2169" s="7" t="str">
        <x:v>MF-01</x:v>
      </x:c>
      <x:c r="H2169" s="7" t="str"/>
      <x:c r="I2169" s="7" t="str"/>
      <x:c r="J2169" s="7" t="str">
        <x:f>IF(OR(H2169="",I2169=""),"",I2169-H2169)</x:f>
      </x:c>
      <x:c r="K2169" s="7" t="str"/>
      <x:c r="L2169" s="7" t="str"/>
      <x:c r="M2169" s="7" t="str">
        <x:f>IF(L2169="","OPEN",IF(OR(NOT(ISNUMBER(H2169)),NOT(ISNUMBER(I2169)),NOT(ISNUMBER(K2169)),ABS(J2169)&gt;K2169),"FAIL","PASS"))</x:f>
        <x:v>OPEN</x:v>
      </x:c>
    </x:row>
    <x:row r="2170">
      <x:c r="B2170" s="7" t="str">
        <x:v>CAL-CH-PEA-C-Y1-01-4</x:v>
      </x:c>
      <x:c r="C2170" s="7" t="str">
        <x:v>CH-PEA-C-Y1-01-4</x:v>
      </x:c>
      <x:c r="D2170" s="7" t="str">
        <x:v>PEA-C-Y1</x:v>
      </x:c>
      <x:c r="E2170" s="7" t="str">
        <x:v>BLD-C</x:v>
      </x:c>
      <x:c r="F2170" s="7" t="str">
        <x:v>BL-Y</x:v>
      </x:c>
      <x:c r="G2170" s="7" t="str">
        <x:v>MF-01</x:v>
      </x:c>
      <x:c r="H2170" s="7" t="str"/>
      <x:c r="I2170" s="7" t="str"/>
      <x:c r="J2170" s="7" t="str">
        <x:f>IF(OR(H2170="",I2170=""),"",I2170-H2170)</x:f>
      </x:c>
      <x:c r="K2170" s="7" t="str"/>
      <x:c r="L2170" s="7" t="str"/>
      <x:c r="M2170" s="7" t="str">
        <x:f>IF(L2170="","OPEN",IF(OR(NOT(ISNUMBER(H2170)),NOT(ISNUMBER(I2170)),NOT(ISNUMBER(K2170)),ABS(J2170)&gt;K2170),"FAIL","PASS"))</x:f>
        <x:v>OPEN</x:v>
      </x:c>
    </x:row>
    <x:row r="2171">
      <x:c r="B2171" s="7" t="str">
        <x:v>CAL-CH-PEA-C-Y1-01-5</x:v>
      </x:c>
      <x:c r="C2171" s="7" t="str">
        <x:v>CH-PEA-C-Y1-01-5</x:v>
      </x:c>
      <x:c r="D2171" s="7" t="str">
        <x:v>PEA-C-Y1</x:v>
      </x:c>
      <x:c r="E2171" s="7" t="str">
        <x:v>BLD-C</x:v>
      </x:c>
      <x:c r="F2171" s="7" t="str">
        <x:v>BL-Y</x:v>
      </x:c>
      <x:c r="G2171" s="7" t="str">
        <x:v>MF-01</x:v>
      </x:c>
      <x:c r="H2171" s="7" t="str"/>
      <x:c r="I2171" s="7" t="str"/>
      <x:c r="J2171" s="7" t="str">
        <x:f>IF(OR(H2171="",I2171=""),"",I2171-H2171)</x:f>
      </x:c>
      <x:c r="K2171" s="7" t="str"/>
      <x:c r="L2171" s="7" t="str"/>
      <x:c r="M2171" s="7" t="str">
        <x:f>IF(L2171="","OPEN",IF(OR(NOT(ISNUMBER(H2171)),NOT(ISNUMBER(I2171)),NOT(ISNUMBER(K2171)),ABS(J2171)&gt;K2171),"FAIL","PASS"))</x:f>
        <x:v>OPEN</x:v>
      </x:c>
    </x:row>
    <x:row r="2172">
      <x:c r="B2172" s="7" t="str">
        <x:v>CAL-CH-PEA-C-Y1-01-6</x:v>
      </x:c>
      <x:c r="C2172" s="7" t="str">
        <x:v>CH-PEA-C-Y1-01-6</x:v>
      </x:c>
      <x:c r="D2172" s="7" t="str">
        <x:v>PEA-C-Y1</x:v>
      </x:c>
      <x:c r="E2172" s="7" t="str">
        <x:v>BLD-C</x:v>
      </x:c>
      <x:c r="F2172" s="7" t="str">
        <x:v>BL-Y</x:v>
      </x:c>
      <x:c r="G2172" s="7" t="str">
        <x:v>MF-01</x:v>
      </x:c>
      <x:c r="H2172" s="7" t="str"/>
      <x:c r="I2172" s="7" t="str"/>
      <x:c r="J2172" s="7" t="str">
        <x:f>IF(OR(H2172="",I2172=""),"",I2172-H2172)</x:f>
      </x:c>
      <x:c r="K2172" s="7" t="str"/>
      <x:c r="L2172" s="7" t="str"/>
      <x:c r="M2172" s="7" t="str">
        <x:f>IF(L2172="","OPEN",IF(OR(NOT(ISNUMBER(H2172)),NOT(ISNUMBER(I2172)),NOT(ISNUMBER(K2172)),ABS(J2172)&gt;K2172),"FAIL","PASS"))</x:f>
        <x:v>OPEN</x:v>
      </x:c>
    </x:row>
    <x:row r="2173">
      <x:c r="B2173" s="7" t="str">
        <x:v>CAL-CH-PEA-C-Y1-02-1</x:v>
      </x:c>
      <x:c r="C2173" s="7" t="str">
        <x:v>CH-PEA-C-Y1-02-1</x:v>
      </x:c>
      <x:c r="D2173" s="7" t="str">
        <x:v>PEA-C-Y1</x:v>
      </x:c>
      <x:c r="E2173" s="7" t="str">
        <x:v>BLD-C</x:v>
      </x:c>
      <x:c r="F2173" s="7" t="str">
        <x:v>BL-Y</x:v>
      </x:c>
      <x:c r="G2173" s="7" t="str">
        <x:v>MF-02</x:v>
      </x:c>
      <x:c r="H2173" s="7" t="str"/>
      <x:c r="I2173" s="7" t="str"/>
      <x:c r="J2173" s="7" t="str">
        <x:f>IF(OR(H2173="",I2173=""),"",I2173-H2173)</x:f>
      </x:c>
      <x:c r="K2173" s="7" t="str"/>
      <x:c r="L2173" s="7" t="str"/>
      <x:c r="M2173" s="7" t="str">
        <x:f>IF(L2173="","OPEN",IF(OR(NOT(ISNUMBER(H2173)),NOT(ISNUMBER(I2173)),NOT(ISNUMBER(K2173)),ABS(J2173)&gt;K2173),"FAIL","PASS"))</x:f>
        <x:v>OPEN</x:v>
      </x:c>
    </x:row>
    <x:row r="2174">
      <x:c r="B2174" s="7" t="str">
        <x:v>CAL-CH-PEA-C-Y1-02-2</x:v>
      </x:c>
      <x:c r="C2174" s="7" t="str">
        <x:v>CH-PEA-C-Y1-02-2</x:v>
      </x:c>
      <x:c r="D2174" s="7" t="str">
        <x:v>PEA-C-Y1</x:v>
      </x:c>
      <x:c r="E2174" s="7" t="str">
        <x:v>BLD-C</x:v>
      </x:c>
      <x:c r="F2174" s="7" t="str">
        <x:v>BL-Y</x:v>
      </x:c>
      <x:c r="G2174" s="7" t="str">
        <x:v>MF-02</x:v>
      </x:c>
      <x:c r="H2174" s="7" t="str"/>
      <x:c r="I2174" s="7" t="str"/>
      <x:c r="J2174" s="7" t="str">
        <x:f>IF(OR(H2174="",I2174=""),"",I2174-H2174)</x:f>
      </x:c>
      <x:c r="K2174" s="7" t="str"/>
      <x:c r="L2174" s="7" t="str"/>
      <x:c r="M2174" s="7" t="str">
        <x:f>IF(L2174="","OPEN",IF(OR(NOT(ISNUMBER(H2174)),NOT(ISNUMBER(I2174)),NOT(ISNUMBER(K2174)),ABS(J2174)&gt;K2174),"FAIL","PASS"))</x:f>
        <x:v>OPEN</x:v>
      </x:c>
    </x:row>
    <x:row r="2175">
      <x:c r="B2175" s="7" t="str">
        <x:v>CAL-CH-PEA-C-Y1-02-3</x:v>
      </x:c>
      <x:c r="C2175" s="7" t="str">
        <x:v>CH-PEA-C-Y1-02-3</x:v>
      </x:c>
      <x:c r="D2175" s="7" t="str">
        <x:v>PEA-C-Y1</x:v>
      </x:c>
      <x:c r="E2175" s="7" t="str">
        <x:v>BLD-C</x:v>
      </x:c>
      <x:c r="F2175" s="7" t="str">
        <x:v>BL-Y</x:v>
      </x:c>
      <x:c r="G2175" s="7" t="str">
        <x:v>MF-02</x:v>
      </x:c>
      <x:c r="H2175" s="7" t="str"/>
      <x:c r="I2175" s="7" t="str"/>
      <x:c r="J2175" s="7" t="str">
        <x:f>IF(OR(H2175="",I2175=""),"",I2175-H2175)</x:f>
      </x:c>
      <x:c r="K2175" s="7" t="str"/>
      <x:c r="L2175" s="7" t="str"/>
      <x:c r="M2175" s="7" t="str">
        <x:f>IF(L2175="","OPEN",IF(OR(NOT(ISNUMBER(H2175)),NOT(ISNUMBER(I2175)),NOT(ISNUMBER(K2175)),ABS(J2175)&gt;K2175),"FAIL","PASS"))</x:f>
        <x:v>OPEN</x:v>
      </x:c>
    </x:row>
    <x:row r="2176">
      <x:c r="B2176" s="7" t="str">
        <x:v>CAL-CH-PEA-C-Y1-02-4</x:v>
      </x:c>
      <x:c r="C2176" s="7" t="str">
        <x:v>CH-PEA-C-Y1-02-4</x:v>
      </x:c>
      <x:c r="D2176" s="7" t="str">
        <x:v>PEA-C-Y1</x:v>
      </x:c>
      <x:c r="E2176" s="7" t="str">
        <x:v>BLD-C</x:v>
      </x:c>
      <x:c r="F2176" s="7" t="str">
        <x:v>BL-Y</x:v>
      </x:c>
      <x:c r="G2176" s="7" t="str">
        <x:v>MF-02</x:v>
      </x:c>
      <x:c r="H2176" s="7" t="str"/>
      <x:c r="I2176" s="7" t="str"/>
      <x:c r="J2176" s="7" t="str">
        <x:f>IF(OR(H2176="",I2176=""),"",I2176-H2176)</x:f>
      </x:c>
      <x:c r="K2176" s="7" t="str"/>
      <x:c r="L2176" s="7" t="str"/>
      <x:c r="M2176" s="7" t="str">
        <x:f>IF(L2176="","OPEN",IF(OR(NOT(ISNUMBER(H2176)),NOT(ISNUMBER(I2176)),NOT(ISNUMBER(K2176)),ABS(J2176)&gt;K2176),"FAIL","PASS"))</x:f>
        <x:v>OPEN</x:v>
      </x:c>
    </x:row>
    <x:row r="2177">
      <x:c r="B2177" s="7" t="str">
        <x:v>CAL-CH-PEA-C-Y1-02-5</x:v>
      </x:c>
      <x:c r="C2177" s="7" t="str">
        <x:v>CH-PEA-C-Y1-02-5</x:v>
      </x:c>
      <x:c r="D2177" s="7" t="str">
        <x:v>PEA-C-Y1</x:v>
      </x:c>
      <x:c r="E2177" s="7" t="str">
        <x:v>BLD-C</x:v>
      </x:c>
      <x:c r="F2177" s="7" t="str">
        <x:v>BL-Y</x:v>
      </x:c>
      <x:c r="G2177" s="7" t="str">
        <x:v>MF-02</x:v>
      </x:c>
      <x:c r="H2177" s="7" t="str"/>
      <x:c r="I2177" s="7" t="str"/>
      <x:c r="J2177" s="7" t="str">
        <x:f>IF(OR(H2177="",I2177=""),"",I2177-H2177)</x:f>
      </x:c>
      <x:c r="K2177" s="7" t="str"/>
      <x:c r="L2177" s="7" t="str"/>
      <x:c r="M2177" s="7" t="str">
        <x:f>IF(L2177="","OPEN",IF(OR(NOT(ISNUMBER(H2177)),NOT(ISNUMBER(I2177)),NOT(ISNUMBER(K2177)),ABS(J2177)&gt;K2177),"FAIL","PASS"))</x:f>
        <x:v>OPEN</x:v>
      </x:c>
    </x:row>
    <x:row r="2178">
      <x:c r="B2178" s="7" t="str">
        <x:v>CAL-CH-PEA-C-Y1-02-6</x:v>
      </x:c>
      <x:c r="C2178" s="7" t="str">
        <x:v>CH-PEA-C-Y1-02-6</x:v>
      </x:c>
      <x:c r="D2178" s="7" t="str">
        <x:v>PEA-C-Y1</x:v>
      </x:c>
      <x:c r="E2178" s="7" t="str">
        <x:v>BLD-C</x:v>
      </x:c>
      <x:c r="F2178" s="7" t="str">
        <x:v>BL-Y</x:v>
      </x:c>
      <x:c r="G2178" s="7" t="str">
        <x:v>MF-02</x:v>
      </x:c>
      <x:c r="H2178" s="7" t="str"/>
      <x:c r="I2178" s="7" t="str"/>
      <x:c r="J2178" s="7" t="str">
        <x:f>IF(OR(H2178="",I2178=""),"",I2178-H2178)</x:f>
      </x:c>
      <x:c r="K2178" s="7" t="str"/>
      <x:c r="L2178" s="7" t="str"/>
      <x:c r="M2178" s="7" t="str">
        <x:f>IF(L2178="","OPEN",IF(OR(NOT(ISNUMBER(H2178)),NOT(ISNUMBER(I2178)),NOT(ISNUMBER(K2178)),ABS(J2178)&gt;K2178),"FAIL","PASS"))</x:f>
        <x:v>OPEN</x:v>
      </x:c>
    </x:row>
    <x:row r="2179">
      <x:c r="B2179" s="7" t="str">
        <x:v>CAL-CH-PEA-C-Y1-03-1</x:v>
      </x:c>
      <x:c r="C2179" s="7" t="str">
        <x:v>CH-PEA-C-Y1-03-1</x:v>
      </x:c>
      <x:c r="D2179" s="7" t="str">
        <x:v>PEA-C-Y1</x:v>
      </x:c>
      <x:c r="E2179" s="7" t="str">
        <x:v>BLD-C</x:v>
      </x:c>
      <x:c r="F2179" s="7" t="str">
        <x:v>BL-Y</x:v>
      </x:c>
      <x:c r="G2179" s="7" t="str">
        <x:v>MF-03</x:v>
      </x:c>
      <x:c r="H2179" s="7" t="str"/>
      <x:c r="I2179" s="7" t="str"/>
      <x:c r="J2179" s="7" t="str">
        <x:f>IF(OR(H2179="",I2179=""),"",I2179-H2179)</x:f>
      </x:c>
      <x:c r="K2179" s="7" t="str"/>
      <x:c r="L2179" s="7" t="str"/>
      <x:c r="M2179" s="7" t="str">
        <x:f>IF(L2179="","OPEN",IF(OR(NOT(ISNUMBER(H2179)),NOT(ISNUMBER(I2179)),NOT(ISNUMBER(K2179)),ABS(J2179)&gt;K2179),"FAIL","PASS"))</x:f>
        <x:v>OPEN</x:v>
      </x:c>
    </x:row>
    <x:row r="2180">
      <x:c r="B2180" s="7" t="str">
        <x:v>CAL-CH-PEA-C-Y1-03-2</x:v>
      </x:c>
      <x:c r="C2180" s="7" t="str">
        <x:v>CH-PEA-C-Y1-03-2</x:v>
      </x:c>
      <x:c r="D2180" s="7" t="str">
        <x:v>PEA-C-Y1</x:v>
      </x:c>
      <x:c r="E2180" s="7" t="str">
        <x:v>BLD-C</x:v>
      </x:c>
      <x:c r="F2180" s="7" t="str">
        <x:v>BL-Y</x:v>
      </x:c>
      <x:c r="G2180" s="7" t="str">
        <x:v>MF-03</x:v>
      </x:c>
      <x:c r="H2180" s="7" t="str"/>
      <x:c r="I2180" s="7" t="str"/>
      <x:c r="J2180" s="7" t="str">
        <x:f>IF(OR(H2180="",I2180=""),"",I2180-H2180)</x:f>
      </x:c>
      <x:c r="K2180" s="7" t="str"/>
      <x:c r="L2180" s="7" t="str"/>
      <x:c r="M2180" s="7" t="str">
        <x:f>IF(L2180="","OPEN",IF(OR(NOT(ISNUMBER(H2180)),NOT(ISNUMBER(I2180)),NOT(ISNUMBER(K2180)),ABS(J2180)&gt;K2180),"FAIL","PASS"))</x:f>
        <x:v>OPEN</x:v>
      </x:c>
    </x:row>
    <x:row r="2181">
      <x:c r="B2181" s="7" t="str">
        <x:v>CAL-CH-PEA-C-Y1-03-3</x:v>
      </x:c>
      <x:c r="C2181" s="7" t="str">
        <x:v>CH-PEA-C-Y1-03-3</x:v>
      </x:c>
      <x:c r="D2181" s="7" t="str">
        <x:v>PEA-C-Y1</x:v>
      </x:c>
      <x:c r="E2181" s="7" t="str">
        <x:v>BLD-C</x:v>
      </x:c>
      <x:c r="F2181" s="7" t="str">
        <x:v>BL-Y</x:v>
      </x:c>
      <x:c r="G2181" s="7" t="str">
        <x:v>MF-03</x:v>
      </x:c>
      <x:c r="H2181" s="7" t="str"/>
      <x:c r="I2181" s="7" t="str"/>
      <x:c r="J2181" s="7" t="str">
        <x:f>IF(OR(H2181="",I2181=""),"",I2181-H2181)</x:f>
      </x:c>
      <x:c r="K2181" s="7" t="str"/>
      <x:c r="L2181" s="7" t="str"/>
      <x:c r="M2181" s="7" t="str">
        <x:f>IF(L2181="","OPEN",IF(OR(NOT(ISNUMBER(H2181)),NOT(ISNUMBER(I2181)),NOT(ISNUMBER(K2181)),ABS(J2181)&gt;K2181),"FAIL","PASS"))</x:f>
        <x:v>OPEN</x:v>
      </x:c>
    </x:row>
    <x:row r="2182">
      <x:c r="B2182" s="7" t="str">
        <x:v>CAL-CH-PEA-C-Y1-03-4</x:v>
      </x:c>
      <x:c r="C2182" s="7" t="str">
        <x:v>CH-PEA-C-Y1-03-4</x:v>
      </x:c>
      <x:c r="D2182" s="7" t="str">
        <x:v>PEA-C-Y1</x:v>
      </x:c>
      <x:c r="E2182" s="7" t="str">
        <x:v>BLD-C</x:v>
      </x:c>
      <x:c r="F2182" s="7" t="str">
        <x:v>BL-Y</x:v>
      </x:c>
      <x:c r="G2182" s="7" t="str">
        <x:v>MF-03</x:v>
      </x:c>
      <x:c r="H2182" s="7" t="str"/>
      <x:c r="I2182" s="7" t="str"/>
      <x:c r="J2182" s="7" t="str">
        <x:f>IF(OR(H2182="",I2182=""),"",I2182-H2182)</x:f>
      </x:c>
      <x:c r="K2182" s="7" t="str"/>
      <x:c r="L2182" s="7" t="str"/>
      <x:c r="M2182" s="7" t="str">
        <x:f>IF(L2182="","OPEN",IF(OR(NOT(ISNUMBER(H2182)),NOT(ISNUMBER(I2182)),NOT(ISNUMBER(K2182)),ABS(J2182)&gt;K2182),"FAIL","PASS"))</x:f>
        <x:v>OPEN</x:v>
      </x:c>
    </x:row>
    <x:row r="2183">
      <x:c r="B2183" s="7" t="str">
        <x:v>CAL-CH-PEA-C-Y1-03-5</x:v>
      </x:c>
      <x:c r="C2183" s="7" t="str">
        <x:v>CH-PEA-C-Y1-03-5</x:v>
      </x:c>
      <x:c r="D2183" s="7" t="str">
        <x:v>PEA-C-Y1</x:v>
      </x:c>
      <x:c r="E2183" s="7" t="str">
        <x:v>BLD-C</x:v>
      </x:c>
      <x:c r="F2183" s="7" t="str">
        <x:v>BL-Y</x:v>
      </x:c>
      <x:c r="G2183" s="7" t="str">
        <x:v>MF-03</x:v>
      </x:c>
      <x:c r="H2183" s="7" t="str"/>
      <x:c r="I2183" s="7" t="str"/>
      <x:c r="J2183" s="7" t="str">
        <x:f>IF(OR(H2183="",I2183=""),"",I2183-H2183)</x:f>
      </x:c>
      <x:c r="K2183" s="7" t="str"/>
      <x:c r="L2183" s="7" t="str"/>
      <x:c r="M2183" s="7" t="str">
        <x:f>IF(L2183="","OPEN",IF(OR(NOT(ISNUMBER(H2183)),NOT(ISNUMBER(I2183)),NOT(ISNUMBER(K2183)),ABS(J2183)&gt;K2183),"FAIL","PASS"))</x:f>
        <x:v>OPEN</x:v>
      </x:c>
    </x:row>
    <x:row r="2184">
      <x:c r="B2184" s="7" t="str">
        <x:v>CAL-CH-PEA-C-Y1-03-6</x:v>
      </x:c>
      <x:c r="C2184" s="7" t="str">
        <x:v>CH-PEA-C-Y1-03-6</x:v>
      </x:c>
      <x:c r="D2184" s="7" t="str">
        <x:v>PEA-C-Y1</x:v>
      </x:c>
      <x:c r="E2184" s="7" t="str">
        <x:v>BLD-C</x:v>
      </x:c>
      <x:c r="F2184" s="7" t="str">
        <x:v>BL-Y</x:v>
      </x:c>
      <x:c r="G2184" s="7" t="str">
        <x:v>MF-03</x:v>
      </x:c>
      <x:c r="H2184" s="7" t="str"/>
      <x:c r="I2184" s="7" t="str"/>
      <x:c r="J2184" s="7" t="str">
        <x:f>IF(OR(H2184="",I2184=""),"",I2184-H2184)</x:f>
      </x:c>
      <x:c r="K2184" s="7" t="str"/>
      <x:c r="L2184" s="7" t="str"/>
      <x:c r="M2184" s="7" t="str">
        <x:f>IF(L2184="","OPEN",IF(OR(NOT(ISNUMBER(H2184)),NOT(ISNUMBER(I2184)),NOT(ISNUMBER(K2184)),ABS(J2184)&gt;K2184),"FAIL","PASS"))</x:f>
        <x:v>OPEN</x:v>
      </x:c>
    </x:row>
    <x:row r="2185">
      <x:c r="B2185" s="7" t="str">
        <x:v>CAL-CH-PEA-C-Y1-04-1</x:v>
      </x:c>
      <x:c r="C2185" s="7" t="str">
        <x:v>CH-PEA-C-Y1-04-1</x:v>
      </x:c>
      <x:c r="D2185" s="7" t="str">
        <x:v>PEA-C-Y1</x:v>
      </x:c>
      <x:c r="E2185" s="7" t="str">
        <x:v>BLD-C</x:v>
      </x:c>
      <x:c r="F2185" s="7" t="str">
        <x:v>BL-Y</x:v>
      </x:c>
      <x:c r="G2185" s="7" t="str">
        <x:v>MF-04</x:v>
      </x:c>
      <x:c r="H2185" s="7" t="str"/>
      <x:c r="I2185" s="7" t="str"/>
      <x:c r="J2185" s="7" t="str">
        <x:f>IF(OR(H2185="",I2185=""),"",I2185-H2185)</x:f>
      </x:c>
      <x:c r="K2185" s="7" t="str"/>
      <x:c r="L2185" s="7" t="str"/>
      <x:c r="M2185" s="7" t="str">
        <x:f>IF(L2185="","OPEN",IF(OR(NOT(ISNUMBER(H2185)),NOT(ISNUMBER(I2185)),NOT(ISNUMBER(K2185)),ABS(J2185)&gt;K2185),"FAIL","PASS"))</x:f>
        <x:v>OPEN</x:v>
      </x:c>
    </x:row>
    <x:row r="2186">
      <x:c r="B2186" s="7" t="str">
        <x:v>CAL-CH-PEA-C-Y1-04-2</x:v>
      </x:c>
      <x:c r="C2186" s="7" t="str">
        <x:v>CH-PEA-C-Y1-04-2</x:v>
      </x:c>
      <x:c r="D2186" s="7" t="str">
        <x:v>PEA-C-Y1</x:v>
      </x:c>
      <x:c r="E2186" s="7" t="str">
        <x:v>BLD-C</x:v>
      </x:c>
      <x:c r="F2186" s="7" t="str">
        <x:v>BL-Y</x:v>
      </x:c>
      <x:c r="G2186" s="7" t="str">
        <x:v>MF-04</x:v>
      </x:c>
      <x:c r="H2186" s="7" t="str"/>
      <x:c r="I2186" s="7" t="str"/>
      <x:c r="J2186" s="7" t="str">
        <x:f>IF(OR(H2186="",I2186=""),"",I2186-H2186)</x:f>
      </x:c>
      <x:c r="K2186" s="7" t="str"/>
      <x:c r="L2186" s="7" t="str"/>
      <x:c r="M2186" s="7" t="str">
        <x:f>IF(L2186="","OPEN",IF(OR(NOT(ISNUMBER(H2186)),NOT(ISNUMBER(I2186)),NOT(ISNUMBER(K2186)),ABS(J2186)&gt;K2186),"FAIL","PASS"))</x:f>
        <x:v>OPEN</x:v>
      </x:c>
    </x:row>
    <x:row r="2187">
      <x:c r="B2187" s="7" t="str">
        <x:v>CAL-CH-PEA-C-Y1-04-3</x:v>
      </x:c>
      <x:c r="C2187" s="7" t="str">
        <x:v>CH-PEA-C-Y1-04-3</x:v>
      </x:c>
      <x:c r="D2187" s="7" t="str">
        <x:v>PEA-C-Y1</x:v>
      </x:c>
      <x:c r="E2187" s="7" t="str">
        <x:v>BLD-C</x:v>
      </x:c>
      <x:c r="F2187" s="7" t="str">
        <x:v>BL-Y</x:v>
      </x:c>
      <x:c r="G2187" s="7" t="str">
        <x:v>MF-04</x:v>
      </x:c>
      <x:c r="H2187" s="7" t="str"/>
      <x:c r="I2187" s="7" t="str"/>
      <x:c r="J2187" s="7" t="str">
        <x:f>IF(OR(H2187="",I2187=""),"",I2187-H2187)</x:f>
      </x:c>
      <x:c r="K2187" s="7" t="str"/>
      <x:c r="L2187" s="7" t="str"/>
      <x:c r="M2187" s="7" t="str">
        <x:f>IF(L2187="","OPEN",IF(OR(NOT(ISNUMBER(H2187)),NOT(ISNUMBER(I2187)),NOT(ISNUMBER(K2187)),ABS(J2187)&gt;K2187),"FAIL","PASS"))</x:f>
        <x:v>OPEN</x:v>
      </x:c>
    </x:row>
    <x:row r="2188">
      <x:c r="B2188" s="7" t="str">
        <x:v>CAL-CH-PEA-C-Y1-04-4</x:v>
      </x:c>
      <x:c r="C2188" s="7" t="str">
        <x:v>CH-PEA-C-Y1-04-4</x:v>
      </x:c>
      <x:c r="D2188" s="7" t="str">
        <x:v>PEA-C-Y1</x:v>
      </x:c>
      <x:c r="E2188" s="7" t="str">
        <x:v>BLD-C</x:v>
      </x:c>
      <x:c r="F2188" s="7" t="str">
        <x:v>BL-Y</x:v>
      </x:c>
      <x:c r="G2188" s="7" t="str">
        <x:v>MF-04</x:v>
      </x:c>
      <x:c r="H2188" s="7" t="str"/>
      <x:c r="I2188" s="7" t="str"/>
      <x:c r="J2188" s="7" t="str">
        <x:f>IF(OR(H2188="",I2188=""),"",I2188-H2188)</x:f>
      </x:c>
      <x:c r="K2188" s="7" t="str"/>
      <x:c r="L2188" s="7" t="str"/>
      <x:c r="M2188" s="7" t="str">
        <x:f>IF(L2188="","OPEN",IF(OR(NOT(ISNUMBER(H2188)),NOT(ISNUMBER(I2188)),NOT(ISNUMBER(K2188)),ABS(J2188)&gt;K2188),"FAIL","PASS"))</x:f>
        <x:v>OPEN</x:v>
      </x:c>
    </x:row>
    <x:row r="2189">
      <x:c r="B2189" s="7" t="str">
        <x:v>CAL-CH-PEA-C-Y1-04-5</x:v>
      </x:c>
      <x:c r="C2189" s="7" t="str">
        <x:v>CH-PEA-C-Y1-04-5</x:v>
      </x:c>
      <x:c r="D2189" s="7" t="str">
        <x:v>PEA-C-Y1</x:v>
      </x:c>
      <x:c r="E2189" s="7" t="str">
        <x:v>BLD-C</x:v>
      </x:c>
      <x:c r="F2189" s="7" t="str">
        <x:v>BL-Y</x:v>
      </x:c>
      <x:c r="G2189" s="7" t="str">
        <x:v>MF-04</x:v>
      </x:c>
      <x:c r="H2189" s="7" t="str"/>
      <x:c r="I2189" s="7" t="str"/>
      <x:c r="J2189" s="7" t="str">
        <x:f>IF(OR(H2189="",I2189=""),"",I2189-H2189)</x:f>
      </x:c>
      <x:c r="K2189" s="7" t="str"/>
      <x:c r="L2189" s="7" t="str"/>
      <x:c r="M2189" s="7" t="str">
        <x:f>IF(L2189="","OPEN",IF(OR(NOT(ISNUMBER(H2189)),NOT(ISNUMBER(I2189)),NOT(ISNUMBER(K2189)),ABS(J2189)&gt;K2189),"FAIL","PASS"))</x:f>
        <x:v>OPEN</x:v>
      </x:c>
    </x:row>
    <x:row r="2190">
      <x:c r="B2190" s="7" t="str">
        <x:v>CAL-CH-PEA-C-Y1-04-6</x:v>
      </x:c>
      <x:c r="C2190" s="7" t="str">
        <x:v>CH-PEA-C-Y1-04-6</x:v>
      </x:c>
      <x:c r="D2190" s="7" t="str">
        <x:v>PEA-C-Y1</x:v>
      </x:c>
      <x:c r="E2190" s="7" t="str">
        <x:v>BLD-C</x:v>
      </x:c>
      <x:c r="F2190" s="7" t="str">
        <x:v>BL-Y</x:v>
      </x:c>
      <x:c r="G2190" s="7" t="str">
        <x:v>MF-04</x:v>
      </x:c>
      <x:c r="H2190" s="7" t="str"/>
      <x:c r="I2190" s="7" t="str"/>
      <x:c r="J2190" s="7" t="str">
        <x:f>IF(OR(H2190="",I2190=""),"",I2190-H2190)</x:f>
      </x:c>
      <x:c r="K2190" s="7" t="str"/>
      <x:c r="L2190" s="7" t="str"/>
      <x:c r="M2190" s="7" t="str">
        <x:f>IF(L2190="","OPEN",IF(OR(NOT(ISNUMBER(H2190)),NOT(ISNUMBER(I2190)),NOT(ISNUMBER(K2190)),ABS(J2190)&gt;K2190),"FAIL","PASS"))</x:f>
        <x:v>OPEN</x:v>
      </x:c>
    </x:row>
    <x:row r="2191">
      <x:c r="B2191" s="7" t="str">
        <x:v>CAL-CH-PEA-C-Y1-05-1</x:v>
      </x:c>
      <x:c r="C2191" s="7" t="str">
        <x:v>CH-PEA-C-Y1-05-1</x:v>
      </x:c>
      <x:c r="D2191" s="7" t="str">
        <x:v>PEA-C-Y1</x:v>
      </x:c>
      <x:c r="E2191" s="7" t="str">
        <x:v>BLD-C</x:v>
      </x:c>
      <x:c r="F2191" s="7" t="str">
        <x:v>BL-Y</x:v>
      </x:c>
      <x:c r="G2191" s="7" t="str">
        <x:v>MF-05</x:v>
      </x:c>
      <x:c r="H2191" s="7" t="str"/>
      <x:c r="I2191" s="7" t="str"/>
      <x:c r="J2191" s="7" t="str">
        <x:f>IF(OR(H2191="",I2191=""),"",I2191-H2191)</x:f>
      </x:c>
      <x:c r="K2191" s="7" t="str"/>
      <x:c r="L2191" s="7" t="str"/>
      <x:c r="M2191" s="7" t="str">
        <x:f>IF(L2191="","OPEN",IF(OR(NOT(ISNUMBER(H2191)),NOT(ISNUMBER(I2191)),NOT(ISNUMBER(K2191)),ABS(J2191)&gt;K2191),"FAIL","PASS"))</x:f>
        <x:v>OPEN</x:v>
      </x:c>
    </x:row>
    <x:row r="2192">
      <x:c r="B2192" s="7" t="str">
        <x:v>CAL-CH-PEA-C-Y1-05-2</x:v>
      </x:c>
      <x:c r="C2192" s="7" t="str">
        <x:v>CH-PEA-C-Y1-05-2</x:v>
      </x:c>
      <x:c r="D2192" s="7" t="str">
        <x:v>PEA-C-Y1</x:v>
      </x:c>
      <x:c r="E2192" s="7" t="str">
        <x:v>BLD-C</x:v>
      </x:c>
      <x:c r="F2192" s="7" t="str">
        <x:v>BL-Y</x:v>
      </x:c>
      <x:c r="G2192" s="7" t="str">
        <x:v>MF-05</x:v>
      </x:c>
      <x:c r="H2192" s="7" t="str"/>
      <x:c r="I2192" s="7" t="str"/>
      <x:c r="J2192" s="7" t="str">
        <x:f>IF(OR(H2192="",I2192=""),"",I2192-H2192)</x:f>
      </x:c>
      <x:c r="K2192" s="7" t="str"/>
      <x:c r="L2192" s="7" t="str"/>
      <x:c r="M2192" s="7" t="str">
        <x:f>IF(L2192="","OPEN",IF(OR(NOT(ISNUMBER(H2192)),NOT(ISNUMBER(I2192)),NOT(ISNUMBER(K2192)),ABS(J2192)&gt;K2192),"FAIL","PASS"))</x:f>
        <x:v>OPEN</x:v>
      </x:c>
    </x:row>
    <x:row r="2193">
      <x:c r="B2193" s="7" t="str">
        <x:v>CAL-CH-PEA-C-Y1-05-3</x:v>
      </x:c>
      <x:c r="C2193" s="7" t="str">
        <x:v>CH-PEA-C-Y1-05-3</x:v>
      </x:c>
      <x:c r="D2193" s="7" t="str">
        <x:v>PEA-C-Y1</x:v>
      </x:c>
      <x:c r="E2193" s="7" t="str">
        <x:v>BLD-C</x:v>
      </x:c>
      <x:c r="F2193" s="7" t="str">
        <x:v>BL-Y</x:v>
      </x:c>
      <x:c r="G2193" s="7" t="str">
        <x:v>MF-05</x:v>
      </x:c>
      <x:c r="H2193" s="7" t="str"/>
      <x:c r="I2193" s="7" t="str"/>
      <x:c r="J2193" s="7" t="str">
        <x:f>IF(OR(H2193="",I2193=""),"",I2193-H2193)</x:f>
      </x:c>
      <x:c r="K2193" s="7" t="str"/>
      <x:c r="L2193" s="7" t="str"/>
      <x:c r="M2193" s="7" t="str">
        <x:f>IF(L2193="","OPEN",IF(OR(NOT(ISNUMBER(H2193)),NOT(ISNUMBER(I2193)),NOT(ISNUMBER(K2193)),ABS(J2193)&gt;K2193),"FAIL","PASS"))</x:f>
        <x:v>OPEN</x:v>
      </x:c>
    </x:row>
    <x:row r="2194">
      <x:c r="B2194" s="7" t="str">
        <x:v>CAL-CH-PEA-C-Y1-05-4</x:v>
      </x:c>
      <x:c r="C2194" s="7" t="str">
        <x:v>CH-PEA-C-Y1-05-4</x:v>
      </x:c>
      <x:c r="D2194" s="7" t="str">
        <x:v>PEA-C-Y1</x:v>
      </x:c>
      <x:c r="E2194" s="7" t="str">
        <x:v>BLD-C</x:v>
      </x:c>
      <x:c r="F2194" s="7" t="str">
        <x:v>BL-Y</x:v>
      </x:c>
      <x:c r="G2194" s="7" t="str">
        <x:v>MF-05</x:v>
      </x:c>
      <x:c r="H2194" s="7" t="str"/>
      <x:c r="I2194" s="7" t="str"/>
      <x:c r="J2194" s="7" t="str">
        <x:f>IF(OR(H2194="",I2194=""),"",I2194-H2194)</x:f>
      </x:c>
      <x:c r="K2194" s="7" t="str"/>
      <x:c r="L2194" s="7" t="str"/>
      <x:c r="M2194" s="7" t="str">
        <x:f>IF(L2194="","OPEN",IF(OR(NOT(ISNUMBER(H2194)),NOT(ISNUMBER(I2194)),NOT(ISNUMBER(K2194)),ABS(J2194)&gt;K2194),"FAIL","PASS"))</x:f>
        <x:v>OPEN</x:v>
      </x:c>
    </x:row>
    <x:row r="2195">
      <x:c r="B2195" s="7" t="str">
        <x:v>CAL-CH-PEA-C-Y1-05-5</x:v>
      </x:c>
      <x:c r="C2195" s="7" t="str">
        <x:v>CH-PEA-C-Y1-05-5</x:v>
      </x:c>
      <x:c r="D2195" s="7" t="str">
        <x:v>PEA-C-Y1</x:v>
      </x:c>
      <x:c r="E2195" s="7" t="str">
        <x:v>BLD-C</x:v>
      </x:c>
      <x:c r="F2195" s="7" t="str">
        <x:v>BL-Y</x:v>
      </x:c>
      <x:c r="G2195" s="7" t="str">
        <x:v>MF-05</x:v>
      </x:c>
      <x:c r="H2195" s="7" t="str"/>
      <x:c r="I2195" s="7" t="str"/>
      <x:c r="J2195" s="7" t="str">
        <x:f>IF(OR(H2195="",I2195=""),"",I2195-H2195)</x:f>
      </x:c>
      <x:c r="K2195" s="7" t="str"/>
      <x:c r="L2195" s="7" t="str"/>
      <x:c r="M2195" s="7" t="str">
        <x:f>IF(L2195="","OPEN",IF(OR(NOT(ISNUMBER(H2195)),NOT(ISNUMBER(I2195)),NOT(ISNUMBER(K2195)),ABS(J2195)&gt;K2195),"FAIL","PASS"))</x:f>
        <x:v>OPEN</x:v>
      </x:c>
    </x:row>
    <x:row r="2196">
      <x:c r="B2196" s="7" t="str">
        <x:v>CAL-CH-PEA-C-Y1-05-6</x:v>
      </x:c>
      <x:c r="C2196" s="7" t="str">
        <x:v>CH-PEA-C-Y1-05-6</x:v>
      </x:c>
      <x:c r="D2196" s="7" t="str">
        <x:v>PEA-C-Y1</x:v>
      </x:c>
      <x:c r="E2196" s="7" t="str">
        <x:v>BLD-C</x:v>
      </x:c>
      <x:c r="F2196" s="7" t="str">
        <x:v>BL-Y</x:v>
      </x:c>
      <x:c r="G2196" s="7" t="str">
        <x:v>MF-05</x:v>
      </x:c>
      <x:c r="H2196" s="7" t="str"/>
      <x:c r="I2196" s="7" t="str"/>
      <x:c r="J2196" s="7" t="str">
        <x:f>IF(OR(H2196="",I2196=""),"",I2196-H2196)</x:f>
      </x:c>
      <x:c r="K2196" s="7" t="str"/>
      <x:c r="L2196" s="7" t="str"/>
      <x:c r="M2196" s="7" t="str">
        <x:f>IF(L2196="","OPEN",IF(OR(NOT(ISNUMBER(H2196)),NOT(ISNUMBER(I2196)),NOT(ISNUMBER(K2196)),ABS(J2196)&gt;K2196),"FAIL","PASS"))</x:f>
        <x:v>OPEN</x:v>
      </x:c>
    </x:row>
    <x:row r="2197">
      <x:c r="B2197" s="7" t="str">
        <x:v>CAL-CH-PEA-C-Y1-06-1</x:v>
      </x:c>
      <x:c r="C2197" s="7" t="str">
        <x:v>CH-PEA-C-Y1-06-1</x:v>
      </x:c>
      <x:c r="D2197" s="7" t="str">
        <x:v>PEA-C-Y1</x:v>
      </x:c>
      <x:c r="E2197" s="7" t="str">
        <x:v>BLD-C</x:v>
      </x:c>
      <x:c r="F2197" s="7" t="str">
        <x:v>BL-Y</x:v>
      </x:c>
      <x:c r="G2197" s="7" t="str">
        <x:v>MF-06</x:v>
      </x:c>
      <x:c r="H2197" s="7" t="str"/>
      <x:c r="I2197" s="7" t="str"/>
      <x:c r="J2197" s="7" t="str">
        <x:f>IF(OR(H2197="",I2197=""),"",I2197-H2197)</x:f>
      </x:c>
      <x:c r="K2197" s="7" t="str"/>
      <x:c r="L2197" s="7" t="str"/>
      <x:c r="M2197" s="7" t="str">
        <x:f>IF(L2197="","OPEN",IF(OR(NOT(ISNUMBER(H2197)),NOT(ISNUMBER(I2197)),NOT(ISNUMBER(K2197)),ABS(J2197)&gt;K2197),"FAIL","PASS"))</x:f>
        <x:v>OPEN</x:v>
      </x:c>
    </x:row>
    <x:row r="2198">
      <x:c r="B2198" s="7" t="str">
        <x:v>CAL-CH-PEA-C-Y1-06-2</x:v>
      </x:c>
      <x:c r="C2198" s="7" t="str">
        <x:v>CH-PEA-C-Y1-06-2</x:v>
      </x:c>
      <x:c r="D2198" s="7" t="str">
        <x:v>PEA-C-Y1</x:v>
      </x:c>
      <x:c r="E2198" s="7" t="str">
        <x:v>BLD-C</x:v>
      </x:c>
      <x:c r="F2198" s="7" t="str">
        <x:v>BL-Y</x:v>
      </x:c>
      <x:c r="G2198" s="7" t="str">
        <x:v>MF-06</x:v>
      </x:c>
      <x:c r="H2198" s="7" t="str"/>
      <x:c r="I2198" s="7" t="str"/>
      <x:c r="J2198" s="7" t="str">
        <x:f>IF(OR(H2198="",I2198=""),"",I2198-H2198)</x:f>
      </x:c>
      <x:c r="K2198" s="7" t="str"/>
      <x:c r="L2198" s="7" t="str"/>
      <x:c r="M2198" s="7" t="str">
        <x:f>IF(L2198="","OPEN",IF(OR(NOT(ISNUMBER(H2198)),NOT(ISNUMBER(I2198)),NOT(ISNUMBER(K2198)),ABS(J2198)&gt;K2198),"FAIL","PASS"))</x:f>
        <x:v>OPEN</x:v>
      </x:c>
    </x:row>
    <x:row r="2199">
      <x:c r="B2199" s="7" t="str">
        <x:v>CAL-CH-PEA-C-Y1-06-3</x:v>
      </x:c>
      <x:c r="C2199" s="7" t="str">
        <x:v>CH-PEA-C-Y1-06-3</x:v>
      </x:c>
      <x:c r="D2199" s="7" t="str">
        <x:v>PEA-C-Y1</x:v>
      </x:c>
      <x:c r="E2199" s="7" t="str">
        <x:v>BLD-C</x:v>
      </x:c>
      <x:c r="F2199" s="7" t="str">
        <x:v>BL-Y</x:v>
      </x:c>
      <x:c r="G2199" s="7" t="str">
        <x:v>MF-06</x:v>
      </x:c>
      <x:c r="H2199" s="7" t="str"/>
      <x:c r="I2199" s="7" t="str"/>
      <x:c r="J2199" s="7" t="str">
        <x:f>IF(OR(H2199="",I2199=""),"",I2199-H2199)</x:f>
      </x:c>
      <x:c r="K2199" s="7" t="str"/>
      <x:c r="L2199" s="7" t="str"/>
      <x:c r="M2199" s="7" t="str">
        <x:f>IF(L2199="","OPEN",IF(OR(NOT(ISNUMBER(H2199)),NOT(ISNUMBER(I2199)),NOT(ISNUMBER(K2199)),ABS(J2199)&gt;K2199),"FAIL","PASS"))</x:f>
        <x:v>OPEN</x:v>
      </x:c>
    </x:row>
    <x:row r="2200">
      <x:c r="B2200" s="7" t="str">
        <x:v>CAL-CH-PEA-C-Y1-06-4</x:v>
      </x:c>
      <x:c r="C2200" s="7" t="str">
        <x:v>CH-PEA-C-Y1-06-4</x:v>
      </x:c>
      <x:c r="D2200" s="7" t="str">
        <x:v>PEA-C-Y1</x:v>
      </x:c>
      <x:c r="E2200" s="7" t="str">
        <x:v>BLD-C</x:v>
      </x:c>
      <x:c r="F2200" s="7" t="str">
        <x:v>BL-Y</x:v>
      </x:c>
      <x:c r="G2200" s="7" t="str">
        <x:v>MF-06</x:v>
      </x:c>
      <x:c r="H2200" s="7" t="str"/>
      <x:c r="I2200" s="7" t="str"/>
      <x:c r="J2200" s="7" t="str">
        <x:f>IF(OR(H2200="",I2200=""),"",I2200-H2200)</x:f>
      </x:c>
      <x:c r="K2200" s="7" t="str"/>
      <x:c r="L2200" s="7" t="str"/>
      <x:c r="M2200" s="7" t="str">
        <x:f>IF(L2200="","OPEN",IF(OR(NOT(ISNUMBER(H2200)),NOT(ISNUMBER(I2200)),NOT(ISNUMBER(K2200)),ABS(J2200)&gt;K2200),"FAIL","PASS"))</x:f>
        <x:v>OPEN</x:v>
      </x:c>
    </x:row>
    <x:row r="2201">
      <x:c r="B2201" s="7" t="str">
        <x:v>CAL-CH-PEA-C-Y1-06-5</x:v>
      </x:c>
      <x:c r="C2201" s="7" t="str">
        <x:v>CH-PEA-C-Y1-06-5</x:v>
      </x:c>
      <x:c r="D2201" s="7" t="str">
        <x:v>PEA-C-Y1</x:v>
      </x:c>
      <x:c r="E2201" s="7" t="str">
        <x:v>BLD-C</x:v>
      </x:c>
      <x:c r="F2201" s="7" t="str">
        <x:v>BL-Y</x:v>
      </x:c>
      <x:c r="G2201" s="7" t="str">
        <x:v>MF-06</x:v>
      </x:c>
      <x:c r="H2201" s="7" t="str"/>
      <x:c r="I2201" s="7" t="str"/>
      <x:c r="J2201" s="7" t="str">
        <x:f>IF(OR(H2201="",I2201=""),"",I2201-H2201)</x:f>
      </x:c>
      <x:c r="K2201" s="7" t="str"/>
      <x:c r="L2201" s="7" t="str"/>
      <x:c r="M2201" s="7" t="str">
        <x:f>IF(L2201="","OPEN",IF(OR(NOT(ISNUMBER(H2201)),NOT(ISNUMBER(I2201)),NOT(ISNUMBER(K2201)),ABS(J2201)&gt;K2201),"FAIL","PASS"))</x:f>
        <x:v>OPEN</x:v>
      </x:c>
    </x:row>
    <x:row r="2202">
      <x:c r="B2202" s="7" t="str">
        <x:v>CAL-CH-PEA-C-Y1-06-6</x:v>
      </x:c>
      <x:c r="C2202" s="7" t="str">
        <x:v>CH-PEA-C-Y1-06-6</x:v>
      </x:c>
      <x:c r="D2202" s="7" t="str">
        <x:v>PEA-C-Y1</x:v>
      </x:c>
      <x:c r="E2202" s="7" t="str">
        <x:v>BLD-C</x:v>
      </x:c>
      <x:c r="F2202" s="7" t="str">
        <x:v>BL-Y</x:v>
      </x:c>
      <x:c r="G2202" s="7" t="str">
        <x:v>MF-06</x:v>
      </x:c>
      <x:c r="H2202" s="7" t="str"/>
      <x:c r="I2202" s="7" t="str"/>
      <x:c r="J2202" s="7" t="str">
        <x:f>IF(OR(H2202="",I2202=""),"",I2202-H2202)</x:f>
      </x:c>
      <x:c r="K2202" s="7" t="str"/>
      <x:c r="L2202" s="7" t="str"/>
      <x:c r="M2202" s="7" t="str">
        <x:f>IF(L2202="","OPEN",IF(OR(NOT(ISNUMBER(H2202)),NOT(ISNUMBER(I2202)),NOT(ISNUMBER(K2202)),ABS(J2202)&gt;K2202),"FAIL","PASS"))</x:f>
        <x:v>OPEN</x:v>
      </x:c>
    </x:row>
    <x:row r="2203">
      <x:c r="B2203" s="7" t="str">
        <x:v>CAL-CH-PEA-C-Y1-07-1</x:v>
      </x:c>
      <x:c r="C2203" s="7" t="str">
        <x:v>CH-PEA-C-Y1-07-1</x:v>
      </x:c>
      <x:c r="D2203" s="7" t="str">
        <x:v>PEA-C-Y1</x:v>
      </x:c>
      <x:c r="E2203" s="7" t="str">
        <x:v>BLD-C</x:v>
      </x:c>
      <x:c r="F2203" s="7" t="str">
        <x:v>BL-Y</x:v>
      </x:c>
      <x:c r="G2203" s="7" t="str">
        <x:v>MF-07</x:v>
      </x:c>
      <x:c r="H2203" s="7" t="str"/>
      <x:c r="I2203" s="7" t="str"/>
      <x:c r="J2203" s="7" t="str">
        <x:f>IF(OR(H2203="",I2203=""),"",I2203-H2203)</x:f>
      </x:c>
      <x:c r="K2203" s="7" t="str"/>
      <x:c r="L2203" s="7" t="str"/>
      <x:c r="M2203" s="7" t="str">
        <x:f>IF(L2203="","OPEN",IF(OR(NOT(ISNUMBER(H2203)),NOT(ISNUMBER(I2203)),NOT(ISNUMBER(K2203)),ABS(J2203)&gt;K2203),"FAIL","PASS"))</x:f>
        <x:v>OPEN</x:v>
      </x:c>
    </x:row>
    <x:row r="2204">
      <x:c r="B2204" s="7" t="str">
        <x:v>CAL-CH-PEA-C-Y1-07-2</x:v>
      </x:c>
      <x:c r="C2204" s="7" t="str">
        <x:v>CH-PEA-C-Y1-07-2</x:v>
      </x:c>
      <x:c r="D2204" s="7" t="str">
        <x:v>PEA-C-Y1</x:v>
      </x:c>
      <x:c r="E2204" s="7" t="str">
        <x:v>BLD-C</x:v>
      </x:c>
      <x:c r="F2204" s="7" t="str">
        <x:v>BL-Y</x:v>
      </x:c>
      <x:c r="G2204" s="7" t="str">
        <x:v>MF-07</x:v>
      </x:c>
      <x:c r="H2204" s="7" t="str"/>
      <x:c r="I2204" s="7" t="str"/>
      <x:c r="J2204" s="7" t="str">
        <x:f>IF(OR(H2204="",I2204=""),"",I2204-H2204)</x:f>
      </x:c>
      <x:c r="K2204" s="7" t="str"/>
      <x:c r="L2204" s="7" t="str"/>
      <x:c r="M2204" s="7" t="str">
        <x:f>IF(L2204="","OPEN",IF(OR(NOT(ISNUMBER(H2204)),NOT(ISNUMBER(I2204)),NOT(ISNUMBER(K2204)),ABS(J2204)&gt;K2204),"FAIL","PASS"))</x:f>
        <x:v>OPEN</x:v>
      </x:c>
    </x:row>
    <x:row r="2205">
      <x:c r="B2205" s="7" t="str">
        <x:v>CAL-CH-PEA-C-Y1-07-3</x:v>
      </x:c>
      <x:c r="C2205" s="7" t="str">
        <x:v>CH-PEA-C-Y1-07-3</x:v>
      </x:c>
      <x:c r="D2205" s="7" t="str">
        <x:v>PEA-C-Y1</x:v>
      </x:c>
      <x:c r="E2205" s="7" t="str">
        <x:v>BLD-C</x:v>
      </x:c>
      <x:c r="F2205" s="7" t="str">
        <x:v>BL-Y</x:v>
      </x:c>
      <x:c r="G2205" s="7" t="str">
        <x:v>MF-07</x:v>
      </x:c>
      <x:c r="H2205" s="7" t="str"/>
      <x:c r="I2205" s="7" t="str"/>
      <x:c r="J2205" s="7" t="str">
        <x:f>IF(OR(H2205="",I2205=""),"",I2205-H2205)</x:f>
      </x:c>
      <x:c r="K2205" s="7" t="str"/>
      <x:c r="L2205" s="7" t="str"/>
      <x:c r="M2205" s="7" t="str">
        <x:f>IF(L2205="","OPEN",IF(OR(NOT(ISNUMBER(H2205)),NOT(ISNUMBER(I2205)),NOT(ISNUMBER(K2205)),ABS(J2205)&gt;K2205),"FAIL","PASS"))</x:f>
        <x:v>OPEN</x:v>
      </x:c>
    </x:row>
    <x:row r="2206">
      <x:c r="B2206" s="7" t="str">
        <x:v>CAL-CH-PEA-C-Y1-07-4</x:v>
      </x:c>
      <x:c r="C2206" s="7" t="str">
        <x:v>CH-PEA-C-Y1-07-4</x:v>
      </x:c>
      <x:c r="D2206" s="7" t="str">
        <x:v>PEA-C-Y1</x:v>
      </x:c>
      <x:c r="E2206" s="7" t="str">
        <x:v>BLD-C</x:v>
      </x:c>
      <x:c r="F2206" s="7" t="str">
        <x:v>BL-Y</x:v>
      </x:c>
      <x:c r="G2206" s="7" t="str">
        <x:v>MF-07</x:v>
      </x:c>
      <x:c r="H2206" s="7" t="str"/>
      <x:c r="I2206" s="7" t="str"/>
      <x:c r="J2206" s="7" t="str">
        <x:f>IF(OR(H2206="",I2206=""),"",I2206-H2206)</x:f>
      </x:c>
      <x:c r="K2206" s="7" t="str"/>
      <x:c r="L2206" s="7" t="str"/>
      <x:c r="M2206" s="7" t="str">
        <x:f>IF(L2206="","OPEN",IF(OR(NOT(ISNUMBER(H2206)),NOT(ISNUMBER(I2206)),NOT(ISNUMBER(K2206)),ABS(J2206)&gt;K2206),"FAIL","PASS"))</x:f>
        <x:v>OPEN</x:v>
      </x:c>
    </x:row>
    <x:row r="2207">
      <x:c r="B2207" s="7" t="str">
        <x:v>CAL-CH-PEA-C-Y1-07-5</x:v>
      </x:c>
      <x:c r="C2207" s="7" t="str">
        <x:v>CH-PEA-C-Y1-07-5</x:v>
      </x:c>
      <x:c r="D2207" s="7" t="str">
        <x:v>PEA-C-Y1</x:v>
      </x:c>
      <x:c r="E2207" s="7" t="str">
        <x:v>BLD-C</x:v>
      </x:c>
      <x:c r="F2207" s="7" t="str">
        <x:v>BL-Y</x:v>
      </x:c>
      <x:c r="G2207" s="7" t="str">
        <x:v>MF-07</x:v>
      </x:c>
      <x:c r="H2207" s="7" t="str"/>
      <x:c r="I2207" s="7" t="str"/>
      <x:c r="J2207" s="7" t="str">
        <x:f>IF(OR(H2207="",I2207=""),"",I2207-H2207)</x:f>
      </x:c>
      <x:c r="K2207" s="7" t="str"/>
      <x:c r="L2207" s="7" t="str"/>
      <x:c r="M2207" s="7" t="str">
        <x:f>IF(L2207="","OPEN",IF(OR(NOT(ISNUMBER(H2207)),NOT(ISNUMBER(I2207)),NOT(ISNUMBER(K2207)),ABS(J2207)&gt;K2207),"FAIL","PASS"))</x:f>
        <x:v>OPEN</x:v>
      </x:c>
    </x:row>
    <x:row r="2208">
      <x:c r="B2208" s="7" t="str">
        <x:v>CAL-CH-PEA-C-Y1-07-6</x:v>
      </x:c>
      <x:c r="C2208" s="7" t="str">
        <x:v>CH-PEA-C-Y1-07-6</x:v>
      </x:c>
      <x:c r="D2208" s="7" t="str">
        <x:v>PEA-C-Y1</x:v>
      </x:c>
      <x:c r="E2208" s="7" t="str">
        <x:v>BLD-C</x:v>
      </x:c>
      <x:c r="F2208" s="7" t="str">
        <x:v>BL-Y</x:v>
      </x:c>
      <x:c r="G2208" s="7" t="str">
        <x:v>MF-07</x:v>
      </x:c>
      <x:c r="H2208" s="7" t="str"/>
      <x:c r="I2208" s="7" t="str"/>
      <x:c r="J2208" s="7" t="str">
        <x:f>IF(OR(H2208="",I2208=""),"",I2208-H2208)</x:f>
      </x:c>
      <x:c r="K2208" s="7" t="str"/>
      <x:c r="L2208" s="7" t="str"/>
      <x:c r="M2208" s="7" t="str">
        <x:f>IF(L2208="","OPEN",IF(OR(NOT(ISNUMBER(H2208)),NOT(ISNUMBER(I2208)),NOT(ISNUMBER(K2208)),ABS(J2208)&gt;K2208),"FAIL","PASS"))</x:f>
        <x:v>OPEN</x:v>
      </x:c>
    </x:row>
    <x:row r="2209">
      <x:c r="B2209" s="7" t="str">
        <x:v>CAL-CH-PEA-C-Y1-08-1</x:v>
      </x:c>
      <x:c r="C2209" s="7" t="str">
        <x:v>CH-PEA-C-Y1-08-1</x:v>
      </x:c>
      <x:c r="D2209" s="7" t="str">
        <x:v>PEA-C-Y1</x:v>
      </x:c>
      <x:c r="E2209" s="7" t="str">
        <x:v>BLD-C</x:v>
      </x:c>
      <x:c r="F2209" s="7" t="str">
        <x:v>BL-Y</x:v>
      </x:c>
      <x:c r="G2209" s="7" t="str">
        <x:v>MF-08</x:v>
      </x:c>
      <x:c r="H2209" s="7" t="str"/>
      <x:c r="I2209" s="7" t="str"/>
      <x:c r="J2209" s="7" t="str">
        <x:f>IF(OR(H2209="",I2209=""),"",I2209-H2209)</x:f>
      </x:c>
      <x:c r="K2209" s="7" t="str"/>
      <x:c r="L2209" s="7" t="str"/>
      <x:c r="M2209" s="7" t="str">
        <x:f>IF(L2209="","OPEN",IF(OR(NOT(ISNUMBER(H2209)),NOT(ISNUMBER(I2209)),NOT(ISNUMBER(K2209)),ABS(J2209)&gt;K2209),"FAIL","PASS"))</x:f>
        <x:v>OPEN</x:v>
      </x:c>
    </x:row>
    <x:row r="2210">
      <x:c r="B2210" s="7" t="str">
        <x:v>CAL-CH-PEA-C-Y1-08-2</x:v>
      </x:c>
      <x:c r="C2210" s="7" t="str">
        <x:v>CH-PEA-C-Y1-08-2</x:v>
      </x:c>
      <x:c r="D2210" s="7" t="str">
        <x:v>PEA-C-Y1</x:v>
      </x:c>
      <x:c r="E2210" s="7" t="str">
        <x:v>BLD-C</x:v>
      </x:c>
      <x:c r="F2210" s="7" t="str">
        <x:v>BL-Y</x:v>
      </x:c>
      <x:c r="G2210" s="7" t="str">
        <x:v>MF-08</x:v>
      </x:c>
      <x:c r="H2210" s="7" t="str"/>
      <x:c r="I2210" s="7" t="str"/>
      <x:c r="J2210" s="7" t="str">
        <x:f>IF(OR(H2210="",I2210=""),"",I2210-H2210)</x:f>
      </x:c>
      <x:c r="K2210" s="7" t="str"/>
      <x:c r="L2210" s="7" t="str"/>
      <x:c r="M2210" s="7" t="str">
        <x:f>IF(L2210="","OPEN",IF(OR(NOT(ISNUMBER(H2210)),NOT(ISNUMBER(I2210)),NOT(ISNUMBER(K2210)),ABS(J2210)&gt;K2210),"FAIL","PASS"))</x:f>
        <x:v>OPEN</x:v>
      </x:c>
    </x:row>
    <x:row r="2211">
      <x:c r="B2211" s="7" t="str">
        <x:v>CAL-CH-PEA-C-Y1-08-3</x:v>
      </x:c>
      <x:c r="C2211" s="7" t="str">
        <x:v>CH-PEA-C-Y1-08-3</x:v>
      </x:c>
      <x:c r="D2211" s="7" t="str">
        <x:v>PEA-C-Y1</x:v>
      </x:c>
      <x:c r="E2211" s="7" t="str">
        <x:v>BLD-C</x:v>
      </x:c>
      <x:c r="F2211" s="7" t="str">
        <x:v>BL-Y</x:v>
      </x:c>
      <x:c r="G2211" s="7" t="str">
        <x:v>MF-08</x:v>
      </x:c>
      <x:c r="H2211" s="7" t="str"/>
      <x:c r="I2211" s="7" t="str"/>
      <x:c r="J2211" s="7" t="str">
        <x:f>IF(OR(H2211="",I2211=""),"",I2211-H2211)</x:f>
      </x:c>
      <x:c r="K2211" s="7" t="str"/>
      <x:c r="L2211" s="7" t="str"/>
      <x:c r="M2211" s="7" t="str">
        <x:f>IF(L2211="","OPEN",IF(OR(NOT(ISNUMBER(H2211)),NOT(ISNUMBER(I2211)),NOT(ISNUMBER(K2211)),ABS(J2211)&gt;K2211),"FAIL","PASS"))</x:f>
        <x:v>OPEN</x:v>
      </x:c>
    </x:row>
    <x:row r="2212">
      <x:c r="B2212" s="7" t="str">
        <x:v>CAL-CH-PEA-C-Y1-08-4</x:v>
      </x:c>
      <x:c r="C2212" s="7" t="str">
        <x:v>CH-PEA-C-Y1-08-4</x:v>
      </x:c>
      <x:c r="D2212" s="7" t="str">
        <x:v>PEA-C-Y1</x:v>
      </x:c>
      <x:c r="E2212" s="7" t="str">
        <x:v>BLD-C</x:v>
      </x:c>
      <x:c r="F2212" s="7" t="str">
        <x:v>BL-Y</x:v>
      </x:c>
      <x:c r="G2212" s="7" t="str">
        <x:v>MF-08</x:v>
      </x:c>
      <x:c r="H2212" s="7" t="str"/>
      <x:c r="I2212" s="7" t="str"/>
      <x:c r="J2212" s="7" t="str">
        <x:f>IF(OR(H2212="",I2212=""),"",I2212-H2212)</x:f>
      </x:c>
      <x:c r="K2212" s="7" t="str"/>
      <x:c r="L2212" s="7" t="str"/>
      <x:c r="M2212" s="7" t="str">
        <x:f>IF(L2212="","OPEN",IF(OR(NOT(ISNUMBER(H2212)),NOT(ISNUMBER(I2212)),NOT(ISNUMBER(K2212)),ABS(J2212)&gt;K2212),"FAIL","PASS"))</x:f>
        <x:v>OPEN</x:v>
      </x:c>
    </x:row>
    <x:row r="2213">
      <x:c r="B2213" s="7" t="str">
        <x:v>CAL-CH-PEA-C-Y1-08-5</x:v>
      </x:c>
      <x:c r="C2213" s="7" t="str">
        <x:v>CH-PEA-C-Y1-08-5</x:v>
      </x:c>
      <x:c r="D2213" s="7" t="str">
        <x:v>PEA-C-Y1</x:v>
      </x:c>
      <x:c r="E2213" s="7" t="str">
        <x:v>BLD-C</x:v>
      </x:c>
      <x:c r="F2213" s="7" t="str">
        <x:v>BL-Y</x:v>
      </x:c>
      <x:c r="G2213" s="7" t="str">
        <x:v>MF-08</x:v>
      </x:c>
      <x:c r="H2213" s="7" t="str"/>
      <x:c r="I2213" s="7" t="str"/>
      <x:c r="J2213" s="7" t="str">
        <x:f>IF(OR(H2213="",I2213=""),"",I2213-H2213)</x:f>
      </x:c>
      <x:c r="K2213" s="7" t="str"/>
      <x:c r="L2213" s="7" t="str"/>
      <x:c r="M2213" s="7" t="str">
        <x:f>IF(L2213="","OPEN",IF(OR(NOT(ISNUMBER(H2213)),NOT(ISNUMBER(I2213)),NOT(ISNUMBER(K2213)),ABS(J2213)&gt;K2213),"FAIL","PASS"))</x:f>
        <x:v>OPEN</x:v>
      </x:c>
    </x:row>
    <x:row r="2214">
      <x:c r="B2214" s="7" t="str">
        <x:v>CAL-CH-PEA-C-Y1-08-6</x:v>
      </x:c>
      <x:c r="C2214" s="7" t="str">
        <x:v>CH-PEA-C-Y1-08-6</x:v>
      </x:c>
      <x:c r="D2214" s="7" t="str">
        <x:v>PEA-C-Y1</x:v>
      </x:c>
      <x:c r="E2214" s="7" t="str">
        <x:v>BLD-C</x:v>
      </x:c>
      <x:c r="F2214" s="7" t="str">
        <x:v>BL-Y</x:v>
      </x:c>
      <x:c r="G2214" s="7" t="str">
        <x:v>MF-08</x:v>
      </x:c>
      <x:c r="H2214" s="7" t="str"/>
      <x:c r="I2214" s="7" t="str"/>
      <x:c r="J2214" s="7" t="str">
        <x:f>IF(OR(H2214="",I2214=""),"",I2214-H2214)</x:f>
      </x:c>
      <x:c r="K2214" s="7" t="str"/>
      <x:c r="L2214" s="7" t="str"/>
      <x:c r="M2214" s="7" t="str">
        <x:f>IF(L2214="","OPEN",IF(OR(NOT(ISNUMBER(H2214)),NOT(ISNUMBER(I2214)),NOT(ISNUMBER(K2214)),ABS(J2214)&gt;K2214),"FAIL","PASS"))</x:f>
        <x:v>OPEN</x:v>
      </x:c>
    </x:row>
    <x:row r="2215">
      <x:c r="B2215" s="7" t="str">
        <x:v>CAL-CH-PEA-C-Y1-09-1</x:v>
      </x:c>
      <x:c r="C2215" s="7" t="str">
        <x:v>CH-PEA-C-Y1-09-1</x:v>
      </x:c>
      <x:c r="D2215" s="7" t="str">
        <x:v>PEA-C-Y1</x:v>
      </x:c>
      <x:c r="E2215" s="7" t="str">
        <x:v>BLD-C</x:v>
      </x:c>
      <x:c r="F2215" s="7" t="str">
        <x:v>BL-Y</x:v>
      </x:c>
      <x:c r="G2215" s="7" t="str">
        <x:v>MF-09</x:v>
      </x:c>
      <x:c r="H2215" s="7" t="str"/>
      <x:c r="I2215" s="7" t="str"/>
      <x:c r="J2215" s="7" t="str">
        <x:f>IF(OR(H2215="",I2215=""),"",I2215-H2215)</x:f>
      </x:c>
      <x:c r="K2215" s="7" t="str"/>
      <x:c r="L2215" s="7" t="str"/>
      <x:c r="M2215" s="7" t="str">
        <x:f>IF(L2215="","OPEN",IF(OR(NOT(ISNUMBER(H2215)),NOT(ISNUMBER(I2215)),NOT(ISNUMBER(K2215)),ABS(J2215)&gt;K2215),"FAIL","PASS"))</x:f>
        <x:v>OPEN</x:v>
      </x:c>
    </x:row>
    <x:row r="2216">
      <x:c r="B2216" s="7" t="str">
        <x:v>CAL-CH-PEA-C-Y1-09-2</x:v>
      </x:c>
      <x:c r="C2216" s="7" t="str">
        <x:v>CH-PEA-C-Y1-09-2</x:v>
      </x:c>
      <x:c r="D2216" s="7" t="str">
        <x:v>PEA-C-Y1</x:v>
      </x:c>
      <x:c r="E2216" s="7" t="str">
        <x:v>BLD-C</x:v>
      </x:c>
      <x:c r="F2216" s="7" t="str">
        <x:v>BL-Y</x:v>
      </x:c>
      <x:c r="G2216" s="7" t="str">
        <x:v>MF-09</x:v>
      </x:c>
      <x:c r="H2216" s="7" t="str"/>
      <x:c r="I2216" s="7" t="str"/>
      <x:c r="J2216" s="7" t="str">
        <x:f>IF(OR(H2216="",I2216=""),"",I2216-H2216)</x:f>
      </x:c>
      <x:c r="K2216" s="7" t="str"/>
      <x:c r="L2216" s="7" t="str"/>
      <x:c r="M2216" s="7" t="str">
        <x:f>IF(L2216="","OPEN",IF(OR(NOT(ISNUMBER(H2216)),NOT(ISNUMBER(I2216)),NOT(ISNUMBER(K2216)),ABS(J2216)&gt;K2216),"FAIL","PASS"))</x:f>
        <x:v>OPEN</x:v>
      </x:c>
    </x:row>
    <x:row r="2217">
      <x:c r="B2217" s="7" t="str">
        <x:v>CAL-CH-PEA-C-Y1-09-3</x:v>
      </x:c>
      <x:c r="C2217" s="7" t="str">
        <x:v>CH-PEA-C-Y1-09-3</x:v>
      </x:c>
      <x:c r="D2217" s="7" t="str">
        <x:v>PEA-C-Y1</x:v>
      </x:c>
      <x:c r="E2217" s="7" t="str">
        <x:v>BLD-C</x:v>
      </x:c>
      <x:c r="F2217" s="7" t="str">
        <x:v>BL-Y</x:v>
      </x:c>
      <x:c r="G2217" s="7" t="str">
        <x:v>MF-09</x:v>
      </x:c>
      <x:c r="H2217" s="7" t="str"/>
      <x:c r="I2217" s="7" t="str"/>
      <x:c r="J2217" s="7" t="str">
        <x:f>IF(OR(H2217="",I2217=""),"",I2217-H2217)</x:f>
      </x:c>
      <x:c r="K2217" s="7" t="str"/>
      <x:c r="L2217" s="7" t="str"/>
      <x:c r="M2217" s="7" t="str">
        <x:f>IF(L2217="","OPEN",IF(OR(NOT(ISNUMBER(H2217)),NOT(ISNUMBER(I2217)),NOT(ISNUMBER(K2217)),ABS(J2217)&gt;K2217),"FAIL","PASS"))</x:f>
        <x:v>OPEN</x:v>
      </x:c>
    </x:row>
    <x:row r="2218">
      <x:c r="B2218" s="7" t="str">
        <x:v>CAL-CH-PEA-C-Y1-09-4</x:v>
      </x:c>
      <x:c r="C2218" s="7" t="str">
        <x:v>CH-PEA-C-Y1-09-4</x:v>
      </x:c>
      <x:c r="D2218" s="7" t="str">
        <x:v>PEA-C-Y1</x:v>
      </x:c>
      <x:c r="E2218" s="7" t="str">
        <x:v>BLD-C</x:v>
      </x:c>
      <x:c r="F2218" s="7" t="str">
        <x:v>BL-Y</x:v>
      </x:c>
      <x:c r="G2218" s="7" t="str">
        <x:v>MF-09</x:v>
      </x:c>
      <x:c r="H2218" s="7" t="str"/>
      <x:c r="I2218" s="7" t="str"/>
      <x:c r="J2218" s="7" t="str">
        <x:f>IF(OR(H2218="",I2218=""),"",I2218-H2218)</x:f>
      </x:c>
      <x:c r="K2218" s="7" t="str"/>
      <x:c r="L2218" s="7" t="str"/>
      <x:c r="M2218" s="7" t="str">
        <x:f>IF(L2218="","OPEN",IF(OR(NOT(ISNUMBER(H2218)),NOT(ISNUMBER(I2218)),NOT(ISNUMBER(K2218)),ABS(J2218)&gt;K2218),"FAIL","PASS"))</x:f>
        <x:v>OPEN</x:v>
      </x:c>
    </x:row>
    <x:row r="2219">
      <x:c r="B2219" s="7" t="str">
        <x:v>CAL-CH-PEA-C-Y1-09-5</x:v>
      </x:c>
      <x:c r="C2219" s="7" t="str">
        <x:v>CH-PEA-C-Y1-09-5</x:v>
      </x:c>
      <x:c r="D2219" s="7" t="str">
        <x:v>PEA-C-Y1</x:v>
      </x:c>
      <x:c r="E2219" s="7" t="str">
        <x:v>BLD-C</x:v>
      </x:c>
      <x:c r="F2219" s="7" t="str">
        <x:v>BL-Y</x:v>
      </x:c>
      <x:c r="G2219" s="7" t="str">
        <x:v>MF-09</x:v>
      </x:c>
      <x:c r="H2219" s="7" t="str"/>
      <x:c r="I2219" s="7" t="str"/>
      <x:c r="J2219" s="7" t="str">
        <x:f>IF(OR(H2219="",I2219=""),"",I2219-H2219)</x:f>
      </x:c>
      <x:c r="K2219" s="7" t="str"/>
      <x:c r="L2219" s="7" t="str"/>
      <x:c r="M2219" s="7" t="str">
        <x:f>IF(L2219="","OPEN",IF(OR(NOT(ISNUMBER(H2219)),NOT(ISNUMBER(I2219)),NOT(ISNUMBER(K2219)),ABS(J2219)&gt;K2219),"FAIL","PASS"))</x:f>
        <x:v>OPEN</x:v>
      </x:c>
    </x:row>
    <x:row r="2220">
      <x:c r="B2220" s="7" t="str">
        <x:v>CAL-CH-PEA-C-Y1-09-6</x:v>
      </x:c>
      <x:c r="C2220" s="7" t="str">
        <x:v>CH-PEA-C-Y1-09-6</x:v>
      </x:c>
      <x:c r="D2220" s="7" t="str">
        <x:v>PEA-C-Y1</x:v>
      </x:c>
      <x:c r="E2220" s="7" t="str">
        <x:v>BLD-C</x:v>
      </x:c>
      <x:c r="F2220" s="7" t="str">
        <x:v>BL-Y</x:v>
      </x:c>
      <x:c r="G2220" s="7" t="str">
        <x:v>MF-09</x:v>
      </x:c>
      <x:c r="H2220" s="7" t="str"/>
      <x:c r="I2220" s="7" t="str"/>
      <x:c r="J2220" s="7" t="str">
        <x:f>IF(OR(H2220="",I2220=""),"",I2220-H2220)</x:f>
      </x:c>
      <x:c r="K2220" s="7" t="str"/>
      <x:c r="L2220" s="7" t="str"/>
      <x:c r="M2220" s="7" t="str">
        <x:f>IF(L2220="","OPEN",IF(OR(NOT(ISNUMBER(H2220)),NOT(ISNUMBER(I2220)),NOT(ISNUMBER(K2220)),ABS(J2220)&gt;K2220),"FAIL","PASS"))</x:f>
        <x:v>OPEN</x:v>
      </x:c>
    </x:row>
    <x:row r="2221">
      <x:c r="B2221" s="7" t="str">
        <x:v>CAL-CH-PEA-C-Y1-10-1</x:v>
      </x:c>
      <x:c r="C2221" s="7" t="str">
        <x:v>CH-PEA-C-Y1-10-1</x:v>
      </x:c>
      <x:c r="D2221" s="7" t="str">
        <x:v>PEA-C-Y1</x:v>
      </x:c>
      <x:c r="E2221" s="7" t="str">
        <x:v>BLD-C</x:v>
      </x:c>
      <x:c r="F2221" s="7" t="str">
        <x:v>BL-Y</x:v>
      </x:c>
      <x:c r="G2221" s="7" t="str">
        <x:v>MF-10</x:v>
      </x:c>
      <x:c r="H2221" s="7" t="str"/>
      <x:c r="I2221" s="7" t="str"/>
      <x:c r="J2221" s="7" t="str">
        <x:f>IF(OR(H2221="",I2221=""),"",I2221-H2221)</x:f>
      </x:c>
      <x:c r="K2221" s="7" t="str"/>
      <x:c r="L2221" s="7" t="str"/>
      <x:c r="M2221" s="7" t="str">
        <x:f>IF(L2221="","OPEN",IF(OR(NOT(ISNUMBER(H2221)),NOT(ISNUMBER(I2221)),NOT(ISNUMBER(K2221)),ABS(J2221)&gt;K2221),"FAIL","PASS"))</x:f>
        <x:v>OPEN</x:v>
      </x:c>
    </x:row>
    <x:row r="2222">
      <x:c r="B2222" s="7" t="str">
        <x:v>CAL-CH-PEA-C-Y1-10-2</x:v>
      </x:c>
      <x:c r="C2222" s="7" t="str">
        <x:v>CH-PEA-C-Y1-10-2</x:v>
      </x:c>
      <x:c r="D2222" s="7" t="str">
        <x:v>PEA-C-Y1</x:v>
      </x:c>
      <x:c r="E2222" s="7" t="str">
        <x:v>BLD-C</x:v>
      </x:c>
      <x:c r="F2222" s="7" t="str">
        <x:v>BL-Y</x:v>
      </x:c>
      <x:c r="G2222" s="7" t="str">
        <x:v>MF-10</x:v>
      </x:c>
      <x:c r="H2222" s="7" t="str"/>
      <x:c r="I2222" s="7" t="str"/>
      <x:c r="J2222" s="7" t="str">
        <x:f>IF(OR(H2222="",I2222=""),"",I2222-H2222)</x:f>
      </x:c>
      <x:c r="K2222" s="7" t="str"/>
      <x:c r="L2222" s="7" t="str"/>
      <x:c r="M2222" s="7" t="str">
        <x:f>IF(L2222="","OPEN",IF(OR(NOT(ISNUMBER(H2222)),NOT(ISNUMBER(I2222)),NOT(ISNUMBER(K2222)),ABS(J2222)&gt;K2222),"FAIL","PASS"))</x:f>
        <x:v>OPEN</x:v>
      </x:c>
    </x:row>
    <x:row r="2223">
      <x:c r="B2223" s="7" t="str">
        <x:v>CAL-CH-PEA-C-Y1-10-3</x:v>
      </x:c>
      <x:c r="C2223" s="7" t="str">
        <x:v>CH-PEA-C-Y1-10-3</x:v>
      </x:c>
      <x:c r="D2223" s="7" t="str">
        <x:v>PEA-C-Y1</x:v>
      </x:c>
      <x:c r="E2223" s="7" t="str">
        <x:v>BLD-C</x:v>
      </x:c>
      <x:c r="F2223" s="7" t="str">
        <x:v>BL-Y</x:v>
      </x:c>
      <x:c r="G2223" s="7" t="str">
        <x:v>MF-10</x:v>
      </x:c>
      <x:c r="H2223" s="7" t="str"/>
      <x:c r="I2223" s="7" t="str"/>
      <x:c r="J2223" s="7" t="str">
        <x:f>IF(OR(H2223="",I2223=""),"",I2223-H2223)</x:f>
      </x:c>
      <x:c r="K2223" s="7" t="str"/>
      <x:c r="L2223" s="7" t="str"/>
      <x:c r="M2223" s="7" t="str">
        <x:f>IF(L2223="","OPEN",IF(OR(NOT(ISNUMBER(H2223)),NOT(ISNUMBER(I2223)),NOT(ISNUMBER(K2223)),ABS(J2223)&gt;K2223),"FAIL","PASS"))</x:f>
        <x:v>OPEN</x:v>
      </x:c>
    </x:row>
    <x:row r="2224">
      <x:c r="B2224" s="7" t="str">
        <x:v>CAL-CH-PEA-C-Y1-10-4</x:v>
      </x:c>
      <x:c r="C2224" s="7" t="str">
        <x:v>CH-PEA-C-Y1-10-4</x:v>
      </x:c>
      <x:c r="D2224" s="7" t="str">
        <x:v>PEA-C-Y1</x:v>
      </x:c>
      <x:c r="E2224" s="7" t="str">
        <x:v>BLD-C</x:v>
      </x:c>
      <x:c r="F2224" s="7" t="str">
        <x:v>BL-Y</x:v>
      </x:c>
      <x:c r="G2224" s="7" t="str">
        <x:v>MF-10</x:v>
      </x:c>
      <x:c r="H2224" s="7" t="str"/>
      <x:c r="I2224" s="7" t="str"/>
      <x:c r="J2224" s="7" t="str">
        <x:f>IF(OR(H2224="",I2224=""),"",I2224-H2224)</x:f>
      </x:c>
      <x:c r="K2224" s="7" t="str"/>
      <x:c r="L2224" s="7" t="str"/>
      <x:c r="M2224" s="7" t="str">
        <x:f>IF(L2224="","OPEN",IF(OR(NOT(ISNUMBER(H2224)),NOT(ISNUMBER(I2224)),NOT(ISNUMBER(K2224)),ABS(J2224)&gt;K2224),"FAIL","PASS"))</x:f>
        <x:v>OPEN</x:v>
      </x:c>
    </x:row>
    <x:row r="2225">
      <x:c r="B2225" s="7" t="str">
        <x:v>CAL-CH-PEA-C-Y1-10-5</x:v>
      </x:c>
      <x:c r="C2225" s="7" t="str">
        <x:v>CH-PEA-C-Y1-10-5</x:v>
      </x:c>
      <x:c r="D2225" s="7" t="str">
        <x:v>PEA-C-Y1</x:v>
      </x:c>
      <x:c r="E2225" s="7" t="str">
        <x:v>BLD-C</x:v>
      </x:c>
      <x:c r="F2225" s="7" t="str">
        <x:v>BL-Y</x:v>
      </x:c>
      <x:c r="G2225" s="7" t="str">
        <x:v>MF-10</x:v>
      </x:c>
      <x:c r="H2225" s="7" t="str"/>
      <x:c r="I2225" s="7" t="str"/>
      <x:c r="J2225" s="7" t="str">
        <x:f>IF(OR(H2225="",I2225=""),"",I2225-H2225)</x:f>
      </x:c>
      <x:c r="K2225" s="7" t="str"/>
      <x:c r="L2225" s="7" t="str"/>
      <x:c r="M2225" s="7" t="str">
        <x:f>IF(L2225="","OPEN",IF(OR(NOT(ISNUMBER(H2225)),NOT(ISNUMBER(I2225)),NOT(ISNUMBER(K2225)),ABS(J2225)&gt;K2225),"FAIL","PASS"))</x:f>
        <x:v>OPEN</x:v>
      </x:c>
    </x:row>
    <x:row r="2226">
      <x:c r="B2226" s="7" t="str">
        <x:v>CAL-CH-PEA-C-Y1-10-6</x:v>
      </x:c>
      <x:c r="C2226" s="7" t="str">
        <x:v>CH-PEA-C-Y1-10-6</x:v>
      </x:c>
      <x:c r="D2226" s="7" t="str">
        <x:v>PEA-C-Y1</x:v>
      </x:c>
      <x:c r="E2226" s="7" t="str">
        <x:v>BLD-C</x:v>
      </x:c>
      <x:c r="F2226" s="7" t="str">
        <x:v>BL-Y</x:v>
      </x:c>
      <x:c r="G2226" s="7" t="str">
        <x:v>MF-10</x:v>
      </x:c>
      <x:c r="H2226" s="7" t="str"/>
      <x:c r="I2226" s="7" t="str"/>
      <x:c r="J2226" s="7" t="str">
        <x:f>IF(OR(H2226="",I2226=""),"",I2226-H2226)</x:f>
      </x:c>
      <x:c r="K2226" s="7" t="str"/>
      <x:c r="L2226" s="7" t="str"/>
      <x:c r="M2226" s="7" t="str">
        <x:f>IF(L2226="","OPEN",IF(OR(NOT(ISNUMBER(H2226)),NOT(ISNUMBER(I2226)),NOT(ISNUMBER(K2226)),ABS(J2226)&gt;K2226),"FAIL","PASS"))</x:f>
        <x:v>OPEN</x:v>
      </x:c>
    </x:row>
    <x:row r="2227">
      <x:c r="B2227" s="7" t="str">
        <x:v>CAL-CH-PEA-C-Y1-11-1</x:v>
      </x:c>
      <x:c r="C2227" s="7" t="str">
        <x:v>CH-PEA-C-Y1-11-1</x:v>
      </x:c>
      <x:c r="D2227" s="7" t="str">
        <x:v>PEA-C-Y1</x:v>
      </x:c>
      <x:c r="E2227" s="7" t="str">
        <x:v>BLD-C</x:v>
      </x:c>
      <x:c r="F2227" s="7" t="str">
        <x:v>BL-Y</x:v>
      </x:c>
      <x:c r="G2227" s="7" t="str">
        <x:v>MF-11</x:v>
      </x:c>
      <x:c r="H2227" s="7" t="str"/>
      <x:c r="I2227" s="7" t="str"/>
      <x:c r="J2227" s="7" t="str">
        <x:f>IF(OR(H2227="",I2227=""),"",I2227-H2227)</x:f>
      </x:c>
      <x:c r="K2227" s="7" t="str"/>
      <x:c r="L2227" s="7" t="str"/>
      <x:c r="M2227" s="7" t="str">
        <x:f>IF(L2227="","OPEN",IF(OR(NOT(ISNUMBER(H2227)),NOT(ISNUMBER(I2227)),NOT(ISNUMBER(K2227)),ABS(J2227)&gt;K2227),"FAIL","PASS"))</x:f>
        <x:v>OPEN</x:v>
      </x:c>
    </x:row>
    <x:row r="2228">
      <x:c r="B2228" s="7" t="str">
        <x:v>CAL-CH-PEA-C-Y1-11-2</x:v>
      </x:c>
      <x:c r="C2228" s="7" t="str">
        <x:v>CH-PEA-C-Y1-11-2</x:v>
      </x:c>
      <x:c r="D2228" s="7" t="str">
        <x:v>PEA-C-Y1</x:v>
      </x:c>
      <x:c r="E2228" s="7" t="str">
        <x:v>BLD-C</x:v>
      </x:c>
      <x:c r="F2228" s="7" t="str">
        <x:v>BL-Y</x:v>
      </x:c>
      <x:c r="G2228" s="7" t="str">
        <x:v>MF-11</x:v>
      </x:c>
      <x:c r="H2228" s="7" t="str"/>
      <x:c r="I2228" s="7" t="str"/>
      <x:c r="J2228" s="7" t="str">
        <x:f>IF(OR(H2228="",I2228=""),"",I2228-H2228)</x:f>
      </x:c>
      <x:c r="K2228" s="7" t="str"/>
      <x:c r="L2228" s="7" t="str"/>
      <x:c r="M2228" s="7" t="str">
        <x:f>IF(L2228="","OPEN",IF(OR(NOT(ISNUMBER(H2228)),NOT(ISNUMBER(I2228)),NOT(ISNUMBER(K2228)),ABS(J2228)&gt;K2228),"FAIL","PASS"))</x:f>
        <x:v>OPEN</x:v>
      </x:c>
    </x:row>
    <x:row r="2229">
      <x:c r="B2229" s="7" t="str">
        <x:v>CAL-CH-PEA-C-Y1-11-3</x:v>
      </x:c>
      <x:c r="C2229" s="7" t="str">
        <x:v>CH-PEA-C-Y1-11-3</x:v>
      </x:c>
      <x:c r="D2229" s="7" t="str">
        <x:v>PEA-C-Y1</x:v>
      </x:c>
      <x:c r="E2229" s="7" t="str">
        <x:v>BLD-C</x:v>
      </x:c>
      <x:c r="F2229" s="7" t="str">
        <x:v>BL-Y</x:v>
      </x:c>
      <x:c r="G2229" s="7" t="str">
        <x:v>MF-11</x:v>
      </x:c>
      <x:c r="H2229" s="7" t="str"/>
      <x:c r="I2229" s="7" t="str"/>
      <x:c r="J2229" s="7" t="str">
        <x:f>IF(OR(H2229="",I2229=""),"",I2229-H2229)</x:f>
      </x:c>
      <x:c r="K2229" s="7" t="str"/>
      <x:c r="L2229" s="7" t="str"/>
      <x:c r="M2229" s="7" t="str">
        <x:f>IF(L2229="","OPEN",IF(OR(NOT(ISNUMBER(H2229)),NOT(ISNUMBER(I2229)),NOT(ISNUMBER(K2229)),ABS(J2229)&gt;K2229),"FAIL","PASS"))</x:f>
        <x:v>OPEN</x:v>
      </x:c>
    </x:row>
    <x:row r="2230">
      <x:c r="B2230" s="7" t="str">
        <x:v>CAL-CH-PEA-C-Y1-11-4</x:v>
      </x:c>
      <x:c r="C2230" s="7" t="str">
        <x:v>CH-PEA-C-Y1-11-4</x:v>
      </x:c>
      <x:c r="D2230" s="7" t="str">
        <x:v>PEA-C-Y1</x:v>
      </x:c>
      <x:c r="E2230" s="7" t="str">
        <x:v>BLD-C</x:v>
      </x:c>
      <x:c r="F2230" s="7" t="str">
        <x:v>BL-Y</x:v>
      </x:c>
      <x:c r="G2230" s="7" t="str">
        <x:v>MF-11</x:v>
      </x:c>
      <x:c r="H2230" s="7" t="str"/>
      <x:c r="I2230" s="7" t="str"/>
      <x:c r="J2230" s="7" t="str">
        <x:f>IF(OR(H2230="",I2230=""),"",I2230-H2230)</x:f>
      </x:c>
      <x:c r="K2230" s="7" t="str"/>
      <x:c r="L2230" s="7" t="str"/>
      <x:c r="M2230" s="7" t="str">
        <x:f>IF(L2230="","OPEN",IF(OR(NOT(ISNUMBER(H2230)),NOT(ISNUMBER(I2230)),NOT(ISNUMBER(K2230)),ABS(J2230)&gt;K2230),"FAIL","PASS"))</x:f>
        <x:v>OPEN</x:v>
      </x:c>
    </x:row>
    <x:row r="2231">
      <x:c r="B2231" s="7" t="str">
        <x:v>CAL-CH-PEA-C-Y1-11-5</x:v>
      </x:c>
      <x:c r="C2231" s="7" t="str">
        <x:v>CH-PEA-C-Y1-11-5</x:v>
      </x:c>
      <x:c r="D2231" s="7" t="str">
        <x:v>PEA-C-Y1</x:v>
      </x:c>
      <x:c r="E2231" s="7" t="str">
        <x:v>BLD-C</x:v>
      </x:c>
      <x:c r="F2231" s="7" t="str">
        <x:v>BL-Y</x:v>
      </x:c>
      <x:c r="G2231" s="7" t="str">
        <x:v>MF-11</x:v>
      </x:c>
      <x:c r="H2231" s="7" t="str"/>
      <x:c r="I2231" s="7" t="str"/>
      <x:c r="J2231" s="7" t="str">
        <x:f>IF(OR(H2231="",I2231=""),"",I2231-H2231)</x:f>
      </x:c>
      <x:c r="K2231" s="7" t="str"/>
      <x:c r="L2231" s="7" t="str"/>
      <x:c r="M2231" s="7" t="str">
        <x:f>IF(L2231="","OPEN",IF(OR(NOT(ISNUMBER(H2231)),NOT(ISNUMBER(I2231)),NOT(ISNUMBER(K2231)),ABS(J2231)&gt;K2231),"FAIL","PASS"))</x:f>
        <x:v>OPEN</x:v>
      </x:c>
    </x:row>
    <x:row r="2232">
      <x:c r="B2232" s="7" t="str">
        <x:v>CAL-CH-PEA-C-Y1-11-6</x:v>
      </x:c>
      <x:c r="C2232" s="7" t="str">
        <x:v>CH-PEA-C-Y1-11-6</x:v>
      </x:c>
      <x:c r="D2232" s="7" t="str">
        <x:v>PEA-C-Y1</x:v>
      </x:c>
      <x:c r="E2232" s="7" t="str">
        <x:v>BLD-C</x:v>
      </x:c>
      <x:c r="F2232" s="7" t="str">
        <x:v>BL-Y</x:v>
      </x:c>
      <x:c r="G2232" s="7" t="str">
        <x:v>MF-11</x:v>
      </x:c>
      <x:c r="H2232" s="7" t="str"/>
      <x:c r="I2232" s="7" t="str"/>
      <x:c r="J2232" s="7" t="str">
        <x:f>IF(OR(H2232="",I2232=""),"",I2232-H2232)</x:f>
      </x:c>
      <x:c r="K2232" s="7" t="str"/>
      <x:c r="L2232" s="7" t="str"/>
      <x:c r="M2232" s="7" t="str">
        <x:f>IF(L2232="","OPEN",IF(OR(NOT(ISNUMBER(H2232)),NOT(ISNUMBER(I2232)),NOT(ISNUMBER(K2232)),ABS(J2232)&gt;K2232),"FAIL","PASS"))</x:f>
        <x:v>OPEN</x:v>
      </x:c>
    </x:row>
    <x:row r="2233">
      <x:c r="B2233" s="7" t="str">
        <x:v>CAL-CH-PEA-C-Y1-12-1</x:v>
      </x:c>
      <x:c r="C2233" s="7" t="str">
        <x:v>CH-PEA-C-Y1-12-1</x:v>
      </x:c>
      <x:c r="D2233" s="7" t="str">
        <x:v>PEA-C-Y1</x:v>
      </x:c>
      <x:c r="E2233" s="7" t="str">
        <x:v>BLD-C</x:v>
      </x:c>
      <x:c r="F2233" s="7" t="str">
        <x:v>BL-Y</x:v>
      </x:c>
      <x:c r="G2233" s="7" t="str">
        <x:v>MF-12</x:v>
      </x:c>
      <x:c r="H2233" s="7" t="str"/>
      <x:c r="I2233" s="7" t="str"/>
      <x:c r="J2233" s="7" t="str">
        <x:f>IF(OR(H2233="",I2233=""),"",I2233-H2233)</x:f>
      </x:c>
      <x:c r="K2233" s="7" t="str"/>
      <x:c r="L2233" s="7" t="str"/>
      <x:c r="M2233" s="7" t="str">
        <x:f>IF(L2233="","OPEN",IF(OR(NOT(ISNUMBER(H2233)),NOT(ISNUMBER(I2233)),NOT(ISNUMBER(K2233)),ABS(J2233)&gt;K2233),"FAIL","PASS"))</x:f>
        <x:v>OPEN</x:v>
      </x:c>
    </x:row>
    <x:row r="2234">
      <x:c r="B2234" s="7" t="str">
        <x:v>CAL-CH-PEA-C-Y1-12-2</x:v>
      </x:c>
      <x:c r="C2234" s="7" t="str">
        <x:v>CH-PEA-C-Y1-12-2</x:v>
      </x:c>
      <x:c r="D2234" s="7" t="str">
        <x:v>PEA-C-Y1</x:v>
      </x:c>
      <x:c r="E2234" s="7" t="str">
        <x:v>BLD-C</x:v>
      </x:c>
      <x:c r="F2234" s="7" t="str">
        <x:v>BL-Y</x:v>
      </x:c>
      <x:c r="G2234" s="7" t="str">
        <x:v>MF-12</x:v>
      </x:c>
      <x:c r="H2234" s="7" t="str"/>
      <x:c r="I2234" s="7" t="str"/>
      <x:c r="J2234" s="7" t="str">
        <x:f>IF(OR(H2234="",I2234=""),"",I2234-H2234)</x:f>
      </x:c>
      <x:c r="K2234" s="7" t="str"/>
      <x:c r="L2234" s="7" t="str"/>
      <x:c r="M2234" s="7" t="str">
        <x:f>IF(L2234="","OPEN",IF(OR(NOT(ISNUMBER(H2234)),NOT(ISNUMBER(I2234)),NOT(ISNUMBER(K2234)),ABS(J2234)&gt;K2234),"FAIL","PASS"))</x:f>
        <x:v>OPEN</x:v>
      </x:c>
    </x:row>
    <x:row r="2235">
      <x:c r="B2235" s="7" t="str">
        <x:v>CAL-CH-PEA-C-Y1-12-3</x:v>
      </x:c>
      <x:c r="C2235" s="7" t="str">
        <x:v>CH-PEA-C-Y1-12-3</x:v>
      </x:c>
      <x:c r="D2235" s="7" t="str">
        <x:v>PEA-C-Y1</x:v>
      </x:c>
      <x:c r="E2235" s="7" t="str">
        <x:v>BLD-C</x:v>
      </x:c>
      <x:c r="F2235" s="7" t="str">
        <x:v>BL-Y</x:v>
      </x:c>
      <x:c r="G2235" s="7" t="str">
        <x:v>MF-12</x:v>
      </x:c>
      <x:c r="H2235" s="7" t="str"/>
      <x:c r="I2235" s="7" t="str"/>
      <x:c r="J2235" s="7" t="str">
        <x:f>IF(OR(H2235="",I2235=""),"",I2235-H2235)</x:f>
      </x:c>
      <x:c r="K2235" s="7" t="str"/>
      <x:c r="L2235" s="7" t="str"/>
      <x:c r="M2235" s="7" t="str">
        <x:f>IF(L2235="","OPEN",IF(OR(NOT(ISNUMBER(H2235)),NOT(ISNUMBER(I2235)),NOT(ISNUMBER(K2235)),ABS(J2235)&gt;K2235),"FAIL","PASS"))</x:f>
        <x:v>OPEN</x:v>
      </x:c>
    </x:row>
    <x:row r="2236">
      <x:c r="B2236" s="7" t="str">
        <x:v>CAL-CH-PEA-C-Y1-12-4</x:v>
      </x:c>
      <x:c r="C2236" s="7" t="str">
        <x:v>CH-PEA-C-Y1-12-4</x:v>
      </x:c>
      <x:c r="D2236" s="7" t="str">
        <x:v>PEA-C-Y1</x:v>
      </x:c>
      <x:c r="E2236" s="7" t="str">
        <x:v>BLD-C</x:v>
      </x:c>
      <x:c r="F2236" s="7" t="str">
        <x:v>BL-Y</x:v>
      </x:c>
      <x:c r="G2236" s="7" t="str">
        <x:v>MF-12</x:v>
      </x:c>
      <x:c r="H2236" s="7" t="str"/>
      <x:c r="I2236" s="7" t="str"/>
      <x:c r="J2236" s="7" t="str">
        <x:f>IF(OR(H2236="",I2236=""),"",I2236-H2236)</x:f>
      </x:c>
      <x:c r="K2236" s="7" t="str"/>
      <x:c r="L2236" s="7" t="str"/>
      <x:c r="M2236" s="7" t="str">
        <x:f>IF(L2236="","OPEN",IF(OR(NOT(ISNUMBER(H2236)),NOT(ISNUMBER(I2236)),NOT(ISNUMBER(K2236)),ABS(J2236)&gt;K2236),"FAIL","PASS"))</x:f>
        <x:v>OPEN</x:v>
      </x:c>
    </x:row>
    <x:row r="2237">
      <x:c r="B2237" s="7" t="str">
        <x:v>CAL-CH-PEA-C-Y1-12-5</x:v>
      </x:c>
      <x:c r="C2237" s="7" t="str">
        <x:v>CH-PEA-C-Y1-12-5</x:v>
      </x:c>
      <x:c r="D2237" s="7" t="str">
        <x:v>PEA-C-Y1</x:v>
      </x:c>
      <x:c r="E2237" s="7" t="str">
        <x:v>BLD-C</x:v>
      </x:c>
      <x:c r="F2237" s="7" t="str">
        <x:v>BL-Y</x:v>
      </x:c>
      <x:c r="G2237" s="7" t="str">
        <x:v>MF-12</x:v>
      </x:c>
      <x:c r="H2237" s="7" t="str"/>
      <x:c r="I2237" s="7" t="str"/>
      <x:c r="J2237" s="7" t="str">
        <x:f>IF(OR(H2237="",I2237=""),"",I2237-H2237)</x:f>
      </x:c>
      <x:c r="K2237" s="7" t="str"/>
      <x:c r="L2237" s="7" t="str"/>
      <x:c r="M2237" s="7" t="str">
        <x:f>IF(L2237="","OPEN",IF(OR(NOT(ISNUMBER(H2237)),NOT(ISNUMBER(I2237)),NOT(ISNUMBER(K2237)),ABS(J2237)&gt;K2237),"FAIL","PASS"))</x:f>
        <x:v>OPEN</x:v>
      </x:c>
    </x:row>
    <x:row r="2238">
      <x:c r="B2238" s="7" t="str">
        <x:v>CAL-CH-PEA-C-Y1-12-6</x:v>
      </x:c>
      <x:c r="C2238" s="7" t="str">
        <x:v>CH-PEA-C-Y1-12-6</x:v>
      </x:c>
      <x:c r="D2238" s="7" t="str">
        <x:v>PEA-C-Y1</x:v>
      </x:c>
      <x:c r="E2238" s="7" t="str">
        <x:v>BLD-C</x:v>
      </x:c>
      <x:c r="F2238" s="7" t="str">
        <x:v>BL-Y</x:v>
      </x:c>
      <x:c r="G2238" s="7" t="str">
        <x:v>MF-12</x:v>
      </x:c>
      <x:c r="H2238" s="7" t="str"/>
      <x:c r="I2238" s="7" t="str"/>
      <x:c r="J2238" s="7" t="str">
        <x:f>IF(OR(H2238="",I2238=""),"",I2238-H2238)</x:f>
      </x:c>
      <x:c r="K2238" s="7" t="str"/>
      <x:c r="L2238" s="7" t="str"/>
      <x:c r="M2238" s="7" t="str">
        <x:f>IF(L2238="","OPEN",IF(OR(NOT(ISNUMBER(H2238)),NOT(ISNUMBER(I2238)),NOT(ISNUMBER(K2238)),ABS(J2238)&gt;K2238),"FAIL","PASS"))</x:f>
        <x:v>OPEN</x:v>
      </x:c>
    </x:row>
    <x:row r="2239">
      <x:c r="B2239" s="7" t="str">
        <x:v>CAL-CH-PEA-C-Y1-13-1</x:v>
      </x:c>
      <x:c r="C2239" s="7" t="str">
        <x:v>CH-PEA-C-Y1-13-1</x:v>
      </x:c>
      <x:c r="D2239" s="7" t="str">
        <x:v>PEA-C-Y1</x:v>
      </x:c>
      <x:c r="E2239" s="7" t="str">
        <x:v>BLD-C</x:v>
      </x:c>
      <x:c r="F2239" s="7" t="str">
        <x:v>BL-Y</x:v>
      </x:c>
      <x:c r="G2239" s="7" t="str">
        <x:v>MF-13</x:v>
      </x:c>
      <x:c r="H2239" s="7" t="str"/>
      <x:c r="I2239" s="7" t="str"/>
      <x:c r="J2239" s="7" t="str">
        <x:f>IF(OR(H2239="",I2239=""),"",I2239-H2239)</x:f>
      </x:c>
      <x:c r="K2239" s="7" t="str"/>
      <x:c r="L2239" s="7" t="str"/>
      <x:c r="M2239" s="7" t="str">
        <x:f>IF(L2239="","OPEN",IF(OR(NOT(ISNUMBER(H2239)),NOT(ISNUMBER(I2239)),NOT(ISNUMBER(K2239)),ABS(J2239)&gt;K2239),"FAIL","PASS"))</x:f>
        <x:v>OPEN</x:v>
      </x:c>
    </x:row>
    <x:row r="2240">
      <x:c r="B2240" s="7" t="str">
        <x:v>CAL-CH-PEA-C-Y1-13-2</x:v>
      </x:c>
      <x:c r="C2240" s="7" t="str">
        <x:v>CH-PEA-C-Y1-13-2</x:v>
      </x:c>
      <x:c r="D2240" s="7" t="str">
        <x:v>PEA-C-Y1</x:v>
      </x:c>
      <x:c r="E2240" s="7" t="str">
        <x:v>BLD-C</x:v>
      </x:c>
      <x:c r="F2240" s="7" t="str">
        <x:v>BL-Y</x:v>
      </x:c>
      <x:c r="G2240" s="7" t="str">
        <x:v>MF-13</x:v>
      </x:c>
      <x:c r="H2240" s="7" t="str"/>
      <x:c r="I2240" s="7" t="str"/>
      <x:c r="J2240" s="7" t="str">
        <x:f>IF(OR(H2240="",I2240=""),"",I2240-H2240)</x:f>
      </x:c>
      <x:c r="K2240" s="7" t="str"/>
      <x:c r="L2240" s="7" t="str"/>
      <x:c r="M2240" s="7" t="str">
        <x:f>IF(L2240="","OPEN",IF(OR(NOT(ISNUMBER(H2240)),NOT(ISNUMBER(I2240)),NOT(ISNUMBER(K2240)),ABS(J2240)&gt;K2240),"FAIL","PASS"))</x:f>
        <x:v>OPEN</x:v>
      </x:c>
    </x:row>
    <x:row r="2241">
      <x:c r="B2241" s="7" t="str">
        <x:v>CAL-CH-PEA-C-Y1-13-3</x:v>
      </x:c>
      <x:c r="C2241" s="7" t="str">
        <x:v>CH-PEA-C-Y1-13-3</x:v>
      </x:c>
      <x:c r="D2241" s="7" t="str">
        <x:v>PEA-C-Y1</x:v>
      </x:c>
      <x:c r="E2241" s="7" t="str">
        <x:v>BLD-C</x:v>
      </x:c>
      <x:c r="F2241" s="7" t="str">
        <x:v>BL-Y</x:v>
      </x:c>
      <x:c r="G2241" s="7" t="str">
        <x:v>MF-13</x:v>
      </x:c>
      <x:c r="H2241" s="7" t="str"/>
      <x:c r="I2241" s="7" t="str"/>
      <x:c r="J2241" s="7" t="str">
        <x:f>IF(OR(H2241="",I2241=""),"",I2241-H2241)</x:f>
      </x:c>
      <x:c r="K2241" s="7" t="str"/>
      <x:c r="L2241" s="7" t="str"/>
      <x:c r="M2241" s="7" t="str">
        <x:f>IF(L2241="","OPEN",IF(OR(NOT(ISNUMBER(H2241)),NOT(ISNUMBER(I2241)),NOT(ISNUMBER(K2241)),ABS(J2241)&gt;K2241),"FAIL","PASS"))</x:f>
        <x:v>OPEN</x:v>
      </x:c>
    </x:row>
    <x:row r="2242">
      <x:c r="B2242" s="7" t="str">
        <x:v>CAL-CH-PEA-C-Y1-13-4</x:v>
      </x:c>
      <x:c r="C2242" s="7" t="str">
        <x:v>CH-PEA-C-Y1-13-4</x:v>
      </x:c>
      <x:c r="D2242" s="7" t="str">
        <x:v>PEA-C-Y1</x:v>
      </x:c>
      <x:c r="E2242" s="7" t="str">
        <x:v>BLD-C</x:v>
      </x:c>
      <x:c r="F2242" s="7" t="str">
        <x:v>BL-Y</x:v>
      </x:c>
      <x:c r="G2242" s="7" t="str">
        <x:v>MF-13</x:v>
      </x:c>
      <x:c r="H2242" s="7" t="str"/>
      <x:c r="I2242" s="7" t="str"/>
      <x:c r="J2242" s="7" t="str">
        <x:f>IF(OR(H2242="",I2242=""),"",I2242-H2242)</x:f>
      </x:c>
      <x:c r="K2242" s="7" t="str"/>
      <x:c r="L2242" s="7" t="str"/>
      <x:c r="M2242" s="7" t="str">
        <x:f>IF(L2242="","OPEN",IF(OR(NOT(ISNUMBER(H2242)),NOT(ISNUMBER(I2242)),NOT(ISNUMBER(K2242)),ABS(J2242)&gt;K2242),"FAIL","PASS"))</x:f>
        <x:v>OPEN</x:v>
      </x:c>
    </x:row>
    <x:row r="2243">
      <x:c r="B2243" s="7" t="str">
        <x:v>CAL-CH-PEA-C-Y1-13-5</x:v>
      </x:c>
      <x:c r="C2243" s="7" t="str">
        <x:v>CH-PEA-C-Y1-13-5</x:v>
      </x:c>
      <x:c r="D2243" s="7" t="str">
        <x:v>PEA-C-Y1</x:v>
      </x:c>
      <x:c r="E2243" s="7" t="str">
        <x:v>BLD-C</x:v>
      </x:c>
      <x:c r="F2243" s="7" t="str">
        <x:v>BL-Y</x:v>
      </x:c>
      <x:c r="G2243" s="7" t="str">
        <x:v>MF-13</x:v>
      </x:c>
      <x:c r="H2243" s="7" t="str"/>
      <x:c r="I2243" s="7" t="str"/>
      <x:c r="J2243" s="7" t="str">
        <x:f>IF(OR(H2243="",I2243=""),"",I2243-H2243)</x:f>
      </x:c>
      <x:c r="K2243" s="7" t="str"/>
      <x:c r="L2243" s="7" t="str"/>
      <x:c r="M2243" s="7" t="str">
        <x:f>IF(L2243="","OPEN",IF(OR(NOT(ISNUMBER(H2243)),NOT(ISNUMBER(I2243)),NOT(ISNUMBER(K2243)),ABS(J2243)&gt;K2243),"FAIL","PASS"))</x:f>
        <x:v>OPEN</x:v>
      </x:c>
    </x:row>
    <x:row r="2244">
      <x:c r="B2244" s="7" t="str">
        <x:v>CAL-CH-PEA-C-Y1-13-6</x:v>
      </x:c>
      <x:c r="C2244" s="7" t="str">
        <x:v>CH-PEA-C-Y1-13-6</x:v>
      </x:c>
      <x:c r="D2244" s="7" t="str">
        <x:v>PEA-C-Y1</x:v>
      </x:c>
      <x:c r="E2244" s="7" t="str">
        <x:v>BLD-C</x:v>
      </x:c>
      <x:c r="F2244" s="7" t="str">
        <x:v>BL-Y</x:v>
      </x:c>
      <x:c r="G2244" s="7" t="str">
        <x:v>MF-13</x:v>
      </x:c>
      <x:c r="H2244" s="7" t="str"/>
      <x:c r="I2244" s="7" t="str"/>
      <x:c r="J2244" s="7" t="str">
        <x:f>IF(OR(H2244="",I2244=""),"",I2244-H2244)</x:f>
      </x:c>
      <x:c r="K2244" s="7" t="str"/>
      <x:c r="L2244" s="7" t="str"/>
      <x:c r="M2244" s="7" t="str">
        <x:f>IF(L2244="","OPEN",IF(OR(NOT(ISNUMBER(H2244)),NOT(ISNUMBER(I2244)),NOT(ISNUMBER(K2244)),ABS(J2244)&gt;K2244),"FAIL","PASS"))</x:f>
        <x:v>OPEN</x:v>
      </x:c>
    </x:row>
    <x:row r="2245">
      <x:c r="B2245" s="7" t="str">
        <x:v>CAL-CH-PEA-C-Y1-14-1</x:v>
      </x:c>
      <x:c r="C2245" s="7" t="str">
        <x:v>CH-PEA-C-Y1-14-1</x:v>
      </x:c>
      <x:c r="D2245" s="7" t="str">
        <x:v>PEA-C-Y1</x:v>
      </x:c>
      <x:c r="E2245" s="7" t="str">
        <x:v>BLD-C</x:v>
      </x:c>
      <x:c r="F2245" s="7" t="str">
        <x:v>BL-Y</x:v>
      </x:c>
      <x:c r="G2245" s="7" t="str">
        <x:v>MF-14</x:v>
      </x:c>
      <x:c r="H2245" s="7" t="str"/>
      <x:c r="I2245" s="7" t="str"/>
      <x:c r="J2245" s="7" t="str">
        <x:f>IF(OR(H2245="",I2245=""),"",I2245-H2245)</x:f>
      </x:c>
      <x:c r="K2245" s="7" t="str"/>
      <x:c r="L2245" s="7" t="str"/>
      <x:c r="M2245" s="7" t="str">
        <x:f>IF(L2245="","OPEN",IF(OR(NOT(ISNUMBER(H2245)),NOT(ISNUMBER(I2245)),NOT(ISNUMBER(K2245)),ABS(J2245)&gt;K2245),"FAIL","PASS"))</x:f>
        <x:v>OPEN</x:v>
      </x:c>
    </x:row>
    <x:row r="2246">
      <x:c r="B2246" s="7" t="str">
        <x:v>CAL-CH-PEA-C-Y1-14-2</x:v>
      </x:c>
      <x:c r="C2246" s="7" t="str">
        <x:v>CH-PEA-C-Y1-14-2</x:v>
      </x:c>
      <x:c r="D2246" s="7" t="str">
        <x:v>PEA-C-Y1</x:v>
      </x:c>
      <x:c r="E2246" s="7" t="str">
        <x:v>BLD-C</x:v>
      </x:c>
      <x:c r="F2246" s="7" t="str">
        <x:v>BL-Y</x:v>
      </x:c>
      <x:c r="G2246" s="7" t="str">
        <x:v>MF-14</x:v>
      </x:c>
      <x:c r="H2246" s="7" t="str"/>
      <x:c r="I2246" s="7" t="str"/>
      <x:c r="J2246" s="7" t="str">
        <x:f>IF(OR(H2246="",I2246=""),"",I2246-H2246)</x:f>
      </x:c>
      <x:c r="K2246" s="7" t="str"/>
      <x:c r="L2246" s="7" t="str"/>
      <x:c r="M2246" s="7" t="str">
        <x:f>IF(L2246="","OPEN",IF(OR(NOT(ISNUMBER(H2246)),NOT(ISNUMBER(I2246)),NOT(ISNUMBER(K2246)),ABS(J2246)&gt;K2246),"FAIL","PASS"))</x:f>
        <x:v>OPEN</x:v>
      </x:c>
    </x:row>
    <x:row r="2247">
      <x:c r="B2247" s="7" t="str">
        <x:v>CAL-CH-PEA-C-Y1-14-3</x:v>
      </x:c>
      <x:c r="C2247" s="7" t="str">
        <x:v>CH-PEA-C-Y1-14-3</x:v>
      </x:c>
      <x:c r="D2247" s="7" t="str">
        <x:v>PEA-C-Y1</x:v>
      </x:c>
      <x:c r="E2247" s="7" t="str">
        <x:v>BLD-C</x:v>
      </x:c>
      <x:c r="F2247" s="7" t="str">
        <x:v>BL-Y</x:v>
      </x:c>
      <x:c r="G2247" s="7" t="str">
        <x:v>MF-14</x:v>
      </x:c>
      <x:c r="H2247" s="7" t="str"/>
      <x:c r="I2247" s="7" t="str"/>
      <x:c r="J2247" s="7" t="str">
        <x:f>IF(OR(H2247="",I2247=""),"",I2247-H2247)</x:f>
      </x:c>
      <x:c r="K2247" s="7" t="str"/>
      <x:c r="L2247" s="7" t="str"/>
      <x:c r="M2247" s="7" t="str">
        <x:f>IF(L2247="","OPEN",IF(OR(NOT(ISNUMBER(H2247)),NOT(ISNUMBER(I2247)),NOT(ISNUMBER(K2247)),ABS(J2247)&gt;K2247),"FAIL","PASS"))</x:f>
        <x:v>OPEN</x:v>
      </x:c>
    </x:row>
    <x:row r="2248">
      <x:c r="B2248" s="7" t="str">
        <x:v>CAL-CH-PEA-C-Y1-14-4</x:v>
      </x:c>
      <x:c r="C2248" s="7" t="str">
        <x:v>CH-PEA-C-Y1-14-4</x:v>
      </x:c>
      <x:c r="D2248" s="7" t="str">
        <x:v>PEA-C-Y1</x:v>
      </x:c>
      <x:c r="E2248" s="7" t="str">
        <x:v>BLD-C</x:v>
      </x:c>
      <x:c r="F2248" s="7" t="str">
        <x:v>BL-Y</x:v>
      </x:c>
      <x:c r="G2248" s="7" t="str">
        <x:v>MF-14</x:v>
      </x:c>
      <x:c r="H2248" s="7" t="str"/>
      <x:c r="I2248" s="7" t="str"/>
      <x:c r="J2248" s="7" t="str">
        <x:f>IF(OR(H2248="",I2248=""),"",I2248-H2248)</x:f>
      </x:c>
      <x:c r="K2248" s="7" t="str"/>
      <x:c r="L2248" s="7" t="str"/>
      <x:c r="M2248" s="7" t="str">
        <x:f>IF(L2248="","OPEN",IF(OR(NOT(ISNUMBER(H2248)),NOT(ISNUMBER(I2248)),NOT(ISNUMBER(K2248)),ABS(J2248)&gt;K2248),"FAIL","PASS"))</x:f>
        <x:v>OPEN</x:v>
      </x:c>
    </x:row>
    <x:row r="2249">
      <x:c r="B2249" s="7" t="str">
        <x:v>CAL-CH-PEA-C-Y1-14-5</x:v>
      </x:c>
      <x:c r="C2249" s="7" t="str">
        <x:v>CH-PEA-C-Y1-14-5</x:v>
      </x:c>
      <x:c r="D2249" s="7" t="str">
        <x:v>PEA-C-Y1</x:v>
      </x:c>
      <x:c r="E2249" s="7" t="str">
        <x:v>BLD-C</x:v>
      </x:c>
      <x:c r="F2249" s="7" t="str">
        <x:v>BL-Y</x:v>
      </x:c>
      <x:c r="G2249" s="7" t="str">
        <x:v>MF-14</x:v>
      </x:c>
      <x:c r="H2249" s="7" t="str"/>
      <x:c r="I2249" s="7" t="str"/>
      <x:c r="J2249" s="7" t="str">
        <x:f>IF(OR(H2249="",I2249=""),"",I2249-H2249)</x:f>
      </x:c>
      <x:c r="K2249" s="7" t="str"/>
      <x:c r="L2249" s="7" t="str"/>
      <x:c r="M2249" s="7" t="str">
        <x:f>IF(L2249="","OPEN",IF(OR(NOT(ISNUMBER(H2249)),NOT(ISNUMBER(I2249)),NOT(ISNUMBER(K2249)),ABS(J2249)&gt;K2249),"FAIL","PASS"))</x:f>
        <x:v>OPEN</x:v>
      </x:c>
    </x:row>
    <x:row r="2250">
      <x:c r="B2250" s="7" t="str">
        <x:v>CAL-CH-PEA-C-Y1-14-6</x:v>
      </x:c>
      <x:c r="C2250" s="7" t="str">
        <x:v>CH-PEA-C-Y1-14-6</x:v>
      </x:c>
      <x:c r="D2250" s="7" t="str">
        <x:v>PEA-C-Y1</x:v>
      </x:c>
      <x:c r="E2250" s="7" t="str">
        <x:v>BLD-C</x:v>
      </x:c>
      <x:c r="F2250" s="7" t="str">
        <x:v>BL-Y</x:v>
      </x:c>
      <x:c r="G2250" s="7" t="str">
        <x:v>MF-14</x:v>
      </x:c>
      <x:c r="H2250" s="7" t="str"/>
      <x:c r="I2250" s="7" t="str"/>
      <x:c r="J2250" s="7" t="str">
        <x:f>IF(OR(H2250="",I2250=""),"",I2250-H2250)</x:f>
      </x:c>
      <x:c r="K2250" s="7" t="str"/>
      <x:c r="L2250" s="7" t="str"/>
      <x:c r="M2250" s="7" t="str">
        <x:f>IF(L2250="","OPEN",IF(OR(NOT(ISNUMBER(H2250)),NOT(ISNUMBER(I2250)),NOT(ISNUMBER(K2250)),ABS(J2250)&gt;K2250),"FAIL","PASS"))</x:f>
        <x:v>OPEN</x:v>
      </x:c>
    </x:row>
    <x:row r="2251">
      <x:c r="B2251" s="7" t="str">
        <x:v>CAL-CH-PEA-C-Y1-15-1</x:v>
      </x:c>
      <x:c r="C2251" s="7" t="str">
        <x:v>CH-PEA-C-Y1-15-1</x:v>
      </x:c>
      <x:c r="D2251" s="7" t="str">
        <x:v>PEA-C-Y1</x:v>
      </x:c>
      <x:c r="E2251" s="7" t="str">
        <x:v>BLD-C</x:v>
      </x:c>
      <x:c r="F2251" s="7" t="str">
        <x:v>BL-Y</x:v>
      </x:c>
      <x:c r="G2251" s="7" t="str">
        <x:v>MF-15</x:v>
      </x:c>
      <x:c r="H2251" s="7" t="str"/>
      <x:c r="I2251" s="7" t="str"/>
      <x:c r="J2251" s="7" t="str">
        <x:f>IF(OR(H2251="",I2251=""),"",I2251-H2251)</x:f>
      </x:c>
      <x:c r="K2251" s="7" t="str"/>
      <x:c r="L2251" s="7" t="str"/>
      <x:c r="M2251" s="7" t="str">
        <x:f>IF(L2251="","OPEN",IF(OR(NOT(ISNUMBER(H2251)),NOT(ISNUMBER(I2251)),NOT(ISNUMBER(K2251)),ABS(J2251)&gt;K2251),"FAIL","PASS"))</x:f>
        <x:v>OPEN</x:v>
      </x:c>
    </x:row>
    <x:row r="2252">
      <x:c r="B2252" s="7" t="str">
        <x:v>CAL-CH-PEA-C-Y1-15-2</x:v>
      </x:c>
      <x:c r="C2252" s="7" t="str">
        <x:v>CH-PEA-C-Y1-15-2</x:v>
      </x:c>
      <x:c r="D2252" s="7" t="str">
        <x:v>PEA-C-Y1</x:v>
      </x:c>
      <x:c r="E2252" s="7" t="str">
        <x:v>BLD-C</x:v>
      </x:c>
      <x:c r="F2252" s="7" t="str">
        <x:v>BL-Y</x:v>
      </x:c>
      <x:c r="G2252" s="7" t="str">
        <x:v>MF-15</x:v>
      </x:c>
      <x:c r="H2252" s="7" t="str"/>
      <x:c r="I2252" s="7" t="str"/>
      <x:c r="J2252" s="7" t="str">
        <x:f>IF(OR(H2252="",I2252=""),"",I2252-H2252)</x:f>
      </x:c>
      <x:c r="K2252" s="7" t="str"/>
      <x:c r="L2252" s="7" t="str"/>
      <x:c r="M2252" s="7" t="str">
        <x:f>IF(L2252="","OPEN",IF(OR(NOT(ISNUMBER(H2252)),NOT(ISNUMBER(I2252)),NOT(ISNUMBER(K2252)),ABS(J2252)&gt;K2252),"FAIL","PASS"))</x:f>
        <x:v>OPEN</x:v>
      </x:c>
    </x:row>
    <x:row r="2253">
      <x:c r="B2253" s="7" t="str">
        <x:v>CAL-CH-PEA-C-Y1-15-3</x:v>
      </x:c>
      <x:c r="C2253" s="7" t="str">
        <x:v>CH-PEA-C-Y1-15-3</x:v>
      </x:c>
      <x:c r="D2253" s="7" t="str">
        <x:v>PEA-C-Y1</x:v>
      </x:c>
      <x:c r="E2253" s="7" t="str">
        <x:v>BLD-C</x:v>
      </x:c>
      <x:c r="F2253" s="7" t="str">
        <x:v>BL-Y</x:v>
      </x:c>
      <x:c r="G2253" s="7" t="str">
        <x:v>MF-15</x:v>
      </x:c>
      <x:c r="H2253" s="7" t="str"/>
      <x:c r="I2253" s="7" t="str"/>
      <x:c r="J2253" s="7" t="str">
        <x:f>IF(OR(H2253="",I2253=""),"",I2253-H2253)</x:f>
      </x:c>
      <x:c r="K2253" s="7" t="str"/>
      <x:c r="L2253" s="7" t="str"/>
      <x:c r="M2253" s="7" t="str">
        <x:f>IF(L2253="","OPEN",IF(OR(NOT(ISNUMBER(H2253)),NOT(ISNUMBER(I2253)),NOT(ISNUMBER(K2253)),ABS(J2253)&gt;K2253),"FAIL","PASS"))</x:f>
        <x:v>OPEN</x:v>
      </x:c>
    </x:row>
    <x:row r="2254">
      <x:c r="B2254" s="7" t="str">
        <x:v>CAL-CH-PEA-C-Y1-15-4</x:v>
      </x:c>
      <x:c r="C2254" s="7" t="str">
        <x:v>CH-PEA-C-Y1-15-4</x:v>
      </x:c>
      <x:c r="D2254" s="7" t="str">
        <x:v>PEA-C-Y1</x:v>
      </x:c>
      <x:c r="E2254" s="7" t="str">
        <x:v>BLD-C</x:v>
      </x:c>
      <x:c r="F2254" s="7" t="str">
        <x:v>BL-Y</x:v>
      </x:c>
      <x:c r="G2254" s="7" t="str">
        <x:v>MF-15</x:v>
      </x:c>
      <x:c r="H2254" s="7" t="str"/>
      <x:c r="I2254" s="7" t="str"/>
      <x:c r="J2254" s="7" t="str">
        <x:f>IF(OR(H2254="",I2254=""),"",I2254-H2254)</x:f>
      </x:c>
      <x:c r="K2254" s="7" t="str"/>
      <x:c r="L2254" s="7" t="str"/>
      <x:c r="M2254" s="7" t="str">
        <x:f>IF(L2254="","OPEN",IF(OR(NOT(ISNUMBER(H2254)),NOT(ISNUMBER(I2254)),NOT(ISNUMBER(K2254)),ABS(J2254)&gt;K2254),"FAIL","PASS"))</x:f>
        <x:v>OPEN</x:v>
      </x:c>
    </x:row>
    <x:row r="2255">
      <x:c r="B2255" s="7" t="str">
        <x:v>CAL-CH-PEA-C-Y1-15-5</x:v>
      </x:c>
      <x:c r="C2255" s="7" t="str">
        <x:v>CH-PEA-C-Y1-15-5</x:v>
      </x:c>
      <x:c r="D2255" s="7" t="str">
        <x:v>PEA-C-Y1</x:v>
      </x:c>
      <x:c r="E2255" s="7" t="str">
        <x:v>BLD-C</x:v>
      </x:c>
      <x:c r="F2255" s="7" t="str">
        <x:v>BL-Y</x:v>
      </x:c>
      <x:c r="G2255" s="7" t="str">
        <x:v>MF-15</x:v>
      </x:c>
      <x:c r="H2255" s="7" t="str"/>
      <x:c r="I2255" s="7" t="str"/>
      <x:c r="J2255" s="7" t="str">
        <x:f>IF(OR(H2255="",I2255=""),"",I2255-H2255)</x:f>
      </x:c>
      <x:c r="K2255" s="7" t="str"/>
      <x:c r="L2255" s="7" t="str"/>
      <x:c r="M2255" s="7" t="str">
        <x:f>IF(L2255="","OPEN",IF(OR(NOT(ISNUMBER(H2255)),NOT(ISNUMBER(I2255)),NOT(ISNUMBER(K2255)),ABS(J2255)&gt;K2255),"FAIL","PASS"))</x:f>
        <x:v>OPEN</x:v>
      </x:c>
    </x:row>
    <x:row r="2256">
      <x:c r="B2256" s="7" t="str">
        <x:v>CAL-CH-PEA-C-Y1-15-6</x:v>
      </x:c>
      <x:c r="C2256" s="7" t="str">
        <x:v>CH-PEA-C-Y1-15-6</x:v>
      </x:c>
      <x:c r="D2256" s="7" t="str">
        <x:v>PEA-C-Y1</x:v>
      </x:c>
      <x:c r="E2256" s="7" t="str">
        <x:v>BLD-C</x:v>
      </x:c>
      <x:c r="F2256" s="7" t="str">
        <x:v>BL-Y</x:v>
      </x:c>
      <x:c r="G2256" s="7" t="str">
        <x:v>MF-15</x:v>
      </x:c>
      <x:c r="H2256" s="7" t="str"/>
      <x:c r="I2256" s="7" t="str"/>
      <x:c r="J2256" s="7" t="str">
        <x:f>IF(OR(H2256="",I2256=""),"",I2256-H2256)</x:f>
      </x:c>
      <x:c r="K2256" s="7" t="str"/>
      <x:c r="L2256" s="7" t="str"/>
      <x:c r="M2256" s="7" t="str">
        <x:f>IF(L2256="","OPEN",IF(OR(NOT(ISNUMBER(H2256)),NOT(ISNUMBER(I2256)),NOT(ISNUMBER(K2256)),ABS(J2256)&gt;K2256),"FAIL","PASS"))</x:f>
        <x:v>OPEN</x:v>
      </x:c>
    </x:row>
    <x:row r="2257">
      <x:c r="B2257" s="7" t="str">
        <x:v>CAL-CH-PEA-C-Y1-16-1</x:v>
      </x:c>
      <x:c r="C2257" s="7" t="str">
        <x:v>CH-PEA-C-Y1-16-1</x:v>
      </x:c>
      <x:c r="D2257" s="7" t="str">
        <x:v>PEA-C-Y1</x:v>
      </x:c>
      <x:c r="E2257" s="7" t="str">
        <x:v>BLD-C</x:v>
      </x:c>
      <x:c r="F2257" s="7" t="str">
        <x:v>BL-Y</x:v>
      </x:c>
      <x:c r="G2257" s="7" t="str">
        <x:v>MF-16</x:v>
      </x:c>
      <x:c r="H2257" s="7" t="str"/>
      <x:c r="I2257" s="7" t="str"/>
      <x:c r="J2257" s="7" t="str">
        <x:f>IF(OR(H2257="",I2257=""),"",I2257-H2257)</x:f>
      </x:c>
      <x:c r="K2257" s="7" t="str"/>
      <x:c r="L2257" s="7" t="str"/>
      <x:c r="M2257" s="7" t="str">
        <x:f>IF(L2257="","OPEN",IF(OR(NOT(ISNUMBER(H2257)),NOT(ISNUMBER(I2257)),NOT(ISNUMBER(K2257)),ABS(J2257)&gt;K2257),"FAIL","PASS"))</x:f>
        <x:v>OPEN</x:v>
      </x:c>
    </x:row>
    <x:row r="2258">
      <x:c r="B2258" s="7" t="str">
        <x:v>CAL-CH-PEA-C-Y1-16-2</x:v>
      </x:c>
      <x:c r="C2258" s="7" t="str">
        <x:v>CH-PEA-C-Y1-16-2</x:v>
      </x:c>
      <x:c r="D2258" s="7" t="str">
        <x:v>PEA-C-Y1</x:v>
      </x:c>
      <x:c r="E2258" s="7" t="str">
        <x:v>BLD-C</x:v>
      </x:c>
      <x:c r="F2258" s="7" t="str">
        <x:v>BL-Y</x:v>
      </x:c>
      <x:c r="G2258" s="7" t="str">
        <x:v>MF-16</x:v>
      </x:c>
      <x:c r="H2258" s="7" t="str"/>
      <x:c r="I2258" s="7" t="str"/>
      <x:c r="J2258" s="7" t="str">
        <x:f>IF(OR(H2258="",I2258=""),"",I2258-H2258)</x:f>
      </x:c>
      <x:c r="K2258" s="7" t="str"/>
      <x:c r="L2258" s="7" t="str"/>
      <x:c r="M2258" s="7" t="str">
        <x:f>IF(L2258="","OPEN",IF(OR(NOT(ISNUMBER(H2258)),NOT(ISNUMBER(I2258)),NOT(ISNUMBER(K2258)),ABS(J2258)&gt;K2258),"FAIL","PASS"))</x:f>
        <x:v>OPEN</x:v>
      </x:c>
    </x:row>
    <x:row r="2259">
      <x:c r="B2259" s="7" t="str">
        <x:v>CAL-CH-PEA-C-Y1-16-3</x:v>
      </x:c>
      <x:c r="C2259" s="7" t="str">
        <x:v>CH-PEA-C-Y1-16-3</x:v>
      </x:c>
      <x:c r="D2259" s="7" t="str">
        <x:v>PEA-C-Y1</x:v>
      </x:c>
      <x:c r="E2259" s="7" t="str">
        <x:v>BLD-C</x:v>
      </x:c>
      <x:c r="F2259" s="7" t="str">
        <x:v>BL-Y</x:v>
      </x:c>
      <x:c r="G2259" s="7" t="str">
        <x:v>MF-16</x:v>
      </x:c>
      <x:c r="H2259" s="7" t="str"/>
      <x:c r="I2259" s="7" t="str"/>
      <x:c r="J2259" s="7" t="str">
        <x:f>IF(OR(H2259="",I2259=""),"",I2259-H2259)</x:f>
      </x:c>
      <x:c r="K2259" s="7" t="str"/>
      <x:c r="L2259" s="7" t="str"/>
      <x:c r="M2259" s="7" t="str">
        <x:f>IF(L2259="","OPEN",IF(OR(NOT(ISNUMBER(H2259)),NOT(ISNUMBER(I2259)),NOT(ISNUMBER(K2259)),ABS(J2259)&gt;K2259),"FAIL","PASS"))</x:f>
        <x:v>OPEN</x:v>
      </x:c>
    </x:row>
    <x:row r="2260">
      <x:c r="B2260" s="7" t="str">
        <x:v>CAL-CH-PEA-C-Y1-16-4</x:v>
      </x:c>
      <x:c r="C2260" s="7" t="str">
        <x:v>CH-PEA-C-Y1-16-4</x:v>
      </x:c>
      <x:c r="D2260" s="7" t="str">
        <x:v>PEA-C-Y1</x:v>
      </x:c>
      <x:c r="E2260" s="7" t="str">
        <x:v>BLD-C</x:v>
      </x:c>
      <x:c r="F2260" s="7" t="str">
        <x:v>BL-Y</x:v>
      </x:c>
      <x:c r="G2260" s="7" t="str">
        <x:v>MF-16</x:v>
      </x:c>
      <x:c r="H2260" s="7" t="str"/>
      <x:c r="I2260" s="7" t="str"/>
      <x:c r="J2260" s="7" t="str">
        <x:f>IF(OR(H2260="",I2260=""),"",I2260-H2260)</x:f>
      </x:c>
      <x:c r="K2260" s="7" t="str"/>
      <x:c r="L2260" s="7" t="str"/>
      <x:c r="M2260" s="7" t="str">
        <x:f>IF(L2260="","OPEN",IF(OR(NOT(ISNUMBER(H2260)),NOT(ISNUMBER(I2260)),NOT(ISNUMBER(K2260)),ABS(J2260)&gt;K2260),"FAIL","PASS"))</x:f>
        <x:v>OPEN</x:v>
      </x:c>
    </x:row>
    <x:row r="2261">
      <x:c r="B2261" s="7" t="str">
        <x:v>CAL-CH-PEA-C-Y1-16-5</x:v>
      </x:c>
      <x:c r="C2261" s="7" t="str">
        <x:v>CH-PEA-C-Y1-16-5</x:v>
      </x:c>
      <x:c r="D2261" s="7" t="str">
        <x:v>PEA-C-Y1</x:v>
      </x:c>
      <x:c r="E2261" s="7" t="str">
        <x:v>BLD-C</x:v>
      </x:c>
      <x:c r="F2261" s="7" t="str">
        <x:v>BL-Y</x:v>
      </x:c>
      <x:c r="G2261" s="7" t="str">
        <x:v>MF-16</x:v>
      </x:c>
      <x:c r="H2261" s="7" t="str"/>
      <x:c r="I2261" s="7" t="str"/>
      <x:c r="J2261" s="7" t="str">
        <x:f>IF(OR(H2261="",I2261=""),"",I2261-H2261)</x:f>
      </x:c>
      <x:c r="K2261" s="7" t="str"/>
      <x:c r="L2261" s="7" t="str"/>
      <x:c r="M2261" s="7" t="str">
        <x:f>IF(L2261="","OPEN",IF(OR(NOT(ISNUMBER(H2261)),NOT(ISNUMBER(I2261)),NOT(ISNUMBER(K2261)),ABS(J2261)&gt;K2261),"FAIL","PASS"))</x:f>
        <x:v>OPEN</x:v>
      </x:c>
    </x:row>
    <x:row r="2262">
      <x:c r="B2262" s="7" t="str">
        <x:v>CAL-CH-PEA-C-Y1-16-6</x:v>
      </x:c>
      <x:c r="C2262" s="7" t="str">
        <x:v>CH-PEA-C-Y1-16-6</x:v>
      </x:c>
      <x:c r="D2262" s="7" t="str">
        <x:v>PEA-C-Y1</x:v>
      </x:c>
      <x:c r="E2262" s="7" t="str">
        <x:v>BLD-C</x:v>
      </x:c>
      <x:c r="F2262" s="7" t="str">
        <x:v>BL-Y</x:v>
      </x:c>
      <x:c r="G2262" s="7" t="str">
        <x:v>MF-16</x:v>
      </x:c>
      <x:c r="H2262" s="7" t="str"/>
      <x:c r="I2262" s="7" t="str"/>
      <x:c r="J2262" s="7" t="str">
        <x:f>IF(OR(H2262="",I2262=""),"",I2262-H2262)</x:f>
      </x:c>
      <x:c r="K2262" s="7" t="str"/>
      <x:c r="L2262" s="7" t="str"/>
      <x:c r="M2262" s="7" t="str">
        <x:f>IF(L2262="","OPEN",IF(OR(NOT(ISNUMBER(H2262)),NOT(ISNUMBER(I2262)),NOT(ISNUMBER(K2262)),ABS(J2262)&gt;K2262),"FAIL","PASS"))</x:f>
        <x:v>OPEN</x:v>
      </x:c>
    </x:row>
    <x:row r="2263">
      <x:c r="B2263" s="7" t="str">
        <x:v>CAL-CH-PEA-C-Y1-17-1</x:v>
      </x:c>
      <x:c r="C2263" s="7" t="str">
        <x:v>CH-PEA-C-Y1-17-1</x:v>
      </x:c>
      <x:c r="D2263" s="7" t="str">
        <x:v>PEA-C-Y1</x:v>
      </x:c>
      <x:c r="E2263" s="7" t="str">
        <x:v>BLD-C</x:v>
      </x:c>
      <x:c r="F2263" s="7" t="str">
        <x:v>BL-Y</x:v>
      </x:c>
      <x:c r="G2263" s="7" t="str">
        <x:v>MF-17</x:v>
      </x:c>
      <x:c r="H2263" s="7" t="str"/>
      <x:c r="I2263" s="7" t="str"/>
      <x:c r="J2263" s="7" t="str">
        <x:f>IF(OR(H2263="",I2263=""),"",I2263-H2263)</x:f>
      </x:c>
      <x:c r="K2263" s="7" t="str"/>
      <x:c r="L2263" s="7" t="str"/>
      <x:c r="M2263" s="7" t="str">
        <x:f>IF(L2263="","OPEN",IF(OR(NOT(ISNUMBER(H2263)),NOT(ISNUMBER(I2263)),NOT(ISNUMBER(K2263)),ABS(J2263)&gt;K2263),"FAIL","PASS"))</x:f>
        <x:v>OPEN</x:v>
      </x:c>
    </x:row>
    <x:row r="2264">
      <x:c r="B2264" s="7" t="str">
        <x:v>CAL-CH-PEA-C-Y1-17-2</x:v>
      </x:c>
      <x:c r="C2264" s="7" t="str">
        <x:v>CH-PEA-C-Y1-17-2</x:v>
      </x:c>
      <x:c r="D2264" s="7" t="str">
        <x:v>PEA-C-Y1</x:v>
      </x:c>
      <x:c r="E2264" s="7" t="str">
        <x:v>BLD-C</x:v>
      </x:c>
      <x:c r="F2264" s="7" t="str">
        <x:v>BL-Y</x:v>
      </x:c>
      <x:c r="G2264" s="7" t="str">
        <x:v>MF-17</x:v>
      </x:c>
      <x:c r="H2264" s="7" t="str"/>
      <x:c r="I2264" s="7" t="str"/>
      <x:c r="J2264" s="7" t="str">
        <x:f>IF(OR(H2264="",I2264=""),"",I2264-H2264)</x:f>
      </x:c>
      <x:c r="K2264" s="7" t="str"/>
      <x:c r="L2264" s="7" t="str"/>
      <x:c r="M2264" s="7" t="str">
        <x:f>IF(L2264="","OPEN",IF(OR(NOT(ISNUMBER(H2264)),NOT(ISNUMBER(I2264)),NOT(ISNUMBER(K2264)),ABS(J2264)&gt;K2264),"FAIL","PASS"))</x:f>
        <x:v>OPEN</x:v>
      </x:c>
    </x:row>
    <x:row r="2265">
      <x:c r="B2265" s="7" t="str">
        <x:v>CAL-CH-PEA-C-Y1-17-3</x:v>
      </x:c>
      <x:c r="C2265" s="7" t="str">
        <x:v>CH-PEA-C-Y1-17-3</x:v>
      </x:c>
      <x:c r="D2265" s="7" t="str">
        <x:v>PEA-C-Y1</x:v>
      </x:c>
      <x:c r="E2265" s="7" t="str">
        <x:v>BLD-C</x:v>
      </x:c>
      <x:c r="F2265" s="7" t="str">
        <x:v>BL-Y</x:v>
      </x:c>
      <x:c r="G2265" s="7" t="str">
        <x:v>MF-17</x:v>
      </x:c>
      <x:c r="H2265" s="7" t="str"/>
      <x:c r="I2265" s="7" t="str"/>
      <x:c r="J2265" s="7" t="str">
        <x:f>IF(OR(H2265="",I2265=""),"",I2265-H2265)</x:f>
      </x:c>
      <x:c r="K2265" s="7" t="str"/>
      <x:c r="L2265" s="7" t="str"/>
      <x:c r="M2265" s="7" t="str">
        <x:f>IF(L2265="","OPEN",IF(OR(NOT(ISNUMBER(H2265)),NOT(ISNUMBER(I2265)),NOT(ISNUMBER(K2265)),ABS(J2265)&gt;K2265),"FAIL","PASS"))</x:f>
        <x:v>OPEN</x:v>
      </x:c>
    </x:row>
    <x:row r="2266">
      <x:c r="B2266" s="7" t="str">
        <x:v>CAL-CH-PEA-C-Y1-17-4</x:v>
      </x:c>
      <x:c r="C2266" s="7" t="str">
        <x:v>CH-PEA-C-Y1-17-4</x:v>
      </x:c>
      <x:c r="D2266" s="7" t="str">
        <x:v>PEA-C-Y1</x:v>
      </x:c>
      <x:c r="E2266" s="7" t="str">
        <x:v>BLD-C</x:v>
      </x:c>
      <x:c r="F2266" s="7" t="str">
        <x:v>BL-Y</x:v>
      </x:c>
      <x:c r="G2266" s="7" t="str">
        <x:v>MF-17</x:v>
      </x:c>
      <x:c r="H2266" s="7" t="str"/>
      <x:c r="I2266" s="7" t="str"/>
      <x:c r="J2266" s="7" t="str">
        <x:f>IF(OR(H2266="",I2266=""),"",I2266-H2266)</x:f>
      </x:c>
      <x:c r="K2266" s="7" t="str"/>
      <x:c r="L2266" s="7" t="str"/>
      <x:c r="M2266" s="7" t="str">
        <x:f>IF(L2266="","OPEN",IF(OR(NOT(ISNUMBER(H2266)),NOT(ISNUMBER(I2266)),NOT(ISNUMBER(K2266)),ABS(J2266)&gt;K2266),"FAIL","PASS"))</x:f>
        <x:v>OPEN</x:v>
      </x:c>
    </x:row>
    <x:row r="2267">
      <x:c r="B2267" s="7" t="str">
        <x:v>CAL-CH-PEA-C-Y1-17-5</x:v>
      </x:c>
      <x:c r="C2267" s="7" t="str">
        <x:v>CH-PEA-C-Y1-17-5</x:v>
      </x:c>
      <x:c r="D2267" s="7" t="str">
        <x:v>PEA-C-Y1</x:v>
      </x:c>
      <x:c r="E2267" s="7" t="str">
        <x:v>BLD-C</x:v>
      </x:c>
      <x:c r="F2267" s="7" t="str">
        <x:v>BL-Y</x:v>
      </x:c>
      <x:c r="G2267" s="7" t="str">
        <x:v>MF-17</x:v>
      </x:c>
      <x:c r="H2267" s="7" t="str"/>
      <x:c r="I2267" s="7" t="str"/>
      <x:c r="J2267" s="7" t="str">
        <x:f>IF(OR(H2267="",I2267=""),"",I2267-H2267)</x:f>
      </x:c>
      <x:c r="K2267" s="7" t="str"/>
      <x:c r="L2267" s="7" t="str"/>
      <x:c r="M2267" s="7" t="str">
        <x:f>IF(L2267="","OPEN",IF(OR(NOT(ISNUMBER(H2267)),NOT(ISNUMBER(I2267)),NOT(ISNUMBER(K2267)),ABS(J2267)&gt;K2267),"FAIL","PASS"))</x:f>
        <x:v>OPEN</x:v>
      </x:c>
    </x:row>
    <x:row r="2268">
      <x:c r="B2268" s="7" t="str">
        <x:v>CAL-CH-PEA-C-Y1-17-6</x:v>
      </x:c>
      <x:c r="C2268" s="7" t="str">
        <x:v>CH-PEA-C-Y1-17-6</x:v>
      </x:c>
      <x:c r="D2268" s="7" t="str">
        <x:v>PEA-C-Y1</x:v>
      </x:c>
      <x:c r="E2268" s="7" t="str">
        <x:v>BLD-C</x:v>
      </x:c>
      <x:c r="F2268" s="7" t="str">
        <x:v>BL-Y</x:v>
      </x:c>
      <x:c r="G2268" s="7" t="str">
        <x:v>MF-17</x:v>
      </x:c>
      <x:c r="H2268" s="7" t="str"/>
      <x:c r="I2268" s="7" t="str"/>
      <x:c r="J2268" s="7" t="str">
        <x:f>IF(OR(H2268="",I2268=""),"",I2268-H2268)</x:f>
      </x:c>
      <x:c r="K2268" s="7" t="str"/>
      <x:c r="L2268" s="7" t="str"/>
      <x:c r="M2268" s="7" t="str">
        <x:f>IF(L2268="","OPEN",IF(OR(NOT(ISNUMBER(H2268)),NOT(ISNUMBER(I2268)),NOT(ISNUMBER(K2268)),ABS(J2268)&gt;K2268),"FAIL","PASS"))</x:f>
        <x:v>OPEN</x:v>
      </x:c>
    </x:row>
    <x:row r="2269">
      <x:c r="B2269" s="7" t="str">
        <x:v>CAL-CH-PEA-C-Y1-18-1</x:v>
      </x:c>
      <x:c r="C2269" s="7" t="str">
        <x:v>CH-PEA-C-Y1-18-1</x:v>
      </x:c>
      <x:c r="D2269" s="7" t="str">
        <x:v>PEA-C-Y1</x:v>
      </x:c>
      <x:c r="E2269" s="7" t="str">
        <x:v>BLD-C</x:v>
      </x:c>
      <x:c r="F2269" s="7" t="str">
        <x:v>BL-Y</x:v>
      </x:c>
      <x:c r="G2269" s="7" t="str">
        <x:v>MF-18</x:v>
      </x:c>
      <x:c r="H2269" s="7" t="str"/>
      <x:c r="I2269" s="7" t="str"/>
      <x:c r="J2269" s="7" t="str">
        <x:f>IF(OR(H2269="",I2269=""),"",I2269-H2269)</x:f>
      </x:c>
      <x:c r="K2269" s="7" t="str"/>
      <x:c r="L2269" s="7" t="str"/>
      <x:c r="M2269" s="7" t="str">
        <x:f>IF(L2269="","OPEN",IF(OR(NOT(ISNUMBER(H2269)),NOT(ISNUMBER(I2269)),NOT(ISNUMBER(K2269)),ABS(J2269)&gt;K2269),"FAIL","PASS"))</x:f>
        <x:v>OPEN</x:v>
      </x:c>
    </x:row>
    <x:row r="2270">
      <x:c r="B2270" s="7" t="str">
        <x:v>CAL-CH-PEA-C-Y1-18-2</x:v>
      </x:c>
      <x:c r="C2270" s="7" t="str">
        <x:v>CH-PEA-C-Y1-18-2</x:v>
      </x:c>
      <x:c r="D2270" s="7" t="str">
        <x:v>PEA-C-Y1</x:v>
      </x:c>
      <x:c r="E2270" s="7" t="str">
        <x:v>BLD-C</x:v>
      </x:c>
      <x:c r="F2270" s="7" t="str">
        <x:v>BL-Y</x:v>
      </x:c>
      <x:c r="G2270" s="7" t="str">
        <x:v>MF-18</x:v>
      </x:c>
      <x:c r="H2270" s="7" t="str"/>
      <x:c r="I2270" s="7" t="str"/>
      <x:c r="J2270" s="7" t="str">
        <x:f>IF(OR(H2270="",I2270=""),"",I2270-H2270)</x:f>
      </x:c>
      <x:c r="K2270" s="7" t="str"/>
      <x:c r="L2270" s="7" t="str"/>
      <x:c r="M2270" s="7" t="str">
        <x:f>IF(L2270="","OPEN",IF(OR(NOT(ISNUMBER(H2270)),NOT(ISNUMBER(I2270)),NOT(ISNUMBER(K2270)),ABS(J2270)&gt;K2270),"FAIL","PASS"))</x:f>
        <x:v>OPEN</x:v>
      </x:c>
    </x:row>
    <x:row r="2271">
      <x:c r="B2271" s="7" t="str">
        <x:v>CAL-CH-PEA-C-Y1-18-3</x:v>
      </x:c>
      <x:c r="C2271" s="7" t="str">
        <x:v>CH-PEA-C-Y1-18-3</x:v>
      </x:c>
      <x:c r="D2271" s="7" t="str">
        <x:v>PEA-C-Y1</x:v>
      </x:c>
      <x:c r="E2271" s="7" t="str">
        <x:v>BLD-C</x:v>
      </x:c>
      <x:c r="F2271" s="7" t="str">
        <x:v>BL-Y</x:v>
      </x:c>
      <x:c r="G2271" s="7" t="str">
        <x:v>MF-18</x:v>
      </x:c>
      <x:c r="H2271" s="7" t="str"/>
      <x:c r="I2271" s="7" t="str"/>
      <x:c r="J2271" s="7" t="str">
        <x:f>IF(OR(H2271="",I2271=""),"",I2271-H2271)</x:f>
      </x:c>
      <x:c r="K2271" s="7" t="str"/>
      <x:c r="L2271" s="7" t="str"/>
      <x:c r="M2271" s="7" t="str">
        <x:f>IF(L2271="","OPEN",IF(OR(NOT(ISNUMBER(H2271)),NOT(ISNUMBER(I2271)),NOT(ISNUMBER(K2271)),ABS(J2271)&gt;K2271),"FAIL","PASS"))</x:f>
        <x:v>OPEN</x:v>
      </x:c>
    </x:row>
    <x:row r="2272">
      <x:c r="B2272" s="7" t="str">
        <x:v>CAL-CH-PEA-C-Y1-18-4</x:v>
      </x:c>
      <x:c r="C2272" s="7" t="str">
        <x:v>CH-PEA-C-Y1-18-4</x:v>
      </x:c>
      <x:c r="D2272" s="7" t="str">
        <x:v>PEA-C-Y1</x:v>
      </x:c>
      <x:c r="E2272" s="7" t="str">
        <x:v>BLD-C</x:v>
      </x:c>
      <x:c r="F2272" s="7" t="str">
        <x:v>BL-Y</x:v>
      </x:c>
      <x:c r="G2272" s="7" t="str">
        <x:v>MF-18</x:v>
      </x:c>
      <x:c r="H2272" s="7" t="str"/>
      <x:c r="I2272" s="7" t="str"/>
      <x:c r="J2272" s="7" t="str">
        <x:f>IF(OR(H2272="",I2272=""),"",I2272-H2272)</x:f>
      </x:c>
      <x:c r="K2272" s="7" t="str"/>
      <x:c r="L2272" s="7" t="str"/>
      <x:c r="M2272" s="7" t="str">
        <x:f>IF(L2272="","OPEN",IF(OR(NOT(ISNUMBER(H2272)),NOT(ISNUMBER(I2272)),NOT(ISNUMBER(K2272)),ABS(J2272)&gt;K2272),"FAIL","PASS"))</x:f>
        <x:v>OPEN</x:v>
      </x:c>
    </x:row>
    <x:row r="2273">
      <x:c r="B2273" s="7" t="str">
        <x:v>CAL-CH-PEA-C-Y1-18-5</x:v>
      </x:c>
      <x:c r="C2273" s="7" t="str">
        <x:v>CH-PEA-C-Y1-18-5</x:v>
      </x:c>
      <x:c r="D2273" s="7" t="str">
        <x:v>PEA-C-Y1</x:v>
      </x:c>
      <x:c r="E2273" s="7" t="str">
        <x:v>BLD-C</x:v>
      </x:c>
      <x:c r="F2273" s="7" t="str">
        <x:v>BL-Y</x:v>
      </x:c>
      <x:c r="G2273" s="7" t="str">
        <x:v>MF-18</x:v>
      </x:c>
      <x:c r="H2273" s="7" t="str"/>
      <x:c r="I2273" s="7" t="str"/>
      <x:c r="J2273" s="7" t="str">
        <x:f>IF(OR(H2273="",I2273=""),"",I2273-H2273)</x:f>
      </x:c>
      <x:c r="K2273" s="7" t="str"/>
      <x:c r="L2273" s="7" t="str"/>
      <x:c r="M2273" s="7" t="str">
        <x:f>IF(L2273="","OPEN",IF(OR(NOT(ISNUMBER(H2273)),NOT(ISNUMBER(I2273)),NOT(ISNUMBER(K2273)),ABS(J2273)&gt;K2273),"FAIL","PASS"))</x:f>
        <x:v>OPEN</x:v>
      </x:c>
    </x:row>
    <x:row r="2274">
      <x:c r="B2274" s="7" t="str">
        <x:v>CAL-CH-PEA-C-Y1-18-6</x:v>
      </x:c>
      <x:c r="C2274" s="7" t="str">
        <x:v>CH-PEA-C-Y1-18-6</x:v>
      </x:c>
      <x:c r="D2274" s="7" t="str">
        <x:v>PEA-C-Y1</x:v>
      </x:c>
      <x:c r="E2274" s="7" t="str">
        <x:v>BLD-C</x:v>
      </x:c>
      <x:c r="F2274" s="7" t="str">
        <x:v>BL-Y</x:v>
      </x:c>
      <x:c r="G2274" s="7" t="str">
        <x:v>MF-18</x:v>
      </x:c>
      <x:c r="H2274" s="7" t="str"/>
      <x:c r="I2274" s="7" t="str"/>
      <x:c r="J2274" s="7" t="str">
        <x:f>IF(OR(H2274="",I2274=""),"",I2274-H2274)</x:f>
      </x:c>
      <x:c r="K2274" s="7" t="str"/>
      <x:c r="L2274" s="7" t="str"/>
      <x:c r="M2274" s="7" t="str">
        <x:f>IF(L2274="","OPEN",IF(OR(NOT(ISNUMBER(H2274)),NOT(ISNUMBER(I2274)),NOT(ISNUMBER(K2274)),ABS(J2274)&gt;K2274),"FAIL","PASS"))</x:f>
        <x:v>OPEN</x:v>
      </x:c>
    </x:row>
    <x:row r="2275">
      <x:c r="B2275" s="7" t="str">
        <x:v>CAL-CH-PEA-C-Y1-19-1</x:v>
      </x:c>
      <x:c r="C2275" s="7" t="str">
        <x:v>CH-PEA-C-Y1-19-1</x:v>
      </x:c>
      <x:c r="D2275" s="7" t="str">
        <x:v>PEA-C-Y1</x:v>
      </x:c>
      <x:c r="E2275" s="7" t="str">
        <x:v>BLD-C</x:v>
      </x:c>
      <x:c r="F2275" s="7" t="str">
        <x:v>BL-Y</x:v>
      </x:c>
      <x:c r="G2275" s="7" t="str">
        <x:v>MF-19</x:v>
      </x:c>
      <x:c r="H2275" s="7" t="str"/>
      <x:c r="I2275" s="7" t="str"/>
      <x:c r="J2275" s="7" t="str">
        <x:f>IF(OR(H2275="",I2275=""),"",I2275-H2275)</x:f>
      </x:c>
      <x:c r="K2275" s="7" t="str"/>
      <x:c r="L2275" s="7" t="str"/>
      <x:c r="M2275" s="7" t="str">
        <x:f>IF(L2275="","OPEN",IF(OR(NOT(ISNUMBER(H2275)),NOT(ISNUMBER(I2275)),NOT(ISNUMBER(K2275)),ABS(J2275)&gt;K2275),"FAIL","PASS"))</x:f>
        <x:v>OPEN</x:v>
      </x:c>
    </x:row>
    <x:row r="2276">
      <x:c r="B2276" s="7" t="str">
        <x:v>CAL-CH-PEA-C-Y1-19-2</x:v>
      </x:c>
      <x:c r="C2276" s="7" t="str">
        <x:v>CH-PEA-C-Y1-19-2</x:v>
      </x:c>
      <x:c r="D2276" s="7" t="str">
        <x:v>PEA-C-Y1</x:v>
      </x:c>
      <x:c r="E2276" s="7" t="str">
        <x:v>BLD-C</x:v>
      </x:c>
      <x:c r="F2276" s="7" t="str">
        <x:v>BL-Y</x:v>
      </x:c>
      <x:c r="G2276" s="7" t="str">
        <x:v>MF-19</x:v>
      </x:c>
      <x:c r="H2276" s="7" t="str"/>
      <x:c r="I2276" s="7" t="str"/>
      <x:c r="J2276" s="7" t="str">
        <x:f>IF(OR(H2276="",I2276=""),"",I2276-H2276)</x:f>
      </x:c>
      <x:c r="K2276" s="7" t="str"/>
      <x:c r="L2276" s="7" t="str"/>
      <x:c r="M2276" s="7" t="str">
        <x:f>IF(L2276="","OPEN",IF(OR(NOT(ISNUMBER(H2276)),NOT(ISNUMBER(I2276)),NOT(ISNUMBER(K2276)),ABS(J2276)&gt;K2276),"FAIL","PASS"))</x:f>
        <x:v>OPEN</x:v>
      </x:c>
    </x:row>
    <x:row r="2277">
      <x:c r="B2277" s="7" t="str">
        <x:v>CAL-CH-PEA-C-Y1-19-3</x:v>
      </x:c>
      <x:c r="C2277" s="7" t="str">
        <x:v>CH-PEA-C-Y1-19-3</x:v>
      </x:c>
      <x:c r="D2277" s="7" t="str">
        <x:v>PEA-C-Y1</x:v>
      </x:c>
      <x:c r="E2277" s="7" t="str">
        <x:v>BLD-C</x:v>
      </x:c>
      <x:c r="F2277" s="7" t="str">
        <x:v>BL-Y</x:v>
      </x:c>
      <x:c r="G2277" s="7" t="str">
        <x:v>MF-19</x:v>
      </x:c>
      <x:c r="H2277" s="7" t="str"/>
      <x:c r="I2277" s="7" t="str"/>
      <x:c r="J2277" s="7" t="str">
        <x:f>IF(OR(H2277="",I2277=""),"",I2277-H2277)</x:f>
      </x:c>
      <x:c r="K2277" s="7" t="str"/>
      <x:c r="L2277" s="7" t="str"/>
      <x:c r="M2277" s="7" t="str">
        <x:f>IF(L2277="","OPEN",IF(OR(NOT(ISNUMBER(H2277)),NOT(ISNUMBER(I2277)),NOT(ISNUMBER(K2277)),ABS(J2277)&gt;K2277),"FAIL","PASS"))</x:f>
        <x:v>OPEN</x:v>
      </x:c>
    </x:row>
    <x:row r="2278">
      <x:c r="B2278" s="7" t="str">
        <x:v>CAL-CH-PEA-C-Y1-19-4</x:v>
      </x:c>
      <x:c r="C2278" s="7" t="str">
        <x:v>CH-PEA-C-Y1-19-4</x:v>
      </x:c>
      <x:c r="D2278" s="7" t="str">
        <x:v>PEA-C-Y1</x:v>
      </x:c>
      <x:c r="E2278" s="7" t="str">
        <x:v>BLD-C</x:v>
      </x:c>
      <x:c r="F2278" s="7" t="str">
        <x:v>BL-Y</x:v>
      </x:c>
      <x:c r="G2278" s="7" t="str">
        <x:v>MF-19</x:v>
      </x:c>
      <x:c r="H2278" s="7" t="str"/>
      <x:c r="I2278" s="7" t="str"/>
      <x:c r="J2278" s="7" t="str">
        <x:f>IF(OR(H2278="",I2278=""),"",I2278-H2278)</x:f>
      </x:c>
      <x:c r="K2278" s="7" t="str"/>
      <x:c r="L2278" s="7" t="str"/>
      <x:c r="M2278" s="7" t="str">
        <x:f>IF(L2278="","OPEN",IF(OR(NOT(ISNUMBER(H2278)),NOT(ISNUMBER(I2278)),NOT(ISNUMBER(K2278)),ABS(J2278)&gt;K2278),"FAIL","PASS"))</x:f>
        <x:v>OPEN</x:v>
      </x:c>
    </x:row>
    <x:row r="2279">
      <x:c r="B2279" s="7" t="str">
        <x:v>CAL-CH-PEA-C-Y1-19-5</x:v>
      </x:c>
      <x:c r="C2279" s="7" t="str">
        <x:v>CH-PEA-C-Y1-19-5</x:v>
      </x:c>
      <x:c r="D2279" s="7" t="str">
        <x:v>PEA-C-Y1</x:v>
      </x:c>
      <x:c r="E2279" s="7" t="str">
        <x:v>BLD-C</x:v>
      </x:c>
      <x:c r="F2279" s="7" t="str">
        <x:v>BL-Y</x:v>
      </x:c>
      <x:c r="G2279" s="7" t="str">
        <x:v>MF-19</x:v>
      </x:c>
      <x:c r="H2279" s="7" t="str"/>
      <x:c r="I2279" s="7" t="str"/>
      <x:c r="J2279" s="7" t="str">
        <x:f>IF(OR(H2279="",I2279=""),"",I2279-H2279)</x:f>
      </x:c>
      <x:c r="K2279" s="7" t="str"/>
      <x:c r="L2279" s="7" t="str"/>
      <x:c r="M2279" s="7" t="str">
        <x:f>IF(L2279="","OPEN",IF(OR(NOT(ISNUMBER(H2279)),NOT(ISNUMBER(I2279)),NOT(ISNUMBER(K2279)),ABS(J2279)&gt;K2279),"FAIL","PASS"))</x:f>
        <x:v>OPEN</x:v>
      </x:c>
    </x:row>
    <x:row r="2280">
      <x:c r="B2280" s="7" t="str">
        <x:v>CAL-CH-PEA-C-Y1-19-6</x:v>
      </x:c>
      <x:c r="C2280" s="7" t="str">
        <x:v>CH-PEA-C-Y1-19-6</x:v>
      </x:c>
      <x:c r="D2280" s="7" t="str">
        <x:v>PEA-C-Y1</x:v>
      </x:c>
      <x:c r="E2280" s="7" t="str">
        <x:v>BLD-C</x:v>
      </x:c>
      <x:c r="F2280" s="7" t="str">
        <x:v>BL-Y</x:v>
      </x:c>
      <x:c r="G2280" s="7" t="str">
        <x:v>MF-19</x:v>
      </x:c>
      <x:c r="H2280" s="7" t="str"/>
      <x:c r="I2280" s="7" t="str"/>
      <x:c r="J2280" s="7" t="str">
        <x:f>IF(OR(H2280="",I2280=""),"",I2280-H2280)</x:f>
      </x:c>
      <x:c r="K2280" s="7" t="str"/>
      <x:c r="L2280" s="7" t="str"/>
      <x:c r="M2280" s="7" t="str">
        <x:f>IF(L2280="","OPEN",IF(OR(NOT(ISNUMBER(H2280)),NOT(ISNUMBER(I2280)),NOT(ISNUMBER(K2280)),ABS(J2280)&gt;K2280),"FAIL","PASS"))</x:f>
        <x:v>OPEN</x:v>
      </x:c>
    </x:row>
    <x:row r="2281">
      <x:c r="B2281" s="7" t="str">
        <x:v>CAL-CH-PEA-C-Y1-20-1</x:v>
      </x:c>
      <x:c r="C2281" s="7" t="str">
        <x:v>CH-PEA-C-Y1-20-1</x:v>
      </x:c>
      <x:c r="D2281" s="7" t="str">
        <x:v>PEA-C-Y1</x:v>
      </x:c>
      <x:c r="E2281" s="7" t="str">
        <x:v>BLD-C</x:v>
      </x:c>
      <x:c r="F2281" s="7" t="str">
        <x:v>BL-Y</x:v>
      </x:c>
      <x:c r="G2281" s="7" t="str">
        <x:v>MF-20</x:v>
      </x:c>
      <x:c r="H2281" s="7" t="str"/>
      <x:c r="I2281" s="7" t="str"/>
      <x:c r="J2281" s="7" t="str">
        <x:f>IF(OR(H2281="",I2281=""),"",I2281-H2281)</x:f>
      </x:c>
      <x:c r="K2281" s="7" t="str"/>
      <x:c r="L2281" s="7" t="str"/>
      <x:c r="M2281" s="7" t="str">
        <x:f>IF(L2281="","OPEN",IF(OR(NOT(ISNUMBER(H2281)),NOT(ISNUMBER(I2281)),NOT(ISNUMBER(K2281)),ABS(J2281)&gt;K2281),"FAIL","PASS"))</x:f>
        <x:v>OPEN</x:v>
      </x:c>
    </x:row>
    <x:row r="2282">
      <x:c r="B2282" s="7" t="str">
        <x:v>CAL-CH-PEA-C-Y1-20-2</x:v>
      </x:c>
      <x:c r="C2282" s="7" t="str">
        <x:v>CH-PEA-C-Y1-20-2</x:v>
      </x:c>
      <x:c r="D2282" s="7" t="str">
        <x:v>PEA-C-Y1</x:v>
      </x:c>
      <x:c r="E2282" s="7" t="str">
        <x:v>BLD-C</x:v>
      </x:c>
      <x:c r="F2282" s="7" t="str">
        <x:v>BL-Y</x:v>
      </x:c>
      <x:c r="G2282" s="7" t="str">
        <x:v>MF-20</x:v>
      </x:c>
      <x:c r="H2282" s="7" t="str"/>
      <x:c r="I2282" s="7" t="str"/>
      <x:c r="J2282" s="7" t="str">
        <x:f>IF(OR(H2282="",I2282=""),"",I2282-H2282)</x:f>
      </x:c>
      <x:c r="K2282" s="7" t="str"/>
      <x:c r="L2282" s="7" t="str"/>
      <x:c r="M2282" s="7" t="str">
        <x:f>IF(L2282="","OPEN",IF(OR(NOT(ISNUMBER(H2282)),NOT(ISNUMBER(I2282)),NOT(ISNUMBER(K2282)),ABS(J2282)&gt;K2282),"FAIL","PASS"))</x:f>
        <x:v>OPEN</x:v>
      </x:c>
    </x:row>
    <x:row r="2283">
      <x:c r="B2283" s="7" t="str">
        <x:v>CAL-CH-PEA-C-Y1-20-3</x:v>
      </x:c>
      <x:c r="C2283" s="7" t="str">
        <x:v>CH-PEA-C-Y1-20-3</x:v>
      </x:c>
      <x:c r="D2283" s="7" t="str">
        <x:v>PEA-C-Y1</x:v>
      </x:c>
      <x:c r="E2283" s="7" t="str">
        <x:v>BLD-C</x:v>
      </x:c>
      <x:c r="F2283" s="7" t="str">
        <x:v>BL-Y</x:v>
      </x:c>
      <x:c r="G2283" s="7" t="str">
        <x:v>MF-20</x:v>
      </x:c>
      <x:c r="H2283" s="7" t="str"/>
      <x:c r="I2283" s="7" t="str"/>
      <x:c r="J2283" s="7" t="str">
        <x:f>IF(OR(H2283="",I2283=""),"",I2283-H2283)</x:f>
      </x:c>
      <x:c r="K2283" s="7" t="str"/>
      <x:c r="L2283" s="7" t="str"/>
      <x:c r="M2283" s="7" t="str">
        <x:f>IF(L2283="","OPEN",IF(OR(NOT(ISNUMBER(H2283)),NOT(ISNUMBER(I2283)),NOT(ISNUMBER(K2283)),ABS(J2283)&gt;K2283),"FAIL","PASS"))</x:f>
        <x:v>OPEN</x:v>
      </x:c>
    </x:row>
    <x:row r="2284">
      <x:c r="B2284" s="7" t="str">
        <x:v>CAL-CH-PEA-C-Y1-20-4</x:v>
      </x:c>
      <x:c r="C2284" s="7" t="str">
        <x:v>CH-PEA-C-Y1-20-4</x:v>
      </x:c>
      <x:c r="D2284" s="7" t="str">
        <x:v>PEA-C-Y1</x:v>
      </x:c>
      <x:c r="E2284" s="7" t="str">
        <x:v>BLD-C</x:v>
      </x:c>
      <x:c r="F2284" s="7" t="str">
        <x:v>BL-Y</x:v>
      </x:c>
      <x:c r="G2284" s="7" t="str">
        <x:v>MF-20</x:v>
      </x:c>
      <x:c r="H2284" s="7" t="str"/>
      <x:c r="I2284" s="7" t="str"/>
      <x:c r="J2284" s="7" t="str">
        <x:f>IF(OR(H2284="",I2284=""),"",I2284-H2284)</x:f>
      </x:c>
      <x:c r="K2284" s="7" t="str"/>
      <x:c r="L2284" s="7" t="str"/>
      <x:c r="M2284" s="7" t="str">
        <x:f>IF(L2284="","OPEN",IF(OR(NOT(ISNUMBER(H2284)),NOT(ISNUMBER(I2284)),NOT(ISNUMBER(K2284)),ABS(J2284)&gt;K2284),"FAIL","PASS"))</x:f>
        <x:v>OPEN</x:v>
      </x:c>
    </x:row>
    <x:row r="2285">
      <x:c r="B2285" s="7" t="str">
        <x:v>CAL-CH-PEA-C-Y1-20-5</x:v>
      </x:c>
      <x:c r="C2285" s="7" t="str">
        <x:v>CH-PEA-C-Y1-20-5</x:v>
      </x:c>
      <x:c r="D2285" s="7" t="str">
        <x:v>PEA-C-Y1</x:v>
      </x:c>
      <x:c r="E2285" s="7" t="str">
        <x:v>BLD-C</x:v>
      </x:c>
      <x:c r="F2285" s="7" t="str">
        <x:v>BL-Y</x:v>
      </x:c>
      <x:c r="G2285" s="7" t="str">
        <x:v>MF-20</x:v>
      </x:c>
      <x:c r="H2285" s="7" t="str"/>
      <x:c r="I2285" s="7" t="str"/>
      <x:c r="J2285" s="7" t="str">
        <x:f>IF(OR(H2285="",I2285=""),"",I2285-H2285)</x:f>
      </x:c>
      <x:c r="K2285" s="7" t="str"/>
      <x:c r="L2285" s="7" t="str"/>
      <x:c r="M2285" s="7" t="str">
        <x:f>IF(L2285="","OPEN",IF(OR(NOT(ISNUMBER(H2285)),NOT(ISNUMBER(I2285)),NOT(ISNUMBER(K2285)),ABS(J2285)&gt;K2285),"FAIL","PASS"))</x:f>
        <x:v>OPEN</x:v>
      </x:c>
    </x:row>
    <x:row r="2286">
      <x:c r="B2286" s="7" t="str">
        <x:v>CAL-CH-PEA-C-Y1-20-6</x:v>
      </x:c>
      <x:c r="C2286" s="7" t="str">
        <x:v>CH-PEA-C-Y1-20-6</x:v>
      </x:c>
      <x:c r="D2286" s="7" t="str">
        <x:v>PEA-C-Y1</x:v>
      </x:c>
      <x:c r="E2286" s="7" t="str">
        <x:v>BLD-C</x:v>
      </x:c>
      <x:c r="F2286" s="7" t="str">
        <x:v>BL-Y</x:v>
      </x:c>
      <x:c r="G2286" s="7" t="str">
        <x:v>MF-20</x:v>
      </x:c>
      <x:c r="H2286" s="7" t="str"/>
      <x:c r="I2286" s="7" t="str"/>
      <x:c r="J2286" s="7" t="str">
        <x:f>IF(OR(H2286="",I2286=""),"",I2286-H2286)</x:f>
      </x:c>
      <x:c r="K2286" s="7" t="str"/>
      <x:c r="L2286" s="7" t="str"/>
      <x:c r="M2286" s="7" t="str">
        <x:f>IF(L2286="","OPEN",IF(OR(NOT(ISNUMBER(H2286)),NOT(ISNUMBER(I2286)),NOT(ISNUMBER(K2286)),ABS(J2286)&gt;K2286),"FAIL","PASS"))</x:f>
        <x:v>OPEN</x:v>
      </x:c>
    </x:row>
    <x:row r="2287">
      <x:c r="B2287" s="7" t="str">
        <x:v>CAL-CH-PEA-C-Y1-21-1</x:v>
      </x:c>
      <x:c r="C2287" s="7" t="str">
        <x:v>CH-PEA-C-Y1-21-1</x:v>
      </x:c>
      <x:c r="D2287" s="7" t="str">
        <x:v>PEA-C-Y1</x:v>
      </x:c>
      <x:c r="E2287" s="7" t="str">
        <x:v>BLD-C</x:v>
      </x:c>
      <x:c r="F2287" s="7" t="str">
        <x:v>BL-Y</x:v>
      </x:c>
      <x:c r="G2287" s="7" t="str">
        <x:v>MF-21</x:v>
      </x:c>
      <x:c r="H2287" s="7" t="str"/>
      <x:c r="I2287" s="7" t="str"/>
      <x:c r="J2287" s="7" t="str">
        <x:f>IF(OR(H2287="",I2287=""),"",I2287-H2287)</x:f>
      </x:c>
      <x:c r="K2287" s="7" t="str"/>
      <x:c r="L2287" s="7" t="str"/>
      <x:c r="M2287" s="7" t="str">
        <x:f>IF(L2287="","OPEN",IF(OR(NOT(ISNUMBER(H2287)),NOT(ISNUMBER(I2287)),NOT(ISNUMBER(K2287)),ABS(J2287)&gt;K2287),"FAIL","PASS"))</x:f>
        <x:v>OPEN</x:v>
      </x:c>
    </x:row>
    <x:row r="2288">
      <x:c r="B2288" s="7" t="str">
        <x:v>CAL-CH-PEA-C-Y1-21-2</x:v>
      </x:c>
      <x:c r="C2288" s="7" t="str">
        <x:v>CH-PEA-C-Y1-21-2</x:v>
      </x:c>
      <x:c r="D2288" s="7" t="str">
        <x:v>PEA-C-Y1</x:v>
      </x:c>
      <x:c r="E2288" s="7" t="str">
        <x:v>BLD-C</x:v>
      </x:c>
      <x:c r="F2288" s="7" t="str">
        <x:v>BL-Y</x:v>
      </x:c>
      <x:c r="G2288" s="7" t="str">
        <x:v>MF-21</x:v>
      </x:c>
      <x:c r="H2288" s="7" t="str"/>
      <x:c r="I2288" s="7" t="str"/>
      <x:c r="J2288" s="7" t="str">
        <x:f>IF(OR(H2288="",I2288=""),"",I2288-H2288)</x:f>
      </x:c>
      <x:c r="K2288" s="7" t="str"/>
      <x:c r="L2288" s="7" t="str"/>
      <x:c r="M2288" s="7" t="str">
        <x:f>IF(L2288="","OPEN",IF(OR(NOT(ISNUMBER(H2288)),NOT(ISNUMBER(I2288)),NOT(ISNUMBER(K2288)),ABS(J2288)&gt;K2288),"FAIL","PASS"))</x:f>
        <x:v>OPEN</x:v>
      </x:c>
    </x:row>
    <x:row r="2289">
      <x:c r="B2289" s="7" t="str">
        <x:v>CAL-CH-PEA-C-Y1-21-3</x:v>
      </x:c>
      <x:c r="C2289" s="7" t="str">
        <x:v>CH-PEA-C-Y1-21-3</x:v>
      </x:c>
      <x:c r="D2289" s="7" t="str">
        <x:v>PEA-C-Y1</x:v>
      </x:c>
      <x:c r="E2289" s="7" t="str">
        <x:v>BLD-C</x:v>
      </x:c>
      <x:c r="F2289" s="7" t="str">
        <x:v>BL-Y</x:v>
      </x:c>
      <x:c r="G2289" s="7" t="str">
        <x:v>MF-21</x:v>
      </x:c>
      <x:c r="H2289" s="7" t="str"/>
      <x:c r="I2289" s="7" t="str"/>
      <x:c r="J2289" s="7" t="str">
        <x:f>IF(OR(H2289="",I2289=""),"",I2289-H2289)</x:f>
      </x:c>
      <x:c r="K2289" s="7" t="str"/>
      <x:c r="L2289" s="7" t="str"/>
      <x:c r="M2289" s="7" t="str">
        <x:f>IF(L2289="","OPEN",IF(OR(NOT(ISNUMBER(H2289)),NOT(ISNUMBER(I2289)),NOT(ISNUMBER(K2289)),ABS(J2289)&gt;K2289),"FAIL","PASS"))</x:f>
        <x:v>OPEN</x:v>
      </x:c>
    </x:row>
    <x:row r="2290">
      <x:c r="B2290" s="7" t="str">
        <x:v>CAL-CH-PEA-C-Y1-21-4</x:v>
      </x:c>
      <x:c r="C2290" s="7" t="str">
        <x:v>CH-PEA-C-Y1-21-4</x:v>
      </x:c>
      <x:c r="D2290" s="7" t="str">
        <x:v>PEA-C-Y1</x:v>
      </x:c>
      <x:c r="E2290" s="7" t="str">
        <x:v>BLD-C</x:v>
      </x:c>
      <x:c r="F2290" s="7" t="str">
        <x:v>BL-Y</x:v>
      </x:c>
      <x:c r="G2290" s="7" t="str">
        <x:v>MF-21</x:v>
      </x:c>
      <x:c r="H2290" s="7" t="str"/>
      <x:c r="I2290" s="7" t="str"/>
      <x:c r="J2290" s="7" t="str">
        <x:f>IF(OR(H2290="",I2290=""),"",I2290-H2290)</x:f>
      </x:c>
      <x:c r="K2290" s="7" t="str"/>
      <x:c r="L2290" s="7" t="str"/>
      <x:c r="M2290" s="7" t="str">
        <x:f>IF(L2290="","OPEN",IF(OR(NOT(ISNUMBER(H2290)),NOT(ISNUMBER(I2290)),NOT(ISNUMBER(K2290)),ABS(J2290)&gt;K2290),"FAIL","PASS"))</x:f>
        <x:v>OPEN</x:v>
      </x:c>
    </x:row>
    <x:row r="2291">
      <x:c r="B2291" s="7" t="str">
        <x:v>CAL-CH-PEA-C-Y1-21-5</x:v>
      </x:c>
      <x:c r="C2291" s="7" t="str">
        <x:v>CH-PEA-C-Y1-21-5</x:v>
      </x:c>
      <x:c r="D2291" s="7" t="str">
        <x:v>PEA-C-Y1</x:v>
      </x:c>
      <x:c r="E2291" s="7" t="str">
        <x:v>BLD-C</x:v>
      </x:c>
      <x:c r="F2291" s="7" t="str">
        <x:v>BL-Y</x:v>
      </x:c>
      <x:c r="G2291" s="7" t="str">
        <x:v>MF-21</x:v>
      </x:c>
      <x:c r="H2291" s="7" t="str"/>
      <x:c r="I2291" s="7" t="str"/>
      <x:c r="J2291" s="7" t="str">
        <x:f>IF(OR(H2291="",I2291=""),"",I2291-H2291)</x:f>
      </x:c>
      <x:c r="K2291" s="7" t="str"/>
      <x:c r="L2291" s="7" t="str"/>
      <x:c r="M2291" s="7" t="str">
        <x:f>IF(L2291="","OPEN",IF(OR(NOT(ISNUMBER(H2291)),NOT(ISNUMBER(I2291)),NOT(ISNUMBER(K2291)),ABS(J2291)&gt;K2291),"FAIL","PASS"))</x:f>
        <x:v>OPEN</x:v>
      </x:c>
    </x:row>
    <x:row r="2292">
      <x:c r="B2292" s="7" t="str">
        <x:v>CAL-CH-PEA-C-Y1-21-6</x:v>
      </x:c>
      <x:c r="C2292" s="7" t="str">
        <x:v>CH-PEA-C-Y1-21-6</x:v>
      </x:c>
      <x:c r="D2292" s="7" t="str">
        <x:v>PEA-C-Y1</x:v>
      </x:c>
      <x:c r="E2292" s="7" t="str">
        <x:v>BLD-C</x:v>
      </x:c>
      <x:c r="F2292" s="7" t="str">
        <x:v>BL-Y</x:v>
      </x:c>
      <x:c r="G2292" s="7" t="str">
        <x:v>MF-21</x:v>
      </x:c>
      <x:c r="H2292" s="7" t="str"/>
      <x:c r="I2292" s="7" t="str"/>
      <x:c r="J2292" s="7" t="str">
        <x:f>IF(OR(H2292="",I2292=""),"",I2292-H2292)</x:f>
      </x:c>
      <x:c r="K2292" s="7" t="str"/>
      <x:c r="L2292" s="7" t="str"/>
      <x:c r="M2292" s="7" t="str">
        <x:f>IF(L2292="","OPEN",IF(OR(NOT(ISNUMBER(H2292)),NOT(ISNUMBER(I2292)),NOT(ISNUMBER(K2292)),ABS(J2292)&gt;K2292),"FAIL","PASS"))</x:f>
        <x:v>OPEN</x:v>
      </x:c>
    </x:row>
    <x:row r="2293">
      <x:c r="B2293" s="7" t="str">
        <x:v>CAL-CH-PEA-C-Y1-22-1</x:v>
      </x:c>
      <x:c r="C2293" s="7" t="str">
        <x:v>CH-PEA-C-Y1-22-1</x:v>
      </x:c>
      <x:c r="D2293" s="7" t="str">
        <x:v>PEA-C-Y1</x:v>
      </x:c>
      <x:c r="E2293" s="7" t="str">
        <x:v>BLD-C</x:v>
      </x:c>
      <x:c r="F2293" s="7" t="str">
        <x:v>BL-Y</x:v>
      </x:c>
      <x:c r="G2293" s="7" t="str">
        <x:v>MF-22</x:v>
      </x:c>
      <x:c r="H2293" s="7" t="str"/>
      <x:c r="I2293" s="7" t="str"/>
      <x:c r="J2293" s="7" t="str">
        <x:f>IF(OR(H2293="",I2293=""),"",I2293-H2293)</x:f>
      </x:c>
      <x:c r="K2293" s="7" t="str"/>
      <x:c r="L2293" s="7" t="str"/>
      <x:c r="M2293" s="7" t="str">
        <x:f>IF(L2293="","OPEN",IF(OR(NOT(ISNUMBER(H2293)),NOT(ISNUMBER(I2293)),NOT(ISNUMBER(K2293)),ABS(J2293)&gt;K2293),"FAIL","PASS"))</x:f>
        <x:v>OPEN</x:v>
      </x:c>
    </x:row>
    <x:row r="2294">
      <x:c r="B2294" s="7" t="str">
        <x:v>CAL-CH-PEA-C-Y1-22-2</x:v>
      </x:c>
      <x:c r="C2294" s="7" t="str">
        <x:v>CH-PEA-C-Y1-22-2</x:v>
      </x:c>
      <x:c r="D2294" s="7" t="str">
        <x:v>PEA-C-Y1</x:v>
      </x:c>
      <x:c r="E2294" s="7" t="str">
        <x:v>BLD-C</x:v>
      </x:c>
      <x:c r="F2294" s="7" t="str">
        <x:v>BL-Y</x:v>
      </x:c>
      <x:c r="G2294" s="7" t="str">
        <x:v>MF-22</x:v>
      </x:c>
      <x:c r="H2294" s="7" t="str"/>
      <x:c r="I2294" s="7" t="str"/>
      <x:c r="J2294" s="7" t="str">
        <x:f>IF(OR(H2294="",I2294=""),"",I2294-H2294)</x:f>
      </x:c>
      <x:c r="K2294" s="7" t="str"/>
      <x:c r="L2294" s="7" t="str"/>
      <x:c r="M2294" s="7" t="str">
        <x:f>IF(L2294="","OPEN",IF(OR(NOT(ISNUMBER(H2294)),NOT(ISNUMBER(I2294)),NOT(ISNUMBER(K2294)),ABS(J2294)&gt;K2294),"FAIL","PASS"))</x:f>
        <x:v>OPEN</x:v>
      </x:c>
    </x:row>
    <x:row r="2295">
      <x:c r="B2295" s="7" t="str">
        <x:v>CAL-CH-PEA-C-Y1-22-3</x:v>
      </x:c>
      <x:c r="C2295" s="7" t="str">
        <x:v>CH-PEA-C-Y1-22-3</x:v>
      </x:c>
      <x:c r="D2295" s="7" t="str">
        <x:v>PEA-C-Y1</x:v>
      </x:c>
      <x:c r="E2295" s="7" t="str">
        <x:v>BLD-C</x:v>
      </x:c>
      <x:c r="F2295" s="7" t="str">
        <x:v>BL-Y</x:v>
      </x:c>
      <x:c r="G2295" s="7" t="str">
        <x:v>MF-22</x:v>
      </x:c>
      <x:c r="H2295" s="7" t="str"/>
      <x:c r="I2295" s="7" t="str"/>
      <x:c r="J2295" s="7" t="str">
        <x:f>IF(OR(H2295="",I2295=""),"",I2295-H2295)</x:f>
      </x:c>
      <x:c r="K2295" s="7" t="str"/>
      <x:c r="L2295" s="7" t="str"/>
      <x:c r="M2295" s="7" t="str">
        <x:f>IF(L2295="","OPEN",IF(OR(NOT(ISNUMBER(H2295)),NOT(ISNUMBER(I2295)),NOT(ISNUMBER(K2295)),ABS(J2295)&gt;K2295),"FAIL","PASS"))</x:f>
        <x:v>OPEN</x:v>
      </x:c>
    </x:row>
    <x:row r="2296">
      <x:c r="B2296" s="7" t="str">
        <x:v>CAL-CH-PEA-C-Y1-22-4</x:v>
      </x:c>
      <x:c r="C2296" s="7" t="str">
        <x:v>CH-PEA-C-Y1-22-4</x:v>
      </x:c>
      <x:c r="D2296" s="7" t="str">
        <x:v>PEA-C-Y1</x:v>
      </x:c>
      <x:c r="E2296" s="7" t="str">
        <x:v>BLD-C</x:v>
      </x:c>
      <x:c r="F2296" s="7" t="str">
        <x:v>BL-Y</x:v>
      </x:c>
      <x:c r="G2296" s="7" t="str">
        <x:v>MF-22</x:v>
      </x:c>
      <x:c r="H2296" s="7" t="str"/>
      <x:c r="I2296" s="7" t="str"/>
      <x:c r="J2296" s="7" t="str">
        <x:f>IF(OR(H2296="",I2296=""),"",I2296-H2296)</x:f>
      </x:c>
      <x:c r="K2296" s="7" t="str"/>
      <x:c r="L2296" s="7" t="str"/>
      <x:c r="M2296" s="7" t="str">
        <x:f>IF(L2296="","OPEN",IF(OR(NOT(ISNUMBER(H2296)),NOT(ISNUMBER(I2296)),NOT(ISNUMBER(K2296)),ABS(J2296)&gt;K2296),"FAIL","PASS"))</x:f>
        <x:v>OPEN</x:v>
      </x:c>
    </x:row>
    <x:row r="2297">
      <x:c r="B2297" s="7" t="str">
        <x:v>CAL-CH-PEA-C-Y1-22-5</x:v>
      </x:c>
      <x:c r="C2297" s="7" t="str">
        <x:v>CH-PEA-C-Y1-22-5</x:v>
      </x:c>
      <x:c r="D2297" s="7" t="str">
        <x:v>PEA-C-Y1</x:v>
      </x:c>
      <x:c r="E2297" s="7" t="str">
        <x:v>BLD-C</x:v>
      </x:c>
      <x:c r="F2297" s="7" t="str">
        <x:v>BL-Y</x:v>
      </x:c>
      <x:c r="G2297" s="7" t="str">
        <x:v>MF-22</x:v>
      </x:c>
      <x:c r="H2297" s="7" t="str"/>
      <x:c r="I2297" s="7" t="str"/>
      <x:c r="J2297" s="7" t="str">
        <x:f>IF(OR(H2297="",I2297=""),"",I2297-H2297)</x:f>
      </x:c>
      <x:c r="K2297" s="7" t="str"/>
      <x:c r="L2297" s="7" t="str"/>
      <x:c r="M2297" s="7" t="str">
        <x:f>IF(L2297="","OPEN",IF(OR(NOT(ISNUMBER(H2297)),NOT(ISNUMBER(I2297)),NOT(ISNUMBER(K2297)),ABS(J2297)&gt;K2297),"FAIL","PASS"))</x:f>
        <x:v>OPEN</x:v>
      </x:c>
    </x:row>
    <x:row r="2298">
      <x:c r="B2298" s="7" t="str">
        <x:v>CAL-CH-PEA-C-Y1-22-6</x:v>
      </x:c>
      <x:c r="C2298" s="7" t="str">
        <x:v>CH-PEA-C-Y1-22-6</x:v>
      </x:c>
      <x:c r="D2298" s="7" t="str">
        <x:v>PEA-C-Y1</x:v>
      </x:c>
      <x:c r="E2298" s="7" t="str">
        <x:v>BLD-C</x:v>
      </x:c>
      <x:c r="F2298" s="7" t="str">
        <x:v>BL-Y</x:v>
      </x:c>
      <x:c r="G2298" s="7" t="str">
        <x:v>MF-22</x:v>
      </x:c>
      <x:c r="H2298" s="7" t="str"/>
      <x:c r="I2298" s="7" t="str"/>
      <x:c r="J2298" s="7" t="str">
        <x:f>IF(OR(H2298="",I2298=""),"",I2298-H2298)</x:f>
      </x:c>
      <x:c r="K2298" s="7" t="str"/>
      <x:c r="L2298" s="7" t="str"/>
      <x:c r="M2298" s="7" t="str">
        <x:f>IF(L2298="","OPEN",IF(OR(NOT(ISNUMBER(H2298)),NOT(ISNUMBER(I2298)),NOT(ISNUMBER(K2298)),ABS(J2298)&gt;K2298),"FAIL","PASS"))</x:f>
        <x:v>OPEN</x:v>
      </x:c>
    </x:row>
    <x:row r="2299">
      <x:c r="B2299" s="7" t="str">
        <x:v>CAL-CH-PEA-C-Y1-23-1</x:v>
      </x:c>
      <x:c r="C2299" s="7" t="str">
        <x:v>CH-PEA-C-Y1-23-1</x:v>
      </x:c>
      <x:c r="D2299" s="7" t="str">
        <x:v>PEA-C-Y1</x:v>
      </x:c>
      <x:c r="E2299" s="7" t="str">
        <x:v>BLD-C</x:v>
      </x:c>
      <x:c r="F2299" s="7" t="str">
        <x:v>BL-Y</x:v>
      </x:c>
      <x:c r="G2299" s="7" t="str">
        <x:v>MF-23</x:v>
      </x:c>
      <x:c r="H2299" s="7" t="str"/>
      <x:c r="I2299" s="7" t="str"/>
      <x:c r="J2299" s="7" t="str">
        <x:f>IF(OR(H2299="",I2299=""),"",I2299-H2299)</x:f>
      </x:c>
      <x:c r="K2299" s="7" t="str"/>
      <x:c r="L2299" s="7" t="str"/>
      <x:c r="M2299" s="7" t="str">
        <x:f>IF(L2299="","OPEN",IF(OR(NOT(ISNUMBER(H2299)),NOT(ISNUMBER(I2299)),NOT(ISNUMBER(K2299)),ABS(J2299)&gt;K2299),"FAIL","PASS"))</x:f>
        <x:v>OPEN</x:v>
      </x:c>
    </x:row>
    <x:row r="2300">
      <x:c r="B2300" s="7" t="str">
        <x:v>CAL-CH-PEA-C-Y1-23-2</x:v>
      </x:c>
      <x:c r="C2300" s="7" t="str">
        <x:v>CH-PEA-C-Y1-23-2</x:v>
      </x:c>
      <x:c r="D2300" s="7" t="str">
        <x:v>PEA-C-Y1</x:v>
      </x:c>
      <x:c r="E2300" s="7" t="str">
        <x:v>BLD-C</x:v>
      </x:c>
      <x:c r="F2300" s="7" t="str">
        <x:v>BL-Y</x:v>
      </x:c>
      <x:c r="G2300" s="7" t="str">
        <x:v>MF-23</x:v>
      </x:c>
      <x:c r="H2300" s="7" t="str"/>
      <x:c r="I2300" s="7" t="str"/>
      <x:c r="J2300" s="7" t="str">
        <x:f>IF(OR(H2300="",I2300=""),"",I2300-H2300)</x:f>
      </x:c>
      <x:c r="K2300" s="7" t="str"/>
      <x:c r="L2300" s="7" t="str"/>
      <x:c r="M2300" s="7" t="str">
        <x:f>IF(L2300="","OPEN",IF(OR(NOT(ISNUMBER(H2300)),NOT(ISNUMBER(I2300)),NOT(ISNUMBER(K2300)),ABS(J2300)&gt;K2300),"FAIL","PASS"))</x:f>
        <x:v>OPEN</x:v>
      </x:c>
    </x:row>
    <x:row r="2301">
      <x:c r="B2301" s="7" t="str">
        <x:v>CAL-CH-PEA-C-Y1-23-3</x:v>
      </x:c>
      <x:c r="C2301" s="7" t="str">
        <x:v>CH-PEA-C-Y1-23-3</x:v>
      </x:c>
      <x:c r="D2301" s="7" t="str">
        <x:v>PEA-C-Y1</x:v>
      </x:c>
      <x:c r="E2301" s="7" t="str">
        <x:v>BLD-C</x:v>
      </x:c>
      <x:c r="F2301" s="7" t="str">
        <x:v>BL-Y</x:v>
      </x:c>
      <x:c r="G2301" s="7" t="str">
        <x:v>MF-23</x:v>
      </x:c>
      <x:c r="H2301" s="7" t="str"/>
      <x:c r="I2301" s="7" t="str"/>
      <x:c r="J2301" s="7" t="str">
        <x:f>IF(OR(H2301="",I2301=""),"",I2301-H2301)</x:f>
      </x:c>
      <x:c r="K2301" s="7" t="str"/>
      <x:c r="L2301" s="7" t="str"/>
      <x:c r="M2301" s="7" t="str">
        <x:f>IF(L2301="","OPEN",IF(OR(NOT(ISNUMBER(H2301)),NOT(ISNUMBER(I2301)),NOT(ISNUMBER(K2301)),ABS(J2301)&gt;K2301),"FAIL","PASS"))</x:f>
        <x:v>OPEN</x:v>
      </x:c>
    </x:row>
    <x:row r="2302">
      <x:c r="B2302" s="7" t="str">
        <x:v>CAL-CH-PEA-C-Y1-23-4</x:v>
      </x:c>
      <x:c r="C2302" s="7" t="str">
        <x:v>CH-PEA-C-Y1-23-4</x:v>
      </x:c>
      <x:c r="D2302" s="7" t="str">
        <x:v>PEA-C-Y1</x:v>
      </x:c>
      <x:c r="E2302" s="7" t="str">
        <x:v>BLD-C</x:v>
      </x:c>
      <x:c r="F2302" s="7" t="str">
        <x:v>BL-Y</x:v>
      </x:c>
      <x:c r="G2302" s="7" t="str">
        <x:v>MF-23</x:v>
      </x:c>
      <x:c r="H2302" s="7" t="str"/>
      <x:c r="I2302" s="7" t="str"/>
      <x:c r="J2302" s="7" t="str">
        <x:f>IF(OR(H2302="",I2302=""),"",I2302-H2302)</x:f>
      </x:c>
      <x:c r="K2302" s="7" t="str"/>
      <x:c r="L2302" s="7" t="str"/>
      <x:c r="M2302" s="7" t="str">
        <x:f>IF(L2302="","OPEN",IF(OR(NOT(ISNUMBER(H2302)),NOT(ISNUMBER(I2302)),NOT(ISNUMBER(K2302)),ABS(J2302)&gt;K2302),"FAIL","PASS"))</x:f>
        <x:v>OPEN</x:v>
      </x:c>
    </x:row>
    <x:row r="2303">
      <x:c r="B2303" s="7" t="str">
        <x:v>CAL-CH-PEA-C-Y1-23-5</x:v>
      </x:c>
      <x:c r="C2303" s="7" t="str">
        <x:v>CH-PEA-C-Y1-23-5</x:v>
      </x:c>
      <x:c r="D2303" s="7" t="str">
        <x:v>PEA-C-Y1</x:v>
      </x:c>
      <x:c r="E2303" s="7" t="str">
        <x:v>BLD-C</x:v>
      </x:c>
      <x:c r="F2303" s="7" t="str">
        <x:v>BL-Y</x:v>
      </x:c>
      <x:c r="G2303" s="7" t="str">
        <x:v>MF-23</x:v>
      </x:c>
      <x:c r="H2303" s="7" t="str"/>
      <x:c r="I2303" s="7" t="str"/>
      <x:c r="J2303" s="7" t="str">
        <x:f>IF(OR(H2303="",I2303=""),"",I2303-H2303)</x:f>
      </x:c>
      <x:c r="K2303" s="7" t="str"/>
      <x:c r="L2303" s="7" t="str"/>
      <x:c r="M2303" s="7" t="str">
        <x:f>IF(L2303="","OPEN",IF(OR(NOT(ISNUMBER(H2303)),NOT(ISNUMBER(I2303)),NOT(ISNUMBER(K2303)),ABS(J2303)&gt;K2303),"FAIL","PASS"))</x:f>
        <x:v>OPEN</x:v>
      </x:c>
    </x:row>
    <x:row r="2304">
      <x:c r="B2304" s="7" t="str">
        <x:v>CAL-CH-PEA-C-Y1-23-6</x:v>
      </x:c>
      <x:c r="C2304" s="7" t="str">
        <x:v>CH-PEA-C-Y1-23-6</x:v>
      </x:c>
      <x:c r="D2304" s="7" t="str">
        <x:v>PEA-C-Y1</x:v>
      </x:c>
      <x:c r="E2304" s="7" t="str">
        <x:v>BLD-C</x:v>
      </x:c>
      <x:c r="F2304" s="7" t="str">
        <x:v>BL-Y</x:v>
      </x:c>
      <x:c r="G2304" s="7" t="str">
        <x:v>MF-23</x:v>
      </x:c>
      <x:c r="H2304" s="7" t="str"/>
      <x:c r="I2304" s="7" t="str"/>
      <x:c r="J2304" s="7" t="str">
        <x:f>IF(OR(H2304="",I2304=""),"",I2304-H2304)</x:f>
      </x:c>
      <x:c r="K2304" s="7" t="str"/>
      <x:c r="L2304" s="7" t="str"/>
      <x:c r="M2304" s="7" t="str">
        <x:f>IF(L2304="","OPEN",IF(OR(NOT(ISNUMBER(H2304)),NOT(ISNUMBER(I2304)),NOT(ISNUMBER(K2304)),ABS(J2304)&gt;K2304),"FAIL","PASS"))</x:f>
        <x:v>OPEN</x:v>
      </x:c>
    </x:row>
    <x:row r="2305">
      <x:c r="B2305" s="7" t="str">
        <x:v>CAL-CH-PEA-C-Y1-24-1</x:v>
      </x:c>
      <x:c r="C2305" s="7" t="str">
        <x:v>CH-PEA-C-Y1-24-1</x:v>
      </x:c>
      <x:c r="D2305" s="7" t="str">
        <x:v>PEA-C-Y1</x:v>
      </x:c>
      <x:c r="E2305" s="7" t="str">
        <x:v>BLD-C</x:v>
      </x:c>
      <x:c r="F2305" s="7" t="str">
        <x:v>BL-Y</x:v>
      </x:c>
      <x:c r="G2305" s="7" t="str">
        <x:v>MF-24</x:v>
      </x:c>
      <x:c r="H2305" s="7" t="str"/>
      <x:c r="I2305" s="7" t="str"/>
      <x:c r="J2305" s="7" t="str">
        <x:f>IF(OR(H2305="",I2305=""),"",I2305-H2305)</x:f>
      </x:c>
      <x:c r="K2305" s="7" t="str"/>
      <x:c r="L2305" s="7" t="str"/>
      <x:c r="M2305" s="7" t="str">
        <x:f>IF(L2305="","OPEN",IF(OR(NOT(ISNUMBER(H2305)),NOT(ISNUMBER(I2305)),NOT(ISNUMBER(K2305)),ABS(J2305)&gt;K2305),"FAIL","PASS"))</x:f>
        <x:v>OPEN</x:v>
      </x:c>
    </x:row>
    <x:row r="2306">
      <x:c r="B2306" s="7" t="str">
        <x:v>CAL-CH-PEA-C-Y1-24-2</x:v>
      </x:c>
      <x:c r="C2306" s="7" t="str">
        <x:v>CH-PEA-C-Y1-24-2</x:v>
      </x:c>
      <x:c r="D2306" s="7" t="str">
        <x:v>PEA-C-Y1</x:v>
      </x:c>
      <x:c r="E2306" s="7" t="str">
        <x:v>BLD-C</x:v>
      </x:c>
      <x:c r="F2306" s="7" t="str">
        <x:v>BL-Y</x:v>
      </x:c>
      <x:c r="G2306" s="7" t="str">
        <x:v>MF-24</x:v>
      </x:c>
      <x:c r="H2306" s="7" t="str"/>
      <x:c r="I2306" s="7" t="str"/>
      <x:c r="J2306" s="7" t="str">
        <x:f>IF(OR(H2306="",I2306=""),"",I2306-H2306)</x:f>
      </x:c>
      <x:c r="K2306" s="7" t="str"/>
      <x:c r="L2306" s="7" t="str"/>
      <x:c r="M2306" s="7" t="str">
        <x:f>IF(L2306="","OPEN",IF(OR(NOT(ISNUMBER(H2306)),NOT(ISNUMBER(I2306)),NOT(ISNUMBER(K2306)),ABS(J2306)&gt;K2306),"FAIL","PASS"))</x:f>
        <x:v>OPEN</x:v>
      </x:c>
    </x:row>
    <x:row r="2307">
      <x:c r="B2307" s="7" t="str">
        <x:v>CAL-CH-PEA-C-Y1-24-3</x:v>
      </x:c>
      <x:c r="C2307" s="7" t="str">
        <x:v>CH-PEA-C-Y1-24-3</x:v>
      </x:c>
      <x:c r="D2307" s="7" t="str">
        <x:v>PEA-C-Y1</x:v>
      </x:c>
      <x:c r="E2307" s="7" t="str">
        <x:v>BLD-C</x:v>
      </x:c>
      <x:c r="F2307" s="7" t="str">
        <x:v>BL-Y</x:v>
      </x:c>
      <x:c r="G2307" s="7" t="str">
        <x:v>MF-24</x:v>
      </x:c>
      <x:c r="H2307" s="7" t="str"/>
      <x:c r="I2307" s="7" t="str"/>
      <x:c r="J2307" s="7" t="str">
        <x:f>IF(OR(H2307="",I2307=""),"",I2307-H2307)</x:f>
      </x:c>
      <x:c r="K2307" s="7" t="str"/>
      <x:c r="L2307" s="7" t="str"/>
      <x:c r="M2307" s="7" t="str">
        <x:f>IF(L2307="","OPEN",IF(OR(NOT(ISNUMBER(H2307)),NOT(ISNUMBER(I2307)),NOT(ISNUMBER(K2307)),ABS(J2307)&gt;K2307),"FAIL","PASS"))</x:f>
        <x:v>OPEN</x:v>
      </x:c>
    </x:row>
    <x:row r="2308">
      <x:c r="B2308" s="7" t="str">
        <x:v>CAL-CH-PEA-C-Y1-24-4</x:v>
      </x:c>
      <x:c r="C2308" s="7" t="str">
        <x:v>CH-PEA-C-Y1-24-4</x:v>
      </x:c>
      <x:c r="D2308" s="7" t="str">
        <x:v>PEA-C-Y1</x:v>
      </x:c>
      <x:c r="E2308" s="7" t="str">
        <x:v>BLD-C</x:v>
      </x:c>
      <x:c r="F2308" s="7" t="str">
        <x:v>BL-Y</x:v>
      </x:c>
      <x:c r="G2308" s="7" t="str">
        <x:v>MF-24</x:v>
      </x:c>
      <x:c r="H2308" s="7" t="str"/>
      <x:c r="I2308" s="7" t="str"/>
      <x:c r="J2308" s="7" t="str">
        <x:f>IF(OR(H2308="",I2308=""),"",I2308-H2308)</x:f>
      </x:c>
      <x:c r="K2308" s="7" t="str"/>
      <x:c r="L2308" s="7" t="str"/>
      <x:c r="M2308" s="7" t="str">
        <x:f>IF(L2308="","OPEN",IF(OR(NOT(ISNUMBER(H2308)),NOT(ISNUMBER(I2308)),NOT(ISNUMBER(K2308)),ABS(J2308)&gt;K2308),"FAIL","PASS"))</x:f>
        <x:v>OPEN</x:v>
      </x:c>
    </x:row>
    <x:row r="2309">
      <x:c r="B2309" s="7" t="str">
        <x:v>CAL-CH-PEA-C-Y1-24-5</x:v>
      </x:c>
      <x:c r="C2309" s="7" t="str">
        <x:v>CH-PEA-C-Y1-24-5</x:v>
      </x:c>
      <x:c r="D2309" s="7" t="str">
        <x:v>PEA-C-Y1</x:v>
      </x:c>
      <x:c r="E2309" s="7" t="str">
        <x:v>BLD-C</x:v>
      </x:c>
      <x:c r="F2309" s="7" t="str">
        <x:v>BL-Y</x:v>
      </x:c>
      <x:c r="G2309" s="7" t="str">
        <x:v>MF-24</x:v>
      </x:c>
      <x:c r="H2309" s="7" t="str"/>
      <x:c r="I2309" s="7" t="str"/>
      <x:c r="J2309" s="7" t="str">
        <x:f>IF(OR(H2309="",I2309=""),"",I2309-H2309)</x:f>
      </x:c>
      <x:c r="K2309" s="7" t="str"/>
      <x:c r="L2309" s="7" t="str"/>
      <x:c r="M2309" s="7" t="str">
        <x:f>IF(L2309="","OPEN",IF(OR(NOT(ISNUMBER(H2309)),NOT(ISNUMBER(I2309)),NOT(ISNUMBER(K2309)),ABS(J2309)&gt;K2309),"FAIL","PASS"))</x:f>
        <x:v>OPEN</x:v>
      </x:c>
    </x:row>
    <x:row r="2310">
      <x:c r="B2310" s="7" t="str">
        <x:v>CAL-CH-PEA-C-Y1-24-6</x:v>
      </x:c>
      <x:c r="C2310" s="7" t="str">
        <x:v>CH-PEA-C-Y1-24-6</x:v>
      </x:c>
      <x:c r="D2310" s="7" t="str">
        <x:v>PEA-C-Y1</x:v>
      </x:c>
      <x:c r="E2310" s="7" t="str">
        <x:v>BLD-C</x:v>
      </x:c>
      <x:c r="F2310" s="7" t="str">
        <x:v>BL-Y</x:v>
      </x:c>
      <x:c r="G2310" s="7" t="str">
        <x:v>MF-24</x:v>
      </x:c>
      <x:c r="H2310" s="7" t="str"/>
      <x:c r="I2310" s="7" t="str"/>
      <x:c r="J2310" s="7" t="str">
        <x:f>IF(OR(H2310="",I2310=""),"",I2310-H2310)</x:f>
      </x:c>
      <x:c r="K2310" s="7" t="str"/>
      <x:c r="L2310" s="7" t="str"/>
      <x:c r="M2310" s="7" t="str">
        <x:f>IF(L2310="","OPEN",IF(OR(NOT(ISNUMBER(H2310)),NOT(ISNUMBER(I2310)),NOT(ISNUMBER(K2310)),ABS(J2310)&gt;K2310),"FAIL","PASS"))</x:f>
        <x:v>OPEN</x:v>
      </x:c>
    </x:row>
    <x:row r="2311">
      <x:c r="B2311" s="7" t="str">
        <x:v>CAL-CH-PEA-C-Y2-01-1</x:v>
      </x:c>
      <x:c r="C2311" s="7" t="str">
        <x:v>CH-PEA-C-Y2-01-1</x:v>
      </x:c>
      <x:c r="D2311" s="7" t="str">
        <x:v>PEA-C-Y2</x:v>
      </x:c>
      <x:c r="E2311" s="7" t="str">
        <x:v>BLD-C</x:v>
      </x:c>
      <x:c r="F2311" s="7" t="str">
        <x:v>BL-Y</x:v>
      </x:c>
      <x:c r="G2311" s="7" t="str">
        <x:v>MF-01</x:v>
      </x:c>
      <x:c r="H2311" s="7" t="str"/>
      <x:c r="I2311" s="7" t="str"/>
      <x:c r="J2311" s="7" t="str">
        <x:f>IF(OR(H2311="",I2311=""),"",I2311-H2311)</x:f>
      </x:c>
      <x:c r="K2311" s="7" t="str"/>
      <x:c r="L2311" s="7" t="str"/>
      <x:c r="M2311" s="7" t="str">
        <x:f>IF(L2311="","OPEN",IF(OR(NOT(ISNUMBER(H2311)),NOT(ISNUMBER(I2311)),NOT(ISNUMBER(K2311)),ABS(J2311)&gt;K2311),"FAIL","PASS"))</x:f>
        <x:v>OPEN</x:v>
      </x:c>
    </x:row>
    <x:row r="2312">
      <x:c r="B2312" s="7" t="str">
        <x:v>CAL-CH-PEA-C-Y2-01-2</x:v>
      </x:c>
      <x:c r="C2312" s="7" t="str">
        <x:v>CH-PEA-C-Y2-01-2</x:v>
      </x:c>
      <x:c r="D2312" s="7" t="str">
        <x:v>PEA-C-Y2</x:v>
      </x:c>
      <x:c r="E2312" s="7" t="str">
        <x:v>BLD-C</x:v>
      </x:c>
      <x:c r="F2312" s="7" t="str">
        <x:v>BL-Y</x:v>
      </x:c>
      <x:c r="G2312" s="7" t="str">
        <x:v>MF-01</x:v>
      </x:c>
      <x:c r="H2312" s="7" t="str"/>
      <x:c r="I2312" s="7" t="str"/>
      <x:c r="J2312" s="7" t="str">
        <x:f>IF(OR(H2312="",I2312=""),"",I2312-H2312)</x:f>
      </x:c>
      <x:c r="K2312" s="7" t="str"/>
      <x:c r="L2312" s="7" t="str"/>
      <x:c r="M2312" s="7" t="str">
        <x:f>IF(L2312="","OPEN",IF(OR(NOT(ISNUMBER(H2312)),NOT(ISNUMBER(I2312)),NOT(ISNUMBER(K2312)),ABS(J2312)&gt;K2312),"FAIL","PASS"))</x:f>
        <x:v>OPEN</x:v>
      </x:c>
    </x:row>
    <x:row r="2313">
      <x:c r="B2313" s="7" t="str">
        <x:v>CAL-CH-PEA-C-Y2-01-3</x:v>
      </x:c>
      <x:c r="C2313" s="7" t="str">
        <x:v>CH-PEA-C-Y2-01-3</x:v>
      </x:c>
      <x:c r="D2313" s="7" t="str">
        <x:v>PEA-C-Y2</x:v>
      </x:c>
      <x:c r="E2313" s="7" t="str">
        <x:v>BLD-C</x:v>
      </x:c>
      <x:c r="F2313" s="7" t="str">
        <x:v>BL-Y</x:v>
      </x:c>
      <x:c r="G2313" s="7" t="str">
        <x:v>MF-01</x:v>
      </x:c>
      <x:c r="H2313" s="7" t="str"/>
      <x:c r="I2313" s="7" t="str"/>
      <x:c r="J2313" s="7" t="str">
        <x:f>IF(OR(H2313="",I2313=""),"",I2313-H2313)</x:f>
      </x:c>
      <x:c r="K2313" s="7" t="str"/>
      <x:c r="L2313" s="7" t="str"/>
      <x:c r="M2313" s="7" t="str">
        <x:f>IF(L2313="","OPEN",IF(OR(NOT(ISNUMBER(H2313)),NOT(ISNUMBER(I2313)),NOT(ISNUMBER(K2313)),ABS(J2313)&gt;K2313),"FAIL","PASS"))</x:f>
        <x:v>OPEN</x:v>
      </x:c>
    </x:row>
    <x:row r="2314">
      <x:c r="B2314" s="7" t="str">
        <x:v>CAL-CH-PEA-C-Y2-01-4</x:v>
      </x:c>
      <x:c r="C2314" s="7" t="str">
        <x:v>CH-PEA-C-Y2-01-4</x:v>
      </x:c>
      <x:c r="D2314" s="7" t="str">
        <x:v>PEA-C-Y2</x:v>
      </x:c>
      <x:c r="E2314" s="7" t="str">
        <x:v>BLD-C</x:v>
      </x:c>
      <x:c r="F2314" s="7" t="str">
        <x:v>BL-Y</x:v>
      </x:c>
      <x:c r="G2314" s="7" t="str">
        <x:v>MF-01</x:v>
      </x:c>
      <x:c r="H2314" s="7" t="str"/>
      <x:c r="I2314" s="7" t="str"/>
      <x:c r="J2314" s="7" t="str">
        <x:f>IF(OR(H2314="",I2314=""),"",I2314-H2314)</x:f>
      </x:c>
      <x:c r="K2314" s="7" t="str"/>
      <x:c r="L2314" s="7" t="str"/>
      <x:c r="M2314" s="7" t="str">
        <x:f>IF(L2314="","OPEN",IF(OR(NOT(ISNUMBER(H2314)),NOT(ISNUMBER(I2314)),NOT(ISNUMBER(K2314)),ABS(J2314)&gt;K2314),"FAIL","PASS"))</x:f>
        <x:v>OPEN</x:v>
      </x:c>
    </x:row>
    <x:row r="2315">
      <x:c r="B2315" s="7" t="str">
        <x:v>CAL-CH-PEA-C-Y2-01-5</x:v>
      </x:c>
      <x:c r="C2315" s="7" t="str">
        <x:v>CH-PEA-C-Y2-01-5</x:v>
      </x:c>
      <x:c r="D2315" s="7" t="str">
        <x:v>PEA-C-Y2</x:v>
      </x:c>
      <x:c r="E2315" s="7" t="str">
        <x:v>BLD-C</x:v>
      </x:c>
      <x:c r="F2315" s="7" t="str">
        <x:v>BL-Y</x:v>
      </x:c>
      <x:c r="G2315" s="7" t="str">
        <x:v>MF-01</x:v>
      </x:c>
      <x:c r="H2315" s="7" t="str"/>
      <x:c r="I2315" s="7" t="str"/>
      <x:c r="J2315" s="7" t="str">
        <x:f>IF(OR(H2315="",I2315=""),"",I2315-H2315)</x:f>
      </x:c>
      <x:c r="K2315" s="7" t="str"/>
      <x:c r="L2315" s="7" t="str"/>
      <x:c r="M2315" s="7" t="str">
        <x:f>IF(L2315="","OPEN",IF(OR(NOT(ISNUMBER(H2315)),NOT(ISNUMBER(I2315)),NOT(ISNUMBER(K2315)),ABS(J2315)&gt;K2315),"FAIL","PASS"))</x:f>
        <x:v>OPEN</x:v>
      </x:c>
    </x:row>
    <x:row r="2316">
      <x:c r="B2316" s="7" t="str">
        <x:v>CAL-CH-PEA-C-Y2-01-6</x:v>
      </x:c>
      <x:c r="C2316" s="7" t="str">
        <x:v>CH-PEA-C-Y2-01-6</x:v>
      </x:c>
      <x:c r="D2316" s="7" t="str">
        <x:v>PEA-C-Y2</x:v>
      </x:c>
      <x:c r="E2316" s="7" t="str">
        <x:v>BLD-C</x:v>
      </x:c>
      <x:c r="F2316" s="7" t="str">
        <x:v>BL-Y</x:v>
      </x:c>
      <x:c r="G2316" s="7" t="str">
        <x:v>MF-01</x:v>
      </x:c>
      <x:c r="H2316" s="7" t="str"/>
      <x:c r="I2316" s="7" t="str"/>
      <x:c r="J2316" s="7" t="str">
        <x:f>IF(OR(H2316="",I2316=""),"",I2316-H2316)</x:f>
      </x:c>
      <x:c r="K2316" s="7" t="str"/>
      <x:c r="L2316" s="7" t="str"/>
      <x:c r="M2316" s="7" t="str">
        <x:f>IF(L2316="","OPEN",IF(OR(NOT(ISNUMBER(H2316)),NOT(ISNUMBER(I2316)),NOT(ISNUMBER(K2316)),ABS(J2316)&gt;K2316),"FAIL","PASS"))</x:f>
        <x:v>OPEN</x:v>
      </x:c>
    </x:row>
    <x:row r="2317">
      <x:c r="B2317" s="7" t="str">
        <x:v>CAL-CH-PEA-C-Y2-02-1</x:v>
      </x:c>
      <x:c r="C2317" s="7" t="str">
        <x:v>CH-PEA-C-Y2-02-1</x:v>
      </x:c>
      <x:c r="D2317" s="7" t="str">
        <x:v>PEA-C-Y2</x:v>
      </x:c>
      <x:c r="E2317" s="7" t="str">
        <x:v>BLD-C</x:v>
      </x:c>
      <x:c r="F2317" s="7" t="str">
        <x:v>BL-Y</x:v>
      </x:c>
      <x:c r="G2317" s="7" t="str">
        <x:v>MF-02</x:v>
      </x:c>
      <x:c r="H2317" s="7" t="str"/>
      <x:c r="I2317" s="7" t="str"/>
      <x:c r="J2317" s="7" t="str">
        <x:f>IF(OR(H2317="",I2317=""),"",I2317-H2317)</x:f>
      </x:c>
      <x:c r="K2317" s="7" t="str"/>
      <x:c r="L2317" s="7" t="str"/>
      <x:c r="M2317" s="7" t="str">
        <x:f>IF(L2317="","OPEN",IF(OR(NOT(ISNUMBER(H2317)),NOT(ISNUMBER(I2317)),NOT(ISNUMBER(K2317)),ABS(J2317)&gt;K2317),"FAIL","PASS"))</x:f>
        <x:v>OPEN</x:v>
      </x:c>
    </x:row>
    <x:row r="2318">
      <x:c r="B2318" s="7" t="str">
        <x:v>CAL-CH-PEA-C-Y2-02-2</x:v>
      </x:c>
      <x:c r="C2318" s="7" t="str">
        <x:v>CH-PEA-C-Y2-02-2</x:v>
      </x:c>
      <x:c r="D2318" s="7" t="str">
        <x:v>PEA-C-Y2</x:v>
      </x:c>
      <x:c r="E2318" s="7" t="str">
        <x:v>BLD-C</x:v>
      </x:c>
      <x:c r="F2318" s="7" t="str">
        <x:v>BL-Y</x:v>
      </x:c>
      <x:c r="G2318" s="7" t="str">
        <x:v>MF-02</x:v>
      </x:c>
      <x:c r="H2318" s="7" t="str"/>
      <x:c r="I2318" s="7" t="str"/>
      <x:c r="J2318" s="7" t="str">
        <x:f>IF(OR(H2318="",I2318=""),"",I2318-H2318)</x:f>
      </x:c>
      <x:c r="K2318" s="7" t="str"/>
      <x:c r="L2318" s="7" t="str"/>
      <x:c r="M2318" s="7" t="str">
        <x:f>IF(L2318="","OPEN",IF(OR(NOT(ISNUMBER(H2318)),NOT(ISNUMBER(I2318)),NOT(ISNUMBER(K2318)),ABS(J2318)&gt;K2318),"FAIL","PASS"))</x:f>
        <x:v>OPEN</x:v>
      </x:c>
    </x:row>
    <x:row r="2319">
      <x:c r="B2319" s="7" t="str">
        <x:v>CAL-CH-PEA-C-Y2-02-3</x:v>
      </x:c>
      <x:c r="C2319" s="7" t="str">
        <x:v>CH-PEA-C-Y2-02-3</x:v>
      </x:c>
      <x:c r="D2319" s="7" t="str">
        <x:v>PEA-C-Y2</x:v>
      </x:c>
      <x:c r="E2319" s="7" t="str">
        <x:v>BLD-C</x:v>
      </x:c>
      <x:c r="F2319" s="7" t="str">
        <x:v>BL-Y</x:v>
      </x:c>
      <x:c r="G2319" s="7" t="str">
        <x:v>MF-02</x:v>
      </x:c>
      <x:c r="H2319" s="7" t="str"/>
      <x:c r="I2319" s="7" t="str"/>
      <x:c r="J2319" s="7" t="str">
        <x:f>IF(OR(H2319="",I2319=""),"",I2319-H2319)</x:f>
      </x:c>
      <x:c r="K2319" s="7" t="str"/>
      <x:c r="L2319" s="7" t="str"/>
      <x:c r="M2319" s="7" t="str">
        <x:f>IF(L2319="","OPEN",IF(OR(NOT(ISNUMBER(H2319)),NOT(ISNUMBER(I2319)),NOT(ISNUMBER(K2319)),ABS(J2319)&gt;K2319),"FAIL","PASS"))</x:f>
        <x:v>OPEN</x:v>
      </x:c>
    </x:row>
    <x:row r="2320">
      <x:c r="B2320" s="7" t="str">
        <x:v>CAL-CH-PEA-C-Y2-02-4</x:v>
      </x:c>
      <x:c r="C2320" s="7" t="str">
        <x:v>CH-PEA-C-Y2-02-4</x:v>
      </x:c>
      <x:c r="D2320" s="7" t="str">
        <x:v>PEA-C-Y2</x:v>
      </x:c>
      <x:c r="E2320" s="7" t="str">
        <x:v>BLD-C</x:v>
      </x:c>
      <x:c r="F2320" s="7" t="str">
        <x:v>BL-Y</x:v>
      </x:c>
      <x:c r="G2320" s="7" t="str">
        <x:v>MF-02</x:v>
      </x:c>
      <x:c r="H2320" s="7" t="str"/>
      <x:c r="I2320" s="7" t="str"/>
      <x:c r="J2320" s="7" t="str">
        <x:f>IF(OR(H2320="",I2320=""),"",I2320-H2320)</x:f>
      </x:c>
      <x:c r="K2320" s="7" t="str"/>
      <x:c r="L2320" s="7" t="str"/>
      <x:c r="M2320" s="7" t="str">
        <x:f>IF(L2320="","OPEN",IF(OR(NOT(ISNUMBER(H2320)),NOT(ISNUMBER(I2320)),NOT(ISNUMBER(K2320)),ABS(J2320)&gt;K2320),"FAIL","PASS"))</x:f>
        <x:v>OPEN</x:v>
      </x:c>
    </x:row>
    <x:row r="2321">
      <x:c r="B2321" s="7" t="str">
        <x:v>CAL-CH-PEA-C-Y2-02-5</x:v>
      </x:c>
      <x:c r="C2321" s="7" t="str">
        <x:v>CH-PEA-C-Y2-02-5</x:v>
      </x:c>
      <x:c r="D2321" s="7" t="str">
        <x:v>PEA-C-Y2</x:v>
      </x:c>
      <x:c r="E2321" s="7" t="str">
        <x:v>BLD-C</x:v>
      </x:c>
      <x:c r="F2321" s="7" t="str">
        <x:v>BL-Y</x:v>
      </x:c>
      <x:c r="G2321" s="7" t="str">
        <x:v>MF-02</x:v>
      </x:c>
      <x:c r="H2321" s="7" t="str"/>
      <x:c r="I2321" s="7" t="str"/>
      <x:c r="J2321" s="7" t="str">
        <x:f>IF(OR(H2321="",I2321=""),"",I2321-H2321)</x:f>
      </x:c>
      <x:c r="K2321" s="7" t="str"/>
      <x:c r="L2321" s="7" t="str"/>
      <x:c r="M2321" s="7" t="str">
        <x:f>IF(L2321="","OPEN",IF(OR(NOT(ISNUMBER(H2321)),NOT(ISNUMBER(I2321)),NOT(ISNUMBER(K2321)),ABS(J2321)&gt;K2321),"FAIL","PASS"))</x:f>
        <x:v>OPEN</x:v>
      </x:c>
    </x:row>
    <x:row r="2322">
      <x:c r="B2322" s="7" t="str">
        <x:v>CAL-CH-PEA-C-Y2-02-6</x:v>
      </x:c>
      <x:c r="C2322" s="7" t="str">
        <x:v>CH-PEA-C-Y2-02-6</x:v>
      </x:c>
      <x:c r="D2322" s="7" t="str">
        <x:v>PEA-C-Y2</x:v>
      </x:c>
      <x:c r="E2322" s="7" t="str">
        <x:v>BLD-C</x:v>
      </x:c>
      <x:c r="F2322" s="7" t="str">
        <x:v>BL-Y</x:v>
      </x:c>
      <x:c r="G2322" s="7" t="str">
        <x:v>MF-02</x:v>
      </x:c>
      <x:c r="H2322" s="7" t="str"/>
      <x:c r="I2322" s="7" t="str"/>
      <x:c r="J2322" s="7" t="str">
        <x:f>IF(OR(H2322="",I2322=""),"",I2322-H2322)</x:f>
      </x:c>
      <x:c r="K2322" s="7" t="str"/>
      <x:c r="L2322" s="7" t="str"/>
      <x:c r="M2322" s="7" t="str">
        <x:f>IF(L2322="","OPEN",IF(OR(NOT(ISNUMBER(H2322)),NOT(ISNUMBER(I2322)),NOT(ISNUMBER(K2322)),ABS(J2322)&gt;K2322),"FAIL","PASS"))</x:f>
        <x:v>OPEN</x:v>
      </x:c>
    </x:row>
    <x:row r="2323">
      <x:c r="B2323" s="7" t="str">
        <x:v>CAL-CH-PEA-C-Y2-03-1</x:v>
      </x:c>
      <x:c r="C2323" s="7" t="str">
        <x:v>CH-PEA-C-Y2-03-1</x:v>
      </x:c>
      <x:c r="D2323" s="7" t="str">
        <x:v>PEA-C-Y2</x:v>
      </x:c>
      <x:c r="E2323" s="7" t="str">
        <x:v>BLD-C</x:v>
      </x:c>
      <x:c r="F2323" s="7" t="str">
        <x:v>BL-Y</x:v>
      </x:c>
      <x:c r="G2323" s="7" t="str">
        <x:v>MF-03</x:v>
      </x:c>
      <x:c r="H2323" s="7" t="str"/>
      <x:c r="I2323" s="7" t="str"/>
      <x:c r="J2323" s="7" t="str">
        <x:f>IF(OR(H2323="",I2323=""),"",I2323-H2323)</x:f>
      </x:c>
      <x:c r="K2323" s="7" t="str"/>
      <x:c r="L2323" s="7" t="str"/>
      <x:c r="M2323" s="7" t="str">
        <x:f>IF(L2323="","OPEN",IF(OR(NOT(ISNUMBER(H2323)),NOT(ISNUMBER(I2323)),NOT(ISNUMBER(K2323)),ABS(J2323)&gt;K2323),"FAIL","PASS"))</x:f>
        <x:v>OPEN</x:v>
      </x:c>
    </x:row>
    <x:row r="2324">
      <x:c r="B2324" s="7" t="str">
        <x:v>CAL-CH-PEA-C-Y2-03-2</x:v>
      </x:c>
      <x:c r="C2324" s="7" t="str">
        <x:v>CH-PEA-C-Y2-03-2</x:v>
      </x:c>
      <x:c r="D2324" s="7" t="str">
        <x:v>PEA-C-Y2</x:v>
      </x:c>
      <x:c r="E2324" s="7" t="str">
        <x:v>BLD-C</x:v>
      </x:c>
      <x:c r="F2324" s="7" t="str">
        <x:v>BL-Y</x:v>
      </x:c>
      <x:c r="G2324" s="7" t="str">
        <x:v>MF-03</x:v>
      </x:c>
      <x:c r="H2324" s="7" t="str"/>
      <x:c r="I2324" s="7" t="str"/>
      <x:c r="J2324" s="7" t="str">
        <x:f>IF(OR(H2324="",I2324=""),"",I2324-H2324)</x:f>
      </x:c>
      <x:c r="K2324" s="7" t="str"/>
      <x:c r="L2324" s="7" t="str"/>
      <x:c r="M2324" s="7" t="str">
        <x:f>IF(L2324="","OPEN",IF(OR(NOT(ISNUMBER(H2324)),NOT(ISNUMBER(I2324)),NOT(ISNUMBER(K2324)),ABS(J2324)&gt;K2324),"FAIL","PASS"))</x:f>
        <x:v>OPEN</x:v>
      </x:c>
    </x:row>
    <x:row r="2325">
      <x:c r="B2325" s="7" t="str">
        <x:v>CAL-CH-PEA-C-Y2-03-3</x:v>
      </x:c>
      <x:c r="C2325" s="7" t="str">
        <x:v>CH-PEA-C-Y2-03-3</x:v>
      </x:c>
      <x:c r="D2325" s="7" t="str">
        <x:v>PEA-C-Y2</x:v>
      </x:c>
      <x:c r="E2325" s="7" t="str">
        <x:v>BLD-C</x:v>
      </x:c>
      <x:c r="F2325" s="7" t="str">
        <x:v>BL-Y</x:v>
      </x:c>
      <x:c r="G2325" s="7" t="str">
        <x:v>MF-03</x:v>
      </x:c>
      <x:c r="H2325" s="7" t="str"/>
      <x:c r="I2325" s="7" t="str"/>
      <x:c r="J2325" s="7" t="str">
        <x:f>IF(OR(H2325="",I2325=""),"",I2325-H2325)</x:f>
      </x:c>
      <x:c r="K2325" s="7" t="str"/>
      <x:c r="L2325" s="7" t="str"/>
      <x:c r="M2325" s="7" t="str">
        <x:f>IF(L2325="","OPEN",IF(OR(NOT(ISNUMBER(H2325)),NOT(ISNUMBER(I2325)),NOT(ISNUMBER(K2325)),ABS(J2325)&gt;K2325),"FAIL","PASS"))</x:f>
        <x:v>OPEN</x:v>
      </x:c>
    </x:row>
    <x:row r="2326">
      <x:c r="B2326" s="7" t="str">
        <x:v>CAL-CH-PEA-C-Y2-03-4</x:v>
      </x:c>
      <x:c r="C2326" s="7" t="str">
        <x:v>CH-PEA-C-Y2-03-4</x:v>
      </x:c>
      <x:c r="D2326" s="7" t="str">
        <x:v>PEA-C-Y2</x:v>
      </x:c>
      <x:c r="E2326" s="7" t="str">
        <x:v>BLD-C</x:v>
      </x:c>
      <x:c r="F2326" s="7" t="str">
        <x:v>BL-Y</x:v>
      </x:c>
      <x:c r="G2326" s="7" t="str">
        <x:v>MF-03</x:v>
      </x:c>
      <x:c r="H2326" s="7" t="str"/>
      <x:c r="I2326" s="7" t="str"/>
      <x:c r="J2326" s="7" t="str">
        <x:f>IF(OR(H2326="",I2326=""),"",I2326-H2326)</x:f>
      </x:c>
      <x:c r="K2326" s="7" t="str"/>
      <x:c r="L2326" s="7" t="str"/>
      <x:c r="M2326" s="7" t="str">
        <x:f>IF(L2326="","OPEN",IF(OR(NOT(ISNUMBER(H2326)),NOT(ISNUMBER(I2326)),NOT(ISNUMBER(K2326)),ABS(J2326)&gt;K2326),"FAIL","PASS"))</x:f>
        <x:v>OPEN</x:v>
      </x:c>
    </x:row>
    <x:row r="2327">
      <x:c r="B2327" s="7" t="str">
        <x:v>CAL-CH-PEA-C-Y2-03-5</x:v>
      </x:c>
      <x:c r="C2327" s="7" t="str">
        <x:v>CH-PEA-C-Y2-03-5</x:v>
      </x:c>
      <x:c r="D2327" s="7" t="str">
        <x:v>PEA-C-Y2</x:v>
      </x:c>
      <x:c r="E2327" s="7" t="str">
        <x:v>BLD-C</x:v>
      </x:c>
      <x:c r="F2327" s="7" t="str">
        <x:v>BL-Y</x:v>
      </x:c>
      <x:c r="G2327" s="7" t="str">
        <x:v>MF-03</x:v>
      </x:c>
      <x:c r="H2327" s="7" t="str"/>
      <x:c r="I2327" s="7" t="str"/>
      <x:c r="J2327" s="7" t="str">
        <x:f>IF(OR(H2327="",I2327=""),"",I2327-H2327)</x:f>
      </x:c>
      <x:c r="K2327" s="7" t="str"/>
      <x:c r="L2327" s="7" t="str"/>
      <x:c r="M2327" s="7" t="str">
        <x:f>IF(L2327="","OPEN",IF(OR(NOT(ISNUMBER(H2327)),NOT(ISNUMBER(I2327)),NOT(ISNUMBER(K2327)),ABS(J2327)&gt;K2327),"FAIL","PASS"))</x:f>
        <x:v>OPEN</x:v>
      </x:c>
    </x:row>
    <x:row r="2328">
      <x:c r="B2328" s="7" t="str">
        <x:v>CAL-CH-PEA-C-Y2-03-6</x:v>
      </x:c>
      <x:c r="C2328" s="7" t="str">
        <x:v>CH-PEA-C-Y2-03-6</x:v>
      </x:c>
      <x:c r="D2328" s="7" t="str">
        <x:v>PEA-C-Y2</x:v>
      </x:c>
      <x:c r="E2328" s="7" t="str">
        <x:v>BLD-C</x:v>
      </x:c>
      <x:c r="F2328" s="7" t="str">
        <x:v>BL-Y</x:v>
      </x:c>
      <x:c r="G2328" s="7" t="str">
        <x:v>MF-03</x:v>
      </x:c>
      <x:c r="H2328" s="7" t="str"/>
      <x:c r="I2328" s="7" t="str"/>
      <x:c r="J2328" s="7" t="str">
        <x:f>IF(OR(H2328="",I2328=""),"",I2328-H2328)</x:f>
      </x:c>
      <x:c r="K2328" s="7" t="str"/>
      <x:c r="L2328" s="7" t="str"/>
      <x:c r="M2328" s="7" t="str">
        <x:f>IF(L2328="","OPEN",IF(OR(NOT(ISNUMBER(H2328)),NOT(ISNUMBER(I2328)),NOT(ISNUMBER(K2328)),ABS(J2328)&gt;K2328),"FAIL","PASS"))</x:f>
        <x:v>OPEN</x:v>
      </x:c>
    </x:row>
    <x:row r="2329">
      <x:c r="B2329" s="7" t="str">
        <x:v>CAL-CH-PEA-C-Y2-04-1</x:v>
      </x:c>
      <x:c r="C2329" s="7" t="str">
        <x:v>CH-PEA-C-Y2-04-1</x:v>
      </x:c>
      <x:c r="D2329" s="7" t="str">
        <x:v>PEA-C-Y2</x:v>
      </x:c>
      <x:c r="E2329" s="7" t="str">
        <x:v>BLD-C</x:v>
      </x:c>
      <x:c r="F2329" s="7" t="str">
        <x:v>BL-Y</x:v>
      </x:c>
      <x:c r="G2329" s="7" t="str">
        <x:v>MF-04</x:v>
      </x:c>
      <x:c r="H2329" s="7" t="str"/>
      <x:c r="I2329" s="7" t="str"/>
      <x:c r="J2329" s="7" t="str">
        <x:f>IF(OR(H2329="",I2329=""),"",I2329-H2329)</x:f>
      </x:c>
      <x:c r="K2329" s="7" t="str"/>
      <x:c r="L2329" s="7" t="str"/>
      <x:c r="M2329" s="7" t="str">
        <x:f>IF(L2329="","OPEN",IF(OR(NOT(ISNUMBER(H2329)),NOT(ISNUMBER(I2329)),NOT(ISNUMBER(K2329)),ABS(J2329)&gt;K2329),"FAIL","PASS"))</x:f>
        <x:v>OPEN</x:v>
      </x:c>
    </x:row>
    <x:row r="2330">
      <x:c r="B2330" s="7" t="str">
        <x:v>CAL-CH-PEA-C-Y2-04-2</x:v>
      </x:c>
      <x:c r="C2330" s="7" t="str">
        <x:v>CH-PEA-C-Y2-04-2</x:v>
      </x:c>
      <x:c r="D2330" s="7" t="str">
        <x:v>PEA-C-Y2</x:v>
      </x:c>
      <x:c r="E2330" s="7" t="str">
        <x:v>BLD-C</x:v>
      </x:c>
      <x:c r="F2330" s="7" t="str">
        <x:v>BL-Y</x:v>
      </x:c>
      <x:c r="G2330" s="7" t="str">
        <x:v>MF-04</x:v>
      </x:c>
      <x:c r="H2330" s="7" t="str"/>
      <x:c r="I2330" s="7" t="str"/>
      <x:c r="J2330" s="7" t="str">
        <x:f>IF(OR(H2330="",I2330=""),"",I2330-H2330)</x:f>
      </x:c>
      <x:c r="K2330" s="7" t="str"/>
      <x:c r="L2330" s="7" t="str"/>
      <x:c r="M2330" s="7" t="str">
        <x:f>IF(L2330="","OPEN",IF(OR(NOT(ISNUMBER(H2330)),NOT(ISNUMBER(I2330)),NOT(ISNUMBER(K2330)),ABS(J2330)&gt;K2330),"FAIL","PASS"))</x:f>
        <x:v>OPEN</x:v>
      </x:c>
    </x:row>
    <x:row r="2331">
      <x:c r="B2331" s="7" t="str">
        <x:v>CAL-CH-PEA-C-Y2-04-3</x:v>
      </x:c>
      <x:c r="C2331" s="7" t="str">
        <x:v>CH-PEA-C-Y2-04-3</x:v>
      </x:c>
      <x:c r="D2331" s="7" t="str">
        <x:v>PEA-C-Y2</x:v>
      </x:c>
      <x:c r="E2331" s="7" t="str">
        <x:v>BLD-C</x:v>
      </x:c>
      <x:c r="F2331" s="7" t="str">
        <x:v>BL-Y</x:v>
      </x:c>
      <x:c r="G2331" s="7" t="str">
        <x:v>MF-04</x:v>
      </x:c>
      <x:c r="H2331" s="7" t="str"/>
      <x:c r="I2331" s="7" t="str"/>
      <x:c r="J2331" s="7" t="str">
        <x:f>IF(OR(H2331="",I2331=""),"",I2331-H2331)</x:f>
      </x:c>
      <x:c r="K2331" s="7" t="str"/>
      <x:c r="L2331" s="7" t="str"/>
      <x:c r="M2331" s="7" t="str">
        <x:f>IF(L2331="","OPEN",IF(OR(NOT(ISNUMBER(H2331)),NOT(ISNUMBER(I2331)),NOT(ISNUMBER(K2331)),ABS(J2331)&gt;K2331),"FAIL","PASS"))</x:f>
        <x:v>OPEN</x:v>
      </x:c>
    </x:row>
    <x:row r="2332">
      <x:c r="B2332" s="7" t="str">
        <x:v>CAL-CH-PEA-C-Y2-04-4</x:v>
      </x:c>
      <x:c r="C2332" s="7" t="str">
        <x:v>CH-PEA-C-Y2-04-4</x:v>
      </x:c>
      <x:c r="D2332" s="7" t="str">
        <x:v>PEA-C-Y2</x:v>
      </x:c>
      <x:c r="E2332" s="7" t="str">
        <x:v>BLD-C</x:v>
      </x:c>
      <x:c r="F2332" s="7" t="str">
        <x:v>BL-Y</x:v>
      </x:c>
      <x:c r="G2332" s="7" t="str">
        <x:v>MF-04</x:v>
      </x:c>
      <x:c r="H2332" s="7" t="str"/>
      <x:c r="I2332" s="7" t="str"/>
      <x:c r="J2332" s="7" t="str">
        <x:f>IF(OR(H2332="",I2332=""),"",I2332-H2332)</x:f>
      </x:c>
      <x:c r="K2332" s="7" t="str"/>
      <x:c r="L2332" s="7" t="str"/>
      <x:c r="M2332" s="7" t="str">
        <x:f>IF(L2332="","OPEN",IF(OR(NOT(ISNUMBER(H2332)),NOT(ISNUMBER(I2332)),NOT(ISNUMBER(K2332)),ABS(J2332)&gt;K2332),"FAIL","PASS"))</x:f>
        <x:v>OPEN</x:v>
      </x:c>
    </x:row>
    <x:row r="2333">
      <x:c r="B2333" s="7" t="str">
        <x:v>CAL-CH-PEA-C-Y2-04-5</x:v>
      </x:c>
      <x:c r="C2333" s="7" t="str">
        <x:v>CH-PEA-C-Y2-04-5</x:v>
      </x:c>
      <x:c r="D2333" s="7" t="str">
        <x:v>PEA-C-Y2</x:v>
      </x:c>
      <x:c r="E2333" s="7" t="str">
        <x:v>BLD-C</x:v>
      </x:c>
      <x:c r="F2333" s="7" t="str">
        <x:v>BL-Y</x:v>
      </x:c>
      <x:c r="G2333" s="7" t="str">
        <x:v>MF-04</x:v>
      </x:c>
      <x:c r="H2333" s="7" t="str"/>
      <x:c r="I2333" s="7" t="str"/>
      <x:c r="J2333" s="7" t="str">
        <x:f>IF(OR(H2333="",I2333=""),"",I2333-H2333)</x:f>
      </x:c>
      <x:c r="K2333" s="7" t="str"/>
      <x:c r="L2333" s="7" t="str"/>
      <x:c r="M2333" s="7" t="str">
        <x:f>IF(L2333="","OPEN",IF(OR(NOT(ISNUMBER(H2333)),NOT(ISNUMBER(I2333)),NOT(ISNUMBER(K2333)),ABS(J2333)&gt;K2333),"FAIL","PASS"))</x:f>
        <x:v>OPEN</x:v>
      </x:c>
    </x:row>
    <x:row r="2334">
      <x:c r="B2334" s="7" t="str">
        <x:v>CAL-CH-PEA-C-Y2-04-6</x:v>
      </x:c>
      <x:c r="C2334" s="7" t="str">
        <x:v>CH-PEA-C-Y2-04-6</x:v>
      </x:c>
      <x:c r="D2334" s="7" t="str">
        <x:v>PEA-C-Y2</x:v>
      </x:c>
      <x:c r="E2334" s="7" t="str">
        <x:v>BLD-C</x:v>
      </x:c>
      <x:c r="F2334" s="7" t="str">
        <x:v>BL-Y</x:v>
      </x:c>
      <x:c r="G2334" s="7" t="str">
        <x:v>MF-04</x:v>
      </x:c>
      <x:c r="H2334" s="7" t="str"/>
      <x:c r="I2334" s="7" t="str"/>
      <x:c r="J2334" s="7" t="str">
        <x:f>IF(OR(H2334="",I2334=""),"",I2334-H2334)</x:f>
      </x:c>
      <x:c r="K2334" s="7" t="str"/>
      <x:c r="L2334" s="7" t="str"/>
      <x:c r="M2334" s="7" t="str">
        <x:f>IF(L2334="","OPEN",IF(OR(NOT(ISNUMBER(H2334)),NOT(ISNUMBER(I2334)),NOT(ISNUMBER(K2334)),ABS(J2334)&gt;K2334),"FAIL","PASS"))</x:f>
        <x:v>OPEN</x:v>
      </x:c>
    </x:row>
    <x:row r="2335">
      <x:c r="B2335" s="7" t="str">
        <x:v>CAL-CH-PEA-C-Y2-05-1</x:v>
      </x:c>
      <x:c r="C2335" s="7" t="str">
        <x:v>CH-PEA-C-Y2-05-1</x:v>
      </x:c>
      <x:c r="D2335" s="7" t="str">
        <x:v>PEA-C-Y2</x:v>
      </x:c>
      <x:c r="E2335" s="7" t="str">
        <x:v>BLD-C</x:v>
      </x:c>
      <x:c r="F2335" s="7" t="str">
        <x:v>BL-Y</x:v>
      </x:c>
      <x:c r="G2335" s="7" t="str">
        <x:v>MF-05</x:v>
      </x:c>
      <x:c r="H2335" s="7" t="str"/>
      <x:c r="I2335" s="7" t="str"/>
      <x:c r="J2335" s="7" t="str">
        <x:f>IF(OR(H2335="",I2335=""),"",I2335-H2335)</x:f>
      </x:c>
      <x:c r="K2335" s="7" t="str"/>
      <x:c r="L2335" s="7" t="str"/>
      <x:c r="M2335" s="7" t="str">
        <x:f>IF(L2335="","OPEN",IF(OR(NOT(ISNUMBER(H2335)),NOT(ISNUMBER(I2335)),NOT(ISNUMBER(K2335)),ABS(J2335)&gt;K2335),"FAIL","PASS"))</x:f>
        <x:v>OPEN</x:v>
      </x:c>
    </x:row>
    <x:row r="2336">
      <x:c r="B2336" s="7" t="str">
        <x:v>CAL-CH-PEA-C-Y2-05-2</x:v>
      </x:c>
      <x:c r="C2336" s="7" t="str">
        <x:v>CH-PEA-C-Y2-05-2</x:v>
      </x:c>
      <x:c r="D2336" s="7" t="str">
        <x:v>PEA-C-Y2</x:v>
      </x:c>
      <x:c r="E2336" s="7" t="str">
        <x:v>BLD-C</x:v>
      </x:c>
      <x:c r="F2336" s="7" t="str">
        <x:v>BL-Y</x:v>
      </x:c>
      <x:c r="G2336" s="7" t="str">
        <x:v>MF-05</x:v>
      </x:c>
      <x:c r="H2336" s="7" t="str"/>
      <x:c r="I2336" s="7" t="str"/>
      <x:c r="J2336" s="7" t="str">
        <x:f>IF(OR(H2336="",I2336=""),"",I2336-H2336)</x:f>
      </x:c>
      <x:c r="K2336" s="7" t="str"/>
      <x:c r="L2336" s="7" t="str"/>
      <x:c r="M2336" s="7" t="str">
        <x:f>IF(L2336="","OPEN",IF(OR(NOT(ISNUMBER(H2336)),NOT(ISNUMBER(I2336)),NOT(ISNUMBER(K2336)),ABS(J2336)&gt;K2336),"FAIL","PASS"))</x:f>
        <x:v>OPEN</x:v>
      </x:c>
    </x:row>
    <x:row r="2337">
      <x:c r="B2337" s="7" t="str">
        <x:v>CAL-CH-PEA-C-Y2-05-3</x:v>
      </x:c>
      <x:c r="C2337" s="7" t="str">
        <x:v>CH-PEA-C-Y2-05-3</x:v>
      </x:c>
      <x:c r="D2337" s="7" t="str">
        <x:v>PEA-C-Y2</x:v>
      </x:c>
      <x:c r="E2337" s="7" t="str">
        <x:v>BLD-C</x:v>
      </x:c>
      <x:c r="F2337" s="7" t="str">
        <x:v>BL-Y</x:v>
      </x:c>
      <x:c r="G2337" s="7" t="str">
        <x:v>MF-05</x:v>
      </x:c>
      <x:c r="H2337" s="7" t="str"/>
      <x:c r="I2337" s="7" t="str"/>
      <x:c r="J2337" s="7" t="str">
        <x:f>IF(OR(H2337="",I2337=""),"",I2337-H2337)</x:f>
      </x:c>
      <x:c r="K2337" s="7" t="str"/>
      <x:c r="L2337" s="7" t="str"/>
      <x:c r="M2337" s="7" t="str">
        <x:f>IF(L2337="","OPEN",IF(OR(NOT(ISNUMBER(H2337)),NOT(ISNUMBER(I2337)),NOT(ISNUMBER(K2337)),ABS(J2337)&gt;K2337),"FAIL","PASS"))</x:f>
        <x:v>OPEN</x:v>
      </x:c>
    </x:row>
    <x:row r="2338">
      <x:c r="B2338" s="7" t="str">
        <x:v>CAL-CH-PEA-C-Y2-05-4</x:v>
      </x:c>
      <x:c r="C2338" s="7" t="str">
        <x:v>CH-PEA-C-Y2-05-4</x:v>
      </x:c>
      <x:c r="D2338" s="7" t="str">
        <x:v>PEA-C-Y2</x:v>
      </x:c>
      <x:c r="E2338" s="7" t="str">
        <x:v>BLD-C</x:v>
      </x:c>
      <x:c r="F2338" s="7" t="str">
        <x:v>BL-Y</x:v>
      </x:c>
      <x:c r="G2338" s="7" t="str">
        <x:v>MF-05</x:v>
      </x:c>
      <x:c r="H2338" s="7" t="str"/>
      <x:c r="I2338" s="7" t="str"/>
      <x:c r="J2338" s="7" t="str">
        <x:f>IF(OR(H2338="",I2338=""),"",I2338-H2338)</x:f>
      </x:c>
      <x:c r="K2338" s="7" t="str"/>
      <x:c r="L2338" s="7" t="str"/>
      <x:c r="M2338" s="7" t="str">
        <x:f>IF(L2338="","OPEN",IF(OR(NOT(ISNUMBER(H2338)),NOT(ISNUMBER(I2338)),NOT(ISNUMBER(K2338)),ABS(J2338)&gt;K2338),"FAIL","PASS"))</x:f>
        <x:v>OPEN</x:v>
      </x:c>
    </x:row>
    <x:row r="2339">
      <x:c r="B2339" s="7" t="str">
        <x:v>CAL-CH-PEA-C-Y2-05-5</x:v>
      </x:c>
      <x:c r="C2339" s="7" t="str">
        <x:v>CH-PEA-C-Y2-05-5</x:v>
      </x:c>
      <x:c r="D2339" s="7" t="str">
        <x:v>PEA-C-Y2</x:v>
      </x:c>
      <x:c r="E2339" s="7" t="str">
        <x:v>BLD-C</x:v>
      </x:c>
      <x:c r="F2339" s="7" t="str">
        <x:v>BL-Y</x:v>
      </x:c>
      <x:c r="G2339" s="7" t="str">
        <x:v>MF-05</x:v>
      </x:c>
      <x:c r="H2339" s="7" t="str"/>
      <x:c r="I2339" s="7" t="str"/>
      <x:c r="J2339" s="7" t="str">
        <x:f>IF(OR(H2339="",I2339=""),"",I2339-H2339)</x:f>
      </x:c>
      <x:c r="K2339" s="7" t="str"/>
      <x:c r="L2339" s="7" t="str"/>
      <x:c r="M2339" s="7" t="str">
        <x:f>IF(L2339="","OPEN",IF(OR(NOT(ISNUMBER(H2339)),NOT(ISNUMBER(I2339)),NOT(ISNUMBER(K2339)),ABS(J2339)&gt;K2339),"FAIL","PASS"))</x:f>
        <x:v>OPEN</x:v>
      </x:c>
    </x:row>
    <x:row r="2340">
      <x:c r="B2340" s="7" t="str">
        <x:v>CAL-CH-PEA-C-Y2-05-6</x:v>
      </x:c>
      <x:c r="C2340" s="7" t="str">
        <x:v>CH-PEA-C-Y2-05-6</x:v>
      </x:c>
      <x:c r="D2340" s="7" t="str">
        <x:v>PEA-C-Y2</x:v>
      </x:c>
      <x:c r="E2340" s="7" t="str">
        <x:v>BLD-C</x:v>
      </x:c>
      <x:c r="F2340" s="7" t="str">
        <x:v>BL-Y</x:v>
      </x:c>
      <x:c r="G2340" s="7" t="str">
        <x:v>MF-05</x:v>
      </x:c>
      <x:c r="H2340" s="7" t="str"/>
      <x:c r="I2340" s="7" t="str"/>
      <x:c r="J2340" s="7" t="str">
        <x:f>IF(OR(H2340="",I2340=""),"",I2340-H2340)</x:f>
      </x:c>
      <x:c r="K2340" s="7" t="str"/>
      <x:c r="L2340" s="7" t="str"/>
      <x:c r="M2340" s="7" t="str">
        <x:f>IF(L2340="","OPEN",IF(OR(NOT(ISNUMBER(H2340)),NOT(ISNUMBER(I2340)),NOT(ISNUMBER(K2340)),ABS(J2340)&gt;K2340),"FAIL","PASS"))</x:f>
        <x:v>OPEN</x:v>
      </x:c>
    </x:row>
    <x:row r="2341">
      <x:c r="B2341" s="7" t="str">
        <x:v>CAL-CH-PEA-C-Y2-06-1</x:v>
      </x:c>
      <x:c r="C2341" s="7" t="str">
        <x:v>CH-PEA-C-Y2-06-1</x:v>
      </x:c>
      <x:c r="D2341" s="7" t="str">
        <x:v>PEA-C-Y2</x:v>
      </x:c>
      <x:c r="E2341" s="7" t="str">
        <x:v>BLD-C</x:v>
      </x:c>
      <x:c r="F2341" s="7" t="str">
        <x:v>BL-Y</x:v>
      </x:c>
      <x:c r="G2341" s="7" t="str">
        <x:v>MF-06</x:v>
      </x:c>
      <x:c r="H2341" s="7" t="str"/>
      <x:c r="I2341" s="7" t="str"/>
      <x:c r="J2341" s="7" t="str">
        <x:f>IF(OR(H2341="",I2341=""),"",I2341-H2341)</x:f>
      </x:c>
      <x:c r="K2341" s="7" t="str"/>
      <x:c r="L2341" s="7" t="str"/>
      <x:c r="M2341" s="7" t="str">
        <x:f>IF(L2341="","OPEN",IF(OR(NOT(ISNUMBER(H2341)),NOT(ISNUMBER(I2341)),NOT(ISNUMBER(K2341)),ABS(J2341)&gt;K2341),"FAIL","PASS"))</x:f>
        <x:v>OPEN</x:v>
      </x:c>
    </x:row>
    <x:row r="2342">
      <x:c r="B2342" s="7" t="str">
        <x:v>CAL-CH-PEA-C-Y2-06-2</x:v>
      </x:c>
      <x:c r="C2342" s="7" t="str">
        <x:v>CH-PEA-C-Y2-06-2</x:v>
      </x:c>
      <x:c r="D2342" s="7" t="str">
        <x:v>PEA-C-Y2</x:v>
      </x:c>
      <x:c r="E2342" s="7" t="str">
        <x:v>BLD-C</x:v>
      </x:c>
      <x:c r="F2342" s="7" t="str">
        <x:v>BL-Y</x:v>
      </x:c>
      <x:c r="G2342" s="7" t="str">
        <x:v>MF-06</x:v>
      </x:c>
      <x:c r="H2342" s="7" t="str"/>
      <x:c r="I2342" s="7" t="str"/>
      <x:c r="J2342" s="7" t="str">
        <x:f>IF(OR(H2342="",I2342=""),"",I2342-H2342)</x:f>
      </x:c>
      <x:c r="K2342" s="7" t="str"/>
      <x:c r="L2342" s="7" t="str"/>
      <x:c r="M2342" s="7" t="str">
        <x:f>IF(L2342="","OPEN",IF(OR(NOT(ISNUMBER(H2342)),NOT(ISNUMBER(I2342)),NOT(ISNUMBER(K2342)),ABS(J2342)&gt;K2342),"FAIL","PASS"))</x:f>
        <x:v>OPEN</x:v>
      </x:c>
    </x:row>
    <x:row r="2343">
      <x:c r="B2343" s="7" t="str">
        <x:v>CAL-CH-PEA-C-Y2-06-3</x:v>
      </x:c>
      <x:c r="C2343" s="7" t="str">
        <x:v>CH-PEA-C-Y2-06-3</x:v>
      </x:c>
      <x:c r="D2343" s="7" t="str">
        <x:v>PEA-C-Y2</x:v>
      </x:c>
      <x:c r="E2343" s="7" t="str">
        <x:v>BLD-C</x:v>
      </x:c>
      <x:c r="F2343" s="7" t="str">
        <x:v>BL-Y</x:v>
      </x:c>
      <x:c r="G2343" s="7" t="str">
        <x:v>MF-06</x:v>
      </x:c>
      <x:c r="H2343" s="7" t="str"/>
      <x:c r="I2343" s="7" t="str"/>
      <x:c r="J2343" s="7" t="str">
        <x:f>IF(OR(H2343="",I2343=""),"",I2343-H2343)</x:f>
      </x:c>
      <x:c r="K2343" s="7" t="str"/>
      <x:c r="L2343" s="7" t="str"/>
      <x:c r="M2343" s="7" t="str">
        <x:f>IF(L2343="","OPEN",IF(OR(NOT(ISNUMBER(H2343)),NOT(ISNUMBER(I2343)),NOT(ISNUMBER(K2343)),ABS(J2343)&gt;K2343),"FAIL","PASS"))</x:f>
        <x:v>OPEN</x:v>
      </x:c>
    </x:row>
    <x:row r="2344">
      <x:c r="B2344" s="7" t="str">
        <x:v>CAL-CH-PEA-C-Y2-06-4</x:v>
      </x:c>
      <x:c r="C2344" s="7" t="str">
        <x:v>CH-PEA-C-Y2-06-4</x:v>
      </x:c>
      <x:c r="D2344" s="7" t="str">
        <x:v>PEA-C-Y2</x:v>
      </x:c>
      <x:c r="E2344" s="7" t="str">
        <x:v>BLD-C</x:v>
      </x:c>
      <x:c r="F2344" s="7" t="str">
        <x:v>BL-Y</x:v>
      </x:c>
      <x:c r="G2344" s="7" t="str">
        <x:v>MF-06</x:v>
      </x:c>
      <x:c r="H2344" s="7" t="str"/>
      <x:c r="I2344" s="7" t="str"/>
      <x:c r="J2344" s="7" t="str">
        <x:f>IF(OR(H2344="",I2344=""),"",I2344-H2344)</x:f>
      </x:c>
      <x:c r="K2344" s="7" t="str"/>
      <x:c r="L2344" s="7" t="str"/>
      <x:c r="M2344" s="7" t="str">
        <x:f>IF(L2344="","OPEN",IF(OR(NOT(ISNUMBER(H2344)),NOT(ISNUMBER(I2344)),NOT(ISNUMBER(K2344)),ABS(J2344)&gt;K2344),"FAIL","PASS"))</x:f>
        <x:v>OPEN</x:v>
      </x:c>
    </x:row>
    <x:row r="2345">
      <x:c r="B2345" s="7" t="str">
        <x:v>CAL-CH-PEA-C-Y2-06-5</x:v>
      </x:c>
      <x:c r="C2345" s="7" t="str">
        <x:v>CH-PEA-C-Y2-06-5</x:v>
      </x:c>
      <x:c r="D2345" s="7" t="str">
        <x:v>PEA-C-Y2</x:v>
      </x:c>
      <x:c r="E2345" s="7" t="str">
        <x:v>BLD-C</x:v>
      </x:c>
      <x:c r="F2345" s="7" t="str">
        <x:v>BL-Y</x:v>
      </x:c>
      <x:c r="G2345" s="7" t="str">
        <x:v>MF-06</x:v>
      </x:c>
      <x:c r="H2345" s="7" t="str"/>
      <x:c r="I2345" s="7" t="str"/>
      <x:c r="J2345" s="7" t="str">
        <x:f>IF(OR(H2345="",I2345=""),"",I2345-H2345)</x:f>
      </x:c>
      <x:c r="K2345" s="7" t="str"/>
      <x:c r="L2345" s="7" t="str"/>
      <x:c r="M2345" s="7" t="str">
        <x:f>IF(L2345="","OPEN",IF(OR(NOT(ISNUMBER(H2345)),NOT(ISNUMBER(I2345)),NOT(ISNUMBER(K2345)),ABS(J2345)&gt;K2345),"FAIL","PASS"))</x:f>
        <x:v>OPEN</x:v>
      </x:c>
    </x:row>
    <x:row r="2346">
      <x:c r="B2346" s="7" t="str">
        <x:v>CAL-CH-PEA-C-Y2-06-6</x:v>
      </x:c>
      <x:c r="C2346" s="7" t="str">
        <x:v>CH-PEA-C-Y2-06-6</x:v>
      </x:c>
      <x:c r="D2346" s="7" t="str">
        <x:v>PEA-C-Y2</x:v>
      </x:c>
      <x:c r="E2346" s="7" t="str">
        <x:v>BLD-C</x:v>
      </x:c>
      <x:c r="F2346" s="7" t="str">
        <x:v>BL-Y</x:v>
      </x:c>
      <x:c r="G2346" s="7" t="str">
        <x:v>MF-06</x:v>
      </x:c>
      <x:c r="H2346" s="7" t="str"/>
      <x:c r="I2346" s="7" t="str"/>
      <x:c r="J2346" s="7" t="str">
        <x:f>IF(OR(H2346="",I2346=""),"",I2346-H2346)</x:f>
      </x:c>
      <x:c r="K2346" s="7" t="str"/>
      <x:c r="L2346" s="7" t="str"/>
      <x:c r="M2346" s="7" t="str">
        <x:f>IF(L2346="","OPEN",IF(OR(NOT(ISNUMBER(H2346)),NOT(ISNUMBER(I2346)),NOT(ISNUMBER(K2346)),ABS(J2346)&gt;K2346),"FAIL","PASS"))</x:f>
        <x:v>OPEN</x:v>
      </x:c>
    </x:row>
    <x:row r="2347">
      <x:c r="B2347" s="7" t="str">
        <x:v>CAL-CH-PEA-C-Y2-07-1</x:v>
      </x:c>
      <x:c r="C2347" s="7" t="str">
        <x:v>CH-PEA-C-Y2-07-1</x:v>
      </x:c>
      <x:c r="D2347" s="7" t="str">
        <x:v>PEA-C-Y2</x:v>
      </x:c>
      <x:c r="E2347" s="7" t="str">
        <x:v>BLD-C</x:v>
      </x:c>
      <x:c r="F2347" s="7" t="str">
        <x:v>BL-Y</x:v>
      </x:c>
      <x:c r="G2347" s="7" t="str">
        <x:v>MF-07</x:v>
      </x:c>
      <x:c r="H2347" s="7" t="str"/>
      <x:c r="I2347" s="7" t="str"/>
      <x:c r="J2347" s="7" t="str">
        <x:f>IF(OR(H2347="",I2347=""),"",I2347-H2347)</x:f>
      </x:c>
      <x:c r="K2347" s="7" t="str"/>
      <x:c r="L2347" s="7" t="str"/>
      <x:c r="M2347" s="7" t="str">
        <x:f>IF(L2347="","OPEN",IF(OR(NOT(ISNUMBER(H2347)),NOT(ISNUMBER(I2347)),NOT(ISNUMBER(K2347)),ABS(J2347)&gt;K2347),"FAIL","PASS"))</x:f>
        <x:v>OPEN</x:v>
      </x:c>
    </x:row>
    <x:row r="2348">
      <x:c r="B2348" s="7" t="str">
        <x:v>CAL-CH-PEA-C-Y2-07-2</x:v>
      </x:c>
      <x:c r="C2348" s="7" t="str">
        <x:v>CH-PEA-C-Y2-07-2</x:v>
      </x:c>
      <x:c r="D2348" s="7" t="str">
        <x:v>PEA-C-Y2</x:v>
      </x:c>
      <x:c r="E2348" s="7" t="str">
        <x:v>BLD-C</x:v>
      </x:c>
      <x:c r="F2348" s="7" t="str">
        <x:v>BL-Y</x:v>
      </x:c>
      <x:c r="G2348" s="7" t="str">
        <x:v>MF-07</x:v>
      </x:c>
      <x:c r="H2348" s="7" t="str"/>
      <x:c r="I2348" s="7" t="str"/>
      <x:c r="J2348" s="7" t="str">
        <x:f>IF(OR(H2348="",I2348=""),"",I2348-H2348)</x:f>
      </x:c>
      <x:c r="K2348" s="7" t="str"/>
      <x:c r="L2348" s="7" t="str"/>
      <x:c r="M2348" s="7" t="str">
        <x:f>IF(L2348="","OPEN",IF(OR(NOT(ISNUMBER(H2348)),NOT(ISNUMBER(I2348)),NOT(ISNUMBER(K2348)),ABS(J2348)&gt;K2348),"FAIL","PASS"))</x:f>
        <x:v>OPEN</x:v>
      </x:c>
    </x:row>
    <x:row r="2349">
      <x:c r="B2349" s="7" t="str">
        <x:v>CAL-CH-PEA-C-Y2-07-3</x:v>
      </x:c>
      <x:c r="C2349" s="7" t="str">
        <x:v>CH-PEA-C-Y2-07-3</x:v>
      </x:c>
      <x:c r="D2349" s="7" t="str">
        <x:v>PEA-C-Y2</x:v>
      </x:c>
      <x:c r="E2349" s="7" t="str">
        <x:v>BLD-C</x:v>
      </x:c>
      <x:c r="F2349" s="7" t="str">
        <x:v>BL-Y</x:v>
      </x:c>
      <x:c r="G2349" s="7" t="str">
        <x:v>MF-07</x:v>
      </x:c>
      <x:c r="H2349" s="7" t="str"/>
      <x:c r="I2349" s="7" t="str"/>
      <x:c r="J2349" s="7" t="str">
        <x:f>IF(OR(H2349="",I2349=""),"",I2349-H2349)</x:f>
      </x:c>
      <x:c r="K2349" s="7" t="str"/>
      <x:c r="L2349" s="7" t="str"/>
      <x:c r="M2349" s="7" t="str">
        <x:f>IF(L2349="","OPEN",IF(OR(NOT(ISNUMBER(H2349)),NOT(ISNUMBER(I2349)),NOT(ISNUMBER(K2349)),ABS(J2349)&gt;K2349),"FAIL","PASS"))</x:f>
        <x:v>OPEN</x:v>
      </x:c>
    </x:row>
    <x:row r="2350">
      <x:c r="B2350" s="7" t="str">
        <x:v>CAL-CH-PEA-C-Y2-07-4</x:v>
      </x:c>
      <x:c r="C2350" s="7" t="str">
        <x:v>CH-PEA-C-Y2-07-4</x:v>
      </x:c>
      <x:c r="D2350" s="7" t="str">
        <x:v>PEA-C-Y2</x:v>
      </x:c>
      <x:c r="E2350" s="7" t="str">
        <x:v>BLD-C</x:v>
      </x:c>
      <x:c r="F2350" s="7" t="str">
        <x:v>BL-Y</x:v>
      </x:c>
      <x:c r="G2350" s="7" t="str">
        <x:v>MF-07</x:v>
      </x:c>
      <x:c r="H2350" s="7" t="str"/>
      <x:c r="I2350" s="7" t="str"/>
      <x:c r="J2350" s="7" t="str">
        <x:f>IF(OR(H2350="",I2350=""),"",I2350-H2350)</x:f>
      </x:c>
      <x:c r="K2350" s="7" t="str"/>
      <x:c r="L2350" s="7" t="str"/>
      <x:c r="M2350" s="7" t="str">
        <x:f>IF(L2350="","OPEN",IF(OR(NOT(ISNUMBER(H2350)),NOT(ISNUMBER(I2350)),NOT(ISNUMBER(K2350)),ABS(J2350)&gt;K2350),"FAIL","PASS"))</x:f>
        <x:v>OPEN</x:v>
      </x:c>
    </x:row>
    <x:row r="2351">
      <x:c r="B2351" s="7" t="str">
        <x:v>CAL-CH-PEA-C-Y2-07-5</x:v>
      </x:c>
      <x:c r="C2351" s="7" t="str">
        <x:v>CH-PEA-C-Y2-07-5</x:v>
      </x:c>
      <x:c r="D2351" s="7" t="str">
        <x:v>PEA-C-Y2</x:v>
      </x:c>
      <x:c r="E2351" s="7" t="str">
        <x:v>BLD-C</x:v>
      </x:c>
      <x:c r="F2351" s="7" t="str">
        <x:v>BL-Y</x:v>
      </x:c>
      <x:c r="G2351" s="7" t="str">
        <x:v>MF-07</x:v>
      </x:c>
      <x:c r="H2351" s="7" t="str"/>
      <x:c r="I2351" s="7" t="str"/>
      <x:c r="J2351" s="7" t="str">
        <x:f>IF(OR(H2351="",I2351=""),"",I2351-H2351)</x:f>
      </x:c>
      <x:c r="K2351" s="7" t="str"/>
      <x:c r="L2351" s="7" t="str"/>
      <x:c r="M2351" s="7" t="str">
        <x:f>IF(L2351="","OPEN",IF(OR(NOT(ISNUMBER(H2351)),NOT(ISNUMBER(I2351)),NOT(ISNUMBER(K2351)),ABS(J2351)&gt;K2351),"FAIL","PASS"))</x:f>
        <x:v>OPEN</x:v>
      </x:c>
    </x:row>
    <x:row r="2352">
      <x:c r="B2352" s="7" t="str">
        <x:v>CAL-CH-PEA-C-Y2-07-6</x:v>
      </x:c>
      <x:c r="C2352" s="7" t="str">
        <x:v>CH-PEA-C-Y2-07-6</x:v>
      </x:c>
      <x:c r="D2352" s="7" t="str">
        <x:v>PEA-C-Y2</x:v>
      </x:c>
      <x:c r="E2352" s="7" t="str">
        <x:v>BLD-C</x:v>
      </x:c>
      <x:c r="F2352" s="7" t="str">
        <x:v>BL-Y</x:v>
      </x:c>
      <x:c r="G2352" s="7" t="str">
        <x:v>MF-07</x:v>
      </x:c>
      <x:c r="H2352" s="7" t="str"/>
      <x:c r="I2352" s="7" t="str"/>
      <x:c r="J2352" s="7" t="str">
        <x:f>IF(OR(H2352="",I2352=""),"",I2352-H2352)</x:f>
      </x:c>
      <x:c r="K2352" s="7" t="str"/>
      <x:c r="L2352" s="7" t="str"/>
      <x:c r="M2352" s="7" t="str">
        <x:f>IF(L2352="","OPEN",IF(OR(NOT(ISNUMBER(H2352)),NOT(ISNUMBER(I2352)),NOT(ISNUMBER(K2352)),ABS(J2352)&gt;K2352),"FAIL","PASS"))</x:f>
        <x:v>OPEN</x:v>
      </x:c>
    </x:row>
    <x:row r="2353">
      <x:c r="B2353" s="7" t="str">
        <x:v>CAL-CH-PEA-C-Y2-08-1</x:v>
      </x:c>
      <x:c r="C2353" s="7" t="str">
        <x:v>CH-PEA-C-Y2-08-1</x:v>
      </x:c>
      <x:c r="D2353" s="7" t="str">
        <x:v>PEA-C-Y2</x:v>
      </x:c>
      <x:c r="E2353" s="7" t="str">
        <x:v>BLD-C</x:v>
      </x:c>
      <x:c r="F2353" s="7" t="str">
        <x:v>BL-Y</x:v>
      </x:c>
      <x:c r="G2353" s="7" t="str">
        <x:v>MF-08</x:v>
      </x:c>
      <x:c r="H2353" s="7" t="str"/>
      <x:c r="I2353" s="7" t="str"/>
      <x:c r="J2353" s="7" t="str">
        <x:f>IF(OR(H2353="",I2353=""),"",I2353-H2353)</x:f>
      </x:c>
      <x:c r="K2353" s="7" t="str"/>
      <x:c r="L2353" s="7" t="str"/>
      <x:c r="M2353" s="7" t="str">
        <x:f>IF(L2353="","OPEN",IF(OR(NOT(ISNUMBER(H2353)),NOT(ISNUMBER(I2353)),NOT(ISNUMBER(K2353)),ABS(J2353)&gt;K2353),"FAIL","PASS"))</x:f>
        <x:v>OPEN</x:v>
      </x:c>
    </x:row>
    <x:row r="2354">
      <x:c r="B2354" s="7" t="str">
        <x:v>CAL-CH-PEA-C-Y2-08-2</x:v>
      </x:c>
      <x:c r="C2354" s="7" t="str">
        <x:v>CH-PEA-C-Y2-08-2</x:v>
      </x:c>
      <x:c r="D2354" s="7" t="str">
        <x:v>PEA-C-Y2</x:v>
      </x:c>
      <x:c r="E2354" s="7" t="str">
        <x:v>BLD-C</x:v>
      </x:c>
      <x:c r="F2354" s="7" t="str">
        <x:v>BL-Y</x:v>
      </x:c>
      <x:c r="G2354" s="7" t="str">
        <x:v>MF-08</x:v>
      </x:c>
      <x:c r="H2354" s="7" t="str"/>
      <x:c r="I2354" s="7" t="str"/>
      <x:c r="J2354" s="7" t="str">
        <x:f>IF(OR(H2354="",I2354=""),"",I2354-H2354)</x:f>
      </x:c>
      <x:c r="K2354" s="7" t="str"/>
      <x:c r="L2354" s="7" t="str"/>
      <x:c r="M2354" s="7" t="str">
        <x:f>IF(L2354="","OPEN",IF(OR(NOT(ISNUMBER(H2354)),NOT(ISNUMBER(I2354)),NOT(ISNUMBER(K2354)),ABS(J2354)&gt;K2354),"FAIL","PASS"))</x:f>
        <x:v>OPEN</x:v>
      </x:c>
    </x:row>
    <x:row r="2355">
      <x:c r="B2355" s="7" t="str">
        <x:v>CAL-CH-PEA-C-Y2-08-3</x:v>
      </x:c>
      <x:c r="C2355" s="7" t="str">
        <x:v>CH-PEA-C-Y2-08-3</x:v>
      </x:c>
      <x:c r="D2355" s="7" t="str">
        <x:v>PEA-C-Y2</x:v>
      </x:c>
      <x:c r="E2355" s="7" t="str">
        <x:v>BLD-C</x:v>
      </x:c>
      <x:c r="F2355" s="7" t="str">
        <x:v>BL-Y</x:v>
      </x:c>
      <x:c r="G2355" s="7" t="str">
        <x:v>MF-08</x:v>
      </x:c>
      <x:c r="H2355" s="7" t="str"/>
      <x:c r="I2355" s="7" t="str"/>
      <x:c r="J2355" s="7" t="str">
        <x:f>IF(OR(H2355="",I2355=""),"",I2355-H2355)</x:f>
      </x:c>
      <x:c r="K2355" s="7" t="str"/>
      <x:c r="L2355" s="7" t="str"/>
      <x:c r="M2355" s="7" t="str">
        <x:f>IF(L2355="","OPEN",IF(OR(NOT(ISNUMBER(H2355)),NOT(ISNUMBER(I2355)),NOT(ISNUMBER(K2355)),ABS(J2355)&gt;K2355),"FAIL","PASS"))</x:f>
        <x:v>OPEN</x:v>
      </x:c>
    </x:row>
    <x:row r="2356">
      <x:c r="B2356" s="7" t="str">
        <x:v>CAL-CH-PEA-C-Y2-08-4</x:v>
      </x:c>
      <x:c r="C2356" s="7" t="str">
        <x:v>CH-PEA-C-Y2-08-4</x:v>
      </x:c>
      <x:c r="D2356" s="7" t="str">
        <x:v>PEA-C-Y2</x:v>
      </x:c>
      <x:c r="E2356" s="7" t="str">
        <x:v>BLD-C</x:v>
      </x:c>
      <x:c r="F2356" s="7" t="str">
        <x:v>BL-Y</x:v>
      </x:c>
      <x:c r="G2356" s="7" t="str">
        <x:v>MF-08</x:v>
      </x:c>
      <x:c r="H2356" s="7" t="str"/>
      <x:c r="I2356" s="7" t="str"/>
      <x:c r="J2356" s="7" t="str">
        <x:f>IF(OR(H2356="",I2356=""),"",I2356-H2356)</x:f>
      </x:c>
      <x:c r="K2356" s="7" t="str"/>
      <x:c r="L2356" s="7" t="str"/>
      <x:c r="M2356" s="7" t="str">
        <x:f>IF(L2356="","OPEN",IF(OR(NOT(ISNUMBER(H2356)),NOT(ISNUMBER(I2356)),NOT(ISNUMBER(K2356)),ABS(J2356)&gt;K2356),"FAIL","PASS"))</x:f>
        <x:v>OPEN</x:v>
      </x:c>
    </x:row>
    <x:row r="2357">
      <x:c r="B2357" s="7" t="str">
        <x:v>CAL-CH-PEA-C-Y2-08-5</x:v>
      </x:c>
      <x:c r="C2357" s="7" t="str">
        <x:v>CH-PEA-C-Y2-08-5</x:v>
      </x:c>
      <x:c r="D2357" s="7" t="str">
        <x:v>PEA-C-Y2</x:v>
      </x:c>
      <x:c r="E2357" s="7" t="str">
        <x:v>BLD-C</x:v>
      </x:c>
      <x:c r="F2357" s="7" t="str">
        <x:v>BL-Y</x:v>
      </x:c>
      <x:c r="G2357" s="7" t="str">
        <x:v>MF-08</x:v>
      </x:c>
      <x:c r="H2357" s="7" t="str"/>
      <x:c r="I2357" s="7" t="str"/>
      <x:c r="J2357" s="7" t="str">
        <x:f>IF(OR(H2357="",I2357=""),"",I2357-H2357)</x:f>
      </x:c>
      <x:c r="K2357" s="7" t="str"/>
      <x:c r="L2357" s="7" t="str"/>
      <x:c r="M2357" s="7" t="str">
        <x:f>IF(L2357="","OPEN",IF(OR(NOT(ISNUMBER(H2357)),NOT(ISNUMBER(I2357)),NOT(ISNUMBER(K2357)),ABS(J2357)&gt;K2357),"FAIL","PASS"))</x:f>
        <x:v>OPEN</x:v>
      </x:c>
    </x:row>
    <x:row r="2358">
      <x:c r="B2358" s="7" t="str">
        <x:v>CAL-CH-PEA-C-Y2-08-6</x:v>
      </x:c>
      <x:c r="C2358" s="7" t="str">
        <x:v>CH-PEA-C-Y2-08-6</x:v>
      </x:c>
      <x:c r="D2358" s="7" t="str">
        <x:v>PEA-C-Y2</x:v>
      </x:c>
      <x:c r="E2358" s="7" t="str">
        <x:v>BLD-C</x:v>
      </x:c>
      <x:c r="F2358" s="7" t="str">
        <x:v>BL-Y</x:v>
      </x:c>
      <x:c r="G2358" s="7" t="str">
        <x:v>MF-08</x:v>
      </x:c>
      <x:c r="H2358" s="7" t="str"/>
      <x:c r="I2358" s="7" t="str"/>
      <x:c r="J2358" s="7" t="str">
        <x:f>IF(OR(H2358="",I2358=""),"",I2358-H2358)</x:f>
      </x:c>
      <x:c r="K2358" s="7" t="str"/>
      <x:c r="L2358" s="7" t="str"/>
      <x:c r="M2358" s="7" t="str">
        <x:f>IF(L2358="","OPEN",IF(OR(NOT(ISNUMBER(H2358)),NOT(ISNUMBER(I2358)),NOT(ISNUMBER(K2358)),ABS(J2358)&gt;K2358),"FAIL","PASS"))</x:f>
        <x:v>OPEN</x:v>
      </x:c>
    </x:row>
    <x:row r="2359">
      <x:c r="B2359" s="7" t="str">
        <x:v>CAL-CH-PEA-C-Y2-09-1</x:v>
      </x:c>
      <x:c r="C2359" s="7" t="str">
        <x:v>CH-PEA-C-Y2-09-1</x:v>
      </x:c>
      <x:c r="D2359" s="7" t="str">
        <x:v>PEA-C-Y2</x:v>
      </x:c>
      <x:c r="E2359" s="7" t="str">
        <x:v>BLD-C</x:v>
      </x:c>
      <x:c r="F2359" s="7" t="str">
        <x:v>BL-Y</x:v>
      </x:c>
      <x:c r="G2359" s="7" t="str">
        <x:v>MF-09</x:v>
      </x:c>
      <x:c r="H2359" s="7" t="str"/>
      <x:c r="I2359" s="7" t="str"/>
      <x:c r="J2359" s="7" t="str">
        <x:f>IF(OR(H2359="",I2359=""),"",I2359-H2359)</x:f>
      </x:c>
      <x:c r="K2359" s="7" t="str"/>
      <x:c r="L2359" s="7" t="str"/>
      <x:c r="M2359" s="7" t="str">
        <x:f>IF(L2359="","OPEN",IF(OR(NOT(ISNUMBER(H2359)),NOT(ISNUMBER(I2359)),NOT(ISNUMBER(K2359)),ABS(J2359)&gt;K2359),"FAIL","PASS"))</x:f>
        <x:v>OPEN</x:v>
      </x:c>
    </x:row>
    <x:row r="2360">
      <x:c r="B2360" s="7" t="str">
        <x:v>CAL-CH-PEA-C-Y2-09-2</x:v>
      </x:c>
      <x:c r="C2360" s="7" t="str">
        <x:v>CH-PEA-C-Y2-09-2</x:v>
      </x:c>
      <x:c r="D2360" s="7" t="str">
        <x:v>PEA-C-Y2</x:v>
      </x:c>
      <x:c r="E2360" s="7" t="str">
        <x:v>BLD-C</x:v>
      </x:c>
      <x:c r="F2360" s="7" t="str">
        <x:v>BL-Y</x:v>
      </x:c>
      <x:c r="G2360" s="7" t="str">
        <x:v>MF-09</x:v>
      </x:c>
      <x:c r="H2360" s="7" t="str"/>
      <x:c r="I2360" s="7" t="str"/>
      <x:c r="J2360" s="7" t="str">
        <x:f>IF(OR(H2360="",I2360=""),"",I2360-H2360)</x:f>
      </x:c>
      <x:c r="K2360" s="7" t="str"/>
      <x:c r="L2360" s="7" t="str"/>
      <x:c r="M2360" s="7" t="str">
        <x:f>IF(L2360="","OPEN",IF(OR(NOT(ISNUMBER(H2360)),NOT(ISNUMBER(I2360)),NOT(ISNUMBER(K2360)),ABS(J2360)&gt;K2360),"FAIL","PASS"))</x:f>
        <x:v>OPEN</x:v>
      </x:c>
    </x:row>
    <x:row r="2361">
      <x:c r="B2361" s="7" t="str">
        <x:v>CAL-CH-PEA-C-Y2-09-3</x:v>
      </x:c>
      <x:c r="C2361" s="7" t="str">
        <x:v>CH-PEA-C-Y2-09-3</x:v>
      </x:c>
      <x:c r="D2361" s="7" t="str">
        <x:v>PEA-C-Y2</x:v>
      </x:c>
      <x:c r="E2361" s="7" t="str">
        <x:v>BLD-C</x:v>
      </x:c>
      <x:c r="F2361" s="7" t="str">
        <x:v>BL-Y</x:v>
      </x:c>
      <x:c r="G2361" s="7" t="str">
        <x:v>MF-09</x:v>
      </x:c>
      <x:c r="H2361" s="7" t="str"/>
      <x:c r="I2361" s="7" t="str"/>
      <x:c r="J2361" s="7" t="str">
        <x:f>IF(OR(H2361="",I2361=""),"",I2361-H2361)</x:f>
      </x:c>
      <x:c r="K2361" s="7" t="str"/>
      <x:c r="L2361" s="7" t="str"/>
      <x:c r="M2361" s="7" t="str">
        <x:f>IF(L2361="","OPEN",IF(OR(NOT(ISNUMBER(H2361)),NOT(ISNUMBER(I2361)),NOT(ISNUMBER(K2361)),ABS(J2361)&gt;K2361),"FAIL","PASS"))</x:f>
        <x:v>OPEN</x:v>
      </x:c>
    </x:row>
    <x:row r="2362">
      <x:c r="B2362" s="7" t="str">
        <x:v>CAL-CH-PEA-C-Y2-09-4</x:v>
      </x:c>
      <x:c r="C2362" s="7" t="str">
        <x:v>CH-PEA-C-Y2-09-4</x:v>
      </x:c>
      <x:c r="D2362" s="7" t="str">
        <x:v>PEA-C-Y2</x:v>
      </x:c>
      <x:c r="E2362" s="7" t="str">
        <x:v>BLD-C</x:v>
      </x:c>
      <x:c r="F2362" s="7" t="str">
        <x:v>BL-Y</x:v>
      </x:c>
      <x:c r="G2362" s="7" t="str">
        <x:v>MF-09</x:v>
      </x:c>
      <x:c r="H2362" s="7" t="str"/>
      <x:c r="I2362" s="7" t="str"/>
      <x:c r="J2362" s="7" t="str">
        <x:f>IF(OR(H2362="",I2362=""),"",I2362-H2362)</x:f>
      </x:c>
      <x:c r="K2362" s="7" t="str"/>
      <x:c r="L2362" s="7" t="str"/>
      <x:c r="M2362" s="7" t="str">
        <x:f>IF(L2362="","OPEN",IF(OR(NOT(ISNUMBER(H2362)),NOT(ISNUMBER(I2362)),NOT(ISNUMBER(K2362)),ABS(J2362)&gt;K2362),"FAIL","PASS"))</x:f>
        <x:v>OPEN</x:v>
      </x:c>
    </x:row>
    <x:row r="2363">
      <x:c r="B2363" s="7" t="str">
        <x:v>CAL-CH-PEA-C-Y2-09-5</x:v>
      </x:c>
      <x:c r="C2363" s="7" t="str">
        <x:v>CH-PEA-C-Y2-09-5</x:v>
      </x:c>
      <x:c r="D2363" s="7" t="str">
        <x:v>PEA-C-Y2</x:v>
      </x:c>
      <x:c r="E2363" s="7" t="str">
        <x:v>BLD-C</x:v>
      </x:c>
      <x:c r="F2363" s="7" t="str">
        <x:v>BL-Y</x:v>
      </x:c>
      <x:c r="G2363" s="7" t="str">
        <x:v>MF-09</x:v>
      </x:c>
      <x:c r="H2363" s="7" t="str"/>
      <x:c r="I2363" s="7" t="str"/>
      <x:c r="J2363" s="7" t="str">
        <x:f>IF(OR(H2363="",I2363=""),"",I2363-H2363)</x:f>
      </x:c>
      <x:c r="K2363" s="7" t="str"/>
      <x:c r="L2363" s="7" t="str"/>
      <x:c r="M2363" s="7" t="str">
        <x:f>IF(L2363="","OPEN",IF(OR(NOT(ISNUMBER(H2363)),NOT(ISNUMBER(I2363)),NOT(ISNUMBER(K2363)),ABS(J2363)&gt;K2363),"FAIL","PASS"))</x:f>
        <x:v>OPEN</x:v>
      </x:c>
    </x:row>
    <x:row r="2364">
      <x:c r="B2364" s="7" t="str">
        <x:v>CAL-CH-PEA-C-Y2-09-6</x:v>
      </x:c>
      <x:c r="C2364" s="7" t="str">
        <x:v>CH-PEA-C-Y2-09-6</x:v>
      </x:c>
      <x:c r="D2364" s="7" t="str">
        <x:v>PEA-C-Y2</x:v>
      </x:c>
      <x:c r="E2364" s="7" t="str">
        <x:v>BLD-C</x:v>
      </x:c>
      <x:c r="F2364" s="7" t="str">
        <x:v>BL-Y</x:v>
      </x:c>
      <x:c r="G2364" s="7" t="str">
        <x:v>MF-09</x:v>
      </x:c>
      <x:c r="H2364" s="7" t="str"/>
      <x:c r="I2364" s="7" t="str"/>
      <x:c r="J2364" s="7" t="str">
        <x:f>IF(OR(H2364="",I2364=""),"",I2364-H2364)</x:f>
      </x:c>
      <x:c r="K2364" s="7" t="str"/>
      <x:c r="L2364" s="7" t="str"/>
      <x:c r="M2364" s="7" t="str">
        <x:f>IF(L2364="","OPEN",IF(OR(NOT(ISNUMBER(H2364)),NOT(ISNUMBER(I2364)),NOT(ISNUMBER(K2364)),ABS(J2364)&gt;K2364),"FAIL","PASS"))</x:f>
        <x:v>OPEN</x:v>
      </x:c>
    </x:row>
    <x:row r="2365">
      <x:c r="B2365" s="7" t="str">
        <x:v>CAL-CH-PEA-C-Y2-10-1</x:v>
      </x:c>
      <x:c r="C2365" s="7" t="str">
        <x:v>CH-PEA-C-Y2-10-1</x:v>
      </x:c>
      <x:c r="D2365" s="7" t="str">
        <x:v>PEA-C-Y2</x:v>
      </x:c>
      <x:c r="E2365" s="7" t="str">
        <x:v>BLD-C</x:v>
      </x:c>
      <x:c r="F2365" s="7" t="str">
        <x:v>BL-Y</x:v>
      </x:c>
      <x:c r="G2365" s="7" t="str">
        <x:v>MF-10</x:v>
      </x:c>
      <x:c r="H2365" s="7" t="str"/>
      <x:c r="I2365" s="7" t="str"/>
      <x:c r="J2365" s="7" t="str">
        <x:f>IF(OR(H2365="",I2365=""),"",I2365-H2365)</x:f>
      </x:c>
      <x:c r="K2365" s="7" t="str"/>
      <x:c r="L2365" s="7" t="str"/>
      <x:c r="M2365" s="7" t="str">
        <x:f>IF(L2365="","OPEN",IF(OR(NOT(ISNUMBER(H2365)),NOT(ISNUMBER(I2365)),NOT(ISNUMBER(K2365)),ABS(J2365)&gt;K2365),"FAIL","PASS"))</x:f>
        <x:v>OPEN</x:v>
      </x:c>
    </x:row>
    <x:row r="2366">
      <x:c r="B2366" s="7" t="str">
        <x:v>CAL-CH-PEA-C-Y2-10-2</x:v>
      </x:c>
      <x:c r="C2366" s="7" t="str">
        <x:v>CH-PEA-C-Y2-10-2</x:v>
      </x:c>
      <x:c r="D2366" s="7" t="str">
        <x:v>PEA-C-Y2</x:v>
      </x:c>
      <x:c r="E2366" s="7" t="str">
        <x:v>BLD-C</x:v>
      </x:c>
      <x:c r="F2366" s="7" t="str">
        <x:v>BL-Y</x:v>
      </x:c>
      <x:c r="G2366" s="7" t="str">
        <x:v>MF-10</x:v>
      </x:c>
      <x:c r="H2366" s="7" t="str"/>
      <x:c r="I2366" s="7" t="str"/>
      <x:c r="J2366" s="7" t="str">
        <x:f>IF(OR(H2366="",I2366=""),"",I2366-H2366)</x:f>
      </x:c>
      <x:c r="K2366" s="7" t="str"/>
      <x:c r="L2366" s="7" t="str"/>
      <x:c r="M2366" s="7" t="str">
        <x:f>IF(L2366="","OPEN",IF(OR(NOT(ISNUMBER(H2366)),NOT(ISNUMBER(I2366)),NOT(ISNUMBER(K2366)),ABS(J2366)&gt;K2366),"FAIL","PASS"))</x:f>
        <x:v>OPEN</x:v>
      </x:c>
    </x:row>
    <x:row r="2367">
      <x:c r="B2367" s="7" t="str">
        <x:v>CAL-CH-PEA-C-Y2-10-3</x:v>
      </x:c>
      <x:c r="C2367" s="7" t="str">
        <x:v>CH-PEA-C-Y2-10-3</x:v>
      </x:c>
      <x:c r="D2367" s="7" t="str">
        <x:v>PEA-C-Y2</x:v>
      </x:c>
      <x:c r="E2367" s="7" t="str">
        <x:v>BLD-C</x:v>
      </x:c>
      <x:c r="F2367" s="7" t="str">
        <x:v>BL-Y</x:v>
      </x:c>
      <x:c r="G2367" s="7" t="str">
        <x:v>MF-10</x:v>
      </x:c>
      <x:c r="H2367" s="7" t="str"/>
      <x:c r="I2367" s="7" t="str"/>
      <x:c r="J2367" s="7" t="str">
        <x:f>IF(OR(H2367="",I2367=""),"",I2367-H2367)</x:f>
      </x:c>
      <x:c r="K2367" s="7" t="str"/>
      <x:c r="L2367" s="7" t="str"/>
      <x:c r="M2367" s="7" t="str">
        <x:f>IF(L2367="","OPEN",IF(OR(NOT(ISNUMBER(H2367)),NOT(ISNUMBER(I2367)),NOT(ISNUMBER(K2367)),ABS(J2367)&gt;K2367),"FAIL","PASS"))</x:f>
        <x:v>OPEN</x:v>
      </x:c>
    </x:row>
    <x:row r="2368">
      <x:c r="B2368" s="7" t="str">
        <x:v>CAL-CH-PEA-C-Y2-10-4</x:v>
      </x:c>
      <x:c r="C2368" s="7" t="str">
        <x:v>CH-PEA-C-Y2-10-4</x:v>
      </x:c>
      <x:c r="D2368" s="7" t="str">
        <x:v>PEA-C-Y2</x:v>
      </x:c>
      <x:c r="E2368" s="7" t="str">
        <x:v>BLD-C</x:v>
      </x:c>
      <x:c r="F2368" s="7" t="str">
        <x:v>BL-Y</x:v>
      </x:c>
      <x:c r="G2368" s="7" t="str">
        <x:v>MF-10</x:v>
      </x:c>
      <x:c r="H2368" s="7" t="str"/>
      <x:c r="I2368" s="7" t="str"/>
      <x:c r="J2368" s="7" t="str">
        <x:f>IF(OR(H2368="",I2368=""),"",I2368-H2368)</x:f>
      </x:c>
      <x:c r="K2368" s="7" t="str"/>
      <x:c r="L2368" s="7" t="str"/>
      <x:c r="M2368" s="7" t="str">
        <x:f>IF(L2368="","OPEN",IF(OR(NOT(ISNUMBER(H2368)),NOT(ISNUMBER(I2368)),NOT(ISNUMBER(K2368)),ABS(J2368)&gt;K2368),"FAIL","PASS"))</x:f>
        <x:v>OPEN</x:v>
      </x:c>
    </x:row>
    <x:row r="2369">
      <x:c r="B2369" s="7" t="str">
        <x:v>CAL-CH-PEA-C-Y2-10-5</x:v>
      </x:c>
      <x:c r="C2369" s="7" t="str">
        <x:v>CH-PEA-C-Y2-10-5</x:v>
      </x:c>
      <x:c r="D2369" s="7" t="str">
        <x:v>PEA-C-Y2</x:v>
      </x:c>
      <x:c r="E2369" s="7" t="str">
        <x:v>BLD-C</x:v>
      </x:c>
      <x:c r="F2369" s="7" t="str">
        <x:v>BL-Y</x:v>
      </x:c>
      <x:c r="G2369" s="7" t="str">
        <x:v>MF-10</x:v>
      </x:c>
      <x:c r="H2369" s="7" t="str"/>
      <x:c r="I2369" s="7" t="str"/>
      <x:c r="J2369" s="7" t="str">
        <x:f>IF(OR(H2369="",I2369=""),"",I2369-H2369)</x:f>
      </x:c>
      <x:c r="K2369" s="7" t="str"/>
      <x:c r="L2369" s="7" t="str"/>
      <x:c r="M2369" s="7" t="str">
        <x:f>IF(L2369="","OPEN",IF(OR(NOT(ISNUMBER(H2369)),NOT(ISNUMBER(I2369)),NOT(ISNUMBER(K2369)),ABS(J2369)&gt;K2369),"FAIL","PASS"))</x:f>
        <x:v>OPEN</x:v>
      </x:c>
    </x:row>
    <x:row r="2370">
      <x:c r="B2370" s="7" t="str">
        <x:v>CAL-CH-PEA-C-Y2-10-6</x:v>
      </x:c>
      <x:c r="C2370" s="7" t="str">
        <x:v>CH-PEA-C-Y2-10-6</x:v>
      </x:c>
      <x:c r="D2370" s="7" t="str">
        <x:v>PEA-C-Y2</x:v>
      </x:c>
      <x:c r="E2370" s="7" t="str">
        <x:v>BLD-C</x:v>
      </x:c>
      <x:c r="F2370" s="7" t="str">
        <x:v>BL-Y</x:v>
      </x:c>
      <x:c r="G2370" s="7" t="str">
        <x:v>MF-10</x:v>
      </x:c>
      <x:c r="H2370" s="7" t="str"/>
      <x:c r="I2370" s="7" t="str"/>
      <x:c r="J2370" s="7" t="str">
        <x:f>IF(OR(H2370="",I2370=""),"",I2370-H2370)</x:f>
      </x:c>
      <x:c r="K2370" s="7" t="str"/>
      <x:c r="L2370" s="7" t="str"/>
      <x:c r="M2370" s="7" t="str">
        <x:f>IF(L2370="","OPEN",IF(OR(NOT(ISNUMBER(H2370)),NOT(ISNUMBER(I2370)),NOT(ISNUMBER(K2370)),ABS(J2370)&gt;K2370),"FAIL","PASS"))</x:f>
        <x:v>OPEN</x:v>
      </x:c>
    </x:row>
    <x:row r="2371">
      <x:c r="B2371" s="7" t="str">
        <x:v>CAL-CH-PEA-C-Y2-11-1</x:v>
      </x:c>
      <x:c r="C2371" s="7" t="str">
        <x:v>CH-PEA-C-Y2-11-1</x:v>
      </x:c>
      <x:c r="D2371" s="7" t="str">
        <x:v>PEA-C-Y2</x:v>
      </x:c>
      <x:c r="E2371" s="7" t="str">
        <x:v>BLD-C</x:v>
      </x:c>
      <x:c r="F2371" s="7" t="str">
        <x:v>BL-Y</x:v>
      </x:c>
      <x:c r="G2371" s="7" t="str">
        <x:v>MF-11</x:v>
      </x:c>
      <x:c r="H2371" s="7" t="str"/>
      <x:c r="I2371" s="7" t="str"/>
      <x:c r="J2371" s="7" t="str">
        <x:f>IF(OR(H2371="",I2371=""),"",I2371-H2371)</x:f>
      </x:c>
      <x:c r="K2371" s="7" t="str"/>
      <x:c r="L2371" s="7" t="str"/>
      <x:c r="M2371" s="7" t="str">
        <x:f>IF(L2371="","OPEN",IF(OR(NOT(ISNUMBER(H2371)),NOT(ISNUMBER(I2371)),NOT(ISNUMBER(K2371)),ABS(J2371)&gt;K2371),"FAIL","PASS"))</x:f>
        <x:v>OPEN</x:v>
      </x:c>
    </x:row>
    <x:row r="2372">
      <x:c r="B2372" s="7" t="str">
        <x:v>CAL-CH-PEA-C-Y2-11-2</x:v>
      </x:c>
      <x:c r="C2372" s="7" t="str">
        <x:v>CH-PEA-C-Y2-11-2</x:v>
      </x:c>
      <x:c r="D2372" s="7" t="str">
        <x:v>PEA-C-Y2</x:v>
      </x:c>
      <x:c r="E2372" s="7" t="str">
        <x:v>BLD-C</x:v>
      </x:c>
      <x:c r="F2372" s="7" t="str">
        <x:v>BL-Y</x:v>
      </x:c>
      <x:c r="G2372" s="7" t="str">
        <x:v>MF-11</x:v>
      </x:c>
      <x:c r="H2372" s="7" t="str"/>
      <x:c r="I2372" s="7" t="str"/>
      <x:c r="J2372" s="7" t="str">
        <x:f>IF(OR(H2372="",I2372=""),"",I2372-H2372)</x:f>
      </x:c>
      <x:c r="K2372" s="7" t="str"/>
      <x:c r="L2372" s="7" t="str"/>
      <x:c r="M2372" s="7" t="str">
        <x:f>IF(L2372="","OPEN",IF(OR(NOT(ISNUMBER(H2372)),NOT(ISNUMBER(I2372)),NOT(ISNUMBER(K2372)),ABS(J2372)&gt;K2372),"FAIL","PASS"))</x:f>
        <x:v>OPEN</x:v>
      </x:c>
    </x:row>
    <x:row r="2373">
      <x:c r="B2373" s="7" t="str">
        <x:v>CAL-CH-PEA-C-Y2-11-3</x:v>
      </x:c>
      <x:c r="C2373" s="7" t="str">
        <x:v>CH-PEA-C-Y2-11-3</x:v>
      </x:c>
      <x:c r="D2373" s="7" t="str">
        <x:v>PEA-C-Y2</x:v>
      </x:c>
      <x:c r="E2373" s="7" t="str">
        <x:v>BLD-C</x:v>
      </x:c>
      <x:c r="F2373" s="7" t="str">
        <x:v>BL-Y</x:v>
      </x:c>
      <x:c r="G2373" s="7" t="str">
        <x:v>MF-11</x:v>
      </x:c>
      <x:c r="H2373" s="7" t="str"/>
      <x:c r="I2373" s="7" t="str"/>
      <x:c r="J2373" s="7" t="str">
        <x:f>IF(OR(H2373="",I2373=""),"",I2373-H2373)</x:f>
      </x:c>
      <x:c r="K2373" s="7" t="str"/>
      <x:c r="L2373" s="7" t="str"/>
      <x:c r="M2373" s="7" t="str">
        <x:f>IF(L2373="","OPEN",IF(OR(NOT(ISNUMBER(H2373)),NOT(ISNUMBER(I2373)),NOT(ISNUMBER(K2373)),ABS(J2373)&gt;K2373),"FAIL","PASS"))</x:f>
        <x:v>OPEN</x:v>
      </x:c>
    </x:row>
    <x:row r="2374">
      <x:c r="B2374" s="7" t="str">
        <x:v>CAL-CH-PEA-C-Y2-11-4</x:v>
      </x:c>
      <x:c r="C2374" s="7" t="str">
        <x:v>CH-PEA-C-Y2-11-4</x:v>
      </x:c>
      <x:c r="D2374" s="7" t="str">
        <x:v>PEA-C-Y2</x:v>
      </x:c>
      <x:c r="E2374" s="7" t="str">
        <x:v>BLD-C</x:v>
      </x:c>
      <x:c r="F2374" s="7" t="str">
        <x:v>BL-Y</x:v>
      </x:c>
      <x:c r="G2374" s="7" t="str">
        <x:v>MF-11</x:v>
      </x:c>
      <x:c r="H2374" s="7" t="str"/>
      <x:c r="I2374" s="7" t="str"/>
      <x:c r="J2374" s="7" t="str">
        <x:f>IF(OR(H2374="",I2374=""),"",I2374-H2374)</x:f>
      </x:c>
      <x:c r="K2374" s="7" t="str"/>
      <x:c r="L2374" s="7" t="str"/>
      <x:c r="M2374" s="7" t="str">
        <x:f>IF(L2374="","OPEN",IF(OR(NOT(ISNUMBER(H2374)),NOT(ISNUMBER(I2374)),NOT(ISNUMBER(K2374)),ABS(J2374)&gt;K2374),"FAIL","PASS"))</x:f>
        <x:v>OPEN</x:v>
      </x:c>
    </x:row>
    <x:row r="2375">
      <x:c r="B2375" s="7" t="str">
        <x:v>CAL-CH-PEA-C-Y2-11-5</x:v>
      </x:c>
      <x:c r="C2375" s="7" t="str">
        <x:v>CH-PEA-C-Y2-11-5</x:v>
      </x:c>
      <x:c r="D2375" s="7" t="str">
        <x:v>PEA-C-Y2</x:v>
      </x:c>
      <x:c r="E2375" s="7" t="str">
        <x:v>BLD-C</x:v>
      </x:c>
      <x:c r="F2375" s="7" t="str">
        <x:v>BL-Y</x:v>
      </x:c>
      <x:c r="G2375" s="7" t="str">
        <x:v>MF-11</x:v>
      </x:c>
      <x:c r="H2375" s="7" t="str"/>
      <x:c r="I2375" s="7" t="str"/>
      <x:c r="J2375" s="7" t="str">
        <x:f>IF(OR(H2375="",I2375=""),"",I2375-H2375)</x:f>
      </x:c>
      <x:c r="K2375" s="7" t="str"/>
      <x:c r="L2375" s="7" t="str"/>
      <x:c r="M2375" s="7" t="str">
        <x:f>IF(L2375="","OPEN",IF(OR(NOT(ISNUMBER(H2375)),NOT(ISNUMBER(I2375)),NOT(ISNUMBER(K2375)),ABS(J2375)&gt;K2375),"FAIL","PASS"))</x:f>
        <x:v>OPEN</x:v>
      </x:c>
    </x:row>
    <x:row r="2376">
      <x:c r="B2376" s="7" t="str">
        <x:v>CAL-CH-PEA-C-Y2-11-6</x:v>
      </x:c>
      <x:c r="C2376" s="7" t="str">
        <x:v>CH-PEA-C-Y2-11-6</x:v>
      </x:c>
      <x:c r="D2376" s="7" t="str">
        <x:v>PEA-C-Y2</x:v>
      </x:c>
      <x:c r="E2376" s="7" t="str">
        <x:v>BLD-C</x:v>
      </x:c>
      <x:c r="F2376" s="7" t="str">
        <x:v>BL-Y</x:v>
      </x:c>
      <x:c r="G2376" s="7" t="str">
        <x:v>MF-11</x:v>
      </x:c>
      <x:c r="H2376" s="7" t="str"/>
      <x:c r="I2376" s="7" t="str"/>
      <x:c r="J2376" s="7" t="str">
        <x:f>IF(OR(H2376="",I2376=""),"",I2376-H2376)</x:f>
      </x:c>
      <x:c r="K2376" s="7" t="str"/>
      <x:c r="L2376" s="7" t="str"/>
      <x:c r="M2376" s="7" t="str">
        <x:f>IF(L2376="","OPEN",IF(OR(NOT(ISNUMBER(H2376)),NOT(ISNUMBER(I2376)),NOT(ISNUMBER(K2376)),ABS(J2376)&gt;K2376),"FAIL","PASS"))</x:f>
        <x:v>OPEN</x:v>
      </x:c>
    </x:row>
    <x:row r="2377">
      <x:c r="B2377" s="7" t="str">
        <x:v>CAL-CH-PEA-C-Y2-12-1</x:v>
      </x:c>
      <x:c r="C2377" s="7" t="str">
        <x:v>CH-PEA-C-Y2-12-1</x:v>
      </x:c>
      <x:c r="D2377" s="7" t="str">
        <x:v>PEA-C-Y2</x:v>
      </x:c>
      <x:c r="E2377" s="7" t="str">
        <x:v>BLD-C</x:v>
      </x:c>
      <x:c r="F2377" s="7" t="str">
        <x:v>BL-Y</x:v>
      </x:c>
      <x:c r="G2377" s="7" t="str">
        <x:v>MF-12</x:v>
      </x:c>
      <x:c r="H2377" s="7" t="str"/>
      <x:c r="I2377" s="7" t="str"/>
      <x:c r="J2377" s="7" t="str">
        <x:f>IF(OR(H2377="",I2377=""),"",I2377-H2377)</x:f>
      </x:c>
      <x:c r="K2377" s="7" t="str"/>
      <x:c r="L2377" s="7" t="str"/>
      <x:c r="M2377" s="7" t="str">
        <x:f>IF(L2377="","OPEN",IF(OR(NOT(ISNUMBER(H2377)),NOT(ISNUMBER(I2377)),NOT(ISNUMBER(K2377)),ABS(J2377)&gt;K2377),"FAIL","PASS"))</x:f>
        <x:v>OPEN</x:v>
      </x:c>
    </x:row>
    <x:row r="2378">
      <x:c r="B2378" s="7" t="str">
        <x:v>CAL-CH-PEA-C-Y2-12-2</x:v>
      </x:c>
      <x:c r="C2378" s="7" t="str">
        <x:v>CH-PEA-C-Y2-12-2</x:v>
      </x:c>
      <x:c r="D2378" s="7" t="str">
        <x:v>PEA-C-Y2</x:v>
      </x:c>
      <x:c r="E2378" s="7" t="str">
        <x:v>BLD-C</x:v>
      </x:c>
      <x:c r="F2378" s="7" t="str">
        <x:v>BL-Y</x:v>
      </x:c>
      <x:c r="G2378" s="7" t="str">
        <x:v>MF-12</x:v>
      </x:c>
      <x:c r="H2378" s="7" t="str"/>
      <x:c r="I2378" s="7" t="str"/>
      <x:c r="J2378" s="7" t="str">
        <x:f>IF(OR(H2378="",I2378=""),"",I2378-H2378)</x:f>
      </x:c>
      <x:c r="K2378" s="7" t="str"/>
      <x:c r="L2378" s="7" t="str"/>
      <x:c r="M2378" s="7" t="str">
        <x:f>IF(L2378="","OPEN",IF(OR(NOT(ISNUMBER(H2378)),NOT(ISNUMBER(I2378)),NOT(ISNUMBER(K2378)),ABS(J2378)&gt;K2378),"FAIL","PASS"))</x:f>
        <x:v>OPEN</x:v>
      </x:c>
    </x:row>
    <x:row r="2379">
      <x:c r="B2379" s="7" t="str">
        <x:v>CAL-CH-PEA-C-Y2-12-3</x:v>
      </x:c>
      <x:c r="C2379" s="7" t="str">
        <x:v>CH-PEA-C-Y2-12-3</x:v>
      </x:c>
      <x:c r="D2379" s="7" t="str">
        <x:v>PEA-C-Y2</x:v>
      </x:c>
      <x:c r="E2379" s="7" t="str">
        <x:v>BLD-C</x:v>
      </x:c>
      <x:c r="F2379" s="7" t="str">
        <x:v>BL-Y</x:v>
      </x:c>
      <x:c r="G2379" s="7" t="str">
        <x:v>MF-12</x:v>
      </x:c>
      <x:c r="H2379" s="7" t="str"/>
      <x:c r="I2379" s="7" t="str"/>
      <x:c r="J2379" s="7" t="str">
        <x:f>IF(OR(H2379="",I2379=""),"",I2379-H2379)</x:f>
      </x:c>
      <x:c r="K2379" s="7" t="str"/>
      <x:c r="L2379" s="7" t="str"/>
      <x:c r="M2379" s="7" t="str">
        <x:f>IF(L2379="","OPEN",IF(OR(NOT(ISNUMBER(H2379)),NOT(ISNUMBER(I2379)),NOT(ISNUMBER(K2379)),ABS(J2379)&gt;K2379),"FAIL","PASS"))</x:f>
        <x:v>OPEN</x:v>
      </x:c>
    </x:row>
    <x:row r="2380">
      <x:c r="B2380" s="7" t="str">
        <x:v>CAL-CH-PEA-C-Y2-12-4</x:v>
      </x:c>
      <x:c r="C2380" s="7" t="str">
        <x:v>CH-PEA-C-Y2-12-4</x:v>
      </x:c>
      <x:c r="D2380" s="7" t="str">
        <x:v>PEA-C-Y2</x:v>
      </x:c>
      <x:c r="E2380" s="7" t="str">
        <x:v>BLD-C</x:v>
      </x:c>
      <x:c r="F2380" s="7" t="str">
        <x:v>BL-Y</x:v>
      </x:c>
      <x:c r="G2380" s="7" t="str">
        <x:v>MF-12</x:v>
      </x:c>
      <x:c r="H2380" s="7" t="str"/>
      <x:c r="I2380" s="7" t="str"/>
      <x:c r="J2380" s="7" t="str">
        <x:f>IF(OR(H2380="",I2380=""),"",I2380-H2380)</x:f>
      </x:c>
      <x:c r="K2380" s="7" t="str"/>
      <x:c r="L2380" s="7" t="str"/>
      <x:c r="M2380" s="7" t="str">
        <x:f>IF(L2380="","OPEN",IF(OR(NOT(ISNUMBER(H2380)),NOT(ISNUMBER(I2380)),NOT(ISNUMBER(K2380)),ABS(J2380)&gt;K2380),"FAIL","PASS"))</x:f>
        <x:v>OPEN</x:v>
      </x:c>
    </x:row>
    <x:row r="2381">
      <x:c r="B2381" s="7" t="str">
        <x:v>CAL-CH-PEA-C-Y2-12-5</x:v>
      </x:c>
      <x:c r="C2381" s="7" t="str">
        <x:v>CH-PEA-C-Y2-12-5</x:v>
      </x:c>
      <x:c r="D2381" s="7" t="str">
        <x:v>PEA-C-Y2</x:v>
      </x:c>
      <x:c r="E2381" s="7" t="str">
        <x:v>BLD-C</x:v>
      </x:c>
      <x:c r="F2381" s="7" t="str">
        <x:v>BL-Y</x:v>
      </x:c>
      <x:c r="G2381" s="7" t="str">
        <x:v>MF-12</x:v>
      </x:c>
      <x:c r="H2381" s="7" t="str"/>
      <x:c r="I2381" s="7" t="str"/>
      <x:c r="J2381" s="7" t="str">
        <x:f>IF(OR(H2381="",I2381=""),"",I2381-H2381)</x:f>
      </x:c>
      <x:c r="K2381" s="7" t="str"/>
      <x:c r="L2381" s="7" t="str"/>
      <x:c r="M2381" s="7" t="str">
        <x:f>IF(L2381="","OPEN",IF(OR(NOT(ISNUMBER(H2381)),NOT(ISNUMBER(I2381)),NOT(ISNUMBER(K2381)),ABS(J2381)&gt;K2381),"FAIL","PASS"))</x:f>
        <x:v>OPEN</x:v>
      </x:c>
    </x:row>
    <x:row r="2382">
      <x:c r="B2382" s="7" t="str">
        <x:v>CAL-CH-PEA-C-Y2-12-6</x:v>
      </x:c>
      <x:c r="C2382" s="7" t="str">
        <x:v>CH-PEA-C-Y2-12-6</x:v>
      </x:c>
      <x:c r="D2382" s="7" t="str">
        <x:v>PEA-C-Y2</x:v>
      </x:c>
      <x:c r="E2382" s="7" t="str">
        <x:v>BLD-C</x:v>
      </x:c>
      <x:c r="F2382" s="7" t="str">
        <x:v>BL-Y</x:v>
      </x:c>
      <x:c r="G2382" s="7" t="str">
        <x:v>MF-12</x:v>
      </x:c>
      <x:c r="H2382" s="7" t="str"/>
      <x:c r="I2382" s="7" t="str"/>
      <x:c r="J2382" s="7" t="str">
        <x:f>IF(OR(H2382="",I2382=""),"",I2382-H2382)</x:f>
      </x:c>
      <x:c r="K2382" s="7" t="str"/>
      <x:c r="L2382" s="7" t="str"/>
      <x:c r="M2382" s="7" t="str">
        <x:f>IF(L2382="","OPEN",IF(OR(NOT(ISNUMBER(H2382)),NOT(ISNUMBER(I2382)),NOT(ISNUMBER(K2382)),ABS(J2382)&gt;K2382),"FAIL","PASS"))</x:f>
        <x:v>OPEN</x:v>
      </x:c>
    </x:row>
    <x:row r="2383">
      <x:c r="B2383" s="7" t="str">
        <x:v>CAL-CH-PEA-C-Y2-13-1</x:v>
      </x:c>
      <x:c r="C2383" s="7" t="str">
        <x:v>CH-PEA-C-Y2-13-1</x:v>
      </x:c>
      <x:c r="D2383" s="7" t="str">
        <x:v>PEA-C-Y2</x:v>
      </x:c>
      <x:c r="E2383" s="7" t="str">
        <x:v>BLD-C</x:v>
      </x:c>
      <x:c r="F2383" s="7" t="str">
        <x:v>BL-Y</x:v>
      </x:c>
      <x:c r="G2383" s="7" t="str">
        <x:v>MF-13</x:v>
      </x:c>
      <x:c r="H2383" s="7" t="str"/>
      <x:c r="I2383" s="7" t="str"/>
      <x:c r="J2383" s="7" t="str">
        <x:f>IF(OR(H2383="",I2383=""),"",I2383-H2383)</x:f>
      </x:c>
      <x:c r="K2383" s="7" t="str"/>
      <x:c r="L2383" s="7" t="str"/>
      <x:c r="M2383" s="7" t="str">
        <x:f>IF(L2383="","OPEN",IF(OR(NOT(ISNUMBER(H2383)),NOT(ISNUMBER(I2383)),NOT(ISNUMBER(K2383)),ABS(J2383)&gt;K2383),"FAIL","PASS"))</x:f>
        <x:v>OPEN</x:v>
      </x:c>
    </x:row>
    <x:row r="2384">
      <x:c r="B2384" s="7" t="str">
        <x:v>CAL-CH-PEA-C-Y2-13-2</x:v>
      </x:c>
      <x:c r="C2384" s="7" t="str">
        <x:v>CH-PEA-C-Y2-13-2</x:v>
      </x:c>
      <x:c r="D2384" s="7" t="str">
        <x:v>PEA-C-Y2</x:v>
      </x:c>
      <x:c r="E2384" s="7" t="str">
        <x:v>BLD-C</x:v>
      </x:c>
      <x:c r="F2384" s="7" t="str">
        <x:v>BL-Y</x:v>
      </x:c>
      <x:c r="G2384" s="7" t="str">
        <x:v>MF-13</x:v>
      </x:c>
      <x:c r="H2384" s="7" t="str"/>
      <x:c r="I2384" s="7" t="str"/>
      <x:c r="J2384" s="7" t="str">
        <x:f>IF(OR(H2384="",I2384=""),"",I2384-H2384)</x:f>
      </x:c>
      <x:c r="K2384" s="7" t="str"/>
      <x:c r="L2384" s="7" t="str"/>
      <x:c r="M2384" s="7" t="str">
        <x:f>IF(L2384="","OPEN",IF(OR(NOT(ISNUMBER(H2384)),NOT(ISNUMBER(I2384)),NOT(ISNUMBER(K2384)),ABS(J2384)&gt;K2384),"FAIL","PASS"))</x:f>
        <x:v>OPEN</x:v>
      </x:c>
    </x:row>
    <x:row r="2385">
      <x:c r="B2385" s="7" t="str">
        <x:v>CAL-CH-PEA-C-Y2-13-3</x:v>
      </x:c>
      <x:c r="C2385" s="7" t="str">
        <x:v>CH-PEA-C-Y2-13-3</x:v>
      </x:c>
      <x:c r="D2385" s="7" t="str">
        <x:v>PEA-C-Y2</x:v>
      </x:c>
      <x:c r="E2385" s="7" t="str">
        <x:v>BLD-C</x:v>
      </x:c>
      <x:c r="F2385" s="7" t="str">
        <x:v>BL-Y</x:v>
      </x:c>
      <x:c r="G2385" s="7" t="str">
        <x:v>MF-13</x:v>
      </x:c>
      <x:c r="H2385" s="7" t="str"/>
      <x:c r="I2385" s="7" t="str"/>
      <x:c r="J2385" s="7" t="str">
        <x:f>IF(OR(H2385="",I2385=""),"",I2385-H2385)</x:f>
      </x:c>
      <x:c r="K2385" s="7" t="str"/>
      <x:c r="L2385" s="7" t="str"/>
      <x:c r="M2385" s="7" t="str">
        <x:f>IF(L2385="","OPEN",IF(OR(NOT(ISNUMBER(H2385)),NOT(ISNUMBER(I2385)),NOT(ISNUMBER(K2385)),ABS(J2385)&gt;K2385),"FAIL","PASS"))</x:f>
        <x:v>OPEN</x:v>
      </x:c>
    </x:row>
    <x:row r="2386">
      <x:c r="B2386" s="7" t="str">
        <x:v>CAL-CH-PEA-C-Y2-13-4</x:v>
      </x:c>
      <x:c r="C2386" s="7" t="str">
        <x:v>CH-PEA-C-Y2-13-4</x:v>
      </x:c>
      <x:c r="D2386" s="7" t="str">
        <x:v>PEA-C-Y2</x:v>
      </x:c>
      <x:c r="E2386" s="7" t="str">
        <x:v>BLD-C</x:v>
      </x:c>
      <x:c r="F2386" s="7" t="str">
        <x:v>BL-Y</x:v>
      </x:c>
      <x:c r="G2386" s="7" t="str">
        <x:v>MF-13</x:v>
      </x:c>
      <x:c r="H2386" s="7" t="str"/>
      <x:c r="I2386" s="7" t="str"/>
      <x:c r="J2386" s="7" t="str">
        <x:f>IF(OR(H2386="",I2386=""),"",I2386-H2386)</x:f>
      </x:c>
      <x:c r="K2386" s="7" t="str"/>
      <x:c r="L2386" s="7" t="str"/>
      <x:c r="M2386" s="7" t="str">
        <x:f>IF(L2386="","OPEN",IF(OR(NOT(ISNUMBER(H2386)),NOT(ISNUMBER(I2386)),NOT(ISNUMBER(K2386)),ABS(J2386)&gt;K2386),"FAIL","PASS"))</x:f>
        <x:v>OPEN</x:v>
      </x:c>
    </x:row>
    <x:row r="2387">
      <x:c r="B2387" s="7" t="str">
        <x:v>CAL-CH-PEA-C-Y2-13-5</x:v>
      </x:c>
      <x:c r="C2387" s="7" t="str">
        <x:v>CH-PEA-C-Y2-13-5</x:v>
      </x:c>
      <x:c r="D2387" s="7" t="str">
        <x:v>PEA-C-Y2</x:v>
      </x:c>
      <x:c r="E2387" s="7" t="str">
        <x:v>BLD-C</x:v>
      </x:c>
      <x:c r="F2387" s="7" t="str">
        <x:v>BL-Y</x:v>
      </x:c>
      <x:c r="G2387" s="7" t="str">
        <x:v>MF-13</x:v>
      </x:c>
      <x:c r="H2387" s="7" t="str"/>
      <x:c r="I2387" s="7" t="str"/>
      <x:c r="J2387" s="7" t="str">
        <x:f>IF(OR(H2387="",I2387=""),"",I2387-H2387)</x:f>
      </x:c>
      <x:c r="K2387" s="7" t="str"/>
      <x:c r="L2387" s="7" t="str"/>
      <x:c r="M2387" s="7" t="str">
        <x:f>IF(L2387="","OPEN",IF(OR(NOT(ISNUMBER(H2387)),NOT(ISNUMBER(I2387)),NOT(ISNUMBER(K2387)),ABS(J2387)&gt;K2387),"FAIL","PASS"))</x:f>
        <x:v>OPEN</x:v>
      </x:c>
    </x:row>
    <x:row r="2388">
      <x:c r="B2388" s="7" t="str">
        <x:v>CAL-CH-PEA-C-Y2-13-6</x:v>
      </x:c>
      <x:c r="C2388" s="7" t="str">
        <x:v>CH-PEA-C-Y2-13-6</x:v>
      </x:c>
      <x:c r="D2388" s="7" t="str">
        <x:v>PEA-C-Y2</x:v>
      </x:c>
      <x:c r="E2388" s="7" t="str">
        <x:v>BLD-C</x:v>
      </x:c>
      <x:c r="F2388" s="7" t="str">
        <x:v>BL-Y</x:v>
      </x:c>
      <x:c r="G2388" s="7" t="str">
        <x:v>MF-13</x:v>
      </x:c>
      <x:c r="H2388" s="7" t="str"/>
      <x:c r="I2388" s="7" t="str"/>
      <x:c r="J2388" s="7" t="str">
        <x:f>IF(OR(H2388="",I2388=""),"",I2388-H2388)</x:f>
      </x:c>
      <x:c r="K2388" s="7" t="str"/>
      <x:c r="L2388" s="7" t="str"/>
      <x:c r="M2388" s="7" t="str">
        <x:f>IF(L2388="","OPEN",IF(OR(NOT(ISNUMBER(H2388)),NOT(ISNUMBER(I2388)),NOT(ISNUMBER(K2388)),ABS(J2388)&gt;K2388),"FAIL","PASS"))</x:f>
        <x:v>OPEN</x:v>
      </x:c>
    </x:row>
    <x:row r="2389">
      <x:c r="B2389" s="7" t="str">
        <x:v>CAL-CH-PEA-C-Y2-14-1</x:v>
      </x:c>
      <x:c r="C2389" s="7" t="str">
        <x:v>CH-PEA-C-Y2-14-1</x:v>
      </x:c>
      <x:c r="D2389" s="7" t="str">
        <x:v>PEA-C-Y2</x:v>
      </x:c>
      <x:c r="E2389" s="7" t="str">
        <x:v>BLD-C</x:v>
      </x:c>
      <x:c r="F2389" s="7" t="str">
        <x:v>BL-Y</x:v>
      </x:c>
      <x:c r="G2389" s="7" t="str">
        <x:v>MF-14</x:v>
      </x:c>
      <x:c r="H2389" s="7" t="str"/>
      <x:c r="I2389" s="7" t="str"/>
      <x:c r="J2389" s="7" t="str">
        <x:f>IF(OR(H2389="",I2389=""),"",I2389-H2389)</x:f>
      </x:c>
      <x:c r="K2389" s="7" t="str"/>
      <x:c r="L2389" s="7" t="str"/>
      <x:c r="M2389" s="7" t="str">
        <x:f>IF(L2389="","OPEN",IF(OR(NOT(ISNUMBER(H2389)),NOT(ISNUMBER(I2389)),NOT(ISNUMBER(K2389)),ABS(J2389)&gt;K2389),"FAIL","PASS"))</x:f>
        <x:v>OPEN</x:v>
      </x:c>
    </x:row>
    <x:row r="2390">
      <x:c r="B2390" s="7" t="str">
        <x:v>CAL-CH-PEA-C-Y2-14-2</x:v>
      </x:c>
      <x:c r="C2390" s="7" t="str">
        <x:v>CH-PEA-C-Y2-14-2</x:v>
      </x:c>
      <x:c r="D2390" s="7" t="str">
        <x:v>PEA-C-Y2</x:v>
      </x:c>
      <x:c r="E2390" s="7" t="str">
        <x:v>BLD-C</x:v>
      </x:c>
      <x:c r="F2390" s="7" t="str">
        <x:v>BL-Y</x:v>
      </x:c>
      <x:c r="G2390" s="7" t="str">
        <x:v>MF-14</x:v>
      </x:c>
      <x:c r="H2390" s="7" t="str"/>
      <x:c r="I2390" s="7" t="str"/>
      <x:c r="J2390" s="7" t="str">
        <x:f>IF(OR(H2390="",I2390=""),"",I2390-H2390)</x:f>
      </x:c>
      <x:c r="K2390" s="7" t="str"/>
      <x:c r="L2390" s="7" t="str"/>
      <x:c r="M2390" s="7" t="str">
        <x:f>IF(L2390="","OPEN",IF(OR(NOT(ISNUMBER(H2390)),NOT(ISNUMBER(I2390)),NOT(ISNUMBER(K2390)),ABS(J2390)&gt;K2390),"FAIL","PASS"))</x:f>
        <x:v>OPEN</x:v>
      </x:c>
    </x:row>
    <x:row r="2391">
      <x:c r="B2391" s="7" t="str">
        <x:v>CAL-CH-PEA-C-Y2-14-3</x:v>
      </x:c>
      <x:c r="C2391" s="7" t="str">
        <x:v>CH-PEA-C-Y2-14-3</x:v>
      </x:c>
      <x:c r="D2391" s="7" t="str">
        <x:v>PEA-C-Y2</x:v>
      </x:c>
      <x:c r="E2391" s="7" t="str">
        <x:v>BLD-C</x:v>
      </x:c>
      <x:c r="F2391" s="7" t="str">
        <x:v>BL-Y</x:v>
      </x:c>
      <x:c r="G2391" s="7" t="str">
        <x:v>MF-14</x:v>
      </x:c>
      <x:c r="H2391" s="7" t="str"/>
      <x:c r="I2391" s="7" t="str"/>
      <x:c r="J2391" s="7" t="str">
        <x:f>IF(OR(H2391="",I2391=""),"",I2391-H2391)</x:f>
      </x:c>
      <x:c r="K2391" s="7" t="str"/>
      <x:c r="L2391" s="7" t="str"/>
      <x:c r="M2391" s="7" t="str">
        <x:f>IF(L2391="","OPEN",IF(OR(NOT(ISNUMBER(H2391)),NOT(ISNUMBER(I2391)),NOT(ISNUMBER(K2391)),ABS(J2391)&gt;K2391),"FAIL","PASS"))</x:f>
        <x:v>OPEN</x:v>
      </x:c>
    </x:row>
    <x:row r="2392">
      <x:c r="B2392" s="7" t="str">
        <x:v>CAL-CH-PEA-C-Y2-14-4</x:v>
      </x:c>
      <x:c r="C2392" s="7" t="str">
        <x:v>CH-PEA-C-Y2-14-4</x:v>
      </x:c>
      <x:c r="D2392" s="7" t="str">
        <x:v>PEA-C-Y2</x:v>
      </x:c>
      <x:c r="E2392" s="7" t="str">
        <x:v>BLD-C</x:v>
      </x:c>
      <x:c r="F2392" s="7" t="str">
        <x:v>BL-Y</x:v>
      </x:c>
      <x:c r="G2392" s="7" t="str">
        <x:v>MF-14</x:v>
      </x:c>
      <x:c r="H2392" s="7" t="str"/>
      <x:c r="I2392" s="7" t="str"/>
      <x:c r="J2392" s="7" t="str">
        <x:f>IF(OR(H2392="",I2392=""),"",I2392-H2392)</x:f>
      </x:c>
      <x:c r="K2392" s="7" t="str"/>
      <x:c r="L2392" s="7" t="str"/>
      <x:c r="M2392" s="7" t="str">
        <x:f>IF(L2392="","OPEN",IF(OR(NOT(ISNUMBER(H2392)),NOT(ISNUMBER(I2392)),NOT(ISNUMBER(K2392)),ABS(J2392)&gt;K2392),"FAIL","PASS"))</x:f>
        <x:v>OPEN</x:v>
      </x:c>
    </x:row>
    <x:row r="2393">
      <x:c r="B2393" s="7" t="str">
        <x:v>CAL-CH-PEA-C-Y2-14-5</x:v>
      </x:c>
      <x:c r="C2393" s="7" t="str">
        <x:v>CH-PEA-C-Y2-14-5</x:v>
      </x:c>
      <x:c r="D2393" s="7" t="str">
        <x:v>PEA-C-Y2</x:v>
      </x:c>
      <x:c r="E2393" s="7" t="str">
        <x:v>BLD-C</x:v>
      </x:c>
      <x:c r="F2393" s="7" t="str">
        <x:v>BL-Y</x:v>
      </x:c>
      <x:c r="G2393" s="7" t="str">
        <x:v>MF-14</x:v>
      </x:c>
      <x:c r="H2393" s="7" t="str"/>
      <x:c r="I2393" s="7" t="str"/>
      <x:c r="J2393" s="7" t="str">
        <x:f>IF(OR(H2393="",I2393=""),"",I2393-H2393)</x:f>
      </x:c>
      <x:c r="K2393" s="7" t="str"/>
      <x:c r="L2393" s="7" t="str"/>
      <x:c r="M2393" s="7" t="str">
        <x:f>IF(L2393="","OPEN",IF(OR(NOT(ISNUMBER(H2393)),NOT(ISNUMBER(I2393)),NOT(ISNUMBER(K2393)),ABS(J2393)&gt;K2393),"FAIL","PASS"))</x:f>
        <x:v>OPEN</x:v>
      </x:c>
    </x:row>
    <x:row r="2394">
      <x:c r="B2394" s="7" t="str">
        <x:v>CAL-CH-PEA-C-Y2-14-6</x:v>
      </x:c>
      <x:c r="C2394" s="7" t="str">
        <x:v>CH-PEA-C-Y2-14-6</x:v>
      </x:c>
      <x:c r="D2394" s="7" t="str">
        <x:v>PEA-C-Y2</x:v>
      </x:c>
      <x:c r="E2394" s="7" t="str">
        <x:v>BLD-C</x:v>
      </x:c>
      <x:c r="F2394" s="7" t="str">
        <x:v>BL-Y</x:v>
      </x:c>
      <x:c r="G2394" s="7" t="str">
        <x:v>MF-14</x:v>
      </x:c>
      <x:c r="H2394" s="7" t="str"/>
      <x:c r="I2394" s="7" t="str"/>
      <x:c r="J2394" s="7" t="str">
        <x:f>IF(OR(H2394="",I2394=""),"",I2394-H2394)</x:f>
      </x:c>
      <x:c r="K2394" s="7" t="str"/>
      <x:c r="L2394" s="7" t="str"/>
      <x:c r="M2394" s="7" t="str">
        <x:f>IF(L2394="","OPEN",IF(OR(NOT(ISNUMBER(H2394)),NOT(ISNUMBER(I2394)),NOT(ISNUMBER(K2394)),ABS(J2394)&gt;K2394),"FAIL","PASS"))</x:f>
        <x:v>OPEN</x:v>
      </x:c>
    </x:row>
    <x:row r="2395">
      <x:c r="B2395" s="7" t="str">
        <x:v>CAL-CH-PEA-C-Y2-15-1</x:v>
      </x:c>
      <x:c r="C2395" s="7" t="str">
        <x:v>CH-PEA-C-Y2-15-1</x:v>
      </x:c>
      <x:c r="D2395" s="7" t="str">
        <x:v>PEA-C-Y2</x:v>
      </x:c>
      <x:c r="E2395" s="7" t="str">
        <x:v>BLD-C</x:v>
      </x:c>
      <x:c r="F2395" s="7" t="str">
        <x:v>BL-Y</x:v>
      </x:c>
      <x:c r="G2395" s="7" t="str">
        <x:v>MF-15</x:v>
      </x:c>
      <x:c r="H2395" s="7" t="str"/>
      <x:c r="I2395" s="7" t="str"/>
      <x:c r="J2395" s="7" t="str">
        <x:f>IF(OR(H2395="",I2395=""),"",I2395-H2395)</x:f>
      </x:c>
      <x:c r="K2395" s="7" t="str"/>
      <x:c r="L2395" s="7" t="str"/>
      <x:c r="M2395" s="7" t="str">
        <x:f>IF(L2395="","OPEN",IF(OR(NOT(ISNUMBER(H2395)),NOT(ISNUMBER(I2395)),NOT(ISNUMBER(K2395)),ABS(J2395)&gt;K2395),"FAIL","PASS"))</x:f>
        <x:v>OPEN</x:v>
      </x:c>
    </x:row>
    <x:row r="2396">
      <x:c r="B2396" s="7" t="str">
        <x:v>CAL-CH-PEA-C-Y2-15-2</x:v>
      </x:c>
      <x:c r="C2396" s="7" t="str">
        <x:v>CH-PEA-C-Y2-15-2</x:v>
      </x:c>
      <x:c r="D2396" s="7" t="str">
        <x:v>PEA-C-Y2</x:v>
      </x:c>
      <x:c r="E2396" s="7" t="str">
        <x:v>BLD-C</x:v>
      </x:c>
      <x:c r="F2396" s="7" t="str">
        <x:v>BL-Y</x:v>
      </x:c>
      <x:c r="G2396" s="7" t="str">
        <x:v>MF-15</x:v>
      </x:c>
      <x:c r="H2396" s="7" t="str"/>
      <x:c r="I2396" s="7" t="str"/>
      <x:c r="J2396" s="7" t="str">
        <x:f>IF(OR(H2396="",I2396=""),"",I2396-H2396)</x:f>
      </x:c>
      <x:c r="K2396" s="7" t="str"/>
      <x:c r="L2396" s="7" t="str"/>
      <x:c r="M2396" s="7" t="str">
        <x:f>IF(L2396="","OPEN",IF(OR(NOT(ISNUMBER(H2396)),NOT(ISNUMBER(I2396)),NOT(ISNUMBER(K2396)),ABS(J2396)&gt;K2396),"FAIL","PASS"))</x:f>
        <x:v>OPEN</x:v>
      </x:c>
    </x:row>
    <x:row r="2397">
      <x:c r="B2397" s="7" t="str">
        <x:v>CAL-CH-PEA-C-Y2-15-3</x:v>
      </x:c>
      <x:c r="C2397" s="7" t="str">
        <x:v>CH-PEA-C-Y2-15-3</x:v>
      </x:c>
      <x:c r="D2397" s="7" t="str">
        <x:v>PEA-C-Y2</x:v>
      </x:c>
      <x:c r="E2397" s="7" t="str">
        <x:v>BLD-C</x:v>
      </x:c>
      <x:c r="F2397" s="7" t="str">
        <x:v>BL-Y</x:v>
      </x:c>
      <x:c r="G2397" s="7" t="str">
        <x:v>MF-15</x:v>
      </x:c>
      <x:c r="H2397" s="7" t="str"/>
      <x:c r="I2397" s="7" t="str"/>
      <x:c r="J2397" s="7" t="str">
        <x:f>IF(OR(H2397="",I2397=""),"",I2397-H2397)</x:f>
      </x:c>
      <x:c r="K2397" s="7" t="str"/>
      <x:c r="L2397" s="7" t="str"/>
      <x:c r="M2397" s="7" t="str">
        <x:f>IF(L2397="","OPEN",IF(OR(NOT(ISNUMBER(H2397)),NOT(ISNUMBER(I2397)),NOT(ISNUMBER(K2397)),ABS(J2397)&gt;K2397),"FAIL","PASS"))</x:f>
        <x:v>OPEN</x:v>
      </x:c>
    </x:row>
    <x:row r="2398">
      <x:c r="B2398" s="7" t="str">
        <x:v>CAL-CH-PEA-C-Y2-15-4</x:v>
      </x:c>
      <x:c r="C2398" s="7" t="str">
        <x:v>CH-PEA-C-Y2-15-4</x:v>
      </x:c>
      <x:c r="D2398" s="7" t="str">
        <x:v>PEA-C-Y2</x:v>
      </x:c>
      <x:c r="E2398" s="7" t="str">
        <x:v>BLD-C</x:v>
      </x:c>
      <x:c r="F2398" s="7" t="str">
        <x:v>BL-Y</x:v>
      </x:c>
      <x:c r="G2398" s="7" t="str">
        <x:v>MF-15</x:v>
      </x:c>
      <x:c r="H2398" s="7" t="str"/>
      <x:c r="I2398" s="7" t="str"/>
      <x:c r="J2398" s="7" t="str">
        <x:f>IF(OR(H2398="",I2398=""),"",I2398-H2398)</x:f>
      </x:c>
      <x:c r="K2398" s="7" t="str"/>
      <x:c r="L2398" s="7" t="str"/>
      <x:c r="M2398" s="7" t="str">
        <x:f>IF(L2398="","OPEN",IF(OR(NOT(ISNUMBER(H2398)),NOT(ISNUMBER(I2398)),NOT(ISNUMBER(K2398)),ABS(J2398)&gt;K2398),"FAIL","PASS"))</x:f>
        <x:v>OPEN</x:v>
      </x:c>
    </x:row>
    <x:row r="2399">
      <x:c r="B2399" s="7" t="str">
        <x:v>CAL-CH-PEA-C-Y2-15-5</x:v>
      </x:c>
      <x:c r="C2399" s="7" t="str">
        <x:v>CH-PEA-C-Y2-15-5</x:v>
      </x:c>
      <x:c r="D2399" s="7" t="str">
        <x:v>PEA-C-Y2</x:v>
      </x:c>
      <x:c r="E2399" s="7" t="str">
        <x:v>BLD-C</x:v>
      </x:c>
      <x:c r="F2399" s="7" t="str">
        <x:v>BL-Y</x:v>
      </x:c>
      <x:c r="G2399" s="7" t="str">
        <x:v>MF-15</x:v>
      </x:c>
      <x:c r="H2399" s="7" t="str"/>
      <x:c r="I2399" s="7" t="str"/>
      <x:c r="J2399" s="7" t="str">
        <x:f>IF(OR(H2399="",I2399=""),"",I2399-H2399)</x:f>
      </x:c>
      <x:c r="K2399" s="7" t="str"/>
      <x:c r="L2399" s="7" t="str"/>
      <x:c r="M2399" s="7" t="str">
        <x:f>IF(L2399="","OPEN",IF(OR(NOT(ISNUMBER(H2399)),NOT(ISNUMBER(I2399)),NOT(ISNUMBER(K2399)),ABS(J2399)&gt;K2399),"FAIL","PASS"))</x:f>
        <x:v>OPEN</x:v>
      </x:c>
    </x:row>
    <x:row r="2400">
      <x:c r="B2400" s="7" t="str">
        <x:v>CAL-CH-PEA-C-Y2-15-6</x:v>
      </x:c>
      <x:c r="C2400" s="7" t="str">
        <x:v>CH-PEA-C-Y2-15-6</x:v>
      </x:c>
      <x:c r="D2400" s="7" t="str">
        <x:v>PEA-C-Y2</x:v>
      </x:c>
      <x:c r="E2400" s="7" t="str">
        <x:v>BLD-C</x:v>
      </x:c>
      <x:c r="F2400" s="7" t="str">
        <x:v>BL-Y</x:v>
      </x:c>
      <x:c r="G2400" s="7" t="str">
        <x:v>MF-15</x:v>
      </x:c>
      <x:c r="H2400" s="7" t="str"/>
      <x:c r="I2400" s="7" t="str"/>
      <x:c r="J2400" s="7" t="str">
        <x:f>IF(OR(H2400="",I2400=""),"",I2400-H2400)</x:f>
      </x:c>
      <x:c r="K2400" s="7" t="str"/>
      <x:c r="L2400" s="7" t="str"/>
      <x:c r="M2400" s="7" t="str">
        <x:f>IF(L2400="","OPEN",IF(OR(NOT(ISNUMBER(H2400)),NOT(ISNUMBER(I2400)),NOT(ISNUMBER(K2400)),ABS(J2400)&gt;K2400),"FAIL","PASS"))</x:f>
        <x:v>OPEN</x:v>
      </x:c>
    </x:row>
    <x:row r="2401">
      <x:c r="B2401" s="7" t="str">
        <x:v>CAL-CH-PEA-C-Y2-16-1</x:v>
      </x:c>
      <x:c r="C2401" s="7" t="str">
        <x:v>CH-PEA-C-Y2-16-1</x:v>
      </x:c>
      <x:c r="D2401" s="7" t="str">
        <x:v>PEA-C-Y2</x:v>
      </x:c>
      <x:c r="E2401" s="7" t="str">
        <x:v>BLD-C</x:v>
      </x:c>
      <x:c r="F2401" s="7" t="str">
        <x:v>BL-Y</x:v>
      </x:c>
      <x:c r="G2401" s="7" t="str">
        <x:v>MF-16</x:v>
      </x:c>
      <x:c r="H2401" s="7" t="str"/>
      <x:c r="I2401" s="7" t="str"/>
      <x:c r="J2401" s="7" t="str">
        <x:f>IF(OR(H2401="",I2401=""),"",I2401-H2401)</x:f>
      </x:c>
      <x:c r="K2401" s="7" t="str"/>
      <x:c r="L2401" s="7" t="str"/>
      <x:c r="M2401" s="7" t="str">
        <x:f>IF(L2401="","OPEN",IF(OR(NOT(ISNUMBER(H2401)),NOT(ISNUMBER(I2401)),NOT(ISNUMBER(K2401)),ABS(J2401)&gt;K2401),"FAIL","PASS"))</x:f>
        <x:v>OPEN</x:v>
      </x:c>
    </x:row>
    <x:row r="2402">
      <x:c r="B2402" s="7" t="str">
        <x:v>CAL-CH-PEA-C-Y2-16-2</x:v>
      </x:c>
      <x:c r="C2402" s="7" t="str">
        <x:v>CH-PEA-C-Y2-16-2</x:v>
      </x:c>
      <x:c r="D2402" s="7" t="str">
        <x:v>PEA-C-Y2</x:v>
      </x:c>
      <x:c r="E2402" s="7" t="str">
        <x:v>BLD-C</x:v>
      </x:c>
      <x:c r="F2402" s="7" t="str">
        <x:v>BL-Y</x:v>
      </x:c>
      <x:c r="G2402" s="7" t="str">
        <x:v>MF-16</x:v>
      </x:c>
      <x:c r="H2402" s="7" t="str"/>
      <x:c r="I2402" s="7" t="str"/>
      <x:c r="J2402" s="7" t="str">
        <x:f>IF(OR(H2402="",I2402=""),"",I2402-H2402)</x:f>
      </x:c>
      <x:c r="K2402" s="7" t="str"/>
      <x:c r="L2402" s="7" t="str"/>
      <x:c r="M2402" s="7" t="str">
        <x:f>IF(L2402="","OPEN",IF(OR(NOT(ISNUMBER(H2402)),NOT(ISNUMBER(I2402)),NOT(ISNUMBER(K2402)),ABS(J2402)&gt;K2402),"FAIL","PASS"))</x:f>
        <x:v>OPEN</x:v>
      </x:c>
    </x:row>
    <x:row r="2403">
      <x:c r="B2403" s="7" t="str">
        <x:v>CAL-CH-PEA-C-Y2-16-3</x:v>
      </x:c>
      <x:c r="C2403" s="7" t="str">
        <x:v>CH-PEA-C-Y2-16-3</x:v>
      </x:c>
      <x:c r="D2403" s="7" t="str">
        <x:v>PEA-C-Y2</x:v>
      </x:c>
      <x:c r="E2403" s="7" t="str">
        <x:v>BLD-C</x:v>
      </x:c>
      <x:c r="F2403" s="7" t="str">
        <x:v>BL-Y</x:v>
      </x:c>
      <x:c r="G2403" s="7" t="str">
        <x:v>MF-16</x:v>
      </x:c>
      <x:c r="H2403" s="7" t="str"/>
      <x:c r="I2403" s="7" t="str"/>
      <x:c r="J2403" s="7" t="str">
        <x:f>IF(OR(H2403="",I2403=""),"",I2403-H2403)</x:f>
      </x:c>
      <x:c r="K2403" s="7" t="str"/>
      <x:c r="L2403" s="7" t="str"/>
      <x:c r="M2403" s="7" t="str">
        <x:f>IF(L2403="","OPEN",IF(OR(NOT(ISNUMBER(H2403)),NOT(ISNUMBER(I2403)),NOT(ISNUMBER(K2403)),ABS(J2403)&gt;K2403),"FAIL","PASS"))</x:f>
        <x:v>OPEN</x:v>
      </x:c>
    </x:row>
    <x:row r="2404">
      <x:c r="B2404" s="7" t="str">
        <x:v>CAL-CH-PEA-C-Y2-16-4</x:v>
      </x:c>
      <x:c r="C2404" s="7" t="str">
        <x:v>CH-PEA-C-Y2-16-4</x:v>
      </x:c>
      <x:c r="D2404" s="7" t="str">
        <x:v>PEA-C-Y2</x:v>
      </x:c>
      <x:c r="E2404" s="7" t="str">
        <x:v>BLD-C</x:v>
      </x:c>
      <x:c r="F2404" s="7" t="str">
        <x:v>BL-Y</x:v>
      </x:c>
      <x:c r="G2404" s="7" t="str">
        <x:v>MF-16</x:v>
      </x:c>
      <x:c r="H2404" s="7" t="str"/>
      <x:c r="I2404" s="7" t="str"/>
      <x:c r="J2404" s="7" t="str">
        <x:f>IF(OR(H2404="",I2404=""),"",I2404-H2404)</x:f>
      </x:c>
      <x:c r="K2404" s="7" t="str"/>
      <x:c r="L2404" s="7" t="str"/>
      <x:c r="M2404" s="7" t="str">
        <x:f>IF(L2404="","OPEN",IF(OR(NOT(ISNUMBER(H2404)),NOT(ISNUMBER(I2404)),NOT(ISNUMBER(K2404)),ABS(J2404)&gt;K2404),"FAIL","PASS"))</x:f>
        <x:v>OPEN</x:v>
      </x:c>
    </x:row>
    <x:row r="2405">
      <x:c r="B2405" s="7" t="str">
        <x:v>CAL-CH-PEA-C-Y2-16-5</x:v>
      </x:c>
      <x:c r="C2405" s="7" t="str">
        <x:v>CH-PEA-C-Y2-16-5</x:v>
      </x:c>
      <x:c r="D2405" s="7" t="str">
        <x:v>PEA-C-Y2</x:v>
      </x:c>
      <x:c r="E2405" s="7" t="str">
        <x:v>BLD-C</x:v>
      </x:c>
      <x:c r="F2405" s="7" t="str">
        <x:v>BL-Y</x:v>
      </x:c>
      <x:c r="G2405" s="7" t="str">
        <x:v>MF-16</x:v>
      </x:c>
      <x:c r="H2405" s="7" t="str"/>
      <x:c r="I2405" s="7" t="str"/>
      <x:c r="J2405" s="7" t="str">
        <x:f>IF(OR(H2405="",I2405=""),"",I2405-H2405)</x:f>
      </x:c>
      <x:c r="K2405" s="7" t="str"/>
      <x:c r="L2405" s="7" t="str"/>
      <x:c r="M2405" s="7" t="str">
        <x:f>IF(L2405="","OPEN",IF(OR(NOT(ISNUMBER(H2405)),NOT(ISNUMBER(I2405)),NOT(ISNUMBER(K2405)),ABS(J2405)&gt;K2405),"FAIL","PASS"))</x:f>
        <x:v>OPEN</x:v>
      </x:c>
    </x:row>
    <x:row r="2406">
      <x:c r="B2406" s="7" t="str">
        <x:v>CAL-CH-PEA-C-Y2-16-6</x:v>
      </x:c>
      <x:c r="C2406" s="7" t="str">
        <x:v>CH-PEA-C-Y2-16-6</x:v>
      </x:c>
      <x:c r="D2406" s="7" t="str">
        <x:v>PEA-C-Y2</x:v>
      </x:c>
      <x:c r="E2406" s="7" t="str">
        <x:v>BLD-C</x:v>
      </x:c>
      <x:c r="F2406" s="7" t="str">
        <x:v>BL-Y</x:v>
      </x:c>
      <x:c r="G2406" s="7" t="str">
        <x:v>MF-16</x:v>
      </x:c>
      <x:c r="H2406" s="7" t="str"/>
      <x:c r="I2406" s="7" t="str"/>
      <x:c r="J2406" s="7" t="str">
        <x:f>IF(OR(H2406="",I2406=""),"",I2406-H2406)</x:f>
      </x:c>
      <x:c r="K2406" s="7" t="str"/>
      <x:c r="L2406" s="7" t="str"/>
      <x:c r="M2406" s="7" t="str">
        <x:f>IF(L2406="","OPEN",IF(OR(NOT(ISNUMBER(H2406)),NOT(ISNUMBER(I2406)),NOT(ISNUMBER(K2406)),ABS(J2406)&gt;K2406),"FAIL","PASS"))</x:f>
        <x:v>OPEN</x:v>
      </x:c>
    </x:row>
    <x:row r="2407">
      <x:c r="B2407" s="7" t="str">
        <x:v>CAL-CH-PEA-C-Y2-17-1</x:v>
      </x:c>
      <x:c r="C2407" s="7" t="str">
        <x:v>CH-PEA-C-Y2-17-1</x:v>
      </x:c>
      <x:c r="D2407" s="7" t="str">
        <x:v>PEA-C-Y2</x:v>
      </x:c>
      <x:c r="E2407" s="7" t="str">
        <x:v>BLD-C</x:v>
      </x:c>
      <x:c r="F2407" s="7" t="str">
        <x:v>BL-Y</x:v>
      </x:c>
      <x:c r="G2407" s="7" t="str">
        <x:v>MF-17</x:v>
      </x:c>
      <x:c r="H2407" s="7" t="str"/>
      <x:c r="I2407" s="7" t="str"/>
      <x:c r="J2407" s="7" t="str">
        <x:f>IF(OR(H2407="",I2407=""),"",I2407-H2407)</x:f>
      </x:c>
      <x:c r="K2407" s="7" t="str"/>
      <x:c r="L2407" s="7" t="str"/>
      <x:c r="M2407" s="7" t="str">
        <x:f>IF(L2407="","OPEN",IF(OR(NOT(ISNUMBER(H2407)),NOT(ISNUMBER(I2407)),NOT(ISNUMBER(K2407)),ABS(J2407)&gt;K2407),"FAIL","PASS"))</x:f>
        <x:v>OPEN</x:v>
      </x:c>
    </x:row>
    <x:row r="2408">
      <x:c r="B2408" s="7" t="str">
        <x:v>CAL-CH-PEA-C-Y2-17-2</x:v>
      </x:c>
      <x:c r="C2408" s="7" t="str">
        <x:v>CH-PEA-C-Y2-17-2</x:v>
      </x:c>
      <x:c r="D2408" s="7" t="str">
        <x:v>PEA-C-Y2</x:v>
      </x:c>
      <x:c r="E2408" s="7" t="str">
        <x:v>BLD-C</x:v>
      </x:c>
      <x:c r="F2408" s="7" t="str">
        <x:v>BL-Y</x:v>
      </x:c>
      <x:c r="G2408" s="7" t="str">
        <x:v>MF-17</x:v>
      </x:c>
      <x:c r="H2408" s="7" t="str"/>
      <x:c r="I2408" s="7" t="str"/>
      <x:c r="J2408" s="7" t="str">
        <x:f>IF(OR(H2408="",I2408=""),"",I2408-H2408)</x:f>
      </x:c>
      <x:c r="K2408" s="7" t="str"/>
      <x:c r="L2408" s="7" t="str"/>
      <x:c r="M2408" s="7" t="str">
        <x:f>IF(L2408="","OPEN",IF(OR(NOT(ISNUMBER(H2408)),NOT(ISNUMBER(I2408)),NOT(ISNUMBER(K2408)),ABS(J2408)&gt;K2408),"FAIL","PASS"))</x:f>
        <x:v>OPEN</x:v>
      </x:c>
    </x:row>
    <x:row r="2409">
      <x:c r="B2409" s="7" t="str">
        <x:v>CAL-CH-PEA-C-Y2-17-3</x:v>
      </x:c>
      <x:c r="C2409" s="7" t="str">
        <x:v>CH-PEA-C-Y2-17-3</x:v>
      </x:c>
      <x:c r="D2409" s="7" t="str">
        <x:v>PEA-C-Y2</x:v>
      </x:c>
      <x:c r="E2409" s="7" t="str">
        <x:v>BLD-C</x:v>
      </x:c>
      <x:c r="F2409" s="7" t="str">
        <x:v>BL-Y</x:v>
      </x:c>
      <x:c r="G2409" s="7" t="str">
        <x:v>MF-17</x:v>
      </x:c>
      <x:c r="H2409" s="7" t="str"/>
      <x:c r="I2409" s="7" t="str"/>
      <x:c r="J2409" s="7" t="str">
        <x:f>IF(OR(H2409="",I2409=""),"",I2409-H2409)</x:f>
      </x:c>
      <x:c r="K2409" s="7" t="str"/>
      <x:c r="L2409" s="7" t="str"/>
      <x:c r="M2409" s="7" t="str">
        <x:f>IF(L2409="","OPEN",IF(OR(NOT(ISNUMBER(H2409)),NOT(ISNUMBER(I2409)),NOT(ISNUMBER(K2409)),ABS(J2409)&gt;K2409),"FAIL","PASS"))</x:f>
        <x:v>OPEN</x:v>
      </x:c>
    </x:row>
    <x:row r="2410">
      <x:c r="B2410" s="7" t="str">
        <x:v>CAL-CH-PEA-C-Y2-17-4</x:v>
      </x:c>
      <x:c r="C2410" s="7" t="str">
        <x:v>CH-PEA-C-Y2-17-4</x:v>
      </x:c>
      <x:c r="D2410" s="7" t="str">
        <x:v>PEA-C-Y2</x:v>
      </x:c>
      <x:c r="E2410" s="7" t="str">
        <x:v>BLD-C</x:v>
      </x:c>
      <x:c r="F2410" s="7" t="str">
        <x:v>BL-Y</x:v>
      </x:c>
      <x:c r="G2410" s="7" t="str">
        <x:v>MF-17</x:v>
      </x:c>
      <x:c r="H2410" s="7" t="str"/>
      <x:c r="I2410" s="7" t="str"/>
      <x:c r="J2410" s="7" t="str">
        <x:f>IF(OR(H2410="",I2410=""),"",I2410-H2410)</x:f>
      </x:c>
      <x:c r="K2410" s="7" t="str"/>
      <x:c r="L2410" s="7" t="str"/>
      <x:c r="M2410" s="7" t="str">
        <x:f>IF(L2410="","OPEN",IF(OR(NOT(ISNUMBER(H2410)),NOT(ISNUMBER(I2410)),NOT(ISNUMBER(K2410)),ABS(J2410)&gt;K2410),"FAIL","PASS"))</x:f>
        <x:v>OPEN</x:v>
      </x:c>
    </x:row>
    <x:row r="2411">
      <x:c r="B2411" s="7" t="str">
        <x:v>CAL-CH-PEA-C-Y2-17-5</x:v>
      </x:c>
      <x:c r="C2411" s="7" t="str">
        <x:v>CH-PEA-C-Y2-17-5</x:v>
      </x:c>
      <x:c r="D2411" s="7" t="str">
        <x:v>PEA-C-Y2</x:v>
      </x:c>
      <x:c r="E2411" s="7" t="str">
        <x:v>BLD-C</x:v>
      </x:c>
      <x:c r="F2411" s="7" t="str">
        <x:v>BL-Y</x:v>
      </x:c>
      <x:c r="G2411" s="7" t="str">
        <x:v>MF-17</x:v>
      </x:c>
      <x:c r="H2411" s="7" t="str"/>
      <x:c r="I2411" s="7" t="str"/>
      <x:c r="J2411" s="7" t="str">
        <x:f>IF(OR(H2411="",I2411=""),"",I2411-H2411)</x:f>
      </x:c>
      <x:c r="K2411" s="7" t="str"/>
      <x:c r="L2411" s="7" t="str"/>
      <x:c r="M2411" s="7" t="str">
        <x:f>IF(L2411="","OPEN",IF(OR(NOT(ISNUMBER(H2411)),NOT(ISNUMBER(I2411)),NOT(ISNUMBER(K2411)),ABS(J2411)&gt;K2411),"FAIL","PASS"))</x:f>
        <x:v>OPEN</x:v>
      </x:c>
    </x:row>
    <x:row r="2412">
      <x:c r="B2412" s="7" t="str">
        <x:v>CAL-CH-PEA-C-Y2-17-6</x:v>
      </x:c>
      <x:c r="C2412" s="7" t="str">
        <x:v>CH-PEA-C-Y2-17-6</x:v>
      </x:c>
      <x:c r="D2412" s="7" t="str">
        <x:v>PEA-C-Y2</x:v>
      </x:c>
      <x:c r="E2412" s="7" t="str">
        <x:v>BLD-C</x:v>
      </x:c>
      <x:c r="F2412" s="7" t="str">
        <x:v>BL-Y</x:v>
      </x:c>
      <x:c r="G2412" s="7" t="str">
        <x:v>MF-17</x:v>
      </x:c>
      <x:c r="H2412" s="7" t="str"/>
      <x:c r="I2412" s="7" t="str"/>
      <x:c r="J2412" s="7" t="str">
        <x:f>IF(OR(H2412="",I2412=""),"",I2412-H2412)</x:f>
      </x:c>
      <x:c r="K2412" s="7" t="str"/>
      <x:c r="L2412" s="7" t="str"/>
      <x:c r="M2412" s="7" t="str">
        <x:f>IF(L2412="","OPEN",IF(OR(NOT(ISNUMBER(H2412)),NOT(ISNUMBER(I2412)),NOT(ISNUMBER(K2412)),ABS(J2412)&gt;K2412),"FAIL","PASS"))</x:f>
        <x:v>OPEN</x:v>
      </x:c>
    </x:row>
    <x:row r="2413">
      <x:c r="B2413" s="7" t="str">
        <x:v>CAL-CH-PEA-C-Y2-18-1</x:v>
      </x:c>
      <x:c r="C2413" s="7" t="str">
        <x:v>CH-PEA-C-Y2-18-1</x:v>
      </x:c>
      <x:c r="D2413" s="7" t="str">
        <x:v>PEA-C-Y2</x:v>
      </x:c>
      <x:c r="E2413" s="7" t="str">
        <x:v>BLD-C</x:v>
      </x:c>
      <x:c r="F2413" s="7" t="str">
        <x:v>BL-Y</x:v>
      </x:c>
      <x:c r="G2413" s="7" t="str">
        <x:v>MF-18</x:v>
      </x:c>
      <x:c r="H2413" s="7" t="str"/>
      <x:c r="I2413" s="7" t="str"/>
      <x:c r="J2413" s="7" t="str">
        <x:f>IF(OR(H2413="",I2413=""),"",I2413-H2413)</x:f>
      </x:c>
      <x:c r="K2413" s="7" t="str"/>
      <x:c r="L2413" s="7" t="str"/>
      <x:c r="M2413" s="7" t="str">
        <x:f>IF(L2413="","OPEN",IF(OR(NOT(ISNUMBER(H2413)),NOT(ISNUMBER(I2413)),NOT(ISNUMBER(K2413)),ABS(J2413)&gt;K2413),"FAIL","PASS"))</x:f>
        <x:v>OPEN</x:v>
      </x:c>
    </x:row>
    <x:row r="2414">
      <x:c r="B2414" s="7" t="str">
        <x:v>CAL-CH-PEA-C-Y2-18-2</x:v>
      </x:c>
      <x:c r="C2414" s="7" t="str">
        <x:v>CH-PEA-C-Y2-18-2</x:v>
      </x:c>
      <x:c r="D2414" s="7" t="str">
        <x:v>PEA-C-Y2</x:v>
      </x:c>
      <x:c r="E2414" s="7" t="str">
        <x:v>BLD-C</x:v>
      </x:c>
      <x:c r="F2414" s="7" t="str">
        <x:v>BL-Y</x:v>
      </x:c>
      <x:c r="G2414" s="7" t="str">
        <x:v>MF-18</x:v>
      </x:c>
      <x:c r="H2414" s="7" t="str"/>
      <x:c r="I2414" s="7" t="str"/>
      <x:c r="J2414" s="7" t="str">
        <x:f>IF(OR(H2414="",I2414=""),"",I2414-H2414)</x:f>
      </x:c>
      <x:c r="K2414" s="7" t="str"/>
      <x:c r="L2414" s="7" t="str"/>
      <x:c r="M2414" s="7" t="str">
        <x:f>IF(L2414="","OPEN",IF(OR(NOT(ISNUMBER(H2414)),NOT(ISNUMBER(I2414)),NOT(ISNUMBER(K2414)),ABS(J2414)&gt;K2414),"FAIL","PASS"))</x:f>
        <x:v>OPEN</x:v>
      </x:c>
    </x:row>
    <x:row r="2415">
      <x:c r="B2415" s="7" t="str">
        <x:v>CAL-CH-PEA-C-Y2-18-3</x:v>
      </x:c>
      <x:c r="C2415" s="7" t="str">
        <x:v>CH-PEA-C-Y2-18-3</x:v>
      </x:c>
      <x:c r="D2415" s="7" t="str">
        <x:v>PEA-C-Y2</x:v>
      </x:c>
      <x:c r="E2415" s="7" t="str">
        <x:v>BLD-C</x:v>
      </x:c>
      <x:c r="F2415" s="7" t="str">
        <x:v>BL-Y</x:v>
      </x:c>
      <x:c r="G2415" s="7" t="str">
        <x:v>MF-18</x:v>
      </x:c>
      <x:c r="H2415" s="7" t="str"/>
      <x:c r="I2415" s="7" t="str"/>
      <x:c r="J2415" s="7" t="str">
        <x:f>IF(OR(H2415="",I2415=""),"",I2415-H2415)</x:f>
      </x:c>
      <x:c r="K2415" s="7" t="str"/>
      <x:c r="L2415" s="7" t="str"/>
      <x:c r="M2415" s="7" t="str">
        <x:f>IF(L2415="","OPEN",IF(OR(NOT(ISNUMBER(H2415)),NOT(ISNUMBER(I2415)),NOT(ISNUMBER(K2415)),ABS(J2415)&gt;K2415),"FAIL","PASS"))</x:f>
        <x:v>OPEN</x:v>
      </x:c>
    </x:row>
    <x:row r="2416">
      <x:c r="B2416" s="7" t="str">
        <x:v>CAL-CH-PEA-C-Y2-18-4</x:v>
      </x:c>
      <x:c r="C2416" s="7" t="str">
        <x:v>CH-PEA-C-Y2-18-4</x:v>
      </x:c>
      <x:c r="D2416" s="7" t="str">
        <x:v>PEA-C-Y2</x:v>
      </x:c>
      <x:c r="E2416" s="7" t="str">
        <x:v>BLD-C</x:v>
      </x:c>
      <x:c r="F2416" s="7" t="str">
        <x:v>BL-Y</x:v>
      </x:c>
      <x:c r="G2416" s="7" t="str">
        <x:v>MF-18</x:v>
      </x:c>
      <x:c r="H2416" s="7" t="str"/>
      <x:c r="I2416" s="7" t="str"/>
      <x:c r="J2416" s="7" t="str">
        <x:f>IF(OR(H2416="",I2416=""),"",I2416-H2416)</x:f>
      </x:c>
      <x:c r="K2416" s="7" t="str"/>
      <x:c r="L2416" s="7" t="str"/>
      <x:c r="M2416" s="7" t="str">
        <x:f>IF(L2416="","OPEN",IF(OR(NOT(ISNUMBER(H2416)),NOT(ISNUMBER(I2416)),NOT(ISNUMBER(K2416)),ABS(J2416)&gt;K2416),"FAIL","PASS"))</x:f>
        <x:v>OPEN</x:v>
      </x:c>
    </x:row>
    <x:row r="2417">
      <x:c r="B2417" s="7" t="str">
        <x:v>CAL-CH-PEA-C-Y2-18-5</x:v>
      </x:c>
      <x:c r="C2417" s="7" t="str">
        <x:v>CH-PEA-C-Y2-18-5</x:v>
      </x:c>
      <x:c r="D2417" s="7" t="str">
        <x:v>PEA-C-Y2</x:v>
      </x:c>
      <x:c r="E2417" s="7" t="str">
        <x:v>BLD-C</x:v>
      </x:c>
      <x:c r="F2417" s="7" t="str">
        <x:v>BL-Y</x:v>
      </x:c>
      <x:c r="G2417" s="7" t="str">
        <x:v>MF-18</x:v>
      </x:c>
      <x:c r="H2417" s="7" t="str"/>
      <x:c r="I2417" s="7" t="str"/>
      <x:c r="J2417" s="7" t="str">
        <x:f>IF(OR(H2417="",I2417=""),"",I2417-H2417)</x:f>
      </x:c>
      <x:c r="K2417" s="7" t="str"/>
      <x:c r="L2417" s="7" t="str"/>
      <x:c r="M2417" s="7" t="str">
        <x:f>IF(L2417="","OPEN",IF(OR(NOT(ISNUMBER(H2417)),NOT(ISNUMBER(I2417)),NOT(ISNUMBER(K2417)),ABS(J2417)&gt;K2417),"FAIL","PASS"))</x:f>
        <x:v>OPEN</x:v>
      </x:c>
    </x:row>
    <x:row r="2418">
      <x:c r="B2418" s="7" t="str">
        <x:v>CAL-CH-PEA-C-Y2-18-6</x:v>
      </x:c>
      <x:c r="C2418" s="7" t="str">
        <x:v>CH-PEA-C-Y2-18-6</x:v>
      </x:c>
      <x:c r="D2418" s="7" t="str">
        <x:v>PEA-C-Y2</x:v>
      </x:c>
      <x:c r="E2418" s="7" t="str">
        <x:v>BLD-C</x:v>
      </x:c>
      <x:c r="F2418" s="7" t="str">
        <x:v>BL-Y</x:v>
      </x:c>
      <x:c r="G2418" s="7" t="str">
        <x:v>MF-18</x:v>
      </x:c>
      <x:c r="H2418" s="7" t="str"/>
      <x:c r="I2418" s="7" t="str"/>
      <x:c r="J2418" s="7" t="str">
        <x:f>IF(OR(H2418="",I2418=""),"",I2418-H2418)</x:f>
      </x:c>
      <x:c r="K2418" s="7" t="str"/>
      <x:c r="L2418" s="7" t="str"/>
      <x:c r="M2418" s="7" t="str">
        <x:f>IF(L2418="","OPEN",IF(OR(NOT(ISNUMBER(H2418)),NOT(ISNUMBER(I2418)),NOT(ISNUMBER(K2418)),ABS(J2418)&gt;K2418),"FAIL","PASS"))</x:f>
        <x:v>OPEN</x:v>
      </x:c>
    </x:row>
    <x:row r="2419">
      <x:c r="B2419" s="7" t="str">
        <x:v>CAL-CH-PEA-C-Y2-19-1</x:v>
      </x:c>
      <x:c r="C2419" s="7" t="str">
        <x:v>CH-PEA-C-Y2-19-1</x:v>
      </x:c>
      <x:c r="D2419" s="7" t="str">
        <x:v>PEA-C-Y2</x:v>
      </x:c>
      <x:c r="E2419" s="7" t="str">
        <x:v>BLD-C</x:v>
      </x:c>
      <x:c r="F2419" s="7" t="str">
        <x:v>BL-Y</x:v>
      </x:c>
      <x:c r="G2419" s="7" t="str">
        <x:v>MF-19</x:v>
      </x:c>
      <x:c r="H2419" s="7" t="str"/>
      <x:c r="I2419" s="7" t="str"/>
      <x:c r="J2419" s="7" t="str">
        <x:f>IF(OR(H2419="",I2419=""),"",I2419-H2419)</x:f>
      </x:c>
      <x:c r="K2419" s="7" t="str"/>
      <x:c r="L2419" s="7" t="str"/>
      <x:c r="M2419" s="7" t="str">
        <x:f>IF(L2419="","OPEN",IF(OR(NOT(ISNUMBER(H2419)),NOT(ISNUMBER(I2419)),NOT(ISNUMBER(K2419)),ABS(J2419)&gt;K2419),"FAIL","PASS"))</x:f>
        <x:v>OPEN</x:v>
      </x:c>
    </x:row>
    <x:row r="2420">
      <x:c r="B2420" s="7" t="str">
        <x:v>CAL-CH-PEA-C-Y2-19-2</x:v>
      </x:c>
      <x:c r="C2420" s="7" t="str">
        <x:v>CH-PEA-C-Y2-19-2</x:v>
      </x:c>
      <x:c r="D2420" s="7" t="str">
        <x:v>PEA-C-Y2</x:v>
      </x:c>
      <x:c r="E2420" s="7" t="str">
        <x:v>BLD-C</x:v>
      </x:c>
      <x:c r="F2420" s="7" t="str">
        <x:v>BL-Y</x:v>
      </x:c>
      <x:c r="G2420" s="7" t="str">
        <x:v>MF-19</x:v>
      </x:c>
      <x:c r="H2420" s="7" t="str"/>
      <x:c r="I2420" s="7" t="str"/>
      <x:c r="J2420" s="7" t="str">
        <x:f>IF(OR(H2420="",I2420=""),"",I2420-H2420)</x:f>
      </x:c>
      <x:c r="K2420" s="7" t="str"/>
      <x:c r="L2420" s="7" t="str"/>
      <x:c r="M2420" s="7" t="str">
        <x:f>IF(L2420="","OPEN",IF(OR(NOT(ISNUMBER(H2420)),NOT(ISNUMBER(I2420)),NOT(ISNUMBER(K2420)),ABS(J2420)&gt;K2420),"FAIL","PASS"))</x:f>
        <x:v>OPEN</x:v>
      </x:c>
    </x:row>
    <x:row r="2421">
      <x:c r="B2421" s="7" t="str">
        <x:v>CAL-CH-PEA-C-Y2-19-3</x:v>
      </x:c>
      <x:c r="C2421" s="7" t="str">
        <x:v>CH-PEA-C-Y2-19-3</x:v>
      </x:c>
      <x:c r="D2421" s="7" t="str">
        <x:v>PEA-C-Y2</x:v>
      </x:c>
      <x:c r="E2421" s="7" t="str">
        <x:v>BLD-C</x:v>
      </x:c>
      <x:c r="F2421" s="7" t="str">
        <x:v>BL-Y</x:v>
      </x:c>
      <x:c r="G2421" s="7" t="str">
        <x:v>MF-19</x:v>
      </x:c>
      <x:c r="H2421" s="7" t="str"/>
      <x:c r="I2421" s="7" t="str"/>
      <x:c r="J2421" s="7" t="str">
        <x:f>IF(OR(H2421="",I2421=""),"",I2421-H2421)</x:f>
      </x:c>
      <x:c r="K2421" s="7" t="str"/>
      <x:c r="L2421" s="7" t="str"/>
      <x:c r="M2421" s="7" t="str">
        <x:f>IF(L2421="","OPEN",IF(OR(NOT(ISNUMBER(H2421)),NOT(ISNUMBER(I2421)),NOT(ISNUMBER(K2421)),ABS(J2421)&gt;K2421),"FAIL","PASS"))</x:f>
        <x:v>OPEN</x:v>
      </x:c>
    </x:row>
    <x:row r="2422">
      <x:c r="B2422" s="7" t="str">
        <x:v>CAL-CH-PEA-C-Y2-19-4</x:v>
      </x:c>
      <x:c r="C2422" s="7" t="str">
        <x:v>CH-PEA-C-Y2-19-4</x:v>
      </x:c>
      <x:c r="D2422" s="7" t="str">
        <x:v>PEA-C-Y2</x:v>
      </x:c>
      <x:c r="E2422" s="7" t="str">
        <x:v>BLD-C</x:v>
      </x:c>
      <x:c r="F2422" s="7" t="str">
        <x:v>BL-Y</x:v>
      </x:c>
      <x:c r="G2422" s="7" t="str">
        <x:v>MF-19</x:v>
      </x:c>
      <x:c r="H2422" s="7" t="str"/>
      <x:c r="I2422" s="7" t="str"/>
      <x:c r="J2422" s="7" t="str">
        <x:f>IF(OR(H2422="",I2422=""),"",I2422-H2422)</x:f>
      </x:c>
      <x:c r="K2422" s="7" t="str"/>
      <x:c r="L2422" s="7" t="str"/>
      <x:c r="M2422" s="7" t="str">
        <x:f>IF(L2422="","OPEN",IF(OR(NOT(ISNUMBER(H2422)),NOT(ISNUMBER(I2422)),NOT(ISNUMBER(K2422)),ABS(J2422)&gt;K2422),"FAIL","PASS"))</x:f>
        <x:v>OPEN</x:v>
      </x:c>
    </x:row>
    <x:row r="2423">
      <x:c r="B2423" s="7" t="str">
        <x:v>CAL-CH-PEA-C-Y2-19-5</x:v>
      </x:c>
      <x:c r="C2423" s="7" t="str">
        <x:v>CH-PEA-C-Y2-19-5</x:v>
      </x:c>
      <x:c r="D2423" s="7" t="str">
        <x:v>PEA-C-Y2</x:v>
      </x:c>
      <x:c r="E2423" s="7" t="str">
        <x:v>BLD-C</x:v>
      </x:c>
      <x:c r="F2423" s="7" t="str">
        <x:v>BL-Y</x:v>
      </x:c>
      <x:c r="G2423" s="7" t="str">
        <x:v>MF-19</x:v>
      </x:c>
      <x:c r="H2423" s="7" t="str"/>
      <x:c r="I2423" s="7" t="str"/>
      <x:c r="J2423" s="7" t="str">
        <x:f>IF(OR(H2423="",I2423=""),"",I2423-H2423)</x:f>
      </x:c>
      <x:c r="K2423" s="7" t="str"/>
      <x:c r="L2423" s="7" t="str"/>
      <x:c r="M2423" s="7" t="str">
        <x:f>IF(L2423="","OPEN",IF(OR(NOT(ISNUMBER(H2423)),NOT(ISNUMBER(I2423)),NOT(ISNUMBER(K2423)),ABS(J2423)&gt;K2423),"FAIL","PASS"))</x:f>
        <x:v>OPEN</x:v>
      </x:c>
    </x:row>
    <x:row r="2424">
      <x:c r="B2424" s="7" t="str">
        <x:v>CAL-CH-PEA-C-Y2-19-6</x:v>
      </x:c>
      <x:c r="C2424" s="7" t="str">
        <x:v>CH-PEA-C-Y2-19-6</x:v>
      </x:c>
      <x:c r="D2424" s="7" t="str">
        <x:v>PEA-C-Y2</x:v>
      </x:c>
      <x:c r="E2424" s="7" t="str">
        <x:v>BLD-C</x:v>
      </x:c>
      <x:c r="F2424" s="7" t="str">
        <x:v>BL-Y</x:v>
      </x:c>
      <x:c r="G2424" s="7" t="str">
        <x:v>MF-19</x:v>
      </x:c>
      <x:c r="H2424" s="7" t="str"/>
      <x:c r="I2424" s="7" t="str"/>
      <x:c r="J2424" s="7" t="str">
        <x:f>IF(OR(H2424="",I2424=""),"",I2424-H2424)</x:f>
      </x:c>
      <x:c r="K2424" s="7" t="str"/>
      <x:c r="L2424" s="7" t="str"/>
      <x:c r="M2424" s="7" t="str">
        <x:f>IF(L2424="","OPEN",IF(OR(NOT(ISNUMBER(H2424)),NOT(ISNUMBER(I2424)),NOT(ISNUMBER(K2424)),ABS(J2424)&gt;K2424),"FAIL","PASS"))</x:f>
        <x:v>OPEN</x:v>
      </x:c>
    </x:row>
    <x:row r="2425">
      <x:c r="B2425" s="7" t="str">
        <x:v>CAL-CH-PEA-C-Y2-20-1</x:v>
      </x:c>
      <x:c r="C2425" s="7" t="str">
        <x:v>CH-PEA-C-Y2-20-1</x:v>
      </x:c>
      <x:c r="D2425" s="7" t="str">
        <x:v>PEA-C-Y2</x:v>
      </x:c>
      <x:c r="E2425" s="7" t="str">
        <x:v>BLD-C</x:v>
      </x:c>
      <x:c r="F2425" s="7" t="str">
        <x:v>BL-Y</x:v>
      </x:c>
      <x:c r="G2425" s="7" t="str">
        <x:v>MF-20</x:v>
      </x:c>
      <x:c r="H2425" s="7" t="str"/>
      <x:c r="I2425" s="7" t="str"/>
      <x:c r="J2425" s="7" t="str">
        <x:f>IF(OR(H2425="",I2425=""),"",I2425-H2425)</x:f>
      </x:c>
      <x:c r="K2425" s="7" t="str"/>
      <x:c r="L2425" s="7" t="str"/>
      <x:c r="M2425" s="7" t="str">
        <x:f>IF(L2425="","OPEN",IF(OR(NOT(ISNUMBER(H2425)),NOT(ISNUMBER(I2425)),NOT(ISNUMBER(K2425)),ABS(J2425)&gt;K2425),"FAIL","PASS"))</x:f>
        <x:v>OPEN</x:v>
      </x:c>
    </x:row>
    <x:row r="2426">
      <x:c r="B2426" s="7" t="str">
        <x:v>CAL-CH-PEA-C-Y2-20-2</x:v>
      </x:c>
      <x:c r="C2426" s="7" t="str">
        <x:v>CH-PEA-C-Y2-20-2</x:v>
      </x:c>
      <x:c r="D2426" s="7" t="str">
        <x:v>PEA-C-Y2</x:v>
      </x:c>
      <x:c r="E2426" s="7" t="str">
        <x:v>BLD-C</x:v>
      </x:c>
      <x:c r="F2426" s="7" t="str">
        <x:v>BL-Y</x:v>
      </x:c>
      <x:c r="G2426" s="7" t="str">
        <x:v>MF-20</x:v>
      </x:c>
      <x:c r="H2426" s="7" t="str"/>
      <x:c r="I2426" s="7" t="str"/>
      <x:c r="J2426" s="7" t="str">
        <x:f>IF(OR(H2426="",I2426=""),"",I2426-H2426)</x:f>
      </x:c>
      <x:c r="K2426" s="7" t="str"/>
      <x:c r="L2426" s="7" t="str"/>
      <x:c r="M2426" s="7" t="str">
        <x:f>IF(L2426="","OPEN",IF(OR(NOT(ISNUMBER(H2426)),NOT(ISNUMBER(I2426)),NOT(ISNUMBER(K2426)),ABS(J2426)&gt;K2426),"FAIL","PASS"))</x:f>
        <x:v>OPEN</x:v>
      </x:c>
    </x:row>
    <x:row r="2427">
      <x:c r="B2427" s="7" t="str">
        <x:v>CAL-CH-PEA-C-Y2-20-3</x:v>
      </x:c>
      <x:c r="C2427" s="7" t="str">
        <x:v>CH-PEA-C-Y2-20-3</x:v>
      </x:c>
      <x:c r="D2427" s="7" t="str">
        <x:v>PEA-C-Y2</x:v>
      </x:c>
      <x:c r="E2427" s="7" t="str">
        <x:v>BLD-C</x:v>
      </x:c>
      <x:c r="F2427" s="7" t="str">
        <x:v>BL-Y</x:v>
      </x:c>
      <x:c r="G2427" s="7" t="str">
        <x:v>MF-20</x:v>
      </x:c>
      <x:c r="H2427" s="7" t="str"/>
      <x:c r="I2427" s="7" t="str"/>
      <x:c r="J2427" s="7" t="str">
        <x:f>IF(OR(H2427="",I2427=""),"",I2427-H2427)</x:f>
      </x:c>
      <x:c r="K2427" s="7" t="str"/>
      <x:c r="L2427" s="7" t="str"/>
      <x:c r="M2427" s="7" t="str">
        <x:f>IF(L2427="","OPEN",IF(OR(NOT(ISNUMBER(H2427)),NOT(ISNUMBER(I2427)),NOT(ISNUMBER(K2427)),ABS(J2427)&gt;K2427),"FAIL","PASS"))</x:f>
        <x:v>OPEN</x:v>
      </x:c>
    </x:row>
    <x:row r="2428">
      <x:c r="B2428" s="7" t="str">
        <x:v>CAL-CH-PEA-C-Y2-20-4</x:v>
      </x:c>
      <x:c r="C2428" s="7" t="str">
        <x:v>CH-PEA-C-Y2-20-4</x:v>
      </x:c>
      <x:c r="D2428" s="7" t="str">
        <x:v>PEA-C-Y2</x:v>
      </x:c>
      <x:c r="E2428" s="7" t="str">
        <x:v>BLD-C</x:v>
      </x:c>
      <x:c r="F2428" s="7" t="str">
        <x:v>BL-Y</x:v>
      </x:c>
      <x:c r="G2428" s="7" t="str">
        <x:v>MF-20</x:v>
      </x:c>
      <x:c r="H2428" s="7" t="str"/>
      <x:c r="I2428" s="7" t="str"/>
      <x:c r="J2428" s="7" t="str">
        <x:f>IF(OR(H2428="",I2428=""),"",I2428-H2428)</x:f>
      </x:c>
      <x:c r="K2428" s="7" t="str"/>
      <x:c r="L2428" s="7" t="str"/>
      <x:c r="M2428" s="7" t="str">
        <x:f>IF(L2428="","OPEN",IF(OR(NOT(ISNUMBER(H2428)),NOT(ISNUMBER(I2428)),NOT(ISNUMBER(K2428)),ABS(J2428)&gt;K2428),"FAIL","PASS"))</x:f>
        <x:v>OPEN</x:v>
      </x:c>
    </x:row>
    <x:row r="2429">
      <x:c r="B2429" s="7" t="str">
        <x:v>CAL-CH-PEA-C-Y2-20-5</x:v>
      </x:c>
      <x:c r="C2429" s="7" t="str">
        <x:v>CH-PEA-C-Y2-20-5</x:v>
      </x:c>
      <x:c r="D2429" s="7" t="str">
        <x:v>PEA-C-Y2</x:v>
      </x:c>
      <x:c r="E2429" s="7" t="str">
        <x:v>BLD-C</x:v>
      </x:c>
      <x:c r="F2429" s="7" t="str">
        <x:v>BL-Y</x:v>
      </x:c>
      <x:c r="G2429" s="7" t="str">
        <x:v>MF-20</x:v>
      </x:c>
      <x:c r="H2429" s="7" t="str"/>
      <x:c r="I2429" s="7" t="str"/>
      <x:c r="J2429" s="7" t="str">
        <x:f>IF(OR(H2429="",I2429=""),"",I2429-H2429)</x:f>
      </x:c>
      <x:c r="K2429" s="7" t="str"/>
      <x:c r="L2429" s="7" t="str"/>
      <x:c r="M2429" s="7" t="str">
        <x:f>IF(L2429="","OPEN",IF(OR(NOT(ISNUMBER(H2429)),NOT(ISNUMBER(I2429)),NOT(ISNUMBER(K2429)),ABS(J2429)&gt;K2429),"FAIL","PASS"))</x:f>
        <x:v>OPEN</x:v>
      </x:c>
    </x:row>
    <x:row r="2430">
      <x:c r="B2430" s="7" t="str">
        <x:v>CAL-CH-PEA-C-Y2-20-6</x:v>
      </x:c>
      <x:c r="C2430" s="7" t="str">
        <x:v>CH-PEA-C-Y2-20-6</x:v>
      </x:c>
      <x:c r="D2430" s="7" t="str">
        <x:v>PEA-C-Y2</x:v>
      </x:c>
      <x:c r="E2430" s="7" t="str">
        <x:v>BLD-C</x:v>
      </x:c>
      <x:c r="F2430" s="7" t="str">
        <x:v>BL-Y</x:v>
      </x:c>
      <x:c r="G2430" s="7" t="str">
        <x:v>MF-20</x:v>
      </x:c>
      <x:c r="H2430" s="7" t="str"/>
      <x:c r="I2430" s="7" t="str"/>
      <x:c r="J2430" s="7" t="str">
        <x:f>IF(OR(H2430="",I2430=""),"",I2430-H2430)</x:f>
      </x:c>
      <x:c r="K2430" s="7" t="str"/>
      <x:c r="L2430" s="7" t="str"/>
      <x:c r="M2430" s="7" t="str">
        <x:f>IF(L2430="","OPEN",IF(OR(NOT(ISNUMBER(H2430)),NOT(ISNUMBER(I2430)),NOT(ISNUMBER(K2430)),ABS(J2430)&gt;K2430),"FAIL","PASS"))</x:f>
        <x:v>OPEN</x:v>
      </x:c>
    </x:row>
    <x:row r="2431">
      <x:c r="B2431" s="7" t="str">
        <x:v>CAL-CH-PEA-C-Y2-21-1</x:v>
      </x:c>
      <x:c r="C2431" s="7" t="str">
        <x:v>CH-PEA-C-Y2-21-1</x:v>
      </x:c>
      <x:c r="D2431" s="7" t="str">
        <x:v>PEA-C-Y2</x:v>
      </x:c>
      <x:c r="E2431" s="7" t="str">
        <x:v>BLD-C</x:v>
      </x:c>
      <x:c r="F2431" s="7" t="str">
        <x:v>BL-Y</x:v>
      </x:c>
      <x:c r="G2431" s="7" t="str">
        <x:v>MF-21</x:v>
      </x:c>
      <x:c r="H2431" s="7" t="str"/>
      <x:c r="I2431" s="7" t="str"/>
      <x:c r="J2431" s="7" t="str">
        <x:f>IF(OR(H2431="",I2431=""),"",I2431-H2431)</x:f>
      </x:c>
      <x:c r="K2431" s="7" t="str"/>
      <x:c r="L2431" s="7" t="str"/>
      <x:c r="M2431" s="7" t="str">
        <x:f>IF(L2431="","OPEN",IF(OR(NOT(ISNUMBER(H2431)),NOT(ISNUMBER(I2431)),NOT(ISNUMBER(K2431)),ABS(J2431)&gt;K2431),"FAIL","PASS"))</x:f>
        <x:v>OPEN</x:v>
      </x:c>
    </x:row>
    <x:row r="2432">
      <x:c r="B2432" s="7" t="str">
        <x:v>CAL-CH-PEA-C-Y2-21-2</x:v>
      </x:c>
      <x:c r="C2432" s="7" t="str">
        <x:v>CH-PEA-C-Y2-21-2</x:v>
      </x:c>
      <x:c r="D2432" s="7" t="str">
        <x:v>PEA-C-Y2</x:v>
      </x:c>
      <x:c r="E2432" s="7" t="str">
        <x:v>BLD-C</x:v>
      </x:c>
      <x:c r="F2432" s="7" t="str">
        <x:v>BL-Y</x:v>
      </x:c>
      <x:c r="G2432" s="7" t="str">
        <x:v>MF-21</x:v>
      </x:c>
      <x:c r="H2432" s="7" t="str"/>
      <x:c r="I2432" s="7" t="str"/>
      <x:c r="J2432" s="7" t="str">
        <x:f>IF(OR(H2432="",I2432=""),"",I2432-H2432)</x:f>
      </x:c>
      <x:c r="K2432" s="7" t="str"/>
      <x:c r="L2432" s="7" t="str"/>
      <x:c r="M2432" s="7" t="str">
        <x:f>IF(L2432="","OPEN",IF(OR(NOT(ISNUMBER(H2432)),NOT(ISNUMBER(I2432)),NOT(ISNUMBER(K2432)),ABS(J2432)&gt;K2432),"FAIL","PASS"))</x:f>
        <x:v>OPEN</x:v>
      </x:c>
    </x:row>
    <x:row r="2433">
      <x:c r="B2433" s="7" t="str">
        <x:v>CAL-CH-PEA-C-Y2-21-3</x:v>
      </x:c>
      <x:c r="C2433" s="7" t="str">
        <x:v>CH-PEA-C-Y2-21-3</x:v>
      </x:c>
      <x:c r="D2433" s="7" t="str">
        <x:v>PEA-C-Y2</x:v>
      </x:c>
      <x:c r="E2433" s="7" t="str">
        <x:v>BLD-C</x:v>
      </x:c>
      <x:c r="F2433" s="7" t="str">
        <x:v>BL-Y</x:v>
      </x:c>
      <x:c r="G2433" s="7" t="str">
        <x:v>MF-21</x:v>
      </x:c>
      <x:c r="H2433" s="7" t="str"/>
      <x:c r="I2433" s="7" t="str"/>
      <x:c r="J2433" s="7" t="str">
        <x:f>IF(OR(H2433="",I2433=""),"",I2433-H2433)</x:f>
      </x:c>
      <x:c r="K2433" s="7" t="str"/>
      <x:c r="L2433" s="7" t="str"/>
      <x:c r="M2433" s="7" t="str">
        <x:f>IF(L2433="","OPEN",IF(OR(NOT(ISNUMBER(H2433)),NOT(ISNUMBER(I2433)),NOT(ISNUMBER(K2433)),ABS(J2433)&gt;K2433),"FAIL","PASS"))</x:f>
        <x:v>OPEN</x:v>
      </x:c>
    </x:row>
    <x:row r="2434">
      <x:c r="B2434" s="7" t="str">
        <x:v>CAL-CH-PEA-C-Y2-21-4</x:v>
      </x:c>
      <x:c r="C2434" s="7" t="str">
        <x:v>CH-PEA-C-Y2-21-4</x:v>
      </x:c>
      <x:c r="D2434" s="7" t="str">
        <x:v>PEA-C-Y2</x:v>
      </x:c>
      <x:c r="E2434" s="7" t="str">
        <x:v>BLD-C</x:v>
      </x:c>
      <x:c r="F2434" s="7" t="str">
        <x:v>BL-Y</x:v>
      </x:c>
      <x:c r="G2434" s="7" t="str">
        <x:v>MF-21</x:v>
      </x:c>
      <x:c r="H2434" s="7" t="str"/>
      <x:c r="I2434" s="7" t="str"/>
      <x:c r="J2434" s="7" t="str">
        <x:f>IF(OR(H2434="",I2434=""),"",I2434-H2434)</x:f>
      </x:c>
      <x:c r="K2434" s="7" t="str"/>
      <x:c r="L2434" s="7" t="str"/>
      <x:c r="M2434" s="7" t="str">
        <x:f>IF(L2434="","OPEN",IF(OR(NOT(ISNUMBER(H2434)),NOT(ISNUMBER(I2434)),NOT(ISNUMBER(K2434)),ABS(J2434)&gt;K2434),"FAIL","PASS"))</x:f>
        <x:v>OPEN</x:v>
      </x:c>
    </x:row>
    <x:row r="2435">
      <x:c r="B2435" s="7" t="str">
        <x:v>CAL-CH-PEA-C-Y2-21-5</x:v>
      </x:c>
      <x:c r="C2435" s="7" t="str">
        <x:v>CH-PEA-C-Y2-21-5</x:v>
      </x:c>
      <x:c r="D2435" s="7" t="str">
        <x:v>PEA-C-Y2</x:v>
      </x:c>
      <x:c r="E2435" s="7" t="str">
        <x:v>BLD-C</x:v>
      </x:c>
      <x:c r="F2435" s="7" t="str">
        <x:v>BL-Y</x:v>
      </x:c>
      <x:c r="G2435" s="7" t="str">
        <x:v>MF-21</x:v>
      </x:c>
      <x:c r="H2435" s="7" t="str"/>
      <x:c r="I2435" s="7" t="str"/>
      <x:c r="J2435" s="7" t="str">
        <x:f>IF(OR(H2435="",I2435=""),"",I2435-H2435)</x:f>
      </x:c>
      <x:c r="K2435" s="7" t="str"/>
      <x:c r="L2435" s="7" t="str"/>
      <x:c r="M2435" s="7" t="str">
        <x:f>IF(L2435="","OPEN",IF(OR(NOT(ISNUMBER(H2435)),NOT(ISNUMBER(I2435)),NOT(ISNUMBER(K2435)),ABS(J2435)&gt;K2435),"FAIL","PASS"))</x:f>
        <x:v>OPEN</x:v>
      </x:c>
    </x:row>
    <x:row r="2436">
      <x:c r="B2436" s="7" t="str">
        <x:v>CAL-CH-PEA-C-Y2-21-6</x:v>
      </x:c>
      <x:c r="C2436" s="7" t="str">
        <x:v>CH-PEA-C-Y2-21-6</x:v>
      </x:c>
      <x:c r="D2436" s="7" t="str">
        <x:v>PEA-C-Y2</x:v>
      </x:c>
      <x:c r="E2436" s="7" t="str">
        <x:v>BLD-C</x:v>
      </x:c>
      <x:c r="F2436" s="7" t="str">
        <x:v>BL-Y</x:v>
      </x:c>
      <x:c r="G2436" s="7" t="str">
        <x:v>MF-21</x:v>
      </x:c>
      <x:c r="H2436" s="7" t="str"/>
      <x:c r="I2436" s="7" t="str"/>
      <x:c r="J2436" s="7" t="str">
        <x:f>IF(OR(H2436="",I2436=""),"",I2436-H2436)</x:f>
      </x:c>
      <x:c r="K2436" s="7" t="str"/>
      <x:c r="L2436" s="7" t="str"/>
      <x:c r="M2436" s="7" t="str">
        <x:f>IF(L2436="","OPEN",IF(OR(NOT(ISNUMBER(H2436)),NOT(ISNUMBER(I2436)),NOT(ISNUMBER(K2436)),ABS(J2436)&gt;K2436),"FAIL","PASS"))</x:f>
        <x:v>OPEN</x:v>
      </x:c>
    </x:row>
    <x:row r="2437">
      <x:c r="B2437" s="7" t="str">
        <x:v>CAL-CH-PEA-C-Y2-22-1</x:v>
      </x:c>
      <x:c r="C2437" s="7" t="str">
        <x:v>CH-PEA-C-Y2-22-1</x:v>
      </x:c>
      <x:c r="D2437" s="7" t="str">
        <x:v>PEA-C-Y2</x:v>
      </x:c>
      <x:c r="E2437" s="7" t="str">
        <x:v>BLD-C</x:v>
      </x:c>
      <x:c r="F2437" s="7" t="str">
        <x:v>BL-Y</x:v>
      </x:c>
      <x:c r="G2437" s="7" t="str">
        <x:v>MF-22</x:v>
      </x:c>
      <x:c r="H2437" s="7" t="str"/>
      <x:c r="I2437" s="7" t="str"/>
      <x:c r="J2437" s="7" t="str">
        <x:f>IF(OR(H2437="",I2437=""),"",I2437-H2437)</x:f>
      </x:c>
      <x:c r="K2437" s="7" t="str"/>
      <x:c r="L2437" s="7" t="str"/>
      <x:c r="M2437" s="7" t="str">
        <x:f>IF(L2437="","OPEN",IF(OR(NOT(ISNUMBER(H2437)),NOT(ISNUMBER(I2437)),NOT(ISNUMBER(K2437)),ABS(J2437)&gt;K2437),"FAIL","PASS"))</x:f>
        <x:v>OPEN</x:v>
      </x:c>
    </x:row>
    <x:row r="2438">
      <x:c r="B2438" s="7" t="str">
        <x:v>CAL-CH-PEA-C-Y2-22-2</x:v>
      </x:c>
      <x:c r="C2438" s="7" t="str">
        <x:v>CH-PEA-C-Y2-22-2</x:v>
      </x:c>
      <x:c r="D2438" s="7" t="str">
        <x:v>PEA-C-Y2</x:v>
      </x:c>
      <x:c r="E2438" s="7" t="str">
        <x:v>BLD-C</x:v>
      </x:c>
      <x:c r="F2438" s="7" t="str">
        <x:v>BL-Y</x:v>
      </x:c>
      <x:c r="G2438" s="7" t="str">
        <x:v>MF-22</x:v>
      </x:c>
      <x:c r="H2438" s="7" t="str"/>
      <x:c r="I2438" s="7" t="str"/>
      <x:c r="J2438" s="7" t="str">
        <x:f>IF(OR(H2438="",I2438=""),"",I2438-H2438)</x:f>
      </x:c>
      <x:c r="K2438" s="7" t="str"/>
      <x:c r="L2438" s="7" t="str"/>
      <x:c r="M2438" s="7" t="str">
        <x:f>IF(L2438="","OPEN",IF(OR(NOT(ISNUMBER(H2438)),NOT(ISNUMBER(I2438)),NOT(ISNUMBER(K2438)),ABS(J2438)&gt;K2438),"FAIL","PASS"))</x:f>
        <x:v>OPEN</x:v>
      </x:c>
    </x:row>
    <x:row r="2439">
      <x:c r="B2439" s="7" t="str">
        <x:v>CAL-CH-PEA-C-Y2-22-3</x:v>
      </x:c>
      <x:c r="C2439" s="7" t="str">
        <x:v>CH-PEA-C-Y2-22-3</x:v>
      </x:c>
      <x:c r="D2439" s="7" t="str">
        <x:v>PEA-C-Y2</x:v>
      </x:c>
      <x:c r="E2439" s="7" t="str">
        <x:v>BLD-C</x:v>
      </x:c>
      <x:c r="F2439" s="7" t="str">
        <x:v>BL-Y</x:v>
      </x:c>
      <x:c r="G2439" s="7" t="str">
        <x:v>MF-22</x:v>
      </x:c>
      <x:c r="H2439" s="7" t="str"/>
      <x:c r="I2439" s="7" t="str"/>
      <x:c r="J2439" s="7" t="str">
        <x:f>IF(OR(H2439="",I2439=""),"",I2439-H2439)</x:f>
      </x:c>
      <x:c r="K2439" s="7" t="str"/>
      <x:c r="L2439" s="7" t="str"/>
      <x:c r="M2439" s="7" t="str">
        <x:f>IF(L2439="","OPEN",IF(OR(NOT(ISNUMBER(H2439)),NOT(ISNUMBER(I2439)),NOT(ISNUMBER(K2439)),ABS(J2439)&gt;K2439),"FAIL","PASS"))</x:f>
        <x:v>OPEN</x:v>
      </x:c>
    </x:row>
    <x:row r="2440">
      <x:c r="B2440" s="7" t="str">
        <x:v>CAL-CH-PEA-C-Y2-22-4</x:v>
      </x:c>
      <x:c r="C2440" s="7" t="str">
        <x:v>CH-PEA-C-Y2-22-4</x:v>
      </x:c>
      <x:c r="D2440" s="7" t="str">
        <x:v>PEA-C-Y2</x:v>
      </x:c>
      <x:c r="E2440" s="7" t="str">
        <x:v>BLD-C</x:v>
      </x:c>
      <x:c r="F2440" s="7" t="str">
        <x:v>BL-Y</x:v>
      </x:c>
      <x:c r="G2440" s="7" t="str">
        <x:v>MF-22</x:v>
      </x:c>
      <x:c r="H2440" s="7" t="str"/>
      <x:c r="I2440" s="7" t="str"/>
      <x:c r="J2440" s="7" t="str">
        <x:f>IF(OR(H2440="",I2440=""),"",I2440-H2440)</x:f>
      </x:c>
      <x:c r="K2440" s="7" t="str"/>
      <x:c r="L2440" s="7" t="str"/>
      <x:c r="M2440" s="7" t="str">
        <x:f>IF(L2440="","OPEN",IF(OR(NOT(ISNUMBER(H2440)),NOT(ISNUMBER(I2440)),NOT(ISNUMBER(K2440)),ABS(J2440)&gt;K2440),"FAIL","PASS"))</x:f>
        <x:v>OPEN</x:v>
      </x:c>
    </x:row>
    <x:row r="2441">
      <x:c r="B2441" s="7" t="str">
        <x:v>CAL-CH-PEA-C-Y2-22-5</x:v>
      </x:c>
      <x:c r="C2441" s="7" t="str">
        <x:v>CH-PEA-C-Y2-22-5</x:v>
      </x:c>
      <x:c r="D2441" s="7" t="str">
        <x:v>PEA-C-Y2</x:v>
      </x:c>
      <x:c r="E2441" s="7" t="str">
        <x:v>BLD-C</x:v>
      </x:c>
      <x:c r="F2441" s="7" t="str">
        <x:v>BL-Y</x:v>
      </x:c>
      <x:c r="G2441" s="7" t="str">
        <x:v>MF-22</x:v>
      </x:c>
      <x:c r="H2441" s="7" t="str"/>
      <x:c r="I2441" s="7" t="str"/>
      <x:c r="J2441" s="7" t="str">
        <x:f>IF(OR(H2441="",I2441=""),"",I2441-H2441)</x:f>
      </x:c>
      <x:c r="K2441" s="7" t="str"/>
      <x:c r="L2441" s="7" t="str"/>
      <x:c r="M2441" s="7" t="str">
        <x:f>IF(L2441="","OPEN",IF(OR(NOT(ISNUMBER(H2441)),NOT(ISNUMBER(I2441)),NOT(ISNUMBER(K2441)),ABS(J2441)&gt;K2441),"FAIL","PASS"))</x:f>
        <x:v>OPEN</x:v>
      </x:c>
    </x:row>
    <x:row r="2442">
      <x:c r="B2442" s="7" t="str">
        <x:v>CAL-CH-PEA-C-Y2-22-6</x:v>
      </x:c>
      <x:c r="C2442" s="7" t="str">
        <x:v>CH-PEA-C-Y2-22-6</x:v>
      </x:c>
      <x:c r="D2442" s="7" t="str">
        <x:v>PEA-C-Y2</x:v>
      </x:c>
      <x:c r="E2442" s="7" t="str">
        <x:v>BLD-C</x:v>
      </x:c>
      <x:c r="F2442" s="7" t="str">
        <x:v>BL-Y</x:v>
      </x:c>
      <x:c r="G2442" s="7" t="str">
        <x:v>MF-22</x:v>
      </x:c>
      <x:c r="H2442" s="7" t="str"/>
      <x:c r="I2442" s="7" t="str"/>
      <x:c r="J2442" s="7" t="str">
        <x:f>IF(OR(H2442="",I2442=""),"",I2442-H2442)</x:f>
      </x:c>
      <x:c r="K2442" s="7" t="str"/>
      <x:c r="L2442" s="7" t="str"/>
      <x:c r="M2442" s="7" t="str">
        <x:f>IF(L2442="","OPEN",IF(OR(NOT(ISNUMBER(H2442)),NOT(ISNUMBER(I2442)),NOT(ISNUMBER(K2442)),ABS(J2442)&gt;K2442),"FAIL","PASS"))</x:f>
        <x:v>OPEN</x:v>
      </x:c>
    </x:row>
    <x:row r="2443">
      <x:c r="B2443" s="7" t="str">
        <x:v>CAL-CH-PEA-C-Y2-23-1</x:v>
      </x:c>
      <x:c r="C2443" s="7" t="str">
        <x:v>CH-PEA-C-Y2-23-1</x:v>
      </x:c>
      <x:c r="D2443" s="7" t="str">
        <x:v>PEA-C-Y2</x:v>
      </x:c>
      <x:c r="E2443" s="7" t="str">
        <x:v>BLD-C</x:v>
      </x:c>
      <x:c r="F2443" s="7" t="str">
        <x:v>BL-Y</x:v>
      </x:c>
      <x:c r="G2443" s="7" t="str">
        <x:v>MF-23</x:v>
      </x:c>
      <x:c r="H2443" s="7" t="str"/>
      <x:c r="I2443" s="7" t="str"/>
      <x:c r="J2443" s="7" t="str">
        <x:f>IF(OR(H2443="",I2443=""),"",I2443-H2443)</x:f>
      </x:c>
      <x:c r="K2443" s="7" t="str"/>
      <x:c r="L2443" s="7" t="str"/>
      <x:c r="M2443" s="7" t="str">
        <x:f>IF(L2443="","OPEN",IF(OR(NOT(ISNUMBER(H2443)),NOT(ISNUMBER(I2443)),NOT(ISNUMBER(K2443)),ABS(J2443)&gt;K2443),"FAIL","PASS"))</x:f>
        <x:v>OPEN</x:v>
      </x:c>
    </x:row>
    <x:row r="2444">
      <x:c r="B2444" s="7" t="str">
        <x:v>CAL-CH-PEA-C-Y2-23-2</x:v>
      </x:c>
      <x:c r="C2444" s="7" t="str">
        <x:v>CH-PEA-C-Y2-23-2</x:v>
      </x:c>
      <x:c r="D2444" s="7" t="str">
        <x:v>PEA-C-Y2</x:v>
      </x:c>
      <x:c r="E2444" s="7" t="str">
        <x:v>BLD-C</x:v>
      </x:c>
      <x:c r="F2444" s="7" t="str">
        <x:v>BL-Y</x:v>
      </x:c>
      <x:c r="G2444" s="7" t="str">
        <x:v>MF-23</x:v>
      </x:c>
      <x:c r="H2444" s="7" t="str"/>
      <x:c r="I2444" s="7" t="str"/>
      <x:c r="J2444" s="7" t="str">
        <x:f>IF(OR(H2444="",I2444=""),"",I2444-H2444)</x:f>
      </x:c>
      <x:c r="K2444" s="7" t="str"/>
      <x:c r="L2444" s="7" t="str"/>
      <x:c r="M2444" s="7" t="str">
        <x:f>IF(L2444="","OPEN",IF(OR(NOT(ISNUMBER(H2444)),NOT(ISNUMBER(I2444)),NOT(ISNUMBER(K2444)),ABS(J2444)&gt;K2444),"FAIL","PASS"))</x:f>
        <x:v>OPEN</x:v>
      </x:c>
    </x:row>
    <x:row r="2445">
      <x:c r="B2445" s="7" t="str">
        <x:v>CAL-CH-PEA-C-Y2-23-3</x:v>
      </x:c>
      <x:c r="C2445" s="7" t="str">
        <x:v>CH-PEA-C-Y2-23-3</x:v>
      </x:c>
      <x:c r="D2445" s="7" t="str">
        <x:v>PEA-C-Y2</x:v>
      </x:c>
      <x:c r="E2445" s="7" t="str">
        <x:v>BLD-C</x:v>
      </x:c>
      <x:c r="F2445" s="7" t="str">
        <x:v>BL-Y</x:v>
      </x:c>
      <x:c r="G2445" s="7" t="str">
        <x:v>MF-23</x:v>
      </x:c>
      <x:c r="H2445" s="7" t="str"/>
      <x:c r="I2445" s="7" t="str"/>
      <x:c r="J2445" s="7" t="str">
        <x:f>IF(OR(H2445="",I2445=""),"",I2445-H2445)</x:f>
      </x:c>
      <x:c r="K2445" s="7" t="str"/>
      <x:c r="L2445" s="7" t="str"/>
      <x:c r="M2445" s="7" t="str">
        <x:f>IF(L2445="","OPEN",IF(OR(NOT(ISNUMBER(H2445)),NOT(ISNUMBER(I2445)),NOT(ISNUMBER(K2445)),ABS(J2445)&gt;K2445),"FAIL","PASS"))</x:f>
        <x:v>OPEN</x:v>
      </x:c>
    </x:row>
    <x:row r="2446">
      <x:c r="B2446" s="7" t="str">
        <x:v>CAL-CH-PEA-C-Y2-23-4</x:v>
      </x:c>
      <x:c r="C2446" s="7" t="str">
        <x:v>CH-PEA-C-Y2-23-4</x:v>
      </x:c>
      <x:c r="D2446" s="7" t="str">
        <x:v>PEA-C-Y2</x:v>
      </x:c>
      <x:c r="E2446" s="7" t="str">
        <x:v>BLD-C</x:v>
      </x:c>
      <x:c r="F2446" s="7" t="str">
        <x:v>BL-Y</x:v>
      </x:c>
      <x:c r="G2446" s="7" t="str">
        <x:v>MF-23</x:v>
      </x:c>
      <x:c r="H2446" s="7" t="str"/>
      <x:c r="I2446" s="7" t="str"/>
      <x:c r="J2446" s="7" t="str">
        <x:f>IF(OR(H2446="",I2446=""),"",I2446-H2446)</x:f>
      </x:c>
      <x:c r="K2446" s="7" t="str"/>
      <x:c r="L2446" s="7" t="str"/>
      <x:c r="M2446" s="7" t="str">
        <x:f>IF(L2446="","OPEN",IF(OR(NOT(ISNUMBER(H2446)),NOT(ISNUMBER(I2446)),NOT(ISNUMBER(K2446)),ABS(J2446)&gt;K2446),"FAIL","PASS"))</x:f>
        <x:v>OPEN</x:v>
      </x:c>
    </x:row>
    <x:row r="2447">
      <x:c r="B2447" s="7" t="str">
        <x:v>CAL-CH-PEA-C-Y2-23-5</x:v>
      </x:c>
      <x:c r="C2447" s="7" t="str">
        <x:v>CH-PEA-C-Y2-23-5</x:v>
      </x:c>
      <x:c r="D2447" s="7" t="str">
        <x:v>PEA-C-Y2</x:v>
      </x:c>
      <x:c r="E2447" s="7" t="str">
        <x:v>BLD-C</x:v>
      </x:c>
      <x:c r="F2447" s="7" t="str">
        <x:v>BL-Y</x:v>
      </x:c>
      <x:c r="G2447" s="7" t="str">
        <x:v>MF-23</x:v>
      </x:c>
      <x:c r="H2447" s="7" t="str"/>
      <x:c r="I2447" s="7" t="str"/>
      <x:c r="J2447" s="7" t="str">
        <x:f>IF(OR(H2447="",I2447=""),"",I2447-H2447)</x:f>
      </x:c>
      <x:c r="K2447" s="7" t="str"/>
      <x:c r="L2447" s="7" t="str"/>
      <x:c r="M2447" s="7" t="str">
        <x:f>IF(L2447="","OPEN",IF(OR(NOT(ISNUMBER(H2447)),NOT(ISNUMBER(I2447)),NOT(ISNUMBER(K2447)),ABS(J2447)&gt;K2447),"FAIL","PASS"))</x:f>
        <x:v>OPEN</x:v>
      </x:c>
    </x:row>
    <x:row r="2448">
      <x:c r="B2448" s="7" t="str">
        <x:v>CAL-CH-PEA-C-Y2-23-6</x:v>
      </x:c>
      <x:c r="C2448" s="7" t="str">
        <x:v>CH-PEA-C-Y2-23-6</x:v>
      </x:c>
      <x:c r="D2448" s="7" t="str">
        <x:v>PEA-C-Y2</x:v>
      </x:c>
      <x:c r="E2448" s="7" t="str">
        <x:v>BLD-C</x:v>
      </x:c>
      <x:c r="F2448" s="7" t="str">
        <x:v>BL-Y</x:v>
      </x:c>
      <x:c r="G2448" s="7" t="str">
        <x:v>MF-23</x:v>
      </x:c>
      <x:c r="H2448" s="7" t="str"/>
      <x:c r="I2448" s="7" t="str"/>
      <x:c r="J2448" s="7" t="str">
        <x:f>IF(OR(H2448="",I2448=""),"",I2448-H2448)</x:f>
      </x:c>
      <x:c r="K2448" s="7" t="str"/>
      <x:c r="L2448" s="7" t="str"/>
      <x:c r="M2448" s="7" t="str">
        <x:f>IF(L2448="","OPEN",IF(OR(NOT(ISNUMBER(H2448)),NOT(ISNUMBER(I2448)),NOT(ISNUMBER(K2448)),ABS(J2448)&gt;K2448),"FAIL","PASS"))</x:f>
        <x:v>OPEN</x:v>
      </x:c>
    </x:row>
    <x:row r="2449">
      <x:c r="B2449" s="7" t="str">
        <x:v>CAL-CH-PEA-C-Y2-24-1</x:v>
      </x:c>
      <x:c r="C2449" s="7" t="str">
        <x:v>CH-PEA-C-Y2-24-1</x:v>
      </x:c>
      <x:c r="D2449" s="7" t="str">
        <x:v>PEA-C-Y2</x:v>
      </x:c>
      <x:c r="E2449" s="7" t="str">
        <x:v>BLD-C</x:v>
      </x:c>
      <x:c r="F2449" s="7" t="str">
        <x:v>BL-Y</x:v>
      </x:c>
      <x:c r="G2449" s="7" t="str">
        <x:v>MF-24</x:v>
      </x:c>
      <x:c r="H2449" s="7" t="str"/>
      <x:c r="I2449" s="7" t="str"/>
      <x:c r="J2449" s="7" t="str">
        <x:f>IF(OR(H2449="",I2449=""),"",I2449-H2449)</x:f>
      </x:c>
      <x:c r="K2449" s="7" t="str"/>
      <x:c r="L2449" s="7" t="str"/>
      <x:c r="M2449" s="7" t="str">
        <x:f>IF(L2449="","OPEN",IF(OR(NOT(ISNUMBER(H2449)),NOT(ISNUMBER(I2449)),NOT(ISNUMBER(K2449)),ABS(J2449)&gt;K2449),"FAIL","PASS"))</x:f>
        <x:v>OPEN</x:v>
      </x:c>
    </x:row>
    <x:row r="2450">
      <x:c r="B2450" s="7" t="str">
        <x:v>CAL-CH-PEA-C-Y2-24-2</x:v>
      </x:c>
      <x:c r="C2450" s="7" t="str">
        <x:v>CH-PEA-C-Y2-24-2</x:v>
      </x:c>
      <x:c r="D2450" s="7" t="str">
        <x:v>PEA-C-Y2</x:v>
      </x:c>
      <x:c r="E2450" s="7" t="str">
        <x:v>BLD-C</x:v>
      </x:c>
      <x:c r="F2450" s="7" t="str">
        <x:v>BL-Y</x:v>
      </x:c>
      <x:c r="G2450" s="7" t="str">
        <x:v>MF-24</x:v>
      </x:c>
      <x:c r="H2450" s="7" t="str"/>
      <x:c r="I2450" s="7" t="str"/>
      <x:c r="J2450" s="7" t="str">
        <x:f>IF(OR(H2450="",I2450=""),"",I2450-H2450)</x:f>
      </x:c>
      <x:c r="K2450" s="7" t="str"/>
      <x:c r="L2450" s="7" t="str"/>
      <x:c r="M2450" s="7" t="str">
        <x:f>IF(L2450="","OPEN",IF(OR(NOT(ISNUMBER(H2450)),NOT(ISNUMBER(I2450)),NOT(ISNUMBER(K2450)),ABS(J2450)&gt;K2450),"FAIL","PASS"))</x:f>
        <x:v>OPEN</x:v>
      </x:c>
    </x:row>
    <x:row r="2451">
      <x:c r="B2451" s="7" t="str">
        <x:v>CAL-CH-PEA-C-Y2-24-3</x:v>
      </x:c>
      <x:c r="C2451" s="7" t="str">
        <x:v>CH-PEA-C-Y2-24-3</x:v>
      </x:c>
      <x:c r="D2451" s="7" t="str">
        <x:v>PEA-C-Y2</x:v>
      </x:c>
      <x:c r="E2451" s="7" t="str">
        <x:v>BLD-C</x:v>
      </x:c>
      <x:c r="F2451" s="7" t="str">
        <x:v>BL-Y</x:v>
      </x:c>
      <x:c r="G2451" s="7" t="str">
        <x:v>MF-24</x:v>
      </x:c>
      <x:c r="H2451" s="7" t="str"/>
      <x:c r="I2451" s="7" t="str"/>
      <x:c r="J2451" s="7" t="str">
        <x:f>IF(OR(H2451="",I2451=""),"",I2451-H2451)</x:f>
      </x:c>
      <x:c r="K2451" s="7" t="str"/>
      <x:c r="L2451" s="7" t="str"/>
      <x:c r="M2451" s="7" t="str">
        <x:f>IF(L2451="","OPEN",IF(OR(NOT(ISNUMBER(H2451)),NOT(ISNUMBER(I2451)),NOT(ISNUMBER(K2451)),ABS(J2451)&gt;K2451),"FAIL","PASS"))</x:f>
        <x:v>OPEN</x:v>
      </x:c>
    </x:row>
    <x:row r="2452">
      <x:c r="B2452" s="7" t="str">
        <x:v>CAL-CH-PEA-C-Y2-24-4</x:v>
      </x:c>
      <x:c r="C2452" s="7" t="str">
        <x:v>CH-PEA-C-Y2-24-4</x:v>
      </x:c>
      <x:c r="D2452" s="7" t="str">
        <x:v>PEA-C-Y2</x:v>
      </x:c>
      <x:c r="E2452" s="7" t="str">
        <x:v>BLD-C</x:v>
      </x:c>
      <x:c r="F2452" s="7" t="str">
        <x:v>BL-Y</x:v>
      </x:c>
      <x:c r="G2452" s="7" t="str">
        <x:v>MF-24</x:v>
      </x:c>
      <x:c r="H2452" s="7" t="str"/>
      <x:c r="I2452" s="7" t="str"/>
      <x:c r="J2452" s="7" t="str">
        <x:f>IF(OR(H2452="",I2452=""),"",I2452-H2452)</x:f>
      </x:c>
      <x:c r="K2452" s="7" t="str"/>
      <x:c r="L2452" s="7" t="str"/>
      <x:c r="M2452" s="7" t="str">
        <x:f>IF(L2452="","OPEN",IF(OR(NOT(ISNUMBER(H2452)),NOT(ISNUMBER(I2452)),NOT(ISNUMBER(K2452)),ABS(J2452)&gt;K2452),"FAIL","PASS"))</x:f>
        <x:v>OPEN</x:v>
      </x:c>
    </x:row>
    <x:row r="2453">
      <x:c r="B2453" s="7" t="str">
        <x:v>CAL-CH-PEA-C-Y2-24-5</x:v>
      </x:c>
      <x:c r="C2453" s="7" t="str">
        <x:v>CH-PEA-C-Y2-24-5</x:v>
      </x:c>
      <x:c r="D2453" s="7" t="str">
        <x:v>PEA-C-Y2</x:v>
      </x:c>
      <x:c r="E2453" s="7" t="str">
        <x:v>BLD-C</x:v>
      </x:c>
      <x:c r="F2453" s="7" t="str">
        <x:v>BL-Y</x:v>
      </x:c>
      <x:c r="G2453" s="7" t="str">
        <x:v>MF-24</x:v>
      </x:c>
      <x:c r="H2453" s="7" t="str"/>
      <x:c r="I2453" s="7" t="str"/>
      <x:c r="J2453" s="7" t="str">
        <x:f>IF(OR(H2453="",I2453=""),"",I2453-H2453)</x:f>
      </x:c>
      <x:c r="K2453" s="7" t="str"/>
      <x:c r="L2453" s="7" t="str"/>
      <x:c r="M2453" s="7" t="str">
        <x:f>IF(L2453="","OPEN",IF(OR(NOT(ISNUMBER(H2453)),NOT(ISNUMBER(I2453)),NOT(ISNUMBER(K2453)),ABS(J2453)&gt;K2453),"FAIL","PASS"))</x:f>
        <x:v>OPEN</x:v>
      </x:c>
    </x:row>
    <x:row r="2454">
      <x:c r="B2454" s="7" t="str">
        <x:v>CAL-CH-PEA-C-Y2-24-6</x:v>
      </x:c>
      <x:c r="C2454" s="7" t="str">
        <x:v>CH-PEA-C-Y2-24-6</x:v>
      </x:c>
      <x:c r="D2454" s="7" t="str">
        <x:v>PEA-C-Y2</x:v>
      </x:c>
      <x:c r="E2454" s="7" t="str">
        <x:v>BLD-C</x:v>
      </x:c>
      <x:c r="F2454" s="7" t="str">
        <x:v>BL-Y</x:v>
      </x:c>
      <x:c r="G2454" s="7" t="str">
        <x:v>MF-24</x:v>
      </x:c>
      <x:c r="H2454" s="7" t="str"/>
      <x:c r="I2454" s="7" t="str"/>
      <x:c r="J2454" s="7" t="str">
        <x:f>IF(OR(H2454="",I2454=""),"",I2454-H2454)</x:f>
      </x:c>
      <x:c r="K2454" s="7" t="str"/>
      <x:c r="L2454" s="7" t="str"/>
      <x:c r="M2454" s="7" t="str">
        <x:f>IF(L2454="","OPEN",IF(OR(NOT(ISNUMBER(H2454)),NOT(ISNUMBER(I2454)),NOT(ISNUMBER(K2454)),ABS(J2454)&gt;K2454),"FAIL","PASS"))</x:f>
        <x:v>OPEN</x:v>
      </x:c>
    </x:row>
    <x:row r="2455">
      <x:c r="B2455" s="7" t="str">
        <x:v>CAL-CH-PEA-C-Y3-01-1</x:v>
      </x:c>
      <x:c r="C2455" s="7" t="str">
        <x:v>CH-PEA-C-Y3-01-1</x:v>
      </x:c>
      <x:c r="D2455" s="7" t="str">
        <x:v>PEA-C-Y3</x:v>
      </x:c>
      <x:c r="E2455" s="7" t="str">
        <x:v>BLD-C</x:v>
      </x:c>
      <x:c r="F2455" s="7" t="str">
        <x:v>BL-Y</x:v>
      </x:c>
      <x:c r="G2455" s="7" t="str">
        <x:v>MF-01</x:v>
      </x:c>
      <x:c r="H2455" s="7" t="str"/>
      <x:c r="I2455" s="7" t="str"/>
      <x:c r="J2455" s="7" t="str">
        <x:f>IF(OR(H2455="",I2455=""),"",I2455-H2455)</x:f>
      </x:c>
      <x:c r="K2455" s="7" t="str"/>
      <x:c r="L2455" s="7" t="str"/>
      <x:c r="M2455" s="7" t="str">
        <x:f>IF(L2455="","OPEN",IF(OR(NOT(ISNUMBER(H2455)),NOT(ISNUMBER(I2455)),NOT(ISNUMBER(K2455)),ABS(J2455)&gt;K2455),"FAIL","PASS"))</x:f>
        <x:v>OPEN</x:v>
      </x:c>
    </x:row>
    <x:row r="2456">
      <x:c r="B2456" s="7" t="str">
        <x:v>CAL-CH-PEA-C-Y3-01-2</x:v>
      </x:c>
      <x:c r="C2456" s="7" t="str">
        <x:v>CH-PEA-C-Y3-01-2</x:v>
      </x:c>
      <x:c r="D2456" s="7" t="str">
        <x:v>PEA-C-Y3</x:v>
      </x:c>
      <x:c r="E2456" s="7" t="str">
        <x:v>BLD-C</x:v>
      </x:c>
      <x:c r="F2456" s="7" t="str">
        <x:v>BL-Y</x:v>
      </x:c>
      <x:c r="G2456" s="7" t="str">
        <x:v>MF-01</x:v>
      </x:c>
      <x:c r="H2456" s="7" t="str"/>
      <x:c r="I2456" s="7" t="str"/>
      <x:c r="J2456" s="7" t="str">
        <x:f>IF(OR(H2456="",I2456=""),"",I2456-H2456)</x:f>
      </x:c>
      <x:c r="K2456" s="7" t="str"/>
      <x:c r="L2456" s="7" t="str"/>
      <x:c r="M2456" s="7" t="str">
        <x:f>IF(L2456="","OPEN",IF(OR(NOT(ISNUMBER(H2456)),NOT(ISNUMBER(I2456)),NOT(ISNUMBER(K2456)),ABS(J2456)&gt;K2456),"FAIL","PASS"))</x:f>
        <x:v>OPEN</x:v>
      </x:c>
    </x:row>
    <x:row r="2457">
      <x:c r="B2457" s="7" t="str">
        <x:v>CAL-CH-PEA-C-Y3-01-3</x:v>
      </x:c>
      <x:c r="C2457" s="7" t="str">
        <x:v>CH-PEA-C-Y3-01-3</x:v>
      </x:c>
      <x:c r="D2457" s="7" t="str">
        <x:v>PEA-C-Y3</x:v>
      </x:c>
      <x:c r="E2457" s="7" t="str">
        <x:v>BLD-C</x:v>
      </x:c>
      <x:c r="F2457" s="7" t="str">
        <x:v>BL-Y</x:v>
      </x:c>
      <x:c r="G2457" s="7" t="str">
        <x:v>MF-01</x:v>
      </x:c>
      <x:c r="H2457" s="7" t="str"/>
      <x:c r="I2457" s="7" t="str"/>
      <x:c r="J2457" s="7" t="str">
        <x:f>IF(OR(H2457="",I2457=""),"",I2457-H2457)</x:f>
      </x:c>
      <x:c r="K2457" s="7" t="str"/>
      <x:c r="L2457" s="7" t="str"/>
      <x:c r="M2457" s="7" t="str">
        <x:f>IF(L2457="","OPEN",IF(OR(NOT(ISNUMBER(H2457)),NOT(ISNUMBER(I2457)),NOT(ISNUMBER(K2457)),ABS(J2457)&gt;K2457),"FAIL","PASS"))</x:f>
        <x:v>OPEN</x:v>
      </x:c>
    </x:row>
    <x:row r="2458">
      <x:c r="B2458" s="7" t="str">
        <x:v>CAL-CH-PEA-C-Y3-01-4</x:v>
      </x:c>
      <x:c r="C2458" s="7" t="str">
        <x:v>CH-PEA-C-Y3-01-4</x:v>
      </x:c>
      <x:c r="D2458" s="7" t="str">
        <x:v>PEA-C-Y3</x:v>
      </x:c>
      <x:c r="E2458" s="7" t="str">
        <x:v>BLD-C</x:v>
      </x:c>
      <x:c r="F2458" s="7" t="str">
        <x:v>BL-Y</x:v>
      </x:c>
      <x:c r="G2458" s="7" t="str">
        <x:v>MF-01</x:v>
      </x:c>
      <x:c r="H2458" s="7" t="str"/>
      <x:c r="I2458" s="7" t="str"/>
      <x:c r="J2458" s="7" t="str">
        <x:f>IF(OR(H2458="",I2458=""),"",I2458-H2458)</x:f>
      </x:c>
      <x:c r="K2458" s="7" t="str"/>
      <x:c r="L2458" s="7" t="str"/>
      <x:c r="M2458" s="7" t="str">
        <x:f>IF(L2458="","OPEN",IF(OR(NOT(ISNUMBER(H2458)),NOT(ISNUMBER(I2458)),NOT(ISNUMBER(K2458)),ABS(J2458)&gt;K2458),"FAIL","PASS"))</x:f>
        <x:v>OPEN</x:v>
      </x:c>
    </x:row>
    <x:row r="2459">
      <x:c r="B2459" s="7" t="str">
        <x:v>CAL-CH-PEA-C-Y3-01-5</x:v>
      </x:c>
      <x:c r="C2459" s="7" t="str">
        <x:v>CH-PEA-C-Y3-01-5</x:v>
      </x:c>
      <x:c r="D2459" s="7" t="str">
        <x:v>PEA-C-Y3</x:v>
      </x:c>
      <x:c r="E2459" s="7" t="str">
        <x:v>BLD-C</x:v>
      </x:c>
      <x:c r="F2459" s="7" t="str">
        <x:v>BL-Y</x:v>
      </x:c>
      <x:c r="G2459" s="7" t="str">
        <x:v>MF-01</x:v>
      </x:c>
      <x:c r="H2459" s="7" t="str"/>
      <x:c r="I2459" s="7" t="str"/>
      <x:c r="J2459" s="7" t="str">
        <x:f>IF(OR(H2459="",I2459=""),"",I2459-H2459)</x:f>
      </x:c>
      <x:c r="K2459" s="7" t="str"/>
      <x:c r="L2459" s="7" t="str"/>
      <x:c r="M2459" s="7" t="str">
        <x:f>IF(L2459="","OPEN",IF(OR(NOT(ISNUMBER(H2459)),NOT(ISNUMBER(I2459)),NOT(ISNUMBER(K2459)),ABS(J2459)&gt;K2459),"FAIL","PASS"))</x:f>
        <x:v>OPEN</x:v>
      </x:c>
    </x:row>
    <x:row r="2460">
      <x:c r="B2460" s="7" t="str">
        <x:v>CAL-CH-PEA-C-Y3-01-6</x:v>
      </x:c>
      <x:c r="C2460" s="7" t="str">
        <x:v>CH-PEA-C-Y3-01-6</x:v>
      </x:c>
      <x:c r="D2460" s="7" t="str">
        <x:v>PEA-C-Y3</x:v>
      </x:c>
      <x:c r="E2460" s="7" t="str">
        <x:v>BLD-C</x:v>
      </x:c>
      <x:c r="F2460" s="7" t="str">
        <x:v>BL-Y</x:v>
      </x:c>
      <x:c r="G2460" s="7" t="str">
        <x:v>MF-01</x:v>
      </x:c>
      <x:c r="H2460" s="7" t="str"/>
      <x:c r="I2460" s="7" t="str"/>
      <x:c r="J2460" s="7" t="str">
        <x:f>IF(OR(H2460="",I2460=""),"",I2460-H2460)</x:f>
      </x:c>
      <x:c r="K2460" s="7" t="str"/>
      <x:c r="L2460" s="7" t="str"/>
      <x:c r="M2460" s="7" t="str">
        <x:f>IF(L2460="","OPEN",IF(OR(NOT(ISNUMBER(H2460)),NOT(ISNUMBER(I2460)),NOT(ISNUMBER(K2460)),ABS(J2460)&gt;K2460),"FAIL","PASS"))</x:f>
        <x:v>OPEN</x:v>
      </x:c>
    </x:row>
    <x:row r="2461">
      <x:c r="B2461" s="7" t="str">
        <x:v>CAL-CH-PEA-C-Y3-02-1</x:v>
      </x:c>
      <x:c r="C2461" s="7" t="str">
        <x:v>CH-PEA-C-Y3-02-1</x:v>
      </x:c>
      <x:c r="D2461" s="7" t="str">
        <x:v>PEA-C-Y3</x:v>
      </x:c>
      <x:c r="E2461" s="7" t="str">
        <x:v>BLD-C</x:v>
      </x:c>
      <x:c r="F2461" s="7" t="str">
        <x:v>BL-Y</x:v>
      </x:c>
      <x:c r="G2461" s="7" t="str">
        <x:v>MF-02</x:v>
      </x:c>
      <x:c r="H2461" s="7" t="str"/>
      <x:c r="I2461" s="7" t="str"/>
      <x:c r="J2461" s="7" t="str">
        <x:f>IF(OR(H2461="",I2461=""),"",I2461-H2461)</x:f>
      </x:c>
      <x:c r="K2461" s="7" t="str"/>
      <x:c r="L2461" s="7" t="str"/>
      <x:c r="M2461" s="7" t="str">
        <x:f>IF(L2461="","OPEN",IF(OR(NOT(ISNUMBER(H2461)),NOT(ISNUMBER(I2461)),NOT(ISNUMBER(K2461)),ABS(J2461)&gt;K2461),"FAIL","PASS"))</x:f>
        <x:v>OPEN</x:v>
      </x:c>
    </x:row>
    <x:row r="2462">
      <x:c r="B2462" s="7" t="str">
        <x:v>CAL-CH-PEA-C-Y3-02-2</x:v>
      </x:c>
      <x:c r="C2462" s="7" t="str">
        <x:v>CH-PEA-C-Y3-02-2</x:v>
      </x:c>
      <x:c r="D2462" s="7" t="str">
        <x:v>PEA-C-Y3</x:v>
      </x:c>
      <x:c r="E2462" s="7" t="str">
        <x:v>BLD-C</x:v>
      </x:c>
      <x:c r="F2462" s="7" t="str">
        <x:v>BL-Y</x:v>
      </x:c>
      <x:c r="G2462" s="7" t="str">
        <x:v>MF-02</x:v>
      </x:c>
      <x:c r="H2462" s="7" t="str"/>
      <x:c r="I2462" s="7" t="str"/>
      <x:c r="J2462" s="7" t="str">
        <x:f>IF(OR(H2462="",I2462=""),"",I2462-H2462)</x:f>
      </x:c>
      <x:c r="K2462" s="7" t="str"/>
      <x:c r="L2462" s="7" t="str"/>
      <x:c r="M2462" s="7" t="str">
        <x:f>IF(L2462="","OPEN",IF(OR(NOT(ISNUMBER(H2462)),NOT(ISNUMBER(I2462)),NOT(ISNUMBER(K2462)),ABS(J2462)&gt;K2462),"FAIL","PASS"))</x:f>
        <x:v>OPEN</x:v>
      </x:c>
    </x:row>
    <x:row r="2463">
      <x:c r="B2463" s="7" t="str">
        <x:v>CAL-CH-PEA-C-Y3-02-3</x:v>
      </x:c>
      <x:c r="C2463" s="7" t="str">
        <x:v>CH-PEA-C-Y3-02-3</x:v>
      </x:c>
      <x:c r="D2463" s="7" t="str">
        <x:v>PEA-C-Y3</x:v>
      </x:c>
      <x:c r="E2463" s="7" t="str">
        <x:v>BLD-C</x:v>
      </x:c>
      <x:c r="F2463" s="7" t="str">
        <x:v>BL-Y</x:v>
      </x:c>
      <x:c r="G2463" s="7" t="str">
        <x:v>MF-02</x:v>
      </x:c>
      <x:c r="H2463" s="7" t="str"/>
      <x:c r="I2463" s="7" t="str"/>
      <x:c r="J2463" s="7" t="str">
        <x:f>IF(OR(H2463="",I2463=""),"",I2463-H2463)</x:f>
      </x:c>
      <x:c r="K2463" s="7" t="str"/>
      <x:c r="L2463" s="7" t="str"/>
      <x:c r="M2463" s="7" t="str">
        <x:f>IF(L2463="","OPEN",IF(OR(NOT(ISNUMBER(H2463)),NOT(ISNUMBER(I2463)),NOT(ISNUMBER(K2463)),ABS(J2463)&gt;K2463),"FAIL","PASS"))</x:f>
        <x:v>OPEN</x:v>
      </x:c>
    </x:row>
    <x:row r="2464">
      <x:c r="B2464" s="7" t="str">
        <x:v>CAL-CH-PEA-C-Y3-02-4</x:v>
      </x:c>
      <x:c r="C2464" s="7" t="str">
        <x:v>CH-PEA-C-Y3-02-4</x:v>
      </x:c>
      <x:c r="D2464" s="7" t="str">
        <x:v>PEA-C-Y3</x:v>
      </x:c>
      <x:c r="E2464" s="7" t="str">
        <x:v>BLD-C</x:v>
      </x:c>
      <x:c r="F2464" s="7" t="str">
        <x:v>BL-Y</x:v>
      </x:c>
      <x:c r="G2464" s="7" t="str">
        <x:v>MF-02</x:v>
      </x:c>
      <x:c r="H2464" s="7" t="str"/>
      <x:c r="I2464" s="7" t="str"/>
      <x:c r="J2464" s="7" t="str">
        <x:f>IF(OR(H2464="",I2464=""),"",I2464-H2464)</x:f>
      </x:c>
      <x:c r="K2464" s="7" t="str"/>
      <x:c r="L2464" s="7" t="str"/>
      <x:c r="M2464" s="7" t="str">
        <x:f>IF(L2464="","OPEN",IF(OR(NOT(ISNUMBER(H2464)),NOT(ISNUMBER(I2464)),NOT(ISNUMBER(K2464)),ABS(J2464)&gt;K2464),"FAIL","PASS"))</x:f>
        <x:v>OPEN</x:v>
      </x:c>
    </x:row>
    <x:row r="2465">
      <x:c r="B2465" s="7" t="str">
        <x:v>CAL-CH-PEA-C-Y3-02-5</x:v>
      </x:c>
      <x:c r="C2465" s="7" t="str">
        <x:v>CH-PEA-C-Y3-02-5</x:v>
      </x:c>
      <x:c r="D2465" s="7" t="str">
        <x:v>PEA-C-Y3</x:v>
      </x:c>
      <x:c r="E2465" s="7" t="str">
        <x:v>BLD-C</x:v>
      </x:c>
      <x:c r="F2465" s="7" t="str">
        <x:v>BL-Y</x:v>
      </x:c>
      <x:c r="G2465" s="7" t="str">
        <x:v>MF-02</x:v>
      </x:c>
      <x:c r="H2465" s="7" t="str"/>
      <x:c r="I2465" s="7" t="str"/>
      <x:c r="J2465" s="7" t="str">
        <x:f>IF(OR(H2465="",I2465=""),"",I2465-H2465)</x:f>
      </x:c>
      <x:c r="K2465" s="7" t="str"/>
      <x:c r="L2465" s="7" t="str"/>
      <x:c r="M2465" s="7" t="str">
        <x:f>IF(L2465="","OPEN",IF(OR(NOT(ISNUMBER(H2465)),NOT(ISNUMBER(I2465)),NOT(ISNUMBER(K2465)),ABS(J2465)&gt;K2465),"FAIL","PASS"))</x:f>
        <x:v>OPEN</x:v>
      </x:c>
    </x:row>
    <x:row r="2466">
      <x:c r="B2466" s="7" t="str">
        <x:v>CAL-CH-PEA-C-Y3-02-6</x:v>
      </x:c>
      <x:c r="C2466" s="7" t="str">
        <x:v>CH-PEA-C-Y3-02-6</x:v>
      </x:c>
      <x:c r="D2466" s="7" t="str">
        <x:v>PEA-C-Y3</x:v>
      </x:c>
      <x:c r="E2466" s="7" t="str">
        <x:v>BLD-C</x:v>
      </x:c>
      <x:c r="F2466" s="7" t="str">
        <x:v>BL-Y</x:v>
      </x:c>
      <x:c r="G2466" s="7" t="str">
        <x:v>MF-02</x:v>
      </x:c>
      <x:c r="H2466" s="7" t="str"/>
      <x:c r="I2466" s="7" t="str"/>
      <x:c r="J2466" s="7" t="str">
        <x:f>IF(OR(H2466="",I2466=""),"",I2466-H2466)</x:f>
      </x:c>
      <x:c r="K2466" s="7" t="str"/>
      <x:c r="L2466" s="7" t="str"/>
      <x:c r="M2466" s="7" t="str">
        <x:f>IF(L2466="","OPEN",IF(OR(NOT(ISNUMBER(H2466)),NOT(ISNUMBER(I2466)),NOT(ISNUMBER(K2466)),ABS(J2466)&gt;K2466),"FAIL","PASS"))</x:f>
        <x:v>OPEN</x:v>
      </x:c>
    </x:row>
    <x:row r="2467">
      <x:c r="B2467" s="7" t="str">
        <x:v>CAL-CH-PEA-C-Y3-03-1</x:v>
      </x:c>
      <x:c r="C2467" s="7" t="str">
        <x:v>CH-PEA-C-Y3-03-1</x:v>
      </x:c>
      <x:c r="D2467" s="7" t="str">
        <x:v>PEA-C-Y3</x:v>
      </x:c>
      <x:c r="E2467" s="7" t="str">
        <x:v>BLD-C</x:v>
      </x:c>
      <x:c r="F2467" s="7" t="str">
        <x:v>BL-Y</x:v>
      </x:c>
      <x:c r="G2467" s="7" t="str">
        <x:v>MF-03</x:v>
      </x:c>
      <x:c r="H2467" s="7" t="str"/>
      <x:c r="I2467" s="7" t="str"/>
      <x:c r="J2467" s="7" t="str">
        <x:f>IF(OR(H2467="",I2467=""),"",I2467-H2467)</x:f>
      </x:c>
      <x:c r="K2467" s="7" t="str"/>
      <x:c r="L2467" s="7" t="str"/>
      <x:c r="M2467" s="7" t="str">
        <x:f>IF(L2467="","OPEN",IF(OR(NOT(ISNUMBER(H2467)),NOT(ISNUMBER(I2467)),NOT(ISNUMBER(K2467)),ABS(J2467)&gt;K2467),"FAIL","PASS"))</x:f>
        <x:v>OPEN</x:v>
      </x:c>
    </x:row>
    <x:row r="2468">
      <x:c r="B2468" s="7" t="str">
        <x:v>CAL-CH-PEA-C-Y3-03-2</x:v>
      </x:c>
      <x:c r="C2468" s="7" t="str">
        <x:v>CH-PEA-C-Y3-03-2</x:v>
      </x:c>
      <x:c r="D2468" s="7" t="str">
        <x:v>PEA-C-Y3</x:v>
      </x:c>
      <x:c r="E2468" s="7" t="str">
        <x:v>BLD-C</x:v>
      </x:c>
      <x:c r="F2468" s="7" t="str">
        <x:v>BL-Y</x:v>
      </x:c>
      <x:c r="G2468" s="7" t="str">
        <x:v>MF-03</x:v>
      </x:c>
      <x:c r="H2468" s="7" t="str"/>
      <x:c r="I2468" s="7" t="str"/>
      <x:c r="J2468" s="7" t="str">
        <x:f>IF(OR(H2468="",I2468=""),"",I2468-H2468)</x:f>
      </x:c>
      <x:c r="K2468" s="7" t="str"/>
      <x:c r="L2468" s="7" t="str"/>
      <x:c r="M2468" s="7" t="str">
        <x:f>IF(L2468="","OPEN",IF(OR(NOT(ISNUMBER(H2468)),NOT(ISNUMBER(I2468)),NOT(ISNUMBER(K2468)),ABS(J2468)&gt;K2468),"FAIL","PASS"))</x:f>
        <x:v>OPEN</x:v>
      </x:c>
    </x:row>
    <x:row r="2469">
      <x:c r="B2469" s="7" t="str">
        <x:v>CAL-CH-PEA-C-Y3-03-3</x:v>
      </x:c>
      <x:c r="C2469" s="7" t="str">
        <x:v>CH-PEA-C-Y3-03-3</x:v>
      </x:c>
      <x:c r="D2469" s="7" t="str">
        <x:v>PEA-C-Y3</x:v>
      </x:c>
      <x:c r="E2469" s="7" t="str">
        <x:v>BLD-C</x:v>
      </x:c>
      <x:c r="F2469" s="7" t="str">
        <x:v>BL-Y</x:v>
      </x:c>
      <x:c r="G2469" s="7" t="str">
        <x:v>MF-03</x:v>
      </x:c>
      <x:c r="H2469" s="7" t="str"/>
      <x:c r="I2469" s="7" t="str"/>
      <x:c r="J2469" s="7" t="str">
        <x:f>IF(OR(H2469="",I2469=""),"",I2469-H2469)</x:f>
      </x:c>
      <x:c r="K2469" s="7" t="str"/>
      <x:c r="L2469" s="7" t="str"/>
      <x:c r="M2469" s="7" t="str">
        <x:f>IF(L2469="","OPEN",IF(OR(NOT(ISNUMBER(H2469)),NOT(ISNUMBER(I2469)),NOT(ISNUMBER(K2469)),ABS(J2469)&gt;K2469),"FAIL","PASS"))</x:f>
        <x:v>OPEN</x:v>
      </x:c>
    </x:row>
    <x:row r="2470">
      <x:c r="B2470" s="7" t="str">
        <x:v>CAL-CH-PEA-C-Y3-03-4</x:v>
      </x:c>
      <x:c r="C2470" s="7" t="str">
        <x:v>CH-PEA-C-Y3-03-4</x:v>
      </x:c>
      <x:c r="D2470" s="7" t="str">
        <x:v>PEA-C-Y3</x:v>
      </x:c>
      <x:c r="E2470" s="7" t="str">
        <x:v>BLD-C</x:v>
      </x:c>
      <x:c r="F2470" s="7" t="str">
        <x:v>BL-Y</x:v>
      </x:c>
      <x:c r="G2470" s="7" t="str">
        <x:v>MF-03</x:v>
      </x:c>
      <x:c r="H2470" s="7" t="str"/>
      <x:c r="I2470" s="7" t="str"/>
      <x:c r="J2470" s="7" t="str">
        <x:f>IF(OR(H2470="",I2470=""),"",I2470-H2470)</x:f>
      </x:c>
      <x:c r="K2470" s="7" t="str"/>
      <x:c r="L2470" s="7" t="str"/>
      <x:c r="M2470" s="7" t="str">
        <x:f>IF(L2470="","OPEN",IF(OR(NOT(ISNUMBER(H2470)),NOT(ISNUMBER(I2470)),NOT(ISNUMBER(K2470)),ABS(J2470)&gt;K2470),"FAIL","PASS"))</x:f>
        <x:v>OPEN</x:v>
      </x:c>
    </x:row>
    <x:row r="2471">
      <x:c r="B2471" s="7" t="str">
        <x:v>CAL-CH-PEA-C-Y3-03-5</x:v>
      </x:c>
      <x:c r="C2471" s="7" t="str">
        <x:v>CH-PEA-C-Y3-03-5</x:v>
      </x:c>
      <x:c r="D2471" s="7" t="str">
        <x:v>PEA-C-Y3</x:v>
      </x:c>
      <x:c r="E2471" s="7" t="str">
        <x:v>BLD-C</x:v>
      </x:c>
      <x:c r="F2471" s="7" t="str">
        <x:v>BL-Y</x:v>
      </x:c>
      <x:c r="G2471" s="7" t="str">
        <x:v>MF-03</x:v>
      </x:c>
      <x:c r="H2471" s="7" t="str"/>
      <x:c r="I2471" s="7" t="str"/>
      <x:c r="J2471" s="7" t="str">
        <x:f>IF(OR(H2471="",I2471=""),"",I2471-H2471)</x:f>
      </x:c>
      <x:c r="K2471" s="7" t="str"/>
      <x:c r="L2471" s="7" t="str"/>
      <x:c r="M2471" s="7" t="str">
        <x:f>IF(L2471="","OPEN",IF(OR(NOT(ISNUMBER(H2471)),NOT(ISNUMBER(I2471)),NOT(ISNUMBER(K2471)),ABS(J2471)&gt;K2471),"FAIL","PASS"))</x:f>
        <x:v>OPEN</x:v>
      </x:c>
    </x:row>
    <x:row r="2472">
      <x:c r="B2472" s="7" t="str">
        <x:v>CAL-CH-PEA-C-Y3-03-6</x:v>
      </x:c>
      <x:c r="C2472" s="7" t="str">
        <x:v>CH-PEA-C-Y3-03-6</x:v>
      </x:c>
      <x:c r="D2472" s="7" t="str">
        <x:v>PEA-C-Y3</x:v>
      </x:c>
      <x:c r="E2472" s="7" t="str">
        <x:v>BLD-C</x:v>
      </x:c>
      <x:c r="F2472" s="7" t="str">
        <x:v>BL-Y</x:v>
      </x:c>
      <x:c r="G2472" s="7" t="str">
        <x:v>MF-03</x:v>
      </x:c>
      <x:c r="H2472" s="7" t="str"/>
      <x:c r="I2472" s="7" t="str"/>
      <x:c r="J2472" s="7" t="str">
        <x:f>IF(OR(H2472="",I2472=""),"",I2472-H2472)</x:f>
      </x:c>
      <x:c r="K2472" s="7" t="str"/>
      <x:c r="L2472" s="7" t="str"/>
      <x:c r="M2472" s="7" t="str">
        <x:f>IF(L2472="","OPEN",IF(OR(NOT(ISNUMBER(H2472)),NOT(ISNUMBER(I2472)),NOT(ISNUMBER(K2472)),ABS(J2472)&gt;K2472),"FAIL","PASS"))</x:f>
        <x:v>OPEN</x:v>
      </x:c>
    </x:row>
    <x:row r="2473">
      <x:c r="B2473" s="7" t="str">
        <x:v>CAL-CH-PEA-C-Y3-04-1</x:v>
      </x:c>
      <x:c r="C2473" s="7" t="str">
        <x:v>CH-PEA-C-Y3-04-1</x:v>
      </x:c>
      <x:c r="D2473" s="7" t="str">
        <x:v>PEA-C-Y3</x:v>
      </x:c>
      <x:c r="E2473" s="7" t="str">
        <x:v>BLD-C</x:v>
      </x:c>
      <x:c r="F2473" s="7" t="str">
        <x:v>BL-Y</x:v>
      </x:c>
      <x:c r="G2473" s="7" t="str">
        <x:v>MF-04</x:v>
      </x:c>
      <x:c r="H2473" s="7" t="str"/>
      <x:c r="I2473" s="7" t="str"/>
      <x:c r="J2473" s="7" t="str">
        <x:f>IF(OR(H2473="",I2473=""),"",I2473-H2473)</x:f>
      </x:c>
      <x:c r="K2473" s="7" t="str"/>
      <x:c r="L2473" s="7" t="str"/>
      <x:c r="M2473" s="7" t="str">
        <x:f>IF(L2473="","OPEN",IF(OR(NOT(ISNUMBER(H2473)),NOT(ISNUMBER(I2473)),NOT(ISNUMBER(K2473)),ABS(J2473)&gt;K2473),"FAIL","PASS"))</x:f>
        <x:v>OPEN</x:v>
      </x:c>
    </x:row>
    <x:row r="2474">
      <x:c r="B2474" s="7" t="str">
        <x:v>CAL-CH-PEA-C-Y3-04-2</x:v>
      </x:c>
      <x:c r="C2474" s="7" t="str">
        <x:v>CH-PEA-C-Y3-04-2</x:v>
      </x:c>
      <x:c r="D2474" s="7" t="str">
        <x:v>PEA-C-Y3</x:v>
      </x:c>
      <x:c r="E2474" s="7" t="str">
        <x:v>BLD-C</x:v>
      </x:c>
      <x:c r="F2474" s="7" t="str">
        <x:v>BL-Y</x:v>
      </x:c>
      <x:c r="G2474" s="7" t="str">
        <x:v>MF-04</x:v>
      </x:c>
      <x:c r="H2474" s="7" t="str"/>
      <x:c r="I2474" s="7" t="str"/>
      <x:c r="J2474" s="7" t="str">
        <x:f>IF(OR(H2474="",I2474=""),"",I2474-H2474)</x:f>
      </x:c>
      <x:c r="K2474" s="7" t="str"/>
      <x:c r="L2474" s="7" t="str"/>
      <x:c r="M2474" s="7" t="str">
        <x:f>IF(L2474="","OPEN",IF(OR(NOT(ISNUMBER(H2474)),NOT(ISNUMBER(I2474)),NOT(ISNUMBER(K2474)),ABS(J2474)&gt;K2474),"FAIL","PASS"))</x:f>
        <x:v>OPEN</x:v>
      </x:c>
    </x:row>
    <x:row r="2475">
      <x:c r="B2475" s="7" t="str">
        <x:v>CAL-CH-PEA-C-Y3-04-3</x:v>
      </x:c>
      <x:c r="C2475" s="7" t="str">
        <x:v>CH-PEA-C-Y3-04-3</x:v>
      </x:c>
      <x:c r="D2475" s="7" t="str">
        <x:v>PEA-C-Y3</x:v>
      </x:c>
      <x:c r="E2475" s="7" t="str">
        <x:v>BLD-C</x:v>
      </x:c>
      <x:c r="F2475" s="7" t="str">
        <x:v>BL-Y</x:v>
      </x:c>
      <x:c r="G2475" s="7" t="str">
        <x:v>MF-04</x:v>
      </x:c>
      <x:c r="H2475" s="7" t="str"/>
      <x:c r="I2475" s="7" t="str"/>
      <x:c r="J2475" s="7" t="str">
        <x:f>IF(OR(H2475="",I2475=""),"",I2475-H2475)</x:f>
      </x:c>
      <x:c r="K2475" s="7" t="str"/>
      <x:c r="L2475" s="7" t="str"/>
      <x:c r="M2475" s="7" t="str">
        <x:f>IF(L2475="","OPEN",IF(OR(NOT(ISNUMBER(H2475)),NOT(ISNUMBER(I2475)),NOT(ISNUMBER(K2475)),ABS(J2475)&gt;K2475),"FAIL","PASS"))</x:f>
        <x:v>OPEN</x:v>
      </x:c>
    </x:row>
    <x:row r="2476">
      <x:c r="B2476" s="7" t="str">
        <x:v>CAL-CH-PEA-C-Y3-04-4</x:v>
      </x:c>
      <x:c r="C2476" s="7" t="str">
        <x:v>CH-PEA-C-Y3-04-4</x:v>
      </x:c>
      <x:c r="D2476" s="7" t="str">
        <x:v>PEA-C-Y3</x:v>
      </x:c>
      <x:c r="E2476" s="7" t="str">
        <x:v>BLD-C</x:v>
      </x:c>
      <x:c r="F2476" s="7" t="str">
        <x:v>BL-Y</x:v>
      </x:c>
      <x:c r="G2476" s="7" t="str">
        <x:v>MF-04</x:v>
      </x:c>
      <x:c r="H2476" s="7" t="str"/>
      <x:c r="I2476" s="7" t="str"/>
      <x:c r="J2476" s="7" t="str">
        <x:f>IF(OR(H2476="",I2476=""),"",I2476-H2476)</x:f>
      </x:c>
      <x:c r="K2476" s="7" t="str"/>
      <x:c r="L2476" s="7" t="str"/>
      <x:c r="M2476" s="7" t="str">
        <x:f>IF(L2476="","OPEN",IF(OR(NOT(ISNUMBER(H2476)),NOT(ISNUMBER(I2476)),NOT(ISNUMBER(K2476)),ABS(J2476)&gt;K2476),"FAIL","PASS"))</x:f>
        <x:v>OPEN</x:v>
      </x:c>
    </x:row>
    <x:row r="2477">
      <x:c r="B2477" s="7" t="str">
        <x:v>CAL-CH-PEA-C-Y3-04-5</x:v>
      </x:c>
      <x:c r="C2477" s="7" t="str">
        <x:v>CH-PEA-C-Y3-04-5</x:v>
      </x:c>
      <x:c r="D2477" s="7" t="str">
        <x:v>PEA-C-Y3</x:v>
      </x:c>
      <x:c r="E2477" s="7" t="str">
        <x:v>BLD-C</x:v>
      </x:c>
      <x:c r="F2477" s="7" t="str">
        <x:v>BL-Y</x:v>
      </x:c>
      <x:c r="G2477" s="7" t="str">
        <x:v>MF-04</x:v>
      </x:c>
      <x:c r="H2477" s="7" t="str"/>
      <x:c r="I2477" s="7" t="str"/>
      <x:c r="J2477" s="7" t="str">
        <x:f>IF(OR(H2477="",I2477=""),"",I2477-H2477)</x:f>
      </x:c>
      <x:c r="K2477" s="7" t="str"/>
      <x:c r="L2477" s="7" t="str"/>
      <x:c r="M2477" s="7" t="str">
        <x:f>IF(L2477="","OPEN",IF(OR(NOT(ISNUMBER(H2477)),NOT(ISNUMBER(I2477)),NOT(ISNUMBER(K2477)),ABS(J2477)&gt;K2477),"FAIL","PASS"))</x:f>
        <x:v>OPEN</x:v>
      </x:c>
    </x:row>
    <x:row r="2478">
      <x:c r="B2478" s="7" t="str">
        <x:v>CAL-CH-PEA-C-Y3-04-6</x:v>
      </x:c>
      <x:c r="C2478" s="7" t="str">
        <x:v>CH-PEA-C-Y3-04-6</x:v>
      </x:c>
      <x:c r="D2478" s="7" t="str">
        <x:v>PEA-C-Y3</x:v>
      </x:c>
      <x:c r="E2478" s="7" t="str">
        <x:v>BLD-C</x:v>
      </x:c>
      <x:c r="F2478" s="7" t="str">
        <x:v>BL-Y</x:v>
      </x:c>
      <x:c r="G2478" s="7" t="str">
        <x:v>MF-04</x:v>
      </x:c>
      <x:c r="H2478" s="7" t="str"/>
      <x:c r="I2478" s="7" t="str"/>
      <x:c r="J2478" s="7" t="str">
        <x:f>IF(OR(H2478="",I2478=""),"",I2478-H2478)</x:f>
      </x:c>
      <x:c r="K2478" s="7" t="str"/>
      <x:c r="L2478" s="7" t="str"/>
      <x:c r="M2478" s="7" t="str">
        <x:f>IF(L2478="","OPEN",IF(OR(NOT(ISNUMBER(H2478)),NOT(ISNUMBER(I2478)),NOT(ISNUMBER(K2478)),ABS(J2478)&gt;K2478),"FAIL","PASS"))</x:f>
        <x:v>OPEN</x:v>
      </x:c>
    </x:row>
    <x:row r="2479">
      <x:c r="B2479" s="7" t="str">
        <x:v>CAL-CH-PEA-C-Y3-05-1</x:v>
      </x:c>
      <x:c r="C2479" s="7" t="str">
        <x:v>CH-PEA-C-Y3-05-1</x:v>
      </x:c>
      <x:c r="D2479" s="7" t="str">
        <x:v>PEA-C-Y3</x:v>
      </x:c>
      <x:c r="E2479" s="7" t="str">
        <x:v>BLD-C</x:v>
      </x:c>
      <x:c r="F2479" s="7" t="str">
        <x:v>BL-Y</x:v>
      </x:c>
      <x:c r="G2479" s="7" t="str">
        <x:v>MF-05</x:v>
      </x:c>
      <x:c r="H2479" s="7" t="str"/>
      <x:c r="I2479" s="7" t="str"/>
      <x:c r="J2479" s="7" t="str">
        <x:f>IF(OR(H2479="",I2479=""),"",I2479-H2479)</x:f>
      </x:c>
      <x:c r="K2479" s="7" t="str"/>
      <x:c r="L2479" s="7" t="str"/>
      <x:c r="M2479" s="7" t="str">
        <x:f>IF(L2479="","OPEN",IF(OR(NOT(ISNUMBER(H2479)),NOT(ISNUMBER(I2479)),NOT(ISNUMBER(K2479)),ABS(J2479)&gt;K2479),"FAIL","PASS"))</x:f>
        <x:v>OPEN</x:v>
      </x:c>
    </x:row>
    <x:row r="2480">
      <x:c r="B2480" s="7" t="str">
        <x:v>CAL-CH-PEA-C-Y3-05-2</x:v>
      </x:c>
      <x:c r="C2480" s="7" t="str">
        <x:v>CH-PEA-C-Y3-05-2</x:v>
      </x:c>
      <x:c r="D2480" s="7" t="str">
        <x:v>PEA-C-Y3</x:v>
      </x:c>
      <x:c r="E2480" s="7" t="str">
        <x:v>BLD-C</x:v>
      </x:c>
      <x:c r="F2480" s="7" t="str">
        <x:v>BL-Y</x:v>
      </x:c>
      <x:c r="G2480" s="7" t="str">
        <x:v>MF-05</x:v>
      </x:c>
      <x:c r="H2480" s="7" t="str"/>
      <x:c r="I2480" s="7" t="str"/>
      <x:c r="J2480" s="7" t="str">
        <x:f>IF(OR(H2480="",I2480=""),"",I2480-H2480)</x:f>
      </x:c>
      <x:c r="K2480" s="7" t="str"/>
      <x:c r="L2480" s="7" t="str"/>
      <x:c r="M2480" s="7" t="str">
        <x:f>IF(L2480="","OPEN",IF(OR(NOT(ISNUMBER(H2480)),NOT(ISNUMBER(I2480)),NOT(ISNUMBER(K2480)),ABS(J2480)&gt;K2480),"FAIL","PASS"))</x:f>
        <x:v>OPEN</x:v>
      </x:c>
    </x:row>
    <x:row r="2481">
      <x:c r="B2481" s="7" t="str">
        <x:v>CAL-CH-PEA-C-Y3-05-3</x:v>
      </x:c>
      <x:c r="C2481" s="7" t="str">
        <x:v>CH-PEA-C-Y3-05-3</x:v>
      </x:c>
      <x:c r="D2481" s="7" t="str">
        <x:v>PEA-C-Y3</x:v>
      </x:c>
      <x:c r="E2481" s="7" t="str">
        <x:v>BLD-C</x:v>
      </x:c>
      <x:c r="F2481" s="7" t="str">
        <x:v>BL-Y</x:v>
      </x:c>
      <x:c r="G2481" s="7" t="str">
        <x:v>MF-05</x:v>
      </x:c>
      <x:c r="H2481" s="7" t="str"/>
      <x:c r="I2481" s="7" t="str"/>
      <x:c r="J2481" s="7" t="str">
        <x:f>IF(OR(H2481="",I2481=""),"",I2481-H2481)</x:f>
      </x:c>
      <x:c r="K2481" s="7" t="str"/>
      <x:c r="L2481" s="7" t="str"/>
      <x:c r="M2481" s="7" t="str">
        <x:f>IF(L2481="","OPEN",IF(OR(NOT(ISNUMBER(H2481)),NOT(ISNUMBER(I2481)),NOT(ISNUMBER(K2481)),ABS(J2481)&gt;K2481),"FAIL","PASS"))</x:f>
        <x:v>OPEN</x:v>
      </x:c>
    </x:row>
    <x:row r="2482">
      <x:c r="B2482" s="7" t="str">
        <x:v>CAL-CH-PEA-C-Y3-05-4</x:v>
      </x:c>
      <x:c r="C2482" s="7" t="str">
        <x:v>CH-PEA-C-Y3-05-4</x:v>
      </x:c>
      <x:c r="D2482" s="7" t="str">
        <x:v>PEA-C-Y3</x:v>
      </x:c>
      <x:c r="E2482" s="7" t="str">
        <x:v>BLD-C</x:v>
      </x:c>
      <x:c r="F2482" s="7" t="str">
        <x:v>BL-Y</x:v>
      </x:c>
      <x:c r="G2482" s="7" t="str">
        <x:v>MF-05</x:v>
      </x:c>
      <x:c r="H2482" s="7" t="str"/>
      <x:c r="I2482" s="7" t="str"/>
      <x:c r="J2482" s="7" t="str">
        <x:f>IF(OR(H2482="",I2482=""),"",I2482-H2482)</x:f>
      </x:c>
      <x:c r="K2482" s="7" t="str"/>
      <x:c r="L2482" s="7" t="str"/>
      <x:c r="M2482" s="7" t="str">
        <x:f>IF(L2482="","OPEN",IF(OR(NOT(ISNUMBER(H2482)),NOT(ISNUMBER(I2482)),NOT(ISNUMBER(K2482)),ABS(J2482)&gt;K2482),"FAIL","PASS"))</x:f>
        <x:v>OPEN</x:v>
      </x:c>
    </x:row>
    <x:row r="2483">
      <x:c r="B2483" s="7" t="str">
        <x:v>CAL-CH-PEA-C-Y3-05-5</x:v>
      </x:c>
      <x:c r="C2483" s="7" t="str">
        <x:v>CH-PEA-C-Y3-05-5</x:v>
      </x:c>
      <x:c r="D2483" s="7" t="str">
        <x:v>PEA-C-Y3</x:v>
      </x:c>
      <x:c r="E2483" s="7" t="str">
        <x:v>BLD-C</x:v>
      </x:c>
      <x:c r="F2483" s="7" t="str">
        <x:v>BL-Y</x:v>
      </x:c>
      <x:c r="G2483" s="7" t="str">
        <x:v>MF-05</x:v>
      </x:c>
      <x:c r="H2483" s="7" t="str"/>
      <x:c r="I2483" s="7" t="str"/>
      <x:c r="J2483" s="7" t="str">
        <x:f>IF(OR(H2483="",I2483=""),"",I2483-H2483)</x:f>
      </x:c>
      <x:c r="K2483" s="7" t="str"/>
      <x:c r="L2483" s="7" t="str"/>
      <x:c r="M2483" s="7" t="str">
        <x:f>IF(L2483="","OPEN",IF(OR(NOT(ISNUMBER(H2483)),NOT(ISNUMBER(I2483)),NOT(ISNUMBER(K2483)),ABS(J2483)&gt;K2483),"FAIL","PASS"))</x:f>
        <x:v>OPEN</x:v>
      </x:c>
    </x:row>
    <x:row r="2484">
      <x:c r="B2484" s="7" t="str">
        <x:v>CAL-CH-PEA-C-Y3-05-6</x:v>
      </x:c>
      <x:c r="C2484" s="7" t="str">
        <x:v>CH-PEA-C-Y3-05-6</x:v>
      </x:c>
      <x:c r="D2484" s="7" t="str">
        <x:v>PEA-C-Y3</x:v>
      </x:c>
      <x:c r="E2484" s="7" t="str">
        <x:v>BLD-C</x:v>
      </x:c>
      <x:c r="F2484" s="7" t="str">
        <x:v>BL-Y</x:v>
      </x:c>
      <x:c r="G2484" s="7" t="str">
        <x:v>MF-05</x:v>
      </x:c>
      <x:c r="H2484" s="7" t="str"/>
      <x:c r="I2484" s="7" t="str"/>
      <x:c r="J2484" s="7" t="str">
        <x:f>IF(OR(H2484="",I2484=""),"",I2484-H2484)</x:f>
      </x:c>
      <x:c r="K2484" s="7" t="str"/>
      <x:c r="L2484" s="7" t="str"/>
      <x:c r="M2484" s="7" t="str">
        <x:f>IF(L2484="","OPEN",IF(OR(NOT(ISNUMBER(H2484)),NOT(ISNUMBER(I2484)),NOT(ISNUMBER(K2484)),ABS(J2484)&gt;K2484),"FAIL","PASS"))</x:f>
        <x:v>OPEN</x:v>
      </x:c>
    </x:row>
    <x:row r="2485">
      <x:c r="B2485" s="7" t="str">
        <x:v>CAL-CH-PEA-C-Y3-06-1</x:v>
      </x:c>
      <x:c r="C2485" s="7" t="str">
        <x:v>CH-PEA-C-Y3-06-1</x:v>
      </x:c>
      <x:c r="D2485" s="7" t="str">
        <x:v>PEA-C-Y3</x:v>
      </x:c>
      <x:c r="E2485" s="7" t="str">
        <x:v>BLD-C</x:v>
      </x:c>
      <x:c r="F2485" s="7" t="str">
        <x:v>BL-Y</x:v>
      </x:c>
      <x:c r="G2485" s="7" t="str">
        <x:v>MF-06</x:v>
      </x:c>
      <x:c r="H2485" s="7" t="str"/>
      <x:c r="I2485" s="7" t="str"/>
      <x:c r="J2485" s="7" t="str">
        <x:f>IF(OR(H2485="",I2485=""),"",I2485-H2485)</x:f>
      </x:c>
      <x:c r="K2485" s="7" t="str"/>
      <x:c r="L2485" s="7" t="str"/>
      <x:c r="M2485" s="7" t="str">
        <x:f>IF(L2485="","OPEN",IF(OR(NOT(ISNUMBER(H2485)),NOT(ISNUMBER(I2485)),NOT(ISNUMBER(K2485)),ABS(J2485)&gt;K2485),"FAIL","PASS"))</x:f>
        <x:v>OPEN</x:v>
      </x:c>
    </x:row>
    <x:row r="2486">
      <x:c r="B2486" s="7" t="str">
        <x:v>CAL-CH-PEA-C-Y3-06-2</x:v>
      </x:c>
      <x:c r="C2486" s="7" t="str">
        <x:v>CH-PEA-C-Y3-06-2</x:v>
      </x:c>
      <x:c r="D2486" s="7" t="str">
        <x:v>PEA-C-Y3</x:v>
      </x:c>
      <x:c r="E2486" s="7" t="str">
        <x:v>BLD-C</x:v>
      </x:c>
      <x:c r="F2486" s="7" t="str">
        <x:v>BL-Y</x:v>
      </x:c>
      <x:c r="G2486" s="7" t="str">
        <x:v>MF-06</x:v>
      </x:c>
      <x:c r="H2486" s="7" t="str"/>
      <x:c r="I2486" s="7" t="str"/>
      <x:c r="J2486" s="7" t="str">
        <x:f>IF(OR(H2486="",I2486=""),"",I2486-H2486)</x:f>
      </x:c>
      <x:c r="K2486" s="7" t="str"/>
      <x:c r="L2486" s="7" t="str"/>
      <x:c r="M2486" s="7" t="str">
        <x:f>IF(L2486="","OPEN",IF(OR(NOT(ISNUMBER(H2486)),NOT(ISNUMBER(I2486)),NOT(ISNUMBER(K2486)),ABS(J2486)&gt;K2486),"FAIL","PASS"))</x:f>
        <x:v>OPEN</x:v>
      </x:c>
    </x:row>
    <x:row r="2487">
      <x:c r="B2487" s="7" t="str">
        <x:v>CAL-CH-PEA-C-Y3-06-3</x:v>
      </x:c>
      <x:c r="C2487" s="7" t="str">
        <x:v>CH-PEA-C-Y3-06-3</x:v>
      </x:c>
      <x:c r="D2487" s="7" t="str">
        <x:v>PEA-C-Y3</x:v>
      </x:c>
      <x:c r="E2487" s="7" t="str">
        <x:v>BLD-C</x:v>
      </x:c>
      <x:c r="F2487" s="7" t="str">
        <x:v>BL-Y</x:v>
      </x:c>
      <x:c r="G2487" s="7" t="str">
        <x:v>MF-06</x:v>
      </x:c>
      <x:c r="H2487" s="7" t="str"/>
      <x:c r="I2487" s="7" t="str"/>
      <x:c r="J2487" s="7" t="str">
        <x:f>IF(OR(H2487="",I2487=""),"",I2487-H2487)</x:f>
      </x:c>
      <x:c r="K2487" s="7" t="str"/>
      <x:c r="L2487" s="7" t="str"/>
      <x:c r="M2487" s="7" t="str">
        <x:f>IF(L2487="","OPEN",IF(OR(NOT(ISNUMBER(H2487)),NOT(ISNUMBER(I2487)),NOT(ISNUMBER(K2487)),ABS(J2487)&gt;K2487),"FAIL","PASS"))</x:f>
        <x:v>OPEN</x:v>
      </x:c>
    </x:row>
    <x:row r="2488">
      <x:c r="B2488" s="7" t="str">
        <x:v>CAL-CH-PEA-C-Y3-06-4</x:v>
      </x:c>
      <x:c r="C2488" s="7" t="str">
        <x:v>CH-PEA-C-Y3-06-4</x:v>
      </x:c>
      <x:c r="D2488" s="7" t="str">
        <x:v>PEA-C-Y3</x:v>
      </x:c>
      <x:c r="E2488" s="7" t="str">
        <x:v>BLD-C</x:v>
      </x:c>
      <x:c r="F2488" s="7" t="str">
        <x:v>BL-Y</x:v>
      </x:c>
      <x:c r="G2488" s="7" t="str">
        <x:v>MF-06</x:v>
      </x:c>
      <x:c r="H2488" s="7" t="str"/>
      <x:c r="I2488" s="7" t="str"/>
      <x:c r="J2488" s="7" t="str">
        <x:f>IF(OR(H2488="",I2488=""),"",I2488-H2488)</x:f>
      </x:c>
      <x:c r="K2488" s="7" t="str"/>
      <x:c r="L2488" s="7" t="str"/>
      <x:c r="M2488" s="7" t="str">
        <x:f>IF(L2488="","OPEN",IF(OR(NOT(ISNUMBER(H2488)),NOT(ISNUMBER(I2488)),NOT(ISNUMBER(K2488)),ABS(J2488)&gt;K2488),"FAIL","PASS"))</x:f>
        <x:v>OPEN</x:v>
      </x:c>
    </x:row>
    <x:row r="2489">
      <x:c r="B2489" s="7" t="str">
        <x:v>CAL-CH-PEA-C-Y3-06-5</x:v>
      </x:c>
      <x:c r="C2489" s="7" t="str">
        <x:v>CH-PEA-C-Y3-06-5</x:v>
      </x:c>
      <x:c r="D2489" s="7" t="str">
        <x:v>PEA-C-Y3</x:v>
      </x:c>
      <x:c r="E2489" s="7" t="str">
        <x:v>BLD-C</x:v>
      </x:c>
      <x:c r="F2489" s="7" t="str">
        <x:v>BL-Y</x:v>
      </x:c>
      <x:c r="G2489" s="7" t="str">
        <x:v>MF-06</x:v>
      </x:c>
      <x:c r="H2489" s="7" t="str"/>
      <x:c r="I2489" s="7" t="str"/>
      <x:c r="J2489" s="7" t="str">
        <x:f>IF(OR(H2489="",I2489=""),"",I2489-H2489)</x:f>
      </x:c>
      <x:c r="K2489" s="7" t="str"/>
      <x:c r="L2489" s="7" t="str"/>
      <x:c r="M2489" s="7" t="str">
        <x:f>IF(L2489="","OPEN",IF(OR(NOT(ISNUMBER(H2489)),NOT(ISNUMBER(I2489)),NOT(ISNUMBER(K2489)),ABS(J2489)&gt;K2489),"FAIL","PASS"))</x:f>
        <x:v>OPEN</x:v>
      </x:c>
    </x:row>
    <x:row r="2490">
      <x:c r="B2490" s="7" t="str">
        <x:v>CAL-CH-PEA-C-Y3-06-6</x:v>
      </x:c>
      <x:c r="C2490" s="7" t="str">
        <x:v>CH-PEA-C-Y3-06-6</x:v>
      </x:c>
      <x:c r="D2490" s="7" t="str">
        <x:v>PEA-C-Y3</x:v>
      </x:c>
      <x:c r="E2490" s="7" t="str">
        <x:v>BLD-C</x:v>
      </x:c>
      <x:c r="F2490" s="7" t="str">
        <x:v>BL-Y</x:v>
      </x:c>
      <x:c r="G2490" s="7" t="str">
        <x:v>MF-06</x:v>
      </x:c>
      <x:c r="H2490" s="7" t="str"/>
      <x:c r="I2490" s="7" t="str"/>
      <x:c r="J2490" s="7" t="str">
        <x:f>IF(OR(H2490="",I2490=""),"",I2490-H2490)</x:f>
      </x:c>
      <x:c r="K2490" s="7" t="str"/>
      <x:c r="L2490" s="7" t="str"/>
      <x:c r="M2490" s="7" t="str">
        <x:f>IF(L2490="","OPEN",IF(OR(NOT(ISNUMBER(H2490)),NOT(ISNUMBER(I2490)),NOT(ISNUMBER(K2490)),ABS(J2490)&gt;K2490),"FAIL","PASS"))</x:f>
        <x:v>OPEN</x:v>
      </x:c>
    </x:row>
    <x:row r="2491">
      <x:c r="B2491" s="7" t="str">
        <x:v>CAL-CH-PEA-C-Y3-07-1</x:v>
      </x:c>
      <x:c r="C2491" s="7" t="str">
        <x:v>CH-PEA-C-Y3-07-1</x:v>
      </x:c>
      <x:c r="D2491" s="7" t="str">
        <x:v>PEA-C-Y3</x:v>
      </x:c>
      <x:c r="E2491" s="7" t="str">
        <x:v>BLD-C</x:v>
      </x:c>
      <x:c r="F2491" s="7" t="str">
        <x:v>BL-Y</x:v>
      </x:c>
      <x:c r="G2491" s="7" t="str">
        <x:v>MF-07</x:v>
      </x:c>
      <x:c r="H2491" s="7" t="str"/>
      <x:c r="I2491" s="7" t="str"/>
      <x:c r="J2491" s="7" t="str">
        <x:f>IF(OR(H2491="",I2491=""),"",I2491-H2491)</x:f>
      </x:c>
      <x:c r="K2491" s="7" t="str"/>
      <x:c r="L2491" s="7" t="str"/>
      <x:c r="M2491" s="7" t="str">
        <x:f>IF(L2491="","OPEN",IF(OR(NOT(ISNUMBER(H2491)),NOT(ISNUMBER(I2491)),NOT(ISNUMBER(K2491)),ABS(J2491)&gt;K2491),"FAIL","PASS"))</x:f>
        <x:v>OPEN</x:v>
      </x:c>
    </x:row>
    <x:row r="2492">
      <x:c r="B2492" s="7" t="str">
        <x:v>CAL-CH-PEA-C-Y3-07-2</x:v>
      </x:c>
      <x:c r="C2492" s="7" t="str">
        <x:v>CH-PEA-C-Y3-07-2</x:v>
      </x:c>
      <x:c r="D2492" s="7" t="str">
        <x:v>PEA-C-Y3</x:v>
      </x:c>
      <x:c r="E2492" s="7" t="str">
        <x:v>BLD-C</x:v>
      </x:c>
      <x:c r="F2492" s="7" t="str">
        <x:v>BL-Y</x:v>
      </x:c>
      <x:c r="G2492" s="7" t="str">
        <x:v>MF-07</x:v>
      </x:c>
      <x:c r="H2492" s="7" t="str"/>
      <x:c r="I2492" s="7" t="str"/>
      <x:c r="J2492" s="7" t="str">
        <x:f>IF(OR(H2492="",I2492=""),"",I2492-H2492)</x:f>
      </x:c>
      <x:c r="K2492" s="7" t="str"/>
      <x:c r="L2492" s="7" t="str"/>
      <x:c r="M2492" s="7" t="str">
        <x:f>IF(L2492="","OPEN",IF(OR(NOT(ISNUMBER(H2492)),NOT(ISNUMBER(I2492)),NOT(ISNUMBER(K2492)),ABS(J2492)&gt;K2492),"FAIL","PASS"))</x:f>
        <x:v>OPEN</x:v>
      </x:c>
    </x:row>
    <x:row r="2493">
      <x:c r="B2493" s="7" t="str">
        <x:v>CAL-CH-PEA-C-Y3-07-3</x:v>
      </x:c>
      <x:c r="C2493" s="7" t="str">
        <x:v>CH-PEA-C-Y3-07-3</x:v>
      </x:c>
      <x:c r="D2493" s="7" t="str">
        <x:v>PEA-C-Y3</x:v>
      </x:c>
      <x:c r="E2493" s="7" t="str">
        <x:v>BLD-C</x:v>
      </x:c>
      <x:c r="F2493" s="7" t="str">
        <x:v>BL-Y</x:v>
      </x:c>
      <x:c r="G2493" s="7" t="str">
        <x:v>MF-07</x:v>
      </x:c>
      <x:c r="H2493" s="7" t="str"/>
      <x:c r="I2493" s="7" t="str"/>
      <x:c r="J2493" s="7" t="str">
        <x:f>IF(OR(H2493="",I2493=""),"",I2493-H2493)</x:f>
      </x:c>
      <x:c r="K2493" s="7" t="str"/>
      <x:c r="L2493" s="7" t="str"/>
      <x:c r="M2493" s="7" t="str">
        <x:f>IF(L2493="","OPEN",IF(OR(NOT(ISNUMBER(H2493)),NOT(ISNUMBER(I2493)),NOT(ISNUMBER(K2493)),ABS(J2493)&gt;K2493),"FAIL","PASS"))</x:f>
        <x:v>OPEN</x:v>
      </x:c>
    </x:row>
    <x:row r="2494">
      <x:c r="B2494" s="7" t="str">
        <x:v>CAL-CH-PEA-C-Y3-07-4</x:v>
      </x:c>
      <x:c r="C2494" s="7" t="str">
        <x:v>CH-PEA-C-Y3-07-4</x:v>
      </x:c>
      <x:c r="D2494" s="7" t="str">
        <x:v>PEA-C-Y3</x:v>
      </x:c>
      <x:c r="E2494" s="7" t="str">
        <x:v>BLD-C</x:v>
      </x:c>
      <x:c r="F2494" s="7" t="str">
        <x:v>BL-Y</x:v>
      </x:c>
      <x:c r="G2494" s="7" t="str">
        <x:v>MF-07</x:v>
      </x:c>
      <x:c r="H2494" s="7" t="str"/>
      <x:c r="I2494" s="7" t="str"/>
      <x:c r="J2494" s="7" t="str">
        <x:f>IF(OR(H2494="",I2494=""),"",I2494-H2494)</x:f>
      </x:c>
      <x:c r="K2494" s="7" t="str"/>
      <x:c r="L2494" s="7" t="str"/>
      <x:c r="M2494" s="7" t="str">
        <x:f>IF(L2494="","OPEN",IF(OR(NOT(ISNUMBER(H2494)),NOT(ISNUMBER(I2494)),NOT(ISNUMBER(K2494)),ABS(J2494)&gt;K2494),"FAIL","PASS"))</x:f>
        <x:v>OPEN</x:v>
      </x:c>
    </x:row>
    <x:row r="2495">
      <x:c r="B2495" s="7" t="str">
        <x:v>CAL-CH-PEA-C-Y3-07-5</x:v>
      </x:c>
      <x:c r="C2495" s="7" t="str">
        <x:v>CH-PEA-C-Y3-07-5</x:v>
      </x:c>
      <x:c r="D2495" s="7" t="str">
        <x:v>PEA-C-Y3</x:v>
      </x:c>
      <x:c r="E2495" s="7" t="str">
        <x:v>BLD-C</x:v>
      </x:c>
      <x:c r="F2495" s="7" t="str">
        <x:v>BL-Y</x:v>
      </x:c>
      <x:c r="G2495" s="7" t="str">
        <x:v>MF-07</x:v>
      </x:c>
      <x:c r="H2495" s="7" t="str"/>
      <x:c r="I2495" s="7" t="str"/>
      <x:c r="J2495" s="7" t="str">
        <x:f>IF(OR(H2495="",I2495=""),"",I2495-H2495)</x:f>
      </x:c>
      <x:c r="K2495" s="7" t="str"/>
      <x:c r="L2495" s="7" t="str"/>
      <x:c r="M2495" s="7" t="str">
        <x:f>IF(L2495="","OPEN",IF(OR(NOT(ISNUMBER(H2495)),NOT(ISNUMBER(I2495)),NOT(ISNUMBER(K2495)),ABS(J2495)&gt;K2495),"FAIL","PASS"))</x:f>
        <x:v>OPEN</x:v>
      </x:c>
    </x:row>
    <x:row r="2496">
      <x:c r="B2496" s="7" t="str">
        <x:v>CAL-CH-PEA-C-Y3-07-6</x:v>
      </x:c>
      <x:c r="C2496" s="7" t="str">
        <x:v>CH-PEA-C-Y3-07-6</x:v>
      </x:c>
      <x:c r="D2496" s="7" t="str">
        <x:v>PEA-C-Y3</x:v>
      </x:c>
      <x:c r="E2496" s="7" t="str">
        <x:v>BLD-C</x:v>
      </x:c>
      <x:c r="F2496" s="7" t="str">
        <x:v>BL-Y</x:v>
      </x:c>
      <x:c r="G2496" s="7" t="str">
        <x:v>MF-07</x:v>
      </x:c>
      <x:c r="H2496" s="7" t="str"/>
      <x:c r="I2496" s="7" t="str"/>
      <x:c r="J2496" s="7" t="str">
        <x:f>IF(OR(H2496="",I2496=""),"",I2496-H2496)</x:f>
      </x:c>
      <x:c r="K2496" s="7" t="str"/>
      <x:c r="L2496" s="7" t="str"/>
      <x:c r="M2496" s="7" t="str">
        <x:f>IF(L2496="","OPEN",IF(OR(NOT(ISNUMBER(H2496)),NOT(ISNUMBER(I2496)),NOT(ISNUMBER(K2496)),ABS(J2496)&gt;K2496),"FAIL","PASS"))</x:f>
        <x:v>OPEN</x:v>
      </x:c>
    </x:row>
    <x:row r="2497">
      <x:c r="B2497" s="7" t="str">
        <x:v>CAL-CH-PEA-C-Y3-08-1</x:v>
      </x:c>
      <x:c r="C2497" s="7" t="str">
        <x:v>CH-PEA-C-Y3-08-1</x:v>
      </x:c>
      <x:c r="D2497" s="7" t="str">
        <x:v>PEA-C-Y3</x:v>
      </x:c>
      <x:c r="E2497" s="7" t="str">
        <x:v>BLD-C</x:v>
      </x:c>
      <x:c r="F2497" s="7" t="str">
        <x:v>BL-Y</x:v>
      </x:c>
      <x:c r="G2497" s="7" t="str">
        <x:v>MF-08</x:v>
      </x:c>
      <x:c r="H2497" s="7" t="str"/>
      <x:c r="I2497" s="7" t="str"/>
      <x:c r="J2497" s="7" t="str">
        <x:f>IF(OR(H2497="",I2497=""),"",I2497-H2497)</x:f>
      </x:c>
      <x:c r="K2497" s="7" t="str"/>
      <x:c r="L2497" s="7" t="str"/>
      <x:c r="M2497" s="7" t="str">
        <x:f>IF(L2497="","OPEN",IF(OR(NOT(ISNUMBER(H2497)),NOT(ISNUMBER(I2497)),NOT(ISNUMBER(K2497)),ABS(J2497)&gt;K2497),"FAIL","PASS"))</x:f>
        <x:v>OPEN</x:v>
      </x:c>
    </x:row>
    <x:row r="2498">
      <x:c r="B2498" s="7" t="str">
        <x:v>CAL-CH-PEA-C-Y3-08-2</x:v>
      </x:c>
      <x:c r="C2498" s="7" t="str">
        <x:v>CH-PEA-C-Y3-08-2</x:v>
      </x:c>
      <x:c r="D2498" s="7" t="str">
        <x:v>PEA-C-Y3</x:v>
      </x:c>
      <x:c r="E2498" s="7" t="str">
        <x:v>BLD-C</x:v>
      </x:c>
      <x:c r="F2498" s="7" t="str">
        <x:v>BL-Y</x:v>
      </x:c>
      <x:c r="G2498" s="7" t="str">
        <x:v>MF-08</x:v>
      </x:c>
      <x:c r="H2498" s="7" t="str"/>
      <x:c r="I2498" s="7" t="str"/>
      <x:c r="J2498" s="7" t="str">
        <x:f>IF(OR(H2498="",I2498=""),"",I2498-H2498)</x:f>
      </x:c>
      <x:c r="K2498" s="7" t="str"/>
      <x:c r="L2498" s="7" t="str"/>
      <x:c r="M2498" s="7" t="str">
        <x:f>IF(L2498="","OPEN",IF(OR(NOT(ISNUMBER(H2498)),NOT(ISNUMBER(I2498)),NOT(ISNUMBER(K2498)),ABS(J2498)&gt;K2498),"FAIL","PASS"))</x:f>
        <x:v>OPEN</x:v>
      </x:c>
    </x:row>
    <x:row r="2499">
      <x:c r="B2499" s="7" t="str">
        <x:v>CAL-CH-PEA-C-Y3-08-3</x:v>
      </x:c>
      <x:c r="C2499" s="7" t="str">
        <x:v>CH-PEA-C-Y3-08-3</x:v>
      </x:c>
      <x:c r="D2499" s="7" t="str">
        <x:v>PEA-C-Y3</x:v>
      </x:c>
      <x:c r="E2499" s="7" t="str">
        <x:v>BLD-C</x:v>
      </x:c>
      <x:c r="F2499" s="7" t="str">
        <x:v>BL-Y</x:v>
      </x:c>
      <x:c r="G2499" s="7" t="str">
        <x:v>MF-08</x:v>
      </x:c>
      <x:c r="H2499" s="7" t="str"/>
      <x:c r="I2499" s="7" t="str"/>
      <x:c r="J2499" s="7" t="str">
        <x:f>IF(OR(H2499="",I2499=""),"",I2499-H2499)</x:f>
      </x:c>
      <x:c r="K2499" s="7" t="str"/>
      <x:c r="L2499" s="7" t="str"/>
      <x:c r="M2499" s="7" t="str">
        <x:f>IF(L2499="","OPEN",IF(OR(NOT(ISNUMBER(H2499)),NOT(ISNUMBER(I2499)),NOT(ISNUMBER(K2499)),ABS(J2499)&gt;K2499),"FAIL","PASS"))</x:f>
        <x:v>OPEN</x:v>
      </x:c>
    </x:row>
    <x:row r="2500">
      <x:c r="B2500" s="7" t="str">
        <x:v>CAL-CH-PEA-C-Y3-08-4</x:v>
      </x:c>
      <x:c r="C2500" s="7" t="str">
        <x:v>CH-PEA-C-Y3-08-4</x:v>
      </x:c>
      <x:c r="D2500" s="7" t="str">
        <x:v>PEA-C-Y3</x:v>
      </x:c>
      <x:c r="E2500" s="7" t="str">
        <x:v>BLD-C</x:v>
      </x:c>
      <x:c r="F2500" s="7" t="str">
        <x:v>BL-Y</x:v>
      </x:c>
      <x:c r="G2500" s="7" t="str">
        <x:v>MF-08</x:v>
      </x:c>
      <x:c r="H2500" s="7" t="str"/>
      <x:c r="I2500" s="7" t="str"/>
      <x:c r="J2500" s="7" t="str">
        <x:f>IF(OR(H2500="",I2500=""),"",I2500-H2500)</x:f>
      </x:c>
      <x:c r="K2500" s="7" t="str"/>
      <x:c r="L2500" s="7" t="str"/>
      <x:c r="M2500" s="7" t="str">
        <x:f>IF(L2500="","OPEN",IF(OR(NOT(ISNUMBER(H2500)),NOT(ISNUMBER(I2500)),NOT(ISNUMBER(K2500)),ABS(J2500)&gt;K2500),"FAIL","PASS"))</x:f>
        <x:v>OPEN</x:v>
      </x:c>
    </x:row>
    <x:row r="2501">
      <x:c r="B2501" s="7" t="str">
        <x:v>CAL-CH-PEA-C-Y3-08-5</x:v>
      </x:c>
      <x:c r="C2501" s="7" t="str">
        <x:v>CH-PEA-C-Y3-08-5</x:v>
      </x:c>
      <x:c r="D2501" s="7" t="str">
        <x:v>PEA-C-Y3</x:v>
      </x:c>
      <x:c r="E2501" s="7" t="str">
        <x:v>BLD-C</x:v>
      </x:c>
      <x:c r="F2501" s="7" t="str">
        <x:v>BL-Y</x:v>
      </x:c>
      <x:c r="G2501" s="7" t="str">
        <x:v>MF-08</x:v>
      </x:c>
      <x:c r="H2501" s="7" t="str"/>
      <x:c r="I2501" s="7" t="str"/>
      <x:c r="J2501" s="7" t="str">
        <x:f>IF(OR(H2501="",I2501=""),"",I2501-H2501)</x:f>
      </x:c>
      <x:c r="K2501" s="7" t="str"/>
      <x:c r="L2501" s="7" t="str"/>
      <x:c r="M2501" s="7" t="str">
        <x:f>IF(L2501="","OPEN",IF(OR(NOT(ISNUMBER(H2501)),NOT(ISNUMBER(I2501)),NOT(ISNUMBER(K2501)),ABS(J2501)&gt;K2501),"FAIL","PASS"))</x:f>
        <x:v>OPEN</x:v>
      </x:c>
    </x:row>
    <x:row r="2502">
      <x:c r="B2502" s="7" t="str">
        <x:v>CAL-CH-PEA-C-Y3-08-6</x:v>
      </x:c>
      <x:c r="C2502" s="7" t="str">
        <x:v>CH-PEA-C-Y3-08-6</x:v>
      </x:c>
      <x:c r="D2502" s="7" t="str">
        <x:v>PEA-C-Y3</x:v>
      </x:c>
      <x:c r="E2502" s="7" t="str">
        <x:v>BLD-C</x:v>
      </x:c>
      <x:c r="F2502" s="7" t="str">
        <x:v>BL-Y</x:v>
      </x:c>
      <x:c r="G2502" s="7" t="str">
        <x:v>MF-08</x:v>
      </x:c>
      <x:c r="H2502" s="7" t="str"/>
      <x:c r="I2502" s="7" t="str"/>
      <x:c r="J2502" s="7" t="str">
        <x:f>IF(OR(H2502="",I2502=""),"",I2502-H2502)</x:f>
      </x:c>
      <x:c r="K2502" s="7" t="str"/>
      <x:c r="L2502" s="7" t="str"/>
      <x:c r="M2502" s="7" t="str">
        <x:f>IF(L2502="","OPEN",IF(OR(NOT(ISNUMBER(H2502)),NOT(ISNUMBER(I2502)),NOT(ISNUMBER(K2502)),ABS(J2502)&gt;K2502),"FAIL","PASS"))</x:f>
        <x:v>OPEN</x:v>
      </x:c>
    </x:row>
    <x:row r="2503">
      <x:c r="B2503" s="7" t="str">
        <x:v>CAL-CH-PEA-C-Y3-09-1</x:v>
      </x:c>
      <x:c r="C2503" s="7" t="str">
        <x:v>CH-PEA-C-Y3-09-1</x:v>
      </x:c>
      <x:c r="D2503" s="7" t="str">
        <x:v>PEA-C-Y3</x:v>
      </x:c>
      <x:c r="E2503" s="7" t="str">
        <x:v>BLD-C</x:v>
      </x:c>
      <x:c r="F2503" s="7" t="str">
        <x:v>BL-Y</x:v>
      </x:c>
      <x:c r="G2503" s="7" t="str">
        <x:v>MF-09</x:v>
      </x:c>
      <x:c r="H2503" s="7" t="str"/>
      <x:c r="I2503" s="7" t="str"/>
      <x:c r="J2503" s="7" t="str">
        <x:f>IF(OR(H2503="",I2503=""),"",I2503-H2503)</x:f>
      </x:c>
      <x:c r="K2503" s="7" t="str"/>
      <x:c r="L2503" s="7" t="str"/>
      <x:c r="M2503" s="7" t="str">
        <x:f>IF(L2503="","OPEN",IF(OR(NOT(ISNUMBER(H2503)),NOT(ISNUMBER(I2503)),NOT(ISNUMBER(K2503)),ABS(J2503)&gt;K2503),"FAIL","PASS"))</x:f>
        <x:v>OPEN</x:v>
      </x:c>
    </x:row>
    <x:row r="2504">
      <x:c r="B2504" s="7" t="str">
        <x:v>CAL-CH-PEA-C-Y3-09-2</x:v>
      </x:c>
      <x:c r="C2504" s="7" t="str">
        <x:v>CH-PEA-C-Y3-09-2</x:v>
      </x:c>
      <x:c r="D2504" s="7" t="str">
        <x:v>PEA-C-Y3</x:v>
      </x:c>
      <x:c r="E2504" s="7" t="str">
        <x:v>BLD-C</x:v>
      </x:c>
      <x:c r="F2504" s="7" t="str">
        <x:v>BL-Y</x:v>
      </x:c>
      <x:c r="G2504" s="7" t="str">
        <x:v>MF-09</x:v>
      </x:c>
      <x:c r="H2504" s="7" t="str"/>
      <x:c r="I2504" s="7" t="str"/>
      <x:c r="J2504" s="7" t="str">
        <x:f>IF(OR(H2504="",I2504=""),"",I2504-H2504)</x:f>
      </x:c>
      <x:c r="K2504" s="7" t="str"/>
      <x:c r="L2504" s="7" t="str"/>
      <x:c r="M2504" s="7" t="str">
        <x:f>IF(L2504="","OPEN",IF(OR(NOT(ISNUMBER(H2504)),NOT(ISNUMBER(I2504)),NOT(ISNUMBER(K2504)),ABS(J2504)&gt;K2504),"FAIL","PASS"))</x:f>
        <x:v>OPEN</x:v>
      </x:c>
    </x:row>
    <x:row r="2505">
      <x:c r="B2505" s="7" t="str">
        <x:v>CAL-CH-PEA-C-Y3-09-3</x:v>
      </x:c>
      <x:c r="C2505" s="7" t="str">
        <x:v>CH-PEA-C-Y3-09-3</x:v>
      </x:c>
      <x:c r="D2505" s="7" t="str">
        <x:v>PEA-C-Y3</x:v>
      </x:c>
      <x:c r="E2505" s="7" t="str">
        <x:v>BLD-C</x:v>
      </x:c>
      <x:c r="F2505" s="7" t="str">
        <x:v>BL-Y</x:v>
      </x:c>
      <x:c r="G2505" s="7" t="str">
        <x:v>MF-09</x:v>
      </x:c>
      <x:c r="H2505" s="7" t="str"/>
      <x:c r="I2505" s="7" t="str"/>
      <x:c r="J2505" s="7" t="str">
        <x:f>IF(OR(H2505="",I2505=""),"",I2505-H2505)</x:f>
      </x:c>
      <x:c r="K2505" s="7" t="str"/>
      <x:c r="L2505" s="7" t="str"/>
      <x:c r="M2505" s="7" t="str">
        <x:f>IF(L2505="","OPEN",IF(OR(NOT(ISNUMBER(H2505)),NOT(ISNUMBER(I2505)),NOT(ISNUMBER(K2505)),ABS(J2505)&gt;K2505),"FAIL","PASS"))</x:f>
        <x:v>OPEN</x:v>
      </x:c>
    </x:row>
    <x:row r="2506">
      <x:c r="B2506" s="7" t="str">
        <x:v>CAL-CH-PEA-C-Y3-09-4</x:v>
      </x:c>
      <x:c r="C2506" s="7" t="str">
        <x:v>CH-PEA-C-Y3-09-4</x:v>
      </x:c>
      <x:c r="D2506" s="7" t="str">
        <x:v>PEA-C-Y3</x:v>
      </x:c>
      <x:c r="E2506" s="7" t="str">
        <x:v>BLD-C</x:v>
      </x:c>
      <x:c r="F2506" s="7" t="str">
        <x:v>BL-Y</x:v>
      </x:c>
      <x:c r="G2506" s="7" t="str">
        <x:v>MF-09</x:v>
      </x:c>
      <x:c r="H2506" s="7" t="str"/>
      <x:c r="I2506" s="7" t="str"/>
      <x:c r="J2506" s="7" t="str">
        <x:f>IF(OR(H2506="",I2506=""),"",I2506-H2506)</x:f>
      </x:c>
      <x:c r="K2506" s="7" t="str"/>
      <x:c r="L2506" s="7" t="str"/>
      <x:c r="M2506" s="7" t="str">
        <x:f>IF(L2506="","OPEN",IF(OR(NOT(ISNUMBER(H2506)),NOT(ISNUMBER(I2506)),NOT(ISNUMBER(K2506)),ABS(J2506)&gt;K2506),"FAIL","PASS"))</x:f>
        <x:v>OPEN</x:v>
      </x:c>
    </x:row>
    <x:row r="2507">
      <x:c r="B2507" s="7" t="str">
        <x:v>CAL-CH-PEA-C-Y3-09-5</x:v>
      </x:c>
      <x:c r="C2507" s="7" t="str">
        <x:v>CH-PEA-C-Y3-09-5</x:v>
      </x:c>
      <x:c r="D2507" s="7" t="str">
        <x:v>PEA-C-Y3</x:v>
      </x:c>
      <x:c r="E2507" s="7" t="str">
        <x:v>BLD-C</x:v>
      </x:c>
      <x:c r="F2507" s="7" t="str">
        <x:v>BL-Y</x:v>
      </x:c>
      <x:c r="G2507" s="7" t="str">
        <x:v>MF-09</x:v>
      </x:c>
      <x:c r="H2507" s="7" t="str"/>
      <x:c r="I2507" s="7" t="str"/>
      <x:c r="J2507" s="7" t="str">
        <x:f>IF(OR(H2507="",I2507=""),"",I2507-H2507)</x:f>
      </x:c>
      <x:c r="K2507" s="7" t="str"/>
      <x:c r="L2507" s="7" t="str"/>
      <x:c r="M2507" s="7" t="str">
        <x:f>IF(L2507="","OPEN",IF(OR(NOT(ISNUMBER(H2507)),NOT(ISNUMBER(I2507)),NOT(ISNUMBER(K2507)),ABS(J2507)&gt;K2507),"FAIL","PASS"))</x:f>
        <x:v>OPEN</x:v>
      </x:c>
    </x:row>
    <x:row r="2508">
      <x:c r="B2508" s="7" t="str">
        <x:v>CAL-CH-PEA-C-Y3-09-6</x:v>
      </x:c>
      <x:c r="C2508" s="7" t="str">
        <x:v>CH-PEA-C-Y3-09-6</x:v>
      </x:c>
      <x:c r="D2508" s="7" t="str">
        <x:v>PEA-C-Y3</x:v>
      </x:c>
      <x:c r="E2508" s="7" t="str">
        <x:v>BLD-C</x:v>
      </x:c>
      <x:c r="F2508" s="7" t="str">
        <x:v>BL-Y</x:v>
      </x:c>
      <x:c r="G2508" s="7" t="str">
        <x:v>MF-09</x:v>
      </x:c>
      <x:c r="H2508" s="7" t="str"/>
      <x:c r="I2508" s="7" t="str"/>
      <x:c r="J2508" s="7" t="str">
        <x:f>IF(OR(H2508="",I2508=""),"",I2508-H2508)</x:f>
      </x:c>
      <x:c r="K2508" s="7" t="str"/>
      <x:c r="L2508" s="7" t="str"/>
      <x:c r="M2508" s="7" t="str">
        <x:f>IF(L2508="","OPEN",IF(OR(NOT(ISNUMBER(H2508)),NOT(ISNUMBER(I2508)),NOT(ISNUMBER(K2508)),ABS(J2508)&gt;K2508),"FAIL","PASS"))</x:f>
        <x:v>OPEN</x:v>
      </x:c>
    </x:row>
    <x:row r="2509">
      <x:c r="B2509" s="7" t="str">
        <x:v>CAL-CH-PEA-C-Y3-10-1</x:v>
      </x:c>
      <x:c r="C2509" s="7" t="str">
        <x:v>CH-PEA-C-Y3-10-1</x:v>
      </x:c>
      <x:c r="D2509" s="7" t="str">
        <x:v>PEA-C-Y3</x:v>
      </x:c>
      <x:c r="E2509" s="7" t="str">
        <x:v>BLD-C</x:v>
      </x:c>
      <x:c r="F2509" s="7" t="str">
        <x:v>BL-Y</x:v>
      </x:c>
      <x:c r="G2509" s="7" t="str">
        <x:v>MF-10</x:v>
      </x:c>
      <x:c r="H2509" s="7" t="str"/>
      <x:c r="I2509" s="7" t="str"/>
      <x:c r="J2509" s="7" t="str">
        <x:f>IF(OR(H2509="",I2509=""),"",I2509-H2509)</x:f>
      </x:c>
      <x:c r="K2509" s="7" t="str"/>
      <x:c r="L2509" s="7" t="str"/>
      <x:c r="M2509" s="7" t="str">
        <x:f>IF(L2509="","OPEN",IF(OR(NOT(ISNUMBER(H2509)),NOT(ISNUMBER(I2509)),NOT(ISNUMBER(K2509)),ABS(J2509)&gt;K2509),"FAIL","PASS"))</x:f>
        <x:v>OPEN</x:v>
      </x:c>
    </x:row>
    <x:row r="2510">
      <x:c r="B2510" s="7" t="str">
        <x:v>CAL-CH-PEA-C-Y3-10-2</x:v>
      </x:c>
      <x:c r="C2510" s="7" t="str">
        <x:v>CH-PEA-C-Y3-10-2</x:v>
      </x:c>
      <x:c r="D2510" s="7" t="str">
        <x:v>PEA-C-Y3</x:v>
      </x:c>
      <x:c r="E2510" s="7" t="str">
        <x:v>BLD-C</x:v>
      </x:c>
      <x:c r="F2510" s="7" t="str">
        <x:v>BL-Y</x:v>
      </x:c>
      <x:c r="G2510" s="7" t="str">
        <x:v>MF-10</x:v>
      </x:c>
      <x:c r="H2510" s="7" t="str"/>
      <x:c r="I2510" s="7" t="str"/>
      <x:c r="J2510" s="7" t="str">
        <x:f>IF(OR(H2510="",I2510=""),"",I2510-H2510)</x:f>
      </x:c>
      <x:c r="K2510" s="7" t="str"/>
      <x:c r="L2510" s="7" t="str"/>
      <x:c r="M2510" s="7" t="str">
        <x:f>IF(L2510="","OPEN",IF(OR(NOT(ISNUMBER(H2510)),NOT(ISNUMBER(I2510)),NOT(ISNUMBER(K2510)),ABS(J2510)&gt;K2510),"FAIL","PASS"))</x:f>
        <x:v>OPEN</x:v>
      </x:c>
    </x:row>
    <x:row r="2511">
      <x:c r="B2511" s="7" t="str">
        <x:v>CAL-CH-PEA-C-Y3-10-3</x:v>
      </x:c>
      <x:c r="C2511" s="7" t="str">
        <x:v>CH-PEA-C-Y3-10-3</x:v>
      </x:c>
      <x:c r="D2511" s="7" t="str">
        <x:v>PEA-C-Y3</x:v>
      </x:c>
      <x:c r="E2511" s="7" t="str">
        <x:v>BLD-C</x:v>
      </x:c>
      <x:c r="F2511" s="7" t="str">
        <x:v>BL-Y</x:v>
      </x:c>
      <x:c r="G2511" s="7" t="str">
        <x:v>MF-10</x:v>
      </x:c>
      <x:c r="H2511" s="7" t="str"/>
      <x:c r="I2511" s="7" t="str"/>
      <x:c r="J2511" s="7" t="str">
        <x:f>IF(OR(H2511="",I2511=""),"",I2511-H2511)</x:f>
      </x:c>
      <x:c r="K2511" s="7" t="str"/>
      <x:c r="L2511" s="7" t="str"/>
      <x:c r="M2511" s="7" t="str">
        <x:f>IF(L2511="","OPEN",IF(OR(NOT(ISNUMBER(H2511)),NOT(ISNUMBER(I2511)),NOT(ISNUMBER(K2511)),ABS(J2511)&gt;K2511),"FAIL","PASS"))</x:f>
        <x:v>OPEN</x:v>
      </x:c>
    </x:row>
    <x:row r="2512">
      <x:c r="B2512" s="7" t="str">
        <x:v>CAL-CH-PEA-C-Y3-10-4</x:v>
      </x:c>
      <x:c r="C2512" s="7" t="str">
        <x:v>CH-PEA-C-Y3-10-4</x:v>
      </x:c>
      <x:c r="D2512" s="7" t="str">
        <x:v>PEA-C-Y3</x:v>
      </x:c>
      <x:c r="E2512" s="7" t="str">
        <x:v>BLD-C</x:v>
      </x:c>
      <x:c r="F2512" s="7" t="str">
        <x:v>BL-Y</x:v>
      </x:c>
      <x:c r="G2512" s="7" t="str">
        <x:v>MF-10</x:v>
      </x:c>
      <x:c r="H2512" s="7" t="str"/>
      <x:c r="I2512" s="7" t="str"/>
      <x:c r="J2512" s="7" t="str">
        <x:f>IF(OR(H2512="",I2512=""),"",I2512-H2512)</x:f>
      </x:c>
      <x:c r="K2512" s="7" t="str"/>
      <x:c r="L2512" s="7" t="str"/>
      <x:c r="M2512" s="7" t="str">
        <x:f>IF(L2512="","OPEN",IF(OR(NOT(ISNUMBER(H2512)),NOT(ISNUMBER(I2512)),NOT(ISNUMBER(K2512)),ABS(J2512)&gt;K2512),"FAIL","PASS"))</x:f>
        <x:v>OPEN</x:v>
      </x:c>
    </x:row>
    <x:row r="2513">
      <x:c r="B2513" s="7" t="str">
        <x:v>CAL-CH-PEA-C-Y3-10-5</x:v>
      </x:c>
      <x:c r="C2513" s="7" t="str">
        <x:v>CH-PEA-C-Y3-10-5</x:v>
      </x:c>
      <x:c r="D2513" s="7" t="str">
        <x:v>PEA-C-Y3</x:v>
      </x:c>
      <x:c r="E2513" s="7" t="str">
        <x:v>BLD-C</x:v>
      </x:c>
      <x:c r="F2513" s="7" t="str">
        <x:v>BL-Y</x:v>
      </x:c>
      <x:c r="G2513" s="7" t="str">
        <x:v>MF-10</x:v>
      </x:c>
      <x:c r="H2513" s="7" t="str"/>
      <x:c r="I2513" s="7" t="str"/>
      <x:c r="J2513" s="7" t="str">
        <x:f>IF(OR(H2513="",I2513=""),"",I2513-H2513)</x:f>
      </x:c>
      <x:c r="K2513" s="7" t="str"/>
      <x:c r="L2513" s="7" t="str"/>
      <x:c r="M2513" s="7" t="str">
        <x:f>IF(L2513="","OPEN",IF(OR(NOT(ISNUMBER(H2513)),NOT(ISNUMBER(I2513)),NOT(ISNUMBER(K2513)),ABS(J2513)&gt;K2513),"FAIL","PASS"))</x:f>
        <x:v>OPEN</x:v>
      </x:c>
    </x:row>
    <x:row r="2514">
      <x:c r="B2514" s="7" t="str">
        <x:v>CAL-CH-PEA-C-Y3-10-6</x:v>
      </x:c>
      <x:c r="C2514" s="7" t="str">
        <x:v>CH-PEA-C-Y3-10-6</x:v>
      </x:c>
      <x:c r="D2514" s="7" t="str">
        <x:v>PEA-C-Y3</x:v>
      </x:c>
      <x:c r="E2514" s="7" t="str">
        <x:v>BLD-C</x:v>
      </x:c>
      <x:c r="F2514" s="7" t="str">
        <x:v>BL-Y</x:v>
      </x:c>
      <x:c r="G2514" s="7" t="str">
        <x:v>MF-10</x:v>
      </x:c>
      <x:c r="H2514" s="7" t="str"/>
      <x:c r="I2514" s="7" t="str"/>
      <x:c r="J2514" s="7" t="str">
        <x:f>IF(OR(H2514="",I2514=""),"",I2514-H2514)</x:f>
      </x:c>
      <x:c r="K2514" s="7" t="str"/>
      <x:c r="L2514" s="7" t="str"/>
      <x:c r="M2514" s="7" t="str">
        <x:f>IF(L2514="","OPEN",IF(OR(NOT(ISNUMBER(H2514)),NOT(ISNUMBER(I2514)),NOT(ISNUMBER(K2514)),ABS(J2514)&gt;K2514),"FAIL","PASS"))</x:f>
        <x:v>OPEN</x:v>
      </x:c>
    </x:row>
    <x:row r="2515">
      <x:c r="B2515" s="7" t="str">
        <x:v>CAL-CH-PEA-C-Y3-11-1</x:v>
      </x:c>
      <x:c r="C2515" s="7" t="str">
        <x:v>CH-PEA-C-Y3-11-1</x:v>
      </x:c>
      <x:c r="D2515" s="7" t="str">
        <x:v>PEA-C-Y3</x:v>
      </x:c>
      <x:c r="E2515" s="7" t="str">
        <x:v>BLD-C</x:v>
      </x:c>
      <x:c r="F2515" s="7" t="str">
        <x:v>BL-Y</x:v>
      </x:c>
      <x:c r="G2515" s="7" t="str">
        <x:v>MF-11</x:v>
      </x:c>
      <x:c r="H2515" s="7" t="str"/>
      <x:c r="I2515" s="7" t="str"/>
      <x:c r="J2515" s="7" t="str">
        <x:f>IF(OR(H2515="",I2515=""),"",I2515-H2515)</x:f>
      </x:c>
      <x:c r="K2515" s="7" t="str"/>
      <x:c r="L2515" s="7" t="str"/>
      <x:c r="M2515" s="7" t="str">
        <x:f>IF(L2515="","OPEN",IF(OR(NOT(ISNUMBER(H2515)),NOT(ISNUMBER(I2515)),NOT(ISNUMBER(K2515)),ABS(J2515)&gt;K2515),"FAIL","PASS"))</x:f>
        <x:v>OPEN</x:v>
      </x:c>
    </x:row>
    <x:row r="2516">
      <x:c r="B2516" s="7" t="str">
        <x:v>CAL-CH-PEA-C-Y3-11-2</x:v>
      </x:c>
      <x:c r="C2516" s="7" t="str">
        <x:v>CH-PEA-C-Y3-11-2</x:v>
      </x:c>
      <x:c r="D2516" s="7" t="str">
        <x:v>PEA-C-Y3</x:v>
      </x:c>
      <x:c r="E2516" s="7" t="str">
        <x:v>BLD-C</x:v>
      </x:c>
      <x:c r="F2516" s="7" t="str">
        <x:v>BL-Y</x:v>
      </x:c>
      <x:c r="G2516" s="7" t="str">
        <x:v>MF-11</x:v>
      </x:c>
      <x:c r="H2516" s="7" t="str"/>
      <x:c r="I2516" s="7" t="str"/>
      <x:c r="J2516" s="7" t="str">
        <x:f>IF(OR(H2516="",I2516=""),"",I2516-H2516)</x:f>
      </x:c>
      <x:c r="K2516" s="7" t="str"/>
      <x:c r="L2516" s="7" t="str"/>
      <x:c r="M2516" s="7" t="str">
        <x:f>IF(L2516="","OPEN",IF(OR(NOT(ISNUMBER(H2516)),NOT(ISNUMBER(I2516)),NOT(ISNUMBER(K2516)),ABS(J2516)&gt;K2516),"FAIL","PASS"))</x:f>
        <x:v>OPEN</x:v>
      </x:c>
    </x:row>
    <x:row r="2517">
      <x:c r="B2517" s="7" t="str">
        <x:v>CAL-CH-PEA-C-Y3-11-3</x:v>
      </x:c>
      <x:c r="C2517" s="7" t="str">
        <x:v>CH-PEA-C-Y3-11-3</x:v>
      </x:c>
      <x:c r="D2517" s="7" t="str">
        <x:v>PEA-C-Y3</x:v>
      </x:c>
      <x:c r="E2517" s="7" t="str">
        <x:v>BLD-C</x:v>
      </x:c>
      <x:c r="F2517" s="7" t="str">
        <x:v>BL-Y</x:v>
      </x:c>
      <x:c r="G2517" s="7" t="str">
        <x:v>MF-11</x:v>
      </x:c>
      <x:c r="H2517" s="7" t="str"/>
      <x:c r="I2517" s="7" t="str"/>
      <x:c r="J2517" s="7" t="str">
        <x:f>IF(OR(H2517="",I2517=""),"",I2517-H2517)</x:f>
      </x:c>
      <x:c r="K2517" s="7" t="str"/>
      <x:c r="L2517" s="7" t="str"/>
      <x:c r="M2517" s="7" t="str">
        <x:f>IF(L2517="","OPEN",IF(OR(NOT(ISNUMBER(H2517)),NOT(ISNUMBER(I2517)),NOT(ISNUMBER(K2517)),ABS(J2517)&gt;K2517),"FAIL","PASS"))</x:f>
        <x:v>OPEN</x:v>
      </x:c>
    </x:row>
    <x:row r="2518">
      <x:c r="B2518" s="7" t="str">
        <x:v>CAL-CH-PEA-C-Y3-11-4</x:v>
      </x:c>
      <x:c r="C2518" s="7" t="str">
        <x:v>CH-PEA-C-Y3-11-4</x:v>
      </x:c>
      <x:c r="D2518" s="7" t="str">
        <x:v>PEA-C-Y3</x:v>
      </x:c>
      <x:c r="E2518" s="7" t="str">
        <x:v>BLD-C</x:v>
      </x:c>
      <x:c r="F2518" s="7" t="str">
        <x:v>BL-Y</x:v>
      </x:c>
      <x:c r="G2518" s="7" t="str">
        <x:v>MF-11</x:v>
      </x:c>
      <x:c r="H2518" s="7" t="str"/>
      <x:c r="I2518" s="7" t="str"/>
      <x:c r="J2518" s="7" t="str">
        <x:f>IF(OR(H2518="",I2518=""),"",I2518-H2518)</x:f>
      </x:c>
      <x:c r="K2518" s="7" t="str"/>
      <x:c r="L2518" s="7" t="str"/>
      <x:c r="M2518" s="7" t="str">
        <x:f>IF(L2518="","OPEN",IF(OR(NOT(ISNUMBER(H2518)),NOT(ISNUMBER(I2518)),NOT(ISNUMBER(K2518)),ABS(J2518)&gt;K2518),"FAIL","PASS"))</x:f>
        <x:v>OPEN</x:v>
      </x:c>
    </x:row>
    <x:row r="2519">
      <x:c r="B2519" s="7" t="str">
        <x:v>CAL-CH-PEA-C-Y3-11-5</x:v>
      </x:c>
      <x:c r="C2519" s="7" t="str">
        <x:v>CH-PEA-C-Y3-11-5</x:v>
      </x:c>
      <x:c r="D2519" s="7" t="str">
        <x:v>PEA-C-Y3</x:v>
      </x:c>
      <x:c r="E2519" s="7" t="str">
        <x:v>BLD-C</x:v>
      </x:c>
      <x:c r="F2519" s="7" t="str">
        <x:v>BL-Y</x:v>
      </x:c>
      <x:c r="G2519" s="7" t="str">
        <x:v>MF-11</x:v>
      </x:c>
      <x:c r="H2519" s="7" t="str"/>
      <x:c r="I2519" s="7" t="str"/>
      <x:c r="J2519" s="7" t="str">
        <x:f>IF(OR(H2519="",I2519=""),"",I2519-H2519)</x:f>
      </x:c>
      <x:c r="K2519" s="7" t="str"/>
      <x:c r="L2519" s="7" t="str"/>
      <x:c r="M2519" s="7" t="str">
        <x:f>IF(L2519="","OPEN",IF(OR(NOT(ISNUMBER(H2519)),NOT(ISNUMBER(I2519)),NOT(ISNUMBER(K2519)),ABS(J2519)&gt;K2519),"FAIL","PASS"))</x:f>
        <x:v>OPEN</x:v>
      </x:c>
    </x:row>
    <x:row r="2520">
      <x:c r="B2520" s="7" t="str">
        <x:v>CAL-CH-PEA-C-Y3-11-6</x:v>
      </x:c>
      <x:c r="C2520" s="7" t="str">
        <x:v>CH-PEA-C-Y3-11-6</x:v>
      </x:c>
      <x:c r="D2520" s="7" t="str">
        <x:v>PEA-C-Y3</x:v>
      </x:c>
      <x:c r="E2520" s="7" t="str">
        <x:v>BLD-C</x:v>
      </x:c>
      <x:c r="F2520" s="7" t="str">
        <x:v>BL-Y</x:v>
      </x:c>
      <x:c r="G2520" s="7" t="str">
        <x:v>MF-11</x:v>
      </x:c>
      <x:c r="H2520" s="7" t="str"/>
      <x:c r="I2520" s="7" t="str"/>
      <x:c r="J2520" s="7" t="str">
        <x:f>IF(OR(H2520="",I2520=""),"",I2520-H2520)</x:f>
      </x:c>
      <x:c r="K2520" s="7" t="str"/>
      <x:c r="L2520" s="7" t="str"/>
      <x:c r="M2520" s="7" t="str">
        <x:f>IF(L2520="","OPEN",IF(OR(NOT(ISNUMBER(H2520)),NOT(ISNUMBER(I2520)),NOT(ISNUMBER(K2520)),ABS(J2520)&gt;K2520),"FAIL","PASS"))</x:f>
        <x:v>OPEN</x:v>
      </x:c>
    </x:row>
    <x:row r="2521">
      <x:c r="B2521" s="7" t="str">
        <x:v>CAL-CH-PEA-C-Y3-12-1</x:v>
      </x:c>
      <x:c r="C2521" s="7" t="str">
        <x:v>CH-PEA-C-Y3-12-1</x:v>
      </x:c>
      <x:c r="D2521" s="7" t="str">
        <x:v>PEA-C-Y3</x:v>
      </x:c>
      <x:c r="E2521" s="7" t="str">
        <x:v>BLD-C</x:v>
      </x:c>
      <x:c r="F2521" s="7" t="str">
        <x:v>BL-Y</x:v>
      </x:c>
      <x:c r="G2521" s="7" t="str">
        <x:v>MF-12</x:v>
      </x:c>
      <x:c r="H2521" s="7" t="str"/>
      <x:c r="I2521" s="7" t="str"/>
      <x:c r="J2521" s="7" t="str">
        <x:f>IF(OR(H2521="",I2521=""),"",I2521-H2521)</x:f>
      </x:c>
      <x:c r="K2521" s="7" t="str"/>
      <x:c r="L2521" s="7" t="str"/>
      <x:c r="M2521" s="7" t="str">
        <x:f>IF(L2521="","OPEN",IF(OR(NOT(ISNUMBER(H2521)),NOT(ISNUMBER(I2521)),NOT(ISNUMBER(K2521)),ABS(J2521)&gt;K2521),"FAIL","PASS"))</x:f>
        <x:v>OPEN</x:v>
      </x:c>
    </x:row>
    <x:row r="2522">
      <x:c r="B2522" s="7" t="str">
        <x:v>CAL-CH-PEA-C-Y3-12-2</x:v>
      </x:c>
      <x:c r="C2522" s="7" t="str">
        <x:v>CH-PEA-C-Y3-12-2</x:v>
      </x:c>
      <x:c r="D2522" s="7" t="str">
        <x:v>PEA-C-Y3</x:v>
      </x:c>
      <x:c r="E2522" s="7" t="str">
        <x:v>BLD-C</x:v>
      </x:c>
      <x:c r="F2522" s="7" t="str">
        <x:v>BL-Y</x:v>
      </x:c>
      <x:c r="G2522" s="7" t="str">
        <x:v>MF-12</x:v>
      </x:c>
      <x:c r="H2522" s="7" t="str"/>
      <x:c r="I2522" s="7" t="str"/>
      <x:c r="J2522" s="7" t="str">
        <x:f>IF(OR(H2522="",I2522=""),"",I2522-H2522)</x:f>
      </x:c>
      <x:c r="K2522" s="7" t="str"/>
      <x:c r="L2522" s="7" t="str"/>
      <x:c r="M2522" s="7" t="str">
        <x:f>IF(L2522="","OPEN",IF(OR(NOT(ISNUMBER(H2522)),NOT(ISNUMBER(I2522)),NOT(ISNUMBER(K2522)),ABS(J2522)&gt;K2522),"FAIL","PASS"))</x:f>
        <x:v>OPEN</x:v>
      </x:c>
    </x:row>
    <x:row r="2523">
      <x:c r="B2523" s="7" t="str">
        <x:v>CAL-CH-PEA-C-Y3-12-3</x:v>
      </x:c>
      <x:c r="C2523" s="7" t="str">
        <x:v>CH-PEA-C-Y3-12-3</x:v>
      </x:c>
      <x:c r="D2523" s="7" t="str">
        <x:v>PEA-C-Y3</x:v>
      </x:c>
      <x:c r="E2523" s="7" t="str">
        <x:v>BLD-C</x:v>
      </x:c>
      <x:c r="F2523" s="7" t="str">
        <x:v>BL-Y</x:v>
      </x:c>
      <x:c r="G2523" s="7" t="str">
        <x:v>MF-12</x:v>
      </x:c>
      <x:c r="H2523" s="7" t="str"/>
      <x:c r="I2523" s="7" t="str"/>
      <x:c r="J2523" s="7" t="str">
        <x:f>IF(OR(H2523="",I2523=""),"",I2523-H2523)</x:f>
      </x:c>
      <x:c r="K2523" s="7" t="str"/>
      <x:c r="L2523" s="7" t="str"/>
      <x:c r="M2523" s="7" t="str">
        <x:f>IF(L2523="","OPEN",IF(OR(NOT(ISNUMBER(H2523)),NOT(ISNUMBER(I2523)),NOT(ISNUMBER(K2523)),ABS(J2523)&gt;K2523),"FAIL","PASS"))</x:f>
        <x:v>OPEN</x:v>
      </x:c>
    </x:row>
    <x:row r="2524">
      <x:c r="B2524" s="7" t="str">
        <x:v>CAL-CH-PEA-C-Y3-12-4</x:v>
      </x:c>
      <x:c r="C2524" s="7" t="str">
        <x:v>CH-PEA-C-Y3-12-4</x:v>
      </x:c>
      <x:c r="D2524" s="7" t="str">
        <x:v>PEA-C-Y3</x:v>
      </x:c>
      <x:c r="E2524" s="7" t="str">
        <x:v>BLD-C</x:v>
      </x:c>
      <x:c r="F2524" s="7" t="str">
        <x:v>BL-Y</x:v>
      </x:c>
      <x:c r="G2524" s="7" t="str">
        <x:v>MF-12</x:v>
      </x:c>
      <x:c r="H2524" s="7" t="str"/>
      <x:c r="I2524" s="7" t="str"/>
      <x:c r="J2524" s="7" t="str">
        <x:f>IF(OR(H2524="",I2524=""),"",I2524-H2524)</x:f>
      </x:c>
      <x:c r="K2524" s="7" t="str"/>
      <x:c r="L2524" s="7" t="str"/>
      <x:c r="M2524" s="7" t="str">
        <x:f>IF(L2524="","OPEN",IF(OR(NOT(ISNUMBER(H2524)),NOT(ISNUMBER(I2524)),NOT(ISNUMBER(K2524)),ABS(J2524)&gt;K2524),"FAIL","PASS"))</x:f>
        <x:v>OPEN</x:v>
      </x:c>
    </x:row>
    <x:row r="2525">
      <x:c r="B2525" s="7" t="str">
        <x:v>CAL-CH-PEA-C-Y3-12-5</x:v>
      </x:c>
      <x:c r="C2525" s="7" t="str">
        <x:v>CH-PEA-C-Y3-12-5</x:v>
      </x:c>
      <x:c r="D2525" s="7" t="str">
        <x:v>PEA-C-Y3</x:v>
      </x:c>
      <x:c r="E2525" s="7" t="str">
        <x:v>BLD-C</x:v>
      </x:c>
      <x:c r="F2525" s="7" t="str">
        <x:v>BL-Y</x:v>
      </x:c>
      <x:c r="G2525" s="7" t="str">
        <x:v>MF-12</x:v>
      </x:c>
      <x:c r="H2525" s="7" t="str"/>
      <x:c r="I2525" s="7" t="str"/>
      <x:c r="J2525" s="7" t="str">
        <x:f>IF(OR(H2525="",I2525=""),"",I2525-H2525)</x:f>
      </x:c>
      <x:c r="K2525" s="7" t="str"/>
      <x:c r="L2525" s="7" t="str"/>
      <x:c r="M2525" s="7" t="str">
        <x:f>IF(L2525="","OPEN",IF(OR(NOT(ISNUMBER(H2525)),NOT(ISNUMBER(I2525)),NOT(ISNUMBER(K2525)),ABS(J2525)&gt;K2525),"FAIL","PASS"))</x:f>
        <x:v>OPEN</x:v>
      </x:c>
    </x:row>
    <x:row r="2526">
      <x:c r="B2526" s="7" t="str">
        <x:v>CAL-CH-PEA-C-Y3-12-6</x:v>
      </x:c>
      <x:c r="C2526" s="7" t="str">
        <x:v>CH-PEA-C-Y3-12-6</x:v>
      </x:c>
      <x:c r="D2526" s="7" t="str">
        <x:v>PEA-C-Y3</x:v>
      </x:c>
      <x:c r="E2526" s="7" t="str">
        <x:v>BLD-C</x:v>
      </x:c>
      <x:c r="F2526" s="7" t="str">
        <x:v>BL-Y</x:v>
      </x:c>
      <x:c r="G2526" s="7" t="str">
        <x:v>MF-12</x:v>
      </x:c>
      <x:c r="H2526" s="7" t="str"/>
      <x:c r="I2526" s="7" t="str"/>
      <x:c r="J2526" s="7" t="str">
        <x:f>IF(OR(H2526="",I2526=""),"",I2526-H2526)</x:f>
      </x:c>
      <x:c r="K2526" s="7" t="str"/>
      <x:c r="L2526" s="7" t="str"/>
      <x:c r="M2526" s="7" t="str">
        <x:f>IF(L2526="","OPEN",IF(OR(NOT(ISNUMBER(H2526)),NOT(ISNUMBER(I2526)),NOT(ISNUMBER(K2526)),ABS(J2526)&gt;K2526),"FAIL","PASS"))</x:f>
        <x:v>OPEN</x:v>
      </x:c>
    </x:row>
    <x:row r="2527">
      <x:c r="B2527" s="7" t="str">
        <x:v>CAL-CH-PEA-C-Y3-13-1</x:v>
      </x:c>
      <x:c r="C2527" s="7" t="str">
        <x:v>CH-PEA-C-Y3-13-1</x:v>
      </x:c>
      <x:c r="D2527" s="7" t="str">
        <x:v>PEA-C-Y3</x:v>
      </x:c>
      <x:c r="E2527" s="7" t="str">
        <x:v>BLD-C</x:v>
      </x:c>
      <x:c r="F2527" s="7" t="str">
        <x:v>BL-Y</x:v>
      </x:c>
      <x:c r="G2527" s="7" t="str">
        <x:v>MF-13</x:v>
      </x:c>
      <x:c r="H2527" s="7" t="str"/>
      <x:c r="I2527" s="7" t="str"/>
      <x:c r="J2527" s="7" t="str">
        <x:f>IF(OR(H2527="",I2527=""),"",I2527-H2527)</x:f>
      </x:c>
      <x:c r="K2527" s="7" t="str"/>
      <x:c r="L2527" s="7" t="str"/>
      <x:c r="M2527" s="7" t="str">
        <x:f>IF(L2527="","OPEN",IF(OR(NOT(ISNUMBER(H2527)),NOT(ISNUMBER(I2527)),NOT(ISNUMBER(K2527)),ABS(J2527)&gt;K2527),"FAIL","PASS"))</x:f>
        <x:v>OPEN</x:v>
      </x:c>
    </x:row>
    <x:row r="2528">
      <x:c r="B2528" s="7" t="str">
        <x:v>CAL-CH-PEA-C-Y3-13-2</x:v>
      </x:c>
      <x:c r="C2528" s="7" t="str">
        <x:v>CH-PEA-C-Y3-13-2</x:v>
      </x:c>
      <x:c r="D2528" s="7" t="str">
        <x:v>PEA-C-Y3</x:v>
      </x:c>
      <x:c r="E2528" s="7" t="str">
        <x:v>BLD-C</x:v>
      </x:c>
      <x:c r="F2528" s="7" t="str">
        <x:v>BL-Y</x:v>
      </x:c>
      <x:c r="G2528" s="7" t="str">
        <x:v>MF-13</x:v>
      </x:c>
      <x:c r="H2528" s="7" t="str"/>
      <x:c r="I2528" s="7" t="str"/>
      <x:c r="J2528" s="7" t="str">
        <x:f>IF(OR(H2528="",I2528=""),"",I2528-H2528)</x:f>
      </x:c>
      <x:c r="K2528" s="7" t="str"/>
      <x:c r="L2528" s="7" t="str"/>
      <x:c r="M2528" s="7" t="str">
        <x:f>IF(L2528="","OPEN",IF(OR(NOT(ISNUMBER(H2528)),NOT(ISNUMBER(I2528)),NOT(ISNUMBER(K2528)),ABS(J2528)&gt;K2528),"FAIL","PASS"))</x:f>
        <x:v>OPEN</x:v>
      </x:c>
    </x:row>
    <x:row r="2529">
      <x:c r="B2529" s="7" t="str">
        <x:v>CAL-CH-PEA-C-Y3-13-3</x:v>
      </x:c>
      <x:c r="C2529" s="7" t="str">
        <x:v>CH-PEA-C-Y3-13-3</x:v>
      </x:c>
      <x:c r="D2529" s="7" t="str">
        <x:v>PEA-C-Y3</x:v>
      </x:c>
      <x:c r="E2529" s="7" t="str">
        <x:v>BLD-C</x:v>
      </x:c>
      <x:c r="F2529" s="7" t="str">
        <x:v>BL-Y</x:v>
      </x:c>
      <x:c r="G2529" s="7" t="str">
        <x:v>MF-13</x:v>
      </x:c>
      <x:c r="H2529" s="7" t="str"/>
      <x:c r="I2529" s="7" t="str"/>
      <x:c r="J2529" s="7" t="str">
        <x:f>IF(OR(H2529="",I2529=""),"",I2529-H2529)</x:f>
      </x:c>
      <x:c r="K2529" s="7" t="str"/>
      <x:c r="L2529" s="7" t="str"/>
      <x:c r="M2529" s="7" t="str">
        <x:f>IF(L2529="","OPEN",IF(OR(NOT(ISNUMBER(H2529)),NOT(ISNUMBER(I2529)),NOT(ISNUMBER(K2529)),ABS(J2529)&gt;K2529),"FAIL","PASS"))</x:f>
        <x:v>OPEN</x:v>
      </x:c>
    </x:row>
    <x:row r="2530">
      <x:c r="B2530" s="7" t="str">
        <x:v>CAL-CH-PEA-C-Y3-13-4</x:v>
      </x:c>
      <x:c r="C2530" s="7" t="str">
        <x:v>CH-PEA-C-Y3-13-4</x:v>
      </x:c>
      <x:c r="D2530" s="7" t="str">
        <x:v>PEA-C-Y3</x:v>
      </x:c>
      <x:c r="E2530" s="7" t="str">
        <x:v>BLD-C</x:v>
      </x:c>
      <x:c r="F2530" s="7" t="str">
        <x:v>BL-Y</x:v>
      </x:c>
      <x:c r="G2530" s="7" t="str">
        <x:v>MF-13</x:v>
      </x:c>
      <x:c r="H2530" s="7" t="str"/>
      <x:c r="I2530" s="7" t="str"/>
      <x:c r="J2530" s="7" t="str">
        <x:f>IF(OR(H2530="",I2530=""),"",I2530-H2530)</x:f>
      </x:c>
      <x:c r="K2530" s="7" t="str"/>
      <x:c r="L2530" s="7" t="str"/>
      <x:c r="M2530" s="7" t="str">
        <x:f>IF(L2530="","OPEN",IF(OR(NOT(ISNUMBER(H2530)),NOT(ISNUMBER(I2530)),NOT(ISNUMBER(K2530)),ABS(J2530)&gt;K2530),"FAIL","PASS"))</x:f>
        <x:v>OPEN</x:v>
      </x:c>
    </x:row>
    <x:row r="2531">
      <x:c r="B2531" s="7" t="str">
        <x:v>CAL-CH-PEA-C-Y3-13-5</x:v>
      </x:c>
      <x:c r="C2531" s="7" t="str">
        <x:v>CH-PEA-C-Y3-13-5</x:v>
      </x:c>
      <x:c r="D2531" s="7" t="str">
        <x:v>PEA-C-Y3</x:v>
      </x:c>
      <x:c r="E2531" s="7" t="str">
        <x:v>BLD-C</x:v>
      </x:c>
      <x:c r="F2531" s="7" t="str">
        <x:v>BL-Y</x:v>
      </x:c>
      <x:c r="G2531" s="7" t="str">
        <x:v>MF-13</x:v>
      </x:c>
      <x:c r="H2531" s="7" t="str"/>
      <x:c r="I2531" s="7" t="str"/>
      <x:c r="J2531" s="7" t="str">
        <x:f>IF(OR(H2531="",I2531=""),"",I2531-H2531)</x:f>
      </x:c>
      <x:c r="K2531" s="7" t="str"/>
      <x:c r="L2531" s="7" t="str"/>
      <x:c r="M2531" s="7" t="str">
        <x:f>IF(L2531="","OPEN",IF(OR(NOT(ISNUMBER(H2531)),NOT(ISNUMBER(I2531)),NOT(ISNUMBER(K2531)),ABS(J2531)&gt;K2531),"FAIL","PASS"))</x:f>
        <x:v>OPEN</x:v>
      </x:c>
    </x:row>
    <x:row r="2532">
      <x:c r="B2532" s="7" t="str">
        <x:v>CAL-CH-PEA-C-Y3-13-6</x:v>
      </x:c>
      <x:c r="C2532" s="7" t="str">
        <x:v>CH-PEA-C-Y3-13-6</x:v>
      </x:c>
      <x:c r="D2532" s="7" t="str">
        <x:v>PEA-C-Y3</x:v>
      </x:c>
      <x:c r="E2532" s="7" t="str">
        <x:v>BLD-C</x:v>
      </x:c>
      <x:c r="F2532" s="7" t="str">
        <x:v>BL-Y</x:v>
      </x:c>
      <x:c r="G2532" s="7" t="str">
        <x:v>MF-13</x:v>
      </x:c>
      <x:c r="H2532" s="7" t="str"/>
      <x:c r="I2532" s="7" t="str"/>
      <x:c r="J2532" s="7" t="str">
        <x:f>IF(OR(H2532="",I2532=""),"",I2532-H2532)</x:f>
      </x:c>
      <x:c r="K2532" s="7" t="str"/>
      <x:c r="L2532" s="7" t="str"/>
      <x:c r="M2532" s="7" t="str">
        <x:f>IF(L2532="","OPEN",IF(OR(NOT(ISNUMBER(H2532)),NOT(ISNUMBER(I2532)),NOT(ISNUMBER(K2532)),ABS(J2532)&gt;K2532),"FAIL","PASS"))</x:f>
        <x:v>OPEN</x:v>
      </x:c>
    </x:row>
    <x:row r="2533">
      <x:c r="B2533" s="7" t="str">
        <x:v>CAL-CH-PEA-C-Y3-14-1</x:v>
      </x:c>
      <x:c r="C2533" s="7" t="str">
        <x:v>CH-PEA-C-Y3-14-1</x:v>
      </x:c>
      <x:c r="D2533" s="7" t="str">
        <x:v>PEA-C-Y3</x:v>
      </x:c>
      <x:c r="E2533" s="7" t="str">
        <x:v>BLD-C</x:v>
      </x:c>
      <x:c r="F2533" s="7" t="str">
        <x:v>BL-Y</x:v>
      </x:c>
      <x:c r="G2533" s="7" t="str">
        <x:v>MF-14</x:v>
      </x:c>
      <x:c r="H2533" s="7" t="str"/>
      <x:c r="I2533" s="7" t="str"/>
      <x:c r="J2533" s="7" t="str">
        <x:f>IF(OR(H2533="",I2533=""),"",I2533-H2533)</x:f>
      </x:c>
      <x:c r="K2533" s="7" t="str"/>
      <x:c r="L2533" s="7" t="str"/>
      <x:c r="M2533" s="7" t="str">
        <x:f>IF(L2533="","OPEN",IF(OR(NOT(ISNUMBER(H2533)),NOT(ISNUMBER(I2533)),NOT(ISNUMBER(K2533)),ABS(J2533)&gt;K2533),"FAIL","PASS"))</x:f>
        <x:v>OPEN</x:v>
      </x:c>
    </x:row>
    <x:row r="2534">
      <x:c r="B2534" s="7" t="str">
        <x:v>CAL-CH-PEA-C-Y3-14-2</x:v>
      </x:c>
      <x:c r="C2534" s="7" t="str">
        <x:v>CH-PEA-C-Y3-14-2</x:v>
      </x:c>
      <x:c r="D2534" s="7" t="str">
        <x:v>PEA-C-Y3</x:v>
      </x:c>
      <x:c r="E2534" s="7" t="str">
        <x:v>BLD-C</x:v>
      </x:c>
      <x:c r="F2534" s="7" t="str">
        <x:v>BL-Y</x:v>
      </x:c>
      <x:c r="G2534" s="7" t="str">
        <x:v>MF-14</x:v>
      </x:c>
      <x:c r="H2534" s="7" t="str"/>
      <x:c r="I2534" s="7" t="str"/>
      <x:c r="J2534" s="7" t="str">
        <x:f>IF(OR(H2534="",I2534=""),"",I2534-H2534)</x:f>
      </x:c>
      <x:c r="K2534" s="7" t="str"/>
      <x:c r="L2534" s="7" t="str"/>
      <x:c r="M2534" s="7" t="str">
        <x:f>IF(L2534="","OPEN",IF(OR(NOT(ISNUMBER(H2534)),NOT(ISNUMBER(I2534)),NOT(ISNUMBER(K2534)),ABS(J2534)&gt;K2534),"FAIL","PASS"))</x:f>
        <x:v>OPEN</x:v>
      </x:c>
    </x:row>
    <x:row r="2535">
      <x:c r="B2535" s="7" t="str">
        <x:v>CAL-CH-PEA-C-Y3-14-3</x:v>
      </x:c>
      <x:c r="C2535" s="7" t="str">
        <x:v>CH-PEA-C-Y3-14-3</x:v>
      </x:c>
      <x:c r="D2535" s="7" t="str">
        <x:v>PEA-C-Y3</x:v>
      </x:c>
      <x:c r="E2535" s="7" t="str">
        <x:v>BLD-C</x:v>
      </x:c>
      <x:c r="F2535" s="7" t="str">
        <x:v>BL-Y</x:v>
      </x:c>
      <x:c r="G2535" s="7" t="str">
        <x:v>MF-14</x:v>
      </x:c>
      <x:c r="H2535" s="7" t="str"/>
      <x:c r="I2535" s="7" t="str"/>
      <x:c r="J2535" s="7" t="str">
        <x:f>IF(OR(H2535="",I2535=""),"",I2535-H2535)</x:f>
      </x:c>
      <x:c r="K2535" s="7" t="str"/>
      <x:c r="L2535" s="7" t="str"/>
      <x:c r="M2535" s="7" t="str">
        <x:f>IF(L2535="","OPEN",IF(OR(NOT(ISNUMBER(H2535)),NOT(ISNUMBER(I2535)),NOT(ISNUMBER(K2535)),ABS(J2535)&gt;K2535),"FAIL","PASS"))</x:f>
        <x:v>OPEN</x:v>
      </x:c>
    </x:row>
    <x:row r="2536">
      <x:c r="B2536" s="7" t="str">
        <x:v>CAL-CH-PEA-C-Y3-14-4</x:v>
      </x:c>
      <x:c r="C2536" s="7" t="str">
        <x:v>CH-PEA-C-Y3-14-4</x:v>
      </x:c>
      <x:c r="D2536" s="7" t="str">
        <x:v>PEA-C-Y3</x:v>
      </x:c>
      <x:c r="E2536" s="7" t="str">
        <x:v>BLD-C</x:v>
      </x:c>
      <x:c r="F2536" s="7" t="str">
        <x:v>BL-Y</x:v>
      </x:c>
      <x:c r="G2536" s="7" t="str">
        <x:v>MF-14</x:v>
      </x:c>
      <x:c r="H2536" s="7" t="str"/>
      <x:c r="I2536" s="7" t="str"/>
      <x:c r="J2536" s="7" t="str">
        <x:f>IF(OR(H2536="",I2536=""),"",I2536-H2536)</x:f>
      </x:c>
      <x:c r="K2536" s="7" t="str"/>
      <x:c r="L2536" s="7" t="str"/>
      <x:c r="M2536" s="7" t="str">
        <x:f>IF(L2536="","OPEN",IF(OR(NOT(ISNUMBER(H2536)),NOT(ISNUMBER(I2536)),NOT(ISNUMBER(K2536)),ABS(J2536)&gt;K2536),"FAIL","PASS"))</x:f>
        <x:v>OPEN</x:v>
      </x:c>
    </x:row>
    <x:row r="2537">
      <x:c r="B2537" s="7" t="str">
        <x:v>CAL-CH-PEA-C-Y3-14-5</x:v>
      </x:c>
      <x:c r="C2537" s="7" t="str">
        <x:v>CH-PEA-C-Y3-14-5</x:v>
      </x:c>
      <x:c r="D2537" s="7" t="str">
        <x:v>PEA-C-Y3</x:v>
      </x:c>
      <x:c r="E2537" s="7" t="str">
        <x:v>BLD-C</x:v>
      </x:c>
      <x:c r="F2537" s="7" t="str">
        <x:v>BL-Y</x:v>
      </x:c>
      <x:c r="G2537" s="7" t="str">
        <x:v>MF-14</x:v>
      </x:c>
      <x:c r="H2537" s="7" t="str"/>
      <x:c r="I2537" s="7" t="str"/>
      <x:c r="J2537" s="7" t="str">
        <x:f>IF(OR(H2537="",I2537=""),"",I2537-H2537)</x:f>
      </x:c>
      <x:c r="K2537" s="7" t="str"/>
      <x:c r="L2537" s="7" t="str"/>
      <x:c r="M2537" s="7" t="str">
        <x:f>IF(L2537="","OPEN",IF(OR(NOT(ISNUMBER(H2537)),NOT(ISNUMBER(I2537)),NOT(ISNUMBER(K2537)),ABS(J2537)&gt;K2537),"FAIL","PASS"))</x:f>
        <x:v>OPEN</x:v>
      </x:c>
    </x:row>
    <x:row r="2538">
      <x:c r="B2538" s="7" t="str">
        <x:v>CAL-CH-PEA-C-Y3-14-6</x:v>
      </x:c>
      <x:c r="C2538" s="7" t="str">
        <x:v>CH-PEA-C-Y3-14-6</x:v>
      </x:c>
      <x:c r="D2538" s="7" t="str">
        <x:v>PEA-C-Y3</x:v>
      </x:c>
      <x:c r="E2538" s="7" t="str">
        <x:v>BLD-C</x:v>
      </x:c>
      <x:c r="F2538" s="7" t="str">
        <x:v>BL-Y</x:v>
      </x:c>
      <x:c r="G2538" s="7" t="str">
        <x:v>MF-14</x:v>
      </x:c>
      <x:c r="H2538" s="7" t="str"/>
      <x:c r="I2538" s="7" t="str"/>
      <x:c r="J2538" s="7" t="str">
        <x:f>IF(OR(H2538="",I2538=""),"",I2538-H2538)</x:f>
      </x:c>
      <x:c r="K2538" s="7" t="str"/>
      <x:c r="L2538" s="7" t="str"/>
      <x:c r="M2538" s="7" t="str">
        <x:f>IF(L2538="","OPEN",IF(OR(NOT(ISNUMBER(H2538)),NOT(ISNUMBER(I2538)),NOT(ISNUMBER(K2538)),ABS(J2538)&gt;K2538),"FAIL","PASS"))</x:f>
        <x:v>OPEN</x:v>
      </x:c>
    </x:row>
    <x:row r="2539">
      <x:c r="B2539" s="7" t="str">
        <x:v>CAL-CH-PEA-C-Y3-15-1</x:v>
      </x:c>
      <x:c r="C2539" s="7" t="str">
        <x:v>CH-PEA-C-Y3-15-1</x:v>
      </x:c>
      <x:c r="D2539" s="7" t="str">
        <x:v>PEA-C-Y3</x:v>
      </x:c>
      <x:c r="E2539" s="7" t="str">
        <x:v>BLD-C</x:v>
      </x:c>
      <x:c r="F2539" s="7" t="str">
        <x:v>BL-Y</x:v>
      </x:c>
      <x:c r="G2539" s="7" t="str">
        <x:v>MF-15</x:v>
      </x:c>
      <x:c r="H2539" s="7" t="str"/>
      <x:c r="I2539" s="7" t="str"/>
      <x:c r="J2539" s="7" t="str">
        <x:f>IF(OR(H2539="",I2539=""),"",I2539-H2539)</x:f>
      </x:c>
      <x:c r="K2539" s="7" t="str"/>
      <x:c r="L2539" s="7" t="str"/>
      <x:c r="M2539" s="7" t="str">
        <x:f>IF(L2539="","OPEN",IF(OR(NOT(ISNUMBER(H2539)),NOT(ISNUMBER(I2539)),NOT(ISNUMBER(K2539)),ABS(J2539)&gt;K2539),"FAIL","PASS"))</x:f>
        <x:v>OPEN</x:v>
      </x:c>
    </x:row>
    <x:row r="2540">
      <x:c r="B2540" s="7" t="str">
        <x:v>CAL-CH-PEA-C-Y3-15-2</x:v>
      </x:c>
      <x:c r="C2540" s="7" t="str">
        <x:v>CH-PEA-C-Y3-15-2</x:v>
      </x:c>
      <x:c r="D2540" s="7" t="str">
        <x:v>PEA-C-Y3</x:v>
      </x:c>
      <x:c r="E2540" s="7" t="str">
        <x:v>BLD-C</x:v>
      </x:c>
      <x:c r="F2540" s="7" t="str">
        <x:v>BL-Y</x:v>
      </x:c>
      <x:c r="G2540" s="7" t="str">
        <x:v>MF-15</x:v>
      </x:c>
      <x:c r="H2540" s="7" t="str"/>
      <x:c r="I2540" s="7" t="str"/>
      <x:c r="J2540" s="7" t="str">
        <x:f>IF(OR(H2540="",I2540=""),"",I2540-H2540)</x:f>
      </x:c>
      <x:c r="K2540" s="7" t="str"/>
      <x:c r="L2540" s="7" t="str"/>
      <x:c r="M2540" s="7" t="str">
        <x:f>IF(L2540="","OPEN",IF(OR(NOT(ISNUMBER(H2540)),NOT(ISNUMBER(I2540)),NOT(ISNUMBER(K2540)),ABS(J2540)&gt;K2540),"FAIL","PASS"))</x:f>
        <x:v>OPEN</x:v>
      </x:c>
    </x:row>
    <x:row r="2541">
      <x:c r="B2541" s="7" t="str">
        <x:v>CAL-CH-PEA-C-Y3-15-3</x:v>
      </x:c>
      <x:c r="C2541" s="7" t="str">
        <x:v>CH-PEA-C-Y3-15-3</x:v>
      </x:c>
      <x:c r="D2541" s="7" t="str">
        <x:v>PEA-C-Y3</x:v>
      </x:c>
      <x:c r="E2541" s="7" t="str">
        <x:v>BLD-C</x:v>
      </x:c>
      <x:c r="F2541" s="7" t="str">
        <x:v>BL-Y</x:v>
      </x:c>
      <x:c r="G2541" s="7" t="str">
        <x:v>MF-15</x:v>
      </x:c>
      <x:c r="H2541" s="7" t="str"/>
      <x:c r="I2541" s="7" t="str"/>
      <x:c r="J2541" s="7" t="str">
        <x:f>IF(OR(H2541="",I2541=""),"",I2541-H2541)</x:f>
      </x:c>
      <x:c r="K2541" s="7" t="str"/>
      <x:c r="L2541" s="7" t="str"/>
      <x:c r="M2541" s="7" t="str">
        <x:f>IF(L2541="","OPEN",IF(OR(NOT(ISNUMBER(H2541)),NOT(ISNUMBER(I2541)),NOT(ISNUMBER(K2541)),ABS(J2541)&gt;K2541),"FAIL","PASS"))</x:f>
        <x:v>OPEN</x:v>
      </x:c>
    </x:row>
    <x:row r="2542">
      <x:c r="B2542" s="7" t="str">
        <x:v>CAL-CH-PEA-C-Y3-15-4</x:v>
      </x:c>
      <x:c r="C2542" s="7" t="str">
        <x:v>CH-PEA-C-Y3-15-4</x:v>
      </x:c>
      <x:c r="D2542" s="7" t="str">
        <x:v>PEA-C-Y3</x:v>
      </x:c>
      <x:c r="E2542" s="7" t="str">
        <x:v>BLD-C</x:v>
      </x:c>
      <x:c r="F2542" s="7" t="str">
        <x:v>BL-Y</x:v>
      </x:c>
      <x:c r="G2542" s="7" t="str">
        <x:v>MF-15</x:v>
      </x:c>
      <x:c r="H2542" s="7" t="str"/>
      <x:c r="I2542" s="7" t="str"/>
      <x:c r="J2542" s="7" t="str">
        <x:f>IF(OR(H2542="",I2542=""),"",I2542-H2542)</x:f>
      </x:c>
      <x:c r="K2542" s="7" t="str"/>
      <x:c r="L2542" s="7" t="str"/>
      <x:c r="M2542" s="7" t="str">
        <x:f>IF(L2542="","OPEN",IF(OR(NOT(ISNUMBER(H2542)),NOT(ISNUMBER(I2542)),NOT(ISNUMBER(K2542)),ABS(J2542)&gt;K2542),"FAIL","PASS"))</x:f>
        <x:v>OPEN</x:v>
      </x:c>
    </x:row>
    <x:row r="2543">
      <x:c r="B2543" s="7" t="str">
        <x:v>CAL-CH-PEA-C-Y3-15-5</x:v>
      </x:c>
      <x:c r="C2543" s="7" t="str">
        <x:v>CH-PEA-C-Y3-15-5</x:v>
      </x:c>
      <x:c r="D2543" s="7" t="str">
        <x:v>PEA-C-Y3</x:v>
      </x:c>
      <x:c r="E2543" s="7" t="str">
        <x:v>BLD-C</x:v>
      </x:c>
      <x:c r="F2543" s="7" t="str">
        <x:v>BL-Y</x:v>
      </x:c>
      <x:c r="G2543" s="7" t="str">
        <x:v>MF-15</x:v>
      </x:c>
      <x:c r="H2543" s="7" t="str"/>
      <x:c r="I2543" s="7" t="str"/>
      <x:c r="J2543" s="7" t="str">
        <x:f>IF(OR(H2543="",I2543=""),"",I2543-H2543)</x:f>
      </x:c>
      <x:c r="K2543" s="7" t="str"/>
      <x:c r="L2543" s="7" t="str"/>
      <x:c r="M2543" s="7" t="str">
        <x:f>IF(L2543="","OPEN",IF(OR(NOT(ISNUMBER(H2543)),NOT(ISNUMBER(I2543)),NOT(ISNUMBER(K2543)),ABS(J2543)&gt;K2543),"FAIL","PASS"))</x:f>
        <x:v>OPEN</x:v>
      </x:c>
    </x:row>
    <x:row r="2544">
      <x:c r="B2544" s="7" t="str">
        <x:v>CAL-CH-PEA-C-Y3-15-6</x:v>
      </x:c>
      <x:c r="C2544" s="7" t="str">
        <x:v>CH-PEA-C-Y3-15-6</x:v>
      </x:c>
      <x:c r="D2544" s="7" t="str">
        <x:v>PEA-C-Y3</x:v>
      </x:c>
      <x:c r="E2544" s="7" t="str">
        <x:v>BLD-C</x:v>
      </x:c>
      <x:c r="F2544" s="7" t="str">
        <x:v>BL-Y</x:v>
      </x:c>
      <x:c r="G2544" s="7" t="str">
        <x:v>MF-15</x:v>
      </x:c>
      <x:c r="H2544" s="7" t="str"/>
      <x:c r="I2544" s="7" t="str"/>
      <x:c r="J2544" s="7" t="str">
        <x:f>IF(OR(H2544="",I2544=""),"",I2544-H2544)</x:f>
      </x:c>
      <x:c r="K2544" s="7" t="str"/>
      <x:c r="L2544" s="7" t="str"/>
      <x:c r="M2544" s="7" t="str">
        <x:f>IF(L2544="","OPEN",IF(OR(NOT(ISNUMBER(H2544)),NOT(ISNUMBER(I2544)),NOT(ISNUMBER(K2544)),ABS(J2544)&gt;K2544),"FAIL","PASS"))</x:f>
        <x:v>OPEN</x:v>
      </x:c>
    </x:row>
    <x:row r="2545">
      <x:c r="B2545" s="7" t="str">
        <x:v>CAL-CH-PEA-C-Y3-16-1</x:v>
      </x:c>
      <x:c r="C2545" s="7" t="str">
        <x:v>CH-PEA-C-Y3-16-1</x:v>
      </x:c>
      <x:c r="D2545" s="7" t="str">
        <x:v>PEA-C-Y3</x:v>
      </x:c>
      <x:c r="E2545" s="7" t="str">
        <x:v>BLD-C</x:v>
      </x:c>
      <x:c r="F2545" s="7" t="str">
        <x:v>BL-Y</x:v>
      </x:c>
      <x:c r="G2545" s="7" t="str">
        <x:v>MF-16</x:v>
      </x:c>
      <x:c r="H2545" s="7" t="str"/>
      <x:c r="I2545" s="7" t="str"/>
      <x:c r="J2545" s="7" t="str">
        <x:f>IF(OR(H2545="",I2545=""),"",I2545-H2545)</x:f>
      </x:c>
      <x:c r="K2545" s="7" t="str"/>
      <x:c r="L2545" s="7" t="str"/>
      <x:c r="M2545" s="7" t="str">
        <x:f>IF(L2545="","OPEN",IF(OR(NOT(ISNUMBER(H2545)),NOT(ISNUMBER(I2545)),NOT(ISNUMBER(K2545)),ABS(J2545)&gt;K2545),"FAIL","PASS"))</x:f>
        <x:v>OPEN</x:v>
      </x:c>
    </x:row>
    <x:row r="2546">
      <x:c r="B2546" s="7" t="str">
        <x:v>CAL-CH-PEA-C-Y3-16-2</x:v>
      </x:c>
      <x:c r="C2546" s="7" t="str">
        <x:v>CH-PEA-C-Y3-16-2</x:v>
      </x:c>
      <x:c r="D2546" s="7" t="str">
        <x:v>PEA-C-Y3</x:v>
      </x:c>
      <x:c r="E2546" s="7" t="str">
        <x:v>BLD-C</x:v>
      </x:c>
      <x:c r="F2546" s="7" t="str">
        <x:v>BL-Y</x:v>
      </x:c>
      <x:c r="G2546" s="7" t="str">
        <x:v>MF-16</x:v>
      </x:c>
      <x:c r="H2546" s="7" t="str"/>
      <x:c r="I2546" s="7" t="str"/>
      <x:c r="J2546" s="7" t="str">
        <x:f>IF(OR(H2546="",I2546=""),"",I2546-H2546)</x:f>
      </x:c>
      <x:c r="K2546" s="7" t="str"/>
      <x:c r="L2546" s="7" t="str"/>
      <x:c r="M2546" s="7" t="str">
        <x:f>IF(L2546="","OPEN",IF(OR(NOT(ISNUMBER(H2546)),NOT(ISNUMBER(I2546)),NOT(ISNUMBER(K2546)),ABS(J2546)&gt;K2546),"FAIL","PASS"))</x:f>
        <x:v>OPEN</x:v>
      </x:c>
    </x:row>
    <x:row r="2547">
      <x:c r="B2547" s="7" t="str">
        <x:v>CAL-CH-PEA-C-Y3-16-3</x:v>
      </x:c>
      <x:c r="C2547" s="7" t="str">
        <x:v>CH-PEA-C-Y3-16-3</x:v>
      </x:c>
      <x:c r="D2547" s="7" t="str">
        <x:v>PEA-C-Y3</x:v>
      </x:c>
      <x:c r="E2547" s="7" t="str">
        <x:v>BLD-C</x:v>
      </x:c>
      <x:c r="F2547" s="7" t="str">
        <x:v>BL-Y</x:v>
      </x:c>
      <x:c r="G2547" s="7" t="str">
        <x:v>MF-16</x:v>
      </x:c>
      <x:c r="H2547" s="7" t="str"/>
      <x:c r="I2547" s="7" t="str"/>
      <x:c r="J2547" s="7" t="str">
        <x:f>IF(OR(H2547="",I2547=""),"",I2547-H2547)</x:f>
      </x:c>
      <x:c r="K2547" s="7" t="str"/>
      <x:c r="L2547" s="7" t="str"/>
      <x:c r="M2547" s="7" t="str">
        <x:f>IF(L2547="","OPEN",IF(OR(NOT(ISNUMBER(H2547)),NOT(ISNUMBER(I2547)),NOT(ISNUMBER(K2547)),ABS(J2547)&gt;K2547),"FAIL","PASS"))</x:f>
        <x:v>OPEN</x:v>
      </x:c>
    </x:row>
    <x:row r="2548">
      <x:c r="B2548" s="7" t="str">
        <x:v>CAL-CH-PEA-C-Y3-16-4</x:v>
      </x:c>
      <x:c r="C2548" s="7" t="str">
        <x:v>CH-PEA-C-Y3-16-4</x:v>
      </x:c>
      <x:c r="D2548" s="7" t="str">
        <x:v>PEA-C-Y3</x:v>
      </x:c>
      <x:c r="E2548" s="7" t="str">
        <x:v>BLD-C</x:v>
      </x:c>
      <x:c r="F2548" s="7" t="str">
        <x:v>BL-Y</x:v>
      </x:c>
      <x:c r="G2548" s="7" t="str">
        <x:v>MF-16</x:v>
      </x:c>
      <x:c r="H2548" s="7" t="str"/>
      <x:c r="I2548" s="7" t="str"/>
      <x:c r="J2548" s="7" t="str">
        <x:f>IF(OR(H2548="",I2548=""),"",I2548-H2548)</x:f>
      </x:c>
      <x:c r="K2548" s="7" t="str"/>
      <x:c r="L2548" s="7" t="str"/>
      <x:c r="M2548" s="7" t="str">
        <x:f>IF(L2548="","OPEN",IF(OR(NOT(ISNUMBER(H2548)),NOT(ISNUMBER(I2548)),NOT(ISNUMBER(K2548)),ABS(J2548)&gt;K2548),"FAIL","PASS"))</x:f>
        <x:v>OPEN</x:v>
      </x:c>
    </x:row>
    <x:row r="2549">
      <x:c r="B2549" s="7" t="str">
        <x:v>CAL-CH-PEA-C-Y3-16-5</x:v>
      </x:c>
      <x:c r="C2549" s="7" t="str">
        <x:v>CH-PEA-C-Y3-16-5</x:v>
      </x:c>
      <x:c r="D2549" s="7" t="str">
        <x:v>PEA-C-Y3</x:v>
      </x:c>
      <x:c r="E2549" s="7" t="str">
        <x:v>BLD-C</x:v>
      </x:c>
      <x:c r="F2549" s="7" t="str">
        <x:v>BL-Y</x:v>
      </x:c>
      <x:c r="G2549" s="7" t="str">
        <x:v>MF-16</x:v>
      </x:c>
      <x:c r="H2549" s="7" t="str"/>
      <x:c r="I2549" s="7" t="str"/>
      <x:c r="J2549" s="7" t="str">
        <x:f>IF(OR(H2549="",I2549=""),"",I2549-H2549)</x:f>
      </x:c>
      <x:c r="K2549" s="7" t="str"/>
      <x:c r="L2549" s="7" t="str"/>
      <x:c r="M2549" s="7" t="str">
        <x:f>IF(L2549="","OPEN",IF(OR(NOT(ISNUMBER(H2549)),NOT(ISNUMBER(I2549)),NOT(ISNUMBER(K2549)),ABS(J2549)&gt;K2549),"FAIL","PASS"))</x:f>
        <x:v>OPEN</x:v>
      </x:c>
    </x:row>
    <x:row r="2550">
      <x:c r="B2550" s="7" t="str">
        <x:v>CAL-CH-PEA-C-Y3-16-6</x:v>
      </x:c>
      <x:c r="C2550" s="7" t="str">
        <x:v>CH-PEA-C-Y3-16-6</x:v>
      </x:c>
      <x:c r="D2550" s="7" t="str">
        <x:v>PEA-C-Y3</x:v>
      </x:c>
      <x:c r="E2550" s="7" t="str">
        <x:v>BLD-C</x:v>
      </x:c>
      <x:c r="F2550" s="7" t="str">
        <x:v>BL-Y</x:v>
      </x:c>
      <x:c r="G2550" s="7" t="str">
        <x:v>MF-16</x:v>
      </x:c>
      <x:c r="H2550" s="7" t="str"/>
      <x:c r="I2550" s="7" t="str"/>
      <x:c r="J2550" s="7" t="str">
        <x:f>IF(OR(H2550="",I2550=""),"",I2550-H2550)</x:f>
      </x:c>
      <x:c r="K2550" s="7" t="str"/>
      <x:c r="L2550" s="7" t="str"/>
      <x:c r="M2550" s="7" t="str">
        <x:f>IF(L2550="","OPEN",IF(OR(NOT(ISNUMBER(H2550)),NOT(ISNUMBER(I2550)),NOT(ISNUMBER(K2550)),ABS(J2550)&gt;K2550),"FAIL","PASS"))</x:f>
        <x:v>OPEN</x:v>
      </x:c>
    </x:row>
    <x:row r="2551">
      <x:c r="B2551" s="7" t="str">
        <x:v>CAL-CH-PEA-C-Y3-17-1</x:v>
      </x:c>
      <x:c r="C2551" s="7" t="str">
        <x:v>CH-PEA-C-Y3-17-1</x:v>
      </x:c>
      <x:c r="D2551" s="7" t="str">
        <x:v>PEA-C-Y3</x:v>
      </x:c>
      <x:c r="E2551" s="7" t="str">
        <x:v>BLD-C</x:v>
      </x:c>
      <x:c r="F2551" s="7" t="str">
        <x:v>BL-Y</x:v>
      </x:c>
      <x:c r="G2551" s="7" t="str">
        <x:v>MF-17</x:v>
      </x:c>
      <x:c r="H2551" s="7" t="str"/>
      <x:c r="I2551" s="7" t="str"/>
      <x:c r="J2551" s="7" t="str">
        <x:f>IF(OR(H2551="",I2551=""),"",I2551-H2551)</x:f>
      </x:c>
      <x:c r="K2551" s="7" t="str"/>
      <x:c r="L2551" s="7" t="str"/>
      <x:c r="M2551" s="7" t="str">
        <x:f>IF(L2551="","OPEN",IF(OR(NOT(ISNUMBER(H2551)),NOT(ISNUMBER(I2551)),NOT(ISNUMBER(K2551)),ABS(J2551)&gt;K2551),"FAIL","PASS"))</x:f>
        <x:v>OPEN</x:v>
      </x:c>
    </x:row>
    <x:row r="2552">
      <x:c r="B2552" s="7" t="str">
        <x:v>CAL-CH-PEA-C-Y3-17-2</x:v>
      </x:c>
      <x:c r="C2552" s="7" t="str">
        <x:v>CH-PEA-C-Y3-17-2</x:v>
      </x:c>
      <x:c r="D2552" s="7" t="str">
        <x:v>PEA-C-Y3</x:v>
      </x:c>
      <x:c r="E2552" s="7" t="str">
        <x:v>BLD-C</x:v>
      </x:c>
      <x:c r="F2552" s="7" t="str">
        <x:v>BL-Y</x:v>
      </x:c>
      <x:c r="G2552" s="7" t="str">
        <x:v>MF-17</x:v>
      </x:c>
      <x:c r="H2552" s="7" t="str"/>
      <x:c r="I2552" s="7" t="str"/>
      <x:c r="J2552" s="7" t="str">
        <x:f>IF(OR(H2552="",I2552=""),"",I2552-H2552)</x:f>
      </x:c>
      <x:c r="K2552" s="7" t="str"/>
      <x:c r="L2552" s="7" t="str"/>
      <x:c r="M2552" s="7" t="str">
        <x:f>IF(L2552="","OPEN",IF(OR(NOT(ISNUMBER(H2552)),NOT(ISNUMBER(I2552)),NOT(ISNUMBER(K2552)),ABS(J2552)&gt;K2552),"FAIL","PASS"))</x:f>
        <x:v>OPEN</x:v>
      </x:c>
    </x:row>
    <x:row r="2553">
      <x:c r="B2553" s="7" t="str">
        <x:v>CAL-CH-PEA-C-Y3-17-3</x:v>
      </x:c>
      <x:c r="C2553" s="7" t="str">
        <x:v>CH-PEA-C-Y3-17-3</x:v>
      </x:c>
      <x:c r="D2553" s="7" t="str">
        <x:v>PEA-C-Y3</x:v>
      </x:c>
      <x:c r="E2553" s="7" t="str">
        <x:v>BLD-C</x:v>
      </x:c>
      <x:c r="F2553" s="7" t="str">
        <x:v>BL-Y</x:v>
      </x:c>
      <x:c r="G2553" s="7" t="str">
        <x:v>MF-17</x:v>
      </x:c>
      <x:c r="H2553" s="7" t="str"/>
      <x:c r="I2553" s="7" t="str"/>
      <x:c r="J2553" s="7" t="str">
        <x:f>IF(OR(H2553="",I2553=""),"",I2553-H2553)</x:f>
      </x:c>
      <x:c r="K2553" s="7" t="str"/>
      <x:c r="L2553" s="7" t="str"/>
      <x:c r="M2553" s="7" t="str">
        <x:f>IF(L2553="","OPEN",IF(OR(NOT(ISNUMBER(H2553)),NOT(ISNUMBER(I2553)),NOT(ISNUMBER(K2553)),ABS(J2553)&gt;K2553),"FAIL","PASS"))</x:f>
        <x:v>OPEN</x:v>
      </x:c>
    </x:row>
    <x:row r="2554">
      <x:c r="B2554" s="7" t="str">
        <x:v>CAL-CH-PEA-C-Y3-17-4</x:v>
      </x:c>
      <x:c r="C2554" s="7" t="str">
        <x:v>CH-PEA-C-Y3-17-4</x:v>
      </x:c>
      <x:c r="D2554" s="7" t="str">
        <x:v>PEA-C-Y3</x:v>
      </x:c>
      <x:c r="E2554" s="7" t="str">
        <x:v>BLD-C</x:v>
      </x:c>
      <x:c r="F2554" s="7" t="str">
        <x:v>BL-Y</x:v>
      </x:c>
      <x:c r="G2554" s="7" t="str">
        <x:v>MF-17</x:v>
      </x:c>
      <x:c r="H2554" s="7" t="str"/>
      <x:c r="I2554" s="7" t="str"/>
      <x:c r="J2554" s="7" t="str">
        <x:f>IF(OR(H2554="",I2554=""),"",I2554-H2554)</x:f>
      </x:c>
      <x:c r="K2554" s="7" t="str"/>
      <x:c r="L2554" s="7" t="str"/>
      <x:c r="M2554" s="7" t="str">
        <x:f>IF(L2554="","OPEN",IF(OR(NOT(ISNUMBER(H2554)),NOT(ISNUMBER(I2554)),NOT(ISNUMBER(K2554)),ABS(J2554)&gt;K2554),"FAIL","PASS"))</x:f>
        <x:v>OPEN</x:v>
      </x:c>
    </x:row>
    <x:row r="2555">
      <x:c r="B2555" s="7" t="str">
        <x:v>CAL-CH-PEA-C-Y3-17-5</x:v>
      </x:c>
      <x:c r="C2555" s="7" t="str">
        <x:v>CH-PEA-C-Y3-17-5</x:v>
      </x:c>
      <x:c r="D2555" s="7" t="str">
        <x:v>PEA-C-Y3</x:v>
      </x:c>
      <x:c r="E2555" s="7" t="str">
        <x:v>BLD-C</x:v>
      </x:c>
      <x:c r="F2555" s="7" t="str">
        <x:v>BL-Y</x:v>
      </x:c>
      <x:c r="G2555" s="7" t="str">
        <x:v>MF-17</x:v>
      </x:c>
      <x:c r="H2555" s="7" t="str"/>
      <x:c r="I2555" s="7" t="str"/>
      <x:c r="J2555" s="7" t="str">
        <x:f>IF(OR(H2555="",I2555=""),"",I2555-H2555)</x:f>
      </x:c>
      <x:c r="K2555" s="7" t="str"/>
      <x:c r="L2555" s="7" t="str"/>
      <x:c r="M2555" s="7" t="str">
        <x:f>IF(L2555="","OPEN",IF(OR(NOT(ISNUMBER(H2555)),NOT(ISNUMBER(I2555)),NOT(ISNUMBER(K2555)),ABS(J2555)&gt;K2555),"FAIL","PASS"))</x:f>
        <x:v>OPEN</x:v>
      </x:c>
    </x:row>
    <x:row r="2556">
      <x:c r="B2556" s="7" t="str">
        <x:v>CAL-CH-PEA-C-Y3-17-6</x:v>
      </x:c>
      <x:c r="C2556" s="7" t="str">
        <x:v>CH-PEA-C-Y3-17-6</x:v>
      </x:c>
      <x:c r="D2556" s="7" t="str">
        <x:v>PEA-C-Y3</x:v>
      </x:c>
      <x:c r="E2556" s="7" t="str">
        <x:v>BLD-C</x:v>
      </x:c>
      <x:c r="F2556" s="7" t="str">
        <x:v>BL-Y</x:v>
      </x:c>
      <x:c r="G2556" s="7" t="str">
        <x:v>MF-17</x:v>
      </x:c>
      <x:c r="H2556" s="7" t="str"/>
      <x:c r="I2556" s="7" t="str"/>
      <x:c r="J2556" s="7" t="str">
        <x:f>IF(OR(H2556="",I2556=""),"",I2556-H2556)</x:f>
      </x:c>
      <x:c r="K2556" s="7" t="str"/>
      <x:c r="L2556" s="7" t="str"/>
      <x:c r="M2556" s="7" t="str">
        <x:f>IF(L2556="","OPEN",IF(OR(NOT(ISNUMBER(H2556)),NOT(ISNUMBER(I2556)),NOT(ISNUMBER(K2556)),ABS(J2556)&gt;K2556),"FAIL","PASS"))</x:f>
        <x:v>OPEN</x:v>
      </x:c>
    </x:row>
    <x:row r="2557">
      <x:c r="B2557" s="7" t="str">
        <x:v>CAL-CH-PEA-C-Y3-18-1</x:v>
      </x:c>
      <x:c r="C2557" s="7" t="str">
        <x:v>CH-PEA-C-Y3-18-1</x:v>
      </x:c>
      <x:c r="D2557" s="7" t="str">
        <x:v>PEA-C-Y3</x:v>
      </x:c>
      <x:c r="E2557" s="7" t="str">
        <x:v>BLD-C</x:v>
      </x:c>
      <x:c r="F2557" s="7" t="str">
        <x:v>BL-Y</x:v>
      </x:c>
      <x:c r="G2557" s="7" t="str">
        <x:v>MF-18</x:v>
      </x:c>
      <x:c r="H2557" s="7" t="str"/>
      <x:c r="I2557" s="7" t="str"/>
      <x:c r="J2557" s="7" t="str">
        <x:f>IF(OR(H2557="",I2557=""),"",I2557-H2557)</x:f>
      </x:c>
      <x:c r="K2557" s="7" t="str"/>
      <x:c r="L2557" s="7" t="str"/>
      <x:c r="M2557" s="7" t="str">
        <x:f>IF(L2557="","OPEN",IF(OR(NOT(ISNUMBER(H2557)),NOT(ISNUMBER(I2557)),NOT(ISNUMBER(K2557)),ABS(J2557)&gt;K2557),"FAIL","PASS"))</x:f>
        <x:v>OPEN</x:v>
      </x:c>
    </x:row>
    <x:row r="2558">
      <x:c r="B2558" s="7" t="str">
        <x:v>CAL-CH-PEA-C-Y3-18-2</x:v>
      </x:c>
      <x:c r="C2558" s="7" t="str">
        <x:v>CH-PEA-C-Y3-18-2</x:v>
      </x:c>
      <x:c r="D2558" s="7" t="str">
        <x:v>PEA-C-Y3</x:v>
      </x:c>
      <x:c r="E2558" s="7" t="str">
        <x:v>BLD-C</x:v>
      </x:c>
      <x:c r="F2558" s="7" t="str">
        <x:v>BL-Y</x:v>
      </x:c>
      <x:c r="G2558" s="7" t="str">
        <x:v>MF-18</x:v>
      </x:c>
      <x:c r="H2558" s="7" t="str"/>
      <x:c r="I2558" s="7" t="str"/>
      <x:c r="J2558" s="7" t="str">
        <x:f>IF(OR(H2558="",I2558=""),"",I2558-H2558)</x:f>
      </x:c>
      <x:c r="K2558" s="7" t="str"/>
      <x:c r="L2558" s="7" t="str"/>
      <x:c r="M2558" s="7" t="str">
        <x:f>IF(L2558="","OPEN",IF(OR(NOT(ISNUMBER(H2558)),NOT(ISNUMBER(I2558)),NOT(ISNUMBER(K2558)),ABS(J2558)&gt;K2558),"FAIL","PASS"))</x:f>
        <x:v>OPEN</x:v>
      </x:c>
    </x:row>
    <x:row r="2559">
      <x:c r="B2559" s="7" t="str">
        <x:v>CAL-CH-PEA-C-Y3-18-3</x:v>
      </x:c>
      <x:c r="C2559" s="7" t="str">
        <x:v>CH-PEA-C-Y3-18-3</x:v>
      </x:c>
      <x:c r="D2559" s="7" t="str">
        <x:v>PEA-C-Y3</x:v>
      </x:c>
      <x:c r="E2559" s="7" t="str">
        <x:v>BLD-C</x:v>
      </x:c>
      <x:c r="F2559" s="7" t="str">
        <x:v>BL-Y</x:v>
      </x:c>
      <x:c r="G2559" s="7" t="str">
        <x:v>MF-18</x:v>
      </x:c>
      <x:c r="H2559" s="7" t="str"/>
      <x:c r="I2559" s="7" t="str"/>
      <x:c r="J2559" s="7" t="str">
        <x:f>IF(OR(H2559="",I2559=""),"",I2559-H2559)</x:f>
      </x:c>
      <x:c r="K2559" s="7" t="str"/>
      <x:c r="L2559" s="7" t="str"/>
      <x:c r="M2559" s="7" t="str">
        <x:f>IF(L2559="","OPEN",IF(OR(NOT(ISNUMBER(H2559)),NOT(ISNUMBER(I2559)),NOT(ISNUMBER(K2559)),ABS(J2559)&gt;K2559),"FAIL","PASS"))</x:f>
        <x:v>OPEN</x:v>
      </x:c>
    </x:row>
    <x:row r="2560">
      <x:c r="B2560" s="7" t="str">
        <x:v>CAL-CH-PEA-C-Y3-18-4</x:v>
      </x:c>
      <x:c r="C2560" s="7" t="str">
        <x:v>CH-PEA-C-Y3-18-4</x:v>
      </x:c>
      <x:c r="D2560" s="7" t="str">
        <x:v>PEA-C-Y3</x:v>
      </x:c>
      <x:c r="E2560" s="7" t="str">
        <x:v>BLD-C</x:v>
      </x:c>
      <x:c r="F2560" s="7" t="str">
        <x:v>BL-Y</x:v>
      </x:c>
      <x:c r="G2560" s="7" t="str">
        <x:v>MF-18</x:v>
      </x:c>
      <x:c r="H2560" s="7" t="str"/>
      <x:c r="I2560" s="7" t="str"/>
      <x:c r="J2560" s="7" t="str">
        <x:f>IF(OR(H2560="",I2560=""),"",I2560-H2560)</x:f>
      </x:c>
      <x:c r="K2560" s="7" t="str"/>
      <x:c r="L2560" s="7" t="str"/>
      <x:c r="M2560" s="7" t="str">
        <x:f>IF(L2560="","OPEN",IF(OR(NOT(ISNUMBER(H2560)),NOT(ISNUMBER(I2560)),NOT(ISNUMBER(K2560)),ABS(J2560)&gt;K2560),"FAIL","PASS"))</x:f>
        <x:v>OPEN</x:v>
      </x:c>
    </x:row>
    <x:row r="2561">
      <x:c r="B2561" s="7" t="str">
        <x:v>CAL-CH-PEA-C-Y3-18-5</x:v>
      </x:c>
      <x:c r="C2561" s="7" t="str">
        <x:v>CH-PEA-C-Y3-18-5</x:v>
      </x:c>
      <x:c r="D2561" s="7" t="str">
        <x:v>PEA-C-Y3</x:v>
      </x:c>
      <x:c r="E2561" s="7" t="str">
        <x:v>BLD-C</x:v>
      </x:c>
      <x:c r="F2561" s="7" t="str">
        <x:v>BL-Y</x:v>
      </x:c>
      <x:c r="G2561" s="7" t="str">
        <x:v>MF-18</x:v>
      </x:c>
      <x:c r="H2561" s="7" t="str"/>
      <x:c r="I2561" s="7" t="str"/>
      <x:c r="J2561" s="7" t="str">
        <x:f>IF(OR(H2561="",I2561=""),"",I2561-H2561)</x:f>
      </x:c>
      <x:c r="K2561" s="7" t="str"/>
      <x:c r="L2561" s="7" t="str"/>
      <x:c r="M2561" s="7" t="str">
        <x:f>IF(L2561="","OPEN",IF(OR(NOT(ISNUMBER(H2561)),NOT(ISNUMBER(I2561)),NOT(ISNUMBER(K2561)),ABS(J2561)&gt;K2561),"FAIL","PASS"))</x:f>
        <x:v>OPEN</x:v>
      </x:c>
    </x:row>
    <x:row r="2562">
      <x:c r="B2562" s="7" t="str">
        <x:v>CAL-CH-PEA-C-Y3-18-6</x:v>
      </x:c>
      <x:c r="C2562" s="7" t="str">
        <x:v>CH-PEA-C-Y3-18-6</x:v>
      </x:c>
      <x:c r="D2562" s="7" t="str">
        <x:v>PEA-C-Y3</x:v>
      </x:c>
      <x:c r="E2562" s="7" t="str">
        <x:v>BLD-C</x:v>
      </x:c>
      <x:c r="F2562" s="7" t="str">
        <x:v>BL-Y</x:v>
      </x:c>
      <x:c r="G2562" s="7" t="str">
        <x:v>MF-18</x:v>
      </x:c>
      <x:c r="H2562" s="7" t="str"/>
      <x:c r="I2562" s="7" t="str"/>
      <x:c r="J2562" s="7" t="str">
        <x:f>IF(OR(H2562="",I2562=""),"",I2562-H2562)</x:f>
      </x:c>
      <x:c r="K2562" s="7" t="str"/>
      <x:c r="L2562" s="7" t="str"/>
      <x:c r="M2562" s="7" t="str">
        <x:f>IF(L2562="","OPEN",IF(OR(NOT(ISNUMBER(H2562)),NOT(ISNUMBER(I2562)),NOT(ISNUMBER(K2562)),ABS(J2562)&gt;K2562),"FAIL","PASS"))</x:f>
        <x:v>OPEN</x:v>
      </x:c>
    </x:row>
    <x:row r="2563">
      <x:c r="B2563" s="7" t="str">
        <x:v>CAL-CH-PEA-C-Y3-19-1</x:v>
      </x:c>
      <x:c r="C2563" s="7" t="str">
        <x:v>CH-PEA-C-Y3-19-1</x:v>
      </x:c>
      <x:c r="D2563" s="7" t="str">
        <x:v>PEA-C-Y3</x:v>
      </x:c>
      <x:c r="E2563" s="7" t="str">
        <x:v>BLD-C</x:v>
      </x:c>
      <x:c r="F2563" s="7" t="str">
        <x:v>BL-Y</x:v>
      </x:c>
      <x:c r="G2563" s="7" t="str">
        <x:v>MF-19</x:v>
      </x:c>
      <x:c r="H2563" s="7" t="str"/>
      <x:c r="I2563" s="7" t="str"/>
      <x:c r="J2563" s="7" t="str">
        <x:f>IF(OR(H2563="",I2563=""),"",I2563-H2563)</x:f>
      </x:c>
      <x:c r="K2563" s="7" t="str"/>
      <x:c r="L2563" s="7" t="str"/>
      <x:c r="M2563" s="7" t="str">
        <x:f>IF(L2563="","OPEN",IF(OR(NOT(ISNUMBER(H2563)),NOT(ISNUMBER(I2563)),NOT(ISNUMBER(K2563)),ABS(J2563)&gt;K2563),"FAIL","PASS"))</x:f>
        <x:v>OPEN</x:v>
      </x:c>
    </x:row>
    <x:row r="2564">
      <x:c r="B2564" s="7" t="str">
        <x:v>CAL-CH-PEA-C-Y3-19-2</x:v>
      </x:c>
      <x:c r="C2564" s="7" t="str">
        <x:v>CH-PEA-C-Y3-19-2</x:v>
      </x:c>
      <x:c r="D2564" s="7" t="str">
        <x:v>PEA-C-Y3</x:v>
      </x:c>
      <x:c r="E2564" s="7" t="str">
        <x:v>BLD-C</x:v>
      </x:c>
      <x:c r="F2564" s="7" t="str">
        <x:v>BL-Y</x:v>
      </x:c>
      <x:c r="G2564" s="7" t="str">
        <x:v>MF-19</x:v>
      </x:c>
      <x:c r="H2564" s="7" t="str"/>
      <x:c r="I2564" s="7" t="str"/>
      <x:c r="J2564" s="7" t="str">
        <x:f>IF(OR(H2564="",I2564=""),"",I2564-H2564)</x:f>
      </x:c>
      <x:c r="K2564" s="7" t="str"/>
      <x:c r="L2564" s="7" t="str"/>
      <x:c r="M2564" s="7" t="str">
        <x:f>IF(L2564="","OPEN",IF(OR(NOT(ISNUMBER(H2564)),NOT(ISNUMBER(I2564)),NOT(ISNUMBER(K2564)),ABS(J2564)&gt;K2564),"FAIL","PASS"))</x:f>
        <x:v>OPEN</x:v>
      </x:c>
    </x:row>
    <x:row r="2565">
      <x:c r="B2565" s="7" t="str">
        <x:v>CAL-CH-PEA-C-Y3-19-3</x:v>
      </x:c>
      <x:c r="C2565" s="7" t="str">
        <x:v>CH-PEA-C-Y3-19-3</x:v>
      </x:c>
      <x:c r="D2565" s="7" t="str">
        <x:v>PEA-C-Y3</x:v>
      </x:c>
      <x:c r="E2565" s="7" t="str">
        <x:v>BLD-C</x:v>
      </x:c>
      <x:c r="F2565" s="7" t="str">
        <x:v>BL-Y</x:v>
      </x:c>
      <x:c r="G2565" s="7" t="str">
        <x:v>MF-19</x:v>
      </x:c>
      <x:c r="H2565" s="7" t="str"/>
      <x:c r="I2565" s="7" t="str"/>
      <x:c r="J2565" s="7" t="str">
        <x:f>IF(OR(H2565="",I2565=""),"",I2565-H2565)</x:f>
      </x:c>
      <x:c r="K2565" s="7" t="str"/>
      <x:c r="L2565" s="7" t="str"/>
      <x:c r="M2565" s="7" t="str">
        <x:f>IF(L2565="","OPEN",IF(OR(NOT(ISNUMBER(H2565)),NOT(ISNUMBER(I2565)),NOT(ISNUMBER(K2565)),ABS(J2565)&gt;K2565),"FAIL","PASS"))</x:f>
        <x:v>OPEN</x:v>
      </x:c>
    </x:row>
    <x:row r="2566">
      <x:c r="B2566" s="7" t="str">
        <x:v>CAL-CH-PEA-C-Y3-19-4</x:v>
      </x:c>
      <x:c r="C2566" s="7" t="str">
        <x:v>CH-PEA-C-Y3-19-4</x:v>
      </x:c>
      <x:c r="D2566" s="7" t="str">
        <x:v>PEA-C-Y3</x:v>
      </x:c>
      <x:c r="E2566" s="7" t="str">
        <x:v>BLD-C</x:v>
      </x:c>
      <x:c r="F2566" s="7" t="str">
        <x:v>BL-Y</x:v>
      </x:c>
      <x:c r="G2566" s="7" t="str">
        <x:v>MF-19</x:v>
      </x:c>
      <x:c r="H2566" s="7" t="str"/>
      <x:c r="I2566" s="7" t="str"/>
      <x:c r="J2566" s="7" t="str">
        <x:f>IF(OR(H2566="",I2566=""),"",I2566-H2566)</x:f>
      </x:c>
      <x:c r="K2566" s="7" t="str"/>
      <x:c r="L2566" s="7" t="str"/>
      <x:c r="M2566" s="7" t="str">
        <x:f>IF(L2566="","OPEN",IF(OR(NOT(ISNUMBER(H2566)),NOT(ISNUMBER(I2566)),NOT(ISNUMBER(K2566)),ABS(J2566)&gt;K2566),"FAIL","PASS"))</x:f>
        <x:v>OPEN</x:v>
      </x:c>
    </x:row>
    <x:row r="2567">
      <x:c r="B2567" s="7" t="str">
        <x:v>CAL-CH-PEA-C-Y3-19-5</x:v>
      </x:c>
      <x:c r="C2567" s="7" t="str">
        <x:v>CH-PEA-C-Y3-19-5</x:v>
      </x:c>
      <x:c r="D2567" s="7" t="str">
        <x:v>PEA-C-Y3</x:v>
      </x:c>
      <x:c r="E2567" s="7" t="str">
        <x:v>BLD-C</x:v>
      </x:c>
      <x:c r="F2567" s="7" t="str">
        <x:v>BL-Y</x:v>
      </x:c>
      <x:c r="G2567" s="7" t="str">
        <x:v>MF-19</x:v>
      </x:c>
      <x:c r="H2567" s="7" t="str"/>
      <x:c r="I2567" s="7" t="str"/>
      <x:c r="J2567" s="7" t="str">
        <x:f>IF(OR(H2567="",I2567=""),"",I2567-H2567)</x:f>
      </x:c>
      <x:c r="K2567" s="7" t="str"/>
      <x:c r="L2567" s="7" t="str"/>
      <x:c r="M2567" s="7" t="str">
        <x:f>IF(L2567="","OPEN",IF(OR(NOT(ISNUMBER(H2567)),NOT(ISNUMBER(I2567)),NOT(ISNUMBER(K2567)),ABS(J2567)&gt;K2567),"FAIL","PASS"))</x:f>
        <x:v>OPEN</x:v>
      </x:c>
    </x:row>
    <x:row r="2568">
      <x:c r="B2568" s="7" t="str">
        <x:v>CAL-CH-PEA-C-Y3-19-6</x:v>
      </x:c>
      <x:c r="C2568" s="7" t="str">
        <x:v>CH-PEA-C-Y3-19-6</x:v>
      </x:c>
      <x:c r="D2568" s="7" t="str">
        <x:v>PEA-C-Y3</x:v>
      </x:c>
      <x:c r="E2568" s="7" t="str">
        <x:v>BLD-C</x:v>
      </x:c>
      <x:c r="F2568" s="7" t="str">
        <x:v>BL-Y</x:v>
      </x:c>
      <x:c r="G2568" s="7" t="str">
        <x:v>MF-19</x:v>
      </x:c>
      <x:c r="H2568" s="7" t="str"/>
      <x:c r="I2568" s="7" t="str"/>
      <x:c r="J2568" s="7" t="str">
        <x:f>IF(OR(H2568="",I2568=""),"",I2568-H2568)</x:f>
      </x:c>
      <x:c r="K2568" s="7" t="str"/>
      <x:c r="L2568" s="7" t="str"/>
      <x:c r="M2568" s="7" t="str">
        <x:f>IF(L2568="","OPEN",IF(OR(NOT(ISNUMBER(H2568)),NOT(ISNUMBER(I2568)),NOT(ISNUMBER(K2568)),ABS(J2568)&gt;K2568),"FAIL","PASS"))</x:f>
        <x:v>OPEN</x:v>
      </x:c>
    </x:row>
    <x:row r="2569">
      <x:c r="B2569" s="7" t="str">
        <x:v>CAL-CH-PEA-C-Y3-20-1</x:v>
      </x:c>
      <x:c r="C2569" s="7" t="str">
        <x:v>CH-PEA-C-Y3-20-1</x:v>
      </x:c>
      <x:c r="D2569" s="7" t="str">
        <x:v>PEA-C-Y3</x:v>
      </x:c>
      <x:c r="E2569" s="7" t="str">
        <x:v>BLD-C</x:v>
      </x:c>
      <x:c r="F2569" s="7" t="str">
        <x:v>BL-Y</x:v>
      </x:c>
      <x:c r="G2569" s="7" t="str">
        <x:v>MF-20</x:v>
      </x:c>
      <x:c r="H2569" s="7" t="str"/>
      <x:c r="I2569" s="7" t="str"/>
      <x:c r="J2569" s="7" t="str">
        <x:f>IF(OR(H2569="",I2569=""),"",I2569-H2569)</x:f>
      </x:c>
      <x:c r="K2569" s="7" t="str"/>
      <x:c r="L2569" s="7" t="str"/>
      <x:c r="M2569" s="7" t="str">
        <x:f>IF(L2569="","OPEN",IF(OR(NOT(ISNUMBER(H2569)),NOT(ISNUMBER(I2569)),NOT(ISNUMBER(K2569)),ABS(J2569)&gt;K2569),"FAIL","PASS"))</x:f>
        <x:v>OPEN</x:v>
      </x:c>
    </x:row>
    <x:row r="2570">
      <x:c r="B2570" s="7" t="str">
        <x:v>CAL-CH-PEA-C-Y3-20-2</x:v>
      </x:c>
      <x:c r="C2570" s="7" t="str">
        <x:v>CH-PEA-C-Y3-20-2</x:v>
      </x:c>
      <x:c r="D2570" s="7" t="str">
        <x:v>PEA-C-Y3</x:v>
      </x:c>
      <x:c r="E2570" s="7" t="str">
        <x:v>BLD-C</x:v>
      </x:c>
      <x:c r="F2570" s="7" t="str">
        <x:v>BL-Y</x:v>
      </x:c>
      <x:c r="G2570" s="7" t="str">
        <x:v>MF-20</x:v>
      </x:c>
      <x:c r="H2570" s="7" t="str"/>
      <x:c r="I2570" s="7" t="str"/>
      <x:c r="J2570" s="7" t="str">
        <x:f>IF(OR(H2570="",I2570=""),"",I2570-H2570)</x:f>
      </x:c>
      <x:c r="K2570" s="7" t="str"/>
      <x:c r="L2570" s="7" t="str"/>
      <x:c r="M2570" s="7" t="str">
        <x:f>IF(L2570="","OPEN",IF(OR(NOT(ISNUMBER(H2570)),NOT(ISNUMBER(I2570)),NOT(ISNUMBER(K2570)),ABS(J2570)&gt;K2570),"FAIL","PASS"))</x:f>
        <x:v>OPEN</x:v>
      </x:c>
    </x:row>
    <x:row r="2571">
      <x:c r="B2571" s="7" t="str">
        <x:v>CAL-CH-PEA-C-Y3-20-3</x:v>
      </x:c>
      <x:c r="C2571" s="7" t="str">
        <x:v>CH-PEA-C-Y3-20-3</x:v>
      </x:c>
      <x:c r="D2571" s="7" t="str">
        <x:v>PEA-C-Y3</x:v>
      </x:c>
      <x:c r="E2571" s="7" t="str">
        <x:v>BLD-C</x:v>
      </x:c>
      <x:c r="F2571" s="7" t="str">
        <x:v>BL-Y</x:v>
      </x:c>
      <x:c r="G2571" s="7" t="str">
        <x:v>MF-20</x:v>
      </x:c>
      <x:c r="H2571" s="7" t="str"/>
      <x:c r="I2571" s="7" t="str"/>
      <x:c r="J2571" s="7" t="str">
        <x:f>IF(OR(H2571="",I2571=""),"",I2571-H2571)</x:f>
      </x:c>
      <x:c r="K2571" s="7" t="str"/>
      <x:c r="L2571" s="7" t="str"/>
      <x:c r="M2571" s="7" t="str">
        <x:f>IF(L2571="","OPEN",IF(OR(NOT(ISNUMBER(H2571)),NOT(ISNUMBER(I2571)),NOT(ISNUMBER(K2571)),ABS(J2571)&gt;K2571),"FAIL","PASS"))</x:f>
        <x:v>OPEN</x:v>
      </x:c>
    </x:row>
    <x:row r="2572">
      <x:c r="B2572" s="7" t="str">
        <x:v>CAL-CH-PEA-C-Y3-20-4</x:v>
      </x:c>
      <x:c r="C2572" s="7" t="str">
        <x:v>CH-PEA-C-Y3-20-4</x:v>
      </x:c>
      <x:c r="D2572" s="7" t="str">
        <x:v>PEA-C-Y3</x:v>
      </x:c>
      <x:c r="E2572" s="7" t="str">
        <x:v>BLD-C</x:v>
      </x:c>
      <x:c r="F2572" s="7" t="str">
        <x:v>BL-Y</x:v>
      </x:c>
      <x:c r="G2572" s="7" t="str">
        <x:v>MF-20</x:v>
      </x:c>
      <x:c r="H2572" s="7" t="str"/>
      <x:c r="I2572" s="7" t="str"/>
      <x:c r="J2572" s="7" t="str">
        <x:f>IF(OR(H2572="",I2572=""),"",I2572-H2572)</x:f>
      </x:c>
      <x:c r="K2572" s="7" t="str"/>
      <x:c r="L2572" s="7" t="str"/>
      <x:c r="M2572" s="7" t="str">
        <x:f>IF(L2572="","OPEN",IF(OR(NOT(ISNUMBER(H2572)),NOT(ISNUMBER(I2572)),NOT(ISNUMBER(K2572)),ABS(J2572)&gt;K2572),"FAIL","PASS"))</x:f>
        <x:v>OPEN</x:v>
      </x:c>
    </x:row>
    <x:row r="2573">
      <x:c r="B2573" s="7" t="str">
        <x:v>CAL-CH-PEA-C-Y3-20-5</x:v>
      </x:c>
      <x:c r="C2573" s="7" t="str">
        <x:v>CH-PEA-C-Y3-20-5</x:v>
      </x:c>
      <x:c r="D2573" s="7" t="str">
        <x:v>PEA-C-Y3</x:v>
      </x:c>
      <x:c r="E2573" s="7" t="str">
        <x:v>BLD-C</x:v>
      </x:c>
      <x:c r="F2573" s="7" t="str">
        <x:v>BL-Y</x:v>
      </x:c>
      <x:c r="G2573" s="7" t="str">
        <x:v>MF-20</x:v>
      </x:c>
      <x:c r="H2573" s="7" t="str"/>
      <x:c r="I2573" s="7" t="str"/>
      <x:c r="J2573" s="7" t="str">
        <x:f>IF(OR(H2573="",I2573=""),"",I2573-H2573)</x:f>
      </x:c>
      <x:c r="K2573" s="7" t="str"/>
      <x:c r="L2573" s="7" t="str"/>
      <x:c r="M2573" s="7" t="str">
        <x:f>IF(L2573="","OPEN",IF(OR(NOT(ISNUMBER(H2573)),NOT(ISNUMBER(I2573)),NOT(ISNUMBER(K2573)),ABS(J2573)&gt;K2573),"FAIL","PASS"))</x:f>
        <x:v>OPEN</x:v>
      </x:c>
    </x:row>
    <x:row r="2574">
      <x:c r="B2574" s="7" t="str">
        <x:v>CAL-CH-PEA-C-Y3-20-6</x:v>
      </x:c>
      <x:c r="C2574" s="7" t="str">
        <x:v>CH-PEA-C-Y3-20-6</x:v>
      </x:c>
      <x:c r="D2574" s="7" t="str">
        <x:v>PEA-C-Y3</x:v>
      </x:c>
      <x:c r="E2574" s="7" t="str">
        <x:v>BLD-C</x:v>
      </x:c>
      <x:c r="F2574" s="7" t="str">
        <x:v>BL-Y</x:v>
      </x:c>
      <x:c r="G2574" s="7" t="str">
        <x:v>MF-20</x:v>
      </x:c>
      <x:c r="H2574" s="7" t="str"/>
      <x:c r="I2574" s="7" t="str"/>
      <x:c r="J2574" s="7" t="str">
        <x:f>IF(OR(H2574="",I2574=""),"",I2574-H2574)</x:f>
      </x:c>
      <x:c r="K2574" s="7" t="str"/>
      <x:c r="L2574" s="7" t="str"/>
      <x:c r="M2574" s="7" t="str">
        <x:f>IF(L2574="","OPEN",IF(OR(NOT(ISNUMBER(H2574)),NOT(ISNUMBER(I2574)),NOT(ISNUMBER(K2574)),ABS(J2574)&gt;K2574),"FAIL","PASS"))</x:f>
        <x:v>OPEN</x:v>
      </x:c>
    </x:row>
    <x:row r="2575">
      <x:c r="B2575" s="7" t="str">
        <x:v>CAL-CH-PEA-C-Y3-21-1</x:v>
      </x:c>
      <x:c r="C2575" s="7" t="str">
        <x:v>CH-PEA-C-Y3-21-1</x:v>
      </x:c>
      <x:c r="D2575" s="7" t="str">
        <x:v>PEA-C-Y3</x:v>
      </x:c>
      <x:c r="E2575" s="7" t="str">
        <x:v>BLD-C</x:v>
      </x:c>
      <x:c r="F2575" s="7" t="str">
        <x:v>BL-Y</x:v>
      </x:c>
      <x:c r="G2575" s="7" t="str">
        <x:v>MF-21</x:v>
      </x:c>
      <x:c r="H2575" s="7" t="str"/>
      <x:c r="I2575" s="7" t="str"/>
      <x:c r="J2575" s="7" t="str">
        <x:f>IF(OR(H2575="",I2575=""),"",I2575-H2575)</x:f>
      </x:c>
      <x:c r="K2575" s="7" t="str"/>
      <x:c r="L2575" s="7" t="str"/>
      <x:c r="M2575" s="7" t="str">
        <x:f>IF(L2575="","OPEN",IF(OR(NOT(ISNUMBER(H2575)),NOT(ISNUMBER(I2575)),NOT(ISNUMBER(K2575)),ABS(J2575)&gt;K2575),"FAIL","PASS"))</x:f>
        <x:v>OPEN</x:v>
      </x:c>
    </x:row>
    <x:row r="2576">
      <x:c r="B2576" s="7" t="str">
        <x:v>CAL-CH-PEA-C-Y3-21-2</x:v>
      </x:c>
      <x:c r="C2576" s="7" t="str">
        <x:v>CH-PEA-C-Y3-21-2</x:v>
      </x:c>
      <x:c r="D2576" s="7" t="str">
        <x:v>PEA-C-Y3</x:v>
      </x:c>
      <x:c r="E2576" s="7" t="str">
        <x:v>BLD-C</x:v>
      </x:c>
      <x:c r="F2576" s="7" t="str">
        <x:v>BL-Y</x:v>
      </x:c>
      <x:c r="G2576" s="7" t="str">
        <x:v>MF-21</x:v>
      </x:c>
      <x:c r="H2576" s="7" t="str"/>
      <x:c r="I2576" s="7" t="str"/>
      <x:c r="J2576" s="7" t="str">
        <x:f>IF(OR(H2576="",I2576=""),"",I2576-H2576)</x:f>
      </x:c>
      <x:c r="K2576" s="7" t="str"/>
      <x:c r="L2576" s="7" t="str"/>
      <x:c r="M2576" s="7" t="str">
        <x:f>IF(L2576="","OPEN",IF(OR(NOT(ISNUMBER(H2576)),NOT(ISNUMBER(I2576)),NOT(ISNUMBER(K2576)),ABS(J2576)&gt;K2576),"FAIL","PASS"))</x:f>
        <x:v>OPEN</x:v>
      </x:c>
    </x:row>
    <x:row r="2577">
      <x:c r="B2577" s="7" t="str">
        <x:v>CAL-CH-PEA-C-Y3-21-3</x:v>
      </x:c>
      <x:c r="C2577" s="7" t="str">
        <x:v>CH-PEA-C-Y3-21-3</x:v>
      </x:c>
      <x:c r="D2577" s="7" t="str">
        <x:v>PEA-C-Y3</x:v>
      </x:c>
      <x:c r="E2577" s="7" t="str">
        <x:v>BLD-C</x:v>
      </x:c>
      <x:c r="F2577" s="7" t="str">
        <x:v>BL-Y</x:v>
      </x:c>
      <x:c r="G2577" s="7" t="str">
        <x:v>MF-21</x:v>
      </x:c>
      <x:c r="H2577" s="7" t="str"/>
      <x:c r="I2577" s="7" t="str"/>
      <x:c r="J2577" s="7" t="str">
        <x:f>IF(OR(H2577="",I2577=""),"",I2577-H2577)</x:f>
      </x:c>
      <x:c r="K2577" s="7" t="str"/>
      <x:c r="L2577" s="7" t="str"/>
      <x:c r="M2577" s="7" t="str">
        <x:f>IF(L2577="","OPEN",IF(OR(NOT(ISNUMBER(H2577)),NOT(ISNUMBER(I2577)),NOT(ISNUMBER(K2577)),ABS(J2577)&gt;K2577),"FAIL","PASS"))</x:f>
        <x:v>OPEN</x:v>
      </x:c>
    </x:row>
    <x:row r="2578">
      <x:c r="B2578" s="7" t="str">
        <x:v>CAL-CH-PEA-C-Y3-21-4</x:v>
      </x:c>
      <x:c r="C2578" s="7" t="str">
        <x:v>CH-PEA-C-Y3-21-4</x:v>
      </x:c>
      <x:c r="D2578" s="7" t="str">
        <x:v>PEA-C-Y3</x:v>
      </x:c>
      <x:c r="E2578" s="7" t="str">
        <x:v>BLD-C</x:v>
      </x:c>
      <x:c r="F2578" s="7" t="str">
        <x:v>BL-Y</x:v>
      </x:c>
      <x:c r="G2578" s="7" t="str">
        <x:v>MF-21</x:v>
      </x:c>
      <x:c r="H2578" s="7" t="str"/>
      <x:c r="I2578" s="7" t="str"/>
      <x:c r="J2578" s="7" t="str">
        <x:f>IF(OR(H2578="",I2578=""),"",I2578-H2578)</x:f>
      </x:c>
      <x:c r="K2578" s="7" t="str"/>
      <x:c r="L2578" s="7" t="str"/>
      <x:c r="M2578" s="7" t="str">
        <x:f>IF(L2578="","OPEN",IF(OR(NOT(ISNUMBER(H2578)),NOT(ISNUMBER(I2578)),NOT(ISNUMBER(K2578)),ABS(J2578)&gt;K2578),"FAIL","PASS"))</x:f>
        <x:v>OPEN</x:v>
      </x:c>
    </x:row>
    <x:row r="2579">
      <x:c r="B2579" s="7" t="str">
        <x:v>CAL-CH-PEA-C-Y3-21-5</x:v>
      </x:c>
      <x:c r="C2579" s="7" t="str">
        <x:v>CH-PEA-C-Y3-21-5</x:v>
      </x:c>
      <x:c r="D2579" s="7" t="str">
        <x:v>PEA-C-Y3</x:v>
      </x:c>
      <x:c r="E2579" s="7" t="str">
        <x:v>BLD-C</x:v>
      </x:c>
      <x:c r="F2579" s="7" t="str">
        <x:v>BL-Y</x:v>
      </x:c>
      <x:c r="G2579" s="7" t="str">
        <x:v>MF-21</x:v>
      </x:c>
      <x:c r="H2579" s="7" t="str"/>
      <x:c r="I2579" s="7" t="str"/>
      <x:c r="J2579" s="7" t="str">
        <x:f>IF(OR(H2579="",I2579=""),"",I2579-H2579)</x:f>
      </x:c>
      <x:c r="K2579" s="7" t="str"/>
      <x:c r="L2579" s="7" t="str"/>
      <x:c r="M2579" s="7" t="str">
        <x:f>IF(L2579="","OPEN",IF(OR(NOT(ISNUMBER(H2579)),NOT(ISNUMBER(I2579)),NOT(ISNUMBER(K2579)),ABS(J2579)&gt;K2579),"FAIL","PASS"))</x:f>
        <x:v>OPEN</x:v>
      </x:c>
    </x:row>
    <x:row r="2580">
      <x:c r="B2580" s="7" t="str">
        <x:v>CAL-CH-PEA-C-Y3-21-6</x:v>
      </x:c>
      <x:c r="C2580" s="7" t="str">
        <x:v>CH-PEA-C-Y3-21-6</x:v>
      </x:c>
      <x:c r="D2580" s="7" t="str">
        <x:v>PEA-C-Y3</x:v>
      </x:c>
      <x:c r="E2580" s="7" t="str">
        <x:v>BLD-C</x:v>
      </x:c>
      <x:c r="F2580" s="7" t="str">
        <x:v>BL-Y</x:v>
      </x:c>
      <x:c r="G2580" s="7" t="str">
        <x:v>MF-21</x:v>
      </x:c>
      <x:c r="H2580" s="7" t="str"/>
      <x:c r="I2580" s="7" t="str"/>
      <x:c r="J2580" s="7" t="str">
        <x:f>IF(OR(H2580="",I2580=""),"",I2580-H2580)</x:f>
      </x:c>
      <x:c r="K2580" s="7" t="str"/>
      <x:c r="L2580" s="7" t="str"/>
      <x:c r="M2580" s="7" t="str">
        <x:f>IF(L2580="","OPEN",IF(OR(NOT(ISNUMBER(H2580)),NOT(ISNUMBER(I2580)),NOT(ISNUMBER(K2580)),ABS(J2580)&gt;K2580),"FAIL","PASS"))</x:f>
        <x:v>OPEN</x:v>
      </x:c>
    </x:row>
    <x:row r="2581">
      <x:c r="B2581" s="7" t="str">
        <x:v>CAL-CH-PEA-C-Y3-22-1</x:v>
      </x:c>
      <x:c r="C2581" s="7" t="str">
        <x:v>CH-PEA-C-Y3-22-1</x:v>
      </x:c>
      <x:c r="D2581" s="7" t="str">
        <x:v>PEA-C-Y3</x:v>
      </x:c>
      <x:c r="E2581" s="7" t="str">
        <x:v>BLD-C</x:v>
      </x:c>
      <x:c r="F2581" s="7" t="str">
        <x:v>BL-Y</x:v>
      </x:c>
      <x:c r="G2581" s="7" t="str">
        <x:v>MF-22</x:v>
      </x:c>
      <x:c r="H2581" s="7" t="str"/>
      <x:c r="I2581" s="7" t="str"/>
      <x:c r="J2581" s="7" t="str">
        <x:f>IF(OR(H2581="",I2581=""),"",I2581-H2581)</x:f>
      </x:c>
      <x:c r="K2581" s="7" t="str"/>
      <x:c r="L2581" s="7" t="str"/>
      <x:c r="M2581" s="7" t="str">
        <x:f>IF(L2581="","OPEN",IF(OR(NOT(ISNUMBER(H2581)),NOT(ISNUMBER(I2581)),NOT(ISNUMBER(K2581)),ABS(J2581)&gt;K2581),"FAIL","PASS"))</x:f>
        <x:v>OPEN</x:v>
      </x:c>
    </x:row>
    <x:row r="2582">
      <x:c r="B2582" s="7" t="str">
        <x:v>CAL-CH-PEA-C-Y3-22-2</x:v>
      </x:c>
      <x:c r="C2582" s="7" t="str">
        <x:v>CH-PEA-C-Y3-22-2</x:v>
      </x:c>
      <x:c r="D2582" s="7" t="str">
        <x:v>PEA-C-Y3</x:v>
      </x:c>
      <x:c r="E2582" s="7" t="str">
        <x:v>BLD-C</x:v>
      </x:c>
      <x:c r="F2582" s="7" t="str">
        <x:v>BL-Y</x:v>
      </x:c>
      <x:c r="G2582" s="7" t="str">
        <x:v>MF-22</x:v>
      </x:c>
      <x:c r="H2582" s="7" t="str"/>
      <x:c r="I2582" s="7" t="str"/>
      <x:c r="J2582" s="7" t="str">
        <x:f>IF(OR(H2582="",I2582=""),"",I2582-H2582)</x:f>
      </x:c>
      <x:c r="K2582" s="7" t="str"/>
      <x:c r="L2582" s="7" t="str"/>
      <x:c r="M2582" s="7" t="str">
        <x:f>IF(L2582="","OPEN",IF(OR(NOT(ISNUMBER(H2582)),NOT(ISNUMBER(I2582)),NOT(ISNUMBER(K2582)),ABS(J2582)&gt;K2582),"FAIL","PASS"))</x:f>
        <x:v>OPEN</x:v>
      </x:c>
    </x:row>
    <x:row r="2583">
      <x:c r="B2583" s="7" t="str">
        <x:v>CAL-CH-PEA-C-Y3-22-3</x:v>
      </x:c>
      <x:c r="C2583" s="7" t="str">
        <x:v>CH-PEA-C-Y3-22-3</x:v>
      </x:c>
      <x:c r="D2583" s="7" t="str">
        <x:v>PEA-C-Y3</x:v>
      </x:c>
      <x:c r="E2583" s="7" t="str">
        <x:v>BLD-C</x:v>
      </x:c>
      <x:c r="F2583" s="7" t="str">
        <x:v>BL-Y</x:v>
      </x:c>
      <x:c r="G2583" s="7" t="str">
        <x:v>MF-22</x:v>
      </x:c>
      <x:c r="H2583" s="7" t="str"/>
      <x:c r="I2583" s="7" t="str"/>
      <x:c r="J2583" s="7" t="str">
        <x:f>IF(OR(H2583="",I2583=""),"",I2583-H2583)</x:f>
      </x:c>
      <x:c r="K2583" s="7" t="str"/>
      <x:c r="L2583" s="7" t="str"/>
      <x:c r="M2583" s="7" t="str">
        <x:f>IF(L2583="","OPEN",IF(OR(NOT(ISNUMBER(H2583)),NOT(ISNUMBER(I2583)),NOT(ISNUMBER(K2583)),ABS(J2583)&gt;K2583),"FAIL","PASS"))</x:f>
        <x:v>OPEN</x:v>
      </x:c>
    </x:row>
    <x:row r="2584">
      <x:c r="B2584" s="7" t="str">
        <x:v>CAL-CH-PEA-C-Y3-22-4</x:v>
      </x:c>
      <x:c r="C2584" s="7" t="str">
        <x:v>CH-PEA-C-Y3-22-4</x:v>
      </x:c>
      <x:c r="D2584" s="7" t="str">
        <x:v>PEA-C-Y3</x:v>
      </x:c>
      <x:c r="E2584" s="7" t="str">
        <x:v>BLD-C</x:v>
      </x:c>
      <x:c r="F2584" s="7" t="str">
        <x:v>BL-Y</x:v>
      </x:c>
      <x:c r="G2584" s="7" t="str">
        <x:v>MF-22</x:v>
      </x:c>
      <x:c r="H2584" s="7" t="str"/>
      <x:c r="I2584" s="7" t="str"/>
      <x:c r="J2584" s="7" t="str">
        <x:f>IF(OR(H2584="",I2584=""),"",I2584-H2584)</x:f>
      </x:c>
      <x:c r="K2584" s="7" t="str"/>
      <x:c r="L2584" s="7" t="str"/>
      <x:c r="M2584" s="7" t="str">
        <x:f>IF(L2584="","OPEN",IF(OR(NOT(ISNUMBER(H2584)),NOT(ISNUMBER(I2584)),NOT(ISNUMBER(K2584)),ABS(J2584)&gt;K2584),"FAIL","PASS"))</x:f>
        <x:v>OPEN</x:v>
      </x:c>
    </x:row>
    <x:row r="2585">
      <x:c r="B2585" s="7" t="str">
        <x:v>CAL-CH-PEA-C-Y3-22-5</x:v>
      </x:c>
      <x:c r="C2585" s="7" t="str">
        <x:v>CH-PEA-C-Y3-22-5</x:v>
      </x:c>
      <x:c r="D2585" s="7" t="str">
        <x:v>PEA-C-Y3</x:v>
      </x:c>
      <x:c r="E2585" s="7" t="str">
        <x:v>BLD-C</x:v>
      </x:c>
      <x:c r="F2585" s="7" t="str">
        <x:v>BL-Y</x:v>
      </x:c>
      <x:c r="G2585" s="7" t="str">
        <x:v>MF-22</x:v>
      </x:c>
      <x:c r="H2585" s="7" t="str"/>
      <x:c r="I2585" s="7" t="str"/>
      <x:c r="J2585" s="7" t="str">
        <x:f>IF(OR(H2585="",I2585=""),"",I2585-H2585)</x:f>
      </x:c>
      <x:c r="K2585" s="7" t="str"/>
      <x:c r="L2585" s="7" t="str"/>
      <x:c r="M2585" s="7" t="str">
        <x:f>IF(L2585="","OPEN",IF(OR(NOT(ISNUMBER(H2585)),NOT(ISNUMBER(I2585)),NOT(ISNUMBER(K2585)),ABS(J2585)&gt;K2585),"FAIL","PASS"))</x:f>
        <x:v>OPEN</x:v>
      </x:c>
    </x:row>
    <x:row r="2586">
      <x:c r="B2586" s="7" t="str">
        <x:v>CAL-CH-PEA-C-Y3-22-6</x:v>
      </x:c>
      <x:c r="C2586" s="7" t="str">
        <x:v>CH-PEA-C-Y3-22-6</x:v>
      </x:c>
      <x:c r="D2586" s="7" t="str">
        <x:v>PEA-C-Y3</x:v>
      </x:c>
      <x:c r="E2586" s="7" t="str">
        <x:v>BLD-C</x:v>
      </x:c>
      <x:c r="F2586" s="7" t="str">
        <x:v>BL-Y</x:v>
      </x:c>
      <x:c r="G2586" s="7" t="str">
        <x:v>MF-22</x:v>
      </x:c>
      <x:c r="H2586" s="7" t="str"/>
      <x:c r="I2586" s="7" t="str"/>
      <x:c r="J2586" s="7" t="str">
        <x:f>IF(OR(H2586="",I2586=""),"",I2586-H2586)</x:f>
      </x:c>
      <x:c r="K2586" s="7" t="str"/>
      <x:c r="L2586" s="7" t="str"/>
      <x:c r="M2586" s="7" t="str">
        <x:f>IF(L2586="","OPEN",IF(OR(NOT(ISNUMBER(H2586)),NOT(ISNUMBER(I2586)),NOT(ISNUMBER(K2586)),ABS(J2586)&gt;K2586),"FAIL","PASS"))</x:f>
        <x:v>OPEN</x:v>
      </x:c>
    </x:row>
    <x:row r="2587">
      <x:c r="B2587" s="7" t="str">
        <x:v>CAL-CH-PEA-C-Y3-23-1</x:v>
      </x:c>
      <x:c r="C2587" s="7" t="str">
        <x:v>CH-PEA-C-Y3-23-1</x:v>
      </x:c>
      <x:c r="D2587" s="7" t="str">
        <x:v>PEA-C-Y3</x:v>
      </x:c>
      <x:c r="E2587" s="7" t="str">
        <x:v>BLD-C</x:v>
      </x:c>
      <x:c r="F2587" s="7" t="str">
        <x:v>BL-Y</x:v>
      </x:c>
      <x:c r="G2587" s="7" t="str">
        <x:v>MF-23</x:v>
      </x:c>
      <x:c r="H2587" s="7" t="str"/>
      <x:c r="I2587" s="7" t="str"/>
      <x:c r="J2587" s="7" t="str">
        <x:f>IF(OR(H2587="",I2587=""),"",I2587-H2587)</x:f>
      </x:c>
      <x:c r="K2587" s="7" t="str"/>
      <x:c r="L2587" s="7" t="str"/>
      <x:c r="M2587" s="7" t="str">
        <x:f>IF(L2587="","OPEN",IF(OR(NOT(ISNUMBER(H2587)),NOT(ISNUMBER(I2587)),NOT(ISNUMBER(K2587)),ABS(J2587)&gt;K2587),"FAIL","PASS"))</x:f>
        <x:v>OPEN</x:v>
      </x:c>
    </x:row>
    <x:row r="2588">
      <x:c r="B2588" s="7" t="str">
        <x:v>CAL-CH-PEA-C-Y3-23-2</x:v>
      </x:c>
      <x:c r="C2588" s="7" t="str">
        <x:v>CH-PEA-C-Y3-23-2</x:v>
      </x:c>
      <x:c r="D2588" s="7" t="str">
        <x:v>PEA-C-Y3</x:v>
      </x:c>
      <x:c r="E2588" s="7" t="str">
        <x:v>BLD-C</x:v>
      </x:c>
      <x:c r="F2588" s="7" t="str">
        <x:v>BL-Y</x:v>
      </x:c>
      <x:c r="G2588" s="7" t="str">
        <x:v>MF-23</x:v>
      </x:c>
      <x:c r="H2588" s="7" t="str"/>
      <x:c r="I2588" s="7" t="str"/>
      <x:c r="J2588" s="7" t="str">
        <x:f>IF(OR(H2588="",I2588=""),"",I2588-H2588)</x:f>
      </x:c>
      <x:c r="K2588" s="7" t="str"/>
      <x:c r="L2588" s="7" t="str"/>
      <x:c r="M2588" s="7" t="str">
        <x:f>IF(L2588="","OPEN",IF(OR(NOT(ISNUMBER(H2588)),NOT(ISNUMBER(I2588)),NOT(ISNUMBER(K2588)),ABS(J2588)&gt;K2588),"FAIL","PASS"))</x:f>
        <x:v>OPEN</x:v>
      </x:c>
    </x:row>
    <x:row r="2589">
      <x:c r="B2589" s="7" t="str">
        <x:v>CAL-CH-PEA-C-Y3-23-3</x:v>
      </x:c>
      <x:c r="C2589" s="7" t="str">
        <x:v>CH-PEA-C-Y3-23-3</x:v>
      </x:c>
      <x:c r="D2589" s="7" t="str">
        <x:v>PEA-C-Y3</x:v>
      </x:c>
      <x:c r="E2589" s="7" t="str">
        <x:v>BLD-C</x:v>
      </x:c>
      <x:c r="F2589" s="7" t="str">
        <x:v>BL-Y</x:v>
      </x:c>
      <x:c r="G2589" s="7" t="str">
        <x:v>MF-23</x:v>
      </x:c>
      <x:c r="H2589" s="7" t="str"/>
      <x:c r="I2589" s="7" t="str"/>
      <x:c r="J2589" s="7" t="str">
        <x:f>IF(OR(H2589="",I2589=""),"",I2589-H2589)</x:f>
      </x:c>
      <x:c r="K2589" s="7" t="str"/>
      <x:c r="L2589" s="7" t="str"/>
      <x:c r="M2589" s="7" t="str">
        <x:f>IF(L2589="","OPEN",IF(OR(NOT(ISNUMBER(H2589)),NOT(ISNUMBER(I2589)),NOT(ISNUMBER(K2589)),ABS(J2589)&gt;K2589),"FAIL","PASS"))</x:f>
        <x:v>OPEN</x:v>
      </x:c>
    </x:row>
    <x:row r="2590">
      <x:c r="B2590" s="7" t="str">
        <x:v>CAL-CH-PEA-C-Y3-23-4</x:v>
      </x:c>
      <x:c r="C2590" s="7" t="str">
        <x:v>CH-PEA-C-Y3-23-4</x:v>
      </x:c>
      <x:c r="D2590" s="7" t="str">
        <x:v>PEA-C-Y3</x:v>
      </x:c>
      <x:c r="E2590" s="7" t="str">
        <x:v>BLD-C</x:v>
      </x:c>
      <x:c r="F2590" s="7" t="str">
        <x:v>BL-Y</x:v>
      </x:c>
      <x:c r="G2590" s="7" t="str">
        <x:v>MF-23</x:v>
      </x:c>
      <x:c r="H2590" s="7" t="str"/>
      <x:c r="I2590" s="7" t="str"/>
      <x:c r="J2590" s="7" t="str">
        <x:f>IF(OR(H2590="",I2590=""),"",I2590-H2590)</x:f>
      </x:c>
      <x:c r="K2590" s="7" t="str"/>
      <x:c r="L2590" s="7" t="str"/>
      <x:c r="M2590" s="7" t="str">
        <x:f>IF(L2590="","OPEN",IF(OR(NOT(ISNUMBER(H2590)),NOT(ISNUMBER(I2590)),NOT(ISNUMBER(K2590)),ABS(J2590)&gt;K2590),"FAIL","PASS"))</x:f>
        <x:v>OPEN</x:v>
      </x:c>
    </x:row>
    <x:row r="2591">
      <x:c r="B2591" s="7" t="str">
        <x:v>CAL-CH-PEA-C-Y3-23-5</x:v>
      </x:c>
      <x:c r="C2591" s="7" t="str">
        <x:v>CH-PEA-C-Y3-23-5</x:v>
      </x:c>
      <x:c r="D2591" s="7" t="str">
        <x:v>PEA-C-Y3</x:v>
      </x:c>
      <x:c r="E2591" s="7" t="str">
        <x:v>BLD-C</x:v>
      </x:c>
      <x:c r="F2591" s="7" t="str">
        <x:v>BL-Y</x:v>
      </x:c>
      <x:c r="G2591" s="7" t="str">
        <x:v>MF-23</x:v>
      </x:c>
      <x:c r="H2591" s="7" t="str"/>
      <x:c r="I2591" s="7" t="str"/>
      <x:c r="J2591" s="7" t="str">
        <x:f>IF(OR(H2591="",I2591=""),"",I2591-H2591)</x:f>
      </x:c>
      <x:c r="K2591" s="7" t="str"/>
      <x:c r="L2591" s="7" t="str"/>
      <x:c r="M2591" s="7" t="str">
        <x:f>IF(L2591="","OPEN",IF(OR(NOT(ISNUMBER(H2591)),NOT(ISNUMBER(I2591)),NOT(ISNUMBER(K2591)),ABS(J2591)&gt;K2591),"FAIL","PASS"))</x:f>
        <x:v>OPEN</x:v>
      </x:c>
    </x:row>
    <x:row r="2592">
      <x:c r="B2592" s="7" t="str">
        <x:v>CAL-CH-PEA-C-Y3-23-6</x:v>
      </x:c>
      <x:c r="C2592" s="7" t="str">
        <x:v>CH-PEA-C-Y3-23-6</x:v>
      </x:c>
      <x:c r="D2592" s="7" t="str">
        <x:v>PEA-C-Y3</x:v>
      </x:c>
      <x:c r="E2592" s="7" t="str">
        <x:v>BLD-C</x:v>
      </x:c>
      <x:c r="F2592" s="7" t="str">
        <x:v>BL-Y</x:v>
      </x:c>
      <x:c r="G2592" s="7" t="str">
        <x:v>MF-23</x:v>
      </x:c>
      <x:c r="H2592" s="7" t="str"/>
      <x:c r="I2592" s="7" t="str"/>
      <x:c r="J2592" s="7" t="str">
        <x:f>IF(OR(H2592="",I2592=""),"",I2592-H2592)</x:f>
      </x:c>
      <x:c r="K2592" s="7" t="str"/>
      <x:c r="L2592" s="7" t="str"/>
      <x:c r="M2592" s="7" t="str">
        <x:f>IF(L2592="","OPEN",IF(OR(NOT(ISNUMBER(H2592)),NOT(ISNUMBER(I2592)),NOT(ISNUMBER(K2592)),ABS(J2592)&gt;K2592),"FAIL","PASS"))</x:f>
        <x:v>OPEN</x:v>
      </x:c>
    </x:row>
    <x:row r="2593">
      <x:c r="B2593" s="7" t="str">
        <x:v>CAL-CH-PEA-C-Y3-24-1</x:v>
      </x:c>
      <x:c r="C2593" s="7" t="str">
        <x:v>CH-PEA-C-Y3-24-1</x:v>
      </x:c>
      <x:c r="D2593" s="7" t="str">
        <x:v>PEA-C-Y3</x:v>
      </x:c>
      <x:c r="E2593" s="7" t="str">
        <x:v>BLD-C</x:v>
      </x:c>
      <x:c r="F2593" s="7" t="str">
        <x:v>BL-Y</x:v>
      </x:c>
      <x:c r="G2593" s="7" t="str">
        <x:v>MF-24</x:v>
      </x:c>
      <x:c r="H2593" s="7" t="str"/>
      <x:c r="I2593" s="7" t="str"/>
      <x:c r="J2593" s="7" t="str">
        <x:f>IF(OR(H2593="",I2593=""),"",I2593-H2593)</x:f>
      </x:c>
      <x:c r="K2593" s="7" t="str"/>
      <x:c r="L2593" s="7" t="str"/>
      <x:c r="M2593" s="7" t="str">
        <x:f>IF(L2593="","OPEN",IF(OR(NOT(ISNUMBER(H2593)),NOT(ISNUMBER(I2593)),NOT(ISNUMBER(K2593)),ABS(J2593)&gt;K2593),"FAIL","PASS"))</x:f>
        <x:v>OPEN</x:v>
      </x:c>
    </x:row>
    <x:row r="2594">
      <x:c r="B2594" s="7" t="str">
        <x:v>CAL-CH-PEA-C-Y3-24-2</x:v>
      </x:c>
      <x:c r="C2594" s="7" t="str">
        <x:v>CH-PEA-C-Y3-24-2</x:v>
      </x:c>
      <x:c r="D2594" s="7" t="str">
        <x:v>PEA-C-Y3</x:v>
      </x:c>
      <x:c r="E2594" s="7" t="str">
        <x:v>BLD-C</x:v>
      </x:c>
      <x:c r="F2594" s="7" t="str">
        <x:v>BL-Y</x:v>
      </x:c>
      <x:c r="G2594" s="7" t="str">
        <x:v>MF-24</x:v>
      </x:c>
      <x:c r="H2594" s="7" t="str"/>
      <x:c r="I2594" s="7" t="str"/>
      <x:c r="J2594" s="7" t="str">
        <x:f>IF(OR(H2594="",I2594=""),"",I2594-H2594)</x:f>
      </x:c>
      <x:c r="K2594" s="7" t="str"/>
      <x:c r="L2594" s="7" t="str"/>
      <x:c r="M2594" s="7" t="str">
        <x:f>IF(L2594="","OPEN",IF(OR(NOT(ISNUMBER(H2594)),NOT(ISNUMBER(I2594)),NOT(ISNUMBER(K2594)),ABS(J2594)&gt;K2594),"FAIL","PASS"))</x:f>
        <x:v>OPEN</x:v>
      </x:c>
    </x:row>
    <x:row r="2595">
      <x:c r="B2595" s="7" t="str">
        <x:v>CAL-CH-PEA-C-Y3-24-3</x:v>
      </x:c>
      <x:c r="C2595" s="7" t="str">
        <x:v>CH-PEA-C-Y3-24-3</x:v>
      </x:c>
      <x:c r="D2595" s="7" t="str">
        <x:v>PEA-C-Y3</x:v>
      </x:c>
      <x:c r="E2595" s="7" t="str">
        <x:v>BLD-C</x:v>
      </x:c>
      <x:c r="F2595" s="7" t="str">
        <x:v>BL-Y</x:v>
      </x:c>
      <x:c r="G2595" s="7" t="str">
        <x:v>MF-24</x:v>
      </x:c>
      <x:c r="H2595" s="7" t="str"/>
      <x:c r="I2595" s="7" t="str"/>
      <x:c r="J2595" s="7" t="str">
        <x:f>IF(OR(H2595="",I2595=""),"",I2595-H2595)</x:f>
      </x:c>
      <x:c r="K2595" s="7" t="str"/>
      <x:c r="L2595" s="7" t="str"/>
      <x:c r="M2595" s="7" t="str">
        <x:f>IF(L2595="","OPEN",IF(OR(NOT(ISNUMBER(H2595)),NOT(ISNUMBER(I2595)),NOT(ISNUMBER(K2595)),ABS(J2595)&gt;K2595),"FAIL","PASS"))</x:f>
        <x:v>OPEN</x:v>
      </x:c>
    </x:row>
    <x:row r="2596">
      <x:c r="B2596" s="7" t="str">
        <x:v>CAL-CH-PEA-C-Y3-24-4</x:v>
      </x:c>
      <x:c r="C2596" s="7" t="str">
        <x:v>CH-PEA-C-Y3-24-4</x:v>
      </x:c>
      <x:c r="D2596" s="7" t="str">
        <x:v>PEA-C-Y3</x:v>
      </x:c>
      <x:c r="E2596" s="7" t="str">
        <x:v>BLD-C</x:v>
      </x:c>
      <x:c r="F2596" s="7" t="str">
        <x:v>BL-Y</x:v>
      </x:c>
      <x:c r="G2596" s="7" t="str">
        <x:v>MF-24</x:v>
      </x:c>
      <x:c r="H2596" s="7" t="str"/>
      <x:c r="I2596" s="7" t="str"/>
      <x:c r="J2596" s="7" t="str">
        <x:f>IF(OR(H2596="",I2596=""),"",I2596-H2596)</x:f>
      </x:c>
      <x:c r="K2596" s="7" t="str"/>
      <x:c r="L2596" s="7" t="str"/>
      <x:c r="M2596" s="7" t="str">
        <x:f>IF(L2596="","OPEN",IF(OR(NOT(ISNUMBER(H2596)),NOT(ISNUMBER(I2596)),NOT(ISNUMBER(K2596)),ABS(J2596)&gt;K2596),"FAIL","PASS"))</x:f>
        <x:v>OPEN</x:v>
      </x:c>
    </x:row>
    <x:row r="2597">
      <x:c r="B2597" s="7" t="str">
        <x:v>CAL-CH-PEA-C-Y3-24-5</x:v>
      </x:c>
      <x:c r="C2597" s="7" t="str">
        <x:v>CH-PEA-C-Y3-24-5</x:v>
      </x:c>
      <x:c r="D2597" s="7" t="str">
        <x:v>PEA-C-Y3</x:v>
      </x:c>
      <x:c r="E2597" s="7" t="str">
        <x:v>BLD-C</x:v>
      </x:c>
      <x:c r="F2597" s="7" t="str">
        <x:v>BL-Y</x:v>
      </x:c>
      <x:c r="G2597" s="7" t="str">
        <x:v>MF-24</x:v>
      </x:c>
      <x:c r="H2597" s="7" t="str"/>
      <x:c r="I2597" s="7" t="str"/>
      <x:c r="J2597" s="7" t="str">
        <x:f>IF(OR(H2597="",I2597=""),"",I2597-H2597)</x:f>
      </x:c>
      <x:c r="K2597" s="7" t="str"/>
      <x:c r="L2597" s="7" t="str"/>
      <x:c r="M2597" s="7" t="str">
        <x:f>IF(L2597="","OPEN",IF(OR(NOT(ISNUMBER(H2597)),NOT(ISNUMBER(I2597)),NOT(ISNUMBER(K2597)),ABS(J2597)&gt;K2597),"FAIL","PASS"))</x:f>
        <x:v>OPEN</x:v>
      </x:c>
    </x:row>
    <x:row r="2598">
      <x:c r="B2598" s="7" t="str">
        <x:v>CAL-CH-PEA-C-Y3-24-6</x:v>
      </x:c>
      <x:c r="C2598" s="7" t="str">
        <x:v>CH-PEA-C-Y3-24-6</x:v>
      </x:c>
      <x:c r="D2598" s="7" t="str">
        <x:v>PEA-C-Y3</x:v>
      </x:c>
      <x:c r="E2598" s="7" t="str">
        <x:v>BLD-C</x:v>
      </x:c>
      <x:c r="F2598" s="7" t="str">
        <x:v>BL-Y</x:v>
      </x:c>
      <x:c r="G2598" s="7" t="str">
        <x:v>MF-24</x:v>
      </x:c>
      <x:c r="H2598" s="7" t="str"/>
      <x:c r="I2598" s="7" t="str"/>
      <x:c r="J2598" s="7" t="str">
        <x:f>IF(OR(H2598="",I2598=""),"",I2598-H2598)</x:f>
      </x:c>
      <x:c r="K2598" s="7" t="str"/>
      <x:c r="L2598" s="7" t="str"/>
      <x:c r="M2598" s="7" t="str">
        <x:f>IF(L2598="","OPEN",IF(OR(NOT(ISNUMBER(H2598)),NOT(ISNUMBER(I2598)),NOT(ISNUMBER(K2598)),ABS(J2598)&gt;K2598),"FAIL","PASS"))</x:f>
        <x:v>OPEN</x:v>
      </x:c>
    </x:row>
  </x:sheetData>
  <x:conditionalFormatting sqref="M7:M2598">
    <x:cfRule type="containsText" dxfId="96" priority="1" operator="containsText" text="FAIL"/>
    <x:cfRule type="containsText" dxfId="97" priority="2" operator="containsText" text="BLOCKED"/>
    <x:cfRule type="containsText" dxfId="98" priority="3" operator="containsText" text="OPEN"/>
    <x:cfRule type="containsText" dxfId="99" priority="4" operator="containsText" text="DORMANT"/>
    <x:cfRule type="containsText" dxfId="100" priority="5" operator="containsText" text="REVIEW"/>
    <x:cfRule type="containsText" dxfId="101" priority="6" operator="containsText" text="PASS"/>
  </x:conditionalFormatting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30" hidden="0" customWidth="1"/>
    <x:col min="3" max="3" width="17" hidden="0" customWidth="1"/>
    <x:col min="4" max="4" width="14" hidden="0" customWidth="1"/>
    <x:col min="5" max="5" width="21" hidden="0" customWidth="1"/>
    <x:col min="6" max="6" width="25" hidden="0" customWidth="1"/>
    <x:col min="7" max="7" width="43" hidden="0" customWidth="1"/>
    <x:col min="8" max="8" width="33" hidden="0" customWidth="1"/>
    <x:col min="9" max="9" width="20" hidden="0" customWidth="1"/>
    <x:col min="10" max="10" width="35" hidden="0" customWidth="1"/>
    <x:col min="11" max="11" width="21" hidden="0" customWidth="1"/>
    <x:col min="12" max="12" width="14" hidden="0" customWidth="1"/>
  </x:cols>
  <x:sheetData>
    <x:row r="2">
      <x:c r="B2" s="1" t="str">
        <x:v>Fifty-four reserved exception records</x:v>
      </x:c>
    </x:row>
    <x:row r="3">
      <x:c r="B3" s="2" t="str">
        <x:v>Blank slots are dormant. Any entered record requires a disposition, evidence root and closure. Informal assistance fails.</x:v>
      </x:c>
    </x:row>
    <x:row r="6" ht="24" customHeight="1">
      <x:c r="B6" s="6" t="str">
        <x:v>Slot</x:v>
      </x:c>
      <x:c r="C6" s="6" t="str">
        <x:v>Article</x:v>
      </x:c>
      <x:c r="D6" s="6" t="str">
        <x:v>Builder</x:v>
      </x:c>
      <x:c r="E6" s="6" t="str">
        <x:v>Class</x:v>
      </x:c>
      <x:c r="F6" s="6" t="str">
        <x:v>Record identity</x:v>
      </x:c>
      <x:c r="G6" s="6" t="str">
        <x:v>Description</x:v>
      </x:c>
      <x:c r="H6" s="6" t="str">
        <x:v>Disposition</x:v>
      </x:c>
      <x:c r="I6" s="6" t="str">
        <x:v>Unauthorized flag</x:v>
      </x:c>
      <x:c r="J6" s="6" t="str">
        <x:v>Evidence root</x:v>
      </x:c>
      <x:c r="K6" s="6" t="str">
        <x:v>Closed UTC</x:v>
      </x:c>
      <x:c r="L6" s="6" t="str">
        <x:v>State</x:v>
      </x:c>
    </x:row>
    <x:row r="7" ht="38" customHeight="1">
      <x:c r="B7" s="7" t="str">
        <x:v>SLOT-PEA-A-X1-CON</x:v>
      </x:c>
      <x:c r="C7" s="7" t="str">
        <x:v>PEA-A-X1</x:v>
      </x:c>
      <x:c r="D7" s="7" t="str">
        <x:v>BLD-A</x:v>
      </x:c>
      <x:c r="E7" s="7" t="str">
        <x:v>CONTROLLED RFI</x:v>
      </x:c>
      <x:c r="F7" s="7" t="str"/>
      <x:c r="G7" s="10" t="str"/>
      <x:c r="H7" s="10" t="str"/>
      <x:c r="I7" s="7" t="n">
        <x:v>0</x:v>
      </x:c>
      <x:c r="J7" s="7" t="str"/>
      <x:c r="K7" s="7" t="str"/>
      <x:c r="L7" s="7" t="str">
        <x:f>IF(F7="","DORMANT",IF(K7="","OPEN",IF(OR(H7="",I7=1,J7=""),"FAIL","PASS")))</x:f>
        <x:v>DORMANT</x:v>
      </x:c>
    </x:row>
    <x:row r="8" ht="38" customHeight="1">
      <x:c r="B8" s="7" t="str">
        <x:v>SLOT-PEA-A-X1-NON</x:v>
      </x:c>
      <x:c r="C8" s="7" t="str">
        <x:v>PEA-A-X1</x:v>
      </x:c>
      <x:c r="D8" s="7" t="str">
        <x:v>BLD-A</x:v>
      </x:c>
      <x:c r="E8" s="7" t="str">
        <x:v>NONCONFORMANCE</x:v>
      </x:c>
      <x:c r="F8" s="7" t="str"/>
      <x:c r="G8" s="10" t="str"/>
      <x:c r="H8" s="10" t="str"/>
      <x:c r="I8" s="7" t="n">
        <x:v>0</x:v>
      </x:c>
      <x:c r="J8" s="7" t="str"/>
      <x:c r="K8" s="7" t="str"/>
      <x:c r="L8" s="7" t="str">
        <x:f>IF(F8="","DORMANT",IF(K8="","OPEN",IF(OR(H8="",I8=1,J8=""),"FAIL","PASS")))</x:f>
        <x:v>DORMANT</x:v>
      </x:c>
    </x:row>
    <x:row r="9" ht="38" customHeight="1">
      <x:c r="B9" s="7" t="str">
        <x:v>SLOT-PEA-A-X1-ASS</x:v>
      </x:c>
      <x:c r="C9" s="7" t="str">
        <x:v>PEA-A-X1</x:v>
      </x:c>
      <x:c r="D9" s="7" t="str">
        <x:v>BLD-A</x:v>
      </x:c>
      <x:c r="E9" s="7" t="str">
        <x:v>ASSISTANCE</x:v>
      </x:c>
      <x:c r="F9" s="7" t="str"/>
      <x:c r="G9" s="10" t="str"/>
      <x:c r="H9" s="10" t="str"/>
      <x:c r="I9" s="7" t="n">
        <x:v>0</x:v>
      </x:c>
      <x:c r="J9" s="7" t="str"/>
      <x:c r="K9" s="7" t="str"/>
      <x:c r="L9" s="7" t="str">
        <x:f>IF(F9="","DORMANT",IF(K9="","OPEN",IF(OR(H9="",I9=1,J9=""),"FAIL","PASS")))</x:f>
        <x:v>DORMANT</x:v>
      </x:c>
    </x:row>
    <x:row r="10" ht="38" customHeight="1">
      <x:c r="B10" s="7" t="str">
        <x:v>SLOT-PEA-A-X2-CON</x:v>
      </x:c>
      <x:c r="C10" s="7" t="str">
        <x:v>PEA-A-X2</x:v>
      </x:c>
      <x:c r="D10" s="7" t="str">
        <x:v>BLD-A</x:v>
      </x:c>
      <x:c r="E10" s="7" t="str">
        <x:v>CONTROLLED RFI</x:v>
      </x:c>
      <x:c r="F10" s="7" t="str"/>
      <x:c r="G10" s="10" t="str"/>
      <x:c r="H10" s="10" t="str"/>
      <x:c r="I10" s="7" t="n">
        <x:v>0</x:v>
      </x:c>
      <x:c r="J10" s="7" t="str"/>
      <x:c r="K10" s="7" t="str"/>
      <x:c r="L10" s="7" t="str">
        <x:f>IF(F10="","DORMANT",IF(K10="","OPEN",IF(OR(H10="",I10=1,J10=""),"FAIL","PASS")))</x:f>
        <x:v>DORMANT</x:v>
      </x:c>
    </x:row>
    <x:row r="11" ht="38" customHeight="1">
      <x:c r="B11" s="7" t="str">
        <x:v>SLOT-PEA-A-X2-NON</x:v>
      </x:c>
      <x:c r="C11" s="7" t="str">
        <x:v>PEA-A-X2</x:v>
      </x:c>
      <x:c r="D11" s="7" t="str">
        <x:v>BLD-A</x:v>
      </x:c>
      <x:c r="E11" s="7" t="str">
        <x:v>NONCONFORMANCE</x:v>
      </x:c>
      <x:c r="F11" s="7" t="str"/>
      <x:c r="G11" s="10" t="str"/>
      <x:c r="H11" s="10" t="str"/>
      <x:c r="I11" s="7" t="n">
        <x:v>0</x:v>
      </x:c>
      <x:c r="J11" s="7" t="str"/>
      <x:c r="K11" s="7" t="str"/>
      <x:c r="L11" s="7" t="str">
        <x:f>IF(F11="","DORMANT",IF(K11="","OPEN",IF(OR(H11="",I11=1,J11=""),"FAIL","PASS")))</x:f>
        <x:v>DORMANT</x:v>
      </x:c>
    </x:row>
    <x:row r="12" ht="38" customHeight="1">
      <x:c r="B12" s="7" t="str">
        <x:v>SLOT-PEA-A-X2-ASS</x:v>
      </x:c>
      <x:c r="C12" s="7" t="str">
        <x:v>PEA-A-X2</x:v>
      </x:c>
      <x:c r="D12" s="7" t="str">
        <x:v>BLD-A</x:v>
      </x:c>
      <x:c r="E12" s="7" t="str">
        <x:v>ASSISTANCE</x:v>
      </x:c>
      <x:c r="F12" s="7" t="str"/>
      <x:c r="G12" s="10" t="str"/>
      <x:c r="H12" s="10" t="str"/>
      <x:c r="I12" s="7" t="n">
        <x:v>0</x:v>
      </x:c>
      <x:c r="J12" s="7" t="str"/>
      <x:c r="K12" s="7" t="str"/>
      <x:c r="L12" s="7" t="str">
        <x:f>IF(F12="","DORMANT",IF(K12="","OPEN",IF(OR(H12="",I12=1,J12=""),"FAIL","PASS")))</x:f>
        <x:v>DORMANT</x:v>
      </x:c>
    </x:row>
    <x:row r="13" ht="38" customHeight="1">
      <x:c r="B13" s="7" t="str">
        <x:v>SLOT-PEA-A-X3-CON</x:v>
      </x:c>
      <x:c r="C13" s="7" t="str">
        <x:v>PEA-A-X3</x:v>
      </x:c>
      <x:c r="D13" s="7" t="str">
        <x:v>BLD-A</x:v>
      </x:c>
      <x:c r="E13" s="7" t="str">
        <x:v>CONTROLLED RFI</x:v>
      </x:c>
      <x:c r="F13" s="7" t="str"/>
      <x:c r="G13" s="10" t="str"/>
      <x:c r="H13" s="10" t="str"/>
      <x:c r="I13" s="7" t="n">
        <x:v>0</x:v>
      </x:c>
      <x:c r="J13" s="7" t="str"/>
      <x:c r="K13" s="7" t="str"/>
      <x:c r="L13" s="7" t="str">
        <x:f>IF(F13="","DORMANT",IF(K13="","OPEN",IF(OR(H13="",I13=1,J13=""),"FAIL","PASS")))</x:f>
        <x:v>DORMANT</x:v>
      </x:c>
    </x:row>
    <x:row r="14" ht="38" customHeight="1">
      <x:c r="B14" s="7" t="str">
        <x:v>SLOT-PEA-A-X3-NON</x:v>
      </x:c>
      <x:c r="C14" s="7" t="str">
        <x:v>PEA-A-X3</x:v>
      </x:c>
      <x:c r="D14" s="7" t="str">
        <x:v>BLD-A</x:v>
      </x:c>
      <x:c r="E14" s="7" t="str">
        <x:v>NONCONFORMANCE</x:v>
      </x:c>
      <x:c r="F14" s="7" t="str"/>
      <x:c r="G14" s="10" t="str"/>
      <x:c r="H14" s="10" t="str"/>
      <x:c r="I14" s="7" t="n">
        <x:v>0</x:v>
      </x:c>
      <x:c r="J14" s="7" t="str"/>
      <x:c r="K14" s="7" t="str"/>
      <x:c r="L14" s="7" t="str">
        <x:f>IF(F14="","DORMANT",IF(K14="","OPEN",IF(OR(H14="",I14=1,J14=""),"FAIL","PASS")))</x:f>
        <x:v>DORMANT</x:v>
      </x:c>
    </x:row>
    <x:row r="15" ht="38" customHeight="1">
      <x:c r="B15" s="7" t="str">
        <x:v>SLOT-PEA-A-X3-ASS</x:v>
      </x:c>
      <x:c r="C15" s="7" t="str">
        <x:v>PEA-A-X3</x:v>
      </x:c>
      <x:c r="D15" s="7" t="str">
        <x:v>BLD-A</x:v>
      </x:c>
      <x:c r="E15" s="7" t="str">
        <x:v>ASSISTANCE</x:v>
      </x:c>
      <x:c r="F15" s="7" t="str"/>
      <x:c r="G15" s="10" t="str"/>
      <x:c r="H15" s="10" t="str"/>
      <x:c r="I15" s="7" t="n">
        <x:v>0</x:v>
      </x:c>
      <x:c r="J15" s="7" t="str"/>
      <x:c r="K15" s="7" t="str"/>
      <x:c r="L15" s="7" t="str">
        <x:f>IF(F15="","DORMANT",IF(K15="","OPEN",IF(OR(H15="",I15=1,J15=""),"FAIL","PASS")))</x:f>
        <x:v>DORMANT</x:v>
      </x:c>
    </x:row>
    <x:row r="16" ht="38" customHeight="1">
      <x:c r="B16" s="7" t="str">
        <x:v>SLOT-PEA-A-Y1-CON</x:v>
      </x:c>
      <x:c r="C16" s="7" t="str">
        <x:v>PEA-A-Y1</x:v>
      </x:c>
      <x:c r="D16" s="7" t="str">
        <x:v>BLD-A</x:v>
      </x:c>
      <x:c r="E16" s="7" t="str">
        <x:v>CONTROLLED RFI</x:v>
      </x:c>
      <x:c r="F16" s="7" t="str"/>
      <x:c r="G16" s="10" t="str"/>
      <x:c r="H16" s="10" t="str"/>
      <x:c r="I16" s="7" t="n">
        <x:v>0</x:v>
      </x:c>
      <x:c r="J16" s="7" t="str"/>
      <x:c r="K16" s="7" t="str"/>
      <x:c r="L16" s="7" t="str">
        <x:f>IF(F16="","DORMANT",IF(K16="","OPEN",IF(OR(H16="",I16=1,J16=""),"FAIL","PASS")))</x:f>
        <x:v>DORMANT</x:v>
      </x:c>
    </x:row>
    <x:row r="17" ht="38" customHeight="1">
      <x:c r="B17" s="7" t="str">
        <x:v>SLOT-PEA-A-Y1-NON</x:v>
      </x:c>
      <x:c r="C17" s="7" t="str">
        <x:v>PEA-A-Y1</x:v>
      </x:c>
      <x:c r="D17" s="7" t="str">
        <x:v>BLD-A</x:v>
      </x:c>
      <x:c r="E17" s="7" t="str">
        <x:v>NONCONFORMANCE</x:v>
      </x:c>
      <x:c r="F17" s="7" t="str"/>
      <x:c r="G17" s="10" t="str"/>
      <x:c r="H17" s="10" t="str"/>
      <x:c r="I17" s="7" t="n">
        <x:v>0</x:v>
      </x:c>
      <x:c r="J17" s="7" t="str"/>
      <x:c r="K17" s="7" t="str"/>
      <x:c r="L17" s="7" t="str">
        <x:f>IF(F17="","DORMANT",IF(K17="","OPEN",IF(OR(H17="",I17=1,J17=""),"FAIL","PASS")))</x:f>
        <x:v>DORMANT</x:v>
      </x:c>
    </x:row>
    <x:row r="18" ht="38" customHeight="1">
      <x:c r="B18" s="7" t="str">
        <x:v>SLOT-PEA-A-Y1-ASS</x:v>
      </x:c>
      <x:c r="C18" s="7" t="str">
        <x:v>PEA-A-Y1</x:v>
      </x:c>
      <x:c r="D18" s="7" t="str">
        <x:v>BLD-A</x:v>
      </x:c>
      <x:c r="E18" s="7" t="str">
        <x:v>ASSISTANCE</x:v>
      </x:c>
      <x:c r="F18" s="7" t="str"/>
      <x:c r="G18" s="10" t="str"/>
      <x:c r="H18" s="10" t="str"/>
      <x:c r="I18" s="7" t="n">
        <x:v>0</x:v>
      </x:c>
      <x:c r="J18" s="7" t="str"/>
      <x:c r="K18" s="7" t="str"/>
      <x:c r="L18" s="7" t="str">
        <x:f>IF(F18="","DORMANT",IF(K18="","OPEN",IF(OR(H18="",I18=1,J18=""),"FAIL","PASS")))</x:f>
        <x:v>DORMANT</x:v>
      </x:c>
    </x:row>
    <x:row r="19" ht="38" customHeight="1">
      <x:c r="B19" s="7" t="str">
        <x:v>SLOT-PEA-A-Y2-CON</x:v>
      </x:c>
      <x:c r="C19" s="7" t="str">
        <x:v>PEA-A-Y2</x:v>
      </x:c>
      <x:c r="D19" s="7" t="str">
        <x:v>BLD-A</x:v>
      </x:c>
      <x:c r="E19" s="7" t="str">
        <x:v>CONTROLLED RFI</x:v>
      </x:c>
      <x:c r="F19" s="7" t="str"/>
      <x:c r="G19" s="10" t="str"/>
      <x:c r="H19" s="10" t="str"/>
      <x:c r="I19" s="7" t="n">
        <x:v>0</x:v>
      </x:c>
      <x:c r="J19" s="7" t="str"/>
      <x:c r="K19" s="7" t="str"/>
      <x:c r="L19" s="7" t="str">
        <x:f>IF(F19="","DORMANT",IF(K19="","OPEN",IF(OR(H19="",I19=1,J19=""),"FAIL","PASS")))</x:f>
        <x:v>DORMANT</x:v>
      </x:c>
    </x:row>
    <x:row r="20" ht="38" customHeight="1">
      <x:c r="B20" s="7" t="str">
        <x:v>SLOT-PEA-A-Y2-NON</x:v>
      </x:c>
      <x:c r="C20" s="7" t="str">
        <x:v>PEA-A-Y2</x:v>
      </x:c>
      <x:c r="D20" s="7" t="str">
        <x:v>BLD-A</x:v>
      </x:c>
      <x:c r="E20" s="7" t="str">
        <x:v>NONCONFORMANCE</x:v>
      </x:c>
      <x:c r="F20" s="7" t="str"/>
      <x:c r="G20" s="10" t="str"/>
      <x:c r="H20" s="10" t="str"/>
      <x:c r="I20" s="7" t="n">
        <x:v>0</x:v>
      </x:c>
      <x:c r="J20" s="7" t="str"/>
      <x:c r="K20" s="7" t="str"/>
      <x:c r="L20" s="7" t="str">
        <x:f>IF(F20="","DORMANT",IF(K20="","OPEN",IF(OR(H20="",I20=1,J20=""),"FAIL","PASS")))</x:f>
        <x:v>DORMANT</x:v>
      </x:c>
    </x:row>
    <x:row r="21" ht="38" customHeight="1">
      <x:c r="B21" s="7" t="str">
        <x:v>SLOT-PEA-A-Y2-ASS</x:v>
      </x:c>
      <x:c r="C21" s="7" t="str">
        <x:v>PEA-A-Y2</x:v>
      </x:c>
      <x:c r="D21" s="7" t="str">
        <x:v>BLD-A</x:v>
      </x:c>
      <x:c r="E21" s="7" t="str">
        <x:v>ASSISTANCE</x:v>
      </x:c>
      <x:c r="F21" s="7" t="str"/>
      <x:c r="G21" s="10" t="str"/>
      <x:c r="H21" s="10" t="str"/>
      <x:c r="I21" s="7" t="n">
        <x:v>0</x:v>
      </x:c>
      <x:c r="J21" s="7" t="str"/>
      <x:c r="K21" s="7" t="str"/>
      <x:c r="L21" s="7" t="str">
        <x:f>IF(F21="","DORMANT",IF(K21="","OPEN",IF(OR(H21="",I21=1,J21=""),"FAIL","PASS")))</x:f>
        <x:v>DORMANT</x:v>
      </x:c>
    </x:row>
    <x:row r="22" ht="38" customHeight="1">
      <x:c r="B22" s="7" t="str">
        <x:v>SLOT-PEA-A-Y3-CON</x:v>
      </x:c>
      <x:c r="C22" s="7" t="str">
        <x:v>PEA-A-Y3</x:v>
      </x:c>
      <x:c r="D22" s="7" t="str">
        <x:v>BLD-A</x:v>
      </x:c>
      <x:c r="E22" s="7" t="str">
        <x:v>CONTROLLED RFI</x:v>
      </x:c>
      <x:c r="F22" s="7" t="str"/>
      <x:c r="G22" s="10" t="str"/>
      <x:c r="H22" s="10" t="str"/>
      <x:c r="I22" s="7" t="n">
        <x:v>0</x:v>
      </x:c>
      <x:c r="J22" s="7" t="str"/>
      <x:c r="K22" s="7" t="str"/>
      <x:c r="L22" s="7" t="str">
        <x:f>IF(F22="","DORMANT",IF(K22="","OPEN",IF(OR(H22="",I22=1,J22=""),"FAIL","PASS")))</x:f>
        <x:v>DORMANT</x:v>
      </x:c>
    </x:row>
    <x:row r="23" ht="38" customHeight="1">
      <x:c r="B23" s="7" t="str">
        <x:v>SLOT-PEA-A-Y3-NON</x:v>
      </x:c>
      <x:c r="C23" s="7" t="str">
        <x:v>PEA-A-Y3</x:v>
      </x:c>
      <x:c r="D23" s="7" t="str">
        <x:v>BLD-A</x:v>
      </x:c>
      <x:c r="E23" s="7" t="str">
        <x:v>NONCONFORMANCE</x:v>
      </x:c>
      <x:c r="F23" s="7" t="str"/>
      <x:c r="G23" s="10" t="str"/>
      <x:c r="H23" s="10" t="str"/>
      <x:c r="I23" s="7" t="n">
        <x:v>0</x:v>
      </x:c>
      <x:c r="J23" s="7" t="str"/>
      <x:c r="K23" s="7" t="str"/>
      <x:c r="L23" s="7" t="str">
        <x:f>IF(F23="","DORMANT",IF(K23="","OPEN",IF(OR(H23="",I23=1,J23=""),"FAIL","PASS")))</x:f>
        <x:v>DORMANT</x:v>
      </x:c>
    </x:row>
    <x:row r="24" ht="38" customHeight="1">
      <x:c r="B24" s="7" t="str">
        <x:v>SLOT-PEA-A-Y3-ASS</x:v>
      </x:c>
      <x:c r="C24" s="7" t="str">
        <x:v>PEA-A-Y3</x:v>
      </x:c>
      <x:c r="D24" s="7" t="str">
        <x:v>BLD-A</x:v>
      </x:c>
      <x:c r="E24" s="7" t="str">
        <x:v>ASSISTANCE</x:v>
      </x:c>
      <x:c r="F24" s="7" t="str"/>
      <x:c r="G24" s="10" t="str"/>
      <x:c r="H24" s="10" t="str"/>
      <x:c r="I24" s="7" t="n">
        <x:v>0</x:v>
      </x:c>
      <x:c r="J24" s="7" t="str"/>
      <x:c r="K24" s="7" t="str"/>
      <x:c r="L24" s="7" t="str">
        <x:f>IF(F24="","DORMANT",IF(K24="","OPEN",IF(OR(H24="",I24=1,J24=""),"FAIL","PASS")))</x:f>
        <x:v>DORMANT</x:v>
      </x:c>
    </x:row>
    <x:row r="25" ht="38" customHeight="1">
      <x:c r="B25" s="7" t="str">
        <x:v>SLOT-PEA-B-X1-CON</x:v>
      </x:c>
      <x:c r="C25" s="7" t="str">
        <x:v>PEA-B-X1</x:v>
      </x:c>
      <x:c r="D25" s="7" t="str">
        <x:v>BLD-B</x:v>
      </x:c>
      <x:c r="E25" s="7" t="str">
        <x:v>CONTROLLED RFI</x:v>
      </x:c>
      <x:c r="F25" s="7" t="str"/>
      <x:c r="G25" s="10" t="str"/>
      <x:c r="H25" s="10" t="str"/>
      <x:c r="I25" s="7" t="n">
        <x:v>0</x:v>
      </x:c>
      <x:c r="J25" s="7" t="str"/>
      <x:c r="K25" s="7" t="str"/>
      <x:c r="L25" s="7" t="str">
        <x:f>IF(F25="","DORMANT",IF(K25="","OPEN",IF(OR(H25="",I25=1,J25=""),"FAIL","PASS")))</x:f>
        <x:v>DORMANT</x:v>
      </x:c>
    </x:row>
    <x:row r="26" ht="38" customHeight="1">
      <x:c r="B26" s="7" t="str">
        <x:v>SLOT-PEA-B-X1-NON</x:v>
      </x:c>
      <x:c r="C26" s="7" t="str">
        <x:v>PEA-B-X1</x:v>
      </x:c>
      <x:c r="D26" s="7" t="str">
        <x:v>BLD-B</x:v>
      </x:c>
      <x:c r="E26" s="7" t="str">
        <x:v>NONCONFORMANCE</x:v>
      </x:c>
      <x:c r="F26" s="7" t="str"/>
      <x:c r="G26" s="10" t="str"/>
      <x:c r="H26" s="10" t="str"/>
      <x:c r="I26" s="7" t="n">
        <x:v>0</x:v>
      </x:c>
      <x:c r="J26" s="7" t="str"/>
      <x:c r="K26" s="7" t="str"/>
      <x:c r="L26" s="7" t="str">
        <x:f>IF(F26="","DORMANT",IF(K26="","OPEN",IF(OR(H26="",I26=1,J26=""),"FAIL","PASS")))</x:f>
        <x:v>DORMANT</x:v>
      </x:c>
    </x:row>
    <x:row r="27" ht="38" customHeight="1">
      <x:c r="B27" s="7" t="str">
        <x:v>SLOT-PEA-B-X1-ASS</x:v>
      </x:c>
      <x:c r="C27" s="7" t="str">
        <x:v>PEA-B-X1</x:v>
      </x:c>
      <x:c r="D27" s="7" t="str">
        <x:v>BLD-B</x:v>
      </x:c>
      <x:c r="E27" s="7" t="str">
        <x:v>ASSISTANCE</x:v>
      </x:c>
      <x:c r="F27" s="7" t="str"/>
      <x:c r="G27" s="10" t="str"/>
      <x:c r="H27" s="10" t="str"/>
      <x:c r="I27" s="7" t="n">
        <x:v>0</x:v>
      </x:c>
      <x:c r="J27" s="7" t="str"/>
      <x:c r="K27" s="7" t="str"/>
      <x:c r="L27" s="7" t="str">
        <x:f>IF(F27="","DORMANT",IF(K27="","OPEN",IF(OR(H27="",I27=1,J27=""),"FAIL","PASS")))</x:f>
        <x:v>DORMANT</x:v>
      </x:c>
    </x:row>
    <x:row r="28" ht="38" customHeight="1">
      <x:c r="B28" s="7" t="str">
        <x:v>SLOT-PEA-B-X2-CON</x:v>
      </x:c>
      <x:c r="C28" s="7" t="str">
        <x:v>PEA-B-X2</x:v>
      </x:c>
      <x:c r="D28" s="7" t="str">
        <x:v>BLD-B</x:v>
      </x:c>
      <x:c r="E28" s="7" t="str">
        <x:v>CONTROLLED RFI</x:v>
      </x:c>
      <x:c r="F28" s="7" t="str"/>
      <x:c r="G28" s="10" t="str"/>
      <x:c r="H28" s="10" t="str"/>
      <x:c r="I28" s="7" t="n">
        <x:v>0</x:v>
      </x:c>
      <x:c r="J28" s="7" t="str"/>
      <x:c r="K28" s="7" t="str"/>
      <x:c r="L28" s="7" t="str">
        <x:f>IF(F28="","DORMANT",IF(K28="","OPEN",IF(OR(H28="",I28=1,J28=""),"FAIL","PASS")))</x:f>
        <x:v>DORMANT</x:v>
      </x:c>
    </x:row>
    <x:row r="29" ht="38" customHeight="1">
      <x:c r="B29" s="7" t="str">
        <x:v>SLOT-PEA-B-X2-NON</x:v>
      </x:c>
      <x:c r="C29" s="7" t="str">
        <x:v>PEA-B-X2</x:v>
      </x:c>
      <x:c r="D29" s="7" t="str">
        <x:v>BLD-B</x:v>
      </x:c>
      <x:c r="E29" s="7" t="str">
        <x:v>NONCONFORMANCE</x:v>
      </x:c>
      <x:c r="F29" s="7" t="str"/>
      <x:c r="G29" s="10" t="str"/>
      <x:c r="H29" s="10" t="str"/>
      <x:c r="I29" s="7" t="n">
        <x:v>0</x:v>
      </x:c>
      <x:c r="J29" s="7" t="str"/>
      <x:c r="K29" s="7" t="str"/>
      <x:c r="L29" s="7" t="str">
        <x:f>IF(F29="","DORMANT",IF(K29="","OPEN",IF(OR(H29="",I29=1,J29=""),"FAIL","PASS")))</x:f>
        <x:v>DORMANT</x:v>
      </x:c>
    </x:row>
    <x:row r="30" ht="38" customHeight="1">
      <x:c r="B30" s="7" t="str">
        <x:v>SLOT-PEA-B-X2-ASS</x:v>
      </x:c>
      <x:c r="C30" s="7" t="str">
        <x:v>PEA-B-X2</x:v>
      </x:c>
      <x:c r="D30" s="7" t="str">
        <x:v>BLD-B</x:v>
      </x:c>
      <x:c r="E30" s="7" t="str">
        <x:v>ASSISTANCE</x:v>
      </x:c>
      <x:c r="F30" s="7" t="str"/>
      <x:c r="G30" s="10" t="str"/>
      <x:c r="H30" s="10" t="str"/>
      <x:c r="I30" s="7" t="n">
        <x:v>0</x:v>
      </x:c>
      <x:c r="J30" s="7" t="str"/>
      <x:c r="K30" s="7" t="str"/>
      <x:c r="L30" s="7" t="str">
        <x:f>IF(F30="","DORMANT",IF(K30="","OPEN",IF(OR(H30="",I30=1,J30=""),"FAIL","PASS")))</x:f>
        <x:v>DORMANT</x:v>
      </x:c>
    </x:row>
    <x:row r="31" ht="38" customHeight="1">
      <x:c r="B31" s="7" t="str">
        <x:v>SLOT-PEA-B-X3-CON</x:v>
      </x:c>
      <x:c r="C31" s="7" t="str">
        <x:v>PEA-B-X3</x:v>
      </x:c>
      <x:c r="D31" s="7" t="str">
        <x:v>BLD-B</x:v>
      </x:c>
      <x:c r="E31" s="7" t="str">
        <x:v>CONTROLLED RFI</x:v>
      </x:c>
      <x:c r="F31" s="7" t="str"/>
      <x:c r="G31" s="10" t="str"/>
      <x:c r="H31" s="10" t="str"/>
      <x:c r="I31" s="7" t="n">
        <x:v>0</x:v>
      </x:c>
      <x:c r="J31" s="7" t="str"/>
      <x:c r="K31" s="7" t="str"/>
      <x:c r="L31" s="7" t="str">
        <x:f>IF(F31="","DORMANT",IF(K31="","OPEN",IF(OR(H31="",I31=1,J31=""),"FAIL","PASS")))</x:f>
        <x:v>DORMANT</x:v>
      </x:c>
    </x:row>
    <x:row r="32" ht="38" customHeight="1">
      <x:c r="B32" s="7" t="str">
        <x:v>SLOT-PEA-B-X3-NON</x:v>
      </x:c>
      <x:c r="C32" s="7" t="str">
        <x:v>PEA-B-X3</x:v>
      </x:c>
      <x:c r="D32" s="7" t="str">
        <x:v>BLD-B</x:v>
      </x:c>
      <x:c r="E32" s="7" t="str">
        <x:v>NONCONFORMANCE</x:v>
      </x:c>
      <x:c r="F32" s="7" t="str"/>
      <x:c r="G32" s="10" t="str"/>
      <x:c r="H32" s="10" t="str"/>
      <x:c r="I32" s="7" t="n">
        <x:v>0</x:v>
      </x:c>
      <x:c r="J32" s="7" t="str"/>
      <x:c r="K32" s="7" t="str"/>
      <x:c r="L32" s="7" t="str">
        <x:f>IF(F32="","DORMANT",IF(K32="","OPEN",IF(OR(H32="",I32=1,J32=""),"FAIL","PASS")))</x:f>
        <x:v>DORMANT</x:v>
      </x:c>
    </x:row>
    <x:row r="33" ht="38" customHeight="1">
      <x:c r="B33" s="7" t="str">
        <x:v>SLOT-PEA-B-X3-ASS</x:v>
      </x:c>
      <x:c r="C33" s="7" t="str">
        <x:v>PEA-B-X3</x:v>
      </x:c>
      <x:c r="D33" s="7" t="str">
        <x:v>BLD-B</x:v>
      </x:c>
      <x:c r="E33" s="7" t="str">
        <x:v>ASSISTANCE</x:v>
      </x:c>
      <x:c r="F33" s="7" t="str"/>
      <x:c r="G33" s="10" t="str"/>
      <x:c r="H33" s="10" t="str"/>
      <x:c r="I33" s="7" t="n">
        <x:v>0</x:v>
      </x:c>
      <x:c r="J33" s="7" t="str"/>
      <x:c r="K33" s="7" t="str"/>
      <x:c r="L33" s="7" t="str">
        <x:f>IF(F33="","DORMANT",IF(K33="","OPEN",IF(OR(H33="",I33=1,J33=""),"FAIL","PASS")))</x:f>
        <x:v>DORMANT</x:v>
      </x:c>
    </x:row>
    <x:row r="34" ht="38" customHeight="1">
      <x:c r="B34" s="7" t="str">
        <x:v>SLOT-PEA-B-Y1-CON</x:v>
      </x:c>
      <x:c r="C34" s="7" t="str">
        <x:v>PEA-B-Y1</x:v>
      </x:c>
      <x:c r="D34" s="7" t="str">
        <x:v>BLD-B</x:v>
      </x:c>
      <x:c r="E34" s="7" t="str">
        <x:v>CONTROLLED RFI</x:v>
      </x:c>
      <x:c r="F34" s="7" t="str"/>
      <x:c r="G34" s="10" t="str"/>
      <x:c r="H34" s="10" t="str"/>
      <x:c r="I34" s="7" t="n">
        <x:v>0</x:v>
      </x:c>
      <x:c r="J34" s="7" t="str"/>
      <x:c r="K34" s="7" t="str"/>
      <x:c r="L34" s="7" t="str">
        <x:f>IF(F34="","DORMANT",IF(K34="","OPEN",IF(OR(H34="",I34=1,J34=""),"FAIL","PASS")))</x:f>
        <x:v>DORMANT</x:v>
      </x:c>
    </x:row>
    <x:row r="35" ht="38" customHeight="1">
      <x:c r="B35" s="7" t="str">
        <x:v>SLOT-PEA-B-Y1-NON</x:v>
      </x:c>
      <x:c r="C35" s="7" t="str">
        <x:v>PEA-B-Y1</x:v>
      </x:c>
      <x:c r="D35" s="7" t="str">
        <x:v>BLD-B</x:v>
      </x:c>
      <x:c r="E35" s="7" t="str">
        <x:v>NONCONFORMANCE</x:v>
      </x:c>
      <x:c r="F35" s="7" t="str"/>
      <x:c r="G35" s="10" t="str"/>
      <x:c r="H35" s="10" t="str"/>
      <x:c r="I35" s="7" t="n">
        <x:v>0</x:v>
      </x:c>
      <x:c r="J35" s="7" t="str"/>
      <x:c r="K35" s="7" t="str"/>
      <x:c r="L35" s="7" t="str">
        <x:f>IF(F35="","DORMANT",IF(K35="","OPEN",IF(OR(H35="",I35=1,J35=""),"FAIL","PASS")))</x:f>
        <x:v>DORMANT</x:v>
      </x:c>
    </x:row>
    <x:row r="36" ht="38" customHeight="1">
      <x:c r="B36" s="7" t="str">
        <x:v>SLOT-PEA-B-Y1-ASS</x:v>
      </x:c>
      <x:c r="C36" s="7" t="str">
        <x:v>PEA-B-Y1</x:v>
      </x:c>
      <x:c r="D36" s="7" t="str">
        <x:v>BLD-B</x:v>
      </x:c>
      <x:c r="E36" s="7" t="str">
        <x:v>ASSISTANCE</x:v>
      </x:c>
      <x:c r="F36" s="7" t="str"/>
      <x:c r="G36" s="10" t="str"/>
      <x:c r="H36" s="10" t="str"/>
      <x:c r="I36" s="7" t="n">
        <x:v>0</x:v>
      </x:c>
      <x:c r="J36" s="7" t="str"/>
      <x:c r="K36" s="7" t="str"/>
      <x:c r="L36" s="7" t="str">
        <x:f>IF(F36="","DORMANT",IF(K36="","OPEN",IF(OR(H36="",I36=1,J36=""),"FAIL","PASS")))</x:f>
        <x:v>DORMANT</x:v>
      </x:c>
    </x:row>
    <x:row r="37" ht="38" customHeight="1">
      <x:c r="B37" s="7" t="str">
        <x:v>SLOT-PEA-B-Y2-CON</x:v>
      </x:c>
      <x:c r="C37" s="7" t="str">
        <x:v>PEA-B-Y2</x:v>
      </x:c>
      <x:c r="D37" s="7" t="str">
        <x:v>BLD-B</x:v>
      </x:c>
      <x:c r="E37" s="7" t="str">
        <x:v>CONTROLLED RFI</x:v>
      </x:c>
      <x:c r="F37" s="7" t="str"/>
      <x:c r="G37" s="10" t="str"/>
      <x:c r="H37" s="10" t="str"/>
      <x:c r="I37" s="7" t="n">
        <x:v>0</x:v>
      </x:c>
      <x:c r="J37" s="7" t="str"/>
      <x:c r="K37" s="7" t="str"/>
      <x:c r="L37" s="7" t="str">
        <x:f>IF(F37="","DORMANT",IF(K37="","OPEN",IF(OR(H37="",I37=1,J37=""),"FAIL","PASS")))</x:f>
        <x:v>DORMANT</x:v>
      </x:c>
    </x:row>
    <x:row r="38" ht="38" customHeight="1">
      <x:c r="B38" s="7" t="str">
        <x:v>SLOT-PEA-B-Y2-NON</x:v>
      </x:c>
      <x:c r="C38" s="7" t="str">
        <x:v>PEA-B-Y2</x:v>
      </x:c>
      <x:c r="D38" s="7" t="str">
        <x:v>BLD-B</x:v>
      </x:c>
      <x:c r="E38" s="7" t="str">
        <x:v>NONCONFORMANCE</x:v>
      </x:c>
      <x:c r="F38" s="7" t="str"/>
      <x:c r="G38" s="10" t="str"/>
      <x:c r="H38" s="10" t="str"/>
      <x:c r="I38" s="7" t="n">
        <x:v>0</x:v>
      </x:c>
      <x:c r="J38" s="7" t="str"/>
      <x:c r="K38" s="7" t="str"/>
      <x:c r="L38" s="7" t="str">
        <x:f>IF(F38="","DORMANT",IF(K38="","OPEN",IF(OR(H38="",I38=1,J38=""),"FAIL","PASS")))</x:f>
        <x:v>DORMANT</x:v>
      </x:c>
    </x:row>
    <x:row r="39" ht="38" customHeight="1">
      <x:c r="B39" s="7" t="str">
        <x:v>SLOT-PEA-B-Y2-ASS</x:v>
      </x:c>
      <x:c r="C39" s="7" t="str">
        <x:v>PEA-B-Y2</x:v>
      </x:c>
      <x:c r="D39" s="7" t="str">
        <x:v>BLD-B</x:v>
      </x:c>
      <x:c r="E39" s="7" t="str">
        <x:v>ASSISTANCE</x:v>
      </x:c>
      <x:c r="F39" s="7" t="str"/>
      <x:c r="G39" s="10" t="str"/>
      <x:c r="H39" s="10" t="str"/>
      <x:c r="I39" s="7" t="n">
        <x:v>0</x:v>
      </x:c>
      <x:c r="J39" s="7" t="str"/>
      <x:c r="K39" s="7" t="str"/>
      <x:c r="L39" s="7" t="str">
        <x:f>IF(F39="","DORMANT",IF(K39="","OPEN",IF(OR(H39="",I39=1,J39=""),"FAIL","PASS")))</x:f>
        <x:v>DORMANT</x:v>
      </x:c>
    </x:row>
    <x:row r="40" ht="38" customHeight="1">
      <x:c r="B40" s="7" t="str">
        <x:v>SLOT-PEA-B-Y3-CON</x:v>
      </x:c>
      <x:c r="C40" s="7" t="str">
        <x:v>PEA-B-Y3</x:v>
      </x:c>
      <x:c r="D40" s="7" t="str">
        <x:v>BLD-B</x:v>
      </x:c>
      <x:c r="E40" s="7" t="str">
        <x:v>CONTROLLED RFI</x:v>
      </x:c>
      <x:c r="F40" s="7" t="str"/>
      <x:c r="G40" s="10" t="str"/>
      <x:c r="H40" s="10" t="str"/>
      <x:c r="I40" s="7" t="n">
        <x:v>0</x:v>
      </x:c>
      <x:c r="J40" s="7" t="str"/>
      <x:c r="K40" s="7" t="str"/>
      <x:c r="L40" s="7" t="str">
        <x:f>IF(F40="","DORMANT",IF(K40="","OPEN",IF(OR(H40="",I40=1,J40=""),"FAIL","PASS")))</x:f>
        <x:v>DORMANT</x:v>
      </x:c>
    </x:row>
    <x:row r="41" ht="38" customHeight="1">
      <x:c r="B41" s="7" t="str">
        <x:v>SLOT-PEA-B-Y3-NON</x:v>
      </x:c>
      <x:c r="C41" s="7" t="str">
        <x:v>PEA-B-Y3</x:v>
      </x:c>
      <x:c r="D41" s="7" t="str">
        <x:v>BLD-B</x:v>
      </x:c>
      <x:c r="E41" s="7" t="str">
        <x:v>NONCONFORMANCE</x:v>
      </x:c>
      <x:c r="F41" s="7" t="str"/>
      <x:c r="G41" s="10" t="str"/>
      <x:c r="H41" s="10" t="str"/>
      <x:c r="I41" s="7" t="n">
        <x:v>0</x:v>
      </x:c>
      <x:c r="J41" s="7" t="str"/>
      <x:c r="K41" s="7" t="str"/>
      <x:c r="L41" s="7" t="str">
        <x:f>IF(F41="","DORMANT",IF(K41="","OPEN",IF(OR(H41="",I41=1,J41=""),"FAIL","PASS")))</x:f>
        <x:v>DORMANT</x:v>
      </x:c>
    </x:row>
    <x:row r="42" ht="38" customHeight="1">
      <x:c r="B42" s="7" t="str">
        <x:v>SLOT-PEA-B-Y3-ASS</x:v>
      </x:c>
      <x:c r="C42" s="7" t="str">
        <x:v>PEA-B-Y3</x:v>
      </x:c>
      <x:c r="D42" s="7" t="str">
        <x:v>BLD-B</x:v>
      </x:c>
      <x:c r="E42" s="7" t="str">
        <x:v>ASSISTANCE</x:v>
      </x:c>
      <x:c r="F42" s="7" t="str"/>
      <x:c r="G42" s="10" t="str"/>
      <x:c r="H42" s="10" t="str"/>
      <x:c r="I42" s="7" t="n">
        <x:v>0</x:v>
      </x:c>
      <x:c r="J42" s="7" t="str"/>
      <x:c r="K42" s="7" t="str"/>
      <x:c r="L42" s="7" t="str">
        <x:f>IF(F42="","DORMANT",IF(K42="","OPEN",IF(OR(H42="",I42=1,J42=""),"FAIL","PASS")))</x:f>
        <x:v>DORMANT</x:v>
      </x:c>
    </x:row>
    <x:row r="43" ht="38" customHeight="1">
      <x:c r="B43" s="7" t="str">
        <x:v>SLOT-PEA-C-X1-CON</x:v>
      </x:c>
      <x:c r="C43" s="7" t="str">
        <x:v>PEA-C-X1</x:v>
      </x:c>
      <x:c r="D43" s="7" t="str">
        <x:v>BLD-C</x:v>
      </x:c>
      <x:c r="E43" s="7" t="str">
        <x:v>CONTROLLED RFI</x:v>
      </x:c>
      <x:c r="F43" s="7" t="str"/>
      <x:c r="G43" s="10" t="str"/>
      <x:c r="H43" s="10" t="str"/>
      <x:c r="I43" s="7" t="n">
        <x:v>0</x:v>
      </x:c>
      <x:c r="J43" s="7" t="str"/>
      <x:c r="K43" s="7" t="str"/>
      <x:c r="L43" s="7" t="str">
        <x:f>IF(F43="","DORMANT",IF(K43="","OPEN",IF(OR(H43="",I43=1,J43=""),"FAIL","PASS")))</x:f>
        <x:v>DORMANT</x:v>
      </x:c>
    </x:row>
    <x:row r="44" ht="38" customHeight="1">
      <x:c r="B44" s="7" t="str">
        <x:v>SLOT-PEA-C-X1-NON</x:v>
      </x:c>
      <x:c r="C44" s="7" t="str">
        <x:v>PEA-C-X1</x:v>
      </x:c>
      <x:c r="D44" s="7" t="str">
        <x:v>BLD-C</x:v>
      </x:c>
      <x:c r="E44" s="7" t="str">
        <x:v>NONCONFORMANCE</x:v>
      </x:c>
      <x:c r="F44" s="7" t="str"/>
      <x:c r="G44" s="10" t="str"/>
      <x:c r="H44" s="10" t="str"/>
      <x:c r="I44" s="7" t="n">
        <x:v>0</x:v>
      </x:c>
      <x:c r="J44" s="7" t="str"/>
      <x:c r="K44" s="7" t="str"/>
      <x:c r="L44" s="7" t="str">
        <x:f>IF(F44="","DORMANT",IF(K44="","OPEN",IF(OR(H44="",I44=1,J44=""),"FAIL","PASS")))</x:f>
        <x:v>DORMANT</x:v>
      </x:c>
    </x:row>
    <x:row r="45" ht="38" customHeight="1">
      <x:c r="B45" s="7" t="str">
        <x:v>SLOT-PEA-C-X1-ASS</x:v>
      </x:c>
      <x:c r="C45" s="7" t="str">
        <x:v>PEA-C-X1</x:v>
      </x:c>
      <x:c r="D45" s="7" t="str">
        <x:v>BLD-C</x:v>
      </x:c>
      <x:c r="E45" s="7" t="str">
        <x:v>ASSISTANCE</x:v>
      </x:c>
      <x:c r="F45" s="7" t="str"/>
      <x:c r="G45" s="10" t="str"/>
      <x:c r="H45" s="10" t="str"/>
      <x:c r="I45" s="7" t="n">
        <x:v>0</x:v>
      </x:c>
      <x:c r="J45" s="7" t="str"/>
      <x:c r="K45" s="7" t="str"/>
      <x:c r="L45" s="7" t="str">
        <x:f>IF(F45="","DORMANT",IF(K45="","OPEN",IF(OR(H45="",I45=1,J45=""),"FAIL","PASS")))</x:f>
        <x:v>DORMANT</x:v>
      </x:c>
    </x:row>
    <x:row r="46" ht="38" customHeight="1">
      <x:c r="B46" s="7" t="str">
        <x:v>SLOT-PEA-C-X2-CON</x:v>
      </x:c>
      <x:c r="C46" s="7" t="str">
        <x:v>PEA-C-X2</x:v>
      </x:c>
      <x:c r="D46" s="7" t="str">
        <x:v>BLD-C</x:v>
      </x:c>
      <x:c r="E46" s="7" t="str">
        <x:v>CONTROLLED RFI</x:v>
      </x:c>
      <x:c r="F46" s="7" t="str"/>
      <x:c r="G46" s="10" t="str"/>
      <x:c r="H46" s="10" t="str"/>
      <x:c r="I46" s="7" t="n">
        <x:v>0</x:v>
      </x:c>
      <x:c r="J46" s="7" t="str"/>
      <x:c r="K46" s="7" t="str"/>
      <x:c r="L46" s="7" t="str">
        <x:f>IF(F46="","DORMANT",IF(K46="","OPEN",IF(OR(H46="",I46=1,J46=""),"FAIL","PASS")))</x:f>
        <x:v>DORMANT</x:v>
      </x:c>
    </x:row>
    <x:row r="47" ht="38" customHeight="1">
      <x:c r="B47" s="7" t="str">
        <x:v>SLOT-PEA-C-X2-NON</x:v>
      </x:c>
      <x:c r="C47" s="7" t="str">
        <x:v>PEA-C-X2</x:v>
      </x:c>
      <x:c r="D47" s="7" t="str">
        <x:v>BLD-C</x:v>
      </x:c>
      <x:c r="E47" s="7" t="str">
        <x:v>NONCONFORMANCE</x:v>
      </x:c>
      <x:c r="F47" s="7" t="str"/>
      <x:c r="G47" s="10" t="str"/>
      <x:c r="H47" s="10" t="str"/>
      <x:c r="I47" s="7" t="n">
        <x:v>0</x:v>
      </x:c>
      <x:c r="J47" s="7" t="str"/>
      <x:c r="K47" s="7" t="str"/>
      <x:c r="L47" s="7" t="str">
        <x:f>IF(F47="","DORMANT",IF(K47="","OPEN",IF(OR(H47="",I47=1,J47=""),"FAIL","PASS")))</x:f>
        <x:v>DORMANT</x:v>
      </x:c>
    </x:row>
    <x:row r="48" ht="38" customHeight="1">
      <x:c r="B48" s="7" t="str">
        <x:v>SLOT-PEA-C-X2-ASS</x:v>
      </x:c>
      <x:c r="C48" s="7" t="str">
        <x:v>PEA-C-X2</x:v>
      </x:c>
      <x:c r="D48" s="7" t="str">
        <x:v>BLD-C</x:v>
      </x:c>
      <x:c r="E48" s="7" t="str">
        <x:v>ASSISTANCE</x:v>
      </x:c>
      <x:c r="F48" s="7" t="str"/>
      <x:c r="G48" s="10" t="str"/>
      <x:c r="H48" s="10" t="str"/>
      <x:c r="I48" s="7" t="n">
        <x:v>0</x:v>
      </x:c>
      <x:c r="J48" s="7" t="str"/>
      <x:c r="K48" s="7" t="str"/>
      <x:c r="L48" s="7" t="str">
        <x:f>IF(F48="","DORMANT",IF(K48="","OPEN",IF(OR(H48="",I48=1,J48=""),"FAIL","PASS")))</x:f>
        <x:v>DORMANT</x:v>
      </x:c>
    </x:row>
    <x:row r="49" ht="38" customHeight="1">
      <x:c r="B49" s="7" t="str">
        <x:v>SLOT-PEA-C-X3-CON</x:v>
      </x:c>
      <x:c r="C49" s="7" t="str">
        <x:v>PEA-C-X3</x:v>
      </x:c>
      <x:c r="D49" s="7" t="str">
        <x:v>BLD-C</x:v>
      </x:c>
      <x:c r="E49" s="7" t="str">
        <x:v>CONTROLLED RFI</x:v>
      </x:c>
      <x:c r="F49" s="7" t="str"/>
      <x:c r="G49" s="10" t="str"/>
      <x:c r="H49" s="10" t="str"/>
      <x:c r="I49" s="7" t="n">
        <x:v>0</x:v>
      </x:c>
      <x:c r="J49" s="7" t="str"/>
      <x:c r="K49" s="7" t="str"/>
      <x:c r="L49" s="7" t="str">
        <x:f>IF(F49="","DORMANT",IF(K49="","OPEN",IF(OR(H49="",I49=1,J49=""),"FAIL","PASS")))</x:f>
        <x:v>DORMANT</x:v>
      </x:c>
    </x:row>
    <x:row r="50" ht="38" customHeight="1">
      <x:c r="B50" s="7" t="str">
        <x:v>SLOT-PEA-C-X3-NON</x:v>
      </x:c>
      <x:c r="C50" s="7" t="str">
        <x:v>PEA-C-X3</x:v>
      </x:c>
      <x:c r="D50" s="7" t="str">
        <x:v>BLD-C</x:v>
      </x:c>
      <x:c r="E50" s="7" t="str">
        <x:v>NONCONFORMANCE</x:v>
      </x:c>
      <x:c r="F50" s="7" t="str"/>
      <x:c r="G50" s="10" t="str"/>
      <x:c r="H50" s="10" t="str"/>
      <x:c r="I50" s="7" t="n">
        <x:v>0</x:v>
      </x:c>
      <x:c r="J50" s="7" t="str"/>
      <x:c r="K50" s="7" t="str"/>
      <x:c r="L50" s="7" t="str">
        <x:f>IF(F50="","DORMANT",IF(K50="","OPEN",IF(OR(H50="",I50=1,J50=""),"FAIL","PASS")))</x:f>
        <x:v>DORMANT</x:v>
      </x:c>
    </x:row>
    <x:row r="51" ht="38" customHeight="1">
      <x:c r="B51" s="7" t="str">
        <x:v>SLOT-PEA-C-X3-ASS</x:v>
      </x:c>
      <x:c r="C51" s="7" t="str">
        <x:v>PEA-C-X3</x:v>
      </x:c>
      <x:c r="D51" s="7" t="str">
        <x:v>BLD-C</x:v>
      </x:c>
      <x:c r="E51" s="7" t="str">
        <x:v>ASSISTANCE</x:v>
      </x:c>
      <x:c r="F51" s="7" t="str"/>
      <x:c r="G51" s="10" t="str"/>
      <x:c r="H51" s="10" t="str"/>
      <x:c r="I51" s="7" t="n">
        <x:v>0</x:v>
      </x:c>
      <x:c r="J51" s="7" t="str"/>
      <x:c r="K51" s="7" t="str"/>
      <x:c r="L51" s="7" t="str">
        <x:f>IF(F51="","DORMANT",IF(K51="","OPEN",IF(OR(H51="",I51=1,J51=""),"FAIL","PASS")))</x:f>
        <x:v>DORMANT</x:v>
      </x:c>
    </x:row>
    <x:row r="52" ht="38" customHeight="1">
      <x:c r="B52" s="7" t="str">
        <x:v>SLOT-PEA-C-Y1-CON</x:v>
      </x:c>
      <x:c r="C52" s="7" t="str">
        <x:v>PEA-C-Y1</x:v>
      </x:c>
      <x:c r="D52" s="7" t="str">
        <x:v>BLD-C</x:v>
      </x:c>
      <x:c r="E52" s="7" t="str">
        <x:v>CONTROLLED RFI</x:v>
      </x:c>
      <x:c r="F52" s="7" t="str"/>
      <x:c r="G52" s="10" t="str"/>
      <x:c r="H52" s="10" t="str"/>
      <x:c r="I52" s="7" t="n">
        <x:v>0</x:v>
      </x:c>
      <x:c r="J52" s="7" t="str"/>
      <x:c r="K52" s="7" t="str"/>
      <x:c r="L52" s="7" t="str">
        <x:f>IF(F52="","DORMANT",IF(K52="","OPEN",IF(OR(H52="",I52=1,J52=""),"FAIL","PASS")))</x:f>
        <x:v>DORMANT</x:v>
      </x:c>
    </x:row>
    <x:row r="53" ht="38" customHeight="1">
      <x:c r="B53" s="7" t="str">
        <x:v>SLOT-PEA-C-Y1-NON</x:v>
      </x:c>
      <x:c r="C53" s="7" t="str">
        <x:v>PEA-C-Y1</x:v>
      </x:c>
      <x:c r="D53" s="7" t="str">
        <x:v>BLD-C</x:v>
      </x:c>
      <x:c r="E53" s="7" t="str">
        <x:v>NONCONFORMANCE</x:v>
      </x:c>
      <x:c r="F53" s="7" t="str"/>
      <x:c r="G53" s="10" t="str"/>
      <x:c r="H53" s="10" t="str"/>
      <x:c r="I53" s="7" t="n">
        <x:v>0</x:v>
      </x:c>
      <x:c r="J53" s="7" t="str"/>
      <x:c r="K53" s="7" t="str"/>
      <x:c r="L53" s="7" t="str">
        <x:f>IF(F53="","DORMANT",IF(K53="","OPEN",IF(OR(H53="",I53=1,J53=""),"FAIL","PASS")))</x:f>
        <x:v>DORMANT</x:v>
      </x:c>
    </x:row>
    <x:row r="54" ht="38" customHeight="1">
      <x:c r="B54" s="7" t="str">
        <x:v>SLOT-PEA-C-Y1-ASS</x:v>
      </x:c>
      <x:c r="C54" s="7" t="str">
        <x:v>PEA-C-Y1</x:v>
      </x:c>
      <x:c r="D54" s="7" t="str">
        <x:v>BLD-C</x:v>
      </x:c>
      <x:c r="E54" s="7" t="str">
        <x:v>ASSISTANCE</x:v>
      </x:c>
      <x:c r="F54" s="7" t="str"/>
      <x:c r="G54" s="10" t="str"/>
      <x:c r="H54" s="10" t="str"/>
      <x:c r="I54" s="7" t="n">
        <x:v>0</x:v>
      </x:c>
      <x:c r="J54" s="7" t="str"/>
      <x:c r="K54" s="7" t="str"/>
      <x:c r="L54" s="7" t="str">
        <x:f>IF(F54="","DORMANT",IF(K54="","OPEN",IF(OR(H54="",I54=1,J54=""),"FAIL","PASS")))</x:f>
        <x:v>DORMANT</x:v>
      </x:c>
    </x:row>
    <x:row r="55" ht="38" customHeight="1">
      <x:c r="B55" s="7" t="str">
        <x:v>SLOT-PEA-C-Y2-CON</x:v>
      </x:c>
      <x:c r="C55" s="7" t="str">
        <x:v>PEA-C-Y2</x:v>
      </x:c>
      <x:c r="D55" s="7" t="str">
        <x:v>BLD-C</x:v>
      </x:c>
      <x:c r="E55" s="7" t="str">
        <x:v>CONTROLLED RFI</x:v>
      </x:c>
      <x:c r="F55" s="7" t="str"/>
      <x:c r="G55" s="10" t="str"/>
      <x:c r="H55" s="10" t="str"/>
      <x:c r="I55" s="7" t="n">
        <x:v>0</x:v>
      </x:c>
      <x:c r="J55" s="7" t="str"/>
      <x:c r="K55" s="7" t="str"/>
      <x:c r="L55" s="7" t="str">
        <x:f>IF(F55="","DORMANT",IF(K55="","OPEN",IF(OR(H55="",I55=1,J55=""),"FAIL","PASS")))</x:f>
        <x:v>DORMANT</x:v>
      </x:c>
    </x:row>
    <x:row r="56" ht="38" customHeight="1">
      <x:c r="B56" s="7" t="str">
        <x:v>SLOT-PEA-C-Y2-NON</x:v>
      </x:c>
      <x:c r="C56" s="7" t="str">
        <x:v>PEA-C-Y2</x:v>
      </x:c>
      <x:c r="D56" s="7" t="str">
        <x:v>BLD-C</x:v>
      </x:c>
      <x:c r="E56" s="7" t="str">
        <x:v>NONCONFORMANCE</x:v>
      </x:c>
      <x:c r="F56" s="7" t="str"/>
      <x:c r="G56" s="10" t="str"/>
      <x:c r="H56" s="10" t="str"/>
      <x:c r="I56" s="7" t="n">
        <x:v>0</x:v>
      </x:c>
      <x:c r="J56" s="7" t="str"/>
      <x:c r="K56" s="7" t="str"/>
      <x:c r="L56" s="7" t="str">
        <x:f>IF(F56="","DORMANT",IF(K56="","OPEN",IF(OR(H56="",I56=1,J56=""),"FAIL","PASS")))</x:f>
        <x:v>DORMANT</x:v>
      </x:c>
    </x:row>
    <x:row r="57" ht="38" customHeight="1">
      <x:c r="B57" s="7" t="str">
        <x:v>SLOT-PEA-C-Y2-ASS</x:v>
      </x:c>
      <x:c r="C57" s="7" t="str">
        <x:v>PEA-C-Y2</x:v>
      </x:c>
      <x:c r="D57" s="7" t="str">
        <x:v>BLD-C</x:v>
      </x:c>
      <x:c r="E57" s="7" t="str">
        <x:v>ASSISTANCE</x:v>
      </x:c>
      <x:c r="F57" s="7" t="str"/>
      <x:c r="G57" s="10" t="str"/>
      <x:c r="H57" s="10" t="str"/>
      <x:c r="I57" s="7" t="n">
        <x:v>0</x:v>
      </x:c>
      <x:c r="J57" s="7" t="str"/>
      <x:c r="K57" s="7" t="str"/>
      <x:c r="L57" s="7" t="str">
        <x:f>IF(F57="","DORMANT",IF(K57="","OPEN",IF(OR(H57="",I57=1,J57=""),"FAIL","PASS")))</x:f>
        <x:v>DORMANT</x:v>
      </x:c>
    </x:row>
    <x:row r="58" ht="38" customHeight="1">
      <x:c r="B58" s="7" t="str">
        <x:v>SLOT-PEA-C-Y3-CON</x:v>
      </x:c>
      <x:c r="C58" s="7" t="str">
        <x:v>PEA-C-Y3</x:v>
      </x:c>
      <x:c r="D58" s="7" t="str">
        <x:v>BLD-C</x:v>
      </x:c>
      <x:c r="E58" s="7" t="str">
        <x:v>CONTROLLED RFI</x:v>
      </x:c>
      <x:c r="F58" s="7" t="str"/>
      <x:c r="G58" s="10" t="str"/>
      <x:c r="H58" s="10" t="str"/>
      <x:c r="I58" s="7" t="n">
        <x:v>0</x:v>
      </x:c>
      <x:c r="J58" s="7" t="str"/>
      <x:c r="K58" s="7" t="str"/>
      <x:c r="L58" s="7" t="str">
        <x:f>IF(F58="","DORMANT",IF(K58="","OPEN",IF(OR(H58="",I58=1,J58=""),"FAIL","PASS")))</x:f>
        <x:v>DORMANT</x:v>
      </x:c>
    </x:row>
    <x:row r="59" ht="38" customHeight="1">
      <x:c r="B59" s="7" t="str">
        <x:v>SLOT-PEA-C-Y3-NON</x:v>
      </x:c>
      <x:c r="C59" s="7" t="str">
        <x:v>PEA-C-Y3</x:v>
      </x:c>
      <x:c r="D59" s="7" t="str">
        <x:v>BLD-C</x:v>
      </x:c>
      <x:c r="E59" s="7" t="str">
        <x:v>NONCONFORMANCE</x:v>
      </x:c>
      <x:c r="F59" s="7" t="str"/>
      <x:c r="G59" s="10" t="str"/>
      <x:c r="H59" s="10" t="str"/>
      <x:c r="I59" s="7" t="n">
        <x:v>0</x:v>
      </x:c>
      <x:c r="J59" s="7" t="str"/>
      <x:c r="K59" s="7" t="str"/>
      <x:c r="L59" s="7" t="str">
        <x:f>IF(F59="","DORMANT",IF(K59="","OPEN",IF(OR(H59="",I59=1,J59=""),"FAIL","PASS")))</x:f>
        <x:v>DORMANT</x:v>
      </x:c>
    </x:row>
    <x:row r="60" ht="38" customHeight="1">
      <x:c r="B60" s="7" t="str">
        <x:v>SLOT-PEA-C-Y3-ASS</x:v>
      </x:c>
      <x:c r="C60" s="7" t="str">
        <x:v>PEA-C-Y3</x:v>
      </x:c>
      <x:c r="D60" s="7" t="str">
        <x:v>BLD-C</x:v>
      </x:c>
      <x:c r="E60" s="7" t="str">
        <x:v>ASSISTANCE</x:v>
      </x:c>
      <x:c r="F60" s="7" t="str"/>
      <x:c r="G60" s="10" t="str"/>
      <x:c r="H60" s="10" t="str"/>
      <x:c r="I60" s="7" t="n">
        <x:v>0</x:v>
      </x:c>
      <x:c r="J60" s="7" t="str"/>
      <x:c r="K60" s="7" t="str"/>
      <x:c r="L60" s="7" t="str">
        <x:f>IF(F60="","DORMANT",IF(K60="","OPEN",IF(OR(H60="",I60=1,J60=""),"FAIL","PASS")))</x:f>
        <x:v>DORMANT</x:v>
      </x:c>
    </x:row>
  </x:sheetData>
  <x:conditionalFormatting sqref="L7:L60">
    <x:cfRule type="containsText" dxfId="102" priority="1" operator="containsText" text="FAIL"/>
    <x:cfRule type="containsText" dxfId="103" priority="2" operator="containsText" text="BLOCKED"/>
    <x:cfRule type="containsText" dxfId="104" priority="3" operator="containsText" text="OPEN"/>
    <x:cfRule type="containsText" dxfId="105" priority="4" operator="containsText" text="DORMANT"/>
    <x:cfRule type="containsText" dxfId="106" priority="5" operator="containsText" text="REVIEW"/>
    <x:cfRule type="containsText" dxfId="107" priority="6" operator="containsText" text="PASS"/>
  </x:conditionalFormatting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5" hidden="0" customWidth="1"/>
    <x:col min="3" max="3" width="18" hidden="0" customWidth="1"/>
    <x:col min="4" max="4" width="17" hidden="0" customWidth="1"/>
    <x:col min="5" max="5" width="15" hidden="0" customWidth="1"/>
    <x:col min="6" max="6" width="16" hidden="0" customWidth="1"/>
    <x:col min="7" max="7" width="23" hidden="0" customWidth="1"/>
    <x:col min="8" max="8" width="20" hidden="0" customWidth="1"/>
    <x:col min="9" max="9" width="25" hidden="0" customWidth="1"/>
    <x:col min="10" max="10" width="21" hidden="0" customWidth="1"/>
    <x:col min="11" max="11" width="14" hidden="0" customWidth="1"/>
  </x:cols>
  <x:sheetData>
    <x:row r="2">
      <x:c r="B2" s="1" t="str">
        <x:v>First-pass article dispositions</x:v>
      </x:c>
    </x:row>
    <x:row r="3">
      <x:c r="B3" s="2" t="str">
        <x:v>Yield is descriptive. Exact all-success bounds remain weak at three articles per cell and cannot establish mature production capability.</x:v>
      </x:c>
    </x:row>
    <x:row r="6" ht="24" customHeight="1">
      <x:c r="B6" s="6" t="str">
        <x:v>Cell</x:v>
      </x:c>
      <x:c r="C6" s="6" t="str">
        <x:v>Builder</x:v>
      </x:c>
      <x:c r="D6" s="6" t="str">
        <x:v>Lineage</x:v>
      </x:c>
      <x:c r="E6" s="6" t="str">
        <x:v>Required</x:v>
      </x:c>
      <x:c r="F6" s="6" t="str">
        <x:v>Completed</x:v>
      </x:c>
      <x:c r="G6" s="6" t="str">
        <x:v>First-pass conforming</x:v>
      </x:c>
      <x:c r="H6" s="6" t="str">
        <x:v>Observed yield</x:v>
      </x:c>
      <x:c r="I6" s="6" t="str">
        <x:v>All-success lower bound</x:v>
      </x:c>
      <x:c r="J6" s="6" t="str">
        <x:v>Controlled rework</x:v>
      </x:c>
      <x:c r="K6" s="6" t="str">
        <x:v>State</x:v>
      </x:c>
    </x:row>
    <x:row r="7">
      <x:c r="B7" s="7" t="str">
        <x:v>LOT-A-X</x:v>
      </x:c>
      <x:c r="C7" s="7" t="str">
        <x:v>BLD-A</x:v>
      </x:c>
      <x:c r="D7" s="7" t="str">
        <x:v>BL-X</x:v>
      </x:c>
      <x:c r="E7" s="7" t="n">
        <x:v>3</x:v>
      </x:c>
      <x:c r="F7" s="7" t="n">
        <x:f>COUNTIFS('Article Population'!E7:E24,B7,'Article Population'!M7:M24,"&lt;&gt;")</x:f>
        <x:v>3</x:v>
      </x:c>
      <x:c r="G7" s="7" t="n">
        <x:f>COUNTIFS('Article Population'!E7:E24,B7,'Article Population'!M7:M24,"CONFORMING")</x:f>
        <x:v>0</x:v>
      </x:c>
      <x:c r="H7" s="12" t="n">
        <x:f>IF(F7=E7,G7/E7,"")</x:f>
        <x:v>0</x:v>
      </x:c>
      <x:c r="I7" s="12" t="str">
        <x:f>IF(G7=E7,POWER('Controls'!$D$32,1/E7),"")</x:f>
      </x:c>
      <x:c r="J7" s="7" t="n">
        <x:f>COUNTIFS('Article Population'!E7:E24,B7,'Article Population'!M7:M24,"CONTROLLED REWORK")</x:f>
        <x:v>0</x:v>
      </x:c>
      <x:c r="K7" s="7" t="str">
        <x:f>IF(F7&lt;E7,"OPEN",IF(G7=E7,"PASS","REVIEW"))</x:f>
        <x:v>REVIEW</x:v>
      </x:c>
    </x:row>
    <x:row r="8">
      <x:c r="B8" s="7" t="str">
        <x:v>LOT-A-Y</x:v>
      </x:c>
      <x:c r="C8" s="7" t="str">
        <x:v>BLD-A</x:v>
      </x:c>
      <x:c r="D8" s="7" t="str">
        <x:v>BL-Y</x:v>
      </x:c>
      <x:c r="E8" s="7" t="n">
        <x:v>3</x:v>
      </x:c>
      <x:c r="F8" s="7" t="n">
        <x:f>COUNTIFS('Article Population'!E7:E24,B8,'Article Population'!M7:M24,"&lt;&gt;")</x:f>
        <x:v>3</x:v>
      </x:c>
      <x:c r="G8" s="7" t="n">
        <x:f>COUNTIFS('Article Population'!E7:E24,B8,'Article Population'!M7:M24,"CONFORMING")</x:f>
        <x:v>0</x:v>
      </x:c>
      <x:c r="H8" s="12" t="n">
        <x:f>IF(F8=E8,G8/E8,"")</x:f>
        <x:v>0</x:v>
      </x:c>
      <x:c r="I8" s="12" t="str">
        <x:f>IF(G8=E8,POWER('Controls'!$D$32,1/E8),"")</x:f>
      </x:c>
      <x:c r="J8" s="7" t="n">
        <x:f>COUNTIFS('Article Population'!E7:E24,B8,'Article Population'!M7:M24,"CONTROLLED REWORK")</x:f>
        <x:v>0</x:v>
      </x:c>
      <x:c r="K8" s="7" t="str">
        <x:f>IF(F8&lt;E8,"OPEN",IF(G8=E8,"PASS","REVIEW"))</x:f>
        <x:v>REVIEW</x:v>
      </x:c>
    </x:row>
    <x:row r="9">
      <x:c r="B9" s="7" t="str">
        <x:v>LOT-B-X</x:v>
      </x:c>
      <x:c r="C9" s="7" t="str">
        <x:v>BLD-B</x:v>
      </x:c>
      <x:c r="D9" s="7" t="str">
        <x:v>BL-X</x:v>
      </x:c>
      <x:c r="E9" s="7" t="n">
        <x:v>3</x:v>
      </x:c>
      <x:c r="F9" s="7" t="n">
        <x:f>COUNTIFS('Article Population'!E7:E24,B9,'Article Population'!M7:M24,"&lt;&gt;")</x:f>
        <x:v>3</x:v>
      </x:c>
      <x:c r="G9" s="7" t="n">
        <x:f>COUNTIFS('Article Population'!E7:E24,B9,'Article Population'!M7:M24,"CONFORMING")</x:f>
        <x:v>0</x:v>
      </x:c>
      <x:c r="H9" s="12" t="n">
        <x:f>IF(F9=E9,G9/E9,"")</x:f>
        <x:v>0</x:v>
      </x:c>
      <x:c r="I9" s="12" t="str">
        <x:f>IF(G9=E9,POWER('Controls'!$D$32,1/E9),"")</x:f>
      </x:c>
      <x:c r="J9" s="7" t="n">
        <x:f>COUNTIFS('Article Population'!E7:E24,B9,'Article Population'!M7:M24,"CONTROLLED REWORK")</x:f>
        <x:v>0</x:v>
      </x:c>
      <x:c r="K9" s="7" t="str">
        <x:f>IF(F9&lt;E9,"OPEN",IF(G9=E9,"PASS","REVIEW"))</x:f>
        <x:v>REVIEW</x:v>
      </x:c>
    </x:row>
    <x:row r="10">
      <x:c r="B10" s="7" t="str">
        <x:v>LOT-B-Y</x:v>
      </x:c>
      <x:c r="C10" s="7" t="str">
        <x:v>BLD-B</x:v>
      </x:c>
      <x:c r="D10" s="7" t="str">
        <x:v>BL-Y</x:v>
      </x:c>
      <x:c r="E10" s="7" t="n">
        <x:v>3</x:v>
      </x:c>
      <x:c r="F10" s="7" t="n">
        <x:f>COUNTIFS('Article Population'!E7:E24,B10,'Article Population'!M7:M24,"&lt;&gt;")</x:f>
        <x:v>3</x:v>
      </x:c>
      <x:c r="G10" s="7" t="n">
        <x:f>COUNTIFS('Article Population'!E7:E24,B10,'Article Population'!M7:M24,"CONFORMING")</x:f>
        <x:v>0</x:v>
      </x:c>
      <x:c r="H10" s="12" t="n">
        <x:f>IF(F10=E10,G10/E10,"")</x:f>
        <x:v>0</x:v>
      </x:c>
      <x:c r="I10" s="12" t="str">
        <x:f>IF(G10=E10,POWER('Controls'!$D$32,1/E10),"")</x:f>
      </x:c>
      <x:c r="J10" s="7" t="n">
        <x:f>COUNTIFS('Article Population'!E7:E24,B10,'Article Population'!M7:M24,"CONTROLLED REWORK")</x:f>
        <x:v>0</x:v>
      </x:c>
      <x:c r="K10" s="7" t="str">
        <x:f>IF(F10&lt;E10,"OPEN",IF(G10=E10,"PASS","REVIEW"))</x:f>
        <x:v>REVIEW</x:v>
      </x:c>
    </x:row>
    <x:row r="11">
      <x:c r="B11" s="7" t="str">
        <x:v>LOT-C-X</x:v>
      </x:c>
      <x:c r="C11" s="7" t="str">
        <x:v>BLD-C</x:v>
      </x:c>
      <x:c r="D11" s="7" t="str">
        <x:v>BL-X</x:v>
      </x:c>
      <x:c r="E11" s="7" t="n">
        <x:v>3</x:v>
      </x:c>
      <x:c r="F11" s="7" t="n">
        <x:f>COUNTIFS('Article Population'!E7:E24,B11,'Article Population'!M7:M24,"&lt;&gt;")</x:f>
        <x:v>3</x:v>
      </x:c>
      <x:c r="G11" s="7" t="n">
        <x:f>COUNTIFS('Article Population'!E7:E24,B11,'Article Population'!M7:M24,"CONFORMING")</x:f>
        <x:v>0</x:v>
      </x:c>
      <x:c r="H11" s="12" t="n">
        <x:f>IF(F11=E11,G11/E11,"")</x:f>
        <x:v>0</x:v>
      </x:c>
      <x:c r="I11" s="12" t="str">
        <x:f>IF(G11=E11,POWER('Controls'!$D$32,1/E11),"")</x:f>
      </x:c>
      <x:c r="J11" s="7" t="n">
        <x:f>COUNTIFS('Article Population'!E7:E24,B11,'Article Population'!M7:M24,"CONTROLLED REWORK")</x:f>
        <x:v>0</x:v>
      </x:c>
      <x:c r="K11" s="7" t="str">
        <x:f>IF(F11&lt;E11,"OPEN",IF(G11=E11,"PASS","REVIEW"))</x:f>
        <x:v>REVIEW</x:v>
      </x:c>
    </x:row>
    <x:row r="12">
      <x:c r="B12" s="7" t="str">
        <x:v>LOT-C-Y</x:v>
      </x:c>
      <x:c r="C12" s="7" t="str">
        <x:v>BLD-C</x:v>
      </x:c>
      <x:c r="D12" s="7" t="str">
        <x:v>BL-Y</x:v>
      </x:c>
      <x:c r="E12" s="7" t="n">
        <x:v>3</x:v>
      </x:c>
      <x:c r="F12" s="7" t="n">
        <x:f>COUNTIFS('Article Population'!E7:E24,B12,'Article Population'!M7:M24,"&lt;&gt;")</x:f>
        <x:v>3</x:v>
      </x:c>
      <x:c r="G12" s="7" t="n">
        <x:f>COUNTIFS('Article Population'!E7:E24,B12,'Article Population'!M7:M24,"CONFORMING")</x:f>
        <x:v>0</x:v>
      </x:c>
      <x:c r="H12" s="12" t="n">
        <x:f>IF(F12=E12,G12/E12,"")</x:f>
        <x:v>0</x:v>
      </x:c>
      <x:c r="I12" s="12" t="str">
        <x:f>IF(G12=E12,POWER('Controls'!$D$32,1/E12),"")</x:f>
      </x:c>
      <x:c r="J12" s="7" t="n">
        <x:f>COUNTIFS('Article Population'!E7:E24,B12,'Article Population'!M7:M24,"CONTROLLED REWORK")</x:f>
        <x:v>0</x:v>
      </x:c>
      <x:c r="K12" s="7" t="str">
        <x:f>IF(F12&lt;E12,"OPEN",IF(G12=E12,"PASS","REVIEW"))</x:f>
        <x:v>REVIEW</x:v>
      </x:c>
    </x:row>
    <x:row r="13">
      <x:c r="B13" s="7" t="str">
        <x:v>ALL</x:v>
      </x:c>
      <x:c r="C13" s="7" t="str">
        <x:v>all builders</x:v>
      </x:c>
      <x:c r="D13" s="7" t="str">
        <x:v>both lineages</x:v>
      </x:c>
      <x:c r="E13" s="7" t="n">
        <x:v>18</x:v>
      </x:c>
      <x:c r="F13" s="7" t="n">
        <x:f>COUNTIFS('Article Population'!M7:M24,"&lt;&gt;")</x:f>
        <x:v>18</x:v>
      </x:c>
      <x:c r="G13" s="7" t="n">
        <x:f>COUNTIFS('Article Population'!M7:M24,"CONFORMING")</x:f>
        <x:v>0</x:v>
      </x:c>
      <x:c r="H13" s="12" t="n">
        <x:f>IF(F13=E13,G13/E13,"")</x:f>
        <x:v>0</x:v>
      </x:c>
      <x:c r="I13" s="12" t="str">
        <x:f>IF(G13=E13,POWER('Controls'!$D$32,1/E13),"")</x:f>
      </x:c>
      <x:c r="J13" s="7" t="n">
        <x:f>COUNTIFS('Article Population'!M7:M24,"CONTROLLED REWORK")</x:f>
        <x:v>0</x:v>
      </x:c>
      <x:c r="K13" s="7" t="str">
        <x:f>IF(F13&lt;E13,"OPEN",IF(G13=E13,"PASS","REVIEW"))</x:f>
        <x:v>REVIEW</x:v>
      </x:c>
    </x:row>
  </x:sheetData>
  <x:conditionalFormatting sqref="K7:K13">
    <x:cfRule type="containsText" dxfId="108" priority="1" operator="containsText" text="FAIL"/>
    <x:cfRule type="containsText" dxfId="109" priority="2" operator="containsText" text="BLOCKED"/>
    <x:cfRule type="containsText" dxfId="110" priority="3" operator="containsText" text="OPEN"/>
    <x:cfRule type="containsText" dxfId="111" priority="4" operator="containsText" text="DORMANT"/>
    <x:cfRule type="containsText" dxfId="112" priority="5" operator="containsText" text="REVIEW"/>
    <x:cfRule type="containsText" dxfId="113" priority="6" operator="containsText" text="PASS"/>
  </x:conditionalFormatting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7" hidden="0" customWidth="1"/>
    <x:col min="3" max="3" width="17" hidden="0" customWidth="1"/>
    <x:col min="4" max="4" width="25" hidden="0" customWidth="1"/>
    <x:col min="5" max="5" width="38" hidden="0" customWidth="1"/>
    <x:col min="6" max="6" width="14" hidden="0" customWidth="1"/>
  </x:cols>
  <x:sheetData>
    <x:row r="2">
      <x:c r="B2" s="1" t="str">
        <x:v>Seven thousand twenty article-construction gates</x:v>
      </x:c>
    </x:row>
    <x:row r="3">
      <x:c r="B3" s="2" t="str">
        <x:v>Each article owns 390 gates. Common prerequisites are linked once into each article decision; physical records remain separately serialized.</x:v>
      </x:c>
    </x:row>
    <x:row r="6" ht="24" customHeight="1">
      <x:c r="B6" s="6" t="str">
        <x:v>Gate</x:v>
      </x:c>
      <x:c r="C6" s="6" t="str">
        <x:v>Article</x:v>
      </x:c>
      <x:c r="D6" s="6" t="str">
        <x:v>Category</x:v>
      </x:c>
      <x:c r="E6" s="6" t="str">
        <x:v>Object</x:v>
      </x:c>
      <x:c r="F6" s="6" t="str">
        <x:v>State</x:v>
      </x:c>
    </x:row>
    <x:row r="7">
      <x:c r="B7" s="7" t="str">
        <x:v>AG-00001</x:v>
      </x:c>
      <x:c r="C7" s="7" t="str">
        <x:v>PEA-A-X1</x:v>
      </x:c>
      <x:c r="D7" s="7" t="str">
        <x:v>lineage capsule</x:v>
      </x:c>
      <x:c r="E7" s="7" t="str">
        <x:v>BL-X</x:v>
      </x:c>
      <x:c r="F7" s="7" t="str">
        <x:f>'Baseline Package'!F7</x:f>
        <x:v>OPEN</x:v>
      </x:c>
    </x:row>
    <x:row r="8">
      <x:c r="B8" s="7" t="str">
        <x:v>AG-00002</x:v>
      </x:c>
      <x:c r="C8" s="7" t="str">
        <x:v>PEA-A-X1</x:v>
      </x:c>
      <x:c r="D8" s="7" t="str">
        <x:v>builder qualification</x:v>
      </x:c>
      <x:c r="E8" s="7" t="str">
        <x:v>BLD-A</x:v>
      </x:c>
      <x:c r="F8" s="7" t="str">
        <x:f>Builders!K7</x:f>
        <x:v>OPEN</x:v>
      </x:c>
    </x:row>
    <x:row r="9">
      <x:c r="B9" s="7" t="str">
        <x:v>AG-00003</x:v>
      </x:c>
      <x:c r="C9" s="7" t="str">
        <x:v>PEA-A-X1</x:v>
      </x:c>
      <x:c r="D9" s="7" t="str">
        <x:v>material split</x:v>
      </x:c>
      <x:c r="E9" s="7" t="str">
        <x:v>SPLIT-PEA-A-X1</x:v>
      </x:c>
      <x:c r="F9" s="7" t="str">
        <x:f>'Material Matrix'!K7</x:f>
        <x:v>OPEN</x:v>
      </x:c>
    </x:row>
    <x:row r="10">
      <x:c r="B10" s="7" t="str">
        <x:v>AG-00004</x:v>
      </x:c>
      <x:c r="C10" s="7" t="str">
        <x:v>PEA-A-X1</x:v>
      </x:c>
      <x:c r="D10" s="7" t="str">
        <x:v>build sequence</x:v>
      </x:c>
      <x:c r="E10" s="7" t="str">
        <x:v>SEQ-PEA-A-X1</x:v>
      </x:c>
      <x:c r="F10" s="7" t="str">
        <x:f>'Build Sequence'!L7</x:f>
        <x:v>OPEN</x:v>
      </x:c>
    </x:row>
    <x:row r="11">
      <x:c r="B11" s="7" t="str">
        <x:v>AG-00005</x:v>
      </x:c>
      <x:c r="C11" s="7" t="str">
        <x:v>PEA-A-X1</x:v>
      </x:c>
      <x:c r="D11" s="7" t="str">
        <x:v>section traveler</x:v>
      </x:c>
      <x:c r="E11" s="7" t="str">
        <x:v>TRV-PEA-A-X1-01</x:v>
      </x:c>
      <x:c r="F11" s="7" t="str">
        <x:f>'Section Travelers'!L7</x:f>
        <x:v>OPEN</x:v>
      </x:c>
    </x:row>
    <x:row r="12">
      <x:c r="B12" s="7" t="str">
        <x:v>AG-00006</x:v>
      </x:c>
      <x:c r="C12" s="7" t="str">
        <x:v>PEA-A-X1</x:v>
      </x:c>
      <x:c r="D12" s="7" t="str">
        <x:v>section traveler</x:v>
      </x:c>
      <x:c r="E12" s="7" t="str">
        <x:v>TRV-PEA-A-X1-02</x:v>
      </x:c>
      <x:c r="F12" s="7" t="str">
        <x:f>'Section Travelers'!L8</x:f>
        <x:v>OPEN</x:v>
      </x:c>
    </x:row>
    <x:row r="13">
      <x:c r="B13" s="7" t="str">
        <x:v>AG-00007</x:v>
      </x:c>
      <x:c r="C13" s="7" t="str">
        <x:v>PEA-A-X1</x:v>
      </x:c>
      <x:c r="D13" s="7" t="str">
        <x:v>section traveler</x:v>
      </x:c>
      <x:c r="E13" s="7" t="str">
        <x:v>TRV-PEA-A-X1-03</x:v>
      </x:c>
      <x:c r="F13" s="7" t="str">
        <x:f>'Section Travelers'!L9</x:f>
        <x:v>OPEN</x:v>
      </x:c>
    </x:row>
    <x:row r="14">
      <x:c r="B14" s="7" t="str">
        <x:v>AG-00008</x:v>
      </x:c>
      <x:c r="C14" s="7" t="str">
        <x:v>PEA-A-X1</x:v>
      </x:c>
      <x:c r="D14" s="7" t="str">
        <x:v>section traveler</x:v>
      </x:c>
      <x:c r="E14" s="7" t="str">
        <x:v>TRV-PEA-A-X1-04</x:v>
      </x:c>
      <x:c r="F14" s="7" t="str">
        <x:f>'Section Travelers'!L10</x:f>
        <x:v>OPEN</x:v>
      </x:c>
    </x:row>
    <x:row r="15">
      <x:c r="B15" s="7" t="str">
        <x:v>AG-00009</x:v>
      </x:c>
      <x:c r="C15" s="7" t="str">
        <x:v>PEA-A-X1</x:v>
      </x:c>
      <x:c r="D15" s="7" t="str">
        <x:v>section traveler</x:v>
      </x:c>
      <x:c r="E15" s="7" t="str">
        <x:v>TRV-PEA-A-X1-05</x:v>
      </x:c>
      <x:c r="F15" s="7" t="str">
        <x:f>'Section Travelers'!L11</x:f>
        <x:v>OPEN</x:v>
      </x:c>
    </x:row>
    <x:row r="16">
      <x:c r="B16" s="7" t="str">
        <x:v>AG-00010</x:v>
      </x:c>
      <x:c r="C16" s="7" t="str">
        <x:v>PEA-A-X1</x:v>
      </x:c>
      <x:c r="D16" s="7" t="str">
        <x:v>section traveler</x:v>
      </x:c>
      <x:c r="E16" s="7" t="str">
        <x:v>TRV-PEA-A-X1-06</x:v>
      </x:c>
      <x:c r="F16" s="7" t="str">
        <x:f>'Section Travelers'!L12</x:f>
        <x:v>OPEN</x:v>
      </x:c>
    </x:row>
    <x:row r="17">
      <x:c r="B17" s="7" t="str">
        <x:v>AG-00011</x:v>
      </x:c>
      <x:c r="C17" s="7" t="str">
        <x:v>PEA-A-X1</x:v>
      </x:c>
      <x:c r="D17" s="7" t="str">
        <x:v>section traveler</x:v>
      </x:c>
      <x:c r="E17" s="7" t="str">
        <x:v>TRV-PEA-A-X1-07</x:v>
      </x:c>
      <x:c r="F17" s="7" t="str">
        <x:f>'Section Travelers'!L13</x:f>
        <x:v>OPEN</x:v>
      </x:c>
    </x:row>
    <x:row r="18">
      <x:c r="B18" s="7" t="str">
        <x:v>AG-00012</x:v>
      </x:c>
      <x:c r="C18" s="7" t="str">
        <x:v>PEA-A-X1</x:v>
      </x:c>
      <x:c r="D18" s="7" t="str">
        <x:v>section traveler</x:v>
      </x:c>
      <x:c r="E18" s="7" t="str">
        <x:v>TRV-PEA-A-X1-08</x:v>
      </x:c>
      <x:c r="F18" s="7" t="str">
        <x:f>'Section Travelers'!L14</x:f>
        <x:v>OPEN</x:v>
      </x:c>
    </x:row>
    <x:row r="19">
      <x:c r="B19" s="7" t="str">
        <x:v>AG-00013</x:v>
      </x:c>
      <x:c r="C19" s="7" t="str">
        <x:v>PEA-A-X1</x:v>
      </x:c>
      <x:c r="D19" s="7" t="str">
        <x:v>section traveler</x:v>
      </x:c>
      <x:c r="E19" s="7" t="str">
        <x:v>TRV-PEA-A-X1-09</x:v>
      </x:c>
      <x:c r="F19" s="7" t="str">
        <x:f>'Section Travelers'!L15</x:f>
        <x:v>OPEN</x:v>
      </x:c>
    </x:row>
    <x:row r="20">
      <x:c r="B20" s="7" t="str">
        <x:v>AG-00014</x:v>
      </x:c>
      <x:c r="C20" s="7" t="str">
        <x:v>PEA-A-X1</x:v>
      </x:c>
      <x:c r="D20" s="7" t="str">
        <x:v>section traveler</x:v>
      </x:c>
      <x:c r="E20" s="7" t="str">
        <x:v>TRV-PEA-A-X1-10</x:v>
      </x:c>
      <x:c r="F20" s="7" t="str">
        <x:f>'Section Travelers'!L16</x:f>
        <x:v>OPEN</x:v>
      </x:c>
    </x:row>
    <x:row r="21">
      <x:c r="B21" s="7" t="str">
        <x:v>AG-00015</x:v>
      </x:c>
      <x:c r="C21" s="7" t="str">
        <x:v>PEA-A-X1</x:v>
      </x:c>
      <x:c r="D21" s="7" t="str">
        <x:v>section traveler</x:v>
      </x:c>
      <x:c r="E21" s="7" t="str">
        <x:v>TRV-PEA-A-X1-11</x:v>
      </x:c>
      <x:c r="F21" s="7" t="str">
        <x:f>'Section Travelers'!L17</x:f>
        <x:v>OPEN</x:v>
      </x:c>
    </x:row>
    <x:row r="22">
      <x:c r="B22" s="7" t="str">
        <x:v>AG-00016</x:v>
      </x:c>
      <x:c r="C22" s="7" t="str">
        <x:v>PEA-A-X1</x:v>
      </x:c>
      <x:c r="D22" s="7" t="str">
        <x:v>section traveler</x:v>
      </x:c>
      <x:c r="E22" s="7" t="str">
        <x:v>TRV-PEA-A-X1-12</x:v>
      </x:c>
      <x:c r="F22" s="7" t="str">
        <x:f>'Section Travelers'!L18</x:f>
        <x:v>OPEN</x:v>
      </x:c>
    </x:row>
    <x:row r="23">
      <x:c r="B23" s="7" t="str">
        <x:v>AG-00017</x:v>
      </x:c>
      <x:c r="C23" s="7" t="str">
        <x:v>PEA-A-X1</x:v>
      </x:c>
      <x:c r="D23" s="7" t="str">
        <x:v>section traveler</x:v>
      </x:c>
      <x:c r="E23" s="7" t="str">
        <x:v>TRV-PEA-A-X1-13</x:v>
      </x:c>
      <x:c r="F23" s="7" t="str">
        <x:f>'Section Travelers'!L19</x:f>
        <x:v>OPEN</x:v>
      </x:c>
    </x:row>
    <x:row r="24">
      <x:c r="B24" s="7" t="str">
        <x:v>AG-00018</x:v>
      </x:c>
      <x:c r="C24" s="7" t="str">
        <x:v>PEA-A-X1</x:v>
      </x:c>
      <x:c r="D24" s="7" t="str">
        <x:v>section traveler</x:v>
      </x:c>
      <x:c r="E24" s="7" t="str">
        <x:v>TRV-PEA-A-X1-14</x:v>
      </x:c>
      <x:c r="F24" s="7" t="str">
        <x:f>'Section Travelers'!L20</x:f>
        <x:v>OPEN</x:v>
      </x:c>
    </x:row>
    <x:row r="25">
      <x:c r="B25" s="7" t="str">
        <x:v>AG-00019</x:v>
      </x:c>
      <x:c r="C25" s="7" t="str">
        <x:v>PEA-A-X1</x:v>
      </x:c>
      <x:c r="D25" s="7" t="str">
        <x:v>section traveler</x:v>
      </x:c>
      <x:c r="E25" s="7" t="str">
        <x:v>TRV-PEA-A-X1-15</x:v>
      </x:c>
      <x:c r="F25" s="7" t="str">
        <x:f>'Section Travelers'!L21</x:f>
        <x:v>OPEN</x:v>
      </x:c>
    </x:row>
    <x:row r="26">
      <x:c r="B26" s="7" t="str">
        <x:v>AG-00020</x:v>
      </x:c>
      <x:c r="C26" s="7" t="str">
        <x:v>PEA-A-X1</x:v>
      </x:c>
      <x:c r="D26" s="7" t="str">
        <x:v>section traveler</x:v>
      </x:c>
      <x:c r="E26" s="7" t="str">
        <x:v>TRV-PEA-A-X1-16</x:v>
      </x:c>
      <x:c r="F26" s="7" t="str">
        <x:f>'Section Travelers'!L22</x:f>
        <x:v>OPEN</x:v>
      </x:c>
    </x:row>
    <x:row r="27">
      <x:c r="B27" s="7" t="str">
        <x:v>AG-00021</x:v>
      </x:c>
      <x:c r="C27" s="7" t="str">
        <x:v>PEA-A-X1</x:v>
      </x:c>
      <x:c r="D27" s="7" t="str">
        <x:v>section traveler</x:v>
      </x:c>
      <x:c r="E27" s="7" t="str">
        <x:v>TRV-PEA-A-X1-17</x:v>
      </x:c>
      <x:c r="F27" s="7" t="str">
        <x:f>'Section Travelers'!L23</x:f>
        <x:v>OPEN</x:v>
      </x:c>
    </x:row>
    <x:row r="28">
      <x:c r="B28" s="7" t="str">
        <x:v>AG-00022</x:v>
      </x:c>
      <x:c r="C28" s="7" t="str">
        <x:v>PEA-A-X1</x:v>
      </x:c>
      <x:c r="D28" s="7" t="str">
        <x:v>section traveler</x:v>
      </x:c>
      <x:c r="E28" s="7" t="str">
        <x:v>TRV-PEA-A-X1-18</x:v>
      </x:c>
      <x:c r="F28" s="7" t="str">
        <x:f>'Section Travelers'!L24</x:f>
        <x:v>OPEN</x:v>
      </x:c>
    </x:row>
    <x:row r="29">
      <x:c r="B29" s="7" t="str">
        <x:v>AG-00023</x:v>
      </x:c>
      <x:c r="C29" s="7" t="str">
        <x:v>PEA-A-X1</x:v>
      </x:c>
      <x:c r="D29" s="7" t="str">
        <x:v>section traveler</x:v>
      </x:c>
      <x:c r="E29" s="7" t="str">
        <x:v>TRV-PEA-A-X1-19</x:v>
      </x:c>
      <x:c r="F29" s="7" t="str">
        <x:f>'Section Travelers'!L25</x:f>
        <x:v>OPEN</x:v>
      </x:c>
    </x:row>
    <x:row r="30">
      <x:c r="B30" s="7" t="str">
        <x:v>AG-00024</x:v>
      </x:c>
      <x:c r="C30" s="7" t="str">
        <x:v>PEA-A-X1</x:v>
      </x:c>
      <x:c r="D30" s="7" t="str">
        <x:v>section traveler</x:v>
      </x:c>
      <x:c r="E30" s="7" t="str">
        <x:v>TRV-PEA-A-X1-20</x:v>
      </x:c>
      <x:c r="F30" s="7" t="str">
        <x:f>'Section Travelers'!L26</x:f>
        <x:v>OPEN</x:v>
      </x:c>
    </x:row>
    <x:row r="31">
      <x:c r="B31" s="7" t="str">
        <x:v>AG-00025</x:v>
      </x:c>
      <x:c r="C31" s="7" t="str">
        <x:v>PEA-A-X1</x:v>
      </x:c>
      <x:c r="D31" s="7" t="str">
        <x:v>material coupon</x:v>
      </x:c>
      <x:c r="E31" s="7" t="str">
        <x:v>CPN-PEA-A-X1-CJ-1</x:v>
      </x:c>
      <x:c r="F31" s="7" t="str">
        <x:f>'Material Coupons'!K7</x:f>
        <x:v>OPEN</x:v>
      </x:c>
    </x:row>
    <x:row r="32">
      <x:c r="B32" s="7" t="str">
        <x:v>AG-00026</x:v>
      </x:c>
      <x:c r="C32" s="7" t="str">
        <x:v>PEA-A-X1</x:v>
      </x:c>
      <x:c r="D32" s="7" t="str">
        <x:v>material coupon</x:v>
      </x:c>
      <x:c r="E32" s="7" t="str">
        <x:v>CPN-PEA-A-X1-CJ-2</x:v>
      </x:c>
      <x:c r="F32" s="7" t="str">
        <x:f>'Material Coupons'!K8</x:f>
        <x:v>OPEN</x:v>
      </x:c>
    </x:row>
    <x:row r="33">
      <x:c r="B33" s="7" t="str">
        <x:v>AG-00027</x:v>
      </x:c>
      <x:c r="C33" s="7" t="str">
        <x:v>PEA-A-X1</x:v>
      </x:c>
      <x:c r="D33" s="7" t="str">
        <x:v>material coupon</x:v>
      </x:c>
      <x:c r="E33" s="7" t="str">
        <x:v>CPN-PEA-A-X1-CJ-3</x:v>
      </x:c>
      <x:c r="F33" s="7" t="str">
        <x:f>'Material Coupons'!K9</x:f>
        <x:v>OPEN</x:v>
      </x:c>
    </x:row>
    <x:row r="34">
      <x:c r="B34" s="7" t="str">
        <x:v>AG-00028</x:v>
      </x:c>
      <x:c r="C34" s="7" t="str">
        <x:v>PEA-A-X1</x:v>
      </x:c>
      <x:c r="D34" s="7" t="str">
        <x:v>material coupon</x:v>
      </x:c>
      <x:c r="E34" s="7" t="str">
        <x:v>CPN-PEA-A-X1-CJ-4</x:v>
      </x:c>
      <x:c r="F34" s="7" t="str">
        <x:f>'Material Coupons'!K10</x:f>
        <x:v>OPEN</x:v>
      </x:c>
    </x:row>
    <x:row r="35">
      <x:c r="B35" s="7" t="str">
        <x:v>AG-00029</x:v>
      </x:c>
      <x:c r="C35" s="7" t="str">
        <x:v>PEA-A-X1</x:v>
      </x:c>
      <x:c r="D35" s="7" t="str">
        <x:v>material coupon</x:v>
      </x:c>
      <x:c r="E35" s="7" t="str">
        <x:v>CPN-PEA-A-X1-CJ-5</x:v>
      </x:c>
      <x:c r="F35" s="7" t="str">
        <x:f>'Material Coupons'!K11</x:f>
        <x:v>OPEN</x:v>
      </x:c>
    </x:row>
    <x:row r="36">
      <x:c r="B36" s="7" t="str">
        <x:v>AG-00030</x:v>
      </x:c>
      <x:c r="C36" s="7" t="str">
        <x:v>PEA-A-X1</x:v>
      </x:c>
      <x:c r="D36" s="7" t="str">
        <x:v>material coupon</x:v>
      </x:c>
      <x:c r="E36" s="7" t="str">
        <x:v>CPN-PEA-A-X1-CJ-6</x:v>
      </x:c>
      <x:c r="F36" s="7" t="str">
        <x:f>'Material Coupons'!K12</x:f>
        <x:v>OPEN</x:v>
      </x:c>
    </x:row>
    <x:row r="37">
      <x:c r="B37" s="7" t="str">
        <x:v>AG-00031</x:v>
      </x:c>
      <x:c r="C37" s="7" t="str">
        <x:v>PEA-A-X1</x:v>
      </x:c>
      <x:c r="D37" s="7" t="str">
        <x:v>material coupon</x:v>
      </x:c>
      <x:c r="E37" s="7" t="str">
        <x:v>CPN-PEA-A-X1-CJ-7</x:v>
      </x:c>
      <x:c r="F37" s="7" t="str">
        <x:f>'Material Coupons'!K13</x:f>
        <x:v>OPEN</x:v>
      </x:c>
    </x:row>
    <x:row r="38">
      <x:c r="B38" s="7" t="str">
        <x:v>AG-00032</x:v>
      </x:c>
      <x:c r="C38" s="7" t="str">
        <x:v>PEA-A-X1</x:v>
      </x:c>
      <x:c r="D38" s="7" t="str">
        <x:v>material coupon</x:v>
      </x:c>
      <x:c r="E38" s="7" t="str">
        <x:v>CPN-PEA-A-X1-CJ-8</x:v>
      </x:c>
      <x:c r="F38" s="7" t="str">
        <x:f>'Material Coupons'!K14</x:f>
        <x:v>OPEN</x:v>
      </x:c>
    </x:row>
    <x:row r="39">
      <x:c r="B39" s="7" t="str">
        <x:v>AG-00033</x:v>
      </x:c>
      <x:c r="C39" s="7" t="str">
        <x:v>PEA-A-X1</x:v>
      </x:c>
      <x:c r="D39" s="7" t="str">
        <x:v>material coupon</x:v>
      </x:c>
      <x:c r="E39" s="7" t="str">
        <x:v>CPN-PEA-A-X1-SE-1</x:v>
      </x:c>
      <x:c r="F39" s="7" t="str">
        <x:f>'Material Coupons'!K15</x:f>
        <x:v>OPEN</x:v>
      </x:c>
    </x:row>
    <x:row r="40">
      <x:c r="B40" s="7" t="str">
        <x:v>AG-00034</x:v>
      </x:c>
      <x:c r="C40" s="7" t="str">
        <x:v>PEA-A-X1</x:v>
      </x:c>
      <x:c r="D40" s="7" t="str">
        <x:v>material coupon</x:v>
      </x:c>
      <x:c r="E40" s="7" t="str">
        <x:v>CPN-PEA-A-X1-SE-2</x:v>
      </x:c>
      <x:c r="F40" s="7" t="str">
        <x:f>'Material Coupons'!K16</x:f>
        <x:v>OPEN</x:v>
      </x:c>
    </x:row>
    <x:row r="41">
      <x:c r="B41" s="7" t="str">
        <x:v>AG-00035</x:v>
      </x:c>
      <x:c r="C41" s="7" t="str">
        <x:v>PEA-A-X1</x:v>
      </x:c>
      <x:c r="D41" s="7" t="str">
        <x:v>material coupon</x:v>
      </x:c>
      <x:c r="E41" s="7" t="str">
        <x:v>CPN-PEA-A-X1-SE-3</x:v>
      </x:c>
      <x:c r="F41" s="7" t="str">
        <x:f>'Material Coupons'!K17</x:f>
        <x:v>OPEN</x:v>
      </x:c>
    </x:row>
    <x:row r="42">
      <x:c r="B42" s="7" t="str">
        <x:v>AG-00036</x:v>
      </x:c>
      <x:c r="C42" s="7" t="str">
        <x:v>PEA-A-X1</x:v>
      </x:c>
      <x:c r="D42" s="7" t="str">
        <x:v>material coupon</x:v>
      </x:c>
      <x:c r="E42" s="7" t="str">
        <x:v>CPN-PEA-A-X1-SE-4</x:v>
      </x:c>
      <x:c r="F42" s="7" t="str">
        <x:f>'Material Coupons'!K18</x:f>
        <x:v>OPEN</x:v>
      </x:c>
    </x:row>
    <x:row r="43">
      <x:c r="B43" s="7" t="str">
        <x:v>AG-00037</x:v>
      </x:c>
      <x:c r="C43" s="7" t="str">
        <x:v>PEA-A-X1</x:v>
      </x:c>
      <x:c r="D43" s="7" t="str">
        <x:v>material coupon</x:v>
      </x:c>
      <x:c r="E43" s="7" t="str">
        <x:v>CPN-PEA-A-X1-SE-5</x:v>
      </x:c>
      <x:c r="F43" s="7" t="str">
        <x:f>'Material Coupons'!K19</x:f>
        <x:v>OPEN</x:v>
      </x:c>
    </x:row>
    <x:row r="44">
      <x:c r="B44" s="7" t="str">
        <x:v>AG-00038</x:v>
      </x:c>
      <x:c r="C44" s="7" t="str">
        <x:v>PEA-A-X1</x:v>
      </x:c>
      <x:c r="D44" s="7" t="str">
        <x:v>material coupon</x:v>
      </x:c>
      <x:c r="E44" s="7" t="str">
        <x:v>CPN-PEA-A-X1-SE-6</x:v>
      </x:c>
      <x:c r="F44" s="7" t="str">
        <x:f>'Material Coupons'!K20</x:f>
        <x:v>OPEN</x:v>
      </x:c>
    </x:row>
    <x:row r="45">
      <x:c r="B45" s="7" t="str">
        <x:v>AG-00039</x:v>
      </x:c>
      <x:c r="C45" s="7" t="str">
        <x:v>PEA-A-X1</x:v>
      </x:c>
      <x:c r="D45" s="7" t="str">
        <x:v>material coupon</x:v>
      </x:c>
      <x:c r="E45" s="7" t="str">
        <x:v>CPN-PEA-A-X1-SE-7</x:v>
      </x:c>
      <x:c r="F45" s="7" t="str">
        <x:f>'Material Coupons'!K21</x:f>
        <x:v>OPEN</x:v>
      </x:c>
    </x:row>
    <x:row r="46">
      <x:c r="B46" s="7" t="str">
        <x:v>AG-00040</x:v>
      </x:c>
      <x:c r="C46" s="7" t="str">
        <x:v>PEA-A-X1</x:v>
      </x:c>
      <x:c r="D46" s="7" t="str">
        <x:v>material coupon</x:v>
      </x:c>
      <x:c r="E46" s="7" t="str">
        <x:v>CPN-PEA-A-X1-SE-8</x:v>
      </x:c>
      <x:c r="F46" s="7" t="str">
        <x:f>'Material Coupons'!K22</x:f>
        <x:v>OPEN</x:v>
      </x:c>
    </x:row>
    <x:row r="47">
      <x:c r="B47" s="7" t="str">
        <x:v>AG-00041</x:v>
      </x:c>
      <x:c r="C47" s="7" t="str">
        <x:v>PEA-A-X1</x:v>
      </x:c>
      <x:c r="D47" s="7" t="str">
        <x:v>material coupon</x:v>
      </x:c>
      <x:c r="E47" s="7" t="str">
        <x:v>CPN-PEA-A-X1-SF-1</x:v>
      </x:c>
      <x:c r="F47" s="7" t="str">
        <x:f>'Material Coupons'!K23</x:f>
        <x:v>OPEN</x:v>
      </x:c>
    </x:row>
    <x:row r="48">
      <x:c r="B48" s="7" t="str">
        <x:v>AG-00042</x:v>
      </x:c>
      <x:c r="C48" s="7" t="str">
        <x:v>PEA-A-X1</x:v>
      </x:c>
      <x:c r="D48" s="7" t="str">
        <x:v>material coupon</x:v>
      </x:c>
      <x:c r="E48" s="7" t="str">
        <x:v>CPN-PEA-A-X1-SF-2</x:v>
      </x:c>
      <x:c r="F48" s="7" t="str">
        <x:f>'Material Coupons'!K24</x:f>
        <x:v>OPEN</x:v>
      </x:c>
    </x:row>
    <x:row r="49">
      <x:c r="B49" s="7" t="str">
        <x:v>AG-00043</x:v>
      </x:c>
      <x:c r="C49" s="7" t="str">
        <x:v>PEA-A-X1</x:v>
      </x:c>
      <x:c r="D49" s="7" t="str">
        <x:v>material coupon</x:v>
      </x:c>
      <x:c r="E49" s="7" t="str">
        <x:v>CPN-PEA-A-X1-SF-3</x:v>
      </x:c>
      <x:c r="F49" s="7" t="str">
        <x:f>'Material Coupons'!K25</x:f>
        <x:v>OPEN</x:v>
      </x:c>
    </x:row>
    <x:row r="50">
      <x:c r="B50" s="7" t="str">
        <x:v>AG-00044</x:v>
      </x:c>
      <x:c r="C50" s="7" t="str">
        <x:v>PEA-A-X1</x:v>
      </x:c>
      <x:c r="D50" s="7" t="str">
        <x:v>material coupon</x:v>
      </x:c>
      <x:c r="E50" s="7" t="str">
        <x:v>CPN-PEA-A-X1-SF-4</x:v>
      </x:c>
      <x:c r="F50" s="7" t="str">
        <x:f>'Material Coupons'!K26</x:f>
        <x:v>OPEN</x:v>
      </x:c>
    </x:row>
    <x:row r="51">
      <x:c r="B51" s="7" t="str">
        <x:v>AG-00045</x:v>
      </x:c>
      <x:c r="C51" s="7" t="str">
        <x:v>PEA-A-X1</x:v>
      </x:c>
      <x:c r="D51" s="7" t="str">
        <x:v>material coupon</x:v>
      </x:c>
      <x:c r="E51" s="7" t="str">
        <x:v>CPN-PEA-A-X1-SF-5</x:v>
      </x:c>
      <x:c r="F51" s="7" t="str">
        <x:f>'Material Coupons'!K27</x:f>
        <x:v>OPEN</x:v>
      </x:c>
    </x:row>
    <x:row r="52">
      <x:c r="B52" s="7" t="str">
        <x:v>AG-00046</x:v>
      </x:c>
      <x:c r="C52" s="7" t="str">
        <x:v>PEA-A-X1</x:v>
      </x:c>
      <x:c r="D52" s="7" t="str">
        <x:v>material coupon</x:v>
      </x:c>
      <x:c r="E52" s="7" t="str">
        <x:v>CPN-PEA-A-X1-SF-6</x:v>
      </x:c>
      <x:c r="F52" s="7" t="str">
        <x:f>'Material Coupons'!K28</x:f>
        <x:v>OPEN</x:v>
      </x:c>
    </x:row>
    <x:row r="53">
      <x:c r="B53" s="7" t="str">
        <x:v>AG-00047</x:v>
      </x:c>
      <x:c r="C53" s="7" t="str">
        <x:v>PEA-A-X1</x:v>
      </x:c>
      <x:c r="D53" s="7" t="str">
        <x:v>material coupon</x:v>
      </x:c>
      <x:c r="E53" s="7" t="str">
        <x:v>CPN-PEA-A-X1-SF-7</x:v>
      </x:c>
      <x:c r="F53" s="7" t="str">
        <x:f>'Material Coupons'!K29</x:f>
        <x:v>OPEN</x:v>
      </x:c>
    </x:row>
    <x:row r="54">
      <x:c r="B54" s="7" t="str">
        <x:v>AG-00048</x:v>
      </x:c>
      <x:c r="C54" s="7" t="str">
        <x:v>PEA-A-X1</x:v>
      </x:c>
      <x:c r="D54" s="7" t="str">
        <x:v>material coupon</x:v>
      </x:c>
      <x:c r="E54" s="7" t="str">
        <x:v>CPN-PEA-A-X1-SF-8</x:v>
      </x:c>
      <x:c r="F54" s="7" t="str">
        <x:f>'Material Coupons'!K30</x:f>
        <x:v>OPEN</x:v>
      </x:c>
    </x:row>
    <x:row r="55">
      <x:c r="B55" s="7" t="str">
        <x:v>AG-00049</x:v>
      </x:c>
      <x:c r="C55" s="7" t="str">
        <x:v>PEA-A-X1</x:v>
      </x:c>
      <x:c r="D55" s="7" t="str">
        <x:v>material coupon</x:v>
      </x:c>
      <x:c r="E55" s="7" t="str">
        <x:v>CPN-PEA-A-X1-CP-1</x:v>
      </x:c>
      <x:c r="F55" s="7" t="str">
        <x:f>'Material Coupons'!K31</x:f>
        <x:v>OPEN</x:v>
      </x:c>
    </x:row>
    <x:row r="56">
      <x:c r="B56" s="7" t="str">
        <x:v>AG-00050</x:v>
      </x:c>
      <x:c r="C56" s="7" t="str">
        <x:v>PEA-A-X1</x:v>
      </x:c>
      <x:c r="D56" s="7" t="str">
        <x:v>material coupon</x:v>
      </x:c>
      <x:c r="E56" s="7" t="str">
        <x:v>CPN-PEA-A-X1-CP-2</x:v>
      </x:c>
      <x:c r="F56" s="7" t="str">
        <x:f>'Material Coupons'!K32</x:f>
        <x:v>OPEN</x:v>
      </x:c>
    </x:row>
    <x:row r="57">
      <x:c r="B57" s="7" t="str">
        <x:v>AG-00051</x:v>
      </x:c>
      <x:c r="C57" s="7" t="str">
        <x:v>PEA-A-X1</x:v>
      </x:c>
      <x:c r="D57" s="7" t="str">
        <x:v>material coupon</x:v>
      </x:c>
      <x:c r="E57" s="7" t="str">
        <x:v>CPN-PEA-A-X1-CP-3</x:v>
      </x:c>
      <x:c r="F57" s="7" t="str">
        <x:f>'Material Coupons'!K33</x:f>
        <x:v>OPEN</x:v>
      </x:c>
    </x:row>
    <x:row r="58">
      <x:c r="B58" s="7" t="str">
        <x:v>AG-00052</x:v>
      </x:c>
      <x:c r="C58" s="7" t="str">
        <x:v>PEA-A-X1</x:v>
      </x:c>
      <x:c r="D58" s="7" t="str">
        <x:v>material coupon</x:v>
      </x:c>
      <x:c r="E58" s="7" t="str">
        <x:v>CPN-PEA-A-X1-CP-4</x:v>
      </x:c>
      <x:c r="F58" s="7" t="str">
        <x:f>'Material Coupons'!K34</x:f>
        <x:v>OPEN</x:v>
      </x:c>
    </x:row>
    <x:row r="59">
      <x:c r="B59" s="7" t="str">
        <x:v>AG-00053</x:v>
      </x:c>
      <x:c r="C59" s="7" t="str">
        <x:v>PEA-A-X1</x:v>
      </x:c>
      <x:c r="D59" s="7" t="str">
        <x:v>material coupon</x:v>
      </x:c>
      <x:c r="E59" s="7" t="str">
        <x:v>CPN-PEA-A-X1-CP-5</x:v>
      </x:c>
      <x:c r="F59" s="7" t="str">
        <x:f>'Material Coupons'!K35</x:f>
        <x:v>OPEN</x:v>
      </x:c>
    </x:row>
    <x:row r="60">
      <x:c r="B60" s="7" t="str">
        <x:v>AG-00054</x:v>
      </x:c>
      <x:c r="C60" s="7" t="str">
        <x:v>PEA-A-X1</x:v>
      </x:c>
      <x:c r="D60" s="7" t="str">
        <x:v>material coupon</x:v>
      </x:c>
      <x:c r="E60" s="7" t="str">
        <x:v>CPN-PEA-A-X1-CP-6</x:v>
      </x:c>
      <x:c r="F60" s="7" t="str">
        <x:f>'Material Coupons'!K36</x:f>
        <x:v>OPEN</x:v>
      </x:c>
    </x:row>
    <x:row r="61">
      <x:c r="B61" s="7" t="str">
        <x:v>AG-00055</x:v>
      </x:c>
      <x:c r="C61" s="7" t="str">
        <x:v>PEA-A-X1</x:v>
      </x:c>
      <x:c r="D61" s="7" t="str">
        <x:v>material coupon</x:v>
      </x:c>
      <x:c r="E61" s="7" t="str">
        <x:v>CPN-PEA-A-X1-CP-7</x:v>
      </x:c>
      <x:c r="F61" s="7" t="str">
        <x:f>'Material Coupons'!K37</x:f>
        <x:v>OPEN</x:v>
      </x:c>
    </x:row>
    <x:row r="62">
      <x:c r="B62" s="7" t="str">
        <x:v>AG-00056</x:v>
      </x:c>
      <x:c r="C62" s="7" t="str">
        <x:v>PEA-A-X1</x:v>
      </x:c>
      <x:c r="D62" s="7" t="str">
        <x:v>material coupon</x:v>
      </x:c>
      <x:c r="E62" s="7" t="str">
        <x:v>CPN-PEA-A-X1-CP-8</x:v>
      </x:c>
      <x:c r="F62" s="7" t="str">
        <x:f>'Material Coupons'!K38</x:f>
        <x:v>OPEN</x:v>
      </x:c>
    </x:row>
    <x:row r="63">
      <x:c r="B63" s="7" t="str">
        <x:v>AG-00057</x:v>
      </x:c>
      <x:c r="C63" s="7" t="str">
        <x:v>PEA-A-X1</x:v>
      </x:c>
      <x:c r="D63" s="7" t="str">
        <x:v>material coupon</x:v>
      </x:c>
      <x:c r="E63" s="7" t="str">
        <x:v>CPN-PEA-A-X1-SM-1</x:v>
      </x:c>
      <x:c r="F63" s="7" t="str">
        <x:f>'Material Coupons'!K39</x:f>
        <x:v>OPEN</x:v>
      </x:c>
    </x:row>
    <x:row r="64">
      <x:c r="B64" s="7" t="str">
        <x:v>AG-00058</x:v>
      </x:c>
      <x:c r="C64" s="7" t="str">
        <x:v>PEA-A-X1</x:v>
      </x:c>
      <x:c r="D64" s="7" t="str">
        <x:v>material coupon</x:v>
      </x:c>
      <x:c r="E64" s="7" t="str">
        <x:v>CPN-PEA-A-X1-SM-2</x:v>
      </x:c>
      <x:c r="F64" s="7" t="str">
        <x:f>'Material Coupons'!K40</x:f>
        <x:v>OPEN</x:v>
      </x:c>
    </x:row>
    <x:row r="65">
      <x:c r="B65" s="7" t="str">
        <x:v>AG-00059</x:v>
      </x:c>
      <x:c r="C65" s="7" t="str">
        <x:v>PEA-A-X1</x:v>
      </x:c>
      <x:c r="D65" s="7" t="str">
        <x:v>material coupon</x:v>
      </x:c>
      <x:c r="E65" s="7" t="str">
        <x:v>CPN-PEA-A-X1-SM-3</x:v>
      </x:c>
      <x:c r="F65" s="7" t="str">
        <x:f>'Material Coupons'!K41</x:f>
        <x:v>OPEN</x:v>
      </x:c>
    </x:row>
    <x:row r="66">
      <x:c r="B66" s="7" t="str">
        <x:v>AG-00060</x:v>
      </x:c>
      <x:c r="C66" s="7" t="str">
        <x:v>PEA-A-X1</x:v>
      </x:c>
      <x:c r="D66" s="7" t="str">
        <x:v>material coupon</x:v>
      </x:c>
      <x:c r="E66" s="7" t="str">
        <x:v>CPN-PEA-A-X1-SM-4</x:v>
      </x:c>
      <x:c r="F66" s="7" t="str">
        <x:f>'Material Coupons'!K42</x:f>
        <x:v>OPEN</x:v>
      </x:c>
    </x:row>
    <x:row r="67">
      <x:c r="B67" s="7" t="str">
        <x:v>AG-00061</x:v>
      </x:c>
      <x:c r="C67" s="7" t="str">
        <x:v>PEA-A-X1</x:v>
      </x:c>
      <x:c r="D67" s="7" t="str">
        <x:v>material coupon</x:v>
      </x:c>
      <x:c r="E67" s="7" t="str">
        <x:v>CPN-PEA-A-X1-SM-5</x:v>
      </x:c>
      <x:c r="F67" s="7" t="str">
        <x:f>'Material Coupons'!K43</x:f>
        <x:v>OPEN</x:v>
      </x:c>
    </x:row>
    <x:row r="68">
      <x:c r="B68" s="7" t="str">
        <x:v>AG-00062</x:v>
      </x:c>
      <x:c r="C68" s="7" t="str">
        <x:v>PEA-A-X1</x:v>
      </x:c>
      <x:c r="D68" s="7" t="str">
        <x:v>material coupon</x:v>
      </x:c>
      <x:c r="E68" s="7" t="str">
        <x:v>CPN-PEA-A-X1-SM-6</x:v>
      </x:c>
      <x:c r="F68" s="7" t="str">
        <x:f>'Material Coupons'!K44</x:f>
        <x:v>OPEN</x:v>
      </x:c>
    </x:row>
    <x:row r="69">
      <x:c r="B69" s="7" t="str">
        <x:v>AG-00063</x:v>
      </x:c>
      <x:c r="C69" s="7" t="str">
        <x:v>PEA-A-X1</x:v>
      </x:c>
      <x:c r="D69" s="7" t="str">
        <x:v>material coupon</x:v>
      </x:c>
      <x:c r="E69" s="7" t="str">
        <x:v>CPN-PEA-A-X1-SM-7</x:v>
      </x:c>
      <x:c r="F69" s="7" t="str">
        <x:f>'Material Coupons'!K45</x:f>
        <x:v>OPEN</x:v>
      </x:c>
    </x:row>
    <x:row r="70">
      <x:c r="B70" s="7" t="str">
        <x:v>AG-00064</x:v>
      </x:c>
      <x:c r="C70" s="7" t="str">
        <x:v>PEA-A-X1</x:v>
      </x:c>
      <x:c r="D70" s="7" t="str">
        <x:v>material coupon</x:v>
      </x:c>
      <x:c r="E70" s="7" t="str">
        <x:v>CPN-PEA-A-X1-SM-8</x:v>
      </x:c>
      <x:c r="F70" s="7" t="str">
        <x:f>'Material Coupons'!K46</x:f>
        <x:v>OPEN</x:v>
      </x:c>
    </x:row>
    <x:row r="71">
      <x:c r="B71" s="7" t="str">
        <x:v>AG-00065</x:v>
      </x:c>
      <x:c r="C71" s="7" t="str">
        <x:v>PEA-A-X1</x:v>
      </x:c>
      <x:c r="D71" s="7" t="str">
        <x:v>NDE record</x:v>
      </x:c>
      <x:c r="E71" s="7" t="str">
        <x:v>NDE-TRV-PEA-A-X1-01</x:v>
      </x:c>
      <x:c r="F71" s="7" t="str">
        <x:f>'NDE Records'!L7</x:f>
        <x:v>OPEN</x:v>
      </x:c>
    </x:row>
    <x:row r="72">
      <x:c r="B72" s="7" t="str">
        <x:v>AG-00066</x:v>
      </x:c>
      <x:c r="C72" s="7" t="str">
        <x:v>PEA-A-X1</x:v>
      </x:c>
      <x:c r="D72" s="7" t="str">
        <x:v>NDE record</x:v>
      </x:c>
      <x:c r="E72" s="7" t="str">
        <x:v>NDE-TRV-PEA-A-X1-02</x:v>
      </x:c>
      <x:c r="F72" s="7" t="str">
        <x:f>'NDE Records'!L8</x:f>
        <x:v>OPEN</x:v>
      </x:c>
    </x:row>
    <x:row r="73">
      <x:c r="B73" s="7" t="str">
        <x:v>AG-00067</x:v>
      </x:c>
      <x:c r="C73" s="7" t="str">
        <x:v>PEA-A-X1</x:v>
      </x:c>
      <x:c r="D73" s="7" t="str">
        <x:v>NDE record</x:v>
      </x:c>
      <x:c r="E73" s="7" t="str">
        <x:v>NDE-TRV-PEA-A-X1-03</x:v>
      </x:c>
      <x:c r="F73" s="7" t="str">
        <x:f>'NDE Records'!L9</x:f>
        <x:v>OPEN</x:v>
      </x:c>
    </x:row>
    <x:row r="74">
      <x:c r="B74" s="7" t="str">
        <x:v>AG-00068</x:v>
      </x:c>
      <x:c r="C74" s="7" t="str">
        <x:v>PEA-A-X1</x:v>
      </x:c>
      <x:c r="D74" s="7" t="str">
        <x:v>NDE record</x:v>
      </x:c>
      <x:c r="E74" s="7" t="str">
        <x:v>NDE-TRV-PEA-A-X1-04</x:v>
      </x:c>
      <x:c r="F74" s="7" t="str">
        <x:f>'NDE Records'!L10</x:f>
        <x:v>OPEN</x:v>
      </x:c>
    </x:row>
    <x:row r="75">
      <x:c r="B75" s="7" t="str">
        <x:v>AG-00069</x:v>
      </x:c>
      <x:c r="C75" s="7" t="str">
        <x:v>PEA-A-X1</x:v>
      </x:c>
      <x:c r="D75" s="7" t="str">
        <x:v>NDE record</x:v>
      </x:c>
      <x:c r="E75" s="7" t="str">
        <x:v>NDE-TRV-PEA-A-X1-05</x:v>
      </x:c>
      <x:c r="F75" s="7" t="str">
        <x:f>'NDE Records'!L11</x:f>
        <x:v>OPEN</x:v>
      </x:c>
    </x:row>
    <x:row r="76">
      <x:c r="B76" s="7" t="str">
        <x:v>AG-00070</x:v>
      </x:c>
      <x:c r="C76" s="7" t="str">
        <x:v>PEA-A-X1</x:v>
      </x:c>
      <x:c r="D76" s="7" t="str">
        <x:v>NDE record</x:v>
      </x:c>
      <x:c r="E76" s="7" t="str">
        <x:v>NDE-TRV-PEA-A-X1-06</x:v>
      </x:c>
      <x:c r="F76" s="7" t="str">
        <x:f>'NDE Records'!L12</x:f>
        <x:v>OPEN</x:v>
      </x:c>
    </x:row>
    <x:row r="77">
      <x:c r="B77" s="7" t="str">
        <x:v>AG-00071</x:v>
      </x:c>
      <x:c r="C77" s="7" t="str">
        <x:v>PEA-A-X1</x:v>
      </x:c>
      <x:c r="D77" s="7" t="str">
        <x:v>NDE record</x:v>
      </x:c>
      <x:c r="E77" s="7" t="str">
        <x:v>NDE-TRV-PEA-A-X1-07</x:v>
      </x:c>
      <x:c r="F77" s="7" t="str">
        <x:f>'NDE Records'!L13</x:f>
        <x:v>OPEN</x:v>
      </x:c>
    </x:row>
    <x:row r="78">
      <x:c r="B78" s="7" t="str">
        <x:v>AG-00072</x:v>
      </x:c>
      <x:c r="C78" s="7" t="str">
        <x:v>PEA-A-X1</x:v>
      </x:c>
      <x:c r="D78" s="7" t="str">
        <x:v>NDE record</x:v>
      </x:c>
      <x:c r="E78" s="7" t="str">
        <x:v>NDE-TRV-PEA-A-X1-08</x:v>
      </x:c>
      <x:c r="F78" s="7" t="str">
        <x:f>'NDE Records'!L14</x:f>
        <x:v>OPEN</x:v>
      </x:c>
    </x:row>
    <x:row r="79">
      <x:c r="B79" s="7" t="str">
        <x:v>AG-00073</x:v>
      </x:c>
      <x:c r="C79" s="7" t="str">
        <x:v>PEA-A-X1</x:v>
      </x:c>
      <x:c r="D79" s="7" t="str">
        <x:v>NDE record</x:v>
      </x:c>
      <x:c r="E79" s="7" t="str">
        <x:v>NDE-TRV-PEA-A-X1-09</x:v>
      </x:c>
      <x:c r="F79" s="7" t="str">
        <x:f>'NDE Records'!L15</x:f>
        <x:v>OPEN</x:v>
      </x:c>
    </x:row>
    <x:row r="80">
      <x:c r="B80" s="7" t="str">
        <x:v>AG-00074</x:v>
      </x:c>
      <x:c r="C80" s="7" t="str">
        <x:v>PEA-A-X1</x:v>
      </x:c>
      <x:c r="D80" s="7" t="str">
        <x:v>NDE record</x:v>
      </x:c>
      <x:c r="E80" s="7" t="str">
        <x:v>NDE-TRV-PEA-A-X1-10</x:v>
      </x:c>
      <x:c r="F80" s="7" t="str">
        <x:f>'NDE Records'!L16</x:f>
        <x:v>OPEN</x:v>
      </x:c>
    </x:row>
    <x:row r="81">
      <x:c r="B81" s="7" t="str">
        <x:v>AG-00075</x:v>
      </x:c>
      <x:c r="C81" s="7" t="str">
        <x:v>PEA-A-X1</x:v>
      </x:c>
      <x:c r="D81" s="7" t="str">
        <x:v>NDE record</x:v>
      </x:c>
      <x:c r="E81" s="7" t="str">
        <x:v>NDE-TRV-PEA-A-X1-11</x:v>
      </x:c>
      <x:c r="F81" s="7" t="str">
        <x:f>'NDE Records'!L17</x:f>
        <x:v>OPEN</x:v>
      </x:c>
    </x:row>
    <x:row r="82">
      <x:c r="B82" s="7" t="str">
        <x:v>AG-00076</x:v>
      </x:c>
      <x:c r="C82" s="7" t="str">
        <x:v>PEA-A-X1</x:v>
      </x:c>
      <x:c r="D82" s="7" t="str">
        <x:v>NDE record</x:v>
      </x:c>
      <x:c r="E82" s="7" t="str">
        <x:v>NDE-TRV-PEA-A-X1-12</x:v>
      </x:c>
      <x:c r="F82" s="7" t="str">
        <x:f>'NDE Records'!L18</x:f>
        <x:v>OPEN</x:v>
      </x:c>
    </x:row>
    <x:row r="83">
      <x:c r="B83" s="7" t="str">
        <x:v>AG-00077</x:v>
      </x:c>
      <x:c r="C83" s="7" t="str">
        <x:v>PEA-A-X1</x:v>
      </x:c>
      <x:c r="D83" s="7" t="str">
        <x:v>NDE record</x:v>
      </x:c>
      <x:c r="E83" s="7" t="str">
        <x:v>NDE-TRV-PEA-A-X1-13</x:v>
      </x:c>
      <x:c r="F83" s="7" t="str">
        <x:f>'NDE Records'!L19</x:f>
        <x:v>OPEN</x:v>
      </x:c>
    </x:row>
    <x:row r="84">
      <x:c r="B84" s="7" t="str">
        <x:v>AG-00078</x:v>
      </x:c>
      <x:c r="C84" s="7" t="str">
        <x:v>PEA-A-X1</x:v>
      </x:c>
      <x:c r="D84" s="7" t="str">
        <x:v>NDE record</x:v>
      </x:c>
      <x:c r="E84" s="7" t="str">
        <x:v>NDE-TRV-PEA-A-X1-14</x:v>
      </x:c>
      <x:c r="F84" s="7" t="str">
        <x:f>'NDE Records'!L20</x:f>
        <x:v>OPEN</x:v>
      </x:c>
    </x:row>
    <x:row r="85">
      <x:c r="B85" s="7" t="str">
        <x:v>AG-00079</x:v>
      </x:c>
      <x:c r="C85" s="7" t="str">
        <x:v>PEA-A-X1</x:v>
      </x:c>
      <x:c r="D85" s="7" t="str">
        <x:v>NDE record</x:v>
      </x:c>
      <x:c r="E85" s="7" t="str">
        <x:v>NDE-TRV-PEA-A-X1-15</x:v>
      </x:c>
      <x:c r="F85" s="7" t="str">
        <x:f>'NDE Records'!L21</x:f>
        <x:v>OPEN</x:v>
      </x:c>
    </x:row>
    <x:row r="86">
      <x:c r="B86" s="7" t="str">
        <x:v>AG-00080</x:v>
      </x:c>
      <x:c r="C86" s="7" t="str">
        <x:v>PEA-A-X1</x:v>
      </x:c>
      <x:c r="D86" s="7" t="str">
        <x:v>NDE record</x:v>
      </x:c>
      <x:c r="E86" s="7" t="str">
        <x:v>NDE-TRV-PEA-A-X1-16</x:v>
      </x:c>
      <x:c r="F86" s="7" t="str">
        <x:f>'NDE Records'!L22</x:f>
        <x:v>OPEN</x:v>
      </x:c>
    </x:row>
    <x:row r="87">
      <x:c r="B87" s="7" t="str">
        <x:v>AG-00081</x:v>
      </x:c>
      <x:c r="C87" s="7" t="str">
        <x:v>PEA-A-X1</x:v>
      </x:c>
      <x:c r="D87" s="7" t="str">
        <x:v>NDE record</x:v>
      </x:c>
      <x:c r="E87" s="7" t="str">
        <x:v>NDE-TRV-PEA-A-X1-17</x:v>
      </x:c>
      <x:c r="F87" s="7" t="str">
        <x:f>'NDE Records'!L23</x:f>
        <x:v>OPEN</x:v>
      </x:c>
    </x:row>
    <x:row r="88">
      <x:c r="B88" s="7" t="str">
        <x:v>AG-00082</x:v>
      </x:c>
      <x:c r="C88" s="7" t="str">
        <x:v>PEA-A-X1</x:v>
      </x:c>
      <x:c r="D88" s="7" t="str">
        <x:v>NDE record</x:v>
      </x:c>
      <x:c r="E88" s="7" t="str">
        <x:v>NDE-TRV-PEA-A-X1-18</x:v>
      </x:c>
      <x:c r="F88" s="7" t="str">
        <x:f>'NDE Records'!L24</x:f>
        <x:v>OPEN</x:v>
      </x:c>
    </x:row>
    <x:row r="89">
      <x:c r="B89" s="7" t="str">
        <x:v>AG-00083</x:v>
      </x:c>
      <x:c r="C89" s="7" t="str">
        <x:v>PEA-A-X1</x:v>
      </x:c>
      <x:c r="D89" s="7" t="str">
        <x:v>NDE record</x:v>
      </x:c>
      <x:c r="E89" s="7" t="str">
        <x:v>NDE-TRV-PEA-A-X1-19</x:v>
      </x:c>
      <x:c r="F89" s="7" t="str">
        <x:f>'NDE Records'!L25</x:f>
        <x:v>OPEN</x:v>
      </x:c>
    </x:row>
    <x:row r="90">
      <x:c r="B90" s="7" t="str">
        <x:v>AG-00084</x:v>
      </x:c>
      <x:c r="C90" s="7" t="str">
        <x:v>PEA-A-X1</x:v>
      </x:c>
      <x:c r="D90" s="7" t="str">
        <x:v>NDE record</x:v>
      </x:c>
      <x:c r="E90" s="7" t="str">
        <x:v>NDE-TRV-PEA-A-X1-20</x:v>
      </x:c>
      <x:c r="F90" s="7" t="str">
        <x:f>'NDE Records'!L26</x:f>
        <x:v>OPEN</x:v>
      </x:c>
    </x:row>
    <x:row r="91">
      <x:c r="B91" s="7" t="str">
        <x:v>AG-00085</x:v>
      </x:c>
      <x:c r="C91" s="7" t="str">
        <x:v>PEA-A-X1</x:v>
      </x:c>
      <x:c r="D91" s="7" t="str">
        <x:v>joint record</x:v>
      </x:c>
      <x:c r="E91" s="7" t="str">
        <x:v>JNT-PEA-A-X1-1</x:v>
      </x:c>
      <x:c r="F91" s="7" t="str">
        <x:f>'Joint Records'!M7</x:f>
        <x:v>OPEN</x:v>
      </x:c>
    </x:row>
    <x:row r="92">
      <x:c r="B92" s="7" t="str">
        <x:v>AG-00086</x:v>
      </x:c>
      <x:c r="C92" s="7" t="str">
        <x:v>PEA-A-X1</x:v>
      </x:c>
      <x:c r="D92" s="7" t="str">
        <x:v>joint record</x:v>
      </x:c>
      <x:c r="E92" s="7" t="str">
        <x:v>JNT-PEA-A-X1-2</x:v>
      </x:c>
      <x:c r="F92" s="7" t="str">
        <x:f>'Joint Records'!M8</x:f>
        <x:v>OPEN</x:v>
      </x:c>
    </x:row>
    <x:row r="93">
      <x:c r="B93" s="7" t="str">
        <x:v>AG-00087</x:v>
      </x:c>
      <x:c r="C93" s="7" t="str">
        <x:v>PEA-A-X1</x:v>
      </x:c>
      <x:c r="D93" s="7" t="str">
        <x:v>joint record</x:v>
      </x:c>
      <x:c r="E93" s="7" t="str">
        <x:v>JNT-PEA-A-X1-3</x:v>
      </x:c>
      <x:c r="F93" s="7" t="str">
        <x:f>'Joint Records'!M9</x:f>
        <x:v>OPEN</x:v>
      </x:c>
    </x:row>
    <x:row r="94">
      <x:c r="B94" s="7" t="str">
        <x:v>AG-00088</x:v>
      </x:c>
      <x:c r="C94" s="7" t="str">
        <x:v>PEA-A-X1</x:v>
      </x:c>
      <x:c r="D94" s="7" t="str">
        <x:v>joint record</x:v>
      </x:c>
      <x:c r="E94" s="7" t="str">
        <x:v>JNT-PEA-A-X1-4</x:v>
      </x:c>
      <x:c r="F94" s="7" t="str">
        <x:f>'Joint Records'!M10</x:f>
        <x:v>OPEN</x:v>
      </x:c>
    </x:row>
    <x:row r="95">
      <x:c r="B95" s="7" t="str">
        <x:v>AG-00089</x:v>
      </x:c>
      <x:c r="C95" s="7" t="str">
        <x:v>PEA-A-X1</x:v>
      </x:c>
      <x:c r="D95" s="7" t="str">
        <x:v>joint record</x:v>
      </x:c>
      <x:c r="E95" s="7" t="str">
        <x:v>JNT-PEA-A-X1-5</x:v>
      </x:c>
      <x:c r="F95" s="7" t="str">
        <x:f>'Joint Records'!M11</x:f>
        <x:v>OPEN</x:v>
      </x:c>
    </x:row>
    <x:row r="96">
      <x:c r="B96" s="7" t="str">
        <x:v>AG-00090</x:v>
      </x:c>
      <x:c r="C96" s="7" t="str">
        <x:v>PEA-A-X1</x:v>
      </x:c>
      <x:c r="D96" s="7" t="str">
        <x:v>control element</x:v>
      </x:c>
      <x:c r="E96" s="7" t="str">
        <x:v>ELM-PEA-A-X1-01</x:v>
      </x:c>
      <x:c r="F96" s="7" t="str">
        <x:f>'Control Elements'!L7</x:f>
        <x:v>OPEN</x:v>
      </x:c>
    </x:row>
    <x:row r="97">
      <x:c r="B97" s="7" t="str">
        <x:v>AG-00091</x:v>
      </x:c>
      <x:c r="C97" s="7" t="str">
        <x:v>PEA-A-X1</x:v>
      </x:c>
      <x:c r="D97" s="7" t="str">
        <x:v>control element</x:v>
      </x:c>
      <x:c r="E97" s="7" t="str">
        <x:v>ELM-PEA-A-X1-02</x:v>
      </x:c>
      <x:c r="F97" s="7" t="str">
        <x:f>'Control Elements'!L8</x:f>
        <x:v>OPEN</x:v>
      </x:c>
    </x:row>
    <x:row r="98">
      <x:c r="B98" s="7" t="str">
        <x:v>AG-00092</x:v>
      </x:c>
      <x:c r="C98" s="7" t="str">
        <x:v>PEA-A-X1</x:v>
      </x:c>
      <x:c r="D98" s="7" t="str">
        <x:v>control element</x:v>
      </x:c>
      <x:c r="E98" s="7" t="str">
        <x:v>ELM-PEA-A-X1-03</x:v>
      </x:c>
      <x:c r="F98" s="7" t="str">
        <x:f>'Control Elements'!L9</x:f>
        <x:v>OPEN</x:v>
      </x:c>
    </x:row>
    <x:row r="99">
      <x:c r="B99" s="7" t="str">
        <x:v>AG-00093</x:v>
      </x:c>
      <x:c r="C99" s="7" t="str">
        <x:v>PEA-A-X1</x:v>
      </x:c>
      <x:c r="D99" s="7" t="str">
        <x:v>control element</x:v>
      </x:c>
      <x:c r="E99" s="7" t="str">
        <x:v>ELM-PEA-A-X1-04</x:v>
      </x:c>
      <x:c r="F99" s="7" t="str">
        <x:f>'Control Elements'!L10</x:f>
        <x:v>OPEN</x:v>
      </x:c>
    </x:row>
    <x:row r="100">
      <x:c r="B100" s="7" t="str">
        <x:v>AG-00094</x:v>
      </x:c>
      <x:c r="C100" s="7" t="str">
        <x:v>PEA-A-X1</x:v>
      </x:c>
      <x:c r="D100" s="7" t="str">
        <x:v>control element</x:v>
      </x:c>
      <x:c r="E100" s="7" t="str">
        <x:v>ELM-PEA-A-X1-05</x:v>
      </x:c>
      <x:c r="F100" s="7" t="str">
        <x:f>'Control Elements'!L11</x:f>
        <x:v>OPEN</x:v>
      </x:c>
    </x:row>
    <x:row r="101">
      <x:c r="B101" s="7" t="str">
        <x:v>AG-00095</x:v>
      </x:c>
      <x:c r="C101" s="7" t="str">
        <x:v>PEA-A-X1</x:v>
      </x:c>
      <x:c r="D101" s="7" t="str">
        <x:v>control element</x:v>
      </x:c>
      <x:c r="E101" s="7" t="str">
        <x:v>ELM-PEA-A-X1-06</x:v>
      </x:c>
      <x:c r="F101" s="7" t="str">
        <x:f>'Control Elements'!L12</x:f>
        <x:v>OPEN</x:v>
      </x:c>
    </x:row>
    <x:row r="102">
      <x:c r="B102" s="7" t="str">
        <x:v>AG-00096</x:v>
      </x:c>
      <x:c r="C102" s="7" t="str">
        <x:v>PEA-A-X1</x:v>
      </x:c>
      <x:c r="D102" s="7" t="str">
        <x:v>control element</x:v>
      </x:c>
      <x:c r="E102" s="7" t="str">
        <x:v>ELM-PEA-A-X1-07</x:v>
      </x:c>
      <x:c r="F102" s="7" t="str">
        <x:f>'Control Elements'!L13</x:f>
        <x:v>OPEN</x:v>
      </x:c>
    </x:row>
    <x:row r="103">
      <x:c r="B103" s="7" t="str">
        <x:v>AG-00097</x:v>
      </x:c>
      <x:c r="C103" s="7" t="str">
        <x:v>PEA-A-X1</x:v>
      </x:c>
      <x:c r="D103" s="7" t="str">
        <x:v>control element</x:v>
      </x:c>
      <x:c r="E103" s="7" t="str">
        <x:v>ELM-PEA-A-X1-08</x:v>
      </x:c>
      <x:c r="F103" s="7" t="str">
        <x:f>'Control Elements'!L14</x:f>
        <x:v>OPEN</x:v>
      </x:c>
    </x:row>
    <x:row r="104">
      <x:c r="B104" s="7" t="str">
        <x:v>AG-00098</x:v>
      </x:c>
      <x:c r="C104" s="7" t="str">
        <x:v>PEA-A-X1</x:v>
      </x:c>
      <x:c r="D104" s="7" t="str">
        <x:v>control element</x:v>
      </x:c>
      <x:c r="E104" s="7" t="str">
        <x:v>ELM-PEA-A-X1-09</x:v>
      </x:c>
      <x:c r="F104" s="7" t="str">
        <x:f>'Control Elements'!L15</x:f>
        <x:v>OPEN</x:v>
      </x:c>
    </x:row>
    <x:row r="105">
      <x:c r="B105" s="7" t="str">
        <x:v>AG-00099</x:v>
      </x:c>
      <x:c r="C105" s="7" t="str">
        <x:v>PEA-A-X1</x:v>
      </x:c>
      <x:c r="D105" s="7" t="str">
        <x:v>control element</x:v>
      </x:c>
      <x:c r="E105" s="7" t="str">
        <x:v>ELM-PEA-A-X1-10</x:v>
      </x:c>
      <x:c r="F105" s="7" t="str">
        <x:f>'Control Elements'!L16</x:f>
        <x:v>OPEN</x:v>
      </x:c>
    </x:row>
    <x:row r="106">
      <x:c r="B106" s="7" t="str">
        <x:v>AG-00100</x:v>
      </x:c>
      <x:c r="C106" s="7" t="str">
        <x:v>PEA-A-X1</x:v>
      </x:c>
      <x:c r="D106" s="7" t="str">
        <x:v>control element</x:v>
      </x:c>
      <x:c r="E106" s="7" t="str">
        <x:v>ELM-PEA-A-X1-11</x:v>
      </x:c>
      <x:c r="F106" s="7" t="str">
        <x:f>'Control Elements'!L17</x:f>
        <x:v>OPEN</x:v>
      </x:c>
    </x:row>
    <x:row r="107">
      <x:c r="B107" s="7" t="str">
        <x:v>AG-00101</x:v>
      </x:c>
      <x:c r="C107" s="7" t="str">
        <x:v>PEA-A-X1</x:v>
      </x:c>
      <x:c r="D107" s="7" t="str">
        <x:v>control element</x:v>
      </x:c>
      <x:c r="E107" s="7" t="str">
        <x:v>ELM-PEA-A-X1-12</x:v>
      </x:c>
      <x:c r="F107" s="7" t="str">
        <x:f>'Control Elements'!L18</x:f>
        <x:v>OPEN</x:v>
      </x:c>
    </x:row>
    <x:row r="108">
      <x:c r="B108" s="7" t="str">
        <x:v>AG-00102</x:v>
      </x:c>
      <x:c r="C108" s="7" t="str">
        <x:v>PEA-A-X1</x:v>
      </x:c>
      <x:c r="D108" s="7" t="str">
        <x:v>channel instance</x:v>
      </x:c>
      <x:c r="E108" s="7" t="str">
        <x:v>CH-PEA-A-X1-01-1</x:v>
      </x:c>
      <x:c r="F108" s="7" t="str">
        <x:f>'Channel Instances'!O7</x:f>
        <x:v>OPEN</x:v>
      </x:c>
    </x:row>
    <x:row r="109">
      <x:c r="B109" s="7" t="str">
        <x:v>AG-00103</x:v>
      </x:c>
      <x:c r="C109" s="7" t="str">
        <x:v>PEA-A-X1</x:v>
      </x:c>
      <x:c r="D109" s="7" t="str">
        <x:v>channel instance</x:v>
      </x:c>
      <x:c r="E109" s="7" t="str">
        <x:v>CH-PEA-A-X1-01-2</x:v>
      </x:c>
      <x:c r="F109" s="7" t="str">
        <x:f>'Channel Instances'!O8</x:f>
        <x:v>OPEN</x:v>
      </x:c>
    </x:row>
    <x:row r="110">
      <x:c r="B110" s="7" t="str">
        <x:v>AG-00104</x:v>
      </x:c>
      <x:c r="C110" s="7" t="str">
        <x:v>PEA-A-X1</x:v>
      </x:c>
      <x:c r="D110" s="7" t="str">
        <x:v>channel instance</x:v>
      </x:c>
      <x:c r="E110" s="7" t="str">
        <x:v>CH-PEA-A-X1-01-3</x:v>
      </x:c>
      <x:c r="F110" s="7" t="str">
        <x:f>'Channel Instances'!O9</x:f>
        <x:v>OPEN</x:v>
      </x:c>
    </x:row>
    <x:row r="111">
      <x:c r="B111" s="7" t="str">
        <x:v>AG-00105</x:v>
      </x:c>
      <x:c r="C111" s="7" t="str">
        <x:v>PEA-A-X1</x:v>
      </x:c>
      <x:c r="D111" s="7" t="str">
        <x:v>channel instance</x:v>
      </x:c>
      <x:c r="E111" s="7" t="str">
        <x:v>CH-PEA-A-X1-01-4</x:v>
      </x:c>
      <x:c r="F111" s="7" t="str">
        <x:f>'Channel Instances'!O10</x:f>
        <x:v>OPEN</x:v>
      </x:c>
    </x:row>
    <x:row r="112">
      <x:c r="B112" s="7" t="str">
        <x:v>AG-00106</x:v>
      </x:c>
      <x:c r="C112" s="7" t="str">
        <x:v>PEA-A-X1</x:v>
      </x:c>
      <x:c r="D112" s="7" t="str">
        <x:v>channel instance</x:v>
      </x:c>
      <x:c r="E112" s="7" t="str">
        <x:v>CH-PEA-A-X1-01-5</x:v>
      </x:c>
      <x:c r="F112" s="7" t="str">
        <x:f>'Channel Instances'!O11</x:f>
        <x:v>OPEN</x:v>
      </x:c>
    </x:row>
    <x:row r="113">
      <x:c r="B113" s="7" t="str">
        <x:v>AG-00107</x:v>
      </x:c>
      <x:c r="C113" s="7" t="str">
        <x:v>PEA-A-X1</x:v>
      </x:c>
      <x:c r="D113" s="7" t="str">
        <x:v>channel instance</x:v>
      </x:c>
      <x:c r="E113" s="7" t="str">
        <x:v>CH-PEA-A-X1-01-6</x:v>
      </x:c>
      <x:c r="F113" s="7" t="str">
        <x:f>'Channel Instances'!O12</x:f>
        <x:v>OPEN</x:v>
      </x:c>
    </x:row>
    <x:row r="114">
      <x:c r="B114" s="7" t="str">
        <x:v>AG-00108</x:v>
      </x:c>
      <x:c r="C114" s="7" t="str">
        <x:v>PEA-A-X1</x:v>
      </x:c>
      <x:c r="D114" s="7" t="str">
        <x:v>channel instance</x:v>
      </x:c>
      <x:c r="E114" s="7" t="str">
        <x:v>CH-PEA-A-X1-02-1</x:v>
      </x:c>
      <x:c r="F114" s="7" t="str">
        <x:f>'Channel Instances'!O13</x:f>
        <x:v>OPEN</x:v>
      </x:c>
    </x:row>
    <x:row r="115">
      <x:c r="B115" s="7" t="str">
        <x:v>AG-00109</x:v>
      </x:c>
      <x:c r="C115" s="7" t="str">
        <x:v>PEA-A-X1</x:v>
      </x:c>
      <x:c r="D115" s="7" t="str">
        <x:v>channel instance</x:v>
      </x:c>
      <x:c r="E115" s="7" t="str">
        <x:v>CH-PEA-A-X1-02-2</x:v>
      </x:c>
      <x:c r="F115" s="7" t="str">
        <x:f>'Channel Instances'!O14</x:f>
        <x:v>OPEN</x:v>
      </x:c>
    </x:row>
    <x:row r="116">
      <x:c r="B116" s="7" t="str">
        <x:v>AG-00110</x:v>
      </x:c>
      <x:c r="C116" s="7" t="str">
        <x:v>PEA-A-X1</x:v>
      </x:c>
      <x:c r="D116" s="7" t="str">
        <x:v>channel instance</x:v>
      </x:c>
      <x:c r="E116" s="7" t="str">
        <x:v>CH-PEA-A-X1-02-3</x:v>
      </x:c>
      <x:c r="F116" s="7" t="str">
        <x:f>'Channel Instances'!O15</x:f>
        <x:v>OPEN</x:v>
      </x:c>
    </x:row>
    <x:row r="117">
      <x:c r="B117" s="7" t="str">
        <x:v>AG-00111</x:v>
      </x:c>
      <x:c r="C117" s="7" t="str">
        <x:v>PEA-A-X1</x:v>
      </x:c>
      <x:c r="D117" s="7" t="str">
        <x:v>channel instance</x:v>
      </x:c>
      <x:c r="E117" s="7" t="str">
        <x:v>CH-PEA-A-X1-02-4</x:v>
      </x:c>
      <x:c r="F117" s="7" t="str">
        <x:f>'Channel Instances'!O16</x:f>
        <x:v>OPEN</x:v>
      </x:c>
    </x:row>
    <x:row r="118">
      <x:c r="B118" s="7" t="str">
        <x:v>AG-00112</x:v>
      </x:c>
      <x:c r="C118" s="7" t="str">
        <x:v>PEA-A-X1</x:v>
      </x:c>
      <x:c r="D118" s="7" t="str">
        <x:v>channel instance</x:v>
      </x:c>
      <x:c r="E118" s="7" t="str">
        <x:v>CH-PEA-A-X1-02-5</x:v>
      </x:c>
      <x:c r="F118" s="7" t="str">
        <x:f>'Channel Instances'!O17</x:f>
        <x:v>OPEN</x:v>
      </x:c>
    </x:row>
    <x:row r="119">
      <x:c r="B119" s="7" t="str">
        <x:v>AG-00113</x:v>
      </x:c>
      <x:c r="C119" s="7" t="str">
        <x:v>PEA-A-X1</x:v>
      </x:c>
      <x:c r="D119" s="7" t="str">
        <x:v>channel instance</x:v>
      </x:c>
      <x:c r="E119" s="7" t="str">
        <x:v>CH-PEA-A-X1-02-6</x:v>
      </x:c>
      <x:c r="F119" s="7" t="str">
        <x:f>'Channel Instances'!O18</x:f>
        <x:v>OPEN</x:v>
      </x:c>
    </x:row>
    <x:row r="120">
      <x:c r="B120" s="7" t="str">
        <x:v>AG-00114</x:v>
      </x:c>
      <x:c r="C120" s="7" t="str">
        <x:v>PEA-A-X1</x:v>
      </x:c>
      <x:c r="D120" s="7" t="str">
        <x:v>channel instance</x:v>
      </x:c>
      <x:c r="E120" s="7" t="str">
        <x:v>CH-PEA-A-X1-03-1</x:v>
      </x:c>
      <x:c r="F120" s="7" t="str">
        <x:f>'Channel Instances'!O19</x:f>
        <x:v>OPEN</x:v>
      </x:c>
    </x:row>
    <x:row r="121">
      <x:c r="B121" s="7" t="str">
        <x:v>AG-00115</x:v>
      </x:c>
      <x:c r="C121" s="7" t="str">
        <x:v>PEA-A-X1</x:v>
      </x:c>
      <x:c r="D121" s="7" t="str">
        <x:v>channel instance</x:v>
      </x:c>
      <x:c r="E121" s="7" t="str">
        <x:v>CH-PEA-A-X1-03-2</x:v>
      </x:c>
      <x:c r="F121" s="7" t="str">
        <x:f>'Channel Instances'!O20</x:f>
        <x:v>OPEN</x:v>
      </x:c>
    </x:row>
    <x:row r="122">
      <x:c r="B122" s="7" t="str">
        <x:v>AG-00116</x:v>
      </x:c>
      <x:c r="C122" s="7" t="str">
        <x:v>PEA-A-X1</x:v>
      </x:c>
      <x:c r="D122" s="7" t="str">
        <x:v>channel instance</x:v>
      </x:c>
      <x:c r="E122" s="7" t="str">
        <x:v>CH-PEA-A-X1-03-3</x:v>
      </x:c>
      <x:c r="F122" s="7" t="str">
        <x:f>'Channel Instances'!O21</x:f>
        <x:v>OPEN</x:v>
      </x:c>
    </x:row>
    <x:row r="123">
      <x:c r="B123" s="7" t="str">
        <x:v>AG-00117</x:v>
      </x:c>
      <x:c r="C123" s="7" t="str">
        <x:v>PEA-A-X1</x:v>
      </x:c>
      <x:c r="D123" s="7" t="str">
        <x:v>channel instance</x:v>
      </x:c>
      <x:c r="E123" s="7" t="str">
        <x:v>CH-PEA-A-X1-03-4</x:v>
      </x:c>
      <x:c r="F123" s="7" t="str">
        <x:f>'Channel Instances'!O22</x:f>
        <x:v>OPEN</x:v>
      </x:c>
    </x:row>
    <x:row r="124">
      <x:c r="B124" s="7" t="str">
        <x:v>AG-00118</x:v>
      </x:c>
      <x:c r="C124" s="7" t="str">
        <x:v>PEA-A-X1</x:v>
      </x:c>
      <x:c r="D124" s="7" t="str">
        <x:v>channel instance</x:v>
      </x:c>
      <x:c r="E124" s="7" t="str">
        <x:v>CH-PEA-A-X1-03-5</x:v>
      </x:c>
      <x:c r="F124" s="7" t="str">
        <x:f>'Channel Instances'!O23</x:f>
        <x:v>OPEN</x:v>
      </x:c>
    </x:row>
    <x:row r="125">
      <x:c r="B125" s="7" t="str">
        <x:v>AG-00119</x:v>
      </x:c>
      <x:c r="C125" s="7" t="str">
        <x:v>PEA-A-X1</x:v>
      </x:c>
      <x:c r="D125" s="7" t="str">
        <x:v>channel instance</x:v>
      </x:c>
      <x:c r="E125" s="7" t="str">
        <x:v>CH-PEA-A-X1-03-6</x:v>
      </x:c>
      <x:c r="F125" s="7" t="str">
        <x:f>'Channel Instances'!O24</x:f>
        <x:v>OPEN</x:v>
      </x:c>
    </x:row>
    <x:row r="126">
      <x:c r="B126" s="7" t="str">
        <x:v>AG-00120</x:v>
      </x:c>
      <x:c r="C126" s="7" t="str">
        <x:v>PEA-A-X1</x:v>
      </x:c>
      <x:c r="D126" s="7" t="str">
        <x:v>channel instance</x:v>
      </x:c>
      <x:c r="E126" s="7" t="str">
        <x:v>CH-PEA-A-X1-04-1</x:v>
      </x:c>
      <x:c r="F126" s="7" t="str">
        <x:f>'Channel Instances'!O25</x:f>
        <x:v>OPEN</x:v>
      </x:c>
    </x:row>
    <x:row r="127">
      <x:c r="B127" s="7" t="str">
        <x:v>AG-00121</x:v>
      </x:c>
      <x:c r="C127" s="7" t="str">
        <x:v>PEA-A-X1</x:v>
      </x:c>
      <x:c r="D127" s="7" t="str">
        <x:v>channel instance</x:v>
      </x:c>
      <x:c r="E127" s="7" t="str">
        <x:v>CH-PEA-A-X1-04-2</x:v>
      </x:c>
      <x:c r="F127" s="7" t="str">
        <x:f>'Channel Instances'!O26</x:f>
        <x:v>OPEN</x:v>
      </x:c>
    </x:row>
    <x:row r="128">
      <x:c r="B128" s="7" t="str">
        <x:v>AG-00122</x:v>
      </x:c>
      <x:c r="C128" s="7" t="str">
        <x:v>PEA-A-X1</x:v>
      </x:c>
      <x:c r="D128" s="7" t="str">
        <x:v>channel instance</x:v>
      </x:c>
      <x:c r="E128" s="7" t="str">
        <x:v>CH-PEA-A-X1-04-3</x:v>
      </x:c>
      <x:c r="F128" s="7" t="str">
        <x:f>'Channel Instances'!O27</x:f>
        <x:v>OPEN</x:v>
      </x:c>
    </x:row>
    <x:row r="129">
      <x:c r="B129" s="7" t="str">
        <x:v>AG-00123</x:v>
      </x:c>
      <x:c r="C129" s="7" t="str">
        <x:v>PEA-A-X1</x:v>
      </x:c>
      <x:c r="D129" s="7" t="str">
        <x:v>channel instance</x:v>
      </x:c>
      <x:c r="E129" s="7" t="str">
        <x:v>CH-PEA-A-X1-04-4</x:v>
      </x:c>
      <x:c r="F129" s="7" t="str">
        <x:f>'Channel Instances'!O28</x:f>
        <x:v>OPEN</x:v>
      </x:c>
    </x:row>
    <x:row r="130">
      <x:c r="B130" s="7" t="str">
        <x:v>AG-00124</x:v>
      </x:c>
      <x:c r="C130" s="7" t="str">
        <x:v>PEA-A-X1</x:v>
      </x:c>
      <x:c r="D130" s="7" t="str">
        <x:v>channel instance</x:v>
      </x:c>
      <x:c r="E130" s="7" t="str">
        <x:v>CH-PEA-A-X1-04-5</x:v>
      </x:c>
      <x:c r="F130" s="7" t="str">
        <x:f>'Channel Instances'!O29</x:f>
        <x:v>OPEN</x:v>
      </x:c>
    </x:row>
    <x:row r="131">
      <x:c r="B131" s="7" t="str">
        <x:v>AG-00125</x:v>
      </x:c>
      <x:c r="C131" s="7" t="str">
        <x:v>PEA-A-X1</x:v>
      </x:c>
      <x:c r="D131" s="7" t="str">
        <x:v>channel instance</x:v>
      </x:c>
      <x:c r="E131" s="7" t="str">
        <x:v>CH-PEA-A-X1-04-6</x:v>
      </x:c>
      <x:c r="F131" s="7" t="str">
        <x:f>'Channel Instances'!O30</x:f>
        <x:v>OPEN</x:v>
      </x:c>
    </x:row>
    <x:row r="132">
      <x:c r="B132" s="7" t="str">
        <x:v>AG-00126</x:v>
      </x:c>
      <x:c r="C132" s="7" t="str">
        <x:v>PEA-A-X1</x:v>
      </x:c>
      <x:c r="D132" s="7" t="str">
        <x:v>channel instance</x:v>
      </x:c>
      <x:c r="E132" s="7" t="str">
        <x:v>CH-PEA-A-X1-05-1</x:v>
      </x:c>
      <x:c r="F132" s="7" t="str">
        <x:f>'Channel Instances'!O31</x:f>
        <x:v>OPEN</x:v>
      </x:c>
    </x:row>
    <x:row r="133">
      <x:c r="B133" s="7" t="str">
        <x:v>AG-00127</x:v>
      </x:c>
      <x:c r="C133" s="7" t="str">
        <x:v>PEA-A-X1</x:v>
      </x:c>
      <x:c r="D133" s="7" t="str">
        <x:v>channel instance</x:v>
      </x:c>
      <x:c r="E133" s="7" t="str">
        <x:v>CH-PEA-A-X1-05-2</x:v>
      </x:c>
      <x:c r="F133" s="7" t="str">
        <x:f>'Channel Instances'!O32</x:f>
        <x:v>OPEN</x:v>
      </x:c>
    </x:row>
    <x:row r="134">
      <x:c r="B134" s="7" t="str">
        <x:v>AG-00128</x:v>
      </x:c>
      <x:c r="C134" s="7" t="str">
        <x:v>PEA-A-X1</x:v>
      </x:c>
      <x:c r="D134" s="7" t="str">
        <x:v>channel instance</x:v>
      </x:c>
      <x:c r="E134" s="7" t="str">
        <x:v>CH-PEA-A-X1-05-3</x:v>
      </x:c>
      <x:c r="F134" s="7" t="str">
        <x:f>'Channel Instances'!O33</x:f>
        <x:v>OPEN</x:v>
      </x:c>
    </x:row>
    <x:row r="135">
      <x:c r="B135" s="7" t="str">
        <x:v>AG-00129</x:v>
      </x:c>
      <x:c r="C135" s="7" t="str">
        <x:v>PEA-A-X1</x:v>
      </x:c>
      <x:c r="D135" s="7" t="str">
        <x:v>channel instance</x:v>
      </x:c>
      <x:c r="E135" s="7" t="str">
        <x:v>CH-PEA-A-X1-05-4</x:v>
      </x:c>
      <x:c r="F135" s="7" t="str">
        <x:f>'Channel Instances'!O34</x:f>
        <x:v>OPEN</x:v>
      </x:c>
    </x:row>
    <x:row r="136">
      <x:c r="B136" s="7" t="str">
        <x:v>AG-00130</x:v>
      </x:c>
      <x:c r="C136" s="7" t="str">
        <x:v>PEA-A-X1</x:v>
      </x:c>
      <x:c r="D136" s="7" t="str">
        <x:v>channel instance</x:v>
      </x:c>
      <x:c r="E136" s="7" t="str">
        <x:v>CH-PEA-A-X1-05-5</x:v>
      </x:c>
      <x:c r="F136" s="7" t="str">
        <x:f>'Channel Instances'!O35</x:f>
        <x:v>OPEN</x:v>
      </x:c>
    </x:row>
    <x:row r="137">
      <x:c r="B137" s="7" t="str">
        <x:v>AG-00131</x:v>
      </x:c>
      <x:c r="C137" s="7" t="str">
        <x:v>PEA-A-X1</x:v>
      </x:c>
      <x:c r="D137" s="7" t="str">
        <x:v>channel instance</x:v>
      </x:c>
      <x:c r="E137" s="7" t="str">
        <x:v>CH-PEA-A-X1-05-6</x:v>
      </x:c>
      <x:c r="F137" s="7" t="str">
        <x:f>'Channel Instances'!O36</x:f>
        <x:v>OPEN</x:v>
      </x:c>
    </x:row>
    <x:row r="138">
      <x:c r="B138" s="7" t="str">
        <x:v>AG-00132</x:v>
      </x:c>
      <x:c r="C138" s="7" t="str">
        <x:v>PEA-A-X1</x:v>
      </x:c>
      <x:c r="D138" s="7" t="str">
        <x:v>channel instance</x:v>
      </x:c>
      <x:c r="E138" s="7" t="str">
        <x:v>CH-PEA-A-X1-06-1</x:v>
      </x:c>
      <x:c r="F138" s="7" t="str">
        <x:f>'Channel Instances'!O37</x:f>
        <x:v>OPEN</x:v>
      </x:c>
    </x:row>
    <x:row r="139">
      <x:c r="B139" s="7" t="str">
        <x:v>AG-00133</x:v>
      </x:c>
      <x:c r="C139" s="7" t="str">
        <x:v>PEA-A-X1</x:v>
      </x:c>
      <x:c r="D139" s="7" t="str">
        <x:v>channel instance</x:v>
      </x:c>
      <x:c r="E139" s="7" t="str">
        <x:v>CH-PEA-A-X1-06-2</x:v>
      </x:c>
      <x:c r="F139" s="7" t="str">
        <x:f>'Channel Instances'!O38</x:f>
        <x:v>OPEN</x:v>
      </x:c>
    </x:row>
    <x:row r="140">
      <x:c r="B140" s="7" t="str">
        <x:v>AG-00134</x:v>
      </x:c>
      <x:c r="C140" s="7" t="str">
        <x:v>PEA-A-X1</x:v>
      </x:c>
      <x:c r="D140" s="7" t="str">
        <x:v>channel instance</x:v>
      </x:c>
      <x:c r="E140" s="7" t="str">
        <x:v>CH-PEA-A-X1-06-3</x:v>
      </x:c>
      <x:c r="F140" s="7" t="str">
        <x:f>'Channel Instances'!O39</x:f>
        <x:v>OPEN</x:v>
      </x:c>
    </x:row>
    <x:row r="141">
      <x:c r="B141" s="7" t="str">
        <x:v>AG-00135</x:v>
      </x:c>
      <x:c r="C141" s="7" t="str">
        <x:v>PEA-A-X1</x:v>
      </x:c>
      <x:c r="D141" s="7" t="str">
        <x:v>channel instance</x:v>
      </x:c>
      <x:c r="E141" s="7" t="str">
        <x:v>CH-PEA-A-X1-06-4</x:v>
      </x:c>
      <x:c r="F141" s="7" t="str">
        <x:f>'Channel Instances'!O40</x:f>
        <x:v>OPEN</x:v>
      </x:c>
    </x:row>
    <x:row r="142">
      <x:c r="B142" s="7" t="str">
        <x:v>AG-00136</x:v>
      </x:c>
      <x:c r="C142" s="7" t="str">
        <x:v>PEA-A-X1</x:v>
      </x:c>
      <x:c r="D142" s="7" t="str">
        <x:v>channel instance</x:v>
      </x:c>
      <x:c r="E142" s="7" t="str">
        <x:v>CH-PEA-A-X1-06-5</x:v>
      </x:c>
      <x:c r="F142" s="7" t="str">
        <x:f>'Channel Instances'!O41</x:f>
        <x:v>OPEN</x:v>
      </x:c>
    </x:row>
    <x:row r="143">
      <x:c r="B143" s="7" t="str">
        <x:v>AG-00137</x:v>
      </x:c>
      <x:c r="C143" s="7" t="str">
        <x:v>PEA-A-X1</x:v>
      </x:c>
      <x:c r="D143" s="7" t="str">
        <x:v>channel instance</x:v>
      </x:c>
      <x:c r="E143" s="7" t="str">
        <x:v>CH-PEA-A-X1-06-6</x:v>
      </x:c>
      <x:c r="F143" s="7" t="str">
        <x:f>'Channel Instances'!O42</x:f>
        <x:v>OPEN</x:v>
      </x:c>
    </x:row>
    <x:row r="144">
      <x:c r="B144" s="7" t="str">
        <x:v>AG-00138</x:v>
      </x:c>
      <x:c r="C144" s="7" t="str">
        <x:v>PEA-A-X1</x:v>
      </x:c>
      <x:c r="D144" s="7" t="str">
        <x:v>channel instance</x:v>
      </x:c>
      <x:c r="E144" s="7" t="str">
        <x:v>CH-PEA-A-X1-07-1</x:v>
      </x:c>
      <x:c r="F144" s="7" t="str">
        <x:f>'Channel Instances'!O43</x:f>
        <x:v>OPEN</x:v>
      </x:c>
    </x:row>
    <x:row r="145">
      <x:c r="B145" s="7" t="str">
        <x:v>AG-00139</x:v>
      </x:c>
      <x:c r="C145" s="7" t="str">
        <x:v>PEA-A-X1</x:v>
      </x:c>
      <x:c r="D145" s="7" t="str">
        <x:v>channel instance</x:v>
      </x:c>
      <x:c r="E145" s="7" t="str">
        <x:v>CH-PEA-A-X1-07-2</x:v>
      </x:c>
      <x:c r="F145" s="7" t="str">
        <x:f>'Channel Instances'!O44</x:f>
        <x:v>OPEN</x:v>
      </x:c>
    </x:row>
    <x:row r="146">
      <x:c r="B146" s="7" t="str">
        <x:v>AG-00140</x:v>
      </x:c>
      <x:c r="C146" s="7" t="str">
        <x:v>PEA-A-X1</x:v>
      </x:c>
      <x:c r="D146" s="7" t="str">
        <x:v>channel instance</x:v>
      </x:c>
      <x:c r="E146" s="7" t="str">
        <x:v>CH-PEA-A-X1-07-3</x:v>
      </x:c>
      <x:c r="F146" s="7" t="str">
        <x:f>'Channel Instances'!O45</x:f>
        <x:v>OPEN</x:v>
      </x:c>
    </x:row>
    <x:row r="147">
      <x:c r="B147" s="7" t="str">
        <x:v>AG-00141</x:v>
      </x:c>
      <x:c r="C147" s="7" t="str">
        <x:v>PEA-A-X1</x:v>
      </x:c>
      <x:c r="D147" s="7" t="str">
        <x:v>channel instance</x:v>
      </x:c>
      <x:c r="E147" s="7" t="str">
        <x:v>CH-PEA-A-X1-07-4</x:v>
      </x:c>
      <x:c r="F147" s="7" t="str">
        <x:f>'Channel Instances'!O46</x:f>
        <x:v>OPEN</x:v>
      </x:c>
    </x:row>
    <x:row r="148">
      <x:c r="B148" s="7" t="str">
        <x:v>AG-00142</x:v>
      </x:c>
      <x:c r="C148" s="7" t="str">
        <x:v>PEA-A-X1</x:v>
      </x:c>
      <x:c r="D148" s="7" t="str">
        <x:v>channel instance</x:v>
      </x:c>
      <x:c r="E148" s="7" t="str">
        <x:v>CH-PEA-A-X1-07-5</x:v>
      </x:c>
      <x:c r="F148" s="7" t="str">
        <x:f>'Channel Instances'!O47</x:f>
        <x:v>OPEN</x:v>
      </x:c>
    </x:row>
    <x:row r="149">
      <x:c r="B149" s="7" t="str">
        <x:v>AG-00143</x:v>
      </x:c>
      <x:c r="C149" s="7" t="str">
        <x:v>PEA-A-X1</x:v>
      </x:c>
      <x:c r="D149" s="7" t="str">
        <x:v>channel instance</x:v>
      </x:c>
      <x:c r="E149" s="7" t="str">
        <x:v>CH-PEA-A-X1-07-6</x:v>
      </x:c>
      <x:c r="F149" s="7" t="str">
        <x:f>'Channel Instances'!O48</x:f>
        <x:v>OPEN</x:v>
      </x:c>
    </x:row>
    <x:row r="150">
      <x:c r="B150" s="7" t="str">
        <x:v>AG-00144</x:v>
      </x:c>
      <x:c r="C150" s="7" t="str">
        <x:v>PEA-A-X1</x:v>
      </x:c>
      <x:c r="D150" s="7" t="str">
        <x:v>channel instance</x:v>
      </x:c>
      <x:c r="E150" s="7" t="str">
        <x:v>CH-PEA-A-X1-08-1</x:v>
      </x:c>
      <x:c r="F150" s="7" t="str">
        <x:f>'Channel Instances'!O49</x:f>
        <x:v>OPEN</x:v>
      </x:c>
    </x:row>
    <x:row r="151">
      <x:c r="B151" s="7" t="str">
        <x:v>AG-00145</x:v>
      </x:c>
      <x:c r="C151" s="7" t="str">
        <x:v>PEA-A-X1</x:v>
      </x:c>
      <x:c r="D151" s="7" t="str">
        <x:v>channel instance</x:v>
      </x:c>
      <x:c r="E151" s="7" t="str">
        <x:v>CH-PEA-A-X1-08-2</x:v>
      </x:c>
      <x:c r="F151" s="7" t="str">
        <x:f>'Channel Instances'!O50</x:f>
        <x:v>OPEN</x:v>
      </x:c>
    </x:row>
    <x:row r="152">
      <x:c r="B152" s="7" t="str">
        <x:v>AG-00146</x:v>
      </x:c>
      <x:c r="C152" s="7" t="str">
        <x:v>PEA-A-X1</x:v>
      </x:c>
      <x:c r="D152" s="7" t="str">
        <x:v>channel instance</x:v>
      </x:c>
      <x:c r="E152" s="7" t="str">
        <x:v>CH-PEA-A-X1-08-3</x:v>
      </x:c>
      <x:c r="F152" s="7" t="str">
        <x:f>'Channel Instances'!O51</x:f>
        <x:v>OPEN</x:v>
      </x:c>
    </x:row>
    <x:row r="153">
      <x:c r="B153" s="7" t="str">
        <x:v>AG-00147</x:v>
      </x:c>
      <x:c r="C153" s="7" t="str">
        <x:v>PEA-A-X1</x:v>
      </x:c>
      <x:c r="D153" s="7" t="str">
        <x:v>channel instance</x:v>
      </x:c>
      <x:c r="E153" s="7" t="str">
        <x:v>CH-PEA-A-X1-08-4</x:v>
      </x:c>
      <x:c r="F153" s="7" t="str">
        <x:f>'Channel Instances'!O52</x:f>
        <x:v>OPEN</x:v>
      </x:c>
    </x:row>
    <x:row r="154">
      <x:c r="B154" s="7" t="str">
        <x:v>AG-00148</x:v>
      </x:c>
      <x:c r="C154" s="7" t="str">
        <x:v>PEA-A-X1</x:v>
      </x:c>
      <x:c r="D154" s="7" t="str">
        <x:v>channel instance</x:v>
      </x:c>
      <x:c r="E154" s="7" t="str">
        <x:v>CH-PEA-A-X1-08-5</x:v>
      </x:c>
      <x:c r="F154" s="7" t="str">
        <x:f>'Channel Instances'!O53</x:f>
        <x:v>OPEN</x:v>
      </x:c>
    </x:row>
    <x:row r="155">
      <x:c r="B155" s="7" t="str">
        <x:v>AG-00149</x:v>
      </x:c>
      <x:c r="C155" s="7" t="str">
        <x:v>PEA-A-X1</x:v>
      </x:c>
      <x:c r="D155" s="7" t="str">
        <x:v>channel instance</x:v>
      </x:c>
      <x:c r="E155" s="7" t="str">
        <x:v>CH-PEA-A-X1-08-6</x:v>
      </x:c>
      <x:c r="F155" s="7" t="str">
        <x:f>'Channel Instances'!O54</x:f>
        <x:v>OPEN</x:v>
      </x:c>
    </x:row>
    <x:row r="156">
      <x:c r="B156" s="7" t="str">
        <x:v>AG-00150</x:v>
      </x:c>
      <x:c r="C156" s="7" t="str">
        <x:v>PEA-A-X1</x:v>
      </x:c>
      <x:c r="D156" s="7" t="str">
        <x:v>channel instance</x:v>
      </x:c>
      <x:c r="E156" s="7" t="str">
        <x:v>CH-PEA-A-X1-09-1</x:v>
      </x:c>
      <x:c r="F156" s="7" t="str">
        <x:f>'Channel Instances'!O55</x:f>
        <x:v>OPEN</x:v>
      </x:c>
    </x:row>
    <x:row r="157">
      <x:c r="B157" s="7" t="str">
        <x:v>AG-00151</x:v>
      </x:c>
      <x:c r="C157" s="7" t="str">
        <x:v>PEA-A-X1</x:v>
      </x:c>
      <x:c r="D157" s="7" t="str">
        <x:v>channel instance</x:v>
      </x:c>
      <x:c r="E157" s="7" t="str">
        <x:v>CH-PEA-A-X1-09-2</x:v>
      </x:c>
      <x:c r="F157" s="7" t="str">
        <x:f>'Channel Instances'!O56</x:f>
        <x:v>OPEN</x:v>
      </x:c>
    </x:row>
    <x:row r="158">
      <x:c r="B158" s="7" t="str">
        <x:v>AG-00152</x:v>
      </x:c>
      <x:c r="C158" s="7" t="str">
        <x:v>PEA-A-X1</x:v>
      </x:c>
      <x:c r="D158" s="7" t="str">
        <x:v>channel instance</x:v>
      </x:c>
      <x:c r="E158" s="7" t="str">
        <x:v>CH-PEA-A-X1-09-3</x:v>
      </x:c>
      <x:c r="F158" s="7" t="str">
        <x:f>'Channel Instances'!O57</x:f>
        <x:v>OPEN</x:v>
      </x:c>
    </x:row>
    <x:row r="159">
      <x:c r="B159" s="7" t="str">
        <x:v>AG-00153</x:v>
      </x:c>
      <x:c r="C159" s="7" t="str">
        <x:v>PEA-A-X1</x:v>
      </x:c>
      <x:c r="D159" s="7" t="str">
        <x:v>channel instance</x:v>
      </x:c>
      <x:c r="E159" s="7" t="str">
        <x:v>CH-PEA-A-X1-09-4</x:v>
      </x:c>
      <x:c r="F159" s="7" t="str">
        <x:f>'Channel Instances'!O58</x:f>
        <x:v>OPEN</x:v>
      </x:c>
    </x:row>
    <x:row r="160">
      <x:c r="B160" s="7" t="str">
        <x:v>AG-00154</x:v>
      </x:c>
      <x:c r="C160" s="7" t="str">
        <x:v>PEA-A-X1</x:v>
      </x:c>
      <x:c r="D160" s="7" t="str">
        <x:v>channel instance</x:v>
      </x:c>
      <x:c r="E160" s="7" t="str">
        <x:v>CH-PEA-A-X1-09-5</x:v>
      </x:c>
      <x:c r="F160" s="7" t="str">
        <x:f>'Channel Instances'!O59</x:f>
        <x:v>OPEN</x:v>
      </x:c>
    </x:row>
    <x:row r="161">
      <x:c r="B161" s="7" t="str">
        <x:v>AG-00155</x:v>
      </x:c>
      <x:c r="C161" s="7" t="str">
        <x:v>PEA-A-X1</x:v>
      </x:c>
      <x:c r="D161" s="7" t="str">
        <x:v>channel instance</x:v>
      </x:c>
      <x:c r="E161" s="7" t="str">
        <x:v>CH-PEA-A-X1-09-6</x:v>
      </x:c>
      <x:c r="F161" s="7" t="str">
        <x:f>'Channel Instances'!O60</x:f>
        <x:v>OPEN</x:v>
      </x:c>
    </x:row>
    <x:row r="162">
      <x:c r="B162" s="7" t="str">
        <x:v>AG-00156</x:v>
      </x:c>
      <x:c r="C162" s="7" t="str">
        <x:v>PEA-A-X1</x:v>
      </x:c>
      <x:c r="D162" s="7" t="str">
        <x:v>channel instance</x:v>
      </x:c>
      <x:c r="E162" s="7" t="str">
        <x:v>CH-PEA-A-X1-10-1</x:v>
      </x:c>
      <x:c r="F162" s="7" t="str">
        <x:f>'Channel Instances'!O61</x:f>
        <x:v>OPEN</x:v>
      </x:c>
    </x:row>
    <x:row r="163">
      <x:c r="B163" s="7" t="str">
        <x:v>AG-00157</x:v>
      </x:c>
      <x:c r="C163" s="7" t="str">
        <x:v>PEA-A-X1</x:v>
      </x:c>
      <x:c r="D163" s="7" t="str">
        <x:v>channel instance</x:v>
      </x:c>
      <x:c r="E163" s="7" t="str">
        <x:v>CH-PEA-A-X1-10-2</x:v>
      </x:c>
      <x:c r="F163" s="7" t="str">
        <x:f>'Channel Instances'!O62</x:f>
        <x:v>OPEN</x:v>
      </x:c>
    </x:row>
    <x:row r="164">
      <x:c r="B164" s="7" t="str">
        <x:v>AG-00158</x:v>
      </x:c>
      <x:c r="C164" s="7" t="str">
        <x:v>PEA-A-X1</x:v>
      </x:c>
      <x:c r="D164" s="7" t="str">
        <x:v>channel instance</x:v>
      </x:c>
      <x:c r="E164" s="7" t="str">
        <x:v>CH-PEA-A-X1-10-3</x:v>
      </x:c>
      <x:c r="F164" s="7" t="str">
        <x:f>'Channel Instances'!O63</x:f>
        <x:v>OPEN</x:v>
      </x:c>
    </x:row>
    <x:row r="165">
      <x:c r="B165" s="7" t="str">
        <x:v>AG-00159</x:v>
      </x:c>
      <x:c r="C165" s="7" t="str">
        <x:v>PEA-A-X1</x:v>
      </x:c>
      <x:c r="D165" s="7" t="str">
        <x:v>channel instance</x:v>
      </x:c>
      <x:c r="E165" s="7" t="str">
        <x:v>CH-PEA-A-X1-10-4</x:v>
      </x:c>
      <x:c r="F165" s="7" t="str">
        <x:f>'Channel Instances'!O64</x:f>
        <x:v>OPEN</x:v>
      </x:c>
    </x:row>
    <x:row r="166">
      <x:c r="B166" s="7" t="str">
        <x:v>AG-00160</x:v>
      </x:c>
      <x:c r="C166" s="7" t="str">
        <x:v>PEA-A-X1</x:v>
      </x:c>
      <x:c r="D166" s="7" t="str">
        <x:v>channel instance</x:v>
      </x:c>
      <x:c r="E166" s="7" t="str">
        <x:v>CH-PEA-A-X1-10-5</x:v>
      </x:c>
      <x:c r="F166" s="7" t="str">
        <x:f>'Channel Instances'!O65</x:f>
        <x:v>OPEN</x:v>
      </x:c>
    </x:row>
    <x:row r="167">
      <x:c r="B167" s="7" t="str">
        <x:v>AG-00161</x:v>
      </x:c>
      <x:c r="C167" s="7" t="str">
        <x:v>PEA-A-X1</x:v>
      </x:c>
      <x:c r="D167" s="7" t="str">
        <x:v>channel instance</x:v>
      </x:c>
      <x:c r="E167" s="7" t="str">
        <x:v>CH-PEA-A-X1-10-6</x:v>
      </x:c>
      <x:c r="F167" s="7" t="str">
        <x:f>'Channel Instances'!O66</x:f>
        <x:v>OPEN</x:v>
      </x:c>
    </x:row>
    <x:row r="168">
      <x:c r="B168" s="7" t="str">
        <x:v>AG-00162</x:v>
      </x:c>
      <x:c r="C168" s="7" t="str">
        <x:v>PEA-A-X1</x:v>
      </x:c>
      <x:c r="D168" s="7" t="str">
        <x:v>channel instance</x:v>
      </x:c>
      <x:c r="E168" s="7" t="str">
        <x:v>CH-PEA-A-X1-11-1</x:v>
      </x:c>
      <x:c r="F168" s="7" t="str">
        <x:f>'Channel Instances'!O67</x:f>
        <x:v>OPEN</x:v>
      </x:c>
    </x:row>
    <x:row r="169">
      <x:c r="B169" s="7" t="str">
        <x:v>AG-00163</x:v>
      </x:c>
      <x:c r="C169" s="7" t="str">
        <x:v>PEA-A-X1</x:v>
      </x:c>
      <x:c r="D169" s="7" t="str">
        <x:v>channel instance</x:v>
      </x:c>
      <x:c r="E169" s="7" t="str">
        <x:v>CH-PEA-A-X1-11-2</x:v>
      </x:c>
      <x:c r="F169" s="7" t="str">
        <x:f>'Channel Instances'!O68</x:f>
        <x:v>OPEN</x:v>
      </x:c>
    </x:row>
    <x:row r="170">
      <x:c r="B170" s="7" t="str">
        <x:v>AG-00164</x:v>
      </x:c>
      <x:c r="C170" s="7" t="str">
        <x:v>PEA-A-X1</x:v>
      </x:c>
      <x:c r="D170" s="7" t="str">
        <x:v>channel instance</x:v>
      </x:c>
      <x:c r="E170" s="7" t="str">
        <x:v>CH-PEA-A-X1-11-3</x:v>
      </x:c>
      <x:c r="F170" s="7" t="str">
        <x:f>'Channel Instances'!O69</x:f>
        <x:v>OPEN</x:v>
      </x:c>
    </x:row>
    <x:row r="171">
      <x:c r="B171" s="7" t="str">
        <x:v>AG-00165</x:v>
      </x:c>
      <x:c r="C171" s="7" t="str">
        <x:v>PEA-A-X1</x:v>
      </x:c>
      <x:c r="D171" s="7" t="str">
        <x:v>channel instance</x:v>
      </x:c>
      <x:c r="E171" s="7" t="str">
        <x:v>CH-PEA-A-X1-11-4</x:v>
      </x:c>
      <x:c r="F171" s="7" t="str">
        <x:f>'Channel Instances'!O70</x:f>
        <x:v>OPEN</x:v>
      </x:c>
    </x:row>
    <x:row r="172">
      <x:c r="B172" s="7" t="str">
        <x:v>AG-00166</x:v>
      </x:c>
      <x:c r="C172" s="7" t="str">
        <x:v>PEA-A-X1</x:v>
      </x:c>
      <x:c r="D172" s="7" t="str">
        <x:v>channel instance</x:v>
      </x:c>
      <x:c r="E172" s="7" t="str">
        <x:v>CH-PEA-A-X1-11-5</x:v>
      </x:c>
      <x:c r="F172" s="7" t="str">
        <x:f>'Channel Instances'!O71</x:f>
        <x:v>OPEN</x:v>
      </x:c>
    </x:row>
    <x:row r="173">
      <x:c r="B173" s="7" t="str">
        <x:v>AG-00167</x:v>
      </x:c>
      <x:c r="C173" s="7" t="str">
        <x:v>PEA-A-X1</x:v>
      </x:c>
      <x:c r="D173" s="7" t="str">
        <x:v>channel instance</x:v>
      </x:c>
      <x:c r="E173" s="7" t="str">
        <x:v>CH-PEA-A-X1-11-6</x:v>
      </x:c>
      <x:c r="F173" s="7" t="str">
        <x:f>'Channel Instances'!O72</x:f>
        <x:v>OPEN</x:v>
      </x:c>
    </x:row>
    <x:row r="174">
      <x:c r="B174" s="7" t="str">
        <x:v>AG-00168</x:v>
      </x:c>
      <x:c r="C174" s="7" t="str">
        <x:v>PEA-A-X1</x:v>
      </x:c>
      <x:c r="D174" s="7" t="str">
        <x:v>channel instance</x:v>
      </x:c>
      <x:c r="E174" s="7" t="str">
        <x:v>CH-PEA-A-X1-12-1</x:v>
      </x:c>
      <x:c r="F174" s="7" t="str">
        <x:f>'Channel Instances'!O73</x:f>
        <x:v>OPEN</x:v>
      </x:c>
    </x:row>
    <x:row r="175">
      <x:c r="B175" s="7" t="str">
        <x:v>AG-00169</x:v>
      </x:c>
      <x:c r="C175" s="7" t="str">
        <x:v>PEA-A-X1</x:v>
      </x:c>
      <x:c r="D175" s="7" t="str">
        <x:v>channel instance</x:v>
      </x:c>
      <x:c r="E175" s="7" t="str">
        <x:v>CH-PEA-A-X1-12-2</x:v>
      </x:c>
      <x:c r="F175" s="7" t="str">
        <x:f>'Channel Instances'!O74</x:f>
        <x:v>OPEN</x:v>
      </x:c>
    </x:row>
    <x:row r="176">
      <x:c r="B176" s="7" t="str">
        <x:v>AG-00170</x:v>
      </x:c>
      <x:c r="C176" s="7" t="str">
        <x:v>PEA-A-X1</x:v>
      </x:c>
      <x:c r="D176" s="7" t="str">
        <x:v>channel instance</x:v>
      </x:c>
      <x:c r="E176" s="7" t="str">
        <x:v>CH-PEA-A-X1-12-3</x:v>
      </x:c>
      <x:c r="F176" s="7" t="str">
        <x:f>'Channel Instances'!O75</x:f>
        <x:v>OPEN</x:v>
      </x:c>
    </x:row>
    <x:row r="177">
      <x:c r="B177" s="7" t="str">
        <x:v>AG-00171</x:v>
      </x:c>
      <x:c r="C177" s="7" t="str">
        <x:v>PEA-A-X1</x:v>
      </x:c>
      <x:c r="D177" s="7" t="str">
        <x:v>channel instance</x:v>
      </x:c>
      <x:c r="E177" s="7" t="str">
        <x:v>CH-PEA-A-X1-12-4</x:v>
      </x:c>
      <x:c r="F177" s="7" t="str">
        <x:f>'Channel Instances'!O76</x:f>
        <x:v>OPEN</x:v>
      </x:c>
    </x:row>
    <x:row r="178">
      <x:c r="B178" s="7" t="str">
        <x:v>AG-00172</x:v>
      </x:c>
      <x:c r="C178" s="7" t="str">
        <x:v>PEA-A-X1</x:v>
      </x:c>
      <x:c r="D178" s="7" t="str">
        <x:v>channel instance</x:v>
      </x:c>
      <x:c r="E178" s="7" t="str">
        <x:v>CH-PEA-A-X1-12-5</x:v>
      </x:c>
      <x:c r="F178" s="7" t="str">
        <x:f>'Channel Instances'!O77</x:f>
        <x:v>OPEN</x:v>
      </x:c>
    </x:row>
    <x:row r="179">
      <x:c r="B179" s="7" t="str">
        <x:v>AG-00173</x:v>
      </x:c>
      <x:c r="C179" s="7" t="str">
        <x:v>PEA-A-X1</x:v>
      </x:c>
      <x:c r="D179" s="7" t="str">
        <x:v>channel instance</x:v>
      </x:c>
      <x:c r="E179" s="7" t="str">
        <x:v>CH-PEA-A-X1-12-6</x:v>
      </x:c>
      <x:c r="F179" s="7" t="str">
        <x:f>'Channel Instances'!O78</x:f>
        <x:v>OPEN</x:v>
      </x:c>
    </x:row>
    <x:row r="180">
      <x:c r="B180" s="7" t="str">
        <x:v>AG-00174</x:v>
      </x:c>
      <x:c r="C180" s="7" t="str">
        <x:v>PEA-A-X1</x:v>
      </x:c>
      <x:c r="D180" s="7" t="str">
        <x:v>channel instance</x:v>
      </x:c>
      <x:c r="E180" s="7" t="str">
        <x:v>CH-PEA-A-X1-13-1</x:v>
      </x:c>
      <x:c r="F180" s="7" t="str">
        <x:f>'Channel Instances'!O79</x:f>
        <x:v>OPEN</x:v>
      </x:c>
    </x:row>
    <x:row r="181">
      <x:c r="B181" s="7" t="str">
        <x:v>AG-00175</x:v>
      </x:c>
      <x:c r="C181" s="7" t="str">
        <x:v>PEA-A-X1</x:v>
      </x:c>
      <x:c r="D181" s="7" t="str">
        <x:v>channel instance</x:v>
      </x:c>
      <x:c r="E181" s="7" t="str">
        <x:v>CH-PEA-A-X1-13-2</x:v>
      </x:c>
      <x:c r="F181" s="7" t="str">
        <x:f>'Channel Instances'!O80</x:f>
        <x:v>OPEN</x:v>
      </x:c>
    </x:row>
    <x:row r="182">
      <x:c r="B182" s="7" t="str">
        <x:v>AG-00176</x:v>
      </x:c>
      <x:c r="C182" s="7" t="str">
        <x:v>PEA-A-X1</x:v>
      </x:c>
      <x:c r="D182" s="7" t="str">
        <x:v>channel instance</x:v>
      </x:c>
      <x:c r="E182" s="7" t="str">
        <x:v>CH-PEA-A-X1-13-3</x:v>
      </x:c>
      <x:c r="F182" s="7" t="str">
        <x:f>'Channel Instances'!O81</x:f>
        <x:v>OPEN</x:v>
      </x:c>
    </x:row>
    <x:row r="183">
      <x:c r="B183" s="7" t="str">
        <x:v>AG-00177</x:v>
      </x:c>
      <x:c r="C183" s="7" t="str">
        <x:v>PEA-A-X1</x:v>
      </x:c>
      <x:c r="D183" s="7" t="str">
        <x:v>channel instance</x:v>
      </x:c>
      <x:c r="E183" s="7" t="str">
        <x:v>CH-PEA-A-X1-13-4</x:v>
      </x:c>
      <x:c r="F183" s="7" t="str">
        <x:f>'Channel Instances'!O82</x:f>
        <x:v>OPEN</x:v>
      </x:c>
    </x:row>
    <x:row r="184">
      <x:c r="B184" s="7" t="str">
        <x:v>AG-00178</x:v>
      </x:c>
      <x:c r="C184" s="7" t="str">
        <x:v>PEA-A-X1</x:v>
      </x:c>
      <x:c r="D184" s="7" t="str">
        <x:v>channel instance</x:v>
      </x:c>
      <x:c r="E184" s="7" t="str">
        <x:v>CH-PEA-A-X1-13-5</x:v>
      </x:c>
      <x:c r="F184" s="7" t="str">
        <x:f>'Channel Instances'!O83</x:f>
        <x:v>OPEN</x:v>
      </x:c>
    </x:row>
    <x:row r="185">
      <x:c r="B185" s="7" t="str">
        <x:v>AG-00179</x:v>
      </x:c>
      <x:c r="C185" s="7" t="str">
        <x:v>PEA-A-X1</x:v>
      </x:c>
      <x:c r="D185" s="7" t="str">
        <x:v>channel instance</x:v>
      </x:c>
      <x:c r="E185" s="7" t="str">
        <x:v>CH-PEA-A-X1-13-6</x:v>
      </x:c>
      <x:c r="F185" s="7" t="str">
        <x:f>'Channel Instances'!O84</x:f>
        <x:v>OPEN</x:v>
      </x:c>
    </x:row>
    <x:row r="186">
      <x:c r="B186" s="7" t="str">
        <x:v>AG-00180</x:v>
      </x:c>
      <x:c r="C186" s="7" t="str">
        <x:v>PEA-A-X1</x:v>
      </x:c>
      <x:c r="D186" s="7" t="str">
        <x:v>channel instance</x:v>
      </x:c>
      <x:c r="E186" s="7" t="str">
        <x:v>CH-PEA-A-X1-14-1</x:v>
      </x:c>
      <x:c r="F186" s="7" t="str">
        <x:f>'Channel Instances'!O85</x:f>
        <x:v>OPEN</x:v>
      </x:c>
    </x:row>
    <x:row r="187">
      <x:c r="B187" s="7" t="str">
        <x:v>AG-00181</x:v>
      </x:c>
      <x:c r="C187" s="7" t="str">
        <x:v>PEA-A-X1</x:v>
      </x:c>
      <x:c r="D187" s="7" t="str">
        <x:v>channel instance</x:v>
      </x:c>
      <x:c r="E187" s="7" t="str">
        <x:v>CH-PEA-A-X1-14-2</x:v>
      </x:c>
      <x:c r="F187" s="7" t="str">
        <x:f>'Channel Instances'!O86</x:f>
        <x:v>OPEN</x:v>
      </x:c>
    </x:row>
    <x:row r="188">
      <x:c r="B188" s="7" t="str">
        <x:v>AG-00182</x:v>
      </x:c>
      <x:c r="C188" s="7" t="str">
        <x:v>PEA-A-X1</x:v>
      </x:c>
      <x:c r="D188" s="7" t="str">
        <x:v>channel instance</x:v>
      </x:c>
      <x:c r="E188" s="7" t="str">
        <x:v>CH-PEA-A-X1-14-3</x:v>
      </x:c>
      <x:c r="F188" s="7" t="str">
        <x:f>'Channel Instances'!O87</x:f>
        <x:v>OPEN</x:v>
      </x:c>
    </x:row>
    <x:row r="189">
      <x:c r="B189" s="7" t="str">
        <x:v>AG-00183</x:v>
      </x:c>
      <x:c r="C189" s="7" t="str">
        <x:v>PEA-A-X1</x:v>
      </x:c>
      <x:c r="D189" s="7" t="str">
        <x:v>channel instance</x:v>
      </x:c>
      <x:c r="E189" s="7" t="str">
        <x:v>CH-PEA-A-X1-14-4</x:v>
      </x:c>
      <x:c r="F189" s="7" t="str">
        <x:f>'Channel Instances'!O88</x:f>
        <x:v>OPEN</x:v>
      </x:c>
    </x:row>
    <x:row r="190">
      <x:c r="B190" s="7" t="str">
        <x:v>AG-00184</x:v>
      </x:c>
      <x:c r="C190" s="7" t="str">
        <x:v>PEA-A-X1</x:v>
      </x:c>
      <x:c r="D190" s="7" t="str">
        <x:v>channel instance</x:v>
      </x:c>
      <x:c r="E190" s="7" t="str">
        <x:v>CH-PEA-A-X1-14-5</x:v>
      </x:c>
      <x:c r="F190" s="7" t="str">
        <x:f>'Channel Instances'!O89</x:f>
        <x:v>OPEN</x:v>
      </x:c>
    </x:row>
    <x:row r="191">
      <x:c r="B191" s="7" t="str">
        <x:v>AG-00185</x:v>
      </x:c>
      <x:c r="C191" s="7" t="str">
        <x:v>PEA-A-X1</x:v>
      </x:c>
      <x:c r="D191" s="7" t="str">
        <x:v>channel instance</x:v>
      </x:c>
      <x:c r="E191" s="7" t="str">
        <x:v>CH-PEA-A-X1-14-6</x:v>
      </x:c>
      <x:c r="F191" s="7" t="str">
        <x:f>'Channel Instances'!O90</x:f>
        <x:v>OPEN</x:v>
      </x:c>
    </x:row>
    <x:row r="192">
      <x:c r="B192" s="7" t="str">
        <x:v>AG-00186</x:v>
      </x:c>
      <x:c r="C192" s="7" t="str">
        <x:v>PEA-A-X1</x:v>
      </x:c>
      <x:c r="D192" s="7" t="str">
        <x:v>channel instance</x:v>
      </x:c>
      <x:c r="E192" s="7" t="str">
        <x:v>CH-PEA-A-X1-15-1</x:v>
      </x:c>
      <x:c r="F192" s="7" t="str">
        <x:f>'Channel Instances'!O91</x:f>
        <x:v>OPEN</x:v>
      </x:c>
    </x:row>
    <x:row r="193">
      <x:c r="B193" s="7" t="str">
        <x:v>AG-00187</x:v>
      </x:c>
      <x:c r="C193" s="7" t="str">
        <x:v>PEA-A-X1</x:v>
      </x:c>
      <x:c r="D193" s="7" t="str">
        <x:v>channel instance</x:v>
      </x:c>
      <x:c r="E193" s="7" t="str">
        <x:v>CH-PEA-A-X1-15-2</x:v>
      </x:c>
      <x:c r="F193" s="7" t="str">
        <x:f>'Channel Instances'!O92</x:f>
        <x:v>OPEN</x:v>
      </x:c>
    </x:row>
    <x:row r="194">
      <x:c r="B194" s="7" t="str">
        <x:v>AG-00188</x:v>
      </x:c>
      <x:c r="C194" s="7" t="str">
        <x:v>PEA-A-X1</x:v>
      </x:c>
      <x:c r="D194" s="7" t="str">
        <x:v>channel instance</x:v>
      </x:c>
      <x:c r="E194" s="7" t="str">
        <x:v>CH-PEA-A-X1-15-3</x:v>
      </x:c>
      <x:c r="F194" s="7" t="str">
        <x:f>'Channel Instances'!O93</x:f>
        <x:v>OPEN</x:v>
      </x:c>
    </x:row>
    <x:row r="195">
      <x:c r="B195" s="7" t="str">
        <x:v>AG-00189</x:v>
      </x:c>
      <x:c r="C195" s="7" t="str">
        <x:v>PEA-A-X1</x:v>
      </x:c>
      <x:c r="D195" s="7" t="str">
        <x:v>channel instance</x:v>
      </x:c>
      <x:c r="E195" s="7" t="str">
        <x:v>CH-PEA-A-X1-15-4</x:v>
      </x:c>
      <x:c r="F195" s="7" t="str">
        <x:f>'Channel Instances'!O94</x:f>
        <x:v>OPEN</x:v>
      </x:c>
    </x:row>
    <x:row r="196">
      <x:c r="B196" s="7" t="str">
        <x:v>AG-00190</x:v>
      </x:c>
      <x:c r="C196" s="7" t="str">
        <x:v>PEA-A-X1</x:v>
      </x:c>
      <x:c r="D196" s="7" t="str">
        <x:v>channel instance</x:v>
      </x:c>
      <x:c r="E196" s="7" t="str">
        <x:v>CH-PEA-A-X1-15-5</x:v>
      </x:c>
      <x:c r="F196" s="7" t="str">
        <x:f>'Channel Instances'!O95</x:f>
        <x:v>OPEN</x:v>
      </x:c>
    </x:row>
    <x:row r="197">
      <x:c r="B197" s="7" t="str">
        <x:v>AG-00191</x:v>
      </x:c>
      <x:c r="C197" s="7" t="str">
        <x:v>PEA-A-X1</x:v>
      </x:c>
      <x:c r="D197" s="7" t="str">
        <x:v>channel instance</x:v>
      </x:c>
      <x:c r="E197" s="7" t="str">
        <x:v>CH-PEA-A-X1-15-6</x:v>
      </x:c>
      <x:c r="F197" s="7" t="str">
        <x:f>'Channel Instances'!O96</x:f>
        <x:v>OPEN</x:v>
      </x:c>
    </x:row>
    <x:row r="198">
      <x:c r="B198" s="7" t="str">
        <x:v>AG-00192</x:v>
      </x:c>
      <x:c r="C198" s="7" t="str">
        <x:v>PEA-A-X1</x:v>
      </x:c>
      <x:c r="D198" s="7" t="str">
        <x:v>channel instance</x:v>
      </x:c>
      <x:c r="E198" s="7" t="str">
        <x:v>CH-PEA-A-X1-16-1</x:v>
      </x:c>
      <x:c r="F198" s="7" t="str">
        <x:f>'Channel Instances'!O97</x:f>
        <x:v>OPEN</x:v>
      </x:c>
    </x:row>
    <x:row r="199">
      <x:c r="B199" s="7" t="str">
        <x:v>AG-00193</x:v>
      </x:c>
      <x:c r="C199" s="7" t="str">
        <x:v>PEA-A-X1</x:v>
      </x:c>
      <x:c r="D199" s="7" t="str">
        <x:v>channel instance</x:v>
      </x:c>
      <x:c r="E199" s="7" t="str">
        <x:v>CH-PEA-A-X1-16-2</x:v>
      </x:c>
      <x:c r="F199" s="7" t="str">
        <x:f>'Channel Instances'!O98</x:f>
        <x:v>OPEN</x:v>
      </x:c>
    </x:row>
    <x:row r="200">
      <x:c r="B200" s="7" t="str">
        <x:v>AG-00194</x:v>
      </x:c>
      <x:c r="C200" s="7" t="str">
        <x:v>PEA-A-X1</x:v>
      </x:c>
      <x:c r="D200" s="7" t="str">
        <x:v>channel instance</x:v>
      </x:c>
      <x:c r="E200" s="7" t="str">
        <x:v>CH-PEA-A-X1-16-3</x:v>
      </x:c>
      <x:c r="F200" s="7" t="str">
        <x:f>'Channel Instances'!O99</x:f>
        <x:v>OPEN</x:v>
      </x:c>
    </x:row>
    <x:row r="201">
      <x:c r="B201" s="7" t="str">
        <x:v>AG-00195</x:v>
      </x:c>
      <x:c r="C201" s="7" t="str">
        <x:v>PEA-A-X1</x:v>
      </x:c>
      <x:c r="D201" s="7" t="str">
        <x:v>channel instance</x:v>
      </x:c>
      <x:c r="E201" s="7" t="str">
        <x:v>CH-PEA-A-X1-16-4</x:v>
      </x:c>
      <x:c r="F201" s="7" t="str">
        <x:f>'Channel Instances'!O100</x:f>
        <x:v>OPEN</x:v>
      </x:c>
    </x:row>
    <x:row r="202">
      <x:c r="B202" s="7" t="str">
        <x:v>AG-00196</x:v>
      </x:c>
      <x:c r="C202" s="7" t="str">
        <x:v>PEA-A-X1</x:v>
      </x:c>
      <x:c r="D202" s="7" t="str">
        <x:v>channel instance</x:v>
      </x:c>
      <x:c r="E202" s="7" t="str">
        <x:v>CH-PEA-A-X1-16-5</x:v>
      </x:c>
      <x:c r="F202" s="7" t="str">
        <x:f>'Channel Instances'!O101</x:f>
        <x:v>OPEN</x:v>
      </x:c>
    </x:row>
    <x:row r="203">
      <x:c r="B203" s="7" t="str">
        <x:v>AG-00197</x:v>
      </x:c>
      <x:c r="C203" s="7" t="str">
        <x:v>PEA-A-X1</x:v>
      </x:c>
      <x:c r="D203" s="7" t="str">
        <x:v>channel instance</x:v>
      </x:c>
      <x:c r="E203" s="7" t="str">
        <x:v>CH-PEA-A-X1-16-6</x:v>
      </x:c>
      <x:c r="F203" s="7" t="str">
        <x:f>'Channel Instances'!O102</x:f>
        <x:v>OPEN</x:v>
      </x:c>
    </x:row>
    <x:row r="204">
      <x:c r="B204" s="7" t="str">
        <x:v>AG-00198</x:v>
      </x:c>
      <x:c r="C204" s="7" t="str">
        <x:v>PEA-A-X1</x:v>
      </x:c>
      <x:c r="D204" s="7" t="str">
        <x:v>channel instance</x:v>
      </x:c>
      <x:c r="E204" s="7" t="str">
        <x:v>CH-PEA-A-X1-17-1</x:v>
      </x:c>
      <x:c r="F204" s="7" t="str">
        <x:f>'Channel Instances'!O103</x:f>
        <x:v>OPEN</x:v>
      </x:c>
    </x:row>
    <x:row r="205">
      <x:c r="B205" s="7" t="str">
        <x:v>AG-00199</x:v>
      </x:c>
      <x:c r="C205" s="7" t="str">
        <x:v>PEA-A-X1</x:v>
      </x:c>
      <x:c r="D205" s="7" t="str">
        <x:v>channel instance</x:v>
      </x:c>
      <x:c r="E205" s="7" t="str">
        <x:v>CH-PEA-A-X1-17-2</x:v>
      </x:c>
      <x:c r="F205" s="7" t="str">
        <x:f>'Channel Instances'!O104</x:f>
        <x:v>OPEN</x:v>
      </x:c>
    </x:row>
    <x:row r="206">
      <x:c r="B206" s="7" t="str">
        <x:v>AG-00200</x:v>
      </x:c>
      <x:c r="C206" s="7" t="str">
        <x:v>PEA-A-X1</x:v>
      </x:c>
      <x:c r="D206" s="7" t="str">
        <x:v>channel instance</x:v>
      </x:c>
      <x:c r="E206" s="7" t="str">
        <x:v>CH-PEA-A-X1-17-3</x:v>
      </x:c>
      <x:c r="F206" s="7" t="str">
        <x:f>'Channel Instances'!O105</x:f>
        <x:v>OPEN</x:v>
      </x:c>
    </x:row>
    <x:row r="207">
      <x:c r="B207" s="7" t="str">
        <x:v>AG-00201</x:v>
      </x:c>
      <x:c r="C207" s="7" t="str">
        <x:v>PEA-A-X1</x:v>
      </x:c>
      <x:c r="D207" s="7" t="str">
        <x:v>channel instance</x:v>
      </x:c>
      <x:c r="E207" s="7" t="str">
        <x:v>CH-PEA-A-X1-17-4</x:v>
      </x:c>
      <x:c r="F207" s="7" t="str">
        <x:f>'Channel Instances'!O106</x:f>
        <x:v>OPEN</x:v>
      </x:c>
    </x:row>
    <x:row r="208">
      <x:c r="B208" s="7" t="str">
        <x:v>AG-00202</x:v>
      </x:c>
      <x:c r="C208" s="7" t="str">
        <x:v>PEA-A-X1</x:v>
      </x:c>
      <x:c r="D208" s="7" t="str">
        <x:v>channel instance</x:v>
      </x:c>
      <x:c r="E208" s="7" t="str">
        <x:v>CH-PEA-A-X1-17-5</x:v>
      </x:c>
      <x:c r="F208" s="7" t="str">
        <x:f>'Channel Instances'!O107</x:f>
        <x:v>OPEN</x:v>
      </x:c>
    </x:row>
    <x:row r="209">
      <x:c r="B209" s="7" t="str">
        <x:v>AG-00203</x:v>
      </x:c>
      <x:c r="C209" s="7" t="str">
        <x:v>PEA-A-X1</x:v>
      </x:c>
      <x:c r="D209" s="7" t="str">
        <x:v>channel instance</x:v>
      </x:c>
      <x:c r="E209" s="7" t="str">
        <x:v>CH-PEA-A-X1-17-6</x:v>
      </x:c>
      <x:c r="F209" s="7" t="str">
        <x:f>'Channel Instances'!O108</x:f>
        <x:v>OPEN</x:v>
      </x:c>
    </x:row>
    <x:row r="210">
      <x:c r="B210" s="7" t="str">
        <x:v>AG-00204</x:v>
      </x:c>
      <x:c r="C210" s="7" t="str">
        <x:v>PEA-A-X1</x:v>
      </x:c>
      <x:c r="D210" s="7" t="str">
        <x:v>channel instance</x:v>
      </x:c>
      <x:c r="E210" s="7" t="str">
        <x:v>CH-PEA-A-X1-18-1</x:v>
      </x:c>
      <x:c r="F210" s="7" t="str">
        <x:f>'Channel Instances'!O109</x:f>
        <x:v>OPEN</x:v>
      </x:c>
    </x:row>
    <x:row r="211">
      <x:c r="B211" s="7" t="str">
        <x:v>AG-00205</x:v>
      </x:c>
      <x:c r="C211" s="7" t="str">
        <x:v>PEA-A-X1</x:v>
      </x:c>
      <x:c r="D211" s="7" t="str">
        <x:v>channel instance</x:v>
      </x:c>
      <x:c r="E211" s="7" t="str">
        <x:v>CH-PEA-A-X1-18-2</x:v>
      </x:c>
      <x:c r="F211" s="7" t="str">
        <x:f>'Channel Instances'!O110</x:f>
        <x:v>OPEN</x:v>
      </x:c>
    </x:row>
    <x:row r="212">
      <x:c r="B212" s="7" t="str">
        <x:v>AG-00206</x:v>
      </x:c>
      <x:c r="C212" s="7" t="str">
        <x:v>PEA-A-X1</x:v>
      </x:c>
      <x:c r="D212" s="7" t="str">
        <x:v>channel instance</x:v>
      </x:c>
      <x:c r="E212" s="7" t="str">
        <x:v>CH-PEA-A-X1-18-3</x:v>
      </x:c>
      <x:c r="F212" s="7" t="str">
        <x:f>'Channel Instances'!O111</x:f>
        <x:v>OPEN</x:v>
      </x:c>
    </x:row>
    <x:row r="213">
      <x:c r="B213" s="7" t="str">
        <x:v>AG-00207</x:v>
      </x:c>
      <x:c r="C213" s="7" t="str">
        <x:v>PEA-A-X1</x:v>
      </x:c>
      <x:c r="D213" s="7" t="str">
        <x:v>channel instance</x:v>
      </x:c>
      <x:c r="E213" s="7" t="str">
        <x:v>CH-PEA-A-X1-18-4</x:v>
      </x:c>
      <x:c r="F213" s="7" t="str">
        <x:f>'Channel Instances'!O112</x:f>
        <x:v>OPEN</x:v>
      </x:c>
    </x:row>
    <x:row r="214">
      <x:c r="B214" s="7" t="str">
        <x:v>AG-00208</x:v>
      </x:c>
      <x:c r="C214" s="7" t="str">
        <x:v>PEA-A-X1</x:v>
      </x:c>
      <x:c r="D214" s="7" t="str">
        <x:v>channel instance</x:v>
      </x:c>
      <x:c r="E214" s="7" t="str">
        <x:v>CH-PEA-A-X1-18-5</x:v>
      </x:c>
      <x:c r="F214" s="7" t="str">
        <x:f>'Channel Instances'!O113</x:f>
        <x:v>OPEN</x:v>
      </x:c>
    </x:row>
    <x:row r="215">
      <x:c r="B215" s="7" t="str">
        <x:v>AG-00209</x:v>
      </x:c>
      <x:c r="C215" s="7" t="str">
        <x:v>PEA-A-X1</x:v>
      </x:c>
      <x:c r="D215" s="7" t="str">
        <x:v>channel instance</x:v>
      </x:c>
      <x:c r="E215" s="7" t="str">
        <x:v>CH-PEA-A-X1-18-6</x:v>
      </x:c>
      <x:c r="F215" s="7" t="str">
        <x:f>'Channel Instances'!O114</x:f>
        <x:v>OPEN</x:v>
      </x:c>
    </x:row>
    <x:row r="216">
      <x:c r="B216" s="7" t="str">
        <x:v>AG-00210</x:v>
      </x:c>
      <x:c r="C216" s="7" t="str">
        <x:v>PEA-A-X1</x:v>
      </x:c>
      <x:c r="D216" s="7" t="str">
        <x:v>channel instance</x:v>
      </x:c>
      <x:c r="E216" s="7" t="str">
        <x:v>CH-PEA-A-X1-19-1</x:v>
      </x:c>
      <x:c r="F216" s="7" t="str">
        <x:f>'Channel Instances'!O115</x:f>
        <x:v>OPEN</x:v>
      </x:c>
    </x:row>
    <x:row r="217">
      <x:c r="B217" s="7" t="str">
        <x:v>AG-00211</x:v>
      </x:c>
      <x:c r="C217" s="7" t="str">
        <x:v>PEA-A-X1</x:v>
      </x:c>
      <x:c r="D217" s="7" t="str">
        <x:v>channel instance</x:v>
      </x:c>
      <x:c r="E217" s="7" t="str">
        <x:v>CH-PEA-A-X1-19-2</x:v>
      </x:c>
      <x:c r="F217" s="7" t="str">
        <x:f>'Channel Instances'!O116</x:f>
        <x:v>OPEN</x:v>
      </x:c>
    </x:row>
    <x:row r="218">
      <x:c r="B218" s="7" t="str">
        <x:v>AG-00212</x:v>
      </x:c>
      <x:c r="C218" s="7" t="str">
        <x:v>PEA-A-X1</x:v>
      </x:c>
      <x:c r="D218" s="7" t="str">
        <x:v>channel instance</x:v>
      </x:c>
      <x:c r="E218" s="7" t="str">
        <x:v>CH-PEA-A-X1-19-3</x:v>
      </x:c>
      <x:c r="F218" s="7" t="str">
        <x:f>'Channel Instances'!O117</x:f>
        <x:v>OPEN</x:v>
      </x:c>
    </x:row>
    <x:row r="219">
      <x:c r="B219" s="7" t="str">
        <x:v>AG-00213</x:v>
      </x:c>
      <x:c r="C219" s="7" t="str">
        <x:v>PEA-A-X1</x:v>
      </x:c>
      <x:c r="D219" s="7" t="str">
        <x:v>channel instance</x:v>
      </x:c>
      <x:c r="E219" s="7" t="str">
        <x:v>CH-PEA-A-X1-19-4</x:v>
      </x:c>
      <x:c r="F219" s="7" t="str">
        <x:f>'Channel Instances'!O118</x:f>
        <x:v>OPEN</x:v>
      </x:c>
    </x:row>
    <x:row r="220">
      <x:c r="B220" s="7" t="str">
        <x:v>AG-00214</x:v>
      </x:c>
      <x:c r="C220" s="7" t="str">
        <x:v>PEA-A-X1</x:v>
      </x:c>
      <x:c r="D220" s="7" t="str">
        <x:v>channel instance</x:v>
      </x:c>
      <x:c r="E220" s="7" t="str">
        <x:v>CH-PEA-A-X1-19-5</x:v>
      </x:c>
      <x:c r="F220" s="7" t="str">
        <x:f>'Channel Instances'!O119</x:f>
        <x:v>OPEN</x:v>
      </x:c>
    </x:row>
    <x:row r="221">
      <x:c r="B221" s="7" t="str">
        <x:v>AG-00215</x:v>
      </x:c>
      <x:c r="C221" s="7" t="str">
        <x:v>PEA-A-X1</x:v>
      </x:c>
      <x:c r="D221" s="7" t="str">
        <x:v>channel instance</x:v>
      </x:c>
      <x:c r="E221" s="7" t="str">
        <x:v>CH-PEA-A-X1-19-6</x:v>
      </x:c>
      <x:c r="F221" s="7" t="str">
        <x:f>'Channel Instances'!O120</x:f>
        <x:v>OPEN</x:v>
      </x:c>
    </x:row>
    <x:row r="222">
      <x:c r="B222" s="7" t="str">
        <x:v>AG-00216</x:v>
      </x:c>
      <x:c r="C222" s="7" t="str">
        <x:v>PEA-A-X1</x:v>
      </x:c>
      <x:c r="D222" s="7" t="str">
        <x:v>channel instance</x:v>
      </x:c>
      <x:c r="E222" s="7" t="str">
        <x:v>CH-PEA-A-X1-20-1</x:v>
      </x:c>
      <x:c r="F222" s="7" t="str">
        <x:f>'Channel Instances'!O121</x:f>
        <x:v>OPEN</x:v>
      </x:c>
    </x:row>
    <x:row r="223">
      <x:c r="B223" s="7" t="str">
        <x:v>AG-00217</x:v>
      </x:c>
      <x:c r="C223" s="7" t="str">
        <x:v>PEA-A-X1</x:v>
      </x:c>
      <x:c r="D223" s="7" t="str">
        <x:v>channel instance</x:v>
      </x:c>
      <x:c r="E223" s="7" t="str">
        <x:v>CH-PEA-A-X1-20-2</x:v>
      </x:c>
      <x:c r="F223" s="7" t="str">
        <x:f>'Channel Instances'!O122</x:f>
        <x:v>OPEN</x:v>
      </x:c>
    </x:row>
    <x:row r="224">
      <x:c r="B224" s="7" t="str">
        <x:v>AG-00218</x:v>
      </x:c>
      <x:c r="C224" s="7" t="str">
        <x:v>PEA-A-X1</x:v>
      </x:c>
      <x:c r="D224" s="7" t="str">
        <x:v>channel instance</x:v>
      </x:c>
      <x:c r="E224" s="7" t="str">
        <x:v>CH-PEA-A-X1-20-3</x:v>
      </x:c>
      <x:c r="F224" s="7" t="str">
        <x:f>'Channel Instances'!O123</x:f>
        <x:v>OPEN</x:v>
      </x:c>
    </x:row>
    <x:row r="225">
      <x:c r="B225" s="7" t="str">
        <x:v>AG-00219</x:v>
      </x:c>
      <x:c r="C225" s="7" t="str">
        <x:v>PEA-A-X1</x:v>
      </x:c>
      <x:c r="D225" s="7" t="str">
        <x:v>channel instance</x:v>
      </x:c>
      <x:c r="E225" s="7" t="str">
        <x:v>CH-PEA-A-X1-20-4</x:v>
      </x:c>
      <x:c r="F225" s="7" t="str">
        <x:f>'Channel Instances'!O124</x:f>
        <x:v>OPEN</x:v>
      </x:c>
    </x:row>
    <x:row r="226">
      <x:c r="B226" s="7" t="str">
        <x:v>AG-00220</x:v>
      </x:c>
      <x:c r="C226" s="7" t="str">
        <x:v>PEA-A-X1</x:v>
      </x:c>
      <x:c r="D226" s="7" t="str">
        <x:v>channel instance</x:v>
      </x:c>
      <x:c r="E226" s="7" t="str">
        <x:v>CH-PEA-A-X1-20-5</x:v>
      </x:c>
      <x:c r="F226" s="7" t="str">
        <x:f>'Channel Instances'!O125</x:f>
        <x:v>OPEN</x:v>
      </x:c>
    </x:row>
    <x:row r="227">
      <x:c r="B227" s="7" t="str">
        <x:v>AG-00221</x:v>
      </x:c>
      <x:c r="C227" s="7" t="str">
        <x:v>PEA-A-X1</x:v>
      </x:c>
      <x:c r="D227" s="7" t="str">
        <x:v>channel instance</x:v>
      </x:c>
      <x:c r="E227" s="7" t="str">
        <x:v>CH-PEA-A-X1-20-6</x:v>
      </x:c>
      <x:c r="F227" s="7" t="str">
        <x:f>'Channel Instances'!O126</x:f>
        <x:v>OPEN</x:v>
      </x:c>
    </x:row>
    <x:row r="228">
      <x:c r="B228" s="7" t="str">
        <x:v>AG-00222</x:v>
      </x:c>
      <x:c r="C228" s="7" t="str">
        <x:v>PEA-A-X1</x:v>
      </x:c>
      <x:c r="D228" s="7" t="str">
        <x:v>channel instance</x:v>
      </x:c>
      <x:c r="E228" s="7" t="str">
        <x:v>CH-PEA-A-X1-21-1</x:v>
      </x:c>
      <x:c r="F228" s="7" t="str">
        <x:f>'Channel Instances'!O127</x:f>
        <x:v>OPEN</x:v>
      </x:c>
    </x:row>
    <x:row r="229">
      <x:c r="B229" s="7" t="str">
        <x:v>AG-00223</x:v>
      </x:c>
      <x:c r="C229" s="7" t="str">
        <x:v>PEA-A-X1</x:v>
      </x:c>
      <x:c r="D229" s="7" t="str">
        <x:v>channel instance</x:v>
      </x:c>
      <x:c r="E229" s="7" t="str">
        <x:v>CH-PEA-A-X1-21-2</x:v>
      </x:c>
      <x:c r="F229" s="7" t="str">
        <x:f>'Channel Instances'!O128</x:f>
        <x:v>OPEN</x:v>
      </x:c>
    </x:row>
    <x:row r="230">
      <x:c r="B230" s="7" t="str">
        <x:v>AG-00224</x:v>
      </x:c>
      <x:c r="C230" s="7" t="str">
        <x:v>PEA-A-X1</x:v>
      </x:c>
      <x:c r="D230" s="7" t="str">
        <x:v>channel instance</x:v>
      </x:c>
      <x:c r="E230" s="7" t="str">
        <x:v>CH-PEA-A-X1-21-3</x:v>
      </x:c>
      <x:c r="F230" s="7" t="str">
        <x:f>'Channel Instances'!O129</x:f>
        <x:v>OPEN</x:v>
      </x:c>
    </x:row>
    <x:row r="231">
      <x:c r="B231" s="7" t="str">
        <x:v>AG-00225</x:v>
      </x:c>
      <x:c r="C231" s="7" t="str">
        <x:v>PEA-A-X1</x:v>
      </x:c>
      <x:c r="D231" s="7" t="str">
        <x:v>channel instance</x:v>
      </x:c>
      <x:c r="E231" s="7" t="str">
        <x:v>CH-PEA-A-X1-21-4</x:v>
      </x:c>
      <x:c r="F231" s="7" t="str">
        <x:f>'Channel Instances'!O130</x:f>
        <x:v>OPEN</x:v>
      </x:c>
    </x:row>
    <x:row r="232">
      <x:c r="B232" s="7" t="str">
        <x:v>AG-00226</x:v>
      </x:c>
      <x:c r="C232" s="7" t="str">
        <x:v>PEA-A-X1</x:v>
      </x:c>
      <x:c r="D232" s="7" t="str">
        <x:v>channel instance</x:v>
      </x:c>
      <x:c r="E232" s="7" t="str">
        <x:v>CH-PEA-A-X1-21-5</x:v>
      </x:c>
      <x:c r="F232" s="7" t="str">
        <x:f>'Channel Instances'!O131</x:f>
        <x:v>OPEN</x:v>
      </x:c>
    </x:row>
    <x:row r="233">
      <x:c r="B233" s="7" t="str">
        <x:v>AG-00227</x:v>
      </x:c>
      <x:c r="C233" s="7" t="str">
        <x:v>PEA-A-X1</x:v>
      </x:c>
      <x:c r="D233" s="7" t="str">
        <x:v>channel instance</x:v>
      </x:c>
      <x:c r="E233" s="7" t="str">
        <x:v>CH-PEA-A-X1-21-6</x:v>
      </x:c>
      <x:c r="F233" s="7" t="str">
        <x:f>'Channel Instances'!O132</x:f>
        <x:v>OPEN</x:v>
      </x:c>
    </x:row>
    <x:row r="234">
      <x:c r="B234" s="7" t="str">
        <x:v>AG-00228</x:v>
      </x:c>
      <x:c r="C234" s="7" t="str">
        <x:v>PEA-A-X1</x:v>
      </x:c>
      <x:c r="D234" s="7" t="str">
        <x:v>channel instance</x:v>
      </x:c>
      <x:c r="E234" s="7" t="str">
        <x:v>CH-PEA-A-X1-22-1</x:v>
      </x:c>
      <x:c r="F234" s="7" t="str">
        <x:f>'Channel Instances'!O133</x:f>
        <x:v>OPEN</x:v>
      </x:c>
    </x:row>
    <x:row r="235">
      <x:c r="B235" s="7" t="str">
        <x:v>AG-00229</x:v>
      </x:c>
      <x:c r="C235" s="7" t="str">
        <x:v>PEA-A-X1</x:v>
      </x:c>
      <x:c r="D235" s="7" t="str">
        <x:v>channel instance</x:v>
      </x:c>
      <x:c r="E235" s="7" t="str">
        <x:v>CH-PEA-A-X1-22-2</x:v>
      </x:c>
      <x:c r="F235" s="7" t="str">
        <x:f>'Channel Instances'!O134</x:f>
        <x:v>OPEN</x:v>
      </x:c>
    </x:row>
    <x:row r="236">
      <x:c r="B236" s="7" t="str">
        <x:v>AG-00230</x:v>
      </x:c>
      <x:c r="C236" s="7" t="str">
        <x:v>PEA-A-X1</x:v>
      </x:c>
      <x:c r="D236" s="7" t="str">
        <x:v>channel instance</x:v>
      </x:c>
      <x:c r="E236" s="7" t="str">
        <x:v>CH-PEA-A-X1-22-3</x:v>
      </x:c>
      <x:c r="F236" s="7" t="str">
        <x:f>'Channel Instances'!O135</x:f>
        <x:v>OPEN</x:v>
      </x:c>
    </x:row>
    <x:row r="237">
      <x:c r="B237" s="7" t="str">
        <x:v>AG-00231</x:v>
      </x:c>
      <x:c r="C237" s="7" t="str">
        <x:v>PEA-A-X1</x:v>
      </x:c>
      <x:c r="D237" s="7" t="str">
        <x:v>channel instance</x:v>
      </x:c>
      <x:c r="E237" s="7" t="str">
        <x:v>CH-PEA-A-X1-22-4</x:v>
      </x:c>
      <x:c r="F237" s="7" t="str">
        <x:f>'Channel Instances'!O136</x:f>
        <x:v>OPEN</x:v>
      </x:c>
    </x:row>
    <x:row r="238">
      <x:c r="B238" s="7" t="str">
        <x:v>AG-00232</x:v>
      </x:c>
      <x:c r="C238" s="7" t="str">
        <x:v>PEA-A-X1</x:v>
      </x:c>
      <x:c r="D238" s="7" t="str">
        <x:v>channel instance</x:v>
      </x:c>
      <x:c r="E238" s="7" t="str">
        <x:v>CH-PEA-A-X1-22-5</x:v>
      </x:c>
      <x:c r="F238" s="7" t="str">
        <x:f>'Channel Instances'!O137</x:f>
        <x:v>OPEN</x:v>
      </x:c>
    </x:row>
    <x:row r="239">
      <x:c r="B239" s="7" t="str">
        <x:v>AG-00233</x:v>
      </x:c>
      <x:c r="C239" s="7" t="str">
        <x:v>PEA-A-X1</x:v>
      </x:c>
      <x:c r="D239" s="7" t="str">
        <x:v>channel instance</x:v>
      </x:c>
      <x:c r="E239" s="7" t="str">
        <x:v>CH-PEA-A-X1-22-6</x:v>
      </x:c>
      <x:c r="F239" s="7" t="str">
        <x:f>'Channel Instances'!O138</x:f>
        <x:v>OPEN</x:v>
      </x:c>
    </x:row>
    <x:row r="240">
      <x:c r="B240" s="7" t="str">
        <x:v>AG-00234</x:v>
      </x:c>
      <x:c r="C240" s="7" t="str">
        <x:v>PEA-A-X1</x:v>
      </x:c>
      <x:c r="D240" s="7" t="str">
        <x:v>channel instance</x:v>
      </x:c>
      <x:c r="E240" s="7" t="str">
        <x:v>CH-PEA-A-X1-23-1</x:v>
      </x:c>
      <x:c r="F240" s="7" t="str">
        <x:f>'Channel Instances'!O139</x:f>
        <x:v>OPEN</x:v>
      </x:c>
    </x:row>
    <x:row r="241">
      <x:c r="B241" s="7" t="str">
        <x:v>AG-00235</x:v>
      </x:c>
      <x:c r="C241" s="7" t="str">
        <x:v>PEA-A-X1</x:v>
      </x:c>
      <x:c r="D241" s="7" t="str">
        <x:v>channel instance</x:v>
      </x:c>
      <x:c r="E241" s="7" t="str">
        <x:v>CH-PEA-A-X1-23-2</x:v>
      </x:c>
      <x:c r="F241" s="7" t="str">
        <x:f>'Channel Instances'!O140</x:f>
        <x:v>OPEN</x:v>
      </x:c>
    </x:row>
    <x:row r="242">
      <x:c r="B242" s="7" t="str">
        <x:v>AG-00236</x:v>
      </x:c>
      <x:c r="C242" s="7" t="str">
        <x:v>PEA-A-X1</x:v>
      </x:c>
      <x:c r="D242" s="7" t="str">
        <x:v>channel instance</x:v>
      </x:c>
      <x:c r="E242" s="7" t="str">
        <x:v>CH-PEA-A-X1-23-3</x:v>
      </x:c>
      <x:c r="F242" s="7" t="str">
        <x:f>'Channel Instances'!O141</x:f>
        <x:v>OPEN</x:v>
      </x:c>
    </x:row>
    <x:row r="243">
      <x:c r="B243" s="7" t="str">
        <x:v>AG-00237</x:v>
      </x:c>
      <x:c r="C243" s="7" t="str">
        <x:v>PEA-A-X1</x:v>
      </x:c>
      <x:c r="D243" s="7" t="str">
        <x:v>channel instance</x:v>
      </x:c>
      <x:c r="E243" s="7" t="str">
        <x:v>CH-PEA-A-X1-23-4</x:v>
      </x:c>
      <x:c r="F243" s="7" t="str">
        <x:f>'Channel Instances'!O142</x:f>
        <x:v>OPEN</x:v>
      </x:c>
    </x:row>
    <x:row r="244">
      <x:c r="B244" s="7" t="str">
        <x:v>AG-00238</x:v>
      </x:c>
      <x:c r="C244" s="7" t="str">
        <x:v>PEA-A-X1</x:v>
      </x:c>
      <x:c r="D244" s="7" t="str">
        <x:v>channel instance</x:v>
      </x:c>
      <x:c r="E244" s="7" t="str">
        <x:v>CH-PEA-A-X1-23-5</x:v>
      </x:c>
      <x:c r="F244" s="7" t="str">
        <x:f>'Channel Instances'!O143</x:f>
        <x:v>OPEN</x:v>
      </x:c>
    </x:row>
    <x:row r="245">
      <x:c r="B245" s="7" t="str">
        <x:v>AG-00239</x:v>
      </x:c>
      <x:c r="C245" s="7" t="str">
        <x:v>PEA-A-X1</x:v>
      </x:c>
      <x:c r="D245" s="7" t="str">
        <x:v>channel instance</x:v>
      </x:c>
      <x:c r="E245" s="7" t="str">
        <x:v>CH-PEA-A-X1-23-6</x:v>
      </x:c>
      <x:c r="F245" s="7" t="str">
        <x:f>'Channel Instances'!O144</x:f>
        <x:v>OPEN</x:v>
      </x:c>
    </x:row>
    <x:row r="246">
      <x:c r="B246" s="7" t="str">
        <x:v>AG-00240</x:v>
      </x:c>
      <x:c r="C246" s="7" t="str">
        <x:v>PEA-A-X1</x:v>
      </x:c>
      <x:c r="D246" s="7" t="str">
        <x:v>channel instance</x:v>
      </x:c>
      <x:c r="E246" s="7" t="str">
        <x:v>CH-PEA-A-X1-24-1</x:v>
      </x:c>
      <x:c r="F246" s="7" t="str">
        <x:f>'Channel Instances'!O145</x:f>
        <x:v>OPEN</x:v>
      </x:c>
    </x:row>
    <x:row r="247">
      <x:c r="B247" s="7" t="str">
        <x:v>AG-00241</x:v>
      </x:c>
      <x:c r="C247" s="7" t="str">
        <x:v>PEA-A-X1</x:v>
      </x:c>
      <x:c r="D247" s="7" t="str">
        <x:v>channel instance</x:v>
      </x:c>
      <x:c r="E247" s="7" t="str">
        <x:v>CH-PEA-A-X1-24-2</x:v>
      </x:c>
      <x:c r="F247" s="7" t="str">
        <x:f>'Channel Instances'!O146</x:f>
        <x:v>OPEN</x:v>
      </x:c>
    </x:row>
    <x:row r="248">
      <x:c r="B248" s="7" t="str">
        <x:v>AG-00242</x:v>
      </x:c>
      <x:c r="C248" s="7" t="str">
        <x:v>PEA-A-X1</x:v>
      </x:c>
      <x:c r="D248" s="7" t="str">
        <x:v>channel instance</x:v>
      </x:c>
      <x:c r="E248" s="7" t="str">
        <x:v>CH-PEA-A-X1-24-3</x:v>
      </x:c>
      <x:c r="F248" s="7" t="str">
        <x:f>'Channel Instances'!O147</x:f>
        <x:v>OPEN</x:v>
      </x:c>
    </x:row>
    <x:row r="249">
      <x:c r="B249" s="7" t="str">
        <x:v>AG-00243</x:v>
      </x:c>
      <x:c r="C249" s="7" t="str">
        <x:v>PEA-A-X1</x:v>
      </x:c>
      <x:c r="D249" s="7" t="str">
        <x:v>channel instance</x:v>
      </x:c>
      <x:c r="E249" s="7" t="str">
        <x:v>CH-PEA-A-X1-24-4</x:v>
      </x:c>
      <x:c r="F249" s="7" t="str">
        <x:f>'Channel Instances'!O148</x:f>
        <x:v>OPEN</x:v>
      </x:c>
    </x:row>
    <x:row r="250">
      <x:c r="B250" s="7" t="str">
        <x:v>AG-00244</x:v>
      </x:c>
      <x:c r="C250" s="7" t="str">
        <x:v>PEA-A-X1</x:v>
      </x:c>
      <x:c r="D250" s="7" t="str">
        <x:v>channel instance</x:v>
      </x:c>
      <x:c r="E250" s="7" t="str">
        <x:v>CH-PEA-A-X1-24-5</x:v>
      </x:c>
      <x:c r="F250" s="7" t="str">
        <x:f>'Channel Instances'!O149</x:f>
        <x:v>OPEN</x:v>
      </x:c>
    </x:row>
    <x:row r="251">
      <x:c r="B251" s="7" t="str">
        <x:v>AG-00245</x:v>
      </x:c>
      <x:c r="C251" s="7" t="str">
        <x:v>PEA-A-X1</x:v>
      </x:c>
      <x:c r="D251" s="7" t="str">
        <x:v>channel instance</x:v>
      </x:c>
      <x:c r="E251" s="7" t="str">
        <x:v>CH-PEA-A-X1-24-6</x:v>
      </x:c>
      <x:c r="F251" s="7" t="str">
        <x:f>'Channel Instances'!O150</x:f>
        <x:v>OPEN</x:v>
      </x:c>
    </x:row>
    <x:row r="252">
      <x:c r="B252" s="7" t="str">
        <x:v>AG-00246</x:v>
      </x:c>
      <x:c r="C252" s="7" t="str">
        <x:v>PEA-A-X1</x:v>
      </x:c>
      <x:c r="D252" s="7" t="str">
        <x:v>factory calibration</x:v>
      </x:c>
      <x:c r="E252" s="7" t="str">
        <x:v>CAL-CH-PEA-A-X1-01-1</x:v>
      </x:c>
      <x:c r="F252" s="7" t="str">
        <x:f>'Calibration Records'!M7</x:f>
        <x:v>OPEN</x:v>
      </x:c>
    </x:row>
    <x:row r="253">
      <x:c r="B253" s="7" t="str">
        <x:v>AG-00247</x:v>
      </x:c>
      <x:c r="C253" s="7" t="str">
        <x:v>PEA-A-X1</x:v>
      </x:c>
      <x:c r="D253" s="7" t="str">
        <x:v>factory calibration</x:v>
      </x:c>
      <x:c r="E253" s="7" t="str">
        <x:v>CAL-CH-PEA-A-X1-01-2</x:v>
      </x:c>
      <x:c r="F253" s="7" t="str">
        <x:f>'Calibration Records'!M8</x:f>
        <x:v>OPEN</x:v>
      </x:c>
    </x:row>
    <x:row r="254">
      <x:c r="B254" s="7" t="str">
        <x:v>AG-00248</x:v>
      </x:c>
      <x:c r="C254" s="7" t="str">
        <x:v>PEA-A-X1</x:v>
      </x:c>
      <x:c r="D254" s="7" t="str">
        <x:v>factory calibration</x:v>
      </x:c>
      <x:c r="E254" s="7" t="str">
        <x:v>CAL-CH-PEA-A-X1-01-3</x:v>
      </x:c>
      <x:c r="F254" s="7" t="str">
        <x:f>'Calibration Records'!M9</x:f>
        <x:v>OPEN</x:v>
      </x:c>
    </x:row>
    <x:row r="255">
      <x:c r="B255" s="7" t="str">
        <x:v>AG-00249</x:v>
      </x:c>
      <x:c r="C255" s="7" t="str">
        <x:v>PEA-A-X1</x:v>
      </x:c>
      <x:c r="D255" s="7" t="str">
        <x:v>factory calibration</x:v>
      </x:c>
      <x:c r="E255" s="7" t="str">
        <x:v>CAL-CH-PEA-A-X1-01-4</x:v>
      </x:c>
      <x:c r="F255" s="7" t="str">
        <x:f>'Calibration Records'!M10</x:f>
        <x:v>OPEN</x:v>
      </x:c>
    </x:row>
    <x:row r="256">
      <x:c r="B256" s="7" t="str">
        <x:v>AG-00250</x:v>
      </x:c>
      <x:c r="C256" s="7" t="str">
        <x:v>PEA-A-X1</x:v>
      </x:c>
      <x:c r="D256" s="7" t="str">
        <x:v>factory calibration</x:v>
      </x:c>
      <x:c r="E256" s="7" t="str">
        <x:v>CAL-CH-PEA-A-X1-01-5</x:v>
      </x:c>
      <x:c r="F256" s="7" t="str">
        <x:f>'Calibration Records'!M11</x:f>
        <x:v>OPEN</x:v>
      </x:c>
    </x:row>
    <x:row r="257">
      <x:c r="B257" s="7" t="str">
        <x:v>AG-00251</x:v>
      </x:c>
      <x:c r="C257" s="7" t="str">
        <x:v>PEA-A-X1</x:v>
      </x:c>
      <x:c r="D257" s="7" t="str">
        <x:v>factory calibration</x:v>
      </x:c>
      <x:c r="E257" s="7" t="str">
        <x:v>CAL-CH-PEA-A-X1-01-6</x:v>
      </x:c>
      <x:c r="F257" s="7" t="str">
        <x:f>'Calibration Records'!M12</x:f>
        <x:v>OPEN</x:v>
      </x:c>
    </x:row>
    <x:row r="258">
      <x:c r="B258" s="7" t="str">
        <x:v>AG-00252</x:v>
      </x:c>
      <x:c r="C258" s="7" t="str">
        <x:v>PEA-A-X1</x:v>
      </x:c>
      <x:c r="D258" s="7" t="str">
        <x:v>factory calibration</x:v>
      </x:c>
      <x:c r="E258" s="7" t="str">
        <x:v>CAL-CH-PEA-A-X1-02-1</x:v>
      </x:c>
      <x:c r="F258" s="7" t="str">
        <x:f>'Calibration Records'!M13</x:f>
        <x:v>OPEN</x:v>
      </x:c>
    </x:row>
    <x:row r="259">
      <x:c r="B259" s="7" t="str">
        <x:v>AG-00253</x:v>
      </x:c>
      <x:c r="C259" s="7" t="str">
        <x:v>PEA-A-X1</x:v>
      </x:c>
      <x:c r="D259" s="7" t="str">
        <x:v>factory calibration</x:v>
      </x:c>
      <x:c r="E259" s="7" t="str">
        <x:v>CAL-CH-PEA-A-X1-02-2</x:v>
      </x:c>
      <x:c r="F259" s="7" t="str">
        <x:f>'Calibration Records'!M14</x:f>
        <x:v>OPEN</x:v>
      </x:c>
    </x:row>
    <x:row r="260">
      <x:c r="B260" s="7" t="str">
        <x:v>AG-00254</x:v>
      </x:c>
      <x:c r="C260" s="7" t="str">
        <x:v>PEA-A-X1</x:v>
      </x:c>
      <x:c r="D260" s="7" t="str">
        <x:v>factory calibration</x:v>
      </x:c>
      <x:c r="E260" s="7" t="str">
        <x:v>CAL-CH-PEA-A-X1-02-3</x:v>
      </x:c>
      <x:c r="F260" s="7" t="str">
        <x:f>'Calibration Records'!M15</x:f>
        <x:v>OPEN</x:v>
      </x:c>
    </x:row>
    <x:row r="261">
      <x:c r="B261" s="7" t="str">
        <x:v>AG-00255</x:v>
      </x:c>
      <x:c r="C261" s="7" t="str">
        <x:v>PEA-A-X1</x:v>
      </x:c>
      <x:c r="D261" s="7" t="str">
        <x:v>factory calibration</x:v>
      </x:c>
      <x:c r="E261" s="7" t="str">
        <x:v>CAL-CH-PEA-A-X1-02-4</x:v>
      </x:c>
      <x:c r="F261" s="7" t="str">
        <x:f>'Calibration Records'!M16</x:f>
        <x:v>OPEN</x:v>
      </x:c>
    </x:row>
    <x:row r="262">
      <x:c r="B262" s="7" t="str">
        <x:v>AG-00256</x:v>
      </x:c>
      <x:c r="C262" s="7" t="str">
        <x:v>PEA-A-X1</x:v>
      </x:c>
      <x:c r="D262" s="7" t="str">
        <x:v>factory calibration</x:v>
      </x:c>
      <x:c r="E262" s="7" t="str">
        <x:v>CAL-CH-PEA-A-X1-02-5</x:v>
      </x:c>
      <x:c r="F262" s="7" t="str">
        <x:f>'Calibration Records'!M17</x:f>
        <x:v>OPEN</x:v>
      </x:c>
    </x:row>
    <x:row r="263">
      <x:c r="B263" s="7" t="str">
        <x:v>AG-00257</x:v>
      </x:c>
      <x:c r="C263" s="7" t="str">
        <x:v>PEA-A-X1</x:v>
      </x:c>
      <x:c r="D263" s="7" t="str">
        <x:v>factory calibration</x:v>
      </x:c>
      <x:c r="E263" s="7" t="str">
        <x:v>CAL-CH-PEA-A-X1-02-6</x:v>
      </x:c>
      <x:c r="F263" s="7" t="str">
        <x:f>'Calibration Records'!M18</x:f>
        <x:v>OPEN</x:v>
      </x:c>
    </x:row>
    <x:row r="264">
      <x:c r="B264" s="7" t="str">
        <x:v>AG-00258</x:v>
      </x:c>
      <x:c r="C264" s="7" t="str">
        <x:v>PEA-A-X1</x:v>
      </x:c>
      <x:c r="D264" s="7" t="str">
        <x:v>factory calibration</x:v>
      </x:c>
      <x:c r="E264" s="7" t="str">
        <x:v>CAL-CH-PEA-A-X1-03-1</x:v>
      </x:c>
      <x:c r="F264" s="7" t="str">
        <x:f>'Calibration Records'!M19</x:f>
        <x:v>OPEN</x:v>
      </x:c>
    </x:row>
    <x:row r="265">
      <x:c r="B265" s="7" t="str">
        <x:v>AG-00259</x:v>
      </x:c>
      <x:c r="C265" s="7" t="str">
        <x:v>PEA-A-X1</x:v>
      </x:c>
      <x:c r="D265" s="7" t="str">
        <x:v>factory calibration</x:v>
      </x:c>
      <x:c r="E265" s="7" t="str">
        <x:v>CAL-CH-PEA-A-X1-03-2</x:v>
      </x:c>
      <x:c r="F265" s="7" t="str">
        <x:f>'Calibration Records'!M20</x:f>
        <x:v>OPEN</x:v>
      </x:c>
    </x:row>
    <x:row r="266">
      <x:c r="B266" s="7" t="str">
        <x:v>AG-00260</x:v>
      </x:c>
      <x:c r="C266" s="7" t="str">
        <x:v>PEA-A-X1</x:v>
      </x:c>
      <x:c r="D266" s="7" t="str">
        <x:v>factory calibration</x:v>
      </x:c>
      <x:c r="E266" s="7" t="str">
        <x:v>CAL-CH-PEA-A-X1-03-3</x:v>
      </x:c>
      <x:c r="F266" s="7" t="str">
        <x:f>'Calibration Records'!M21</x:f>
        <x:v>OPEN</x:v>
      </x:c>
    </x:row>
    <x:row r="267">
      <x:c r="B267" s="7" t="str">
        <x:v>AG-00261</x:v>
      </x:c>
      <x:c r="C267" s="7" t="str">
        <x:v>PEA-A-X1</x:v>
      </x:c>
      <x:c r="D267" s="7" t="str">
        <x:v>factory calibration</x:v>
      </x:c>
      <x:c r="E267" s="7" t="str">
        <x:v>CAL-CH-PEA-A-X1-03-4</x:v>
      </x:c>
      <x:c r="F267" s="7" t="str">
        <x:f>'Calibration Records'!M22</x:f>
        <x:v>OPEN</x:v>
      </x:c>
    </x:row>
    <x:row r="268">
      <x:c r="B268" s="7" t="str">
        <x:v>AG-00262</x:v>
      </x:c>
      <x:c r="C268" s="7" t="str">
        <x:v>PEA-A-X1</x:v>
      </x:c>
      <x:c r="D268" s="7" t="str">
        <x:v>factory calibration</x:v>
      </x:c>
      <x:c r="E268" s="7" t="str">
        <x:v>CAL-CH-PEA-A-X1-03-5</x:v>
      </x:c>
      <x:c r="F268" s="7" t="str">
        <x:f>'Calibration Records'!M23</x:f>
        <x:v>OPEN</x:v>
      </x:c>
    </x:row>
    <x:row r="269">
      <x:c r="B269" s="7" t="str">
        <x:v>AG-00263</x:v>
      </x:c>
      <x:c r="C269" s="7" t="str">
        <x:v>PEA-A-X1</x:v>
      </x:c>
      <x:c r="D269" s="7" t="str">
        <x:v>factory calibration</x:v>
      </x:c>
      <x:c r="E269" s="7" t="str">
        <x:v>CAL-CH-PEA-A-X1-03-6</x:v>
      </x:c>
      <x:c r="F269" s="7" t="str">
        <x:f>'Calibration Records'!M24</x:f>
        <x:v>OPEN</x:v>
      </x:c>
    </x:row>
    <x:row r="270">
      <x:c r="B270" s="7" t="str">
        <x:v>AG-00264</x:v>
      </x:c>
      <x:c r="C270" s="7" t="str">
        <x:v>PEA-A-X1</x:v>
      </x:c>
      <x:c r="D270" s="7" t="str">
        <x:v>factory calibration</x:v>
      </x:c>
      <x:c r="E270" s="7" t="str">
        <x:v>CAL-CH-PEA-A-X1-04-1</x:v>
      </x:c>
      <x:c r="F270" s="7" t="str">
        <x:f>'Calibration Records'!M25</x:f>
        <x:v>OPEN</x:v>
      </x:c>
    </x:row>
    <x:row r="271">
      <x:c r="B271" s="7" t="str">
        <x:v>AG-00265</x:v>
      </x:c>
      <x:c r="C271" s="7" t="str">
        <x:v>PEA-A-X1</x:v>
      </x:c>
      <x:c r="D271" s="7" t="str">
        <x:v>factory calibration</x:v>
      </x:c>
      <x:c r="E271" s="7" t="str">
        <x:v>CAL-CH-PEA-A-X1-04-2</x:v>
      </x:c>
      <x:c r="F271" s="7" t="str">
        <x:f>'Calibration Records'!M26</x:f>
        <x:v>OPEN</x:v>
      </x:c>
    </x:row>
    <x:row r="272">
      <x:c r="B272" s="7" t="str">
        <x:v>AG-00266</x:v>
      </x:c>
      <x:c r="C272" s="7" t="str">
        <x:v>PEA-A-X1</x:v>
      </x:c>
      <x:c r="D272" s="7" t="str">
        <x:v>factory calibration</x:v>
      </x:c>
      <x:c r="E272" s="7" t="str">
        <x:v>CAL-CH-PEA-A-X1-04-3</x:v>
      </x:c>
      <x:c r="F272" s="7" t="str">
        <x:f>'Calibration Records'!M27</x:f>
        <x:v>OPEN</x:v>
      </x:c>
    </x:row>
    <x:row r="273">
      <x:c r="B273" s="7" t="str">
        <x:v>AG-00267</x:v>
      </x:c>
      <x:c r="C273" s="7" t="str">
        <x:v>PEA-A-X1</x:v>
      </x:c>
      <x:c r="D273" s="7" t="str">
        <x:v>factory calibration</x:v>
      </x:c>
      <x:c r="E273" s="7" t="str">
        <x:v>CAL-CH-PEA-A-X1-04-4</x:v>
      </x:c>
      <x:c r="F273" s="7" t="str">
        <x:f>'Calibration Records'!M28</x:f>
        <x:v>OPEN</x:v>
      </x:c>
    </x:row>
    <x:row r="274">
      <x:c r="B274" s="7" t="str">
        <x:v>AG-00268</x:v>
      </x:c>
      <x:c r="C274" s="7" t="str">
        <x:v>PEA-A-X1</x:v>
      </x:c>
      <x:c r="D274" s="7" t="str">
        <x:v>factory calibration</x:v>
      </x:c>
      <x:c r="E274" s="7" t="str">
        <x:v>CAL-CH-PEA-A-X1-04-5</x:v>
      </x:c>
      <x:c r="F274" s="7" t="str">
        <x:f>'Calibration Records'!M29</x:f>
        <x:v>OPEN</x:v>
      </x:c>
    </x:row>
    <x:row r="275">
      <x:c r="B275" s="7" t="str">
        <x:v>AG-00269</x:v>
      </x:c>
      <x:c r="C275" s="7" t="str">
        <x:v>PEA-A-X1</x:v>
      </x:c>
      <x:c r="D275" s="7" t="str">
        <x:v>factory calibration</x:v>
      </x:c>
      <x:c r="E275" s="7" t="str">
        <x:v>CAL-CH-PEA-A-X1-04-6</x:v>
      </x:c>
      <x:c r="F275" s="7" t="str">
        <x:f>'Calibration Records'!M30</x:f>
        <x:v>OPEN</x:v>
      </x:c>
    </x:row>
    <x:row r="276">
      <x:c r="B276" s="7" t="str">
        <x:v>AG-00270</x:v>
      </x:c>
      <x:c r="C276" s="7" t="str">
        <x:v>PEA-A-X1</x:v>
      </x:c>
      <x:c r="D276" s="7" t="str">
        <x:v>factory calibration</x:v>
      </x:c>
      <x:c r="E276" s="7" t="str">
        <x:v>CAL-CH-PEA-A-X1-05-1</x:v>
      </x:c>
      <x:c r="F276" s="7" t="str">
        <x:f>'Calibration Records'!M31</x:f>
        <x:v>OPEN</x:v>
      </x:c>
    </x:row>
    <x:row r="277">
      <x:c r="B277" s="7" t="str">
        <x:v>AG-00271</x:v>
      </x:c>
      <x:c r="C277" s="7" t="str">
        <x:v>PEA-A-X1</x:v>
      </x:c>
      <x:c r="D277" s="7" t="str">
        <x:v>factory calibration</x:v>
      </x:c>
      <x:c r="E277" s="7" t="str">
        <x:v>CAL-CH-PEA-A-X1-05-2</x:v>
      </x:c>
      <x:c r="F277" s="7" t="str">
        <x:f>'Calibration Records'!M32</x:f>
        <x:v>OPEN</x:v>
      </x:c>
    </x:row>
    <x:row r="278">
      <x:c r="B278" s="7" t="str">
        <x:v>AG-00272</x:v>
      </x:c>
      <x:c r="C278" s="7" t="str">
        <x:v>PEA-A-X1</x:v>
      </x:c>
      <x:c r="D278" s="7" t="str">
        <x:v>factory calibration</x:v>
      </x:c>
      <x:c r="E278" s="7" t="str">
        <x:v>CAL-CH-PEA-A-X1-05-3</x:v>
      </x:c>
      <x:c r="F278" s="7" t="str">
        <x:f>'Calibration Records'!M33</x:f>
        <x:v>OPEN</x:v>
      </x:c>
    </x:row>
    <x:row r="279">
      <x:c r="B279" s="7" t="str">
        <x:v>AG-00273</x:v>
      </x:c>
      <x:c r="C279" s="7" t="str">
        <x:v>PEA-A-X1</x:v>
      </x:c>
      <x:c r="D279" s="7" t="str">
        <x:v>factory calibration</x:v>
      </x:c>
      <x:c r="E279" s="7" t="str">
        <x:v>CAL-CH-PEA-A-X1-05-4</x:v>
      </x:c>
      <x:c r="F279" s="7" t="str">
        <x:f>'Calibration Records'!M34</x:f>
        <x:v>OPEN</x:v>
      </x:c>
    </x:row>
    <x:row r="280">
      <x:c r="B280" s="7" t="str">
        <x:v>AG-00274</x:v>
      </x:c>
      <x:c r="C280" s="7" t="str">
        <x:v>PEA-A-X1</x:v>
      </x:c>
      <x:c r="D280" s="7" t="str">
        <x:v>factory calibration</x:v>
      </x:c>
      <x:c r="E280" s="7" t="str">
        <x:v>CAL-CH-PEA-A-X1-05-5</x:v>
      </x:c>
      <x:c r="F280" s="7" t="str">
        <x:f>'Calibration Records'!M35</x:f>
        <x:v>OPEN</x:v>
      </x:c>
    </x:row>
    <x:row r="281">
      <x:c r="B281" s="7" t="str">
        <x:v>AG-00275</x:v>
      </x:c>
      <x:c r="C281" s="7" t="str">
        <x:v>PEA-A-X1</x:v>
      </x:c>
      <x:c r="D281" s="7" t="str">
        <x:v>factory calibration</x:v>
      </x:c>
      <x:c r="E281" s="7" t="str">
        <x:v>CAL-CH-PEA-A-X1-05-6</x:v>
      </x:c>
      <x:c r="F281" s="7" t="str">
        <x:f>'Calibration Records'!M36</x:f>
        <x:v>OPEN</x:v>
      </x:c>
    </x:row>
    <x:row r="282">
      <x:c r="B282" s="7" t="str">
        <x:v>AG-00276</x:v>
      </x:c>
      <x:c r="C282" s="7" t="str">
        <x:v>PEA-A-X1</x:v>
      </x:c>
      <x:c r="D282" s="7" t="str">
        <x:v>factory calibration</x:v>
      </x:c>
      <x:c r="E282" s="7" t="str">
        <x:v>CAL-CH-PEA-A-X1-06-1</x:v>
      </x:c>
      <x:c r="F282" s="7" t="str">
        <x:f>'Calibration Records'!M37</x:f>
        <x:v>OPEN</x:v>
      </x:c>
    </x:row>
    <x:row r="283">
      <x:c r="B283" s="7" t="str">
        <x:v>AG-00277</x:v>
      </x:c>
      <x:c r="C283" s="7" t="str">
        <x:v>PEA-A-X1</x:v>
      </x:c>
      <x:c r="D283" s="7" t="str">
        <x:v>factory calibration</x:v>
      </x:c>
      <x:c r="E283" s="7" t="str">
        <x:v>CAL-CH-PEA-A-X1-06-2</x:v>
      </x:c>
      <x:c r="F283" s="7" t="str">
        <x:f>'Calibration Records'!M38</x:f>
        <x:v>OPEN</x:v>
      </x:c>
    </x:row>
    <x:row r="284">
      <x:c r="B284" s="7" t="str">
        <x:v>AG-00278</x:v>
      </x:c>
      <x:c r="C284" s="7" t="str">
        <x:v>PEA-A-X1</x:v>
      </x:c>
      <x:c r="D284" s="7" t="str">
        <x:v>factory calibration</x:v>
      </x:c>
      <x:c r="E284" s="7" t="str">
        <x:v>CAL-CH-PEA-A-X1-06-3</x:v>
      </x:c>
      <x:c r="F284" s="7" t="str">
        <x:f>'Calibration Records'!M39</x:f>
        <x:v>OPEN</x:v>
      </x:c>
    </x:row>
    <x:row r="285">
      <x:c r="B285" s="7" t="str">
        <x:v>AG-00279</x:v>
      </x:c>
      <x:c r="C285" s="7" t="str">
        <x:v>PEA-A-X1</x:v>
      </x:c>
      <x:c r="D285" s="7" t="str">
        <x:v>factory calibration</x:v>
      </x:c>
      <x:c r="E285" s="7" t="str">
        <x:v>CAL-CH-PEA-A-X1-06-4</x:v>
      </x:c>
      <x:c r="F285" s="7" t="str">
        <x:f>'Calibration Records'!M40</x:f>
        <x:v>OPEN</x:v>
      </x:c>
    </x:row>
    <x:row r="286">
      <x:c r="B286" s="7" t="str">
        <x:v>AG-00280</x:v>
      </x:c>
      <x:c r="C286" s="7" t="str">
        <x:v>PEA-A-X1</x:v>
      </x:c>
      <x:c r="D286" s="7" t="str">
        <x:v>factory calibration</x:v>
      </x:c>
      <x:c r="E286" s="7" t="str">
        <x:v>CAL-CH-PEA-A-X1-06-5</x:v>
      </x:c>
      <x:c r="F286" s="7" t="str">
        <x:f>'Calibration Records'!M41</x:f>
        <x:v>OPEN</x:v>
      </x:c>
    </x:row>
    <x:row r="287">
      <x:c r="B287" s="7" t="str">
        <x:v>AG-00281</x:v>
      </x:c>
      <x:c r="C287" s="7" t="str">
        <x:v>PEA-A-X1</x:v>
      </x:c>
      <x:c r="D287" s="7" t="str">
        <x:v>factory calibration</x:v>
      </x:c>
      <x:c r="E287" s="7" t="str">
        <x:v>CAL-CH-PEA-A-X1-06-6</x:v>
      </x:c>
      <x:c r="F287" s="7" t="str">
        <x:f>'Calibration Records'!M42</x:f>
        <x:v>OPEN</x:v>
      </x:c>
    </x:row>
    <x:row r="288">
      <x:c r="B288" s="7" t="str">
        <x:v>AG-00282</x:v>
      </x:c>
      <x:c r="C288" s="7" t="str">
        <x:v>PEA-A-X1</x:v>
      </x:c>
      <x:c r="D288" s="7" t="str">
        <x:v>factory calibration</x:v>
      </x:c>
      <x:c r="E288" s="7" t="str">
        <x:v>CAL-CH-PEA-A-X1-07-1</x:v>
      </x:c>
      <x:c r="F288" s="7" t="str">
        <x:f>'Calibration Records'!M43</x:f>
        <x:v>OPEN</x:v>
      </x:c>
    </x:row>
    <x:row r="289">
      <x:c r="B289" s="7" t="str">
        <x:v>AG-00283</x:v>
      </x:c>
      <x:c r="C289" s="7" t="str">
        <x:v>PEA-A-X1</x:v>
      </x:c>
      <x:c r="D289" s="7" t="str">
        <x:v>factory calibration</x:v>
      </x:c>
      <x:c r="E289" s="7" t="str">
        <x:v>CAL-CH-PEA-A-X1-07-2</x:v>
      </x:c>
      <x:c r="F289" s="7" t="str">
        <x:f>'Calibration Records'!M44</x:f>
        <x:v>OPEN</x:v>
      </x:c>
    </x:row>
    <x:row r="290">
      <x:c r="B290" s="7" t="str">
        <x:v>AG-00284</x:v>
      </x:c>
      <x:c r="C290" s="7" t="str">
        <x:v>PEA-A-X1</x:v>
      </x:c>
      <x:c r="D290" s="7" t="str">
        <x:v>factory calibration</x:v>
      </x:c>
      <x:c r="E290" s="7" t="str">
        <x:v>CAL-CH-PEA-A-X1-07-3</x:v>
      </x:c>
      <x:c r="F290" s="7" t="str">
        <x:f>'Calibration Records'!M45</x:f>
        <x:v>OPEN</x:v>
      </x:c>
    </x:row>
    <x:row r="291">
      <x:c r="B291" s="7" t="str">
        <x:v>AG-00285</x:v>
      </x:c>
      <x:c r="C291" s="7" t="str">
        <x:v>PEA-A-X1</x:v>
      </x:c>
      <x:c r="D291" s="7" t="str">
        <x:v>factory calibration</x:v>
      </x:c>
      <x:c r="E291" s="7" t="str">
        <x:v>CAL-CH-PEA-A-X1-07-4</x:v>
      </x:c>
      <x:c r="F291" s="7" t="str">
        <x:f>'Calibration Records'!M46</x:f>
        <x:v>OPEN</x:v>
      </x:c>
    </x:row>
    <x:row r="292">
      <x:c r="B292" s="7" t="str">
        <x:v>AG-00286</x:v>
      </x:c>
      <x:c r="C292" s="7" t="str">
        <x:v>PEA-A-X1</x:v>
      </x:c>
      <x:c r="D292" s="7" t="str">
        <x:v>factory calibration</x:v>
      </x:c>
      <x:c r="E292" s="7" t="str">
        <x:v>CAL-CH-PEA-A-X1-07-5</x:v>
      </x:c>
      <x:c r="F292" s="7" t="str">
        <x:f>'Calibration Records'!M47</x:f>
        <x:v>OPEN</x:v>
      </x:c>
    </x:row>
    <x:row r="293">
      <x:c r="B293" s="7" t="str">
        <x:v>AG-00287</x:v>
      </x:c>
      <x:c r="C293" s="7" t="str">
        <x:v>PEA-A-X1</x:v>
      </x:c>
      <x:c r="D293" s="7" t="str">
        <x:v>factory calibration</x:v>
      </x:c>
      <x:c r="E293" s="7" t="str">
        <x:v>CAL-CH-PEA-A-X1-07-6</x:v>
      </x:c>
      <x:c r="F293" s="7" t="str">
        <x:f>'Calibration Records'!M48</x:f>
        <x:v>OPEN</x:v>
      </x:c>
    </x:row>
    <x:row r="294">
      <x:c r="B294" s="7" t="str">
        <x:v>AG-00288</x:v>
      </x:c>
      <x:c r="C294" s="7" t="str">
        <x:v>PEA-A-X1</x:v>
      </x:c>
      <x:c r="D294" s="7" t="str">
        <x:v>factory calibration</x:v>
      </x:c>
      <x:c r="E294" s="7" t="str">
        <x:v>CAL-CH-PEA-A-X1-08-1</x:v>
      </x:c>
      <x:c r="F294" s="7" t="str">
        <x:f>'Calibration Records'!M49</x:f>
        <x:v>OPEN</x:v>
      </x:c>
    </x:row>
    <x:row r="295">
      <x:c r="B295" s="7" t="str">
        <x:v>AG-00289</x:v>
      </x:c>
      <x:c r="C295" s="7" t="str">
        <x:v>PEA-A-X1</x:v>
      </x:c>
      <x:c r="D295" s="7" t="str">
        <x:v>factory calibration</x:v>
      </x:c>
      <x:c r="E295" s="7" t="str">
        <x:v>CAL-CH-PEA-A-X1-08-2</x:v>
      </x:c>
      <x:c r="F295" s="7" t="str">
        <x:f>'Calibration Records'!M50</x:f>
        <x:v>OPEN</x:v>
      </x:c>
    </x:row>
    <x:row r="296">
      <x:c r="B296" s="7" t="str">
        <x:v>AG-00290</x:v>
      </x:c>
      <x:c r="C296" s="7" t="str">
        <x:v>PEA-A-X1</x:v>
      </x:c>
      <x:c r="D296" s="7" t="str">
        <x:v>factory calibration</x:v>
      </x:c>
      <x:c r="E296" s="7" t="str">
        <x:v>CAL-CH-PEA-A-X1-08-3</x:v>
      </x:c>
      <x:c r="F296" s="7" t="str">
        <x:f>'Calibration Records'!M51</x:f>
        <x:v>OPEN</x:v>
      </x:c>
    </x:row>
    <x:row r="297">
      <x:c r="B297" s="7" t="str">
        <x:v>AG-00291</x:v>
      </x:c>
      <x:c r="C297" s="7" t="str">
        <x:v>PEA-A-X1</x:v>
      </x:c>
      <x:c r="D297" s="7" t="str">
        <x:v>factory calibration</x:v>
      </x:c>
      <x:c r="E297" s="7" t="str">
        <x:v>CAL-CH-PEA-A-X1-08-4</x:v>
      </x:c>
      <x:c r="F297" s="7" t="str">
        <x:f>'Calibration Records'!M52</x:f>
        <x:v>OPEN</x:v>
      </x:c>
    </x:row>
    <x:row r="298">
      <x:c r="B298" s="7" t="str">
        <x:v>AG-00292</x:v>
      </x:c>
      <x:c r="C298" s="7" t="str">
        <x:v>PEA-A-X1</x:v>
      </x:c>
      <x:c r="D298" s="7" t="str">
        <x:v>factory calibration</x:v>
      </x:c>
      <x:c r="E298" s="7" t="str">
        <x:v>CAL-CH-PEA-A-X1-08-5</x:v>
      </x:c>
      <x:c r="F298" s="7" t="str">
        <x:f>'Calibration Records'!M53</x:f>
        <x:v>OPEN</x:v>
      </x:c>
    </x:row>
    <x:row r="299">
      <x:c r="B299" s="7" t="str">
        <x:v>AG-00293</x:v>
      </x:c>
      <x:c r="C299" s="7" t="str">
        <x:v>PEA-A-X1</x:v>
      </x:c>
      <x:c r="D299" s="7" t="str">
        <x:v>factory calibration</x:v>
      </x:c>
      <x:c r="E299" s="7" t="str">
        <x:v>CAL-CH-PEA-A-X1-08-6</x:v>
      </x:c>
      <x:c r="F299" s="7" t="str">
        <x:f>'Calibration Records'!M54</x:f>
        <x:v>OPEN</x:v>
      </x:c>
    </x:row>
    <x:row r="300">
      <x:c r="B300" s="7" t="str">
        <x:v>AG-00294</x:v>
      </x:c>
      <x:c r="C300" s="7" t="str">
        <x:v>PEA-A-X1</x:v>
      </x:c>
      <x:c r="D300" s="7" t="str">
        <x:v>factory calibration</x:v>
      </x:c>
      <x:c r="E300" s="7" t="str">
        <x:v>CAL-CH-PEA-A-X1-09-1</x:v>
      </x:c>
      <x:c r="F300" s="7" t="str">
        <x:f>'Calibration Records'!M55</x:f>
        <x:v>OPEN</x:v>
      </x:c>
    </x:row>
    <x:row r="301">
      <x:c r="B301" s="7" t="str">
        <x:v>AG-00295</x:v>
      </x:c>
      <x:c r="C301" s="7" t="str">
        <x:v>PEA-A-X1</x:v>
      </x:c>
      <x:c r="D301" s="7" t="str">
        <x:v>factory calibration</x:v>
      </x:c>
      <x:c r="E301" s="7" t="str">
        <x:v>CAL-CH-PEA-A-X1-09-2</x:v>
      </x:c>
      <x:c r="F301" s="7" t="str">
        <x:f>'Calibration Records'!M56</x:f>
        <x:v>OPEN</x:v>
      </x:c>
    </x:row>
    <x:row r="302">
      <x:c r="B302" s="7" t="str">
        <x:v>AG-00296</x:v>
      </x:c>
      <x:c r="C302" s="7" t="str">
        <x:v>PEA-A-X1</x:v>
      </x:c>
      <x:c r="D302" s="7" t="str">
        <x:v>factory calibration</x:v>
      </x:c>
      <x:c r="E302" s="7" t="str">
        <x:v>CAL-CH-PEA-A-X1-09-3</x:v>
      </x:c>
      <x:c r="F302" s="7" t="str">
        <x:f>'Calibration Records'!M57</x:f>
        <x:v>OPEN</x:v>
      </x:c>
    </x:row>
    <x:row r="303">
      <x:c r="B303" s="7" t="str">
        <x:v>AG-00297</x:v>
      </x:c>
      <x:c r="C303" s="7" t="str">
        <x:v>PEA-A-X1</x:v>
      </x:c>
      <x:c r="D303" s="7" t="str">
        <x:v>factory calibration</x:v>
      </x:c>
      <x:c r="E303" s="7" t="str">
        <x:v>CAL-CH-PEA-A-X1-09-4</x:v>
      </x:c>
      <x:c r="F303" s="7" t="str">
        <x:f>'Calibration Records'!M58</x:f>
        <x:v>OPEN</x:v>
      </x:c>
    </x:row>
    <x:row r="304">
      <x:c r="B304" s="7" t="str">
        <x:v>AG-00298</x:v>
      </x:c>
      <x:c r="C304" s="7" t="str">
        <x:v>PEA-A-X1</x:v>
      </x:c>
      <x:c r="D304" s="7" t="str">
        <x:v>factory calibration</x:v>
      </x:c>
      <x:c r="E304" s="7" t="str">
        <x:v>CAL-CH-PEA-A-X1-09-5</x:v>
      </x:c>
      <x:c r="F304" s="7" t="str">
        <x:f>'Calibration Records'!M59</x:f>
        <x:v>OPEN</x:v>
      </x:c>
    </x:row>
    <x:row r="305">
      <x:c r="B305" s="7" t="str">
        <x:v>AG-00299</x:v>
      </x:c>
      <x:c r="C305" s="7" t="str">
        <x:v>PEA-A-X1</x:v>
      </x:c>
      <x:c r="D305" s="7" t="str">
        <x:v>factory calibration</x:v>
      </x:c>
      <x:c r="E305" s="7" t="str">
        <x:v>CAL-CH-PEA-A-X1-09-6</x:v>
      </x:c>
      <x:c r="F305" s="7" t="str">
        <x:f>'Calibration Records'!M60</x:f>
        <x:v>OPEN</x:v>
      </x:c>
    </x:row>
    <x:row r="306">
      <x:c r="B306" s="7" t="str">
        <x:v>AG-00300</x:v>
      </x:c>
      <x:c r="C306" s="7" t="str">
        <x:v>PEA-A-X1</x:v>
      </x:c>
      <x:c r="D306" s="7" t="str">
        <x:v>factory calibration</x:v>
      </x:c>
      <x:c r="E306" s="7" t="str">
        <x:v>CAL-CH-PEA-A-X1-10-1</x:v>
      </x:c>
      <x:c r="F306" s="7" t="str">
        <x:f>'Calibration Records'!M61</x:f>
        <x:v>OPEN</x:v>
      </x:c>
    </x:row>
    <x:row r="307">
      <x:c r="B307" s="7" t="str">
        <x:v>AG-00301</x:v>
      </x:c>
      <x:c r="C307" s="7" t="str">
        <x:v>PEA-A-X1</x:v>
      </x:c>
      <x:c r="D307" s="7" t="str">
        <x:v>factory calibration</x:v>
      </x:c>
      <x:c r="E307" s="7" t="str">
        <x:v>CAL-CH-PEA-A-X1-10-2</x:v>
      </x:c>
      <x:c r="F307" s="7" t="str">
        <x:f>'Calibration Records'!M62</x:f>
        <x:v>OPEN</x:v>
      </x:c>
    </x:row>
    <x:row r="308">
      <x:c r="B308" s="7" t="str">
        <x:v>AG-00302</x:v>
      </x:c>
      <x:c r="C308" s="7" t="str">
        <x:v>PEA-A-X1</x:v>
      </x:c>
      <x:c r="D308" s="7" t="str">
        <x:v>factory calibration</x:v>
      </x:c>
      <x:c r="E308" s="7" t="str">
        <x:v>CAL-CH-PEA-A-X1-10-3</x:v>
      </x:c>
      <x:c r="F308" s="7" t="str">
        <x:f>'Calibration Records'!M63</x:f>
        <x:v>OPEN</x:v>
      </x:c>
    </x:row>
    <x:row r="309">
      <x:c r="B309" s="7" t="str">
        <x:v>AG-00303</x:v>
      </x:c>
      <x:c r="C309" s="7" t="str">
        <x:v>PEA-A-X1</x:v>
      </x:c>
      <x:c r="D309" s="7" t="str">
        <x:v>factory calibration</x:v>
      </x:c>
      <x:c r="E309" s="7" t="str">
        <x:v>CAL-CH-PEA-A-X1-10-4</x:v>
      </x:c>
      <x:c r="F309" s="7" t="str">
        <x:f>'Calibration Records'!M64</x:f>
        <x:v>OPEN</x:v>
      </x:c>
    </x:row>
    <x:row r="310">
      <x:c r="B310" s="7" t="str">
        <x:v>AG-00304</x:v>
      </x:c>
      <x:c r="C310" s="7" t="str">
        <x:v>PEA-A-X1</x:v>
      </x:c>
      <x:c r="D310" s="7" t="str">
        <x:v>factory calibration</x:v>
      </x:c>
      <x:c r="E310" s="7" t="str">
        <x:v>CAL-CH-PEA-A-X1-10-5</x:v>
      </x:c>
      <x:c r="F310" s="7" t="str">
        <x:f>'Calibration Records'!M65</x:f>
        <x:v>OPEN</x:v>
      </x:c>
    </x:row>
    <x:row r="311">
      <x:c r="B311" s="7" t="str">
        <x:v>AG-00305</x:v>
      </x:c>
      <x:c r="C311" s="7" t="str">
        <x:v>PEA-A-X1</x:v>
      </x:c>
      <x:c r="D311" s="7" t="str">
        <x:v>factory calibration</x:v>
      </x:c>
      <x:c r="E311" s="7" t="str">
        <x:v>CAL-CH-PEA-A-X1-10-6</x:v>
      </x:c>
      <x:c r="F311" s="7" t="str">
        <x:f>'Calibration Records'!M66</x:f>
        <x:v>OPEN</x:v>
      </x:c>
    </x:row>
    <x:row r="312">
      <x:c r="B312" s="7" t="str">
        <x:v>AG-00306</x:v>
      </x:c>
      <x:c r="C312" s="7" t="str">
        <x:v>PEA-A-X1</x:v>
      </x:c>
      <x:c r="D312" s="7" t="str">
        <x:v>factory calibration</x:v>
      </x:c>
      <x:c r="E312" s="7" t="str">
        <x:v>CAL-CH-PEA-A-X1-11-1</x:v>
      </x:c>
      <x:c r="F312" s="7" t="str">
        <x:f>'Calibration Records'!M67</x:f>
        <x:v>OPEN</x:v>
      </x:c>
    </x:row>
    <x:row r="313">
      <x:c r="B313" s="7" t="str">
        <x:v>AG-00307</x:v>
      </x:c>
      <x:c r="C313" s="7" t="str">
        <x:v>PEA-A-X1</x:v>
      </x:c>
      <x:c r="D313" s="7" t="str">
        <x:v>factory calibration</x:v>
      </x:c>
      <x:c r="E313" s="7" t="str">
        <x:v>CAL-CH-PEA-A-X1-11-2</x:v>
      </x:c>
      <x:c r="F313" s="7" t="str">
        <x:f>'Calibration Records'!M68</x:f>
        <x:v>OPEN</x:v>
      </x:c>
    </x:row>
    <x:row r="314">
      <x:c r="B314" s="7" t="str">
        <x:v>AG-00308</x:v>
      </x:c>
      <x:c r="C314" s="7" t="str">
        <x:v>PEA-A-X1</x:v>
      </x:c>
      <x:c r="D314" s="7" t="str">
        <x:v>factory calibration</x:v>
      </x:c>
      <x:c r="E314" s="7" t="str">
        <x:v>CAL-CH-PEA-A-X1-11-3</x:v>
      </x:c>
      <x:c r="F314" s="7" t="str">
        <x:f>'Calibration Records'!M69</x:f>
        <x:v>OPEN</x:v>
      </x:c>
    </x:row>
    <x:row r="315">
      <x:c r="B315" s="7" t="str">
        <x:v>AG-00309</x:v>
      </x:c>
      <x:c r="C315" s="7" t="str">
        <x:v>PEA-A-X1</x:v>
      </x:c>
      <x:c r="D315" s="7" t="str">
        <x:v>factory calibration</x:v>
      </x:c>
      <x:c r="E315" s="7" t="str">
        <x:v>CAL-CH-PEA-A-X1-11-4</x:v>
      </x:c>
      <x:c r="F315" s="7" t="str">
        <x:f>'Calibration Records'!M70</x:f>
        <x:v>OPEN</x:v>
      </x:c>
    </x:row>
    <x:row r="316">
      <x:c r="B316" s="7" t="str">
        <x:v>AG-00310</x:v>
      </x:c>
      <x:c r="C316" s="7" t="str">
        <x:v>PEA-A-X1</x:v>
      </x:c>
      <x:c r="D316" s="7" t="str">
        <x:v>factory calibration</x:v>
      </x:c>
      <x:c r="E316" s="7" t="str">
        <x:v>CAL-CH-PEA-A-X1-11-5</x:v>
      </x:c>
      <x:c r="F316" s="7" t="str">
        <x:f>'Calibration Records'!M71</x:f>
        <x:v>OPEN</x:v>
      </x:c>
    </x:row>
    <x:row r="317">
      <x:c r="B317" s="7" t="str">
        <x:v>AG-00311</x:v>
      </x:c>
      <x:c r="C317" s="7" t="str">
        <x:v>PEA-A-X1</x:v>
      </x:c>
      <x:c r="D317" s="7" t="str">
        <x:v>factory calibration</x:v>
      </x:c>
      <x:c r="E317" s="7" t="str">
        <x:v>CAL-CH-PEA-A-X1-11-6</x:v>
      </x:c>
      <x:c r="F317" s="7" t="str">
        <x:f>'Calibration Records'!M72</x:f>
        <x:v>OPEN</x:v>
      </x:c>
    </x:row>
    <x:row r="318">
      <x:c r="B318" s="7" t="str">
        <x:v>AG-00312</x:v>
      </x:c>
      <x:c r="C318" s="7" t="str">
        <x:v>PEA-A-X1</x:v>
      </x:c>
      <x:c r="D318" s="7" t="str">
        <x:v>factory calibration</x:v>
      </x:c>
      <x:c r="E318" s="7" t="str">
        <x:v>CAL-CH-PEA-A-X1-12-1</x:v>
      </x:c>
      <x:c r="F318" s="7" t="str">
        <x:f>'Calibration Records'!M73</x:f>
        <x:v>OPEN</x:v>
      </x:c>
    </x:row>
    <x:row r="319">
      <x:c r="B319" s="7" t="str">
        <x:v>AG-00313</x:v>
      </x:c>
      <x:c r="C319" s="7" t="str">
        <x:v>PEA-A-X1</x:v>
      </x:c>
      <x:c r="D319" s="7" t="str">
        <x:v>factory calibration</x:v>
      </x:c>
      <x:c r="E319" s="7" t="str">
        <x:v>CAL-CH-PEA-A-X1-12-2</x:v>
      </x:c>
      <x:c r="F319" s="7" t="str">
        <x:f>'Calibration Records'!M74</x:f>
        <x:v>OPEN</x:v>
      </x:c>
    </x:row>
    <x:row r="320">
      <x:c r="B320" s="7" t="str">
        <x:v>AG-00314</x:v>
      </x:c>
      <x:c r="C320" s="7" t="str">
        <x:v>PEA-A-X1</x:v>
      </x:c>
      <x:c r="D320" s="7" t="str">
        <x:v>factory calibration</x:v>
      </x:c>
      <x:c r="E320" s="7" t="str">
        <x:v>CAL-CH-PEA-A-X1-12-3</x:v>
      </x:c>
      <x:c r="F320" s="7" t="str">
        <x:f>'Calibration Records'!M75</x:f>
        <x:v>OPEN</x:v>
      </x:c>
    </x:row>
    <x:row r="321">
      <x:c r="B321" s="7" t="str">
        <x:v>AG-00315</x:v>
      </x:c>
      <x:c r="C321" s="7" t="str">
        <x:v>PEA-A-X1</x:v>
      </x:c>
      <x:c r="D321" s="7" t="str">
        <x:v>factory calibration</x:v>
      </x:c>
      <x:c r="E321" s="7" t="str">
        <x:v>CAL-CH-PEA-A-X1-12-4</x:v>
      </x:c>
      <x:c r="F321" s="7" t="str">
        <x:f>'Calibration Records'!M76</x:f>
        <x:v>OPEN</x:v>
      </x:c>
    </x:row>
    <x:row r="322">
      <x:c r="B322" s="7" t="str">
        <x:v>AG-00316</x:v>
      </x:c>
      <x:c r="C322" s="7" t="str">
        <x:v>PEA-A-X1</x:v>
      </x:c>
      <x:c r="D322" s="7" t="str">
        <x:v>factory calibration</x:v>
      </x:c>
      <x:c r="E322" s="7" t="str">
        <x:v>CAL-CH-PEA-A-X1-12-5</x:v>
      </x:c>
      <x:c r="F322" s="7" t="str">
        <x:f>'Calibration Records'!M77</x:f>
        <x:v>OPEN</x:v>
      </x:c>
    </x:row>
    <x:row r="323">
      <x:c r="B323" s="7" t="str">
        <x:v>AG-00317</x:v>
      </x:c>
      <x:c r="C323" s="7" t="str">
        <x:v>PEA-A-X1</x:v>
      </x:c>
      <x:c r="D323" s="7" t="str">
        <x:v>factory calibration</x:v>
      </x:c>
      <x:c r="E323" s="7" t="str">
        <x:v>CAL-CH-PEA-A-X1-12-6</x:v>
      </x:c>
      <x:c r="F323" s="7" t="str">
        <x:f>'Calibration Records'!M78</x:f>
        <x:v>OPEN</x:v>
      </x:c>
    </x:row>
    <x:row r="324">
      <x:c r="B324" s="7" t="str">
        <x:v>AG-00318</x:v>
      </x:c>
      <x:c r="C324" s="7" t="str">
        <x:v>PEA-A-X1</x:v>
      </x:c>
      <x:c r="D324" s="7" t="str">
        <x:v>factory calibration</x:v>
      </x:c>
      <x:c r="E324" s="7" t="str">
        <x:v>CAL-CH-PEA-A-X1-13-1</x:v>
      </x:c>
      <x:c r="F324" s="7" t="str">
        <x:f>'Calibration Records'!M79</x:f>
        <x:v>OPEN</x:v>
      </x:c>
    </x:row>
    <x:row r="325">
      <x:c r="B325" s="7" t="str">
        <x:v>AG-00319</x:v>
      </x:c>
      <x:c r="C325" s="7" t="str">
        <x:v>PEA-A-X1</x:v>
      </x:c>
      <x:c r="D325" s="7" t="str">
        <x:v>factory calibration</x:v>
      </x:c>
      <x:c r="E325" s="7" t="str">
        <x:v>CAL-CH-PEA-A-X1-13-2</x:v>
      </x:c>
      <x:c r="F325" s="7" t="str">
        <x:f>'Calibration Records'!M80</x:f>
        <x:v>OPEN</x:v>
      </x:c>
    </x:row>
    <x:row r="326">
      <x:c r="B326" s="7" t="str">
        <x:v>AG-00320</x:v>
      </x:c>
      <x:c r="C326" s="7" t="str">
        <x:v>PEA-A-X1</x:v>
      </x:c>
      <x:c r="D326" s="7" t="str">
        <x:v>factory calibration</x:v>
      </x:c>
      <x:c r="E326" s="7" t="str">
        <x:v>CAL-CH-PEA-A-X1-13-3</x:v>
      </x:c>
      <x:c r="F326" s="7" t="str">
        <x:f>'Calibration Records'!M81</x:f>
        <x:v>OPEN</x:v>
      </x:c>
    </x:row>
    <x:row r="327">
      <x:c r="B327" s="7" t="str">
        <x:v>AG-00321</x:v>
      </x:c>
      <x:c r="C327" s="7" t="str">
        <x:v>PEA-A-X1</x:v>
      </x:c>
      <x:c r="D327" s="7" t="str">
        <x:v>factory calibration</x:v>
      </x:c>
      <x:c r="E327" s="7" t="str">
        <x:v>CAL-CH-PEA-A-X1-13-4</x:v>
      </x:c>
      <x:c r="F327" s="7" t="str">
        <x:f>'Calibration Records'!M82</x:f>
        <x:v>OPEN</x:v>
      </x:c>
    </x:row>
    <x:row r="328">
      <x:c r="B328" s="7" t="str">
        <x:v>AG-00322</x:v>
      </x:c>
      <x:c r="C328" s="7" t="str">
        <x:v>PEA-A-X1</x:v>
      </x:c>
      <x:c r="D328" s="7" t="str">
        <x:v>factory calibration</x:v>
      </x:c>
      <x:c r="E328" s="7" t="str">
        <x:v>CAL-CH-PEA-A-X1-13-5</x:v>
      </x:c>
      <x:c r="F328" s="7" t="str">
        <x:f>'Calibration Records'!M83</x:f>
        <x:v>OPEN</x:v>
      </x:c>
    </x:row>
    <x:row r="329">
      <x:c r="B329" s="7" t="str">
        <x:v>AG-00323</x:v>
      </x:c>
      <x:c r="C329" s="7" t="str">
        <x:v>PEA-A-X1</x:v>
      </x:c>
      <x:c r="D329" s="7" t="str">
        <x:v>factory calibration</x:v>
      </x:c>
      <x:c r="E329" s="7" t="str">
        <x:v>CAL-CH-PEA-A-X1-13-6</x:v>
      </x:c>
      <x:c r="F329" s="7" t="str">
        <x:f>'Calibration Records'!M84</x:f>
        <x:v>OPEN</x:v>
      </x:c>
    </x:row>
    <x:row r="330">
      <x:c r="B330" s="7" t="str">
        <x:v>AG-00324</x:v>
      </x:c>
      <x:c r="C330" s="7" t="str">
        <x:v>PEA-A-X1</x:v>
      </x:c>
      <x:c r="D330" s="7" t="str">
        <x:v>factory calibration</x:v>
      </x:c>
      <x:c r="E330" s="7" t="str">
        <x:v>CAL-CH-PEA-A-X1-14-1</x:v>
      </x:c>
      <x:c r="F330" s="7" t="str">
        <x:f>'Calibration Records'!M85</x:f>
        <x:v>OPEN</x:v>
      </x:c>
    </x:row>
    <x:row r="331">
      <x:c r="B331" s="7" t="str">
        <x:v>AG-00325</x:v>
      </x:c>
      <x:c r="C331" s="7" t="str">
        <x:v>PEA-A-X1</x:v>
      </x:c>
      <x:c r="D331" s="7" t="str">
        <x:v>factory calibration</x:v>
      </x:c>
      <x:c r="E331" s="7" t="str">
        <x:v>CAL-CH-PEA-A-X1-14-2</x:v>
      </x:c>
      <x:c r="F331" s="7" t="str">
        <x:f>'Calibration Records'!M86</x:f>
        <x:v>OPEN</x:v>
      </x:c>
    </x:row>
    <x:row r="332">
      <x:c r="B332" s="7" t="str">
        <x:v>AG-00326</x:v>
      </x:c>
      <x:c r="C332" s="7" t="str">
        <x:v>PEA-A-X1</x:v>
      </x:c>
      <x:c r="D332" s="7" t="str">
        <x:v>factory calibration</x:v>
      </x:c>
      <x:c r="E332" s="7" t="str">
        <x:v>CAL-CH-PEA-A-X1-14-3</x:v>
      </x:c>
      <x:c r="F332" s="7" t="str">
        <x:f>'Calibration Records'!M87</x:f>
        <x:v>OPEN</x:v>
      </x:c>
    </x:row>
    <x:row r="333">
      <x:c r="B333" s="7" t="str">
        <x:v>AG-00327</x:v>
      </x:c>
      <x:c r="C333" s="7" t="str">
        <x:v>PEA-A-X1</x:v>
      </x:c>
      <x:c r="D333" s="7" t="str">
        <x:v>factory calibration</x:v>
      </x:c>
      <x:c r="E333" s="7" t="str">
        <x:v>CAL-CH-PEA-A-X1-14-4</x:v>
      </x:c>
      <x:c r="F333" s="7" t="str">
        <x:f>'Calibration Records'!M88</x:f>
        <x:v>OPEN</x:v>
      </x:c>
    </x:row>
    <x:row r="334">
      <x:c r="B334" s="7" t="str">
        <x:v>AG-00328</x:v>
      </x:c>
      <x:c r="C334" s="7" t="str">
        <x:v>PEA-A-X1</x:v>
      </x:c>
      <x:c r="D334" s="7" t="str">
        <x:v>factory calibration</x:v>
      </x:c>
      <x:c r="E334" s="7" t="str">
        <x:v>CAL-CH-PEA-A-X1-14-5</x:v>
      </x:c>
      <x:c r="F334" s="7" t="str">
        <x:f>'Calibration Records'!M89</x:f>
        <x:v>OPEN</x:v>
      </x:c>
    </x:row>
    <x:row r="335">
      <x:c r="B335" s="7" t="str">
        <x:v>AG-00329</x:v>
      </x:c>
      <x:c r="C335" s="7" t="str">
        <x:v>PEA-A-X1</x:v>
      </x:c>
      <x:c r="D335" s="7" t="str">
        <x:v>factory calibration</x:v>
      </x:c>
      <x:c r="E335" s="7" t="str">
        <x:v>CAL-CH-PEA-A-X1-14-6</x:v>
      </x:c>
      <x:c r="F335" s="7" t="str">
        <x:f>'Calibration Records'!M90</x:f>
        <x:v>OPEN</x:v>
      </x:c>
    </x:row>
    <x:row r="336">
      <x:c r="B336" s="7" t="str">
        <x:v>AG-00330</x:v>
      </x:c>
      <x:c r="C336" s="7" t="str">
        <x:v>PEA-A-X1</x:v>
      </x:c>
      <x:c r="D336" s="7" t="str">
        <x:v>factory calibration</x:v>
      </x:c>
      <x:c r="E336" s="7" t="str">
        <x:v>CAL-CH-PEA-A-X1-15-1</x:v>
      </x:c>
      <x:c r="F336" s="7" t="str">
        <x:f>'Calibration Records'!M91</x:f>
        <x:v>OPEN</x:v>
      </x:c>
    </x:row>
    <x:row r="337">
      <x:c r="B337" s="7" t="str">
        <x:v>AG-00331</x:v>
      </x:c>
      <x:c r="C337" s="7" t="str">
        <x:v>PEA-A-X1</x:v>
      </x:c>
      <x:c r="D337" s="7" t="str">
        <x:v>factory calibration</x:v>
      </x:c>
      <x:c r="E337" s="7" t="str">
        <x:v>CAL-CH-PEA-A-X1-15-2</x:v>
      </x:c>
      <x:c r="F337" s="7" t="str">
        <x:f>'Calibration Records'!M92</x:f>
        <x:v>OPEN</x:v>
      </x:c>
    </x:row>
    <x:row r="338">
      <x:c r="B338" s="7" t="str">
        <x:v>AG-00332</x:v>
      </x:c>
      <x:c r="C338" s="7" t="str">
        <x:v>PEA-A-X1</x:v>
      </x:c>
      <x:c r="D338" s="7" t="str">
        <x:v>factory calibration</x:v>
      </x:c>
      <x:c r="E338" s="7" t="str">
        <x:v>CAL-CH-PEA-A-X1-15-3</x:v>
      </x:c>
      <x:c r="F338" s="7" t="str">
        <x:f>'Calibration Records'!M93</x:f>
        <x:v>OPEN</x:v>
      </x:c>
    </x:row>
    <x:row r="339">
      <x:c r="B339" s="7" t="str">
        <x:v>AG-00333</x:v>
      </x:c>
      <x:c r="C339" s="7" t="str">
        <x:v>PEA-A-X1</x:v>
      </x:c>
      <x:c r="D339" s="7" t="str">
        <x:v>factory calibration</x:v>
      </x:c>
      <x:c r="E339" s="7" t="str">
        <x:v>CAL-CH-PEA-A-X1-15-4</x:v>
      </x:c>
      <x:c r="F339" s="7" t="str">
        <x:f>'Calibration Records'!M94</x:f>
        <x:v>OPEN</x:v>
      </x:c>
    </x:row>
    <x:row r="340">
      <x:c r="B340" s="7" t="str">
        <x:v>AG-00334</x:v>
      </x:c>
      <x:c r="C340" s="7" t="str">
        <x:v>PEA-A-X1</x:v>
      </x:c>
      <x:c r="D340" s="7" t="str">
        <x:v>factory calibration</x:v>
      </x:c>
      <x:c r="E340" s="7" t="str">
        <x:v>CAL-CH-PEA-A-X1-15-5</x:v>
      </x:c>
      <x:c r="F340" s="7" t="str">
        <x:f>'Calibration Records'!M95</x:f>
        <x:v>OPEN</x:v>
      </x:c>
    </x:row>
    <x:row r="341">
      <x:c r="B341" s="7" t="str">
        <x:v>AG-00335</x:v>
      </x:c>
      <x:c r="C341" s="7" t="str">
        <x:v>PEA-A-X1</x:v>
      </x:c>
      <x:c r="D341" s="7" t="str">
        <x:v>factory calibration</x:v>
      </x:c>
      <x:c r="E341" s="7" t="str">
        <x:v>CAL-CH-PEA-A-X1-15-6</x:v>
      </x:c>
      <x:c r="F341" s="7" t="str">
        <x:f>'Calibration Records'!M96</x:f>
        <x:v>OPEN</x:v>
      </x:c>
    </x:row>
    <x:row r="342">
      <x:c r="B342" s="7" t="str">
        <x:v>AG-00336</x:v>
      </x:c>
      <x:c r="C342" s="7" t="str">
        <x:v>PEA-A-X1</x:v>
      </x:c>
      <x:c r="D342" s="7" t="str">
        <x:v>factory calibration</x:v>
      </x:c>
      <x:c r="E342" s="7" t="str">
        <x:v>CAL-CH-PEA-A-X1-16-1</x:v>
      </x:c>
      <x:c r="F342" s="7" t="str">
        <x:f>'Calibration Records'!M97</x:f>
        <x:v>OPEN</x:v>
      </x:c>
    </x:row>
    <x:row r="343">
      <x:c r="B343" s="7" t="str">
        <x:v>AG-00337</x:v>
      </x:c>
      <x:c r="C343" s="7" t="str">
        <x:v>PEA-A-X1</x:v>
      </x:c>
      <x:c r="D343" s="7" t="str">
        <x:v>factory calibration</x:v>
      </x:c>
      <x:c r="E343" s="7" t="str">
        <x:v>CAL-CH-PEA-A-X1-16-2</x:v>
      </x:c>
      <x:c r="F343" s="7" t="str">
        <x:f>'Calibration Records'!M98</x:f>
        <x:v>OPEN</x:v>
      </x:c>
    </x:row>
    <x:row r="344">
      <x:c r="B344" s="7" t="str">
        <x:v>AG-00338</x:v>
      </x:c>
      <x:c r="C344" s="7" t="str">
        <x:v>PEA-A-X1</x:v>
      </x:c>
      <x:c r="D344" s="7" t="str">
        <x:v>factory calibration</x:v>
      </x:c>
      <x:c r="E344" s="7" t="str">
        <x:v>CAL-CH-PEA-A-X1-16-3</x:v>
      </x:c>
      <x:c r="F344" s="7" t="str">
        <x:f>'Calibration Records'!M99</x:f>
        <x:v>OPEN</x:v>
      </x:c>
    </x:row>
    <x:row r="345">
      <x:c r="B345" s="7" t="str">
        <x:v>AG-00339</x:v>
      </x:c>
      <x:c r="C345" s="7" t="str">
        <x:v>PEA-A-X1</x:v>
      </x:c>
      <x:c r="D345" s="7" t="str">
        <x:v>factory calibration</x:v>
      </x:c>
      <x:c r="E345" s="7" t="str">
        <x:v>CAL-CH-PEA-A-X1-16-4</x:v>
      </x:c>
      <x:c r="F345" s="7" t="str">
        <x:f>'Calibration Records'!M100</x:f>
        <x:v>OPEN</x:v>
      </x:c>
    </x:row>
    <x:row r="346">
      <x:c r="B346" s="7" t="str">
        <x:v>AG-00340</x:v>
      </x:c>
      <x:c r="C346" s="7" t="str">
        <x:v>PEA-A-X1</x:v>
      </x:c>
      <x:c r="D346" s="7" t="str">
        <x:v>factory calibration</x:v>
      </x:c>
      <x:c r="E346" s="7" t="str">
        <x:v>CAL-CH-PEA-A-X1-16-5</x:v>
      </x:c>
      <x:c r="F346" s="7" t="str">
        <x:f>'Calibration Records'!M101</x:f>
        <x:v>OPEN</x:v>
      </x:c>
    </x:row>
    <x:row r="347">
      <x:c r="B347" s="7" t="str">
        <x:v>AG-00341</x:v>
      </x:c>
      <x:c r="C347" s="7" t="str">
        <x:v>PEA-A-X1</x:v>
      </x:c>
      <x:c r="D347" s="7" t="str">
        <x:v>factory calibration</x:v>
      </x:c>
      <x:c r="E347" s="7" t="str">
        <x:v>CAL-CH-PEA-A-X1-16-6</x:v>
      </x:c>
      <x:c r="F347" s="7" t="str">
        <x:f>'Calibration Records'!M102</x:f>
        <x:v>OPEN</x:v>
      </x:c>
    </x:row>
    <x:row r="348">
      <x:c r="B348" s="7" t="str">
        <x:v>AG-00342</x:v>
      </x:c>
      <x:c r="C348" s="7" t="str">
        <x:v>PEA-A-X1</x:v>
      </x:c>
      <x:c r="D348" s="7" t="str">
        <x:v>factory calibration</x:v>
      </x:c>
      <x:c r="E348" s="7" t="str">
        <x:v>CAL-CH-PEA-A-X1-17-1</x:v>
      </x:c>
      <x:c r="F348" s="7" t="str">
        <x:f>'Calibration Records'!M103</x:f>
        <x:v>OPEN</x:v>
      </x:c>
    </x:row>
    <x:row r="349">
      <x:c r="B349" s="7" t="str">
        <x:v>AG-00343</x:v>
      </x:c>
      <x:c r="C349" s="7" t="str">
        <x:v>PEA-A-X1</x:v>
      </x:c>
      <x:c r="D349" s="7" t="str">
        <x:v>factory calibration</x:v>
      </x:c>
      <x:c r="E349" s="7" t="str">
        <x:v>CAL-CH-PEA-A-X1-17-2</x:v>
      </x:c>
      <x:c r="F349" s="7" t="str">
        <x:f>'Calibration Records'!M104</x:f>
        <x:v>OPEN</x:v>
      </x:c>
    </x:row>
    <x:row r="350">
      <x:c r="B350" s="7" t="str">
        <x:v>AG-00344</x:v>
      </x:c>
      <x:c r="C350" s="7" t="str">
        <x:v>PEA-A-X1</x:v>
      </x:c>
      <x:c r="D350" s="7" t="str">
        <x:v>factory calibration</x:v>
      </x:c>
      <x:c r="E350" s="7" t="str">
        <x:v>CAL-CH-PEA-A-X1-17-3</x:v>
      </x:c>
      <x:c r="F350" s="7" t="str">
        <x:f>'Calibration Records'!M105</x:f>
        <x:v>OPEN</x:v>
      </x:c>
    </x:row>
    <x:row r="351">
      <x:c r="B351" s="7" t="str">
        <x:v>AG-00345</x:v>
      </x:c>
      <x:c r="C351" s="7" t="str">
        <x:v>PEA-A-X1</x:v>
      </x:c>
      <x:c r="D351" s="7" t="str">
        <x:v>factory calibration</x:v>
      </x:c>
      <x:c r="E351" s="7" t="str">
        <x:v>CAL-CH-PEA-A-X1-17-4</x:v>
      </x:c>
      <x:c r="F351" s="7" t="str">
        <x:f>'Calibration Records'!M106</x:f>
        <x:v>OPEN</x:v>
      </x:c>
    </x:row>
    <x:row r="352">
      <x:c r="B352" s="7" t="str">
        <x:v>AG-00346</x:v>
      </x:c>
      <x:c r="C352" s="7" t="str">
        <x:v>PEA-A-X1</x:v>
      </x:c>
      <x:c r="D352" s="7" t="str">
        <x:v>factory calibration</x:v>
      </x:c>
      <x:c r="E352" s="7" t="str">
        <x:v>CAL-CH-PEA-A-X1-17-5</x:v>
      </x:c>
      <x:c r="F352" s="7" t="str">
        <x:f>'Calibration Records'!M107</x:f>
        <x:v>OPEN</x:v>
      </x:c>
    </x:row>
    <x:row r="353">
      <x:c r="B353" s="7" t="str">
        <x:v>AG-00347</x:v>
      </x:c>
      <x:c r="C353" s="7" t="str">
        <x:v>PEA-A-X1</x:v>
      </x:c>
      <x:c r="D353" s="7" t="str">
        <x:v>factory calibration</x:v>
      </x:c>
      <x:c r="E353" s="7" t="str">
        <x:v>CAL-CH-PEA-A-X1-17-6</x:v>
      </x:c>
      <x:c r="F353" s="7" t="str">
        <x:f>'Calibration Records'!M108</x:f>
        <x:v>OPEN</x:v>
      </x:c>
    </x:row>
    <x:row r="354">
      <x:c r="B354" s="7" t="str">
        <x:v>AG-00348</x:v>
      </x:c>
      <x:c r="C354" s="7" t="str">
        <x:v>PEA-A-X1</x:v>
      </x:c>
      <x:c r="D354" s="7" t="str">
        <x:v>factory calibration</x:v>
      </x:c>
      <x:c r="E354" s="7" t="str">
        <x:v>CAL-CH-PEA-A-X1-18-1</x:v>
      </x:c>
      <x:c r="F354" s="7" t="str">
        <x:f>'Calibration Records'!M109</x:f>
        <x:v>OPEN</x:v>
      </x:c>
    </x:row>
    <x:row r="355">
      <x:c r="B355" s="7" t="str">
        <x:v>AG-00349</x:v>
      </x:c>
      <x:c r="C355" s="7" t="str">
        <x:v>PEA-A-X1</x:v>
      </x:c>
      <x:c r="D355" s="7" t="str">
        <x:v>factory calibration</x:v>
      </x:c>
      <x:c r="E355" s="7" t="str">
        <x:v>CAL-CH-PEA-A-X1-18-2</x:v>
      </x:c>
      <x:c r="F355" s="7" t="str">
        <x:f>'Calibration Records'!M110</x:f>
        <x:v>OPEN</x:v>
      </x:c>
    </x:row>
    <x:row r="356">
      <x:c r="B356" s="7" t="str">
        <x:v>AG-00350</x:v>
      </x:c>
      <x:c r="C356" s="7" t="str">
        <x:v>PEA-A-X1</x:v>
      </x:c>
      <x:c r="D356" s="7" t="str">
        <x:v>factory calibration</x:v>
      </x:c>
      <x:c r="E356" s="7" t="str">
        <x:v>CAL-CH-PEA-A-X1-18-3</x:v>
      </x:c>
      <x:c r="F356" s="7" t="str">
        <x:f>'Calibration Records'!M111</x:f>
        <x:v>OPEN</x:v>
      </x:c>
    </x:row>
    <x:row r="357">
      <x:c r="B357" s="7" t="str">
        <x:v>AG-00351</x:v>
      </x:c>
      <x:c r="C357" s="7" t="str">
        <x:v>PEA-A-X1</x:v>
      </x:c>
      <x:c r="D357" s="7" t="str">
        <x:v>factory calibration</x:v>
      </x:c>
      <x:c r="E357" s="7" t="str">
        <x:v>CAL-CH-PEA-A-X1-18-4</x:v>
      </x:c>
      <x:c r="F357" s="7" t="str">
        <x:f>'Calibration Records'!M112</x:f>
        <x:v>OPEN</x:v>
      </x:c>
    </x:row>
    <x:row r="358">
      <x:c r="B358" s="7" t="str">
        <x:v>AG-00352</x:v>
      </x:c>
      <x:c r="C358" s="7" t="str">
        <x:v>PEA-A-X1</x:v>
      </x:c>
      <x:c r="D358" s="7" t="str">
        <x:v>factory calibration</x:v>
      </x:c>
      <x:c r="E358" s="7" t="str">
        <x:v>CAL-CH-PEA-A-X1-18-5</x:v>
      </x:c>
      <x:c r="F358" s="7" t="str">
        <x:f>'Calibration Records'!M113</x:f>
        <x:v>OPEN</x:v>
      </x:c>
    </x:row>
    <x:row r="359">
      <x:c r="B359" s="7" t="str">
        <x:v>AG-00353</x:v>
      </x:c>
      <x:c r="C359" s="7" t="str">
        <x:v>PEA-A-X1</x:v>
      </x:c>
      <x:c r="D359" s="7" t="str">
        <x:v>factory calibration</x:v>
      </x:c>
      <x:c r="E359" s="7" t="str">
        <x:v>CAL-CH-PEA-A-X1-18-6</x:v>
      </x:c>
      <x:c r="F359" s="7" t="str">
        <x:f>'Calibration Records'!M114</x:f>
        <x:v>OPEN</x:v>
      </x:c>
    </x:row>
    <x:row r="360">
      <x:c r="B360" s="7" t="str">
        <x:v>AG-00354</x:v>
      </x:c>
      <x:c r="C360" s="7" t="str">
        <x:v>PEA-A-X1</x:v>
      </x:c>
      <x:c r="D360" s="7" t="str">
        <x:v>factory calibration</x:v>
      </x:c>
      <x:c r="E360" s="7" t="str">
        <x:v>CAL-CH-PEA-A-X1-19-1</x:v>
      </x:c>
      <x:c r="F360" s="7" t="str">
        <x:f>'Calibration Records'!M115</x:f>
        <x:v>OPEN</x:v>
      </x:c>
    </x:row>
    <x:row r="361">
      <x:c r="B361" s="7" t="str">
        <x:v>AG-00355</x:v>
      </x:c>
      <x:c r="C361" s="7" t="str">
        <x:v>PEA-A-X1</x:v>
      </x:c>
      <x:c r="D361" s="7" t="str">
        <x:v>factory calibration</x:v>
      </x:c>
      <x:c r="E361" s="7" t="str">
        <x:v>CAL-CH-PEA-A-X1-19-2</x:v>
      </x:c>
      <x:c r="F361" s="7" t="str">
        <x:f>'Calibration Records'!M116</x:f>
        <x:v>OPEN</x:v>
      </x:c>
    </x:row>
    <x:row r="362">
      <x:c r="B362" s="7" t="str">
        <x:v>AG-00356</x:v>
      </x:c>
      <x:c r="C362" s="7" t="str">
        <x:v>PEA-A-X1</x:v>
      </x:c>
      <x:c r="D362" s="7" t="str">
        <x:v>factory calibration</x:v>
      </x:c>
      <x:c r="E362" s="7" t="str">
        <x:v>CAL-CH-PEA-A-X1-19-3</x:v>
      </x:c>
      <x:c r="F362" s="7" t="str">
        <x:f>'Calibration Records'!M117</x:f>
        <x:v>OPEN</x:v>
      </x:c>
    </x:row>
    <x:row r="363">
      <x:c r="B363" s="7" t="str">
        <x:v>AG-00357</x:v>
      </x:c>
      <x:c r="C363" s="7" t="str">
        <x:v>PEA-A-X1</x:v>
      </x:c>
      <x:c r="D363" s="7" t="str">
        <x:v>factory calibration</x:v>
      </x:c>
      <x:c r="E363" s="7" t="str">
        <x:v>CAL-CH-PEA-A-X1-19-4</x:v>
      </x:c>
      <x:c r="F363" s="7" t="str">
        <x:f>'Calibration Records'!M118</x:f>
        <x:v>OPEN</x:v>
      </x:c>
    </x:row>
    <x:row r="364">
      <x:c r="B364" s="7" t="str">
        <x:v>AG-00358</x:v>
      </x:c>
      <x:c r="C364" s="7" t="str">
        <x:v>PEA-A-X1</x:v>
      </x:c>
      <x:c r="D364" s="7" t="str">
        <x:v>factory calibration</x:v>
      </x:c>
      <x:c r="E364" s="7" t="str">
        <x:v>CAL-CH-PEA-A-X1-19-5</x:v>
      </x:c>
      <x:c r="F364" s="7" t="str">
        <x:f>'Calibration Records'!M119</x:f>
        <x:v>OPEN</x:v>
      </x:c>
    </x:row>
    <x:row r="365">
      <x:c r="B365" s="7" t="str">
        <x:v>AG-00359</x:v>
      </x:c>
      <x:c r="C365" s="7" t="str">
        <x:v>PEA-A-X1</x:v>
      </x:c>
      <x:c r="D365" s="7" t="str">
        <x:v>factory calibration</x:v>
      </x:c>
      <x:c r="E365" s="7" t="str">
        <x:v>CAL-CH-PEA-A-X1-19-6</x:v>
      </x:c>
      <x:c r="F365" s="7" t="str">
        <x:f>'Calibration Records'!M120</x:f>
        <x:v>OPEN</x:v>
      </x:c>
    </x:row>
    <x:row r="366">
      <x:c r="B366" s="7" t="str">
        <x:v>AG-00360</x:v>
      </x:c>
      <x:c r="C366" s="7" t="str">
        <x:v>PEA-A-X1</x:v>
      </x:c>
      <x:c r="D366" s="7" t="str">
        <x:v>factory calibration</x:v>
      </x:c>
      <x:c r="E366" s="7" t="str">
        <x:v>CAL-CH-PEA-A-X1-20-1</x:v>
      </x:c>
      <x:c r="F366" s="7" t="str">
        <x:f>'Calibration Records'!M121</x:f>
        <x:v>OPEN</x:v>
      </x:c>
    </x:row>
    <x:row r="367">
      <x:c r="B367" s="7" t="str">
        <x:v>AG-00361</x:v>
      </x:c>
      <x:c r="C367" s="7" t="str">
        <x:v>PEA-A-X1</x:v>
      </x:c>
      <x:c r="D367" s="7" t="str">
        <x:v>factory calibration</x:v>
      </x:c>
      <x:c r="E367" s="7" t="str">
        <x:v>CAL-CH-PEA-A-X1-20-2</x:v>
      </x:c>
      <x:c r="F367" s="7" t="str">
        <x:f>'Calibration Records'!M122</x:f>
        <x:v>OPEN</x:v>
      </x:c>
    </x:row>
    <x:row r="368">
      <x:c r="B368" s="7" t="str">
        <x:v>AG-00362</x:v>
      </x:c>
      <x:c r="C368" s="7" t="str">
        <x:v>PEA-A-X1</x:v>
      </x:c>
      <x:c r="D368" s="7" t="str">
        <x:v>factory calibration</x:v>
      </x:c>
      <x:c r="E368" s="7" t="str">
        <x:v>CAL-CH-PEA-A-X1-20-3</x:v>
      </x:c>
      <x:c r="F368" s="7" t="str">
        <x:f>'Calibration Records'!M123</x:f>
        <x:v>OPEN</x:v>
      </x:c>
    </x:row>
    <x:row r="369">
      <x:c r="B369" s="7" t="str">
        <x:v>AG-00363</x:v>
      </x:c>
      <x:c r="C369" s="7" t="str">
        <x:v>PEA-A-X1</x:v>
      </x:c>
      <x:c r="D369" s="7" t="str">
        <x:v>factory calibration</x:v>
      </x:c>
      <x:c r="E369" s="7" t="str">
        <x:v>CAL-CH-PEA-A-X1-20-4</x:v>
      </x:c>
      <x:c r="F369" s="7" t="str">
        <x:f>'Calibration Records'!M124</x:f>
        <x:v>OPEN</x:v>
      </x:c>
    </x:row>
    <x:row r="370">
      <x:c r="B370" s="7" t="str">
        <x:v>AG-00364</x:v>
      </x:c>
      <x:c r="C370" s="7" t="str">
        <x:v>PEA-A-X1</x:v>
      </x:c>
      <x:c r="D370" s="7" t="str">
        <x:v>factory calibration</x:v>
      </x:c>
      <x:c r="E370" s="7" t="str">
        <x:v>CAL-CH-PEA-A-X1-20-5</x:v>
      </x:c>
      <x:c r="F370" s="7" t="str">
        <x:f>'Calibration Records'!M125</x:f>
        <x:v>OPEN</x:v>
      </x:c>
    </x:row>
    <x:row r="371">
      <x:c r="B371" s="7" t="str">
        <x:v>AG-00365</x:v>
      </x:c>
      <x:c r="C371" s="7" t="str">
        <x:v>PEA-A-X1</x:v>
      </x:c>
      <x:c r="D371" s="7" t="str">
        <x:v>factory calibration</x:v>
      </x:c>
      <x:c r="E371" s="7" t="str">
        <x:v>CAL-CH-PEA-A-X1-20-6</x:v>
      </x:c>
      <x:c r="F371" s="7" t="str">
        <x:f>'Calibration Records'!M126</x:f>
        <x:v>OPEN</x:v>
      </x:c>
    </x:row>
    <x:row r="372">
      <x:c r="B372" s="7" t="str">
        <x:v>AG-00366</x:v>
      </x:c>
      <x:c r="C372" s="7" t="str">
        <x:v>PEA-A-X1</x:v>
      </x:c>
      <x:c r="D372" s="7" t="str">
        <x:v>factory calibration</x:v>
      </x:c>
      <x:c r="E372" s="7" t="str">
        <x:v>CAL-CH-PEA-A-X1-21-1</x:v>
      </x:c>
      <x:c r="F372" s="7" t="str">
        <x:f>'Calibration Records'!M127</x:f>
        <x:v>OPEN</x:v>
      </x:c>
    </x:row>
    <x:row r="373">
      <x:c r="B373" s="7" t="str">
        <x:v>AG-00367</x:v>
      </x:c>
      <x:c r="C373" s="7" t="str">
        <x:v>PEA-A-X1</x:v>
      </x:c>
      <x:c r="D373" s="7" t="str">
        <x:v>factory calibration</x:v>
      </x:c>
      <x:c r="E373" s="7" t="str">
        <x:v>CAL-CH-PEA-A-X1-21-2</x:v>
      </x:c>
      <x:c r="F373" s="7" t="str">
        <x:f>'Calibration Records'!M128</x:f>
        <x:v>OPEN</x:v>
      </x:c>
    </x:row>
    <x:row r="374">
      <x:c r="B374" s="7" t="str">
        <x:v>AG-00368</x:v>
      </x:c>
      <x:c r="C374" s="7" t="str">
        <x:v>PEA-A-X1</x:v>
      </x:c>
      <x:c r="D374" s="7" t="str">
        <x:v>factory calibration</x:v>
      </x:c>
      <x:c r="E374" s="7" t="str">
        <x:v>CAL-CH-PEA-A-X1-21-3</x:v>
      </x:c>
      <x:c r="F374" s="7" t="str">
        <x:f>'Calibration Records'!M129</x:f>
        <x:v>OPEN</x:v>
      </x:c>
    </x:row>
    <x:row r="375">
      <x:c r="B375" s="7" t="str">
        <x:v>AG-00369</x:v>
      </x:c>
      <x:c r="C375" s="7" t="str">
        <x:v>PEA-A-X1</x:v>
      </x:c>
      <x:c r="D375" s="7" t="str">
        <x:v>factory calibration</x:v>
      </x:c>
      <x:c r="E375" s="7" t="str">
        <x:v>CAL-CH-PEA-A-X1-21-4</x:v>
      </x:c>
      <x:c r="F375" s="7" t="str">
        <x:f>'Calibration Records'!M130</x:f>
        <x:v>OPEN</x:v>
      </x:c>
    </x:row>
    <x:row r="376">
      <x:c r="B376" s="7" t="str">
        <x:v>AG-00370</x:v>
      </x:c>
      <x:c r="C376" s="7" t="str">
        <x:v>PEA-A-X1</x:v>
      </x:c>
      <x:c r="D376" s="7" t="str">
        <x:v>factory calibration</x:v>
      </x:c>
      <x:c r="E376" s="7" t="str">
        <x:v>CAL-CH-PEA-A-X1-21-5</x:v>
      </x:c>
      <x:c r="F376" s="7" t="str">
        <x:f>'Calibration Records'!M131</x:f>
        <x:v>OPEN</x:v>
      </x:c>
    </x:row>
    <x:row r="377">
      <x:c r="B377" s="7" t="str">
        <x:v>AG-00371</x:v>
      </x:c>
      <x:c r="C377" s="7" t="str">
        <x:v>PEA-A-X1</x:v>
      </x:c>
      <x:c r="D377" s="7" t="str">
        <x:v>factory calibration</x:v>
      </x:c>
      <x:c r="E377" s="7" t="str">
        <x:v>CAL-CH-PEA-A-X1-21-6</x:v>
      </x:c>
      <x:c r="F377" s="7" t="str">
        <x:f>'Calibration Records'!M132</x:f>
        <x:v>OPEN</x:v>
      </x:c>
    </x:row>
    <x:row r="378">
      <x:c r="B378" s="7" t="str">
        <x:v>AG-00372</x:v>
      </x:c>
      <x:c r="C378" s="7" t="str">
        <x:v>PEA-A-X1</x:v>
      </x:c>
      <x:c r="D378" s="7" t="str">
        <x:v>factory calibration</x:v>
      </x:c>
      <x:c r="E378" s="7" t="str">
        <x:v>CAL-CH-PEA-A-X1-22-1</x:v>
      </x:c>
      <x:c r="F378" s="7" t="str">
        <x:f>'Calibration Records'!M133</x:f>
        <x:v>OPEN</x:v>
      </x:c>
    </x:row>
    <x:row r="379">
      <x:c r="B379" s="7" t="str">
        <x:v>AG-00373</x:v>
      </x:c>
      <x:c r="C379" s="7" t="str">
        <x:v>PEA-A-X1</x:v>
      </x:c>
      <x:c r="D379" s="7" t="str">
        <x:v>factory calibration</x:v>
      </x:c>
      <x:c r="E379" s="7" t="str">
        <x:v>CAL-CH-PEA-A-X1-22-2</x:v>
      </x:c>
      <x:c r="F379" s="7" t="str">
        <x:f>'Calibration Records'!M134</x:f>
        <x:v>OPEN</x:v>
      </x:c>
    </x:row>
    <x:row r="380">
      <x:c r="B380" s="7" t="str">
        <x:v>AG-00374</x:v>
      </x:c>
      <x:c r="C380" s="7" t="str">
        <x:v>PEA-A-X1</x:v>
      </x:c>
      <x:c r="D380" s="7" t="str">
        <x:v>factory calibration</x:v>
      </x:c>
      <x:c r="E380" s="7" t="str">
        <x:v>CAL-CH-PEA-A-X1-22-3</x:v>
      </x:c>
      <x:c r="F380" s="7" t="str">
        <x:f>'Calibration Records'!M135</x:f>
        <x:v>OPEN</x:v>
      </x:c>
    </x:row>
    <x:row r="381">
      <x:c r="B381" s="7" t="str">
        <x:v>AG-00375</x:v>
      </x:c>
      <x:c r="C381" s="7" t="str">
        <x:v>PEA-A-X1</x:v>
      </x:c>
      <x:c r="D381" s="7" t="str">
        <x:v>factory calibration</x:v>
      </x:c>
      <x:c r="E381" s="7" t="str">
        <x:v>CAL-CH-PEA-A-X1-22-4</x:v>
      </x:c>
      <x:c r="F381" s="7" t="str">
        <x:f>'Calibration Records'!M136</x:f>
        <x:v>OPEN</x:v>
      </x:c>
    </x:row>
    <x:row r="382">
      <x:c r="B382" s="7" t="str">
        <x:v>AG-00376</x:v>
      </x:c>
      <x:c r="C382" s="7" t="str">
        <x:v>PEA-A-X1</x:v>
      </x:c>
      <x:c r="D382" s="7" t="str">
        <x:v>factory calibration</x:v>
      </x:c>
      <x:c r="E382" s="7" t="str">
        <x:v>CAL-CH-PEA-A-X1-22-5</x:v>
      </x:c>
      <x:c r="F382" s="7" t="str">
        <x:f>'Calibration Records'!M137</x:f>
        <x:v>OPEN</x:v>
      </x:c>
    </x:row>
    <x:row r="383">
      <x:c r="B383" s="7" t="str">
        <x:v>AG-00377</x:v>
      </x:c>
      <x:c r="C383" s="7" t="str">
        <x:v>PEA-A-X1</x:v>
      </x:c>
      <x:c r="D383" s="7" t="str">
        <x:v>factory calibration</x:v>
      </x:c>
      <x:c r="E383" s="7" t="str">
        <x:v>CAL-CH-PEA-A-X1-22-6</x:v>
      </x:c>
      <x:c r="F383" s="7" t="str">
        <x:f>'Calibration Records'!M138</x:f>
        <x:v>OPEN</x:v>
      </x:c>
    </x:row>
    <x:row r="384">
      <x:c r="B384" s="7" t="str">
        <x:v>AG-00378</x:v>
      </x:c>
      <x:c r="C384" s="7" t="str">
        <x:v>PEA-A-X1</x:v>
      </x:c>
      <x:c r="D384" s="7" t="str">
        <x:v>factory calibration</x:v>
      </x:c>
      <x:c r="E384" s="7" t="str">
        <x:v>CAL-CH-PEA-A-X1-23-1</x:v>
      </x:c>
      <x:c r="F384" s="7" t="str">
        <x:f>'Calibration Records'!M139</x:f>
        <x:v>OPEN</x:v>
      </x:c>
    </x:row>
    <x:row r="385">
      <x:c r="B385" s="7" t="str">
        <x:v>AG-00379</x:v>
      </x:c>
      <x:c r="C385" s="7" t="str">
        <x:v>PEA-A-X1</x:v>
      </x:c>
      <x:c r="D385" s="7" t="str">
        <x:v>factory calibration</x:v>
      </x:c>
      <x:c r="E385" s="7" t="str">
        <x:v>CAL-CH-PEA-A-X1-23-2</x:v>
      </x:c>
      <x:c r="F385" s="7" t="str">
        <x:f>'Calibration Records'!M140</x:f>
        <x:v>OPEN</x:v>
      </x:c>
    </x:row>
    <x:row r="386">
      <x:c r="B386" s="7" t="str">
        <x:v>AG-00380</x:v>
      </x:c>
      <x:c r="C386" s="7" t="str">
        <x:v>PEA-A-X1</x:v>
      </x:c>
      <x:c r="D386" s="7" t="str">
        <x:v>factory calibration</x:v>
      </x:c>
      <x:c r="E386" s="7" t="str">
        <x:v>CAL-CH-PEA-A-X1-23-3</x:v>
      </x:c>
      <x:c r="F386" s="7" t="str">
        <x:f>'Calibration Records'!M141</x:f>
        <x:v>OPEN</x:v>
      </x:c>
    </x:row>
    <x:row r="387">
      <x:c r="B387" s="7" t="str">
        <x:v>AG-00381</x:v>
      </x:c>
      <x:c r="C387" s="7" t="str">
        <x:v>PEA-A-X1</x:v>
      </x:c>
      <x:c r="D387" s="7" t="str">
        <x:v>factory calibration</x:v>
      </x:c>
      <x:c r="E387" s="7" t="str">
        <x:v>CAL-CH-PEA-A-X1-23-4</x:v>
      </x:c>
      <x:c r="F387" s="7" t="str">
        <x:f>'Calibration Records'!M142</x:f>
        <x:v>OPEN</x:v>
      </x:c>
    </x:row>
    <x:row r="388">
      <x:c r="B388" s="7" t="str">
        <x:v>AG-00382</x:v>
      </x:c>
      <x:c r="C388" s="7" t="str">
        <x:v>PEA-A-X1</x:v>
      </x:c>
      <x:c r="D388" s="7" t="str">
        <x:v>factory calibration</x:v>
      </x:c>
      <x:c r="E388" s="7" t="str">
        <x:v>CAL-CH-PEA-A-X1-23-5</x:v>
      </x:c>
      <x:c r="F388" s="7" t="str">
        <x:f>'Calibration Records'!M143</x:f>
        <x:v>OPEN</x:v>
      </x:c>
    </x:row>
    <x:row r="389">
      <x:c r="B389" s="7" t="str">
        <x:v>AG-00383</x:v>
      </x:c>
      <x:c r="C389" s="7" t="str">
        <x:v>PEA-A-X1</x:v>
      </x:c>
      <x:c r="D389" s="7" t="str">
        <x:v>factory calibration</x:v>
      </x:c>
      <x:c r="E389" s="7" t="str">
        <x:v>CAL-CH-PEA-A-X1-23-6</x:v>
      </x:c>
      <x:c r="F389" s="7" t="str">
        <x:f>'Calibration Records'!M144</x:f>
        <x:v>OPEN</x:v>
      </x:c>
    </x:row>
    <x:row r="390">
      <x:c r="B390" s="7" t="str">
        <x:v>AG-00384</x:v>
      </x:c>
      <x:c r="C390" s="7" t="str">
        <x:v>PEA-A-X1</x:v>
      </x:c>
      <x:c r="D390" s="7" t="str">
        <x:v>factory calibration</x:v>
      </x:c>
      <x:c r="E390" s="7" t="str">
        <x:v>CAL-CH-PEA-A-X1-24-1</x:v>
      </x:c>
      <x:c r="F390" s="7" t="str">
        <x:f>'Calibration Records'!M145</x:f>
        <x:v>OPEN</x:v>
      </x:c>
    </x:row>
    <x:row r="391">
      <x:c r="B391" s="7" t="str">
        <x:v>AG-00385</x:v>
      </x:c>
      <x:c r="C391" s="7" t="str">
        <x:v>PEA-A-X1</x:v>
      </x:c>
      <x:c r="D391" s="7" t="str">
        <x:v>factory calibration</x:v>
      </x:c>
      <x:c r="E391" s="7" t="str">
        <x:v>CAL-CH-PEA-A-X1-24-2</x:v>
      </x:c>
      <x:c r="F391" s="7" t="str">
        <x:f>'Calibration Records'!M146</x:f>
        <x:v>OPEN</x:v>
      </x:c>
    </x:row>
    <x:row r="392">
      <x:c r="B392" s="7" t="str">
        <x:v>AG-00386</x:v>
      </x:c>
      <x:c r="C392" s="7" t="str">
        <x:v>PEA-A-X1</x:v>
      </x:c>
      <x:c r="D392" s="7" t="str">
        <x:v>factory calibration</x:v>
      </x:c>
      <x:c r="E392" s="7" t="str">
        <x:v>CAL-CH-PEA-A-X1-24-3</x:v>
      </x:c>
      <x:c r="F392" s="7" t="str">
        <x:f>'Calibration Records'!M147</x:f>
        <x:v>OPEN</x:v>
      </x:c>
    </x:row>
    <x:row r="393">
      <x:c r="B393" s="7" t="str">
        <x:v>AG-00387</x:v>
      </x:c>
      <x:c r="C393" s="7" t="str">
        <x:v>PEA-A-X1</x:v>
      </x:c>
      <x:c r="D393" s="7" t="str">
        <x:v>factory calibration</x:v>
      </x:c>
      <x:c r="E393" s="7" t="str">
        <x:v>CAL-CH-PEA-A-X1-24-4</x:v>
      </x:c>
      <x:c r="F393" s="7" t="str">
        <x:f>'Calibration Records'!M148</x:f>
        <x:v>OPEN</x:v>
      </x:c>
    </x:row>
    <x:row r="394">
      <x:c r="B394" s="7" t="str">
        <x:v>AG-00388</x:v>
      </x:c>
      <x:c r="C394" s="7" t="str">
        <x:v>PEA-A-X1</x:v>
      </x:c>
      <x:c r="D394" s="7" t="str">
        <x:v>factory calibration</x:v>
      </x:c>
      <x:c r="E394" s="7" t="str">
        <x:v>CAL-CH-PEA-A-X1-24-5</x:v>
      </x:c>
      <x:c r="F394" s="7" t="str">
        <x:f>'Calibration Records'!M149</x:f>
        <x:v>OPEN</x:v>
      </x:c>
    </x:row>
    <x:row r="395">
      <x:c r="B395" s="7" t="str">
        <x:v>AG-00389</x:v>
      </x:c>
      <x:c r="C395" s="7" t="str">
        <x:v>PEA-A-X1</x:v>
      </x:c>
      <x:c r="D395" s="7" t="str">
        <x:v>factory calibration</x:v>
      </x:c>
      <x:c r="E395" s="7" t="str">
        <x:v>CAL-CH-PEA-A-X1-24-6</x:v>
      </x:c>
      <x:c r="F395" s="7" t="str">
        <x:f>'Calibration Records'!M150</x:f>
        <x:v>OPEN</x:v>
      </x:c>
    </x:row>
    <x:row r="396">
      <x:c r="B396" s="7" t="str">
        <x:v>AG-00390</x:v>
      </x:c>
      <x:c r="C396" s="7" t="str">
        <x:v>PEA-A-X1</x:v>
      </x:c>
      <x:c r="D396" s="7" t="str">
        <x:v>article master</x:v>
      </x:c>
      <x:c r="E396" s="7" t="str">
        <x:v>PEA-A-X1</x:v>
      </x:c>
      <x:c r="F396" s="7" t="str">
        <x:f>'Article Population'!Q7</x:f>
        <x:v>OPEN</x:v>
      </x:c>
    </x:row>
    <x:row r="397">
      <x:c r="B397" s="7" t="str">
        <x:v>AG-00391</x:v>
      </x:c>
      <x:c r="C397" s="7" t="str">
        <x:v>PEA-A-X2</x:v>
      </x:c>
      <x:c r="D397" s="7" t="str">
        <x:v>lineage capsule</x:v>
      </x:c>
      <x:c r="E397" s="7" t="str">
        <x:v>BL-X</x:v>
      </x:c>
      <x:c r="F397" s="7" t="str">
        <x:f>'Baseline Package'!F7</x:f>
        <x:v>OPEN</x:v>
      </x:c>
    </x:row>
    <x:row r="398">
      <x:c r="B398" s="7" t="str">
        <x:v>AG-00392</x:v>
      </x:c>
      <x:c r="C398" s="7" t="str">
        <x:v>PEA-A-X2</x:v>
      </x:c>
      <x:c r="D398" s="7" t="str">
        <x:v>builder qualification</x:v>
      </x:c>
      <x:c r="E398" s="7" t="str">
        <x:v>BLD-A</x:v>
      </x:c>
      <x:c r="F398" s="7" t="str">
        <x:f>Builders!K7</x:f>
        <x:v>OPEN</x:v>
      </x:c>
    </x:row>
    <x:row r="399">
      <x:c r="B399" s="7" t="str">
        <x:v>AG-00393</x:v>
      </x:c>
      <x:c r="C399" s="7" t="str">
        <x:v>PEA-A-X2</x:v>
      </x:c>
      <x:c r="D399" s="7" t="str">
        <x:v>material split</x:v>
      </x:c>
      <x:c r="E399" s="7" t="str">
        <x:v>SPLIT-PEA-A-X2</x:v>
      </x:c>
      <x:c r="F399" s="7" t="str">
        <x:f>'Material Matrix'!K8</x:f>
        <x:v>OPEN</x:v>
      </x:c>
    </x:row>
    <x:row r="400">
      <x:c r="B400" s="7" t="str">
        <x:v>AG-00394</x:v>
      </x:c>
      <x:c r="C400" s="7" t="str">
        <x:v>PEA-A-X2</x:v>
      </x:c>
      <x:c r="D400" s="7" t="str">
        <x:v>build sequence</x:v>
      </x:c>
      <x:c r="E400" s="7" t="str">
        <x:v>SEQ-PEA-A-X2</x:v>
      </x:c>
      <x:c r="F400" s="7" t="str">
        <x:f>'Build Sequence'!L8</x:f>
        <x:v>OPEN</x:v>
      </x:c>
    </x:row>
    <x:row r="401">
      <x:c r="B401" s="7" t="str">
        <x:v>AG-00395</x:v>
      </x:c>
      <x:c r="C401" s="7" t="str">
        <x:v>PEA-A-X2</x:v>
      </x:c>
      <x:c r="D401" s="7" t="str">
        <x:v>section traveler</x:v>
      </x:c>
      <x:c r="E401" s="7" t="str">
        <x:v>TRV-PEA-A-X2-01</x:v>
      </x:c>
      <x:c r="F401" s="7" t="str">
        <x:f>'Section Travelers'!L27</x:f>
        <x:v>OPEN</x:v>
      </x:c>
    </x:row>
    <x:row r="402">
      <x:c r="B402" s="7" t="str">
        <x:v>AG-00396</x:v>
      </x:c>
      <x:c r="C402" s="7" t="str">
        <x:v>PEA-A-X2</x:v>
      </x:c>
      <x:c r="D402" s="7" t="str">
        <x:v>section traveler</x:v>
      </x:c>
      <x:c r="E402" s="7" t="str">
        <x:v>TRV-PEA-A-X2-02</x:v>
      </x:c>
      <x:c r="F402" s="7" t="str">
        <x:f>'Section Travelers'!L28</x:f>
        <x:v>OPEN</x:v>
      </x:c>
    </x:row>
    <x:row r="403">
      <x:c r="B403" s="7" t="str">
        <x:v>AG-00397</x:v>
      </x:c>
      <x:c r="C403" s="7" t="str">
        <x:v>PEA-A-X2</x:v>
      </x:c>
      <x:c r="D403" s="7" t="str">
        <x:v>section traveler</x:v>
      </x:c>
      <x:c r="E403" s="7" t="str">
        <x:v>TRV-PEA-A-X2-03</x:v>
      </x:c>
      <x:c r="F403" s="7" t="str">
        <x:f>'Section Travelers'!L29</x:f>
        <x:v>OPEN</x:v>
      </x:c>
    </x:row>
    <x:row r="404">
      <x:c r="B404" s="7" t="str">
        <x:v>AG-00398</x:v>
      </x:c>
      <x:c r="C404" s="7" t="str">
        <x:v>PEA-A-X2</x:v>
      </x:c>
      <x:c r="D404" s="7" t="str">
        <x:v>section traveler</x:v>
      </x:c>
      <x:c r="E404" s="7" t="str">
        <x:v>TRV-PEA-A-X2-04</x:v>
      </x:c>
      <x:c r="F404" s="7" t="str">
        <x:f>'Section Travelers'!L30</x:f>
        <x:v>OPEN</x:v>
      </x:c>
    </x:row>
    <x:row r="405">
      <x:c r="B405" s="7" t="str">
        <x:v>AG-00399</x:v>
      </x:c>
      <x:c r="C405" s="7" t="str">
        <x:v>PEA-A-X2</x:v>
      </x:c>
      <x:c r="D405" s="7" t="str">
        <x:v>section traveler</x:v>
      </x:c>
      <x:c r="E405" s="7" t="str">
        <x:v>TRV-PEA-A-X2-05</x:v>
      </x:c>
      <x:c r="F405" s="7" t="str">
        <x:f>'Section Travelers'!L31</x:f>
        <x:v>OPEN</x:v>
      </x:c>
    </x:row>
    <x:row r="406">
      <x:c r="B406" s="7" t="str">
        <x:v>AG-00400</x:v>
      </x:c>
      <x:c r="C406" s="7" t="str">
        <x:v>PEA-A-X2</x:v>
      </x:c>
      <x:c r="D406" s="7" t="str">
        <x:v>section traveler</x:v>
      </x:c>
      <x:c r="E406" s="7" t="str">
        <x:v>TRV-PEA-A-X2-06</x:v>
      </x:c>
      <x:c r="F406" s="7" t="str">
        <x:f>'Section Travelers'!L32</x:f>
        <x:v>OPEN</x:v>
      </x:c>
    </x:row>
    <x:row r="407">
      <x:c r="B407" s="7" t="str">
        <x:v>AG-00401</x:v>
      </x:c>
      <x:c r="C407" s="7" t="str">
        <x:v>PEA-A-X2</x:v>
      </x:c>
      <x:c r="D407" s="7" t="str">
        <x:v>section traveler</x:v>
      </x:c>
      <x:c r="E407" s="7" t="str">
        <x:v>TRV-PEA-A-X2-07</x:v>
      </x:c>
      <x:c r="F407" s="7" t="str">
        <x:f>'Section Travelers'!L33</x:f>
        <x:v>OPEN</x:v>
      </x:c>
    </x:row>
    <x:row r="408">
      <x:c r="B408" s="7" t="str">
        <x:v>AG-00402</x:v>
      </x:c>
      <x:c r="C408" s="7" t="str">
        <x:v>PEA-A-X2</x:v>
      </x:c>
      <x:c r="D408" s="7" t="str">
        <x:v>section traveler</x:v>
      </x:c>
      <x:c r="E408" s="7" t="str">
        <x:v>TRV-PEA-A-X2-08</x:v>
      </x:c>
      <x:c r="F408" s="7" t="str">
        <x:f>'Section Travelers'!L34</x:f>
        <x:v>OPEN</x:v>
      </x:c>
    </x:row>
    <x:row r="409">
      <x:c r="B409" s="7" t="str">
        <x:v>AG-00403</x:v>
      </x:c>
      <x:c r="C409" s="7" t="str">
        <x:v>PEA-A-X2</x:v>
      </x:c>
      <x:c r="D409" s="7" t="str">
        <x:v>section traveler</x:v>
      </x:c>
      <x:c r="E409" s="7" t="str">
        <x:v>TRV-PEA-A-X2-09</x:v>
      </x:c>
      <x:c r="F409" s="7" t="str">
        <x:f>'Section Travelers'!L35</x:f>
        <x:v>OPEN</x:v>
      </x:c>
    </x:row>
    <x:row r="410">
      <x:c r="B410" s="7" t="str">
        <x:v>AG-00404</x:v>
      </x:c>
      <x:c r="C410" s="7" t="str">
        <x:v>PEA-A-X2</x:v>
      </x:c>
      <x:c r="D410" s="7" t="str">
        <x:v>section traveler</x:v>
      </x:c>
      <x:c r="E410" s="7" t="str">
        <x:v>TRV-PEA-A-X2-10</x:v>
      </x:c>
      <x:c r="F410" s="7" t="str">
        <x:f>'Section Travelers'!L36</x:f>
        <x:v>OPEN</x:v>
      </x:c>
    </x:row>
    <x:row r="411">
      <x:c r="B411" s="7" t="str">
        <x:v>AG-00405</x:v>
      </x:c>
      <x:c r="C411" s="7" t="str">
        <x:v>PEA-A-X2</x:v>
      </x:c>
      <x:c r="D411" s="7" t="str">
        <x:v>section traveler</x:v>
      </x:c>
      <x:c r="E411" s="7" t="str">
        <x:v>TRV-PEA-A-X2-11</x:v>
      </x:c>
      <x:c r="F411" s="7" t="str">
        <x:f>'Section Travelers'!L37</x:f>
        <x:v>OPEN</x:v>
      </x:c>
    </x:row>
    <x:row r="412">
      <x:c r="B412" s="7" t="str">
        <x:v>AG-00406</x:v>
      </x:c>
      <x:c r="C412" s="7" t="str">
        <x:v>PEA-A-X2</x:v>
      </x:c>
      <x:c r="D412" s="7" t="str">
        <x:v>section traveler</x:v>
      </x:c>
      <x:c r="E412" s="7" t="str">
        <x:v>TRV-PEA-A-X2-12</x:v>
      </x:c>
      <x:c r="F412" s="7" t="str">
        <x:f>'Section Travelers'!L38</x:f>
        <x:v>OPEN</x:v>
      </x:c>
    </x:row>
    <x:row r="413">
      <x:c r="B413" s="7" t="str">
        <x:v>AG-00407</x:v>
      </x:c>
      <x:c r="C413" s="7" t="str">
        <x:v>PEA-A-X2</x:v>
      </x:c>
      <x:c r="D413" s="7" t="str">
        <x:v>section traveler</x:v>
      </x:c>
      <x:c r="E413" s="7" t="str">
        <x:v>TRV-PEA-A-X2-13</x:v>
      </x:c>
      <x:c r="F413" s="7" t="str">
        <x:f>'Section Travelers'!L39</x:f>
        <x:v>OPEN</x:v>
      </x:c>
    </x:row>
    <x:row r="414">
      <x:c r="B414" s="7" t="str">
        <x:v>AG-00408</x:v>
      </x:c>
      <x:c r="C414" s="7" t="str">
        <x:v>PEA-A-X2</x:v>
      </x:c>
      <x:c r="D414" s="7" t="str">
        <x:v>section traveler</x:v>
      </x:c>
      <x:c r="E414" s="7" t="str">
        <x:v>TRV-PEA-A-X2-14</x:v>
      </x:c>
      <x:c r="F414" s="7" t="str">
        <x:f>'Section Travelers'!L40</x:f>
        <x:v>OPEN</x:v>
      </x:c>
    </x:row>
    <x:row r="415">
      <x:c r="B415" s="7" t="str">
        <x:v>AG-00409</x:v>
      </x:c>
      <x:c r="C415" s="7" t="str">
        <x:v>PEA-A-X2</x:v>
      </x:c>
      <x:c r="D415" s="7" t="str">
        <x:v>section traveler</x:v>
      </x:c>
      <x:c r="E415" s="7" t="str">
        <x:v>TRV-PEA-A-X2-15</x:v>
      </x:c>
      <x:c r="F415" s="7" t="str">
        <x:f>'Section Travelers'!L41</x:f>
        <x:v>OPEN</x:v>
      </x:c>
    </x:row>
    <x:row r="416">
      <x:c r="B416" s="7" t="str">
        <x:v>AG-00410</x:v>
      </x:c>
      <x:c r="C416" s="7" t="str">
        <x:v>PEA-A-X2</x:v>
      </x:c>
      <x:c r="D416" s="7" t="str">
        <x:v>section traveler</x:v>
      </x:c>
      <x:c r="E416" s="7" t="str">
        <x:v>TRV-PEA-A-X2-16</x:v>
      </x:c>
      <x:c r="F416" s="7" t="str">
        <x:f>'Section Travelers'!L42</x:f>
        <x:v>OPEN</x:v>
      </x:c>
    </x:row>
    <x:row r="417">
      <x:c r="B417" s="7" t="str">
        <x:v>AG-00411</x:v>
      </x:c>
      <x:c r="C417" s="7" t="str">
        <x:v>PEA-A-X2</x:v>
      </x:c>
      <x:c r="D417" s="7" t="str">
        <x:v>section traveler</x:v>
      </x:c>
      <x:c r="E417" s="7" t="str">
        <x:v>TRV-PEA-A-X2-17</x:v>
      </x:c>
      <x:c r="F417" s="7" t="str">
        <x:f>'Section Travelers'!L43</x:f>
        <x:v>OPEN</x:v>
      </x:c>
    </x:row>
    <x:row r="418">
      <x:c r="B418" s="7" t="str">
        <x:v>AG-00412</x:v>
      </x:c>
      <x:c r="C418" s="7" t="str">
        <x:v>PEA-A-X2</x:v>
      </x:c>
      <x:c r="D418" s="7" t="str">
        <x:v>section traveler</x:v>
      </x:c>
      <x:c r="E418" s="7" t="str">
        <x:v>TRV-PEA-A-X2-18</x:v>
      </x:c>
      <x:c r="F418" s="7" t="str">
        <x:f>'Section Travelers'!L44</x:f>
        <x:v>OPEN</x:v>
      </x:c>
    </x:row>
    <x:row r="419">
      <x:c r="B419" s="7" t="str">
        <x:v>AG-00413</x:v>
      </x:c>
      <x:c r="C419" s="7" t="str">
        <x:v>PEA-A-X2</x:v>
      </x:c>
      <x:c r="D419" s="7" t="str">
        <x:v>section traveler</x:v>
      </x:c>
      <x:c r="E419" s="7" t="str">
        <x:v>TRV-PEA-A-X2-19</x:v>
      </x:c>
      <x:c r="F419" s="7" t="str">
        <x:f>'Section Travelers'!L45</x:f>
        <x:v>OPEN</x:v>
      </x:c>
    </x:row>
    <x:row r="420">
      <x:c r="B420" s="7" t="str">
        <x:v>AG-00414</x:v>
      </x:c>
      <x:c r="C420" s="7" t="str">
        <x:v>PEA-A-X2</x:v>
      </x:c>
      <x:c r="D420" s="7" t="str">
        <x:v>section traveler</x:v>
      </x:c>
      <x:c r="E420" s="7" t="str">
        <x:v>TRV-PEA-A-X2-20</x:v>
      </x:c>
      <x:c r="F420" s="7" t="str">
        <x:f>'Section Travelers'!L46</x:f>
        <x:v>OPEN</x:v>
      </x:c>
    </x:row>
    <x:row r="421">
      <x:c r="B421" s="7" t="str">
        <x:v>AG-00415</x:v>
      </x:c>
      <x:c r="C421" s="7" t="str">
        <x:v>PEA-A-X2</x:v>
      </x:c>
      <x:c r="D421" s="7" t="str">
        <x:v>material coupon</x:v>
      </x:c>
      <x:c r="E421" s="7" t="str">
        <x:v>CPN-PEA-A-X2-CJ-1</x:v>
      </x:c>
      <x:c r="F421" s="7" t="str">
        <x:f>'Material Coupons'!K47</x:f>
        <x:v>OPEN</x:v>
      </x:c>
    </x:row>
    <x:row r="422">
      <x:c r="B422" s="7" t="str">
        <x:v>AG-00416</x:v>
      </x:c>
      <x:c r="C422" s="7" t="str">
        <x:v>PEA-A-X2</x:v>
      </x:c>
      <x:c r="D422" s="7" t="str">
        <x:v>material coupon</x:v>
      </x:c>
      <x:c r="E422" s="7" t="str">
        <x:v>CPN-PEA-A-X2-CJ-2</x:v>
      </x:c>
      <x:c r="F422" s="7" t="str">
        <x:f>'Material Coupons'!K48</x:f>
        <x:v>OPEN</x:v>
      </x:c>
    </x:row>
    <x:row r="423">
      <x:c r="B423" s="7" t="str">
        <x:v>AG-00417</x:v>
      </x:c>
      <x:c r="C423" s="7" t="str">
        <x:v>PEA-A-X2</x:v>
      </x:c>
      <x:c r="D423" s="7" t="str">
        <x:v>material coupon</x:v>
      </x:c>
      <x:c r="E423" s="7" t="str">
        <x:v>CPN-PEA-A-X2-CJ-3</x:v>
      </x:c>
      <x:c r="F423" s="7" t="str">
        <x:f>'Material Coupons'!K49</x:f>
        <x:v>OPEN</x:v>
      </x:c>
    </x:row>
    <x:row r="424">
      <x:c r="B424" s="7" t="str">
        <x:v>AG-00418</x:v>
      </x:c>
      <x:c r="C424" s="7" t="str">
        <x:v>PEA-A-X2</x:v>
      </x:c>
      <x:c r="D424" s="7" t="str">
        <x:v>material coupon</x:v>
      </x:c>
      <x:c r="E424" s="7" t="str">
        <x:v>CPN-PEA-A-X2-CJ-4</x:v>
      </x:c>
      <x:c r="F424" s="7" t="str">
        <x:f>'Material Coupons'!K50</x:f>
        <x:v>OPEN</x:v>
      </x:c>
    </x:row>
    <x:row r="425">
      <x:c r="B425" s="7" t="str">
        <x:v>AG-00419</x:v>
      </x:c>
      <x:c r="C425" s="7" t="str">
        <x:v>PEA-A-X2</x:v>
      </x:c>
      <x:c r="D425" s="7" t="str">
        <x:v>material coupon</x:v>
      </x:c>
      <x:c r="E425" s="7" t="str">
        <x:v>CPN-PEA-A-X2-CJ-5</x:v>
      </x:c>
      <x:c r="F425" s="7" t="str">
        <x:f>'Material Coupons'!K51</x:f>
        <x:v>OPEN</x:v>
      </x:c>
    </x:row>
    <x:row r="426">
      <x:c r="B426" s="7" t="str">
        <x:v>AG-00420</x:v>
      </x:c>
      <x:c r="C426" s="7" t="str">
        <x:v>PEA-A-X2</x:v>
      </x:c>
      <x:c r="D426" s="7" t="str">
        <x:v>material coupon</x:v>
      </x:c>
      <x:c r="E426" s="7" t="str">
        <x:v>CPN-PEA-A-X2-CJ-6</x:v>
      </x:c>
      <x:c r="F426" s="7" t="str">
        <x:f>'Material Coupons'!K52</x:f>
        <x:v>OPEN</x:v>
      </x:c>
    </x:row>
    <x:row r="427">
      <x:c r="B427" s="7" t="str">
        <x:v>AG-00421</x:v>
      </x:c>
      <x:c r="C427" s="7" t="str">
        <x:v>PEA-A-X2</x:v>
      </x:c>
      <x:c r="D427" s="7" t="str">
        <x:v>material coupon</x:v>
      </x:c>
      <x:c r="E427" s="7" t="str">
        <x:v>CPN-PEA-A-X2-CJ-7</x:v>
      </x:c>
      <x:c r="F427" s="7" t="str">
        <x:f>'Material Coupons'!K53</x:f>
        <x:v>OPEN</x:v>
      </x:c>
    </x:row>
    <x:row r="428">
      <x:c r="B428" s="7" t="str">
        <x:v>AG-00422</x:v>
      </x:c>
      <x:c r="C428" s="7" t="str">
        <x:v>PEA-A-X2</x:v>
      </x:c>
      <x:c r="D428" s="7" t="str">
        <x:v>material coupon</x:v>
      </x:c>
      <x:c r="E428" s="7" t="str">
        <x:v>CPN-PEA-A-X2-CJ-8</x:v>
      </x:c>
      <x:c r="F428" s="7" t="str">
        <x:f>'Material Coupons'!K54</x:f>
        <x:v>OPEN</x:v>
      </x:c>
    </x:row>
    <x:row r="429">
      <x:c r="B429" s="7" t="str">
        <x:v>AG-00423</x:v>
      </x:c>
      <x:c r="C429" s="7" t="str">
        <x:v>PEA-A-X2</x:v>
      </x:c>
      <x:c r="D429" s="7" t="str">
        <x:v>material coupon</x:v>
      </x:c>
      <x:c r="E429" s="7" t="str">
        <x:v>CPN-PEA-A-X2-SE-1</x:v>
      </x:c>
      <x:c r="F429" s="7" t="str">
        <x:f>'Material Coupons'!K55</x:f>
        <x:v>OPEN</x:v>
      </x:c>
    </x:row>
    <x:row r="430">
      <x:c r="B430" s="7" t="str">
        <x:v>AG-00424</x:v>
      </x:c>
      <x:c r="C430" s="7" t="str">
        <x:v>PEA-A-X2</x:v>
      </x:c>
      <x:c r="D430" s="7" t="str">
        <x:v>material coupon</x:v>
      </x:c>
      <x:c r="E430" s="7" t="str">
        <x:v>CPN-PEA-A-X2-SE-2</x:v>
      </x:c>
      <x:c r="F430" s="7" t="str">
        <x:f>'Material Coupons'!K56</x:f>
        <x:v>OPEN</x:v>
      </x:c>
    </x:row>
    <x:row r="431">
      <x:c r="B431" s="7" t="str">
        <x:v>AG-00425</x:v>
      </x:c>
      <x:c r="C431" s="7" t="str">
        <x:v>PEA-A-X2</x:v>
      </x:c>
      <x:c r="D431" s="7" t="str">
        <x:v>material coupon</x:v>
      </x:c>
      <x:c r="E431" s="7" t="str">
        <x:v>CPN-PEA-A-X2-SE-3</x:v>
      </x:c>
      <x:c r="F431" s="7" t="str">
        <x:f>'Material Coupons'!K57</x:f>
        <x:v>OPEN</x:v>
      </x:c>
    </x:row>
    <x:row r="432">
      <x:c r="B432" s="7" t="str">
        <x:v>AG-00426</x:v>
      </x:c>
      <x:c r="C432" s="7" t="str">
        <x:v>PEA-A-X2</x:v>
      </x:c>
      <x:c r="D432" s="7" t="str">
        <x:v>material coupon</x:v>
      </x:c>
      <x:c r="E432" s="7" t="str">
        <x:v>CPN-PEA-A-X2-SE-4</x:v>
      </x:c>
      <x:c r="F432" s="7" t="str">
        <x:f>'Material Coupons'!K58</x:f>
        <x:v>OPEN</x:v>
      </x:c>
    </x:row>
    <x:row r="433">
      <x:c r="B433" s="7" t="str">
        <x:v>AG-00427</x:v>
      </x:c>
      <x:c r="C433" s="7" t="str">
        <x:v>PEA-A-X2</x:v>
      </x:c>
      <x:c r="D433" s="7" t="str">
        <x:v>material coupon</x:v>
      </x:c>
      <x:c r="E433" s="7" t="str">
        <x:v>CPN-PEA-A-X2-SE-5</x:v>
      </x:c>
      <x:c r="F433" s="7" t="str">
        <x:f>'Material Coupons'!K59</x:f>
        <x:v>OPEN</x:v>
      </x:c>
    </x:row>
    <x:row r="434">
      <x:c r="B434" s="7" t="str">
        <x:v>AG-00428</x:v>
      </x:c>
      <x:c r="C434" s="7" t="str">
        <x:v>PEA-A-X2</x:v>
      </x:c>
      <x:c r="D434" s="7" t="str">
        <x:v>material coupon</x:v>
      </x:c>
      <x:c r="E434" s="7" t="str">
        <x:v>CPN-PEA-A-X2-SE-6</x:v>
      </x:c>
      <x:c r="F434" s="7" t="str">
        <x:f>'Material Coupons'!K60</x:f>
        <x:v>OPEN</x:v>
      </x:c>
    </x:row>
    <x:row r="435">
      <x:c r="B435" s="7" t="str">
        <x:v>AG-00429</x:v>
      </x:c>
      <x:c r="C435" s="7" t="str">
        <x:v>PEA-A-X2</x:v>
      </x:c>
      <x:c r="D435" s="7" t="str">
        <x:v>material coupon</x:v>
      </x:c>
      <x:c r="E435" s="7" t="str">
        <x:v>CPN-PEA-A-X2-SE-7</x:v>
      </x:c>
      <x:c r="F435" s="7" t="str">
        <x:f>'Material Coupons'!K61</x:f>
        <x:v>OPEN</x:v>
      </x:c>
    </x:row>
    <x:row r="436">
      <x:c r="B436" s="7" t="str">
        <x:v>AG-00430</x:v>
      </x:c>
      <x:c r="C436" s="7" t="str">
        <x:v>PEA-A-X2</x:v>
      </x:c>
      <x:c r="D436" s="7" t="str">
        <x:v>material coupon</x:v>
      </x:c>
      <x:c r="E436" s="7" t="str">
        <x:v>CPN-PEA-A-X2-SE-8</x:v>
      </x:c>
      <x:c r="F436" s="7" t="str">
        <x:f>'Material Coupons'!K62</x:f>
        <x:v>OPEN</x:v>
      </x:c>
    </x:row>
    <x:row r="437">
      <x:c r="B437" s="7" t="str">
        <x:v>AG-00431</x:v>
      </x:c>
      <x:c r="C437" s="7" t="str">
        <x:v>PEA-A-X2</x:v>
      </x:c>
      <x:c r="D437" s="7" t="str">
        <x:v>material coupon</x:v>
      </x:c>
      <x:c r="E437" s="7" t="str">
        <x:v>CPN-PEA-A-X2-SF-1</x:v>
      </x:c>
      <x:c r="F437" s="7" t="str">
        <x:f>'Material Coupons'!K63</x:f>
        <x:v>OPEN</x:v>
      </x:c>
    </x:row>
    <x:row r="438">
      <x:c r="B438" s="7" t="str">
        <x:v>AG-00432</x:v>
      </x:c>
      <x:c r="C438" s="7" t="str">
        <x:v>PEA-A-X2</x:v>
      </x:c>
      <x:c r="D438" s="7" t="str">
        <x:v>material coupon</x:v>
      </x:c>
      <x:c r="E438" s="7" t="str">
        <x:v>CPN-PEA-A-X2-SF-2</x:v>
      </x:c>
      <x:c r="F438" s="7" t="str">
        <x:f>'Material Coupons'!K64</x:f>
        <x:v>OPEN</x:v>
      </x:c>
    </x:row>
    <x:row r="439">
      <x:c r="B439" s="7" t="str">
        <x:v>AG-00433</x:v>
      </x:c>
      <x:c r="C439" s="7" t="str">
        <x:v>PEA-A-X2</x:v>
      </x:c>
      <x:c r="D439" s="7" t="str">
        <x:v>material coupon</x:v>
      </x:c>
      <x:c r="E439" s="7" t="str">
        <x:v>CPN-PEA-A-X2-SF-3</x:v>
      </x:c>
      <x:c r="F439" s="7" t="str">
        <x:f>'Material Coupons'!K65</x:f>
        <x:v>OPEN</x:v>
      </x:c>
    </x:row>
    <x:row r="440">
      <x:c r="B440" s="7" t="str">
        <x:v>AG-00434</x:v>
      </x:c>
      <x:c r="C440" s="7" t="str">
        <x:v>PEA-A-X2</x:v>
      </x:c>
      <x:c r="D440" s="7" t="str">
        <x:v>material coupon</x:v>
      </x:c>
      <x:c r="E440" s="7" t="str">
        <x:v>CPN-PEA-A-X2-SF-4</x:v>
      </x:c>
      <x:c r="F440" s="7" t="str">
        <x:f>'Material Coupons'!K66</x:f>
        <x:v>OPEN</x:v>
      </x:c>
    </x:row>
    <x:row r="441">
      <x:c r="B441" s="7" t="str">
        <x:v>AG-00435</x:v>
      </x:c>
      <x:c r="C441" s="7" t="str">
        <x:v>PEA-A-X2</x:v>
      </x:c>
      <x:c r="D441" s="7" t="str">
        <x:v>material coupon</x:v>
      </x:c>
      <x:c r="E441" s="7" t="str">
        <x:v>CPN-PEA-A-X2-SF-5</x:v>
      </x:c>
      <x:c r="F441" s="7" t="str">
        <x:f>'Material Coupons'!K67</x:f>
        <x:v>OPEN</x:v>
      </x:c>
    </x:row>
    <x:row r="442">
      <x:c r="B442" s="7" t="str">
        <x:v>AG-00436</x:v>
      </x:c>
      <x:c r="C442" s="7" t="str">
        <x:v>PEA-A-X2</x:v>
      </x:c>
      <x:c r="D442" s="7" t="str">
        <x:v>material coupon</x:v>
      </x:c>
      <x:c r="E442" s="7" t="str">
        <x:v>CPN-PEA-A-X2-SF-6</x:v>
      </x:c>
      <x:c r="F442" s="7" t="str">
        <x:f>'Material Coupons'!K68</x:f>
        <x:v>OPEN</x:v>
      </x:c>
    </x:row>
    <x:row r="443">
      <x:c r="B443" s="7" t="str">
        <x:v>AG-00437</x:v>
      </x:c>
      <x:c r="C443" s="7" t="str">
        <x:v>PEA-A-X2</x:v>
      </x:c>
      <x:c r="D443" s="7" t="str">
        <x:v>material coupon</x:v>
      </x:c>
      <x:c r="E443" s="7" t="str">
        <x:v>CPN-PEA-A-X2-SF-7</x:v>
      </x:c>
      <x:c r="F443" s="7" t="str">
        <x:f>'Material Coupons'!K69</x:f>
        <x:v>OPEN</x:v>
      </x:c>
    </x:row>
    <x:row r="444">
      <x:c r="B444" s="7" t="str">
        <x:v>AG-00438</x:v>
      </x:c>
      <x:c r="C444" s="7" t="str">
        <x:v>PEA-A-X2</x:v>
      </x:c>
      <x:c r="D444" s="7" t="str">
        <x:v>material coupon</x:v>
      </x:c>
      <x:c r="E444" s="7" t="str">
        <x:v>CPN-PEA-A-X2-SF-8</x:v>
      </x:c>
      <x:c r="F444" s="7" t="str">
        <x:f>'Material Coupons'!K70</x:f>
        <x:v>OPEN</x:v>
      </x:c>
    </x:row>
    <x:row r="445">
      <x:c r="B445" s="7" t="str">
        <x:v>AG-00439</x:v>
      </x:c>
      <x:c r="C445" s="7" t="str">
        <x:v>PEA-A-X2</x:v>
      </x:c>
      <x:c r="D445" s="7" t="str">
        <x:v>material coupon</x:v>
      </x:c>
      <x:c r="E445" s="7" t="str">
        <x:v>CPN-PEA-A-X2-CP-1</x:v>
      </x:c>
      <x:c r="F445" s="7" t="str">
        <x:f>'Material Coupons'!K71</x:f>
        <x:v>OPEN</x:v>
      </x:c>
    </x:row>
    <x:row r="446">
      <x:c r="B446" s="7" t="str">
        <x:v>AG-00440</x:v>
      </x:c>
      <x:c r="C446" s="7" t="str">
        <x:v>PEA-A-X2</x:v>
      </x:c>
      <x:c r="D446" s="7" t="str">
        <x:v>material coupon</x:v>
      </x:c>
      <x:c r="E446" s="7" t="str">
        <x:v>CPN-PEA-A-X2-CP-2</x:v>
      </x:c>
      <x:c r="F446" s="7" t="str">
        <x:f>'Material Coupons'!K72</x:f>
        <x:v>OPEN</x:v>
      </x:c>
    </x:row>
    <x:row r="447">
      <x:c r="B447" s="7" t="str">
        <x:v>AG-00441</x:v>
      </x:c>
      <x:c r="C447" s="7" t="str">
        <x:v>PEA-A-X2</x:v>
      </x:c>
      <x:c r="D447" s="7" t="str">
        <x:v>material coupon</x:v>
      </x:c>
      <x:c r="E447" s="7" t="str">
        <x:v>CPN-PEA-A-X2-CP-3</x:v>
      </x:c>
      <x:c r="F447" s="7" t="str">
        <x:f>'Material Coupons'!K73</x:f>
        <x:v>OPEN</x:v>
      </x:c>
    </x:row>
    <x:row r="448">
      <x:c r="B448" s="7" t="str">
        <x:v>AG-00442</x:v>
      </x:c>
      <x:c r="C448" s="7" t="str">
        <x:v>PEA-A-X2</x:v>
      </x:c>
      <x:c r="D448" s="7" t="str">
        <x:v>material coupon</x:v>
      </x:c>
      <x:c r="E448" s="7" t="str">
        <x:v>CPN-PEA-A-X2-CP-4</x:v>
      </x:c>
      <x:c r="F448" s="7" t="str">
        <x:f>'Material Coupons'!K74</x:f>
        <x:v>OPEN</x:v>
      </x:c>
    </x:row>
    <x:row r="449">
      <x:c r="B449" s="7" t="str">
        <x:v>AG-00443</x:v>
      </x:c>
      <x:c r="C449" s="7" t="str">
        <x:v>PEA-A-X2</x:v>
      </x:c>
      <x:c r="D449" s="7" t="str">
        <x:v>material coupon</x:v>
      </x:c>
      <x:c r="E449" s="7" t="str">
        <x:v>CPN-PEA-A-X2-CP-5</x:v>
      </x:c>
      <x:c r="F449" s="7" t="str">
        <x:f>'Material Coupons'!K75</x:f>
        <x:v>OPEN</x:v>
      </x:c>
    </x:row>
    <x:row r="450">
      <x:c r="B450" s="7" t="str">
        <x:v>AG-00444</x:v>
      </x:c>
      <x:c r="C450" s="7" t="str">
        <x:v>PEA-A-X2</x:v>
      </x:c>
      <x:c r="D450" s="7" t="str">
        <x:v>material coupon</x:v>
      </x:c>
      <x:c r="E450" s="7" t="str">
        <x:v>CPN-PEA-A-X2-CP-6</x:v>
      </x:c>
      <x:c r="F450" s="7" t="str">
        <x:f>'Material Coupons'!K76</x:f>
        <x:v>OPEN</x:v>
      </x:c>
    </x:row>
    <x:row r="451">
      <x:c r="B451" s="7" t="str">
        <x:v>AG-00445</x:v>
      </x:c>
      <x:c r="C451" s="7" t="str">
        <x:v>PEA-A-X2</x:v>
      </x:c>
      <x:c r="D451" s="7" t="str">
        <x:v>material coupon</x:v>
      </x:c>
      <x:c r="E451" s="7" t="str">
        <x:v>CPN-PEA-A-X2-CP-7</x:v>
      </x:c>
      <x:c r="F451" s="7" t="str">
        <x:f>'Material Coupons'!K77</x:f>
        <x:v>OPEN</x:v>
      </x:c>
    </x:row>
    <x:row r="452">
      <x:c r="B452" s="7" t="str">
        <x:v>AG-00446</x:v>
      </x:c>
      <x:c r="C452" s="7" t="str">
        <x:v>PEA-A-X2</x:v>
      </x:c>
      <x:c r="D452" s="7" t="str">
        <x:v>material coupon</x:v>
      </x:c>
      <x:c r="E452" s="7" t="str">
        <x:v>CPN-PEA-A-X2-CP-8</x:v>
      </x:c>
      <x:c r="F452" s="7" t="str">
        <x:f>'Material Coupons'!K78</x:f>
        <x:v>OPEN</x:v>
      </x:c>
    </x:row>
    <x:row r="453">
      <x:c r="B453" s="7" t="str">
        <x:v>AG-00447</x:v>
      </x:c>
      <x:c r="C453" s="7" t="str">
        <x:v>PEA-A-X2</x:v>
      </x:c>
      <x:c r="D453" s="7" t="str">
        <x:v>material coupon</x:v>
      </x:c>
      <x:c r="E453" s="7" t="str">
        <x:v>CPN-PEA-A-X2-SM-1</x:v>
      </x:c>
      <x:c r="F453" s="7" t="str">
        <x:f>'Material Coupons'!K79</x:f>
        <x:v>OPEN</x:v>
      </x:c>
    </x:row>
    <x:row r="454">
      <x:c r="B454" s="7" t="str">
        <x:v>AG-00448</x:v>
      </x:c>
      <x:c r="C454" s="7" t="str">
        <x:v>PEA-A-X2</x:v>
      </x:c>
      <x:c r="D454" s="7" t="str">
        <x:v>material coupon</x:v>
      </x:c>
      <x:c r="E454" s="7" t="str">
        <x:v>CPN-PEA-A-X2-SM-2</x:v>
      </x:c>
      <x:c r="F454" s="7" t="str">
        <x:f>'Material Coupons'!K80</x:f>
        <x:v>OPEN</x:v>
      </x:c>
    </x:row>
    <x:row r="455">
      <x:c r="B455" s="7" t="str">
        <x:v>AG-00449</x:v>
      </x:c>
      <x:c r="C455" s="7" t="str">
        <x:v>PEA-A-X2</x:v>
      </x:c>
      <x:c r="D455" s="7" t="str">
        <x:v>material coupon</x:v>
      </x:c>
      <x:c r="E455" s="7" t="str">
        <x:v>CPN-PEA-A-X2-SM-3</x:v>
      </x:c>
      <x:c r="F455" s="7" t="str">
        <x:f>'Material Coupons'!K81</x:f>
        <x:v>OPEN</x:v>
      </x:c>
    </x:row>
    <x:row r="456">
      <x:c r="B456" s="7" t="str">
        <x:v>AG-00450</x:v>
      </x:c>
      <x:c r="C456" s="7" t="str">
        <x:v>PEA-A-X2</x:v>
      </x:c>
      <x:c r="D456" s="7" t="str">
        <x:v>material coupon</x:v>
      </x:c>
      <x:c r="E456" s="7" t="str">
        <x:v>CPN-PEA-A-X2-SM-4</x:v>
      </x:c>
      <x:c r="F456" s="7" t="str">
        <x:f>'Material Coupons'!K82</x:f>
        <x:v>OPEN</x:v>
      </x:c>
    </x:row>
    <x:row r="457">
      <x:c r="B457" s="7" t="str">
        <x:v>AG-00451</x:v>
      </x:c>
      <x:c r="C457" s="7" t="str">
        <x:v>PEA-A-X2</x:v>
      </x:c>
      <x:c r="D457" s="7" t="str">
        <x:v>material coupon</x:v>
      </x:c>
      <x:c r="E457" s="7" t="str">
        <x:v>CPN-PEA-A-X2-SM-5</x:v>
      </x:c>
      <x:c r="F457" s="7" t="str">
        <x:f>'Material Coupons'!K83</x:f>
        <x:v>OPEN</x:v>
      </x:c>
    </x:row>
    <x:row r="458">
      <x:c r="B458" s="7" t="str">
        <x:v>AG-00452</x:v>
      </x:c>
      <x:c r="C458" s="7" t="str">
        <x:v>PEA-A-X2</x:v>
      </x:c>
      <x:c r="D458" s="7" t="str">
        <x:v>material coupon</x:v>
      </x:c>
      <x:c r="E458" s="7" t="str">
        <x:v>CPN-PEA-A-X2-SM-6</x:v>
      </x:c>
      <x:c r="F458" s="7" t="str">
        <x:f>'Material Coupons'!K84</x:f>
        <x:v>OPEN</x:v>
      </x:c>
    </x:row>
    <x:row r="459">
      <x:c r="B459" s="7" t="str">
        <x:v>AG-00453</x:v>
      </x:c>
      <x:c r="C459" s="7" t="str">
        <x:v>PEA-A-X2</x:v>
      </x:c>
      <x:c r="D459" s="7" t="str">
        <x:v>material coupon</x:v>
      </x:c>
      <x:c r="E459" s="7" t="str">
        <x:v>CPN-PEA-A-X2-SM-7</x:v>
      </x:c>
      <x:c r="F459" s="7" t="str">
        <x:f>'Material Coupons'!K85</x:f>
        <x:v>OPEN</x:v>
      </x:c>
    </x:row>
    <x:row r="460">
      <x:c r="B460" s="7" t="str">
        <x:v>AG-00454</x:v>
      </x:c>
      <x:c r="C460" s="7" t="str">
        <x:v>PEA-A-X2</x:v>
      </x:c>
      <x:c r="D460" s="7" t="str">
        <x:v>material coupon</x:v>
      </x:c>
      <x:c r="E460" s="7" t="str">
        <x:v>CPN-PEA-A-X2-SM-8</x:v>
      </x:c>
      <x:c r="F460" s="7" t="str">
        <x:f>'Material Coupons'!K86</x:f>
        <x:v>OPEN</x:v>
      </x:c>
    </x:row>
    <x:row r="461">
      <x:c r="B461" s="7" t="str">
        <x:v>AG-00455</x:v>
      </x:c>
      <x:c r="C461" s="7" t="str">
        <x:v>PEA-A-X2</x:v>
      </x:c>
      <x:c r="D461" s="7" t="str">
        <x:v>NDE record</x:v>
      </x:c>
      <x:c r="E461" s="7" t="str">
        <x:v>NDE-TRV-PEA-A-X2-01</x:v>
      </x:c>
      <x:c r="F461" s="7" t="str">
        <x:f>'NDE Records'!L27</x:f>
        <x:v>OPEN</x:v>
      </x:c>
    </x:row>
    <x:row r="462">
      <x:c r="B462" s="7" t="str">
        <x:v>AG-00456</x:v>
      </x:c>
      <x:c r="C462" s="7" t="str">
        <x:v>PEA-A-X2</x:v>
      </x:c>
      <x:c r="D462" s="7" t="str">
        <x:v>NDE record</x:v>
      </x:c>
      <x:c r="E462" s="7" t="str">
        <x:v>NDE-TRV-PEA-A-X2-02</x:v>
      </x:c>
      <x:c r="F462" s="7" t="str">
        <x:f>'NDE Records'!L28</x:f>
        <x:v>OPEN</x:v>
      </x:c>
    </x:row>
    <x:row r="463">
      <x:c r="B463" s="7" t="str">
        <x:v>AG-00457</x:v>
      </x:c>
      <x:c r="C463" s="7" t="str">
        <x:v>PEA-A-X2</x:v>
      </x:c>
      <x:c r="D463" s="7" t="str">
        <x:v>NDE record</x:v>
      </x:c>
      <x:c r="E463" s="7" t="str">
        <x:v>NDE-TRV-PEA-A-X2-03</x:v>
      </x:c>
      <x:c r="F463" s="7" t="str">
        <x:f>'NDE Records'!L29</x:f>
        <x:v>OPEN</x:v>
      </x:c>
    </x:row>
    <x:row r="464">
      <x:c r="B464" s="7" t="str">
        <x:v>AG-00458</x:v>
      </x:c>
      <x:c r="C464" s="7" t="str">
        <x:v>PEA-A-X2</x:v>
      </x:c>
      <x:c r="D464" s="7" t="str">
        <x:v>NDE record</x:v>
      </x:c>
      <x:c r="E464" s="7" t="str">
        <x:v>NDE-TRV-PEA-A-X2-04</x:v>
      </x:c>
      <x:c r="F464" s="7" t="str">
        <x:f>'NDE Records'!L30</x:f>
        <x:v>OPEN</x:v>
      </x:c>
    </x:row>
    <x:row r="465">
      <x:c r="B465" s="7" t="str">
        <x:v>AG-00459</x:v>
      </x:c>
      <x:c r="C465" s="7" t="str">
        <x:v>PEA-A-X2</x:v>
      </x:c>
      <x:c r="D465" s="7" t="str">
        <x:v>NDE record</x:v>
      </x:c>
      <x:c r="E465" s="7" t="str">
        <x:v>NDE-TRV-PEA-A-X2-05</x:v>
      </x:c>
      <x:c r="F465" s="7" t="str">
        <x:f>'NDE Records'!L31</x:f>
        <x:v>OPEN</x:v>
      </x:c>
    </x:row>
    <x:row r="466">
      <x:c r="B466" s="7" t="str">
        <x:v>AG-00460</x:v>
      </x:c>
      <x:c r="C466" s="7" t="str">
        <x:v>PEA-A-X2</x:v>
      </x:c>
      <x:c r="D466" s="7" t="str">
        <x:v>NDE record</x:v>
      </x:c>
      <x:c r="E466" s="7" t="str">
        <x:v>NDE-TRV-PEA-A-X2-06</x:v>
      </x:c>
      <x:c r="F466" s="7" t="str">
        <x:f>'NDE Records'!L32</x:f>
        <x:v>OPEN</x:v>
      </x:c>
    </x:row>
    <x:row r="467">
      <x:c r="B467" s="7" t="str">
        <x:v>AG-00461</x:v>
      </x:c>
      <x:c r="C467" s="7" t="str">
        <x:v>PEA-A-X2</x:v>
      </x:c>
      <x:c r="D467" s="7" t="str">
        <x:v>NDE record</x:v>
      </x:c>
      <x:c r="E467" s="7" t="str">
        <x:v>NDE-TRV-PEA-A-X2-07</x:v>
      </x:c>
      <x:c r="F467" s="7" t="str">
        <x:f>'NDE Records'!L33</x:f>
        <x:v>OPEN</x:v>
      </x:c>
    </x:row>
    <x:row r="468">
      <x:c r="B468" s="7" t="str">
        <x:v>AG-00462</x:v>
      </x:c>
      <x:c r="C468" s="7" t="str">
        <x:v>PEA-A-X2</x:v>
      </x:c>
      <x:c r="D468" s="7" t="str">
        <x:v>NDE record</x:v>
      </x:c>
      <x:c r="E468" s="7" t="str">
        <x:v>NDE-TRV-PEA-A-X2-08</x:v>
      </x:c>
      <x:c r="F468" s="7" t="str">
        <x:f>'NDE Records'!L34</x:f>
        <x:v>OPEN</x:v>
      </x:c>
    </x:row>
    <x:row r="469">
      <x:c r="B469" s="7" t="str">
        <x:v>AG-00463</x:v>
      </x:c>
      <x:c r="C469" s="7" t="str">
        <x:v>PEA-A-X2</x:v>
      </x:c>
      <x:c r="D469" s="7" t="str">
        <x:v>NDE record</x:v>
      </x:c>
      <x:c r="E469" s="7" t="str">
        <x:v>NDE-TRV-PEA-A-X2-09</x:v>
      </x:c>
      <x:c r="F469" s="7" t="str">
        <x:f>'NDE Records'!L35</x:f>
        <x:v>OPEN</x:v>
      </x:c>
    </x:row>
    <x:row r="470">
      <x:c r="B470" s="7" t="str">
        <x:v>AG-00464</x:v>
      </x:c>
      <x:c r="C470" s="7" t="str">
        <x:v>PEA-A-X2</x:v>
      </x:c>
      <x:c r="D470" s="7" t="str">
        <x:v>NDE record</x:v>
      </x:c>
      <x:c r="E470" s="7" t="str">
        <x:v>NDE-TRV-PEA-A-X2-10</x:v>
      </x:c>
      <x:c r="F470" s="7" t="str">
        <x:f>'NDE Records'!L36</x:f>
        <x:v>OPEN</x:v>
      </x:c>
    </x:row>
    <x:row r="471">
      <x:c r="B471" s="7" t="str">
        <x:v>AG-00465</x:v>
      </x:c>
      <x:c r="C471" s="7" t="str">
        <x:v>PEA-A-X2</x:v>
      </x:c>
      <x:c r="D471" s="7" t="str">
        <x:v>NDE record</x:v>
      </x:c>
      <x:c r="E471" s="7" t="str">
        <x:v>NDE-TRV-PEA-A-X2-11</x:v>
      </x:c>
      <x:c r="F471" s="7" t="str">
        <x:f>'NDE Records'!L37</x:f>
        <x:v>OPEN</x:v>
      </x:c>
    </x:row>
    <x:row r="472">
      <x:c r="B472" s="7" t="str">
        <x:v>AG-00466</x:v>
      </x:c>
      <x:c r="C472" s="7" t="str">
        <x:v>PEA-A-X2</x:v>
      </x:c>
      <x:c r="D472" s="7" t="str">
        <x:v>NDE record</x:v>
      </x:c>
      <x:c r="E472" s="7" t="str">
        <x:v>NDE-TRV-PEA-A-X2-12</x:v>
      </x:c>
      <x:c r="F472" s="7" t="str">
        <x:f>'NDE Records'!L38</x:f>
        <x:v>OPEN</x:v>
      </x:c>
    </x:row>
    <x:row r="473">
      <x:c r="B473" s="7" t="str">
        <x:v>AG-00467</x:v>
      </x:c>
      <x:c r="C473" s="7" t="str">
        <x:v>PEA-A-X2</x:v>
      </x:c>
      <x:c r="D473" s="7" t="str">
        <x:v>NDE record</x:v>
      </x:c>
      <x:c r="E473" s="7" t="str">
        <x:v>NDE-TRV-PEA-A-X2-13</x:v>
      </x:c>
      <x:c r="F473" s="7" t="str">
        <x:f>'NDE Records'!L39</x:f>
        <x:v>OPEN</x:v>
      </x:c>
    </x:row>
    <x:row r="474">
      <x:c r="B474" s="7" t="str">
        <x:v>AG-00468</x:v>
      </x:c>
      <x:c r="C474" s="7" t="str">
        <x:v>PEA-A-X2</x:v>
      </x:c>
      <x:c r="D474" s="7" t="str">
        <x:v>NDE record</x:v>
      </x:c>
      <x:c r="E474" s="7" t="str">
        <x:v>NDE-TRV-PEA-A-X2-14</x:v>
      </x:c>
      <x:c r="F474" s="7" t="str">
        <x:f>'NDE Records'!L40</x:f>
        <x:v>OPEN</x:v>
      </x:c>
    </x:row>
    <x:row r="475">
      <x:c r="B475" s="7" t="str">
        <x:v>AG-00469</x:v>
      </x:c>
      <x:c r="C475" s="7" t="str">
        <x:v>PEA-A-X2</x:v>
      </x:c>
      <x:c r="D475" s="7" t="str">
        <x:v>NDE record</x:v>
      </x:c>
      <x:c r="E475" s="7" t="str">
        <x:v>NDE-TRV-PEA-A-X2-15</x:v>
      </x:c>
      <x:c r="F475" s="7" t="str">
        <x:f>'NDE Records'!L41</x:f>
        <x:v>OPEN</x:v>
      </x:c>
    </x:row>
    <x:row r="476">
      <x:c r="B476" s="7" t="str">
        <x:v>AG-00470</x:v>
      </x:c>
      <x:c r="C476" s="7" t="str">
        <x:v>PEA-A-X2</x:v>
      </x:c>
      <x:c r="D476" s="7" t="str">
        <x:v>NDE record</x:v>
      </x:c>
      <x:c r="E476" s="7" t="str">
        <x:v>NDE-TRV-PEA-A-X2-16</x:v>
      </x:c>
      <x:c r="F476" s="7" t="str">
        <x:f>'NDE Records'!L42</x:f>
        <x:v>OPEN</x:v>
      </x:c>
    </x:row>
    <x:row r="477">
      <x:c r="B477" s="7" t="str">
        <x:v>AG-00471</x:v>
      </x:c>
      <x:c r="C477" s="7" t="str">
        <x:v>PEA-A-X2</x:v>
      </x:c>
      <x:c r="D477" s="7" t="str">
        <x:v>NDE record</x:v>
      </x:c>
      <x:c r="E477" s="7" t="str">
        <x:v>NDE-TRV-PEA-A-X2-17</x:v>
      </x:c>
      <x:c r="F477" s="7" t="str">
        <x:f>'NDE Records'!L43</x:f>
        <x:v>OPEN</x:v>
      </x:c>
    </x:row>
    <x:row r="478">
      <x:c r="B478" s="7" t="str">
        <x:v>AG-00472</x:v>
      </x:c>
      <x:c r="C478" s="7" t="str">
        <x:v>PEA-A-X2</x:v>
      </x:c>
      <x:c r="D478" s="7" t="str">
        <x:v>NDE record</x:v>
      </x:c>
      <x:c r="E478" s="7" t="str">
        <x:v>NDE-TRV-PEA-A-X2-18</x:v>
      </x:c>
      <x:c r="F478" s="7" t="str">
        <x:f>'NDE Records'!L44</x:f>
        <x:v>OPEN</x:v>
      </x:c>
    </x:row>
    <x:row r="479">
      <x:c r="B479" s="7" t="str">
        <x:v>AG-00473</x:v>
      </x:c>
      <x:c r="C479" s="7" t="str">
        <x:v>PEA-A-X2</x:v>
      </x:c>
      <x:c r="D479" s="7" t="str">
        <x:v>NDE record</x:v>
      </x:c>
      <x:c r="E479" s="7" t="str">
        <x:v>NDE-TRV-PEA-A-X2-19</x:v>
      </x:c>
      <x:c r="F479" s="7" t="str">
        <x:f>'NDE Records'!L45</x:f>
        <x:v>OPEN</x:v>
      </x:c>
    </x:row>
    <x:row r="480">
      <x:c r="B480" s="7" t="str">
        <x:v>AG-00474</x:v>
      </x:c>
      <x:c r="C480" s="7" t="str">
        <x:v>PEA-A-X2</x:v>
      </x:c>
      <x:c r="D480" s="7" t="str">
        <x:v>NDE record</x:v>
      </x:c>
      <x:c r="E480" s="7" t="str">
        <x:v>NDE-TRV-PEA-A-X2-20</x:v>
      </x:c>
      <x:c r="F480" s="7" t="str">
        <x:f>'NDE Records'!L46</x:f>
        <x:v>OPEN</x:v>
      </x:c>
    </x:row>
    <x:row r="481">
      <x:c r="B481" s="7" t="str">
        <x:v>AG-00475</x:v>
      </x:c>
      <x:c r="C481" s="7" t="str">
        <x:v>PEA-A-X2</x:v>
      </x:c>
      <x:c r="D481" s="7" t="str">
        <x:v>joint record</x:v>
      </x:c>
      <x:c r="E481" s="7" t="str">
        <x:v>JNT-PEA-A-X2-1</x:v>
      </x:c>
      <x:c r="F481" s="7" t="str">
        <x:f>'Joint Records'!M12</x:f>
        <x:v>OPEN</x:v>
      </x:c>
    </x:row>
    <x:row r="482">
      <x:c r="B482" s="7" t="str">
        <x:v>AG-00476</x:v>
      </x:c>
      <x:c r="C482" s="7" t="str">
        <x:v>PEA-A-X2</x:v>
      </x:c>
      <x:c r="D482" s="7" t="str">
        <x:v>joint record</x:v>
      </x:c>
      <x:c r="E482" s="7" t="str">
        <x:v>JNT-PEA-A-X2-2</x:v>
      </x:c>
      <x:c r="F482" s="7" t="str">
        <x:f>'Joint Records'!M13</x:f>
        <x:v>OPEN</x:v>
      </x:c>
    </x:row>
    <x:row r="483">
      <x:c r="B483" s="7" t="str">
        <x:v>AG-00477</x:v>
      </x:c>
      <x:c r="C483" s="7" t="str">
        <x:v>PEA-A-X2</x:v>
      </x:c>
      <x:c r="D483" s="7" t="str">
        <x:v>joint record</x:v>
      </x:c>
      <x:c r="E483" s="7" t="str">
        <x:v>JNT-PEA-A-X2-3</x:v>
      </x:c>
      <x:c r="F483" s="7" t="str">
        <x:f>'Joint Records'!M14</x:f>
        <x:v>OPEN</x:v>
      </x:c>
    </x:row>
    <x:row r="484">
      <x:c r="B484" s="7" t="str">
        <x:v>AG-00478</x:v>
      </x:c>
      <x:c r="C484" s="7" t="str">
        <x:v>PEA-A-X2</x:v>
      </x:c>
      <x:c r="D484" s="7" t="str">
        <x:v>joint record</x:v>
      </x:c>
      <x:c r="E484" s="7" t="str">
        <x:v>JNT-PEA-A-X2-4</x:v>
      </x:c>
      <x:c r="F484" s="7" t="str">
        <x:f>'Joint Records'!M15</x:f>
        <x:v>OPEN</x:v>
      </x:c>
    </x:row>
    <x:row r="485">
      <x:c r="B485" s="7" t="str">
        <x:v>AG-00479</x:v>
      </x:c>
      <x:c r="C485" s="7" t="str">
        <x:v>PEA-A-X2</x:v>
      </x:c>
      <x:c r="D485" s="7" t="str">
        <x:v>joint record</x:v>
      </x:c>
      <x:c r="E485" s="7" t="str">
        <x:v>JNT-PEA-A-X2-5</x:v>
      </x:c>
      <x:c r="F485" s="7" t="str">
        <x:f>'Joint Records'!M16</x:f>
        <x:v>OPEN</x:v>
      </x:c>
    </x:row>
    <x:row r="486">
      <x:c r="B486" s="7" t="str">
        <x:v>AG-00480</x:v>
      </x:c>
      <x:c r="C486" s="7" t="str">
        <x:v>PEA-A-X2</x:v>
      </x:c>
      <x:c r="D486" s="7" t="str">
        <x:v>control element</x:v>
      </x:c>
      <x:c r="E486" s="7" t="str">
        <x:v>ELM-PEA-A-X2-01</x:v>
      </x:c>
      <x:c r="F486" s="7" t="str">
        <x:f>'Control Elements'!L19</x:f>
        <x:v>OPEN</x:v>
      </x:c>
    </x:row>
    <x:row r="487">
      <x:c r="B487" s="7" t="str">
        <x:v>AG-00481</x:v>
      </x:c>
      <x:c r="C487" s="7" t="str">
        <x:v>PEA-A-X2</x:v>
      </x:c>
      <x:c r="D487" s="7" t="str">
        <x:v>control element</x:v>
      </x:c>
      <x:c r="E487" s="7" t="str">
        <x:v>ELM-PEA-A-X2-02</x:v>
      </x:c>
      <x:c r="F487" s="7" t="str">
        <x:f>'Control Elements'!L20</x:f>
        <x:v>OPEN</x:v>
      </x:c>
    </x:row>
    <x:row r="488">
      <x:c r="B488" s="7" t="str">
        <x:v>AG-00482</x:v>
      </x:c>
      <x:c r="C488" s="7" t="str">
        <x:v>PEA-A-X2</x:v>
      </x:c>
      <x:c r="D488" s="7" t="str">
        <x:v>control element</x:v>
      </x:c>
      <x:c r="E488" s="7" t="str">
        <x:v>ELM-PEA-A-X2-03</x:v>
      </x:c>
      <x:c r="F488" s="7" t="str">
        <x:f>'Control Elements'!L21</x:f>
        <x:v>OPEN</x:v>
      </x:c>
    </x:row>
    <x:row r="489">
      <x:c r="B489" s="7" t="str">
        <x:v>AG-00483</x:v>
      </x:c>
      <x:c r="C489" s="7" t="str">
        <x:v>PEA-A-X2</x:v>
      </x:c>
      <x:c r="D489" s="7" t="str">
        <x:v>control element</x:v>
      </x:c>
      <x:c r="E489" s="7" t="str">
        <x:v>ELM-PEA-A-X2-04</x:v>
      </x:c>
      <x:c r="F489" s="7" t="str">
        <x:f>'Control Elements'!L22</x:f>
        <x:v>OPEN</x:v>
      </x:c>
    </x:row>
    <x:row r="490">
      <x:c r="B490" s="7" t="str">
        <x:v>AG-00484</x:v>
      </x:c>
      <x:c r="C490" s="7" t="str">
        <x:v>PEA-A-X2</x:v>
      </x:c>
      <x:c r="D490" s="7" t="str">
        <x:v>control element</x:v>
      </x:c>
      <x:c r="E490" s="7" t="str">
        <x:v>ELM-PEA-A-X2-05</x:v>
      </x:c>
      <x:c r="F490" s="7" t="str">
        <x:f>'Control Elements'!L23</x:f>
        <x:v>OPEN</x:v>
      </x:c>
    </x:row>
    <x:row r="491">
      <x:c r="B491" s="7" t="str">
        <x:v>AG-00485</x:v>
      </x:c>
      <x:c r="C491" s="7" t="str">
        <x:v>PEA-A-X2</x:v>
      </x:c>
      <x:c r="D491" s="7" t="str">
        <x:v>control element</x:v>
      </x:c>
      <x:c r="E491" s="7" t="str">
        <x:v>ELM-PEA-A-X2-06</x:v>
      </x:c>
      <x:c r="F491" s="7" t="str">
        <x:f>'Control Elements'!L24</x:f>
        <x:v>OPEN</x:v>
      </x:c>
    </x:row>
    <x:row r="492">
      <x:c r="B492" s="7" t="str">
        <x:v>AG-00486</x:v>
      </x:c>
      <x:c r="C492" s="7" t="str">
        <x:v>PEA-A-X2</x:v>
      </x:c>
      <x:c r="D492" s="7" t="str">
        <x:v>control element</x:v>
      </x:c>
      <x:c r="E492" s="7" t="str">
        <x:v>ELM-PEA-A-X2-07</x:v>
      </x:c>
      <x:c r="F492" s="7" t="str">
        <x:f>'Control Elements'!L25</x:f>
        <x:v>OPEN</x:v>
      </x:c>
    </x:row>
    <x:row r="493">
      <x:c r="B493" s="7" t="str">
        <x:v>AG-00487</x:v>
      </x:c>
      <x:c r="C493" s="7" t="str">
        <x:v>PEA-A-X2</x:v>
      </x:c>
      <x:c r="D493" s="7" t="str">
        <x:v>control element</x:v>
      </x:c>
      <x:c r="E493" s="7" t="str">
        <x:v>ELM-PEA-A-X2-08</x:v>
      </x:c>
      <x:c r="F493" s="7" t="str">
        <x:f>'Control Elements'!L26</x:f>
        <x:v>OPEN</x:v>
      </x:c>
    </x:row>
    <x:row r="494">
      <x:c r="B494" s="7" t="str">
        <x:v>AG-00488</x:v>
      </x:c>
      <x:c r="C494" s="7" t="str">
        <x:v>PEA-A-X2</x:v>
      </x:c>
      <x:c r="D494" s="7" t="str">
        <x:v>control element</x:v>
      </x:c>
      <x:c r="E494" s="7" t="str">
        <x:v>ELM-PEA-A-X2-09</x:v>
      </x:c>
      <x:c r="F494" s="7" t="str">
        <x:f>'Control Elements'!L27</x:f>
        <x:v>OPEN</x:v>
      </x:c>
    </x:row>
    <x:row r="495">
      <x:c r="B495" s="7" t="str">
        <x:v>AG-00489</x:v>
      </x:c>
      <x:c r="C495" s="7" t="str">
        <x:v>PEA-A-X2</x:v>
      </x:c>
      <x:c r="D495" s="7" t="str">
        <x:v>control element</x:v>
      </x:c>
      <x:c r="E495" s="7" t="str">
        <x:v>ELM-PEA-A-X2-10</x:v>
      </x:c>
      <x:c r="F495" s="7" t="str">
        <x:f>'Control Elements'!L28</x:f>
        <x:v>OPEN</x:v>
      </x:c>
    </x:row>
    <x:row r="496">
      <x:c r="B496" s="7" t="str">
        <x:v>AG-00490</x:v>
      </x:c>
      <x:c r="C496" s="7" t="str">
        <x:v>PEA-A-X2</x:v>
      </x:c>
      <x:c r="D496" s="7" t="str">
        <x:v>control element</x:v>
      </x:c>
      <x:c r="E496" s="7" t="str">
        <x:v>ELM-PEA-A-X2-11</x:v>
      </x:c>
      <x:c r="F496" s="7" t="str">
        <x:f>'Control Elements'!L29</x:f>
        <x:v>OPEN</x:v>
      </x:c>
    </x:row>
    <x:row r="497">
      <x:c r="B497" s="7" t="str">
        <x:v>AG-00491</x:v>
      </x:c>
      <x:c r="C497" s="7" t="str">
        <x:v>PEA-A-X2</x:v>
      </x:c>
      <x:c r="D497" s="7" t="str">
        <x:v>control element</x:v>
      </x:c>
      <x:c r="E497" s="7" t="str">
        <x:v>ELM-PEA-A-X2-12</x:v>
      </x:c>
      <x:c r="F497" s="7" t="str">
        <x:f>'Control Elements'!L30</x:f>
        <x:v>OPEN</x:v>
      </x:c>
    </x:row>
    <x:row r="498">
      <x:c r="B498" s="7" t="str">
        <x:v>AG-00492</x:v>
      </x:c>
      <x:c r="C498" s="7" t="str">
        <x:v>PEA-A-X2</x:v>
      </x:c>
      <x:c r="D498" s="7" t="str">
        <x:v>channel instance</x:v>
      </x:c>
      <x:c r="E498" s="7" t="str">
        <x:v>CH-PEA-A-X2-01-1</x:v>
      </x:c>
      <x:c r="F498" s="7" t="str">
        <x:f>'Channel Instances'!O151</x:f>
        <x:v>OPEN</x:v>
      </x:c>
    </x:row>
    <x:row r="499">
      <x:c r="B499" s="7" t="str">
        <x:v>AG-00493</x:v>
      </x:c>
      <x:c r="C499" s="7" t="str">
        <x:v>PEA-A-X2</x:v>
      </x:c>
      <x:c r="D499" s="7" t="str">
        <x:v>channel instance</x:v>
      </x:c>
      <x:c r="E499" s="7" t="str">
        <x:v>CH-PEA-A-X2-01-2</x:v>
      </x:c>
      <x:c r="F499" s="7" t="str">
        <x:f>'Channel Instances'!O152</x:f>
        <x:v>OPEN</x:v>
      </x:c>
    </x:row>
    <x:row r="500">
      <x:c r="B500" s="7" t="str">
        <x:v>AG-00494</x:v>
      </x:c>
      <x:c r="C500" s="7" t="str">
        <x:v>PEA-A-X2</x:v>
      </x:c>
      <x:c r="D500" s="7" t="str">
        <x:v>channel instance</x:v>
      </x:c>
      <x:c r="E500" s="7" t="str">
        <x:v>CH-PEA-A-X2-01-3</x:v>
      </x:c>
      <x:c r="F500" s="7" t="str">
        <x:f>'Channel Instances'!O153</x:f>
        <x:v>OPEN</x:v>
      </x:c>
    </x:row>
    <x:row r="501">
      <x:c r="B501" s="7" t="str">
        <x:v>AG-00495</x:v>
      </x:c>
      <x:c r="C501" s="7" t="str">
        <x:v>PEA-A-X2</x:v>
      </x:c>
      <x:c r="D501" s="7" t="str">
        <x:v>channel instance</x:v>
      </x:c>
      <x:c r="E501" s="7" t="str">
        <x:v>CH-PEA-A-X2-01-4</x:v>
      </x:c>
      <x:c r="F501" s="7" t="str">
        <x:f>'Channel Instances'!O154</x:f>
        <x:v>OPEN</x:v>
      </x:c>
    </x:row>
    <x:row r="502">
      <x:c r="B502" s="7" t="str">
        <x:v>AG-00496</x:v>
      </x:c>
      <x:c r="C502" s="7" t="str">
        <x:v>PEA-A-X2</x:v>
      </x:c>
      <x:c r="D502" s="7" t="str">
        <x:v>channel instance</x:v>
      </x:c>
      <x:c r="E502" s="7" t="str">
        <x:v>CH-PEA-A-X2-01-5</x:v>
      </x:c>
      <x:c r="F502" s="7" t="str">
        <x:f>'Channel Instances'!O155</x:f>
        <x:v>OPEN</x:v>
      </x:c>
    </x:row>
    <x:row r="503">
      <x:c r="B503" s="7" t="str">
        <x:v>AG-00497</x:v>
      </x:c>
      <x:c r="C503" s="7" t="str">
        <x:v>PEA-A-X2</x:v>
      </x:c>
      <x:c r="D503" s="7" t="str">
        <x:v>channel instance</x:v>
      </x:c>
      <x:c r="E503" s="7" t="str">
        <x:v>CH-PEA-A-X2-01-6</x:v>
      </x:c>
      <x:c r="F503" s="7" t="str">
        <x:f>'Channel Instances'!O156</x:f>
        <x:v>OPEN</x:v>
      </x:c>
    </x:row>
    <x:row r="504">
      <x:c r="B504" s="7" t="str">
        <x:v>AG-00498</x:v>
      </x:c>
      <x:c r="C504" s="7" t="str">
        <x:v>PEA-A-X2</x:v>
      </x:c>
      <x:c r="D504" s="7" t="str">
        <x:v>channel instance</x:v>
      </x:c>
      <x:c r="E504" s="7" t="str">
        <x:v>CH-PEA-A-X2-02-1</x:v>
      </x:c>
      <x:c r="F504" s="7" t="str">
        <x:f>'Channel Instances'!O157</x:f>
        <x:v>OPEN</x:v>
      </x:c>
    </x:row>
    <x:row r="505">
      <x:c r="B505" s="7" t="str">
        <x:v>AG-00499</x:v>
      </x:c>
      <x:c r="C505" s="7" t="str">
        <x:v>PEA-A-X2</x:v>
      </x:c>
      <x:c r="D505" s="7" t="str">
        <x:v>channel instance</x:v>
      </x:c>
      <x:c r="E505" s="7" t="str">
        <x:v>CH-PEA-A-X2-02-2</x:v>
      </x:c>
      <x:c r="F505" s="7" t="str">
        <x:f>'Channel Instances'!O158</x:f>
        <x:v>OPEN</x:v>
      </x:c>
    </x:row>
    <x:row r="506">
      <x:c r="B506" s="7" t="str">
        <x:v>AG-00500</x:v>
      </x:c>
      <x:c r="C506" s="7" t="str">
        <x:v>PEA-A-X2</x:v>
      </x:c>
      <x:c r="D506" s="7" t="str">
        <x:v>channel instance</x:v>
      </x:c>
      <x:c r="E506" s="7" t="str">
        <x:v>CH-PEA-A-X2-02-3</x:v>
      </x:c>
      <x:c r="F506" s="7" t="str">
        <x:f>'Channel Instances'!O159</x:f>
        <x:v>OPEN</x:v>
      </x:c>
    </x:row>
    <x:row r="507">
      <x:c r="B507" s="7" t="str">
        <x:v>AG-00501</x:v>
      </x:c>
      <x:c r="C507" s="7" t="str">
        <x:v>PEA-A-X2</x:v>
      </x:c>
      <x:c r="D507" s="7" t="str">
        <x:v>channel instance</x:v>
      </x:c>
      <x:c r="E507" s="7" t="str">
        <x:v>CH-PEA-A-X2-02-4</x:v>
      </x:c>
      <x:c r="F507" s="7" t="str">
        <x:f>'Channel Instances'!O160</x:f>
        <x:v>OPEN</x:v>
      </x:c>
    </x:row>
    <x:row r="508">
      <x:c r="B508" s="7" t="str">
        <x:v>AG-00502</x:v>
      </x:c>
      <x:c r="C508" s="7" t="str">
        <x:v>PEA-A-X2</x:v>
      </x:c>
      <x:c r="D508" s="7" t="str">
        <x:v>channel instance</x:v>
      </x:c>
      <x:c r="E508" s="7" t="str">
        <x:v>CH-PEA-A-X2-02-5</x:v>
      </x:c>
      <x:c r="F508" s="7" t="str">
        <x:f>'Channel Instances'!O161</x:f>
        <x:v>OPEN</x:v>
      </x:c>
    </x:row>
    <x:row r="509">
      <x:c r="B509" s="7" t="str">
        <x:v>AG-00503</x:v>
      </x:c>
      <x:c r="C509" s="7" t="str">
        <x:v>PEA-A-X2</x:v>
      </x:c>
      <x:c r="D509" s="7" t="str">
        <x:v>channel instance</x:v>
      </x:c>
      <x:c r="E509" s="7" t="str">
        <x:v>CH-PEA-A-X2-02-6</x:v>
      </x:c>
      <x:c r="F509" s="7" t="str">
        <x:f>'Channel Instances'!O162</x:f>
        <x:v>OPEN</x:v>
      </x:c>
    </x:row>
    <x:row r="510">
      <x:c r="B510" s="7" t="str">
        <x:v>AG-00504</x:v>
      </x:c>
      <x:c r="C510" s="7" t="str">
        <x:v>PEA-A-X2</x:v>
      </x:c>
      <x:c r="D510" s="7" t="str">
        <x:v>channel instance</x:v>
      </x:c>
      <x:c r="E510" s="7" t="str">
        <x:v>CH-PEA-A-X2-03-1</x:v>
      </x:c>
      <x:c r="F510" s="7" t="str">
        <x:f>'Channel Instances'!O163</x:f>
        <x:v>OPEN</x:v>
      </x:c>
    </x:row>
    <x:row r="511">
      <x:c r="B511" s="7" t="str">
        <x:v>AG-00505</x:v>
      </x:c>
      <x:c r="C511" s="7" t="str">
        <x:v>PEA-A-X2</x:v>
      </x:c>
      <x:c r="D511" s="7" t="str">
        <x:v>channel instance</x:v>
      </x:c>
      <x:c r="E511" s="7" t="str">
        <x:v>CH-PEA-A-X2-03-2</x:v>
      </x:c>
      <x:c r="F511" s="7" t="str">
        <x:f>'Channel Instances'!O164</x:f>
        <x:v>OPEN</x:v>
      </x:c>
    </x:row>
    <x:row r="512">
      <x:c r="B512" s="7" t="str">
        <x:v>AG-00506</x:v>
      </x:c>
      <x:c r="C512" s="7" t="str">
        <x:v>PEA-A-X2</x:v>
      </x:c>
      <x:c r="D512" s="7" t="str">
        <x:v>channel instance</x:v>
      </x:c>
      <x:c r="E512" s="7" t="str">
        <x:v>CH-PEA-A-X2-03-3</x:v>
      </x:c>
      <x:c r="F512" s="7" t="str">
        <x:f>'Channel Instances'!O165</x:f>
        <x:v>OPEN</x:v>
      </x:c>
    </x:row>
    <x:row r="513">
      <x:c r="B513" s="7" t="str">
        <x:v>AG-00507</x:v>
      </x:c>
      <x:c r="C513" s="7" t="str">
        <x:v>PEA-A-X2</x:v>
      </x:c>
      <x:c r="D513" s="7" t="str">
        <x:v>channel instance</x:v>
      </x:c>
      <x:c r="E513" s="7" t="str">
        <x:v>CH-PEA-A-X2-03-4</x:v>
      </x:c>
      <x:c r="F513" s="7" t="str">
        <x:f>'Channel Instances'!O166</x:f>
        <x:v>OPEN</x:v>
      </x:c>
    </x:row>
    <x:row r="514">
      <x:c r="B514" s="7" t="str">
        <x:v>AG-00508</x:v>
      </x:c>
      <x:c r="C514" s="7" t="str">
        <x:v>PEA-A-X2</x:v>
      </x:c>
      <x:c r="D514" s="7" t="str">
        <x:v>channel instance</x:v>
      </x:c>
      <x:c r="E514" s="7" t="str">
        <x:v>CH-PEA-A-X2-03-5</x:v>
      </x:c>
      <x:c r="F514" s="7" t="str">
        <x:f>'Channel Instances'!O167</x:f>
        <x:v>OPEN</x:v>
      </x:c>
    </x:row>
    <x:row r="515">
      <x:c r="B515" s="7" t="str">
        <x:v>AG-00509</x:v>
      </x:c>
      <x:c r="C515" s="7" t="str">
        <x:v>PEA-A-X2</x:v>
      </x:c>
      <x:c r="D515" s="7" t="str">
        <x:v>channel instance</x:v>
      </x:c>
      <x:c r="E515" s="7" t="str">
        <x:v>CH-PEA-A-X2-03-6</x:v>
      </x:c>
      <x:c r="F515" s="7" t="str">
        <x:f>'Channel Instances'!O168</x:f>
        <x:v>OPEN</x:v>
      </x:c>
    </x:row>
    <x:row r="516">
      <x:c r="B516" s="7" t="str">
        <x:v>AG-00510</x:v>
      </x:c>
      <x:c r="C516" s="7" t="str">
        <x:v>PEA-A-X2</x:v>
      </x:c>
      <x:c r="D516" s="7" t="str">
        <x:v>channel instance</x:v>
      </x:c>
      <x:c r="E516" s="7" t="str">
        <x:v>CH-PEA-A-X2-04-1</x:v>
      </x:c>
      <x:c r="F516" s="7" t="str">
        <x:f>'Channel Instances'!O169</x:f>
        <x:v>OPEN</x:v>
      </x:c>
    </x:row>
    <x:row r="517">
      <x:c r="B517" s="7" t="str">
        <x:v>AG-00511</x:v>
      </x:c>
      <x:c r="C517" s="7" t="str">
        <x:v>PEA-A-X2</x:v>
      </x:c>
      <x:c r="D517" s="7" t="str">
        <x:v>channel instance</x:v>
      </x:c>
      <x:c r="E517" s="7" t="str">
        <x:v>CH-PEA-A-X2-04-2</x:v>
      </x:c>
      <x:c r="F517" s="7" t="str">
        <x:f>'Channel Instances'!O170</x:f>
        <x:v>OPEN</x:v>
      </x:c>
    </x:row>
    <x:row r="518">
      <x:c r="B518" s="7" t="str">
        <x:v>AG-00512</x:v>
      </x:c>
      <x:c r="C518" s="7" t="str">
        <x:v>PEA-A-X2</x:v>
      </x:c>
      <x:c r="D518" s="7" t="str">
        <x:v>channel instance</x:v>
      </x:c>
      <x:c r="E518" s="7" t="str">
        <x:v>CH-PEA-A-X2-04-3</x:v>
      </x:c>
      <x:c r="F518" s="7" t="str">
        <x:f>'Channel Instances'!O171</x:f>
        <x:v>OPEN</x:v>
      </x:c>
    </x:row>
    <x:row r="519">
      <x:c r="B519" s="7" t="str">
        <x:v>AG-00513</x:v>
      </x:c>
      <x:c r="C519" s="7" t="str">
        <x:v>PEA-A-X2</x:v>
      </x:c>
      <x:c r="D519" s="7" t="str">
        <x:v>channel instance</x:v>
      </x:c>
      <x:c r="E519" s="7" t="str">
        <x:v>CH-PEA-A-X2-04-4</x:v>
      </x:c>
      <x:c r="F519" s="7" t="str">
        <x:f>'Channel Instances'!O172</x:f>
        <x:v>OPEN</x:v>
      </x:c>
    </x:row>
    <x:row r="520">
      <x:c r="B520" s="7" t="str">
        <x:v>AG-00514</x:v>
      </x:c>
      <x:c r="C520" s="7" t="str">
        <x:v>PEA-A-X2</x:v>
      </x:c>
      <x:c r="D520" s="7" t="str">
        <x:v>channel instance</x:v>
      </x:c>
      <x:c r="E520" s="7" t="str">
        <x:v>CH-PEA-A-X2-04-5</x:v>
      </x:c>
      <x:c r="F520" s="7" t="str">
        <x:f>'Channel Instances'!O173</x:f>
        <x:v>OPEN</x:v>
      </x:c>
    </x:row>
    <x:row r="521">
      <x:c r="B521" s="7" t="str">
        <x:v>AG-00515</x:v>
      </x:c>
      <x:c r="C521" s="7" t="str">
        <x:v>PEA-A-X2</x:v>
      </x:c>
      <x:c r="D521" s="7" t="str">
        <x:v>channel instance</x:v>
      </x:c>
      <x:c r="E521" s="7" t="str">
        <x:v>CH-PEA-A-X2-04-6</x:v>
      </x:c>
      <x:c r="F521" s="7" t="str">
        <x:f>'Channel Instances'!O174</x:f>
        <x:v>OPEN</x:v>
      </x:c>
    </x:row>
    <x:row r="522">
      <x:c r="B522" s="7" t="str">
        <x:v>AG-00516</x:v>
      </x:c>
      <x:c r="C522" s="7" t="str">
        <x:v>PEA-A-X2</x:v>
      </x:c>
      <x:c r="D522" s="7" t="str">
        <x:v>channel instance</x:v>
      </x:c>
      <x:c r="E522" s="7" t="str">
        <x:v>CH-PEA-A-X2-05-1</x:v>
      </x:c>
      <x:c r="F522" s="7" t="str">
        <x:f>'Channel Instances'!O175</x:f>
        <x:v>OPEN</x:v>
      </x:c>
    </x:row>
    <x:row r="523">
      <x:c r="B523" s="7" t="str">
        <x:v>AG-00517</x:v>
      </x:c>
      <x:c r="C523" s="7" t="str">
        <x:v>PEA-A-X2</x:v>
      </x:c>
      <x:c r="D523" s="7" t="str">
        <x:v>channel instance</x:v>
      </x:c>
      <x:c r="E523" s="7" t="str">
        <x:v>CH-PEA-A-X2-05-2</x:v>
      </x:c>
      <x:c r="F523" s="7" t="str">
        <x:f>'Channel Instances'!O176</x:f>
        <x:v>OPEN</x:v>
      </x:c>
    </x:row>
    <x:row r="524">
      <x:c r="B524" s="7" t="str">
        <x:v>AG-00518</x:v>
      </x:c>
      <x:c r="C524" s="7" t="str">
        <x:v>PEA-A-X2</x:v>
      </x:c>
      <x:c r="D524" s="7" t="str">
        <x:v>channel instance</x:v>
      </x:c>
      <x:c r="E524" s="7" t="str">
        <x:v>CH-PEA-A-X2-05-3</x:v>
      </x:c>
      <x:c r="F524" s="7" t="str">
        <x:f>'Channel Instances'!O177</x:f>
        <x:v>OPEN</x:v>
      </x:c>
    </x:row>
    <x:row r="525">
      <x:c r="B525" s="7" t="str">
        <x:v>AG-00519</x:v>
      </x:c>
      <x:c r="C525" s="7" t="str">
        <x:v>PEA-A-X2</x:v>
      </x:c>
      <x:c r="D525" s="7" t="str">
        <x:v>channel instance</x:v>
      </x:c>
      <x:c r="E525" s="7" t="str">
        <x:v>CH-PEA-A-X2-05-4</x:v>
      </x:c>
      <x:c r="F525" s="7" t="str">
        <x:f>'Channel Instances'!O178</x:f>
        <x:v>OPEN</x:v>
      </x:c>
    </x:row>
    <x:row r="526">
      <x:c r="B526" s="7" t="str">
        <x:v>AG-00520</x:v>
      </x:c>
      <x:c r="C526" s="7" t="str">
        <x:v>PEA-A-X2</x:v>
      </x:c>
      <x:c r="D526" s="7" t="str">
        <x:v>channel instance</x:v>
      </x:c>
      <x:c r="E526" s="7" t="str">
        <x:v>CH-PEA-A-X2-05-5</x:v>
      </x:c>
      <x:c r="F526" s="7" t="str">
        <x:f>'Channel Instances'!O179</x:f>
        <x:v>OPEN</x:v>
      </x:c>
    </x:row>
    <x:row r="527">
      <x:c r="B527" s="7" t="str">
        <x:v>AG-00521</x:v>
      </x:c>
      <x:c r="C527" s="7" t="str">
        <x:v>PEA-A-X2</x:v>
      </x:c>
      <x:c r="D527" s="7" t="str">
        <x:v>channel instance</x:v>
      </x:c>
      <x:c r="E527" s="7" t="str">
        <x:v>CH-PEA-A-X2-05-6</x:v>
      </x:c>
      <x:c r="F527" s="7" t="str">
        <x:f>'Channel Instances'!O180</x:f>
        <x:v>OPEN</x:v>
      </x:c>
    </x:row>
    <x:row r="528">
      <x:c r="B528" s="7" t="str">
        <x:v>AG-00522</x:v>
      </x:c>
      <x:c r="C528" s="7" t="str">
        <x:v>PEA-A-X2</x:v>
      </x:c>
      <x:c r="D528" s="7" t="str">
        <x:v>channel instance</x:v>
      </x:c>
      <x:c r="E528" s="7" t="str">
        <x:v>CH-PEA-A-X2-06-1</x:v>
      </x:c>
      <x:c r="F528" s="7" t="str">
        <x:f>'Channel Instances'!O181</x:f>
        <x:v>OPEN</x:v>
      </x:c>
    </x:row>
    <x:row r="529">
      <x:c r="B529" s="7" t="str">
        <x:v>AG-00523</x:v>
      </x:c>
      <x:c r="C529" s="7" t="str">
        <x:v>PEA-A-X2</x:v>
      </x:c>
      <x:c r="D529" s="7" t="str">
        <x:v>channel instance</x:v>
      </x:c>
      <x:c r="E529" s="7" t="str">
        <x:v>CH-PEA-A-X2-06-2</x:v>
      </x:c>
      <x:c r="F529" s="7" t="str">
        <x:f>'Channel Instances'!O182</x:f>
        <x:v>OPEN</x:v>
      </x:c>
    </x:row>
    <x:row r="530">
      <x:c r="B530" s="7" t="str">
        <x:v>AG-00524</x:v>
      </x:c>
      <x:c r="C530" s="7" t="str">
        <x:v>PEA-A-X2</x:v>
      </x:c>
      <x:c r="D530" s="7" t="str">
        <x:v>channel instance</x:v>
      </x:c>
      <x:c r="E530" s="7" t="str">
        <x:v>CH-PEA-A-X2-06-3</x:v>
      </x:c>
      <x:c r="F530" s="7" t="str">
        <x:f>'Channel Instances'!O183</x:f>
        <x:v>OPEN</x:v>
      </x:c>
    </x:row>
    <x:row r="531">
      <x:c r="B531" s="7" t="str">
        <x:v>AG-00525</x:v>
      </x:c>
      <x:c r="C531" s="7" t="str">
        <x:v>PEA-A-X2</x:v>
      </x:c>
      <x:c r="D531" s="7" t="str">
        <x:v>channel instance</x:v>
      </x:c>
      <x:c r="E531" s="7" t="str">
        <x:v>CH-PEA-A-X2-06-4</x:v>
      </x:c>
      <x:c r="F531" s="7" t="str">
        <x:f>'Channel Instances'!O184</x:f>
        <x:v>OPEN</x:v>
      </x:c>
    </x:row>
    <x:row r="532">
      <x:c r="B532" s="7" t="str">
        <x:v>AG-00526</x:v>
      </x:c>
      <x:c r="C532" s="7" t="str">
        <x:v>PEA-A-X2</x:v>
      </x:c>
      <x:c r="D532" s="7" t="str">
        <x:v>channel instance</x:v>
      </x:c>
      <x:c r="E532" s="7" t="str">
        <x:v>CH-PEA-A-X2-06-5</x:v>
      </x:c>
      <x:c r="F532" s="7" t="str">
        <x:f>'Channel Instances'!O185</x:f>
        <x:v>OPEN</x:v>
      </x:c>
    </x:row>
    <x:row r="533">
      <x:c r="B533" s="7" t="str">
        <x:v>AG-00527</x:v>
      </x:c>
      <x:c r="C533" s="7" t="str">
        <x:v>PEA-A-X2</x:v>
      </x:c>
      <x:c r="D533" s="7" t="str">
        <x:v>channel instance</x:v>
      </x:c>
      <x:c r="E533" s="7" t="str">
        <x:v>CH-PEA-A-X2-06-6</x:v>
      </x:c>
      <x:c r="F533" s="7" t="str">
        <x:f>'Channel Instances'!O186</x:f>
        <x:v>OPEN</x:v>
      </x:c>
    </x:row>
    <x:row r="534">
      <x:c r="B534" s="7" t="str">
        <x:v>AG-00528</x:v>
      </x:c>
      <x:c r="C534" s="7" t="str">
        <x:v>PEA-A-X2</x:v>
      </x:c>
      <x:c r="D534" s="7" t="str">
        <x:v>channel instance</x:v>
      </x:c>
      <x:c r="E534" s="7" t="str">
        <x:v>CH-PEA-A-X2-07-1</x:v>
      </x:c>
      <x:c r="F534" s="7" t="str">
        <x:f>'Channel Instances'!O187</x:f>
        <x:v>OPEN</x:v>
      </x:c>
    </x:row>
    <x:row r="535">
      <x:c r="B535" s="7" t="str">
        <x:v>AG-00529</x:v>
      </x:c>
      <x:c r="C535" s="7" t="str">
        <x:v>PEA-A-X2</x:v>
      </x:c>
      <x:c r="D535" s="7" t="str">
        <x:v>channel instance</x:v>
      </x:c>
      <x:c r="E535" s="7" t="str">
        <x:v>CH-PEA-A-X2-07-2</x:v>
      </x:c>
      <x:c r="F535" s="7" t="str">
        <x:f>'Channel Instances'!O188</x:f>
        <x:v>OPEN</x:v>
      </x:c>
    </x:row>
    <x:row r="536">
      <x:c r="B536" s="7" t="str">
        <x:v>AG-00530</x:v>
      </x:c>
      <x:c r="C536" s="7" t="str">
        <x:v>PEA-A-X2</x:v>
      </x:c>
      <x:c r="D536" s="7" t="str">
        <x:v>channel instance</x:v>
      </x:c>
      <x:c r="E536" s="7" t="str">
        <x:v>CH-PEA-A-X2-07-3</x:v>
      </x:c>
      <x:c r="F536" s="7" t="str">
        <x:f>'Channel Instances'!O189</x:f>
        <x:v>OPEN</x:v>
      </x:c>
    </x:row>
    <x:row r="537">
      <x:c r="B537" s="7" t="str">
        <x:v>AG-00531</x:v>
      </x:c>
      <x:c r="C537" s="7" t="str">
        <x:v>PEA-A-X2</x:v>
      </x:c>
      <x:c r="D537" s="7" t="str">
        <x:v>channel instance</x:v>
      </x:c>
      <x:c r="E537" s="7" t="str">
        <x:v>CH-PEA-A-X2-07-4</x:v>
      </x:c>
      <x:c r="F537" s="7" t="str">
        <x:f>'Channel Instances'!O190</x:f>
        <x:v>OPEN</x:v>
      </x:c>
    </x:row>
    <x:row r="538">
      <x:c r="B538" s="7" t="str">
        <x:v>AG-00532</x:v>
      </x:c>
      <x:c r="C538" s="7" t="str">
        <x:v>PEA-A-X2</x:v>
      </x:c>
      <x:c r="D538" s="7" t="str">
        <x:v>channel instance</x:v>
      </x:c>
      <x:c r="E538" s="7" t="str">
        <x:v>CH-PEA-A-X2-07-5</x:v>
      </x:c>
      <x:c r="F538" s="7" t="str">
        <x:f>'Channel Instances'!O191</x:f>
        <x:v>OPEN</x:v>
      </x:c>
    </x:row>
    <x:row r="539">
      <x:c r="B539" s="7" t="str">
        <x:v>AG-00533</x:v>
      </x:c>
      <x:c r="C539" s="7" t="str">
        <x:v>PEA-A-X2</x:v>
      </x:c>
      <x:c r="D539" s="7" t="str">
        <x:v>channel instance</x:v>
      </x:c>
      <x:c r="E539" s="7" t="str">
        <x:v>CH-PEA-A-X2-07-6</x:v>
      </x:c>
      <x:c r="F539" s="7" t="str">
        <x:f>'Channel Instances'!O192</x:f>
        <x:v>OPEN</x:v>
      </x:c>
    </x:row>
    <x:row r="540">
      <x:c r="B540" s="7" t="str">
        <x:v>AG-00534</x:v>
      </x:c>
      <x:c r="C540" s="7" t="str">
        <x:v>PEA-A-X2</x:v>
      </x:c>
      <x:c r="D540" s="7" t="str">
        <x:v>channel instance</x:v>
      </x:c>
      <x:c r="E540" s="7" t="str">
        <x:v>CH-PEA-A-X2-08-1</x:v>
      </x:c>
      <x:c r="F540" s="7" t="str">
        <x:f>'Channel Instances'!O193</x:f>
        <x:v>OPEN</x:v>
      </x:c>
    </x:row>
    <x:row r="541">
      <x:c r="B541" s="7" t="str">
        <x:v>AG-00535</x:v>
      </x:c>
      <x:c r="C541" s="7" t="str">
        <x:v>PEA-A-X2</x:v>
      </x:c>
      <x:c r="D541" s="7" t="str">
        <x:v>channel instance</x:v>
      </x:c>
      <x:c r="E541" s="7" t="str">
        <x:v>CH-PEA-A-X2-08-2</x:v>
      </x:c>
      <x:c r="F541" s="7" t="str">
        <x:f>'Channel Instances'!O194</x:f>
        <x:v>OPEN</x:v>
      </x:c>
    </x:row>
    <x:row r="542">
      <x:c r="B542" s="7" t="str">
        <x:v>AG-00536</x:v>
      </x:c>
      <x:c r="C542" s="7" t="str">
        <x:v>PEA-A-X2</x:v>
      </x:c>
      <x:c r="D542" s="7" t="str">
        <x:v>channel instance</x:v>
      </x:c>
      <x:c r="E542" s="7" t="str">
        <x:v>CH-PEA-A-X2-08-3</x:v>
      </x:c>
      <x:c r="F542" s="7" t="str">
        <x:f>'Channel Instances'!O195</x:f>
        <x:v>OPEN</x:v>
      </x:c>
    </x:row>
    <x:row r="543">
      <x:c r="B543" s="7" t="str">
        <x:v>AG-00537</x:v>
      </x:c>
      <x:c r="C543" s="7" t="str">
        <x:v>PEA-A-X2</x:v>
      </x:c>
      <x:c r="D543" s="7" t="str">
        <x:v>channel instance</x:v>
      </x:c>
      <x:c r="E543" s="7" t="str">
        <x:v>CH-PEA-A-X2-08-4</x:v>
      </x:c>
      <x:c r="F543" s="7" t="str">
        <x:f>'Channel Instances'!O196</x:f>
        <x:v>OPEN</x:v>
      </x:c>
    </x:row>
    <x:row r="544">
      <x:c r="B544" s="7" t="str">
        <x:v>AG-00538</x:v>
      </x:c>
      <x:c r="C544" s="7" t="str">
        <x:v>PEA-A-X2</x:v>
      </x:c>
      <x:c r="D544" s="7" t="str">
        <x:v>channel instance</x:v>
      </x:c>
      <x:c r="E544" s="7" t="str">
        <x:v>CH-PEA-A-X2-08-5</x:v>
      </x:c>
      <x:c r="F544" s="7" t="str">
        <x:f>'Channel Instances'!O197</x:f>
        <x:v>OPEN</x:v>
      </x:c>
    </x:row>
    <x:row r="545">
      <x:c r="B545" s="7" t="str">
        <x:v>AG-00539</x:v>
      </x:c>
      <x:c r="C545" s="7" t="str">
        <x:v>PEA-A-X2</x:v>
      </x:c>
      <x:c r="D545" s="7" t="str">
        <x:v>channel instance</x:v>
      </x:c>
      <x:c r="E545" s="7" t="str">
        <x:v>CH-PEA-A-X2-08-6</x:v>
      </x:c>
      <x:c r="F545" s="7" t="str">
        <x:f>'Channel Instances'!O198</x:f>
        <x:v>OPEN</x:v>
      </x:c>
    </x:row>
    <x:row r="546">
      <x:c r="B546" s="7" t="str">
        <x:v>AG-00540</x:v>
      </x:c>
      <x:c r="C546" s="7" t="str">
        <x:v>PEA-A-X2</x:v>
      </x:c>
      <x:c r="D546" s="7" t="str">
        <x:v>channel instance</x:v>
      </x:c>
      <x:c r="E546" s="7" t="str">
        <x:v>CH-PEA-A-X2-09-1</x:v>
      </x:c>
      <x:c r="F546" s="7" t="str">
        <x:f>'Channel Instances'!O199</x:f>
        <x:v>OPEN</x:v>
      </x:c>
    </x:row>
    <x:row r="547">
      <x:c r="B547" s="7" t="str">
        <x:v>AG-00541</x:v>
      </x:c>
      <x:c r="C547" s="7" t="str">
        <x:v>PEA-A-X2</x:v>
      </x:c>
      <x:c r="D547" s="7" t="str">
        <x:v>channel instance</x:v>
      </x:c>
      <x:c r="E547" s="7" t="str">
        <x:v>CH-PEA-A-X2-09-2</x:v>
      </x:c>
      <x:c r="F547" s="7" t="str">
        <x:f>'Channel Instances'!O200</x:f>
        <x:v>OPEN</x:v>
      </x:c>
    </x:row>
    <x:row r="548">
      <x:c r="B548" s="7" t="str">
        <x:v>AG-00542</x:v>
      </x:c>
      <x:c r="C548" s="7" t="str">
        <x:v>PEA-A-X2</x:v>
      </x:c>
      <x:c r="D548" s="7" t="str">
        <x:v>channel instance</x:v>
      </x:c>
      <x:c r="E548" s="7" t="str">
        <x:v>CH-PEA-A-X2-09-3</x:v>
      </x:c>
      <x:c r="F548" s="7" t="str">
        <x:f>'Channel Instances'!O201</x:f>
        <x:v>OPEN</x:v>
      </x:c>
    </x:row>
    <x:row r="549">
      <x:c r="B549" s="7" t="str">
        <x:v>AG-00543</x:v>
      </x:c>
      <x:c r="C549" s="7" t="str">
        <x:v>PEA-A-X2</x:v>
      </x:c>
      <x:c r="D549" s="7" t="str">
        <x:v>channel instance</x:v>
      </x:c>
      <x:c r="E549" s="7" t="str">
        <x:v>CH-PEA-A-X2-09-4</x:v>
      </x:c>
      <x:c r="F549" s="7" t="str">
        <x:f>'Channel Instances'!O202</x:f>
        <x:v>OPEN</x:v>
      </x:c>
    </x:row>
    <x:row r="550">
      <x:c r="B550" s="7" t="str">
        <x:v>AG-00544</x:v>
      </x:c>
      <x:c r="C550" s="7" t="str">
        <x:v>PEA-A-X2</x:v>
      </x:c>
      <x:c r="D550" s="7" t="str">
        <x:v>channel instance</x:v>
      </x:c>
      <x:c r="E550" s="7" t="str">
        <x:v>CH-PEA-A-X2-09-5</x:v>
      </x:c>
      <x:c r="F550" s="7" t="str">
        <x:f>'Channel Instances'!O203</x:f>
        <x:v>OPEN</x:v>
      </x:c>
    </x:row>
    <x:row r="551">
      <x:c r="B551" s="7" t="str">
        <x:v>AG-00545</x:v>
      </x:c>
      <x:c r="C551" s="7" t="str">
        <x:v>PEA-A-X2</x:v>
      </x:c>
      <x:c r="D551" s="7" t="str">
        <x:v>channel instance</x:v>
      </x:c>
      <x:c r="E551" s="7" t="str">
        <x:v>CH-PEA-A-X2-09-6</x:v>
      </x:c>
      <x:c r="F551" s="7" t="str">
        <x:f>'Channel Instances'!O204</x:f>
        <x:v>OPEN</x:v>
      </x:c>
    </x:row>
    <x:row r="552">
      <x:c r="B552" s="7" t="str">
        <x:v>AG-00546</x:v>
      </x:c>
      <x:c r="C552" s="7" t="str">
        <x:v>PEA-A-X2</x:v>
      </x:c>
      <x:c r="D552" s="7" t="str">
        <x:v>channel instance</x:v>
      </x:c>
      <x:c r="E552" s="7" t="str">
        <x:v>CH-PEA-A-X2-10-1</x:v>
      </x:c>
      <x:c r="F552" s="7" t="str">
        <x:f>'Channel Instances'!O205</x:f>
        <x:v>OPEN</x:v>
      </x:c>
    </x:row>
    <x:row r="553">
      <x:c r="B553" s="7" t="str">
        <x:v>AG-00547</x:v>
      </x:c>
      <x:c r="C553" s="7" t="str">
        <x:v>PEA-A-X2</x:v>
      </x:c>
      <x:c r="D553" s="7" t="str">
        <x:v>channel instance</x:v>
      </x:c>
      <x:c r="E553" s="7" t="str">
        <x:v>CH-PEA-A-X2-10-2</x:v>
      </x:c>
      <x:c r="F553" s="7" t="str">
        <x:f>'Channel Instances'!O206</x:f>
        <x:v>OPEN</x:v>
      </x:c>
    </x:row>
    <x:row r="554">
      <x:c r="B554" s="7" t="str">
        <x:v>AG-00548</x:v>
      </x:c>
      <x:c r="C554" s="7" t="str">
        <x:v>PEA-A-X2</x:v>
      </x:c>
      <x:c r="D554" s="7" t="str">
        <x:v>channel instance</x:v>
      </x:c>
      <x:c r="E554" s="7" t="str">
        <x:v>CH-PEA-A-X2-10-3</x:v>
      </x:c>
      <x:c r="F554" s="7" t="str">
        <x:f>'Channel Instances'!O207</x:f>
        <x:v>OPEN</x:v>
      </x:c>
    </x:row>
    <x:row r="555">
      <x:c r="B555" s="7" t="str">
        <x:v>AG-00549</x:v>
      </x:c>
      <x:c r="C555" s="7" t="str">
        <x:v>PEA-A-X2</x:v>
      </x:c>
      <x:c r="D555" s="7" t="str">
        <x:v>channel instance</x:v>
      </x:c>
      <x:c r="E555" s="7" t="str">
        <x:v>CH-PEA-A-X2-10-4</x:v>
      </x:c>
      <x:c r="F555" s="7" t="str">
        <x:f>'Channel Instances'!O208</x:f>
        <x:v>OPEN</x:v>
      </x:c>
    </x:row>
    <x:row r="556">
      <x:c r="B556" s="7" t="str">
        <x:v>AG-00550</x:v>
      </x:c>
      <x:c r="C556" s="7" t="str">
        <x:v>PEA-A-X2</x:v>
      </x:c>
      <x:c r="D556" s="7" t="str">
        <x:v>channel instance</x:v>
      </x:c>
      <x:c r="E556" s="7" t="str">
        <x:v>CH-PEA-A-X2-10-5</x:v>
      </x:c>
      <x:c r="F556" s="7" t="str">
        <x:f>'Channel Instances'!O209</x:f>
        <x:v>OPEN</x:v>
      </x:c>
    </x:row>
    <x:row r="557">
      <x:c r="B557" s="7" t="str">
        <x:v>AG-00551</x:v>
      </x:c>
      <x:c r="C557" s="7" t="str">
        <x:v>PEA-A-X2</x:v>
      </x:c>
      <x:c r="D557" s="7" t="str">
        <x:v>channel instance</x:v>
      </x:c>
      <x:c r="E557" s="7" t="str">
        <x:v>CH-PEA-A-X2-10-6</x:v>
      </x:c>
      <x:c r="F557" s="7" t="str">
        <x:f>'Channel Instances'!O210</x:f>
        <x:v>OPEN</x:v>
      </x:c>
    </x:row>
    <x:row r="558">
      <x:c r="B558" s="7" t="str">
        <x:v>AG-00552</x:v>
      </x:c>
      <x:c r="C558" s="7" t="str">
        <x:v>PEA-A-X2</x:v>
      </x:c>
      <x:c r="D558" s="7" t="str">
        <x:v>channel instance</x:v>
      </x:c>
      <x:c r="E558" s="7" t="str">
        <x:v>CH-PEA-A-X2-11-1</x:v>
      </x:c>
      <x:c r="F558" s="7" t="str">
        <x:f>'Channel Instances'!O211</x:f>
        <x:v>OPEN</x:v>
      </x:c>
    </x:row>
    <x:row r="559">
      <x:c r="B559" s="7" t="str">
        <x:v>AG-00553</x:v>
      </x:c>
      <x:c r="C559" s="7" t="str">
        <x:v>PEA-A-X2</x:v>
      </x:c>
      <x:c r="D559" s="7" t="str">
        <x:v>channel instance</x:v>
      </x:c>
      <x:c r="E559" s="7" t="str">
        <x:v>CH-PEA-A-X2-11-2</x:v>
      </x:c>
      <x:c r="F559" s="7" t="str">
        <x:f>'Channel Instances'!O212</x:f>
        <x:v>OPEN</x:v>
      </x:c>
    </x:row>
    <x:row r="560">
      <x:c r="B560" s="7" t="str">
        <x:v>AG-00554</x:v>
      </x:c>
      <x:c r="C560" s="7" t="str">
        <x:v>PEA-A-X2</x:v>
      </x:c>
      <x:c r="D560" s="7" t="str">
        <x:v>channel instance</x:v>
      </x:c>
      <x:c r="E560" s="7" t="str">
        <x:v>CH-PEA-A-X2-11-3</x:v>
      </x:c>
      <x:c r="F560" s="7" t="str">
        <x:f>'Channel Instances'!O213</x:f>
        <x:v>OPEN</x:v>
      </x:c>
    </x:row>
    <x:row r="561">
      <x:c r="B561" s="7" t="str">
        <x:v>AG-00555</x:v>
      </x:c>
      <x:c r="C561" s="7" t="str">
        <x:v>PEA-A-X2</x:v>
      </x:c>
      <x:c r="D561" s="7" t="str">
        <x:v>channel instance</x:v>
      </x:c>
      <x:c r="E561" s="7" t="str">
        <x:v>CH-PEA-A-X2-11-4</x:v>
      </x:c>
      <x:c r="F561" s="7" t="str">
        <x:f>'Channel Instances'!O214</x:f>
        <x:v>OPEN</x:v>
      </x:c>
    </x:row>
    <x:row r="562">
      <x:c r="B562" s="7" t="str">
        <x:v>AG-00556</x:v>
      </x:c>
      <x:c r="C562" s="7" t="str">
        <x:v>PEA-A-X2</x:v>
      </x:c>
      <x:c r="D562" s="7" t="str">
        <x:v>channel instance</x:v>
      </x:c>
      <x:c r="E562" s="7" t="str">
        <x:v>CH-PEA-A-X2-11-5</x:v>
      </x:c>
      <x:c r="F562" s="7" t="str">
        <x:f>'Channel Instances'!O215</x:f>
        <x:v>OPEN</x:v>
      </x:c>
    </x:row>
    <x:row r="563">
      <x:c r="B563" s="7" t="str">
        <x:v>AG-00557</x:v>
      </x:c>
      <x:c r="C563" s="7" t="str">
        <x:v>PEA-A-X2</x:v>
      </x:c>
      <x:c r="D563" s="7" t="str">
        <x:v>channel instance</x:v>
      </x:c>
      <x:c r="E563" s="7" t="str">
        <x:v>CH-PEA-A-X2-11-6</x:v>
      </x:c>
      <x:c r="F563" s="7" t="str">
        <x:f>'Channel Instances'!O216</x:f>
        <x:v>OPEN</x:v>
      </x:c>
    </x:row>
    <x:row r="564">
      <x:c r="B564" s="7" t="str">
        <x:v>AG-00558</x:v>
      </x:c>
      <x:c r="C564" s="7" t="str">
        <x:v>PEA-A-X2</x:v>
      </x:c>
      <x:c r="D564" s="7" t="str">
        <x:v>channel instance</x:v>
      </x:c>
      <x:c r="E564" s="7" t="str">
        <x:v>CH-PEA-A-X2-12-1</x:v>
      </x:c>
      <x:c r="F564" s="7" t="str">
        <x:f>'Channel Instances'!O217</x:f>
        <x:v>OPEN</x:v>
      </x:c>
    </x:row>
    <x:row r="565">
      <x:c r="B565" s="7" t="str">
        <x:v>AG-00559</x:v>
      </x:c>
      <x:c r="C565" s="7" t="str">
        <x:v>PEA-A-X2</x:v>
      </x:c>
      <x:c r="D565" s="7" t="str">
        <x:v>channel instance</x:v>
      </x:c>
      <x:c r="E565" s="7" t="str">
        <x:v>CH-PEA-A-X2-12-2</x:v>
      </x:c>
      <x:c r="F565" s="7" t="str">
        <x:f>'Channel Instances'!O218</x:f>
        <x:v>OPEN</x:v>
      </x:c>
    </x:row>
    <x:row r="566">
      <x:c r="B566" s="7" t="str">
        <x:v>AG-00560</x:v>
      </x:c>
      <x:c r="C566" s="7" t="str">
        <x:v>PEA-A-X2</x:v>
      </x:c>
      <x:c r="D566" s="7" t="str">
        <x:v>channel instance</x:v>
      </x:c>
      <x:c r="E566" s="7" t="str">
        <x:v>CH-PEA-A-X2-12-3</x:v>
      </x:c>
      <x:c r="F566" s="7" t="str">
        <x:f>'Channel Instances'!O219</x:f>
        <x:v>OPEN</x:v>
      </x:c>
    </x:row>
    <x:row r="567">
      <x:c r="B567" s="7" t="str">
        <x:v>AG-00561</x:v>
      </x:c>
      <x:c r="C567" s="7" t="str">
        <x:v>PEA-A-X2</x:v>
      </x:c>
      <x:c r="D567" s="7" t="str">
        <x:v>channel instance</x:v>
      </x:c>
      <x:c r="E567" s="7" t="str">
        <x:v>CH-PEA-A-X2-12-4</x:v>
      </x:c>
      <x:c r="F567" s="7" t="str">
        <x:f>'Channel Instances'!O220</x:f>
        <x:v>OPEN</x:v>
      </x:c>
    </x:row>
    <x:row r="568">
      <x:c r="B568" s="7" t="str">
        <x:v>AG-00562</x:v>
      </x:c>
      <x:c r="C568" s="7" t="str">
        <x:v>PEA-A-X2</x:v>
      </x:c>
      <x:c r="D568" s="7" t="str">
        <x:v>channel instance</x:v>
      </x:c>
      <x:c r="E568" s="7" t="str">
        <x:v>CH-PEA-A-X2-12-5</x:v>
      </x:c>
      <x:c r="F568" s="7" t="str">
        <x:f>'Channel Instances'!O221</x:f>
        <x:v>OPEN</x:v>
      </x:c>
    </x:row>
    <x:row r="569">
      <x:c r="B569" s="7" t="str">
        <x:v>AG-00563</x:v>
      </x:c>
      <x:c r="C569" s="7" t="str">
        <x:v>PEA-A-X2</x:v>
      </x:c>
      <x:c r="D569" s="7" t="str">
        <x:v>channel instance</x:v>
      </x:c>
      <x:c r="E569" s="7" t="str">
        <x:v>CH-PEA-A-X2-12-6</x:v>
      </x:c>
      <x:c r="F569" s="7" t="str">
        <x:f>'Channel Instances'!O222</x:f>
        <x:v>OPEN</x:v>
      </x:c>
    </x:row>
    <x:row r="570">
      <x:c r="B570" s="7" t="str">
        <x:v>AG-00564</x:v>
      </x:c>
      <x:c r="C570" s="7" t="str">
        <x:v>PEA-A-X2</x:v>
      </x:c>
      <x:c r="D570" s="7" t="str">
        <x:v>channel instance</x:v>
      </x:c>
      <x:c r="E570" s="7" t="str">
        <x:v>CH-PEA-A-X2-13-1</x:v>
      </x:c>
      <x:c r="F570" s="7" t="str">
        <x:f>'Channel Instances'!O223</x:f>
        <x:v>OPEN</x:v>
      </x:c>
    </x:row>
    <x:row r="571">
      <x:c r="B571" s="7" t="str">
        <x:v>AG-00565</x:v>
      </x:c>
      <x:c r="C571" s="7" t="str">
        <x:v>PEA-A-X2</x:v>
      </x:c>
      <x:c r="D571" s="7" t="str">
        <x:v>channel instance</x:v>
      </x:c>
      <x:c r="E571" s="7" t="str">
        <x:v>CH-PEA-A-X2-13-2</x:v>
      </x:c>
      <x:c r="F571" s="7" t="str">
        <x:f>'Channel Instances'!O224</x:f>
        <x:v>OPEN</x:v>
      </x:c>
    </x:row>
    <x:row r="572">
      <x:c r="B572" s="7" t="str">
        <x:v>AG-00566</x:v>
      </x:c>
      <x:c r="C572" s="7" t="str">
        <x:v>PEA-A-X2</x:v>
      </x:c>
      <x:c r="D572" s="7" t="str">
        <x:v>channel instance</x:v>
      </x:c>
      <x:c r="E572" s="7" t="str">
        <x:v>CH-PEA-A-X2-13-3</x:v>
      </x:c>
      <x:c r="F572" s="7" t="str">
        <x:f>'Channel Instances'!O225</x:f>
        <x:v>OPEN</x:v>
      </x:c>
    </x:row>
    <x:row r="573">
      <x:c r="B573" s="7" t="str">
        <x:v>AG-00567</x:v>
      </x:c>
      <x:c r="C573" s="7" t="str">
        <x:v>PEA-A-X2</x:v>
      </x:c>
      <x:c r="D573" s="7" t="str">
        <x:v>channel instance</x:v>
      </x:c>
      <x:c r="E573" s="7" t="str">
        <x:v>CH-PEA-A-X2-13-4</x:v>
      </x:c>
      <x:c r="F573" s="7" t="str">
        <x:f>'Channel Instances'!O226</x:f>
        <x:v>OPEN</x:v>
      </x:c>
    </x:row>
    <x:row r="574">
      <x:c r="B574" s="7" t="str">
        <x:v>AG-00568</x:v>
      </x:c>
      <x:c r="C574" s="7" t="str">
        <x:v>PEA-A-X2</x:v>
      </x:c>
      <x:c r="D574" s="7" t="str">
        <x:v>channel instance</x:v>
      </x:c>
      <x:c r="E574" s="7" t="str">
        <x:v>CH-PEA-A-X2-13-5</x:v>
      </x:c>
      <x:c r="F574" s="7" t="str">
        <x:f>'Channel Instances'!O227</x:f>
        <x:v>OPEN</x:v>
      </x:c>
    </x:row>
    <x:row r="575">
      <x:c r="B575" s="7" t="str">
        <x:v>AG-00569</x:v>
      </x:c>
      <x:c r="C575" s="7" t="str">
        <x:v>PEA-A-X2</x:v>
      </x:c>
      <x:c r="D575" s="7" t="str">
        <x:v>channel instance</x:v>
      </x:c>
      <x:c r="E575" s="7" t="str">
        <x:v>CH-PEA-A-X2-13-6</x:v>
      </x:c>
      <x:c r="F575" s="7" t="str">
        <x:f>'Channel Instances'!O228</x:f>
        <x:v>OPEN</x:v>
      </x:c>
    </x:row>
    <x:row r="576">
      <x:c r="B576" s="7" t="str">
        <x:v>AG-00570</x:v>
      </x:c>
      <x:c r="C576" s="7" t="str">
        <x:v>PEA-A-X2</x:v>
      </x:c>
      <x:c r="D576" s="7" t="str">
        <x:v>channel instance</x:v>
      </x:c>
      <x:c r="E576" s="7" t="str">
        <x:v>CH-PEA-A-X2-14-1</x:v>
      </x:c>
      <x:c r="F576" s="7" t="str">
        <x:f>'Channel Instances'!O229</x:f>
        <x:v>OPEN</x:v>
      </x:c>
    </x:row>
    <x:row r="577">
      <x:c r="B577" s="7" t="str">
        <x:v>AG-00571</x:v>
      </x:c>
      <x:c r="C577" s="7" t="str">
        <x:v>PEA-A-X2</x:v>
      </x:c>
      <x:c r="D577" s="7" t="str">
        <x:v>channel instance</x:v>
      </x:c>
      <x:c r="E577" s="7" t="str">
        <x:v>CH-PEA-A-X2-14-2</x:v>
      </x:c>
      <x:c r="F577" s="7" t="str">
        <x:f>'Channel Instances'!O230</x:f>
        <x:v>OPEN</x:v>
      </x:c>
    </x:row>
    <x:row r="578">
      <x:c r="B578" s="7" t="str">
        <x:v>AG-00572</x:v>
      </x:c>
      <x:c r="C578" s="7" t="str">
        <x:v>PEA-A-X2</x:v>
      </x:c>
      <x:c r="D578" s="7" t="str">
        <x:v>channel instance</x:v>
      </x:c>
      <x:c r="E578" s="7" t="str">
        <x:v>CH-PEA-A-X2-14-3</x:v>
      </x:c>
      <x:c r="F578" s="7" t="str">
        <x:f>'Channel Instances'!O231</x:f>
        <x:v>OPEN</x:v>
      </x:c>
    </x:row>
    <x:row r="579">
      <x:c r="B579" s="7" t="str">
        <x:v>AG-00573</x:v>
      </x:c>
      <x:c r="C579" s="7" t="str">
        <x:v>PEA-A-X2</x:v>
      </x:c>
      <x:c r="D579" s="7" t="str">
        <x:v>channel instance</x:v>
      </x:c>
      <x:c r="E579" s="7" t="str">
        <x:v>CH-PEA-A-X2-14-4</x:v>
      </x:c>
      <x:c r="F579" s="7" t="str">
        <x:f>'Channel Instances'!O232</x:f>
        <x:v>OPEN</x:v>
      </x:c>
    </x:row>
    <x:row r="580">
      <x:c r="B580" s="7" t="str">
        <x:v>AG-00574</x:v>
      </x:c>
      <x:c r="C580" s="7" t="str">
        <x:v>PEA-A-X2</x:v>
      </x:c>
      <x:c r="D580" s="7" t="str">
        <x:v>channel instance</x:v>
      </x:c>
      <x:c r="E580" s="7" t="str">
        <x:v>CH-PEA-A-X2-14-5</x:v>
      </x:c>
      <x:c r="F580" s="7" t="str">
        <x:f>'Channel Instances'!O233</x:f>
        <x:v>OPEN</x:v>
      </x:c>
    </x:row>
    <x:row r="581">
      <x:c r="B581" s="7" t="str">
        <x:v>AG-00575</x:v>
      </x:c>
      <x:c r="C581" s="7" t="str">
        <x:v>PEA-A-X2</x:v>
      </x:c>
      <x:c r="D581" s="7" t="str">
        <x:v>channel instance</x:v>
      </x:c>
      <x:c r="E581" s="7" t="str">
        <x:v>CH-PEA-A-X2-14-6</x:v>
      </x:c>
      <x:c r="F581" s="7" t="str">
        <x:f>'Channel Instances'!O234</x:f>
        <x:v>OPEN</x:v>
      </x:c>
    </x:row>
    <x:row r="582">
      <x:c r="B582" s="7" t="str">
        <x:v>AG-00576</x:v>
      </x:c>
      <x:c r="C582" s="7" t="str">
        <x:v>PEA-A-X2</x:v>
      </x:c>
      <x:c r="D582" s="7" t="str">
        <x:v>channel instance</x:v>
      </x:c>
      <x:c r="E582" s="7" t="str">
        <x:v>CH-PEA-A-X2-15-1</x:v>
      </x:c>
      <x:c r="F582" s="7" t="str">
        <x:f>'Channel Instances'!O235</x:f>
        <x:v>OPEN</x:v>
      </x:c>
    </x:row>
    <x:row r="583">
      <x:c r="B583" s="7" t="str">
        <x:v>AG-00577</x:v>
      </x:c>
      <x:c r="C583" s="7" t="str">
        <x:v>PEA-A-X2</x:v>
      </x:c>
      <x:c r="D583" s="7" t="str">
        <x:v>channel instance</x:v>
      </x:c>
      <x:c r="E583" s="7" t="str">
        <x:v>CH-PEA-A-X2-15-2</x:v>
      </x:c>
      <x:c r="F583" s="7" t="str">
        <x:f>'Channel Instances'!O236</x:f>
        <x:v>OPEN</x:v>
      </x:c>
    </x:row>
    <x:row r="584">
      <x:c r="B584" s="7" t="str">
        <x:v>AG-00578</x:v>
      </x:c>
      <x:c r="C584" s="7" t="str">
        <x:v>PEA-A-X2</x:v>
      </x:c>
      <x:c r="D584" s="7" t="str">
        <x:v>channel instance</x:v>
      </x:c>
      <x:c r="E584" s="7" t="str">
        <x:v>CH-PEA-A-X2-15-3</x:v>
      </x:c>
      <x:c r="F584" s="7" t="str">
        <x:f>'Channel Instances'!O237</x:f>
        <x:v>OPEN</x:v>
      </x:c>
    </x:row>
    <x:row r="585">
      <x:c r="B585" s="7" t="str">
        <x:v>AG-00579</x:v>
      </x:c>
      <x:c r="C585" s="7" t="str">
        <x:v>PEA-A-X2</x:v>
      </x:c>
      <x:c r="D585" s="7" t="str">
        <x:v>channel instance</x:v>
      </x:c>
      <x:c r="E585" s="7" t="str">
        <x:v>CH-PEA-A-X2-15-4</x:v>
      </x:c>
      <x:c r="F585" s="7" t="str">
        <x:f>'Channel Instances'!O238</x:f>
        <x:v>OPEN</x:v>
      </x:c>
    </x:row>
    <x:row r="586">
      <x:c r="B586" s="7" t="str">
        <x:v>AG-00580</x:v>
      </x:c>
      <x:c r="C586" s="7" t="str">
        <x:v>PEA-A-X2</x:v>
      </x:c>
      <x:c r="D586" s="7" t="str">
        <x:v>channel instance</x:v>
      </x:c>
      <x:c r="E586" s="7" t="str">
        <x:v>CH-PEA-A-X2-15-5</x:v>
      </x:c>
      <x:c r="F586" s="7" t="str">
        <x:f>'Channel Instances'!O239</x:f>
        <x:v>OPEN</x:v>
      </x:c>
    </x:row>
    <x:row r="587">
      <x:c r="B587" s="7" t="str">
        <x:v>AG-00581</x:v>
      </x:c>
      <x:c r="C587" s="7" t="str">
        <x:v>PEA-A-X2</x:v>
      </x:c>
      <x:c r="D587" s="7" t="str">
        <x:v>channel instance</x:v>
      </x:c>
      <x:c r="E587" s="7" t="str">
        <x:v>CH-PEA-A-X2-15-6</x:v>
      </x:c>
      <x:c r="F587" s="7" t="str">
        <x:f>'Channel Instances'!O240</x:f>
        <x:v>OPEN</x:v>
      </x:c>
    </x:row>
    <x:row r="588">
      <x:c r="B588" s="7" t="str">
        <x:v>AG-00582</x:v>
      </x:c>
      <x:c r="C588" s="7" t="str">
        <x:v>PEA-A-X2</x:v>
      </x:c>
      <x:c r="D588" s="7" t="str">
        <x:v>channel instance</x:v>
      </x:c>
      <x:c r="E588" s="7" t="str">
        <x:v>CH-PEA-A-X2-16-1</x:v>
      </x:c>
      <x:c r="F588" s="7" t="str">
        <x:f>'Channel Instances'!O241</x:f>
        <x:v>OPEN</x:v>
      </x:c>
    </x:row>
    <x:row r="589">
      <x:c r="B589" s="7" t="str">
        <x:v>AG-00583</x:v>
      </x:c>
      <x:c r="C589" s="7" t="str">
        <x:v>PEA-A-X2</x:v>
      </x:c>
      <x:c r="D589" s="7" t="str">
        <x:v>channel instance</x:v>
      </x:c>
      <x:c r="E589" s="7" t="str">
        <x:v>CH-PEA-A-X2-16-2</x:v>
      </x:c>
      <x:c r="F589" s="7" t="str">
        <x:f>'Channel Instances'!O242</x:f>
        <x:v>OPEN</x:v>
      </x:c>
    </x:row>
    <x:row r="590">
      <x:c r="B590" s="7" t="str">
        <x:v>AG-00584</x:v>
      </x:c>
      <x:c r="C590" s="7" t="str">
        <x:v>PEA-A-X2</x:v>
      </x:c>
      <x:c r="D590" s="7" t="str">
        <x:v>channel instance</x:v>
      </x:c>
      <x:c r="E590" s="7" t="str">
        <x:v>CH-PEA-A-X2-16-3</x:v>
      </x:c>
      <x:c r="F590" s="7" t="str">
        <x:f>'Channel Instances'!O243</x:f>
        <x:v>OPEN</x:v>
      </x:c>
    </x:row>
    <x:row r="591">
      <x:c r="B591" s="7" t="str">
        <x:v>AG-00585</x:v>
      </x:c>
      <x:c r="C591" s="7" t="str">
        <x:v>PEA-A-X2</x:v>
      </x:c>
      <x:c r="D591" s="7" t="str">
        <x:v>channel instance</x:v>
      </x:c>
      <x:c r="E591" s="7" t="str">
        <x:v>CH-PEA-A-X2-16-4</x:v>
      </x:c>
      <x:c r="F591" s="7" t="str">
        <x:f>'Channel Instances'!O244</x:f>
        <x:v>OPEN</x:v>
      </x:c>
    </x:row>
    <x:row r="592">
      <x:c r="B592" s="7" t="str">
        <x:v>AG-00586</x:v>
      </x:c>
      <x:c r="C592" s="7" t="str">
        <x:v>PEA-A-X2</x:v>
      </x:c>
      <x:c r="D592" s="7" t="str">
        <x:v>channel instance</x:v>
      </x:c>
      <x:c r="E592" s="7" t="str">
        <x:v>CH-PEA-A-X2-16-5</x:v>
      </x:c>
      <x:c r="F592" s="7" t="str">
        <x:f>'Channel Instances'!O245</x:f>
        <x:v>OPEN</x:v>
      </x:c>
    </x:row>
    <x:row r="593">
      <x:c r="B593" s="7" t="str">
        <x:v>AG-00587</x:v>
      </x:c>
      <x:c r="C593" s="7" t="str">
        <x:v>PEA-A-X2</x:v>
      </x:c>
      <x:c r="D593" s="7" t="str">
        <x:v>channel instance</x:v>
      </x:c>
      <x:c r="E593" s="7" t="str">
        <x:v>CH-PEA-A-X2-16-6</x:v>
      </x:c>
      <x:c r="F593" s="7" t="str">
        <x:f>'Channel Instances'!O246</x:f>
        <x:v>OPEN</x:v>
      </x:c>
    </x:row>
    <x:row r="594">
      <x:c r="B594" s="7" t="str">
        <x:v>AG-00588</x:v>
      </x:c>
      <x:c r="C594" s="7" t="str">
        <x:v>PEA-A-X2</x:v>
      </x:c>
      <x:c r="D594" s="7" t="str">
        <x:v>channel instance</x:v>
      </x:c>
      <x:c r="E594" s="7" t="str">
        <x:v>CH-PEA-A-X2-17-1</x:v>
      </x:c>
      <x:c r="F594" s="7" t="str">
        <x:f>'Channel Instances'!O247</x:f>
        <x:v>OPEN</x:v>
      </x:c>
    </x:row>
    <x:row r="595">
      <x:c r="B595" s="7" t="str">
        <x:v>AG-00589</x:v>
      </x:c>
      <x:c r="C595" s="7" t="str">
        <x:v>PEA-A-X2</x:v>
      </x:c>
      <x:c r="D595" s="7" t="str">
        <x:v>channel instance</x:v>
      </x:c>
      <x:c r="E595" s="7" t="str">
        <x:v>CH-PEA-A-X2-17-2</x:v>
      </x:c>
      <x:c r="F595" s="7" t="str">
        <x:f>'Channel Instances'!O248</x:f>
        <x:v>OPEN</x:v>
      </x:c>
    </x:row>
    <x:row r="596">
      <x:c r="B596" s="7" t="str">
        <x:v>AG-00590</x:v>
      </x:c>
      <x:c r="C596" s="7" t="str">
        <x:v>PEA-A-X2</x:v>
      </x:c>
      <x:c r="D596" s="7" t="str">
        <x:v>channel instance</x:v>
      </x:c>
      <x:c r="E596" s="7" t="str">
        <x:v>CH-PEA-A-X2-17-3</x:v>
      </x:c>
      <x:c r="F596" s="7" t="str">
        <x:f>'Channel Instances'!O249</x:f>
        <x:v>OPEN</x:v>
      </x:c>
    </x:row>
    <x:row r="597">
      <x:c r="B597" s="7" t="str">
        <x:v>AG-00591</x:v>
      </x:c>
      <x:c r="C597" s="7" t="str">
        <x:v>PEA-A-X2</x:v>
      </x:c>
      <x:c r="D597" s="7" t="str">
        <x:v>channel instance</x:v>
      </x:c>
      <x:c r="E597" s="7" t="str">
        <x:v>CH-PEA-A-X2-17-4</x:v>
      </x:c>
      <x:c r="F597" s="7" t="str">
        <x:f>'Channel Instances'!O250</x:f>
        <x:v>OPEN</x:v>
      </x:c>
    </x:row>
    <x:row r="598">
      <x:c r="B598" s="7" t="str">
        <x:v>AG-00592</x:v>
      </x:c>
      <x:c r="C598" s="7" t="str">
        <x:v>PEA-A-X2</x:v>
      </x:c>
      <x:c r="D598" s="7" t="str">
        <x:v>channel instance</x:v>
      </x:c>
      <x:c r="E598" s="7" t="str">
        <x:v>CH-PEA-A-X2-17-5</x:v>
      </x:c>
      <x:c r="F598" s="7" t="str">
        <x:f>'Channel Instances'!O251</x:f>
        <x:v>OPEN</x:v>
      </x:c>
    </x:row>
    <x:row r="599">
      <x:c r="B599" s="7" t="str">
        <x:v>AG-00593</x:v>
      </x:c>
      <x:c r="C599" s="7" t="str">
        <x:v>PEA-A-X2</x:v>
      </x:c>
      <x:c r="D599" s="7" t="str">
        <x:v>channel instance</x:v>
      </x:c>
      <x:c r="E599" s="7" t="str">
        <x:v>CH-PEA-A-X2-17-6</x:v>
      </x:c>
      <x:c r="F599" s="7" t="str">
        <x:f>'Channel Instances'!O252</x:f>
        <x:v>OPEN</x:v>
      </x:c>
    </x:row>
    <x:row r="600">
      <x:c r="B600" s="7" t="str">
        <x:v>AG-00594</x:v>
      </x:c>
      <x:c r="C600" s="7" t="str">
        <x:v>PEA-A-X2</x:v>
      </x:c>
      <x:c r="D600" s="7" t="str">
        <x:v>channel instance</x:v>
      </x:c>
      <x:c r="E600" s="7" t="str">
        <x:v>CH-PEA-A-X2-18-1</x:v>
      </x:c>
      <x:c r="F600" s="7" t="str">
        <x:f>'Channel Instances'!O253</x:f>
        <x:v>OPEN</x:v>
      </x:c>
    </x:row>
    <x:row r="601">
      <x:c r="B601" s="7" t="str">
        <x:v>AG-00595</x:v>
      </x:c>
      <x:c r="C601" s="7" t="str">
        <x:v>PEA-A-X2</x:v>
      </x:c>
      <x:c r="D601" s="7" t="str">
        <x:v>channel instance</x:v>
      </x:c>
      <x:c r="E601" s="7" t="str">
        <x:v>CH-PEA-A-X2-18-2</x:v>
      </x:c>
      <x:c r="F601" s="7" t="str">
        <x:f>'Channel Instances'!O254</x:f>
        <x:v>OPEN</x:v>
      </x:c>
    </x:row>
    <x:row r="602">
      <x:c r="B602" s="7" t="str">
        <x:v>AG-00596</x:v>
      </x:c>
      <x:c r="C602" s="7" t="str">
        <x:v>PEA-A-X2</x:v>
      </x:c>
      <x:c r="D602" s="7" t="str">
        <x:v>channel instance</x:v>
      </x:c>
      <x:c r="E602" s="7" t="str">
        <x:v>CH-PEA-A-X2-18-3</x:v>
      </x:c>
      <x:c r="F602" s="7" t="str">
        <x:f>'Channel Instances'!O255</x:f>
        <x:v>OPEN</x:v>
      </x:c>
    </x:row>
    <x:row r="603">
      <x:c r="B603" s="7" t="str">
        <x:v>AG-00597</x:v>
      </x:c>
      <x:c r="C603" s="7" t="str">
        <x:v>PEA-A-X2</x:v>
      </x:c>
      <x:c r="D603" s="7" t="str">
        <x:v>channel instance</x:v>
      </x:c>
      <x:c r="E603" s="7" t="str">
        <x:v>CH-PEA-A-X2-18-4</x:v>
      </x:c>
      <x:c r="F603" s="7" t="str">
        <x:f>'Channel Instances'!O256</x:f>
        <x:v>OPEN</x:v>
      </x:c>
    </x:row>
    <x:row r="604">
      <x:c r="B604" s="7" t="str">
        <x:v>AG-00598</x:v>
      </x:c>
      <x:c r="C604" s="7" t="str">
        <x:v>PEA-A-X2</x:v>
      </x:c>
      <x:c r="D604" s="7" t="str">
        <x:v>channel instance</x:v>
      </x:c>
      <x:c r="E604" s="7" t="str">
        <x:v>CH-PEA-A-X2-18-5</x:v>
      </x:c>
      <x:c r="F604" s="7" t="str">
        <x:f>'Channel Instances'!O257</x:f>
        <x:v>OPEN</x:v>
      </x:c>
    </x:row>
    <x:row r="605">
      <x:c r="B605" s="7" t="str">
        <x:v>AG-00599</x:v>
      </x:c>
      <x:c r="C605" s="7" t="str">
        <x:v>PEA-A-X2</x:v>
      </x:c>
      <x:c r="D605" s="7" t="str">
        <x:v>channel instance</x:v>
      </x:c>
      <x:c r="E605" s="7" t="str">
        <x:v>CH-PEA-A-X2-18-6</x:v>
      </x:c>
      <x:c r="F605" s="7" t="str">
        <x:f>'Channel Instances'!O258</x:f>
        <x:v>OPEN</x:v>
      </x:c>
    </x:row>
    <x:row r="606">
      <x:c r="B606" s="7" t="str">
        <x:v>AG-00600</x:v>
      </x:c>
      <x:c r="C606" s="7" t="str">
        <x:v>PEA-A-X2</x:v>
      </x:c>
      <x:c r="D606" s="7" t="str">
        <x:v>channel instance</x:v>
      </x:c>
      <x:c r="E606" s="7" t="str">
        <x:v>CH-PEA-A-X2-19-1</x:v>
      </x:c>
      <x:c r="F606" s="7" t="str">
        <x:f>'Channel Instances'!O259</x:f>
        <x:v>OPEN</x:v>
      </x:c>
    </x:row>
    <x:row r="607">
      <x:c r="B607" s="7" t="str">
        <x:v>AG-00601</x:v>
      </x:c>
      <x:c r="C607" s="7" t="str">
        <x:v>PEA-A-X2</x:v>
      </x:c>
      <x:c r="D607" s="7" t="str">
        <x:v>channel instance</x:v>
      </x:c>
      <x:c r="E607" s="7" t="str">
        <x:v>CH-PEA-A-X2-19-2</x:v>
      </x:c>
      <x:c r="F607" s="7" t="str">
        <x:f>'Channel Instances'!O260</x:f>
        <x:v>OPEN</x:v>
      </x:c>
    </x:row>
    <x:row r="608">
      <x:c r="B608" s="7" t="str">
        <x:v>AG-00602</x:v>
      </x:c>
      <x:c r="C608" s="7" t="str">
        <x:v>PEA-A-X2</x:v>
      </x:c>
      <x:c r="D608" s="7" t="str">
        <x:v>channel instance</x:v>
      </x:c>
      <x:c r="E608" s="7" t="str">
        <x:v>CH-PEA-A-X2-19-3</x:v>
      </x:c>
      <x:c r="F608" s="7" t="str">
        <x:f>'Channel Instances'!O261</x:f>
        <x:v>OPEN</x:v>
      </x:c>
    </x:row>
    <x:row r="609">
      <x:c r="B609" s="7" t="str">
        <x:v>AG-00603</x:v>
      </x:c>
      <x:c r="C609" s="7" t="str">
        <x:v>PEA-A-X2</x:v>
      </x:c>
      <x:c r="D609" s="7" t="str">
        <x:v>channel instance</x:v>
      </x:c>
      <x:c r="E609" s="7" t="str">
        <x:v>CH-PEA-A-X2-19-4</x:v>
      </x:c>
      <x:c r="F609" s="7" t="str">
        <x:f>'Channel Instances'!O262</x:f>
        <x:v>OPEN</x:v>
      </x:c>
    </x:row>
    <x:row r="610">
      <x:c r="B610" s="7" t="str">
        <x:v>AG-00604</x:v>
      </x:c>
      <x:c r="C610" s="7" t="str">
        <x:v>PEA-A-X2</x:v>
      </x:c>
      <x:c r="D610" s="7" t="str">
        <x:v>channel instance</x:v>
      </x:c>
      <x:c r="E610" s="7" t="str">
        <x:v>CH-PEA-A-X2-19-5</x:v>
      </x:c>
      <x:c r="F610" s="7" t="str">
        <x:f>'Channel Instances'!O263</x:f>
        <x:v>OPEN</x:v>
      </x:c>
    </x:row>
    <x:row r="611">
      <x:c r="B611" s="7" t="str">
        <x:v>AG-00605</x:v>
      </x:c>
      <x:c r="C611" s="7" t="str">
        <x:v>PEA-A-X2</x:v>
      </x:c>
      <x:c r="D611" s="7" t="str">
        <x:v>channel instance</x:v>
      </x:c>
      <x:c r="E611" s="7" t="str">
        <x:v>CH-PEA-A-X2-19-6</x:v>
      </x:c>
      <x:c r="F611" s="7" t="str">
        <x:f>'Channel Instances'!O264</x:f>
        <x:v>OPEN</x:v>
      </x:c>
    </x:row>
    <x:row r="612">
      <x:c r="B612" s="7" t="str">
        <x:v>AG-00606</x:v>
      </x:c>
      <x:c r="C612" s="7" t="str">
        <x:v>PEA-A-X2</x:v>
      </x:c>
      <x:c r="D612" s="7" t="str">
        <x:v>channel instance</x:v>
      </x:c>
      <x:c r="E612" s="7" t="str">
        <x:v>CH-PEA-A-X2-20-1</x:v>
      </x:c>
      <x:c r="F612" s="7" t="str">
        <x:f>'Channel Instances'!O265</x:f>
        <x:v>OPEN</x:v>
      </x:c>
    </x:row>
    <x:row r="613">
      <x:c r="B613" s="7" t="str">
        <x:v>AG-00607</x:v>
      </x:c>
      <x:c r="C613" s="7" t="str">
        <x:v>PEA-A-X2</x:v>
      </x:c>
      <x:c r="D613" s="7" t="str">
        <x:v>channel instance</x:v>
      </x:c>
      <x:c r="E613" s="7" t="str">
        <x:v>CH-PEA-A-X2-20-2</x:v>
      </x:c>
      <x:c r="F613" s="7" t="str">
        <x:f>'Channel Instances'!O266</x:f>
        <x:v>OPEN</x:v>
      </x:c>
    </x:row>
    <x:row r="614">
      <x:c r="B614" s="7" t="str">
        <x:v>AG-00608</x:v>
      </x:c>
      <x:c r="C614" s="7" t="str">
        <x:v>PEA-A-X2</x:v>
      </x:c>
      <x:c r="D614" s="7" t="str">
        <x:v>channel instance</x:v>
      </x:c>
      <x:c r="E614" s="7" t="str">
        <x:v>CH-PEA-A-X2-20-3</x:v>
      </x:c>
      <x:c r="F614" s="7" t="str">
        <x:f>'Channel Instances'!O267</x:f>
        <x:v>OPEN</x:v>
      </x:c>
    </x:row>
    <x:row r="615">
      <x:c r="B615" s="7" t="str">
        <x:v>AG-00609</x:v>
      </x:c>
      <x:c r="C615" s="7" t="str">
        <x:v>PEA-A-X2</x:v>
      </x:c>
      <x:c r="D615" s="7" t="str">
        <x:v>channel instance</x:v>
      </x:c>
      <x:c r="E615" s="7" t="str">
        <x:v>CH-PEA-A-X2-20-4</x:v>
      </x:c>
      <x:c r="F615" s="7" t="str">
        <x:f>'Channel Instances'!O268</x:f>
        <x:v>OPEN</x:v>
      </x:c>
    </x:row>
    <x:row r="616">
      <x:c r="B616" s="7" t="str">
        <x:v>AG-00610</x:v>
      </x:c>
      <x:c r="C616" s="7" t="str">
        <x:v>PEA-A-X2</x:v>
      </x:c>
      <x:c r="D616" s="7" t="str">
        <x:v>channel instance</x:v>
      </x:c>
      <x:c r="E616" s="7" t="str">
        <x:v>CH-PEA-A-X2-20-5</x:v>
      </x:c>
      <x:c r="F616" s="7" t="str">
        <x:f>'Channel Instances'!O269</x:f>
        <x:v>OPEN</x:v>
      </x:c>
    </x:row>
    <x:row r="617">
      <x:c r="B617" s="7" t="str">
        <x:v>AG-00611</x:v>
      </x:c>
      <x:c r="C617" s="7" t="str">
        <x:v>PEA-A-X2</x:v>
      </x:c>
      <x:c r="D617" s="7" t="str">
        <x:v>channel instance</x:v>
      </x:c>
      <x:c r="E617" s="7" t="str">
        <x:v>CH-PEA-A-X2-20-6</x:v>
      </x:c>
      <x:c r="F617" s="7" t="str">
        <x:f>'Channel Instances'!O270</x:f>
        <x:v>OPEN</x:v>
      </x:c>
    </x:row>
    <x:row r="618">
      <x:c r="B618" s="7" t="str">
        <x:v>AG-00612</x:v>
      </x:c>
      <x:c r="C618" s="7" t="str">
        <x:v>PEA-A-X2</x:v>
      </x:c>
      <x:c r="D618" s="7" t="str">
        <x:v>channel instance</x:v>
      </x:c>
      <x:c r="E618" s="7" t="str">
        <x:v>CH-PEA-A-X2-21-1</x:v>
      </x:c>
      <x:c r="F618" s="7" t="str">
        <x:f>'Channel Instances'!O271</x:f>
        <x:v>OPEN</x:v>
      </x:c>
    </x:row>
    <x:row r="619">
      <x:c r="B619" s="7" t="str">
        <x:v>AG-00613</x:v>
      </x:c>
      <x:c r="C619" s="7" t="str">
        <x:v>PEA-A-X2</x:v>
      </x:c>
      <x:c r="D619" s="7" t="str">
        <x:v>channel instance</x:v>
      </x:c>
      <x:c r="E619" s="7" t="str">
        <x:v>CH-PEA-A-X2-21-2</x:v>
      </x:c>
      <x:c r="F619" s="7" t="str">
        <x:f>'Channel Instances'!O272</x:f>
        <x:v>OPEN</x:v>
      </x:c>
    </x:row>
    <x:row r="620">
      <x:c r="B620" s="7" t="str">
        <x:v>AG-00614</x:v>
      </x:c>
      <x:c r="C620" s="7" t="str">
        <x:v>PEA-A-X2</x:v>
      </x:c>
      <x:c r="D620" s="7" t="str">
        <x:v>channel instance</x:v>
      </x:c>
      <x:c r="E620" s="7" t="str">
        <x:v>CH-PEA-A-X2-21-3</x:v>
      </x:c>
      <x:c r="F620" s="7" t="str">
        <x:f>'Channel Instances'!O273</x:f>
        <x:v>OPEN</x:v>
      </x:c>
    </x:row>
    <x:row r="621">
      <x:c r="B621" s="7" t="str">
        <x:v>AG-00615</x:v>
      </x:c>
      <x:c r="C621" s="7" t="str">
        <x:v>PEA-A-X2</x:v>
      </x:c>
      <x:c r="D621" s="7" t="str">
        <x:v>channel instance</x:v>
      </x:c>
      <x:c r="E621" s="7" t="str">
        <x:v>CH-PEA-A-X2-21-4</x:v>
      </x:c>
      <x:c r="F621" s="7" t="str">
        <x:f>'Channel Instances'!O274</x:f>
        <x:v>OPEN</x:v>
      </x:c>
    </x:row>
    <x:row r="622">
      <x:c r="B622" s="7" t="str">
        <x:v>AG-00616</x:v>
      </x:c>
      <x:c r="C622" s="7" t="str">
        <x:v>PEA-A-X2</x:v>
      </x:c>
      <x:c r="D622" s="7" t="str">
        <x:v>channel instance</x:v>
      </x:c>
      <x:c r="E622" s="7" t="str">
        <x:v>CH-PEA-A-X2-21-5</x:v>
      </x:c>
      <x:c r="F622" s="7" t="str">
        <x:f>'Channel Instances'!O275</x:f>
        <x:v>OPEN</x:v>
      </x:c>
    </x:row>
    <x:row r="623">
      <x:c r="B623" s="7" t="str">
        <x:v>AG-00617</x:v>
      </x:c>
      <x:c r="C623" s="7" t="str">
        <x:v>PEA-A-X2</x:v>
      </x:c>
      <x:c r="D623" s="7" t="str">
        <x:v>channel instance</x:v>
      </x:c>
      <x:c r="E623" s="7" t="str">
        <x:v>CH-PEA-A-X2-21-6</x:v>
      </x:c>
      <x:c r="F623" s="7" t="str">
        <x:f>'Channel Instances'!O276</x:f>
        <x:v>OPEN</x:v>
      </x:c>
    </x:row>
    <x:row r="624">
      <x:c r="B624" s="7" t="str">
        <x:v>AG-00618</x:v>
      </x:c>
      <x:c r="C624" s="7" t="str">
        <x:v>PEA-A-X2</x:v>
      </x:c>
      <x:c r="D624" s="7" t="str">
        <x:v>channel instance</x:v>
      </x:c>
      <x:c r="E624" s="7" t="str">
        <x:v>CH-PEA-A-X2-22-1</x:v>
      </x:c>
      <x:c r="F624" s="7" t="str">
        <x:f>'Channel Instances'!O277</x:f>
        <x:v>OPEN</x:v>
      </x:c>
    </x:row>
    <x:row r="625">
      <x:c r="B625" s="7" t="str">
        <x:v>AG-00619</x:v>
      </x:c>
      <x:c r="C625" s="7" t="str">
        <x:v>PEA-A-X2</x:v>
      </x:c>
      <x:c r="D625" s="7" t="str">
        <x:v>channel instance</x:v>
      </x:c>
      <x:c r="E625" s="7" t="str">
        <x:v>CH-PEA-A-X2-22-2</x:v>
      </x:c>
      <x:c r="F625" s="7" t="str">
        <x:f>'Channel Instances'!O278</x:f>
        <x:v>OPEN</x:v>
      </x:c>
    </x:row>
    <x:row r="626">
      <x:c r="B626" s="7" t="str">
        <x:v>AG-00620</x:v>
      </x:c>
      <x:c r="C626" s="7" t="str">
        <x:v>PEA-A-X2</x:v>
      </x:c>
      <x:c r="D626" s="7" t="str">
        <x:v>channel instance</x:v>
      </x:c>
      <x:c r="E626" s="7" t="str">
        <x:v>CH-PEA-A-X2-22-3</x:v>
      </x:c>
      <x:c r="F626" s="7" t="str">
        <x:f>'Channel Instances'!O279</x:f>
        <x:v>OPEN</x:v>
      </x:c>
    </x:row>
    <x:row r="627">
      <x:c r="B627" s="7" t="str">
        <x:v>AG-00621</x:v>
      </x:c>
      <x:c r="C627" s="7" t="str">
        <x:v>PEA-A-X2</x:v>
      </x:c>
      <x:c r="D627" s="7" t="str">
        <x:v>channel instance</x:v>
      </x:c>
      <x:c r="E627" s="7" t="str">
        <x:v>CH-PEA-A-X2-22-4</x:v>
      </x:c>
      <x:c r="F627" s="7" t="str">
        <x:f>'Channel Instances'!O280</x:f>
        <x:v>OPEN</x:v>
      </x:c>
    </x:row>
    <x:row r="628">
      <x:c r="B628" s="7" t="str">
        <x:v>AG-00622</x:v>
      </x:c>
      <x:c r="C628" s="7" t="str">
        <x:v>PEA-A-X2</x:v>
      </x:c>
      <x:c r="D628" s="7" t="str">
        <x:v>channel instance</x:v>
      </x:c>
      <x:c r="E628" s="7" t="str">
        <x:v>CH-PEA-A-X2-22-5</x:v>
      </x:c>
      <x:c r="F628" s="7" t="str">
        <x:f>'Channel Instances'!O281</x:f>
        <x:v>OPEN</x:v>
      </x:c>
    </x:row>
    <x:row r="629">
      <x:c r="B629" s="7" t="str">
        <x:v>AG-00623</x:v>
      </x:c>
      <x:c r="C629" s="7" t="str">
        <x:v>PEA-A-X2</x:v>
      </x:c>
      <x:c r="D629" s="7" t="str">
        <x:v>channel instance</x:v>
      </x:c>
      <x:c r="E629" s="7" t="str">
        <x:v>CH-PEA-A-X2-22-6</x:v>
      </x:c>
      <x:c r="F629" s="7" t="str">
        <x:f>'Channel Instances'!O282</x:f>
        <x:v>OPEN</x:v>
      </x:c>
    </x:row>
    <x:row r="630">
      <x:c r="B630" s="7" t="str">
        <x:v>AG-00624</x:v>
      </x:c>
      <x:c r="C630" s="7" t="str">
        <x:v>PEA-A-X2</x:v>
      </x:c>
      <x:c r="D630" s="7" t="str">
        <x:v>channel instance</x:v>
      </x:c>
      <x:c r="E630" s="7" t="str">
        <x:v>CH-PEA-A-X2-23-1</x:v>
      </x:c>
      <x:c r="F630" s="7" t="str">
        <x:f>'Channel Instances'!O283</x:f>
        <x:v>OPEN</x:v>
      </x:c>
    </x:row>
    <x:row r="631">
      <x:c r="B631" s="7" t="str">
        <x:v>AG-00625</x:v>
      </x:c>
      <x:c r="C631" s="7" t="str">
        <x:v>PEA-A-X2</x:v>
      </x:c>
      <x:c r="D631" s="7" t="str">
        <x:v>channel instance</x:v>
      </x:c>
      <x:c r="E631" s="7" t="str">
        <x:v>CH-PEA-A-X2-23-2</x:v>
      </x:c>
      <x:c r="F631" s="7" t="str">
        <x:f>'Channel Instances'!O284</x:f>
        <x:v>OPEN</x:v>
      </x:c>
    </x:row>
    <x:row r="632">
      <x:c r="B632" s="7" t="str">
        <x:v>AG-00626</x:v>
      </x:c>
      <x:c r="C632" s="7" t="str">
        <x:v>PEA-A-X2</x:v>
      </x:c>
      <x:c r="D632" s="7" t="str">
        <x:v>channel instance</x:v>
      </x:c>
      <x:c r="E632" s="7" t="str">
        <x:v>CH-PEA-A-X2-23-3</x:v>
      </x:c>
      <x:c r="F632" s="7" t="str">
        <x:f>'Channel Instances'!O285</x:f>
        <x:v>OPEN</x:v>
      </x:c>
    </x:row>
    <x:row r="633">
      <x:c r="B633" s="7" t="str">
        <x:v>AG-00627</x:v>
      </x:c>
      <x:c r="C633" s="7" t="str">
        <x:v>PEA-A-X2</x:v>
      </x:c>
      <x:c r="D633" s="7" t="str">
        <x:v>channel instance</x:v>
      </x:c>
      <x:c r="E633" s="7" t="str">
        <x:v>CH-PEA-A-X2-23-4</x:v>
      </x:c>
      <x:c r="F633" s="7" t="str">
        <x:f>'Channel Instances'!O286</x:f>
        <x:v>OPEN</x:v>
      </x:c>
    </x:row>
    <x:row r="634">
      <x:c r="B634" s="7" t="str">
        <x:v>AG-00628</x:v>
      </x:c>
      <x:c r="C634" s="7" t="str">
        <x:v>PEA-A-X2</x:v>
      </x:c>
      <x:c r="D634" s="7" t="str">
        <x:v>channel instance</x:v>
      </x:c>
      <x:c r="E634" s="7" t="str">
        <x:v>CH-PEA-A-X2-23-5</x:v>
      </x:c>
      <x:c r="F634" s="7" t="str">
        <x:f>'Channel Instances'!O287</x:f>
        <x:v>OPEN</x:v>
      </x:c>
    </x:row>
    <x:row r="635">
      <x:c r="B635" s="7" t="str">
        <x:v>AG-00629</x:v>
      </x:c>
      <x:c r="C635" s="7" t="str">
        <x:v>PEA-A-X2</x:v>
      </x:c>
      <x:c r="D635" s="7" t="str">
        <x:v>channel instance</x:v>
      </x:c>
      <x:c r="E635" s="7" t="str">
        <x:v>CH-PEA-A-X2-23-6</x:v>
      </x:c>
      <x:c r="F635" s="7" t="str">
        <x:f>'Channel Instances'!O288</x:f>
        <x:v>OPEN</x:v>
      </x:c>
    </x:row>
    <x:row r="636">
      <x:c r="B636" s="7" t="str">
        <x:v>AG-00630</x:v>
      </x:c>
      <x:c r="C636" s="7" t="str">
        <x:v>PEA-A-X2</x:v>
      </x:c>
      <x:c r="D636" s="7" t="str">
        <x:v>channel instance</x:v>
      </x:c>
      <x:c r="E636" s="7" t="str">
        <x:v>CH-PEA-A-X2-24-1</x:v>
      </x:c>
      <x:c r="F636" s="7" t="str">
        <x:f>'Channel Instances'!O289</x:f>
        <x:v>OPEN</x:v>
      </x:c>
    </x:row>
    <x:row r="637">
      <x:c r="B637" s="7" t="str">
        <x:v>AG-00631</x:v>
      </x:c>
      <x:c r="C637" s="7" t="str">
        <x:v>PEA-A-X2</x:v>
      </x:c>
      <x:c r="D637" s="7" t="str">
        <x:v>channel instance</x:v>
      </x:c>
      <x:c r="E637" s="7" t="str">
        <x:v>CH-PEA-A-X2-24-2</x:v>
      </x:c>
      <x:c r="F637" s="7" t="str">
        <x:f>'Channel Instances'!O290</x:f>
        <x:v>OPEN</x:v>
      </x:c>
    </x:row>
    <x:row r="638">
      <x:c r="B638" s="7" t="str">
        <x:v>AG-00632</x:v>
      </x:c>
      <x:c r="C638" s="7" t="str">
        <x:v>PEA-A-X2</x:v>
      </x:c>
      <x:c r="D638" s="7" t="str">
        <x:v>channel instance</x:v>
      </x:c>
      <x:c r="E638" s="7" t="str">
        <x:v>CH-PEA-A-X2-24-3</x:v>
      </x:c>
      <x:c r="F638" s="7" t="str">
        <x:f>'Channel Instances'!O291</x:f>
        <x:v>OPEN</x:v>
      </x:c>
    </x:row>
    <x:row r="639">
      <x:c r="B639" s="7" t="str">
        <x:v>AG-00633</x:v>
      </x:c>
      <x:c r="C639" s="7" t="str">
        <x:v>PEA-A-X2</x:v>
      </x:c>
      <x:c r="D639" s="7" t="str">
        <x:v>channel instance</x:v>
      </x:c>
      <x:c r="E639" s="7" t="str">
        <x:v>CH-PEA-A-X2-24-4</x:v>
      </x:c>
      <x:c r="F639" s="7" t="str">
        <x:f>'Channel Instances'!O292</x:f>
        <x:v>OPEN</x:v>
      </x:c>
    </x:row>
    <x:row r="640">
      <x:c r="B640" s="7" t="str">
        <x:v>AG-00634</x:v>
      </x:c>
      <x:c r="C640" s="7" t="str">
        <x:v>PEA-A-X2</x:v>
      </x:c>
      <x:c r="D640" s="7" t="str">
        <x:v>channel instance</x:v>
      </x:c>
      <x:c r="E640" s="7" t="str">
        <x:v>CH-PEA-A-X2-24-5</x:v>
      </x:c>
      <x:c r="F640" s="7" t="str">
        <x:f>'Channel Instances'!O293</x:f>
        <x:v>OPEN</x:v>
      </x:c>
    </x:row>
    <x:row r="641">
      <x:c r="B641" s="7" t="str">
        <x:v>AG-00635</x:v>
      </x:c>
      <x:c r="C641" s="7" t="str">
        <x:v>PEA-A-X2</x:v>
      </x:c>
      <x:c r="D641" s="7" t="str">
        <x:v>channel instance</x:v>
      </x:c>
      <x:c r="E641" s="7" t="str">
        <x:v>CH-PEA-A-X2-24-6</x:v>
      </x:c>
      <x:c r="F641" s="7" t="str">
        <x:f>'Channel Instances'!O294</x:f>
        <x:v>OPEN</x:v>
      </x:c>
    </x:row>
    <x:row r="642">
      <x:c r="B642" s="7" t="str">
        <x:v>AG-00636</x:v>
      </x:c>
      <x:c r="C642" s="7" t="str">
        <x:v>PEA-A-X2</x:v>
      </x:c>
      <x:c r="D642" s="7" t="str">
        <x:v>factory calibration</x:v>
      </x:c>
      <x:c r="E642" s="7" t="str">
        <x:v>CAL-CH-PEA-A-X2-01-1</x:v>
      </x:c>
      <x:c r="F642" s="7" t="str">
        <x:f>'Calibration Records'!M151</x:f>
        <x:v>OPEN</x:v>
      </x:c>
    </x:row>
    <x:row r="643">
      <x:c r="B643" s="7" t="str">
        <x:v>AG-00637</x:v>
      </x:c>
      <x:c r="C643" s="7" t="str">
        <x:v>PEA-A-X2</x:v>
      </x:c>
      <x:c r="D643" s="7" t="str">
        <x:v>factory calibration</x:v>
      </x:c>
      <x:c r="E643" s="7" t="str">
        <x:v>CAL-CH-PEA-A-X2-01-2</x:v>
      </x:c>
      <x:c r="F643" s="7" t="str">
        <x:f>'Calibration Records'!M152</x:f>
        <x:v>OPEN</x:v>
      </x:c>
    </x:row>
    <x:row r="644">
      <x:c r="B644" s="7" t="str">
        <x:v>AG-00638</x:v>
      </x:c>
      <x:c r="C644" s="7" t="str">
        <x:v>PEA-A-X2</x:v>
      </x:c>
      <x:c r="D644" s="7" t="str">
        <x:v>factory calibration</x:v>
      </x:c>
      <x:c r="E644" s="7" t="str">
        <x:v>CAL-CH-PEA-A-X2-01-3</x:v>
      </x:c>
      <x:c r="F644" s="7" t="str">
        <x:f>'Calibration Records'!M153</x:f>
        <x:v>OPEN</x:v>
      </x:c>
    </x:row>
    <x:row r="645">
      <x:c r="B645" s="7" t="str">
        <x:v>AG-00639</x:v>
      </x:c>
      <x:c r="C645" s="7" t="str">
        <x:v>PEA-A-X2</x:v>
      </x:c>
      <x:c r="D645" s="7" t="str">
        <x:v>factory calibration</x:v>
      </x:c>
      <x:c r="E645" s="7" t="str">
        <x:v>CAL-CH-PEA-A-X2-01-4</x:v>
      </x:c>
      <x:c r="F645" s="7" t="str">
        <x:f>'Calibration Records'!M154</x:f>
        <x:v>OPEN</x:v>
      </x:c>
    </x:row>
    <x:row r="646">
      <x:c r="B646" s="7" t="str">
        <x:v>AG-00640</x:v>
      </x:c>
      <x:c r="C646" s="7" t="str">
        <x:v>PEA-A-X2</x:v>
      </x:c>
      <x:c r="D646" s="7" t="str">
        <x:v>factory calibration</x:v>
      </x:c>
      <x:c r="E646" s="7" t="str">
        <x:v>CAL-CH-PEA-A-X2-01-5</x:v>
      </x:c>
      <x:c r="F646" s="7" t="str">
        <x:f>'Calibration Records'!M155</x:f>
        <x:v>OPEN</x:v>
      </x:c>
    </x:row>
    <x:row r="647">
      <x:c r="B647" s="7" t="str">
        <x:v>AG-00641</x:v>
      </x:c>
      <x:c r="C647" s="7" t="str">
        <x:v>PEA-A-X2</x:v>
      </x:c>
      <x:c r="D647" s="7" t="str">
        <x:v>factory calibration</x:v>
      </x:c>
      <x:c r="E647" s="7" t="str">
        <x:v>CAL-CH-PEA-A-X2-01-6</x:v>
      </x:c>
      <x:c r="F647" s="7" t="str">
        <x:f>'Calibration Records'!M156</x:f>
        <x:v>OPEN</x:v>
      </x:c>
    </x:row>
    <x:row r="648">
      <x:c r="B648" s="7" t="str">
        <x:v>AG-00642</x:v>
      </x:c>
      <x:c r="C648" s="7" t="str">
        <x:v>PEA-A-X2</x:v>
      </x:c>
      <x:c r="D648" s="7" t="str">
        <x:v>factory calibration</x:v>
      </x:c>
      <x:c r="E648" s="7" t="str">
        <x:v>CAL-CH-PEA-A-X2-02-1</x:v>
      </x:c>
      <x:c r="F648" s="7" t="str">
        <x:f>'Calibration Records'!M157</x:f>
        <x:v>OPEN</x:v>
      </x:c>
    </x:row>
    <x:row r="649">
      <x:c r="B649" s="7" t="str">
        <x:v>AG-00643</x:v>
      </x:c>
      <x:c r="C649" s="7" t="str">
        <x:v>PEA-A-X2</x:v>
      </x:c>
      <x:c r="D649" s="7" t="str">
        <x:v>factory calibration</x:v>
      </x:c>
      <x:c r="E649" s="7" t="str">
        <x:v>CAL-CH-PEA-A-X2-02-2</x:v>
      </x:c>
      <x:c r="F649" s="7" t="str">
        <x:f>'Calibration Records'!M158</x:f>
        <x:v>OPEN</x:v>
      </x:c>
    </x:row>
    <x:row r="650">
      <x:c r="B650" s="7" t="str">
        <x:v>AG-00644</x:v>
      </x:c>
      <x:c r="C650" s="7" t="str">
        <x:v>PEA-A-X2</x:v>
      </x:c>
      <x:c r="D650" s="7" t="str">
        <x:v>factory calibration</x:v>
      </x:c>
      <x:c r="E650" s="7" t="str">
        <x:v>CAL-CH-PEA-A-X2-02-3</x:v>
      </x:c>
      <x:c r="F650" s="7" t="str">
        <x:f>'Calibration Records'!M159</x:f>
        <x:v>OPEN</x:v>
      </x:c>
    </x:row>
    <x:row r="651">
      <x:c r="B651" s="7" t="str">
        <x:v>AG-00645</x:v>
      </x:c>
      <x:c r="C651" s="7" t="str">
        <x:v>PEA-A-X2</x:v>
      </x:c>
      <x:c r="D651" s="7" t="str">
        <x:v>factory calibration</x:v>
      </x:c>
      <x:c r="E651" s="7" t="str">
        <x:v>CAL-CH-PEA-A-X2-02-4</x:v>
      </x:c>
      <x:c r="F651" s="7" t="str">
        <x:f>'Calibration Records'!M160</x:f>
        <x:v>OPEN</x:v>
      </x:c>
    </x:row>
    <x:row r="652">
      <x:c r="B652" s="7" t="str">
        <x:v>AG-00646</x:v>
      </x:c>
      <x:c r="C652" s="7" t="str">
        <x:v>PEA-A-X2</x:v>
      </x:c>
      <x:c r="D652" s="7" t="str">
        <x:v>factory calibration</x:v>
      </x:c>
      <x:c r="E652" s="7" t="str">
        <x:v>CAL-CH-PEA-A-X2-02-5</x:v>
      </x:c>
      <x:c r="F652" s="7" t="str">
        <x:f>'Calibration Records'!M161</x:f>
        <x:v>OPEN</x:v>
      </x:c>
    </x:row>
    <x:row r="653">
      <x:c r="B653" s="7" t="str">
        <x:v>AG-00647</x:v>
      </x:c>
      <x:c r="C653" s="7" t="str">
        <x:v>PEA-A-X2</x:v>
      </x:c>
      <x:c r="D653" s="7" t="str">
        <x:v>factory calibration</x:v>
      </x:c>
      <x:c r="E653" s="7" t="str">
        <x:v>CAL-CH-PEA-A-X2-02-6</x:v>
      </x:c>
      <x:c r="F653" s="7" t="str">
        <x:f>'Calibration Records'!M162</x:f>
        <x:v>OPEN</x:v>
      </x:c>
    </x:row>
    <x:row r="654">
      <x:c r="B654" s="7" t="str">
        <x:v>AG-00648</x:v>
      </x:c>
      <x:c r="C654" s="7" t="str">
        <x:v>PEA-A-X2</x:v>
      </x:c>
      <x:c r="D654" s="7" t="str">
        <x:v>factory calibration</x:v>
      </x:c>
      <x:c r="E654" s="7" t="str">
        <x:v>CAL-CH-PEA-A-X2-03-1</x:v>
      </x:c>
      <x:c r="F654" s="7" t="str">
        <x:f>'Calibration Records'!M163</x:f>
        <x:v>OPEN</x:v>
      </x:c>
    </x:row>
    <x:row r="655">
      <x:c r="B655" s="7" t="str">
        <x:v>AG-00649</x:v>
      </x:c>
      <x:c r="C655" s="7" t="str">
        <x:v>PEA-A-X2</x:v>
      </x:c>
      <x:c r="D655" s="7" t="str">
        <x:v>factory calibration</x:v>
      </x:c>
      <x:c r="E655" s="7" t="str">
        <x:v>CAL-CH-PEA-A-X2-03-2</x:v>
      </x:c>
      <x:c r="F655" s="7" t="str">
        <x:f>'Calibration Records'!M164</x:f>
        <x:v>OPEN</x:v>
      </x:c>
    </x:row>
    <x:row r="656">
      <x:c r="B656" s="7" t="str">
        <x:v>AG-00650</x:v>
      </x:c>
      <x:c r="C656" s="7" t="str">
        <x:v>PEA-A-X2</x:v>
      </x:c>
      <x:c r="D656" s="7" t="str">
        <x:v>factory calibration</x:v>
      </x:c>
      <x:c r="E656" s="7" t="str">
        <x:v>CAL-CH-PEA-A-X2-03-3</x:v>
      </x:c>
      <x:c r="F656" s="7" t="str">
        <x:f>'Calibration Records'!M165</x:f>
        <x:v>OPEN</x:v>
      </x:c>
    </x:row>
    <x:row r="657">
      <x:c r="B657" s="7" t="str">
        <x:v>AG-00651</x:v>
      </x:c>
      <x:c r="C657" s="7" t="str">
        <x:v>PEA-A-X2</x:v>
      </x:c>
      <x:c r="D657" s="7" t="str">
        <x:v>factory calibration</x:v>
      </x:c>
      <x:c r="E657" s="7" t="str">
        <x:v>CAL-CH-PEA-A-X2-03-4</x:v>
      </x:c>
      <x:c r="F657" s="7" t="str">
        <x:f>'Calibration Records'!M166</x:f>
        <x:v>OPEN</x:v>
      </x:c>
    </x:row>
    <x:row r="658">
      <x:c r="B658" s="7" t="str">
        <x:v>AG-00652</x:v>
      </x:c>
      <x:c r="C658" s="7" t="str">
        <x:v>PEA-A-X2</x:v>
      </x:c>
      <x:c r="D658" s="7" t="str">
        <x:v>factory calibration</x:v>
      </x:c>
      <x:c r="E658" s="7" t="str">
        <x:v>CAL-CH-PEA-A-X2-03-5</x:v>
      </x:c>
      <x:c r="F658" s="7" t="str">
        <x:f>'Calibration Records'!M167</x:f>
        <x:v>OPEN</x:v>
      </x:c>
    </x:row>
    <x:row r="659">
      <x:c r="B659" s="7" t="str">
        <x:v>AG-00653</x:v>
      </x:c>
      <x:c r="C659" s="7" t="str">
        <x:v>PEA-A-X2</x:v>
      </x:c>
      <x:c r="D659" s="7" t="str">
        <x:v>factory calibration</x:v>
      </x:c>
      <x:c r="E659" s="7" t="str">
        <x:v>CAL-CH-PEA-A-X2-03-6</x:v>
      </x:c>
      <x:c r="F659" s="7" t="str">
        <x:f>'Calibration Records'!M168</x:f>
        <x:v>OPEN</x:v>
      </x:c>
    </x:row>
    <x:row r="660">
      <x:c r="B660" s="7" t="str">
        <x:v>AG-00654</x:v>
      </x:c>
      <x:c r="C660" s="7" t="str">
        <x:v>PEA-A-X2</x:v>
      </x:c>
      <x:c r="D660" s="7" t="str">
        <x:v>factory calibration</x:v>
      </x:c>
      <x:c r="E660" s="7" t="str">
        <x:v>CAL-CH-PEA-A-X2-04-1</x:v>
      </x:c>
      <x:c r="F660" s="7" t="str">
        <x:f>'Calibration Records'!M169</x:f>
        <x:v>OPEN</x:v>
      </x:c>
    </x:row>
    <x:row r="661">
      <x:c r="B661" s="7" t="str">
        <x:v>AG-00655</x:v>
      </x:c>
      <x:c r="C661" s="7" t="str">
        <x:v>PEA-A-X2</x:v>
      </x:c>
      <x:c r="D661" s="7" t="str">
        <x:v>factory calibration</x:v>
      </x:c>
      <x:c r="E661" s="7" t="str">
        <x:v>CAL-CH-PEA-A-X2-04-2</x:v>
      </x:c>
      <x:c r="F661" s="7" t="str">
        <x:f>'Calibration Records'!M170</x:f>
        <x:v>OPEN</x:v>
      </x:c>
    </x:row>
    <x:row r="662">
      <x:c r="B662" s="7" t="str">
        <x:v>AG-00656</x:v>
      </x:c>
      <x:c r="C662" s="7" t="str">
        <x:v>PEA-A-X2</x:v>
      </x:c>
      <x:c r="D662" s="7" t="str">
        <x:v>factory calibration</x:v>
      </x:c>
      <x:c r="E662" s="7" t="str">
        <x:v>CAL-CH-PEA-A-X2-04-3</x:v>
      </x:c>
      <x:c r="F662" s="7" t="str">
        <x:f>'Calibration Records'!M171</x:f>
        <x:v>OPEN</x:v>
      </x:c>
    </x:row>
    <x:row r="663">
      <x:c r="B663" s="7" t="str">
        <x:v>AG-00657</x:v>
      </x:c>
      <x:c r="C663" s="7" t="str">
        <x:v>PEA-A-X2</x:v>
      </x:c>
      <x:c r="D663" s="7" t="str">
        <x:v>factory calibration</x:v>
      </x:c>
      <x:c r="E663" s="7" t="str">
        <x:v>CAL-CH-PEA-A-X2-04-4</x:v>
      </x:c>
      <x:c r="F663" s="7" t="str">
        <x:f>'Calibration Records'!M172</x:f>
        <x:v>OPEN</x:v>
      </x:c>
    </x:row>
    <x:row r="664">
      <x:c r="B664" s="7" t="str">
        <x:v>AG-00658</x:v>
      </x:c>
      <x:c r="C664" s="7" t="str">
        <x:v>PEA-A-X2</x:v>
      </x:c>
      <x:c r="D664" s="7" t="str">
        <x:v>factory calibration</x:v>
      </x:c>
      <x:c r="E664" s="7" t="str">
        <x:v>CAL-CH-PEA-A-X2-04-5</x:v>
      </x:c>
      <x:c r="F664" s="7" t="str">
        <x:f>'Calibration Records'!M173</x:f>
        <x:v>OPEN</x:v>
      </x:c>
    </x:row>
    <x:row r="665">
      <x:c r="B665" s="7" t="str">
        <x:v>AG-00659</x:v>
      </x:c>
      <x:c r="C665" s="7" t="str">
        <x:v>PEA-A-X2</x:v>
      </x:c>
      <x:c r="D665" s="7" t="str">
        <x:v>factory calibration</x:v>
      </x:c>
      <x:c r="E665" s="7" t="str">
        <x:v>CAL-CH-PEA-A-X2-04-6</x:v>
      </x:c>
      <x:c r="F665" s="7" t="str">
        <x:f>'Calibration Records'!M174</x:f>
        <x:v>OPEN</x:v>
      </x:c>
    </x:row>
    <x:row r="666">
      <x:c r="B666" s="7" t="str">
        <x:v>AG-00660</x:v>
      </x:c>
      <x:c r="C666" s="7" t="str">
        <x:v>PEA-A-X2</x:v>
      </x:c>
      <x:c r="D666" s="7" t="str">
        <x:v>factory calibration</x:v>
      </x:c>
      <x:c r="E666" s="7" t="str">
        <x:v>CAL-CH-PEA-A-X2-05-1</x:v>
      </x:c>
      <x:c r="F666" s="7" t="str">
        <x:f>'Calibration Records'!M175</x:f>
        <x:v>OPEN</x:v>
      </x:c>
    </x:row>
    <x:row r="667">
      <x:c r="B667" s="7" t="str">
        <x:v>AG-00661</x:v>
      </x:c>
      <x:c r="C667" s="7" t="str">
        <x:v>PEA-A-X2</x:v>
      </x:c>
      <x:c r="D667" s="7" t="str">
        <x:v>factory calibration</x:v>
      </x:c>
      <x:c r="E667" s="7" t="str">
        <x:v>CAL-CH-PEA-A-X2-05-2</x:v>
      </x:c>
      <x:c r="F667" s="7" t="str">
        <x:f>'Calibration Records'!M176</x:f>
        <x:v>OPEN</x:v>
      </x:c>
    </x:row>
    <x:row r="668">
      <x:c r="B668" s="7" t="str">
        <x:v>AG-00662</x:v>
      </x:c>
      <x:c r="C668" s="7" t="str">
        <x:v>PEA-A-X2</x:v>
      </x:c>
      <x:c r="D668" s="7" t="str">
        <x:v>factory calibration</x:v>
      </x:c>
      <x:c r="E668" s="7" t="str">
        <x:v>CAL-CH-PEA-A-X2-05-3</x:v>
      </x:c>
      <x:c r="F668" s="7" t="str">
        <x:f>'Calibration Records'!M177</x:f>
        <x:v>OPEN</x:v>
      </x:c>
    </x:row>
    <x:row r="669">
      <x:c r="B669" s="7" t="str">
        <x:v>AG-00663</x:v>
      </x:c>
      <x:c r="C669" s="7" t="str">
        <x:v>PEA-A-X2</x:v>
      </x:c>
      <x:c r="D669" s="7" t="str">
        <x:v>factory calibration</x:v>
      </x:c>
      <x:c r="E669" s="7" t="str">
        <x:v>CAL-CH-PEA-A-X2-05-4</x:v>
      </x:c>
      <x:c r="F669" s="7" t="str">
        <x:f>'Calibration Records'!M178</x:f>
        <x:v>OPEN</x:v>
      </x:c>
    </x:row>
    <x:row r="670">
      <x:c r="B670" s="7" t="str">
        <x:v>AG-00664</x:v>
      </x:c>
      <x:c r="C670" s="7" t="str">
        <x:v>PEA-A-X2</x:v>
      </x:c>
      <x:c r="D670" s="7" t="str">
        <x:v>factory calibration</x:v>
      </x:c>
      <x:c r="E670" s="7" t="str">
        <x:v>CAL-CH-PEA-A-X2-05-5</x:v>
      </x:c>
      <x:c r="F670" s="7" t="str">
        <x:f>'Calibration Records'!M179</x:f>
        <x:v>OPEN</x:v>
      </x:c>
    </x:row>
    <x:row r="671">
      <x:c r="B671" s="7" t="str">
        <x:v>AG-00665</x:v>
      </x:c>
      <x:c r="C671" s="7" t="str">
        <x:v>PEA-A-X2</x:v>
      </x:c>
      <x:c r="D671" s="7" t="str">
        <x:v>factory calibration</x:v>
      </x:c>
      <x:c r="E671" s="7" t="str">
        <x:v>CAL-CH-PEA-A-X2-05-6</x:v>
      </x:c>
      <x:c r="F671" s="7" t="str">
        <x:f>'Calibration Records'!M180</x:f>
        <x:v>OPEN</x:v>
      </x:c>
    </x:row>
    <x:row r="672">
      <x:c r="B672" s="7" t="str">
        <x:v>AG-00666</x:v>
      </x:c>
      <x:c r="C672" s="7" t="str">
        <x:v>PEA-A-X2</x:v>
      </x:c>
      <x:c r="D672" s="7" t="str">
        <x:v>factory calibration</x:v>
      </x:c>
      <x:c r="E672" s="7" t="str">
        <x:v>CAL-CH-PEA-A-X2-06-1</x:v>
      </x:c>
      <x:c r="F672" s="7" t="str">
        <x:f>'Calibration Records'!M181</x:f>
        <x:v>OPEN</x:v>
      </x:c>
    </x:row>
    <x:row r="673">
      <x:c r="B673" s="7" t="str">
        <x:v>AG-00667</x:v>
      </x:c>
      <x:c r="C673" s="7" t="str">
        <x:v>PEA-A-X2</x:v>
      </x:c>
      <x:c r="D673" s="7" t="str">
        <x:v>factory calibration</x:v>
      </x:c>
      <x:c r="E673" s="7" t="str">
        <x:v>CAL-CH-PEA-A-X2-06-2</x:v>
      </x:c>
      <x:c r="F673" s="7" t="str">
        <x:f>'Calibration Records'!M182</x:f>
        <x:v>OPEN</x:v>
      </x:c>
    </x:row>
    <x:row r="674">
      <x:c r="B674" s="7" t="str">
        <x:v>AG-00668</x:v>
      </x:c>
      <x:c r="C674" s="7" t="str">
        <x:v>PEA-A-X2</x:v>
      </x:c>
      <x:c r="D674" s="7" t="str">
        <x:v>factory calibration</x:v>
      </x:c>
      <x:c r="E674" s="7" t="str">
        <x:v>CAL-CH-PEA-A-X2-06-3</x:v>
      </x:c>
      <x:c r="F674" s="7" t="str">
        <x:f>'Calibration Records'!M183</x:f>
        <x:v>OPEN</x:v>
      </x:c>
    </x:row>
    <x:row r="675">
      <x:c r="B675" s="7" t="str">
        <x:v>AG-00669</x:v>
      </x:c>
      <x:c r="C675" s="7" t="str">
        <x:v>PEA-A-X2</x:v>
      </x:c>
      <x:c r="D675" s="7" t="str">
        <x:v>factory calibration</x:v>
      </x:c>
      <x:c r="E675" s="7" t="str">
        <x:v>CAL-CH-PEA-A-X2-06-4</x:v>
      </x:c>
      <x:c r="F675" s="7" t="str">
        <x:f>'Calibration Records'!M184</x:f>
        <x:v>OPEN</x:v>
      </x:c>
    </x:row>
    <x:row r="676">
      <x:c r="B676" s="7" t="str">
        <x:v>AG-00670</x:v>
      </x:c>
      <x:c r="C676" s="7" t="str">
        <x:v>PEA-A-X2</x:v>
      </x:c>
      <x:c r="D676" s="7" t="str">
        <x:v>factory calibration</x:v>
      </x:c>
      <x:c r="E676" s="7" t="str">
        <x:v>CAL-CH-PEA-A-X2-06-5</x:v>
      </x:c>
      <x:c r="F676" s="7" t="str">
        <x:f>'Calibration Records'!M185</x:f>
        <x:v>OPEN</x:v>
      </x:c>
    </x:row>
    <x:row r="677">
      <x:c r="B677" s="7" t="str">
        <x:v>AG-00671</x:v>
      </x:c>
      <x:c r="C677" s="7" t="str">
        <x:v>PEA-A-X2</x:v>
      </x:c>
      <x:c r="D677" s="7" t="str">
        <x:v>factory calibration</x:v>
      </x:c>
      <x:c r="E677" s="7" t="str">
        <x:v>CAL-CH-PEA-A-X2-06-6</x:v>
      </x:c>
      <x:c r="F677" s="7" t="str">
        <x:f>'Calibration Records'!M186</x:f>
        <x:v>OPEN</x:v>
      </x:c>
    </x:row>
    <x:row r="678">
      <x:c r="B678" s="7" t="str">
        <x:v>AG-00672</x:v>
      </x:c>
      <x:c r="C678" s="7" t="str">
        <x:v>PEA-A-X2</x:v>
      </x:c>
      <x:c r="D678" s="7" t="str">
        <x:v>factory calibration</x:v>
      </x:c>
      <x:c r="E678" s="7" t="str">
        <x:v>CAL-CH-PEA-A-X2-07-1</x:v>
      </x:c>
      <x:c r="F678" s="7" t="str">
        <x:f>'Calibration Records'!M187</x:f>
        <x:v>OPEN</x:v>
      </x:c>
    </x:row>
    <x:row r="679">
      <x:c r="B679" s="7" t="str">
        <x:v>AG-00673</x:v>
      </x:c>
      <x:c r="C679" s="7" t="str">
        <x:v>PEA-A-X2</x:v>
      </x:c>
      <x:c r="D679" s="7" t="str">
        <x:v>factory calibration</x:v>
      </x:c>
      <x:c r="E679" s="7" t="str">
        <x:v>CAL-CH-PEA-A-X2-07-2</x:v>
      </x:c>
      <x:c r="F679" s="7" t="str">
        <x:f>'Calibration Records'!M188</x:f>
        <x:v>OPEN</x:v>
      </x:c>
    </x:row>
    <x:row r="680">
      <x:c r="B680" s="7" t="str">
        <x:v>AG-00674</x:v>
      </x:c>
      <x:c r="C680" s="7" t="str">
        <x:v>PEA-A-X2</x:v>
      </x:c>
      <x:c r="D680" s="7" t="str">
        <x:v>factory calibration</x:v>
      </x:c>
      <x:c r="E680" s="7" t="str">
        <x:v>CAL-CH-PEA-A-X2-07-3</x:v>
      </x:c>
      <x:c r="F680" s="7" t="str">
        <x:f>'Calibration Records'!M189</x:f>
        <x:v>OPEN</x:v>
      </x:c>
    </x:row>
    <x:row r="681">
      <x:c r="B681" s="7" t="str">
        <x:v>AG-00675</x:v>
      </x:c>
      <x:c r="C681" s="7" t="str">
        <x:v>PEA-A-X2</x:v>
      </x:c>
      <x:c r="D681" s="7" t="str">
        <x:v>factory calibration</x:v>
      </x:c>
      <x:c r="E681" s="7" t="str">
        <x:v>CAL-CH-PEA-A-X2-07-4</x:v>
      </x:c>
      <x:c r="F681" s="7" t="str">
        <x:f>'Calibration Records'!M190</x:f>
        <x:v>OPEN</x:v>
      </x:c>
    </x:row>
    <x:row r="682">
      <x:c r="B682" s="7" t="str">
        <x:v>AG-00676</x:v>
      </x:c>
      <x:c r="C682" s="7" t="str">
        <x:v>PEA-A-X2</x:v>
      </x:c>
      <x:c r="D682" s="7" t="str">
        <x:v>factory calibration</x:v>
      </x:c>
      <x:c r="E682" s="7" t="str">
        <x:v>CAL-CH-PEA-A-X2-07-5</x:v>
      </x:c>
      <x:c r="F682" s="7" t="str">
        <x:f>'Calibration Records'!M191</x:f>
        <x:v>OPEN</x:v>
      </x:c>
    </x:row>
    <x:row r="683">
      <x:c r="B683" s="7" t="str">
        <x:v>AG-00677</x:v>
      </x:c>
      <x:c r="C683" s="7" t="str">
        <x:v>PEA-A-X2</x:v>
      </x:c>
      <x:c r="D683" s="7" t="str">
        <x:v>factory calibration</x:v>
      </x:c>
      <x:c r="E683" s="7" t="str">
        <x:v>CAL-CH-PEA-A-X2-07-6</x:v>
      </x:c>
      <x:c r="F683" s="7" t="str">
        <x:f>'Calibration Records'!M192</x:f>
        <x:v>OPEN</x:v>
      </x:c>
    </x:row>
    <x:row r="684">
      <x:c r="B684" s="7" t="str">
        <x:v>AG-00678</x:v>
      </x:c>
      <x:c r="C684" s="7" t="str">
        <x:v>PEA-A-X2</x:v>
      </x:c>
      <x:c r="D684" s="7" t="str">
        <x:v>factory calibration</x:v>
      </x:c>
      <x:c r="E684" s="7" t="str">
        <x:v>CAL-CH-PEA-A-X2-08-1</x:v>
      </x:c>
      <x:c r="F684" s="7" t="str">
        <x:f>'Calibration Records'!M193</x:f>
        <x:v>OPEN</x:v>
      </x:c>
    </x:row>
    <x:row r="685">
      <x:c r="B685" s="7" t="str">
        <x:v>AG-00679</x:v>
      </x:c>
      <x:c r="C685" s="7" t="str">
        <x:v>PEA-A-X2</x:v>
      </x:c>
      <x:c r="D685" s="7" t="str">
        <x:v>factory calibration</x:v>
      </x:c>
      <x:c r="E685" s="7" t="str">
        <x:v>CAL-CH-PEA-A-X2-08-2</x:v>
      </x:c>
      <x:c r="F685" s="7" t="str">
        <x:f>'Calibration Records'!M194</x:f>
        <x:v>OPEN</x:v>
      </x:c>
    </x:row>
    <x:row r="686">
      <x:c r="B686" s="7" t="str">
        <x:v>AG-00680</x:v>
      </x:c>
      <x:c r="C686" s="7" t="str">
        <x:v>PEA-A-X2</x:v>
      </x:c>
      <x:c r="D686" s="7" t="str">
        <x:v>factory calibration</x:v>
      </x:c>
      <x:c r="E686" s="7" t="str">
        <x:v>CAL-CH-PEA-A-X2-08-3</x:v>
      </x:c>
      <x:c r="F686" s="7" t="str">
        <x:f>'Calibration Records'!M195</x:f>
        <x:v>OPEN</x:v>
      </x:c>
    </x:row>
    <x:row r="687">
      <x:c r="B687" s="7" t="str">
        <x:v>AG-00681</x:v>
      </x:c>
      <x:c r="C687" s="7" t="str">
        <x:v>PEA-A-X2</x:v>
      </x:c>
      <x:c r="D687" s="7" t="str">
        <x:v>factory calibration</x:v>
      </x:c>
      <x:c r="E687" s="7" t="str">
        <x:v>CAL-CH-PEA-A-X2-08-4</x:v>
      </x:c>
      <x:c r="F687" s="7" t="str">
        <x:f>'Calibration Records'!M196</x:f>
        <x:v>OPEN</x:v>
      </x:c>
    </x:row>
    <x:row r="688">
      <x:c r="B688" s="7" t="str">
        <x:v>AG-00682</x:v>
      </x:c>
      <x:c r="C688" s="7" t="str">
        <x:v>PEA-A-X2</x:v>
      </x:c>
      <x:c r="D688" s="7" t="str">
        <x:v>factory calibration</x:v>
      </x:c>
      <x:c r="E688" s="7" t="str">
        <x:v>CAL-CH-PEA-A-X2-08-5</x:v>
      </x:c>
      <x:c r="F688" s="7" t="str">
        <x:f>'Calibration Records'!M197</x:f>
        <x:v>OPEN</x:v>
      </x:c>
    </x:row>
    <x:row r="689">
      <x:c r="B689" s="7" t="str">
        <x:v>AG-00683</x:v>
      </x:c>
      <x:c r="C689" s="7" t="str">
        <x:v>PEA-A-X2</x:v>
      </x:c>
      <x:c r="D689" s="7" t="str">
        <x:v>factory calibration</x:v>
      </x:c>
      <x:c r="E689" s="7" t="str">
        <x:v>CAL-CH-PEA-A-X2-08-6</x:v>
      </x:c>
      <x:c r="F689" s="7" t="str">
        <x:f>'Calibration Records'!M198</x:f>
        <x:v>OPEN</x:v>
      </x:c>
    </x:row>
    <x:row r="690">
      <x:c r="B690" s="7" t="str">
        <x:v>AG-00684</x:v>
      </x:c>
      <x:c r="C690" s="7" t="str">
        <x:v>PEA-A-X2</x:v>
      </x:c>
      <x:c r="D690" s="7" t="str">
        <x:v>factory calibration</x:v>
      </x:c>
      <x:c r="E690" s="7" t="str">
        <x:v>CAL-CH-PEA-A-X2-09-1</x:v>
      </x:c>
      <x:c r="F690" s="7" t="str">
        <x:f>'Calibration Records'!M199</x:f>
        <x:v>OPEN</x:v>
      </x:c>
    </x:row>
    <x:row r="691">
      <x:c r="B691" s="7" t="str">
        <x:v>AG-00685</x:v>
      </x:c>
      <x:c r="C691" s="7" t="str">
        <x:v>PEA-A-X2</x:v>
      </x:c>
      <x:c r="D691" s="7" t="str">
        <x:v>factory calibration</x:v>
      </x:c>
      <x:c r="E691" s="7" t="str">
        <x:v>CAL-CH-PEA-A-X2-09-2</x:v>
      </x:c>
      <x:c r="F691" s="7" t="str">
        <x:f>'Calibration Records'!M200</x:f>
        <x:v>OPEN</x:v>
      </x:c>
    </x:row>
    <x:row r="692">
      <x:c r="B692" s="7" t="str">
        <x:v>AG-00686</x:v>
      </x:c>
      <x:c r="C692" s="7" t="str">
        <x:v>PEA-A-X2</x:v>
      </x:c>
      <x:c r="D692" s="7" t="str">
        <x:v>factory calibration</x:v>
      </x:c>
      <x:c r="E692" s="7" t="str">
        <x:v>CAL-CH-PEA-A-X2-09-3</x:v>
      </x:c>
      <x:c r="F692" s="7" t="str">
        <x:f>'Calibration Records'!M201</x:f>
        <x:v>OPEN</x:v>
      </x:c>
    </x:row>
    <x:row r="693">
      <x:c r="B693" s="7" t="str">
        <x:v>AG-00687</x:v>
      </x:c>
      <x:c r="C693" s="7" t="str">
        <x:v>PEA-A-X2</x:v>
      </x:c>
      <x:c r="D693" s="7" t="str">
        <x:v>factory calibration</x:v>
      </x:c>
      <x:c r="E693" s="7" t="str">
        <x:v>CAL-CH-PEA-A-X2-09-4</x:v>
      </x:c>
      <x:c r="F693" s="7" t="str">
        <x:f>'Calibration Records'!M202</x:f>
        <x:v>OPEN</x:v>
      </x:c>
    </x:row>
    <x:row r="694">
      <x:c r="B694" s="7" t="str">
        <x:v>AG-00688</x:v>
      </x:c>
      <x:c r="C694" s="7" t="str">
        <x:v>PEA-A-X2</x:v>
      </x:c>
      <x:c r="D694" s="7" t="str">
        <x:v>factory calibration</x:v>
      </x:c>
      <x:c r="E694" s="7" t="str">
        <x:v>CAL-CH-PEA-A-X2-09-5</x:v>
      </x:c>
      <x:c r="F694" s="7" t="str">
        <x:f>'Calibration Records'!M203</x:f>
        <x:v>OPEN</x:v>
      </x:c>
    </x:row>
    <x:row r="695">
      <x:c r="B695" s="7" t="str">
        <x:v>AG-00689</x:v>
      </x:c>
      <x:c r="C695" s="7" t="str">
        <x:v>PEA-A-X2</x:v>
      </x:c>
      <x:c r="D695" s="7" t="str">
        <x:v>factory calibration</x:v>
      </x:c>
      <x:c r="E695" s="7" t="str">
        <x:v>CAL-CH-PEA-A-X2-09-6</x:v>
      </x:c>
      <x:c r="F695" s="7" t="str">
        <x:f>'Calibration Records'!M204</x:f>
        <x:v>OPEN</x:v>
      </x:c>
    </x:row>
    <x:row r="696">
      <x:c r="B696" s="7" t="str">
        <x:v>AG-00690</x:v>
      </x:c>
      <x:c r="C696" s="7" t="str">
        <x:v>PEA-A-X2</x:v>
      </x:c>
      <x:c r="D696" s="7" t="str">
        <x:v>factory calibration</x:v>
      </x:c>
      <x:c r="E696" s="7" t="str">
        <x:v>CAL-CH-PEA-A-X2-10-1</x:v>
      </x:c>
      <x:c r="F696" s="7" t="str">
        <x:f>'Calibration Records'!M205</x:f>
        <x:v>OPEN</x:v>
      </x:c>
    </x:row>
    <x:row r="697">
      <x:c r="B697" s="7" t="str">
        <x:v>AG-00691</x:v>
      </x:c>
      <x:c r="C697" s="7" t="str">
        <x:v>PEA-A-X2</x:v>
      </x:c>
      <x:c r="D697" s="7" t="str">
        <x:v>factory calibration</x:v>
      </x:c>
      <x:c r="E697" s="7" t="str">
        <x:v>CAL-CH-PEA-A-X2-10-2</x:v>
      </x:c>
      <x:c r="F697" s="7" t="str">
        <x:f>'Calibration Records'!M206</x:f>
        <x:v>OPEN</x:v>
      </x:c>
    </x:row>
    <x:row r="698">
      <x:c r="B698" s="7" t="str">
        <x:v>AG-00692</x:v>
      </x:c>
      <x:c r="C698" s="7" t="str">
        <x:v>PEA-A-X2</x:v>
      </x:c>
      <x:c r="D698" s="7" t="str">
        <x:v>factory calibration</x:v>
      </x:c>
      <x:c r="E698" s="7" t="str">
        <x:v>CAL-CH-PEA-A-X2-10-3</x:v>
      </x:c>
      <x:c r="F698" s="7" t="str">
        <x:f>'Calibration Records'!M207</x:f>
        <x:v>OPEN</x:v>
      </x:c>
    </x:row>
    <x:row r="699">
      <x:c r="B699" s="7" t="str">
        <x:v>AG-00693</x:v>
      </x:c>
      <x:c r="C699" s="7" t="str">
        <x:v>PEA-A-X2</x:v>
      </x:c>
      <x:c r="D699" s="7" t="str">
        <x:v>factory calibration</x:v>
      </x:c>
      <x:c r="E699" s="7" t="str">
        <x:v>CAL-CH-PEA-A-X2-10-4</x:v>
      </x:c>
      <x:c r="F699" s="7" t="str">
        <x:f>'Calibration Records'!M208</x:f>
        <x:v>OPEN</x:v>
      </x:c>
    </x:row>
    <x:row r="700">
      <x:c r="B700" s="7" t="str">
        <x:v>AG-00694</x:v>
      </x:c>
      <x:c r="C700" s="7" t="str">
        <x:v>PEA-A-X2</x:v>
      </x:c>
      <x:c r="D700" s="7" t="str">
        <x:v>factory calibration</x:v>
      </x:c>
      <x:c r="E700" s="7" t="str">
        <x:v>CAL-CH-PEA-A-X2-10-5</x:v>
      </x:c>
      <x:c r="F700" s="7" t="str">
        <x:f>'Calibration Records'!M209</x:f>
        <x:v>OPEN</x:v>
      </x:c>
    </x:row>
    <x:row r="701">
      <x:c r="B701" s="7" t="str">
        <x:v>AG-00695</x:v>
      </x:c>
      <x:c r="C701" s="7" t="str">
        <x:v>PEA-A-X2</x:v>
      </x:c>
      <x:c r="D701" s="7" t="str">
        <x:v>factory calibration</x:v>
      </x:c>
      <x:c r="E701" s="7" t="str">
        <x:v>CAL-CH-PEA-A-X2-10-6</x:v>
      </x:c>
      <x:c r="F701" s="7" t="str">
        <x:f>'Calibration Records'!M210</x:f>
        <x:v>OPEN</x:v>
      </x:c>
    </x:row>
    <x:row r="702">
      <x:c r="B702" s="7" t="str">
        <x:v>AG-00696</x:v>
      </x:c>
      <x:c r="C702" s="7" t="str">
        <x:v>PEA-A-X2</x:v>
      </x:c>
      <x:c r="D702" s="7" t="str">
        <x:v>factory calibration</x:v>
      </x:c>
      <x:c r="E702" s="7" t="str">
        <x:v>CAL-CH-PEA-A-X2-11-1</x:v>
      </x:c>
      <x:c r="F702" s="7" t="str">
        <x:f>'Calibration Records'!M211</x:f>
        <x:v>OPEN</x:v>
      </x:c>
    </x:row>
    <x:row r="703">
      <x:c r="B703" s="7" t="str">
        <x:v>AG-00697</x:v>
      </x:c>
      <x:c r="C703" s="7" t="str">
        <x:v>PEA-A-X2</x:v>
      </x:c>
      <x:c r="D703" s="7" t="str">
        <x:v>factory calibration</x:v>
      </x:c>
      <x:c r="E703" s="7" t="str">
        <x:v>CAL-CH-PEA-A-X2-11-2</x:v>
      </x:c>
      <x:c r="F703" s="7" t="str">
        <x:f>'Calibration Records'!M212</x:f>
        <x:v>OPEN</x:v>
      </x:c>
    </x:row>
    <x:row r="704">
      <x:c r="B704" s="7" t="str">
        <x:v>AG-00698</x:v>
      </x:c>
      <x:c r="C704" s="7" t="str">
        <x:v>PEA-A-X2</x:v>
      </x:c>
      <x:c r="D704" s="7" t="str">
        <x:v>factory calibration</x:v>
      </x:c>
      <x:c r="E704" s="7" t="str">
        <x:v>CAL-CH-PEA-A-X2-11-3</x:v>
      </x:c>
      <x:c r="F704" s="7" t="str">
        <x:f>'Calibration Records'!M213</x:f>
        <x:v>OPEN</x:v>
      </x:c>
    </x:row>
    <x:row r="705">
      <x:c r="B705" s="7" t="str">
        <x:v>AG-00699</x:v>
      </x:c>
      <x:c r="C705" s="7" t="str">
        <x:v>PEA-A-X2</x:v>
      </x:c>
      <x:c r="D705" s="7" t="str">
        <x:v>factory calibration</x:v>
      </x:c>
      <x:c r="E705" s="7" t="str">
        <x:v>CAL-CH-PEA-A-X2-11-4</x:v>
      </x:c>
      <x:c r="F705" s="7" t="str">
        <x:f>'Calibration Records'!M214</x:f>
        <x:v>OPEN</x:v>
      </x:c>
    </x:row>
    <x:row r="706">
      <x:c r="B706" s="7" t="str">
        <x:v>AG-00700</x:v>
      </x:c>
      <x:c r="C706" s="7" t="str">
        <x:v>PEA-A-X2</x:v>
      </x:c>
      <x:c r="D706" s="7" t="str">
        <x:v>factory calibration</x:v>
      </x:c>
      <x:c r="E706" s="7" t="str">
        <x:v>CAL-CH-PEA-A-X2-11-5</x:v>
      </x:c>
      <x:c r="F706" s="7" t="str">
        <x:f>'Calibration Records'!M215</x:f>
        <x:v>OPEN</x:v>
      </x:c>
    </x:row>
    <x:row r="707">
      <x:c r="B707" s="7" t="str">
        <x:v>AG-00701</x:v>
      </x:c>
      <x:c r="C707" s="7" t="str">
        <x:v>PEA-A-X2</x:v>
      </x:c>
      <x:c r="D707" s="7" t="str">
        <x:v>factory calibration</x:v>
      </x:c>
      <x:c r="E707" s="7" t="str">
        <x:v>CAL-CH-PEA-A-X2-11-6</x:v>
      </x:c>
      <x:c r="F707" s="7" t="str">
        <x:f>'Calibration Records'!M216</x:f>
        <x:v>OPEN</x:v>
      </x:c>
    </x:row>
    <x:row r="708">
      <x:c r="B708" s="7" t="str">
        <x:v>AG-00702</x:v>
      </x:c>
      <x:c r="C708" s="7" t="str">
        <x:v>PEA-A-X2</x:v>
      </x:c>
      <x:c r="D708" s="7" t="str">
        <x:v>factory calibration</x:v>
      </x:c>
      <x:c r="E708" s="7" t="str">
        <x:v>CAL-CH-PEA-A-X2-12-1</x:v>
      </x:c>
      <x:c r="F708" s="7" t="str">
        <x:f>'Calibration Records'!M217</x:f>
        <x:v>OPEN</x:v>
      </x:c>
    </x:row>
    <x:row r="709">
      <x:c r="B709" s="7" t="str">
        <x:v>AG-00703</x:v>
      </x:c>
      <x:c r="C709" s="7" t="str">
        <x:v>PEA-A-X2</x:v>
      </x:c>
      <x:c r="D709" s="7" t="str">
        <x:v>factory calibration</x:v>
      </x:c>
      <x:c r="E709" s="7" t="str">
        <x:v>CAL-CH-PEA-A-X2-12-2</x:v>
      </x:c>
      <x:c r="F709" s="7" t="str">
        <x:f>'Calibration Records'!M218</x:f>
        <x:v>OPEN</x:v>
      </x:c>
    </x:row>
    <x:row r="710">
      <x:c r="B710" s="7" t="str">
        <x:v>AG-00704</x:v>
      </x:c>
      <x:c r="C710" s="7" t="str">
        <x:v>PEA-A-X2</x:v>
      </x:c>
      <x:c r="D710" s="7" t="str">
        <x:v>factory calibration</x:v>
      </x:c>
      <x:c r="E710" s="7" t="str">
        <x:v>CAL-CH-PEA-A-X2-12-3</x:v>
      </x:c>
      <x:c r="F710" s="7" t="str">
        <x:f>'Calibration Records'!M219</x:f>
        <x:v>OPEN</x:v>
      </x:c>
    </x:row>
    <x:row r="711">
      <x:c r="B711" s="7" t="str">
        <x:v>AG-00705</x:v>
      </x:c>
      <x:c r="C711" s="7" t="str">
        <x:v>PEA-A-X2</x:v>
      </x:c>
      <x:c r="D711" s="7" t="str">
        <x:v>factory calibration</x:v>
      </x:c>
      <x:c r="E711" s="7" t="str">
        <x:v>CAL-CH-PEA-A-X2-12-4</x:v>
      </x:c>
      <x:c r="F711" s="7" t="str">
        <x:f>'Calibration Records'!M220</x:f>
        <x:v>OPEN</x:v>
      </x:c>
    </x:row>
    <x:row r="712">
      <x:c r="B712" s="7" t="str">
        <x:v>AG-00706</x:v>
      </x:c>
      <x:c r="C712" s="7" t="str">
        <x:v>PEA-A-X2</x:v>
      </x:c>
      <x:c r="D712" s="7" t="str">
        <x:v>factory calibration</x:v>
      </x:c>
      <x:c r="E712" s="7" t="str">
        <x:v>CAL-CH-PEA-A-X2-12-5</x:v>
      </x:c>
      <x:c r="F712" s="7" t="str">
        <x:f>'Calibration Records'!M221</x:f>
        <x:v>OPEN</x:v>
      </x:c>
    </x:row>
    <x:row r="713">
      <x:c r="B713" s="7" t="str">
        <x:v>AG-00707</x:v>
      </x:c>
      <x:c r="C713" s="7" t="str">
        <x:v>PEA-A-X2</x:v>
      </x:c>
      <x:c r="D713" s="7" t="str">
        <x:v>factory calibration</x:v>
      </x:c>
      <x:c r="E713" s="7" t="str">
        <x:v>CAL-CH-PEA-A-X2-12-6</x:v>
      </x:c>
      <x:c r="F713" s="7" t="str">
        <x:f>'Calibration Records'!M222</x:f>
        <x:v>OPEN</x:v>
      </x:c>
    </x:row>
    <x:row r="714">
      <x:c r="B714" s="7" t="str">
        <x:v>AG-00708</x:v>
      </x:c>
      <x:c r="C714" s="7" t="str">
        <x:v>PEA-A-X2</x:v>
      </x:c>
      <x:c r="D714" s="7" t="str">
        <x:v>factory calibration</x:v>
      </x:c>
      <x:c r="E714" s="7" t="str">
        <x:v>CAL-CH-PEA-A-X2-13-1</x:v>
      </x:c>
      <x:c r="F714" s="7" t="str">
        <x:f>'Calibration Records'!M223</x:f>
        <x:v>OPEN</x:v>
      </x:c>
    </x:row>
    <x:row r="715">
      <x:c r="B715" s="7" t="str">
        <x:v>AG-00709</x:v>
      </x:c>
      <x:c r="C715" s="7" t="str">
        <x:v>PEA-A-X2</x:v>
      </x:c>
      <x:c r="D715" s="7" t="str">
        <x:v>factory calibration</x:v>
      </x:c>
      <x:c r="E715" s="7" t="str">
        <x:v>CAL-CH-PEA-A-X2-13-2</x:v>
      </x:c>
      <x:c r="F715" s="7" t="str">
        <x:f>'Calibration Records'!M224</x:f>
        <x:v>OPEN</x:v>
      </x:c>
    </x:row>
    <x:row r="716">
      <x:c r="B716" s="7" t="str">
        <x:v>AG-00710</x:v>
      </x:c>
      <x:c r="C716" s="7" t="str">
        <x:v>PEA-A-X2</x:v>
      </x:c>
      <x:c r="D716" s="7" t="str">
        <x:v>factory calibration</x:v>
      </x:c>
      <x:c r="E716" s="7" t="str">
        <x:v>CAL-CH-PEA-A-X2-13-3</x:v>
      </x:c>
      <x:c r="F716" s="7" t="str">
        <x:f>'Calibration Records'!M225</x:f>
        <x:v>OPEN</x:v>
      </x:c>
    </x:row>
    <x:row r="717">
      <x:c r="B717" s="7" t="str">
        <x:v>AG-00711</x:v>
      </x:c>
      <x:c r="C717" s="7" t="str">
        <x:v>PEA-A-X2</x:v>
      </x:c>
      <x:c r="D717" s="7" t="str">
        <x:v>factory calibration</x:v>
      </x:c>
      <x:c r="E717" s="7" t="str">
        <x:v>CAL-CH-PEA-A-X2-13-4</x:v>
      </x:c>
      <x:c r="F717" s="7" t="str">
        <x:f>'Calibration Records'!M226</x:f>
        <x:v>OPEN</x:v>
      </x:c>
    </x:row>
    <x:row r="718">
      <x:c r="B718" s="7" t="str">
        <x:v>AG-00712</x:v>
      </x:c>
      <x:c r="C718" s="7" t="str">
        <x:v>PEA-A-X2</x:v>
      </x:c>
      <x:c r="D718" s="7" t="str">
        <x:v>factory calibration</x:v>
      </x:c>
      <x:c r="E718" s="7" t="str">
        <x:v>CAL-CH-PEA-A-X2-13-5</x:v>
      </x:c>
      <x:c r="F718" s="7" t="str">
        <x:f>'Calibration Records'!M227</x:f>
        <x:v>OPEN</x:v>
      </x:c>
    </x:row>
    <x:row r="719">
      <x:c r="B719" s="7" t="str">
        <x:v>AG-00713</x:v>
      </x:c>
      <x:c r="C719" s="7" t="str">
        <x:v>PEA-A-X2</x:v>
      </x:c>
      <x:c r="D719" s="7" t="str">
        <x:v>factory calibration</x:v>
      </x:c>
      <x:c r="E719" s="7" t="str">
        <x:v>CAL-CH-PEA-A-X2-13-6</x:v>
      </x:c>
      <x:c r="F719" s="7" t="str">
        <x:f>'Calibration Records'!M228</x:f>
        <x:v>OPEN</x:v>
      </x:c>
    </x:row>
    <x:row r="720">
      <x:c r="B720" s="7" t="str">
        <x:v>AG-00714</x:v>
      </x:c>
      <x:c r="C720" s="7" t="str">
        <x:v>PEA-A-X2</x:v>
      </x:c>
      <x:c r="D720" s="7" t="str">
        <x:v>factory calibration</x:v>
      </x:c>
      <x:c r="E720" s="7" t="str">
        <x:v>CAL-CH-PEA-A-X2-14-1</x:v>
      </x:c>
      <x:c r="F720" s="7" t="str">
        <x:f>'Calibration Records'!M229</x:f>
        <x:v>OPEN</x:v>
      </x:c>
    </x:row>
    <x:row r="721">
      <x:c r="B721" s="7" t="str">
        <x:v>AG-00715</x:v>
      </x:c>
      <x:c r="C721" s="7" t="str">
        <x:v>PEA-A-X2</x:v>
      </x:c>
      <x:c r="D721" s="7" t="str">
        <x:v>factory calibration</x:v>
      </x:c>
      <x:c r="E721" s="7" t="str">
        <x:v>CAL-CH-PEA-A-X2-14-2</x:v>
      </x:c>
      <x:c r="F721" s="7" t="str">
        <x:f>'Calibration Records'!M230</x:f>
        <x:v>OPEN</x:v>
      </x:c>
    </x:row>
    <x:row r="722">
      <x:c r="B722" s="7" t="str">
        <x:v>AG-00716</x:v>
      </x:c>
      <x:c r="C722" s="7" t="str">
        <x:v>PEA-A-X2</x:v>
      </x:c>
      <x:c r="D722" s="7" t="str">
        <x:v>factory calibration</x:v>
      </x:c>
      <x:c r="E722" s="7" t="str">
        <x:v>CAL-CH-PEA-A-X2-14-3</x:v>
      </x:c>
      <x:c r="F722" s="7" t="str">
        <x:f>'Calibration Records'!M231</x:f>
        <x:v>OPEN</x:v>
      </x:c>
    </x:row>
    <x:row r="723">
      <x:c r="B723" s="7" t="str">
        <x:v>AG-00717</x:v>
      </x:c>
      <x:c r="C723" s="7" t="str">
        <x:v>PEA-A-X2</x:v>
      </x:c>
      <x:c r="D723" s="7" t="str">
        <x:v>factory calibration</x:v>
      </x:c>
      <x:c r="E723" s="7" t="str">
        <x:v>CAL-CH-PEA-A-X2-14-4</x:v>
      </x:c>
      <x:c r="F723" s="7" t="str">
        <x:f>'Calibration Records'!M232</x:f>
        <x:v>OPEN</x:v>
      </x:c>
    </x:row>
    <x:row r="724">
      <x:c r="B724" s="7" t="str">
        <x:v>AG-00718</x:v>
      </x:c>
      <x:c r="C724" s="7" t="str">
        <x:v>PEA-A-X2</x:v>
      </x:c>
      <x:c r="D724" s="7" t="str">
        <x:v>factory calibration</x:v>
      </x:c>
      <x:c r="E724" s="7" t="str">
        <x:v>CAL-CH-PEA-A-X2-14-5</x:v>
      </x:c>
      <x:c r="F724" s="7" t="str">
        <x:f>'Calibration Records'!M233</x:f>
        <x:v>OPEN</x:v>
      </x:c>
    </x:row>
    <x:row r="725">
      <x:c r="B725" s="7" t="str">
        <x:v>AG-00719</x:v>
      </x:c>
      <x:c r="C725" s="7" t="str">
        <x:v>PEA-A-X2</x:v>
      </x:c>
      <x:c r="D725" s="7" t="str">
        <x:v>factory calibration</x:v>
      </x:c>
      <x:c r="E725" s="7" t="str">
        <x:v>CAL-CH-PEA-A-X2-14-6</x:v>
      </x:c>
      <x:c r="F725" s="7" t="str">
        <x:f>'Calibration Records'!M234</x:f>
        <x:v>OPEN</x:v>
      </x:c>
    </x:row>
    <x:row r="726">
      <x:c r="B726" s="7" t="str">
        <x:v>AG-00720</x:v>
      </x:c>
      <x:c r="C726" s="7" t="str">
        <x:v>PEA-A-X2</x:v>
      </x:c>
      <x:c r="D726" s="7" t="str">
        <x:v>factory calibration</x:v>
      </x:c>
      <x:c r="E726" s="7" t="str">
        <x:v>CAL-CH-PEA-A-X2-15-1</x:v>
      </x:c>
      <x:c r="F726" s="7" t="str">
        <x:f>'Calibration Records'!M235</x:f>
        <x:v>OPEN</x:v>
      </x:c>
    </x:row>
    <x:row r="727">
      <x:c r="B727" s="7" t="str">
        <x:v>AG-00721</x:v>
      </x:c>
      <x:c r="C727" s="7" t="str">
        <x:v>PEA-A-X2</x:v>
      </x:c>
      <x:c r="D727" s="7" t="str">
        <x:v>factory calibration</x:v>
      </x:c>
      <x:c r="E727" s="7" t="str">
        <x:v>CAL-CH-PEA-A-X2-15-2</x:v>
      </x:c>
      <x:c r="F727" s="7" t="str">
        <x:f>'Calibration Records'!M236</x:f>
        <x:v>OPEN</x:v>
      </x:c>
    </x:row>
    <x:row r="728">
      <x:c r="B728" s="7" t="str">
        <x:v>AG-00722</x:v>
      </x:c>
      <x:c r="C728" s="7" t="str">
        <x:v>PEA-A-X2</x:v>
      </x:c>
      <x:c r="D728" s="7" t="str">
        <x:v>factory calibration</x:v>
      </x:c>
      <x:c r="E728" s="7" t="str">
        <x:v>CAL-CH-PEA-A-X2-15-3</x:v>
      </x:c>
      <x:c r="F728" s="7" t="str">
        <x:f>'Calibration Records'!M237</x:f>
        <x:v>OPEN</x:v>
      </x:c>
    </x:row>
    <x:row r="729">
      <x:c r="B729" s="7" t="str">
        <x:v>AG-00723</x:v>
      </x:c>
      <x:c r="C729" s="7" t="str">
        <x:v>PEA-A-X2</x:v>
      </x:c>
      <x:c r="D729" s="7" t="str">
        <x:v>factory calibration</x:v>
      </x:c>
      <x:c r="E729" s="7" t="str">
        <x:v>CAL-CH-PEA-A-X2-15-4</x:v>
      </x:c>
      <x:c r="F729" s="7" t="str">
        <x:f>'Calibration Records'!M238</x:f>
        <x:v>OPEN</x:v>
      </x:c>
    </x:row>
    <x:row r="730">
      <x:c r="B730" s="7" t="str">
        <x:v>AG-00724</x:v>
      </x:c>
      <x:c r="C730" s="7" t="str">
        <x:v>PEA-A-X2</x:v>
      </x:c>
      <x:c r="D730" s="7" t="str">
        <x:v>factory calibration</x:v>
      </x:c>
      <x:c r="E730" s="7" t="str">
        <x:v>CAL-CH-PEA-A-X2-15-5</x:v>
      </x:c>
      <x:c r="F730" s="7" t="str">
        <x:f>'Calibration Records'!M239</x:f>
        <x:v>OPEN</x:v>
      </x:c>
    </x:row>
    <x:row r="731">
      <x:c r="B731" s="7" t="str">
        <x:v>AG-00725</x:v>
      </x:c>
      <x:c r="C731" s="7" t="str">
        <x:v>PEA-A-X2</x:v>
      </x:c>
      <x:c r="D731" s="7" t="str">
        <x:v>factory calibration</x:v>
      </x:c>
      <x:c r="E731" s="7" t="str">
        <x:v>CAL-CH-PEA-A-X2-15-6</x:v>
      </x:c>
      <x:c r="F731" s="7" t="str">
        <x:f>'Calibration Records'!M240</x:f>
        <x:v>OPEN</x:v>
      </x:c>
    </x:row>
    <x:row r="732">
      <x:c r="B732" s="7" t="str">
        <x:v>AG-00726</x:v>
      </x:c>
      <x:c r="C732" s="7" t="str">
        <x:v>PEA-A-X2</x:v>
      </x:c>
      <x:c r="D732" s="7" t="str">
        <x:v>factory calibration</x:v>
      </x:c>
      <x:c r="E732" s="7" t="str">
        <x:v>CAL-CH-PEA-A-X2-16-1</x:v>
      </x:c>
      <x:c r="F732" s="7" t="str">
        <x:f>'Calibration Records'!M241</x:f>
        <x:v>OPEN</x:v>
      </x:c>
    </x:row>
    <x:row r="733">
      <x:c r="B733" s="7" t="str">
        <x:v>AG-00727</x:v>
      </x:c>
      <x:c r="C733" s="7" t="str">
        <x:v>PEA-A-X2</x:v>
      </x:c>
      <x:c r="D733" s="7" t="str">
        <x:v>factory calibration</x:v>
      </x:c>
      <x:c r="E733" s="7" t="str">
        <x:v>CAL-CH-PEA-A-X2-16-2</x:v>
      </x:c>
      <x:c r="F733" s="7" t="str">
        <x:f>'Calibration Records'!M242</x:f>
        <x:v>OPEN</x:v>
      </x:c>
    </x:row>
    <x:row r="734">
      <x:c r="B734" s="7" t="str">
        <x:v>AG-00728</x:v>
      </x:c>
      <x:c r="C734" s="7" t="str">
        <x:v>PEA-A-X2</x:v>
      </x:c>
      <x:c r="D734" s="7" t="str">
        <x:v>factory calibration</x:v>
      </x:c>
      <x:c r="E734" s="7" t="str">
        <x:v>CAL-CH-PEA-A-X2-16-3</x:v>
      </x:c>
      <x:c r="F734" s="7" t="str">
        <x:f>'Calibration Records'!M243</x:f>
        <x:v>OPEN</x:v>
      </x:c>
    </x:row>
    <x:row r="735">
      <x:c r="B735" s="7" t="str">
        <x:v>AG-00729</x:v>
      </x:c>
      <x:c r="C735" s="7" t="str">
        <x:v>PEA-A-X2</x:v>
      </x:c>
      <x:c r="D735" s="7" t="str">
        <x:v>factory calibration</x:v>
      </x:c>
      <x:c r="E735" s="7" t="str">
        <x:v>CAL-CH-PEA-A-X2-16-4</x:v>
      </x:c>
      <x:c r="F735" s="7" t="str">
        <x:f>'Calibration Records'!M244</x:f>
        <x:v>OPEN</x:v>
      </x:c>
    </x:row>
    <x:row r="736">
      <x:c r="B736" s="7" t="str">
        <x:v>AG-00730</x:v>
      </x:c>
      <x:c r="C736" s="7" t="str">
        <x:v>PEA-A-X2</x:v>
      </x:c>
      <x:c r="D736" s="7" t="str">
        <x:v>factory calibration</x:v>
      </x:c>
      <x:c r="E736" s="7" t="str">
        <x:v>CAL-CH-PEA-A-X2-16-5</x:v>
      </x:c>
      <x:c r="F736" s="7" t="str">
        <x:f>'Calibration Records'!M245</x:f>
        <x:v>OPEN</x:v>
      </x:c>
    </x:row>
    <x:row r="737">
      <x:c r="B737" s="7" t="str">
        <x:v>AG-00731</x:v>
      </x:c>
      <x:c r="C737" s="7" t="str">
        <x:v>PEA-A-X2</x:v>
      </x:c>
      <x:c r="D737" s="7" t="str">
        <x:v>factory calibration</x:v>
      </x:c>
      <x:c r="E737" s="7" t="str">
        <x:v>CAL-CH-PEA-A-X2-16-6</x:v>
      </x:c>
      <x:c r="F737" s="7" t="str">
        <x:f>'Calibration Records'!M246</x:f>
        <x:v>OPEN</x:v>
      </x:c>
    </x:row>
    <x:row r="738">
      <x:c r="B738" s="7" t="str">
        <x:v>AG-00732</x:v>
      </x:c>
      <x:c r="C738" s="7" t="str">
        <x:v>PEA-A-X2</x:v>
      </x:c>
      <x:c r="D738" s="7" t="str">
        <x:v>factory calibration</x:v>
      </x:c>
      <x:c r="E738" s="7" t="str">
        <x:v>CAL-CH-PEA-A-X2-17-1</x:v>
      </x:c>
      <x:c r="F738" s="7" t="str">
        <x:f>'Calibration Records'!M247</x:f>
        <x:v>OPEN</x:v>
      </x:c>
    </x:row>
    <x:row r="739">
      <x:c r="B739" s="7" t="str">
        <x:v>AG-00733</x:v>
      </x:c>
      <x:c r="C739" s="7" t="str">
        <x:v>PEA-A-X2</x:v>
      </x:c>
      <x:c r="D739" s="7" t="str">
        <x:v>factory calibration</x:v>
      </x:c>
      <x:c r="E739" s="7" t="str">
        <x:v>CAL-CH-PEA-A-X2-17-2</x:v>
      </x:c>
      <x:c r="F739" s="7" t="str">
        <x:f>'Calibration Records'!M248</x:f>
        <x:v>OPEN</x:v>
      </x:c>
    </x:row>
    <x:row r="740">
      <x:c r="B740" s="7" t="str">
        <x:v>AG-00734</x:v>
      </x:c>
      <x:c r="C740" s="7" t="str">
        <x:v>PEA-A-X2</x:v>
      </x:c>
      <x:c r="D740" s="7" t="str">
        <x:v>factory calibration</x:v>
      </x:c>
      <x:c r="E740" s="7" t="str">
        <x:v>CAL-CH-PEA-A-X2-17-3</x:v>
      </x:c>
      <x:c r="F740" s="7" t="str">
        <x:f>'Calibration Records'!M249</x:f>
        <x:v>OPEN</x:v>
      </x:c>
    </x:row>
    <x:row r="741">
      <x:c r="B741" s="7" t="str">
        <x:v>AG-00735</x:v>
      </x:c>
      <x:c r="C741" s="7" t="str">
        <x:v>PEA-A-X2</x:v>
      </x:c>
      <x:c r="D741" s="7" t="str">
        <x:v>factory calibration</x:v>
      </x:c>
      <x:c r="E741" s="7" t="str">
        <x:v>CAL-CH-PEA-A-X2-17-4</x:v>
      </x:c>
      <x:c r="F741" s="7" t="str">
        <x:f>'Calibration Records'!M250</x:f>
        <x:v>OPEN</x:v>
      </x:c>
    </x:row>
    <x:row r="742">
      <x:c r="B742" s="7" t="str">
        <x:v>AG-00736</x:v>
      </x:c>
      <x:c r="C742" s="7" t="str">
        <x:v>PEA-A-X2</x:v>
      </x:c>
      <x:c r="D742" s="7" t="str">
        <x:v>factory calibration</x:v>
      </x:c>
      <x:c r="E742" s="7" t="str">
        <x:v>CAL-CH-PEA-A-X2-17-5</x:v>
      </x:c>
      <x:c r="F742" s="7" t="str">
        <x:f>'Calibration Records'!M251</x:f>
        <x:v>OPEN</x:v>
      </x:c>
    </x:row>
    <x:row r="743">
      <x:c r="B743" s="7" t="str">
        <x:v>AG-00737</x:v>
      </x:c>
      <x:c r="C743" s="7" t="str">
        <x:v>PEA-A-X2</x:v>
      </x:c>
      <x:c r="D743" s="7" t="str">
        <x:v>factory calibration</x:v>
      </x:c>
      <x:c r="E743" s="7" t="str">
        <x:v>CAL-CH-PEA-A-X2-17-6</x:v>
      </x:c>
      <x:c r="F743" s="7" t="str">
        <x:f>'Calibration Records'!M252</x:f>
        <x:v>OPEN</x:v>
      </x:c>
    </x:row>
    <x:row r="744">
      <x:c r="B744" s="7" t="str">
        <x:v>AG-00738</x:v>
      </x:c>
      <x:c r="C744" s="7" t="str">
        <x:v>PEA-A-X2</x:v>
      </x:c>
      <x:c r="D744" s="7" t="str">
        <x:v>factory calibration</x:v>
      </x:c>
      <x:c r="E744" s="7" t="str">
        <x:v>CAL-CH-PEA-A-X2-18-1</x:v>
      </x:c>
      <x:c r="F744" s="7" t="str">
        <x:f>'Calibration Records'!M253</x:f>
        <x:v>OPEN</x:v>
      </x:c>
    </x:row>
    <x:row r="745">
      <x:c r="B745" s="7" t="str">
        <x:v>AG-00739</x:v>
      </x:c>
      <x:c r="C745" s="7" t="str">
        <x:v>PEA-A-X2</x:v>
      </x:c>
      <x:c r="D745" s="7" t="str">
        <x:v>factory calibration</x:v>
      </x:c>
      <x:c r="E745" s="7" t="str">
        <x:v>CAL-CH-PEA-A-X2-18-2</x:v>
      </x:c>
      <x:c r="F745" s="7" t="str">
        <x:f>'Calibration Records'!M254</x:f>
        <x:v>OPEN</x:v>
      </x:c>
    </x:row>
    <x:row r="746">
      <x:c r="B746" s="7" t="str">
        <x:v>AG-00740</x:v>
      </x:c>
      <x:c r="C746" s="7" t="str">
        <x:v>PEA-A-X2</x:v>
      </x:c>
      <x:c r="D746" s="7" t="str">
        <x:v>factory calibration</x:v>
      </x:c>
      <x:c r="E746" s="7" t="str">
        <x:v>CAL-CH-PEA-A-X2-18-3</x:v>
      </x:c>
      <x:c r="F746" s="7" t="str">
        <x:f>'Calibration Records'!M255</x:f>
        <x:v>OPEN</x:v>
      </x:c>
    </x:row>
    <x:row r="747">
      <x:c r="B747" s="7" t="str">
        <x:v>AG-00741</x:v>
      </x:c>
      <x:c r="C747" s="7" t="str">
        <x:v>PEA-A-X2</x:v>
      </x:c>
      <x:c r="D747" s="7" t="str">
        <x:v>factory calibration</x:v>
      </x:c>
      <x:c r="E747" s="7" t="str">
        <x:v>CAL-CH-PEA-A-X2-18-4</x:v>
      </x:c>
      <x:c r="F747" s="7" t="str">
        <x:f>'Calibration Records'!M256</x:f>
        <x:v>OPEN</x:v>
      </x:c>
    </x:row>
    <x:row r="748">
      <x:c r="B748" s="7" t="str">
        <x:v>AG-00742</x:v>
      </x:c>
      <x:c r="C748" s="7" t="str">
        <x:v>PEA-A-X2</x:v>
      </x:c>
      <x:c r="D748" s="7" t="str">
        <x:v>factory calibration</x:v>
      </x:c>
      <x:c r="E748" s="7" t="str">
        <x:v>CAL-CH-PEA-A-X2-18-5</x:v>
      </x:c>
      <x:c r="F748" s="7" t="str">
        <x:f>'Calibration Records'!M257</x:f>
        <x:v>OPEN</x:v>
      </x:c>
    </x:row>
    <x:row r="749">
      <x:c r="B749" s="7" t="str">
        <x:v>AG-00743</x:v>
      </x:c>
      <x:c r="C749" s="7" t="str">
        <x:v>PEA-A-X2</x:v>
      </x:c>
      <x:c r="D749" s="7" t="str">
        <x:v>factory calibration</x:v>
      </x:c>
      <x:c r="E749" s="7" t="str">
        <x:v>CAL-CH-PEA-A-X2-18-6</x:v>
      </x:c>
      <x:c r="F749" s="7" t="str">
        <x:f>'Calibration Records'!M258</x:f>
        <x:v>OPEN</x:v>
      </x:c>
    </x:row>
    <x:row r="750">
      <x:c r="B750" s="7" t="str">
        <x:v>AG-00744</x:v>
      </x:c>
      <x:c r="C750" s="7" t="str">
        <x:v>PEA-A-X2</x:v>
      </x:c>
      <x:c r="D750" s="7" t="str">
        <x:v>factory calibration</x:v>
      </x:c>
      <x:c r="E750" s="7" t="str">
        <x:v>CAL-CH-PEA-A-X2-19-1</x:v>
      </x:c>
      <x:c r="F750" s="7" t="str">
        <x:f>'Calibration Records'!M259</x:f>
        <x:v>OPEN</x:v>
      </x:c>
    </x:row>
    <x:row r="751">
      <x:c r="B751" s="7" t="str">
        <x:v>AG-00745</x:v>
      </x:c>
      <x:c r="C751" s="7" t="str">
        <x:v>PEA-A-X2</x:v>
      </x:c>
      <x:c r="D751" s="7" t="str">
        <x:v>factory calibration</x:v>
      </x:c>
      <x:c r="E751" s="7" t="str">
        <x:v>CAL-CH-PEA-A-X2-19-2</x:v>
      </x:c>
      <x:c r="F751" s="7" t="str">
        <x:f>'Calibration Records'!M260</x:f>
        <x:v>OPEN</x:v>
      </x:c>
    </x:row>
    <x:row r="752">
      <x:c r="B752" s="7" t="str">
        <x:v>AG-00746</x:v>
      </x:c>
      <x:c r="C752" s="7" t="str">
        <x:v>PEA-A-X2</x:v>
      </x:c>
      <x:c r="D752" s="7" t="str">
        <x:v>factory calibration</x:v>
      </x:c>
      <x:c r="E752" s="7" t="str">
        <x:v>CAL-CH-PEA-A-X2-19-3</x:v>
      </x:c>
      <x:c r="F752" s="7" t="str">
        <x:f>'Calibration Records'!M261</x:f>
        <x:v>OPEN</x:v>
      </x:c>
    </x:row>
    <x:row r="753">
      <x:c r="B753" s="7" t="str">
        <x:v>AG-00747</x:v>
      </x:c>
      <x:c r="C753" s="7" t="str">
        <x:v>PEA-A-X2</x:v>
      </x:c>
      <x:c r="D753" s="7" t="str">
        <x:v>factory calibration</x:v>
      </x:c>
      <x:c r="E753" s="7" t="str">
        <x:v>CAL-CH-PEA-A-X2-19-4</x:v>
      </x:c>
      <x:c r="F753" s="7" t="str">
        <x:f>'Calibration Records'!M262</x:f>
        <x:v>OPEN</x:v>
      </x:c>
    </x:row>
    <x:row r="754">
      <x:c r="B754" s="7" t="str">
        <x:v>AG-00748</x:v>
      </x:c>
      <x:c r="C754" s="7" t="str">
        <x:v>PEA-A-X2</x:v>
      </x:c>
      <x:c r="D754" s="7" t="str">
        <x:v>factory calibration</x:v>
      </x:c>
      <x:c r="E754" s="7" t="str">
        <x:v>CAL-CH-PEA-A-X2-19-5</x:v>
      </x:c>
      <x:c r="F754" s="7" t="str">
        <x:f>'Calibration Records'!M263</x:f>
        <x:v>OPEN</x:v>
      </x:c>
    </x:row>
    <x:row r="755">
      <x:c r="B755" s="7" t="str">
        <x:v>AG-00749</x:v>
      </x:c>
      <x:c r="C755" s="7" t="str">
        <x:v>PEA-A-X2</x:v>
      </x:c>
      <x:c r="D755" s="7" t="str">
        <x:v>factory calibration</x:v>
      </x:c>
      <x:c r="E755" s="7" t="str">
        <x:v>CAL-CH-PEA-A-X2-19-6</x:v>
      </x:c>
      <x:c r="F755" s="7" t="str">
        <x:f>'Calibration Records'!M264</x:f>
        <x:v>OPEN</x:v>
      </x:c>
    </x:row>
    <x:row r="756">
      <x:c r="B756" s="7" t="str">
        <x:v>AG-00750</x:v>
      </x:c>
      <x:c r="C756" s="7" t="str">
        <x:v>PEA-A-X2</x:v>
      </x:c>
      <x:c r="D756" s="7" t="str">
        <x:v>factory calibration</x:v>
      </x:c>
      <x:c r="E756" s="7" t="str">
        <x:v>CAL-CH-PEA-A-X2-20-1</x:v>
      </x:c>
      <x:c r="F756" s="7" t="str">
        <x:f>'Calibration Records'!M265</x:f>
        <x:v>OPEN</x:v>
      </x:c>
    </x:row>
    <x:row r="757">
      <x:c r="B757" s="7" t="str">
        <x:v>AG-00751</x:v>
      </x:c>
      <x:c r="C757" s="7" t="str">
        <x:v>PEA-A-X2</x:v>
      </x:c>
      <x:c r="D757" s="7" t="str">
        <x:v>factory calibration</x:v>
      </x:c>
      <x:c r="E757" s="7" t="str">
        <x:v>CAL-CH-PEA-A-X2-20-2</x:v>
      </x:c>
      <x:c r="F757" s="7" t="str">
        <x:f>'Calibration Records'!M266</x:f>
        <x:v>OPEN</x:v>
      </x:c>
    </x:row>
    <x:row r="758">
      <x:c r="B758" s="7" t="str">
        <x:v>AG-00752</x:v>
      </x:c>
      <x:c r="C758" s="7" t="str">
        <x:v>PEA-A-X2</x:v>
      </x:c>
      <x:c r="D758" s="7" t="str">
        <x:v>factory calibration</x:v>
      </x:c>
      <x:c r="E758" s="7" t="str">
        <x:v>CAL-CH-PEA-A-X2-20-3</x:v>
      </x:c>
      <x:c r="F758" s="7" t="str">
        <x:f>'Calibration Records'!M267</x:f>
        <x:v>OPEN</x:v>
      </x:c>
    </x:row>
    <x:row r="759">
      <x:c r="B759" s="7" t="str">
        <x:v>AG-00753</x:v>
      </x:c>
      <x:c r="C759" s="7" t="str">
        <x:v>PEA-A-X2</x:v>
      </x:c>
      <x:c r="D759" s="7" t="str">
        <x:v>factory calibration</x:v>
      </x:c>
      <x:c r="E759" s="7" t="str">
        <x:v>CAL-CH-PEA-A-X2-20-4</x:v>
      </x:c>
      <x:c r="F759" s="7" t="str">
        <x:f>'Calibration Records'!M268</x:f>
        <x:v>OPEN</x:v>
      </x:c>
    </x:row>
    <x:row r="760">
      <x:c r="B760" s="7" t="str">
        <x:v>AG-00754</x:v>
      </x:c>
      <x:c r="C760" s="7" t="str">
        <x:v>PEA-A-X2</x:v>
      </x:c>
      <x:c r="D760" s="7" t="str">
        <x:v>factory calibration</x:v>
      </x:c>
      <x:c r="E760" s="7" t="str">
        <x:v>CAL-CH-PEA-A-X2-20-5</x:v>
      </x:c>
      <x:c r="F760" s="7" t="str">
        <x:f>'Calibration Records'!M269</x:f>
        <x:v>OPEN</x:v>
      </x:c>
    </x:row>
    <x:row r="761">
      <x:c r="B761" s="7" t="str">
        <x:v>AG-00755</x:v>
      </x:c>
      <x:c r="C761" s="7" t="str">
        <x:v>PEA-A-X2</x:v>
      </x:c>
      <x:c r="D761" s="7" t="str">
        <x:v>factory calibration</x:v>
      </x:c>
      <x:c r="E761" s="7" t="str">
        <x:v>CAL-CH-PEA-A-X2-20-6</x:v>
      </x:c>
      <x:c r="F761" s="7" t="str">
        <x:f>'Calibration Records'!M270</x:f>
        <x:v>OPEN</x:v>
      </x:c>
    </x:row>
    <x:row r="762">
      <x:c r="B762" s="7" t="str">
        <x:v>AG-00756</x:v>
      </x:c>
      <x:c r="C762" s="7" t="str">
        <x:v>PEA-A-X2</x:v>
      </x:c>
      <x:c r="D762" s="7" t="str">
        <x:v>factory calibration</x:v>
      </x:c>
      <x:c r="E762" s="7" t="str">
        <x:v>CAL-CH-PEA-A-X2-21-1</x:v>
      </x:c>
      <x:c r="F762" s="7" t="str">
        <x:f>'Calibration Records'!M271</x:f>
        <x:v>OPEN</x:v>
      </x:c>
    </x:row>
    <x:row r="763">
      <x:c r="B763" s="7" t="str">
        <x:v>AG-00757</x:v>
      </x:c>
      <x:c r="C763" s="7" t="str">
        <x:v>PEA-A-X2</x:v>
      </x:c>
      <x:c r="D763" s="7" t="str">
        <x:v>factory calibration</x:v>
      </x:c>
      <x:c r="E763" s="7" t="str">
        <x:v>CAL-CH-PEA-A-X2-21-2</x:v>
      </x:c>
      <x:c r="F763" s="7" t="str">
        <x:f>'Calibration Records'!M272</x:f>
        <x:v>OPEN</x:v>
      </x:c>
    </x:row>
    <x:row r="764">
      <x:c r="B764" s="7" t="str">
        <x:v>AG-00758</x:v>
      </x:c>
      <x:c r="C764" s="7" t="str">
        <x:v>PEA-A-X2</x:v>
      </x:c>
      <x:c r="D764" s="7" t="str">
        <x:v>factory calibration</x:v>
      </x:c>
      <x:c r="E764" s="7" t="str">
        <x:v>CAL-CH-PEA-A-X2-21-3</x:v>
      </x:c>
      <x:c r="F764" s="7" t="str">
        <x:f>'Calibration Records'!M273</x:f>
        <x:v>OPEN</x:v>
      </x:c>
    </x:row>
    <x:row r="765">
      <x:c r="B765" s="7" t="str">
        <x:v>AG-00759</x:v>
      </x:c>
      <x:c r="C765" s="7" t="str">
        <x:v>PEA-A-X2</x:v>
      </x:c>
      <x:c r="D765" s="7" t="str">
        <x:v>factory calibration</x:v>
      </x:c>
      <x:c r="E765" s="7" t="str">
        <x:v>CAL-CH-PEA-A-X2-21-4</x:v>
      </x:c>
      <x:c r="F765" s="7" t="str">
        <x:f>'Calibration Records'!M274</x:f>
        <x:v>OPEN</x:v>
      </x:c>
    </x:row>
    <x:row r="766">
      <x:c r="B766" s="7" t="str">
        <x:v>AG-00760</x:v>
      </x:c>
      <x:c r="C766" s="7" t="str">
        <x:v>PEA-A-X2</x:v>
      </x:c>
      <x:c r="D766" s="7" t="str">
        <x:v>factory calibration</x:v>
      </x:c>
      <x:c r="E766" s="7" t="str">
        <x:v>CAL-CH-PEA-A-X2-21-5</x:v>
      </x:c>
      <x:c r="F766" s="7" t="str">
        <x:f>'Calibration Records'!M275</x:f>
        <x:v>OPEN</x:v>
      </x:c>
    </x:row>
    <x:row r="767">
      <x:c r="B767" s="7" t="str">
        <x:v>AG-00761</x:v>
      </x:c>
      <x:c r="C767" s="7" t="str">
        <x:v>PEA-A-X2</x:v>
      </x:c>
      <x:c r="D767" s="7" t="str">
        <x:v>factory calibration</x:v>
      </x:c>
      <x:c r="E767" s="7" t="str">
        <x:v>CAL-CH-PEA-A-X2-21-6</x:v>
      </x:c>
      <x:c r="F767" s="7" t="str">
        <x:f>'Calibration Records'!M276</x:f>
        <x:v>OPEN</x:v>
      </x:c>
    </x:row>
    <x:row r="768">
      <x:c r="B768" s="7" t="str">
        <x:v>AG-00762</x:v>
      </x:c>
      <x:c r="C768" s="7" t="str">
        <x:v>PEA-A-X2</x:v>
      </x:c>
      <x:c r="D768" s="7" t="str">
        <x:v>factory calibration</x:v>
      </x:c>
      <x:c r="E768" s="7" t="str">
        <x:v>CAL-CH-PEA-A-X2-22-1</x:v>
      </x:c>
      <x:c r="F768" s="7" t="str">
        <x:f>'Calibration Records'!M277</x:f>
        <x:v>OPEN</x:v>
      </x:c>
    </x:row>
    <x:row r="769">
      <x:c r="B769" s="7" t="str">
        <x:v>AG-00763</x:v>
      </x:c>
      <x:c r="C769" s="7" t="str">
        <x:v>PEA-A-X2</x:v>
      </x:c>
      <x:c r="D769" s="7" t="str">
        <x:v>factory calibration</x:v>
      </x:c>
      <x:c r="E769" s="7" t="str">
        <x:v>CAL-CH-PEA-A-X2-22-2</x:v>
      </x:c>
      <x:c r="F769" s="7" t="str">
        <x:f>'Calibration Records'!M278</x:f>
        <x:v>OPEN</x:v>
      </x:c>
    </x:row>
    <x:row r="770">
      <x:c r="B770" s="7" t="str">
        <x:v>AG-00764</x:v>
      </x:c>
      <x:c r="C770" s="7" t="str">
        <x:v>PEA-A-X2</x:v>
      </x:c>
      <x:c r="D770" s="7" t="str">
        <x:v>factory calibration</x:v>
      </x:c>
      <x:c r="E770" s="7" t="str">
        <x:v>CAL-CH-PEA-A-X2-22-3</x:v>
      </x:c>
      <x:c r="F770" s="7" t="str">
        <x:f>'Calibration Records'!M279</x:f>
        <x:v>OPEN</x:v>
      </x:c>
    </x:row>
    <x:row r="771">
      <x:c r="B771" s="7" t="str">
        <x:v>AG-00765</x:v>
      </x:c>
      <x:c r="C771" s="7" t="str">
        <x:v>PEA-A-X2</x:v>
      </x:c>
      <x:c r="D771" s="7" t="str">
        <x:v>factory calibration</x:v>
      </x:c>
      <x:c r="E771" s="7" t="str">
        <x:v>CAL-CH-PEA-A-X2-22-4</x:v>
      </x:c>
      <x:c r="F771" s="7" t="str">
        <x:f>'Calibration Records'!M280</x:f>
        <x:v>OPEN</x:v>
      </x:c>
    </x:row>
    <x:row r="772">
      <x:c r="B772" s="7" t="str">
        <x:v>AG-00766</x:v>
      </x:c>
      <x:c r="C772" s="7" t="str">
        <x:v>PEA-A-X2</x:v>
      </x:c>
      <x:c r="D772" s="7" t="str">
        <x:v>factory calibration</x:v>
      </x:c>
      <x:c r="E772" s="7" t="str">
        <x:v>CAL-CH-PEA-A-X2-22-5</x:v>
      </x:c>
      <x:c r="F772" s="7" t="str">
        <x:f>'Calibration Records'!M281</x:f>
        <x:v>OPEN</x:v>
      </x:c>
    </x:row>
    <x:row r="773">
      <x:c r="B773" s="7" t="str">
        <x:v>AG-00767</x:v>
      </x:c>
      <x:c r="C773" s="7" t="str">
        <x:v>PEA-A-X2</x:v>
      </x:c>
      <x:c r="D773" s="7" t="str">
        <x:v>factory calibration</x:v>
      </x:c>
      <x:c r="E773" s="7" t="str">
        <x:v>CAL-CH-PEA-A-X2-22-6</x:v>
      </x:c>
      <x:c r="F773" s="7" t="str">
        <x:f>'Calibration Records'!M282</x:f>
        <x:v>OPEN</x:v>
      </x:c>
    </x:row>
    <x:row r="774">
      <x:c r="B774" s="7" t="str">
        <x:v>AG-00768</x:v>
      </x:c>
      <x:c r="C774" s="7" t="str">
        <x:v>PEA-A-X2</x:v>
      </x:c>
      <x:c r="D774" s="7" t="str">
        <x:v>factory calibration</x:v>
      </x:c>
      <x:c r="E774" s="7" t="str">
        <x:v>CAL-CH-PEA-A-X2-23-1</x:v>
      </x:c>
      <x:c r="F774" s="7" t="str">
        <x:f>'Calibration Records'!M283</x:f>
        <x:v>OPEN</x:v>
      </x:c>
    </x:row>
    <x:row r="775">
      <x:c r="B775" s="7" t="str">
        <x:v>AG-00769</x:v>
      </x:c>
      <x:c r="C775" s="7" t="str">
        <x:v>PEA-A-X2</x:v>
      </x:c>
      <x:c r="D775" s="7" t="str">
        <x:v>factory calibration</x:v>
      </x:c>
      <x:c r="E775" s="7" t="str">
        <x:v>CAL-CH-PEA-A-X2-23-2</x:v>
      </x:c>
      <x:c r="F775" s="7" t="str">
        <x:f>'Calibration Records'!M284</x:f>
        <x:v>OPEN</x:v>
      </x:c>
    </x:row>
    <x:row r="776">
      <x:c r="B776" s="7" t="str">
        <x:v>AG-00770</x:v>
      </x:c>
      <x:c r="C776" s="7" t="str">
        <x:v>PEA-A-X2</x:v>
      </x:c>
      <x:c r="D776" s="7" t="str">
        <x:v>factory calibration</x:v>
      </x:c>
      <x:c r="E776" s="7" t="str">
        <x:v>CAL-CH-PEA-A-X2-23-3</x:v>
      </x:c>
      <x:c r="F776" s="7" t="str">
        <x:f>'Calibration Records'!M285</x:f>
        <x:v>OPEN</x:v>
      </x:c>
    </x:row>
    <x:row r="777">
      <x:c r="B777" s="7" t="str">
        <x:v>AG-00771</x:v>
      </x:c>
      <x:c r="C777" s="7" t="str">
        <x:v>PEA-A-X2</x:v>
      </x:c>
      <x:c r="D777" s="7" t="str">
        <x:v>factory calibration</x:v>
      </x:c>
      <x:c r="E777" s="7" t="str">
        <x:v>CAL-CH-PEA-A-X2-23-4</x:v>
      </x:c>
      <x:c r="F777" s="7" t="str">
        <x:f>'Calibration Records'!M286</x:f>
        <x:v>OPEN</x:v>
      </x:c>
    </x:row>
    <x:row r="778">
      <x:c r="B778" s="7" t="str">
        <x:v>AG-00772</x:v>
      </x:c>
      <x:c r="C778" s="7" t="str">
        <x:v>PEA-A-X2</x:v>
      </x:c>
      <x:c r="D778" s="7" t="str">
        <x:v>factory calibration</x:v>
      </x:c>
      <x:c r="E778" s="7" t="str">
        <x:v>CAL-CH-PEA-A-X2-23-5</x:v>
      </x:c>
      <x:c r="F778" s="7" t="str">
        <x:f>'Calibration Records'!M287</x:f>
        <x:v>OPEN</x:v>
      </x:c>
    </x:row>
    <x:row r="779">
      <x:c r="B779" s="7" t="str">
        <x:v>AG-00773</x:v>
      </x:c>
      <x:c r="C779" s="7" t="str">
        <x:v>PEA-A-X2</x:v>
      </x:c>
      <x:c r="D779" s="7" t="str">
        <x:v>factory calibration</x:v>
      </x:c>
      <x:c r="E779" s="7" t="str">
        <x:v>CAL-CH-PEA-A-X2-23-6</x:v>
      </x:c>
      <x:c r="F779" s="7" t="str">
        <x:f>'Calibration Records'!M288</x:f>
        <x:v>OPEN</x:v>
      </x:c>
    </x:row>
    <x:row r="780">
      <x:c r="B780" s="7" t="str">
        <x:v>AG-00774</x:v>
      </x:c>
      <x:c r="C780" s="7" t="str">
        <x:v>PEA-A-X2</x:v>
      </x:c>
      <x:c r="D780" s="7" t="str">
        <x:v>factory calibration</x:v>
      </x:c>
      <x:c r="E780" s="7" t="str">
        <x:v>CAL-CH-PEA-A-X2-24-1</x:v>
      </x:c>
      <x:c r="F780" s="7" t="str">
        <x:f>'Calibration Records'!M289</x:f>
        <x:v>OPEN</x:v>
      </x:c>
    </x:row>
    <x:row r="781">
      <x:c r="B781" s="7" t="str">
        <x:v>AG-00775</x:v>
      </x:c>
      <x:c r="C781" s="7" t="str">
        <x:v>PEA-A-X2</x:v>
      </x:c>
      <x:c r="D781" s="7" t="str">
        <x:v>factory calibration</x:v>
      </x:c>
      <x:c r="E781" s="7" t="str">
        <x:v>CAL-CH-PEA-A-X2-24-2</x:v>
      </x:c>
      <x:c r="F781" s="7" t="str">
        <x:f>'Calibration Records'!M290</x:f>
        <x:v>OPEN</x:v>
      </x:c>
    </x:row>
    <x:row r="782">
      <x:c r="B782" s="7" t="str">
        <x:v>AG-00776</x:v>
      </x:c>
      <x:c r="C782" s="7" t="str">
        <x:v>PEA-A-X2</x:v>
      </x:c>
      <x:c r="D782" s="7" t="str">
        <x:v>factory calibration</x:v>
      </x:c>
      <x:c r="E782" s="7" t="str">
        <x:v>CAL-CH-PEA-A-X2-24-3</x:v>
      </x:c>
      <x:c r="F782" s="7" t="str">
        <x:f>'Calibration Records'!M291</x:f>
        <x:v>OPEN</x:v>
      </x:c>
    </x:row>
    <x:row r="783">
      <x:c r="B783" s="7" t="str">
        <x:v>AG-00777</x:v>
      </x:c>
      <x:c r="C783" s="7" t="str">
        <x:v>PEA-A-X2</x:v>
      </x:c>
      <x:c r="D783" s="7" t="str">
        <x:v>factory calibration</x:v>
      </x:c>
      <x:c r="E783" s="7" t="str">
        <x:v>CAL-CH-PEA-A-X2-24-4</x:v>
      </x:c>
      <x:c r="F783" s="7" t="str">
        <x:f>'Calibration Records'!M292</x:f>
        <x:v>OPEN</x:v>
      </x:c>
    </x:row>
    <x:row r="784">
      <x:c r="B784" s="7" t="str">
        <x:v>AG-00778</x:v>
      </x:c>
      <x:c r="C784" s="7" t="str">
        <x:v>PEA-A-X2</x:v>
      </x:c>
      <x:c r="D784" s="7" t="str">
        <x:v>factory calibration</x:v>
      </x:c>
      <x:c r="E784" s="7" t="str">
        <x:v>CAL-CH-PEA-A-X2-24-5</x:v>
      </x:c>
      <x:c r="F784" s="7" t="str">
        <x:f>'Calibration Records'!M293</x:f>
        <x:v>OPEN</x:v>
      </x:c>
    </x:row>
    <x:row r="785">
      <x:c r="B785" s="7" t="str">
        <x:v>AG-00779</x:v>
      </x:c>
      <x:c r="C785" s="7" t="str">
        <x:v>PEA-A-X2</x:v>
      </x:c>
      <x:c r="D785" s="7" t="str">
        <x:v>factory calibration</x:v>
      </x:c>
      <x:c r="E785" s="7" t="str">
        <x:v>CAL-CH-PEA-A-X2-24-6</x:v>
      </x:c>
      <x:c r="F785" s="7" t="str">
        <x:f>'Calibration Records'!M294</x:f>
        <x:v>OPEN</x:v>
      </x:c>
    </x:row>
    <x:row r="786">
      <x:c r="B786" s="7" t="str">
        <x:v>AG-00780</x:v>
      </x:c>
      <x:c r="C786" s="7" t="str">
        <x:v>PEA-A-X2</x:v>
      </x:c>
      <x:c r="D786" s="7" t="str">
        <x:v>article master</x:v>
      </x:c>
      <x:c r="E786" s="7" t="str">
        <x:v>PEA-A-X2</x:v>
      </x:c>
      <x:c r="F786" s="7" t="str">
        <x:f>'Article Population'!Q8</x:f>
        <x:v>OPEN</x:v>
      </x:c>
    </x:row>
    <x:row r="787">
      <x:c r="B787" s="7" t="str">
        <x:v>AG-00781</x:v>
      </x:c>
      <x:c r="C787" s="7" t="str">
        <x:v>PEA-A-X3</x:v>
      </x:c>
      <x:c r="D787" s="7" t="str">
        <x:v>lineage capsule</x:v>
      </x:c>
      <x:c r="E787" s="7" t="str">
        <x:v>BL-X</x:v>
      </x:c>
      <x:c r="F787" s="7" t="str">
        <x:f>'Baseline Package'!F7</x:f>
        <x:v>OPEN</x:v>
      </x:c>
    </x:row>
    <x:row r="788">
      <x:c r="B788" s="7" t="str">
        <x:v>AG-00782</x:v>
      </x:c>
      <x:c r="C788" s="7" t="str">
        <x:v>PEA-A-X3</x:v>
      </x:c>
      <x:c r="D788" s="7" t="str">
        <x:v>builder qualification</x:v>
      </x:c>
      <x:c r="E788" s="7" t="str">
        <x:v>BLD-A</x:v>
      </x:c>
      <x:c r="F788" s="7" t="str">
        <x:f>Builders!K7</x:f>
        <x:v>OPEN</x:v>
      </x:c>
    </x:row>
    <x:row r="789">
      <x:c r="B789" s="7" t="str">
        <x:v>AG-00783</x:v>
      </x:c>
      <x:c r="C789" s="7" t="str">
        <x:v>PEA-A-X3</x:v>
      </x:c>
      <x:c r="D789" s="7" t="str">
        <x:v>material split</x:v>
      </x:c>
      <x:c r="E789" s="7" t="str">
        <x:v>SPLIT-PEA-A-X3</x:v>
      </x:c>
      <x:c r="F789" s="7" t="str">
        <x:f>'Material Matrix'!K9</x:f>
        <x:v>OPEN</x:v>
      </x:c>
    </x:row>
    <x:row r="790">
      <x:c r="B790" s="7" t="str">
        <x:v>AG-00784</x:v>
      </x:c>
      <x:c r="C790" s="7" t="str">
        <x:v>PEA-A-X3</x:v>
      </x:c>
      <x:c r="D790" s="7" t="str">
        <x:v>build sequence</x:v>
      </x:c>
      <x:c r="E790" s="7" t="str">
        <x:v>SEQ-PEA-A-X3</x:v>
      </x:c>
      <x:c r="F790" s="7" t="str">
        <x:f>'Build Sequence'!L9</x:f>
        <x:v>OPEN</x:v>
      </x:c>
    </x:row>
    <x:row r="791">
      <x:c r="B791" s="7" t="str">
        <x:v>AG-00785</x:v>
      </x:c>
      <x:c r="C791" s="7" t="str">
        <x:v>PEA-A-X3</x:v>
      </x:c>
      <x:c r="D791" s="7" t="str">
        <x:v>section traveler</x:v>
      </x:c>
      <x:c r="E791" s="7" t="str">
        <x:v>TRV-PEA-A-X3-01</x:v>
      </x:c>
      <x:c r="F791" s="7" t="str">
        <x:f>'Section Travelers'!L47</x:f>
        <x:v>OPEN</x:v>
      </x:c>
    </x:row>
    <x:row r="792">
      <x:c r="B792" s="7" t="str">
        <x:v>AG-00786</x:v>
      </x:c>
      <x:c r="C792" s="7" t="str">
        <x:v>PEA-A-X3</x:v>
      </x:c>
      <x:c r="D792" s="7" t="str">
        <x:v>section traveler</x:v>
      </x:c>
      <x:c r="E792" s="7" t="str">
        <x:v>TRV-PEA-A-X3-02</x:v>
      </x:c>
      <x:c r="F792" s="7" t="str">
        <x:f>'Section Travelers'!L48</x:f>
        <x:v>OPEN</x:v>
      </x:c>
    </x:row>
    <x:row r="793">
      <x:c r="B793" s="7" t="str">
        <x:v>AG-00787</x:v>
      </x:c>
      <x:c r="C793" s="7" t="str">
        <x:v>PEA-A-X3</x:v>
      </x:c>
      <x:c r="D793" s="7" t="str">
        <x:v>section traveler</x:v>
      </x:c>
      <x:c r="E793" s="7" t="str">
        <x:v>TRV-PEA-A-X3-03</x:v>
      </x:c>
      <x:c r="F793" s="7" t="str">
        <x:f>'Section Travelers'!L49</x:f>
        <x:v>OPEN</x:v>
      </x:c>
    </x:row>
    <x:row r="794">
      <x:c r="B794" s="7" t="str">
        <x:v>AG-00788</x:v>
      </x:c>
      <x:c r="C794" s="7" t="str">
        <x:v>PEA-A-X3</x:v>
      </x:c>
      <x:c r="D794" s="7" t="str">
        <x:v>section traveler</x:v>
      </x:c>
      <x:c r="E794" s="7" t="str">
        <x:v>TRV-PEA-A-X3-04</x:v>
      </x:c>
      <x:c r="F794" s="7" t="str">
        <x:f>'Section Travelers'!L50</x:f>
        <x:v>OPEN</x:v>
      </x:c>
    </x:row>
    <x:row r="795">
      <x:c r="B795" s="7" t="str">
        <x:v>AG-00789</x:v>
      </x:c>
      <x:c r="C795" s="7" t="str">
        <x:v>PEA-A-X3</x:v>
      </x:c>
      <x:c r="D795" s="7" t="str">
        <x:v>section traveler</x:v>
      </x:c>
      <x:c r="E795" s="7" t="str">
        <x:v>TRV-PEA-A-X3-05</x:v>
      </x:c>
      <x:c r="F795" s="7" t="str">
        <x:f>'Section Travelers'!L51</x:f>
        <x:v>OPEN</x:v>
      </x:c>
    </x:row>
    <x:row r="796">
      <x:c r="B796" s="7" t="str">
        <x:v>AG-00790</x:v>
      </x:c>
      <x:c r="C796" s="7" t="str">
        <x:v>PEA-A-X3</x:v>
      </x:c>
      <x:c r="D796" s="7" t="str">
        <x:v>section traveler</x:v>
      </x:c>
      <x:c r="E796" s="7" t="str">
        <x:v>TRV-PEA-A-X3-06</x:v>
      </x:c>
      <x:c r="F796" s="7" t="str">
        <x:f>'Section Travelers'!L52</x:f>
        <x:v>OPEN</x:v>
      </x:c>
    </x:row>
    <x:row r="797">
      <x:c r="B797" s="7" t="str">
        <x:v>AG-00791</x:v>
      </x:c>
      <x:c r="C797" s="7" t="str">
        <x:v>PEA-A-X3</x:v>
      </x:c>
      <x:c r="D797" s="7" t="str">
        <x:v>section traveler</x:v>
      </x:c>
      <x:c r="E797" s="7" t="str">
        <x:v>TRV-PEA-A-X3-07</x:v>
      </x:c>
      <x:c r="F797" s="7" t="str">
        <x:f>'Section Travelers'!L53</x:f>
        <x:v>OPEN</x:v>
      </x:c>
    </x:row>
    <x:row r="798">
      <x:c r="B798" s="7" t="str">
        <x:v>AG-00792</x:v>
      </x:c>
      <x:c r="C798" s="7" t="str">
        <x:v>PEA-A-X3</x:v>
      </x:c>
      <x:c r="D798" s="7" t="str">
        <x:v>section traveler</x:v>
      </x:c>
      <x:c r="E798" s="7" t="str">
        <x:v>TRV-PEA-A-X3-08</x:v>
      </x:c>
      <x:c r="F798" s="7" t="str">
        <x:f>'Section Travelers'!L54</x:f>
        <x:v>OPEN</x:v>
      </x:c>
    </x:row>
    <x:row r="799">
      <x:c r="B799" s="7" t="str">
        <x:v>AG-00793</x:v>
      </x:c>
      <x:c r="C799" s="7" t="str">
        <x:v>PEA-A-X3</x:v>
      </x:c>
      <x:c r="D799" s="7" t="str">
        <x:v>section traveler</x:v>
      </x:c>
      <x:c r="E799" s="7" t="str">
        <x:v>TRV-PEA-A-X3-09</x:v>
      </x:c>
      <x:c r="F799" s="7" t="str">
        <x:f>'Section Travelers'!L55</x:f>
        <x:v>OPEN</x:v>
      </x:c>
    </x:row>
    <x:row r="800">
      <x:c r="B800" s="7" t="str">
        <x:v>AG-00794</x:v>
      </x:c>
      <x:c r="C800" s="7" t="str">
        <x:v>PEA-A-X3</x:v>
      </x:c>
      <x:c r="D800" s="7" t="str">
        <x:v>section traveler</x:v>
      </x:c>
      <x:c r="E800" s="7" t="str">
        <x:v>TRV-PEA-A-X3-10</x:v>
      </x:c>
      <x:c r="F800" s="7" t="str">
        <x:f>'Section Travelers'!L56</x:f>
        <x:v>OPEN</x:v>
      </x:c>
    </x:row>
    <x:row r="801">
      <x:c r="B801" s="7" t="str">
        <x:v>AG-00795</x:v>
      </x:c>
      <x:c r="C801" s="7" t="str">
        <x:v>PEA-A-X3</x:v>
      </x:c>
      <x:c r="D801" s="7" t="str">
        <x:v>section traveler</x:v>
      </x:c>
      <x:c r="E801" s="7" t="str">
        <x:v>TRV-PEA-A-X3-11</x:v>
      </x:c>
      <x:c r="F801" s="7" t="str">
        <x:f>'Section Travelers'!L57</x:f>
        <x:v>OPEN</x:v>
      </x:c>
    </x:row>
    <x:row r="802">
      <x:c r="B802" s="7" t="str">
        <x:v>AG-00796</x:v>
      </x:c>
      <x:c r="C802" s="7" t="str">
        <x:v>PEA-A-X3</x:v>
      </x:c>
      <x:c r="D802" s="7" t="str">
        <x:v>section traveler</x:v>
      </x:c>
      <x:c r="E802" s="7" t="str">
        <x:v>TRV-PEA-A-X3-12</x:v>
      </x:c>
      <x:c r="F802" s="7" t="str">
        <x:f>'Section Travelers'!L58</x:f>
        <x:v>OPEN</x:v>
      </x:c>
    </x:row>
    <x:row r="803">
      <x:c r="B803" s="7" t="str">
        <x:v>AG-00797</x:v>
      </x:c>
      <x:c r="C803" s="7" t="str">
        <x:v>PEA-A-X3</x:v>
      </x:c>
      <x:c r="D803" s="7" t="str">
        <x:v>section traveler</x:v>
      </x:c>
      <x:c r="E803" s="7" t="str">
        <x:v>TRV-PEA-A-X3-13</x:v>
      </x:c>
      <x:c r="F803" s="7" t="str">
        <x:f>'Section Travelers'!L59</x:f>
        <x:v>OPEN</x:v>
      </x:c>
    </x:row>
    <x:row r="804">
      <x:c r="B804" s="7" t="str">
        <x:v>AG-00798</x:v>
      </x:c>
      <x:c r="C804" s="7" t="str">
        <x:v>PEA-A-X3</x:v>
      </x:c>
      <x:c r="D804" s="7" t="str">
        <x:v>section traveler</x:v>
      </x:c>
      <x:c r="E804" s="7" t="str">
        <x:v>TRV-PEA-A-X3-14</x:v>
      </x:c>
      <x:c r="F804" s="7" t="str">
        <x:f>'Section Travelers'!L60</x:f>
        <x:v>OPEN</x:v>
      </x:c>
    </x:row>
    <x:row r="805">
      <x:c r="B805" s="7" t="str">
        <x:v>AG-00799</x:v>
      </x:c>
      <x:c r="C805" s="7" t="str">
        <x:v>PEA-A-X3</x:v>
      </x:c>
      <x:c r="D805" s="7" t="str">
        <x:v>section traveler</x:v>
      </x:c>
      <x:c r="E805" s="7" t="str">
        <x:v>TRV-PEA-A-X3-15</x:v>
      </x:c>
      <x:c r="F805" s="7" t="str">
        <x:f>'Section Travelers'!L61</x:f>
        <x:v>OPEN</x:v>
      </x:c>
    </x:row>
    <x:row r="806">
      <x:c r="B806" s="7" t="str">
        <x:v>AG-00800</x:v>
      </x:c>
      <x:c r="C806" s="7" t="str">
        <x:v>PEA-A-X3</x:v>
      </x:c>
      <x:c r="D806" s="7" t="str">
        <x:v>section traveler</x:v>
      </x:c>
      <x:c r="E806" s="7" t="str">
        <x:v>TRV-PEA-A-X3-16</x:v>
      </x:c>
      <x:c r="F806" s="7" t="str">
        <x:f>'Section Travelers'!L62</x:f>
        <x:v>OPEN</x:v>
      </x:c>
    </x:row>
    <x:row r="807">
      <x:c r="B807" s="7" t="str">
        <x:v>AG-00801</x:v>
      </x:c>
      <x:c r="C807" s="7" t="str">
        <x:v>PEA-A-X3</x:v>
      </x:c>
      <x:c r="D807" s="7" t="str">
        <x:v>section traveler</x:v>
      </x:c>
      <x:c r="E807" s="7" t="str">
        <x:v>TRV-PEA-A-X3-17</x:v>
      </x:c>
      <x:c r="F807" s="7" t="str">
        <x:f>'Section Travelers'!L63</x:f>
        <x:v>OPEN</x:v>
      </x:c>
    </x:row>
    <x:row r="808">
      <x:c r="B808" s="7" t="str">
        <x:v>AG-00802</x:v>
      </x:c>
      <x:c r="C808" s="7" t="str">
        <x:v>PEA-A-X3</x:v>
      </x:c>
      <x:c r="D808" s="7" t="str">
        <x:v>section traveler</x:v>
      </x:c>
      <x:c r="E808" s="7" t="str">
        <x:v>TRV-PEA-A-X3-18</x:v>
      </x:c>
      <x:c r="F808" s="7" t="str">
        <x:f>'Section Travelers'!L64</x:f>
        <x:v>OPEN</x:v>
      </x:c>
    </x:row>
    <x:row r="809">
      <x:c r="B809" s="7" t="str">
        <x:v>AG-00803</x:v>
      </x:c>
      <x:c r="C809" s="7" t="str">
        <x:v>PEA-A-X3</x:v>
      </x:c>
      <x:c r="D809" s="7" t="str">
        <x:v>section traveler</x:v>
      </x:c>
      <x:c r="E809" s="7" t="str">
        <x:v>TRV-PEA-A-X3-19</x:v>
      </x:c>
      <x:c r="F809" s="7" t="str">
        <x:f>'Section Travelers'!L65</x:f>
        <x:v>OPEN</x:v>
      </x:c>
    </x:row>
    <x:row r="810">
      <x:c r="B810" s="7" t="str">
        <x:v>AG-00804</x:v>
      </x:c>
      <x:c r="C810" s="7" t="str">
        <x:v>PEA-A-X3</x:v>
      </x:c>
      <x:c r="D810" s="7" t="str">
        <x:v>section traveler</x:v>
      </x:c>
      <x:c r="E810" s="7" t="str">
        <x:v>TRV-PEA-A-X3-20</x:v>
      </x:c>
      <x:c r="F810" s="7" t="str">
        <x:f>'Section Travelers'!L66</x:f>
        <x:v>OPEN</x:v>
      </x:c>
    </x:row>
    <x:row r="811">
      <x:c r="B811" s="7" t="str">
        <x:v>AG-00805</x:v>
      </x:c>
      <x:c r="C811" s="7" t="str">
        <x:v>PEA-A-X3</x:v>
      </x:c>
      <x:c r="D811" s="7" t="str">
        <x:v>material coupon</x:v>
      </x:c>
      <x:c r="E811" s="7" t="str">
        <x:v>CPN-PEA-A-X3-CJ-1</x:v>
      </x:c>
      <x:c r="F811" s="7" t="str">
        <x:f>'Material Coupons'!K87</x:f>
        <x:v>OPEN</x:v>
      </x:c>
    </x:row>
    <x:row r="812">
      <x:c r="B812" s="7" t="str">
        <x:v>AG-00806</x:v>
      </x:c>
      <x:c r="C812" s="7" t="str">
        <x:v>PEA-A-X3</x:v>
      </x:c>
      <x:c r="D812" s="7" t="str">
        <x:v>material coupon</x:v>
      </x:c>
      <x:c r="E812" s="7" t="str">
        <x:v>CPN-PEA-A-X3-CJ-2</x:v>
      </x:c>
      <x:c r="F812" s="7" t="str">
        <x:f>'Material Coupons'!K88</x:f>
        <x:v>OPEN</x:v>
      </x:c>
    </x:row>
    <x:row r="813">
      <x:c r="B813" s="7" t="str">
        <x:v>AG-00807</x:v>
      </x:c>
      <x:c r="C813" s="7" t="str">
        <x:v>PEA-A-X3</x:v>
      </x:c>
      <x:c r="D813" s="7" t="str">
        <x:v>material coupon</x:v>
      </x:c>
      <x:c r="E813" s="7" t="str">
        <x:v>CPN-PEA-A-X3-CJ-3</x:v>
      </x:c>
      <x:c r="F813" s="7" t="str">
        <x:f>'Material Coupons'!K89</x:f>
        <x:v>OPEN</x:v>
      </x:c>
    </x:row>
    <x:row r="814">
      <x:c r="B814" s="7" t="str">
        <x:v>AG-00808</x:v>
      </x:c>
      <x:c r="C814" s="7" t="str">
        <x:v>PEA-A-X3</x:v>
      </x:c>
      <x:c r="D814" s="7" t="str">
        <x:v>material coupon</x:v>
      </x:c>
      <x:c r="E814" s="7" t="str">
        <x:v>CPN-PEA-A-X3-CJ-4</x:v>
      </x:c>
      <x:c r="F814" s="7" t="str">
        <x:f>'Material Coupons'!K90</x:f>
        <x:v>OPEN</x:v>
      </x:c>
    </x:row>
    <x:row r="815">
      <x:c r="B815" s="7" t="str">
        <x:v>AG-00809</x:v>
      </x:c>
      <x:c r="C815" s="7" t="str">
        <x:v>PEA-A-X3</x:v>
      </x:c>
      <x:c r="D815" s="7" t="str">
        <x:v>material coupon</x:v>
      </x:c>
      <x:c r="E815" s="7" t="str">
        <x:v>CPN-PEA-A-X3-CJ-5</x:v>
      </x:c>
      <x:c r="F815" s="7" t="str">
        <x:f>'Material Coupons'!K91</x:f>
        <x:v>OPEN</x:v>
      </x:c>
    </x:row>
    <x:row r="816">
      <x:c r="B816" s="7" t="str">
        <x:v>AG-00810</x:v>
      </x:c>
      <x:c r="C816" s="7" t="str">
        <x:v>PEA-A-X3</x:v>
      </x:c>
      <x:c r="D816" s="7" t="str">
        <x:v>material coupon</x:v>
      </x:c>
      <x:c r="E816" s="7" t="str">
        <x:v>CPN-PEA-A-X3-CJ-6</x:v>
      </x:c>
      <x:c r="F816" s="7" t="str">
        <x:f>'Material Coupons'!K92</x:f>
        <x:v>OPEN</x:v>
      </x:c>
    </x:row>
    <x:row r="817">
      <x:c r="B817" s="7" t="str">
        <x:v>AG-00811</x:v>
      </x:c>
      <x:c r="C817" s="7" t="str">
        <x:v>PEA-A-X3</x:v>
      </x:c>
      <x:c r="D817" s="7" t="str">
        <x:v>material coupon</x:v>
      </x:c>
      <x:c r="E817" s="7" t="str">
        <x:v>CPN-PEA-A-X3-CJ-7</x:v>
      </x:c>
      <x:c r="F817" s="7" t="str">
        <x:f>'Material Coupons'!K93</x:f>
        <x:v>OPEN</x:v>
      </x:c>
    </x:row>
    <x:row r="818">
      <x:c r="B818" s="7" t="str">
        <x:v>AG-00812</x:v>
      </x:c>
      <x:c r="C818" s="7" t="str">
        <x:v>PEA-A-X3</x:v>
      </x:c>
      <x:c r="D818" s="7" t="str">
        <x:v>material coupon</x:v>
      </x:c>
      <x:c r="E818" s="7" t="str">
        <x:v>CPN-PEA-A-X3-CJ-8</x:v>
      </x:c>
      <x:c r="F818" s="7" t="str">
        <x:f>'Material Coupons'!K94</x:f>
        <x:v>OPEN</x:v>
      </x:c>
    </x:row>
    <x:row r="819">
      <x:c r="B819" s="7" t="str">
        <x:v>AG-00813</x:v>
      </x:c>
      <x:c r="C819" s="7" t="str">
        <x:v>PEA-A-X3</x:v>
      </x:c>
      <x:c r="D819" s="7" t="str">
        <x:v>material coupon</x:v>
      </x:c>
      <x:c r="E819" s="7" t="str">
        <x:v>CPN-PEA-A-X3-SE-1</x:v>
      </x:c>
      <x:c r="F819" s="7" t="str">
        <x:f>'Material Coupons'!K95</x:f>
        <x:v>OPEN</x:v>
      </x:c>
    </x:row>
    <x:row r="820">
      <x:c r="B820" s="7" t="str">
        <x:v>AG-00814</x:v>
      </x:c>
      <x:c r="C820" s="7" t="str">
        <x:v>PEA-A-X3</x:v>
      </x:c>
      <x:c r="D820" s="7" t="str">
        <x:v>material coupon</x:v>
      </x:c>
      <x:c r="E820" s="7" t="str">
        <x:v>CPN-PEA-A-X3-SE-2</x:v>
      </x:c>
      <x:c r="F820" s="7" t="str">
        <x:f>'Material Coupons'!K96</x:f>
        <x:v>OPEN</x:v>
      </x:c>
    </x:row>
    <x:row r="821">
      <x:c r="B821" s="7" t="str">
        <x:v>AG-00815</x:v>
      </x:c>
      <x:c r="C821" s="7" t="str">
        <x:v>PEA-A-X3</x:v>
      </x:c>
      <x:c r="D821" s="7" t="str">
        <x:v>material coupon</x:v>
      </x:c>
      <x:c r="E821" s="7" t="str">
        <x:v>CPN-PEA-A-X3-SE-3</x:v>
      </x:c>
      <x:c r="F821" s="7" t="str">
        <x:f>'Material Coupons'!K97</x:f>
        <x:v>OPEN</x:v>
      </x:c>
    </x:row>
    <x:row r="822">
      <x:c r="B822" s="7" t="str">
        <x:v>AG-00816</x:v>
      </x:c>
      <x:c r="C822" s="7" t="str">
        <x:v>PEA-A-X3</x:v>
      </x:c>
      <x:c r="D822" s="7" t="str">
        <x:v>material coupon</x:v>
      </x:c>
      <x:c r="E822" s="7" t="str">
        <x:v>CPN-PEA-A-X3-SE-4</x:v>
      </x:c>
      <x:c r="F822" s="7" t="str">
        <x:f>'Material Coupons'!K98</x:f>
        <x:v>OPEN</x:v>
      </x:c>
    </x:row>
    <x:row r="823">
      <x:c r="B823" s="7" t="str">
        <x:v>AG-00817</x:v>
      </x:c>
      <x:c r="C823" s="7" t="str">
        <x:v>PEA-A-X3</x:v>
      </x:c>
      <x:c r="D823" s="7" t="str">
        <x:v>material coupon</x:v>
      </x:c>
      <x:c r="E823" s="7" t="str">
        <x:v>CPN-PEA-A-X3-SE-5</x:v>
      </x:c>
      <x:c r="F823" s="7" t="str">
        <x:f>'Material Coupons'!K99</x:f>
        <x:v>OPEN</x:v>
      </x:c>
    </x:row>
    <x:row r="824">
      <x:c r="B824" s="7" t="str">
        <x:v>AG-00818</x:v>
      </x:c>
      <x:c r="C824" s="7" t="str">
        <x:v>PEA-A-X3</x:v>
      </x:c>
      <x:c r="D824" s="7" t="str">
        <x:v>material coupon</x:v>
      </x:c>
      <x:c r="E824" s="7" t="str">
        <x:v>CPN-PEA-A-X3-SE-6</x:v>
      </x:c>
      <x:c r="F824" s="7" t="str">
        <x:f>'Material Coupons'!K100</x:f>
        <x:v>OPEN</x:v>
      </x:c>
    </x:row>
    <x:row r="825">
      <x:c r="B825" s="7" t="str">
        <x:v>AG-00819</x:v>
      </x:c>
      <x:c r="C825" s="7" t="str">
        <x:v>PEA-A-X3</x:v>
      </x:c>
      <x:c r="D825" s="7" t="str">
        <x:v>material coupon</x:v>
      </x:c>
      <x:c r="E825" s="7" t="str">
        <x:v>CPN-PEA-A-X3-SE-7</x:v>
      </x:c>
      <x:c r="F825" s="7" t="str">
        <x:f>'Material Coupons'!K101</x:f>
        <x:v>OPEN</x:v>
      </x:c>
    </x:row>
    <x:row r="826">
      <x:c r="B826" s="7" t="str">
        <x:v>AG-00820</x:v>
      </x:c>
      <x:c r="C826" s="7" t="str">
        <x:v>PEA-A-X3</x:v>
      </x:c>
      <x:c r="D826" s="7" t="str">
        <x:v>material coupon</x:v>
      </x:c>
      <x:c r="E826" s="7" t="str">
        <x:v>CPN-PEA-A-X3-SE-8</x:v>
      </x:c>
      <x:c r="F826" s="7" t="str">
        <x:f>'Material Coupons'!K102</x:f>
        <x:v>OPEN</x:v>
      </x:c>
    </x:row>
    <x:row r="827">
      <x:c r="B827" s="7" t="str">
        <x:v>AG-00821</x:v>
      </x:c>
      <x:c r="C827" s="7" t="str">
        <x:v>PEA-A-X3</x:v>
      </x:c>
      <x:c r="D827" s="7" t="str">
        <x:v>material coupon</x:v>
      </x:c>
      <x:c r="E827" s="7" t="str">
        <x:v>CPN-PEA-A-X3-SF-1</x:v>
      </x:c>
      <x:c r="F827" s="7" t="str">
        <x:f>'Material Coupons'!K103</x:f>
        <x:v>OPEN</x:v>
      </x:c>
    </x:row>
    <x:row r="828">
      <x:c r="B828" s="7" t="str">
        <x:v>AG-00822</x:v>
      </x:c>
      <x:c r="C828" s="7" t="str">
        <x:v>PEA-A-X3</x:v>
      </x:c>
      <x:c r="D828" s="7" t="str">
        <x:v>material coupon</x:v>
      </x:c>
      <x:c r="E828" s="7" t="str">
        <x:v>CPN-PEA-A-X3-SF-2</x:v>
      </x:c>
      <x:c r="F828" s="7" t="str">
        <x:f>'Material Coupons'!K104</x:f>
        <x:v>OPEN</x:v>
      </x:c>
    </x:row>
    <x:row r="829">
      <x:c r="B829" s="7" t="str">
        <x:v>AG-00823</x:v>
      </x:c>
      <x:c r="C829" s="7" t="str">
        <x:v>PEA-A-X3</x:v>
      </x:c>
      <x:c r="D829" s="7" t="str">
        <x:v>material coupon</x:v>
      </x:c>
      <x:c r="E829" s="7" t="str">
        <x:v>CPN-PEA-A-X3-SF-3</x:v>
      </x:c>
      <x:c r="F829" s="7" t="str">
        <x:f>'Material Coupons'!K105</x:f>
        <x:v>OPEN</x:v>
      </x:c>
    </x:row>
    <x:row r="830">
      <x:c r="B830" s="7" t="str">
        <x:v>AG-00824</x:v>
      </x:c>
      <x:c r="C830" s="7" t="str">
        <x:v>PEA-A-X3</x:v>
      </x:c>
      <x:c r="D830" s="7" t="str">
        <x:v>material coupon</x:v>
      </x:c>
      <x:c r="E830" s="7" t="str">
        <x:v>CPN-PEA-A-X3-SF-4</x:v>
      </x:c>
      <x:c r="F830" s="7" t="str">
        <x:f>'Material Coupons'!K106</x:f>
        <x:v>OPEN</x:v>
      </x:c>
    </x:row>
    <x:row r="831">
      <x:c r="B831" s="7" t="str">
        <x:v>AG-00825</x:v>
      </x:c>
      <x:c r="C831" s="7" t="str">
        <x:v>PEA-A-X3</x:v>
      </x:c>
      <x:c r="D831" s="7" t="str">
        <x:v>material coupon</x:v>
      </x:c>
      <x:c r="E831" s="7" t="str">
        <x:v>CPN-PEA-A-X3-SF-5</x:v>
      </x:c>
      <x:c r="F831" s="7" t="str">
        <x:f>'Material Coupons'!K107</x:f>
        <x:v>OPEN</x:v>
      </x:c>
    </x:row>
    <x:row r="832">
      <x:c r="B832" s="7" t="str">
        <x:v>AG-00826</x:v>
      </x:c>
      <x:c r="C832" s="7" t="str">
        <x:v>PEA-A-X3</x:v>
      </x:c>
      <x:c r="D832" s="7" t="str">
        <x:v>material coupon</x:v>
      </x:c>
      <x:c r="E832" s="7" t="str">
        <x:v>CPN-PEA-A-X3-SF-6</x:v>
      </x:c>
      <x:c r="F832" s="7" t="str">
        <x:f>'Material Coupons'!K108</x:f>
        <x:v>OPEN</x:v>
      </x:c>
    </x:row>
    <x:row r="833">
      <x:c r="B833" s="7" t="str">
        <x:v>AG-00827</x:v>
      </x:c>
      <x:c r="C833" s="7" t="str">
        <x:v>PEA-A-X3</x:v>
      </x:c>
      <x:c r="D833" s="7" t="str">
        <x:v>material coupon</x:v>
      </x:c>
      <x:c r="E833" s="7" t="str">
        <x:v>CPN-PEA-A-X3-SF-7</x:v>
      </x:c>
      <x:c r="F833" s="7" t="str">
        <x:f>'Material Coupons'!K109</x:f>
        <x:v>OPEN</x:v>
      </x:c>
    </x:row>
    <x:row r="834">
      <x:c r="B834" s="7" t="str">
        <x:v>AG-00828</x:v>
      </x:c>
      <x:c r="C834" s="7" t="str">
        <x:v>PEA-A-X3</x:v>
      </x:c>
      <x:c r="D834" s="7" t="str">
        <x:v>material coupon</x:v>
      </x:c>
      <x:c r="E834" s="7" t="str">
        <x:v>CPN-PEA-A-X3-SF-8</x:v>
      </x:c>
      <x:c r="F834" s="7" t="str">
        <x:f>'Material Coupons'!K110</x:f>
        <x:v>OPEN</x:v>
      </x:c>
    </x:row>
    <x:row r="835">
      <x:c r="B835" s="7" t="str">
        <x:v>AG-00829</x:v>
      </x:c>
      <x:c r="C835" s="7" t="str">
        <x:v>PEA-A-X3</x:v>
      </x:c>
      <x:c r="D835" s="7" t="str">
        <x:v>material coupon</x:v>
      </x:c>
      <x:c r="E835" s="7" t="str">
        <x:v>CPN-PEA-A-X3-CP-1</x:v>
      </x:c>
      <x:c r="F835" s="7" t="str">
        <x:f>'Material Coupons'!K111</x:f>
        <x:v>OPEN</x:v>
      </x:c>
    </x:row>
    <x:row r="836">
      <x:c r="B836" s="7" t="str">
        <x:v>AG-00830</x:v>
      </x:c>
      <x:c r="C836" s="7" t="str">
        <x:v>PEA-A-X3</x:v>
      </x:c>
      <x:c r="D836" s="7" t="str">
        <x:v>material coupon</x:v>
      </x:c>
      <x:c r="E836" s="7" t="str">
        <x:v>CPN-PEA-A-X3-CP-2</x:v>
      </x:c>
      <x:c r="F836" s="7" t="str">
        <x:f>'Material Coupons'!K112</x:f>
        <x:v>OPEN</x:v>
      </x:c>
    </x:row>
    <x:row r="837">
      <x:c r="B837" s="7" t="str">
        <x:v>AG-00831</x:v>
      </x:c>
      <x:c r="C837" s="7" t="str">
        <x:v>PEA-A-X3</x:v>
      </x:c>
      <x:c r="D837" s="7" t="str">
        <x:v>material coupon</x:v>
      </x:c>
      <x:c r="E837" s="7" t="str">
        <x:v>CPN-PEA-A-X3-CP-3</x:v>
      </x:c>
      <x:c r="F837" s="7" t="str">
        <x:f>'Material Coupons'!K113</x:f>
        <x:v>OPEN</x:v>
      </x:c>
    </x:row>
    <x:row r="838">
      <x:c r="B838" s="7" t="str">
        <x:v>AG-00832</x:v>
      </x:c>
      <x:c r="C838" s="7" t="str">
        <x:v>PEA-A-X3</x:v>
      </x:c>
      <x:c r="D838" s="7" t="str">
        <x:v>material coupon</x:v>
      </x:c>
      <x:c r="E838" s="7" t="str">
        <x:v>CPN-PEA-A-X3-CP-4</x:v>
      </x:c>
      <x:c r="F838" s="7" t="str">
        <x:f>'Material Coupons'!K114</x:f>
        <x:v>OPEN</x:v>
      </x:c>
    </x:row>
    <x:row r="839">
      <x:c r="B839" s="7" t="str">
        <x:v>AG-00833</x:v>
      </x:c>
      <x:c r="C839" s="7" t="str">
        <x:v>PEA-A-X3</x:v>
      </x:c>
      <x:c r="D839" s="7" t="str">
        <x:v>material coupon</x:v>
      </x:c>
      <x:c r="E839" s="7" t="str">
        <x:v>CPN-PEA-A-X3-CP-5</x:v>
      </x:c>
      <x:c r="F839" s="7" t="str">
        <x:f>'Material Coupons'!K115</x:f>
        <x:v>OPEN</x:v>
      </x:c>
    </x:row>
    <x:row r="840">
      <x:c r="B840" s="7" t="str">
        <x:v>AG-00834</x:v>
      </x:c>
      <x:c r="C840" s="7" t="str">
        <x:v>PEA-A-X3</x:v>
      </x:c>
      <x:c r="D840" s="7" t="str">
        <x:v>material coupon</x:v>
      </x:c>
      <x:c r="E840" s="7" t="str">
        <x:v>CPN-PEA-A-X3-CP-6</x:v>
      </x:c>
      <x:c r="F840" s="7" t="str">
        <x:f>'Material Coupons'!K116</x:f>
        <x:v>OPEN</x:v>
      </x:c>
    </x:row>
    <x:row r="841">
      <x:c r="B841" s="7" t="str">
        <x:v>AG-00835</x:v>
      </x:c>
      <x:c r="C841" s="7" t="str">
        <x:v>PEA-A-X3</x:v>
      </x:c>
      <x:c r="D841" s="7" t="str">
        <x:v>material coupon</x:v>
      </x:c>
      <x:c r="E841" s="7" t="str">
        <x:v>CPN-PEA-A-X3-CP-7</x:v>
      </x:c>
      <x:c r="F841" s="7" t="str">
        <x:f>'Material Coupons'!K117</x:f>
        <x:v>OPEN</x:v>
      </x:c>
    </x:row>
    <x:row r="842">
      <x:c r="B842" s="7" t="str">
        <x:v>AG-00836</x:v>
      </x:c>
      <x:c r="C842" s="7" t="str">
        <x:v>PEA-A-X3</x:v>
      </x:c>
      <x:c r="D842" s="7" t="str">
        <x:v>material coupon</x:v>
      </x:c>
      <x:c r="E842" s="7" t="str">
        <x:v>CPN-PEA-A-X3-CP-8</x:v>
      </x:c>
      <x:c r="F842" s="7" t="str">
        <x:f>'Material Coupons'!K118</x:f>
        <x:v>OPEN</x:v>
      </x:c>
    </x:row>
    <x:row r="843">
      <x:c r="B843" s="7" t="str">
        <x:v>AG-00837</x:v>
      </x:c>
      <x:c r="C843" s="7" t="str">
        <x:v>PEA-A-X3</x:v>
      </x:c>
      <x:c r="D843" s="7" t="str">
        <x:v>material coupon</x:v>
      </x:c>
      <x:c r="E843" s="7" t="str">
        <x:v>CPN-PEA-A-X3-SM-1</x:v>
      </x:c>
      <x:c r="F843" s="7" t="str">
        <x:f>'Material Coupons'!K119</x:f>
        <x:v>OPEN</x:v>
      </x:c>
    </x:row>
    <x:row r="844">
      <x:c r="B844" s="7" t="str">
        <x:v>AG-00838</x:v>
      </x:c>
      <x:c r="C844" s="7" t="str">
        <x:v>PEA-A-X3</x:v>
      </x:c>
      <x:c r="D844" s="7" t="str">
        <x:v>material coupon</x:v>
      </x:c>
      <x:c r="E844" s="7" t="str">
        <x:v>CPN-PEA-A-X3-SM-2</x:v>
      </x:c>
      <x:c r="F844" s="7" t="str">
        <x:f>'Material Coupons'!K120</x:f>
        <x:v>OPEN</x:v>
      </x:c>
    </x:row>
    <x:row r="845">
      <x:c r="B845" s="7" t="str">
        <x:v>AG-00839</x:v>
      </x:c>
      <x:c r="C845" s="7" t="str">
        <x:v>PEA-A-X3</x:v>
      </x:c>
      <x:c r="D845" s="7" t="str">
        <x:v>material coupon</x:v>
      </x:c>
      <x:c r="E845" s="7" t="str">
        <x:v>CPN-PEA-A-X3-SM-3</x:v>
      </x:c>
      <x:c r="F845" s="7" t="str">
        <x:f>'Material Coupons'!K121</x:f>
        <x:v>OPEN</x:v>
      </x:c>
    </x:row>
    <x:row r="846">
      <x:c r="B846" s="7" t="str">
        <x:v>AG-00840</x:v>
      </x:c>
      <x:c r="C846" s="7" t="str">
        <x:v>PEA-A-X3</x:v>
      </x:c>
      <x:c r="D846" s="7" t="str">
        <x:v>material coupon</x:v>
      </x:c>
      <x:c r="E846" s="7" t="str">
        <x:v>CPN-PEA-A-X3-SM-4</x:v>
      </x:c>
      <x:c r="F846" s="7" t="str">
        <x:f>'Material Coupons'!K122</x:f>
        <x:v>OPEN</x:v>
      </x:c>
    </x:row>
    <x:row r="847">
      <x:c r="B847" s="7" t="str">
        <x:v>AG-00841</x:v>
      </x:c>
      <x:c r="C847" s="7" t="str">
        <x:v>PEA-A-X3</x:v>
      </x:c>
      <x:c r="D847" s="7" t="str">
        <x:v>material coupon</x:v>
      </x:c>
      <x:c r="E847" s="7" t="str">
        <x:v>CPN-PEA-A-X3-SM-5</x:v>
      </x:c>
      <x:c r="F847" s="7" t="str">
        <x:f>'Material Coupons'!K123</x:f>
        <x:v>OPEN</x:v>
      </x:c>
    </x:row>
    <x:row r="848">
      <x:c r="B848" s="7" t="str">
        <x:v>AG-00842</x:v>
      </x:c>
      <x:c r="C848" s="7" t="str">
        <x:v>PEA-A-X3</x:v>
      </x:c>
      <x:c r="D848" s="7" t="str">
        <x:v>material coupon</x:v>
      </x:c>
      <x:c r="E848" s="7" t="str">
        <x:v>CPN-PEA-A-X3-SM-6</x:v>
      </x:c>
      <x:c r="F848" s="7" t="str">
        <x:f>'Material Coupons'!K124</x:f>
        <x:v>OPEN</x:v>
      </x:c>
    </x:row>
    <x:row r="849">
      <x:c r="B849" s="7" t="str">
        <x:v>AG-00843</x:v>
      </x:c>
      <x:c r="C849" s="7" t="str">
        <x:v>PEA-A-X3</x:v>
      </x:c>
      <x:c r="D849" s="7" t="str">
        <x:v>material coupon</x:v>
      </x:c>
      <x:c r="E849" s="7" t="str">
        <x:v>CPN-PEA-A-X3-SM-7</x:v>
      </x:c>
      <x:c r="F849" s="7" t="str">
        <x:f>'Material Coupons'!K125</x:f>
        <x:v>OPEN</x:v>
      </x:c>
    </x:row>
    <x:row r="850">
      <x:c r="B850" s="7" t="str">
        <x:v>AG-00844</x:v>
      </x:c>
      <x:c r="C850" s="7" t="str">
        <x:v>PEA-A-X3</x:v>
      </x:c>
      <x:c r="D850" s="7" t="str">
        <x:v>material coupon</x:v>
      </x:c>
      <x:c r="E850" s="7" t="str">
        <x:v>CPN-PEA-A-X3-SM-8</x:v>
      </x:c>
      <x:c r="F850" s="7" t="str">
        <x:f>'Material Coupons'!K126</x:f>
        <x:v>OPEN</x:v>
      </x:c>
    </x:row>
    <x:row r="851">
      <x:c r="B851" s="7" t="str">
        <x:v>AG-00845</x:v>
      </x:c>
      <x:c r="C851" s="7" t="str">
        <x:v>PEA-A-X3</x:v>
      </x:c>
      <x:c r="D851" s="7" t="str">
        <x:v>NDE record</x:v>
      </x:c>
      <x:c r="E851" s="7" t="str">
        <x:v>NDE-TRV-PEA-A-X3-01</x:v>
      </x:c>
      <x:c r="F851" s="7" t="str">
        <x:f>'NDE Records'!L47</x:f>
        <x:v>OPEN</x:v>
      </x:c>
    </x:row>
    <x:row r="852">
      <x:c r="B852" s="7" t="str">
        <x:v>AG-00846</x:v>
      </x:c>
      <x:c r="C852" s="7" t="str">
        <x:v>PEA-A-X3</x:v>
      </x:c>
      <x:c r="D852" s="7" t="str">
        <x:v>NDE record</x:v>
      </x:c>
      <x:c r="E852" s="7" t="str">
        <x:v>NDE-TRV-PEA-A-X3-02</x:v>
      </x:c>
      <x:c r="F852" s="7" t="str">
        <x:f>'NDE Records'!L48</x:f>
        <x:v>OPEN</x:v>
      </x:c>
    </x:row>
    <x:row r="853">
      <x:c r="B853" s="7" t="str">
        <x:v>AG-00847</x:v>
      </x:c>
      <x:c r="C853" s="7" t="str">
        <x:v>PEA-A-X3</x:v>
      </x:c>
      <x:c r="D853" s="7" t="str">
        <x:v>NDE record</x:v>
      </x:c>
      <x:c r="E853" s="7" t="str">
        <x:v>NDE-TRV-PEA-A-X3-03</x:v>
      </x:c>
      <x:c r="F853" s="7" t="str">
        <x:f>'NDE Records'!L49</x:f>
        <x:v>OPEN</x:v>
      </x:c>
    </x:row>
    <x:row r="854">
      <x:c r="B854" s="7" t="str">
        <x:v>AG-00848</x:v>
      </x:c>
      <x:c r="C854" s="7" t="str">
        <x:v>PEA-A-X3</x:v>
      </x:c>
      <x:c r="D854" s="7" t="str">
        <x:v>NDE record</x:v>
      </x:c>
      <x:c r="E854" s="7" t="str">
        <x:v>NDE-TRV-PEA-A-X3-04</x:v>
      </x:c>
      <x:c r="F854" s="7" t="str">
        <x:f>'NDE Records'!L50</x:f>
        <x:v>OPEN</x:v>
      </x:c>
    </x:row>
    <x:row r="855">
      <x:c r="B855" s="7" t="str">
        <x:v>AG-00849</x:v>
      </x:c>
      <x:c r="C855" s="7" t="str">
        <x:v>PEA-A-X3</x:v>
      </x:c>
      <x:c r="D855" s="7" t="str">
        <x:v>NDE record</x:v>
      </x:c>
      <x:c r="E855" s="7" t="str">
        <x:v>NDE-TRV-PEA-A-X3-05</x:v>
      </x:c>
      <x:c r="F855" s="7" t="str">
        <x:f>'NDE Records'!L51</x:f>
        <x:v>OPEN</x:v>
      </x:c>
    </x:row>
    <x:row r="856">
      <x:c r="B856" s="7" t="str">
        <x:v>AG-00850</x:v>
      </x:c>
      <x:c r="C856" s="7" t="str">
        <x:v>PEA-A-X3</x:v>
      </x:c>
      <x:c r="D856" s="7" t="str">
        <x:v>NDE record</x:v>
      </x:c>
      <x:c r="E856" s="7" t="str">
        <x:v>NDE-TRV-PEA-A-X3-06</x:v>
      </x:c>
      <x:c r="F856" s="7" t="str">
        <x:f>'NDE Records'!L52</x:f>
        <x:v>OPEN</x:v>
      </x:c>
    </x:row>
    <x:row r="857">
      <x:c r="B857" s="7" t="str">
        <x:v>AG-00851</x:v>
      </x:c>
      <x:c r="C857" s="7" t="str">
        <x:v>PEA-A-X3</x:v>
      </x:c>
      <x:c r="D857" s="7" t="str">
        <x:v>NDE record</x:v>
      </x:c>
      <x:c r="E857" s="7" t="str">
        <x:v>NDE-TRV-PEA-A-X3-07</x:v>
      </x:c>
      <x:c r="F857" s="7" t="str">
        <x:f>'NDE Records'!L53</x:f>
        <x:v>OPEN</x:v>
      </x:c>
    </x:row>
    <x:row r="858">
      <x:c r="B858" s="7" t="str">
        <x:v>AG-00852</x:v>
      </x:c>
      <x:c r="C858" s="7" t="str">
        <x:v>PEA-A-X3</x:v>
      </x:c>
      <x:c r="D858" s="7" t="str">
        <x:v>NDE record</x:v>
      </x:c>
      <x:c r="E858" s="7" t="str">
        <x:v>NDE-TRV-PEA-A-X3-08</x:v>
      </x:c>
      <x:c r="F858" s="7" t="str">
        <x:f>'NDE Records'!L54</x:f>
        <x:v>OPEN</x:v>
      </x:c>
    </x:row>
    <x:row r="859">
      <x:c r="B859" s="7" t="str">
        <x:v>AG-00853</x:v>
      </x:c>
      <x:c r="C859" s="7" t="str">
        <x:v>PEA-A-X3</x:v>
      </x:c>
      <x:c r="D859" s="7" t="str">
        <x:v>NDE record</x:v>
      </x:c>
      <x:c r="E859" s="7" t="str">
        <x:v>NDE-TRV-PEA-A-X3-09</x:v>
      </x:c>
      <x:c r="F859" s="7" t="str">
        <x:f>'NDE Records'!L55</x:f>
        <x:v>OPEN</x:v>
      </x:c>
    </x:row>
    <x:row r="860">
      <x:c r="B860" s="7" t="str">
        <x:v>AG-00854</x:v>
      </x:c>
      <x:c r="C860" s="7" t="str">
        <x:v>PEA-A-X3</x:v>
      </x:c>
      <x:c r="D860" s="7" t="str">
        <x:v>NDE record</x:v>
      </x:c>
      <x:c r="E860" s="7" t="str">
        <x:v>NDE-TRV-PEA-A-X3-10</x:v>
      </x:c>
      <x:c r="F860" s="7" t="str">
        <x:f>'NDE Records'!L56</x:f>
        <x:v>OPEN</x:v>
      </x:c>
    </x:row>
    <x:row r="861">
      <x:c r="B861" s="7" t="str">
        <x:v>AG-00855</x:v>
      </x:c>
      <x:c r="C861" s="7" t="str">
        <x:v>PEA-A-X3</x:v>
      </x:c>
      <x:c r="D861" s="7" t="str">
        <x:v>NDE record</x:v>
      </x:c>
      <x:c r="E861" s="7" t="str">
        <x:v>NDE-TRV-PEA-A-X3-11</x:v>
      </x:c>
      <x:c r="F861" s="7" t="str">
        <x:f>'NDE Records'!L57</x:f>
        <x:v>OPEN</x:v>
      </x:c>
    </x:row>
    <x:row r="862">
      <x:c r="B862" s="7" t="str">
        <x:v>AG-00856</x:v>
      </x:c>
      <x:c r="C862" s="7" t="str">
        <x:v>PEA-A-X3</x:v>
      </x:c>
      <x:c r="D862" s="7" t="str">
        <x:v>NDE record</x:v>
      </x:c>
      <x:c r="E862" s="7" t="str">
        <x:v>NDE-TRV-PEA-A-X3-12</x:v>
      </x:c>
      <x:c r="F862" s="7" t="str">
        <x:f>'NDE Records'!L58</x:f>
        <x:v>OPEN</x:v>
      </x:c>
    </x:row>
    <x:row r="863">
      <x:c r="B863" s="7" t="str">
        <x:v>AG-00857</x:v>
      </x:c>
      <x:c r="C863" s="7" t="str">
        <x:v>PEA-A-X3</x:v>
      </x:c>
      <x:c r="D863" s="7" t="str">
        <x:v>NDE record</x:v>
      </x:c>
      <x:c r="E863" s="7" t="str">
        <x:v>NDE-TRV-PEA-A-X3-13</x:v>
      </x:c>
      <x:c r="F863" s="7" t="str">
        <x:f>'NDE Records'!L59</x:f>
        <x:v>OPEN</x:v>
      </x:c>
    </x:row>
    <x:row r="864">
      <x:c r="B864" s="7" t="str">
        <x:v>AG-00858</x:v>
      </x:c>
      <x:c r="C864" s="7" t="str">
        <x:v>PEA-A-X3</x:v>
      </x:c>
      <x:c r="D864" s="7" t="str">
        <x:v>NDE record</x:v>
      </x:c>
      <x:c r="E864" s="7" t="str">
        <x:v>NDE-TRV-PEA-A-X3-14</x:v>
      </x:c>
      <x:c r="F864" s="7" t="str">
        <x:f>'NDE Records'!L60</x:f>
        <x:v>OPEN</x:v>
      </x:c>
    </x:row>
    <x:row r="865">
      <x:c r="B865" s="7" t="str">
        <x:v>AG-00859</x:v>
      </x:c>
      <x:c r="C865" s="7" t="str">
        <x:v>PEA-A-X3</x:v>
      </x:c>
      <x:c r="D865" s="7" t="str">
        <x:v>NDE record</x:v>
      </x:c>
      <x:c r="E865" s="7" t="str">
        <x:v>NDE-TRV-PEA-A-X3-15</x:v>
      </x:c>
      <x:c r="F865" s="7" t="str">
        <x:f>'NDE Records'!L61</x:f>
        <x:v>OPEN</x:v>
      </x:c>
    </x:row>
    <x:row r="866">
      <x:c r="B866" s="7" t="str">
        <x:v>AG-00860</x:v>
      </x:c>
      <x:c r="C866" s="7" t="str">
        <x:v>PEA-A-X3</x:v>
      </x:c>
      <x:c r="D866" s="7" t="str">
        <x:v>NDE record</x:v>
      </x:c>
      <x:c r="E866" s="7" t="str">
        <x:v>NDE-TRV-PEA-A-X3-16</x:v>
      </x:c>
      <x:c r="F866" s="7" t="str">
        <x:f>'NDE Records'!L62</x:f>
        <x:v>OPEN</x:v>
      </x:c>
    </x:row>
    <x:row r="867">
      <x:c r="B867" s="7" t="str">
        <x:v>AG-00861</x:v>
      </x:c>
      <x:c r="C867" s="7" t="str">
        <x:v>PEA-A-X3</x:v>
      </x:c>
      <x:c r="D867" s="7" t="str">
        <x:v>NDE record</x:v>
      </x:c>
      <x:c r="E867" s="7" t="str">
        <x:v>NDE-TRV-PEA-A-X3-17</x:v>
      </x:c>
      <x:c r="F867" s="7" t="str">
        <x:f>'NDE Records'!L63</x:f>
        <x:v>OPEN</x:v>
      </x:c>
    </x:row>
    <x:row r="868">
      <x:c r="B868" s="7" t="str">
        <x:v>AG-00862</x:v>
      </x:c>
      <x:c r="C868" s="7" t="str">
        <x:v>PEA-A-X3</x:v>
      </x:c>
      <x:c r="D868" s="7" t="str">
        <x:v>NDE record</x:v>
      </x:c>
      <x:c r="E868" s="7" t="str">
        <x:v>NDE-TRV-PEA-A-X3-18</x:v>
      </x:c>
      <x:c r="F868" s="7" t="str">
        <x:f>'NDE Records'!L64</x:f>
        <x:v>OPEN</x:v>
      </x:c>
    </x:row>
    <x:row r="869">
      <x:c r="B869" s="7" t="str">
        <x:v>AG-00863</x:v>
      </x:c>
      <x:c r="C869" s="7" t="str">
        <x:v>PEA-A-X3</x:v>
      </x:c>
      <x:c r="D869" s="7" t="str">
        <x:v>NDE record</x:v>
      </x:c>
      <x:c r="E869" s="7" t="str">
        <x:v>NDE-TRV-PEA-A-X3-19</x:v>
      </x:c>
      <x:c r="F869" s="7" t="str">
        <x:f>'NDE Records'!L65</x:f>
        <x:v>OPEN</x:v>
      </x:c>
    </x:row>
    <x:row r="870">
      <x:c r="B870" s="7" t="str">
        <x:v>AG-00864</x:v>
      </x:c>
      <x:c r="C870" s="7" t="str">
        <x:v>PEA-A-X3</x:v>
      </x:c>
      <x:c r="D870" s="7" t="str">
        <x:v>NDE record</x:v>
      </x:c>
      <x:c r="E870" s="7" t="str">
        <x:v>NDE-TRV-PEA-A-X3-20</x:v>
      </x:c>
      <x:c r="F870" s="7" t="str">
        <x:f>'NDE Records'!L66</x:f>
        <x:v>OPEN</x:v>
      </x:c>
    </x:row>
    <x:row r="871">
      <x:c r="B871" s="7" t="str">
        <x:v>AG-00865</x:v>
      </x:c>
      <x:c r="C871" s="7" t="str">
        <x:v>PEA-A-X3</x:v>
      </x:c>
      <x:c r="D871" s="7" t="str">
        <x:v>joint record</x:v>
      </x:c>
      <x:c r="E871" s="7" t="str">
        <x:v>JNT-PEA-A-X3-1</x:v>
      </x:c>
      <x:c r="F871" s="7" t="str">
        <x:f>'Joint Records'!M17</x:f>
        <x:v>OPEN</x:v>
      </x:c>
    </x:row>
    <x:row r="872">
      <x:c r="B872" s="7" t="str">
        <x:v>AG-00866</x:v>
      </x:c>
      <x:c r="C872" s="7" t="str">
        <x:v>PEA-A-X3</x:v>
      </x:c>
      <x:c r="D872" s="7" t="str">
        <x:v>joint record</x:v>
      </x:c>
      <x:c r="E872" s="7" t="str">
        <x:v>JNT-PEA-A-X3-2</x:v>
      </x:c>
      <x:c r="F872" s="7" t="str">
        <x:f>'Joint Records'!M18</x:f>
        <x:v>OPEN</x:v>
      </x:c>
    </x:row>
    <x:row r="873">
      <x:c r="B873" s="7" t="str">
        <x:v>AG-00867</x:v>
      </x:c>
      <x:c r="C873" s="7" t="str">
        <x:v>PEA-A-X3</x:v>
      </x:c>
      <x:c r="D873" s="7" t="str">
        <x:v>joint record</x:v>
      </x:c>
      <x:c r="E873" s="7" t="str">
        <x:v>JNT-PEA-A-X3-3</x:v>
      </x:c>
      <x:c r="F873" s="7" t="str">
        <x:f>'Joint Records'!M19</x:f>
        <x:v>OPEN</x:v>
      </x:c>
    </x:row>
    <x:row r="874">
      <x:c r="B874" s="7" t="str">
        <x:v>AG-00868</x:v>
      </x:c>
      <x:c r="C874" s="7" t="str">
        <x:v>PEA-A-X3</x:v>
      </x:c>
      <x:c r="D874" s="7" t="str">
        <x:v>joint record</x:v>
      </x:c>
      <x:c r="E874" s="7" t="str">
        <x:v>JNT-PEA-A-X3-4</x:v>
      </x:c>
      <x:c r="F874" s="7" t="str">
        <x:f>'Joint Records'!M20</x:f>
        <x:v>OPEN</x:v>
      </x:c>
    </x:row>
    <x:row r="875">
      <x:c r="B875" s="7" t="str">
        <x:v>AG-00869</x:v>
      </x:c>
      <x:c r="C875" s="7" t="str">
        <x:v>PEA-A-X3</x:v>
      </x:c>
      <x:c r="D875" s="7" t="str">
        <x:v>joint record</x:v>
      </x:c>
      <x:c r="E875" s="7" t="str">
        <x:v>JNT-PEA-A-X3-5</x:v>
      </x:c>
      <x:c r="F875" s="7" t="str">
        <x:f>'Joint Records'!M21</x:f>
        <x:v>OPEN</x:v>
      </x:c>
    </x:row>
    <x:row r="876">
      <x:c r="B876" s="7" t="str">
        <x:v>AG-00870</x:v>
      </x:c>
      <x:c r="C876" s="7" t="str">
        <x:v>PEA-A-X3</x:v>
      </x:c>
      <x:c r="D876" s="7" t="str">
        <x:v>control element</x:v>
      </x:c>
      <x:c r="E876" s="7" t="str">
        <x:v>ELM-PEA-A-X3-01</x:v>
      </x:c>
      <x:c r="F876" s="7" t="str">
        <x:f>'Control Elements'!L31</x:f>
        <x:v>OPEN</x:v>
      </x:c>
    </x:row>
    <x:row r="877">
      <x:c r="B877" s="7" t="str">
        <x:v>AG-00871</x:v>
      </x:c>
      <x:c r="C877" s="7" t="str">
        <x:v>PEA-A-X3</x:v>
      </x:c>
      <x:c r="D877" s="7" t="str">
        <x:v>control element</x:v>
      </x:c>
      <x:c r="E877" s="7" t="str">
        <x:v>ELM-PEA-A-X3-02</x:v>
      </x:c>
      <x:c r="F877" s="7" t="str">
        <x:f>'Control Elements'!L32</x:f>
        <x:v>OPEN</x:v>
      </x:c>
    </x:row>
    <x:row r="878">
      <x:c r="B878" s="7" t="str">
        <x:v>AG-00872</x:v>
      </x:c>
      <x:c r="C878" s="7" t="str">
        <x:v>PEA-A-X3</x:v>
      </x:c>
      <x:c r="D878" s="7" t="str">
        <x:v>control element</x:v>
      </x:c>
      <x:c r="E878" s="7" t="str">
        <x:v>ELM-PEA-A-X3-03</x:v>
      </x:c>
      <x:c r="F878" s="7" t="str">
        <x:f>'Control Elements'!L33</x:f>
        <x:v>OPEN</x:v>
      </x:c>
    </x:row>
    <x:row r="879">
      <x:c r="B879" s="7" t="str">
        <x:v>AG-00873</x:v>
      </x:c>
      <x:c r="C879" s="7" t="str">
        <x:v>PEA-A-X3</x:v>
      </x:c>
      <x:c r="D879" s="7" t="str">
        <x:v>control element</x:v>
      </x:c>
      <x:c r="E879" s="7" t="str">
        <x:v>ELM-PEA-A-X3-04</x:v>
      </x:c>
      <x:c r="F879" s="7" t="str">
        <x:f>'Control Elements'!L34</x:f>
        <x:v>OPEN</x:v>
      </x:c>
    </x:row>
    <x:row r="880">
      <x:c r="B880" s="7" t="str">
        <x:v>AG-00874</x:v>
      </x:c>
      <x:c r="C880" s="7" t="str">
        <x:v>PEA-A-X3</x:v>
      </x:c>
      <x:c r="D880" s="7" t="str">
        <x:v>control element</x:v>
      </x:c>
      <x:c r="E880" s="7" t="str">
        <x:v>ELM-PEA-A-X3-05</x:v>
      </x:c>
      <x:c r="F880" s="7" t="str">
        <x:f>'Control Elements'!L35</x:f>
        <x:v>OPEN</x:v>
      </x:c>
    </x:row>
    <x:row r="881">
      <x:c r="B881" s="7" t="str">
        <x:v>AG-00875</x:v>
      </x:c>
      <x:c r="C881" s="7" t="str">
        <x:v>PEA-A-X3</x:v>
      </x:c>
      <x:c r="D881" s="7" t="str">
        <x:v>control element</x:v>
      </x:c>
      <x:c r="E881" s="7" t="str">
        <x:v>ELM-PEA-A-X3-06</x:v>
      </x:c>
      <x:c r="F881" s="7" t="str">
        <x:f>'Control Elements'!L36</x:f>
        <x:v>OPEN</x:v>
      </x:c>
    </x:row>
    <x:row r="882">
      <x:c r="B882" s="7" t="str">
        <x:v>AG-00876</x:v>
      </x:c>
      <x:c r="C882" s="7" t="str">
        <x:v>PEA-A-X3</x:v>
      </x:c>
      <x:c r="D882" s="7" t="str">
        <x:v>control element</x:v>
      </x:c>
      <x:c r="E882" s="7" t="str">
        <x:v>ELM-PEA-A-X3-07</x:v>
      </x:c>
      <x:c r="F882" s="7" t="str">
        <x:f>'Control Elements'!L37</x:f>
        <x:v>OPEN</x:v>
      </x:c>
    </x:row>
    <x:row r="883">
      <x:c r="B883" s="7" t="str">
        <x:v>AG-00877</x:v>
      </x:c>
      <x:c r="C883" s="7" t="str">
        <x:v>PEA-A-X3</x:v>
      </x:c>
      <x:c r="D883" s="7" t="str">
        <x:v>control element</x:v>
      </x:c>
      <x:c r="E883" s="7" t="str">
        <x:v>ELM-PEA-A-X3-08</x:v>
      </x:c>
      <x:c r="F883" s="7" t="str">
        <x:f>'Control Elements'!L38</x:f>
        <x:v>OPEN</x:v>
      </x:c>
    </x:row>
    <x:row r="884">
      <x:c r="B884" s="7" t="str">
        <x:v>AG-00878</x:v>
      </x:c>
      <x:c r="C884" s="7" t="str">
        <x:v>PEA-A-X3</x:v>
      </x:c>
      <x:c r="D884" s="7" t="str">
        <x:v>control element</x:v>
      </x:c>
      <x:c r="E884" s="7" t="str">
        <x:v>ELM-PEA-A-X3-09</x:v>
      </x:c>
      <x:c r="F884" s="7" t="str">
        <x:f>'Control Elements'!L39</x:f>
        <x:v>OPEN</x:v>
      </x:c>
    </x:row>
    <x:row r="885">
      <x:c r="B885" s="7" t="str">
        <x:v>AG-00879</x:v>
      </x:c>
      <x:c r="C885" s="7" t="str">
        <x:v>PEA-A-X3</x:v>
      </x:c>
      <x:c r="D885" s="7" t="str">
        <x:v>control element</x:v>
      </x:c>
      <x:c r="E885" s="7" t="str">
        <x:v>ELM-PEA-A-X3-10</x:v>
      </x:c>
      <x:c r="F885" s="7" t="str">
        <x:f>'Control Elements'!L40</x:f>
        <x:v>OPEN</x:v>
      </x:c>
    </x:row>
    <x:row r="886">
      <x:c r="B886" s="7" t="str">
        <x:v>AG-00880</x:v>
      </x:c>
      <x:c r="C886" s="7" t="str">
        <x:v>PEA-A-X3</x:v>
      </x:c>
      <x:c r="D886" s="7" t="str">
        <x:v>control element</x:v>
      </x:c>
      <x:c r="E886" s="7" t="str">
        <x:v>ELM-PEA-A-X3-11</x:v>
      </x:c>
      <x:c r="F886" s="7" t="str">
        <x:f>'Control Elements'!L41</x:f>
        <x:v>OPEN</x:v>
      </x:c>
    </x:row>
    <x:row r="887">
      <x:c r="B887" s="7" t="str">
        <x:v>AG-00881</x:v>
      </x:c>
      <x:c r="C887" s="7" t="str">
        <x:v>PEA-A-X3</x:v>
      </x:c>
      <x:c r="D887" s="7" t="str">
        <x:v>control element</x:v>
      </x:c>
      <x:c r="E887" s="7" t="str">
        <x:v>ELM-PEA-A-X3-12</x:v>
      </x:c>
      <x:c r="F887" s="7" t="str">
        <x:f>'Control Elements'!L42</x:f>
        <x:v>OPEN</x:v>
      </x:c>
    </x:row>
    <x:row r="888">
      <x:c r="B888" s="7" t="str">
        <x:v>AG-00882</x:v>
      </x:c>
      <x:c r="C888" s="7" t="str">
        <x:v>PEA-A-X3</x:v>
      </x:c>
      <x:c r="D888" s="7" t="str">
        <x:v>channel instance</x:v>
      </x:c>
      <x:c r="E888" s="7" t="str">
        <x:v>CH-PEA-A-X3-01-1</x:v>
      </x:c>
      <x:c r="F888" s="7" t="str">
        <x:f>'Channel Instances'!O295</x:f>
        <x:v>OPEN</x:v>
      </x:c>
    </x:row>
    <x:row r="889">
      <x:c r="B889" s="7" t="str">
        <x:v>AG-00883</x:v>
      </x:c>
      <x:c r="C889" s="7" t="str">
        <x:v>PEA-A-X3</x:v>
      </x:c>
      <x:c r="D889" s="7" t="str">
        <x:v>channel instance</x:v>
      </x:c>
      <x:c r="E889" s="7" t="str">
        <x:v>CH-PEA-A-X3-01-2</x:v>
      </x:c>
      <x:c r="F889" s="7" t="str">
        <x:f>'Channel Instances'!O296</x:f>
        <x:v>OPEN</x:v>
      </x:c>
    </x:row>
    <x:row r="890">
      <x:c r="B890" s="7" t="str">
        <x:v>AG-00884</x:v>
      </x:c>
      <x:c r="C890" s="7" t="str">
        <x:v>PEA-A-X3</x:v>
      </x:c>
      <x:c r="D890" s="7" t="str">
        <x:v>channel instance</x:v>
      </x:c>
      <x:c r="E890" s="7" t="str">
        <x:v>CH-PEA-A-X3-01-3</x:v>
      </x:c>
      <x:c r="F890" s="7" t="str">
        <x:f>'Channel Instances'!O297</x:f>
        <x:v>OPEN</x:v>
      </x:c>
    </x:row>
    <x:row r="891">
      <x:c r="B891" s="7" t="str">
        <x:v>AG-00885</x:v>
      </x:c>
      <x:c r="C891" s="7" t="str">
        <x:v>PEA-A-X3</x:v>
      </x:c>
      <x:c r="D891" s="7" t="str">
        <x:v>channel instance</x:v>
      </x:c>
      <x:c r="E891" s="7" t="str">
        <x:v>CH-PEA-A-X3-01-4</x:v>
      </x:c>
      <x:c r="F891" s="7" t="str">
        <x:f>'Channel Instances'!O298</x:f>
        <x:v>OPEN</x:v>
      </x:c>
    </x:row>
    <x:row r="892">
      <x:c r="B892" s="7" t="str">
        <x:v>AG-00886</x:v>
      </x:c>
      <x:c r="C892" s="7" t="str">
        <x:v>PEA-A-X3</x:v>
      </x:c>
      <x:c r="D892" s="7" t="str">
        <x:v>channel instance</x:v>
      </x:c>
      <x:c r="E892" s="7" t="str">
        <x:v>CH-PEA-A-X3-01-5</x:v>
      </x:c>
      <x:c r="F892" s="7" t="str">
        <x:f>'Channel Instances'!O299</x:f>
        <x:v>OPEN</x:v>
      </x:c>
    </x:row>
    <x:row r="893">
      <x:c r="B893" s="7" t="str">
        <x:v>AG-00887</x:v>
      </x:c>
      <x:c r="C893" s="7" t="str">
        <x:v>PEA-A-X3</x:v>
      </x:c>
      <x:c r="D893" s="7" t="str">
        <x:v>channel instance</x:v>
      </x:c>
      <x:c r="E893" s="7" t="str">
        <x:v>CH-PEA-A-X3-01-6</x:v>
      </x:c>
      <x:c r="F893" s="7" t="str">
        <x:f>'Channel Instances'!O300</x:f>
        <x:v>OPEN</x:v>
      </x:c>
    </x:row>
    <x:row r="894">
      <x:c r="B894" s="7" t="str">
        <x:v>AG-00888</x:v>
      </x:c>
      <x:c r="C894" s="7" t="str">
        <x:v>PEA-A-X3</x:v>
      </x:c>
      <x:c r="D894" s="7" t="str">
        <x:v>channel instance</x:v>
      </x:c>
      <x:c r="E894" s="7" t="str">
        <x:v>CH-PEA-A-X3-02-1</x:v>
      </x:c>
      <x:c r="F894" s="7" t="str">
        <x:f>'Channel Instances'!O301</x:f>
        <x:v>OPEN</x:v>
      </x:c>
    </x:row>
    <x:row r="895">
      <x:c r="B895" s="7" t="str">
        <x:v>AG-00889</x:v>
      </x:c>
      <x:c r="C895" s="7" t="str">
        <x:v>PEA-A-X3</x:v>
      </x:c>
      <x:c r="D895" s="7" t="str">
        <x:v>channel instance</x:v>
      </x:c>
      <x:c r="E895" s="7" t="str">
        <x:v>CH-PEA-A-X3-02-2</x:v>
      </x:c>
      <x:c r="F895" s="7" t="str">
        <x:f>'Channel Instances'!O302</x:f>
        <x:v>OPEN</x:v>
      </x:c>
    </x:row>
    <x:row r="896">
      <x:c r="B896" s="7" t="str">
        <x:v>AG-00890</x:v>
      </x:c>
      <x:c r="C896" s="7" t="str">
        <x:v>PEA-A-X3</x:v>
      </x:c>
      <x:c r="D896" s="7" t="str">
        <x:v>channel instance</x:v>
      </x:c>
      <x:c r="E896" s="7" t="str">
        <x:v>CH-PEA-A-X3-02-3</x:v>
      </x:c>
      <x:c r="F896" s="7" t="str">
        <x:f>'Channel Instances'!O303</x:f>
        <x:v>OPEN</x:v>
      </x:c>
    </x:row>
    <x:row r="897">
      <x:c r="B897" s="7" t="str">
        <x:v>AG-00891</x:v>
      </x:c>
      <x:c r="C897" s="7" t="str">
        <x:v>PEA-A-X3</x:v>
      </x:c>
      <x:c r="D897" s="7" t="str">
        <x:v>channel instance</x:v>
      </x:c>
      <x:c r="E897" s="7" t="str">
        <x:v>CH-PEA-A-X3-02-4</x:v>
      </x:c>
      <x:c r="F897" s="7" t="str">
        <x:f>'Channel Instances'!O304</x:f>
        <x:v>OPEN</x:v>
      </x:c>
    </x:row>
    <x:row r="898">
      <x:c r="B898" s="7" t="str">
        <x:v>AG-00892</x:v>
      </x:c>
      <x:c r="C898" s="7" t="str">
        <x:v>PEA-A-X3</x:v>
      </x:c>
      <x:c r="D898" s="7" t="str">
        <x:v>channel instance</x:v>
      </x:c>
      <x:c r="E898" s="7" t="str">
        <x:v>CH-PEA-A-X3-02-5</x:v>
      </x:c>
      <x:c r="F898" s="7" t="str">
        <x:f>'Channel Instances'!O305</x:f>
        <x:v>OPEN</x:v>
      </x:c>
    </x:row>
    <x:row r="899">
      <x:c r="B899" s="7" t="str">
        <x:v>AG-00893</x:v>
      </x:c>
      <x:c r="C899" s="7" t="str">
        <x:v>PEA-A-X3</x:v>
      </x:c>
      <x:c r="D899" s="7" t="str">
        <x:v>channel instance</x:v>
      </x:c>
      <x:c r="E899" s="7" t="str">
        <x:v>CH-PEA-A-X3-02-6</x:v>
      </x:c>
      <x:c r="F899" s="7" t="str">
        <x:f>'Channel Instances'!O306</x:f>
        <x:v>OPEN</x:v>
      </x:c>
    </x:row>
    <x:row r="900">
      <x:c r="B900" s="7" t="str">
        <x:v>AG-00894</x:v>
      </x:c>
      <x:c r="C900" s="7" t="str">
        <x:v>PEA-A-X3</x:v>
      </x:c>
      <x:c r="D900" s="7" t="str">
        <x:v>channel instance</x:v>
      </x:c>
      <x:c r="E900" s="7" t="str">
        <x:v>CH-PEA-A-X3-03-1</x:v>
      </x:c>
      <x:c r="F900" s="7" t="str">
        <x:f>'Channel Instances'!O307</x:f>
        <x:v>OPEN</x:v>
      </x:c>
    </x:row>
    <x:row r="901">
      <x:c r="B901" s="7" t="str">
        <x:v>AG-00895</x:v>
      </x:c>
      <x:c r="C901" s="7" t="str">
        <x:v>PEA-A-X3</x:v>
      </x:c>
      <x:c r="D901" s="7" t="str">
        <x:v>channel instance</x:v>
      </x:c>
      <x:c r="E901" s="7" t="str">
        <x:v>CH-PEA-A-X3-03-2</x:v>
      </x:c>
      <x:c r="F901" s="7" t="str">
        <x:f>'Channel Instances'!O308</x:f>
        <x:v>OPEN</x:v>
      </x:c>
    </x:row>
    <x:row r="902">
      <x:c r="B902" s="7" t="str">
        <x:v>AG-00896</x:v>
      </x:c>
      <x:c r="C902" s="7" t="str">
        <x:v>PEA-A-X3</x:v>
      </x:c>
      <x:c r="D902" s="7" t="str">
        <x:v>channel instance</x:v>
      </x:c>
      <x:c r="E902" s="7" t="str">
        <x:v>CH-PEA-A-X3-03-3</x:v>
      </x:c>
      <x:c r="F902" s="7" t="str">
        <x:f>'Channel Instances'!O309</x:f>
        <x:v>OPEN</x:v>
      </x:c>
    </x:row>
    <x:row r="903">
      <x:c r="B903" s="7" t="str">
        <x:v>AG-00897</x:v>
      </x:c>
      <x:c r="C903" s="7" t="str">
        <x:v>PEA-A-X3</x:v>
      </x:c>
      <x:c r="D903" s="7" t="str">
        <x:v>channel instance</x:v>
      </x:c>
      <x:c r="E903" s="7" t="str">
        <x:v>CH-PEA-A-X3-03-4</x:v>
      </x:c>
      <x:c r="F903" s="7" t="str">
        <x:f>'Channel Instances'!O310</x:f>
        <x:v>OPEN</x:v>
      </x:c>
    </x:row>
    <x:row r="904">
      <x:c r="B904" s="7" t="str">
        <x:v>AG-00898</x:v>
      </x:c>
      <x:c r="C904" s="7" t="str">
        <x:v>PEA-A-X3</x:v>
      </x:c>
      <x:c r="D904" s="7" t="str">
        <x:v>channel instance</x:v>
      </x:c>
      <x:c r="E904" s="7" t="str">
        <x:v>CH-PEA-A-X3-03-5</x:v>
      </x:c>
      <x:c r="F904" s="7" t="str">
        <x:f>'Channel Instances'!O311</x:f>
        <x:v>OPEN</x:v>
      </x:c>
    </x:row>
    <x:row r="905">
      <x:c r="B905" s="7" t="str">
        <x:v>AG-00899</x:v>
      </x:c>
      <x:c r="C905" s="7" t="str">
        <x:v>PEA-A-X3</x:v>
      </x:c>
      <x:c r="D905" s="7" t="str">
        <x:v>channel instance</x:v>
      </x:c>
      <x:c r="E905" s="7" t="str">
        <x:v>CH-PEA-A-X3-03-6</x:v>
      </x:c>
      <x:c r="F905" s="7" t="str">
        <x:f>'Channel Instances'!O312</x:f>
        <x:v>OPEN</x:v>
      </x:c>
    </x:row>
    <x:row r="906">
      <x:c r="B906" s="7" t="str">
        <x:v>AG-00900</x:v>
      </x:c>
      <x:c r="C906" s="7" t="str">
        <x:v>PEA-A-X3</x:v>
      </x:c>
      <x:c r="D906" s="7" t="str">
        <x:v>channel instance</x:v>
      </x:c>
      <x:c r="E906" s="7" t="str">
        <x:v>CH-PEA-A-X3-04-1</x:v>
      </x:c>
      <x:c r="F906" s="7" t="str">
        <x:f>'Channel Instances'!O313</x:f>
        <x:v>OPEN</x:v>
      </x:c>
    </x:row>
    <x:row r="907">
      <x:c r="B907" s="7" t="str">
        <x:v>AG-00901</x:v>
      </x:c>
      <x:c r="C907" s="7" t="str">
        <x:v>PEA-A-X3</x:v>
      </x:c>
      <x:c r="D907" s="7" t="str">
        <x:v>channel instance</x:v>
      </x:c>
      <x:c r="E907" s="7" t="str">
        <x:v>CH-PEA-A-X3-04-2</x:v>
      </x:c>
      <x:c r="F907" s="7" t="str">
        <x:f>'Channel Instances'!O314</x:f>
        <x:v>OPEN</x:v>
      </x:c>
    </x:row>
    <x:row r="908">
      <x:c r="B908" s="7" t="str">
        <x:v>AG-00902</x:v>
      </x:c>
      <x:c r="C908" s="7" t="str">
        <x:v>PEA-A-X3</x:v>
      </x:c>
      <x:c r="D908" s="7" t="str">
        <x:v>channel instance</x:v>
      </x:c>
      <x:c r="E908" s="7" t="str">
        <x:v>CH-PEA-A-X3-04-3</x:v>
      </x:c>
      <x:c r="F908" s="7" t="str">
        <x:f>'Channel Instances'!O315</x:f>
        <x:v>OPEN</x:v>
      </x:c>
    </x:row>
    <x:row r="909">
      <x:c r="B909" s="7" t="str">
        <x:v>AG-00903</x:v>
      </x:c>
      <x:c r="C909" s="7" t="str">
        <x:v>PEA-A-X3</x:v>
      </x:c>
      <x:c r="D909" s="7" t="str">
        <x:v>channel instance</x:v>
      </x:c>
      <x:c r="E909" s="7" t="str">
        <x:v>CH-PEA-A-X3-04-4</x:v>
      </x:c>
      <x:c r="F909" s="7" t="str">
        <x:f>'Channel Instances'!O316</x:f>
        <x:v>OPEN</x:v>
      </x:c>
    </x:row>
    <x:row r="910">
      <x:c r="B910" s="7" t="str">
        <x:v>AG-00904</x:v>
      </x:c>
      <x:c r="C910" s="7" t="str">
        <x:v>PEA-A-X3</x:v>
      </x:c>
      <x:c r="D910" s="7" t="str">
        <x:v>channel instance</x:v>
      </x:c>
      <x:c r="E910" s="7" t="str">
        <x:v>CH-PEA-A-X3-04-5</x:v>
      </x:c>
      <x:c r="F910" s="7" t="str">
        <x:f>'Channel Instances'!O317</x:f>
        <x:v>OPEN</x:v>
      </x:c>
    </x:row>
    <x:row r="911">
      <x:c r="B911" s="7" t="str">
        <x:v>AG-00905</x:v>
      </x:c>
      <x:c r="C911" s="7" t="str">
        <x:v>PEA-A-X3</x:v>
      </x:c>
      <x:c r="D911" s="7" t="str">
        <x:v>channel instance</x:v>
      </x:c>
      <x:c r="E911" s="7" t="str">
        <x:v>CH-PEA-A-X3-04-6</x:v>
      </x:c>
      <x:c r="F911" s="7" t="str">
        <x:f>'Channel Instances'!O318</x:f>
        <x:v>OPEN</x:v>
      </x:c>
    </x:row>
    <x:row r="912">
      <x:c r="B912" s="7" t="str">
        <x:v>AG-00906</x:v>
      </x:c>
      <x:c r="C912" s="7" t="str">
        <x:v>PEA-A-X3</x:v>
      </x:c>
      <x:c r="D912" s="7" t="str">
        <x:v>channel instance</x:v>
      </x:c>
      <x:c r="E912" s="7" t="str">
        <x:v>CH-PEA-A-X3-05-1</x:v>
      </x:c>
      <x:c r="F912" s="7" t="str">
        <x:f>'Channel Instances'!O319</x:f>
        <x:v>OPEN</x:v>
      </x:c>
    </x:row>
    <x:row r="913">
      <x:c r="B913" s="7" t="str">
        <x:v>AG-00907</x:v>
      </x:c>
      <x:c r="C913" s="7" t="str">
        <x:v>PEA-A-X3</x:v>
      </x:c>
      <x:c r="D913" s="7" t="str">
        <x:v>channel instance</x:v>
      </x:c>
      <x:c r="E913" s="7" t="str">
        <x:v>CH-PEA-A-X3-05-2</x:v>
      </x:c>
      <x:c r="F913" s="7" t="str">
        <x:f>'Channel Instances'!O320</x:f>
        <x:v>OPEN</x:v>
      </x:c>
    </x:row>
    <x:row r="914">
      <x:c r="B914" s="7" t="str">
        <x:v>AG-00908</x:v>
      </x:c>
      <x:c r="C914" s="7" t="str">
        <x:v>PEA-A-X3</x:v>
      </x:c>
      <x:c r="D914" s="7" t="str">
        <x:v>channel instance</x:v>
      </x:c>
      <x:c r="E914" s="7" t="str">
        <x:v>CH-PEA-A-X3-05-3</x:v>
      </x:c>
      <x:c r="F914" s="7" t="str">
        <x:f>'Channel Instances'!O321</x:f>
        <x:v>OPEN</x:v>
      </x:c>
    </x:row>
    <x:row r="915">
      <x:c r="B915" s="7" t="str">
        <x:v>AG-00909</x:v>
      </x:c>
      <x:c r="C915" s="7" t="str">
        <x:v>PEA-A-X3</x:v>
      </x:c>
      <x:c r="D915" s="7" t="str">
        <x:v>channel instance</x:v>
      </x:c>
      <x:c r="E915" s="7" t="str">
        <x:v>CH-PEA-A-X3-05-4</x:v>
      </x:c>
      <x:c r="F915" s="7" t="str">
        <x:f>'Channel Instances'!O322</x:f>
        <x:v>OPEN</x:v>
      </x:c>
    </x:row>
    <x:row r="916">
      <x:c r="B916" s="7" t="str">
        <x:v>AG-00910</x:v>
      </x:c>
      <x:c r="C916" s="7" t="str">
        <x:v>PEA-A-X3</x:v>
      </x:c>
      <x:c r="D916" s="7" t="str">
        <x:v>channel instance</x:v>
      </x:c>
      <x:c r="E916" s="7" t="str">
        <x:v>CH-PEA-A-X3-05-5</x:v>
      </x:c>
      <x:c r="F916" s="7" t="str">
        <x:f>'Channel Instances'!O323</x:f>
        <x:v>OPEN</x:v>
      </x:c>
    </x:row>
    <x:row r="917">
      <x:c r="B917" s="7" t="str">
        <x:v>AG-00911</x:v>
      </x:c>
      <x:c r="C917" s="7" t="str">
        <x:v>PEA-A-X3</x:v>
      </x:c>
      <x:c r="D917" s="7" t="str">
        <x:v>channel instance</x:v>
      </x:c>
      <x:c r="E917" s="7" t="str">
        <x:v>CH-PEA-A-X3-05-6</x:v>
      </x:c>
      <x:c r="F917" s="7" t="str">
        <x:f>'Channel Instances'!O324</x:f>
        <x:v>OPEN</x:v>
      </x:c>
    </x:row>
    <x:row r="918">
      <x:c r="B918" s="7" t="str">
        <x:v>AG-00912</x:v>
      </x:c>
      <x:c r="C918" s="7" t="str">
        <x:v>PEA-A-X3</x:v>
      </x:c>
      <x:c r="D918" s="7" t="str">
        <x:v>channel instance</x:v>
      </x:c>
      <x:c r="E918" s="7" t="str">
        <x:v>CH-PEA-A-X3-06-1</x:v>
      </x:c>
      <x:c r="F918" s="7" t="str">
        <x:f>'Channel Instances'!O325</x:f>
        <x:v>OPEN</x:v>
      </x:c>
    </x:row>
    <x:row r="919">
      <x:c r="B919" s="7" t="str">
        <x:v>AG-00913</x:v>
      </x:c>
      <x:c r="C919" s="7" t="str">
        <x:v>PEA-A-X3</x:v>
      </x:c>
      <x:c r="D919" s="7" t="str">
        <x:v>channel instance</x:v>
      </x:c>
      <x:c r="E919" s="7" t="str">
        <x:v>CH-PEA-A-X3-06-2</x:v>
      </x:c>
      <x:c r="F919" s="7" t="str">
        <x:f>'Channel Instances'!O326</x:f>
        <x:v>OPEN</x:v>
      </x:c>
    </x:row>
    <x:row r="920">
      <x:c r="B920" s="7" t="str">
        <x:v>AG-00914</x:v>
      </x:c>
      <x:c r="C920" s="7" t="str">
        <x:v>PEA-A-X3</x:v>
      </x:c>
      <x:c r="D920" s="7" t="str">
        <x:v>channel instance</x:v>
      </x:c>
      <x:c r="E920" s="7" t="str">
        <x:v>CH-PEA-A-X3-06-3</x:v>
      </x:c>
      <x:c r="F920" s="7" t="str">
        <x:f>'Channel Instances'!O327</x:f>
        <x:v>OPEN</x:v>
      </x:c>
    </x:row>
    <x:row r="921">
      <x:c r="B921" s="7" t="str">
        <x:v>AG-00915</x:v>
      </x:c>
      <x:c r="C921" s="7" t="str">
        <x:v>PEA-A-X3</x:v>
      </x:c>
      <x:c r="D921" s="7" t="str">
        <x:v>channel instance</x:v>
      </x:c>
      <x:c r="E921" s="7" t="str">
        <x:v>CH-PEA-A-X3-06-4</x:v>
      </x:c>
      <x:c r="F921" s="7" t="str">
        <x:f>'Channel Instances'!O328</x:f>
        <x:v>OPEN</x:v>
      </x:c>
    </x:row>
    <x:row r="922">
      <x:c r="B922" s="7" t="str">
        <x:v>AG-00916</x:v>
      </x:c>
      <x:c r="C922" s="7" t="str">
        <x:v>PEA-A-X3</x:v>
      </x:c>
      <x:c r="D922" s="7" t="str">
        <x:v>channel instance</x:v>
      </x:c>
      <x:c r="E922" s="7" t="str">
        <x:v>CH-PEA-A-X3-06-5</x:v>
      </x:c>
      <x:c r="F922" s="7" t="str">
        <x:f>'Channel Instances'!O329</x:f>
        <x:v>OPEN</x:v>
      </x:c>
    </x:row>
    <x:row r="923">
      <x:c r="B923" s="7" t="str">
        <x:v>AG-00917</x:v>
      </x:c>
      <x:c r="C923" s="7" t="str">
        <x:v>PEA-A-X3</x:v>
      </x:c>
      <x:c r="D923" s="7" t="str">
        <x:v>channel instance</x:v>
      </x:c>
      <x:c r="E923" s="7" t="str">
        <x:v>CH-PEA-A-X3-06-6</x:v>
      </x:c>
      <x:c r="F923" s="7" t="str">
        <x:f>'Channel Instances'!O330</x:f>
        <x:v>OPEN</x:v>
      </x:c>
    </x:row>
    <x:row r="924">
      <x:c r="B924" s="7" t="str">
        <x:v>AG-00918</x:v>
      </x:c>
      <x:c r="C924" s="7" t="str">
        <x:v>PEA-A-X3</x:v>
      </x:c>
      <x:c r="D924" s="7" t="str">
        <x:v>channel instance</x:v>
      </x:c>
      <x:c r="E924" s="7" t="str">
        <x:v>CH-PEA-A-X3-07-1</x:v>
      </x:c>
      <x:c r="F924" s="7" t="str">
        <x:f>'Channel Instances'!O331</x:f>
        <x:v>OPEN</x:v>
      </x:c>
    </x:row>
    <x:row r="925">
      <x:c r="B925" s="7" t="str">
        <x:v>AG-00919</x:v>
      </x:c>
      <x:c r="C925" s="7" t="str">
        <x:v>PEA-A-X3</x:v>
      </x:c>
      <x:c r="D925" s="7" t="str">
        <x:v>channel instance</x:v>
      </x:c>
      <x:c r="E925" s="7" t="str">
        <x:v>CH-PEA-A-X3-07-2</x:v>
      </x:c>
      <x:c r="F925" s="7" t="str">
        <x:f>'Channel Instances'!O332</x:f>
        <x:v>OPEN</x:v>
      </x:c>
    </x:row>
    <x:row r="926">
      <x:c r="B926" s="7" t="str">
        <x:v>AG-00920</x:v>
      </x:c>
      <x:c r="C926" s="7" t="str">
        <x:v>PEA-A-X3</x:v>
      </x:c>
      <x:c r="D926" s="7" t="str">
        <x:v>channel instance</x:v>
      </x:c>
      <x:c r="E926" s="7" t="str">
        <x:v>CH-PEA-A-X3-07-3</x:v>
      </x:c>
      <x:c r="F926" s="7" t="str">
        <x:f>'Channel Instances'!O333</x:f>
        <x:v>OPEN</x:v>
      </x:c>
    </x:row>
    <x:row r="927">
      <x:c r="B927" s="7" t="str">
        <x:v>AG-00921</x:v>
      </x:c>
      <x:c r="C927" s="7" t="str">
        <x:v>PEA-A-X3</x:v>
      </x:c>
      <x:c r="D927" s="7" t="str">
        <x:v>channel instance</x:v>
      </x:c>
      <x:c r="E927" s="7" t="str">
        <x:v>CH-PEA-A-X3-07-4</x:v>
      </x:c>
      <x:c r="F927" s="7" t="str">
        <x:f>'Channel Instances'!O334</x:f>
        <x:v>OPEN</x:v>
      </x:c>
    </x:row>
    <x:row r="928">
      <x:c r="B928" s="7" t="str">
        <x:v>AG-00922</x:v>
      </x:c>
      <x:c r="C928" s="7" t="str">
        <x:v>PEA-A-X3</x:v>
      </x:c>
      <x:c r="D928" s="7" t="str">
        <x:v>channel instance</x:v>
      </x:c>
      <x:c r="E928" s="7" t="str">
        <x:v>CH-PEA-A-X3-07-5</x:v>
      </x:c>
      <x:c r="F928" s="7" t="str">
        <x:f>'Channel Instances'!O335</x:f>
        <x:v>OPEN</x:v>
      </x:c>
    </x:row>
    <x:row r="929">
      <x:c r="B929" s="7" t="str">
        <x:v>AG-00923</x:v>
      </x:c>
      <x:c r="C929" s="7" t="str">
        <x:v>PEA-A-X3</x:v>
      </x:c>
      <x:c r="D929" s="7" t="str">
        <x:v>channel instance</x:v>
      </x:c>
      <x:c r="E929" s="7" t="str">
        <x:v>CH-PEA-A-X3-07-6</x:v>
      </x:c>
      <x:c r="F929" s="7" t="str">
        <x:f>'Channel Instances'!O336</x:f>
        <x:v>OPEN</x:v>
      </x:c>
    </x:row>
    <x:row r="930">
      <x:c r="B930" s="7" t="str">
        <x:v>AG-00924</x:v>
      </x:c>
      <x:c r="C930" s="7" t="str">
        <x:v>PEA-A-X3</x:v>
      </x:c>
      <x:c r="D930" s="7" t="str">
        <x:v>channel instance</x:v>
      </x:c>
      <x:c r="E930" s="7" t="str">
        <x:v>CH-PEA-A-X3-08-1</x:v>
      </x:c>
      <x:c r="F930" s="7" t="str">
        <x:f>'Channel Instances'!O337</x:f>
        <x:v>OPEN</x:v>
      </x:c>
    </x:row>
    <x:row r="931">
      <x:c r="B931" s="7" t="str">
        <x:v>AG-00925</x:v>
      </x:c>
      <x:c r="C931" s="7" t="str">
        <x:v>PEA-A-X3</x:v>
      </x:c>
      <x:c r="D931" s="7" t="str">
        <x:v>channel instance</x:v>
      </x:c>
      <x:c r="E931" s="7" t="str">
        <x:v>CH-PEA-A-X3-08-2</x:v>
      </x:c>
      <x:c r="F931" s="7" t="str">
        <x:f>'Channel Instances'!O338</x:f>
        <x:v>OPEN</x:v>
      </x:c>
    </x:row>
    <x:row r="932">
      <x:c r="B932" s="7" t="str">
        <x:v>AG-00926</x:v>
      </x:c>
      <x:c r="C932" s="7" t="str">
        <x:v>PEA-A-X3</x:v>
      </x:c>
      <x:c r="D932" s="7" t="str">
        <x:v>channel instance</x:v>
      </x:c>
      <x:c r="E932" s="7" t="str">
        <x:v>CH-PEA-A-X3-08-3</x:v>
      </x:c>
      <x:c r="F932" s="7" t="str">
        <x:f>'Channel Instances'!O339</x:f>
        <x:v>OPEN</x:v>
      </x:c>
    </x:row>
    <x:row r="933">
      <x:c r="B933" s="7" t="str">
        <x:v>AG-00927</x:v>
      </x:c>
      <x:c r="C933" s="7" t="str">
        <x:v>PEA-A-X3</x:v>
      </x:c>
      <x:c r="D933" s="7" t="str">
        <x:v>channel instance</x:v>
      </x:c>
      <x:c r="E933" s="7" t="str">
        <x:v>CH-PEA-A-X3-08-4</x:v>
      </x:c>
      <x:c r="F933" s="7" t="str">
        <x:f>'Channel Instances'!O340</x:f>
        <x:v>OPEN</x:v>
      </x:c>
    </x:row>
    <x:row r="934">
      <x:c r="B934" s="7" t="str">
        <x:v>AG-00928</x:v>
      </x:c>
      <x:c r="C934" s="7" t="str">
        <x:v>PEA-A-X3</x:v>
      </x:c>
      <x:c r="D934" s="7" t="str">
        <x:v>channel instance</x:v>
      </x:c>
      <x:c r="E934" s="7" t="str">
        <x:v>CH-PEA-A-X3-08-5</x:v>
      </x:c>
      <x:c r="F934" s="7" t="str">
        <x:f>'Channel Instances'!O341</x:f>
        <x:v>OPEN</x:v>
      </x:c>
    </x:row>
    <x:row r="935">
      <x:c r="B935" s="7" t="str">
        <x:v>AG-00929</x:v>
      </x:c>
      <x:c r="C935" s="7" t="str">
        <x:v>PEA-A-X3</x:v>
      </x:c>
      <x:c r="D935" s="7" t="str">
        <x:v>channel instance</x:v>
      </x:c>
      <x:c r="E935" s="7" t="str">
        <x:v>CH-PEA-A-X3-08-6</x:v>
      </x:c>
      <x:c r="F935" s="7" t="str">
        <x:f>'Channel Instances'!O342</x:f>
        <x:v>OPEN</x:v>
      </x:c>
    </x:row>
    <x:row r="936">
      <x:c r="B936" s="7" t="str">
        <x:v>AG-00930</x:v>
      </x:c>
      <x:c r="C936" s="7" t="str">
        <x:v>PEA-A-X3</x:v>
      </x:c>
      <x:c r="D936" s="7" t="str">
        <x:v>channel instance</x:v>
      </x:c>
      <x:c r="E936" s="7" t="str">
        <x:v>CH-PEA-A-X3-09-1</x:v>
      </x:c>
      <x:c r="F936" s="7" t="str">
        <x:f>'Channel Instances'!O343</x:f>
        <x:v>OPEN</x:v>
      </x:c>
    </x:row>
    <x:row r="937">
      <x:c r="B937" s="7" t="str">
        <x:v>AG-00931</x:v>
      </x:c>
      <x:c r="C937" s="7" t="str">
        <x:v>PEA-A-X3</x:v>
      </x:c>
      <x:c r="D937" s="7" t="str">
        <x:v>channel instance</x:v>
      </x:c>
      <x:c r="E937" s="7" t="str">
        <x:v>CH-PEA-A-X3-09-2</x:v>
      </x:c>
      <x:c r="F937" s="7" t="str">
        <x:f>'Channel Instances'!O344</x:f>
        <x:v>OPEN</x:v>
      </x:c>
    </x:row>
    <x:row r="938">
      <x:c r="B938" s="7" t="str">
        <x:v>AG-00932</x:v>
      </x:c>
      <x:c r="C938" s="7" t="str">
        <x:v>PEA-A-X3</x:v>
      </x:c>
      <x:c r="D938" s="7" t="str">
        <x:v>channel instance</x:v>
      </x:c>
      <x:c r="E938" s="7" t="str">
        <x:v>CH-PEA-A-X3-09-3</x:v>
      </x:c>
      <x:c r="F938" s="7" t="str">
        <x:f>'Channel Instances'!O345</x:f>
        <x:v>OPEN</x:v>
      </x:c>
    </x:row>
    <x:row r="939">
      <x:c r="B939" s="7" t="str">
        <x:v>AG-00933</x:v>
      </x:c>
      <x:c r="C939" s="7" t="str">
        <x:v>PEA-A-X3</x:v>
      </x:c>
      <x:c r="D939" s="7" t="str">
        <x:v>channel instance</x:v>
      </x:c>
      <x:c r="E939" s="7" t="str">
        <x:v>CH-PEA-A-X3-09-4</x:v>
      </x:c>
      <x:c r="F939" s="7" t="str">
        <x:f>'Channel Instances'!O346</x:f>
        <x:v>OPEN</x:v>
      </x:c>
    </x:row>
    <x:row r="940">
      <x:c r="B940" s="7" t="str">
        <x:v>AG-00934</x:v>
      </x:c>
      <x:c r="C940" s="7" t="str">
        <x:v>PEA-A-X3</x:v>
      </x:c>
      <x:c r="D940" s="7" t="str">
        <x:v>channel instance</x:v>
      </x:c>
      <x:c r="E940" s="7" t="str">
        <x:v>CH-PEA-A-X3-09-5</x:v>
      </x:c>
      <x:c r="F940" s="7" t="str">
        <x:f>'Channel Instances'!O347</x:f>
        <x:v>OPEN</x:v>
      </x:c>
    </x:row>
    <x:row r="941">
      <x:c r="B941" s="7" t="str">
        <x:v>AG-00935</x:v>
      </x:c>
      <x:c r="C941" s="7" t="str">
        <x:v>PEA-A-X3</x:v>
      </x:c>
      <x:c r="D941" s="7" t="str">
        <x:v>channel instance</x:v>
      </x:c>
      <x:c r="E941" s="7" t="str">
        <x:v>CH-PEA-A-X3-09-6</x:v>
      </x:c>
      <x:c r="F941" s="7" t="str">
        <x:f>'Channel Instances'!O348</x:f>
        <x:v>OPEN</x:v>
      </x:c>
    </x:row>
    <x:row r="942">
      <x:c r="B942" s="7" t="str">
        <x:v>AG-00936</x:v>
      </x:c>
      <x:c r="C942" s="7" t="str">
        <x:v>PEA-A-X3</x:v>
      </x:c>
      <x:c r="D942" s="7" t="str">
        <x:v>channel instance</x:v>
      </x:c>
      <x:c r="E942" s="7" t="str">
        <x:v>CH-PEA-A-X3-10-1</x:v>
      </x:c>
      <x:c r="F942" s="7" t="str">
        <x:f>'Channel Instances'!O349</x:f>
        <x:v>OPEN</x:v>
      </x:c>
    </x:row>
    <x:row r="943">
      <x:c r="B943" s="7" t="str">
        <x:v>AG-00937</x:v>
      </x:c>
      <x:c r="C943" s="7" t="str">
        <x:v>PEA-A-X3</x:v>
      </x:c>
      <x:c r="D943" s="7" t="str">
        <x:v>channel instance</x:v>
      </x:c>
      <x:c r="E943" s="7" t="str">
        <x:v>CH-PEA-A-X3-10-2</x:v>
      </x:c>
      <x:c r="F943" s="7" t="str">
        <x:f>'Channel Instances'!O350</x:f>
        <x:v>OPEN</x:v>
      </x:c>
    </x:row>
    <x:row r="944">
      <x:c r="B944" s="7" t="str">
        <x:v>AG-00938</x:v>
      </x:c>
      <x:c r="C944" s="7" t="str">
        <x:v>PEA-A-X3</x:v>
      </x:c>
      <x:c r="D944" s="7" t="str">
        <x:v>channel instance</x:v>
      </x:c>
      <x:c r="E944" s="7" t="str">
        <x:v>CH-PEA-A-X3-10-3</x:v>
      </x:c>
      <x:c r="F944" s="7" t="str">
        <x:f>'Channel Instances'!O351</x:f>
        <x:v>OPEN</x:v>
      </x:c>
    </x:row>
    <x:row r="945">
      <x:c r="B945" s="7" t="str">
        <x:v>AG-00939</x:v>
      </x:c>
      <x:c r="C945" s="7" t="str">
        <x:v>PEA-A-X3</x:v>
      </x:c>
      <x:c r="D945" s="7" t="str">
        <x:v>channel instance</x:v>
      </x:c>
      <x:c r="E945" s="7" t="str">
        <x:v>CH-PEA-A-X3-10-4</x:v>
      </x:c>
      <x:c r="F945" s="7" t="str">
        <x:f>'Channel Instances'!O352</x:f>
        <x:v>OPEN</x:v>
      </x:c>
    </x:row>
    <x:row r="946">
      <x:c r="B946" s="7" t="str">
        <x:v>AG-00940</x:v>
      </x:c>
      <x:c r="C946" s="7" t="str">
        <x:v>PEA-A-X3</x:v>
      </x:c>
      <x:c r="D946" s="7" t="str">
        <x:v>channel instance</x:v>
      </x:c>
      <x:c r="E946" s="7" t="str">
        <x:v>CH-PEA-A-X3-10-5</x:v>
      </x:c>
      <x:c r="F946" s="7" t="str">
        <x:f>'Channel Instances'!O353</x:f>
        <x:v>OPEN</x:v>
      </x:c>
    </x:row>
    <x:row r="947">
      <x:c r="B947" s="7" t="str">
        <x:v>AG-00941</x:v>
      </x:c>
      <x:c r="C947" s="7" t="str">
        <x:v>PEA-A-X3</x:v>
      </x:c>
      <x:c r="D947" s="7" t="str">
        <x:v>channel instance</x:v>
      </x:c>
      <x:c r="E947" s="7" t="str">
        <x:v>CH-PEA-A-X3-10-6</x:v>
      </x:c>
      <x:c r="F947" s="7" t="str">
        <x:f>'Channel Instances'!O354</x:f>
        <x:v>OPEN</x:v>
      </x:c>
    </x:row>
    <x:row r="948">
      <x:c r="B948" s="7" t="str">
        <x:v>AG-00942</x:v>
      </x:c>
      <x:c r="C948" s="7" t="str">
        <x:v>PEA-A-X3</x:v>
      </x:c>
      <x:c r="D948" s="7" t="str">
        <x:v>channel instance</x:v>
      </x:c>
      <x:c r="E948" s="7" t="str">
        <x:v>CH-PEA-A-X3-11-1</x:v>
      </x:c>
      <x:c r="F948" s="7" t="str">
        <x:f>'Channel Instances'!O355</x:f>
        <x:v>OPEN</x:v>
      </x:c>
    </x:row>
    <x:row r="949">
      <x:c r="B949" s="7" t="str">
        <x:v>AG-00943</x:v>
      </x:c>
      <x:c r="C949" s="7" t="str">
        <x:v>PEA-A-X3</x:v>
      </x:c>
      <x:c r="D949" s="7" t="str">
        <x:v>channel instance</x:v>
      </x:c>
      <x:c r="E949" s="7" t="str">
        <x:v>CH-PEA-A-X3-11-2</x:v>
      </x:c>
      <x:c r="F949" s="7" t="str">
        <x:f>'Channel Instances'!O356</x:f>
        <x:v>OPEN</x:v>
      </x:c>
    </x:row>
    <x:row r="950">
      <x:c r="B950" s="7" t="str">
        <x:v>AG-00944</x:v>
      </x:c>
      <x:c r="C950" s="7" t="str">
        <x:v>PEA-A-X3</x:v>
      </x:c>
      <x:c r="D950" s="7" t="str">
        <x:v>channel instance</x:v>
      </x:c>
      <x:c r="E950" s="7" t="str">
        <x:v>CH-PEA-A-X3-11-3</x:v>
      </x:c>
      <x:c r="F950" s="7" t="str">
        <x:f>'Channel Instances'!O357</x:f>
        <x:v>OPEN</x:v>
      </x:c>
    </x:row>
    <x:row r="951">
      <x:c r="B951" s="7" t="str">
        <x:v>AG-00945</x:v>
      </x:c>
      <x:c r="C951" s="7" t="str">
        <x:v>PEA-A-X3</x:v>
      </x:c>
      <x:c r="D951" s="7" t="str">
        <x:v>channel instance</x:v>
      </x:c>
      <x:c r="E951" s="7" t="str">
        <x:v>CH-PEA-A-X3-11-4</x:v>
      </x:c>
      <x:c r="F951" s="7" t="str">
        <x:f>'Channel Instances'!O358</x:f>
        <x:v>OPEN</x:v>
      </x:c>
    </x:row>
    <x:row r="952">
      <x:c r="B952" s="7" t="str">
        <x:v>AG-00946</x:v>
      </x:c>
      <x:c r="C952" s="7" t="str">
        <x:v>PEA-A-X3</x:v>
      </x:c>
      <x:c r="D952" s="7" t="str">
        <x:v>channel instance</x:v>
      </x:c>
      <x:c r="E952" s="7" t="str">
        <x:v>CH-PEA-A-X3-11-5</x:v>
      </x:c>
      <x:c r="F952" s="7" t="str">
        <x:f>'Channel Instances'!O359</x:f>
        <x:v>OPEN</x:v>
      </x:c>
    </x:row>
    <x:row r="953">
      <x:c r="B953" s="7" t="str">
        <x:v>AG-00947</x:v>
      </x:c>
      <x:c r="C953" s="7" t="str">
        <x:v>PEA-A-X3</x:v>
      </x:c>
      <x:c r="D953" s="7" t="str">
        <x:v>channel instance</x:v>
      </x:c>
      <x:c r="E953" s="7" t="str">
        <x:v>CH-PEA-A-X3-11-6</x:v>
      </x:c>
      <x:c r="F953" s="7" t="str">
        <x:f>'Channel Instances'!O360</x:f>
        <x:v>OPEN</x:v>
      </x:c>
    </x:row>
    <x:row r="954">
      <x:c r="B954" s="7" t="str">
        <x:v>AG-00948</x:v>
      </x:c>
      <x:c r="C954" s="7" t="str">
        <x:v>PEA-A-X3</x:v>
      </x:c>
      <x:c r="D954" s="7" t="str">
        <x:v>channel instance</x:v>
      </x:c>
      <x:c r="E954" s="7" t="str">
        <x:v>CH-PEA-A-X3-12-1</x:v>
      </x:c>
      <x:c r="F954" s="7" t="str">
        <x:f>'Channel Instances'!O361</x:f>
        <x:v>OPEN</x:v>
      </x:c>
    </x:row>
    <x:row r="955">
      <x:c r="B955" s="7" t="str">
        <x:v>AG-00949</x:v>
      </x:c>
      <x:c r="C955" s="7" t="str">
        <x:v>PEA-A-X3</x:v>
      </x:c>
      <x:c r="D955" s="7" t="str">
        <x:v>channel instance</x:v>
      </x:c>
      <x:c r="E955" s="7" t="str">
        <x:v>CH-PEA-A-X3-12-2</x:v>
      </x:c>
      <x:c r="F955" s="7" t="str">
        <x:f>'Channel Instances'!O362</x:f>
        <x:v>OPEN</x:v>
      </x:c>
    </x:row>
    <x:row r="956">
      <x:c r="B956" s="7" t="str">
        <x:v>AG-00950</x:v>
      </x:c>
      <x:c r="C956" s="7" t="str">
        <x:v>PEA-A-X3</x:v>
      </x:c>
      <x:c r="D956" s="7" t="str">
        <x:v>channel instance</x:v>
      </x:c>
      <x:c r="E956" s="7" t="str">
        <x:v>CH-PEA-A-X3-12-3</x:v>
      </x:c>
      <x:c r="F956" s="7" t="str">
        <x:f>'Channel Instances'!O363</x:f>
        <x:v>OPEN</x:v>
      </x:c>
    </x:row>
    <x:row r="957">
      <x:c r="B957" s="7" t="str">
        <x:v>AG-00951</x:v>
      </x:c>
      <x:c r="C957" s="7" t="str">
        <x:v>PEA-A-X3</x:v>
      </x:c>
      <x:c r="D957" s="7" t="str">
        <x:v>channel instance</x:v>
      </x:c>
      <x:c r="E957" s="7" t="str">
        <x:v>CH-PEA-A-X3-12-4</x:v>
      </x:c>
      <x:c r="F957" s="7" t="str">
        <x:f>'Channel Instances'!O364</x:f>
        <x:v>OPEN</x:v>
      </x:c>
    </x:row>
    <x:row r="958">
      <x:c r="B958" s="7" t="str">
        <x:v>AG-00952</x:v>
      </x:c>
      <x:c r="C958" s="7" t="str">
        <x:v>PEA-A-X3</x:v>
      </x:c>
      <x:c r="D958" s="7" t="str">
        <x:v>channel instance</x:v>
      </x:c>
      <x:c r="E958" s="7" t="str">
        <x:v>CH-PEA-A-X3-12-5</x:v>
      </x:c>
      <x:c r="F958" s="7" t="str">
        <x:f>'Channel Instances'!O365</x:f>
        <x:v>OPEN</x:v>
      </x:c>
    </x:row>
    <x:row r="959">
      <x:c r="B959" s="7" t="str">
        <x:v>AG-00953</x:v>
      </x:c>
      <x:c r="C959" s="7" t="str">
        <x:v>PEA-A-X3</x:v>
      </x:c>
      <x:c r="D959" s="7" t="str">
        <x:v>channel instance</x:v>
      </x:c>
      <x:c r="E959" s="7" t="str">
        <x:v>CH-PEA-A-X3-12-6</x:v>
      </x:c>
      <x:c r="F959" s="7" t="str">
        <x:f>'Channel Instances'!O366</x:f>
        <x:v>OPEN</x:v>
      </x:c>
    </x:row>
    <x:row r="960">
      <x:c r="B960" s="7" t="str">
        <x:v>AG-00954</x:v>
      </x:c>
      <x:c r="C960" s="7" t="str">
        <x:v>PEA-A-X3</x:v>
      </x:c>
      <x:c r="D960" s="7" t="str">
        <x:v>channel instance</x:v>
      </x:c>
      <x:c r="E960" s="7" t="str">
        <x:v>CH-PEA-A-X3-13-1</x:v>
      </x:c>
      <x:c r="F960" s="7" t="str">
        <x:f>'Channel Instances'!O367</x:f>
        <x:v>OPEN</x:v>
      </x:c>
    </x:row>
    <x:row r="961">
      <x:c r="B961" s="7" t="str">
        <x:v>AG-00955</x:v>
      </x:c>
      <x:c r="C961" s="7" t="str">
        <x:v>PEA-A-X3</x:v>
      </x:c>
      <x:c r="D961" s="7" t="str">
        <x:v>channel instance</x:v>
      </x:c>
      <x:c r="E961" s="7" t="str">
        <x:v>CH-PEA-A-X3-13-2</x:v>
      </x:c>
      <x:c r="F961" s="7" t="str">
        <x:f>'Channel Instances'!O368</x:f>
        <x:v>OPEN</x:v>
      </x:c>
    </x:row>
    <x:row r="962">
      <x:c r="B962" s="7" t="str">
        <x:v>AG-00956</x:v>
      </x:c>
      <x:c r="C962" s="7" t="str">
        <x:v>PEA-A-X3</x:v>
      </x:c>
      <x:c r="D962" s="7" t="str">
        <x:v>channel instance</x:v>
      </x:c>
      <x:c r="E962" s="7" t="str">
        <x:v>CH-PEA-A-X3-13-3</x:v>
      </x:c>
      <x:c r="F962" s="7" t="str">
        <x:f>'Channel Instances'!O369</x:f>
        <x:v>OPEN</x:v>
      </x:c>
    </x:row>
    <x:row r="963">
      <x:c r="B963" s="7" t="str">
        <x:v>AG-00957</x:v>
      </x:c>
      <x:c r="C963" s="7" t="str">
        <x:v>PEA-A-X3</x:v>
      </x:c>
      <x:c r="D963" s="7" t="str">
        <x:v>channel instance</x:v>
      </x:c>
      <x:c r="E963" s="7" t="str">
        <x:v>CH-PEA-A-X3-13-4</x:v>
      </x:c>
      <x:c r="F963" s="7" t="str">
        <x:f>'Channel Instances'!O370</x:f>
        <x:v>OPEN</x:v>
      </x:c>
    </x:row>
    <x:row r="964">
      <x:c r="B964" s="7" t="str">
        <x:v>AG-00958</x:v>
      </x:c>
      <x:c r="C964" s="7" t="str">
        <x:v>PEA-A-X3</x:v>
      </x:c>
      <x:c r="D964" s="7" t="str">
        <x:v>channel instance</x:v>
      </x:c>
      <x:c r="E964" s="7" t="str">
        <x:v>CH-PEA-A-X3-13-5</x:v>
      </x:c>
      <x:c r="F964" s="7" t="str">
        <x:f>'Channel Instances'!O371</x:f>
        <x:v>OPEN</x:v>
      </x:c>
    </x:row>
    <x:row r="965">
      <x:c r="B965" s="7" t="str">
        <x:v>AG-00959</x:v>
      </x:c>
      <x:c r="C965" s="7" t="str">
        <x:v>PEA-A-X3</x:v>
      </x:c>
      <x:c r="D965" s="7" t="str">
        <x:v>channel instance</x:v>
      </x:c>
      <x:c r="E965" s="7" t="str">
        <x:v>CH-PEA-A-X3-13-6</x:v>
      </x:c>
      <x:c r="F965" s="7" t="str">
        <x:f>'Channel Instances'!O372</x:f>
        <x:v>OPEN</x:v>
      </x:c>
    </x:row>
    <x:row r="966">
      <x:c r="B966" s="7" t="str">
        <x:v>AG-00960</x:v>
      </x:c>
      <x:c r="C966" s="7" t="str">
        <x:v>PEA-A-X3</x:v>
      </x:c>
      <x:c r="D966" s="7" t="str">
        <x:v>channel instance</x:v>
      </x:c>
      <x:c r="E966" s="7" t="str">
        <x:v>CH-PEA-A-X3-14-1</x:v>
      </x:c>
      <x:c r="F966" s="7" t="str">
        <x:f>'Channel Instances'!O373</x:f>
        <x:v>OPEN</x:v>
      </x:c>
    </x:row>
    <x:row r="967">
      <x:c r="B967" s="7" t="str">
        <x:v>AG-00961</x:v>
      </x:c>
      <x:c r="C967" s="7" t="str">
        <x:v>PEA-A-X3</x:v>
      </x:c>
      <x:c r="D967" s="7" t="str">
        <x:v>channel instance</x:v>
      </x:c>
      <x:c r="E967" s="7" t="str">
        <x:v>CH-PEA-A-X3-14-2</x:v>
      </x:c>
      <x:c r="F967" s="7" t="str">
        <x:f>'Channel Instances'!O374</x:f>
        <x:v>OPEN</x:v>
      </x:c>
    </x:row>
    <x:row r="968">
      <x:c r="B968" s="7" t="str">
        <x:v>AG-00962</x:v>
      </x:c>
      <x:c r="C968" s="7" t="str">
        <x:v>PEA-A-X3</x:v>
      </x:c>
      <x:c r="D968" s="7" t="str">
        <x:v>channel instance</x:v>
      </x:c>
      <x:c r="E968" s="7" t="str">
        <x:v>CH-PEA-A-X3-14-3</x:v>
      </x:c>
      <x:c r="F968" s="7" t="str">
        <x:f>'Channel Instances'!O375</x:f>
        <x:v>OPEN</x:v>
      </x:c>
    </x:row>
    <x:row r="969">
      <x:c r="B969" s="7" t="str">
        <x:v>AG-00963</x:v>
      </x:c>
      <x:c r="C969" s="7" t="str">
        <x:v>PEA-A-X3</x:v>
      </x:c>
      <x:c r="D969" s="7" t="str">
        <x:v>channel instance</x:v>
      </x:c>
      <x:c r="E969" s="7" t="str">
        <x:v>CH-PEA-A-X3-14-4</x:v>
      </x:c>
      <x:c r="F969" s="7" t="str">
        <x:f>'Channel Instances'!O376</x:f>
        <x:v>OPEN</x:v>
      </x:c>
    </x:row>
    <x:row r="970">
      <x:c r="B970" s="7" t="str">
        <x:v>AG-00964</x:v>
      </x:c>
      <x:c r="C970" s="7" t="str">
        <x:v>PEA-A-X3</x:v>
      </x:c>
      <x:c r="D970" s="7" t="str">
        <x:v>channel instance</x:v>
      </x:c>
      <x:c r="E970" s="7" t="str">
        <x:v>CH-PEA-A-X3-14-5</x:v>
      </x:c>
      <x:c r="F970" s="7" t="str">
        <x:f>'Channel Instances'!O377</x:f>
        <x:v>OPEN</x:v>
      </x:c>
    </x:row>
    <x:row r="971">
      <x:c r="B971" s="7" t="str">
        <x:v>AG-00965</x:v>
      </x:c>
      <x:c r="C971" s="7" t="str">
        <x:v>PEA-A-X3</x:v>
      </x:c>
      <x:c r="D971" s="7" t="str">
        <x:v>channel instance</x:v>
      </x:c>
      <x:c r="E971" s="7" t="str">
        <x:v>CH-PEA-A-X3-14-6</x:v>
      </x:c>
      <x:c r="F971" s="7" t="str">
        <x:f>'Channel Instances'!O378</x:f>
        <x:v>OPEN</x:v>
      </x:c>
    </x:row>
    <x:row r="972">
      <x:c r="B972" s="7" t="str">
        <x:v>AG-00966</x:v>
      </x:c>
      <x:c r="C972" s="7" t="str">
        <x:v>PEA-A-X3</x:v>
      </x:c>
      <x:c r="D972" s="7" t="str">
        <x:v>channel instance</x:v>
      </x:c>
      <x:c r="E972" s="7" t="str">
        <x:v>CH-PEA-A-X3-15-1</x:v>
      </x:c>
      <x:c r="F972" s="7" t="str">
        <x:f>'Channel Instances'!O379</x:f>
        <x:v>OPEN</x:v>
      </x:c>
    </x:row>
    <x:row r="973">
      <x:c r="B973" s="7" t="str">
        <x:v>AG-00967</x:v>
      </x:c>
      <x:c r="C973" s="7" t="str">
        <x:v>PEA-A-X3</x:v>
      </x:c>
      <x:c r="D973" s="7" t="str">
        <x:v>channel instance</x:v>
      </x:c>
      <x:c r="E973" s="7" t="str">
        <x:v>CH-PEA-A-X3-15-2</x:v>
      </x:c>
      <x:c r="F973" s="7" t="str">
        <x:f>'Channel Instances'!O380</x:f>
        <x:v>OPEN</x:v>
      </x:c>
    </x:row>
    <x:row r="974">
      <x:c r="B974" s="7" t="str">
        <x:v>AG-00968</x:v>
      </x:c>
      <x:c r="C974" s="7" t="str">
        <x:v>PEA-A-X3</x:v>
      </x:c>
      <x:c r="D974" s="7" t="str">
        <x:v>channel instance</x:v>
      </x:c>
      <x:c r="E974" s="7" t="str">
        <x:v>CH-PEA-A-X3-15-3</x:v>
      </x:c>
      <x:c r="F974" s="7" t="str">
        <x:f>'Channel Instances'!O381</x:f>
        <x:v>OPEN</x:v>
      </x:c>
    </x:row>
    <x:row r="975">
      <x:c r="B975" s="7" t="str">
        <x:v>AG-00969</x:v>
      </x:c>
      <x:c r="C975" s="7" t="str">
        <x:v>PEA-A-X3</x:v>
      </x:c>
      <x:c r="D975" s="7" t="str">
        <x:v>channel instance</x:v>
      </x:c>
      <x:c r="E975" s="7" t="str">
        <x:v>CH-PEA-A-X3-15-4</x:v>
      </x:c>
      <x:c r="F975" s="7" t="str">
        <x:f>'Channel Instances'!O382</x:f>
        <x:v>OPEN</x:v>
      </x:c>
    </x:row>
    <x:row r="976">
      <x:c r="B976" s="7" t="str">
        <x:v>AG-00970</x:v>
      </x:c>
      <x:c r="C976" s="7" t="str">
        <x:v>PEA-A-X3</x:v>
      </x:c>
      <x:c r="D976" s="7" t="str">
        <x:v>channel instance</x:v>
      </x:c>
      <x:c r="E976" s="7" t="str">
        <x:v>CH-PEA-A-X3-15-5</x:v>
      </x:c>
      <x:c r="F976" s="7" t="str">
        <x:f>'Channel Instances'!O383</x:f>
        <x:v>OPEN</x:v>
      </x:c>
    </x:row>
    <x:row r="977">
      <x:c r="B977" s="7" t="str">
        <x:v>AG-00971</x:v>
      </x:c>
      <x:c r="C977" s="7" t="str">
        <x:v>PEA-A-X3</x:v>
      </x:c>
      <x:c r="D977" s="7" t="str">
        <x:v>channel instance</x:v>
      </x:c>
      <x:c r="E977" s="7" t="str">
        <x:v>CH-PEA-A-X3-15-6</x:v>
      </x:c>
      <x:c r="F977" s="7" t="str">
        <x:f>'Channel Instances'!O384</x:f>
        <x:v>OPEN</x:v>
      </x:c>
    </x:row>
    <x:row r="978">
      <x:c r="B978" s="7" t="str">
        <x:v>AG-00972</x:v>
      </x:c>
      <x:c r="C978" s="7" t="str">
        <x:v>PEA-A-X3</x:v>
      </x:c>
      <x:c r="D978" s="7" t="str">
        <x:v>channel instance</x:v>
      </x:c>
      <x:c r="E978" s="7" t="str">
        <x:v>CH-PEA-A-X3-16-1</x:v>
      </x:c>
      <x:c r="F978" s="7" t="str">
        <x:f>'Channel Instances'!O385</x:f>
        <x:v>OPEN</x:v>
      </x:c>
    </x:row>
    <x:row r="979">
      <x:c r="B979" s="7" t="str">
        <x:v>AG-00973</x:v>
      </x:c>
      <x:c r="C979" s="7" t="str">
        <x:v>PEA-A-X3</x:v>
      </x:c>
      <x:c r="D979" s="7" t="str">
        <x:v>channel instance</x:v>
      </x:c>
      <x:c r="E979" s="7" t="str">
        <x:v>CH-PEA-A-X3-16-2</x:v>
      </x:c>
      <x:c r="F979" s="7" t="str">
        <x:f>'Channel Instances'!O386</x:f>
        <x:v>OPEN</x:v>
      </x:c>
    </x:row>
    <x:row r="980">
      <x:c r="B980" s="7" t="str">
        <x:v>AG-00974</x:v>
      </x:c>
      <x:c r="C980" s="7" t="str">
        <x:v>PEA-A-X3</x:v>
      </x:c>
      <x:c r="D980" s="7" t="str">
        <x:v>channel instance</x:v>
      </x:c>
      <x:c r="E980" s="7" t="str">
        <x:v>CH-PEA-A-X3-16-3</x:v>
      </x:c>
      <x:c r="F980" s="7" t="str">
        <x:f>'Channel Instances'!O387</x:f>
        <x:v>OPEN</x:v>
      </x:c>
    </x:row>
    <x:row r="981">
      <x:c r="B981" s="7" t="str">
        <x:v>AG-00975</x:v>
      </x:c>
      <x:c r="C981" s="7" t="str">
        <x:v>PEA-A-X3</x:v>
      </x:c>
      <x:c r="D981" s="7" t="str">
        <x:v>channel instance</x:v>
      </x:c>
      <x:c r="E981" s="7" t="str">
        <x:v>CH-PEA-A-X3-16-4</x:v>
      </x:c>
      <x:c r="F981" s="7" t="str">
        <x:f>'Channel Instances'!O388</x:f>
        <x:v>OPEN</x:v>
      </x:c>
    </x:row>
    <x:row r="982">
      <x:c r="B982" s="7" t="str">
        <x:v>AG-00976</x:v>
      </x:c>
      <x:c r="C982" s="7" t="str">
        <x:v>PEA-A-X3</x:v>
      </x:c>
      <x:c r="D982" s="7" t="str">
        <x:v>channel instance</x:v>
      </x:c>
      <x:c r="E982" s="7" t="str">
        <x:v>CH-PEA-A-X3-16-5</x:v>
      </x:c>
      <x:c r="F982" s="7" t="str">
        <x:f>'Channel Instances'!O389</x:f>
        <x:v>OPEN</x:v>
      </x:c>
    </x:row>
    <x:row r="983">
      <x:c r="B983" s="7" t="str">
        <x:v>AG-00977</x:v>
      </x:c>
      <x:c r="C983" s="7" t="str">
        <x:v>PEA-A-X3</x:v>
      </x:c>
      <x:c r="D983" s="7" t="str">
        <x:v>channel instance</x:v>
      </x:c>
      <x:c r="E983" s="7" t="str">
        <x:v>CH-PEA-A-X3-16-6</x:v>
      </x:c>
      <x:c r="F983" s="7" t="str">
        <x:f>'Channel Instances'!O390</x:f>
        <x:v>OPEN</x:v>
      </x:c>
    </x:row>
    <x:row r="984">
      <x:c r="B984" s="7" t="str">
        <x:v>AG-00978</x:v>
      </x:c>
      <x:c r="C984" s="7" t="str">
        <x:v>PEA-A-X3</x:v>
      </x:c>
      <x:c r="D984" s="7" t="str">
        <x:v>channel instance</x:v>
      </x:c>
      <x:c r="E984" s="7" t="str">
        <x:v>CH-PEA-A-X3-17-1</x:v>
      </x:c>
      <x:c r="F984" s="7" t="str">
        <x:f>'Channel Instances'!O391</x:f>
        <x:v>OPEN</x:v>
      </x:c>
    </x:row>
    <x:row r="985">
      <x:c r="B985" s="7" t="str">
        <x:v>AG-00979</x:v>
      </x:c>
      <x:c r="C985" s="7" t="str">
        <x:v>PEA-A-X3</x:v>
      </x:c>
      <x:c r="D985" s="7" t="str">
        <x:v>channel instance</x:v>
      </x:c>
      <x:c r="E985" s="7" t="str">
        <x:v>CH-PEA-A-X3-17-2</x:v>
      </x:c>
      <x:c r="F985" s="7" t="str">
        <x:f>'Channel Instances'!O392</x:f>
        <x:v>OPEN</x:v>
      </x:c>
    </x:row>
    <x:row r="986">
      <x:c r="B986" s="7" t="str">
        <x:v>AG-00980</x:v>
      </x:c>
      <x:c r="C986" s="7" t="str">
        <x:v>PEA-A-X3</x:v>
      </x:c>
      <x:c r="D986" s="7" t="str">
        <x:v>channel instance</x:v>
      </x:c>
      <x:c r="E986" s="7" t="str">
        <x:v>CH-PEA-A-X3-17-3</x:v>
      </x:c>
      <x:c r="F986" s="7" t="str">
        <x:f>'Channel Instances'!O393</x:f>
        <x:v>OPEN</x:v>
      </x:c>
    </x:row>
    <x:row r="987">
      <x:c r="B987" s="7" t="str">
        <x:v>AG-00981</x:v>
      </x:c>
      <x:c r="C987" s="7" t="str">
        <x:v>PEA-A-X3</x:v>
      </x:c>
      <x:c r="D987" s="7" t="str">
        <x:v>channel instance</x:v>
      </x:c>
      <x:c r="E987" s="7" t="str">
        <x:v>CH-PEA-A-X3-17-4</x:v>
      </x:c>
      <x:c r="F987" s="7" t="str">
        <x:f>'Channel Instances'!O394</x:f>
        <x:v>OPEN</x:v>
      </x:c>
    </x:row>
    <x:row r="988">
      <x:c r="B988" s="7" t="str">
        <x:v>AG-00982</x:v>
      </x:c>
      <x:c r="C988" s="7" t="str">
        <x:v>PEA-A-X3</x:v>
      </x:c>
      <x:c r="D988" s="7" t="str">
        <x:v>channel instance</x:v>
      </x:c>
      <x:c r="E988" s="7" t="str">
        <x:v>CH-PEA-A-X3-17-5</x:v>
      </x:c>
      <x:c r="F988" s="7" t="str">
        <x:f>'Channel Instances'!O395</x:f>
        <x:v>OPEN</x:v>
      </x:c>
    </x:row>
    <x:row r="989">
      <x:c r="B989" s="7" t="str">
        <x:v>AG-00983</x:v>
      </x:c>
      <x:c r="C989" s="7" t="str">
        <x:v>PEA-A-X3</x:v>
      </x:c>
      <x:c r="D989" s="7" t="str">
        <x:v>channel instance</x:v>
      </x:c>
      <x:c r="E989" s="7" t="str">
        <x:v>CH-PEA-A-X3-17-6</x:v>
      </x:c>
      <x:c r="F989" s="7" t="str">
        <x:f>'Channel Instances'!O396</x:f>
        <x:v>OPEN</x:v>
      </x:c>
    </x:row>
    <x:row r="990">
      <x:c r="B990" s="7" t="str">
        <x:v>AG-00984</x:v>
      </x:c>
      <x:c r="C990" s="7" t="str">
        <x:v>PEA-A-X3</x:v>
      </x:c>
      <x:c r="D990" s="7" t="str">
        <x:v>channel instance</x:v>
      </x:c>
      <x:c r="E990" s="7" t="str">
        <x:v>CH-PEA-A-X3-18-1</x:v>
      </x:c>
      <x:c r="F990" s="7" t="str">
        <x:f>'Channel Instances'!O397</x:f>
        <x:v>OPEN</x:v>
      </x:c>
    </x:row>
    <x:row r="991">
      <x:c r="B991" s="7" t="str">
        <x:v>AG-00985</x:v>
      </x:c>
      <x:c r="C991" s="7" t="str">
        <x:v>PEA-A-X3</x:v>
      </x:c>
      <x:c r="D991" s="7" t="str">
        <x:v>channel instance</x:v>
      </x:c>
      <x:c r="E991" s="7" t="str">
        <x:v>CH-PEA-A-X3-18-2</x:v>
      </x:c>
      <x:c r="F991" s="7" t="str">
        <x:f>'Channel Instances'!O398</x:f>
        <x:v>OPEN</x:v>
      </x:c>
    </x:row>
    <x:row r="992">
      <x:c r="B992" s="7" t="str">
        <x:v>AG-00986</x:v>
      </x:c>
      <x:c r="C992" s="7" t="str">
        <x:v>PEA-A-X3</x:v>
      </x:c>
      <x:c r="D992" s="7" t="str">
        <x:v>channel instance</x:v>
      </x:c>
      <x:c r="E992" s="7" t="str">
        <x:v>CH-PEA-A-X3-18-3</x:v>
      </x:c>
      <x:c r="F992" s="7" t="str">
        <x:f>'Channel Instances'!O399</x:f>
        <x:v>OPEN</x:v>
      </x:c>
    </x:row>
    <x:row r="993">
      <x:c r="B993" s="7" t="str">
        <x:v>AG-00987</x:v>
      </x:c>
      <x:c r="C993" s="7" t="str">
        <x:v>PEA-A-X3</x:v>
      </x:c>
      <x:c r="D993" s="7" t="str">
        <x:v>channel instance</x:v>
      </x:c>
      <x:c r="E993" s="7" t="str">
        <x:v>CH-PEA-A-X3-18-4</x:v>
      </x:c>
      <x:c r="F993" s="7" t="str">
        <x:f>'Channel Instances'!O400</x:f>
        <x:v>OPEN</x:v>
      </x:c>
    </x:row>
    <x:row r="994">
      <x:c r="B994" s="7" t="str">
        <x:v>AG-00988</x:v>
      </x:c>
      <x:c r="C994" s="7" t="str">
        <x:v>PEA-A-X3</x:v>
      </x:c>
      <x:c r="D994" s="7" t="str">
        <x:v>channel instance</x:v>
      </x:c>
      <x:c r="E994" s="7" t="str">
        <x:v>CH-PEA-A-X3-18-5</x:v>
      </x:c>
      <x:c r="F994" s="7" t="str">
        <x:f>'Channel Instances'!O401</x:f>
        <x:v>OPEN</x:v>
      </x:c>
    </x:row>
    <x:row r="995">
      <x:c r="B995" s="7" t="str">
        <x:v>AG-00989</x:v>
      </x:c>
      <x:c r="C995" s="7" t="str">
        <x:v>PEA-A-X3</x:v>
      </x:c>
      <x:c r="D995" s="7" t="str">
        <x:v>channel instance</x:v>
      </x:c>
      <x:c r="E995" s="7" t="str">
        <x:v>CH-PEA-A-X3-18-6</x:v>
      </x:c>
      <x:c r="F995" s="7" t="str">
        <x:f>'Channel Instances'!O402</x:f>
        <x:v>OPEN</x:v>
      </x:c>
    </x:row>
    <x:row r="996">
      <x:c r="B996" s="7" t="str">
        <x:v>AG-00990</x:v>
      </x:c>
      <x:c r="C996" s="7" t="str">
        <x:v>PEA-A-X3</x:v>
      </x:c>
      <x:c r="D996" s="7" t="str">
        <x:v>channel instance</x:v>
      </x:c>
      <x:c r="E996" s="7" t="str">
        <x:v>CH-PEA-A-X3-19-1</x:v>
      </x:c>
      <x:c r="F996" s="7" t="str">
        <x:f>'Channel Instances'!O403</x:f>
        <x:v>OPEN</x:v>
      </x:c>
    </x:row>
    <x:row r="997">
      <x:c r="B997" s="7" t="str">
        <x:v>AG-00991</x:v>
      </x:c>
      <x:c r="C997" s="7" t="str">
        <x:v>PEA-A-X3</x:v>
      </x:c>
      <x:c r="D997" s="7" t="str">
        <x:v>channel instance</x:v>
      </x:c>
      <x:c r="E997" s="7" t="str">
        <x:v>CH-PEA-A-X3-19-2</x:v>
      </x:c>
      <x:c r="F997" s="7" t="str">
        <x:f>'Channel Instances'!O404</x:f>
        <x:v>OPEN</x:v>
      </x:c>
    </x:row>
    <x:row r="998">
      <x:c r="B998" s="7" t="str">
        <x:v>AG-00992</x:v>
      </x:c>
      <x:c r="C998" s="7" t="str">
        <x:v>PEA-A-X3</x:v>
      </x:c>
      <x:c r="D998" s="7" t="str">
        <x:v>channel instance</x:v>
      </x:c>
      <x:c r="E998" s="7" t="str">
        <x:v>CH-PEA-A-X3-19-3</x:v>
      </x:c>
      <x:c r="F998" s="7" t="str">
        <x:f>'Channel Instances'!O405</x:f>
        <x:v>OPEN</x:v>
      </x:c>
    </x:row>
    <x:row r="999">
      <x:c r="B999" s="7" t="str">
        <x:v>AG-00993</x:v>
      </x:c>
      <x:c r="C999" s="7" t="str">
        <x:v>PEA-A-X3</x:v>
      </x:c>
      <x:c r="D999" s="7" t="str">
        <x:v>channel instance</x:v>
      </x:c>
      <x:c r="E999" s="7" t="str">
        <x:v>CH-PEA-A-X3-19-4</x:v>
      </x:c>
      <x:c r="F999" s="7" t="str">
        <x:f>'Channel Instances'!O406</x:f>
        <x:v>OPEN</x:v>
      </x:c>
    </x:row>
    <x:row r="1000">
      <x:c r="B1000" s="7" t="str">
        <x:v>AG-00994</x:v>
      </x:c>
      <x:c r="C1000" s="7" t="str">
        <x:v>PEA-A-X3</x:v>
      </x:c>
      <x:c r="D1000" s="7" t="str">
        <x:v>channel instance</x:v>
      </x:c>
      <x:c r="E1000" s="7" t="str">
        <x:v>CH-PEA-A-X3-19-5</x:v>
      </x:c>
      <x:c r="F1000" s="7" t="str">
        <x:f>'Channel Instances'!O407</x:f>
        <x:v>OPEN</x:v>
      </x:c>
    </x:row>
    <x:row r="1001">
      <x:c r="B1001" s="7" t="str">
        <x:v>AG-00995</x:v>
      </x:c>
      <x:c r="C1001" s="7" t="str">
        <x:v>PEA-A-X3</x:v>
      </x:c>
      <x:c r="D1001" s="7" t="str">
        <x:v>channel instance</x:v>
      </x:c>
      <x:c r="E1001" s="7" t="str">
        <x:v>CH-PEA-A-X3-19-6</x:v>
      </x:c>
      <x:c r="F1001" s="7" t="str">
        <x:f>'Channel Instances'!O408</x:f>
        <x:v>OPEN</x:v>
      </x:c>
    </x:row>
    <x:row r="1002">
      <x:c r="B1002" s="7" t="str">
        <x:v>AG-00996</x:v>
      </x:c>
      <x:c r="C1002" s="7" t="str">
        <x:v>PEA-A-X3</x:v>
      </x:c>
      <x:c r="D1002" s="7" t="str">
        <x:v>channel instance</x:v>
      </x:c>
      <x:c r="E1002" s="7" t="str">
        <x:v>CH-PEA-A-X3-20-1</x:v>
      </x:c>
      <x:c r="F1002" s="7" t="str">
        <x:f>'Channel Instances'!O409</x:f>
        <x:v>OPEN</x:v>
      </x:c>
    </x:row>
    <x:row r="1003">
      <x:c r="B1003" s="7" t="str">
        <x:v>AG-00997</x:v>
      </x:c>
      <x:c r="C1003" s="7" t="str">
        <x:v>PEA-A-X3</x:v>
      </x:c>
      <x:c r="D1003" s="7" t="str">
        <x:v>channel instance</x:v>
      </x:c>
      <x:c r="E1003" s="7" t="str">
        <x:v>CH-PEA-A-X3-20-2</x:v>
      </x:c>
      <x:c r="F1003" s="7" t="str">
        <x:f>'Channel Instances'!O410</x:f>
        <x:v>OPEN</x:v>
      </x:c>
    </x:row>
    <x:row r="1004">
      <x:c r="B1004" s="7" t="str">
        <x:v>AG-00998</x:v>
      </x:c>
      <x:c r="C1004" s="7" t="str">
        <x:v>PEA-A-X3</x:v>
      </x:c>
      <x:c r="D1004" s="7" t="str">
        <x:v>channel instance</x:v>
      </x:c>
      <x:c r="E1004" s="7" t="str">
        <x:v>CH-PEA-A-X3-20-3</x:v>
      </x:c>
      <x:c r="F1004" s="7" t="str">
        <x:f>'Channel Instances'!O411</x:f>
        <x:v>OPEN</x:v>
      </x:c>
    </x:row>
    <x:row r="1005">
      <x:c r="B1005" s="7" t="str">
        <x:v>AG-00999</x:v>
      </x:c>
      <x:c r="C1005" s="7" t="str">
        <x:v>PEA-A-X3</x:v>
      </x:c>
      <x:c r="D1005" s="7" t="str">
        <x:v>channel instance</x:v>
      </x:c>
      <x:c r="E1005" s="7" t="str">
        <x:v>CH-PEA-A-X3-20-4</x:v>
      </x:c>
      <x:c r="F1005" s="7" t="str">
        <x:f>'Channel Instances'!O412</x:f>
        <x:v>OPEN</x:v>
      </x:c>
    </x:row>
    <x:row r="1006">
      <x:c r="B1006" s="7" t="str">
        <x:v>AG-01000</x:v>
      </x:c>
      <x:c r="C1006" s="7" t="str">
        <x:v>PEA-A-X3</x:v>
      </x:c>
      <x:c r="D1006" s="7" t="str">
        <x:v>channel instance</x:v>
      </x:c>
      <x:c r="E1006" s="7" t="str">
        <x:v>CH-PEA-A-X3-20-5</x:v>
      </x:c>
      <x:c r="F1006" s="7" t="str">
        <x:f>'Channel Instances'!O413</x:f>
        <x:v>OPEN</x:v>
      </x:c>
    </x:row>
    <x:row r="1007">
      <x:c r="B1007" s="7" t="str">
        <x:v>AG-01001</x:v>
      </x:c>
      <x:c r="C1007" s="7" t="str">
        <x:v>PEA-A-X3</x:v>
      </x:c>
      <x:c r="D1007" s="7" t="str">
        <x:v>channel instance</x:v>
      </x:c>
      <x:c r="E1007" s="7" t="str">
        <x:v>CH-PEA-A-X3-20-6</x:v>
      </x:c>
      <x:c r="F1007" s="7" t="str">
        <x:f>'Channel Instances'!O414</x:f>
        <x:v>OPEN</x:v>
      </x:c>
    </x:row>
    <x:row r="1008">
      <x:c r="B1008" s="7" t="str">
        <x:v>AG-01002</x:v>
      </x:c>
      <x:c r="C1008" s="7" t="str">
        <x:v>PEA-A-X3</x:v>
      </x:c>
      <x:c r="D1008" s="7" t="str">
        <x:v>channel instance</x:v>
      </x:c>
      <x:c r="E1008" s="7" t="str">
        <x:v>CH-PEA-A-X3-21-1</x:v>
      </x:c>
      <x:c r="F1008" s="7" t="str">
        <x:f>'Channel Instances'!O415</x:f>
        <x:v>OPEN</x:v>
      </x:c>
    </x:row>
    <x:row r="1009">
      <x:c r="B1009" s="7" t="str">
        <x:v>AG-01003</x:v>
      </x:c>
      <x:c r="C1009" s="7" t="str">
        <x:v>PEA-A-X3</x:v>
      </x:c>
      <x:c r="D1009" s="7" t="str">
        <x:v>channel instance</x:v>
      </x:c>
      <x:c r="E1009" s="7" t="str">
        <x:v>CH-PEA-A-X3-21-2</x:v>
      </x:c>
      <x:c r="F1009" s="7" t="str">
        <x:f>'Channel Instances'!O416</x:f>
        <x:v>OPEN</x:v>
      </x:c>
    </x:row>
    <x:row r="1010">
      <x:c r="B1010" s="7" t="str">
        <x:v>AG-01004</x:v>
      </x:c>
      <x:c r="C1010" s="7" t="str">
        <x:v>PEA-A-X3</x:v>
      </x:c>
      <x:c r="D1010" s="7" t="str">
        <x:v>channel instance</x:v>
      </x:c>
      <x:c r="E1010" s="7" t="str">
        <x:v>CH-PEA-A-X3-21-3</x:v>
      </x:c>
      <x:c r="F1010" s="7" t="str">
        <x:f>'Channel Instances'!O417</x:f>
        <x:v>OPEN</x:v>
      </x:c>
    </x:row>
    <x:row r="1011">
      <x:c r="B1011" s="7" t="str">
        <x:v>AG-01005</x:v>
      </x:c>
      <x:c r="C1011" s="7" t="str">
        <x:v>PEA-A-X3</x:v>
      </x:c>
      <x:c r="D1011" s="7" t="str">
        <x:v>channel instance</x:v>
      </x:c>
      <x:c r="E1011" s="7" t="str">
        <x:v>CH-PEA-A-X3-21-4</x:v>
      </x:c>
      <x:c r="F1011" s="7" t="str">
        <x:f>'Channel Instances'!O418</x:f>
        <x:v>OPEN</x:v>
      </x:c>
    </x:row>
    <x:row r="1012">
      <x:c r="B1012" s="7" t="str">
        <x:v>AG-01006</x:v>
      </x:c>
      <x:c r="C1012" s="7" t="str">
        <x:v>PEA-A-X3</x:v>
      </x:c>
      <x:c r="D1012" s="7" t="str">
        <x:v>channel instance</x:v>
      </x:c>
      <x:c r="E1012" s="7" t="str">
        <x:v>CH-PEA-A-X3-21-5</x:v>
      </x:c>
      <x:c r="F1012" s="7" t="str">
        <x:f>'Channel Instances'!O419</x:f>
        <x:v>OPEN</x:v>
      </x:c>
    </x:row>
    <x:row r="1013">
      <x:c r="B1013" s="7" t="str">
        <x:v>AG-01007</x:v>
      </x:c>
      <x:c r="C1013" s="7" t="str">
        <x:v>PEA-A-X3</x:v>
      </x:c>
      <x:c r="D1013" s="7" t="str">
        <x:v>channel instance</x:v>
      </x:c>
      <x:c r="E1013" s="7" t="str">
        <x:v>CH-PEA-A-X3-21-6</x:v>
      </x:c>
      <x:c r="F1013" s="7" t="str">
        <x:f>'Channel Instances'!O420</x:f>
        <x:v>OPEN</x:v>
      </x:c>
    </x:row>
    <x:row r="1014">
      <x:c r="B1014" s="7" t="str">
        <x:v>AG-01008</x:v>
      </x:c>
      <x:c r="C1014" s="7" t="str">
        <x:v>PEA-A-X3</x:v>
      </x:c>
      <x:c r="D1014" s="7" t="str">
        <x:v>channel instance</x:v>
      </x:c>
      <x:c r="E1014" s="7" t="str">
        <x:v>CH-PEA-A-X3-22-1</x:v>
      </x:c>
      <x:c r="F1014" s="7" t="str">
        <x:f>'Channel Instances'!O421</x:f>
        <x:v>OPEN</x:v>
      </x:c>
    </x:row>
    <x:row r="1015">
      <x:c r="B1015" s="7" t="str">
        <x:v>AG-01009</x:v>
      </x:c>
      <x:c r="C1015" s="7" t="str">
        <x:v>PEA-A-X3</x:v>
      </x:c>
      <x:c r="D1015" s="7" t="str">
        <x:v>channel instance</x:v>
      </x:c>
      <x:c r="E1015" s="7" t="str">
        <x:v>CH-PEA-A-X3-22-2</x:v>
      </x:c>
      <x:c r="F1015" s="7" t="str">
        <x:f>'Channel Instances'!O422</x:f>
        <x:v>OPEN</x:v>
      </x:c>
    </x:row>
    <x:row r="1016">
      <x:c r="B1016" s="7" t="str">
        <x:v>AG-01010</x:v>
      </x:c>
      <x:c r="C1016" s="7" t="str">
        <x:v>PEA-A-X3</x:v>
      </x:c>
      <x:c r="D1016" s="7" t="str">
        <x:v>channel instance</x:v>
      </x:c>
      <x:c r="E1016" s="7" t="str">
        <x:v>CH-PEA-A-X3-22-3</x:v>
      </x:c>
      <x:c r="F1016" s="7" t="str">
        <x:f>'Channel Instances'!O423</x:f>
        <x:v>OPEN</x:v>
      </x:c>
    </x:row>
    <x:row r="1017">
      <x:c r="B1017" s="7" t="str">
        <x:v>AG-01011</x:v>
      </x:c>
      <x:c r="C1017" s="7" t="str">
        <x:v>PEA-A-X3</x:v>
      </x:c>
      <x:c r="D1017" s="7" t="str">
        <x:v>channel instance</x:v>
      </x:c>
      <x:c r="E1017" s="7" t="str">
        <x:v>CH-PEA-A-X3-22-4</x:v>
      </x:c>
      <x:c r="F1017" s="7" t="str">
        <x:f>'Channel Instances'!O424</x:f>
        <x:v>OPEN</x:v>
      </x:c>
    </x:row>
    <x:row r="1018">
      <x:c r="B1018" s="7" t="str">
        <x:v>AG-01012</x:v>
      </x:c>
      <x:c r="C1018" s="7" t="str">
        <x:v>PEA-A-X3</x:v>
      </x:c>
      <x:c r="D1018" s="7" t="str">
        <x:v>channel instance</x:v>
      </x:c>
      <x:c r="E1018" s="7" t="str">
        <x:v>CH-PEA-A-X3-22-5</x:v>
      </x:c>
      <x:c r="F1018" s="7" t="str">
        <x:f>'Channel Instances'!O425</x:f>
        <x:v>OPEN</x:v>
      </x:c>
    </x:row>
    <x:row r="1019">
      <x:c r="B1019" s="7" t="str">
        <x:v>AG-01013</x:v>
      </x:c>
      <x:c r="C1019" s="7" t="str">
        <x:v>PEA-A-X3</x:v>
      </x:c>
      <x:c r="D1019" s="7" t="str">
        <x:v>channel instance</x:v>
      </x:c>
      <x:c r="E1019" s="7" t="str">
        <x:v>CH-PEA-A-X3-22-6</x:v>
      </x:c>
      <x:c r="F1019" s="7" t="str">
        <x:f>'Channel Instances'!O426</x:f>
        <x:v>OPEN</x:v>
      </x:c>
    </x:row>
    <x:row r="1020">
      <x:c r="B1020" s="7" t="str">
        <x:v>AG-01014</x:v>
      </x:c>
      <x:c r="C1020" s="7" t="str">
        <x:v>PEA-A-X3</x:v>
      </x:c>
      <x:c r="D1020" s="7" t="str">
        <x:v>channel instance</x:v>
      </x:c>
      <x:c r="E1020" s="7" t="str">
        <x:v>CH-PEA-A-X3-23-1</x:v>
      </x:c>
      <x:c r="F1020" s="7" t="str">
        <x:f>'Channel Instances'!O427</x:f>
        <x:v>OPEN</x:v>
      </x:c>
    </x:row>
    <x:row r="1021">
      <x:c r="B1021" s="7" t="str">
        <x:v>AG-01015</x:v>
      </x:c>
      <x:c r="C1021" s="7" t="str">
        <x:v>PEA-A-X3</x:v>
      </x:c>
      <x:c r="D1021" s="7" t="str">
        <x:v>channel instance</x:v>
      </x:c>
      <x:c r="E1021" s="7" t="str">
        <x:v>CH-PEA-A-X3-23-2</x:v>
      </x:c>
      <x:c r="F1021" s="7" t="str">
        <x:f>'Channel Instances'!O428</x:f>
        <x:v>OPEN</x:v>
      </x:c>
    </x:row>
    <x:row r="1022">
      <x:c r="B1022" s="7" t="str">
        <x:v>AG-01016</x:v>
      </x:c>
      <x:c r="C1022" s="7" t="str">
        <x:v>PEA-A-X3</x:v>
      </x:c>
      <x:c r="D1022" s="7" t="str">
        <x:v>channel instance</x:v>
      </x:c>
      <x:c r="E1022" s="7" t="str">
        <x:v>CH-PEA-A-X3-23-3</x:v>
      </x:c>
      <x:c r="F1022" s="7" t="str">
        <x:f>'Channel Instances'!O429</x:f>
        <x:v>OPEN</x:v>
      </x:c>
    </x:row>
    <x:row r="1023">
      <x:c r="B1023" s="7" t="str">
        <x:v>AG-01017</x:v>
      </x:c>
      <x:c r="C1023" s="7" t="str">
        <x:v>PEA-A-X3</x:v>
      </x:c>
      <x:c r="D1023" s="7" t="str">
        <x:v>channel instance</x:v>
      </x:c>
      <x:c r="E1023" s="7" t="str">
        <x:v>CH-PEA-A-X3-23-4</x:v>
      </x:c>
      <x:c r="F1023" s="7" t="str">
        <x:f>'Channel Instances'!O430</x:f>
        <x:v>OPEN</x:v>
      </x:c>
    </x:row>
    <x:row r="1024">
      <x:c r="B1024" s="7" t="str">
        <x:v>AG-01018</x:v>
      </x:c>
      <x:c r="C1024" s="7" t="str">
        <x:v>PEA-A-X3</x:v>
      </x:c>
      <x:c r="D1024" s="7" t="str">
        <x:v>channel instance</x:v>
      </x:c>
      <x:c r="E1024" s="7" t="str">
        <x:v>CH-PEA-A-X3-23-5</x:v>
      </x:c>
      <x:c r="F1024" s="7" t="str">
        <x:f>'Channel Instances'!O431</x:f>
        <x:v>OPEN</x:v>
      </x:c>
    </x:row>
    <x:row r="1025">
      <x:c r="B1025" s="7" t="str">
        <x:v>AG-01019</x:v>
      </x:c>
      <x:c r="C1025" s="7" t="str">
        <x:v>PEA-A-X3</x:v>
      </x:c>
      <x:c r="D1025" s="7" t="str">
        <x:v>channel instance</x:v>
      </x:c>
      <x:c r="E1025" s="7" t="str">
        <x:v>CH-PEA-A-X3-23-6</x:v>
      </x:c>
      <x:c r="F1025" s="7" t="str">
        <x:f>'Channel Instances'!O432</x:f>
        <x:v>OPEN</x:v>
      </x:c>
    </x:row>
    <x:row r="1026">
      <x:c r="B1026" s="7" t="str">
        <x:v>AG-01020</x:v>
      </x:c>
      <x:c r="C1026" s="7" t="str">
        <x:v>PEA-A-X3</x:v>
      </x:c>
      <x:c r="D1026" s="7" t="str">
        <x:v>channel instance</x:v>
      </x:c>
      <x:c r="E1026" s="7" t="str">
        <x:v>CH-PEA-A-X3-24-1</x:v>
      </x:c>
      <x:c r="F1026" s="7" t="str">
        <x:f>'Channel Instances'!O433</x:f>
        <x:v>OPEN</x:v>
      </x:c>
    </x:row>
    <x:row r="1027">
      <x:c r="B1027" s="7" t="str">
        <x:v>AG-01021</x:v>
      </x:c>
      <x:c r="C1027" s="7" t="str">
        <x:v>PEA-A-X3</x:v>
      </x:c>
      <x:c r="D1027" s="7" t="str">
        <x:v>channel instance</x:v>
      </x:c>
      <x:c r="E1027" s="7" t="str">
        <x:v>CH-PEA-A-X3-24-2</x:v>
      </x:c>
      <x:c r="F1027" s="7" t="str">
        <x:f>'Channel Instances'!O434</x:f>
        <x:v>OPEN</x:v>
      </x:c>
    </x:row>
    <x:row r="1028">
      <x:c r="B1028" s="7" t="str">
        <x:v>AG-01022</x:v>
      </x:c>
      <x:c r="C1028" s="7" t="str">
        <x:v>PEA-A-X3</x:v>
      </x:c>
      <x:c r="D1028" s="7" t="str">
        <x:v>channel instance</x:v>
      </x:c>
      <x:c r="E1028" s="7" t="str">
        <x:v>CH-PEA-A-X3-24-3</x:v>
      </x:c>
      <x:c r="F1028" s="7" t="str">
        <x:f>'Channel Instances'!O435</x:f>
        <x:v>OPEN</x:v>
      </x:c>
    </x:row>
    <x:row r="1029">
      <x:c r="B1029" s="7" t="str">
        <x:v>AG-01023</x:v>
      </x:c>
      <x:c r="C1029" s="7" t="str">
        <x:v>PEA-A-X3</x:v>
      </x:c>
      <x:c r="D1029" s="7" t="str">
        <x:v>channel instance</x:v>
      </x:c>
      <x:c r="E1029" s="7" t="str">
        <x:v>CH-PEA-A-X3-24-4</x:v>
      </x:c>
      <x:c r="F1029" s="7" t="str">
        <x:f>'Channel Instances'!O436</x:f>
        <x:v>OPEN</x:v>
      </x:c>
    </x:row>
    <x:row r="1030">
      <x:c r="B1030" s="7" t="str">
        <x:v>AG-01024</x:v>
      </x:c>
      <x:c r="C1030" s="7" t="str">
        <x:v>PEA-A-X3</x:v>
      </x:c>
      <x:c r="D1030" s="7" t="str">
        <x:v>channel instance</x:v>
      </x:c>
      <x:c r="E1030" s="7" t="str">
        <x:v>CH-PEA-A-X3-24-5</x:v>
      </x:c>
      <x:c r="F1030" s="7" t="str">
        <x:f>'Channel Instances'!O437</x:f>
        <x:v>OPEN</x:v>
      </x:c>
    </x:row>
    <x:row r="1031">
      <x:c r="B1031" s="7" t="str">
        <x:v>AG-01025</x:v>
      </x:c>
      <x:c r="C1031" s="7" t="str">
        <x:v>PEA-A-X3</x:v>
      </x:c>
      <x:c r="D1031" s="7" t="str">
        <x:v>channel instance</x:v>
      </x:c>
      <x:c r="E1031" s="7" t="str">
        <x:v>CH-PEA-A-X3-24-6</x:v>
      </x:c>
      <x:c r="F1031" s="7" t="str">
        <x:f>'Channel Instances'!O438</x:f>
        <x:v>OPEN</x:v>
      </x:c>
    </x:row>
    <x:row r="1032">
      <x:c r="B1032" s="7" t="str">
        <x:v>AG-01026</x:v>
      </x:c>
      <x:c r="C1032" s="7" t="str">
        <x:v>PEA-A-X3</x:v>
      </x:c>
      <x:c r="D1032" s="7" t="str">
        <x:v>factory calibration</x:v>
      </x:c>
      <x:c r="E1032" s="7" t="str">
        <x:v>CAL-CH-PEA-A-X3-01-1</x:v>
      </x:c>
      <x:c r="F1032" s="7" t="str">
        <x:f>'Calibration Records'!M295</x:f>
        <x:v>OPEN</x:v>
      </x:c>
    </x:row>
    <x:row r="1033">
      <x:c r="B1033" s="7" t="str">
        <x:v>AG-01027</x:v>
      </x:c>
      <x:c r="C1033" s="7" t="str">
        <x:v>PEA-A-X3</x:v>
      </x:c>
      <x:c r="D1033" s="7" t="str">
        <x:v>factory calibration</x:v>
      </x:c>
      <x:c r="E1033" s="7" t="str">
        <x:v>CAL-CH-PEA-A-X3-01-2</x:v>
      </x:c>
      <x:c r="F1033" s="7" t="str">
        <x:f>'Calibration Records'!M296</x:f>
        <x:v>OPEN</x:v>
      </x:c>
    </x:row>
    <x:row r="1034">
      <x:c r="B1034" s="7" t="str">
        <x:v>AG-01028</x:v>
      </x:c>
      <x:c r="C1034" s="7" t="str">
        <x:v>PEA-A-X3</x:v>
      </x:c>
      <x:c r="D1034" s="7" t="str">
        <x:v>factory calibration</x:v>
      </x:c>
      <x:c r="E1034" s="7" t="str">
        <x:v>CAL-CH-PEA-A-X3-01-3</x:v>
      </x:c>
      <x:c r="F1034" s="7" t="str">
        <x:f>'Calibration Records'!M297</x:f>
        <x:v>OPEN</x:v>
      </x:c>
    </x:row>
    <x:row r="1035">
      <x:c r="B1035" s="7" t="str">
        <x:v>AG-01029</x:v>
      </x:c>
      <x:c r="C1035" s="7" t="str">
        <x:v>PEA-A-X3</x:v>
      </x:c>
      <x:c r="D1035" s="7" t="str">
        <x:v>factory calibration</x:v>
      </x:c>
      <x:c r="E1035" s="7" t="str">
        <x:v>CAL-CH-PEA-A-X3-01-4</x:v>
      </x:c>
      <x:c r="F1035" s="7" t="str">
        <x:f>'Calibration Records'!M298</x:f>
        <x:v>OPEN</x:v>
      </x:c>
    </x:row>
    <x:row r="1036">
      <x:c r="B1036" s="7" t="str">
        <x:v>AG-01030</x:v>
      </x:c>
      <x:c r="C1036" s="7" t="str">
        <x:v>PEA-A-X3</x:v>
      </x:c>
      <x:c r="D1036" s="7" t="str">
        <x:v>factory calibration</x:v>
      </x:c>
      <x:c r="E1036" s="7" t="str">
        <x:v>CAL-CH-PEA-A-X3-01-5</x:v>
      </x:c>
      <x:c r="F1036" s="7" t="str">
        <x:f>'Calibration Records'!M299</x:f>
        <x:v>OPEN</x:v>
      </x:c>
    </x:row>
    <x:row r="1037">
      <x:c r="B1037" s="7" t="str">
        <x:v>AG-01031</x:v>
      </x:c>
      <x:c r="C1037" s="7" t="str">
        <x:v>PEA-A-X3</x:v>
      </x:c>
      <x:c r="D1037" s="7" t="str">
        <x:v>factory calibration</x:v>
      </x:c>
      <x:c r="E1037" s="7" t="str">
        <x:v>CAL-CH-PEA-A-X3-01-6</x:v>
      </x:c>
      <x:c r="F1037" s="7" t="str">
        <x:f>'Calibration Records'!M300</x:f>
        <x:v>OPEN</x:v>
      </x:c>
    </x:row>
    <x:row r="1038">
      <x:c r="B1038" s="7" t="str">
        <x:v>AG-01032</x:v>
      </x:c>
      <x:c r="C1038" s="7" t="str">
        <x:v>PEA-A-X3</x:v>
      </x:c>
      <x:c r="D1038" s="7" t="str">
        <x:v>factory calibration</x:v>
      </x:c>
      <x:c r="E1038" s="7" t="str">
        <x:v>CAL-CH-PEA-A-X3-02-1</x:v>
      </x:c>
      <x:c r="F1038" s="7" t="str">
        <x:f>'Calibration Records'!M301</x:f>
        <x:v>OPEN</x:v>
      </x:c>
    </x:row>
    <x:row r="1039">
      <x:c r="B1039" s="7" t="str">
        <x:v>AG-01033</x:v>
      </x:c>
      <x:c r="C1039" s="7" t="str">
        <x:v>PEA-A-X3</x:v>
      </x:c>
      <x:c r="D1039" s="7" t="str">
        <x:v>factory calibration</x:v>
      </x:c>
      <x:c r="E1039" s="7" t="str">
        <x:v>CAL-CH-PEA-A-X3-02-2</x:v>
      </x:c>
      <x:c r="F1039" s="7" t="str">
        <x:f>'Calibration Records'!M302</x:f>
        <x:v>OPEN</x:v>
      </x:c>
    </x:row>
    <x:row r="1040">
      <x:c r="B1040" s="7" t="str">
        <x:v>AG-01034</x:v>
      </x:c>
      <x:c r="C1040" s="7" t="str">
        <x:v>PEA-A-X3</x:v>
      </x:c>
      <x:c r="D1040" s="7" t="str">
        <x:v>factory calibration</x:v>
      </x:c>
      <x:c r="E1040" s="7" t="str">
        <x:v>CAL-CH-PEA-A-X3-02-3</x:v>
      </x:c>
      <x:c r="F1040" s="7" t="str">
        <x:f>'Calibration Records'!M303</x:f>
        <x:v>OPEN</x:v>
      </x:c>
    </x:row>
    <x:row r="1041">
      <x:c r="B1041" s="7" t="str">
        <x:v>AG-01035</x:v>
      </x:c>
      <x:c r="C1041" s="7" t="str">
        <x:v>PEA-A-X3</x:v>
      </x:c>
      <x:c r="D1041" s="7" t="str">
        <x:v>factory calibration</x:v>
      </x:c>
      <x:c r="E1041" s="7" t="str">
        <x:v>CAL-CH-PEA-A-X3-02-4</x:v>
      </x:c>
      <x:c r="F1041" s="7" t="str">
        <x:f>'Calibration Records'!M304</x:f>
        <x:v>OPEN</x:v>
      </x:c>
    </x:row>
    <x:row r="1042">
      <x:c r="B1042" s="7" t="str">
        <x:v>AG-01036</x:v>
      </x:c>
      <x:c r="C1042" s="7" t="str">
        <x:v>PEA-A-X3</x:v>
      </x:c>
      <x:c r="D1042" s="7" t="str">
        <x:v>factory calibration</x:v>
      </x:c>
      <x:c r="E1042" s="7" t="str">
        <x:v>CAL-CH-PEA-A-X3-02-5</x:v>
      </x:c>
      <x:c r="F1042" s="7" t="str">
        <x:f>'Calibration Records'!M305</x:f>
        <x:v>OPEN</x:v>
      </x:c>
    </x:row>
    <x:row r="1043">
      <x:c r="B1043" s="7" t="str">
        <x:v>AG-01037</x:v>
      </x:c>
      <x:c r="C1043" s="7" t="str">
        <x:v>PEA-A-X3</x:v>
      </x:c>
      <x:c r="D1043" s="7" t="str">
        <x:v>factory calibration</x:v>
      </x:c>
      <x:c r="E1043" s="7" t="str">
        <x:v>CAL-CH-PEA-A-X3-02-6</x:v>
      </x:c>
      <x:c r="F1043" s="7" t="str">
        <x:f>'Calibration Records'!M306</x:f>
        <x:v>OPEN</x:v>
      </x:c>
    </x:row>
    <x:row r="1044">
      <x:c r="B1044" s="7" t="str">
        <x:v>AG-01038</x:v>
      </x:c>
      <x:c r="C1044" s="7" t="str">
        <x:v>PEA-A-X3</x:v>
      </x:c>
      <x:c r="D1044" s="7" t="str">
        <x:v>factory calibration</x:v>
      </x:c>
      <x:c r="E1044" s="7" t="str">
        <x:v>CAL-CH-PEA-A-X3-03-1</x:v>
      </x:c>
      <x:c r="F1044" s="7" t="str">
        <x:f>'Calibration Records'!M307</x:f>
        <x:v>OPEN</x:v>
      </x:c>
    </x:row>
    <x:row r="1045">
      <x:c r="B1045" s="7" t="str">
        <x:v>AG-01039</x:v>
      </x:c>
      <x:c r="C1045" s="7" t="str">
        <x:v>PEA-A-X3</x:v>
      </x:c>
      <x:c r="D1045" s="7" t="str">
        <x:v>factory calibration</x:v>
      </x:c>
      <x:c r="E1045" s="7" t="str">
        <x:v>CAL-CH-PEA-A-X3-03-2</x:v>
      </x:c>
      <x:c r="F1045" s="7" t="str">
        <x:f>'Calibration Records'!M308</x:f>
        <x:v>OPEN</x:v>
      </x:c>
    </x:row>
    <x:row r="1046">
      <x:c r="B1046" s="7" t="str">
        <x:v>AG-01040</x:v>
      </x:c>
      <x:c r="C1046" s="7" t="str">
        <x:v>PEA-A-X3</x:v>
      </x:c>
      <x:c r="D1046" s="7" t="str">
        <x:v>factory calibration</x:v>
      </x:c>
      <x:c r="E1046" s="7" t="str">
        <x:v>CAL-CH-PEA-A-X3-03-3</x:v>
      </x:c>
      <x:c r="F1046" s="7" t="str">
        <x:f>'Calibration Records'!M309</x:f>
        <x:v>OPEN</x:v>
      </x:c>
    </x:row>
    <x:row r="1047">
      <x:c r="B1047" s="7" t="str">
        <x:v>AG-01041</x:v>
      </x:c>
      <x:c r="C1047" s="7" t="str">
        <x:v>PEA-A-X3</x:v>
      </x:c>
      <x:c r="D1047" s="7" t="str">
        <x:v>factory calibration</x:v>
      </x:c>
      <x:c r="E1047" s="7" t="str">
        <x:v>CAL-CH-PEA-A-X3-03-4</x:v>
      </x:c>
      <x:c r="F1047" s="7" t="str">
        <x:f>'Calibration Records'!M310</x:f>
        <x:v>OPEN</x:v>
      </x:c>
    </x:row>
    <x:row r="1048">
      <x:c r="B1048" s="7" t="str">
        <x:v>AG-01042</x:v>
      </x:c>
      <x:c r="C1048" s="7" t="str">
        <x:v>PEA-A-X3</x:v>
      </x:c>
      <x:c r="D1048" s="7" t="str">
        <x:v>factory calibration</x:v>
      </x:c>
      <x:c r="E1048" s="7" t="str">
        <x:v>CAL-CH-PEA-A-X3-03-5</x:v>
      </x:c>
      <x:c r="F1048" s="7" t="str">
        <x:f>'Calibration Records'!M311</x:f>
        <x:v>OPEN</x:v>
      </x:c>
    </x:row>
    <x:row r="1049">
      <x:c r="B1049" s="7" t="str">
        <x:v>AG-01043</x:v>
      </x:c>
      <x:c r="C1049" s="7" t="str">
        <x:v>PEA-A-X3</x:v>
      </x:c>
      <x:c r="D1049" s="7" t="str">
        <x:v>factory calibration</x:v>
      </x:c>
      <x:c r="E1049" s="7" t="str">
        <x:v>CAL-CH-PEA-A-X3-03-6</x:v>
      </x:c>
      <x:c r="F1049" s="7" t="str">
        <x:f>'Calibration Records'!M312</x:f>
        <x:v>OPEN</x:v>
      </x:c>
    </x:row>
    <x:row r="1050">
      <x:c r="B1050" s="7" t="str">
        <x:v>AG-01044</x:v>
      </x:c>
      <x:c r="C1050" s="7" t="str">
        <x:v>PEA-A-X3</x:v>
      </x:c>
      <x:c r="D1050" s="7" t="str">
        <x:v>factory calibration</x:v>
      </x:c>
      <x:c r="E1050" s="7" t="str">
        <x:v>CAL-CH-PEA-A-X3-04-1</x:v>
      </x:c>
      <x:c r="F1050" s="7" t="str">
        <x:f>'Calibration Records'!M313</x:f>
        <x:v>OPEN</x:v>
      </x:c>
    </x:row>
    <x:row r="1051">
      <x:c r="B1051" s="7" t="str">
        <x:v>AG-01045</x:v>
      </x:c>
      <x:c r="C1051" s="7" t="str">
        <x:v>PEA-A-X3</x:v>
      </x:c>
      <x:c r="D1051" s="7" t="str">
        <x:v>factory calibration</x:v>
      </x:c>
      <x:c r="E1051" s="7" t="str">
        <x:v>CAL-CH-PEA-A-X3-04-2</x:v>
      </x:c>
      <x:c r="F1051" s="7" t="str">
        <x:f>'Calibration Records'!M314</x:f>
        <x:v>OPEN</x:v>
      </x:c>
    </x:row>
    <x:row r="1052">
      <x:c r="B1052" s="7" t="str">
        <x:v>AG-01046</x:v>
      </x:c>
      <x:c r="C1052" s="7" t="str">
        <x:v>PEA-A-X3</x:v>
      </x:c>
      <x:c r="D1052" s="7" t="str">
        <x:v>factory calibration</x:v>
      </x:c>
      <x:c r="E1052" s="7" t="str">
        <x:v>CAL-CH-PEA-A-X3-04-3</x:v>
      </x:c>
      <x:c r="F1052" s="7" t="str">
        <x:f>'Calibration Records'!M315</x:f>
        <x:v>OPEN</x:v>
      </x:c>
    </x:row>
    <x:row r="1053">
      <x:c r="B1053" s="7" t="str">
        <x:v>AG-01047</x:v>
      </x:c>
      <x:c r="C1053" s="7" t="str">
        <x:v>PEA-A-X3</x:v>
      </x:c>
      <x:c r="D1053" s="7" t="str">
        <x:v>factory calibration</x:v>
      </x:c>
      <x:c r="E1053" s="7" t="str">
        <x:v>CAL-CH-PEA-A-X3-04-4</x:v>
      </x:c>
      <x:c r="F1053" s="7" t="str">
        <x:f>'Calibration Records'!M316</x:f>
        <x:v>OPEN</x:v>
      </x:c>
    </x:row>
    <x:row r="1054">
      <x:c r="B1054" s="7" t="str">
        <x:v>AG-01048</x:v>
      </x:c>
      <x:c r="C1054" s="7" t="str">
        <x:v>PEA-A-X3</x:v>
      </x:c>
      <x:c r="D1054" s="7" t="str">
        <x:v>factory calibration</x:v>
      </x:c>
      <x:c r="E1054" s="7" t="str">
        <x:v>CAL-CH-PEA-A-X3-04-5</x:v>
      </x:c>
      <x:c r="F1054" s="7" t="str">
        <x:f>'Calibration Records'!M317</x:f>
        <x:v>OPEN</x:v>
      </x:c>
    </x:row>
    <x:row r="1055">
      <x:c r="B1055" s="7" t="str">
        <x:v>AG-01049</x:v>
      </x:c>
      <x:c r="C1055" s="7" t="str">
        <x:v>PEA-A-X3</x:v>
      </x:c>
      <x:c r="D1055" s="7" t="str">
        <x:v>factory calibration</x:v>
      </x:c>
      <x:c r="E1055" s="7" t="str">
        <x:v>CAL-CH-PEA-A-X3-04-6</x:v>
      </x:c>
      <x:c r="F1055" s="7" t="str">
        <x:f>'Calibration Records'!M318</x:f>
        <x:v>OPEN</x:v>
      </x:c>
    </x:row>
    <x:row r="1056">
      <x:c r="B1056" s="7" t="str">
        <x:v>AG-01050</x:v>
      </x:c>
      <x:c r="C1056" s="7" t="str">
        <x:v>PEA-A-X3</x:v>
      </x:c>
      <x:c r="D1056" s="7" t="str">
        <x:v>factory calibration</x:v>
      </x:c>
      <x:c r="E1056" s="7" t="str">
        <x:v>CAL-CH-PEA-A-X3-05-1</x:v>
      </x:c>
      <x:c r="F1056" s="7" t="str">
        <x:f>'Calibration Records'!M319</x:f>
        <x:v>OPEN</x:v>
      </x:c>
    </x:row>
    <x:row r="1057">
      <x:c r="B1057" s="7" t="str">
        <x:v>AG-01051</x:v>
      </x:c>
      <x:c r="C1057" s="7" t="str">
        <x:v>PEA-A-X3</x:v>
      </x:c>
      <x:c r="D1057" s="7" t="str">
        <x:v>factory calibration</x:v>
      </x:c>
      <x:c r="E1057" s="7" t="str">
        <x:v>CAL-CH-PEA-A-X3-05-2</x:v>
      </x:c>
      <x:c r="F1057" s="7" t="str">
        <x:f>'Calibration Records'!M320</x:f>
        <x:v>OPEN</x:v>
      </x:c>
    </x:row>
    <x:row r="1058">
      <x:c r="B1058" s="7" t="str">
        <x:v>AG-01052</x:v>
      </x:c>
      <x:c r="C1058" s="7" t="str">
        <x:v>PEA-A-X3</x:v>
      </x:c>
      <x:c r="D1058" s="7" t="str">
        <x:v>factory calibration</x:v>
      </x:c>
      <x:c r="E1058" s="7" t="str">
        <x:v>CAL-CH-PEA-A-X3-05-3</x:v>
      </x:c>
      <x:c r="F1058" s="7" t="str">
        <x:f>'Calibration Records'!M321</x:f>
        <x:v>OPEN</x:v>
      </x:c>
    </x:row>
    <x:row r="1059">
      <x:c r="B1059" s="7" t="str">
        <x:v>AG-01053</x:v>
      </x:c>
      <x:c r="C1059" s="7" t="str">
        <x:v>PEA-A-X3</x:v>
      </x:c>
      <x:c r="D1059" s="7" t="str">
        <x:v>factory calibration</x:v>
      </x:c>
      <x:c r="E1059" s="7" t="str">
        <x:v>CAL-CH-PEA-A-X3-05-4</x:v>
      </x:c>
      <x:c r="F1059" s="7" t="str">
        <x:f>'Calibration Records'!M322</x:f>
        <x:v>OPEN</x:v>
      </x:c>
    </x:row>
    <x:row r="1060">
      <x:c r="B1060" s="7" t="str">
        <x:v>AG-01054</x:v>
      </x:c>
      <x:c r="C1060" s="7" t="str">
        <x:v>PEA-A-X3</x:v>
      </x:c>
      <x:c r="D1060" s="7" t="str">
        <x:v>factory calibration</x:v>
      </x:c>
      <x:c r="E1060" s="7" t="str">
        <x:v>CAL-CH-PEA-A-X3-05-5</x:v>
      </x:c>
      <x:c r="F1060" s="7" t="str">
        <x:f>'Calibration Records'!M323</x:f>
        <x:v>OPEN</x:v>
      </x:c>
    </x:row>
    <x:row r="1061">
      <x:c r="B1061" s="7" t="str">
        <x:v>AG-01055</x:v>
      </x:c>
      <x:c r="C1061" s="7" t="str">
        <x:v>PEA-A-X3</x:v>
      </x:c>
      <x:c r="D1061" s="7" t="str">
        <x:v>factory calibration</x:v>
      </x:c>
      <x:c r="E1061" s="7" t="str">
        <x:v>CAL-CH-PEA-A-X3-05-6</x:v>
      </x:c>
      <x:c r="F1061" s="7" t="str">
        <x:f>'Calibration Records'!M324</x:f>
        <x:v>OPEN</x:v>
      </x:c>
    </x:row>
    <x:row r="1062">
      <x:c r="B1062" s="7" t="str">
        <x:v>AG-01056</x:v>
      </x:c>
      <x:c r="C1062" s="7" t="str">
        <x:v>PEA-A-X3</x:v>
      </x:c>
      <x:c r="D1062" s="7" t="str">
        <x:v>factory calibration</x:v>
      </x:c>
      <x:c r="E1062" s="7" t="str">
        <x:v>CAL-CH-PEA-A-X3-06-1</x:v>
      </x:c>
      <x:c r="F1062" s="7" t="str">
        <x:f>'Calibration Records'!M325</x:f>
        <x:v>OPEN</x:v>
      </x:c>
    </x:row>
    <x:row r="1063">
      <x:c r="B1063" s="7" t="str">
        <x:v>AG-01057</x:v>
      </x:c>
      <x:c r="C1063" s="7" t="str">
        <x:v>PEA-A-X3</x:v>
      </x:c>
      <x:c r="D1063" s="7" t="str">
        <x:v>factory calibration</x:v>
      </x:c>
      <x:c r="E1063" s="7" t="str">
        <x:v>CAL-CH-PEA-A-X3-06-2</x:v>
      </x:c>
      <x:c r="F1063" s="7" t="str">
        <x:f>'Calibration Records'!M326</x:f>
        <x:v>OPEN</x:v>
      </x:c>
    </x:row>
    <x:row r="1064">
      <x:c r="B1064" s="7" t="str">
        <x:v>AG-01058</x:v>
      </x:c>
      <x:c r="C1064" s="7" t="str">
        <x:v>PEA-A-X3</x:v>
      </x:c>
      <x:c r="D1064" s="7" t="str">
        <x:v>factory calibration</x:v>
      </x:c>
      <x:c r="E1064" s="7" t="str">
        <x:v>CAL-CH-PEA-A-X3-06-3</x:v>
      </x:c>
      <x:c r="F1064" s="7" t="str">
        <x:f>'Calibration Records'!M327</x:f>
        <x:v>OPEN</x:v>
      </x:c>
    </x:row>
    <x:row r="1065">
      <x:c r="B1065" s="7" t="str">
        <x:v>AG-01059</x:v>
      </x:c>
      <x:c r="C1065" s="7" t="str">
        <x:v>PEA-A-X3</x:v>
      </x:c>
      <x:c r="D1065" s="7" t="str">
        <x:v>factory calibration</x:v>
      </x:c>
      <x:c r="E1065" s="7" t="str">
        <x:v>CAL-CH-PEA-A-X3-06-4</x:v>
      </x:c>
      <x:c r="F1065" s="7" t="str">
        <x:f>'Calibration Records'!M328</x:f>
        <x:v>OPEN</x:v>
      </x:c>
    </x:row>
    <x:row r="1066">
      <x:c r="B1066" s="7" t="str">
        <x:v>AG-01060</x:v>
      </x:c>
      <x:c r="C1066" s="7" t="str">
        <x:v>PEA-A-X3</x:v>
      </x:c>
      <x:c r="D1066" s="7" t="str">
        <x:v>factory calibration</x:v>
      </x:c>
      <x:c r="E1066" s="7" t="str">
        <x:v>CAL-CH-PEA-A-X3-06-5</x:v>
      </x:c>
      <x:c r="F1066" s="7" t="str">
        <x:f>'Calibration Records'!M329</x:f>
        <x:v>OPEN</x:v>
      </x:c>
    </x:row>
    <x:row r="1067">
      <x:c r="B1067" s="7" t="str">
        <x:v>AG-01061</x:v>
      </x:c>
      <x:c r="C1067" s="7" t="str">
        <x:v>PEA-A-X3</x:v>
      </x:c>
      <x:c r="D1067" s="7" t="str">
        <x:v>factory calibration</x:v>
      </x:c>
      <x:c r="E1067" s="7" t="str">
        <x:v>CAL-CH-PEA-A-X3-06-6</x:v>
      </x:c>
      <x:c r="F1067" s="7" t="str">
        <x:f>'Calibration Records'!M330</x:f>
        <x:v>OPEN</x:v>
      </x:c>
    </x:row>
    <x:row r="1068">
      <x:c r="B1068" s="7" t="str">
        <x:v>AG-01062</x:v>
      </x:c>
      <x:c r="C1068" s="7" t="str">
        <x:v>PEA-A-X3</x:v>
      </x:c>
      <x:c r="D1068" s="7" t="str">
        <x:v>factory calibration</x:v>
      </x:c>
      <x:c r="E1068" s="7" t="str">
        <x:v>CAL-CH-PEA-A-X3-07-1</x:v>
      </x:c>
      <x:c r="F1068" s="7" t="str">
        <x:f>'Calibration Records'!M331</x:f>
        <x:v>OPEN</x:v>
      </x:c>
    </x:row>
    <x:row r="1069">
      <x:c r="B1069" s="7" t="str">
        <x:v>AG-01063</x:v>
      </x:c>
      <x:c r="C1069" s="7" t="str">
        <x:v>PEA-A-X3</x:v>
      </x:c>
      <x:c r="D1069" s="7" t="str">
        <x:v>factory calibration</x:v>
      </x:c>
      <x:c r="E1069" s="7" t="str">
        <x:v>CAL-CH-PEA-A-X3-07-2</x:v>
      </x:c>
      <x:c r="F1069" s="7" t="str">
        <x:f>'Calibration Records'!M332</x:f>
        <x:v>OPEN</x:v>
      </x:c>
    </x:row>
    <x:row r="1070">
      <x:c r="B1070" s="7" t="str">
        <x:v>AG-01064</x:v>
      </x:c>
      <x:c r="C1070" s="7" t="str">
        <x:v>PEA-A-X3</x:v>
      </x:c>
      <x:c r="D1070" s="7" t="str">
        <x:v>factory calibration</x:v>
      </x:c>
      <x:c r="E1070" s="7" t="str">
        <x:v>CAL-CH-PEA-A-X3-07-3</x:v>
      </x:c>
      <x:c r="F1070" s="7" t="str">
        <x:f>'Calibration Records'!M333</x:f>
        <x:v>OPEN</x:v>
      </x:c>
    </x:row>
    <x:row r="1071">
      <x:c r="B1071" s="7" t="str">
        <x:v>AG-01065</x:v>
      </x:c>
      <x:c r="C1071" s="7" t="str">
        <x:v>PEA-A-X3</x:v>
      </x:c>
      <x:c r="D1071" s="7" t="str">
        <x:v>factory calibration</x:v>
      </x:c>
      <x:c r="E1071" s="7" t="str">
        <x:v>CAL-CH-PEA-A-X3-07-4</x:v>
      </x:c>
      <x:c r="F1071" s="7" t="str">
        <x:f>'Calibration Records'!M334</x:f>
        <x:v>OPEN</x:v>
      </x:c>
    </x:row>
    <x:row r="1072">
      <x:c r="B1072" s="7" t="str">
        <x:v>AG-01066</x:v>
      </x:c>
      <x:c r="C1072" s="7" t="str">
        <x:v>PEA-A-X3</x:v>
      </x:c>
      <x:c r="D1072" s="7" t="str">
        <x:v>factory calibration</x:v>
      </x:c>
      <x:c r="E1072" s="7" t="str">
        <x:v>CAL-CH-PEA-A-X3-07-5</x:v>
      </x:c>
      <x:c r="F1072" s="7" t="str">
        <x:f>'Calibration Records'!M335</x:f>
        <x:v>OPEN</x:v>
      </x:c>
    </x:row>
    <x:row r="1073">
      <x:c r="B1073" s="7" t="str">
        <x:v>AG-01067</x:v>
      </x:c>
      <x:c r="C1073" s="7" t="str">
        <x:v>PEA-A-X3</x:v>
      </x:c>
      <x:c r="D1073" s="7" t="str">
        <x:v>factory calibration</x:v>
      </x:c>
      <x:c r="E1073" s="7" t="str">
        <x:v>CAL-CH-PEA-A-X3-07-6</x:v>
      </x:c>
      <x:c r="F1073" s="7" t="str">
        <x:f>'Calibration Records'!M336</x:f>
        <x:v>OPEN</x:v>
      </x:c>
    </x:row>
    <x:row r="1074">
      <x:c r="B1074" s="7" t="str">
        <x:v>AG-01068</x:v>
      </x:c>
      <x:c r="C1074" s="7" t="str">
        <x:v>PEA-A-X3</x:v>
      </x:c>
      <x:c r="D1074" s="7" t="str">
        <x:v>factory calibration</x:v>
      </x:c>
      <x:c r="E1074" s="7" t="str">
        <x:v>CAL-CH-PEA-A-X3-08-1</x:v>
      </x:c>
      <x:c r="F1074" s="7" t="str">
        <x:f>'Calibration Records'!M337</x:f>
        <x:v>OPEN</x:v>
      </x:c>
    </x:row>
    <x:row r="1075">
      <x:c r="B1075" s="7" t="str">
        <x:v>AG-01069</x:v>
      </x:c>
      <x:c r="C1075" s="7" t="str">
        <x:v>PEA-A-X3</x:v>
      </x:c>
      <x:c r="D1075" s="7" t="str">
        <x:v>factory calibration</x:v>
      </x:c>
      <x:c r="E1075" s="7" t="str">
        <x:v>CAL-CH-PEA-A-X3-08-2</x:v>
      </x:c>
      <x:c r="F1075" s="7" t="str">
        <x:f>'Calibration Records'!M338</x:f>
        <x:v>OPEN</x:v>
      </x:c>
    </x:row>
    <x:row r="1076">
      <x:c r="B1076" s="7" t="str">
        <x:v>AG-01070</x:v>
      </x:c>
      <x:c r="C1076" s="7" t="str">
        <x:v>PEA-A-X3</x:v>
      </x:c>
      <x:c r="D1076" s="7" t="str">
        <x:v>factory calibration</x:v>
      </x:c>
      <x:c r="E1076" s="7" t="str">
        <x:v>CAL-CH-PEA-A-X3-08-3</x:v>
      </x:c>
      <x:c r="F1076" s="7" t="str">
        <x:f>'Calibration Records'!M339</x:f>
        <x:v>OPEN</x:v>
      </x:c>
    </x:row>
    <x:row r="1077">
      <x:c r="B1077" s="7" t="str">
        <x:v>AG-01071</x:v>
      </x:c>
      <x:c r="C1077" s="7" t="str">
        <x:v>PEA-A-X3</x:v>
      </x:c>
      <x:c r="D1077" s="7" t="str">
        <x:v>factory calibration</x:v>
      </x:c>
      <x:c r="E1077" s="7" t="str">
        <x:v>CAL-CH-PEA-A-X3-08-4</x:v>
      </x:c>
      <x:c r="F1077" s="7" t="str">
        <x:f>'Calibration Records'!M340</x:f>
        <x:v>OPEN</x:v>
      </x:c>
    </x:row>
    <x:row r="1078">
      <x:c r="B1078" s="7" t="str">
        <x:v>AG-01072</x:v>
      </x:c>
      <x:c r="C1078" s="7" t="str">
        <x:v>PEA-A-X3</x:v>
      </x:c>
      <x:c r="D1078" s="7" t="str">
        <x:v>factory calibration</x:v>
      </x:c>
      <x:c r="E1078" s="7" t="str">
        <x:v>CAL-CH-PEA-A-X3-08-5</x:v>
      </x:c>
      <x:c r="F1078" s="7" t="str">
        <x:f>'Calibration Records'!M341</x:f>
        <x:v>OPEN</x:v>
      </x:c>
    </x:row>
    <x:row r="1079">
      <x:c r="B1079" s="7" t="str">
        <x:v>AG-01073</x:v>
      </x:c>
      <x:c r="C1079" s="7" t="str">
        <x:v>PEA-A-X3</x:v>
      </x:c>
      <x:c r="D1079" s="7" t="str">
        <x:v>factory calibration</x:v>
      </x:c>
      <x:c r="E1079" s="7" t="str">
        <x:v>CAL-CH-PEA-A-X3-08-6</x:v>
      </x:c>
      <x:c r="F1079" s="7" t="str">
        <x:f>'Calibration Records'!M342</x:f>
        <x:v>OPEN</x:v>
      </x:c>
    </x:row>
    <x:row r="1080">
      <x:c r="B1080" s="7" t="str">
        <x:v>AG-01074</x:v>
      </x:c>
      <x:c r="C1080" s="7" t="str">
        <x:v>PEA-A-X3</x:v>
      </x:c>
      <x:c r="D1080" s="7" t="str">
        <x:v>factory calibration</x:v>
      </x:c>
      <x:c r="E1080" s="7" t="str">
        <x:v>CAL-CH-PEA-A-X3-09-1</x:v>
      </x:c>
      <x:c r="F1080" s="7" t="str">
        <x:f>'Calibration Records'!M343</x:f>
        <x:v>OPEN</x:v>
      </x:c>
    </x:row>
    <x:row r="1081">
      <x:c r="B1081" s="7" t="str">
        <x:v>AG-01075</x:v>
      </x:c>
      <x:c r="C1081" s="7" t="str">
        <x:v>PEA-A-X3</x:v>
      </x:c>
      <x:c r="D1081" s="7" t="str">
        <x:v>factory calibration</x:v>
      </x:c>
      <x:c r="E1081" s="7" t="str">
        <x:v>CAL-CH-PEA-A-X3-09-2</x:v>
      </x:c>
      <x:c r="F1081" s="7" t="str">
        <x:f>'Calibration Records'!M344</x:f>
        <x:v>OPEN</x:v>
      </x:c>
    </x:row>
    <x:row r="1082">
      <x:c r="B1082" s="7" t="str">
        <x:v>AG-01076</x:v>
      </x:c>
      <x:c r="C1082" s="7" t="str">
        <x:v>PEA-A-X3</x:v>
      </x:c>
      <x:c r="D1082" s="7" t="str">
        <x:v>factory calibration</x:v>
      </x:c>
      <x:c r="E1082" s="7" t="str">
        <x:v>CAL-CH-PEA-A-X3-09-3</x:v>
      </x:c>
      <x:c r="F1082" s="7" t="str">
        <x:f>'Calibration Records'!M345</x:f>
        <x:v>OPEN</x:v>
      </x:c>
    </x:row>
    <x:row r="1083">
      <x:c r="B1083" s="7" t="str">
        <x:v>AG-01077</x:v>
      </x:c>
      <x:c r="C1083" s="7" t="str">
        <x:v>PEA-A-X3</x:v>
      </x:c>
      <x:c r="D1083" s="7" t="str">
        <x:v>factory calibration</x:v>
      </x:c>
      <x:c r="E1083" s="7" t="str">
        <x:v>CAL-CH-PEA-A-X3-09-4</x:v>
      </x:c>
      <x:c r="F1083" s="7" t="str">
        <x:f>'Calibration Records'!M346</x:f>
        <x:v>OPEN</x:v>
      </x:c>
    </x:row>
    <x:row r="1084">
      <x:c r="B1084" s="7" t="str">
        <x:v>AG-01078</x:v>
      </x:c>
      <x:c r="C1084" s="7" t="str">
        <x:v>PEA-A-X3</x:v>
      </x:c>
      <x:c r="D1084" s="7" t="str">
        <x:v>factory calibration</x:v>
      </x:c>
      <x:c r="E1084" s="7" t="str">
        <x:v>CAL-CH-PEA-A-X3-09-5</x:v>
      </x:c>
      <x:c r="F1084" s="7" t="str">
        <x:f>'Calibration Records'!M347</x:f>
        <x:v>OPEN</x:v>
      </x:c>
    </x:row>
    <x:row r="1085">
      <x:c r="B1085" s="7" t="str">
        <x:v>AG-01079</x:v>
      </x:c>
      <x:c r="C1085" s="7" t="str">
        <x:v>PEA-A-X3</x:v>
      </x:c>
      <x:c r="D1085" s="7" t="str">
        <x:v>factory calibration</x:v>
      </x:c>
      <x:c r="E1085" s="7" t="str">
        <x:v>CAL-CH-PEA-A-X3-09-6</x:v>
      </x:c>
      <x:c r="F1085" s="7" t="str">
        <x:f>'Calibration Records'!M348</x:f>
        <x:v>OPEN</x:v>
      </x:c>
    </x:row>
    <x:row r="1086">
      <x:c r="B1086" s="7" t="str">
        <x:v>AG-01080</x:v>
      </x:c>
      <x:c r="C1086" s="7" t="str">
        <x:v>PEA-A-X3</x:v>
      </x:c>
      <x:c r="D1086" s="7" t="str">
        <x:v>factory calibration</x:v>
      </x:c>
      <x:c r="E1086" s="7" t="str">
        <x:v>CAL-CH-PEA-A-X3-10-1</x:v>
      </x:c>
      <x:c r="F1086" s="7" t="str">
        <x:f>'Calibration Records'!M349</x:f>
        <x:v>OPEN</x:v>
      </x:c>
    </x:row>
    <x:row r="1087">
      <x:c r="B1087" s="7" t="str">
        <x:v>AG-01081</x:v>
      </x:c>
      <x:c r="C1087" s="7" t="str">
        <x:v>PEA-A-X3</x:v>
      </x:c>
      <x:c r="D1087" s="7" t="str">
        <x:v>factory calibration</x:v>
      </x:c>
      <x:c r="E1087" s="7" t="str">
        <x:v>CAL-CH-PEA-A-X3-10-2</x:v>
      </x:c>
      <x:c r="F1087" s="7" t="str">
        <x:f>'Calibration Records'!M350</x:f>
        <x:v>OPEN</x:v>
      </x:c>
    </x:row>
    <x:row r="1088">
      <x:c r="B1088" s="7" t="str">
        <x:v>AG-01082</x:v>
      </x:c>
      <x:c r="C1088" s="7" t="str">
        <x:v>PEA-A-X3</x:v>
      </x:c>
      <x:c r="D1088" s="7" t="str">
        <x:v>factory calibration</x:v>
      </x:c>
      <x:c r="E1088" s="7" t="str">
        <x:v>CAL-CH-PEA-A-X3-10-3</x:v>
      </x:c>
      <x:c r="F1088" s="7" t="str">
        <x:f>'Calibration Records'!M351</x:f>
        <x:v>OPEN</x:v>
      </x:c>
    </x:row>
    <x:row r="1089">
      <x:c r="B1089" s="7" t="str">
        <x:v>AG-01083</x:v>
      </x:c>
      <x:c r="C1089" s="7" t="str">
        <x:v>PEA-A-X3</x:v>
      </x:c>
      <x:c r="D1089" s="7" t="str">
        <x:v>factory calibration</x:v>
      </x:c>
      <x:c r="E1089" s="7" t="str">
        <x:v>CAL-CH-PEA-A-X3-10-4</x:v>
      </x:c>
      <x:c r="F1089" s="7" t="str">
        <x:f>'Calibration Records'!M352</x:f>
        <x:v>OPEN</x:v>
      </x:c>
    </x:row>
    <x:row r="1090">
      <x:c r="B1090" s="7" t="str">
        <x:v>AG-01084</x:v>
      </x:c>
      <x:c r="C1090" s="7" t="str">
        <x:v>PEA-A-X3</x:v>
      </x:c>
      <x:c r="D1090" s="7" t="str">
        <x:v>factory calibration</x:v>
      </x:c>
      <x:c r="E1090" s="7" t="str">
        <x:v>CAL-CH-PEA-A-X3-10-5</x:v>
      </x:c>
      <x:c r="F1090" s="7" t="str">
        <x:f>'Calibration Records'!M353</x:f>
        <x:v>OPEN</x:v>
      </x:c>
    </x:row>
    <x:row r="1091">
      <x:c r="B1091" s="7" t="str">
        <x:v>AG-01085</x:v>
      </x:c>
      <x:c r="C1091" s="7" t="str">
        <x:v>PEA-A-X3</x:v>
      </x:c>
      <x:c r="D1091" s="7" t="str">
        <x:v>factory calibration</x:v>
      </x:c>
      <x:c r="E1091" s="7" t="str">
        <x:v>CAL-CH-PEA-A-X3-10-6</x:v>
      </x:c>
      <x:c r="F1091" s="7" t="str">
        <x:f>'Calibration Records'!M354</x:f>
        <x:v>OPEN</x:v>
      </x:c>
    </x:row>
    <x:row r="1092">
      <x:c r="B1092" s="7" t="str">
        <x:v>AG-01086</x:v>
      </x:c>
      <x:c r="C1092" s="7" t="str">
        <x:v>PEA-A-X3</x:v>
      </x:c>
      <x:c r="D1092" s="7" t="str">
        <x:v>factory calibration</x:v>
      </x:c>
      <x:c r="E1092" s="7" t="str">
        <x:v>CAL-CH-PEA-A-X3-11-1</x:v>
      </x:c>
      <x:c r="F1092" s="7" t="str">
        <x:f>'Calibration Records'!M355</x:f>
        <x:v>OPEN</x:v>
      </x:c>
    </x:row>
    <x:row r="1093">
      <x:c r="B1093" s="7" t="str">
        <x:v>AG-01087</x:v>
      </x:c>
      <x:c r="C1093" s="7" t="str">
        <x:v>PEA-A-X3</x:v>
      </x:c>
      <x:c r="D1093" s="7" t="str">
        <x:v>factory calibration</x:v>
      </x:c>
      <x:c r="E1093" s="7" t="str">
        <x:v>CAL-CH-PEA-A-X3-11-2</x:v>
      </x:c>
      <x:c r="F1093" s="7" t="str">
        <x:f>'Calibration Records'!M356</x:f>
        <x:v>OPEN</x:v>
      </x:c>
    </x:row>
    <x:row r="1094">
      <x:c r="B1094" s="7" t="str">
        <x:v>AG-01088</x:v>
      </x:c>
      <x:c r="C1094" s="7" t="str">
        <x:v>PEA-A-X3</x:v>
      </x:c>
      <x:c r="D1094" s="7" t="str">
        <x:v>factory calibration</x:v>
      </x:c>
      <x:c r="E1094" s="7" t="str">
        <x:v>CAL-CH-PEA-A-X3-11-3</x:v>
      </x:c>
      <x:c r="F1094" s="7" t="str">
        <x:f>'Calibration Records'!M357</x:f>
        <x:v>OPEN</x:v>
      </x:c>
    </x:row>
    <x:row r="1095">
      <x:c r="B1095" s="7" t="str">
        <x:v>AG-01089</x:v>
      </x:c>
      <x:c r="C1095" s="7" t="str">
        <x:v>PEA-A-X3</x:v>
      </x:c>
      <x:c r="D1095" s="7" t="str">
        <x:v>factory calibration</x:v>
      </x:c>
      <x:c r="E1095" s="7" t="str">
        <x:v>CAL-CH-PEA-A-X3-11-4</x:v>
      </x:c>
      <x:c r="F1095" s="7" t="str">
        <x:f>'Calibration Records'!M358</x:f>
        <x:v>OPEN</x:v>
      </x:c>
    </x:row>
    <x:row r="1096">
      <x:c r="B1096" s="7" t="str">
        <x:v>AG-01090</x:v>
      </x:c>
      <x:c r="C1096" s="7" t="str">
        <x:v>PEA-A-X3</x:v>
      </x:c>
      <x:c r="D1096" s="7" t="str">
        <x:v>factory calibration</x:v>
      </x:c>
      <x:c r="E1096" s="7" t="str">
        <x:v>CAL-CH-PEA-A-X3-11-5</x:v>
      </x:c>
      <x:c r="F1096" s="7" t="str">
        <x:f>'Calibration Records'!M359</x:f>
        <x:v>OPEN</x:v>
      </x:c>
    </x:row>
    <x:row r="1097">
      <x:c r="B1097" s="7" t="str">
        <x:v>AG-01091</x:v>
      </x:c>
      <x:c r="C1097" s="7" t="str">
        <x:v>PEA-A-X3</x:v>
      </x:c>
      <x:c r="D1097" s="7" t="str">
        <x:v>factory calibration</x:v>
      </x:c>
      <x:c r="E1097" s="7" t="str">
        <x:v>CAL-CH-PEA-A-X3-11-6</x:v>
      </x:c>
      <x:c r="F1097" s="7" t="str">
        <x:f>'Calibration Records'!M360</x:f>
        <x:v>OPEN</x:v>
      </x:c>
    </x:row>
    <x:row r="1098">
      <x:c r="B1098" s="7" t="str">
        <x:v>AG-01092</x:v>
      </x:c>
      <x:c r="C1098" s="7" t="str">
        <x:v>PEA-A-X3</x:v>
      </x:c>
      <x:c r="D1098" s="7" t="str">
        <x:v>factory calibration</x:v>
      </x:c>
      <x:c r="E1098" s="7" t="str">
        <x:v>CAL-CH-PEA-A-X3-12-1</x:v>
      </x:c>
      <x:c r="F1098" s="7" t="str">
        <x:f>'Calibration Records'!M361</x:f>
        <x:v>OPEN</x:v>
      </x:c>
    </x:row>
    <x:row r="1099">
      <x:c r="B1099" s="7" t="str">
        <x:v>AG-01093</x:v>
      </x:c>
      <x:c r="C1099" s="7" t="str">
        <x:v>PEA-A-X3</x:v>
      </x:c>
      <x:c r="D1099" s="7" t="str">
        <x:v>factory calibration</x:v>
      </x:c>
      <x:c r="E1099" s="7" t="str">
        <x:v>CAL-CH-PEA-A-X3-12-2</x:v>
      </x:c>
      <x:c r="F1099" s="7" t="str">
        <x:f>'Calibration Records'!M362</x:f>
        <x:v>OPEN</x:v>
      </x:c>
    </x:row>
    <x:row r="1100">
      <x:c r="B1100" s="7" t="str">
        <x:v>AG-01094</x:v>
      </x:c>
      <x:c r="C1100" s="7" t="str">
        <x:v>PEA-A-X3</x:v>
      </x:c>
      <x:c r="D1100" s="7" t="str">
        <x:v>factory calibration</x:v>
      </x:c>
      <x:c r="E1100" s="7" t="str">
        <x:v>CAL-CH-PEA-A-X3-12-3</x:v>
      </x:c>
      <x:c r="F1100" s="7" t="str">
        <x:f>'Calibration Records'!M363</x:f>
        <x:v>OPEN</x:v>
      </x:c>
    </x:row>
    <x:row r="1101">
      <x:c r="B1101" s="7" t="str">
        <x:v>AG-01095</x:v>
      </x:c>
      <x:c r="C1101" s="7" t="str">
        <x:v>PEA-A-X3</x:v>
      </x:c>
      <x:c r="D1101" s="7" t="str">
        <x:v>factory calibration</x:v>
      </x:c>
      <x:c r="E1101" s="7" t="str">
        <x:v>CAL-CH-PEA-A-X3-12-4</x:v>
      </x:c>
      <x:c r="F1101" s="7" t="str">
        <x:f>'Calibration Records'!M364</x:f>
        <x:v>OPEN</x:v>
      </x:c>
    </x:row>
    <x:row r="1102">
      <x:c r="B1102" s="7" t="str">
        <x:v>AG-01096</x:v>
      </x:c>
      <x:c r="C1102" s="7" t="str">
        <x:v>PEA-A-X3</x:v>
      </x:c>
      <x:c r="D1102" s="7" t="str">
        <x:v>factory calibration</x:v>
      </x:c>
      <x:c r="E1102" s="7" t="str">
        <x:v>CAL-CH-PEA-A-X3-12-5</x:v>
      </x:c>
      <x:c r="F1102" s="7" t="str">
        <x:f>'Calibration Records'!M365</x:f>
        <x:v>OPEN</x:v>
      </x:c>
    </x:row>
    <x:row r="1103">
      <x:c r="B1103" s="7" t="str">
        <x:v>AG-01097</x:v>
      </x:c>
      <x:c r="C1103" s="7" t="str">
        <x:v>PEA-A-X3</x:v>
      </x:c>
      <x:c r="D1103" s="7" t="str">
        <x:v>factory calibration</x:v>
      </x:c>
      <x:c r="E1103" s="7" t="str">
        <x:v>CAL-CH-PEA-A-X3-12-6</x:v>
      </x:c>
      <x:c r="F1103" s="7" t="str">
        <x:f>'Calibration Records'!M366</x:f>
        <x:v>OPEN</x:v>
      </x:c>
    </x:row>
    <x:row r="1104">
      <x:c r="B1104" s="7" t="str">
        <x:v>AG-01098</x:v>
      </x:c>
      <x:c r="C1104" s="7" t="str">
        <x:v>PEA-A-X3</x:v>
      </x:c>
      <x:c r="D1104" s="7" t="str">
        <x:v>factory calibration</x:v>
      </x:c>
      <x:c r="E1104" s="7" t="str">
        <x:v>CAL-CH-PEA-A-X3-13-1</x:v>
      </x:c>
      <x:c r="F1104" s="7" t="str">
        <x:f>'Calibration Records'!M367</x:f>
        <x:v>OPEN</x:v>
      </x:c>
    </x:row>
    <x:row r="1105">
      <x:c r="B1105" s="7" t="str">
        <x:v>AG-01099</x:v>
      </x:c>
      <x:c r="C1105" s="7" t="str">
        <x:v>PEA-A-X3</x:v>
      </x:c>
      <x:c r="D1105" s="7" t="str">
        <x:v>factory calibration</x:v>
      </x:c>
      <x:c r="E1105" s="7" t="str">
        <x:v>CAL-CH-PEA-A-X3-13-2</x:v>
      </x:c>
      <x:c r="F1105" s="7" t="str">
        <x:f>'Calibration Records'!M368</x:f>
        <x:v>OPEN</x:v>
      </x:c>
    </x:row>
    <x:row r="1106">
      <x:c r="B1106" s="7" t="str">
        <x:v>AG-01100</x:v>
      </x:c>
      <x:c r="C1106" s="7" t="str">
        <x:v>PEA-A-X3</x:v>
      </x:c>
      <x:c r="D1106" s="7" t="str">
        <x:v>factory calibration</x:v>
      </x:c>
      <x:c r="E1106" s="7" t="str">
        <x:v>CAL-CH-PEA-A-X3-13-3</x:v>
      </x:c>
      <x:c r="F1106" s="7" t="str">
        <x:f>'Calibration Records'!M369</x:f>
        <x:v>OPEN</x:v>
      </x:c>
    </x:row>
    <x:row r="1107">
      <x:c r="B1107" s="7" t="str">
        <x:v>AG-01101</x:v>
      </x:c>
      <x:c r="C1107" s="7" t="str">
        <x:v>PEA-A-X3</x:v>
      </x:c>
      <x:c r="D1107" s="7" t="str">
        <x:v>factory calibration</x:v>
      </x:c>
      <x:c r="E1107" s="7" t="str">
        <x:v>CAL-CH-PEA-A-X3-13-4</x:v>
      </x:c>
      <x:c r="F1107" s="7" t="str">
        <x:f>'Calibration Records'!M370</x:f>
        <x:v>OPEN</x:v>
      </x:c>
    </x:row>
    <x:row r="1108">
      <x:c r="B1108" s="7" t="str">
        <x:v>AG-01102</x:v>
      </x:c>
      <x:c r="C1108" s="7" t="str">
        <x:v>PEA-A-X3</x:v>
      </x:c>
      <x:c r="D1108" s="7" t="str">
        <x:v>factory calibration</x:v>
      </x:c>
      <x:c r="E1108" s="7" t="str">
        <x:v>CAL-CH-PEA-A-X3-13-5</x:v>
      </x:c>
      <x:c r="F1108" s="7" t="str">
        <x:f>'Calibration Records'!M371</x:f>
        <x:v>OPEN</x:v>
      </x:c>
    </x:row>
    <x:row r="1109">
      <x:c r="B1109" s="7" t="str">
        <x:v>AG-01103</x:v>
      </x:c>
      <x:c r="C1109" s="7" t="str">
        <x:v>PEA-A-X3</x:v>
      </x:c>
      <x:c r="D1109" s="7" t="str">
        <x:v>factory calibration</x:v>
      </x:c>
      <x:c r="E1109" s="7" t="str">
        <x:v>CAL-CH-PEA-A-X3-13-6</x:v>
      </x:c>
      <x:c r="F1109" s="7" t="str">
        <x:f>'Calibration Records'!M372</x:f>
        <x:v>OPEN</x:v>
      </x:c>
    </x:row>
    <x:row r="1110">
      <x:c r="B1110" s="7" t="str">
        <x:v>AG-01104</x:v>
      </x:c>
      <x:c r="C1110" s="7" t="str">
        <x:v>PEA-A-X3</x:v>
      </x:c>
      <x:c r="D1110" s="7" t="str">
        <x:v>factory calibration</x:v>
      </x:c>
      <x:c r="E1110" s="7" t="str">
        <x:v>CAL-CH-PEA-A-X3-14-1</x:v>
      </x:c>
      <x:c r="F1110" s="7" t="str">
        <x:f>'Calibration Records'!M373</x:f>
        <x:v>OPEN</x:v>
      </x:c>
    </x:row>
    <x:row r="1111">
      <x:c r="B1111" s="7" t="str">
        <x:v>AG-01105</x:v>
      </x:c>
      <x:c r="C1111" s="7" t="str">
        <x:v>PEA-A-X3</x:v>
      </x:c>
      <x:c r="D1111" s="7" t="str">
        <x:v>factory calibration</x:v>
      </x:c>
      <x:c r="E1111" s="7" t="str">
        <x:v>CAL-CH-PEA-A-X3-14-2</x:v>
      </x:c>
      <x:c r="F1111" s="7" t="str">
        <x:f>'Calibration Records'!M374</x:f>
        <x:v>OPEN</x:v>
      </x:c>
    </x:row>
    <x:row r="1112">
      <x:c r="B1112" s="7" t="str">
        <x:v>AG-01106</x:v>
      </x:c>
      <x:c r="C1112" s="7" t="str">
        <x:v>PEA-A-X3</x:v>
      </x:c>
      <x:c r="D1112" s="7" t="str">
        <x:v>factory calibration</x:v>
      </x:c>
      <x:c r="E1112" s="7" t="str">
        <x:v>CAL-CH-PEA-A-X3-14-3</x:v>
      </x:c>
      <x:c r="F1112" s="7" t="str">
        <x:f>'Calibration Records'!M375</x:f>
        <x:v>OPEN</x:v>
      </x:c>
    </x:row>
    <x:row r="1113">
      <x:c r="B1113" s="7" t="str">
        <x:v>AG-01107</x:v>
      </x:c>
      <x:c r="C1113" s="7" t="str">
        <x:v>PEA-A-X3</x:v>
      </x:c>
      <x:c r="D1113" s="7" t="str">
        <x:v>factory calibration</x:v>
      </x:c>
      <x:c r="E1113" s="7" t="str">
        <x:v>CAL-CH-PEA-A-X3-14-4</x:v>
      </x:c>
      <x:c r="F1113" s="7" t="str">
        <x:f>'Calibration Records'!M376</x:f>
        <x:v>OPEN</x:v>
      </x:c>
    </x:row>
    <x:row r="1114">
      <x:c r="B1114" s="7" t="str">
        <x:v>AG-01108</x:v>
      </x:c>
      <x:c r="C1114" s="7" t="str">
        <x:v>PEA-A-X3</x:v>
      </x:c>
      <x:c r="D1114" s="7" t="str">
        <x:v>factory calibration</x:v>
      </x:c>
      <x:c r="E1114" s="7" t="str">
        <x:v>CAL-CH-PEA-A-X3-14-5</x:v>
      </x:c>
      <x:c r="F1114" s="7" t="str">
        <x:f>'Calibration Records'!M377</x:f>
        <x:v>OPEN</x:v>
      </x:c>
    </x:row>
    <x:row r="1115">
      <x:c r="B1115" s="7" t="str">
        <x:v>AG-01109</x:v>
      </x:c>
      <x:c r="C1115" s="7" t="str">
        <x:v>PEA-A-X3</x:v>
      </x:c>
      <x:c r="D1115" s="7" t="str">
        <x:v>factory calibration</x:v>
      </x:c>
      <x:c r="E1115" s="7" t="str">
        <x:v>CAL-CH-PEA-A-X3-14-6</x:v>
      </x:c>
      <x:c r="F1115" s="7" t="str">
        <x:f>'Calibration Records'!M378</x:f>
        <x:v>OPEN</x:v>
      </x:c>
    </x:row>
    <x:row r="1116">
      <x:c r="B1116" s="7" t="str">
        <x:v>AG-01110</x:v>
      </x:c>
      <x:c r="C1116" s="7" t="str">
        <x:v>PEA-A-X3</x:v>
      </x:c>
      <x:c r="D1116" s="7" t="str">
        <x:v>factory calibration</x:v>
      </x:c>
      <x:c r="E1116" s="7" t="str">
        <x:v>CAL-CH-PEA-A-X3-15-1</x:v>
      </x:c>
      <x:c r="F1116" s="7" t="str">
        <x:f>'Calibration Records'!M379</x:f>
        <x:v>OPEN</x:v>
      </x:c>
    </x:row>
    <x:row r="1117">
      <x:c r="B1117" s="7" t="str">
        <x:v>AG-01111</x:v>
      </x:c>
      <x:c r="C1117" s="7" t="str">
        <x:v>PEA-A-X3</x:v>
      </x:c>
      <x:c r="D1117" s="7" t="str">
        <x:v>factory calibration</x:v>
      </x:c>
      <x:c r="E1117" s="7" t="str">
        <x:v>CAL-CH-PEA-A-X3-15-2</x:v>
      </x:c>
      <x:c r="F1117" s="7" t="str">
        <x:f>'Calibration Records'!M380</x:f>
        <x:v>OPEN</x:v>
      </x:c>
    </x:row>
    <x:row r="1118">
      <x:c r="B1118" s="7" t="str">
        <x:v>AG-01112</x:v>
      </x:c>
      <x:c r="C1118" s="7" t="str">
        <x:v>PEA-A-X3</x:v>
      </x:c>
      <x:c r="D1118" s="7" t="str">
        <x:v>factory calibration</x:v>
      </x:c>
      <x:c r="E1118" s="7" t="str">
        <x:v>CAL-CH-PEA-A-X3-15-3</x:v>
      </x:c>
      <x:c r="F1118" s="7" t="str">
        <x:f>'Calibration Records'!M381</x:f>
        <x:v>OPEN</x:v>
      </x:c>
    </x:row>
    <x:row r="1119">
      <x:c r="B1119" s="7" t="str">
        <x:v>AG-01113</x:v>
      </x:c>
      <x:c r="C1119" s="7" t="str">
        <x:v>PEA-A-X3</x:v>
      </x:c>
      <x:c r="D1119" s="7" t="str">
        <x:v>factory calibration</x:v>
      </x:c>
      <x:c r="E1119" s="7" t="str">
        <x:v>CAL-CH-PEA-A-X3-15-4</x:v>
      </x:c>
      <x:c r="F1119" s="7" t="str">
        <x:f>'Calibration Records'!M382</x:f>
        <x:v>OPEN</x:v>
      </x:c>
    </x:row>
    <x:row r="1120">
      <x:c r="B1120" s="7" t="str">
        <x:v>AG-01114</x:v>
      </x:c>
      <x:c r="C1120" s="7" t="str">
        <x:v>PEA-A-X3</x:v>
      </x:c>
      <x:c r="D1120" s="7" t="str">
        <x:v>factory calibration</x:v>
      </x:c>
      <x:c r="E1120" s="7" t="str">
        <x:v>CAL-CH-PEA-A-X3-15-5</x:v>
      </x:c>
      <x:c r="F1120" s="7" t="str">
        <x:f>'Calibration Records'!M383</x:f>
        <x:v>OPEN</x:v>
      </x:c>
    </x:row>
    <x:row r="1121">
      <x:c r="B1121" s="7" t="str">
        <x:v>AG-01115</x:v>
      </x:c>
      <x:c r="C1121" s="7" t="str">
        <x:v>PEA-A-X3</x:v>
      </x:c>
      <x:c r="D1121" s="7" t="str">
        <x:v>factory calibration</x:v>
      </x:c>
      <x:c r="E1121" s="7" t="str">
        <x:v>CAL-CH-PEA-A-X3-15-6</x:v>
      </x:c>
      <x:c r="F1121" s="7" t="str">
        <x:f>'Calibration Records'!M384</x:f>
        <x:v>OPEN</x:v>
      </x:c>
    </x:row>
    <x:row r="1122">
      <x:c r="B1122" s="7" t="str">
        <x:v>AG-01116</x:v>
      </x:c>
      <x:c r="C1122" s="7" t="str">
        <x:v>PEA-A-X3</x:v>
      </x:c>
      <x:c r="D1122" s="7" t="str">
        <x:v>factory calibration</x:v>
      </x:c>
      <x:c r="E1122" s="7" t="str">
        <x:v>CAL-CH-PEA-A-X3-16-1</x:v>
      </x:c>
      <x:c r="F1122" s="7" t="str">
        <x:f>'Calibration Records'!M385</x:f>
        <x:v>OPEN</x:v>
      </x:c>
    </x:row>
    <x:row r="1123">
      <x:c r="B1123" s="7" t="str">
        <x:v>AG-01117</x:v>
      </x:c>
      <x:c r="C1123" s="7" t="str">
        <x:v>PEA-A-X3</x:v>
      </x:c>
      <x:c r="D1123" s="7" t="str">
        <x:v>factory calibration</x:v>
      </x:c>
      <x:c r="E1123" s="7" t="str">
        <x:v>CAL-CH-PEA-A-X3-16-2</x:v>
      </x:c>
      <x:c r="F1123" s="7" t="str">
        <x:f>'Calibration Records'!M386</x:f>
        <x:v>OPEN</x:v>
      </x:c>
    </x:row>
    <x:row r="1124">
      <x:c r="B1124" s="7" t="str">
        <x:v>AG-01118</x:v>
      </x:c>
      <x:c r="C1124" s="7" t="str">
        <x:v>PEA-A-X3</x:v>
      </x:c>
      <x:c r="D1124" s="7" t="str">
        <x:v>factory calibration</x:v>
      </x:c>
      <x:c r="E1124" s="7" t="str">
        <x:v>CAL-CH-PEA-A-X3-16-3</x:v>
      </x:c>
      <x:c r="F1124" s="7" t="str">
        <x:f>'Calibration Records'!M387</x:f>
        <x:v>OPEN</x:v>
      </x:c>
    </x:row>
    <x:row r="1125">
      <x:c r="B1125" s="7" t="str">
        <x:v>AG-01119</x:v>
      </x:c>
      <x:c r="C1125" s="7" t="str">
        <x:v>PEA-A-X3</x:v>
      </x:c>
      <x:c r="D1125" s="7" t="str">
        <x:v>factory calibration</x:v>
      </x:c>
      <x:c r="E1125" s="7" t="str">
        <x:v>CAL-CH-PEA-A-X3-16-4</x:v>
      </x:c>
      <x:c r="F1125" s="7" t="str">
        <x:f>'Calibration Records'!M388</x:f>
        <x:v>OPEN</x:v>
      </x:c>
    </x:row>
    <x:row r="1126">
      <x:c r="B1126" s="7" t="str">
        <x:v>AG-01120</x:v>
      </x:c>
      <x:c r="C1126" s="7" t="str">
        <x:v>PEA-A-X3</x:v>
      </x:c>
      <x:c r="D1126" s="7" t="str">
        <x:v>factory calibration</x:v>
      </x:c>
      <x:c r="E1126" s="7" t="str">
        <x:v>CAL-CH-PEA-A-X3-16-5</x:v>
      </x:c>
      <x:c r="F1126" s="7" t="str">
        <x:f>'Calibration Records'!M389</x:f>
        <x:v>OPEN</x:v>
      </x:c>
    </x:row>
    <x:row r="1127">
      <x:c r="B1127" s="7" t="str">
        <x:v>AG-01121</x:v>
      </x:c>
      <x:c r="C1127" s="7" t="str">
        <x:v>PEA-A-X3</x:v>
      </x:c>
      <x:c r="D1127" s="7" t="str">
        <x:v>factory calibration</x:v>
      </x:c>
      <x:c r="E1127" s="7" t="str">
        <x:v>CAL-CH-PEA-A-X3-16-6</x:v>
      </x:c>
      <x:c r="F1127" s="7" t="str">
        <x:f>'Calibration Records'!M390</x:f>
        <x:v>OPEN</x:v>
      </x:c>
    </x:row>
    <x:row r="1128">
      <x:c r="B1128" s="7" t="str">
        <x:v>AG-01122</x:v>
      </x:c>
      <x:c r="C1128" s="7" t="str">
        <x:v>PEA-A-X3</x:v>
      </x:c>
      <x:c r="D1128" s="7" t="str">
        <x:v>factory calibration</x:v>
      </x:c>
      <x:c r="E1128" s="7" t="str">
        <x:v>CAL-CH-PEA-A-X3-17-1</x:v>
      </x:c>
      <x:c r="F1128" s="7" t="str">
        <x:f>'Calibration Records'!M391</x:f>
        <x:v>OPEN</x:v>
      </x:c>
    </x:row>
    <x:row r="1129">
      <x:c r="B1129" s="7" t="str">
        <x:v>AG-01123</x:v>
      </x:c>
      <x:c r="C1129" s="7" t="str">
        <x:v>PEA-A-X3</x:v>
      </x:c>
      <x:c r="D1129" s="7" t="str">
        <x:v>factory calibration</x:v>
      </x:c>
      <x:c r="E1129" s="7" t="str">
        <x:v>CAL-CH-PEA-A-X3-17-2</x:v>
      </x:c>
      <x:c r="F1129" s="7" t="str">
        <x:f>'Calibration Records'!M392</x:f>
        <x:v>OPEN</x:v>
      </x:c>
    </x:row>
    <x:row r="1130">
      <x:c r="B1130" s="7" t="str">
        <x:v>AG-01124</x:v>
      </x:c>
      <x:c r="C1130" s="7" t="str">
        <x:v>PEA-A-X3</x:v>
      </x:c>
      <x:c r="D1130" s="7" t="str">
        <x:v>factory calibration</x:v>
      </x:c>
      <x:c r="E1130" s="7" t="str">
        <x:v>CAL-CH-PEA-A-X3-17-3</x:v>
      </x:c>
      <x:c r="F1130" s="7" t="str">
        <x:f>'Calibration Records'!M393</x:f>
        <x:v>OPEN</x:v>
      </x:c>
    </x:row>
    <x:row r="1131">
      <x:c r="B1131" s="7" t="str">
        <x:v>AG-01125</x:v>
      </x:c>
      <x:c r="C1131" s="7" t="str">
        <x:v>PEA-A-X3</x:v>
      </x:c>
      <x:c r="D1131" s="7" t="str">
        <x:v>factory calibration</x:v>
      </x:c>
      <x:c r="E1131" s="7" t="str">
        <x:v>CAL-CH-PEA-A-X3-17-4</x:v>
      </x:c>
      <x:c r="F1131" s="7" t="str">
        <x:f>'Calibration Records'!M394</x:f>
        <x:v>OPEN</x:v>
      </x:c>
    </x:row>
    <x:row r="1132">
      <x:c r="B1132" s="7" t="str">
        <x:v>AG-01126</x:v>
      </x:c>
      <x:c r="C1132" s="7" t="str">
        <x:v>PEA-A-X3</x:v>
      </x:c>
      <x:c r="D1132" s="7" t="str">
        <x:v>factory calibration</x:v>
      </x:c>
      <x:c r="E1132" s="7" t="str">
        <x:v>CAL-CH-PEA-A-X3-17-5</x:v>
      </x:c>
      <x:c r="F1132" s="7" t="str">
        <x:f>'Calibration Records'!M395</x:f>
        <x:v>OPEN</x:v>
      </x:c>
    </x:row>
    <x:row r="1133">
      <x:c r="B1133" s="7" t="str">
        <x:v>AG-01127</x:v>
      </x:c>
      <x:c r="C1133" s="7" t="str">
        <x:v>PEA-A-X3</x:v>
      </x:c>
      <x:c r="D1133" s="7" t="str">
        <x:v>factory calibration</x:v>
      </x:c>
      <x:c r="E1133" s="7" t="str">
        <x:v>CAL-CH-PEA-A-X3-17-6</x:v>
      </x:c>
      <x:c r="F1133" s="7" t="str">
        <x:f>'Calibration Records'!M396</x:f>
        <x:v>OPEN</x:v>
      </x:c>
    </x:row>
    <x:row r="1134">
      <x:c r="B1134" s="7" t="str">
        <x:v>AG-01128</x:v>
      </x:c>
      <x:c r="C1134" s="7" t="str">
        <x:v>PEA-A-X3</x:v>
      </x:c>
      <x:c r="D1134" s="7" t="str">
        <x:v>factory calibration</x:v>
      </x:c>
      <x:c r="E1134" s="7" t="str">
        <x:v>CAL-CH-PEA-A-X3-18-1</x:v>
      </x:c>
      <x:c r="F1134" s="7" t="str">
        <x:f>'Calibration Records'!M397</x:f>
        <x:v>OPEN</x:v>
      </x:c>
    </x:row>
    <x:row r="1135">
      <x:c r="B1135" s="7" t="str">
        <x:v>AG-01129</x:v>
      </x:c>
      <x:c r="C1135" s="7" t="str">
        <x:v>PEA-A-X3</x:v>
      </x:c>
      <x:c r="D1135" s="7" t="str">
        <x:v>factory calibration</x:v>
      </x:c>
      <x:c r="E1135" s="7" t="str">
        <x:v>CAL-CH-PEA-A-X3-18-2</x:v>
      </x:c>
      <x:c r="F1135" s="7" t="str">
        <x:f>'Calibration Records'!M398</x:f>
        <x:v>OPEN</x:v>
      </x:c>
    </x:row>
    <x:row r="1136">
      <x:c r="B1136" s="7" t="str">
        <x:v>AG-01130</x:v>
      </x:c>
      <x:c r="C1136" s="7" t="str">
        <x:v>PEA-A-X3</x:v>
      </x:c>
      <x:c r="D1136" s="7" t="str">
        <x:v>factory calibration</x:v>
      </x:c>
      <x:c r="E1136" s="7" t="str">
        <x:v>CAL-CH-PEA-A-X3-18-3</x:v>
      </x:c>
      <x:c r="F1136" s="7" t="str">
        <x:f>'Calibration Records'!M399</x:f>
        <x:v>OPEN</x:v>
      </x:c>
    </x:row>
    <x:row r="1137">
      <x:c r="B1137" s="7" t="str">
        <x:v>AG-01131</x:v>
      </x:c>
      <x:c r="C1137" s="7" t="str">
        <x:v>PEA-A-X3</x:v>
      </x:c>
      <x:c r="D1137" s="7" t="str">
        <x:v>factory calibration</x:v>
      </x:c>
      <x:c r="E1137" s="7" t="str">
        <x:v>CAL-CH-PEA-A-X3-18-4</x:v>
      </x:c>
      <x:c r="F1137" s="7" t="str">
        <x:f>'Calibration Records'!M400</x:f>
        <x:v>OPEN</x:v>
      </x:c>
    </x:row>
    <x:row r="1138">
      <x:c r="B1138" s="7" t="str">
        <x:v>AG-01132</x:v>
      </x:c>
      <x:c r="C1138" s="7" t="str">
        <x:v>PEA-A-X3</x:v>
      </x:c>
      <x:c r="D1138" s="7" t="str">
        <x:v>factory calibration</x:v>
      </x:c>
      <x:c r="E1138" s="7" t="str">
        <x:v>CAL-CH-PEA-A-X3-18-5</x:v>
      </x:c>
      <x:c r="F1138" s="7" t="str">
        <x:f>'Calibration Records'!M401</x:f>
        <x:v>OPEN</x:v>
      </x:c>
    </x:row>
    <x:row r="1139">
      <x:c r="B1139" s="7" t="str">
        <x:v>AG-01133</x:v>
      </x:c>
      <x:c r="C1139" s="7" t="str">
        <x:v>PEA-A-X3</x:v>
      </x:c>
      <x:c r="D1139" s="7" t="str">
        <x:v>factory calibration</x:v>
      </x:c>
      <x:c r="E1139" s="7" t="str">
        <x:v>CAL-CH-PEA-A-X3-18-6</x:v>
      </x:c>
      <x:c r="F1139" s="7" t="str">
        <x:f>'Calibration Records'!M402</x:f>
        <x:v>OPEN</x:v>
      </x:c>
    </x:row>
    <x:row r="1140">
      <x:c r="B1140" s="7" t="str">
        <x:v>AG-01134</x:v>
      </x:c>
      <x:c r="C1140" s="7" t="str">
        <x:v>PEA-A-X3</x:v>
      </x:c>
      <x:c r="D1140" s="7" t="str">
        <x:v>factory calibration</x:v>
      </x:c>
      <x:c r="E1140" s="7" t="str">
        <x:v>CAL-CH-PEA-A-X3-19-1</x:v>
      </x:c>
      <x:c r="F1140" s="7" t="str">
        <x:f>'Calibration Records'!M403</x:f>
        <x:v>OPEN</x:v>
      </x:c>
    </x:row>
    <x:row r="1141">
      <x:c r="B1141" s="7" t="str">
        <x:v>AG-01135</x:v>
      </x:c>
      <x:c r="C1141" s="7" t="str">
        <x:v>PEA-A-X3</x:v>
      </x:c>
      <x:c r="D1141" s="7" t="str">
        <x:v>factory calibration</x:v>
      </x:c>
      <x:c r="E1141" s="7" t="str">
        <x:v>CAL-CH-PEA-A-X3-19-2</x:v>
      </x:c>
      <x:c r="F1141" s="7" t="str">
        <x:f>'Calibration Records'!M404</x:f>
        <x:v>OPEN</x:v>
      </x:c>
    </x:row>
    <x:row r="1142">
      <x:c r="B1142" s="7" t="str">
        <x:v>AG-01136</x:v>
      </x:c>
      <x:c r="C1142" s="7" t="str">
        <x:v>PEA-A-X3</x:v>
      </x:c>
      <x:c r="D1142" s="7" t="str">
        <x:v>factory calibration</x:v>
      </x:c>
      <x:c r="E1142" s="7" t="str">
        <x:v>CAL-CH-PEA-A-X3-19-3</x:v>
      </x:c>
      <x:c r="F1142" s="7" t="str">
        <x:f>'Calibration Records'!M405</x:f>
        <x:v>OPEN</x:v>
      </x:c>
    </x:row>
    <x:row r="1143">
      <x:c r="B1143" s="7" t="str">
        <x:v>AG-01137</x:v>
      </x:c>
      <x:c r="C1143" s="7" t="str">
        <x:v>PEA-A-X3</x:v>
      </x:c>
      <x:c r="D1143" s="7" t="str">
        <x:v>factory calibration</x:v>
      </x:c>
      <x:c r="E1143" s="7" t="str">
        <x:v>CAL-CH-PEA-A-X3-19-4</x:v>
      </x:c>
      <x:c r="F1143" s="7" t="str">
        <x:f>'Calibration Records'!M406</x:f>
        <x:v>OPEN</x:v>
      </x:c>
    </x:row>
    <x:row r="1144">
      <x:c r="B1144" s="7" t="str">
        <x:v>AG-01138</x:v>
      </x:c>
      <x:c r="C1144" s="7" t="str">
        <x:v>PEA-A-X3</x:v>
      </x:c>
      <x:c r="D1144" s="7" t="str">
        <x:v>factory calibration</x:v>
      </x:c>
      <x:c r="E1144" s="7" t="str">
        <x:v>CAL-CH-PEA-A-X3-19-5</x:v>
      </x:c>
      <x:c r="F1144" s="7" t="str">
        <x:f>'Calibration Records'!M407</x:f>
        <x:v>OPEN</x:v>
      </x:c>
    </x:row>
    <x:row r="1145">
      <x:c r="B1145" s="7" t="str">
        <x:v>AG-01139</x:v>
      </x:c>
      <x:c r="C1145" s="7" t="str">
        <x:v>PEA-A-X3</x:v>
      </x:c>
      <x:c r="D1145" s="7" t="str">
        <x:v>factory calibration</x:v>
      </x:c>
      <x:c r="E1145" s="7" t="str">
        <x:v>CAL-CH-PEA-A-X3-19-6</x:v>
      </x:c>
      <x:c r="F1145" s="7" t="str">
        <x:f>'Calibration Records'!M408</x:f>
        <x:v>OPEN</x:v>
      </x:c>
    </x:row>
    <x:row r="1146">
      <x:c r="B1146" s="7" t="str">
        <x:v>AG-01140</x:v>
      </x:c>
      <x:c r="C1146" s="7" t="str">
        <x:v>PEA-A-X3</x:v>
      </x:c>
      <x:c r="D1146" s="7" t="str">
        <x:v>factory calibration</x:v>
      </x:c>
      <x:c r="E1146" s="7" t="str">
        <x:v>CAL-CH-PEA-A-X3-20-1</x:v>
      </x:c>
      <x:c r="F1146" s="7" t="str">
        <x:f>'Calibration Records'!M409</x:f>
        <x:v>OPEN</x:v>
      </x:c>
    </x:row>
    <x:row r="1147">
      <x:c r="B1147" s="7" t="str">
        <x:v>AG-01141</x:v>
      </x:c>
      <x:c r="C1147" s="7" t="str">
        <x:v>PEA-A-X3</x:v>
      </x:c>
      <x:c r="D1147" s="7" t="str">
        <x:v>factory calibration</x:v>
      </x:c>
      <x:c r="E1147" s="7" t="str">
        <x:v>CAL-CH-PEA-A-X3-20-2</x:v>
      </x:c>
      <x:c r="F1147" s="7" t="str">
        <x:f>'Calibration Records'!M410</x:f>
        <x:v>OPEN</x:v>
      </x:c>
    </x:row>
    <x:row r="1148">
      <x:c r="B1148" s="7" t="str">
        <x:v>AG-01142</x:v>
      </x:c>
      <x:c r="C1148" s="7" t="str">
        <x:v>PEA-A-X3</x:v>
      </x:c>
      <x:c r="D1148" s="7" t="str">
        <x:v>factory calibration</x:v>
      </x:c>
      <x:c r="E1148" s="7" t="str">
        <x:v>CAL-CH-PEA-A-X3-20-3</x:v>
      </x:c>
      <x:c r="F1148" s="7" t="str">
        <x:f>'Calibration Records'!M411</x:f>
        <x:v>OPEN</x:v>
      </x:c>
    </x:row>
    <x:row r="1149">
      <x:c r="B1149" s="7" t="str">
        <x:v>AG-01143</x:v>
      </x:c>
      <x:c r="C1149" s="7" t="str">
        <x:v>PEA-A-X3</x:v>
      </x:c>
      <x:c r="D1149" s="7" t="str">
        <x:v>factory calibration</x:v>
      </x:c>
      <x:c r="E1149" s="7" t="str">
        <x:v>CAL-CH-PEA-A-X3-20-4</x:v>
      </x:c>
      <x:c r="F1149" s="7" t="str">
        <x:f>'Calibration Records'!M412</x:f>
        <x:v>OPEN</x:v>
      </x:c>
    </x:row>
    <x:row r="1150">
      <x:c r="B1150" s="7" t="str">
        <x:v>AG-01144</x:v>
      </x:c>
      <x:c r="C1150" s="7" t="str">
        <x:v>PEA-A-X3</x:v>
      </x:c>
      <x:c r="D1150" s="7" t="str">
        <x:v>factory calibration</x:v>
      </x:c>
      <x:c r="E1150" s="7" t="str">
        <x:v>CAL-CH-PEA-A-X3-20-5</x:v>
      </x:c>
      <x:c r="F1150" s="7" t="str">
        <x:f>'Calibration Records'!M413</x:f>
        <x:v>OPEN</x:v>
      </x:c>
    </x:row>
    <x:row r="1151">
      <x:c r="B1151" s="7" t="str">
        <x:v>AG-01145</x:v>
      </x:c>
      <x:c r="C1151" s="7" t="str">
        <x:v>PEA-A-X3</x:v>
      </x:c>
      <x:c r="D1151" s="7" t="str">
        <x:v>factory calibration</x:v>
      </x:c>
      <x:c r="E1151" s="7" t="str">
        <x:v>CAL-CH-PEA-A-X3-20-6</x:v>
      </x:c>
      <x:c r="F1151" s="7" t="str">
        <x:f>'Calibration Records'!M414</x:f>
        <x:v>OPEN</x:v>
      </x:c>
    </x:row>
    <x:row r="1152">
      <x:c r="B1152" s="7" t="str">
        <x:v>AG-01146</x:v>
      </x:c>
      <x:c r="C1152" s="7" t="str">
        <x:v>PEA-A-X3</x:v>
      </x:c>
      <x:c r="D1152" s="7" t="str">
        <x:v>factory calibration</x:v>
      </x:c>
      <x:c r="E1152" s="7" t="str">
        <x:v>CAL-CH-PEA-A-X3-21-1</x:v>
      </x:c>
      <x:c r="F1152" s="7" t="str">
        <x:f>'Calibration Records'!M415</x:f>
        <x:v>OPEN</x:v>
      </x:c>
    </x:row>
    <x:row r="1153">
      <x:c r="B1153" s="7" t="str">
        <x:v>AG-01147</x:v>
      </x:c>
      <x:c r="C1153" s="7" t="str">
        <x:v>PEA-A-X3</x:v>
      </x:c>
      <x:c r="D1153" s="7" t="str">
        <x:v>factory calibration</x:v>
      </x:c>
      <x:c r="E1153" s="7" t="str">
        <x:v>CAL-CH-PEA-A-X3-21-2</x:v>
      </x:c>
      <x:c r="F1153" s="7" t="str">
        <x:f>'Calibration Records'!M416</x:f>
        <x:v>OPEN</x:v>
      </x:c>
    </x:row>
    <x:row r="1154">
      <x:c r="B1154" s="7" t="str">
        <x:v>AG-01148</x:v>
      </x:c>
      <x:c r="C1154" s="7" t="str">
        <x:v>PEA-A-X3</x:v>
      </x:c>
      <x:c r="D1154" s="7" t="str">
        <x:v>factory calibration</x:v>
      </x:c>
      <x:c r="E1154" s="7" t="str">
        <x:v>CAL-CH-PEA-A-X3-21-3</x:v>
      </x:c>
      <x:c r="F1154" s="7" t="str">
        <x:f>'Calibration Records'!M417</x:f>
        <x:v>OPEN</x:v>
      </x:c>
    </x:row>
    <x:row r="1155">
      <x:c r="B1155" s="7" t="str">
        <x:v>AG-01149</x:v>
      </x:c>
      <x:c r="C1155" s="7" t="str">
        <x:v>PEA-A-X3</x:v>
      </x:c>
      <x:c r="D1155" s="7" t="str">
        <x:v>factory calibration</x:v>
      </x:c>
      <x:c r="E1155" s="7" t="str">
        <x:v>CAL-CH-PEA-A-X3-21-4</x:v>
      </x:c>
      <x:c r="F1155" s="7" t="str">
        <x:f>'Calibration Records'!M418</x:f>
        <x:v>OPEN</x:v>
      </x:c>
    </x:row>
    <x:row r="1156">
      <x:c r="B1156" s="7" t="str">
        <x:v>AG-01150</x:v>
      </x:c>
      <x:c r="C1156" s="7" t="str">
        <x:v>PEA-A-X3</x:v>
      </x:c>
      <x:c r="D1156" s="7" t="str">
        <x:v>factory calibration</x:v>
      </x:c>
      <x:c r="E1156" s="7" t="str">
        <x:v>CAL-CH-PEA-A-X3-21-5</x:v>
      </x:c>
      <x:c r="F1156" s="7" t="str">
        <x:f>'Calibration Records'!M419</x:f>
        <x:v>OPEN</x:v>
      </x:c>
    </x:row>
    <x:row r="1157">
      <x:c r="B1157" s="7" t="str">
        <x:v>AG-01151</x:v>
      </x:c>
      <x:c r="C1157" s="7" t="str">
        <x:v>PEA-A-X3</x:v>
      </x:c>
      <x:c r="D1157" s="7" t="str">
        <x:v>factory calibration</x:v>
      </x:c>
      <x:c r="E1157" s="7" t="str">
        <x:v>CAL-CH-PEA-A-X3-21-6</x:v>
      </x:c>
      <x:c r="F1157" s="7" t="str">
        <x:f>'Calibration Records'!M420</x:f>
        <x:v>OPEN</x:v>
      </x:c>
    </x:row>
    <x:row r="1158">
      <x:c r="B1158" s="7" t="str">
        <x:v>AG-01152</x:v>
      </x:c>
      <x:c r="C1158" s="7" t="str">
        <x:v>PEA-A-X3</x:v>
      </x:c>
      <x:c r="D1158" s="7" t="str">
        <x:v>factory calibration</x:v>
      </x:c>
      <x:c r="E1158" s="7" t="str">
        <x:v>CAL-CH-PEA-A-X3-22-1</x:v>
      </x:c>
      <x:c r="F1158" s="7" t="str">
        <x:f>'Calibration Records'!M421</x:f>
        <x:v>OPEN</x:v>
      </x:c>
    </x:row>
    <x:row r="1159">
      <x:c r="B1159" s="7" t="str">
        <x:v>AG-01153</x:v>
      </x:c>
      <x:c r="C1159" s="7" t="str">
        <x:v>PEA-A-X3</x:v>
      </x:c>
      <x:c r="D1159" s="7" t="str">
        <x:v>factory calibration</x:v>
      </x:c>
      <x:c r="E1159" s="7" t="str">
        <x:v>CAL-CH-PEA-A-X3-22-2</x:v>
      </x:c>
      <x:c r="F1159" s="7" t="str">
        <x:f>'Calibration Records'!M422</x:f>
        <x:v>OPEN</x:v>
      </x:c>
    </x:row>
    <x:row r="1160">
      <x:c r="B1160" s="7" t="str">
        <x:v>AG-01154</x:v>
      </x:c>
      <x:c r="C1160" s="7" t="str">
        <x:v>PEA-A-X3</x:v>
      </x:c>
      <x:c r="D1160" s="7" t="str">
        <x:v>factory calibration</x:v>
      </x:c>
      <x:c r="E1160" s="7" t="str">
        <x:v>CAL-CH-PEA-A-X3-22-3</x:v>
      </x:c>
      <x:c r="F1160" s="7" t="str">
        <x:f>'Calibration Records'!M423</x:f>
        <x:v>OPEN</x:v>
      </x:c>
    </x:row>
    <x:row r="1161">
      <x:c r="B1161" s="7" t="str">
        <x:v>AG-01155</x:v>
      </x:c>
      <x:c r="C1161" s="7" t="str">
        <x:v>PEA-A-X3</x:v>
      </x:c>
      <x:c r="D1161" s="7" t="str">
        <x:v>factory calibration</x:v>
      </x:c>
      <x:c r="E1161" s="7" t="str">
        <x:v>CAL-CH-PEA-A-X3-22-4</x:v>
      </x:c>
      <x:c r="F1161" s="7" t="str">
        <x:f>'Calibration Records'!M424</x:f>
        <x:v>OPEN</x:v>
      </x:c>
    </x:row>
    <x:row r="1162">
      <x:c r="B1162" s="7" t="str">
        <x:v>AG-01156</x:v>
      </x:c>
      <x:c r="C1162" s="7" t="str">
        <x:v>PEA-A-X3</x:v>
      </x:c>
      <x:c r="D1162" s="7" t="str">
        <x:v>factory calibration</x:v>
      </x:c>
      <x:c r="E1162" s="7" t="str">
        <x:v>CAL-CH-PEA-A-X3-22-5</x:v>
      </x:c>
      <x:c r="F1162" s="7" t="str">
        <x:f>'Calibration Records'!M425</x:f>
        <x:v>OPEN</x:v>
      </x:c>
    </x:row>
    <x:row r="1163">
      <x:c r="B1163" s="7" t="str">
        <x:v>AG-01157</x:v>
      </x:c>
      <x:c r="C1163" s="7" t="str">
        <x:v>PEA-A-X3</x:v>
      </x:c>
      <x:c r="D1163" s="7" t="str">
        <x:v>factory calibration</x:v>
      </x:c>
      <x:c r="E1163" s="7" t="str">
        <x:v>CAL-CH-PEA-A-X3-22-6</x:v>
      </x:c>
      <x:c r="F1163" s="7" t="str">
        <x:f>'Calibration Records'!M426</x:f>
        <x:v>OPEN</x:v>
      </x:c>
    </x:row>
    <x:row r="1164">
      <x:c r="B1164" s="7" t="str">
        <x:v>AG-01158</x:v>
      </x:c>
      <x:c r="C1164" s="7" t="str">
        <x:v>PEA-A-X3</x:v>
      </x:c>
      <x:c r="D1164" s="7" t="str">
        <x:v>factory calibration</x:v>
      </x:c>
      <x:c r="E1164" s="7" t="str">
        <x:v>CAL-CH-PEA-A-X3-23-1</x:v>
      </x:c>
      <x:c r="F1164" s="7" t="str">
        <x:f>'Calibration Records'!M427</x:f>
        <x:v>OPEN</x:v>
      </x:c>
    </x:row>
    <x:row r="1165">
      <x:c r="B1165" s="7" t="str">
        <x:v>AG-01159</x:v>
      </x:c>
      <x:c r="C1165" s="7" t="str">
        <x:v>PEA-A-X3</x:v>
      </x:c>
      <x:c r="D1165" s="7" t="str">
        <x:v>factory calibration</x:v>
      </x:c>
      <x:c r="E1165" s="7" t="str">
        <x:v>CAL-CH-PEA-A-X3-23-2</x:v>
      </x:c>
      <x:c r="F1165" s="7" t="str">
        <x:f>'Calibration Records'!M428</x:f>
        <x:v>OPEN</x:v>
      </x:c>
    </x:row>
    <x:row r="1166">
      <x:c r="B1166" s="7" t="str">
        <x:v>AG-01160</x:v>
      </x:c>
      <x:c r="C1166" s="7" t="str">
        <x:v>PEA-A-X3</x:v>
      </x:c>
      <x:c r="D1166" s="7" t="str">
        <x:v>factory calibration</x:v>
      </x:c>
      <x:c r="E1166" s="7" t="str">
        <x:v>CAL-CH-PEA-A-X3-23-3</x:v>
      </x:c>
      <x:c r="F1166" s="7" t="str">
        <x:f>'Calibration Records'!M429</x:f>
        <x:v>OPEN</x:v>
      </x:c>
    </x:row>
    <x:row r="1167">
      <x:c r="B1167" s="7" t="str">
        <x:v>AG-01161</x:v>
      </x:c>
      <x:c r="C1167" s="7" t="str">
        <x:v>PEA-A-X3</x:v>
      </x:c>
      <x:c r="D1167" s="7" t="str">
        <x:v>factory calibration</x:v>
      </x:c>
      <x:c r="E1167" s="7" t="str">
        <x:v>CAL-CH-PEA-A-X3-23-4</x:v>
      </x:c>
      <x:c r="F1167" s="7" t="str">
        <x:f>'Calibration Records'!M430</x:f>
        <x:v>OPEN</x:v>
      </x:c>
    </x:row>
    <x:row r="1168">
      <x:c r="B1168" s="7" t="str">
        <x:v>AG-01162</x:v>
      </x:c>
      <x:c r="C1168" s="7" t="str">
        <x:v>PEA-A-X3</x:v>
      </x:c>
      <x:c r="D1168" s="7" t="str">
        <x:v>factory calibration</x:v>
      </x:c>
      <x:c r="E1168" s="7" t="str">
        <x:v>CAL-CH-PEA-A-X3-23-5</x:v>
      </x:c>
      <x:c r="F1168" s="7" t="str">
        <x:f>'Calibration Records'!M431</x:f>
        <x:v>OPEN</x:v>
      </x:c>
    </x:row>
    <x:row r="1169">
      <x:c r="B1169" s="7" t="str">
        <x:v>AG-01163</x:v>
      </x:c>
      <x:c r="C1169" s="7" t="str">
        <x:v>PEA-A-X3</x:v>
      </x:c>
      <x:c r="D1169" s="7" t="str">
        <x:v>factory calibration</x:v>
      </x:c>
      <x:c r="E1169" s="7" t="str">
        <x:v>CAL-CH-PEA-A-X3-23-6</x:v>
      </x:c>
      <x:c r="F1169" s="7" t="str">
        <x:f>'Calibration Records'!M432</x:f>
        <x:v>OPEN</x:v>
      </x:c>
    </x:row>
    <x:row r="1170">
      <x:c r="B1170" s="7" t="str">
        <x:v>AG-01164</x:v>
      </x:c>
      <x:c r="C1170" s="7" t="str">
        <x:v>PEA-A-X3</x:v>
      </x:c>
      <x:c r="D1170" s="7" t="str">
        <x:v>factory calibration</x:v>
      </x:c>
      <x:c r="E1170" s="7" t="str">
        <x:v>CAL-CH-PEA-A-X3-24-1</x:v>
      </x:c>
      <x:c r="F1170" s="7" t="str">
        <x:f>'Calibration Records'!M433</x:f>
        <x:v>OPEN</x:v>
      </x:c>
    </x:row>
    <x:row r="1171">
      <x:c r="B1171" s="7" t="str">
        <x:v>AG-01165</x:v>
      </x:c>
      <x:c r="C1171" s="7" t="str">
        <x:v>PEA-A-X3</x:v>
      </x:c>
      <x:c r="D1171" s="7" t="str">
        <x:v>factory calibration</x:v>
      </x:c>
      <x:c r="E1171" s="7" t="str">
        <x:v>CAL-CH-PEA-A-X3-24-2</x:v>
      </x:c>
      <x:c r="F1171" s="7" t="str">
        <x:f>'Calibration Records'!M434</x:f>
        <x:v>OPEN</x:v>
      </x:c>
    </x:row>
    <x:row r="1172">
      <x:c r="B1172" s="7" t="str">
        <x:v>AG-01166</x:v>
      </x:c>
      <x:c r="C1172" s="7" t="str">
        <x:v>PEA-A-X3</x:v>
      </x:c>
      <x:c r="D1172" s="7" t="str">
        <x:v>factory calibration</x:v>
      </x:c>
      <x:c r="E1172" s="7" t="str">
        <x:v>CAL-CH-PEA-A-X3-24-3</x:v>
      </x:c>
      <x:c r="F1172" s="7" t="str">
        <x:f>'Calibration Records'!M435</x:f>
        <x:v>OPEN</x:v>
      </x:c>
    </x:row>
    <x:row r="1173">
      <x:c r="B1173" s="7" t="str">
        <x:v>AG-01167</x:v>
      </x:c>
      <x:c r="C1173" s="7" t="str">
        <x:v>PEA-A-X3</x:v>
      </x:c>
      <x:c r="D1173" s="7" t="str">
        <x:v>factory calibration</x:v>
      </x:c>
      <x:c r="E1173" s="7" t="str">
        <x:v>CAL-CH-PEA-A-X3-24-4</x:v>
      </x:c>
      <x:c r="F1173" s="7" t="str">
        <x:f>'Calibration Records'!M436</x:f>
        <x:v>OPEN</x:v>
      </x:c>
    </x:row>
    <x:row r="1174">
      <x:c r="B1174" s="7" t="str">
        <x:v>AG-01168</x:v>
      </x:c>
      <x:c r="C1174" s="7" t="str">
        <x:v>PEA-A-X3</x:v>
      </x:c>
      <x:c r="D1174" s="7" t="str">
        <x:v>factory calibration</x:v>
      </x:c>
      <x:c r="E1174" s="7" t="str">
        <x:v>CAL-CH-PEA-A-X3-24-5</x:v>
      </x:c>
      <x:c r="F1174" s="7" t="str">
        <x:f>'Calibration Records'!M437</x:f>
        <x:v>OPEN</x:v>
      </x:c>
    </x:row>
    <x:row r="1175">
      <x:c r="B1175" s="7" t="str">
        <x:v>AG-01169</x:v>
      </x:c>
      <x:c r="C1175" s="7" t="str">
        <x:v>PEA-A-X3</x:v>
      </x:c>
      <x:c r="D1175" s="7" t="str">
        <x:v>factory calibration</x:v>
      </x:c>
      <x:c r="E1175" s="7" t="str">
        <x:v>CAL-CH-PEA-A-X3-24-6</x:v>
      </x:c>
      <x:c r="F1175" s="7" t="str">
        <x:f>'Calibration Records'!M438</x:f>
        <x:v>OPEN</x:v>
      </x:c>
    </x:row>
    <x:row r="1176">
      <x:c r="B1176" s="7" t="str">
        <x:v>AG-01170</x:v>
      </x:c>
      <x:c r="C1176" s="7" t="str">
        <x:v>PEA-A-X3</x:v>
      </x:c>
      <x:c r="D1176" s="7" t="str">
        <x:v>article master</x:v>
      </x:c>
      <x:c r="E1176" s="7" t="str">
        <x:v>PEA-A-X3</x:v>
      </x:c>
      <x:c r="F1176" s="7" t="str">
        <x:f>'Article Population'!Q9</x:f>
        <x:v>OPEN</x:v>
      </x:c>
    </x:row>
    <x:row r="1177">
      <x:c r="B1177" s="7" t="str">
        <x:v>AG-01171</x:v>
      </x:c>
      <x:c r="C1177" s="7" t="str">
        <x:v>PEA-A-Y1</x:v>
      </x:c>
      <x:c r="D1177" s="7" t="str">
        <x:v>lineage capsule</x:v>
      </x:c>
      <x:c r="E1177" s="7" t="str">
        <x:v>BL-Y</x:v>
      </x:c>
      <x:c r="F1177" s="7" t="str">
        <x:f>'Baseline Package'!F8</x:f>
        <x:v>OPEN</x:v>
      </x:c>
    </x:row>
    <x:row r="1178">
      <x:c r="B1178" s="7" t="str">
        <x:v>AG-01172</x:v>
      </x:c>
      <x:c r="C1178" s="7" t="str">
        <x:v>PEA-A-Y1</x:v>
      </x:c>
      <x:c r="D1178" s="7" t="str">
        <x:v>builder qualification</x:v>
      </x:c>
      <x:c r="E1178" s="7" t="str">
        <x:v>BLD-A</x:v>
      </x:c>
      <x:c r="F1178" s="7" t="str">
        <x:f>Builders!K7</x:f>
        <x:v>OPEN</x:v>
      </x:c>
    </x:row>
    <x:row r="1179">
      <x:c r="B1179" s="7" t="str">
        <x:v>AG-01173</x:v>
      </x:c>
      <x:c r="C1179" s="7" t="str">
        <x:v>PEA-A-Y1</x:v>
      </x:c>
      <x:c r="D1179" s="7" t="str">
        <x:v>material split</x:v>
      </x:c>
      <x:c r="E1179" s="7" t="str">
        <x:v>SPLIT-PEA-A-Y1</x:v>
      </x:c>
      <x:c r="F1179" s="7" t="str">
        <x:f>'Material Matrix'!K10</x:f>
        <x:v>OPEN</x:v>
      </x:c>
    </x:row>
    <x:row r="1180">
      <x:c r="B1180" s="7" t="str">
        <x:v>AG-01174</x:v>
      </x:c>
      <x:c r="C1180" s="7" t="str">
        <x:v>PEA-A-Y1</x:v>
      </x:c>
      <x:c r="D1180" s="7" t="str">
        <x:v>build sequence</x:v>
      </x:c>
      <x:c r="E1180" s="7" t="str">
        <x:v>SEQ-PEA-A-Y1</x:v>
      </x:c>
      <x:c r="F1180" s="7" t="str">
        <x:f>'Build Sequence'!L10</x:f>
        <x:v>OPEN</x:v>
      </x:c>
    </x:row>
    <x:row r="1181">
      <x:c r="B1181" s="7" t="str">
        <x:v>AG-01175</x:v>
      </x:c>
      <x:c r="C1181" s="7" t="str">
        <x:v>PEA-A-Y1</x:v>
      </x:c>
      <x:c r="D1181" s="7" t="str">
        <x:v>section traveler</x:v>
      </x:c>
      <x:c r="E1181" s="7" t="str">
        <x:v>TRV-PEA-A-Y1-01</x:v>
      </x:c>
      <x:c r="F1181" s="7" t="str">
        <x:f>'Section Travelers'!L67</x:f>
        <x:v>OPEN</x:v>
      </x:c>
    </x:row>
    <x:row r="1182">
      <x:c r="B1182" s="7" t="str">
        <x:v>AG-01176</x:v>
      </x:c>
      <x:c r="C1182" s="7" t="str">
        <x:v>PEA-A-Y1</x:v>
      </x:c>
      <x:c r="D1182" s="7" t="str">
        <x:v>section traveler</x:v>
      </x:c>
      <x:c r="E1182" s="7" t="str">
        <x:v>TRV-PEA-A-Y1-02</x:v>
      </x:c>
      <x:c r="F1182" s="7" t="str">
        <x:f>'Section Travelers'!L68</x:f>
        <x:v>OPEN</x:v>
      </x:c>
    </x:row>
    <x:row r="1183">
      <x:c r="B1183" s="7" t="str">
        <x:v>AG-01177</x:v>
      </x:c>
      <x:c r="C1183" s="7" t="str">
        <x:v>PEA-A-Y1</x:v>
      </x:c>
      <x:c r="D1183" s="7" t="str">
        <x:v>section traveler</x:v>
      </x:c>
      <x:c r="E1183" s="7" t="str">
        <x:v>TRV-PEA-A-Y1-03</x:v>
      </x:c>
      <x:c r="F1183" s="7" t="str">
        <x:f>'Section Travelers'!L69</x:f>
        <x:v>OPEN</x:v>
      </x:c>
    </x:row>
    <x:row r="1184">
      <x:c r="B1184" s="7" t="str">
        <x:v>AG-01178</x:v>
      </x:c>
      <x:c r="C1184" s="7" t="str">
        <x:v>PEA-A-Y1</x:v>
      </x:c>
      <x:c r="D1184" s="7" t="str">
        <x:v>section traveler</x:v>
      </x:c>
      <x:c r="E1184" s="7" t="str">
        <x:v>TRV-PEA-A-Y1-04</x:v>
      </x:c>
      <x:c r="F1184" s="7" t="str">
        <x:f>'Section Travelers'!L70</x:f>
        <x:v>OPEN</x:v>
      </x:c>
    </x:row>
    <x:row r="1185">
      <x:c r="B1185" s="7" t="str">
        <x:v>AG-01179</x:v>
      </x:c>
      <x:c r="C1185" s="7" t="str">
        <x:v>PEA-A-Y1</x:v>
      </x:c>
      <x:c r="D1185" s="7" t="str">
        <x:v>section traveler</x:v>
      </x:c>
      <x:c r="E1185" s="7" t="str">
        <x:v>TRV-PEA-A-Y1-05</x:v>
      </x:c>
      <x:c r="F1185" s="7" t="str">
        <x:f>'Section Travelers'!L71</x:f>
        <x:v>OPEN</x:v>
      </x:c>
    </x:row>
    <x:row r="1186">
      <x:c r="B1186" s="7" t="str">
        <x:v>AG-01180</x:v>
      </x:c>
      <x:c r="C1186" s="7" t="str">
        <x:v>PEA-A-Y1</x:v>
      </x:c>
      <x:c r="D1186" s="7" t="str">
        <x:v>section traveler</x:v>
      </x:c>
      <x:c r="E1186" s="7" t="str">
        <x:v>TRV-PEA-A-Y1-06</x:v>
      </x:c>
      <x:c r="F1186" s="7" t="str">
        <x:f>'Section Travelers'!L72</x:f>
        <x:v>OPEN</x:v>
      </x:c>
    </x:row>
    <x:row r="1187">
      <x:c r="B1187" s="7" t="str">
        <x:v>AG-01181</x:v>
      </x:c>
      <x:c r="C1187" s="7" t="str">
        <x:v>PEA-A-Y1</x:v>
      </x:c>
      <x:c r="D1187" s="7" t="str">
        <x:v>section traveler</x:v>
      </x:c>
      <x:c r="E1187" s="7" t="str">
        <x:v>TRV-PEA-A-Y1-07</x:v>
      </x:c>
      <x:c r="F1187" s="7" t="str">
        <x:f>'Section Travelers'!L73</x:f>
        <x:v>OPEN</x:v>
      </x:c>
    </x:row>
    <x:row r="1188">
      <x:c r="B1188" s="7" t="str">
        <x:v>AG-01182</x:v>
      </x:c>
      <x:c r="C1188" s="7" t="str">
        <x:v>PEA-A-Y1</x:v>
      </x:c>
      <x:c r="D1188" s="7" t="str">
        <x:v>section traveler</x:v>
      </x:c>
      <x:c r="E1188" s="7" t="str">
        <x:v>TRV-PEA-A-Y1-08</x:v>
      </x:c>
      <x:c r="F1188" s="7" t="str">
        <x:f>'Section Travelers'!L74</x:f>
        <x:v>OPEN</x:v>
      </x:c>
    </x:row>
    <x:row r="1189">
      <x:c r="B1189" s="7" t="str">
        <x:v>AG-01183</x:v>
      </x:c>
      <x:c r="C1189" s="7" t="str">
        <x:v>PEA-A-Y1</x:v>
      </x:c>
      <x:c r="D1189" s="7" t="str">
        <x:v>section traveler</x:v>
      </x:c>
      <x:c r="E1189" s="7" t="str">
        <x:v>TRV-PEA-A-Y1-09</x:v>
      </x:c>
      <x:c r="F1189" s="7" t="str">
        <x:f>'Section Travelers'!L75</x:f>
        <x:v>OPEN</x:v>
      </x:c>
    </x:row>
    <x:row r="1190">
      <x:c r="B1190" s="7" t="str">
        <x:v>AG-01184</x:v>
      </x:c>
      <x:c r="C1190" s="7" t="str">
        <x:v>PEA-A-Y1</x:v>
      </x:c>
      <x:c r="D1190" s="7" t="str">
        <x:v>section traveler</x:v>
      </x:c>
      <x:c r="E1190" s="7" t="str">
        <x:v>TRV-PEA-A-Y1-10</x:v>
      </x:c>
      <x:c r="F1190" s="7" t="str">
        <x:f>'Section Travelers'!L76</x:f>
        <x:v>OPEN</x:v>
      </x:c>
    </x:row>
    <x:row r="1191">
      <x:c r="B1191" s="7" t="str">
        <x:v>AG-01185</x:v>
      </x:c>
      <x:c r="C1191" s="7" t="str">
        <x:v>PEA-A-Y1</x:v>
      </x:c>
      <x:c r="D1191" s="7" t="str">
        <x:v>section traveler</x:v>
      </x:c>
      <x:c r="E1191" s="7" t="str">
        <x:v>TRV-PEA-A-Y1-11</x:v>
      </x:c>
      <x:c r="F1191" s="7" t="str">
        <x:f>'Section Travelers'!L77</x:f>
        <x:v>OPEN</x:v>
      </x:c>
    </x:row>
    <x:row r="1192">
      <x:c r="B1192" s="7" t="str">
        <x:v>AG-01186</x:v>
      </x:c>
      <x:c r="C1192" s="7" t="str">
        <x:v>PEA-A-Y1</x:v>
      </x:c>
      <x:c r="D1192" s="7" t="str">
        <x:v>section traveler</x:v>
      </x:c>
      <x:c r="E1192" s="7" t="str">
        <x:v>TRV-PEA-A-Y1-12</x:v>
      </x:c>
      <x:c r="F1192" s="7" t="str">
        <x:f>'Section Travelers'!L78</x:f>
        <x:v>OPEN</x:v>
      </x:c>
    </x:row>
    <x:row r="1193">
      <x:c r="B1193" s="7" t="str">
        <x:v>AG-01187</x:v>
      </x:c>
      <x:c r="C1193" s="7" t="str">
        <x:v>PEA-A-Y1</x:v>
      </x:c>
      <x:c r="D1193" s="7" t="str">
        <x:v>section traveler</x:v>
      </x:c>
      <x:c r="E1193" s="7" t="str">
        <x:v>TRV-PEA-A-Y1-13</x:v>
      </x:c>
      <x:c r="F1193" s="7" t="str">
        <x:f>'Section Travelers'!L79</x:f>
        <x:v>OPEN</x:v>
      </x:c>
    </x:row>
    <x:row r="1194">
      <x:c r="B1194" s="7" t="str">
        <x:v>AG-01188</x:v>
      </x:c>
      <x:c r="C1194" s="7" t="str">
        <x:v>PEA-A-Y1</x:v>
      </x:c>
      <x:c r="D1194" s="7" t="str">
        <x:v>section traveler</x:v>
      </x:c>
      <x:c r="E1194" s="7" t="str">
        <x:v>TRV-PEA-A-Y1-14</x:v>
      </x:c>
      <x:c r="F1194" s="7" t="str">
        <x:f>'Section Travelers'!L80</x:f>
        <x:v>OPEN</x:v>
      </x:c>
    </x:row>
    <x:row r="1195">
      <x:c r="B1195" s="7" t="str">
        <x:v>AG-01189</x:v>
      </x:c>
      <x:c r="C1195" s="7" t="str">
        <x:v>PEA-A-Y1</x:v>
      </x:c>
      <x:c r="D1195" s="7" t="str">
        <x:v>section traveler</x:v>
      </x:c>
      <x:c r="E1195" s="7" t="str">
        <x:v>TRV-PEA-A-Y1-15</x:v>
      </x:c>
      <x:c r="F1195" s="7" t="str">
        <x:f>'Section Travelers'!L81</x:f>
        <x:v>OPEN</x:v>
      </x:c>
    </x:row>
    <x:row r="1196">
      <x:c r="B1196" s="7" t="str">
        <x:v>AG-01190</x:v>
      </x:c>
      <x:c r="C1196" s="7" t="str">
        <x:v>PEA-A-Y1</x:v>
      </x:c>
      <x:c r="D1196" s="7" t="str">
        <x:v>section traveler</x:v>
      </x:c>
      <x:c r="E1196" s="7" t="str">
        <x:v>TRV-PEA-A-Y1-16</x:v>
      </x:c>
      <x:c r="F1196" s="7" t="str">
        <x:f>'Section Travelers'!L82</x:f>
        <x:v>OPEN</x:v>
      </x:c>
    </x:row>
    <x:row r="1197">
      <x:c r="B1197" s="7" t="str">
        <x:v>AG-01191</x:v>
      </x:c>
      <x:c r="C1197" s="7" t="str">
        <x:v>PEA-A-Y1</x:v>
      </x:c>
      <x:c r="D1197" s="7" t="str">
        <x:v>section traveler</x:v>
      </x:c>
      <x:c r="E1197" s="7" t="str">
        <x:v>TRV-PEA-A-Y1-17</x:v>
      </x:c>
      <x:c r="F1197" s="7" t="str">
        <x:f>'Section Travelers'!L83</x:f>
        <x:v>OPEN</x:v>
      </x:c>
    </x:row>
    <x:row r="1198">
      <x:c r="B1198" s="7" t="str">
        <x:v>AG-01192</x:v>
      </x:c>
      <x:c r="C1198" s="7" t="str">
        <x:v>PEA-A-Y1</x:v>
      </x:c>
      <x:c r="D1198" s="7" t="str">
        <x:v>section traveler</x:v>
      </x:c>
      <x:c r="E1198" s="7" t="str">
        <x:v>TRV-PEA-A-Y1-18</x:v>
      </x:c>
      <x:c r="F1198" s="7" t="str">
        <x:f>'Section Travelers'!L84</x:f>
        <x:v>OPEN</x:v>
      </x:c>
    </x:row>
    <x:row r="1199">
      <x:c r="B1199" s="7" t="str">
        <x:v>AG-01193</x:v>
      </x:c>
      <x:c r="C1199" s="7" t="str">
        <x:v>PEA-A-Y1</x:v>
      </x:c>
      <x:c r="D1199" s="7" t="str">
        <x:v>section traveler</x:v>
      </x:c>
      <x:c r="E1199" s="7" t="str">
        <x:v>TRV-PEA-A-Y1-19</x:v>
      </x:c>
      <x:c r="F1199" s="7" t="str">
        <x:f>'Section Travelers'!L85</x:f>
        <x:v>OPEN</x:v>
      </x:c>
    </x:row>
    <x:row r="1200">
      <x:c r="B1200" s="7" t="str">
        <x:v>AG-01194</x:v>
      </x:c>
      <x:c r="C1200" s="7" t="str">
        <x:v>PEA-A-Y1</x:v>
      </x:c>
      <x:c r="D1200" s="7" t="str">
        <x:v>section traveler</x:v>
      </x:c>
      <x:c r="E1200" s="7" t="str">
        <x:v>TRV-PEA-A-Y1-20</x:v>
      </x:c>
      <x:c r="F1200" s="7" t="str">
        <x:f>'Section Travelers'!L86</x:f>
        <x:v>OPEN</x:v>
      </x:c>
    </x:row>
    <x:row r="1201">
      <x:c r="B1201" s="7" t="str">
        <x:v>AG-01195</x:v>
      </x:c>
      <x:c r="C1201" s="7" t="str">
        <x:v>PEA-A-Y1</x:v>
      </x:c>
      <x:c r="D1201" s="7" t="str">
        <x:v>material coupon</x:v>
      </x:c>
      <x:c r="E1201" s="7" t="str">
        <x:v>CPN-PEA-A-Y1-CJ-1</x:v>
      </x:c>
      <x:c r="F1201" s="7" t="str">
        <x:f>'Material Coupons'!K127</x:f>
        <x:v>OPEN</x:v>
      </x:c>
    </x:row>
    <x:row r="1202">
      <x:c r="B1202" s="7" t="str">
        <x:v>AG-01196</x:v>
      </x:c>
      <x:c r="C1202" s="7" t="str">
        <x:v>PEA-A-Y1</x:v>
      </x:c>
      <x:c r="D1202" s="7" t="str">
        <x:v>material coupon</x:v>
      </x:c>
      <x:c r="E1202" s="7" t="str">
        <x:v>CPN-PEA-A-Y1-CJ-2</x:v>
      </x:c>
      <x:c r="F1202" s="7" t="str">
        <x:f>'Material Coupons'!K128</x:f>
        <x:v>OPEN</x:v>
      </x:c>
    </x:row>
    <x:row r="1203">
      <x:c r="B1203" s="7" t="str">
        <x:v>AG-01197</x:v>
      </x:c>
      <x:c r="C1203" s="7" t="str">
        <x:v>PEA-A-Y1</x:v>
      </x:c>
      <x:c r="D1203" s="7" t="str">
        <x:v>material coupon</x:v>
      </x:c>
      <x:c r="E1203" s="7" t="str">
        <x:v>CPN-PEA-A-Y1-CJ-3</x:v>
      </x:c>
      <x:c r="F1203" s="7" t="str">
        <x:f>'Material Coupons'!K129</x:f>
        <x:v>OPEN</x:v>
      </x:c>
    </x:row>
    <x:row r="1204">
      <x:c r="B1204" s="7" t="str">
        <x:v>AG-01198</x:v>
      </x:c>
      <x:c r="C1204" s="7" t="str">
        <x:v>PEA-A-Y1</x:v>
      </x:c>
      <x:c r="D1204" s="7" t="str">
        <x:v>material coupon</x:v>
      </x:c>
      <x:c r="E1204" s="7" t="str">
        <x:v>CPN-PEA-A-Y1-CJ-4</x:v>
      </x:c>
      <x:c r="F1204" s="7" t="str">
        <x:f>'Material Coupons'!K130</x:f>
        <x:v>OPEN</x:v>
      </x:c>
    </x:row>
    <x:row r="1205">
      <x:c r="B1205" s="7" t="str">
        <x:v>AG-01199</x:v>
      </x:c>
      <x:c r="C1205" s="7" t="str">
        <x:v>PEA-A-Y1</x:v>
      </x:c>
      <x:c r="D1205" s="7" t="str">
        <x:v>material coupon</x:v>
      </x:c>
      <x:c r="E1205" s="7" t="str">
        <x:v>CPN-PEA-A-Y1-CJ-5</x:v>
      </x:c>
      <x:c r="F1205" s="7" t="str">
        <x:f>'Material Coupons'!K131</x:f>
        <x:v>OPEN</x:v>
      </x:c>
    </x:row>
    <x:row r="1206">
      <x:c r="B1206" s="7" t="str">
        <x:v>AG-01200</x:v>
      </x:c>
      <x:c r="C1206" s="7" t="str">
        <x:v>PEA-A-Y1</x:v>
      </x:c>
      <x:c r="D1206" s="7" t="str">
        <x:v>material coupon</x:v>
      </x:c>
      <x:c r="E1206" s="7" t="str">
        <x:v>CPN-PEA-A-Y1-CJ-6</x:v>
      </x:c>
      <x:c r="F1206" s="7" t="str">
        <x:f>'Material Coupons'!K132</x:f>
        <x:v>OPEN</x:v>
      </x:c>
    </x:row>
    <x:row r="1207">
      <x:c r="B1207" s="7" t="str">
        <x:v>AG-01201</x:v>
      </x:c>
      <x:c r="C1207" s="7" t="str">
        <x:v>PEA-A-Y1</x:v>
      </x:c>
      <x:c r="D1207" s="7" t="str">
        <x:v>material coupon</x:v>
      </x:c>
      <x:c r="E1207" s="7" t="str">
        <x:v>CPN-PEA-A-Y1-CJ-7</x:v>
      </x:c>
      <x:c r="F1207" s="7" t="str">
        <x:f>'Material Coupons'!K133</x:f>
        <x:v>OPEN</x:v>
      </x:c>
    </x:row>
    <x:row r="1208">
      <x:c r="B1208" s="7" t="str">
        <x:v>AG-01202</x:v>
      </x:c>
      <x:c r="C1208" s="7" t="str">
        <x:v>PEA-A-Y1</x:v>
      </x:c>
      <x:c r="D1208" s="7" t="str">
        <x:v>material coupon</x:v>
      </x:c>
      <x:c r="E1208" s="7" t="str">
        <x:v>CPN-PEA-A-Y1-CJ-8</x:v>
      </x:c>
      <x:c r="F1208" s="7" t="str">
        <x:f>'Material Coupons'!K134</x:f>
        <x:v>OPEN</x:v>
      </x:c>
    </x:row>
    <x:row r="1209">
      <x:c r="B1209" s="7" t="str">
        <x:v>AG-01203</x:v>
      </x:c>
      <x:c r="C1209" s="7" t="str">
        <x:v>PEA-A-Y1</x:v>
      </x:c>
      <x:c r="D1209" s="7" t="str">
        <x:v>material coupon</x:v>
      </x:c>
      <x:c r="E1209" s="7" t="str">
        <x:v>CPN-PEA-A-Y1-SE-1</x:v>
      </x:c>
      <x:c r="F1209" s="7" t="str">
        <x:f>'Material Coupons'!K135</x:f>
        <x:v>OPEN</x:v>
      </x:c>
    </x:row>
    <x:row r="1210">
      <x:c r="B1210" s="7" t="str">
        <x:v>AG-01204</x:v>
      </x:c>
      <x:c r="C1210" s="7" t="str">
        <x:v>PEA-A-Y1</x:v>
      </x:c>
      <x:c r="D1210" s="7" t="str">
        <x:v>material coupon</x:v>
      </x:c>
      <x:c r="E1210" s="7" t="str">
        <x:v>CPN-PEA-A-Y1-SE-2</x:v>
      </x:c>
      <x:c r="F1210" s="7" t="str">
        <x:f>'Material Coupons'!K136</x:f>
        <x:v>OPEN</x:v>
      </x:c>
    </x:row>
    <x:row r="1211">
      <x:c r="B1211" s="7" t="str">
        <x:v>AG-01205</x:v>
      </x:c>
      <x:c r="C1211" s="7" t="str">
        <x:v>PEA-A-Y1</x:v>
      </x:c>
      <x:c r="D1211" s="7" t="str">
        <x:v>material coupon</x:v>
      </x:c>
      <x:c r="E1211" s="7" t="str">
        <x:v>CPN-PEA-A-Y1-SE-3</x:v>
      </x:c>
      <x:c r="F1211" s="7" t="str">
        <x:f>'Material Coupons'!K137</x:f>
        <x:v>OPEN</x:v>
      </x:c>
    </x:row>
    <x:row r="1212">
      <x:c r="B1212" s="7" t="str">
        <x:v>AG-01206</x:v>
      </x:c>
      <x:c r="C1212" s="7" t="str">
        <x:v>PEA-A-Y1</x:v>
      </x:c>
      <x:c r="D1212" s="7" t="str">
        <x:v>material coupon</x:v>
      </x:c>
      <x:c r="E1212" s="7" t="str">
        <x:v>CPN-PEA-A-Y1-SE-4</x:v>
      </x:c>
      <x:c r="F1212" s="7" t="str">
        <x:f>'Material Coupons'!K138</x:f>
        <x:v>OPEN</x:v>
      </x:c>
    </x:row>
    <x:row r="1213">
      <x:c r="B1213" s="7" t="str">
        <x:v>AG-01207</x:v>
      </x:c>
      <x:c r="C1213" s="7" t="str">
        <x:v>PEA-A-Y1</x:v>
      </x:c>
      <x:c r="D1213" s="7" t="str">
        <x:v>material coupon</x:v>
      </x:c>
      <x:c r="E1213" s="7" t="str">
        <x:v>CPN-PEA-A-Y1-SE-5</x:v>
      </x:c>
      <x:c r="F1213" s="7" t="str">
        <x:f>'Material Coupons'!K139</x:f>
        <x:v>OPEN</x:v>
      </x:c>
    </x:row>
    <x:row r="1214">
      <x:c r="B1214" s="7" t="str">
        <x:v>AG-01208</x:v>
      </x:c>
      <x:c r="C1214" s="7" t="str">
        <x:v>PEA-A-Y1</x:v>
      </x:c>
      <x:c r="D1214" s="7" t="str">
        <x:v>material coupon</x:v>
      </x:c>
      <x:c r="E1214" s="7" t="str">
        <x:v>CPN-PEA-A-Y1-SE-6</x:v>
      </x:c>
      <x:c r="F1214" s="7" t="str">
        <x:f>'Material Coupons'!K140</x:f>
        <x:v>OPEN</x:v>
      </x:c>
    </x:row>
    <x:row r="1215">
      <x:c r="B1215" s="7" t="str">
        <x:v>AG-01209</x:v>
      </x:c>
      <x:c r="C1215" s="7" t="str">
        <x:v>PEA-A-Y1</x:v>
      </x:c>
      <x:c r="D1215" s="7" t="str">
        <x:v>material coupon</x:v>
      </x:c>
      <x:c r="E1215" s="7" t="str">
        <x:v>CPN-PEA-A-Y1-SE-7</x:v>
      </x:c>
      <x:c r="F1215" s="7" t="str">
        <x:f>'Material Coupons'!K141</x:f>
        <x:v>OPEN</x:v>
      </x:c>
    </x:row>
    <x:row r="1216">
      <x:c r="B1216" s="7" t="str">
        <x:v>AG-01210</x:v>
      </x:c>
      <x:c r="C1216" s="7" t="str">
        <x:v>PEA-A-Y1</x:v>
      </x:c>
      <x:c r="D1216" s="7" t="str">
        <x:v>material coupon</x:v>
      </x:c>
      <x:c r="E1216" s="7" t="str">
        <x:v>CPN-PEA-A-Y1-SE-8</x:v>
      </x:c>
      <x:c r="F1216" s="7" t="str">
        <x:f>'Material Coupons'!K142</x:f>
        <x:v>OPEN</x:v>
      </x:c>
    </x:row>
    <x:row r="1217">
      <x:c r="B1217" s="7" t="str">
        <x:v>AG-01211</x:v>
      </x:c>
      <x:c r="C1217" s="7" t="str">
        <x:v>PEA-A-Y1</x:v>
      </x:c>
      <x:c r="D1217" s="7" t="str">
        <x:v>material coupon</x:v>
      </x:c>
      <x:c r="E1217" s="7" t="str">
        <x:v>CPN-PEA-A-Y1-SF-1</x:v>
      </x:c>
      <x:c r="F1217" s="7" t="str">
        <x:f>'Material Coupons'!K143</x:f>
        <x:v>OPEN</x:v>
      </x:c>
    </x:row>
    <x:row r="1218">
      <x:c r="B1218" s="7" t="str">
        <x:v>AG-01212</x:v>
      </x:c>
      <x:c r="C1218" s="7" t="str">
        <x:v>PEA-A-Y1</x:v>
      </x:c>
      <x:c r="D1218" s="7" t="str">
        <x:v>material coupon</x:v>
      </x:c>
      <x:c r="E1218" s="7" t="str">
        <x:v>CPN-PEA-A-Y1-SF-2</x:v>
      </x:c>
      <x:c r="F1218" s="7" t="str">
        <x:f>'Material Coupons'!K144</x:f>
        <x:v>OPEN</x:v>
      </x:c>
    </x:row>
    <x:row r="1219">
      <x:c r="B1219" s="7" t="str">
        <x:v>AG-01213</x:v>
      </x:c>
      <x:c r="C1219" s="7" t="str">
        <x:v>PEA-A-Y1</x:v>
      </x:c>
      <x:c r="D1219" s="7" t="str">
        <x:v>material coupon</x:v>
      </x:c>
      <x:c r="E1219" s="7" t="str">
        <x:v>CPN-PEA-A-Y1-SF-3</x:v>
      </x:c>
      <x:c r="F1219" s="7" t="str">
        <x:f>'Material Coupons'!K145</x:f>
        <x:v>OPEN</x:v>
      </x:c>
    </x:row>
    <x:row r="1220">
      <x:c r="B1220" s="7" t="str">
        <x:v>AG-01214</x:v>
      </x:c>
      <x:c r="C1220" s="7" t="str">
        <x:v>PEA-A-Y1</x:v>
      </x:c>
      <x:c r="D1220" s="7" t="str">
        <x:v>material coupon</x:v>
      </x:c>
      <x:c r="E1220" s="7" t="str">
        <x:v>CPN-PEA-A-Y1-SF-4</x:v>
      </x:c>
      <x:c r="F1220" s="7" t="str">
        <x:f>'Material Coupons'!K146</x:f>
        <x:v>OPEN</x:v>
      </x:c>
    </x:row>
    <x:row r="1221">
      <x:c r="B1221" s="7" t="str">
        <x:v>AG-01215</x:v>
      </x:c>
      <x:c r="C1221" s="7" t="str">
        <x:v>PEA-A-Y1</x:v>
      </x:c>
      <x:c r="D1221" s="7" t="str">
        <x:v>material coupon</x:v>
      </x:c>
      <x:c r="E1221" s="7" t="str">
        <x:v>CPN-PEA-A-Y1-SF-5</x:v>
      </x:c>
      <x:c r="F1221" s="7" t="str">
        <x:f>'Material Coupons'!K147</x:f>
        <x:v>OPEN</x:v>
      </x:c>
    </x:row>
    <x:row r="1222">
      <x:c r="B1222" s="7" t="str">
        <x:v>AG-01216</x:v>
      </x:c>
      <x:c r="C1222" s="7" t="str">
        <x:v>PEA-A-Y1</x:v>
      </x:c>
      <x:c r="D1222" s="7" t="str">
        <x:v>material coupon</x:v>
      </x:c>
      <x:c r="E1222" s="7" t="str">
        <x:v>CPN-PEA-A-Y1-SF-6</x:v>
      </x:c>
      <x:c r="F1222" s="7" t="str">
        <x:f>'Material Coupons'!K148</x:f>
        <x:v>OPEN</x:v>
      </x:c>
    </x:row>
    <x:row r="1223">
      <x:c r="B1223" s="7" t="str">
        <x:v>AG-01217</x:v>
      </x:c>
      <x:c r="C1223" s="7" t="str">
        <x:v>PEA-A-Y1</x:v>
      </x:c>
      <x:c r="D1223" s="7" t="str">
        <x:v>material coupon</x:v>
      </x:c>
      <x:c r="E1223" s="7" t="str">
        <x:v>CPN-PEA-A-Y1-SF-7</x:v>
      </x:c>
      <x:c r="F1223" s="7" t="str">
        <x:f>'Material Coupons'!K149</x:f>
        <x:v>OPEN</x:v>
      </x:c>
    </x:row>
    <x:row r="1224">
      <x:c r="B1224" s="7" t="str">
        <x:v>AG-01218</x:v>
      </x:c>
      <x:c r="C1224" s="7" t="str">
        <x:v>PEA-A-Y1</x:v>
      </x:c>
      <x:c r="D1224" s="7" t="str">
        <x:v>material coupon</x:v>
      </x:c>
      <x:c r="E1224" s="7" t="str">
        <x:v>CPN-PEA-A-Y1-SF-8</x:v>
      </x:c>
      <x:c r="F1224" s="7" t="str">
        <x:f>'Material Coupons'!K150</x:f>
        <x:v>OPEN</x:v>
      </x:c>
    </x:row>
    <x:row r="1225">
      <x:c r="B1225" s="7" t="str">
        <x:v>AG-01219</x:v>
      </x:c>
      <x:c r="C1225" s="7" t="str">
        <x:v>PEA-A-Y1</x:v>
      </x:c>
      <x:c r="D1225" s="7" t="str">
        <x:v>material coupon</x:v>
      </x:c>
      <x:c r="E1225" s="7" t="str">
        <x:v>CPN-PEA-A-Y1-CP-1</x:v>
      </x:c>
      <x:c r="F1225" s="7" t="str">
        <x:f>'Material Coupons'!K151</x:f>
        <x:v>OPEN</x:v>
      </x:c>
    </x:row>
    <x:row r="1226">
      <x:c r="B1226" s="7" t="str">
        <x:v>AG-01220</x:v>
      </x:c>
      <x:c r="C1226" s="7" t="str">
        <x:v>PEA-A-Y1</x:v>
      </x:c>
      <x:c r="D1226" s="7" t="str">
        <x:v>material coupon</x:v>
      </x:c>
      <x:c r="E1226" s="7" t="str">
        <x:v>CPN-PEA-A-Y1-CP-2</x:v>
      </x:c>
      <x:c r="F1226" s="7" t="str">
        <x:f>'Material Coupons'!K152</x:f>
        <x:v>OPEN</x:v>
      </x:c>
    </x:row>
    <x:row r="1227">
      <x:c r="B1227" s="7" t="str">
        <x:v>AG-01221</x:v>
      </x:c>
      <x:c r="C1227" s="7" t="str">
        <x:v>PEA-A-Y1</x:v>
      </x:c>
      <x:c r="D1227" s="7" t="str">
        <x:v>material coupon</x:v>
      </x:c>
      <x:c r="E1227" s="7" t="str">
        <x:v>CPN-PEA-A-Y1-CP-3</x:v>
      </x:c>
      <x:c r="F1227" s="7" t="str">
        <x:f>'Material Coupons'!K153</x:f>
        <x:v>OPEN</x:v>
      </x:c>
    </x:row>
    <x:row r="1228">
      <x:c r="B1228" s="7" t="str">
        <x:v>AG-01222</x:v>
      </x:c>
      <x:c r="C1228" s="7" t="str">
        <x:v>PEA-A-Y1</x:v>
      </x:c>
      <x:c r="D1228" s="7" t="str">
        <x:v>material coupon</x:v>
      </x:c>
      <x:c r="E1228" s="7" t="str">
        <x:v>CPN-PEA-A-Y1-CP-4</x:v>
      </x:c>
      <x:c r="F1228" s="7" t="str">
        <x:f>'Material Coupons'!K154</x:f>
        <x:v>OPEN</x:v>
      </x:c>
    </x:row>
    <x:row r="1229">
      <x:c r="B1229" s="7" t="str">
        <x:v>AG-01223</x:v>
      </x:c>
      <x:c r="C1229" s="7" t="str">
        <x:v>PEA-A-Y1</x:v>
      </x:c>
      <x:c r="D1229" s="7" t="str">
        <x:v>material coupon</x:v>
      </x:c>
      <x:c r="E1229" s="7" t="str">
        <x:v>CPN-PEA-A-Y1-CP-5</x:v>
      </x:c>
      <x:c r="F1229" s="7" t="str">
        <x:f>'Material Coupons'!K155</x:f>
        <x:v>OPEN</x:v>
      </x:c>
    </x:row>
    <x:row r="1230">
      <x:c r="B1230" s="7" t="str">
        <x:v>AG-01224</x:v>
      </x:c>
      <x:c r="C1230" s="7" t="str">
        <x:v>PEA-A-Y1</x:v>
      </x:c>
      <x:c r="D1230" s="7" t="str">
        <x:v>material coupon</x:v>
      </x:c>
      <x:c r="E1230" s="7" t="str">
        <x:v>CPN-PEA-A-Y1-CP-6</x:v>
      </x:c>
      <x:c r="F1230" s="7" t="str">
        <x:f>'Material Coupons'!K156</x:f>
        <x:v>OPEN</x:v>
      </x:c>
    </x:row>
    <x:row r="1231">
      <x:c r="B1231" s="7" t="str">
        <x:v>AG-01225</x:v>
      </x:c>
      <x:c r="C1231" s="7" t="str">
        <x:v>PEA-A-Y1</x:v>
      </x:c>
      <x:c r="D1231" s="7" t="str">
        <x:v>material coupon</x:v>
      </x:c>
      <x:c r="E1231" s="7" t="str">
        <x:v>CPN-PEA-A-Y1-CP-7</x:v>
      </x:c>
      <x:c r="F1231" s="7" t="str">
        <x:f>'Material Coupons'!K157</x:f>
        <x:v>OPEN</x:v>
      </x:c>
    </x:row>
    <x:row r="1232">
      <x:c r="B1232" s="7" t="str">
        <x:v>AG-01226</x:v>
      </x:c>
      <x:c r="C1232" s="7" t="str">
        <x:v>PEA-A-Y1</x:v>
      </x:c>
      <x:c r="D1232" s="7" t="str">
        <x:v>material coupon</x:v>
      </x:c>
      <x:c r="E1232" s="7" t="str">
        <x:v>CPN-PEA-A-Y1-CP-8</x:v>
      </x:c>
      <x:c r="F1232" s="7" t="str">
        <x:f>'Material Coupons'!K158</x:f>
        <x:v>OPEN</x:v>
      </x:c>
    </x:row>
    <x:row r="1233">
      <x:c r="B1233" s="7" t="str">
        <x:v>AG-01227</x:v>
      </x:c>
      <x:c r="C1233" s="7" t="str">
        <x:v>PEA-A-Y1</x:v>
      </x:c>
      <x:c r="D1233" s="7" t="str">
        <x:v>material coupon</x:v>
      </x:c>
      <x:c r="E1233" s="7" t="str">
        <x:v>CPN-PEA-A-Y1-SM-1</x:v>
      </x:c>
      <x:c r="F1233" s="7" t="str">
        <x:f>'Material Coupons'!K159</x:f>
        <x:v>OPEN</x:v>
      </x:c>
    </x:row>
    <x:row r="1234">
      <x:c r="B1234" s="7" t="str">
        <x:v>AG-01228</x:v>
      </x:c>
      <x:c r="C1234" s="7" t="str">
        <x:v>PEA-A-Y1</x:v>
      </x:c>
      <x:c r="D1234" s="7" t="str">
        <x:v>material coupon</x:v>
      </x:c>
      <x:c r="E1234" s="7" t="str">
        <x:v>CPN-PEA-A-Y1-SM-2</x:v>
      </x:c>
      <x:c r="F1234" s="7" t="str">
        <x:f>'Material Coupons'!K160</x:f>
        <x:v>OPEN</x:v>
      </x:c>
    </x:row>
    <x:row r="1235">
      <x:c r="B1235" s="7" t="str">
        <x:v>AG-01229</x:v>
      </x:c>
      <x:c r="C1235" s="7" t="str">
        <x:v>PEA-A-Y1</x:v>
      </x:c>
      <x:c r="D1235" s="7" t="str">
        <x:v>material coupon</x:v>
      </x:c>
      <x:c r="E1235" s="7" t="str">
        <x:v>CPN-PEA-A-Y1-SM-3</x:v>
      </x:c>
      <x:c r="F1235" s="7" t="str">
        <x:f>'Material Coupons'!K161</x:f>
        <x:v>OPEN</x:v>
      </x:c>
    </x:row>
    <x:row r="1236">
      <x:c r="B1236" s="7" t="str">
        <x:v>AG-01230</x:v>
      </x:c>
      <x:c r="C1236" s="7" t="str">
        <x:v>PEA-A-Y1</x:v>
      </x:c>
      <x:c r="D1236" s="7" t="str">
        <x:v>material coupon</x:v>
      </x:c>
      <x:c r="E1236" s="7" t="str">
        <x:v>CPN-PEA-A-Y1-SM-4</x:v>
      </x:c>
      <x:c r="F1236" s="7" t="str">
        <x:f>'Material Coupons'!K162</x:f>
        <x:v>OPEN</x:v>
      </x:c>
    </x:row>
    <x:row r="1237">
      <x:c r="B1237" s="7" t="str">
        <x:v>AG-01231</x:v>
      </x:c>
      <x:c r="C1237" s="7" t="str">
        <x:v>PEA-A-Y1</x:v>
      </x:c>
      <x:c r="D1237" s="7" t="str">
        <x:v>material coupon</x:v>
      </x:c>
      <x:c r="E1237" s="7" t="str">
        <x:v>CPN-PEA-A-Y1-SM-5</x:v>
      </x:c>
      <x:c r="F1237" s="7" t="str">
        <x:f>'Material Coupons'!K163</x:f>
        <x:v>OPEN</x:v>
      </x:c>
    </x:row>
    <x:row r="1238">
      <x:c r="B1238" s="7" t="str">
        <x:v>AG-01232</x:v>
      </x:c>
      <x:c r="C1238" s="7" t="str">
        <x:v>PEA-A-Y1</x:v>
      </x:c>
      <x:c r="D1238" s="7" t="str">
        <x:v>material coupon</x:v>
      </x:c>
      <x:c r="E1238" s="7" t="str">
        <x:v>CPN-PEA-A-Y1-SM-6</x:v>
      </x:c>
      <x:c r="F1238" s="7" t="str">
        <x:f>'Material Coupons'!K164</x:f>
        <x:v>OPEN</x:v>
      </x:c>
    </x:row>
    <x:row r="1239">
      <x:c r="B1239" s="7" t="str">
        <x:v>AG-01233</x:v>
      </x:c>
      <x:c r="C1239" s="7" t="str">
        <x:v>PEA-A-Y1</x:v>
      </x:c>
      <x:c r="D1239" s="7" t="str">
        <x:v>material coupon</x:v>
      </x:c>
      <x:c r="E1239" s="7" t="str">
        <x:v>CPN-PEA-A-Y1-SM-7</x:v>
      </x:c>
      <x:c r="F1239" s="7" t="str">
        <x:f>'Material Coupons'!K165</x:f>
        <x:v>OPEN</x:v>
      </x:c>
    </x:row>
    <x:row r="1240">
      <x:c r="B1240" s="7" t="str">
        <x:v>AG-01234</x:v>
      </x:c>
      <x:c r="C1240" s="7" t="str">
        <x:v>PEA-A-Y1</x:v>
      </x:c>
      <x:c r="D1240" s="7" t="str">
        <x:v>material coupon</x:v>
      </x:c>
      <x:c r="E1240" s="7" t="str">
        <x:v>CPN-PEA-A-Y1-SM-8</x:v>
      </x:c>
      <x:c r="F1240" s="7" t="str">
        <x:f>'Material Coupons'!K166</x:f>
        <x:v>OPEN</x:v>
      </x:c>
    </x:row>
    <x:row r="1241">
      <x:c r="B1241" s="7" t="str">
        <x:v>AG-01235</x:v>
      </x:c>
      <x:c r="C1241" s="7" t="str">
        <x:v>PEA-A-Y1</x:v>
      </x:c>
      <x:c r="D1241" s="7" t="str">
        <x:v>NDE record</x:v>
      </x:c>
      <x:c r="E1241" s="7" t="str">
        <x:v>NDE-TRV-PEA-A-Y1-01</x:v>
      </x:c>
      <x:c r="F1241" s="7" t="str">
        <x:f>'NDE Records'!L67</x:f>
        <x:v>OPEN</x:v>
      </x:c>
    </x:row>
    <x:row r="1242">
      <x:c r="B1242" s="7" t="str">
        <x:v>AG-01236</x:v>
      </x:c>
      <x:c r="C1242" s="7" t="str">
        <x:v>PEA-A-Y1</x:v>
      </x:c>
      <x:c r="D1242" s="7" t="str">
        <x:v>NDE record</x:v>
      </x:c>
      <x:c r="E1242" s="7" t="str">
        <x:v>NDE-TRV-PEA-A-Y1-02</x:v>
      </x:c>
      <x:c r="F1242" s="7" t="str">
        <x:f>'NDE Records'!L68</x:f>
        <x:v>OPEN</x:v>
      </x:c>
    </x:row>
    <x:row r="1243">
      <x:c r="B1243" s="7" t="str">
        <x:v>AG-01237</x:v>
      </x:c>
      <x:c r="C1243" s="7" t="str">
        <x:v>PEA-A-Y1</x:v>
      </x:c>
      <x:c r="D1243" s="7" t="str">
        <x:v>NDE record</x:v>
      </x:c>
      <x:c r="E1243" s="7" t="str">
        <x:v>NDE-TRV-PEA-A-Y1-03</x:v>
      </x:c>
      <x:c r="F1243" s="7" t="str">
        <x:f>'NDE Records'!L69</x:f>
        <x:v>OPEN</x:v>
      </x:c>
    </x:row>
    <x:row r="1244">
      <x:c r="B1244" s="7" t="str">
        <x:v>AG-01238</x:v>
      </x:c>
      <x:c r="C1244" s="7" t="str">
        <x:v>PEA-A-Y1</x:v>
      </x:c>
      <x:c r="D1244" s="7" t="str">
        <x:v>NDE record</x:v>
      </x:c>
      <x:c r="E1244" s="7" t="str">
        <x:v>NDE-TRV-PEA-A-Y1-04</x:v>
      </x:c>
      <x:c r="F1244" s="7" t="str">
        <x:f>'NDE Records'!L70</x:f>
        <x:v>OPEN</x:v>
      </x:c>
    </x:row>
    <x:row r="1245">
      <x:c r="B1245" s="7" t="str">
        <x:v>AG-01239</x:v>
      </x:c>
      <x:c r="C1245" s="7" t="str">
        <x:v>PEA-A-Y1</x:v>
      </x:c>
      <x:c r="D1245" s="7" t="str">
        <x:v>NDE record</x:v>
      </x:c>
      <x:c r="E1245" s="7" t="str">
        <x:v>NDE-TRV-PEA-A-Y1-05</x:v>
      </x:c>
      <x:c r="F1245" s="7" t="str">
        <x:f>'NDE Records'!L71</x:f>
        <x:v>OPEN</x:v>
      </x:c>
    </x:row>
    <x:row r="1246">
      <x:c r="B1246" s="7" t="str">
        <x:v>AG-01240</x:v>
      </x:c>
      <x:c r="C1246" s="7" t="str">
        <x:v>PEA-A-Y1</x:v>
      </x:c>
      <x:c r="D1246" s="7" t="str">
        <x:v>NDE record</x:v>
      </x:c>
      <x:c r="E1246" s="7" t="str">
        <x:v>NDE-TRV-PEA-A-Y1-06</x:v>
      </x:c>
      <x:c r="F1246" s="7" t="str">
        <x:f>'NDE Records'!L72</x:f>
        <x:v>OPEN</x:v>
      </x:c>
    </x:row>
    <x:row r="1247">
      <x:c r="B1247" s="7" t="str">
        <x:v>AG-01241</x:v>
      </x:c>
      <x:c r="C1247" s="7" t="str">
        <x:v>PEA-A-Y1</x:v>
      </x:c>
      <x:c r="D1247" s="7" t="str">
        <x:v>NDE record</x:v>
      </x:c>
      <x:c r="E1247" s="7" t="str">
        <x:v>NDE-TRV-PEA-A-Y1-07</x:v>
      </x:c>
      <x:c r="F1247" s="7" t="str">
        <x:f>'NDE Records'!L73</x:f>
        <x:v>OPEN</x:v>
      </x:c>
    </x:row>
    <x:row r="1248">
      <x:c r="B1248" s="7" t="str">
        <x:v>AG-01242</x:v>
      </x:c>
      <x:c r="C1248" s="7" t="str">
        <x:v>PEA-A-Y1</x:v>
      </x:c>
      <x:c r="D1248" s="7" t="str">
        <x:v>NDE record</x:v>
      </x:c>
      <x:c r="E1248" s="7" t="str">
        <x:v>NDE-TRV-PEA-A-Y1-08</x:v>
      </x:c>
      <x:c r="F1248" s="7" t="str">
        <x:f>'NDE Records'!L74</x:f>
        <x:v>OPEN</x:v>
      </x:c>
    </x:row>
    <x:row r="1249">
      <x:c r="B1249" s="7" t="str">
        <x:v>AG-01243</x:v>
      </x:c>
      <x:c r="C1249" s="7" t="str">
        <x:v>PEA-A-Y1</x:v>
      </x:c>
      <x:c r="D1249" s="7" t="str">
        <x:v>NDE record</x:v>
      </x:c>
      <x:c r="E1249" s="7" t="str">
        <x:v>NDE-TRV-PEA-A-Y1-09</x:v>
      </x:c>
      <x:c r="F1249" s="7" t="str">
        <x:f>'NDE Records'!L75</x:f>
        <x:v>OPEN</x:v>
      </x:c>
    </x:row>
    <x:row r="1250">
      <x:c r="B1250" s="7" t="str">
        <x:v>AG-01244</x:v>
      </x:c>
      <x:c r="C1250" s="7" t="str">
        <x:v>PEA-A-Y1</x:v>
      </x:c>
      <x:c r="D1250" s="7" t="str">
        <x:v>NDE record</x:v>
      </x:c>
      <x:c r="E1250" s="7" t="str">
        <x:v>NDE-TRV-PEA-A-Y1-10</x:v>
      </x:c>
      <x:c r="F1250" s="7" t="str">
        <x:f>'NDE Records'!L76</x:f>
        <x:v>OPEN</x:v>
      </x:c>
    </x:row>
    <x:row r="1251">
      <x:c r="B1251" s="7" t="str">
        <x:v>AG-01245</x:v>
      </x:c>
      <x:c r="C1251" s="7" t="str">
        <x:v>PEA-A-Y1</x:v>
      </x:c>
      <x:c r="D1251" s="7" t="str">
        <x:v>NDE record</x:v>
      </x:c>
      <x:c r="E1251" s="7" t="str">
        <x:v>NDE-TRV-PEA-A-Y1-11</x:v>
      </x:c>
      <x:c r="F1251" s="7" t="str">
        <x:f>'NDE Records'!L77</x:f>
        <x:v>OPEN</x:v>
      </x:c>
    </x:row>
    <x:row r="1252">
      <x:c r="B1252" s="7" t="str">
        <x:v>AG-01246</x:v>
      </x:c>
      <x:c r="C1252" s="7" t="str">
        <x:v>PEA-A-Y1</x:v>
      </x:c>
      <x:c r="D1252" s="7" t="str">
        <x:v>NDE record</x:v>
      </x:c>
      <x:c r="E1252" s="7" t="str">
        <x:v>NDE-TRV-PEA-A-Y1-12</x:v>
      </x:c>
      <x:c r="F1252" s="7" t="str">
        <x:f>'NDE Records'!L78</x:f>
        <x:v>OPEN</x:v>
      </x:c>
    </x:row>
    <x:row r="1253">
      <x:c r="B1253" s="7" t="str">
        <x:v>AG-01247</x:v>
      </x:c>
      <x:c r="C1253" s="7" t="str">
        <x:v>PEA-A-Y1</x:v>
      </x:c>
      <x:c r="D1253" s="7" t="str">
        <x:v>NDE record</x:v>
      </x:c>
      <x:c r="E1253" s="7" t="str">
        <x:v>NDE-TRV-PEA-A-Y1-13</x:v>
      </x:c>
      <x:c r="F1253" s="7" t="str">
        <x:f>'NDE Records'!L79</x:f>
        <x:v>OPEN</x:v>
      </x:c>
    </x:row>
    <x:row r="1254">
      <x:c r="B1254" s="7" t="str">
        <x:v>AG-01248</x:v>
      </x:c>
      <x:c r="C1254" s="7" t="str">
        <x:v>PEA-A-Y1</x:v>
      </x:c>
      <x:c r="D1254" s="7" t="str">
        <x:v>NDE record</x:v>
      </x:c>
      <x:c r="E1254" s="7" t="str">
        <x:v>NDE-TRV-PEA-A-Y1-14</x:v>
      </x:c>
      <x:c r="F1254" s="7" t="str">
        <x:f>'NDE Records'!L80</x:f>
        <x:v>OPEN</x:v>
      </x:c>
    </x:row>
    <x:row r="1255">
      <x:c r="B1255" s="7" t="str">
        <x:v>AG-01249</x:v>
      </x:c>
      <x:c r="C1255" s="7" t="str">
        <x:v>PEA-A-Y1</x:v>
      </x:c>
      <x:c r="D1255" s="7" t="str">
        <x:v>NDE record</x:v>
      </x:c>
      <x:c r="E1255" s="7" t="str">
        <x:v>NDE-TRV-PEA-A-Y1-15</x:v>
      </x:c>
      <x:c r="F1255" s="7" t="str">
        <x:f>'NDE Records'!L81</x:f>
        <x:v>OPEN</x:v>
      </x:c>
    </x:row>
    <x:row r="1256">
      <x:c r="B1256" s="7" t="str">
        <x:v>AG-01250</x:v>
      </x:c>
      <x:c r="C1256" s="7" t="str">
        <x:v>PEA-A-Y1</x:v>
      </x:c>
      <x:c r="D1256" s="7" t="str">
        <x:v>NDE record</x:v>
      </x:c>
      <x:c r="E1256" s="7" t="str">
        <x:v>NDE-TRV-PEA-A-Y1-16</x:v>
      </x:c>
      <x:c r="F1256" s="7" t="str">
        <x:f>'NDE Records'!L82</x:f>
        <x:v>OPEN</x:v>
      </x:c>
    </x:row>
    <x:row r="1257">
      <x:c r="B1257" s="7" t="str">
        <x:v>AG-01251</x:v>
      </x:c>
      <x:c r="C1257" s="7" t="str">
        <x:v>PEA-A-Y1</x:v>
      </x:c>
      <x:c r="D1257" s="7" t="str">
        <x:v>NDE record</x:v>
      </x:c>
      <x:c r="E1257" s="7" t="str">
        <x:v>NDE-TRV-PEA-A-Y1-17</x:v>
      </x:c>
      <x:c r="F1257" s="7" t="str">
        <x:f>'NDE Records'!L83</x:f>
        <x:v>OPEN</x:v>
      </x:c>
    </x:row>
    <x:row r="1258">
      <x:c r="B1258" s="7" t="str">
        <x:v>AG-01252</x:v>
      </x:c>
      <x:c r="C1258" s="7" t="str">
        <x:v>PEA-A-Y1</x:v>
      </x:c>
      <x:c r="D1258" s="7" t="str">
        <x:v>NDE record</x:v>
      </x:c>
      <x:c r="E1258" s="7" t="str">
        <x:v>NDE-TRV-PEA-A-Y1-18</x:v>
      </x:c>
      <x:c r="F1258" s="7" t="str">
        <x:f>'NDE Records'!L84</x:f>
        <x:v>OPEN</x:v>
      </x:c>
    </x:row>
    <x:row r="1259">
      <x:c r="B1259" s="7" t="str">
        <x:v>AG-01253</x:v>
      </x:c>
      <x:c r="C1259" s="7" t="str">
        <x:v>PEA-A-Y1</x:v>
      </x:c>
      <x:c r="D1259" s="7" t="str">
        <x:v>NDE record</x:v>
      </x:c>
      <x:c r="E1259" s="7" t="str">
        <x:v>NDE-TRV-PEA-A-Y1-19</x:v>
      </x:c>
      <x:c r="F1259" s="7" t="str">
        <x:f>'NDE Records'!L85</x:f>
        <x:v>OPEN</x:v>
      </x:c>
    </x:row>
    <x:row r="1260">
      <x:c r="B1260" s="7" t="str">
        <x:v>AG-01254</x:v>
      </x:c>
      <x:c r="C1260" s="7" t="str">
        <x:v>PEA-A-Y1</x:v>
      </x:c>
      <x:c r="D1260" s="7" t="str">
        <x:v>NDE record</x:v>
      </x:c>
      <x:c r="E1260" s="7" t="str">
        <x:v>NDE-TRV-PEA-A-Y1-20</x:v>
      </x:c>
      <x:c r="F1260" s="7" t="str">
        <x:f>'NDE Records'!L86</x:f>
        <x:v>OPEN</x:v>
      </x:c>
    </x:row>
    <x:row r="1261">
      <x:c r="B1261" s="7" t="str">
        <x:v>AG-01255</x:v>
      </x:c>
      <x:c r="C1261" s="7" t="str">
        <x:v>PEA-A-Y1</x:v>
      </x:c>
      <x:c r="D1261" s="7" t="str">
        <x:v>joint record</x:v>
      </x:c>
      <x:c r="E1261" s="7" t="str">
        <x:v>JNT-PEA-A-Y1-1</x:v>
      </x:c>
      <x:c r="F1261" s="7" t="str">
        <x:f>'Joint Records'!M22</x:f>
        <x:v>OPEN</x:v>
      </x:c>
    </x:row>
    <x:row r="1262">
      <x:c r="B1262" s="7" t="str">
        <x:v>AG-01256</x:v>
      </x:c>
      <x:c r="C1262" s="7" t="str">
        <x:v>PEA-A-Y1</x:v>
      </x:c>
      <x:c r="D1262" s="7" t="str">
        <x:v>joint record</x:v>
      </x:c>
      <x:c r="E1262" s="7" t="str">
        <x:v>JNT-PEA-A-Y1-2</x:v>
      </x:c>
      <x:c r="F1262" s="7" t="str">
        <x:f>'Joint Records'!M23</x:f>
        <x:v>OPEN</x:v>
      </x:c>
    </x:row>
    <x:row r="1263">
      <x:c r="B1263" s="7" t="str">
        <x:v>AG-01257</x:v>
      </x:c>
      <x:c r="C1263" s="7" t="str">
        <x:v>PEA-A-Y1</x:v>
      </x:c>
      <x:c r="D1263" s="7" t="str">
        <x:v>joint record</x:v>
      </x:c>
      <x:c r="E1263" s="7" t="str">
        <x:v>JNT-PEA-A-Y1-3</x:v>
      </x:c>
      <x:c r="F1263" s="7" t="str">
        <x:f>'Joint Records'!M24</x:f>
        <x:v>OPEN</x:v>
      </x:c>
    </x:row>
    <x:row r="1264">
      <x:c r="B1264" s="7" t="str">
        <x:v>AG-01258</x:v>
      </x:c>
      <x:c r="C1264" s="7" t="str">
        <x:v>PEA-A-Y1</x:v>
      </x:c>
      <x:c r="D1264" s="7" t="str">
        <x:v>joint record</x:v>
      </x:c>
      <x:c r="E1264" s="7" t="str">
        <x:v>JNT-PEA-A-Y1-4</x:v>
      </x:c>
      <x:c r="F1264" s="7" t="str">
        <x:f>'Joint Records'!M25</x:f>
        <x:v>OPEN</x:v>
      </x:c>
    </x:row>
    <x:row r="1265">
      <x:c r="B1265" s="7" t="str">
        <x:v>AG-01259</x:v>
      </x:c>
      <x:c r="C1265" s="7" t="str">
        <x:v>PEA-A-Y1</x:v>
      </x:c>
      <x:c r="D1265" s="7" t="str">
        <x:v>joint record</x:v>
      </x:c>
      <x:c r="E1265" s="7" t="str">
        <x:v>JNT-PEA-A-Y1-5</x:v>
      </x:c>
      <x:c r="F1265" s="7" t="str">
        <x:f>'Joint Records'!M26</x:f>
        <x:v>OPEN</x:v>
      </x:c>
    </x:row>
    <x:row r="1266">
      <x:c r="B1266" s="7" t="str">
        <x:v>AG-01260</x:v>
      </x:c>
      <x:c r="C1266" s="7" t="str">
        <x:v>PEA-A-Y1</x:v>
      </x:c>
      <x:c r="D1266" s="7" t="str">
        <x:v>control element</x:v>
      </x:c>
      <x:c r="E1266" s="7" t="str">
        <x:v>ELM-PEA-A-Y1-01</x:v>
      </x:c>
      <x:c r="F1266" s="7" t="str">
        <x:f>'Control Elements'!L43</x:f>
        <x:v>OPEN</x:v>
      </x:c>
    </x:row>
    <x:row r="1267">
      <x:c r="B1267" s="7" t="str">
        <x:v>AG-01261</x:v>
      </x:c>
      <x:c r="C1267" s="7" t="str">
        <x:v>PEA-A-Y1</x:v>
      </x:c>
      <x:c r="D1267" s="7" t="str">
        <x:v>control element</x:v>
      </x:c>
      <x:c r="E1267" s="7" t="str">
        <x:v>ELM-PEA-A-Y1-02</x:v>
      </x:c>
      <x:c r="F1267" s="7" t="str">
        <x:f>'Control Elements'!L44</x:f>
        <x:v>OPEN</x:v>
      </x:c>
    </x:row>
    <x:row r="1268">
      <x:c r="B1268" s="7" t="str">
        <x:v>AG-01262</x:v>
      </x:c>
      <x:c r="C1268" s="7" t="str">
        <x:v>PEA-A-Y1</x:v>
      </x:c>
      <x:c r="D1268" s="7" t="str">
        <x:v>control element</x:v>
      </x:c>
      <x:c r="E1268" s="7" t="str">
        <x:v>ELM-PEA-A-Y1-03</x:v>
      </x:c>
      <x:c r="F1268" s="7" t="str">
        <x:f>'Control Elements'!L45</x:f>
        <x:v>OPEN</x:v>
      </x:c>
    </x:row>
    <x:row r="1269">
      <x:c r="B1269" s="7" t="str">
        <x:v>AG-01263</x:v>
      </x:c>
      <x:c r="C1269" s="7" t="str">
        <x:v>PEA-A-Y1</x:v>
      </x:c>
      <x:c r="D1269" s="7" t="str">
        <x:v>control element</x:v>
      </x:c>
      <x:c r="E1269" s="7" t="str">
        <x:v>ELM-PEA-A-Y1-04</x:v>
      </x:c>
      <x:c r="F1269" s="7" t="str">
        <x:f>'Control Elements'!L46</x:f>
        <x:v>OPEN</x:v>
      </x:c>
    </x:row>
    <x:row r="1270">
      <x:c r="B1270" s="7" t="str">
        <x:v>AG-01264</x:v>
      </x:c>
      <x:c r="C1270" s="7" t="str">
        <x:v>PEA-A-Y1</x:v>
      </x:c>
      <x:c r="D1270" s="7" t="str">
        <x:v>control element</x:v>
      </x:c>
      <x:c r="E1270" s="7" t="str">
        <x:v>ELM-PEA-A-Y1-05</x:v>
      </x:c>
      <x:c r="F1270" s="7" t="str">
        <x:f>'Control Elements'!L47</x:f>
        <x:v>OPEN</x:v>
      </x:c>
    </x:row>
    <x:row r="1271">
      <x:c r="B1271" s="7" t="str">
        <x:v>AG-01265</x:v>
      </x:c>
      <x:c r="C1271" s="7" t="str">
        <x:v>PEA-A-Y1</x:v>
      </x:c>
      <x:c r="D1271" s="7" t="str">
        <x:v>control element</x:v>
      </x:c>
      <x:c r="E1271" s="7" t="str">
        <x:v>ELM-PEA-A-Y1-06</x:v>
      </x:c>
      <x:c r="F1271" s="7" t="str">
        <x:f>'Control Elements'!L48</x:f>
        <x:v>OPEN</x:v>
      </x:c>
    </x:row>
    <x:row r="1272">
      <x:c r="B1272" s="7" t="str">
        <x:v>AG-01266</x:v>
      </x:c>
      <x:c r="C1272" s="7" t="str">
        <x:v>PEA-A-Y1</x:v>
      </x:c>
      <x:c r="D1272" s="7" t="str">
        <x:v>control element</x:v>
      </x:c>
      <x:c r="E1272" s="7" t="str">
        <x:v>ELM-PEA-A-Y1-07</x:v>
      </x:c>
      <x:c r="F1272" s="7" t="str">
        <x:f>'Control Elements'!L49</x:f>
        <x:v>OPEN</x:v>
      </x:c>
    </x:row>
    <x:row r="1273">
      <x:c r="B1273" s="7" t="str">
        <x:v>AG-01267</x:v>
      </x:c>
      <x:c r="C1273" s="7" t="str">
        <x:v>PEA-A-Y1</x:v>
      </x:c>
      <x:c r="D1273" s="7" t="str">
        <x:v>control element</x:v>
      </x:c>
      <x:c r="E1273" s="7" t="str">
        <x:v>ELM-PEA-A-Y1-08</x:v>
      </x:c>
      <x:c r="F1273" s="7" t="str">
        <x:f>'Control Elements'!L50</x:f>
        <x:v>OPEN</x:v>
      </x:c>
    </x:row>
    <x:row r="1274">
      <x:c r="B1274" s="7" t="str">
        <x:v>AG-01268</x:v>
      </x:c>
      <x:c r="C1274" s="7" t="str">
        <x:v>PEA-A-Y1</x:v>
      </x:c>
      <x:c r="D1274" s="7" t="str">
        <x:v>control element</x:v>
      </x:c>
      <x:c r="E1274" s="7" t="str">
        <x:v>ELM-PEA-A-Y1-09</x:v>
      </x:c>
      <x:c r="F1274" s="7" t="str">
        <x:f>'Control Elements'!L51</x:f>
        <x:v>OPEN</x:v>
      </x:c>
    </x:row>
    <x:row r="1275">
      <x:c r="B1275" s="7" t="str">
        <x:v>AG-01269</x:v>
      </x:c>
      <x:c r="C1275" s="7" t="str">
        <x:v>PEA-A-Y1</x:v>
      </x:c>
      <x:c r="D1275" s="7" t="str">
        <x:v>control element</x:v>
      </x:c>
      <x:c r="E1275" s="7" t="str">
        <x:v>ELM-PEA-A-Y1-10</x:v>
      </x:c>
      <x:c r="F1275" s="7" t="str">
        <x:f>'Control Elements'!L52</x:f>
        <x:v>OPEN</x:v>
      </x:c>
    </x:row>
    <x:row r="1276">
      <x:c r="B1276" s="7" t="str">
        <x:v>AG-01270</x:v>
      </x:c>
      <x:c r="C1276" s="7" t="str">
        <x:v>PEA-A-Y1</x:v>
      </x:c>
      <x:c r="D1276" s="7" t="str">
        <x:v>control element</x:v>
      </x:c>
      <x:c r="E1276" s="7" t="str">
        <x:v>ELM-PEA-A-Y1-11</x:v>
      </x:c>
      <x:c r="F1276" s="7" t="str">
        <x:f>'Control Elements'!L53</x:f>
        <x:v>OPEN</x:v>
      </x:c>
    </x:row>
    <x:row r="1277">
      <x:c r="B1277" s="7" t="str">
        <x:v>AG-01271</x:v>
      </x:c>
      <x:c r="C1277" s="7" t="str">
        <x:v>PEA-A-Y1</x:v>
      </x:c>
      <x:c r="D1277" s="7" t="str">
        <x:v>control element</x:v>
      </x:c>
      <x:c r="E1277" s="7" t="str">
        <x:v>ELM-PEA-A-Y1-12</x:v>
      </x:c>
      <x:c r="F1277" s="7" t="str">
        <x:f>'Control Elements'!L54</x:f>
        <x:v>OPEN</x:v>
      </x:c>
    </x:row>
    <x:row r="1278">
      <x:c r="B1278" s="7" t="str">
        <x:v>AG-01272</x:v>
      </x:c>
      <x:c r="C1278" s="7" t="str">
        <x:v>PEA-A-Y1</x:v>
      </x:c>
      <x:c r="D1278" s="7" t="str">
        <x:v>channel instance</x:v>
      </x:c>
      <x:c r="E1278" s="7" t="str">
        <x:v>CH-PEA-A-Y1-01-1</x:v>
      </x:c>
      <x:c r="F1278" s="7" t="str">
        <x:f>'Channel Instances'!O439</x:f>
        <x:v>OPEN</x:v>
      </x:c>
    </x:row>
    <x:row r="1279">
      <x:c r="B1279" s="7" t="str">
        <x:v>AG-01273</x:v>
      </x:c>
      <x:c r="C1279" s="7" t="str">
        <x:v>PEA-A-Y1</x:v>
      </x:c>
      <x:c r="D1279" s="7" t="str">
        <x:v>channel instance</x:v>
      </x:c>
      <x:c r="E1279" s="7" t="str">
        <x:v>CH-PEA-A-Y1-01-2</x:v>
      </x:c>
      <x:c r="F1279" s="7" t="str">
        <x:f>'Channel Instances'!O440</x:f>
        <x:v>OPEN</x:v>
      </x:c>
    </x:row>
    <x:row r="1280">
      <x:c r="B1280" s="7" t="str">
        <x:v>AG-01274</x:v>
      </x:c>
      <x:c r="C1280" s="7" t="str">
        <x:v>PEA-A-Y1</x:v>
      </x:c>
      <x:c r="D1280" s="7" t="str">
        <x:v>channel instance</x:v>
      </x:c>
      <x:c r="E1280" s="7" t="str">
        <x:v>CH-PEA-A-Y1-01-3</x:v>
      </x:c>
      <x:c r="F1280" s="7" t="str">
        <x:f>'Channel Instances'!O441</x:f>
        <x:v>OPEN</x:v>
      </x:c>
    </x:row>
    <x:row r="1281">
      <x:c r="B1281" s="7" t="str">
        <x:v>AG-01275</x:v>
      </x:c>
      <x:c r="C1281" s="7" t="str">
        <x:v>PEA-A-Y1</x:v>
      </x:c>
      <x:c r="D1281" s="7" t="str">
        <x:v>channel instance</x:v>
      </x:c>
      <x:c r="E1281" s="7" t="str">
        <x:v>CH-PEA-A-Y1-01-4</x:v>
      </x:c>
      <x:c r="F1281" s="7" t="str">
        <x:f>'Channel Instances'!O442</x:f>
        <x:v>OPEN</x:v>
      </x:c>
    </x:row>
    <x:row r="1282">
      <x:c r="B1282" s="7" t="str">
        <x:v>AG-01276</x:v>
      </x:c>
      <x:c r="C1282" s="7" t="str">
        <x:v>PEA-A-Y1</x:v>
      </x:c>
      <x:c r="D1282" s="7" t="str">
        <x:v>channel instance</x:v>
      </x:c>
      <x:c r="E1282" s="7" t="str">
        <x:v>CH-PEA-A-Y1-01-5</x:v>
      </x:c>
      <x:c r="F1282" s="7" t="str">
        <x:f>'Channel Instances'!O443</x:f>
        <x:v>OPEN</x:v>
      </x:c>
    </x:row>
    <x:row r="1283">
      <x:c r="B1283" s="7" t="str">
        <x:v>AG-01277</x:v>
      </x:c>
      <x:c r="C1283" s="7" t="str">
        <x:v>PEA-A-Y1</x:v>
      </x:c>
      <x:c r="D1283" s="7" t="str">
        <x:v>channel instance</x:v>
      </x:c>
      <x:c r="E1283" s="7" t="str">
        <x:v>CH-PEA-A-Y1-01-6</x:v>
      </x:c>
      <x:c r="F1283" s="7" t="str">
        <x:f>'Channel Instances'!O444</x:f>
        <x:v>OPEN</x:v>
      </x:c>
    </x:row>
    <x:row r="1284">
      <x:c r="B1284" s="7" t="str">
        <x:v>AG-01278</x:v>
      </x:c>
      <x:c r="C1284" s="7" t="str">
        <x:v>PEA-A-Y1</x:v>
      </x:c>
      <x:c r="D1284" s="7" t="str">
        <x:v>channel instance</x:v>
      </x:c>
      <x:c r="E1284" s="7" t="str">
        <x:v>CH-PEA-A-Y1-02-1</x:v>
      </x:c>
      <x:c r="F1284" s="7" t="str">
        <x:f>'Channel Instances'!O445</x:f>
        <x:v>OPEN</x:v>
      </x:c>
    </x:row>
    <x:row r="1285">
      <x:c r="B1285" s="7" t="str">
        <x:v>AG-01279</x:v>
      </x:c>
      <x:c r="C1285" s="7" t="str">
        <x:v>PEA-A-Y1</x:v>
      </x:c>
      <x:c r="D1285" s="7" t="str">
        <x:v>channel instance</x:v>
      </x:c>
      <x:c r="E1285" s="7" t="str">
        <x:v>CH-PEA-A-Y1-02-2</x:v>
      </x:c>
      <x:c r="F1285" s="7" t="str">
        <x:f>'Channel Instances'!O446</x:f>
        <x:v>OPEN</x:v>
      </x:c>
    </x:row>
    <x:row r="1286">
      <x:c r="B1286" s="7" t="str">
        <x:v>AG-01280</x:v>
      </x:c>
      <x:c r="C1286" s="7" t="str">
        <x:v>PEA-A-Y1</x:v>
      </x:c>
      <x:c r="D1286" s="7" t="str">
        <x:v>channel instance</x:v>
      </x:c>
      <x:c r="E1286" s="7" t="str">
        <x:v>CH-PEA-A-Y1-02-3</x:v>
      </x:c>
      <x:c r="F1286" s="7" t="str">
        <x:f>'Channel Instances'!O447</x:f>
        <x:v>OPEN</x:v>
      </x:c>
    </x:row>
    <x:row r="1287">
      <x:c r="B1287" s="7" t="str">
        <x:v>AG-01281</x:v>
      </x:c>
      <x:c r="C1287" s="7" t="str">
        <x:v>PEA-A-Y1</x:v>
      </x:c>
      <x:c r="D1287" s="7" t="str">
        <x:v>channel instance</x:v>
      </x:c>
      <x:c r="E1287" s="7" t="str">
        <x:v>CH-PEA-A-Y1-02-4</x:v>
      </x:c>
      <x:c r="F1287" s="7" t="str">
        <x:f>'Channel Instances'!O448</x:f>
        <x:v>OPEN</x:v>
      </x:c>
    </x:row>
    <x:row r="1288">
      <x:c r="B1288" s="7" t="str">
        <x:v>AG-01282</x:v>
      </x:c>
      <x:c r="C1288" s="7" t="str">
        <x:v>PEA-A-Y1</x:v>
      </x:c>
      <x:c r="D1288" s="7" t="str">
        <x:v>channel instance</x:v>
      </x:c>
      <x:c r="E1288" s="7" t="str">
        <x:v>CH-PEA-A-Y1-02-5</x:v>
      </x:c>
      <x:c r="F1288" s="7" t="str">
        <x:f>'Channel Instances'!O449</x:f>
        <x:v>OPEN</x:v>
      </x:c>
    </x:row>
    <x:row r="1289">
      <x:c r="B1289" s="7" t="str">
        <x:v>AG-01283</x:v>
      </x:c>
      <x:c r="C1289" s="7" t="str">
        <x:v>PEA-A-Y1</x:v>
      </x:c>
      <x:c r="D1289" s="7" t="str">
        <x:v>channel instance</x:v>
      </x:c>
      <x:c r="E1289" s="7" t="str">
        <x:v>CH-PEA-A-Y1-02-6</x:v>
      </x:c>
      <x:c r="F1289" s="7" t="str">
        <x:f>'Channel Instances'!O450</x:f>
        <x:v>OPEN</x:v>
      </x:c>
    </x:row>
    <x:row r="1290">
      <x:c r="B1290" s="7" t="str">
        <x:v>AG-01284</x:v>
      </x:c>
      <x:c r="C1290" s="7" t="str">
        <x:v>PEA-A-Y1</x:v>
      </x:c>
      <x:c r="D1290" s="7" t="str">
        <x:v>channel instance</x:v>
      </x:c>
      <x:c r="E1290" s="7" t="str">
        <x:v>CH-PEA-A-Y1-03-1</x:v>
      </x:c>
      <x:c r="F1290" s="7" t="str">
        <x:f>'Channel Instances'!O451</x:f>
        <x:v>OPEN</x:v>
      </x:c>
    </x:row>
    <x:row r="1291">
      <x:c r="B1291" s="7" t="str">
        <x:v>AG-01285</x:v>
      </x:c>
      <x:c r="C1291" s="7" t="str">
        <x:v>PEA-A-Y1</x:v>
      </x:c>
      <x:c r="D1291" s="7" t="str">
        <x:v>channel instance</x:v>
      </x:c>
      <x:c r="E1291" s="7" t="str">
        <x:v>CH-PEA-A-Y1-03-2</x:v>
      </x:c>
      <x:c r="F1291" s="7" t="str">
        <x:f>'Channel Instances'!O452</x:f>
        <x:v>OPEN</x:v>
      </x:c>
    </x:row>
    <x:row r="1292">
      <x:c r="B1292" s="7" t="str">
        <x:v>AG-01286</x:v>
      </x:c>
      <x:c r="C1292" s="7" t="str">
        <x:v>PEA-A-Y1</x:v>
      </x:c>
      <x:c r="D1292" s="7" t="str">
        <x:v>channel instance</x:v>
      </x:c>
      <x:c r="E1292" s="7" t="str">
        <x:v>CH-PEA-A-Y1-03-3</x:v>
      </x:c>
      <x:c r="F1292" s="7" t="str">
        <x:f>'Channel Instances'!O453</x:f>
        <x:v>OPEN</x:v>
      </x:c>
    </x:row>
    <x:row r="1293">
      <x:c r="B1293" s="7" t="str">
        <x:v>AG-01287</x:v>
      </x:c>
      <x:c r="C1293" s="7" t="str">
        <x:v>PEA-A-Y1</x:v>
      </x:c>
      <x:c r="D1293" s="7" t="str">
        <x:v>channel instance</x:v>
      </x:c>
      <x:c r="E1293" s="7" t="str">
        <x:v>CH-PEA-A-Y1-03-4</x:v>
      </x:c>
      <x:c r="F1293" s="7" t="str">
        <x:f>'Channel Instances'!O454</x:f>
        <x:v>OPEN</x:v>
      </x:c>
    </x:row>
    <x:row r="1294">
      <x:c r="B1294" s="7" t="str">
        <x:v>AG-01288</x:v>
      </x:c>
      <x:c r="C1294" s="7" t="str">
        <x:v>PEA-A-Y1</x:v>
      </x:c>
      <x:c r="D1294" s="7" t="str">
        <x:v>channel instance</x:v>
      </x:c>
      <x:c r="E1294" s="7" t="str">
        <x:v>CH-PEA-A-Y1-03-5</x:v>
      </x:c>
      <x:c r="F1294" s="7" t="str">
        <x:f>'Channel Instances'!O455</x:f>
        <x:v>OPEN</x:v>
      </x:c>
    </x:row>
    <x:row r="1295">
      <x:c r="B1295" s="7" t="str">
        <x:v>AG-01289</x:v>
      </x:c>
      <x:c r="C1295" s="7" t="str">
        <x:v>PEA-A-Y1</x:v>
      </x:c>
      <x:c r="D1295" s="7" t="str">
        <x:v>channel instance</x:v>
      </x:c>
      <x:c r="E1295" s="7" t="str">
        <x:v>CH-PEA-A-Y1-03-6</x:v>
      </x:c>
      <x:c r="F1295" s="7" t="str">
        <x:f>'Channel Instances'!O456</x:f>
        <x:v>OPEN</x:v>
      </x:c>
    </x:row>
    <x:row r="1296">
      <x:c r="B1296" s="7" t="str">
        <x:v>AG-01290</x:v>
      </x:c>
      <x:c r="C1296" s="7" t="str">
        <x:v>PEA-A-Y1</x:v>
      </x:c>
      <x:c r="D1296" s="7" t="str">
        <x:v>channel instance</x:v>
      </x:c>
      <x:c r="E1296" s="7" t="str">
        <x:v>CH-PEA-A-Y1-04-1</x:v>
      </x:c>
      <x:c r="F1296" s="7" t="str">
        <x:f>'Channel Instances'!O457</x:f>
        <x:v>OPEN</x:v>
      </x:c>
    </x:row>
    <x:row r="1297">
      <x:c r="B1297" s="7" t="str">
        <x:v>AG-01291</x:v>
      </x:c>
      <x:c r="C1297" s="7" t="str">
        <x:v>PEA-A-Y1</x:v>
      </x:c>
      <x:c r="D1297" s="7" t="str">
        <x:v>channel instance</x:v>
      </x:c>
      <x:c r="E1297" s="7" t="str">
        <x:v>CH-PEA-A-Y1-04-2</x:v>
      </x:c>
      <x:c r="F1297" s="7" t="str">
        <x:f>'Channel Instances'!O458</x:f>
        <x:v>OPEN</x:v>
      </x:c>
    </x:row>
    <x:row r="1298">
      <x:c r="B1298" s="7" t="str">
        <x:v>AG-01292</x:v>
      </x:c>
      <x:c r="C1298" s="7" t="str">
        <x:v>PEA-A-Y1</x:v>
      </x:c>
      <x:c r="D1298" s="7" t="str">
        <x:v>channel instance</x:v>
      </x:c>
      <x:c r="E1298" s="7" t="str">
        <x:v>CH-PEA-A-Y1-04-3</x:v>
      </x:c>
      <x:c r="F1298" s="7" t="str">
        <x:f>'Channel Instances'!O459</x:f>
        <x:v>OPEN</x:v>
      </x:c>
    </x:row>
    <x:row r="1299">
      <x:c r="B1299" s="7" t="str">
        <x:v>AG-01293</x:v>
      </x:c>
      <x:c r="C1299" s="7" t="str">
        <x:v>PEA-A-Y1</x:v>
      </x:c>
      <x:c r="D1299" s="7" t="str">
        <x:v>channel instance</x:v>
      </x:c>
      <x:c r="E1299" s="7" t="str">
        <x:v>CH-PEA-A-Y1-04-4</x:v>
      </x:c>
      <x:c r="F1299" s="7" t="str">
        <x:f>'Channel Instances'!O460</x:f>
        <x:v>OPEN</x:v>
      </x:c>
    </x:row>
    <x:row r="1300">
      <x:c r="B1300" s="7" t="str">
        <x:v>AG-01294</x:v>
      </x:c>
      <x:c r="C1300" s="7" t="str">
        <x:v>PEA-A-Y1</x:v>
      </x:c>
      <x:c r="D1300" s="7" t="str">
        <x:v>channel instance</x:v>
      </x:c>
      <x:c r="E1300" s="7" t="str">
        <x:v>CH-PEA-A-Y1-04-5</x:v>
      </x:c>
      <x:c r="F1300" s="7" t="str">
        <x:f>'Channel Instances'!O461</x:f>
        <x:v>OPEN</x:v>
      </x:c>
    </x:row>
    <x:row r="1301">
      <x:c r="B1301" s="7" t="str">
        <x:v>AG-01295</x:v>
      </x:c>
      <x:c r="C1301" s="7" t="str">
        <x:v>PEA-A-Y1</x:v>
      </x:c>
      <x:c r="D1301" s="7" t="str">
        <x:v>channel instance</x:v>
      </x:c>
      <x:c r="E1301" s="7" t="str">
        <x:v>CH-PEA-A-Y1-04-6</x:v>
      </x:c>
      <x:c r="F1301" s="7" t="str">
        <x:f>'Channel Instances'!O462</x:f>
        <x:v>OPEN</x:v>
      </x:c>
    </x:row>
    <x:row r="1302">
      <x:c r="B1302" s="7" t="str">
        <x:v>AG-01296</x:v>
      </x:c>
      <x:c r="C1302" s="7" t="str">
        <x:v>PEA-A-Y1</x:v>
      </x:c>
      <x:c r="D1302" s="7" t="str">
        <x:v>channel instance</x:v>
      </x:c>
      <x:c r="E1302" s="7" t="str">
        <x:v>CH-PEA-A-Y1-05-1</x:v>
      </x:c>
      <x:c r="F1302" s="7" t="str">
        <x:f>'Channel Instances'!O463</x:f>
        <x:v>OPEN</x:v>
      </x:c>
    </x:row>
    <x:row r="1303">
      <x:c r="B1303" s="7" t="str">
        <x:v>AG-01297</x:v>
      </x:c>
      <x:c r="C1303" s="7" t="str">
        <x:v>PEA-A-Y1</x:v>
      </x:c>
      <x:c r="D1303" s="7" t="str">
        <x:v>channel instance</x:v>
      </x:c>
      <x:c r="E1303" s="7" t="str">
        <x:v>CH-PEA-A-Y1-05-2</x:v>
      </x:c>
      <x:c r="F1303" s="7" t="str">
        <x:f>'Channel Instances'!O464</x:f>
        <x:v>OPEN</x:v>
      </x:c>
    </x:row>
    <x:row r="1304">
      <x:c r="B1304" s="7" t="str">
        <x:v>AG-01298</x:v>
      </x:c>
      <x:c r="C1304" s="7" t="str">
        <x:v>PEA-A-Y1</x:v>
      </x:c>
      <x:c r="D1304" s="7" t="str">
        <x:v>channel instance</x:v>
      </x:c>
      <x:c r="E1304" s="7" t="str">
        <x:v>CH-PEA-A-Y1-05-3</x:v>
      </x:c>
      <x:c r="F1304" s="7" t="str">
        <x:f>'Channel Instances'!O465</x:f>
        <x:v>OPEN</x:v>
      </x:c>
    </x:row>
    <x:row r="1305">
      <x:c r="B1305" s="7" t="str">
        <x:v>AG-01299</x:v>
      </x:c>
      <x:c r="C1305" s="7" t="str">
        <x:v>PEA-A-Y1</x:v>
      </x:c>
      <x:c r="D1305" s="7" t="str">
        <x:v>channel instance</x:v>
      </x:c>
      <x:c r="E1305" s="7" t="str">
        <x:v>CH-PEA-A-Y1-05-4</x:v>
      </x:c>
      <x:c r="F1305" s="7" t="str">
        <x:f>'Channel Instances'!O466</x:f>
        <x:v>OPEN</x:v>
      </x:c>
    </x:row>
    <x:row r="1306">
      <x:c r="B1306" s="7" t="str">
        <x:v>AG-01300</x:v>
      </x:c>
      <x:c r="C1306" s="7" t="str">
        <x:v>PEA-A-Y1</x:v>
      </x:c>
      <x:c r="D1306" s="7" t="str">
        <x:v>channel instance</x:v>
      </x:c>
      <x:c r="E1306" s="7" t="str">
        <x:v>CH-PEA-A-Y1-05-5</x:v>
      </x:c>
      <x:c r="F1306" s="7" t="str">
        <x:f>'Channel Instances'!O467</x:f>
        <x:v>OPEN</x:v>
      </x:c>
    </x:row>
    <x:row r="1307">
      <x:c r="B1307" s="7" t="str">
        <x:v>AG-01301</x:v>
      </x:c>
      <x:c r="C1307" s="7" t="str">
        <x:v>PEA-A-Y1</x:v>
      </x:c>
      <x:c r="D1307" s="7" t="str">
        <x:v>channel instance</x:v>
      </x:c>
      <x:c r="E1307" s="7" t="str">
        <x:v>CH-PEA-A-Y1-05-6</x:v>
      </x:c>
      <x:c r="F1307" s="7" t="str">
        <x:f>'Channel Instances'!O468</x:f>
        <x:v>OPEN</x:v>
      </x:c>
    </x:row>
    <x:row r="1308">
      <x:c r="B1308" s="7" t="str">
        <x:v>AG-01302</x:v>
      </x:c>
      <x:c r="C1308" s="7" t="str">
        <x:v>PEA-A-Y1</x:v>
      </x:c>
      <x:c r="D1308" s="7" t="str">
        <x:v>channel instance</x:v>
      </x:c>
      <x:c r="E1308" s="7" t="str">
        <x:v>CH-PEA-A-Y1-06-1</x:v>
      </x:c>
      <x:c r="F1308" s="7" t="str">
        <x:f>'Channel Instances'!O469</x:f>
        <x:v>OPEN</x:v>
      </x:c>
    </x:row>
    <x:row r="1309">
      <x:c r="B1309" s="7" t="str">
        <x:v>AG-01303</x:v>
      </x:c>
      <x:c r="C1309" s="7" t="str">
        <x:v>PEA-A-Y1</x:v>
      </x:c>
      <x:c r="D1309" s="7" t="str">
        <x:v>channel instance</x:v>
      </x:c>
      <x:c r="E1309" s="7" t="str">
        <x:v>CH-PEA-A-Y1-06-2</x:v>
      </x:c>
      <x:c r="F1309" s="7" t="str">
        <x:f>'Channel Instances'!O470</x:f>
        <x:v>OPEN</x:v>
      </x:c>
    </x:row>
    <x:row r="1310">
      <x:c r="B1310" s="7" t="str">
        <x:v>AG-01304</x:v>
      </x:c>
      <x:c r="C1310" s="7" t="str">
        <x:v>PEA-A-Y1</x:v>
      </x:c>
      <x:c r="D1310" s="7" t="str">
        <x:v>channel instance</x:v>
      </x:c>
      <x:c r="E1310" s="7" t="str">
        <x:v>CH-PEA-A-Y1-06-3</x:v>
      </x:c>
      <x:c r="F1310" s="7" t="str">
        <x:f>'Channel Instances'!O471</x:f>
        <x:v>OPEN</x:v>
      </x:c>
    </x:row>
    <x:row r="1311">
      <x:c r="B1311" s="7" t="str">
        <x:v>AG-01305</x:v>
      </x:c>
      <x:c r="C1311" s="7" t="str">
        <x:v>PEA-A-Y1</x:v>
      </x:c>
      <x:c r="D1311" s="7" t="str">
        <x:v>channel instance</x:v>
      </x:c>
      <x:c r="E1311" s="7" t="str">
        <x:v>CH-PEA-A-Y1-06-4</x:v>
      </x:c>
      <x:c r="F1311" s="7" t="str">
        <x:f>'Channel Instances'!O472</x:f>
        <x:v>OPEN</x:v>
      </x:c>
    </x:row>
    <x:row r="1312">
      <x:c r="B1312" s="7" t="str">
        <x:v>AG-01306</x:v>
      </x:c>
      <x:c r="C1312" s="7" t="str">
        <x:v>PEA-A-Y1</x:v>
      </x:c>
      <x:c r="D1312" s="7" t="str">
        <x:v>channel instance</x:v>
      </x:c>
      <x:c r="E1312" s="7" t="str">
        <x:v>CH-PEA-A-Y1-06-5</x:v>
      </x:c>
      <x:c r="F1312" s="7" t="str">
        <x:f>'Channel Instances'!O473</x:f>
        <x:v>OPEN</x:v>
      </x:c>
    </x:row>
    <x:row r="1313">
      <x:c r="B1313" s="7" t="str">
        <x:v>AG-01307</x:v>
      </x:c>
      <x:c r="C1313" s="7" t="str">
        <x:v>PEA-A-Y1</x:v>
      </x:c>
      <x:c r="D1313" s="7" t="str">
        <x:v>channel instance</x:v>
      </x:c>
      <x:c r="E1313" s="7" t="str">
        <x:v>CH-PEA-A-Y1-06-6</x:v>
      </x:c>
      <x:c r="F1313" s="7" t="str">
        <x:f>'Channel Instances'!O474</x:f>
        <x:v>OPEN</x:v>
      </x:c>
    </x:row>
    <x:row r="1314">
      <x:c r="B1314" s="7" t="str">
        <x:v>AG-01308</x:v>
      </x:c>
      <x:c r="C1314" s="7" t="str">
        <x:v>PEA-A-Y1</x:v>
      </x:c>
      <x:c r="D1314" s="7" t="str">
        <x:v>channel instance</x:v>
      </x:c>
      <x:c r="E1314" s="7" t="str">
        <x:v>CH-PEA-A-Y1-07-1</x:v>
      </x:c>
      <x:c r="F1314" s="7" t="str">
        <x:f>'Channel Instances'!O475</x:f>
        <x:v>OPEN</x:v>
      </x:c>
    </x:row>
    <x:row r="1315">
      <x:c r="B1315" s="7" t="str">
        <x:v>AG-01309</x:v>
      </x:c>
      <x:c r="C1315" s="7" t="str">
        <x:v>PEA-A-Y1</x:v>
      </x:c>
      <x:c r="D1315" s="7" t="str">
        <x:v>channel instance</x:v>
      </x:c>
      <x:c r="E1315" s="7" t="str">
        <x:v>CH-PEA-A-Y1-07-2</x:v>
      </x:c>
      <x:c r="F1315" s="7" t="str">
        <x:f>'Channel Instances'!O476</x:f>
        <x:v>OPEN</x:v>
      </x:c>
    </x:row>
    <x:row r="1316">
      <x:c r="B1316" s="7" t="str">
        <x:v>AG-01310</x:v>
      </x:c>
      <x:c r="C1316" s="7" t="str">
        <x:v>PEA-A-Y1</x:v>
      </x:c>
      <x:c r="D1316" s="7" t="str">
        <x:v>channel instance</x:v>
      </x:c>
      <x:c r="E1316" s="7" t="str">
        <x:v>CH-PEA-A-Y1-07-3</x:v>
      </x:c>
      <x:c r="F1316" s="7" t="str">
        <x:f>'Channel Instances'!O477</x:f>
        <x:v>OPEN</x:v>
      </x:c>
    </x:row>
    <x:row r="1317">
      <x:c r="B1317" s="7" t="str">
        <x:v>AG-01311</x:v>
      </x:c>
      <x:c r="C1317" s="7" t="str">
        <x:v>PEA-A-Y1</x:v>
      </x:c>
      <x:c r="D1317" s="7" t="str">
        <x:v>channel instance</x:v>
      </x:c>
      <x:c r="E1317" s="7" t="str">
        <x:v>CH-PEA-A-Y1-07-4</x:v>
      </x:c>
      <x:c r="F1317" s="7" t="str">
        <x:f>'Channel Instances'!O478</x:f>
        <x:v>OPEN</x:v>
      </x:c>
    </x:row>
    <x:row r="1318">
      <x:c r="B1318" s="7" t="str">
        <x:v>AG-01312</x:v>
      </x:c>
      <x:c r="C1318" s="7" t="str">
        <x:v>PEA-A-Y1</x:v>
      </x:c>
      <x:c r="D1318" s="7" t="str">
        <x:v>channel instance</x:v>
      </x:c>
      <x:c r="E1318" s="7" t="str">
        <x:v>CH-PEA-A-Y1-07-5</x:v>
      </x:c>
      <x:c r="F1318" s="7" t="str">
        <x:f>'Channel Instances'!O479</x:f>
        <x:v>OPEN</x:v>
      </x:c>
    </x:row>
    <x:row r="1319">
      <x:c r="B1319" s="7" t="str">
        <x:v>AG-01313</x:v>
      </x:c>
      <x:c r="C1319" s="7" t="str">
        <x:v>PEA-A-Y1</x:v>
      </x:c>
      <x:c r="D1319" s="7" t="str">
        <x:v>channel instance</x:v>
      </x:c>
      <x:c r="E1319" s="7" t="str">
        <x:v>CH-PEA-A-Y1-07-6</x:v>
      </x:c>
      <x:c r="F1319" s="7" t="str">
        <x:f>'Channel Instances'!O480</x:f>
        <x:v>OPEN</x:v>
      </x:c>
    </x:row>
    <x:row r="1320">
      <x:c r="B1320" s="7" t="str">
        <x:v>AG-01314</x:v>
      </x:c>
      <x:c r="C1320" s="7" t="str">
        <x:v>PEA-A-Y1</x:v>
      </x:c>
      <x:c r="D1320" s="7" t="str">
        <x:v>channel instance</x:v>
      </x:c>
      <x:c r="E1320" s="7" t="str">
        <x:v>CH-PEA-A-Y1-08-1</x:v>
      </x:c>
      <x:c r="F1320" s="7" t="str">
        <x:f>'Channel Instances'!O481</x:f>
        <x:v>OPEN</x:v>
      </x:c>
    </x:row>
    <x:row r="1321">
      <x:c r="B1321" s="7" t="str">
        <x:v>AG-01315</x:v>
      </x:c>
      <x:c r="C1321" s="7" t="str">
        <x:v>PEA-A-Y1</x:v>
      </x:c>
      <x:c r="D1321" s="7" t="str">
        <x:v>channel instance</x:v>
      </x:c>
      <x:c r="E1321" s="7" t="str">
        <x:v>CH-PEA-A-Y1-08-2</x:v>
      </x:c>
      <x:c r="F1321" s="7" t="str">
        <x:f>'Channel Instances'!O482</x:f>
        <x:v>OPEN</x:v>
      </x:c>
    </x:row>
    <x:row r="1322">
      <x:c r="B1322" s="7" t="str">
        <x:v>AG-01316</x:v>
      </x:c>
      <x:c r="C1322" s="7" t="str">
        <x:v>PEA-A-Y1</x:v>
      </x:c>
      <x:c r="D1322" s="7" t="str">
        <x:v>channel instance</x:v>
      </x:c>
      <x:c r="E1322" s="7" t="str">
        <x:v>CH-PEA-A-Y1-08-3</x:v>
      </x:c>
      <x:c r="F1322" s="7" t="str">
        <x:f>'Channel Instances'!O483</x:f>
        <x:v>OPEN</x:v>
      </x:c>
    </x:row>
    <x:row r="1323">
      <x:c r="B1323" s="7" t="str">
        <x:v>AG-01317</x:v>
      </x:c>
      <x:c r="C1323" s="7" t="str">
        <x:v>PEA-A-Y1</x:v>
      </x:c>
      <x:c r="D1323" s="7" t="str">
        <x:v>channel instance</x:v>
      </x:c>
      <x:c r="E1323" s="7" t="str">
        <x:v>CH-PEA-A-Y1-08-4</x:v>
      </x:c>
      <x:c r="F1323" s="7" t="str">
        <x:f>'Channel Instances'!O484</x:f>
        <x:v>OPEN</x:v>
      </x:c>
    </x:row>
    <x:row r="1324">
      <x:c r="B1324" s="7" t="str">
        <x:v>AG-01318</x:v>
      </x:c>
      <x:c r="C1324" s="7" t="str">
        <x:v>PEA-A-Y1</x:v>
      </x:c>
      <x:c r="D1324" s="7" t="str">
        <x:v>channel instance</x:v>
      </x:c>
      <x:c r="E1324" s="7" t="str">
        <x:v>CH-PEA-A-Y1-08-5</x:v>
      </x:c>
      <x:c r="F1324" s="7" t="str">
        <x:f>'Channel Instances'!O485</x:f>
        <x:v>OPEN</x:v>
      </x:c>
    </x:row>
    <x:row r="1325">
      <x:c r="B1325" s="7" t="str">
        <x:v>AG-01319</x:v>
      </x:c>
      <x:c r="C1325" s="7" t="str">
        <x:v>PEA-A-Y1</x:v>
      </x:c>
      <x:c r="D1325" s="7" t="str">
        <x:v>channel instance</x:v>
      </x:c>
      <x:c r="E1325" s="7" t="str">
        <x:v>CH-PEA-A-Y1-08-6</x:v>
      </x:c>
      <x:c r="F1325" s="7" t="str">
        <x:f>'Channel Instances'!O486</x:f>
        <x:v>OPEN</x:v>
      </x:c>
    </x:row>
    <x:row r="1326">
      <x:c r="B1326" s="7" t="str">
        <x:v>AG-01320</x:v>
      </x:c>
      <x:c r="C1326" s="7" t="str">
        <x:v>PEA-A-Y1</x:v>
      </x:c>
      <x:c r="D1326" s="7" t="str">
        <x:v>channel instance</x:v>
      </x:c>
      <x:c r="E1326" s="7" t="str">
        <x:v>CH-PEA-A-Y1-09-1</x:v>
      </x:c>
      <x:c r="F1326" s="7" t="str">
        <x:f>'Channel Instances'!O487</x:f>
        <x:v>OPEN</x:v>
      </x:c>
    </x:row>
    <x:row r="1327">
      <x:c r="B1327" s="7" t="str">
        <x:v>AG-01321</x:v>
      </x:c>
      <x:c r="C1327" s="7" t="str">
        <x:v>PEA-A-Y1</x:v>
      </x:c>
      <x:c r="D1327" s="7" t="str">
        <x:v>channel instance</x:v>
      </x:c>
      <x:c r="E1327" s="7" t="str">
        <x:v>CH-PEA-A-Y1-09-2</x:v>
      </x:c>
      <x:c r="F1327" s="7" t="str">
        <x:f>'Channel Instances'!O488</x:f>
        <x:v>OPEN</x:v>
      </x:c>
    </x:row>
    <x:row r="1328">
      <x:c r="B1328" s="7" t="str">
        <x:v>AG-01322</x:v>
      </x:c>
      <x:c r="C1328" s="7" t="str">
        <x:v>PEA-A-Y1</x:v>
      </x:c>
      <x:c r="D1328" s="7" t="str">
        <x:v>channel instance</x:v>
      </x:c>
      <x:c r="E1328" s="7" t="str">
        <x:v>CH-PEA-A-Y1-09-3</x:v>
      </x:c>
      <x:c r="F1328" s="7" t="str">
        <x:f>'Channel Instances'!O489</x:f>
        <x:v>OPEN</x:v>
      </x:c>
    </x:row>
    <x:row r="1329">
      <x:c r="B1329" s="7" t="str">
        <x:v>AG-01323</x:v>
      </x:c>
      <x:c r="C1329" s="7" t="str">
        <x:v>PEA-A-Y1</x:v>
      </x:c>
      <x:c r="D1329" s="7" t="str">
        <x:v>channel instance</x:v>
      </x:c>
      <x:c r="E1329" s="7" t="str">
        <x:v>CH-PEA-A-Y1-09-4</x:v>
      </x:c>
      <x:c r="F1329" s="7" t="str">
        <x:f>'Channel Instances'!O490</x:f>
        <x:v>OPEN</x:v>
      </x:c>
    </x:row>
    <x:row r="1330">
      <x:c r="B1330" s="7" t="str">
        <x:v>AG-01324</x:v>
      </x:c>
      <x:c r="C1330" s="7" t="str">
        <x:v>PEA-A-Y1</x:v>
      </x:c>
      <x:c r="D1330" s="7" t="str">
        <x:v>channel instance</x:v>
      </x:c>
      <x:c r="E1330" s="7" t="str">
        <x:v>CH-PEA-A-Y1-09-5</x:v>
      </x:c>
      <x:c r="F1330" s="7" t="str">
        <x:f>'Channel Instances'!O491</x:f>
        <x:v>OPEN</x:v>
      </x:c>
    </x:row>
    <x:row r="1331">
      <x:c r="B1331" s="7" t="str">
        <x:v>AG-01325</x:v>
      </x:c>
      <x:c r="C1331" s="7" t="str">
        <x:v>PEA-A-Y1</x:v>
      </x:c>
      <x:c r="D1331" s="7" t="str">
        <x:v>channel instance</x:v>
      </x:c>
      <x:c r="E1331" s="7" t="str">
        <x:v>CH-PEA-A-Y1-09-6</x:v>
      </x:c>
      <x:c r="F1331" s="7" t="str">
        <x:f>'Channel Instances'!O492</x:f>
        <x:v>OPEN</x:v>
      </x:c>
    </x:row>
    <x:row r="1332">
      <x:c r="B1332" s="7" t="str">
        <x:v>AG-01326</x:v>
      </x:c>
      <x:c r="C1332" s="7" t="str">
        <x:v>PEA-A-Y1</x:v>
      </x:c>
      <x:c r="D1332" s="7" t="str">
        <x:v>channel instance</x:v>
      </x:c>
      <x:c r="E1332" s="7" t="str">
        <x:v>CH-PEA-A-Y1-10-1</x:v>
      </x:c>
      <x:c r="F1332" s="7" t="str">
        <x:f>'Channel Instances'!O493</x:f>
        <x:v>OPEN</x:v>
      </x:c>
    </x:row>
    <x:row r="1333">
      <x:c r="B1333" s="7" t="str">
        <x:v>AG-01327</x:v>
      </x:c>
      <x:c r="C1333" s="7" t="str">
        <x:v>PEA-A-Y1</x:v>
      </x:c>
      <x:c r="D1333" s="7" t="str">
        <x:v>channel instance</x:v>
      </x:c>
      <x:c r="E1333" s="7" t="str">
        <x:v>CH-PEA-A-Y1-10-2</x:v>
      </x:c>
      <x:c r="F1333" s="7" t="str">
        <x:f>'Channel Instances'!O494</x:f>
        <x:v>OPEN</x:v>
      </x:c>
    </x:row>
    <x:row r="1334">
      <x:c r="B1334" s="7" t="str">
        <x:v>AG-01328</x:v>
      </x:c>
      <x:c r="C1334" s="7" t="str">
        <x:v>PEA-A-Y1</x:v>
      </x:c>
      <x:c r="D1334" s="7" t="str">
        <x:v>channel instance</x:v>
      </x:c>
      <x:c r="E1334" s="7" t="str">
        <x:v>CH-PEA-A-Y1-10-3</x:v>
      </x:c>
      <x:c r="F1334" s="7" t="str">
        <x:f>'Channel Instances'!O495</x:f>
        <x:v>OPEN</x:v>
      </x:c>
    </x:row>
    <x:row r="1335">
      <x:c r="B1335" s="7" t="str">
        <x:v>AG-01329</x:v>
      </x:c>
      <x:c r="C1335" s="7" t="str">
        <x:v>PEA-A-Y1</x:v>
      </x:c>
      <x:c r="D1335" s="7" t="str">
        <x:v>channel instance</x:v>
      </x:c>
      <x:c r="E1335" s="7" t="str">
        <x:v>CH-PEA-A-Y1-10-4</x:v>
      </x:c>
      <x:c r="F1335" s="7" t="str">
        <x:f>'Channel Instances'!O496</x:f>
        <x:v>OPEN</x:v>
      </x:c>
    </x:row>
    <x:row r="1336">
      <x:c r="B1336" s="7" t="str">
        <x:v>AG-01330</x:v>
      </x:c>
      <x:c r="C1336" s="7" t="str">
        <x:v>PEA-A-Y1</x:v>
      </x:c>
      <x:c r="D1336" s="7" t="str">
        <x:v>channel instance</x:v>
      </x:c>
      <x:c r="E1336" s="7" t="str">
        <x:v>CH-PEA-A-Y1-10-5</x:v>
      </x:c>
      <x:c r="F1336" s="7" t="str">
        <x:f>'Channel Instances'!O497</x:f>
        <x:v>OPEN</x:v>
      </x:c>
    </x:row>
    <x:row r="1337">
      <x:c r="B1337" s="7" t="str">
        <x:v>AG-01331</x:v>
      </x:c>
      <x:c r="C1337" s="7" t="str">
        <x:v>PEA-A-Y1</x:v>
      </x:c>
      <x:c r="D1337" s="7" t="str">
        <x:v>channel instance</x:v>
      </x:c>
      <x:c r="E1337" s="7" t="str">
        <x:v>CH-PEA-A-Y1-10-6</x:v>
      </x:c>
      <x:c r="F1337" s="7" t="str">
        <x:f>'Channel Instances'!O498</x:f>
        <x:v>OPEN</x:v>
      </x:c>
    </x:row>
    <x:row r="1338">
      <x:c r="B1338" s="7" t="str">
        <x:v>AG-01332</x:v>
      </x:c>
      <x:c r="C1338" s="7" t="str">
        <x:v>PEA-A-Y1</x:v>
      </x:c>
      <x:c r="D1338" s="7" t="str">
        <x:v>channel instance</x:v>
      </x:c>
      <x:c r="E1338" s="7" t="str">
        <x:v>CH-PEA-A-Y1-11-1</x:v>
      </x:c>
      <x:c r="F1338" s="7" t="str">
        <x:f>'Channel Instances'!O499</x:f>
        <x:v>OPEN</x:v>
      </x:c>
    </x:row>
    <x:row r="1339">
      <x:c r="B1339" s="7" t="str">
        <x:v>AG-01333</x:v>
      </x:c>
      <x:c r="C1339" s="7" t="str">
        <x:v>PEA-A-Y1</x:v>
      </x:c>
      <x:c r="D1339" s="7" t="str">
        <x:v>channel instance</x:v>
      </x:c>
      <x:c r="E1339" s="7" t="str">
        <x:v>CH-PEA-A-Y1-11-2</x:v>
      </x:c>
      <x:c r="F1339" s="7" t="str">
        <x:f>'Channel Instances'!O500</x:f>
        <x:v>OPEN</x:v>
      </x:c>
    </x:row>
    <x:row r="1340">
      <x:c r="B1340" s="7" t="str">
        <x:v>AG-01334</x:v>
      </x:c>
      <x:c r="C1340" s="7" t="str">
        <x:v>PEA-A-Y1</x:v>
      </x:c>
      <x:c r="D1340" s="7" t="str">
        <x:v>channel instance</x:v>
      </x:c>
      <x:c r="E1340" s="7" t="str">
        <x:v>CH-PEA-A-Y1-11-3</x:v>
      </x:c>
      <x:c r="F1340" s="7" t="str">
        <x:f>'Channel Instances'!O501</x:f>
        <x:v>OPEN</x:v>
      </x:c>
    </x:row>
    <x:row r="1341">
      <x:c r="B1341" s="7" t="str">
        <x:v>AG-01335</x:v>
      </x:c>
      <x:c r="C1341" s="7" t="str">
        <x:v>PEA-A-Y1</x:v>
      </x:c>
      <x:c r="D1341" s="7" t="str">
        <x:v>channel instance</x:v>
      </x:c>
      <x:c r="E1341" s="7" t="str">
        <x:v>CH-PEA-A-Y1-11-4</x:v>
      </x:c>
      <x:c r="F1341" s="7" t="str">
        <x:f>'Channel Instances'!O502</x:f>
        <x:v>OPEN</x:v>
      </x:c>
    </x:row>
    <x:row r="1342">
      <x:c r="B1342" s="7" t="str">
        <x:v>AG-01336</x:v>
      </x:c>
      <x:c r="C1342" s="7" t="str">
        <x:v>PEA-A-Y1</x:v>
      </x:c>
      <x:c r="D1342" s="7" t="str">
        <x:v>channel instance</x:v>
      </x:c>
      <x:c r="E1342" s="7" t="str">
        <x:v>CH-PEA-A-Y1-11-5</x:v>
      </x:c>
      <x:c r="F1342" s="7" t="str">
        <x:f>'Channel Instances'!O503</x:f>
        <x:v>OPEN</x:v>
      </x:c>
    </x:row>
    <x:row r="1343">
      <x:c r="B1343" s="7" t="str">
        <x:v>AG-01337</x:v>
      </x:c>
      <x:c r="C1343" s="7" t="str">
        <x:v>PEA-A-Y1</x:v>
      </x:c>
      <x:c r="D1343" s="7" t="str">
        <x:v>channel instance</x:v>
      </x:c>
      <x:c r="E1343" s="7" t="str">
        <x:v>CH-PEA-A-Y1-11-6</x:v>
      </x:c>
      <x:c r="F1343" s="7" t="str">
        <x:f>'Channel Instances'!O504</x:f>
        <x:v>OPEN</x:v>
      </x:c>
    </x:row>
    <x:row r="1344">
      <x:c r="B1344" s="7" t="str">
        <x:v>AG-01338</x:v>
      </x:c>
      <x:c r="C1344" s="7" t="str">
        <x:v>PEA-A-Y1</x:v>
      </x:c>
      <x:c r="D1344" s="7" t="str">
        <x:v>channel instance</x:v>
      </x:c>
      <x:c r="E1344" s="7" t="str">
        <x:v>CH-PEA-A-Y1-12-1</x:v>
      </x:c>
      <x:c r="F1344" s="7" t="str">
        <x:f>'Channel Instances'!O505</x:f>
        <x:v>OPEN</x:v>
      </x:c>
    </x:row>
    <x:row r="1345">
      <x:c r="B1345" s="7" t="str">
        <x:v>AG-01339</x:v>
      </x:c>
      <x:c r="C1345" s="7" t="str">
        <x:v>PEA-A-Y1</x:v>
      </x:c>
      <x:c r="D1345" s="7" t="str">
        <x:v>channel instance</x:v>
      </x:c>
      <x:c r="E1345" s="7" t="str">
        <x:v>CH-PEA-A-Y1-12-2</x:v>
      </x:c>
      <x:c r="F1345" s="7" t="str">
        <x:f>'Channel Instances'!O506</x:f>
        <x:v>OPEN</x:v>
      </x:c>
    </x:row>
    <x:row r="1346">
      <x:c r="B1346" s="7" t="str">
        <x:v>AG-01340</x:v>
      </x:c>
      <x:c r="C1346" s="7" t="str">
        <x:v>PEA-A-Y1</x:v>
      </x:c>
      <x:c r="D1346" s="7" t="str">
        <x:v>channel instance</x:v>
      </x:c>
      <x:c r="E1346" s="7" t="str">
        <x:v>CH-PEA-A-Y1-12-3</x:v>
      </x:c>
      <x:c r="F1346" s="7" t="str">
        <x:f>'Channel Instances'!O507</x:f>
        <x:v>OPEN</x:v>
      </x:c>
    </x:row>
    <x:row r="1347">
      <x:c r="B1347" s="7" t="str">
        <x:v>AG-01341</x:v>
      </x:c>
      <x:c r="C1347" s="7" t="str">
        <x:v>PEA-A-Y1</x:v>
      </x:c>
      <x:c r="D1347" s="7" t="str">
        <x:v>channel instance</x:v>
      </x:c>
      <x:c r="E1347" s="7" t="str">
        <x:v>CH-PEA-A-Y1-12-4</x:v>
      </x:c>
      <x:c r="F1347" s="7" t="str">
        <x:f>'Channel Instances'!O508</x:f>
        <x:v>OPEN</x:v>
      </x:c>
    </x:row>
    <x:row r="1348">
      <x:c r="B1348" s="7" t="str">
        <x:v>AG-01342</x:v>
      </x:c>
      <x:c r="C1348" s="7" t="str">
        <x:v>PEA-A-Y1</x:v>
      </x:c>
      <x:c r="D1348" s="7" t="str">
        <x:v>channel instance</x:v>
      </x:c>
      <x:c r="E1348" s="7" t="str">
        <x:v>CH-PEA-A-Y1-12-5</x:v>
      </x:c>
      <x:c r="F1348" s="7" t="str">
        <x:f>'Channel Instances'!O509</x:f>
        <x:v>OPEN</x:v>
      </x:c>
    </x:row>
    <x:row r="1349">
      <x:c r="B1349" s="7" t="str">
        <x:v>AG-01343</x:v>
      </x:c>
      <x:c r="C1349" s="7" t="str">
        <x:v>PEA-A-Y1</x:v>
      </x:c>
      <x:c r="D1349" s="7" t="str">
        <x:v>channel instance</x:v>
      </x:c>
      <x:c r="E1349" s="7" t="str">
        <x:v>CH-PEA-A-Y1-12-6</x:v>
      </x:c>
      <x:c r="F1349" s="7" t="str">
        <x:f>'Channel Instances'!O510</x:f>
        <x:v>OPEN</x:v>
      </x:c>
    </x:row>
    <x:row r="1350">
      <x:c r="B1350" s="7" t="str">
        <x:v>AG-01344</x:v>
      </x:c>
      <x:c r="C1350" s="7" t="str">
        <x:v>PEA-A-Y1</x:v>
      </x:c>
      <x:c r="D1350" s="7" t="str">
        <x:v>channel instance</x:v>
      </x:c>
      <x:c r="E1350" s="7" t="str">
        <x:v>CH-PEA-A-Y1-13-1</x:v>
      </x:c>
      <x:c r="F1350" s="7" t="str">
        <x:f>'Channel Instances'!O511</x:f>
        <x:v>OPEN</x:v>
      </x:c>
    </x:row>
    <x:row r="1351">
      <x:c r="B1351" s="7" t="str">
        <x:v>AG-01345</x:v>
      </x:c>
      <x:c r="C1351" s="7" t="str">
        <x:v>PEA-A-Y1</x:v>
      </x:c>
      <x:c r="D1351" s="7" t="str">
        <x:v>channel instance</x:v>
      </x:c>
      <x:c r="E1351" s="7" t="str">
        <x:v>CH-PEA-A-Y1-13-2</x:v>
      </x:c>
      <x:c r="F1351" s="7" t="str">
        <x:f>'Channel Instances'!O512</x:f>
        <x:v>OPEN</x:v>
      </x:c>
    </x:row>
    <x:row r="1352">
      <x:c r="B1352" s="7" t="str">
        <x:v>AG-01346</x:v>
      </x:c>
      <x:c r="C1352" s="7" t="str">
        <x:v>PEA-A-Y1</x:v>
      </x:c>
      <x:c r="D1352" s="7" t="str">
        <x:v>channel instance</x:v>
      </x:c>
      <x:c r="E1352" s="7" t="str">
        <x:v>CH-PEA-A-Y1-13-3</x:v>
      </x:c>
      <x:c r="F1352" s="7" t="str">
        <x:f>'Channel Instances'!O513</x:f>
        <x:v>OPEN</x:v>
      </x:c>
    </x:row>
    <x:row r="1353">
      <x:c r="B1353" s="7" t="str">
        <x:v>AG-01347</x:v>
      </x:c>
      <x:c r="C1353" s="7" t="str">
        <x:v>PEA-A-Y1</x:v>
      </x:c>
      <x:c r="D1353" s="7" t="str">
        <x:v>channel instance</x:v>
      </x:c>
      <x:c r="E1353" s="7" t="str">
        <x:v>CH-PEA-A-Y1-13-4</x:v>
      </x:c>
      <x:c r="F1353" s="7" t="str">
        <x:f>'Channel Instances'!O514</x:f>
        <x:v>OPEN</x:v>
      </x:c>
    </x:row>
    <x:row r="1354">
      <x:c r="B1354" s="7" t="str">
        <x:v>AG-01348</x:v>
      </x:c>
      <x:c r="C1354" s="7" t="str">
        <x:v>PEA-A-Y1</x:v>
      </x:c>
      <x:c r="D1354" s="7" t="str">
        <x:v>channel instance</x:v>
      </x:c>
      <x:c r="E1354" s="7" t="str">
        <x:v>CH-PEA-A-Y1-13-5</x:v>
      </x:c>
      <x:c r="F1354" s="7" t="str">
        <x:f>'Channel Instances'!O515</x:f>
        <x:v>OPEN</x:v>
      </x:c>
    </x:row>
    <x:row r="1355">
      <x:c r="B1355" s="7" t="str">
        <x:v>AG-01349</x:v>
      </x:c>
      <x:c r="C1355" s="7" t="str">
        <x:v>PEA-A-Y1</x:v>
      </x:c>
      <x:c r="D1355" s="7" t="str">
        <x:v>channel instance</x:v>
      </x:c>
      <x:c r="E1355" s="7" t="str">
        <x:v>CH-PEA-A-Y1-13-6</x:v>
      </x:c>
      <x:c r="F1355" s="7" t="str">
        <x:f>'Channel Instances'!O516</x:f>
        <x:v>OPEN</x:v>
      </x:c>
    </x:row>
    <x:row r="1356">
      <x:c r="B1356" s="7" t="str">
        <x:v>AG-01350</x:v>
      </x:c>
      <x:c r="C1356" s="7" t="str">
        <x:v>PEA-A-Y1</x:v>
      </x:c>
      <x:c r="D1356" s="7" t="str">
        <x:v>channel instance</x:v>
      </x:c>
      <x:c r="E1356" s="7" t="str">
        <x:v>CH-PEA-A-Y1-14-1</x:v>
      </x:c>
      <x:c r="F1356" s="7" t="str">
        <x:f>'Channel Instances'!O517</x:f>
        <x:v>OPEN</x:v>
      </x:c>
    </x:row>
    <x:row r="1357">
      <x:c r="B1357" s="7" t="str">
        <x:v>AG-01351</x:v>
      </x:c>
      <x:c r="C1357" s="7" t="str">
        <x:v>PEA-A-Y1</x:v>
      </x:c>
      <x:c r="D1357" s="7" t="str">
        <x:v>channel instance</x:v>
      </x:c>
      <x:c r="E1357" s="7" t="str">
        <x:v>CH-PEA-A-Y1-14-2</x:v>
      </x:c>
      <x:c r="F1357" s="7" t="str">
        <x:f>'Channel Instances'!O518</x:f>
        <x:v>OPEN</x:v>
      </x:c>
    </x:row>
    <x:row r="1358">
      <x:c r="B1358" s="7" t="str">
        <x:v>AG-01352</x:v>
      </x:c>
      <x:c r="C1358" s="7" t="str">
        <x:v>PEA-A-Y1</x:v>
      </x:c>
      <x:c r="D1358" s="7" t="str">
        <x:v>channel instance</x:v>
      </x:c>
      <x:c r="E1358" s="7" t="str">
        <x:v>CH-PEA-A-Y1-14-3</x:v>
      </x:c>
      <x:c r="F1358" s="7" t="str">
        <x:f>'Channel Instances'!O519</x:f>
        <x:v>OPEN</x:v>
      </x:c>
    </x:row>
    <x:row r="1359">
      <x:c r="B1359" s="7" t="str">
        <x:v>AG-01353</x:v>
      </x:c>
      <x:c r="C1359" s="7" t="str">
        <x:v>PEA-A-Y1</x:v>
      </x:c>
      <x:c r="D1359" s="7" t="str">
        <x:v>channel instance</x:v>
      </x:c>
      <x:c r="E1359" s="7" t="str">
        <x:v>CH-PEA-A-Y1-14-4</x:v>
      </x:c>
      <x:c r="F1359" s="7" t="str">
        <x:f>'Channel Instances'!O520</x:f>
        <x:v>OPEN</x:v>
      </x:c>
    </x:row>
    <x:row r="1360">
      <x:c r="B1360" s="7" t="str">
        <x:v>AG-01354</x:v>
      </x:c>
      <x:c r="C1360" s="7" t="str">
        <x:v>PEA-A-Y1</x:v>
      </x:c>
      <x:c r="D1360" s="7" t="str">
        <x:v>channel instance</x:v>
      </x:c>
      <x:c r="E1360" s="7" t="str">
        <x:v>CH-PEA-A-Y1-14-5</x:v>
      </x:c>
      <x:c r="F1360" s="7" t="str">
        <x:f>'Channel Instances'!O521</x:f>
        <x:v>OPEN</x:v>
      </x:c>
    </x:row>
    <x:row r="1361">
      <x:c r="B1361" s="7" t="str">
        <x:v>AG-01355</x:v>
      </x:c>
      <x:c r="C1361" s="7" t="str">
        <x:v>PEA-A-Y1</x:v>
      </x:c>
      <x:c r="D1361" s="7" t="str">
        <x:v>channel instance</x:v>
      </x:c>
      <x:c r="E1361" s="7" t="str">
        <x:v>CH-PEA-A-Y1-14-6</x:v>
      </x:c>
      <x:c r="F1361" s="7" t="str">
        <x:f>'Channel Instances'!O522</x:f>
        <x:v>OPEN</x:v>
      </x:c>
    </x:row>
    <x:row r="1362">
      <x:c r="B1362" s="7" t="str">
        <x:v>AG-01356</x:v>
      </x:c>
      <x:c r="C1362" s="7" t="str">
        <x:v>PEA-A-Y1</x:v>
      </x:c>
      <x:c r="D1362" s="7" t="str">
        <x:v>channel instance</x:v>
      </x:c>
      <x:c r="E1362" s="7" t="str">
        <x:v>CH-PEA-A-Y1-15-1</x:v>
      </x:c>
      <x:c r="F1362" s="7" t="str">
        <x:f>'Channel Instances'!O523</x:f>
        <x:v>OPEN</x:v>
      </x:c>
    </x:row>
    <x:row r="1363">
      <x:c r="B1363" s="7" t="str">
        <x:v>AG-01357</x:v>
      </x:c>
      <x:c r="C1363" s="7" t="str">
        <x:v>PEA-A-Y1</x:v>
      </x:c>
      <x:c r="D1363" s="7" t="str">
        <x:v>channel instance</x:v>
      </x:c>
      <x:c r="E1363" s="7" t="str">
        <x:v>CH-PEA-A-Y1-15-2</x:v>
      </x:c>
      <x:c r="F1363" s="7" t="str">
        <x:f>'Channel Instances'!O524</x:f>
        <x:v>OPEN</x:v>
      </x:c>
    </x:row>
    <x:row r="1364">
      <x:c r="B1364" s="7" t="str">
        <x:v>AG-01358</x:v>
      </x:c>
      <x:c r="C1364" s="7" t="str">
        <x:v>PEA-A-Y1</x:v>
      </x:c>
      <x:c r="D1364" s="7" t="str">
        <x:v>channel instance</x:v>
      </x:c>
      <x:c r="E1364" s="7" t="str">
        <x:v>CH-PEA-A-Y1-15-3</x:v>
      </x:c>
      <x:c r="F1364" s="7" t="str">
        <x:f>'Channel Instances'!O525</x:f>
        <x:v>OPEN</x:v>
      </x:c>
    </x:row>
    <x:row r="1365">
      <x:c r="B1365" s="7" t="str">
        <x:v>AG-01359</x:v>
      </x:c>
      <x:c r="C1365" s="7" t="str">
        <x:v>PEA-A-Y1</x:v>
      </x:c>
      <x:c r="D1365" s="7" t="str">
        <x:v>channel instance</x:v>
      </x:c>
      <x:c r="E1365" s="7" t="str">
        <x:v>CH-PEA-A-Y1-15-4</x:v>
      </x:c>
      <x:c r="F1365" s="7" t="str">
        <x:f>'Channel Instances'!O526</x:f>
        <x:v>OPEN</x:v>
      </x:c>
    </x:row>
    <x:row r="1366">
      <x:c r="B1366" s="7" t="str">
        <x:v>AG-01360</x:v>
      </x:c>
      <x:c r="C1366" s="7" t="str">
        <x:v>PEA-A-Y1</x:v>
      </x:c>
      <x:c r="D1366" s="7" t="str">
        <x:v>channel instance</x:v>
      </x:c>
      <x:c r="E1366" s="7" t="str">
        <x:v>CH-PEA-A-Y1-15-5</x:v>
      </x:c>
      <x:c r="F1366" s="7" t="str">
        <x:f>'Channel Instances'!O527</x:f>
        <x:v>OPEN</x:v>
      </x:c>
    </x:row>
    <x:row r="1367">
      <x:c r="B1367" s="7" t="str">
        <x:v>AG-01361</x:v>
      </x:c>
      <x:c r="C1367" s="7" t="str">
        <x:v>PEA-A-Y1</x:v>
      </x:c>
      <x:c r="D1367" s="7" t="str">
        <x:v>channel instance</x:v>
      </x:c>
      <x:c r="E1367" s="7" t="str">
        <x:v>CH-PEA-A-Y1-15-6</x:v>
      </x:c>
      <x:c r="F1367" s="7" t="str">
        <x:f>'Channel Instances'!O528</x:f>
        <x:v>OPEN</x:v>
      </x:c>
    </x:row>
    <x:row r="1368">
      <x:c r="B1368" s="7" t="str">
        <x:v>AG-01362</x:v>
      </x:c>
      <x:c r="C1368" s="7" t="str">
        <x:v>PEA-A-Y1</x:v>
      </x:c>
      <x:c r="D1368" s="7" t="str">
        <x:v>channel instance</x:v>
      </x:c>
      <x:c r="E1368" s="7" t="str">
        <x:v>CH-PEA-A-Y1-16-1</x:v>
      </x:c>
      <x:c r="F1368" s="7" t="str">
        <x:f>'Channel Instances'!O529</x:f>
        <x:v>OPEN</x:v>
      </x:c>
    </x:row>
    <x:row r="1369">
      <x:c r="B1369" s="7" t="str">
        <x:v>AG-01363</x:v>
      </x:c>
      <x:c r="C1369" s="7" t="str">
        <x:v>PEA-A-Y1</x:v>
      </x:c>
      <x:c r="D1369" s="7" t="str">
        <x:v>channel instance</x:v>
      </x:c>
      <x:c r="E1369" s="7" t="str">
        <x:v>CH-PEA-A-Y1-16-2</x:v>
      </x:c>
      <x:c r="F1369" s="7" t="str">
        <x:f>'Channel Instances'!O530</x:f>
        <x:v>OPEN</x:v>
      </x:c>
    </x:row>
    <x:row r="1370">
      <x:c r="B1370" s="7" t="str">
        <x:v>AG-01364</x:v>
      </x:c>
      <x:c r="C1370" s="7" t="str">
        <x:v>PEA-A-Y1</x:v>
      </x:c>
      <x:c r="D1370" s="7" t="str">
        <x:v>channel instance</x:v>
      </x:c>
      <x:c r="E1370" s="7" t="str">
        <x:v>CH-PEA-A-Y1-16-3</x:v>
      </x:c>
      <x:c r="F1370" s="7" t="str">
        <x:f>'Channel Instances'!O531</x:f>
        <x:v>OPEN</x:v>
      </x:c>
    </x:row>
    <x:row r="1371">
      <x:c r="B1371" s="7" t="str">
        <x:v>AG-01365</x:v>
      </x:c>
      <x:c r="C1371" s="7" t="str">
        <x:v>PEA-A-Y1</x:v>
      </x:c>
      <x:c r="D1371" s="7" t="str">
        <x:v>channel instance</x:v>
      </x:c>
      <x:c r="E1371" s="7" t="str">
        <x:v>CH-PEA-A-Y1-16-4</x:v>
      </x:c>
      <x:c r="F1371" s="7" t="str">
        <x:f>'Channel Instances'!O532</x:f>
        <x:v>OPEN</x:v>
      </x:c>
    </x:row>
    <x:row r="1372">
      <x:c r="B1372" s="7" t="str">
        <x:v>AG-01366</x:v>
      </x:c>
      <x:c r="C1372" s="7" t="str">
        <x:v>PEA-A-Y1</x:v>
      </x:c>
      <x:c r="D1372" s="7" t="str">
        <x:v>channel instance</x:v>
      </x:c>
      <x:c r="E1372" s="7" t="str">
        <x:v>CH-PEA-A-Y1-16-5</x:v>
      </x:c>
      <x:c r="F1372" s="7" t="str">
        <x:f>'Channel Instances'!O533</x:f>
        <x:v>OPEN</x:v>
      </x:c>
    </x:row>
    <x:row r="1373">
      <x:c r="B1373" s="7" t="str">
        <x:v>AG-01367</x:v>
      </x:c>
      <x:c r="C1373" s="7" t="str">
        <x:v>PEA-A-Y1</x:v>
      </x:c>
      <x:c r="D1373" s="7" t="str">
        <x:v>channel instance</x:v>
      </x:c>
      <x:c r="E1373" s="7" t="str">
        <x:v>CH-PEA-A-Y1-16-6</x:v>
      </x:c>
      <x:c r="F1373" s="7" t="str">
        <x:f>'Channel Instances'!O534</x:f>
        <x:v>OPEN</x:v>
      </x:c>
    </x:row>
    <x:row r="1374">
      <x:c r="B1374" s="7" t="str">
        <x:v>AG-01368</x:v>
      </x:c>
      <x:c r="C1374" s="7" t="str">
        <x:v>PEA-A-Y1</x:v>
      </x:c>
      <x:c r="D1374" s="7" t="str">
        <x:v>channel instance</x:v>
      </x:c>
      <x:c r="E1374" s="7" t="str">
        <x:v>CH-PEA-A-Y1-17-1</x:v>
      </x:c>
      <x:c r="F1374" s="7" t="str">
        <x:f>'Channel Instances'!O535</x:f>
        <x:v>OPEN</x:v>
      </x:c>
    </x:row>
    <x:row r="1375">
      <x:c r="B1375" s="7" t="str">
        <x:v>AG-01369</x:v>
      </x:c>
      <x:c r="C1375" s="7" t="str">
        <x:v>PEA-A-Y1</x:v>
      </x:c>
      <x:c r="D1375" s="7" t="str">
        <x:v>channel instance</x:v>
      </x:c>
      <x:c r="E1375" s="7" t="str">
        <x:v>CH-PEA-A-Y1-17-2</x:v>
      </x:c>
      <x:c r="F1375" s="7" t="str">
        <x:f>'Channel Instances'!O536</x:f>
        <x:v>OPEN</x:v>
      </x:c>
    </x:row>
    <x:row r="1376">
      <x:c r="B1376" s="7" t="str">
        <x:v>AG-01370</x:v>
      </x:c>
      <x:c r="C1376" s="7" t="str">
        <x:v>PEA-A-Y1</x:v>
      </x:c>
      <x:c r="D1376" s="7" t="str">
        <x:v>channel instance</x:v>
      </x:c>
      <x:c r="E1376" s="7" t="str">
        <x:v>CH-PEA-A-Y1-17-3</x:v>
      </x:c>
      <x:c r="F1376" s="7" t="str">
        <x:f>'Channel Instances'!O537</x:f>
        <x:v>OPEN</x:v>
      </x:c>
    </x:row>
    <x:row r="1377">
      <x:c r="B1377" s="7" t="str">
        <x:v>AG-01371</x:v>
      </x:c>
      <x:c r="C1377" s="7" t="str">
        <x:v>PEA-A-Y1</x:v>
      </x:c>
      <x:c r="D1377" s="7" t="str">
        <x:v>channel instance</x:v>
      </x:c>
      <x:c r="E1377" s="7" t="str">
        <x:v>CH-PEA-A-Y1-17-4</x:v>
      </x:c>
      <x:c r="F1377" s="7" t="str">
        <x:f>'Channel Instances'!O538</x:f>
        <x:v>OPEN</x:v>
      </x:c>
    </x:row>
    <x:row r="1378">
      <x:c r="B1378" s="7" t="str">
        <x:v>AG-01372</x:v>
      </x:c>
      <x:c r="C1378" s="7" t="str">
        <x:v>PEA-A-Y1</x:v>
      </x:c>
      <x:c r="D1378" s="7" t="str">
        <x:v>channel instance</x:v>
      </x:c>
      <x:c r="E1378" s="7" t="str">
        <x:v>CH-PEA-A-Y1-17-5</x:v>
      </x:c>
      <x:c r="F1378" s="7" t="str">
        <x:f>'Channel Instances'!O539</x:f>
        <x:v>OPEN</x:v>
      </x:c>
    </x:row>
    <x:row r="1379">
      <x:c r="B1379" s="7" t="str">
        <x:v>AG-01373</x:v>
      </x:c>
      <x:c r="C1379" s="7" t="str">
        <x:v>PEA-A-Y1</x:v>
      </x:c>
      <x:c r="D1379" s="7" t="str">
        <x:v>channel instance</x:v>
      </x:c>
      <x:c r="E1379" s="7" t="str">
        <x:v>CH-PEA-A-Y1-17-6</x:v>
      </x:c>
      <x:c r="F1379" s="7" t="str">
        <x:f>'Channel Instances'!O540</x:f>
        <x:v>OPEN</x:v>
      </x:c>
    </x:row>
    <x:row r="1380">
      <x:c r="B1380" s="7" t="str">
        <x:v>AG-01374</x:v>
      </x:c>
      <x:c r="C1380" s="7" t="str">
        <x:v>PEA-A-Y1</x:v>
      </x:c>
      <x:c r="D1380" s="7" t="str">
        <x:v>channel instance</x:v>
      </x:c>
      <x:c r="E1380" s="7" t="str">
        <x:v>CH-PEA-A-Y1-18-1</x:v>
      </x:c>
      <x:c r="F1380" s="7" t="str">
        <x:f>'Channel Instances'!O541</x:f>
        <x:v>OPEN</x:v>
      </x:c>
    </x:row>
    <x:row r="1381">
      <x:c r="B1381" s="7" t="str">
        <x:v>AG-01375</x:v>
      </x:c>
      <x:c r="C1381" s="7" t="str">
        <x:v>PEA-A-Y1</x:v>
      </x:c>
      <x:c r="D1381" s="7" t="str">
        <x:v>channel instance</x:v>
      </x:c>
      <x:c r="E1381" s="7" t="str">
        <x:v>CH-PEA-A-Y1-18-2</x:v>
      </x:c>
      <x:c r="F1381" s="7" t="str">
        <x:f>'Channel Instances'!O542</x:f>
        <x:v>OPEN</x:v>
      </x:c>
    </x:row>
    <x:row r="1382">
      <x:c r="B1382" s="7" t="str">
        <x:v>AG-01376</x:v>
      </x:c>
      <x:c r="C1382" s="7" t="str">
        <x:v>PEA-A-Y1</x:v>
      </x:c>
      <x:c r="D1382" s="7" t="str">
        <x:v>channel instance</x:v>
      </x:c>
      <x:c r="E1382" s="7" t="str">
        <x:v>CH-PEA-A-Y1-18-3</x:v>
      </x:c>
      <x:c r="F1382" s="7" t="str">
        <x:f>'Channel Instances'!O543</x:f>
        <x:v>OPEN</x:v>
      </x:c>
    </x:row>
    <x:row r="1383">
      <x:c r="B1383" s="7" t="str">
        <x:v>AG-01377</x:v>
      </x:c>
      <x:c r="C1383" s="7" t="str">
        <x:v>PEA-A-Y1</x:v>
      </x:c>
      <x:c r="D1383" s="7" t="str">
        <x:v>channel instance</x:v>
      </x:c>
      <x:c r="E1383" s="7" t="str">
        <x:v>CH-PEA-A-Y1-18-4</x:v>
      </x:c>
      <x:c r="F1383" s="7" t="str">
        <x:f>'Channel Instances'!O544</x:f>
        <x:v>OPEN</x:v>
      </x:c>
    </x:row>
    <x:row r="1384">
      <x:c r="B1384" s="7" t="str">
        <x:v>AG-01378</x:v>
      </x:c>
      <x:c r="C1384" s="7" t="str">
        <x:v>PEA-A-Y1</x:v>
      </x:c>
      <x:c r="D1384" s="7" t="str">
        <x:v>channel instance</x:v>
      </x:c>
      <x:c r="E1384" s="7" t="str">
        <x:v>CH-PEA-A-Y1-18-5</x:v>
      </x:c>
      <x:c r="F1384" s="7" t="str">
        <x:f>'Channel Instances'!O545</x:f>
        <x:v>OPEN</x:v>
      </x:c>
    </x:row>
    <x:row r="1385">
      <x:c r="B1385" s="7" t="str">
        <x:v>AG-01379</x:v>
      </x:c>
      <x:c r="C1385" s="7" t="str">
        <x:v>PEA-A-Y1</x:v>
      </x:c>
      <x:c r="D1385" s="7" t="str">
        <x:v>channel instance</x:v>
      </x:c>
      <x:c r="E1385" s="7" t="str">
        <x:v>CH-PEA-A-Y1-18-6</x:v>
      </x:c>
      <x:c r="F1385" s="7" t="str">
        <x:f>'Channel Instances'!O546</x:f>
        <x:v>OPEN</x:v>
      </x:c>
    </x:row>
    <x:row r="1386">
      <x:c r="B1386" s="7" t="str">
        <x:v>AG-01380</x:v>
      </x:c>
      <x:c r="C1386" s="7" t="str">
        <x:v>PEA-A-Y1</x:v>
      </x:c>
      <x:c r="D1386" s="7" t="str">
        <x:v>channel instance</x:v>
      </x:c>
      <x:c r="E1386" s="7" t="str">
        <x:v>CH-PEA-A-Y1-19-1</x:v>
      </x:c>
      <x:c r="F1386" s="7" t="str">
        <x:f>'Channel Instances'!O547</x:f>
        <x:v>OPEN</x:v>
      </x:c>
    </x:row>
    <x:row r="1387">
      <x:c r="B1387" s="7" t="str">
        <x:v>AG-01381</x:v>
      </x:c>
      <x:c r="C1387" s="7" t="str">
        <x:v>PEA-A-Y1</x:v>
      </x:c>
      <x:c r="D1387" s="7" t="str">
        <x:v>channel instance</x:v>
      </x:c>
      <x:c r="E1387" s="7" t="str">
        <x:v>CH-PEA-A-Y1-19-2</x:v>
      </x:c>
      <x:c r="F1387" s="7" t="str">
        <x:f>'Channel Instances'!O548</x:f>
        <x:v>OPEN</x:v>
      </x:c>
    </x:row>
    <x:row r="1388">
      <x:c r="B1388" s="7" t="str">
        <x:v>AG-01382</x:v>
      </x:c>
      <x:c r="C1388" s="7" t="str">
        <x:v>PEA-A-Y1</x:v>
      </x:c>
      <x:c r="D1388" s="7" t="str">
        <x:v>channel instance</x:v>
      </x:c>
      <x:c r="E1388" s="7" t="str">
        <x:v>CH-PEA-A-Y1-19-3</x:v>
      </x:c>
      <x:c r="F1388" s="7" t="str">
        <x:f>'Channel Instances'!O549</x:f>
        <x:v>OPEN</x:v>
      </x:c>
    </x:row>
    <x:row r="1389">
      <x:c r="B1389" s="7" t="str">
        <x:v>AG-01383</x:v>
      </x:c>
      <x:c r="C1389" s="7" t="str">
        <x:v>PEA-A-Y1</x:v>
      </x:c>
      <x:c r="D1389" s="7" t="str">
        <x:v>channel instance</x:v>
      </x:c>
      <x:c r="E1389" s="7" t="str">
        <x:v>CH-PEA-A-Y1-19-4</x:v>
      </x:c>
      <x:c r="F1389" s="7" t="str">
        <x:f>'Channel Instances'!O550</x:f>
        <x:v>OPEN</x:v>
      </x:c>
    </x:row>
    <x:row r="1390">
      <x:c r="B1390" s="7" t="str">
        <x:v>AG-01384</x:v>
      </x:c>
      <x:c r="C1390" s="7" t="str">
        <x:v>PEA-A-Y1</x:v>
      </x:c>
      <x:c r="D1390" s="7" t="str">
        <x:v>channel instance</x:v>
      </x:c>
      <x:c r="E1390" s="7" t="str">
        <x:v>CH-PEA-A-Y1-19-5</x:v>
      </x:c>
      <x:c r="F1390" s="7" t="str">
        <x:f>'Channel Instances'!O551</x:f>
        <x:v>OPEN</x:v>
      </x:c>
    </x:row>
    <x:row r="1391">
      <x:c r="B1391" s="7" t="str">
        <x:v>AG-01385</x:v>
      </x:c>
      <x:c r="C1391" s="7" t="str">
        <x:v>PEA-A-Y1</x:v>
      </x:c>
      <x:c r="D1391" s="7" t="str">
        <x:v>channel instance</x:v>
      </x:c>
      <x:c r="E1391" s="7" t="str">
        <x:v>CH-PEA-A-Y1-19-6</x:v>
      </x:c>
      <x:c r="F1391" s="7" t="str">
        <x:f>'Channel Instances'!O552</x:f>
        <x:v>OPEN</x:v>
      </x:c>
    </x:row>
    <x:row r="1392">
      <x:c r="B1392" s="7" t="str">
        <x:v>AG-01386</x:v>
      </x:c>
      <x:c r="C1392" s="7" t="str">
        <x:v>PEA-A-Y1</x:v>
      </x:c>
      <x:c r="D1392" s="7" t="str">
        <x:v>channel instance</x:v>
      </x:c>
      <x:c r="E1392" s="7" t="str">
        <x:v>CH-PEA-A-Y1-20-1</x:v>
      </x:c>
      <x:c r="F1392" s="7" t="str">
        <x:f>'Channel Instances'!O553</x:f>
        <x:v>OPEN</x:v>
      </x:c>
    </x:row>
    <x:row r="1393">
      <x:c r="B1393" s="7" t="str">
        <x:v>AG-01387</x:v>
      </x:c>
      <x:c r="C1393" s="7" t="str">
        <x:v>PEA-A-Y1</x:v>
      </x:c>
      <x:c r="D1393" s="7" t="str">
        <x:v>channel instance</x:v>
      </x:c>
      <x:c r="E1393" s="7" t="str">
        <x:v>CH-PEA-A-Y1-20-2</x:v>
      </x:c>
      <x:c r="F1393" s="7" t="str">
        <x:f>'Channel Instances'!O554</x:f>
        <x:v>OPEN</x:v>
      </x:c>
    </x:row>
    <x:row r="1394">
      <x:c r="B1394" s="7" t="str">
        <x:v>AG-01388</x:v>
      </x:c>
      <x:c r="C1394" s="7" t="str">
        <x:v>PEA-A-Y1</x:v>
      </x:c>
      <x:c r="D1394" s="7" t="str">
        <x:v>channel instance</x:v>
      </x:c>
      <x:c r="E1394" s="7" t="str">
        <x:v>CH-PEA-A-Y1-20-3</x:v>
      </x:c>
      <x:c r="F1394" s="7" t="str">
        <x:f>'Channel Instances'!O555</x:f>
        <x:v>OPEN</x:v>
      </x:c>
    </x:row>
    <x:row r="1395">
      <x:c r="B1395" s="7" t="str">
        <x:v>AG-01389</x:v>
      </x:c>
      <x:c r="C1395" s="7" t="str">
        <x:v>PEA-A-Y1</x:v>
      </x:c>
      <x:c r="D1395" s="7" t="str">
        <x:v>channel instance</x:v>
      </x:c>
      <x:c r="E1395" s="7" t="str">
        <x:v>CH-PEA-A-Y1-20-4</x:v>
      </x:c>
      <x:c r="F1395" s="7" t="str">
        <x:f>'Channel Instances'!O556</x:f>
        <x:v>OPEN</x:v>
      </x:c>
    </x:row>
    <x:row r="1396">
      <x:c r="B1396" s="7" t="str">
        <x:v>AG-01390</x:v>
      </x:c>
      <x:c r="C1396" s="7" t="str">
        <x:v>PEA-A-Y1</x:v>
      </x:c>
      <x:c r="D1396" s="7" t="str">
        <x:v>channel instance</x:v>
      </x:c>
      <x:c r="E1396" s="7" t="str">
        <x:v>CH-PEA-A-Y1-20-5</x:v>
      </x:c>
      <x:c r="F1396" s="7" t="str">
        <x:f>'Channel Instances'!O557</x:f>
        <x:v>OPEN</x:v>
      </x:c>
    </x:row>
    <x:row r="1397">
      <x:c r="B1397" s="7" t="str">
        <x:v>AG-01391</x:v>
      </x:c>
      <x:c r="C1397" s="7" t="str">
        <x:v>PEA-A-Y1</x:v>
      </x:c>
      <x:c r="D1397" s="7" t="str">
        <x:v>channel instance</x:v>
      </x:c>
      <x:c r="E1397" s="7" t="str">
        <x:v>CH-PEA-A-Y1-20-6</x:v>
      </x:c>
      <x:c r="F1397" s="7" t="str">
        <x:f>'Channel Instances'!O558</x:f>
        <x:v>OPEN</x:v>
      </x:c>
    </x:row>
    <x:row r="1398">
      <x:c r="B1398" s="7" t="str">
        <x:v>AG-01392</x:v>
      </x:c>
      <x:c r="C1398" s="7" t="str">
        <x:v>PEA-A-Y1</x:v>
      </x:c>
      <x:c r="D1398" s="7" t="str">
        <x:v>channel instance</x:v>
      </x:c>
      <x:c r="E1398" s="7" t="str">
        <x:v>CH-PEA-A-Y1-21-1</x:v>
      </x:c>
      <x:c r="F1398" s="7" t="str">
        <x:f>'Channel Instances'!O559</x:f>
        <x:v>OPEN</x:v>
      </x:c>
    </x:row>
    <x:row r="1399">
      <x:c r="B1399" s="7" t="str">
        <x:v>AG-01393</x:v>
      </x:c>
      <x:c r="C1399" s="7" t="str">
        <x:v>PEA-A-Y1</x:v>
      </x:c>
      <x:c r="D1399" s="7" t="str">
        <x:v>channel instance</x:v>
      </x:c>
      <x:c r="E1399" s="7" t="str">
        <x:v>CH-PEA-A-Y1-21-2</x:v>
      </x:c>
      <x:c r="F1399" s="7" t="str">
        <x:f>'Channel Instances'!O560</x:f>
        <x:v>OPEN</x:v>
      </x:c>
    </x:row>
    <x:row r="1400">
      <x:c r="B1400" s="7" t="str">
        <x:v>AG-01394</x:v>
      </x:c>
      <x:c r="C1400" s="7" t="str">
        <x:v>PEA-A-Y1</x:v>
      </x:c>
      <x:c r="D1400" s="7" t="str">
        <x:v>channel instance</x:v>
      </x:c>
      <x:c r="E1400" s="7" t="str">
        <x:v>CH-PEA-A-Y1-21-3</x:v>
      </x:c>
      <x:c r="F1400" s="7" t="str">
        <x:f>'Channel Instances'!O561</x:f>
        <x:v>OPEN</x:v>
      </x:c>
    </x:row>
    <x:row r="1401">
      <x:c r="B1401" s="7" t="str">
        <x:v>AG-01395</x:v>
      </x:c>
      <x:c r="C1401" s="7" t="str">
        <x:v>PEA-A-Y1</x:v>
      </x:c>
      <x:c r="D1401" s="7" t="str">
        <x:v>channel instance</x:v>
      </x:c>
      <x:c r="E1401" s="7" t="str">
        <x:v>CH-PEA-A-Y1-21-4</x:v>
      </x:c>
      <x:c r="F1401" s="7" t="str">
        <x:f>'Channel Instances'!O562</x:f>
        <x:v>OPEN</x:v>
      </x:c>
    </x:row>
    <x:row r="1402">
      <x:c r="B1402" s="7" t="str">
        <x:v>AG-01396</x:v>
      </x:c>
      <x:c r="C1402" s="7" t="str">
        <x:v>PEA-A-Y1</x:v>
      </x:c>
      <x:c r="D1402" s="7" t="str">
        <x:v>channel instance</x:v>
      </x:c>
      <x:c r="E1402" s="7" t="str">
        <x:v>CH-PEA-A-Y1-21-5</x:v>
      </x:c>
      <x:c r="F1402" s="7" t="str">
        <x:f>'Channel Instances'!O563</x:f>
        <x:v>OPEN</x:v>
      </x:c>
    </x:row>
    <x:row r="1403">
      <x:c r="B1403" s="7" t="str">
        <x:v>AG-01397</x:v>
      </x:c>
      <x:c r="C1403" s="7" t="str">
        <x:v>PEA-A-Y1</x:v>
      </x:c>
      <x:c r="D1403" s="7" t="str">
        <x:v>channel instance</x:v>
      </x:c>
      <x:c r="E1403" s="7" t="str">
        <x:v>CH-PEA-A-Y1-21-6</x:v>
      </x:c>
      <x:c r="F1403" s="7" t="str">
        <x:f>'Channel Instances'!O564</x:f>
        <x:v>OPEN</x:v>
      </x:c>
    </x:row>
    <x:row r="1404">
      <x:c r="B1404" s="7" t="str">
        <x:v>AG-01398</x:v>
      </x:c>
      <x:c r="C1404" s="7" t="str">
        <x:v>PEA-A-Y1</x:v>
      </x:c>
      <x:c r="D1404" s="7" t="str">
        <x:v>channel instance</x:v>
      </x:c>
      <x:c r="E1404" s="7" t="str">
        <x:v>CH-PEA-A-Y1-22-1</x:v>
      </x:c>
      <x:c r="F1404" s="7" t="str">
        <x:f>'Channel Instances'!O565</x:f>
        <x:v>OPEN</x:v>
      </x:c>
    </x:row>
    <x:row r="1405">
      <x:c r="B1405" s="7" t="str">
        <x:v>AG-01399</x:v>
      </x:c>
      <x:c r="C1405" s="7" t="str">
        <x:v>PEA-A-Y1</x:v>
      </x:c>
      <x:c r="D1405" s="7" t="str">
        <x:v>channel instance</x:v>
      </x:c>
      <x:c r="E1405" s="7" t="str">
        <x:v>CH-PEA-A-Y1-22-2</x:v>
      </x:c>
      <x:c r="F1405" s="7" t="str">
        <x:f>'Channel Instances'!O566</x:f>
        <x:v>OPEN</x:v>
      </x:c>
    </x:row>
    <x:row r="1406">
      <x:c r="B1406" s="7" t="str">
        <x:v>AG-01400</x:v>
      </x:c>
      <x:c r="C1406" s="7" t="str">
        <x:v>PEA-A-Y1</x:v>
      </x:c>
      <x:c r="D1406" s="7" t="str">
        <x:v>channel instance</x:v>
      </x:c>
      <x:c r="E1406" s="7" t="str">
        <x:v>CH-PEA-A-Y1-22-3</x:v>
      </x:c>
      <x:c r="F1406" s="7" t="str">
        <x:f>'Channel Instances'!O567</x:f>
        <x:v>OPEN</x:v>
      </x:c>
    </x:row>
    <x:row r="1407">
      <x:c r="B1407" s="7" t="str">
        <x:v>AG-01401</x:v>
      </x:c>
      <x:c r="C1407" s="7" t="str">
        <x:v>PEA-A-Y1</x:v>
      </x:c>
      <x:c r="D1407" s="7" t="str">
        <x:v>channel instance</x:v>
      </x:c>
      <x:c r="E1407" s="7" t="str">
        <x:v>CH-PEA-A-Y1-22-4</x:v>
      </x:c>
      <x:c r="F1407" s="7" t="str">
        <x:f>'Channel Instances'!O568</x:f>
        <x:v>OPEN</x:v>
      </x:c>
    </x:row>
    <x:row r="1408">
      <x:c r="B1408" s="7" t="str">
        <x:v>AG-01402</x:v>
      </x:c>
      <x:c r="C1408" s="7" t="str">
        <x:v>PEA-A-Y1</x:v>
      </x:c>
      <x:c r="D1408" s="7" t="str">
        <x:v>channel instance</x:v>
      </x:c>
      <x:c r="E1408" s="7" t="str">
        <x:v>CH-PEA-A-Y1-22-5</x:v>
      </x:c>
      <x:c r="F1408" s="7" t="str">
        <x:f>'Channel Instances'!O569</x:f>
        <x:v>OPEN</x:v>
      </x:c>
    </x:row>
    <x:row r="1409">
      <x:c r="B1409" s="7" t="str">
        <x:v>AG-01403</x:v>
      </x:c>
      <x:c r="C1409" s="7" t="str">
        <x:v>PEA-A-Y1</x:v>
      </x:c>
      <x:c r="D1409" s="7" t="str">
        <x:v>channel instance</x:v>
      </x:c>
      <x:c r="E1409" s="7" t="str">
        <x:v>CH-PEA-A-Y1-22-6</x:v>
      </x:c>
      <x:c r="F1409" s="7" t="str">
        <x:f>'Channel Instances'!O570</x:f>
        <x:v>OPEN</x:v>
      </x:c>
    </x:row>
    <x:row r="1410">
      <x:c r="B1410" s="7" t="str">
        <x:v>AG-01404</x:v>
      </x:c>
      <x:c r="C1410" s="7" t="str">
        <x:v>PEA-A-Y1</x:v>
      </x:c>
      <x:c r="D1410" s="7" t="str">
        <x:v>channel instance</x:v>
      </x:c>
      <x:c r="E1410" s="7" t="str">
        <x:v>CH-PEA-A-Y1-23-1</x:v>
      </x:c>
      <x:c r="F1410" s="7" t="str">
        <x:f>'Channel Instances'!O571</x:f>
        <x:v>OPEN</x:v>
      </x:c>
    </x:row>
    <x:row r="1411">
      <x:c r="B1411" s="7" t="str">
        <x:v>AG-01405</x:v>
      </x:c>
      <x:c r="C1411" s="7" t="str">
        <x:v>PEA-A-Y1</x:v>
      </x:c>
      <x:c r="D1411" s="7" t="str">
        <x:v>channel instance</x:v>
      </x:c>
      <x:c r="E1411" s="7" t="str">
        <x:v>CH-PEA-A-Y1-23-2</x:v>
      </x:c>
      <x:c r="F1411" s="7" t="str">
        <x:f>'Channel Instances'!O572</x:f>
        <x:v>OPEN</x:v>
      </x:c>
    </x:row>
    <x:row r="1412">
      <x:c r="B1412" s="7" t="str">
        <x:v>AG-01406</x:v>
      </x:c>
      <x:c r="C1412" s="7" t="str">
        <x:v>PEA-A-Y1</x:v>
      </x:c>
      <x:c r="D1412" s="7" t="str">
        <x:v>channel instance</x:v>
      </x:c>
      <x:c r="E1412" s="7" t="str">
        <x:v>CH-PEA-A-Y1-23-3</x:v>
      </x:c>
      <x:c r="F1412" s="7" t="str">
        <x:f>'Channel Instances'!O573</x:f>
        <x:v>OPEN</x:v>
      </x:c>
    </x:row>
    <x:row r="1413">
      <x:c r="B1413" s="7" t="str">
        <x:v>AG-01407</x:v>
      </x:c>
      <x:c r="C1413" s="7" t="str">
        <x:v>PEA-A-Y1</x:v>
      </x:c>
      <x:c r="D1413" s="7" t="str">
        <x:v>channel instance</x:v>
      </x:c>
      <x:c r="E1413" s="7" t="str">
        <x:v>CH-PEA-A-Y1-23-4</x:v>
      </x:c>
      <x:c r="F1413" s="7" t="str">
        <x:f>'Channel Instances'!O574</x:f>
        <x:v>OPEN</x:v>
      </x:c>
    </x:row>
    <x:row r="1414">
      <x:c r="B1414" s="7" t="str">
        <x:v>AG-01408</x:v>
      </x:c>
      <x:c r="C1414" s="7" t="str">
        <x:v>PEA-A-Y1</x:v>
      </x:c>
      <x:c r="D1414" s="7" t="str">
        <x:v>channel instance</x:v>
      </x:c>
      <x:c r="E1414" s="7" t="str">
        <x:v>CH-PEA-A-Y1-23-5</x:v>
      </x:c>
      <x:c r="F1414" s="7" t="str">
        <x:f>'Channel Instances'!O575</x:f>
        <x:v>OPEN</x:v>
      </x:c>
    </x:row>
    <x:row r="1415">
      <x:c r="B1415" s="7" t="str">
        <x:v>AG-01409</x:v>
      </x:c>
      <x:c r="C1415" s="7" t="str">
        <x:v>PEA-A-Y1</x:v>
      </x:c>
      <x:c r="D1415" s="7" t="str">
        <x:v>channel instance</x:v>
      </x:c>
      <x:c r="E1415" s="7" t="str">
        <x:v>CH-PEA-A-Y1-23-6</x:v>
      </x:c>
      <x:c r="F1415" s="7" t="str">
        <x:f>'Channel Instances'!O576</x:f>
        <x:v>OPEN</x:v>
      </x:c>
    </x:row>
    <x:row r="1416">
      <x:c r="B1416" s="7" t="str">
        <x:v>AG-01410</x:v>
      </x:c>
      <x:c r="C1416" s="7" t="str">
        <x:v>PEA-A-Y1</x:v>
      </x:c>
      <x:c r="D1416" s="7" t="str">
        <x:v>channel instance</x:v>
      </x:c>
      <x:c r="E1416" s="7" t="str">
        <x:v>CH-PEA-A-Y1-24-1</x:v>
      </x:c>
      <x:c r="F1416" s="7" t="str">
        <x:f>'Channel Instances'!O577</x:f>
        <x:v>OPEN</x:v>
      </x:c>
    </x:row>
    <x:row r="1417">
      <x:c r="B1417" s="7" t="str">
        <x:v>AG-01411</x:v>
      </x:c>
      <x:c r="C1417" s="7" t="str">
        <x:v>PEA-A-Y1</x:v>
      </x:c>
      <x:c r="D1417" s="7" t="str">
        <x:v>channel instance</x:v>
      </x:c>
      <x:c r="E1417" s="7" t="str">
        <x:v>CH-PEA-A-Y1-24-2</x:v>
      </x:c>
      <x:c r="F1417" s="7" t="str">
        <x:f>'Channel Instances'!O578</x:f>
        <x:v>OPEN</x:v>
      </x:c>
    </x:row>
    <x:row r="1418">
      <x:c r="B1418" s="7" t="str">
        <x:v>AG-01412</x:v>
      </x:c>
      <x:c r="C1418" s="7" t="str">
        <x:v>PEA-A-Y1</x:v>
      </x:c>
      <x:c r="D1418" s="7" t="str">
        <x:v>channel instance</x:v>
      </x:c>
      <x:c r="E1418" s="7" t="str">
        <x:v>CH-PEA-A-Y1-24-3</x:v>
      </x:c>
      <x:c r="F1418" s="7" t="str">
        <x:f>'Channel Instances'!O579</x:f>
        <x:v>OPEN</x:v>
      </x:c>
    </x:row>
    <x:row r="1419">
      <x:c r="B1419" s="7" t="str">
        <x:v>AG-01413</x:v>
      </x:c>
      <x:c r="C1419" s="7" t="str">
        <x:v>PEA-A-Y1</x:v>
      </x:c>
      <x:c r="D1419" s="7" t="str">
        <x:v>channel instance</x:v>
      </x:c>
      <x:c r="E1419" s="7" t="str">
        <x:v>CH-PEA-A-Y1-24-4</x:v>
      </x:c>
      <x:c r="F1419" s="7" t="str">
        <x:f>'Channel Instances'!O580</x:f>
        <x:v>OPEN</x:v>
      </x:c>
    </x:row>
    <x:row r="1420">
      <x:c r="B1420" s="7" t="str">
        <x:v>AG-01414</x:v>
      </x:c>
      <x:c r="C1420" s="7" t="str">
        <x:v>PEA-A-Y1</x:v>
      </x:c>
      <x:c r="D1420" s="7" t="str">
        <x:v>channel instance</x:v>
      </x:c>
      <x:c r="E1420" s="7" t="str">
        <x:v>CH-PEA-A-Y1-24-5</x:v>
      </x:c>
      <x:c r="F1420" s="7" t="str">
        <x:f>'Channel Instances'!O581</x:f>
        <x:v>OPEN</x:v>
      </x:c>
    </x:row>
    <x:row r="1421">
      <x:c r="B1421" s="7" t="str">
        <x:v>AG-01415</x:v>
      </x:c>
      <x:c r="C1421" s="7" t="str">
        <x:v>PEA-A-Y1</x:v>
      </x:c>
      <x:c r="D1421" s="7" t="str">
        <x:v>channel instance</x:v>
      </x:c>
      <x:c r="E1421" s="7" t="str">
        <x:v>CH-PEA-A-Y1-24-6</x:v>
      </x:c>
      <x:c r="F1421" s="7" t="str">
        <x:f>'Channel Instances'!O582</x:f>
        <x:v>OPEN</x:v>
      </x:c>
    </x:row>
    <x:row r="1422">
      <x:c r="B1422" s="7" t="str">
        <x:v>AG-01416</x:v>
      </x:c>
      <x:c r="C1422" s="7" t="str">
        <x:v>PEA-A-Y1</x:v>
      </x:c>
      <x:c r="D1422" s="7" t="str">
        <x:v>factory calibration</x:v>
      </x:c>
      <x:c r="E1422" s="7" t="str">
        <x:v>CAL-CH-PEA-A-Y1-01-1</x:v>
      </x:c>
      <x:c r="F1422" s="7" t="str">
        <x:f>'Calibration Records'!M439</x:f>
        <x:v>OPEN</x:v>
      </x:c>
    </x:row>
    <x:row r="1423">
      <x:c r="B1423" s="7" t="str">
        <x:v>AG-01417</x:v>
      </x:c>
      <x:c r="C1423" s="7" t="str">
        <x:v>PEA-A-Y1</x:v>
      </x:c>
      <x:c r="D1423" s="7" t="str">
        <x:v>factory calibration</x:v>
      </x:c>
      <x:c r="E1423" s="7" t="str">
        <x:v>CAL-CH-PEA-A-Y1-01-2</x:v>
      </x:c>
      <x:c r="F1423" s="7" t="str">
        <x:f>'Calibration Records'!M440</x:f>
        <x:v>OPEN</x:v>
      </x:c>
    </x:row>
    <x:row r="1424">
      <x:c r="B1424" s="7" t="str">
        <x:v>AG-01418</x:v>
      </x:c>
      <x:c r="C1424" s="7" t="str">
        <x:v>PEA-A-Y1</x:v>
      </x:c>
      <x:c r="D1424" s="7" t="str">
        <x:v>factory calibration</x:v>
      </x:c>
      <x:c r="E1424" s="7" t="str">
        <x:v>CAL-CH-PEA-A-Y1-01-3</x:v>
      </x:c>
      <x:c r="F1424" s="7" t="str">
        <x:f>'Calibration Records'!M441</x:f>
        <x:v>OPEN</x:v>
      </x:c>
    </x:row>
    <x:row r="1425">
      <x:c r="B1425" s="7" t="str">
        <x:v>AG-01419</x:v>
      </x:c>
      <x:c r="C1425" s="7" t="str">
        <x:v>PEA-A-Y1</x:v>
      </x:c>
      <x:c r="D1425" s="7" t="str">
        <x:v>factory calibration</x:v>
      </x:c>
      <x:c r="E1425" s="7" t="str">
        <x:v>CAL-CH-PEA-A-Y1-01-4</x:v>
      </x:c>
      <x:c r="F1425" s="7" t="str">
        <x:f>'Calibration Records'!M442</x:f>
        <x:v>OPEN</x:v>
      </x:c>
    </x:row>
    <x:row r="1426">
      <x:c r="B1426" s="7" t="str">
        <x:v>AG-01420</x:v>
      </x:c>
      <x:c r="C1426" s="7" t="str">
        <x:v>PEA-A-Y1</x:v>
      </x:c>
      <x:c r="D1426" s="7" t="str">
        <x:v>factory calibration</x:v>
      </x:c>
      <x:c r="E1426" s="7" t="str">
        <x:v>CAL-CH-PEA-A-Y1-01-5</x:v>
      </x:c>
      <x:c r="F1426" s="7" t="str">
        <x:f>'Calibration Records'!M443</x:f>
        <x:v>OPEN</x:v>
      </x:c>
    </x:row>
    <x:row r="1427">
      <x:c r="B1427" s="7" t="str">
        <x:v>AG-01421</x:v>
      </x:c>
      <x:c r="C1427" s="7" t="str">
        <x:v>PEA-A-Y1</x:v>
      </x:c>
      <x:c r="D1427" s="7" t="str">
        <x:v>factory calibration</x:v>
      </x:c>
      <x:c r="E1427" s="7" t="str">
        <x:v>CAL-CH-PEA-A-Y1-01-6</x:v>
      </x:c>
      <x:c r="F1427" s="7" t="str">
        <x:f>'Calibration Records'!M444</x:f>
        <x:v>OPEN</x:v>
      </x:c>
    </x:row>
    <x:row r="1428">
      <x:c r="B1428" s="7" t="str">
        <x:v>AG-01422</x:v>
      </x:c>
      <x:c r="C1428" s="7" t="str">
        <x:v>PEA-A-Y1</x:v>
      </x:c>
      <x:c r="D1428" s="7" t="str">
        <x:v>factory calibration</x:v>
      </x:c>
      <x:c r="E1428" s="7" t="str">
        <x:v>CAL-CH-PEA-A-Y1-02-1</x:v>
      </x:c>
      <x:c r="F1428" s="7" t="str">
        <x:f>'Calibration Records'!M445</x:f>
        <x:v>OPEN</x:v>
      </x:c>
    </x:row>
    <x:row r="1429">
      <x:c r="B1429" s="7" t="str">
        <x:v>AG-01423</x:v>
      </x:c>
      <x:c r="C1429" s="7" t="str">
        <x:v>PEA-A-Y1</x:v>
      </x:c>
      <x:c r="D1429" s="7" t="str">
        <x:v>factory calibration</x:v>
      </x:c>
      <x:c r="E1429" s="7" t="str">
        <x:v>CAL-CH-PEA-A-Y1-02-2</x:v>
      </x:c>
      <x:c r="F1429" s="7" t="str">
        <x:f>'Calibration Records'!M446</x:f>
        <x:v>OPEN</x:v>
      </x:c>
    </x:row>
    <x:row r="1430">
      <x:c r="B1430" s="7" t="str">
        <x:v>AG-01424</x:v>
      </x:c>
      <x:c r="C1430" s="7" t="str">
        <x:v>PEA-A-Y1</x:v>
      </x:c>
      <x:c r="D1430" s="7" t="str">
        <x:v>factory calibration</x:v>
      </x:c>
      <x:c r="E1430" s="7" t="str">
        <x:v>CAL-CH-PEA-A-Y1-02-3</x:v>
      </x:c>
      <x:c r="F1430" s="7" t="str">
        <x:f>'Calibration Records'!M447</x:f>
        <x:v>OPEN</x:v>
      </x:c>
    </x:row>
    <x:row r="1431">
      <x:c r="B1431" s="7" t="str">
        <x:v>AG-01425</x:v>
      </x:c>
      <x:c r="C1431" s="7" t="str">
        <x:v>PEA-A-Y1</x:v>
      </x:c>
      <x:c r="D1431" s="7" t="str">
        <x:v>factory calibration</x:v>
      </x:c>
      <x:c r="E1431" s="7" t="str">
        <x:v>CAL-CH-PEA-A-Y1-02-4</x:v>
      </x:c>
      <x:c r="F1431" s="7" t="str">
        <x:f>'Calibration Records'!M448</x:f>
        <x:v>OPEN</x:v>
      </x:c>
    </x:row>
    <x:row r="1432">
      <x:c r="B1432" s="7" t="str">
        <x:v>AG-01426</x:v>
      </x:c>
      <x:c r="C1432" s="7" t="str">
        <x:v>PEA-A-Y1</x:v>
      </x:c>
      <x:c r="D1432" s="7" t="str">
        <x:v>factory calibration</x:v>
      </x:c>
      <x:c r="E1432" s="7" t="str">
        <x:v>CAL-CH-PEA-A-Y1-02-5</x:v>
      </x:c>
      <x:c r="F1432" s="7" t="str">
        <x:f>'Calibration Records'!M449</x:f>
        <x:v>OPEN</x:v>
      </x:c>
    </x:row>
    <x:row r="1433">
      <x:c r="B1433" s="7" t="str">
        <x:v>AG-01427</x:v>
      </x:c>
      <x:c r="C1433" s="7" t="str">
        <x:v>PEA-A-Y1</x:v>
      </x:c>
      <x:c r="D1433" s="7" t="str">
        <x:v>factory calibration</x:v>
      </x:c>
      <x:c r="E1433" s="7" t="str">
        <x:v>CAL-CH-PEA-A-Y1-02-6</x:v>
      </x:c>
      <x:c r="F1433" s="7" t="str">
        <x:f>'Calibration Records'!M450</x:f>
        <x:v>OPEN</x:v>
      </x:c>
    </x:row>
    <x:row r="1434">
      <x:c r="B1434" s="7" t="str">
        <x:v>AG-01428</x:v>
      </x:c>
      <x:c r="C1434" s="7" t="str">
        <x:v>PEA-A-Y1</x:v>
      </x:c>
      <x:c r="D1434" s="7" t="str">
        <x:v>factory calibration</x:v>
      </x:c>
      <x:c r="E1434" s="7" t="str">
        <x:v>CAL-CH-PEA-A-Y1-03-1</x:v>
      </x:c>
      <x:c r="F1434" s="7" t="str">
        <x:f>'Calibration Records'!M451</x:f>
        <x:v>OPEN</x:v>
      </x:c>
    </x:row>
    <x:row r="1435">
      <x:c r="B1435" s="7" t="str">
        <x:v>AG-01429</x:v>
      </x:c>
      <x:c r="C1435" s="7" t="str">
        <x:v>PEA-A-Y1</x:v>
      </x:c>
      <x:c r="D1435" s="7" t="str">
        <x:v>factory calibration</x:v>
      </x:c>
      <x:c r="E1435" s="7" t="str">
        <x:v>CAL-CH-PEA-A-Y1-03-2</x:v>
      </x:c>
      <x:c r="F1435" s="7" t="str">
        <x:f>'Calibration Records'!M452</x:f>
        <x:v>OPEN</x:v>
      </x:c>
    </x:row>
    <x:row r="1436">
      <x:c r="B1436" s="7" t="str">
        <x:v>AG-01430</x:v>
      </x:c>
      <x:c r="C1436" s="7" t="str">
        <x:v>PEA-A-Y1</x:v>
      </x:c>
      <x:c r="D1436" s="7" t="str">
        <x:v>factory calibration</x:v>
      </x:c>
      <x:c r="E1436" s="7" t="str">
        <x:v>CAL-CH-PEA-A-Y1-03-3</x:v>
      </x:c>
      <x:c r="F1436" s="7" t="str">
        <x:f>'Calibration Records'!M453</x:f>
        <x:v>OPEN</x:v>
      </x:c>
    </x:row>
    <x:row r="1437">
      <x:c r="B1437" s="7" t="str">
        <x:v>AG-01431</x:v>
      </x:c>
      <x:c r="C1437" s="7" t="str">
        <x:v>PEA-A-Y1</x:v>
      </x:c>
      <x:c r="D1437" s="7" t="str">
        <x:v>factory calibration</x:v>
      </x:c>
      <x:c r="E1437" s="7" t="str">
        <x:v>CAL-CH-PEA-A-Y1-03-4</x:v>
      </x:c>
      <x:c r="F1437" s="7" t="str">
        <x:f>'Calibration Records'!M454</x:f>
        <x:v>OPEN</x:v>
      </x:c>
    </x:row>
    <x:row r="1438">
      <x:c r="B1438" s="7" t="str">
        <x:v>AG-01432</x:v>
      </x:c>
      <x:c r="C1438" s="7" t="str">
        <x:v>PEA-A-Y1</x:v>
      </x:c>
      <x:c r="D1438" s="7" t="str">
        <x:v>factory calibration</x:v>
      </x:c>
      <x:c r="E1438" s="7" t="str">
        <x:v>CAL-CH-PEA-A-Y1-03-5</x:v>
      </x:c>
      <x:c r="F1438" s="7" t="str">
        <x:f>'Calibration Records'!M455</x:f>
        <x:v>OPEN</x:v>
      </x:c>
    </x:row>
    <x:row r="1439">
      <x:c r="B1439" s="7" t="str">
        <x:v>AG-01433</x:v>
      </x:c>
      <x:c r="C1439" s="7" t="str">
        <x:v>PEA-A-Y1</x:v>
      </x:c>
      <x:c r="D1439" s="7" t="str">
        <x:v>factory calibration</x:v>
      </x:c>
      <x:c r="E1439" s="7" t="str">
        <x:v>CAL-CH-PEA-A-Y1-03-6</x:v>
      </x:c>
      <x:c r="F1439" s="7" t="str">
        <x:f>'Calibration Records'!M456</x:f>
        <x:v>OPEN</x:v>
      </x:c>
    </x:row>
    <x:row r="1440">
      <x:c r="B1440" s="7" t="str">
        <x:v>AG-01434</x:v>
      </x:c>
      <x:c r="C1440" s="7" t="str">
        <x:v>PEA-A-Y1</x:v>
      </x:c>
      <x:c r="D1440" s="7" t="str">
        <x:v>factory calibration</x:v>
      </x:c>
      <x:c r="E1440" s="7" t="str">
        <x:v>CAL-CH-PEA-A-Y1-04-1</x:v>
      </x:c>
      <x:c r="F1440" s="7" t="str">
        <x:f>'Calibration Records'!M457</x:f>
        <x:v>OPEN</x:v>
      </x:c>
    </x:row>
    <x:row r="1441">
      <x:c r="B1441" s="7" t="str">
        <x:v>AG-01435</x:v>
      </x:c>
      <x:c r="C1441" s="7" t="str">
        <x:v>PEA-A-Y1</x:v>
      </x:c>
      <x:c r="D1441" s="7" t="str">
        <x:v>factory calibration</x:v>
      </x:c>
      <x:c r="E1441" s="7" t="str">
        <x:v>CAL-CH-PEA-A-Y1-04-2</x:v>
      </x:c>
      <x:c r="F1441" s="7" t="str">
        <x:f>'Calibration Records'!M458</x:f>
        <x:v>OPEN</x:v>
      </x:c>
    </x:row>
    <x:row r="1442">
      <x:c r="B1442" s="7" t="str">
        <x:v>AG-01436</x:v>
      </x:c>
      <x:c r="C1442" s="7" t="str">
        <x:v>PEA-A-Y1</x:v>
      </x:c>
      <x:c r="D1442" s="7" t="str">
        <x:v>factory calibration</x:v>
      </x:c>
      <x:c r="E1442" s="7" t="str">
        <x:v>CAL-CH-PEA-A-Y1-04-3</x:v>
      </x:c>
      <x:c r="F1442" s="7" t="str">
        <x:f>'Calibration Records'!M459</x:f>
        <x:v>OPEN</x:v>
      </x:c>
    </x:row>
    <x:row r="1443">
      <x:c r="B1443" s="7" t="str">
        <x:v>AG-01437</x:v>
      </x:c>
      <x:c r="C1443" s="7" t="str">
        <x:v>PEA-A-Y1</x:v>
      </x:c>
      <x:c r="D1443" s="7" t="str">
        <x:v>factory calibration</x:v>
      </x:c>
      <x:c r="E1443" s="7" t="str">
        <x:v>CAL-CH-PEA-A-Y1-04-4</x:v>
      </x:c>
      <x:c r="F1443" s="7" t="str">
        <x:f>'Calibration Records'!M460</x:f>
        <x:v>OPEN</x:v>
      </x:c>
    </x:row>
    <x:row r="1444">
      <x:c r="B1444" s="7" t="str">
        <x:v>AG-01438</x:v>
      </x:c>
      <x:c r="C1444" s="7" t="str">
        <x:v>PEA-A-Y1</x:v>
      </x:c>
      <x:c r="D1444" s="7" t="str">
        <x:v>factory calibration</x:v>
      </x:c>
      <x:c r="E1444" s="7" t="str">
        <x:v>CAL-CH-PEA-A-Y1-04-5</x:v>
      </x:c>
      <x:c r="F1444" s="7" t="str">
        <x:f>'Calibration Records'!M461</x:f>
        <x:v>OPEN</x:v>
      </x:c>
    </x:row>
    <x:row r="1445">
      <x:c r="B1445" s="7" t="str">
        <x:v>AG-01439</x:v>
      </x:c>
      <x:c r="C1445" s="7" t="str">
        <x:v>PEA-A-Y1</x:v>
      </x:c>
      <x:c r="D1445" s="7" t="str">
        <x:v>factory calibration</x:v>
      </x:c>
      <x:c r="E1445" s="7" t="str">
        <x:v>CAL-CH-PEA-A-Y1-04-6</x:v>
      </x:c>
      <x:c r="F1445" s="7" t="str">
        <x:f>'Calibration Records'!M462</x:f>
        <x:v>OPEN</x:v>
      </x:c>
    </x:row>
    <x:row r="1446">
      <x:c r="B1446" s="7" t="str">
        <x:v>AG-01440</x:v>
      </x:c>
      <x:c r="C1446" s="7" t="str">
        <x:v>PEA-A-Y1</x:v>
      </x:c>
      <x:c r="D1446" s="7" t="str">
        <x:v>factory calibration</x:v>
      </x:c>
      <x:c r="E1446" s="7" t="str">
        <x:v>CAL-CH-PEA-A-Y1-05-1</x:v>
      </x:c>
      <x:c r="F1446" s="7" t="str">
        <x:f>'Calibration Records'!M463</x:f>
        <x:v>OPEN</x:v>
      </x:c>
    </x:row>
    <x:row r="1447">
      <x:c r="B1447" s="7" t="str">
        <x:v>AG-01441</x:v>
      </x:c>
      <x:c r="C1447" s="7" t="str">
        <x:v>PEA-A-Y1</x:v>
      </x:c>
      <x:c r="D1447" s="7" t="str">
        <x:v>factory calibration</x:v>
      </x:c>
      <x:c r="E1447" s="7" t="str">
        <x:v>CAL-CH-PEA-A-Y1-05-2</x:v>
      </x:c>
      <x:c r="F1447" s="7" t="str">
        <x:f>'Calibration Records'!M464</x:f>
        <x:v>OPEN</x:v>
      </x:c>
    </x:row>
    <x:row r="1448">
      <x:c r="B1448" s="7" t="str">
        <x:v>AG-01442</x:v>
      </x:c>
      <x:c r="C1448" s="7" t="str">
        <x:v>PEA-A-Y1</x:v>
      </x:c>
      <x:c r="D1448" s="7" t="str">
        <x:v>factory calibration</x:v>
      </x:c>
      <x:c r="E1448" s="7" t="str">
        <x:v>CAL-CH-PEA-A-Y1-05-3</x:v>
      </x:c>
      <x:c r="F1448" s="7" t="str">
        <x:f>'Calibration Records'!M465</x:f>
        <x:v>OPEN</x:v>
      </x:c>
    </x:row>
    <x:row r="1449">
      <x:c r="B1449" s="7" t="str">
        <x:v>AG-01443</x:v>
      </x:c>
      <x:c r="C1449" s="7" t="str">
        <x:v>PEA-A-Y1</x:v>
      </x:c>
      <x:c r="D1449" s="7" t="str">
        <x:v>factory calibration</x:v>
      </x:c>
      <x:c r="E1449" s="7" t="str">
        <x:v>CAL-CH-PEA-A-Y1-05-4</x:v>
      </x:c>
      <x:c r="F1449" s="7" t="str">
        <x:f>'Calibration Records'!M466</x:f>
        <x:v>OPEN</x:v>
      </x:c>
    </x:row>
    <x:row r="1450">
      <x:c r="B1450" s="7" t="str">
        <x:v>AG-01444</x:v>
      </x:c>
      <x:c r="C1450" s="7" t="str">
        <x:v>PEA-A-Y1</x:v>
      </x:c>
      <x:c r="D1450" s="7" t="str">
        <x:v>factory calibration</x:v>
      </x:c>
      <x:c r="E1450" s="7" t="str">
        <x:v>CAL-CH-PEA-A-Y1-05-5</x:v>
      </x:c>
      <x:c r="F1450" s="7" t="str">
        <x:f>'Calibration Records'!M467</x:f>
        <x:v>OPEN</x:v>
      </x:c>
    </x:row>
    <x:row r="1451">
      <x:c r="B1451" s="7" t="str">
        <x:v>AG-01445</x:v>
      </x:c>
      <x:c r="C1451" s="7" t="str">
        <x:v>PEA-A-Y1</x:v>
      </x:c>
      <x:c r="D1451" s="7" t="str">
        <x:v>factory calibration</x:v>
      </x:c>
      <x:c r="E1451" s="7" t="str">
        <x:v>CAL-CH-PEA-A-Y1-05-6</x:v>
      </x:c>
      <x:c r="F1451" s="7" t="str">
        <x:f>'Calibration Records'!M468</x:f>
        <x:v>OPEN</x:v>
      </x:c>
    </x:row>
    <x:row r="1452">
      <x:c r="B1452" s="7" t="str">
        <x:v>AG-01446</x:v>
      </x:c>
      <x:c r="C1452" s="7" t="str">
        <x:v>PEA-A-Y1</x:v>
      </x:c>
      <x:c r="D1452" s="7" t="str">
        <x:v>factory calibration</x:v>
      </x:c>
      <x:c r="E1452" s="7" t="str">
        <x:v>CAL-CH-PEA-A-Y1-06-1</x:v>
      </x:c>
      <x:c r="F1452" s="7" t="str">
        <x:f>'Calibration Records'!M469</x:f>
        <x:v>OPEN</x:v>
      </x:c>
    </x:row>
    <x:row r="1453">
      <x:c r="B1453" s="7" t="str">
        <x:v>AG-01447</x:v>
      </x:c>
      <x:c r="C1453" s="7" t="str">
        <x:v>PEA-A-Y1</x:v>
      </x:c>
      <x:c r="D1453" s="7" t="str">
        <x:v>factory calibration</x:v>
      </x:c>
      <x:c r="E1453" s="7" t="str">
        <x:v>CAL-CH-PEA-A-Y1-06-2</x:v>
      </x:c>
      <x:c r="F1453" s="7" t="str">
        <x:f>'Calibration Records'!M470</x:f>
        <x:v>OPEN</x:v>
      </x:c>
    </x:row>
    <x:row r="1454">
      <x:c r="B1454" s="7" t="str">
        <x:v>AG-01448</x:v>
      </x:c>
      <x:c r="C1454" s="7" t="str">
        <x:v>PEA-A-Y1</x:v>
      </x:c>
      <x:c r="D1454" s="7" t="str">
        <x:v>factory calibration</x:v>
      </x:c>
      <x:c r="E1454" s="7" t="str">
        <x:v>CAL-CH-PEA-A-Y1-06-3</x:v>
      </x:c>
      <x:c r="F1454" s="7" t="str">
        <x:f>'Calibration Records'!M471</x:f>
        <x:v>OPEN</x:v>
      </x:c>
    </x:row>
    <x:row r="1455">
      <x:c r="B1455" s="7" t="str">
        <x:v>AG-01449</x:v>
      </x:c>
      <x:c r="C1455" s="7" t="str">
        <x:v>PEA-A-Y1</x:v>
      </x:c>
      <x:c r="D1455" s="7" t="str">
        <x:v>factory calibration</x:v>
      </x:c>
      <x:c r="E1455" s="7" t="str">
        <x:v>CAL-CH-PEA-A-Y1-06-4</x:v>
      </x:c>
      <x:c r="F1455" s="7" t="str">
        <x:f>'Calibration Records'!M472</x:f>
        <x:v>OPEN</x:v>
      </x:c>
    </x:row>
    <x:row r="1456">
      <x:c r="B1456" s="7" t="str">
        <x:v>AG-01450</x:v>
      </x:c>
      <x:c r="C1456" s="7" t="str">
        <x:v>PEA-A-Y1</x:v>
      </x:c>
      <x:c r="D1456" s="7" t="str">
        <x:v>factory calibration</x:v>
      </x:c>
      <x:c r="E1456" s="7" t="str">
        <x:v>CAL-CH-PEA-A-Y1-06-5</x:v>
      </x:c>
      <x:c r="F1456" s="7" t="str">
        <x:f>'Calibration Records'!M473</x:f>
        <x:v>OPEN</x:v>
      </x:c>
    </x:row>
    <x:row r="1457">
      <x:c r="B1457" s="7" t="str">
        <x:v>AG-01451</x:v>
      </x:c>
      <x:c r="C1457" s="7" t="str">
        <x:v>PEA-A-Y1</x:v>
      </x:c>
      <x:c r="D1457" s="7" t="str">
        <x:v>factory calibration</x:v>
      </x:c>
      <x:c r="E1457" s="7" t="str">
        <x:v>CAL-CH-PEA-A-Y1-06-6</x:v>
      </x:c>
      <x:c r="F1457" s="7" t="str">
        <x:f>'Calibration Records'!M474</x:f>
        <x:v>OPEN</x:v>
      </x:c>
    </x:row>
    <x:row r="1458">
      <x:c r="B1458" s="7" t="str">
        <x:v>AG-01452</x:v>
      </x:c>
      <x:c r="C1458" s="7" t="str">
        <x:v>PEA-A-Y1</x:v>
      </x:c>
      <x:c r="D1458" s="7" t="str">
        <x:v>factory calibration</x:v>
      </x:c>
      <x:c r="E1458" s="7" t="str">
        <x:v>CAL-CH-PEA-A-Y1-07-1</x:v>
      </x:c>
      <x:c r="F1458" s="7" t="str">
        <x:f>'Calibration Records'!M475</x:f>
        <x:v>OPEN</x:v>
      </x:c>
    </x:row>
    <x:row r="1459">
      <x:c r="B1459" s="7" t="str">
        <x:v>AG-01453</x:v>
      </x:c>
      <x:c r="C1459" s="7" t="str">
        <x:v>PEA-A-Y1</x:v>
      </x:c>
      <x:c r="D1459" s="7" t="str">
        <x:v>factory calibration</x:v>
      </x:c>
      <x:c r="E1459" s="7" t="str">
        <x:v>CAL-CH-PEA-A-Y1-07-2</x:v>
      </x:c>
      <x:c r="F1459" s="7" t="str">
        <x:f>'Calibration Records'!M476</x:f>
        <x:v>OPEN</x:v>
      </x:c>
    </x:row>
    <x:row r="1460">
      <x:c r="B1460" s="7" t="str">
        <x:v>AG-01454</x:v>
      </x:c>
      <x:c r="C1460" s="7" t="str">
        <x:v>PEA-A-Y1</x:v>
      </x:c>
      <x:c r="D1460" s="7" t="str">
        <x:v>factory calibration</x:v>
      </x:c>
      <x:c r="E1460" s="7" t="str">
        <x:v>CAL-CH-PEA-A-Y1-07-3</x:v>
      </x:c>
      <x:c r="F1460" s="7" t="str">
        <x:f>'Calibration Records'!M477</x:f>
        <x:v>OPEN</x:v>
      </x:c>
    </x:row>
    <x:row r="1461">
      <x:c r="B1461" s="7" t="str">
        <x:v>AG-01455</x:v>
      </x:c>
      <x:c r="C1461" s="7" t="str">
        <x:v>PEA-A-Y1</x:v>
      </x:c>
      <x:c r="D1461" s="7" t="str">
        <x:v>factory calibration</x:v>
      </x:c>
      <x:c r="E1461" s="7" t="str">
        <x:v>CAL-CH-PEA-A-Y1-07-4</x:v>
      </x:c>
      <x:c r="F1461" s="7" t="str">
        <x:f>'Calibration Records'!M478</x:f>
        <x:v>OPEN</x:v>
      </x:c>
    </x:row>
    <x:row r="1462">
      <x:c r="B1462" s="7" t="str">
        <x:v>AG-01456</x:v>
      </x:c>
      <x:c r="C1462" s="7" t="str">
        <x:v>PEA-A-Y1</x:v>
      </x:c>
      <x:c r="D1462" s="7" t="str">
        <x:v>factory calibration</x:v>
      </x:c>
      <x:c r="E1462" s="7" t="str">
        <x:v>CAL-CH-PEA-A-Y1-07-5</x:v>
      </x:c>
      <x:c r="F1462" s="7" t="str">
        <x:f>'Calibration Records'!M479</x:f>
        <x:v>OPEN</x:v>
      </x:c>
    </x:row>
    <x:row r="1463">
      <x:c r="B1463" s="7" t="str">
        <x:v>AG-01457</x:v>
      </x:c>
      <x:c r="C1463" s="7" t="str">
        <x:v>PEA-A-Y1</x:v>
      </x:c>
      <x:c r="D1463" s="7" t="str">
        <x:v>factory calibration</x:v>
      </x:c>
      <x:c r="E1463" s="7" t="str">
        <x:v>CAL-CH-PEA-A-Y1-07-6</x:v>
      </x:c>
      <x:c r="F1463" s="7" t="str">
        <x:f>'Calibration Records'!M480</x:f>
        <x:v>OPEN</x:v>
      </x:c>
    </x:row>
    <x:row r="1464">
      <x:c r="B1464" s="7" t="str">
        <x:v>AG-01458</x:v>
      </x:c>
      <x:c r="C1464" s="7" t="str">
        <x:v>PEA-A-Y1</x:v>
      </x:c>
      <x:c r="D1464" s="7" t="str">
        <x:v>factory calibration</x:v>
      </x:c>
      <x:c r="E1464" s="7" t="str">
        <x:v>CAL-CH-PEA-A-Y1-08-1</x:v>
      </x:c>
      <x:c r="F1464" s="7" t="str">
        <x:f>'Calibration Records'!M481</x:f>
        <x:v>OPEN</x:v>
      </x:c>
    </x:row>
    <x:row r="1465">
      <x:c r="B1465" s="7" t="str">
        <x:v>AG-01459</x:v>
      </x:c>
      <x:c r="C1465" s="7" t="str">
        <x:v>PEA-A-Y1</x:v>
      </x:c>
      <x:c r="D1465" s="7" t="str">
        <x:v>factory calibration</x:v>
      </x:c>
      <x:c r="E1465" s="7" t="str">
        <x:v>CAL-CH-PEA-A-Y1-08-2</x:v>
      </x:c>
      <x:c r="F1465" s="7" t="str">
        <x:f>'Calibration Records'!M482</x:f>
        <x:v>OPEN</x:v>
      </x:c>
    </x:row>
    <x:row r="1466">
      <x:c r="B1466" s="7" t="str">
        <x:v>AG-01460</x:v>
      </x:c>
      <x:c r="C1466" s="7" t="str">
        <x:v>PEA-A-Y1</x:v>
      </x:c>
      <x:c r="D1466" s="7" t="str">
        <x:v>factory calibration</x:v>
      </x:c>
      <x:c r="E1466" s="7" t="str">
        <x:v>CAL-CH-PEA-A-Y1-08-3</x:v>
      </x:c>
      <x:c r="F1466" s="7" t="str">
        <x:f>'Calibration Records'!M483</x:f>
        <x:v>OPEN</x:v>
      </x:c>
    </x:row>
    <x:row r="1467">
      <x:c r="B1467" s="7" t="str">
        <x:v>AG-01461</x:v>
      </x:c>
      <x:c r="C1467" s="7" t="str">
        <x:v>PEA-A-Y1</x:v>
      </x:c>
      <x:c r="D1467" s="7" t="str">
        <x:v>factory calibration</x:v>
      </x:c>
      <x:c r="E1467" s="7" t="str">
        <x:v>CAL-CH-PEA-A-Y1-08-4</x:v>
      </x:c>
      <x:c r="F1467" s="7" t="str">
        <x:f>'Calibration Records'!M484</x:f>
        <x:v>OPEN</x:v>
      </x:c>
    </x:row>
    <x:row r="1468">
      <x:c r="B1468" s="7" t="str">
        <x:v>AG-01462</x:v>
      </x:c>
      <x:c r="C1468" s="7" t="str">
        <x:v>PEA-A-Y1</x:v>
      </x:c>
      <x:c r="D1468" s="7" t="str">
        <x:v>factory calibration</x:v>
      </x:c>
      <x:c r="E1468" s="7" t="str">
        <x:v>CAL-CH-PEA-A-Y1-08-5</x:v>
      </x:c>
      <x:c r="F1468" s="7" t="str">
        <x:f>'Calibration Records'!M485</x:f>
        <x:v>OPEN</x:v>
      </x:c>
    </x:row>
    <x:row r="1469">
      <x:c r="B1469" s="7" t="str">
        <x:v>AG-01463</x:v>
      </x:c>
      <x:c r="C1469" s="7" t="str">
        <x:v>PEA-A-Y1</x:v>
      </x:c>
      <x:c r="D1469" s="7" t="str">
        <x:v>factory calibration</x:v>
      </x:c>
      <x:c r="E1469" s="7" t="str">
        <x:v>CAL-CH-PEA-A-Y1-08-6</x:v>
      </x:c>
      <x:c r="F1469" s="7" t="str">
        <x:f>'Calibration Records'!M486</x:f>
        <x:v>OPEN</x:v>
      </x:c>
    </x:row>
    <x:row r="1470">
      <x:c r="B1470" s="7" t="str">
        <x:v>AG-01464</x:v>
      </x:c>
      <x:c r="C1470" s="7" t="str">
        <x:v>PEA-A-Y1</x:v>
      </x:c>
      <x:c r="D1470" s="7" t="str">
        <x:v>factory calibration</x:v>
      </x:c>
      <x:c r="E1470" s="7" t="str">
        <x:v>CAL-CH-PEA-A-Y1-09-1</x:v>
      </x:c>
      <x:c r="F1470" s="7" t="str">
        <x:f>'Calibration Records'!M487</x:f>
        <x:v>OPEN</x:v>
      </x:c>
    </x:row>
    <x:row r="1471">
      <x:c r="B1471" s="7" t="str">
        <x:v>AG-01465</x:v>
      </x:c>
      <x:c r="C1471" s="7" t="str">
        <x:v>PEA-A-Y1</x:v>
      </x:c>
      <x:c r="D1471" s="7" t="str">
        <x:v>factory calibration</x:v>
      </x:c>
      <x:c r="E1471" s="7" t="str">
        <x:v>CAL-CH-PEA-A-Y1-09-2</x:v>
      </x:c>
      <x:c r="F1471" s="7" t="str">
        <x:f>'Calibration Records'!M488</x:f>
        <x:v>OPEN</x:v>
      </x:c>
    </x:row>
    <x:row r="1472">
      <x:c r="B1472" s="7" t="str">
        <x:v>AG-01466</x:v>
      </x:c>
      <x:c r="C1472" s="7" t="str">
        <x:v>PEA-A-Y1</x:v>
      </x:c>
      <x:c r="D1472" s="7" t="str">
        <x:v>factory calibration</x:v>
      </x:c>
      <x:c r="E1472" s="7" t="str">
        <x:v>CAL-CH-PEA-A-Y1-09-3</x:v>
      </x:c>
      <x:c r="F1472" s="7" t="str">
        <x:f>'Calibration Records'!M489</x:f>
        <x:v>OPEN</x:v>
      </x:c>
    </x:row>
    <x:row r="1473">
      <x:c r="B1473" s="7" t="str">
        <x:v>AG-01467</x:v>
      </x:c>
      <x:c r="C1473" s="7" t="str">
        <x:v>PEA-A-Y1</x:v>
      </x:c>
      <x:c r="D1473" s="7" t="str">
        <x:v>factory calibration</x:v>
      </x:c>
      <x:c r="E1473" s="7" t="str">
        <x:v>CAL-CH-PEA-A-Y1-09-4</x:v>
      </x:c>
      <x:c r="F1473" s="7" t="str">
        <x:f>'Calibration Records'!M490</x:f>
        <x:v>OPEN</x:v>
      </x:c>
    </x:row>
    <x:row r="1474">
      <x:c r="B1474" s="7" t="str">
        <x:v>AG-01468</x:v>
      </x:c>
      <x:c r="C1474" s="7" t="str">
        <x:v>PEA-A-Y1</x:v>
      </x:c>
      <x:c r="D1474" s="7" t="str">
        <x:v>factory calibration</x:v>
      </x:c>
      <x:c r="E1474" s="7" t="str">
        <x:v>CAL-CH-PEA-A-Y1-09-5</x:v>
      </x:c>
      <x:c r="F1474" s="7" t="str">
        <x:f>'Calibration Records'!M491</x:f>
        <x:v>OPEN</x:v>
      </x:c>
    </x:row>
    <x:row r="1475">
      <x:c r="B1475" s="7" t="str">
        <x:v>AG-01469</x:v>
      </x:c>
      <x:c r="C1475" s="7" t="str">
        <x:v>PEA-A-Y1</x:v>
      </x:c>
      <x:c r="D1475" s="7" t="str">
        <x:v>factory calibration</x:v>
      </x:c>
      <x:c r="E1475" s="7" t="str">
        <x:v>CAL-CH-PEA-A-Y1-09-6</x:v>
      </x:c>
      <x:c r="F1475" s="7" t="str">
        <x:f>'Calibration Records'!M492</x:f>
        <x:v>OPEN</x:v>
      </x:c>
    </x:row>
    <x:row r="1476">
      <x:c r="B1476" s="7" t="str">
        <x:v>AG-01470</x:v>
      </x:c>
      <x:c r="C1476" s="7" t="str">
        <x:v>PEA-A-Y1</x:v>
      </x:c>
      <x:c r="D1476" s="7" t="str">
        <x:v>factory calibration</x:v>
      </x:c>
      <x:c r="E1476" s="7" t="str">
        <x:v>CAL-CH-PEA-A-Y1-10-1</x:v>
      </x:c>
      <x:c r="F1476" s="7" t="str">
        <x:f>'Calibration Records'!M493</x:f>
        <x:v>OPEN</x:v>
      </x:c>
    </x:row>
    <x:row r="1477">
      <x:c r="B1477" s="7" t="str">
        <x:v>AG-01471</x:v>
      </x:c>
      <x:c r="C1477" s="7" t="str">
        <x:v>PEA-A-Y1</x:v>
      </x:c>
      <x:c r="D1477" s="7" t="str">
        <x:v>factory calibration</x:v>
      </x:c>
      <x:c r="E1477" s="7" t="str">
        <x:v>CAL-CH-PEA-A-Y1-10-2</x:v>
      </x:c>
      <x:c r="F1477" s="7" t="str">
        <x:f>'Calibration Records'!M494</x:f>
        <x:v>OPEN</x:v>
      </x:c>
    </x:row>
    <x:row r="1478">
      <x:c r="B1478" s="7" t="str">
        <x:v>AG-01472</x:v>
      </x:c>
      <x:c r="C1478" s="7" t="str">
        <x:v>PEA-A-Y1</x:v>
      </x:c>
      <x:c r="D1478" s="7" t="str">
        <x:v>factory calibration</x:v>
      </x:c>
      <x:c r="E1478" s="7" t="str">
        <x:v>CAL-CH-PEA-A-Y1-10-3</x:v>
      </x:c>
      <x:c r="F1478" s="7" t="str">
        <x:f>'Calibration Records'!M495</x:f>
        <x:v>OPEN</x:v>
      </x:c>
    </x:row>
    <x:row r="1479">
      <x:c r="B1479" s="7" t="str">
        <x:v>AG-01473</x:v>
      </x:c>
      <x:c r="C1479" s="7" t="str">
        <x:v>PEA-A-Y1</x:v>
      </x:c>
      <x:c r="D1479" s="7" t="str">
        <x:v>factory calibration</x:v>
      </x:c>
      <x:c r="E1479" s="7" t="str">
        <x:v>CAL-CH-PEA-A-Y1-10-4</x:v>
      </x:c>
      <x:c r="F1479" s="7" t="str">
        <x:f>'Calibration Records'!M496</x:f>
        <x:v>OPEN</x:v>
      </x:c>
    </x:row>
    <x:row r="1480">
      <x:c r="B1480" s="7" t="str">
        <x:v>AG-01474</x:v>
      </x:c>
      <x:c r="C1480" s="7" t="str">
        <x:v>PEA-A-Y1</x:v>
      </x:c>
      <x:c r="D1480" s="7" t="str">
        <x:v>factory calibration</x:v>
      </x:c>
      <x:c r="E1480" s="7" t="str">
        <x:v>CAL-CH-PEA-A-Y1-10-5</x:v>
      </x:c>
      <x:c r="F1480" s="7" t="str">
        <x:f>'Calibration Records'!M497</x:f>
        <x:v>OPEN</x:v>
      </x:c>
    </x:row>
    <x:row r="1481">
      <x:c r="B1481" s="7" t="str">
        <x:v>AG-01475</x:v>
      </x:c>
      <x:c r="C1481" s="7" t="str">
        <x:v>PEA-A-Y1</x:v>
      </x:c>
      <x:c r="D1481" s="7" t="str">
        <x:v>factory calibration</x:v>
      </x:c>
      <x:c r="E1481" s="7" t="str">
        <x:v>CAL-CH-PEA-A-Y1-10-6</x:v>
      </x:c>
      <x:c r="F1481" s="7" t="str">
        <x:f>'Calibration Records'!M498</x:f>
        <x:v>OPEN</x:v>
      </x:c>
    </x:row>
    <x:row r="1482">
      <x:c r="B1482" s="7" t="str">
        <x:v>AG-01476</x:v>
      </x:c>
      <x:c r="C1482" s="7" t="str">
        <x:v>PEA-A-Y1</x:v>
      </x:c>
      <x:c r="D1482" s="7" t="str">
        <x:v>factory calibration</x:v>
      </x:c>
      <x:c r="E1482" s="7" t="str">
        <x:v>CAL-CH-PEA-A-Y1-11-1</x:v>
      </x:c>
      <x:c r="F1482" s="7" t="str">
        <x:f>'Calibration Records'!M499</x:f>
        <x:v>OPEN</x:v>
      </x:c>
    </x:row>
    <x:row r="1483">
      <x:c r="B1483" s="7" t="str">
        <x:v>AG-01477</x:v>
      </x:c>
      <x:c r="C1483" s="7" t="str">
        <x:v>PEA-A-Y1</x:v>
      </x:c>
      <x:c r="D1483" s="7" t="str">
        <x:v>factory calibration</x:v>
      </x:c>
      <x:c r="E1483" s="7" t="str">
        <x:v>CAL-CH-PEA-A-Y1-11-2</x:v>
      </x:c>
      <x:c r="F1483" s="7" t="str">
        <x:f>'Calibration Records'!M500</x:f>
        <x:v>OPEN</x:v>
      </x:c>
    </x:row>
    <x:row r="1484">
      <x:c r="B1484" s="7" t="str">
        <x:v>AG-01478</x:v>
      </x:c>
      <x:c r="C1484" s="7" t="str">
        <x:v>PEA-A-Y1</x:v>
      </x:c>
      <x:c r="D1484" s="7" t="str">
        <x:v>factory calibration</x:v>
      </x:c>
      <x:c r="E1484" s="7" t="str">
        <x:v>CAL-CH-PEA-A-Y1-11-3</x:v>
      </x:c>
      <x:c r="F1484" s="7" t="str">
        <x:f>'Calibration Records'!M501</x:f>
        <x:v>OPEN</x:v>
      </x:c>
    </x:row>
    <x:row r="1485">
      <x:c r="B1485" s="7" t="str">
        <x:v>AG-01479</x:v>
      </x:c>
      <x:c r="C1485" s="7" t="str">
        <x:v>PEA-A-Y1</x:v>
      </x:c>
      <x:c r="D1485" s="7" t="str">
        <x:v>factory calibration</x:v>
      </x:c>
      <x:c r="E1485" s="7" t="str">
        <x:v>CAL-CH-PEA-A-Y1-11-4</x:v>
      </x:c>
      <x:c r="F1485" s="7" t="str">
        <x:f>'Calibration Records'!M502</x:f>
        <x:v>OPEN</x:v>
      </x:c>
    </x:row>
    <x:row r="1486">
      <x:c r="B1486" s="7" t="str">
        <x:v>AG-01480</x:v>
      </x:c>
      <x:c r="C1486" s="7" t="str">
        <x:v>PEA-A-Y1</x:v>
      </x:c>
      <x:c r="D1486" s="7" t="str">
        <x:v>factory calibration</x:v>
      </x:c>
      <x:c r="E1486" s="7" t="str">
        <x:v>CAL-CH-PEA-A-Y1-11-5</x:v>
      </x:c>
      <x:c r="F1486" s="7" t="str">
        <x:f>'Calibration Records'!M503</x:f>
        <x:v>OPEN</x:v>
      </x:c>
    </x:row>
    <x:row r="1487">
      <x:c r="B1487" s="7" t="str">
        <x:v>AG-01481</x:v>
      </x:c>
      <x:c r="C1487" s="7" t="str">
        <x:v>PEA-A-Y1</x:v>
      </x:c>
      <x:c r="D1487" s="7" t="str">
        <x:v>factory calibration</x:v>
      </x:c>
      <x:c r="E1487" s="7" t="str">
        <x:v>CAL-CH-PEA-A-Y1-11-6</x:v>
      </x:c>
      <x:c r="F1487" s="7" t="str">
        <x:f>'Calibration Records'!M504</x:f>
        <x:v>OPEN</x:v>
      </x:c>
    </x:row>
    <x:row r="1488">
      <x:c r="B1488" s="7" t="str">
        <x:v>AG-01482</x:v>
      </x:c>
      <x:c r="C1488" s="7" t="str">
        <x:v>PEA-A-Y1</x:v>
      </x:c>
      <x:c r="D1488" s="7" t="str">
        <x:v>factory calibration</x:v>
      </x:c>
      <x:c r="E1488" s="7" t="str">
        <x:v>CAL-CH-PEA-A-Y1-12-1</x:v>
      </x:c>
      <x:c r="F1488" s="7" t="str">
        <x:f>'Calibration Records'!M505</x:f>
        <x:v>OPEN</x:v>
      </x:c>
    </x:row>
    <x:row r="1489">
      <x:c r="B1489" s="7" t="str">
        <x:v>AG-01483</x:v>
      </x:c>
      <x:c r="C1489" s="7" t="str">
        <x:v>PEA-A-Y1</x:v>
      </x:c>
      <x:c r="D1489" s="7" t="str">
        <x:v>factory calibration</x:v>
      </x:c>
      <x:c r="E1489" s="7" t="str">
        <x:v>CAL-CH-PEA-A-Y1-12-2</x:v>
      </x:c>
      <x:c r="F1489" s="7" t="str">
        <x:f>'Calibration Records'!M506</x:f>
        <x:v>OPEN</x:v>
      </x:c>
    </x:row>
    <x:row r="1490">
      <x:c r="B1490" s="7" t="str">
        <x:v>AG-01484</x:v>
      </x:c>
      <x:c r="C1490" s="7" t="str">
        <x:v>PEA-A-Y1</x:v>
      </x:c>
      <x:c r="D1490" s="7" t="str">
        <x:v>factory calibration</x:v>
      </x:c>
      <x:c r="E1490" s="7" t="str">
        <x:v>CAL-CH-PEA-A-Y1-12-3</x:v>
      </x:c>
      <x:c r="F1490" s="7" t="str">
        <x:f>'Calibration Records'!M507</x:f>
        <x:v>OPEN</x:v>
      </x:c>
    </x:row>
    <x:row r="1491">
      <x:c r="B1491" s="7" t="str">
        <x:v>AG-01485</x:v>
      </x:c>
      <x:c r="C1491" s="7" t="str">
        <x:v>PEA-A-Y1</x:v>
      </x:c>
      <x:c r="D1491" s="7" t="str">
        <x:v>factory calibration</x:v>
      </x:c>
      <x:c r="E1491" s="7" t="str">
        <x:v>CAL-CH-PEA-A-Y1-12-4</x:v>
      </x:c>
      <x:c r="F1491" s="7" t="str">
        <x:f>'Calibration Records'!M508</x:f>
        <x:v>OPEN</x:v>
      </x:c>
    </x:row>
    <x:row r="1492">
      <x:c r="B1492" s="7" t="str">
        <x:v>AG-01486</x:v>
      </x:c>
      <x:c r="C1492" s="7" t="str">
        <x:v>PEA-A-Y1</x:v>
      </x:c>
      <x:c r="D1492" s="7" t="str">
        <x:v>factory calibration</x:v>
      </x:c>
      <x:c r="E1492" s="7" t="str">
        <x:v>CAL-CH-PEA-A-Y1-12-5</x:v>
      </x:c>
      <x:c r="F1492" s="7" t="str">
        <x:f>'Calibration Records'!M509</x:f>
        <x:v>OPEN</x:v>
      </x:c>
    </x:row>
    <x:row r="1493">
      <x:c r="B1493" s="7" t="str">
        <x:v>AG-01487</x:v>
      </x:c>
      <x:c r="C1493" s="7" t="str">
        <x:v>PEA-A-Y1</x:v>
      </x:c>
      <x:c r="D1493" s="7" t="str">
        <x:v>factory calibration</x:v>
      </x:c>
      <x:c r="E1493" s="7" t="str">
        <x:v>CAL-CH-PEA-A-Y1-12-6</x:v>
      </x:c>
      <x:c r="F1493" s="7" t="str">
        <x:f>'Calibration Records'!M510</x:f>
        <x:v>OPEN</x:v>
      </x:c>
    </x:row>
    <x:row r="1494">
      <x:c r="B1494" s="7" t="str">
        <x:v>AG-01488</x:v>
      </x:c>
      <x:c r="C1494" s="7" t="str">
        <x:v>PEA-A-Y1</x:v>
      </x:c>
      <x:c r="D1494" s="7" t="str">
        <x:v>factory calibration</x:v>
      </x:c>
      <x:c r="E1494" s="7" t="str">
        <x:v>CAL-CH-PEA-A-Y1-13-1</x:v>
      </x:c>
      <x:c r="F1494" s="7" t="str">
        <x:f>'Calibration Records'!M511</x:f>
        <x:v>OPEN</x:v>
      </x:c>
    </x:row>
    <x:row r="1495">
      <x:c r="B1495" s="7" t="str">
        <x:v>AG-01489</x:v>
      </x:c>
      <x:c r="C1495" s="7" t="str">
        <x:v>PEA-A-Y1</x:v>
      </x:c>
      <x:c r="D1495" s="7" t="str">
        <x:v>factory calibration</x:v>
      </x:c>
      <x:c r="E1495" s="7" t="str">
        <x:v>CAL-CH-PEA-A-Y1-13-2</x:v>
      </x:c>
      <x:c r="F1495" s="7" t="str">
        <x:f>'Calibration Records'!M512</x:f>
        <x:v>OPEN</x:v>
      </x:c>
    </x:row>
    <x:row r="1496">
      <x:c r="B1496" s="7" t="str">
        <x:v>AG-01490</x:v>
      </x:c>
      <x:c r="C1496" s="7" t="str">
        <x:v>PEA-A-Y1</x:v>
      </x:c>
      <x:c r="D1496" s="7" t="str">
        <x:v>factory calibration</x:v>
      </x:c>
      <x:c r="E1496" s="7" t="str">
        <x:v>CAL-CH-PEA-A-Y1-13-3</x:v>
      </x:c>
      <x:c r="F1496" s="7" t="str">
        <x:f>'Calibration Records'!M513</x:f>
        <x:v>OPEN</x:v>
      </x:c>
    </x:row>
    <x:row r="1497">
      <x:c r="B1497" s="7" t="str">
        <x:v>AG-01491</x:v>
      </x:c>
      <x:c r="C1497" s="7" t="str">
        <x:v>PEA-A-Y1</x:v>
      </x:c>
      <x:c r="D1497" s="7" t="str">
        <x:v>factory calibration</x:v>
      </x:c>
      <x:c r="E1497" s="7" t="str">
        <x:v>CAL-CH-PEA-A-Y1-13-4</x:v>
      </x:c>
      <x:c r="F1497" s="7" t="str">
        <x:f>'Calibration Records'!M514</x:f>
        <x:v>OPEN</x:v>
      </x:c>
    </x:row>
    <x:row r="1498">
      <x:c r="B1498" s="7" t="str">
        <x:v>AG-01492</x:v>
      </x:c>
      <x:c r="C1498" s="7" t="str">
        <x:v>PEA-A-Y1</x:v>
      </x:c>
      <x:c r="D1498" s="7" t="str">
        <x:v>factory calibration</x:v>
      </x:c>
      <x:c r="E1498" s="7" t="str">
        <x:v>CAL-CH-PEA-A-Y1-13-5</x:v>
      </x:c>
      <x:c r="F1498" s="7" t="str">
        <x:f>'Calibration Records'!M515</x:f>
        <x:v>OPEN</x:v>
      </x:c>
    </x:row>
    <x:row r="1499">
      <x:c r="B1499" s="7" t="str">
        <x:v>AG-01493</x:v>
      </x:c>
      <x:c r="C1499" s="7" t="str">
        <x:v>PEA-A-Y1</x:v>
      </x:c>
      <x:c r="D1499" s="7" t="str">
        <x:v>factory calibration</x:v>
      </x:c>
      <x:c r="E1499" s="7" t="str">
        <x:v>CAL-CH-PEA-A-Y1-13-6</x:v>
      </x:c>
      <x:c r="F1499" s="7" t="str">
        <x:f>'Calibration Records'!M516</x:f>
        <x:v>OPEN</x:v>
      </x:c>
    </x:row>
    <x:row r="1500">
      <x:c r="B1500" s="7" t="str">
        <x:v>AG-01494</x:v>
      </x:c>
      <x:c r="C1500" s="7" t="str">
        <x:v>PEA-A-Y1</x:v>
      </x:c>
      <x:c r="D1500" s="7" t="str">
        <x:v>factory calibration</x:v>
      </x:c>
      <x:c r="E1500" s="7" t="str">
        <x:v>CAL-CH-PEA-A-Y1-14-1</x:v>
      </x:c>
      <x:c r="F1500" s="7" t="str">
        <x:f>'Calibration Records'!M517</x:f>
        <x:v>OPEN</x:v>
      </x:c>
    </x:row>
    <x:row r="1501">
      <x:c r="B1501" s="7" t="str">
        <x:v>AG-01495</x:v>
      </x:c>
      <x:c r="C1501" s="7" t="str">
        <x:v>PEA-A-Y1</x:v>
      </x:c>
      <x:c r="D1501" s="7" t="str">
        <x:v>factory calibration</x:v>
      </x:c>
      <x:c r="E1501" s="7" t="str">
        <x:v>CAL-CH-PEA-A-Y1-14-2</x:v>
      </x:c>
      <x:c r="F1501" s="7" t="str">
        <x:f>'Calibration Records'!M518</x:f>
        <x:v>OPEN</x:v>
      </x:c>
    </x:row>
    <x:row r="1502">
      <x:c r="B1502" s="7" t="str">
        <x:v>AG-01496</x:v>
      </x:c>
      <x:c r="C1502" s="7" t="str">
        <x:v>PEA-A-Y1</x:v>
      </x:c>
      <x:c r="D1502" s="7" t="str">
        <x:v>factory calibration</x:v>
      </x:c>
      <x:c r="E1502" s="7" t="str">
        <x:v>CAL-CH-PEA-A-Y1-14-3</x:v>
      </x:c>
      <x:c r="F1502" s="7" t="str">
        <x:f>'Calibration Records'!M519</x:f>
        <x:v>OPEN</x:v>
      </x:c>
    </x:row>
    <x:row r="1503">
      <x:c r="B1503" s="7" t="str">
        <x:v>AG-01497</x:v>
      </x:c>
      <x:c r="C1503" s="7" t="str">
        <x:v>PEA-A-Y1</x:v>
      </x:c>
      <x:c r="D1503" s="7" t="str">
        <x:v>factory calibration</x:v>
      </x:c>
      <x:c r="E1503" s="7" t="str">
        <x:v>CAL-CH-PEA-A-Y1-14-4</x:v>
      </x:c>
      <x:c r="F1503" s="7" t="str">
        <x:f>'Calibration Records'!M520</x:f>
        <x:v>OPEN</x:v>
      </x:c>
    </x:row>
    <x:row r="1504">
      <x:c r="B1504" s="7" t="str">
        <x:v>AG-01498</x:v>
      </x:c>
      <x:c r="C1504" s="7" t="str">
        <x:v>PEA-A-Y1</x:v>
      </x:c>
      <x:c r="D1504" s="7" t="str">
        <x:v>factory calibration</x:v>
      </x:c>
      <x:c r="E1504" s="7" t="str">
        <x:v>CAL-CH-PEA-A-Y1-14-5</x:v>
      </x:c>
      <x:c r="F1504" s="7" t="str">
        <x:f>'Calibration Records'!M521</x:f>
        <x:v>OPEN</x:v>
      </x:c>
    </x:row>
    <x:row r="1505">
      <x:c r="B1505" s="7" t="str">
        <x:v>AG-01499</x:v>
      </x:c>
      <x:c r="C1505" s="7" t="str">
        <x:v>PEA-A-Y1</x:v>
      </x:c>
      <x:c r="D1505" s="7" t="str">
        <x:v>factory calibration</x:v>
      </x:c>
      <x:c r="E1505" s="7" t="str">
        <x:v>CAL-CH-PEA-A-Y1-14-6</x:v>
      </x:c>
      <x:c r="F1505" s="7" t="str">
        <x:f>'Calibration Records'!M522</x:f>
        <x:v>OPEN</x:v>
      </x:c>
    </x:row>
    <x:row r="1506">
      <x:c r="B1506" s="7" t="str">
        <x:v>AG-01500</x:v>
      </x:c>
      <x:c r="C1506" s="7" t="str">
        <x:v>PEA-A-Y1</x:v>
      </x:c>
      <x:c r="D1506" s="7" t="str">
        <x:v>factory calibration</x:v>
      </x:c>
      <x:c r="E1506" s="7" t="str">
        <x:v>CAL-CH-PEA-A-Y1-15-1</x:v>
      </x:c>
      <x:c r="F1506" s="7" t="str">
        <x:f>'Calibration Records'!M523</x:f>
        <x:v>OPEN</x:v>
      </x:c>
    </x:row>
    <x:row r="1507">
      <x:c r="B1507" s="7" t="str">
        <x:v>AG-01501</x:v>
      </x:c>
      <x:c r="C1507" s="7" t="str">
        <x:v>PEA-A-Y1</x:v>
      </x:c>
      <x:c r="D1507" s="7" t="str">
        <x:v>factory calibration</x:v>
      </x:c>
      <x:c r="E1507" s="7" t="str">
        <x:v>CAL-CH-PEA-A-Y1-15-2</x:v>
      </x:c>
      <x:c r="F1507" s="7" t="str">
        <x:f>'Calibration Records'!M524</x:f>
        <x:v>OPEN</x:v>
      </x:c>
    </x:row>
    <x:row r="1508">
      <x:c r="B1508" s="7" t="str">
        <x:v>AG-01502</x:v>
      </x:c>
      <x:c r="C1508" s="7" t="str">
        <x:v>PEA-A-Y1</x:v>
      </x:c>
      <x:c r="D1508" s="7" t="str">
        <x:v>factory calibration</x:v>
      </x:c>
      <x:c r="E1508" s="7" t="str">
        <x:v>CAL-CH-PEA-A-Y1-15-3</x:v>
      </x:c>
      <x:c r="F1508" s="7" t="str">
        <x:f>'Calibration Records'!M525</x:f>
        <x:v>OPEN</x:v>
      </x:c>
    </x:row>
    <x:row r="1509">
      <x:c r="B1509" s="7" t="str">
        <x:v>AG-01503</x:v>
      </x:c>
      <x:c r="C1509" s="7" t="str">
        <x:v>PEA-A-Y1</x:v>
      </x:c>
      <x:c r="D1509" s="7" t="str">
        <x:v>factory calibration</x:v>
      </x:c>
      <x:c r="E1509" s="7" t="str">
        <x:v>CAL-CH-PEA-A-Y1-15-4</x:v>
      </x:c>
      <x:c r="F1509" s="7" t="str">
        <x:f>'Calibration Records'!M526</x:f>
        <x:v>OPEN</x:v>
      </x:c>
    </x:row>
    <x:row r="1510">
      <x:c r="B1510" s="7" t="str">
        <x:v>AG-01504</x:v>
      </x:c>
      <x:c r="C1510" s="7" t="str">
        <x:v>PEA-A-Y1</x:v>
      </x:c>
      <x:c r="D1510" s="7" t="str">
        <x:v>factory calibration</x:v>
      </x:c>
      <x:c r="E1510" s="7" t="str">
        <x:v>CAL-CH-PEA-A-Y1-15-5</x:v>
      </x:c>
      <x:c r="F1510" s="7" t="str">
        <x:f>'Calibration Records'!M527</x:f>
        <x:v>OPEN</x:v>
      </x:c>
    </x:row>
    <x:row r="1511">
      <x:c r="B1511" s="7" t="str">
        <x:v>AG-01505</x:v>
      </x:c>
      <x:c r="C1511" s="7" t="str">
        <x:v>PEA-A-Y1</x:v>
      </x:c>
      <x:c r="D1511" s="7" t="str">
        <x:v>factory calibration</x:v>
      </x:c>
      <x:c r="E1511" s="7" t="str">
        <x:v>CAL-CH-PEA-A-Y1-15-6</x:v>
      </x:c>
      <x:c r="F1511" s="7" t="str">
        <x:f>'Calibration Records'!M528</x:f>
        <x:v>OPEN</x:v>
      </x:c>
    </x:row>
    <x:row r="1512">
      <x:c r="B1512" s="7" t="str">
        <x:v>AG-01506</x:v>
      </x:c>
      <x:c r="C1512" s="7" t="str">
        <x:v>PEA-A-Y1</x:v>
      </x:c>
      <x:c r="D1512" s="7" t="str">
        <x:v>factory calibration</x:v>
      </x:c>
      <x:c r="E1512" s="7" t="str">
        <x:v>CAL-CH-PEA-A-Y1-16-1</x:v>
      </x:c>
      <x:c r="F1512" s="7" t="str">
        <x:f>'Calibration Records'!M529</x:f>
        <x:v>OPEN</x:v>
      </x:c>
    </x:row>
    <x:row r="1513">
      <x:c r="B1513" s="7" t="str">
        <x:v>AG-01507</x:v>
      </x:c>
      <x:c r="C1513" s="7" t="str">
        <x:v>PEA-A-Y1</x:v>
      </x:c>
      <x:c r="D1513" s="7" t="str">
        <x:v>factory calibration</x:v>
      </x:c>
      <x:c r="E1513" s="7" t="str">
        <x:v>CAL-CH-PEA-A-Y1-16-2</x:v>
      </x:c>
      <x:c r="F1513" s="7" t="str">
        <x:f>'Calibration Records'!M530</x:f>
        <x:v>OPEN</x:v>
      </x:c>
    </x:row>
    <x:row r="1514">
      <x:c r="B1514" s="7" t="str">
        <x:v>AG-01508</x:v>
      </x:c>
      <x:c r="C1514" s="7" t="str">
        <x:v>PEA-A-Y1</x:v>
      </x:c>
      <x:c r="D1514" s="7" t="str">
        <x:v>factory calibration</x:v>
      </x:c>
      <x:c r="E1514" s="7" t="str">
        <x:v>CAL-CH-PEA-A-Y1-16-3</x:v>
      </x:c>
      <x:c r="F1514" s="7" t="str">
        <x:f>'Calibration Records'!M531</x:f>
        <x:v>OPEN</x:v>
      </x:c>
    </x:row>
    <x:row r="1515">
      <x:c r="B1515" s="7" t="str">
        <x:v>AG-01509</x:v>
      </x:c>
      <x:c r="C1515" s="7" t="str">
        <x:v>PEA-A-Y1</x:v>
      </x:c>
      <x:c r="D1515" s="7" t="str">
        <x:v>factory calibration</x:v>
      </x:c>
      <x:c r="E1515" s="7" t="str">
        <x:v>CAL-CH-PEA-A-Y1-16-4</x:v>
      </x:c>
      <x:c r="F1515" s="7" t="str">
        <x:f>'Calibration Records'!M532</x:f>
        <x:v>OPEN</x:v>
      </x:c>
    </x:row>
    <x:row r="1516">
      <x:c r="B1516" s="7" t="str">
        <x:v>AG-01510</x:v>
      </x:c>
      <x:c r="C1516" s="7" t="str">
        <x:v>PEA-A-Y1</x:v>
      </x:c>
      <x:c r="D1516" s="7" t="str">
        <x:v>factory calibration</x:v>
      </x:c>
      <x:c r="E1516" s="7" t="str">
        <x:v>CAL-CH-PEA-A-Y1-16-5</x:v>
      </x:c>
      <x:c r="F1516" s="7" t="str">
        <x:f>'Calibration Records'!M533</x:f>
        <x:v>OPEN</x:v>
      </x:c>
    </x:row>
    <x:row r="1517">
      <x:c r="B1517" s="7" t="str">
        <x:v>AG-01511</x:v>
      </x:c>
      <x:c r="C1517" s="7" t="str">
        <x:v>PEA-A-Y1</x:v>
      </x:c>
      <x:c r="D1517" s="7" t="str">
        <x:v>factory calibration</x:v>
      </x:c>
      <x:c r="E1517" s="7" t="str">
        <x:v>CAL-CH-PEA-A-Y1-16-6</x:v>
      </x:c>
      <x:c r="F1517" s="7" t="str">
        <x:f>'Calibration Records'!M534</x:f>
        <x:v>OPEN</x:v>
      </x:c>
    </x:row>
    <x:row r="1518">
      <x:c r="B1518" s="7" t="str">
        <x:v>AG-01512</x:v>
      </x:c>
      <x:c r="C1518" s="7" t="str">
        <x:v>PEA-A-Y1</x:v>
      </x:c>
      <x:c r="D1518" s="7" t="str">
        <x:v>factory calibration</x:v>
      </x:c>
      <x:c r="E1518" s="7" t="str">
        <x:v>CAL-CH-PEA-A-Y1-17-1</x:v>
      </x:c>
      <x:c r="F1518" s="7" t="str">
        <x:f>'Calibration Records'!M535</x:f>
        <x:v>OPEN</x:v>
      </x:c>
    </x:row>
    <x:row r="1519">
      <x:c r="B1519" s="7" t="str">
        <x:v>AG-01513</x:v>
      </x:c>
      <x:c r="C1519" s="7" t="str">
        <x:v>PEA-A-Y1</x:v>
      </x:c>
      <x:c r="D1519" s="7" t="str">
        <x:v>factory calibration</x:v>
      </x:c>
      <x:c r="E1519" s="7" t="str">
        <x:v>CAL-CH-PEA-A-Y1-17-2</x:v>
      </x:c>
      <x:c r="F1519" s="7" t="str">
        <x:f>'Calibration Records'!M536</x:f>
        <x:v>OPEN</x:v>
      </x:c>
    </x:row>
    <x:row r="1520">
      <x:c r="B1520" s="7" t="str">
        <x:v>AG-01514</x:v>
      </x:c>
      <x:c r="C1520" s="7" t="str">
        <x:v>PEA-A-Y1</x:v>
      </x:c>
      <x:c r="D1520" s="7" t="str">
        <x:v>factory calibration</x:v>
      </x:c>
      <x:c r="E1520" s="7" t="str">
        <x:v>CAL-CH-PEA-A-Y1-17-3</x:v>
      </x:c>
      <x:c r="F1520" s="7" t="str">
        <x:f>'Calibration Records'!M537</x:f>
        <x:v>OPEN</x:v>
      </x:c>
    </x:row>
    <x:row r="1521">
      <x:c r="B1521" s="7" t="str">
        <x:v>AG-01515</x:v>
      </x:c>
      <x:c r="C1521" s="7" t="str">
        <x:v>PEA-A-Y1</x:v>
      </x:c>
      <x:c r="D1521" s="7" t="str">
        <x:v>factory calibration</x:v>
      </x:c>
      <x:c r="E1521" s="7" t="str">
        <x:v>CAL-CH-PEA-A-Y1-17-4</x:v>
      </x:c>
      <x:c r="F1521" s="7" t="str">
        <x:f>'Calibration Records'!M538</x:f>
        <x:v>OPEN</x:v>
      </x:c>
    </x:row>
    <x:row r="1522">
      <x:c r="B1522" s="7" t="str">
        <x:v>AG-01516</x:v>
      </x:c>
      <x:c r="C1522" s="7" t="str">
        <x:v>PEA-A-Y1</x:v>
      </x:c>
      <x:c r="D1522" s="7" t="str">
        <x:v>factory calibration</x:v>
      </x:c>
      <x:c r="E1522" s="7" t="str">
        <x:v>CAL-CH-PEA-A-Y1-17-5</x:v>
      </x:c>
      <x:c r="F1522" s="7" t="str">
        <x:f>'Calibration Records'!M539</x:f>
        <x:v>OPEN</x:v>
      </x:c>
    </x:row>
    <x:row r="1523">
      <x:c r="B1523" s="7" t="str">
        <x:v>AG-01517</x:v>
      </x:c>
      <x:c r="C1523" s="7" t="str">
        <x:v>PEA-A-Y1</x:v>
      </x:c>
      <x:c r="D1523" s="7" t="str">
        <x:v>factory calibration</x:v>
      </x:c>
      <x:c r="E1523" s="7" t="str">
        <x:v>CAL-CH-PEA-A-Y1-17-6</x:v>
      </x:c>
      <x:c r="F1523" s="7" t="str">
        <x:f>'Calibration Records'!M540</x:f>
        <x:v>OPEN</x:v>
      </x:c>
    </x:row>
    <x:row r="1524">
      <x:c r="B1524" s="7" t="str">
        <x:v>AG-01518</x:v>
      </x:c>
      <x:c r="C1524" s="7" t="str">
        <x:v>PEA-A-Y1</x:v>
      </x:c>
      <x:c r="D1524" s="7" t="str">
        <x:v>factory calibration</x:v>
      </x:c>
      <x:c r="E1524" s="7" t="str">
        <x:v>CAL-CH-PEA-A-Y1-18-1</x:v>
      </x:c>
      <x:c r="F1524" s="7" t="str">
        <x:f>'Calibration Records'!M541</x:f>
        <x:v>OPEN</x:v>
      </x:c>
    </x:row>
    <x:row r="1525">
      <x:c r="B1525" s="7" t="str">
        <x:v>AG-01519</x:v>
      </x:c>
      <x:c r="C1525" s="7" t="str">
        <x:v>PEA-A-Y1</x:v>
      </x:c>
      <x:c r="D1525" s="7" t="str">
        <x:v>factory calibration</x:v>
      </x:c>
      <x:c r="E1525" s="7" t="str">
        <x:v>CAL-CH-PEA-A-Y1-18-2</x:v>
      </x:c>
      <x:c r="F1525" s="7" t="str">
        <x:f>'Calibration Records'!M542</x:f>
        <x:v>OPEN</x:v>
      </x:c>
    </x:row>
    <x:row r="1526">
      <x:c r="B1526" s="7" t="str">
        <x:v>AG-01520</x:v>
      </x:c>
      <x:c r="C1526" s="7" t="str">
        <x:v>PEA-A-Y1</x:v>
      </x:c>
      <x:c r="D1526" s="7" t="str">
        <x:v>factory calibration</x:v>
      </x:c>
      <x:c r="E1526" s="7" t="str">
        <x:v>CAL-CH-PEA-A-Y1-18-3</x:v>
      </x:c>
      <x:c r="F1526" s="7" t="str">
        <x:f>'Calibration Records'!M543</x:f>
        <x:v>OPEN</x:v>
      </x:c>
    </x:row>
    <x:row r="1527">
      <x:c r="B1527" s="7" t="str">
        <x:v>AG-01521</x:v>
      </x:c>
      <x:c r="C1527" s="7" t="str">
        <x:v>PEA-A-Y1</x:v>
      </x:c>
      <x:c r="D1527" s="7" t="str">
        <x:v>factory calibration</x:v>
      </x:c>
      <x:c r="E1527" s="7" t="str">
        <x:v>CAL-CH-PEA-A-Y1-18-4</x:v>
      </x:c>
      <x:c r="F1527" s="7" t="str">
        <x:f>'Calibration Records'!M544</x:f>
        <x:v>OPEN</x:v>
      </x:c>
    </x:row>
    <x:row r="1528">
      <x:c r="B1528" s="7" t="str">
        <x:v>AG-01522</x:v>
      </x:c>
      <x:c r="C1528" s="7" t="str">
        <x:v>PEA-A-Y1</x:v>
      </x:c>
      <x:c r="D1528" s="7" t="str">
        <x:v>factory calibration</x:v>
      </x:c>
      <x:c r="E1528" s="7" t="str">
        <x:v>CAL-CH-PEA-A-Y1-18-5</x:v>
      </x:c>
      <x:c r="F1528" s="7" t="str">
        <x:f>'Calibration Records'!M545</x:f>
        <x:v>OPEN</x:v>
      </x:c>
    </x:row>
    <x:row r="1529">
      <x:c r="B1529" s="7" t="str">
        <x:v>AG-01523</x:v>
      </x:c>
      <x:c r="C1529" s="7" t="str">
        <x:v>PEA-A-Y1</x:v>
      </x:c>
      <x:c r="D1529" s="7" t="str">
        <x:v>factory calibration</x:v>
      </x:c>
      <x:c r="E1529" s="7" t="str">
        <x:v>CAL-CH-PEA-A-Y1-18-6</x:v>
      </x:c>
      <x:c r="F1529" s="7" t="str">
        <x:f>'Calibration Records'!M546</x:f>
        <x:v>OPEN</x:v>
      </x:c>
    </x:row>
    <x:row r="1530">
      <x:c r="B1530" s="7" t="str">
        <x:v>AG-01524</x:v>
      </x:c>
      <x:c r="C1530" s="7" t="str">
        <x:v>PEA-A-Y1</x:v>
      </x:c>
      <x:c r="D1530" s="7" t="str">
        <x:v>factory calibration</x:v>
      </x:c>
      <x:c r="E1530" s="7" t="str">
        <x:v>CAL-CH-PEA-A-Y1-19-1</x:v>
      </x:c>
      <x:c r="F1530" s="7" t="str">
        <x:f>'Calibration Records'!M547</x:f>
        <x:v>OPEN</x:v>
      </x:c>
    </x:row>
    <x:row r="1531">
      <x:c r="B1531" s="7" t="str">
        <x:v>AG-01525</x:v>
      </x:c>
      <x:c r="C1531" s="7" t="str">
        <x:v>PEA-A-Y1</x:v>
      </x:c>
      <x:c r="D1531" s="7" t="str">
        <x:v>factory calibration</x:v>
      </x:c>
      <x:c r="E1531" s="7" t="str">
        <x:v>CAL-CH-PEA-A-Y1-19-2</x:v>
      </x:c>
      <x:c r="F1531" s="7" t="str">
        <x:f>'Calibration Records'!M548</x:f>
        <x:v>OPEN</x:v>
      </x:c>
    </x:row>
    <x:row r="1532">
      <x:c r="B1532" s="7" t="str">
        <x:v>AG-01526</x:v>
      </x:c>
      <x:c r="C1532" s="7" t="str">
        <x:v>PEA-A-Y1</x:v>
      </x:c>
      <x:c r="D1532" s="7" t="str">
        <x:v>factory calibration</x:v>
      </x:c>
      <x:c r="E1532" s="7" t="str">
        <x:v>CAL-CH-PEA-A-Y1-19-3</x:v>
      </x:c>
      <x:c r="F1532" s="7" t="str">
        <x:f>'Calibration Records'!M549</x:f>
        <x:v>OPEN</x:v>
      </x:c>
    </x:row>
    <x:row r="1533">
      <x:c r="B1533" s="7" t="str">
        <x:v>AG-01527</x:v>
      </x:c>
      <x:c r="C1533" s="7" t="str">
        <x:v>PEA-A-Y1</x:v>
      </x:c>
      <x:c r="D1533" s="7" t="str">
        <x:v>factory calibration</x:v>
      </x:c>
      <x:c r="E1533" s="7" t="str">
        <x:v>CAL-CH-PEA-A-Y1-19-4</x:v>
      </x:c>
      <x:c r="F1533" s="7" t="str">
        <x:f>'Calibration Records'!M550</x:f>
        <x:v>OPEN</x:v>
      </x:c>
    </x:row>
    <x:row r="1534">
      <x:c r="B1534" s="7" t="str">
        <x:v>AG-01528</x:v>
      </x:c>
      <x:c r="C1534" s="7" t="str">
        <x:v>PEA-A-Y1</x:v>
      </x:c>
      <x:c r="D1534" s="7" t="str">
        <x:v>factory calibration</x:v>
      </x:c>
      <x:c r="E1534" s="7" t="str">
        <x:v>CAL-CH-PEA-A-Y1-19-5</x:v>
      </x:c>
      <x:c r="F1534" s="7" t="str">
        <x:f>'Calibration Records'!M551</x:f>
        <x:v>OPEN</x:v>
      </x:c>
    </x:row>
    <x:row r="1535">
      <x:c r="B1535" s="7" t="str">
        <x:v>AG-01529</x:v>
      </x:c>
      <x:c r="C1535" s="7" t="str">
        <x:v>PEA-A-Y1</x:v>
      </x:c>
      <x:c r="D1535" s="7" t="str">
        <x:v>factory calibration</x:v>
      </x:c>
      <x:c r="E1535" s="7" t="str">
        <x:v>CAL-CH-PEA-A-Y1-19-6</x:v>
      </x:c>
      <x:c r="F1535" s="7" t="str">
        <x:f>'Calibration Records'!M552</x:f>
        <x:v>OPEN</x:v>
      </x:c>
    </x:row>
    <x:row r="1536">
      <x:c r="B1536" s="7" t="str">
        <x:v>AG-01530</x:v>
      </x:c>
      <x:c r="C1536" s="7" t="str">
        <x:v>PEA-A-Y1</x:v>
      </x:c>
      <x:c r="D1536" s="7" t="str">
        <x:v>factory calibration</x:v>
      </x:c>
      <x:c r="E1536" s="7" t="str">
        <x:v>CAL-CH-PEA-A-Y1-20-1</x:v>
      </x:c>
      <x:c r="F1536" s="7" t="str">
        <x:f>'Calibration Records'!M553</x:f>
        <x:v>OPEN</x:v>
      </x:c>
    </x:row>
    <x:row r="1537">
      <x:c r="B1537" s="7" t="str">
        <x:v>AG-01531</x:v>
      </x:c>
      <x:c r="C1537" s="7" t="str">
        <x:v>PEA-A-Y1</x:v>
      </x:c>
      <x:c r="D1537" s="7" t="str">
        <x:v>factory calibration</x:v>
      </x:c>
      <x:c r="E1537" s="7" t="str">
        <x:v>CAL-CH-PEA-A-Y1-20-2</x:v>
      </x:c>
      <x:c r="F1537" s="7" t="str">
        <x:f>'Calibration Records'!M554</x:f>
        <x:v>OPEN</x:v>
      </x:c>
    </x:row>
    <x:row r="1538">
      <x:c r="B1538" s="7" t="str">
        <x:v>AG-01532</x:v>
      </x:c>
      <x:c r="C1538" s="7" t="str">
        <x:v>PEA-A-Y1</x:v>
      </x:c>
      <x:c r="D1538" s="7" t="str">
        <x:v>factory calibration</x:v>
      </x:c>
      <x:c r="E1538" s="7" t="str">
        <x:v>CAL-CH-PEA-A-Y1-20-3</x:v>
      </x:c>
      <x:c r="F1538" s="7" t="str">
        <x:f>'Calibration Records'!M555</x:f>
        <x:v>OPEN</x:v>
      </x:c>
    </x:row>
    <x:row r="1539">
      <x:c r="B1539" s="7" t="str">
        <x:v>AG-01533</x:v>
      </x:c>
      <x:c r="C1539" s="7" t="str">
        <x:v>PEA-A-Y1</x:v>
      </x:c>
      <x:c r="D1539" s="7" t="str">
        <x:v>factory calibration</x:v>
      </x:c>
      <x:c r="E1539" s="7" t="str">
        <x:v>CAL-CH-PEA-A-Y1-20-4</x:v>
      </x:c>
      <x:c r="F1539" s="7" t="str">
        <x:f>'Calibration Records'!M556</x:f>
        <x:v>OPEN</x:v>
      </x:c>
    </x:row>
    <x:row r="1540">
      <x:c r="B1540" s="7" t="str">
        <x:v>AG-01534</x:v>
      </x:c>
      <x:c r="C1540" s="7" t="str">
        <x:v>PEA-A-Y1</x:v>
      </x:c>
      <x:c r="D1540" s="7" t="str">
        <x:v>factory calibration</x:v>
      </x:c>
      <x:c r="E1540" s="7" t="str">
        <x:v>CAL-CH-PEA-A-Y1-20-5</x:v>
      </x:c>
      <x:c r="F1540" s="7" t="str">
        <x:f>'Calibration Records'!M557</x:f>
        <x:v>OPEN</x:v>
      </x:c>
    </x:row>
    <x:row r="1541">
      <x:c r="B1541" s="7" t="str">
        <x:v>AG-01535</x:v>
      </x:c>
      <x:c r="C1541" s="7" t="str">
        <x:v>PEA-A-Y1</x:v>
      </x:c>
      <x:c r="D1541" s="7" t="str">
        <x:v>factory calibration</x:v>
      </x:c>
      <x:c r="E1541" s="7" t="str">
        <x:v>CAL-CH-PEA-A-Y1-20-6</x:v>
      </x:c>
      <x:c r="F1541" s="7" t="str">
        <x:f>'Calibration Records'!M558</x:f>
        <x:v>OPEN</x:v>
      </x:c>
    </x:row>
    <x:row r="1542">
      <x:c r="B1542" s="7" t="str">
        <x:v>AG-01536</x:v>
      </x:c>
      <x:c r="C1542" s="7" t="str">
        <x:v>PEA-A-Y1</x:v>
      </x:c>
      <x:c r="D1542" s="7" t="str">
        <x:v>factory calibration</x:v>
      </x:c>
      <x:c r="E1542" s="7" t="str">
        <x:v>CAL-CH-PEA-A-Y1-21-1</x:v>
      </x:c>
      <x:c r="F1542" s="7" t="str">
        <x:f>'Calibration Records'!M559</x:f>
        <x:v>OPEN</x:v>
      </x:c>
    </x:row>
    <x:row r="1543">
      <x:c r="B1543" s="7" t="str">
        <x:v>AG-01537</x:v>
      </x:c>
      <x:c r="C1543" s="7" t="str">
        <x:v>PEA-A-Y1</x:v>
      </x:c>
      <x:c r="D1543" s="7" t="str">
        <x:v>factory calibration</x:v>
      </x:c>
      <x:c r="E1543" s="7" t="str">
        <x:v>CAL-CH-PEA-A-Y1-21-2</x:v>
      </x:c>
      <x:c r="F1543" s="7" t="str">
        <x:f>'Calibration Records'!M560</x:f>
        <x:v>OPEN</x:v>
      </x:c>
    </x:row>
    <x:row r="1544">
      <x:c r="B1544" s="7" t="str">
        <x:v>AG-01538</x:v>
      </x:c>
      <x:c r="C1544" s="7" t="str">
        <x:v>PEA-A-Y1</x:v>
      </x:c>
      <x:c r="D1544" s="7" t="str">
        <x:v>factory calibration</x:v>
      </x:c>
      <x:c r="E1544" s="7" t="str">
        <x:v>CAL-CH-PEA-A-Y1-21-3</x:v>
      </x:c>
      <x:c r="F1544" s="7" t="str">
        <x:f>'Calibration Records'!M561</x:f>
        <x:v>OPEN</x:v>
      </x:c>
    </x:row>
    <x:row r="1545">
      <x:c r="B1545" s="7" t="str">
        <x:v>AG-01539</x:v>
      </x:c>
      <x:c r="C1545" s="7" t="str">
        <x:v>PEA-A-Y1</x:v>
      </x:c>
      <x:c r="D1545" s="7" t="str">
        <x:v>factory calibration</x:v>
      </x:c>
      <x:c r="E1545" s="7" t="str">
        <x:v>CAL-CH-PEA-A-Y1-21-4</x:v>
      </x:c>
      <x:c r="F1545" s="7" t="str">
        <x:f>'Calibration Records'!M562</x:f>
        <x:v>OPEN</x:v>
      </x:c>
    </x:row>
    <x:row r="1546">
      <x:c r="B1546" s="7" t="str">
        <x:v>AG-01540</x:v>
      </x:c>
      <x:c r="C1546" s="7" t="str">
        <x:v>PEA-A-Y1</x:v>
      </x:c>
      <x:c r="D1546" s="7" t="str">
        <x:v>factory calibration</x:v>
      </x:c>
      <x:c r="E1546" s="7" t="str">
        <x:v>CAL-CH-PEA-A-Y1-21-5</x:v>
      </x:c>
      <x:c r="F1546" s="7" t="str">
        <x:f>'Calibration Records'!M563</x:f>
        <x:v>OPEN</x:v>
      </x:c>
    </x:row>
    <x:row r="1547">
      <x:c r="B1547" s="7" t="str">
        <x:v>AG-01541</x:v>
      </x:c>
      <x:c r="C1547" s="7" t="str">
        <x:v>PEA-A-Y1</x:v>
      </x:c>
      <x:c r="D1547" s="7" t="str">
        <x:v>factory calibration</x:v>
      </x:c>
      <x:c r="E1547" s="7" t="str">
        <x:v>CAL-CH-PEA-A-Y1-21-6</x:v>
      </x:c>
      <x:c r="F1547" s="7" t="str">
        <x:f>'Calibration Records'!M564</x:f>
        <x:v>OPEN</x:v>
      </x:c>
    </x:row>
    <x:row r="1548">
      <x:c r="B1548" s="7" t="str">
        <x:v>AG-01542</x:v>
      </x:c>
      <x:c r="C1548" s="7" t="str">
        <x:v>PEA-A-Y1</x:v>
      </x:c>
      <x:c r="D1548" s="7" t="str">
        <x:v>factory calibration</x:v>
      </x:c>
      <x:c r="E1548" s="7" t="str">
        <x:v>CAL-CH-PEA-A-Y1-22-1</x:v>
      </x:c>
      <x:c r="F1548" s="7" t="str">
        <x:f>'Calibration Records'!M565</x:f>
        <x:v>OPEN</x:v>
      </x:c>
    </x:row>
    <x:row r="1549">
      <x:c r="B1549" s="7" t="str">
        <x:v>AG-01543</x:v>
      </x:c>
      <x:c r="C1549" s="7" t="str">
        <x:v>PEA-A-Y1</x:v>
      </x:c>
      <x:c r="D1549" s="7" t="str">
        <x:v>factory calibration</x:v>
      </x:c>
      <x:c r="E1549" s="7" t="str">
        <x:v>CAL-CH-PEA-A-Y1-22-2</x:v>
      </x:c>
      <x:c r="F1549" s="7" t="str">
        <x:f>'Calibration Records'!M566</x:f>
        <x:v>OPEN</x:v>
      </x:c>
    </x:row>
    <x:row r="1550">
      <x:c r="B1550" s="7" t="str">
        <x:v>AG-01544</x:v>
      </x:c>
      <x:c r="C1550" s="7" t="str">
        <x:v>PEA-A-Y1</x:v>
      </x:c>
      <x:c r="D1550" s="7" t="str">
        <x:v>factory calibration</x:v>
      </x:c>
      <x:c r="E1550" s="7" t="str">
        <x:v>CAL-CH-PEA-A-Y1-22-3</x:v>
      </x:c>
      <x:c r="F1550" s="7" t="str">
        <x:f>'Calibration Records'!M567</x:f>
        <x:v>OPEN</x:v>
      </x:c>
    </x:row>
    <x:row r="1551">
      <x:c r="B1551" s="7" t="str">
        <x:v>AG-01545</x:v>
      </x:c>
      <x:c r="C1551" s="7" t="str">
        <x:v>PEA-A-Y1</x:v>
      </x:c>
      <x:c r="D1551" s="7" t="str">
        <x:v>factory calibration</x:v>
      </x:c>
      <x:c r="E1551" s="7" t="str">
        <x:v>CAL-CH-PEA-A-Y1-22-4</x:v>
      </x:c>
      <x:c r="F1551" s="7" t="str">
        <x:f>'Calibration Records'!M568</x:f>
        <x:v>OPEN</x:v>
      </x:c>
    </x:row>
    <x:row r="1552">
      <x:c r="B1552" s="7" t="str">
        <x:v>AG-01546</x:v>
      </x:c>
      <x:c r="C1552" s="7" t="str">
        <x:v>PEA-A-Y1</x:v>
      </x:c>
      <x:c r="D1552" s="7" t="str">
        <x:v>factory calibration</x:v>
      </x:c>
      <x:c r="E1552" s="7" t="str">
        <x:v>CAL-CH-PEA-A-Y1-22-5</x:v>
      </x:c>
      <x:c r="F1552" s="7" t="str">
        <x:f>'Calibration Records'!M569</x:f>
        <x:v>OPEN</x:v>
      </x:c>
    </x:row>
    <x:row r="1553">
      <x:c r="B1553" s="7" t="str">
        <x:v>AG-01547</x:v>
      </x:c>
      <x:c r="C1553" s="7" t="str">
        <x:v>PEA-A-Y1</x:v>
      </x:c>
      <x:c r="D1553" s="7" t="str">
        <x:v>factory calibration</x:v>
      </x:c>
      <x:c r="E1553" s="7" t="str">
        <x:v>CAL-CH-PEA-A-Y1-22-6</x:v>
      </x:c>
      <x:c r="F1553" s="7" t="str">
        <x:f>'Calibration Records'!M570</x:f>
        <x:v>OPEN</x:v>
      </x:c>
    </x:row>
    <x:row r="1554">
      <x:c r="B1554" s="7" t="str">
        <x:v>AG-01548</x:v>
      </x:c>
      <x:c r="C1554" s="7" t="str">
        <x:v>PEA-A-Y1</x:v>
      </x:c>
      <x:c r="D1554" s="7" t="str">
        <x:v>factory calibration</x:v>
      </x:c>
      <x:c r="E1554" s="7" t="str">
        <x:v>CAL-CH-PEA-A-Y1-23-1</x:v>
      </x:c>
      <x:c r="F1554" s="7" t="str">
        <x:f>'Calibration Records'!M571</x:f>
        <x:v>OPEN</x:v>
      </x:c>
    </x:row>
    <x:row r="1555">
      <x:c r="B1555" s="7" t="str">
        <x:v>AG-01549</x:v>
      </x:c>
      <x:c r="C1555" s="7" t="str">
        <x:v>PEA-A-Y1</x:v>
      </x:c>
      <x:c r="D1555" s="7" t="str">
        <x:v>factory calibration</x:v>
      </x:c>
      <x:c r="E1555" s="7" t="str">
        <x:v>CAL-CH-PEA-A-Y1-23-2</x:v>
      </x:c>
      <x:c r="F1555" s="7" t="str">
        <x:f>'Calibration Records'!M572</x:f>
        <x:v>OPEN</x:v>
      </x:c>
    </x:row>
    <x:row r="1556">
      <x:c r="B1556" s="7" t="str">
        <x:v>AG-01550</x:v>
      </x:c>
      <x:c r="C1556" s="7" t="str">
        <x:v>PEA-A-Y1</x:v>
      </x:c>
      <x:c r="D1556" s="7" t="str">
        <x:v>factory calibration</x:v>
      </x:c>
      <x:c r="E1556" s="7" t="str">
        <x:v>CAL-CH-PEA-A-Y1-23-3</x:v>
      </x:c>
      <x:c r="F1556" s="7" t="str">
        <x:f>'Calibration Records'!M573</x:f>
        <x:v>OPEN</x:v>
      </x:c>
    </x:row>
    <x:row r="1557">
      <x:c r="B1557" s="7" t="str">
        <x:v>AG-01551</x:v>
      </x:c>
      <x:c r="C1557" s="7" t="str">
        <x:v>PEA-A-Y1</x:v>
      </x:c>
      <x:c r="D1557" s="7" t="str">
        <x:v>factory calibration</x:v>
      </x:c>
      <x:c r="E1557" s="7" t="str">
        <x:v>CAL-CH-PEA-A-Y1-23-4</x:v>
      </x:c>
      <x:c r="F1557" s="7" t="str">
        <x:f>'Calibration Records'!M574</x:f>
        <x:v>OPEN</x:v>
      </x:c>
    </x:row>
    <x:row r="1558">
      <x:c r="B1558" s="7" t="str">
        <x:v>AG-01552</x:v>
      </x:c>
      <x:c r="C1558" s="7" t="str">
        <x:v>PEA-A-Y1</x:v>
      </x:c>
      <x:c r="D1558" s="7" t="str">
        <x:v>factory calibration</x:v>
      </x:c>
      <x:c r="E1558" s="7" t="str">
        <x:v>CAL-CH-PEA-A-Y1-23-5</x:v>
      </x:c>
      <x:c r="F1558" s="7" t="str">
        <x:f>'Calibration Records'!M575</x:f>
        <x:v>OPEN</x:v>
      </x:c>
    </x:row>
    <x:row r="1559">
      <x:c r="B1559" s="7" t="str">
        <x:v>AG-01553</x:v>
      </x:c>
      <x:c r="C1559" s="7" t="str">
        <x:v>PEA-A-Y1</x:v>
      </x:c>
      <x:c r="D1559" s="7" t="str">
        <x:v>factory calibration</x:v>
      </x:c>
      <x:c r="E1559" s="7" t="str">
        <x:v>CAL-CH-PEA-A-Y1-23-6</x:v>
      </x:c>
      <x:c r="F1559" s="7" t="str">
        <x:f>'Calibration Records'!M576</x:f>
        <x:v>OPEN</x:v>
      </x:c>
    </x:row>
    <x:row r="1560">
      <x:c r="B1560" s="7" t="str">
        <x:v>AG-01554</x:v>
      </x:c>
      <x:c r="C1560" s="7" t="str">
        <x:v>PEA-A-Y1</x:v>
      </x:c>
      <x:c r="D1560" s="7" t="str">
        <x:v>factory calibration</x:v>
      </x:c>
      <x:c r="E1560" s="7" t="str">
        <x:v>CAL-CH-PEA-A-Y1-24-1</x:v>
      </x:c>
      <x:c r="F1560" s="7" t="str">
        <x:f>'Calibration Records'!M577</x:f>
        <x:v>OPEN</x:v>
      </x:c>
    </x:row>
    <x:row r="1561">
      <x:c r="B1561" s="7" t="str">
        <x:v>AG-01555</x:v>
      </x:c>
      <x:c r="C1561" s="7" t="str">
        <x:v>PEA-A-Y1</x:v>
      </x:c>
      <x:c r="D1561" s="7" t="str">
        <x:v>factory calibration</x:v>
      </x:c>
      <x:c r="E1561" s="7" t="str">
        <x:v>CAL-CH-PEA-A-Y1-24-2</x:v>
      </x:c>
      <x:c r="F1561" s="7" t="str">
        <x:f>'Calibration Records'!M578</x:f>
        <x:v>OPEN</x:v>
      </x:c>
    </x:row>
    <x:row r="1562">
      <x:c r="B1562" s="7" t="str">
        <x:v>AG-01556</x:v>
      </x:c>
      <x:c r="C1562" s="7" t="str">
        <x:v>PEA-A-Y1</x:v>
      </x:c>
      <x:c r="D1562" s="7" t="str">
        <x:v>factory calibration</x:v>
      </x:c>
      <x:c r="E1562" s="7" t="str">
        <x:v>CAL-CH-PEA-A-Y1-24-3</x:v>
      </x:c>
      <x:c r="F1562" s="7" t="str">
        <x:f>'Calibration Records'!M579</x:f>
        <x:v>OPEN</x:v>
      </x:c>
    </x:row>
    <x:row r="1563">
      <x:c r="B1563" s="7" t="str">
        <x:v>AG-01557</x:v>
      </x:c>
      <x:c r="C1563" s="7" t="str">
        <x:v>PEA-A-Y1</x:v>
      </x:c>
      <x:c r="D1563" s="7" t="str">
        <x:v>factory calibration</x:v>
      </x:c>
      <x:c r="E1563" s="7" t="str">
        <x:v>CAL-CH-PEA-A-Y1-24-4</x:v>
      </x:c>
      <x:c r="F1563" s="7" t="str">
        <x:f>'Calibration Records'!M580</x:f>
        <x:v>OPEN</x:v>
      </x:c>
    </x:row>
    <x:row r="1564">
      <x:c r="B1564" s="7" t="str">
        <x:v>AG-01558</x:v>
      </x:c>
      <x:c r="C1564" s="7" t="str">
        <x:v>PEA-A-Y1</x:v>
      </x:c>
      <x:c r="D1564" s="7" t="str">
        <x:v>factory calibration</x:v>
      </x:c>
      <x:c r="E1564" s="7" t="str">
        <x:v>CAL-CH-PEA-A-Y1-24-5</x:v>
      </x:c>
      <x:c r="F1564" s="7" t="str">
        <x:f>'Calibration Records'!M581</x:f>
        <x:v>OPEN</x:v>
      </x:c>
    </x:row>
    <x:row r="1565">
      <x:c r="B1565" s="7" t="str">
        <x:v>AG-01559</x:v>
      </x:c>
      <x:c r="C1565" s="7" t="str">
        <x:v>PEA-A-Y1</x:v>
      </x:c>
      <x:c r="D1565" s="7" t="str">
        <x:v>factory calibration</x:v>
      </x:c>
      <x:c r="E1565" s="7" t="str">
        <x:v>CAL-CH-PEA-A-Y1-24-6</x:v>
      </x:c>
      <x:c r="F1565" s="7" t="str">
        <x:f>'Calibration Records'!M582</x:f>
        <x:v>OPEN</x:v>
      </x:c>
    </x:row>
    <x:row r="1566">
      <x:c r="B1566" s="7" t="str">
        <x:v>AG-01560</x:v>
      </x:c>
      <x:c r="C1566" s="7" t="str">
        <x:v>PEA-A-Y1</x:v>
      </x:c>
      <x:c r="D1566" s="7" t="str">
        <x:v>article master</x:v>
      </x:c>
      <x:c r="E1566" s="7" t="str">
        <x:v>PEA-A-Y1</x:v>
      </x:c>
      <x:c r="F1566" s="7" t="str">
        <x:f>'Article Population'!Q10</x:f>
        <x:v>OPEN</x:v>
      </x:c>
    </x:row>
    <x:row r="1567">
      <x:c r="B1567" s="7" t="str">
        <x:v>AG-01561</x:v>
      </x:c>
      <x:c r="C1567" s="7" t="str">
        <x:v>PEA-A-Y2</x:v>
      </x:c>
      <x:c r="D1567" s="7" t="str">
        <x:v>lineage capsule</x:v>
      </x:c>
      <x:c r="E1567" s="7" t="str">
        <x:v>BL-Y</x:v>
      </x:c>
      <x:c r="F1567" s="7" t="str">
        <x:f>'Baseline Package'!F8</x:f>
        <x:v>OPEN</x:v>
      </x:c>
    </x:row>
    <x:row r="1568">
      <x:c r="B1568" s="7" t="str">
        <x:v>AG-01562</x:v>
      </x:c>
      <x:c r="C1568" s="7" t="str">
        <x:v>PEA-A-Y2</x:v>
      </x:c>
      <x:c r="D1568" s="7" t="str">
        <x:v>builder qualification</x:v>
      </x:c>
      <x:c r="E1568" s="7" t="str">
        <x:v>BLD-A</x:v>
      </x:c>
      <x:c r="F1568" s="7" t="str">
        <x:f>Builders!K7</x:f>
        <x:v>OPEN</x:v>
      </x:c>
    </x:row>
    <x:row r="1569">
      <x:c r="B1569" s="7" t="str">
        <x:v>AG-01563</x:v>
      </x:c>
      <x:c r="C1569" s="7" t="str">
        <x:v>PEA-A-Y2</x:v>
      </x:c>
      <x:c r="D1569" s="7" t="str">
        <x:v>material split</x:v>
      </x:c>
      <x:c r="E1569" s="7" t="str">
        <x:v>SPLIT-PEA-A-Y2</x:v>
      </x:c>
      <x:c r="F1569" s="7" t="str">
        <x:f>'Material Matrix'!K11</x:f>
        <x:v>OPEN</x:v>
      </x:c>
    </x:row>
    <x:row r="1570">
      <x:c r="B1570" s="7" t="str">
        <x:v>AG-01564</x:v>
      </x:c>
      <x:c r="C1570" s="7" t="str">
        <x:v>PEA-A-Y2</x:v>
      </x:c>
      <x:c r="D1570" s="7" t="str">
        <x:v>build sequence</x:v>
      </x:c>
      <x:c r="E1570" s="7" t="str">
        <x:v>SEQ-PEA-A-Y2</x:v>
      </x:c>
      <x:c r="F1570" s="7" t="str">
        <x:f>'Build Sequence'!L11</x:f>
        <x:v>OPEN</x:v>
      </x:c>
    </x:row>
    <x:row r="1571">
      <x:c r="B1571" s="7" t="str">
        <x:v>AG-01565</x:v>
      </x:c>
      <x:c r="C1571" s="7" t="str">
        <x:v>PEA-A-Y2</x:v>
      </x:c>
      <x:c r="D1571" s="7" t="str">
        <x:v>section traveler</x:v>
      </x:c>
      <x:c r="E1571" s="7" t="str">
        <x:v>TRV-PEA-A-Y2-01</x:v>
      </x:c>
      <x:c r="F1571" s="7" t="str">
        <x:f>'Section Travelers'!L87</x:f>
        <x:v>OPEN</x:v>
      </x:c>
    </x:row>
    <x:row r="1572">
      <x:c r="B1572" s="7" t="str">
        <x:v>AG-01566</x:v>
      </x:c>
      <x:c r="C1572" s="7" t="str">
        <x:v>PEA-A-Y2</x:v>
      </x:c>
      <x:c r="D1572" s="7" t="str">
        <x:v>section traveler</x:v>
      </x:c>
      <x:c r="E1572" s="7" t="str">
        <x:v>TRV-PEA-A-Y2-02</x:v>
      </x:c>
      <x:c r="F1572" s="7" t="str">
        <x:f>'Section Travelers'!L88</x:f>
        <x:v>OPEN</x:v>
      </x:c>
    </x:row>
    <x:row r="1573">
      <x:c r="B1573" s="7" t="str">
        <x:v>AG-01567</x:v>
      </x:c>
      <x:c r="C1573" s="7" t="str">
        <x:v>PEA-A-Y2</x:v>
      </x:c>
      <x:c r="D1573" s="7" t="str">
        <x:v>section traveler</x:v>
      </x:c>
      <x:c r="E1573" s="7" t="str">
        <x:v>TRV-PEA-A-Y2-03</x:v>
      </x:c>
      <x:c r="F1573" s="7" t="str">
        <x:f>'Section Travelers'!L89</x:f>
        <x:v>OPEN</x:v>
      </x:c>
    </x:row>
    <x:row r="1574">
      <x:c r="B1574" s="7" t="str">
        <x:v>AG-01568</x:v>
      </x:c>
      <x:c r="C1574" s="7" t="str">
        <x:v>PEA-A-Y2</x:v>
      </x:c>
      <x:c r="D1574" s="7" t="str">
        <x:v>section traveler</x:v>
      </x:c>
      <x:c r="E1574" s="7" t="str">
        <x:v>TRV-PEA-A-Y2-04</x:v>
      </x:c>
      <x:c r="F1574" s="7" t="str">
        <x:f>'Section Travelers'!L90</x:f>
        <x:v>OPEN</x:v>
      </x:c>
    </x:row>
    <x:row r="1575">
      <x:c r="B1575" s="7" t="str">
        <x:v>AG-01569</x:v>
      </x:c>
      <x:c r="C1575" s="7" t="str">
        <x:v>PEA-A-Y2</x:v>
      </x:c>
      <x:c r="D1575" s="7" t="str">
        <x:v>section traveler</x:v>
      </x:c>
      <x:c r="E1575" s="7" t="str">
        <x:v>TRV-PEA-A-Y2-05</x:v>
      </x:c>
      <x:c r="F1575" s="7" t="str">
        <x:f>'Section Travelers'!L91</x:f>
        <x:v>OPEN</x:v>
      </x:c>
    </x:row>
    <x:row r="1576">
      <x:c r="B1576" s="7" t="str">
        <x:v>AG-01570</x:v>
      </x:c>
      <x:c r="C1576" s="7" t="str">
        <x:v>PEA-A-Y2</x:v>
      </x:c>
      <x:c r="D1576" s="7" t="str">
        <x:v>section traveler</x:v>
      </x:c>
      <x:c r="E1576" s="7" t="str">
        <x:v>TRV-PEA-A-Y2-06</x:v>
      </x:c>
      <x:c r="F1576" s="7" t="str">
        <x:f>'Section Travelers'!L92</x:f>
        <x:v>OPEN</x:v>
      </x:c>
    </x:row>
    <x:row r="1577">
      <x:c r="B1577" s="7" t="str">
        <x:v>AG-01571</x:v>
      </x:c>
      <x:c r="C1577" s="7" t="str">
        <x:v>PEA-A-Y2</x:v>
      </x:c>
      <x:c r="D1577" s="7" t="str">
        <x:v>section traveler</x:v>
      </x:c>
      <x:c r="E1577" s="7" t="str">
        <x:v>TRV-PEA-A-Y2-07</x:v>
      </x:c>
      <x:c r="F1577" s="7" t="str">
        <x:f>'Section Travelers'!L93</x:f>
        <x:v>OPEN</x:v>
      </x:c>
    </x:row>
    <x:row r="1578">
      <x:c r="B1578" s="7" t="str">
        <x:v>AG-01572</x:v>
      </x:c>
      <x:c r="C1578" s="7" t="str">
        <x:v>PEA-A-Y2</x:v>
      </x:c>
      <x:c r="D1578" s="7" t="str">
        <x:v>section traveler</x:v>
      </x:c>
      <x:c r="E1578" s="7" t="str">
        <x:v>TRV-PEA-A-Y2-08</x:v>
      </x:c>
      <x:c r="F1578" s="7" t="str">
        <x:f>'Section Travelers'!L94</x:f>
        <x:v>OPEN</x:v>
      </x:c>
    </x:row>
    <x:row r="1579">
      <x:c r="B1579" s="7" t="str">
        <x:v>AG-01573</x:v>
      </x:c>
      <x:c r="C1579" s="7" t="str">
        <x:v>PEA-A-Y2</x:v>
      </x:c>
      <x:c r="D1579" s="7" t="str">
        <x:v>section traveler</x:v>
      </x:c>
      <x:c r="E1579" s="7" t="str">
        <x:v>TRV-PEA-A-Y2-09</x:v>
      </x:c>
      <x:c r="F1579" s="7" t="str">
        <x:f>'Section Travelers'!L95</x:f>
        <x:v>OPEN</x:v>
      </x:c>
    </x:row>
    <x:row r="1580">
      <x:c r="B1580" s="7" t="str">
        <x:v>AG-01574</x:v>
      </x:c>
      <x:c r="C1580" s="7" t="str">
        <x:v>PEA-A-Y2</x:v>
      </x:c>
      <x:c r="D1580" s="7" t="str">
        <x:v>section traveler</x:v>
      </x:c>
      <x:c r="E1580" s="7" t="str">
        <x:v>TRV-PEA-A-Y2-10</x:v>
      </x:c>
      <x:c r="F1580" s="7" t="str">
        <x:f>'Section Travelers'!L96</x:f>
        <x:v>OPEN</x:v>
      </x:c>
    </x:row>
    <x:row r="1581">
      <x:c r="B1581" s="7" t="str">
        <x:v>AG-01575</x:v>
      </x:c>
      <x:c r="C1581" s="7" t="str">
        <x:v>PEA-A-Y2</x:v>
      </x:c>
      <x:c r="D1581" s="7" t="str">
        <x:v>section traveler</x:v>
      </x:c>
      <x:c r="E1581" s="7" t="str">
        <x:v>TRV-PEA-A-Y2-11</x:v>
      </x:c>
      <x:c r="F1581" s="7" t="str">
        <x:f>'Section Travelers'!L97</x:f>
        <x:v>OPEN</x:v>
      </x:c>
    </x:row>
    <x:row r="1582">
      <x:c r="B1582" s="7" t="str">
        <x:v>AG-01576</x:v>
      </x:c>
      <x:c r="C1582" s="7" t="str">
        <x:v>PEA-A-Y2</x:v>
      </x:c>
      <x:c r="D1582" s="7" t="str">
        <x:v>section traveler</x:v>
      </x:c>
      <x:c r="E1582" s="7" t="str">
        <x:v>TRV-PEA-A-Y2-12</x:v>
      </x:c>
      <x:c r="F1582" s="7" t="str">
        <x:f>'Section Travelers'!L98</x:f>
        <x:v>OPEN</x:v>
      </x:c>
    </x:row>
    <x:row r="1583">
      <x:c r="B1583" s="7" t="str">
        <x:v>AG-01577</x:v>
      </x:c>
      <x:c r="C1583" s="7" t="str">
        <x:v>PEA-A-Y2</x:v>
      </x:c>
      <x:c r="D1583" s="7" t="str">
        <x:v>section traveler</x:v>
      </x:c>
      <x:c r="E1583" s="7" t="str">
        <x:v>TRV-PEA-A-Y2-13</x:v>
      </x:c>
      <x:c r="F1583" s="7" t="str">
        <x:f>'Section Travelers'!L99</x:f>
        <x:v>OPEN</x:v>
      </x:c>
    </x:row>
    <x:row r="1584">
      <x:c r="B1584" s="7" t="str">
        <x:v>AG-01578</x:v>
      </x:c>
      <x:c r="C1584" s="7" t="str">
        <x:v>PEA-A-Y2</x:v>
      </x:c>
      <x:c r="D1584" s="7" t="str">
        <x:v>section traveler</x:v>
      </x:c>
      <x:c r="E1584" s="7" t="str">
        <x:v>TRV-PEA-A-Y2-14</x:v>
      </x:c>
      <x:c r="F1584" s="7" t="str">
        <x:f>'Section Travelers'!L100</x:f>
        <x:v>OPEN</x:v>
      </x:c>
    </x:row>
    <x:row r="1585">
      <x:c r="B1585" s="7" t="str">
        <x:v>AG-01579</x:v>
      </x:c>
      <x:c r="C1585" s="7" t="str">
        <x:v>PEA-A-Y2</x:v>
      </x:c>
      <x:c r="D1585" s="7" t="str">
        <x:v>section traveler</x:v>
      </x:c>
      <x:c r="E1585" s="7" t="str">
        <x:v>TRV-PEA-A-Y2-15</x:v>
      </x:c>
      <x:c r="F1585" s="7" t="str">
        <x:f>'Section Travelers'!L101</x:f>
        <x:v>OPEN</x:v>
      </x:c>
    </x:row>
    <x:row r="1586">
      <x:c r="B1586" s="7" t="str">
        <x:v>AG-01580</x:v>
      </x:c>
      <x:c r="C1586" s="7" t="str">
        <x:v>PEA-A-Y2</x:v>
      </x:c>
      <x:c r="D1586" s="7" t="str">
        <x:v>section traveler</x:v>
      </x:c>
      <x:c r="E1586" s="7" t="str">
        <x:v>TRV-PEA-A-Y2-16</x:v>
      </x:c>
      <x:c r="F1586" s="7" t="str">
        <x:f>'Section Travelers'!L102</x:f>
        <x:v>OPEN</x:v>
      </x:c>
    </x:row>
    <x:row r="1587">
      <x:c r="B1587" s="7" t="str">
        <x:v>AG-01581</x:v>
      </x:c>
      <x:c r="C1587" s="7" t="str">
        <x:v>PEA-A-Y2</x:v>
      </x:c>
      <x:c r="D1587" s="7" t="str">
        <x:v>section traveler</x:v>
      </x:c>
      <x:c r="E1587" s="7" t="str">
        <x:v>TRV-PEA-A-Y2-17</x:v>
      </x:c>
      <x:c r="F1587" s="7" t="str">
        <x:f>'Section Travelers'!L103</x:f>
        <x:v>OPEN</x:v>
      </x:c>
    </x:row>
    <x:row r="1588">
      <x:c r="B1588" s="7" t="str">
        <x:v>AG-01582</x:v>
      </x:c>
      <x:c r="C1588" s="7" t="str">
        <x:v>PEA-A-Y2</x:v>
      </x:c>
      <x:c r="D1588" s="7" t="str">
        <x:v>section traveler</x:v>
      </x:c>
      <x:c r="E1588" s="7" t="str">
        <x:v>TRV-PEA-A-Y2-18</x:v>
      </x:c>
      <x:c r="F1588" s="7" t="str">
        <x:f>'Section Travelers'!L104</x:f>
        <x:v>OPEN</x:v>
      </x:c>
    </x:row>
    <x:row r="1589">
      <x:c r="B1589" s="7" t="str">
        <x:v>AG-01583</x:v>
      </x:c>
      <x:c r="C1589" s="7" t="str">
        <x:v>PEA-A-Y2</x:v>
      </x:c>
      <x:c r="D1589" s="7" t="str">
        <x:v>section traveler</x:v>
      </x:c>
      <x:c r="E1589" s="7" t="str">
        <x:v>TRV-PEA-A-Y2-19</x:v>
      </x:c>
      <x:c r="F1589" s="7" t="str">
        <x:f>'Section Travelers'!L105</x:f>
        <x:v>OPEN</x:v>
      </x:c>
    </x:row>
    <x:row r="1590">
      <x:c r="B1590" s="7" t="str">
        <x:v>AG-01584</x:v>
      </x:c>
      <x:c r="C1590" s="7" t="str">
        <x:v>PEA-A-Y2</x:v>
      </x:c>
      <x:c r="D1590" s="7" t="str">
        <x:v>section traveler</x:v>
      </x:c>
      <x:c r="E1590" s="7" t="str">
        <x:v>TRV-PEA-A-Y2-20</x:v>
      </x:c>
      <x:c r="F1590" s="7" t="str">
        <x:f>'Section Travelers'!L106</x:f>
        <x:v>OPEN</x:v>
      </x:c>
    </x:row>
    <x:row r="1591">
      <x:c r="B1591" s="7" t="str">
        <x:v>AG-01585</x:v>
      </x:c>
      <x:c r="C1591" s="7" t="str">
        <x:v>PEA-A-Y2</x:v>
      </x:c>
      <x:c r="D1591" s="7" t="str">
        <x:v>material coupon</x:v>
      </x:c>
      <x:c r="E1591" s="7" t="str">
        <x:v>CPN-PEA-A-Y2-CJ-1</x:v>
      </x:c>
      <x:c r="F1591" s="7" t="str">
        <x:f>'Material Coupons'!K167</x:f>
        <x:v>OPEN</x:v>
      </x:c>
    </x:row>
    <x:row r="1592">
      <x:c r="B1592" s="7" t="str">
        <x:v>AG-01586</x:v>
      </x:c>
      <x:c r="C1592" s="7" t="str">
        <x:v>PEA-A-Y2</x:v>
      </x:c>
      <x:c r="D1592" s="7" t="str">
        <x:v>material coupon</x:v>
      </x:c>
      <x:c r="E1592" s="7" t="str">
        <x:v>CPN-PEA-A-Y2-CJ-2</x:v>
      </x:c>
      <x:c r="F1592" s="7" t="str">
        <x:f>'Material Coupons'!K168</x:f>
        <x:v>OPEN</x:v>
      </x:c>
    </x:row>
    <x:row r="1593">
      <x:c r="B1593" s="7" t="str">
        <x:v>AG-01587</x:v>
      </x:c>
      <x:c r="C1593" s="7" t="str">
        <x:v>PEA-A-Y2</x:v>
      </x:c>
      <x:c r="D1593" s="7" t="str">
        <x:v>material coupon</x:v>
      </x:c>
      <x:c r="E1593" s="7" t="str">
        <x:v>CPN-PEA-A-Y2-CJ-3</x:v>
      </x:c>
      <x:c r="F1593" s="7" t="str">
        <x:f>'Material Coupons'!K169</x:f>
        <x:v>OPEN</x:v>
      </x:c>
    </x:row>
    <x:row r="1594">
      <x:c r="B1594" s="7" t="str">
        <x:v>AG-01588</x:v>
      </x:c>
      <x:c r="C1594" s="7" t="str">
        <x:v>PEA-A-Y2</x:v>
      </x:c>
      <x:c r="D1594" s="7" t="str">
        <x:v>material coupon</x:v>
      </x:c>
      <x:c r="E1594" s="7" t="str">
        <x:v>CPN-PEA-A-Y2-CJ-4</x:v>
      </x:c>
      <x:c r="F1594" s="7" t="str">
        <x:f>'Material Coupons'!K170</x:f>
        <x:v>OPEN</x:v>
      </x:c>
    </x:row>
    <x:row r="1595">
      <x:c r="B1595" s="7" t="str">
        <x:v>AG-01589</x:v>
      </x:c>
      <x:c r="C1595" s="7" t="str">
        <x:v>PEA-A-Y2</x:v>
      </x:c>
      <x:c r="D1595" s="7" t="str">
        <x:v>material coupon</x:v>
      </x:c>
      <x:c r="E1595" s="7" t="str">
        <x:v>CPN-PEA-A-Y2-CJ-5</x:v>
      </x:c>
      <x:c r="F1595" s="7" t="str">
        <x:f>'Material Coupons'!K171</x:f>
        <x:v>OPEN</x:v>
      </x:c>
    </x:row>
    <x:row r="1596">
      <x:c r="B1596" s="7" t="str">
        <x:v>AG-01590</x:v>
      </x:c>
      <x:c r="C1596" s="7" t="str">
        <x:v>PEA-A-Y2</x:v>
      </x:c>
      <x:c r="D1596" s="7" t="str">
        <x:v>material coupon</x:v>
      </x:c>
      <x:c r="E1596" s="7" t="str">
        <x:v>CPN-PEA-A-Y2-CJ-6</x:v>
      </x:c>
      <x:c r="F1596" s="7" t="str">
        <x:f>'Material Coupons'!K172</x:f>
        <x:v>OPEN</x:v>
      </x:c>
    </x:row>
    <x:row r="1597">
      <x:c r="B1597" s="7" t="str">
        <x:v>AG-01591</x:v>
      </x:c>
      <x:c r="C1597" s="7" t="str">
        <x:v>PEA-A-Y2</x:v>
      </x:c>
      <x:c r="D1597" s="7" t="str">
        <x:v>material coupon</x:v>
      </x:c>
      <x:c r="E1597" s="7" t="str">
        <x:v>CPN-PEA-A-Y2-CJ-7</x:v>
      </x:c>
      <x:c r="F1597" s="7" t="str">
        <x:f>'Material Coupons'!K173</x:f>
        <x:v>OPEN</x:v>
      </x:c>
    </x:row>
    <x:row r="1598">
      <x:c r="B1598" s="7" t="str">
        <x:v>AG-01592</x:v>
      </x:c>
      <x:c r="C1598" s="7" t="str">
        <x:v>PEA-A-Y2</x:v>
      </x:c>
      <x:c r="D1598" s="7" t="str">
        <x:v>material coupon</x:v>
      </x:c>
      <x:c r="E1598" s="7" t="str">
        <x:v>CPN-PEA-A-Y2-CJ-8</x:v>
      </x:c>
      <x:c r="F1598" s="7" t="str">
        <x:f>'Material Coupons'!K174</x:f>
        <x:v>OPEN</x:v>
      </x:c>
    </x:row>
    <x:row r="1599">
      <x:c r="B1599" s="7" t="str">
        <x:v>AG-01593</x:v>
      </x:c>
      <x:c r="C1599" s="7" t="str">
        <x:v>PEA-A-Y2</x:v>
      </x:c>
      <x:c r="D1599" s="7" t="str">
        <x:v>material coupon</x:v>
      </x:c>
      <x:c r="E1599" s="7" t="str">
        <x:v>CPN-PEA-A-Y2-SE-1</x:v>
      </x:c>
      <x:c r="F1599" s="7" t="str">
        <x:f>'Material Coupons'!K175</x:f>
        <x:v>OPEN</x:v>
      </x:c>
    </x:row>
    <x:row r="1600">
      <x:c r="B1600" s="7" t="str">
        <x:v>AG-01594</x:v>
      </x:c>
      <x:c r="C1600" s="7" t="str">
        <x:v>PEA-A-Y2</x:v>
      </x:c>
      <x:c r="D1600" s="7" t="str">
        <x:v>material coupon</x:v>
      </x:c>
      <x:c r="E1600" s="7" t="str">
        <x:v>CPN-PEA-A-Y2-SE-2</x:v>
      </x:c>
      <x:c r="F1600" s="7" t="str">
        <x:f>'Material Coupons'!K176</x:f>
        <x:v>OPEN</x:v>
      </x:c>
    </x:row>
    <x:row r="1601">
      <x:c r="B1601" s="7" t="str">
        <x:v>AG-01595</x:v>
      </x:c>
      <x:c r="C1601" s="7" t="str">
        <x:v>PEA-A-Y2</x:v>
      </x:c>
      <x:c r="D1601" s="7" t="str">
        <x:v>material coupon</x:v>
      </x:c>
      <x:c r="E1601" s="7" t="str">
        <x:v>CPN-PEA-A-Y2-SE-3</x:v>
      </x:c>
      <x:c r="F1601" s="7" t="str">
        <x:f>'Material Coupons'!K177</x:f>
        <x:v>OPEN</x:v>
      </x:c>
    </x:row>
    <x:row r="1602">
      <x:c r="B1602" s="7" t="str">
        <x:v>AG-01596</x:v>
      </x:c>
      <x:c r="C1602" s="7" t="str">
        <x:v>PEA-A-Y2</x:v>
      </x:c>
      <x:c r="D1602" s="7" t="str">
        <x:v>material coupon</x:v>
      </x:c>
      <x:c r="E1602" s="7" t="str">
        <x:v>CPN-PEA-A-Y2-SE-4</x:v>
      </x:c>
      <x:c r="F1602" s="7" t="str">
        <x:f>'Material Coupons'!K178</x:f>
        <x:v>OPEN</x:v>
      </x:c>
    </x:row>
    <x:row r="1603">
      <x:c r="B1603" s="7" t="str">
        <x:v>AG-01597</x:v>
      </x:c>
      <x:c r="C1603" s="7" t="str">
        <x:v>PEA-A-Y2</x:v>
      </x:c>
      <x:c r="D1603" s="7" t="str">
        <x:v>material coupon</x:v>
      </x:c>
      <x:c r="E1603" s="7" t="str">
        <x:v>CPN-PEA-A-Y2-SE-5</x:v>
      </x:c>
      <x:c r="F1603" s="7" t="str">
        <x:f>'Material Coupons'!K179</x:f>
        <x:v>OPEN</x:v>
      </x:c>
    </x:row>
    <x:row r="1604">
      <x:c r="B1604" s="7" t="str">
        <x:v>AG-01598</x:v>
      </x:c>
      <x:c r="C1604" s="7" t="str">
        <x:v>PEA-A-Y2</x:v>
      </x:c>
      <x:c r="D1604" s="7" t="str">
        <x:v>material coupon</x:v>
      </x:c>
      <x:c r="E1604" s="7" t="str">
        <x:v>CPN-PEA-A-Y2-SE-6</x:v>
      </x:c>
      <x:c r="F1604" s="7" t="str">
        <x:f>'Material Coupons'!K180</x:f>
        <x:v>OPEN</x:v>
      </x:c>
    </x:row>
    <x:row r="1605">
      <x:c r="B1605" s="7" t="str">
        <x:v>AG-01599</x:v>
      </x:c>
      <x:c r="C1605" s="7" t="str">
        <x:v>PEA-A-Y2</x:v>
      </x:c>
      <x:c r="D1605" s="7" t="str">
        <x:v>material coupon</x:v>
      </x:c>
      <x:c r="E1605" s="7" t="str">
        <x:v>CPN-PEA-A-Y2-SE-7</x:v>
      </x:c>
      <x:c r="F1605" s="7" t="str">
        <x:f>'Material Coupons'!K181</x:f>
        <x:v>OPEN</x:v>
      </x:c>
    </x:row>
    <x:row r="1606">
      <x:c r="B1606" s="7" t="str">
        <x:v>AG-01600</x:v>
      </x:c>
      <x:c r="C1606" s="7" t="str">
        <x:v>PEA-A-Y2</x:v>
      </x:c>
      <x:c r="D1606" s="7" t="str">
        <x:v>material coupon</x:v>
      </x:c>
      <x:c r="E1606" s="7" t="str">
        <x:v>CPN-PEA-A-Y2-SE-8</x:v>
      </x:c>
      <x:c r="F1606" s="7" t="str">
        <x:f>'Material Coupons'!K182</x:f>
        <x:v>OPEN</x:v>
      </x:c>
    </x:row>
    <x:row r="1607">
      <x:c r="B1607" s="7" t="str">
        <x:v>AG-01601</x:v>
      </x:c>
      <x:c r="C1607" s="7" t="str">
        <x:v>PEA-A-Y2</x:v>
      </x:c>
      <x:c r="D1607" s="7" t="str">
        <x:v>material coupon</x:v>
      </x:c>
      <x:c r="E1607" s="7" t="str">
        <x:v>CPN-PEA-A-Y2-SF-1</x:v>
      </x:c>
      <x:c r="F1607" s="7" t="str">
        <x:f>'Material Coupons'!K183</x:f>
        <x:v>OPEN</x:v>
      </x:c>
    </x:row>
    <x:row r="1608">
      <x:c r="B1608" s="7" t="str">
        <x:v>AG-01602</x:v>
      </x:c>
      <x:c r="C1608" s="7" t="str">
        <x:v>PEA-A-Y2</x:v>
      </x:c>
      <x:c r="D1608" s="7" t="str">
        <x:v>material coupon</x:v>
      </x:c>
      <x:c r="E1608" s="7" t="str">
        <x:v>CPN-PEA-A-Y2-SF-2</x:v>
      </x:c>
      <x:c r="F1608" s="7" t="str">
        <x:f>'Material Coupons'!K184</x:f>
        <x:v>OPEN</x:v>
      </x:c>
    </x:row>
    <x:row r="1609">
      <x:c r="B1609" s="7" t="str">
        <x:v>AG-01603</x:v>
      </x:c>
      <x:c r="C1609" s="7" t="str">
        <x:v>PEA-A-Y2</x:v>
      </x:c>
      <x:c r="D1609" s="7" t="str">
        <x:v>material coupon</x:v>
      </x:c>
      <x:c r="E1609" s="7" t="str">
        <x:v>CPN-PEA-A-Y2-SF-3</x:v>
      </x:c>
      <x:c r="F1609" s="7" t="str">
        <x:f>'Material Coupons'!K185</x:f>
        <x:v>OPEN</x:v>
      </x:c>
    </x:row>
    <x:row r="1610">
      <x:c r="B1610" s="7" t="str">
        <x:v>AG-01604</x:v>
      </x:c>
      <x:c r="C1610" s="7" t="str">
        <x:v>PEA-A-Y2</x:v>
      </x:c>
      <x:c r="D1610" s="7" t="str">
        <x:v>material coupon</x:v>
      </x:c>
      <x:c r="E1610" s="7" t="str">
        <x:v>CPN-PEA-A-Y2-SF-4</x:v>
      </x:c>
      <x:c r="F1610" s="7" t="str">
        <x:f>'Material Coupons'!K186</x:f>
        <x:v>OPEN</x:v>
      </x:c>
    </x:row>
    <x:row r="1611">
      <x:c r="B1611" s="7" t="str">
        <x:v>AG-01605</x:v>
      </x:c>
      <x:c r="C1611" s="7" t="str">
        <x:v>PEA-A-Y2</x:v>
      </x:c>
      <x:c r="D1611" s="7" t="str">
        <x:v>material coupon</x:v>
      </x:c>
      <x:c r="E1611" s="7" t="str">
        <x:v>CPN-PEA-A-Y2-SF-5</x:v>
      </x:c>
      <x:c r="F1611" s="7" t="str">
        <x:f>'Material Coupons'!K187</x:f>
        <x:v>OPEN</x:v>
      </x:c>
    </x:row>
    <x:row r="1612">
      <x:c r="B1612" s="7" t="str">
        <x:v>AG-01606</x:v>
      </x:c>
      <x:c r="C1612" s="7" t="str">
        <x:v>PEA-A-Y2</x:v>
      </x:c>
      <x:c r="D1612" s="7" t="str">
        <x:v>material coupon</x:v>
      </x:c>
      <x:c r="E1612" s="7" t="str">
        <x:v>CPN-PEA-A-Y2-SF-6</x:v>
      </x:c>
      <x:c r="F1612" s="7" t="str">
        <x:f>'Material Coupons'!K188</x:f>
        <x:v>OPEN</x:v>
      </x:c>
    </x:row>
    <x:row r="1613">
      <x:c r="B1613" s="7" t="str">
        <x:v>AG-01607</x:v>
      </x:c>
      <x:c r="C1613" s="7" t="str">
        <x:v>PEA-A-Y2</x:v>
      </x:c>
      <x:c r="D1613" s="7" t="str">
        <x:v>material coupon</x:v>
      </x:c>
      <x:c r="E1613" s="7" t="str">
        <x:v>CPN-PEA-A-Y2-SF-7</x:v>
      </x:c>
      <x:c r="F1613" s="7" t="str">
        <x:f>'Material Coupons'!K189</x:f>
        <x:v>OPEN</x:v>
      </x:c>
    </x:row>
    <x:row r="1614">
      <x:c r="B1614" s="7" t="str">
        <x:v>AG-01608</x:v>
      </x:c>
      <x:c r="C1614" s="7" t="str">
        <x:v>PEA-A-Y2</x:v>
      </x:c>
      <x:c r="D1614" s="7" t="str">
        <x:v>material coupon</x:v>
      </x:c>
      <x:c r="E1614" s="7" t="str">
        <x:v>CPN-PEA-A-Y2-SF-8</x:v>
      </x:c>
      <x:c r="F1614" s="7" t="str">
        <x:f>'Material Coupons'!K190</x:f>
        <x:v>OPEN</x:v>
      </x:c>
    </x:row>
    <x:row r="1615">
      <x:c r="B1615" s="7" t="str">
        <x:v>AG-01609</x:v>
      </x:c>
      <x:c r="C1615" s="7" t="str">
        <x:v>PEA-A-Y2</x:v>
      </x:c>
      <x:c r="D1615" s="7" t="str">
        <x:v>material coupon</x:v>
      </x:c>
      <x:c r="E1615" s="7" t="str">
        <x:v>CPN-PEA-A-Y2-CP-1</x:v>
      </x:c>
      <x:c r="F1615" s="7" t="str">
        <x:f>'Material Coupons'!K191</x:f>
        <x:v>OPEN</x:v>
      </x:c>
    </x:row>
    <x:row r="1616">
      <x:c r="B1616" s="7" t="str">
        <x:v>AG-01610</x:v>
      </x:c>
      <x:c r="C1616" s="7" t="str">
        <x:v>PEA-A-Y2</x:v>
      </x:c>
      <x:c r="D1616" s="7" t="str">
        <x:v>material coupon</x:v>
      </x:c>
      <x:c r="E1616" s="7" t="str">
        <x:v>CPN-PEA-A-Y2-CP-2</x:v>
      </x:c>
      <x:c r="F1616" s="7" t="str">
        <x:f>'Material Coupons'!K192</x:f>
        <x:v>OPEN</x:v>
      </x:c>
    </x:row>
    <x:row r="1617">
      <x:c r="B1617" s="7" t="str">
        <x:v>AG-01611</x:v>
      </x:c>
      <x:c r="C1617" s="7" t="str">
        <x:v>PEA-A-Y2</x:v>
      </x:c>
      <x:c r="D1617" s="7" t="str">
        <x:v>material coupon</x:v>
      </x:c>
      <x:c r="E1617" s="7" t="str">
        <x:v>CPN-PEA-A-Y2-CP-3</x:v>
      </x:c>
      <x:c r="F1617" s="7" t="str">
        <x:f>'Material Coupons'!K193</x:f>
        <x:v>OPEN</x:v>
      </x:c>
    </x:row>
    <x:row r="1618">
      <x:c r="B1618" s="7" t="str">
        <x:v>AG-01612</x:v>
      </x:c>
      <x:c r="C1618" s="7" t="str">
        <x:v>PEA-A-Y2</x:v>
      </x:c>
      <x:c r="D1618" s="7" t="str">
        <x:v>material coupon</x:v>
      </x:c>
      <x:c r="E1618" s="7" t="str">
        <x:v>CPN-PEA-A-Y2-CP-4</x:v>
      </x:c>
      <x:c r="F1618" s="7" t="str">
        <x:f>'Material Coupons'!K194</x:f>
        <x:v>OPEN</x:v>
      </x:c>
    </x:row>
    <x:row r="1619">
      <x:c r="B1619" s="7" t="str">
        <x:v>AG-01613</x:v>
      </x:c>
      <x:c r="C1619" s="7" t="str">
        <x:v>PEA-A-Y2</x:v>
      </x:c>
      <x:c r="D1619" s="7" t="str">
        <x:v>material coupon</x:v>
      </x:c>
      <x:c r="E1619" s="7" t="str">
        <x:v>CPN-PEA-A-Y2-CP-5</x:v>
      </x:c>
      <x:c r="F1619" s="7" t="str">
        <x:f>'Material Coupons'!K195</x:f>
        <x:v>OPEN</x:v>
      </x:c>
    </x:row>
    <x:row r="1620">
      <x:c r="B1620" s="7" t="str">
        <x:v>AG-01614</x:v>
      </x:c>
      <x:c r="C1620" s="7" t="str">
        <x:v>PEA-A-Y2</x:v>
      </x:c>
      <x:c r="D1620" s="7" t="str">
        <x:v>material coupon</x:v>
      </x:c>
      <x:c r="E1620" s="7" t="str">
        <x:v>CPN-PEA-A-Y2-CP-6</x:v>
      </x:c>
      <x:c r="F1620" s="7" t="str">
        <x:f>'Material Coupons'!K196</x:f>
        <x:v>OPEN</x:v>
      </x:c>
    </x:row>
    <x:row r="1621">
      <x:c r="B1621" s="7" t="str">
        <x:v>AG-01615</x:v>
      </x:c>
      <x:c r="C1621" s="7" t="str">
        <x:v>PEA-A-Y2</x:v>
      </x:c>
      <x:c r="D1621" s="7" t="str">
        <x:v>material coupon</x:v>
      </x:c>
      <x:c r="E1621" s="7" t="str">
        <x:v>CPN-PEA-A-Y2-CP-7</x:v>
      </x:c>
      <x:c r="F1621" s="7" t="str">
        <x:f>'Material Coupons'!K197</x:f>
        <x:v>OPEN</x:v>
      </x:c>
    </x:row>
    <x:row r="1622">
      <x:c r="B1622" s="7" t="str">
        <x:v>AG-01616</x:v>
      </x:c>
      <x:c r="C1622" s="7" t="str">
        <x:v>PEA-A-Y2</x:v>
      </x:c>
      <x:c r="D1622" s="7" t="str">
        <x:v>material coupon</x:v>
      </x:c>
      <x:c r="E1622" s="7" t="str">
        <x:v>CPN-PEA-A-Y2-CP-8</x:v>
      </x:c>
      <x:c r="F1622" s="7" t="str">
        <x:f>'Material Coupons'!K198</x:f>
        <x:v>OPEN</x:v>
      </x:c>
    </x:row>
    <x:row r="1623">
      <x:c r="B1623" s="7" t="str">
        <x:v>AG-01617</x:v>
      </x:c>
      <x:c r="C1623" s="7" t="str">
        <x:v>PEA-A-Y2</x:v>
      </x:c>
      <x:c r="D1623" s="7" t="str">
        <x:v>material coupon</x:v>
      </x:c>
      <x:c r="E1623" s="7" t="str">
        <x:v>CPN-PEA-A-Y2-SM-1</x:v>
      </x:c>
      <x:c r="F1623" s="7" t="str">
        <x:f>'Material Coupons'!K199</x:f>
        <x:v>OPEN</x:v>
      </x:c>
    </x:row>
    <x:row r="1624">
      <x:c r="B1624" s="7" t="str">
        <x:v>AG-01618</x:v>
      </x:c>
      <x:c r="C1624" s="7" t="str">
        <x:v>PEA-A-Y2</x:v>
      </x:c>
      <x:c r="D1624" s="7" t="str">
        <x:v>material coupon</x:v>
      </x:c>
      <x:c r="E1624" s="7" t="str">
        <x:v>CPN-PEA-A-Y2-SM-2</x:v>
      </x:c>
      <x:c r="F1624" s="7" t="str">
        <x:f>'Material Coupons'!K200</x:f>
        <x:v>OPEN</x:v>
      </x:c>
    </x:row>
    <x:row r="1625">
      <x:c r="B1625" s="7" t="str">
        <x:v>AG-01619</x:v>
      </x:c>
      <x:c r="C1625" s="7" t="str">
        <x:v>PEA-A-Y2</x:v>
      </x:c>
      <x:c r="D1625" s="7" t="str">
        <x:v>material coupon</x:v>
      </x:c>
      <x:c r="E1625" s="7" t="str">
        <x:v>CPN-PEA-A-Y2-SM-3</x:v>
      </x:c>
      <x:c r="F1625" s="7" t="str">
        <x:f>'Material Coupons'!K201</x:f>
        <x:v>OPEN</x:v>
      </x:c>
    </x:row>
    <x:row r="1626">
      <x:c r="B1626" s="7" t="str">
        <x:v>AG-01620</x:v>
      </x:c>
      <x:c r="C1626" s="7" t="str">
        <x:v>PEA-A-Y2</x:v>
      </x:c>
      <x:c r="D1626" s="7" t="str">
        <x:v>material coupon</x:v>
      </x:c>
      <x:c r="E1626" s="7" t="str">
        <x:v>CPN-PEA-A-Y2-SM-4</x:v>
      </x:c>
      <x:c r="F1626" s="7" t="str">
        <x:f>'Material Coupons'!K202</x:f>
        <x:v>OPEN</x:v>
      </x:c>
    </x:row>
    <x:row r="1627">
      <x:c r="B1627" s="7" t="str">
        <x:v>AG-01621</x:v>
      </x:c>
      <x:c r="C1627" s="7" t="str">
        <x:v>PEA-A-Y2</x:v>
      </x:c>
      <x:c r="D1627" s="7" t="str">
        <x:v>material coupon</x:v>
      </x:c>
      <x:c r="E1627" s="7" t="str">
        <x:v>CPN-PEA-A-Y2-SM-5</x:v>
      </x:c>
      <x:c r="F1627" s="7" t="str">
        <x:f>'Material Coupons'!K203</x:f>
        <x:v>OPEN</x:v>
      </x:c>
    </x:row>
    <x:row r="1628">
      <x:c r="B1628" s="7" t="str">
        <x:v>AG-01622</x:v>
      </x:c>
      <x:c r="C1628" s="7" t="str">
        <x:v>PEA-A-Y2</x:v>
      </x:c>
      <x:c r="D1628" s="7" t="str">
        <x:v>material coupon</x:v>
      </x:c>
      <x:c r="E1628" s="7" t="str">
        <x:v>CPN-PEA-A-Y2-SM-6</x:v>
      </x:c>
      <x:c r="F1628" s="7" t="str">
        <x:f>'Material Coupons'!K204</x:f>
        <x:v>OPEN</x:v>
      </x:c>
    </x:row>
    <x:row r="1629">
      <x:c r="B1629" s="7" t="str">
        <x:v>AG-01623</x:v>
      </x:c>
      <x:c r="C1629" s="7" t="str">
        <x:v>PEA-A-Y2</x:v>
      </x:c>
      <x:c r="D1629" s="7" t="str">
        <x:v>material coupon</x:v>
      </x:c>
      <x:c r="E1629" s="7" t="str">
        <x:v>CPN-PEA-A-Y2-SM-7</x:v>
      </x:c>
      <x:c r="F1629" s="7" t="str">
        <x:f>'Material Coupons'!K205</x:f>
        <x:v>OPEN</x:v>
      </x:c>
    </x:row>
    <x:row r="1630">
      <x:c r="B1630" s="7" t="str">
        <x:v>AG-01624</x:v>
      </x:c>
      <x:c r="C1630" s="7" t="str">
        <x:v>PEA-A-Y2</x:v>
      </x:c>
      <x:c r="D1630" s="7" t="str">
        <x:v>material coupon</x:v>
      </x:c>
      <x:c r="E1630" s="7" t="str">
        <x:v>CPN-PEA-A-Y2-SM-8</x:v>
      </x:c>
      <x:c r="F1630" s="7" t="str">
        <x:f>'Material Coupons'!K206</x:f>
        <x:v>OPEN</x:v>
      </x:c>
    </x:row>
    <x:row r="1631">
      <x:c r="B1631" s="7" t="str">
        <x:v>AG-01625</x:v>
      </x:c>
      <x:c r="C1631" s="7" t="str">
        <x:v>PEA-A-Y2</x:v>
      </x:c>
      <x:c r="D1631" s="7" t="str">
        <x:v>NDE record</x:v>
      </x:c>
      <x:c r="E1631" s="7" t="str">
        <x:v>NDE-TRV-PEA-A-Y2-01</x:v>
      </x:c>
      <x:c r="F1631" s="7" t="str">
        <x:f>'NDE Records'!L87</x:f>
        <x:v>OPEN</x:v>
      </x:c>
    </x:row>
    <x:row r="1632">
      <x:c r="B1632" s="7" t="str">
        <x:v>AG-01626</x:v>
      </x:c>
      <x:c r="C1632" s="7" t="str">
        <x:v>PEA-A-Y2</x:v>
      </x:c>
      <x:c r="D1632" s="7" t="str">
        <x:v>NDE record</x:v>
      </x:c>
      <x:c r="E1632" s="7" t="str">
        <x:v>NDE-TRV-PEA-A-Y2-02</x:v>
      </x:c>
      <x:c r="F1632" s="7" t="str">
        <x:f>'NDE Records'!L88</x:f>
        <x:v>OPEN</x:v>
      </x:c>
    </x:row>
    <x:row r="1633">
      <x:c r="B1633" s="7" t="str">
        <x:v>AG-01627</x:v>
      </x:c>
      <x:c r="C1633" s="7" t="str">
        <x:v>PEA-A-Y2</x:v>
      </x:c>
      <x:c r="D1633" s="7" t="str">
        <x:v>NDE record</x:v>
      </x:c>
      <x:c r="E1633" s="7" t="str">
        <x:v>NDE-TRV-PEA-A-Y2-03</x:v>
      </x:c>
      <x:c r="F1633" s="7" t="str">
        <x:f>'NDE Records'!L89</x:f>
        <x:v>OPEN</x:v>
      </x:c>
    </x:row>
    <x:row r="1634">
      <x:c r="B1634" s="7" t="str">
        <x:v>AG-01628</x:v>
      </x:c>
      <x:c r="C1634" s="7" t="str">
        <x:v>PEA-A-Y2</x:v>
      </x:c>
      <x:c r="D1634" s="7" t="str">
        <x:v>NDE record</x:v>
      </x:c>
      <x:c r="E1634" s="7" t="str">
        <x:v>NDE-TRV-PEA-A-Y2-04</x:v>
      </x:c>
      <x:c r="F1634" s="7" t="str">
        <x:f>'NDE Records'!L90</x:f>
        <x:v>OPEN</x:v>
      </x:c>
    </x:row>
    <x:row r="1635">
      <x:c r="B1635" s="7" t="str">
        <x:v>AG-01629</x:v>
      </x:c>
      <x:c r="C1635" s="7" t="str">
        <x:v>PEA-A-Y2</x:v>
      </x:c>
      <x:c r="D1635" s="7" t="str">
        <x:v>NDE record</x:v>
      </x:c>
      <x:c r="E1635" s="7" t="str">
        <x:v>NDE-TRV-PEA-A-Y2-05</x:v>
      </x:c>
      <x:c r="F1635" s="7" t="str">
        <x:f>'NDE Records'!L91</x:f>
        <x:v>OPEN</x:v>
      </x:c>
    </x:row>
    <x:row r="1636">
      <x:c r="B1636" s="7" t="str">
        <x:v>AG-01630</x:v>
      </x:c>
      <x:c r="C1636" s="7" t="str">
        <x:v>PEA-A-Y2</x:v>
      </x:c>
      <x:c r="D1636" s="7" t="str">
        <x:v>NDE record</x:v>
      </x:c>
      <x:c r="E1636" s="7" t="str">
        <x:v>NDE-TRV-PEA-A-Y2-06</x:v>
      </x:c>
      <x:c r="F1636" s="7" t="str">
        <x:f>'NDE Records'!L92</x:f>
        <x:v>OPEN</x:v>
      </x:c>
    </x:row>
    <x:row r="1637">
      <x:c r="B1637" s="7" t="str">
        <x:v>AG-01631</x:v>
      </x:c>
      <x:c r="C1637" s="7" t="str">
        <x:v>PEA-A-Y2</x:v>
      </x:c>
      <x:c r="D1637" s="7" t="str">
        <x:v>NDE record</x:v>
      </x:c>
      <x:c r="E1637" s="7" t="str">
        <x:v>NDE-TRV-PEA-A-Y2-07</x:v>
      </x:c>
      <x:c r="F1637" s="7" t="str">
        <x:f>'NDE Records'!L93</x:f>
        <x:v>OPEN</x:v>
      </x:c>
    </x:row>
    <x:row r="1638">
      <x:c r="B1638" s="7" t="str">
        <x:v>AG-01632</x:v>
      </x:c>
      <x:c r="C1638" s="7" t="str">
        <x:v>PEA-A-Y2</x:v>
      </x:c>
      <x:c r="D1638" s="7" t="str">
        <x:v>NDE record</x:v>
      </x:c>
      <x:c r="E1638" s="7" t="str">
        <x:v>NDE-TRV-PEA-A-Y2-08</x:v>
      </x:c>
      <x:c r="F1638" s="7" t="str">
        <x:f>'NDE Records'!L94</x:f>
        <x:v>OPEN</x:v>
      </x:c>
    </x:row>
    <x:row r="1639">
      <x:c r="B1639" s="7" t="str">
        <x:v>AG-01633</x:v>
      </x:c>
      <x:c r="C1639" s="7" t="str">
        <x:v>PEA-A-Y2</x:v>
      </x:c>
      <x:c r="D1639" s="7" t="str">
        <x:v>NDE record</x:v>
      </x:c>
      <x:c r="E1639" s="7" t="str">
        <x:v>NDE-TRV-PEA-A-Y2-09</x:v>
      </x:c>
      <x:c r="F1639" s="7" t="str">
        <x:f>'NDE Records'!L95</x:f>
        <x:v>OPEN</x:v>
      </x:c>
    </x:row>
    <x:row r="1640">
      <x:c r="B1640" s="7" t="str">
        <x:v>AG-01634</x:v>
      </x:c>
      <x:c r="C1640" s="7" t="str">
        <x:v>PEA-A-Y2</x:v>
      </x:c>
      <x:c r="D1640" s="7" t="str">
        <x:v>NDE record</x:v>
      </x:c>
      <x:c r="E1640" s="7" t="str">
        <x:v>NDE-TRV-PEA-A-Y2-10</x:v>
      </x:c>
      <x:c r="F1640" s="7" t="str">
        <x:f>'NDE Records'!L96</x:f>
        <x:v>OPEN</x:v>
      </x:c>
    </x:row>
    <x:row r="1641">
      <x:c r="B1641" s="7" t="str">
        <x:v>AG-01635</x:v>
      </x:c>
      <x:c r="C1641" s="7" t="str">
        <x:v>PEA-A-Y2</x:v>
      </x:c>
      <x:c r="D1641" s="7" t="str">
        <x:v>NDE record</x:v>
      </x:c>
      <x:c r="E1641" s="7" t="str">
        <x:v>NDE-TRV-PEA-A-Y2-11</x:v>
      </x:c>
      <x:c r="F1641" s="7" t="str">
        <x:f>'NDE Records'!L97</x:f>
        <x:v>OPEN</x:v>
      </x:c>
    </x:row>
    <x:row r="1642">
      <x:c r="B1642" s="7" t="str">
        <x:v>AG-01636</x:v>
      </x:c>
      <x:c r="C1642" s="7" t="str">
        <x:v>PEA-A-Y2</x:v>
      </x:c>
      <x:c r="D1642" s="7" t="str">
        <x:v>NDE record</x:v>
      </x:c>
      <x:c r="E1642" s="7" t="str">
        <x:v>NDE-TRV-PEA-A-Y2-12</x:v>
      </x:c>
      <x:c r="F1642" s="7" t="str">
        <x:f>'NDE Records'!L98</x:f>
        <x:v>OPEN</x:v>
      </x:c>
    </x:row>
    <x:row r="1643">
      <x:c r="B1643" s="7" t="str">
        <x:v>AG-01637</x:v>
      </x:c>
      <x:c r="C1643" s="7" t="str">
        <x:v>PEA-A-Y2</x:v>
      </x:c>
      <x:c r="D1643" s="7" t="str">
        <x:v>NDE record</x:v>
      </x:c>
      <x:c r="E1643" s="7" t="str">
        <x:v>NDE-TRV-PEA-A-Y2-13</x:v>
      </x:c>
      <x:c r="F1643" s="7" t="str">
        <x:f>'NDE Records'!L99</x:f>
        <x:v>OPEN</x:v>
      </x:c>
    </x:row>
    <x:row r="1644">
      <x:c r="B1644" s="7" t="str">
        <x:v>AG-01638</x:v>
      </x:c>
      <x:c r="C1644" s="7" t="str">
        <x:v>PEA-A-Y2</x:v>
      </x:c>
      <x:c r="D1644" s="7" t="str">
        <x:v>NDE record</x:v>
      </x:c>
      <x:c r="E1644" s="7" t="str">
        <x:v>NDE-TRV-PEA-A-Y2-14</x:v>
      </x:c>
      <x:c r="F1644" s="7" t="str">
        <x:f>'NDE Records'!L100</x:f>
        <x:v>OPEN</x:v>
      </x:c>
    </x:row>
    <x:row r="1645">
      <x:c r="B1645" s="7" t="str">
        <x:v>AG-01639</x:v>
      </x:c>
      <x:c r="C1645" s="7" t="str">
        <x:v>PEA-A-Y2</x:v>
      </x:c>
      <x:c r="D1645" s="7" t="str">
        <x:v>NDE record</x:v>
      </x:c>
      <x:c r="E1645" s="7" t="str">
        <x:v>NDE-TRV-PEA-A-Y2-15</x:v>
      </x:c>
      <x:c r="F1645" s="7" t="str">
        <x:f>'NDE Records'!L101</x:f>
        <x:v>OPEN</x:v>
      </x:c>
    </x:row>
    <x:row r="1646">
      <x:c r="B1646" s="7" t="str">
        <x:v>AG-01640</x:v>
      </x:c>
      <x:c r="C1646" s="7" t="str">
        <x:v>PEA-A-Y2</x:v>
      </x:c>
      <x:c r="D1646" s="7" t="str">
        <x:v>NDE record</x:v>
      </x:c>
      <x:c r="E1646" s="7" t="str">
        <x:v>NDE-TRV-PEA-A-Y2-16</x:v>
      </x:c>
      <x:c r="F1646" s="7" t="str">
        <x:f>'NDE Records'!L102</x:f>
        <x:v>OPEN</x:v>
      </x:c>
    </x:row>
    <x:row r="1647">
      <x:c r="B1647" s="7" t="str">
        <x:v>AG-01641</x:v>
      </x:c>
      <x:c r="C1647" s="7" t="str">
        <x:v>PEA-A-Y2</x:v>
      </x:c>
      <x:c r="D1647" s="7" t="str">
        <x:v>NDE record</x:v>
      </x:c>
      <x:c r="E1647" s="7" t="str">
        <x:v>NDE-TRV-PEA-A-Y2-17</x:v>
      </x:c>
      <x:c r="F1647" s="7" t="str">
        <x:f>'NDE Records'!L103</x:f>
        <x:v>OPEN</x:v>
      </x:c>
    </x:row>
    <x:row r="1648">
      <x:c r="B1648" s="7" t="str">
        <x:v>AG-01642</x:v>
      </x:c>
      <x:c r="C1648" s="7" t="str">
        <x:v>PEA-A-Y2</x:v>
      </x:c>
      <x:c r="D1648" s="7" t="str">
        <x:v>NDE record</x:v>
      </x:c>
      <x:c r="E1648" s="7" t="str">
        <x:v>NDE-TRV-PEA-A-Y2-18</x:v>
      </x:c>
      <x:c r="F1648" s="7" t="str">
        <x:f>'NDE Records'!L104</x:f>
        <x:v>OPEN</x:v>
      </x:c>
    </x:row>
    <x:row r="1649">
      <x:c r="B1649" s="7" t="str">
        <x:v>AG-01643</x:v>
      </x:c>
      <x:c r="C1649" s="7" t="str">
        <x:v>PEA-A-Y2</x:v>
      </x:c>
      <x:c r="D1649" s="7" t="str">
        <x:v>NDE record</x:v>
      </x:c>
      <x:c r="E1649" s="7" t="str">
        <x:v>NDE-TRV-PEA-A-Y2-19</x:v>
      </x:c>
      <x:c r="F1649" s="7" t="str">
        <x:f>'NDE Records'!L105</x:f>
        <x:v>OPEN</x:v>
      </x:c>
    </x:row>
    <x:row r="1650">
      <x:c r="B1650" s="7" t="str">
        <x:v>AG-01644</x:v>
      </x:c>
      <x:c r="C1650" s="7" t="str">
        <x:v>PEA-A-Y2</x:v>
      </x:c>
      <x:c r="D1650" s="7" t="str">
        <x:v>NDE record</x:v>
      </x:c>
      <x:c r="E1650" s="7" t="str">
        <x:v>NDE-TRV-PEA-A-Y2-20</x:v>
      </x:c>
      <x:c r="F1650" s="7" t="str">
        <x:f>'NDE Records'!L106</x:f>
        <x:v>OPEN</x:v>
      </x:c>
    </x:row>
    <x:row r="1651">
      <x:c r="B1651" s="7" t="str">
        <x:v>AG-01645</x:v>
      </x:c>
      <x:c r="C1651" s="7" t="str">
        <x:v>PEA-A-Y2</x:v>
      </x:c>
      <x:c r="D1651" s="7" t="str">
        <x:v>joint record</x:v>
      </x:c>
      <x:c r="E1651" s="7" t="str">
        <x:v>JNT-PEA-A-Y2-1</x:v>
      </x:c>
      <x:c r="F1651" s="7" t="str">
        <x:f>'Joint Records'!M27</x:f>
        <x:v>OPEN</x:v>
      </x:c>
    </x:row>
    <x:row r="1652">
      <x:c r="B1652" s="7" t="str">
        <x:v>AG-01646</x:v>
      </x:c>
      <x:c r="C1652" s="7" t="str">
        <x:v>PEA-A-Y2</x:v>
      </x:c>
      <x:c r="D1652" s="7" t="str">
        <x:v>joint record</x:v>
      </x:c>
      <x:c r="E1652" s="7" t="str">
        <x:v>JNT-PEA-A-Y2-2</x:v>
      </x:c>
      <x:c r="F1652" s="7" t="str">
        <x:f>'Joint Records'!M28</x:f>
        <x:v>OPEN</x:v>
      </x:c>
    </x:row>
    <x:row r="1653">
      <x:c r="B1653" s="7" t="str">
        <x:v>AG-01647</x:v>
      </x:c>
      <x:c r="C1653" s="7" t="str">
        <x:v>PEA-A-Y2</x:v>
      </x:c>
      <x:c r="D1653" s="7" t="str">
        <x:v>joint record</x:v>
      </x:c>
      <x:c r="E1653" s="7" t="str">
        <x:v>JNT-PEA-A-Y2-3</x:v>
      </x:c>
      <x:c r="F1653" s="7" t="str">
        <x:f>'Joint Records'!M29</x:f>
        <x:v>OPEN</x:v>
      </x:c>
    </x:row>
    <x:row r="1654">
      <x:c r="B1654" s="7" t="str">
        <x:v>AG-01648</x:v>
      </x:c>
      <x:c r="C1654" s="7" t="str">
        <x:v>PEA-A-Y2</x:v>
      </x:c>
      <x:c r="D1654" s="7" t="str">
        <x:v>joint record</x:v>
      </x:c>
      <x:c r="E1654" s="7" t="str">
        <x:v>JNT-PEA-A-Y2-4</x:v>
      </x:c>
      <x:c r="F1654" s="7" t="str">
        <x:f>'Joint Records'!M30</x:f>
        <x:v>OPEN</x:v>
      </x:c>
    </x:row>
    <x:row r="1655">
      <x:c r="B1655" s="7" t="str">
        <x:v>AG-01649</x:v>
      </x:c>
      <x:c r="C1655" s="7" t="str">
        <x:v>PEA-A-Y2</x:v>
      </x:c>
      <x:c r="D1655" s="7" t="str">
        <x:v>joint record</x:v>
      </x:c>
      <x:c r="E1655" s="7" t="str">
        <x:v>JNT-PEA-A-Y2-5</x:v>
      </x:c>
      <x:c r="F1655" s="7" t="str">
        <x:f>'Joint Records'!M31</x:f>
        <x:v>OPEN</x:v>
      </x:c>
    </x:row>
    <x:row r="1656">
      <x:c r="B1656" s="7" t="str">
        <x:v>AG-01650</x:v>
      </x:c>
      <x:c r="C1656" s="7" t="str">
        <x:v>PEA-A-Y2</x:v>
      </x:c>
      <x:c r="D1656" s="7" t="str">
        <x:v>control element</x:v>
      </x:c>
      <x:c r="E1656" s="7" t="str">
        <x:v>ELM-PEA-A-Y2-01</x:v>
      </x:c>
      <x:c r="F1656" s="7" t="str">
        <x:f>'Control Elements'!L55</x:f>
        <x:v>OPEN</x:v>
      </x:c>
    </x:row>
    <x:row r="1657">
      <x:c r="B1657" s="7" t="str">
        <x:v>AG-01651</x:v>
      </x:c>
      <x:c r="C1657" s="7" t="str">
        <x:v>PEA-A-Y2</x:v>
      </x:c>
      <x:c r="D1657" s="7" t="str">
        <x:v>control element</x:v>
      </x:c>
      <x:c r="E1657" s="7" t="str">
        <x:v>ELM-PEA-A-Y2-02</x:v>
      </x:c>
      <x:c r="F1657" s="7" t="str">
        <x:f>'Control Elements'!L56</x:f>
        <x:v>OPEN</x:v>
      </x:c>
    </x:row>
    <x:row r="1658">
      <x:c r="B1658" s="7" t="str">
        <x:v>AG-01652</x:v>
      </x:c>
      <x:c r="C1658" s="7" t="str">
        <x:v>PEA-A-Y2</x:v>
      </x:c>
      <x:c r="D1658" s="7" t="str">
        <x:v>control element</x:v>
      </x:c>
      <x:c r="E1658" s="7" t="str">
        <x:v>ELM-PEA-A-Y2-03</x:v>
      </x:c>
      <x:c r="F1658" s="7" t="str">
        <x:f>'Control Elements'!L57</x:f>
        <x:v>OPEN</x:v>
      </x:c>
    </x:row>
    <x:row r="1659">
      <x:c r="B1659" s="7" t="str">
        <x:v>AG-01653</x:v>
      </x:c>
      <x:c r="C1659" s="7" t="str">
        <x:v>PEA-A-Y2</x:v>
      </x:c>
      <x:c r="D1659" s="7" t="str">
        <x:v>control element</x:v>
      </x:c>
      <x:c r="E1659" s="7" t="str">
        <x:v>ELM-PEA-A-Y2-04</x:v>
      </x:c>
      <x:c r="F1659" s="7" t="str">
        <x:f>'Control Elements'!L58</x:f>
        <x:v>OPEN</x:v>
      </x:c>
    </x:row>
    <x:row r="1660">
      <x:c r="B1660" s="7" t="str">
        <x:v>AG-01654</x:v>
      </x:c>
      <x:c r="C1660" s="7" t="str">
        <x:v>PEA-A-Y2</x:v>
      </x:c>
      <x:c r="D1660" s="7" t="str">
        <x:v>control element</x:v>
      </x:c>
      <x:c r="E1660" s="7" t="str">
        <x:v>ELM-PEA-A-Y2-05</x:v>
      </x:c>
      <x:c r="F1660" s="7" t="str">
        <x:f>'Control Elements'!L59</x:f>
        <x:v>OPEN</x:v>
      </x:c>
    </x:row>
    <x:row r="1661">
      <x:c r="B1661" s="7" t="str">
        <x:v>AG-01655</x:v>
      </x:c>
      <x:c r="C1661" s="7" t="str">
        <x:v>PEA-A-Y2</x:v>
      </x:c>
      <x:c r="D1661" s="7" t="str">
        <x:v>control element</x:v>
      </x:c>
      <x:c r="E1661" s="7" t="str">
        <x:v>ELM-PEA-A-Y2-06</x:v>
      </x:c>
      <x:c r="F1661" s="7" t="str">
        <x:f>'Control Elements'!L60</x:f>
        <x:v>OPEN</x:v>
      </x:c>
    </x:row>
    <x:row r="1662">
      <x:c r="B1662" s="7" t="str">
        <x:v>AG-01656</x:v>
      </x:c>
      <x:c r="C1662" s="7" t="str">
        <x:v>PEA-A-Y2</x:v>
      </x:c>
      <x:c r="D1662" s="7" t="str">
        <x:v>control element</x:v>
      </x:c>
      <x:c r="E1662" s="7" t="str">
        <x:v>ELM-PEA-A-Y2-07</x:v>
      </x:c>
      <x:c r="F1662" s="7" t="str">
        <x:f>'Control Elements'!L61</x:f>
        <x:v>OPEN</x:v>
      </x:c>
    </x:row>
    <x:row r="1663">
      <x:c r="B1663" s="7" t="str">
        <x:v>AG-01657</x:v>
      </x:c>
      <x:c r="C1663" s="7" t="str">
        <x:v>PEA-A-Y2</x:v>
      </x:c>
      <x:c r="D1663" s="7" t="str">
        <x:v>control element</x:v>
      </x:c>
      <x:c r="E1663" s="7" t="str">
        <x:v>ELM-PEA-A-Y2-08</x:v>
      </x:c>
      <x:c r="F1663" s="7" t="str">
        <x:f>'Control Elements'!L62</x:f>
        <x:v>OPEN</x:v>
      </x:c>
    </x:row>
    <x:row r="1664">
      <x:c r="B1664" s="7" t="str">
        <x:v>AG-01658</x:v>
      </x:c>
      <x:c r="C1664" s="7" t="str">
        <x:v>PEA-A-Y2</x:v>
      </x:c>
      <x:c r="D1664" s="7" t="str">
        <x:v>control element</x:v>
      </x:c>
      <x:c r="E1664" s="7" t="str">
        <x:v>ELM-PEA-A-Y2-09</x:v>
      </x:c>
      <x:c r="F1664" s="7" t="str">
        <x:f>'Control Elements'!L63</x:f>
        <x:v>OPEN</x:v>
      </x:c>
    </x:row>
    <x:row r="1665">
      <x:c r="B1665" s="7" t="str">
        <x:v>AG-01659</x:v>
      </x:c>
      <x:c r="C1665" s="7" t="str">
        <x:v>PEA-A-Y2</x:v>
      </x:c>
      <x:c r="D1665" s="7" t="str">
        <x:v>control element</x:v>
      </x:c>
      <x:c r="E1665" s="7" t="str">
        <x:v>ELM-PEA-A-Y2-10</x:v>
      </x:c>
      <x:c r="F1665" s="7" t="str">
        <x:f>'Control Elements'!L64</x:f>
        <x:v>OPEN</x:v>
      </x:c>
    </x:row>
    <x:row r="1666">
      <x:c r="B1666" s="7" t="str">
        <x:v>AG-01660</x:v>
      </x:c>
      <x:c r="C1666" s="7" t="str">
        <x:v>PEA-A-Y2</x:v>
      </x:c>
      <x:c r="D1666" s="7" t="str">
        <x:v>control element</x:v>
      </x:c>
      <x:c r="E1666" s="7" t="str">
        <x:v>ELM-PEA-A-Y2-11</x:v>
      </x:c>
      <x:c r="F1666" s="7" t="str">
        <x:f>'Control Elements'!L65</x:f>
        <x:v>OPEN</x:v>
      </x:c>
    </x:row>
    <x:row r="1667">
      <x:c r="B1667" s="7" t="str">
        <x:v>AG-01661</x:v>
      </x:c>
      <x:c r="C1667" s="7" t="str">
        <x:v>PEA-A-Y2</x:v>
      </x:c>
      <x:c r="D1667" s="7" t="str">
        <x:v>control element</x:v>
      </x:c>
      <x:c r="E1667" s="7" t="str">
        <x:v>ELM-PEA-A-Y2-12</x:v>
      </x:c>
      <x:c r="F1667" s="7" t="str">
        <x:f>'Control Elements'!L66</x:f>
        <x:v>OPEN</x:v>
      </x:c>
    </x:row>
    <x:row r="1668">
      <x:c r="B1668" s="7" t="str">
        <x:v>AG-01662</x:v>
      </x:c>
      <x:c r="C1668" s="7" t="str">
        <x:v>PEA-A-Y2</x:v>
      </x:c>
      <x:c r="D1668" s="7" t="str">
        <x:v>channel instance</x:v>
      </x:c>
      <x:c r="E1668" s="7" t="str">
        <x:v>CH-PEA-A-Y2-01-1</x:v>
      </x:c>
      <x:c r="F1668" s="7" t="str">
        <x:f>'Channel Instances'!O583</x:f>
        <x:v>OPEN</x:v>
      </x:c>
    </x:row>
    <x:row r="1669">
      <x:c r="B1669" s="7" t="str">
        <x:v>AG-01663</x:v>
      </x:c>
      <x:c r="C1669" s="7" t="str">
        <x:v>PEA-A-Y2</x:v>
      </x:c>
      <x:c r="D1669" s="7" t="str">
        <x:v>channel instance</x:v>
      </x:c>
      <x:c r="E1669" s="7" t="str">
        <x:v>CH-PEA-A-Y2-01-2</x:v>
      </x:c>
      <x:c r="F1669" s="7" t="str">
        <x:f>'Channel Instances'!O584</x:f>
        <x:v>OPEN</x:v>
      </x:c>
    </x:row>
    <x:row r="1670">
      <x:c r="B1670" s="7" t="str">
        <x:v>AG-01664</x:v>
      </x:c>
      <x:c r="C1670" s="7" t="str">
        <x:v>PEA-A-Y2</x:v>
      </x:c>
      <x:c r="D1670" s="7" t="str">
        <x:v>channel instance</x:v>
      </x:c>
      <x:c r="E1670" s="7" t="str">
        <x:v>CH-PEA-A-Y2-01-3</x:v>
      </x:c>
      <x:c r="F1670" s="7" t="str">
        <x:f>'Channel Instances'!O585</x:f>
        <x:v>OPEN</x:v>
      </x:c>
    </x:row>
    <x:row r="1671">
      <x:c r="B1671" s="7" t="str">
        <x:v>AG-01665</x:v>
      </x:c>
      <x:c r="C1671" s="7" t="str">
        <x:v>PEA-A-Y2</x:v>
      </x:c>
      <x:c r="D1671" s="7" t="str">
        <x:v>channel instance</x:v>
      </x:c>
      <x:c r="E1671" s="7" t="str">
        <x:v>CH-PEA-A-Y2-01-4</x:v>
      </x:c>
      <x:c r="F1671" s="7" t="str">
        <x:f>'Channel Instances'!O586</x:f>
        <x:v>OPEN</x:v>
      </x:c>
    </x:row>
    <x:row r="1672">
      <x:c r="B1672" s="7" t="str">
        <x:v>AG-01666</x:v>
      </x:c>
      <x:c r="C1672" s="7" t="str">
        <x:v>PEA-A-Y2</x:v>
      </x:c>
      <x:c r="D1672" s="7" t="str">
        <x:v>channel instance</x:v>
      </x:c>
      <x:c r="E1672" s="7" t="str">
        <x:v>CH-PEA-A-Y2-01-5</x:v>
      </x:c>
      <x:c r="F1672" s="7" t="str">
        <x:f>'Channel Instances'!O587</x:f>
        <x:v>OPEN</x:v>
      </x:c>
    </x:row>
    <x:row r="1673">
      <x:c r="B1673" s="7" t="str">
        <x:v>AG-01667</x:v>
      </x:c>
      <x:c r="C1673" s="7" t="str">
        <x:v>PEA-A-Y2</x:v>
      </x:c>
      <x:c r="D1673" s="7" t="str">
        <x:v>channel instance</x:v>
      </x:c>
      <x:c r="E1673" s="7" t="str">
        <x:v>CH-PEA-A-Y2-01-6</x:v>
      </x:c>
      <x:c r="F1673" s="7" t="str">
        <x:f>'Channel Instances'!O588</x:f>
        <x:v>OPEN</x:v>
      </x:c>
    </x:row>
    <x:row r="1674">
      <x:c r="B1674" s="7" t="str">
        <x:v>AG-01668</x:v>
      </x:c>
      <x:c r="C1674" s="7" t="str">
        <x:v>PEA-A-Y2</x:v>
      </x:c>
      <x:c r="D1674" s="7" t="str">
        <x:v>channel instance</x:v>
      </x:c>
      <x:c r="E1674" s="7" t="str">
        <x:v>CH-PEA-A-Y2-02-1</x:v>
      </x:c>
      <x:c r="F1674" s="7" t="str">
        <x:f>'Channel Instances'!O589</x:f>
        <x:v>OPEN</x:v>
      </x:c>
    </x:row>
    <x:row r="1675">
      <x:c r="B1675" s="7" t="str">
        <x:v>AG-01669</x:v>
      </x:c>
      <x:c r="C1675" s="7" t="str">
        <x:v>PEA-A-Y2</x:v>
      </x:c>
      <x:c r="D1675" s="7" t="str">
        <x:v>channel instance</x:v>
      </x:c>
      <x:c r="E1675" s="7" t="str">
        <x:v>CH-PEA-A-Y2-02-2</x:v>
      </x:c>
      <x:c r="F1675" s="7" t="str">
        <x:f>'Channel Instances'!O590</x:f>
        <x:v>OPEN</x:v>
      </x:c>
    </x:row>
    <x:row r="1676">
      <x:c r="B1676" s="7" t="str">
        <x:v>AG-01670</x:v>
      </x:c>
      <x:c r="C1676" s="7" t="str">
        <x:v>PEA-A-Y2</x:v>
      </x:c>
      <x:c r="D1676" s="7" t="str">
        <x:v>channel instance</x:v>
      </x:c>
      <x:c r="E1676" s="7" t="str">
        <x:v>CH-PEA-A-Y2-02-3</x:v>
      </x:c>
      <x:c r="F1676" s="7" t="str">
        <x:f>'Channel Instances'!O591</x:f>
        <x:v>OPEN</x:v>
      </x:c>
    </x:row>
    <x:row r="1677">
      <x:c r="B1677" s="7" t="str">
        <x:v>AG-01671</x:v>
      </x:c>
      <x:c r="C1677" s="7" t="str">
        <x:v>PEA-A-Y2</x:v>
      </x:c>
      <x:c r="D1677" s="7" t="str">
        <x:v>channel instance</x:v>
      </x:c>
      <x:c r="E1677" s="7" t="str">
        <x:v>CH-PEA-A-Y2-02-4</x:v>
      </x:c>
      <x:c r="F1677" s="7" t="str">
        <x:f>'Channel Instances'!O592</x:f>
        <x:v>OPEN</x:v>
      </x:c>
    </x:row>
    <x:row r="1678">
      <x:c r="B1678" s="7" t="str">
        <x:v>AG-01672</x:v>
      </x:c>
      <x:c r="C1678" s="7" t="str">
        <x:v>PEA-A-Y2</x:v>
      </x:c>
      <x:c r="D1678" s="7" t="str">
        <x:v>channel instance</x:v>
      </x:c>
      <x:c r="E1678" s="7" t="str">
        <x:v>CH-PEA-A-Y2-02-5</x:v>
      </x:c>
      <x:c r="F1678" s="7" t="str">
        <x:f>'Channel Instances'!O593</x:f>
        <x:v>OPEN</x:v>
      </x:c>
    </x:row>
    <x:row r="1679">
      <x:c r="B1679" s="7" t="str">
        <x:v>AG-01673</x:v>
      </x:c>
      <x:c r="C1679" s="7" t="str">
        <x:v>PEA-A-Y2</x:v>
      </x:c>
      <x:c r="D1679" s="7" t="str">
        <x:v>channel instance</x:v>
      </x:c>
      <x:c r="E1679" s="7" t="str">
        <x:v>CH-PEA-A-Y2-02-6</x:v>
      </x:c>
      <x:c r="F1679" s="7" t="str">
        <x:f>'Channel Instances'!O594</x:f>
        <x:v>OPEN</x:v>
      </x:c>
    </x:row>
    <x:row r="1680">
      <x:c r="B1680" s="7" t="str">
        <x:v>AG-01674</x:v>
      </x:c>
      <x:c r="C1680" s="7" t="str">
        <x:v>PEA-A-Y2</x:v>
      </x:c>
      <x:c r="D1680" s="7" t="str">
        <x:v>channel instance</x:v>
      </x:c>
      <x:c r="E1680" s="7" t="str">
        <x:v>CH-PEA-A-Y2-03-1</x:v>
      </x:c>
      <x:c r="F1680" s="7" t="str">
        <x:f>'Channel Instances'!O595</x:f>
        <x:v>OPEN</x:v>
      </x:c>
    </x:row>
    <x:row r="1681">
      <x:c r="B1681" s="7" t="str">
        <x:v>AG-01675</x:v>
      </x:c>
      <x:c r="C1681" s="7" t="str">
        <x:v>PEA-A-Y2</x:v>
      </x:c>
      <x:c r="D1681" s="7" t="str">
        <x:v>channel instance</x:v>
      </x:c>
      <x:c r="E1681" s="7" t="str">
        <x:v>CH-PEA-A-Y2-03-2</x:v>
      </x:c>
      <x:c r="F1681" s="7" t="str">
        <x:f>'Channel Instances'!O596</x:f>
        <x:v>OPEN</x:v>
      </x:c>
    </x:row>
    <x:row r="1682">
      <x:c r="B1682" s="7" t="str">
        <x:v>AG-01676</x:v>
      </x:c>
      <x:c r="C1682" s="7" t="str">
        <x:v>PEA-A-Y2</x:v>
      </x:c>
      <x:c r="D1682" s="7" t="str">
        <x:v>channel instance</x:v>
      </x:c>
      <x:c r="E1682" s="7" t="str">
        <x:v>CH-PEA-A-Y2-03-3</x:v>
      </x:c>
      <x:c r="F1682" s="7" t="str">
        <x:f>'Channel Instances'!O597</x:f>
        <x:v>OPEN</x:v>
      </x:c>
    </x:row>
    <x:row r="1683">
      <x:c r="B1683" s="7" t="str">
        <x:v>AG-01677</x:v>
      </x:c>
      <x:c r="C1683" s="7" t="str">
        <x:v>PEA-A-Y2</x:v>
      </x:c>
      <x:c r="D1683" s="7" t="str">
        <x:v>channel instance</x:v>
      </x:c>
      <x:c r="E1683" s="7" t="str">
        <x:v>CH-PEA-A-Y2-03-4</x:v>
      </x:c>
      <x:c r="F1683" s="7" t="str">
        <x:f>'Channel Instances'!O598</x:f>
        <x:v>OPEN</x:v>
      </x:c>
    </x:row>
    <x:row r="1684">
      <x:c r="B1684" s="7" t="str">
        <x:v>AG-01678</x:v>
      </x:c>
      <x:c r="C1684" s="7" t="str">
        <x:v>PEA-A-Y2</x:v>
      </x:c>
      <x:c r="D1684" s="7" t="str">
        <x:v>channel instance</x:v>
      </x:c>
      <x:c r="E1684" s="7" t="str">
        <x:v>CH-PEA-A-Y2-03-5</x:v>
      </x:c>
      <x:c r="F1684" s="7" t="str">
        <x:f>'Channel Instances'!O599</x:f>
        <x:v>OPEN</x:v>
      </x:c>
    </x:row>
    <x:row r="1685">
      <x:c r="B1685" s="7" t="str">
        <x:v>AG-01679</x:v>
      </x:c>
      <x:c r="C1685" s="7" t="str">
        <x:v>PEA-A-Y2</x:v>
      </x:c>
      <x:c r="D1685" s="7" t="str">
        <x:v>channel instance</x:v>
      </x:c>
      <x:c r="E1685" s="7" t="str">
        <x:v>CH-PEA-A-Y2-03-6</x:v>
      </x:c>
      <x:c r="F1685" s="7" t="str">
        <x:f>'Channel Instances'!O600</x:f>
        <x:v>OPEN</x:v>
      </x:c>
    </x:row>
    <x:row r="1686">
      <x:c r="B1686" s="7" t="str">
        <x:v>AG-01680</x:v>
      </x:c>
      <x:c r="C1686" s="7" t="str">
        <x:v>PEA-A-Y2</x:v>
      </x:c>
      <x:c r="D1686" s="7" t="str">
        <x:v>channel instance</x:v>
      </x:c>
      <x:c r="E1686" s="7" t="str">
        <x:v>CH-PEA-A-Y2-04-1</x:v>
      </x:c>
      <x:c r="F1686" s="7" t="str">
        <x:f>'Channel Instances'!O601</x:f>
        <x:v>OPEN</x:v>
      </x:c>
    </x:row>
    <x:row r="1687">
      <x:c r="B1687" s="7" t="str">
        <x:v>AG-01681</x:v>
      </x:c>
      <x:c r="C1687" s="7" t="str">
        <x:v>PEA-A-Y2</x:v>
      </x:c>
      <x:c r="D1687" s="7" t="str">
        <x:v>channel instance</x:v>
      </x:c>
      <x:c r="E1687" s="7" t="str">
        <x:v>CH-PEA-A-Y2-04-2</x:v>
      </x:c>
      <x:c r="F1687" s="7" t="str">
        <x:f>'Channel Instances'!O602</x:f>
        <x:v>OPEN</x:v>
      </x:c>
    </x:row>
    <x:row r="1688">
      <x:c r="B1688" s="7" t="str">
        <x:v>AG-01682</x:v>
      </x:c>
      <x:c r="C1688" s="7" t="str">
        <x:v>PEA-A-Y2</x:v>
      </x:c>
      <x:c r="D1688" s="7" t="str">
        <x:v>channel instance</x:v>
      </x:c>
      <x:c r="E1688" s="7" t="str">
        <x:v>CH-PEA-A-Y2-04-3</x:v>
      </x:c>
      <x:c r="F1688" s="7" t="str">
        <x:f>'Channel Instances'!O603</x:f>
        <x:v>OPEN</x:v>
      </x:c>
    </x:row>
    <x:row r="1689">
      <x:c r="B1689" s="7" t="str">
        <x:v>AG-01683</x:v>
      </x:c>
      <x:c r="C1689" s="7" t="str">
        <x:v>PEA-A-Y2</x:v>
      </x:c>
      <x:c r="D1689" s="7" t="str">
        <x:v>channel instance</x:v>
      </x:c>
      <x:c r="E1689" s="7" t="str">
        <x:v>CH-PEA-A-Y2-04-4</x:v>
      </x:c>
      <x:c r="F1689" s="7" t="str">
        <x:f>'Channel Instances'!O604</x:f>
        <x:v>OPEN</x:v>
      </x:c>
    </x:row>
    <x:row r="1690">
      <x:c r="B1690" s="7" t="str">
        <x:v>AG-01684</x:v>
      </x:c>
      <x:c r="C1690" s="7" t="str">
        <x:v>PEA-A-Y2</x:v>
      </x:c>
      <x:c r="D1690" s="7" t="str">
        <x:v>channel instance</x:v>
      </x:c>
      <x:c r="E1690" s="7" t="str">
        <x:v>CH-PEA-A-Y2-04-5</x:v>
      </x:c>
      <x:c r="F1690" s="7" t="str">
        <x:f>'Channel Instances'!O605</x:f>
        <x:v>OPEN</x:v>
      </x:c>
    </x:row>
    <x:row r="1691">
      <x:c r="B1691" s="7" t="str">
        <x:v>AG-01685</x:v>
      </x:c>
      <x:c r="C1691" s="7" t="str">
        <x:v>PEA-A-Y2</x:v>
      </x:c>
      <x:c r="D1691" s="7" t="str">
        <x:v>channel instance</x:v>
      </x:c>
      <x:c r="E1691" s="7" t="str">
        <x:v>CH-PEA-A-Y2-04-6</x:v>
      </x:c>
      <x:c r="F1691" s="7" t="str">
        <x:f>'Channel Instances'!O606</x:f>
        <x:v>OPEN</x:v>
      </x:c>
    </x:row>
    <x:row r="1692">
      <x:c r="B1692" s="7" t="str">
        <x:v>AG-01686</x:v>
      </x:c>
      <x:c r="C1692" s="7" t="str">
        <x:v>PEA-A-Y2</x:v>
      </x:c>
      <x:c r="D1692" s="7" t="str">
        <x:v>channel instance</x:v>
      </x:c>
      <x:c r="E1692" s="7" t="str">
        <x:v>CH-PEA-A-Y2-05-1</x:v>
      </x:c>
      <x:c r="F1692" s="7" t="str">
        <x:f>'Channel Instances'!O607</x:f>
        <x:v>OPEN</x:v>
      </x:c>
    </x:row>
    <x:row r="1693">
      <x:c r="B1693" s="7" t="str">
        <x:v>AG-01687</x:v>
      </x:c>
      <x:c r="C1693" s="7" t="str">
        <x:v>PEA-A-Y2</x:v>
      </x:c>
      <x:c r="D1693" s="7" t="str">
        <x:v>channel instance</x:v>
      </x:c>
      <x:c r="E1693" s="7" t="str">
        <x:v>CH-PEA-A-Y2-05-2</x:v>
      </x:c>
      <x:c r="F1693" s="7" t="str">
        <x:f>'Channel Instances'!O608</x:f>
        <x:v>OPEN</x:v>
      </x:c>
    </x:row>
    <x:row r="1694">
      <x:c r="B1694" s="7" t="str">
        <x:v>AG-01688</x:v>
      </x:c>
      <x:c r="C1694" s="7" t="str">
        <x:v>PEA-A-Y2</x:v>
      </x:c>
      <x:c r="D1694" s="7" t="str">
        <x:v>channel instance</x:v>
      </x:c>
      <x:c r="E1694" s="7" t="str">
        <x:v>CH-PEA-A-Y2-05-3</x:v>
      </x:c>
      <x:c r="F1694" s="7" t="str">
        <x:f>'Channel Instances'!O609</x:f>
        <x:v>OPEN</x:v>
      </x:c>
    </x:row>
    <x:row r="1695">
      <x:c r="B1695" s="7" t="str">
        <x:v>AG-01689</x:v>
      </x:c>
      <x:c r="C1695" s="7" t="str">
        <x:v>PEA-A-Y2</x:v>
      </x:c>
      <x:c r="D1695" s="7" t="str">
        <x:v>channel instance</x:v>
      </x:c>
      <x:c r="E1695" s="7" t="str">
        <x:v>CH-PEA-A-Y2-05-4</x:v>
      </x:c>
      <x:c r="F1695" s="7" t="str">
        <x:f>'Channel Instances'!O610</x:f>
        <x:v>OPEN</x:v>
      </x:c>
    </x:row>
    <x:row r="1696">
      <x:c r="B1696" s="7" t="str">
        <x:v>AG-01690</x:v>
      </x:c>
      <x:c r="C1696" s="7" t="str">
        <x:v>PEA-A-Y2</x:v>
      </x:c>
      <x:c r="D1696" s="7" t="str">
        <x:v>channel instance</x:v>
      </x:c>
      <x:c r="E1696" s="7" t="str">
        <x:v>CH-PEA-A-Y2-05-5</x:v>
      </x:c>
      <x:c r="F1696" s="7" t="str">
        <x:f>'Channel Instances'!O611</x:f>
        <x:v>OPEN</x:v>
      </x:c>
    </x:row>
    <x:row r="1697">
      <x:c r="B1697" s="7" t="str">
        <x:v>AG-01691</x:v>
      </x:c>
      <x:c r="C1697" s="7" t="str">
        <x:v>PEA-A-Y2</x:v>
      </x:c>
      <x:c r="D1697" s="7" t="str">
        <x:v>channel instance</x:v>
      </x:c>
      <x:c r="E1697" s="7" t="str">
        <x:v>CH-PEA-A-Y2-05-6</x:v>
      </x:c>
      <x:c r="F1697" s="7" t="str">
        <x:f>'Channel Instances'!O612</x:f>
        <x:v>OPEN</x:v>
      </x:c>
    </x:row>
    <x:row r="1698">
      <x:c r="B1698" s="7" t="str">
        <x:v>AG-01692</x:v>
      </x:c>
      <x:c r="C1698" s="7" t="str">
        <x:v>PEA-A-Y2</x:v>
      </x:c>
      <x:c r="D1698" s="7" t="str">
        <x:v>channel instance</x:v>
      </x:c>
      <x:c r="E1698" s="7" t="str">
        <x:v>CH-PEA-A-Y2-06-1</x:v>
      </x:c>
      <x:c r="F1698" s="7" t="str">
        <x:f>'Channel Instances'!O613</x:f>
        <x:v>OPEN</x:v>
      </x:c>
    </x:row>
    <x:row r="1699">
      <x:c r="B1699" s="7" t="str">
        <x:v>AG-01693</x:v>
      </x:c>
      <x:c r="C1699" s="7" t="str">
        <x:v>PEA-A-Y2</x:v>
      </x:c>
      <x:c r="D1699" s="7" t="str">
        <x:v>channel instance</x:v>
      </x:c>
      <x:c r="E1699" s="7" t="str">
        <x:v>CH-PEA-A-Y2-06-2</x:v>
      </x:c>
      <x:c r="F1699" s="7" t="str">
        <x:f>'Channel Instances'!O614</x:f>
        <x:v>OPEN</x:v>
      </x:c>
    </x:row>
    <x:row r="1700">
      <x:c r="B1700" s="7" t="str">
        <x:v>AG-01694</x:v>
      </x:c>
      <x:c r="C1700" s="7" t="str">
        <x:v>PEA-A-Y2</x:v>
      </x:c>
      <x:c r="D1700" s="7" t="str">
        <x:v>channel instance</x:v>
      </x:c>
      <x:c r="E1700" s="7" t="str">
        <x:v>CH-PEA-A-Y2-06-3</x:v>
      </x:c>
      <x:c r="F1700" s="7" t="str">
        <x:f>'Channel Instances'!O615</x:f>
        <x:v>OPEN</x:v>
      </x:c>
    </x:row>
    <x:row r="1701">
      <x:c r="B1701" s="7" t="str">
        <x:v>AG-01695</x:v>
      </x:c>
      <x:c r="C1701" s="7" t="str">
        <x:v>PEA-A-Y2</x:v>
      </x:c>
      <x:c r="D1701" s="7" t="str">
        <x:v>channel instance</x:v>
      </x:c>
      <x:c r="E1701" s="7" t="str">
        <x:v>CH-PEA-A-Y2-06-4</x:v>
      </x:c>
      <x:c r="F1701" s="7" t="str">
        <x:f>'Channel Instances'!O616</x:f>
        <x:v>OPEN</x:v>
      </x:c>
    </x:row>
    <x:row r="1702">
      <x:c r="B1702" s="7" t="str">
        <x:v>AG-01696</x:v>
      </x:c>
      <x:c r="C1702" s="7" t="str">
        <x:v>PEA-A-Y2</x:v>
      </x:c>
      <x:c r="D1702" s="7" t="str">
        <x:v>channel instance</x:v>
      </x:c>
      <x:c r="E1702" s="7" t="str">
        <x:v>CH-PEA-A-Y2-06-5</x:v>
      </x:c>
      <x:c r="F1702" s="7" t="str">
        <x:f>'Channel Instances'!O617</x:f>
        <x:v>OPEN</x:v>
      </x:c>
    </x:row>
    <x:row r="1703">
      <x:c r="B1703" s="7" t="str">
        <x:v>AG-01697</x:v>
      </x:c>
      <x:c r="C1703" s="7" t="str">
        <x:v>PEA-A-Y2</x:v>
      </x:c>
      <x:c r="D1703" s="7" t="str">
        <x:v>channel instance</x:v>
      </x:c>
      <x:c r="E1703" s="7" t="str">
        <x:v>CH-PEA-A-Y2-06-6</x:v>
      </x:c>
      <x:c r="F1703" s="7" t="str">
        <x:f>'Channel Instances'!O618</x:f>
        <x:v>OPEN</x:v>
      </x:c>
    </x:row>
    <x:row r="1704">
      <x:c r="B1704" s="7" t="str">
        <x:v>AG-01698</x:v>
      </x:c>
      <x:c r="C1704" s="7" t="str">
        <x:v>PEA-A-Y2</x:v>
      </x:c>
      <x:c r="D1704" s="7" t="str">
        <x:v>channel instance</x:v>
      </x:c>
      <x:c r="E1704" s="7" t="str">
        <x:v>CH-PEA-A-Y2-07-1</x:v>
      </x:c>
      <x:c r="F1704" s="7" t="str">
        <x:f>'Channel Instances'!O619</x:f>
        <x:v>OPEN</x:v>
      </x:c>
    </x:row>
    <x:row r="1705">
      <x:c r="B1705" s="7" t="str">
        <x:v>AG-01699</x:v>
      </x:c>
      <x:c r="C1705" s="7" t="str">
        <x:v>PEA-A-Y2</x:v>
      </x:c>
      <x:c r="D1705" s="7" t="str">
        <x:v>channel instance</x:v>
      </x:c>
      <x:c r="E1705" s="7" t="str">
        <x:v>CH-PEA-A-Y2-07-2</x:v>
      </x:c>
      <x:c r="F1705" s="7" t="str">
        <x:f>'Channel Instances'!O620</x:f>
        <x:v>OPEN</x:v>
      </x:c>
    </x:row>
    <x:row r="1706">
      <x:c r="B1706" s="7" t="str">
        <x:v>AG-01700</x:v>
      </x:c>
      <x:c r="C1706" s="7" t="str">
        <x:v>PEA-A-Y2</x:v>
      </x:c>
      <x:c r="D1706" s="7" t="str">
        <x:v>channel instance</x:v>
      </x:c>
      <x:c r="E1706" s="7" t="str">
        <x:v>CH-PEA-A-Y2-07-3</x:v>
      </x:c>
      <x:c r="F1706" s="7" t="str">
        <x:f>'Channel Instances'!O621</x:f>
        <x:v>OPEN</x:v>
      </x:c>
    </x:row>
    <x:row r="1707">
      <x:c r="B1707" s="7" t="str">
        <x:v>AG-01701</x:v>
      </x:c>
      <x:c r="C1707" s="7" t="str">
        <x:v>PEA-A-Y2</x:v>
      </x:c>
      <x:c r="D1707" s="7" t="str">
        <x:v>channel instance</x:v>
      </x:c>
      <x:c r="E1707" s="7" t="str">
        <x:v>CH-PEA-A-Y2-07-4</x:v>
      </x:c>
      <x:c r="F1707" s="7" t="str">
        <x:f>'Channel Instances'!O622</x:f>
        <x:v>OPEN</x:v>
      </x:c>
    </x:row>
    <x:row r="1708">
      <x:c r="B1708" s="7" t="str">
        <x:v>AG-01702</x:v>
      </x:c>
      <x:c r="C1708" s="7" t="str">
        <x:v>PEA-A-Y2</x:v>
      </x:c>
      <x:c r="D1708" s="7" t="str">
        <x:v>channel instance</x:v>
      </x:c>
      <x:c r="E1708" s="7" t="str">
        <x:v>CH-PEA-A-Y2-07-5</x:v>
      </x:c>
      <x:c r="F1708" s="7" t="str">
        <x:f>'Channel Instances'!O623</x:f>
        <x:v>OPEN</x:v>
      </x:c>
    </x:row>
    <x:row r="1709">
      <x:c r="B1709" s="7" t="str">
        <x:v>AG-01703</x:v>
      </x:c>
      <x:c r="C1709" s="7" t="str">
        <x:v>PEA-A-Y2</x:v>
      </x:c>
      <x:c r="D1709" s="7" t="str">
        <x:v>channel instance</x:v>
      </x:c>
      <x:c r="E1709" s="7" t="str">
        <x:v>CH-PEA-A-Y2-07-6</x:v>
      </x:c>
      <x:c r="F1709" s="7" t="str">
        <x:f>'Channel Instances'!O624</x:f>
        <x:v>OPEN</x:v>
      </x:c>
    </x:row>
    <x:row r="1710">
      <x:c r="B1710" s="7" t="str">
        <x:v>AG-01704</x:v>
      </x:c>
      <x:c r="C1710" s="7" t="str">
        <x:v>PEA-A-Y2</x:v>
      </x:c>
      <x:c r="D1710" s="7" t="str">
        <x:v>channel instance</x:v>
      </x:c>
      <x:c r="E1710" s="7" t="str">
        <x:v>CH-PEA-A-Y2-08-1</x:v>
      </x:c>
      <x:c r="F1710" s="7" t="str">
        <x:f>'Channel Instances'!O625</x:f>
        <x:v>OPEN</x:v>
      </x:c>
    </x:row>
    <x:row r="1711">
      <x:c r="B1711" s="7" t="str">
        <x:v>AG-01705</x:v>
      </x:c>
      <x:c r="C1711" s="7" t="str">
        <x:v>PEA-A-Y2</x:v>
      </x:c>
      <x:c r="D1711" s="7" t="str">
        <x:v>channel instance</x:v>
      </x:c>
      <x:c r="E1711" s="7" t="str">
        <x:v>CH-PEA-A-Y2-08-2</x:v>
      </x:c>
      <x:c r="F1711" s="7" t="str">
        <x:f>'Channel Instances'!O626</x:f>
        <x:v>OPEN</x:v>
      </x:c>
    </x:row>
    <x:row r="1712">
      <x:c r="B1712" s="7" t="str">
        <x:v>AG-01706</x:v>
      </x:c>
      <x:c r="C1712" s="7" t="str">
        <x:v>PEA-A-Y2</x:v>
      </x:c>
      <x:c r="D1712" s="7" t="str">
        <x:v>channel instance</x:v>
      </x:c>
      <x:c r="E1712" s="7" t="str">
        <x:v>CH-PEA-A-Y2-08-3</x:v>
      </x:c>
      <x:c r="F1712" s="7" t="str">
        <x:f>'Channel Instances'!O627</x:f>
        <x:v>OPEN</x:v>
      </x:c>
    </x:row>
    <x:row r="1713">
      <x:c r="B1713" s="7" t="str">
        <x:v>AG-01707</x:v>
      </x:c>
      <x:c r="C1713" s="7" t="str">
        <x:v>PEA-A-Y2</x:v>
      </x:c>
      <x:c r="D1713" s="7" t="str">
        <x:v>channel instance</x:v>
      </x:c>
      <x:c r="E1713" s="7" t="str">
        <x:v>CH-PEA-A-Y2-08-4</x:v>
      </x:c>
      <x:c r="F1713" s="7" t="str">
        <x:f>'Channel Instances'!O628</x:f>
        <x:v>OPEN</x:v>
      </x:c>
    </x:row>
    <x:row r="1714">
      <x:c r="B1714" s="7" t="str">
        <x:v>AG-01708</x:v>
      </x:c>
      <x:c r="C1714" s="7" t="str">
        <x:v>PEA-A-Y2</x:v>
      </x:c>
      <x:c r="D1714" s="7" t="str">
        <x:v>channel instance</x:v>
      </x:c>
      <x:c r="E1714" s="7" t="str">
        <x:v>CH-PEA-A-Y2-08-5</x:v>
      </x:c>
      <x:c r="F1714" s="7" t="str">
        <x:f>'Channel Instances'!O629</x:f>
        <x:v>OPEN</x:v>
      </x:c>
    </x:row>
    <x:row r="1715">
      <x:c r="B1715" s="7" t="str">
        <x:v>AG-01709</x:v>
      </x:c>
      <x:c r="C1715" s="7" t="str">
        <x:v>PEA-A-Y2</x:v>
      </x:c>
      <x:c r="D1715" s="7" t="str">
        <x:v>channel instance</x:v>
      </x:c>
      <x:c r="E1715" s="7" t="str">
        <x:v>CH-PEA-A-Y2-08-6</x:v>
      </x:c>
      <x:c r="F1715" s="7" t="str">
        <x:f>'Channel Instances'!O630</x:f>
        <x:v>OPEN</x:v>
      </x:c>
    </x:row>
    <x:row r="1716">
      <x:c r="B1716" s="7" t="str">
        <x:v>AG-01710</x:v>
      </x:c>
      <x:c r="C1716" s="7" t="str">
        <x:v>PEA-A-Y2</x:v>
      </x:c>
      <x:c r="D1716" s="7" t="str">
        <x:v>channel instance</x:v>
      </x:c>
      <x:c r="E1716" s="7" t="str">
        <x:v>CH-PEA-A-Y2-09-1</x:v>
      </x:c>
      <x:c r="F1716" s="7" t="str">
        <x:f>'Channel Instances'!O631</x:f>
        <x:v>OPEN</x:v>
      </x:c>
    </x:row>
    <x:row r="1717">
      <x:c r="B1717" s="7" t="str">
        <x:v>AG-01711</x:v>
      </x:c>
      <x:c r="C1717" s="7" t="str">
        <x:v>PEA-A-Y2</x:v>
      </x:c>
      <x:c r="D1717" s="7" t="str">
        <x:v>channel instance</x:v>
      </x:c>
      <x:c r="E1717" s="7" t="str">
        <x:v>CH-PEA-A-Y2-09-2</x:v>
      </x:c>
      <x:c r="F1717" s="7" t="str">
        <x:f>'Channel Instances'!O632</x:f>
        <x:v>OPEN</x:v>
      </x:c>
    </x:row>
    <x:row r="1718">
      <x:c r="B1718" s="7" t="str">
        <x:v>AG-01712</x:v>
      </x:c>
      <x:c r="C1718" s="7" t="str">
        <x:v>PEA-A-Y2</x:v>
      </x:c>
      <x:c r="D1718" s="7" t="str">
        <x:v>channel instance</x:v>
      </x:c>
      <x:c r="E1718" s="7" t="str">
        <x:v>CH-PEA-A-Y2-09-3</x:v>
      </x:c>
      <x:c r="F1718" s="7" t="str">
        <x:f>'Channel Instances'!O633</x:f>
        <x:v>OPEN</x:v>
      </x:c>
    </x:row>
    <x:row r="1719">
      <x:c r="B1719" s="7" t="str">
        <x:v>AG-01713</x:v>
      </x:c>
      <x:c r="C1719" s="7" t="str">
        <x:v>PEA-A-Y2</x:v>
      </x:c>
      <x:c r="D1719" s="7" t="str">
        <x:v>channel instance</x:v>
      </x:c>
      <x:c r="E1719" s="7" t="str">
        <x:v>CH-PEA-A-Y2-09-4</x:v>
      </x:c>
      <x:c r="F1719" s="7" t="str">
        <x:f>'Channel Instances'!O634</x:f>
        <x:v>OPEN</x:v>
      </x:c>
    </x:row>
    <x:row r="1720">
      <x:c r="B1720" s="7" t="str">
        <x:v>AG-01714</x:v>
      </x:c>
      <x:c r="C1720" s="7" t="str">
        <x:v>PEA-A-Y2</x:v>
      </x:c>
      <x:c r="D1720" s="7" t="str">
        <x:v>channel instance</x:v>
      </x:c>
      <x:c r="E1720" s="7" t="str">
        <x:v>CH-PEA-A-Y2-09-5</x:v>
      </x:c>
      <x:c r="F1720" s="7" t="str">
        <x:f>'Channel Instances'!O635</x:f>
        <x:v>OPEN</x:v>
      </x:c>
    </x:row>
    <x:row r="1721">
      <x:c r="B1721" s="7" t="str">
        <x:v>AG-01715</x:v>
      </x:c>
      <x:c r="C1721" s="7" t="str">
        <x:v>PEA-A-Y2</x:v>
      </x:c>
      <x:c r="D1721" s="7" t="str">
        <x:v>channel instance</x:v>
      </x:c>
      <x:c r="E1721" s="7" t="str">
        <x:v>CH-PEA-A-Y2-09-6</x:v>
      </x:c>
      <x:c r="F1721" s="7" t="str">
        <x:f>'Channel Instances'!O636</x:f>
        <x:v>OPEN</x:v>
      </x:c>
    </x:row>
    <x:row r="1722">
      <x:c r="B1722" s="7" t="str">
        <x:v>AG-01716</x:v>
      </x:c>
      <x:c r="C1722" s="7" t="str">
        <x:v>PEA-A-Y2</x:v>
      </x:c>
      <x:c r="D1722" s="7" t="str">
        <x:v>channel instance</x:v>
      </x:c>
      <x:c r="E1722" s="7" t="str">
        <x:v>CH-PEA-A-Y2-10-1</x:v>
      </x:c>
      <x:c r="F1722" s="7" t="str">
        <x:f>'Channel Instances'!O637</x:f>
        <x:v>OPEN</x:v>
      </x:c>
    </x:row>
    <x:row r="1723">
      <x:c r="B1723" s="7" t="str">
        <x:v>AG-01717</x:v>
      </x:c>
      <x:c r="C1723" s="7" t="str">
        <x:v>PEA-A-Y2</x:v>
      </x:c>
      <x:c r="D1723" s="7" t="str">
        <x:v>channel instance</x:v>
      </x:c>
      <x:c r="E1723" s="7" t="str">
        <x:v>CH-PEA-A-Y2-10-2</x:v>
      </x:c>
      <x:c r="F1723" s="7" t="str">
        <x:f>'Channel Instances'!O638</x:f>
        <x:v>OPEN</x:v>
      </x:c>
    </x:row>
    <x:row r="1724">
      <x:c r="B1724" s="7" t="str">
        <x:v>AG-01718</x:v>
      </x:c>
      <x:c r="C1724" s="7" t="str">
        <x:v>PEA-A-Y2</x:v>
      </x:c>
      <x:c r="D1724" s="7" t="str">
        <x:v>channel instance</x:v>
      </x:c>
      <x:c r="E1724" s="7" t="str">
        <x:v>CH-PEA-A-Y2-10-3</x:v>
      </x:c>
      <x:c r="F1724" s="7" t="str">
        <x:f>'Channel Instances'!O639</x:f>
        <x:v>OPEN</x:v>
      </x:c>
    </x:row>
    <x:row r="1725">
      <x:c r="B1725" s="7" t="str">
        <x:v>AG-01719</x:v>
      </x:c>
      <x:c r="C1725" s="7" t="str">
        <x:v>PEA-A-Y2</x:v>
      </x:c>
      <x:c r="D1725" s="7" t="str">
        <x:v>channel instance</x:v>
      </x:c>
      <x:c r="E1725" s="7" t="str">
        <x:v>CH-PEA-A-Y2-10-4</x:v>
      </x:c>
      <x:c r="F1725" s="7" t="str">
        <x:f>'Channel Instances'!O640</x:f>
        <x:v>OPEN</x:v>
      </x:c>
    </x:row>
    <x:row r="1726">
      <x:c r="B1726" s="7" t="str">
        <x:v>AG-01720</x:v>
      </x:c>
      <x:c r="C1726" s="7" t="str">
        <x:v>PEA-A-Y2</x:v>
      </x:c>
      <x:c r="D1726" s="7" t="str">
        <x:v>channel instance</x:v>
      </x:c>
      <x:c r="E1726" s="7" t="str">
        <x:v>CH-PEA-A-Y2-10-5</x:v>
      </x:c>
      <x:c r="F1726" s="7" t="str">
        <x:f>'Channel Instances'!O641</x:f>
        <x:v>OPEN</x:v>
      </x:c>
    </x:row>
    <x:row r="1727">
      <x:c r="B1727" s="7" t="str">
        <x:v>AG-01721</x:v>
      </x:c>
      <x:c r="C1727" s="7" t="str">
        <x:v>PEA-A-Y2</x:v>
      </x:c>
      <x:c r="D1727" s="7" t="str">
        <x:v>channel instance</x:v>
      </x:c>
      <x:c r="E1727" s="7" t="str">
        <x:v>CH-PEA-A-Y2-10-6</x:v>
      </x:c>
      <x:c r="F1727" s="7" t="str">
        <x:f>'Channel Instances'!O642</x:f>
        <x:v>OPEN</x:v>
      </x:c>
    </x:row>
    <x:row r="1728">
      <x:c r="B1728" s="7" t="str">
        <x:v>AG-01722</x:v>
      </x:c>
      <x:c r="C1728" s="7" t="str">
        <x:v>PEA-A-Y2</x:v>
      </x:c>
      <x:c r="D1728" s="7" t="str">
        <x:v>channel instance</x:v>
      </x:c>
      <x:c r="E1728" s="7" t="str">
        <x:v>CH-PEA-A-Y2-11-1</x:v>
      </x:c>
      <x:c r="F1728" s="7" t="str">
        <x:f>'Channel Instances'!O643</x:f>
        <x:v>OPEN</x:v>
      </x:c>
    </x:row>
    <x:row r="1729">
      <x:c r="B1729" s="7" t="str">
        <x:v>AG-01723</x:v>
      </x:c>
      <x:c r="C1729" s="7" t="str">
        <x:v>PEA-A-Y2</x:v>
      </x:c>
      <x:c r="D1729" s="7" t="str">
        <x:v>channel instance</x:v>
      </x:c>
      <x:c r="E1729" s="7" t="str">
        <x:v>CH-PEA-A-Y2-11-2</x:v>
      </x:c>
      <x:c r="F1729" s="7" t="str">
        <x:f>'Channel Instances'!O644</x:f>
        <x:v>OPEN</x:v>
      </x:c>
    </x:row>
    <x:row r="1730">
      <x:c r="B1730" s="7" t="str">
        <x:v>AG-01724</x:v>
      </x:c>
      <x:c r="C1730" s="7" t="str">
        <x:v>PEA-A-Y2</x:v>
      </x:c>
      <x:c r="D1730" s="7" t="str">
        <x:v>channel instance</x:v>
      </x:c>
      <x:c r="E1730" s="7" t="str">
        <x:v>CH-PEA-A-Y2-11-3</x:v>
      </x:c>
      <x:c r="F1730" s="7" t="str">
        <x:f>'Channel Instances'!O645</x:f>
        <x:v>OPEN</x:v>
      </x:c>
    </x:row>
    <x:row r="1731">
      <x:c r="B1731" s="7" t="str">
        <x:v>AG-01725</x:v>
      </x:c>
      <x:c r="C1731" s="7" t="str">
        <x:v>PEA-A-Y2</x:v>
      </x:c>
      <x:c r="D1731" s="7" t="str">
        <x:v>channel instance</x:v>
      </x:c>
      <x:c r="E1731" s="7" t="str">
        <x:v>CH-PEA-A-Y2-11-4</x:v>
      </x:c>
      <x:c r="F1731" s="7" t="str">
        <x:f>'Channel Instances'!O646</x:f>
        <x:v>OPEN</x:v>
      </x:c>
    </x:row>
    <x:row r="1732">
      <x:c r="B1732" s="7" t="str">
        <x:v>AG-01726</x:v>
      </x:c>
      <x:c r="C1732" s="7" t="str">
        <x:v>PEA-A-Y2</x:v>
      </x:c>
      <x:c r="D1732" s="7" t="str">
        <x:v>channel instance</x:v>
      </x:c>
      <x:c r="E1732" s="7" t="str">
        <x:v>CH-PEA-A-Y2-11-5</x:v>
      </x:c>
      <x:c r="F1732" s="7" t="str">
        <x:f>'Channel Instances'!O647</x:f>
        <x:v>OPEN</x:v>
      </x:c>
    </x:row>
    <x:row r="1733">
      <x:c r="B1733" s="7" t="str">
        <x:v>AG-01727</x:v>
      </x:c>
      <x:c r="C1733" s="7" t="str">
        <x:v>PEA-A-Y2</x:v>
      </x:c>
      <x:c r="D1733" s="7" t="str">
        <x:v>channel instance</x:v>
      </x:c>
      <x:c r="E1733" s="7" t="str">
        <x:v>CH-PEA-A-Y2-11-6</x:v>
      </x:c>
      <x:c r="F1733" s="7" t="str">
        <x:f>'Channel Instances'!O648</x:f>
        <x:v>OPEN</x:v>
      </x:c>
    </x:row>
    <x:row r="1734">
      <x:c r="B1734" s="7" t="str">
        <x:v>AG-01728</x:v>
      </x:c>
      <x:c r="C1734" s="7" t="str">
        <x:v>PEA-A-Y2</x:v>
      </x:c>
      <x:c r="D1734" s="7" t="str">
        <x:v>channel instance</x:v>
      </x:c>
      <x:c r="E1734" s="7" t="str">
        <x:v>CH-PEA-A-Y2-12-1</x:v>
      </x:c>
      <x:c r="F1734" s="7" t="str">
        <x:f>'Channel Instances'!O649</x:f>
        <x:v>OPEN</x:v>
      </x:c>
    </x:row>
    <x:row r="1735">
      <x:c r="B1735" s="7" t="str">
        <x:v>AG-01729</x:v>
      </x:c>
      <x:c r="C1735" s="7" t="str">
        <x:v>PEA-A-Y2</x:v>
      </x:c>
      <x:c r="D1735" s="7" t="str">
        <x:v>channel instance</x:v>
      </x:c>
      <x:c r="E1735" s="7" t="str">
        <x:v>CH-PEA-A-Y2-12-2</x:v>
      </x:c>
      <x:c r="F1735" s="7" t="str">
        <x:f>'Channel Instances'!O650</x:f>
        <x:v>OPEN</x:v>
      </x:c>
    </x:row>
    <x:row r="1736">
      <x:c r="B1736" s="7" t="str">
        <x:v>AG-01730</x:v>
      </x:c>
      <x:c r="C1736" s="7" t="str">
        <x:v>PEA-A-Y2</x:v>
      </x:c>
      <x:c r="D1736" s="7" t="str">
        <x:v>channel instance</x:v>
      </x:c>
      <x:c r="E1736" s="7" t="str">
        <x:v>CH-PEA-A-Y2-12-3</x:v>
      </x:c>
      <x:c r="F1736" s="7" t="str">
        <x:f>'Channel Instances'!O651</x:f>
        <x:v>OPEN</x:v>
      </x:c>
    </x:row>
    <x:row r="1737">
      <x:c r="B1737" s="7" t="str">
        <x:v>AG-01731</x:v>
      </x:c>
      <x:c r="C1737" s="7" t="str">
        <x:v>PEA-A-Y2</x:v>
      </x:c>
      <x:c r="D1737" s="7" t="str">
        <x:v>channel instance</x:v>
      </x:c>
      <x:c r="E1737" s="7" t="str">
        <x:v>CH-PEA-A-Y2-12-4</x:v>
      </x:c>
      <x:c r="F1737" s="7" t="str">
        <x:f>'Channel Instances'!O652</x:f>
        <x:v>OPEN</x:v>
      </x:c>
    </x:row>
    <x:row r="1738">
      <x:c r="B1738" s="7" t="str">
        <x:v>AG-01732</x:v>
      </x:c>
      <x:c r="C1738" s="7" t="str">
        <x:v>PEA-A-Y2</x:v>
      </x:c>
      <x:c r="D1738" s="7" t="str">
        <x:v>channel instance</x:v>
      </x:c>
      <x:c r="E1738" s="7" t="str">
        <x:v>CH-PEA-A-Y2-12-5</x:v>
      </x:c>
      <x:c r="F1738" s="7" t="str">
        <x:f>'Channel Instances'!O653</x:f>
        <x:v>OPEN</x:v>
      </x:c>
    </x:row>
    <x:row r="1739">
      <x:c r="B1739" s="7" t="str">
        <x:v>AG-01733</x:v>
      </x:c>
      <x:c r="C1739" s="7" t="str">
        <x:v>PEA-A-Y2</x:v>
      </x:c>
      <x:c r="D1739" s="7" t="str">
        <x:v>channel instance</x:v>
      </x:c>
      <x:c r="E1739" s="7" t="str">
        <x:v>CH-PEA-A-Y2-12-6</x:v>
      </x:c>
      <x:c r="F1739" s="7" t="str">
        <x:f>'Channel Instances'!O654</x:f>
        <x:v>OPEN</x:v>
      </x:c>
    </x:row>
    <x:row r="1740">
      <x:c r="B1740" s="7" t="str">
        <x:v>AG-01734</x:v>
      </x:c>
      <x:c r="C1740" s="7" t="str">
        <x:v>PEA-A-Y2</x:v>
      </x:c>
      <x:c r="D1740" s="7" t="str">
        <x:v>channel instance</x:v>
      </x:c>
      <x:c r="E1740" s="7" t="str">
        <x:v>CH-PEA-A-Y2-13-1</x:v>
      </x:c>
      <x:c r="F1740" s="7" t="str">
        <x:f>'Channel Instances'!O655</x:f>
        <x:v>OPEN</x:v>
      </x:c>
    </x:row>
    <x:row r="1741">
      <x:c r="B1741" s="7" t="str">
        <x:v>AG-01735</x:v>
      </x:c>
      <x:c r="C1741" s="7" t="str">
        <x:v>PEA-A-Y2</x:v>
      </x:c>
      <x:c r="D1741" s="7" t="str">
        <x:v>channel instance</x:v>
      </x:c>
      <x:c r="E1741" s="7" t="str">
        <x:v>CH-PEA-A-Y2-13-2</x:v>
      </x:c>
      <x:c r="F1741" s="7" t="str">
        <x:f>'Channel Instances'!O656</x:f>
        <x:v>OPEN</x:v>
      </x:c>
    </x:row>
    <x:row r="1742">
      <x:c r="B1742" s="7" t="str">
        <x:v>AG-01736</x:v>
      </x:c>
      <x:c r="C1742" s="7" t="str">
        <x:v>PEA-A-Y2</x:v>
      </x:c>
      <x:c r="D1742" s="7" t="str">
        <x:v>channel instance</x:v>
      </x:c>
      <x:c r="E1742" s="7" t="str">
        <x:v>CH-PEA-A-Y2-13-3</x:v>
      </x:c>
      <x:c r="F1742" s="7" t="str">
        <x:f>'Channel Instances'!O657</x:f>
        <x:v>OPEN</x:v>
      </x:c>
    </x:row>
    <x:row r="1743">
      <x:c r="B1743" s="7" t="str">
        <x:v>AG-01737</x:v>
      </x:c>
      <x:c r="C1743" s="7" t="str">
        <x:v>PEA-A-Y2</x:v>
      </x:c>
      <x:c r="D1743" s="7" t="str">
        <x:v>channel instance</x:v>
      </x:c>
      <x:c r="E1743" s="7" t="str">
        <x:v>CH-PEA-A-Y2-13-4</x:v>
      </x:c>
      <x:c r="F1743" s="7" t="str">
        <x:f>'Channel Instances'!O658</x:f>
        <x:v>OPEN</x:v>
      </x:c>
    </x:row>
    <x:row r="1744">
      <x:c r="B1744" s="7" t="str">
        <x:v>AG-01738</x:v>
      </x:c>
      <x:c r="C1744" s="7" t="str">
        <x:v>PEA-A-Y2</x:v>
      </x:c>
      <x:c r="D1744" s="7" t="str">
        <x:v>channel instance</x:v>
      </x:c>
      <x:c r="E1744" s="7" t="str">
        <x:v>CH-PEA-A-Y2-13-5</x:v>
      </x:c>
      <x:c r="F1744" s="7" t="str">
        <x:f>'Channel Instances'!O659</x:f>
        <x:v>OPEN</x:v>
      </x:c>
    </x:row>
    <x:row r="1745">
      <x:c r="B1745" s="7" t="str">
        <x:v>AG-01739</x:v>
      </x:c>
      <x:c r="C1745" s="7" t="str">
        <x:v>PEA-A-Y2</x:v>
      </x:c>
      <x:c r="D1745" s="7" t="str">
        <x:v>channel instance</x:v>
      </x:c>
      <x:c r="E1745" s="7" t="str">
        <x:v>CH-PEA-A-Y2-13-6</x:v>
      </x:c>
      <x:c r="F1745" s="7" t="str">
        <x:f>'Channel Instances'!O660</x:f>
        <x:v>OPEN</x:v>
      </x:c>
    </x:row>
    <x:row r="1746">
      <x:c r="B1746" s="7" t="str">
        <x:v>AG-01740</x:v>
      </x:c>
      <x:c r="C1746" s="7" t="str">
        <x:v>PEA-A-Y2</x:v>
      </x:c>
      <x:c r="D1746" s="7" t="str">
        <x:v>channel instance</x:v>
      </x:c>
      <x:c r="E1746" s="7" t="str">
        <x:v>CH-PEA-A-Y2-14-1</x:v>
      </x:c>
      <x:c r="F1746" s="7" t="str">
        <x:f>'Channel Instances'!O661</x:f>
        <x:v>OPEN</x:v>
      </x:c>
    </x:row>
    <x:row r="1747">
      <x:c r="B1747" s="7" t="str">
        <x:v>AG-01741</x:v>
      </x:c>
      <x:c r="C1747" s="7" t="str">
        <x:v>PEA-A-Y2</x:v>
      </x:c>
      <x:c r="D1747" s="7" t="str">
        <x:v>channel instance</x:v>
      </x:c>
      <x:c r="E1747" s="7" t="str">
        <x:v>CH-PEA-A-Y2-14-2</x:v>
      </x:c>
      <x:c r="F1747" s="7" t="str">
        <x:f>'Channel Instances'!O662</x:f>
        <x:v>OPEN</x:v>
      </x:c>
    </x:row>
    <x:row r="1748">
      <x:c r="B1748" s="7" t="str">
        <x:v>AG-01742</x:v>
      </x:c>
      <x:c r="C1748" s="7" t="str">
        <x:v>PEA-A-Y2</x:v>
      </x:c>
      <x:c r="D1748" s="7" t="str">
        <x:v>channel instance</x:v>
      </x:c>
      <x:c r="E1748" s="7" t="str">
        <x:v>CH-PEA-A-Y2-14-3</x:v>
      </x:c>
      <x:c r="F1748" s="7" t="str">
        <x:f>'Channel Instances'!O663</x:f>
        <x:v>OPEN</x:v>
      </x:c>
    </x:row>
    <x:row r="1749">
      <x:c r="B1749" s="7" t="str">
        <x:v>AG-01743</x:v>
      </x:c>
      <x:c r="C1749" s="7" t="str">
        <x:v>PEA-A-Y2</x:v>
      </x:c>
      <x:c r="D1749" s="7" t="str">
        <x:v>channel instance</x:v>
      </x:c>
      <x:c r="E1749" s="7" t="str">
        <x:v>CH-PEA-A-Y2-14-4</x:v>
      </x:c>
      <x:c r="F1749" s="7" t="str">
        <x:f>'Channel Instances'!O664</x:f>
        <x:v>OPEN</x:v>
      </x:c>
    </x:row>
    <x:row r="1750">
      <x:c r="B1750" s="7" t="str">
        <x:v>AG-01744</x:v>
      </x:c>
      <x:c r="C1750" s="7" t="str">
        <x:v>PEA-A-Y2</x:v>
      </x:c>
      <x:c r="D1750" s="7" t="str">
        <x:v>channel instance</x:v>
      </x:c>
      <x:c r="E1750" s="7" t="str">
        <x:v>CH-PEA-A-Y2-14-5</x:v>
      </x:c>
      <x:c r="F1750" s="7" t="str">
        <x:f>'Channel Instances'!O665</x:f>
        <x:v>OPEN</x:v>
      </x:c>
    </x:row>
    <x:row r="1751">
      <x:c r="B1751" s="7" t="str">
        <x:v>AG-01745</x:v>
      </x:c>
      <x:c r="C1751" s="7" t="str">
        <x:v>PEA-A-Y2</x:v>
      </x:c>
      <x:c r="D1751" s="7" t="str">
        <x:v>channel instance</x:v>
      </x:c>
      <x:c r="E1751" s="7" t="str">
        <x:v>CH-PEA-A-Y2-14-6</x:v>
      </x:c>
      <x:c r="F1751" s="7" t="str">
        <x:f>'Channel Instances'!O666</x:f>
        <x:v>OPEN</x:v>
      </x:c>
    </x:row>
    <x:row r="1752">
      <x:c r="B1752" s="7" t="str">
        <x:v>AG-01746</x:v>
      </x:c>
      <x:c r="C1752" s="7" t="str">
        <x:v>PEA-A-Y2</x:v>
      </x:c>
      <x:c r="D1752" s="7" t="str">
        <x:v>channel instance</x:v>
      </x:c>
      <x:c r="E1752" s="7" t="str">
        <x:v>CH-PEA-A-Y2-15-1</x:v>
      </x:c>
      <x:c r="F1752" s="7" t="str">
        <x:f>'Channel Instances'!O667</x:f>
        <x:v>OPEN</x:v>
      </x:c>
    </x:row>
    <x:row r="1753">
      <x:c r="B1753" s="7" t="str">
        <x:v>AG-01747</x:v>
      </x:c>
      <x:c r="C1753" s="7" t="str">
        <x:v>PEA-A-Y2</x:v>
      </x:c>
      <x:c r="D1753" s="7" t="str">
        <x:v>channel instance</x:v>
      </x:c>
      <x:c r="E1753" s="7" t="str">
        <x:v>CH-PEA-A-Y2-15-2</x:v>
      </x:c>
      <x:c r="F1753" s="7" t="str">
        <x:f>'Channel Instances'!O668</x:f>
        <x:v>OPEN</x:v>
      </x:c>
    </x:row>
    <x:row r="1754">
      <x:c r="B1754" s="7" t="str">
        <x:v>AG-01748</x:v>
      </x:c>
      <x:c r="C1754" s="7" t="str">
        <x:v>PEA-A-Y2</x:v>
      </x:c>
      <x:c r="D1754" s="7" t="str">
        <x:v>channel instance</x:v>
      </x:c>
      <x:c r="E1754" s="7" t="str">
        <x:v>CH-PEA-A-Y2-15-3</x:v>
      </x:c>
      <x:c r="F1754" s="7" t="str">
        <x:f>'Channel Instances'!O669</x:f>
        <x:v>OPEN</x:v>
      </x:c>
    </x:row>
    <x:row r="1755">
      <x:c r="B1755" s="7" t="str">
        <x:v>AG-01749</x:v>
      </x:c>
      <x:c r="C1755" s="7" t="str">
        <x:v>PEA-A-Y2</x:v>
      </x:c>
      <x:c r="D1755" s="7" t="str">
        <x:v>channel instance</x:v>
      </x:c>
      <x:c r="E1755" s="7" t="str">
        <x:v>CH-PEA-A-Y2-15-4</x:v>
      </x:c>
      <x:c r="F1755" s="7" t="str">
        <x:f>'Channel Instances'!O670</x:f>
        <x:v>OPEN</x:v>
      </x:c>
    </x:row>
    <x:row r="1756">
      <x:c r="B1756" s="7" t="str">
        <x:v>AG-01750</x:v>
      </x:c>
      <x:c r="C1756" s="7" t="str">
        <x:v>PEA-A-Y2</x:v>
      </x:c>
      <x:c r="D1756" s="7" t="str">
        <x:v>channel instance</x:v>
      </x:c>
      <x:c r="E1756" s="7" t="str">
        <x:v>CH-PEA-A-Y2-15-5</x:v>
      </x:c>
      <x:c r="F1756" s="7" t="str">
        <x:f>'Channel Instances'!O671</x:f>
        <x:v>OPEN</x:v>
      </x:c>
    </x:row>
    <x:row r="1757">
      <x:c r="B1757" s="7" t="str">
        <x:v>AG-01751</x:v>
      </x:c>
      <x:c r="C1757" s="7" t="str">
        <x:v>PEA-A-Y2</x:v>
      </x:c>
      <x:c r="D1757" s="7" t="str">
        <x:v>channel instance</x:v>
      </x:c>
      <x:c r="E1757" s="7" t="str">
        <x:v>CH-PEA-A-Y2-15-6</x:v>
      </x:c>
      <x:c r="F1757" s="7" t="str">
        <x:f>'Channel Instances'!O672</x:f>
        <x:v>OPEN</x:v>
      </x:c>
    </x:row>
    <x:row r="1758">
      <x:c r="B1758" s="7" t="str">
        <x:v>AG-01752</x:v>
      </x:c>
      <x:c r="C1758" s="7" t="str">
        <x:v>PEA-A-Y2</x:v>
      </x:c>
      <x:c r="D1758" s="7" t="str">
        <x:v>channel instance</x:v>
      </x:c>
      <x:c r="E1758" s="7" t="str">
        <x:v>CH-PEA-A-Y2-16-1</x:v>
      </x:c>
      <x:c r="F1758" s="7" t="str">
        <x:f>'Channel Instances'!O673</x:f>
        <x:v>OPEN</x:v>
      </x:c>
    </x:row>
    <x:row r="1759">
      <x:c r="B1759" s="7" t="str">
        <x:v>AG-01753</x:v>
      </x:c>
      <x:c r="C1759" s="7" t="str">
        <x:v>PEA-A-Y2</x:v>
      </x:c>
      <x:c r="D1759" s="7" t="str">
        <x:v>channel instance</x:v>
      </x:c>
      <x:c r="E1759" s="7" t="str">
        <x:v>CH-PEA-A-Y2-16-2</x:v>
      </x:c>
      <x:c r="F1759" s="7" t="str">
        <x:f>'Channel Instances'!O674</x:f>
        <x:v>OPEN</x:v>
      </x:c>
    </x:row>
    <x:row r="1760">
      <x:c r="B1760" s="7" t="str">
        <x:v>AG-01754</x:v>
      </x:c>
      <x:c r="C1760" s="7" t="str">
        <x:v>PEA-A-Y2</x:v>
      </x:c>
      <x:c r="D1760" s="7" t="str">
        <x:v>channel instance</x:v>
      </x:c>
      <x:c r="E1760" s="7" t="str">
        <x:v>CH-PEA-A-Y2-16-3</x:v>
      </x:c>
      <x:c r="F1760" s="7" t="str">
        <x:f>'Channel Instances'!O675</x:f>
        <x:v>OPEN</x:v>
      </x:c>
    </x:row>
    <x:row r="1761">
      <x:c r="B1761" s="7" t="str">
        <x:v>AG-01755</x:v>
      </x:c>
      <x:c r="C1761" s="7" t="str">
        <x:v>PEA-A-Y2</x:v>
      </x:c>
      <x:c r="D1761" s="7" t="str">
        <x:v>channel instance</x:v>
      </x:c>
      <x:c r="E1761" s="7" t="str">
        <x:v>CH-PEA-A-Y2-16-4</x:v>
      </x:c>
      <x:c r="F1761" s="7" t="str">
        <x:f>'Channel Instances'!O676</x:f>
        <x:v>OPEN</x:v>
      </x:c>
    </x:row>
    <x:row r="1762">
      <x:c r="B1762" s="7" t="str">
        <x:v>AG-01756</x:v>
      </x:c>
      <x:c r="C1762" s="7" t="str">
        <x:v>PEA-A-Y2</x:v>
      </x:c>
      <x:c r="D1762" s="7" t="str">
        <x:v>channel instance</x:v>
      </x:c>
      <x:c r="E1762" s="7" t="str">
        <x:v>CH-PEA-A-Y2-16-5</x:v>
      </x:c>
      <x:c r="F1762" s="7" t="str">
        <x:f>'Channel Instances'!O677</x:f>
        <x:v>OPEN</x:v>
      </x:c>
    </x:row>
    <x:row r="1763">
      <x:c r="B1763" s="7" t="str">
        <x:v>AG-01757</x:v>
      </x:c>
      <x:c r="C1763" s="7" t="str">
        <x:v>PEA-A-Y2</x:v>
      </x:c>
      <x:c r="D1763" s="7" t="str">
        <x:v>channel instance</x:v>
      </x:c>
      <x:c r="E1763" s="7" t="str">
        <x:v>CH-PEA-A-Y2-16-6</x:v>
      </x:c>
      <x:c r="F1763" s="7" t="str">
        <x:f>'Channel Instances'!O678</x:f>
        <x:v>OPEN</x:v>
      </x:c>
    </x:row>
    <x:row r="1764">
      <x:c r="B1764" s="7" t="str">
        <x:v>AG-01758</x:v>
      </x:c>
      <x:c r="C1764" s="7" t="str">
        <x:v>PEA-A-Y2</x:v>
      </x:c>
      <x:c r="D1764" s="7" t="str">
        <x:v>channel instance</x:v>
      </x:c>
      <x:c r="E1764" s="7" t="str">
        <x:v>CH-PEA-A-Y2-17-1</x:v>
      </x:c>
      <x:c r="F1764" s="7" t="str">
        <x:f>'Channel Instances'!O679</x:f>
        <x:v>OPEN</x:v>
      </x:c>
    </x:row>
    <x:row r="1765">
      <x:c r="B1765" s="7" t="str">
        <x:v>AG-01759</x:v>
      </x:c>
      <x:c r="C1765" s="7" t="str">
        <x:v>PEA-A-Y2</x:v>
      </x:c>
      <x:c r="D1765" s="7" t="str">
        <x:v>channel instance</x:v>
      </x:c>
      <x:c r="E1765" s="7" t="str">
        <x:v>CH-PEA-A-Y2-17-2</x:v>
      </x:c>
      <x:c r="F1765" s="7" t="str">
        <x:f>'Channel Instances'!O680</x:f>
        <x:v>OPEN</x:v>
      </x:c>
    </x:row>
    <x:row r="1766">
      <x:c r="B1766" s="7" t="str">
        <x:v>AG-01760</x:v>
      </x:c>
      <x:c r="C1766" s="7" t="str">
        <x:v>PEA-A-Y2</x:v>
      </x:c>
      <x:c r="D1766" s="7" t="str">
        <x:v>channel instance</x:v>
      </x:c>
      <x:c r="E1766" s="7" t="str">
        <x:v>CH-PEA-A-Y2-17-3</x:v>
      </x:c>
      <x:c r="F1766" s="7" t="str">
        <x:f>'Channel Instances'!O681</x:f>
        <x:v>OPEN</x:v>
      </x:c>
    </x:row>
    <x:row r="1767">
      <x:c r="B1767" s="7" t="str">
        <x:v>AG-01761</x:v>
      </x:c>
      <x:c r="C1767" s="7" t="str">
        <x:v>PEA-A-Y2</x:v>
      </x:c>
      <x:c r="D1767" s="7" t="str">
        <x:v>channel instance</x:v>
      </x:c>
      <x:c r="E1767" s="7" t="str">
        <x:v>CH-PEA-A-Y2-17-4</x:v>
      </x:c>
      <x:c r="F1767" s="7" t="str">
        <x:f>'Channel Instances'!O682</x:f>
        <x:v>OPEN</x:v>
      </x:c>
    </x:row>
    <x:row r="1768">
      <x:c r="B1768" s="7" t="str">
        <x:v>AG-01762</x:v>
      </x:c>
      <x:c r="C1768" s="7" t="str">
        <x:v>PEA-A-Y2</x:v>
      </x:c>
      <x:c r="D1768" s="7" t="str">
        <x:v>channel instance</x:v>
      </x:c>
      <x:c r="E1768" s="7" t="str">
        <x:v>CH-PEA-A-Y2-17-5</x:v>
      </x:c>
      <x:c r="F1768" s="7" t="str">
        <x:f>'Channel Instances'!O683</x:f>
        <x:v>OPEN</x:v>
      </x:c>
    </x:row>
    <x:row r="1769">
      <x:c r="B1769" s="7" t="str">
        <x:v>AG-01763</x:v>
      </x:c>
      <x:c r="C1769" s="7" t="str">
        <x:v>PEA-A-Y2</x:v>
      </x:c>
      <x:c r="D1769" s="7" t="str">
        <x:v>channel instance</x:v>
      </x:c>
      <x:c r="E1769" s="7" t="str">
        <x:v>CH-PEA-A-Y2-17-6</x:v>
      </x:c>
      <x:c r="F1769" s="7" t="str">
        <x:f>'Channel Instances'!O684</x:f>
        <x:v>OPEN</x:v>
      </x:c>
    </x:row>
    <x:row r="1770">
      <x:c r="B1770" s="7" t="str">
        <x:v>AG-01764</x:v>
      </x:c>
      <x:c r="C1770" s="7" t="str">
        <x:v>PEA-A-Y2</x:v>
      </x:c>
      <x:c r="D1770" s="7" t="str">
        <x:v>channel instance</x:v>
      </x:c>
      <x:c r="E1770" s="7" t="str">
        <x:v>CH-PEA-A-Y2-18-1</x:v>
      </x:c>
      <x:c r="F1770" s="7" t="str">
        <x:f>'Channel Instances'!O685</x:f>
        <x:v>OPEN</x:v>
      </x:c>
    </x:row>
    <x:row r="1771">
      <x:c r="B1771" s="7" t="str">
        <x:v>AG-01765</x:v>
      </x:c>
      <x:c r="C1771" s="7" t="str">
        <x:v>PEA-A-Y2</x:v>
      </x:c>
      <x:c r="D1771" s="7" t="str">
        <x:v>channel instance</x:v>
      </x:c>
      <x:c r="E1771" s="7" t="str">
        <x:v>CH-PEA-A-Y2-18-2</x:v>
      </x:c>
      <x:c r="F1771" s="7" t="str">
        <x:f>'Channel Instances'!O686</x:f>
        <x:v>OPEN</x:v>
      </x:c>
    </x:row>
    <x:row r="1772">
      <x:c r="B1772" s="7" t="str">
        <x:v>AG-01766</x:v>
      </x:c>
      <x:c r="C1772" s="7" t="str">
        <x:v>PEA-A-Y2</x:v>
      </x:c>
      <x:c r="D1772" s="7" t="str">
        <x:v>channel instance</x:v>
      </x:c>
      <x:c r="E1772" s="7" t="str">
        <x:v>CH-PEA-A-Y2-18-3</x:v>
      </x:c>
      <x:c r="F1772" s="7" t="str">
        <x:f>'Channel Instances'!O687</x:f>
        <x:v>OPEN</x:v>
      </x:c>
    </x:row>
    <x:row r="1773">
      <x:c r="B1773" s="7" t="str">
        <x:v>AG-01767</x:v>
      </x:c>
      <x:c r="C1773" s="7" t="str">
        <x:v>PEA-A-Y2</x:v>
      </x:c>
      <x:c r="D1773" s="7" t="str">
        <x:v>channel instance</x:v>
      </x:c>
      <x:c r="E1773" s="7" t="str">
        <x:v>CH-PEA-A-Y2-18-4</x:v>
      </x:c>
      <x:c r="F1773" s="7" t="str">
        <x:f>'Channel Instances'!O688</x:f>
        <x:v>OPEN</x:v>
      </x:c>
    </x:row>
    <x:row r="1774">
      <x:c r="B1774" s="7" t="str">
        <x:v>AG-01768</x:v>
      </x:c>
      <x:c r="C1774" s="7" t="str">
        <x:v>PEA-A-Y2</x:v>
      </x:c>
      <x:c r="D1774" s="7" t="str">
        <x:v>channel instance</x:v>
      </x:c>
      <x:c r="E1774" s="7" t="str">
        <x:v>CH-PEA-A-Y2-18-5</x:v>
      </x:c>
      <x:c r="F1774" s="7" t="str">
        <x:f>'Channel Instances'!O689</x:f>
        <x:v>OPEN</x:v>
      </x:c>
    </x:row>
    <x:row r="1775">
      <x:c r="B1775" s="7" t="str">
        <x:v>AG-01769</x:v>
      </x:c>
      <x:c r="C1775" s="7" t="str">
        <x:v>PEA-A-Y2</x:v>
      </x:c>
      <x:c r="D1775" s="7" t="str">
        <x:v>channel instance</x:v>
      </x:c>
      <x:c r="E1775" s="7" t="str">
        <x:v>CH-PEA-A-Y2-18-6</x:v>
      </x:c>
      <x:c r="F1775" s="7" t="str">
        <x:f>'Channel Instances'!O690</x:f>
        <x:v>OPEN</x:v>
      </x:c>
    </x:row>
    <x:row r="1776">
      <x:c r="B1776" s="7" t="str">
        <x:v>AG-01770</x:v>
      </x:c>
      <x:c r="C1776" s="7" t="str">
        <x:v>PEA-A-Y2</x:v>
      </x:c>
      <x:c r="D1776" s="7" t="str">
        <x:v>channel instance</x:v>
      </x:c>
      <x:c r="E1776" s="7" t="str">
        <x:v>CH-PEA-A-Y2-19-1</x:v>
      </x:c>
      <x:c r="F1776" s="7" t="str">
        <x:f>'Channel Instances'!O691</x:f>
        <x:v>OPEN</x:v>
      </x:c>
    </x:row>
    <x:row r="1777">
      <x:c r="B1777" s="7" t="str">
        <x:v>AG-01771</x:v>
      </x:c>
      <x:c r="C1777" s="7" t="str">
        <x:v>PEA-A-Y2</x:v>
      </x:c>
      <x:c r="D1777" s="7" t="str">
        <x:v>channel instance</x:v>
      </x:c>
      <x:c r="E1777" s="7" t="str">
        <x:v>CH-PEA-A-Y2-19-2</x:v>
      </x:c>
      <x:c r="F1777" s="7" t="str">
        <x:f>'Channel Instances'!O692</x:f>
        <x:v>OPEN</x:v>
      </x:c>
    </x:row>
    <x:row r="1778">
      <x:c r="B1778" s="7" t="str">
        <x:v>AG-01772</x:v>
      </x:c>
      <x:c r="C1778" s="7" t="str">
        <x:v>PEA-A-Y2</x:v>
      </x:c>
      <x:c r="D1778" s="7" t="str">
        <x:v>channel instance</x:v>
      </x:c>
      <x:c r="E1778" s="7" t="str">
        <x:v>CH-PEA-A-Y2-19-3</x:v>
      </x:c>
      <x:c r="F1778" s="7" t="str">
        <x:f>'Channel Instances'!O693</x:f>
        <x:v>OPEN</x:v>
      </x:c>
    </x:row>
    <x:row r="1779">
      <x:c r="B1779" s="7" t="str">
        <x:v>AG-01773</x:v>
      </x:c>
      <x:c r="C1779" s="7" t="str">
        <x:v>PEA-A-Y2</x:v>
      </x:c>
      <x:c r="D1779" s="7" t="str">
        <x:v>channel instance</x:v>
      </x:c>
      <x:c r="E1779" s="7" t="str">
        <x:v>CH-PEA-A-Y2-19-4</x:v>
      </x:c>
      <x:c r="F1779" s="7" t="str">
        <x:f>'Channel Instances'!O694</x:f>
        <x:v>OPEN</x:v>
      </x:c>
    </x:row>
    <x:row r="1780">
      <x:c r="B1780" s="7" t="str">
        <x:v>AG-01774</x:v>
      </x:c>
      <x:c r="C1780" s="7" t="str">
        <x:v>PEA-A-Y2</x:v>
      </x:c>
      <x:c r="D1780" s="7" t="str">
        <x:v>channel instance</x:v>
      </x:c>
      <x:c r="E1780" s="7" t="str">
        <x:v>CH-PEA-A-Y2-19-5</x:v>
      </x:c>
      <x:c r="F1780" s="7" t="str">
        <x:f>'Channel Instances'!O695</x:f>
        <x:v>OPEN</x:v>
      </x:c>
    </x:row>
    <x:row r="1781">
      <x:c r="B1781" s="7" t="str">
        <x:v>AG-01775</x:v>
      </x:c>
      <x:c r="C1781" s="7" t="str">
        <x:v>PEA-A-Y2</x:v>
      </x:c>
      <x:c r="D1781" s="7" t="str">
        <x:v>channel instance</x:v>
      </x:c>
      <x:c r="E1781" s="7" t="str">
        <x:v>CH-PEA-A-Y2-19-6</x:v>
      </x:c>
      <x:c r="F1781" s="7" t="str">
        <x:f>'Channel Instances'!O696</x:f>
        <x:v>OPEN</x:v>
      </x:c>
    </x:row>
    <x:row r="1782">
      <x:c r="B1782" s="7" t="str">
        <x:v>AG-01776</x:v>
      </x:c>
      <x:c r="C1782" s="7" t="str">
        <x:v>PEA-A-Y2</x:v>
      </x:c>
      <x:c r="D1782" s="7" t="str">
        <x:v>channel instance</x:v>
      </x:c>
      <x:c r="E1782" s="7" t="str">
        <x:v>CH-PEA-A-Y2-20-1</x:v>
      </x:c>
      <x:c r="F1782" s="7" t="str">
        <x:f>'Channel Instances'!O697</x:f>
        <x:v>OPEN</x:v>
      </x:c>
    </x:row>
    <x:row r="1783">
      <x:c r="B1783" s="7" t="str">
        <x:v>AG-01777</x:v>
      </x:c>
      <x:c r="C1783" s="7" t="str">
        <x:v>PEA-A-Y2</x:v>
      </x:c>
      <x:c r="D1783" s="7" t="str">
        <x:v>channel instance</x:v>
      </x:c>
      <x:c r="E1783" s="7" t="str">
        <x:v>CH-PEA-A-Y2-20-2</x:v>
      </x:c>
      <x:c r="F1783" s="7" t="str">
        <x:f>'Channel Instances'!O698</x:f>
        <x:v>OPEN</x:v>
      </x:c>
    </x:row>
    <x:row r="1784">
      <x:c r="B1784" s="7" t="str">
        <x:v>AG-01778</x:v>
      </x:c>
      <x:c r="C1784" s="7" t="str">
        <x:v>PEA-A-Y2</x:v>
      </x:c>
      <x:c r="D1784" s="7" t="str">
        <x:v>channel instance</x:v>
      </x:c>
      <x:c r="E1784" s="7" t="str">
        <x:v>CH-PEA-A-Y2-20-3</x:v>
      </x:c>
      <x:c r="F1784" s="7" t="str">
        <x:f>'Channel Instances'!O699</x:f>
        <x:v>OPEN</x:v>
      </x:c>
    </x:row>
    <x:row r="1785">
      <x:c r="B1785" s="7" t="str">
        <x:v>AG-01779</x:v>
      </x:c>
      <x:c r="C1785" s="7" t="str">
        <x:v>PEA-A-Y2</x:v>
      </x:c>
      <x:c r="D1785" s="7" t="str">
        <x:v>channel instance</x:v>
      </x:c>
      <x:c r="E1785" s="7" t="str">
        <x:v>CH-PEA-A-Y2-20-4</x:v>
      </x:c>
      <x:c r="F1785" s="7" t="str">
        <x:f>'Channel Instances'!O700</x:f>
        <x:v>OPEN</x:v>
      </x:c>
    </x:row>
    <x:row r="1786">
      <x:c r="B1786" s="7" t="str">
        <x:v>AG-01780</x:v>
      </x:c>
      <x:c r="C1786" s="7" t="str">
        <x:v>PEA-A-Y2</x:v>
      </x:c>
      <x:c r="D1786" s="7" t="str">
        <x:v>channel instance</x:v>
      </x:c>
      <x:c r="E1786" s="7" t="str">
        <x:v>CH-PEA-A-Y2-20-5</x:v>
      </x:c>
      <x:c r="F1786" s="7" t="str">
        <x:f>'Channel Instances'!O701</x:f>
        <x:v>OPEN</x:v>
      </x:c>
    </x:row>
    <x:row r="1787">
      <x:c r="B1787" s="7" t="str">
        <x:v>AG-01781</x:v>
      </x:c>
      <x:c r="C1787" s="7" t="str">
        <x:v>PEA-A-Y2</x:v>
      </x:c>
      <x:c r="D1787" s="7" t="str">
        <x:v>channel instance</x:v>
      </x:c>
      <x:c r="E1787" s="7" t="str">
        <x:v>CH-PEA-A-Y2-20-6</x:v>
      </x:c>
      <x:c r="F1787" s="7" t="str">
        <x:f>'Channel Instances'!O702</x:f>
        <x:v>OPEN</x:v>
      </x:c>
    </x:row>
    <x:row r="1788">
      <x:c r="B1788" s="7" t="str">
        <x:v>AG-01782</x:v>
      </x:c>
      <x:c r="C1788" s="7" t="str">
        <x:v>PEA-A-Y2</x:v>
      </x:c>
      <x:c r="D1788" s="7" t="str">
        <x:v>channel instance</x:v>
      </x:c>
      <x:c r="E1788" s="7" t="str">
        <x:v>CH-PEA-A-Y2-21-1</x:v>
      </x:c>
      <x:c r="F1788" s="7" t="str">
        <x:f>'Channel Instances'!O703</x:f>
        <x:v>OPEN</x:v>
      </x:c>
    </x:row>
    <x:row r="1789">
      <x:c r="B1789" s="7" t="str">
        <x:v>AG-01783</x:v>
      </x:c>
      <x:c r="C1789" s="7" t="str">
        <x:v>PEA-A-Y2</x:v>
      </x:c>
      <x:c r="D1789" s="7" t="str">
        <x:v>channel instance</x:v>
      </x:c>
      <x:c r="E1789" s="7" t="str">
        <x:v>CH-PEA-A-Y2-21-2</x:v>
      </x:c>
      <x:c r="F1789" s="7" t="str">
        <x:f>'Channel Instances'!O704</x:f>
        <x:v>OPEN</x:v>
      </x:c>
    </x:row>
    <x:row r="1790">
      <x:c r="B1790" s="7" t="str">
        <x:v>AG-01784</x:v>
      </x:c>
      <x:c r="C1790" s="7" t="str">
        <x:v>PEA-A-Y2</x:v>
      </x:c>
      <x:c r="D1790" s="7" t="str">
        <x:v>channel instance</x:v>
      </x:c>
      <x:c r="E1790" s="7" t="str">
        <x:v>CH-PEA-A-Y2-21-3</x:v>
      </x:c>
      <x:c r="F1790" s="7" t="str">
        <x:f>'Channel Instances'!O705</x:f>
        <x:v>OPEN</x:v>
      </x:c>
    </x:row>
    <x:row r="1791">
      <x:c r="B1791" s="7" t="str">
        <x:v>AG-01785</x:v>
      </x:c>
      <x:c r="C1791" s="7" t="str">
        <x:v>PEA-A-Y2</x:v>
      </x:c>
      <x:c r="D1791" s="7" t="str">
        <x:v>channel instance</x:v>
      </x:c>
      <x:c r="E1791" s="7" t="str">
        <x:v>CH-PEA-A-Y2-21-4</x:v>
      </x:c>
      <x:c r="F1791" s="7" t="str">
        <x:f>'Channel Instances'!O706</x:f>
        <x:v>OPEN</x:v>
      </x:c>
    </x:row>
    <x:row r="1792">
      <x:c r="B1792" s="7" t="str">
        <x:v>AG-01786</x:v>
      </x:c>
      <x:c r="C1792" s="7" t="str">
        <x:v>PEA-A-Y2</x:v>
      </x:c>
      <x:c r="D1792" s="7" t="str">
        <x:v>channel instance</x:v>
      </x:c>
      <x:c r="E1792" s="7" t="str">
        <x:v>CH-PEA-A-Y2-21-5</x:v>
      </x:c>
      <x:c r="F1792" s="7" t="str">
        <x:f>'Channel Instances'!O707</x:f>
        <x:v>OPEN</x:v>
      </x:c>
    </x:row>
    <x:row r="1793">
      <x:c r="B1793" s="7" t="str">
        <x:v>AG-01787</x:v>
      </x:c>
      <x:c r="C1793" s="7" t="str">
        <x:v>PEA-A-Y2</x:v>
      </x:c>
      <x:c r="D1793" s="7" t="str">
        <x:v>channel instance</x:v>
      </x:c>
      <x:c r="E1793" s="7" t="str">
        <x:v>CH-PEA-A-Y2-21-6</x:v>
      </x:c>
      <x:c r="F1793" s="7" t="str">
        <x:f>'Channel Instances'!O708</x:f>
        <x:v>OPEN</x:v>
      </x:c>
    </x:row>
    <x:row r="1794">
      <x:c r="B1794" s="7" t="str">
        <x:v>AG-01788</x:v>
      </x:c>
      <x:c r="C1794" s="7" t="str">
        <x:v>PEA-A-Y2</x:v>
      </x:c>
      <x:c r="D1794" s="7" t="str">
        <x:v>channel instance</x:v>
      </x:c>
      <x:c r="E1794" s="7" t="str">
        <x:v>CH-PEA-A-Y2-22-1</x:v>
      </x:c>
      <x:c r="F1794" s="7" t="str">
        <x:f>'Channel Instances'!O709</x:f>
        <x:v>OPEN</x:v>
      </x:c>
    </x:row>
    <x:row r="1795">
      <x:c r="B1795" s="7" t="str">
        <x:v>AG-01789</x:v>
      </x:c>
      <x:c r="C1795" s="7" t="str">
        <x:v>PEA-A-Y2</x:v>
      </x:c>
      <x:c r="D1795" s="7" t="str">
        <x:v>channel instance</x:v>
      </x:c>
      <x:c r="E1795" s="7" t="str">
        <x:v>CH-PEA-A-Y2-22-2</x:v>
      </x:c>
      <x:c r="F1795" s="7" t="str">
        <x:f>'Channel Instances'!O710</x:f>
        <x:v>OPEN</x:v>
      </x:c>
    </x:row>
    <x:row r="1796">
      <x:c r="B1796" s="7" t="str">
        <x:v>AG-01790</x:v>
      </x:c>
      <x:c r="C1796" s="7" t="str">
        <x:v>PEA-A-Y2</x:v>
      </x:c>
      <x:c r="D1796" s="7" t="str">
        <x:v>channel instance</x:v>
      </x:c>
      <x:c r="E1796" s="7" t="str">
        <x:v>CH-PEA-A-Y2-22-3</x:v>
      </x:c>
      <x:c r="F1796" s="7" t="str">
        <x:f>'Channel Instances'!O711</x:f>
        <x:v>OPEN</x:v>
      </x:c>
    </x:row>
    <x:row r="1797">
      <x:c r="B1797" s="7" t="str">
        <x:v>AG-01791</x:v>
      </x:c>
      <x:c r="C1797" s="7" t="str">
        <x:v>PEA-A-Y2</x:v>
      </x:c>
      <x:c r="D1797" s="7" t="str">
        <x:v>channel instance</x:v>
      </x:c>
      <x:c r="E1797" s="7" t="str">
        <x:v>CH-PEA-A-Y2-22-4</x:v>
      </x:c>
      <x:c r="F1797" s="7" t="str">
        <x:f>'Channel Instances'!O712</x:f>
        <x:v>OPEN</x:v>
      </x:c>
    </x:row>
    <x:row r="1798">
      <x:c r="B1798" s="7" t="str">
        <x:v>AG-01792</x:v>
      </x:c>
      <x:c r="C1798" s="7" t="str">
        <x:v>PEA-A-Y2</x:v>
      </x:c>
      <x:c r="D1798" s="7" t="str">
        <x:v>channel instance</x:v>
      </x:c>
      <x:c r="E1798" s="7" t="str">
        <x:v>CH-PEA-A-Y2-22-5</x:v>
      </x:c>
      <x:c r="F1798" s="7" t="str">
        <x:f>'Channel Instances'!O713</x:f>
        <x:v>OPEN</x:v>
      </x:c>
    </x:row>
    <x:row r="1799">
      <x:c r="B1799" s="7" t="str">
        <x:v>AG-01793</x:v>
      </x:c>
      <x:c r="C1799" s="7" t="str">
        <x:v>PEA-A-Y2</x:v>
      </x:c>
      <x:c r="D1799" s="7" t="str">
        <x:v>channel instance</x:v>
      </x:c>
      <x:c r="E1799" s="7" t="str">
        <x:v>CH-PEA-A-Y2-22-6</x:v>
      </x:c>
      <x:c r="F1799" s="7" t="str">
        <x:f>'Channel Instances'!O714</x:f>
        <x:v>OPEN</x:v>
      </x:c>
    </x:row>
    <x:row r="1800">
      <x:c r="B1800" s="7" t="str">
        <x:v>AG-01794</x:v>
      </x:c>
      <x:c r="C1800" s="7" t="str">
        <x:v>PEA-A-Y2</x:v>
      </x:c>
      <x:c r="D1800" s="7" t="str">
        <x:v>channel instance</x:v>
      </x:c>
      <x:c r="E1800" s="7" t="str">
        <x:v>CH-PEA-A-Y2-23-1</x:v>
      </x:c>
      <x:c r="F1800" s="7" t="str">
        <x:f>'Channel Instances'!O715</x:f>
        <x:v>OPEN</x:v>
      </x:c>
    </x:row>
    <x:row r="1801">
      <x:c r="B1801" s="7" t="str">
        <x:v>AG-01795</x:v>
      </x:c>
      <x:c r="C1801" s="7" t="str">
        <x:v>PEA-A-Y2</x:v>
      </x:c>
      <x:c r="D1801" s="7" t="str">
        <x:v>channel instance</x:v>
      </x:c>
      <x:c r="E1801" s="7" t="str">
        <x:v>CH-PEA-A-Y2-23-2</x:v>
      </x:c>
      <x:c r="F1801" s="7" t="str">
        <x:f>'Channel Instances'!O716</x:f>
        <x:v>OPEN</x:v>
      </x:c>
    </x:row>
    <x:row r="1802">
      <x:c r="B1802" s="7" t="str">
        <x:v>AG-01796</x:v>
      </x:c>
      <x:c r="C1802" s="7" t="str">
        <x:v>PEA-A-Y2</x:v>
      </x:c>
      <x:c r="D1802" s="7" t="str">
        <x:v>channel instance</x:v>
      </x:c>
      <x:c r="E1802" s="7" t="str">
        <x:v>CH-PEA-A-Y2-23-3</x:v>
      </x:c>
      <x:c r="F1802" s="7" t="str">
        <x:f>'Channel Instances'!O717</x:f>
        <x:v>OPEN</x:v>
      </x:c>
    </x:row>
    <x:row r="1803">
      <x:c r="B1803" s="7" t="str">
        <x:v>AG-01797</x:v>
      </x:c>
      <x:c r="C1803" s="7" t="str">
        <x:v>PEA-A-Y2</x:v>
      </x:c>
      <x:c r="D1803" s="7" t="str">
        <x:v>channel instance</x:v>
      </x:c>
      <x:c r="E1803" s="7" t="str">
        <x:v>CH-PEA-A-Y2-23-4</x:v>
      </x:c>
      <x:c r="F1803" s="7" t="str">
        <x:f>'Channel Instances'!O718</x:f>
        <x:v>OPEN</x:v>
      </x:c>
    </x:row>
    <x:row r="1804">
      <x:c r="B1804" s="7" t="str">
        <x:v>AG-01798</x:v>
      </x:c>
      <x:c r="C1804" s="7" t="str">
        <x:v>PEA-A-Y2</x:v>
      </x:c>
      <x:c r="D1804" s="7" t="str">
        <x:v>channel instance</x:v>
      </x:c>
      <x:c r="E1804" s="7" t="str">
        <x:v>CH-PEA-A-Y2-23-5</x:v>
      </x:c>
      <x:c r="F1804" s="7" t="str">
        <x:f>'Channel Instances'!O719</x:f>
        <x:v>OPEN</x:v>
      </x:c>
    </x:row>
    <x:row r="1805">
      <x:c r="B1805" s="7" t="str">
        <x:v>AG-01799</x:v>
      </x:c>
      <x:c r="C1805" s="7" t="str">
        <x:v>PEA-A-Y2</x:v>
      </x:c>
      <x:c r="D1805" s="7" t="str">
        <x:v>channel instance</x:v>
      </x:c>
      <x:c r="E1805" s="7" t="str">
        <x:v>CH-PEA-A-Y2-23-6</x:v>
      </x:c>
      <x:c r="F1805" s="7" t="str">
        <x:f>'Channel Instances'!O720</x:f>
        <x:v>OPEN</x:v>
      </x:c>
    </x:row>
    <x:row r="1806">
      <x:c r="B1806" s="7" t="str">
        <x:v>AG-01800</x:v>
      </x:c>
      <x:c r="C1806" s="7" t="str">
        <x:v>PEA-A-Y2</x:v>
      </x:c>
      <x:c r="D1806" s="7" t="str">
        <x:v>channel instance</x:v>
      </x:c>
      <x:c r="E1806" s="7" t="str">
        <x:v>CH-PEA-A-Y2-24-1</x:v>
      </x:c>
      <x:c r="F1806" s="7" t="str">
        <x:f>'Channel Instances'!O721</x:f>
        <x:v>OPEN</x:v>
      </x:c>
    </x:row>
    <x:row r="1807">
      <x:c r="B1807" s="7" t="str">
        <x:v>AG-01801</x:v>
      </x:c>
      <x:c r="C1807" s="7" t="str">
        <x:v>PEA-A-Y2</x:v>
      </x:c>
      <x:c r="D1807" s="7" t="str">
        <x:v>channel instance</x:v>
      </x:c>
      <x:c r="E1807" s="7" t="str">
        <x:v>CH-PEA-A-Y2-24-2</x:v>
      </x:c>
      <x:c r="F1807" s="7" t="str">
        <x:f>'Channel Instances'!O722</x:f>
        <x:v>OPEN</x:v>
      </x:c>
    </x:row>
    <x:row r="1808">
      <x:c r="B1808" s="7" t="str">
        <x:v>AG-01802</x:v>
      </x:c>
      <x:c r="C1808" s="7" t="str">
        <x:v>PEA-A-Y2</x:v>
      </x:c>
      <x:c r="D1808" s="7" t="str">
        <x:v>channel instance</x:v>
      </x:c>
      <x:c r="E1808" s="7" t="str">
        <x:v>CH-PEA-A-Y2-24-3</x:v>
      </x:c>
      <x:c r="F1808" s="7" t="str">
        <x:f>'Channel Instances'!O723</x:f>
        <x:v>OPEN</x:v>
      </x:c>
    </x:row>
    <x:row r="1809">
      <x:c r="B1809" s="7" t="str">
        <x:v>AG-01803</x:v>
      </x:c>
      <x:c r="C1809" s="7" t="str">
        <x:v>PEA-A-Y2</x:v>
      </x:c>
      <x:c r="D1809" s="7" t="str">
        <x:v>channel instance</x:v>
      </x:c>
      <x:c r="E1809" s="7" t="str">
        <x:v>CH-PEA-A-Y2-24-4</x:v>
      </x:c>
      <x:c r="F1809" s="7" t="str">
        <x:f>'Channel Instances'!O724</x:f>
        <x:v>OPEN</x:v>
      </x:c>
    </x:row>
    <x:row r="1810">
      <x:c r="B1810" s="7" t="str">
        <x:v>AG-01804</x:v>
      </x:c>
      <x:c r="C1810" s="7" t="str">
        <x:v>PEA-A-Y2</x:v>
      </x:c>
      <x:c r="D1810" s="7" t="str">
        <x:v>channel instance</x:v>
      </x:c>
      <x:c r="E1810" s="7" t="str">
        <x:v>CH-PEA-A-Y2-24-5</x:v>
      </x:c>
      <x:c r="F1810" s="7" t="str">
        <x:f>'Channel Instances'!O725</x:f>
        <x:v>OPEN</x:v>
      </x:c>
    </x:row>
    <x:row r="1811">
      <x:c r="B1811" s="7" t="str">
        <x:v>AG-01805</x:v>
      </x:c>
      <x:c r="C1811" s="7" t="str">
        <x:v>PEA-A-Y2</x:v>
      </x:c>
      <x:c r="D1811" s="7" t="str">
        <x:v>channel instance</x:v>
      </x:c>
      <x:c r="E1811" s="7" t="str">
        <x:v>CH-PEA-A-Y2-24-6</x:v>
      </x:c>
      <x:c r="F1811" s="7" t="str">
        <x:f>'Channel Instances'!O726</x:f>
        <x:v>OPEN</x:v>
      </x:c>
    </x:row>
    <x:row r="1812">
      <x:c r="B1812" s="7" t="str">
        <x:v>AG-01806</x:v>
      </x:c>
      <x:c r="C1812" s="7" t="str">
        <x:v>PEA-A-Y2</x:v>
      </x:c>
      <x:c r="D1812" s="7" t="str">
        <x:v>factory calibration</x:v>
      </x:c>
      <x:c r="E1812" s="7" t="str">
        <x:v>CAL-CH-PEA-A-Y2-01-1</x:v>
      </x:c>
      <x:c r="F1812" s="7" t="str">
        <x:f>'Calibration Records'!M583</x:f>
        <x:v>OPEN</x:v>
      </x:c>
    </x:row>
    <x:row r="1813">
      <x:c r="B1813" s="7" t="str">
        <x:v>AG-01807</x:v>
      </x:c>
      <x:c r="C1813" s="7" t="str">
        <x:v>PEA-A-Y2</x:v>
      </x:c>
      <x:c r="D1813" s="7" t="str">
        <x:v>factory calibration</x:v>
      </x:c>
      <x:c r="E1813" s="7" t="str">
        <x:v>CAL-CH-PEA-A-Y2-01-2</x:v>
      </x:c>
      <x:c r="F1813" s="7" t="str">
        <x:f>'Calibration Records'!M584</x:f>
        <x:v>OPEN</x:v>
      </x:c>
    </x:row>
    <x:row r="1814">
      <x:c r="B1814" s="7" t="str">
        <x:v>AG-01808</x:v>
      </x:c>
      <x:c r="C1814" s="7" t="str">
        <x:v>PEA-A-Y2</x:v>
      </x:c>
      <x:c r="D1814" s="7" t="str">
        <x:v>factory calibration</x:v>
      </x:c>
      <x:c r="E1814" s="7" t="str">
        <x:v>CAL-CH-PEA-A-Y2-01-3</x:v>
      </x:c>
      <x:c r="F1814" s="7" t="str">
        <x:f>'Calibration Records'!M585</x:f>
        <x:v>OPEN</x:v>
      </x:c>
    </x:row>
    <x:row r="1815">
      <x:c r="B1815" s="7" t="str">
        <x:v>AG-01809</x:v>
      </x:c>
      <x:c r="C1815" s="7" t="str">
        <x:v>PEA-A-Y2</x:v>
      </x:c>
      <x:c r="D1815" s="7" t="str">
        <x:v>factory calibration</x:v>
      </x:c>
      <x:c r="E1815" s="7" t="str">
        <x:v>CAL-CH-PEA-A-Y2-01-4</x:v>
      </x:c>
      <x:c r="F1815" s="7" t="str">
        <x:f>'Calibration Records'!M586</x:f>
        <x:v>OPEN</x:v>
      </x:c>
    </x:row>
    <x:row r="1816">
      <x:c r="B1816" s="7" t="str">
        <x:v>AG-01810</x:v>
      </x:c>
      <x:c r="C1816" s="7" t="str">
        <x:v>PEA-A-Y2</x:v>
      </x:c>
      <x:c r="D1816" s="7" t="str">
        <x:v>factory calibration</x:v>
      </x:c>
      <x:c r="E1816" s="7" t="str">
        <x:v>CAL-CH-PEA-A-Y2-01-5</x:v>
      </x:c>
      <x:c r="F1816" s="7" t="str">
        <x:f>'Calibration Records'!M587</x:f>
        <x:v>OPEN</x:v>
      </x:c>
    </x:row>
    <x:row r="1817">
      <x:c r="B1817" s="7" t="str">
        <x:v>AG-01811</x:v>
      </x:c>
      <x:c r="C1817" s="7" t="str">
        <x:v>PEA-A-Y2</x:v>
      </x:c>
      <x:c r="D1817" s="7" t="str">
        <x:v>factory calibration</x:v>
      </x:c>
      <x:c r="E1817" s="7" t="str">
        <x:v>CAL-CH-PEA-A-Y2-01-6</x:v>
      </x:c>
      <x:c r="F1817" s="7" t="str">
        <x:f>'Calibration Records'!M588</x:f>
        <x:v>OPEN</x:v>
      </x:c>
    </x:row>
    <x:row r="1818">
      <x:c r="B1818" s="7" t="str">
        <x:v>AG-01812</x:v>
      </x:c>
      <x:c r="C1818" s="7" t="str">
        <x:v>PEA-A-Y2</x:v>
      </x:c>
      <x:c r="D1818" s="7" t="str">
        <x:v>factory calibration</x:v>
      </x:c>
      <x:c r="E1818" s="7" t="str">
        <x:v>CAL-CH-PEA-A-Y2-02-1</x:v>
      </x:c>
      <x:c r="F1818" s="7" t="str">
        <x:f>'Calibration Records'!M589</x:f>
        <x:v>OPEN</x:v>
      </x:c>
    </x:row>
    <x:row r="1819">
      <x:c r="B1819" s="7" t="str">
        <x:v>AG-01813</x:v>
      </x:c>
      <x:c r="C1819" s="7" t="str">
        <x:v>PEA-A-Y2</x:v>
      </x:c>
      <x:c r="D1819" s="7" t="str">
        <x:v>factory calibration</x:v>
      </x:c>
      <x:c r="E1819" s="7" t="str">
        <x:v>CAL-CH-PEA-A-Y2-02-2</x:v>
      </x:c>
      <x:c r="F1819" s="7" t="str">
        <x:f>'Calibration Records'!M590</x:f>
        <x:v>OPEN</x:v>
      </x:c>
    </x:row>
    <x:row r="1820">
      <x:c r="B1820" s="7" t="str">
        <x:v>AG-01814</x:v>
      </x:c>
      <x:c r="C1820" s="7" t="str">
        <x:v>PEA-A-Y2</x:v>
      </x:c>
      <x:c r="D1820" s="7" t="str">
        <x:v>factory calibration</x:v>
      </x:c>
      <x:c r="E1820" s="7" t="str">
        <x:v>CAL-CH-PEA-A-Y2-02-3</x:v>
      </x:c>
      <x:c r="F1820" s="7" t="str">
        <x:f>'Calibration Records'!M591</x:f>
        <x:v>OPEN</x:v>
      </x:c>
    </x:row>
    <x:row r="1821">
      <x:c r="B1821" s="7" t="str">
        <x:v>AG-01815</x:v>
      </x:c>
      <x:c r="C1821" s="7" t="str">
        <x:v>PEA-A-Y2</x:v>
      </x:c>
      <x:c r="D1821" s="7" t="str">
        <x:v>factory calibration</x:v>
      </x:c>
      <x:c r="E1821" s="7" t="str">
        <x:v>CAL-CH-PEA-A-Y2-02-4</x:v>
      </x:c>
      <x:c r="F1821" s="7" t="str">
        <x:f>'Calibration Records'!M592</x:f>
        <x:v>OPEN</x:v>
      </x:c>
    </x:row>
    <x:row r="1822">
      <x:c r="B1822" s="7" t="str">
        <x:v>AG-01816</x:v>
      </x:c>
      <x:c r="C1822" s="7" t="str">
        <x:v>PEA-A-Y2</x:v>
      </x:c>
      <x:c r="D1822" s="7" t="str">
        <x:v>factory calibration</x:v>
      </x:c>
      <x:c r="E1822" s="7" t="str">
        <x:v>CAL-CH-PEA-A-Y2-02-5</x:v>
      </x:c>
      <x:c r="F1822" s="7" t="str">
        <x:f>'Calibration Records'!M593</x:f>
        <x:v>OPEN</x:v>
      </x:c>
    </x:row>
    <x:row r="1823">
      <x:c r="B1823" s="7" t="str">
        <x:v>AG-01817</x:v>
      </x:c>
      <x:c r="C1823" s="7" t="str">
        <x:v>PEA-A-Y2</x:v>
      </x:c>
      <x:c r="D1823" s="7" t="str">
        <x:v>factory calibration</x:v>
      </x:c>
      <x:c r="E1823" s="7" t="str">
        <x:v>CAL-CH-PEA-A-Y2-02-6</x:v>
      </x:c>
      <x:c r="F1823" s="7" t="str">
        <x:f>'Calibration Records'!M594</x:f>
        <x:v>OPEN</x:v>
      </x:c>
    </x:row>
    <x:row r="1824">
      <x:c r="B1824" s="7" t="str">
        <x:v>AG-01818</x:v>
      </x:c>
      <x:c r="C1824" s="7" t="str">
        <x:v>PEA-A-Y2</x:v>
      </x:c>
      <x:c r="D1824" s="7" t="str">
        <x:v>factory calibration</x:v>
      </x:c>
      <x:c r="E1824" s="7" t="str">
        <x:v>CAL-CH-PEA-A-Y2-03-1</x:v>
      </x:c>
      <x:c r="F1824" s="7" t="str">
        <x:f>'Calibration Records'!M595</x:f>
        <x:v>OPEN</x:v>
      </x:c>
    </x:row>
    <x:row r="1825">
      <x:c r="B1825" s="7" t="str">
        <x:v>AG-01819</x:v>
      </x:c>
      <x:c r="C1825" s="7" t="str">
        <x:v>PEA-A-Y2</x:v>
      </x:c>
      <x:c r="D1825" s="7" t="str">
        <x:v>factory calibration</x:v>
      </x:c>
      <x:c r="E1825" s="7" t="str">
        <x:v>CAL-CH-PEA-A-Y2-03-2</x:v>
      </x:c>
      <x:c r="F1825" s="7" t="str">
        <x:f>'Calibration Records'!M596</x:f>
        <x:v>OPEN</x:v>
      </x:c>
    </x:row>
    <x:row r="1826">
      <x:c r="B1826" s="7" t="str">
        <x:v>AG-01820</x:v>
      </x:c>
      <x:c r="C1826" s="7" t="str">
        <x:v>PEA-A-Y2</x:v>
      </x:c>
      <x:c r="D1826" s="7" t="str">
        <x:v>factory calibration</x:v>
      </x:c>
      <x:c r="E1826" s="7" t="str">
        <x:v>CAL-CH-PEA-A-Y2-03-3</x:v>
      </x:c>
      <x:c r="F1826" s="7" t="str">
        <x:f>'Calibration Records'!M597</x:f>
        <x:v>OPEN</x:v>
      </x:c>
    </x:row>
    <x:row r="1827">
      <x:c r="B1827" s="7" t="str">
        <x:v>AG-01821</x:v>
      </x:c>
      <x:c r="C1827" s="7" t="str">
        <x:v>PEA-A-Y2</x:v>
      </x:c>
      <x:c r="D1827" s="7" t="str">
        <x:v>factory calibration</x:v>
      </x:c>
      <x:c r="E1827" s="7" t="str">
        <x:v>CAL-CH-PEA-A-Y2-03-4</x:v>
      </x:c>
      <x:c r="F1827" s="7" t="str">
        <x:f>'Calibration Records'!M598</x:f>
        <x:v>OPEN</x:v>
      </x:c>
    </x:row>
    <x:row r="1828">
      <x:c r="B1828" s="7" t="str">
        <x:v>AG-01822</x:v>
      </x:c>
      <x:c r="C1828" s="7" t="str">
        <x:v>PEA-A-Y2</x:v>
      </x:c>
      <x:c r="D1828" s="7" t="str">
        <x:v>factory calibration</x:v>
      </x:c>
      <x:c r="E1828" s="7" t="str">
        <x:v>CAL-CH-PEA-A-Y2-03-5</x:v>
      </x:c>
      <x:c r="F1828" s="7" t="str">
        <x:f>'Calibration Records'!M599</x:f>
        <x:v>OPEN</x:v>
      </x:c>
    </x:row>
    <x:row r="1829">
      <x:c r="B1829" s="7" t="str">
        <x:v>AG-01823</x:v>
      </x:c>
      <x:c r="C1829" s="7" t="str">
        <x:v>PEA-A-Y2</x:v>
      </x:c>
      <x:c r="D1829" s="7" t="str">
        <x:v>factory calibration</x:v>
      </x:c>
      <x:c r="E1829" s="7" t="str">
        <x:v>CAL-CH-PEA-A-Y2-03-6</x:v>
      </x:c>
      <x:c r="F1829" s="7" t="str">
        <x:f>'Calibration Records'!M600</x:f>
        <x:v>OPEN</x:v>
      </x:c>
    </x:row>
    <x:row r="1830">
      <x:c r="B1830" s="7" t="str">
        <x:v>AG-01824</x:v>
      </x:c>
      <x:c r="C1830" s="7" t="str">
        <x:v>PEA-A-Y2</x:v>
      </x:c>
      <x:c r="D1830" s="7" t="str">
        <x:v>factory calibration</x:v>
      </x:c>
      <x:c r="E1830" s="7" t="str">
        <x:v>CAL-CH-PEA-A-Y2-04-1</x:v>
      </x:c>
      <x:c r="F1830" s="7" t="str">
        <x:f>'Calibration Records'!M601</x:f>
        <x:v>OPEN</x:v>
      </x:c>
    </x:row>
    <x:row r="1831">
      <x:c r="B1831" s="7" t="str">
        <x:v>AG-01825</x:v>
      </x:c>
      <x:c r="C1831" s="7" t="str">
        <x:v>PEA-A-Y2</x:v>
      </x:c>
      <x:c r="D1831" s="7" t="str">
        <x:v>factory calibration</x:v>
      </x:c>
      <x:c r="E1831" s="7" t="str">
        <x:v>CAL-CH-PEA-A-Y2-04-2</x:v>
      </x:c>
      <x:c r="F1831" s="7" t="str">
        <x:f>'Calibration Records'!M602</x:f>
        <x:v>OPEN</x:v>
      </x:c>
    </x:row>
    <x:row r="1832">
      <x:c r="B1832" s="7" t="str">
        <x:v>AG-01826</x:v>
      </x:c>
      <x:c r="C1832" s="7" t="str">
        <x:v>PEA-A-Y2</x:v>
      </x:c>
      <x:c r="D1832" s="7" t="str">
        <x:v>factory calibration</x:v>
      </x:c>
      <x:c r="E1832" s="7" t="str">
        <x:v>CAL-CH-PEA-A-Y2-04-3</x:v>
      </x:c>
      <x:c r="F1832" s="7" t="str">
        <x:f>'Calibration Records'!M603</x:f>
        <x:v>OPEN</x:v>
      </x:c>
    </x:row>
    <x:row r="1833">
      <x:c r="B1833" s="7" t="str">
        <x:v>AG-01827</x:v>
      </x:c>
      <x:c r="C1833" s="7" t="str">
        <x:v>PEA-A-Y2</x:v>
      </x:c>
      <x:c r="D1833" s="7" t="str">
        <x:v>factory calibration</x:v>
      </x:c>
      <x:c r="E1833" s="7" t="str">
        <x:v>CAL-CH-PEA-A-Y2-04-4</x:v>
      </x:c>
      <x:c r="F1833" s="7" t="str">
        <x:f>'Calibration Records'!M604</x:f>
        <x:v>OPEN</x:v>
      </x:c>
    </x:row>
    <x:row r="1834">
      <x:c r="B1834" s="7" t="str">
        <x:v>AG-01828</x:v>
      </x:c>
      <x:c r="C1834" s="7" t="str">
        <x:v>PEA-A-Y2</x:v>
      </x:c>
      <x:c r="D1834" s="7" t="str">
        <x:v>factory calibration</x:v>
      </x:c>
      <x:c r="E1834" s="7" t="str">
        <x:v>CAL-CH-PEA-A-Y2-04-5</x:v>
      </x:c>
      <x:c r="F1834" s="7" t="str">
        <x:f>'Calibration Records'!M605</x:f>
        <x:v>OPEN</x:v>
      </x:c>
    </x:row>
    <x:row r="1835">
      <x:c r="B1835" s="7" t="str">
        <x:v>AG-01829</x:v>
      </x:c>
      <x:c r="C1835" s="7" t="str">
        <x:v>PEA-A-Y2</x:v>
      </x:c>
      <x:c r="D1835" s="7" t="str">
        <x:v>factory calibration</x:v>
      </x:c>
      <x:c r="E1835" s="7" t="str">
        <x:v>CAL-CH-PEA-A-Y2-04-6</x:v>
      </x:c>
      <x:c r="F1835" s="7" t="str">
        <x:f>'Calibration Records'!M606</x:f>
        <x:v>OPEN</x:v>
      </x:c>
    </x:row>
    <x:row r="1836">
      <x:c r="B1836" s="7" t="str">
        <x:v>AG-01830</x:v>
      </x:c>
      <x:c r="C1836" s="7" t="str">
        <x:v>PEA-A-Y2</x:v>
      </x:c>
      <x:c r="D1836" s="7" t="str">
        <x:v>factory calibration</x:v>
      </x:c>
      <x:c r="E1836" s="7" t="str">
        <x:v>CAL-CH-PEA-A-Y2-05-1</x:v>
      </x:c>
      <x:c r="F1836" s="7" t="str">
        <x:f>'Calibration Records'!M607</x:f>
        <x:v>OPEN</x:v>
      </x:c>
    </x:row>
    <x:row r="1837">
      <x:c r="B1837" s="7" t="str">
        <x:v>AG-01831</x:v>
      </x:c>
      <x:c r="C1837" s="7" t="str">
        <x:v>PEA-A-Y2</x:v>
      </x:c>
      <x:c r="D1837" s="7" t="str">
        <x:v>factory calibration</x:v>
      </x:c>
      <x:c r="E1837" s="7" t="str">
        <x:v>CAL-CH-PEA-A-Y2-05-2</x:v>
      </x:c>
      <x:c r="F1837" s="7" t="str">
        <x:f>'Calibration Records'!M608</x:f>
        <x:v>OPEN</x:v>
      </x:c>
    </x:row>
    <x:row r="1838">
      <x:c r="B1838" s="7" t="str">
        <x:v>AG-01832</x:v>
      </x:c>
      <x:c r="C1838" s="7" t="str">
        <x:v>PEA-A-Y2</x:v>
      </x:c>
      <x:c r="D1838" s="7" t="str">
        <x:v>factory calibration</x:v>
      </x:c>
      <x:c r="E1838" s="7" t="str">
        <x:v>CAL-CH-PEA-A-Y2-05-3</x:v>
      </x:c>
      <x:c r="F1838" s="7" t="str">
        <x:f>'Calibration Records'!M609</x:f>
        <x:v>OPEN</x:v>
      </x:c>
    </x:row>
    <x:row r="1839">
      <x:c r="B1839" s="7" t="str">
        <x:v>AG-01833</x:v>
      </x:c>
      <x:c r="C1839" s="7" t="str">
        <x:v>PEA-A-Y2</x:v>
      </x:c>
      <x:c r="D1839" s="7" t="str">
        <x:v>factory calibration</x:v>
      </x:c>
      <x:c r="E1839" s="7" t="str">
        <x:v>CAL-CH-PEA-A-Y2-05-4</x:v>
      </x:c>
      <x:c r="F1839" s="7" t="str">
        <x:f>'Calibration Records'!M610</x:f>
        <x:v>OPEN</x:v>
      </x:c>
    </x:row>
    <x:row r="1840">
      <x:c r="B1840" s="7" t="str">
        <x:v>AG-01834</x:v>
      </x:c>
      <x:c r="C1840" s="7" t="str">
        <x:v>PEA-A-Y2</x:v>
      </x:c>
      <x:c r="D1840" s="7" t="str">
        <x:v>factory calibration</x:v>
      </x:c>
      <x:c r="E1840" s="7" t="str">
        <x:v>CAL-CH-PEA-A-Y2-05-5</x:v>
      </x:c>
      <x:c r="F1840" s="7" t="str">
        <x:f>'Calibration Records'!M611</x:f>
        <x:v>OPEN</x:v>
      </x:c>
    </x:row>
    <x:row r="1841">
      <x:c r="B1841" s="7" t="str">
        <x:v>AG-01835</x:v>
      </x:c>
      <x:c r="C1841" s="7" t="str">
        <x:v>PEA-A-Y2</x:v>
      </x:c>
      <x:c r="D1841" s="7" t="str">
        <x:v>factory calibration</x:v>
      </x:c>
      <x:c r="E1841" s="7" t="str">
        <x:v>CAL-CH-PEA-A-Y2-05-6</x:v>
      </x:c>
      <x:c r="F1841" s="7" t="str">
        <x:f>'Calibration Records'!M612</x:f>
        <x:v>OPEN</x:v>
      </x:c>
    </x:row>
    <x:row r="1842">
      <x:c r="B1842" s="7" t="str">
        <x:v>AG-01836</x:v>
      </x:c>
      <x:c r="C1842" s="7" t="str">
        <x:v>PEA-A-Y2</x:v>
      </x:c>
      <x:c r="D1842" s="7" t="str">
        <x:v>factory calibration</x:v>
      </x:c>
      <x:c r="E1842" s="7" t="str">
        <x:v>CAL-CH-PEA-A-Y2-06-1</x:v>
      </x:c>
      <x:c r="F1842" s="7" t="str">
        <x:f>'Calibration Records'!M613</x:f>
        <x:v>OPEN</x:v>
      </x:c>
    </x:row>
    <x:row r="1843">
      <x:c r="B1843" s="7" t="str">
        <x:v>AG-01837</x:v>
      </x:c>
      <x:c r="C1843" s="7" t="str">
        <x:v>PEA-A-Y2</x:v>
      </x:c>
      <x:c r="D1843" s="7" t="str">
        <x:v>factory calibration</x:v>
      </x:c>
      <x:c r="E1843" s="7" t="str">
        <x:v>CAL-CH-PEA-A-Y2-06-2</x:v>
      </x:c>
      <x:c r="F1843" s="7" t="str">
        <x:f>'Calibration Records'!M614</x:f>
        <x:v>OPEN</x:v>
      </x:c>
    </x:row>
    <x:row r="1844">
      <x:c r="B1844" s="7" t="str">
        <x:v>AG-01838</x:v>
      </x:c>
      <x:c r="C1844" s="7" t="str">
        <x:v>PEA-A-Y2</x:v>
      </x:c>
      <x:c r="D1844" s="7" t="str">
        <x:v>factory calibration</x:v>
      </x:c>
      <x:c r="E1844" s="7" t="str">
        <x:v>CAL-CH-PEA-A-Y2-06-3</x:v>
      </x:c>
      <x:c r="F1844" s="7" t="str">
        <x:f>'Calibration Records'!M615</x:f>
        <x:v>OPEN</x:v>
      </x:c>
    </x:row>
    <x:row r="1845">
      <x:c r="B1845" s="7" t="str">
        <x:v>AG-01839</x:v>
      </x:c>
      <x:c r="C1845" s="7" t="str">
        <x:v>PEA-A-Y2</x:v>
      </x:c>
      <x:c r="D1845" s="7" t="str">
        <x:v>factory calibration</x:v>
      </x:c>
      <x:c r="E1845" s="7" t="str">
        <x:v>CAL-CH-PEA-A-Y2-06-4</x:v>
      </x:c>
      <x:c r="F1845" s="7" t="str">
        <x:f>'Calibration Records'!M616</x:f>
        <x:v>OPEN</x:v>
      </x:c>
    </x:row>
    <x:row r="1846">
      <x:c r="B1846" s="7" t="str">
        <x:v>AG-01840</x:v>
      </x:c>
      <x:c r="C1846" s="7" t="str">
        <x:v>PEA-A-Y2</x:v>
      </x:c>
      <x:c r="D1846" s="7" t="str">
        <x:v>factory calibration</x:v>
      </x:c>
      <x:c r="E1846" s="7" t="str">
        <x:v>CAL-CH-PEA-A-Y2-06-5</x:v>
      </x:c>
      <x:c r="F1846" s="7" t="str">
        <x:f>'Calibration Records'!M617</x:f>
        <x:v>OPEN</x:v>
      </x:c>
    </x:row>
    <x:row r="1847">
      <x:c r="B1847" s="7" t="str">
        <x:v>AG-01841</x:v>
      </x:c>
      <x:c r="C1847" s="7" t="str">
        <x:v>PEA-A-Y2</x:v>
      </x:c>
      <x:c r="D1847" s="7" t="str">
        <x:v>factory calibration</x:v>
      </x:c>
      <x:c r="E1847" s="7" t="str">
        <x:v>CAL-CH-PEA-A-Y2-06-6</x:v>
      </x:c>
      <x:c r="F1847" s="7" t="str">
        <x:f>'Calibration Records'!M618</x:f>
        <x:v>OPEN</x:v>
      </x:c>
    </x:row>
    <x:row r="1848">
      <x:c r="B1848" s="7" t="str">
        <x:v>AG-01842</x:v>
      </x:c>
      <x:c r="C1848" s="7" t="str">
        <x:v>PEA-A-Y2</x:v>
      </x:c>
      <x:c r="D1848" s="7" t="str">
        <x:v>factory calibration</x:v>
      </x:c>
      <x:c r="E1848" s="7" t="str">
        <x:v>CAL-CH-PEA-A-Y2-07-1</x:v>
      </x:c>
      <x:c r="F1848" s="7" t="str">
        <x:f>'Calibration Records'!M619</x:f>
        <x:v>OPEN</x:v>
      </x:c>
    </x:row>
    <x:row r="1849">
      <x:c r="B1849" s="7" t="str">
        <x:v>AG-01843</x:v>
      </x:c>
      <x:c r="C1849" s="7" t="str">
        <x:v>PEA-A-Y2</x:v>
      </x:c>
      <x:c r="D1849" s="7" t="str">
        <x:v>factory calibration</x:v>
      </x:c>
      <x:c r="E1849" s="7" t="str">
        <x:v>CAL-CH-PEA-A-Y2-07-2</x:v>
      </x:c>
      <x:c r="F1849" s="7" t="str">
        <x:f>'Calibration Records'!M620</x:f>
        <x:v>OPEN</x:v>
      </x:c>
    </x:row>
    <x:row r="1850">
      <x:c r="B1850" s="7" t="str">
        <x:v>AG-01844</x:v>
      </x:c>
      <x:c r="C1850" s="7" t="str">
        <x:v>PEA-A-Y2</x:v>
      </x:c>
      <x:c r="D1850" s="7" t="str">
        <x:v>factory calibration</x:v>
      </x:c>
      <x:c r="E1850" s="7" t="str">
        <x:v>CAL-CH-PEA-A-Y2-07-3</x:v>
      </x:c>
      <x:c r="F1850" s="7" t="str">
        <x:f>'Calibration Records'!M621</x:f>
        <x:v>OPEN</x:v>
      </x:c>
    </x:row>
    <x:row r="1851">
      <x:c r="B1851" s="7" t="str">
        <x:v>AG-01845</x:v>
      </x:c>
      <x:c r="C1851" s="7" t="str">
        <x:v>PEA-A-Y2</x:v>
      </x:c>
      <x:c r="D1851" s="7" t="str">
        <x:v>factory calibration</x:v>
      </x:c>
      <x:c r="E1851" s="7" t="str">
        <x:v>CAL-CH-PEA-A-Y2-07-4</x:v>
      </x:c>
      <x:c r="F1851" s="7" t="str">
        <x:f>'Calibration Records'!M622</x:f>
        <x:v>OPEN</x:v>
      </x:c>
    </x:row>
    <x:row r="1852">
      <x:c r="B1852" s="7" t="str">
        <x:v>AG-01846</x:v>
      </x:c>
      <x:c r="C1852" s="7" t="str">
        <x:v>PEA-A-Y2</x:v>
      </x:c>
      <x:c r="D1852" s="7" t="str">
        <x:v>factory calibration</x:v>
      </x:c>
      <x:c r="E1852" s="7" t="str">
        <x:v>CAL-CH-PEA-A-Y2-07-5</x:v>
      </x:c>
      <x:c r="F1852" s="7" t="str">
        <x:f>'Calibration Records'!M623</x:f>
        <x:v>OPEN</x:v>
      </x:c>
    </x:row>
    <x:row r="1853">
      <x:c r="B1853" s="7" t="str">
        <x:v>AG-01847</x:v>
      </x:c>
      <x:c r="C1853" s="7" t="str">
        <x:v>PEA-A-Y2</x:v>
      </x:c>
      <x:c r="D1853" s="7" t="str">
        <x:v>factory calibration</x:v>
      </x:c>
      <x:c r="E1853" s="7" t="str">
        <x:v>CAL-CH-PEA-A-Y2-07-6</x:v>
      </x:c>
      <x:c r="F1853" s="7" t="str">
        <x:f>'Calibration Records'!M624</x:f>
        <x:v>OPEN</x:v>
      </x:c>
    </x:row>
    <x:row r="1854">
      <x:c r="B1854" s="7" t="str">
        <x:v>AG-01848</x:v>
      </x:c>
      <x:c r="C1854" s="7" t="str">
        <x:v>PEA-A-Y2</x:v>
      </x:c>
      <x:c r="D1854" s="7" t="str">
        <x:v>factory calibration</x:v>
      </x:c>
      <x:c r="E1854" s="7" t="str">
        <x:v>CAL-CH-PEA-A-Y2-08-1</x:v>
      </x:c>
      <x:c r="F1854" s="7" t="str">
        <x:f>'Calibration Records'!M625</x:f>
        <x:v>OPEN</x:v>
      </x:c>
    </x:row>
    <x:row r="1855">
      <x:c r="B1855" s="7" t="str">
        <x:v>AG-01849</x:v>
      </x:c>
      <x:c r="C1855" s="7" t="str">
        <x:v>PEA-A-Y2</x:v>
      </x:c>
      <x:c r="D1855" s="7" t="str">
        <x:v>factory calibration</x:v>
      </x:c>
      <x:c r="E1855" s="7" t="str">
        <x:v>CAL-CH-PEA-A-Y2-08-2</x:v>
      </x:c>
      <x:c r="F1855" s="7" t="str">
        <x:f>'Calibration Records'!M626</x:f>
        <x:v>OPEN</x:v>
      </x:c>
    </x:row>
    <x:row r="1856">
      <x:c r="B1856" s="7" t="str">
        <x:v>AG-01850</x:v>
      </x:c>
      <x:c r="C1856" s="7" t="str">
        <x:v>PEA-A-Y2</x:v>
      </x:c>
      <x:c r="D1856" s="7" t="str">
        <x:v>factory calibration</x:v>
      </x:c>
      <x:c r="E1856" s="7" t="str">
        <x:v>CAL-CH-PEA-A-Y2-08-3</x:v>
      </x:c>
      <x:c r="F1856" s="7" t="str">
        <x:f>'Calibration Records'!M627</x:f>
        <x:v>OPEN</x:v>
      </x:c>
    </x:row>
    <x:row r="1857">
      <x:c r="B1857" s="7" t="str">
        <x:v>AG-01851</x:v>
      </x:c>
      <x:c r="C1857" s="7" t="str">
        <x:v>PEA-A-Y2</x:v>
      </x:c>
      <x:c r="D1857" s="7" t="str">
        <x:v>factory calibration</x:v>
      </x:c>
      <x:c r="E1857" s="7" t="str">
        <x:v>CAL-CH-PEA-A-Y2-08-4</x:v>
      </x:c>
      <x:c r="F1857" s="7" t="str">
        <x:f>'Calibration Records'!M628</x:f>
        <x:v>OPEN</x:v>
      </x:c>
    </x:row>
    <x:row r="1858">
      <x:c r="B1858" s="7" t="str">
        <x:v>AG-01852</x:v>
      </x:c>
      <x:c r="C1858" s="7" t="str">
        <x:v>PEA-A-Y2</x:v>
      </x:c>
      <x:c r="D1858" s="7" t="str">
        <x:v>factory calibration</x:v>
      </x:c>
      <x:c r="E1858" s="7" t="str">
        <x:v>CAL-CH-PEA-A-Y2-08-5</x:v>
      </x:c>
      <x:c r="F1858" s="7" t="str">
        <x:f>'Calibration Records'!M629</x:f>
        <x:v>OPEN</x:v>
      </x:c>
    </x:row>
    <x:row r="1859">
      <x:c r="B1859" s="7" t="str">
        <x:v>AG-01853</x:v>
      </x:c>
      <x:c r="C1859" s="7" t="str">
        <x:v>PEA-A-Y2</x:v>
      </x:c>
      <x:c r="D1859" s="7" t="str">
        <x:v>factory calibration</x:v>
      </x:c>
      <x:c r="E1859" s="7" t="str">
        <x:v>CAL-CH-PEA-A-Y2-08-6</x:v>
      </x:c>
      <x:c r="F1859" s="7" t="str">
        <x:f>'Calibration Records'!M630</x:f>
        <x:v>OPEN</x:v>
      </x:c>
    </x:row>
    <x:row r="1860">
      <x:c r="B1860" s="7" t="str">
        <x:v>AG-01854</x:v>
      </x:c>
      <x:c r="C1860" s="7" t="str">
        <x:v>PEA-A-Y2</x:v>
      </x:c>
      <x:c r="D1860" s="7" t="str">
        <x:v>factory calibration</x:v>
      </x:c>
      <x:c r="E1860" s="7" t="str">
        <x:v>CAL-CH-PEA-A-Y2-09-1</x:v>
      </x:c>
      <x:c r="F1860" s="7" t="str">
        <x:f>'Calibration Records'!M631</x:f>
        <x:v>OPEN</x:v>
      </x:c>
    </x:row>
    <x:row r="1861">
      <x:c r="B1861" s="7" t="str">
        <x:v>AG-01855</x:v>
      </x:c>
      <x:c r="C1861" s="7" t="str">
        <x:v>PEA-A-Y2</x:v>
      </x:c>
      <x:c r="D1861" s="7" t="str">
        <x:v>factory calibration</x:v>
      </x:c>
      <x:c r="E1861" s="7" t="str">
        <x:v>CAL-CH-PEA-A-Y2-09-2</x:v>
      </x:c>
      <x:c r="F1861" s="7" t="str">
        <x:f>'Calibration Records'!M632</x:f>
        <x:v>OPEN</x:v>
      </x:c>
    </x:row>
    <x:row r="1862">
      <x:c r="B1862" s="7" t="str">
        <x:v>AG-01856</x:v>
      </x:c>
      <x:c r="C1862" s="7" t="str">
        <x:v>PEA-A-Y2</x:v>
      </x:c>
      <x:c r="D1862" s="7" t="str">
        <x:v>factory calibration</x:v>
      </x:c>
      <x:c r="E1862" s="7" t="str">
        <x:v>CAL-CH-PEA-A-Y2-09-3</x:v>
      </x:c>
      <x:c r="F1862" s="7" t="str">
        <x:f>'Calibration Records'!M633</x:f>
        <x:v>OPEN</x:v>
      </x:c>
    </x:row>
    <x:row r="1863">
      <x:c r="B1863" s="7" t="str">
        <x:v>AG-01857</x:v>
      </x:c>
      <x:c r="C1863" s="7" t="str">
        <x:v>PEA-A-Y2</x:v>
      </x:c>
      <x:c r="D1863" s="7" t="str">
        <x:v>factory calibration</x:v>
      </x:c>
      <x:c r="E1863" s="7" t="str">
        <x:v>CAL-CH-PEA-A-Y2-09-4</x:v>
      </x:c>
      <x:c r="F1863" s="7" t="str">
        <x:f>'Calibration Records'!M634</x:f>
        <x:v>OPEN</x:v>
      </x:c>
    </x:row>
    <x:row r="1864">
      <x:c r="B1864" s="7" t="str">
        <x:v>AG-01858</x:v>
      </x:c>
      <x:c r="C1864" s="7" t="str">
        <x:v>PEA-A-Y2</x:v>
      </x:c>
      <x:c r="D1864" s="7" t="str">
        <x:v>factory calibration</x:v>
      </x:c>
      <x:c r="E1864" s="7" t="str">
        <x:v>CAL-CH-PEA-A-Y2-09-5</x:v>
      </x:c>
      <x:c r="F1864" s="7" t="str">
        <x:f>'Calibration Records'!M635</x:f>
        <x:v>OPEN</x:v>
      </x:c>
    </x:row>
    <x:row r="1865">
      <x:c r="B1865" s="7" t="str">
        <x:v>AG-01859</x:v>
      </x:c>
      <x:c r="C1865" s="7" t="str">
        <x:v>PEA-A-Y2</x:v>
      </x:c>
      <x:c r="D1865" s="7" t="str">
        <x:v>factory calibration</x:v>
      </x:c>
      <x:c r="E1865" s="7" t="str">
        <x:v>CAL-CH-PEA-A-Y2-09-6</x:v>
      </x:c>
      <x:c r="F1865" s="7" t="str">
        <x:f>'Calibration Records'!M636</x:f>
        <x:v>OPEN</x:v>
      </x:c>
    </x:row>
    <x:row r="1866">
      <x:c r="B1866" s="7" t="str">
        <x:v>AG-01860</x:v>
      </x:c>
      <x:c r="C1866" s="7" t="str">
        <x:v>PEA-A-Y2</x:v>
      </x:c>
      <x:c r="D1866" s="7" t="str">
        <x:v>factory calibration</x:v>
      </x:c>
      <x:c r="E1866" s="7" t="str">
        <x:v>CAL-CH-PEA-A-Y2-10-1</x:v>
      </x:c>
      <x:c r="F1866" s="7" t="str">
        <x:f>'Calibration Records'!M637</x:f>
        <x:v>OPEN</x:v>
      </x:c>
    </x:row>
    <x:row r="1867">
      <x:c r="B1867" s="7" t="str">
        <x:v>AG-01861</x:v>
      </x:c>
      <x:c r="C1867" s="7" t="str">
        <x:v>PEA-A-Y2</x:v>
      </x:c>
      <x:c r="D1867" s="7" t="str">
        <x:v>factory calibration</x:v>
      </x:c>
      <x:c r="E1867" s="7" t="str">
        <x:v>CAL-CH-PEA-A-Y2-10-2</x:v>
      </x:c>
      <x:c r="F1867" s="7" t="str">
        <x:f>'Calibration Records'!M638</x:f>
        <x:v>OPEN</x:v>
      </x:c>
    </x:row>
    <x:row r="1868">
      <x:c r="B1868" s="7" t="str">
        <x:v>AG-01862</x:v>
      </x:c>
      <x:c r="C1868" s="7" t="str">
        <x:v>PEA-A-Y2</x:v>
      </x:c>
      <x:c r="D1868" s="7" t="str">
        <x:v>factory calibration</x:v>
      </x:c>
      <x:c r="E1868" s="7" t="str">
        <x:v>CAL-CH-PEA-A-Y2-10-3</x:v>
      </x:c>
      <x:c r="F1868" s="7" t="str">
        <x:f>'Calibration Records'!M639</x:f>
        <x:v>OPEN</x:v>
      </x:c>
    </x:row>
    <x:row r="1869">
      <x:c r="B1869" s="7" t="str">
        <x:v>AG-01863</x:v>
      </x:c>
      <x:c r="C1869" s="7" t="str">
        <x:v>PEA-A-Y2</x:v>
      </x:c>
      <x:c r="D1869" s="7" t="str">
        <x:v>factory calibration</x:v>
      </x:c>
      <x:c r="E1869" s="7" t="str">
        <x:v>CAL-CH-PEA-A-Y2-10-4</x:v>
      </x:c>
      <x:c r="F1869" s="7" t="str">
        <x:f>'Calibration Records'!M640</x:f>
        <x:v>OPEN</x:v>
      </x:c>
    </x:row>
    <x:row r="1870">
      <x:c r="B1870" s="7" t="str">
        <x:v>AG-01864</x:v>
      </x:c>
      <x:c r="C1870" s="7" t="str">
        <x:v>PEA-A-Y2</x:v>
      </x:c>
      <x:c r="D1870" s="7" t="str">
        <x:v>factory calibration</x:v>
      </x:c>
      <x:c r="E1870" s="7" t="str">
        <x:v>CAL-CH-PEA-A-Y2-10-5</x:v>
      </x:c>
      <x:c r="F1870" s="7" t="str">
        <x:f>'Calibration Records'!M641</x:f>
        <x:v>OPEN</x:v>
      </x:c>
    </x:row>
    <x:row r="1871">
      <x:c r="B1871" s="7" t="str">
        <x:v>AG-01865</x:v>
      </x:c>
      <x:c r="C1871" s="7" t="str">
        <x:v>PEA-A-Y2</x:v>
      </x:c>
      <x:c r="D1871" s="7" t="str">
        <x:v>factory calibration</x:v>
      </x:c>
      <x:c r="E1871" s="7" t="str">
        <x:v>CAL-CH-PEA-A-Y2-10-6</x:v>
      </x:c>
      <x:c r="F1871" s="7" t="str">
        <x:f>'Calibration Records'!M642</x:f>
        <x:v>OPEN</x:v>
      </x:c>
    </x:row>
    <x:row r="1872">
      <x:c r="B1872" s="7" t="str">
        <x:v>AG-01866</x:v>
      </x:c>
      <x:c r="C1872" s="7" t="str">
        <x:v>PEA-A-Y2</x:v>
      </x:c>
      <x:c r="D1872" s="7" t="str">
        <x:v>factory calibration</x:v>
      </x:c>
      <x:c r="E1872" s="7" t="str">
        <x:v>CAL-CH-PEA-A-Y2-11-1</x:v>
      </x:c>
      <x:c r="F1872" s="7" t="str">
        <x:f>'Calibration Records'!M643</x:f>
        <x:v>OPEN</x:v>
      </x:c>
    </x:row>
    <x:row r="1873">
      <x:c r="B1873" s="7" t="str">
        <x:v>AG-01867</x:v>
      </x:c>
      <x:c r="C1873" s="7" t="str">
        <x:v>PEA-A-Y2</x:v>
      </x:c>
      <x:c r="D1873" s="7" t="str">
        <x:v>factory calibration</x:v>
      </x:c>
      <x:c r="E1873" s="7" t="str">
        <x:v>CAL-CH-PEA-A-Y2-11-2</x:v>
      </x:c>
      <x:c r="F1873" s="7" t="str">
        <x:f>'Calibration Records'!M644</x:f>
        <x:v>OPEN</x:v>
      </x:c>
    </x:row>
    <x:row r="1874">
      <x:c r="B1874" s="7" t="str">
        <x:v>AG-01868</x:v>
      </x:c>
      <x:c r="C1874" s="7" t="str">
        <x:v>PEA-A-Y2</x:v>
      </x:c>
      <x:c r="D1874" s="7" t="str">
        <x:v>factory calibration</x:v>
      </x:c>
      <x:c r="E1874" s="7" t="str">
        <x:v>CAL-CH-PEA-A-Y2-11-3</x:v>
      </x:c>
      <x:c r="F1874" s="7" t="str">
        <x:f>'Calibration Records'!M645</x:f>
        <x:v>OPEN</x:v>
      </x:c>
    </x:row>
    <x:row r="1875">
      <x:c r="B1875" s="7" t="str">
        <x:v>AG-01869</x:v>
      </x:c>
      <x:c r="C1875" s="7" t="str">
        <x:v>PEA-A-Y2</x:v>
      </x:c>
      <x:c r="D1875" s="7" t="str">
        <x:v>factory calibration</x:v>
      </x:c>
      <x:c r="E1875" s="7" t="str">
        <x:v>CAL-CH-PEA-A-Y2-11-4</x:v>
      </x:c>
      <x:c r="F1875" s="7" t="str">
        <x:f>'Calibration Records'!M646</x:f>
        <x:v>OPEN</x:v>
      </x:c>
    </x:row>
    <x:row r="1876">
      <x:c r="B1876" s="7" t="str">
        <x:v>AG-01870</x:v>
      </x:c>
      <x:c r="C1876" s="7" t="str">
        <x:v>PEA-A-Y2</x:v>
      </x:c>
      <x:c r="D1876" s="7" t="str">
        <x:v>factory calibration</x:v>
      </x:c>
      <x:c r="E1876" s="7" t="str">
        <x:v>CAL-CH-PEA-A-Y2-11-5</x:v>
      </x:c>
      <x:c r="F1876" s="7" t="str">
        <x:f>'Calibration Records'!M647</x:f>
        <x:v>OPEN</x:v>
      </x:c>
    </x:row>
    <x:row r="1877">
      <x:c r="B1877" s="7" t="str">
        <x:v>AG-01871</x:v>
      </x:c>
      <x:c r="C1877" s="7" t="str">
        <x:v>PEA-A-Y2</x:v>
      </x:c>
      <x:c r="D1877" s="7" t="str">
        <x:v>factory calibration</x:v>
      </x:c>
      <x:c r="E1877" s="7" t="str">
        <x:v>CAL-CH-PEA-A-Y2-11-6</x:v>
      </x:c>
      <x:c r="F1877" s="7" t="str">
        <x:f>'Calibration Records'!M648</x:f>
        <x:v>OPEN</x:v>
      </x:c>
    </x:row>
    <x:row r="1878">
      <x:c r="B1878" s="7" t="str">
        <x:v>AG-01872</x:v>
      </x:c>
      <x:c r="C1878" s="7" t="str">
        <x:v>PEA-A-Y2</x:v>
      </x:c>
      <x:c r="D1878" s="7" t="str">
        <x:v>factory calibration</x:v>
      </x:c>
      <x:c r="E1878" s="7" t="str">
        <x:v>CAL-CH-PEA-A-Y2-12-1</x:v>
      </x:c>
      <x:c r="F1878" s="7" t="str">
        <x:f>'Calibration Records'!M649</x:f>
        <x:v>OPEN</x:v>
      </x:c>
    </x:row>
    <x:row r="1879">
      <x:c r="B1879" s="7" t="str">
        <x:v>AG-01873</x:v>
      </x:c>
      <x:c r="C1879" s="7" t="str">
        <x:v>PEA-A-Y2</x:v>
      </x:c>
      <x:c r="D1879" s="7" t="str">
        <x:v>factory calibration</x:v>
      </x:c>
      <x:c r="E1879" s="7" t="str">
        <x:v>CAL-CH-PEA-A-Y2-12-2</x:v>
      </x:c>
      <x:c r="F1879" s="7" t="str">
        <x:f>'Calibration Records'!M650</x:f>
        <x:v>OPEN</x:v>
      </x:c>
    </x:row>
    <x:row r="1880">
      <x:c r="B1880" s="7" t="str">
        <x:v>AG-01874</x:v>
      </x:c>
      <x:c r="C1880" s="7" t="str">
        <x:v>PEA-A-Y2</x:v>
      </x:c>
      <x:c r="D1880" s="7" t="str">
        <x:v>factory calibration</x:v>
      </x:c>
      <x:c r="E1880" s="7" t="str">
        <x:v>CAL-CH-PEA-A-Y2-12-3</x:v>
      </x:c>
      <x:c r="F1880" s="7" t="str">
        <x:f>'Calibration Records'!M651</x:f>
        <x:v>OPEN</x:v>
      </x:c>
    </x:row>
    <x:row r="1881">
      <x:c r="B1881" s="7" t="str">
        <x:v>AG-01875</x:v>
      </x:c>
      <x:c r="C1881" s="7" t="str">
        <x:v>PEA-A-Y2</x:v>
      </x:c>
      <x:c r="D1881" s="7" t="str">
        <x:v>factory calibration</x:v>
      </x:c>
      <x:c r="E1881" s="7" t="str">
        <x:v>CAL-CH-PEA-A-Y2-12-4</x:v>
      </x:c>
      <x:c r="F1881" s="7" t="str">
        <x:f>'Calibration Records'!M652</x:f>
        <x:v>OPEN</x:v>
      </x:c>
    </x:row>
    <x:row r="1882">
      <x:c r="B1882" s="7" t="str">
        <x:v>AG-01876</x:v>
      </x:c>
      <x:c r="C1882" s="7" t="str">
        <x:v>PEA-A-Y2</x:v>
      </x:c>
      <x:c r="D1882" s="7" t="str">
        <x:v>factory calibration</x:v>
      </x:c>
      <x:c r="E1882" s="7" t="str">
        <x:v>CAL-CH-PEA-A-Y2-12-5</x:v>
      </x:c>
      <x:c r="F1882" s="7" t="str">
        <x:f>'Calibration Records'!M653</x:f>
        <x:v>OPEN</x:v>
      </x:c>
    </x:row>
    <x:row r="1883">
      <x:c r="B1883" s="7" t="str">
        <x:v>AG-01877</x:v>
      </x:c>
      <x:c r="C1883" s="7" t="str">
        <x:v>PEA-A-Y2</x:v>
      </x:c>
      <x:c r="D1883" s="7" t="str">
        <x:v>factory calibration</x:v>
      </x:c>
      <x:c r="E1883" s="7" t="str">
        <x:v>CAL-CH-PEA-A-Y2-12-6</x:v>
      </x:c>
      <x:c r="F1883" s="7" t="str">
        <x:f>'Calibration Records'!M654</x:f>
        <x:v>OPEN</x:v>
      </x:c>
    </x:row>
    <x:row r="1884">
      <x:c r="B1884" s="7" t="str">
        <x:v>AG-01878</x:v>
      </x:c>
      <x:c r="C1884" s="7" t="str">
        <x:v>PEA-A-Y2</x:v>
      </x:c>
      <x:c r="D1884" s="7" t="str">
        <x:v>factory calibration</x:v>
      </x:c>
      <x:c r="E1884" s="7" t="str">
        <x:v>CAL-CH-PEA-A-Y2-13-1</x:v>
      </x:c>
      <x:c r="F1884" s="7" t="str">
        <x:f>'Calibration Records'!M655</x:f>
        <x:v>OPEN</x:v>
      </x:c>
    </x:row>
    <x:row r="1885">
      <x:c r="B1885" s="7" t="str">
        <x:v>AG-01879</x:v>
      </x:c>
      <x:c r="C1885" s="7" t="str">
        <x:v>PEA-A-Y2</x:v>
      </x:c>
      <x:c r="D1885" s="7" t="str">
        <x:v>factory calibration</x:v>
      </x:c>
      <x:c r="E1885" s="7" t="str">
        <x:v>CAL-CH-PEA-A-Y2-13-2</x:v>
      </x:c>
      <x:c r="F1885" s="7" t="str">
        <x:f>'Calibration Records'!M656</x:f>
        <x:v>OPEN</x:v>
      </x:c>
    </x:row>
    <x:row r="1886">
      <x:c r="B1886" s="7" t="str">
        <x:v>AG-01880</x:v>
      </x:c>
      <x:c r="C1886" s="7" t="str">
        <x:v>PEA-A-Y2</x:v>
      </x:c>
      <x:c r="D1886" s="7" t="str">
        <x:v>factory calibration</x:v>
      </x:c>
      <x:c r="E1886" s="7" t="str">
        <x:v>CAL-CH-PEA-A-Y2-13-3</x:v>
      </x:c>
      <x:c r="F1886" s="7" t="str">
        <x:f>'Calibration Records'!M657</x:f>
        <x:v>OPEN</x:v>
      </x:c>
    </x:row>
    <x:row r="1887">
      <x:c r="B1887" s="7" t="str">
        <x:v>AG-01881</x:v>
      </x:c>
      <x:c r="C1887" s="7" t="str">
        <x:v>PEA-A-Y2</x:v>
      </x:c>
      <x:c r="D1887" s="7" t="str">
        <x:v>factory calibration</x:v>
      </x:c>
      <x:c r="E1887" s="7" t="str">
        <x:v>CAL-CH-PEA-A-Y2-13-4</x:v>
      </x:c>
      <x:c r="F1887" s="7" t="str">
        <x:f>'Calibration Records'!M658</x:f>
        <x:v>OPEN</x:v>
      </x:c>
    </x:row>
    <x:row r="1888">
      <x:c r="B1888" s="7" t="str">
        <x:v>AG-01882</x:v>
      </x:c>
      <x:c r="C1888" s="7" t="str">
        <x:v>PEA-A-Y2</x:v>
      </x:c>
      <x:c r="D1888" s="7" t="str">
        <x:v>factory calibration</x:v>
      </x:c>
      <x:c r="E1888" s="7" t="str">
        <x:v>CAL-CH-PEA-A-Y2-13-5</x:v>
      </x:c>
      <x:c r="F1888" s="7" t="str">
        <x:f>'Calibration Records'!M659</x:f>
        <x:v>OPEN</x:v>
      </x:c>
    </x:row>
    <x:row r="1889">
      <x:c r="B1889" s="7" t="str">
        <x:v>AG-01883</x:v>
      </x:c>
      <x:c r="C1889" s="7" t="str">
        <x:v>PEA-A-Y2</x:v>
      </x:c>
      <x:c r="D1889" s="7" t="str">
        <x:v>factory calibration</x:v>
      </x:c>
      <x:c r="E1889" s="7" t="str">
        <x:v>CAL-CH-PEA-A-Y2-13-6</x:v>
      </x:c>
      <x:c r="F1889" s="7" t="str">
        <x:f>'Calibration Records'!M660</x:f>
        <x:v>OPEN</x:v>
      </x:c>
    </x:row>
    <x:row r="1890">
      <x:c r="B1890" s="7" t="str">
        <x:v>AG-01884</x:v>
      </x:c>
      <x:c r="C1890" s="7" t="str">
        <x:v>PEA-A-Y2</x:v>
      </x:c>
      <x:c r="D1890" s="7" t="str">
        <x:v>factory calibration</x:v>
      </x:c>
      <x:c r="E1890" s="7" t="str">
        <x:v>CAL-CH-PEA-A-Y2-14-1</x:v>
      </x:c>
      <x:c r="F1890" s="7" t="str">
        <x:f>'Calibration Records'!M661</x:f>
        <x:v>OPEN</x:v>
      </x:c>
    </x:row>
    <x:row r="1891">
      <x:c r="B1891" s="7" t="str">
        <x:v>AG-01885</x:v>
      </x:c>
      <x:c r="C1891" s="7" t="str">
        <x:v>PEA-A-Y2</x:v>
      </x:c>
      <x:c r="D1891" s="7" t="str">
        <x:v>factory calibration</x:v>
      </x:c>
      <x:c r="E1891" s="7" t="str">
        <x:v>CAL-CH-PEA-A-Y2-14-2</x:v>
      </x:c>
      <x:c r="F1891" s="7" t="str">
        <x:f>'Calibration Records'!M662</x:f>
        <x:v>OPEN</x:v>
      </x:c>
    </x:row>
    <x:row r="1892">
      <x:c r="B1892" s="7" t="str">
        <x:v>AG-01886</x:v>
      </x:c>
      <x:c r="C1892" s="7" t="str">
        <x:v>PEA-A-Y2</x:v>
      </x:c>
      <x:c r="D1892" s="7" t="str">
        <x:v>factory calibration</x:v>
      </x:c>
      <x:c r="E1892" s="7" t="str">
        <x:v>CAL-CH-PEA-A-Y2-14-3</x:v>
      </x:c>
      <x:c r="F1892" s="7" t="str">
        <x:f>'Calibration Records'!M663</x:f>
        <x:v>OPEN</x:v>
      </x:c>
    </x:row>
    <x:row r="1893">
      <x:c r="B1893" s="7" t="str">
        <x:v>AG-01887</x:v>
      </x:c>
      <x:c r="C1893" s="7" t="str">
        <x:v>PEA-A-Y2</x:v>
      </x:c>
      <x:c r="D1893" s="7" t="str">
        <x:v>factory calibration</x:v>
      </x:c>
      <x:c r="E1893" s="7" t="str">
        <x:v>CAL-CH-PEA-A-Y2-14-4</x:v>
      </x:c>
      <x:c r="F1893" s="7" t="str">
        <x:f>'Calibration Records'!M664</x:f>
        <x:v>OPEN</x:v>
      </x:c>
    </x:row>
    <x:row r="1894">
      <x:c r="B1894" s="7" t="str">
        <x:v>AG-01888</x:v>
      </x:c>
      <x:c r="C1894" s="7" t="str">
        <x:v>PEA-A-Y2</x:v>
      </x:c>
      <x:c r="D1894" s="7" t="str">
        <x:v>factory calibration</x:v>
      </x:c>
      <x:c r="E1894" s="7" t="str">
        <x:v>CAL-CH-PEA-A-Y2-14-5</x:v>
      </x:c>
      <x:c r="F1894" s="7" t="str">
        <x:f>'Calibration Records'!M665</x:f>
        <x:v>OPEN</x:v>
      </x:c>
    </x:row>
    <x:row r="1895">
      <x:c r="B1895" s="7" t="str">
        <x:v>AG-01889</x:v>
      </x:c>
      <x:c r="C1895" s="7" t="str">
        <x:v>PEA-A-Y2</x:v>
      </x:c>
      <x:c r="D1895" s="7" t="str">
        <x:v>factory calibration</x:v>
      </x:c>
      <x:c r="E1895" s="7" t="str">
        <x:v>CAL-CH-PEA-A-Y2-14-6</x:v>
      </x:c>
      <x:c r="F1895" s="7" t="str">
        <x:f>'Calibration Records'!M666</x:f>
        <x:v>OPEN</x:v>
      </x:c>
    </x:row>
    <x:row r="1896">
      <x:c r="B1896" s="7" t="str">
        <x:v>AG-01890</x:v>
      </x:c>
      <x:c r="C1896" s="7" t="str">
        <x:v>PEA-A-Y2</x:v>
      </x:c>
      <x:c r="D1896" s="7" t="str">
        <x:v>factory calibration</x:v>
      </x:c>
      <x:c r="E1896" s="7" t="str">
        <x:v>CAL-CH-PEA-A-Y2-15-1</x:v>
      </x:c>
      <x:c r="F1896" s="7" t="str">
        <x:f>'Calibration Records'!M667</x:f>
        <x:v>OPEN</x:v>
      </x:c>
    </x:row>
    <x:row r="1897">
      <x:c r="B1897" s="7" t="str">
        <x:v>AG-01891</x:v>
      </x:c>
      <x:c r="C1897" s="7" t="str">
        <x:v>PEA-A-Y2</x:v>
      </x:c>
      <x:c r="D1897" s="7" t="str">
        <x:v>factory calibration</x:v>
      </x:c>
      <x:c r="E1897" s="7" t="str">
        <x:v>CAL-CH-PEA-A-Y2-15-2</x:v>
      </x:c>
      <x:c r="F1897" s="7" t="str">
        <x:f>'Calibration Records'!M668</x:f>
        <x:v>OPEN</x:v>
      </x:c>
    </x:row>
    <x:row r="1898">
      <x:c r="B1898" s="7" t="str">
        <x:v>AG-01892</x:v>
      </x:c>
      <x:c r="C1898" s="7" t="str">
        <x:v>PEA-A-Y2</x:v>
      </x:c>
      <x:c r="D1898" s="7" t="str">
        <x:v>factory calibration</x:v>
      </x:c>
      <x:c r="E1898" s="7" t="str">
        <x:v>CAL-CH-PEA-A-Y2-15-3</x:v>
      </x:c>
      <x:c r="F1898" s="7" t="str">
        <x:f>'Calibration Records'!M669</x:f>
        <x:v>OPEN</x:v>
      </x:c>
    </x:row>
    <x:row r="1899">
      <x:c r="B1899" s="7" t="str">
        <x:v>AG-01893</x:v>
      </x:c>
      <x:c r="C1899" s="7" t="str">
        <x:v>PEA-A-Y2</x:v>
      </x:c>
      <x:c r="D1899" s="7" t="str">
        <x:v>factory calibration</x:v>
      </x:c>
      <x:c r="E1899" s="7" t="str">
        <x:v>CAL-CH-PEA-A-Y2-15-4</x:v>
      </x:c>
      <x:c r="F1899" s="7" t="str">
        <x:f>'Calibration Records'!M670</x:f>
        <x:v>OPEN</x:v>
      </x:c>
    </x:row>
    <x:row r="1900">
      <x:c r="B1900" s="7" t="str">
        <x:v>AG-01894</x:v>
      </x:c>
      <x:c r="C1900" s="7" t="str">
        <x:v>PEA-A-Y2</x:v>
      </x:c>
      <x:c r="D1900" s="7" t="str">
        <x:v>factory calibration</x:v>
      </x:c>
      <x:c r="E1900" s="7" t="str">
        <x:v>CAL-CH-PEA-A-Y2-15-5</x:v>
      </x:c>
      <x:c r="F1900" s="7" t="str">
        <x:f>'Calibration Records'!M671</x:f>
        <x:v>OPEN</x:v>
      </x:c>
    </x:row>
    <x:row r="1901">
      <x:c r="B1901" s="7" t="str">
        <x:v>AG-01895</x:v>
      </x:c>
      <x:c r="C1901" s="7" t="str">
        <x:v>PEA-A-Y2</x:v>
      </x:c>
      <x:c r="D1901" s="7" t="str">
        <x:v>factory calibration</x:v>
      </x:c>
      <x:c r="E1901" s="7" t="str">
        <x:v>CAL-CH-PEA-A-Y2-15-6</x:v>
      </x:c>
      <x:c r="F1901" s="7" t="str">
        <x:f>'Calibration Records'!M672</x:f>
        <x:v>OPEN</x:v>
      </x:c>
    </x:row>
    <x:row r="1902">
      <x:c r="B1902" s="7" t="str">
        <x:v>AG-01896</x:v>
      </x:c>
      <x:c r="C1902" s="7" t="str">
        <x:v>PEA-A-Y2</x:v>
      </x:c>
      <x:c r="D1902" s="7" t="str">
        <x:v>factory calibration</x:v>
      </x:c>
      <x:c r="E1902" s="7" t="str">
        <x:v>CAL-CH-PEA-A-Y2-16-1</x:v>
      </x:c>
      <x:c r="F1902" s="7" t="str">
        <x:f>'Calibration Records'!M673</x:f>
        <x:v>OPEN</x:v>
      </x:c>
    </x:row>
    <x:row r="1903">
      <x:c r="B1903" s="7" t="str">
        <x:v>AG-01897</x:v>
      </x:c>
      <x:c r="C1903" s="7" t="str">
        <x:v>PEA-A-Y2</x:v>
      </x:c>
      <x:c r="D1903" s="7" t="str">
        <x:v>factory calibration</x:v>
      </x:c>
      <x:c r="E1903" s="7" t="str">
        <x:v>CAL-CH-PEA-A-Y2-16-2</x:v>
      </x:c>
      <x:c r="F1903" s="7" t="str">
        <x:f>'Calibration Records'!M674</x:f>
        <x:v>OPEN</x:v>
      </x:c>
    </x:row>
    <x:row r="1904">
      <x:c r="B1904" s="7" t="str">
        <x:v>AG-01898</x:v>
      </x:c>
      <x:c r="C1904" s="7" t="str">
        <x:v>PEA-A-Y2</x:v>
      </x:c>
      <x:c r="D1904" s="7" t="str">
        <x:v>factory calibration</x:v>
      </x:c>
      <x:c r="E1904" s="7" t="str">
        <x:v>CAL-CH-PEA-A-Y2-16-3</x:v>
      </x:c>
      <x:c r="F1904" s="7" t="str">
        <x:f>'Calibration Records'!M675</x:f>
        <x:v>OPEN</x:v>
      </x:c>
    </x:row>
    <x:row r="1905">
      <x:c r="B1905" s="7" t="str">
        <x:v>AG-01899</x:v>
      </x:c>
      <x:c r="C1905" s="7" t="str">
        <x:v>PEA-A-Y2</x:v>
      </x:c>
      <x:c r="D1905" s="7" t="str">
        <x:v>factory calibration</x:v>
      </x:c>
      <x:c r="E1905" s="7" t="str">
        <x:v>CAL-CH-PEA-A-Y2-16-4</x:v>
      </x:c>
      <x:c r="F1905" s="7" t="str">
        <x:f>'Calibration Records'!M676</x:f>
        <x:v>OPEN</x:v>
      </x:c>
    </x:row>
    <x:row r="1906">
      <x:c r="B1906" s="7" t="str">
        <x:v>AG-01900</x:v>
      </x:c>
      <x:c r="C1906" s="7" t="str">
        <x:v>PEA-A-Y2</x:v>
      </x:c>
      <x:c r="D1906" s="7" t="str">
        <x:v>factory calibration</x:v>
      </x:c>
      <x:c r="E1906" s="7" t="str">
        <x:v>CAL-CH-PEA-A-Y2-16-5</x:v>
      </x:c>
      <x:c r="F1906" s="7" t="str">
        <x:f>'Calibration Records'!M677</x:f>
        <x:v>OPEN</x:v>
      </x:c>
    </x:row>
    <x:row r="1907">
      <x:c r="B1907" s="7" t="str">
        <x:v>AG-01901</x:v>
      </x:c>
      <x:c r="C1907" s="7" t="str">
        <x:v>PEA-A-Y2</x:v>
      </x:c>
      <x:c r="D1907" s="7" t="str">
        <x:v>factory calibration</x:v>
      </x:c>
      <x:c r="E1907" s="7" t="str">
        <x:v>CAL-CH-PEA-A-Y2-16-6</x:v>
      </x:c>
      <x:c r="F1907" s="7" t="str">
        <x:f>'Calibration Records'!M678</x:f>
        <x:v>OPEN</x:v>
      </x:c>
    </x:row>
    <x:row r="1908">
      <x:c r="B1908" s="7" t="str">
        <x:v>AG-01902</x:v>
      </x:c>
      <x:c r="C1908" s="7" t="str">
        <x:v>PEA-A-Y2</x:v>
      </x:c>
      <x:c r="D1908" s="7" t="str">
        <x:v>factory calibration</x:v>
      </x:c>
      <x:c r="E1908" s="7" t="str">
        <x:v>CAL-CH-PEA-A-Y2-17-1</x:v>
      </x:c>
      <x:c r="F1908" s="7" t="str">
        <x:f>'Calibration Records'!M679</x:f>
        <x:v>OPEN</x:v>
      </x:c>
    </x:row>
    <x:row r="1909">
      <x:c r="B1909" s="7" t="str">
        <x:v>AG-01903</x:v>
      </x:c>
      <x:c r="C1909" s="7" t="str">
        <x:v>PEA-A-Y2</x:v>
      </x:c>
      <x:c r="D1909" s="7" t="str">
        <x:v>factory calibration</x:v>
      </x:c>
      <x:c r="E1909" s="7" t="str">
        <x:v>CAL-CH-PEA-A-Y2-17-2</x:v>
      </x:c>
      <x:c r="F1909" s="7" t="str">
        <x:f>'Calibration Records'!M680</x:f>
        <x:v>OPEN</x:v>
      </x:c>
    </x:row>
    <x:row r="1910">
      <x:c r="B1910" s="7" t="str">
        <x:v>AG-01904</x:v>
      </x:c>
      <x:c r="C1910" s="7" t="str">
        <x:v>PEA-A-Y2</x:v>
      </x:c>
      <x:c r="D1910" s="7" t="str">
        <x:v>factory calibration</x:v>
      </x:c>
      <x:c r="E1910" s="7" t="str">
        <x:v>CAL-CH-PEA-A-Y2-17-3</x:v>
      </x:c>
      <x:c r="F1910" s="7" t="str">
        <x:f>'Calibration Records'!M681</x:f>
        <x:v>OPEN</x:v>
      </x:c>
    </x:row>
    <x:row r="1911">
      <x:c r="B1911" s="7" t="str">
        <x:v>AG-01905</x:v>
      </x:c>
      <x:c r="C1911" s="7" t="str">
        <x:v>PEA-A-Y2</x:v>
      </x:c>
      <x:c r="D1911" s="7" t="str">
        <x:v>factory calibration</x:v>
      </x:c>
      <x:c r="E1911" s="7" t="str">
        <x:v>CAL-CH-PEA-A-Y2-17-4</x:v>
      </x:c>
      <x:c r="F1911" s="7" t="str">
        <x:f>'Calibration Records'!M682</x:f>
        <x:v>OPEN</x:v>
      </x:c>
    </x:row>
    <x:row r="1912">
      <x:c r="B1912" s="7" t="str">
        <x:v>AG-01906</x:v>
      </x:c>
      <x:c r="C1912" s="7" t="str">
        <x:v>PEA-A-Y2</x:v>
      </x:c>
      <x:c r="D1912" s="7" t="str">
        <x:v>factory calibration</x:v>
      </x:c>
      <x:c r="E1912" s="7" t="str">
        <x:v>CAL-CH-PEA-A-Y2-17-5</x:v>
      </x:c>
      <x:c r="F1912" s="7" t="str">
        <x:f>'Calibration Records'!M683</x:f>
        <x:v>OPEN</x:v>
      </x:c>
    </x:row>
    <x:row r="1913">
      <x:c r="B1913" s="7" t="str">
        <x:v>AG-01907</x:v>
      </x:c>
      <x:c r="C1913" s="7" t="str">
        <x:v>PEA-A-Y2</x:v>
      </x:c>
      <x:c r="D1913" s="7" t="str">
        <x:v>factory calibration</x:v>
      </x:c>
      <x:c r="E1913" s="7" t="str">
        <x:v>CAL-CH-PEA-A-Y2-17-6</x:v>
      </x:c>
      <x:c r="F1913" s="7" t="str">
        <x:f>'Calibration Records'!M684</x:f>
        <x:v>OPEN</x:v>
      </x:c>
    </x:row>
    <x:row r="1914">
      <x:c r="B1914" s="7" t="str">
        <x:v>AG-01908</x:v>
      </x:c>
      <x:c r="C1914" s="7" t="str">
        <x:v>PEA-A-Y2</x:v>
      </x:c>
      <x:c r="D1914" s="7" t="str">
        <x:v>factory calibration</x:v>
      </x:c>
      <x:c r="E1914" s="7" t="str">
        <x:v>CAL-CH-PEA-A-Y2-18-1</x:v>
      </x:c>
      <x:c r="F1914" s="7" t="str">
        <x:f>'Calibration Records'!M685</x:f>
        <x:v>OPEN</x:v>
      </x:c>
    </x:row>
    <x:row r="1915">
      <x:c r="B1915" s="7" t="str">
        <x:v>AG-01909</x:v>
      </x:c>
      <x:c r="C1915" s="7" t="str">
        <x:v>PEA-A-Y2</x:v>
      </x:c>
      <x:c r="D1915" s="7" t="str">
        <x:v>factory calibration</x:v>
      </x:c>
      <x:c r="E1915" s="7" t="str">
        <x:v>CAL-CH-PEA-A-Y2-18-2</x:v>
      </x:c>
      <x:c r="F1915" s="7" t="str">
        <x:f>'Calibration Records'!M686</x:f>
        <x:v>OPEN</x:v>
      </x:c>
    </x:row>
    <x:row r="1916">
      <x:c r="B1916" s="7" t="str">
        <x:v>AG-01910</x:v>
      </x:c>
      <x:c r="C1916" s="7" t="str">
        <x:v>PEA-A-Y2</x:v>
      </x:c>
      <x:c r="D1916" s="7" t="str">
        <x:v>factory calibration</x:v>
      </x:c>
      <x:c r="E1916" s="7" t="str">
        <x:v>CAL-CH-PEA-A-Y2-18-3</x:v>
      </x:c>
      <x:c r="F1916" s="7" t="str">
        <x:f>'Calibration Records'!M687</x:f>
        <x:v>OPEN</x:v>
      </x:c>
    </x:row>
    <x:row r="1917">
      <x:c r="B1917" s="7" t="str">
        <x:v>AG-01911</x:v>
      </x:c>
      <x:c r="C1917" s="7" t="str">
        <x:v>PEA-A-Y2</x:v>
      </x:c>
      <x:c r="D1917" s="7" t="str">
        <x:v>factory calibration</x:v>
      </x:c>
      <x:c r="E1917" s="7" t="str">
        <x:v>CAL-CH-PEA-A-Y2-18-4</x:v>
      </x:c>
      <x:c r="F1917" s="7" t="str">
        <x:f>'Calibration Records'!M688</x:f>
        <x:v>OPEN</x:v>
      </x:c>
    </x:row>
    <x:row r="1918">
      <x:c r="B1918" s="7" t="str">
        <x:v>AG-01912</x:v>
      </x:c>
      <x:c r="C1918" s="7" t="str">
        <x:v>PEA-A-Y2</x:v>
      </x:c>
      <x:c r="D1918" s="7" t="str">
        <x:v>factory calibration</x:v>
      </x:c>
      <x:c r="E1918" s="7" t="str">
        <x:v>CAL-CH-PEA-A-Y2-18-5</x:v>
      </x:c>
      <x:c r="F1918" s="7" t="str">
        <x:f>'Calibration Records'!M689</x:f>
        <x:v>OPEN</x:v>
      </x:c>
    </x:row>
    <x:row r="1919">
      <x:c r="B1919" s="7" t="str">
        <x:v>AG-01913</x:v>
      </x:c>
      <x:c r="C1919" s="7" t="str">
        <x:v>PEA-A-Y2</x:v>
      </x:c>
      <x:c r="D1919" s="7" t="str">
        <x:v>factory calibration</x:v>
      </x:c>
      <x:c r="E1919" s="7" t="str">
        <x:v>CAL-CH-PEA-A-Y2-18-6</x:v>
      </x:c>
      <x:c r="F1919" s="7" t="str">
        <x:f>'Calibration Records'!M690</x:f>
        <x:v>OPEN</x:v>
      </x:c>
    </x:row>
    <x:row r="1920">
      <x:c r="B1920" s="7" t="str">
        <x:v>AG-01914</x:v>
      </x:c>
      <x:c r="C1920" s="7" t="str">
        <x:v>PEA-A-Y2</x:v>
      </x:c>
      <x:c r="D1920" s="7" t="str">
        <x:v>factory calibration</x:v>
      </x:c>
      <x:c r="E1920" s="7" t="str">
        <x:v>CAL-CH-PEA-A-Y2-19-1</x:v>
      </x:c>
      <x:c r="F1920" s="7" t="str">
        <x:f>'Calibration Records'!M691</x:f>
        <x:v>OPEN</x:v>
      </x:c>
    </x:row>
    <x:row r="1921">
      <x:c r="B1921" s="7" t="str">
        <x:v>AG-01915</x:v>
      </x:c>
      <x:c r="C1921" s="7" t="str">
        <x:v>PEA-A-Y2</x:v>
      </x:c>
      <x:c r="D1921" s="7" t="str">
        <x:v>factory calibration</x:v>
      </x:c>
      <x:c r="E1921" s="7" t="str">
        <x:v>CAL-CH-PEA-A-Y2-19-2</x:v>
      </x:c>
      <x:c r="F1921" s="7" t="str">
        <x:f>'Calibration Records'!M692</x:f>
        <x:v>OPEN</x:v>
      </x:c>
    </x:row>
    <x:row r="1922">
      <x:c r="B1922" s="7" t="str">
        <x:v>AG-01916</x:v>
      </x:c>
      <x:c r="C1922" s="7" t="str">
        <x:v>PEA-A-Y2</x:v>
      </x:c>
      <x:c r="D1922" s="7" t="str">
        <x:v>factory calibration</x:v>
      </x:c>
      <x:c r="E1922" s="7" t="str">
        <x:v>CAL-CH-PEA-A-Y2-19-3</x:v>
      </x:c>
      <x:c r="F1922" s="7" t="str">
        <x:f>'Calibration Records'!M693</x:f>
        <x:v>OPEN</x:v>
      </x:c>
    </x:row>
    <x:row r="1923">
      <x:c r="B1923" s="7" t="str">
        <x:v>AG-01917</x:v>
      </x:c>
      <x:c r="C1923" s="7" t="str">
        <x:v>PEA-A-Y2</x:v>
      </x:c>
      <x:c r="D1923" s="7" t="str">
        <x:v>factory calibration</x:v>
      </x:c>
      <x:c r="E1923" s="7" t="str">
        <x:v>CAL-CH-PEA-A-Y2-19-4</x:v>
      </x:c>
      <x:c r="F1923" s="7" t="str">
        <x:f>'Calibration Records'!M694</x:f>
        <x:v>OPEN</x:v>
      </x:c>
    </x:row>
    <x:row r="1924">
      <x:c r="B1924" s="7" t="str">
        <x:v>AG-01918</x:v>
      </x:c>
      <x:c r="C1924" s="7" t="str">
        <x:v>PEA-A-Y2</x:v>
      </x:c>
      <x:c r="D1924" s="7" t="str">
        <x:v>factory calibration</x:v>
      </x:c>
      <x:c r="E1924" s="7" t="str">
        <x:v>CAL-CH-PEA-A-Y2-19-5</x:v>
      </x:c>
      <x:c r="F1924" s="7" t="str">
        <x:f>'Calibration Records'!M695</x:f>
        <x:v>OPEN</x:v>
      </x:c>
    </x:row>
    <x:row r="1925">
      <x:c r="B1925" s="7" t="str">
        <x:v>AG-01919</x:v>
      </x:c>
      <x:c r="C1925" s="7" t="str">
        <x:v>PEA-A-Y2</x:v>
      </x:c>
      <x:c r="D1925" s="7" t="str">
        <x:v>factory calibration</x:v>
      </x:c>
      <x:c r="E1925" s="7" t="str">
        <x:v>CAL-CH-PEA-A-Y2-19-6</x:v>
      </x:c>
      <x:c r="F1925" s="7" t="str">
        <x:f>'Calibration Records'!M696</x:f>
        <x:v>OPEN</x:v>
      </x:c>
    </x:row>
    <x:row r="1926">
      <x:c r="B1926" s="7" t="str">
        <x:v>AG-01920</x:v>
      </x:c>
      <x:c r="C1926" s="7" t="str">
        <x:v>PEA-A-Y2</x:v>
      </x:c>
      <x:c r="D1926" s="7" t="str">
        <x:v>factory calibration</x:v>
      </x:c>
      <x:c r="E1926" s="7" t="str">
        <x:v>CAL-CH-PEA-A-Y2-20-1</x:v>
      </x:c>
      <x:c r="F1926" s="7" t="str">
        <x:f>'Calibration Records'!M697</x:f>
        <x:v>OPEN</x:v>
      </x:c>
    </x:row>
    <x:row r="1927">
      <x:c r="B1927" s="7" t="str">
        <x:v>AG-01921</x:v>
      </x:c>
      <x:c r="C1927" s="7" t="str">
        <x:v>PEA-A-Y2</x:v>
      </x:c>
      <x:c r="D1927" s="7" t="str">
        <x:v>factory calibration</x:v>
      </x:c>
      <x:c r="E1927" s="7" t="str">
        <x:v>CAL-CH-PEA-A-Y2-20-2</x:v>
      </x:c>
      <x:c r="F1927" s="7" t="str">
        <x:f>'Calibration Records'!M698</x:f>
        <x:v>OPEN</x:v>
      </x:c>
    </x:row>
    <x:row r="1928">
      <x:c r="B1928" s="7" t="str">
        <x:v>AG-01922</x:v>
      </x:c>
      <x:c r="C1928" s="7" t="str">
        <x:v>PEA-A-Y2</x:v>
      </x:c>
      <x:c r="D1928" s="7" t="str">
        <x:v>factory calibration</x:v>
      </x:c>
      <x:c r="E1928" s="7" t="str">
        <x:v>CAL-CH-PEA-A-Y2-20-3</x:v>
      </x:c>
      <x:c r="F1928" s="7" t="str">
        <x:f>'Calibration Records'!M699</x:f>
        <x:v>OPEN</x:v>
      </x:c>
    </x:row>
    <x:row r="1929">
      <x:c r="B1929" s="7" t="str">
        <x:v>AG-01923</x:v>
      </x:c>
      <x:c r="C1929" s="7" t="str">
        <x:v>PEA-A-Y2</x:v>
      </x:c>
      <x:c r="D1929" s="7" t="str">
        <x:v>factory calibration</x:v>
      </x:c>
      <x:c r="E1929" s="7" t="str">
        <x:v>CAL-CH-PEA-A-Y2-20-4</x:v>
      </x:c>
      <x:c r="F1929" s="7" t="str">
        <x:f>'Calibration Records'!M700</x:f>
        <x:v>OPEN</x:v>
      </x:c>
    </x:row>
    <x:row r="1930">
      <x:c r="B1930" s="7" t="str">
        <x:v>AG-01924</x:v>
      </x:c>
      <x:c r="C1930" s="7" t="str">
        <x:v>PEA-A-Y2</x:v>
      </x:c>
      <x:c r="D1930" s="7" t="str">
        <x:v>factory calibration</x:v>
      </x:c>
      <x:c r="E1930" s="7" t="str">
        <x:v>CAL-CH-PEA-A-Y2-20-5</x:v>
      </x:c>
      <x:c r="F1930" s="7" t="str">
        <x:f>'Calibration Records'!M701</x:f>
        <x:v>OPEN</x:v>
      </x:c>
    </x:row>
    <x:row r="1931">
      <x:c r="B1931" s="7" t="str">
        <x:v>AG-01925</x:v>
      </x:c>
      <x:c r="C1931" s="7" t="str">
        <x:v>PEA-A-Y2</x:v>
      </x:c>
      <x:c r="D1931" s="7" t="str">
        <x:v>factory calibration</x:v>
      </x:c>
      <x:c r="E1931" s="7" t="str">
        <x:v>CAL-CH-PEA-A-Y2-20-6</x:v>
      </x:c>
      <x:c r="F1931" s="7" t="str">
        <x:f>'Calibration Records'!M702</x:f>
        <x:v>OPEN</x:v>
      </x:c>
    </x:row>
    <x:row r="1932">
      <x:c r="B1932" s="7" t="str">
        <x:v>AG-01926</x:v>
      </x:c>
      <x:c r="C1932" s="7" t="str">
        <x:v>PEA-A-Y2</x:v>
      </x:c>
      <x:c r="D1932" s="7" t="str">
        <x:v>factory calibration</x:v>
      </x:c>
      <x:c r="E1932" s="7" t="str">
        <x:v>CAL-CH-PEA-A-Y2-21-1</x:v>
      </x:c>
      <x:c r="F1932" s="7" t="str">
        <x:f>'Calibration Records'!M703</x:f>
        <x:v>OPEN</x:v>
      </x:c>
    </x:row>
    <x:row r="1933">
      <x:c r="B1933" s="7" t="str">
        <x:v>AG-01927</x:v>
      </x:c>
      <x:c r="C1933" s="7" t="str">
        <x:v>PEA-A-Y2</x:v>
      </x:c>
      <x:c r="D1933" s="7" t="str">
        <x:v>factory calibration</x:v>
      </x:c>
      <x:c r="E1933" s="7" t="str">
        <x:v>CAL-CH-PEA-A-Y2-21-2</x:v>
      </x:c>
      <x:c r="F1933" s="7" t="str">
        <x:f>'Calibration Records'!M704</x:f>
        <x:v>OPEN</x:v>
      </x:c>
    </x:row>
    <x:row r="1934">
      <x:c r="B1934" s="7" t="str">
        <x:v>AG-01928</x:v>
      </x:c>
      <x:c r="C1934" s="7" t="str">
        <x:v>PEA-A-Y2</x:v>
      </x:c>
      <x:c r="D1934" s="7" t="str">
        <x:v>factory calibration</x:v>
      </x:c>
      <x:c r="E1934" s="7" t="str">
        <x:v>CAL-CH-PEA-A-Y2-21-3</x:v>
      </x:c>
      <x:c r="F1934" s="7" t="str">
        <x:f>'Calibration Records'!M705</x:f>
        <x:v>OPEN</x:v>
      </x:c>
    </x:row>
    <x:row r="1935">
      <x:c r="B1935" s="7" t="str">
        <x:v>AG-01929</x:v>
      </x:c>
      <x:c r="C1935" s="7" t="str">
        <x:v>PEA-A-Y2</x:v>
      </x:c>
      <x:c r="D1935" s="7" t="str">
        <x:v>factory calibration</x:v>
      </x:c>
      <x:c r="E1935" s="7" t="str">
        <x:v>CAL-CH-PEA-A-Y2-21-4</x:v>
      </x:c>
      <x:c r="F1935" s="7" t="str">
        <x:f>'Calibration Records'!M706</x:f>
        <x:v>OPEN</x:v>
      </x:c>
    </x:row>
    <x:row r="1936">
      <x:c r="B1936" s="7" t="str">
        <x:v>AG-01930</x:v>
      </x:c>
      <x:c r="C1936" s="7" t="str">
        <x:v>PEA-A-Y2</x:v>
      </x:c>
      <x:c r="D1936" s="7" t="str">
        <x:v>factory calibration</x:v>
      </x:c>
      <x:c r="E1936" s="7" t="str">
        <x:v>CAL-CH-PEA-A-Y2-21-5</x:v>
      </x:c>
      <x:c r="F1936" s="7" t="str">
        <x:f>'Calibration Records'!M707</x:f>
        <x:v>OPEN</x:v>
      </x:c>
    </x:row>
    <x:row r="1937">
      <x:c r="B1937" s="7" t="str">
        <x:v>AG-01931</x:v>
      </x:c>
      <x:c r="C1937" s="7" t="str">
        <x:v>PEA-A-Y2</x:v>
      </x:c>
      <x:c r="D1937" s="7" t="str">
        <x:v>factory calibration</x:v>
      </x:c>
      <x:c r="E1937" s="7" t="str">
        <x:v>CAL-CH-PEA-A-Y2-21-6</x:v>
      </x:c>
      <x:c r="F1937" s="7" t="str">
        <x:f>'Calibration Records'!M708</x:f>
        <x:v>OPEN</x:v>
      </x:c>
    </x:row>
    <x:row r="1938">
      <x:c r="B1938" s="7" t="str">
        <x:v>AG-01932</x:v>
      </x:c>
      <x:c r="C1938" s="7" t="str">
        <x:v>PEA-A-Y2</x:v>
      </x:c>
      <x:c r="D1938" s="7" t="str">
        <x:v>factory calibration</x:v>
      </x:c>
      <x:c r="E1938" s="7" t="str">
        <x:v>CAL-CH-PEA-A-Y2-22-1</x:v>
      </x:c>
      <x:c r="F1938" s="7" t="str">
        <x:f>'Calibration Records'!M709</x:f>
        <x:v>OPEN</x:v>
      </x:c>
    </x:row>
    <x:row r="1939">
      <x:c r="B1939" s="7" t="str">
        <x:v>AG-01933</x:v>
      </x:c>
      <x:c r="C1939" s="7" t="str">
        <x:v>PEA-A-Y2</x:v>
      </x:c>
      <x:c r="D1939" s="7" t="str">
        <x:v>factory calibration</x:v>
      </x:c>
      <x:c r="E1939" s="7" t="str">
        <x:v>CAL-CH-PEA-A-Y2-22-2</x:v>
      </x:c>
      <x:c r="F1939" s="7" t="str">
        <x:f>'Calibration Records'!M710</x:f>
        <x:v>OPEN</x:v>
      </x:c>
    </x:row>
    <x:row r="1940">
      <x:c r="B1940" s="7" t="str">
        <x:v>AG-01934</x:v>
      </x:c>
      <x:c r="C1940" s="7" t="str">
        <x:v>PEA-A-Y2</x:v>
      </x:c>
      <x:c r="D1940" s="7" t="str">
        <x:v>factory calibration</x:v>
      </x:c>
      <x:c r="E1940" s="7" t="str">
        <x:v>CAL-CH-PEA-A-Y2-22-3</x:v>
      </x:c>
      <x:c r="F1940" s="7" t="str">
        <x:f>'Calibration Records'!M711</x:f>
        <x:v>OPEN</x:v>
      </x:c>
    </x:row>
    <x:row r="1941">
      <x:c r="B1941" s="7" t="str">
        <x:v>AG-01935</x:v>
      </x:c>
      <x:c r="C1941" s="7" t="str">
        <x:v>PEA-A-Y2</x:v>
      </x:c>
      <x:c r="D1941" s="7" t="str">
        <x:v>factory calibration</x:v>
      </x:c>
      <x:c r="E1941" s="7" t="str">
        <x:v>CAL-CH-PEA-A-Y2-22-4</x:v>
      </x:c>
      <x:c r="F1941" s="7" t="str">
        <x:f>'Calibration Records'!M712</x:f>
        <x:v>OPEN</x:v>
      </x:c>
    </x:row>
    <x:row r="1942">
      <x:c r="B1942" s="7" t="str">
        <x:v>AG-01936</x:v>
      </x:c>
      <x:c r="C1942" s="7" t="str">
        <x:v>PEA-A-Y2</x:v>
      </x:c>
      <x:c r="D1942" s="7" t="str">
        <x:v>factory calibration</x:v>
      </x:c>
      <x:c r="E1942" s="7" t="str">
        <x:v>CAL-CH-PEA-A-Y2-22-5</x:v>
      </x:c>
      <x:c r="F1942" s="7" t="str">
        <x:f>'Calibration Records'!M713</x:f>
        <x:v>OPEN</x:v>
      </x:c>
    </x:row>
    <x:row r="1943">
      <x:c r="B1943" s="7" t="str">
        <x:v>AG-01937</x:v>
      </x:c>
      <x:c r="C1943" s="7" t="str">
        <x:v>PEA-A-Y2</x:v>
      </x:c>
      <x:c r="D1943" s="7" t="str">
        <x:v>factory calibration</x:v>
      </x:c>
      <x:c r="E1943" s="7" t="str">
        <x:v>CAL-CH-PEA-A-Y2-22-6</x:v>
      </x:c>
      <x:c r="F1943" s="7" t="str">
        <x:f>'Calibration Records'!M714</x:f>
        <x:v>OPEN</x:v>
      </x:c>
    </x:row>
    <x:row r="1944">
      <x:c r="B1944" s="7" t="str">
        <x:v>AG-01938</x:v>
      </x:c>
      <x:c r="C1944" s="7" t="str">
        <x:v>PEA-A-Y2</x:v>
      </x:c>
      <x:c r="D1944" s="7" t="str">
        <x:v>factory calibration</x:v>
      </x:c>
      <x:c r="E1944" s="7" t="str">
        <x:v>CAL-CH-PEA-A-Y2-23-1</x:v>
      </x:c>
      <x:c r="F1944" s="7" t="str">
        <x:f>'Calibration Records'!M715</x:f>
        <x:v>OPEN</x:v>
      </x:c>
    </x:row>
    <x:row r="1945">
      <x:c r="B1945" s="7" t="str">
        <x:v>AG-01939</x:v>
      </x:c>
      <x:c r="C1945" s="7" t="str">
        <x:v>PEA-A-Y2</x:v>
      </x:c>
      <x:c r="D1945" s="7" t="str">
        <x:v>factory calibration</x:v>
      </x:c>
      <x:c r="E1945" s="7" t="str">
        <x:v>CAL-CH-PEA-A-Y2-23-2</x:v>
      </x:c>
      <x:c r="F1945" s="7" t="str">
        <x:f>'Calibration Records'!M716</x:f>
        <x:v>OPEN</x:v>
      </x:c>
    </x:row>
    <x:row r="1946">
      <x:c r="B1946" s="7" t="str">
        <x:v>AG-01940</x:v>
      </x:c>
      <x:c r="C1946" s="7" t="str">
        <x:v>PEA-A-Y2</x:v>
      </x:c>
      <x:c r="D1946" s="7" t="str">
        <x:v>factory calibration</x:v>
      </x:c>
      <x:c r="E1946" s="7" t="str">
        <x:v>CAL-CH-PEA-A-Y2-23-3</x:v>
      </x:c>
      <x:c r="F1946" s="7" t="str">
        <x:f>'Calibration Records'!M717</x:f>
        <x:v>OPEN</x:v>
      </x:c>
    </x:row>
    <x:row r="1947">
      <x:c r="B1947" s="7" t="str">
        <x:v>AG-01941</x:v>
      </x:c>
      <x:c r="C1947" s="7" t="str">
        <x:v>PEA-A-Y2</x:v>
      </x:c>
      <x:c r="D1947" s="7" t="str">
        <x:v>factory calibration</x:v>
      </x:c>
      <x:c r="E1947" s="7" t="str">
        <x:v>CAL-CH-PEA-A-Y2-23-4</x:v>
      </x:c>
      <x:c r="F1947" s="7" t="str">
        <x:f>'Calibration Records'!M718</x:f>
        <x:v>OPEN</x:v>
      </x:c>
    </x:row>
    <x:row r="1948">
      <x:c r="B1948" s="7" t="str">
        <x:v>AG-01942</x:v>
      </x:c>
      <x:c r="C1948" s="7" t="str">
        <x:v>PEA-A-Y2</x:v>
      </x:c>
      <x:c r="D1948" s="7" t="str">
        <x:v>factory calibration</x:v>
      </x:c>
      <x:c r="E1948" s="7" t="str">
        <x:v>CAL-CH-PEA-A-Y2-23-5</x:v>
      </x:c>
      <x:c r="F1948" s="7" t="str">
        <x:f>'Calibration Records'!M719</x:f>
        <x:v>OPEN</x:v>
      </x:c>
    </x:row>
    <x:row r="1949">
      <x:c r="B1949" s="7" t="str">
        <x:v>AG-01943</x:v>
      </x:c>
      <x:c r="C1949" s="7" t="str">
        <x:v>PEA-A-Y2</x:v>
      </x:c>
      <x:c r="D1949" s="7" t="str">
        <x:v>factory calibration</x:v>
      </x:c>
      <x:c r="E1949" s="7" t="str">
        <x:v>CAL-CH-PEA-A-Y2-23-6</x:v>
      </x:c>
      <x:c r="F1949" s="7" t="str">
        <x:f>'Calibration Records'!M720</x:f>
        <x:v>OPEN</x:v>
      </x:c>
    </x:row>
    <x:row r="1950">
      <x:c r="B1950" s="7" t="str">
        <x:v>AG-01944</x:v>
      </x:c>
      <x:c r="C1950" s="7" t="str">
        <x:v>PEA-A-Y2</x:v>
      </x:c>
      <x:c r="D1950" s="7" t="str">
        <x:v>factory calibration</x:v>
      </x:c>
      <x:c r="E1950" s="7" t="str">
        <x:v>CAL-CH-PEA-A-Y2-24-1</x:v>
      </x:c>
      <x:c r="F1950" s="7" t="str">
        <x:f>'Calibration Records'!M721</x:f>
        <x:v>OPEN</x:v>
      </x:c>
    </x:row>
    <x:row r="1951">
      <x:c r="B1951" s="7" t="str">
        <x:v>AG-01945</x:v>
      </x:c>
      <x:c r="C1951" s="7" t="str">
        <x:v>PEA-A-Y2</x:v>
      </x:c>
      <x:c r="D1951" s="7" t="str">
        <x:v>factory calibration</x:v>
      </x:c>
      <x:c r="E1951" s="7" t="str">
        <x:v>CAL-CH-PEA-A-Y2-24-2</x:v>
      </x:c>
      <x:c r="F1951" s="7" t="str">
        <x:f>'Calibration Records'!M722</x:f>
        <x:v>OPEN</x:v>
      </x:c>
    </x:row>
    <x:row r="1952">
      <x:c r="B1952" s="7" t="str">
        <x:v>AG-01946</x:v>
      </x:c>
      <x:c r="C1952" s="7" t="str">
        <x:v>PEA-A-Y2</x:v>
      </x:c>
      <x:c r="D1952" s="7" t="str">
        <x:v>factory calibration</x:v>
      </x:c>
      <x:c r="E1952" s="7" t="str">
        <x:v>CAL-CH-PEA-A-Y2-24-3</x:v>
      </x:c>
      <x:c r="F1952" s="7" t="str">
        <x:f>'Calibration Records'!M723</x:f>
        <x:v>OPEN</x:v>
      </x:c>
    </x:row>
    <x:row r="1953">
      <x:c r="B1953" s="7" t="str">
        <x:v>AG-01947</x:v>
      </x:c>
      <x:c r="C1953" s="7" t="str">
        <x:v>PEA-A-Y2</x:v>
      </x:c>
      <x:c r="D1953" s="7" t="str">
        <x:v>factory calibration</x:v>
      </x:c>
      <x:c r="E1953" s="7" t="str">
        <x:v>CAL-CH-PEA-A-Y2-24-4</x:v>
      </x:c>
      <x:c r="F1953" s="7" t="str">
        <x:f>'Calibration Records'!M724</x:f>
        <x:v>OPEN</x:v>
      </x:c>
    </x:row>
    <x:row r="1954">
      <x:c r="B1954" s="7" t="str">
        <x:v>AG-01948</x:v>
      </x:c>
      <x:c r="C1954" s="7" t="str">
        <x:v>PEA-A-Y2</x:v>
      </x:c>
      <x:c r="D1954" s="7" t="str">
        <x:v>factory calibration</x:v>
      </x:c>
      <x:c r="E1954" s="7" t="str">
        <x:v>CAL-CH-PEA-A-Y2-24-5</x:v>
      </x:c>
      <x:c r="F1954" s="7" t="str">
        <x:f>'Calibration Records'!M725</x:f>
        <x:v>OPEN</x:v>
      </x:c>
    </x:row>
    <x:row r="1955">
      <x:c r="B1955" s="7" t="str">
        <x:v>AG-01949</x:v>
      </x:c>
      <x:c r="C1955" s="7" t="str">
        <x:v>PEA-A-Y2</x:v>
      </x:c>
      <x:c r="D1955" s="7" t="str">
        <x:v>factory calibration</x:v>
      </x:c>
      <x:c r="E1955" s="7" t="str">
        <x:v>CAL-CH-PEA-A-Y2-24-6</x:v>
      </x:c>
      <x:c r="F1955" s="7" t="str">
        <x:f>'Calibration Records'!M726</x:f>
        <x:v>OPEN</x:v>
      </x:c>
    </x:row>
    <x:row r="1956">
      <x:c r="B1956" s="7" t="str">
        <x:v>AG-01950</x:v>
      </x:c>
      <x:c r="C1956" s="7" t="str">
        <x:v>PEA-A-Y2</x:v>
      </x:c>
      <x:c r="D1956" s="7" t="str">
        <x:v>article master</x:v>
      </x:c>
      <x:c r="E1956" s="7" t="str">
        <x:v>PEA-A-Y2</x:v>
      </x:c>
      <x:c r="F1956" s="7" t="str">
        <x:f>'Article Population'!Q11</x:f>
        <x:v>OPEN</x:v>
      </x:c>
    </x:row>
    <x:row r="1957">
      <x:c r="B1957" s="7" t="str">
        <x:v>AG-01951</x:v>
      </x:c>
      <x:c r="C1957" s="7" t="str">
        <x:v>PEA-A-Y3</x:v>
      </x:c>
      <x:c r="D1957" s="7" t="str">
        <x:v>lineage capsule</x:v>
      </x:c>
      <x:c r="E1957" s="7" t="str">
        <x:v>BL-Y</x:v>
      </x:c>
      <x:c r="F1957" s="7" t="str">
        <x:f>'Baseline Package'!F8</x:f>
        <x:v>OPEN</x:v>
      </x:c>
    </x:row>
    <x:row r="1958">
      <x:c r="B1958" s="7" t="str">
        <x:v>AG-01952</x:v>
      </x:c>
      <x:c r="C1958" s="7" t="str">
        <x:v>PEA-A-Y3</x:v>
      </x:c>
      <x:c r="D1958" s="7" t="str">
        <x:v>builder qualification</x:v>
      </x:c>
      <x:c r="E1958" s="7" t="str">
        <x:v>BLD-A</x:v>
      </x:c>
      <x:c r="F1958" s="7" t="str">
        <x:f>Builders!K7</x:f>
        <x:v>OPEN</x:v>
      </x:c>
    </x:row>
    <x:row r="1959">
      <x:c r="B1959" s="7" t="str">
        <x:v>AG-01953</x:v>
      </x:c>
      <x:c r="C1959" s="7" t="str">
        <x:v>PEA-A-Y3</x:v>
      </x:c>
      <x:c r="D1959" s="7" t="str">
        <x:v>material split</x:v>
      </x:c>
      <x:c r="E1959" s="7" t="str">
        <x:v>SPLIT-PEA-A-Y3</x:v>
      </x:c>
      <x:c r="F1959" s="7" t="str">
        <x:f>'Material Matrix'!K12</x:f>
        <x:v>OPEN</x:v>
      </x:c>
    </x:row>
    <x:row r="1960">
      <x:c r="B1960" s="7" t="str">
        <x:v>AG-01954</x:v>
      </x:c>
      <x:c r="C1960" s="7" t="str">
        <x:v>PEA-A-Y3</x:v>
      </x:c>
      <x:c r="D1960" s="7" t="str">
        <x:v>build sequence</x:v>
      </x:c>
      <x:c r="E1960" s="7" t="str">
        <x:v>SEQ-PEA-A-Y3</x:v>
      </x:c>
      <x:c r="F1960" s="7" t="str">
        <x:f>'Build Sequence'!L12</x:f>
        <x:v>OPEN</x:v>
      </x:c>
    </x:row>
    <x:row r="1961">
      <x:c r="B1961" s="7" t="str">
        <x:v>AG-01955</x:v>
      </x:c>
      <x:c r="C1961" s="7" t="str">
        <x:v>PEA-A-Y3</x:v>
      </x:c>
      <x:c r="D1961" s="7" t="str">
        <x:v>section traveler</x:v>
      </x:c>
      <x:c r="E1961" s="7" t="str">
        <x:v>TRV-PEA-A-Y3-01</x:v>
      </x:c>
      <x:c r="F1961" s="7" t="str">
        <x:f>'Section Travelers'!L107</x:f>
        <x:v>OPEN</x:v>
      </x:c>
    </x:row>
    <x:row r="1962">
      <x:c r="B1962" s="7" t="str">
        <x:v>AG-01956</x:v>
      </x:c>
      <x:c r="C1962" s="7" t="str">
        <x:v>PEA-A-Y3</x:v>
      </x:c>
      <x:c r="D1962" s="7" t="str">
        <x:v>section traveler</x:v>
      </x:c>
      <x:c r="E1962" s="7" t="str">
        <x:v>TRV-PEA-A-Y3-02</x:v>
      </x:c>
      <x:c r="F1962" s="7" t="str">
        <x:f>'Section Travelers'!L108</x:f>
        <x:v>OPEN</x:v>
      </x:c>
    </x:row>
    <x:row r="1963">
      <x:c r="B1963" s="7" t="str">
        <x:v>AG-01957</x:v>
      </x:c>
      <x:c r="C1963" s="7" t="str">
        <x:v>PEA-A-Y3</x:v>
      </x:c>
      <x:c r="D1963" s="7" t="str">
        <x:v>section traveler</x:v>
      </x:c>
      <x:c r="E1963" s="7" t="str">
        <x:v>TRV-PEA-A-Y3-03</x:v>
      </x:c>
      <x:c r="F1963" s="7" t="str">
        <x:f>'Section Travelers'!L109</x:f>
        <x:v>OPEN</x:v>
      </x:c>
    </x:row>
    <x:row r="1964">
      <x:c r="B1964" s="7" t="str">
        <x:v>AG-01958</x:v>
      </x:c>
      <x:c r="C1964" s="7" t="str">
        <x:v>PEA-A-Y3</x:v>
      </x:c>
      <x:c r="D1964" s="7" t="str">
        <x:v>section traveler</x:v>
      </x:c>
      <x:c r="E1964" s="7" t="str">
        <x:v>TRV-PEA-A-Y3-04</x:v>
      </x:c>
      <x:c r="F1964" s="7" t="str">
        <x:f>'Section Travelers'!L110</x:f>
        <x:v>OPEN</x:v>
      </x:c>
    </x:row>
    <x:row r="1965">
      <x:c r="B1965" s="7" t="str">
        <x:v>AG-01959</x:v>
      </x:c>
      <x:c r="C1965" s="7" t="str">
        <x:v>PEA-A-Y3</x:v>
      </x:c>
      <x:c r="D1965" s="7" t="str">
        <x:v>section traveler</x:v>
      </x:c>
      <x:c r="E1965" s="7" t="str">
        <x:v>TRV-PEA-A-Y3-05</x:v>
      </x:c>
      <x:c r="F1965" s="7" t="str">
        <x:f>'Section Travelers'!L111</x:f>
        <x:v>OPEN</x:v>
      </x:c>
    </x:row>
    <x:row r="1966">
      <x:c r="B1966" s="7" t="str">
        <x:v>AG-01960</x:v>
      </x:c>
      <x:c r="C1966" s="7" t="str">
        <x:v>PEA-A-Y3</x:v>
      </x:c>
      <x:c r="D1966" s="7" t="str">
        <x:v>section traveler</x:v>
      </x:c>
      <x:c r="E1966" s="7" t="str">
        <x:v>TRV-PEA-A-Y3-06</x:v>
      </x:c>
      <x:c r="F1966" s="7" t="str">
        <x:f>'Section Travelers'!L112</x:f>
        <x:v>OPEN</x:v>
      </x:c>
    </x:row>
    <x:row r="1967">
      <x:c r="B1967" s="7" t="str">
        <x:v>AG-01961</x:v>
      </x:c>
      <x:c r="C1967" s="7" t="str">
        <x:v>PEA-A-Y3</x:v>
      </x:c>
      <x:c r="D1967" s="7" t="str">
        <x:v>section traveler</x:v>
      </x:c>
      <x:c r="E1967" s="7" t="str">
        <x:v>TRV-PEA-A-Y3-07</x:v>
      </x:c>
      <x:c r="F1967" s="7" t="str">
        <x:f>'Section Travelers'!L113</x:f>
        <x:v>OPEN</x:v>
      </x:c>
    </x:row>
    <x:row r="1968">
      <x:c r="B1968" s="7" t="str">
        <x:v>AG-01962</x:v>
      </x:c>
      <x:c r="C1968" s="7" t="str">
        <x:v>PEA-A-Y3</x:v>
      </x:c>
      <x:c r="D1968" s="7" t="str">
        <x:v>section traveler</x:v>
      </x:c>
      <x:c r="E1968" s="7" t="str">
        <x:v>TRV-PEA-A-Y3-08</x:v>
      </x:c>
      <x:c r="F1968" s="7" t="str">
        <x:f>'Section Travelers'!L114</x:f>
        <x:v>OPEN</x:v>
      </x:c>
    </x:row>
    <x:row r="1969">
      <x:c r="B1969" s="7" t="str">
        <x:v>AG-01963</x:v>
      </x:c>
      <x:c r="C1969" s="7" t="str">
        <x:v>PEA-A-Y3</x:v>
      </x:c>
      <x:c r="D1969" s="7" t="str">
        <x:v>section traveler</x:v>
      </x:c>
      <x:c r="E1969" s="7" t="str">
        <x:v>TRV-PEA-A-Y3-09</x:v>
      </x:c>
      <x:c r="F1969" s="7" t="str">
        <x:f>'Section Travelers'!L115</x:f>
        <x:v>OPEN</x:v>
      </x:c>
    </x:row>
    <x:row r="1970">
      <x:c r="B1970" s="7" t="str">
        <x:v>AG-01964</x:v>
      </x:c>
      <x:c r="C1970" s="7" t="str">
        <x:v>PEA-A-Y3</x:v>
      </x:c>
      <x:c r="D1970" s="7" t="str">
        <x:v>section traveler</x:v>
      </x:c>
      <x:c r="E1970" s="7" t="str">
        <x:v>TRV-PEA-A-Y3-10</x:v>
      </x:c>
      <x:c r="F1970" s="7" t="str">
        <x:f>'Section Travelers'!L116</x:f>
        <x:v>OPEN</x:v>
      </x:c>
    </x:row>
    <x:row r="1971">
      <x:c r="B1971" s="7" t="str">
        <x:v>AG-01965</x:v>
      </x:c>
      <x:c r="C1971" s="7" t="str">
        <x:v>PEA-A-Y3</x:v>
      </x:c>
      <x:c r="D1971" s="7" t="str">
        <x:v>section traveler</x:v>
      </x:c>
      <x:c r="E1971" s="7" t="str">
        <x:v>TRV-PEA-A-Y3-11</x:v>
      </x:c>
      <x:c r="F1971" s="7" t="str">
        <x:f>'Section Travelers'!L117</x:f>
        <x:v>OPEN</x:v>
      </x:c>
    </x:row>
    <x:row r="1972">
      <x:c r="B1972" s="7" t="str">
        <x:v>AG-01966</x:v>
      </x:c>
      <x:c r="C1972" s="7" t="str">
        <x:v>PEA-A-Y3</x:v>
      </x:c>
      <x:c r="D1972" s="7" t="str">
        <x:v>section traveler</x:v>
      </x:c>
      <x:c r="E1972" s="7" t="str">
        <x:v>TRV-PEA-A-Y3-12</x:v>
      </x:c>
      <x:c r="F1972" s="7" t="str">
        <x:f>'Section Travelers'!L118</x:f>
        <x:v>OPEN</x:v>
      </x:c>
    </x:row>
    <x:row r="1973">
      <x:c r="B1973" s="7" t="str">
        <x:v>AG-01967</x:v>
      </x:c>
      <x:c r="C1973" s="7" t="str">
        <x:v>PEA-A-Y3</x:v>
      </x:c>
      <x:c r="D1973" s="7" t="str">
        <x:v>section traveler</x:v>
      </x:c>
      <x:c r="E1973" s="7" t="str">
        <x:v>TRV-PEA-A-Y3-13</x:v>
      </x:c>
      <x:c r="F1973" s="7" t="str">
        <x:f>'Section Travelers'!L119</x:f>
        <x:v>OPEN</x:v>
      </x:c>
    </x:row>
    <x:row r="1974">
      <x:c r="B1974" s="7" t="str">
        <x:v>AG-01968</x:v>
      </x:c>
      <x:c r="C1974" s="7" t="str">
        <x:v>PEA-A-Y3</x:v>
      </x:c>
      <x:c r="D1974" s="7" t="str">
        <x:v>section traveler</x:v>
      </x:c>
      <x:c r="E1974" s="7" t="str">
        <x:v>TRV-PEA-A-Y3-14</x:v>
      </x:c>
      <x:c r="F1974" s="7" t="str">
        <x:f>'Section Travelers'!L120</x:f>
        <x:v>OPEN</x:v>
      </x:c>
    </x:row>
    <x:row r="1975">
      <x:c r="B1975" s="7" t="str">
        <x:v>AG-01969</x:v>
      </x:c>
      <x:c r="C1975" s="7" t="str">
        <x:v>PEA-A-Y3</x:v>
      </x:c>
      <x:c r="D1975" s="7" t="str">
        <x:v>section traveler</x:v>
      </x:c>
      <x:c r="E1975" s="7" t="str">
        <x:v>TRV-PEA-A-Y3-15</x:v>
      </x:c>
      <x:c r="F1975" s="7" t="str">
        <x:f>'Section Travelers'!L121</x:f>
        <x:v>OPEN</x:v>
      </x:c>
    </x:row>
    <x:row r="1976">
      <x:c r="B1976" s="7" t="str">
        <x:v>AG-01970</x:v>
      </x:c>
      <x:c r="C1976" s="7" t="str">
        <x:v>PEA-A-Y3</x:v>
      </x:c>
      <x:c r="D1976" s="7" t="str">
        <x:v>section traveler</x:v>
      </x:c>
      <x:c r="E1976" s="7" t="str">
        <x:v>TRV-PEA-A-Y3-16</x:v>
      </x:c>
      <x:c r="F1976" s="7" t="str">
        <x:f>'Section Travelers'!L122</x:f>
        <x:v>OPEN</x:v>
      </x:c>
    </x:row>
    <x:row r="1977">
      <x:c r="B1977" s="7" t="str">
        <x:v>AG-01971</x:v>
      </x:c>
      <x:c r="C1977" s="7" t="str">
        <x:v>PEA-A-Y3</x:v>
      </x:c>
      <x:c r="D1977" s="7" t="str">
        <x:v>section traveler</x:v>
      </x:c>
      <x:c r="E1977" s="7" t="str">
        <x:v>TRV-PEA-A-Y3-17</x:v>
      </x:c>
      <x:c r="F1977" s="7" t="str">
        <x:f>'Section Travelers'!L123</x:f>
        <x:v>OPEN</x:v>
      </x:c>
    </x:row>
    <x:row r="1978">
      <x:c r="B1978" s="7" t="str">
        <x:v>AG-01972</x:v>
      </x:c>
      <x:c r="C1978" s="7" t="str">
        <x:v>PEA-A-Y3</x:v>
      </x:c>
      <x:c r="D1978" s="7" t="str">
        <x:v>section traveler</x:v>
      </x:c>
      <x:c r="E1978" s="7" t="str">
        <x:v>TRV-PEA-A-Y3-18</x:v>
      </x:c>
      <x:c r="F1978" s="7" t="str">
        <x:f>'Section Travelers'!L124</x:f>
        <x:v>OPEN</x:v>
      </x:c>
    </x:row>
    <x:row r="1979">
      <x:c r="B1979" s="7" t="str">
        <x:v>AG-01973</x:v>
      </x:c>
      <x:c r="C1979" s="7" t="str">
        <x:v>PEA-A-Y3</x:v>
      </x:c>
      <x:c r="D1979" s="7" t="str">
        <x:v>section traveler</x:v>
      </x:c>
      <x:c r="E1979" s="7" t="str">
        <x:v>TRV-PEA-A-Y3-19</x:v>
      </x:c>
      <x:c r="F1979" s="7" t="str">
        <x:f>'Section Travelers'!L125</x:f>
        <x:v>OPEN</x:v>
      </x:c>
    </x:row>
    <x:row r="1980">
      <x:c r="B1980" s="7" t="str">
        <x:v>AG-01974</x:v>
      </x:c>
      <x:c r="C1980" s="7" t="str">
        <x:v>PEA-A-Y3</x:v>
      </x:c>
      <x:c r="D1980" s="7" t="str">
        <x:v>section traveler</x:v>
      </x:c>
      <x:c r="E1980" s="7" t="str">
        <x:v>TRV-PEA-A-Y3-20</x:v>
      </x:c>
      <x:c r="F1980" s="7" t="str">
        <x:f>'Section Travelers'!L126</x:f>
        <x:v>OPEN</x:v>
      </x:c>
    </x:row>
    <x:row r="1981">
      <x:c r="B1981" s="7" t="str">
        <x:v>AG-01975</x:v>
      </x:c>
      <x:c r="C1981" s="7" t="str">
        <x:v>PEA-A-Y3</x:v>
      </x:c>
      <x:c r="D1981" s="7" t="str">
        <x:v>material coupon</x:v>
      </x:c>
      <x:c r="E1981" s="7" t="str">
        <x:v>CPN-PEA-A-Y3-CJ-1</x:v>
      </x:c>
      <x:c r="F1981" s="7" t="str">
        <x:f>'Material Coupons'!K207</x:f>
        <x:v>OPEN</x:v>
      </x:c>
    </x:row>
    <x:row r="1982">
      <x:c r="B1982" s="7" t="str">
        <x:v>AG-01976</x:v>
      </x:c>
      <x:c r="C1982" s="7" t="str">
        <x:v>PEA-A-Y3</x:v>
      </x:c>
      <x:c r="D1982" s="7" t="str">
        <x:v>material coupon</x:v>
      </x:c>
      <x:c r="E1982" s="7" t="str">
        <x:v>CPN-PEA-A-Y3-CJ-2</x:v>
      </x:c>
      <x:c r="F1982" s="7" t="str">
        <x:f>'Material Coupons'!K208</x:f>
        <x:v>OPEN</x:v>
      </x:c>
    </x:row>
    <x:row r="1983">
      <x:c r="B1983" s="7" t="str">
        <x:v>AG-01977</x:v>
      </x:c>
      <x:c r="C1983" s="7" t="str">
        <x:v>PEA-A-Y3</x:v>
      </x:c>
      <x:c r="D1983" s="7" t="str">
        <x:v>material coupon</x:v>
      </x:c>
      <x:c r="E1983" s="7" t="str">
        <x:v>CPN-PEA-A-Y3-CJ-3</x:v>
      </x:c>
      <x:c r="F1983" s="7" t="str">
        <x:f>'Material Coupons'!K209</x:f>
        <x:v>OPEN</x:v>
      </x:c>
    </x:row>
    <x:row r="1984">
      <x:c r="B1984" s="7" t="str">
        <x:v>AG-01978</x:v>
      </x:c>
      <x:c r="C1984" s="7" t="str">
        <x:v>PEA-A-Y3</x:v>
      </x:c>
      <x:c r="D1984" s="7" t="str">
        <x:v>material coupon</x:v>
      </x:c>
      <x:c r="E1984" s="7" t="str">
        <x:v>CPN-PEA-A-Y3-CJ-4</x:v>
      </x:c>
      <x:c r="F1984" s="7" t="str">
        <x:f>'Material Coupons'!K210</x:f>
        <x:v>OPEN</x:v>
      </x:c>
    </x:row>
    <x:row r="1985">
      <x:c r="B1985" s="7" t="str">
        <x:v>AG-01979</x:v>
      </x:c>
      <x:c r="C1985" s="7" t="str">
        <x:v>PEA-A-Y3</x:v>
      </x:c>
      <x:c r="D1985" s="7" t="str">
        <x:v>material coupon</x:v>
      </x:c>
      <x:c r="E1985" s="7" t="str">
        <x:v>CPN-PEA-A-Y3-CJ-5</x:v>
      </x:c>
      <x:c r="F1985" s="7" t="str">
        <x:f>'Material Coupons'!K211</x:f>
        <x:v>OPEN</x:v>
      </x:c>
    </x:row>
    <x:row r="1986">
      <x:c r="B1986" s="7" t="str">
        <x:v>AG-01980</x:v>
      </x:c>
      <x:c r="C1986" s="7" t="str">
        <x:v>PEA-A-Y3</x:v>
      </x:c>
      <x:c r="D1986" s="7" t="str">
        <x:v>material coupon</x:v>
      </x:c>
      <x:c r="E1986" s="7" t="str">
        <x:v>CPN-PEA-A-Y3-CJ-6</x:v>
      </x:c>
      <x:c r="F1986" s="7" t="str">
        <x:f>'Material Coupons'!K212</x:f>
        <x:v>OPEN</x:v>
      </x:c>
    </x:row>
    <x:row r="1987">
      <x:c r="B1987" s="7" t="str">
        <x:v>AG-01981</x:v>
      </x:c>
      <x:c r="C1987" s="7" t="str">
        <x:v>PEA-A-Y3</x:v>
      </x:c>
      <x:c r="D1987" s="7" t="str">
        <x:v>material coupon</x:v>
      </x:c>
      <x:c r="E1987" s="7" t="str">
        <x:v>CPN-PEA-A-Y3-CJ-7</x:v>
      </x:c>
      <x:c r="F1987" s="7" t="str">
        <x:f>'Material Coupons'!K213</x:f>
        <x:v>OPEN</x:v>
      </x:c>
    </x:row>
    <x:row r="1988">
      <x:c r="B1988" s="7" t="str">
        <x:v>AG-01982</x:v>
      </x:c>
      <x:c r="C1988" s="7" t="str">
        <x:v>PEA-A-Y3</x:v>
      </x:c>
      <x:c r="D1988" s="7" t="str">
        <x:v>material coupon</x:v>
      </x:c>
      <x:c r="E1988" s="7" t="str">
        <x:v>CPN-PEA-A-Y3-CJ-8</x:v>
      </x:c>
      <x:c r="F1988" s="7" t="str">
        <x:f>'Material Coupons'!K214</x:f>
        <x:v>OPEN</x:v>
      </x:c>
    </x:row>
    <x:row r="1989">
      <x:c r="B1989" s="7" t="str">
        <x:v>AG-01983</x:v>
      </x:c>
      <x:c r="C1989" s="7" t="str">
        <x:v>PEA-A-Y3</x:v>
      </x:c>
      <x:c r="D1989" s="7" t="str">
        <x:v>material coupon</x:v>
      </x:c>
      <x:c r="E1989" s="7" t="str">
        <x:v>CPN-PEA-A-Y3-SE-1</x:v>
      </x:c>
      <x:c r="F1989" s="7" t="str">
        <x:f>'Material Coupons'!K215</x:f>
        <x:v>OPEN</x:v>
      </x:c>
    </x:row>
    <x:row r="1990">
      <x:c r="B1990" s="7" t="str">
        <x:v>AG-01984</x:v>
      </x:c>
      <x:c r="C1990" s="7" t="str">
        <x:v>PEA-A-Y3</x:v>
      </x:c>
      <x:c r="D1990" s="7" t="str">
        <x:v>material coupon</x:v>
      </x:c>
      <x:c r="E1990" s="7" t="str">
        <x:v>CPN-PEA-A-Y3-SE-2</x:v>
      </x:c>
      <x:c r="F1990" s="7" t="str">
        <x:f>'Material Coupons'!K216</x:f>
        <x:v>OPEN</x:v>
      </x:c>
    </x:row>
    <x:row r="1991">
      <x:c r="B1991" s="7" t="str">
        <x:v>AG-01985</x:v>
      </x:c>
      <x:c r="C1991" s="7" t="str">
        <x:v>PEA-A-Y3</x:v>
      </x:c>
      <x:c r="D1991" s="7" t="str">
        <x:v>material coupon</x:v>
      </x:c>
      <x:c r="E1991" s="7" t="str">
        <x:v>CPN-PEA-A-Y3-SE-3</x:v>
      </x:c>
      <x:c r="F1991" s="7" t="str">
        <x:f>'Material Coupons'!K217</x:f>
        <x:v>OPEN</x:v>
      </x:c>
    </x:row>
    <x:row r="1992">
      <x:c r="B1992" s="7" t="str">
        <x:v>AG-01986</x:v>
      </x:c>
      <x:c r="C1992" s="7" t="str">
        <x:v>PEA-A-Y3</x:v>
      </x:c>
      <x:c r="D1992" s="7" t="str">
        <x:v>material coupon</x:v>
      </x:c>
      <x:c r="E1992" s="7" t="str">
        <x:v>CPN-PEA-A-Y3-SE-4</x:v>
      </x:c>
      <x:c r="F1992" s="7" t="str">
        <x:f>'Material Coupons'!K218</x:f>
        <x:v>OPEN</x:v>
      </x:c>
    </x:row>
    <x:row r="1993">
      <x:c r="B1993" s="7" t="str">
        <x:v>AG-01987</x:v>
      </x:c>
      <x:c r="C1993" s="7" t="str">
        <x:v>PEA-A-Y3</x:v>
      </x:c>
      <x:c r="D1993" s="7" t="str">
        <x:v>material coupon</x:v>
      </x:c>
      <x:c r="E1993" s="7" t="str">
        <x:v>CPN-PEA-A-Y3-SE-5</x:v>
      </x:c>
      <x:c r="F1993" s="7" t="str">
        <x:f>'Material Coupons'!K219</x:f>
        <x:v>OPEN</x:v>
      </x:c>
    </x:row>
    <x:row r="1994">
      <x:c r="B1994" s="7" t="str">
        <x:v>AG-01988</x:v>
      </x:c>
      <x:c r="C1994" s="7" t="str">
        <x:v>PEA-A-Y3</x:v>
      </x:c>
      <x:c r="D1994" s="7" t="str">
        <x:v>material coupon</x:v>
      </x:c>
      <x:c r="E1994" s="7" t="str">
        <x:v>CPN-PEA-A-Y3-SE-6</x:v>
      </x:c>
      <x:c r="F1994" s="7" t="str">
        <x:f>'Material Coupons'!K220</x:f>
        <x:v>OPEN</x:v>
      </x:c>
    </x:row>
    <x:row r="1995">
      <x:c r="B1995" s="7" t="str">
        <x:v>AG-01989</x:v>
      </x:c>
      <x:c r="C1995" s="7" t="str">
        <x:v>PEA-A-Y3</x:v>
      </x:c>
      <x:c r="D1995" s="7" t="str">
        <x:v>material coupon</x:v>
      </x:c>
      <x:c r="E1995" s="7" t="str">
        <x:v>CPN-PEA-A-Y3-SE-7</x:v>
      </x:c>
      <x:c r="F1995" s="7" t="str">
        <x:f>'Material Coupons'!K221</x:f>
        <x:v>OPEN</x:v>
      </x:c>
    </x:row>
    <x:row r="1996">
      <x:c r="B1996" s="7" t="str">
        <x:v>AG-01990</x:v>
      </x:c>
      <x:c r="C1996" s="7" t="str">
        <x:v>PEA-A-Y3</x:v>
      </x:c>
      <x:c r="D1996" s="7" t="str">
        <x:v>material coupon</x:v>
      </x:c>
      <x:c r="E1996" s="7" t="str">
        <x:v>CPN-PEA-A-Y3-SE-8</x:v>
      </x:c>
      <x:c r="F1996" s="7" t="str">
        <x:f>'Material Coupons'!K222</x:f>
        <x:v>OPEN</x:v>
      </x:c>
    </x:row>
    <x:row r="1997">
      <x:c r="B1997" s="7" t="str">
        <x:v>AG-01991</x:v>
      </x:c>
      <x:c r="C1997" s="7" t="str">
        <x:v>PEA-A-Y3</x:v>
      </x:c>
      <x:c r="D1997" s="7" t="str">
        <x:v>material coupon</x:v>
      </x:c>
      <x:c r="E1997" s="7" t="str">
        <x:v>CPN-PEA-A-Y3-SF-1</x:v>
      </x:c>
      <x:c r="F1997" s="7" t="str">
        <x:f>'Material Coupons'!K223</x:f>
        <x:v>OPEN</x:v>
      </x:c>
    </x:row>
    <x:row r="1998">
      <x:c r="B1998" s="7" t="str">
        <x:v>AG-01992</x:v>
      </x:c>
      <x:c r="C1998" s="7" t="str">
        <x:v>PEA-A-Y3</x:v>
      </x:c>
      <x:c r="D1998" s="7" t="str">
        <x:v>material coupon</x:v>
      </x:c>
      <x:c r="E1998" s="7" t="str">
        <x:v>CPN-PEA-A-Y3-SF-2</x:v>
      </x:c>
      <x:c r="F1998" s="7" t="str">
        <x:f>'Material Coupons'!K224</x:f>
        <x:v>OPEN</x:v>
      </x:c>
    </x:row>
    <x:row r="1999">
      <x:c r="B1999" s="7" t="str">
        <x:v>AG-01993</x:v>
      </x:c>
      <x:c r="C1999" s="7" t="str">
        <x:v>PEA-A-Y3</x:v>
      </x:c>
      <x:c r="D1999" s="7" t="str">
        <x:v>material coupon</x:v>
      </x:c>
      <x:c r="E1999" s="7" t="str">
        <x:v>CPN-PEA-A-Y3-SF-3</x:v>
      </x:c>
      <x:c r="F1999" s="7" t="str">
        <x:f>'Material Coupons'!K225</x:f>
        <x:v>OPEN</x:v>
      </x:c>
    </x:row>
    <x:row r="2000">
      <x:c r="B2000" s="7" t="str">
        <x:v>AG-01994</x:v>
      </x:c>
      <x:c r="C2000" s="7" t="str">
        <x:v>PEA-A-Y3</x:v>
      </x:c>
      <x:c r="D2000" s="7" t="str">
        <x:v>material coupon</x:v>
      </x:c>
      <x:c r="E2000" s="7" t="str">
        <x:v>CPN-PEA-A-Y3-SF-4</x:v>
      </x:c>
      <x:c r="F2000" s="7" t="str">
        <x:f>'Material Coupons'!K226</x:f>
        <x:v>OPEN</x:v>
      </x:c>
    </x:row>
    <x:row r="2001">
      <x:c r="B2001" s="7" t="str">
        <x:v>AG-01995</x:v>
      </x:c>
      <x:c r="C2001" s="7" t="str">
        <x:v>PEA-A-Y3</x:v>
      </x:c>
      <x:c r="D2001" s="7" t="str">
        <x:v>material coupon</x:v>
      </x:c>
      <x:c r="E2001" s="7" t="str">
        <x:v>CPN-PEA-A-Y3-SF-5</x:v>
      </x:c>
      <x:c r="F2001" s="7" t="str">
        <x:f>'Material Coupons'!K227</x:f>
        <x:v>OPEN</x:v>
      </x:c>
    </x:row>
    <x:row r="2002">
      <x:c r="B2002" s="7" t="str">
        <x:v>AG-01996</x:v>
      </x:c>
      <x:c r="C2002" s="7" t="str">
        <x:v>PEA-A-Y3</x:v>
      </x:c>
      <x:c r="D2002" s="7" t="str">
        <x:v>material coupon</x:v>
      </x:c>
      <x:c r="E2002" s="7" t="str">
        <x:v>CPN-PEA-A-Y3-SF-6</x:v>
      </x:c>
      <x:c r="F2002" s="7" t="str">
        <x:f>'Material Coupons'!K228</x:f>
        <x:v>OPEN</x:v>
      </x:c>
    </x:row>
    <x:row r="2003">
      <x:c r="B2003" s="7" t="str">
        <x:v>AG-01997</x:v>
      </x:c>
      <x:c r="C2003" s="7" t="str">
        <x:v>PEA-A-Y3</x:v>
      </x:c>
      <x:c r="D2003" s="7" t="str">
        <x:v>material coupon</x:v>
      </x:c>
      <x:c r="E2003" s="7" t="str">
        <x:v>CPN-PEA-A-Y3-SF-7</x:v>
      </x:c>
      <x:c r="F2003" s="7" t="str">
        <x:f>'Material Coupons'!K229</x:f>
        <x:v>OPEN</x:v>
      </x:c>
    </x:row>
    <x:row r="2004">
      <x:c r="B2004" s="7" t="str">
        <x:v>AG-01998</x:v>
      </x:c>
      <x:c r="C2004" s="7" t="str">
        <x:v>PEA-A-Y3</x:v>
      </x:c>
      <x:c r="D2004" s="7" t="str">
        <x:v>material coupon</x:v>
      </x:c>
      <x:c r="E2004" s="7" t="str">
        <x:v>CPN-PEA-A-Y3-SF-8</x:v>
      </x:c>
      <x:c r="F2004" s="7" t="str">
        <x:f>'Material Coupons'!K230</x:f>
        <x:v>OPEN</x:v>
      </x:c>
    </x:row>
    <x:row r="2005">
      <x:c r="B2005" s="7" t="str">
        <x:v>AG-01999</x:v>
      </x:c>
      <x:c r="C2005" s="7" t="str">
        <x:v>PEA-A-Y3</x:v>
      </x:c>
      <x:c r="D2005" s="7" t="str">
        <x:v>material coupon</x:v>
      </x:c>
      <x:c r="E2005" s="7" t="str">
        <x:v>CPN-PEA-A-Y3-CP-1</x:v>
      </x:c>
      <x:c r="F2005" s="7" t="str">
        <x:f>'Material Coupons'!K231</x:f>
        <x:v>OPEN</x:v>
      </x:c>
    </x:row>
    <x:row r="2006">
      <x:c r="B2006" s="7" t="str">
        <x:v>AG-02000</x:v>
      </x:c>
      <x:c r="C2006" s="7" t="str">
        <x:v>PEA-A-Y3</x:v>
      </x:c>
      <x:c r="D2006" s="7" t="str">
        <x:v>material coupon</x:v>
      </x:c>
      <x:c r="E2006" s="7" t="str">
        <x:v>CPN-PEA-A-Y3-CP-2</x:v>
      </x:c>
      <x:c r="F2006" s="7" t="str">
        <x:f>'Material Coupons'!K232</x:f>
        <x:v>OPEN</x:v>
      </x:c>
    </x:row>
    <x:row r="2007">
      <x:c r="B2007" s="7" t="str">
        <x:v>AG-02001</x:v>
      </x:c>
      <x:c r="C2007" s="7" t="str">
        <x:v>PEA-A-Y3</x:v>
      </x:c>
      <x:c r="D2007" s="7" t="str">
        <x:v>material coupon</x:v>
      </x:c>
      <x:c r="E2007" s="7" t="str">
        <x:v>CPN-PEA-A-Y3-CP-3</x:v>
      </x:c>
      <x:c r="F2007" s="7" t="str">
        <x:f>'Material Coupons'!K233</x:f>
        <x:v>OPEN</x:v>
      </x:c>
    </x:row>
    <x:row r="2008">
      <x:c r="B2008" s="7" t="str">
        <x:v>AG-02002</x:v>
      </x:c>
      <x:c r="C2008" s="7" t="str">
        <x:v>PEA-A-Y3</x:v>
      </x:c>
      <x:c r="D2008" s="7" t="str">
        <x:v>material coupon</x:v>
      </x:c>
      <x:c r="E2008" s="7" t="str">
        <x:v>CPN-PEA-A-Y3-CP-4</x:v>
      </x:c>
      <x:c r="F2008" s="7" t="str">
        <x:f>'Material Coupons'!K234</x:f>
        <x:v>OPEN</x:v>
      </x:c>
    </x:row>
    <x:row r="2009">
      <x:c r="B2009" s="7" t="str">
        <x:v>AG-02003</x:v>
      </x:c>
      <x:c r="C2009" s="7" t="str">
        <x:v>PEA-A-Y3</x:v>
      </x:c>
      <x:c r="D2009" s="7" t="str">
        <x:v>material coupon</x:v>
      </x:c>
      <x:c r="E2009" s="7" t="str">
        <x:v>CPN-PEA-A-Y3-CP-5</x:v>
      </x:c>
      <x:c r="F2009" s="7" t="str">
        <x:f>'Material Coupons'!K235</x:f>
        <x:v>OPEN</x:v>
      </x:c>
    </x:row>
    <x:row r="2010">
      <x:c r="B2010" s="7" t="str">
        <x:v>AG-02004</x:v>
      </x:c>
      <x:c r="C2010" s="7" t="str">
        <x:v>PEA-A-Y3</x:v>
      </x:c>
      <x:c r="D2010" s="7" t="str">
        <x:v>material coupon</x:v>
      </x:c>
      <x:c r="E2010" s="7" t="str">
        <x:v>CPN-PEA-A-Y3-CP-6</x:v>
      </x:c>
      <x:c r="F2010" s="7" t="str">
        <x:f>'Material Coupons'!K236</x:f>
        <x:v>OPEN</x:v>
      </x:c>
    </x:row>
    <x:row r="2011">
      <x:c r="B2011" s="7" t="str">
        <x:v>AG-02005</x:v>
      </x:c>
      <x:c r="C2011" s="7" t="str">
        <x:v>PEA-A-Y3</x:v>
      </x:c>
      <x:c r="D2011" s="7" t="str">
        <x:v>material coupon</x:v>
      </x:c>
      <x:c r="E2011" s="7" t="str">
        <x:v>CPN-PEA-A-Y3-CP-7</x:v>
      </x:c>
      <x:c r="F2011" s="7" t="str">
        <x:f>'Material Coupons'!K237</x:f>
        <x:v>OPEN</x:v>
      </x:c>
    </x:row>
    <x:row r="2012">
      <x:c r="B2012" s="7" t="str">
        <x:v>AG-02006</x:v>
      </x:c>
      <x:c r="C2012" s="7" t="str">
        <x:v>PEA-A-Y3</x:v>
      </x:c>
      <x:c r="D2012" s="7" t="str">
        <x:v>material coupon</x:v>
      </x:c>
      <x:c r="E2012" s="7" t="str">
        <x:v>CPN-PEA-A-Y3-CP-8</x:v>
      </x:c>
      <x:c r="F2012" s="7" t="str">
        <x:f>'Material Coupons'!K238</x:f>
        <x:v>OPEN</x:v>
      </x:c>
    </x:row>
    <x:row r="2013">
      <x:c r="B2013" s="7" t="str">
        <x:v>AG-02007</x:v>
      </x:c>
      <x:c r="C2013" s="7" t="str">
        <x:v>PEA-A-Y3</x:v>
      </x:c>
      <x:c r="D2013" s="7" t="str">
        <x:v>material coupon</x:v>
      </x:c>
      <x:c r="E2013" s="7" t="str">
        <x:v>CPN-PEA-A-Y3-SM-1</x:v>
      </x:c>
      <x:c r="F2013" s="7" t="str">
        <x:f>'Material Coupons'!K239</x:f>
        <x:v>OPEN</x:v>
      </x:c>
    </x:row>
    <x:row r="2014">
      <x:c r="B2014" s="7" t="str">
        <x:v>AG-02008</x:v>
      </x:c>
      <x:c r="C2014" s="7" t="str">
        <x:v>PEA-A-Y3</x:v>
      </x:c>
      <x:c r="D2014" s="7" t="str">
        <x:v>material coupon</x:v>
      </x:c>
      <x:c r="E2014" s="7" t="str">
        <x:v>CPN-PEA-A-Y3-SM-2</x:v>
      </x:c>
      <x:c r="F2014" s="7" t="str">
        <x:f>'Material Coupons'!K240</x:f>
        <x:v>OPEN</x:v>
      </x:c>
    </x:row>
    <x:row r="2015">
      <x:c r="B2015" s="7" t="str">
        <x:v>AG-02009</x:v>
      </x:c>
      <x:c r="C2015" s="7" t="str">
        <x:v>PEA-A-Y3</x:v>
      </x:c>
      <x:c r="D2015" s="7" t="str">
        <x:v>material coupon</x:v>
      </x:c>
      <x:c r="E2015" s="7" t="str">
        <x:v>CPN-PEA-A-Y3-SM-3</x:v>
      </x:c>
      <x:c r="F2015" s="7" t="str">
        <x:f>'Material Coupons'!K241</x:f>
        <x:v>OPEN</x:v>
      </x:c>
    </x:row>
    <x:row r="2016">
      <x:c r="B2016" s="7" t="str">
        <x:v>AG-02010</x:v>
      </x:c>
      <x:c r="C2016" s="7" t="str">
        <x:v>PEA-A-Y3</x:v>
      </x:c>
      <x:c r="D2016" s="7" t="str">
        <x:v>material coupon</x:v>
      </x:c>
      <x:c r="E2016" s="7" t="str">
        <x:v>CPN-PEA-A-Y3-SM-4</x:v>
      </x:c>
      <x:c r="F2016" s="7" t="str">
        <x:f>'Material Coupons'!K242</x:f>
        <x:v>OPEN</x:v>
      </x:c>
    </x:row>
    <x:row r="2017">
      <x:c r="B2017" s="7" t="str">
        <x:v>AG-02011</x:v>
      </x:c>
      <x:c r="C2017" s="7" t="str">
        <x:v>PEA-A-Y3</x:v>
      </x:c>
      <x:c r="D2017" s="7" t="str">
        <x:v>material coupon</x:v>
      </x:c>
      <x:c r="E2017" s="7" t="str">
        <x:v>CPN-PEA-A-Y3-SM-5</x:v>
      </x:c>
      <x:c r="F2017" s="7" t="str">
        <x:f>'Material Coupons'!K243</x:f>
        <x:v>OPEN</x:v>
      </x:c>
    </x:row>
    <x:row r="2018">
      <x:c r="B2018" s="7" t="str">
        <x:v>AG-02012</x:v>
      </x:c>
      <x:c r="C2018" s="7" t="str">
        <x:v>PEA-A-Y3</x:v>
      </x:c>
      <x:c r="D2018" s="7" t="str">
        <x:v>material coupon</x:v>
      </x:c>
      <x:c r="E2018" s="7" t="str">
        <x:v>CPN-PEA-A-Y3-SM-6</x:v>
      </x:c>
      <x:c r="F2018" s="7" t="str">
        <x:f>'Material Coupons'!K244</x:f>
        <x:v>OPEN</x:v>
      </x:c>
    </x:row>
    <x:row r="2019">
      <x:c r="B2019" s="7" t="str">
        <x:v>AG-02013</x:v>
      </x:c>
      <x:c r="C2019" s="7" t="str">
        <x:v>PEA-A-Y3</x:v>
      </x:c>
      <x:c r="D2019" s="7" t="str">
        <x:v>material coupon</x:v>
      </x:c>
      <x:c r="E2019" s="7" t="str">
        <x:v>CPN-PEA-A-Y3-SM-7</x:v>
      </x:c>
      <x:c r="F2019" s="7" t="str">
        <x:f>'Material Coupons'!K245</x:f>
        <x:v>OPEN</x:v>
      </x:c>
    </x:row>
    <x:row r="2020">
      <x:c r="B2020" s="7" t="str">
        <x:v>AG-02014</x:v>
      </x:c>
      <x:c r="C2020" s="7" t="str">
        <x:v>PEA-A-Y3</x:v>
      </x:c>
      <x:c r="D2020" s="7" t="str">
        <x:v>material coupon</x:v>
      </x:c>
      <x:c r="E2020" s="7" t="str">
        <x:v>CPN-PEA-A-Y3-SM-8</x:v>
      </x:c>
      <x:c r="F2020" s="7" t="str">
        <x:f>'Material Coupons'!K246</x:f>
        <x:v>OPEN</x:v>
      </x:c>
    </x:row>
    <x:row r="2021">
      <x:c r="B2021" s="7" t="str">
        <x:v>AG-02015</x:v>
      </x:c>
      <x:c r="C2021" s="7" t="str">
        <x:v>PEA-A-Y3</x:v>
      </x:c>
      <x:c r="D2021" s="7" t="str">
        <x:v>NDE record</x:v>
      </x:c>
      <x:c r="E2021" s="7" t="str">
        <x:v>NDE-TRV-PEA-A-Y3-01</x:v>
      </x:c>
      <x:c r="F2021" s="7" t="str">
        <x:f>'NDE Records'!L107</x:f>
        <x:v>OPEN</x:v>
      </x:c>
    </x:row>
    <x:row r="2022">
      <x:c r="B2022" s="7" t="str">
        <x:v>AG-02016</x:v>
      </x:c>
      <x:c r="C2022" s="7" t="str">
        <x:v>PEA-A-Y3</x:v>
      </x:c>
      <x:c r="D2022" s="7" t="str">
        <x:v>NDE record</x:v>
      </x:c>
      <x:c r="E2022" s="7" t="str">
        <x:v>NDE-TRV-PEA-A-Y3-02</x:v>
      </x:c>
      <x:c r="F2022" s="7" t="str">
        <x:f>'NDE Records'!L108</x:f>
        <x:v>OPEN</x:v>
      </x:c>
    </x:row>
    <x:row r="2023">
      <x:c r="B2023" s="7" t="str">
        <x:v>AG-02017</x:v>
      </x:c>
      <x:c r="C2023" s="7" t="str">
        <x:v>PEA-A-Y3</x:v>
      </x:c>
      <x:c r="D2023" s="7" t="str">
        <x:v>NDE record</x:v>
      </x:c>
      <x:c r="E2023" s="7" t="str">
        <x:v>NDE-TRV-PEA-A-Y3-03</x:v>
      </x:c>
      <x:c r="F2023" s="7" t="str">
        <x:f>'NDE Records'!L109</x:f>
        <x:v>OPEN</x:v>
      </x:c>
    </x:row>
    <x:row r="2024">
      <x:c r="B2024" s="7" t="str">
        <x:v>AG-02018</x:v>
      </x:c>
      <x:c r="C2024" s="7" t="str">
        <x:v>PEA-A-Y3</x:v>
      </x:c>
      <x:c r="D2024" s="7" t="str">
        <x:v>NDE record</x:v>
      </x:c>
      <x:c r="E2024" s="7" t="str">
        <x:v>NDE-TRV-PEA-A-Y3-04</x:v>
      </x:c>
      <x:c r="F2024" s="7" t="str">
        <x:f>'NDE Records'!L110</x:f>
        <x:v>OPEN</x:v>
      </x:c>
    </x:row>
    <x:row r="2025">
      <x:c r="B2025" s="7" t="str">
        <x:v>AG-02019</x:v>
      </x:c>
      <x:c r="C2025" s="7" t="str">
        <x:v>PEA-A-Y3</x:v>
      </x:c>
      <x:c r="D2025" s="7" t="str">
        <x:v>NDE record</x:v>
      </x:c>
      <x:c r="E2025" s="7" t="str">
        <x:v>NDE-TRV-PEA-A-Y3-05</x:v>
      </x:c>
      <x:c r="F2025" s="7" t="str">
        <x:f>'NDE Records'!L111</x:f>
        <x:v>OPEN</x:v>
      </x:c>
    </x:row>
    <x:row r="2026">
      <x:c r="B2026" s="7" t="str">
        <x:v>AG-02020</x:v>
      </x:c>
      <x:c r="C2026" s="7" t="str">
        <x:v>PEA-A-Y3</x:v>
      </x:c>
      <x:c r="D2026" s="7" t="str">
        <x:v>NDE record</x:v>
      </x:c>
      <x:c r="E2026" s="7" t="str">
        <x:v>NDE-TRV-PEA-A-Y3-06</x:v>
      </x:c>
      <x:c r="F2026" s="7" t="str">
        <x:f>'NDE Records'!L112</x:f>
        <x:v>OPEN</x:v>
      </x:c>
    </x:row>
    <x:row r="2027">
      <x:c r="B2027" s="7" t="str">
        <x:v>AG-02021</x:v>
      </x:c>
      <x:c r="C2027" s="7" t="str">
        <x:v>PEA-A-Y3</x:v>
      </x:c>
      <x:c r="D2027" s="7" t="str">
        <x:v>NDE record</x:v>
      </x:c>
      <x:c r="E2027" s="7" t="str">
        <x:v>NDE-TRV-PEA-A-Y3-07</x:v>
      </x:c>
      <x:c r="F2027" s="7" t="str">
        <x:f>'NDE Records'!L113</x:f>
        <x:v>OPEN</x:v>
      </x:c>
    </x:row>
    <x:row r="2028">
      <x:c r="B2028" s="7" t="str">
        <x:v>AG-02022</x:v>
      </x:c>
      <x:c r="C2028" s="7" t="str">
        <x:v>PEA-A-Y3</x:v>
      </x:c>
      <x:c r="D2028" s="7" t="str">
        <x:v>NDE record</x:v>
      </x:c>
      <x:c r="E2028" s="7" t="str">
        <x:v>NDE-TRV-PEA-A-Y3-08</x:v>
      </x:c>
      <x:c r="F2028" s="7" t="str">
        <x:f>'NDE Records'!L114</x:f>
        <x:v>OPEN</x:v>
      </x:c>
    </x:row>
    <x:row r="2029">
      <x:c r="B2029" s="7" t="str">
        <x:v>AG-02023</x:v>
      </x:c>
      <x:c r="C2029" s="7" t="str">
        <x:v>PEA-A-Y3</x:v>
      </x:c>
      <x:c r="D2029" s="7" t="str">
        <x:v>NDE record</x:v>
      </x:c>
      <x:c r="E2029" s="7" t="str">
        <x:v>NDE-TRV-PEA-A-Y3-09</x:v>
      </x:c>
      <x:c r="F2029" s="7" t="str">
        <x:f>'NDE Records'!L115</x:f>
        <x:v>OPEN</x:v>
      </x:c>
    </x:row>
    <x:row r="2030">
      <x:c r="B2030" s="7" t="str">
        <x:v>AG-02024</x:v>
      </x:c>
      <x:c r="C2030" s="7" t="str">
        <x:v>PEA-A-Y3</x:v>
      </x:c>
      <x:c r="D2030" s="7" t="str">
        <x:v>NDE record</x:v>
      </x:c>
      <x:c r="E2030" s="7" t="str">
        <x:v>NDE-TRV-PEA-A-Y3-10</x:v>
      </x:c>
      <x:c r="F2030" s="7" t="str">
        <x:f>'NDE Records'!L116</x:f>
        <x:v>OPEN</x:v>
      </x:c>
    </x:row>
    <x:row r="2031">
      <x:c r="B2031" s="7" t="str">
        <x:v>AG-02025</x:v>
      </x:c>
      <x:c r="C2031" s="7" t="str">
        <x:v>PEA-A-Y3</x:v>
      </x:c>
      <x:c r="D2031" s="7" t="str">
        <x:v>NDE record</x:v>
      </x:c>
      <x:c r="E2031" s="7" t="str">
        <x:v>NDE-TRV-PEA-A-Y3-11</x:v>
      </x:c>
      <x:c r="F2031" s="7" t="str">
        <x:f>'NDE Records'!L117</x:f>
        <x:v>OPEN</x:v>
      </x:c>
    </x:row>
    <x:row r="2032">
      <x:c r="B2032" s="7" t="str">
        <x:v>AG-02026</x:v>
      </x:c>
      <x:c r="C2032" s="7" t="str">
        <x:v>PEA-A-Y3</x:v>
      </x:c>
      <x:c r="D2032" s="7" t="str">
        <x:v>NDE record</x:v>
      </x:c>
      <x:c r="E2032" s="7" t="str">
        <x:v>NDE-TRV-PEA-A-Y3-12</x:v>
      </x:c>
      <x:c r="F2032" s="7" t="str">
        <x:f>'NDE Records'!L118</x:f>
        <x:v>OPEN</x:v>
      </x:c>
    </x:row>
    <x:row r="2033">
      <x:c r="B2033" s="7" t="str">
        <x:v>AG-02027</x:v>
      </x:c>
      <x:c r="C2033" s="7" t="str">
        <x:v>PEA-A-Y3</x:v>
      </x:c>
      <x:c r="D2033" s="7" t="str">
        <x:v>NDE record</x:v>
      </x:c>
      <x:c r="E2033" s="7" t="str">
        <x:v>NDE-TRV-PEA-A-Y3-13</x:v>
      </x:c>
      <x:c r="F2033" s="7" t="str">
        <x:f>'NDE Records'!L119</x:f>
        <x:v>OPEN</x:v>
      </x:c>
    </x:row>
    <x:row r="2034">
      <x:c r="B2034" s="7" t="str">
        <x:v>AG-02028</x:v>
      </x:c>
      <x:c r="C2034" s="7" t="str">
        <x:v>PEA-A-Y3</x:v>
      </x:c>
      <x:c r="D2034" s="7" t="str">
        <x:v>NDE record</x:v>
      </x:c>
      <x:c r="E2034" s="7" t="str">
        <x:v>NDE-TRV-PEA-A-Y3-14</x:v>
      </x:c>
      <x:c r="F2034" s="7" t="str">
        <x:f>'NDE Records'!L120</x:f>
        <x:v>OPEN</x:v>
      </x:c>
    </x:row>
    <x:row r="2035">
      <x:c r="B2035" s="7" t="str">
        <x:v>AG-02029</x:v>
      </x:c>
      <x:c r="C2035" s="7" t="str">
        <x:v>PEA-A-Y3</x:v>
      </x:c>
      <x:c r="D2035" s="7" t="str">
        <x:v>NDE record</x:v>
      </x:c>
      <x:c r="E2035" s="7" t="str">
        <x:v>NDE-TRV-PEA-A-Y3-15</x:v>
      </x:c>
      <x:c r="F2035" s="7" t="str">
        <x:f>'NDE Records'!L121</x:f>
        <x:v>OPEN</x:v>
      </x:c>
    </x:row>
    <x:row r="2036">
      <x:c r="B2036" s="7" t="str">
        <x:v>AG-02030</x:v>
      </x:c>
      <x:c r="C2036" s="7" t="str">
        <x:v>PEA-A-Y3</x:v>
      </x:c>
      <x:c r="D2036" s="7" t="str">
        <x:v>NDE record</x:v>
      </x:c>
      <x:c r="E2036" s="7" t="str">
        <x:v>NDE-TRV-PEA-A-Y3-16</x:v>
      </x:c>
      <x:c r="F2036" s="7" t="str">
        <x:f>'NDE Records'!L122</x:f>
        <x:v>OPEN</x:v>
      </x:c>
    </x:row>
    <x:row r="2037">
      <x:c r="B2037" s="7" t="str">
        <x:v>AG-02031</x:v>
      </x:c>
      <x:c r="C2037" s="7" t="str">
        <x:v>PEA-A-Y3</x:v>
      </x:c>
      <x:c r="D2037" s="7" t="str">
        <x:v>NDE record</x:v>
      </x:c>
      <x:c r="E2037" s="7" t="str">
        <x:v>NDE-TRV-PEA-A-Y3-17</x:v>
      </x:c>
      <x:c r="F2037" s="7" t="str">
        <x:f>'NDE Records'!L123</x:f>
        <x:v>OPEN</x:v>
      </x:c>
    </x:row>
    <x:row r="2038">
      <x:c r="B2038" s="7" t="str">
        <x:v>AG-02032</x:v>
      </x:c>
      <x:c r="C2038" s="7" t="str">
        <x:v>PEA-A-Y3</x:v>
      </x:c>
      <x:c r="D2038" s="7" t="str">
        <x:v>NDE record</x:v>
      </x:c>
      <x:c r="E2038" s="7" t="str">
        <x:v>NDE-TRV-PEA-A-Y3-18</x:v>
      </x:c>
      <x:c r="F2038" s="7" t="str">
        <x:f>'NDE Records'!L124</x:f>
        <x:v>OPEN</x:v>
      </x:c>
    </x:row>
    <x:row r="2039">
      <x:c r="B2039" s="7" t="str">
        <x:v>AG-02033</x:v>
      </x:c>
      <x:c r="C2039" s="7" t="str">
        <x:v>PEA-A-Y3</x:v>
      </x:c>
      <x:c r="D2039" s="7" t="str">
        <x:v>NDE record</x:v>
      </x:c>
      <x:c r="E2039" s="7" t="str">
        <x:v>NDE-TRV-PEA-A-Y3-19</x:v>
      </x:c>
      <x:c r="F2039" s="7" t="str">
        <x:f>'NDE Records'!L125</x:f>
        <x:v>OPEN</x:v>
      </x:c>
    </x:row>
    <x:row r="2040">
      <x:c r="B2040" s="7" t="str">
        <x:v>AG-02034</x:v>
      </x:c>
      <x:c r="C2040" s="7" t="str">
        <x:v>PEA-A-Y3</x:v>
      </x:c>
      <x:c r="D2040" s="7" t="str">
        <x:v>NDE record</x:v>
      </x:c>
      <x:c r="E2040" s="7" t="str">
        <x:v>NDE-TRV-PEA-A-Y3-20</x:v>
      </x:c>
      <x:c r="F2040" s="7" t="str">
        <x:f>'NDE Records'!L126</x:f>
        <x:v>OPEN</x:v>
      </x:c>
    </x:row>
    <x:row r="2041">
      <x:c r="B2041" s="7" t="str">
        <x:v>AG-02035</x:v>
      </x:c>
      <x:c r="C2041" s="7" t="str">
        <x:v>PEA-A-Y3</x:v>
      </x:c>
      <x:c r="D2041" s="7" t="str">
        <x:v>joint record</x:v>
      </x:c>
      <x:c r="E2041" s="7" t="str">
        <x:v>JNT-PEA-A-Y3-1</x:v>
      </x:c>
      <x:c r="F2041" s="7" t="str">
        <x:f>'Joint Records'!M32</x:f>
        <x:v>OPEN</x:v>
      </x:c>
    </x:row>
    <x:row r="2042">
      <x:c r="B2042" s="7" t="str">
        <x:v>AG-02036</x:v>
      </x:c>
      <x:c r="C2042" s="7" t="str">
        <x:v>PEA-A-Y3</x:v>
      </x:c>
      <x:c r="D2042" s="7" t="str">
        <x:v>joint record</x:v>
      </x:c>
      <x:c r="E2042" s="7" t="str">
        <x:v>JNT-PEA-A-Y3-2</x:v>
      </x:c>
      <x:c r="F2042" s="7" t="str">
        <x:f>'Joint Records'!M33</x:f>
        <x:v>OPEN</x:v>
      </x:c>
    </x:row>
    <x:row r="2043">
      <x:c r="B2043" s="7" t="str">
        <x:v>AG-02037</x:v>
      </x:c>
      <x:c r="C2043" s="7" t="str">
        <x:v>PEA-A-Y3</x:v>
      </x:c>
      <x:c r="D2043" s="7" t="str">
        <x:v>joint record</x:v>
      </x:c>
      <x:c r="E2043" s="7" t="str">
        <x:v>JNT-PEA-A-Y3-3</x:v>
      </x:c>
      <x:c r="F2043" s="7" t="str">
        <x:f>'Joint Records'!M34</x:f>
        <x:v>OPEN</x:v>
      </x:c>
    </x:row>
    <x:row r="2044">
      <x:c r="B2044" s="7" t="str">
        <x:v>AG-02038</x:v>
      </x:c>
      <x:c r="C2044" s="7" t="str">
        <x:v>PEA-A-Y3</x:v>
      </x:c>
      <x:c r="D2044" s="7" t="str">
        <x:v>joint record</x:v>
      </x:c>
      <x:c r="E2044" s="7" t="str">
        <x:v>JNT-PEA-A-Y3-4</x:v>
      </x:c>
      <x:c r="F2044" s="7" t="str">
        <x:f>'Joint Records'!M35</x:f>
        <x:v>OPEN</x:v>
      </x:c>
    </x:row>
    <x:row r="2045">
      <x:c r="B2045" s="7" t="str">
        <x:v>AG-02039</x:v>
      </x:c>
      <x:c r="C2045" s="7" t="str">
        <x:v>PEA-A-Y3</x:v>
      </x:c>
      <x:c r="D2045" s="7" t="str">
        <x:v>joint record</x:v>
      </x:c>
      <x:c r="E2045" s="7" t="str">
        <x:v>JNT-PEA-A-Y3-5</x:v>
      </x:c>
      <x:c r="F2045" s="7" t="str">
        <x:f>'Joint Records'!M36</x:f>
        <x:v>OPEN</x:v>
      </x:c>
    </x:row>
    <x:row r="2046">
      <x:c r="B2046" s="7" t="str">
        <x:v>AG-02040</x:v>
      </x:c>
      <x:c r="C2046" s="7" t="str">
        <x:v>PEA-A-Y3</x:v>
      </x:c>
      <x:c r="D2046" s="7" t="str">
        <x:v>control element</x:v>
      </x:c>
      <x:c r="E2046" s="7" t="str">
        <x:v>ELM-PEA-A-Y3-01</x:v>
      </x:c>
      <x:c r="F2046" s="7" t="str">
        <x:f>'Control Elements'!L67</x:f>
        <x:v>OPEN</x:v>
      </x:c>
    </x:row>
    <x:row r="2047">
      <x:c r="B2047" s="7" t="str">
        <x:v>AG-02041</x:v>
      </x:c>
      <x:c r="C2047" s="7" t="str">
        <x:v>PEA-A-Y3</x:v>
      </x:c>
      <x:c r="D2047" s="7" t="str">
        <x:v>control element</x:v>
      </x:c>
      <x:c r="E2047" s="7" t="str">
        <x:v>ELM-PEA-A-Y3-02</x:v>
      </x:c>
      <x:c r="F2047" s="7" t="str">
        <x:f>'Control Elements'!L68</x:f>
        <x:v>OPEN</x:v>
      </x:c>
    </x:row>
    <x:row r="2048">
      <x:c r="B2048" s="7" t="str">
        <x:v>AG-02042</x:v>
      </x:c>
      <x:c r="C2048" s="7" t="str">
        <x:v>PEA-A-Y3</x:v>
      </x:c>
      <x:c r="D2048" s="7" t="str">
        <x:v>control element</x:v>
      </x:c>
      <x:c r="E2048" s="7" t="str">
        <x:v>ELM-PEA-A-Y3-03</x:v>
      </x:c>
      <x:c r="F2048" s="7" t="str">
        <x:f>'Control Elements'!L69</x:f>
        <x:v>OPEN</x:v>
      </x:c>
    </x:row>
    <x:row r="2049">
      <x:c r="B2049" s="7" t="str">
        <x:v>AG-02043</x:v>
      </x:c>
      <x:c r="C2049" s="7" t="str">
        <x:v>PEA-A-Y3</x:v>
      </x:c>
      <x:c r="D2049" s="7" t="str">
        <x:v>control element</x:v>
      </x:c>
      <x:c r="E2049" s="7" t="str">
        <x:v>ELM-PEA-A-Y3-04</x:v>
      </x:c>
      <x:c r="F2049" s="7" t="str">
        <x:f>'Control Elements'!L70</x:f>
        <x:v>OPEN</x:v>
      </x:c>
    </x:row>
    <x:row r="2050">
      <x:c r="B2050" s="7" t="str">
        <x:v>AG-02044</x:v>
      </x:c>
      <x:c r="C2050" s="7" t="str">
        <x:v>PEA-A-Y3</x:v>
      </x:c>
      <x:c r="D2050" s="7" t="str">
        <x:v>control element</x:v>
      </x:c>
      <x:c r="E2050" s="7" t="str">
        <x:v>ELM-PEA-A-Y3-05</x:v>
      </x:c>
      <x:c r="F2050" s="7" t="str">
        <x:f>'Control Elements'!L71</x:f>
        <x:v>OPEN</x:v>
      </x:c>
    </x:row>
    <x:row r="2051">
      <x:c r="B2051" s="7" t="str">
        <x:v>AG-02045</x:v>
      </x:c>
      <x:c r="C2051" s="7" t="str">
        <x:v>PEA-A-Y3</x:v>
      </x:c>
      <x:c r="D2051" s="7" t="str">
        <x:v>control element</x:v>
      </x:c>
      <x:c r="E2051" s="7" t="str">
        <x:v>ELM-PEA-A-Y3-06</x:v>
      </x:c>
      <x:c r="F2051" s="7" t="str">
        <x:f>'Control Elements'!L72</x:f>
        <x:v>OPEN</x:v>
      </x:c>
    </x:row>
    <x:row r="2052">
      <x:c r="B2052" s="7" t="str">
        <x:v>AG-02046</x:v>
      </x:c>
      <x:c r="C2052" s="7" t="str">
        <x:v>PEA-A-Y3</x:v>
      </x:c>
      <x:c r="D2052" s="7" t="str">
        <x:v>control element</x:v>
      </x:c>
      <x:c r="E2052" s="7" t="str">
        <x:v>ELM-PEA-A-Y3-07</x:v>
      </x:c>
      <x:c r="F2052" s="7" t="str">
        <x:f>'Control Elements'!L73</x:f>
        <x:v>OPEN</x:v>
      </x:c>
    </x:row>
    <x:row r="2053">
      <x:c r="B2053" s="7" t="str">
        <x:v>AG-02047</x:v>
      </x:c>
      <x:c r="C2053" s="7" t="str">
        <x:v>PEA-A-Y3</x:v>
      </x:c>
      <x:c r="D2053" s="7" t="str">
        <x:v>control element</x:v>
      </x:c>
      <x:c r="E2053" s="7" t="str">
        <x:v>ELM-PEA-A-Y3-08</x:v>
      </x:c>
      <x:c r="F2053" s="7" t="str">
        <x:f>'Control Elements'!L74</x:f>
        <x:v>OPEN</x:v>
      </x:c>
    </x:row>
    <x:row r="2054">
      <x:c r="B2054" s="7" t="str">
        <x:v>AG-02048</x:v>
      </x:c>
      <x:c r="C2054" s="7" t="str">
        <x:v>PEA-A-Y3</x:v>
      </x:c>
      <x:c r="D2054" s="7" t="str">
        <x:v>control element</x:v>
      </x:c>
      <x:c r="E2054" s="7" t="str">
        <x:v>ELM-PEA-A-Y3-09</x:v>
      </x:c>
      <x:c r="F2054" s="7" t="str">
        <x:f>'Control Elements'!L75</x:f>
        <x:v>OPEN</x:v>
      </x:c>
    </x:row>
    <x:row r="2055">
      <x:c r="B2055" s="7" t="str">
        <x:v>AG-02049</x:v>
      </x:c>
      <x:c r="C2055" s="7" t="str">
        <x:v>PEA-A-Y3</x:v>
      </x:c>
      <x:c r="D2055" s="7" t="str">
        <x:v>control element</x:v>
      </x:c>
      <x:c r="E2055" s="7" t="str">
        <x:v>ELM-PEA-A-Y3-10</x:v>
      </x:c>
      <x:c r="F2055" s="7" t="str">
        <x:f>'Control Elements'!L76</x:f>
        <x:v>OPEN</x:v>
      </x:c>
    </x:row>
    <x:row r="2056">
      <x:c r="B2056" s="7" t="str">
        <x:v>AG-02050</x:v>
      </x:c>
      <x:c r="C2056" s="7" t="str">
        <x:v>PEA-A-Y3</x:v>
      </x:c>
      <x:c r="D2056" s="7" t="str">
        <x:v>control element</x:v>
      </x:c>
      <x:c r="E2056" s="7" t="str">
        <x:v>ELM-PEA-A-Y3-11</x:v>
      </x:c>
      <x:c r="F2056" s="7" t="str">
        <x:f>'Control Elements'!L77</x:f>
        <x:v>OPEN</x:v>
      </x:c>
    </x:row>
    <x:row r="2057">
      <x:c r="B2057" s="7" t="str">
        <x:v>AG-02051</x:v>
      </x:c>
      <x:c r="C2057" s="7" t="str">
        <x:v>PEA-A-Y3</x:v>
      </x:c>
      <x:c r="D2057" s="7" t="str">
        <x:v>control element</x:v>
      </x:c>
      <x:c r="E2057" s="7" t="str">
        <x:v>ELM-PEA-A-Y3-12</x:v>
      </x:c>
      <x:c r="F2057" s="7" t="str">
        <x:f>'Control Elements'!L78</x:f>
        <x:v>OPEN</x:v>
      </x:c>
    </x:row>
    <x:row r="2058">
      <x:c r="B2058" s="7" t="str">
        <x:v>AG-02052</x:v>
      </x:c>
      <x:c r="C2058" s="7" t="str">
        <x:v>PEA-A-Y3</x:v>
      </x:c>
      <x:c r="D2058" s="7" t="str">
        <x:v>channel instance</x:v>
      </x:c>
      <x:c r="E2058" s="7" t="str">
        <x:v>CH-PEA-A-Y3-01-1</x:v>
      </x:c>
      <x:c r="F2058" s="7" t="str">
        <x:f>'Channel Instances'!O727</x:f>
        <x:v>OPEN</x:v>
      </x:c>
    </x:row>
    <x:row r="2059">
      <x:c r="B2059" s="7" t="str">
        <x:v>AG-02053</x:v>
      </x:c>
      <x:c r="C2059" s="7" t="str">
        <x:v>PEA-A-Y3</x:v>
      </x:c>
      <x:c r="D2059" s="7" t="str">
        <x:v>channel instance</x:v>
      </x:c>
      <x:c r="E2059" s="7" t="str">
        <x:v>CH-PEA-A-Y3-01-2</x:v>
      </x:c>
      <x:c r="F2059" s="7" t="str">
        <x:f>'Channel Instances'!O728</x:f>
        <x:v>OPEN</x:v>
      </x:c>
    </x:row>
    <x:row r="2060">
      <x:c r="B2060" s="7" t="str">
        <x:v>AG-02054</x:v>
      </x:c>
      <x:c r="C2060" s="7" t="str">
        <x:v>PEA-A-Y3</x:v>
      </x:c>
      <x:c r="D2060" s="7" t="str">
        <x:v>channel instance</x:v>
      </x:c>
      <x:c r="E2060" s="7" t="str">
        <x:v>CH-PEA-A-Y3-01-3</x:v>
      </x:c>
      <x:c r="F2060" s="7" t="str">
        <x:f>'Channel Instances'!O729</x:f>
        <x:v>OPEN</x:v>
      </x:c>
    </x:row>
    <x:row r="2061">
      <x:c r="B2061" s="7" t="str">
        <x:v>AG-02055</x:v>
      </x:c>
      <x:c r="C2061" s="7" t="str">
        <x:v>PEA-A-Y3</x:v>
      </x:c>
      <x:c r="D2061" s="7" t="str">
        <x:v>channel instance</x:v>
      </x:c>
      <x:c r="E2061" s="7" t="str">
        <x:v>CH-PEA-A-Y3-01-4</x:v>
      </x:c>
      <x:c r="F2061" s="7" t="str">
        <x:f>'Channel Instances'!O730</x:f>
        <x:v>OPEN</x:v>
      </x:c>
    </x:row>
    <x:row r="2062">
      <x:c r="B2062" s="7" t="str">
        <x:v>AG-02056</x:v>
      </x:c>
      <x:c r="C2062" s="7" t="str">
        <x:v>PEA-A-Y3</x:v>
      </x:c>
      <x:c r="D2062" s="7" t="str">
        <x:v>channel instance</x:v>
      </x:c>
      <x:c r="E2062" s="7" t="str">
        <x:v>CH-PEA-A-Y3-01-5</x:v>
      </x:c>
      <x:c r="F2062" s="7" t="str">
        <x:f>'Channel Instances'!O731</x:f>
        <x:v>OPEN</x:v>
      </x:c>
    </x:row>
    <x:row r="2063">
      <x:c r="B2063" s="7" t="str">
        <x:v>AG-02057</x:v>
      </x:c>
      <x:c r="C2063" s="7" t="str">
        <x:v>PEA-A-Y3</x:v>
      </x:c>
      <x:c r="D2063" s="7" t="str">
        <x:v>channel instance</x:v>
      </x:c>
      <x:c r="E2063" s="7" t="str">
        <x:v>CH-PEA-A-Y3-01-6</x:v>
      </x:c>
      <x:c r="F2063" s="7" t="str">
        <x:f>'Channel Instances'!O732</x:f>
        <x:v>OPEN</x:v>
      </x:c>
    </x:row>
    <x:row r="2064">
      <x:c r="B2064" s="7" t="str">
        <x:v>AG-02058</x:v>
      </x:c>
      <x:c r="C2064" s="7" t="str">
        <x:v>PEA-A-Y3</x:v>
      </x:c>
      <x:c r="D2064" s="7" t="str">
        <x:v>channel instance</x:v>
      </x:c>
      <x:c r="E2064" s="7" t="str">
        <x:v>CH-PEA-A-Y3-02-1</x:v>
      </x:c>
      <x:c r="F2064" s="7" t="str">
        <x:f>'Channel Instances'!O733</x:f>
        <x:v>OPEN</x:v>
      </x:c>
    </x:row>
    <x:row r="2065">
      <x:c r="B2065" s="7" t="str">
        <x:v>AG-02059</x:v>
      </x:c>
      <x:c r="C2065" s="7" t="str">
        <x:v>PEA-A-Y3</x:v>
      </x:c>
      <x:c r="D2065" s="7" t="str">
        <x:v>channel instance</x:v>
      </x:c>
      <x:c r="E2065" s="7" t="str">
        <x:v>CH-PEA-A-Y3-02-2</x:v>
      </x:c>
      <x:c r="F2065" s="7" t="str">
        <x:f>'Channel Instances'!O734</x:f>
        <x:v>OPEN</x:v>
      </x:c>
    </x:row>
    <x:row r="2066">
      <x:c r="B2066" s="7" t="str">
        <x:v>AG-02060</x:v>
      </x:c>
      <x:c r="C2066" s="7" t="str">
        <x:v>PEA-A-Y3</x:v>
      </x:c>
      <x:c r="D2066" s="7" t="str">
        <x:v>channel instance</x:v>
      </x:c>
      <x:c r="E2066" s="7" t="str">
        <x:v>CH-PEA-A-Y3-02-3</x:v>
      </x:c>
      <x:c r="F2066" s="7" t="str">
        <x:f>'Channel Instances'!O735</x:f>
        <x:v>OPEN</x:v>
      </x:c>
    </x:row>
    <x:row r="2067">
      <x:c r="B2067" s="7" t="str">
        <x:v>AG-02061</x:v>
      </x:c>
      <x:c r="C2067" s="7" t="str">
        <x:v>PEA-A-Y3</x:v>
      </x:c>
      <x:c r="D2067" s="7" t="str">
        <x:v>channel instance</x:v>
      </x:c>
      <x:c r="E2067" s="7" t="str">
        <x:v>CH-PEA-A-Y3-02-4</x:v>
      </x:c>
      <x:c r="F2067" s="7" t="str">
        <x:f>'Channel Instances'!O736</x:f>
        <x:v>OPEN</x:v>
      </x:c>
    </x:row>
    <x:row r="2068">
      <x:c r="B2068" s="7" t="str">
        <x:v>AG-02062</x:v>
      </x:c>
      <x:c r="C2068" s="7" t="str">
        <x:v>PEA-A-Y3</x:v>
      </x:c>
      <x:c r="D2068" s="7" t="str">
        <x:v>channel instance</x:v>
      </x:c>
      <x:c r="E2068" s="7" t="str">
        <x:v>CH-PEA-A-Y3-02-5</x:v>
      </x:c>
      <x:c r="F2068" s="7" t="str">
        <x:f>'Channel Instances'!O737</x:f>
        <x:v>OPEN</x:v>
      </x:c>
    </x:row>
    <x:row r="2069">
      <x:c r="B2069" s="7" t="str">
        <x:v>AG-02063</x:v>
      </x:c>
      <x:c r="C2069" s="7" t="str">
        <x:v>PEA-A-Y3</x:v>
      </x:c>
      <x:c r="D2069" s="7" t="str">
        <x:v>channel instance</x:v>
      </x:c>
      <x:c r="E2069" s="7" t="str">
        <x:v>CH-PEA-A-Y3-02-6</x:v>
      </x:c>
      <x:c r="F2069" s="7" t="str">
        <x:f>'Channel Instances'!O738</x:f>
        <x:v>OPEN</x:v>
      </x:c>
    </x:row>
    <x:row r="2070">
      <x:c r="B2070" s="7" t="str">
        <x:v>AG-02064</x:v>
      </x:c>
      <x:c r="C2070" s="7" t="str">
        <x:v>PEA-A-Y3</x:v>
      </x:c>
      <x:c r="D2070" s="7" t="str">
        <x:v>channel instance</x:v>
      </x:c>
      <x:c r="E2070" s="7" t="str">
        <x:v>CH-PEA-A-Y3-03-1</x:v>
      </x:c>
      <x:c r="F2070" s="7" t="str">
        <x:f>'Channel Instances'!O739</x:f>
        <x:v>OPEN</x:v>
      </x:c>
    </x:row>
    <x:row r="2071">
      <x:c r="B2071" s="7" t="str">
        <x:v>AG-02065</x:v>
      </x:c>
      <x:c r="C2071" s="7" t="str">
        <x:v>PEA-A-Y3</x:v>
      </x:c>
      <x:c r="D2071" s="7" t="str">
        <x:v>channel instance</x:v>
      </x:c>
      <x:c r="E2071" s="7" t="str">
        <x:v>CH-PEA-A-Y3-03-2</x:v>
      </x:c>
      <x:c r="F2071" s="7" t="str">
        <x:f>'Channel Instances'!O740</x:f>
        <x:v>OPEN</x:v>
      </x:c>
    </x:row>
    <x:row r="2072">
      <x:c r="B2072" s="7" t="str">
        <x:v>AG-02066</x:v>
      </x:c>
      <x:c r="C2072" s="7" t="str">
        <x:v>PEA-A-Y3</x:v>
      </x:c>
      <x:c r="D2072" s="7" t="str">
        <x:v>channel instance</x:v>
      </x:c>
      <x:c r="E2072" s="7" t="str">
        <x:v>CH-PEA-A-Y3-03-3</x:v>
      </x:c>
      <x:c r="F2072" s="7" t="str">
        <x:f>'Channel Instances'!O741</x:f>
        <x:v>OPEN</x:v>
      </x:c>
    </x:row>
    <x:row r="2073">
      <x:c r="B2073" s="7" t="str">
        <x:v>AG-02067</x:v>
      </x:c>
      <x:c r="C2073" s="7" t="str">
        <x:v>PEA-A-Y3</x:v>
      </x:c>
      <x:c r="D2073" s="7" t="str">
        <x:v>channel instance</x:v>
      </x:c>
      <x:c r="E2073" s="7" t="str">
        <x:v>CH-PEA-A-Y3-03-4</x:v>
      </x:c>
      <x:c r="F2073" s="7" t="str">
        <x:f>'Channel Instances'!O742</x:f>
        <x:v>OPEN</x:v>
      </x:c>
    </x:row>
    <x:row r="2074">
      <x:c r="B2074" s="7" t="str">
        <x:v>AG-02068</x:v>
      </x:c>
      <x:c r="C2074" s="7" t="str">
        <x:v>PEA-A-Y3</x:v>
      </x:c>
      <x:c r="D2074" s="7" t="str">
        <x:v>channel instance</x:v>
      </x:c>
      <x:c r="E2074" s="7" t="str">
        <x:v>CH-PEA-A-Y3-03-5</x:v>
      </x:c>
      <x:c r="F2074" s="7" t="str">
        <x:f>'Channel Instances'!O743</x:f>
        <x:v>OPEN</x:v>
      </x:c>
    </x:row>
    <x:row r="2075">
      <x:c r="B2075" s="7" t="str">
        <x:v>AG-02069</x:v>
      </x:c>
      <x:c r="C2075" s="7" t="str">
        <x:v>PEA-A-Y3</x:v>
      </x:c>
      <x:c r="D2075" s="7" t="str">
        <x:v>channel instance</x:v>
      </x:c>
      <x:c r="E2075" s="7" t="str">
        <x:v>CH-PEA-A-Y3-03-6</x:v>
      </x:c>
      <x:c r="F2075" s="7" t="str">
        <x:f>'Channel Instances'!O744</x:f>
        <x:v>OPEN</x:v>
      </x:c>
    </x:row>
    <x:row r="2076">
      <x:c r="B2076" s="7" t="str">
        <x:v>AG-02070</x:v>
      </x:c>
      <x:c r="C2076" s="7" t="str">
        <x:v>PEA-A-Y3</x:v>
      </x:c>
      <x:c r="D2076" s="7" t="str">
        <x:v>channel instance</x:v>
      </x:c>
      <x:c r="E2076" s="7" t="str">
        <x:v>CH-PEA-A-Y3-04-1</x:v>
      </x:c>
      <x:c r="F2076" s="7" t="str">
        <x:f>'Channel Instances'!O745</x:f>
        <x:v>OPEN</x:v>
      </x:c>
    </x:row>
    <x:row r="2077">
      <x:c r="B2077" s="7" t="str">
        <x:v>AG-02071</x:v>
      </x:c>
      <x:c r="C2077" s="7" t="str">
        <x:v>PEA-A-Y3</x:v>
      </x:c>
      <x:c r="D2077" s="7" t="str">
        <x:v>channel instance</x:v>
      </x:c>
      <x:c r="E2077" s="7" t="str">
        <x:v>CH-PEA-A-Y3-04-2</x:v>
      </x:c>
      <x:c r="F2077" s="7" t="str">
        <x:f>'Channel Instances'!O746</x:f>
        <x:v>OPEN</x:v>
      </x:c>
    </x:row>
    <x:row r="2078">
      <x:c r="B2078" s="7" t="str">
        <x:v>AG-02072</x:v>
      </x:c>
      <x:c r="C2078" s="7" t="str">
        <x:v>PEA-A-Y3</x:v>
      </x:c>
      <x:c r="D2078" s="7" t="str">
        <x:v>channel instance</x:v>
      </x:c>
      <x:c r="E2078" s="7" t="str">
        <x:v>CH-PEA-A-Y3-04-3</x:v>
      </x:c>
      <x:c r="F2078" s="7" t="str">
        <x:f>'Channel Instances'!O747</x:f>
        <x:v>OPEN</x:v>
      </x:c>
    </x:row>
    <x:row r="2079">
      <x:c r="B2079" s="7" t="str">
        <x:v>AG-02073</x:v>
      </x:c>
      <x:c r="C2079" s="7" t="str">
        <x:v>PEA-A-Y3</x:v>
      </x:c>
      <x:c r="D2079" s="7" t="str">
        <x:v>channel instance</x:v>
      </x:c>
      <x:c r="E2079" s="7" t="str">
        <x:v>CH-PEA-A-Y3-04-4</x:v>
      </x:c>
      <x:c r="F2079" s="7" t="str">
        <x:f>'Channel Instances'!O748</x:f>
        <x:v>OPEN</x:v>
      </x:c>
    </x:row>
    <x:row r="2080">
      <x:c r="B2080" s="7" t="str">
        <x:v>AG-02074</x:v>
      </x:c>
      <x:c r="C2080" s="7" t="str">
        <x:v>PEA-A-Y3</x:v>
      </x:c>
      <x:c r="D2080" s="7" t="str">
        <x:v>channel instance</x:v>
      </x:c>
      <x:c r="E2080" s="7" t="str">
        <x:v>CH-PEA-A-Y3-04-5</x:v>
      </x:c>
      <x:c r="F2080" s="7" t="str">
        <x:f>'Channel Instances'!O749</x:f>
        <x:v>OPEN</x:v>
      </x:c>
    </x:row>
    <x:row r="2081">
      <x:c r="B2081" s="7" t="str">
        <x:v>AG-02075</x:v>
      </x:c>
      <x:c r="C2081" s="7" t="str">
        <x:v>PEA-A-Y3</x:v>
      </x:c>
      <x:c r="D2081" s="7" t="str">
        <x:v>channel instance</x:v>
      </x:c>
      <x:c r="E2081" s="7" t="str">
        <x:v>CH-PEA-A-Y3-04-6</x:v>
      </x:c>
      <x:c r="F2081" s="7" t="str">
        <x:f>'Channel Instances'!O750</x:f>
        <x:v>OPEN</x:v>
      </x:c>
    </x:row>
    <x:row r="2082">
      <x:c r="B2082" s="7" t="str">
        <x:v>AG-02076</x:v>
      </x:c>
      <x:c r="C2082" s="7" t="str">
        <x:v>PEA-A-Y3</x:v>
      </x:c>
      <x:c r="D2082" s="7" t="str">
        <x:v>channel instance</x:v>
      </x:c>
      <x:c r="E2082" s="7" t="str">
        <x:v>CH-PEA-A-Y3-05-1</x:v>
      </x:c>
      <x:c r="F2082" s="7" t="str">
        <x:f>'Channel Instances'!O751</x:f>
        <x:v>OPEN</x:v>
      </x:c>
    </x:row>
    <x:row r="2083">
      <x:c r="B2083" s="7" t="str">
        <x:v>AG-02077</x:v>
      </x:c>
      <x:c r="C2083" s="7" t="str">
        <x:v>PEA-A-Y3</x:v>
      </x:c>
      <x:c r="D2083" s="7" t="str">
        <x:v>channel instance</x:v>
      </x:c>
      <x:c r="E2083" s="7" t="str">
        <x:v>CH-PEA-A-Y3-05-2</x:v>
      </x:c>
      <x:c r="F2083" s="7" t="str">
        <x:f>'Channel Instances'!O752</x:f>
        <x:v>OPEN</x:v>
      </x:c>
    </x:row>
    <x:row r="2084">
      <x:c r="B2084" s="7" t="str">
        <x:v>AG-02078</x:v>
      </x:c>
      <x:c r="C2084" s="7" t="str">
        <x:v>PEA-A-Y3</x:v>
      </x:c>
      <x:c r="D2084" s="7" t="str">
        <x:v>channel instance</x:v>
      </x:c>
      <x:c r="E2084" s="7" t="str">
        <x:v>CH-PEA-A-Y3-05-3</x:v>
      </x:c>
      <x:c r="F2084" s="7" t="str">
        <x:f>'Channel Instances'!O753</x:f>
        <x:v>OPEN</x:v>
      </x:c>
    </x:row>
    <x:row r="2085">
      <x:c r="B2085" s="7" t="str">
        <x:v>AG-02079</x:v>
      </x:c>
      <x:c r="C2085" s="7" t="str">
        <x:v>PEA-A-Y3</x:v>
      </x:c>
      <x:c r="D2085" s="7" t="str">
        <x:v>channel instance</x:v>
      </x:c>
      <x:c r="E2085" s="7" t="str">
        <x:v>CH-PEA-A-Y3-05-4</x:v>
      </x:c>
      <x:c r="F2085" s="7" t="str">
        <x:f>'Channel Instances'!O754</x:f>
        <x:v>OPEN</x:v>
      </x:c>
    </x:row>
    <x:row r="2086">
      <x:c r="B2086" s="7" t="str">
        <x:v>AG-02080</x:v>
      </x:c>
      <x:c r="C2086" s="7" t="str">
        <x:v>PEA-A-Y3</x:v>
      </x:c>
      <x:c r="D2086" s="7" t="str">
        <x:v>channel instance</x:v>
      </x:c>
      <x:c r="E2086" s="7" t="str">
        <x:v>CH-PEA-A-Y3-05-5</x:v>
      </x:c>
      <x:c r="F2086" s="7" t="str">
        <x:f>'Channel Instances'!O755</x:f>
        <x:v>OPEN</x:v>
      </x:c>
    </x:row>
    <x:row r="2087">
      <x:c r="B2087" s="7" t="str">
        <x:v>AG-02081</x:v>
      </x:c>
      <x:c r="C2087" s="7" t="str">
        <x:v>PEA-A-Y3</x:v>
      </x:c>
      <x:c r="D2087" s="7" t="str">
        <x:v>channel instance</x:v>
      </x:c>
      <x:c r="E2087" s="7" t="str">
        <x:v>CH-PEA-A-Y3-05-6</x:v>
      </x:c>
      <x:c r="F2087" s="7" t="str">
        <x:f>'Channel Instances'!O756</x:f>
        <x:v>OPEN</x:v>
      </x:c>
    </x:row>
    <x:row r="2088">
      <x:c r="B2088" s="7" t="str">
        <x:v>AG-02082</x:v>
      </x:c>
      <x:c r="C2088" s="7" t="str">
        <x:v>PEA-A-Y3</x:v>
      </x:c>
      <x:c r="D2088" s="7" t="str">
        <x:v>channel instance</x:v>
      </x:c>
      <x:c r="E2088" s="7" t="str">
        <x:v>CH-PEA-A-Y3-06-1</x:v>
      </x:c>
      <x:c r="F2088" s="7" t="str">
        <x:f>'Channel Instances'!O757</x:f>
        <x:v>OPEN</x:v>
      </x:c>
    </x:row>
    <x:row r="2089">
      <x:c r="B2089" s="7" t="str">
        <x:v>AG-02083</x:v>
      </x:c>
      <x:c r="C2089" s="7" t="str">
        <x:v>PEA-A-Y3</x:v>
      </x:c>
      <x:c r="D2089" s="7" t="str">
        <x:v>channel instance</x:v>
      </x:c>
      <x:c r="E2089" s="7" t="str">
        <x:v>CH-PEA-A-Y3-06-2</x:v>
      </x:c>
      <x:c r="F2089" s="7" t="str">
        <x:f>'Channel Instances'!O758</x:f>
        <x:v>OPEN</x:v>
      </x:c>
    </x:row>
    <x:row r="2090">
      <x:c r="B2090" s="7" t="str">
        <x:v>AG-02084</x:v>
      </x:c>
      <x:c r="C2090" s="7" t="str">
        <x:v>PEA-A-Y3</x:v>
      </x:c>
      <x:c r="D2090" s="7" t="str">
        <x:v>channel instance</x:v>
      </x:c>
      <x:c r="E2090" s="7" t="str">
        <x:v>CH-PEA-A-Y3-06-3</x:v>
      </x:c>
      <x:c r="F2090" s="7" t="str">
        <x:f>'Channel Instances'!O759</x:f>
        <x:v>OPEN</x:v>
      </x:c>
    </x:row>
    <x:row r="2091">
      <x:c r="B2091" s="7" t="str">
        <x:v>AG-02085</x:v>
      </x:c>
      <x:c r="C2091" s="7" t="str">
        <x:v>PEA-A-Y3</x:v>
      </x:c>
      <x:c r="D2091" s="7" t="str">
        <x:v>channel instance</x:v>
      </x:c>
      <x:c r="E2091" s="7" t="str">
        <x:v>CH-PEA-A-Y3-06-4</x:v>
      </x:c>
      <x:c r="F2091" s="7" t="str">
        <x:f>'Channel Instances'!O760</x:f>
        <x:v>OPEN</x:v>
      </x:c>
    </x:row>
    <x:row r="2092">
      <x:c r="B2092" s="7" t="str">
        <x:v>AG-02086</x:v>
      </x:c>
      <x:c r="C2092" s="7" t="str">
        <x:v>PEA-A-Y3</x:v>
      </x:c>
      <x:c r="D2092" s="7" t="str">
        <x:v>channel instance</x:v>
      </x:c>
      <x:c r="E2092" s="7" t="str">
        <x:v>CH-PEA-A-Y3-06-5</x:v>
      </x:c>
      <x:c r="F2092" s="7" t="str">
        <x:f>'Channel Instances'!O761</x:f>
        <x:v>OPEN</x:v>
      </x:c>
    </x:row>
    <x:row r="2093">
      <x:c r="B2093" s="7" t="str">
        <x:v>AG-02087</x:v>
      </x:c>
      <x:c r="C2093" s="7" t="str">
        <x:v>PEA-A-Y3</x:v>
      </x:c>
      <x:c r="D2093" s="7" t="str">
        <x:v>channel instance</x:v>
      </x:c>
      <x:c r="E2093" s="7" t="str">
        <x:v>CH-PEA-A-Y3-06-6</x:v>
      </x:c>
      <x:c r="F2093" s="7" t="str">
        <x:f>'Channel Instances'!O762</x:f>
        <x:v>OPEN</x:v>
      </x:c>
    </x:row>
    <x:row r="2094">
      <x:c r="B2094" s="7" t="str">
        <x:v>AG-02088</x:v>
      </x:c>
      <x:c r="C2094" s="7" t="str">
        <x:v>PEA-A-Y3</x:v>
      </x:c>
      <x:c r="D2094" s="7" t="str">
        <x:v>channel instance</x:v>
      </x:c>
      <x:c r="E2094" s="7" t="str">
        <x:v>CH-PEA-A-Y3-07-1</x:v>
      </x:c>
      <x:c r="F2094" s="7" t="str">
        <x:f>'Channel Instances'!O763</x:f>
        <x:v>OPEN</x:v>
      </x:c>
    </x:row>
    <x:row r="2095">
      <x:c r="B2095" s="7" t="str">
        <x:v>AG-02089</x:v>
      </x:c>
      <x:c r="C2095" s="7" t="str">
        <x:v>PEA-A-Y3</x:v>
      </x:c>
      <x:c r="D2095" s="7" t="str">
        <x:v>channel instance</x:v>
      </x:c>
      <x:c r="E2095" s="7" t="str">
        <x:v>CH-PEA-A-Y3-07-2</x:v>
      </x:c>
      <x:c r="F2095" s="7" t="str">
        <x:f>'Channel Instances'!O764</x:f>
        <x:v>OPEN</x:v>
      </x:c>
    </x:row>
    <x:row r="2096">
      <x:c r="B2096" s="7" t="str">
        <x:v>AG-02090</x:v>
      </x:c>
      <x:c r="C2096" s="7" t="str">
        <x:v>PEA-A-Y3</x:v>
      </x:c>
      <x:c r="D2096" s="7" t="str">
        <x:v>channel instance</x:v>
      </x:c>
      <x:c r="E2096" s="7" t="str">
        <x:v>CH-PEA-A-Y3-07-3</x:v>
      </x:c>
      <x:c r="F2096" s="7" t="str">
        <x:f>'Channel Instances'!O765</x:f>
        <x:v>OPEN</x:v>
      </x:c>
    </x:row>
    <x:row r="2097">
      <x:c r="B2097" s="7" t="str">
        <x:v>AG-02091</x:v>
      </x:c>
      <x:c r="C2097" s="7" t="str">
        <x:v>PEA-A-Y3</x:v>
      </x:c>
      <x:c r="D2097" s="7" t="str">
        <x:v>channel instance</x:v>
      </x:c>
      <x:c r="E2097" s="7" t="str">
        <x:v>CH-PEA-A-Y3-07-4</x:v>
      </x:c>
      <x:c r="F2097" s="7" t="str">
        <x:f>'Channel Instances'!O766</x:f>
        <x:v>OPEN</x:v>
      </x:c>
    </x:row>
    <x:row r="2098">
      <x:c r="B2098" s="7" t="str">
        <x:v>AG-02092</x:v>
      </x:c>
      <x:c r="C2098" s="7" t="str">
        <x:v>PEA-A-Y3</x:v>
      </x:c>
      <x:c r="D2098" s="7" t="str">
        <x:v>channel instance</x:v>
      </x:c>
      <x:c r="E2098" s="7" t="str">
        <x:v>CH-PEA-A-Y3-07-5</x:v>
      </x:c>
      <x:c r="F2098" s="7" t="str">
        <x:f>'Channel Instances'!O767</x:f>
        <x:v>OPEN</x:v>
      </x:c>
    </x:row>
    <x:row r="2099">
      <x:c r="B2099" s="7" t="str">
        <x:v>AG-02093</x:v>
      </x:c>
      <x:c r="C2099" s="7" t="str">
        <x:v>PEA-A-Y3</x:v>
      </x:c>
      <x:c r="D2099" s="7" t="str">
        <x:v>channel instance</x:v>
      </x:c>
      <x:c r="E2099" s="7" t="str">
        <x:v>CH-PEA-A-Y3-07-6</x:v>
      </x:c>
      <x:c r="F2099" s="7" t="str">
        <x:f>'Channel Instances'!O768</x:f>
        <x:v>OPEN</x:v>
      </x:c>
    </x:row>
    <x:row r="2100">
      <x:c r="B2100" s="7" t="str">
        <x:v>AG-02094</x:v>
      </x:c>
      <x:c r="C2100" s="7" t="str">
        <x:v>PEA-A-Y3</x:v>
      </x:c>
      <x:c r="D2100" s="7" t="str">
        <x:v>channel instance</x:v>
      </x:c>
      <x:c r="E2100" s="7" t="str">
        <x:v>CH-PEA-A-Y3-08-1</x:v>
      </x:c>
      <x:c r="F2100" s="7" t="str">
        <x:f>'Channel Instances'!O769</x:f>
        <x:v>OPEN</x:v>
      </x:c>
    </x:row>
    <x:row r="2101">
      <x:c r="B2101" s="7" t="str">
        <x:v>AG-02095</x:v>
      </x:c>
      <x:c r="C2101" s="7" t="str">
        <x:v>PEA-A-Y3</x:v>
      </x:c>
      <x:c r="D2101" s="7" t="str">
        <x:v>channel instance</x:v>
      </x:c>
      <x:c r="E2101" s="7" t="str">
        <x:v>CH-PEA-A-Y3-08-2</x:v>
      </x:c>
      <x:c r="F2101" s="7" t="str">
        <x:f>'Channel Instances'!O770</x:f>
        <x:v>OPEN</x:v>
      </x:c>
    </x:row>
    <x:row r="2102">
      <x:c r="B2102" s="7" t="str">
        <x:v>AG-02096</x:v>
      </x:c>
      <x:c r="C2102" s="7" t="str">
        <x:v>PEA-A-Y3</x:v>
      </x:c>
      <x:c r="D2102" s="7" t="str">
        <x:v>channel instance</x:v>
      </x:c>
      <x:c r="E2102" s="7" t="str">
        <x:v>CH-PEA-A-Y3-08-3</x:v>
      </x:c>
      <x:c r="F2102" s="7" t="str">
        <x:f>'Channel Instances'!O771</x:f>
        <x:v>OPEN</x:v>
      </x:c>
    </x:row>
    <x:row r="2103">
      <x:c r="B2103" s="7" t="str">
        <x:v>AG-02097</x:v>
      </x:c>
      <x:c r="C2103" s="7" t="str">
        <x:v>PEA-A-Y3</x:v>
      </x:c>
      <x:c r="D2103" s="7" t="str">
        <x:v>channel instance</x:v>
      </x:c>
      <x:c r="E2103" s="7" t="str">
        <x:v>CH-PEA-A-Y3-08-4</x:v>
      </x:c>
      <x:c r="F2103" s="7" t="str">
        <x:f>'Channel Instances'!O772</x:f>
        <x:v>OPEN</x:v>
      </x:c>
    </x:row>
    <x:row r="2104">
      <x:c r="B2104" s="7" t="str">
        <x:v>AG-02098</x:v>
      </x:c>
      <x:c r="C2104" s="7" t="str">
        <x:v>PEA-A-Y3</x:v>
      </x:c>
      <x:c r="D2104" s="7" t="str">
        <x:v>channel instance</x:v>
      </x:c>
      <x:c r="E2104" s="7" t="str">
        <x:v>CH-PEA-A-Y3-08-5</x:v>
      </x:c>
      <x:c r="F2104" s="7" t="str">
        <x:f>'Channel Instances'!O773</x:f>
        <x:v>OPEN</x:v>
      </x:c>
    </x:row>
    <x:row r="2105">
      <x:c r="B2105" s="7" t="str">
        <x:v>AG-02099</x:v>
      </x:c>
      <x:c r="C2105" s="7" t="str">
        <x:v>PEA-A-Y3</x:v>
      </x:c>
      <x:c r="D2105" s="7" t="str">
        <x:v>channel instance</x:v>
      </x:c>
      <x:c r="E2105" s="7" t="str">
        <x:v>CH-PEA-A-Y3-08-6</x:v>
      </x:c>
      <x:c r="F2105" s="7" t="str">
        <x:f>'Channel Instances'!O774</x:f>
        <x:v>OPEN</x:v>
      </x:c>
    </x:row>
    <x:row r="2106">
      <x:c r="B2106" s="7" t="str">
        <x:v>AG-02100</x:v>
      </x:c>
      <x:c r="C2106" s="7" t="str">
        <x:v>PEA-A-Y3</x:v>
      </x:c>
      <x:c r="D2106" s="7" t="str">
        <x:v>channel instance</x:v>
      </x:c>
      <x:c r="E2106" s="7" t="str">
        <x:v>CH-PEA-A-Y3-09-1</x:v>
      </x:c>
      <x:c r="F2106" s="7" t="str">
        <x:f>'Channel Instances'!O775</x:f>
        <x:v>OPEN</x:v>
      </x:c>
    </x:row>
    <x:row r="2107">
      <x:c r="B2107" s="7" t="str">
        <x:v>AG-02101</x:v>
      </x:c>
      <x:c r="C2107" s="7" t="str">
        <x:v>PEA-A-Y3</x:v>
      </x:c>
      <x:c r="D2107" s="7" t="str">
        <x:v>channel instance</x:v>
      </x:c>
      <x:c r="E2107" s="7" t="str">
        <x:v>CH-PEA-A-Y3-09-2</x:v>
      </x:c>
      <x:c r="F2107" s="7" t="str">
        <x:f>'Channel Instances'!O776</x:f>
        <x:v>OPEN</x:v>
      </x:c>
    </x:row>
    <x:row r="2108">
      <x:c r="B2108" s="7" t="str">
        <x:v>AG-02102</x:v>
      </x:c>
      <x:c r="C2108" s="7" t="str">
        <x:v>PEA-A-Y3</x:v>
      </x:c>
      <x:c r="D2108" s="7" t="str">
        <x:v>channel instance</x:v>
      </x:c>
      <x:c r="E2108" s="7" t="str">
        <x:v>CH-PEA-A-Y3-09-3</x:v>
      </x:c>
      <x:c r="F2108" s="7" t="str">
        <x:f>'Channel Instances'!O777</x:f>
        <x:v>OPEN</x:v>
      </x:c>
    </x:row>
    <x:row r="2109">
      <x:c r="B2109" s="7" t="str">
        <x:v>AG-02103</x:v>
      </x:c>
      <x:c r="C2109" s="7" t="str">
        <x:v>PEA-A-Y3</x:v>
      </x:c>
      <x:c r="D2109" s="7" t="str">
        <x:v>channel instance</x:v>
      </x:c>
      <x:c r="E2109" s="7" t="str">
        <x:v>CH-PEA-A-Y3-09-4</x:v>
      </x:c>
      <x:c r="F2109" s="7" t="str">
        <x:f>'Channel Instances'!O778</x:f>
        <x:v>OPEN</x:v>
      </x:c>
    </x:row>
    <x:row r="2110">
      <x:c r="B2110" s="7" t="str">
        <x:v>AG-02104</x:v>
      </x:c>
      <x:c r="C2110" s="7" t="str">
        <x:v>PEA-A-Y3</x:v>
      </x:c>
      <x:c r="D2110" s="7" t="str">
        <x:v>channel instance</x:v>
      </x:c>
      <x:c r="E2110" s="7" t="str">
        <x:v>CH-PEA-A-Y3-09-5</x:v>
      </x:c>
      <x:c r="F2110" s="7" t="str">
        <x:f>'Channel Instances'!O779</x:f>
        <x:v>OPEN</x:v>
      </x:c>
    </x:row>
    <x:row r="2111">
      <x:c r="B2111" s="7" t="str">
        <x:v>AG-02105</x:v>
      </x:c>
      <x:c r="C2111" s="7" t="str">
        <x:v>PEA-A-Y3</x:v>
      </x:c>
      <x:c r="D2111" s="7" t="str">
        <x:v>channel instance</x:v>
      </x:c>
      <x:c r="E2111" s="7" t="str">
        <x:v>CH-PEA-A-Y3-09-6</x:v>
      </x:c>
      <x:c r="F2111" s="7" t="str">
        <x:f>'Channel Instances'!O780</x:f>
        <x:v>OPEN</x:v>
      </x:c>
    </x:row>
    <x:row r="2112">
      <x:c r="B2112" s="7" t="str">
        <x:v>AG-02106</x:v>
      </x:c>
      <x:c r="C2112" s="7" t="str">
        <x:v>PEA-A-Y3</x:v>
      </x:c>
      <x:c r="D2112" s="7" t="str">
        <x:v>channel instance</x:v>
      </x:c>
      <x:c r="E2112" s="7" t="str">
        <x:v>CH-PEA-A-Y3-10-1</x:v>
      </x:c>
      <x:c r="F2112" s="7" t="str">
        <x:f>'Channel Instances'!O781</x:f>
        <x:v>OPEN</x:v>
      </x:c>
    </x:row>
    <x:row r="2113">
      <x:c r="B2113" s="7" t="str">
        <x:v>AG-02107</x:v>
      </x:c>
      <x:c r="C2113" s="7" t="str">
        <x:v>PEA-A-Y3</x:v>
      </x:c>
      <x:c r="D2113" s="7" t="str">
        <x:v>channel instance</x:v>
      </x:c>
      <x:c r="E2113" s="7" t="str">
        <x:v>CH-PEA-A-Y3-10-2</x:v>
      </x:c>
      <x:c r="F2113" s="7" t="str">
        <x:f>'Channel Instances'!O782</x:f>
        <x:v>OPEN</x:v>
      </x:c>
    </x:row>
    <x:row r="2114">
      <x:c r="B2114" s="7" t="str">
        <x:v>AG-02108</x:v>
      </x:c>
      <x:c r="C2114" s="7" t="str">
        <x:v>PEA-A-Y3</x:v>
      </x:c>
      <x:c r="D2114" s="7" t="str">
        <x:v>channel instance</x:v>
      </x:c>
      <x:c r="E2114" s="7" t="str">
        <x:v>CH-PEA-A-Y3-10-3</x:v>
      </x:c>
      <x:c r="F2114" s="7" t="str">
        <x:f>'Channel Instances'!O783</x:f>
        <x:v>OPEN</x:v>
      </x:c>
    </x:row>
    <x:row r="2115">
      <x:c r="B2115" s="7" t="str">
        <x:v>AG-02109</x:v>
      </x:c>
      <x:c r="C2115" s="7" t="str">
        <x:v>PEA-A-Y3</x:v>
      </x:c>
      <x:c r="D2115" s="7" t="str">
        <x:v>channel instance</x:v>
      </x:c>
      <x:c r="E2115" s="7" t="str">
        <x:v>CH-PEA-A-Y3-10-4</x:v>
      </x:c>
      <x:c r="F2115" s="7" t="str">
        <x:f>'Channel Instances'!O784</x:f>
        <x:v>OPEN</x:v>
      </x:c>
    </x:row>
    <x:row r="2116">
      <x:c r="B2116" s="7" t="str">
        <x:v>AG-02110</x:v>
      </x:c>
      <x:c r="C2116" s="7" t="str">
        <x:v>PEA-A-Y3</x:v>
      </x:c>
      <x:c r="D2116" s="7" t="str">
        <x:v>channel instance</x:v>
      </x:c>
      <x:c r="E2116" s="7" t="str">
        <x:v>CH-PEA-A-Y3-10-5</x:v>
      </x:c>
      <x:c r="F2116" s="7" t="str">
        <x:f>'Channel Instances'!O785</x:f>
        <x:v>OPEN</x:v>
      </x:c>
    </x:row>
    <x:row r="2117">
      <x:c r="B2117" s="7" t="str">
        <x:v>AG-02111</x:v>
      </x:c>
      <x:c r="C2117" s="7" t="str">
        <x:v>PEA-A-Y3</x:v>
      </x:c>
      <x:c r="D2117" s="7" t="str">
        <x:v>channel instance</x:v>
      </x:c>
      <x:c r="E2117" s="7" t="str">
        <x:v>CH-PEA-A-Y3-10-6</x:v>
      </x:c>
      <x:c r="F2117" s="7" t="str">
        <x:f>'Channel Instances'!O786</x:f>
        <x:v>OPEN</x:v>
      </x:c>
    </x:row>
    <x:row r="2118">
      <x:c r="B2118" s="7" t="str">
        <x:v>AG-02112</x:v>
      </x:c>
      <x:c r="C2118" s="7" t="str">
        <x:v>PEA-A-Y3</x:v>
      </x:c>
      <x:c r="D2118" s="7" t="str">
        <x:v>channel instance</x:v>
      </x:c>
      <x:c r="E2118" s="7" t="str">
        <x:v>CH-PEA-A-Y3-11-1</x:v>
      </x:c>
      <x:c r="F2118" s="7" t="str">
        <x:f>'Channel Instances'!O787</x:f>
        <x:v>OPEN</x:v>
      </x:c>
    </x:row>
    <x:row r="2119">
      <x:c r="B2119" s="7" t="str">
        <x:v>AG-02113</x:v>
      </x:c>
      <x:c r="C2119" s="7" t="str">
        <x:v>PEA-A-Y3</x:v>
      </x:c>
      <x:c r="D2119" s="7" t="str">
        <x:v>channel instance</x:v>
      </x:c>
      <x:c r="E2119" s="7" t="str">
        <x:v>CH-PEA-A-Y3-11-2</x:v>
      </x:c>
      <x:c r="F2119" s="7" t="str">
        <x:f>'Channel Instances'!O788</x:f>
        <x:v>OPEN</x:v>
      </x:c>
    </x:row>
    <x:row r="2120">
      <x:c r="B2120" s="7" t="str">
        <x:v>AG-02114</x:v>
      </x:c>
      <x:c r="C2120" s="7" t="str">
        <x:v>PEA-A-Y3</x:v>
      </x:c>
      <x:c r="D2120" s="7" t="str">
        <x:v>channel instance</x:v>
      </x:c>
      <x:c r="E2120" s="7" t="str">
        <x:v>CH-PEA-A-Y3-11-3</x:v>
      </x:c>
      <x:c r="F2120" s="7" t="str">
        <x:f>'Channel Instances'!O789</x:f>
        <x:v>OPEN</x:v>
      </x:c>
    </x:row>
    <x:row r="2121">
      <x:c r="B2121" s="7" t="str">
        <x:v>AG-02115</x:v>
      </x:c>
      <x:c r="C2121" s="7" t="str">
        <x:v>PEA-A-Y3</x:v>
      </x:c>
      <x:c r="D2121" s="7" t="str">
        <x:v>channel instance</x:v>
      </x:c>
      <x:c r="E2121" s="7" t="str">
        <x:v>CH-PEA-A-Y3-11-4</x:v>
      </x:c>
      <x:c r="F2121" s="7" t="str">
        <x:f>'Channel Instances'!O790</x:f>
        <x:v>OPEN</x:v>
      </x:c>
    </x:row>
    <x:row r="2122">
      <x:c r="B2122" s="7" t="str">
        <x:v>AG-02116</x:v>
      </x:c>
      <x:c r="C2122" s="7" t="str">
        <x:v>PEA-A-Y3</x:v>
      </x:c>
      <x:c r="D2122" s="7" t="str">
        <x:v>channel instance</x:v>
      </x:c>
      <x:c r="E2122" s="7" t="str">
        <x:v>CH-PEA-A-Y3-11-5</x:v>
      </x:c>
      <x:c r="F2122" s="7" t="str">
        <x:f>'Channel Instances'!O791</x:f>
        <x:v>OPEN</x:v>
      </x:c>
    </x:row>
    <x:row r="2123">
      <x:c r="B2123" s="7" t="str">
        <x:v>AG-02117</x:v>
      </x:c>
      <x:c r="C2123" s="7" t="str">
        <x:v>PEA-A-Y3</x:v>
      </x:c>
      <x:c r="D2123" s="7" t="str">
        <x:v>channel instance</x:v>
      </x:c>
      <x:c r="E2123" s="7" t="str">
        <x:v>CH-PEA-A-Y3-11-6</x:v>
      </x:c>
      <x:c r="F2123" s="7" t="str">
        <x:f>'Channel Instances'!O792</x:f>
        <x:v>OPEN</x:v>
      </x:c>
    </x:row>
    <x:row r="2124">
      <x:c r="B2124" s="7" t="str">
        <x:v>AG-02118</x:v>
      </x:c>
      <x:c r="C2124" s="7" t="str">
        <x:v>PEA-A-Y3</x:v>
      </x:c>
      <x:c r="D2124" s="7" t="str">
        <x:v>channel instance</x:v>
      </x:c>
      <x:c r="E2124" s="7" t="str">
        <x:v>CH-PEA-A-Y3-12-1</x:v>
      </x:c>
      <x:c r="F2124" s="7" t="str">
        <x:f>'Channel Instances'!O793</x:f>
        <x:v>OPEN</x:v>
      </x:c>
    </x:row>
    <x:row r="2125">
      <x:c r="B2125" s="7" t="str">
        <x:v>AG-02119</x:v>
      </x:c>
      <x:c r="C2125" s="7" t="str">
        <x:v>PEA-A-Y3</x:v>
      </x:c>
      <x:c r="D2125" s="7" t="str">
        <x:v>channel instance</x:v>
      </x:c>
      <x:c r="E2125" s="7" t="str">
        <x:v>CH-PEA-A-Y3-12-2</x:v>
      </x:c>
      <x:c r="F2125" s="7" t="str">
        <x:f>'Channel Instances'!O794</x:f>
        <x:v>OPEN</x:v>
      </x:c>
    </x:row>
    <x:row r="2126">
      <x:c r="B2126" s="7" t="str">
        <x:v>AG-02120</x:v>
      </x:c>
      <x:c r="C2126" s="7" t="str">
        <x:v>PEA-A-Y3</x:v>
      </x:c>
      <x:c r="D2126" s="7" t="str">
        <x:v>channel instance</x:v>
      </x:c>
      <x:c r="E2126" s="7" t="str">
        <x:v>CH-PEA-A-Y3-12-3</x:v>
      </x:c>
      <x:c r="F2126" s="7" t="str">
        <x:f>'Channel Instances'!O795</x:f>
        <x:v>OPEN</x:v>
      </x:c>
    </x:row>
    <x:row r="2127">
      <x:c r="B2127" s="7" t="str">
        <x:v>AG-02121</x:v>
      </x:c>
      <x:c r="C2127" s="7" t="str">
        <x:v>PEA-A-Y3</x:v>
      </x:c>
      <x:c r="D2127" s="7" t="str">
        <x:v>channel instance</x:v>
      </x:c>
      <x:c r="E2127" s="7" t="str">
        <x:v>CH-PEA-A-Y3-12-4</x:v>
      </x:c>
      <x:c r="F2127" s="7" t="str">
        <x:f>'Channel Instances'!O796</x:f>
        <x:v>OPEN</x:v>
      </x:c>
    </x:row>
    <x:row r="2128">
      <x:c r="B2128" s="7" t="str">
        <x:v>AG-02122</x:v>
      </x:c>
      <x:c r="C2128" s="7" t="str">
        <x:v>PEA-A-Y3</x:v>
      </x:c>
      <x:c r="D2128" s="7" t="str">
        <x:v>channel instance</x:v>
      </x:c>
      <x:c r="E2128" s="7" t="str">
        <x:v>CH-PEA-A-Y3-12-5</x:v>
      </x:c>
      <x:c r="F2128" s="7" t="str">
        <x:f>'Channel Instances'!O797</x:f>
        <x:v>OPEN</x:v>
      </x:c>
    </x:row>
    <x:row r="2129">
      <x:c r="B2129" s="7" t="str">
        <x:v>AG-02123</x:v>
      </x:c>
      <x:c r="C2129" s="7" t="str">
        <x:v>PEA-A-Y3</x:v>
      </x:c>
      <x:c r="D2129" s="7" t="str">
        <x:v>channel instance</x:v>
      </x:c>
      <x:c r="E2129" s="7" t="str">
        <x:v>CH-PEA-A-Y3-12-6</x:v>
      </x:c>
      <x:c r="F2129" s="7" t="str">
        <x:f>'Channel Instances'!O798</x:f>
        <x:v>OPEN</x:v>
      </x:c>
    </x:row>
    <x:row r="2130">
      <x:c r="B2130" s="7" t="str">
        <x:v>AG-02124</x:v>
      </x:c>
      <x:c r="C2130" s="7" t="str">
        <x:v>PEA-A-Y3</x:v>
      </x:c>
      <x:c r="D2130" s="7" t="str">
        <x:v>channel instance</x:v>
      </x:c>
      <x:c r="E2130" s="7" t="str">
        <x:v>CH-PEA-A-Y3-13-1</x:v>
      </x:c>
      <x:c r="F2130" s="7" t="str">
        <x:f>'Channel Instances'!O799</x:f>
        <x:v>OPEN</x:v>
      </x:c>
    </x:row>
    <x:row r="2131">
      <x:c r="B2131" s="7" t="str">
        <x:v>AG-02125</x:v>
      </x:c>
      <x:c r="C2131" s="7" t="str">
        <x:v>PEA-A-Y3</x:v>
      </x:c>
      <x:c r="D2131" s="7" t="str">
        <x:v>channel instance</x:v>
      </x:c>
      <x:c r="E2131" s="7" t="str">
        <x:v>CH-PEA-A-Y3-13-2</x:v>
      </x:c>
      <x:c r="F2131" s="7" t="str">
        <x:f>'Channel Instances'!O800</x:f>
        <x:v>OPEN</x:v>
      </x:c>
    </x:row>
    <x:row r="2132">
      <x:c r="B2132" s="7" t="str">
        <x:v>AG-02126</x:v>
      </x:c>
      <x:c r="C2132" s="7" t="str">
        <x:v>PEA-A-Y3</x:v>
      </x:c>
      <x:c r="D2132" s="7" t="str">
        <x:v>channel instance</x:v>
      </x:c>
      <x:c r="E2132" s="7" t="str">
        <x:v>CH-PEA-A-Y3-13-3</x:v>
      </x:c>
      <x:c r="F2132" s="7" t="str">
        <x:f>'Channel Instances'!O801</x:f>
        <x:v>OPEN</x:v>
      </x:c>
    </x:row>
    <x:row r="2133">
      <x:c r="B2133" s="7" t="str">
        <x:v>AG-02127</x:v>
      </x:c>
      <x:c r="C2133" s="7" t="str">
        <x:v>PEA-A-Y3</x:v>
      </x:c>
      <x:c r="D2133" s="7" t="str">
        <x:v>channel instance</x:v>
      </x:c>
      <x:c r="E2133" s="7" t="str">
        <x:v>CH-PEA-A-Y3-13-4</x:v>
      </x:c>
      <x:c r="F2133" s="7" t="str">
        <x:f>'Channel Instances'!O802</x:f>
        <x:v>OPEN</x:v>
      </x:c>
    </x:row>
    <x:row r="2134">
      <x:c r="B2134" s="7" t="str">
        <x:v>AG-02128</x:v>
      </x:c>
      <x:c r="C2134" s="7" t="str">
        <x:v>PEA-A-Y3</x:v>
      </x:c>
      <x:c r="D2134" s="7" t="str">
        <x:v>channel instance</x:v>
      </x:c>
      <x:c r="E2134" s="7" t="str">
        <x:v>CH-PEA-A-Y3-13-5</x:v>
      </x:c>
      <x:c r="F2134" s="7" t="str">
        <x:f>'Channel Instances'!O803</x:f>
        <x:v>OPEN</x:v>
      </x:c>
    </x:row>
    <x:row r="2135">
      <x:c r="B2135" s="7" t="str">
        <x:v>AG-02129</x:v>
      </x:c>
      <x:c r="C2135" s="7" t="str">
        <x:v>PEA-A-Y3</x:v>
      </x:c>
      <x:c r="D2135" s="7" t="str">
        <x:v>channel instance</x:v>
      </x:c>
      <x:c r="E2135" s="7" t="str">
        <x:v>CH-PEA-A-Y3-13-6</x:v>
      </x:c>
      <x:c r="F2135" s="7" t="str">
        <x:f>'Channel Instances'!O804</x:f>
        <x:v>OPEN</x:v>
      </x:c>
    </x:row>
    <x:row r="2136">
      <x:c r="B2136" s="7" t="str">
        <x:v>AG-02130</x:v>
      </x:c>
      <x:c r="C2136" s="7" t="str">
        <x:v>PEA-A-Y3</x:v>
      </x:c>
      <x:c r="D2136" s="7" t="str">
        <x:v>channel instance</x:v>
      </x:c>
      <x:c r="E2136" s="7" t="str">
        <x:v>CH-PEA-A-Y3-14-1</x:v>
      </x:c>
      <x:c r="F2136" s="7" t="str">
        <x:f>'Channel Instances'!O805</x:f>
        <x:v>OPEN</x:v>
      </x:c>
    </x:row>
    <x:row r="2137">
      <x:c r="B2137" s="7" t="str">
        <x:v>AG-02131</x:v>
      </x:c>
      <x:c r="C2137" s="7" t="str">
        <x:v>PEA-A-Y3</x:v>
      </x:c>
      <x:c r="D2137" s="7" t="str">
        <x:v>channel instance</x:v>
      </x:c>
      <x:c r="E2137" s="7" t="str">
        <x:v>CH-PEA-A-Y3-14-2</x:v>
      </x:c>
      <x:c r="F2137" s="7" t="str">
        <x:f>'Channel Instances'!O806</x:f>
        <x:v>OPEN</x:v>
      </x:c>
    </x:row>
    <x:row r="2138">
      <x:c r="B2138" s="7" t="str">
        <x:v>AG-02132</x:v>
      </x:c>
      <x:c r="C2138" s="7" t="str">
        <x:v>PEA-A-Y3</x:v>
      </x:c>
      <x:c r="D2138" s="7" t="str">
        <x:v>channel instance</x:v>
      </x:c>
      <x:c r="E2138" s="7" t="str">
        <x:v>CH-PEA-A-Y3-14-3</x:v>
      </x:c>
      <x:c r="F2138" s="7" t="str">
        <x:f>'Channel Instances'!O807</x:f>
        <x:v>OPEN</x:v>
      </x:c>
    </x:row>
    <x:row r="2139">
      <x:c r="B2139" s="7" t="str">
        <x:v>AG-02133</x:v>
      </x:c>
      <x:c r="C2139" s="7" t="str">
        <x:v>PEA-A-Y3</x:v>
      </x:c>
      <x:c r="D2139" s="7" t="str">
        <x:v>channel instance</x:v>
      </x:c>
      <x:c r="E2139" s="7" t="str">
        <x:v>CH-PEA-A-Y3-14-4</x:v>
      </x:c>
      <x:c r="F2139" s="7" t="str">
        <x:f>'Channel Instances'!O808</x:f>
        <x:v>OPEN</x:v>
      </x:c>
    </x:row>
    <x:row r="2140">
      <x:c r="B2140" s="7" t="str">
        <x:v>AG-02134</x:v>
      </x:c>
      <x:c r="C2140" s="7" t="str">
        <x:v>PEA-A-Y3</x:v>
      </x:c>
      <x:c r="D2140" s="7" t="str">
        <x:v>channel instance</x:v>
      </x:c>
      <x:c r="E2140" s="7" t="str">
        <x:v>CH-PEA-A-Y3-14-5</x:v>
      </x:c>
      <x:c r="F2140" s="7" t="str">
        <x:f>'Channel Instances'!O809</x:f>
        <x:v>OPEN</x:v>
      </x:c>
    </x:row>
    <x:row r="2141">
      <x:c r="B2141" s="7" t="str">
        <x:v>AG-02135</x:v>
      </x:c>
      <x:c r="C2141" s="7" t="str">
        <x:v>PEA-A-Y3</x:v>
      </x:c>
      <x:c r="D2141" s="7" t="str">
        <x:v>channel instance</x:v>
      </x:c>
      <x:c r="E2141" s="7" t="str">
        <x:v>CH-PEA-A-Y3-14-6</x:v>
      </x:c>
      <x:c r="F2141" s="7" t="str">
        <x:f>'Channel Instances'!O810</x:f>
        <x:v>OPEN</x:v>
      </x:c>
    </x:row>
    <x:row r="2142">
      <x:c r="B2142" s="7" t="str">
        <x:v>AG-02136</x:v>
      </x:c>
      <x:c r="C2142" s="7" t="str">
        <x:v>PEA-A-Y3</x:v>
      </x:c>
      <x:c r="D2142" s="7" t="str">
        <x:v>channel instance</x:v>
      </x:c>
      <x:c r="E2142" s="7" t="str">
        <x:v>CH-PEA-A-Y3-15-1</x:v>
      </x:c>
      <x:c r="F2142" s="7" t="str">
        <x:f>'Channel Instances'!O811</x:f>
        <x:v>OPEN</x:v>
      </x:c>
    </x:row>
    <x:row r="2143">
      <x:c r="B2143" s="7" t="str">
        <x:v>AG-02137</x:v>
      </x:c>
      <x:c r="C2143" s="7" t="str">
        <x:v>PEA-A-Y3</x:v>
      </x:c>
      <x:c r="D2143" s="7" t="str">
        <x:v>channel instance</x:v>
      </x:c>
      <x:c r="E2143" s="7" t="str">
        <x:v>CH-PEA-A-Y3-15-2</x:v>
      </x:c>
      <x:c r="F2143" s="7" t="str">
        <x:f>'Channel Instances'!O812</x:f>
        <x:v>OPEN</x:v>
      </x:c>
    </x:row>
    <x:row r="2144">
      <x:c r="B2144" s="7" t="str">
        <x:v>AG-02138</x:v>
      </x:c>
      <x:c r="C2144" s="7" t="str">
        <x:v>PEA-A-Y3</x:v>
      </x:c>
      <x:c r="D2144" s="7" t="str">
        <x:v>channel instance</x:v>
      </x:c>
      <x:c r="E2144" s="7" t="str">
        <x:v>CH-PEA-A-Y3-15-3</x:v>
      </x:c>
      <x:c r="F2144" s="7" t="str">
        <x:f>'Channel Instances'!O813</x:f>
        <x:v>OPEN</x:v>
      </x:c>
    </x:row>
    <x:row r="2145">
      <x:c r="B2145" s="7" t="str">
        <x:v>AG-02139</x:v>
      </x:c>
      <x:c r="C2145" s="7" t="str">
        <x:v>PEA-A-Y3</x:v>
      </x:c>
      <x:c r="D2145" s="7" t="str">
        <x:v>channel instance</x:v>
      </x:c>
      <x:c r="E2145" s="7" t="str">
        <x:v>CH-PEA-A-Y3-15-4</x:v>
      </x:c>
      <x:c r="F2145" s="7" t="str">
        <x:f>'Channel Instances'!O814</x:f>
        <x:v>OPEN</x:v>
      </x:c>
    </x:row>
    <x:row r="2146">
      <x:c r="B2146" s="7" t="str">
        <x:v>AG-02140</x:v>
      </x:c>
      <x:c r="C2146" s="7" t="str">
        <x:v>PEA-A-Y3</x:v>
      </x:c>
      <x:c r="D2146" s="7" t="str">
        <x:v>channel instance</x:v>
      </x:c>
      <x:c r="E2146" s="7" t="str">
        <x:v>CH-PEA-A-Y3-15-5</x:v>
      </x:c>
      <x:c r="F2146" s="7" t="str">
        <x:f>'Channel Instances'!O815</x:f>
        <x:v>OPEN</x:v>
      </x:c>
    </x:row>
    <x:row r="2147">
      <x:c r="B2147" s="7" t="str">
        <x:v>AG-02141</x:v>
      </x:c>
      <x:c r="C2147" s="7" t="str">
        <x:v>PEA-A-Y3</x:v>
      </x:c>
      <x:c r="D2147" s="7" t="str">
        <x:v>channel instance</x:v>
      </x:c>
      <x:c r="E2147" s="7" t="str">
        <x:v>CH-PEA-A-Y3-15-6</x:v>
      </x:c>
      <x:c r="F2147" s="7" t="str">
        <x:f>'Channel Instances'!O816</x:f>
        <x:v>OPEN</x:v>
      </x:c>
    </x:row>
    <x:row r="2148">
      <x:c r="B2148" s="7" t="str">
        <x:v>AG-02142</x:v>
      </x:c>
      <x:c r="C2148" s="7" t="str">
        <x:v>PEA-A-Y3</x:v>
      </x:c>
      <x:c r="D2148" s="7" t="str">
        <x:v>channel instance</x:v>
      </x:c>
      <x:c r="E2148" s="7" t="str">
        <x:v>CH-PEA-A-Y3-16-1</x:v>
      </x:c>
      <x:c r="F2148" s="7" t="str">
        <x:f>'Channel Instances'!O817</x:f>
        <x:v>OPEN</x:v>
      </x:c>
    </x:row>
    <x:row r="2149">
      <x:c r="B2149" s="7" t="str">
        <x:v>AG-02143</x:v>
      </x:c>
      <x:c r="C2149" s="7" t="str">
        <x:v>PEA-A-Y3</x:v>
      </x:c>
      <x:c r="D2149" s="7" t="str">
        <x:v>channel instance</x:v>
      </x:c>
      <x:c r="E2149" s="7" t="str">
        <x:v>CH-PEA-A-Y3-16-2</x:v>
      </x:c>
      <x:c r="F2149" s="7" t="str">
        <x:f>'Channel Instances'!O818</x:f>
        <x:v>OPEN</x:v>
      </x:c>
    </x:row>
    <x:row r="2150">
      <x:c r="B2150" s="7" t="str">
        <x:v>AG-02144</x:v>
      </x:c>
      <x:c r="C2150" s="7" t="str">
        <x:v>PEA-A-Y3</x:v>
      </x:c>
      <x:c r="D2150" s="7" t="str">
        <x:v>channel instance</x:v>
      </x:c>
      <x:c r="E2150" s="7" t="str">
        <x:v>CH-PEA-A-Y3-16-3</x:v>
      </x:c>
      <x:c r="F2150" s="7" t="str">
        <x:f>'Channel Instances'!O819</x:f>
        <x:v>OPEN</x:v>
      </x:c>
    </x:row>
    <x:row r="2151">
      <x:c r="B2151" s="7" t="str">
        <x:v>AG-02145</x:v>
      </x:c>
      <x:c r="C2151" s="7" t="str">
        <x:v>PEA-A-Y3</x:v>
      </x:c>
      <x:c r="D2151" s="7" t="str">
        <x:v>channel instance</x:v>
      </x:c>
      <x:c r="E2151" s="7" t="str">
        <x:v>CH-PEA-A-Y3-16-4</x:v>
      </x:c>
      <x:c r="F2151" s="7" t="str">
        <x:f>'Channel Instances'!O820</x:f>
        <x:v>OPEN</x:v>
      </x:c>
    </x:row>
    <x:row r="2152">
      <x:c r="B2152" s="7" t="str">
        <x:v>AG-02146</x:v>
      </x:c>
      <x:c r="C2152" s="7" t="str">
        <x:v>PEA-A-Y3</x:v>
      </x:c>
      <x:c r="D2152" s="7" t="str">
        <x:v>channel instance</x:v>
      </x:c>
      <x:c r="E2152" s="7" t="str">
        <x:v>CH-PEA-A-Y3-16-5</x:v>
      </x:c>
      <x:c r="F2152" s="7" t="str">
        <x:f>'Channel Instances'!O821</x:f>
        <x:v>OPEN</x:v>
      </x:c>
    </x:row>
    <x:row r="2153">
      <x:c r="B2153" s="7" t="str">
        <x:v>AG-02147</x:v>
      </x:c>
      <x:c r="C2153" s="7" t="str">
        <x:v>PEA-A-Y3</x:v>
      </x:c>
      <x:c r="D2153" s="7" t="str">
        <x:v>channel instance</x:v>
      </x:c>
      <x:c r="E2153" s="7" t="str">
        <x:v>CH-PEA-A-Y3-16-6</x:v>
      </x:c>
      <x:c r="F2153" s="7" t="str">
        <x:f>'Channel Instances'!O822</x:f>
        <x:v>OPEN</x:v>
      </x:c>
    </x:row>
    <x:row r="2154">
      <x:c r="B2154" s="7" t="str">
        <x:v>AG-02148</x:v>
      </x:c>
      <x:c r="C2154" s="7" t="str">
        <x:v>PEA-A-Y3</x:v>
      </x:c>
      <x:c r="D2154" s="7" t="str">
        <x:v>channel instance</x:v>
      </x:c>
      <x:c r="E2154" s="7" t="str">
        <x:v>CH-PEA-A-Y3-17-1</x:v>
      </x:c>
      <x:c r="F2154" s="7" t="str">
        <x:f>'Channel Instances'!O823</x:f>
        <x:v>OPEN</x:v>
      </x:c>
    </x:row>
    <x:row r="2155">
      <x:c r="B2155" s="7" t="str">
        <x:v>AG-02149</x:v>
      </x:c>
      <x:c r="C2155" s="7" t="str">
        <x:v>PEA-A-Y3</x:v>
      </x:c>
      <x:c r="D2155" s="7" t="str">
        <x:v>channel instance</x:v>
      </x:c>
      <x:c r="E2155" s="7" t="str">
        <x:v>CH-PEA-A-Y3-17-2</x:v>
      </x:c>
      <x:c r="F2155" s="7" t="str">
        <x:f>'Channel Instances'!O824</x:f>
        <x:v>OPEN</x:v>
      </x:c>
    </x:row>
    <x:row r="2156">
      <x:c r="B2156" s="7" t="str">
        <x:v>AG-02150</x:v>
      </x:c>
      <x:c r="C2156" s="7" t="str">
        <x:v>PEA-A-Y3</x:v>
      </x:c>
      <x:c r="D2156" s="7" t="str">
        <x:v>channel instance</x:v>
      </x:c>
      <x:c r="E2156" s="7" t="str">
        <x:v>CH-PEA-A-Y3-17-3</x:v>
      </x:c>
      <x:c r="F2156" s="7" t="str">
        <x:f>'Channel Instances'!O825</x:f>
        <x:v>OPEN</x:v>
      </x:c>
    </x:row>
    <x:row r="2157">
      <x:c r="B2157" s="7" t="str">
        <x:v>AG-02151</x:v>
      </x:c>
      <x:c r="C2157" s="7" t="str">
        <x:v>PEA-A-Y3</x:v>
      </x:c>
      <x:c r="D2157" s="7" t="str">
        <x:v>channel instance</x:v>
      </x:c>
      <x:c r="E2157" s="7" t="str">
        <x:v>CH-PEA-A-Y3-17-4</x:v>
      </x:c>
      <x:c r="F2157" s="7" t="str">
        <x:f>'Channel Instances'!O826</x:f>
        <x:v>OPEN</x:v>
      </x:c>
    </x:row>
    <x:row r="2158">
      <x:c r="B2158" s="7" t="str">
        <x:v>AG-02152</x:v>
      </x:c>
      <x:c r="C2158" s="7" t="str">
        <x:v>PEA-A-Y3</x:v>
      </x:c>
      <x:c r="D2158" s="7" t="str">
        <x:v>channel instance</x:v>
      </x:c>
      <x:c r="E2158" s="7" t="str">
        <x:v>CH-PEA-A-Y3-17-5</x:v>
      </x:c>
      <x:c r="F2158" s="7" t="str">
        <x:f>'Channel Instances'!O827</x:f>
        <x:v>OPEN</x:v>
      </x:c>
    </x:row>
    <x:row r="2159">
      <x:c r="B2159" s="7" t="str">
        <x:v>AG-02153</x:v>
      </x:c>
      <x:c r="C2159" s="7" t="str">
        <x:v>PEA-A-Y3</x:v>
      </x:c>
      <x:c r="D2159" s="7" t="str">
        <x:v>channel instance</x:v>
      </x:c>
      <x:c r="E2159" s="7" t="str">
        <x:v>CH-PEA-A-Y3-17-6</x:v>
      </x:c>
      <x:c r="F2159" s="7" t="str">
        <x:f>'Channel Instances'!O828</x:f>
        <x:v>OPEN</x:v>
      </x:c>
    </x:row>
    <x:row r="2160">
      <x:c r="B2160" s="7" t="str">
        <x:v>AG-02154</x:v>
      </x:c>
      <x:c r="C2160" s="7" t="str">
        <x:v>PEA-A-Y3</x:v>
      </x:c>
      <x:c r="D2160" s="7" t="str">
        <x:v>channel instance</x:v>
      </x:c>
      <x:c r="E2160" s="7" t="str">
        <x:v>CH-PEA-A-Y3-18-1</x:v>
      </x:c>
      <x:c r="F2160" s="7" t="str">
        <x:f>'Channel Instances'!O829</x:f>
        <x:v>OPEN</x:v>
      </x:c>
    </x:row>
    <x:row r="2161">
      <x:c r="B2161" s="7" t="str">
        <x:v>AG-02155</x:v>
      </x:c>
      <x:c r="C2161" s="7" t="str">
        <x:v>PEA-A-Y3</x:v>
      </x:c>
      <x:c r="D2161" s="7" t="str">
        <x:v>channel instance</x:v>
      </x:c>
      <x:c r="E2161" s="7" t="str">
        <x:v>CH-PEA-A-Y3-18-2</x:v>
      </x:c>
      <x:c r="F2161" s="7" t="str">
        <x:f>'Channel Instances'!O830</x:f>
        <x:v>OPEN</x:v>
      </x:c>
    </x:row>
    <x:row r="2162">
      <x:c r="B2162" s="7" t="str">
        <x:v>AG-02156</x:v>
      </x:c>
      <x:c r="C2162" s="7" t="str">
        <x:v>PEA-A-Y3</x:v>
      </x:c>
      <x:c r="D2162" s="7" t="str">
        <x:v>channel instance</x:v>
      </x:c>
      <x:c r="E2162" s="7" t="str">
        <x:v>CH-PEA-A-Y3-18-3</x:v>
      </x:c>
      <x:c r="F2162" s="7" t="str">
        <x:f>'Channel Instances'!O831</x:f>
        <x:v>OPEN</x:v>
      </x:c>
    </x:row>
    <x:row r="2163">
      <x:c r="B2163" s="7" t="str">
        <x:v>AG-02157</x:v>
      </x:c>
      <x:c r="C2163" s="7" t="str">
        <x:v>PEA-A-Y3</x:v>
      </x:c>
      <x:c r="D2163" s="7" t="str">
        <x:v>channel instance</x:v>
      </x:c>
      <x:c r="E2163" s="7" t="str">
        <x:v>CH-PEA-A-Y3-18-4</x:v>
      </x:c>
      <x:c r="F2163" s="7" t="str">
        <x:f>'Channel Instances'!O832</x:f>
        <x:v>OPEN</x:v>
      </x:c>
    </x:row>
    <x:row r="2164">
      <x:c r="B2164" s="7" t="str">
        <x:v>AG-02158</x:v>
      </x:c>
      <x:c r="C2164" s="7" t="str">
        <x:v>PEA-A-Y3</x:v>
      </x:c>
      <x:c r="D2164" s="7" t="str">
        <x:v>channel instance</x:v>
      </x:c>
      <x:c r="E2164" s="7" t="str">
        <x:v>CH-PEA-A-Y3-18-5</x:v>
      </x:c>
      <x:c r="F2164" s="7" t="str">
        <x:f>'Channel Instances'!O833</x:f>
        <x:v>OPEN</x:v>
      </x:c>
    </x:row>
    <x:row r="2165">
      <x:c r="B2165" s="7" t="str">
        <x:v>AG-02159</x:v>
      </x:c>
      <x:c r="C2165" s="7" t="str">
        <x:v>PEA-A-Y3</x:v>
      </x:c>
      <x:c r="D2165" s="7" t="str">
        <x:v>channel instance</x:v>
      </x:c>
      <x:c r="E2165" s="7" t="str">
        <x:v>CH-PEA-A-Y3-18-6</x:v>
      </x:c>
      <x:c r="F2165" s="7" t="str">
        <x:f>'Channel Instances'!O834</x:f>
        <x:v>OPEN</x:v>
      </x:c>
    </x:row>
    <x:row r="2166">
      <x:c r="B2166" s="7" t="str">
        <x:v>AG-02160</x:v>
      </x:c>
      <x:c r="C2166" s="7" t="str">
        <x:v>PEA-A-Y3</x:v>
      </x:c>
      <x:c r="D2166" s="7" t="str">
        <x:v>channel instance</x:v>
      </x:c>
      <x:c r="E2166" s="7" t="str">
        <x:v>CH-PEA-A-Y3-19-1</x:v>
      </x:c>
      <x:c r="F2166" s="7" t="str">
        <x:f>'Channel Instances'!O835</x:f>
        <x:v>OPEN</x:v>
      </x:c>
    </x:row>
    <x:row r="2167">
      <x:c r="B2167" s="7" t="str">
        <x:v>AG-02161</x:v>
      </x:c>
      <x:c r="C2167" s="7" t="str">
        <x:v>PEA-A-Y3</x:v>
      </x:c>
      <x:c r="D2167" s="7" t="str">
        <x:v>channel instance</x:v>
      </x:c>
      <x:c r="E2167" s="7" t="str">
        <x:v>CH-PEA-A-Y3-19-2</x:v>
      </x:c>
      <x:c r="F2167" s="7" t="str">
        <x:f>'Channel Instances'!O836</x:f>
        <x:v>OPEN</x:v>
      </x:c>
    </x:row>
    <x:row r="2168">
      <x:c r="B2168" s="7" t="str">
        <x:v>AG-02162</x:v>
      </x:c>
      <x:c r="C2168" s="7" t="str">
        <x:v>PEA-A-Y3</x:v>
      </x:c>
      <x:c r="D2168" s="7" t="str">
        <x:v>channel instance</x:v>
      </x:c>
      <x:c r="E2168" s="7" t="str">
        <x:v>CH-PEA-A-Y3-19-3</x:v>
      </x:c>
      <x:c r="F2168" s="7" t="str">
        <x:f>'Channel Instances'!O837</x:f>
        <x:v>OPEN</x:v>
      </x:c>
    </x:row>
    <x:row r="2169">
      <x:c r="B2169" s="7" t="str">
        <x:v>AG-02163</x:v>
      </x:c>
      <x:c r="C2169" s="7" t="str">
        <x:v>PEA-A-Y3</x:v>
      </x:c>
      <x:c r="D2169" s="7" t="str">
        <x:v>channel instance</x:v>
      </x:c>
      <x:c r="E2169" s="7" t="str">
        <x:v>CH-PEA-A-Y3-19-4</x:v>
      </x:c>
      <x:c r="F2169" s="7" t="str">
        <x:f>'Channel Instances'!O838</x:f>
        <x:v>OPEN</x:v>
      </x:c>
    </x:row>
    <x:row r="2170">
      <x:c r="B2170" s="7" t="str">
        <x:v>AG-02164</x:v>
      </x:c>
      <x:c r="C2170" s="7" t="str">
        <x:v>PEA-A-Y3</x:v>
      </x:c>
      <x:c r="D2170" s="7" t="str">
        <x:v>channel instance</x:v>
      </x:c>
      <x:c r="E2170" s="7" t="str">
        <x:v>CH-PEA-A-Y3-19-5</x:v>
      </x:c>
      <x:c r="F2170" s="7" t="str">
        <x:f>'Channel Instances'!O839</x:f>
        <x:v>OPEN</x:v>
      </x:c>
    </x:row>
    <x:row r="2171">
      <x:c r="B2171" s="7" t="str">
        <x:v>AG-02165</x:v>
      </x:c>
      <x:c r="C2171" s="7" t="str">
        <x:v>PEA-A-Y3</x:v>
      </x:c>
      <x:c r="D2171" s="7" t="str">
        <x:v>channel instance</x:v>
      </x:c>
      <x:c r="E2171" s="7" t="str">
        <x:v>CH-PEA-A-Y3-19-6</x:v>
      </x:c>
      <x:c r="F2171" s="7" t="str">
        <x:f>'Channel Instances'!O840</x:f>
        <x:v>OPEN</x:v>
      </x:c>
    </x:row>
    <x:row r="2172">
      <x:c r="B2172" s="7" t="str">
        <x:v>AG-02166</x:v>
      </x:c>
      <x:c r="C2172" s="7" t="str">
        <x:v>PEA-A-Y3</x:v>
      </x:c>
      <x:c r="D2172" s="7" t="str">
        <x:v>channel instance</x:v>
      </x:c>
      <x:c r="E2172" s="7" t="str">
        <x:v>CH-PEA-A-Y3-20-1</x:v>
      </x:c>
      <x:c r="F2172" s="7" t="str">
        <x:f>'Channel Instances'!O841</x:f>
        <x:v>OPEN</x:v>
      </x:c>
    </x:row>
    <x:row r="2173">
      <x:c r="B2173" s="7" t="str">
        <x:v>AG-02167</x:v>
      </x:c>
      <x:c r="C2173" s="7" t="str">
        <x:v>PEA-A-Y3</x:v>
      </x:c>
      <x:c r="D2173" s="7" t="str">
        <x:v>channel instance</x:v>
      </x:c>
      <x:c r="E2173" s="7" t="str">
        <x:v>CH-PEA-A-Y3-20-2</x:v>
      </x:c>
      <x:c r="F2173" s="7" t="str">
        <x:f>'Channel Instances'!O842</x:f>
        <x:v>OPEN</x:v>
      </x:c>
    </x:row>
    <x:row r="2174">
      <x:c r="B2174" s="7" t="str">
        <x:v>AG-02168</x:v>
      </x:c>
      <x:c r="C2174" s="7" t="str">
        <x:v>PEA-A-Y3</x:v>
      </x:c>
      <x:c r="D2174" s="7" t="str">
        <x:v>channel instance</x:v>
      </x:c>
      <x:c r="E2174" s="7" t="str">
        <x:v>CH-PEA-A-Y3-20-3</x:v>
      </x:c>
      <x:c r="F2174" s="7" t="str">
        <x:f>'Channel Instances'!O843</x:f>
        <x:v>OPEN</x:v>
      </x:c>
    </x:row>
    <x:row r="2175">
      <x:c r="B2175" s="7" t="str">
        <x:v>AG-02169</x:v>
      </x:c>
      <x:c r="C2175" s="7" t="str">
        <x:v>PEA-A-Y3</x:v>
      </x:c>
      <x:c r="D2175" s="7" t="str">
        <x:v>channel instance</x:v>
      </x:c>
      <x:c r="E2175" s="7" t="str">
        <x:v>CH-PEA-A-Y3-20-4</x:v>
      </x:c>
      <x:c r="F2175" s="7" t="str">
        <x:f>'Channel Instances'!O844</x:f>
        <x:v>OPEN</x:v>
      </x:c>
    </x:row>
    <x:row r="2176">
      <x:c r="B2176" s="7" t="str">
        <x:v>AG-02170</x:v>
      </x:c>
      <x:c r="C2176" s="7" t="str">
        <x:v>PEA-A-Y3</x:v>
      </x:c>
      <x:c r="D2176" s="7" t="str">
        <x:v>channel instance</x:v>
      </x:c>
      <x:c r="E2176" s="7" t="str">
        <x:v>CH-PEA-A-Y3-20-5</x:v>
      </x:c>
      <x:c r="F2176" s="7" t="str">
        <x:f>'Channel Instances'!O845</x:f>
        <x:v>OPEN</x:v>
      </x:c>
    </x:row>
    <x:row r="2177">
      <x:c r="B2177" s="7" t="str">
        <x:v>AG-02171</x:v>
      </x:c>
      <x:c r="C2177" s="7" t="str">
        <x:v>PEA-A-Y3</x:v>
      </x:c>
      <x:c r="D2177" s="7" t="str">
        <x:v>channel instance</x:v>
      </x:c>
      <x:c r="E2177" s="7" t="str">
        <x:v>CH-PEA-A-Y3-20-6</x:v>
      </x:c>
      <x:c r="F2177" s="7" t="str">
        <x:f>'Channel Instances'!O846</x:f>
        <x:v>OPEN</x:v>
      </x:c>
    </x:row>
    <x:row r="2178">
      <x:c r="B2178" s="7" t="str">
        <x:v>AG-02172</x:v>
      </x:c>
      <x:c r="C2178" s="7" t="str">
        <x:v>PEA-A-Y3</x:v>
      </x:c>
      <x:c r="D2178" s="7" t="str">
        <x:v>channel instance</x:v>
      </x:c>
      <x:c r="E2178" s="7" t="str">
        <x:v>CH-PEA-A-Y3-21-1</x:v>
      </x:c>
      <x:c r="F2178" s="7" t="str">
        <x:f>'Channel Instances'!O847</x:f>
        <x:v>OPEN</x:v>
      </x:c>
    </x:row>
    <x:row r="2179">
      <x:c r="B2179" s="7" t="str">
        <x:v>AG-02173</x:v>
      </x:c>
      <x:c r="C2179" s="7" t="str">
        <x:v>PEA-A-Y3</x:v>
      </x:c>
      <x:c r="D2179" s="7" t="str">
        <x:v>channel instance</x:v>
      </x:c>
      <x:c r="E2179" s="7" t="str">
        <x:v>CH-PEA-A-Y3-21-2</x:v>
      </x:c>
      <x:c r="F2179" s="7" t="str">
        <x:f>'Channel Instances'!O848</x:f>
        <x:v>OPEN</x:v>
      </x:c>
    </x:row>
    <x:row r="2180">
      <x:c r="B2180" s="7" t="str">
        <x:v>AG-02174</x:v>
      </x:c>
      <x:c r="C2180" s="7" t="str">
        <x:v>PEA-A-Y3</x:v>
      </x:c>
      <x:c r="D2180" s="7" t="str">
        <x:v>channel instance</x:v>
      </x:c>
      <x:c r="E2180" s="7" t="str">
        <x:v>CH-PEA-A-Y3-21-3</x:v>
      </x:c>
      <x:c r="F2180" s="7" t="str">
        <x:f>'Channel Instances'!O849</x:f>
        <x:v>OPEN</x:v>
      </x:c>
    </x:row>
    <x:row r="2181">
      <x:c r="B2181" s="7" t="str">
        <x:v>AG-02175</x:v>
      </x:c>
      <x:c r="C2181" s="7" t="str">
        <x:v>PEA-A-Y3</x:v>
      </x:c>
      <x:c r="D2181" s="7" t="str">
        <x:v>channel instance</x:v>
      </x:c>
      <x:c r="E2181" s="7" t="str">
        <x:v>CH-PEA-A-Y3-21-4</x:v>
      </x:c>
      <x:c r="F2181" s="7" t="str">
        <x:f>'Channel Instances'!O850</x:f>
        <x:v>OPEN</x:v>
      </x:c>
    </x:row>
    <x:row r="2182">
      <x:c r="B2182" s="7" t="str">
        <x:v>AG-02176</x:v>
      </x:c>
      <x:c r="C2182" s="7" t="str">
        <x:v>PEA-A-Y3</x:v>
      </x:c>
      <x:c r="D2182" s="7" t="str">
        <x:v>channel instance</x:v>
      </x:c>
      <x:c r="E2182" s="7" t="str">
        <x:v>CH-PEA-A-Y3-21-5</x:v>
      </x:c>
      <x:c r="F2182" s="7" t="str">
        <x:f>'Channel Instances'!O851</x:f>
        <x:v>OPEN</x:v>
      </x:c>
    </x:row>
    <x:row r="2183">
      <x:c r="B2183" s="7" t="str">
        <x:v>AG-02177</x:v>
      </x:c>
      <x:c r="C2183" s="7" t="str">
        <x:v>PEA-A-Y3</x:v>
      </x:c>
      <x:c r="D2183" s="7" t="str">
        <x:v>channel instance</x:v>
      </x:c>
      <x:c r="E2183" s="7" t="str">
        <x:v>CH-PEA-A-Y3-21-6</x:v>
      </x:c>
      <x:c r="F2183" s="7" t="str">
        <x:f>'Channel Instances'!O852</x:f>
        <x:v>OPEN</x:v>
      </x:c>
    </x:row>
    <x:row r="2184">
      <x:c r="B2184" s="7" t="str">
        <x:v>AG-02178</x:v>
      </x:c>
      <x:c r="C2184" s="7" t="str">
        <x:v>PEA-A-Y3</x:v>
      </x:c>
      <x:c r="D2184" s="7" t="str">
        <x:v>channel instance</x:v>
      </x:c>
      <x:c r="E2184" s="7" t="str">
        <x:v>CH-PEA-A-Y3-22-1</x:v>
      </x:c>
      <x:c r="F2184" s="7" t="str">
        <x:f>'Channel Instances'!O853</x:f>
        <x:v>OPEN</x:v>
      </x:c>
    </x:row>
    <x:row r="2185">
      <x:c r="B2185" s="7" t="str">
        <x:v>AG-02179</x:v>
      </x:c>
      <x:c r="C2185" s="7" t="str">
        <x:v>PEA-A-Y3</x:v>
      </x:c>
      <x:c r="D2185" s="7" t="str">
        <x:v>channel instance</x:v>
      </x:c>
      <x:c r="E2185" s="7" t="str">
        <x:v>CH-PEA-A-Y3-22-2</x:v>
      </x:c>
      <x:c r="F2185" s="7" t="str">
        <x:f>'Channel Instances'!O854</x:f>
        <x:v>OPEN</x:v>
      </x:c>
    </x:row>
    <x:row r="2186">
      <x:c r="B2186" s="7" t="str">
        <x:v>AG-02180</x:v>
      </x:c>
      <x:c r="C2186" s="7" t="str">
        <x:v>PEA-A-Y3</x:v>
      </x:c>
      <x:c r="D2186" s="7" t="str">
        <x:v>channel instance</x:v>
      </x:c>
      <x:c r="E2186" s="7" t="str">
        <x:v>CH-PEA-A-Y3-22-3</x:v>
      </x:c>
      <x:c r="F2186" s="7" t="str">
        <x:f>'Channel Instances'!O855</x:f>
        <x:v>OPEN</x:v>
      </x:c>
    </x:row>
    <x:row r="2187">
      <x:c r="B2187" s="7" t="str">
        <x:v>AG-02181</x:v>
      </x:c>
      <x:c r="C2187" s="7" t="str">
        <x:v>PEA-A-Y3</x:v>
      </x:c>
      <x:c r="D2187" s="7" t="str">
        <x:v>channel instance</x:v>
      </x:c>
      <x:c r="E2187" s="7" t="str">
        <x:v>CH-PEA-A-Y3-22-4</x:v>
      </x:c>
      <x:c r="F2187" s="7" t="str">
        <x:f>'Channel Instances'!O856</x:f>
        <x:v>OPEN</x:v>
      </x:c>
    </x:row>
    <x:row r="2188">
      <x:c r="B2188" s="7" t="str">
        <x:v>AG-02182</x:v>
      </x:c>
      <x:c r="C2188" s="7" t="str">
        <x:v>PEA-A-Y3</x:v>
      </x:c>
      <x:c r="D2188" s="7" t="str">
        <x:v>channel instance</x:v>
      </x:c>
      <x:c r="E2188" s="7" t="str">
        <x:v>CH-PEA-A-Y3-22-5</x:v>
      </x:c>
      <x:c r="F2188" s="7" t="str">
        <x:f>'Channel Instances'!O857</x:f>
        <x:v>OPEN</x:v>
      </x:c>
    </x:row>
    <x:row r="2189">
      <x:c r="B2189" s="7" t="str">
        <x:v>AG-02183</x:v>
      </x:c>
      <x:c r="C2189" s="7" t="str">
        <x:v>PEA-A-Y3</x:v>
      </x:c>
      <x:c r="D2189" s="7" t="str">
        <x:v>channel instance</x:v>
      </x:c>
      <x:c r="E2189" s="7" t="str">
        <x:v>CH-PEA-A-Y3-22-6</x:v>
      </x:c>
      <x:c r="F2189" s="7" t="str">
        <x:f>'Channel Instances'!O858</x:f>
        <x:v>OPEN</x:v>
      </x:c>
    </x:row>
    <x:row r="2190">
      <x:c r="B2190" s="7" t="str">
        <x:v>AG-02184</x:v>
      </x:c>
      <x:c r="C2190" s="7" t="str">
        <x:v>PEA-A-Y3</x:v>
      </x:c>
      <x:c r="D2190" s="7" t="str">
        <x:v>channel instance</x:v>
      </x:c>
      <x:c r="E2190" s="7" t="str">
        <x:v>CH-PEA-A-Y3-23-1</x:v>
      </x:c>
      <x:c r="F2190" s="7" t="str">
        <x:f>'Channel Instances'!O859</x:f>
        <x:v>OPEN</x:v>
      </x:c>
    </x:row>
    <x:row r="2191">
      <x:c r="B2191" s="7" t="str">
        <x:v>AG-02185</x:v>
      </x:c>
      <x:c r="C2191" s="7" t="str">
        <x:v>PEA-A-Y3</x:v>
      </x:c>
      <x:c r="D2191" s="7" t="str">
        <x:v>channel instance</x:v>
      </x:c>
      <x:c r="E2191" s="7" t="str">
        <x:v>CH-PEA-A-Y3-23-2</x:v>
      </x:c>
      <x:c r="F2191" s="7" t="str">
        <x:f>'Channel Instances'!O860</x:f>
        <x:v>OPEN</x:v>
      </x:c>
    </x:row>
    <x:row r="2192">
      <x:c r="B2192" s="7" t="str">
        <x:v>AG-02186</x:v>
      </x:c>
      <x:c r="C2192" s="7" t="str">
        <x:v>PEA-A-Y3</x:v>
      </x:c>
      <x:c r="D2192" s="7" t="str">
        <x:v>channel instance</x:v>
      </x:c>
      <x:c r="E2192" s="7" t="str">
        <x:v>CH-PEA-A-Y3-23-3</x:v>
      </x:c>
      <x:c r="F2192" s="7" t="str">
        <x:f>'Channel Instances'!O861</x:f>
        <x:v>OPEN</x:v>
      </x:c>
    </x:row>
    <x:row r="2193">
      <x:c r="B2193" s="7" t="str">
        <x:v>AG-02187</x:v>
      </x:c>
      <x:c r="C2193" s="7" t="str">
        <x:v>PEA-A-Y3</x:v>
      </x:c>
      <x:c r="D2193" s="7" t="str">
        <x:v>channel instance</x:v>
      </x:c>
      <x:c r="E2193" s="7" t="str">
        <x:v>CH-PEA-A-Y3-23-4</x:v>
      </x:c>
      <x:c r="F2193" s="7" t="str">
        <x:f>'Channel Instances'!O862</x:f>
        <x:v>OPEN</x:v>
      </x:c>
    </x:row>
    <x:row r="2194">
      <x:c r="B2194" s="7" t="str">
        <x:v>AG-02188</x:v>
      </x:c>
      <x:c r="C2194" s="7" t="str">
        <x:v>PEA-A-Y3</x:v>
      </x:c>
      <x:c r="D2194" s="7" t="str">
        <x:v>channel instance</x:v>
      </x:c>
      <x:c r="E2194" s="7" t="str">
        <x:v>CH-PEA-A-Y3-23-5</x:v>
      </x:c>
      <x:c r="F2194" s="7" t="str">
        <x:f>'Channel Instances'!O863</x:f>
        <x:v>OPEN</x:v>
      </x:c>
    </x:row>
    <x:row r="2195">
      <x:c r="B2195" s="7" t="str">
        <x:v>AG-02189</x:v>
      </x:c>
      <x:c r="C2195" s="7" t="str">
        <x:v>PEA-A-Y3</x:v>
      </x:c>
      <x:c r="D2195" s="7" t="str">
        <x:v>channel instance</x:v>
      </x:c>
      <x:c r="E2195" s="7" t="str">
        <x:v>CH-PEA-A-Y3-23-6</x:v>
      </x:c>
      <x:c r="F2195" s="7" t="str">
        <x:f>'Channel Instances'!O864</x:f>
        <x:v>OPEN</x:v>
      </x:c>
    </x:row>
    <x:row r="2196">
      <x:c r="B2196" s="7" t="str">
        <x:v>AG-02190</x:v>
      </x:c>
      <x:c r="C2196" s="7" t="str">
        <x:v>PEA-A-Y3</x:v>
      </x:c>
      <x:c r="D2196" s="7" t="str">
        <x:v>channel instance</x:v>
      </x:c>
      <x:c r="E2196" s="7" t="str">
        <x:v>CH-PEA-A-Y3-24-1</x:v>
      </x:c>
      <x:c r="F2196" s="7" t="str">
        <x:f>'Channel Instances'!O865</x:f>
        <x:v>OPEN</x:v>
      </x:c>
    </x:row>
    <x:row r="2197">
      <x:c r="B2197" s="7" t="str">
        <x:v>AG-02191</x:v>
      </x:c>
      <x:c r="C2197" s="7" t="str">
        <x:v>PEA-A-Y3</x:v>
      </x:c>
      <x:c r="D2197" s="7" t="str">
        <x:v>channel instance</x:v>
      </x:c>
      <x:c r="E2197" s="7" t="str">
        <x:v>CH-PEA-A-Y3-24-2</x:v>
      </x:c>
      <x:c r="F2197" s="7" t="str">
        <x:f>'Channel Instances'!O866</x:f>
        <x:v>OPEN</x:v>
      </x:c>
    </x:row>
    <x:row r="2198">
      <x:c r="B2198" s="7" t="str">
        <x:v>AG-02192</x:v>
      </x:c>
      <x:c r="C2198" s="7" t="str">
        <x:v>PEA-A-Y3</x:v>
      </x:c>
      <x:c r="D2198" s="7" t="str">
        <x:v>channel instance</x:v>
      </x:c>
      <x:c r="E2198" s="7" t="str">
        <x:v>CH-PEA-A-Y3-24-3</x:v>
      </x:c>
      <x:c r="F2198" s="7" t="str">
        <x:f>'Channel Instances'!O867</x:f>
        <x:v>OPEN</x:v>
      </x:c>
    </x:row>
    <x:row r="2199">
      <x:c r="B2199" s="7" t="str">
        <x:v>AG-02193</x:v>
      </x:c>
      <x:c r="C2199" s="7" t="str">
        <x:v>PEA-A-Y3</x:v>
      </x:c>
      <x:c r="D2199" s="7" t="str">
        <x:v>channel instance</x:v>
      </x:c>
      <x:c r="E2199" s="7" t="str">
        <x:v>CH-PEA-A-Y3-24-4</x:v>
      </x:c>
      <x:c r="F2199" s="7" t="str">
        <x:f>'Channel Instances'!O868</x:f>
        <x:v>OPEN</x:v>
      </x:c>
    </x:row>
    <x:row r="2200">
      <x:c r="B2200" s="7" t="str">
        <x:v>AG-02194</x:v>
      </x:c>
      <x:c r="C2200" s="7" t="str">
        <x:v>PEA-A-Y3</x:v>
      </x:c>
      <x:c r="D2200" s="7" t="str">
        <x:v>channel instance</x:v>
      </x:c>
      <x:c r="E2200" s="7" t="str">
        <x:v>CH-PEA-A-Y3-24-5</x:v>
      </x:c>
      <x:c r="F2200" s="7" t="str">
        <x:f>'Channel Instances'!O869</x:f>
        <x:v>OPEN</x:v>
      </x:c>
    </x:row>
    <x:row r="2201">
      <x:c r="B2201" s="7" t="str">
        <x:v>AG-02195</x:v>
      </x:c>
      <x:c r="C2201" s="7" t="str">
        <x:v>PEA-A-Y3</x:v>
      </x:c>
      <x:c r="D2201" s="7" t="str">
        <x:v>channel instance</x:v>
      </x:c>
      <x:c r="E2201" s="7" t="str">
        <x:v>CH-PEA-A-Y3-24-6</x:v>
      </x:c>
      <x:c r="F2201" s="7" t="str">
        <x:f>'Channel Instances'!O870</x:f>
        <x:v>OPEN</x:v>
      </x:c>
    </x:row>
    <x:row r="2202">
      <x:c r="B2202" s="7" t="str">
        <x:v>AG-02196</x:v>
      </x:c>
      <x:c r="C2202" s="7" t="str">
        <x:v>PEA-A-Y3</x:v>
      </x:c>
      <x:c r="D2202" s="7" t="str">
        <x:v>factory calibration</x:v>
      </x:c>
      <x:c r="E2202" s="7" t="str">
        <x:v>CAL-CH-PEA-A-Y3-01-1</x:v>
      </x:c>
      <x:c r="F2202" s="7" t="str">
        <x:f>'Calibration Records'!M727</x:f>
        <x:v>OPEN</x:v>
      </x:c>
    </x:row>
    <x:row r="2203">
      <x:c r="B2203" s="7" t="str">
        <x:v>AG-02197</x:v>
      </x:c>
      <x:c r="C2203" s="7" t="str">
        <x:v>PEA-A-Y3</x:v>
      </x:c>
      <x:c r="D2203" s="7" t="str">
        <x:v>factory calibration</x:v>
      </x:c>
      <x:c r="E2203" s="7" t="str">
        <x:v>CAL-CH-PEA-A-Y3-01-2</x:v>
      </x:c>
      <x:c r="F2203" s="7" t="str">
        <x:f>'Calibration Records'!M728</x:f>
        <x:v>OPEN</x:v>
      </x:c>
    </x:row>
    <x:row r="2204">
      <x:c r="B2204" s="7" t="str">
        <x:v>AG-02198</x:v>
      </x:c>
      <x:c r="C2204" s="7" t="str">
        <x:v>PEA-A-Y3</x:v>
      </x:c>
      <x:c r="D2204" s="7" t="str">
        <x:v>factory calibration</x:v>
      </x:c>
      <x:c r="E2204" s="7" t="str">
        <x:v>CAL-CH-PEA-A-Y3-01-3</x:v>
      </x:c>
      <x:c r="F2204" s="7" t="str">
        <x:f>'Calibration Records'!M729</x:f>
        <x:v>OPEN</x:v>
      </x:c>
    </x:row>
    <x:row r="2205">
      <x:c r="B2205" s="7" t="str">
        <x:v>AG-02199</x:v>
      </x:c>
      <x:c r="C2205" s="7" t="str">
        <x:v>PEA-A-Y3</x:v>
      </x:c>
      <x:c r="D2205" s="7" t="str">
        <x:v>factory calibration</x:v>
      </x:c>
      <x:c r="E2205" s="7" t="str">
        <x:v>CAL-CH-PEA-A-Y3-01-4</x:v>
      </x:c>
      <x:c r="F2205" s="7" t="str">
        <x:f>'Calibration Records'!M730</x:f>
        <x:v>OPEN</x:v>
      </x:c>
    </x:row>
    <x:row r="2206">
      <x:c r="B2206" s="7" t="str">
        <x:v>AG-02200</x:v>
      </x:c>
      <x:c r="C2206" s="7" t="str">
        <x:v>PEA-A-Y3</x:v>
      </x:c>
      <x:c r="D2206" s="7" t="str">
        <x:v>factory calibration</x:v>
      </x:c>
      <x:c r="E2206" s="7" t="str">
        <x:v>CAL-CH-PEA-A-Y3-01-5</x:v>
      </x:c>
      <x:c r="F2206" s="7" t="str">
        <x:f>'Calibration Records'!M731</x:f>
        <x:v>OPEN</x:v>
      </x:c>
    </x:row>
    <x:row r="2207">
      <x:c r="B2207" s="7" t="str">
        <x:v>AG-02201</x:v>
      </x:c>
      <x:c r="C2207" s="7" t="str">
        <x:v>PEA-A-Y3</x:v>
      </x:c>
      <x:c r="D2207" s="7" t="str">
        <x:v>factory calibration</x:v>
      </x:c>
      <x:c r="E2207" s="7" t="str">
        <x:v>CAL-CH-PEA-A-Y3-01-6</x:v>
      </x:c>
      <x:c r="F2207" s="7" t="str">
        <x:f>'Calibration Records'!M732</x:f>
        <x:v>OPEN</x:v>
      </x:c>
    </x:row>
    <x:row r="2208">
      <x:c r="B2208" s="7" t="str">
        <x:v>AG-02202</x:v>
      </x:c>
      <x:c r="C2208" s="7" t="str">
        <x:v>PEA-A-Y3</x:v>
      </x:c>
      <x:c r="D2208" s="7" t="str">
        <x:v>factory calibration</x:v>
      </x:c>
      <x:c r="E2208" s="7" t="str">
        <x:v>CAL-CH-PEA-A-Y3-02-1</x:v>
      </x:c>
      <x:c r="F2208" s="7" t="str">
        <x:f>'Calibration Records'!M733</x:f>
        <x:v>OPEN</x:v>
      </x:c>
    </x:row>
    <x:row r="2209">
      <x:c r="B2209" s="7" t="str">
        <x:v>AG-02203</x:v>
      </x:c>
      <x:c r="C2209" s="7" t="str">
        <x:v>PEA-A-Y3</x:v>
      </x:c>
      <x:c r="D2209" s="7" t="str">
        <x:v>factory calibration</x:v>
      </x:c>
      <x:c r="E2209" s="7" t="str">
        <x:v>CAL-CH-PEA-A-Y3-02-2</x:v>
      </x:c>
      <x:c r="F2209" s="7" t="str">
        <x:f>'Calibration Records'!M734</x:f>
        <x:v>OPEN</x:v>
      </x:c>
    </x:row>
    <x:row r="2210">
      <x:c r="B2210" s="7" t="str">
        <x:v>AG-02204</x:v>
      </x:c>
      <x:c r="C2210" s="7" t="str">
        <x:v>PEA-A-Y3</x:v>
      </x:c>
      <x:c r="D2210" s="7" t="str">
        <x:v>factory calibration</x:v>
      </x:c>
      <x:c r="E2210" s="7" t="str">
        <x:v>CAL-CH-PEA-A-Y3-02-3</x:v>
      </x:c>
      <x:c r="F2210" s="7" t="str">
        <x:f>'Calibration Records'!M735</x:f>
        <x:v>OPEN</x:v>
      </x:c>
    </x:row>
    <x:row r="2211">
      <x:c r="B2211" s="7" t="str">
        <x:v>AG-02205</x:v>
      </x:c>
      <x:c r="C2211" s="7" t="str">
        <x:v>PEA-A-Y3</x:v>
      </x:c>
      <x:c r="D2211" s="7" t="str">
        <x:v>factory calibration</x:v>
      </x:c>
      <x:c r="E2211" s="7" t="str">
        <x:v>CAL-CH-PEA-A-Y3-02-4</x:v>
      </x:c>
      <x:c r="F2211" s="7" t="str">
        <x:f>'Calibration Records'!M736</x:f>
        <x:v>OPEN</x:v>
      </x:c>
    </x:row>
    <x:row r="2212">
      <x:c r="B2212" s="7" t="str">
        <x:v>AG-02206</x:v>
      </x:c>
      <x:c r="C2212" s="7" t="str">
        <x:v>PEA-A-Y3</x:v>
      </x:c>
      <x:c r="D2212" s="7" t="str">
        <x:v>factory calibration</x:v>
      </x:c>
      <x:c r="E2212" s="7" t="str">
        <x:v>CAL-CH-PEA-A-Y3-02-5</x:v>
      </x:c>
      <x:c r="F2212" s="7" t="str">
        <x:f>'Calibration Records'!M737</x:f>
        <x:v>OPEN</x:v>
      </x:c>
    </x:row>
    <x:row r="2213">
      <x:c r="B2213" s="7" t="str">
        <x:v>AG-02207</x:v>
      </x:c>
      <x:c r="C2213" s="7" t="str">
        <x:v>PEA-A-Y3</x:v>
      </x:c>
      <x:c r="D2213" s="7" t="str">
        <x:v>factory calibration</x:v>
      </x:c>
      <x:c r="E2213" s="7" t="str">
        <x:v>CAL-CH-PEA-A-Y3-02-6</x:v>
      </x:c>
      <x:c r="F2213" s="7" t="str">
        <x:f>'Calibration Records'!M738</x:f>
        <x:v>OPEN</x:v>
      </x:c>
    </x:row>
    <x:row r="2214">
      <x:c r="B2214" s="7" t="str">
        <x:v>AG-02208</x:v>
      </x:c>
      <x:c r="C2214" s="7" t="str">
        <x:v>PEA-A-Y3</x:v>
      </x:c>
      <x:c r="D2214" s="7" t="str">
        <x:v>factory calibration</x:v>
      </x:c>
      <x:c r="E2214" s="7" t="str">
        <x:v>CAL-CH-PEA-A-Y3-03-1</x:v>
      </x:c>
      <x:c r="F2214" s="7" t="str">
        <x:f>'Calibration Records'!M739</x:f>
        <x:v>OPEN</x:v>
      </x:c>
    </x:row>
    <x:row r="2215">
      <x:c r="B2215" s="7" t="str">
        <x:v>AG-02209</x:v>
      </x:c>
      <x:c r="C2215" s="7" t="str">
        <x:v>PEA-A-Y3</x:v>
      </x:c>
      <x:c r="D2215" s="7" t="str">
        <x:v>factory calibration</x:v>
      </x:c>
      <x:c r="E2215" s="7" t="str">
        <x:v>CAL-CH-PEA-A-Y3-03-2</x:v>
      </x:c>
      <x:c r="F2215" s="7" t="str">
        <x:f>'Calibration Records'!M740</x:f>
        <x:v>OPEN</x:v>
      </x:c>
    </x:row>
    <x:row r="2216">
      <x:c r="B2216" s="7" t="str">
        <x:v>AG-02210</x:v>
      </x:c>
      <x:c r="C2216" s="7" t="str">
        <x:v>PEA-A-Y3</x:v>
      </x:c>
      <x:c r="D2216" s="7" t="str">
        <x:v>factory calibration</x:v>
      </x:c>
      <x:c r="E2216" s="7" t="str">
        <x:v>CAL-CH-PEA-A-Y3-03-3</x:v>
      </x:c>
      <x:c r="F2216" s="7" t="str">
        <x:f>'Calibration Records'!M741</x:f>
        <x:v>OPEN</x:v>
      </x:c>
    </x:row>
    <x:row r="2217">
      <x:c r="B2217" s="7" t="str">
        <x:v>AG-02211</x:v>
      </x:c>
      <x:c r="C2217" s="7" t="str">
        <x:v>PEA-A-Y3</x:v>
      </x:c>
      <x:c r="D2217" s="7" t="str">
        <x:v>factory calibration</x:v>
      </x:c>
      <x:c r="E2217" s="7" t="str">
        <x:v>CAL-CH-PEA-A-Y3-03-4</x:v>
      </x:c>
      <x:c r="F2217" s="7" t="str">
        <x:f>'Calibration Records'!M742</x:f>
        <x:v>OPEN</x:v>
      </x:c>
    </x:row>
    <x:row r="2218">
      <x:c r="B2218" s="7" t="str">
        <x:v>AG-02212</x:v>
      </x:c>
      <x:c r="C2218" s="7" t="str">
        <x:v>PEA-A-Y3</x:v>
      </x:c>
      <x:c r="D2218" s="7" t="str">
        <x:v>factory calibration</x:v>
      </x:c>
      <x:c r="E2218" s="7" t="str">
        <x:v>CAL-CH-PEA-A-Y3-03-5</x:v>
      </x:c>
      <x:c r="F2218" s="7" t="str">
        <x:f>'Calibration Records'!M743</x:f>
        <x:v>OPEN</x:v>
      </x:c>
    </x:row>
    <x:row r="2219">
      <x:c r="B2219" s="7" t="str">
        <x:v>AG-02213</x:v>
      </x:c>
      <x:c r="C2219" s="7" t="str">
        <x:v>PEA-A-Y3</x:v>
      </x:c>
      <x:c r="D2219" s="7" t="str">
        <x:v>factory calibration</x:v>
      </x:c>
      <x:c r="E2219" s="7" t="str">
        <x:v>CAL-CH-PEA-A-Y3-03-6</x:v>
      </x:c>
      <x:c r="F2219" s="7" t="str">
        <x:f>'Calibration Records'!M744</x:f>
        <x:v>OPEN</x:v>
      </x:c>
    </x:row>
    <x:row r="2220">
      <x:c r="B2220" s="7" t="str">
        <x:v>AG-02214</x:v>
      </x:c>
      <x:c r="C2220" s="7" t="str">
        <x:v>PEA-A-Y3</x:v>
      </x:c>
      <x:c r="D2220" s="7" t="str">
        <x:v>factory calibration</x:v>
      </x:c>
      <x:c r="E2220" s="7" t="str">
        <x:v>CAL-CH-PEA-A-Y3-04-1</x:v>
      </x:c>
      <x:c r="F2220" s="7" t="str">
        <x:f>'Calibration Records'!M745</x:f>
        <x:v>OPEN</x:v>
      </x:c>
    </x:row>
    <x:row r="2221">
      <x:c r="B2221" s="7" t="str">
        <x:v>AG-02215</x:v>
      </x:c>
      <x:c r="C2221" s="7" t="str">
        <x:v>PEA-A-Y3</x:v>
      </x:c>
      <x:c r="D2221" s="7" t="str">
        <x:v>factory calibration</x:v>
      </x:c>
      <x:c r="E2221" s="7" t="str">
        <x:v>CAL-CH-PEA-A-Y3-04-2</x:v>
      </x:c>
      <x:c r="F2221" s="7" t="str">
        <x:f>'Calibration Records'!M746</x:f>
        <x:v>OPEN</x:v>
      </x:c>
    </x:row>
    <x:row r="2222">
      <x:c r="B2222" s="7" t="str">
        <x:v>AG-02216</x:v>
      </x:c>
      <x:c r="C2222" s="7" t="str">
        <x:v>PEA-A-Y3</x:v>
      </x:c>
      <x:c r="D2222" s="7" t="str">
        <x:v>factory calibration</x:v>
      </x:c>
      <x:c r="E2222" s="7" t="str">
        <x:v>CAL-CH-PEA-A-Y3-04-3</x:v>
      </x:c>
      <x:c r="F2222" s="7" t="str">
        <x:f>'Calibration Records'!M747</x:f>
        <x:v>OPEN</x:v>
      </x:c>
    </x:row>
    <x:row r="2223">
      <x:c r="B2223" s="7" t="str">
        <x:v>AG-02217</x:v>
      </x:c>
      <x:c r="C2223" s="7" t="str">
        <x:v>PEA-A-Y3</x:v>
      </x:c>
      <x:c r="D2223" s="7" t="str">
        <x:v>factory calibration</x:v>
      </x:c>
      <x:c r="E2223" s="7" t="str">
        <x:v>CAL-CH-PEA-A-Y3-04-4</x:v>
      </x:c>
      <x:c r="F2223" s="7" t="str">
        <x:f>'Calibration Records'!M748</x:f>
        <x:v>OPEN</x:v>
      </x:c>
    </x:row>
    <x:row r="2224">
      <x:c r="B2224" s="7" t="str">
        <x:v>AG-02218</x:v>
      </x:c>
      <x:c r="C2224" s="7" t="str">
        <x:v>PEA-A-Y3</x:v>
      </x:c>
      <x:c r="D2224" s="7" t="str">
        <x:v>factory calibration</x:v>
      </x:c>
      <x:c r="E2224" s="7" t="str">
        <x:v>CAL-CH-PEA-A-Y3-04-5</x:v>
      </x:c>
      <x:c r="F2224" s="7" t="str">
        <x:f>'Calibration Records'!M749</x:f>
        <x:v>OPEN</x:v>
      </x:c>
    </x:row>
    <x:row r="2225">
      <x:c r="B2225" s="7" t="str">
        <x:v>AG-02219</x:v>
      </x:c>
      <x:c r="C2225" s="7" t="str">
        <x:v>PEA-A-Y3</x:v>
      </x:c>
      <x:c r="D2225" s="7" t="str">
        <x:v>factory calibration</x:v>
      </x:c>
      <x:c r="E2225" s="7" t="str">
        <x:v>CAL-CH-PEA-A-Y3-04-6</x:v>
      </x:c>
      <x:c r="F2225" s="7" t="str">
        <x:f>'Calibration Records'!M750</x:f>
        <x:v>OPEN</x:v>
      </x:c>
    </x:row>
    <x:row r="2226">
      <x:c r="B2226" s="7" t="str">
        <x:v>AG-02220</x:v>
      </x:c>
      <x:c r="C2226" s="7" t="str">
        <x:v>PEA-A-Y3</x:v>
      </x:c>
      <x:c r="D2226" s="7" t="str">
        <x:v>factory calibration</x:v>
      </x:c>
      <x:c r="E2226" s="7" t="str">
        <x:v>CAL-CH-PEA-A-Y3-05-1</x:v>
      </x:c>
      <x:c r="F2226" s="7" t="str">
        <x:f>'Calibration Records'!M751</x:f>
        <x:v>OPEN</x:v>
      </x:c>
    </x:row>
    <x:row r="2227">
      <x:c r="B2227" s="7" t="str">
        <x:v>AG-02221</x:v>
      </x:c>
      <x:c r="C2227" s="7" t="str">
        <x:v>PEA-A-Y3</x:v>
      </x:c>
      <x:c r="D2227" s="7" t="str">
        <x:v>factory calibration</x:v>
      </x:c>
      <x:c r="E2227" s="7" t="str">
        <x:v>CAL-CH-PEA-A-Y3-05-2</x:v>
      </x:c>
      <x:c r="F2227" s="7" t="str">
        <x:f>'Calibration Records'!M752</x:f>
        <x:v>OPEN</x:v>
      </x:c>
    </x:row>
    <x:row r="2228">
      <x:c r="B2228" s="7" t="str">
        <x:v>AG-02222</x:v>
      </x:c>
      <x:c r="C2228" s="7" t="str">
        <x:v>PEA-A-Y3</x:v>
      </x:c>
      <x:c r="D2228" s="7" t="str">
        <x:v>factory calibration</x:v>
      </x:c>
      <x:c r="E2228" s="7" t="str">
        <x:v>CAL-CH-PEA-A-Y3-05-3</x:v>
      </x:c>
      <x:c r="F2228" s="7" t="str">
        <x:f>'Calibration Records'!M753</x:f>
        <x:v>OPEN</x:v>
      </x:c>
    </x:row>
    <x:row r="2229">
      <x:c r="B2229" s="7" t="str">
        <x:v>AG-02223</x:v>
      </x:c>
      <x:c r="C2229" s="7" t="str">
        <x:v>PEA-A-Y3</x:v>
      </x:c>
      <x:c r="D2229" s="7" t="str">
        <x:v>factory calibration</x:v>
      </x:c>
      <x:c r="E2229" s="7" t="str">
        <x:v>CAL-CH-PEA-A-Y3-05-4</x:v>
      </x:c>
      <x:c r="F2229" s="7" t="str">
        <x:f>'Calibration Records'!M754</x:f>
        <x:v>OPEN</x:v>
      </x:c>
    </x:row>
    <x:row r="2230">
      <x:c r="B2230" s="7" t="str">
        <x:v>AG-02224</x:v>
      </x:c>
      <x:c r="C2230" s="7" t="str">
        <x:v>PEA-A-Y3</x:v>
      </x:c>
      <x:c r="D2230" s="7" t="str">
        <x:v>factory calibration</x:v>
      </x:c>
      <x:c r="E2230" s="7" t="str">
        <x:v>CAL-CH-PEA-A-Y3-05-5</x:v>
      </x:c>
      <x:c r="F2230" s="7" t="str">
        <x:f>'Calibration Records'!M755</x:f>
        <x:v>OPEN</x:v>
      </x:c>
    </x:row>
    <x:row r="2231">
      <x:c r="B2231" s="7" t="str">
        <x:v>AG-02225</x:v>
      </x:c>
      <x:c r="C2231" s="7" t="str">
        <x:v>PEA-A-Y3</x:v>
      </x:c>
      <x:c r="D2231" s="7" t="str">
        <x:v>factory calibration</x:v>
      </x:c>
      <x:c r="E2231" s="7" t="str">
        <x:v>CAL-CH-PEA-A-Y3-05-6</x:v>
      </x:c>
      <x:c r="F2231" s="7" t="str">
        <x:f>'Calibration Records'!M756</x:f>
        <x:v>OPEN</x:v>
      </x:c>
    </x:row>
    <x:row r="2232">
      <x:c r="B2232" s="7" t="str">
        <x:v>AG-02226</x:v>
      </x:c>
      <x:c r="C2232" s="7" t="str">
        <x:v>PEA-A-Y3</x:v>
      </x:c>
      <x:c r="D2232" s="7" t="str">
        <x:v>factory calibration</x:v>
      </x:c>
      <x:c r="E2232" s="7" t="str">
        <x:v>CAL-CH-PEA-A-Y3-06-1</x:v>
      </x:c>
      <x:c r="F2232" s="7" t="str">
        <x:f>'Calibration Records'!M757</x:f>
        <x:v>OPEN</x:v>
      </x:c>
    </x:row>
    <x:row r="2233">
      <x:c r="B2233" s="7" t="str">
        <x:v>AG-02227</x:v>
      </x:c>
      <x:c r="C2233" s="7" t="str">
        <x:v>PEA-A-Y3</x:v>
      </x:c>
      <x:c r="D2233" s="7" t="str">
        <x:v>factory calibration</x:v>
      </x:c>
      <x:c r="E2233" s="7" t="str">
        <x:v>CAL-CH-PEA-A-Y3-06-2</x:v>
      </x:c>
      <x:c r="F2233" s="7" t="str">
        <x:f>'Calibration Records'!M758</x:f>
        <x:v>OPEN</x:v>
      </x:c>
    </x:row>
    <x:row r="2234">
      <x:c r="B2234" s="7" t="str">
        <x:v>AG-02228</x:v>
      </x:c>
      <x:c r="C2234" s="7" t="str">
        <x:v>PEA-A-Y3</x:v>
      </x:c>
      <x:c r="D2234" s="7" t="str">
        <x:v>factory calibration</x:v>
      </x:c>
      <x:c r="E2234" s="7" t="str">
        <x:v>CAL-CH-PEA-A-Y3-06-3</x:v>
      </x:c>
      <x:c r="F2234" s="7" t="str">
        <x:f>'Calibration Records'!M759</x:f>
        <x:v>OPEN</x:v>
      </x:c>
    </x:row>
    <x:row r="2235">
      <x:c r="B2235" s="7" t="str">
        <x:v>AG-02229</x:v>
      </x:c>
      <x:c r="C2235" s="7" t="str">
        <x:v>PEA-A-Y3</x:v>
      </x:c>
      <x:c r="D2235" s="7" t="str">
        <x:v>factory calibration</x:v>
      </x:c>
      <x:c r="E2235" s="7" t="str">
        <x:v>CAL-CH-PEA-A-Y3-06-4</x:v>
      </x:c>
      <x:c r="F2235" s="7" t="str">
        <x:f>'Calibration Records'!M760</x:f>
        <x:v>OPEN</x:v>
      </x:c>
    </x:row>
    <x:row r="2236">
      <x:c r="B2236" s="7" t="str">
        <x:v>AG-02230</x:v>
      </x:c>
      <x:c r="C2236" s="7" t="str">
        <x:v>PEA-A-Y3</x:v>
      </x:c>
      <x:c r="D2236" s="7" t="str">
        <x:v>factory calibration</x:v>
      </x:c>
      <x:c r="E2236" s="7" t="str">
        <x:v>CAL-CH-PEA-A-Y3-06-5</x:v>
      </x:c>
      <x:c r="F2236" s="7" t="str">
        <x:f>'Calibration Records'!M761</x:f>
        <x:v>OPEN</x:v>
      </x:c>
    </x:row>
    <x:row r="2237">
      <x:c r="B2237" s="7" t="str">
        <x:v>AG-02231</x:v>
      </x:c>
      <x:c r="C2237" s="7" t="str">
        <x:v>PEA-A-Y3</x:v>
      </x:c>
      <x:c r="D2237" s="7" t="str">
        <x:v>factory calibration</x:v>
      </x:c>
      <x:c r="E2237" s="7" t="str">
        <x:v>CAL-CH-PEA-A-Y3-06-6</x:v>
      </x:c>
      <x:c r="F2237" s="7" t="str">
        <x:f>'Calibration Records'!M762</x:f>
        <x:v>OPEN</x:v>
      </x:c>
    </x:row>
    <x:row r="2238">
      <x:c r="B2238" s="7" t="str">
        <x:v>AG-02232</x:v>
      </x:c>
      <x:c r="C2238" s="7" t="str">
        <x:v>PEA-A-Y3</x:v>
      </x:c>
      <x:c r="D2238" s="7" t="str">
        <x:v>factory calibration</x:v>
      </x:c>
      <x:c r="E2238" s="7" t="str">
        <x:v>CAL-CH-PEA-A-Y3-07-1</x:v>
      </x:c>
      <x:c r="F2238" s="7" t="str">
        <x:f>'Calibration Records'!M763</x:f>
        <x:v>OPEN</x:v>
      </x:c>
    </x:row>
    <x:row r="2239">
      <x:c r="B2239" s="7" t="str">
        <x:v>AG-02233</x:v>
      </x:c>
      <x:c r="C2239" s="7" t="str">
        <x:v>PEA-A-Y3</x:v>
      </x:c>
      <x:c r="D2239" s="7" t="str">
        <x:v>factory calibration</x:v>
      </x:c>
      <x:c r="E2239" s="7" t="str">
        <x:v>CAL-CH-PEA-A-Y3-07-2</x:v>
      </x:c>
      <x:c r="F2239" s="7" t="str">
        <x:f>'Calibration Records'!M764</x:f>
        <x:v>OPEN</x:v>
      </x:c>
    </x:row>
    <x:row r="2240">
      <x:c r="B2240" s="7" t="str">
        <x:v>AG-02234</x:v>
      </x:c>
      <x:c r="C2240" s="7" t="str">
        <x:v>PEA-A-Y3</x:v>
      </x:c>
      <x:c r="D2240" s="7" t="str">
        <x:v>factory calibration</x:v>
      </x:c>
      <x:c r="E2240" s="7" t="str">
        <x:v>CAL-CH-PEA-A-Y3-07-3</x:v>
      </x:c>
      <x:c r="F2240" s="7" t="str">
        <x:f>'Calibration Records'!M765</x:f>
        <x:v>OPEN</x:v>
      </x:c>
    </x:row>
    <x:row r="2241">
      <x:c r="B2241" s="7" t="str">
        <x:v>AG-02235</x:v>
      </x:c>
      <x:c r="C2241" s="7" t="str">
        <x:v>PEA-A-Y3</x:v>
      </x:c>
      <x:c r="D2241" s="7" t="str">
        <x:v>factory calibration</x:v>
      </x:c>
      <x:c r="E2241" s="7" t="str">
        <x:v>CAL-CH-PEA-A-Y3-07-4</x:v>
      </x:c>
      <x:c r="F2241" s="7" t="str">
        <x:f>'Calibration Records'!M766</x:f>
        <x:v>OPEN</x:v>
      </x:c>
    </x:row>
    <x:row r="2242">
      <x:c r="B2242" s="7" t="str">
        <x:v>AG-02236</x:v>
      </x:c>
      <x:c r="C2242" s="7" t="str">
        <x:v>PEA-A-Y3</x:v>
      </x:c>
      <x:c r="D2242" s="7" t="str">
        <x:v>factory calibration</x:v>
      </x:c>
      <x:c r="E2242" s="7" t="str">
        <x:v>CAL-CH-PEA-A-Y3-07-5</x:v>
      </x:c>
      <x:c r="F2242" s="7" t="str">
        <x:f>'Calibration Records'!M767</x:f>
        <x:v>OPEN</x:v>
      </x:c>
    </x:row>
    <x:row r="2243">
      <x:c r="B2243" s="7" t="str">
        <x:v>AG-02237</x:v>
      </x:c>
      <x:c r="C2243" s="7" t="str">
        <x:v>PEA-A-Y3</x:v>
      </x:c>
      <x:c r="D2243" s="7" t="str">
        <x:v>factory calibration</x:v>
      </x:c>
      <x:c r="E2243" s="7" t="str">
        <x:v>CAL-CH-PEA-A-Y3-07-6</x:v>
      </x:c>
      <x:c r="F2243" s="7" t="str">
        <x:f>'Calibration Records'!M768</x:f>
        <x:v>OPEN</x:v>
      </x:c>
    </x:row>
    <x:row r="2244">
      <x:c r="B2244" s="7" t="str">
        <x:v>AG-02238</x:v>
      </x:c>
      <x:c r="C2244" s="7" t="str">
        <x:v>PEA-A-Y3</x:v>
      </x:c>
      <x:c r="D2244" s="7" t="str">
        <x:v>factory calibration</x:v>
      </x:c>
      <x:c r="E2244" s="7" t="str">
        <x:v>CAL-CH-PEA-A-Y3-08-1</x:v>
      </x:c>
      <x:c r="F2244" s="7" t="str">
        <x:f>'Calibration Records'!M769</x:f>
        <x:v>OPEN</x:v>
      </x:c>
    </x:row>
    <x:row r="2245">
      <x:c r="B2245" s="7" t="str">
        <x:v>AG-02239</x:v>
      </x:c>
      <x:c r="C2245" s="7" t="str">
        <x:v>PEA-A-Y3</x:v>
      </x:c>
      <x:c r="D2245" s="7" t="str">
        <x:v>factory calibration</x:v>
      </x:c>
      <x:c r="E2245" s="7" t="str">
        <x:v>CAL-CH-PEA-A-Y3-08-2</x:v>
      </x:c>
      <x:c r="F2245" s="7" t="str">
        <x:f>'Calibration Records'!M770</x:f>
        <x:v>OPEN</x:v>
      </x:c>
    </x:row>
    <x:row r="2246">
      <x:c r="B2246" s="7" t="str">
        <x:v>AG-02240</x:v>
      </x:c>
      <x:c r="C2246" s="7" t="str">
        <x:v>PEA-A-Y3</x:v>
      </x:c>
      <x:c r="D2246" s="7" t="str">
        <x:v>factory calibration</x:v>
      </x:c>
      <x:c r="E2246" s="7" t="str">
        <x:v>CAL-CH-PEA-A-Y3-08-3</x:v>
      </x:c>
      <x:c r="F2246" s="7" t="str">
        <x:f>'Calibration Records'!M771</x:f>
        <x:v>OPEN</x:v>
      </x:c>
    </x:row>
    <x:row r="2247">
      <x:c r="B2247" s="7" t="str">
        <x:v>AG-02241</x:v>
      </x:c>
      <x:c r="C2247" s="7" t="str">
        <x:v>PEA-A-Y3</x:v>
      </x:c>
      <x:c r="D2247" s="7" t="str">
        <x:v>factory calibration</x:v>
      </x:c>
      <x:c r="E2247" s="7" t="str">
        <x:v>CAL-CH-PEA-A-Y3-08-4</x:v>
      </x:c>
      <x:c r="F2247" s="7" t="str">
        <x:f>'Calibration Records'!M772</x:f>
        <x:v>OPEN</x:v>
      </x:c>
    </x:row>
    <x:row r="2248">
      <x:c r="B2248" s="7" t="str">
        <x:v>AG-02242</x:v>
      </x:c>
      <x:c r="C2248" s="7" t="str">
        <x:v>PEA-A-Y3</x:v>
      </x:c>
      <x:c r="D2248" s="7" t="str">
        <x:v>factory calibration</x:v>
      </x:c>
      <x:c r="E2248" s="7" t="str">
        <x:v>CAL-CH-PEA-A-Y3-08-5</x:v>
      </x:c>
      <x:c r="F2248" s="7" t="str">
        <x:f>'Calibration Records'!M773</x:f>
        <x:v>OPEN</x:v>
      </x:c>
    </x:row>
    <x:row r="2249">
      <x:c r="B2249" s="7" t="str">
        <x:v>AG-02243</x:v>
      </x:c>
      <x:c r="C2249" s="7" t="str">
        <x:v>PEA-A-Y3</x:v>
      </x:c>
      <x:c r="D2249" s="7" t="str">
        <x:v>factory calibration</x:v>
      </x:c>
      <x:c r="E2249" s="7" t="str">
        <x:v>CAL-CH-PEA-A-Y3-08-6</x:v>
      </x:c>
      <x:c r="F2249" s="7" t="str">
        <x:f>'Calibration Records'!M774</x:f>
        <x:v>OPEN</x:v>
      </x:c>
    </x:row>
    <x:row r="2250">
      <x:c r="B2250" s="7" t="str">
        <x:v>AG-02244</x:v>
      </x:c>
      <x:c r="C2250" s="7" t="str">
        <x:v>PEA-A-Y3</x:v>
      </x:c>
      <x:c r="D2250" s="7" t="str">
        <x:v>factory calibration</x:v>
      </x:c>
      <x:c r="E2250" s="7" t="str">
        <x:v>CAL-CH-PEA-A-Y3-09-1</x:v>
      </x:c>
      <x:c r="F2250" s="7" t="str">
        <x:f>'Calibration Records'!M775</x:f>
        <x:v>OPEN</x:v>
      </x:c>
    </x:row>
    <x:row r="2251">
      <x:c r="B2251" s="7" t="str">
        <x:v>AG-02245</x:v>
      </x:c>
      <x:c r="C2251" s="7" t="str">
        <x:v>PEA-A-Y3</x:v>
      </x:c>
      <x:c r="D2251" s="7" t="str">
        <x:v>factory calibration</x:v>
      </x:c>
      <x:c r="E2251" s="7" t="str">
        <x:v>CAL-CH-PEA-A-Y3-09-2</x:v>
      </x:c>
      <x:c r="F2251" s="7" t="str">
        <x:f>'Calibration Records'!M776</x:f>
        <x:v>OPEN</x:v>
      </x:c>
    </x:row>
    <x:row r="2252">
      <x:c r="B2252" s="7" t="str">
        <x:v>AG-02246</x:v>
      </x:c>
      <x:c r="C2252" s="7" t="str">
        <x:v>PEA-A-Y3</x:v>
      </x:c>
      <x:c r="D2252" s="7" t="str">
        <x:v>factory calibration</x:v>
      </x:c>
      <x:c r="E2252" s="7" t="str">
        <x:v>CAL-CH-PEA-A-Y3-09-3</x:v>
      </x:c>
      <x:c r="F2252" s="7" t="str">
        <x:f>'Calibration Records'!M777</x:f>
        <x:v>OPEN</x:v>
      </x:c>
    </x:row>
    <x:row r="2253">
      <x:c r="B2253" s="7" t="str">
        <x:v>AG-02247</x:v>
      </x:c>
      <x:c r="C2253" s="7" t="str">
        <x:v>PEA-A-Y3</x:v>
      </x:c>
      <x:c r="D2253" s="7" t="str">
        <x:v>factory calibration</x:v>
      </x:c>
      <x:c r="E2253" s="7" t="str">
        <x:v>CAL-CH-PEA-A-Y3-09-4</x:v>
      </x:c>
      <x:c r="F2253" s="7" t="str">
        <x:f>'Calibration Records'!M778</x:f>
        <x:v>OPEN</x:v>
      </x:c>
    </x:row>
    <x:row r="2254">
      <x:c r="B2254" s="7" t="str">
        <x:v>AG-02248</x:v>
      </x:c>
      <x:c r="C2254" s="7" t="str">
        <x:v>PEA-A-Y3</x:v>
      </x:c>
      <x:c r="D2254" s="7" t="str">
        <x:v>factory calibration</x:v>
      </x:c>
      <x:c r="E2254" s="7" t="str">
        <x:v>CAL-CH-PEA-A-Y3-09-5</x:v>
      </x:c>
      <x:c r="F2254" s="7" t="str">
        <x:f>'Calibration Records'!M779</x:f>
        <x:v>OPEN</x:v>
      </x:c>
    </x:row>
    <x:row r="2255">
      <x:c r="B2255" s="7" t="str">
        <x:v>AG-02249</x:v>
      </x:c>
      <x:c r="C2255" s="7" t="str">
        <x:v>PEA-A-Y3</x:v>
      </x:c>
      <x:c r="D2255" s="7" t="str">
        <x:v>factory calibration</x:v>
      </x:c>
      <x:c r="E2255" s="7" t="str">
        <x:v>CAL-CH-PEA-A-Y3-09-6</x:v>
      </x:c>
      <x:c r="F2255" s="7" t="str">
        <x:f>'Calibration Records'!M780</x:f>
        <x:v>OPEN</x:v>
      </x:c>
    </x:row>
    <x:row r="2256">
      <x:c r="B2256" s="7" t="str">
        <x:v>AG-02250</x:v>
      </x:c>
      <x:c r="C2256" s="7" t="str">
        <x:v>PEA-A-Y3</x:v>
      </x:c>
      <x:c r="D2256" s="7" t="str">
        <x:v>factory calibration</x:v>
      </x:c>
      <x:c r="E2256" s="7" t="str">
        <x:v>CAL-CH-PEA-A-Y3-10-1</x:v>
      </x:c>
      <x:c r="F2256" s="7" t="str">
        <x:f>'Calibration Records'!M781</x:f>
        <x:v>OPEN</x:v>
      </x:c>
    </x:row>
    <x:row r="2257">
      <x:c r="B2257" s="7" t="str">
        <x:v>AG-02251</x:v>
      </x:c>
      <x:c r="C2257" s="7" t="str">
        <x:v>PEA-A-Y3</x:v>
      </x:c>
      <x:c r="D2257" s="7" t="str">
        <x:v>factory calibration</x:v>
      </x:c>
      <x:c r="E2257" s="7" t="str">
        <x:v>CAL-CH-PEA-A-Y3-10-2</x:v>
      </x:c>
      <x:c r="F2257" s="7" t="str">
        <x:f>'Calibration Records'!M782</x:f>
        <x:v>OPEN</x:v>
      </x:c>
    </x:row>
    <x:row r="2258">
      <x:c r="B2258" s="7" t="str">
        <x:v>AG-02252</x:v>
      </x:c>
      <x:c r="C2258" s="7" t="str">
        <x:v>PEA-A-Y3</x:v>
      </x:c>
      <x:c r="D2258" s="7" t="str">
        <x:v>factory calibration</x:v>
      </x:c>
      <x:c r="E2258" s="7" t="str">
        <x:v>CAL-CH-PEA-A-Y3-10-3</x:v>
      </x:c>
      <x:c r="F2258" s="7" t="str">
        <x:f>'Calibration Records'!M783</x:f>
        <x:v>OPEN</x:v>
      </x:c>
    </x:row>
    <x:row r="2259">
      <x:c r="B2259" s="7" t="str">
        <x:v>AG-02253</x:v>
      </x:c>
      <x:c r="C2259" s="7" t="str">
        <x:v>PEA-A-Y3</x:v>
      </x:c>
      <x:c r="D2259" s="7" t="str">
        <x:v>factory calibration</x:v>
      </x:c>
      <x:c r="E2259" s="7" t="str">
        <x:v>CAL-CH-PEA-A-Y3-10-4</x:v>
      </x:c>
      <x:c r="F2259" s="7" t="str">
        <x:f>'Calibration Records'!M784</x:f>
        <x:v>OPEN</x:v>
      </x:c>
    </x:row>
    <x:row r="2260">
      <x:c r="B2260" s="7" t="str">
        <x:v>AG-02254</x:v>
      </x:c>
      <x:c r="C2260" s="7" t="str">
        <x:v>PEA-A-Y3</x:v>
      </x:c>
      <x:c r="D2260" s="7" t="str">
        <x:v>factory calibration</x:v>
      </x:c>
      <x:c r="E2260" s="7" t="str">
        <x:v>CAL-CH-PEA-A-Y3-10-5</x:v>
      </x:c>
      <x:c r="F2260" s="7" t="str">
        <x:f>'Calibration Records'!M785</x:f>
        <x:v>OPEN</x:v>
      </x:c>
    </x:row>
    <x:row r="2261">
      <x:c r="B2261" s="7" t="str">
        <x:v>AG-02255</x:v>
      </x:c>
      <x:c r="C2261" s="7" t="str">
        <x:v>PEA-A-Y3</x:v>
      </x:c>
      <x:c r="D2261" s="7" t="str">
        <x:v>factory calibration</x:v>
      </x:c>
      <x:c r="E2261" s="7" t="str">
        <x:v>CAL-CH-PEA-A-Y3-10-6</x:v>
      </x:c>
      <x:c r="F2261" s="7" t="str">
        <x:f>'Calibration Records'!M786</x:f>
        <x:v>OPEN</x:v>
      </x:c>
    </x:row>
    <x:row r="2262">
      <x:c r="B2262" s="7" t="str">
        <x:v>AG-02256</x:v>
      </x:c>
      <x:c r="C2262" s="7" t="str">
        <x:v>PEA-A-Y3</x:v>
      </x:c>
      <x:c r="D2262" s="7" t="str">
        <x:v>factory calibration</x:v>
      </x:c>
      <x:c r="E2262" s="7" t="str">
        <x:v>CAL-CH-PEA-A-Y3-11-1</x:v>
      </x:c>
      <x:c r="F2262" s="7" t="str">
        <x:f>'Calibration Records'!M787</x:f>
        <x:v>OPEN</x:v>
      </x:c>
    </x:row>
    <x:row r="2263">
      <x:c r="B2263" s="7" t="str">
        <x:v>AG-02257</x:v>
      </x:c>
      <x:c r="C2263" s="7" t="str">
        <x:v>PEA-A-Y3</x:v>
      </x:c>
      <x:c r="D2263" s="7" t="str">
        <x:v>factory calibration</x:v>
      </x:c>
      <x:c r="E2263" s="7" t="str">
        <x:v>CAL-CH-PEA-A-Y3-11-2</x:v>
      </x:c>
      <x:c r="F2263" s="7" t="str">
        <x:f>'Calibration Records'!M788</x:f>
        <x:v>OPEN</x:v>
      </x:c>
    </x:row>
    <x:row r="2264">
      <x:c r="B2264" s="7" t="str">
        <x:v>AG-02258</x:v>
      </x:c>
      <x:c r="C2264" s="7" t="str">
        <x:v>PEA-A-Y3</x:v>
      </x:c>
      <x:c r="D2264" s="7" t="str">
        <x:v>factory calibration</x:v>
      </x:c>
      <x:c r="E2264" s="7" t="str">
        <x:v>CAL-CH-PEA-A-Y3-11-3</x:v>
      </x:c>
      <x:c r="F2264" s="7" t="str">
        <x:f>'Calibration Records'!M789</x:f>
        <x:v>OPEN</x:v>
      </x:c>
    </x:row>
    <x:row r="2265">
      <x:c r="B2265" s="7" t="str">
        <x:v>AG-02259</x:v>
      </x:c>
      <x:c r="C2265" s="7" t="str">
        <x:v>PEA-A-Y3</x:v>
      </x:c>
      <x:c r="D2265" s="7" t="str">
        <x:v>factory calibration</x:v>
      </x:c>
      <x:c r="E2265" s="7" t="str">
        <x:v>CAL-CH-PEA-A-Y3-11-4</x:v>
      </x:c>
      <x:c r="F2265" s="7" t="str">
        <x:f>'Calibration Records'!M790</x:f>
        <x:v>OPEN</x:v>
      </x:c>
    </x:row>
    <x:row r="2266">
      <x:c r="B2266" s="7" t="str">
        <x:v>AG-02260</x:v>
      </x:c>
      <x:c r="C2266" s="7" t="str">
        <x:v>PEA-A-Y3</x:v>
      </x:c>
      <x:c r="D2266" s="7" t="str">
        <x:v>factory calibration</x:v>
      </x:c>
      <x:c r="E2266" s="7" t="str">
        <x:v>CAL-CH-PEA-A-Y3-11-5</x:v>
      </x:c>
      <x:c r="F2266" s="7" t="str">
        <x:f>'Calibration Records'!M791</x:f>
        <x:v>OPEN</x:v>
      </x:c>
    </x:row>
    <x:row r="2267">
      <x:c r="B2267" s="7" t="str">
        <x:v>AG-02261</x:v>
      </x:c>
      <x:c r="C2267" s="7" t="str">
        <x:v>PEA-A-Y3</x:v>
      </x:c>
      <x:c r="D2267" s="7" t="str">
        <x:v>factory calibration</x:v>
      </x:c>
      <x:c r="E2267" s="7" t="str">
        <x:v>CAL-CH-PEA-A-Y3-11-6</x:v>
      </x:c>
      <x:c r="F2267" s="7" t="str">
        <x:f>'Calibration Records'!M792</x:f>
        <x:v>OPEN</x:v>
      </x:c>
    </x:row>
    <x:row r="2268">
      <x:c r="B2268" s="7" t="str">
        <x:v>AG-02262</x:v>
      </x:c>
      <x:c r="C2268" s="7" t="str">
        <x:v>PEA-A-Y3</x:v>
      </x:c>
      <x:c r="D2268" s="7" t="str">
        <x:v>factory calibration</x:v>
      </x:c>
      <x:c r="E2268" s="7" t="str">
        <x:v>CAL-CH-PEA-A-Y3-12-1</x:v>
      </x:c>
      <x:c r="F2268" s="7" t="str">
        <x:f>'Calibration Records'!M793</x:f>
        <x:v>OPEN</x:v>
      </x:c>
    </x:row>
    <x:row r="2269">
      <x:c r="B2269" s="7" t="str">
        <x:v>AG-02263</x:v>
      </x:c>
      <x:c r="C2269" s="7" t="str">
        <x:v>PEA-A-Y3</x:v>
      </x:c>
      <x:c r="D2269" s="7" t="str">
        <x:v>factory calibration</x:v>
      </x:c>
      <x:c r="E2269" s="7" t="str">
        <x:v>CAL-CH-PEA-A-Y3-12-2</x:v>
      </x:c>
      <x:c r="F2269" s="7" t="str">
        <x:f>'Calibration Records'!M794</x:f>
        <x:v>OPEN</x:v>
      </x:c>
    </x:row>
    <x:row r="2270">
      <x:c r="B2270" s="7" t="str">
        <x:v>AG-02264</x:v>
      </x:c>
      <x:c r="C2270" s="7" t="str">
        <x:v>PEA-A-Y3</x:v>
      </x:c>
      <x:c r="D2270" s="7" t="str">
        <x:v>factory calibration</x:v>
      </x:c>
      <x:c r="E2270" s="7" t="str">
        <x:v>CAL-CH-PEA-A-Y3-12-3</x:v>
      </x:c>
      <x:c r="F2270" s="7" t="str">
        <x:f>'Calibration Records'!M795</x:f>
        <x:v>OPEN</x:v>
      </x:c>
    </x:row>
    <x:row r="2271">
      <x:c r="B2271" s="7" t="str">
        <x:v>AG-02265</x:v>
      </x:c>
      <x:c r="C2271" s="7" t="str">
        <x:v>PEA-A-Y3</x:v>
      </x:c>
      <x:c r="D2271" s="7" t="str">
        <x:v>factory calibration</x:v>
      </x:c>
      <x:c r="E2271" s="7" t="str">
        <x:v>CAL-CH-PEA-A-Y3-12-4</x:v>
      </x:c>
      <x:c r="F2271" s="7" t="str">
        <x:f>'Calibration Records'!M796</x:f>
        <x:v>OPEN</x:v>
      </x:c>
    </x:row>
    <x:row r="2272">
      <x:c r="B2272" s="7" t="str">
        <x:v>AG-02266</x:v>
      </x:c>
      <x:c r="C2272" s="7" t="str">
        <x:v>PEA-A-Y3</x:v>
      </x:c>
      <x:c r="D2272" s="7" t="str">
        <x:v>factory calibration</x:v>
      </x:c>
      <x:c r="E2272" s="7" t="str">
        <x:v>CAL-CH-PEA-A-Y3-12-5</x:v>
      </x:c>
      <x:c r="F2272" s="7" t="str">
        <x:f>'Calibration Records'!M797</x:f>
        <x:v>OPEN</x:v>
      </x:c>
    </x:row>
    <x:row r="2273">
      <x:c r="B2273" s="7" t="str">
        <x:v>AG-02267</x:v>
      </x:c>
      <x:c r="C2273" s="7" t="str">
        <x:v>PEA-A-Y3</x:v>
      </x:c>
      <x:c r="D2273" s="7" t="str">
        <x:v>factory calibration</x:v>
      </x:c>
      <x:c r="E2273" s="7" t="str">
        <x:v>CAL-CH-PEA-A-Y3-12-6</x:v>
      </x:c>
      <x:c r="F2273" s="7" t="str">
        <x:f>'Calibration Records'!M798</x:f>
        <x:v>OPEN</x:v>
      </x:c>
    </x:row>
    <x:row r="2274">
      <x:c r="B2274" s="7" t="str">
        <x:v>AG-02268</x:v>
      </x:c>
      <x:c r="C2274" s="7" t="str">
        <x:v>PEA-A-Y3</x:v>
      </x:c>
      <x:c r="D2274" s="7" t="str">
        <x:v>factory calibration</x:v>
      </x:c>
      <x:c r="E2274" s="7" t="str">
        <x:v>CAL-CH-PEA-A-Y3-13-1</x:v>
      </x:c>
      <x:c r="F2274" s="7" t="str">
        <x:f>'Calibration Records'!M799</x:f>
        <x:v>OPEN</x:v>
      </x:c>
    </x:row>
    <x:row r="2275">
      <x:c r="B2275" s="7" t="str">
        <x:v>AG-02269</x:v>
      </x:c>
      <x:c r="C2275" s="7" t="str">
        <x:v>PEA-A-Y3</x:v>
      </x:c>
      <x:c r="D2275" s="7" t="str">
        <x:v>factory calibration</x:v>
      </x:c>
      <x:c r="E2275" s="7" t="str">
        <x:v>CAL-CH-PEA-A-Y3-13-2</x:v>
      </x:c>
      <x:c r="F2275" s="7" t="str">
        <x:f>'Calibration Records'!M800</x:f>
        <x:v>OPEN</x:v>
      </x:c>
    </x:row>
    <x:row r="2276">
      <x:c r="B2276" s="7" t="str">
        <x:v>AG-02270</x:v>
      </x:c>
      <x:c r="C2276" s="7" t="str">
        <x:v>PEA-A-Y3</x:v>
      </x:c>
      <x:c r="D2276" s="7" t="str">
        <x:v>factory calibration</x:v>
      </x:c>
      <x:c r="E2276" s="7" t="str">
        <x:v>CAL-CH-PEA-A-Y3-13-3</x:v>
      </x:c>
      <x:c r="F2276" s="7" t="str">
        <x:f>'Calibration Records'!M801</x:f>
        <x:v>OPEN</x:v>
      </x:c>
    </x:row>
    <x:row r="2277">
      <x:c r="B2277" s="7" t="str">
        <x:v>AG-02271</x:v>
      </x:c>
      <x:c r="C2277" s="7" t="str">
        <x:v>PEA-A-Y3</x:v>
      </x:c>
      <x:c r="D2277" s="7" t="str">
        <x:v>factory calibration</x:v>
      </x:c>
      <x:c r="E2277" s="7" t="str">
        <x:v>CAL-CH-PEA-A-Y3-13-4</x:v>
      </x:c>
      <x:c r="F2277" s="7" t="str">
        <x:f>'Calibration Records'!M802</x:f>
        <x:v>OPEN</x:v>
      </x:c>
    </x:row>
    <x:row r="2278">
      <x:c r="B2278" s="7" t="str">
        <x:v>AG-02272</x:v>
      </x:c>
      <x:c r="C2278" s="7" t="str">
        <x:v>PEA-A-Y3</x:v>
      </x:c>
      <x:c r="D2278" s="7" t="str">
        <x:v>factory calibration</x:v>
      </x:c>
      <x:c r="E2278" s="7" t="str">
        <x:v>CAL-CH-PEA-A-Y3-13-5</x:v>
      </x:c>
      <x:c r="F2278" s="7" t="str">
        <x:f>'Calibration Records'!M803</x:f>
        <x:v>OPEN</x:v>
      </x:c>
    </x:row>
    <x:row r="2279">
      <x:c r="B2279" s="7" t="str">
        <x:v>AG-02273</x:v>
      </x:c>
      <x:c r="C2279" s="7" t="str">
        <x:v>PEA-A-Y3</x:v>
      </x:c>
      <x:c r="D2279" s="7" t="str">
        <x:v>factory calibration</x:v>
      </x:c>
      <x:c r="E2279" s="7" t="str">
        <x:v>CAL-CH-PEA-A-Y3-13-6</x:v>
      </x:c>
      <x:c r="F2279" s="7" t="str">
        <x:f>'Calibration Records'!M804</x:f>
        <x:v>OPEN</x:v>
      </x:c>
    </x:row>
    <x:row r="2280">
      <x:c r="B2280" s="7" t="str">
        <x:v>AG-02274</x:v>
      </x:c>
      <x:c r="C2280" s="7" t="str">
        <x:v>PEA-A-Y3</x:v>
      </x:c>
      <x:c r="D2280" s="7" t="str">
        <x:v>factory calibration</x:v>
      </x:c>
      <x:c r="E2280" s="7" t="str">
        <x:v>CAL-CH-PEA-A-Y3-14-1</x:v>
      </x:c>
      <x:c r="F2280" s="7" t="str">
        <x:f>'Calibration Records'!M805</x:f>
        <x:v>OPEN</x:v>
      </x:c>
    </x:row>
    <x:row r="2281">
      <x:c r="B2281" s="7" t="str">
        <x:v>AG-02275</x:v>
      </x:c>
      <x:c r="C2281" s="7" t="str">
        <x:v>PEA-A-Y3</x:v>
      </x:c>
      <x:c r="D2281" s="7" t="str">
        <x:v>factory calibration</x:v>
      </x:c>
      <x:c r="E2281" s="7" t="str">
        <x:v>CAL-CH-PEA-A-Y3-14-2</x:v>
      </x:c>
      <x:c r="F2281" s="7" t="str">
        <x:f>'Calibration Records'!M806</x:f>
        <x:v>OPEN</x:v>
      </x:c>
    </x:row>
    <x:row r="2282">
      <x:c r="B2282" s="7" t="str">
        <x:v>AG-02276</x:v>
      </x:c>
      <x:c r="C2282" s="7" t="str">
        <x:v>PEA-A-Y3</x:v>
      </x:c>
      <x:c r="D2282" s="7" t="str">
        <x:v>factory calibration</x:v>
      </x:c>
      <x:c r="E2282" s="7" t="str">
        <x:v>CAL-CH-PEA-A-Y3-14-3</x:v>
      </x:c>
      <x:c r="F2282" s="7" t="str">
        <x:f>'Calibration Records'!M807</x:f>
        <x:v>OPEN</x:v>
      </x:c>
    </x:row>
    <x:row r="2283">
      <x:c r="B2283" s="7" t="str">
        <x:v>AG-02277</x:v>
      </x:c>
      <x:c r="C2283" s="7" t="str">
        <x:v>PEA-A-Y3</x:v>
      </x:c>
      <x:c r="D2283" s="7" t="str">
        <x:v>factory calibration</x:v>
      </x:c>
      <x:c r="E2283" s="7" t="str">
        <x:v>CAL-CH-PEA-A-Y3-14-4</x:v>
      </x:c>
      <x:c r="F2283" s="7" t="str">
        <x:f>'Calibration Records'!M808</x:f>
        <x:v>OPEN</x:v>
      </x:c>
    </x:row>
    <x:row r="2284">
      <x:c r="B2284" s="7" t="str">
        <x:v>AG-02278</x:v>
      </x:c>
      <x:c r="C2284" s="7" t="str">
        <x:v>PEA-A-Y3</x:v>
      </x:c>
      <x:c r="D2284" s="7" t="str">
        <x:v>factory calibration</x:v>
      </x:c>
      <x:c r="E2284" s="7" t="str">
        <x:v>CAL-CH-PEA-A-Y3-14-5</x:v>
      </x:c>
      <x:c r="F2284" s="7" t="str">
        <x:f>'Calibration Records'!M809</x:f>
        <x:v>OPEN</x:v>
      </x:c>
    </x:row>
    <x:row r="2285">
      <x:c r="B2285" s="7" t="str">
        <x:v>AG-02279</x:v>
      </x:c>
      <x:c r="C2285" s="7" t="str">
        <x:v>PEA-A-Y3</x:v>
      </x:c>
      <x:c r="D2285" s="7" t="str">
        <x:v>factory calibration</x:v>
      </x:c>
      <x:c r="E2285" s="7" t="str">
        <x:v>CAL-CH-PEA-A-Y3-14-6</x:v>
      </x:c>
      <x:c r="F2285" s="7" t="str">
        <x:f>'Calibration Records'!M810</x:f>
        <x:v>OPEN</x:v>
      </x:c>
    </x:row>
    <x:row r="2286">
      <x:c r="B2286" s="7" t="str">
        <x:v>AG-02280</x:v>
      </x:c>
      <x:c r="C2286" s="7" t="str">
        <x:v>PEA-A-Y3</x:v>
      </x:c>
      <x:c r="D2286" s="7" t="str">
        <x:v>factory calibration</x:v>
      </x:c>
      <x:c r="E2286" s="7" t="str">
        <x:v>CAL-CH-PEA-A-Y3-15-1</x:v>
      </x:c>
      <x:c r="F2286" s="7" t="str">
        <x:f>'Calibration Records'!M811</x:f>
        <x:v>OPEN</x:v>
      </x:c>
    </x:row>
    <x:row r="2287">
      <x:c r="B2287" s="7" t="str">
        <x:v>AG-02281</x:v>
      </x:c>
      <x:c r="C2287" s="7" t="str">
        <x:v>PEA-A-Y3</x:v>
      </x:c>
      <x:c r="D2287" s="7" t="str">
        <x:v>factory calibration</x:v>
      </x:c>
      <x:c r="E2287" s="7" t="str">
        <x:v>CAL-CH-PEA-A-Y3-15-2</x:v>
      </x:c>
      <x:c r="F2287" s="7" t="str">
        <x:f>'Calibration Records'!M812</x:f>
        <x:v>OPEN</x:v>
      </x:c>
    </x:row>
    <x:row r="2288">
      <x:c r="B2288" s="7" t="str">
        <x:v>AG-02282</x:v>
      </x:c>
      <x:c r="C2288" s="7" t="str">
        <x:v>PEA-A-Y3</x:v>
      </x:c>
      <x:c r="D2288" s="7" t="str">
        <x:v>factory calibration</x:v>
      </x:c>
      <x:c r="E2288" s="7" t="str">
        <x:v>CAL-CH-PEA-A-Y3-15-3</x:v>
      </x:c>
      <x:c r="F2288" s="7" t="str">
        <x:f>'Calibration Records'!M813</x:f>
        <x:v>OPEN</x:v>
      </x:c>
    </x:row>
    <x:row r="2289">
      <x:c r="B2289" s="7" t="str">
        <x:v>AG-02283</x:v>
      </x:c>
      <x:c r="C2289" s="7" t="str">
        <x:v>PEA-A-Y3</x:v>
      </x:c>
      <x:c r="D2289" s="7" t="str">
        <x:v>factory calibration</x:v>
      </x:c>
      <x:c r="E2289" s="7" t="str">
        <x:v>CAL-CH-PEA-A-Y3-15-4</x:v>
      </x:c>
      <x:c r="F2289" s="7" t="str">
        <x:f>'Calibration Records'!M814</x:f>
        <x:v>OPEN</x:v>
      </x:c>
    </x:row>
    <x:row r="2290">
      <x:c r="B2290" s="7" t="str">
        <x:v>AG-02284</x:v>
      </x:c>
      <x:c r="C2290" s="7" t="str">
        <x:v>PEA-A-Y3</x:v>
      </x:c>
      <x:c r="D2290" s="7" t="str">
        <x:v>factory calibration</x:v>
      </x:c>
      <x:c r="E2290" s="7" t="str">
        <x:v>CAL-CH-PEA-A-Y3-15-5</x:v>
      </x:c>
      <x:c r="F2290" s="7" t="str">
        <x:f>'Calibration Records'!M815</x:f>
        <x:v>OPEN</x:v>
      </x:c>
    </x:row>
    <x:row r="2291">
      <x:c r="B2291" s="7" t="str">
        <x:v>AG-02285</x:v>
      </x:c>
      <x:c r="C2291" s="7" t="str">
        <x:v>PEA-A-Y3</x:v>
      </x:c>
      <x:c r="D2291" s="7" t="str">
        <x:v>factory calibration</x:v>
      </x:c>
      <x:c r="E2291" s="7" t="str">
        <x:v>CAL-CH-PEA-A-Y3-15-6</x:v>
      </x:c>
      <x:c r="F2291" s="7" t="str">
        <x:f>'Calibration Records'!M816</x:f>
        <x:v>OPEN</x:v>
      </x:c>
    </x:row>
    <x:row r="2292">
      <x:c r="B2292" s="7" t="str">
        <x:v>AG-02286</x:v>
      </x:c>
      <x:c r="C2292" s="7" t="str">
        <x:v>PEA-A-Y3</x:v>
      </x:c>
      <x:c r="D2292" s="7" t="str">
        <x:v>factory calibration</x:v>
      </x:c>
      <x:c r="E2292" s="7" t="str">
        <x:v>CAL-CH-PEA-A-Y3-16-1</x:v>
      </x:c>
      <x:c r="F2292" s="7" t="str">
        <x:f>'Calibration Records'!M817</x:f>
        <x:v>OPEN</x:v>
      </x:c>
    </x:row>
    <x:row r="2293">
      <x:c r="B2293" s="7" t="str">
        <x:v>AG-02287</x:v>
      </x:c>
      <x:c r="C2293" s="7" t="str">
        <x:v>PEA-A-Y3</x:v>
      </x:c>
      <x:c r="D2293" s="7" t="str">
        <x:v>factory calibration</x:v>
      </x:c>
      <x:c r="E2293" s="7" t="str">
        <x:v>CAL-CH-PEA-A-Y3-16-2</x:v>
      </x:c>
      <x:c r="F2293" s="7" t="str">
        <x:f>'Calibration Records'!M818</x:f>
        <x:v>OPEN</x:v>
      </x:c>
    </x:row>
    <x:row r="2294">
      <x:c r="B2294" s="7" t="str">
        <x:v>AG-02288</x:v>
      </x:c>
      <x:c r="C2294" s="7" t="str">
        <x:v>PEA-A-Y3</x:v>
      </x:c>
      <x:c r="D2294" s="7" t="str">
        <x:v>factory calibration</x:v>
      </x:c>
      <x:c r="E2294" s="7" t="str">
        <x:v>CAL-CH-PEA-A-Y3-16-3</x:v>
      </x:c>
      <x:c r="F2294" s="7" t="str">
        <x:f>'Calibration Records'!M819</x:f>
        <x:v>OPEN</x:v>
      </x:c>
    </x:row>
    <x:row r="2295">
      <x:c r="B2295" s="7" t="str">
        <x:v>AG-02289</x:v>
      </x:c>
      <x:c r="C2295" s="7" t="str">
        <x:v>PEA-A-Y3</x:v>
      </x:c>
      <x:c r="D2295" s="7" t="str">
        <x:v>factory calibration</x:v>
      </x:c>
      <x:c r="E2295" s="7" t="str">
        <x:v>CAL-CH-PEA-A-Y3-16-4</x:v>
      </x:c>
      <x:c r="F2295" s="7" t="str">
        <x:f>'Calibration Records'!M820</x:f>
        <x:v>OPEN</x:v>
      </x:c>
    </x:row>
    <x:row r="2296">
      <x:c r="B2296" s="7" t="str">
        <x:v>AG-02290</x:v>
      </x:c>
      <x:c r="C2296" s="7" t="str">
        <x:v>PEA-A-Y3</x:v>
      </x:c>
      <x:c r="D2296" s="7" t="str">
        <x:v>factory calibration</x:v>
      </x:c>
      <x:c r="E2296" s="7" t="str">
        <x:v>CAL-CH-PEA-A-Y3-16-5</x:v>
      </x:c>
      <x:c r="F2296" s="7" t="str">
        <x:f>'Calibration Records'!M821</x:f>
        <x:v>OPEN</x:v>
      </x:c>
    </x:row>
    <x:row r="2297">
      <x:c r="B2297" s="7" t="str">
        <x:v>AG-02291</x:v>
      </x:c>
      <x:c r="C2297" s="7" t="str">
        <x:v>PEA-A-Y3</x:v>
      </x:c>
      <x:c r="D2297" s="7" t="str">
        <x:v>factory calibration</x:v>
      </x:c>
      <x:c r="E2297" s="7" t="str">
        <x:v>CAL-CH-PEA-A-Y3-16-6</x:v>
      </x:c>
      <x:c r="F2297" s="7" t="str">
        <x:f>'Calibration Records'!M822</x:f>
        <x:v>OPEN</x:v>
      </x:c>
    </x:row>
    <x:row r="2298">
      <x:c r="B2298" s="7" t="str">
        <x:v>AG-02292</x:v>
      </x:c>
      <x:c r="C2298" s="7" t="str">
        <x:v>PEA-A-Y3</x:v>
      </x:c>
      <x:c r="D2298" s="7" t="str">
        <x:v>factory calibration</x:v>
      </x:c>
      <x:c r="E2298" s="7" t="str">
        <x:v>CAL-CH-PEA-A-Y3-17-1</x:v>
      </x:c>
      <x:c r="F2298" s="7" t="str">
        <x:f>'Calibration Records'!M823</x:f>
        <x:v>OPEN</x:v>
      </x:c>
    </x:row>
    <x:row r="2299">
      <x:c r="B2299" s="7" t="str">
        <x:v>AG-02293</x:v>
      </x:c>
      <x:c r="C2299" s="7" t="str">
        <x:v>PEA-A-Y3</x:v>
      </x:c>
      <x:c r="D2299" s="7" t="str">
        <x:v>factory calibration</x:v>
      </x:c>
      <x:c r="E2299" s="7" t="str">
        <x:v>CAL-CH-PEA-A-Y3-17-2</x:v>
      </x:c>
      <x:c r="F2299" s="7" t="str">
        <x:f>'Calibration Records'!M824</x:f>
        <x:v>OPEN</x:v>
      </x:c>
    </x:row>
    <x:row r="2300">
      <x:c r="B2300" s="7" t="str">
        <x:v>AG-02294</x:v>
      </x:c>
      <x:c r="C2300" s="7" t="str">
        <x:v>PEA-A-Y3</x:v>
      </x:c>
      <x:c r="D2300" s="7" t="str">
        <x:v>factory calibration</x:v>
      </x:c>
      <x:c r="E2300" s="7" t="str">
        <x:v>CAL-CH-PEA-A-Y3-17-3</x:v>
      </x:c>
      <x:c r="F2300" s="7" t="str">
        <x:f>'Calibration Records'!M825</x:f>
        <x:v>OPEN</x:v>
      </x:c>
    </x:row>
    <x:row r="2301">
      <x:c r="B2301" s="7" t="str">
        <x:v>AG-02295</x:v>
      </x:c>
      <x:c r="C2301" s="7" t="str">
        <x:v>PEA-A-Y3</x:v>
      </x:c>
      <x:c r="D2301" s="7" t="str">
        <x:v>factory calibration</x:v>
      </x:c>
      <x:c r="E2301" s="7" t="str">
        <x:v>CAL-CH-PEA-A-Y3-17-4</x:v>
      </x:c>
      <x:c r="F2301" s="7" t="str">
        <x:f>'Calibration Records'!M826</x:f>
        <x:v>OPEN</x:v>
      </x:c>
    </x:row>
    <x:row r="2302">
      <x:c r="B2302" s="7" t="str">
        <x:v>AG-02296</x:v>
      </x:c>
      <x:c r="C2302" s="7" t="str">
        <x:v>PEA-A-Y3</x:v>
      </x:c>
      <x:c r="D2302" s="7" t="str">
        <x:v>factory calibration</x:v>
      </x:c>
      <x:c r="E2302" s="7" t="str">
        <x:v>CAL-CH-PEA-A-Y3-17-5</x:v>
      </x:c>
      <x:c r="F2302" s="7" t="str">
        <x:f>'Calibration Records'!M827</x:f>
        <x:v>OPEN</x:v>
      </x:c>
    </x:row>
    <x:row r="2303">
      <x:c r="B2303" s="7" t="str">
        <x:v>AG-02297</x:v>
      </x:c>
      <x:c r="C2303" s="7" t="str">
        <x:v>PEA-A-Y3</x:v>
      </x:c>
      <x:c r="D2303" s="7" t="str">
        <x:v>factory calibration</x:v>
      </x:c>
      <x:c r="E2303" s="7" t="str">
        <x:v>CAL-CH-PEA-A-Y3-17-6</x:v>
      </x:c>
      <x:c r="F2303" s="7" t="str">
        <x:f>'Calibration Records'!M828</x:f>
        <x:v>OPEN</x:v>
      </x:c>
    </x:row>
    <x:row r="2304">
      <x:c r="B2304" s="7" t="str">
        <x:v>AG-02298</x:v>
      </x:c>
      <x:c r="C2304" s="7" t="str">
        <x:v>PEA-A-Y3</x:v>
      </x:c>
      <x:c r="D2304" s="7" t="str">
        <x:v>factory calibration</x:v>
      </x:c>
      <x:c r="E2304" s="7" t="str">
        <x:v>CAL-CH-PEA-A-Y3-18-1</x:v>
      </x:c>
      <x:c r="F2304" s="7" t="str">
        <x:f>'Calibration Records'!M829</x:f>
        <x:v>OPEN</x:v>
      </x:c>
    </x:row>
    <x:row r="2305">
      <x:c r="B2305" s="7" t="str">
        <x:v>AG-02299</x:v>
      </x:c>
      <x:c r="C2305" s="7" t="str">
        <x:v>PEA-A-Y3</x:v>
      </x:c>
      <x:c r="D2305" s="7" t="str">
        <x:v>factory calibration</x:v>
      </x:c>
      <x:c r="E2305" s="7" t="str">
        <x:v>CAL-CH-PEA-A-Y3-18-2</x:v>
      </x:c>
      <x:c r="F2305" s="7" t="str">
        <x:f>'Calibration Records'!M830</x:f>
        <x:v>OPEN</x:v>
      </x:c>
    </x:row>
    <x:row r="2306">
      <x:c r="B2306" s="7" t="str">
        <x:v>AG-02300</x:v>
      </x:c>
      <x:c r="C2306" s="7" t="str">
        <x:v>PEA-A-Y3</x:v>
      </x:c>
      <x:c r="D2306" s="7" t="str">
        <x:v>factory calibration</x:v>
      </x:c>
      <x:c r="E2306" s="7" t="str">
        <x:v>CAL-CH-PEA-A-Y3-18-3</x:v>
      </x:c>
      <x:c r="F2306" s="7" t="str">
        <x:f>'Calibration Records'!M831</x:f>
        <x:v>OPEN</x:v>
      </x:c>
    </x:row>
    <x:row r="2307">
      <x:c r="B2307" s="7" t="str">
        <x:v>AG-02301</x:v>
      </x:c>
      <x:c r="C2307" s="7" t="str">
        <x:v>PEA-A-Y3</x:v>
      </x:c>
      <x:c r="D2307" s="7" t="str">
        <x:v>factory calibration</x:v>
      </x:c>
      <x:c r="E2307" s="7" t="str">
        <x:v>CAL-CH-PEA-A-Y3-18-4</x:v>
      </x:c>
      <x:c r="F2307" s="7" t="str">
        <x:f>'Calibration Records'!M832</x:f>
        <x:v>OPEN</x:v>
      </x:c>
    </x:row>
    <x:row r="2308">
      <x:c r="B2308" s="7" t="str">
        <x:v>AG-02302</x:v>
      </x:c>
      <x:c r="C2308" s="7" t="str">
        <x:v>PEA-A-Y3</x:v>
      </x:c>
      <x:c r="D2308" s="7" t="str">
        <x:v>factory calibration</x:v>
      </x:c>
      <x:c r="E2308" s="7" t="str">
        <x:v>CAL-CH-PEA-A-Y3-18-5</x:v>
      </x:c>
      <x:c r="F2308" s="7" t="str">
        <x:f>'Calibration Records'!M833</x:f>
        <x:v>OPEN</x:v>
      </x:c>
    </x:row>
    <x:row r="2309">
      <x:c r="B2309" s="7" t="str">
        <x:v>AG-02303</x:v>
      </x:c>
      <x:c r="C2309" s="7" t="str">
        <x:v>PEA-A-Y3</x:v>
      </x:c>
      <x:c r="D2309" s="7" t="str">
        <x:v>factory calibration</x:v>
      </x:c>
      <x:c r="E2309" s="7" t="str">
        <x:v>CAL-CH-PEA-A-Y3-18-6</x:v>
      </x:c>
      <x:c r="F2309" s="7" t="str">
        <x:f>'Calibration Records'!M834</x:f>
        <x:v>OPEN</x:v>
      </x:c>
    </x:row>
    <x:row r="2310">
      <x:c r="B2310" s="7" t="str">
        <x:v>AG-02304</x:v>
      </x:c>
      <x:c r="C2310" s="7" t="str">
        <x:v>PEA-A-Y3</x:v>
      </x:c>
      <x:c r="D2310" s="7" t="str">
        <x:v>factory calibration</x:v>
      </x:c>
      <x:c r="E2310" s="7" t="str">
        <x:v>CAL-CH-PEA-A-Y3-19-1</x:v>
      </x:c>
      <x:c r="F2310" s="7" t="str">
        <x:f>'Calibration Records'!M835</x:f>
        <x:v>OPEN</x:v>
      </x:c>
    </x:row>
    <x:row r="2311">
      <x:c r="B2311" s="7" t="str">
        <x:v>AG-02305</x:v>
      </x:c>
      <x:c r="C2311" s="7" t="str">
        <x:v>PEA-A-Y3</x:v>
      </x:c>
      <x:c r="D2311" s="7" t="str">
        <x:v>factory calibration</x:v>
      </x:c>
      <x:c r="E2311" s="7" t="str">
        <x:v>CAL-CH-PEA-A-Y3-19-2</x:v>
      </x:c>
      <x:c r="F2311" s="7" t="str">
        <x:f>'Calibration Records'!M836</x:f>
        <x:v>OPEN</x:v>
      </x:c>
    </x:row>
    <x:row r="2312">
      <x:c r="B2312" s="7" t="str">
        <x:v>AG-02306</x:v>
      </x:c>
      <x:c r="C2312" s="7" t="str">
        <x:v>PEA-A-Y3</x:v>
      </x:c>
      <x:c r="D2312" s="7" t="str">
        <x:v>factory calibration</x:v>
      </x:c>
      <x:c r="E2312" s="7" t="str">
        <x:v>CAL-CH-PEA-A-Y3-19-3</x:v>
      </x:c>
      <x:c r="F2312" s="7" t="str">
        <x:f>'Calibration Records'!M837</x:f>
        <x:v>OPEN</x:v>
      </x:c>
    </x:row>
    <x:row r="2313">
      <x:c r="B2313" s="7" t="str">
        <x:v>AG-02307</x:v>
      </x:c>
      <x:c r="C2313" s="7" t="str">
        <x:v>PEA-A-Y3</x:v>
      </x:c>
      <x:c r="D2313" s="7" t="str">
        <x:v>factory calibration</x:v>
      </x:c>
      <x:c r="E2313" s="7" t="str">
        <x:v>CAL-CH-PEA-A-Y3-19-4</x:v>
      </x:c>
      <x:c r="F2313" s="7" t="str">
        <x:f>'Calibration Records'!M838</x:f>
        <x:v>OPEN</x:v>
      </x:c>
    </x:row>
    <x:row r="2314">
      <x:c r="B2314" s="7" t="str">
        <x:v>AG-02308</x:v>
      </x:c>
      <x:c r="C2314" s="7" t="str">
        <x:v>PEA-A-Y3</x:v>
      </x:c>
      <x:c r="D2314" s="7" t="str">
        <x:v>factory calibration</x:v>
      </x:c>
      <x:c r="E2314" s="7" t="str">
        <x:v>CAL-CH-PEA-A-Y3-19-5</x:v>
      </x:c>
      <x:c r="F2314" s="7" t="str">
        <x:f>'Calibration Records'!M839</x:f>
        <x:v>OPEN</x:v>
      </x:c>
    </x:row>
    <x:row r="2315">
      <x:c r="B2315" s="7" t="str">
        <x:v>AG-02309</x:v>
      </x:c>
      <x:c r="C2315" s="7" t="str">
        <x:v>PEA-A-Y3</x:v>
      </x:c>
      <x:c r="D2315" s="7" t="str">
        <x:v>factory calibration</x:v>
      </x:c>
      <x:c r="E2315" s="7" t="str">
        <x:v>CAL-CH-PEA-A-Y3-19-6</x:v>
      </x:c>
      <x:c r="F2315" s="7" t="str">
        <x:f>'Calibration Records'!M840</x:f>
        <x:v>OPEN</x:v>
      </x:c>
    </x:row>
    <x:row r="2316">
      <x:c r="B2316" s="7" t="str">
        <x:v>AG-02310</x:v>
      </x:c>
      <x:c r="C2316" s="7" t="str">
        <x:v>PEA-A-Y3</x:v>
      </x:c>
      <x:c r="D2316" s="7" t="str">
        <x:v>factory calibration</x:v>
      </x:c>
      <x:c r="E2316" s="7" t="str">
        <x:v>CAL-CH-PEA-A-Y3-20-1</x:v>
      </x:c>
      <x:c r="F2316" s="7" t="str">
        <x:f>'Calibration Records'!M841</x:f>
        <x:v>OPEN</x:v>
      </x:c>
    </x:row>
    <x:row r="2317">
      <x:c r="B2317" s="7" t="str">
        <x:v>AG-02311</x:v>
      </x:c>
      <x:c r="C2317" s="7" t="str">
        <x:v>PEA-A-Y3</x:v>
      </x:c>
      <x:c r="D2317" s="7" t="str">
        <x:v>factory calibration</x:v>
      </x:c>
      <x:c r="E2317" s="7" t="str">
        <x:v>CAL-CH-PEA-A-Y3-20-2</x:v>
      </x:c>
      <x:c r="F2317" s="7" t="str">
        <x:f>'Calibration Records'!M842</x:f>
        <x:v>OPEN</x:v>
      </x:c>
    </x:row>
    <x:row r="2318">
      <x:c r="B2318" s="7" t="str">
        <x:v>AG-02312</x:v>
      </x:c>
      <x:c r="C2318" s="7" t="str">
        <x:v>PEA-A-Y3</x:v>
      </x:c>
      <x:c r="D2318" s="7" t="str">
        <x:v>factory calibration</x:v>
      </x:c>
      <x:c r="E2318" s="7" t="str">
        <x:v>CAL-CH-PEA-A-Y3-20-3</x:v>
      </x:c>
      <x:c r="F2318" s="7" t="str">
        <x:f>'Calibration Records'!M843</x:f>
        <x:v>OPEN</x:v>
      </x:c>
    </x:row>
    <x:row r="2319">
      <x:c r="B2319" s="7" t="str">
        <x:v>AG-02313</x:v>
      </x:c>
      <x:c r="C2319" s="7" t="str">
        <x:v>PEA-A-Y3</x:v>
      </x:c>
      <x:c r="D2319" s="7" t="str">
        <x:v>factory calibration</x:v>
      </x:c>
      <x:c r="E2319" s="7" t="str">
        <x:v>CAL-CH-PEA-A-Y3-20-4</x:v>
      </x:c>
      <x:c r="F2319" s="7" t="str">
        <x:f>'Calibration Records'!M844</x:f>
        <x:v>OPEN</x:v>
      </x:c>
    </x:row>
    <x:row r="2320">
      <x:c r="B2320" s="7" t="str">
        <x:v>AG-02314</x:v>
      </x:c>
      <x:c r="C2320" s="7" t="str">
        <x:v>PEA-A-Y3</x:v>
      </x:c>
      <x:c r="D2320" s="7" t="str">
        <x:v>factory calibration</x:v>
      </x:c>
      <x:c r="E2320" s="7" t="str">
        <x:v>CAL-CH-PEA-A-Y3-20-5</x:v>
      </x:c>
      <x:c r="F2320" s="7" t="str">
        <x:f>'Calibration Records'!M845</x:f>
        <x:v>OPEN</x:v>
      </x:c>
    </x:row>
    <x:row r="2321">
      <x:c r="B2321" s="7" t="str">
        <x:v>AG-02315</x:v>
      </x:c>
      <x:c r="C2321" s="7" t="str">
        <x:v>PEA-A-Y3</x:v>
      </x:c>
      <x:c r="D2321" s="7" t="str">
        <x:v>factory calibration</x:v>
      </x:c>
      <x:c r="E2321" s="7" t="str">
        <x:v>CAL-CH-PEA-A-Y3-20-6</x:v>
      </x:c>
      <x:c r="F2321" s="7" t="str">
        <x:f>'Calibration Records'!M846</x:f>
        <x:v>OPEN</x:v>
      </x:c>
    </x:row>
    <x:row r="2322">
      <x:c r="B2322" s="7" t="str">
        <x:v>AG-02316</x:v>
      </x:c>
      <x:c r="C2322" s="7" t="str">
        <x:v>PEA-A-Y3</x:v>
      </x:c>
      <x:c r="D2322" s="7" t="str">
        <x:v>factory calibration</x:v>
      </x:c>
      <x:c r="E2322" s="7" t="str">
        <x:v>CAL-CH-PEA-A-Y3-21-1</x:v>
      </x:c>
      <x:c r="F2322" s="7" t="str">
        <x:f>'Calibration Records'!M847</x:f>
        <x:v>OPEN</x:v>
      </x:c>
    </x:row>
    <x:row r="2323">
      <x:c r="B2323" s="7" t="str">
        <x:v>AG-02317</x:v>
      </x:c>
      <x:c r="C2323" s="7" t="str">
        <x:v>PEA-A-Y3</x:v>
      </x:c>
      <x:c r="D2323" s="7" t="str">
        <x:v>factory calibration</x:v>
      </x:c>
      <x:c r="E2323" s="7" t="str">
        <x:v>CAL-CH-PEA-A-Y3-21-2</x:v>
      </x:c>
      <x:c r="F2323" s="7" t="str">
        <x:f>'Calibration Records'!M848</x:f>
        <x:v>OPEN</x:v>
      </x:c>
    </x:row>
    <x:row r="2324">
      <x:c r="B2324" s="7" t="str">
        <x:v>AG-02318</x:v>
      </x:c>
      <x:c r="C2324" s="7" t="str">
        <x:v>PEA-A-Y3</x:v>
      </x:c>
      <x:c r="D2324" s="7" t="str">
        <x:v>factory calibration</x:v>
      </x:c>
      <x:c r="E2324" s="7" t="str">
        <x:v>CAL-CH-PEA-A-Y3-21-3</x:v>
      </x:c>
      <x:c r="F2324" s="7" t="str">
        <x:f>'Calibration Records'!M849</x:f>
        <x:v>OPEN</x:v>
      </x:c>
    </x:row>
    <x:row r="2325">
      <x:c r="B2325" s="7" t="str">
        <x:v>AG-02319</x:v>
      </x:c>
      <x:c r="C2325" s="7" t="str">
        <x:v>PEA-A-Y3</x:v>
      </x:c>
      <x:c r="D2325" s="7" t="str">
        <x:v>factory calibration</x:v>
      </x:c>
      <x:c r="E2325" s="7" t="str">
        <x:v>CAL-CH-PEA-A-Y3-21-4</x:v>
      </x:c>
      <x:c r="F2325" s="7" t="str">
        <x:f>'Calibration Records'!M850</x:f>
        <x:v>OPEN</x:v>
      </x:c>
    </x:row>
    <x:row r="2326">
      <x:c r="B2326" s="7" t="str">
        <x:v>AG-02320</x:v>
      </x:c>
      <x:c r="C2326" s="7" t="str">
        <x:v>PEA-A-Y3</x:v>
      </x:c>
      <x:c r="D2326" s="7" t="str">
        <x:v>factory calibration</x:v>
      </x:c>
      <x:c r="E2326" s="7" t="str">
        <x:v>CAL-CH-PEA-A-Y3-21-5</x:v>
      </x:c>
      <x:c r="F2326" s="7" t="str">
        <x:f>'Calibration Records'!M851</x:f>
        <x:v>OPEN</x:v>
      </x:c>
    </x:row>
    <x:row r="2327">
      <x:c r="B2327" s="7" t="str">
        <x:v>AG-02321</x:v>
      </x:c>
      <x:c r="C2327" s="7" t="str">
        <x:v>PEA-A-Y3</x:v>
      </x:c>
      <x:c r="D2327" s="7" t="str">
        <x:v>factory calibration</x:v>
      </x:c>
      <x:c r="E2327" s="7" t="str">
        <x:v>CAL-CH-PEA-A-Y3-21-6</x:v>
      </x:c>
      <x:c r="F2327" s="7" t="str">
        <x:f>'Calibration Records'!M852</x:f>
        <x:v>OPEN</x:v>
      </x:c>
    </x:row>
    <x:row r="2328">
      <x:c r="B2328" s="7" t="str">
        <x:v>AG-02322</x:v>
      </x:c>
      <x:c r="C2328" s="7" t="str">
        <x:v>PEA-A-Y3</x:v>
      </x:c>
      <x:c r="D2328" s="7" t="str">
        <x:v>factory calibration</x:v>
      </x:c>
      <x:c r="E2328" s="7" t="str">
        <x:v>CAL-CH-PEA-A-Y3-22-1</x:v>
      </x:c>
      <x:c r="F2328" s="7" t="str">
        <x:f>'Calibration Records'!M853</x:f>
        <x:v>OPEN</x:v>
      </x:c>
    </x:row>
    <x:row r="2329">
      <x:c r="B2329" s="7" t="str">
        <x:v>AG-02323</x:v>
      </x:c>
      <x:c r="C2329" s="7" t="str">
        <x:v>PEA-A-Y3</x:v>
      </x:c>
      <x:c r="D2329" s="7" t="str">
        <x:v>factory calibration</x:v>
      </x:c>
      <x:c r="E2329" s="7" t="str">
        <x:v>CAL-CH-PEA-A-Y3-22-2</x:v>
      </x:c>
      <x:c r="F2329" s="7" t="str">
        <x:f>'Calibration Records'!M854</x:f>
        <x:v>OPEN</x:v>
      </x:c>
    </x:row>
    <x:row r="2330">
      <x:c r="B2330" s="7" t="str">
        <x:v>AG-02324</x:v>
      </x:c>
      <x:c r="C2330" s="7" t="str">
        <x:v>PEA-A-Y3</x:v>
      </x:c>
      <x:c r="D2330" s="7" t="str">
        <x:v>factory calibration</x:v>
      </x:c>
      <x:c r="E2330" s="7" t="str">
        <x:v>CAL-CH-PEA-A-Y3-22-3</x:v>
      </x:c>
      <x:c r="F2330" s="7" t="str">
        <x:f>'Calibration Records'!M855</x:f>
        <x:v>OPEN</x:v>
      </x:c>
    </x:row>
    <x:row r="2331">
      <x:c r="B2331" s="7" t="str">
        <x:v>AG-02325</x:v>
      </x:c>
      <x:c r="C2331" s="7" t="str">
        <x:v>PEA-A-Y3</x:v>
      </x:c>
      <x:c r="D2331" s="7" t="str">
        <x:v>factory calibration</x:v>
      </x:c>
      <x:c r="E2331" s="7" t="str">
        <x:v>CAL-CH-PEA-A-Y3-22-4</x:v>
      </x:c>
      <x:c r="F2331" s="7" t="str">
        <x:f>'Calibration Records'!M856</x:f>
        <x:v>OPEN</x:v>
      </x:c>
    </x:row>
    <x:row r="2332">
      <x:c r="B2332" s="7" t="str">
        <x:v>AG-02326</x:v>
      </x:c>
      <x:c r="C2332" s="7" t="str">
        <x:v>PEA-A-Y3</x:v>
      </x:c>
      <x:c r="D2332" s="7" t="str">
        <x:v>factory calibration</x:v>
      </x:c>
      <x:c r="E2332" s="7" t="str">
        <x:v>CAL-CH-PEA-A-Y3-22-5</x:v>
      </x:c>
      <x:c r="F2332" s="7" t="str">
        <x:f>'Calibration Records'!M857</x:f>
        <x:v>OPEN</x:v>
      </x:c>
    </x:row>
    <x:row r="2333">
      <x:c r="B2333" s="7" t="str">
        <x:v>AG-02327</x:v>
      </x:c>
      <x:c r="C2333" s="7" t="str">
        <x:v>PEA-A-Y3</x:v>
      </x:c>
      <x:c r="D2333" s="7" t="str">
        <x:v>factory calibration</x:v>
      </x:c>
      <x:c r="E2333" s="7" t="str">
        <x:v>CAL-CH-PEA-A-Y3-22-6</x:v>
      </x:c>
      <x:c r="F2333" s="7" t="str">
        <x:f>'Calibration Records'!M858</x:f>
        <x:v>OPEN</x:v>
      </x:c>
    </x:row>
    <x:row r="2334">
      <x:c r="B2334" s="7" t="str">
        <x:v>AG-02328</x:v>
      </x:c>
      <x:c r="C2334" s="7" t="str">
        <x:v>PEA-A-Y3</x:v>
      </x:c>
      <x:c r="D2334" s="7" t="str">
        <x:v>factory calibration</x:v>
      </x:c>
      <x:c r="E2334" s="7" t="str">
        <x:v>CAL-CH-PEA-A-Y3-23-1</x:v>
      </x:c>
      <x:c r="F2334" s="7" t="str">
        <x:f>'Calibration Records'!M859</x:f>
        <x:v>OPEN</x:v>
      </x:c>
    </x:row>
    <x:row r="2335">
      <x:c r="B2335" s="7" t="str">
        <x:v>AG-02329</x:v>
      </x:c>
      <x:c r="C2335" s="7" t="str">
        <x:v>PEA-A-Y3</x:v>
      </x:c>
      <x:c r="D2335" s="7" t="str">
        <x:v>factory calibration</x:v>
      </x:c>
      <x:c r="E2335" s="7" t="str">
        <x:v>CAL-CH-PEA-A-Y3-23-2</x:v>
      </x:c>
      <x:c r="F2335" s="7" t="str">
        <x:f>'Calibration Records'!M860</x:f>
        <x:v>OPEN</x:v>
      </x:c>
    </x:row>
    <x:row r="2336">
      <x:c r="B2336" s="7" t="str">
        <x:v>AG-02330</x:v>
      </x:c>
      <x:c r="C2336" s="7" t="str">
        <x:v>PEA-A-Y3</x:v>
      </x:c>
      <x:c r="D2336" s="7" t="str">
        <x:v>factory calibration</x:v>
      </x:c>
      <x:c r="E2336" s="7" t="str">
        <x:v>CAL-CH-PEA-A-Y3-23-3</x:v>
      </x:c>
      <x:c r="F2336" s="7" t="str">
        <x:f>'Calibration Records'!M861</x:f>
        <x:v>OPEN</x:v>
      </x:c>
    </x:row>
    <x:row r="2337">
      <x:c r="B2337" s="7" t="str">
        <x:v>AG-02331</x:v>
      </x:c>
      <x:c r="C2337" s="7" t="str">
        <x:v>PEA-A-Y3</x:v>
      </x:c>
      <x:c r="D2337" s="7" t="str">
        <x:v>factory calibration</x:v>
      </x:c>
      <x:c r="E2337" s="7" t="str">
        <x:v>CAL-CH-PEA-A-Y3-23-4</x:v>
      </x:c>
      <x:c r="F2337" s="7" t="str">
        <x:f>'Calibration Records'!M862</x:f>
        <x:v>OPEN</x:v>
      </x:c>
    </x:row>
    <x:row r="2338">
      <x:c r="B2338" s="7" t="str">
        <x:v>AG-02332</x:v>
      </x:c>
      <x:c r="C2338" s="7" t="str">
        <x:v>PEA-A-Y3</x:v>
      </x:c>
      <x:c r="D2338" s="7" t="str">
        <x:v>factory calibration</x:v>
      </x:c>
      <x:c r="E2338" s="7" t="str">
        <x:v>CAL-CH-PEA-A-Y3-23-5</x:v>
      </x:c>
      <x:c r="F2338" s="7" t="str">
        <x:f>'Calibration Records'!M863</x:f>
        <x:v>OPEN</x:v>
      </x:c>
    </x:row>
    <x:row r="2339">
      <x:c r="B2339" s="7" t="str">
        <x:v>AG-02333</x:v>
      </x:c>
      <x:c r="C2339" s="7" t="str">
        <x:v>PEA-A-Y3</x:v>
      </x:c>
      <x:c r="D2339" s="7" t="str">
        <x:v>factory calibration</x:v>
      </x:c>
      <x:c r="E2339" s="7" t="str">
        <x:v>CAL-CH-PEA-A-Y3-23-6</x:v>
      </x:c>
      <x:c r="F2339" s="7" t="str">
        <x:f>'Calibration Records'!M864</x:f>
        <x:v>OPEN</x:v>
      </x:c>
    </x:row>
    <x:row r="2340">
      <x:c r="B2340" s="7" t="str">
        <x:v>AG-02334</x:v>
      </x:c>
      <x:c r="C2340" s="7" t="str">
        <x:v>PEA-A-Y3</x:v>
      </x:c>
      <x:c r="D2340" s="7" t="str">
        <x:v>factory calibration</x:v>
      </x:c>
      <x:c r="E2340" s="7" t="str">
        <x:v>CAL-CH-PEA-A-Y3-24-1</x:v>
      </x:c>
      <x:c r="F2340" s="7" t="str">
        <x:f>'Calibration Records'!M865</x:f>
        <x:v>OPEN</x:v>
      </x:c>
    </x:row>
    <x:row r="2341">
      <x:c r="B2341" s="7" t="str">
        <x:v>AG-02335</x:v>
      </x:c>
      <x:c r="C2341" s="7" t="str">
        <x:v>PEA-A-Y3</x:v>
      </x:c>
      <x:c r="D2341" s="7" t="str">
        <x:v>factory calibration</x:v>
      </x:c>
      <x:c r="E2341" s="7" t="str">
        <x:v>CAL-CH-PEA-A-Y3-24-2</x:v>
      </x:c>
      <x:c r="F2341" s="7" t="str">
        <x:f>'Calibration Records'!M866</x:f>
        <x:v>OPEN</x:v>
      </x:c>
    </x:row>
    <x:row r="2342">
      <x:c r="B2342" s="7" t="str">
        <x:v>AG-02336</x:v>
      </x:c>
      <x:c r="C2342" s="7" t="str">
        <x:v>PEA-A-Y3</x:v>
      </x:c>
      <x:c r="D2342" s="7" t="str">
        <x:v>factory calibration</x:v>
      </x:c>
      <x:c r="E2342" s="7" t="str">
        <x:v>CAL-CH-PEA-A-Y3-24-3</x:v>
      </x:c>
      <x:c r="F2342" s="7" t="str">
        <x:f>'Calibration Records'!M867</x:f>
        <x:v>OPEN</x:v>
      </x:c>
    </x:row>
    <x:row r="2343">
      <x:c r="B2343" s="7" t="str">
        <x:v>AG-02337</x:v>
      </x:c>
      <x:c r="C2343" s="7" t="str">
        <x:v>PEA-A-Y3</x:v>
      </x:c>
      <x:c r="D2343" s="7" t="str">
        <x:v>factory calibration</x:v>
      </x:c>
      <x:c r="E2343" s="7" t="str">
        <x:v>CAL-CH-PEA-A-Y3-24-4</x:v>
      </x:c>
      <x:c r="F2343" s="7" t="str">
        <x:f>'Calibration Records'!M868</x:f>
        <x:v>OPEN</x:v>
      </x:c>
    </x:row>
    <x:row r="2344">
      <x:c r="B2344" s="7" t="str">
        <x:v>AG-02338</x:v>
      </x:c>
      <x:c r="C2344" s="7" t="str">
        <x:v>PEA-A-Y3</x:v>
      </x:c>
      <x:c r="D2344" s="7" t="str">
        <x:v>factory calibration</x:v>
      </x:c>
      <x:c r="E2344" s="7" t="str">
        <x:v>CAL-CH-PEA-A-Y3-24-5</x:v>
      </x:c>
      <x:c r="F2344" s="7" t="str">
        <x:f>'Calibration Records'!M869</x:f>
        <x:v>OPEN</x:v>
      </x:c>
    </x:row>
    <x:row r="2345">
      <x:c r="B2345" s="7" t="str">
        <x:v>AG-02339</x:v>
      </x:c>
      <x:c r="C2345" s="7" t="str">
        <x:v>PEA-A-Y3</x:v>
      </x:c>
      <x:c r="D2345" s="7" t="str">
        <x:v>factory calibration</x:v>
      </x:c>
      <x:c r="E2345" s="7" t="str">
        <x:v>CAL-CH-PEA-A-Y3-24-6</x:v>
      </x:c>
      <x:c r="F2345" s="7" t="str">
        <x:f>'Calibration Records'!M870</x:f>
        <x:v>OPEN</x:v>
      </x:c>
    </x:row>
    <x:row r="2346">
      <x:c r="B2346" s="7" t="str">
        <x:v>AG-02340</x:v>
      </x:c>
      <x:c r="C2346" s="7" t="str">
        <x:v>PEA-A-Y3</x:v>
      </x:c>
      <x:c r="D2346" s="7" t="str">
        <x:v>article master</x:v>
      </x:c>
      <x:c r="E2346" s="7" t="str">
        <x:v>PEA-A-Y3</x:v>
      </x:c>
      <x:c r="F2346" s="7" t="str">
        <x:f>'Article Population'!Q12</x:f>
        <x:v>OPEN</x:v>
      </x:c>
    </x:row>
    <x:row r="2347">
      <x:c r="B2347" s="7" t="str">
        <x:v>AG-02341</x:v>
      </x:c>
      <x:c r="C2347" s="7" t="str">
        <x:v>PEA-B-X1</x:v>
      </x:c>
      <x:c r="D2347" s="7" t="str">
        <x:v>lineage capsule</x:v>
      </x:c>
      <x:c r="E2347" s="7" t="str">
        <x:v>BL-X</x:v>
      </x:c>
      <x:c r="F2347" s="7" t="str">
        <x:f>'Baseline Package'!F7</x:f>
        <x:v>OPEN</x:v>
      </x:c>
    </x:row>
    <x:row r="2348">
      <x:c r="B2348" s="7" t="str">
        <x:v>AG-02342</x:v>
      </x:c>
      <x:c r="C2348" s="7" t="str">
        <x:v>PEA-B-X1</x:v>
      </x:c>
      <x:c r="D2348" s="7" t="str">
        <x:v>builder qualification</x:v>
      </x:c>
      <x:c r="E2348" s="7" t="str">
        <x:v>BLD-B</x:v>
      </x:c>
      <x:c r="F2348" s="7" t="str">
        <x:f>Builders!K8</x:f>
        <x:v>OPEN</x:v>
      </x:c>
    </x:row>
    <x:row r="2349">
      <x:c r="B2349" s="7" t="str">
        <x:v>AG-02343</x:v>
      </x:c>
      <x:c r="C2349" s="7" t="str">
        <x:v>PEA-B-X1</x:v>
      </x:c>
      <x:c r="D2349" s="7" t="str">
        <x:v>material split</x:v>
      </x:c>
      <x:c r="E2349" s="7" t="str">
        <x:v>SPLIT-PEA-B-X1</x:v>
      </x:c>
      <x:c r="F2349" s="7" t="str">
        <x:f>'Material Matrix'!K13</x:f>
        <x:v>OPEN</x:v>
      </x:c>
    </x:row>
    <x:row r="2350">
      <x:c r="B2350" s="7" t="str">
        <x:v>AG-02344</x:v>
      </x:c>
      <x:c r="C2350" s="7" t="str">
        <x:v>PEA-B-X1</x:v>
      </x:c>
      <x:c r="D2350" s="7" t="str">
        <x:v>build sequence</x:v>
      </x:c>
      <x:c r="E2350" s="7" t="str">
        <x:v>SEQ-PEA-B-X1</x:v>
      </x:c>
      <x:c r="F2350" s="7" t="str">
        <x:f>'Build Sequence'!L13</x:f>
        <x:v>OPEN</x:v>
      </x:c>
    </x:row>
    <x:row r="2351">
      <x:c r="B2351" s="7" t="str">
        <x:v>AG-02345</x:v>
      </x:c>
      <x:c r="C2351" s="7" t="str">
        <x:v>PEA-B-X1</x:v>
      </x:c>
      <x:c r="D2351" s="7" t="str">
        <x:v>section traveler</x:v>
      </x:c>
      <x:c r="E2351" s="7" t="str">
        <x:v>TRV-PEA-B-X1-01</x:v>
      </x:c>
      <x:c r="F2351" s="7" t="str">
        <x:f>'Section Travelers'!L127</x:f>
        <x:v>OPEN</x:v>
      </x:c>
    </x:row>
    <x:row r="2352">
      <x:c r="B2352" s="7" t="str">
        <x:v>AG-02346</x:v>
      </x:c>
      <x:c r="C2352" s="7" t="str">
        <x:v>PEA-B-X1</x:v>
      </x:c>
      <x:c r="D2352" s="7" t="str">
        <x:v>section traveler</x:v>
      </x:c>
      <x:c r="E2352" s="7" t="str">
        <x:v>TRV-PEA-B-X1-02</x:v>
      </x:c>
      <x:c r="F2352" s="7" t="str">
        <x:f>'Section Travelers'!L128</x:f>
        <x:v>OPEN</x:v>
      </x:c>
    </x:row>
    <x:row r="2353">
      <x:c r="B2353" s="7" t="str">
        <x:v>AG-02347</x:v>
      </x:c>
      <x:c r="C2353" s="7" t="str">
        <x:v>PEA-B-X1</x:v>
      </x:c>
      <x:c r="D2353" s="7" t="str">
        <x:v>section traveler</x:v>
      </x:c>
      <x:c r="E2353" s="7" t="str">
        <x:v>TRV-PEA-B-X1-03</x:v>
      </x:c>
      <x:c r="F2353" s="7" t="str">
        <x:f>'Section Travelers'!L129</x:f>
        <x:v>OPEN</x:v>
      </x:c>
    </x:row>
    <x:row r="2354">
      <x:c r="B2354" s="7" t="str">
        <x:v>AG-02348</x:v>
      </x:c>
      <x:c r="C2354" s="7" t="str">
        <x:v>PEA-B-X1</x:v>
      </x:c>
      <x:c r="D2354" s="7" t="str">
        <x:v>section traveler</x:v>
      </x:c>
      <x:c r="E2354" s="7" t="str">
        <x:v>TRV-PEA-B-X1-04</x:v>
      </x:c>
      <x:c r="F2354" s="7" t="str">
        <x:f>'Section Travelers'!L130</x:f>
        <x:v>OPEN</x:v>
      </x:c>
    </x:row>
    <x:row r="2355">
      <x:c r="B2355" s="7" t="str">
        <x:v>AG-02349</x:v>
      </x:c>
      <x:c r="C2355" s="7" t="str">
        <x:v>PEA-B-X1</x:v>
      </x:c>
      <x:c r="D2355" s="7" t="str">
        <x:v>section traveler</x:v>
      </x:c>
      <x:c r="E2355" s="7" t="str">
        <x:v>TRV-PEA-B-X1-05</x:v>
      </x:c>
      <x:c r="F2355" s="7" t="str">
        <x:f>'Section Travelers'!L131</x:f>
        <x:v>OPEN</x:v>
      </x:c>
    </x:row>
    <x:row r="2356">
      <x:c r="B2356" s="7" t="str">
        <x:v>AG-02350</x:v>
      </x:c>
      <x:c r="C2356" s="7" t="str">
        <x:v>PEA-B-X1</x:v>
      </x:c>
      <x:c r="D2356" s="7" t="str">
        <x:v>section traveler</x:v>
      </x:c>
      <x:c r="E2356" s="7" t="str">
        <x:v>TRV-PEA-B-X1-06</x:v>
      </x:c>
      <x:c r="F2356" s="7" t="str">
        <x:f>'Section Travelers'!L132</x:f>
        <x:v>OPEN</x:v>
      </x:c>
    </x:row>
    <x:row r="2357">
      <x:c r="B2357" s="7" t="str">
        <x:v>AG-02351</x:v>
      </x:c>
      <x:c r="C2357" s="7" t="str">
        <x:v>PEA-B-X1</x:v>
      </x:c>
      <x:c r="D2357" s="7" t="str">
        <x:v>section traveler</x:v>
      </x:c>
      <x:c r="E2357" s="7" t="str">
        <x:v>TRV-PEA-B-X1-07</x:v>
      </x:c>
      <x:c r="F2357" s="7" t="str">
        <x:f>'Section Travelers'!L133</x:f>
        <x:v>OPEN</x:v>
      </x:c>
    </x:row>
    <x:row r="2358">
      <x:c r="B2358" s="7" t="str">
        <x:v>AG-02352</x:v>
      </x:c>
      <x:c r="C2358" s="7" t="str">
        <x:v>PEA-B-X1</x:v>
      </x:c>
      <x:c r="D2358" s="7" t="str">
        <x:v>section traveler</x:v>
      </x:c>
      <x:c r="E2358" s="7" t="str">
        <x:v>TRV-PEA-B-X1-08</x:v>
      </x:c>
      <x:c r="F2358" s="7" t="str">
        <x:f>'Section Travelers'!L134</x:f>
        <x:v>OPEN</x:v>
      </x:c>
    </x:row>
    <x:row r="2359">
      <x:c r="B2359" s="7" t="str">
        <x:v>AG-02353</x:v>
      </x:c>
      <x:c r="C2359" s="7" t="str">
        <x:v>PEA-B-X1</x:v>
      </x:c>
      <x:c r="D2359" s="7" t="str">
        <x:v>section traveler</x:v>
      </x:c>
      <x:c r="E2359" s="7" t="str">
        <x:v>TRV-PEA-B-X1-09</x:v>
      </x:c>
      <x:c r="F2359" s="7" t="str">
        <x:f>'Section Travelers'!L135</x:f>
        <x:v>OPEN</x:v>
      </x:c>
    </x:row>
    <x:row r="2360">
      <x:c r="B2360" s="7" t="str">
        <x:v>AG-02354</x:v>
      </x:c>
      <x:c r="C2360" s="7" t="str">
        <x:v>PEA-B-X1</x:v>
      </x:c>
      <x:c r="D2360" s="7" t="str">
        <x:v>section traveler</x:v>
      </x:c>
      <x:c r="E2360" s="7" t="str">
        <x:v>TRV-PEA-B-X1-10</x:v>
      </x:c>
      <x:c r="F2360" s="7" t="str">
        <x:f>'Section Travelers'!L136</x:f>
        <x:v>OPEN</x:v>
      </x:c>
    </x:row>
    <x:row r="2361">
      <x:c r="B2361" s="7" t="str">
        <x:v>AG-02355</x:v>
      </x:c>
      <x:c r="C2361" s="7" t="str">
        <x:v>PEA-B-X1</x:v>
      </x:c>
      <x:c r="D2361" s="7" t="str">
        <x:v>section traveler</x:v>
      </x:c>
      <x:c r="E2361" s="7" t="str">
        <x:v>TRV-PEA-B-X1-11</x:v>
      </x:c>
      <x:c r="F2361" s="7" t="str">
        <x:f>'Section Travelers'!L137</x:f>
        <x:v>OPEN</x:v>
      </x:c>
    </x:row>
    <x:row r="2362">
      <x:c r="B2362" s="7" t="str">
        <x:v>AG-02356</x:v>
      </x:c>
      <x:c r="C2362" s="7" t="str">
        <x:v>PEA-B-X1</x:v>
      </x:c>
      <x:c r="D2362" s="7" t="str">
        <x:v>section traveler</x:v>
      </x:c>
      <x:c r="E2362" s="7" t="str">
        <x:v>TRV-PEA-B-X1-12</x:v>
      </x:c>
      <x:c r="F2362" s="7" t="str">
        <x:f>'Section Travelers'!L138</x:f>
        <x:v>OPEN</x:v>
      </x:c>
    </x:row>
    <x:row r="2363">
      <x:c r="B2363" s="7" t="str">
        <x:v>AG-02357</x:v>
      </x:c>
      <x:c r="C2363" s="7" t="str">
        <x:v>PEA-B-X1</x:v>
      </x:c>
      <x:c r="D2363" s="7" t="str">
        <x:v>section traveler</x:v>
      </x:c>
      <x:c r="E2363" s="7" t="str">
        <x:v>TRV-PEA-B-X1-13</x:v>
      </x:c>
      <x:c r="F2363" s="7" t="str">
        <x:f>'Section Travelers'!L139</x:f>
        <x:v>OPEN</x:v>
      </x:c>
    </x:row>
    <x:row r="2364">
      <x:c r="B2364" s="7" t="str">
        <x:v>AG-02358</x:v>
      </x:c>
      <x:c r="C2364" s="7" t="str">
        <x:v>PEA-B-X1</x:v>
      </x:c>
      <x:c r="D2364" s="7" t="str">
        <x:v>section traveler</x:v>
      </x:c>
      <x:c r="E2364" s="7" t="str">
        <x:v>TRV-PEA-B-X1-14</x:v>
      </x:c>
      <x:c r="F2364" s="7" t="str">
        <x:f>'Section Travelers'!L140</x:f>
        <x:v>OPEN</x:v>
      </x:c>
    </x:row>
    <x:row r="2365">
      <x:c r="B2365" s="7" t="str">
        <x:v>AG-02359</x:v>
      </x:c>
      <x:c r="C2365" s="7" t="str">
        <x:v>PEA-B-X1</x:v>
      </x:c>
      <x:c r="D2365" s="7" t="str">
        <x:v>section traveler</x:v>
      </x:c>
      <x:c r="E2365" s="7" t="str">
        <x:v>TRV-PEA-B-X1-15</x:v>
      </x:c>
      <x:c r="F2365" s="7" t="str">
        <x:f>'Section Travelers'!L141</x:f>
        <x:v>OPEN</x:v>
      </x:c>
    </x:row>
    <x:row r="2366">
      <x:c r="B2366" s="7" t="str">
        <x:v>AG-02360</x:v>
      </x:c>
      <x:c r="C2366" s="7" t="str">
        <x:v>PEA-B-X1</x:v>
      </x:c>
      <x:c r="D2366" s="7" t="str">
        <x:v>section traveler</x:v>
      </x:c>
      <x:c r="E2366" s="7" t="str">
        <x:v>TRV-PEA-B-X1-16</x:v>
      </x:c>
      <x:c r="F2366" s="7" t="str">
        <x:f>'Section Travelers'!L142</x:f>
        <x:v>OPEN</x:v>
      </x:c>
    </x:row>
    <x:row r="2367">
      <x:c r="B2367" s="7" t="str">
        <x:v>AG-02361</x:v>
      </x:c>
      <x:c r="C2367" s="7" t="str">
        <x:v>PEA-B-X1</x:v>
      </x:c>
      <x:c r="D2367" s="7" t="str">
        <x:v>section traveler</x:v>
      </x:c>
      <x:c r="E2367" s="7" t="str">
        <x:v>TRV-PEA-B-X1-17</x:v>
      </x:c>
      <x:c r="F2367" s="7" t="str">
        <x:f>'Section Travelers'!L143</x:f>
        <x:v>OPEN</x:v>
      </x:c>
    </x:row>
    <x:row r="2368">
      <x:c r="B2368" s="7" t="str">
        <x:v>AG-02362</x:v>
      </x:c>
      <x:c r="C2368" s="7" t="str">
        <x:v>PEA-B-X1</x:v>
      </x:c>
      <x:c r="D2368" s="7" t="str">
        <x:v>section traveler</x:v>
      </x:c>
      <x:c r="E2368" s="7" t="str">
        <x:v>TRV-PEA-B-X1-18</x:v>
      </x:c>
      <x:c r="F2368" s="7" t="str">
        <x:f>'Section Travelers'!L144</x:f>
        <x:v>OPEN</x:v>
      </x:c>
    </x:row>
    <x:row r="2369">
      <x:c r="B2369" s="7" t="str">
        <x:v>AG-02363</x:v>
      </x:c>
      <x:c r="C2369" s="7" t="str">
        <x:v>PEA-B-X1</x:v>
      </x:c>
      <x:c r="D2369" s="7" t="str">
        <x:v>section traveler</x:v>
      </x:c>
      <x:c r="E2369" s="7" t="str">
        <x:v>TRV-PEA-B-X1-19</x:v>
      </x:c>
      <x:c r="F2369" s="7" t="str">
        <x:f>'Section Travelers'!L145</x:f>
        <x:v>OPEN</x:v>
      </x:c>
    </x:row>
    <x:row r="2370">
      <x:c r="B2370" s="7" t="str">
        <x:v>AG-02364</x:v>
      </x:c>
      <x:c r="C2370" s="7" t="str">
        <x:v>PEA-B-X1</x:v>
      </x:c>
      <x:c r="D2370" s="7" t="str">
        <x:v>section traveler</x:v>
      </x:c>
      <x:c r="E2370" s="7" t="str">
        <x:v>TRV-PEA-B-X1-20</x:v>
      </x:c>
      <x:c r="F2370" s="7" t="str">
        <x:f>'Section Travelers'!L146</x:f>
        <x:v>OPEN</x:v>
      </x:c>
    </x:row>
    <x:row r="2371">
      <x:c r="B2371" s="7" t="str">
        <x:v>AG-02365</x:v>
      </x:c>
      <x:c r="C2371" s="7" t="str">
        <x:v>PEA-B-X1</x:v>
      </x:c>
      <x:c r="D2371" s="7" t="str">
        <x:v>material coupon</x:v>
      </x:c>
      <x:c r="E2371" s="7" t="str">
        <x:v>CPN-PEA-B-X1-CJ-1</x:v>
      </x:c>
      <x:c r="F2371" s="7" t="str">
        <x:f>'Material Coupons'!K247</x:f>
        <x:v>OPEN</x:v>
      </x:c>
    </x:row>
    <x:row r="2372">
      <x:c r="B2372" s="7" t="str">
        <x:v>AG-02366</x:v>
      </x:c>
      <x:c r="C2372" s="7" t="str">
        <x:v>PEA-B-X1</x:v>
      </x:c>
      <x:c r="D2372" s="7" t="str">
        <x:v>material coupon</x:v>
      </x:c>
      <x:c r="E2372" s="7" t="str">
        <x:v>CPN-PEA-B-X1-CJ-2</x:v>
      </x:c>
      <x:c r="F2372" s="7" t="str">
        <x:f>'Material Coupons'!K248</x:f>
        <x:v>OPEN</x:v>
      </x:c>
    </x:row>
    <x:row r="2373">
      <x:c r="B2373" s="7" t="str">
        <x:v>AG-02367</x:v>
      </x:c>
      <x:c r="C2373" s="7" t="str">
        <x:v>PEA-B-X1</x:v>
      </x:c>
      <x:c r="D2373" s="7" t="str">
        <x:v>material coupon</x:v>
      </x:c>
      <x:c r="E2373" s="7" t="str">
        <x:v>CPN-PEA-B-X1-CJ-3</x:v>
      </x:c>
      <x:c r="F2373" s="7" t="str">
        <x:f>'Material Coupons'!K249</x:f>
        <x:v>OPEN</x:v>
      </x:c>
    </x:row>
    <x:row r="2374">
      <x:c r="B2374" s="7" t="str">
        <x:v>AG-02368</x:v>
      </x:c>
      <x:c r="C2374" s="7" t="str">
        <x:v>PEA-B-X1</x:v>
      </x:c>
      <x:c r="D2374" s="7" t="str">
        <x:v>material coupon</x:v>
      </x:c>
      <x:c r="E2374" s="7" t="str">
        <x:v>CPN-PEA-B-X1-CJ-4</x:v>
      </x:c>
      <x:c r="F2374" s="7" t="str">
        <x:f>'Material Coupons'!K250</x:f>
        <x:v>OPEN</x:v>
      </x:c>
    </x:row>
    <x:row r="2375">
      <x:c r="B2375" s="7" t="str">
        <x:v>AG-02369</x:v>
      </x:c>
      <x:c r="C2375" s="7" t="str">
        <x:v>PEA-B-X1</x:v>
      </x:c>
      <x:c r="D2375" s="7" t="str">
        <x:v>material coupon</x:v>
      </x:c>
      <x:c r="E2375" s="7" t="str">
        <x:v>CPN-PEA-B-X1-CJ-5</x:v>
      </x:c>
      <x:c r="F2375" s="7" t="str">
        <x:f>'Material Coupons'!K251</x:f>
        <x:v>OPEN</x:v>
      </x:c>
    </x:row>
    <x:row r="2376">
      <x:c r="B2376" s="7" t="str">
        <x:v>AG-02370</x:v>
      </x:c>
      <x:c r="C2376" s="7" t="str">
        <x:v>PEA-B-X1</x:v>
      </x:c>
      <x:c r="D2376" s="7" t="str">
        <x:v>material coupon</x:v>
      </x:c>
      <x:c r="E2376" s="7" t="str">
        <x:v>CPN-PEA-B-X1-CJ-6</x:v>
      </x:c>
      <x:c r="F2376" s="7" t="str">
        <x:f>'Material Coupons'!K252</x:f>
        <x:v>OPEN</x:v>
      </x:c>
    </x:row>
    <x:row r="2377">
      <x:c r="B2377" s="7" t="str">
        <x:v>AG-02371</x:v>
      </x:c>
      <x:c r="C2377" s="7" t="str">
        <x:v>PEA-B-X1</x:v>
      </x:c>
      <x:c r="D2377" s="7" t="str">
        <x:v>material coupon</x:v>
      </x:c>
      <x:c r="E2377" s="7" t="str">
        <x:v>CPN-PEA-B-X1-CJ-7</x:v>
      </x:c>
      <x:c r="F2377" s="7" t="str">
        <x:f>'Material Coupons'!K253</x:f>
        <x:v>OPEN</x:v>
      </x:c>
    </x:row>
    <x:row r="2378">
      <x:c r="B2378" s="7" t="str">
        <x:v>AG-02372</x:v>
      </x:c>
      <x:c r="C2378" s="7" t="str">
        <x:v>PEA-B-X1</x:v>
      </x:c>
      <x:c r="D2378" s="7" t="str">
        <x:v>material coupon</x:v>
      </x:c>
      <x:c r="E2378" s="7" t="str">
        <x:v>CPN-PEA-B-X1-CJ-8</x:v>
      </x:c>
      <x:c r="F2378" s="7" t="str">
        <x:f>'Material Coupons'!K254</x:f>
        <x:v>OPEN</x:v>
      </x:c>
    </x:row>
    <x:row r="2379">
      <x:c r="B2379" s="7" t="str">
        <x:v>AG-02373</x:v>
      </x:c>
      <x:c r="C2379" s="7" t="str">
        <x:v>PEA-B-X1</x:v>
      </x:c>
      <x:c r="D2379" s="7" t="str">
        <x:v>material coupon</x:v>
      </x:c>
      <x:c r="E2379" s="7" t="str">
        <x:v>CPN-PEA-B-X1-SE-1</x:v>
      </x:c>
      <x:c r="F2379" s="7" t="str">
        <x:f>'Material Coupons'!K255</x:f>
        <x:v>OPEN</x:v>
      </x:c>
    </x:row>
    <x:row r="2380">
      <x:c r="B2380" s="7" t="str">
        <x:v>AG-02374</x:v>
      </x:c>
      <x:c r="C2380" s="7" t="str">
        <x:v>PEA-B-X1</x:v>
      </x:c>
      <x:c r="D2380" s="7" t="str">
        <x:v>material coupon</x:v>
      </x:c>
      <x:c r="E2380" s="7" t="str">
        <x:v>CPN-PEA-B-X1-SE-2</x:v>
      </x:c>
      <x:c r="F2380" s="7" t="str">
        <x:f>'Material Coupons'!K256</x:f>
        <x:v>OPEN</x:v>
      </x:c>
    </x:row>
    <x:row r="2381">
      <x:c r="B2381" s="7" t="str">
        <x:v>AG-02375</x:v>
      </x:c>
      <x:c r="C2381" s="7" t="str">
        <x:v>PEA-B-X1</x:v>
      </x:c>
      <x:c r="D2381" s="7" t="str">
        <x:v>material coupon</x:v>
      </x:c>
      <x:c r="E2381" s="7" t="str">
        <x:v>CPN-PEA-B-X1-SE-3</x:v>
      </x:c>
      <x:c r="F2381" s="7" t="str">
        <x:f>'Material Coupons'!K257</x:f>
        <x:v>OPEN</x:v>
      </x:c>
    </x:row>
    <x:row r="2382">
      <x:c r="B2382" s="7" t="str">
        <x:v>AG-02376</x:v>
      </x:c>
      <x:c r="C2382" s="7" t="str">
        <x:v>PEA-B-X1</x:v>
      </x:c>
      <x:c r="D2382" s="7" t="str">
        <x:v>material coupon</x:v>
      </x:c>
      <x:c r="E2382" s="7" t="str">
        <x:v>CPN-PEA-B-X1-SE-4</x:v>
      </x:c>
      <x:c r="F2382" s="7" t="str">
        <x:f>'Material Coupons'!K258</x:f>
        <x:v>OPEN</x:v>
      </x:c>
    </x:row>
    <x:row r="2383">
      <x:c r="B2383" s="7" t="str">
        <x:v>AG-02377</x:v>
      </x:c>
      <x:c r="C2383" s="7" t="str">
        <x:v>PEA-B-X1</x:v>
      </x:c>
      <x:c r="D2383" s="7" t="str">
        <x:v>material coupon</x:v>
      </x:c>
      <x:c r="E2383" s="7" t="str">
        <x:v>CPN-PEA-B-X1-SE-5</x:v>
      </x:c>
      <x:c r="F2383" s="7" t="str">
        <x:f>'Material Coupons'!K259</x:f>
        <x:v>OPEN</x:v>
      </x:c>
    </x:row>
    <x:row r="2384">
      <x:c r="B2384" s="7" t="str">
        <x:v>AG-02378</x:v>
      </x:c>
      <x:c r="C2384" s="7" t="str">
        <x:v>PEA-B-X1</x:v>
      </x:c>
      <x:c r="D2384" s="7" t="str">
        <x:v>material coupon</x:v>
      </x:c>
      <x:c r="E2384" s="7" t="str">
        <x:v>CPN-PEA-B-X1-SE-6</x:v>
      </x:c>
      <x:c r="F2384" s="7" t="str">
        <x:f>'Material Coupons'!K260</x:f>
        <x:v>OPEN</x:v>
      </x:c>
    </x:row>
    <x:row r="2385">
      <x:c r="B2385" s="7" t="str">
        <x:v>AG-02379</x:v>
      </x:c>
      <x:c r="C2385" s="7" t="str">
        <x:v>PEA-B-X1</x:v>
      </x:c>
      <x:c r="D2385" s="7" t="str">
        <x:v>material coupon</x:v>
      </x:c>
      <x:c r="E2385" s="7" t="str">
        <x:v>CPN-PEA-B-X1-SE-7</x:v>
      </x:c>
      <x:c r="F2385" s="7" t="str">
        <x:f>'Material Coupons'!K261</x:f>
        <x:v>OPEN</x:v>
      </x:c>
    </x:row>
    <x:row r="2386">
      <x:c r="B2386" s="7" t="str">
        <x:v>AG-02380</x:v>
      </x:c>
      <x:c r="C2386" s="7" t="str">
        <x:v>PEA-B-X1</x:v>
      </x:c>
      <x:c r="D2386" s="7" t="str">
        <x:v>material coupon</x:v>
      </x:c>
      <x:c r="E2386" s="7" t="str">
        <x:v>CPN-PEA-B-X1-SE-8</x:v>
      </x:c>
      <x:c r="F2386" s="7" t="str">
        <x:f>'Material Coupons'!K262</x:f>
        <x:v>OPEN</x:v>
      </x:c>
    </x:row>
    <x:row r="2387">
      <x:c r="B2387" s="7" t="str">
        <x:v>AG-02381</x:v>
      </x:c>
      <x:c r="C2387" s="7" t="str">
        <x:v>PEA-B-X1</x:v>
      </x:c>
      <x:c r="D2387" s="7" t="str">
        <x:v>material coupon</x:v>
      </x:c>
      <x:c r="E2387" s="7" t="str">
        <x:v>CPN-PEA-B-X1-SF-1</x:v>
      </x:c>
      <x:c r="F2387" s="7" t="str">
        <x:f>'Material Coupons'!K263</x:f>
        <x:v>OPEN</x:v>
      </x:c>
    </x:row>
    <x:row r="2388">
      <x:c r="B2388" s="7" t="str">
        <x:v>AG-02382</x:v>
      </x:c>
      <x:c r="C2388" s="7" t="str">
        <x:v>PEA-B-X1</x:v>
      </x:c>
      <x:c r="D2388" s="7" t="str">
        <x:v>material coupon</x:v>
      </x:c>
      <x:c r="E2388" s="7" t="str">
        <x:v>CPN-PEA-B-X1-SF-2</x:v>
      </x:c>
      <x:c r="F2388" s="7" t="str">
        <x:f>'Material Coupons'!K264</x:f>
        <x:v>OPEN</x:v>
      </x:c>
    </x:row>
    <x:row r="2389">
      <x:c r="B2389" s="7" t="str">
        <x:v>AG-02383</x:v>
      </x:c>
      <x:c r="C2389" s="7" t="str">
        <x:v>PEA-B-X1</x:v>
      </x:c>
      <x:c r="D2389" s="7" t="str">
        <x:v>material coupon</x:v>
      </x:c>
      <x:c r="E2389" s="7" t="str">
        <x:v>CPN-PEA-B-X1-SF-3</x:v>
      </x:c>
      <x:c r="F2389" s="7" t="str">
        <x:f>'Material Coupons'!K265</x:f>
        <x:v>OPEN</x:v>
      </x:c>
    </x:row>
    <x:row r="2390">
      <x:c r="B2390" s="7" t="str">
        <x:v>AG-02384</x:v>
      </x:c>
      <x:c r="C2390" s="7" t="str">
        <x:v>PEA-B-X1</x:v>
      </x:c>
      <x:c r="D2390" s="7" t="str">
        <x:v>material coupon</x:v>
      </x:c>
      <x:c r="E2390" s="7" t="str">
        <x:v>CPN-PEA-B-X1-SF-4</x:v>
      </x:c>
      <x:c r="F2390" s="7" t="str">
        <x:f>'Material Coupons'!K266</x:f>
        <x:v>OPEN</x:v>
      </x:c>
    </x:row>
    <x:row r="2391">
      <x:c r="B2391" s="7" t="str">
        <x:v>AG-02385</x:v>
      </x:c>
      <x:c r="C2391" s="7" t="str">
        <x:v>PEA-B-X1</x:v>
      </x:c>
      <x:c r="D2391" s="7" t="str">
        <x:v>material coupon</x:v>
      </x:c>
      <x:c r="E2391" s="7" t="str">
        <x:v>CPN-PEA-B-X1-SF-5</x:v>
      </x:c>
      <x:c r="F2391" s="7" t="str">
        <x:f>'Material Coupons'!K267</x:f>
        <x:v>OPEN</x:v>
      </x:c>
    </x:row>
    <x:row r="2392">
      <x:c r="B2392" s="7" t="str">
        <x:v>AG-02386</x:v>
      </x:c>
      <x:c r="C2392" s="7" t="str">
        <x:v>PEA-B-X1</x:v>
      </x:c>
      <x:c r="D2392" s="7" t="str">
        <x:v>material coupon</x:v>
      </x:c>
      <x:c r="E2392" s="7" t="str">
        <x:v>CPN-PEA-B-X1-SF-6</x:v>
      </x:c>
      <x:c r="F2392" s="7" t="str">
        <x:f>'Material Coupons'!K268</x:f>
        <x:v>OPEN</x:v>
      </x:c>
    </x:row>
    <x:row r="2393">
      <x:c r="B2393" s="7" t="str">
        <x:v>AG-02387</x:v>
      </x:c>
      <x:c r="C2393" s="7" t="str">
        <x:v>PEA-B-X1</x:v>
      </x:c>
      <x:c r="D2393" s="7" t="str">
        <x:v>material coupon</x:v>
      </x:c>
      <x:c r="E2393" s="7" t="str">
        <x:v>CPN-PEA-B-X1-SF-7</x:v>
      </x:c>
      <x:c r="F2393" s="7" t="str">
        <x:f>'Material Coupons'!K269</x:f>
        <x:v>OPEN</x:v>
      </x:c>
    </x:row>
    <x:row r="2394">
      <x:c r="B2394" s="7" t="str">
        <x:v>AG-02388</x:v>
      </x:c>
      <x:c r="C2394" s="7" t="str">
        <x:v>PEA-B-X1</x:v>
      </x:c>
      <x:c r="D2394" s="7" t="str">
        <x:v>material coupon</x:v>
      </x:c>
      <x:c r="E2394" s="7" t="str">
        <x:v>CPN-PEA-B-X1-SF-8</x:v>
      </x:c>
      <x:c r="F2394" s="7" t="str">
        <x:f>'Material Coupons'!K270</x:f>
        <x:v>OPEN</x:v>
      </x:c>
    </x:row>
    <x:row r="2395">
      <x:c r="B2395" s="7" t="str">
        <x:v>AG-02389</x:v>
      </x:c>
      <x:c r="C2395" s="7" t="str">
        <x:v>PEA-B-X1</x:v>
      </x:c>
      <x:c r="D2395" s="7" t="str">
        <x:v>material coupon</x:v>
      </x:c>
      <x:c r="E2395" s="7" t="str">
        <x:v>CPN-PEA-B-X1-CP-1</x:v>
      </x:c>
      <x:c r="F2395" s="7" t="str">
        <x:f>'Material Coupons'!K271</x:f>
        <x:v>OPEN</x:v>
      </x:c>
    </x:row>
    <x:row r="2396">
      <x:c r="B2396" s="7" t="str">
        <x:v>AG-02390</x:v>
      </x:c>
      <x:c r="C2396" s="7" t="str">
        <x:v>PEA-B-X1</x:v>
      </x:c>
      <x:c r="D2396" s="7" t="str">
        <x:v>material coupon</x:v>
      </x:c>
      <x:c r="E2396" s="7" t="str">
        <x:v>CPN-PEA-B-X1-CP-2</x:v>
      </x:c>
      <x:c r="F2396" s="7" t="str">
        <x:f>'Material Coupons'!K272</x:f>
        <x:v>OPEN</x:v>
      </x:c>
    </x:row>
    <x:row r="2397">
      <x:c r="B2397" s="7" t="str">
        <x:v>AG-02391</x:v>
      </x:c>
      <x:c r="C2397" s="7" t="str">
        <x:v>PEA-B-X1</x:v>
      </x:c>
      <x:c r="D2397" s="7" t="str">
        <x:v>material coupon</x:v>
      </x:c>
      <x:c r="E2397" s="7" t="str">
        <x:v>CPN-PEA-B-X1-CP-3</x:v>
      </x:c>
      <x:c r="F2397" s="7" t="str">
        <x:f>'Material Coupons'!K273</x:f>
        <x:v>OPEN</x:v>
      </x:c>
    </x:row>
    <x:row r="2398">
      <x:c r="B2398" s="7" t="str">
        <x:v>AG-02392</x:v>
      </x:c>
      <x:c r="C2398" s="7" t="str">
        <x:v>PEA-B-X1</x:v>
      </x:c>
      <x:c r="D2398" s="7" t="str">
        <x:v>material coupon</x:v>
      </x:c>
      <x:c r="E2398" s="7" t="str">
        <x:v>CPN-PEA-B-X1-CP-4</x:v>
      </x:c>
      <x:c r="F2398" s="7" t="str">
        <x:f>'Material Coupons'!K274</x:f>
        <x:v>OPEN</x:v>
      </x:c>
    </x:row>
    <x:row r="2399">
      <x:c r="B2399" s="7" t="str">
        <x:v>AG-02393</x:v>
      </x:c>
      <x:c r="C2399" s="7" t="str">
        <x:v>PEA-B-X1</x:v>
      </x:c>
      <x:c r="D2399" s="7" t="str">
        <x:v>material coupon</x:v>
      </x:c>
      <x:c r="E2399" s="7" t="str">
        <x:v>CPN-PEA-B-X1-CP-5</x:v>
      </x:c>
      <x:c r="F2399" s="7" t="str">
        <x:f>'Material Coupons'!K275</x:f>
        <x:v>OPEN</x:v>
      </x:c>
    </x:row>
    <x:row r="2400">
      <x:c r="B2400" s="7" t="str">
        <x:v>AG-02394</x:v>
      </x:c>
      <x:c r="C2400" s="7" t="str">
        <x:v>PEA-B-X1</x:v>
      </x:c>
      <x:c r="D2400" s="7" t="str">
        <x:v>material coupon</x:v>
      </x:c>
      <x:c r="E2400" s="7" t="str">
        <x:v>CPN-PEA-B-X1-CP-6</x:v>
      </x:c>
      <x:c r="F2400" s="7" t="str">
        <x:f>'Material Coupons'!K276</x:f>
        <x:v>OPEN</x:v>
      </x:c>
    </x:row>
    <x:row r="2401">
      <x:c r="B2401" s="7" t="str">
        <x:v>AG-02395</x:v>
      </x:c>
      <x:c r="C2401" s="7" t="str">
        <x:v>PEA-B-X1</x:v>
      </x:c>
      <x:c r="D2401" s="7" t="str">
        <x:v>material coupon</x:v>
      </x:c>
      <x:c r="E2401" s="7" t="str">
        <x:v>CPN-PEA-B-X1-CP-7</x:v>
      </x:c>
      <x:c r="F2401" s="7" t="str">
        <x:f>'Material Coupons'!K277</x:f>
        <x:v>OPEN</x:v>
      </x:c>
    </x:row>
    <x:row r="2402">
      <x:c r="B2402" s="7" t="str">
        <x:v>AG-02396</x:v>
      </x:c>
      <x:c r="C2402" s="7" t="str">
        <x:v>PEA-B-X1</x:v>
      </x:c>
      <x:c r="D2402" s="7" t="str">
        <x:v>material coupon</x:v>
      </x:c>
      <x:c r="E2402" s="7" t="str">
        <x:v>CPN-PEA-B-X1-CP-8</x:v>
      </x:c>
      <x:c r="F2402" s="7" t="str">
        <x:f>'Material Coupons'!K278</x:f>
        <x:v>OPEN</x:v>
      </x:c>
    </x:row>
    <x:row r="2403">
      <x:c r="B2403" s="7" t="str">
        <x:v>AG-02397</x:v>
      </x:c>
      <x:c r="C2403" s="7" t="str">
        <x:v>PEA-B-X1</x:v>
      </x:c>
      <x:c r="D2403" s="7" t="str">
        <x:v>material coupon</x:v>
      </x:c>
      <x:c r="E2403" s="7" t="str">
        <x:v>CPN-PEA-B-X1-SM-1</x:v>
      </x:c>
      <x:c r="F2403" s="7" t="str">
        <x:f>'Material Coupons'!K279</x:f>
        <x:v>OPEN</x:v>
      </x:c>
    </x:row>
    <x:row r="2404">
      <x:c r="B2404" s="7" t="str">
        <x:v>AG-02398</x:v>
      </x:c>
      <x:c r="C2404" s="7" t="str">
        <x:v>PEA-B-X1</x:v>
      </x:c>
      <x:c r="D2404" s="7" t="str">
        <x:v>material coupon</x:v>
      </x:c>
      <x:c r="E2404" s="7" t="str">
        <x:v>CPN-PEA-B-X1-SM-2</x:v>
      </x:c>
      <x:c r="F2404" s="7" t="str">
        <x:f>'Material Coupons'!K280</x:f>
        <x:v>OPEN</x:v>
      </x:c>
    </x:row>
    <x:row r="2405">
      <x:c r="B2405" s="7" t="str">
        <x:v>AG-02399</x:v>
      </x:c>
      <x:c r="C2405" s="7" t="str">
        <x:v>PEA-B-X1</x:v>
      </x:c>
      <x:c r="D2405" s="7" t="str">
        <x:v>material coupon</x:v>
      </x:c>
      <x:c r="E2405" s="7" t="str">
        <x:v>CPN-PEA-B-X1-SM-3</x:v>
      </x:c>
      <x:c r="F2405" s="7" t="str">
        <x:f>'Material Coupons'!K281</x:f>
        <x:v>OPEN</x:v>
      </x:c>
    </x:row>
    <x:row r="2406">
      <x:c r="B2406" s="7" t="str">
        <x:v>AG-02400</x:v>
      </x:c>
      <x:c r="C2406" s="7" t="str">
        <x:v>PEA-B-X1</x:v>
      </x:c>
      <x:c r="D2406" s="7" t="str">
        <x:v>material coupon</x:v>
      </x:c>
      <x:c r="E2406" s="7" t="str">
        <x:v>CPN-PEA-B-X1-SM-4</x:v>
      </x:c>
      <x:c r="F2406" s="7" t="str">
        <x:f>'Material Coupons'!K282</x:f>
        <x:v>OPEN</x:v>
      </x:c>
    </x:row>
    <x:row r="2407">
      <x:c r="B2407" s="7" t="str">
        <x:v>AG-02401</x:v>
      </x:c>
      <x:c r="C2407" s="7" t="str">
        <x:v>PEA-B-X1</x:v>
      </x:c>
      <x:c r="D2407" s="7" t="str">
        <x:v>material coupon</x:v>
      </x:c>
      <x:c r="E2407" s="7" t="str">
        <x:v>CPN-PEA-B-X1-SM-5</x:v>
      </x:c>
      <x:c r="F2407" s="7" t="str">
        <x:f>'Material Coupons'!K283</x:f>
        <x:v>OPEN</x:v>
      </x:c>
    </x:row>
    <x:row r="2408">
      <x:c r="B2408" s="7" t="str">
        <x:v>AG-02402</x:v>
      </x:c>
      <x:c r="C2408" s="7" t="str">
        <x:v>PEA-B-X1</x:v>
      </x:c>
      <x:c r="D2408" s="7" t="str">
        <x:v>material coupon</x:v>
      </x:c>
      <x:c r="E2408" s="7" t="str">
        <x:v>CPN-PEA-B-X1-SM-6</x:v>
      </x:c>
      <x:c r="F2408" s="7" t="str">
        <x:f>'Material Coupons'!K284</x:f>
        <x:v>OPEN</x:v>
      </x:c>
    </x:row>
    <x:row r="2409">
      <x:c r="B2409" s="7" t="str">
        <x:v>AG-02403</x:v>
      </x:c>
      <x:c r="C2409" s="7" t="str">
        <x:v>PEA-B-X1</x:v>
      </x:c>
      <x:c r="D2409" s="7" t="str">
        <x:v>material coupon</x:v>
      </x:c>
      <x:c r="E2409" s="7" t="str">
        <x:v>CPN-PEA-B-X1-SM-7</x:v>
      </x:c>
      <x:c r="F2409" s="7" t="str">
        <x:f>'Material Coupons'!K285</x:f>
        <x:v>OPEN</x:v>
      </x:c>
    </x:row>
    <x:row r="2410">
      <x:c r="B2410" s="7" t="str">
        <x:v>AG-02404</x:v>
      </x:c>
      <x:c r="C2410" s="7" t="str">
        <x:v>PEA-B-X1</x:v>
      </x:c>
      <x:c r="D2410" s="7" t="str">
        <x:v>material coupon</x:v>
      </x:c>
      <x:c r="E2410" s="7" t="str">
        <x:v>CPN-PEA-B-X1-SM-8</x:v>
      </x:c>
      <x:c r="F2410" s="7" t="str">
        <x:f>'Material Coupons'!K286</x:f>
        <x:v>OPEN</x:v>
      </x:c>
    </x:row>
    <x:row r="2411">
      <x:c r="B2411" s="7" t="str">
        <x:v>AG-02405</x:v>
      </x:c>
      <x:c r="C2411" s="7" t="str">
        <x:v>PEA-B-X1</x:v>
      </x:c>
      <x:c r="D2411" s="7" t="str">
        <x:v>NDE record</x:v>
      </x:c>
      <x:c r="E2411" s="7" t="str">
        <x:v>NDE-TRV-PEA-B-X1-01</x:v>
      </x:c>
      <x:c r="F2411" s="7" t="str">
        <x:f>'NDE Records'!L127</x:f>
        <x:v>OPEN</x:v>
      </x:c>
    </x:row>
    <x:row r="2412">
      <x:c r="B2412" s="7" t="str">
        <x:v>AG-02406</x:v>
      </x:c>
      <x:c r="C2412" s="7" t="str">
        <x:v>PEA-B-X1</x:v>
      </x:c>
      <x:c r="D2412" s="7" t="str">
        <x:v>NDE record</x:v>
      </x:c>
      <x:c r="E2412" s="7" t="str">
        <x:v>NDE-TRV-PEA-B-X1-02</x:v>
      </x:c>
      <x:c r="F2412" s="7" t="str">
        <x:f>'NDE Records'!L128</x:f>
        <x:v>OPEN</x:v>
      </x:c>
    </x:row>
    <x:row r="2413">
      <x:c r="B2413" s="7" t="str">
        <x:v>AG-02407</x:v>
      </x:c>
      <x:c r="C2413" s="7" t="str">
        <x:v>PEA-B-X1</x:v>
      </x:c>
      <x:c r="D2413" s="7" t="str">
        <x:v>NDE record</x:v>
      </x:c>
      <x:c r="E2413" s="7" t="str">
        <x:v>NDE-TRV-PEA-B-X1-03</x:v>
      </x:c>
      <x:c r="F2413" s="7" t="str">
        <x:f>'NDE Records'!L129</x:f>
        <x:v>OPEN</x:v>
      </x:c>
    </x:row>
    <x:row r="2414">
      <x:c r="B2414" s="7" t="str">
        <x:v>AG-02408</x:v>
      </x:c>
      <x:c r="C2414" s="7" t="str">
        <x:v>PEA-B-X1</x:v>
      </x:c>
      <x:c r="D2414" s="7" t="str">
        <x:v>NDE record</x:v>
      </x:c>
      <x:c r="E2414" s="7" t="str">
        <x:v>NDE-TRV-PEA-B-X1-04</x:v>
      </x:c>
      <x:c r="F2414" s="7" t="str">
        <x:f>'NDE Records'!L130</x:f>
        <x:v>OPEN</x:v>
      </x:c>
    </x:row>
    <x:row r="2415">
      <x:c r="B2415" s="7" t="str">
        <x:v>AG-02409</x:v>
      </x:c>
      <x:c r="C2415" s="7" t="str">
        <x:v>PEA-B-X1</x:v>
      </x:c>
      <x:c r="D2415" s="7" t="str">
        <x:v>NDE record</x:v>
      </x:c>
      <x:c r="E2415" s="7" t="str">
        <x:v>NDE-TRV-PEA-B-X1-05</x:v>
      </x:c>
      <x:c r="F2415" s="7" t="str">
        <x:f>'NDE Records'!L131</x:f>
        <x:v>OPEN</x:v>
      </x:c>
    </x:row>
    <x:row r="2416">
      <x:c r="B2416" s="7" t="str">
        <x:v>AG-02410</x:v>
      </x:c>
      <x:c r="C2416" s="7" t="str">
        <x:v>PEA-B-X1</x:v>
      </x:c>
      <x:c r="D2416" s="7" t="str">
        <x:v>NDE record</x:v>
      </x:c>
      <x:c r="E2416" s="7" t="str">
        <x:v>NDE-TRV-PEA-B-X1-06</x:v>
      </x:c>
      <x:c r="F2416" s="7" t="str">
        <x:f>'NDE Records'!L132</x:f>
        <x:v>OPEN</x:v>
      </x:c>
    </x:row>
    <x:row r="2417">
      <x:c r="B2417" s="7" t="str">
        <x:v>AG-02411</x:v>
      </x:c>
      <x:c r="C2417" s="7" t="str">
        <x:v>PEA-B-X1</x:v>
      </x:c>
      <x:c r="D2417" s="7" t="str">
        <x:v>NDE record</x:v>
      </x:c>
      <x:c r="E2417" s="7" t="str">
        <x:v>NDE-TRV-PEA-B-X1-07</x:v>
      </x:c>
      <x:c r="F2417" s="7" t="str">
        <x:f>'NDE Records'!L133</x:f>
        <x:v>OPEN</x:v>
      </x:c>
    </x:row>
    <x:row r="2418">
      <x:c r="B2418" s="7" t="str">
        <x:v>AG-02412</x:v>
      </x:c>
      <x:c r="C2418" s="7" t="str">
        <x:v>PEA-B-X1</x:v>
      </x:c>
      <x:c r="D2418" s="7" t="str">
        <x:v>NDE record</x:v>
      </x:c>
      <x:c r="E2418" s="7" t="str">
        <x:v>NDE-TRV-PEA-B-X1-08</x:v>
      </x:c>
      <x:c r="F2418" s="7" t="str">
        <x:f>'NDE Records'!L134</x:f>
        <x:v>OPEN</x:v>
      </x:c>
    </x:row>
    <x:row r="2419">
      <x:c r="B2419" s="7" t="str">
        <x:v>AG-02413</x:v>
      </x:c>
      <x:c r="C2419" s="7" t="str">
        <x:v>PEA-B-X1</x:v>
      </x:c>
      <x:c r="D2419" s="7" t="str">
        <x:v>NDE record</x:v>
      </x:c>
      <x:c r="E2419" s="7" t="str">
        <x:v>NDE-TRV-PEA-B-X1-09</x:v>
      </x:c>
      <x:c r="F2419" s="7" t="str">
        <x:f>'NDE Records'!L135</x:f>
        <x:v>OPEN</x:v>
      </x:c>
    </x:row>
    <x:row r="2420">
      <x:c r="B2420" s="7" t="str">
        <x:v>AG-02414</x:v>
      </x:c>
      <x:c r="C2420" s="7" t="str">
        <x:v>PEA-B-X1</x:v>
      </x:c>
      <x:c r="D2420" s="7" t="str">
        <x:v>NDE record</x:v>
      </x:c>
      <x:c r="E2420" s="7" t="str">
        <x:v>NDE-TRV-PEA-B-X1-10</x:v>
      </x:c>
      <x:c r="F2420" s="7" t="str">
        <x:f>'NDE Records'!L136</x:f>
        <x:v>OPEN</x:v>
      </x:c>
    </x:row>
    <x:row r="2421">
      <x:c r="B2421" s="7" t="str">
        <x:v>AG-02415</x:v>
      </x:c>
      <x:c r="C2421" s="7" t="str">
        <x:v>PEA-B-X1</x:v>
      </x:c>
      <x:c r="D2421" s="7" t="str">
        <x:v>NDE record</x:v>
      </x:c>
      <x:c r="E2421" s="7" t="str">
        <x:v>NDE-TRV-PEA-B-X1-11</x:v>
      </x:c>
      <x:c r="F2421" s="7" t="str">
        <x:f>'NDE Records'!L137</x:f>
        <x:v>OPEN</x:v>
      </x:c>
    </x:row>
    <x:row r="2422">
      <x:c r="B2422" s="7" t="str">
        <x:v>AG-02416</x:v>
      </x:c>
      <x:c r="C2422" s="7" t="str">
        <x:v>PEA-B-X1</x:v>
      </x:c>
      <x:c r="D2422" s="7" t="str">
        <x:v>NDE record</x:v>
      </x:c>
      <x:c r="E2422" s="7" t="str">
        <x:v>NDE-TRV-PEA-B-X1-12</x:v>
      </x:c>
      <x:c r="F2422" s="7" t="str">
        <x:f>'NDE Records'!L138</x:f>
        <x:v>OPEN</x:v>
      </x:c>
    </x:row>
    <x:row r="2423">
      <x:c r="B2423" s="7" t="str">
        <x:v>AG-02417</x:v>
      </x:c>
      <x:c r="C2423" s="7" t="str">
        <x:v>PEA-B-X1</x:v>
      </x:c>
      <x:c r="D2423" s="7" t="str">
        <x:v>NDE record</x:v>
      </x:c>
      <x:c r="E2423" s="7" t="str">
        <x:v>NDE-TRV-PEA-B-X1-13</x:v>
      </x:c>
      <x:c r="F2423" s="7" t="str">
        <x:f>'NDE Records'!L139</x:f>
        <x:v>OPEN</x:v>
      </x:c>
    </x:row>
    <x:row r="2424">
      <x:c r="B2424" s="7" t="str">
        <x:v>AG-02418</x:v>
      </x:c>
      <x:c r="C2424" s="7" t="str">
        <x:v>PEA-B-X1</x:v>
      </x:c>
      <x:c r="D2424" s="7" t="str">
        <x:v>NDE record</x:v>
      </x:c>
      <x:c r="E2424" s="7" t="str">
        <x:v>NDE-TRV-PEA-B-X1-14</x:v>
      </x:c>
      <x:c r="F2424" s="7" t="str">
        <x:f>'NDE Records'!L140</x:f>
        <x:v>OPEN</x:v>
      </x:c>
    </x:row>
    <x:row r="2425">
      <x:c r="B2425" s="7" t="str">
        <x:v>AG-02419</x:v>
      </x:c>
      <x:c r="C2425" s="7" t="str">
        <x:v>PEA-B-X1</x:v>
      </x:c>
      <x:c r="D2425" s="7" t="str">
        <x:v>NDE record</x:v>
      </x:c>
      <x:c r="E2425" s="7" t="str">
        <x:v>NDE-TRV-PEA-B-X1-15</x:v>
      </x:c>
      <x:c r="F2425" s="7" t="str">
        <x:f>'NDE Records'!L141</x:f>
        <x:v>OPEN</x:v>
      </x:c>
    </x:row>
    <x:row r="2426">
      <x:c r="B2426" s="7" t="str">
        <x:v>AG-02420</x:v>
      </x:c>
      <x:c r="C2426" s="7" t="str">
        <x:v>PEA-B-X1</x:v>
      </x:c>
      <x:c r="D2426" s="7" t="str">
        <x:v>NDE record</x:v>
      </x:c>
      <x:c r="E2426" s="7" t="str">
        <x:v>NDE-TRV-PEA-B-X1-16</x:v>
      </x:c>
      <x:c r="F2426" s="7" t="str">
        <x:f>'NDE Records'!L142</x:f>
        <x:v>OPEN</x:v>
      </x:c>
    </x:row>
    <x:row r="2427">
      <x:c r="B2427" s="7" t="str">
        <x:v>AG-02421</x:v>
      </x:c>
      <x:c r="C2427" s="7" t="str">
        <x:v>PEA-B-X1</x:v>
      </x:c>
      <x:c r="D2427" s="7" t="str">
        <x:v>NDE record</x:v>
      </x:c>
      <x:c r="E2427" s="7" t="str">
        <x:v>NDE-TRV-PEA-B-X1-17</x:v>
      </x:c>
      <x:c r="F2427" s="7" t="str">
        <x:f>'NDE Records'!L143</x:f>
        <x:v>OPEN</x:v>
      </x:c>
    </x:row>
    <x:row r="2428">
      <x:c r="B2428" s="7" t="str">
        <x:v>AG-02422</x:v>
      </x:c>
      <x:c r="C2428" s="7" t="str">
        <x:v>PEA-B-X1</x:v>
      </x:c>
      <x:c r="D2428" s="7" t="str">
        <x:v>NDE record</x:v>
      </x:c>
      <x:c r="E2428" s="7" t="str">
        <x:v>NDE-TRV-PEA-B-X1-18</x:v>
      </x:c>
      <x:c r="F2428" s="7" t="str">
        <x:f>'NDE Records'!L144</x:f>
        <x:v>OPEN</x:v>
      </x:c>
    </x:row>
    <x:row r="2429">
      <x:c r="B2429" s="7" t="str">
        <x:v>AG-02423</x:v>
      </x:c>
      <x:c r="C2429" s="7" t="str">
        <x:v>PEA-B-X1</x:v>
      </x:c>
      <x:c r="D2429" s="7" t="str">
        <x:v>NDE record</x:v>
      </x:c>
      <x:c r="E2429" s="7" t="str">
        <x:v>NDE-TRV-PEA-B-X1-19</x:v>
      </x:c>
      <x:c r="F2429" s="7" t="str">
        <x:f>'NDE Records'!L145</x:f>
        <x:v>OPEN</x:v>
      </x:c>
    </x:row>
    <x:row r="2430">
      <x:c r="B2430" s="7" t="str">
        <x:v>AG-02424</x:v>
      </x:c>
      <x:c r="C2430" s="7" t="str">
        <x:v>PEA-B-X1</x:v>
      </x:c>
      <x:c r="D2430" s="7" t="str">
        <x:v>NDE record</x:v>
      </x:c>
      <x:c r="E2430" s="7" t="str">
        <x:v>NDE-TRV-PEA-B-X1-20</x:v>
      </x:c>
      <x:c r="F2430" s="7" t="str">
        <x:f>'NDE Records'!L146</x:f>
        <x:v>OPEN</x:v>
      </x:c>
    </x:row>
    <x:row r="2431">
      <x:c r="B2431" s="7" t="str">
        <x:v>AG-02425</x:v>
      </x:c>
      <x:c r="C2431" s="7" t="str">
        <x:v>PEA-B-X1</x:v>
      </x:c>
      <x:c r="D2431" s="7" t="str">
        <x:v>joint record</x:v>
      </x:c>
      <x:c r="E2431" s="7" t="str">
        <x:v>JNT-PEA-B-X1-1</x:v>
      </x:c>
      <x:c r="F2431" s="7" t="str">
        <x:f>'Joint Records'!M37</x:f>
        <x:v>OPEN</x:v>
      </x:c>
    </x:row>
    <x:row r="2432">
      <x:c r="B2432" s="7" t="str">
        <x:v>AG-02426</x:v>
      </x:c>
      <x:c r="C2432" s="7" t="str">
        <x:v>PEA-B-X1</x:v>
      </x:c>
      <x:c r="D2432" s="7" t="str">
        <x:v>joint record</x:v>
      </x:c>
      <x:c r="E2432" s="7" t="str">
        <x:v>JNT-PEA-B-X1-2</x:v>
      </x:c>
      <x:c r="F2432" s="7" t="str">
        <x:f>'Joint Records'!M38</x:f>
        <x:v>OPEN</x:v>
      </x:c>
    </x:row>
    <x:row r="2433">
      <x:c r="B2433" s="7" t="str">
        <x:v>AG-02427</x:v>
      </x:c>
      <x:c r="C2433" s="7" t="str">
        <x:v>PEA-B-X1</x:v>
      </x:c>
      <x:c r="D2433" s="7" t="str">
        <x:v>joint record</x:v>
      </x:c>
      <x:c r="E2433" s="7" t="str">
        <x:v>JNT-PEA-B-X1-3</x:v>
      </x:c>
      <x:c r="F2433" s="7" t="str">
        <x:f>'Joint Records'!M39</x:f>
        <x:v>OPEN</x:v>
      </x:c>
    </x:row>
    <x:row r="2434">
      <x:c r="B2434" s="7" t="str">
        <x:v>AG-02428</x:v>
      </x:c>
      <x:c r="C2434" s="7" t="str">
        <x:v>PEA-B-X1</x:v>
      </x:c>
      <x:c r="D2434" s="7" t="str">
        <x:v>joint record</x:v>
      </x:c>
      <x:c r="E2434" s="7" t="str">
        <x:v>JNT-PEA-B-X1-4</x:v>
      </x:c>
      <x:c r="F2434" s="7" t="str">
        <x:f>'Joint Records'!M40</x:f>
        <x:v>OPEN</x:v>
      </x:c>
    </x:row>
    <x:row r="2435">
      <x:c r="B2435" s="7" t="str">
        <x:v>AG-02429</x:v>
      </x:c>
      <x:c r="C2435" s="7" t="str">
        <x:v>PEA-B-X1</x:v>
      </x:c>
      <x:c r="D2435" s="7" t="str">
        <x:v>joint record</x:v>
      </x:c>
      <x:c r="E2435" s="7" t="str">
        <x:v>JNT-PEA-B-X1-5</x:v>
      </x:c>
      <x:c r="F2435" s="7" t="str">
        <x:f>'Joint Records'!M41</x:f>
        <x:v>OPEN</x:v>
      </x:c>
    </x:row>
    <x:row r="2436">
      <x:c r="B2436" s="7" t="str">
        <x:v>AG-02430</x:v>
      </x:c>
      <x:c r="C2436" s="7" t="str">
        <x:v>PEA-B-X1</x:v>
      </x:c>
      <x:c r="D2436" s="7" t="str">
        <x:v>control element</x:v>
      </x:c>
      <x:c r="E2436" s="7" t="str">
        <x:v>ELM-PEA-B-X1-01</x:v>
      </x:c>
      <x:c r="F2436" s="7" t="str">
        <x:f>'Control Elements'!L79</x:f>
        <x:v>OPEN</x:v>
      </x:c>
    </x:row>
    <x:row r="2437">
      <x:c r="B2437" s="7" t="str">
        <x:v>AG-02431</x:v>
      </x:c>
      <x:c r="C2437" s="7" t="str">
        <x:v>PEA-B-X1</x:v>
      </x:c>
      <x:c r="D2437" s="7" t="str">
        <x:v>control element</x:v>
      </x:c>
      <x:c r="E2437" s="7" t="str">
        <x:v>ELM-PEA-B-X1-02</x:v>
      </x:c>
      <x:c r="F2437" s="7" t="str">
        <x:f>'Control Elements'!L80</x:f>
        <x:v>OPEN</x:v>
      </x:c>
    </x:row>
    <x:row r="2438">
      <x:c r="B2438" s="7" t="str">
        <x:v>AG-02432</x:v>
      </x:c>
      <x:c r="C2438" s="7" t="str">
        <x:v>PEA-B-X1</x:v>
      </x:c>
      <x:c r="D2438" s="7" t="str">
        <x:v>control element</x:v>
      </x:c>
      <x:c r="E2438" s="7" t="str">
        <x:v>ELM-PEA-B-X1-03</x:v>
      </x:c>
      <x:c r="F2438" s="7" t="str">
        <x:f>'Control Elements'!L81</x:f>
        <x:v>OPEN</x:v>
      </x:c>
    </x:row>
    <x:row r="2439">
      <x:c r="B2439" s="7" t="str">
        <x:v>AG-02433</x:v>
      </x:c>
      <x:c r="C2439" s="7" t="str">
        <x:v>PEA-B-X1</x:v>
      </x:c>
      <x:c r="D2439" s="7" t="str">
        <x:v>control element</x:v>
      </x:c>
      <x:c r="E2439" s="7" t="str">
        <x:v>ELM-PEA-B-X1-04</x:v>
      </x:c>
      <x:c r="F2439" s="7" t="str">
        <x:f>'Control Elements'!L82</x:f>
        <x:v>OPEN</x:v>
      </x:c>
    </x:row>
    <x:row r="2440">
      <x:c r="B2440" s="7" t="str">
        <x:v>AG-02434</x:v>
      </x:c>
      <x:c r="C2440" s="7" t="str">
        <x:v>PEA-B-X1</x:v>
      </x:c>
      <x:c r="D2440" s="7" t="str">
        <x:v>control element</x:v>
      </x:c>
      <x:c r="E2440" s="7" t="str">
        <x:v>ELM-PEA-B-X1-05</x:v>
      </x:c>
      <x:c r="F2440" s="7" t="str">
        <x:f>'Control Elements'!L83</x:f>
        <x:v>OPEN</x:v>
      </x:c>
    </x:row>
    <x:row r="2441">
      <x:c r="B2441" s="7" t="str">
        <x:v>AG-02435</x:v>
      </x:c>
      <x:c r="C2441" s="7" t="str">
        <x:v>PEA-B-X1</x:v>
      </x:c>
      <x:c r="D2441" s="7" t="str">
        <x:v>control element</x:v>
      </x:c>
      <x:c r="E2441" s="7" t="str">
        <x:v>ELM-PEA-B-X1-06</x:v>
      </x:c>
      <x:c r="F2441" s="7" t="str">
        <x:f>'Control Elements'!L84</x:f>
        <x:v>OPEN</x:v>
      </x:c>
    </x:row>
    <x:row r="2442">
      <x:c r="B2442" s="7" t="str">
        <x:v>AG-02436</x:v>
      </x:c>
      <x:c r="C2442" s="7" t="str">
        <x:v>PEA-B-X1</x:v>
      </x:c>
      <x:c r="D2442" s="7" t="str">
        <x:v>control element</x:v>
      </x:c>
      <x:c r="E2442" s="7" t="str">
        <x:v>ELM-PEA-B-X1-07</x:v>
      </x:c>
      <x:c r="F2442" s="7" t="str">
        <x:f>'Control Elements'!L85</x:f>
        <x:v>OPEN</x:v>
      </x:c>
    </x:row>
    <x:row r="2443">
      <x:c r="B2443" s="7" t="str">
        <x:v>AG-02437</x:v>
      </x:c>
      <x:c r="C2443" s="7" t="str">
        <x:v>PEA-B-X1</x:v>
      </x:c>
      <x:c r="D2443" s="7" t="str">
        <x:v>control element</x:v>
      </x:c>
      <x:c r="E2443" s="7" t="str">
        <x:v>ELM-PEA-B-X1-08</x:v>
      </x:c>
      <x:c r="F2443" s="7" t="str">
        <x:f>'Control Elements'!L86</x:f>
        <x:v>OPEN</x:v>
      </x:c>
    </x:row>
    <x:row r="2444">
      <x:c r="B2444" s="7" t="str">
        <x:v>AG-02438</x:v>
      </x:c>
      <x:c r="C2444" s="7" t="str">
        <x:v>PEA-B-X1</x:v>
      </x:c>
      <x:c r="D2444" s="7" t="str">
        <x:v>control element</x:v>
      </x:c>
      <x:c r="E2444" s="7" t="str">
        <x:v>ELM-PEA-B-X1-09</x:v>
      </x:c>
      <x:c r="F2444" s="7" t="str">
        <x:f>'Control Elements'!L87</x:f>
        <x:v>OPEN</x:v>
      </x:c>
    </x:row>
    <x:row r="2445">
      <x:c r="B2445" s="7" t="str">
        <x:v>AG-02439</x:v>
      </x:c>
      <x:c r="C2445" s="7" t="str">
        <x:v>PEA-B-X1</x:v>
      </x:c>
      <x:c r="D2445" s="7" t="str">
        <x:v>control element</x:v>
      </x:c>
      <x:c r="E2445" s="7" t="str">
        <x:v>ELM-PEA-B-X1-10</x:v>
      </x:c>
      <x:c r="F2445" s="7" t="str">
        <x:f>'Control Elements'!L88</x:f>
        <x:v>OPEN</x:v>
      </x:c>
    </x:row>
    <x:row r="2446">
      <x:c r="B2446" s="7" t="str">
        <x:v>AG-02440</x:v>
      </x:c>
      <x:c r="C2446" s="7" t="str">
        <x:v>PEA-B-X1</x:v>
      </x:c>
      <x:c r="D2446" s="7" t="str">
        <x:v>control element</x:v>
      </x:c>
      <x:c r="E2446" s="7" t="str">
        <x:v>ELM-PEA-B-X1-11</x:v>
      </x:c>
      <x:c r="F2446" s="7" t="str">
        <x:f>'Control Elements'!L89</x:f>
        <x:v>OPEN</x:v>
      </x:c>
    </x:row>
    <x:row r="2447">
      <x:c r="B2447" s="7" t="str">
        <x:v>AG-02441</x:v>
      </x:c>
      <x:c r="C2447" s="7" t="str">
        <x:v>PEA-B-X1</x:v>
      </x:c>
      <x:c r="D2447" s="7" t="str">
        <x:v>control element</x:v>
      </x:c>
      <x:c r="E2447" s="7" t="str">
        <x:v>ELM-PEA-B-X1-12</x:v>
      </x:c>
      <x:c r="F2447" s="7" t="str">
        <x:f>'Control Elements'!L90</x:f>
        <x:v>OPEN</x:v>
      </x:c>
    </x:row>
    <x:row r="2448">
      <x:c r="B2448" s="7" t="str">
        <x:v>AG-02442</x:v>
      </x:c>
      <x:c r="C2448" s="7" t="str">
        <x:v>PEA-B-X1</x:v>
      </x:c>
      <x:c r="D2448" s="7" t="str">
        <x:v>channel instance</x:v>
      </x:c>
      <x:c r="E2448" s="7" t="str">
        <x:v>CH-PEA-B-X1-01-1</x:v>
      </x:c>
      <x:c r="F2448" s="7" t="str">
        <x:f>'Channel Instances'!O871</x:f>
        <x:v>OPEN</x:v>
      </x:c>
    </x:row>
    <x:row r="2449">
      <x:c r="B2449" s="7" t="str">
        <x:v>AG-02443</x:v>
      </x:c>
      <x:c r="C2449" s="7" t="str">
        <x:v>PEA-B-X1</x:v>
      </x:c>
      <x:c r="D2449" s="7" t="str">
        <x:v>channel instance</x:v>
      </x:c>
      <x:c r="E2449" s="7" t="str">
        <x:v>CH-PEA-B-X1-01-2</x:v>
      </x:c>
      <x:c r="F2449" s="7" t="str">
        <x:f>'Channel Instances'!O872</x:f>
        <x:v>OPEN</x:v>
      </x:c>
    </x:row>
    <x:row r="2450">
      <x:c r="B2450" s="7" t="str">
        <x:v>AG-02444</x:v>
      </x:c>
      <x:c r="C2450" s="7" t="str">
        <x:v>PEA-B-X1</x:v>
      </x:c>
      <x:c r="D2450" s="7" t="str">
        <x:v>channel instance</x:v>
      </x:c>
      <x:c r="E2450" s="7" t="str">
        <x:v>CH-PEA-B-X1-01-3</x:v>
      </x:c>
      <x:c r="F2450" s="7" t="str">
        <x:f>'Channel Instances'!O873</x:f>
        <x:v>OPEN</x:v>
      </x:c>
    </x:row>
    <x:row r="2451">
      <x:c r="B2451" s="7" t="str">
        <x:v>AG-02445</x:v>
      </x:c>
      <x:c r="C2451" s="7" t="str">
        <x:v>PEA-B-X1</x:v>
      </x:c>
      <x:c r="D2451" s="7" t="str">
        <x:v>channel instance</x:v>
      </x:c>
      <x:c r="E2451" s="7" t="str">
        <x:v>CH-PEA-B-X1-01-4</x:v>
      </x:c>
      <x:c r="F2451" s="7" t="str">
        <x:f>'Channel Instances'!O874</x:f>
        <x:v>OPEN</x:v>
      </x:c>
    </x:row>
    <x:row r="2452">
      <x:c r="B2452" s="7" t="str">
        <x:v>AG-02446</x:v>
      </x:c>
      <x:c r="C2452" s="7" t="str">
        <x:v>PEA-B-X1</x:v>
      </x:c>
      <x:c r="D2452" s="7" t="str">
        <x:v>channel instance</x:v>
      </x:c>
      <x:c r="E2452" s="7" t="str">
        <x:v>CH-PEA-B-X1-01-5</x:v>
      </x:c>
      <x:c r="F2452" s="7" t="str">
        <x:f>'Channel Instances'!O875</x:f>
        <x:v>OPEN</x:v>
      </x:c>
    </x:row>
    <x:row r="2453">
      <x:c r="B2453" s="7" t="str">
        <x:v>AG-02447</x:v>
      </x:c>
      <x:c r="C2453" s="7" t="str">
        <x:v>PEA-B-X1</x:v>
      </x:c>
      <x:c r="D2453" s="7" t="str">
        <x:v>channel instance</x:v>
      </x:c>
      <x:c r="E2453" s="7" t="str">
        <x:v>CH-PEA-B-X1-01-6</x:v>
      </x:c>
      <x:c r="F2453" s="7" t="str">
        <x:f>'Channel Instances'!O876</x:f>
        <x:v>OPEN</x:v>
      </x:c>
    </x:row>
    <x:row r="2454">
      <x:c r="B2454" s="7" t="str">
        <x:v>AG-02448</x:v>
      </x:c>
      <x:c r="C2454" s="7" t="str">
        <x:v>PEA-B-X1</x:v>
      </x:c>
      <x:c r="D2454" s="7" t="str">
        <x:v>channel instance</x:v>
      </x:c>
      <x:c r="E2454" s="7" t="str">
        <x:v>CH-PEA-B-X1-02-1</x:v>
      </x:c>
      <x:c r="F2454" s="7" t="str">
        <x:f>'Channel Instances'!O877</x:f>
        <x:v>OPEN</x:v>
      </x:c>
    </x:row>
    <x:row r="2455">
      <x:c r="B2455" s="7" t="str">
        <x:v>AG-02449</x:v>
      </x:c>
      <x:c r="C2455" s="7" t="str">
        <x:v>PEA-B-X1</x:v>
      </x:c>
      <x:c r="D2455" s="7" t="str">
        <x:v>channel instance</x:v>
      </x:c>
      <x:c r="E2455" s="7" t="str">
        <x:v>CH-PEA-B-X1-02-2</x:v>
      </x:c>
      <x:c r="F2455" s="7" t="str">
        <x:f>'Channel Instances'!O878</x:f>
        <x:v>OPEN</x:v>
      </x:c>
    </x:row>
    <x:row r="2456">
      <x:c r="B2456" s="7" t="str">
        <x:v>AG-02450</x:v>
      </x:c>
      <x:c r="C2456" s="7" t="str">
        <x:v>PEA-B-X1</x:v>
      </x:c>
      <x:c r="D2456" s="7" t="str">
        <x:v>channel instance</x:v>
      </x:c>
      <x:c r="E2456" s="7" t="str">
        <x:v>CH-PEA-B-X1-02-3</x:v>
      </x:c>
      <x:c r="F2456" s="7" t="str">
        <x:f>'Channel Instances'!O879</x:f>
        <x:v>OPEN</x:v>
      </x:c>
    </x:row>
    <x:row r="2457">
      <x:c r="B2457" s="7" t="str">
        <x:v>AG-02451</x:v>
      </x:c>
      <x:c r="C2457" s="7" t="str">
        <x:v>PEA-B-X1</x:v>
      </x:c>
      <x:c r="D2457" s="7" t="str">
        <x:v>channel instance</x:v>
      </x:c>
      <x:c r="E2457" s="7" t="str">
        <x:v>CH-PEA-B-X1-02-4</x:v>
      </x:c>
      <x:c r="F2457" s="7" t="str">
        <x:f>'Channel Instances'!O880</x:f>
        <x:v>OPEN</x:v>
      </x:c>
    </x:row>
    <x:row r="2458">
      <x:c r="B2458" s="7" t="str">
        <x:v>AG-02452</x:v>
      </x:c>
      <x:c r="C2458" s="7" t="str">
        <x:v>PEA-B-X1</x:v>
      </x:c>
      <x:c r="D2458" s="7" t="str">
        <x:v>channel instance</x:v>
      </x:c>
      <x:c r="E2458" s="7" t="str">
        <x:v>CH-PEA-B-X1-02-5</x:v>
      </x:c>
      <x:c r="F2458" s="7" t="str">
        <x:f>'Channel Instances'!O881</x:f>
        <x:v>OPEN</x:v>
      </x:c>
    </x:row>
    <x:row r="2459">
      <x:c r="B2459" s="7" t="str">
        <x:v>AG-02453</x:v>
      </x:c>
      <x:c r="C2459" s="7" t="str">
        <x:v>PEA-B-X1</x:v>
      </x:c>
      <x:c r="D2459" s="7" t="str">
        <x:v>channel instance</x:v>
      </x:c>
      <x:c r="E2459" s="7" t="str">
        <x:v>CH-PEA-B-X1-02-6</x:v>
      </x:c>
      <x:c r="F2459" s="7" t="str">
        <x:f>'Channel Instances'!O882</x:f>
        <x:v>OPEN</x:v>
      </x:c>
    </x:row>
    <x:row r="2460">
      <x:c r="B2460" s="7" t="str">
        <x:v>AG-02454</x:v>
      </x:c>
      <x:c r="C2460" s="7" t="str">
        <x:v>PEA-B-X1</x:v>
      </x:c>
      <x:c r="D2460" s="7" t="str">
        <x:v>channel instance</x:v>
      </x:c>
      <x:c r="E2460" s="7" t="str">
        <x:v>CH-PEA-B-X1-03-1</x:v>
      </x:c>
      <x:c r="F2460" s="7" t="str">
        <x:f>'Channel Instances'!O883</x:f>
        <x:v>OPEN</x:v>
      </x:c>
    </x:row>
    <x:row r="2461">
      <x:c r="B2461" s="7" t="str">
        <x:v>AG-02455</x:v>
      </x:c>
      <x:c r="C2461" s="7" t="str">
        <x:v>PEA-B-X1</x:v>
      </x:c>
      <x:c r="D2461" s="7" t="str">
        <x:v>channel instance</x:v>
      </x:c>
      <x:c r="E2461" s="7" t="str">
        <x:v>CH-PEA-B-X1-03-2</x:v>
      </x:c>
      <x:c r="F2461" s="7" t="str">
        <x:f>'Channel Instances'!O884</x:f>
        <x:v>OPEN</x:v>
      </x:c>
    </x:row>
    <x:row r="2462">
      <x:c r="B2462" s="7" t="str">
        <x:v>AG-02456</x:v>
      </x:c>
      <x:c r="C2462" s="7" t="str">
        <x:v>PEA-B-X1</x:v>
      </x:c>
      <x:c r="D2462" s="7" t="str">
        <x:v>channel instance</x:v>
      </x:c>
      <x:c r="E2462" s="7" t="str">
        <x:v>CH-PEA-B-X1-03-3</x:v>
      </x:c>
      <x:c r="F2462" s="7" t="str">
        <x:f>'Channel Instances'!O885</x:f>
        <x:v>OPEN</x:v>
      </x:c>
    </x:row>
    <x:row r="2463">
      <x:c r="B2463" s="7" t="str">
        <x:v>AG-02457</x:v>
      </x:c>
      <x:c r="C2463" s="7" t="str">
        <x:v>PEA-B-X1</x:v>
      </x:c>
      <x:c r="D2463" s="7" t="str">
        <x:v>channel instance</x:v>
      </x:c>
      <x:c r="E2463" s="7" t="str">
        <x:v>CH-PEA-B-X1-03-4</x:v>
      </x:c>
      <x:c r="F2463" s="7" t="str">
        <x:f>'Channel Instances'!O886</x:f>
        <x:v>OPEN</x:v>
      </x:c>
    </x:row>
    <x:row r="2464">
      <x:c r="B2464" s="7" t="str">
        <x:v>AG-02458</x:v>
      </x:c>
      <x:c r="C2464" s="7" t="str">
        <x:v>PEA-B-X1</x:v>
      </x:c>
      <x:c r="D2464" s="7" t="str">
        <x:v>channel instance</x:v>
      </x:c>
      <x:c r="E2464" s="7" t="str">
        <x:v>CH-PEA-B-X1-03-5</x:v>
      </x:c>
      <x:c r="F2464" s="7" t="str">
        <x:f>'Channel Instances'!O887</x:f>
        <x:v>OPEN</x:v>
      </x:c>
    </x:row>
    <x:row r="2465">
      <x:c r="B2465" s="7" t="str">
        <x:v>AG-02459</x:v>
      </x:c>
      <x:c r="C2465" s="7" t="str">
        <x:v>PEA-B-X1</x:v>
      </x:c>
      <x:c r="D2465" s="7" t="str">
        <x:v>channel instance</x:v>
      </x:c>
      <x:c r="E2465" s="7" t="str">
        <x:v>CH-PEA-B-X1-03-6</x:v>
      </x:c>
      <x:c r="F2465" s="7" t="str">
        <x:f>'Channel Instances'!O888</x:f>
        <x:v>OPEN</x:v>
      </x:c>
    </x:row>
    <x:row r="2466">
      <x:c r="B2466" s="7" t="str">
        <x:v>AG-02460</x:v>
      </x:c>
      <x:c r="C2466" s="7" t="str">
        <x:v>PEA-B-X1</x:v>
      </x:c>
      <x:c r="D2466" s="7" t="str">
        <x:v>channel instance</x:v>
      </x:c>
      <x:c r="E2466" s="7" t="str">
        <x:v>CH-PEA-B-X1-04-1</x:v>
      </x:c>
      <x:c r="F2466" s="7" t="str">
        <x:f>'Channel Instances'!O889</x:f>
        <x:v>OPEN</x:v>
      </x:c>
    </x:row>
    <x:row r="2467">
      <x:c r="B2467" s="7" t="str">
        <x:v>AG-02461</x:v>
      </x:c>
      <x:c r="C2467" s="7" t="str">
        <x:v>PEA-B-X1</x:v>
      </x:c>
      <x:c r="D2467" s="7" t="str">
        <x:v>channel instance</x:v>
      </x:c>
      <x:c r="E2467" s="7" t="str">
        <x:v>CH-PEA-B-X1-04-2</x:v>
      </x:c>
      <x:c r="F2467" s="7" t="str">
        <x:f>'Channel Instances'!O890</x:f>
        <x:v>OPEN</x:v>
      </x:c>
    </x:row>
    <x:row r="2468">
      <x:c r="B2468" s="7" t="str">
        <x:v>AG-02462</x:v>
      </x:c>
      <x:c r="C2468" s="7" t="str">
        <x:v>PEA-B-X1</x:v>
      </x:c>
      <x:c r="D2468" s="7" t="str">
        <x:v>channel instance</x:v>
      </x:c>
      <x:c r="E2468" s="7" t="str">
        <x:v>CH-PEA-B-X1-04-3</x:v>
      </x:c>
      <x:c r="F2468" s="7" t="str">
        <x:f>'Channel Instances'!O891</x:f>
        <x:v>OPEN</x:v>
      </x:c>
    </x:row>
    <x:row r="2469">
      <x:c r="B2469" s="7" t="str">
        <x:v>AG-02463</x:v>
      </x:c>
      <x:c r="C2469" s="7" t="str">
        <x:v>PEA-B-X1</x:v>
      </x:c>
      <x:c r="D2469" s="7" t="str">
        <x:v>channel instance</x:v>
      </x:c>
      <x:c r="E2469" s="7" t="str">
        <x:v>CH-PEA-B-X1-04-4</x:v>
      </x:c>
      <x:c r="F2469" s="7" t="str">
        <x:f>'Channel Instances'!O892</x:f>
        <x:v>OPEN</x:v>
      </x:c>
    </x:row>
    <x:row r="2470">
      <x:c r="B2470" s="7" t="str">
        <x:v>AG-02464</x:v>
      </x:c>
      <x:c r="C2470" s="7" t="str">
        <x:v>PEA-B-X1</x:v>
      </x:c>
      <x:c r="D2470" s="7" t="str">
        <x:v>channel instance</x:v>
      </x:c>
      <x:c r="E2470" s="7" t="str">
        <x:v>CH-PEA-B-X1-04-5</x:v>
      </x:c>
      <x:c r="F2470" s="7" t="str">
        <x:f>'Channel Instances'!O893</x:f>
        <x:v>OPEN</x:v>
      </x:c>
    </x:row>
    <x:row r="2471">
      <x:c r="B2471" s="7" t="str">
        <x:v>AG-02465</x:v>
      </x:c>
      <x:c r="C2471" s="7" t="str">
        <x:v>PEA-B-X1</x:v>
      </x:c>
      <x:c r="D2471" s="7" t="str">
        <x:v>channel instance</x:v>
      </x:c>
      <x:c r="E2471" s="7" t="str">
        <x:v>CH-PEA-B-X1-04-6</x:v>
      </x:c>
      <x:c r="F2471" s="7" t="str">
        <x:f>'Channel Instances'!O894</x:f>
        <x:v>OPEN</x:v>
      </x:c>
    </x:row>
    <x:row r="2472">
      <x:c r="B2472" s="7" t="str">
        <x:v>AG-02466</x:v>
      </x:c>
      <x:c r="C2472" s="7" t="str">
        <x:v>PEA-B-X1</x:v>
      </x:c>
      <x:c r="D2472" s="7" t="str">
        <x:v>channel instance</x:v>
      </x:c>
      <x:c r="E2472" s="7" t="str">
        <x:v>CH-PEA-B-X1-05-1</x:v>
      </x:c>
      <x:c r="F2472" s="7" t="str">
        <x:f>'Channel Instances'!O895</x:f>
        <x:v>OPEN</x:v>
      </x:c>
    </x:row>
    <x:row r="2473">
      <x:c r="B2473" s="7" t="str">
        <x:v>AG-02467</x:v>
      </x:c>
      <x:c r="C2473" s="7" t="str">
        <x:v>PEA-B-X1</x:v>
      </x:c>
      <x:c r="D2473" s="7" t="str">
        <x:v>channel instance</x:v>
      </x:c>
      <x:c r="E2473" s="7" t="str">
        <x:v>CH-PEA-B-X1-05-2</x:v>
      </x:c>
      <x:c r="F2473" s="7" t="str">
        <x:f>'Channel Instances'!O896</x:f>
        <x:v>OPEN</x:v>
      </x:c>
    </x:row>
    <x:row r="2474">
      <x:c r="B2474" s="7" t="str">
        <x:v>AG-02468</x:v>
      </x:c>
      <x:c r="C2474" s="7" t="str">
        <x:v>PEA-B-X1</x:v>
      </x:c>
      <x:c r="D2474" s="7" t="str">
        <x:v>channel instance</x:v>
      </x:c>
      <x:c r="E2474" s="7" t="str">
        <x:v>CH-PEA-B-X1-05-3</x:v>
      </x:c>
      <x:c r="F2474" s="7" t="str">
        <x:f>'Channel Instances'!O897</x:f>
        <x:v>OPEN</x:v>
      </x:c>
    </x:row>
    <x:row r="2475">
      <x:c r="B2475" s="7" t="str">
        <x:v>AG-02469</x:v>
      </x:c>
      <x:c r="C2475" s="7" t="str">
        <x:v>PEA-B-X1</x:v>
      </x:c>
      <x:c r="D2475" s="7" t="str">
        <x:v>channel instance</x:v>
      </x:c>
      <x:c r="E2475" s="7" t="str">
        <x:v>CH-PEA-B-X1-05-4</x:v>
      </x:c>
      <x:c r="F2475" s="7" t="str">
        <x:f>'Channel Instances'!O898</x:f>
        <x:v>OPEN</x:v>
      </x:c>
    </x:row>
    <x:row r="2476">
      <x:c r="B2476" s="7" t="str">
        <x:v>AG-02470</x:v>
      </x:c>
      <x:c r="C2476" s="7" t="str">
        <x:v>PEA-B-X1</x:v>
      </x:c>
      <x:c r="D2476" s="7" t="str">
        <x:v>channel instance</x:v>
      </x:c>
      <x:c r="E2476" s="7" t="str">
        <x:v>CH-PEA-B-X1-05-5</x:v>
      </x:c>
      <x:c r="F2476" s="7" t="str">
        <x:f>'Channel Instances'!O899</x:f>
        <x:v>OPEN</x:v>
      </x:c>
    </x:row>
    <x:row r="2477">
      <x:c r="B2477" s="7" t="str">
        <x:v>AG-02471</x:v>
      </x:c>
      <x:c r="C2477" s="7" t="str">
        <x:v>PEA-B-X1</x:v>
      </x:c>
      <x:c r="D2477" s="7" t="str">
        <x:v>channel instance</x:v>
      </x:c>
      <x:c r="E2477" s="7" t="str">
        <x:v>CH-PEA-B-X1-05-6</x:v>
      </x:c>
      <x:c r="F2477" s="7" t="str">
        <x:f>'Channel Instances'!O900</x:f>
        <x:v>OPEN</x:v>
      </x:c>
    </x:row>
    <x:row r="2478">
      <x:c r="B2478" s="7" t="str">
        <x:v>AG-02472</x:v>
      </x:c>
      <x:c r="C2478" s="7" t="str">
        <x:v>PEA-B-X1</x:v>
      </x:c>
      <x:c r="D2478" s="7" t="str">
        <x:v>channel instance</x:v>
      </x:c>
      <x:c r="E2478" s="7" t="str">
        <x:v>CH-PEA-B-X1-06-1</x:v>
      </x:c>
      <x:c r="F2478" s="7" t="str">
        <x:f>'Channel Instances'!O901</x:f>
        <x:v>OPEN</x:v>
      </x:c>
    </x:row>
    <x:row r="2479">
      <x:c r="B2479" s="7" t="str">
        <x:v>AG-02473</x:v>
      </x:c>
      <x:c r="C2479" s="7" t="str">
        <x:v>PEA-B-X1</x:v>
      </x:c>
      <x:c r="D2479" s="7" t="str">
        <x:v>channel instance</x:v>
      </x:c>
      <x:c r="E2479" s="7" t="str">
        <x:v>CH-PEA-B-X1-06-2</x:v>
      </x:c>
      <x:c r="F2479" s="7" t="str">
        <x:f>'Channel Instances'!O902</x:f>
        <x:v>OPEN</x:v>
      </x:c>
    </x:row>
    <x:row r="2480">
      <x:c r="B2480" s="7" t="str">
        <x:v>AG-02474</x:v>
      </x:c>
      <x:c r="C2480" s="7" t="str">
        <x:v>PEA-B-X1</x:v>
      </x:c>
      <x:c r="D2480" s="7" t="str">
        <x:v>channel instance</x:v>
      </x:c>
      <x:c r="E2480" s="7" t="str">
        <x:v>CH-PEA-B-X1-06-3</x:v>
      </x:c>
      <x:c r="F2480" s="7" t="str">
        <x:f>'Channel Instances'!O903</x:f>
        <x:v>OPEN</x:v>
      </x:c>
    </x:row>
    <x:row r="2481">
      <x:c r="B2481" s="7" t="str">
        <x:v>AG-02475</x:v>
      </x:c>
      <x:c r="C2481" s="7" t="str">
        <x:v>PEA-B-X1</x:v>
      </x:c>
      <x:c r="D2481" s="7" t="str">
        <x:v>channel instance</x:v>
      </x:c>
      <x:c r="E2481" s="7" t="str">
        <x:v>CH-PEA-B-X1-06-4</x:v>
      </x:c>
      <x:c r="F2481" s="7" t="str">
        <x:f>'Channel Instances'!O904</x:f>
        <x:v>OPEN</x:v>
      </x:c>
    </x:row>
    <x:row r="2482">
      <x:c r="B2482" s="7" t="str">
        <x:v>AG-02476</x:v>
      </x:c>
      <x:c r="C2482" s="7" t="str">
        <x:v>PEA-B-X1</x:v>
      </x:c>
      <x:c r="D2482" s="7" t="str">
        <x:v>channel instance</x:v>
      </x:c>
      <x:c r="E2482" s="7" t="str">
        <x:v>CH-PEA-B-X1-06-5</x:v>
      </x:c>
      <x:c r="F2482" s="7" t="str">
        <x:f>'Channel Instances'!O905</x:f>
        <x:v>OPEN</x:v>
      </x:c>
    </x:row>
    <x:row r="2483">
      <x:c r="B2483" s="7" t="str">
        <x:v>AG-02477</x:v>
      </x:c>
      <x:c r="C2483" s="7" t="str">
        <x:v>PEA-B-X1</x:v>
      </x:c>
      <x:c r="D2483" s="7" t="str">
        <x:v>channel instance</x:v>
      </x:c>
      <x:c r="E2483" s="7" t="str">
        <x:v>CH-PEA-B-X1-06-6</x:v>
      </x:c>
      <x:c r="F2483" s="7" t="str">
        <x:f>'Channel Instances'!O906</x:f>
        <x:v>OPEN</x:v>
      </x:c>
    </x:row>
    <x:row r="2484">
      <x:c r="B2484" s="7" t="str">
        <x:v>AG-02478</x:v>
      </x:c>
      <x:c r="C2484" s="7" t="str">
        <x:v>PEA-B-X1</x:v>
      </x:c>
      <x:c r="D2484" s="7" t="str">
        <x:v>channel instance</x:v>
      </x:c>
      <x:c r="E2484" s="7" t="str">
        <x:v>CH-PEA-B-X1-07-1</x:v>
      </x:c>
      <x:c r="F2484" s="7" t="str">
        <x:f>'Channel Instances'!O907</x:f>
        <x:v>OPEN</x:v>
      </x:c>
    </x:row>
    <x:row r="2485">
      <x:c r="B2485" s="7" t="str">
        <x:v>AG-02479</x:v>
      </x:c>
      <x:c r="C2485" s="7" t="str">
        <x:v>PEA-B-X1</x:v>
      </x:c>
      <x:c r="D2485" s="7" t="str">
        <x:v>channel instance</x:v>
      </x:c>
      <x:c r="E2485" s="7" t="str">
        <x:v>CH-PEA-B-X1-07-2</x:v>
      </x:c>
      <x:c r="F2485" s="7" t="str">
        <x:f>'Channel Instances'!O908</x:f>
        <x:v>OPEN</x:v>
      </x:c>
    </x:row>
    <x:row r="2486">
      <x:c r="B2486" s="7" t="str">
        <x:v>AG-02480</x:v>
      </x:c>
      <x:c r="C2486" s="7" t="str">
        <x:v>PEA-B-X1</x:v>
      </x:c>
      <x:c r="D2486" s="7" t="str">
        <x:v>channel instance</x:v>
      </x:c>
      <x:c r="E2486" s="7" t="str">
        <x:v>CH-PEA-B-X1-07-3</x:v>
      </x:c>
      <x:c r="F2486" s="7" t="str">
        <x:f>'Channel Instances'!O909</x:f>
        <x:v>OPEN</x:v>
      </x:c>
    </x:row>
    <x:row r="2487">
      <x:c r="B2487" s="7" t="str">
        <x:v>AG-02481</x:v>
      </x:c>
      <x:c r="C2487" s="7" t="str">
        <x:v>PEA-B-X1</x:v>
      </x:c>
      <x:c r="D2487" s="7" t="str">
        <x:v>channel instance</x:v>
      </x:c>
      <x:c r="E2487" s="7" t="str">
        <x:v>CH-PEA-B-X1-07-4</x:v>
      </x:c>
      <x:c r="F2487" s="7" t="str">
        <x:f>'Channel Instances'!O910</x:f>
        <x:v>OPEN</x:v>
      </x:c>
    </x:row>
    <x:row r="2488">
      <x:c r="B2488" s="7" t="str">
        <x:v>AG-02482</x:v>
      </x:c>
      <x:c r="C2488" s="7" t="str">
        <x:v>PEA-B-X1</x:v>
      </x:c>
      <x:c r="D2488" s="7" t="str">
        <x:v>channel instance</x:v>
      </x:c>
      <x:c r="E2488" s="7" t="str">
        <x:v>CH-PEA-B-X1-07-5</x:v>
      </x:c>
      <x:c r="F2488" s="7" t="str">
        <x:f>'Channel Instances'!O911</x:f>
        <x:v>OPEN</x:v>
      </x:c>
    </x:row>
    <x:row r="2489">
      <x:c r="B2489" s="7" t="str">
        <x:v>AG-02483</x:v>
      </x:c>
      <x:c r="C2489" s="7" t="str">
        <x:v>PEA-B-X1</x:v>
      </x:c>
      <x:c r="D2489" s="7" t="str">
        <x:v>channel instance</x:v>
      </x:c>
      <x:c r="E2489" s="7" t="str">
        <x:v>CH-PEA-B-X1-07-6</x:v>
      </x:c>
      <x:c r="F2489" s="7" t="str">
        <x:f>'Channel Instances'!O912</x:f>
        <x:v>OPEN</x:v>
      </x:c>
    </x:row>
    <x:row r="2490">
      <x:c r="B2490" s="7" t="str">
        <x:v>AG-02484</x:v>
      </x:c>
      <x:c r="C2490" s="7" t="str">
        <x:v>PEA-B-X1</x:v>
      </x:c>
      <x:c r="D2490" s="7" t="str">
        <x:v>channel instance</x:v>
      </x:c>
      <x:c r="E2490" s="7" t="str">
        <x:v>CH-PEA-B-X1-08-1</x:v>
      </x:c>
      <x:c r="F2490" s="7" t="str">
        <x:f>'Channel Instances'!O913</x:f>
        <x:v>OPEN</x:v>
      </x:c>
    </x:row>
    <x:row r="2491">
      <x:c r="B2491" s="7" t="str">
        <x:v>AG-02485</x:v>
      </x:c>
      <x:c r="C2491" s="7" t="str">
        <x:v>PEA-B-X1</x:v>
      </x:c>
      <x:c r="D2491" s="7" t="str">
        <x:v>channel instance</x:v>
      </x:c>
      <x:c r="E2491" s="7" t="str">
        <x:v>CH-PEA-B-X1-08-2</x:v>
      </x:c>
      <x:c r="F2491" s="7" t="str">
        <x:f>'Channel Instances'!O914</x:f>
        <x:v>OPEN</x:v>
      </x:c>
    </x:row>
    <x:row r="2492">
      <x:c r="B2492" s="7" t="str">
        <x:v>AG-02486</x:v>
      </x:c>
      <x:c r="C2492" s="7" t="str">
        <x:v>PEA-B-X1</x:v>
      </x:c>
      <x:c r="D2492" s="7" t="str">
        <x:v>channel instance</x:v>
      </x:c>
      <x:c r="E2492" s="7" t="str">
        <x:v>CH-PEA-B-X1-08-3</x:v>
      </x:c>
      <x:c r="F2492" s="7" t="str">
        <x:f>'Channel Instances'!O915</x:f>
        <x:v>OPEN</x:v>
      </x:c>
    </x:row>
    <x:row r="2493">
      <x:c r="B2493" s="7" t="str">
        <x:v>AG-02487</x:v>
      </x:c>
      <x:c r="C2493" s="7" t="str">
        <x:v>PEA-B-X1</x:v>
      </x:c>
      <x:c r="D2493" s="7" t="str">
        <x:v>channel instance</x:v>
      </x:c>
      <x:c r="E2493" s="7" t="str">
        <x:v>CH-PEA-B-X1-08-4</x:v>
      </x:c>
      <x:c r="F2493" s="7" t="str">
        <x:f>'Channel Instances'!O916</x:f>
        <x:v>OPEN</x:v>
      </x:c>
    </x:row>
    <x:row r="2494">
      <x:c r="B2494" s="7" t="str">
        <x:v>AG-02488</x:v>
      </x:c>
      <x:c r="C2494" s="7" t="str">
        <x:v>PEA-B-X1</x:v>
      </x:c>
      <x:c r="D2494" s="7" t="str">
        <x:v>channel instance</x:v>
      </x:c>
      <x:c r="E2494" s="7" t="str">
        <x:v>CH-PEA-B-X1-08-5</x:v>
      </x:c>
      <x:c r="F2494" s="7" t="str">
        <x:f>'Channel Instances'!O917</x:f>
        <x:v>OPEN</x:v>
      </x:c>
    </x:row>
    <x:row r="2495">
      <x:c r="B2495" s="7" t="str">
        <x:v>AG-02489</x:v>
      </x:c>
      <x:c r="C2495" s="7" t="str">
        <x:v>PEA-B-X1</x:v>
      </x:c>
      <x:c r="D2495" s="7" t="str">
        <x:v>channel instance</x:v>
      </x:c>
      <x:c r="E2495" s="7" t="str">
        <x:v>CH-PEA-B-X1-08-6</x:v>
      </x:c>
      <x:c r="F2495" s="7" t="str">
        <x:f>'Channel Instances'!O918</x:f>
        <x:v>OPEN</x:v>
      </x:c>
    </x:row>
    <x:row r="2496">
      <x:c r="B2496" s="7" t="str">
        <x:v>AG-02490</x:v>
      </x:c>
      <x:c r="C2496" s="7" t="str">
        <x:v>PEA-B-X1</x:v>
      </x:c>
      <x:c r="D2496" s="7" t="str">
        <x:v>channel instance</x:v>
      </x:c>
      <x:c r="E2496" s="7" t="str">
        <x:v>CH-PEA-B-X1-09-1</x:v>
      </x:c>
      <x:c r="F2496" s="7" t="str">
        <x:f>'Channel Instances'!O919</x:f>
        <x:v>OPEN</x:v>
      </x:c>
    </x:row>
    <x:row r="2497">
      <x:c r="B2497" s="7" t="str">
        <x:v>AG-02491</x:v>
      </x:c>
      <x:c r="C2497" s="7" t="str">
        <x:v>PEA-B-X1</x:v>
      </x:c>
      <x:c r="D2497" s="7" t="str">
        <x:v>channel instance</x:v>
      </x:c>
      <x:c r="E2497" s="7" t="str">
        <x:v>CH-PEA-B-X1-09-2</x:v>
      </x:c>
      <x:c r="F2497" s="7" t="str">
        <x:f>'Channel Instances'!O920</x:f>
        <x:v>OPEN</x:v>
      </x:c>
    </x:row>
    <x:row r="2498">
      <x:c r="B2498" s="7" t="str">
        <x:v>AG-02492</x:v>
      </x:c>
      <x:c r="C2498" s="7" t="str">
        <x:v>PEA-B-X1</x:v>
      </x:c>
      <x:c r="D2498" s="7" t="str">
        <x:v>channel instance</x:v>
      </x:c>
      <x:c r="E2498" s="7" t="str">
        <x:v>CH-PEA-B-X1-09-3</x:v>
      </x:c>
      <x:c r="F2498" s="7" t="str">
        <x:f>'Channel Instances'!O921</x:f>
        <x:v>OPEN</x:v>
      </x:c>
    </x:row>
    <x:row r="2499">
      <x:c r="B2499" s="7" t="str">
        <x:v>AG-02493</x:v>
      </x:c>
      <x:c r="C2499" s="7" t="str">
        <x:v>PEA-B-X1</x:v>
      </x:c>
      <x:c r="D2499" s="7" t="str">
        <x:v>channel instance</x:v>
      </x:c>
      <x:c r="E2499" s="7" t="str">
        <x:v>CH-PEA-B-X1-09-4</x:v>
      </x:c>
      <x:c r="F2499" s="7" t="str">
        <x:f>'Channel Instances'!O922</x:f>
        <x:v>OPEN</x:v>
      </x:c>
    </x:row>
    <x:row r="2500">
      <x:c r="B2500" s="7" t="str">
        <x:v>AG-02494</x:v>
      </x:c>
      <x:c r="C2500" s="7" t="str">
        <x:v>PEA-B-X1</x:v>
      </x:c>
      <x:c r="D2500" s="7" t="str">
        <x:v>channel instance</x:v>
      </x:c>
      <x:c r="E2500" s="7" t="str">
        <x:v>CH-PEA-B-X1-09-5</x:v>
      </x:c>
      <x:c r="F2500" s="7" t="str">
        <x:f>'Channel Instances'!O923</x:f>
        <x:v>OPEN</x:v>
      </x:c>
    </x:row>
    <x:row r="2501">
      <x:c r="B2501" s="7" t="str">
        <x:v>AG-02495</x:v>
      </x:c>
      <x:c r="C2501" s="7" t="str">
        <x:v>PEA-B-X1</x:v>
      </x:c>
      <x:c r="D2501" s="7" t="str">
        <x:v>channel instance</x:v>
      </x:c>
      <x:c r="E2501" s="7" t="str">
        <x:v>CH-PEA-B-X1-09-6</x:v>
      </x:c>
      <x:c r="F2501" s="7" t="str">
        <x:f>'Channel Instances'!O924</x:f>
        <x:v>OPEN</x:v>
      </x:c>
    </x:row>
    <x:row r="2502">
      <x:c r="B2502" s="7" t="str">
        <x:v>AG-02496</x:v>
      </x:c>
      <x:c r="C2502" s="7" t="str">
        <x:v>PEA-B-X1</x:v>
      </x:c>
      <x:c r="D2502" s="7" t="str">
        <x:v>channel instance</x:v>
      </x:c>
      <x:c r="E2502" s="7" t="str">
        <x:v>CH-PEA-B-X1-10-1</x:v>
      </x:c>
      <x:c r="F2502" s="7" t="str">
        <x:f>'Channel Instances'!O925</x:f>
        <x:v>OPEN</x:v>
      </x:c>
    </x:row>
    <x:row r="2503">
      <x:c r="B2503" s="7" t="str">
        <x:v>AG-02497</x:v>
      </x:c>
      <x:c r="C2503" s="7" t="str">
        <x:v>PEA-B-X1</x:v>
      </x:c>
      <x:c r="D2503" s="7" t="str">
        <x:v>channel instance</x:v>
      </x:c>
      <x:c r="E2503" s="7" t="str">
        <x:v>CH-PEA-B-X1-10-2</x:v>
      </x:c>
      <x:c r="F2503" s="7" t="str">
        <x:f>'Channel Instances'!O926</x:f>
        <x:v>OPEN</x:v>
      </x:c>
    </x:row>
    <x:row r="2504">
      <x:c r="B2504" s="7" t="str">
        <x:v>AG-02498</x:v>
      </x:c>
      <x:c r="C2504" s="7" t="str">
        <x:v>PEA-B-X1</x:v>
      </x:c>
      <x:c r="D2504" s="7" t="str">
        <x:v>channel instance</x:v>
      </x:c>
      <x:c r="E2504" s="7" t="str">
        <x:v>CH-PEA-B-X1-10-3</x:v>
      </x:c>
      <x:c r="F2504" s="7" t="str">
        <x:f>'Channel Instances'!O927</x:f>
        <x:v>OPEN</x:v>
      </x:c>
    </x:row>
    <x:row r="2505">
      <x:c r="B2505" s="7" t="str">
        <x:v>AG-02499</x:v>
      </x:c>
      <x:c r="C2505" s="7" t="str">
        <x:v>PEA-B-X1</x:v>
      </x:c>
      <x:c r="D2505" s="7" t="str">
        <x:v>channel instance</x:v>
      </x:c>
      <x:c r="E2505" s="7" t="str">
        <x:v>CH-PEA-B-X1-10-4</x:v>
      </x:c>
      <x:c r="F2505" s="7" t="str">
        <x:f>'Channel Instances'!O928</x:f>
        <x:v>OPEN</x:v>
      </x:c>
    </x:row>
    <x:row r="2506">
      <x:c r="B2506" s="7" t="str">
        <x:v>AG-02500</x:v>
      </x:c>
      <x:c r="C2506" s="7" t="str">
        <x:v>PEA-B-X1</x:v>
      </x:c>
      <x:c r="D2506" s="7" t="str">
        <x:v>channel instance</x:v>
      </x:c>
      <x:c r="E2506" s="7" t="str">
        <x:v>CH-PEA-B-X1-10-5</x:v>
      </x:c>
      <x:c r="F2506" s="7" t="str">
        <x:f>'Channel Instances'!O929</x:f>
        <x:v>OPEN</x:v>
      </x:c>
    </x:row>
    <x:row r="2507">
      <x:c r="B2507" s="7" t="str">
        <x:v>AG-02501</x:v>
      </x:c>
      <x:c r="C2507" s="7" t="str">
        <x:v>PEA-B-X1</x:v>
      </x:c>
      <x:c r="D2507" s="7" t="str">
        <x:v>channel instance</x:v>
      </x:c>
      <x:c r="E2507" s="7" t="str">
        <x:v>CH-PEA-B-X1-10-6</x:v>
      </x:c>
      <x:c r="F2507" s="7" t="str">
        <x:f>'Channel Instances'!O930</x:f>
        <x:v>OPEN</x:v>
      </x:c>
    </x:row>
    <x:row r="2508">
      <x:c r="B2508" s="7" t="str">
        <x:v>AG-02502</x:v>
      </x:c>
      <x:c r="C2508" s="7" t="str">
        <x:v>PEA-B-X1</x:v>
      </x:c>
      <x:c r="D2508" s="7" t="str">
        <x:v>channel instance</x:v>
      </x:c>
      <x:c r="E2508" s="7" t="str">
        <x:v>CH-PEA-B-X1-11-1</x:v>
      </x:c>
      <x:c r="F2508" s="7" t="str">
        <x:f>'Channel Instances'!O931</x:f>
        <x:v>OPEN</x:v>
      </x:c>
    </x:row>
    <x:row r="2509">
      <x:c r="B2509" s="7" t="str">
        <x:v>AG-02503</x:v>
      </x:c>
      <x:c r="C2509" s="7" t="str">
        <x:v>PEA-B-X1</x:v>
      </x:c>
      <x:c r="D2509" s="7" t="str">
        <x:v>channel instance</x:v>
      </x:c>
      <x:c r="E2509" s="7" t="str">
        <x:v>CH-PEA-B-X1-11-2</x:v>
      </x:c>
      <x:c r="F2509" s="7" t="str">
        <x:f>'Channel Instances'!O932</x:f>
        <x:v>OPEN</x:v>
      </x:c>
    </x:row>
    <x:row r="2510">
      <x:c r="B2510" s="7" t="str">
        <x:v>AG-02504</x:v>
      </x:c>
      <x:c r="C2510" s="7" t="str">
        <x:v>PEA-B-X1</x:v>
      </x:c>
      <x:c r="D2510" s="7" t="str">
        <x:v>channel instance</x:v>
      </x:c>
      <x:c r="E2510" s="7" t="str">
        <x:v>CH-PEA-B-X1-11-3</x:v>
      </x:c>
      <x:c r="F2510" s="7" t="str">
        <x:f>'Channel Instances'!O933</x:f>
        <x:v>OPEN</x:v>
      </x:c>
    </x:row>
    <x:row r="2511">
      <x:c r="B2511" s="7" t="str">
        <x:v>AG-02505</x:v>
      </x:c>
      <x:c r="C2511" s="7" t="str">
        <x:v>PEA-B-X1</x:v>
      </x:c>
      <x:c r="D2511" s="7" t="str">
        <x:v>channel instance</x:v>
      </x:c>
      <x:c r="E2511" s="7" t="str">
        <x:v>CH-PEA-B-X1-11-4</x:v>
      </x:c>
      <x:c r="F2511" s="7" t="str">
        <x:f>'Channel Instances'!O934</x:f>
        <x:v>OPEN</x:v>
      </x:c>
    </x:row>
    <x:row r="2512">
      <x:c r="B2512" s="7" t="str">
        <x:v>AG-02506</x:v>
      </x:c>
      <x:c r="C2512" s="7" t="str">
        <x:v>PEA-B-X1</x:v>
      </x:c>
      <x:c r="D2512" s="7" t="str">
        <x:v>channel instance</x:v>
      </x:c>
      <x:c r="E2512" s="7" t="str">
        <x:v>CH-PEA-B-X1-11-5</x:v>
      </x:c>
      <x:c r="F2512" s="7" t="str">
        <x:f>'Channel Instances'!O935</x:f>
        <x:v>OPEN</x:v>
      </x:c>
    </x:row>
    <x:row r="2513">
      <x:c r="B2513" s="7" t="str">
        <x:v>AG-02507</x:v>
      </x:c>
      <x:c r="C2513" s="7" t="str">
        <x:v>PEA-B-X1</x:v>
      </x:c>
      <x:c r="D2513" s="7" t="str">
        <x:v>channel instance</x:v>
      </x:c>
      <x:c r="E2513" s="7" t="str">
        <x:v>CH-PEA-B-X1-11-6</x:v>
      </x:c>
      <x:c r="F2513" s="7" t="str">
        <x:f>'Channel Instances'!O936</x:f>
        <x:v>OPEN</x:v>
      </x:c>
    </x:row>
    <x:row r="2514">
      <x:c r="B2514" s="7" t="str">
        <x:v>AG-02508</x:v>
      </x:c>
      <x:c r="C2514" s="7" t="str">
        <x:v>PEA-B-X1</x:v>
      </x:c>
      <x:c r="D2514" s="7" t="str">
        <x:v>channel instance</x:v>
      </x:c>
      <x:c r="E2514" s="7" t="str">
        <x:v>CH-PEA-B-X1-12-1</x:v>
      </x:c>
      <x:c r="F2514" s="7" t="str">
        <x:f>'Channel Instances'!O937</x:f>
        <x:v>OPEN</x:v>
      </x:c>
    </x:row>
    <x:row r="2515">
      <x:c r="B2515" s="7" t="str">
        <x:v>AG-02509</x:v>
      </x:c>
      <x:c r="C2515" s="7" t="str">
        <x:v>PEA-B-X1</x:v>
      </x:c>
      <x:c r="D2515" s="7" t="str">
        <x:v>channel instance</x:v>
      </x:c>
      <x:c r="E2515" s="7" t="str">
        <x:v>CH-PEA-B-X1-12-2</x:v>
      </x:c>
      <x:c r="F2515" s="7" t="str">
        <x:f>'Channel Instances'!O938</x:f>
        <x:v>OPEN</x:v>
      </x:c>
    </x:row>
    <x:row r="2516">
      <x:c r="B2516" s="7" t="str">
        <x:v>AG-02510</x:v>
      </x:c>
      <x:c r="C2516" s="7" t="str">
        <x:v>PEA-B-X1</x:v>
      </x:c>
      <x:c r="D2516" s="7" t="str">
        <x:v>channel instance</x:v>
      </x:c>
      <x:c r="E2516" s="7" t="str">
        <x:v>CH-PEA-B-X1-12-3</x:v>
      </x:c>
      <x:c r="F2516" s="7" t="str">
        <x:f>'Channel Instances'!O939</x:f>
        <x:v>OPEN</x:v>
      </x:c>
    </x:row>
    <x:row r="2517">
      <x:c r="B2517" s="7" t="str">
        <x:v>AG-02511</x:v>
      </x:c>
      <x:c r="C2517" s="7" t="str">
        <x:v>PEA-B-X1</x:v>
      </x:c>
      <x:c r="D2517" s="7" t="str">
        <x:v>channel instance</x:v>
      </x:c>
      <x:c r="E2517" s="7" t="str">
        <x:v>CH-PEA-B-X1-12-4</x:v>
      </x:c>
      <x:c r="F2517" s="7" t="str">
        <x:f>'Channel Instances'!O940</x:f>
        <x:v>OPEN</x:v>
      </x:c>
    </x:row>
    <x:row r="2518">
      <x:c r="B2518" s="7" t="str">
        <x:v>AG-02512</x:v>
      </x:c>
      <x:c r="C2518" s="7" t="str">
        <x:v>PEA-B-X1</x:v>
      </x:c>
      <x:c r="D2518" s="7" t="str">
        <x:v>channel instance</x:v>
      </x:c>
      <x:c r="E2518" s="7" t="str">
        <x:v>CH-PEA-B-X1-12-5</x:v>
      </x:c>
      <x:c r="F2518" s="7" t="str">
        <x:f>'Channel Instances'!O941</x:f>
        <x:v>OPEN</x:v>
      </x:c>
    </x:row>
    <x:row r="2519">
      <x:c r="B2519" s="7" t="str">
        <x:v>AG-02513</x:v>
      </x:c>
      <x:c r="C2519" s="7" t="str">
        <x:v>PEA-B-X1</x:v>
      </x:c>
      <x:c r="D2519" s="7" t="str">
        <x:v>channel instance</x:v>
      </x:c>
      <x:c r="E2519" s="7" t="str">
        <x:v>CH-PEA-B-X1-12-6</x:v>
      </x:c>
      <x:c r="F2519" s="7" t="str">
        <x:f>'Channel Instances'!O942</x:f>
        <x:v>OPEN</x:v>
      </x:c>
    </x:row>
    <x:row r="2520">
      <x:c r="B2520" s="7" t="str">
        <x:v>AG-02514</x:v>
      </x:c>
      <x:c r="C2520" s="7" t="str">
        <x:v>PEA-B-X1</x:v>
      </x:c>
      <x:c r="D2520" s="7" t="str">
        <x:v>channel instance</x:v>
      </x:c>
      <x:c r="E2520" s="7" t="str">
        <x:v>CH-PEA-B-X1-13-1</x:v>
      </x:c>
      <x:c r="F2520" s="7" t="str">
        <x:f>'Channel Instances'!O943</x:f>
        <x:v>OPEN</x:v>
      </x:c>
    </x:row>
    <x:row r="2521">
      <x:c r="B2521" s="7" t="str">
        <x:v>AG-02515</x:v>
      </x:c>
      <x:c r="C2521" s="7" t="str">
        <x:v>PEA-B-X1</x:v>
      </x:c>
      <x:c r="D2521" s="7" t="str">
        <x:v>channel instance</x:v>
      </x:c>
      <x:c r="E2521" s="7" t="str">
        <x:v>CH-PEA-B-X1-13-2</x:v>
      </x:c>
      <x:c r="F2521" s="7" t="str">
        <x:f>'Channel Instances'!O944</x:f>
        <x:v>OPEN</x:v>
      </x:c>
    </x:row>
    <x:row r="2522">
      <x:c r="B2522" s="7" t="str">
        <x:v>AG-02516</x:v>
      </x:c>
      <x:c r="C2522" s="7" t="str">
        <x:v>PEA-B-X1</x:v>
      </x:c>
      <x:c r="D2522" s="7" t="str">
        <x:v>channel instance</x:v>
      </x:c>
      <x:c r="E2522" s="7" t="str">
        <x:v>CH-PEA-B-X1-13-3</x:v>
      </x:c>
      <x:c r="F2522" s="7" t="str">
        <x:f>'Channel Instances'!O945</x:f>
        <x:v>OPEN</x:v>
      </x:c>
    </x:row>
    <x:row r="2523">
      <x:c r="B2523" s="7" t="str">
        <x:v>AG-02517</x:v>
      </x:c>
      <x:c r="C2523" s="7" t="str">
        <x:v>PEA-B-X1</x:v>
      </x:c>
      <x:c r="D2523" s="7" t="str">
        <x:v>channel instance</x:v>
      </x:c>
      <x:c r="E2523" s="7" t="str">
        <x:v>CH-PEA-B-X1-13-4</x:v>
      </x:c>
      <x:c r="F2523" s="7" t="str">
        <x:f>'Channel Instances'!O946</x:f>
        <x:v>OPEN</x:v>
      </x:c>
    </x:row>
    <x:row r="2524">
      <x:c r="B2524" s="7" t="str">
        <x:v>AG-02518</x:v>
      </x:c>
      <x:c r="C2524" s="7" t="str">
        <x:v>PEA-B-X1</x:v>
      </x:c>
      <x:c r="D2524" s="7" t="str">
        <x:v>channel instance</x:v>
      </x:c>
      <x:c r="E2524" s="7" t="str">
        <x:v>CH-PEA-B-X1-13-5</x:v>
      </x:c>
      <x:c r="F2524" s="7" t="str">
        <x:f>'Channel Instances'!O947</x:f>
        <x:v>OPEN</x:v>
      </x:c>
    </x:row>
    <x:row r="2525">
      <x:c r="B2525" s="7" t="str">
        <x:v>AG-02519</x:v>
      </x:c>
      <x:c r="C2525" s="7" t="str">
        <x:v>PEA-B-X1</x:v>
      </x:c>
      <x:c r="D2525" s="7" t="str">
        <x:v>channel instance</x:v>
      </x:c>
      <x:c r="E2525" s="7" t="str">
        <x:v>CH-PEA-B-X1-13-6</x:v>
      </x:c>
      <x:c r="F2525" s="7" t="str">
        <x:f>'Channel Instances'!O948</x:f>
        <x:v>OPEN</x:v>
      </x:c>
    </x:row>
    <x:row r="2526">
      <x:c r="B2526" s="7" t="str">
        <x:v>AG-02520</x:v>
      </x:c>
      <x:c r="C2526" s="7" t="str">
        <x:v>PEA-B-X1</x:v>
      </x:c>
      <x:c r="D2526" s="7" t="str">
        <x:v>channel instance</x:v>
      </x:c>
      <x:c r="E2526" s="7" t="str">
        <x:v>CH-PEA-B-X1-14-1</x:v>
      </x:c>
      <x:c r="F2526" s="7" t="str">
        <x:f>'Channel Instances'!O949</x:f>
        <x:v>OPEN</x:v>
      </x:c>
    </x:row>
    <x:row r="2527">
      <x:c r="B2527" s="7" t="str">
        <x:v>AG-02521</x:v>
      </x:c>
      <x:c r="C2527" s="7" t="str">
        <x:v>PEA-B-X1</x:v>
      </x:c>
      <x:c r="D2527" s="7" t="str">
        <x:v>channel instance</x:v>
      </x:c>
      <x:c r="E2527" s="7" t="str">
        <x:v>CH-PEA-B-X1-14-2</x:v>
      </x:c>
      <x:c r="F2527" s="7" t="str">
        <x:f>'Channel Instances'!O950</x:f>
        <x:v>OPEN</x:v>
      </x:c>
    </x:row>
    <x:row r="2528">
      <x:c r="B2528" s="7" t="str">
        <x:v>AG-02522</x:v>
      </x:c>
      <x:c r="C2528" s="7" t="str">
        <x:v>PEA-B-X1</x:v>
      </x:c>
      <x:c r="D2528" s="7" t="str">
        <x:v>channel instance</x:v>
      </x:c>
      <x:c r="E2528" s="7" t="str">
        <x:v>CH-PEA-B-X1-14-3</x:v>
      </x:c>
      <x:c r="F2528" s="7" t="str">
        <x:f>'Channel Instances'!O951</x:f>
        <x:v>OPEN</x:v>
      </x:c>
    </x:row>
    <x:row r="2529">
      <x:c r="B2529" s="7" t="str">
        <x:v>AG-02523</x:v>
      </x:c>
      <x:c r="C2529" s="7" t="str">
        <x:v>PEA-B-X1</x:v>
      </x:c>
      <x:c r="D2529" s="7" t="str">
        <x:v>channel instance</x:v>
      </x:c>
      <x:c r="E2529" s="7" t="str">
        <x:v>CH-PEA-B-X1-14-4</x:v>
      </x:c>
      <x:c r="F2529" s="7" t="str">
        <x:f>'Channel Instances'!O952</x:f>
        <x:v>OPEN</x:v>
      </x:c>
    </x:row>
    <x:row r="2530">
      <x:c r="B2530" s="7" t="str">
        <x:v>AG-02524</x:v>
      </x:c>
      <x:c r="C2530" s="7" t="str">
        <x:v>PEA-B-X1</x:v>
      </x:c>
      <x:c r="D2530" s="7" t="str">
        <x:v>channel instance</x:v>
      </x:c>
      <x:c r="E2530" s="7" t="str">
        <x:v>CH-PEA-B-X1-14-5</x:v>
      </x:c>
      <x:c r="F2530" s="7" t="str">
        <x:f>'Channel Instances'!O953</x:f>
        <x:v>OPEN</x:v>
      </x:c>
    </x:row>
    <x:row r="2531">
      <x:c r="B2531" s="7" t="str">
        <x:v>AG-02525</x:v>
      </x:c>
      <x:c r="C2531" s="7" t="str">
        <x:v>PEA-B-X1</x:v>
      </x:c>
      <x:c r="D2531" s="7" t="str">
        <x:v>channel instance</x:v>
      </x:c>
      <x:c r="E2531" s="7" t="str">
        <x:v>CH-PEA-B-X1-14-6</x:v>
      </x:c>
      <x:c r="F2531" s="7" t="str">
        <x:f>'Channel Instances'!O954</x:f>
        <x:v>OPEN</x:v>
      </x:c>
    </x:row>
    <x:row r="2532">
      <x:c r="B2532" s="7" t="str">
        <x:v>AG-02526</x:v>
      </x:c>
      <x:c r="C2532" s="7" t="str">
        <x:v>PEA-B-X1</x:v>
      </x:c>
      <x:c r="D2532" s="7" t="str">
        <x:v>channel instance</x:v>
      </x:c>
      <x:c r="E2532" s="7" t="str">
        <x:v>CH-PEA-B-X1-15-1</x:v>
      </x:c>
      <x:c r="F2532" s="7" t="str">
        <x:f>'Channel Instances'!O955</x:f>
        <x:v>OPEN</x:v>
      </x:c>
    </x:row>
    <x:row r="2533">
      <x:c r="B2533" s="7" t="str">
        <x:v>AG-02527</x:v>
      </x:c>
      <x:c r="C2533" s="7" t="str">
        <x:v>PEA-B-X1</x:v>
      </x:c>
      <x:c r="D2533" s="7" t="str">
        <x:v>channel instance</x:v>
      </x:c>
      <x:c r="E2533" s="7" t="str">
        <x:v>CH-PEA-B-X1-15-2</x:v>
      </x:c>
      <x:c r="F2533" s="7" t="str">
        <x:f>'Channel Instances'!O956</x:f>
        <x:v>OPEN</x:v>
      </x:c>
    </x:row>
    <x:row r="2534">
      <x:c r="B2534" s="7" t="str">
        <x:v>AG-02528</x:v>
      </x:c>
      <x:c r="C2534" s="7" t="str">
        <x:v>PEA-B-X1</x:v>
      </x:c>
      <x:c r="D2534" s="7" t="str">
        <x:v>channel instance</x:v>
      </x:c>
      <x:c r="E2534" s="7" t="str">
        <x:v>CH-PEA-B-X1-15-3</x:v>
      </x:c>
      <x:c r="F2534" s="7" t="str">
        <x:f>'Channel Instances'!O957</x:f>
        <x:v>OPEN</x:v>
      </x:c>
    </x:row>
    <x:row r="2535">
      <x:c r="B2535" s="7" t="str">
        <x:v>AG-02529</x:v>
      </x:c>
      <x:c r="C2535" s="7" t="str">
        <x:v>PEA-B-X1</x:v>
      </x:c>
      <x:c r="D2535" s="7" t="str">
        <x:v>channel instance</x:v>
      </x:c>
      <x:c r="E2535" s="7" t="str">
        <x:v>CH-PEA-B-X1-15-4</x:v>
      </x:c>
      <x:c r="F2535" s="7" t="str">
        <x:f>'Channel Instances'!O958</x:f>
        <x:v>OPEN</x:v>
      </x:c>
    </x:row>
    <x:row r="2536">
      <x:c r="B2536" s="7" t="str">
        <x:v>AG-02530</x:v>
      </x:c>
      <x:c r="C2536" s="7" t="str">
        <x:v>PEA-B-X1</x:v>
      </x:c>
      <x:c r="D2536" s="7" t="str">
        <x:v>channel instance</x:v>
      </x:c>
      <x:c r="E2536" s="7" t="str">
        <x:v>CH-PEA-B-X1-15-5</x:v>
      </x:c>
      <x:c r="F2536" s="7" t="str">
        <x:f>'Channel Instances'!O959</x:f>
        <x:v>OPEN</x:v>
      </x:c>
    </x:row>
    <x:row r="2537">
      <x:c r="B2537" s="7" t="str">
        <x:v>AG-02531</x:v>
      </x:c>
      <x:c r="C2537" s="7" t="str">
        <x:v>PEA-B-X1</x:v>
      </x:c>
      <x:c r="D2537" s="7" t="str">
        <x:v>channel instance</x:v>
      </x:c>
      <x:c r="E2537" s="7" t="str">
        <x:v>CH-PEA-B-X1-15-6</x:v>
      </x:c>
      <x:c r="F2537" s="7" t="str">
        <x:f>'Channel Instances'!O960</x:f>
        <x:v>OPEN</x:v>
      </x:c>
    </x:row>
    <x:row r="2538">
      <x:c r="B2538" s="7" t="str">
        <x:v>AG-02532</x:v>
      </x:c>
      <x:c r="C2538" s="7" t="str">
        <x:v>PEA-B-X1</x:v>
      </x:c>
      <x:c r="D2538" s="7" t="str">
        <x:v>channel instance</x:v>
      </x:c>
      <x:c r="E2538" s="7" t="str">
        <x:v>CH-PEA-B-X1-16-1</x:v>
      </x:c>
      <x:c r="F2538" s="7" t="str">
        <x:f>'Channel Instances'!O961</x:f>
        <x:v>OPEN</x:v>
      </x:c>
    </x:row>
    <x:row r="2539">
      <x:c r="B2539" s="7" t="str">
        <x:v>AG-02533</x:v>
      </x:c>
      <x:c r="C2539" s="7" t="str">
        <x:v>PEA-B-X1</x:v>
      </x:c>
      <x:c r="D2539" s="7" t="str">
        <x:v>channel instance</x:v>
      </x:c>
      <x:c r="E2539" s="7" t="str">
        <x:v>CH-PEA-B-X1-16-2</x:v>
      </x:c>
      <x:c r="F2539" s="7" t="str">
        <x:f>'Channel Instances'!O962</x:f>
        <x:v>OPEN</x:v>
      </x:c>
    </x:row>
    <x:row r="2540">
      <x:c r="B2540" s="7" t="str">
        <x:v>AG-02534</x:v>
      </x:c>
      <x:c r="C2540" s="7" t="str">
        <x:v>PEA-B-X1</x:v>
      </x:c>
      <x:c r="D2540" s="7" t="str">
        <x:v>channel instance</x:v>
      </x:c>
      <x:c r="E2540" s="7" t="str">
        <x:v>CH-PEA-B-X1-16-3</x:v>
      </x:c>
      <x:c r="F2540" s="7" t="str">
        <x:f>'Channel Instances'!O963</x:f>
        <x:v>OPEN</x:v>
      </x:c>
    </x:row>
    <x:row r="2541">
      <x:c r="B2541" s="7" t="str">
        <x:v>AG-02535</x:v>
      </x:c>
      <x:c r="C2541" s="7" t="str">
        <x:v>PEA-B-X1</x:v>
      </x:c>
      <x:c r="D2541" s="7" t="str">
        <x:v>channel instance</x:v>
      </x:c>
      <x:c r="E2541" s="7" t="str">
        <x:v>CH-PEA-B-X1-16-4</x:v>
      </x:c>
      <x:c r="F2541" s="7" t="str">
        <x:f>'Channel Instances'!O964</x:f>
        <x:v>OPEN</x:v>
      </x:c>
    </x:row>
    <x:row r="2542">
      <x:c r="B2542" s="7" t="str">
        <x:v>AG-02536</x:v>
      </x:c>
      <x:c r="C2542" s="7" t="str">
        <x:v>PEA-B-X1</x:v>
      </x:c>
      <x:c r="D2542" s="7" t="str">
        <x:v>channel instance</x:v>
      </x:c>
      <x:c r="E2542" s="7" t="str">
        <x:v>CH-PEA-B-X1-16-5</x:v>
      </x:c>
      <x:c r="F2542" s="7" t="str">
        <x:f>'Channel Instances'!O965</x:f>
        <x:v>OPEN</x:v>
      </x:c>
    </x:row>
    <x:row r="2543">
      <x:c r="B2543" s="7" t="str">
        <x:v>AG-02537</x:v>
      </x:c>
      <x:c r="C2543" s="7" t="str">
        <x:v>PEA-B-X1</x:v>
      </x:c>
      <x:c r="D2543" s="7" t="str">
        <x:v>channel instance</x:v>
      </x:c>
      <x:c r="E2543" s="7" t="str">
        <x:v>CH-PEA-B-X1-16-6</x:v>
      </x:c>
      <x:c r="F2543" s="7" t="str">
        <x:f>'Channel Instances'!O966</x:f>
        <x:v>OPEN</x:v>
      </x:c>
    </x:row>
    <x:row r="2544">
      <x:c r="B2544" s="7" t="str">
        <x:v>AG-02538</x:v>
      </x:c>
      <x:c r="C2544" s="7" t="str">
        <x:v>PEA-B-X1</x:v>
      </x:c>
      <x:c r="D2544" s="7" t="str">
        <x:v>channel instance</x:v>
      </x:c>
      <x:c r="E2544" s="7" t="str">
        <x:v>CH-PEA-B-X1-17-1</x:v>
      </x:c>
      <x:c r="F2544" s="7" t="str">
        <x:f>'Channel Instances'!O967</x:f>
        <x:v>OPEN</x:v>
      </x:c>
    </x:row>
    <x:row r="2545">
      <x:c r="B2545" s="7" t="str">
        <x:v>AG-02539</x:v>
      </x:c>
      <x:c r="C2545" s="7" t="str">
        <x:v>PEA-B-X1</x:v>
      </x:c>
      <x:c r="D2545" s="7" t="str">
        <x:v>channel instance</x:v>
      </x:c>
      <x:c r="E2545" s="7" t="str">
        <x:v>CH-PEA-B-X1-17-2</x:v>
      </x:c>
      <x:c r="F2545" s="7" t="str">
        <x:f>'Channel Instances'!O968</x:f>
        <x:v>OPEN</x:v>
      </x:c>
    </x:row>
    <x:row r="2546">
      <x:c r="B2546" s="7" t="str">
        <x:v>AG-02540</x:v>
      </x:c>
      <x:c r="C2546" s="7" t="str">
        <x:v>PEA-B-X1</x:v>
      </x:c>
      <x:c r="D2546" s="7" t="str">
        <x:v>channel instance</x:v>
      </x:c>
      <x:c r="E2546" s="7" t="str">
        <x:v>CH-PEA-B-X1-17-3</x:v>
      </x:c>
      <x:c r="F2546" s="7" t="str">
        <x:f>'Channel Instances'!O969</x:f>
        <x:v>OPEN</x:v>
      </x:c>
    </x:row>
    <x:row r="2547">
      <x:c r="B2547" s="7" t="str">
        <x:v>AG-02541</x:v>
      </x:c>
      <x:c r="C2547" s="7" t="str">
        <x:v>PEA-B-X1</x:v>
      </x:c>
      <x:c r="D2547" s="7" t="str">
        <x:v>channel instance</x:v>
      </x:c>
      <x:c r="E2547" s="7" t="str">
        <x:v>CH-PEA-B-X1-17-4</x:v>
      </x:c>
      <x:c r="F2547" s="7" t="str">
        <x:f>'Channel Instances'!O970</x:f>
        <x:v>OPEN</x:v>
      </x:c>
    </x:row>
    <x:row r="2548">
      <x:c r="B2548" s="7" t="str">
        <x:v>AG-02542</x:v>
      </x:c>
      <x:c r="C2548" s="7" t="str">
        <x:v>PEA-B-X1</x:v>
      </x:c>
      <x:c r="D2548" s="7" t="str">
        <x:v>channel instance</x:v>
      </x:c>
      <x:c r="E2548" s="7" t="str">
        <x:v>CH-PEA-B-X1-17-5</x:v>
      </x:c>
      <x:c r="F2548" s="7" t="str">
        <x:f>'Channel Instances'!O971</x:f>
        <x:v>OPEN</x:v>
      </x:c>
    </x:row>
    <x:row r="2549">
      <x:c r="B2549" s="7" t="str">
        <x:v>AG-02543</x:v>
      </x:c>
      <x:c r="C2549" s="7" t="str">
        <x:v>PEA-B-X1</x:v>
      </x:c>
      <x:c r="D2549" s="7" t="str">
        <x:v>channel instance</x:v>
      </x:c>
      <x:c r="E2549" s="7" t="str">
        <x:v>CH-PEA-B-X1-17-6</x:v>
      </x:c>
      <x:c r="F2549" s="7" t="str">
        <x:f>'Channel Instances'!O972</x:f>
        <x:v>OPEN</x:v>
      </x:c>
    </x:row>
    <x:row r="2550">
      <x:c r="B2550" s="7" t="str">
        <x:v>AG-02544</x:v>
      </x:c>
      <x:c r="C2550" s="7" t="str">
        <x:v>PEA-B-X1</x:v>
      </x:c>
      <x:c r="D2550" s="7" t="str">
        <x:v>channel instance</x:v>
      </x:c>
      <x:c r="E2550" s="7" t="str">
        <x:v>CH-PEA-B-X1-18-1</x:v>
      </x:c>
      <x:c r="F2550" s="7" t="str">
        <x:f>'Channel Instances'!O973</x:f>
        <x:v>OPEN</x:v>
      </x:c>
    </x:row>
    <x:row r="2551">
      <x:c r="B2551" s="7" t="str">
        <x:v>AG-02545</x:v>
      </x:c>
      <x:c r="C2551" s="7" t="str">
        <x:v>PEA-B-X1</x:v>
      </x:c>
      <x:c r="D2551" s="7" t="str">
        <x:v>channel instance</x:v>
      </x:c>
      <x:c r="E2551" s="7" t="str">
        <x:v>CH-PEA-B-X1-18-2</x:v>
      </x:c>
      <x:c r="F2551" s="7" t="str">
        <x:f>'Channel Instances'!O974</x:f>
        <x:v>OPEN</x:v>
      </x:c>
    </x:row>
    <x:row r="2552">
      <x:c r="B2552" s="7" t="str">
        <x:v>AG-02546</x:v>
      </x:c>
      <x:c r="C2552" s="7" t="str">
        <x:v>PEA-B-X1</x:v>
      </x:c>
      <x:c r="D2552" s="7" t="str">
        <x:v>channel instance</x:v>
      </x:c>
      <x:c r="E2552" s="7" t="str">
        <x:v>CH-PEA-B-X1-18-3</x:v>
      </x:c>
      <x:c r="F2552" s="7" t="str">
        <x:f>'Channel Instances'!O975</x:f>
        <x:v>OPEN</x:v>
      </x:c>
    </x:row>
    <x:row r="2553">
      <x:c r="B2553" s="7" t="str">
        <x:v>AG-02547</x:v>
      </x:c>
      <x:c r="C2553" s="7" t="str">
        <x:v>PEA-B-X1</x:v>
      </x:c>
      <x:c r="D2553" s="7" t="str">
        <x:v>channel instance</x:v>
      </x:c>
      <x:c r="E2553" s="7" t="str">
        <x:v>CH-PEA-B-X1-18-4</x:v>
      </x:c>
      <x:c r="F2553" s="7" t="str">
        <x:f>'Channel Instances'!O976</x:f>
        <x:v>OPEN</x:v>
      </x:c>
    </x:row>
    <x:row r="2554">
      <x:c r="B2554" s="7" t="str">
        <x:v>AG-02548</x:v>
      </x:c>
      <x:c r="C2554" s="7" t="str">
        <x:v>PEA-B-X1</x:v>
      </x:c>
      <x:c r="D2554" s="7" t="str">
        <x:v>channel instance</x:v>
      </x:c>
      <x:c r="E2554" s="7" t="str">
        <x:v>CH-PEA-B-X1-18-5</x:v>
      </x:c>
      <x:c r="F2554" s="7" t="str">
        <x:f>'Channel Instances'!O977</x:f>
        <x:v>OPEN</x:v>
      </x:c>
    </x:row>
    <x:row r="2555">
      <x:c r="B2555" s="7" t="str">
        <x:v>AG-02549</x:v>
      </x:c>
      <x:c r="C2555" s="7" t="str">
        <x:v>PEA-B-X1</x:v>
      </x:c>
      <x:c r="D2555" s="7" t="str">
        <x:v>channel instance</x:v>
      </x:c>
      <x:c r="E2555" s="7" t="str">
        <x:v>CH-PEA-B-X1-18-6</x:v>
      </x:c>
      <x:c r="F2555" s="7" t="str">
        <x:f>'Channel Instances'!O978</x:f>
        <x:v>OPEN</x:v>
      </x:c>
    </x:row>
    <x:row r="2556">
      <x:c r="B2556" s="7" t="str">
        <x:v>AG-02550</x:v>
      </x:c>
      <x:c r="C2556" s="7" t="str">
        <x:v>PEA-B-X1</x:v>
      </x:c>
      <x:c r="D2556" s="7" t="str">
        <x:v>channel instance</x:v>
      </x:c>
      <x:c r="E2556" s="7" t="str">
        <x:v>CH-PEA-B-X1-19-1</x:v>
      </x:c>
      <x:c r="F2556" s="7" t="str">
        <x:f>'Channel Instances'!O979</x:f>
        <x:v>OPEN</x:v>
      </x:c>
    </x:row>
    <x:row r="2557">
      <x:c r="B2557" s="7" t="str">
        <x:v>AG-02551</x:v>
      </x:c>
      <x:c r="C2557" s="7" t="str">
        <x:v>PEA-B-X1</x:v>
      </x:c>
      <x:c r="D2557" s="7" t="str">
        <x:v>channel instance</x:v>
      </x:c>
      <x:c r="E2557" s="7" t="str">
        <x:v>CH-PEA-B-X1-19-2</x:v>
      </x:c>
      <x:c r="F2557" s="7" t="str">
        <x:f>'Channel Instances'!O980</x:f>
        <x:v>OPEN</x:v>
      </x:c>
    </x:row>
    <x:row r="2558">
      <x:c r="B2558" s="7" t="str">
        <x:v>AG-02552</x:v>
      </x:c>
      <x:c r="C2558" s="7" t="str">
        <x:v>PEA-B-X1</x:v>
      </x:c>
      <x:c r="D2558" s="7" t="str">
        <x:v>channel instance</x:v>
      </x:c>
      <x:c r="E2558" s="7" t="str">
        <x:v>CH-PEA-B-X1-19-3</x:v>
      </x:c>
      <x:c r="F2558" s="7" t="str">
        <x:f>'Channel Instances'!O981</x:f>
        <x:v>OPEN</x:v>
      </x:c>
    </x:row>
    <x:row r="2559">
      <x:c r="B2559" s="7" t="str">
        <x:v>AG-02553</x:v>
      </x:c>
      <x:c r="C2559" s="7" t="str">
        <x:v>PEA-B-X1</x:v>
      </x:c>
      <x:c r="D2559" s="7" t="str">
        <x:v>channel instance</x:v>
      </x:c>
      <x:c r="E2559" s="7" t="str">
        <x:v>CH-PEA-B-X1-19-4</x:v>
      </x:c>
      <x:c r="F2559" s="7" t="str">
        <x:f>'Channel Instances'!O982</x:f>
        <x:v>OPEN</x:v>
      </x:c>
    </x:row>
    <x:row r="2560">
      <x:c r="B2560" s="7" t="str">
        <x:v>AG-02554</x:v>
      </x:c>
      <x:c r="C2560" s="7" t="str">
        <x:v>PEA-B-X1</x:v>
      </x:c>
      <x:c r="D2560" s="7" t="str">
        <x:v>channel instance</x:v>
      </x:c>
      <x:c r="E2560" s="7" t="str">
        <x:v>CH-PEA-B-X1-19-5</x:v>
      </x:c>
      <x:c r="F2560" s="7" t="str">
        <x:f>'Channel Instances'!O983</x:f>
        <x:v>OPEN</x:v>
      </x:c>
    </x:row>
    <x:row r="2561">
      <x:c r="B2561" s="7" t="str">
        <x:v>AG-02555</x:v>
      </x:c>
      <x:c r="C2561" s="7" t="str">
        <x:v>PEA-B-X1</x:v>
      </x:c>
      <x:c r="D2561" s="7" t="str">
        <x:v>channel instance</x:v>
      </x:c>
      <x:c r="E2561" s="7" t="str">
        <x:v>CH-PEA-B-X1-19-6</x:v>
      </x:c>
      <x:c r="F2561" s="7" t="str">
        <x:f>'Channel Instances'!O984</x:f>
        <x:v>OPEN</x:v>
      </x:c>
    </x:row>
    <x:row r="2562">
      <x:c r="B2562" s="7" t="str">
        <x:v>AG-02556</x:v>
      </x:c>
      <x:c r="C2562" s="7" t="str">
        <x:v>PEA-B-X1</x:v>
      </x:c>
      <x:c r="D2562" s="7" t="str">
        <x:v>channel instance</x:v>
      </x:c>
      <x:c r="E2562" s="7" t="str">
        <x:v>CH-PEA-B-X1-20-1</x:v>
      </x:c>
      <x:c r="F2562" s="7" t="str">
        <x:f>'Channel Instances'!O985</x:f>
        <x:v>OPEN</x:v>
      </x:c>
    </x:row>
    <x:row r="2563">
      <x:c r="B2563" s="7" t="str">
        <x:v>AG-02557</x:v>
      </x:c>
      <x:c r="C2563" s="7" t="str">
        <x:v>PEA-B-X1</x:v>
      </x:c>
      <x:c r="D2563" s="7" t="str">
        <x:v>channel instance</x:v>
      </x:c>
      <x:c r="E2563" s="7" t="str">
        <x:v>CH-PEA-B-X1-20-2</x:v>
      </x:c>
      <x:c r="F2563" s="7" t="str">
        <x:f>'Channel Instances'!O986</x:f>
        <x:v>OPEN</x:v>
      </x:c>
    </x:row>
    <x:row r="2564">
      <x:c r="B2564" s="7" t="str">
        <x:v>AG-02558</x:v>
      </x:c>
      <x:c r="C2564" s="7" t="str">
        <x:v>PEA-B-X1</x:v>
      </x:c>
      <x:c r="D2564" s="7" t="str">
        <x:v>channel instance</x:v>
      </x:c>
      <x:c r="E2564" s="7" t="str">
        <x:v>CH-PEA-B-X1-20-3</x:v>
      </x:c>
      <x:c r="F2564" s="7" t="str">
        <x:f>'Channel Instances'!O987</x:f>
        <x:v>OPEN</x:v>
      </x:c>
    </x:row>
    <x:row r="2565">
      <x:c r="B2565" s="7" t="str">
        <x:v>AG-02559</x:v>
      </x:c>
      <x:c r="C2565" s="7" t="str">
        <x:v>PEA-B-X1</x:v>
      </x:c>
      <x:c r="D2565" s="7" t="str">
        <x:v>channel instance</x:v>
      </x:c>
      <x:c r="E2565" s="7" t="str">
        <x:v>CH-PEA-B-X1-20-4</x:v>
      </x:c>
      <x:c r="F2565" s="7" t="str">
        <x:f>'Channel Instances'!O988</x:f>
        <x:v>OPEN</x:v>
      </x:c>
    </x:row>
    <x:row r="2566">
      <x:c r="B2566" s="7" t="str">
        <x:v>AG-02560</x:v>
      </x:c>
      <x:c r="C2566" s="7" t="str">
        <x:v>PEA-B-X1</x:v>
      </x:c>
      <x:c r="D2566" s="7" t="str">
        <x:v>channel instance</x:v>
      </x:c>
      <x:c r="E2566" s="7" t="str">
        <x:v>CH-PEA-B-X1-20-5</x:v>
      </x:c>
      <x:c r="F2566" s="7" t="str">
        <x:f>'Channel Instances'!O989</x:f>
        <x:v>OPEN</x:v>
      </x:c>
    </x:row>
    <x:row r="2567">
      <x:c r="B2567" s="7" t="str">
        <x:v>AG-02561</x:v>
      </x:c>
      <x:c r="C2567" s="7" t="str">
        <x:v>PEA-B-X1</x:v>
      </x:c>
      <x:c r="D2567" s="7" t="str">
        <x:v>channel instance</x:v>
      </x:c>
      <x:c r="E2567" s="7" t="str">
        <x:v>CH-PEA-B-X1-20-6</x:v>
      </x:c>
      <x:c r="F2567" s="7" t="str">
        <x:f>'Channel Instances'!O990</x:f>
        <x:v>OPEN</x:v>
      </x:c>
    </x:row>
    <x:row r="2568">
      <x:c r="B2568" s="7" t="str">
        <x:v>AG-02562</x:v>
      </x:c>
      <x:c r="C2568" s="7" t="str">
        <x:v>PEA-B-X1</x:v>
      </x:c>
      <x:c r="D2568" s="7" t="str">
        <x:v>channel instance</x:v>
      </x:c>
      <x:c r="E2568" s="7" t="str">
        <x:v>CH-PEA-B-X1-21-1</x:v>
      </x:c>
      <x:c r="F2568" s="7" t="str">
        <x:f>'Channel Instances'!O991</x:f>
        <x:v>OPEN</x:v>
      </x:c>
    </x:row>
    <x:row r="2569">
      <x:c r="B2569" s="7" t="str">
        <x:v>AG-02563</x:v>
      </x:c>
      <x:c r="C2569" s="7" t="str">
        <x:v>PEA-B-X1</x:v>
      </x:c>
      <x:c r="D2569" s="7" t="str">
        <x:v>channel instance</x:v>
      </x:c>
      <x:c r="E2569" s="7" t="str">
        <x:v>CH-PEA-B-X1-21-2</x:v>
      </x:c>
      <x:c r="F2569" s="7" t="str">
        <x:f>'Channel Instances'!O992</x:f>
        <x:v>OPEN</x:v>
      </x:c>
    </x:row>
    <x:row r="2570">
      <x:c r="B2570" s="7" t="str">
        <x:v>AG-02564</x:v>
      </x:c>
      <x:c r="C2570" s="7" t="str">
        <x:v>PEA-B-X1</x:v>
      </x:c>
      <x:c r="D2570" s="7" t="str">
        <x:v>channel instance</x:v>
      </x:c>
      <x:c r="E2570" s="7" t="str">
        <x:v>CH-PEA-B-X1-21-3</x:v>
      </x:c>
      <x:c r="F2570" s="7" t="str">
        <x:f>'Channel Instances'!O993</x:f>
        <x:v>OPEN</x:v>
      </x:c>
    </x:row>
    <x:row r="2571">
      <x:c r="B2571" s="7" t="str">
        <x:v>AG-02565</x:v>
      </x:c>
      <x:c r="C2571" s="7" t="str">
        <x:v>PEA-B-X1</x:v>
      </x:c>
      <x:c r="D2571" s="7" t="str">
        <x:v>channel instance</x:v>
      </x:c>
      <x:c r="E2571" s="7" t="str">
        <x:v>CH-PEA-B-X1-21-4</x:v>
      </x:c>
      <x:c r="F2571" s="7" t="str">
        <x:f>'Channel Instances'!O994</x:f>
        <x:v>OPEN</x:v>
      </x:c>
    </x:row>
    <x:row r="2572">
      <x:c r="B2572" s="7" t="str">
        <x:v>AG-02566</x:v>
      </x:c>
      <x:c r="C2572" s="7" t="str">
        <x:v>PEA-B-X1</x:v>
      </x:c>
      <x:c r="D2572" s="7" t="str">
        <x:v>channel instance</x:v>
      </x:c>
      <x:c r="E2572" s="7" t="str">
        <x:v>CH-PEA-B-X1-21-5</x:v>
      </x:c>
      <x:c r="F2572" s="7" t="str">
        <x:f>'Channel Instances'!O995</x:f>
        <x:v>OPEN</x:v>
      </x:c>
    </x:row>
    <x:row r="2573">
      <x:c r="B2573" s="7" t="str">
        <x:v>AG-02567</x:v>
      </x:c>
      <x:c r="C2573" s="7" t="str">
        <x:v>PEA-B-X1</x:v>
      </x:c>
      <x:c r="D2573" s="7" t="str">
        <x:v>channel instance</x:v>
      </x:c>
      <x:c r="E2573" s="7" t="str">
        <x:v>CH-PEA-B-X1-21-6</x:v>
      </x:c>
      <x:c r="F2573" s="7" t="str">
        <x:f>'Channel Instances'!O996</x:f>
        <x:v>OPEN</x:v>
      </x:c>
    </x:row>
    <x:row r="2574">
      <x:c r="B2574" s="7" t="str">
        <x:v>AG-02568</x:v>
      </x:c>
      <x:c r="C2574" s="7" t="str">
        <x:v>PEA-B-X1</x:v>
      </x:c>
      <x:c r="D2574" s="7" t="str">
        <x:v>channel instance</x:v>
      </x:c>
      <x:c r="E2574" s="7" t="str">
        <x:v>CH-PEA-B-X1-22-1</x:v>
      </x:c>
      <x:c r="F2574" s="7" t="str">
        <x:f>'Channel Instances'!O997</x:f>
        <x:v>OPEN</x:v>
      </x:c>
    </x:row>
    <x:row r="2575">
      <x:c r="B2575" s="7" t="str">
        <x:v>AG-02569</x:v>
      </x:c>
      <x:c r="C2575" s="7" t="str">
        <x:v>PEA-B-X1</x:v>
      </x:c>
      <x:c r="D2575" s="7" t="str">
        <x:v>channel instance</x:v>
      </x:c>
      <x:c r="E2575" s="7" t="str">
        <x:v>CH-PEA-B-X1-22-2</x:v>
      </x:c>
      <x:c r="F2575" s="7" t="str">
        <x:f>'Channel Instances'!O998</x:f>
        <x:v>OPEN</x:v>
      </x:c>
    </x:row>
    <x:row r="2576">
      <x:c r="B2576" s="7" t="str">
        <x:v>AG-02570</x:v>
      </x:c>
      <x:c r="C2576" s="7" t="str">
        <x:v>PEA-B-X1</x:v>
      </x:c>
      <x:c r="D2576" s="7" t="str">
        <x:v>channel instance</x:v>
      </x:c>
      <x:c r="E2576" s="7" t="str">
        <x:v>CH-PEA-B-X1-22-3</x:v>
      </x:c>
      <x:c r="F2576" s="7" t="str">
        <x:f>'Channel Instances'!O999</x:f>
        <x:v>OPEN</x:v>
      </x:c>
    </x:row>
    <x:row r="2577">
      <x:c r="B2577" s="7" t="str">
        <x:v>AG-02571</x:v>
      </x:c>
      <x:c r="C2577" s="7" t="str">
        <x:v>PEA-B-X1</x:v>
      </x:c>
      <x:c r="D2577" s="7" t="str">
        <x:v>channel instance</x:v>
      </x:c>
      <x:c r="E2577" s="7" t="str">
        <x:v>CH-PEA-B-X1-22-4</x:v>
      </x:c>
      <x:c r="F2577" s="7" t="str">
        <x:f>'Channel Instances'!O1000</x:f>
        <x:v>OPEN</x:v>
      </x:c>
    </x:row>
    <x:row r="2578">
      <x:c r="B2578" s="7" t="str">
        <x:v>AG-02572</x:v>
      </x:c>
      <x:c r="C2578" s="7" t="str">
        <x:v>PEA-B-X1</x:v>
      </x:c>
      <x:c r="D2578" s="7" t="str">
        <x:v>channel instance</x:v>
      </x:c>
      <x:c r="E2578" s="7" t="str">
        <x:v>CH-PEA-B-X1-22-5</x:v>
      </x:c>
      <x:c r="F2578" s="7" t="str">
        <x:f>'Channel Instances'!O1001</x:f>
        <x:v>OPEN</x:v>
      </x:c>
    </x:row>
    <x:row r="2579">
      <x:c r="B2579" s="7" t="str">
        <x:v>AG-02573</x:v>
      </x:c>
      <x:c r="C2579" s="7" t="str">
        <x:v>PEA-B-X1</x:v>
      </x:c>
      <x:c r="D2579" s="7" t="str">
        <x:v>channel instance</x:v>
      </x:c>
      <x:c r="E2579" s="7" t="str">
        <x:v>CH-PEA-B-X1-22-6</x:v>
      </x:c>
      <x:c r="F2579" s="7" t="str">
        <x:f>'Channel Instances'!O1002</x:f>
        <x:v>OPEN</x:v>
      </x:c>
    </x:row>
    <x:row r="2580">
      <x:c r="B2580" s="7" t="str">
        <x:v>AG-02574</x:v>
      </x:c>
      <x:c r="C2580" s="7" t="str">
        <x:v>PEA-B-X1</x:v>
      </x:c>
      <x:c r="D2580" s="7" t="str">
        <x:v>channel instance</x:v>
      </x:c>
      <x:c r="E2580" s="7" t="str">
        <x:v>CH-PEA-B-X1-23-1</x:v>
      </x:c>
      <x:c r="F2580" s="7" t="str">
        <x:f>'Channel Instances'!O1003</x:f>
        <x:v>OPEN</x:v>
      </x:c>
    </x:row>
    <x:row r="2581">
      <x:c r="B2581" s="7" t="str">
        <x:v>AG-02575</x:v>
      </x:c>
      <x:c r="C2581" s="7" t="str">
        <x:v>PEA-B-X1</x:v>
      </x:c>
      <x:c r="D2581" s="7" t="str">
        <x:v>channel instance</x:v>
      </x:c>
      <x:c r="E2581" s="7" t="str">
        <x:v>CH-PEA-B-X1-23-2</x:v>
      </x:c>
      <x:c r="F2581" s="7" t="str">
        <x:f>'Channel Instances'!O1004</x:f>
        <x:v>OPEN</x:v>
      </x:c>
    </x:row>
    <x:row r="2582">
      <x:c r="B2582" s="7" t="str">
        <x:v>AG-02576</x:v>
      </x:c>
      <x:c r="C2582" s="7" t="str">
        <x:v>PEA-B-X1</x:v>
      </x:c>
      <x:c r="D2582" s="7" t="str">
        <x:v>channel instance</x:v>
      </x:c>
      <x:c r="E2582" s="7" t="str">
        <x:v>CH-PEA-B-X1-23-3</x:v>
      </x:c>
      <x:c r="F2582" s="7" t="str">
        <x:f>'Channel Instances'!O1005</x:f>
        <x:v>OPEN</x:v>
      </x:c>
    </x:row>
    <x:row r="2583">
      <x:c r="B2583" s="7" t="str">
        <x:v>AG-02577</x:v>
      </x:c>
      <x:c r="C2583" s="7" t="str">
        <x:v>PEA-B-X1</x:v>
      </x:c>
      <x:c r="D2583" s="7" t="str">
        <x:v>channel instance</x:v>
      </x:c>
      <x:c r="E2583" s="7" t="str">
        <x:v>CH-PEA-B-X1-23-4</x:v>
      </x:c>
      <x:c r="F2583" s="7" t="str">
        <x:f>'Channel Instances'!O1006</x:f>
        <x:v>OPEN</x:v>
      </x:c>
    </x:row>
    <x:row r="2584">
      <x:c r="B2584" s="7" t="str">
        <x:v>AG-02578</x:v>
      </x:c>
      <x:c r="C2584" s="7" t="str">
        <x:v>PEA-B-X1</x:v>
      </x:c>
      <x:c r="D2584" s="7" t="str">
        <x:v>channel instance</x:v>
      </x:c>
      <x:c r="E2584" s="7" t="str">
        <x:v>CH-PEA-B-X1-23-5</x:v>
      </x:c>
      <x:c r="F2584" s="7" t="str">
        <x:f>'Channel Instances'!O1007</x:f>
        <x:v>OPEN</x:v>
      </x:c>
    </x:row>
    <x:row r="2585">
      <x:c r="B2585" s="7" t="str">
        <x:v>AG-02579</x:v>
      </x:c>
      <x:c r="C2585" s="7" t="str">
        <x:v>PEA-B-X1</x:v>
      </x:c>
      <x:c r="D2585" s="7" t="str">
        <x:v>channel instance</x:v>
      </x:c>
      <x:c r="E2585" s="7" t="str">
        <x:v>CH-PEA-B-X1-23-6</x:v>
      </x:c>
      <x:c r="F2585" s="7" t="str">
        <x:f>'Channel Instances'!O1008</x:f>
        <x:v>OPEN</x:v>
      </x:c>
    </x:row>
    <x:row r="2586">
      <x:c r="B2586" s="7" t="str">
        <x:v>AG-02580</x:v>
      </x:c>
      <x:c r="C2586" s="7" t="str">
        <x:v>PEA-B-X1</x:v>
      </x:c>
      <x:c r="D2586" s="7" t="str">
        <x:v>channel instance</x:v>
      </x:c>
      <x:c r="E2586" s="7" t="str">
        <x:v>CH-PEA-B-X1-24-1</x:v>
      </x:c>
      <x:c r="F2586" s="7" t="str">
        <x:f>'Channel Instances'!O1009</x:f>
        <x:v>OPEN</x:v>
      </x:c>
    </x:row>
    <x:row r="2587">
      <x:c r="B2587" s="7" t="str">
        <x:v>AG-02581</x:v>
      </x:c>
      <x:c r="C2587" s="7" t="str">
        <x:v>PEA-B-X1</x:v>
      </x:c>
      <x:c r="D2587" s="7" t="str">
        <x:v>channel instance</x:v>
      </x:c>
      <x:c r="E2587" s="7" t="str">
        <x:v>CH-PEA-B-X1-24-2</x:v>
      </x:c>
      <x:c r="F2587" s="7" t="str">
        <x:f>'Channel Instances'!O1010</x:f>
        <x:v>OPEN</x:v>
      </x:c>
    </x:row>
    <x:row r="2588">
      <x:c r="B2588" s="7" t="str">
        <x:v>AG-02582</x:v>
      </x:c>
      <x:c r="C2588" s="7" t="str">
        <x:v>PEA-B-X1</x:v>
      </x:c>
      <x:c r="D2588" s="7" t="str">
        <x:v>channel instance</x:v>
      </x:c>
      <x:c r="E2588" s="7" t="str">
        <x:v>CH-PEA-B-X1-24-3</x:v>
      </x:c>
      <x:c r="F2588" s="7" t="str">
        <x:f>'Channel Instances'!O1011</x:f>
        <x:v>OPEN</x:v>
      </x:c>
    </x:row>
    <x:row r="2589">
      <x:c r="B2589" s="7" t="str">
        <x:v>AG-02583</x:v>
      </x:c>
      <x:c r="C2589" s="7" t="str">
        <x:v>PEA-B-X1</x:v>
      </x:c>
      <x:c r="D2589" s="7" t="str">
        <x:v>channel instance</x:v>
      </x:c>
      <x:c r="E2589" s="7" t="str">
        <x:v>CH-PEA-B-X1-24-4</x:v>
      </x:c>
      <x:c r="F2589" s="7" t="str">
        <x:f>'Channel Instances'!O1012</x:f>
        <x:v>OPEN</x:v>
      </x:c>
    </x:row>
    <x:row r="2590">
      <x:c r="B2590" s="7" t="str">
        <x:v>AG-02584</x:v>
      </x:c>
      <x:c r="C2590" s="7" t="str">
        <x:v>PEA-B-X1</x:v>
      </x:c>
      <x:c r="D2590" s="7" t="str">
        <x:v>channel instance</x:v>
      </x:c>
      <x:c r="E2590" s="7" t="str">
        <x:v>CH-PEA-B-X1-24-5</x:v>
      </x:c>
      <x:c r="F2590" s="7" t="str">
        <x:f>'Channel Instances'!O1013</x:f>
        <x:v>OPEN</x:v>
      </x:c>
    </x:row>
    <x:row r="2591">
      <x:c r="B2591" s="7" t="str">
        <x:v>AG-02585</x:v>
      </x:c>
      <x:c r="C2591" s="7" t="str">
        <x:v>PEA-B-X1</x:v>
      </x:c>
      <x:c r="D2591" s="7" t="str">
        <x:v>channel instance</x:v>
      </x:c>
      <x:c r="E2591" s="7" t="str">
        <x:v>CH-PEA-B-X1-24-6</x:v>
      </x:c>
      <x:c r="F2591" s="7" t="str">
        <x:f>'Channel Instances'!O1014</x:f>
        <x:v>OPEN</x:v>
      </x:c>
    </x:row>
    <x:row r="2592">
      <x:c r="B2592" s="7" t="str">
        <x:v>AG-02586</x:v>
      </x:c>
      <x:c r="C2592" s="7" t="str">
        <x:v>PEA-B-X1</x:v>
      </x:c>
      <x:c r="D2592" s="7" t="str">
        <x:v>factory calibration</x:v>
      </x:c>
      <x:c r="E2592" s="7" t="str">
        <x:v>CAL-CH-PEA-B-X1-01-1</x:v>
      </x:c>
      <x:c r="F2592" s="7" t="str">
        <x:f>'Calibration Records'!M871</x:f>
        <x:v>OPEN</x:v>
      </x:c>
    </x:row>
    <x:row r="2593">
      <x:c r="B2593" s="7" t="str">
        <x:v>AG-02587</x:v>
      </x:c>
      <x:c r="C2593" s="7" t="str">
        <x:v>PEA-B-X1</x:v>
      </x:c>
      <x:c r="D2593" s="7" t="str">
        <x:v>factory calibration</x:v>
      </x:c>
      <x:c r="E2593" s="7" t="str">
        <x:v>CAL-CH-PEA-B-X1-01-2</x:v>
      </x:c>
      <x:c r="F2593" s="7" t="str">
        <x:f>'Calibration Records'!M872</x:f>
        <x:v>OPEN</x:v>
      </x:c>
    </x:row>
    <x:row r="2594">
      <x:c r="B2594" s="7" t="str">
        <x:v>AG-02588</x:v>
      </x:c>
      <x:c r="C2594" s="7" t="str">
        <x:v>PEA-B-X1</x:v>
      </x:c>
      <x:c r="D2594" s="7" t="str">
        <x:v>factory calibration</x:v>
      </x:c>
      <x:c r="E2594" s="7" t="str">
        <x:v>CAL-CH-PEA-B-X1-01-3</x:v>
      </x:c>
      <x:c r="F2594" s="7" t="str">
        <x:f>'Calibration Records'!M873</x:f>
        <x:v>OPEN</x:v>
      </x:c>
    </x:row>
    <x:row r="2595">
      <x:c r="B2595" s="7" t="str">
        <x:v>AG-02589</x:v>
      </x:c>
      <x:c r="C2595" s="7" t="str">
        <x:v>PEA-B-X1</x:v>
      </x:c>
      <x:c r="D2595" s="7" t="str">
        <x:v>factory calibration</x:v>
      </x:c>
      <x:c r="E2595" s="7" t="str">
        <x:v>CAL-CH-PEA-B-X1-01-4</x:v>
      </x:c>
      <x:c r="F2595" s="7" t="str">
        <x:f>'Calibration Records'!M874</x:f>
        <x:v>OPEN</x:v>
      </x:c>
    </x:row>
    <x:row r="2596">
      <x:c r="B2596" s="7" t="str">
        <x:v>AG-02590</x:v>
      </x:c>
      <x:c r="C2596" s="7" t="str">
        <x:v>PEA-B-X1</x:v>
      </x:c>
      <x:c r="D2596" s="7" t="str">
        <x:v>factory calibration</x:v>
      </x:c>
      <x:c r="E2596" s="7" t="str">
        <x:v>CAL-CH-PEA-B-X1-01-5</x:v>
      </x:c>
      <x:c r="F2596" s="7" t="str">
        <x:f>'Calibration Records'!M875</x:f>
        <x:v>OPEN</x:v>
      </x:c>
    </x:row>
    <x:row r="2597">
      <x:c r="B2597" s="7" t="str">
        <x:v>AG-02591</x:v>
      </x:c>
      <x:c r="C2597" s="7" t="str">
        <x:v>PEA-B-X1</x:v>
      </x:c>
      <x:c r="D2597" s="7" t="str">
        <x:v>factory calibration</x:v>
      </x:c>
      <x:c r="E2597" s="7" t="str">
        <x:v>CAL-CH-PEA-B-X1-01-6</x:v>
      </x:c>
      <x:c r="F2597" s="7" t="str">
        <x:f>'Calibration Records'!M876</x:f>
        <x:v>OPEN</x:v>
      </x:c>
    </x:row>
    <x:row r="2598">
      <x:c r="B2598" s="7" t="str">
        <x:v>AG-02592</x:v>
      </x:c>
      <x:c r="C2598" s="7" t="str">
        <x:v>PEA-B-X1</x:v>
      </x:c>
      <x:c r="D2598" s="7" t="str">
        <x:v>factory calibration</x:v>
      </x:c>
      <x:c r="E2598" s="7" t="str">
        <x:v>CAL-CH-PEA-B-X1-02-1</x:v>
      </x:c>
      <x:c r="F2598" s="7" t="str">
        <x:f>'Calibration Records'!M877</x:f>
        <x:v>OPEN</x:v>
      </x:c>
    </x:row>
    <x:row r="2599">
      <x:c r="B2599" s="7" t="str">
        <x:v>AG-02593</x:v>
      </x:c>
      <x:c r="C2599" s="7" t="str">
        <x:v>PEA-B-X1</x:v>
      </x:c>
      <x:c r="D2599" s="7" t="str">
        <x:v>factory calibration</x:v>
      </x:c>
      <x:c r="E2599" s="7" t="str">
        <x:v>CAL-CH-PEA-B-X1-02-2</x:v>
      </x:c>
      <x:c r="F2599" s="7" t="str">
        <x:f>'Calibration Records'!M878</x:f>
        <x:v>OPEN</x:v>
      </x:c>
    </x:row>
    <x:row r="2600">
      <x:c r="B2600" s="7" t="str">
        <x:v>AG-02594</x:v>
      </x:c>
      <x:c r="C2600" s="7" t="str">
        <x:v>PEA-B-X1</x:v>
      </x:c>
      <x:c r="D2600" s="7" t="str">
        <x:v>factory calibration</x:v>
      </x:c>
      <x:c r="E2600" s="7" t="str">
        <x:v>CAL-CH-PEA-B-X1-02-3</x:v>
      </x:c>
      <x:c r="F2600" s="7" t="str">
        <x:f>'Calibration Records'!M879</x:f>
        <x:v>OPEN</x:v>
      </x:c>
    </x:row>
    <x:row r="2601">
      <x:c r="B2601" s="7" t="str">
        <x:v>AG-02595</x:v>
      </x:c>
      <x:c r="C2601" s="7" t="str">
        <x:v>PEA-B-X1</x:v>
      </x:c>
      <x:c r="D2601" s="7" t="str">
        <x:v>factory calibration</x:v>
      </x:c>
      <x:c r="E2601" s="7" t="str">
        <x:v>CAL-CH-PEA-B-X1-02-4</x:v>
      </x:c>
      <x:c r="F2601" s="7" t="str">
        <x:f>'Calibration Records'!M880</x:f>
        <x:v>OPEN</x:v>
      </x:c>
    </x:row>
    <x:row r="2602">
      <x:c r="B2602" s="7" t="str">
        <x:v>AG-02596</x:v>
      </x:c>
      <x:c r="C2602" s="7" t="str">
        <x:v>PEA-B-X1</x:v>
      </x:c>
      <x:c r="D2602" s="7" t="str">
        <x:v>factory calibration</x:v>
      </x:c>
      <x:c r="E2602" s="7" t="str">
        <x:v>CAL-CH-PEA-B-X1-02-5</x:v>
      </x:c>
      <x:c r="F2602" s="7" t="str">
        <x:f>'Calibration Records'!M881</x:f>
        <x:v>OPEN</x:v>
      </x:c>
    </x:row>
    <x:row r="2603">
      <x:c r="B2603" s="7" t="str">
        <x:v>AG-02597</x:v>
      </x:c>
      <x:c r="C2603" s="7" t="str">
        <x:v>PEA-B-X1</x:v>
      </x:c>
      <x:c r="D2603" s="7" t="str">
        <x:v>factory calibration</x:v>
      </x:c>
      <x:c r="E2603" s="7" t="str">
        <x:v>CAL-CH-PEA-B-X1-02-6</x:v>
      </x:c>
      <x:c r="F2603" s="7" t="str">
        <x:f>'Calibration Records'!M882</x:f>
        <x:v>OPEN</x:v>
      </x:c>
    </x:row>
    <x:row r="2604">
      <x:c r="B2604" s="7" t="str">
        <x:v>AG-02598</x:v>
      </x:c>
      <x:c r="C2604" s="7" t="str">
        <x:v>PEA-B-X1</x:v>
      </x:c>
      <x:c r="D2604" s="7" t="str">
        <x:v>factory calibration</x:v>
      </x:c>
      <x:c r="E2604" s="7" t="str">
        <x:v>CAL-CH-PEA-B-X1-03-1</x:v>
      </x:c>
      <x:c r="F2604" s="7" t="str">
        <x:f>'Calibration Records'!M883</x:f>
        <x:v>OPEN</x:v>
      </x:c>
    </x:row>
    <x:row r="2605">
      <x:c r="B2605" s="7" t="str">
        <x:v>AG-02599</x:v>
      </x:c>
      <x:c r="C2605" s="7" t="str">
        <x:v>PEA-B-X1</x:v>
      </x:c>
      <x:c r="D2605" s="7" t="str">
        <x:v>factory calibration</x:v>
      </x:c>
      <x:c r="E2605" s="7" t="str">
        <x:v>CAL-CH-PEA-B-X1-03-2</x:v>
      </x:c>
      <x:c r="F2605" s="7" t="str">
        <x:f>'Calibration Records'!M884</x:f>
        <x:v>OPEN</x:v>
      </x:c>
    </x:row>
    <x:row r="2606">
      <x:c r="B2606" s="7" t="str">
        <x:v>AG-02600</x:v>
      </x:c>
      <x:c r="C2606" s="7" t="str">
        <x:v>PEA-B-X1</x:v>
      </x:c>
      <x:c r="D2606" s="7" t="str">
        <x:v>factory calibration</x:v>
      </x:c>
      <x:c r="E2606" s="7" t="str">
        <x:v>CAL-CH-PEA-B-X1-03-3</x:v>
      </x:c>
      <x:c r="F2606" s="7" t="str">
        <x:f>'Calibration Records'!M885</x:f>
        <x:v>OPEN</x:v>
      </x:c>
    </x:row>
    <x:row r="2607">
      <x:c r="B2607" s="7" t="str">
        <x:v>AG-02601</x:v>
      </x:c>
      <x:c r="C2607" s="7" t="str">
        <x:v>PEA-B-X1</x:v>
      </x:c>
      <x:c r="D2607" s="7" t="str">
        <x:v>factory calibration</x:v>
      </x:c>
      <x:c r="E2607" s="7" t="str">
        <x:v>CAL-CH-PEA-B-X1-03-4</x:v>
      </x:c>
      <x:c r="F2607" s="7" t="str">
        <x:f>'Calibration Records'!M886</x:f>
        <x:v>OPEN</x:v>
      </x:c>
    </x:row>
    <x:row r="2608">
      <x:c r="B2608" s="7" t="str">
        <x:v>AG-02602</x:v>
      </x:c>
      <x:c r="C2608" s="7" t="str">
        <x:v>PEA-B-X1</x:v>
      </x:c>
      <x:c r="D2608" s="7" t="str">
        <x:v>factory calibration</x:v>
      </x:c>
      <x:c r="E2608" s="7" t="str">
        <x:v>CAL-CH-PEA-B-X1-03-5</x:v>
      </x:c>
      <x:c r="F2608" s="7" t="str">
        <x:f>'Calibration Records'!M887</x:f>
        <x:v>OPEN</x:v>
      </x:c>
    </x:row>
    <x:row r="2609">
      <x:c r="B2609" s="7" t="str">
        <x:v>AG-02603</x:v>
      </x:c>
      <x:c r="C2609" s="7" t="str">
        <x:v>PEA-B-X1</x:v>
      </x:c>
      <x:c r="D2609" s="7" t="str">
        <x:v>factory calibration</x:v>
      </x:c>
      <x:c r="E2609" s="7" t="str">
        <x:v>CAL-CH-PEA-B-X1-03-6</x:v>
      </x:c>
      <x:c r="F2609" s="7" t="str">
        <x:f>'Calibration Records'!M888</x:f>
        <x:v>OPEN</x:v>
      </x:c>
    </x:row>
    <x:row r="2610">
      <x:c r="B2610" s="7" t="str">
        <x:v>AG-02604</x:v>
      </x:c>
      <x:c r="C2610" s="7" t="str">
        <x:v>PEA-B-X1</x:v>
      </x:c>
      <x:c r="D2610" s="7" t="str">
        <x:v>factory calibration</x:v>
      </x:c>
      <x:c r="E2610" s="7" t="str">
        <x:v>CAL-CH-PEA-B-X1-04-1</x:v>
      </x:c>
      <x:c r="F2610" s="7" t="str">
        <x:f>'Calibration Records'!M889</x:f>
        <x:v>OPEN</x:v>
      </x:c>
    </x:row>
    <x:row r="2611">
      <x:c r="B2611" s="7" t="str">
        <x:v>AG-02605</x:v>
      </x:c>
      <x:c r="C2611" s="7" t="str">
        <x:v>PEA-B-X1</x:v>
      </x:c>
      <x:c r="D2611" s="7" t="str">
        <x:v>factory calibration</x:v>
      </x:c>
      <x:c r="E2611" s="7" t="str">
        <x:v>CAL-CH-PEA-B-X1-04-2</x:v>
      </x:c>
      <x:c r="F2611" s="7" t="str">
        <x:f>'Calibration Records'!M890</x:f>
        <x:v>OPEN</x:v>
      </x:c>
    </x:row>
    <x:row r="2612">
      <x:c r="B2612" s="7" t="str">
        <x:v>AG-02606</x:v>
      </x:c>
      <x:c r="C2612" s="7" t="str">
        <x:v>PEA-B-X1</x:v>
      </x:c>
      <x:c r="D2612" s="7" t="str">
        <x:v>factory calibration</x:v>
      </x:c>
      <x:c r="E2612" s="7" t="str">
        <x:v>CAL-CH-PEA-B-X1-04-3</x:v>
      </x:c>
      <x:c r="F2612" s="7" t="str">
        <x:f>'Calibration Records'!M891</x:f>
        <x:v>OPEN</x:v>
      </x:c>
    </x:row>
    <x:row r="2613">
      <x:c r="B2613" s="7" t="str">
        <x:v>AG-02607</x:v>
      </x:c>
      <x:c r="C2613" s="7" t="str">
        <x:v>PEA-B-X1</x:v>
      </x:c>
      <x:c r="D2613" s="7" t="str">
        <x:v>factory calibration</x:v>
      </x:c>
      <x:c r="E2613" s="7" t="str">
        <x:v>CAL-CH-PEA-B-X1-04-4</x:v>
      </x:c>
      <x:c r="F2613" s="7" t="str">
        <x:f>'Calibration Records'!M892</x:f>
        <x:v>OPEN</x:v>
      </x:c>
    </x:row>
    <x:row r="2614">
      <x:c r="B2614" s="7" t="str">
        <x:v>AG-02608</x:v>
      </x:c>
      <x:c r="C2614" s="7" t="str">
        <x:v>PEA-B-X1</x:v>
      </x:c>
      <x:c r="D2614" s="7" t="str">
        <x:v>factory calibration</x:v>
      </x:c>
      <x:c r="E2614" s="7" t="str">
        <x:v>CAL-CH-PEA-B-X1-04-5</x:v>
      </x:c>
      <x:c r="F2614" s="7" t="str">
        <x:f>'Calibration Records'!M893</x:f>
        <x:v>OPEN</x:v>
      </x:c>
    </x:row>
    <x:row r="2615">
      <x:c r="B2615" s="7" t="str">
        <x:v>AG-02609</x:v>
      </x:c>
      <x:c r="C2615" s="7" t="str">
        <x:v>PEA-B-X1</x:v>
      </x:c>
      <x:c r="D2615" s="7" t="str">
        <x:v>factory calibration</x:v>
      </x:c>
      <x:c r="E2615" s="7" t="str">
        <x:v>CAL-CH-PEA-B-X1-04-6</x:v>
      </x:c>
      <x:c r="F2615" s="7" t="str">
        <x:f>'Calibration Records'!M894</x:f>
        <x:v>OPEN</x:v>
      </x:c>
    </x:row>
    <x:row r="2616">
      <x:c r="B2616" s="7" t="str">
        <x:v>AG-02610</x:v>
      </x:c>
      <x:c r="C2616" s="7" t="str">
        <x:v>PEA-B-X1</x:v>
      </x:c>
      <x:c r="D2616" s="7" t="str">
        <x:v>factory calibration</x:v>
      </x:c>
      <x:c r="E2616" s="7" t="str">
        <x:v>CAL-CH-PEA-B-X1-05-1</x:v>
      </x:c>
      <x:c r="F2616" s="7" t="str">
        <x:f>'Calibration Records'!M895</x:f>
        <x:v>OPEN</x:v>
      </x:c>
    </x:row>
    <x:row r="2617">
      <x:c r="B2617" s="7" t="str">
        <x:v>AG-02611</x:v>
      </x:c>
      <x:c r="C2617" s="7" t="str">
        <x:v>PEA-B-X1</x:v>
      </x:c>
      <x:c r="D2617" s="7" t="str">
        <x:v>factory calibration</x:v>
      </x:c>
      <x:c r="E2617" s="7" t="str">
        <x:v>CAL-CH-PEA-B-X1-05-2</x:v>
      </x:c>
      <x:c r="F2617" s="7" t="str">
        <x:f>'Calibration Records'!M896</x:f>
        <x:v>OPEN</x:v>
      </x:c>
    </x:row>
    <x:row r="2618">
      <x:c r="B2618" s="7" t="str">
        <x:v>AG-02612</x:v>
      </x:c>
      <x:c r="C2618" s="7" t="str">
        <x:v>PEA-B-X1</x:v>
      </x:c>
      <x:c r="D2618" s="7" t="str">
        <x:v>factory calibration</x:v>
      </x:c>
      <x:c r="E2618" s="7" t="str">
        <x:v>CAL-CH-PEA-B-X1-05-3</x:v>
      </x:c>
      <x:c r="F2618" s="7" t="str">
        <x:f>'Calibration Records'!M897</x:f>
        <x:v>OPEN</x:v>
      </x:c>
    </x:row>
    <x:row r="2619">
      <x:c r="B2619" s="7" t="str">
        <x:v>AG-02613</x:v>
      </x:c>
      <x:c r="C2619" s="7" t="str">
        <x:v>PEA-B-X1</x:v>
      </x:c>
      <x:c r="D2619" s="7" t="str">
        <x:v>factory calibration</x:v>
      </x:c>
      <x:c r="E2619" s="7" t="str">
        <x:v>CAL-CH-PEA-B-X1-05-4</x:v>
      </x:c>
      <x:c r="F2619" s="7" t="str">
        <x:f>'Calibration Records'!M898</x:f>
        <x:v>OPEN</x:v>
      </x:c>
    </x:row>
    <x:row r="2620">
      <x:c r="B2620" s="7" t="str">
        <x:v>AG-02614</x:v>
      </x:c>
      <x:c r="C2620" s="7" t="str">
        <x:v>PEA-B-X1</x:v>
      </x:c>
      <x:c r="D2620" s="7" t="str">
        <x:v>factory calibration</x:v>
      </x:c>
      <x:c r="E2620" s="7" t="str">
        <x:v>CAL-CH-PEA-B-X1-05-5</x:v>
      </x:c>
      <x:c r="F2620" s="7" t="str">
        <x:f>'Calibration Records'!M899</x:f>
        <x:v>OPEN</x:v>
      </x:c>
    </x:row>
    <x:row r="2621">
      <x:c r="B2621" s="7" t="str">
        <x:v>AG-02615</x:v>
      </x:c>
      <x:c r="C2621" s="7" t="str">
        <x:v>PEA-B-X1</x:v>
      </x:c>
      <x:c r="D2621" s="7" t="str">
        <x:v>factory calibration</x:v>
      </x:c>
      <x:c r="E2621" s="7" t="str">
        <x:v>CAL-CH-PEA-B-X1-05-6</x:v>
      </x:c>
      <x:c r="F2621" s="7" t="str">
        <x:f>'Calibration Records'!M900</x:f>
        <x:v>OPEN</x:v>
      </x:c>
    </x:row>
    <x:row r="2622">
      <x:c r="B2622" s="7" t="str">
        <x:v>AG-02616</x:v>
      </x:c>
      <x:c r="C2622" s="7" t="str">
        <x:v>PEA-B-X1</x:v>
      </x:c>
      <x:c r="D2622" s="7" t="str">
        <x:v>factory calibration</x:v>
      </x:c>
      <x:c r="E2622" s="7" t="str">
        <x:v>CAL-CH-PEA-B-X1-06-1</x:v>
      </x:c>
      <x:c r="F2622" s="7" t="str">
        <x:f>'Calibration Records'!M901</x:f>
        <x:v>OPEN</x:v>
      </x:c>
    </x:row>
    <x:row r="2623">
      <x:c r="B2623" s="7" t="str">
        <x:v>AG-02617</x:v>
      </x:c>
      <x:c r="C2623" s="7" t="str">
        <x:v>PEA-B-X1</x:v>
      </x:c>
      <x:c r="D2623" s="7" t="str">
        <x:v>factory calibration</x:v>
      </x:c>
      <x:c r="E2623" s="7" t="str">
        <x:v>CAL-CH-PEA-B-X1-06-2</x:v>
      </x:c>
      <x:c r="F2623" s="7" t="str">
        <x:f>'Calibration Records'!M902</x:f>
        <x:v>OPEN</x:v>
      </x:c>
    </x:row>
    <x:row r="2624">
      <x:c r="B2624" s="7" t="str">
        <x:v>AG-02618</x:v>
      </x:c>
      <x:c r="C2624" s="7" t="str">
        <x:v>PEA-B-X1</x:v>
      </x:c>
      <x:c r="D2624" s="7" t="str">
        <x:v>factory calibration</x:v>
      </x:c>
      <x:c r="E2624" s="7" t="str">
        <x:v>CAL-CH-PEA-B-X1-06-3</x:v>
      </x:c>
      <x:c r="F2624" s="7" t="str">
        <x:f>'Calibration Records'!M903</x:f>
        <x:v>OPEN</x:v>
      </x:c>
    </x:row>
    <x:row r="2625">
      <x:c r="B2625" s="7" t="str">
        <x:v>AG-02619</x:v>
      </x:c>
      <x:c r="C2625" s="7" t="str">
        <x:v>PEA-B-X1</x:v>
      </x:c>
      <x:c r="D2625" s="7" t="str">
        <x:v>factory calibration</x:v>
      </x:c>
      <x:c r="E2625" s="7" t="str">
        <x:v>CAL-CH-PEA-B-X1-06-4</x:v>
      </x:c>
      <x:c r="F2625" s="7" t="str">
        <x:f>'Calibration Records'!M904</x:f>
        <x:v>OPEN</x:v>
      </x:c>
    </x:row>
    <x:row r="2626">
      <x:c r="B2626" s="7" t="str">
        <x:v>AG-02620</x:v>
      </x:c>
      <x:c r="C2626" s="7" t="str">
        <x:v>PEA-B-X1</x:v>
      </x:c>
      <x:c r="D2626" s="7" t="str">
        <x:v>factory calibration</x:v>
      </x:c>
      <x:c r="E2626" s="7" t="str">
        <x:v>CAL-CH-PEA-B-X1-06-5</x:v>
      </x:c>
      <x:c r="F2626" s="7" t="str">
        <x:f>'Calibration Records'!M905</x:f>
        <x:v>OPEN</x:v>
      </x:c>
    </x:row>
    <x:row r="2627">
      <x:c r="B2627" s="7" t="str">
        <x:v>AG-02621</x:v>
      </x:c>
      <x:c r="C2627" s="7" t="str">
        <x:v>PEA-B-X1</x:v>
      </x:c>
      <x:c r="D2627" s="7" t="str">
        <x:v>factory calibration</x:v>
      </x:c>
      <x:c r="E2627" s="7" t="str">
        <x:v>CAL-CH-PEA-B-X1-06-6</x:v>
      </x:c>
      <x:c r="F2627" s="7" t="str">
        <x:f>'Calibration Records'!M906</x:f>
        <x:v>OPEN</x:v>
      </x:c>
    </x:row>
    <x:row r="2628">
      <x:c r="B2628" s="7" t="str">
        <x:v>AG-02622</x:v>
      </x:c>
      <x:c r="C2628" s="7" t="str">
        <x:v>PEA-B-X1</x:v>
      </x:c>
      <x:c r="D2628" s="7" t="str">
        <x:v>factory calibration</x:v>
      </x:c>
      <x:c r="E2628" s="7" t="str">
        <x:v>CAL-CH-PEA-B-X1-07-1</x:v>
      </x:c>
      <x:c r="F2628" s="7" t="str">
        <x:f>'Calibration Records'!M907</x:f>
        <x:v>OPEN</x:v>
      </x:c>
    </x:row>
    <x:row r="2629">
      <x:c r="B2629" s="7" t="str">
        <x:v>AG-02623</x:v>
      </x:c>
      <x:c r="C2629" s="7" t="str">
        <x:v>PEA-B-X1</x:v>
      </x:c>
      <x:c r="D2629" s="7" t="str">
        <x:v>factory calibration</x:v>
      </x:c>
      <x:c r="E2629" s="7" t="str">
        <x:v>CAL-CH-PEA-B-X1-07-2</x:v>
      </x:c>
      <x:c r="F2629" s="7" t="str">
        <x:f>'Calibration Records'!M908</x:f>
        <x:v>OPEN</x:v>
      </x:c>
    </x:row>
    <x:row r="2630">
      <x:c r="B2630" s="7" t="str">
        <x:v>AG-02624</x:v>
      </x:c>
      <x:c r="C2630" s="7" t="str">
        <x:v>PEA-B-X1</x:v>
      </x:c>
      <x:c r="D2630" s="7" t="str">
        <x:v>factory calibration</x:v>
      </x:c>
      <x:c r="E2630" s="7" t="str">
        <x:v>CAL-CH-PEA-B-X1-07-3</x:v>
      </x:c>
      <x:c r="F2630" s="7" t="str">
        <x:f>'Calibration Records'!M909</x:f>
        <x:v>OPEN</x:v>
      </x:c>
    </x:row>
    <x:row r="2631">
      <x:c r="B2631" s="7" t="str">
        <x:v>AG-02625</x:v>
      </x:c>
      <x:c r="C2631" s="7" t="str">
        <x:v>PEA-B-X1</x:v>
      </x:c>
      <x:c r="D2631" s="7" t="str">
        <x:v>factory calibration</x:v>
      </x:c>
      <x:c r="E2631" s="7" t="str">
        <x:v>CAL-CH-PEA-B-X1-07-4</x:v>
      </x:c>
      <x:c r="F2631" s="7" t="str">
        <x:f>'Calibration Records'!M910</x:f>
        <x:v>OPEN</x:v>
      </x:c>
    </x:row>
    <x:row r="2632">
      <x:c r="B2632" s="7" t="str">
        <x:v>AG-02626</x:v>
      </x:c>
      <x:c r="C2632" s="7" t="str">
        <x:v>PEA-B-X1</x:v>
      </x:c>
      <x:c r="D2632" s="7" t="str">
        <x:v>factory calibration</x:v>
      </x:c>
      <x:c r="E2632" s="7" t="str">
        <x:v>CAL-CH-PEA-B-X1-07-5</x:v>
      </x:c>
      <x:c r="F2632" s="7" t="str">
        <x:f>'Calibration Records'!M911</x:f>
        <x:v>OPEN</x:v>
      </x:c>
    </x:row>
    <x:row r="2633">
      <x:c r="B2633" s="7" t="str">
        <x:v>AG-02627</x:v>
      </x:c>
      <x:c r="C2633" s="7" t="str">
        <x:v>PEA-B-X1</x:v>
      </x:c>
      <x:c r="D2633" s="7" t="str">
        <x:v>factory calibration</x:v>
      </x:c>
      <x:c r="E2633" s="7" t="str">
        <x:v>CAL-CH-PEA-B-X1-07-6</x:v>
      </x:c>
      <x:c r="F2633" s="7" t="str">
        <x:f>'Calibration Records'!M912</x:f>
        <x:v>OPEN</x:v>
      </x:c>
    </x:row>
    <x:row r="2634">
      <x:c r="B2634" s="7" t="str">
        <x:v>AG-02628</x:v>
      </x:c>
      <x:c r="C2634" s="7" t="str">
        <x:v>PEA-B-X1</x:v>
      </x:c>
      <x:c r="D2634" s="7" t="str">
        <x:v>factory calibration</x:v>
      </x:c>
      <x:c r="E2634" s="7" t="str">
        <x:v>CAL-CH-PEA-B-X1-08-1</x:v>
      </x:c>
      <x:c r="F2634" s="7" t="str">
        <x:f>'Calibration Records'!M913</x:f>
        <x:v>OPEN</x:v>
      </x:c>
    </x:row>
    <x:row r="2635">
      <x:c r="B2635" s="7" t="str">
        <x:v>AG-02629</x:v>
      </x:c>
      <x:c r="C2635" s="7" t="str">
        <x:v>PEA-B-X1</x:v>
      </x:c>
      <x:c r="D2635" s="7" t="str">
        <x:v>factory calibration</x:v>
      </x:c>
      <x:c r="E2635" s="7" t="str">
        <x:v>CAL-CH-PEA-B-X1-08-2</x:v>
      </x:c>
      <x:c r="F2635" s="7" t="str">
        <x:f>'Calibration Records'!M914</x:f>
        <x:v>OPEN</x:v>
      </x:c>
    </x:row>
    <x:row r="2636">
      <x:c r="B2636" s="7" t="str">
        <x:v>AG-02630</x:v>
      </x:c>
      <x:c r="C2636" s="7" t="str">
        <x:v>PEA-B-X1</x:v>
      </x:c>
      <x:c r="D2636" s="7" t="str">
        <x:v>factory calibration</x:v>
      </x:c>
      <x:c r="E2636" s="7" t="str">
        <x:v>CAL-CH-PEA-B-X1-08-3</x:v>
      </x:c>
      <x:c r="F2636" s="7" t="str">
        <x:f>'Calibration Records'!M915</x:f>
        <x:v>OPEN</x:v>
      </x:c>
    </x:row>
    <x:row r="2637">
      <x:c r="B2637" s="7" t="str">
        <x:v>AG-02631</x:v>
      </x:c>
      <x:c r="C2637" s="7" t="str">
        <x:v>PEA-B-X1</x:v>
      </x:c>
      <x:c r="D2637" s="7" t="str">
        <x:v>factory calibration</x:v>
      </x:c>
      <x:c r="E2637" s="7" t="str">
        <x:v>CAL-CH-PEA-B-X1-08-4</x:v>
      </x:c>
      <x:c r="F2637" s="7" t="str">
        <x:f>'Calibration Records'!M916</x:f>
        <x:v>OPEN</x:v>
      </x:c>
    </x:row>
    <x:row r="2638">
      <x:c r="B2638" s="7" t="str">
        <x:v>AG-02632</x:v>
      </x:c>
      <x:c r="C2638" s="7" t="str">
        <x:v>PEA-B-X1</x:v>
      </x:c>
      <x:c r="D2638" s="7" t="str">
        <x:v>factory calibration</x:v>
      </x:c>
      <x:c r="E2638" s="7" t="str">
        <x:v>CAL-CH-PEA-B-X1-08-5</x:v>
      </x:c>
      <x:c r="F2638" s="7" t="str">
        <x:f>'Calibration Records'!M917</x:f>
        <x:v>OPEN</x:v>
      </x:c>
    </x:row>
    <x:row r="2639">
      <x:c r="B2639" s="7" t="str">
        <x:v>AG-02633</x:v>
      </x:c>
      <x:c r="C2639" s="7" t="str">
        <x:v>PEA-B-X1</x:v>
      </x:c>
      <x:c r="D2639" s="7" t="str">
        <x:v>factory calibration</x:v>
      </x:c>
      <x:c r="E2639" s="7" t="str">
        <x:v>CAL-CH-PEA-B-X1-08-6</x:v>
      </x:c>
      <x:c r="F2639" s="7" t="str">
        <x:f>'Calibration Records'!M918</x:f>
        <x:v>OPEN</x:v>
      </x:c>
    </x:row>
    <x:row r="2640">
      <x:c r="B2640" s="7" t="str">
        <x:v>AG-02634</x:v>
      </x:c>
      <x:c r="C2640" s="7" t="str">
        <x:v>PEA-B-X1</x:v>
      </x:c>
      <x:c r="D2640" s="7" t="str">
        <x:v>factory calibration</x:v>
      </x:c>
      <x:c r="E2640" s="7" t="str">
        <x:v>CAL-CH-PEA-B-X1-09-1</x:v>
      </x:c>
      <x:c r="F2640" s="7" t="str">
        <x:f>'Calibration Records'!M919</x:f>
        <x:v>OPEN</x:v>
      </x:c>
    </x:row>
    <x:row r="2641">
      <x:c r="B2641" s="7" t="str">
        <x:v>AG-02635</x:v>
      </x:c>
      <x:c r="C2641" s="7" t="str">
        <x:v>PEA-B-X1</x:v>
      </x:c>
      <x:c r="D2641" s="7" t="str">
        <x:v>factory calibration</x:v>
      </x:c>
      <x:c r="E2641" s="7" t="str">
        <x:v>CAL-CH-PEA-B-X1-09-2</x:v>
      </x:c>
      <x:c r="F2641" s="7" t="str">
        <x:f>'Calibration Records'!M920</x:f>
        <x:v>OPEN</x:v>
      </x:c>
    </x:row>
    <x:row r="2642">
      <x:c r="B2642" s="7" t="str">
        <x:v>AG-02636</x:v>
      </x:c>
      <x:c r="C2642" s="7" t="str">
        <x:v>PEA-B-X1</x:v>
      </x:c>
      <x:c r="D2642" s="7" t="str">
        <x:v>factory calibration</x:v>
      </x:c>
      <x:c r="E2642" s="7" t="str">
        <x:v>CAL-CH-PEA-B-X1-09-3</x:v>
      </x:c>
      <x:c r="F2642" s="7" t="str">
        <x:f>'Calibration Records'!M921</x:f>
        <x:v>OPEN</x:v>
      </x:c>
    </x:row>
    <x:row r="2643">
      <x:c r="B2643" s="7" t="str">
        <x:v>AG-02637</x:v>
      </x:c>
      <x:c r="C2643" s="7" t="str">
        <x:v>PEA-B-X1</x:v>
      </x:c>
      <x:c r="D2643" s="7" t="str">
        <x:v>factory calibration</x:v>
      </x:c>
      <x:c r="E2643" s="7" t="str">
        <x:v>CAL-CH-PEA-B-X1-09-4</x:v>
      </x:c>
      <x:c r="F2643" s="7" t="str">
        <x:f>'Calibration Records'!M922</x:f>
        <x:v>OPEN</x:v>
      </x:c>
    </x:row>
    <x:row r="2644">
      <x:c r="B2644" s="7" t="str">
        <x:v>AG-02638</x:v>
      </x:c>
      <x:c r="C2644" s="7" t="str">
        <x:v>PEA-B-X1</x:v>
      </x:c>
      <x:c r="D2644" s="7" t="str">
        <x:v>factory calibration</x:v>
      </x:c>
      <x:c r="E2644" s="7" t="str">
        <x:v>CAL-CH-PEA-B-X1-09-5</x:v>
      </x:c>
      <x:c r="F2644" s="7" t="str">
        <x:f>'Calibration Records'!M923</x:f>
        <x:v>OPEN</x:v>
      </x:c>
    </x:row>
    <x:row r="2645">
      <x:c r="B2645" s="7" t="str">
        <x:v>AG-02639</x:v>
      </x:c>
      <x:c r="C2645" s="7" t="str">
        <x:v>PEA-B-X1</x:v>
      </x:c>
      <x:c r="D2645" s="7" t="str">
        <x:v>factory calibration</x:v>
      </x:c>
      <x:c r="E2645" s="7" t="str">
        <x:v>CAL-CH-PEA-B-X1-09-6</x:v>
      </x:c>
      <x:c r="F2645" s="7" t="str">
        <x:f>'Calibration Records'!M924</x:f>
        <x:v>OPEN</x:v>
      </x:c>
    </x:row>
    <x:row r="2646">
      <x:c r="B2646" s="7" t="str">
        <x:v>AG-02640</x:v>
      </x:c>
      <x:c r="C2646" s="7" t="str">
        <x:v>PEA-B-X1</x:v>
      </x:c>
      <x:c r="D2646" s="7" t="str">
        <x:v>factory calibration</x:v>
      </x:c>
      <x:c r="E2646" s="7" t="str">
        <x:v>CAL-CH-PEA-B-X1-10-1</x:v>
      </x:c>
      <x:c r="F2646" s="7" t="str">
        <x:f>'Calibration Records'!M925</x:f>
        <x:v>OPEN</x:v>
      </x:c>
    </x:row>
    <x:row r="2647">
      <x:c r="B2647" s="7" t="str">
        <x:v>AG-02641</x:v>
      </x:c>
      <x:c r="C2647" s="7" t="str">
        <x:v>PEA-B-X1</x:v>
      </x:c>
      <x:c r="D2647" s="7" t="str">
        <x:v>factory calibration</x:v>
      </x:c>
      <x:c r="E2647" s="7" t="str">
        <x:v>CAL-CH-PEA-B-X1-10-2</x:v>
      </x:c>
      <x:c r="F2647" s="7" t="str">
        <x:f>'Calibration Records'!M926</x:f>
        <x:v>OPEN</x:v>
      </x:c>
    </x:row>
    <x:row r="2648">
      <x:c r="B2648" s="7" t="str">
        <x:v>AG-02642</x:v>
      </x:c>
      <x:c r="C2648" s="7" t="str">
        <x:v>PEA-B-X1</x:v>
      </x:c>
      <x:c r="D2648" s="7" t="str">
        <x:v>factory calibration</x:v>
      </x:c>
      <x:c r="E2648" s="7" t="str">
        <x:v>CAL-CH-PEA-B-X1-10-3</x:v>
      </x:c>
      <x:c r="F2648" s="7" t="str">
        <x:f>'Calibration Records'!M927</x:f>
        <x:v>OPEN</x:v>
      </x:c>
    </x:row>
    <x:row r="2649">
      <x:c r="B2649" s="7" t="str">
        <x:v>AG-02643</x:v>
      </x:c>
      <x:c r="C2649" s="7" t="str">
        <x:v>PEA-B-X1</x:v>
      </x:c>
      <x:c r="D2649" s="7" t="str">
        <x:v>factory calibration</x:v>
      </x:c>
      <x:c r="E2649" s="7" t="str">
        <x:v>CAL-CH-PEA-B-X1-10-4</x:v>
      </x:c>
      <x:c r="F2649" s="7" t="str">
        <x:f>'Calibration Records'!M928</x:f>
        <x:v>OPEN</x:v>
      </x:c>
    </x:row>
    <x:row r="2650">
      <x:c r="B2650" s="7" t="str">
        <x:v>AG-02644</x:v>
      </x:c>
      <x:c r="C2650" s="7" t="str">
        <x:v>PEA-B-X1</x:v>
      </x:c>
      <x:c r="D2650" s="7" t="str">
        <x:v>factory calibration</x:v>
      </x:c>
      <x:c r="E2650" s="7" t="str">
        <x:v>CAL-CH-PEA-B-X1-10-5</x:v>
      </x:c>
      <x:c r="F2650" s="7" t="str">
        <x:f>'Calibration Records'!M929</x:f>
        <x:v>OPEN</x:v>
      </x:c>
    </x:row>
    <x:row r="2651">
      <x:c r="B2651" s="7" t="str">
        <x:v>AG-02645</x:v>
      </x:c>
      <x:c r="C2651" s="7" t="str">
        <x:v>PEA-B-X1</x:v>
      </x:c>
      <x:c r="D2651" s="7" t="str">
        <x:v>factory calibration</x:v>
      </x:c>
      <x:c r="E2651" s="7" t="str">
        <x:v>CAL-CH-PEA-B-X1-10-6</x:v>
      </x:c>
      <x:c r="F2651" s="7" t="str">
        <x:f>'Calibration Records'!M930</x:f>
        <x:v>OPEN</x:v>
      </x:c>
    </x:row>
    <x:row r="2652">
      <x:c r="B2652" s="7" t="str">
        <x:v>AG-02646</x:v>
      </x:c>
      <x:c r="C2652" s="7" t="str">
        <x:v>PEA-B-X1</x:v>
      </x:c>
      <x:c r="D2652" s="7" t="str">
        <x:v>factory calibration</x:v>
      </x:c>
      <x:c r="E2652" s="7" t="str">
        <x:v>CAL-CH-PEA-B-X1-11-1</x:v>
      </x:c>
      <x:c r="F2652" s="7" t="str">
        <x:f>'Calibration Records'!M931</x:f>
        <x:v>OPEN</x:v>
      </x:c>
    </x:row>
    <x:row r="2653">
      <x:c r="B2653" s="7" t="str">
        <x:v>AG-02647</x:v>
      </x:c>
      <x:c r="C2653" s="7" t="str">
        <x:v>PEA-B-X1</x:v>
      </x:c>
      <x:c r="D2653" s="7" t="str">
        <x:v>factory calibration</x:v>
      </x:c>
      <x:c r="E2653" s="7" t="str">
        <x:v>CAL-CH-PEA-B-X1-11-2</x:v>
      </x:c>
      <x:c r="F2653" s="7" t="str">
        <x:f>'Calibration Records'!M932</x:f>
        <x:v>OPEN</x:v>
      </x:c>
    </x:row>
    <x:row r="2654">
      <x:c r="B2654" s="7" t="str">
        <x:v>AG-02648</x:v>
      </x:c>
      <x:c r="C2654" s="7" t="str">
        <x:v>PEA-B-X1</x:v>
      </x:c>
      <x:c r="D2654" s="7" t="str">
        <x:v>factory calibration</x:v>
      </x:c>
      <x:c r="E2654" s="7" t="str">
        <x:v>CAL-CH-PEA-B-X1-11-3</x:v>
      </x:c>
      <x:c r="F2654" s="7" t="str">
        <x:f>'Calibration Records'!M933</x:f>
        <x:v>OPEN</x:v>
      </x:c>
    </x:row>
    <x:row r="2655">
      <x:c r="B2655" s="7" t="str">
        <x:v>AG-02649</x:v>
      </x:c>
      <x:c r="C2655" s="7" t="str">
        <x:v>PEA-B-X1</x:v>
      </x:c>
      <x:c r="D2655" s="7" t="str">
        <x:v>factory calibration</x:v>
      </x:c>
      <x:c r="E2655" s="7" t="str">
        <x:v>CAL-CH-PEA-B-X1-11-4</x:v>
      </x:c>
      <x:c r="F2655" s="7" t="str">
        <x:f>'Calibration Records'!M934</x:f>
        <x:v>OPEN</x:v>
      </x:c>
    </x:row>
    <x:row r="2656">
      <x:c r="B2656" s="7" t="str">
        <x:v>AG-02650</x:v>
      </x:c>
      <x:c r="C2656" s="7" t="str">
        <x:v>PEA-B-X1</x:v>
      </x:c>
      <x:c r="D2656" s="7" t="str">
        <x:v>factory calibration</x:v>
      </x:c>
      <x:c r="E2656" s="7" t="str">
        <x:v>CAL-CH-PEA-B-X1-11-5</x:v>
      </x:c>
      <x:c r="F2656" s="7" t="str">
        <x:f>'Calibration Records'!M935</x:f>
        <x:v>OPEN</x:v>
      </x:c>
    </x:row>
    <x:row r="2657">
      <x:c r="B2657" s="7" t="str">
        <x:v>AG-02651</x:v>
      </x:c>
      <x:c r="C2657" s="7" t="str">
        <x:v>PEA-B-X1</x:v>
      </x:c>
      <x:c r="D2657" s="7" t="str">
        <x:v>factory calibration</x:v>
      </x:c>
      <x:c r="E2657" s="7" t="str">
        <x:v>CAL-CH-PEA-B-X1-11-6</x:v>
      </x:c>
      <x:c r="F2657" s="7" t="str">
        <x:f>'Calibration Records'!M936</x:f>
        <x:v>OPEN</x:v>
      </x:c>
    </x:row>
    <x:row r="2658">
      <x:c r="B2658" s="7" t="str">
        <x:v>AG-02652</x:v>
      </x:c>
      <x:c r="C2658" s="7" t="str">
        <x:v>PEA-B-X1</x:v>
      </x:c>
      <x:c r="D2658" s="7" t="str">
        <x:v>factory calibration</x:v>
      </x:c>
      <x:c r="E2658" s="7" t="str">
        <x:v>CAL-CH-PEA-B-X1-12-1</x:v>
      </x:c>
      <x:c r="F2658" s="7" t="str">
        <x:f>'Calibration Records'!M937</x:f>
        <x:v>OPEN</x:v>
      </x:c>
    </x:row>
    <x:row r="2659">
      <x:c r="B2659" s="7" t="str">
        <x:v>AG-02653</x:v>
      </x:c>
      <x:c r="C2659" s="7" t="str">
        <x:v>PEA-B-X1</x:v>
      </x:c>
      <x:c r="D2659" s="7" t="str">
        <x:v>factory calibration</x:v>
      </x:c>
      <x:c r="E2659" s="7" t="str">
        <x:v>CAL-CH-PEA-B-X1-12-2</x:v>
      </x:c>
      <x:c r="F2659" s="7" t="str">
        <x:f>'Calibration Records'!M938</x:f>
        <x:v>OPEN</x:v>
      </x:c>
    </x:row>
    <x:row r="2660">
      <x:c r="B2660" s="7" t="str">
        <x:v>AG-02654</x:v>
      </x:c>
      <x:c r="C2660" s="7" t="str">
        <x:v>PEA-B-X1</x:v>
      </x:c>
      <x:c r="D2660" s="7" t="str">
        <x:v>factory calibration</x:v>
      </x:c>
      <x:c r="E2660" s="7" t="str">
        <x:v>CAL-CH-PEA-B-X1-12-3</x:v>
      </x:c>
      <x:c r="F2660" s="7" t="str">
        <x:f>'Calibration Records'!M939</x:f>
        <x:v>OPEN</x:v>
      </x:c>
    </x:row>
    <x:row r="2661">
      <x:c r="B2661" s="7" t="str">
        <x:v>AG-02655</x:v>
      </x:c>
      <x:c r="C2661" s="7" t="str">
        <x:v>PEA-B-X1</x:v>
      </x:c>
      <x:c r="D2661" s="7" t="str">
        <x:v>factory calibration</x:v>
      </x:c>
      <x:c r="E2661" s="7" t="str">
        <x:v>CAL-CH-PEA-B-X1-12-4</x:v>
      </x:c>
      <x:c r="F2661" s="7" t="str">
        <x:f>'Calibration Records'!M940</x:f>
        <x:v>OPEN</x:v>
      </x:c>
    </x:row>
    <x:row r="2662">
      <x:c r="B2662" s="7" t="str">
        <x:v>AG-02656</x:v>
      </x:c>
      <x:c r="C2662" s="7" t="str">
        <x:v>PEA-B-X1</x:v>
      </x:c>
      <x:c r="D2662" s="7" t="str">
        <x:v>factory calibration</x:v>
      </x:c>
      <x:c r="E2662" s="7" t="str">
        <x:v>CAL-CH-PEA-B-X1-12-5</x:v>
      </x:c>
      <x:c r="F2662" s="7" t="str">
        <x:f>'Calibration Records'!M941</x:f>
        <x:v>OPEN</x:v>
      </x:c>
    </x:row>
    <x:row r="2663">
      <x:c r="B2663" s="7" t="str">
        <x:v>AG-02657</x:v>
      </x:c>
      <x:c r="C2663" s="7" t="str">
        <x:v>PEA-B-X1</x:v>
      </x:c>
      <x:c r="D2663" s="7" t="str">
        <x:v>factory calibration</x:v>
      </x:c>
      <x:c r="E2663" s="7" t="str">
        <x:v>CAL-CH-PEA-B-X1-12-6</x:v>
      </x:c>
      <x:c r="F2663" s="7" t="str">
        <x:f>'Calibration Records'!M942</x:f>
        <x:v>OPEN</x:v>
      </x:c>
    </x:row>
    <x:row r="2664">
      <x:c r="B2664" s="7" t="str">
        <x:v>AG-02658</x:v>
      </x:c>
      <x:c r="C2664" s="7" t="str">
        <x:v>PEA-B-X1</x:v>
      </x:c>
      <x:c r="D2664" s="7" t="str">
        <x:v>factory calibration</x:v>
      </x:c>
      <x:c r="E2664" s="7" t="str">
        <x:v>CAL-CH-PEA-B-X1-13-1</x:v>
      </x:c>
      <x:c r="F2664" s="7" t="str">
        <x:f>'Calibration Records'!M943</x:f>
        <x:v>OPEN</x:v>
      </x:c>
    </x:row>
    <x:row r="2665">
      <x:c r="B2665" s="7" t="str">
        <x:v>AG-02659</x:v>
      </x:c>
      <x:c r="C2665" s="7" t="str">
        <x:v>PEA-B-X1</x:v>
      </x:c>
      <x:c r="D2665" s="7" t="str">
        <x:v>factory calibration</x:v>
      </x:c>
      <x:c r="E2665" s="7" t="str">
        <x:v>CAL-CH-PEA-B-X1-13-2</x:v>
      </x:c>
      <x:c r="F2665" s="7" t="str">
        <x:f>'Calibration Records'!M944</x:f>
        <x:v>OPEN</x:v>
      </x:c>
    </x:row>
    <x:row r="2666">
      <x:c r="B2666" s="7" t="str">
        <x:v>AG-02660</x:v>
      </x:c>
      <x:c r="C2666" s="7" t="str">
        <x:v>PEA-B-X1</x:v>
      </x:c>
      <x:c r="D2666" s="7" t="str">
        <x:v>factory calibration</x:v>
      </x:c>
      <x:c r="E2666" s="7" t="str">
        <x:v>CAL-CH-PEA-B-X1-13-3</x:v>
      </x:c>
      <x:c r="F2666" s="7" t="str">
        <x:f>'Calibration Records'!M945</x:f>
        <x:v>OPEN</x:v>
      </x:c>
    </x:row>
    <x:row r="2667">
      <x:c r="B2667" s="7" t="str">
        <x:v>AG-02661</x:v>
      </x:c>
      <x:c r="C2667" s="7" t="str">
        <x:v>PEA-B-X1</x:v>
      </x:c>
      <x:c r="D2667" s="7" t="str">
        <x:v>factory calibration</x:v>
      </x:c>
      <x:c r="E2667" s="7" t="str">
        <x:v>CAL-CH-PEA-B-X1-13-4</x:v>
      </x:c>
      <x:c r="F2667" s="7" t="str">
        <x:f>'Calibration Records'!M946</x:f>
        <x:v>OPEN</x:v>
      </x:c>
    </x:row>
    <x:row r="2668">
      <x:c r="B2668" s="7" t="str">
        <x:v>AG-02662</x:v>
      </x:c>
      <x:c r="C2668" s="7" t="str">
        <x:v>PEA-B-X1</x:v>
      </x:c>
      <x:c r="D2668" s="7" t="str">
        <x:v>factory calibration</x:v>
      </x:c>
      <x:c r="E2668" s="7" t="str">
        <x:v>CAL-CH-PEA-B-X1-13-5</x:v>
      </x:c>
      <x:c r="F2668" s="7" t="str">
        <x:f>'Calibration Records'!M947</x:f>
        <x:v>OPEN</x:v>
      </x:c>
    </x:row>
    <x:row r="2669">
      <x:c r="B2669" s="7" t="str">
        <x:v>AG-02663</x:v>
      </x:c>
      <x:c r="C2669" s="7" t="str">
        <x:v>PEA-B-X1</x:v>
      </x:c>
      <x:c r="D2669" s="7" t="str">
        <x:v>factory calibration</x:v>
      </x:c>
      <x:c r="E2669" s="7" t="str">
        <x:v>CAL-CH-PEA-B-X1-13-6</x:v>
      </x:c>
      <x:c r="F2669" s="7" t="str">
        <x:f>'Calibration Records'!M948</x:f>
        <x:v>OPEN</x:v>
      </x:c>
    </x:row>
    <x:row r="2670">
      <x:c r="B2670" s="7" t="str">
        <x:v>AG-02664</x:v>
      </x:c>
      <x:c r="C2670" s="7" t="str">
        <x:v>PEA-B-X1</x:v>
      </x:c>
      <x:c r="D2670" s="7" t="str">
        <x:v>factory calibration</x:v>
      </x:c>
      <x:c r="E2670" s="7" t="str">
        <x:v>CAL-CH-PEA-B-X1-14-1</x:v>
      </x:c>
      <x:c r="F2670" s="7" t="str">
        <x:f>'Calibration Records'!M949</x:f>
        <x:v>OPEN</x:v>
      </x:c>
    </x:row>
    <x:row r="2671">
      <x:c r="B2671" s="7" t="str">
        <x:v>AG-02665</x:v>
      </x:c>
      <x:c r="C2671" s="7" t="str">
        <x:v>PEA-B-X1</x:v>
      </x:c>
      <x:c r="D2671" s="7" t="str">
        <x:v>factory calibration</x:v>
      </x:c>
      <x:c r="E2671" s="7" t="str">
        <x:v>CAL-CH-PEA-B-X1-14-2</x:v>
      </x:c>
      <x:c r="F2671" s="7" t="str">
        <x:f>'Calibration Records'!M950</x:f>
        <x:v>OPEN</x:v>
      </x:c>
    </x:row>
    <x:row r="2672">
      <x:c r="B2672" s="7" t="str">
        <x:v>AG-02666</x:v>
      </x:c>
      <x:c r="C2672" s="7" t="str">
        <x:v>PEA-B-X1</x:v>
      </x:c>
      <x:c r="D2672" s="7" t="str">
        <x:v>factory calibration</x:v>
      </x:c>
      <x:c r="E2672" s="7" t="str">
        <x:v>CAL-CH-PEA-B-X1-14-3</x:v>
      </x:c>
      <x:c r="F2672" s="7" t="str">
        <x:f>'Calibration Records'!M951</x:f>
        <x:v>OPEN</x:v>
      </x:c>
    </x:row>
    <x:row r="2673">
      <x:c r="B2673" s="7" t="str">
        <x:v>AG-02667</x:v>
      </x:c>
      <x:c r="C2673" s="7" t="str">
        <x:v>PEA-B-X1</x:v>
      </x:c>
      <x:c r="D2673" s="7" t="str">
        <x:v>factory calibration</x:v>
      </x:c>
      <x:c r="E2673" s="7" t="str">
        <x:v>CAL-CH-PEA-B-X1-14-4</x:v>
      </x:c>
      <x:c r="F2673" s="7" t="str">
        <x:f>'Calibration Records'!M952</x:f>
        <x:v>OPEN</x:v>
      </x:c>
    </x:row>
    <x:row r="2674">
      <x:c r="B2674" s="7" t="str">
        <x:v>AG-02668</x:v>
      </x:c>
      <x:c r="C2674" s="7" t="str">
        <x:v>PEA-B-X1</x:v>
      </x:c>
      <x:c r="D2674" s="7" t="str">
        <x:v>factory calibration</x:v>
      </x:c>
      <x:c r="E2674" s="7" t="str">
        <x:v>CAL-CH-PEA-B-X1-14-5</x:v>
      </x:c>
      <x:c r="F2674" s="7" t="str">
        <x:f>'Calibration Records'!M953</x:f>
        <x:v>OPEN</x:v>
      </x:c>
    </x:row>
    <x:row r="2675">
      <x:c r="B2675" s="7" t="str">
        <x:v>AG-02669</x:v>
      </x:c>
      <x:c r="C2675" s="7" t="str">
        <x:v>PEA-B-X1</x:v>
      </x:c>
      <x:c r="D2675" s="7" t="str">
        <x:v>factory calibration</x:v>
      </x:c>
      <x:c r="E2675" s="7" t="str">
        <x:v>CAL-CH-PEA-B-X1-14-6</x:v>
      </x:c>
      <x:c r="F2675" s="7" t="str">
        <x:f>'Calibration Records'!M954</x:f>
        <x:v>OPEN</x:v>
      </x:c>
    </x:row>
    <x:row r="2676">
      <x:c r="B2676" s="7" t="str">
        <x:v>AG-02670</x:v>
      </x:c>
      <x:c r="C2676" s="7" t="str">
        <x:v>PEA-B-X1</x:v>
      </x:c>
      <x:c r="D2676" s="7" t="str">
        <x:v>factory calibration</x:v>
      </x:c>
      <x:c r="E2676" s="7" t="str">
        <x:v>CAL-CH-PEA-B-X1-15-1</x:v>
      </x:c>
      <x:c r="F2676" s="7" t="str">
        <x:f>'Calibration Records'!M955</x:f>
        <x:v>OPEN</x:v>
      </x:c>
    </x:row>
    <x:row r="2677">
      <x:c r="B2677" s="7" t="str">
        <x:v>AG-02671</x:v>
      </x:c>
      <x:c r="C2677" s="7" t="str">
        <x:v>PEA-B-X1</x:v>
      </x:c>
      <x:c r="D2677" s="7" t="str">
        <x:v>factory calibration</x:v>
      </x:c>
      <x:c r="E2677" s="7" t="str">
        <x:v>CAL-CH-PEA-B-X1-15-2</x:v>
      </x:c>
      <x:c r="F2677" s="7" t="str">
        <x:f>'Calibration Records'!M956</x:f>
        <x:v>OPEN</x:v>
      </x:c>
    </x:row>
    <x:row r="2678">
      <x:c r="B2678" s="7" t="str">
        <x:v>AG-02672</x:v>
      </x:c>
      <x:c r="C2678" s="7" t="str">
        <x:v>PEA-B-X1</x:v>
      </x:c>
      <x:c r="D2678" s="7" t="str">
        <x:v>factory calibration</x:v>
      </x:c>
      <x:c r="E2678" s="7" t="str">
        <x:v>CAL-CH-PEA-B-X1-15-3</x:v>
      </x:c>
      <x:c r="F2678" s="7" t="str">
        <x:f>'Calibration Records'!M957</x:f>
        <x:v>OPEN</x:v>
      </x:c>
    </x:row>
    <x:row r="2679">
      <x:c r="B2679" s="7" t="str">
        <x:v>AG-02673</x:v>
      </x:c>
      <x:c r="C2679" s="7" t="str">
        <x:v>PEA-B-X1</x:v>
      </x:c>
      <x:c r="D2679" s="7" t="str">
        <x:v>factory calibration</x:v>
      </x:c>
      <x:c r="E2679" s="7" t="str">
        <x:v>CAL-CH-PEA-B-X1-15-4</x:v>
      </x:c>
      <x:c r="F2679" s="7" t="str">
        <x:f>'Calibration Records'!M958</x:f>
        <x:v>OPEN</x:v>
      </x:c>
    </x:row>
    <x:row r="2680">
      <x:c r="B2680" s="7" t="str">
        <x:v>AG-02674</x:v>
      </x:c>
      <x:c r="C2680" s="7" t="str">
        <x:v>PEA-B-X1</x:v>
      </x:c>
      <x:c r="D2680" s="7" t="str">
        <x:v>factory calibration</x:v>
      </x:c>
      <x:c r="E2680" s="7" t="str">
        <x:v>CAL-CH-PEA-B-X1-15-5</x:v>
      </x:c>
      <x:c r="F2680" s="7" t="str">
        <x:f>'Calibration Records'!M959</x:f>
        <x:v>OPEN</x:v>
      </x:c>
    </x:row>
    <x:row r="2681">
      <x:c r="B2681" s="7" t="str">
        <x:v>AG-02675</x:v>
      </x:c>
      <x:c r="C2681" s="7" t="str">
        <x:v>PEA-B-X1</x:v>
      </x:c>
      <x:c r="D2681" s="7" t="str">
        <x:v>factory calibration</x:v>
      </x:c>
      <x:c r="E2681" s="7" t="str">
        <x:v>CAL-CH-PEA-B-X1-15-6</x:v>
      </x:c>
      <x:c r="F2681" s="7" t="str">
        <x:f>'Calibration Records'!M960</x:f>
        <x:v>OPEN</x:v>
      </x:c>
    </x:row>
    <x:row r="2682">
      <x:c r="B2682" s="7" t="str">
        <x:v>AG-02676</x:v>
      </x:c>
      <x:c r="C2682" s="7" t="str">
        <x:v>PEA-B-X1</x:v>
      </x:c>
      <x:c r="D2682" s="7" t="str">
        <x:v>factory calibration</x:v>
      </x:c>
      <x:c r="E2682" s="7" t="str">
        <x:v>CAL-CH-PEA-B-X1-16-1</x:v>
      </x:c>
      <x:c r="F2682" s="7" t="str">
        <x:f>'Calibration Records'!M961</x:f>
        <x:v>OPEN</x:v>
      </x:c>
    </x:row>
    <x:row r="2683">
      <x:c r="B2683" s="7" t="str">
        <x:v>AG-02677</x:v>
      </x:c>
      <x:c r="C2683" s="7" t="str">
        <x:v>PEA-B-X1</x:v>
      </x:c>
      <x:c r="D2683" s="7" t="str">
        <x:v>factory calibration</x:v>
      </x:c>
      <x:c r="E2683" s="7" t="str">
        <x:v>CAL-CH-PEA-B-X1-16-2</x:v>
      </x:c>
      <x:c r="F2683" s="7" t="str">
        <x:f>'Calibration Records'!M962</x:f>
        <x:v>OPEN</x:v>
      </x:c>
    </x:row>
    <x:row r="2684">
      <x:c r="B2684" s="7" t="str">
        <x:v>AG-02678</x:v>
      </x:c>
      <x:c r="C2684" s="7" t="str">
        <x:v>PEA-B-X1</x:v>
      </x:c>
      <x:c r="D2684" s="7" t="str">
        <x:v>factory calibration</x:v>
      </x:c>
      <x:c r="E2684" s="7" t="str">
        <x:v>CAL-CH-PEA-B-X1-16-3</x:v>
      </x:c>
      <x:c r="F2684" s="7" t="str">
        <x:f>'Calibration Records'!M963</x:f>
        <x:v>OPEN</x:v>
      </x:c>
    </x:row>
    <x:row r="2685">
      <x:c r="B2685" s="7" t="str">
        <x:v>AG-02679</x:v>
      </x:c>
      <x:c r="C2685" s="7" t="str">
        <x:v>PEA-B-X1</x:v>
      </x:c>
      <x:c r="D2685" s="7" t="str">
        <x:v>factory calibration</x:v>
      </x:c>
      <x:c r="E2685" s="7" t="str">
        <x:v>CAL-CH-PEA-B-X1-16-4</x:v>
      </x:c>
      <x:c r="F2685" s="7" t="str">
        <x:f>'Calibration Records'!M964</x:f>
        <x:v>OPEN</x:v>
      </x:c>
    </x:row>
    <x:row r="2686">
      <x:c r="B2686" s="7" t="str">
        <x:v>AG-02680</x:v>
      </x:c>
      <x:c r="C2686" s="7" t="str">
        <x:v>PEA-B-X1</x:v>
      </x:c>
      <x:c r="D2686" s="7" t="str">
        <x:v>factory calibration</x:v>
      </x:c>
      <x:c r="E2686" s="7" t="str">
        <x:v>CAL-CH-PEA-B-X1-16-5</x:v>
      </x:c>
      <x:c r="F2686" s="7" t="str">
        <x:f>'Calibration Records'!M965</x:f>
        <x:v>OPEN</x:v>
      </x:c>
    </x:row>
    <x:row r="2687">
      <x:c r="B2687" s="7" t="str">
        <x:v>AG-02681</x:v>
      </x:c>
      <x:c r="C2687" s="7" t="str">
        <x:v>PEA-B-X1</x:v>
      </x:c>
      <x:c r="D2687" s="7" t="str">
        <x:v>factory calibration</x:v>
      </x:c>
      <x:c r="E2687" s="7" t="str">
        <x:v>CAL-CH-PEA-B-X1-16-6</x:v>
      </x:c>
      <x:c r="F2687" s="7" t="str">
        <x:f>'Calibration Records'!M966</x:f>
        <x:v>OPEN</x:v>
      </x:c>
    </x:row>
    <x:row r="2688">
      <x:c r="B2688" s="7" t="str">
        <x:v>AG-02682</x:v>
      </x:c>
      <x:c r="C2688" s="7" t="str">
        <x:v>PEA-B-X1</x:v>
      </x:c>
      <x:c r="D2688" s="7" t="str">
        <x:v>factory calibration</x:v>
      </x:c>
      <x:c r="E2688" s="7" t="str">
        <x:v>CAL-CH-PEA-B-X1-17-1</x:v>
      </x:c>
      <x:c r="F2688" s="7" t="str">
        <x:f>'Calibration Records'!M967</x:f>
        <x:v>OPEN</x:v>
      </x:c>
    </x:row>
    <x:row r="2689">
      <x:c r="B2689" s="7" t="str">
        <x:v>AG-02683</x:v>
      </x:c>
      <x:c r="C2689" s="7" t="str">
        <x:v>PEA-B-X1</x:v>
      </x:c>
      <x:c r="D2689" s="7" t="str">
        <x:v>factory calibration</x:v>
      </x:c>
      <x:c r="E2689" s="7" t="str">
        <x:v>CAL-CH-PEA-B-X1-17-2</x:v>
      </x:c>
      <x:c r="F2689" s="7" t="str">
        <x:f>'Calibration Records'!M968</x:f>
        <x:v>OPEN</x:v>
      </x:c>
    </x:row>
    <x:row r="2690">
      <x:c r="B2690" s="7" t="str">
        <x:v>AG-02684</x:v>
      </x:c>
      <x:c r="C2690" s="7" t="str">
        <x:v>PEA-B-X1</x:v>
      </x:c>
      <x:c r="D2690" s="7" t="str">
        <x:v>factory calibration</x:v>
      </x:c>
      <x:c r="E2690" s="7" t="str">
        <x:v>CAL-CH-PEA-B-X1-17-3</x:v>
      </x:c>
      <x:c r="F2690" s="7" t="str">
        <x:f>'Calibration Records'!M969</x:f>
        <x:v>OPEN</x:v>
      </x:c>
    </x:row>
    <x:row r="2691">
      <x:c r="B2691" s="7" t="str">
        <x:v>AG-02685</x:v>
      </x:c>
      <x:c r="C2691" s="7" t="str">
        <x:v>PEA-B-X1</x:v>
      </x:c>
      <x:c r="D2691" s="7" t="str">
        <x:v>factory calibration</x:v>
      </x:c>
      <x:c r="E2691" s="7" t="str">
        <x:v>CAL-CH-PEA-B-X1-17-4</x:v>
      </x:c>
      <x:c r="F2691" s="7" t="str">
        <x:f>'Calibration Records'!M970</x:f>
        <x:v>OPEN</x:v>
      </x:c>
    </x:row>
    <x:row r="2692">
      <x:c r="B2692" s="7" t="str">
        <x:v>AG-02686</x:v>
      </x:c>
      <x:c r="C2692" s="7" t="str">
        <x:v>PEA-B-X1</x:v>
      </x:c>
      <x:c r="D2692" s="7" t="str">
        <x:v>factory calibration</x:v>
      </x:c>
      <x:c r="E2692" s="7" t="str">
        <x:v>CAL-CH-PEA-B-X1-17-5</x:v>
      </x:c>
      <x:c r="F2692" s="7" t="str">
        <x:f>'Calibration Records'!M971</x:f>
        <x:v>OPEN</x:v>
      </x:c>
    </x:row>
    <x:row r="2693">
      <x:c r="B2693" s="7" t="str">
        <x:v>AG-02687</x:v>
      </x:c>
      <x:c r="C2693" s="7" t="str">
        <x:v>PEA-B-X1</x:v>
      </x:c>
      <x:c r="D2693" s="7" t="str">
        <x:v>factory calibration</x:v>
      </x:c>
      <x:c r="E2693" s="7" t="str">
        <x:v>CAL-CH-PEA-B-X1-17-6</x:v>
      </x:c>
      <x:c r="F2693" s="7" t="str">
        <x:f>'Calibration Records'!M972</x:f>
        <x:v>OPEN</x:v>
      </x:c>
    </x:row>
    <x:row r="2694">
      <x:c r="B2694" s="7" t="str">
        <x:v>AG-02688</x:v>
      </x:c>
      <x:c r="C2694" s="7" t="str">
        <x:v>PEA-B-X1</x:v>
      </x:c>
      <x:c r="D2694" s="7" t="str">
        <x:v>factory calibration</x:v>
      </x:c>
      <x:c r="E2694" s="7" t="str">
        <x:v>CAL-CH-PEA-B-X1-18-1</x:v>
      </x:c>
      <x:c r="F2694" s="7" t="str">
        <x:f>'Calibration Records'!M973</x:f>
        <x:v>OPEN</x:v>
      </x:c>
    </x:row>
    <x:row r="2695">
      <x:c r="B2695" s="7" t="str">
        <x:v>AG-02689</x:v>
      </x:c>
      <x:c r="C2695" s="7" t="str">
        <x:v>PEA-B-X1</x:v>
      </x:c>
      <x:c r="D2695" s="7" t="str">
        <x:v>factory calibration</x:v>
      </x:c>
      <x:c r="E2695" s="7" t="str">
        <x:v>CAL-CH-PEA-B-X1-18-2</x:v>
      </x:c>
      <x:c r="F2695" s="7" t="str">
        <x:f>'Calibration Records'!M974</x:f>
        <x:v>OPEN</x:v>
      </x:c>
    </x:row>
    <x:row r="2696">
      <x:c r="B2696" s="7" t="str">
        <x:v>AG-02690</x:v>
      </x:c>
      <x:c r="C2696" s="7" t="str">
        <x:v>PEA-B-X1</x:v>
      </x:c>
      <x:c r="D2696" s="7" t="str">
        <x:v>factory calibration</x:v>
      </x:c>
      <x:c r="E2696" s="7" t="str">
        <x:v>CAL-CH-PEA-B-X1-18-3</x:v>
      </x:c>
      <x:c r="F2696" s="7" t="str">
        <x:f>'Calibration Records'!M975</x:f>
        <x:v>OPEN</x:v>
      </x:c>
    </x:row>
    <x:row r="2697">
      <x:c r="B2697" s="7" t="str">
        <x:v>AG-02691</x:v>
      </x:c>
      <x:c r="C2697" s="7" t="str">
        <x:v>PEA-B-X1</x:v>
      </x:c>
      <x:c r="D2697" s="7" t="str">
        <x:v>factory calibration</x:v>
      </x:c>
      <x:c r="E2697" s="7" t="str">
        <x:v>CAL-CH-PEA-B-X1-18-4</x:v>
      </x:c>
      <x:c r="F2697" s="7" t="str">
        <x:f>'Calibration Records'!M976</x:f>
        <x:v>OPEN</x:v>
      </x:c>
    </x:row>
    <x:row r="2698">
      <x:c r="B2698" s="7" t="str">
        <x:v>AG-02692</x:v>
      </x:c>
      <x:c r="C2698" s="7" t="str">
        <x:v>PEA-B-X1</x:v>
      </x:c>
      <x:c r="D2698" s="7" t="str">
        <x:v>factory calibration</x:v>
      </x:c>
      <x:c r="E2698" s="7" t="str">
        <x:v>CAL-CH-PEA-B-X1-18-5</x:v>
      </x:c>
      <x:c r="F2698" s="7" t="str">
        <x:f>'Calibration Records'!M977</x:f>
        <x:v>OPEN</x:v>
      </x:c>
    </x:row>
    <x:row r="2699">
      <x:c r="B2699" s="7" t="str">
        <x:v>AG-02693</x:v>
      </x:c>
      <x:c r="C2699" s="7" t="str">
        <x:v>PEA-B-X1</x:v>
      </x:c>
      <x:c r="D2699" s="7" t="str">
        <x:v>factory calibration</x:v>
      </x:c>
      <x:c r="E2699" s="7" t="str">
        <x:v>CAL-CH-PEA-B-X1-18-6</x:v>
      </x:c>
      <x:c r="F2699" s="7" t="str">
        <x:f>'Calibration Records'!M978</x:f>
        <x:v>OPEN</x:v>
      </x:c>
    </x:row>
    <x:row r="2700">
      <x:c r="B2700" s="7" t="str">
        <x:v>AG-02694</x:v>
      </x:c>
      <x:c r="C2700" s="7" t="str">
        <x:v>PEA-B-X1</x:v>
      </x:c>
      <x:c r="D2700" s="7" t="str">
        <x:v>factory calibration</x:v>
      </x:c>
      <x:c r="E2700" s="7" t="str">
        <x:v>CAL-CH-PEA-B-X1-19-1</x:v>
      </x:c>
      <x:c r="F2700" s="7" t="str">
        <x:f>'Calibration Records'!M979</x:f>
        <x:v>OPEN</x:v>
      </x:c>
    </x:row>
    <x:row r="2701">
      <x:c r="B2701" s="7" t="str">
        <x:v>AG-02695</x:v>
      </x:c>
      <x:c r="C2701" s="7" t="str">
        <x:v>PEA-B-X1</x:v>
      </x:c>
      <x:c r="D2701" s="7" t="str">
        <x:v>factory calibration</x:v>
      </x:c>
      <x:c r="E2701" s="7" t="str">
        <x:v>CAL-CH-PEA-B-X1-19-2</x:v>
      </x:c>
      <x:c r="F2701" s="7" t="str">
        <x:f>'Calibration Records'!M980</x:f>
        <x:v>OPEN</x:v>
      </x:c>
    </x:row>
    <x:row r="2702">
      <x:c r="B2702" s="7" t="str">
        <x:v>AG-02696</x:v>
      </x:c>
      <x:c r="C2702" s="7" t="str">
        <x:v>PEA-B-X1</x:v>
      </x:c>
      <x:c r="D2702" s="7" t="str">
        <x:v>factory calibration</x:v>
      </x:c>
      <x:c r="E2702" s="7" t="str">
        <x:v>CAL-CH-PEA-B-X1-19-3</x:v>
      </x:c>
      <x:c r="F2702" s="7" t="str">
        <x:f>'Calibration Records'!M981</x:f>
        <x:v>OPEN</x:v>
      </x:c>
    </x:row>
    <x:row r="2703">
      <x:c r="B2703" s="7" t="str">
        <x:v>AG-02697</x:v>
      </x:c>
      <x:c r="C2703" s="7" t="str">
        <x:v>PEA-B-X1</x:v>
      </x:c>
      <x:c r="D2703" s="7" t="str">
        <x:v>factory calibration</x:v>
      </x:c>
      <x:c r="E2703" s="7" t="str">
        <x:v>CAL-CH-PEA-B-X1-19-4</x:v>
      </x:c>
      <x:c r="F2703" s="7" t="str">
        <x:f>'Calibration Records'!M982</x:f>
        <x:v>OPEN</x:v>
      </x:c>
    </x:row>
    <x:row r="2704">
      <x:c r="B2704" s="7" t="str">
        <x:v>AG-02698</x:v>
      </x:c>
      <x:c r="C2704" s="7" t="str">
        <x:v>PEA-B-X1</x:v>
      </x:c>
      <x:c r="D2704" s="7" t="str">
        <x:v>factory calibration</x:v>
      </x:c>
      <x:c r="E2704" s="7" t="str">
        <x:v>CAL-CH-PEA-B-X1-19-5</x:v>
      </x:c>
      <x:c r="F2704" s="7" t="str">
        <x:f>'Calibration Records'!M983</x:f>
        <x:v>OPEN</x:v>
      </x:c>
    </x:row>
    <x:row r="2705">
      <x:c r="B2705" s="7" t="str">
        <x:v>AG-02699</x:v>
      </x:c>
      <x:c r="C2705" s="7" t="str">
        <x:v>PEA-B-X1</x:v>
      </x:c>
      <x:c r="D2705" s="7" t="str">
        <x:v>factory calibration</x:v>
      </x:c>
      <x:c r="E2705" s="7" t="str">
        <x:v>CAL-CH-PEA-B-X1-19-6</x:v>
      </x:c>
      <x:c r="F2705" s="7" t="str">
        <x:f>'Calibration Records'!M984</x:f>
        <x:v>OPEN</x:v>
      </x:c>
    </x:row>
    <x:row r="2706">
      <x:c r="B2706" s="7" t="str">
        <x:v>AG-02700</x:v>
      </x:c>
      <x:c r="C2706" s="7" t="str">
        <x:v>PEA-B-X1</x:v>
      </x:c>
      <x:c r="D2706" s="7" t="str">
        <x:v>factory calibration</x:v>
      </x:c>
      <x:c r="E2706" s="7" t="str">
        <x:v>CAL-CH-PEA-B-X1-20-1</x:v>
      </x:c>
      <x:c r="F2706" s="7" t="str">
        <x:f>'Calibration Records'!M985</x:f>
        <x:v>OPEN</x:v>
      </x:c>
    </x:row>
    <x:row r="2707">
      <x:c r="B2707" s="7" t="str">
        <x:v>AG-02701</x:v>
      </x:c>
      <x:c r="C2707" s="7" t="str">
        <x:v>PEA-B-X1</x:v>
      </x:c>
      <x:c r="D2707" s="7" t="str">
        <x:v>factory calibration</x:v>
      </x:c>
      <x:c r="E2707" s="7" t="str">
        <x:v>CAL-CH-PEA-B-X1-20-2</x:v>
      </x:c>
      <x:c r="F2707" s="7" t="str">
        <x:f>'Calibration Records'!M986</x:f>
        <x:v>OPEN</x:v>
      </x:c>
    </x:row>
    <x:row r="2708">
      <x:c r="B2708" s="7" t="str">
        <x:v>AG-02702</x:v>
      </x:c>
      <x:c r="C2708" s="7" t="str">
        <x:v>PEA-B-X1</x:v>
      </x:c>
      <x:c r="D2708" s="7" t="str">
        <x:v>factory calibration</x:v>
      </x:c>
      <x:c r="E2708" s="7" t="str">
        <x:v>CAL-CH-PEA-B-X1-20-3</x:v>
      </x:c>
      <x:c r="F2708" s="7" t="str">
        <x:f>'Calibration Records'!M987</x:f>
        <x:v>OPEN</x:v>
      </x:c>
    </x:row>
    <x:row r="2709">
      <x:c r="B2709" s="7" t="str">
        <x:v>AG-02703</x:v>
      </x:c>
      <x:c r="C2709" s="7" t="str">
        <x:v>PEA-B-X1</x:v>
      </x:c>
      <x:c r="D2709" s="7" t="str">
        <x:v>factory calibration</x:v>
      </x:c>
      <x:c r="E2709" s="7" t="str">
        <x:v>CAL-CH-PEA-B-X1-20-4</x:v>
      </x:c>
      <x:c r="F2709" s="7" t="str">
        <x:f>'Calibration Records'!M988</x:f>
        <x:v>OPEN</x:v>
      </x:c>
    </x:row>
    <x:row r="2710">
      <x:c r="B2710" s="7" t="str">
        <x:v>AG-02704</x:v>
      </x:c>
      <x:c r="C2710" s="7" t="str">
        <x:v>PEA-B-X1</x:v>
      </x:c>
      <x:c r="D2710" s="7" t="str">
        <x:v>factory calibration</x:v>
      </x:c>
      <x:c r="E2710" s="7" t="str">
        <x:v>CAL-CH-PEA-B-X1-20-5</x:v>
      </x:c>
      <x:c r="F2710" s="7" t="str">
        <x:f>'Calibration Records'!M989</x:f>
        <x:v>OPEN</x:v>
      </x:c>
    </x:row>
    <x:row r="2711">
      <x:c r="B2711" s="7" t="str">
        <x:v>AG-02705</x:v>
      </x:c>
      <x:c r="C2711" s="7" t="str">
        <x:v>PEA-B-X1</x:v>
      </x:c>
      <x:c r="D2711" s="7" t="str">
        <x:v>factory calibration</x:v>
      </x:c>
      <x:c r="E2711" s="7" t="str">
        <x:v>CAL-CH-PEA-B-X1-20-6</x:v>
      </x:c>
      <x:c r="F2711" s="7" t="str">
        <x:f>'Calibration Records'!M990</x:f>
        <x:v>OPEN</x:v>
      </x:c>
    </x:row>
    <x:row r="2712">
      <x:c r="B2712" s="7" t="str">
        <x:v>AG-02706</x:v>
      </x:c>
      <x:c r="C2712" s="7" t="str">
        <x:v>PEA-B-X1</x:v>
      </x:c>
      <x:c r="D2712" s="7" t="str">
        <x:v>factory calibration</x:v>
      </x:c>
      <x:c r="E2712" s="7" t="str">
        <x:v>CAL-CH-PEA-B-X1-21-1</x:v>
      </x:c>
      <x:c r="F2712" s="7" t="str">
        <x:f>'Calibration Records'!M991</x:f>
        <x:v>OPEN</x:v>
      </x:c>
    </x:row>
    <x:row r="2713">
      <x:c r="B2713" s="7" t="str">
        <x:v>AG-02707</x:v>
      </x:c>
      <x:c r="C2713" s="7" t="str">
        <x:v>PEA-B-X1</x:v>
      </x:c>
      <x:c r="D2713" s="7" t="str">
        <x:v>factory calibration</x:v>
      </x:c>
      <x:c r="E2713" s="7" t="str">
        <x:v>CAL-CH-PEA-B-X1-21-2</x:v>
      </x:c>
      <x:c r="F2713" s="7" t="str">
        <x:f>'Calibration Records'!M992</x:f>
        <x:v>OPEN</x:v>
      </x:c>
    </x:row>
    <x:row r="2714">
      <x:c r="B2714" s="7" t="str">
        <x:v>AG-02708</x:v>
      </x:c>
      <x:c r="C2714" s="7" t="str">
        <x:v>PEA-B-X1</x:v>
      </x:c>
      <x:c r="D2714" s="7" t="str">
        <x:v>factory calibration</x:v>
      </x:c>
      <x:c r="E2714" s="7" t="str">
        <x:v>CAL-CH-PEA-B-X1-21-3</x:v>
      </x:c>
      <x:c r="F2714" s="7" t="str">
        <x:f>'Calibration Records'!M993</x:f>
        <x:v>OPEN</x:v>
      </x:c>
    </x:row>
    <x:row r="2715">
      <x:c r="B2715" s="7" t="str">
        <x:v>AG-02709</x:v>
      </x:c>
      <x:c r="C2715" s="7" t="str">
        <x:v>PEA-B-X1</x:v>
      </x:c>
      <x:c r="D2715" s="7" t="str">
        <x:v>factory calibration</x:v>
      </x:c>
      <x:c r="E2715" s="7" t="str">
        <x:v>CAL-CH-PEA-B-X1-21-4</x:v>
      </x:c>
      <x:c r="F2715" s="7" t="str">
        <x:f>'Calibration Records'!M994</x:f>
        <x:v>OPEN</x:v>
      </x:c>
    </x:row>
    <x:row r="2716">
      <x:c r="B2716" s="7" t="str">
        <x:v>AG-02710</x:v>
      </x:c>
      <x:c r="C2716" s="7" t="str">
        <x:v>PEA-B-X1</x:v>
      </x:c>
      <x:c r="D2716" s="7" t="str">
        <x:v>factory calibration</x:v>
      </x:c>
      <x:c r="E2716" s="7" t="str">
        <x:v>CAL-CH-PEA-B-X1-21-5</x:v>
      </x:c>
      <x:c r="F2716" s="7" t="str">
        <x:f>'Calibration Records'!M995</x:f>
        <x:v>OPEN</x:v>
      </x:c>
    </x:row>
    <x:row r="2717">
      <x:c r="B2717" s="7" t="str">
        <x:v>AG-02711</x:v>
      </x:c>
      <x:c r="C2717" s="7" t="str">
        <x:v>PEA-B-X1</x:v>
      </x:c>
      <x:c r="D2717" s="7" t="str">
        <x:v>factory calibration</x:v>
      </x:c>
      <x:c r="E2717" s="7" t="str">
        <x:v>CAL-CH-PEA-B-X1-21-6</x:v>
      </x:c>
      <x:c r="F2717" s="7" t="str">
        <x:f>'Calibration Records'!M996</x:f>
        <x:v>OPEN</x:v>
      </x:c>
    </x:row>
    <x:row r="2718">
      <x:c r="B2718" s="7" t="str">
        <x:v>AG-02712</x:v>
      </x:c>
      <x:c r="C2718" s="7" t="str">
        <x:v>PEA-B-X1</x:v>
      </x:c>
      <x:c r="D2718" s="7" t="str">
        <x:v>factory calibration</x:v>
      </x:c>
      <x:c r="E2718" s="7" t="str">
        <x:v>CAL-CH-PEA-B-X1-22-1</x:v>
      </x:c>
      <x:c r="F2718" s="7" t="str">
        <x:f>'Calibration Records'!M997</x:f>
        <x:v>OPEN</x:v>
      </x:c>
    </x:row>
    <x:row r="2719">
      <x:c r="B2719" s="7" t="str">
        <x:v>AG-02713</x:v>
      </x:c>
      <x:c r="C2719" s="7" t="str">
        <x:v>PEA-B-X1</x:v>
      </x:c>
      <x:c r="D2719" s="7" t="str">
        <x:v>factory calibration</x:v>
      </x:c>
      <x:c r="E2719" s="7" t="str">
        <x:v>CAL-CH-PEA-B-X1-22-2</x:v>
      </x:c>
      <x:c r="F2719" s="7" t="str">
        <x:f>'Calibration Records'!M998</x:f>
        <x:v>OPEN</x:v>
      </x:c>
    </x:row>
    <x:row r="2720">
      <x:c r="B2720" s="7" t="str">
        <x:v>AG-02714</x:v>
      </x:c>
      <x:c r="C2720" s="7" t="str">
        <x:v>PEA-B-X1</x:v>
      </x:c>
      <x:c r="D2720" s="7" t="str">
        <x:v>factory calibration</x:v>
      </x:c>
      <x:c r="E2720" s="7" t="str">
        <x:v>CAL-CH-PEA-B-X1-22-3</x:v>
      </x:c>
      <x:c r="F2720" s="7" t="str">
        <x:f>'Calibration Records'!M999</x:f>
        <x:v>OPEN</x:v>
      </x:c>
    </x:row>
    <x:row r="2721">
      <x:c r="B2721" s="7" t="str">
        <x:v>AG-02715</x:v>
      </x:c>
      <x:c r="C2721" s="7" t="str">
        <x:v>PEA-B-X1</x:v>
      </x:c>
      <x:c r="D2721" s="7" t="str">
        <x:v>factory calibration</x:v>
      </x:c>
      <x:c r="E2721" s="7" t="str">
        <x:v>CAL-CH-PEA-B-X1-22-4</x:v>
      </x:c>
      <x:c r="F2721" s="7" t="str">
        <x:f>'Calibration Records'!M1000</x:f>
        <x:v>OPEN</x:v>
      </x:c>
    </x:row>
    <x:row r="2722">
      <x:c r="B2722" s="7" t="str">
        <x:v>AG-02716</x:v>
      </x:c>
      <x:c r="C2722" s="7" t="str">
        <x:v>PEA-B-X1</x:v>
      </x:c>
      <x:c r="D2722" s="7" t="str">
        <x:v>factory calibration</x:v>
      </x:c>
      <x:c r="E2722" s="7" t="str">
        <x:v>CAL-CH-PEA-B-X1-22-5</x:v>
      </x:c>
      <x:c r="F2722" s="7" t="str">
        <x:f>'Calibration Records'!M1001</x:f>
        <x:v>OPEN</x:v>
      </x:c>
    </x:row>
    <x:row r="2723">
      <x:c r="B2723" s="7" t="str">
        <x:v>AG-02717</x:v>
      </x:c>
      <x:c r="C2723" s="7" t="str">
        <x:v>PEA-B-X1</x:v>
      </x:c>
      <x:c r="D2723" s="7" t="str">
        <x:v>factory calibration</x:v>
      </x:c>
      <x:c r="E2723" s="7" t="str">
        <x:v>CAL-CH-PEA-B-X1-22-6</x:v>
      </x:c>
      <x:c r="F2723" s="7" t="str">
        <x:f>'Calibration Records'!M1002</x:f>
        <x:v>OPEN</x:v>
      </x:c>
    </x:row>
    <x:row r="2724">
      <x:c r="B2724" s="7" t="str">
        <x:v>AG-02718</x:v>
      </x:c>
      <x:c r="C2724" s="7" t="str">
        <x:v>PEA-B-X1</x:v>
      </x:c>
      <x:c r="D2724" s="7" t="str">
        <x:v>factory calibration</x:v>
      </x:c>
      <x:c r="E2724" s="7" t="str">
        <x:v>CAL-CH-PEA-B-X1-23-1</x:v>
      </x:c>
      <x:c r="F2724" s="7" t="str">
        <x:f>'Calibration Records'!M1003</x:f>
        <x:v>OPEN</x:v>
      </x:c>
    </x:row>
    <x:row r="2725">
      <x:c r="B2725" s="7" t="str">
        <x:v>AG-02719</x:v>
      </x:c>
      <x:c r="C2725" s="7" t="str">
        <x:v>PEA-B-X1</x:v>
      </x:c>
      <x:c r="D2725" s="7" t="str">
        <x:v>factory calibration</x:v>
      </x:c>
      <x:c r="E2725" s="7" t="str">
        <x:v>CAL-CH-PEA-B-X1-23-2</x:v>
      </x:c>
      <x:c r="F2725" s="7" t="str">
        <x:f>'Calibration Records'!M1004</x:f>
        <x:v>OPEN</x:v>
      </x:c>
    </x:row>
    <x:row r="2726">
      <x:c r="B2726" s="7" t="str">
        <x:v>AG-02720</x:v>
      </x:c>
      <x:c r="C2726" s="7" t="str">
        <x:v>PEA-B-X1</x:v>
      </x:c>
      <x:c r="D2726" s="7" t="str">
        <x:v>factory calibration</x:v>
      </x:c>
      <x:c r="E2726" s="7" t="str">
        <x:v>CAL-CH-PEA-B-X1-23-3</x:v>
      </x:c>
      <x:c r="F2726" s="7" t="str">
        <x:f>'Calibration Records'!M1005</x:f>
        <x:v>OPEN</x:v>
      </x:c>
    </x:row>
    <x:row r="2727">
      <x:c r="B2727" s="7" t="str">
        <x:v>AG-02721</x:v>
      </x:c>
      <x:c r="C2727" s="7" t="str">
        <x:v>PEA-B-X1</x:v>
      </x:c>
      <x:c r="D2727" s="7" t="str">
        <x:v>factory calibration</x:v>
      </x:c>
      <x:c r="E2727" s="7" t="str">
        <x:v>CAL-CH-PEA-B-X1-23-4</x:v>
      </x:c>
      <x:c r="F2727" s="7" t="str">
        <x:f>'Calibration Records'!M1006</x:f>
        <x:v>OPEN</x:v>
      </x:c>
    </x:row>
    <x:row r="2728">
      <x:c r="B2728" s="7" t="str">
        <x:v>AG-02722</x:v>
      </x:c>
      <x:c r="C2728" s="7" t="str">
        <x:v>PEA-B-X1</x:v>
      </x:c>
      <x:c r="D2728" s="7" t="str">
        <x:v>factory calibration</x:v>
      </x:c>
      <x:c r="E2728" s="7" t="str">
        <x:v>CAL-CH-PEA-B-X1-23-5</x:v>
      </x:c>
      <x:c r="F2728" s="7" t="str">
        <x:f>'Calibration Records'!M1007</x:f>
        <x:v>OPEN</x:v>
      </x:c>
    </x:row>
    <x:row r="2729">
      <x:c r="B2729" s="7" t="str">
        <x:v>AG-02723</x:v>
      </x:c>
      <x:c r="C2729" s="7" t="str">
        <x:v>PEA-B-X1</x:v>
      </x:c>
      <x:c r="D2729" s="7" t="str">
        <x:v>factory calibration</x:v>
      </x:c>
      <x:c r="E2729" s="7" t="str">
        <x:v>CAL-CH-PEA-B-X1-23-6</x:v>
      </x:c>
      <x:c r="F2729" s="7" t="str">
        <x:f>'Calibration Records'!M1008</x:f>
        <x:v>OPEN</x:v>
      </x:c>
    </x:row>
    <x:row r="2730">
      <x:c r="B2730" s="7" t="str">
        <x:v>AG-02724</x:v>
      </x:c>
      <x:c r="C2730" s="7" t="str">
        <x:v>PEA-B-X1</x:v>
      </x:c>
      <x:c r="D2730" s="7" t="str">
        <x:v>factory calibration</x:v>
      </x:c>
      <x:c r="E2730" s="7" t="str">
        <x:v>CAL-CH-PEA-B-X1-24-1</x:v>
      </x:c>
      <x:c r="F2730" s="7" t="str">
        <x:f>'Calibration Records'!M1009</x:f>
        <x:v>OPEN</x:v>
      </x:c>
    </x:row>
    <x:row r="2731">
      <x:c r="B2731" s="7" t="str">
        <x:v>AG-02725</x:v>
      </x:c>
      <x:c r="C2731" s="7" t="str">
        <x:v>PEA-B-X1</x:v>
      </x:c>
      <x:c r="D2731" s="7" t="str">
        <x:v>factory calibration</x:v>
      </x:c>
      <x:c r="E2731" s="7" t="str">
        <x:v>CAL-CH-PEA-B-X1-24-2</x:v>
      </x:c>
      <x:c r="F2731" s="7" t="str">
        <x:f>'Calibration Records'!M1010</x:f>
        <x:v>OPEN</x:v>
      </x:c>
    </x:row>
    <x:row r="2732">
      <x:c r="B2732" s="7" t="str">
        <x:v>AG-02726</x:v>
      </x:c>
      <x:c r="C2732" s="7" t="str">
        <x:v>PEA-B-X1</x:v>
      </x:c>
      <x:c r="D2732" s="7" t="str">
        <x:v>factory calibration</x:v>
      </x:c>
      <x:c r="E2732" s="7" t="str">
        <x:v>CAL-CH-PEA-B-X1-24-3</x:v>
      </x:c>
      <x:c r="F2732" s="7" t="str">
        <x:f>'Calibration Records'!M1011</x:f>
        <x:v>OPEN</x:v>
      </x:c>
    </x:row>
    <x:row r="2733">
      <x:c r="B2733" s="7" t="str">
        <x:v>AG-02727</x:v>
      </x:c>
      <x:c r="C2733" s="7" t="str">
        <x:v>PEA-B-X1</x:v>
      </x:c>
      <x:c r="D2733" s="7" t="str">
        <x:v>factory calibration</x:v>
      </x:c>
      <x:c r="E2733" s="7" t="str">
        <x:v>CAL-CH-PEA-B-X1-24-4</x:v>
      </x:c>
      <x:c r="F2733" s="7" t="str">
        <x:f>'Calibration Records'!M1012</x:f>
        <x:v>OPEN</x:v>
      </x:c>
    </x:row>
    <x:row r="2734">
      <x:c r="B2734" s="7" t="str">
        <x:v>AG-02728</x:v>
      </x:c>
      <x:c r="C2734" s="7" t="str">
        <x:v>PEA-B-X1</x:v>
      </x:c>
      <x:c r="D2734" s="7" t="str">
        <x:v>factory calibration</x:v>
      </x:c>
      <x:c r="E2734" s="7" t="str">
        <x:v>CAL-CH-PEA-B-X1-24-5</x:v>
      </x:c>
      <x:c r="F2734" s="7" t="str">
        <x:f>'Calibration Records'!M1013</x:f>
        <x:v>OPEN</x:v>
      </x:c>
    </x:row>
    <x:row r="2735">
      <x:c r="B2735" s="7" t="str">
        <x:v>AG-02729</x:v>
      </x:c>
      <x:c r="C2735" s="7" t="str">
        <x:v>PEA-B-X1</x:v>
      </x:c>
      <x:c r="D2735" s="7" t="str">
        <x:v>factory calibration</x:v>
      </x:c>
      <x:c r="E2735" s="7" t="str">
        <x:v>CAL-CH-PEA-B-X1-24-6</x:v>
      </x:c>
      <x:c r="F2735" s="7" t="str">
        <x:f>'Calibration Records'!M1014</x:f>
        <x:v>OPEN</x:v>
      </x:c>
    </x:row>
    <x:row r="2736">
      <x:c r="B2736" s="7" t="str">
        <x:v>AG-02730</x:v>
      </x:c>
      <x:c r="C2736" s="7" t="str">
        <x:v>PEA-B-X1</x:v>
      </x:c>
      <x:c r="D2736" s="7" t="str">
        <x:v>article master</x:v>
      </x:c>
      <x:c r="E2736" s="7" t="str">
        <x:v>PEA-B-X1</x:v>
      </x:c>
      <x:c r="F2736" s="7" t="str">
        <x:f>'Article Population'!Q13</x:f>
        <x:v>OPEN</x:v>
      </x:c>
    </x:row>
    <x:row r="2737">
      <x:c r="B2737" s="7" t="str">
        <x:v>AG-02731</x:v>
      </x:c>
      <x:c r="C2737" s="7" t="str">
        <x:v>PEA-B-X2</x:v>
      </x:c>
      <x:c r="D2737" s="7" t="str">
        <x:v>lineage capsule</x:v>
      </x:c>
      <x:c r="E2737" s="7" t="str">
        <x:v>BL-X</x:v>
      </x:c>
      <x:c r="F2737" s="7" t="str">
        <x:f>'Baseline Package'!F7</x:f>
        <x:v>OPEN</x:v>
      </x:c>
    </x:row>
    <x:row r="2738">
      <x:c r="B2738" s="7" t="str">
        <x:v>AG-02732</x:v>
      </x:c>
      <x:c r="C2738" s="7" t="str">
        <x:v>PEA-B-X2</x:v>
      </x:c>
      <x:c r="D2738" s="7" t="str">
        <x:v>builder qualification</x:v>
      </x:c>
      <x:c r="E2738" s="7" t="str">
        <x:v>BLD-B</x:v>
      </x:c>
      <x:c r="F2738" s="7" t="str">
        <x:f>Builders!K8</x:f>
        <x:v>OPEN</x:v>
      </x:c>
    </x:row>
    <x:row r="2739">
      <x:c r="B2739" s="7" t="str">
        <x:v>AG-02733</x:v>
      </x:c>
      <x:c r="C2739" s="7" t="str">
        <x:v>PEA-B-X2</x:v>
      </x:c>
      <x:c r="D2739" s="7" t="str">
        <x:v>material split</x:v>
      </x:c>
      <x:c r="E2739" s="7" t="str">
        <x:v>SPLIT-PEA-B-X2</x:v>
      </x:c>
      <x:c r="F2739" s="7" t="str">
        <x:f>'Material Matrix'!K14</x:f>
        <x:v>OPEN</x:v>
      </x:c>
    </x:row>
    <x:row r="2740">
      <x:c r="B2740" s="7" t="str">
        <x:v>AG-02734</x:v>
      </x:c>
      <x:c r="C2740" s="7" t="str">
        <x:v>PEA-B-X2</x:v>
      </x:c>
      <x:c r="D2740" s="7" t="str">
        <x:v>build sequence</x:v>
      </x:c>
      <x:c r="E2740" s="7" t="str">
        <x:v>SEQ-PEA-B-X2</x:v>
      </x:c>
      <x:c r="F2740" s="7" t="str">
        <x:f>'Build Sequence'!L14</x:f>
        <x:v>OPEN</x:v>
      </x:c>
    </x:row>
    <x:row r="2741">
      <x:c r="B2741" s="7" t="str">
        <x:v>AG-02735</x:v>
      </x:c>
      <x:c r="C2741" s="7" t="str">
        <x:v>PEA-B-X2</x:v>
      </x:c>
      <x:c r="D2741" s="7" t="str">
        <x:v>section traveler</x:v>
      </x:c>
      <x:c r="E2741" s="7" t="str">
        <x:v>TRV-PEA-B-X2-01</x:v>
      </x:c>
      <x:c r="F2741" s="7" t="str">
        <x:f>'Section Travelers'!L147</x:f>
        <x:v>OPEN</x:v>
      </x:c>
    </x:row>
    <x:row r="2742">
      <x:c r="B2742" s="7" t="str">
        <x:v>AG-02736</x:v>
      </x:c>
      <x:c r="C2742" s="7" t="str">
        <x:v>PEA-B-X2</x:v>
      </x:c>
      <x:c r="D2742" s="7" t="str">
        <x:v>section traveler</x:v>
      </x:c>
      <x:c r="E2742" s="7" t="str">
        <x:v>TRV-PEA-B-X2-02</x:v>
      </x:c>
      <x:c r="F2742" s="7" t="str">
        <x:f>'Section Travelers'!L148</x:f>
        <x:v>OPEN</x:v>
      </x:c>
    </x:row>
    <x:row r="2743">
      <x:c r="B2743" s="7" t="str">
        <x:v>AG-02737</x:v>
      </x:c>
      <x:c r="C2743" s="7" t="str">
        <x:v>PEA-B-X2</x:v>
      </x:c>
      <x:c r="D2743" s="7" t="str">
        <x:v>section traveler</x:v>
      </x:c>
      <x:c r="E2743" s="7" t="str">
        <x:v>TRV-PEA-B-X2-03</x:v>
      </x:c>
      <x:c r="F2743" s="7" t="str">
        <x:f>'Section Travelers'!L149</x:f>
        <x:v>OPEN</x:v>
      </x:c>
    </x:row>
    <x:row r="2744">
      <x:c r="B2744" s="7" t="str">
        <x:v>AG-02738</x:v>
      </x:c>
      <x:c r="C2744" s="7" t="str">
        <x:v>PEA-B-X2</x:v>
      </x:c>
      <x:c r="D2744" s="7" t="str">
        <x:v>section traveler</x:v>
      </x:c>
      <x:c r="E2744" s="7" t="str">
        <x:v>TRV-PEA-B-X2-04</x:v>
      </x:c>
      <x:c r="F2744" s="7" t="str">
        <x:f>'Section Travelers'!L150</x:f>
        <x:v>OPEN</x:v>
      </x:c>
    </x:row>
    <x:row r="2745">
      <x:c r="B2745" s="7" t="str">
        <x:v>AG-02739</x:v>
      </x:c>
      <x:c r="C2745" s="7" t="str">
        <x:v>PEA-B-X2</x:v>
      </x:c>
      <x:c r="D2745" s="7" t="str">
        <x:v>section traveler</x:v>
      </x:c>
      <x:c r="E2745" s="7" t="str">
        <x:v>TRV-PEA-B-X2-05</x:v>
      </x:c>
      <x:c r="F2745" s="7" t="str">
        <x:f>'Section Travelers'!L151</x:f>
        <x:v>OPEN</x:v>
      </x:c>
    </x:row>
    <x:row r="2746">
      <x:c r="B2746" s="7" t="str">
        <x:v>AG-02740</x:v>
      </x:c>
      <x:c r="C2746" s="7" t="str">
        <x:v>PEA-B-X2</x:v>
      </x:c>
      <x:c r="D2746" s="7" t="str">
        <x:v>section traveler</x:v>
      </x:c>
      <x:c r="E2746" s="7" t="str">
        <x:v>TRV-PEA-B-X2-06</x:v>
      </x:c>
      <x:c r="F2746" s="7" t="str">
        <x:f>'Section Travelers'!L152</x:f>
        <x:v>OPEN</x:v>
      </x:c>
    </x:row>
    <x:row r="2747">
      <x:c r="B2747" s="7" t="str">
        <x:v>AG-02741</x:v>
      </x:c>
      <x:c r="C2747" s="7" t="str">
        <x:v>PEA-B-X2</x:v>
      </x:c>
      <x:c r="D2747" s="7" t="str">
        <x:v>section traveler</x:v>
      </x:c>
      <x:c r="E2747" s="7" t="str">
        <x:v>TRV-PEA-B-X2-07</x:v>
      </x:c>
      <x:c r="F2747" s="7" t="str">
        <x:f>'Section Travelers'!L153</x:f>
        <x:v>OPEN</x:v>
      </x:c>
    </x:row>
    <x:row r="2748">
      <x:c r="B2748" s="7" t="str">
        <x:v>AG-02742</x:v>
      </x:c>
      <x:c r="C2748" s="7" t="str">
        <x:v>PEA-B-X2</x:v>
      </x:c>
      <x:c r="D2748" s="7" t="str">
        <x:v>section traveler</x:v>
      </x:c>
      <x:c r="E2748" s="7" t="str">
        <x:v>TRV-PEA-B-X2-08</x:v>
      </x:c>
      <x:c r="F2748" s="7" t="str">
        <x:f>'Section Travelers'!L154</x:f>
        <x:v>OPEN</x:v>
      </x:c>
    </x:row>
    <x:row r="2749">
      <x:c r="B2749" s="7" t="str">
        <x:v>AG-02743</x:v>
      </x:c>
      <x:c r="C2749" s="7" t="str">
        <x:v>PEA-B-X2</x:v>
      </x:c>
      <x:c r="D2749" s="7" t="str">
        <x:v>section traveler</x:v>
      </x:c>
      <x:c r="E2749" s="7" t="str">
        <x:v>TRV-PEA-B-X2-09</x:v>
      </x:c>
      <x:c r="F2749" s="7" t="str">
        <x:f>'Section Travelers'!L155</x:f>
        <x:v>OPEN</x:v>
      </x:c>
    </x:row>
    <x:row r="2750">
      <x:c r="B2750" s="7" t="str">
        <x:v>AG-02744</x:v>
      </x:c>
      <x:c r="C2750" s="7" t="str">
        <x:v>PEA-B-X2</x:v>
      </x:c>
      <x:c r="D2750" s="7" t="str">
        <x:v>section traveler</x:v>
      </x:c>
      <x:c r="E2750" s="7" t="str">
        <x:v>TRV-PEA-B-X2-10</x:v>
      </x:c>
      <x:c r="F2750" s="7" t="str">
        <x:f>'Section Travelers'!L156</x:f>
        <x:v>OPEN</x:v>
      </x:c>
    </x:row>
    <x:row r="2751">
      <x:c r="B2751" s="7" t="str">
        <x:v>AG-02745</x:v>
      </x:c>
      <x:c r="C2751" s="7" t="str">
        <x:v>PEA-B-X2</x:v>
      </x:c>
      <x:c r="D2751" s="7" t="str">
        <x:v>section traveler</x:v>
      </x:c>
      <x:c r="E2751" s="7" t="str">
        <x:v>TRV-PEA-B-X2-11</x:v>
      </x:c>
      <x:c r="F2751" s="7" t="str">
        <x:f>'Section Travelers'!L157</x:f>
        <x:v>OPEN</x:v>
      </x:c>
    </x:row>
    <x:row r="2752">
      <x:c r="B2752" s="7" t="str">
        <x:v>AG-02746</x:v>
      </x:c>
      <x:c r="C2752" s="7" t="str">
        <x:v>PEA-B-X2</x:v>
      </x:c>
      <x:c r="D2752" s="7" t="str">
        <x:v>section traveler</x:v>
      </x:c>
      <x:c r="E2752" s="7" t="str">
        <x:v>TRV-PEA-B-X2-12</x:v>
      </x:c>
      <x:c r="F2752" s="7" t="str">
        <x:f>'Section Travelers'!L158</x:f>
        <x:v>OPEN</x:v>
      </x:c>
    </x:row>
    <x:row r="2753">
      <x:c r="B2753" s="7" t="str">
        <x:v>AG-02747</x:v>
      </x:c>
      <x:c r="C2753" s="7" t="str">
        <x:v>PEA-B-X2</x:v>
      </x:c>
      <x:c r="D2753" s="7" t="str">
        <x:v>section traveler</x:v>
      </x:c>
      <x:c r="E2753" s="7" t="str">
        <x:v>TRV-PEA-B-X2-13</x:v>
      </x:c>
      <x:c r="F2753" s="7" t="str">
        <x:f>'Section Travelers'!L159</x:f>
        <x:v>OPEN</x:v>
      </x:c>
    </x:row>
    <x:row r="2754">
      <x:c r="B2754" s="7" t="str">
        <x:v>AG-02748</x:v>
      </x:c>
      <x:c r="C2754" s="7" t="str">
        <x:v>PEA-B-X2</x:v>
      </x:c>
      <x:c r="D2754" s="7" t="str">
        <x:v>section traveler</x:v>
      </x:c>
      <x:c r="E2754" s="7" t="str">
        <x:v>TRV-PEA-B-X2-14</x:v>
      </x:c>
      <x:c r="F2754" s="7" t="str">
        <x:f>'Section Travelers'!L160</x:f>
        <x:v>OPEN</x:v>
      </x:c>
    </x:row>
    <x:row r="2755">
      <x:c r="B2755" s="7" t="str">
        <x:v>AG-02749</x:v>
      </x:c>
      <x:c r="C2755" s="7" t="str">
        <x:v>PEA-B-X2</x:v>
      </x:c>
      <x:c r="D2755" s="7" t="str">
        <x:v>section traveler</x:v>
      </x:c>
      <x:c r="E2755" s="7" t="str">
        <x:v>TRV-PEA-B-X2-15</x:v>
      </x:c>
      <x:c r="F2755" s="7" t="str">
        <x:f>'Section Travelers'!L161</x:f>
        <x:v>OPEN</x:v>
      </x:c>
    </x:row>
    <x:row r="2756">
      <x:c r="B2756" s="7" t="str">
        <x:v>AG-02750</x:v>
      </x:c>
      <x:c r="C2756" s="7" t="str">
        <x:v>PEA-B-X2</x:v>
      </x:c>
      <x:c r="D2756" s="7" t="str">
        <x:v>section traveler</x:v>
      </x:c>
      <x:c r="E2756" s="7" t="str">
        <x:v>TRV-PEA-B-X2-16</x:v>
      </x:c>
      <x:c r="F2756" s="7" t="str">
        <x:f>'Section Travelers'!L162</x:f>
        <x:v>OPEN</x:v>
      </x:c>
    </x:row>
    <x:row r="2757">
      <x:c r="B2757" s="7" t="str">
        <x:v>AG-02751</x:v>
      </x:c>
      <x:c r="C2757" s="7" t="str">
        <x:v>PEA-B-X2</x:v>
      </x:c>
      <x:c r="D2757" s="7" t="str">
        <x:v>section traveler</x:v>
      </x:c>
      <x:c r="E2757" s="7" t="str">
        <x:v>TRV-PEA-B-X2-17</x:v>
      </x:c>
      <x:c r="F2757" s="7" t="str">
        <x:f>'Section Travelers'!L163</x:f>
        <x:v>OPEN</x:v>
      </x:c>
    </x:row>
    <x:row r="2758">
      <x:c r="B2758" s="7" t="str">
        <x:v>AG-02752</x:v>
      </x:c>
      <x:c r="C2758" s="7" t="str">
        <x:v>PEA-B-X2</x:v>
      </x:c>
      <x:c r="D2758" s="7" t="str">
        <x:v>section traveler</x:v>
      </x:c>
      <x:c r="E2758" s="7" t="str">
        <x:v>TRV-PEA-B-X2-18</x:v>
      </x:c>
      <x:c r="F2758" s="7" t="str">
        <x:f>'Section Travelers'!L164</x:f>
        <x:v>OPEN</x:v>
      </x:c>
    </x:row>
    <x:row r="2759">
      <x:c r="B2759" s="7" t="str">
        <x:v>AG-02753</x:v>
      </x:c>
      <x:c r="C2759" s="7" t="str">
        <x:v>PEA-B-X2</x:v>
      </x:c>
      <x:c r="D2759" s="7" t="str">
        <x:v>section traveler</x:v>
      </x:c>
      <x:c r="E2759" s="7" t="str">
        <x:v>TRV-PEA-B-X2-19</x:v>
      </x:c>
      <x:c r="F2759" s="7" t="str">
        <x:f>'Section Travelers'!L165</x:f>
        <x:v>OPEN</x:v>
      </x:c>
    </x:row>
    <x:row r="2760">
      <x:c r="B2760" s="7" t="str">
        <x:v>AG-02754</x:v>
      </x:c>
      <x:c r="C2760" s="7" t="str">
        <x:v>PEA-B-X2</x:v>
      </x:c>
      <x:c r="D2760" s="7" t="str">
        <x:v>section traveler</x:v>
      </x:c>
      <x:c r="E2760" s="7" t="str">
        <x:v>TRV-PEA-B-X2-20</x:v>
      </x:c>
      <x:c r="F2760" s="7" t="str">
        <x:f>'Section Travelers'!L166</x:f>
        <x:v>OPEN</x:v>
      </x:c>
    </x:row>
    <x:row r="2761">
      <x:c r="B2761" s="7" t="str">
        <x:v>AG-02755</x:v>
      </x:c>
      <x:c r="C2761" s="7" t="str">
        <x:v>PEA-B-X2</x:v>
      </x:c>
      <x:c r="D2761" s="7" t="str">
        <x:v>material coupon</x:v>
      </x:c>
      <x:c r="E2761" s="7" t="str">
        <x:v>CPN-PEA-B-X2-CJ-1</x:v>
      </x:c>
      <x:c r="F2761" s="7" t="str">
        <x:f>'Material Coupons'!K287</x:f>
        <x:v>OPEN</x:v>
      </x:c>
    </x:row>
    <x:row r="2762">
      <x:c r="B2762" s="7" t="str">
        <x:v>AG-02756</x:v>
      </x:c>
      <x:c r="C2762" s="7" t="str">
        <x:v>PEA-B-X2</x:v>
      </x:c>
      <x:c r="D2762" s="7" t="str">
        <x:v>material coupon</x:v>
      </x:c>
      <x:c r="E2762" s="7" t="str">
        <x:v>CPN-PEA-B-X2-CJ-2</x:v>
      </x:c>
      <x:c r="F2762" s="7" t="str">
        <x:f>'Material Coupons'!K288</x:f>
        <x:v>OPEN</x:v>
      </x:c>
    </x:row>
    <x:row r="2763">
      <x:c r="B2763" s="7" t="str">
        <x:v>AG-02757</x:v>
      </x:c>
      <x:c r="C2763" s="7" t="str">
        <x:v>PEA-B-X2</x:v>
      </x:c>
      <x:c r="D2763" s="7" t="str">
        <x:v>material coupon</x:v>
      </x:c>
      <x:c r="E2763" s="7" t="str">
        <x:v>CPN-PEA-B-X2-CJ-3</x:v>
      </x:c>
      <x:c r="F2763" s="7" t="str">
        <x:f>'Material Coupons'!K289</x:f>
        <x:v>OPEN</x:v>
      </x:c>
    </x:row>
    <x:row r="2764">
      <x:c r="B2764" s="7" t="str">
        <x:v>AG-02758</x:v>
      </x:c>
      <x:c r="C2764" s="7" t="str">
        <x:v>PEA-B-X2</x:v>
      </x:c>
      <x:c r="D2764" s="7" t="str">
        <x:v>material coupon</x:v>
      </x:c>
      <x:c r="E2764" s="7" t="str">
        <x:v>CPN-PEA-B-X2-CJ-4</x:v>
      </x:c>
      <x:c r="F2764" s="7" t="str">
        <x:f>'Material Coupons'!K290</x:f>
        <x:v>OPEN</x:v>
      </x:c>
    </x:row>
    <x:row r="2765">
      <x:c r="B2765" s="7" t="str">
        <x:v>AG-02759</x:v>
      </x:c>
      <x:c r="C2765" s="7" t="str">
        <x:v>PEA-B-X2</x:v>
      </x:c>
      <x:c r="D2765" s="7" t="str">
        <x:v>material coupon</x:v>
      </x:c>
      <x:c r="E2765" s="7" t="str">
        <x:v>CPN-PEA-B-X2-CJ-5</x:v>
      </x:c>
      <x:c r="F2765" s="7" t="str">
        <x:f>'Material Coupons'!K291</x:f>
        <x:v>OPEN</x:v>
      </x:c>
    </x:row>
    <x:row r="2766">
      <x:c r="B2766" s="7" t="str">
        <x:v>AG-02760</x:v>
      </x:c>
      <x:c r="C2766" s="7" t="str">
        <x:v>PEA-B-X2</x:v>
      </x:c>
      <x:c r="D2766" s="7" t="str">
        <x:v>material coupon</x:v>
      </x:c>
      <x:c r="E2766" s="7" t="str">
        <x:v>CPN-PEA-B-X2-CJ-6</x:v>
      </x:c>
      <x:c r="F2766" s="7" t="str">
        <x:f>'Material Coupons'!K292</x:f>
        <x:v>OPEN</x:v>
      </x:c>
    </x:row>
    <x:row r="2767">
      <x:c r="B2767" s="7" t="str">
        <x:v>AG-02761</x:v>
      </x:c>
      <x:c r="C2767" s="7" t="str">
        <x:v>PEA-B-X2</x:v>
      </x:c>
      <x:c r="D2767" s="7" t="str">
        <x:v>material coupon</x:v>
      </x:c>
      <x:c r="E2767" s="7" t="str">
        <x:v>CPN-PEA-B-X2-CJ-7</x:v>
      </x:c>
      <x:c r="F2767" s="7" t="str">
        <x:f>'Material Coupons'!K293</x:f>
        <x:v>OPEN</x:v>
      </x:c>
    </x:row>
    <x:row r="2768">
      <x:c r="B2768" s="7" t="str">
        <x:v>AG-02762</x:v>
      </x:c>
      <x:c r="C2768" s="7" t="str">
        <x:v>PEA-B-X2</x:v>
      </x:c>
      <x:c r="D2768" s="7" t="str">
        <x:v>material coupon</x:v>
      </x:c>
      <x:c r="E2768" s="7" t="str">
        <x:v>CPN-PEA-B-X2-CJ-8</x:v>
      </x:c>
      <x:c r="F2768" s="7" t="str">
        <x:f>'Material Coupons'!K294</x:f>
        <x:v>OPEN</x:v>
      </x:c>
    </x:row>
    <x:row r="2769">
      <x:c r="B2769" s="7" t="str">
        <x:v>AG-02763</x:v>
      </x:c>
      <x:c r="C2769" s="7" t="str">
        <x:v>PEA-B-X2</x:v>
      </x:c>
      <x:c r="D2769" s="7" t="str">
        <x:v>material coupon</x:v>
      </x:c>
      <x:c r="E2769" s="7" t="str">
        <x:v>CPN-PEA-B-X2-SE-1</x:v>
      </x:c>
      <x:c r="F2769" s="7" t="str">
        <x:f>'Material Coupons'!K295</x:f>
        <x:v>OPEN</x:v>
      </x:c>
    </x:row>
    <x:row r="2770">
      <x:c r="B2770" s="7" t="str">
        <x:v>AG-02764</x:v>
      </x:c>
      <x:c r="C2770" s="7" t="str">
        <x:v>PEA-B-X2</x:v>
      </x:c>
      <x:c r="D2770" s="7" t="str">
        <x:v>material coupon</x:v>
      </x:c>
      <x:c r="E2770" s="7" t="str">
        <x:v>CPN-PEA-B-X2-SE-2</x:v>
      </x:c>
      <x:c r="F2770" s="7" t="str">
        <x:f>'Material Coupons'!K296</x:f>
        <x:v>OPEN</x:v>
      </x:c>
    </x:row>
    <x:row r="2771">
      <x:c r="B2771" s="7" t="str">
        <x:v>AG-02765</x:v>
      </x:c>
      <x:c r="C2771" s="7" t="str">
        <x:v>PEA-B-X2</x:v>
      </x:c>
      <x:c r="D2771" s="7" t="str">
        <x:v>material coupon</x:v>
      </x:c>
      <x:c r="E2771" s="7" t="str">
        <x:v>CPN-PEA-B-X2-SE-3</x:v>
      </x:c>
      <x:c r="F2771" s="7" t="str">
        <x:f>'Material Coupons'!K297</x:f>
        <x:v>OPEN</x:v>
      </x:c>
    </x:row>
    <x:row r="2772">
      <x:c r="B2772" s="7" t="str">
        <x:v>AG-02766</x:v>
      </x:c>
      <x:c r="C2772" s="7" t="str">
        <x:v>PEA-B-X2</x:v>
      </x:c>
      <x:c r="D2772" s="7" t="str">
        <x:v>material coupon</x:v>
      </x:c>
      <x:c r="E2772" s="7" t="str">
        <x:v>CPN-PEA-B-X2-SE-4</x:v>
      </x:c>
      <x:c r="F2772" s="7" t="str">
        <x:f>'Material Coupons'!K298</x:f>
        <x:v>OPEN</x:v>
      </x:c>
    </x:row>
    <x:row r="2773">
      <x:c r="B2773" s="7" t="str">
        <x:v>AG-02767</x:v>
      </x:c>
      <x:c r="C2773" s="7" t="str">
        <x:v>PEA-B-X2</x:v>
      </x:c>
      <x:c r="D2773" s="7" t="str">
        <x:v>material coupon</x:v>
      </x:c>
      <x:c r="E2773" s="7" t="str">
        <x:v>CPN-PEA-B-X2-SE-5</x:v>
      </x:c>
      <x:c r="F2773" s="7" t="str">
        <x:f>'Material Coupons'!K299</x:f>
        <x:v>OPEN</x:v>
      </x:c>
    </x:row>
    <x:row r="2774">
      <x:c r="B2774" s="7" t="str">
        <x:v>AG-02768</x:v>
      </x:c>
      <x:c r="C2774" s="7" t="str">
        <x:v>PEA-B-X2</x:v>
      </x:c>
      <x:c r="D2774" s="7" t="str">
        <x:v>material coupon</x:v>
      </x:c>
      <x:c r="E2774" s="7" t="str">
        <x:v>CPN-PEA-B-X2-SE-6</x:v>
      </x:c>
      <x:c r="F2774" s="7" t="str">
        <x:f>'Material Coupons'!K300</x:f>
        <x:v>OPEN</x:v>
      </x:c>
    </x:row>
    <x:row r="2775">
      <x:c r="B2775" s="7" t="str">
        <x:v>AG-02769</x:v>
      </x:c>
      <x:c r="C2775" s="7" t="str">
        <x:v>PEA-B-X2</x:v>
      </x:c>
      <x:c r="D2775" s="7" t="str">
        <x:v>material coupon</x:v>
      </x:c>
      <x:c r="E2775" s="7" t="str">
        <x:v>CPN-PEA-B-X2-SE-7</x:v>
      </x:c>
      <x:c r="F2775" s="7" t="str">
        <x:f>'Material Coupons'!K301</x:f>
        <x:v>OPEN</x:v>
      </x:c>
    </x:row>
    <x:row r="2776">
      <x:c r="B2776" s="7" t="str">
        <x:v>AG-02770</x:v>
      </x:c>
      <x:c r="C2776" s="7" t="str">
        <x:v>PEA-B-X2</x:v>
      </x:c>
      <x:c r="D2776" s="7" t="str">
        <x:v>material coupon</x:v>
      </x:c>
      <x:c r="E2776" s="7" t="str">
        <x:v>CPN-PEA-B-X2-SE-8</x:v>
      </x:c>
      <x:c r="F2776" s="7" t="str">
        <x:f>'Material Coupons'!K302</x:f>
        <x:v>OPEN</x:v>
      </x:c>
    </x:row>
    <x:row r="2777">
      <x:c r="B2777" s="7" t="str">
        <x:v>AG-02771</x:v>
      </x:c>
      <x:c r="C2777" s="7" t="str">
        <x:v>PEA-B-X2</x:v>
      </x:c>
      <x:c r="D2777" s="7" t="str">
        <x:v>material coupon</x:v>
      </x:c>
      <x:c r="E2777" s="7" t="str">
        <x:v>CPN-PEA-B-X2-SF-1</x:v>
      </x:c>
      <x:c r="F2777" s="7" t="str">
        <x:f>'Material Coupons'!K303</x:f>
        <x:v>OPEN</x:v>
      </x:c>
    </x:row>
    <x:row r="2778">
      <x:c r="B2778" s="7" t="str">
        <x:v>AG-02772</x:v>
      </x:c>
      <x:c r="C2778" s="7" t="str">
        <x:v>PEA-B-X2</x:v>
      </x:c>
      <x:c r="D2778" s="7" t="str">
        <x:v>material coupon</x:v>
      </x:c>
      <x:c r="E2778" s="7" t="str">
        <x:v>CPN-PEA-B-X2-SF-2</x:v>
      </x:c>
      <x:c r="F2778" s="7" t="str">
        <x:f>'Material Coupons'!K304</x:f>
        <x:v>OPEN</x:v>
      </x:c>
    </x:row>
    <x:row r="2779">
      <x:c r="B2779" s="7" t="str">
        <x:v>AG-02773</x:v>
      </x:c>
      <x:c r="C2779" s="7" t="str">
        <x:v>PEA-B-X2</x:v>
      </x:c>
      <x:c r="D2779" s="7" t="str">
        <x:v>material coupon</x:v>
      </x:c>
      <x:c r="E2779" s="7" t="str">
        <x:v>CPN-PEA-B-X2-SF-3</x:v>
      </x:c>
      <x:c r="F2779" s="7" t="str">
        <x:f>'Material Coupons'!K305</x:f>
        <x:v>OPEN</x:v>
      </x:c>
    </x:row>
    <x:row r="2780">
      <x:c r="B2780" s="7" t="str">
        <x:v>AG-02774</x:v>
      </x:c>
      <x:c r="C2780" s="7" t="str">
        <x:v>PEA-B-X2</x:v>
      </x:c>
      <x:c r="D2780" s="7" t="str">
        <x:v>material coupon</x:v>
      </x:c>
      <x:c r="E2780" s="7" t="str">
        <x:v>CPN-PEA-B-X2-SF-4</x:v>
      </x:c>
      <x:c r="F2780" s="7" t="str">
        <x:f>'Material Coupons'!K306</x:f>
        <x:v>OPEN</x:v>
      </x:c>
    </x:row>
    <x:row r="2781">
      <x:c r="B2781" s="7" t="str">
        <x:v>AG-02775</x:v>
      </x:c>
      <x:c r="C2781" s="7" t="str">
        <x:v>PEA-B-X2</x:v>
      </x:c>
      <x:c r="D2781" s="7" t="str">
        <x:v>material coupon</x:v>
      </x:c>
      <x:c r="E2781" s="7" t="str">
        <x:v>CPN-PEA-B-X2-SF-5</x:v>
      </x:c>
      <x:c r="F2781" s="7" t="str">
        <x:f>'Material Coupons'!K307</x:f>
        <x:v>OPEN</x:v>
      </x:c>
    </x:row>
    <x:row r="2782">
      <x:c r="B2782" s="7" t="str">
        <x:v>AG-02776</x:v>
      </x:c>
      <x:c r="C2782" s="7" t="str">
        <x:v>PEA-B-X2</x:v>
      </x:c>
      <x:c r="D2782" s="7" t="str">
        <x:v>material coupon</x:v>
      </x:c>
      <x:c r="E2782" s="7" t="str">
        <x:v>CPN-PEA-B-X2-SF-6</x:v>
      </x:c>
      <x:c r="F2782" s="7" t="str">
        <x:f>'Material Coupons'!K308</x:f>
        <x:v>OPEN</x:v>
      </x:c>
    </x:row>
    <x:row r="2783">
      <x:c r="B2783" s="7" t="str">
        <x:v>AG-02777</x:v>
      </x:c>
      <x:c r="C2783" s="7" t="str">
        <x:v>PEA-B-X2</x:v>
      </x:c>
      <x:c r="D2783" s="7" t="str">
        <x:v>material coupon</x:v>
      </x:c>
      <x:c r="E2783" s="7" t="str">
        <x:v>CPN-PEA-B-X2-SF-7</x:v>
      </x:c>
      <x:c r="F2783" s="7" t="str">
        <x:f>'Material Coupons'!K309</x:f>
        <x:v>OPEN</x:v>
      </x:c>
    </x:row>
    <x:row r="2784">
      <x:c r="B2784" s="7" t="str">
        <x:v>AG-02778</x:v>
      </x:c>
      <x:c r="C2784" s="7" t="str">
        <x:v>PEA-B-X2</x:v>
      </x:c>
      <x:c r="D2784" s="7" t="str">
        <x:v>material coupon</x:v>
      </x:c>
      <x:c r="E2784" s="7" t="str">
        <x:v>CPN-PEA-B-X2-SF-8</x:v>
      </x:c>
      <x:c r="F2784" s="7" t="str">
        <x:f>'Material Coupons'!K310</x:f>
        <x:v>OPEN</x:v>
      </x:c>
    </x:row>
    <x:row r="2785">
      <x:c r="B2785" s="7" t="str">
        <x:v>AG-02779</x:v>
      </x:c>
      <x:c r="C2785" s="7" t="str">
        <x:v>PEA-B-X2</x:v>
      </x:c>
      <x:c r="D2785" s="7" t="str">
        <x:v>material coupon</x:v>
      </x:c>
      <x:c r="E2785" s="7" t="str">
        <x:v>CPN-PEA-B-X2-CP-1</x:v>
      </x:c>
      <x:c r="F2785" s="7" t="str">
        <x:f>'Material Coupons'!K311</x:f>
        <x:v>OPEN</x:v>
      </x:c>
    </x:row>
    <x:row r="2786">
      <x:c r="B2786" s="7" t="str">
        <x:v>AG-02780</x:v>
      </x:c>
      <x:c r="C2786" s="7" t="str">
        <x:v>PEA-B-X2</x:v>
      </x:c>
      <x:c r="D2786" s="7" t="str">
        <x:v>material coupon</x:v>
      </x:c>
      <x:c r="E2786" s="7" t="str">
        <x:v>CPN-PEA-B-X2-CP-2</x:v>
      </x:c>
      <x:c r="F2786" s="7" t="str">
        <x:f>'Material Coupons'!K312</x:f>
        <x:v>OPEN</x:v>
      </x:c>
    </x:row>
    <x:row r="2787">
      <x:c r="B2787" s="7" t="str">
        <x:v>AG-02781</x:v>
      </x:c>
      <x:c r="C2787" s="7" t="str">
        <x:v>PEA-B-X2</x:v>
      </x:c>
      <x:c r="D2787" s="7" t="str">
        <x:v>material coupon</x:v>
      </x:c>
      <x:c r="E2787" s="7" t="str">
        <x:v>CPN-PEA-B-X2-CP-3</x:v>
      </x:c>
      <x:c r="F2787" s="7" t="str">
        <x:f>'Material Coupons'!K313</x:f>
        <x:v>OPEN</x:v>
      </x:c>
    </x:row>
    <x:row r="2788">
      <x:c r="B2788" s="7" t="str">
        <x:v>AG-02782</x:v>
      </x:c>
      <x:c r="C2788" s="7" t="str">
        <x:v>PEA-B-X2</x:v>
      </x:c>
      <x:c r="D2788" s="7" t="str">
        <x:v>material coupon</x:v>
      </x:c>
      <x:c r="E2788" s="7" t="str">
        <x:v>CPN-PEA-B-X2-CP-4</x:v>
      </x:c>
      <x:c r="F2788" s="7" t="str">
        <x:f>'Material Coupons'!K314</x:f>
        <x:v>OPEN</x:v>
      </x:c>
    </x:row>
    <x:row r="2789">
      <x:c r="B2789" s="7" t="str">
        <x:v>AG-02783</x:v>
      </x:c>
      <x:c r="C2789" s="7" t="str">
        <x:v>PEA-B-X2</x:v>
      </x:c>
      <x:c r="D2789" s="7" t="str">
        <x:v>material coupon</x:v>
      </x:c>
      <x:c r="E2789" s="7" t="str">
        <x:v>CPN-PEA-B-X2-CP-5</x:v>
      </x:c>
      <x:c r="F2789" s="7" t="str">
        <x:f>'Material Coupons'!K315</x:f>
        <x:v>OPEN</x:v>
      </x:c>
    </x:row>
    <x:row r="2790">
      <x:c r="B2790" s="7" t="str">
        <x:v>AG-02784</x:v>
      </x:c>
      <x:c r="C2790" s="7" t="str">
        <x:v>PEA-B-X2</x:v>
      </x:c>
      <x:c r="D2790" s="7" t="str">
        <x:v>material coupon</x:v>
      </x:c>
      <x:c r="E2790" s="7" t="str">
        <x:v>CPN-PEA-B-X2-CP-6</x:v>
      </x:c>
      <x:c r="F2790" s="7" t="str">
        <x:f>'Material Coupons'!K316</x:f>
        <x:v>OPEN</x:v>
      </x:c>
    </x:row>
    <x:row r="2791">
      <x:c r="B2791" s="7" t="str">
        <x:v>AG-02785</x:v>
      </x:c>
      <x:c r="C2791" s="7" t="str">
        <x:v>PEA-B-X2</x:v>
      </x:c>
      <x:c r="D2791" s="7" t="str">
        <x:v>material coupon</x:v>
      </x:c>
      <x:c r="E2791" s="7" t="str">
        <x:v>CPN-PEA-B-X2-CP-7</x:v>
      </x:c>
      <x:c r="F2791" s="7" t="str">
        <x:f>'Material Coupons'!K317</x:f>
        <x:v>OPEN</x:v>
      </x:c>
    </x:row>
    <x:row r="2792">
      <x:c r="B2792" s="7" t="str">
        <x:v>AG-02786</x:v>
      </x:c>
      <x:c r="C2792" s="7" t="str">
        <x:v>PEA-B-X2</x:v>
      </x:c>
      <x:c r="D2792" s="7" t="str">
        <x:v>material coupon</x:v>
      </x:c>
      <x:c r="E2792" s="7" t="str">
        <x:v>CPN-PEA-B-X2-CP-8</x:v>
      </x:c>
      <x:c r="F2792" s="7" t="str">
        <x:f>'Material Coupons'!K318</x:f>
        <x:v>OPEN</x:v>
      </x:c>
    </x:row>
    <x:row r="2793">
      <x:c r="B2793" s="7" t="str">
        <x:v>AG-02787</x:v>
      </x:c>
      <x:c r="C2793" s="7" t="str">
        <x:v>PEA-B-X2</x:v>
      </x:c>
      <x:c r="D2793" s="7" t="str">
        <x:v>material coupon</x:v>
      </x:c>
      <x:c r="E2793" s="7" t="str">
        <x:v>CPN-PEA-B-X2-SM-1</x:v>
      </x:c>
      <x:c r="F2793" s="7" t="str">
        <x:f>'Material Coupons'!K319</x:f>
        <x:v>OPEN</x:v>
      </x:c>
    </x:row>
    <x:row r="2794">
      <x:c r="B2794" s="7" t="str">
        <x:v>AG-02788</x:v>
      </x:c>
      <x:c r="C2794" s="7" t="str">
        <x:v>PEA-B-X2</x:v>
      </x:c>
      <x:c r="D2794" s="7" t="str">
        <x:v>material coupon</x:v>
      </x:c>
      <x:c r="E2794" s="7" t="str">
        <x:v>CPN-PEA-B-X2-SM-2</x:v>
      </x:c>
      <x:c r="F2794" s="7" t="str">
        <x:f>'Material Coupons'!K320</x:f>
        <x:v>OPEN</x:v>
      </x:c>
    </x:row>
    <x:row r="2795">
      <x:c r="B2795" s="7" t="str">
        <x:v>AG-02789</x:v>
      </x:c>
      <x:c r="C2795" s="7" t="str">
        <x:v>PEA-B-X2</x:v>
      </x:c>
      <x:c r="D2795" s="7" t="str">
        <x:v>material coupon</x:v>
      </x:c>
      <x:c r="E2795" s="7" t="str">
        <x:v>CPN-PEA-B-X2-SM-3</x:v>
      </x:c>
      <x:c r="F2795" s="7" t="str">
        <x:f>'Material Coupons'!K321</x:f>
        <x:v>OPEN</x:v>
      </x:c>
    </x:row>
    <x:row r="2796">
      <x:c r="B2796" s="7" t="str">
        <x:v>AG-02790</x:v>
      </x:c>
      <x:c r="C2796" s="7" t="str">
        <x:v>PEA-B-X2</x:v>
      </x:c>
      <x:c r="D2796" s="7" t="str">
        <x:v>material coupon</x:v>
      </x:c>
      <x:c r="E2796" s="7" t="str">
        <x:v>CPN-PEA-B-X2-SM-4</x:v>
      </x:c>
      <x:c r="F2796" s="7" t="str">
        <x:f>'Material Coupons'!K322</x:f>
        <x:v>OPEN</x:v>
      </x:c>
    </x:row>
    <x:row r="2797">
      <x:c r="B2797" s="7" t="str">
        <x:v>AG-02791</x:v>
      </x:c>
      <x:c r="C2797" s="7" t="str">
        <x:v>PEA-B-X2</x:v>
      </x:c>
      <x:c r="D2797" s="7" t="str">
        <x:v>material coupon</x:v>
      </x:c>
      <x:c r="E2797" s="7" t="str">
        <x:v>CPN-PEA-B-X2-SM-5</x:v>
      </x:c>
      <x:c r="F2797" s="7" t="str">
        <x:f>'Material Coupons'!K323</x:f>
        <x:v>OPEN</x:v>
      </x:c>
    </x:row>
    <x:row r="2798">
      <x:c r="B2798" s="7" t="str">
        <x:v>AG-02792</x:v>
      </x:c>
      <x:c r="C2798" s="7" t="str">
        <x:v>PEA-B-X2</x:v>
      </x:c>
      <x:c r="D2798" s="7" t="str">
        <x:v>material coupon</x:v>
      </x:c>
      <x:c r="E2798" s="7" t="str">
        <x:v>CPN-PEA-B-X2-SM-6</x:v>
      </x:c>
      <x:c r="F2798" s="7" t="str">
        <x:f>'Material Coupons'!K324</x:f>
        <x:v>OPEN</x:v>
      </x:c>
    </x:row>
    <x:row r="2799">
      <x:c r="B2799" s="7" t="str">
        <x:v>AG-02793</x:v>
      </x:c>
      <x:c r="C2799" s="7" t="str">
        <x:v>PEA-B-X2</x:v>
      </x:c>
      <x:c r="D2799" s="7" t="str">
        <x:v>material coupon</x:v>
      </x:c>
      <x:c r="E2799" s="7" t="str">
        <x:v>CPN-PEA-B-X2-SM-7</x:v>
      </x:c>
      <x:c r="F2799" s="7" t="str">
        <x:f>'Material Coupons'!K325</x:f>
        <x:v>OPEN</x:v>
      </x:c>
    </x:row>
    <x:row r="2800">
      <x:c r="B2800" s="7" t="str">
        <x:v>AG-02794</x:v>
      </x:c>
      <x:c r="C2800" s="7" t="str">
        <x:v>PEA-B-X2</x:v>
      </x:c>
      <x:c r="D2800" s="7" t="str">
        <x:v>material coupon</x:v>
      </x:c>
      <x:c r="E2800" s="7" t="str">
        <x:v>CPN-PEA-B-X2-SM-8</x:v>
      </x:c>
      <x:c r="F2800" s="7" t="str">
        <x:f>'Material Coupons'!K326</x:f>
        <x:v>OPEN</x:v>
      </x:c>
    </x:row>
    <x:row r="2801">
      <x:c r="B2801" s="7" t="str">
        <x:v>AG-02795</x:v>
      </x:c>
      <x:c r="C2801" s="7" t="str">
        <x:v>PEA-B-X2</x:v>
      </x:c>
      <x:c r="D2801" s="7" t="str">
        <x:v>NDE record</x:v>
      </x:c>
      <x:c r="E2801" s="7" t="str">
        <x:v>NDE-TRV-PEA-B-X2-01</x:v>
      </x:c>
      <x:c r="F2801" s="7" t="str">
        <x:f>'NDE Records'!L147</x:f>
        <x:v>OPEN</x:v>
      </x:c>
    </x:row>
    <x:row r="2802">
      <x:c r="B2802" s="7" t="str">
        <x:v>AG-02796</x:v>
      </x:c>
      <x:c r="C2802" s="7" t="str">
        <x:v>PEA-B-X2</x:v>
      </x:c>
      <x:c r="D2802" s="7" t="str">
        <x:v>NDE record</x:v>
      </x:c>
      <x:c r="E2802" s="7" t="str">
        <x:v>NDE-TRV-PEA-B-X2-02</x:v>
      </x:c>
      <x:c r="F2802" s="7" t="str">
        <x:f>'NDE Records'!L148</x:f>
        <x:v>OPEN</x:v>
      </x:c>
    </x:row>
    <x:row r="2803">
      <x:c r="B2803" s="7" t="str">
        <x:v>AG-02797</x:v>
      </x:c>
      <x:c r="C2803" s="7" t="str">
        <x:v>PEA-B-X2</x:v>
      </x:c>
      <x:c r="D2803" s="7" t="str">
        <x:v>NDE record</x:v>
      </x:c>
      <x:c r="E2803" s="7" t="str">
        <x:v>NDE-TRV-PEA-B-X2-03</x:v>
      </x:c>
      <x:c r="F2803" s="7" t="str">
        <x:f>'NDE Records'!L149</x:f>
        <x:v>OPEN</x:v>
      </x:c>
    </x:row>
    <x:row r="2804">
      <x:c r="B2804" s="7" t="str">
        <x:v>AG-02798</x:v>
      </x:c>
      <x:c r="C2804" s="7" t="str">
        <x:v>PEA-B-X2</x:v>
      </x:c>
      <x:c r="D2804" s="7" t="str">
        <x:v>NDE record</x:v>
      </x:c>
      <x:c r="E2804" s="7" t="str">
        <x:v>NDE-TRV-PEA-B-X2-04</x:v>
      </x:c>
      <x:c r="F2804" s="7" t="str">
        <x:f>'NDE Records'!L150</x:f>
        <x:v>OPEN</x:v>
      </x:c>
    </x:row>
    <x:row r="2805">
      <x:c r="B2805" s="7" t="str">
        <x:v>AG-02799</x:v>
      </x:c>
      <x:c r="C2805" s="7" t="str">
        <x:v>PEA-B-X2</x:v>
      </x:c>
      <x:c r="D2805" s="7" t="str">
        <x:v>NDE record</x:v>
      </x:c>
      <x:c r="E2805" s="7" t="str">
        <x:v>NDE-TRV-PEA-B-X2-05</x:v>
      </x:c>
      <x:c r="F2805" s="7" t="str">
        <x:f>'NDE Records'!L151</x:f>
        <x:v>OPEN</x:v>
      </x:c>
    </x:row>
    <x:row r="2806">
      <x:c r="B2806" s="7" t="str">
        <x:v>AG-02800</x:v>
      </x:c>
      <x:c r="C2806" s="7" t="str">
        <x:v>PEA-B-X2</x:v>
      </x:c>
      <x:c r="D2806" s="7" t="str">
        <x:v>NDE record</x:v>
      </x:c>
      <x:c r="E2806" s="7" t="str">
        <x:v>NDE-TRV-PEA-B-X2-06</x:v>
      </x:c>
      <x:c r="F2806" s="7" t="str">
        <x:f>'NDE Records'!L152</x:f>
        <x:v>OPEN</x:v>
      </x:c>
    </x:row>
    <x:row r="2807">
      <x:c r="B2807" s="7" t="str">
        <x:v>AG-02801</x:v>
      </x:c>
      <x:c r="C2807" s="7" t="str">
        <x:v>PEA-B-X2</x:v>
      </x:c>
      <x:c r="D2807" s="7" t="str">
        <x:v>NDE record</x:v>
      </x:c>
      <x:c r="E2807" s="7" t="str">
        <x:v>NDE-TRV-PEA-B-X2-07</x:v>
      </x:c>
      <x:c r="F2807" s="7" t="str">
        <x:f>'NDE Records'!L153</x:f>
        <x:v>OPEN</x:v>
      </x:c>
    </x:row>
    <x:row r="2808">
      <x:c r="B2808" s="7" t="str">
        <x:v>AG-02802</x:v>
      </x:c>
      <x:c r="C2808" s="7" t="str">
        <x:v>PEA-B-X2</x:v>
      </x:c>
      <x:c r="D2808" s="7" t="str">
        <x:v>NDE record</x:v>
      </x:c>
      <x:c r="E2808" s="7" t="str">
        <x:v>NDE-TRV-PEA-B-X2-08</x:v>
      </x:c>
      <x:c r="F2808" s="7" t="str">
        <x:f>'NDE Records'!L154</x:f>
        <x:v>OPEN</x:v>
      </x:c>
    </x:row>
    <x:row r="2809">
      <x:c r="B2809" s="7" t="str">
        <x:v>AG-02803</x:v>
      </x:c>
      <x:c r="C2809" s="7" t="str">
        <x:v>PEA-B-X2</x:v>
      </x:c>
      <x:c r="D2809" s="7" t="str">
        <x:v>NDE record</x:v>
      </x:c>
      <x:c r="E2809" s="7" t="str">
        <x:v>NDE-TRV-PEA-B-X2-09</x:v>
      </x:c>
      <x:c r="F2809" s="7" t="str">
        <x:f>'NDE Records'!L155</x:f>
        <x:v>OPEN</x:v>
      </x:c>
    </x:row>
    <x:row r="2810">
      <x:c r="B2810" s="7" t="str">
        <x:v>AG-02804</x:v>
      </x:c>
      <x:c r="C2810" s="7" t="str">
        <x:v>PEA-B-X2</x:v>
      </x:c>
      <x:c r="D2810" s="7" t="str">
        <x:v>NDE record</x:v>
      </x:c>
      <x:c r="E2810" s="7" t="str">
        <x:v>NDE-TRV-PEA-B-X2-10</x:v>
      </x:c>
      <x:c r="F2810" s="7" t="str">
        <x:f>'NDE Records'!L156</x:f>
        <x:v>OPEN</x:v>
      </x:c>
    </x:row>
    <x:row r="2811">
      <x:c r="B2811" s="7" t="str">
        <x:v>AG-02805</x:v>
      </x:c>
      <x:c r="C2811" s="7" t="str">
        <x:v>PEA-B-X2</x:v>
      </x:c>
      <x:c r="D2811" s="7" t="str">
        <x:v>NDE record</x:v>
      </x:c>
      <x:c r="E2811" s="7" t="str">
        <x:v>NDE-TRV-PEA-B-X2-11</x:v>
      </x:c>
      <x:c r="F2811" s="7" t="str">
        <x:f>'NDE Records'!L157</x:f>
        <x:v>OPEN</x:v>
      </x:c>
    </x:row>
    <x:row r="2812">
      <x:c r="B2812" s="7" t="str">
        <x:v>AG-02806</x:v>
      </x:c>
      <x:c r="C2812" s="7" t="str">
        <x:v>PEA-B-X2</x:v>
      </x:c>
      <x:c r="D2812" s="7" t="str">
        <x:v>NDE record</x:v>
      </x:c>
      <x:c r="E2812" s="7" t="str">
        <x:v>NDE-TRV-PEA-B-X2-12</x:v>
      </x:c>
      <x:c r="F2812" s="7" t="str">
        <x:f>'NDE Records'!L158</x:f>
        <x:v>OPEN</x:v>
      </x:c>
    </x:row>
    <x:row r="2813">
      <x:c r="B2813" s="7" t="str">
        <x:v>AG-02807</x:v>
      </x:c>
      <x:c r="C2813" s="7" t="str">
        <x:v>PEA-B-X2</x:v>
      </x:c>
      <x:c r="D2813" s="7" t="str">
        <x:v>NDE record</x:v>
      </x:c>
      <x:c r="E2813" s="7" t="str">
        <x:v>NDE-TRV-PEA-B-X2-13</x:v>
      </x:c>
      <x:c r="F2813" s="7" t="str">
        <x:f>'NDE Records'!L159</x:f>
        <x:v>OPEN</x:v>
      </x:c>
    </x:row>
    <x:row r="2814">
      <x:c r="B2814" s="7" t="str">
        <x:v>AG-02808</x:v>
      </x:c>
      <x:c r="C2814" s="7" t="str">
        <x:v>PEA-B-X2</x:v>
      </x:c>
      <x:c r="D2814" s="7" t="str">
        <x:v>NDE record</x:v>
      </x:c>
      <x:c r="E2814" s="7" t="str">
        <x:v>NDE-TRV-PEA-B-X2-14</x:v>
      </x:c>
      <x:c r="F2814" s="7" t="str">
        <x:f>'NDE Records'!L160</x:f>
        <x:v>OPEN</x:v>
      </x:c>
    </x:row>
    <x:row r="2815">
      <x:c r="B2815" s="7" t="str">
        <x:v>AG-02809</x:v>
      </x:c>
      <x:c r="C2815" s="7" t="str">
        <x:v>PEA-B-X2</x:v>
      </x:c>
      <x:c r="D2815" s="7" t="str">
        <x:v>NDE record</x:v>
      </x:c>
      <x:c r="E2815" s="7" t="str">
        <x:v>NDE-TRV-PEA-B-X2-15</x:v>
      </x:c>
      <x:c r="F2815" s="7" t="str">
        <x:f>'NDE Records'!L161</x:f>
        <x:v>OPEN</x:v>
      </x:c>
    </x:row>
    <x:row r="2816">
      <x:c r="B2816" s="7" t="str">
        <x:v>AG-02810</x:v>
      </x:c>
      <x:c r="C2816" s="7" t="str">
        <x:v>PEA-B-X2</x:v>
      </x:c>
      <x:c r="D2816" s="7" t="str">
        <x:v>NDE record</x:v>
      </x:c>
      <x:c r="E2816" s="7" t="str">
        <x:v>NDE-TRV-PEA-B-X2-16</x:v>
      </x:c>
      <x:c r="F2816" s="7" t="str">
        <x:f>'NDE Records'!L162</x:f>
        <x:v>OPEN</x:v>
      </x:c>
    </x:row>
    <x:row r="2817">
      <x:c r="B2817" s="7" t="str">
        <x:v>AG-02811</x:v>
      </x:c>
      <x:c r="C2817" s="7" t="str">
        <x:v>PEA-B-X2</x:v>
      </x:c>
      <x:c r="D2817" s="7" t="str">
        <x:v>NDE record</x:v>
      </x:c>
      <x:c r="E2817" s="7" t="str">
        <x:v>NDE-TRV-PEA-B-X2-17</x:v>
      </x:c>
      <x:c r="F2817" s="7" t="str">
        <x:f>'NDE Records'!L163</x:f>
        <x:v>OPEN</x:v>
      </x:c>
    </x:row>
    <x:row r="2818">
      <x:c r="B2818" s="7" t="str">
        <x:v>AG-02812</x:v>
      </x:c>
      <x:c r="C2818" s="7" t="str">
        <x:v>PEA-B-X2</x:v>
      </x:c>
      <x:c r="D2818" s="7" t="str">
        <x:v>NDE record</x:v>
      </x:c>
      <x:c r="E2818" s="7" t="str">
        <x:v>NDE-TRV-PEA-B-X2-18</x:v>
      </x:c>
      <x:c r="F2818" s="7" t="str">
        <x:f>'NDE Records'!L164</x:f>
        <x:v>OPEN</x:v>
      </x:c>
    </x:row>
    <x:row r="2819">
      <x:c r="B2819" s="7" t="str">
        <x:v>AG-02813</x:v>
      </x:c>
      <x:c r="C2819" s="7" t="str">
        <x:v>PEA-B-X2</x:v>
      </x:c>
      <x:c r="D2819" s="7" t="str">
        <x:v>NDE record</x:v>
      </x:c>
      <x:c r="E2819" s="7" t="str">
        <x:v>NDE-TRV-PEA-B-X2-19</x:v>
      </x:c>
      <x:c r="F2819" s="7" t="str">
        <x:f>'NDE Records'!L165</x:f>
        <x:v>OPEN</x:v>
      </x:c>
    </x:row>
    <x:row r="2820">
      <x:c r="B2820" s="7" t="str">
        <x:v>AG-02814</x:v>
      </x:c>
      <x:c r="C2820" s="7" t="str">
        <x:v>PEA-B-X2</x:v>
      </x:c>
      <x:c r="D2820" s="7" t="str">
        <x:v>NDE record</x:v>
      </x:c>
      <x:c r="E2820" s="7" t="str">
        <x:v>NDE-TRV-PEA-B-X2-20</x:v>
      </x:c>
      <x:c r="F2820" s="7" t="str">
        <x:f>'NDE Records'!L166</x:f>
        <x:v>OPEN</x:v>
      </x:c>
    </x:row>
    <x:row r="2821">
      <x:c r="B2821" s="7" t="str">
        <x:v>AG-02815</x:v>
      </x:c>
      <x:c r="C2821" s="7" t="str">
        <x:v>PEA-B-X2</x:v>
      </x:c>
      <x:c r="D2821" s="7" t="str">
        <x:v>joint record</x:v>
      </x:c>
      <x:c r="E2821" s="7" t="str">
        <x:v>JNT-PEA-B-X2-1</x:v>
      </x:c>
      <x:c r="F2821" s="7" t="str">
        <x:f>'Joint Records'!M42</x:f>
        <x:v>OPEN</x:v>
      </x:c>
    </x:row>
    <x:row r="2822">
      <x:c r="B2822" s="7" t="str">
        <x:v>AG-02816</x:v>
      </x:c>
      <x:c r="C2822" s="7" t="str">
        <x:v>PEA-B-X2</x:v>
      </x:c>
      <x:c r="D2822" s="7" t="str">
        <x:v>joint record</x:v>
      </x:c>
      <x:c r="E2822" s="7" t="str">
        <x:v>JNT-PEA-B-X2-2</x:v>
      </x:c>
      <x:c r="F2822" s="7" t="str">
        <x:f>'Joint Records'!M43</x:f>
        <x:v>OPEN</x:v>
      </x:c>
    </x:row>
    <x:row r="2823">
      <x:c r="B2823" s="7" t="str">
        <x:v>AG-02817</x:v>
      </x:c>
      <x:c r="C2823" s="7" t="str">
        <x:v>PEA-B-X2</x:v>
      </x:c>
      <x:c r="D2823" s="7" t="str">
        <x:v>joint record</x:v>
      </x:c>
      <x:c r="E2823" s="7" t="str">
        <x:v>JNT-PEA-B-X2-3</x:v>
      </x:c>
      <x:c r="F2823" s="7" t="str">
        <x:f>'Joint Records'!M44</x:f>
        <x:v>OPEN</x:v>
      </x:c>
    </x:row>
    <x:row r="2824">
      <x:c r="B2824" s="7" t="str">
        <x:v>AG-02818</x:v>
      </x:c>
      <x:c r="C2824" s="7" t="str">
        <x:v>PEA-B-X2</x:v>
      </x:c>
      <x:c r="D2824" s="7" t="str">
        <x:v>joint record</x:v>
      </x:c>
      <x:c r="E2824" s="7" t="str">
        <x:v>JNT-PEA-B-X2-4</x:v>
      </x:c>
      <x:c r="F2824" s="7" t="str">
        <x:f>'Joint Records'!M45</x:f>
        <x:v>OPEN</x:v>
      </x:c>
    </x:row>
    <x:row r="2825">
      <x:c r="B2825" s="7" t="str">
        <x:v>AG-02819</x:v>
      </x:c>
      <x:c r="C2825" s="7" t="str">
        <x:v>PEA-B-X2</x:v>
      </x:c>
      <x:c r="D2825" s="7" t="str">
        <x:v>joint record</x:v>
      </x:c>
      <x:c r="E2825" s="7" t="str">
        <x:v>JNT-PEA-B-X2-5</x:v>
      </x:c>
      <x:c r="F2825" s="7" t="str">
        <x:f>'Joint Records'!M46</x:f>
        <x:v>OPEN</x:v>
      </x:c>
    </x:row>
    <x:row r="2826">
      <x:c r="B2826" s="7" t="str">
        <x:v>AG-02820</x:v>
      </x:c>
      <x:c r="C2826" s="7" t="str">
        <x:v>PEA-B-X2</x:v>
      </x:c>
      <x:c r="D2826" s="7" t="str">
        <x:v>control element</x:v>
      </x:c>
      <x:c r="E2826" s="7" t="str">
        <x:v>ELM-PEA-B-X2-01</x:v>
      </x:c>
      <x:c r="F2826" s="7" t="str">
        <x:f>'Control Elements'!L91</x:f>
        <x:v>OPEN</x:v>
      </x:c>
    </x:row>
    <x:row r="2827">
      <x:c r="B2827" s="7" t="str">
        <x:v>AG-02821</x:v>
      </x:c>
      <x:c r="C2827" s="7" t="str">
        <x:v>PEA-B-X2</x:v>
      </x:c>
      <x:c r="D2827" s="7" t="str">
        <x:v>control element</x:v>
      </x:c>
      <x:c r="E2827" s="7" t="str">
        <x:v>ELM-PEA-B-X2-02</x:v>
      </x:c>
      <x:c r="F2827" s="7" t="str">
        <x:f>'Control Elements'!L92</x:f>
        <x:v>OPEN</x:v>
      </x:c>
    </x:row>
    <x:row r="2828">
      <x:c r="B2828" s="7" t="str">
        <x:v>AG-02822</x:v>
      </x:c>
      <x:c r="C2828" s="7" t="str">
        <x:v>PEA-B-X2</x:v>
      </x:c>
      <x:c r="D2828" s="7" t="str">
        <x:v>control element</x:v>
      </x:c>
      <x:c r="E2828" s="7" t="str">
        <x:v>ELM-PEA-B-X2-03</x:v>
      </x:c>
      <x:c r="F2828" s="7" t="str">
        <x:f>'Control Elements'!L93</x:f>
        <x:v>OPEN</x:v>
      </x:c>
    </x:row>
    <x:row r="2829">
      <x:c r="B2829" s="7" t="str">
        <x:v>AG-02823</x:v>
      </x:c>
      <x:c r="C2829" s="7" t="str">
        <x:v>PEA-B-X2</x:v>
      </x:c>
      <x:c r="D2829" s="7" t="str">
        <x:v>control element</x:v>
      </x:c>
      <x:c r="E2829" s="7" t="str">
        <x:v>ELM-PEA-B-X2-04</x:v>
      </x:c>
      <x:c r="F2829" s="7" t="str">
        <x:f>'Control Elements'!L94</x:f>
        <x:v>OPEN</x:v>
      </x:c>
    </x:row>
    <x:row r="2830">
      <x:c r="B2830" s="7" t="str">
        <x:v>AG-02824</x:v>
      </x:c>
      <x:c r="C2830" s="7" t="str">
        <x:v>PEA-B-X2</x:v>
      </x:c>
      <x:c r="D2830" s="7" t="str">
        <x:v>control element</x:v>
      </x:c>
      <x:c r="E2830" s="7" t="str">
        <x:v>ELM-PEA-B-X2-05</x:v>
      </x:c>
      <x:c r="F2830" s="7" t="str">
        <x:f>'Control Elements'!L95</x:f>
        <x:v>OPEN</x:v>
      </x:c>
    </x:row>
    <x:row r="2831">
      <x:c r="B2831" s="7" t="str">
        <x:v>AG-02825</x:v>
      </x:c>
      <x:c r="C2831" s="7" t="str">
        <x:v>PEA-B-X2</x:v>
      </x:c>
      <x:c r="D2831" s="7" t="str">
        <x:v>control element</x:v>
      </x:c>
      <x:c r="E2831" s="7" t="str">
        <x:v>ELM-PEA-B-X2-06</x:v>
      </x:c>
      <x:c r="F2831" s="7" t="str">
        <x:f>'Control Elements'!L96</x:f>
        <x:v>OPEN</x:v>
      </x:c>
    </x:row>
    <x:row r="2832">
      <x:c r="B2832" s="7" t="str">
        <x:v>AG-02826</x:v>
      </x:c>
      <x:c r="C2832" s="7" t="str">
        <x:v>PEA-B-X2</x:v>
      </x:c>
      <x:c r="D2832" s="7" t="str">
        <x:v>control element</x:v>
      </x:c>
      <x:c r="E2832" s="7" t="str">
        <x:v>ELM-PEA-B-X2-07</x:v>
      </x:c>
      <x:c r="F2832" s="7" t="str">
        <x:f>'Control Elements'!L97</x:f>
        <x:v>OPEN</x:v>
      </x:c>
    </x:row>
    <x:row r="2833">
      <x:c r="B2833" s="7" t="str">
        <x:v>AG-02827</x:v>
      </x:c>
      <x:c r="C2833" s="7" t="str">
        <x:v>PEA-B-X2</x:v>
      </x:c>
      <x:c r="D2833" s="7" t="str">
        <x:v>control element</x:v>
      </x:c>
      <x:c r="E2833" s="7" t="str">
        <x:v>ELM-PEA-B-X2-08</x:v>
      </x:c>
      <x:c r="F2833" s="7" t="str">
        <x:f>'Control Elements'!L98</x:f>
        <x:v>OPEN</x:v>
      </x:c>
    </x:row>
    <x:row r="2834">
      <x:c r="B2834" s="7" t="str">
        <x:v>AG-02828</x:v>
      </x:c>
      <x:c r="C2834" s="7" t="str">
        <x:v>PEA-B-X2</x:v>
      </x:c>
      <x:c r="D2834" s="7" t="str">
        <x:v>control element</x:v>
      </x:c>
      <x:c r="E2834" s="7" t="str">
        <x:v>ELM-PEA-B-X2-09</x:v>
      </x:c>
      <x:c r="F2834" s="7" t="str">
        <x:f>'Control Elements'!L99</x:f>
        <x:v>OPEN</x:v>
      </x:c>
    </x:row>
    <x:row r="2835">
      <x:c r="B2835" s="7" t="str">
        <x:v>AG-02829</x:v>
      </x:c>
      <x:c r="C2835" s="7" t="str">
        <x:v>PEA-B-X2</x:v>
      </x:c>
      <x:c r="D2835" s="7" t="str">
        <x:v>control element</x:v>
      </x:c>
      <x:c r="E2835" s="7" t="str">
        <x:v>ELM-PEA-B-X2-10</x:v>
      </x:c>
      <x:c r="F2835" s="7" t="str">
        <x:f>'Control Elements'!L100</x:f>
        <x:v>OPEN</x:v>
      </x:c>
    </x:row>
    <x:row r="2836">
      <x:c r="B2836" s="7" t="str">
        <x:v>AG-02830</x:v>
      </x:c>
      <x:c r="C2836" s="7" t="str">
        <x:v>PEA-B-X2</x:v>
      </x:c>
      <x:c r="D2836" s="7" t="str">
        <x:v>control element</x:v>
      </x:c>
      <x:c r="E2836" s="7" t="str">
        <x:v>ELM-PEA-B-X2-11</x:v>
      </x:c>
      <x:c r="F2836" s="7" t="str">
        <x:f>'Control Elements'!L101</x:f>
        <x:v>OPEN</x:v>
      </x:c>
    </x:row>
    <x:row r="2837">
      <x:c r="B2837" s="7" t="str">
        <x:v>AG-02831</x:v>
      </x:c>
      <x:c r="C2837" s="7" t="str">
        <x:v>PEA-B-X2</x:v>
      </x:c>
      <x:c r="D2837" s="7" t="str">
        <x:v>control element</x:v>
      </x:c>
      <x:c r="E2837" s="7" t="str">
        <x:v>ELM-PEA-B-X2-12</x:v>
      </x:c>
      <x:c r="F2837" s="7" t="str">
        <x:f>'Control Elements'!L102</x:f>
        <x:v>OPEN</x:v>
      </x:c>
    </x:row>
    <x:row r="2838">
      <x:c r="B2838" s="7" t="str">
        <x:v>AG-02832</x:v>
      </x:c>
      <x:c r="C2838" s="7" t="str">
        <x:v>PEA-B-X2</x:v>
      </x:c>
      <x:c r="D2838" s="7" t="str">
        <x:v>channel instance</x:v>
      </x:c>
      <x:c r="E2838" s="7" t="str">
        <x:v>CH-PEA-B-X2-01-1</x:v>
      </x:c>
      <x:c r="F2838" s="7" t="str">
        <x:f>'Channel Instances'!O1015</x:f>
        <x:v>OPEN</x:v>
      </x:c>
    </x:row>
    <x:row r="2839">
      <x:c r="B2839" s="7" t="str">
        <x:v>AG-02833</x:v>
      </x:c>
      <x:c r="C2839" s="7" t="str">
        <x:v>PEA-B-X2</x:v>
      </x:c>
      <x:c r="D2839" s="7" t="str">
        <x:v>channel instance</x:v>
      </x:c>
      <x:c r="E2839" s="7" t="str">
        <x:v>CH-PEA-B-X2-01-2</x:v>
      </x:c>
      <x:c r="F2839" s="7" t="str">
        <x:f>'Channel Instances'!O1016</x:f>
        <x:v>OPEN</x:v>
      </x:c>
    </x:row>
    <x:row r="2840">
      <x:c r="B2840" s="7" t="str">
        <x:v>AG-02834</x:v>
      </x:c>
      <x:c r="C2840" s="7" t="str">
        <x:v>PEA-B-X2</x:v>
      </x:c>
      <x:c r="D2840" s="7" t="str">
        <x:v>channel instance</x:v>
      </x:c>
      <x:c r="E2840" s="7" t="str">
        <x:v>CH-PEA-B-X2-01-3</x:v>
      </x:c>
      <x:c r="F2840" s="7" t="str">
        <x:f>'Channel Instances'!O1017</x:f>
        <x:v>OPEN</x:v>
      </x:c>
    </x:row>
    <x:row r="2841">
      <x:c r="B2841" s="7" t="str">
        <x:v>AG-02835</x:v>
      </x:c>
      <x:c r="C2841" s="7" t="str">
        <x:v>PEA-B-X2</x:v>
      </x:c>
      <x:c r="D2841" s="7" t="str">
        <x:v>channel instance</x:v>
      </x:c>
      <x:c r="E2841" s="7" t="str">
        <x:v>CH-PEA-B-X2-01-4</x:v>
      </x:c>
      <x:c r="F2841" s="7" t="str">
        <x:f>'Channel Instances'!O1018</x:f>
        <x:v>OPEN</x:v>
      </x:c>
    </x:row>
    <x:row r="2842">
      <x:c r="B2842" s="7" t="str">
        <x:v>AG-02836</x:v>
      </x:c>
      <x:c r="C2842" s="7" t="str">
        <x:v>PEA-B-X2</x:v>
      </x:c>
      <x:c r="D2842" s="7" t="str">
        <x:v>channel instance</x:v>
      </x:c>
      <x:c r="E2842" s="7" t="str">
        <x:v>CH-PEA-B-X2-01-5</x:v>
      </x:c>
      <x:c r="F2842" s="7" t="str">
        <x:f>'Channel Instances'!O1019</x:f>
        <x:v>OPEN</x:v>
      </x:c>
    </x:row>
    <x:row r="2843">
      <x:c r="B2843" s="7" t="str">
        <x:v>AG-02837</x:v>
      </x:c>
      <x:c r="C2843" s="7" t="str">
        <x:v>PEA-B-X2</x:v>
      </x:c>
      <x:c r="D2843" s="7" t="str">
        <x:v>channel instance</x:v>
      </x:c>
      <x:c r="E2843" s="7" t="str">
        <x:v>CH-PEA-B-X2-01-6</x:v>
      </x:c>
      <x:c r="F2843" s="7" t="str">
        <x:f>'Channel Instances'!O1020</x:f>
        <x:v>OPEN</x:v>
      </x:c>
    </x:row>
    <x:row r="2844">
      <x:c r="B2844" s="7" t="str">
        <x:v>AG-02838</x:v>
      </x:c>
      <x:c r="C2844" s="7" t="str">
        <x:v>PEA-B-X2</x:v>
      </x:c>
      <x:c r="D2844" s="7" t="str">
        <x:v>channel instance</x:v>
      </x:c>
      <x:c r="E2844" s="7" t="str">
        <x:v>CH-PEA-B-X2-02-1</x:v>
      </x:c>
      <x:c r="F2844" s="7" t="str">
        <x:f>'Channel Instances'!O1021</x:f>
        <x:v>OPEN</x:v>
      </x:c>
    </x:row>
    <x:row r="2845">
      <x:c r="B2845" s="7" t="str">
        <x:v>AG-02839</x:v>
      </x:c>
      <x:c r="C2845" s="7" t="str">
        <x:v>PEA-B-X2</x:v>
      </x:c>
      <x:c r="D2845" s="7" t="str">
        <x:v>channel instance</x:v>
      </x:c>
      <x:c r="E2845" s="7" t="str">
        <x:v>CH-PEA-B-X2-02-2</x:v>
      </x:c>
      <x:c r="F2845" s="7" t="str">
        <x:f>'Channel Instances'!O1022</x:f>
        <x:v>OPEN</x:v>
      </x:c>
    </x:row>
    <x:row r="2846">
      <x:c r="B2846" s="7" t="str">
        <x:v>AG-02840</x:v>
      </x:c>
      <x:c r="C2846" s="7" t="str">
        <x:v>PEA-B-X2</x:v>
      </x:c>
      <x:c r="D2846" s="7" t="str">
        <x:v>channel instance</x:v>
      </x:c>
      <x:c r="E2846" s="7" t="str">
        <x:v>CH-PEA-B-X2-02-3</x:v>
      </x:c>
      <x:c r="F2846" s="7" t="str">
        <x:f>'Channel Instances'!O1023</x:f>
        <x:v>OPEN</x:v>
      </x:c>
    </x:row>
    <x:row r="2847">
      <x:c r="B2847" s="7" t="str">
        <x:v>AG-02841</x:v>
      </x:c>
      <x:c r="C2847" s="7" t="str">
        <x:v>PEA-B-X2</x:v>
      </x:c>
      <x:c r="D2847" s="7" t="str">
        <x:v>channel instance</x:v>
      </x:c>
      <x:c r="E2847" s="7" t="str">
        <x:v>CH-PEA-B-X2-02-4</x:v>
      </x:c>
      <x:c r="F2847" s="7" t="str">
        <x:f>'Channel Instances'!O1024</x:f>
        <x:v>OPEN</x:v>
      </x:c>
    </x:row>
    <x:row r="2848">
      <x:c r="B2848" s="7" t="str">
        <x:v>AG-02842</x:v>
      </x:c>
      <x:c r="C2848" s="7" t="str">
        <x:v>PEA-B-X2</x:v>
      </x:c>
      <x:c r="D2848" s="7" t="str">
        <x:v>channel instance</x:v>
      </x:c>
      <x:c r="E2848" s="7" t="str">
        <x:v>CH-PEA-B-X2-02-5</x:v>
      </x:c>
      <x:c r="F2848" s="7" t="str">
        <x:f>'Channel Instances'!O1025</x:f>
        <x:v>OPEN</x:v>
      </x:c>
    </x:row>
    <x:row r="2849">
      <x:c r="B2849" s="7" t="str">
        <x:v>AG-02843</x:v>
      </x:c>
      <x:c r="C2849" s="7" t="str">
        <x:v>PEA-B-X2</x:v>
      </x:c>
      <x:c r="D2849" s="7" t="str">
        <x:v>channel instance</x:v>
      </x:c>
      <x:c r="E2849" s="7" t="str">
        <x:v>CH-PEA-B-X2-02-6</x:v>
      </x:c>
      <x:c r="F2849" s="7" t="str">
        <x:f>'Channel Instances'!O1026</x:f>
        <x:v>OPEN</x:v>
      </x:c>
    </x:row>
    <x:row r="2850">
      <x:c r="B2850" s="7" t="str">
        <x:v>AG-02844</x:v>
      </x:c>
      <x:c r="C2850" s="7" t="str">
        <x:v>PEA-B-X2</x:v>
      </x:c>
      <x:c r="D2850" s="7" t="str">
        <x:v>channel instance</x:v>
      </x:c>
      <x:c r="E2850" s="7" t="str">
        <x:v>CH-PEA-B-X2-03-1</x:v>
      </x:c>
      <x:c r="F2850" s="7" t="str">
        <x:f>'Channel Instances'!O1027</x:f>
        <x:v>OPEN</x:v>
      </x:c>
    </x:row>
    <x:row r="2851">
      <x:c r="B2851" s="7" t="str">
        <x:v>AG-02845</x:v>
      </x:c>
      <x:c r="C2851" s="7" t="str">
        <x:v>PEA-B-X2</x:v>
      </x:c>
      <x:c r="D2851" s="7" t="str">
        <x:v>channel instance</x:v>
      </x:c>
      <x:c r="E2851" s="7" t="str">
        <x:v>CH-PEA-B-X2-03-2</x:v>
      </x:c>
      <x:c r="F2851" s="7" t="str">
        <x:f>'Channel Instances'!O1028</x:f>
        <x:v>OPEN</x:v>
      </x:c>
    </x:row>
    <x:row r="2852">
      <x:c r="B2852" s="7" t="str">
        <x:v>AG-02846</x:v>
      </x:c>
      <x:c r="C2852" s="7" t="str">
        <x:v>PEA-B-X2</x:v>
      </x:c>
      <x:c r="D2852" s="7" t="str">
        <x:v>channel instance</x:v>
      </x:c>
      <x:c r="E2852" s="7" t="str">
        <x:v>CH-PEA-B-X2-03-3</x:v>
      </x:c>
      <x:c r="F2852" s="7" t="str">
        <x:f>'Channel Instances'!O1029</x:f>
        <x:v>OPEN</x:v>
      </x:c>
    </x:row>
    <x:row r="2853">
      <x:c r="B2853" s="7" t="str">
        <x:v>AG-02847</x:v>
      </x:c>
      <x:c r="C2853" s="7" t="str">
        <x:v>PEA-B-X2</x:v>
      </x:c>
      <x:c r="D2853" s="7" t="str">
        <x:v>channel instance</x:v>
      </x:c>
      <x:c r="E2853" s="7" t="str">
        <x:v>CH-PEA-B-X2-03-4</x:v>
      </x:c>
      <x:c r="F2853" s="7" t="str">
        <x:f>'Channel Instances'!O1030</x:f>
        <x:v>OPEN</x:v>
      </x:c>
    </x:row>
    <x:row r="2854">
      <x:c r="B2854" s="7" t="str">
        <x:v>AG-02848</x:v>
      </x:c>
      <x:c r="C2854" s="7" t="str">
        <x:v>PEA-B-X2</x:v>
      </x:c>
      <x:c r="D2854" s="7" t="str">
        <x:v>channel instance</x:v>
      </x:c>
      <x:c r="E2854" s="7" t="str">
        <x:v>CH-PEA-B-X2-03-5</x:v>
      </x:c>
      <x:c r="F2854" s="7" t="str">
        <x:f>'Channel Instances'!O1031</x:f>
        <x:v>OPEN</x:v>
      </x:c>
    </x:row>
    <x:row r="2855">
      <x:c r="B2855" s="7" t="str">
        <x:v>AG-02849</x:v>
      </x:c>
      <x:c r="C2855" s="7" t="str">
        <x:v>PEA-B-X2</x:v>
      </x:c>
      <x:c r="D2855" s="7" t="str">
        <x:v>channel instance</x:v>
      </x:c>
      <x:c r="E2855" s="7" t="str">
        <x:v>CH-PEA-B-X2-03-6</x:v>
      </x:c>
      <x:c r="F2855" s="7" t="str">
        <x:f>'Channel Instances'!O1032</x:f>
        <x:v>OPEN</x:v>
      </x:c>
    </x:row>
    <x:row r="2856">
      <x:c r="B2856" s="7" t="str">
        <x:v>AG-02850</x:v>
      </x:c>
      <x:c r="C2856" s="7" t="str">
        <x:v>PEA-B-X2</x:v>
      </x:c>
      <x:c r="D2856" s="7" t="str">
        <x:v>channel instance</x:v>
      </x:c>
      <x:c r="E2856" s="7" t="str">
        <x:v>CH-PEA-B-X2-04-1</x:v>
      </x:c>
      <x:c r="F2856" s="7" t="str">
        <x:f>'Channel Instances'!O1033</x:f>
        <x:v>OPEN</x:v>
      </x:c>
    </x:row>
    <x:row r="2857">
      <x:c r="B2857" s="7" t="str">
        <x:v>AG-02851</x:v>
      </x:c>
      <x:c r="C2857" s="7" t="str">
        <x:v>PEA-B-X2</x:v>
      </x:c>
      <x:c r="D2857" s="7" t="str">
        <x:v>channel instance</x:v>
      </x:c>
      <x:c r="E2857" s="7" t="str">
        <x:v>CH-PEA-B-X2-04-2</x:v>
      </x:c>
      <x:c r="F2857" s="7" t="str">
        <x:f>'Channel Instances'!O1034</x:f>
        <x:v>OPEN</x:v>
      </x:c>
    </x:row>
    <x:row r="2858">
      <x:c r="B2858" s="7" t="str">
        <x:v>AG-02852</x:v>
      </x:c>
      <x:c r="C2858" s="7" t="str">
        <x:v>PEA-B-X2</x:v>
      </x:c>
      <x:c r="D2858" s="7" t="str">
        <x:v>channel instance</x:v>
      </x:c>
      <x:c r="E2858" s="7" t="str">
        <x:v>CH-PEA-B-X2-04-3</x:v>
      </x:c>
      <x:c r="F2858" s="7" t="str">
        <x:f>'Channel Instances'!O1035</x:f>
        <x:v>OPEN</x:v>
      </x:c>
    </x:row>
    <x:row r="2859">
      <x:c r="B2859" s="7" t="str">
        <x:v>AG-02853</x:v>
      </x:c>
      <x:c r="C2859" s="7" t="str">
        <x:v>PEA-B-X2</x:v>
      </x:c>
      <x:c r="D2859" s="7" t="str">
        <x:v>channel instance</x:v>
      </x:c>
      <x:c r="E2859" s="7" t="str">
        <x:v>CH-PEA-B-X2-04-4</x:v>
      </x:c>
      <x:c r="F2859" s="7" t="str">
        <x:f>'Channel Instances'!O1036</x:f>
        <x:v>OPEN</x:v>
      </x:c>
    </x:row>
    <x:row r="2860">
      <x:c r="B2860" s="7" t="str">
        <x:v>AG-02854</x:v>
      </x:c>
      <x:c r="C2860" s="7" t="str">
        <x:v>PEA-B-X2</x:v>
      </x:c>
      <x:c r="D2860" s="7" t="str">
        <x:v>channel instance</x:v>
      </x:c>
      <x:c r="E2860" s="7" t="str">
        <x:v>CH-PEA-B-X2-04-5</x:v>
      </x:c>
      <x:c r="F2860" s="7" t="str">
        <x:f>'Channel Instances'!O1037</x:f>
        <x:v>OPEN</x:v>
      </x:c>
    </x:row>
    <x:row r="2861">
      <x:c r="B2861" s="7" t="str">
        <x:v>AG-02855</x:v>
      </x:c>
      <x:c r="C2861" s="7" t="str">
        <x:v>PEA-B-X2</x:v>
      </x:c>
      <x:c r="D2861" s="7" t="str">
        <x:v>channel instance</x:v>
      </x:c>
      <x:c r="E2861" s="7" t="str">
        <x:v>CH-PEA-B-X2-04-6</x:v>
      </x:c>
      <x:c r="F2861" s="7" t="str">
        <x:f>'Channel Instances'!O1038</x:f>
        <x:v>OPEN</x:v>
      </x:c>
    </x:row>
    <x:row r="2862">
      <x:c r="B2862" s="7" t="str">
        <x:v>AG-02856</x:v>
      </x:c>
      <x:c r="C2862" s="7" t="str">
        <x:v>PEA-B-X2</x:v>
      </x:c>
      <x:c r="D2862" s="7" t="str">
        <x:v>channel instance</x:v>
      </x:c>
      <x:c r="E2862" s="7" t="str">
        <x:v>CH-PEA-B-X2-05-1</x:v>
      </x:c>
      <x:c r="F2862" s="7" t="str">
        <x:f>'Channel Instances'!O1039</x:f>
        <x:v>OPEN</x:v>
      </x:c>
    </x:row>
    <x:row r="2863">
      <x:c r="B2863" s="7" t="str">
        <x:v>AG-02857</x:v>
      </x:c>
      <x:c r="C2863" s="7" t="str">
        <x:v>PEA-B-X2</x:v>
      </x:c>
      <x:c r="D2863" s="7" t="str">
        <x:v>channel instance</x:v>
      </x:c>
      <x:c r="E2863" s="7" t="str">
        <x:v>CH-PEA-B-X2-05-2</x:v>
      </x:c>
      <x:c r="F2863" s="7" t="str">
        <x:f>'Channel Instances'!O1040</x:f>
        <x:v>OPEN</x:v>
      </x:c>
    </x:row>
    <x:row r="2864">
      <x:c r="B2864" s="7" t="str">
        <x:v>AG-02858</x:v>
      </x:c>
      <x:c r="C2864" s="7" t="str">
        <x:v>PEA-B-X2</x:v>
      </x:c>
      <x:c r="D2864" s="7" t="str">
        <x:v>channel instance</x:v>
      </x:c>
      <x:c r="E2864" s="7" t="str">
        <x:v>CH-PEA-B-X2-05-3</x:v>
      </x:c>
      <x:c r="F2864" s="7" t="str">
        <x:f>'Channel Instances'!O1041</x:f>
        <x:v>OPEN</x:v>
      </x:c>
    </x:row>
    <x:row r="2865">
      <x:c r="B2865" s="7" t="str">
        <x:v>AG-02859</x:v>
      </x:c>
      <x:c r="C2865" s="7" t="str">
        <x:v>PEA-B-X2</x:v>
      </x:c>
      <x:c r="D2865" s="7" t="str">
        <x:v>channel instance</x:v>
      </x:c>
      <x:c r="E2865" s="7" t="str">
        <x:v>CH-PEA-B-X2-05-4</x:v>
      </x:c>
      <x:c r="F2865" s="7" t="str">
        <x:f>'Channel Instances'!O1042</x:f>
        <x:v>OPEN</x:v>
      </x:c>
    </x:row>
    <x:row r="2866">
      <x:c r="B2866" s="7" t="str">
        <x:v>AG-02860</x:v>
      </x:c>
      <x:c r="C2866" s="7" t="str">
        <x:v>PEA-B-X2</x:v>
      </x:c>
      <x:c r="D2866" s="7" t="str">
        <x:v>channel instance</x:v>
      </x:c>
      <x:c r="E2866" s="7" t="str">
        <x:v>CH-PEA-B-X2-05-5</x:v>
      </x:c>
      <x:c r="F2866" s="7" t="str">
        <x:f>'Channel Instances'!O1043</x:f>
        <x:v>OPEN</x:v>
      </x:c>
    </x:row>
    <x:row r="2867">
      <x:c r="B2867" s="7" t="str">
        <x:v>AG-02861</x:v>
      </x:c>
      <x:c r="C2867" s="7" t="str">
        <x:v>PEA-B-X2</x:v>
      </x:c>
      <x:c r="D2867" s="7" t="str">
        <x:v>channel instance</x:v>
      </x:c>
      <x:c r="E2867" s="7" t="str">
        <x:v>CH-PEA-B-X2-05-6</x:v>
      </x:c>
      <x:c r="F2867" s="7" t="str">
        <x:f>'Channel Instances'!O1044</x:f>
        <x:v>OPEN</x:v>
      </x:c>
    </x:row>
    <x:row r="2868">
      <x:c r="B2868" s="7" t="str">
        <x:v>AG-02862</x:v>
      </x:c>
      <x:c r="C2868" s="7" t="str">
        <x:v>PEA-B-X2</x:v>
      </x:c>
      <x:c r="D2868" s="7" t="str">
        <x:v>channel instance</x:v>
      </x:c>
      <x:c r="E2868" s="7" t="str">
        <x:v>CH-PEA-B-X2-06-1</x:v>
      </x:c>
      <x:c r="F2868" s="7" t="str">
        <x:f>'Channel Instances'!O1045</x:f>
        <x:v>OPEN</x:v>
      </x:c>
    </x:row>
    <x:row r="2869">
      <x:c r="B2869" s="7" t="str">
        <x:v>AG-02863</x:v>
      </x:c>
      <x:c r="C2869" s="7" t="str">
        <x:v>PEA-B-X2</x:v>
      </x:c>
      <x:c r="D2869" s="7" t="str">
        <x:v>channel instance</x:v>
      </x:c>
      <x:c r="E2869" s="7" t="str">
        <x:v>CH-PEA-B-X2-06-2</x:v>
      </x:c>
      <x:c r="F2869" s="7" t="str">
        <x:f>'Channel Instances'!O1046</x:f>
        <x:v>OPEN</x:v>
      </x:c>
    </x:row>
    <x:row r="2870">
      <x:c r="B2870" s="7" t="str">
        <x:v>AG-02864</x:v>
      </x:c>
      <x:c r="C2870" s="7" t="str">
        <x:v>PEA-B-X2</x:v>
      </x:c>
      <x:c r="D2870" s="7" t="str">
        <x:v>channel instance</x:v>
      </x:c>
      <x:c r="E2870" s="7" t="str">
        <x:v>CH-PEA-B-X2-06-3</x:v>
      </x:c>
      <x:c r="F2870" s="7" t="str">
        <x:f>'Channel Instances'!O1047</x:f>
        <x:v>OPEN</x:v>
      </x:c>
    </x:row>
    <x:row r="2871">
      <x:c r="B2871" s="7" t="str">
        <x:v>AG-02865</x:v>
      </x:c>
      <x:c r="C2871" s="7" t="str">
        <x:v>PEA-B-X2</x:v>
      </x:c>
      <x:c r="D2871" s="7" t="str">
        <x:v>channel instance</x:v>
      </x:c>
      <x:c r="E2871" s="7" t="str">
        <x:v>CH-PEA-B-X2-06-4</x:v>
      </x:c>
      <x:c r="F2871" s="7" t="str">
        <x:f>'Channel Instances'!O1048</x:f>
        <x:v>OPEN</x:v>
      </x:c>
    </x:row>
    <x:row r="2872">
      <x:c r="B2872" s="7" t="str">
        <x:v>AG-02866</x:v>
      </x:c>
      <x:c r="C2872" s="7" t="str">
        <x:v>PEA-B-X2</x:v>
      </x:c>
      <x:c r="D2872" s="7" t="str">
        <x:v>channel instance</x:v>
      </x:c>
      <x:c r="E2872" s="7" t="str">
        <x:v>CH-PEA-B-X2-06-5</x:v>
      </x:c>
      <x:c r="F2872" s="7" t="str">
        <x:f>'Channel Instances'!O1049</x:f>
        <x:v>OPEN</x:v>
      </x:c>
    </x:row>
    <x:row r="2873">
      <x:c r="B2873" s="7" t="str">
        <x:v>AG-02867</x:v>
      </x:c>
      <x:c r="C2873" s="7" t="str">
        <x:v>PEA-B-X2</x:v>
      </x:c>
      <x:c r="D2873" s="7" t="str">
        <x:v>channel instance</x:v>
      </x:c>
      <x:c r="E2873" s="7" t="str">
        <x:v>CH-PEA-B-X2-06-6</x:v>
      </x:c>
      <x:c r="F2873" s="7" t="str">
        <x:f>'Channel Instances'!O1050</x:f>
        <x:v>OPEN</x:v>
      </x:c>
    </x:row>
    <x:row r="2874">
      <x:c r="B2874" s="7" t="str">
        <x:v>AG-02868</x:v>
      </x:c>
      <x:c r="C2874" s="7" t="str">
        <x:v>PEA-B-X2</x:v>
      </x:c>
      <x:c r="D2874" s="7" t="str">
        <x:v>channel instance</x:v>
      </x:c>
      <x:c r="E2874" s="7" t="str">
        <x:v>CH-PEA-B-X2-07-1</x:v>
      </x:c>
      <x:c r="F2874" s="7" t="str">
        <x:f>'Channel Instances'!O1051</x:f>
        <x:v>OPEN</x:v>
      </x:c>
    </x:row>
    <x:row r="2875">
      <x:c r="B2875" s="7" t="str">
        <x:v>AG-02869</x:v>
      </x:c>
      <x:c r="C2875" s="7" t="str">
        <x:v>PEA-B-X2</x:v>
      </x:c>
      <x:c r="D2875" s="7" t="str">
        <x:v>channel instance</x:v>
      </x:c>
      <x:c r="E2875" s="7" t="str">
        <x:v>CH-PEA-B-X2-07-2</x:v>
      </x:c>
      <x:c r="F2875" s="7" t="str">
        <x:f>'Channel Instances'!O1052</x:f>
        <x:v>OPEN</x:v>
      </x:c>
    </x:row>
    <x:row r="2876">
      <x:c r="B2876" s="7" t="str">
        <x:v>AG-02870</x:v>
      </x:c>
      <x:c r="C2876" s="7" t="str">
        <x:v>PEA-B-X2</x:v>
      </x:c>
      <x:c r="D2876" s="7" t="str">
        <x:v>channel instance</x:v>
      </x:c>
      <x:c r="E2876" s="7" t="str">
        <x:v>CH-PEA-B-X2-07-3</x:v>
      </x:c>
      <x:c r="F2876" s="7" t="str">
        <x:f>'Channel Instances'!O1053</x:f>
        <x:v>OPEN</x:v>
      </x:c>
    </x:row>
    <x:row r="2877">
      <x:c r="B2877" s="7" t="str">
        <x:v>AG-02871</x:v>
      </x:c>
      <x:c r="C2877" s="7" t="str">
        <x:v>PEA-B-X2</x:v>
      </x:c>
      <x:c r="D2877" s="7" t="str">
        <x:v>channel instance</x:v>
      </x:c>
      <x:c r="E2877" s="7" t="str">
        <x:v>CH-PEA-B-X2-07-4</x:v>
      </x:c>
      <x:c r="F2877" s="7" t="str">
        <x:f>'Channel Instances'!O1054</x:f>
        <x:v>OPEN</x:v>
      </x:c>
    </x:row>
    <x:row r="2878">
      <x:c r="B2878" s="7" t="str">
        <x:v>AG-02872</x:v>
      </x:c>
      <x:c r="C2878" s="7" t="str">
        <x:v>PEA-B-X2</x:v>
      </x:c>
      <x:c r="D2878" s="7" t="str">
        <x:v>channel instance</x:v>
      </x:c>
      <x:c r="E2878" s="7" t="str">
        <x:v>CH-PEA-B-X2-07-5</x:v>
      </x:c>
      <x:c r="F2878" s="7" t="str">
        <x:f>'Channel Instances'!O1055</x:f>
        <x:v>OPEN</x:v>
      </x:c>
    </x:row>
    <x:row r="2879">
      <x:c r="B2879" s="7" t="str">
        <x:v>AG-02873</x:v>
      </x:c>
      <x:c r="C2879" s="7" t="str">
        <x:v>PEA-B-X2</x:v>
      </x:c>
      <x:c r="D2879" s="7" t="str">
        <x:v>channel instance</x:v>
      </x:c>
      <x:c r="E2879" s="7" t="str">
        <x:v>CH-PEA-B-X2-07-6</x:v>
      </x:c>
      <x:c r="F2879" s="7" t="str">
        <x:f>'Channel Instances'!O1056</x:f>
        <x:v>OPEN</x:v>
      </x:c>
    </x:row>
    <x:row r="2880">
      <x:c r="B2880" s="7" t="str">
        <x:v>AG-02874</x:v>
      </x:c>
      <x:c r="C2880" s="7" t="str">
        <x:v>PEA-B-X2</x:v>
      </x:c>
      <x:c r="D2880" s="7" t="str">
        <x:v>channel instance</x:v>
      </x:c>
      <x:c r="E2880" s="7" t="str">
        <x:v>CH-PEA-B-X2-08-1</x:v>
      </x:c>
      <x:c r="F2880" s="7" t="str">
        <x:f>'Channel Instances'!O1057</x:f>
        <x:v>OPEN</x:v>
      </x:c>
    </x:row>
    <x:row r="2881">
      <x:c r="B2881" s="7" t="str">
        <x:v>AG-02875</x:v>
      </x:c>
      <x:c r="C2881" s="7" t="str">
        <x:v>PEA-B-X2</x:v>
      </x:c>
      <x:c r="D2881" s="7" t="str">
        <x:v>channel instance</x:v>
      </x:c>
      <x:c r="E2881" s="7" t="str">
        <x:v>CH-PEA-B-X2-08-2</x:v>
      </x:c>
      <x:c r="F2881" s="7" t="str">
        <x:f>'Channel Instances'!O1058</x:f>
        <x:v>OPEN</x:v>
      </x:c>
    </x:row>
    <x:row r="2882">
      <x:c r="B2882" s="7" t="str">
        <x:v>AG-02876</x:v>
      </x:c>
      <x:c r="C2882" s="7" t="str">
        <x:v>PEA-B-X2</x:v>
      </x:c>
      <x:c r="D2882" s="7" t="str">
        <x:v>channel instance</x:v>
      </x:c>
      <x:c r="E2882" s="7" t="str">
        <x:v>CH-PEA-B-X2-08-3</x:v>
      </x:c>
      <x:c r="F2882" s="7" t="str">
        <x:f>'Channel Instances'!O1059</x:f>
        <x:v>OPEN</x:v>
      </x:c>
    </x:row>
    <x:row r="2883">
      <x:c r="B2883" s="7" t="str">
        <x:v>AG-02877</x:v>
      </x:c>
      <x:c r="C2883" s="7" t="str">
        <x:v>PEA-B-X2</x:v>
      </x:c>
      <x:c r="D2883" s="7" t="str">
        <x:v>channel instance</x:v>
      </x:c>
      <x:c r="E2883" s="7" t="str">
        <x:v>CH-PEA-B-X2-08-4</x:v>
      </x:c>
      <x:c r="F2883" s="7" t="str">
        <x:f>'Channel Instances'!O1060</x:f>
        <x:v>OPEN</x:v>
      </x:c>
    </x:row>
    <x:row r="2884">
      <x:c r="B2884" s="7" t="str">
        <x:v>AG-02878</x:v>
      </x:c>
      <x:c r="C2884" s="7" t="str">
        <x:v>PEA-B-X2</x:v>
      </x:c>
      <x:c r="D2884" s="7" t="str">
        <x:v>channel instance</x:v>
      </x:c>
      <x:c r="E2884" s="7" t="str">
        <x:v>CH-PEA-B-X2-08-5</x:v>
      </x:c>
      <x:c r="F2884" s="7" t="str">
        <x:f>'Channel Instances'!O1061</x:f>
        <x:v>OPEN</x:v>
      </x:c>
    </x:row>
    <x:row r="2885">
      <x:c r="B2885" s="7" t="str">
        <x:v>AG-02879</x:v>
      </x:c>
      <x:c r="C2885" s="7" t="str">
        <x:v>PEA-B-X2</x:v>
      </x:c>
      <x:c r="D2885" s="7" t="str">
        <x:v>channel instance</x:v>
      </x:c>
      <x:c r="E2885" s="7" t="str">
        <x:v>CH-PEA-B-X2-08-6</x:v>
      </x:c>
      <x:c r="F2885" s="7" t="str">
        <x:f>'Channel Instances'!O1062</x:f>
        <x:v>OPEN</x:v>
      </x:c>
    </x:row>
    <x:row r="2886">
      <x:c r="B2886" s="7" t="str">
        <x:v>AG-02880</x:v>
      </x:c>
      <x:c r="C2886" s="7" t="str">
        <x:v>PEA-B-X2</x:v>
      </x:c>
      <x:c r="D2886" s="7" t="str">
        <x:v>channel instance</x:v>
      </x:c>
      <x:c r="E2886" s="7" t="str">
        <x:v>CH-PEA-B-X2-09-1</x:v>
      </x:c>
      <x:c r="F2886" s="7" t="str">
        <x:f>'Channel Instances'!O1063</x:f>
        <x:v>OPEN</x:v>
      </x:c>
    </x:row>
    <x:row r="2887">
      <x:c r="B2887" s="7" t="str">
        <x:v>AG-02881</x:v>
      </x:c>
      <x:c r="C2887" s="7" t="str">
        <x:v>PEA-B-X2</x:v>
      </x:c>
      <x:c r="D2887" s="7" t="str">
        <x:v>channel instance</x:v>
      </x:c>
      <x:c r="E2887" s="7" t="str">
        <x:v>CH-PEA-B-X2-09-2</x:v>
      </x:c>
      <x:c r="F2887" s="7" t="str">
        <x:f>'Channel Instances'!O1064</x:f>
        <x:v>OPEN</x:v>
      </x:c>
    </x:row>
    <x:row r="2888">
      <x:c r="B2888" s="7" t="str">
        <x:v>AG-02882</x:v>
      </x:c>
      <x:c r="C2888" s="7" t="str">
        <x:v>PEA-B-X2</x:v>
      </x:c>
      <x:c r="D2888" s="7" t="str">
        <x:v>channel instance</x:v>
      </x:c>
      <x:c r="E2888" s="7" t="str">
        <x:v>CH-PEA-B-X2-09-3</x:v>
      </x:c>
      <x:c r="F2888" s="7" t="str">
        <x:f>'Channel Instances'!O1065</x:f>
        <x:v>OPEN</x:v>
      </x:c>
    </x:row>
    <x:row r="2889">
      <x:c r="B2889" s="7" t="str">
        <x:v>AG-02883</x:v>
      </x:c>
      <x:c r="C2889" s="7" t="str">
        <x:v>PEA-B-X2</x:v>
      </x:c>
      <x:c r="D2889" s="7" t="str">
        <x:v>channel instance</x:v>
      </x:c>
      <x:c r="E2889" s="7" t="str">
        <x:v>CH-PEA-B-X2-09-4</x:v>
      </x:c>
      <x:c r="F2889" s="7" t="str">
        <x:f>'Channel Instances'!O1066</x:f>
        <x:v>OPEN</x:v>
      </x:c>
    </x:row>
    <x:row r="2890">
      <x:c r="B2890" s="7" t="str">
        <x:v>AG-02884</x:v>
      </x:c>
      <x:c r="C2890" s="7" t="str">
        <x:v>PEA-B-X2</x:v>
      </x:c>
      <x:c r="D2890" s="7" t="str">
        <x:v>channel instance</x:v>
      </x:c>
      <x:c r="E2890" s="7" t="str">
        <x:v>CH-PEA-B-X2-09-5</x:v>
      </x:c>
      <x:c r="F2890" s="7" t="str">
        <x:f>'Channel Instances'!O1067</x:f>
        <x:v>OPEN</x:v>
      </x:c>
    </x:row>
    <x:row r="2891">
      <x:c r="B2891" s="7" t="str">
        <x:v>AG-02885</x:v>
      </x:c>
      <x:c r="C2891" s="7" t="str">
        <x:v>PEA-B-X2</x:v>
      </x:c>
      <x:c r="D2891" s="7" t="str">
        <x:v>channel instance</x:v>
      </x:c>
      <x:c r="E2891" s="7" t="str">
        <x:v>CH-PEA-B-X2-09-6</x:v>
      </x:c>
      <x:c r="F2891" s="7" t="str">
        <x:f>'Channel Instances'!O1068</x:f>
        <x:v>OPEN</x:v>
      </x:c>
    </x:row>
    <x:row r="2892">
      <x:c r="B2892" s="7" t="str">
        <x:v>AG-02886</x:v>
      </x:c>
      <x:c r="C2892" s="7" t="str">
        <x:v>PEA-B-X2</x:v>
      </x:c>
      <x:c r="D2892" s="7" t="str">
        <x:v>channel instance</x:v>
      </x:c>
      <x:c r="E2892" s="7" t="str">
        <x:v>CH-PEA-B-X2-10-1</x:v>
      </x:c>
      <x:c r="F2892" s="7" t="str">
        <x:f>'Channel Instances'!O1069</x:f>
        <x:v>OPEN</x:v>
      </x:c>
    </x:row>
    <x:row r="2893">
      <x:c r="B2893" s="7" t="str">
        <x:v>AG-02887</x:v>
      </x:c>
      <x:c r="C2893" s="7" t="str">
        <x:v>PEA-B-X2</x:v>
      </x:c>
      <x:c r="D2893" s="7" t="str">
        <x:v>channel instance</x:v>
      </x:c>
      <x:c r="E2893" s="7" t="str">
        <x:v>CH-PEA-B-X2-10-2</x:v>
      </x:c>
      <x:c r="F2893" s="7" t="str">
        <x:f>'Channel Instances'!O1070</x:f>
        <x:v>OPEN</x:v>
      </x:c>
    </x:row>
    <x:row r="2894">
      <x:c r="B2894" s="7" t="str">
        <x:v>AG-02888</x:v>
      </x:c>
      <x:c r="C2894" s="7" t="str">
        <x:v>PEA-B-X2</x:v>
      </x:c>
      <x:c r="D2894" s="7" t="str">
        <x:v>channel instance</x:v>
      </x:c>
      <x:c r="E2894" s="7" t="str">
        <x:v>CH-PEA-B-X2-10-3</x:v>
      </x:c>
      <x:c r="F2894" s="7" t="str">
        <x:f>'Channel Instances'!O1071</x:f>
        <x:v>OPEN</x:v>
      </x:c>
    </x:row>
    <x:row r="2895">
      <x:c r="B2895" s="7" t="str">
        <x:v>AG-02889</x:v>
      </x:c>
      <x:c r="C2895" s="7" t="str">
        <x:v>PEA-B-X2</x:v>
      </x:c>
      <x:c r="D2895" s="7" t="str">
        <x:v>channel instance</x:v>
      </x:c>
      <x:c r="E2895" s="7" t="str">
        <x:v>CH-PEA-B-X2-10-4</x:v>
      </x:c>
      <x:c r="F2895" s="7" t="str">
        <x:f>'Channel Instances'!O1072</x:f>
        <x:v>OPEN</x:v>
      </x:c>
    </x:row>
    <x:row r="2896">
      <x:c r="B2896" s="7" t="str">
        <x:v>AG-02890</x:v>
      </x:c>
      <x:c r="C2896" s="7" t="str">
        <x:v>PEA-B-X2</x:v>
      </x:c>
      <x:c r="D2896" s="7" t="str">
        <x:v>channel instance</x:v>
      </x:c>
      <x:c r="E2896" s="7" t="str">
        <x:v>CH-PEA-B-X2-10-5</x:v>
      </x:c>
      <x:c r="F2896" s="7" t="str">
        <x:f>'Channel Instances'!O1073</x:f>
        <x:v>OPEN</x:v>
      </x:c>
    </x:row>
    <x:row r="2897">
      <x:c r="B2897" s="7" t="str">
        <x:v>AG-02891</x:v>
      </x:c>
      <x:c r="C2897" s="7" t="str">
        <x:v>PEA-B-X2</x:v>
      </x:c>
      <x:c r="D2897" s="7" t="str">
        <x:v>channel instance</x:v>
      </x:c>
      <x:c r="E2897" s="7" t="str">
        <x:v>CH-PEA-B-X2-10-6</x:v>
      </x:c>
      <x:c r="F2897" s="7" t="str">
        <x:f>'Channel Instances'!O1074</x:f>
        <x:v>OPEN</x:v>
      </x:c>
    </x:row>
    <x:row r="2898">
      <x:c r="B2898" s="7" t="str">
        <x:v>AG-02892</x:v>
      </x:c>
      <x:c r="C2898" s="7" t="str">
        <x:v>PEA-B-X2</x:v>
      </x:c>
      <x:c r="D2898" s="7" t="str">
        <x:v>channel instance</x:v>
      </x:c>
      <x:c r="E2898" s="7" t="str">
        <x:v>CH-PEA-B-X2-11-1</x:v>
      </x:c>
      <x:c r="F2898" s="7" t="str">
        <x:f>'Channel Instances'!O1075</x:f>
        <x:v>OPEN</x:v>
      </x:c>
    </x:row>
    <x:row r="2899">
      <x:c r="B2899" s="7" t="str">
        <x:v>AG-02893</x:v>
      </x:c>
      <x:c r="C2899" s="7" t="str">
        <x:v>PEA-B-X2</x:v>
      </x:c>
      <x:c r="D2899" s="7" t="str">
        <x:v>channel instance</x:v>
      </x:c>
      <x:c r="E2899" s="7" t="str">
        <x:v>CH-PEA-B-X2-11-2</x:v>
      </x:c>
      <x:c r="F2899" s="7" t="str">
        <x:f>'Channel Instances'!O1076</x:f>
        <x:v>OPEN</x:v>
      </x:c>
    </x:row>
    <x:row r="2900">
      <x:c r="B2900" s="7" t="str">
        <x:v>AG-02894</x:v>
      </x:c>
      <x:c r="C2900" s="7" t="str">
        <x:v>PEA-B-X2</x:v>
      </x:c>
      <x:c r="D2900" s="7" t="str">
        <x:v>channel instance</x:v>
      </x:c>
      <x:c r="E2900" s="7" t="str">
        <x:v>CH-PEA-B-X2-11-3</x:v>
      </x:c>
      <x:c r="F2900" s="7" t="str">
        <x:f>'Channel Instances'!O1077</x:f>
        <x:v>OPEN</x:v>
      </x:c>
    </x:row>
    <x:row r="2901">
      <x:c r="B2901" s="7" t="str">
        <x:v>AG-02895</x:v>
      </x:c>
      <x:c r="C2901" s="7" t="str">
        <x:v>PEA-B-X2</x:v>
      </x:c>
      <x:c r="D2901" s="7" t="str">
        <x:v>channel instance</x:v>
      </x:c>
      <x:c r="E2901" s="7" t="str">
        <x:v>CH-PEA-B-X2-11-4</x:v>
      </x:c>
      <x:c r="F2901" s="7" t="str">
        <x:f>'Channel Instances'!O1078</x:f>
        <x:v>OPEN</x:v>
      </x:c>
    </x:row>
    <x:row r="2902">
      <x:c r="B2902" s="7" t="str">
        <x:v>AG-02896</x:v>
      </x:c>
      <x:c r="C2902" s="7" t="str">
        <x:v>PEA-B-X2</x:v>
      </x:c>
      <x:c r="D2902" s="7" t="str">
        <x:v>channel instance</x:v>
      </x:c>
      <x:c r="E2902" s="7" t="str">
        <x:v>CH-PEA-B-X2-11-5</x:v>
      </x:c>
      <x:c r="F2902" s="7" t="str">
        <x:f>'Channel Instances'!O1079</x:f>
        <x:v>OPEN</x:v>
      </x:c>
    </x:row>
    <x:row r="2903">
      <x:c r="B2903" s="7" t="str">
        <x:v>AG-02897</x:v>
      </x:c>
      <x:c r="C2903" s="7" t="str">
        <x:v>PEA-B-X2</x:v>
      </x:c>
      <x:c r="D2903" s="7" t="str">
        <x:v>channel instance</x:v>
      </x:c>
      <x:c r="E2903" s="7" t="str">
        <x:v>CH-PEA-B-X2-11-6</x:v>
      </x:c>
      <x:c r="F2903" s="7" t="str">
        <x:f>'Channel Instances'!O1080</x:f>
        <x:v>OPEN</x:v>
      </x:c>
    </x:row>
    <x:row r="2904">
      <x:c r="B2904" s="7" t="str">
        <x:v>AG-02898</x:v>
      </x:c>
      <x:c r="C2904" s="7" t="str">
        <x:v>PEA-B-X2</x:v>
      </x:c>
      <x:c r="D2904" s="7" t="str">
        <x:v>channel instance</x:v>
      </x:c>
      <x:c r="E2904" s="7" t="str">
        <x:v>CH-PEA-B-X2-12-1</x:v>
      </x:c>
      <x:c r="F2904" s="7" t="str">
        <x:f>'Channel Instances'!O1081</x:f>
        <x:v>OPEN</x:v>
      </x:c>
    </x:row>
    <x:row r="2905">
      <x:c r="B2905" s="7" t="str">
        <x:v>AG-02899</x:v>
      </x:c>
      <x:c r="C2905" s="7" t="str">
        <x:v>PEA-B-X2</x:v>
      </x:c>
      <x:c r="D2905" s="7" t="str">
        <x:v>channel instance</x:v>
      </x:c>
      <x:c r="E2905" s="7" t="str">
        <x:v>CH-PEA-B-X2-12-2</x:v>
      </x:c>
      <x:c r="F2905" s="7" t="str">
        <x:f>'Channel Instances'!O1082</x:f>
        <x:v>OPEN</x:v>
      </x:c>
    </x:row>
    <x:row r="2906">
      <x:c r="B2906" s="7" t="str">
        <x:v>AG-02900</x:v>
      </x:c>
      <x:c r="C2906" s="7" t="str">
        <x:v>PEA-B-X2</x:v>
      </x:c>
      <x:c r="D2906" s="7" t="str">
        <x:v>channel instance</x:v>
      </x:c>
      <x:c r="E2906" s="7" t="str">
        <x:v>CH-PEA-B-X2-12-3</x:v>
      </x:c>
      <x:c r="F2906" s="7" t="str">
        <x:f>'Channel Instances'!O1083</x:f>
        <x:v>OPEN</x:v>
      </x:c>
    </x:row>
    <x:row r="2907">
      <x:c r="B2907" s="7" t="str">
        <x:v>AG-02901</x:v>
      </x:c>
      <x:c r="C2907" s="7" t="str">
        <x:v>PEA-B-X2</x:v>
      </x:c>
      <x:c r="D2907" s="7" t="str">
        <x:v>channel instance</x:v>
      </x:c>
      <x:c r="E2907" s="7" t="str">
        <x:v>CH-PEA-B-X2-12-4</x:v>
      </x:c>
      <x:c r="F2907" s="7" t="str">
        <x:f>'Channel Instances'!O1084</x:f>
        <x:v>OPEN</x:v>
      </x:c>
    </x:row>
    <x:row r="2908">
      <x:c r="B2908" s="7" t="str">
        <x:v>AG-02902</x:v>
      </x:c>
      <x:c r="C2908" s="7" t="str">
        <x:v>PEA-B-X2</x:v>
      </x:c>
      <x:c r="D2908" s="7" t="str">
        <x:v>channel instance</x:v>
      </x:c>
      <x:c r="E2908" s="7" t="str">
        <x:v>CH-PEA-B-X2-12-5</x:v>
      </x:c>
      <x:c r="F2908" s="7" t="str">
        <x:f>'Channel Instances'!O1085</x:f>
        <x:v>OPEN</x:v>
      </x:c>
    </x:row>
    <x:row r="2909">
      <x:c r="B2909" s="7" t="str">
        <x:v>AG-02903</x:v>
      </x:c>
      <x:c r="C2909" s="7" t="str">
        <x:v>PEA-B-X2</x:v>
      </x:c>
      <x:c r="D2909" s="7" t="str">
        <x:v>channel instance</x:v>
      </x:c>
      <x:c r="E2909" s="7" t="str">
        <x:v>CH-PEA-B-X2-12-6</x:v>
      </x:c>
      <x:c r="F2909" s="7" t="str">
        <x:f>'Channel Instances'!O1086</x:f>
        <x:v>OPEN</x:v>
      </x:c>
    </x:row>
    <x:row r="2910">
      <x:c r="B2910" s="7" t="str">
        <x:v>AG-02904</x:v>
      </x:c>
      <x:c r="C2910" s="7" t="str">
        <x:v>PEA-B-X2</x:v>
      </x:c>
      <x:c r="D2910" s="7" t="str">
        <x:v>channel instance</x:v>
      </x:c>
      <x:c r="E2910" s="7" t="str">
        <x:v>CH-PEA-B-X2-13-1</x:v>
      </x:c>
      <x:c r="F2910" s="7" t="str">
        <x:f>'Channel Instances'!O1087</x:f>
        <x:v>OPEN</x:v>
      </x:c>
    </x:row>
    <x:row r="2911">
      <x:c r="B2911" s="7" t="str">
        <x:v>AG-02905</x:v>
      </x:c>
      <x:c r="C2911" s="7" t="str">
        <x:v>PEA-B-X2</x:v>
      </x:c>
      <x:c r="D2911" s="7" t="str">
        <x:v>channel instance</x:v>
      </x:c>
      <x:c r="E2911" s="7" t="str">
        <x:v>CH-PEA-B-X2-13-2</x:v>
      </x:c>
      <x:c r="F2911" s="7" t="str">
        <x:f>'Channel Instances'!O1088</x:f>
        <x:v>OPEN</x:v>
      </x:c>
    </x:row>
    <x:row r="2912">
      <x:c r="B2912" s="7" t="str">
        <x:v>AG-02906</x:v>
      </x:c>
      <x:c r="C2912" s="7" t="str">
        <x:v>PEA-B-X2</x:v>
      </x:c>
      <x:c r="D2912" s="7" t="str">
        <x:v>channel instance</x:v>
      </x:c>
      <x:c r="E2912" s="7" t="str">
        <x:v>CH-PEA-B-X2-13-3</x:v>
      </x:c>
      <x:c r="F2912" s="7" t="str">
        <x:f>'Channel Instances'!O1089</x:f>
        <x:v>OPEN</x:v>
      </x:c>
    </x:row>
    <x:row r="2913">
      <x:c r="B2913" s="7" t="str">
        <x:v>AG-02907</x:v>
      </x:c>
      <x:c r="C2913" s="7" t="str">
        <x:v>PEA-B-X2</x:v>
      </x:c>
      <x:c r="D2913" s="7" t="str">
        <x:v>channel instance</x:v>
      </x:c>
      <x:c r="E2913" s="7" t="str">
        <x:v>CH-PEA-B-X2-13-4</x:v>
      </x:c>
      <x:c r="F2913" s="7" t="str">
        <x:f>'Channel Instances'!O1090</x:f>
        <x:v>OPEN</x:v>
      </x:c>
    </x:row>
    <x:row r="2914">
      <x:c r="B2914" s="7" t="str">
        <x:v>AG-02908</x:v>
      </x:c>
      <x:c r="C2914" s="7" t="str">
        <x:v>PEA-B-X2</x:v>
      </x:c>
      <x:c r="D2914" s="7" t="str">
        <x:v>channel instance</x:v>
      </x:c>
      <x:c r="E2914" s="7" t="str">
        <x:v>CH-PEA-B-X2-13-5</x:v>
      </x:c>
      <x:c r="F2914" s="7" t="str">
        <x:f>'Channel Instances'!O1091</x:f>
        <x:v>OPEN</x:v>
      </x:c>
    </x:row>
    <x:row r="2915">
      <x:c r="B2915" s="7" t="str">
        <x:v>AG-02909</x:v>
      </x:c>
      <x:c r="C2915" s="7" t="str">
        <x:v>PEA-B-X2</x:v>
      </x:c>
      <x:c r="D2915" s="7" t="str">
        <x:v>channel instance</x:v>
      </x:c>
      <x:c r="E2915" s="7" t="str">
        <x:v>CH-PEA-B-X2-13-6</x:v>
      </x:c>
      <x:c r="F2915" s="7" t="str">
        <x:f>'Channel Instances'!O1092</x:f>
        <x:v>OPEN</x:v>
      </x:c>
    </x:row>
    <x:row r="2916">
      <x:c r="B2916" s="7" t="str">
        <x:v>AG-02910</x:v>
      </x:c>
      <x:c r="C2916" s="7" t="str">
        <x:v>PEA-B-X2</x:v>
      </x:c>
      <x:c r="D2916" s="7" t="str">
        <x:v>channel instance</x:v>
      </x:c>
      <x:c r="E2916" s="7" t="str">
        <x:v>CH-PEA-B-X2-14-1</x:v>
      </x:c>
      <x:c r="F2916" s="7" t="str">
        <x:f>'Channel Instances'!O1093</x:f>
        <x:v>OPEN</x:v>
      </x:c>
    </x:row>
    <x:row r="2917">
      <x:c r="B2917" s="7" t="str">
        <x:v>AG-02911</x:v>
      </x:c>
      <x:c r="C2917" s="7" t="str">
        <x:v>PEA-B-X2</x:v>
      </x:c>
      <x:c r="D2917" s="7" t="str">
        <x:v>channel instance</x:v>
      </x:c>
      <x:c r="E2917" s="7" t="str">
        <x:v>CH-PEA-B-X2-14-2</x:v>
      </x:c>
      <x:c r="F2917" s="7" t="str">
        <x:f>'Channel Instances'!O1094</x:f>
        <x:v>OPEN</x:v>
      </x:c>
    </x:row>
    <x:row r="2918">
      <x:c r="B2918" s="7" t="str">
        <x:v>AG-02912</x:v>
      </x:c>
      <x:c r="C2918" s="7" t="str">
        <x:v>PEA-B-X2</x:v>
      </x:c>
      <x:c r="D2918" s="7" t="str">
        <x:v>channel instance</x:v>
      </x:c>
      <x:c r="E2918" s="7" t="str">
        <x:v>CH-PEA-B-X2-14-3</x:v>
      </x:c>
      <x:c r="F2918" s="7" t="str">
        <x:f>'Channel Instances'!O1095</x:f>
        <x:v>OPEN</x:v>
      </x:c>
    </x:row>
    <x:row r="2919">
      <x:c r="B2919" s="7" t="str">
        <x:v>AG-02913</x:v>
      </x:c>
      <x:c r="C2919" s="7" t="str">
        <x:v>PEA-B-X2</x:v>
      </x:c>
      <x:c r="D2919" s="7" t="str">
        <x:v>channel instance</x:v>
      </x:c>
      <x:c r="E2919" s="7" t="str">
        <x:v>CH-PEA-B-X2-14-4</x:v>
      </x:c>
      <x:c r="F2919" s="7" t="str">
        <x:f>'Channel Instances'!O1096</x:f>
        <x:v>OPEN</x:v>
      </x:c>
    </x:row>
    <x:row r="2920">
      <x:c r="B2920" s="7" t="str">
        <x:v>AG-02914</x:v>
      </x:c>
      <x:c r="C2920" s="7" t="str">
        <x:v>PEA-B-X2</x:v>
      </x:c>
      <x:c r="D2920" s="7" t="str">
        <x:v>channel instance</x:v>
      </x:c>
      <x:c r="E2920" s="7" t="str">
        <x:v>CH-PEA-B-X2-14-5</x:v>
      </x:c>
      <x:c r="F2920" s="7" t="str">
        <x:f>'Channel Instances'!O1097</x:f>
        <x:v>OPEN</x:v>
      </x:c>
    </x:row>
    <x:row r="2921">
      <x:c r="B2921" s="7" t="str">
        <x:v>AG-02915</x:v>
      </x:c>
      <x:c r="C2921" s="7" t="str">
        <x:v>PEA-B-X2</x:v>
      </x:c>
      <x:c r="D2921" s="7" t="str">
        <x:v>channel instance</x:v>
      </x:c>
      <x:c r="E2921" s="7" t="str">
        <x:v>CH-PEA-B-X2-14-6</x:v>
      </x:c>
      <x:c r="F2921" s="7" t="str">
        <x:f>'Channel Instances'!O1098</x:f>
        <x:v>OPEN</x:v>
      </x:c>
    </x:row>
    <x:row r="2922">
      <x:c r="B2922" s="7" t="str">
        <x:v>AG-02916</x:v>
      </x:c>
      <x:c r="C2922" s="7" t="str">
        <x:v>PEA-B-X2</x:v>
      </x:c>
      <x:c r="D2922" s="7" t="str">
        <x:v>channel instance</x:v>
      </x:c>
      <x:c r="E2922" s="7" t="str">
        <x:v>CH-PEA-B-X2-15-1</x:v>
      </x:c>
      <x:c r="F2922" s="7" t="str">
        <x:f>'Channel Instances'!O1099</x:f>
        <x:v>OPEN</x:v>
      </x:c>
    </x:row>
    <x:row r="2923">
      <x:c r="B2923" s="7" t="str">
        <x:v>AG-02917</x:v>
      </x:c>
      <x:c r="C2923" s="7" t="str">
        <x:v>PEA-B-X2</x:v>
      </x:c>
      <x:c r="D2923" s="7" t="str">
        <x:v>channel instance</x:v>
      </x:c>
      <x:c r="E2923" s="7" t="str">
        <x:v>CH-PEA-B-X2-15-2</x:v>
      </x:c>
      <x:c r="F2923" s="7" t="str">
        <x:f>'Channel Instances'!O1100</x:f>
        <x:v>OPEN</x:v>
      </x:c>
    </x:row>
    <x:row r="2924">
      <x:c r="B2924" s="7" t="str">
        <x:v>AG-02918</x:v>
      </x:c>
      <x:c r="C2924" s="7" t="str">
        <x:v>PEA-B-X2</x:v>
      </x:c>
      <x:c r="D2924" s="7" t="str">
        <x:v>channel instance</x:v>
      </x:c>
      <x:c r="E2924" s="7" t="str">
        <x:v>CH-PEA-B-X2-15-3</x:v>
      </x:c>
      <x:c r="F2924" s="7" t="str">
        <x:f>'Channel Instances'!O1101</x:f>
        <x:v>OPEN</x:v>
      </x:c>
    </x:row>
    <x:row r="2925">
      <x:c r="B2925" s="7" t="str">
        <x:v>AG-02919</x:v>
      </x:c>
      <x:c r="C2925" s="7" t="str">
        <x:v>PEA-B-X2</x:v>
      </x:c>
      <x:c r="D2925" s="7" t="str">
        <x:v>channel instance</x:v>
      </x:c>
      <x:c r="E2925" s="7" t="str">
        <x:v>CH-PEA-B-X2-15-4</x:v>
      </x:c>
      <x:c r="F2925" s="7" t="str">
        <x:f>'Channel Instances'!O1102</x:f>
        <x:v>OPEN</x:v>
      </x:c>
    </x:row>
    <x:row r="2926">
      <x:c r="B2926" s="7" t="str">
        <x:v>AG-02920</x:v>
      </x:c>
      <x:c r="C2926" s="7" t="str">
        <x:v>PEA-B-X2</x:v>
      </x:c>
      <x:c r="D2926" s="7" t="str">
        <x:v>channel instance</x:v>
      </x:c>
      <x:c r="E2926" s="7" t="str">
        <x:v>CH-PEA-B-X2-15-5</x:v>
      </x:c>
      <x:c r="F2926" s="7" t="str">
        <x:f>'Channel Instances'!O1103</x:f>
        <x:v>OPEN</x:v>
      </x:c>
    </x:row>
    <x:row r="2927">
      <x:c r="B2927" s="7" t="str">
        <x:v>AG-02921</x:v>
      </x:c>
      <x:c r="C2927" s="7" t="str">
        <x:v>PEA-B-X2</x:v>
      </x:c>
      <x:c r="D2927" s="7" t="str">
        <x:v>channel instance</x:v>
      </x:c>
      <x:c r="E2927" s="7" t="str">
        <x:v>CH-PEA-B-X2-15-6</x:v>
      </x:c>
      <x:c r="F2927" s="7" t="str">
        <x:f>'Channel Instances'!O1104</x:f>
        <x:v>OPEN</x:v>
      </x:c>
    </x:row>
    <x:row r="2928">
      <x:c r="B2928" s="7" t="str">
        <x:v>AG-02922</x:v>
      </x:c>
      <x:c r="C2928" s="7" t="str">
        <x:v>PEA-B-X2</x:v>
      </x:c>
      <x:c r="D2928" s="7" t="str">
        <x:v>channel instance</x:v>
      </x:c>
      <x:c r="E2928" s="7" t="str">
        <x:v>CH-PEA-B-X2-16-1</x:v>
      </x:c>
      <x:c r="F2928" s="7" t="str">
        <x:f>'Channel Instances'!O1105</x:f>
        <x:v>OPEN</x:v>
      </x:c>
    </x:row>
    <x:row r="2929">
      <x:c r="B2929" s="7" t="str">
        <x:v>AG-02923</x:v>
      </x:c>
      <x:c r="C2929" s="7" t="str">
        <x:v>PEA-B-X2</x:v>
      </x:c>
      <x:c r="D2929" s="7" t="str">
        <x:v>channel instance</x:v>
      </x:c>
      <x:c r="E2929" s="7" t="str">
        <x:v>CH-PEA-B-X2-16-2</x:v>
      </x:c>
      <x:c r="F2929" s="7" t="str">
        <x:f>'Channel Instances'!O1106</x:f>
        <x:v>OPEN</x:v>
      </x:c>
    </x:row>
    <x:row r="2930">
      <x:c r="B2930" s="7" t="str">
        <x:v>AG-02924</x:v>
      </x:c>
      <x:c r="C2930" s="7" t="str">
        <x:v>PEA-B-X2</x:v>
      </x:c>
      <x:c r="D2930" s="7" t="str">
        <x:v>channel instance</x:v>
      </x:c>
      <x:c r="E2930" s="7" t="str">
        <x:v>CH-PEA-B-X2-16-3</x:v>
      </x:c>
      <x:c r="F2930" s="7" t="str">
        <x:f>'Channel Instances'!O1107</x:f>
        <x:v>OPEN</x:v>
      </x:c>
    </x:row>
    <x:row r="2931">
      <x:c r="B2931" s="7" t="str">
        <x:v>AG-02925</x:v>
      </x:c>
      <x:c r="C2931" s="7" t="str">
        <x:v>PEA-B-X2</x:v>
      </x:c>
      <x:c r="D2931" s="7" t="str">
        <x:v>channel instance</x:v>
      </x:c>
      <x:c r="E2931" s="7" t="str">
        <x:v>CH-PEA-B-X2-16-4</x:v>
      </x:c>
      <x:c r="F2931" s="7" t="str">
        <x:f>'Channel Instances'!O1108</x:f>
        <x:v>OPEN</x:v>
      </x:c>
    </x:row>
    <x:row r="2932">
      <x:c r="B2932" s="7" t="str">
        <x:v>AG-02926</x:v>
      </x:c>
      <x:c r="C2932" s="7" t="str">
        <x:v>PEA-B-X2</x:v>
      </x:c>
      <x:c r="D2932" s="7" t="str">
        <x:v>channel instance</x:v>
      </x:c>
      <x:c r="E2932" s="7" t="str">
        <x:v>CH-PEA-B-X2-16-5</x:v>
      </x:c>
      <x:c r="F2932" s="7" t="str">
        <x:f>'Channel Instances'!O1109</x:f>
        <x:v>OPEN</x:v>
      </x:c>
    </x:row>
    <x:row r="2933">
      <x:c r="B2933" s="7" t="str">
        <x:v>AG-02927</x:v>
      </x:c>
      <x:c r="C2933" s="7" t="str">
        <x:v>PEA-B-X2</x:v>
      </x:c>
      <x:c r="D2933" s="7" t="str">
        <x:v>channel instance</x:v>
      </x:c>
      <x:c r="E2933" s="7" t="str">
        <x:v>CH-PEA-B-X2-16-6</x:v>
      </x:c>
      <x:c r="F2933" s="7" t="str">
        <x:f>'Channel Instances'!O1110</x:f>
        <x:v>OPEN</x:v>
      </x:c>
    </x:row>
    <x:row r="2934">
      <x:c r="B2934" s="7" t="str">
        <x:v>AG-02928</x:v>
      </x:c>
      <x:c r="C2934" s="7" t="str">
        <x:v>PEA-B-X2</x:v>
      </x:c>
      <x:c r="D2934" s="7" t="str">
        <x:v>channel instance</x:v>
      </x:c>
      <x:c r="E2934" s="7" t="str">
        <x:v>CH-PEA-B-X2-17-1</x:v>
      </x:c>
      <x:c r="F2934" s="7" t="str">
        <x:f>'Channel Instances'!O1111</x:f>
        <x:v>OPEN</x:v>
      </x:c>
    </x:row>
    <x:row r="2935">
      <x:c r="B2935" s="7" t="str">
        <x:v>AG-02929</x:v>
      </x:c>
      <x:c r="C2935" s="7" t="str">
        <x:v>PEA-B-X2</x:v>
      </x:c>
      <x:c r="D2935" s="7" t="str">
        <x:v>channel instance</x:v>
      </x:c>
      <x:c r="E2935" s="7" t="str">
        <x:v>CH-PEA-B-X2-17-2</x:v>
      </x:c>
      <x:c r="F2935" s="7" t="str">
        <x:f>'Channel Instances'!O1112</x:f>
        <x:v>OPEN</x:v>
      </x:c>
    </x:row>
    <x:row r="2936">
      <x:c r="B2936" s="7" t="str">
        <x:v>AG-02930</x:v>
      </x:c>
      <x:c r="C2936" s="7" t="str">
        <x:v>PEA-B-X2</x:v>
      </x:c>
      <x:c r="D2936" s="7" t="str">
        <x:v>channel instance</x:v>
      </x:c>
      <x:c r="E2936" s="7" t="str">
        <x:v>CH-PEA-B-X2-17-3</x:v>
      </x:c>
      <x:c r="F2936" s="7" t="str">
        <x:f>'Channel Instances'!O1113</x:f>
        <x:v>OPEN</x:v>
      </x:c>
    </x:row>
    <x:row r="2937">
      <x:c r="B2937" s="7" t="str">
        <x:v>AG-02931</x:v>
      </x:c>
      <x:c r="C2937" s="7" t="str">
        <x:v>PEA-B-X2</x:v>
      </x:c>
      <x:c r="D2937" s="7" t="str">
        <x:v>channel instance</x:v>
      </x:c>
      <x:c r="E2937" s="7" t="str">
        <x:v>CH-PEA-B-X2-17-4</x:v>
      </x:c>
      <x:c r="F2937" s="7" t="str">
        <x:f>'Channel Instances'!O1114</x:f>
        <x:v>OPEN</x:v>
      </x:c>
    </x:row>
    <x:row r="2938">
      <x:c r="B2938" s="7" t="str">
        <x:v>AG-02932</x:v>
      </x:c>
      <x:c r="C2938" s="7" t="str">
        <x:v>PEA-B-X2</x:v>
      </x:c>
      <x:c r="D2938" s="7" t="str">
        <x:v>channel instance</x:v>
      </x:c>
      <x:c r="E2938" s="7" t="str">
        <x:v>CH-PEA-B-X2-17-5</x:v>
      </x:c>
      <x:c r="F2938" s="7" t="str">
        <x:f>'Channel Instances'!O1115</x:f>
        <x:v>OPEN</x:v>
      </x:c>
    </x:row>
    <x:row r="2939">
      <x:c r="B2939" s="7" t="str">
        <x:v>AG-02933</x:v>
      </x:c>
      <x:c r="C2939" s="7" t="str">
        <x:v>PEA-B-X2</x:v>
      </x:c>
      <x:c r="D2939" s="7" t="str">
        <x:v>channel instance</x:v>
      </x:c>
      <x:c r="E2939" s="7" t="str">
        <x:v>CH-PEA-B-X2-17-6</x:v>
      </x:c>
      <x:c r="F2939" s="7" t="str">
        <x:f>'Channel Instances'!O1116</x:f>
        <x:v>OPEN</x:v>
      </x:c>
    </x:row>
    <x:row r="2940">
      <x:c r="B2940" s="7" t="str">
        <x:v>AG-02934</x:v>
      </x:c>
      <x:c r="C2940" s="7" t="str">
        <x:v>PEA-B-X2</x:v>
      </x:c>
      <x:c r="D2940" s="7" t="str">
        <x:v>channel instance</x:v>
      </x:c>
      <x:c r="E2940" s="7" t="str">
        <x:v>CH-PEA-B-X2-18-1</x:v>
      </x:c>
      <x:c r="F2940" s="7" t="str">
        <x:f>'Channel Instances'!O1117</x:f>
        <x:v>OPEN</x:v>
      </x:c>
    </x:row>
    <x:row r="2941">
      <x:c r="B2941" s="7" t="str">
        <x:v>AG-02935</x:v>
      </x:c>
      <x:c r="C2941" s="7" t="str">
        <x:v>PEA-B-X2</x:v>
      </x:c>
      <x:c r="D2941" s="7" t="str">
        <x:v>channel instance</x:v>
      </x:c>
      <x:c r="E2941" s="7" t="str">
        <x:v>CH-PEA-B-X2-18-2</x:v>
      </x:c>
      <x:c r="F2941" s="7" t="str">
        <x:f>'Channel Instances'!O1118</x:f>
        <x:v>OPEN</x:v>
      </x:c>
    </x:row>
    <x:row r="2942">
      <x:c r="B2942" s="7" t="str">
        <x:v>AG-02936</x:v>
      </x:c>
      <x:c r="C2942" s="7" t="str">
        <x:v>PEA-B-X2</x:v>
      </x:c>
      <x:c r="D2942" s="7" t="str">
        <x:v>channel instance</x:v>
      </x:c>
      <x:c r="E2942" s="7" t="str">
        <x:v>CH-PEA-B-X2-18-3</x:v>
      </x:c>
      <x:c r="F2942" s="7" t="str">
        <x:f>'Channel Instances'!O1119</x:f>
        <x:v>OPEN</x:v>
      </x:c>
    </x:row>
    <x:row r="2943">
      <x:c r="B2943" s="7" t="str">
        <x:v>AG-02937</x:v>
      </x:c>
      <x:c r="C2943" s="7" t="str">
        <x:v>PEA-B-X2</x:v>
      </x:c>
      <x:c r="D2943" s="7" t="str">
        <x:v>channel instance</x:v>
      </x:c>
      <x:c r="E2943" s="7" t="str">
        <x:v>CH-PEA-B-X2-18-4</x:v>
      </x:c>
      <x:c r="F2943" s="7" t="str">
        <x:f>'Channel Instances'!O1120</x:f>
        <x:v>OPEN</x:v>
      </x:c>
    </x:row>
    <x:row r="2944">
      <x:c r="B2944" s="7" t="str">
        <x:v>AG-02938</x:v>
      </x:c>
      <x:c r="C2944" s="7" t="str">
        <x:v>PEA-B-X2</x:v>
      </x:c>
      <x:c r="D2944" s="7" t="str">
        <x:v>channel instance</x:v>
      </x:c>
      <x:c r="E2944" s="7" t="str">
        <x:v>CH-PEA-B-X2-18-5</x:v>
      </x:c>
      <x:c r="F2944" s="7" t="str">
        <x:f>'Channel Instances'!O1121</x:f>
        <x:v>OPEN</x:v>
      </x:c>
    </x:row>
    <x:row r="2945">
      <x:c r="B2945" s="7" t="str">
        <x:v>AG-02939</x:v>
      </x:c>
      <x:c r="C2945" s="7" t="str">
        <x:v>PEA-B-X2</x:v>
      </x:c>
      <x:c r="D2945" s="7" t="str">
        <x:v>channel instance</x:v>
      </x:c>
      <x:c r="E2945" s="7" t="str">
        <x:v>CH-PEA-B-X2-18-6</x:v>
      </x:c>
      <x:c r="F2945" s="7" t="str">
        <x:f>'Channel Instances'!O1122</x:f>
        <x:v>OPEN</x:v>
      </x:c>
    </x:row>
    <x:row r="2946">
      <x:c r="B2946" s="7" t="str">
        <x:v>AG-02940</x:v>
      </x:c>
      <x:c r="C2946" s="7" t="str">
        <x:v>PEA-B-X2</x:v>
      </x:c>
      <x:c r="D2946" s="7" t="str">
        <x:v>channel instance</x:v>
      </x:c>
      <x:c r="E2946" s="7" t="str">
        <x:v>CH-PEA-B-X2-19-1</x:v>
      </x:c>
      <x:c r="F2946" s="7" t="str">
        <x:f>'Channel Instances'!O1123</x:f>
        <x:v>OPEN</x:v>
      </x:c>
    </x:row>
    <x:row r="2947">
      <x:c r="B2947" s="7" t="str">
        <x:v>AG-02941</x:v>
      </x:c>
      <x:c r="C2947" s="7" t="str">
        <x:v>PEA-B-X2</x:v>
      </x:c>
      <x:c r="D2947" s="7" t="str">
        <x:v>channel instance</x:v>
      </x:c>
      <x:c r="E2947" s="7" t="str">
        <x:v>CH-PEA-B-X2-19-2</x:v>
      </x:c>
      <x:c r="F2947" s="7" t="str">
        <x:f>'Channel Instances'!O1124</x:f>
        <x:v>OPEN</x:v>
      </x:c>
    </x:row>
    <x:row r="2948">
      <x:c r="B2948" s="7" t="str">
        <x:v>AG-02942</x:v>
      </x:c>
      <x:c r="C2948" s="7" t="str">
        <x:v>PEA-B-X2</x:v>
      </x:c>
      <x:c r="D2948" s="7" t="str">
        <x:v>channel instance</x:v>
      </x:c>
      <x:c r="E2948" s="7" t="str">
        <x:v>CH-PEA-B-X2-19-3</x:v>
      </x:c>
      <x:c r="F2948" s="7" t="str">
        <x:f>'Channel Instances'!O1125</x:f>
        <x:v>OPEN</x:v>
      </x:c>
    </x:row>
    <x:row r="2949">
      <x:c r="B2949" s="7" t="str">
        <x:v>AG-02943</x:v>
      </x:c>
      <x:c r="C2949" s="7" t="str">
        <x:v>PEA-B-X2</x:v>
      </x:c>
      <x:c r="D2949" s="7" t="str">
        <x:v>channel instance</x:v>
      </x:c>
      <x:c r="E2949" s="7" t="str">
        <x:v>CH-PEA-B-X2-19-4</x:v>
      </x:c>
      <x:c r="F2949" s="7" t="str">
        <x:f>'Channel Instances'!O1126</x:f>
        <x:v>OPEN</x:v>
      </x:c>
    </x:row>
    <x:row r="2950">
      <x:c r="B2950" s="7" t="str">
        <x:v>AG-02944</x:v>
      </x:c>
      <x:c r="C2950" s="7" t="str">
        <x:v>PEA-B-X2</x:v>
      </x:c>
      <x:c r="D2950" s="7" t="str">
        <x:v>channel instance</x:v>
      </x:c>
      <x:c r="E2950" s="7" t="str">
        <x:v>CH-PEA-B-X2-19-5</x:v>
      </x:c>
      <x:c r="F2950" s="7" t="str">
        <x:f>'Channel Instances'!O1127</x:f>
        <x:v>OPEN</x:v>
      </x:c>
    </x:row>
    <x:row r="2951">
      <x:c r="B2951" s="7" t="str">
        <x:v>AG-02945</x:v>
      </x:c>
      <x:c r="C2951" s="7" t="str">
        <x:v>PEA-B-X2</x:v>
      </x:c>
      <x:c r="D2951" s="7" t="str">
        <x:v>channel instance</x:v>
      </x:c>
      <x:c r="E2951" s="7" t="str">
        <x:v>CH-PEA-B-X2-19-6</x:v>
      </x:c>
      <x:c r="F2951" s="7" t="str">
        <x:f>'Channel Instances'!O1128</x:f>
        <x:v>OPEN</x:v>
      </x:c>
    </x:row>
    <x:row r="2952">
      <x:c r="B2952" s="7" t="str">
        <x:v>AG-02946</x:v>
      </x:c>
      <x:c r="C2952" s="7" t="str">
        <x:v>PEA-B-X2</x:v>
      </x:c>
      <x:c r="D2952" s="7" t="str">
        <x:v>channel instance</x:v>
      </x:c>
      <x:c r="E2952" s="7" t="str">
        <x:v>CH-PEA-B-X2-20-1</x:v>
      </x:c>
      <x:c r="F2952" s="7" t="str">
        <x:f>'Channel Instances'!O1129</x:f>
        <x:v>OPEN</x:v>
      </x:c>
    </x:row>
    <x:row r="2953">
      <x:c r="B2953" s="7" t="str">
        <x:v>AG-02947</x:v>
      </x:c>
      <x:c r="C2953" s="7" t="str">
        <x:v>PEA-B-X2</x:v>
      </x:c>
      <x:c r="D2953" s="7" t="str">
        <x:v>channel instance</x:v>
      </x:c>
      <x:c r="E2953" s="7" t="str">
        <x:v>CH-PEA-B-X2-20-2</x:v>
      </x:c>
      <x:c r="F2953" s="7" t="str">
        <x:f>'Channel Instances'!O1130</x:f>
        <x:v>OPEN</x:v>
      </x:c>
    </x:row>
    <x:row r="2954">
      <x:c r="B2954" s="7" t="str">
        <x:v>AG-02948</x:v>
      </x:c>
      <x:c r="C2954" s="7" t="str">
        <x:v>PEA-B-X2</x:v>
      </x:c>
      <x:c r="D2954" s="7" t="str">
        <x:v>channel instance</x:v>
      </x:c>
      <x:c r="E2954" s="7" t="str">
        <x:v>CH-PEA-B-X2-20-3</x:v>
      </x:c>
      <x:c r="F2954" s="7" t="str">
        <x:f>'Channel Instances'!O1131</x:f>
        <x:v>OPEN</x:v>
      </x:c>
    </x:row>
    <x:row r="2955">
      <x:c r="B2955" s="7" t="str">
        <x:v>AG-02949</x:v>
      </x:c>
      <x:c r="C2955" s="7" t="str">
        <x:v>PEA-B-X2</x:v>
      </x:c>
      <x:c r="D2955" s="7" t="str">
        <x:v>channel instance</x:v>
      </x:c>
      <x:c r="E2955" s="7" t="str">
        <x:v>CH-PEA-B-X2-20-4</x:v>
      </x:c>
      <x:c r="F2955" s="7" t="str">
        <x:f>'Channel Instances'!O1132</x:f>
        <x:v>OPEN</x:v>
      </x:c>
    </x:row>
    <x:row r="2956">
      <x:c r="B2956" s="7" t="str">
        <x:v>AG-02950</x:v>
      </x:c>
      <x:c r="C2956" s="7" t="str">
        <x:v>PEA-B-X2</x:v>
      </x:c>
      <x:c r="D2956" s="7" t="str">
        <x:v>channel instance</x:v>
      </x:c>
      <x:c r="E2956" s="7" t="str">
        <x:v>CH-PEA-B-X2-20-5</x:v>
      </x:c>
      <x:c r="F2956" s="7" t="str">
        <x:f>'Channel Instances'!O1133</x:f>
        <x:v>OPEN</x:v>
      </x:c>
    </x:row>
    <x:row r="2957">
      <x:c r="B2957" s="7" t="str">
        <x:v>AG-02951</x:v>
      </x:c>
      <x:c r="C2957" s="7" t="str">
        <x:v>PEA-B-X2</x:v>
      </x:c>
      <x:c r="D2957" s="7" t="str">
        <x:v>channel instance</x:v>
      </x:c>
      <x:c r="E2957" s="7" t="str">
        <x:v>CH-PEA-B-X2-20-6</x:v>
      </x:c>
      <x:c r="F2957" s="7" t="str">
        <x:f>'Channel Instances'!O1134</x:f>
        <x:v>OPEN</x:v>
      </x:c>
    </x:row>
    <x:row r="2958">
      <x:c r="B2958" s="7" t="str">
        <x:v>AG-02952</x:v>
      </x:c>
      <x:c r="C2958" s="7" t="str">
        <x:v>PEA-B-X2</x:v>
      </x:c>
      <x:c r="D2958" s="7" t="str">
        <x:v>channel instance</x:v>
      </x:c>
      <x:c r="E2958" s="7" t="str">
        <x:v>CH-PEA-B-X2-21-1</x:v>
      </x:c>
      <x:c r="F2958" s="7" t="str">
        <x:f>'Channel Instances'!O1135</x:f>
        <x:v>OPEN</x:v>
      </x:c>
    </x:row>
    <x:row r="2959">
      <x:c r="B2959" s="7" t="str">
        <x:v>AG-02953</x:v>
      </x:c>
      <x:c r="C2959" s="7" t="str">
        <x:v>PEA-B-X2</x:v>
      </x:c>
      <x:c r="D2959" s="7" t="str">
        <x:v>channel instance</x:v>
      </x:c>
      <x:c r="E2959" s="7" t="str">
        <x:v>CH-PEA-B-X2-21-2</x:v>
      </x:c>
      <x:c r="F2959" s="7" t="str">
        <x:f>'Channel Instances'!O1136</x:f>
        <x:v>OPEN</x:v>
      </x:c>
    </x:row>
    <x:row r="2960">
      <x:c r="B2960" s="7" t="str">
        <x:v>AG-02954</x:v>
      </x:c>
      <x:c r="C2960" s="7" t="str">
        <x:v>PEA-B-X2</x:v>
      </x:c>
      <x:c r="D2960" s="7" t="str">
        <x:v>channel instance</x:v>
      </x:c>
      <x:c r="E2960" s="7" t="str">
        <x:v>CH-PEA-B-X2-21-3</x:v>
      </x:c>
      <x:c r="F2960" s="7" t="str">
        <x:f>'Channel Instances'!O1137</x:f>
        <x:v>OPEN</x:v>
      </x:c>
    </x:row>
    <x:row r="2961">
      <x:c r="B2961" s="7" t="str">
        <x:v>AG-02955</x:v>
      </x:c>
      <x:c r="C2961" s="7" t="str">
        <x:v>PEA-B-X2</x:v>
      </x:c>
      <x:c r="D2961" s="7" t="str">
        <x:v>channel instance</x:v>
      </x:c>
      <x:c r="E2961" s="7" t="str">
        <x:v>CH-PEA-B-X2-21-4</x:v>
      </x:c>
      <x:c r="F2961" s="7" t="str">
        <x:f>'Channel Instances'!O1138</x:f>
        <x:v>OPEN</x:v>
      </x:c>
    </x:row>
    <x:row r="2962">
      <x:c r="B2962" s="7" t="str">
        <x:v>AG-02956</x:v>
      </x:c>
      <x:c r="C2962" s="7" t="str">
        <x:v>PEA-B-X2</x:v>
      </x:c>
      <x:c r="D2962" s="7" t="str">
        <x:v>channel instance</x:v>
      </x:c>
      <x:c r="E2962" s="7" t="str">
        <x:v>CH-PEA-B-X2-21-5</x:v>
      </x:c>
      <x:c r="F2962" s="7" t="str">
        <x:f>'Channel Instances'!O1139</x:f>
        <x:v>OPEN</x:v>
      </x:c>
    </x:row>
    <x:row r="2963">
      <x:c r="B2963" s="7" t="str">
        <x:v>AG-02957</x:v>
      </x:c>
      <x:c r="C2963" s="7" t="str">
        <x:v>PEA-B-X2</x:v>
      </x:c>
      <x:c r="D2963" s="7" t="str">
        <x:v>channel instance</x:v>
      </x:c>
      <x:c r="E2963" s="7" t="str">
        <x:v>CH-PEA-B-X2-21-6</x:v>
      </x:c>
      <x:c r="F2963" s="7" t="str">
        <x:f>'Channel Instances'!O1140</x:f>
        <x:v>OPEN</x:v>
      </x:c>
    </x:row>
    <x:row r="2964">
      <x:c r="B2964" s="7" t="str">
        <x:v>AG-02958</x:v>
      </x:c>
      <x:c r="C2964" s="7" t="str">
        <x:v>PEA-B-X2</x:v>
      </x:c>
      <x:c r="D2964" s="7" t="str">
        <x:v>channel instance</x:v>
      </x:c>
      <x:c r="E2964" s="7" t="str">
        <x:v>CH-PEA-B-X2-22-1</x:v>
      </x:c>
      <x:c r="F2964" s="7" t="str">
        <x:f>'Channel Instances'!O1141</x:f>
        <x:v>OPEN</x:v>
      </x:c>
    </x:row>
    <x:row r="2965">
      <x:c r="B2965" s="7" t="str">
        <x:v>AG-02959</x:v>
      </x:c>
      <x:c r="C2965" s="7" t="str">
        <x:v>PEA-B-X2</x:v>
      </x:c>
      <x:c r="D2965" s="7" t="str">
        <x:v>channel instance</x:v>
      </x:c>
      <x:c r="E2965" s="7" t="str">
        <x:v>CH-PEA-B-X2-22-2</x:v>
      </x:c>
      <x:c r="F2965" s="7" t="str">
        <x:f>'Channel Instances'!O1142</x:f>
        <x:v>OPEN</x:v>
      </x:c>
    </x:row>
    <x:row r="2966">
      <x:c r="B2966" s="7" t="str">
        <x:v>AG-02960</x:v>
      </x:c>
      <x:c r="C2966" s="7" t="str">
        <x:v>PEA-B-X2</x:v>
      </x:c>
      <x:c r="D2966" s="7" t="str">
        <x:v>channel instance</x:v>
      </x:c>
      <x:c r="E2966" s="7" t="str">
        <x:v>CH-PEA-B-X2-22-3</x:v>
      </x:c>
      <x:c r="F2966" s="7" t="str">
        <x:f>'Channel Instances'!O1143</x:f>
        <x:v>OPEN</x:v>
      </x:c>
    </x:row>
    <x:row r="2967">
      <x:c r="B2967" s="7" t="str">
        <x:v>AG-02961</x:v>
      </x:c>
      <x:c r="C2967" s="7" t="str">
        <x:v>PEA-B-X2</x:v>
      </x:c>
      <x:c r="D2967" s="7" t="str">
        <x:v>channel instance</x:v>
      </x:c>
      <x:c r="E2967" s="7" t="str">
        <x:v>CH-PEA-B-X2-22-4</x:v>
      </x:c>
      <x:c r="F2967" s="7" t="str">
        <x:f>'Channel Instances'!O1144</x:f>
        <x:v>OPEN</x:v>
      </x:c>
    </x:row>
    <x:row r="2968">
      <x:c r="B2968" s="7" t="str">
        <x:v>AG-02962</x:v>
      </x:c>
      <x:c r="C2968" s="7" t="str">
        <x:v>PEA-B-X2</x:v>
      </x:c>
      <x:c r="D2968" s="7" t="str">
        <x:v>channel instance</x:v>
      </x:c>
      <x:c r="E2968" s="7" t="str">
        <x:v>CH-PEA-B-X2-22-5</x:v>
      </x:c>
      <x:c r="F2968" s="7" t="str">
        <x:f>'Channel Instances'!O1145</x:f>
        <x:v>OPEN</x:v>
      </x:c>
    </x:row>
    <x:row r="2969">
      <x:c r="B2969" s="7" t="str">
        <x:v>AG-02963</x:v>
      </x:c>
      <x:c r="C2969" s="7" t="str">
        <x:v>PEA-B-X2</x:v>
      </x:c>
      <x:c r="D2969" s="7" t="str">
        <x:v>channel instance</x:v>
      </x:c>
      <x:c r="E2969" s="7" t="str">
        <x:v>CH-PEA-B-X2-22-6</x:v>
      </x:c>
      <x:c r="F2969" s="7" t="str">
        <x:f>'Channel Instances'!O1146</x:f>
        <x:v>OPEN</x:v>
      </x:c>
    </x:row>
    <x:row r="2970">
      <x:c r="B2970" s="7" t="str">
        <x:v>AG-02964</x:v>
      </x:c>
      <x:c r="C2970" s="7" t="str">
        <x:v>PEA-B-X2</x:v>
      </x:c>
      <x:c r="D2970" s="7" t="str">
        <x:v>channel instance</x:v>
      </x:c>
      <x:c r="E2970" s="7" t="str">
        <x:v>CH-PEA-B-X2-23-1</x:v>
      </x:c>
      <x:c r="F2970" s="7" t="str">
        <x:f>'Channel Instances'!O1147</x:f>
        <x:v>OPEN</x:v>
      </x:c>
    </x:row>
    <x:row r="2971">
      <x:c r="B2971" s="7" t="str">
        <x:v>AG-02965</x:v>
      </x:c>
      <x:c r="C2971" s="7" t="str">
        <x:v>PEA-B-X2</x:v>
      </x:c>
      <x:c r="D2971" s="7" t="str">
        <x:v>channel instance</x:v>
      </x:c>
      <x:c r="E2971" s="7" t="str">
        <x:v>CH-PEA-B-X2-23-2</x:v>
      </x:c>
      <x:c r="F2971" s="7" t="str">
        <x:f>'Channel Instances'!O1148</x:f>
        <x:v>OPEN</x:v>
      </x:c>
    </x:row>
    <x:row r="2972">
      <x:c r="B2972" s="7" t="str">
        <x:v>AG-02966</x:v>
      </x:c>
      <x:c r="C2972" s="7" t="str">
        <x:v>PEA-B-X2</x:v>
      </x:c>
      <x:c r="D2972" s="7" t="str">
        <x:v>channel instance</x:v>
      </x:c>
      <x:c r="E2972" s="7" t="str">
        <x:v>CH-PEA-B-X2-23-3</x:v>
      </x:c>
      <x:c r="F2972" s="7" t="str">
        <x:f>'Channel Instances'!O1149</x:f>
        <x:v>OPEN</x:v>
      </x:c>
    </x:row>
    <x:row r="2973">
      <x:c r="B2973" s="7" t="str">
        <x:v>AG-02967</x:v>
      </x:c>
      <x:c r="C2973" s="7" t="str">
        <x:v>PEA-B-X2</x:v>
      </x:c>
      <x:c r="D2973" s="7" t="str">
        <x:v>channel instance</x:v>
      </x:c>
      <x:c r="E2973" s="7" t="str">
        <x:v>CH-PEA-B-X2-23-4</x:v>
      </x:c>
      <x:c r="F2973" s="7" t="str">
        <x:f>'Channel Instances'!O1150</x:f>
        <x:v>OPEN</x:v>
      </x:c>
    </x:row>
    <x:row r="2974">
      <x:c r="B2974" s="7" t="str">
        <x:v>AG-02968</x:v>
      </x:c>
      <x:c r="C2974" s="7" t="str">
        <x:v>PEA-B-X2</x:v>
      </x:c>
      <x:c r="D2974" s="7" t="str">
        <x:v>channel instance</x:v>
      </x:c>
      <x:c r="E2974" s="7" t="str">
        <x:v>CH-PEA-B-X2-23-5</x:v>
      </x:c>
      <x:c r="F2974" s="7" t="str">
        <x:f>'Channel Instances'!O1151</x:f>
        <x:v>OPEN</x:v>
      </x:c>
    </x:row>
    <x:row r="2975">
      <x:c r="B2975" s="7" t="str">
        <x:v>AG-02969</x:v>
      </x:c>
      <x:c r="C2975" s="7" t="str">
        <x:v>PEA-B-X2</x:v>
      </x:c>
      <x:c r="D2975" s="7" t="str">
        <x:v>channel instance</x:v>
      </x:c>
      <x:c r="E2975" s="7" t="str">
        <x:v>CH-PEA-B-X2-23-6</x:v>
      </x:c>
      <x:c r="F2975" s="7" t="str">
        <x:f>'Channel Instances'!O1152</x:f>
        <x:v>OPEN</x:v>
      </x:c>
    </x:row>
    <x:row r="2976">
      <x:c r="B2976" s="7" t="str">
        <x:v>AG-02970</x:v>
      </x:c>
      <x:c r="C2976" s="7" t="str">
        <x:v>PEA-B-X2</x:v>
      </x:c>
      <x:c r="D2976" s="7" t="str">
        <x:v>channel instance</x:v>
      </x:c>
      <x:c r="E2976" s="7" t="str">
        <x:v>CH-PEA-B-X2-24-1</x:v>
      </x:c>
      <x:c r="F2976" s="7" t="str">
        <x:f>'Channel Instances'!O1153</x:f>
        <x:v>OPEN</x:v>
      </x:c>
    </x:row>
    <x:row r="2977">
      <x:c r="B2977" s="7" t="str">
        <x:v>AG-02971</x:v>
      </x:c>
      <x:c r="C2977" s="7" t="str">
        <x:v>PEA-B-X2</x:v>
      </x:c>
      <x:c r="D2977" s="7" t="str">
        <x:v>channel instance</x:v>
      </x:c>
      <x:c r="E2977" s="7" t="str">
        <x:v>CH-PEA-B-X2-24-2</x:v>
      </x:c>
      <x:c r="F2977" s="7" t="str">
        <x:f>'Channel Instances'!O1154</x:f>
        <x:v>OPEN</x:v>
      </x:c>
    </x:row>
    <x:row r="2978">
      <x:c r="B2978" s="7" t="str">
        <x:v>AG-02972</x:v>
      </x:c>
      <x:c r="C2978" s="7" t="str">
        <x:v>PEA-B-X2</x:v>
      </x:c>
      <x:c r="D2978" s="7" t="str">
        <x:v>channel instance</x:v>
      </x:c>
      <x:c r="E2978" s="7" t="str">
        <x:v>CH-PEA-B-X2-24-3</x:v>
      </x:c>
      <x:c r="F2978" s="7" t="str">
        <x:f>'Channel Instances'!O1155</x:f>
        <x:v>OPEN</x:v>
      </x:c>
    </x:row>
    <x:row r="2979">
      <x:c r="B2979" s="7" t="str">
        <x:v>AG-02973</x:v>
      </x:c>
      <x:c r="C2979" s="7" t="str">
        <x:v>PEA-B-X2</x:v>
      </x:c>
      <x:c r="D2979" s="7" t="str">
        <x:v>channel instance</x:v>
      </x:c>
      <x:c r="E2979" s="7" t="str">
        <x:v>CH-PEA-B-X2-24-4</x:v>
      </x:c>
      <x:c r="F2979" s="7" t="str">
        <x:f>'Channel Instances'!O1156</x:f>
        <x:v>OPEN</x:v>
      </x:c>
    </x:row>
    <x:row r="2980">
      <x:c r="B2980" s="7" t="str">
        <x:v>AG-02974</x:v>
      </x:c>
      <x:c r="C2980" s="7" t="str">
        <x:v>PEA-B-X2</x:v>
      </x:c>
      <x:c r="D2980" s="7" t="str">
        <x:v>channel instance</x:v>
      </x:c>
      <x:c r="E2980" s="7" t="str">
        <x:v>CH-PEA-B-X2-24-5</x:v>
      </x:c>
      <x:c r="F2980" s="7" t="str">
        <x:f>'Channel Instances'!O1157</x:f>
        <x:v>OPEN</x:v>
      </x:c>
    </x:row>
    <x:row r="2981">
      <x:c r="B2981" s="7" t="str">
        <x:v>AG-02975</x:v>
      </x:c>
      <x:c r="C2981" s="7" t="str">
        <x:v>PEA-B-X2</x:v>
      </x:c>
      <x:c r="D2981" s="7" t="str">
        <x:v>channel instance</x:v>
      </x:c>
      <x:c r="E2981" s="7" t="str">
        <x:v>CH-PEA-B-X2-24-6</x:v>
      </x:c>
      <x:c r="F2981" s="7" t="str">
        <x:f>'Channel Instances'!O1158</x:f>
        <x:v>OPEN</x:v>
      </x:c>
    </x:row>
    <x:row r="2982">
      <x:c r="B2982" s="7" t="str">
        <x:v>AG-02976</x:v>
      </x:c>
      <x:c r="C2982" s="7" t="str">
        <x:v>PEA-B-X2</x:v>
      </x:c>
      <x:c r="D2982" s="7" t="str">
        <x:v>factory calibration</x:v>
      </x:c>
      <x:c r="E2982" s="7" t="str">
        <x:v>CAL-CH-PEA-B-X2-01-1</x:v>
      </x:c>
      <x:c r="F2982" s="7" t="str">
        <x:f>'Calibration Records'!M1015</x:f>
        <x:v>OPEN</x:v>
      </x:c>
    </x:row>
    <x:row r="2983">
      <x:c r="B2983" s="7" t="str">
        <x:v>AG-02977</x:v>
      </x:c>
      <x:c r="C2983" s="7" t="str">
        <x:v>PEA-B-X2</x:v>
      </x:c>
      <x:c r="D2983" s="7" t="str">
        <x:v>factory calibration</x:v>
      </x:c>
      <x:c r="E2983" s="7" t="str">
        <x:v>CAL-CH-PEA-B-X2-01-2</x:v>
      </x:c>
      <x:c r="F2983" s="7" t="str">
        <x:f>'Calibration Records'!M1016</x:f>
        <x:v>OPEN</x:v>
      </x:c>
    </x:row>
    <x:row r="2984">
      <x:c r="B2984" s="7" t="str">
        <x:v>AG-02978</x:v>
      </x:c>
      <x:c r="C2984" s="7" t="str">
        <x:v>PEA-B-X2</x:v>
      </x:c>
      <x:c r="D2984" s="7" t="str">
        <x:v>factory calibration</x:v>
      </x:c>
      <x:c r="E2984" s="7" t="str">
        <x:v>CAL-CH-PEA-B-X2-01-3</x:v>
      </x:c>
      <x:c r="F2984" s="7" t="str">
        <x:f>'Calibration Records'!M1017</x:f>
        <x:v>OPEN</x:v>
      </x:c>
    </x:row>
    <x:row r="2985">
      <x:c r="B2985" s="7" t="str">
        <x:v>AG-02979</x:v>
      </x:c>
      <x:c r="C2985" s="7" t="str">
        <x:v>PEA-B-X2</x:v>
      </x:c>
      <x:c r="D2985" s="7" t="str">
        <x:v>factory calibration</x:v>
      </x:c>
      <x:c r="E2985" s="7" t="str">
        <x:v>CAL-CH-PEA-B-X2-01-4</x:v>
      </x:c>
      <x:c r="F2985" s="7" t="str">
        <x:f>'Calibration Records'!M1018</x:f>
        <x:v>OPEN</x:v>
      </x:c>
    </x:row>
    <x:row r="2986">
      <x:c r="B2986" s="7" t="str">
        <x:v>AG-02980</x:v>
      </x:c>
      <x:c r="C2986" s="7" t="str">
        <x:v>PEA-B-X2</x:v>
      </x:c>
      <x:c r="D2986" s="7" t="str">
        <x:v>factory calibration</x:v>
      </x:c>
      <x:c r="E2986" s="7" t="str">
        <x:v>CAL-CH-PEA-B-X2-01-5</x:v>
      </x:c>
      <x:c r="F2986" s="7" t="str">
        <x:f>'Calibration Records'!M1019</x:f>
        <x:v>OPEN</x:v>
      </x:c>
    </x:row>
    <x:row r="2987">
      <x:c r="B2987" s="7" t="str">
        <x:v>AG-02981</x:v>
      </x:c>
      <x:c r="C2987" s="7" t="str">
        <x:v>PEA-B-X2</x:v>
      </x:c>
      <x:c r="D2987" s="7" t="str">
        <x:v>factory calibration</x:v>
      </x:c>
      <x:c r="E2987" s="7" t="str">
        <x:v>CAL-CH-PEA-B-X2-01-6</x:v>
      </x:c>
      <x:c r="F2987" s="7" t="str">
        <x:f>'Calibration Records'!M1020</x:f>
        <x:v>OPEN</x:v>
      </x:c>
    </x:row>
    <x:row r="2988">
      <x:c r="B2988" s="7" t="str">
        <x:v>AG-02982</x:v>
      </x:c>
      <x:c r="C2988" s="7" t="str">
        <x:v>PEA-B-X2</x:v>
      </x:c>
      <x:c r="D2988" s="7" t="str">
        <x:v>factory calibration</x:v>
      </x:c>
      <x:c r="E2988" s="7" t="str">
        <x:v>CAL-CH-PEA-B-X2-02-1</x:v>
      </x:c>
      <x:c r="F2988" s="7" t="str">
        <x:f>'Calibration Records'!M1021</x:f>
        <x:v>OPEN</x:v>
      </x:c>
    </x:row>
    <x:row r="2989">
      <x:c r="B2989" s="7" t="str">
        <x:v>AG-02983</x:v>
      </x:c>
      <x:c r="C2989" s="7" t="str">
        <x:v>PEA-B-X2</x:v>
      </x:c>
      <x:c r="D2989" s="7" t="str">
        <x:v>factory calibration</x:v>
      </x:c>
      <x:c r="E2989" s="7" t="str">
        <x:v>CAL-CH-PEA-B-X2-02-2</x:v>
      </x:c>
      <x:c r="F2989" s="7" t="str">
        <x:f>'Calibration Records'!M1022</x:f>
        <x:v>OPEN</x:v>
      </x:c>
    </x:row>
    <x:row r="2990">
      <x:c r="B2990" s="7" t="str">
        <x:v>AG-02984</x:v>
      </x:c>
      <x:c r="C2990" s="7" t="str">
        <x:v>PEA-B-X2</x:v>
      </x:c>
      <x:c r="D2990" s="7" t="str">
        <x:v>factory calibration</x:v>
      </x:c>
      <x:c r="E2990" s="7" t="str">
        <x:v>CAL-CH-PEA-B-X2-02-3</x:v>
      </x:c>
      <x:c r="F2990" s="7" t="str">
        <x:f>'Calibration Records'!M1023</x:f>
        <x:v>OPEN</x:v>
      </x:c>
    </x:row>
    <x:row r="2991">
      <x:c r="B2991" s="7" t="str">
        <x:v>AG-02985</x:v>
      </x:c>
      <x:c r="C2991" s="7" t="str">
        <x:v>PEA-B-X2</x:v>
      </x:c>
      <x:c r="D2991" s="7" t="str">
        <x:v>factory calibration</x:v>
      </x:c>
      <x:c r="E2991" s="7" t="str">
        <x:v>CAL-CH-PEA-B-X2-02-4</x:v>
      </x:c>
      <x:c r="F2991" s="7" t="str">
        <x:f>'Calibration Records'!M1024</x:f>
        <x:v>OPEN</x:v>
      </x:c>
    </x:row>
    <x:row r="2992">
      <x:c r="B2992" s="7" t="str">
        <x:v>AG-02986</x:v>
      </x:c>
      <x:c r="C2992" s="7" t="str">
        <x:v>PEA-B-X2</x:v>
      </x:c>
      <x:c r="D2992" s="7" t="str">
        <x:v>factory calibration</x:v>
      </x:c>
      <x:c r="E2992" s="7" t="str">
        <x:v>CAL-CH-PEA-B-X2-02-5</x:v>
      </x:c>
      <x:c r="F2992" s="7" t="str">
        <x:f>'Calibration Records'!M1025</x:f>
        <x:v>OPEN</x:v>
      </x:c>
    </x:row>
    <x:row r="2993">
      <x:c r="B2993" s="7" t="str">
        <x:v>AG-02987</x:v>
      </x:c>
      <x:c r="C2993" s="7" t="str">
        <x:v>PEA-B-X2</x:v>
      </x:c>
      <x:c r="D2993" s="7" t="str">
        <x:v>factory calibration</x:v>
      </x:c>
      <x:c r="E2993" s="7" t="str">
        <x:v>CAL-CH-PEA-B-X2-02-6</x:v>
      </x:c>
      <x:c r="F2993" s="7" t="str">
        <x:f>'Calibration Records'!M1026</x:f>
        <x:v>OPEN</x:v>
      </x:c>
    </x:row>
    <x:row r="2994">
      <x:c r="B2994" s="7" t="str">
        <x:v>AG-02988</x:v>
      </x:c>
      <x:c r="C2994" s="7" t="str">
        <x:v>PEA-B-X2</x:v>
      </x:c>
      <x:c r="D2994" s="7" t="str">
        <x:v>factory calibration</x:v>
      </x:c>
      <x:c r="E2994" s="7" t="str">
        <x:v>CAL-CH-PEA-B-X2-03-1</x:v>
      </x:c>
      <x:c r="F2994" s="7" t="str">
        <x:f>'Calibration Records'!M1027</x:f>
        <x:v>OPEN</x:v>
      </x:c>
    </x:row>
    <x:row r="2995">
      <x:c r="B2995" s="7" t="str">
        <x:v>AG-02989</x:v>
      </x:c>
      <x:c r="C2995" s="7" t="str">
        <x:v>PEA-B-X2</x:v>
      </x:c>
      <x:c r="D2995" s="7" t="str">
        <x:v>factory calibration</x:v>
      </x:c>
      <x:c r="E2995" s="7" t="str">
        <x:v>CAL-CH-PEA-B-X2-03-2</x:v>
      </x:c>
      <x:c r="F2995" s="7" t="str">
        <x:f>'Calibration Records'!M1028</x:f>
        <x:v>OPEN</x:v>
      </x:c>
    </x:row>
    <x:row r="2996">
      <x:c r="B2996" s="7" t="str">
        <x:v>AG-02990</x:v>
      </x:c>
      <x:c r="C2996" s="7" t="str">
        <x:v>PEA-B-X2</x:v>
      </x:c>
      <x:c r="D2996" s="7" t="str">
        <x:v>factory calibration</x:v>
      </x:c>
      <x:c r="E2996" s="7" t="str">
        <x:v>CAL-CH-PEA-B-X2-03-3</x:v>
      </x:c>
      <x:c r="F2996" s="7" t="str">
        <x:f>'Calibration Records'!M1029</x:f>
        <x:v>OPEN</x:v>
      </x:c>
    </x:row>
    <x:row r="2997">
      <x:c r="B2997" s="7" t="str">
        <x:v>AG-02991</x:v>
      </x:c>
      <x:c r="C2997" s="7" t="str">
        <x:v>PEA-B-X2</x:v>
      </x:c>
      <x:c r="D2997" s="7" t="str">
        <x:v>factory calibration</x:v>
      </x:c>
      <x:c r="E2997" s="7" t="str">
        <x:v>CAL-CH-PEA-B-X2-03-4</x:v>
      </x:c>
      <x:c r="F2997" s="7" t="str">
        <x:f>'Calibration Records'!M1030</x:f>
        <x:v>OPEN</x:v>
      </x:c>
    </x:row>
    <x:row r="2998">
      <x:c r="B2998" s="7" t="str">
        <x:v>AG-02992</x:v>
      </x:c>
      <x:c r="C2998" s="7" t="str">
        <x:v>PEA-B-X2</x:v>
      </x:c>
      <x:c r="D2998" s="7" t="str">
        <x:v>factory calibration</x:v>
      </x:c>
      <x:c r="E2998" s="7" t="str">
        <x:v>CAL-CH-PEA-B-X2-03-5</x:v>
      </x:c>
      <x:c r="F2998" s="7" t="str">
        <x:f>'Calibration Records'!M1031</x:f>
        <x:v>OPEN</x:v>
      </x:c>
    </x:row>
    <x:row r="2999">
      <x:c r="B2999" s="7" t="str">
        <x:v>AG-02993</x:v>
      </x:c>
      <x:c r="C2999" s="7" t="str">
        <x:v>PEA-B-X2</x:v>
      </x:c>
      <x:c r="D2999" s="7" t="str">
        <x:v>factory calibration</x:v>
      </x:c>
      <x:c r="E2999" s="7" t="str">
        <x:v>CAL-CH-PEA-B-X2-03-6</x:v>
      </x:c>
      <x:c r="F2999" s="7" t="str">
        <x:f>'Calibration Records'!M1032</x:f>
        <x:v>OPEN</x:v>
      </x:c>
    </x:row>
    <x:row r="3000">
      <x:c r="B3000" s="7" t="str">
        <x:v>AG-02994</x:v>
      </x:c>
      <x:c r="C3000" s="7" t="str">
        <x:v>PEA-B-X2</x:v>
      </x:c>
      <x:c r="D3000" s="7" t="str">
        <x:v>factory calibration</x:v>
      </x:c>
      <x:c r="E3000" s="7" t="str">
        <x:v>CAL-CH-PEA-B-X2-04-1</x:v>
      </x:c>
      <x:c r="F3000" s="7" t="str">
        <x:f>'Calibration Records'!M1033</x:f>
        <x:v>OPEN</x:v>
      </x:c>
    </x:row>
    <x:row r="3001">
      <x:c r="B3001" s="7" t="str">
        <x:v>AG-02995</x:v>
      </x:c>
      <x:c r="C3001" s="7" t="str">
        <x:v>PEA-B-X2</x:v>
      </x:c>
      <x:c r="D3001" s="7" t="str">
        <x:v>factory calibration</x:v>
      </x:c>
      <x:c r="E3001" s="7" t="str">
        <x:v>CAL-CH-PEA-B-X2-04-2</x:v>
      </x:c>
      <x:c r="F3001" s="7" t="str">
        <x:f>'Calibration Records'!M1034</x:f>
        <x:v>OPEN</x:v>
      </x:c>
    </x:row>
    <x:row r="3002">
      <x:c r="B3002" s="7" t="str">
        <x:v>AG-02996</x:v>
      </x:c>
      <x:c r="C3002" s="7" t="str">
        <x:v>PEA-B-X2</x:v>
      </x:c>
      <x:c r="D3002" s="7" t="str">
        <x:v>factory calibration</x:v>
      </x:c>
      <x:c r="E3002" s="7" t="str">
        <x:v>CAL-CH-PEA-B-X2-04-3</x:v>
      </x:c>
      <x:c r="F3002" s="7" t="str">
        <x:f>'Calibration Records'!M1035</x:f>
        <x:v>OPEN</x:v>
      </x:c>
    </x:row>
    <x:row r="3003">
      <x:c r="B3003" s="7" t="str">
        <x:v>AG-02997</x:v>
      </x:c>
      <x:c r="C3003" s="7" t="str">
        <x:v>PEA-B-X2</x:v>
      </x:c>
      <x:c r="D3003" s="7" t="str">
        <x:v>factory calibration</x:v>
      </x:c>
      <x:c r="E3003" s="7" t="str">
        <x:v>CAL-CH-PEA-B-X2-04-4</x:v>
      </x:c>
      <x:c r="F3003" s="7" t="str">
        <x:f>'Calibration Records'!M1036</x:f>
        <x:v>OPEN</x:v>
      </x:c>
    </x:row>
    <x:row r="3004">
      <x:c r="B3004" s="7" t="str">
        <x:v>AG-02998</x:v>
      </x:c>
      <x:c r="C3004" s="7" t="str">
        <x:v>PEA-B-X2</x:v>
      </x:c>
      <x:c r="D3004" s="7" t="str">
        <x:v>factory calibration</x:v>
      </x:c>
      <x:c r="E3004" s="7" t="str">
        <x:v>CAL-CH-PEA-B-X2-04-5</x:v>
      </x:c>
      <x:c r="F3004" s="7" t="str">
        <x:f>'Calibration Records'!M1037</x:f>
        <x:v>OPEN</x:v>
      </x:c>
    </x:row>
    <x:row r="3005">
      <x:c r="B3005" s="7" t="str">
        <x:v>AG-02999</x:v>
      </x:c>
      <x:c r="C3005" s="7" t="str">
        <x:v>PEA-B-X2</x:v>
      </x:c>
      <x:c r="D3005" s="7" t="str">
        <x:v>factory calibration</x:v>
      </x:c>
      <x:c r="E3005" s="7" t="str">
        <x:v>CAL-CH-PEA-B-X2-04-6</x:v>
      </x:c>
      <x:c r="F3005" s="7" t="str">
        <x:f>'Calibration Records'!M1038</x:f>
        <x:v>OPEN</x:v>
      </x:c>
    </x:row>
    <x:row r="3006">
      <x:c r="B3006" s="7" t="str">
        <x:v>AG-03000</x:v>
      </x:c>
      <x:c r="C3006" s="7" t="str">
        <x:v>PEA-B-X2</x:v>
      </x:c>
      <x:c r="D3006" s="7" t="str">
        <x:v>factory calibration</x:v>
      </x:c>
      <x:c r="E3006" s="7" t="str">
        <x:v>CAL-CH-PEA-B-X2-05-1</x:v>
      </x:c>
      <x:c r="F3006" s="7" t="str">
        <x:f>'Calibration Records'!M1039</x:f>
        <x:v>OPEN</x:v>
      </x:c>
    </x:row>
    <x:row r="3007">
      <x:c r="B3007" s="7" t="str">
        <x:v>AG-03001</x:v>
      </x:c>
      <x:c r="C3007" s="7" t="str">
        <x:v>PEA-B-X2</x:v>
      </x:c>
      <x:c r="D3007" s="7" t="str">
        <x:v>factory calibration</x:v>
      </x:c>
      <x:c r="E3007" s="7" t="str">
        <x:v>CAL-CH-PEA-B-X2-05-2</x:v>
      </x:c>
      <x:c r="F3007" s="7" t="str">
        <x:f>'Calibration Records'!M1040</x:f>
        <x:v>OPEN</x:v>
      </x:c>
    </x:row>
    <x:row r="3008">
      <x:c r="B3008" s="7" t="str">
        <x:v>AG-03002</x:v>
      </x:c>
      <x:c r="C3008" s="7" t="str">
        <x:v>PEA-B-X2</x:v>
      </x:c>
      <x:c r="D3008" s="7" t="str">
        <x:v>factory calibration</x:v>
      </x:c>
      <x:c r="E3008" s="7" t="str">
        <x:v>CAL-CH-PEA-B-X2-05-3</x:v>
      </x:c>
      <x:c r="F3008" s="7" t="str">
        <x:f>'Calibration Records'!M1041</x:f>
        <x:v>OPEN</x:v>
      </x:c>
    </x:row>
    <x:row r="3009">
      <x:c r="B3009" s="7" t="str">
        <x:v>AG-03003</x:v>
      </x:c>
      <x:c r="C3009" s="7" t="str">
        <x:v>PEA-B-X2</x:v>
      </x:c>
      <x:c r="D3009" s="7" t="str">
        <x:v>factory calibration</x:v>
      </x:c>
      <x:c r="E3009" s="7" t="str">
        <x:v>CAL-CH-PEA-B-X2-05-4</x:v>
      </x:c>
      <x:c r="F3009" s="7" t="str">
        <x:f>'Calibration Records'!M1042</x:f>
        <x:v>OPEN</x:v>
      </x:c>
    </x:row>
    <x:row r="3010">
      <x:c r="B3010" s="7" t="str">
        <x:v>AG-03004</x:v>
      </x:c>
      <x:c r="C3010" s="7" t="str">
        <x:v>PEA-B-X2</x:v>
      </x:c>
      <x:c r="D3010" s="7" t="str">
        <x:v>factory calibration</x:v>
      </x:c>
      <x:c r="E3010" s="7" t="str">
        <x:v>CAL-CH-PEA-B-X2-05-5</x:v>
      </x:c>
      <x:c r="F3010" s="7" t="str">
        <x:f>'Calibration Records'!M1043</x:f>
        <x:v>OPEN</x:v>
      </x:c>
    </x:row>
    <x:row r="3011">
      <x:c r="B3011" s="7" t="str">
        <x:v>AG-03005</x:v>
      </x:c>
      <x:c r="C3011" s="7" t="str">
        <x:v>PEA-B-X2</x:v>
      </x:c>
      <x:c r="D3011" s="7" t="str">
        <x:v>factory calibration</x:v>
      </x:c>
      <x:c r="E3011" s="7" t="str">
        <x:v>CAL-CH-PEA-B-X2-05-6</x:v>
      </x:c>
      <x:c r="F3011" s="7" t="str">
        <x:f>'Calibration Records'!M1044</x:f>
        <x:v>OPEN</x:v>
      </x:c>
    </x:row>
    <x:row r="3012">
      <x:c r="B3012" s="7" t="str">
        <x:v>AG-03006</x:v>
      </x:c>
      <x:c r="C3012" s="7" t="str">
        <x:v>PEA-B-X2</x:v>
      </x:c>
      <x:c r="D3012" s="7" t="str">
        <x:v>factory calibration</x:v>
      </x:c>
      <x:c r="E3012" s="7" t="str">
        <x:v>CAL-CH-PEA-B-X2-06-1</x:v>
      </x:c>
      <x:c r="F3012" s="7" t="str">
        <x:f>'Calibration Records'!M1045</x:f>
        <x:v>OPEN</x:v>
      </x:c>
    </x:row>
    <x:row r="3013">
      <x:c r="B3013" s="7" t="str">
        <x:v>AG-03007</x:v>
      </x:c>
      <x:c r="C3013" s="7" t="str">
        <x:v>PEA-B-X2</x:v>
      </x:c>
      <x:c r="D3013" s="7" t="str">
        <x:v>factory calibration</x:v>
      </x:c>
      <x:c r="E3013" s="7" t="str">
        <x:v>CAL-CH-PEA-B-X2-06-2</x:v>
      </x:c>
      <x:c r="F3013" s="7" t="str">
        <x:f>'Calibration Records'!M1046</x:f>
        <x:v>OPEN</x:v>
      </x:c>
    </x:row>
    <x:row r="3014">
      <x:c r="B3014" s="7" t="str">
        <x:v>AG-03008</x:v>
      </x:c>
      <x:c r="C3014" s="7" t="str">
        <x:v>PEA-B-X2</x:v>
      </x:c>
      <x:c r="D3014" s="7" t="str">
        <x:v>factory calibration</x:v>
      </x:c>
      <x:c r="E3014" s="7" t="str">
        <x:v>CAL-CH-PEA-B-X2-06-3</x:v>
      </x:c>
      <x:c r="F3014" s="7" t="str">
        <x:f>'Calibration Records'!M1047</x:f>
        <x:v>OPEN</x:v>
      </x:c>
    </x:row>
    <x:row r="3015">
      <x:c r="B3015" s="7" t="str">
        <x:v>AG-03009</x:v>
      </x:c>
      <x:c r="C3015" s="7" t="str">
        <x:v>PEA-B-X2</x:v>
      </x:c>
      <x:c r="D3015" s="7" t="str">
        <x:v>factory calibration</x:v>
      </x:c>
      <x:c r="E3015" s="7" t="str">
        <x:v>CAL-CH-PEA-B-X2-06-4</x:v>
      </x:c>
      <x:c r="F3015" s="7" t="str">
        <x:f>'Calibration Records'!M1048</x:f>
        <x:v>OPEN</x:v>
      </x:c>
    </x:row>
    <x:row r="3016">
      <x:c r="B3016" s="7" t="str">
        <x:v>AG-03010</x:v>
      </x:c>
      <x:c r="C3016" s="7" t="str">
        <x:v>PEA-B-X2</x:v>
      </x:c>
      <x:c r="D3016" s="7" t="str">
        <x:v>factory calibration</x:v>
      </x:c>
      <x:c r="E3016" s="7" t="str">
        <x:v>CAL-CH-PEA-B-X2-06-5</x:v>
      </x:c>
      <x:c r="F3016" s="7" t="str">
        <x:f>'Calibration Records'!M1049</x:f>
        <x:v>OPEN</x:v>
      </x:c>
    </x:row>
    <x:row r="3017">
      <x:c r="B3017" s="7" t="str">
        <x:v>AG-03011</x:v>
      </x:c>
      <x:c r="C3017" s="7" t="str">
        <x:v>PEA-B-X2</x:v>
      </x:c>
      <x:c r="D3017" s="7" t="str">
        <x:v>factory calibration</x:v>
      </x:c>
      <x:c r="E3017" s="7" t="str">
        <x:v>CAL-CH-PEA-B-X2-06-6</x:v>
      </x:c>
      <x:c r="F3017" s="7" t="str">
        <x:f>'Calibration Records'!M1050</x:f>
        <x:v>OPEN</x:v>
      </x:c>
    </x:row>
    <x:row r="3018">
      <x:c r="B3018" s="7" t="str">
        <x:v>AG-03012</x:v>
      </x:c>
      <x:c r="C3018" s="7" t="str">
        <x:v>PEA-B-X2</x:v>
      </x:c>
      <x:c r="D3018" s="7" t="str">
        <x:v>factory calibration</x:v>
      </x:c>
      <x:c r="E3018" s="7" t="str">
        <x:v>CAL-CH-PEA-B-X2-07-1</x:v>
      </x:c>
      <x:c r="F3018" s="7" t="str">
        <x:f>'Calibration Records'!M1051</x:f>
        <x:v>OPEN</x:v>
      </x:c>
    </x:row>
    <x:row r="3019">
      <x:c r="B3019" s="7" t="str">
        <x:v>AG-03013</x:v>
      </x:c>
      <x:c r="C3019" s="7" t="str">
        <x:v>PEA-B-X2</x:v>
      </x:c>
      <x:c r="D3019" s="7" t="str">
        <x:v>factory calibration</x:v>
      </x:c>
      <x:c r="E3019" s="7" t="str">
        <x:v>CAL-CH-PEA-B-X2-07-2</x:v>
      </x:c>
      <x:c r="F3019" s="7" t="str">
        <x:f>'Calibration Records'!M1052</x:f>
        <x:v>OPEN</x:v>
      </x:c>
    </x:row>
    <x:row r="3020">
      <x:c r="B3020" s="7" t="str">
        <x:v>AG-03014</x:v>
      </x:c>
      <x:c r="C3020" s="7" t="str">
        <x:v>PEA-B-X2</x:v>
      </x:c>
      <x:c r="D3020" s="7" t="str">
        <x:v>factory calibration</x:v>
      </x:c>
      <x:c r="E3020" s="7" t="str">
        <x:v>CAL-CH-PEA-B-X2-07-3</x:v>
      </x:c>
      <x:c r="F3020" s="7" t="str">
        <x:f>'Calibration Records'!M1053</x:f>
        <x:v>OPEN</x:v>
      </x:c>
    </x:row>
    <x:row r="3021">
      <x:c r="B3021" s="7" t="str">
        <x:v>AG-03015</x:v>
      </x:c>
      <x:c r="C3021" s="7" t="str">
        <x:v>PEA-B-X2</x:v>
      </x:c>
      <x:c r="D3021" s="7" t="str">
        <x:v>factory calibration</x:v>
      </x:c>
      <x:c r="E3021" s="7" t="str">
        <x:v>CAL-CH-PEA-B-X2-07-4</x:v>
      </x:c>
      <x:c r="F3021" s="7" t="str">
        <x:f>'Calibration Records'!M1054</x:f>
        <x:v>OPEN</x:v>
      </x:c>
    </x:row>
    <x:row r="3022">
      <x:c r="B3022" s="7" t="str">
        <x:v>AG-03016</x:v>
      </x:c>
      <x:c r="C3022" s="7" t="str">
        <x:v>PEA-B-X2</x:v>
      </x:c>
      <x:c r="D3022" s="7" t="str">
        <x:v>factory calibration</x:v>
      </x:c>
      <x:c r="E3022" s="7" t="str">
        <x:v>CAL-CH-PEA-B-X2-07-5</x:v>
      </x:c>
      <x:c r="F3022" s="7" t="str">
        <x:f>'Calibration Records'!M1055</x:f>
        <x:v>OPEN</x:v>
      </x:c>
    </x:row>
    <x:row r="3023">
      <x:c r="B3023" s="7" t="str">
        <x:v>AG-03017</x:v>
      </x:c>
      <x:c r="C3023" s="7" t="str">
        <x:v>PEA-B-X2</x:v>
      </x:c>
      <x:c r="D3023" s="7" t="str">
        <x:v>factory calibration</x:v>
      </x:c>
      <x:c r="E3023" s="7" t="str">
        <x:v>CAL-CH-PEA-B-X2-07-6</x:v>
      </x:c>
      <x:c r="F3023" s="7" t="str">
        <x:f>'Calibration Records'!M1056</x:f>
        <x:v>OPEN</x:v>
      </x:c>
    </x:row>
    <x:row r="3024">
      <x:c r="B3024" s="7" t="str">
        <x:v>AG-03018</x:v>
      </x:c>
      <x:c r="C3024" s="7" t="str">
        <x:v>PEA-B-X2</x:v>
      </x:c>
      <x:c r="D3024" s="7" t="str">
        <x:v>factory calibration</x:v>
      </x:c>
      <x:c r="E3024" s="7" t="str">
        <x:v>CAL-CH-PEA-B-X2-08-1</x:v>
      </x:c>
      <x:c r="F3024" s="7" t="str">
        <x:f>'Calibration Records'!M1057</x:f>
        <x:v>OPEN</x:v>
      </x:c>
    </x:row>
    <x:row r="3025">
      <x:c r="B3025" s="7" t="str">
        <x:v>AG-03019</x:v>
      </x:c>
      <x:c r="C3025" s="7" t="str">
        <x:v>PEA-B-X2</x:v>
      </x:c>
      <x:c r="D3025" s="7" t="str">
        <x:v>factory calibration</x:v>
      </x:c>
      <x:c r="E3025" s="7" t="str">
        <x:v>CAL-CH-PEA-B-X2-08-2</x:v>
      </x:c>
      <x:c r="F3025" s="7" t="str">
        <x:f>'Calibration Records'!M1058</x:f>
        <x:v>OPEN</x:v>
      </x:c>
    </x:row>
    <x:row r="3026">
      <x:c r="B3026" s="7" t="str">
        <x:v>AG-03020</x:v>
      </x:c>
      <x:c r="C3026" s="7" t="str">
        <x:v>PEA-B-X2</x:v>
      </x:c>
      <x:c r="D3026" s="7" t="str">
        <x:v>factory calibration</x:v>
      </x:c>
      <x:c r="E3026" s="7" t="str">
        <x:v>CAL-CH-PEA-B-X2-08-3</x:v>
      </x:c>
      <x:c r="F3026" s="7" t="str">
        <x:f>'Calibration Records'!M1059</x:f>
        <x:v>OPEN</x:v>
      </x:c>
    </x:row>
    <x:row r="3027">
      <x:c r="B3027" s="7" t="str">
        <x:v>AG-03021</x:v>
      </x:c>
      <x:c r="C3027" s="7" t="str">
        <x:v>PEA-B-X2</x:v>
      </x:c>
      <x:c r="D3027" s="7" t="str">
        <x:v>factory calibration</x:v>
      </x:c>
      <x:c r="E3027" s="7" t="str">
        <x:v>CAL-CH-PEA-B-X2-08-4</x:v>
      </x:c>
      <x:c r="F3027" s="7" t="str">
        <x:f>'Calibration Records'!M1060</x:f>
        <x:v>OPEN</x:v>
      </x:c>
    </x:row>
    <x:row r="3028">
      <x:c r="B3028" s="7" t="str">
        <x:v>AG-03022</x:v>
      </x:c>
      <x:c r="C3028" s="7" t="str">
        <x:v>PEA-B-X2</x:v>
      </x:c>
      <x:c r="D3028" s="7" t="str">
        <x:v>factory calibration</x:v>
      </x:c>
      <x:c r="E3028" s="7" t="str">
        <x:v>CAL-CH-PEA-B-X2-08-5</x:v>
      </x:c>
      <x:c r="F3028" s="7" t="str">
        <x:f>'Calibration Records'!M1061</x:f>
        <x:v>OPEN</x:v>
      </x:c>
    </x:row>
    <x:row r="3029">
      <x:c r="B3029" s="7" t="str">
        <x:v>AG-03023</x:v>
      </x:c>
      <x:c r="C3029" s="7" t="str">
        <x:v>PEA-B-X2</x:v>
      </x:c>
      <x:c r="D3029" s="7" t="str">
        <x:v>factory calibration</x:v>
      </x:c>
      <x:c r="E3029" s="7" t="str">
        <x:v>CAL-CH-PEA-B-X2-08-6</x:v>
      </x:c>
      <x:c r="F3029" s="7" t="str">
        <x:f>'Calibration Records'!M1062</x:f>
        <x:v>OPEN</x:v>
      </x:c>
    </x:row>
    <x:row r="3030">
      <x:c r="B3030" s="7" t="str">
        <x:v>AG-03024</x:v>
      </x:c>
      <x:c r="C3030" s="7" t="str">
        <x:v>PEA-B-X2</x:v>
      </x:c>
      <x:c r="D3030" s="7" t="str">
        <x:v>factory calibration</x:v>
      </x:c>
      <x:c r="E3030" s="7" t="str">
        <x:v>CAL-CH-PEA-B-X2-09-1</x:v>
      </x:c>
      <x:c r="F3030" s="7" t="str">
        <x:f>'Calibration Records'!M1063</x:f>
        <x:v>OPEN</x:v>
      </x:c>
    </x:row>
    <x:row r="3031">
      <x:c r="B3031" s="7" t="str">
        <x:v>AG-03025</x:v>
      </x:c>
      <x:c r="C3031" s="7" t="str">
        <x:v>PEA-B-X2</x:v>
      </x:c>
      <x:c r="D3031" s="7" t="str">
        <x:v>factory calibration</x:v>
      </x:c>
      <x:c r="E3031" s="7" t="str">
        <x:v>CAL-CH-PEA-B-X2-09-2</x:v>
      </x:c>
      <x:c r="F3031" s="7" t="str">
        <x:f>'Calibration Records'!M1064</x:f>
        <x:v>OPEN</x:v>
      </x:c>
    </x:row>
    <x:row r="3032">
      <x:c r="B3032" s="7" t="str">
        <x:v>AG-03026</x:v>
      </x:c>
      <x:c r="C3032" s="7" t="str">
        <x:v>PEA-B-X2</x:v>
      </x:c>
      <x:c r="D3032" s="7" t="str">
        <x:v>factory calibration</x:v>
      </x:c>
      <x:c r="E3032" s="7" t="str">
        <x:v>CAL-CH-PEA-B-X2-09-3</x:v>
      </x:c>
      <x:c r="F3032" s="7" t="str">
        <x:f>'Calibration Records'!M1065</x:f>
        <x:v>OPEN</x:v>
      </x:c>
    </x:row>
    <x:row r="3033">
      <x:c r="B3033" s="7" t="str">
        <x:v>AG-03027</x:v>
      </x:c>
      <x:c r="C3033" s="7" t="str">
        <x:v>PEA-B-X2</x:v>
      </x:c>
      <x:c r="D3033" s="7" t="str">
        <x:v>factory calibration</x:v>
      </x:c>
      <x:c r="E3033" s="7" t="str">
        <x:v>CAL-CH-PEA-B-X2-09-4</x:v>
      </x:c>
      <x:c r="F3033" s="7" t="str">
        <x:f>'Calibration Records'!M1066</x:f>
        <x:v>OPEN</x:v>
      </x:c>
    </x:row>
    <x:row r="3034">
      <x:c r="B3034" s="7" t="str">
        <x:v>AG-03028</x:v>
      </x:c>
      <x:c r="C3034" s="7" t="str">
        <x:v>PEA-B-X2</x:v>
      </x:c>
      <x:c r="D3034" s="7" t="str">
        <x:v>factory calibration</x:v>
      </x:c>
      <x:c r="E3034" s="7" t="str">
        <x:v>CAL-CH-PEA-B-X2-09-5</x:v>
      </x:c>
      <x:c r="F3034" s="7" t="str">
        <x:f>'Calibration Records'!M1067</x:f>
        <x:v>OPEN</x:v>
      </x:c>
    </x:row>
    <x:row r="3035">
      <x:c r="B3035" s="7" t="str">
        <x:v>AG-03029</x:v>
      </x:c>
      <x:c r="C3035" s="7" t="str">
        <x:v>PEA-B-X2</x:v>
      </x:c>
      <x:c r="D3035" s="7" t="str">
        <x:v>factory calibration</x:v>
      </x:c>
      <x:c r="E3035" s="7" t="str">
        <x:v>CAL-CH-PEA-B-X2-09-6</x:v>
      </x:c>
      <x:c r="F3035" s="7" t="str">
        <x:f>'Calibration Records'!M1068</x:f>
        <x:v>OPEN</x:v>
      </x:c>
    </x:row>
    <x:row r="3036">
      <x:c r="B3036" s="7" t="str">
        <x:v>AG-03030</x:v>
      </x:c>
      <x:c r="C3036" s="7" t="str">
        <x:v>PEA-B-X2</x:v>
      </x:c>
      <x:c r="D3036" s="7" t="str">
        <x:v>factory calibration</x:v>
      </x:c>
      <x:c r="E3036" s="7" t="str">
        <x:v>CAL-CH-PEA-B-X2-10-1</x:v>
      </x:c>
      <x:c r="F3036" s="7" t="str">
        <x:f>'Calibration Records'!M1069</x:f>
        <x:v>OPEN</x:v>
      </x:c>
    </x:row>
    <x:row r="3037">
      <x:c r="B3037" s="7" t="str">
        <x:v>AG-03031</x:v>
      </x:c>
      <x:c r="C3037" s="7" t="str">
        <x:v>PEA-B-X2</x:v>
      </x:c>
      <x:c r="D3037" s="7" t="str">
        <x:v>factory calibration</x:v>
      </x:c>
      <x:c r="E3037" s="7" t="str">
        <x:v>CAL-CH-PEA-B-X2-10-2</x:v>
      </x:c>
      <x:c r="F3037" s="7" t="str">
        <x:f>'Calibration Records'!M1070</x:f>
        <x:v>OPEN</x:v>
      </x:c>
    </x:row>
    <x:row r="3038">
      <x:c r="B3038" s="7" t="str">
        <x:v>AG-03032</x:v>
      </x:c>
      <x:c r="C3038" s="7" t="str">
        <x:v>PEA-B-X2</x:v>
      </x:c>
      <x:c r="D3038" s="7" t="str">
        <x:v>factory calibration</x:v>
      </x:c>
      <x:c r="E3038" s="7" t="str">
        <x:v>CAL-CH-PEA-B-X2-10-3</x:v>
      </x:c>
      <x:c r="F3038" s="7" t="str">
        <x:f>'Calibration Records'!M1071</x:f>
        <x:v>OPEN</x:v>
      </x:c>
    </x:row>
    <x:row r="3039">
      <x:c r="B3039" s="7" t="str">
        <x:v>AG-03033</x:v>
      </x:c>
      <x:c r="C3039" s="7" t="str">
        <x:v>PEA-B-X2</x:v>
      </x:c>
      <x:c r="D3039" s="7" t="str">
        <x:v>factory calibration</x:v>
      </x:c>
      <x:c r="E3039" s="7" t="str">
        <x:v>CAL-CH-PEA-B-X2-10-4</x:v>
      </x:c>
      <x:c r="F3039" s="7" t="str">
        <x:f>'Calibration Records'!M1072</x:f>
        <x:v>OPEN</x:v>
      </x:c>
    </x:row>
    <x:row r="3040">
      <x:c r="B3040" s="7" t="str">
        <x:v>AG-03034</x:v>
      </x:c>
      <x:c r="C3040" s="7" t="str">
        <x:v>PEA-B-X2</x:v>
      </x:c>
      <x:c r="D3040" s="7" t="str">
        <x:v>factory calibration</x:v>
      </x:c>
      <x:c r="E3040" s="7" t="str">
        <x:v>CAL-CH-PEA-B-X2-10-5</x:v>
      </x:c>
      <x:c r="F3040" s="7" t="str">
        <x:f>'Calibration Records'!M1073</x:f>
        <x:v>OPEN</x:v>
      </x:c>
    </x:row>
    <x:row r="3041">
      <x:c r="B3041" s="7" t="str">
        <x:v>AG-03035</x:v>
      </x:c>
      <x:c r="C3041" s="7" t="str">
        <x:v>PEA-B-X2</x:v>
      </x:c>
      <x:c r="D3041" s="7" t="str">
        <x:v>factory calibration</x:v>
      </x:c>
      <x:c r="E3041" s="7" t="str">
        <x:v>CAL-CH-PEA-B-X2-10-6</x:v>
      </x:c>
      <x:c r="F3041" s="7" t="str">
        <x:f>'Calibration Records'!M1074</x:f>
        <x:v>OPEN</x:v>
      </x:c>
    </x:row>
    <x:row r="3042">
      <x:c r="B3042" s="7" t="str">
        <x:v>AG-03036</x:v>
      </x:c>
      <x:c r="C3042" s="7" t="str">
        <x:v>PEA-B-X2</x:v>
      </x:c>
      <x:c r="D3042" s="7" t="str">
        <x:v>factory calibration</x:v>
      </x:c>
      <x:c r="E3042" s="7" t="str">
        <x:v>CAL-CH-PEA-B-X2-11-1</x:v>
      </x:c>
      <x:c r="F3042" s="7" t="str">
        <x:f>'Calibration Records'!M1075</x:f>
        <x:v>OPEN</x:v>
      </x:c>
    </x:row>
    <x:row r="3043">
      <x:c r="B3043" s="7" t="str">
        <x:v>AG-03037</x:v>
      </x:c>
      <x:c r="C3043" s="7" t="str">
        <x:v>PEA-B-X2</x:v>
      </x:c>
      <x:c r="D3043" s="7" t="str">
        <x:v>factory calibration</x:v>
      </x:c>
      <x:c r="E3043" s="7" t="str">
        <x:v>CAL-CH-PEA-B-X2-11-2</x:v>
      </x:c>
      <x:c r="F3043" s="7" t="str">
        <x:f>'Calibration Records'!M1076</x:f>
        <x:v>OPEN</x:v>
      </x:c>
    </x:row>
    <x:row r="3044">
      <x:c r="B3044" s="7" t="str">
        <x:v>AG-03038</x:v>
      </x:c>
      <x:c r="C3044" s="7" t="str">
        <x:v>PEA-B-X2</x:v>
      </x:c>
      <x:c r="D3044" s="7" t="str">
        <x:v>factory calibration</x:v>
      </x:c>
      <x:c r="E3044" s="7" t="str">
        <x:v>CAL-CH-PEA-B-X2-11-3</x:v>
      </x:c>
      <x:c r="F3044" s="7" t="str">
        <x:f>'Calibration Records'!M1077</x:f>
        <x:v>OPEN</x:v>
      </x:c>
    </x:row>
    <x:row r="3045">
      <x:c r="B3045" s="7" t="str">
        <x:v>AG-03039</x:v>
      </x:c>
      <x:c r="C3045" s="7" t="str">
        <x:v>PEA-B-X2</x:v>
      </x:c>
      <x:c r="D3045" s="7" t="str">
        <x:v>factory calibration</x:v>
      </x:c>
      <x:c r="E3045" s="7" t="str">
        <x:v>CAL-CH-PEA-B-X2-11-4</x:v>
      </x:c>
      <x:c r="F3045" s="7" t="str">
        <x:f>'Calibration Records'!M1078</x:f>
        <x:v>OPEN</x:v>
      </x:c>
    </x:row>
    <x:row r="3046">
      <x:c r="B3046" s="7" t="str">
        <x:v>AG-03040</x:v>
      </x:c>
      <x:c r="C3046" s="7" t="str">
        <x:v>PEA-B-X2</x:v>
      </x:c>
      <x:c r="D3046" s="7" t="str">
        <x:v>factory calibration</x:v>
      </x:c>
      <x:c r="E3046" s="7" t="str">
        <x:v>CAL-CH-PEA-B-X2-11-5</x:v>
      </x:c>
      <x:c r="F3046" s="7" t="str">
        <x:f>'Calibration Records'!M1079</x:f>
        <x:v>OPEN</x:v>
      </x:c>
    </x:row>
    <x:row r="3047">
      <x:c r="B3047" s="7" t="str">
        <x:v>AG-03041</x:v>
      </x:c>
      <x:c r="C3047" s="7" t="str">
        <x:v>PEA-B-X2</x:v>
      </x:c>
      <x:c r="D3047" s="7" t="str">
        <x:v>factory calibration</x:v>
      </x:c>
      <x:c r="E3047" s="7" t="str">
        <x:v>CAL-CH-PEA-B-X2-11-6</x:v>
      </x:c>
      <x:c r="F3047" s="7" t="str">
        <x:f>'Calibration Records'!M1080</x:f>
        <x:v>OPEN</x:v>
      </x:c>
    </x:row>
    <x:row r="3048">
      <x:c r="B3048" s="7" t="str">
        <x:v>AG-03042</x:v>
      </x:c>
      <x:c r="C3048" s="7" t="str">
        <x:v>PEA-B-X2</x:v>
      </x:c>
      <x:c r="D3048" s="7" t="str">
        <x:v>factory calibration</x:v>
      </x:c>
      <x:c r="E3048" s="7" t="str">
        <x:v>CAL-CH-PEA-B-X2-12-1</x:v>
      </x:c>
      <x:c r="F3048" s="7" t="str">
        <x:f>'Calibration Records'!M1081</x:f>
        <x:v>OPEN</x:v>
      </x:c>
    </x:row>
    <x:row r="3049">
      <x:c r="B3049" s="7" t="str">
        <x:v>AG-03043</x:v>
      </x:c>
      <x:c r="C3049" s="7" t="str">
        <x:v>PEA-B-X2</x:v>
      </x:c>
      <x:c r="D3049" s="7" t="str">
        <x:v>factory calibration</x:v>
      </x:c>
      <x:c r="E3049" s="7" t="str">
        <x:v>CAL-CH-PEA-B-X2-12-2</x:v>
      </x:c>
      <x:c r="F3049" s="7" t="str">
        <x:f>'Calibration Records'!M1082</x:f>
        <x:v>OPEN</x:v>
      </x:c>
    </x:row>
    <x:row r="3050">
      <x:c r="B3050" s="7" t="str">
        <x:v>AG-03044</x:v>
      </x:c>
      <x:c r="C3050" s="7" t="str">
        <x:v>PEA-B-X2</x:v>
      </x:c>
      <x:c r="D3050" s="7" t="str">
        <x:v>factory calibration</x:v>
      </x:c>
      <x:c r="E3050" s="7" t="str">
        <x:v>CAL-CH-PEA-B-X2-12-3</x:v>
      </x:c>
      <x:c r="F3050" s="7" t="str">
        <x:f>'Calibration Records'!M1083</x:f>
        <x:v>OPEN</x:v>
      </x:c>
    </x:row>
    <x:row r="3051">
      <x:c r="B3051" s="7" t="str">
        <x:v>AG-03045</x:v>
      </x:c>
      <x:c r="C3051" s="7" t="str">
        <x:v>PEA-B-X2</x:v>
      </x:c>
      <x:c r="D3051" s="7" t="str">
        <x:v>factory calibration</x:v>
      </x:c>
      <x:c r="E3051" s="7" t="str">
        <x:v>CAL-CH-PEA-B-X2-12-4</x:v>
      </x:c>
      <x:c r="F3051" s="7" t="str">
        <x:f>'Calibration Records'!M1084</x:f>
        <x:v>OPEN</x:v>
      </x:c>
    </x:row>
    <x:row r="3052">
      <x:c r="B3052" s="7" t="str">
        <x:v>AG-03046</x:v>
      </x:c>
      <x:c r="C3052" s="7" t="str">
        <x:v>PEA-B-X2</x:v>
      </x:c>
      <x:c r="D3052" s="7" t="str">
        <x:v>factory calibration</x:v>
      </x:c>
      <x:c r="E3052" s="7" t="str">
        <x:v>CAL-CH-PEA-B-X2-12-5</x:v>
      </x:c>
      <x:c r="F3052" s="7" t="str">
        <x:f>'Calibration Records'!M1085</x:f>
        <x:v>OPEN</x:v>
      </x:c>
    </x:row>
    <x:row r="3053">
      <x:c r="B3053" s="7" t="str">
        <x:v>AG-03047</x:v>
      </x:c>
      <x:c r="C3053" s="7" t="str">
        <x:v>PEA-B-X2</x:v>
      </x:c>
      <x:c r="D3053" s="7" t="str">
        <x:v>factory calibration</x:v>
      </x:c>
      <x:c r="E3053" s="7" t="str">
        <x:v>CAL-CH-PEA-B-X2-12-6</x:v>
      </x:c>
      <x:c r="F3053" s="7" t="str">
        <x:f>'Calibration Records'!M1086</x:f>
        <x:v>OPEN</x:v>
      </x:c>
    </x:row>
    <x:row r="3054">
      <x:c r="B3054" s="7" t="str">
        <x:v>AG-03048</x:v>
      </x:c>
      <x:c r="C3054" s="7" t="str">
        <x:v>PEA-B-X2</x:v>
      </x:c>
      <x:c r="D3054" s="7" t="str">
        <x:v>factory calibration</x:v>
      </x:c>
      <x:c r="E3054" s="7" t="str">
        <x:v>CAL-CH-PEA-B-X2-13-1</x:v>
      </x:c>
      <x:c r="F3054" s="7" t="str">
        <x:f>'Calibration Records'!M1087</x:f>
        <x:v>OPEN</x:v>
      </x:c>
    </x:row>
    <x:row r="3055">
      <x:c r="B3055" s="7" t="str">
        <x:v>AG-03049</x:v>
      </x:c>
      <x:c r="C3055" s="7" t="str">
        <x:v>PEA-B-X2</x:v>
      </x:c>
      <x:c r="D3055" s="7" t="str">
        <x:v>factory calibration</x:v>
      </x:c>
      <x:c r="E3055" s="7" t="str">
        <x:v>CAL-CH-PEA-B-X2-13-2</x:v>
      </x:c>
      <x:c r="F3055" s="7" t="str">
        <x:f>'Calibration Records'!M1088</x:f>
        <x:v>OPEN</x:v>
      </x:c>
    </x:row>
    <x:row r="3056">
      <x:c r="B3056" s="7" t="str">
        <x:v>AG-03050</x:v>
      </x:c>
      <x:c r="C3056" s="7" t="str">
        <x:v>PEA-B-X2</x:v>
      </x:c>
      <x:c r="D3056" s="7" t="str">
        <x:v>factory calibration</x:v>
      </x:c>
      <x:c r="E3056" s="7" t="str">
        <x:v>CAL-CH-PEA-B-X2-13-3</x:v>
      </x:c>
      <x:c r="F3056" s="7" t="str">
        <x:f>'Calibration Records'!M1089</x:f>
        <x:v>OPEN</x:v>
      </x:c>
    </x:row>
    <x:row r="3057">
      <x:c r="B3057" s="7" t="str">
        <x:v>AG-03051</x:v>
      </x:c>
      <x:c r="C3057" s="7" t="str">
        <x:v>PEA-B-X2</x:v>
      </x:c>
      <x:c r="D3057" s="7" t="str">
        <x:v>factory calibration</x:v>
      </x:c>
      <x:c r="E3057" s="7" t="str">
        <x:v>CAL-CH-PEA-B-X2-13-4</x:v>
      </x:c>
      <x:c r="F3057" s="7" t="str">
        <x:f>'Calibration Records'!M1090</x:f>
        <x:v>OPEN</x:v>
      </x:c>
    </x:row>
    <x:row r="3058">
      <x:c r="B3058" s="7" t="str">
        <x:v>AG-03052</x:v>
      </x:c>
      <x:c r="C3058" s="7" t="str">
        <x:v>PEA-B-X2</x:v>
      </x:c>
      <x:c r="D3058" s="7" t="str">
        <x:v>factory calibration</x:v>
      </x:c>
      <x:c r="E3058" s="7" t="str">
        <x:v>CAL-CH-PEA-B-X2-13-5</x:v>
      </x:c>
      <x:c r="F3058" s="7" t="str">
        <x:f>'Calibration Records'!M1091</x:f>
        <x:v>OPEN</x:v>
      </x:c>
    </x:row>
    <x:row r="3059">
      <x:c r="B3059" s="7" t="str">
        <x:v>AG-03053</x:v>
      </x:c>
      <x:c r="C3059" s="7" t="str">
        <x:v>PEA-B-X2</x:v>
      </x:c>
      <x:c r="D3059" s="7" t="str">
        <x:v>factory calibration</x:v>
      </x:c>
      <x:c r="E3059" s="7" t="str">
        <x:v>CAL-CH-PEA-B-X2-13-6</x:v>
      </x:c>
      <x:c r="F3059" s="7" t="str">
        <x:f>'Calibration Records'!M1092</x:f>
        <x:v>OPEN</x:v>
      </x:c>
    </x:row>
    <x:row r="3060">
      <x:c r="B3060" s="7" t="str">
        <x:v>AG-03054</x:v>
      </x:c>
      <x:c r="C3060" s="7" t="str">
        <x:v>PEA-B-X2</x:v>
      </x:c>
      <x:c r="D3060" s="7" t="str">
        <x:v>factory calibration</x:v>
      </x:c>
      <x:c r="E3060" s="7" t="str">
        <x:v>CAL-CH-PEA-B-X2-14-1</x:v>
      </x:c>
      <x:c r="F3060" s="7" t="str">
        <x:f>'Calibration Records'!M1093</x:f>
        <x:v>OPEN</x:v>
      </x:c>
    </x:row>
    <x:row r="3061">
      <x:c r="B3061" s="7" t="str">
        <x:v>AG-03055</x:v>
      </x:c>
      <x:c r="C3061" s="7" t="str">
        <x:v>PEA-B-X2</x:v>
      </x:c>
      <x:c r="D3061" s="7" t="str">
        <x:v>factory calibration</x:v>
      </x:c>
      <x:c r="E3061" s="7" t="str">
        <x:v>CAL-CH-PEA-B-X2-14-2</x:v>
      </x:c>
      <x:c r="F3061" s="7" t="str">
        <x:f>'Calibration Records'!M1094</x:f>
        <x:v>OPEN</x:v>
      </x:c>
    </x:row>
    <x:row r="3062">
      <x:c r="B3062" s="7" t="str">
        <x:v>AG-03056</x:v>
      </x:c>
      <x:c r="C3062" s="7" t="str">
        <x:v>PEA-B-X2</x:v>
      </x:c>
      <x:c r="D3062" s="7" t="str">
        <x:v>factory calibration</x:v>
      </x:c>
      <x:c r="E3062" s="7" t="str">
        <x:v>CAL-CH-PEA-B-X2-14-3</x:v>
      </x:c>
      <x:c r="F3062" s="7" t="str">
        <x:f>'Calibration Records'!M1095</x:f>
        <x:v>OPEN</x:v>
      </x:c>
    </x:row>
    <x:row r="3063">
      <x:c r="B3063" s="7" t="str">
        <x:v>AG-03057</x:v>
      </x:c>
      <x:c r="C3063" s="7" t="str">
        <x:v>PEA-B-X2</x:v>
      </x:c>
      <x:c r="D3063" s="7" t="str">
        <x:v>factory calibration</x:v>
      </x:c>
      <x:c r="E3063" s="7" t="str">
        <x:v>CAL-CH-PEA-B-X2-14-4</x:v>
      </x:c>
      <x:c r="F3063" s="7" t="str">
        <x:f>'Calibration Records'!M1096</x:f>
        <x:v>OPEN</x:v>
      </x:c>
    </x:row>
    <x:row r="3064">
      <x:c r="B3064" s="7" t="str">
        <x:v>AG-03058</x:v>
      </x:c>
      <x:c r="C3064" s="7" t="str">
        <x:v>PEA-B-X2</x:v>
      </x:c>
      <x:c r="D3064" s="7" t="str">
        <x:v>factory calibration</x:v>
      </x:c>
      <x:c r="E3064" s="7" t="str">
        <x:v>CAL-CH-PEA-B-X2-14-5</x:v>
      </x:c>
      <x:c r="F3064" s="7" t="str">
        <x:f>'Calibration Records'!M1097</x:f>
        <x:v>OPEN</x:v>
      </x:c>
    </x:row>
    <x:row r="3065">
      <x:c r="B3065" s="7" t="str">
        <x:v>AG-03059</x:v>
      </x:c>
      <x:c r="C3065" s="7" t="str">
        <x:v>PEA-B-X2</x:v>
      </x:c>
      <x:c r="D3065" s="7" t="str">
        <x:v>factory calibration</x:v>
      </x:c>
      <x:c r="E3065" s="7" t="str">
        <x:v>CAL-CH-PEA-B-X2-14-6</x:v>
      </x:c>
      <x:c r="F3065" s="7" t="str">
        <x:f>'Calibration Records'!M1098</x:f>
        <x:v>OPEN</x:v>
      </x:c>
    </x:row>
    <x:row r="3066">
      <x:c r="B3066" s="7" t="str">
        <x:v>AG-03060</x:v>
      </x:c>
      <x:c r="C3066" s="7" t="str">
        <x:v>PEA-B-X2</x:v>
      </x:c>
      <x:c r="D3066" s="7" t="str">
        <x:v>factory calibration</x:v>
      </x:c>
      <x:c r="E3066" s="7" t="str">
        <x:v>CAL-CH-PEA-B-X2-15-1</x:v>
      </x:c>
      <x:c r="F3066" s="7" t="str">
        <x:f>'Calibration Records'!M1099</x:f>
        <x:v>OPEN</x:v>
      </x:c>
    </x:row>
    <x:row r="3067">
      <x:c r="B3067" s="7" t="str">
        <x:v>AG-03061</x:v>
      </x:c>
      <x:c r="C3067" s="7" t="str">
        <x:v>PEA-B-X2</x:v>
      </x:c>
      <x:c r="D3067" s="7" t="str">
        <x:v>factory calibration</x:v>
      </x:c>
      <x:c r="E3067" s="7" t="str">
        <x:v>CAL-CH-PEA-B-X2-15-2</x:v>
      </x:c>
      <x:c r="F3067" s="7" t="str">
        <x:f>'Calibration Records'!M1100</x:f>
        <x:v>OPEN</x:v>
      </x:c>
    </x:row>
    <x:row r="3068">
      <x:c r="B3068" s="7" t="str">
        <x:v>AG-03062</x:v>
      </x:c>
      <x:c r="C3068" s="7" t="str">
        <x:v>PEA-B-X2</x:v>
      </x:c>
      <x:c r="D3068" s="7" t="str">
        <x:v>factory calibration</x:v>
      </x:c>
      <x:c r="E3068" s="7" t="str">
        <x:v>CAL-CH-PEA-B-X2-15-3</x:v>
      </x:c>
      <x:c r="F3068" s="7" t="str">
        <x:f>'Calibration Records'!M1101</x:f>
        <x:v>OPEN</x:v>
      </x:c>
    </x:row>
    <x:row r="3069">
      <x:c r="B3069" s="7" t="str">
        <x:v>AG-03063</x:v>
      </x:c>
      <x:c r="C3069" s="7" t="str">
        <x:v>PEA-B-X2</x:v>
      </x:c>
      <x:c r="D3069" s="7" t="str">
        <x:v>factory calibration</x:v>
      </x:c>
      <x:c r="E3069" s="7" t="str">
        <x:v>CAL-CH-PEA-B-X2-15-4</x:v>
      </x:c>
      <x:c r="F3069" s="7" t="str">
        <x:f>'Calibration Records'!M1102</x:f>
        <x:v>OPEN</x:v>
      </x:c>
    </x:row>
    <x:row r="3070">
      <x:c r="B3070" s="7" t="str">
        <x:v>AG-03064</x:v>
      </x:c>
      <x:c r="C3070" s="7" t="str">
        <x:v>PEA-B-X2</x:v>
      </x:c>
      <x:c r="D3070" s="7" t="str">
        <x:v>factory calibration</x:v>
      </x:c>
      <x:c r="E3070" s="7" t="str">
        <x:v>CAL-CH-PEA-B-X2-15-5</x:v>
      </x:c>
      <x:c r="F3070" s="7" t="str">
        <x:f>'Calibration Records'!M1103</x:f>
        <x:v>OPEN</x:v>
      </x:c>
    </x:row>
    <x:row r="3071">
      <x:c r="B3071" s="7" t="str">
        <x:v>AG-03065</x:v>
      </x:c>
      <x:c r="C3071" s="7" t="str">
        <x:v>PEA-B-X2</x:v>
      </x:c>
      <x:c r="D3071" s="7" t="str">
        <x:v>factory calibration</x:v>
      </x:c>
      <x:c r="E3071" s="7" t="str">
        <x:v>CAL-CH-PEA-B-X2-15-6</x:v>
      </x:c>
      <x:c r="F3071" s="7" t="str">
        <x:f>'Calibration Records'!M1104</x:f>
        <x:v>OPEN</x:v>
      </x:c>
    </x:row>
    <x:row r="3072">
      <x:c r="B3072" s="7" t="str">
        <x:v>AG-03066</x:v>
      </x:c>
      <x:c r="C3072" s="7" t="str">
        <x:v>PEA-B-X2</x:v>
      </x:c>
      <x:c r="D3072" s="7" t="str">
        <x:v>factory calibration</x:v>
      </x:c>
      <x:c r="E3072" s="7" t="str">
        <x:v>CAL-CH-PEA-B-X2-16-1</x:v>
      </x:c>
      <x:c r="F3072" s="7" t="str">
        <x:f>'Calibration Records'!M1105</x:f>
        <x:v>OPEN</x:v>
      </x:c>
    </x:row>
    <x:row r="3073">
      <x:c r="B3073" s="7" t="str">
        <x:v>AG-03067</x:v>
      </x:c>
      <x:c r="C3073" s="7" t="str">
        <x:v>PEA-B-X2</x:v>
      </x:c>
      <x:c r="D3073" s="7" t="str">
        <x:v>factory calibration</x:v>
      </x:c>
      <x:c r="E3073" s="7" t="str">
        <x:v>CAL-CH-PEA-B-X2-16-2</x:v>
      </x:c>
      <x:c r="F3073" s="7" t="str">
        <x:f>'Calibration Records'!M1106</x:f>
        <x:v>OPEN</x:v>
      </x:c>
    </x:row>
    <x:row r="3074">
      <x:c r="B3074" s="7" t="str">
        <x:v>AG-03068</x:v>
      </x:c>
      <x:c r="C3074" s="7" t="str">
        <x:v>PEA-B-X2</x:v>
      </x:c>
      <x:c r="D3074" s="7" t="str">
        <x:v>factory calibration</x:v>
      </x:c>
      <x:c r="E3074" s="7" t="str">
        <x:v>CAL-CH-PEA-B-X2-16-3</x:v>
      </x:c>
      <x:c r="F3074" s="7" t="str">
        <x:f>'Calibration Records'!M1107</x:f>
        <x:v>OPEN</x:v>
      </x:c>
    </x:row>
    <x:row r="3075">
      <x:c r="B3075" s="7" t="str">
        <x:v>AG-03069</x:v>
      </x:c>
      <x:c r="C3075" s="7" t="str">
        <x:v>PEA-B-X2</x:v>
      </x:c>
      <x:c r="D3075" s="7" t="str">
        <x:v>factory calibration</x:v>
      </x:c>
      <x:c r="E3075" s="7" t="str">
        <x:v>CAL-CH-PEA-B-X2-16-4</x:v>
      </x:c>
      <x:c r="F3075" s="7" t="str">
        <x:f>'Calibration Records'!M1108</x:f>
        <x:v>OPEN</x:v>
      </x:c>
    </x:row>
    <x:row r="3076">
      <x:c r="B3076" s="7" t="str">
        <x:v>AG-03070</x:v>
      </x:c>
      <x:c r="C3076" s="7" t="str">
        <x:v>PEA-B-X2</x:v>
      </x:c>
      <x:c r="D3076" s="7" t="str">
        <x:v>factory calibration</x:v>
      </x:c>
      <x:c r="E3076" s="7" t="str">
        <x:v>CAL-CH-PEA-B-X2-16-5</x:v>
      </x:c>
      <x:c r="F3076" s="7" t="str">
        <x:f>'Calibration Records'!M1109</x:f>
        <x:v>OPEN</x:v>
      </x:c>
    </x:row>
    <x:row r="3077">
      <x:c r="B3077" s="7" t="str">
        <x:v>AG-03071</x:v>
      </x:c>
      <x:c r="C3077" s="7" t="str">
        <x:v>PEA-B-X2</x:v>
      </x:c>
      <x:c r="D3077" s="7" t="str">
        <x:v>factory calibration</x:v>
      </x:c>
      <x:c r="E3077" s="7" t="str">
        <x:v>CAL-CH-PEA-B-X2-16-6</x:v>
      </x:c>
      <x:c r="F3077" s="7" t="str">
        <x:f>'Calibration Records'!M1110</x:f>
        <x:v>OPEN</x:v>
      </x:c>
    </x:row>
    <x:row r="3078">
      <x:c r="B3078" s="7" t="str">
        <x:v>AG-03072</x:v>
      </x:c>
      <x:c r="C3078" s="7" t="str">
        <x:v>PEA-B-X2</x:v>
      </x:c>
      <x:c r="D3078" s="7" t="str">
        <x:v>factory calibration</x:v>
      </x:c>
      <x:c r="E3078" s="7" t="str">
        <x:v>CAL-CH-PEA-B-X2-17-1</x:v>
      </x:c>
      <x:c r="F3078" s="7" t="str">
        <x:f>'Calibration Records'!M1111</x:f>
        <x:v>OPEN</x:v>
      </x:c>
    </x:row>
    <x:row r="3079">
      <x:c r="B3079" s="7" t="str">
        <x:v>AG-03073</x:v>
      </x:c>
      <x:c r="C3079" s="7" t="str">
        <x:v>PEA-B-X2</x:v>
      </x:c>
      <x:c r="D3079" s="7" t="str">
        <x:v>factory calibration</x:v>
      </x:c>
      <x:c r="E3079" s="7" t="str">
        <x:v>CAL-CH-PEA-B-X2-17-2</x:v>
      </x:c>
      <x:c r="F3079" s="7" t="str">
        <x:f>'Calibration Records'!M1112</x:f>
        <x:v>OPEN</x:v>
      </x:c>
    </x:row>
    <x:row r="3080">
      <x:c r="B3080" s="7" t="str">
        <x:v>AG-03074</x:v>
      </x:c>
      <x:c r="C3080" s="7" t="str">
        <x:v>PEA-B-X2</x:v>
      </x:c>
      <x:c r="D3080" s="7" t="str">
        <x:v>factory calibration</x:v>
      </x:c>
      <x:c r="E3080" s="7" t="str">
        <x:v>CAL-CH-PEA-B-X2-17-3</x:v>
      </x:c>
      <x:c r="F3080" s="7" t="str">
        <x:f>'Calibration Records'!M1113</x:f>
        <x:v>OPEN</x:v>
      </x:c>
    </x:row>
    <x:row r="3081">
      <x:c r="B3081" s="7" t="str">
        <x:v>AG-03075</x:v>
      </x:c>
      <x:c r="C3081" s="7" t="str">
        <x:v>PEA-B-X2</x:v>
      </x:c>
      <x:c r="D3081" s="7" t="str">
        <x:v>factory calibration</x:v>
      </x:c>
      <x:c r="E3081" s="7" t="str">
        <x:v>CAL-CH-PEA-B-X2-17-4</x:v>
      </x:c>
      <x:c r="F3081" s="7" t="str">
        <x:f>'Calibration Records'!M1114</x:f>
        <x:v>OPEN</x:v>
      </x:c>
    </x:row>
    <x:row r="3082">
      <x:c r="B3082" s="7" t="str">
        <x:v>AG-03076</x:v>
      </x:c>
      <x:c r="C3082" s="7" t="str">
        <x:v>PEA-B-X2</x:v>
      </x:c>
      <x:c r="D3082" s="7" t="str">
        <x:v>factory calibration</x:v>
      </x:c>
      <x:c r="E3082" s="7" t="str">
        <x:v>CAL-CH-PEA-B-X2-17-5</x:v>
      </x:c>
      <x:c r="F3082" s="7" t="str">
        <x:f>'Calibration Records'!M1115</x:f>
        <x:v>OPEN</x:v>
      </x:c>
    </x:row>
    <x:row r="3083">
      <x:c r="B3083" s="7" t="str">
        <x:v>AG-03077</x:v>
      </x:c>
      <x:c r="C3083" s="7" t="str">
        <x:v>PEA-B-X2</x:v>
      </x:c>
      <x:c r="D3083" s="7" t="str">
        <x:v>factory calibration</x:v>
      </x:c>
      <x:c r="E3083" s="7" t="str">
        <x:v>CAL-CH-PEA-B-X2-17-6</x:v>
      </x:c>
      <x:c r="F3083" s="7" t="str">
        <x:f>'Calibration Records'!M1116</x:f>
        <x:v>OPEN</x:v>
      </x:c>
    </x:row>
    <x:row r="3084">
      <x:c r="B3084" s="7" t="str">
        <x:v>AG-03078</x:v>
      </x:c>
      <x:c r="C3084" s="7" t="str">
        <x:v>PEA-B-X2</x:v>
      </x:c>
      <x:c r="D3084" s="7" t="str">
        <x:v>factory calibration</x:v>
      </x:c>
      <x:c r="E3084" s="7" t="str">
        <x:v>CAL-CH-PEA-B-X2-18-1</x:v>
      </x:c>
      <x:c r="F3084" s="7" t="str">
        <x:f>'Calibration Records'!M1117</x:f>
        <x:v>OPEN</x:v>
      </x:c>
    </x:row>
    <x:row r="3085">
      <x:c r="B3085" s="7" t="str">
        <x:v>AG-03079</x:v>
      </x:c>
      <x:c r="C3085" s="7" t="str">
        <x:v>PEA-B-X2</x:v>
      </x:c>
      <x:c r="D3085" s="7" t="str">
        <x:v>factory calibration</x:v>
      </x:c>
      <x:c r="E3085" s="7" t="str">
        <x:v>CAL-CH-PEA-B-X2-18-2</x:v>
      </x:c>
      <x:c r="F3085" s="7" t="str">
        <x:f>'Calibration Records'!M1118</x:f>
        <x:v>OPEN</x:v>
      </x:c>
    </x:row>
    <x:row r="3086">
      <x:c r="B3086" s="7" t="str">
        <x:v>AG-03080</x:v>
      </x:c>
      <x:c r="C3086" s="7" t="str">
        <x:v>PEA-B-X2</x:v>
      </x:c>
      <x:c r="D3086" s="7" t="str">
        <x:v>factory calibration</x:v>
      </x:c>
      <x:c r="E3086" s="7" t="str">
        <x:v>CAL-CH-PEA-B-X2-18-3</x:v>
      </x:c>
      <x:c r="F3086" s="7" t="str">
        <x:f>'Calibration Records'!M1119</x:f>
        <x:v>OPEN</x:v>
      </x:c>
    </x:row>
    <x:row r="3087">
      <x:c r="B3087" s="7" t="str">
        <x:v>AG-03081</x:v>
      </x:c>
      <x:c r="C3087" s="7" t="str">
        <x:v>PEA-B-X2</x:v>
      </x:c>
      <x:c r="D3087" s="7" t="str">
        <x:v>factory calibration</x:v>
      </x:c>
      <x:c r="E3087" s="7" t="str">
        <x:v>CAL-CH-PEA-B-X2-18-4</x:v>
      </x:c>
      <x:c r="F3087" s="7" t="str">
        <x:f>'Calibration Records'!M1120</x:f>
        <x:v>OPEN</x:v>
      </x:c>
    </x:row>
    <x:row r="3088">
      <x:c r="B3088" s="7" t="str">
        <x:v>AG-03082</x:v>
      </x:c>
      <x:c r="C3088" s="7" t="str">
        <x:v>PEA-B-X2</x:v>
      </x:c>
      <x:c r="D3088" s="7" t="str">
        <x:v>factory calibration</x:v>
      </x:c>
      <x:c r="E3088" s="7" t="str">
        <x:v>CAL-CH-PEA-B-X2-18-5</x:v>
      </x:c>
      <x:c r="F3088" s="7" t="str">
        <x:f>'Calibration Records'!M1121</x:f>
        <x:v>OPEN</x:v>
      </x:c>
    </x:row>
    <x:row r="3089">
      <x:c r="B3089" s="7" t="str">
        <x:v>AG-03083</x:v>
      </x:c>
      <x:c r="C3089" s="7" t="str">
        <x:v>PEA-B-X2</x:v>
      </x:c>
      <x:c r="D3089" s="7" t="str">
        <x:v>factory calibration</x:v>
      </x:c>
      <x:c r="E3089" s="7" t="str">
        <x:v>CAL-CH-PEA-B-X2-18-6</x:v>
      </x:c>
      <x:c r="F3089" s="7" t="str">
        <x:f>'Calibration Records'!M1122</x:f>
        <x:v>OPEN</x:v>
      </x:c>
    </x:row>
    <x:row r="3090">
      <x:c r="B3090" s="7" t="str">
        <x:v>AG-03084</x:v>
      </x:c>
      <x:c r="C3090" s="7" t="str">
        <x:v>PEA-B-X2</x:v>
      </x:c>
      <x:c r="D3090" s="7" t="str">
        <x:v>factory calibration</x:v>
      </x:c>
      <x:c r="E3090" s="7" t="str">
        <x:v>CAL-CH-PEA-B-X2-19-1</x:v>
      </x:c>
      <x:c r="F3090" s="7" t="str">
        <x:f>'Calibration Records'!M1123</x:f>
        <x:v>OPEN</x:v>
      </x:c>
    </x:row>
    <x:row r="3091">
      <x:c r="B3091" s="7" t="str">
        <x:v>AG-03085</x:v>
      </x:c>
      <x:c r="C3091" s="7" t="str">
        <x:v>PEA-B-X2</x:v>
      </x:c>
      <x:c r="D3091" s="7" t="str">
        <x:v>factory calibration</x:v>
      </x:c>
      <x:c r="E3091" s="7" t="str">
        <x:v>CAL-CH-PEA-B-X2-19-2</x:v>
      </x:c>
      <x:c r="F3091" s="7" t="str">
        <x:f>'Calibration Records'!M1124</x:f>
        <x:v>OPEN</x:v>
      </x:c>
    </x:row>
    <x:row r="3092">
      <x:c r="B3092" s="7" t="str">
        <x:v>AG-03086</x:v>
      </x:c>
      <x:c r="C3092" s="7" t="str">
        <x:v>PEA-B-X2</x:v>
      </x:c>
      <x:c r="D3092" s="7" t="str">
        <x:v>factory calibration</x:v>
      </x:c>
      <x:c r="E3092" s="7" t="str">
        <x:v>CAL-CH-PEA-B-X2-19-3</x:v>
      </x:c>
      <x:c r="F3092" s="7" t="str">
        <x:f>'Calibration Records'!M1125</x:f>
        <x:v>OPEN</x:v>
      </x:c>
    </x:row>
    <x:row r="3093">
      <x:c r="B3093" s="7" t="str">
        <x:v>AG-03087</x:v>
      </x:c>
      <x:c r="C3093" s="7" t="str">
        <x:v>PEA-B-X2</x:v>
      </x:c>
      <x:c r="D3093" s="7" t="str">
        <x:v>factory calibration</x:v>
      </x:c>
      <x:c r="E3093" s="7" t="str">
        <x:v>CAL-CH-PEA-B-X2-19-4</x:v>
      </x:c>
      <x:c r="F3093" s="7" t="str">
        <x:f>'Calibration Records'!M1126</x:f>
        <x:v>OPEN</x:v>
      </x:c>
    </x:row>
    <x:row r="3094">
      <x:c r="B3094" s="7" t="str">
        <x:v>AG-03088</x:v>
      </x:c>
      <x:c r="C3094" s="7" t="str">
        <x:v>PEA-B-X2</x:v>
      </x:c>
      <x:c r="D3094" s="7" t="str">
        <x:v>factory calibration</x:v>
      </x:c>
      <x:c r="E3094" s="7" t="str">
        <x:v>CAL-CH-PEA-B-X2-19-5</x:v>
      </x:c>
      <x:c r="F3094" s="7" t="str">
        <x:f>'Calibration Records'!M1127</x:f>
        <x:v>OPEN</x:v>
      </x:c>
    </x:row>
    <x:row r="3095">
      <x:c r="B3095" s="7" t="str">
        <x:v>AG-03089</x:v>
      </x:c>
      <x:c r="C3095" s="7" t="str">
        <x:v>PEA-B-X2</x:v>
      </x:c>
      <x:c r="D3095" s="7" t="str">
        <x:v>factory calibration</x:v>
      </x:c>
      <x:c r="E3095" s="7" t="str">
        <x:v>CAL-CH-PEA-B-X2-19-6</x:v>
      </x:c>
      <x:c r="F3095" s="7" t="str">
        <x:f>'Calibration Records'!M1128</x:f>
        <x:v>OPEN</x:v>
      </x:c>
    </x:row>
    <x:row r="3096">
      <x:c r="B3096" s="7" t="str">
        <x:v>AG-03090</x:v>
      </x:c>
      <x:c r="C3096" s="7" t="str">
        <x:v>PEA-B-X2</x:v>
      </x:c>
      <x:c r="D3096" s="7" t="str">
        <x:v>factory calibration</x:v>
      </x:c>
      <x:c r="E3096" s="7" t="str">
        <x:v>CAL-CH-PEA-B-X2-20-1</x:v>
      </x:c>
      <x:c r="F3096" s="7" t="str">
        <x:f>'Calibration Records'!M1129</x:f>
        <x:v>OPEN</x:v>
      </x:c>
    </x:row>
    <x:row r="3097">
      <x:c r="B3097" s="7" t="str">
        <x:v>AG-03091</x:v>
      </x:c>
      <x:c r="C3097" s="7" t="str">
        <x:v>PEA-B-X2</x:v>
      </x:c>
      <x:c r="D3097" s="7" t="str">
        <x:v>factory calibration</x:v>
      </x:c>
      <x:c r="E3097" s="7" t="str">
        <x:v>CAL-CH-PEA-B-X2-20-2</x:v>
      </x:c>
      <x:c r="F3097" s="7" t="str">
        <x:f>'Calibration Records'!M1130</x:f>
        <x:v>OPEN</x:v>
      </x:c>
    </x:row>
    <x:row r="3098">
      <x:c r="B3098" s="7" t="str">
        <x:v>AG-03092</x:v>
      </x:c>
      <x:c r="C3098" s="7" t="str">
        <x:v>PEA-B-X2</x:v>
      </x:c>
      <x:c r="D3098" s="7" t="str">
        <x:v>factory calibration</x:v>
      </x:c>
      <x:c r="E3098" s="7" t="str">
        <x:v>CAL-CH-PEA-B-X2-20-3</x:v>
      </x:c>
      <x:c r="F3098" s="7" t="str">
        <x:f>'Calibration Records'!M1131</x:f>
        <x:v>OPEN</x:v>
      </x:c>
    </x:row>
    <x:row r="3099">
      <x:c r="B3099" s="7" t="str">
        <x:v>AG-03093</x:v>
      </x:c>
      <x:c r="C3099" s="7" t="str">
        <x:v>PEA-B-X2</x:v>
      </x:c>
      <x:c r="D3099" s="7" t="str">
        <x:v>factory calibration</x:v>
      </x:c>
      <x:c r="E3099" s="7" t="str">
        <x:v>CAL-CH-PEA-B-X2-20-4</x:v>
      </x:c>
      <x:c r="F3099" s="7" t="str">
        <x:f>'Calibration Records'!M1132</x:f>
        <x:v>OPEN</x:v>
      </x:c>
    </x:row>
    <x:row r="3100">
      <x:c r="B3100" s="7" t="str">
        <x:v>AG-03094</x:v>
      </x:c>
      <x:c r="C3100" s="7" t="str">
        <x:v>PEA-B-X2</x:v>
      </x:c>
      <x:c r="D3100" s="7" t="str">
        <x:v>factory calibration</x:v>
      </x:c>
      <x:c r="E3100" s="7" t="str">
        <x:v>CAL-CH-PEA-B-X2-20-5</x:v>
      </x:c>
      <x:c r="F3100" s="7" t="str">
        <x:f>'Calibration Records'!M1133</x:f>
        <x:v>OPEN</x:v>
      </x:c>
    </x:row>
    <x:row r="3101">
      <x:c r="B3101" s="7" t="str">
        <x:v>AG-03095</x:v>
      </x:c>
      <x:c r="C3101" s="7" t="str">
        <x:v>PEA-B-X2</x:v>
      </x:c>
      <x:c r="D3101" s="7" t="str">
        <x:v>factory calibration</x:v>
      </x:c>
      <x:c r="E3101" s="7" t="str">
        <x:v>CAL-CH-PEA-B-X2-20-6</x:v>
      </x:c>
      <x:c r="F3101" s="7" t="str">
        <x:f>'Calibration Records'!M1134</x:f>
        <x:v>OPEN</x:v>
      </x:c>
    </x:row>
    <x:row r="3102">
      <x:c r="B3102" s="7" t="str">
        <x:v>AG-03096</x:v>
      </x:c>
      <x:c r="C3102" s="7" t="str">
        <x:v>PEA-B-X2</x:v>
      </x:c>
      <x:c r="D3102" s="7" t="str">
        <x:v>factory calibration</x:v>
      </x:c>
      <x:c r="E3102" s="7" t="str">
        <x:v>CAL-CH-PEA-B-X2-21-1</x:v>
      </x:c>
      <x:c r="F3102" s="7" t="str">
        <x:f>'Calibration Records'!M1135</x:f>
        <x:v>OPEN</x:v>
      </x:c>
    </x:row>
    <x:row r="3103">
      <x:c r="B3103" s="7" t="str">
        <x:v>AG-03097</x:v>
      </x:c>
      <x:c r="C3103" s="7" t="str">
        <x:v>PEA-B-X2</x:v>
      </x:c>
      <x:c r="D3103" s="7" t="str">
        <x:v>factory calibration</x:v>
      </x:c>
      <x:c r="E3103" s="7" t="str">
        <x:v>CAL-CH-PEA-B-X2-21-2</x:v>
      </x:c>
      <x:c r="F3103" s="7" t="str">
        <x:f>'Calibration Records'!M1136</x:f>
        <x:v>OPEN</x:v>
      </x:c>
    </x:row>
    <x:row r="3104">
      <x:c r="B3104" s="7" t="str">
        <x:v>AG-03098</x:v>
      </x:c>
      <x:c r="C3104" s="7" t="str">
        <x:v>PEA-B-X2</x:v>
      </x:c>
      <x:c r="D3104" s="7" t="str">
        <x:v>factory calibration</x:v>
      </x:c>
      <x:c r="E3104" s="7" t="str">
        <x:v>CAL-CH-PEA-B-X2-21-3</x:v>
      </x:c>
      <x:c r="F3104" s="7" t="str">
        <x:f>'Calibration Records'!M1137</x:f>
        <x:v>OPEN</x:v>
      </x:c>
    </x:row>
    <x:row r="3105">
      <x:c r="B3105" s="7" t="str">
        <x:v>AG-03099</x:v>
      </x:c>
      <x:c r="C3105" s="7" t="str">
        <x:v>PEA-B-X2</x:v>
      </x:c>
      <x:c r="D3105" s="7" t="str">
        <x:v>factory calibration</x:v>
      </x:c>
      <x:c r="E3105" s="7" t="str">
        <x:v>CAL-CH-PEA-B-X2-21-4</x:v>
      </x:c>
      <x:c r="F3105" s="7" t="str">
        <x:f>'Calibration Records'!M1138</x:f>
        <x:v>OPEN</x:v>
      </x:c>
    </x:row>
    <x:row r="3106">
      <x:c r="B3106" s="7" t="str">
        <x:v>AG-03100</x:v>
      </x:c>
      <x:c r="C3106" s="7" t="str">
        <x:v>PEA-B-X2</x:v>
      </x:c>
      <x:c r="D3106" s="7" t="str">
        <x:v>factory calibration</x:v>
      </x:c>
      <x:c r="E3106" s="7" t="str">
        <x:v>CAL-CH-PEA-B-X2-21-5</x:v>
      </x:c>
      <x:c r="F3106" s="7" t="str">
        <x:f>'Calibration Records'!M1139</x:f>
        <x:v>OPEN</x:v>
      </x:c>
    </x:row>
    <x:row r="3107">
      <x:c r="B3107" s="7" t="str">
        <x:v>AG-03101</x:v>
      </x:c>
      <x:c r="C3107" s="7" t="str">
        <x:v>PEA-B-X2</x:v>
      </x:c>
      <x:c r="D3107" s="7" t="str">
        <x:v>factory calibration</x:v>
      </x:c>
      <x:c r="E3107" s="7" t="str">
        <x:v>CAL-CH-PEA-B-X2-21-6</x:v>
      </x:c>
      <x:c r="F3107" s="7" t="str">
        <x:f>'Calibration Records'!M1140</x:f>
        <x:v>OPEN</x:v>
      </x:c>
    </x:row>
    <x:row r="3108">
      <x:c r="B3108" s="7" t="str">
        <x:v>AG-03102</x:v>
      </x:c>
      <x:c r="C3108" s="7" t="str">
        <x:v>PEA-B-X2</x:v>
      </x:c>
      <x:c r="D3108" s="7" t="str">
        <x:v>factory calibration</x:v>
      </x:c>
      <x:c r="E3108" s="7" t="str">
        <x:v>CAL-CH-PEA-B-X2-22-1</x:v>
      </x:c>
      <x:c r="F3108" s="7" t="str">
        <x:f>'Calibration Records'!M1141</x:f>
        <x:v>OPEN</x:v>
      </x:c>
    </x:row>
    <x:row r="3109">
      <x:c r="B3109" s="7" t="str">
        <x:v>AG-03103</x:v>
      </x:c>
      <x:c r="C3109" s="7" t="str">
        <x:v>PEA-B-X2</x:v>
      </x:c>
      <x:c r="D3109" s="7" t="str">
        <x:v>factory calibration</x:v>
      </x:c>
      <x:c r="E3109" s="7" t="str">
        <x:v>CAL-CH-PEA-B-X2-22-2</x:v>
      </x:c>
      <x:c r="F3109" s="7" t="str">
        <x:f>'Calibration Records'!M1142</x:f>
        <x:v>OPEN</x:v>
      </x:c>
    </x:row>
    <x:row r="3110">
      <x:c r="B3110" s="7" t="str">
        <x:v>AG-03104</x:v>
      </x:c>
      <x:c r="C3110" s="7" t="str">
        <x:v>PEA-B-X2</x:v>
      </x:c>
      <x:c r="D3110" s="7" t="str">
        <x:v>factory calibration</x:v>
      </x:c>
      <x:c r="E3110" s="7" t="str">
        <x:v>CAL-CH-PEA-B-X2-22-3</x:v>
      </x:c>
      <x:c r="F3110" s="7" t="str">
        <x:f>'Calibration Records'!M1143</x:f>
        <x:v>OPEN</x:v>
      </x:c>
    </x:row>
    <x:row r="3111">
      <x:c r="B3111" s="7" t="str">
        <x:v>AG-03105</x:v>
      </x:c>
      <x:c r="C3111" s="7" t="str">
        <x:v>PEA-B-X2</x:v>
      </x:c>
      <x:c r="D3111" s="7" t="str">
        <x:v>factory calibration</x:v>
      </x:c>
      <x:c r="E3111" s="7" t="str">
        <x:v>CAL-CH-PEA-B-X2-22-4</x:v>
      </x:c>
      <x:c r="F3111" s="7" t="str">
        <x:f>'Calibration Records'!M1144</x:f>
        <x:v>OPEN</x:v>
      </x:c>
    </x:row>
    <x:row r="3112">
      <x:c r="B3112" s="7" t="str">
        <x:v>AG-03106</x:v>
      </x:c>
      <x:c r="C3112" s="7" t="str">
        <x:v>PEA-B-X2</x:v>
      </x:c>
      <x:c r="D3112" s="7" t="str">
        <x:v>factory calibration</x:v>
      </x:c>
      <x:c r="E3112" s="7" t="str">
        <x:v>CAL-CH-PEA-B-X2-22-5</x:v>
      </x:c>
      <x:c r="F3112" s="7" t="str">
        <x:f>'Calibration Records'!M1145</x:f>
        <x:v>OPEN</x:v>
      </x:c>
    </x:row>
    <x:row r="3113">
      <x:c r="B3113" s="7" t="str">
        <x:v>AG-03107</x:v>
      </x:c>
      <x:c r="C3113" s="7" t="str">
        <x:v>PEA-B-X2</x:v>
      </x:c>
      <x:c r="D3113" s="7" t="str">
        <x:v>factory calibration</x:v>
      </x:c>
      <x:c r="E3113" s="7" t="str">
        <x:v>CAL-CH-PEA-B-X2-22-6</x:v>
      </x:c>
      <x:c r="F3113" s="7" t="str">
        <x:f>'Calibration Records'!M1146</x:f>
        <x:v>OPEN</x:v>
      </x:c>
    </x:row>
    <x:row r="3114">
      <x:c r="B3114" s="7" t="str">
        <x:v>AG-03108</x:v>
      </x:c>
      <x:c r="C3114" s="7" t="str">
        <x:v>PEA-B-X2</x:v>
      </x:c>
      <x:c r="D3114" s="7" t="str">
        <x:v>factory calibration</x:v>
      </x:c>
      <x:c r="E3114" s="7" t="str">
        <x:v>CAL-CH-PEA-B-X2-23-1</x:v>
      </x:c>
      <x:c r="F3114" s="7" t="str">
        <x:f>'Calibration Records'!M1147</x:f>
        <x:v>OPEN</x:v>
      </x:c>
    </x:row>
    <x:row r="3115">
      <x:c r="B3115" s="7" t="str">
        <x:v>AG-03109</x:v>
      </x:c>
      <x:c r="C3115" s="7" t="str">
        <x:v>PEA-B-X2</x:v>
      </x:c>
      <x:c r="D3115" s="7" t="str">
        <x:v>factory calibration</x:v>
      </x:c>
      <x:c r="E3115" s="7" t="str">
        <x:v>CAL-CH-PEA-B-X2-23-2</x:v>
      </x:c>
      <x:c r="F3115" s="7" t="str">
        <x:f>'Calibration Records'!M1148</x:f>
        <x:v>OPEN</x:v>
      </x:c>
    </x:row>
    <x:row r="3116">
      <x:c r="B3116" s="7" t="str">
        <x:v>AG-03110</x:v>
      </x:c>
      <x:c r="C3116" s="7" t="str">
        <x:v>PEA-B-X2</x:v>
      </x:c>
      <x:c r="D3116" s="7" t="str">
        <x:v>factory calibration</x:v>
      </x:c>
      <x:c r="E3116" s="7" t="str">
        <x:v>CAL-CH-PEA-B-X2-23-3</x:v>
      </x:c>
      <x:c r="F3116" s="7" t="str">
        <x:f>'Calibration Records'!M1149</x:f>
        <x:v>OPEN</x:v>
      </x:c>
    </x:row>
    <x:row r="3117">
      <x:c r="B3117" s="7" t="str">
        <x:v>AG-03111</x:v>
      </x:c>
      <x:c r="C3117" s="7" t="str">
        <x:v>PEA-B-X2</x:v>
      </x:c>
      <x:c r="D3117" s="7" t="str">
        <x:v>factory calibration</x:v>
      </x:c>
      <x:c r="E3117" s="7" t="str">
        <x:v>CAL-CH-PEA-B-X2-23-4</x:v>
      </x:c>
      <x:c r="F3117" s="7" t="str">
        <x:f>'Calibration Records'!M1150</x:f>
        <x:v>OPEN</x:v>
      </x:c>
    </x:row>
    <x:row r="3118">
      <x:c r="B3118" s="7" t="str">
        <x:v>AG-03112</x:v>
      </x:c>
      <x:c r="C3118" s="7" t="str">
        <x:v>PEA-B-X2</x:v>
      </x:c>
      <x:c r="D3118" s="7" t="str">
        <x:v>factory calibration</x:v>
      </x:c>
      <x:c r="E3118" s="7" t="str">
        <x:v>CAL-CH-PEA-B-X2-23-5</x:v>
      </x:c>
      <x:c r="F3118" s="7" t="str">
        <x:f>'Calibration Records'!M1151</x:f>
        <x:v>OPEN</x:v>
      </x:c>
    </x:row>
    <x:row r="3119">
      <x:c r="B3119" s="7" t="str">
        <x:v>AG-03113</x:v>
      </x:c>
      <x:c r="C3119" s="7" t="str">
        <x:v>PEA-B-X2</x:v>
      </x:c>
      <x:c r="D3119" s="7" t="str">
        <x:v>factory calibration</x:v>
      </x:c>
      <x:c r="E3119" s="7" t="str">
        <x:v>CAL-CH-PEA-B-X2-23-6</x:v>
      </x:c>
      <x:c r="F3119" s="7" t="str">
        <x:f>'Calibration Records'!M1152</x:f>
        <x:v>OPEN</x:v>
      </x:c>
    </x:row>
    <x:row r="3120">
      <x:c r="B3120" s="7" t="str">
        <x:v>AG-03114</x:v>
      </x:c>
      <x:c r="C3120" s="7" t="str">
        <x:v>PEA-B-X2</x:v>
      </x:c>
      <x:c r="D3120" s="7" t="str">
        <x:v>factory calibration</x:v>
      </x:c>
      <x:c r="E3120" s="7" t="str">
        <x:v>CAL-CH-PEA-B-X2-24-1</x:v>
      </x:c>
      <x:c r="F3120" s="7" t="str">
        <x:f>'Calibration Records'!M1153</x:f>
        <x:v>OPEN</x:v>
      </x:c>
    </x:row>
    <x:row r="3121">
      <x:c r="B3121" s="7" t="str">
        <x:v>AG-03115</x:v>
      </x:c>
      <x:c r="C3121" s="7" t="str">
        <x:v>PEA-B-X2</x:v>
      </x:c>
      <x:c r="D3121" s="7" t="str">
        <x:v>factory calibration</x:v>
      </x:c>
      <x:c r="E3121" s="7" t="str">
        <x:v>CAL-CH-PEA-B-X2-24-2</x:v>
      </x:c>
      <x:c r="F3121" s="7" t="str">
        <x:f>'Calibration Records'!M1154</x:f>
        <x:v>OPEN</x:v>
      </x:c>
    </x:row>
    <x:row r="3122">
      <x:c r="B3122" s="7" t="str">
        <x:v>AG-03116</x:v>
      </x:c>
      <x:c r="C3122" s="7" t="str">
        <x:v>PEA-B-X2</x:v>
      </x:c>
      <x:c r="D3122" s="7" t="str">
        <x:v>factory calibration</x:v>
      </x:c>
      <x:c r="E3122" s="7" t="str">
        <x:v>CAL-CH-PEA-B-X2-24-3</x:v>
      </x:c>
      <x:c r="F3122" s="7" t="str">
        <x:f>'Calibration Records'!M1155</x:f>
        <x:v>OPEN</x:v>
      </x:c>
    </x:row>
    <x:row r="3123">
      <x:c r="B3123" s="7" t="str">
        <x:v>AG-03117</x:v>
      </x:c>
      <x:c r="C3123" s="7" t="str">
        <x:v>PEA-B-X2</x:v>
      </x:c>
      <x:c r="D3123" s="7" t="str">
        <x:v>factory calibration</x:v>
      </x:c>
      <x:c r="E3123" s="7" t="str">
        <x:v>CAL-CH-PEA-B-X2-24-4</x:v>
      </x:c>
      <x:c r="F3123" s="7" t="str">
        <x:f>'Calibration Records'!M1156</x:f>
        <x:v>OPEN</x:v>
      </x:c>
    </x:row>
    <x:row r="3124">
      <x:c r="B3124" s="7" t="str">
        <x:v>AG-03118</x:v>
      </x:c>
      <x:c r="C3124" s="7" t="str">
        <x:v>PEA-B-X2</x:v>
      </x:c>
      <x:c r="D3124" s="7" t="str">
        <x:v>factory calibration</x:v>
      </x:c>
      <x:c r="E3124" s="7" t="str">
        <x:v>CAL-CH-PEA-B-X2-24-5</x:v>
      </x:c>
      <x:c r="F3124" s="7" t="str">
        <x:f>'Calibration Records'!M1157</x:f>
        <x:v>OPEN</x:v>
      </x:c>
    </x:row>
    <x:row r="3125">
      <x:c r="B3125" s="7" t="str">
        <x:v>AG-03119</x:v>
      </x:c>
      <x:c r="C3125" s="7" t="str">
        <x:v>PEA-B-X2</x:v>
      </x:c>
      <x:c r="D3125" s="7" t="str">
        <x:v>factory calibration</x:v>
      </x:c>
      <x:c r="E3125" s="7" t="str">
        <x:v>CAL-CH-PEA-B-X2-24-6</x:v>
      </x:c>
      <x:c r="F3125" s="7" t="str">
        <x:f>'Calibration Records'!M1158</x:f>
        <x:v>OPEN</x:v>
      </x:c>
    </x:row>
    <x:row r="3126">
      <x:c r="B3126" s="7" t="str">
        <x:v>AG-03120</x:v>
      </x:c>
      <x:c r="C3126" s="7" t="str">
        <x:v>PEA-B-X2</x:v>
      </x:c>
      <x:c r="D3126" s="7" t="str">
        <x:v>article master</x:v>
      </x:c>
      <x:c r="E3126" s="7" t="str">
        <x:v>PEA-B-X2</x:v>
      </x:c>
      <x:c r="F3126" s="7" t="str">
        <x:f>'Article Population'!Q14</x:f>
        <x:v>OPEN</x:v>
      </x:c>
    </x:row>
    <x:row r="3127">
      <x:c r="B3127" s="7" t="str">
        <x:v>AG-03121</x:v>
      </x:c>
      <x:c r="C3127" s="7" t="str">
        <x:v>PEA-B-X3</x:v>
      </x:c>
      <x:c r="D3127" s="7" t="str">
        <x:v>lineage capsule</x:v>
      </x:c>
      <x:c r="E3127" s="7" t="str">
        <x:v>BL-X</x:v>
      </x:c>
      <x:c r="F3127" s="7" t="str">
        <x:f>'Baseline Package'!F7</x:f>
        <x:v>OPEN</x:v>
      </x:c>
    </x:row>
    <x:row r="3128">
      <x:c r="B3128" s="7" t="str">
        <x:v>AG-03122</x:v>
      </x:c>
      <x:c r="C3128" s="7" t="str">
        <x:v>PEA-B-X3</x:v>
      </x:c>
      <x:c r="D3128" s="7" t="str">
        <x:v>builder qualification</x:v>
      </x:c>
      <x:c r="E3128" s="7" t="str">
        <x:v>BLD-B</x:v>
      </x:c>
      <x:c r="F3128" s="7" t="str">
        <x:f>Builders!K8</x:f>
        <x:v>OPEN</x:v>
      </x:c>
    </x:row>
    <x:row r="3129">
      <x:c r="B3129" s="7" t="str">
        <x:v>AG-03123</x:v>
      </x:c>
      <x:c r="C3129" s="7" t="str">
        <x:v>PEA-B-X3</x:v>
      </x:c>
      <x:c r="D3129" s="7" t="str">
        <x:v>material split</x:v>
      </x:c>
      <x:c r="E3129" s="7" t="str">
        <x:v>SPLIT-PEA-B-X3</x:v>
      </x:c>
      <x:c r="F3129" s="7" t="str">
        <x:f>'Material Matrix'!K15</x:f>
        <x:v>OPEN</x:v>
      </x:c>
    </x:row>
    <x:row r="3130">
      <x:c r="B3130" s="7" t="str">
        <x:v>AG-03124</x:v>
      </x:c>
      <x:c r="C3130" s="7" t="str">
        <x:v>PEA-B-X3</x:v>
      </x:c>
      <x:c r="D3130" s="7" t="str">
        <x:v>build sequence</x:v>
      </x:c>
      <x:c r="E3130" s="7" t="str">
        <x:v>SEQ-PEA-B-X3</x:v>
      </x:c>
      <x:c r="F3130" s="7" t="str">
        <x:f>'Build Sequence'!L15</x:f>
        <x:v>OPEN</x:v>
      </x:c>
    </x:row>
    <x:row r="3131">
      <x:c r="B3131" s="7" t="str">
        <x:v>AG-03125</x:v>
      </x:c>
      <x:c r="C3131" s="7" t="str">
        <x:v>PEA-B-X3</x:v>
      </x:c>
      <x:c r="D3131" s="7" t="str">
        <x:v>section traveler</x:v>
      </x:c>
      <x:c r="E3131" s="7" t="str">
        <x:v>TRV-PEA-B-X3-01</x:v>
      </x:c>
      <x:c r="F3131" s="7" t="str">
        <x:f>'Section Travelers'!L167</x:f>
        <x:v>OPEN</x:v>
      </x:c>
    </x:row>
    <x:row r="3132">
      <x:c r="B3132" s="7" t="str">
        <x:v>AG-03126</x:v>
      </x:c>
      <x:c r="C3132" s="7" t="str">
        <x:v>PEA-B-X3</x:v>
      </x:c>
      <x:c r="D3132" s="7" t="str">
        <x:v>section traveler</x:v>
      </x:c>
      <x:c r="E3132" s="7" t="str">
        <x:v>TRV-PEA-B-X3-02</x:v>
      </x:c>
      <x:c r="F3132" s="7" t="str">
        <x:f>'Section Travelers'!L168</x:f>
        <x:v>OPEN</x:v>
      </x:c>
    </x:row>
    <x:row r="3133">
      <x:c r="B3133" s="7" t="str">
        <x:v>AG-03127</x:v>
      </x:c>
      <x:c r="C3133" s="7" t="str">
        <x:v>PEA-B-X3</x:v>
      </x:c>
      <x:c r="D3133" s="7" t="str">
        <x:v>section traveler</x:v>
      </x:c>
      <x:c r="E3133" s="7" t="str">
        <x:v>TRV-PEA-B-X3-03</x:v>
      </x:c>
      <x:c r="F3133" s="7" t="str">
        <x:f>'Section Travelers'!L169</x:f>
        <x:v>OPEN</x:v>
      </x:c>
    </x:row>
    <x:row r="3134">
      <x:c r="B3134" s="7" t="str">
        <x:v>AG-03128</x:v>
      </x:c>
      <x:c r="C3134" s="7" t="str">
        <x:v>PEA-B-X3</x:v>
      </x:c>
      <x:c r="D3134" s="7" t="str">
        <x:v>section traveler</x:v>
      </x:c>
      <x:c r="E3134" s="7" t="str">
        <x:v>TRV-PEA-B-X3-04</x:v>
      </x:c>
      <x:c r="F3134" s="7" t="str">
        <x:f>'Section Travelers'!L170</x:f>
        <x:v>OPEN</x:v>
      </x:c>
    </x:row>
    <x:row r="3135">
      <x:c r="B3135" s="7" t="str">
        <x:v>AG-03129</x:v>
      </x:c>
      <x:c r="C3135" s="7" t="str">
        <x:v>PEA-B-X3</x:v>
      </x:c>
      <x:c r="D3135" s="7" t="str">
        <x:v>section traveler</x:v>
      </x:c>
      <x:c r="E3135" s="7" t="str">
        <x:v>TRV-PEA-B-X3-05</x:v>
      </x:c>
      <x:c r="F3135" s="7" t="str">
        <x:f>'Section Travelers'!L171</x:f>
        <x:v>OPEN</x:v>
      </x:c>
    </x:row>
    <x:row r="3136">
      <x:c r="B3136" s="7" t="str">
        <x:v>AG-03130</x:v>
      </x:c>
      <x:c r="C3136" s="7" t="str">
        <x:v>PEA-B-X3</x:v>
      </x:c>
      <x:c r="D3136" s="7" t="str">
        <x:v>section traveler</x:v>
      </x:c>
      <x:c r="E3136" s="7" t="str">
        <x:v>TRV-PEA-B-X3-06</x:v>
      </x:c>
      <x:c r="F3136" s="7" t="str">
        <x:f>'Section Travelers'!L172</x:f>
        <x:v>OPEN</x:v>
      </x:c>
    </x:row>
    <x:row r="3137">
      <x:c r="B3137" s="7" t="str">
        <x:v>AG-03131</x:v>
      </x:c>
      <x:c r="C3137" s="7" t="str">
        <x:v>PEA-B-X3</x:v>
      </x:c>
      <x:c r="D3137" s="7" t="str">
        <x:v>section traveler</x:v>
      </x:c>
      <x:c r="E3137" s="7" t="str">
        <x:v>TRV-PEA-B-X3-07</x:v>
      </x:c>
      <x:c r="F3137" s="7" t="str">
        <x:f>'Section Travelers'!L173</x:f>
        <x:v>OPEN</x:v>
      </x:c>
    </x:row>
    <x:row r="3138">
      <x:c r="B3138" s="7" t="str">
        <x:v>AG-03132</x:v>
      </x:c>
      <x:c r="C3138" s="7" t="str">
        <x:v>PEA-B-X3</x:v>
      </x:c>
      <x:c r="D3138" s="7" t="str">
        <x:v>section traveler</x:v>
      </x:c>
      <x:c r="E3138" s="7" t="str">
        <x:v>TRV-PEA-B-X3-08</x:v>
      </x:c>
      <x:c r="F3138" s="7" t="str">
        <x:f>'Section Travelers'!L174</x:f>
        <x:v>OPEN</x:v>
      </x:c>
    </x:row>
    <x:row r="3139">
      <x:c r="B3139" s="7" t="str">
        <x:v>AG-03133</x:v>
      </x:c>
      <x:c r="C3139" s="7" t="str">
        <x:v>PEA-B-X3</x:v>
      </x:c>
      <x:c r="D3139" s="7" t="str">
        <x:v>section traveler</x:v>
      </x:c>
      <x:c r="E3139" s="7" t="str">
        <x:v>TRV-PEA-B-X3-09</x:v>
      </x:c>
      <x:c r="F3139" s="7" t="str">
        <x:f>'Section Travelers'!L175</x:f>
        <x:v>OPEN</x:v>
      </x:c>
    </x:row>
    <x:row r="3140">
      <x:c r="B3140" s="7" t="str">
        <x:v>AG-03134</x:v>
      </x:c>
      <x:c r="C3140" s="7" t="str">
        <x:v>PEA-B-X3</x:v>
      </x:c>
      <x:c r="D3140" s="7" t="str">
        <x:v>section traveler</x:v>
      </x:c>
      <x:c r="E3140" s="7" t="str">
        <x:v>TRV-PEA-B-X3-10</x:v>
      </x:c>
      <x:c r="F3140" s="7" t="str">
        <x:f>'Section Travelers'!L176</x:f>
        <x:v>OPEN</x:v>
      </x:c>
    </x:row>
    <x:row r="3141">
      <x:c r="B3141" s="7" t="str">
        <x:v>AG-03135</x:v>
      </x:c>
      <x:c r="C3141" s="7" t="str">
        <x:v>PEA-B-X3</x:v>
      </x:c>
      <x:c r="D3141" s="7" t="str">
        <x:v>section traveler</x:v>
      </x:c>
      <x:c r="E3141" s="7" t="str">
        <x:v>TRV-PEA-B-X3-11</x:v>
      </x:c>
      <x:c r="F3141" s="7" t="str">
        <x:f>'Section Travelers'!L177</x:f>
        <x:v>OPEN</x:v>
      </x:c>
    </x:row>
    <x:row r="3142">
      <x:c r="B3142" s="7" t="str">
        <x:v>AG-03136</x:v>
      </x:c>
      <x:c r="C3142" s="7" t="str">
        <x:v>PEA-B-X3</x:v>
      </x:c>
      <x:c r="D3142" s="7" t="str">
        <x:v>section traveler</x:v>
      </x:c>
      <x:c r="E3142" s="7" t="str">
        <x:v>TRV-PEA-B-X3-12</x:v>
      </x:c>
      <x:c r="F3142" s="7" t="str">
        <x:f>'Section Travelers'!L178</x:f>
        <x:v>OPEN</x:v>
      </x:c>
    </x:row>
    <x:row r="3143">
      <x:c r="B3143" s="7" t="str">
        <x:v>AG-03137</x:v>
      </x:c>
      <x:c r="C3143" s="7" t="str">
        <x:v>PEA-B-X3</x:v>
      </x:c>
      <x:c r="D3143" s="7" t="str">
        <x:v>section traveler</x:v>
      </x:c>
      <x:c r="E3143" s="7" t="str">
        <x:v>TRV-PEA-B-X3-13</x:v>
      </x:c>
      <x:c r="F3143" s="7" t="str">
        <x:f>'Section Travelers'!L179</x:f>
        <x:v>OPEN</x:v>
      </x:c>
    </x:row>
    <x:row r="3144">
      <x:c r="B3144" s="7" t="str">
        <x:v>AG-03138</x:v>
      </x:c>
      <x:c r="C3144" s="7" t="str">
        <x:v>PEA-B-X3</x:v>
      </x:c>
      <x:c r="D3144" s="7" t="str">
        <x:v>section traveler</x:v>
      </x:c>
      <x:c r="E3144" s="7" t="str">
        <x:v>TRV-PEA-B-X3-14</x:v>
      </x:c>
      <x:c r="F3144" s="7" t="str">
        <x:f>'Section Travelers'!L180</x:f>
        <x:v>OPEN</x:v>
      </x:c>
    </x:row>
    <x:row r="3145">
      <x:c r="B3145" s="7" t="str">
        <x:v>AG-03139</x:v>
      </x:c>
      <x:c r="C3145" s="7" t="str">
        <x:v>PEA-B-X3</x:v>
      </x:c>
      <x:c r="D3145" s="7" t="str">
        <x:v>section traveler</x:v>
      </x:c>
      <x:c r="E3145" s="7" t="str">
        <x:v>TRV-PEA-B-X3-15</x:v>
      </x:c>
      <x:c r="F3145" s="7" t="str">
        <x:f>'Section Travelers'!L181</x:f>
        <x:v>OPEN</x:v>
      </x:c>
    </x:row>
    <x:row r="3146">
      <x:c r="B3146" s="7" t="str">
        <x:v>AG-03140</x:v>
      </x:c>
      <x:c r="C3146" s="7" t="str">
        <x:v>PEA-B-X3</x:v>
      </x:c>
      <x:c r="D3146" s="7" t="str">
        <x:v>section traveler</x:v>
      </x:c>
      <x:c r="E3146" s="7" t="str">
        <x:v>TRV-PEA-B-X3-16</x:v>
      </x:c>
      <x:c r="F3146" s="7" t="str">
        <x:f>'Section Travelers'!L182</x:f>
        <x:v>OPEN</x:v>
      </x:c>
    </x:row>
    <x:row r="3147">
      <x:c r="B3147" s="7" t="str">
        <x:v>AG-03141</x:v>
      </x:c>
      <x:c r="C3147" s="7" t="str">
        <x:v>PEA-B-X3</x:v>
      </x:c>
      <x:c r="D3147" s="7" t="str">
        <x:v>section traveler</x:v>
      </x:c>
      <x:c r="E3147" s="7" t="str">
        <x:v>TRV-PEA-B-X3-17</x:v>
      </x:c>
      <x:c r="F3147" s="7" t="str">
        <x:f>'Section Travelers'!L183</x:f>
        <x:v>OPEN</x:v>
      </x:c>
    </x:row>
    <x:row r="3148">
      <x:c r="B3148" s="7" t="str">
        <x:v>AG-03142</x:v>
      </x:c>
      <x:c r="C3148" s="7" t="str">
        <x:v>PEA-B-X3</x:v>
      </x:c>
      <x:c r="D3148" s="7" t="str">
        <x:v>section traveler</x:v>
      </x:c>
      <x:c r="E3148" s="7" t="str">
        <x:v>TRV-PEA-B-X3-18</x:v>
      </x:c>
      <x:c r="F3148" s="7" t="str">
        <x:f>'Section Travelers'!L184</x:f>
        <x:v>OPEN</x:v>
      </x:c>
    </x:row>
    <x:row r="3149">
      <x:c r="B3149" s="7" t="str">
        <x:v>AG-03143</x:v>
      </x:c>
      <x:c r="C3149" s="7" t="str">
        <x:v>PEA-B-X3</x:v>
      </x:c>
      <x:c r="D3149" s="7" t="str">
        <x:v>section traveler</x:v>
      </x:c>
      <x:c r="E3149" s="7" t="str">
        <x:v>TRV-PEA-B-X3-19</x:v>
      </x:c>
      <x:c r="F3149" s="7" t="str">
        <x:f>'Section Travelers'!L185</x:f>
        <x:v>OPEN</x:v>
      </x:c>
    </x:row>
    <x:row r="3150">
      <x:c r="B3150" s="7" t="str">
        <x:v>AG-03144</x:v>
      </x:c>
      <x:c r="C3150" s="7" t="str">
        <x:v>PEA-B-X3</x:v>
      </x:c>
      <x:c r="D3150" s="7" t="str">
        <x:v>section traveler</x:v>
      </x:c>
      <x:c r="E3150" s="7" t="str">
        <x:v>TRV-PEA-B-X3-20</x:v>
      </x:c>
      <x:c r="F3150" s="7" t="str">
        <x:f>'Section Travelers'!L186</x:f>
        <x:v>OPEN</x:v>
      </x:c>
    </x:row>
    <x:row r="3151">
      <x:c r="B3151" s="7" t="str">
        <x:v>AG-03145</x:v>
      </x:c>
      <x:c r="C3151" s="7" t="str">
        <x:v>PEA-B-X3</x:v>
      </x:c>
      <x:c r="D3151" s="7" t="str">
        <x:v>material coupon</x:v>
      </x:c>
      <x:c r="E3151" s="7" t="str">
        <x:v>CPN-PEA-B-X3-CJ-1</x:v>
      </x:c>
      <x:c r="F3151" s="7" t="str">
        <x:f>'Material Coupons'!K327</x:f>
        <x:v>OPEN</x:v>
      </x:c>
    </x:row>
    <x:row r="3152">
      <x:c r="B3152" s="7" t="str">
        <x:v>AG-03146</x:v>
      </x:c>
      <x:c r="C3152" s="7" t="str">
        <x:v>PEA-B-X3</x:v>
      </x:c>
      <x:c r="D3152" s="7" t="str">
        <x:v>material coupon</x:v>
      </x:c>
      <x:c r="E3152" s="7" t="str">
        <x:v>CPN-PEA-B-X3-CJ-2</x:v>
      </x:c>
      <x:c r="F3152" s="7" t="str">
        <x:f>'Material Coupons'!K328</x:f>
        <x:v>OPEN</x:v>
      </x:c>
    </x:row>
    <x:row r="3153">
      <x:c r="B3153" s="7" t="str">
        <x:v>AG-03147</x:v>
      </x:c>
      <x:c r="C3153" s="7" t="str">
        <x:v>PEA-B-X3</x:v>
      </x:c>
      <x:c r="D3153" s="7" t="str">
        <x:v>material coupon</x:v>
      </x:c>
      <x:c r="E3153" s="7" t="str">
        <x:v>CPN-PEA-B-X3-CJ-3</x:v>
      </x:c>
      <x:c r="F3153" s="7" t="str">
        <x:f>'Material Coupons'!K329</x:f>
        <x:v>OPEN</x:v>
      </x:c>
    </x:row>
    <x:row r="3154">
      <x:c r="B3154" s="7" t="str">
        <x:v>AG-03148</x:v>
      </x:c>
      <x:c r="C3154" s="7" t="str">
        <x:v>PEA-B-X3</x:v>
      </x:c>
      <x:c r="D3154" s="7" t="str">
        <x:v>material coupon</x:v>
      </x:c>
      <x:c r="E3154" s="7" t="str">
        <x:v>CPN-PEA-B-X3-CJ-4</x:v>
      </x:c>
      <x:c r="F3154" s="7" t="str">
        <x:f>'Material Coupons'!K330</x:f>
        <x:v>OPEN</x:v>
      </x:c>
    </x:row>
    <x:row r="3155">
      <x:c r="B3155" s="7" t="str">
        <x:v>AG-03149</x:v>
      </x:c>
      <x:c r="C3155" s="7" t="str">
        <x:v>PEA-B-X3</x:v>
      </x:c>
      <x:c r="D3155" s="7" t="str">
        <x:v>material coupon</x:v>
      </x:c>
      <x:c r="E3155" s="7" t="str">
        <x:v>CPN-PEA-B-X3-CJ-5</x:v>
      </x:c>
      <x:c r="F3155" s="7" t="str">
        <x:f>'Material Coupons'!K331</x:f>
        <x:v>OPEN</x:v>
      </x:c>
    </x:row>
    <x:row r="3156">
      <x:c r="B3156" s="7" t="str">
        <x:v>AG-03150</x:v>
      </x:c>
      <x:c r="C3156" s="7" t="str">
        <x:v>PEA-B-X3</x:v>
      </x:c>
      <x:c r="D3156" s="7" t="str">
        <x:v>material coupon</x:v>
      </x:c>
      <x:c r="E3156" s="7" t="str">
        <x:v>CPN-PEA-B-X3-CJ-6</x:v>
      </x:c>
      <x:c r="F3156" s="7" t="str">
        <x:f>'Material Coupons'!K332</x:f>
        <x:v>OPEN</x:v>
      </x:c>
    </x:row>
    <x:row r="3157">
      <x:c r="B3157" s="7" t="str">
        <x:v>AG-03151</x:v>
      </x:c>
      <x:c r="C3157" s="7" t="str">
        <x:v>PEA-B-X3</x:v>
      </x:c>
      <x:c r="D3157" s="7" t="str">
        <x:v>material coupon</x:v>
      </x:c>
      <x:c r="E3157" s="7" t="str">
        <x:v>CPN-PEA-B-X3-CJ-7</x:v>
      </x:c>
      <x:c r="F3157" s="7" t="str">
        <x:f>'Material Coupons'!K333</x:f>
        <x:v>OPEN</x:v>
      </x:c>
    </x:row>
    <x:row r="3158">
      <x:c r="B3158" s="7" t="str">
        <x:v>AG-03152</x:v>
      </x:c>
      <x:c r="C3158" s="7" t="str">
        <x:v>PEA-B-X3</x:v>
      </x:c>
      <x:c r="D3158" s="7" t="str">
        <x:v>material coupon</x:v>
      </x:c>
      <x:c r="E3158" s="7" t="str">
        <x:v>CPN-PEA-B-X3-CJ-8</x:v>
      </x:c>
      <x:c r="F3158" s="7" t="str">
        <x:f>'Material Coupons'!K334</x:f>
        <x:v>OPEN</x:v>
      </x:c>
    </x:row>
    <x:row r="3159">
      <x:c r="B3159" s="7" t="str">
        <x:v>AG-03153</x:v>
      </x:c>
      <x:c r="C3159" s="7" t="str">
        <x:v>PEA-B-X3</x:v>
      </x:c>
      <x:c r="D3159" s="7" t="str">
        <x:v>material coupon</x:v>
      </x:c>
      <x:c r="E3159" s="7" t="str">
        <x:v>CPN-PEA-B-X3-SE-1</x:v>
      </x:c>
      <x:c r="F3159" s="7" t="str">
        <x:f>'Material Coupons'!K335</x:f>
        <x:v>OPEN</x:v>
      </x:c>
    </x:row>
    <x:row r="3160">
      <x:c r="B3160" s="7" t="str">
        <x:v>AG-03154</x:v>
      </x:c>
      <x:c r="C3160" s="7" t="str">
        <x:v>PEA-B-X3</x:v>
      </x:c>
      <x:c r="D3160" s="7" t="str">
        <x:v>material coupon</x:v>
      </x:c>
      <x:c r="E3160" s="7" t="str">
        <x:v>CPN-PEA-B-X3-SE-2</x:v>
      </x:c>
      <x:c r="F3160" s="7" t="str">
        <x:f>'Material Coupons'!K336</x:f>
        <x:v>OPEN</x:v>
      </x:c>
    </x:row>
    <x:row r="3161">
      <x:c r="B3161" s="7" t="str">
        <x:v>AG-03155</x:v>
      </x:c>
      <x:c r="C3161" s="7" t="str">
        <x:v>PEA-B-X3</x:v>
      </x:c>
      <x:c r="D3161" s="7" t="str">
        <x:v>material coupon</x:v>
      </x:c>
      <x:c r="E3161" s="7" t="str">
        <x:v>CPN-PEA-B-X3-SE-3</x:v>
      </x:c>
      <x:c r="F3161" s="7" t="str">
        <x:f>'Material Coupons'!K337</x:f>
        <x:v>OPEN</x:v>
      </x:c>
    </x:row>
    <x:row r="3162">
      <x:c r="B3162" s="7" t="str">
        <x:v>AG-03156</x:v>
      </x:c>
      <x:c r="C3162" s="7" t="str">
        <x:v>PEA-B-X3</x:v>
      </x:c>
      <x:c r="D3162" s="7" t="str">
        <x:v>material coupon</x:v>
      </x:c>
      <x:c r="E3162" s="7" t="str">
        <x:v>CPN-PEA-B-X3-SE-4</x:v>
      </x:c>
      <x:c r="F3162" s="7" t="str">
        <x:f>'Material Coupons'!K338</x:f>
        <x:v>OPEN</x:v>
      </x:c>
    </x:row>
    <x:row r="3163">
      <x:c r="B3163" s="7" t="str">
        <x:v>AG-03157</x:v>
      </x:c>
      <x:c r="C3163" s="7" t="str">
        <x:v>PEA-B-X3</x:v>
      </x:c>
      <x:c r="D3163" s="7" t="str">
        <x:v>material coupon</x:v>
      </x:c>
      <x:c r="E3163" s="7" t="str">
        <x:v>CPN-PEA-B-X3-SE-5</x:v>
      </x:c>
      <x:c r="F3163" s="7" t="str">
        <x:f>'Material Coupons'!K339</x:f>
        <x:v>OPEN</x:v>
      </x:c>
    </x:row>
    <x:row r="3164">
      <x:c r="B3164" s="7" t="str">
        <x:v>AG-03158</x:v>
      </x:c>
      <x:c r="C3164" s="7" t="str">
        <x:v>PEA-B-X3</x:v>
      </x:c>
      <x:c r="D3164" s="7" t="str">
        <x:v>material coupon</x:v>
      </x:c>
      <x:c r="E3164" s="7" t="str">
        <x:v>CPN-PEA-B-X3-SE-6</x:v>
      </x:c>
      <x:c r="F3164" s="7" t="str">
        <x:f>'Material Coupons'!K340</x:f>
        <x:v>OPEN</x:v>
      </x:c>
    </x:row>
    <x:row r="3165">
      <x:c r="B3165" s="7" t="str">
        <x:v>AG-03159</x:v>
      </x:c>
      <x:c r="C3165" s="7" t="str">
        <x:v>PEA-B-X3</x:v>
      </x:c>
      <x:c r="D3165" s="7" t="str">
        <x:v>material coupon</x:v>
      </x:c>
      <x:c r="E3165" s="7" t="str">
        <x:v>CPN-PEA-B-X3-SE-7</x:v>
      </x:c>
      <x:c r="F3165" s="7" t="str">
        <x:f>'Material Coupons'!K341</x:f>
        <x:v>OPEN</x:v>
      </x:c>
    </x:row>
    <x:row r="3166">
      <x:c r="B3166" s="7" t="str">
        <x:v>AG-03160</x:v>
      </x:c>
      <x:c r="C3166" s="7" t="str">
        <x:v>PEA-B-X3</x:v>
      </x:c>
      <x:c r="D3166" s="7" t="str">
        <x:v>material coupon</x:v>
      </x:c>
      <x:c r="E3166" s="7" t="str">
        <x:v>CPN-PEA-B-X3-SE-8</x:v>
      </x:c>
      <x:c r="F3166" s="7" t="str">
        <x:f>'Material Coupons'!K342</x:f>
        <x:v>OPEN</x:v>
      </x:c>
    </x:row>
    <x:row r="3167">
      <x:c r="B3167" s="7" t="str">
        <x:v>AG-03161</x:v>
      </x:c>
      <x:c r="C3167" s="7" t="str">
        <x:v>PEA-B-X3</x:v>
      </x:c>
      <x:c r="D3167" s="7" t="str">
        <x:v>material coupon</x:v>
      </x:c>
      <x:c r="E3167" s="7" t="str">
        <x:v>CPN-PEA-B-X3-SF-1</x:v>
      </x:c>
      <x:c r="F3167" s="7" t="str">
        <x:f>'Material Coupons'!K343</x:f>
        <x:v>OPEN</x:v>
      </x:c>
    </x:row>
    <x:row r="3168">
      <x:c r="B3168" s="7" t="str">
        <x:v>AG-03162</x:v>
      </x:c>
      <x:c r="C3168" s="7" t="str">
        <x:v>PEA-B-X3</x:v>
      </x:c>
      <x:c r="D3168" s="7" t="str">
        <x:v>material coupon</x:v>
      </x:c>
      <x:c r="E3168" s="7" t="str">
        <x:v>CPN-PEA-B-X3-SF-2</x:v>
      </x:c>
      <x:c r="F3168" s="7" t="str">
        <x:f>'Material Coupons'!K344</x:f>
        <x:v>OPEN</x:v>
      </x:c>
    </x:row>
    <x:row r="3169">
      <x:c r="B3169" s="7" t="str">
        <x:v>AG-03163</x:v>
      </x:c>
      <x:c r="C3169" s="7" t="str">
        <x:v>PEA-B-X3</x:v>
      </x:c>
      <x:c r="D3169" s="7" t="str">
        <x:v>material coupon</x:v>
      </x:c>
      <x:c r="E3169" s="7" t="str">
        <x:v>CPN-PEA-B-X3-SF-3</x:v>
      </x:c>
      <x:c r="F3169" s="7" t="str">
        <x:f>'Material Coupons'!K345</x:f>
        <x:v>OPEN</x:v>
      </x:c>
    </x:row>
    <x:row r="3170">
      <x:c r="B3170" s="7" t="str">
        <x:v>AG-03164</x:v>
      </x:c>
      <x:c r="C3170" s="7" t="str">
        <x:v>PEA-B-X3</x:v>
      </x:c>
      <x:c r="D3170" s="7" t="str">
        <x:v>material coupon</x:v>
      </x:c>
      <x:c r="E3170" s="7" t="str">
        <x:v>CPN-PEA-B-X3-SF-4</x:v>
      </x:c>
      <x:c r="F3170" s="7" t="str">
        <x:f>'Material Coupons'!K346</x:f>
        <x:v>OPEN</x:v>
      </x:c>
    </x:row>
    <x:row r="3171">
      <x:c r="B3171" s="7" t="str">
        <x:v>AG-03165</x:v>
      </x:c>
      <x:c r="C3171" s="7" t="str">
        <x:v>PEA-B-X3</x:v>
      </x:c>
      <x:c r="D3171" s="7" t="str">
        <x:v>material coupon</x:v>
      </x:c>
      <x:c r="E3171" s="7" t="str">
        <x:v>CPN-PEA-B-X3-SF-5</x:v>
      </x:c>
      <x:c r="F3171" s="7" t="str">
        <x:f>'Material Coupons'!K347</x:f>
        <x:v>OPEN</x:v>
      </x:c>
    </x:row>
    <x:row r="3172">
      <x:c r="B3172" s="7" t="str">
        <x:v>AG-03166</x:v>
      </x:c>
      <x:c r="C3172" s="7" t="str">
        <x:v>PEA-B-X3</x:v>
      </x:c>
      <x:c r="D3172" s="7" t="str">
        <x:v>material coupon</x:v>
      </x:c>
      <x:c r="E3172" s="7" t="str">
        <x:v>CPN-PEA-B-X3-SF-6</x:v>
      </x:c>
      <x:c r="F3172" s="7" t="str">
        <x:f>'Material Coupons'!K348</x:f>
        <x:v>OPEN</x:v>
      </x:c>
    </x:row>
    <x:row r="3173">
      <x:c r="B3173" s="7" t="str">
        <x:v>AG-03167</x:v>
      </x:c>
      <x:c r="C3173" s="7" t="str">
        <x:v>PEA-B-X3</x:v>
      </x:c>
      <x:c r="D3173" s="7" t="str">
        <x:v>material coupon</x:v>
      </x:c>
      <x:c r="E3173" s="7" t="str">
        <x:v>CPN-PEA-B-X3-SF-7</x:v>
      </x:c>
      <x:c r="F3173" s="7" t="str">
        <x:f>'Material Coupons'!K349</x:f>
        <x:v>OPEN</x:v>
      </x:c>
    </x:row>
    <x:row r="3174">
      <x:c r="B3174" s="7" t="str">
        <x:v>AG-03168</x:v>
      </x:c>
      <x:c r="C3174" s="7" t="str">
        <x:v>PEA-B-X3</x:v>
      </x:c>
      <x:c r="D3174" s="7" t="str">
        <x:v>material coupon</x:v>
      </x:c>
      <x:c r="E3174" s="7" t="str">
        <x:v>CPN-PEA-B-X3-SF-8</x:v>
      </x:c>
      <x:c r="F3174" s="7" t="str">
        <x:f>'Material Coupons'!K350</x:f>
        <x:v>OPEN</x:v>
      </x:c>
    </x:row>
    <x:row r="3175">
      <x:c r="B3175" s="7" t="str">
        <x:v>AG-03169</x:v>
      </x:c>
      <x:c r="C3175" s="7" t="str">
        <x:v>PEA-B-X3</x:v>
      </x:c>
      <x:c r="D3175" s="7" t="str">
        <x:v>material coupon</x:v>
      </x:c>
      <x:c r="E3175" s="7" t="str">
        <x:v>CPN-PEA-B-X3-CP-1</x:v>
      </x:c>
      <x:c r="F3175" s="7" t="str">
        <x:f>'Material Coupons'!K351</x:f>
        <x:v>OPEN</x:v>
      </x:c>
    </x:row>
    <x:row r="3176">
      <x:c r="B3176" s="7" t="str">
        <x:v>AG-03170</x:v>
      </x:c>
      <x:c r="C3176" s="7" t="str">
        <x:v>PEA-B-X3</x:v>
      </x:c>
      <x:c r="D3176" s="7" t="str">
        <x:v>material coupon</x:v>
      </x:c>
      <x:c r="E3176" s="7" t="str">
        <x:v>CPN-PEA-B-X3-CP-2</x:v>
      </x:c>
      <x:c r="F3176" s="7" t="str">
        <x:f>'Material Coupons'!K352</x:f>
        <x:v>OPEN</x:v>
      </x:c>
    </x:row>
    <x:row r="3177">
      <x:c r="B3177" s="7" t="str">
        <x:v>AG-03171</x:v>
      </x:c>
      <x:c r="C3177" s="7" t="str">
        <x:v>PEA-B-X3</x:v>
      </x:c>
      <x:c r="D3177" s="7" t="str">
        <x:v>material coupon</x:v>
      </x:c>
      <x:c r="E3177" s="7" t="str">
        <x:v>CPN-PEA-B-X3-CP-3</x:v>
      </x:c>
      <x:c r="F3177" s="7" t="str">
        <x:f>'Material Coupons'!K353</x:f>
        <x:v>OPEN</x:v>
      </x:c>
    </x:row>
    <x:row r="3178">
      <x:c r="B3178" s="7" t="str">
        <x:v>AG-03172</x:v>
      </x:c>
      <x:c r="C3178" s="7" t="str">
        <x:v>PEA-B-X3</x:v>
      </x:c>
      <x:c r="D3178" s="7" t="str">
        <x:v>material coupon</x:v>
      </x:c>
      <x:c r="E3178" s="7" t="str">
        <x:v>CPN-PEA-B-X3-CP-4</x:v>
      </x:c>
      <x:c r="F3178" s="7" t="str">
        <x:f>'Material Coupons'!K354</x:f>
        <x:v>OPEN</x:v>
      </x:c>
    </x:row>
    <x:row r="3179">
      <x:c r="B3179" s="7" t="str">
        <x:v>AG-03173</x:v>
      </x:c>
      <x:c r="C3179" s="7" t="str">
        <x:v>PEA-B-X3</x:v>
      </x:c>
      <x:c r="D3179" s="7" t="str">
        <x:v>material coupon</x:v>
      </x:c>
      <x:c r="E3179" s="7" t="str">
        <x:v>CPN-PEA-B-X3-CP-5</x:v>
      </x:c>
      <x:c r="F3179" s="7" t="str">
        <x:f>'Material Coupons'!K355</x:f>
        <x:v>OPEN</x:v>
      </x:c>
    </x:row>
    <x:row r="3180">
      <x:c r="B3180" s="7" t="str">
        <x:v>AG-03174</x:v>
      </x:c>
      <x:c r="C3180" s="7" t="str">
        <x:v>PEA-B-X3</x:v>
      </x:c>
      <x:c r="D3180" s="7" t="str">
        <x:v>material coupon</x:v>
      </x:c>
      <x:c r="E3180" s="7" t="str">
        <x:v>CPN-PEA-B-X3-CP-6</x:v>
      </x:c>
      <x:c r="F3180" s="7" t="str">
        <x:f>'Material Coupons'!K356</x:f>
        <x:v>OPEN</x:v>
      </x:c>
    </x:row>
    <x:row r="3181">
      <x:c r="B3181" s="7" t="str">
        <x:v>AG-03175</x:v>
      </x:c>
      <x:c r="C3181" s="7" t="str">
        <x:v>PEA-B-X3</x:v>
      </x:c>
      <x:c r="D3181" s="7" t="str">
        <x:v>material coupon</x:v>
      </x:c>
      <x:c r="E3181" s="7" t="str">
        <x:v>CPN-PEA-B-X3-CP-7</x:v>
      </x:c>
      <x:c r="F3181" s="7" t="str">
        <x:f>'Material Coupons'!K357</x:f>
        <x:v>OPEN</x:v>
      </x:c>
    </x:row>
    <x:row r="3182">
      <x:c r="B3182" s="7" t="str">
        <x:v>AG-03176</x:v>
      </x:c>
      <x:c r="C3182" s="7" t="str">
        <x:v>PEA-B-X3</x:v>
      </x:c>
      <x:c r="D3182" s="7" t="str">
        <x:v>material coupon</x:v>
      </x:c>
      <x:c r="E3182" s="7" t="str">
        <x:v>CPN-PEA-B-X3-CP-8</x:v>
      </x:c>
      <x:c r="F3182" s="7" t="str">
        <x:f>'Material Coupons'!K358</x:f>
        <x:v>OPEN</x:v>
      </x:c>
    </x:row>
    <x:row r="3183">
      <x:c r="B3183" s="7" t="str">
        <x:v>AG-03177</x:v>
      </x:c>
      <x:c r="C3183" s="7" t="str">
        <x:v>PEA-B-X3</x:v>
      </x:c>
      <x:c r="D3183" s="7" t="str">
        <x:v>material coupon</x:v>
      </x:c>
      <x:c r="E3183" s="7" t="str">
        <x:v>CPN-PEA-B-X3-SM-1</x:v>
      </x:c>
      <x:c r="F3183" s="7" t="str">
        <x:f>'Material Coupons'!K359</x:f>
        <x:v>OPEN</x:v>
      </x:c>
    </x:row>
    <x:row r="3184">
      <x:c r="B3184" s="7" t="str">
        <x:v>AG-03178</x:v>
      </x:c>
      <x:c r="C3184" s="7" t="str">
        <x:v>PEA-B-X3</x:v>
      </x:c>
      <x:c r="D3184" s="7" t="str">
        <x:v>material coupon</x:v>
      </x:c>
      <x:c r="E3184" s="7" t="str">
        <x:v>CPN-PEA-B-X3-SM-2</x:v>
      </x:c>
      <x:c r="F3184" s="7" t="str">
        <x:f>'Material Coupons'!K360</x:f>
        <x:v>OPEN</x:v>
      </x:c>
    </x:row>
    <x:row r="3185">
      <x:c r="B3185" s="7" t="str">
        <x:v>AG-03179</x:v>
      </x:c>
      <x:c r="C3185" s="7" t="str">
        <x:v>PEA-B-X3</x:v>
      </x:c>
      <x:c r="D3185" s="7" t="str">
        <x:v>material coupon</x:v>
      </x:c>
      <x:c r="E3185" s="7" t="str">
        <x:v>CPN-PEA-B-X3-SM-3</x:v>
      </x:c>
      <x:c r="F3185" s="7" t="str">
        <x:f>'Material Coupons'!K361</x:f>
        <x:v>OPEN</x:v>
      </x:c>
    </x:row>
    <x:row r="3186">
      <x:c r="B3186" s="7" t="str">
        <x:v>AG-03180</x:v>
      </x:c>
      <x:c r="C3186" s="7" t="str">
        <x:v>PEA-B-X3</x:v>
      </x:c>
      <x:c r="D3186" s="7" t="str">
        <x:v>material coupon</x:v>
      </x:c>
      <x:c r="E3186" s="7" t="str">
        <x:v>CPN-PEA-B-X3-SM-4</x:v>
      </x:c>
      <x:c r="F3186" s="7" t="str">
        <x:f>'Material Coupons'!K362</x:f>
        <x:v>OPEN</x:v>
      </x:c>
    </x:row>
    <x:row r="3187">
      <x:c r="B3187" s="7" t="str">
        <x:v>AG-03181</x:v>
      </x:c>
      <x:c r="C3187" s="7" t="str">
        <x:v>PEA-B-X3</x:v>
      </x:c>
      <x:c r="D3187" s="7" t="str">
        <x:v>material coupon</x:v>
      </x:c>
      <x:c r="E3187" s="7" t="str">
        <x:v>CPN-PEA-B-X3-SM-5</x:v>
      </x:c>
      <x:c r="F3187" s="7" t="str">
        <x:f>'Material Coupons'!K363</x:f>
        <x:v>OPEN</x:v>
      </x:c>
    </x:row>
    <x:row r="3188">
      <x:c r="B3188" s="7" t="str">
        <x:v>AG-03182</x:v>
      </x:c>
      <x:c r="C3188" s="7" t="str">
        <x:v>PEA-B-X3</x:v>
      </x:c>
      <x:c r="D3188" s="7" t="str">
        <x:v>material coupon</x:v>
      </x:c>
      <x:c r="E3188" s="7" t="str">
        <x:v>CPN-PEA-B-X3-SM-6</x:v>
      </x:c>
      <x:c r="F3188" s="7" t="str">
        <x:f>'Material Coupons'!K364</x:f>
        <x:v>OPEN</x:v>
      </x:c>
    </x:row>
    <x:row r="3189">
      <x:c r="B3189" s="7" t="str">
        <x:v>AG-03183</x:v>
      </x:c>
      <x:c r="C3189" s="7" t="str">
        <x:v>PEA-B-X3</x:v>
      </x:c>
      <x:c r="D3189" s="7" t="str">
        <x:v>material coupon</x:v>
      </x:c>
      <x:c r="E3189" s="7" t="str">
        <x:v>CPN-PEA-B-X3-SM-7</x:v>
      </x:c>
      <x:c r="F3189" s="7" t="str">
        <x:f>'Material Coupons'!K365</x:f>
        <x:v>OPEN</x:v>
      </x:c>
    </x:row>
    <x:row r="3190">
      <x:c r="B3190" s="7" t="str">
        <x:v>AG-03184</x:v>
      </x:c>
      <x:c r="C3190" s="7" t="str">
        <x:v>PEA-B-X3</x:v>
      </x:c>
      <x:c r="D3190" s="7" t="str">
        <x:v>material coupon</x:v>
      </x:c>
      <x:c r="E3190" s="7" t="str">
        <x:v>CPN-PEA-B-X3-SM-8</x:v>
      </x:c>
      <x:c r="F3190" s="7" t="str">
        <x:f>'Material Coupons'!K366</x:f>
        <x:v>OPEN</x:v>
      </x:c>
    </x:row>
    <x:row r="3191">
      <x:c r="B3191" s="7" t="str">
        <x:v>AG-03185</x:v>
      </x:c>
      <x:c r="C3191" s="7" t="str">
        <x:v>PEA-B-X3</x:v>
      </x:c>
      <x:c r="D3191" s="7" t="str">
        <x:v>NDE record</x:v>
      </x:c>
      <x:c r="E3191" s="7" t="str">
        <x:v>NDE-TRV-PEA-B-X3-01</x:v>
      </x:c>
      <x:c r="F3191" s="7" t="str">
        <x:f>'NDE Records'!L167</x:f>
        <x:v>OPEN</x:v>
      </x:c>
    </x:row>
    <x:row r="3192">
      <x:c r="B3192" s="7" t="str">
        <x:v>AG-03186</x:v>
      </x:c>
      <x:c r="C3192" s="7" t="str">
        <x:v>PEA-B-X3</x:v>
      </x:c>
      <x:c r="D3192" s="7" t="str">
        <x:v>NDE record</x:v>
      </x:c>
      <x:c r="E3192" s="7" t="str">
        <x:v>NDE-TRV-PEA-B-X3-02</x:v>
      </x:c>
      <x:c r="F3192" s="7" t="str">
        <x:f>'NDE Records'!L168</x:f>
        <x:v>OPEN</x:v>
      </x:c>
    </x:row>
    <x:row r="3193">
      <x:c r="B3193" s="7" t="str">
        <x:v>AG-03187</x:v>
      </x:c>
      <x:c r="C3193" s="7" t="str">
        <x:v>PEA-B-X3</x:v>
      </x:c>
      <x:c r="D3193" s="7" t="str">
        <x:v>NDE record</x:v>
      </x:c>
      <x:c r="E3193" s="7" t="str">
        <x:v>NDE-TRV-PEA-B-X3-03</x:v>
      </x:c>
      <x:c r="F3193" s="7" t="str">
        <x:f>'NDE Records'!L169</x:f>
        <x:v>OPEN</x:v>
      </x:c>
    </x:row>
    <x:row r="3194">
      <x:c r="B3194" s="7" t="str">
        <x:v>AG-03188</x:v>
      </x:c>
      <x:c r="C3194" s="7" t="str">
        <x:v>PEA-B-X3</x:v>
      </x:c>
      <x:c r="D3194" s="7" t="str">
        <x:v>NDE record</x:v>
      </x:c>
      <x:c r="E3194" s="7" t="str">
        <x:v>NDE-TRV-PEA-B-X3-04</x:v>
      </x:c>
      <x:c r="F3194" s="7" t="str">
        <x:f>'NDE Records'!L170</x:f>
        <x:v>OPEN</x:v>
      </x:c>
    </x:row>
    <x:row r="3195">
      <x:c r="B3195" s="7" t="str">
        <x:v>AG-03189</x:v>
      </x:c>
      <x:c r="C3195" s="7" t="str">
        <x:v>PEA-B-X3</x:v>
      </x:c>
      <x:c r="D3195" s="7" t="str">
        <x:v>NDE record</x:v>
      </x:c>
      <x:c r="E3195" s="7" t="str">
        <x:v>NDE-TRV-PEA-B-X3-05</x:v>
      </x:c>
      <x:c r="F3195" s="7" t="str">
        <x:f>'NDE Records'!L171</x:f>
        <x:v>OPEN</x:v>
      </x:c>
    </x:row>
    <x:row r="3196">
      <x:c r="B3196" s="7" t="str">
        <x:v>AG-03190</x:v>
      </x:c>
      <x:c r="C3196" s="7" t="str">
        <x:v>PEA-B-X3</x:v>
      </x:c>
      <x:c r="D3196" s="7" t="str">
        <x:v>NDE record</x:v>
      </x:c>
      <x:c r="E3196" s="7" t="str">
        <x:v>NDE-TRV-PEA-B-X3-06</x:v>
      </x:c>
      <x:c r="F3196" s="7" t="str">
        <x:f>'NDE Records'!L172</x:f>
        <x:v>OPEN</x:v>
      </x:c>
    </x:row>
    <x:row r="3197">
      <x:c r="B3197" s="7" t="str">
        <x:v>AG-03191</x:v>
      </x:c>
      <x:c r="C3197" s="7" t="str">
        <x:v>PEA-B-X3</x:v>
      </x:c>
      <x:c r="D3197" s="7" t="str">
        <x:v>NDE record</x:v>
      </x:c>
      <x:c r="E3197" s="7" t="str">
        <x:v>NDE-TRV-PEA-B-X3-07</x:v>
      </x:c>
      <x:c r="F3197" s="7" t="str">
        <x:f>'NDE Records'!L173</x:f>
        <x:v>OPEN</x:v>
      </x:c>
    </x:row>
    <x:row r="3198">
      <x:c r="B3198" s="7" t="str">
        <x:v>AG-03192</x:v>
      </x:c>
      <x:c r="C3198" s="7" t="str">
        <x:v>PEA-B-X3</x:v>
      </x:c>
      <x:c r="D3198" s="7" t="str">
        <x:v>NDE record</x:v>
      </x:c>
      <x:c r="E3198" s="7" t="str">
        <x:v>NDE-TRV-PEA-B-X3-08</x:v>
      </x:c>
      <x:c r="F3198" s="7" t="str">
        <x:f>'NDE Records'!L174</x:f>
        <x:v>OPEN</x:v>
      </x:c>
    </x:row>
    <x:row r="3199">
      <x:c r="B3199" s="7" t="str">
        <x:v>AG-03193</x:v>
      </x:c>
      <x:c r="C3199" s="7" t="str">
        <x:v>PEA-B-X3</x:v>
      </x:c>
      <x:c r="D3199" s="7" t="str">
        <x:v>NDE record</x:v>
      </x:c>
      <x:c r="E3199" s="7" t="str">
        <x:v>NDE-TRV-PEA-B-X3-09</x:v>
      </x:c>
      <x:c r="F3199" s="7" t="str">
        <x:f>'NDE Records'!L175</x:f>
        <x:v>OPEN</x:v>
      </x:c>
    </x:row>
    <x:row r="3200">
      <x:c r="B3200" s="7" t="str">
        <x:v>AG-03194</x:v>
      </x:c>
      <x:c r="C3200" s="7" t="str">
        <x:v>PEA-B-X3</x:v>
      </x:c>
      <x:c r="D3200" s="7" t="str">
        <x:v>NDE record</x:v>
      </x:c>
      <x:c r="E3200" s="7" t="str">
        <x:v>NDE-TRV-PEA-B-X3-10</x:v>
      </x:c>
      <x:c r="F3200" s="7" t="str">
        <x:f>'NDE Records'!L176</x:f>
        <x:v>OPEN</x:v>
      </x:c>
    </x:row>
    <x:row r="3201">
      <x:c r="B3201" s="7" t="str">
        <x:v>AG-03195</x:v>
      </x:c>
      <x:c r="C3201" s="7" t="str">
        <x:v>PEA-B-X3</x:v>
      </x:c>
      <x:c r="D3201" s="7" t="str">
        <x:v>NDE record</x:v>
      </x:c>
      <x:c r="E3201" s="7" t="str">
        <x:v>NDE-TRV-PEA-B-X3-11</x:v>
      </x:c>
      <x:c r="F3201" s="7" t="str">
        <x:f>'NDE Records'!L177</x:f>
        <x:v>OPEN</x:v>
      </x:c>
    </x:row>
    <x:row r="3202">
      <x:c r="B3202" s="7" t="str">
        <x:v>AG-03196</x:v>
      </x:c>
      <x:c r="C3202" s="7" t="str">
        <x:v>PEA-B-X3</x:v>
      </x:c>
      <x:c r="D3202" s="7" t="str">
        <x:v>NDE record</x:v>
      </x:c>
      <x:c r="E3202" s="7" t="str">
        <x:v>NDE-TRV-PEA-B-X3-12</x:v>
      </x:c>
      <x:c r="F3202" s="7" t="str">
        <x:f>'NDE Records'!L178</x:f>
        <x:v>OPEN</x:v>
      </x:c>
    </x:row>
    <x:row r="3203">
      <x:c r="B3203" s="7" t="str">
        <x:v>AG-03197</x:v>
      </x:c>
      <x:c r="C3203" s="7" t="str">
        <x:v>PEA-B-X3</x:v>
      </x:c>
      <x:c r="D3203" s="7" t="str">
        <x:v>NDE record</x:v>
      </x:c>
      <x:c r="E3203" s="7" t="str">
        <x:v>NDE-TRV-PEA-B-X3-13</x:v>
      </x:c>
      <x:c r="F3203" s="7" t="str">
        <x:f>'NDE Records'!L179</x:f>
        <x:v>OPEN</x:v>
      </x:c>
    </x:row>
    <x:row r="3204">
      <x:c r="B3204" s="7" t="str">
        <x:v>AG-03198</x:v>
      </x:c>
      <x:c r="C3204" s="7" t="str">
        <x:v>PEA-B-X3</x:v>
      </x:c>
      <x:c r="D3204" s="7" t="str">
        <x:v>NDE record</x:v>
      </x:c>
      <x:c r="E3204" s="7" t="str">
        <x:v>NDE-TRV-PEA-B-X3-14</x:v>
      </x:c>
      <x:c r="F3204" s="7" t="str">
        <x:f>'NDE Records'!L180</x:f>
        <x:v>OPEN</x:v>
      </x:c>
    </x:row>
    <x:row r="3205">
      <x:c r="B3205" s="7" t="str">
        <x:v>AG-03199</x:v>
      </x:c>
      <x:c r="C3205" s="7" t="str">
        <x:v>PEA-B-X3</x:v>
      </x:c>
      <x:c r="D3205" s="7" t="str">
        <x:v>NDE record</x:v>
      </x:c>
      <x:c r="E3205" s="7" t="str">
        <x:v>NDE-TRV-PEA-B-X3-15</x:v>
      </x:c>
      <x:c r="F3205" s="7" t="str">
        <x:f>'NDE Records'!L181</x:f>
        <x:v>OPEN</x:v>
      </x:c>
    </x:row>
    <x:row r="3206">
      <x:c r="B3206" s="7" t="str">
        <x:v>AG-03200</x:v>
      </x:c>
      <x:c r="C3206" s="7" t="str">
        <x:v>PEA-B-X3</x:v>
      </x:c>
      <x:c r="D3206" s="7" t="str">
        <x:v>NDE record</x:v>
      </x:c>
      <x:c r="E3206" s="7" t="str">
        <x:v>NDE-TRV-PEA-B-X3-16</x:v>
      </x:c>
      <x:c r="F3206" s="7" t="str">
        <x:f>'NDE Records'!L182</x:f>
        <x:v>OPEN</x:v>
      </x:c>
    </x:row>
    <x:row r="3207">
      <x:c r="B3207" s="7" t="str">
        <x:v>AG-03201</x:v>
      </x:c>
      <x:c r="C3207" s="7" t="str">
        <x:v>PEA-B-X3</x:v>
      </x:c>
      <x:c r="D3207" s="7" t="str">
        <x:v>NDE record</x:v>
      </x:c>
      <x:c r="E3207" s="7" t="str">
        <x:v>NDE-TRV-PEA-B-X3-17</x:v>
      </x:c>
      <x:c r="F3207" s="7" t="str">
        <x:f>'NDE Records'!L183</x:f>
        <x:v>OPEN</x:v>
      </x:c>
    </x:row>
    <x:row r="3208">
      <x:c r="B3208" s="7" t="str">
        <x:v>AG-03202</x:v>
      </x:c>
      <x:c r="C3208" s="7" t="str">
        <x:v>PEA-B-X3</x:v>
      </x:c>
      <x:c r="D3208" s="7" t="str">
        <x:v>NDE record</x:v>
      </x:c>
      <x:c r="E3208" s="7" t="str">
        <x:v>NDE-TRV-PEA-B-X3-18</x:v>
      </x:c>
      <x:c r="F3208" s="7" t="str">
        <x:f>'NDE Records'!L184</x:f>
        <x:v>OPEN</x:v>
      </x:c>
    </x:row>
    <x:row r="3209">
      <x:c r="B3209" s="7" t="str">
        <x:v>AG-03203</x:v>
      </x:c>
      <x:c r="C3209" s="7" t="str">
        <x:v>PEA-B-X3</x:v>
      </x:c>
      <x:c r="D3209" s="7" t="str">
        <x:v>NDE record</x:v>
      </x:c>
      <x:c r="E3209" s="7" t="str">
        <x:v>NDE-TRV-PEA-B-X3-19</x:v>
      </x:c>
      <x:c r="F3209" s="7" t="str">
        <x:f>'NDE Records'!L185</x:f>
        <x:v>OPEN</x:v>
      </x:c>
    </x:row>
    <x:row r="3210">
      <x:c r="B3210" s="7" t="str">
        <x:v>AG-03204</x:v>
      </x:c>
      <x:c r="C3210" s="7" t="str">
        <x:v>PEA-B-X3</x:v>
      </x:c>
      <x:c r="D3210" s="7" t="str">
        <x:v>NDE record</x:v>
      </x:c>
      <x:c r="E3210" s="7" t="str">
        <x:v>NDE-TRV-PEA-B-X3-20</x:v>
      </x:c>
      <x:c r="F3210" s="7" t="str">
        <x:f>'NDE Records'!L186</x:f>
        <x:v>OPEN</x:v>
      </x:c>
    </x:row>
    <x:row r="3211">
      <x:c r="B3211" s="7" t="str">
        <x:v>AG-03205</x:v>
      </x:c>
      <x:c r="C3211" s="7" t="str">
        <x:v>PEA-B-X3</x:v>
      </x:c>
      <x:c r="D3211" s="7" t="str">
        <x:v>joint record</x:v>
      </x:c>
      <x:c r="E3211" s="7" t="str">
        <x:v>JNT-PEA-B-X3-1</x:v>
      </x:c>
      <x:c r="F3211" s="7" t="str">
        <x:f>'Joint Records'!M47</x:f>
        <x:v>OPEN</x:v>
      </x:c>
    </x:row>
    <x:row r="3212">
      <x:c r="B3212" s="7" t="str">
        <x:v>AG-03206</x:v>
      </x:c>
      <x:c r="C3212" s="7" t="str">
        <x:v>PEA-B-X3</x:v>
      </x:c>
      <x:c r="D3212" s="7" t="str">
        <x:v>joint record</x:v>
      </x:c>
      <x:c r="E3212" s="7" t="str">
        <x:v>JNT-PEA-B-X3-2</x:v>
      </x:c>
      <x:c r="F3212" s="7" t="str">
        <x:f>'Joint Records'!M48</x:f>
        <x:v>OPEN</x:v>
      </x:c>
    </x:row>
    <x:row r="3213">
      <x:c r="B3213" s="7" t="str">
        <x:v>AG-03207</x:v>
      </x:c>
      <x:c r="C3213" s="7" t="str">
        <x:v>PEA-B-X3</x:v>
      </x:c>
      <x:c r="D3213" s="7" t="str">
        <x:v>joint record</x:v>
      </x:c>
      <x:c r="E3213" s="7" t="str">
        <x:v>JNT-PEA-B-X3-3</x:v>
      </x:c>
      <x:c r="F3213" s="7" t="str">
        <x:f>'Joint Records'!M49</x:f>
        <x:v>OPEN</x:v>
      </x:c>
    </x:row>
    <x:row r="3214">
      <x:c r="B3214" s="7" t="str">
        <x:v>AG-03208</x:v>
      </x:c>
      <x:c r="C3214" s="7" t="str">
        <x:v>PEA-B-X3</x:v>
      </x:c>
      <x:c r="D3214" s="7" t="str">
        <x:v>joint record</x:v>
      </x:c>
      <x:c r="E3214" s="7" t="str">
        <x:v>JNT-PEA-B-X3-4</x:v>
      </x:c>
      <x:c r="F3214" s="7" t="str">
        <x:f>'Joint Records'!M50</x:f>
        <x:v>OPEN</x:v>
      </x:c>
    </x:row>
    <x:row r="3215">
      <x:c r="B3215" s="7" t="str">
        <x:v>AG-03209</x:v>
      </x:c>
      <x:c r="C3215" s="7" t="str">
        <x:v>PEA-B-X3</x:v>
      </x:c>
      <x:c r="D3215" s="7" t="str">
        <x:v>joint record</x:v>
      </x:c>
      <x:c r="E3215" s="7" t="str">
        <x:v>JNT-PEA-B-X3-5</x:v>
      </x:c>
      <x:c r="F3215" s="7" t="str">
        <x:f>'Joint Records'!M51</x:f>
        <x:v>OPEN</x:v>
      </x:c>
    </x:row>
    <x:row r="3216">
      <x:c r="B3216" s="7" t="str">
        <x:v>AG-03210</x:v>
      </x:c>
      <x:c r="C3216" s="7" t="str">
        <x:v>PEA-B-X3</x:v>
      </x:c>
      <x:c r="D3216" s="7" t="str">
        <x:v>control element</x:v>
      </x:c>
      <x:c r="E3216" s="7" t="str">
        <x:v>ELM-PEA-B-X3-01</x:v>
      </x:c>
      <x:c r="F3216" s="7" t="str">
        <x:f>'Control Elements'!L103</x:f>
        <x:v>OPEN</x:v>
      </x:c>
    </x:row>
    <x:row r="3217">
      <x:c r="B3217" s="7" t="str">
        <x:v>AG-03211</x:v>
      </x:c>
      <x:c r="C3217" s="7" t="str">
        <x:v>PEA-B-X3</x:v>
      </x:c>
      <x:c r="D3217" s="7" t="str">
        <x:v>control element</x:v>
      </x:c>
      <x:c r="E3217" s="7" t="str">
        <x:v>ELM-PEA-B-X3-02</x:v>
      </x:c>
      <x:c r="F3217" s="7" t="str">
        <x:f>'Control Elements'!L104</x:f>
        <x:v>OPEN</x:v>
      </x:c>
    </x:row>
    <x:row r="3218">
      <x:c r="B3218" s="7" t="str">
        <x:v>AG-03212</x:v>
      </x:c>
      <x:c r="C3218" s="7" t="str">
        <x:v>PEA-B-X3</x:v>
      </x:c>
      <x:c r="D3218" s="7" t="str">
        <x:v>control element</x:v>
      </x:c>
      <x:c r="E3218" s="7" t="str">
        <x:v>ELM-PEA-B-X3-03</x:v>
      </x:c>
      <x:c r="F3218" s="7" t="str">
        <x:f>'Control Elements'!L105</x:f>
        <x:v>OPEN</x:v>
      </x:c>
    </x:row>
    <x:row r="3219">
      <x:c r="B3219" s="7" t="str">
        <x:v>AG-03213</x:v>
      </x:c>
      <x:c r="C3219" s="7" t="str">
        <x:v>PEA-B-X3</x:v>
      </x:c>
      <x:c r="D3219" s="7" t="str">
        <x:v>control element</x:v>
      </x:c>
      <x:c r="E3219" s="7" t="str">
        <x:v>ELM-PEA-B-X3-04</x:v>
      </x:c>
      <x:c r="F3219" s="7" t="str">
        <x:f>'Control Elements'!L106</x:f>
        <x:v>OPEN</x:v>
      </x:c>
    </x:row>
    <x:row r="3220">
      <x:c r="B3220" s="7" t="str">
        <x:v>AG-03214</x:v>
      </x:c>
      <x:c r="C3220" s="7" t="str">
        <x:v>PEA-B-X3</x:v>
      </x:c>
      <x:c r="D3220" s="7" t="str">
        <x:v>control element</x:v>
      </x:c>
      <x:c r="E3220" s="7" t="str">
        <x:v>ELM-PEA-B-X3-05</x:v>
      </x:c>
      <x:c r="F3220" s="7" t="str">
        <x:f>'Control Elements'!L107</x:f>
        <x:v>OPEN</x:v>
      </x:c>
    </x:row>
    <x:row r="3221">
      <x:c r="B3221" s="7" t="str">
        <x:v>AG-03215</x:v>
      </x:c>
      <x:c r="C3221" s="7" t="str">
        <x:v>PEA-B-X3</x:v>
      </x:c>
      <x:c r="D3221" s="7" t="str">
        <x:v>control element</x:v>
      </x:c>
      <x:c r="E3221" s="7" t="str">
        <x:v>ELM-PEA-B-X3-06</x:v>
      </x:c>
      <x:c r="F3221" s="7" t="str">
        <x:f>'Control Elements'!L108</x:f>
        <x:v>OPEN</x:v>
      </x:c>
    </x:row>
    <x:row r="3222">
      <x:c r="B3222" s="7" t="str">
        <x:v>AG-03216</x:v>
      </x:c>
      <x:c r="C3222" s="7" t="str">
        <x:v>PEA-B-X3</x:v>
      </x:c>
      <x:c r="D3222" s="7" t="str">
        <x:v>control element</x:v>
      </x:c>
      <x:c r="E3222" s="7" t="str">
        <x:v>ELM-PEA-B-X3-07</x:v>
      </x:c>
      <x:c r="F3222" s="7" t="str">
        <x:f>'Control Elements'!L109</x:f>
        <x:v>OPEN</x:v>
      </x:c>
    </x:row>
    <x:row r="3223">
      <x:c r="B3223" s="7" t="str">
        <x:v>AG-03217</x:v>
      </x:c>
      <x:c r="C3223" s="7" t="str">
        <x:v>PEA-B-X3</x:v>
      </x:c>
      <x:c r="D3223" s="7" t="str">
        <x:v>control element</x:v>
      </x:c>
      <x:c r="E3223" s="7" t="str">
        <x:v>ELM-PEA-B-X3-08</x:v>
      </x:c>
      <x:c r="F3223" s="7" t="str">
        <x:f>'Control Elements'!L110</x:f>
        <x:v>OPEN</x:v>
      </x:c>
    </x:row>
    <x:row r="3224">
      <x:c r="B3224" s="7" t="str">
        <x:v>AG-03218</x:v>
      </x:c>
      <x:c r="C3224" s="7" t="str">
        <x:v>PEA-B-X3</x:v>
      </x:c>
      <x:c r="D3224" s="7" t="str">
        <x:v>control element</x:v>
      </x:c>
      <x:c r="E3224" s="7" t="str">
        <x:v>ELM-PEA-B-X3-09</x:v>
      </x:c>
      <x:c r="F3224" s="7" t="str">
        <x:f>'Control Elements'!L111</x:f>
        <x:v>OPEN</x:v>
      </x:c>
    </x:row>
    <x:row r="3225">
      <x:c r="B3225" s="7" t="str">
        <x:v>AG-03219</x:v>
      </x:c>
      <x:c r="C3225" s="7" t="str">
        <x:v>PEA-B-X3</x:v>
      </x:c>
      <x:c r="D3225" s="7" t="str">
        <x:v>control element</x:v>
      </x:c>
      <x:c r="E3225" s="7" t="str">
        <x:v>ELM-PEA-B-X3-10</x:v>
      </x:c>
      <x:c r="F3225" s="7" t="str">
        <x:f>'Control Elements'!L112</x:f>
        <x:v>OPEN</x:v>
      </x:c>
    </x:row>
    <x:row r="3226">
      <x:c r="B3226" s="7" t="str">
        <x:v>AG-03220</x:v>
      </x:c>
      <x:c r="C3226" s="7" t="str">
        <x:v>PEA-B-X3</x:v>
      </x:c>
      <x:c r="D3226" s="7" t="str">
        <x:v>control element</x:v>
      </x:c>
      <x:c r="E3226" s="7" t="str">
        <x:v>ELM-PEA-B-X3-11</x:v>
      </x:c>
      <x:c r="F3226" s="7" t="str">
        <x:f>'Control Elements'!L113</x:f>
        <x:v>OPEN</x:v>
      </x:c>
    </x:row>
    <x:row r="3227">
      <x:c r="B3227" s="7" t="str">
        <x:v>AG-03221</x:v>
      </x:c>
      <x:c r="C3227" s="7" t="str">
        <x:v>PEA-B-X3</x:v>
      </x:c>
      <x:c r="D3227" s="7" t="str">
        <x:v>control element</x:v>
      </x:c>
      <x:c r="E3227" s="7" t="str">
        <x:v>ELM-PEA-B-X3-12</x:v>
      </x:c>
      <x:c r="F3227" s="7" t="str">
        <x:f>'Control Elements'!L114</x:f>
        <x:v>OPEN</x:v>
      </x:c>
    </x:row>
    <x:row r="3228">
      <x:c r="B3228" s="7" t="str">
        <x:v>AG-03222</x:v>
      </x:c>
      <x:c r="C3228" s="7" t="str">
        <x:v>PEA-B-X3</x:v>
      </x:c>
      <x:c r="D3228" s="7" t="str">
        <x:v>channel instance</x:v>
      </x:c>
      <x:c r="E3228" s="7" t="str">
        <x:v>CH-PEA-B-X3-01-1</x:v>
      </x:c>
      <x:c r="F3228" s="7" t="str">
        <x:f>'Channel Instances'!O1159</x:f>
        <x:v>OPEN</x:v>
      </x:c>
    </x:row>
    <x:row r="3229">
      <x:c r="B3229" s="7" t="str">
        <x:v>AG-03223</x:v>
      </x:c>
      <x:c r="C3229" s="7" t="str">
        <x:v>PEA-B-X3</x:v>
      </x:c>
      <x:c r="D3229" s="7" t="str">
        <x:v>channel instance</x:v>
      </x:c>
      <x:c r="E3229" s="7" t="str">
        <x:v>CH-PEA-B-X3-01-2</x:v>
      </x:c>
      <x:c r="F3229" s="7" t="str">
        <x:f>'Channel Instances'!O1160</x:f>
        <x:v>OPEN</x:v>
      </x:c>
    </x:row>
    <x:row r="3230">
      <x:c r="B3230" s="7" t="str">
        <x:v>AG-03224</x:v>
      </x:c>
      <x:c r="C3230" s="7" t="str">
        <x:v>PEA-B-X3</x:v>
      </x:c>
      <x:c r="D3230" s="7" t="str">
        <x:v>channel instance</x:v>
      </x:c>
      <x:c r="E3230" s="7" t="str">
        <x:v>CH-PEA-B-X3-01-3</x:v>
      </x:c>
      <x:c r="F3230" s="7" t="str">
        <x:f>'Channel Instances'!O1161</x:f>
        <x:v>OPEN</x:v>
      </x:c>
    </x:row>
    <x:row r="3231">
      <x:c r="B3231" s="7" t="str">
        <x:v>AG-03225</x:v>
      </x:c>
      <x:c r="C3231" s="7" t="str">
        <x:v>PEA-B-X3</x:v>
      </x:c>
      <x:c r="D3231" s="7" t="str">
        <x:v>channel instance</x:v>
      </x:c>
      <x:c r="E3231" s="7" t="str">
        <x:v>CH-PEA-B-X3-01-4</x:v>
      </x:c>
      <x:c r="F3231" s="7" t="str">
        <x:f>'Channel Instances'!O1162</x:f>
        <x:v>OPEN</x:v>
      </x:c>
    </x:row>
    <x:row r="3232">
      <x:c r="B3232" s="7" t="str">
        <x:v>AG-03226</x:v>
      </x:c>
      <x:c r="C3232" s="7" t="str">
        <x:v>PEA-B-X3</x:v>
      </x:c>
      <x:c r="D3232" s="7" t="str">
        <x:v>channel instance</x:v>
      </x:c>
      <x:c r="E3232" s="7" t="str">
        <x:v>CH-PEA-B-X3-01-5</x:v>
      </x:c>
      <x:c r="F3232" s="7" t="str">
        <x:f>'Channel Instances'!O1163</x:f>
        <x:v>OPEN</x:v>
      </x:c>
    </x:row>
    <x:row r="3233">
      <x:c r="B3233" s="7" t="str">
        <x:v>AG-03227</x:v>
      </x:c>
      <x:c r="C3233" s="7" t="str">
        <x:v>PEA-B-X3</x:v>
      </x:c>
      <x:c r="D3233" s="7" t="str">
        <x:v>channel instance</x:v>
      </x:c>
      <x:c r="E3233" s="7" t="str">
        <x:v>CH-PEA-B-X3-01-6</x:v>
      </x:c>
      <x:c r="F3233" s="7" t="str">
        <x:f>'Channel Instances'!O1164</x:f>
        <x:v>OPEN</x:v>
      </x:c>
    </x:row>
    <x:row r="3234">
      <x:c r="B3234" s="7" t="str">
        <x:v>AG-03228</x:v>
      </x:c>
      <x:c r="C3234" s="7" t="str">
        <x:v>PEA-B-X3</x:v>
      </x:c>
      <x:c r="D3234" s="7" t="str">
        <x:v>channel instance</x:v>
      </x:c>
      <x:c r="E3234" s="7" t="str">
        <x:v>CH-PEA-B-X3-02-1</x:v>
      </x:c>
      <x:c r="F3234" s="7" t="str">
        <x:f>'Channel Instances'!O1165</x:f>
        <x:v>OPEN</x:v>
      </x:c>
    </x:row>
    <x:row r="3235">
      <x:c r="B3235" s="7" t="str">
        <x:v>AG-03229</x:v>
      </x:c>
      <x:c r="C3235" s="7" t="str">
        <x:v>PEA-B-X3</x:v>
      </x:c>
      <x:c r="D3235" s="7" t="str">
        <x:v>channel instance</x:v>
      </x:c>
      <x:c r="E3235" s="7" t="str">
        <x:v>CH-PEA-B-X3-02-2</x:v>
      </x:c>
      <x:c r="F3235" s="7" t="str">
        <x:f>'Channel Instances'!O1166</x:f>
        <x:v>OPEN</x:v>
      </x:c>
    </x:row>
    <x:row r="3236">
      <x:c r="B3236" s="7" t="str">
        <x:v>AG-03230</x:v>
      </x:c>
      <x:c r="C3236" s="7" t="str">
        <x:v>PEA-B-X3</x:v>
      </x:c>
      <x:c r="D3236" s="7" t="str">
        <x:v>channel instance</x:v>
      </x:c>
      <x:c r="E3236" s="7" t="str">
        <x:v>CH-PEA-B-X3-02-3</x:v>
      </x:c>
      <x:c r="F3236" s="7" t="str">
        <x:f>'Channel Instances'!O1167</x:f>
        <x:v>OPEN</x:v>
      </x:c>
    </x:row>
    <x:row r="3237">
      <x:c r="B3237" s="7" t="str">
        <x:v>AG-03231</x:v>
      </x:c>
      <x:c r="C3237" s="7" t="str">
        <x:v>PEA-B-X3</x:v>
      </x:c>
      <x:c r="D3237" s="7" t="str">
        <x:v>channel instance</x:v>
      </x:c>
      <x:c r="E3237" s="7" t="str">
        <x:v>CH-PEA-B-X3-02-4</x:v>
      </x:c>
      <x:c r="F3237" s="7" t="str">
        <x:f>'Channel Instances'!O1168</x:f>
        <x:v>OPEN</x:v>
      </x:c>
    </x:row>
    <x:row r="3238">
      <x:c r="B3238" s="7" t="str">
        <x:v>AG-03232</x:v>
      </x:c>
      <x:c r="C3238" s="7" t="str">
        <x:v>PEA-B-X3</x:v>
      </x:c>
      <x:c r="D3238" s="7" t="str">
        <x:v>channel instance</x:v>
      </x:c>
      <x:c r="E3238" s="7" t="str">
        <x:v>CH-PEA-B-X3-02-5</x:v>
      </x:c>
      <x:c r="F3238" s="7" t="str">
        <x:f>'Channel Instances'!O1169</x:f>
        <x:v>OPEN</x:v>
      </x:c>
    </x:row>
    <x:row r="3239">
      <x:c r="B3239" s="7" t="str">
        <x:v>AG-03233</x:v>
      </x:c>
      <x:c r="C3239" s="7" t="str">
        <x:v>PEA-B-X3</x:v>
      </x:c>
      <x:c r="D3239" s="7" t="str">
        <x:v>channel instance</x:v>
      </x:c>
      <x:c r="E3239" s="7" t="str">
        <x:v>CH-PEA-B-X3-02-6</x:v>
      </x:c>
      <x:c r="F3239" s="7" t="str">
        <x:f>'Channel Instances'!O1170</x:f>
        <x:v>OPEN</x:v>
      </x:c>
    </x:row>
    <x:row r="3240">
      <x:c r="B3240" s="7" t="str">
        <x:v>AG-03234</x:v>
      </x:c>
      <x:c r="C3240" s="7" t="str">
        <x:v>PEA-B-X3</x:v>
      </x:c>
      <x:c r="D3240" s="7" t="str">
        <x:v>channel instance</x:v>
      </x:c>
      <x:c r="E3240" s="7" t="str">
        <x:v>CH-PEA-B-X3-03-1</x:v>
      </x:c>
      <x:c r="F3240" s="7" t="str">
        <x:f>'Channel Instances'!O1171</x:f>
        <x:v>OPEN</x:v>
      </x:c>
    </x:row>
    <x:row r="3241">
      <x:c r="B3241" s="7" t="str">
        <x:v>AG-03235</x:v>
      </x:c>
      <x:c r="C3241" s="7" t="str">
        <x:v>PEA-B-X3</x:v>
      </x:c>
      <x:c r="D3241" s="7" t="str">
        <x:v>channel instance</x:v>
      </x:c>
      <x:c r="E3241" s="7" t="str">
        <x:v>CH-PEA-B-X3-03-2</x:v>
      </x:c>
      <x:c r="F3241" s="7" t="str">
        <x:f>'Channel Instances'!O1172</x:f>
        <x:v>OPEN</x:v>
      </x:c>
    </x:row>
    <x:row r="3242">
      <x:c r="B3242" s="7" t="str">
        <x:v>AG-03236</x:v>
      </x:c>
      <x:c r="C3242" s="7" t="str">
        <x:v>PEA-B-X3</x:v>
      </x:c>
      <x:c r="D3242" s="7" t="str">
        <x:v>channel instance</x:v>
      </x:c>
      <x:c r="E3242" s="7" t="str">
        <x:v>CH-PEA-B-X3-03-3</x:v>
      </x:c>
      <x:c r="F3242" s="7" t="str">
        <x:f>'Channel Instances'!O1173</x:f>
        <x:v>OPEN</x:v>
      </x:c>
    </x:row>
    <x:row r="3243">
      <x:c r="B3243" s="7" t="str">
        <x:v>AG-03237</x:v>
      </x:c>
      <x:c r="C3243" s="7" t="str">
        <x:v>PEA-B-X3</x:v>
      </x:c>
      <x:c r="D3243" s="7" t="str">
        <x:v>channel instance</x:v>
      </x:c>
      <x:c r="E3243" s="7" t="str">
        <x:v>CH-PEA-B-X3-03-4</x:v>
      </x:c>
      <x:c r="F3243" s="7" t="str">
        <x:f>'Channel Instances'!O1174</x:f>
        <x:v>OPEN</x:v>
      </x:c>
    </x:row>
    <x:row r="3244">
      <x:c r="B3244" s="7" t="str">
        <x:v>AG-03238</x:v>
      </x:c>
      <x:c r="C3244" s="7" t="str">
        <x:v>PEA-B-X3</x:v>
      </x:c>
      <x:c r="D3244" s="7" t="str">
        <x:v>channel instance</x:v>
      </x:c>
      <x:c r="E3244" s="7" t="str">
        <x:v>CH-PEA-B-X3-03-5</x:v>
      </x:c>
      <x:c r="F3244" s="7" t="str">
        <x:f>'Channel Instances'!O1175</x:f>
        <x:v>OPEN</x:v>
      </x:c>
    </x:row>
    <x:row r="3245">
      <x:c r="B3245" s="7" t="str">
        <x:v>AG-03239</x:v>
      </x:c>
      <x:c r="C3245" s="7" t="str">
        <x:v>PEA-B-X3</x:v>
      </x:c>
      <x:c r="D3245" s="7" t="str">
        <x:v>channel instance</x:v>
      </x:c>
      <x:c r="E3245" s="7" t="str">
        <x:v>CH-PEA-B-X3-03-6</x:v>
      </x:c>
      <x:c r="F3245" s="7" t="str">
        <x:f>'Channel Instances'!O1176</x:f>
        <x:v>OPEN</x:v>
      </x:c>
    </x:row>
    <x:row r="3246">
      <x:c r="B3246" s="7" t="str">
        <x:v>AG-03240</x:v>
      </x:c>
      <x:c r="C3246" s="7" t="str">
        <x:v>PEA-B-X3</x:v>
      </x:c>
      <x:c r="D3246" s="7" t="str">
        <x:v>channel instance</x:v>
      </x:c>
      <x:c r="E3246" s="7" t="str">
        <x:v>CH-PEA-B-X3-04-1</x:v>
      </x:c>
      <x:c r="F3246" s="7" t="str">
        <x:f>'Channel Instances'!O1177</x:f>
        <x:v>OPEN</x:v>
      </x:c>
    </x:row>
    <x:row r="3247">
      <x:c r="B3247" s="7" t="str">
        <x:v>AG-03241</x:v>
      </x:c>
      <x:c r="C3247" s="7" t="str">
        <x:v>PEA-B-X3</x:v>
      </x:c>
      <x:c r="D3247" s="7" t="str">
        <x:v>channel instance</x:v>
      </x:c>
      <x:c r="E3247" s="7" t="str">
        <x:v>CH-PEA-B-X3-04-2</x:v>
      </x:c>
      <x:c r="F3247" s="7" t="str">
        <x:f>'Channel Instances'!O1178</x:f>
        <x:v>OPEN</x:v>
      </x:c>
    </x:row>
    <x:row r="3248">
      <x:c r="B3248" s="7" t="str">
        <x:v>AG-03242</x:v>
      </x:c>
      <x:c r="C3248" s="7" t="str">
        <x:v>PEA-B-X3</x:v>
      </x:c>
      <x:c r="D3248" s="7" t="str">
        <x:v>channel instance</x:v>
      </x:c>
      <x:c r="E3248" s="7" t="str">
        <x:v>CH-PEA-B-X3-04-3</x:v>
      </x:c>
      <x:c r="F3248" s="7" t="str">
        <x:f>'Channel Instances'!O1179</x:f>
        <x:v>OPEN</x:v>
      </x:c>
    </x:row>
    <x:row r="3249">
      <x:c r="B3249" s="7" t="str">
        <x:v>AG-03243</x:v>
      </x:c>
      <x:c r="C3249" s="7" t="str">
        <x:v>PEA-B-X3</x:v>
      </x:c>
      <x:c r="D3249" s="7" t="str">
        <x:v>channel instance</x:v>
      </x:c>
      <x:c r="E3249" s="7" t="str">
        <x:v>CH-PEA-B-X3-04-4</x:v>
      </x:c>
      <x:c r="F3249" s="7" t="str">
        <x:f>'Channel Instances'!O1180</x:f>
        <x:v>OPEN</x:v>
      </x:c>
    </x:row>
    <x:row r="3250">
      <x:c r="B3250" s="7" t="str">
        <x:v>AG-03244</x:v>
      </x:c>
      <x:c r="C3250" s="7" t="str">
        <x:v>PEA-B-X3</x:v>
      </x:c>
      <x:c r="D3250" s="7" t="str">
        <x:v>channel instance</x:v>
      </x:c>
      <x:c r="E3250" s="7" t="str">
        <x:v>CH-PEA-B-X3-04-5</x:v>
      </x:c>
      <x:c r="F3250" s="7" t="str">
        <x:f>'Channel Instances'!O1181</x:f>
        <x:v>OPEN</x:v>
      </x:c>
    </x:row>
    <x:row r="3251">
      <x:c r="B3251" s="7" t="str">
        <x:v>AG-03245</x:v>
      </x:c>
      <x:c r="C3251" s="7" t="str">
        <x:v>PEA-B-X3</x:v>
      </x:c>
      <x:c r="D3251" s="7" t="str">
        <x:v>channel instance</x:v>
      </x:c>
      <x:c r="E3251" s="7" t="str">
        <x:v>CH-PEA-B-X3-04-6</x:v>
      </x:c>
      <x:c r="F3251" s="7" t="str">
        <x:f>'Channel Instances'!O1182</x:f>
        <x:v>OPEN</x:v>
      </x:c>
    </x:row>
    <x:row r="3252">
      <x:c r="B3252" s="7" t="str">
        <x:v>AG-03246</x:v>
      </x:c>
      <x:c r="C3252" s="7" t="str">
        <x:v>PEA-B-X3</x:v>
      </x:c>
      <x:c r="D3252" s="7" t="str">
        <x:v>channel instance</x:v>
      </x:c>
      <x:c r="E3252" s="7" t="str">
        <x:v>CH-PEA-B-X3-05-1</x:v>
      </x:c>
      <x:c r="F3252" s="7" t="str">
        <x:f>'Channel Instances'!O1183</x:f>
        <x:v>OPEN</x:v>
      </x:c>
    </x:row>
    <x:row r="3253">
      <x:c r="B3253" s="7" t="str">
        <x:v>AG-03247</x:v>
      </x:c>
      <x:c r="C3253" s="7" t="str">
        <x:v>PEA-B-X3</x:v>
      </x:c>
      <x:c r="D3253" s="7" t="str">
        <x:v>channel instance</x:v>
      </x:c>
      <x:c r="E3253" s="7" t="str">
        <x:v>CH-PEA-B-X3-05-2</x:v>
      </x:c>
      <x:c r="F3253" s="7" t="str">
        <x:f>'Channel Instances'!O1184</x:f>
        <x:v>OPEN</x:v>
      </x:c>
    </x:row>
    <x:row r="3254">
      <x:c r="B3254" s="7" t="str">
        <x:v>AG-03248</x:v>
      </x:c>
      <x:c r="C3254" s="7" t="str">
        <x:v>PEA-B-X3</x:v>
      </x:c>
      <x:c r="D3254" s="7" t="str">
        <x:v>channel instance</x:v>
      </x:c>
      <x:c r="E3254" s="7" t="str">
        <x:v>CH-PEA-B-X3-05-3</x:v>
      </x:c>
      <x:c r="F3254" s="7" t="str">
        <x:f>'Channel Instances'!O1185</x:f>
        <x:v>OPEN</x:v>
      </x:c>
    </x:row>
    <x:row r="3255">
      <x:c r="B3255" s="7" t="str">
        <x:v>AG-03249</x:v>
      </x:c>
      <x:c r="C3255" s="7" t="str">
        <x:v>PEA-B-X3</x:v>
      </x:c>
      <x:c r="D3255" s="7" t="str">
        <x:v>channel instance</x:v>
      </x:c>
      <x:c r="E3255" s="7" t="str">
        <x:v>CH-PEA-B-X3-05-4</x:v>
      </x:c>
      <x:c r="F3255" s="7" t="str">
        <x:f>'Channel Instances'!O1186</x:f>
        <x:v>OPEN</x:v>
      </x:c>
    </x:row>
    <x:row r="3256">
      <x:c r="B3256" s="7" t="str">
        <x:v>AG-03250</x:v>
      </x:c>
      <x:c r="C3256" s="7" t="str">
        <x:v>PEA-B-X3</x:v>
      </x:c>
      <x:c r="D3256" s="7" t="str">
        <x:v>channel instance</x:v>
      </x:c>
      <x:c r="E3256" s="7" t="str">
        <x:v>CH-PEA-B-X3-05-5</x:v>
      </x:c>
      <x:c r="F3256" s="7" t="str">
        <x:f>'Channel Instances'!O1187</x:f>
        <x:v>OPEN</x:v>
      </x:c>
    </x:row>
    <x:row r="3257">
      <x:c r="B3257" s="7" t="str">
        <x:v>AG-03251</x:v>
      </x:c>
      <x:c r="C3257" s="7" t="str">
        <x:v>PEA-B-X3</x:v>
      </x:c>
      <x:c r="D3257" s="7" t="str">
        <x:v>channel instance</x:v>
      </x:c>
      <x:c r="E3257" s="7" t="str">
        <x:v>CH-PEA-B-X3-05-6</x:v>
      </x:c>
      <x:c r="F3257" s="7" t="str">
        <x:f>'Channel Instances'!O1188</x:f>
        <x:v>OPEN</x:v>
      </x:c>
    </x:row>
    <x:row r="3258">
      <x:c r="B3258" s="7" t="str">
        <x:v>AG-03252</x:v>
      </x:c>
      <x:c r="C3258" s="7" t="str">
        <x:v>PEA-B-X3</x:v>
      </x:c>
      <x:c r="D3258" s="7" t="str">
        <x:v>channel instance</x:v>
      </x:c>
      <x:c r="E3258" s="7" t="str">
        <x:v>CH-PEA-B-X3-06-1</x:v>
      </x:c>
      <x:c r="F3258" s="7" t="str">
        <x:f>'Channel Instances'!O1189</x:f>
        <x:v>OPEN</x:v>
      </x:c>
    </x:row>
    <x:row r="3259">
      <x:c r="B3259" s="7" t="str">
        <x:v>AG-03253</x:v>
      </x:c>
      <x:c r="C3259" s="7" t="str">
        <x:v>PEA-B-X3</x:v>
      </x:c>
      <x:c r="D3259" s="7" t="str">
        <x:v>channel instance</x:v>
      </x:c>
      <x:c r="E3259" s="7" t="str">
        <x:v>CH-PEA-B-X3-06-2</x:v>
      </x:c>
      <x:c r="F3259" s="7" t="str">
        <x:f>'Channel Instances'!O1190</x:f>
        <x:v>OPEN</x:v>
      </x:c>
    </x:row>
    <x:row r="3260">
      <x:c r="B3260" s="7" t="str">
        <x:v>AG-03254</x:v>
      </x:c>
      <x:c r="C3260" s="7" t="str">
        <x:v>PEA-B-X3</x:v>
      </x:c>
      <x:c r="D3260" s="7" t="str">
        <x:v>channel instance</x:v>
      </x:c>
      <x:c r="E3260" s="7" t="str">
        <x:v>CH-PEA-B-X3-06-3</x:v>
      </x:c>
      <x:c r="F3260" s="7" t="str">
        <x:f>'Channel Instances'!O1191</x:f>
        <x:v>OPEN</x:v>
      </x:c>
    </x:row>
    <x:row r="3261">
      <x:c r="B3261" s="7" t="str">
        <x:v>AG-03255</x:v>
      </x:c>
      <x:c r="C3261" s="7" t="str">
        <x:v>PEA-B-X3</x:v>
      </x:c>
      <x:c r="D3261" s="7" t="str">
        <x:v>channel instance</x:v>
      </x:c>
      <x:c r="E3261" s="7" t="str">
        <x:v>CH-PEA-B-X3-06-4</x:v>
      </x:c>
      <x:c r="F3261" s="7" t="str">
        <x:f>'Channel Instances'!O1192</x:f>
        <x:v>OPEN</x:v>
      </x:c>
    </x:row>
    <x:row r="3262">
      <x:c r="B3262" s="7" t="str">
        <x:v>AG-03256</x:v>
      </x:c>
      <x:c r="C3262" s="7" t="str">
        <x:v>PEA-B-X3</x:v>
      </x:c>
      <x:c r="D3262" s="7" t="str">
        <x:v>channel instance</x:v>
      </x:c>
      <x:c r="E3262" s="7" t="str">
        <x:v>CH-PEA-B-X3-06-5</x:v>
      </x:c>
      <x:c r="F3262" s="7" t="str">
        <x:f>'Channel Instances'!O1193</x:f>
        <x:v>OPEN</x:v>
      </x:c>
    </x:row>
    <x:row r="3263">
      <x:c r="B3263" s="7" t="str">
        <x:v>AG-03257</x:v>
      </x:c>
      <x:c r="C3263" s="7" t="str">
        <x:v>PEA-B-X3</x:v>
      </x:c>
      <x:c r="D3263" s="7" t="str">
        <x:v>channel instance</x:v>
      </x:c>
      <x:c r="E3263" s="7" t="str">
        <x:v>CH-PEA-B-X3-06-6</x:v>
      </x:c>
      <x:c r="F3263" s="7" t="str">
        <x:f>'Channel Instances'!O1194</x:f>
        <x:v>OPEN</x:v>
      </x:c>
    </x:row>
    <x:row r="3264">
      <x:c r="B3264" s="7" t="str">
        <x:v>AG-03258</x:v>
      </x:c>
      <x:c r="C3264" s="7" t="str">
        <x:v>PEA-B-X3</x:v>
      </x:c>
      <x:c r="D3264" s="7" t="str">
        <x:v>channel instance</x:v>
      </x:c>
      <x:c r="E3264" s="7" t="str">
        <x:v>CH-PEA-B-X3-07-1</x:v>
      </x:c>
      <x:c r="F3264" s="7" t="str">
        <x:f>'Channel Instances'!O1195</x:f>
        <x:v>OPEN</x:v>
      </x:c>
    </x:row>
    <x:row r="3265">
      <x:c r="B3265" s="7" t="str">
        <x:v>AG-03259</x:v>
      </x:c>
      <x:c r="C3265" s="7" t="str">
        <x:v>PEA-B-X3</x:v>
      </x:c>
      <x:c r="D3265" s="7" t="str">
        <x:v>channel instance</x:v>
      </x:c>
      <x:c r="E3265" s="7" t="str">
        <x:v>CH-PEA-B-X3-07-2</x:v>
      </x:c>
      <x:c r="F3265" s="7" t="str">
        <x:f>'Channel Instances'!O1196</x:f>
        <x:v>OPEN</x:v>
      </x:c>
    </x:row>
    <x:row r="3266">
      <x:c r="B3266" s="7" t="str">
        <x:v>AG-03260</x:v>
      </x:c>
      <x:c r="C3266" s="7" t="str">
        <x:v>PEA-B-X3</x:v>
      </x:c>
      <x:c r="D3266" s="7" t="str">
        <x:v>channel instance</x:v>
      </x:c>
      <x:c r="E3266" s="7" t="str">
        <x:v>CH-PEA-B-X3-07-3</x:v>
      </x:c>
      <x:c r="F3266" s="7" t="str">
        <x:f>'Channel Instances'!O1197</x:f>
        <x:v>OPEN</x:v>
      </x:c>
    </x:row>
    <x:row r="3267">
      <x:c r="B3267" s="7" t="str">
        <x:v>AG-03261</x:v>
      </x:c>
      <x:c r="C3267" s="7" t="str">
        <x:v>PEA-B-X3</x:v>
      </x:c>
      <x:c r="D3267" s="7" t="str">
        <x:v>channel instance</x:v>
      </x:c>
      <x:c r="E3267" s="7" t="str">
        <x:v>CH-PEA-B-X3-07-4</x:v>
      </x:c>
      <x:c r="F3267" s="7" t="str">
        <x:f>'Channel Instances'!O1198</x:f>
        <x:v>OPEN</x:v>
      </x:c>
    </x:row>
    <x:row r="3268">
      <x:c r="B3268" s="7" t="str">
        <x:v>AG-03262</x:v>
      </x:c>
      <x:c r="C3268" s="7" t="str">
        <x:v>PEA-B-X3</x:v>
      </x:c>
      <x:c r="D3268" s="7" t="str">
        <x:v>channel instance</x:v>
      </x:c>
      <x:c r="E3268" s="7" t="str">
        <x:v>CH-PEA-B-X3-07-5</x:v>
      </x:c>
      <x:c r="F3268" s="7" t="str">
        <x:f>'Channel Instances'!O1199</x:f>
        <x:v>OPEN</x:v>
      </x:c>
    </x:row>
    <x:row r="3269">
      <x:c r="B3269" s="7" t="str">
        <x:v>AG-03263</x:v>
      </x:c>
      <x:c r="C3269" s="7" t="str">
        <x:v>PEA-B-X3</x:v>
      </x:c>
      <x:c r="D3269" s="7" t="str">
        <x:v>channel instance</x:v>
      </x:c>
      <x:c r="E3269" s="7" t="str">
        <x:v>CH-PEA-B-X3-07-6</x:v>
      </x:c>
      <x:c r="F3269" s="7" t="str">
        <x:f>'Channel Instances'!O1200</x:f>
        <x:v>OPEN</x:v>
      </x:c>
    </x:row>
    <x:row r="3270">
      <x:c r="B3270" s="7" t="str">
        <x:v>AG-03264</x:v>
      </x:c>
      <x:c r="C3270" s="7" t="str">
        <x:v>PEA-B-X3</x:v>
      </x:c>
      <x:c r="D3270" s="7" t="str">
        <x:v>channel instance</x:v>
      </x:c>
      <x:c r="E3270" s="7" t="str">
        <x:v>CH-PEA-B-X3-08-1</x:v>
      </x:c>
      <x:c r="F3270" s="7" t="str">
        <x:f>'Channel Instances'!O1201</x:f>
        <x:v>OPEN</x:v>
      </x:c>
    </x:row>
    <x:row r="3271">
      <x:c r="B3271" s="7" t="str">
        <x:v>AG-03265</x:v>
      </x:c>
      <x:c r="C3271" s="7" t="str">
        <x:v>PEA-B-X3</x:v>
      </x:c>
      <x:c r="D3271" s="7" t="str">
        <x:v>channel instance</x:v>
      </x:c>
      <x:c r="E3271" s="7" t="str">
        <x:v>CH-PEA-B-X3-08-2</x:v>
      </x:c>
      <x:c r="F3271" s="7" t="str">
        <x:f>'Channel Instances'!O1202</x:f>
        <x:v>OPEN</x:v>
      </x:c>
    </x:row>
    <x:row r="3272">
      <x:c r="B3272" s="7" t="str">
        <x:v>AG-03266</x:v>
      </x:c>
      <x:c r="C3272" s="7" t="str">
        <x:v>PEA-B-X3</x:v>
      </x:c>
      <x:c r="D3272" s="7" t="str">
        <x:v>channel instance</x:v>
      </x:c>
      <x:c r="E3272" s="7" t="str">
        <x:v>CH-PEA-B-X3-08-3</x:v>
      </x:c>
      <x:c r="F3272" s="7" t="str">
        <x:f>'Channel Instances'!O1203</x:f>
        <x:v>OPEN</x:v>
      </x:c>
    </x:row>
    <x:row r="3273">
      <x:c r="B3273" s="7" t="str">
        <x:v>AG-03267</x:v>
      </x:c>
      <x:c r="C3273" s="7" t="str">
        <x:v>PEA-B-X3</x:v>
      </x:c>
      <x:c r="D3273" s="7" t="str">
        <x:v>channel instance</x:v>
      </x:c>
      <x:c r="E3273" s="7" t="str">
        <x:v>CH-PEA-B-X3-08-4</x:v>
      </x:c>
      <x:c r="F3273" s="7" t="str">
        <x:f>'Channel Instances'!O1204</x:f>
        <x:v>OPEN</x:v>
      </x:c>
    </x:row>
    <x:row r="3274">
      <x:c r="B3274" s="7" t="str">
        <x:v>AG-03268</x:v>
      </x:c>
      <x:c r="C3274" s="7" t="str">
        <x:v>PEA-B-X3</x:v>
      </x:c>
      <x:c r="D3274" s="7" t="str">
        <x:v>channel instance</x:v>
      </x:c>
      <x:c r="E3274" s="7" t="str">
        <x:v>CH-PEA-B-X3-08-5</x:v>
      </x:c>
      <x:c r="F3274" s="7" t="str">
        <x:f>'Channel Instances'!O1205</x:f>
        <x:v>OPEN</x:v>
      </x:c>
    </x:row>
    <x:row r="3275">
      <x:c r="B3275" s="7" t="str">
        <x:v>AG-03269</x:v>
      </x:c>
      <x:c r="C3275" s="7" t="str">
        <x:v>PEA-B-X3</x:v>
      </x:c>
      <x:c r="D3275" s="7" t="str">
        <x:v>channel instance</x:v>
      </x:c>
      <x:c r="E3275" s="7" t="str">
        <x:v>CH-PEA-B-X3-08-6</x:v>
      </x:c>
      <x:c r="F3275" s="7" t="str">
        <x:f>'Channel Instances'!O1206</x:f>
        <x:v>OPEN</x:v>
      </x:c>
    </x:row>
    <x:row r="3276">
      <x:c r="B3276" s="7" t="str">
        <x:v>AG-03270</x:v>
      </x:c>
      <x:c r="C3276" s="7" t="str">
        <x:v>PEA-B-X3</x:v>
      </x:c>
      <x:c r="D3276" s="7" t="str">
        <x:v>channel instance</x:v>
      </x:c>
      <x:c r="E3276" s="7" t="str">
        <x:v>CH-PEA-B-X3-09-1</x:v>
      </x:c>
      <x:c r="F3276" s="7" t="str">
        <x:f>'Channel Instances'!O1207</x:f>
        <x:v>OPEN</x:v>
      </x:c>
    </x:row>
    <x:row r="3277">
      <x:c r="B3277" s="7" t="str">
        <x:v>AG-03271</x:v>
      </x:c>
      <x:c r="C3277" s="7" t="str">
        <x:v>PEA-B-X3</x:v>
      </x:c>
      <x:c r="D3277" s="7" t="str">
        <x:v>channel instance</x:v>
      </x:c>
      <x:c r="E3277" s="7" t="str">
        <x:v>CH-PEA-B-X3-09-2</x:v>
      </x:c>
      <x:c r="F3277" s="7" t="str">
        <x:f>'Channel Instances'!O1208</x:f>
        <x:v>OPEN</x:v>
      </x:c>
    </x:row>
    <x:row r="3278">
      <x:c r="B3278" s="7" t="str">
        <x:v>AG-03272</x:v>
      </x:c>
      <x:c r="C3278" s="7" t="str">
        <x:v>PEA-B-X3</x:v>
      </x:c>
      <x:c r="D3278" s="7" t="str">
        <x:v>channel instance</x:v>
      </x:c>
      <x:c r="E3278" s="7" t="str">
        <x:v>CH-PEA-B-X3-09-3</x:v>
      </x:c>
      <x:c r="F3278" s="7" t="str">
        <x:f>'Channel Instances'!O1209</x:f>
        <x:v>OPEN</x:v>
      </x:c>
    </x:row>
    <x:row r="3279">
      <x:c r="B3279" s="7" t="str">
        <x:v>AG-03273</x:v>
      </x:c>
      <x:c r="C3279" s="7" t="str">
        <x:v>PEA-B-X3</x:v>
      </x:c>
      <x:c r="D3279" s="7" t="str">
        <x:v>channel instance</x:v>
      </x:c>
      <x:c r="E3279" s="7" t="str">
        <x:v>CH-PEA-B-X3-09-4</x:v>
      </x:c>
      <x:c r="F3279" s="7" t="str">
        <x:f>'Channel Instances'!O1210</x:f>
        <x:v>OPEN</x:v>
      </x:c>
    </x:row>
    <x:row r="3280">
      <x:c r="B3280" s="7" t="str">
        <x:v>AG-03274</x:v>
      </x:c>
      <x:c r="C3280" s="7" t="str">
        <x:v>PEA-B-X3</x:v>
      </x:c>
      <x:c r="D3280" s="7" t="str">
        <x:v>channel instance</x:v>
      </x:c>
      <x:c r="E3280" s="7" t="str">
        <x:v>CH-PEA-B-X3-09-5</x:v>
      </x:c>
      <x:c r="F3280" s="7" t="str">
        <x:f>'Channel Instances'!O1211</x:f>
        <x:v>OPEN</x:v>
      </x:c>
    </x:row>
    <x:row r="3281">
      <x:c r="B3281" s="7" t="str">
        <x:v>AG-03275</x:v>
      </x:c>
      <x:c r="C3281" s="7" t="str">
        <x:v>PEA-B-X3</x:v>
      </x:c>
      <x:c r="D3281" s="7" t="str">
        <x:v>channel instance</x:v>
      </x:c>
      <x:c r="E3281" s="7" t="str">
        <x:v>CH-PEA-B-X3-09-6</x:v>
      </x:c>
      <x:c r="F3281" s="7" t="str">
        <x:f>'Channel Instances'!O1212</x:f>
        <x:v>OPEN</x:v>
      </x:c>
    </x:row>
    <x:row r="3282">
      <x:c r="B3282" s="7" t="str">
        <x:v>AG-03276</x:v>
      </x:c>
      <x:c r="C3282" s="7" t="str">
        <x:v>PEA-B-X3</x:v>
      </x:c>
      <x:c r="D3282" s="7" t="str">
        <x:v>channel instance</x:v>
      </x:c>
      <x:c r="E3282" s="7" t="str">
        <x:v>CH-PEA-B-X3-10-1</x:v>
      </x:c>
      <x:c r="F3282" s="7" t="str">
        <x:f>'Channel Instances'!O1213</x:f>
        <x:v>OPEN</x:v>
      </x:c>
    </x:row>
    <x:row r="3283">
      <x:c r="B3283" s="7" t="str">
        <x:v>AG-03277</x:v>
      </x:c>
      <x:c r="C3283" s="7" t="str">
        <x:v>PEA-B-X3</x:v>
      </x:c>
      <x:c r="D3283" s="7" t="str">
        <x:v>channel instance</x:v>
      </x:c>
      <x:c r="E3283" s="7" t="str">
        <x:v>CH-PEA-B-X3-10-2</x:v>
      </x:c>
      <x:c r="F3283" s="7" t="str">
        <x:f>'Channel Instances'!O1214</x:f>
        <x:v>OPEN</x:v>
      </x:c>
    </x:row>
    <x:row r="3284">
      <x:c r="B3284" s="7" t="str">
        <x:v>AG-03278</x:v>
      </x:c>
      <x:c r="C3284" s="7" t="str">
        <x:v>PEA-B-X3</x:v>
      </x:c>
      <x:c r="D3284" s="7" t="str">
        <x:v>channel instance</x:v>
      </x:c>
      <x:c r="E3284" s="7" t="str">
        <x:v>CH-PEA-B-X3-10-3</x:v>
      </x:c>
      <x:c r="F3284" s="7" t="str">
        <x:f>'Channel Instances'!O1215</x:f>
        <x:v>OPEN</x:v>
      </x:c>
    </x:row>
    <x:row r="3285">
      <x:c r="B3285" s="7" t="str">
        <x:v>AG-03279</x:v>
      </x:c>
      <x:c r="C3285" s="7" t="str">
        <x:v>PEA-B-X3</x:v>
      </x:c>
      <x:c r="D3285" s="7" t="str">
        <x:v>channel instance</x:v>
      </x:c>
      <x:c r="E3285" s="7" t="str">
        <x:v>CH-PEA-B-X3-10-4</x:v>
      </x:c>
      <x:c r="F3285" s="7" t="str">
        <x:f>'Channel Instances'!O1216</x:f>
        <x:v>OPEN</x:v>
      </x:c>
    </x:row>
    <x:row r="3286">
      <x:c r="B3286" s="7" t="str">
        <x:v>AG-03280</x:v>
      </x:c>
      <x:c r="C3286" s="7" t="str">
        <x:v>PEA-B-X3</x:v>
      </x:c>
      <x:c r="D3286" s="7" t="str">
        <x:v>channel instance</x:v>
      </x:c>
      <x:c r="E3286" s="7" t="str">
        <x:v>CH-PEA-B-X3-10-5</x:v>
      </x:c>
      <x:c r="F3286" s="7" t="str">
        <x:f>'Channel Instances'!O1217</x:f>
        <x:v>OPEN</x:v>
      </x:c>
    </x:row>
    <x:row r="3287">
      <x:c r="B3287" s="7" t="str">
        <x:v>AG-03281</x:v>
      </x:c>
      <x:c r="C3287" s="7" t="str">
        <x:v>PEA-B-X3</x:v>
      </x:c>
      <x:c r="D3287" s="7" t="str">
        <x:v>channel instance</x:v>
      </x:c>
      <x:c r="E3287" s="7" t="str">
        <x:v>CH-PEA-B-X3-10-6</x:v>
      </x:c>
      <x:c r="F3287" s="7" t="str">
        <x:f>'Channel Instances'!O1218</x:f>
        <x:v>OPEN</x:v>
      </x:c>
    </x:row>
    <x:row r="3288">
      <x:c r="B3288" s="7" t="str">
        <x:v>AG-03282</x:v>
      </x:c>
      <x:c r="C3288" s="7" t="str">
        <x:v>PEA-B-X3</x:v>
      </x:c>
      <x:c r="D3288" s="7" t="str">
        <x:v>channel instance</x:v>
      </x:c>
      <x:c r="E3288" s="7" t="str">
        <x:v>CH-PEA-B-X3-11-1</x:v>
      </x:c>
      <x:c r="F3288" s="7" t="str">
        <x:f>'Channel Instances'!O1219</x:f>
        <x:v>OPEN</x:v>
      </x:c>
    </x:row>
    <x:row r="3289">
      <x:c r="B3289" s="7" t="str">
        <x:v>AG-03283</x:v>
      </x:c>
      <x:c r="C3289" s="7" t="str">
        <x:v>PEA-B-X3</x:v>
      </x:c>
      <x:c r="D3289" s="7" t="str">
        <x:v>channel instance</x:v>
      </x:c>
      <x:c r="E3289" s="7" t="str">
        <x:v>CH-PEA-B-X3-11-2</x:v>
      </x:c>
      <x:c r="F3289" s="7" t="str">
        <x:f>'Channel Instances'!O1220</x:f>
        <x:v>OPEN</x:v>
      </x:c>
    </x:row>
    <x:row r="3290">
      <x:c r="B3290" s="7" t="str">
        <x:v>AG-03284</x:v>
      </x:c>
      <x:c r="C3290" s="7" t="str">
        <x:v>PEA-B-X3</x:v>
      </x:c>
      <x:c r="D3290" s="7" t="str">
        <x:v>channel instance</x:v>
      </x:c>
      <x:c r="E3290" s="7" t="str">
        <x:v>CH-PEA-B-X3-11-3</x:v>
      </x:c>
      <x:c r="F3290" s="7" t="str">
        <x:f>'Channel Instances'!O1221</x:f>
        <x:v>OPEN</x:v>
      </x:c>
    </x:row>
    <x:row r="3291">
      <x:c r="B3291" s="7" t="str">
        <x:v>AG-03285</x:v>
      </x:c>
      <x:c r="C3291" s="7" t="str">
        <x:v>PEA-B-X3</x:v>
      </x:c>
      <x:c r="D3291" s="7" t="str">
        <x:v>channel instance</x:v>
      </x:c>
      <x:c r="E3291" s="7" t="str">
        <x:v>CH-PEA-B-X3-11-4</x:v>
      </x:c>
      <x:c r="F3291" s="7" t="str">
        <x:f>'Channel Instances'!O1222</x:f>
        <x:v>OPEN</x:v>
      </x:c>
    </x:row>
    <x:row r="3292">
      <x:c r="B3292" s="7" t="str">
        <x:v>AG-03286</x:v>
      </x:c>
      <x:c r="C3292" s="7" t="str">
        <x:v>PEA-B-X3</x:v>
      </x:c>
      <x:c r="D3292" s="7" t="str">
        <x:v>channel instance</x:v>
      </x:c>
      <x:c r="E3292" s="7" t="str">
        <x:v>CH-PEA-B-X3-11-5</x:v>
      </x:c>
      <x:c r="F3292" s="7" t="str">
        <x:f>'Channel Instances'!O1223</x:f>
        <x:v>OPEN</x:v>
      </x:c>
    </x:row>
    <x:row r="3293">
      <x:c r="B3293" s="7" t="str">
        <x:v>AG-03287</x:v>
      </x:c>
      <x:c r="C3293" s="7" t="str">
        <x:v>PEA-B-X3</x:v>
      </x:c>
      <x:c r="D3293" s="7" t="str">
        <x:v>channel instance</x:v>
      </x:c>
      <x:c r="E3293" s="7" t="str">
        <x:v>CH-PEA-B-X3-11-6</x:v>
      </x:c>
      <x:c r="F3293" s="7" t="str">
        <x:f>'Channel Instances'!O1224</x:f>
        <x:v>OPEN</x:v>
      </x:c>
    </x:row>
    <x:row r="3294">
      <x:c r="B3294" s="7" t="str">
        <x:v>AG-03288</x:v>
      </x:c>
      <x:c r="C3294" s="7" t="str">
        <x:v>PEA-B-X3</x:v>
      </x:c>
      <x:c r="D3294" s="7" t="str">
        <x:v>channel instance</x:v>
      </x:c>
      <x:c r="E3294" s="7" t="str">
        <x:v>CH-PEA-B-X3-12-1</x:v>
      </x:c>
      <x:c r="F3294" s="7" t="str">
        <x:f>'Channel Instances'!O1225</x:f>
        <x:v>OPEN</x:v>
      </x:c>
    </x:row>
    <x:row r="3295">
      <x:c r="B3295" s="7" t="str">
        <x:v>AG-03289</x:v>
      </x:c>
      <x:c r="C3295" s="7" t="str">
        <x:v>PEA-B-X3</x:v>
      </x:c>
      <x:c r="D3295" s="7" t="str">
        <x:v>channel instance</x:v>
      </x:c>
      <x:c r="E3295" s="7" t="str">
        <x:v>CH-PEA-B-X3-12-2</x:v>
      </x:c>
      <x:c r="F3295" s="7" t="str">
        <x:f>'Channel Instances'!O1226</x:f>
        <x:v>OPEN</x:v>
      </x:c>
    </x:row>
    <x:row r="3296">
      <x:c r="B3296" s="7" t="str">
        <x:v>AG-03290</x:v>
      </x:c>
      <x:c r="C3296" s="7" t="str">
        <x:v>PEA-B-X3</x:v>
      </x:c>
      <x:c r="D3296" s="7" t="str">
        <x:v>channel instance</x:v>
      </x:c>
      <x:c r="E3296" s="7" t="str">
        <x:v>CH-PEA-B-X3-12-3</x:v>
      </x:c>
      <x:c r="F3296" s="7" t="str">
        <x:f>'Channel Instances'!O1227</x:f>
        <x:v>OPEN</x:v>
      </x:c>
    </x:row>
    <x:row r="3297">
      <x:c r="B3297" s="7" t="str">
        <x:v>AG-03291</x:v>
      </x:c>
      <x:c r="C3297" s="7" t="str">
        <x:v>PEA-B-X3</x:v>
      </x:c>
      <x:c r="D3297" s="7" t="str">
        <x:v>channel instance</x:v>
      </x:c>
      <x:c r="E3297" s="7" t="str">
        <x:v>CH-PEA-B-X3-12-4</x:v>
      </x:c>
      <x:c r="F3297" s="7" t="str">
        <x:f>'Channel Instances'!O1228</x:f>
        <x:v>OPEN</x:v>
      </x:c>
    </x:row>
    <x:row r="3298">
      <x:c r="B3298" s="7" t="str">
        <x:v>AG-03292</x:v>
      </x:c>
      <x:c r="C3298" s="7" t="str">
        <x:v>PEA-B-X3</x:v>
      </x:c>
      <x:c r="D3298" s="7" t="str">
        <x:v>channel instance</x:v>
      </x:c>
      <x:c r="E3298" s="7" t="str">
        <x:v>CH-PEA-B-X3-12-5</x:v>
      </x:c>
      <x:c r="F3298" s="7" t="str">
        <x:f>'Channel Instances'!O1229</x:f>
        <x:v>OPEN</x:v>
      </x:c>
    </x:row>
    <x:row r="3299">
      <x:c r="B3299" s="7" t="str">
        <x:v>AG-03293</x:v>
      </x:c>
      <x:c r="C3299" s="7" t="str">
        <x:v>PEA-B-X3</x:v>
      </x:c>
      <x:c r="D3299" s="7" t="str">
        <x:v>channel instance</x:v>
      </x:c>
      <x:c r="E3299" s="7" t="str">
        <x:v>CH-PEA-B-X3-12-6</x:v>
      </x:c>
      <x:c r="F3299" s="7" t="str">
        <x:f>'Channel Instances'!O1230</x:f>
        <x:v>OPEN</x:v>
      </x:c>
    </x:row>
    <x:row r="3300">
      <x:c r="B3300" s="7" t="str">
        <x:v>AG-03294</x:v>
      </x:c>
      <x:c r="C3300" s="7" t="str">
        <x:v>PEA-B-X3</x:v>
      </x:c>
      <x:c r="D3300" s="7" t="str">
        <x:v>channel instance</x:v>
      </x:c>
      <x:c r="E3300" s="7" t="str">
        <x:v>CH-PEA-B-X3-13-1</x:v>
      </x:c>
      <x:c r="F3300" s="7" t="str">
        <x:f>'Channel Instances'!O1231</x:f>
        <x:v>OPEN</x:v>
      </x:c>
    </x:row>
    <x:row r="3301">
      <x:c r="B3301" s="7" t="str">
        <x:v>AG-03295</x:v>
      </x:c>
      <x:c r="C3301" s="7" t="str">
        <x:v>PEA-B-X3</x:v>
      </x:c>
      <x:c r="D3301" s="7" t="str">
        <x:v>channel instance</x:v>
      </x:c>
      <x:c r="E3301" s="7" t="str">
        <x:v>CH-PEA-B-X3-13-2</x:v>
      </x:c>
      <x:c r="F3301" s="7" t="str">
        <x:f>'Channel Instances'!O1232</x:f>
        <x:v>OPEN</x:v>
      </x:c>
    </x:row>
    <x:row r="3302">
      <x:c r="B3302" s="7" t="str">
        <x:v>AG-03296</x:v>
      </x:c>
      <x:c r="C3302" s="7" t="str">
        <x:v>PEA-B-X3</x:v>
      </x:c>
      <x:c r="D3302" s="7" t="str">
        <x:v>channel instance</x:v>
      </x:c>
      <x:c r="E3302" s="7" t="str">
        <x:v>CH-PEA-B-X3-13-3</x:v>
      </x:c>
      <x:c r="F3302" s="7" t="str">
        <x:f>'Channel Instances'!O1233</x:f>
        <x:v>OPEN</x:v>
      </x:c>
    </x:row>
    <x:row r="3303">
      <x:c r="B3303" s="7" t="str">
        <x:v>AG-03297</x:v>
      </x:c>
      <x:c r="C3303" s="7" t="str">
        <x:v>PEA-B-X3</x:v>
      </x:c>
      <x:c r="D3303" s="7" t="str">
        <x:v>channel instance</x:v>
      </x:c>
      <x:c r="E3303" s="7" t="str">
        <x:v>CH-PEA-B-X3-13-4</x:v>
      </x:c>
      <x:c r="F3303" s="7" t="str">
        <x:f>'Channel Instances'!O1234</x:f>
        <x:v>OPEN</x:v>
      </x:c>
    </x:row>
    <x:row r="3304">
      <x:c r="B3304" s="7" t="str">
        <x:v>AG-03298</x:v>
      </x:c>
      <x:c r="C3304" s="7" t="str">
        <x:v>PEA-B-X3</x:v>
      </x:c>
      <x:c r="D3304" s="7" t="str">
        <x:v>channel instance</x:v>
      </x:c>
      <x:c r="E3304" s="7" t="str">
        <x:v>CH-PEA-B-X3-13-5</x:v>
      </x:c>
      <x:c r="F3304" s="7" t="str">
        <x:f>'Channel Instances'!O1235</x:f>
        <x:v>OPEN</x:v>
      </x:c>
    </x:row>
    <x:row r="3305">
      <x:c r="B3305" s="7" t="str">
        <x:v>AG-03299</x:v>
      </x:c>
      <x:c r="C3305" s="7" t="str">
        <x:v>PEA-B-X3</x:v>
      </x:c>
      <x:c r="D3305" s="7" t="str">
        <x:v>channel instance</x:v>
      </x:c>
      <x:c r="E3305" s="7" t="str">
        <x:v>CH-PEA-B-X3-13-6</x:v>
      </x:c>
      <x:c r="F3305" s="7" t="str">
        <x:f>'Channel Instances'!O1236</x:f>
        <x:v>OPEN</x:v>
      </x:c>
    </x:row>
    <x:row r="3306">
      <x:c r="B3306" s="7" t="str">
        <x:v>AG-03300</x:v>
      </x:c>
      <x:c r="C3306" s="7" t="str">
        <x:v>PEA-B-X3</x:v>
      </x:c>
      <x:c r="D3306" s="7" t="str">
        <x:v>channel instance</x:v>
      </x:c>
      <x:c r="E3306" s="7" t="str">
        <x:v>CH-PEA-B-X3-14-1</x:v>
      </x:c>
      <x:c r="F3306" s="7" t="str">
        <x:f>'Channel Instances'!O1237</x:f>
        <x:v>OPEN</x:v>
      </x:c>
    </x:row>
    <x:row r="3307">
      <x:c r="B3307" s="7" t="str">
        <x:v>AG-03301</x:v>
      </x:c>
      <x:c r="C3307" s="7" t="str">
        <x:v>PEA-B-X3</x:v>
      </x:c>
      <x:c r="D3307" s="7" t="str">
        <x:v>channel instance</x:v>
      </x:c>
      <x:c r="E3307" s="7" t="str">
        <x:v>CH-PEA-B-X3-14-2</x:v>
      </x:c>
      <x:c r="F3307" s="7" t="str">
        <x:f>'Channel Instances'!O1238</x:f>
        <x:v>OPEN</x:v>
      </x:c>
    </x:row>
    <x:row r="3308">
      <x:c r="B3308" s="7" t="str">
        <x:v>AG-03302</x:v>
      </x:c>
      <x:c r="C3308" s="7" t="str">
        <x:v>PEA-B-X3</x:v>
      </x:c>
      <x:c r="D3308" s="7" t="str">
        <x:v>channel instance</x:v>
      </x:c>
      <x:c r="E3308" s="7" t="str">
        <x:v>CH-PEA-B-X3-14-3</x:v>
      </x:c>
      <x:c r="F3308" s="7" t="str">
        <x:f>'Channel Instances'!O1239</x:f>
        <x:v>OPEN</x:v>
      </x:c>
    </x:row>
    <x:row r="3309">
      <x:c r="B3309" s="7" t="str">
        <x:v>AG-03303</x:v>
      </x:c>
      <x:c r="C3309" s="7" t="str">
        <x:v>PEA-B-X3</x:v>
      </x:c>
      <x:c r="D3309" s="7" t="str">
        <x:v>channel instance</x:v>
      </x:c>
      <x:c r="E3309" s="7" t="str">
        <x:v>CH-PEA-B-X3-14-4</x:v>
      </x:c>
      <x:c r="F3309" s="7" t="str">
        <x:f>'Channel Instances'!O1240</x:f>
        <x:v>OPEN</x:v>
      </x:c>
    </x:row>
    <x:row r="3310">
      <x:c r="B3310" s="7" t="str">
        <x:v>AG-03304</x:v>
      </x:c>
      <x:c r="C3310" s="7" t="str">
        <x:v>PEA-B-X3</x:v>
      </x:c>
      <x:c r="D3310" s="7" t="str">
        <x:v>channel instance</x:v>
      </x:c>
      <x:c r="E3310" s="7" t="str">
        <x:v>CH-PEA-B-X3-14-5</x:v>
      </x:c>
      <x:c r="F3310" s="7" t="str">
        <x:f>'Channel Instances'!O1241</x:f>
        <x:v>OPEN</x:v>
      </x:c>
    </x:row>
    <x:row r="3311">
      <x:c r="B3311" s="7" t="str">
        <x:v>AG-03305</x:v>
      </x:c>
      <x:c r="C3311" s="7" t="str">
        <x:v>PEA-B-X3</x:v>
      </x:c>
      <x:c r="D3311" s="7" t="str">
        <x:v>channel instance</x:v>
      </x:c>
      <x:c r="E3311" s="7" t="str">
        <x:v>CH-PEA-B-X3-14-6</x:v>
      </x:c>
      <x:c r="F3311" s="7" t="str">
        <x:f>'Channel Instances'!O1242</x:f>
        <x:v>OPEN</x:v>
      </x:c>
    </x:row>
    <x:row r="3312">
      <x:c r="B3312" s="7" t="str">
        <x:v>AG-03306</x:v>
      </x:c>
      <x:c r="C3312" s="7" t="str">
        <x:v>PEA-B-X3</x:v>
      </x:c>
      <x:c r="D3312" s="7" t="str">
        <x:v>channel instance</x:v>
      </x:c>
      <x:c r="E3312" s="7" t="str">
        <x:v>CH-PEA-B-X3-15-1</x:v>
      </x:c>
      <x:c r="F3312" s="7" t="str">
        <x:f>'Channel Instances'!O1243</x:f>
        <x:v>OPEN</x:v>
      </x:c>
    </x:row>
    <x:row r="3313">
      <x:c r="B3313" s="7" t="str">
        <x:v>AG-03307</x:v>
      </x:c>
      <x:c r="C3313" s="7" t="str">
        <x:v>PEA-B-X3</x:v>
      </x:c>
      <x:c r="D3313" s="7" t="str">
        <x:v>channel instance</x:v>
      </x:c>
      <x:c r="E3313" s="7" t="str">
        <x:v>CH-PEA-B-X3-15-2</x:v>
      </x:c>
      <x:c r="F3313" s="7" t="str">
        <x:f>'Channel Instances'!O1244</x:f>
        <x:v>OPEN</x:v>
      </x:c>
    </x:row>
    <x:row r="3314">
      <x:c r="B3314" s="7" t="str">
        <x:v>AG-03308</x:v>
      </x:c>
      <x:c r="C3314" s="7" t="str">
        <x:v>PEA-B-X3</x:v>
      </x:c>
      <x:c r="D3314" s="7" t="str">
        <x:v>channel instance</x:v>
      </x:c>
      <x:c r="E3314" s="7" t="str">
        <x:v>CH-PEA-B-X3-15-3</x:v>
      </x:c>
      <x:c r="F3314" s="7" t="str">
        <x:f>'Channel Instances'!O1245</x:f>
        <x:v>OPEN</x:v>
      </x:c>
    </x:row>
    <x:row r="3315">
      <x:c r="B3315" s="7" t="str">
        <x:v>AG-03309</x:v>
      </x:c>
      <x:c r="C3315" s="7" t="str">
        <x:v>PEA-B-X3</x:v>
      </x:c>
      <x:c r="D3315" s="7" t="str">
        <x:v>channel instance</x:v>
      </x:c>
      <x:c r="E3315" s="7" t="str">
        <x:v>CH-PEA-B-X3-15-4</x:v>
      </x:c>
      <x:c r="F3315" s="7" t="str">
        <x:f>'Channel Instances'!O1246</x:f>
        <x:v>OPEN</x:v>
      </x:c>
    </x:row>
    <x:row r="3316">
      <x:c r="B3316" s="7" t="str">
        <x:v>AG-03310</x:v>
      </x:c>
      <x:c r="C3316" s="7" t="str">
        <x:v>PEA-B-X3</x:v>
      </x:c>
      <x:c r="D3316" s="7" t="str">
        <x:v>channel instance</x:v>
      </x:c>
      <x:c r="E3316" s="7" t="str">
        <x:v>CH-PEA-B-X3-15-5</x:v>
      </x:c>
      <x:c r="F3316" s="7" t="str">
        <x:f>'Channel Instances'!O1247</x:f>
        <x:v>OPEN</x:v>
      </x:c>
    </x:row>
    <x:row r="3317">
      <x:c r="B3317" s="7" t="str">
        <x:v>AG-03311</x:v>
      </x:c>
      <x:c r="C3317" s="7" t="str">
        <x:v>PEA-B-X3</x:v>
      </x:c>
      <x:c r="D3317" s="7" t="str">
        <x:v>channel instance</x:v>
      </x:c>
      <x:c r="E3317" s="7" t="str">
        <x:v>CH-PEA-B-X3-15-6</x:v>
      </x:c>
      <x:c r="F3317" s="7" t="str">
        <x:f>'Channel Instances'!O1248</x:f>
        <x:v>OPEN</x:v>
      </x:c>
    </x:row>
    <x:row r="3318">
      <x:c r="B3318" s="7" t="str">
        <x:v>AG-03312</x:v>
      </x:c>
      <x:c r="C3318" s="7" t="str">
        <x:v>PEA-B-X3</x:v>
      </x:c>
      <x:c r="D3318" s="7" t="str">
        <x:v>channel instance</x:v>
      </x:c>
      <x:c r="E3318" s="7" t="str">
        <x:v>CH-PEA-B-X3-16-1</x:v>
      </x:c>
      <x:c r="F3318" s="7" t="str">
        <x:f>'Channel Instances'!O1249</x:f>
        <x:v>OPEN</x:v>
      </x:c>
    </x:row>
    <x:row r="3319">
      <x:c r="B3319" s="7" t="str">
        <x:v>AG-03313</x:v>
      </x:c>
      <x:c r="C3319" s="7" t="str">
        <x:v>PEA-B-X3</x:v>
      </x:c>
      <x:c r="D3319" s="7" t="str">
        <x:v>channel instance</x:v>
      </x:c>
      <x:c r="E3319" s="7" t="str">
        <x:v>CH-PEA-B-X3-16-2</x:v>
      </x:c>
      <x:c r="F3319" s="7" t="str">
        <x:f>'Channel Instances'!O1250</x:f>
        <x:v>OPEN</x:v>
      </x:c>
    </x:row>
    <x:row r="3320">
      <x:c r="B3320" s="7" t="str">
        <x:v>AG-03314</x:v>
      </x:c>
      <x:c r="C3320" s="7" t="str">
        <x:v>PEA-B-X3</x:v>
      </x:c>
      <x:c r="D3320" s="7" t="str">
        <x:v>channel instance</x:v>
      </x:c>
      <x:c r="E3320" s="7" t="str">
        <x:v>CH-PEA-B-X3-16-3</x:v>
      </x:c>
      <x:c r="F3320" s="7" t="str">
        <x:f>'Channel Instances'!O1251</x:f>
        <x:v>OPEN</x:v>
      </x:c>
    </x:row>
    <x:row r="3321">
      <x:c r="B3321" s="7" t="str">
        <x:v>AG-03315</x:v>
      </x:c>
      <x:c r="C3321" s="7" t="str">
        <x:v>PEA-B-X3</x:v>
      </x:c>
      <x:c r="D3321" s="7" t="str">
        <x:v>channel instance</x:v>
      </x:c>
      <x:c r="E3321" s="7" t="str">
        <x:v>CH-PEA-B-X3-16-4</x:v>
      </x:c>
      <x:c r="F3321" s="7" t="str">
        <x:f>'Channel Instances'!O1252</x:f>
        <x:v>OPEN</x:v>
      </x:c>
    </x:row>
    <x:row r="3322">
      <x:c r="B3322" s="7" t="str">
        <x:v>AG-03316</x:v>
      </x:c>
      <x:c r="C3322" s="7" t="str">
        <x:v>PEA-B-X3</x:v>
      </x:c>
      <x:c r="D3322" s="7" t="str">
        <x:v>channel instance</x:v>
      </x:c>
      <x:c r="E3322" s="7" t="str">
        <x:v>CH-PEA-B-X3-16-5</x:v>
      </x:c>
      <x:c r="F3322" s="7" t="str">
        <x:f>'Channel Instances'!O1253</x:f>
        <x:v>OPEN</x:v>
      </x:c>
    </x:row>
    <x:row r="3323">
      <x:c r="B3323" s="7" t="str">
        <x:v>AG-03317</x:v>
      </x:c>
      <x:c r="C3323" s="7" t="str">
        <x:v>PEA-B-X3</x:v>
      </x:c>
      <x:c r="D3323" s="7" t="str">
        <x:v>channel instance</x:v>
      </x:c>
      <x:c r="E3323" s="7" t="str">
        <x:v>CH-PEA-B-X3-16-6</x:v>
      </x:c>
      <x:c r="F3323" s="7" t="str">
        <x:f>'Channel Instances'!O1254</x:f>
        <x:v>OPEN</x:v>
      </x:c>
    </x:row>
    <x:row r="3324">
      <x:c r="B3324" s="7" t="str">
        <x:v>AG-03318</x:v>
      </x:c>
      <x:c r="C3324" s="7" t="str">
        <x:v>PEA-B-X3</x:v>
      </x:c>
      <x:c r="D3324" s="7" t="str">
        <x:v>channel instance</x:v>
      </x:c>
      <x:c r="E3324" s="7" t="str">
        <x:v>CH-PEA-B-X3-17-1</x:v>
      </x:c>
      <x:c r="F3324" s="7" t="str">
        <x:f>'Channel Instances'!O1255</x:f>
        <x:v>OPEN</x:v>
      </x:c>
    </x:row>
    <x:row r="3325">
      <x:c r="B3325" s="7" t="str">
        <x:v>AG-03319</x:v>
      </x:c>
      <x:c r="C3325" s="7" t="str">
        <x:v>PEA-B-X3</x:v>
      </x:c>
      <x:c r="D3325" s="7" t="str">
        <x:v>channel instance</x:v>
      </x:c>
      <x:c r="E3325" s="7" t="str">
        <x:v>CH-PEA-B-X3-17-2</x:v>
      </x:c>
      <x:c r="F3325" s="7" t="str">
        <x:f>'Channel Instances'!O1256</x:f>
        <x:v>OPEN</x:v>
      </x:c>
    </x:row>
    <x:row r="3326">
      <x:c r="B3326" s="7" t="str">
        <x:v>AG-03320</x:v>
      </x:c>
      <x:c r="C3326" s="7" t="str">
        <x:v>PEA-B-X3</x:v>
      </x:c>
      <x:c r="D3326" s="7" t="str">
        <x:v>channel instance</x:v>
      </x:c>
      <x:c r="E3326" s="7" t="str">
        <x:v>CH-PEA-B-X3-17-3</x:v>
      </x:c>
      <x:c r="F3326" s="7" t="str">
        <x:f>'Channel Instances'!O1257</x:f>
        <x:v>OPEN</x:v>
      </x:c>
    </x:row>
    <x:row r="3327">
      <x:c r="B3327" s="7" t="str">
        <x:v>AG-03321</x:v>
      </x:c>
      <x:c r="C3327" s="7" t="str">
        <x:v>PEA-B-X3</x:v>
      </x:c>
      <x:c r="D3327" s="7" t="str">
        <x:v>channel instance</x:v>
      </x:c>
      <x:c r="E3327" s="7" t="str">
        <x:v>CH-PEA-B-X3-17-4</x:v>
      </x:c>
      <x:c r="F3327" s="7" t="str">
        <x:f>'Channel Instances'!O1258</x:f>
        <x:v>OPEN</x:v>
      </x:c>
    </x:row>
    <x:row r="3328">
      <x:c r="B3328" s="7" t="str">
        <x:v>AG-03322</x:v>
      </x:c>
      <x:c r="C3328" s="7" t="str">
        <x:v>PEA-B-X3</x:v>
      </x:c>
      <x:c r="D3328" s="7" t="str">
        <x:v>channel instance</x:v>
      </x:c>
      <x:c r="E3328" s="7" t="str">
        <x:v>CH-PEA-B-X3-17-5</x:v>
      </x:c>
      <x:c r="F3328" s="7" t="str">
        <x:f>'Channel Instances'!O1259</x:f>
        <x:v>OPEN</x:v>
      </x:c>
    </x:row>
    <x:row r="3329">
      <x:c r="B3329" s="7" t="str">
        <x:v>AG-03323</x:v>
      </x:c>
      <x:c r="C3329" s="7" t="str">
        <x:v>PEA-B-X3</x:v>
      </x:c>
      <x:c r="D3329" s="7" t="str">
        <x:v>channel instance</x:v>
      </x:c>
      <x:c r="E3329" s="7" t="str">
        <x:v>CH-PEA-B-X3-17-6</x:v>
      </x:c>
      <x:c r="F3329" s="7" t="str">
        <x:f>'Channel Instances'!O1260</x:f>
        <x:v>OPEN</x:v>
      </x:c>
    </x:row>
    <x:row r="3330">
      <x:c r="B3330" s="7" t="str">
        <x:v>AG-03324</x:v>
      </x:c>
      <x:c r="C3330" s="7" t="str">
        <x:v>PEA-B-X3</x:v>
      </x:c>
      <x:c r="D3330" s="7" t="str">
        <x:v>channel instance</x:v>
      </x:c>
      <x:c r="E3330" s="7" t="str">
        <x:v>CH-PEA-B-X3-18-1</x:v>
      </x:c>
      <x:c r="F3330" s="7" t="str">
        <x:f>'Channel Instances'!O1261</x:f>
        <x:v>OPEN</x:v>
      </x:c>
    </x:row>
    <x:row r="3331">
      <x:c r="B3331" s="7" t="str">
        <x:v>AG-03325</x:v>
      </x:c>
      <x:c r="C3331" s="7" t="str">
        <x:v>PEA-B-X3</x:v>
      </x:c>
      <x:c r="D3331" s="7" t="str">
        <x:v>channel instance</x:v>
      </x:c>
      <x:c r="E3331" s="7" t="str">
        <x:v>CH-PEA-B-X3-18-2</x:v>
      </x:c>
      <x:c r="F3331" s="7" t="str">
        <x:f>'Channel Instances'!O1262</x:f>
        <x:v>OPEN</x:v>
      </x:c>
    </x:row>
    <x:row r="3332">
      <x:c r="B3332" s="7" t="str">
        <x:v>AG-03326</x:v>
      </x:c>
      <x:c r="C3332" s="7" t="str">
        <x:v>PEA-B-X3</x:v>
      </x:c>
      <x:c r="D3332" s="7" t="str">
        <x:v>channel instance</x:v>
      </x:c>
      <x:c r="E3332" s="7" t="str">
        <x:v>CH-PEA-B-X3-18-3</x:v>
      </x:c>
      <x:c r="F3332" s="7" t="str">
        <x:f>'Channel Instances'!O1263</x:f>
        <x:v>OPEN</x:v>
      </x:c>
    </x:row>
    <x:row r="3333">
      <x:c r="B3333" s="7" t="str">
        <x:v>AG-03327</x:v>
      </x:c>
      <x:c r="C3333" s="7" t="str">
        <x:v>PEA-B-X3</x:v>
      </x:c>
      <x:c r="D3333" s="7" t="str">
        <x:v>channel instance</x:v>
      </x:c>
      <x:c r="E3333" s="7" t="str">
        <x:v>CH-PEA-B-X3-18-4</x:v>
      </x:c>
      <x:c r="F3333" s="7" t="str">
        <x:f>'Channel Instances'!O1264</x:f>
        <x:v>OPEN</x:v>
      </x:c>
    </x:row>
    <x:row r="3334">
      <x:c r="B3334" s="7" t="str">
        <x:v>AG-03328</x:v>
      </x:c>
      <x:c r="C3334" s="7" t="str">
        <x:v>PEA-B-X3</x:v>
      </x:c>
      <x:c r="D3334" s="7" t="str">
        <x:v>channel instance</x:v>
      </x:c>
      <x:c r="E3334" s="7" t="str">
        <x:v>CH-PEA-B-X3-18-5</x:v>
      </x:c>
      <x:c r="F3334" s="7" t="str">
        <x:f>'Channel Instances'!O1265</x:f>
        <x:v>OPEN</x:v>
      </x:c>
    </x:row>
    <x:row r="3335">
      <x:c r="B3335" s="7" t="str">
        <x:v>AG-03329</x:v>
      </x:c>
      <x:c r="C3335" s="7" t="str">
        <x:v>PEA-B-X3</x:v>
      </x:c>
      <x:c r="D3335" s="7" t="str">
        <x:v>channel instance</x:v>
      </x:c>
      <x:c r="E3335" s="7" t="str">
        <x:v>CH-PEA-B-X3-18-6</x:v>
      </x:c>
      <x:c r="F3335" s="7" t="str">
        <x:f>'Channel Instances'!O1266</x:f>
        <x:v>OPEN</x:v>
      </x:c>
    </x:row>
    <x:row r="3336">
      <x:c r="B3336" s="7" t="str">
        <x:v>AG-03330</x:v>
      </x:c>
      <x:c r="C3336" s="7" t="str">
        <x:v>PEA-B-X3</x:v>
      </x:c>
      <x:c r="D3336" s="7" t="str">
        <x:v>channel instance</x:v>
      </x:c>
      <x:c r="E3336" s="7" t="str">
        <x:v>CH-PEA-B-X3-19-1</x:v>
      </x:c>
      <x:c r="F3336" s="7" t="str">
        <x:f>'Channel Instances'!O1267</x:f>
        <x:v>OPEN</x:v>
      </x:c>
    </x:row>
    <x:row r="3337">
      <x:c r="B3337" s="7" t="str">
        <x:v>AG-03331</x:v>
      </x:c>
      <x:c r="C3337" s="7" t="str">
        <x:v>PEA-B-X3</x:v>
      </x:c>
      <x:c r="D3337" s="7" t="str">
        <x:v>channel instance</x:v>
      </x:c>
      <x:c r="E3337" s="7" t="str">
        <x:v>CH-PEA-B-X3-19-2</x:v>
      </x:c>
      <x:c r="F3337" s="7" t="str">
        <x:f>'Channel Instances'!O1268</x:f>
        <x:v>OPEN</x:v>
      </x:c>
    </x:row>
    <x:row r="3338">
      <x:c r="B3338" s="7" t="str">
        <x:v>AG-03332</x:v>
      </x:c>
      <x:c r="C3338" s="7" t="str">
        <x:v>PEA-B-X3</x:v>
      </x:c>
      <x:c r="D3338" s="7" t="str">
        <x:v>channel instance</x:v>
      </x:c>
      <x:c r="E3338" s="7" t="str">
        <x:v>CH-PEA-B-X3-19-3</x:v>
      </x:c>
      <x:c r="F3338" s="7" t="str">
        <x:f>'Channel Instances'!O1269</x:f>
        <x:v>OPEN</x:v>
      </x:c>
    </x:row>
    <x:row r="3339">
      <x:c r="B3339" s="7" t="str">
        <x:v>AG-03333</x:v>
      </x:c>
      <x:c r="C3339" s="7" t="str">
        <x:v>PEA-B-X3</x:v>
      </x:c>
      <x:c r="D3339" s="7" t="str">
        <x:v>channel instance</x:v>
      </x:c>
      <x:c r="E3339" s="7" t="str">
        <x:v>CH-PEA-B-X3-19-4</x:v>
      </x:c>
      <x:c r="F3339" s="7" t="str">
        <x:f>'Channel Instances'!O1270</x:f>
        <x:v>OPEN</x:v>
      </x:c>
    </x:row>
    <x:row r="3340">
      <x:c r="B3340" s="7" t="str">
        <x:v>AG-03334</x:v>
      </x:c>
      <x:c r="C3340" s="7" t="str">
        <x:v>PEA-B-X3</x:v>
      </x:c>
      <x:c r="D3340" s="7" t="str">
        <x:v>channel instance</x:v>
      </x:c>
      <x:c r="E3340" s="7" t="str">
        <x:v>CH-PEA-B-X3-19-5</x:v>
      </x:c>
      <x:c r="F3340" s="7" t="str">
        <x:f>'Channel Instances'!O1271</x:f>
        <x:v>OPEN</x:v>
      </x:c>
    </x:row>
    <x:row r="3341">
      <x:c r="B3341" s="7" t="str">
        <x:v>AG-03335</x:v>
      </x:c>
      <x:c r="C3341" s="7" t="str">
        <x:v>PEA-B-X3</x:v>
      </x:c>
      <x:c r="D3341" s="7" t="str">
        <x:v>channel instance</x:v>
      </x:c>
      <x:c r="E3341" s="7" t="str">
        <x:v>CH-PEA-B-X3-19-6</x:v>
      </x:c>
      <x:c r="F3341" s="7" t="str">
        <x:f>'Channel Instances'!O1272</x:f>
        <x:v>OPEN</x:v>
      </x:c>
    </x:row>
    <x:row r="3342">
      <x:c r="B3342" s="7" t="str">
        <x:v>AG-03336</x:v>
      </x:c>
      <x:c r="C3342" s="7" t="str">
        <x:v>PEA-B-X3</x:v>
      </x:c>
      <x:c r="D3342" s="7" t="str">
        <x:v>channel instance</x:v>
      </x:c>
      <x:c r="E3342" s="7" t="str">
        <x:v>CH-PEA-B-X3-20-1</x:v>
      </x:c>
      <x:c r="F3342" s="7" t="str">
        <x:f>'Channel Instances'!O1273</x:f>
        <x:v>OPEN</x:v>
      </x:c>
    </x:row>
    <x:row r="3343">
      <x:c r="B3343" s="7" t="str">
        <x:v>AG-03337</x:v>
      </x:c>
      <x:c r="C3343" s="7" t="str">
        <x:v>PEA-B-X3</x:v>
      </x:c>
      <x:c r="D3343" s="7" t="str">
        <x:v>channel instance</x:v>
      </x:c>
      <x:c r="E3343" s="7" t="str">
        <x:v>CH-PEA-B-X3-20-2</x:v>
      </x:c>
      <x:c r="F3343" s="7" t="str">
        <x:f>'Channel Instances'!O1274</x:f>
        <x:v>OPEN</x:v>
      </x:c>
    </x:row>
    <x:row r="3344">
      <x:c r="B3344" s="7" t="str">
        <x:v>AG-03338</x:v>
      </x:c>
      <x:c r="C3344" s="7" t="str">
        <x:v>PEA-B-X3</x:v>
      </x:c>
      <x:c r="D3344" s="7" t="str">
        <x:v>channel instance</x:v>
      </x:c>
      <x:c r="E3344" s="7" t="str">
        <x:v>CH-PEA-B-X3-20-3</x:v>
      </x:c>
      <x:c r="F3344" s="7" t="str">
        <x:f>'Channel Instances'!O1275</x:f>
        <x:v>OPEN</x:v>
      </x:c>
    </x:row>
    <x:row r="3345">
      <x:c r="B3345" s="7" t="str">
        <x:v>AG-03339</x:v>
      </x:c>
      <x:c r="C3345" s="7" t="str">
        <x:v>PEA-B-X3</x:v>
      </x:c>
      <x:c r="D3345" s="7" t="str">
        <x:v>channel instance</x:v>
      </x:c>
      <x:c r="E3345" s="7" t="str">
        <x:v>CH-PEA-B-X3-20-4</x:v>
      </x:c>
      <x:c r="F3345" s="7" t="str">
        <x:f>'Channel Instances'!O1276</x:f>
        <x:v>OPEN</x:v>
      </x:c>
    </x:row>
    <x:row r="3346">
      <x:c r="B3346" s="7" t="str">
        <x:v>AG-03340</x:v>
      </x:c>
      <x:c r="C3346" s="7" t="str">
        <x:v>PEA-B-X3</x:v>
      </x:c>
      <x:c r="D3346" s="7" t="str">
        <x:v>channel instance</x:v>
      </x:c>
      <x:c r="E3346" s="7" t="str">
        <x:v>CH-PEA-B-X3-20-5</x:v>
      </x:c>
      <x:c r="F3346" s="7" t="str">
        <x:f>'Channel Instances'!O1277</x:f>
        <x:v>OPEN</x:v>
      </x:c>
    </x:row>
    <x:row r="3347">
      <x:c r="B3347" s="7" t="str">
        <x:v>AG-03341</x:v>
      </x:c>
      <x:c r="C3347" s="7" t="str">
        <x:v>PEA-B-X3</x:v>
      </x:c>
      <x:c r="D3347" s="7" t="str">
        <x:v>channel instance</x:v>
      </x:c>
      <x:c r="E3347" s="7" t="str">
        <x:v>CH-PEA-B-X3-20-6</x:v>
      </x:c>
      <x:c r="F3347" s="7" t="str">
        <x:f>'Channel Instances'!O1278</x:f>
        <x:v>OPEN</x:v>
      </x:c>
    </x:row>
    <x:row r="3348">
      <x:c r="B3348" s="7" t="str">
        <x:v>AG-03342</x:v>
      </x:c>
      <x:c r="C3348" s="7" t="str">
        <x:v>PEA-B-X3</x:v>
      </x:c>
      <x:c r="D3348" s="7" t="str">
        <x:v>channel instance</x:v>
      </x:c>
      <x:c r="E3348" s="7" t="str">
        <x:v>CH-PEA-B-X3-21-1</x:v>
      </x:c>
      <x:c r="F3348" s="7" t="str">
        <x:f>'Channel Instances'!O1279</x:f>
        <x:v>OPEN</x:v>
      </x:c>
    </x:row>
    <x:row r="3349">
      <x:c r="B3349" s="7" t="str">
        <x:v>AG-03343</x:v>
      </x:c>
      <x:c r="C3349" s="7" t="str">
        <x:v>PEA-B-X3</x:v>
      </x:c>
      <x:c r="D3349" s="7" t="str">
        <x:v>channel instance</x:v>
      </x:c>
      <x:c r="E3349" s="7" t="str">
        <x:v>CH-PEA-B-X3-21-2</x:v>
      </x:c>
      <x:c r="F3349" s="7" t="str">
        <x:f>'Channel Instances'!O1280</x:f>
        <x:v>OPEN</x:v>
      </x:c>
    </x:row>
    <x:row r="3350">
      <x:c r="B3350" s="7" t="str">
        <x:v>AG-03344</x:v>
      </x:c>
      <x:c r="C3350" s="7" t="str">
        <x:v>PEA-B-X3</x:v>
      </x:c>
      <x:c r="D3350" s="7" t="str">
        <x:v>channel instance</x:v>
      </x:c>
      <x:c r="E3350" s="7" t="str">
        <x:v>CH-PEA-B-X3-21-3</x:v>
      </x:c>
      <x:c r="F3350" s="7" t="str">
        <x:f>'Channel Instances'!O1281</x:f>
        <x:v>OPEN</x:v>
      </x:c>
    </x:row>
    <x:row r="3351">
      <x:c r="B3351" s="7" t="str">
        <x:v>AG-03345</x:v>
      </x:c>
      <x:c r="C3351" s="7" t="str">
        <x:v>PEA-B-X3</x:v>
      </x:c>
      <x:c r="D3351" s="7" t="str">
        <x:v>channel instance</x:v>
      </x:c>
      <x:c r="E3351" s="7" t="str">
        <x:v>CH-PEA-B-X3-21-4</x:v>
      </x:c>
      <x:c r="F3351" s="7" t="str">
        <x:f>'Channel Instances'!O1282</x:f>
        <x:v>OPEN</x:v>
      </x:c>
    </x:row>
    <x:row r="3352">
      <x:c r="B3352" s="7" t="str">
        <x:v>AG-03346</x:v>
      </x:c>
      <x:c r="C3352" s="7" t="str">
        <x:v>PEA-B-X3</x:v>
      </x:c>
      <x:c r="D3352" s="7" t="str">
        <x:v>channel instance</x:v>
      </x:c>
      <x:c r="E3352" s="7" t="str">
        <x:v>CH-PEA-B-X3-21-5</x:v>
      </x:c>
      <x:c r="F3352" s="7" t="str">
        <x:f>'Channel Instances'!O1283</x:f>
        <x:v>OPEN</x:v>
      </x:c>
    </x:row>
    <x:row r="3353">
      <x:c r="B3353" s="7" t="str">
        <x:v>AG-03347</x:v>
      </x:c>
      <x:c r="C3353" s="7" t="str">
        <x:v>PEA-B-X3</x:v>
      </x:c>
      <x:c r="D3353" s="7" t="str">
        <x:v>channel instance</x:v>
      </x:c>
      <x:c r="E3353" s="7" t="str">
        <x:v>CH-PEA-B-X3-21-6</x:v>
      </x:c>
      <x:c r="F3353" s="7" t="str">
        <x:f>'Channel Instances'!O1284</x:f>
        <x:v>OPEN</x:v>
      </x:c>
    </x:row>
    <x:row r="3354">
      <x:c r="B3354" s="7" t="str">
        <x:v>AG-03348</x:v>
      </x:c>
      <x:c r="C3354" s="7" t="str">
        <x:v>PEA-B-X3</x:v>
      </x:c>
      <x:c r="D3354" s="7" t="str">
        <x:v>channel instance</x:v>
      </x:c>
      <x:c r="E3354" s="7" t="str">
        <x:v>CH-PEA-B-X3-22-1</x:v>
      </x:c>
      <x:c r="F3354" s="7" t="str">
        <x:f>'Channel Instances'!O1285</x:f>
        <x:v>OPEN</x:v>
      </x:c>
    </x:row>
    <x:row r="3355">
      <x:c r="B3355" s="7" t="str">
        <x:v>AG-03349</x:v>
      </x:c>
      <x:c r="C3355" s="7" t="str">
        <x:v>PEA-B-X3</x:v>
      </x:c>
      <x:c r="D3355" s="7" t="str">
        <x:v>channel instance</x:v>
      </x:c>
      <x:c r="E3355" s="7" t="str">
        <x:v>CH-PEA-B-X3-22-2</x:v>
      </x:c>
      <x:c r="F3355" s="7" t="str">
        <x:f>'Channel Instances'!O1286</x:f>
        <x:v>OPEN</x:v>
      </x:c>
    </x:row>
    <x:row r="3356">
      <x:c r="B3356" s="7" t="str">
        <x:v>AG-03350</x:v>
      </x:c>
      <x:c r="C3356" s="7" t="str">
        <x:v>PEA-B-X3</x:v>
      </x:c>
      <x:c r="D3356" s="7" t="str">
        <x:v>channel instance</x:v>
      </x:c>
      <x:c r="E3356" s="7" t="str">
        <x:v>CH-PEA-B-X3-22-3</x:v>
      </x:c>
      <x:c r="F3356" s="7" t="str">
        <x:f>'Channel Instances'!O1287</x:f>
        <x:v>OPEN</x:v>
      </x:c>
    </x:row>
    <x:row r="3357">
      <x:c r="B3357" s="7" t="str">
        <x:v>AG-03351</x:v>
      </x:c>
      <x:c r="C3357" s="7" t="str">
        <x:v>PEA-B-X3</x:v>
      </x:c>
      <x:c r="D3357" s="7" t="str">
        <x:v>channel instance</x:v>
      </x:c>
      <x:c r="E3357" s="7" t="str">
        <x:v>CH-PEA-B-X3-22-4</x:v>
      </x:c>
      <x:c r="F3357" s="7" t="str">
        <x:f>'Channel Instances'!O1288</x:f>
        <x:v>OPEN</x:v>
      </x:c>
    </x:row>
    <x:row r="3358">
      <x:c r="B3358" s="7" t="str">
        <x:v>AG-03352</x:v>
      </x:c>
      <x:c r="C3358" s="7" t="str">
        <x:v>PEA-B-X3</x:v>
      </x:c>
      <x:c r="D3358" s="7" t="str">
        <x:v>channel instance</x:v>
      </x:c>
      <x:c r="E3358" s="7" t="str">
        <x:v>CH-PEA-B-X3-22-5</x:v>
      </x:c>
      <x:c r="F3358" s="7" t="str">
        <x:f>'Channel Instances'!O1289</x:f>
        <x:v>OPEN</x:v>
      </x:c>
    </x:row>
    <x:row r="3359">
      <x:c r="B3359" s="7" t="str">
        <x:v>AG-03353</x:v>
      </x:c>
      <x:c r="C3359" s="7" t="str">
        <x:v>PEA-B-X3</x:v>
      </x:c>
      <x:c r="D3359" s="7" t="str">
        <x:v>channel instance</x:v>
      </x:c>
      <x:c r="E3359" s="7" t="str">
        <x:v>CH-PEA-B-X3-22-6</x:v>
      </x:c>
      <x:c r="F3359" s="7" t="str">
        <x:f>'Channel Instances'!O1290</x:f>
        <x:v>OPEN</x:v>
      </x:c>
    </x:row>
    <x:row r="3360">
      <x:c r="B3360" s="7" t="str">
        <x:v>AG-03354</x:v>
      </x:c>
      <x:c r="C3360" s="7" t="str">
        <x:v>PEA-B-X3</x:v>
      </x:c>
      <x:c r="D3360" s="7" t="str">
        <x:v>channel instance</x:v>
      </x:c>
      <x:c r="E3360" s="7" t="str">
        <x:v>CH-PEA-B-X3-23-1</x:v>
      </x:c>
      <x:c r="F3360" s="7" t="str">
        <x:f>'Channel Instances'!O1291</x:f>
        <x:v>OPEN</x:v>
      </x:c>
    </x:row>
    <x:row r="3361">
      <x:c r="B3361" s="7" t="str">
        <x:v>AG-03355</x:v>
      </x:c>
      <x:c r="C3361" s="7" t="str">
        <x:v>PEA-B-X3</x:v>
      </x:c>
      <x:c r="D3361" s="7" t="str">
        <x:v>channel instance</x:v>
      </x:c>
      <x:c r="E3361" s="7" t="str">
        <x:v>CH-PEA-B-X3-23-2</x:v>
      </x:c>
      <x:c r="F3361" s="7" t="str">
        <x:f>'Channel Instances'!O1292</x:f>
        <x:v>OPEN</x:v>
      </x:c>
    </x:row>
    <x:row r="3362">
      <x:c r="B3362" s="7" t="str">
        <x:v>AG-03356</x:v>
      </x:c>
      <x:c r="C3362" s="7" t="str">
        <x:v>PEA-B-X3</x:v>
      </x:c>
      <x:c r="D3362" s="7" t="str">
        <x:v>channel instance</x:v>
      </x:c>
      <x:c r="E3362" s="7" t="str">
        <x:v>CH-PEA-B-X3-23-3</x:v>
      </x:c>
      <x:c r="F3362" s="7" t="str">
        <x:f>'Channel Instances'!O1293</x:f>
        <x:v>OPEN</x:v>
      </x:c>
    </x:row>
    <x:row r="3363">
      <x:c r="B3363" s="7" t="str">
        <x:v>AG-03357</x:v>
      </x:c>
      <x:c r="C3363" s="7" t="str">
        <x:v>PEA-B-X3</x:v>
      </x:c>
      <x:c r="D3363" s="7" t="str">
        <x:v>channel instance</x:v>
      </x:c>
      <x:c r="E3363" s="7" t="str">
        <x:v>CH-PEA-B-X3-23-4</x:v>
      </x:c>
      <x:c r="F3363" s="7" t="str">
        <x:f>'Channel Instances'!O1294</x:f>
        <x:v>OPEN</x:v>
      </x:c>
    </x:row>
    <x:row r="3364">
      <x:c r="B3364" s="7" t="str">
        <x:v>AG-03358</x:v>
      </x:c>
      <x:c r="C3364" s="7" t="str">
        <x:v>PEA-B-X3</x:v>
      </x:c>
      <x:c r="D3364" s="7" t="str">
        <x:v>channel instance</x:v>
      </x:c>
      <x:c r="E3364" s="7" t="str">
        <x:v>CH-PEA-B-X3-23-5</x:v>
      </x:c>
      <x:c r="F3364" s="7" t="str">
        <x:f>'Channel Instances'!O1295</x:f>
        <x:v>OPEN</x:v>
      </x:c>
    </x:row>
    <x:row r="3365">
      <x:c r="B3365" s="7" t="str">
        <x:v>AG-03359</x:v>
      </x:c>
      <x:c r="C3365" s="7" t="str">
        <x:v>PEA-B-X3</x:v>
      </x:c>
      <x:c r="D3365" s="7" t="str">
        <x:v>channel instance</x:v>
      </x:c>
      <x:c r="E3365" s="7" t="str">
        <x:v>CH-PEA-B-X3-23-6</x:v>
      </x:c>
      <x:c r="F3365" s="7" t="str">
        <x:f>'Channel Instances'!O1296</x:f>
        <x:v>OPEN</x:v>
      </x:c>
    </x:row>
    <x:row r="3366">
      <x:c r="B3366" s="7" t="str">
        <x:v>AG-03360</x:v>
      </x:c>
      <x:c r="C3366" s="7" t="str">
        <x:v>PEA-B-X3</x:v>
      </x:c>
      <x:c r="D3366" s="7" t="str">
        <x:v>channel instance</x:v>
      </x:c>
      <x:c r="E3366" s="7" t="str">
        <x:v>CH-PEA-B-X3-24-1</x:v>
      </x:c>
      <x:c r="F3366" s="7" t="str">
        <x:f>'Channel Instances'!O1297</x:f>
        <x:v>OPEN</x:v>
      </x:c>
    </x:row>
    <x:row r="3367">
      <x:c r="B3367" s="7" t="str">
        <x:v>AG-03361</x:v>
      </x:c>
      <x:c r="C3367" s="7" t="str">
        <x:v>PEA-B-X3</x:v>
      </x:c>
      <x:c r="D3367" s="7" t="str">
        <x:v>channel instance</x:v>
      </x:c>
      <x:c r="E3367" s="7" t="str">
        <x:v>CH-PEA-B-X3-24-2</x:v>
      </x:c>
      <x:c r="F3367" s="7" t="str">
        <x:f>'Channel Instances'!O1298</x:f>
        <x:v>OPEN</x:v>
      </x:c>
    </x:row>
    <x:row r="3368">
      <x:c r="B3368" s="7" t="str">
        <x:v>AG-03362</x:v>
      </x:c>
      <x:c r="C3368" s="7" t="str">
        <x:v>PEA-B-X3</x:v>
      </x:c>
      <x:c r="D3368" s="7" t="str">
        <x:v>channel instance</x:v>
      </x:c>
      <x:c r="E3368" s="7" t="str">
        <x:v>CH-PEA-B-X3-24-3</x:v>
      </x:c>
      <x:c r="F3368" s="7" t="str">
        <x:f>'Channel Instances'!O1299</x:f>
        <x:v>OPEN</x:v>
      </x:c>
    </x:row>
    <x:row r="3369">
      <x:c r="B3369" s="7" t="str">
        <x:v>AG-03363</x:v>
      </x:c>
      <x:c r="C3369" s="7" t="str">
        <x:v>PEA-B-X3</x:v>
      </x:c>
      <x:c r="D3369" s="7" t="str">
        <x:v>channel instance</x:v>
      </x:c>
      <x:c r="E3369" s="7" t="str">
        <x:v>CH-PEA-B-X3-24-4</x:v>
      </x:c>
      <x:c r="F3369" s="7" t="str">
        <x:f>'Channel Instances'!O1300</x:f>
        <x:v>OPEN</x:v>
      </x:c>
    </x:row>
    <x:row r="3370">
      <x:c r="B3370" s="7" t="str">
        <x:v>AG-03364</x:v>
      </x:c>
      <x:c r="C3370" s="7" t="str">
        <x:v>PEA-B-X3</x:v>
      </x:c>
      <x:c r="D3370" s="7" t="str">
        <x:v>channel instance</x:v>
      </x:c>
      <x:c r="E3370" s="7" t="str">
        <x:v>CH-PEA-B-X3-24-5</x:v>
      </x:c>
      <x:c r="F3370" s="7" t="str">
        <x:f>'Channel Instances'!O1301</x:f>
        <x:v>OPEN</x:v>
      </x:c>
    </x:row>
    <x:row r="3371">
      <x:c r="B3371" s="7" t="str">
        <x:v>AG-03365</x:v>
      </x:c>
      <x:c r="C3371" s="7" t="str">
        <x:v>PEA-B-X3</x:v>
      </x:c>
      <x:c r="D3371" s="7" t="str">
        <x:v>channel instance</x:v>
      </x:c>
      <x:c r="E3371" s="7" t="str">
        <x:v>CH-PEA-B-X3-24-6</x:v>
      </x:c>
      <x:c r="F3371" s="7" t="str">
        <x:f>'Channel Instances'!O1302</x:f>
        <x:v>OPEN</x:v>
      </x:c>
    </x:row>
    <x:row r="3372">
      <x:c r="B3372" s="7" t="str">
        <x:v>AG-03366</x:v>
      </x:c>
      <x:c r="C3372" s="7" t="str">
        <x:v>PEA-B-X3</x:v>
      </x:c>
      <x:c r="D3372" s="7" t="str">
        <x:v>factory calibration</x:v>
      </x:c>
      <x:c r="E3372" s="7" t="str">
        <x:v>CAL-CH-PEA-B-X3-01-1</x:v>
      </x:c>
      <x:c r="F3372" s="7" t="str">
        <x:f>'Calibration Records'!M1159</x:f>
        <x:v>OPEN</x:v>
      </x:c>
    </x:row>
    <x:row r="3373">
      <x:c r="B3373" s="7" t="str">
        <x:v>AG-03367</x:v>
      </x:c>
      <x:c r="C3373" s="7" t="str">
        <x:v>PEA-B-X3</x:v>
      </x:c>
      <x:c r="D3373" s="7" t="str">
        <x:v>factory calibration</x:v>
      </x:c>
      <x:c r="E3373" s="7" t="str">
        <x:v>CAL-CH-PEA-B-X3-01-2</x:v>
      </x:c>
      <x:c r="F3373" s="7" t="str">
        <x:f>'Calibration Records'!M1160</x:f>
        <x:v>OPEN</x:v>
      </x:c>
    </x:row>
    <x:row r="3374">
      <x:c r="B3374" s="7" t="str">
        <x:v>AG-03368</x:v>
      </x:c>
      <x:c r="C3374" s="7" t="str">
        <x:v>PEA-B-X3</x:v>
      </x:c>
      <x:c r="D3374" s="7" t="str">
        <x:v>factory calibration</x:v>
      </x:c>
      <x:c r="E3374" s="7" t="str">
        <x:v>CAL-CH-PEA-B-X3-01-3</x:v>
      </x:c>
      <x:c r="F3374" s="7" t="str">
        <x:f>'Calibration Records'!M1161</x:f>
        <x:v>OPEN</x:v>
      </x:c>
    </x:row>
    <x:row r="3375">
      <x:c r="B3375" s="7" t="str">
        <x:v>AG-03369</x:v>
      </x:c>
      <x:c r="C3375" s="7" t="str">
        <x:v>PEA-B-X3</x:v>
      </x:c>
      <x:c r="D3375" s="7" t="str">
        <x:v>factory calibration</x:v>
      </x:c>
      <x:c r="E3375" s="7" t="str">
        <x:v>CAL-CH-PEA-B-X3-01-4</x:v>
      </x:c>
      <x:c r="F3375" s="7" t="str">
        <x:f>'Calibration Records'!M1162</x:f>
        <x:v>OPEN</x:v>
      </x:c>
    </x:row>
    <x:row r="3376">
      <x:c r="B3376" s="7" t="str">
        <x:v>AG-03370</x:v>
      </x:c>
      <x:c r="C3376" s="7" t="str">
        <x:v>PEA-B-X3</x:v>
      </x:c>
      <x:c r="D3376" s="7" t="str">
        <x:v>factory calibration</x:v>
      </x:c>
      <x:c r="E3376" s="7" t="str">
        <x:v>CAL-CH-PEA-B-X3-01-5</x:v>
      </x:c>
      <x:c r="F3376" s="7" t="str">
        <x:f>'Calibration Records'!M1163</x:f>
        <x:v>OPEN</x:v>
      </x:c>
    </x:row>
    <x:row r="3377">
      <x:c r="B3377" s="7" t="str">
        <x:v>AG-03371</x:v>
      </x:c>
      <x:c r="C3377" s="7" t="str">
        <x:v>PEA-B-X3</x:v>
      </x:c>
      <x:c r="D3377" s="7" t="str">
        <x:v>factory calibration</x:v>
      </x:c>
      <x:c r="E3377" s="7" t="str">
        <x:v>CAL-CH-PEA-B-X3-01-6</x:v>
      </x:c>
      <x:c r="F3377" s="7" t="str">
        <x:f>'Calibration Records'!M1164</x:f>
        <x:v>OPEN</x:v>
      </x:c>
    </x:row>
    <x:row r="3378">
      <x:c r="B3378" s="7" t="str">
        <x:v>AG-03372</x:v>
      </x:c>
      <x:c r="C3378" s="7" t="str">
        <x:v>PEA-B-X3</x:v>
      </x:c>
      <x:c r="D3378" s="7" t="str">
        <x:v>factory calibration</x:v>
      </x:c>
      <x:c r="E3378" s="7" t="str">
        <x:v>CAL-CH-PEA-B-X3-02-1</x:v>
      </x:c>
      <x:c r="F3378" s="7" t="str">
        <x:f>'Calibration Records'!M1165</x:f>
        <x:v>OPEN</x:v>
      </x:c>
    </x:row>
    <x:row r="3379">
      <x:c r="B3379" s="7" t="str">
        <x:v>AG-03373</x:v>
      </x:c>
      <x:c r="C3379" s="7" t="str">
        <x:v>PEA-B-X3</x:v>
      </x:c>
      <x:c r="D3379" s="7" t="str">
        <x:v>factory calibration</x:v>
      </x:c>
      <x:c r="E3379" s="7" t="str">
        <x:v>CAL-CH-PEA-B-X3-02-2</x:v>
      </x:c>
      <x:c r="F3379" s="7" t="str">
        <x:f>'Calibration Records'!M1166</x:f>
        <x:v>OPEN</x:v>
      </x:c>
    </x:row>
    <x:row r="3380">
      <x:c r="B3380" s="7" t="str">
        <x:v>AG-03374</x:v>
      </x:c>
      <x:c r="C3380" s="7" t="str">
        <x:v>PEA-B-X3</x:v>
      </x:c>
      <x:c r="D3380" s="7" t="str">
        <x:v>factory calibration</x:v>
      </x:c>
      <x:c r="E3380" s="7" t="str">
        <x:v>CAL-CH-PEA-B-X3-02-3</x:v>
      </x:c>
      <x:c r="F3380" s="7" t="str">
        <x:f>'Calibration Records'!M1167</x:f>
        <x:v>OPEN</x:v>
      </x:c>
    </x:row>
    <x:row r="3381">
      <x:c r="B3381" s="7" t="str">
        <x:v>AG-03375</x:v>
      </x:c>
      <x:c r="C3381" s="7" t="str">
        <x:v>PEA-B-X3</x:v>
      </x:c>
      <x:c r="D3381" s="7" t="str">
        <x:v>factory calibration</x:v>
      </x:c>
      <x:c r="E3381" s="7" t="str">
        <x:v>CAL-CH-PEA-B-X3-02-4</x:v>
      </x:c>
      <x:c r="F3381" s="7" t="str">
        <x:f>'Calibration Records'!M1168</x:f>
        <x:v>OPEN</x:v>
      </x:c>
    </x:row>
    <x:row r="3382">
      <x:c r="B3382" s="7" t="str">
        <x:v>AG-03376</x:v>
      </x:c>
      <x:c r="C3382" s="7" t="str">
        <x:v>PEA-B-X3</x:v>
      </x:c>
      <x:c r="D3382" s="7" t="str">
        <x:v>factory calibration</x:v>
      </x:c>
      <x:c r="E3382" s="7" t="str">
        <x:v>CAL-CH-PEA-B-X3-02-5</x:v>
      </x:c>
      <x:c r="F3382" s="7" t="str">
        <x:f>'Calibration Records'!M1169</x:f>
        <x:v>OPEN</x:v>
      </x:c>
    </x:row>
    <x:row r="3383">
      <x:c r="B3383" s="7" t="str">
        <x:v>AG-03377</x:v>
      </x:c>
      <x:c r="C3383" s="7" t="str">
        <x:v>PEA-B-X3</x:v>
      </x:c>
      <x:c r="D3383" s="7" t="str">
        <x:v>factory calibration</x:v>
      </x:c>
      <x:c r="E3383" s="7" t="str">
        <x:v>CAL-CH-PEA-B-X3-02-6</x:v>
      </x:c>
      <x:c r="F3383" s="7" t="str">
        <x:f>'Calibration Records'!M1170</x:f>
        <x:v>OPEN</x:v>
      </x:c>
    </x:row>
    <x:row r="3384">
      <x:c r="B3384" s="7" t="str">
        <x:v>AG-03378</x:v>
      </x:c>
      <x:c r="C3384" s="7" t="str">
        <x:v>PEA-B-X3</x:v>
      </x:c>
      <x:c r="D3384" s="7" t="str">
        <x:v>factory calibration</x:v>
      </x:c>
      <x:c r="E3384" s="7" t="str">
        <x:v>CAL-CH-PEA-B-X3-03-1</x:v>
      </x:c>
      <x:c r="F3384" s="7" t="str">
        <x:f>'Calibration Records'!M1171</x:f>
        <x:v>OPEN</x:v>
      </x:c>
    </x:row>
    <x:row r="3385">
      <x:c r="B3385" s="7" t="str">
        <x:v>AG-03379</x:v>
      </x:c>
      <x:c r="C3385" s="7" t="str">
        <x:v>PEA-B-X3</x:v>
      </x:c>
      <x:c r="D3385" s="7" t="str">
        <x:v>factory calibration</x:v>
      </x:c>
      <x:c r="E3385" s="7" t="str">
        <x:v>CAL-CH-PEA-B-X3-03-2</x:v>
      </x:c>
      <x:c r="F3385" s="7" t="str">
        <x:f>'Calibration Records'!M1172</x:f>
        <x:v>OPEN</x:v>
      </x:c>
    </x:row>
    <x:row r="3386">
      <x:c r="B3386" s="7" t="str">
        <x:v>AG-03380</x:v>
      </x:c>
      <x:c r="C3386" s="7" t="str">
        <x:v>PEA-B-X3</x:v>
      </x:c>
      <x:c r="D3386" s="7" t="str">
        <x:v>factory calibration</x:v>
      </x:c>
      <x:c r="E3386" s="7" t="str">
        <x:v>CAL-CH-PEA-B-X3-03-3</x:v>
      </x:c>
      <x:c r="F3386" s="7" t="str">
        <x:f>'Calibration Records'!M1173</x:f>
        <x:v>OPEN</x:v>
      </x:c>
    </x:row>
    <x:row r="3387">
      <x:c r="B3387" s="7" t="str">
        <x:v>AG-03381</x:v>
      </x:c>
      <x:c r="C3387" s="7" t="str">
        <x:v>PEA-B-X3</x:v>
      </x:c>
      <x:c r="D3387" s="7" t="str">
        <x:v>factory calibration</x:v>
      </x:c>
      <x:c r="E3387" s="7" t="str">
        <x:v>CAL-CH-PEA-B-X3-03-4</x:v>
      </x:c>
      <x:c r="F3387" s="7" t="str">
        <x:f>'Calibration Records'!M1174</x:f>
        <x:v>OPEN</x:v>
      </x:c>
    </x:row>
    <x:row r="3388">
      <x:c r="B3388" s="7" t="str">
        <x:v>AG-03382</x:v>
      </x:c>
      <x:c r="C3388" s="7" t="str">
        <x:v>PEA-B-X3</x:v>
      </x:c>
      <x:c r="D3388" s="7" t="str">
        <x:v>factory calibration</x:v>
      </x:c>
      <x:c r="E3388" s="7" t="str">
        <x:v>CAL-CH-PEA-B-X3-03-5</x:v>
      </x:c>
      <x:c r="F3388" s="7" t="str">
        <x:f>'Calibration Records'!M1175</x:f>
        <x:v>OPEN</x:v>
      </x:c>
    </x:row>
    <x:row r="3389">
      <x:c r="B3389" s="7" t="str">
        <x:v>AG-03383</x:v>
      </x:c>
      <x:c r="C3389" s="7" t="str">
        <x:v>PEA-B-X3</x:v>
      </x:c>
      <x:c r="D3389" s="7" t="str">
        <x:v>factory calibration</x:v>
      </x:c>
      <x:c r="E3389" s="7" t="str">
        <x:v>CAL-CH-PEA-B-X3-03-6</x:v>
      </x:c>
      <x:c r="F3389" s="7" t="str">
        <x:f>'Calibration Records'!M1176</x:f>
        <x:v>OPEN</x:v>
      </x:c>
    </x:row>
    <x:row r="3390">
      <x:c r="B3390" s="7" t="str">
        <x:v>AG-03384</x:v>
      </x:c>
      <x:c r="C3390" s="7" t="str">
        <x:v>PEA-B-X3</x:v>
      </x:c>
      <x:c r="D3390" s="7" t="str">
        <x:v>factory calibration</x:v>
      </x:c>
      <x:c r="E3390" s="7" t="str">
        <x:v>CAL-CH-PEA-B-X3-04-1</x:v>
      </x:c>
      <x:c r="F3390" s="7" t="str">
        <x:f>'Calibration Records'!M1177</x:f>
        <x:v>OPEN</x:v>
      </x:c>
    </x:row>
    <x:row r="3391">
      <x:c r="B3391" s="7" t="str">
        <x:v>AG-03385</x:v>
      </x:c>
      <x:c r="C3391" s="7" t="str">
        <x:v>PEA-B-X3</x:v>
      </x:c>
      <x:c r="D3391" s="7" t="str">
        <x:v>factory calibration</x:v>
      </x:c>
      <x:c r="E3391" s="7" t="str">
        <x:v>CAL-CH-PEA-B-X3-04-2</x:v>
      </x:c>
      <x:c r="F3391" s="7" t="str">
        <x:f>'Calibration Records'!M1178</x:f>
        <x:v>OPEN</x:v>
      </x:c>
    </x:row>
    <x:row r="3392">
      <x:c r="B3392" s="7" t="str">
        <x:v>AG-03386</x:v>
      </x:c>
      <x:c r="C3392" s="7" t="str">
        <x:v>PEA-B-X3</x:v>
      </x:c>
      <x:c r="D3392" s="7" t="str">
        <x:v>factory calibration</x:v>
      </x:c>
      <x:c r="E3392" s="7" t="str">
        <x:v>CAL-CH-PEA-B-X3-04-3</x:v>
      </x:c>
      <x:c r="F3392" s="7" t="str">
        <x:f>'Calibration Records'!M1179</x:f>
        <x:v>OPEN</x:v>
      </x:c>
    </x:row>
    <x:row r="3393">
      <x:c r="B3393" s="7" t="str">
        <x:v>AG-03387</x:v>
      </x:c>
      <x:c r="C3393" s="7" t="str">
        <x:v>PEA-B-X3</x:v>
      </x:c>
      <x:c r="D3393" s="7" t="str">
        <x:v>factory calibration</x:v>
      </x:c>
      <x:c r="E3393" s="7" t="str">
        <x:v>CAL-CH-PEA-B-X3-04-4</x:v>
      </x:c>
      <x:c r="F3393" s="7" t="str">
        <x:f>'Calibration Records'!M1180</x:f>
        <x:v>OPEN</x:v>
      </x:c>
    </x:row>
    <x:row r="3394">
      <x:c r="B3394" s="7" t="str">
        <x:v>AG-03388</x:v>
      </x:c>
      <x:c r="C3394" s="7" t="str">
        <x:v>PEA-B-X3</x:v>
      </x:c>
      <x:c r="D3394" s="7" t="str">
        <x:v>factory calibration</x:v>
      </x:c>
      <x:c r="E3394" s="7" t="str">
        <x:v>CAL-CH-PEA-B-X3-04-5</x:v>
      </x:c>
      <x:c r="F3394" s="7" t="str">
        <x:f>'Calibration Records'!M1181</x:f>
        <x:v>OPEN</x:v>
      </x:c>
    </x:row>
    <x:row r="3395">
      <x:c r="B3395" s="7" t="str">
        <x:v>AG-03389</x:v>
      </x:c>
      <x:c r="C3395" s="7" t="str">
        <x:v>PEA-B-X3</x:v>
      </x:c>
      <x:c r="D3395" s="7" t="str">
        <x:v>factory calibration</x:v>
      </x:c>
      <x:c r="E3395" s="7" t="str">
        <x:v>CAL-CH-PEA-B-X3-04-6</x:v>
      </x:c>
      <x:c r="F3395" s="7" t="str">
        <x:f>'Calibration Records'!M1182</x:f>
        <x:v>OPEN</x:v>
      </x:c>
    </x:row>
    <x:row r="3396">
      <x:c r="B3396" s="7" t="str">
        <x:v>AG-03390</x:v>
      </x:c>
      <x:c r="C3396" s="7" t="str">
        <x:v>PEA-B-X3</x:v>
      </x:c>
      <x:c r="D3396" s="7" t="str">
        <x:v>factory calibration</x:v>
      </x:c>
      <x:c r="E3396" s="7" t="str">
        <x:v>CAL-CH-PEA-B-X3-05-1</x:v>
      </x:c>
      <x:c r="F3396" s="7" t="str">
        <x:f>'Calibration Records'!M1183</x:f>
        <x:v>OPEN</x:v>
      </x:c>
    </x:row>
    <x:row r="3397">
      <x:c r="B3397" s="7" t="str">
        <x:v>AG-03391</x:v>
      </x:c>
      <x:c r="C3397" s="7" t="str">
        <x:v>PEA-B-X3</x:v>
      </x:c>
      <x:c r="D3397" s="7" t="str">
        <x:v>factory calibration</x:v>
      </x:c>
      <x:c r="E3397" s="7" t="str">
        <x:v>CAL-CH-PEA-B-X3-05-2</x:v>
      </x:c>
      <x:c r="F3397" s="7" t="str">
        <x:f>'Calibration Records'!M1184</x:f>
        <x:v>OPEN</x:v>
      </x:c>
    </x:row>
    <x:row r="3398">
      <x:c r="B3398" s="7" t="str">
        <x:v>AG-03392</x:v>
      </x:c>
      <x:c r="C3398" s="7" t="str">
        <x:v>PEA-B-X3</x:v>
      </x:c>
      <x:c r="D3398" s="7" t="str">
        <x:v>factory calibration</x:v>
      </x:c>
      <x:c r="E3398" s="7" t="str">
        <x:v>CAL-CH-PEA-B-X3-05-3</x:v>
      </x:c>
      <x:c r="F3398" s="7" t="str">
        <x:f>'Calibration Records'!M1185</x:f>
        <x:v>OPEN</x:v>
      </x:c>
    </x:row>
    <x:row r="3399">
      <x:c r="B3399" s="7" t="str">
        <x:v>AG-03393</x:v>
      </x:c>
      <x:c r="C3399" s="7" t="str">
        <x:v>PEA-B-X3</x:v>
      </x:c>
      <x:c r="D3399" s="7" t="str">
        <x:v>factory calibration</x:v>
      </x:c>
      <x:c r="E3399" s="7" t="str">
        <x:v>CAL-CH-PEA-B-X3-05-4</x:v>
      </x:c>
      <x:c r="F3399" s="7" t="str">
        <x:f>'Calibration Records'!M1186</x:f>
        <x:v>OPEN</x:v>
      </x:c>
    </x:row>
    <x:row r="3400">
      <x:c r="B3400" s="7" t="str">
        <x:v>AG-03394</x:v>
      </x:c>
      <x:c r="C3400" s="7" t="str">
        <x:v>PEA-B-X3</x:v>
      </x:c>
      <x:c r="D3400" s="7" t="str">
        <x:v>factory calibration</x:v>
      </x:c>
      <x:c r="E3400" s="7" t="str">
        <x:v>CAL-CH-PEA-B-X3-05-5</x:v>
      </x:c>
      <x:c r="F3400" s="7" t="str">
        <x:f>'Calibration Records'!M1187</x:f>
        <x:v>OPEN</x:v>
      </x:c>
    </x:row>
    <x:row r="3401">
      <x:c r="B3401" s="7" t="str">
        <x:v>AG-03395</x:v>
      </x:c>
      <x:c r="C3401" s="7" t="str">
        <x:v>PEA-B-X3</x:v>
      </x:c>
      <x:c r="D3401" s="7" t="str">
        <x:v>factory calibration</x:v>
      </x:c>
      <x:c r="E3401" s="7" t="str">
        <x:v>CAL-CH-PEA-B-X3-05-6</x:v>
      </x:c>
      <x:c r="F3401" s="7" t="str">
        <x:f>'Calibration Records'!M1188</x:f>
        <x:v>OPEN</x:v>
      </x:c>
    </x:row>
    <x:row r="3402">
      <x:c r="B3402" s="7" t="str">
        <x:v>AG-03396</x:v>
      </x:c>
      <x:c r="C3402" s="7" t="str">
        <x:v>PEA-B-X3</x:v>
      </x:c>
      <x:c r="D3402" s="7" t="str">
        <x:v>factory calibration</x:v>
      </x:c>
      <x:c r="E3402" s="7" t="str">
        <x:v>CAL-CH-PEA-B-X3-06-1</x:v>
      </x:c>
      <x:c r="F3402" s="7" t="str">
        <x:f>'Calibration Records'!M1189</x:f>
        <x:v>OPEN</x:v>
      </x:c>
    </x:row>
    <x:row r="3403">
      <x:c r="B3403" s="7" t="str">
        <x:v>AG-03397</x:v>
      </x:c>
      <x:c r="C3403" s="7" t="str">
        <x:v>PEA-B-X3</x:v>
      </x:c>
      <x:c r="D3403" s="7" t="str">
        <x:v>factory calibration</x:v>
      </x:c>
      <x:c r="E3403" s="7" t="str">
        <x:v>CAL-CH-PEA-B-X3-06-2</x:v>
      </x:c>
      <x:c r="F3403" s="7" t="str">
        <x:f>'Calibration Records'!M1190</x:f>
        <x:v>OPEN</x:v>
      </x:c>
    </x:row>
    <x:row r="3404">
      <x:c r="B3404" s="7" t="str">
        <x:v>AG-03398</x:v>
      </x:c>
      <x:c r="C3404" s="7" t="str">
        <x:v>PEA-B-X3</x:v>
      </x:c>
      <x:c r="D3404" s="7" t="str">
        <x:v>factory calibration</x:v>
      </x:c>
      <x:c r="E3404" s="7" t="str">
        <x:v>CAL-CH-PEA-B-X3-06-3</x:v>
      </x:c>
      <x:c r="F3404" s="7" t="str">
        <x:f>'Calibration Records'!M1191</x:f>
        <x:v>OPEN</x:v>
      </x:c>
    </x:row>
    <x:row r="3405">
      <x:c r="B3405" s="7" t="str">
        <x:v>AG-03399</x:v>
      </x:c>
      <x:c r="C3405" s="7" t="str">
        <x:v>PEA-B-X3</x:v>
      </x:c>
      <x:c r="D3405" s="7" t="str">
        <x:v>factory calibration</x:v>
      </x:c>
      <x:c r="E3405" s="7" t="str">
        <x:v>CAL-CH-PEA-B-X3-06-4</x:v>
      </x:c>
      <x:c r="F3405" s="7" t="str">
        <x:f>'Calibration Records'!M1192</x:f>
        <x:v>OPEN</x:v>
      </x:c>
    </x:row>
    <x:row r="3406">
      <x:c r="B3406" s="7" t="str">
        <x:v>AG-03400</x:v>
      </x:c>
      <x:c r="C3406" s="7" t="str">
        <x:v>PEA-B-X3</x:v>
      </x:c>
      <x:c r="D3406" s="7" t="str">
        <x:v>factory calibration</x:v>
      </x:c>
      <x:c r="E3406" s="7" t="str">
        <x:v>CAL-CH-PEA-B-X3-06-5</x:v>
      </x:c>
      <x:c r="F3406" s="7" t="str">
        <x:f>'Calibration Records'!M1193</x:f>
        <x:v>OPEN</x:v>
      </x:c>
    </x:row>
    <x:row r="3407">
      <x:c r="B3407" s="7" t="str">
        <x:v>AG-03401</x:v>
      </x:c>
      <x:c r="C3407" s="7" t="str">
        <x:v>PEA-B-X3</x:v>
      </x:c>
      <x:c r="D3407" s="7" t="str">
        <x:v>factory calibration</x:v>
      </x:c>
      <x:c r="E3407" s="7" t="str">
        <x:v>CAL-CH-PEA-B-X3-06-6</x:v>
      </x:c>
      <x:c r="F3407" s="7" t="str">
        <x:f>'Calibration Records'!M1194</x:f>
        <x:v>OPEN</x:v>
      </x:c>
    </x:row>
    <x:row r="3408">
      <x:c r="B3408" s="7" t="str">
        <x:v>AG-03402</x:v>
      </x:c>
      <x:c r="C3408" s="7" t="str">
        <x:v>PEA-B-X3</x:v>
      </x:c>
      <x:c r="D3408" s="7" t="str">
        <x:v>factory calibration</x:v>
      </x:c>
      <x:c r="E3408" s="7" t="str">
        <x:v>CAL-CH-PEA-B-X3-07-1</x:v>
      </x:c>
      <x:c r="F3408" s="7" t="str">
        <x:f>'Calibration Records'!M1195</x:f>
        <x:v>OPEN</x:v>
      </x:c>
    </x:row>
    <x:row r="3409">
      <x:c r="B3409" s="7" t="str">
        <x:v>AG-03403</x:v>
      </x:c>
      <x:c r="C3409" s="7" t="str">
        <x:v>PEA-B-X3</x:v>
      </x:c>
      <x:c r="D3409" s="7" t="str">
        <x:v>factory calibration</x:v>
      </x:c>
      <x:c r="E3409" s="7" t="str">
        <x:v>CAL-CH-PEA-B-X3-07-2</x:v>
      </x:c>
      <x:c r="F3409" s="7" t="str">
        <x:f>'Calibration Records'!M1196</x:f>
        <x:v>OPEN</x:v>
      </x:c>
    </x:row>
    <x:row r="3410">
      <x:c r="B3410" s="7" t="str">
        <x:v>AG-03404</x:v>
      </x:c>
      <x:c r="C3410" s="7" t="str">
        <x:v>PEA-B-X3</x:v>
      </x:c>
      <x:c r="D3410" s="7" t="str">
        <x:v>factory calibration</x:v>
      </x:c>
      <x:c r="E3410" s="7" t="str">
        <x:v>CAL-CH-PEA-B-X3-07-3</x:v>
      </x:c>
      <x:c r="F3410" s="7" t="str">
        <x:f>'Calibration Records'!M1197</x:f>
        <x:v>OPEN</x:v>
      </x:c>
    </x:row>
    <x:row r="3411">
      <x:c r="B3411" s="7" t="str">
        <x:v>AG-03405</x:v>
      </x:c>
      <x:c r="C3411" s="7" t="str">
        <x:v>PEA-B-X3</x:v>
      </x:c>
      <x:c r="D3411" s="7" t="str">
        <x:v>factory calibration</x:v>
      </x:c>
      <x:c r="E3411" s="7" t="str">
        <x:v>CAL-CH-PEA-B-X3-07-4</x:v>
      </x:c>
      <x:c r="F3411" s="7" t="str">
        <x:f>'Calibration Records'!M1198</x:f>
        <x:v>OPEN</x:v>
      </x:c>
    </x:row>
    <x:row r="3412">
      <x:c r="B3412" s="7" t="str">
        <x:v>AG-03406</x:v>
      </x:c>
      <x:c r="C3412" s="7" t="str">
        <x:v>PEA-B-X3</x:v>
      </x:c>
      <x:c r="D3412" s="7" t="str">
        <x:v>factory calibration</x:v>
      </x:c>
      <x:c r="E3412" s="7" t="str">
        <x:v>CAL-CH-PEA-B-X3-07-5</x:v>
      </x:c>
      <x:c r="F3412" s="7" t="str">
        <x:f>'Calibration Records'!M1199</x:f>
        <x:v>OPEN</x:v>
      </x:c>
    </x:row>
    <x:row r="3413">
      <x:c r="B3413" s="7" t="str">
        <x:v>AG-03407</x:v>
      </x:c>
      <x:c r="C3413" s="7" t="str">
        <x:v>PEA-B-X3</x:v>
      </x:c>
      <x:c r="D3413" s="7" t="str">
        <x:v>factory calibration</x:v>
      </x:c>
      <x:c r="E3413" s="7" t="str">
        <x:v>CAL-CH-PEA-B-X3-07-6</x:v>
      </x:c>
      <x:c r="F3413" s="7" t="str">
        <x:f>'Calibration Records'!M1200</x:f>
        <x:v>OPEN</x:v>
      </x:c>
    </x:row>
    <x:row r="3414">
      <x:c r="B3414" s="7" t="str">
        <x:v>AG-03408</x:v>
      </x:c>
      <x:c r="C3414" s="7" t="str">
        <x:v>PEA-B-X3</x:v>
      </x:c>
      <x:c r="D3414" s="7" t="str">
        <x:v>factory calibration</x:v>
      </x:c>
      <x:c r="E3414" s="7" t="str">
        <x:v>CAL-CH-PEA-B-X3-08-1</x:v>
      </x:c>
      <x:c r="F3414" s="7" t="str">
        <x:f>'Calibration Records'!M1201</x:f>
        <x:v>OPEN</x:v>
      </x:c>
    </x:row>
    <x:row r="3415">
      <x:c r="B3415" s="7" t="str">
        <x:v>AG-03409</x:v>
      </x:c>
      <x:c r="C3415" s="7" t="str">
        <x:v>PEA-B-X3</x:v>
      </x:c>
      <x:c r="D3415" s="7" t="str">
        <x:v>factory calibration</x:v>
      </x:c>
      <x:c r="E3415" s="7" t="str">
        <x:v>CAL-CH-PEA-B-X3-08-2</x:v>
      </x:c>
      <x:c r="F3415" s="7" t="str">
        <x:f>'Calibration Records'!M1202</x:f>
        <x:v>OPEN</x:v>
      </x:c>
    </x:row>
    <x:row r="3416">
      <x:c r="B3416" s="7" t="str">
        <x:v>AG-03410</x:v>
      </x:c>
      <x:c r="C3416" s="7" t="str">
        <x:v>PEA-B-X3</x:v>
      </x:c>
      <x:c r="D3416" s="7" t="str">
        <x:v>factory calibration</x:v>
      </x:c>
      <x:c r="E3416" s="7" t="str">
        <x:v>CAL-CH-PEA-B-X3-08-3</x:v>
      </x:c>
      <x:c r="F3416" s="7" t="str">
        <x:f>'Calibration Records'!M1203</x:f>
        <x:v>OPEN</x:v>
      </x:c>
    </x:row>
    <x:row r="3417">
      <x:c r="B3417" s="7" t="str">
        <x:v>AG-03411</x:v>
      </x:c>
      <x:c r="C3417" s="7" t="str">
        <x:v>PEA-B-X3</x:v>
      </x:c>
      <x:c r="D3417" s="7" t="str">
        <x:v>factory calibration</x:v>
      </x:c>
      <x:c r="E3417" s="7" t="str">
        <x:v>CAL-CH-PEA-B-X3-08-4</x:v>
      </x:c>
      <x:c r="F3417" s="7" t="str">
        <x:f>'Calibration Records'!M1204</x:f>
        <x:v>OPEN</x:v>
      </x:c>
    </x:row>
    <x:row r="3418">
      <x:c r="B3418" s="7" t="str">
        <x:v>AG-03412</x:v>
      </x:c>
      <x:c r="C3418" s="7" t="str">
        <x:v>PEA-B-X3</x:v>
      </x:c>
      <x:c r="D3418" s="7" t="str">
        <x:v>factory calibration</x:v>
      </x:c>
      <x:c r="E3418" s="7" t="str">
        <x:v>CAL-CH-PEA-B-X3-08-5</x:v>
      </x:c>
      <x:c r="F3418" s="7" t="str">
        <x:f>'Calibration Records'!M1205</x:f>
        <x:v>OPEN</x:v>
      </x:c>
    </x:row>
    <x:row r="3419">
      <x:c r="B3419" s="7" t="str">
        <x:v>AG-03413</x:v>
      </x:c>
      <x:c r="C3419" s="7" t="str">
        <x:v>PEA-B-X3</x:v>
      </x:c>
      <x:c r="D3419" s="7" t="str">
        <x:v>factory calibration</x:v>
      </x:c>
      <x:c r="E3419" s="7" t="str">
        <x:v>CAL-CH-PEA-B-X3-08-6</x:v>
      </x:c>
      <x:c r="F3419" s="7" t="str">
        <x:f>'Calibration Records'!M1206</x:f>
        <x:v>OPEN</x:v>
      </x:c>
    </x:row>
    <x:row r="3420">
      <x:c r="B3420" s="7" t="str">
        <x:v>AG-03414</x:v>
      </x:c>
      <x:c r="C3420" s="7" t="str">
        <x:v>PEA-B-X3</x:v>
      </x:c>
      <x:c r="D3420" s="7" t="str">
        <x:v>factory calibration</x:v>
      </x:c>
      <x:c r="E3420" s="7" t="str">
        <x:v>CAL-CH-PEA-B-X3-09-1</x:v>
      </x:c>
      <x:c r="F3420" s="7" t="str">
        <x:f>'Calibration Records'!M1207</x:f>
        <x:v>OPEN</x:v>
      </x:c>
    </x:row>
    <x:row r="3421">
      <x:c r="B3421" s="7" t="str">
        <x:v>AG-03415</x:v>
      </x:c>
      <x:c r="C3421" s="7" t="str">
        <x:v>PEA-B-X3</x:v>
      </x:c>
      <x:c r="D3421" s="7" t="str">
        <x:v>factory calibration</x:v>
      </x:c>
      <x:c r="E3421" s="7" t="str">
        <x:v>CAL-CH-PEA-B-X3-09-2</x:v>
      </x:c>
      <x:c r="F3421" s="7" t="str">
        <x:f>'Calibration Records'!M1208</x:f>
        <x:v>OPEN</x:v>
      </x:c>
    </x:row>
    <x:row r="3422">
      <x:c r="B3422" s="7" t="str">
        <x:v>AG-03416</x:v>
      </x:c>
      <x:c r="C3422" s="7" t="str">
        <x:v>PEA-B-X3</x:v>
      </x:c>
      <x:c r="D3422" s="7" t="str">
        <x:v>factory calibration</x:v>
      </x:c>
      <x:c r="E3422" s="7" t="str">
        <x:v>CAL-CH-PEA-B-X3-09-3</x:v>
      </x:c>
      <x:c r="F3422" s="7" t="str">
        <x:f>'Calibration Records'!M1209</x:f>
        <x:v>OPEN</x:v>
      </x:c>
    </x:row>
    <x:row r="3423">
      <x:c r="B3423" s="7" t="str">
        <x:v>AG-03417</x:v>
      </x:c>
      <x:c r="C3423" s="7" t="str">
        <x:v>PEA-B-X3</x:v>
      </x:c>
      <x:c r="D3423" s="7" t="str">
        <x:v>factory calibration</x:v>
      </x:c>
      <x:c r="E3423" s="7" t="str">
        <x:v>CAL-CH-PEA-B-X3-09-4</x:v>
      </x:c>
      <x:c r="F3423" s="7" t="str">
        <x:f>'Calibration Records'!M1210</x:f>
        <x:v>OPEN</x:v>
      </x:c>
    </x:row>
    <x:row r="3424">
      <x:c r="B3424" s="7" t="str">
        <x:v>AG-03418</x:v>
      </x:c>
      <x:c r="C3424" s="7" t="str">
        <x:v>PEA-B-X3</x:v>
      </x:c>
      <x:c r="D3424" s="7" t="str">
        <x:v>factory calibration</x:v>
      </x:c>
      <x:c r="E3424" s="7" t="str">
        <x:v>CAL-CH-PEA-B-X3-09-5</x:v>
      </x:c>
      <x:c r="F3424" s="7" t="str">
        <x:f>'Calibration Records'!M1211</x:f>
        <x:v>OPEN</x:v>
      </x:c>
    </x:row>
    <x:row r="3425">
      <x:c r="B3425" s="7" t="str">
        <x:v>AG-03419</x:v>
      </x:c>
      <x:c r="C3425" s="7" t="str">
        <x:v>PEA-B-X3</x:v>
      </x:c>
      <x:c r="D3425" s="7" t="str">
        <x:v>factory calibration</x:v>
      </x:c>
      <x:c r="E3425" s="7" t="str">
        <x:v>CAL-CH-PEA-B-X3-09-6</x:v>
      </x:c>
      <x:c r="F3425" s="7" t="str">
        <x:f>'Calibration Records'!M1212</x:f>
        <x:v>OPEN</x:v>
      </x:c>
    </x:row>
    <x:row r="3426">
      <x:c r="B3426" s="7" t="str">
        <x:v>AG-03420</x:v>
      </x:c>
      <x:c r="C3426" s="7" t="str">
        <x:v>PEA-B-X3</x:v>
      </x:c>
      <x:c r="D3426" s="7" t="str">
        <x:v>factory calibration</x:v>
      </x:c>
      <x:c r="E3426" s="7" t="str">
        <x:v>CAL-CH-PEA-B-X3-10-1</x:v>
      </x:c>
      <x:c r="F3426" s="7" t="str">
        <x:f>'Calibration Records'!M1213</x:f>
        <x:v>OPEN</x:v>
      </x:c>
    </x:row>
    <x:row r="3427">
      <x:c r="B3427" s="7" t="str">
        <x:v>AG-03421</x:v>
      </x:c>
      <x:c r="C3427" s="7" t="str">
        <x:v>PEA-B-X3</x:v>
      </x:c>
      <x:c r="D3427" s="7" t="str">
        <x:v>factory calibration</x:v>
      </x:c>
      <x:c r="E3427" s="7" t="str">
        <x:v>CAL-CH-PEA-B-X3-10-2</x:v>
      </x:c>
      <x:c r="F3427" s="7" t="str">
        <x:f>'Calibration Records'!M1214</x:f>
        <x:v>OPEN</x:v>
      </x:c>
    </x:row>
    <x:row r="3428">
      <x:c r="B3428" s="7" t="str">
        <x:v>AG-03422</x:v>
      </x:c>
      <x:c r="C3428" s="7" t="str">
        <x:v>PEA-B-X3</x:v>
      </x:c>
      <x:c r="D3428" s="7" t="str">
        <x:v>factory calibration</x:v>
      </x:c>
      <x:c r="E3428" s="7" t="str">
        <x:v>CAL-CH-PEA-B-X3-10-3</x:v>
      </x:c>
      <x:c r="F3428" s="7" t="str">
        <x:f>'Calibration Records'!M1215</x:f>
        <x:v>OPEN</x:v>
      </x:c>
    </x:row>
    <x:row r="3429">
      <x:c r="B3429" s="7" t="str">
        <x:v>AG-03423</x:v>
      </x:c>
      <x:c r="C3429" s="7" t="str">
        <x:v>PEA-B-X3</x:v>
      </x:c>
      <x:c r="D3429" s="7" t="str">
        <x:v>factory calibration</x:v>
      </x:c>
      <x:c r="E3429" s="7" t="str">
        <x:v>CAL-CH-PEA-B-X3-10-4</x:v>
      </x:c>
      <x:c r="F3429" s="7" t="str">
        <x:f>'Calibration Records'!M1216</x:f>
        <x:v>OPEN</x:v>
      </x:c>
    </x:row>
    <x:row r="3430">
      <x:c r="B3430" s="7" t="str">
        <x:v>AG-03424</x:v>
      </x:c>
      <x:c r="C3430" s="7" t="str">
        <x:v>PEA-B-X3</x:v>
      </x:c>
      <x:c r="D3430" s="7" t="str">
        <x:v>factory calibration</x:v>
      </x:c>
      <x:c r="E3430" s="7" t="str">
        <x:v>CAL-CH-PEA-B-X3-10-5</x:v>
      </x:c>
      <x:c r="F3430" s="7" t="str">
        <x:f>'Calibration Records'!M1217</x:f>
        <x:v>OPEN</x:v>
      </x:c>
    </x:row>
    <x:row r="3431">
      <x:c r="B3431" s="7" t="str">
        <x:v>AG-03425</x:v>
      </x:c>
      <x:c r="C3431" s="7" t="str">
        <x:v>PEA-B-X3</x:v>
      </x:c>
      <x:c r="D3431" s="7" t="str">
        <x:v>factory calibration</x:v>
      </x:c>
      <x:c r="E3431" s="7" t="str">
        <x:v>CAL-CH-PEA-B-X3-10-6</x:v>
      </x:c>
      <x:c r="F3431" s="7" t="str">
        <x:f>'Calibration Records'!M1218</x:f>
        <x:v>OPEN</x:v>
      </x:c>
    </x:row>
    <x:row r="3432">
      <x:c r="B3432" s="7" t="str">
        <x:v>AG-03426</x:v>
      </x:c>
      <x:c r="C3432" s="7" t="str">
        <x:v>PEA-B-X3</x:v>
      </x:c>
      <x:c r="D3432" s="7" t="str">
        <x:v>factory calibration</x:v>
      </x:c>
      <x:c r="E3432" s="7" t="str">
        <x:v>CAL-CH-PEA-B-X3-11-1</x:v>
      </x:c>
      <x:c r="F3432" s="7" t="str">
        <x:f>'Calibration Records'!M1219</x:f>
        <x:v>OPEN</x:v>
      </x:c>
    </x:row>
    <x:row r="3433">
      <x:c r="B3433" s="7" t="str">
        <x:v>AG-03427</x:v>
      </x:c>
      <x:c r="C3433" s="7" t="str">
        <x:v>PEA-B-X3</x:v>
      </x:c>
      <x:c r="D3433" s="7" t="str">
        <x:v>factory calibration</x:v>
      </x:c>
      <x:c r="E3433" s="7" t="str">
        <x:v>CAL-CH-PEA-B-X3-11-2</x:v>
      </x:c>
      <x:c r="F3433" s="7" t="str">
        <x:f>'Calibration Records'!M1220</x:f>
        <x:v>OPEN</x:v>
      </x:c>
    </x:row>
    <x:row r="3434">
      <x:c r="B3434" s="7" t="str">
        <x:v>AG-03428</x:v>
      </x:c>
      <x:c r="C3434" s="7" t="str">
        <x:v>PEA-B-X3</x:v>
      </x:c>
      <x:c r="D3434" s="7" t="str">
        <x:v>factory calibration</x:v>
      </x:c>
      <x:c r="E3434" s="7" t="str">
        <x:v>CAL-CH-PEA-B-X3-11-3</x:v>
      </x:c>
      <x:c r="F3434" s="7" t="str">
        <x:f>'Calibration Records'!M1221</x:f>
        <x:v>OPEN</x:v>
      </x:c>
    </x:row>
    <x:row r="3435">
      <x:c r="B3435" s="7" t="str">
        <x:v>AG-03429</x:v>
      </x:c>
      <x:c r="C3435" s="7" t="str">
        <x:v>PEA-B-X3</x:v>
      </x:c>
      <x:c r="D3435" s="7" t="str">
        <x:v>factory calibration</x:v>
      </x:c>
      <x:c r="E3435" s="7" t="str">
        <x:v>CAL-CH-PEA-B-X3-11-4</x:v>
      </x:c>
      <x:c r="F3435" s="7" t="str">
        <x:f>'Calibration Records'!M1222</x:f>
        <x:v>OPEN</x:v>
      </x:c>
    </x:row>
    <x:row r="3436">
      <x:c r="B3436" s="7" t="str">
        <x:v>AG-03430</x:v>
      </x:c>
      <x:c r="C3436" s="7" t="str">
        <x:v>PEA-B-X3</x:v>
      </x:c>
      <x:c r="D3436" s="7" t="str">
        <x:v>factory calibration</x:v>
      </x:c>
      <x:c r="E3436" s="7" t="str">
        <x:v>CAL-CH-PEA-B-X3-11-5</x:v>
      </x:c>
      <x:c r="F3436" s="7" t="str">
        <x:f>'Calibration Records'!M1223</x:f>
        <x:v>OPEN</x:v>
      </x:c>
    </x:row>
    <x:row r="3437">
      <x:c r="B3437" s="7" t="str">
        <x:v>AG-03431</x:v>
      </x:c>
      <x:c r="C3437" s="7" t="str">
        <x:v>PEA-B-X3</x:v>
      </x:c>
      <x:c r="D3437" s="7" t="str">
        <x:v>factory calibration</x:v>
      </x:c>
      <x:c r="E3437" s="7" t="str">
        <x:v>CAL-CH-PEA-B-X3-11-6</x:v>
      </x:c>
      <x:c r="F3437" s="7" t="str">
        <x:f>'Calibration Records'!M1224</x:f>
        <x:v>OPEN</x:v>
      </x:c>
    </x:row>
    <x:row r="3438">
      <x:c r="B3438" s="7" t="str">
        <x:v>AG-03432</x:v>
      </x:c>
      <x:c r="C3438" s="7" t="str">
        <x:v>PEA-B-X3</x:v>
      </x:c>
      <x:c r="D3438" s="7" t="str">
        <x:v>factory calibration</x:v>
      </x:c>
      <x:c r="E3438" s="7" t="str">
        <x:v>CAL-CH-PEA-B-X3-12-1</x:v>
      </x:c>
      <x:c r="F3438" s="7" t="str">
        <x:f>'Calibration Records'!M1225</x:f>
        <x:v>OPEN</x:v>
      </x:c>
    </x:row>
    <x:row r="3439">
      <x:c r="B3439" s="7" t="str">
        <x:v>AG-03433</x:v>
      </x:c>
      <x:c r="C3439" s="7" t="str">
        <x:v>PEA-B-X3</x:v>
      </x:c>
      <x:c r="D3439" s="7" t="str">
        <x:v>factory calibration</x:v>
      </x:c>
      <x:c r="E3439" s="7" t="str">
        <x:v>CAL-CH-PEA-B-X3-12-2</x:v>
      </x:c>
      <x:c r="F3439" s="7" t="str">
        <x:f>'Calibration Records'!M1226</x:f>
        <x:v>OPEN</x:v>
      </x:c>
    </x:row>
    <x:row r="3440">
      <x:c r="B3440" s="7" t="str">
        <x:v>AG-03434</x:v>
      </x:c>
      <x:c r="C3440" s="7" t="str">
        <x:v>PEA-B-X3</x:v>
      </x:c>
      <x:c r="D3440" s="7" t="str">
        <x:v>factory calibration</x:v>
      </x:c>
      <x:c r="E3440" s="7" t="str">
        <x:v>CAL-CH-PEA-B-X3-12-3</x:v>
      </x:c>
      <x:c r="F3440" s="7" t="str">
        <x:f>'Calibration Records'!M1227</x:f>
        <x:v>OPEN</x:v>
      </x:c>
    </x:row>
    <x:row r="3441">
      <x:c r="B3441" s="7" t="str">
        <x:v>AG-03435</x:v>
      </x:c>
      <x:c r="C3441" s="7" t="str">
        <x:v>PEA-B-X3</x:v>
      </x:c>
      <x:c r="D3441" s="7" t="str">
        <x:v>factory calibration</x:v>
      </x:c>
      <x:c r="E3441" s="7" t="str">
        <x:v>CAL-CH-PEA-B-X3-12-4</x:v>
      </x:c>
      <x:c r="F3441" s="7" t="str">
        <x:f>'Calibration Records'!M1228</x:f>
        <x:v>OPEN</x:v>
      </x:c>
    </x:row>
    <x:row r="3442">
      <x:c r="B3442" s="7" t="str">
        <x:v>AG-03436</x:v>
      </x:c>
      <x:c r="C3442" s="7" t="str">
        <x:v>PEA-B-X3</x:v>
      </x:c>
      <x:c r="D3442" s="7" t="str">
        <x:v>factory calibration</x:v>
      </x:c>
      <x:c r="E3442" s="7" t="str">
        <x:v>CAL-CH-PEA-B-X3-12-5</x:v>
      </x:c>
      <x:c r="F3442" s="7" t="str">
        <x:f>'Calibration Records'!M1229</x:f>
        <x:v>OPEN</x:v>
      </x:c>
    </x:row>
    <x:row r="3443">
      <x:c r="B3443" s="7" t="str">
        <x:v>AG-03437</x:v>
      </x:c>
      <x:c r="C3443" s="7" t="str">
        <x:v>PEA-B-X3</x:v>
      </x:c>
      <x:c r="D3443" s="7" t="str">
        <x:v>factory calibration</x:v>
      </x:c>
      <x:c r="E3443" s="7" t="str">
        <x:v>CAL-CH-PEA-B-X3-12-6</x:v>
      </x:c>
      <x:c r="F3443" s="7" t="str">
        <x:f>'Calibration Records'!M1230</x:f>
        <x:v>OPEN</x:v>
      </x:c>
    </x:row>
    <x:row r="3444">
      <x:c r="B3444" s="7" t="str">
        <x:v>AG-03438</x:v>
      </x:c>
      <x:c r="C3444" s="7" t="str">
        <x:v>PEA-B-X3</x:v>
      </x:c>
      <x:c r="D3444" s="7" t="str">
        <x:v>factory calibration</x:v>
      </x:c>
      <x:c r="E3444" s="7" t="str">
        <x:v>CAL-CH-PEA-B-X3-13-1</x:v>
      </x:c>
      <x:c r="F3444" s="7" t="str">
        <x:f>'Calibration Records'!M1231</x:f>
        <x:v>OPEN</x:v>
      </x:c>
    </x:row>
    <x:row r="3445">
      <x:c r="B3445" s="7" t="str">
        <x:v>AG-03439</x:v>
      </x:c>
      <x:c r="C3445" s="7" t="str">
        <x:v>PEA-B-X3</x:v>
      </x:c>
      <x:c r="D3445" s="7" t="str">
        <x:v>factory calibration</x:v>
      </x:c>
      <x:c r="E3445" s="7" t="str">
        <x:v>CAL-CH-PEA-B-X3-13-2</x:v>
      </x:c>
      <x:c r="F3445" s="7" t="str">
        <x:f>'Calibration Records'!M1232</x:f>
        <x:v>OPEN</x:v>
      </x:c>
    </x:row>
    <x:row r="3446">
      <x:c r="B3446" s="7" t="str">
        <x:v>AG-03440</x:v>
      </x:c>
      <x:c r="C3446" s="7" t="str">
        <x:v>PEA-B-X3</x:v>
      </x:c>
      <x:c r="D3446" s="7" t="str">
        <x:v>factory calibration</x:v>
      </x:c>
      <x:c r="E3446" s="7" t="str">
        <x:v>CAL-CH-PEA-B-X3-13-3</x:v>
      </x:c>
      <x:c r="F3446" s="7" t="str">
        <x:f>'Calibration Records'!M1233</x:f>
        <x:v>OPEN</x:v>
      </x:c>
    </x:row>
    <x:row r="3447">
      <x:c r="B3447" s="7" t="str">
        <x:v>AG-03441</x:v>
      </x:c>
      <x:c r="C3447" s="7" t="str">
        <x:v>PEA-B-X3</x:v>
      </x:c>
      <x:c r="D3447" s="7" t="str">
        <x:v>factory calibration</x:v>
      </x:c>
      <x:c r="E3447" s="7" t="str">
        <x:v>CAL-CH-PEA-B-X3-13-4</x:v>
      </x:c>
      <x:c r="F3447" s="7" t="str">
        <x:f>'Calibration Records'!M1234</x:f>
        <x:v>OPEN</x:v>
      </x:c>
    </x:row>
    <x:row r="3448">
      <x:c r="B3448" s="7" t="str">
        <x:v>AG-03442</x:v>
      </x:c>
      <x:c r="C3448" s="7" t="str">
        <x:v>PEA-B-X3</x:v>
      </x:c>
      <x:c r="D3448" s="7" t="str">
        <x:v>factory calibration</x:v>
      </x:c>
      <x:c r="E3448" s="7" t="str">
        <x:v>CAL-CH-PEA-B-X3-13-5</x:v>
      </x:c>
      <x:c r="F3448" s="7" t="str">
        <x:f>'Calibration Records'!M1235</x:f>
        <x:v>OPEN</x:v>
      </x:c>
    </x:row>
    <x:row r="3449">
      <x:c r="B3449" s="7" t="str">
        <x:v>AG-03443</x:v>
      </x:c>
      <x:c r="C3449" s="7" t="str">
        <x:v>PEA-B-X3</x:v>
      </x:c>
      <x:c r="D3449" s="7" t="str">
        <x:v>factory calibration</x:v>
      </x:c>
      <x:c r="E3449" s="7" t="str">
        <x:v>CAL-CH-PEA-B-X3-13-6</x:v>
      </x:c>
      <x:c r="F3449" s="7" t="str">
        <x:f>'Calibration Records'!M1236</x:f>
        <x:v>OPEN</x:v>
      </x:c>
    </x:row>
    <x:row r="3450">
      <x:c r="B3450" s="7" t="str">
        <x:v>AG-03444</x:v>
      </x:c>
      <x:c r="C3450" s="7" t="str">
        <x:v>PEA-B-X3</x:v>
      </x:c>
      <x:c r="D3450" s="7" t="str">
        <x:v>factory calibration</x:v>
      </x:c>
      <x:c r="E3450" s="7" t="str">
        <x:v>CAL-CH-PEA-B-X3-14-1</x:v>
      </x:c>
      <x:c r="F3450" s="7" t="str">
        <x:f>'Calibration Records'!M1237</x:f>
        <x:v>OPEN</x:v>
      </x:c>
    </x:row>
    <x:row r="3451">
      <x:c r="B3451" s="7" t="str">
        <x:v>AG-03445</x:v>
      </x:c>
      <x:c r="C3451" s="7" t="str">
        <x:v>PEA-B-X3</x:v>
      </x:c>
      <x:c r="D3451" s="7" t="str">
        <x:v>factory calibration</x:v>
      </x:c>
      <x:c r="E3451" s="7" t="str">
        <x:v>CAL-CH-PEA-B-X3-14-2</x:v>
      </x:c>
      <x:c r="F3451" s="7" t="str">
        <x:f>'Calibration Records'!M1238</x:f>
        <x:v>OPEN</x:v>
      </x:c>
    </x:row>
    <x:row r="3452">
      <x:c r="B3452" s="7" t="str">
        <x:v>AG-03446</x:v>
      </x:c>
      <x:c r="C3452" s="7" t="str">
        <x:v>PEA-B-X3</x:v>
      </x:c>
      <x:c r="D3452" s="7" t="str">
        <x:v>factory calibration</x:v>
      </x:c>
      <x:c r="E3452" s="7" t="str">
        <x:v>CAL-CH-PEA-B-X3-14-3</x:v>
      </x:c>
      <x:c r="F3452" s="7" t="str">
        <x:f>'Calibration Records'!M1239</x:f>
        <x:v>OPEN</x:v>
      </x:c>
    </x:row>
    <x:row r="3453">
      <x:c r="B3453" s="7" t="str">
        <x:v>AG-03447</x:v>
      </x:c>
      <x:c r="C3453" s="7" t="str">
        <x:v>PEA-B-X3</x:v>
      </x:c>
      <x:c r="D3453" s="7" t="str">
        <x:v>factory calibration</x:v>
      </x:c>
      <x:c r="E3453" s="7" t="str">
        <x:v>CAL-CH-PEA-B-X3-14-4</x:v>
      </x:c>
      <x:c r="F3453" s="7" t="str">
        <x:f>'Calibration Records'!M1240</x:f>
        <x:v>OPEN</x:v>
      </x:c>
    </x:row>
    <x:row r="3454">
      <x:c r="B3454" s="7" t="str">
        <x:v>AG-03448</x:v>
      </x:c>
      <x:c r="C3454" s="7" t="str">
        <x:v>PEA-B-X3</x:v>
      </x:c>
      <x:c r="D3454" s="7" t="str">
        <x:v>factory calibration</x:v>
      </x:c>
      <x:c r="E3454" s="7" t="str">
        <x:v>CAL-CH-PEA-B-X3-14-5</x:v>
      </x:c>
      <x:c r="F3454" s="7" t="str">
        <x:f>'Calibration Records'!M1241</x:f>
        <x:v>OPEN</x:v>
      </x:c>
    </x:row>
    <x:row r="3455">
      <x:c r="B3455" s="7" t="str">
        <x:v>AG-03449</x:v>
      </x:c>
      <x:c r="C3455" s="7" t="str">
        <x:v>PEA-B-X3</x:v>
      </x:c>
      <x:c r="D3455" s="7" t="str">
        <x:v>factory calibration</x:v>
      </x:c>
      <x:c r="E3455" s="7" t="str">
        <x:v>CAL-CH-PEA-B-X3-14-6</x:v>
      </x:c>
      <x:c r="F3455" s="7" t="str">
        <x:f>'Calibration Records'!M1242</x:f>
        <x:v>OPEN</x:v>
      </x:c>
    </x:row>
    <x:row r="3456">
      <x:c r="B3456" s="7" t="str">
        <x:v>AG-03450</x:v>
      </x:c>
      <x:c r="C3456" s="7" t="str">
        <x:v>PEA-B-X3</x:v>
      </x:c>
      <x:c r="D3456" s="7" t="str">
        <x:v>factory calibration</x:v>
      </x:c>
      <x:c r="E3456" s="7" t="str">
        <x:v>CAL-CH-PEA-B-X3-15-1</x:v>
      </x:c>
      <x:c r="F3456" s="7" t="str">
        <x:f>'Calibration Records'!M1243</x:f>
        <x:v>OPEN</x:v>
      </x:c>
    </x:row>
    <x:row r="3457">
      <x:c r="B3457" s="7" t="str">
        <x:v>AG-03451</x:v>
      </x:c>
      <x:c r="C3457" s="7" t="str">
        <x:v>PEA-B-X3</x:v>
      </x:c>
      <x:c r="D3457" s="7" t="str">
        <x:v>factory calibration</x:v>
      </x:c>
      <x:c r="E3457" s="7" t="str">
        <x:v>CAL-CH-PEA-B-X3-15-2</x:v>
      </x:c>
      <x:c r="F3457" s="7" t="str">
        <x:f>'Calibration Records'!M1244</x:f>
        <x:v>OPEN</x:v>
      </x:c>
    </x:row>
    <x:row r="3458">
      <x:c r="B3458" s="7" t="str">
        <x:v>AG-03452</x:v>
      </x:c>
      <x:c r="C3458" s="7" t="str">
        <x:v>PEA-B-X3</x:v>
      </x:c>
      <x:c r="D3458" s="7" t="str">
        <x:v>factory calibration</x:v>
      </x:c>
      <x:c r="E3458" s="7" t="str">
        <x:v>CAL-CH-PEA-B-X3-15-3</x:v>
      </x:c>
      <x:c r="F3458" s="7" t="str">
        <x:f>'Calibration Records'!M1245</x:f>
        <x:v>OPEN</x:v>
      </x:c>
    </x:row>
    <x:row r="3459">
      <x:c r="B3459" s="7" t="str">
        <x:v>AG-03453</x:v>
      </x:c>
      <x:c r="C3459" s="7" t="str">
        <x:v>PEA-B-X3</x:v>
      </x:c>
      <x:c r="D3459" s="7" t="str">
        <x:v>factory calibration</x:v>
      </x:c>
      <x:c r="E3459" s="7" t="str">
        <x:v>CAL-CH-PEA-B-X3-15-4</x:v>
      </x:c>
      <x:c r="F3459" s="7" t="str">
        <x:f>'Calibration Records'!M1246</x:f>
        <x:v>OPEN</x:v>
      </x:c>
    </x:row>
    <x:row r="3460">
      <x:c r="B3460" s="7" t="str">
        <x:v>AG-03454</x:v>
      </x:c>
      <x:c r="C3460" s="7" t="str">
        <x:v>PEA-B-X3</x:v>
      </x:c>
      <x:c r="D3460" s="7" t="str">
        <x:v>factory calibration</x:v>
      </x:c>
      <x:c r="E3460" s="7" t="str">
        <x:v>CAL-CH-PEA-B-X3-15-5</x:v>
      </x:c>
      <x:c r="F3460" s="7" t="str">
        <x:f>'Calibration Records'!M1247</x:f>
        <x:v>OPEN</x:v>
      </x:c>
    </x:row>
    <x:row r="3461">
      <x:c r="B3461" s="7" t="str">
        <x:v>AG-03455</x:v>
      </x:c>
      <x:c r="C3461" s="7" t="str">
        <x:v>PEA-B-X3</x:v>
      </x:c>
      <x:c r="D3461" s="7" t="str">
        <x:v>factory calibration</x:v>
      </x:c>
      <x:c r="E3461" s="7" t="str">
        <x:v>CAL-CH-PEA-B-X3-15-6</x:v>
      </x:c>
      <x:c r="F3461" s="7" t="str">
        <x:f>'Calibration Records'!M1248</x:f>
        <x:v>OPEN</x:v>
      </x:c>
    </x:row>
    <x:row r="3462">
      <x:c r="B3462" s="7" t="str">
        <x:v>AG-03456</x:v>
      </x:c>
      <x:c r="C3462" s="7" t="str">
        <x:v>PEA-B-X3</x:v>
      </x:c>
      <x:c r="D3462" s="7" t="str">
        <x:v>factory calibration</x:v>
      </x:c>
      <x:c r="E3462" s="7" t="str">
        <x:v>CAL-CH-PEA-B-X3-16-1</x:v>
      </x:c>
      <x:c r="F3462" s="7" t="str">
        <x:f>'Calibration Records'!M1249</x:f>
        <x:v>OPEN</x:v>
      </x:c>
    </x:row>
    <x:row r="3463">
      <x:c r="B3463" s="7" t="str">
        <x:v>AG-03457</x:v>
      </x:c>
      <x:c r="C3463" s="7" t="str">
        <x:v>PEA-B-X3</x:v>
      </x:c>
      <x:c r="D3463" s="7" t="str">
        <x:v>factory calibration</x:v>
      </x:c>
      <x:c r="E3463" s="7" t="str">
        <x:v>CAL-CH-PEA-B-X3-16-2</x:v>
      </x:c>
      <x:c r="F3463" s="7" t="str">
        <x:f>'Calibration Records'!M1250</x:f>
        <x:v>OPEN</x:v>
      </x:c>
    </x:row>
    <x:row r="3464">
      <x:c r="B3464" s="7" t="str">
        <x:v>AG-03458</x:v>
      </x:c>
      <x:c r="C3464" s="7" t="str">
        <x:v>PEA-B-X3</x:v>
      </x:c>
      <x:c r="D3464" s="7" t="str">
        <x:v>factory calibration</x:v>
      </x:c>
      <x:c r="E3464" s="7" t="str">
        <x:v>CAL-CH-PEA-B-X3-16-3</x:v>
      </x:c>
      <x:c r="F3464" s="7" t="str">
        <x:f>'Calibration Records'!M1251</x:f>
        <x:v>OPEN</x:v>
      </x:c>
    </x:row>
    <x:row r="3465">
      <x:c r="B3465" s="7" t="str">
        <x:v>AG-03459</x:v>
      </x:c>
      <x:c r="C3465" s="7" t="str">
        <x:v>PEA-B-X3</x:v>
      </x:c>
      <x:c r="D3465" s="7" t="str">
        <x:v>factory calibration</x:v>
      </x:c>
      <x:c r="E3465" s="7" t="str">
        <x:v>CAL-CH-PEA-B-X3-16-4</x:v>
      </x:c>
      <x:c r="F3465" s="7" t="str">
        <x:f>'Calibration Records'!M1252</x:f>
        <x:v>OPEN</x:v>
      </x:c>
    </x:row>
    <x:row r="3466">
      <x:c r="B3466" s="7" t="str">
        <x:v>AG-03460</x:v>
      </x:c>
      <x:c r="C3466" s="7" t="str">
        <x:v>PEA-B-X3</x:v>
      </x:c>
      <x:c r="D3466" s="7" t="str">
        <x:v>factory calibration</x:v>
      </x:c>
      <x:c r="E3466" s="7" t="str">
        <x:v>CAL-CH-PEA-B-X3-16-5</x:v>
      </x:c>
      <x:c r="F3466" s="7" t="str">
        <x:f>'Calibration Records'!M1253</x:f>
        <x:v>OPEN</x:v>
      </x:c>
    </x:row>
    <x:row r="3467">
      <x:c r="B3467" s="7" t="str">
        <x:v>AG-03461</x:v>
      </x:c>
      <x:c r="C3467" s="7" t="str">
        <x:v>PEA-B-X3</x:v>
      </x:c>
      <x:c r="D3467" s="7" t="str">
        <x:v>factory calibration</x:v>
      </x:c>
      <x:c r="E3467" s="7" t="str">
        <x:v>CAL-CH-PEA-B-X3-16-6</x:v>
      </x:c>
      <x:c r="F3467" s="7" t="str">
        <x:f>'Calibration Records'!M1254</x:f>
        <x:v>OPEN</x:v>
      </x:c>
    </x:row>
    <x:row r="3468">
      <x:c r="B3468" s="7" t="str">
        <x:v>AG-03462</x:v>
      </x:c>
      <x:c r="C3468" s="7" t="str">
        <x:v>PEA-B-X3</x:v>
      </x:c>
      <x:c r="D3468" s="7" t="str">
        <x:v>factory calibration</x:v>
      </x:c>
      <x:c r="E3468" s="7" t="str">
        <x:v>CAL-CH-PEA-B-X3-17-1</x:v>
      </x:c>
      <x:c r="F3468" s="7" t="str">
        <x:f>'Calibration Records'!M1255</x:f>
        <x:v>OPEN</x:v>
      </x:c>
    </x:row>
    <x:row r="3469">
      <x:c r="B3469" s="7" t="str">
        <x:v>AG-03463</x:v>
      </x:c>
      <x:c r="C3469" s="7" t="str">
        <x:v>PEA-B-X3</x:v>
      </x:c>
      <x:c r="D3469" s="7" t="str">
        <x:v>factory calibration</x:v>
      </x:c>
      <x:c r="E3469" s="7" t="str">
        <x:v>CAL-CH-PEA-B-X3-17-2</x:v>
      </x:c>
      <x:c r="F3469" s="7" t="str">
        <x:f>'Calibration Records'!M1256</x:f>
        <x:v>OPEN</x:v>
      </x:c>
    </x:row>
    <x:row r="3470">
      <x:c r="B3470" s="7" t="str">
        <x:v>AG-03464</x:v>
      </x:c>
      <x:c r="C3470" s="7" t="str">
        <x:v>PEA-B-X3</x:v>
      </x:c>
      <x:c r="D3470" s="7" t="str">
        <x:v>factory calibration</x:v>
      </x:c>
      <x:c r="E3470" s="7" t="str">
        <x:v>CAL-CH-PEA-B-X3-17-3</x:v>
      </x:c>
      <x:c r="F3470" s="7" t="str">
        <x:f>'Calibration Records'!M1257</x:f>
        <x:v>OPEN</x:v>
      </x:c>
    </x:row>
    <x:row r="3471">
      <x:c r="B3471" s="7" t="str">
        <x:v>AG-03465</x:v>
      </x:c>
      <x:c r="C3471" s="7" t="str">
        <x:v>PEA-B-X3</x:v>
      </x:c>
      <x:c r="D3471" s="7" t="str">
        <x:v>factory calibration</x:v>
      </x:c>
      <x:c r="E3471" s="7" t="str">
        <x:v>CAL-CH-PEA-B-X3-17-4</x:v>
      </x:c>
      <x:c r="F3471" s="7" t="str">
        <x:f>'Calibration Records'!M1258</x:f>
        <x:v>OPEN</x:v>
      </x:c>
    </x:row>
    <x:row r="3472">
      <x:c r="B3472" s="7" t="str">
        <x:v>AG-03466</x:v>
      </x:c>
      <x:c r="C3472" s="7" t="str">
        <x:v>PEA-B-X3</x:v>
      </x:c>
      <x:c r="D3472" s="7" t="str">
        <x:v>factory calibration</x:v>
      </x:c>
      <x:c r="E3472" s="7" t="str">
        <x:v>CAL-CH-PEA-B-X3-17-5</x:v>
      </x:c>
      <x:c r="F3472" s="7" t="str">
        <x:f>'Calibration Records'!M1259</x:f>
        <x:v>OPEN</x:v>
      </x:c>
    </x:row>
    <x:row r="3473">
      <x:c r="B3473" s="7" t="str">
        <x:v>AG-03467</x:v>
      </x:c>
      <x:c r="C3473" s="7" t="str">
        <x:v>PEA-B-X3</x:v>
      </x:c>
      <x:c r="D3473" s="7" t="str">
        <x:v>factory calibration</x:v>
      </x:c>
      <x:c r="E3473" s="7" t="str">
        <x:v>CAL-CH-PEA-B-X3-17-6</x:v>
      </x:c>
      <x:c r="F3473" s="7" t="str">
        <x:f>'Calibration Records'!M1260</x:f>
        <x:v>OPEN</x:v>
      </x:c>
    </x:row>
    <x:row r="3474">
      <x:c r="B3474" s="7" t="str">
        <x:v>AG-03468</x:v>
      </x:c>
      <x:c r="C3474" s="7" t="str">
        <x:v>PEA-B-X3</x:v>
      </x:c>
      <x:c r="D3474" s="7" t="str">
        <x:v>factory calibration</x:v>
      </x:c>
      <x:c r="E3474" s="7" t="str">
        <x:v>CAL-CH-PEA-B-X3-18-1</x:v>
      </x:c>
      <x:c r="F3474" s="7" t="str">
        <x:f>'Calibration Records'!M1261</x:f>
        <x:v>OPEN</x:v>
      </x:c>
    </x:row>
    <x:row r="3475">
      <x:c r="B3475" s="7" t="str">
        <x:v>AG-03469</x:v>
      </x:c>
      <x:c r="C3475" s="7" t="str">
        <x:v>PEA-B-X3</x:v>
      </x:c>
      <x:c r="D3475" s="7" t="str">
        <x:v>factory calibration</x:v>
      </x:c>
      <x:c r="E3475" s="7" t="str">
        <x:v>CAL-CH-PEA-B-X3-18-2</x:v>
      </x:c>
      <x:c r="F3475" s="7" t="str">
        <x:f>'Calibration Records'!M1262</x:f>
        <x:v>OPEN</x:v>
      </x:c>
    </x:row>
    <x:row r="3476">
      <x:c r="B3476" s="7" t="str">
        <x:v>AG-03470</x:v>
      </x:c>
      <x:c r="C3476" s="7" t="str">
        <x:v>PEA-B-X3</x:v>
      </x:c>
      <x:c r="D3476" s="7" t="str">
        <x:v>factory calibration</x:v>
      </x:c>
      <x:c r="E3476" s="7" t="str">
        <x:v>CAL-CH-PEA-B-X3-18-3</x:v>
      </x:c>
      <x:c r="F3476" s="7" t="str">
        <x:f>'Calibration Records'!M1263</x:f>
        <x:v>OPEN</x:v>
      </x:c>
    </x:row>
    <x:row r="3477">
      <x:c r="B3477" s="7" t="str">
        <x:v>AG-03471</x:v>
      </x:c>
      <x:c r="C3477" s="7" t="str">
        <x:v>PEA-B-X3</x:v>
      </x:c>
      <x:c r="D3477" s="7" t="str">
        <x:v>factory calibration</x:v>
      </x:c>
      <x:c r="E3477" s="7" t="str">
        <x:v>CAL-CH-PEA-B-X3-18-4</x:v>
      </x:c>
      <x:c r="F3477" s="7" t="str">
        <x:f>'Calibration Records'!M1264</x:f>
        <x:v>OPEN</x:v>
      </x:c>
    </x:row>
    <x:row r="3478">
      <x:c r="B3478" s="7" t="str">
        <x:v>AG-03472</x:v>
      </x:c>
      <x:c r="C3478" s="7" t="str">
        <x:v>PEA-B-X3</x:v>
      </x:c>
      <x:c r="D3478" s="7" t="str">
        <x:v>factory calibration</x:v>
      </x:c>
      <x:c r="E3478" s="7" t="str">
        <x:v>CAL-CH-PEA-B-X3-18-5</x:v>
      </x:c>
      <x:c r="F3478" s="7" t="str">
        <x:f>'Calibration Records'!M1265</x:f>
        <x:v>OPEN</x:v>
      </x:c>
    </x:row>
    <x:row r="3479">
      <x:c r="B3479" s="7" t="str">
        <x:v>AG-03473</x:v>
      </x:c>
      <x:c r="C3479" s="7" t="str">
        <x:v>PEA-B-X3</x:v>
      </x:c>
      <x:c r="D3479" s="7" t="str">
        <x:v>factory calibration</x:v>
      </x:c>
      <x:c r="E3479" s="7" t="str">
        <x:v>CAL-CH-PEA-B-X3-18-6</x:v>
      </x:c>
      <x:c r="F3479" s="7" t="str">
        <x:f>'Calibration Records'!M1266</x:f>
        <x:v>OPEN</x:v>
      </x:c>
    </x:row>
    <x:row r="3480">
      <x:c r="B3480" s="7" t="str">
        <x:v>AG-03474</x:v>
      </x:c>
      <x:c r="C3480" s="7" t="str">
        <x:v>PEA-B-X3</x:v>
      </x:c>
      <x:c r="D3480" s="7" t="str">
        <x:v>factory calibration</x:v>
      </x:c>
      <x:c r="E3480" s="7" t="str">
        <x:v>CAL-CH-PEA-B-X3-19-1</x:v>
      </x:c>
      <x:c r="F3480" s="7" t="str">
        <x:f>'Calibration Records'!M1267</x:f>
        <x:v>OPEN</x:v>
      </x:c>
    </x:row>
    <x:row r="3481">
      <x:c r="B3481" s="7" t="str">
        <x:v>AG-03475</x:v>
      </x:c>
      <x:c r="C3481" s="7" t="str">
        <x:v>PEA-B-X3</x:v>
      </x:c>
      <x:c r="D3481" s="7" t="str">
        <x:v>factory calibration</x:v>
      </x:c>
      <x:c r="E3481" s="7" t="str">
        <x:v>CAL-CH-PEA-B-X3-19-2</x:v>
      </x:c>
      <x:c r="F3481" s="7" t="str">
        <x:f>'Calibration Records'!M1268</x:f>
        <x:v>OPEN</x:v>
      </x:c>
    </x:row>
    <x:row r="3482">
      <x:c r="B3482" s="7" t="str">
        <x:v>AG-03476</x:v>
      </x:c>
      <x:c r="C3482" s="7" t="str">
        <x:v>PEA-B-X3</x:v>
      </x:c>
      <x:c r="D3482" s="7" t="str">
        <x:v>factory calibration</x:v>
      </x:c>
      <x:c r="E3482" s="7" t="str">
        <x:v>CAL-CH-PEA-B-X3-19-3</x:v>
      </x:c>
      <x:c r="F3482" s="7" t="str">
        <x:f>'Calibration Records'!M1269</x:f>
        <x:v>OPEN</x:v>
      </x:c>
    </x:row>
    <x:row r="3483">
      <x:c r="B3483" s="7" t="str">
        <x:v>AG-03477</x:v>
      </x:c>
      <x:c r="C3483" s="7" t="str">
        <x:v>PEA-B-X3</x:v>
      </x:c>
      <x:c r="D3483" s="7" t="str">
        <x:v>factory calibration</x:v>
      </x:c>
      <x:c r="E3483" s="7" t="str">
        <x:v>CAL-CH-PEA-B-X3-19-4</x:v>
      </x:c>
      <x:c r="F3483" s="7" t="str">
        <x:f>'Calibration Records'!M1270</x:f>
        <x:v>OPEN</x:v>
      </x:c>
    </x:row>
    <x:row r="3484">
      <x:c r="B3484" s="7" t="str">
        <x:v>AG-03478</x:v>
      </x:c>
      <x:c r="C3484" s="7" t="str">
        <x:v>PEA-B-X3</x:v>
      </x:c>
      <x:c r="D3484" s="7" t="str">
        <x:v>factory calibration</x:v>
      </x:c>
      <x:c r="E3484" s="7" t="str">
        <x:v>CAL-CH-PEA-B-X3-19-5</x:v>
      </x:c>
      <x:c r="F3484" s="7" t="str">
        <x:f>'Calibration Records'!M1271</x:f>
        <x:v>OPEN</x:v>
      </x:c>
    </x:row>
    <x:row r="3485">
      <x:c r="B3485" s="7" t="str">
        <x:v>AG-03479</x:v>
      </x:c>
      <x:c r="C3485" s="7" t="str">
        <x:v>PEA-B-X3</x:v>
      </x:c>
      <x:c r="D3485" s="7" t="str">
        <x:v>factory calibration</x:v>
      </x:c>
      <x:c r="E3485" s="7" t="str">
        <x:v>CAL-CH-PEA-B-X3-19-6</x:v>
      </x:c>
      <x:c r="F3485" s="7" t="str">
        <x:f>'Calibration Records'!M1272</x:f>
        <x:v>OPEN</x:v>
      </x:c>
    </x:row>
    <x:row r="3486">
      <x:c r="B3486" s="7" t="str">
        <x:v>AG-03480</x:v>
      </x:c>
      <x:c r="C3486" s="7" t="str">
        <x:v>PEA-B-X3</x:v>
      </x:c>
      <x:c r="D3486" s="7" t="str">
        <x:v>factory calibration</x:v>
      </x:c>
      <x:c r="E3486" s="7" t="str">
        <x:v>CAL-CH-PEA-B-X3-20-1</x:v>
      </x:c>
      <x:c r="F3486" s="7" t="str">
        <x:f>'Calibration Records'!M1273</x:f>
        <x:v>OPEN</x:v>
      </x:c>
    </x:row>
    <x:row r="3487">
      <x:c r="B3487" s="7" t="str">
        <x:v>AG-03481</x:v>
      </x:c>
      <x:c r="C3487" s="7" t="str">
        <x:v>PEA-B-X3</x:v>
      </x:c>
      <x:c r="D3487" s="7" t="str">
        <x:v>factory calibration</x:v>
      </x:c>
      <x:c r="E3487" s="7" t="str">
        <x:v>CAL-CH-PEA-B-X3-20-2</x:v>
      </x:c>
      <x:c r="F3487" s="7" t="str">
        <x:f>'Calibration Records'!M1274</x:f>
        <x:v>OPEN</x:v>
      </x:c>
    </x:row>
    <x:row r="3488">
      <x:c r="B3488" s="7" t="str">
        <x:v>AG-03482</x:v>
      </x:c>
      <x:c r="C3488" s="7" t="str">
        <x:v>PEA-B-X3</x:v>
      </x:c>
      <x:c r="D3488" s="7" t="str">
        <x:v>factory calibration</x:v>
      </x:c>
      <x:c r="E3488" s="7" t="str">
        <x:v>CAL-CH-PEA-B-X3-20-3</x:v>
      </x:c>
      <x:c r="F3488" s="7" t="str">
        <x:f>'Calibration Records'!M1275</x:f>
        <x:v>OPEN</x:v>
      </x:c>
    </x:row>
    <x:row r="3489">
      <x:c r="B3489" s="7" t="str">
        <x:v>AG-03483</x:v>
      </x:c>
      <x:c r="C3489" s="7" t="str">
        <x:v>PEA-B-X3</x:v>
      </x:c>
      <x:c r="D3489" s="7" t="str">
        <x:v>factory calibration</x:v>
      </x:c>
      <x:c r="E3489" s="7" t="str">
        <x:v>CAL-CH-PEA-B-X3-20-4</x:v>
      </x:c>
      <x:c r="F3489" s="7" t="str">
        <x:f>'Calibration Records'!M1276</x:f>
        <x:v>OPEN</x:v>
      </x:c>
    </x:row>
    <x:row r="3490">
      <x:c r="B3490" s="7" t="str">
        <x:v>AG-03484</x:v>
      </x:c>
      <x:c r="C3490" s="7" t="str">
        <x:v>PEA-B-X3</x:v>
      </x:c>
      <x:c r="D3490" s="7" t="str">
        <x:v>factory calibration</x:v>
      </x:c>
      <x:c r="E3490" s="7" t="str">
        <x:v>CAL-CH-PEA-B-X3-20-5</x:v>
      </x:c>
      <x:c r="F3490" s="7" t="str">
        <x:f>'Calibration Records'!M1277</x:f>
        <x:v>OPEN</x:v>
      </x:c>
    </x:row>
    <x:row r="3491">
      <x:c r="B3491" s="7" t="str">
        <x:v>AG-03485</x:v>
      </x:c>
      <x:c r="C3491" s="7" t="str">
        <x:v>PEA-B-X3</x:v>
      </x:c>
      <x:c r="D3491" s="7" t="str">
        <x:v>factory calibration</x:v>
      </x:c>
      <x:c r="E3491" s="7" t="str">
        <x:v>CAL-CH-PEA-B-X3-20-6</x:v>
      </x:c>
      <x:c r="F3491" s="7" t="str">
        <x:f>'Calibration Records'!M1278</x:f>
        <x:v>OPEN</x:v>
      </x:c>
    </x:row>
    <x:row r="3492">
      <x:c r="B3492" s="7" t="str">
        <x:v>AG-03486</x:v>
      </x:c>
      <x:c r="C3492" s="7" t="str">
        <x:v>PEA-B-X3</x:v>
      </x:c>
      <x:c r="D3492" s="7" t="str">
        <x:v>factory calibration</x:v>
      </x:c>
      <x:c r="E3492" s="7" t="str">
        <x:v>CAL-CH-PEA-B-X3-21-1</x:v>
      </x:c>
      <x:c r="F3492" s="7" t="str">
        <x:f>'Calibration Records'!M1279</x:f>
        <x:v>OPEN</x:v>
      </x:c>
    </x:row>
    <x:row r="3493">
      <x:c r="B3493" s="7" t="str">
        <x:v>AG-03487</x:v>
      </x:c>
      <x:c r="C3493" s="7" t="str">
        <x:v>PEA-B-X3</x:v>
      </x:c>
      <x:c r="D3493" s="7" t="str">
        <x:v>factory calibration</x:v>
      </x:c>
      <x:c r="E3493" s="7" t="str">
        <x:v>CAL-CH-PEA-B-X3-21-2</x:v>
      </x:c>
      <x:c r="F3493" s="7" t="str">
        <x:f>'Calibration Records'!M1280</x:f>
        <x:v>OPEN</x:v>
      </x:c>
    </x:row>
    <x:row r="3494">
      <x:c r="B3494" s="7" t="str">
        <x:v>AG-03488</x:v>
      </x:c>
      <x:c r="C3494" s="7" t="str">
        <x:v>PEA-B-X3</x:v>
      </x:c>
      <x:c r="D3494" s="7" t="str">
        <x:v>factory calibration</x:v>
      </x:c>
      <x:c r="E3494" s="7" t="str">
        <x:v>CAL-CH-PEA-B-X3-21-3</x:v>
      </x:c>
      <x:c r="F3494" s="7" t="str">
        <x:f>'Calibration Records'!M1281</x:f>
        <x:v>OPEN</x:v>
      </x:c>
    </x:row>
    <x:row r="3495">
      <x:c r="B3495" s="7" t="str">
        <x:v>AG-03489</x:v>
      </x:c>
      <x:c r="C3495" s="7" t="str">
        <x:v>PEA-B-X3</x:v>
      </x:c>
      <x:c r="D3495" s="7" t="str">
        <x:v>factory calibration</x:v>
      </x:c>
      <x:c r="E3495" s="7" t="str">
        <x:v>CAL-CH-PEA-B-X3-21-4</x:v>
      </x:c>
      <x:c r="F3495" s="7" t="str">
        <x:f>'Calibration Records'!M1282</x:f>
        <x:v>OPEN</x:v>
      </x:c>
    </x:row>
    <x:row r="3496">
      <x:c r="B3496" s="7" t="str">
        <x:v>AG-03490</x:v>
      </x:c>
      <x:c r="C3496" s="7" t="str">
        <x:v>PEA-B-X3</x:v>
      </x:c>
      <x:c r="D3496" s="7" t="str">
        <x:v>factory calibration</x:v>
      </x:c>
      <x:c r="E3496" s="7" t="str">
        <x:v>CAL-CH-PEA-B-X3-21-5</x:v>
      </x:c>
      <x:c r="F3496" s="7" t="str">
        <x:f>'Calibration Records'!M1283</x:f>
        <x:v>OPEN</x:v>
      </x:c>
    </x:row>
    <x:row r="3497">
      <x:c r="B3497" s="7" t="str">
        <x:v>AG-03491</x:v>
      </x:c>
      <x:c r="C3497" s="7" t="str">
        <x:v>PEA-B-X3</x:v>
      </x:c>
      <x:c r="D3497" s="7" t="str">
        <x:v>factory calibration</x:v>
      </x:c>
      <x:c r="E3497" s="7" t="str">
        <x:v>CAL-CH-PEA-B-X3-21-6</x:v>
      </x:c>
      <x:c r="F3497" s="7" t="str">
        <x:f>'Calibration Records'!M1284</x:f>
        <x:v>OPEN</x:v>
      </x:c>
    </x:row>
    <x:row r="3498">
      <x:c r="B3498" s="7" t="str">
        <x:v>AG-03492</x:v>
      </x:c>
      <x:c r="C3498" s="7" t="str">
        <x:v>PEA-B-X3</x:v>
      </x:c>
      <x:c r="D3498" s="7" t="str">
        <x:v>factory calibration</x:v>
      </x:c>
      <x:c r="E3498" s="7" t="str">
        <x:v>CAL-CH-PEA-B-X3-22-1</x:v>
      </x:c>
      <x:c r="F3498" s="7" t="str">
        <x:f>'Calibration Records'!M1285</x:f>
        <x:v>OPEN</x:v>
      </x:c>
    </x:row>
    <x:row r="3499">
      <x:c r="B3499" s="7" t="str">
        <x:v>AG-03493</x:v>
      </x:c>
      <x:c r="C3499" s="7" t="str">
        <x:v>PEA-B-X3</x:v>
      </x:c>
      <x:c r="D3499" s="7" t="str">
        <x:v>factory calibration</x:v>
      </x:c>
      <x:c r="E3499" s="7" t="str">
        <x:v>CAL-CH-PEA-B-X3-22-2</x:v>
      </x:c>
      <x:c r="F3499" s="7" t="str">
        <x:f>'Calibration Records'!M1286</x:f>
        <x:v>OPEN</x:v>
      </x:c>
    </x:row>
    <x:row r="3500">
      <x:c r="B3500" s="7" t="str">
        <x:v>AG-03494</x:v>
      </x:c>
      <x:c r="C3500" s="7" t="str">
        <x:v>PEA-B-X3</x:v>
      </x:c>
      <x:c r="D3500" s="7" t="str">
        <x:v>factory calibration</x:v>
      </x:c>
      <x:c r="E3500" s="7" t="str">
        <x:v>CAL-CH-PEA-B-X3-22-3</x:v>
      </x:c>
      <x:c r="F3500" s="7" t="str">
        <x:f>'Calibration Records'!M1287</x:f>
        <x:v>OPEN</x:v>
      </x:c>
    </x:row>
    <x:row r="3501">
      <x:c r="B3501" s="7" t="str">
        <x:v>AG-03495</x:v>
      </x:c>
      <x:c r="C3501" s="7" t="str">
        <x:v>PEA-B-X3</x:v>
      </x:c>
      <x:c r="D3501" s="7" t="str">
        <x:v>factory calibration</x:v>
      </x:c>
      <x:c r="E3501" s="7" t="str">
        <x:v>CAL-CH-PEA-B-X3-22-4</x:v>
      </x:c>
      <x:c r="F3501" s="7" t="str">
        <x:f>'Calibration Records'!M1288</x:f>
        <x:v>OPEN</x:v>
      </x:c>
    </x:row>
    <x:row r="3502">
      <x:c r="B3502" s="7" t="str">
        <x:v>AG-03496</x:v>
      </x:c>
      <x:c r="C3502" s="7" t="str">
        <x:v>PEA-B-X3</x:v>
      </x:c>
      <x:c r="D3502" s="7" t="str">
        <x:v>factory calibration</x:v>
      </x:c>
      <x:c r="E3502" s="7" t="str">
        <x:v>CAL-CH-PEA-B-X3-22-5</x:v>
      </x:c>
      <x:c r="F3502" s="7" t="str">
        <x:f>'Calibration Records'!M1289</x:f>
        <x:v>OPEN</x:v>
      </x:c>
    </x:row>
    <x:row r="3503">
      <x:c r="B3503" s="7" t="str">
        <x:v>AG-03497</x:v>
      </x:c>
      <x:c r="C3503" s="7" t="str">
        <x:v>PEA-B-X3</x:v>
      </x:c>
      <x:c r="D3503" s="7" t="str">
        <x:v>factory calibration</x:v>
      </x:c>
      <x:c r="E3503" s="7" t="str">
        <x:v>CAL-CH-PEA-B-X3-22-6</x:v>
      </x:c>
      <x:c r="F3503" s="7" t="str">
        <x:f>'Calibration Records'!M1290</x:f>
        <x:v>OPEN</x:v>
      </x:c>
    </x:row>
    <x:row r="3504">
      <x:c r="B3504" s="7" t="str">
        <x:v>AG-03498</x:v>
      </x:c>
      <x:c r="C3504" s="7" t="str">
        <x:v>PEA-B-X3</x:v>
      </x:c>
      <x:c r="D3504" s="7" t="str">
        <x:v>factory calibration</x:v>
      </x:c>
      <x:c r="E3504" s="7" t="str">
        <x:v>CAL-CH-PEA-B-X3-23-1</x:v>
      </x:c>
      <x:c r="F3504" s="7" t="str">
        <x:f>'Calibration Records'!M1291</x:f>
        <x:v>OPEN</x:v>
      </x:c>
    </x:row>
    <x:row r="3505">
      <x:c r="B3505" s="7" t="str">
        <x:v>AG-03499</x:v>
      </x:c>
      <x:c r="C3505" s="7" t="str">
        <x:v>PEA-B-X3</x:v>
      </x:c>
      <x:c r="D3505" s="7" t="str">
        <x:v>factory calibration</x:v>
      </x:c>
      <x:c r="E3505" s="7" t="str">
        <x:v>CAL-CH-PEA-B-X3-23-2</x:v>
      </x:c>
      <x:c r="F3505" s="7" t="str">
        <x:f>'Calibration Records'!M1292</x:f>
        <x:v>OPEN</x:v>
      </x:c>
    </x:row>
    <x:row r="3506">
      <x:c r="B3506" s="7" t="str">
        <x:v>AG-03500</x:v>
      </x:c>
      <x:c r="C3506" s="7" t="str">
        <x:v>PEA-B-X3</x:v>
      </x:c>
      <x:c r="D3506" s="7" t="str">
        <x:v>factory calibration</x:v>
      </x:c>
      <x:c r="E3506" s="7" t="str">
        <x:v>CAL-CH-PEA-B-X3-23-3</x:v>
      </x:c>
      <x:c r="F3506" s="7" t="str">
        <x:f>'Calibration Records'!M1293</x:f>
        <x:v>OPEN</x:v>
      </x:c>
    </x:row>
    <x:row r="3507">
      <x:c r="B3507" s="7" t="str">
        <x:v>AG-03501</x:v>
      </x:c>
      <x:c r="C3507" s="7" t="str">
        <x:v>PEA-B-X3</x:v>
      </x:c>
      <x:c r="D3507" s="7" t="str">
        <x:v>factory calibration</x:v>
      </x:c>
      <x:c r="E3507" s="7" t="str">
        <x:v>CAL-CH-PEA-B-X3-23-4</x:v>
      </x:c>
      <x:c r="F3507" s="7" t="str">
        <x:f>'Calibration Records'!M1294</x:f>
        <x:v>OPEN</x:v>
      </x:c>
    </x:row>
    <x:row r="3508">
      <x:c r="B3508" s="7" t="str">
        <x:v>AG-03502</x:v>
      </x:c>
      <x:c r="C3508" s="7" t="str">
        <x:v>PEA-B-X3</x:v>
      </x:c>
      <x:c r="D3508" s="7" t="str">
        <x:v>factory calibration</x:v>
      </x:c>
      <x:c r="E3508" s="7" t="str">
        <x:v>CAL-CH-PEA-B-X3-23-5</x:v>
      </x:c>
      <x:c r="F3508" s="7" t="str">
        <x:f>'Calibration Records'!M1295</x:f>
        <x:v>OPEN</x:v>
      </x:c>
    </x:row>
    <x:row r="3509">
      <x:c r="B3509" s="7" t="str">
        <x:v>AG-03503</x:v>
      </x:c>
      <x:c r="C3509" s="7" t="str">
        <x:v>PEA-B-X3</x:v>
      </x:c>
      <x:c r="D3509" s="7" t="str">
        <x:v>factory calibration</x:v>
      </x:c>
      <x:c r="E3509" s="7" t="str">
        <x:v>CAL-CH-PEA-B-X3-23-6</x:v>
      </x:c>
      <x:c r="F3509" s="7" t="str">
        <x:f>'Calibration Records'!M1296</x:f>
        <x:v>OPEN</x:v>
      </x:c>
    </x:row>
    <x:row r="3510">
      <x:c r="B3510" s="7" t="str">
        <x:v>AG-03504</x:v>
      </x:c>
      <x:c r="C3510" s="7" t="str">
        <x:v>PEA-B-X3</x:v>
      </x:c>
      <x:c r="D3510" s="7" t="str">
        <x:v>factory calibration</x:v>
      </x:c>
      <x:c r="E3510" s="7" t="str">
        <x:v>CAL-CH-PEA-B-X3-24-1</x:v>
      </x:c>
      <x:c r="F3510" s="7" t="str">
        <x:f>'Calibration Records'!M1297</x:f>
        <x:v>OPEN</x:v>
      </x:c>
    </x:row>
    <x:row r="3511">
      <x:c r="B3511" s="7" t="str">
        <x:v>AG-03505</x:v>
      </x:c>
      <x:c r="C3511" s="7" t="str">
        <x:v>PEA-B-X3</x:v>
      </x:c>
      <x:c r="D3511" s="7" t="str">
        <x:v>factory calibration</x:v>
      </x:c>
      <x:c r="E3511" s="7" t="str">
        <x:v>CAL-CH-PEA-B-X3-24-2</x:v>
      </x:c>
      <x:c r="F3511" s="7" t="str">
        <x:f>'Calibration Records'!M1298</x:f>
        <x:v>OPEN</x:v>
      </x:c>
    </x:row>
    <x:row r="3512">
      <x:c r="B3512" s="7" t="str">
        <x:v>AG-03506</x:v>
      </x:c>
      <x:c r="C3512" s="7" t="str">
        <x:v>PEA-B-X3</x:v>
      </x:c>
      <x:c r="D3512" s="7" t="str">
        <x:v>factory calibration</x:v>
      </x:c>
      <x:c r="E3512" s="7" t="str">
        <x:v>CAL-CH-PEA-B-X3-24-3</x:v>
      </x:c>
      <x:c r="F3512" s="7" t="str">
        <x:f>'Calibration Records'!M1299</x:f>
        <x:v>OPEN</x:v>
      </x:c>
    </x:row>
    <x:row r="3513">
      <x:c r="B3513" s="7" t="str">
        <x:v>AG-03507</x:v>
      </x:c>
      <x:c r="C3513" s="7" t="str">
        <x:v>PEA-B-X3</x:v>
      </x:c>
      <x:c r="D3513" s="7" t="str">
        <x:v>factory calibration</x:v>
      </x:c>
      <x:c r="E3513" s="7" t="str">
        <x:v>CAL-CH-PEA-B-X3-24-4</x:v>
      </x:c>
      <x:c r="F3513" s="7" t="str">
        <x:f>'Calibration Records'!M1300</x:f>
        <x:v>OPEN</x:v>
      </x:c>
    </x:row>
    <x:row r="3514">
      <x:c r="B3514" s="7" t="str">
        <x:v>AG-03508</x:v>
      </x:c>
      <x:c r="C3514" s="7" t="str">
        <x:v>PEA-B-X3</x:v>
      </x:c>
      <x:c r="D3514" s="7" t="str">
        <x:v>factory calibration</x:v>
      </x:c>
      <x:c r="E3514" s="7" t="str">
        <x:v>CAL-CH-PEA-B-X3-24-5</x:v>
      </x:c>
      <x:c r="F3514" s="7" t="str">
        <x:f>'Calibration Records'!M1301</x:f>
        <x:v>OPEN</x:v>
      </x:c>
    </x:row>
    <x:row r="3515">
      <x:c r="B3515" s="7" t="str">
        <x:v>AG-03509</x:v>
      </x:c>
      <x:c r="C3515" s="7" t="str">
        <x:v>PEA-B-X3</x:v>
      </x:c>
      <x:c r="D3515" s="7" t="str">
        <x:v>factory calibration</x:v>
      </x:c>
      <x:c r="E3515" s="7" t="str">
        <x:v>CAL-CH-PEA-B-X3-24-6</x:v>
      </x:c>
      <x:c r="F3515" s="7" t="str">
        <x:f>'Calibration Records'!M1302</x:f>
        <x:v>OPEN</x:v>
      </x:c>
    </x:row>
    <x:row r="3516">
      <x:c r="B3516" s="7" t="str">
        <x:v>AG-03510</x:v>
      </x:c>
      <x:c r="C3516" s="7" t="str">
        <x:v>PEA-B-X3</x:v>
      </x:c>
      <x:c r="D3516" s="7" t="str">
        <x:v>article master</x:v>
      </x:c>
      <x:c r="E3516" s="7" t="str">
        <x:v>PEA-B-X3</x:v>
      </x:c>
      <x:c r="F3516" s="7" t="str">
        <x:f>'Article Population'!Q15</x:f>
        <x:v>OPEN</x:v>
      </x:c>
    </x:row>
    <x:row r="3517">
      <x:c r="B3517" s="7" t="str">
        <x:v>AG-03511</x:v>
      </x:c>
      <x:c r="C3517" s="7" t="str">
        <x:v>PEA-B-Y1</x:v>
      </x:c>
      <x:c r="D3517" s="7" t="str">
        <x:v>lineage capsule</x:v>
      </x:c>
      <x:c r="E3517" s="7" t="str">
        <x:v>BL-Y</x:v>
      </x:c>
      <x:c r="F3517" s="7" t="str">
        <x:f>'Baseline Package'!F8</x:f>
        <x:v>OPEN</x:v>
      </x:c>
    </x:row>
    <x:row r="3518">
      <x:c r="B3518" s="7" t="str">
        <x:v>AG-03512</x:v>
      </x:c>
      <x:c r="C3518" s="7" t="str">
        <x:v>PEA-B-Y1</x:v>
      </x:c>
      <x:c r="D3518" s="7" t="str">
        <x:v>builder qualification</x:v>
      </x:c>
      <x:c r="E3518" s="7" t="str">
        <x:v>BLD-B</x:v>
      </x:c>
      <x:c r="F3518" s="7" t="str">
        <x:f>Builders!K8</x:f>
        <x:v>OPEN</x:v>
      </x:c>
    </x:row>
    <x:row r="3519">
      <x:c r="B3519" s="7" t="str">
        <x:v>AG-03513</x:v>
      </x:c>
      <x:c r="C3519" s="7" t="str">
        <x:v>PEA-B-Y1</x:v>
      </x:c>
      <x:c r="D3519" s="7" t="str">
        <x:v>material split</x:v>
      </x:c>
      <x:c r="E3519" s="7" t="str">
        <x:v>SPLIT-PEA-B-Y1</x:v>
      </x:c>
      <x:c r="F3519" s="7" t="str">
        <x:f>'Material Matrix'!K16</x:f>
        <x:v>OPEN</x:v>
      </x:c>
    </x:row>
    <x:row r="3520">
      <x:c r="B3520" s="7" t="str">
        <x:v>AG-03514</x:v>
      </x:c>
      <x:c r="C3520" s="7" t="str">
        <x:v>PEA-B-Y1</x:v>
      </x:c>
      <x:c r="D3520" s="7" t="str">
        <x:v>build sequence</x:v>
      </x:c>
      <x:c r="E3520" s="7" t="str">
        <x:v>SEQ-PEA-B-Y1</x:v>
      </x:c>
      <x:c r="F3520" s="7" t="str">
        <x:f>'Build Sequence'!L16</x:f>
        <x:v>OPEN</x:v>
      </x:c>
    </x:row>
    <x:row r="3521">
      <x:c r="B3521" s="7" t="str">
        <x:v>AG-03515</x:v>
      </x:c>
      <x:c r="C3521" s="7" t="str">
        <x:v>PEA-B-Y1</x:v>
      </x:c>
      <x:c r="D3521" s="7" t="str">
        <x:v>section traveler</x:v>
      </x:c>
      <x:c r="E3521" s="7" t="str">
        <x:v>TRV-PEA-B-Y1-01</x:v>
      </x:c>
      <x:c r="F3521" s="7" t="str">
        <x:f>'Section Travelers'!L187</x:f>
        <x:v>OPEN</x:v>
      </x:c>
    </x:row>
    <x:row r="3522">
      <x:c r="B3522" s="7" t="str">
        <x:v>AG-03516</x:v>
      </x:c>
      <x:c r="C3522" s="7" t="str">
        <x:v>PEA-B-Y1</x:v>
      </x:c>
      <x:c r="D3522" s="7" t="str">
        <x:v>section traveler</x:v>
      </x:c>
      <x:c r="E3522" s="7" t="str">
        <x:v>TRV-PEA-B-Y1-02</x:v>
      </x:c>
      <x:c r="F3522" s="7" t="str">
        <x:f>'Section Travelers'!L188</x:f>
        <x:v>OPEN</x:v>
      </x:c>
    </x:row>
    <x:row r="3523">
      <x:c r="B3523" s="7" t="str">
        <x:v>AG-03517</x:v>
      </x:c>
      <x:c r="C3523" s="7" t="str">
        <x:v>PEA-B-Y1</x:v>
      </x:c>
      <x:c r="D3523" s="7" t="str">
        <x:v>section traveler</x:v>
      </x:c>
      <x:c r="E3523" s="7" t="str">
        <x:v>TRV-PEA-B-Y1-03</x:v>
      </x:c>
      <x:c r="F3523" s="7" t="str">
        <x:f>'Section Travelers'!L189</x:f>
        <x:v>OPEN</x:v>
      </x:c>
    </x:row>
    <x:row r="3524">
      <x:c r="B3524" s="7" t="str">
        <x:v>AG-03518</x:v>
      </x:c>
      <x:c r="C3524" s="7" t="str">
        <x:v>PEA-B-Y1</x:v>
      </x:c>
      <x:c r="D3524" s="7" t="str">
        <x:v>section traveler</x:v>
      </x:c>
      <x:c r="E3524" s="7" t="str">
        <x:v>TRV-PEA-B-Y1-04</x:v>
      </x:c>
      <x:c r="F3524" s="7" t="str">
        <x:f>'Section Travelers'!L190</x:f>
        <x:v>OPEN</x:v>
      </x:c>
    </x:row>
    <x:row r="3525">
      <x:c r="B3525" s="7" t="str">
        <x:v>AG-03519</x:v>
      </x:c>
      <x:c r="C3525" s="7" t="str">
        <x:v>PEA-B-Y1</x:v>
      </x:c>
      <x:c r="D3525" s="7" t="str">
        <x:v>section traveler</x:v>
      </x:c>
      <x:c r="E3525" s="7" t="str">
        <x:v>TRV-PEA-B-Y1-05</x:v>
      </x:c>
      <x:c r="F3525" s="7" t="str">
        <x:f>'Section Travelers'!L191</x:f>
        <x:v>OPEN</x:v>
      </x:c>
    </x:row>
    <x:row r="3526">
      <x:c r="B3526" s="7" t="str">
        <x:v>AG-03520</x:v>
      </x:c>
      <x:c r="C3526" s="7" t="str">
        <x:v>PEA-B-Y1</x:v>
      </x:c>
      <x:c r="D3526" s="7" t="str">
        <x:v>section traveler</x:v>
      </x:c>
      <x:c r="E3526" s="7" t="str">
        <x:v>TRV-PEA-B-Y1-06</x:v>
      </x:c>
      <x:c r="F3526" s="7" t="str">
        <x:f>'Section Travelers'!L192</x:f>
        <x:v>OPEN</x:v>
      </x:c>
    </x:row>
    <x:row r="3527">
      <x:c r="B3527" s="7" t="str">
        <x:v>AG-03521</x:v>
      </x:c>
      <x:c r="C3527" s="7" t="str">
        <x:v>PEA-B-Y1</x:v>
      </x:c>
      <x:c r="D3527" s="7" t="str">
        <x:v>section traveler</x:v>
      </x:c>
      <x:c r="E3527" s="7" t="str">
        <x:v>TRV-PEA-B-Y1-07</x:v>
      </x:c>
      <x:c r="F3527" s="7" t="str">
        <x:f>'Section Travelers'!L193</x:f>
        <x:v>OPEN</x:v>
      </x:c>
    </x:row>
    <x:row r="3528">
      <x:c r="B3528" s="7" t="str">
        <x:v>AG-03522</x:v>
      </x:c>
      <x:c r="C3528" s="7" t="str">
        <x:v>PEA-B-Y1</x:v>
      </x:c>
      <x:c r="D3528" s="7" t="str">
        <x:v>section traveler</x:v>
      </x:c>
      <x:c r="E3528" s="7" t="str">
        <x:v>TRV-PEA-B-Y1-08</x:v>
      </x:c>
      <x:c r="F3528" s="7" t="str">
        <x:f>'Section Travelers'!L194</x:f>
        <x:v>OPEN</x:v>
      </x:c>
    </x:row>
    <x:row r="3529">
      <x:c r="B3529" s="7" t="str">
        <x:v>AG-03523</x:v>
      </x:c>
      <x:c r="C3529" s="7" t="str">
        <x:v>PEA-B-Y1</x:v>
      </x:c>
      <x:c r="D3529" s="7" t="str">
        <x:v>section traveler</x:v>
      </x:c>
      <x:c r="E3529" s="7" t="str">
        <x:v>TRV-PEA-B-Y1-09</x:v>
      </x:c>
      <x:c r="F3529" s="7" t="str">
        <x:f>'Section Travelers'!L195</x:f>
        <x:v>OPEN</x:v>
      </x:c>
    </x:row>
    <x:row r="3530">
      <x:c r="B3530" s="7" t="str">
        <x:v>AG-03524</x:v>
      </x:c>
      <x:c r="C3530" s="7" t="str">
        <x:v>PEA-B-Y1</x:v>
      </x:c>
      <x:c r="D3530" s="7" t="str">
        <x:v>section traveler</x:v>
      </x:c>
      <x:c r="E3530" s="7" t="str">
        <x:v>TRV-PEA-B-Y1-10</x:v>
      </x:c>
      <x:c r="F3530" s="7" t="str">
        <x:f>'Section Travelers'!L196</x:f>
        <x:v>OPEN</x:v>
      </x:c>
    </x:row>
    <x:row r="3531">
      <x:c r="B3531" s="7" t="str">
        <x:v>AG-03525</x:v>
      </x:c>
      <x:c r="C3531" s="7" t="str">
        <x:v>PEA-B-Y1</x:v>
      </x:c>
      <x:c r="D3531" s="7" t="str">
        <x:v>section traveler</x:v>
      </x:c>
      <x:c r="E3531" s="7" t="str">
        <x:v>TRV-PEA-B-Y1-11</x:v>
      </x:c>
      <x:c r="F3531" s="7" t="str">
        <x:f>'Section Travelers'!L197</x:f>
        <x:v>OPEN</x:v>
      </x:c>
    </x:row>
    <x:row r="3532">
      <x:c r="B3532" s="7" t="str">
        <x:v>AG-03526</x:v>
      </x:c>
      <x:c r="C3532" s="7" t="str">
        <x:v>PEA-B-Y1</x:v>
      </x:c>
      <x:c r="D3532" s="7" t="str">
        <x:v>section traveler</x:v>
      </x:c>
      <x:c r="E3532" s="7" t="str">
        <x:v>TRV-PEA-B-Y1-12</x:v>
      </x:c>
      <x:c r="F3532" s="7" t="str">
        <x:f>'Section Travelers'!L198</x:f>
        <x:v>OPEN</x:v>
      </x:c>
    </x:row>
    <x:row r="3533">
      <x:c r="B3533" s="7" t="str">
        <x:v>AG-03527</x:v>
      </x:c>
      <x:c r="C3533" s="7" t="str">
        <x:v>PEA-B-Y1</x:v>
      </x:c>
      <x:c r="D3533" s="7" t="str">
        <x:v>section traveler</x:v>
      </x:c>
      <x:c r="E3533" s="7" t="str">
        <x:v>TRV-PEA-B-Y1-13</x:v>
      </x:c>
      <x:c r="F3533" s="7" t="str">
        <x:f>'Section Travelers'!L199</x:f>
        <x:v>OPEN</x:v>
      </x:c>
    </x:row>
    <x:row r="3534">
      <x:c r="B3534" s="7" t="str">
        <x:v>AG-03528</x:v>
      </x:c>
      <x:c r="C3534" s="7" t="str">
        <x:v>PEA-B-Y1</x:v>
      </x:c>
      <x:c r="D3534" s="7" t="str">
        <x:v>section traveler</x:v>
      </x:c>
      <x:c r="E3534" s="7" t="str">
        <x:v>TRV-PEA-B-Y1-14</x:v>
      </x:c>
      <x:c r="F3534" s="7" t="str">
        <x:f>'Section Travelers'!L200</x:f>
        <x:v>OPEN</x:v>
      </x:c>
    </x:row>
    <x:row r="3535">
      <x:c r="B3535" s="7" t="str">
        <x:v>AG-03529</x:v>
      </x:c>
      <x:c r="C3535" s="7" t="str">
        <x:v>PEA-B-Y1</x:v>
      </x:c>
      <x:c r="D3535" s="7" t="str">
        <x:v>section traveler</x:v>
      </x:c>
      <x:c r="E3535" s="7" t="str">
        <x:v>TRV-PEA-B-Y1-15</x:v>
      </x:c>
      <x:c r="F3535" s="7" t="str">
        <x:f>'Section Travelers'!L201</x:f>
        <x:v>OPEN</x:v>
      </x:c>
    </x:row>
    <x:row r="3536">
      <x:c r="B3536" s="7" t="str">
        <x:v>AG-03530</x:v>
      </x:c>
      <x:c r="C3536" s="7" t="str">
        <x:v>PEA-B-Y1</x:v>
      </x:c>
      <x:c r="D3536" s="7" t="str">
        <x:v>section traveler</x:v>
      </x:c>
      <x:c r="E3536" s="7" t="str">
        <x:v>TRV-PEA-B-Y1-16</x:v>
      </x:c>
      <x:c r="F3536" s="7" t="str">
        <x:f>'Section Travelers'!L202</x:f>
        <x:v>OPEN</x:v>
      </x:c>
    </x:row>
    <x:row r="3537">
      <x:c r="B3537" s="7" t="str">
        <x:v>AG-03531</x:v>
      </x:c>
      <x:c r="C3537" s="7" t="str">
        <x:v>PEA-B-Y1</x:v>
      </x:c>
      <x:c r="D3537" s="7" t="str">
        <x:v>section traveler</x:v>
      </x:c>
      <x:c r="E3537" s="7" t="str">
        <x:v>TRV-PEA-B-Y1-17</x:v>
      </x:c>
      <x:c r="F3537" s="7" t="str">
        <x:f>'Section Travelers'!L203</x:f>
        <x:v>OPEN</x:v>
      </x:c>
    </x:row>
    <x:row r="3538">
      <x:c r="B3538" s="7" t="str">
        <x:v>AG-03532</x:v>
      </x:c>
      <x:c r="C3538" s="7" t="str">
        <x:v>PEA-B-Y1</x:v>
      </x:c>
      <x:c r="D3538" s="7" t="str">
        <x:v>section traveler</x:v>
      </x:c>
      <x:c r="E3538" s="7" t="str">
        <x:v>TRV-PEA-B-Y1-18</x:v>
      </x:c>
      <x:c r="F3538" s="7" t="str">
        <x:f>'Section Travelers'!L204</x:f>
        <x:v>OPEN</x:v>
      </x:c>
    </x:row>
    <x:row r="3539">
      <x:c r="B3539" s="7" t="str">
        <x:v>AG-03533</x:v>
      </x:c>
      <x:c r="C3539" s="7" t="str">
        <x:v>PEA-B-Y1</x:v>
      </x:c>
      <x:c r="D3539" s="7" t="str">
        <x:v>section traveler</x:v>
      </x:c>
      <x:c r="E3539" s="7" t="str">
        <x:v>TRV-PEA-B-Y1-19</x:v>
      </x:c>
      <x:c r="F3539" s="7" t="str">
        <x:f>'Section Travelers'!L205</x:f>
        <x:v>OPEN</x:v>
      </x:c>
    </x:row>
    <x:row r="3540">
      <x:c r="B3540" s="7" t="str">
        <x:v>AG-03534</x:v>
      </x:c>
      <x:c r="C3540" s="7" t="str">
        <x:v>PEA-B-Y1</x:v>
      </x:c>
      <x:c r="D3540" s="7" t="str">
        <x:v>section traveler</x:v>
      </x:c>
      <x:c r="E3540" s="7" t="str">
        <x:v>TRV-PEA-B-Y1-20</x:v>
      </x:c>
      <x:c r="F3540" s="7" t="str">
        <x:f>'Section Travelers'!L206</x:f>
        <x:v>OPEN</x:v>
      </x:c>
    </x:row>
    <x:row r="3541">
      <x:c r="B3541" s="7" t="str">
        <x:v>AG-03535</x:v>
      </x:c>
      <x:c r="C3541" s="7" t="str">
        <x:v>PEA-B-Y1</x:v>
      </x:c>
      <x:c r="D3541" s="7" t="str">
        <x:v>material coupon</x:v>
      </x:c>
      <x:c r="E3541" s="7" t="str">
        <x:v>CPN-PEA-B-Y1-CJ-1</x:v>
      </x:c>
      <x:c r="F3541" s="7" t="str">
        <x:f>'Material Coupons'!K367</x:f>
        <x:v>OPEN</x:v>
      </x:c>
    </x:row>
    <x:row r="3542">
      <x:c r="B3542" s="7" t="str">
        <x:v>AG-03536</x:v>
      </x:c>
      <x:c r="C3542" s="7" t="str">
        <x:v>PEA-B-Y1</x:v>
      </x:c>
      <x:c r="D3542" s="7" t="str">
        <x:v>material coupon</x:v>
      </x:c>
      <x:c r="E3542" s="7" t="str">
        <x:v>CPN-PEA-B-Y1-CJ-2</x:v>
      </x:c>
      <x:c r="F3542" s="7" t="str">
        <x:f>'Material Coupons'!K368</x:f>
        <x:v>OPEN</x:v>
      </x:c>
    </x:row>
    <x:row r="3543">
      <x:c r="B3543" s="7" t="str">
        <x:v>AG-03537</x:v>
      </x:c>
      <x:c r="C3543" s="7" t="str">
        <x:v>PEA-B-Y1</x:v>
      </x:c>
      <x:c r="D3543" s="7" t="str">
        <x:v>material coupon</x:v>
      </x:c>
      <x:c r="E3543" s="7" t="str">
        <x:v>CPN-PEA-B-Y1-CJ-3</x:v>
      </x:c>
      <x:c r="F3543" s="7" t="str">
        <x:f>'Material Coupons'!K369</x:f>
        <x:v>OPEN</x:v>
      </x:c>
    </x:row>
    <x:row r="3544">
      <x:c r="B3544" s="7" t="str">
        <x:v>AG-03538</x:v>
      </x:c>
      <x:c r="C3544" s="7" t="str">
        <x:v>PEA-B-Y1</x:v>
      </x:c>
      <x:c r="D3544" s="7" t="str">
        <x:v>material coupon</x:v>
      </x:c>
      <x:c r="E3544" s="7" t="str">
        <x:v>CPN-PEA-B-Y1-CJ-4</x:v>
      </x:c>
      <x:c r="F3544" s="7" t="str">
        <x:f>'Material Coupons'!K370</x:f>
        <x:v>OPEN</x:v>
      </x:c>
    </x:row>
    <x:row r="3545">
      <x:c r="B3545" s="7" t="str">
        <x:v>AG-03539</x:v>
      </x:c>
      <x:c r="C3545" s="7" t="str">
        <x:v>PEA-B-Y1</x:v>
      </x:c>
      <x:c r="D3545" s="7" t="str">
        <x:v>material coupon</x:v>
      </x:c>
      <x:c r="E3545" s="7" t="str">
        <x:v>CPN-PEA-B-Y1-CJ-5</x:v>
      </x:c>
      <x:c r="F3545" s="7" t="str">
        <x:f>'Material Coupons'!K371</x:f>
        <x:v>OPEN</x:v>
      </x:c>
    </x:row>
    <x:row r="3546">
      <x:c r="B3546" s="7" t="str">
        <x:v>AG-03540</x:v>
      </x:c>
      <x:c r="C3546" s="7" t="str">
        <x:v>PEA-B-Y1</x:v>
      </x:c>
      <x:c r="D3546" s="7" t="str">
        <x:v>material coupon</x:v>
      </x:c>
      <x:c r="E3546" s="7" t="str">
        <x:v>CPN-PEA-B-Y1-CJ-6</x:v>
      </x:c>
      <x:c r="F3546" s="7" t="str">
        <x:f>'Material Coupons'!K372</x:f>
        <x:v>OPEN</x:v>
      </x:c>
    </x:row>
    <x:row r="3547">
      <x:c r="B3547" s="7" t="str">
        <x:v>AG-03541</x:v>
      </x:c>
      <x:c r="C3547" s="7" t="str">
        <x:v>PEA-B-Y1</x:v>
      </x:c>
      <x:c r="D3547" s="7" t="str">
        <x:v>material coupon</x:v>
      </x:c>
      <x:c r="E3547" s="7" t="str">
        <x:v>CPN-PEA-B-Y1-CJ-7</x:v>
      </x:c>
      <x:c r="F3547" s="7" t="str">
        <x:f>'Material Coupons'!K373</x:f>
        <x:v>OPEN</x:v>
      </x:c>
    </x:row>
    <x:row r="3548">
      <x:c r="B3548" s="7" t="str">
        <x:v>AG-03542</x:v>
      </x:c>
      <x:c r="C3548" s="7" t="str">
        <x:v>PEA-B-Y1</x:v>
      </x:c>
      <x:c r="D3548" s="7" t="str">
        <x:v>material coupon</x:v>
      </x:c>
      <x:c r="E3548" s="7" t="str">
        <x:v>CPN-PEA-B-Y1-CJ-8</x:v>
      </x:c>
      <x:c r="F3548" s="7" t="str">
        <x:f>'Material Coupons'!K374</x:f>
        <x:v>OPEN</x:v>
      </x:c>
    </x:row>
    <x:row r="3549">
      <x:c r="B3549" s="7" t="str">
        <x:v>AG-03543</x:v>
      </x:c>
      <x:c r="C3549" s="7" t="str">
        <x:v>PEA-B-Y1</x:v>
      </x:c>
      <x:c r="D3549" s="7" t="str">
        <x:v>material coupon</x:v>
      </x:c>
      <x:c r="E3549" s="7" t="str">
        <x:v>CPN-PEA-B-Y1-SE-1</x:v>
      </x:c>
      <x:c r="F3549" s="7" t="str">
        <x:f>'Material Coupons'!K375</x:f>
        <x:v>OPEN</x:v>
      </x:c>
    </x:row>
    <x:row r="3550">
      <x:c r="B3550" s="7" t="str">
        <x:v>AG-03544</x:v>
      </x:c>
      <x:c r="C3550" s="7" t="str">
        <x:v>PEA-B-Y1</x:v>
      </x:c>
      <x:c r="D3550" s="7" t="str">
        <x:v>material coupon</x:v>
      </x:c>
      <x:c r="E3550" s="7" t="str">
        <x:v>CPN-PEA-B-Y1-SE-2</x:v>
      </x:c>
      <x:c r="F3550" s="7" t="str">
        <x:f>'Material Coupons'!K376</x:f>
        <x:v>OPEN</x:v>
      </x:c>
    </x:row>
    <x:row r="3551">
      <x:c r="B3551" s="7" t="str">
        <x:v>AG-03545</x:v>
      </x:c>
      <x:c r="C3551" s="7" t="str">
        <x:v>PEA-B-Y1</x:v>
      </x:c>
      <x:c r="D3551" s="7" t="str">
        <x:v>material coupon</x:v>
      </x:c>
      <x:c r="E3551" s="7" t="str">
        <x:v>CPN-PEA-B-Y1-SE-3</x:v>
      </x:c>
      <x:c r="F3551" s="7" t="str">
        <x:f>'Material Coupons'!K377</x:f>
        <x:v>OPEN</x:v>
      </x:c>
    </x:row>
    <x:row r="3552">
      <x:c r="B3552" s="7" t="str">
        <x:v>AG-03546</x:v>
      </x:c>
      <x:c r="C3552" s="7" t="str">
        <x:v>PEA-B-Y1</x:v>
      </x:c>
      <x:c r="D3552" s="7" t="str">
        <x:v>material coupon</x:v>
      </x:c>
      <x:c r="E3552" s="7" t="str">
        <x:v>CPN-PEA-B-Y1-SE-4</x:v>
      </x:c>
      <x:c r="F3552" s="7" t="str">
        <x:f>'Material Coupons'!K378</x:f>
        <x:v>OPEN</x:v>
      </x:c>
    </x:row>
    <x:row r="3553">
      <x:c r="B3553" s="7" t="str">
        <x:v>AG-03547</x:v>
      </x:c>
      <x:c r="C3553" s="7" t="str">
        <x:v>PEA-B-Y1</x:v>
      </x:c>
      <x:c r="D3553" s="7" t="str">
        <x:v>material coupon</x:v>
      </x:c>
      <x:c r="E3553" s="7" t="str">
        <x:v>CPN-PEA-B-Y1-SE-5</x:v>
      </x:c>
      <x:c r="F3553" s="7" t="str">
        <x:f>'Material Coupons'!K379</x:f>
        <x:v>OPEN</x:v>
      </x:c>
    </x:row>
    <x:row r="3554">
      <x:c r="B3554" s="7" t="str">
        <x:v>AG-03548</x:v>
      </x:c>
      <x:c r="C3554" s="7" t="str">
        <x:v>PEA-B-Y1</x:v>
      </x:c>
      <x:c r="D3554" s="7" t="str">
        <x:v>material coupon</x:v>
      </x:c>
      <x:c r="E3554" s="7" t="str">
        <x:v>CPN-PEA-B-Y1-SE-6</x:v>
      </x:c>
      <x:c r="F3554" s="7" t="str">
        <x:f>'Material Coupons'!K380</x:f>
        <x:v>OPEN</x:v>
      </x:c>
    </x:row>
    <x:row r="3555">
      <x:c r="B3555" s="7" t="str">
        <x:v>AG-03549</x:v>
      </x:c>
      <x:c r="C3555" s="7" t="str">
        <x:v>PEA-B-Y1</x:v>
      </x:c>
      <x:c r="D3555" s="7" t="str">
        <x:v>material coupon</x:v>
      </x:c>
      <x:c r="E3555" s="7" t="str">
        <x:v>CPN-PEA-B-Y1-SE-7</x:v>
      </x:c>
      <x:c r="F3555" s="7" t="str">
        <x:f>'Material Coupons'!K381</x:f>
        <x:v>OPEN</x:v>
      </x:c>
    </x:row>
    <x:row r="3556">
      <x:c r="B3556" s="7" t="str">
        <x:v>AG-03550</x:v>
      </x:c>
      <x:c r="C3556" s="7" t="str">
        <x:v>PEA-B-Y1</x:v>
      </x:c>
      <x:c r="D3556" s="7" t="str">
        <x:v>material coupon</x:v>
      </x:c>
      <x:c r="E3556" s="7" t="str">
        <x:v>CPN-PEA-B-Y1-SE-8</x:v>
      </x:c>
      <x:c r="F3556" s="7" t="str">
        <x:f>'Material Coupons'!K382</x:f>
        <x:v>OPEN</x:v>
      </x:c>
    </x:row>
    <x:row r="3557">
      <x:c r="B3557" s="7" t="str">
        <x:v>AG-03551</x:v>
      </x:c>
      <x:c r="C3557" s="7" t="str">
        <x:v>PEA-B-Y1</x:v>
      </x:c>
      <x:c r="D3557" s="7" t="str">
        <x:v>material coupon</x:v>
      </x:c>
      <x:c r="E3557" s="7" t="str">
        <x:v>CPN-PEA-B-Y1-SF-1</x:v>
      </x:c>
      <x:c r="F3557" s="7" t="str">
        <x:f>'Material Coupons'!K383</x:f>
        <x:v>OPEN</x:v>
      </x:c>
    </x:row>
    <x:row r="3558">
      <x:c r="B3558" s="7" t="str">
        <x:v>AG-03552</x:v>
      </x:c>
      <x:c r="C3558" s="7" t="str">
        <x:v>PEA-B-Y1</x:v>
      </x:c>
      <x:c r="D3558" s="7" t="str">
        <x:v>material coupon</x:v>
      </x:c>
      <x:c r="E3558" s="7" t="str">
        <x:v>CPN-PEA-B-Y1-SF-2</x:v>
      </x:c>
      <x:c r="F3558" s="7" t="str">
        <x:f>'Material Coupons'!K384</x:f>
        <x:v>OPEN</x:v>
      </x:c>
    </x:row>
    <x:row r="3559">
      <x:c r="B3559" s="7" t="str">
        <x:v>AG-03553</x:v>
      </x:c>
      <x:c r="C3559" s="7" t="str">
        <x:v>PEA-B-Y1</x:v>
      </x:c>
      <x:c r="D3559" s="7" t="str">
        <x:v>material coupon</x:v>
      </x:c>
      <x:c r="E3559" s="7" t="str">
        <x:v>CPN-PEA-B-Y1-SF-3</x:v>
      </x:c>
      <x:c r="F3559" s="7" t="str">
        <x:f>'Material Coupons'!K385</x:f>
        <x:v>OPEN</x:v>
      </x:c>
    </x:row>
    <x:row r="3560">
      <x:c r="B3560" s="7" t="str">
        <x:v>AG-03554</x:v>
      </x:c>
      <x:c r="C3560" s="7" t="str">
        <x:v>PEA-B-Y1</x:v>
      </x:c>
      <x:c r="D3560" s="7" t="str">
        <x:v>material coupon</x:v>
      </x:c>
      <x:c r="E3560" s="7" t="str">
        <x:v>CPN-PEA-B-Y1-SF-4</x:v>
      </x:c>
      <x:c r="F3560" s="7" t="str">
        <x:f>'Material Coupons'!K386</x:f>
        <x:v>OPEN</x:v>
      </x:c>
    </x:row>
    <x:row r="3561">
      <x:c r="B3561" s="7" t="str">
        <x:v>AG-03555</x:v>
      </x:c>
      <x:c r="C3561" s="7" t="str">
        <x:v>PEA-B-Y1</x:v>
      </x:c>
      <x:c r="D3561" s="7" t="str">
        <x:v>material coupon</x:v>
      </x:c>
      <x:c r="E3561" s="7" t="str">
        <x:v>CPN-PEA-B-Y1-SF-5</x:v>
      </x:c>
      <x:c r="F3561" s="7" t="str">
        <x:f>'Material Coupons'!K387</x:f>
        <x:v>OPEN</x:v>
      </x:c>
    </x:row>
    <x:row r="3562">
      <x:c r="B3562" s="7" t="str">
        <x:v>AG-03556</x:v>
      </x:c>
      <x:c r="C3562" s="7" t="str">
        <x:v>PEA-B-Y1</x:v>
      </x:c>
      <x:c r="D3562" s="7" t="str">
        <x:v>material coupon</x:v>
      </x:c>
      <x:c r="E3562" s="7" t="str">
        <x:v>CPN-PEA-B-Y1-SF-6</x:v>
      </x:c>
      <x:c r="F3562" s="7" t="str">
        <x:f>'Material Coupons'!K388</x:f>
        <x:v>OPEN</x:v>
      </x:c>
    </x:row>
    <x:row r="3563">
      <x:c r="B3563" s="7" t="str">
        <x:v>AG-03557</x:v>
      </x:c>
      <x:c r="C3563" s="7" t="str">
        <x:v>PEA-B-Y1</x:v>
      </x:c>
      <x:c r="D3563" s="7" t="str">
        <x:v>material coupon</x:v>
      </x:c>
      <x:c r="E3563" s="7" t="str">
        <x:v>CPN-PEA-B-Y1-SF-7</x:v>
      </x:c>
      <x:c r="F3563" s="7" t="str">
        <x:f>'Material Coupons'!K389</x:f>
        <x:v>OPEN</x:v>
      </x:c>
    </x:row>
    <x:row r="3564">
      <x:c r="B3564" s="7" t="str">
        <x:v>AG-03558</x:v>
      </x:c>
      <x:c r="C3564" s="7" t="str">
        <x:v>PEA-B-Y1</x:v>
      </x:c>
      <x:c r="D3564" s="7" t="str">
        <x:v>material coupon</x:v>
      </x:c>
      <x:c r="E3564" s="7" t="str">
        <x:v>CPN-PEA-B-Y1-SF-8</x:v>
      </x:c>
      <x:c r="F3564" s="7" t="str">
        <x:f>'Material Coupons'!K390</x:f>
        <x:v>OPEN</x:v>
      </x:c>
    </x:row>
    <x:row r="3565">
      <x:c r="B3565" s="7" t="str">
        <x:v>AG-03559</x:v>
      </x:c>
      <x:c r="C3565" s="7" t="str">
        <x:v>PEA-B-Y1</x:v>
      </x:c>
      <x:c r="D3565" s="7" t="str">
        <x:v>material coupon</x:v>
      </x:c>
      <x:c r="E3565" s="7" t="str">
        <x:v>CPN-PEA-B-Y1-CP-1</x:v>
      </x:c>
      <x:c r="F3565" s="7" t="str">
        <x:f>'Material Coupons'!K391</x:f>
        <x:v>OPEN</x:v>
      </x:c>
    </x:row>
    <x:row r="3566">
      <x:c r="B3566" s="7" t="str">
        <x:v>AG-03560</x:v>
      </x:c>
      <x:c r="C3566" s="7" t="str">
        <x:v>PEA-B-Y1</x:v>
      </x:c>
      <x:c r="D3566" s="7" t="str">
        <x:v>material coupon</x:v>
      </x:c>
      <x:c r="E3566" s="7" t="str">
        <x:v>CPN-PEA-B-Y1-CP-2</x:v>
      </x:c>
      <x:c r="F3566" s="7" t="str">
        <x:f>'Material Coupons'!K392</x:f>
        <x:v>OPEN</x:v>
      </x:c>
    </x:row>
    <x:row r="3567">
      <x:c r="B3567" s="7" t="str">
        <x:v>AG-03561</x:v>
      </x:c>
      <x:c r="C3567" s="7" t="str">
        <x:v>PEA-B-Y1</x:v>
      </x:c>
      <x:c r="D3567" s="7" t="str">
        <x:v>material coupon</x:v>
      </x:c>
      <x:c r="E3567" s="7" t="str">
        <x:v>CPN-PEA-B-Y1-CP-3</x:v>
      </x:c>
      <x:c r="F3567" s="7" t="str">
        <x:f>'Material Coupons'!K393</x:f>
        <x:v>OPEN</x:v>
      </x:c>
    </x:row>
    <x:row r="3568">
      <x:c r="B3568" s="7" t="str">
        <x:v>AG-03562</x:v>
      </x:c>
      <x:c r="C3568" s="7" t="str">
        <x:v>PEA-B-Y1</x:v>
      </x:c>
      <x:c r="D3568" s="7" t="str">
        <x:v>material coupon</x:v>
      </x:c>
      <x:c r="E3568" s="7" t="str">
        <x:v>CPN-PEA-B-Y1-CP-4</x:v>
      </x:c>
      <x:c r="F3568" s="7" t="str">
        <x:f>'Material Coupons'!K394</x:f>
        <x:v>OPEN</x:v>
      </x:c>
    </x:row>
    <x:row r="3569">
      <x:c r="B3569" s="7" t="str">
        <x:v>AG-03563</x:v>
      </x:c>
      <x:c r="C3569" s="7" t="str">
        <x:v>PEA-B-Y1</x:v>
      </x:c>
      <x:c r="D3569" s="7" t="str">
        <x:v>material coupon</x:v>
      </x:c>
      <x:c r="E3569" s="7" t="str">
        <x:v>CPN-PEA-B-Y1-CP-5</x:v>
      </x:c>
      <x:c r="F3569" s="7" t="str">
        <x:f>'Material Coupons'!K395</x:f>
        <x:v>OPEN</x:v>
      </x:c>
    </x:row>
    <x:row r="3570">
      <x:c r="B3570" s="7" t="str">
        <x:v>AG-03564</x:v>
      </x:c>
      <x:c r="C3570" s="7" t="str">
        <x:v>PEA-B-Y1</x:v>
      </x:c>
      <x:c r="D3570" s="7" t="str">
        <x:v>material coupon</x:v>
      </x:c>
      <x:c r="E3570" s="7" t="str">
        <x:v>CPN-PEA-B-Y1-CP-6</x:v>
      </x:c>
      <x:c r="F3570" s="7" t="str">
        <x:f>'Material Coupons'!K396</x:f>
        <x:v>OPEN</x:v>
      </x:c>
    </x:row>
    <x:row r="3571">
      <x:c r="B3571" s="7" t="str">
        <x:v>AG-03565</x:v>
      </x:c>
      <x:c r="C3571" s="7" t="str">
        <x:v>PEA-B-Y1</x:v>
      </x:c>
      <x:c r="D3571" s="7" t="str">
        <x:v>material coupon</x:v>
      </x:c>
      <x:c r="E3571" s="7" t="str">
        <x:v>CPN-PEA-B-Y1-CP-7</x:v>
      </x:c>
      <x:c r="F3571" s="7" t="str">
        <x:f>'Material Coupons'!K397</x:f>
        <x:v>OPEN</x:v>
      </x:c>
    </x:row>
    <x:row r="3572">
      <x:c r="B3572" s="7" t="str">
        <x:v>AG-03566</x:v>
      </x:c>
      <x:c r="C3572" s="7" t="str">
        <x:v>PEA-B-Y1</x:v>
      </x:c>
      <x:c r="D3572" s="7" t="str">
        <x:v>material coupon</x:v>
      </x:c>
      <x:c r="E3572" s="7" t="str">
        <x:v>CPN-PEA-B-Y1-CP-8</x:v>
      </x:c>
      <x:c r="F3572" s="7" t="str">
        <x:f>'Material Coupons'!K398</x:f>
        <x:v>OPEN</x:v>
      </x:c>
    </x:row>
    <x:row r="3573">
      <x:c r="B3573" s="7" t="str">
        <x:v>AG-03567</x:v>
      </x:c>
      <x:c r="C3573" s="7" t="str">
        <x:v>PEA-B-Y1</x:v>
      </x:c>
      <x:c r="D3573" s="7" t="str">
        <x:v>material coupon</x:v>
      </x:c>
      <x:c r="E3573" s="7" t="str">
        <x:v>CPN-PEA-B-Y1-SM-1</x:v>
      </x:c>
      <x:c r="F3573" s="7" t="str">
        <x:f>'Material Coupons'!K399</x:f>
        <x:v>OPEN</x:v>
      </x:c>
    </x:row>
    <x:row r="3574">
      <x:c r="B3574" s="7" t="str">
        <x:v>AG-03568</x:v>
      </x:c>
      <x:c r="C3574" s="7" t="str">
        <x:v>PEA-B-Y1</x:v>
      </x:c>
      <x:c r="D3574" s="7" t="str">
        <x:v>material coupon</x:v>
      </x:c>
      <x:c r="E3574" s="7" t="str">
        <x:v>CPN-PEA-B-Y1-SM-2</x:v>
      </x:c>
      <x:c r="F3574" s="7" t="str">
        <x:f>'Material Coupons'!K400</x:f>
        <x:v>OPEN</x:v>
      </x:c>
    </x:row>
    <x:row r="3575">
      <x:c r="B3575" s="7" t="str">
        <x:v>AG-03569</x:v>
      </x:c>
      <x:c r="C3575" s="7" t="str">
        <x:v>PEA-B-Y1</x:v>
      </x:c>
      <x:c r="D3575" s="7" t="str">
        <x:v>material coupon</x:v>
      </x:c>
      <x:c r="E3575" s="7" t="str">
        <x:v>CPN-PEA-B-Y1-SM-3</x:v>
      </x:c>
      <x:c r="F3575" s="7" t="str">
        <x:f>'Material Coupons'!K401</x:f>
        <x:v>OPEN</x:v>
      </x:c>
    </x:row>
    <x:row r="3576">
      <x:c r="B3576" s="7" t="str">
        <x:v>AG-03570</x:v>
      </x:c>
      <x:c r="C3576" s="7" t="str">
        <x:v>PEA-B-Y1</x:v>
      </x:c>
      <x:c r="D3576" s="7" t="str">
        <x:v>material coupon</x:v>
      </x:c>
      <x:c r="E3576" s="7" t="str">
        <x:v>CPN-PEA-B-Y1-SM-4</x:v>
      </x:c>
      <x:c r="F3576" s="7" t="str">
        <x:f>'Material Coupons'!K402</x:f>
        <x:v>OPEN</x:v>
      </x:c>
    </x:row>
    <x:row r="3577">
      <x:c r="B3577" s="7" t="str">
        <x:v>AG-03571</x:v>
      </x:c>
      <x:c r="C3577" s="7" t="str">
        <x:v>PEA-B-Y1</x:v>
      </x:c>
      <x:c r="D3577" s="7" t="str">
        <x:v>material coupon</x:v>
      </x:c>
      <x:c r="E3577" s="7" t="str">
        <x:v>CPN-PEA-B-Y1-SM-5</x:v>
      </x:c>
      <x:c r="F3577" s="7" t="str">
        <x:f>'Material Coupons'!K403</x:f>
        <x:v>OPEN</x:v>
      </x:c>
    </x:row>
    <x:row r="3578">
      <x:c r="B3578" s="7" t="str">
        <x:v>AG-03572</x:v>
      </x:c>
      <x:c r="C3578" s="7" t="str">
        <x:v>PEA-B-Y1</x:v>
      </x:c>
      <x:c r="D3578" s="7" t="str">
        <x:v>material coupon</x:v>
      </x:c>
      <x:c r="E3578" s="7" t="str">
        <x:v>CPN-PEA-B-Y1-SM-6</x:v>
      </x:c>
      <x:c r="F3578" s="7" t="str">
        <x:f>'Material Coupons'!K404</x:f>
        <x:v>OPEN</x:v>
      </x:c>
    </x:row>
    <x:row r="3579">
      <x:c r="B3579" s="7" t="str">
        <x:v>AG-03573</x:v>
      </x:c>
      <x:c r="C3579" s="7" t="str">
        <x:v>PEA-B-Y1</x:v>
      </x:c>
      <x:c r="D3579" s="7" t="str">
        <x:v>material coupon</x:v>
      </x:c>
      <x:c r="E3579" s="7" t="str">
        <x:v>CPN-PEA-B-Y1-SM-7</x:v>
      </x:c>
      <x:c r="F3579" s="7" t="str">
        <x:f>'Material Coupons'!K405</x:f>
        <x:v>OPEN</x:v>
      </x:c>
    </x:row>
    <x:row r="3580">
      <x:c r="B3580" s="7" t="str">
        <x:v>AG-03574</x:v>
      </x:c>
      <x:c r="C3580" s="7" t="str">
        <x:v>PEA-B-Y1</x:v>
      </x:c>
      <x:c r="D3580" s="7" t="str">
        <x:v>material coupon</x:v>
      </x:c>
      <x:c r="E3580" s="7" t="str">
        <x:v>CPN-PEA-B-Y1-SM-8</x:v>
      </x:c>
      <x:c r="F3580" s="7" t="str">
        <x:f>'Material Coupons'!K406</x:f>
        <x:v>OPEN</x:v>
      </x:c>
    </x:row>
    <x:row r="3581">
      <x:c r="B3581" s="7" t="str">
        <x:v>AG-03575</x:v>
      </x:c>
      <x:c r="C3581" s="7" t="str">
        <x:v>PEA-B-Y1</x:v>
      </x:c>
      <x:c r="D3581" s="7" t="str">
        <x:v>NDE record</x:v>
      </x:c>
      <x:c r="E3581" s="7" t="str">
        <x:v>NDE-TRV-PEA-B-Y1-01</x:v>
      </x:c>
      <x:c r="F3581" s="7" t="str">
        <x:f>'NDE Records'!L187</x:f>
        <x:v>OPEN</x:v>
      </x:c>
    </x:row>
    <x:row r="3582">
      <x:c r="B3582" s="7" t="str">
        <x:v>AG-03576</x:v>
      </x:c>
      <x:c r="C3582" s="7" t="str">
        <x:v>PEA-B-Y1</x:v>
      </x:c>
      <x:c r="D3582" s="7" t="str">
        <x:v>NDE record</x:v>
      </x:c>
      <x:c r="E3582" s="7" t="str">
        <x:v>NDE-TRV-PEA-B-Y1-02</x:v>
      </x:c>
      <x:c r="F3582" s="7" t="str">
        <x:f>'NDE Records'!L188</x:f>
        <x:v>OPEN</x:v>
      </x:c>
    </x:row>
    <x:row r="3583">
      <x:c r="B3583" s="7" t="str">
        <x:v>AG-03577</x:v>
      </x:c>
      <x:c r="C3583" s="7" t="str">
        <x:v>PEA-B-Y1</x:v>
      </x:c>
      <x:c r="D3583" s="7" t="str">
        <x:v>NDE record</x:v>
      </x:c>
      <x:c r="E3583" s="7" t="str">
        <x:v>NDE-TRV-PEA-B-Y1-03</x:v>
      </x:c>
      <x:c r="F3583" s="7" t="str">
        <x:f>'NDE Records'!L189</x:f>
        <x:v>OPEN</x:v>
      </x:c>
    </x:row>
    <x:row r="3584">
      <x:c r="B3584" s="7" t="str">
        <x:v>AG-03578</x:v>
      </x:c>
      <x:c r="C3584" s="7" t="str">
        <x:v>PEA-B-Y1</x:v>
      </x:c>
      <x:c r="D3584" s="7" t="str">
        <x:v>NDE record</x:v>
      </x:c>
      <x:c r="E3584" s="7" t="str">
        <x:v>NDE-TRV-PEA-B-Y1-04</x:v>
      </x:c>
      <x:c r="F3584" s="7" t="str">
        <x:f>'NDE Records'!L190</x:f>
        <x:v>OPEN</x:v>
      </x:c>
    </x:row>
    <x:row r="3585">
      <x:c r="B3585" s="7" t="str">
        <x:v>AG-03579</x:v>
      </x:c>
      <x:c r="C3585" s="7" t="str">
        <x:v>PEA-B-Y1</x:v>
      </x:c>
      <x:c r="D3585" s="7" t="str">
        <x:v>NDE record</x:v>
      </x:c>
      <x:c r="E3585" s="7" t="str">
        <x:v>NDE-TRV-PEA-B-Y1-05</x:v>
      </x:c>
      <x:c r="F3585" s="7" t="str">
        <x:f>'NDE Records'!L191</x:f>
        <x:v>OPEN</x:v>
      </x:c>
    </x:row>
    <x:row r="3586">
      <x:c r="B3586" s="7" t="str">
        <x:v>AG-03580</x:v>
      </x:c>
      <x:c r="C3586" s="7" t="str">
        <x:v>PEA-B-Y1</x:v>
      </x:c>
      <x:c r="D3586" s="7" t="str">
        <x:v>NDE record</x:v>
      </x:c>
      <x:c r="E3586" s="7" t="str">
        <x:v>NDE-TRV-PEA-B-Y1-06</x:v>
      </x:c>
      <x:c r="F3586" s="7" t="str">
        <x:f>'NDE Records'!L192</x:f>
        <x:v>OPEN</x:v>
      </x:c>
    </x:row>
    <x:row r="3587">
      <x:c r="B3587" s="7" t="str">
        <x:v>AG-03581</x:v>
      </x:c>
      <x:c r="C3587" s="7" t="str">
        <x:v>PEA-B-Y1</x:v>
      </x:c>
      <x:c r="D3587" s="7" t="str">
        <x:v>NDE record</x:v>
      </x:c>
      <x:c r="E3587" s="7" t="str">
        <x:v>NDE-TRV-PEA-B-Y1-07</x:v>
      </x:c>
      <x:c r="F3587" s="7" t="str">
        <x:f>'NDE Records'!L193</x:f>
        <x:v>OPEN</x:v>
      </x:c>
    </x:row>
    <x:row r="3588">
      <x:c r="B3588" s="7" t="str">
        <x:v>AG-03582</x:v>
      </x:c>
      <x:c r="C3588" s="7" t="str">
        <x:v>PEA-B-Y1</x:v>
      </x:c>
      <x:c r="D3588" s="7" t="str">
        <x:v>NDE record</x:v>
      </x:c>
      <x:c r="E3588" s="7" t="str">
        <x:v>NDE-TRV-PEA-B-Y1-08</x:v>
      </x:c>
      <x:c r="F3588" s="7" t="str">
        <x:f>'NDE Records'!L194</x:f>
        <x:v>OPEN</x:v>
      </x:c>
    </x:row>
    <x:row r="3589">
      <x:c r="B3589" s="7" t="str">
        <x:v>AG-03583</x:v>
      </x:c>
      <x:c r="C3589" s="7" t="str">
        <x:v>PEA-B-Y1</x:v>
      </x:c>
      <x:c r="D3589" s="7" t="str">
        <x:v>NDE record</x:v>
      </x:c>
      <x:c r="E3589" s="7" t="str">
        <x:v>NDE-TRV-PEA-B-Y1-09</x:v>
      </x:c>
      <x:c r="F3589" s="7" t="str">
        <x:f>'NDE Records'!L195</x:f>
        <x:v>OPEN</x:v>
      </x:c>
    </x:row>
    <x:row r="3590">
      <x:c r="B3590" s="7" t="str">
        <x:v>AG-03584</x:v>
      </x:c>
      <x:c r="C3590" s="7" t="str">
        <x:v>PEA-B-Y1</x:v>
      </x:c>
      <x:c r="D3590" s="7" t="str">
        <x:v>NDE record</x:v>
      </x:c>
      <x:c r="E3590" s="7" t="str">
        <x:v>NDE-TRV-PEA-B-Y1-10</x:v>
      </x:c>
      <x:c r="F3590" s="7" t="str">
        <x:f>'NDE Records'!L196</x:f>
        <x:v>OPEN</x:v>
      </x:c>
    </x:row>
    <x:row r="3591">
      <x:c r="B3591" s="7" t="str">
        <x:v>AG-03585</x:v>
      </x:c>
      <x:c r="C3591" s="7" t="str">
        <x:v>PEA-B-Y1</x:v>
      </x:c>
      <x:c r="D3591" s="7" t="str">
        <x:v>NDE record</x:v>
      </x:c>
      <x:c r="E3591" s="7" t="str">
        <x:v>NDE-TRV-PEA-B-Y1-11</x:v>
      </x:c>
      <x:c r="F3591" s="7" t="str">
        <x:f>'NDE Records'!L197</x:f>
        <x:v>OPEN</x:v>
      </x:c>
    </x:row>
    <x:row r="3592">
      <x:c r="B3592" s="7" t="str">
        <x:v>AG-03586</x:v>
      </x:c>
      <x:c r="C3592" s="7" t="str">
        <x:v>PEA-B-Y1</x:v>
      </x:c>
      <x:c r="D3592" s="7" t="str">
        <x:v>NDE record</x:v>
      </x:c>
      <x:c r="E3592" s="7" t="str">
        <x:v>NDE-TRV-PEA-B-Y1-12</x:v>
      </x:c>
      <x:c r="F3592" s="7" t="str">
        <x:f>'NDE Records'!L198</x:f>
        <x:v>OPEN</x:v>
      </x:c>
    </x:row>
    <x:row r="3593">
      <x:c r="B3593" s="7" t="str">
        <x:v>AG-03587</x:v>
      </x:c>
      <x:c r="C3593" s="7" t="str">
        <x:v>PEA-B-Y1</x:v>
      </x:c>
      <x:c r="D3593" s="7" t="str">
        <x:v>NDE record</x:v>
      </x:c>
      <x:c r="E3593" s="7" t="str">
        <x:v>NDE-TRV-PEA-B-Y1-13</x:v>
      </x:c>
      <x:c r="F3593" s="7" t="str">
        <x:f>'NDE Records'!L199</x:f>
        <x:v>OPEN</x:v>
      </x:c>
    </x:row>
    <x:row r="3594">
      <x:c r="B3594" s="7" t="str">
        <x:v>AG-03588</x:v>
      </x:c>
      <x:c r="C3594" s="7" t="str">
        <x:v>PEA-B-Y1</x:v>
      </x:c>
      <x:c r="D3594" s="7" t="str">
        <x:v>NDE record</x:v>
      </x:c>
      <x:c r="E3594" s="7" t="str">
        <x:v>NDE-TRV-PEA-B-Y1-14</x:v>
      </x:c>
      <x:c r="F3594" s="7" t="str">
        <x:f>'NDE Records'!L200</x:f>
        <x:v>OPEN</x:v>
      </x:c>
    </x:row>
    <x:row r="3595">
      <x:c r="B3595" s="7" t="str">
        <x:v>AG-03589</x:v>
      </x:c>
      <x:c r="C3595" s="7" t="str">
        <x:v>PEA-B-Y1</x:v>
      </x:c>
      <x:c r="D3595" s="7" t="str">
        <x:v>NDE record</x:v>
      </x:c>
      <x:c r="E3595" s="7" t="str">
        <x:v>NDE-TRV-PEA-B-Y1-15</x:v>
      </x:c>
      <x:c r="F3595" s="7" t="str">
        <x:f>'NDE Records'!L201</x:f>
        <x:v>OPEN</x:v>
      </x:c>
    </x:row>
    <x:row r="3596">
      <x:c r="B3596" s="7" t="str">
        <x:v>AG-03590</x:v>
      </x:c>
      <x:c r="C3596" s="7" t="str">
        <x:v>PEA-B-Y1</x:v>
      </x:c>
      <x:c r="D3596" s="7" t="str">
        <x:v>NDE record</x:v>
      </x:c>
      <x:c r="E3596" s="7" t="str">
        <x:v>NDE-TRV-PEA-B-Y1-16</x:v>
      </x:c>
      <x:c r="F3596" s="7" t="str">
        <x:f>'NDE Records'!L202</x:f>
        <x:v>OPEN</x:v>
      </x:c>
    </x:row>
    <x:row r="3597">
      <x:c r="B3597" s="7" t="str">
        <x:v>AG-03591</x:v>
      </x:c>
      <x:c r="C3597" s="7" t="str">
        <x:v>PEA-B-Y1</x:v>
      </x:c>
      <x:c r="D3597" s="7" t="str">
        <x:v>NDE record</x:v>
      </x:c>
      <x:c r="E3597" s="7" t="str">
        <x:v>NDE-TRV-PEA-B-Y1-17</x:v>
      </x:c>
      <x:c r="F3597" s="7" t="str">
        <x:f>'NDE Records'!L203</x:f>
        <x:v>OPEN</x:v>
      </x:c>
    </x:row>
    <x:row r="3598">
      <x:c r="B3598" s="7" t="str">
        <x:v>AG-03592</x:v>
      </x:c>
      <x:c r="C3598" s="7" t="str">
        <x:v>PEA-B-Y1</x:v>
      </x:c>
      <x:c r="D3598" s="7" t="str">
        <x:v>NDE record</x:v>
      </x:c>
      <x:c r="E3598" s="7" t="str">
        <x:v>NDE-TRV-PEA-B-Y1-18</x:v>
      </x:c>
      <x:c r="F3598" s="7" t="str">
        <x:f>'NDE Records'!L204</x:f>
        <x:v>OPEN</x:v>
      </x:c>
    </x:row>
    <x:row r="3599">
      <x:c r="B3599" s="7" t="str">
        <x:v>AG-03593</x:v>
      </x:c>
      <x:c r="C3599" s="7" t="str">
        <x:v>PEA-B-Y1</x:v>
      </x:c>
      <x:c r="D3599" s="7" t="str">
        <x:v>NDE record</x:v>
      </x:c>
      <x:c r="E3599" s="7" t="str">
        <x:v>NDE-TRV-PEA-B-Y1-19</x:v>
      </x:c>
      <x:c r="F3599" s="7" t="str">
        <x:f>'NDE Records'!L205</x:f>
        <x:v>OPEN</x:v>
      </x:c>
    </x:row>
    <x:row r="3600">
      <x:c r="B3600" s="7" t="str">
        <x:v>AG-03594</x:v>
      </x:c>
      <x:c r="C3600" s="7" t="str">
        <x:v>PEA-B-Y1</x:v>
      </x:c>
      <x:c r="D3600" s="7" t="str">
        <x:v>NDE record</x:v>
      </x:c>
      <x:c r="E3600" s="7" t="str">
        <x:v>NDE-TRV-PEA-B-Y1-20</x:v>
      </x:c>
      <x:c r="F3600" s="7" t="str">
        <x:f>'NDE Records'!L206</x:f>
        <x:v>OPEN</x:v>
      </x:c>
    </x:row>
    <x:row r="3601">
      <x:c r="B3601" s="7" t="str">
        <x:v>AG-03595</x:v>
      </x:c>
      <x:c r="C3601" s="7" t="str">
        <x:v>PEA-B-Y1</x:v>
      </x:c>
      <x:c r="D3601" s="7" t="str">
        <x:v>joint record</x:v>
      </x:c>
      <x:c r="E3601" s="7" t="str">
        <x:v>JNT-PEA-B-Y1-1</x:v>
      </x:c>
      <x:c r="F3601" s="7" t="str">
        <x:f>'Joint Records'!M52</x:f>
        <x:v>OPEN</x:v>
      </x:c>
    </x:row>
    <x:row r="3602">
      <x:c r="B3602" s="7" t="str">
        <x:v>AG-03596</x:v>
      </x:c>
      <x:c r="C3602" s="7" t="str">
        <x:v>PEA-B-Y1</x:v>
      </x:c>
      <x:c r="D3602" s="7" t="str">
        <x:v>joint record</x:v>
      </x:c>
      <x:c r="E3602" s="7" t="str">
        <x:v>JNT-PEA-B-Y1-2</x:v>
      </x:c>
      <x:c r="F3602" s="7" t="str">
        <x:f>'Joint Records'!M53</x:f>
        <x:v>OPEN</x:v>
      </x:c>
    </x:row>
    <x:row r="3603">
      <x:c r="B3603" s="7" t="str">
        <x:v>AG-03597</x:v>
      </x:c>
      <x:c r="C3603" s="7" t="str">
        <x:v>PEA-B-Y1</x:v>
      </x:c>
      <x:c r="D3603" s="7" t="str">
        <x:v>joint record</x:v>
      </x:c>
      <x:c r="E3603" s="7" t="str">
        <x:v>JNT-PEA-B-Y1-3</x:v>
      </x:c>
      <x:c r="F3603" s="7" t="str">
        <x:f>'Joint Records'!M54</x:f>
        <x:v>OPEN</x:v>
      </x:c>
    </x:row>
    <x:row r="3604">
      <x:c r="B3604" s="7" t="str">
        <x:v>AG-03598</x:v>
      </x:c>
      <x:c r="C3604" s="7" t="str">
        <x:v>PEA-B-Y1</x:v>
      </x:c>
      <x:c r="D3604" s="7" t="str">
        <x:v>joint record</x:v>
      </x:c>
      <x:c r="E3604" s="7" t="str">
        <x:v>JNT-PEA-B-Y1-4</x:v>
      </x:c>
      <x:c r="F3604" s="7" t="str">
        <x:f>'Joint Records'!M55</x:f>
        <x:v>OPEN</x:v>
      </x:c>
    </x:row>
    <x:row r="3605">
      <x:c r="B3605" s="7" t="str">
        <x:v>AG-03599</x:v>
      </x:c>
      <x:c r="C3605" s="7" t="str">
        <x:v>PEA-B-Y1</x:v>
      </x:c>
      <x:c r="D3605" s="7" t="str">
        <x:v>joint record</x:v>
      </x:c>
      <x:c r="E3605" s="7" t="str">
        <x:v>JNT-PEA-B-Y1-5</x:v>
      </x:c>
      <x:c r="F3605" s="7" t="str">
        <x:f>'Joint Records'!M56</x:f>
        <x:v>OPEN</x:v>
      </x:c>
    </x:row>
    <x:row r="3606">
      <x:c r="B3606" s="7" t="str">
        <x:v>AG-03600</x:v>
      </x:c>
      <x:c r="C3606" s="7" t="str">
        <x:v>PEA-B-Y1</x:v>
      </x:c>
      <x:c r="D3606" s="7" t="str">
        <x:v>control element</x:v>
      </x:c>
      <x:c r="E3606" s="7" t="str">
        <x:v>ELM-PEA-B-Y1-01</x:v>
      </x:c>
      <x:c r="F3606" s="7" t="str">
        <x:f>'Control Elements'!L115</x:f>
        <x:v>OPEN</x:v>
      </x:c>
    </x:row>
    <x:row r="3607">
      <x:c r="B3607" s="7" t="str">
        <x:v>AG-03601</x:v>
      </x:c>
      <x:c r="C3607" s="7" t="str">
        <x:v>PEA-B-Y1</x:v>
      </x:c>
      <x:c r="D3607" s="7" t="str">
        <x:v>control element</x:v>
      </x:c>
      <x:c r="E3607" s="7" t="str">
        <x:v>ELM-PEA-B-Y1-02</x:v>
      </x:c>
      <x:c r="F3607" s="7" t="str">
        <x:f>'Control Elements'!L116</x:f>
        <x:v>OPEN</x:v>
      </x:c>
    </x:row>
    <x:row r="3608">
      <x:c r="B3608" s="7" t="str">
        <x:v>AG-03602</x:v>
      </x:c>
      <x:c r="C3608" s="7" t="str">
        <x:v>PEA-B-Y1</x:v>
      </x:c>
      <x:c r="D3608" s="7" t="str">
        <x:v>control element</x:v>
      </x:c>
      <x:c r="E3608" s="7" t="str">
        <x:v>ELM-PEA-B-Y1-03</x:v>
      </x:c>
      <x:c r="F3608" s="7" t="str">
        <x:f>'Control Elements'!L117</x:f>
        <x:v>OPEN</x:v>
      </x:c>
    </x:row>
    <x:row r="3609">
      <x:c r="B3609" s="7" t="str">
        <x:v>AG-03603</x:v>
      </x:c>
      <x:c r="C3609" s="7" t="str">
        <x:v>PEA-B-Y1</x:v>
      </x:c>
      <x:c r="D3609" s="7" t="str">
        <x:v>control element</x:v>
      </x:c>
      <x:c r="E3609" s="7" t="str">
        <x:v>ELM-PEA-B-Y1-04</x:v>
      </x:c>
      <x:c r="F3609" s="7" t="str">
        <x:f>'Control Elements'!L118</x:f>
        <x:v>OPEN</x:v>
      </x:c>
    </x:row>
    <x:row r="3610">
      <x:c r="B3610" s="7" t="str">
        <x:v>AG-03604</x:v>
      </x:c>
      <x:c r="C3610" s="7" t="str">
        <x:v>PEA-B-Y1</x:v>
      </x:c>
      <x:c r="D3610" s="7" t="str">
        <x:v>control element</x:v>
      </x:c>
      <x:c r="E3610" s="7" t="str">
        <x:v>ELM-PEA-B-Y1-05</x:v>
      </x:c>
      <x:c r="F3610" s="7" t="str">
        <x:f>'Control Elements'!L119</x:f>
        <x:v>OPEN</x:v>
      </x:c>
    </x:row>
    <x:row r="3611">
      <x:c r="B3611" s="7" t="str">
        <x:v>AG-03605</x:v>
      </x:c>
      <x:c r="C3611" s="7" t="str">
        <x:v>PEA-B-Y1</x:v>
      </x:c>
      <x:c r="D3611" s="7" t="str">
        <x:v>control element</x:v>
      </x:c>
      <x:c r="E3611" s="7" t="str">
        <x:v>ELM-PEA-B-Y1-06</x:v>
      </x:c>
      <x:c r="F3611" s="7" t="str">
        <x:f>'Control Elements'!L120</x:f>
        <x:v>OPEN</x:v>
      </x:c>
    </x:row>
    <x:row r="3612">
      <x:c r="B3612" s="7" t="str">
        <x:v>AG-03606</x:v>
      </x:c>
      <x:c r="C3612" s="7" t="str">
        <x:v>PEA-B-Y1</x:v>
      </x:c>
      <x:c r="D3612" s="7" t="str">
        <x:v>control element</x:v>
      </x:c>
      <x:c r="E3612" s="7" t="str">
        <x:v>ELM-PEA-B-Y1-07</x:v>
      </x:c>
      <x:c r="F3612" s="7" t="str">
        <x:f>'Control Elements'!L121</x:f>
        <x:v>OPEN</x:v>
      </x:c>
    </x:row>
    <x:row r="3613">
      <x:c r="B3613" s="7" t="str">
        <x:v>AG-03607</x:v>
      </x:c>
      <x:c r="C3613" s="7" t="str">
        <x:v>PEA-B-Y1</x:v>
      </x:c>
      <x:c r="D3613" s="7" t="str">
        <x:v>control element</x:v>
      </x:c>
      <x:c r="E3613" s="7" t="str">
        <x:v>ELM-PEA-B-Y1-08</x:v>
      </x:c>
      <x:c r="F3613" s="7" t="str">
        <x:f>'Control Elements'!L122</x:f>
        <x:v>OPEN</x:v>
      </x:c>
    </x:row>
    <x:row r="3614">
      <x:c r="B3614" s="7" t="str">
        <x:v>AG-03608</x:v>
      </x:c>
      <x:c r="C3614" s="7" t="str">
        <x:v>PEA-B-Y1</x:v>
      </x:c>
      <x:c r="D3614" s="7" t="str">
        <x:v>control element</x:v>
      </x:c>
      <x:c r="E3614" s="7" t="str">
        <x:v>ELM-PEA-B-Y1-09</x:v>
      </x:c>
      <x:c r="F3614" s="7" t="str">
        <x:f>'Control Elements'!L123</x:f>
        <x:v>OPEN</x:v>
      </x:c>
    </x:row>
    <x:row r="3615">
      <x:c r="B3615" s="7" t="str">
        <x:v>AG-03609</x:v>
      </x:c>
      <x:c r="C3615" s="7" t="str">
        <x:v>PEA-B-Y1</x:v>
      </x:c>
      <x:c r="D3615" s="7" t="str">
        <x:v>control element</x:v>
      </x:c>
      <x:c r="E3615" s="7" t="str">
        <x:v>ELM-PEA-B-Y1-10</x:v>
      </x:c>
      <x:c r="F3615" s="7" t="str">
        <x:f>'Control Elements'!L124</x:f>
        <x:v>OPEN</x:v>
      </x:c>
    </x:row>
    <x:row r="3616">
      <x:c r="B3616" s="7" t="str">
        <x:v>AG-03610</x:v>
      </x:c>
      <x:c r="C3616" s="7" t="str">
        <x:v>PEA-B-Y1</x:v>
      </x:c>
      <x:c r="D3616" s="7" t="str">
        <x:v>control element</x:v>
      </x:c>
      <x:c r="E3616" s="7" t="str">
        <x:v>ELM-PEA-B-Y1-11</x:v>
      </x:c>
      <x:c r="F3616" s="7" t="str">
        <x:f>'Control Elements'!L125</x:f>
        <x:v>OPEN</x:v>
      </x:c>
    </x:row>
    <x:row r="3617">
      <x:c r="B3617" s="7" t="str">
        <x:v>AG-03611</x:v>
      </x:c>
      <x:c r="C3617" s="7" t="str">
        <x:v>PEA-B-Y1</x:v>
      </x:c>
      <x:c r="D3617" s="7" t="str">
        <x:v>control element</x:v>
      </x:c>
      <x:c r="E3617" s="7" t="str">
        <x:v>ELM-PEA-B-Y1-12</x:v>
      </x:c>
      <x:c r="F3617" s="7" t="str">
        <x:f>'Control Elements'!L126</x:f>
        <x:v>OPEN</x:v>
      </x:c>
    </x:row>
    <x:row r="3618">
      <x:c r="B3618" s="7" t="str">
        <x:v>AG-03612</x:v>
      </x:c>
      <x:c r="C3618" s="7" t="str">
        <x:v>PEA-B-Y1</x:v>
      </x:c>
      <x:c r="D3618" s="7" t="str">
        <x:v>channel instance</x:v>
      </x:c>
      <x:c r="E3618" s="7" t="str">
        <x:v>CH-PEA-B-Y1-01-1</x:v>
      </x:c>
      <x:c r="F3618" s="7" t="str">
        <x:f>'Channel Instances'!O1303</x:f>
        <x:v>OPEN</x:v>
      </x:c>
    </x:row>
    <x:row r="3619">
      <x:c r="B3619" s="7" t="str">
        <x:v>AG-03613</x:v>
      </x:c>
      <x:c r="C3619" s="7" t="str">
        <x:v>PEA-B-Y1</x:v>
      </x:c>
      <x:c r="D3619" s="7" t="str">
        <x:v>channel instance</x:v>
      </x:c>
      <x:c r="E3619" s="7" t="str">
        <x:v>CH-PEA-B-Y1-01-2</x:v>
      </x:c>
      <x:c r="F3619" s="7" t="str">
        <x:f>'Channel Instances'!O1304</x:f>
        <x:v>OPEN</x:v>
      </x:c>
    </x:row>
    <x:row r="3620">
      <x:c r="B3620" s="7" t="str">
        <x:v>AG-03614</x:v>
      </x:c>
      <x:c r="C3620" s="7" t="str">
        <x:v>PEA-B-Y1</x:v>
      </x:c>
      <x:c r="D3620" s="7" t="str">
        <x:v>channel instance</x:v>
      </x:c>
      <x:c r="E3620" s="7" t="str">
        <x:v>CH-PEA-B-Y1-01-3</x:v>
      </x:c>
      <x:c r="F3620" s="7" t="str">
        <x:f>'Channel Instances'!O1305</x:f>
        <x:v>OPEN</x:v>
      </x:c>
    </x:row>
    <x:row r="3621">
      <x:c r="B3621" s="7" t="str">
        <x:v>AG-03615</x:v>
      </x:c>
      <x:c r="C3621" s="7" t="str">
        <x:v>PEA-B-Y1</x:v>
      </x:c>
      <x:c r="D3621" s="7" t="str">
        <x:v>channel instance</x:v>
      </x:c>
      <x:c r="E3621" s="7" t="str">
        <x:v>CH-PEA-B-Y1-01-4</x:v>
      </x:c>
      <x:c r="F3621" s="7" t="str">
        <x:f>'Channel Instances'!O1306</x:f>
        <x:v>OPEN</x:v>
      </x:c>
    </x:row>
    <x:row r="3622">
      <x:c r="B3622" s="7" t="str">
        <x:v>AG-03616</x:v>
      </x:c>
      <x:c r="C3622" s="7" t="str">
        <x:v>PEA-B-Y1</x:v>
      </x:c>
      <x:c r="D3622" s="7" t="str">
        <x:v>channel instance</x:v>
      </x:c>
      <x:c r="E3622" s="7" t="str">
        <x:v>CH-PEA-B-Y1-01-5</x:v>
      </x:c>
      <x:c r="F3622" s="7" t="str">
        <x:f>'Channel Instances'!O1307</x:f>
        <x:v>OPEN</x:v>
      </x:c>
    </x:row>
    <x:row r="3623">
      <x:c r="B3623" s="7" t="str">
        <x:v>AG-03617</x:v>
      </x:c>
      <x:c r="C3623" s="7" t="str">
        <x:v>PEA-B-Y1</x:v>
      </x:c>
      <x:c r="D3623" s="7" t="str">
        <x:v>channel instance</x:v>
      </x:c>
      <x:c r="E3623" s="7" t="str">
        <x:v>CH-PEA-B-Y1-01-6</x:v>
      </x:c>
      <x:c r="F3623" s="7" t="str">
        <x:f>'Channel Instances'!O1308</x:f>
        <x:v>OPEN</x:v>
      </x:c>
    </x:row>
    <x:row r="3624">
      <x:c r="B3624" s="7" t="str">
        <x:v>AG-03618</x:v>
      </x:c>
      <x:c r="C3624" s="7" t="str">
        <x:v>PEA-B-Y1</x:v>
      </x:c>
      <x:c r="D3624" s="7" t="str">
        <x:v>channel instance</x:v>
      </x:c>
      <x:c r="E3624" s="7" t="str">
        <x:v>CH-PEA-B-Y1-02-1</x:v>
      </x:c>
      <x:c r="F3624" s="7" t="str">
        <x:f>'Channel Instances'!O1309</x:f>
        <x:v>OPEN</x:v>
      </x:c>
    </x:row>
    <x:row r="3625">
      <x:c r="B3625" s="7" t="str">
        <x:v>AG-03619</x:v>
      </x:c>
      <x:c r="C3625" s="7" t="str">
        <x:v>PEA-B-Y1</x:v>
      </x:c>
      <x:c r="D3625" s="7" t="str">
        <x:v>channel instance</x:v>
      </x:c>
      <x:c r="E3625" s="7" t="str">
        <x:v>CH-PEA-B-Y1-02-2</x:v>
      </x:c>
      <x:c r="F3625" s="7" t="str">
        <x:f>'Channel Instances'!O1310</x:f>
        <x:v>OPEN</x:v>
      </x:c>
    </x:row>
    <x:row r="3626">
      <x:c r="B3626" s="7" t="str">
        <x:v>AG-03620</x:v>
      </x:c>
      <x:c r="C3626" s="7" t="str">
        <x:v>PEA-B-Y1</x:v>
      </x:c>
      <x:c r="D3626" s="7" t="str">
        <x:v>channel instance</x:v>
      </x:c>
      <x:c r="E3626" s="7" t="str">
        <x:v>CH-PEA-B-Y1-02-3</x:v>
      </x:c>
      <x:c r="F3626" s="7" t="str">
        <x:f>'Channel Instances'!O1311</x:f>
        <x:v>OPEN</x:v>
      </x:c>
    </x:row>
    <x:row r="3627">
      <x:c r="B3627" s="7" t="str">
        <x:v>AG-03621</x:v>
      </x:c>
      <x:c r="C3627" s="7" t="str">
        <x:v>PEA-B-Y1</x:v>
      </x:c>
      <x:c r="D3627" s="7" t="str">
        <x:v>channel instance</x:v>
      </x:c>
      <x:c r="E3627" s="7" t="str">
        <x:v>CH-PEA-B-Y1-02-4</x:v>
      </x:c>
      <x:c r="F3627" s="7" t="str">
        <x:f>'Channel Instances'!O1312</x:f>
        <x:v>OPEN</x:v>
      </x:c>
    </x:row>
    <x:row r="3628">
      <x:c r="B3628" s="7" t="str">
        <x:v>AG-03622</x:v>
      </x:c>
      <x:c r="C3628" s="7" t="str">
        <x:v>PEA-B-Y1</x:v>
      </x:c>
      <x:c r="D3628" s="7" t="str">
        <x:v>channel instance</x:v>
      </x:c>
      <x:c r="E3628" s="7" t="str">
        <x:v>CH-PEA-B-Y1-02-5</x:v>
      </x:c>
      <x:c r="F3628" s="7" t="str">
        <x:f>'Channel Instances'!O1313</x:f>
        <x:v>OPEN</x:v>
      </x:c>
    </x:row>
    <x:row r="3629">
      <x:c r="B3629" s="7" t="str">
        <x:v>AG-03623</x:v>
      </x:c>
      <x:c r="C3629" s="7" t="str">
        <x:v>PEA-B-Y1</x:v>
      </x:c>
      <x:c r="D3629" s="7" t="str">
        <x:v>channel instance</x:v>
      </x:c>
      <x:c r="E3629" s="7" t="str">
        <x:v>CH-PEA-B-Y1-02-6</x:v>
      </x:c>
      <x:c r="F3629" s="7" t="str">
        <x:f>'Channel Instances'!O1314</x:f>
        <x:v>OPEN</x:v>
      </x:c>
    </x:row>
    <x:row r="3630">
      <x:c r="B3630" s="7" t="str">
        <x:v>AG-03624</x:v>
      </x:c>
      <x:c r="C3630" s="7" t="str">
        <x:v>PEA-B-Y1</x:v>
      </x:c>
      <x:c r="D3630" s="7" t="str">
        <x:v>channel instance</x:v>
      </x:c>
      <x:c r="E3630" s="7" t="str">
        <x:v>CH-PEA-B-Y1-03-1</x:v>
      </x:c>
      <x:c r="F3630" s="7" t="str">
        <x:f>'Channel Instances'!O1315</x:f>
        <x:v>OPEN</x:v>
      </x:c>
    </x:row>
    <x:row r="3631">
      <x:c r="B3631" s="7" t="str">
        <x:v>AG-03625</x:v>
      </x:c>
      <x:c r="C3631" s="7" t="str">
        <x:v>PEA-B-Y1</x:v>
      </x:c>
      <x:c r="D3631" s="7" t="str">
        <x:v>channel instance</x:v>
      </x:c>
      <x:c r="E3631" s="7" t="str">
        <x:v>CH-PEA-B-Y1-03-2</x:v>
      </x:c>
      <x:c r="F3631" s="7" t="str">
        <x:f>'Channel Instances'!O1316</x:f>
        <x:v>OPEN</x:v>
      </x:c>
    </x:row>
    <x:row r="3632">
      <x:c r="B3632" s="7" t="str">
        <x:v>AG-03626</x:v>
      </x:c>
      <x:c r="C3632" s="7" t="str">
        <x:v>PEA-B-Y1</x:v>
      </x:c>
      <x:c r="D3632" s="7" t="str">
        <x:v>channel instance</x:v>
      </x:c>
      <x:c r="E3632" s="7" t="str">
        <x:v>CH-PEA-B-Y1-03-3</x:v>
      </x:c>
      <x:c r="F3632" s="7" t="str">
        <x:f>'Channel Instances'!O1317</x:f>
        <x:v>OPEN</x:v>
      </x:c>
    </x:row>
    <x:row r="3633">
      <x:c r="B3633" s="7" t="str">
        <x:v>AG-03627</x:v>
      </x:c>
      <x:c r="C3633" s="7" t="str">
        <x:v>PEA-B-Y1</x:v>
      </x:c>
      <x:c r="D3633" s="7" t="str">
        <x:v>channel instance</x:v>
      </x:c>
      <x:c r="E3633" s="7" t="str">
        <x:v>CH-PEA-B-Y1-03-4</x:v>
      </x:c>
      <x:c r="F3633" s="7" t="str">
        <x:f>'Channel Instances'!O1318</x:f>
        <x:v>OPEN</x:v>
      </x:c>
    </x:row>
    <x:row r="3634">
      <x:c r="B3634" s="7" t="str">
        <x:v>AG-03628</x:v>
      </x:c>
      <x:c r="C3634" s="7" t="str">
        <x:v>PEA-B-Y1</x:v>
      </x:c>
      <x:c r="D3634" s="7" t="str">
        <x:v>channel instance</x:v>
      </x:c>
      <x:c r="E3634" s="7" t="str">
        <x:v>CH-PEA-B-Y1-03-5</x:v>
      </x:c>
      <x:c r="F3634" s="7" t="str">
        <x:f>'Channel Instances'!O1319</x:f>
        <x:v>OPEN</x:v>
      </x:c>
    </x:row>
    <x:row r="3635">
      <x:c r="B3635" s="7" t="str">
        <x:v>AG-03629</x:v>
      </x:c>
      <x:c r="C3635" s="7" t="str">
        <x:v>PEA-B-Y1</x:v>
      </x:c>
      <x:c r="D3635" s="7" t="str">
        <x:v>channel instance</x:v>
      </x:c>
      <x:c r="E3635" s="7" t="str">
        <x:v>CH-PEA-B-Y1-03-6</x:v>
      </x:c>
      <x:c r="F3635" s="7" t="str">
        <x:f>'Channel Instances'!O1320</x:f>
        <x:v>OPEN</x:v>
      </x:c>
    </x:row>
    <x:row r="3636">
      <x:c r="B3636" s="7" t="str">
        <x:v>AG-03630</x:v>
      </x:c>
      <x:c r="C3636" s="7" t="str">
        <x:v>PEA-B-Y1</x:v>
      </x:c>
      <x:c r="D3636" s="7" t="str">
        <x:v>channel instance</x:v>
      </x:c>
      <x:c r="E3636" s="7" t="str">
        <x:v>CH-PEA-B-Y1-04-1</x:v>
      </x:c>
      <x:c r="F3636" s="7" t="str">
        <x:f>'Channel Instances'!O1321</x:f>
        <x:v>OPEN</x:v>
      </x:c>
    </x:row>
    <x:row r="3637">
      <x:c r="B3637" s="7" t="str">
        <x:v>AG-03631</x:v>
      </x:c>
      <x:c r="C3637" s="7" t="str">
        <x:v>PEA-B-Y1</x:v>
      </x:c>
      <x:c r="D3637" s="7" t="str">
        <x:v>channel instance</x:v>
      </x:c>
      <x:c r="E3637" s="7" t="str">
        <x:v>CH-PEA-B-Y1-04-2</x:v>
      </x:c>
      <x:c r="F3637" s="7" t="str">
        <x:f>'Channel Instances'!O1322</x:f>
        <x:v>OPEN</x:v>
      </x:c>
    </x:row>
    <x:row r="3638">
      <x:c r="B3638" s="7" t="str">
        <x:v>AG-03632</x:v>
      </x:c>
      <x:c r="C3638" s="7" t="str">
        <x:v>PEA-B-Y1</x:v>
      </x:c>
      <x:c r="D3638" s="7" t="str">
        <x:v>channel instance</x:v>
      </x:c>
      <x:c r="E3638" s="7" t="str">
        <x:v>CH-PEA-B-Y1-04-3</x:v>
      </x:c>
      <x:c r="F3638" s="7" t="str">
        <x:f>'Channel Instances'!O1323</x:f>
        <x:v>OPEN</x:v>
      </x:c>
    </x:row>
    <x:row r="3639">
      <x:c r="B3639" s="7" t="str">
        <x:v>AG-03633</x:v>
      </x:c>
      <x:c r="C3639" s="7" t="str">
        <x:v>PEA-B-Y1</x:v>
      </x:c>
      <x:c r="D3639" s="7" t="str">
        <x:v>channel instance</x:v>
      </x:c>
      <x:c r="E3639" s="7" t="str">
        <x:v>CH-PEA-B-Y1-04-4</x:v>
      </x:c>
      <x:c r="F3639" s="7" t="str">
        <x:f>'Channel Instances'!O1324</x:f>
        <x:v>OPEN</x:v>
      </x:c>
    </x:row>
    <x:row r="3640">
      <x:c r="B3640" s="7" t="str">
        <x:v>AG-03634</x:v>
      </x:c>
      <x:c r="C3640" s="7" t="str">
        <x:v>PEA-B-Y1</x:v>
      </x:c>
      <x:c r="D3640" s="7" t="str">
        <x:v>channel instance</x:v>
      </x:c>
      <x:c r="E3640" s="7" t="str">
        <x:v>CH-PEA-B-Y1-04-5</x:v>
      </x:c>
      <x:c r="F3640" s="7" t="str">
        <x:f>'Channel Instances'!O1325</x:f>
        <x:v>OPEN</x:v>
      </x:c>
    </x:row>
    <x:row r="3641">
      <x:c r="B3641" s="7" t="str">
        <x:v>AG-03635</x:v>
      </x:c>
      <x:c r="C3641" s="7" t="str">
        <x:v>PEA-B-Y1</x:v>
      </x:c>
      <x:c r="D3641" s="7" t="str">
        <x:v>channel instance</x:v>
      </x:c>
      <x:c r="E3641" s="7" t="str">
        <x:v>CH-PEA-B-Y1-04-6</x:v>
      </x:c>
      <x:c r="F3641" s="7" t="str">
        <x:f>'Channel Instances'!O1326</x:f>
        <x:v>OPEN</x:v>
      </x:c>
    </x:row>
    <x:row r="3642">
      <x:c r="B3642" s="7" t="str">
        <x:v>AG-03636</x:v>
      </x:c>
      <x:c r="C3642" s="7" t="str">
        <x:v>PEA-B-Y1</x:v>
      </x:c>
      <x:c r="D3642" s="7" t="str">
        <x:v>channel instance</x:v>
      </x:c>
      <x:c r="E3642" s="7" t="str">
        <x:v>CH-PEA-B-Y1-05-1</x:v>
      </x:c>
      <x:c r="F3642" s="7" t="str">
        <x:f>'Channel Instances'!O1327</x:f>
        <x:v>OPEN</x:v>
      </x:c>
    </x:row>
    <x:row r="3643">
      <x:c r="B3643" s="7" t="str">
        <x:v>AG-03637</x:v>
      </x:c>
      <x:c r="C3643" s="7" t="str">
        <x:v>PEA-B-Y1</x:v>
      </x:c>
      <x:c r="D3643" s="7" t="str">
        <x:v>channel instance</x:v>
      </x:c>
      <x:c r="E3643" s="7" t="str">
        <x:v>CH-PEA-B-Y1-05-2</x:v>
      </x:c>
      <x:c r="F3643" s="7" t="str">
        <x:f>'Channel Instances'!O1328</x:f>
        <x:v>OPEN</x:v>
      </x:c>
    </x:row>
    <x:row r="3644">
      <x:c r="B3644" s="7" t="str">
        <x:v>AG-03638</x:v>
      </x:c>
      <x:c r="C3644" s="7" t="str">
        <x:v>PEA-B-Y1</x:v>
      </x:c>
      <x:c r="D3644" s="7" t="str">
        <x:v>channel instance</x:v>
      </x:c>
      <x:c r="E3644" s="7" t="str">
        <x:v>CH-PEA-B-Y1-05-3</x:v>
      </x:c>
      <x:c r="F3644" s="7" t="str">
        <x:f>'Channel Instances'!O1329</x:f>
        <x:v>OPEN</x:v>
      </x:c>
    </x:row>
    <x:row r="3645">
      <x:c r="B3645" s="7" t="str">
        <x:v>AG-03639</x:v>
      </x:c>
      <x:c r="C3645" s="7" t="str">
        <x:v>PEA-B-Y1</x:v>
      </x:c>
      <x:c r="D3645" s="7" t="str">
        <x:v>channel instance</x:v>
      </x:c>
      <x:c r="E3645" s="7" t="str">
        <x:v>CH-PEA-B-Y1-05-4</x:v>
      </x:c>
      <x:c r="F3645" s="7" t="str">
        <x:f>'Channel Instances'!O1330</x:f>
        <x:v>OPEN</x:v>
      </x:c>
    </x:row>
    <x:row r="3646">
      <x:c r="B3646" s="7" t="str">
        <x:v>AG-03640</x:v>
      </x:c>
      <x:c r="C3646" s="7" t="str">
        <x:v>PEA-B-Y1</x:v>
      </x:c>
      <x:c r="D3646" s="7" t="str">
        <x:v>channel instance</x:v>
      </x:c>
      <x:c r="E3646" s="7" t="str">
        <x:v>CH-PEA-B-Y1-05-5</x:v>
      </x:c>
      <x:c r="F3646" s="7" t="str">
        <x:f>'Channel Instances'!O1331</x:f>
        <x:v>OPEN</x:v>
      </x:c>
    </x:row>
    <x:row r="3647">
      <x:c r="B3647" s="7" t="str">
        <x:v>AG-03641</x:v>
      </x:c>
      <x:c r="C3647" s="7" t="str">
        <x:v>PEA-B-Y1</x:v>
      </x:c>
      <x:c r="D3647" s="7" t="str">
        <x:v>channel instance</x:v>
      </x:c>
      <x:c r="E3647" s="7" t="str">
        <x:v>CH-PEA-B-Y1-05-6</x:v>
      </x:c>
      <x:c r="F3647" s="7" t="str">
        <x:f>'Channel Instances'!O1332</x:f>
        <x:v>OPEN</x:v>
      </x:c>
    </x:row>
    <x:row r="3648">
      <x:c r="B3648" s="7" t="str">
        <x:v>AG-03642</x:v>
      </x:c>
      <x:c r="C3648" s="7" t="str">
        <x:v>PEA-B-Y1</x:v>
      </x:c>
      <x:c r="D3648" s="7" t="str">
        <x:v>channel instance</x:v>
      </x:c>
      <x:c r="E3648" s="7" t="str">
        <x:v>CH-PEA-B-Y1-06-1</x:v>
      </x:c>
      <x:c r="F3648" s="7" t="str">
        <x:f>'Channel Instances'!O1333</x:f>
        <x:v>OPEN</x:v>
      </x:c>
    </x:row>
    <x:row r="3649">
      <x:c r="B3649" s="7" t="str">
        <x:v>AG-03643</x:v>
      </x:c>
      <x:c r="C3649" s="7" t="str">
        <x:v>PEA-B-Y1</x:v>
      </x:c>
      <x:c r="D3649" s="7" t="str">
        <x:v>channel instance</x:v>
      </x:c>
      <x:c r="E3649" s="7" t="str">
        <x:v>CH-PEA-B-Y1-06-2</x:v>
      </x:c>
      <x:c r="F3649" s="7" t="str">
        <x:f>'Channel Instances'!O1334</x:f>
        <x:v>OPEN</x:v>
      </x:c>
    </x:row>
    <x:row r="3650">
      <x:c r="B3650" s="7" t="str">
        <x:v>AG-03644</x:v>
      </x:c>
      <x:c r="C3650" s="7" t="str">
        <x:v>PEA-B-Y1</x:v>
      </x:c>
      <x:c r="D3650" s="7" t="str">
        <x:v>channel instance</x:v>
      </x:c>
      <x:c r="E3650" s="7" t="str">
        <x:v>CH-PEA-B-Y1-06-3</x:v>
      </x:c>
      <x:c r="F3650" s="7" t="str">
        <x:f>'Channel Instances'!O1335</x:f>
        <x:v>OPEN</x:v>
      </x:c>
    </x:row>
    <x:row r="3651">
      <x:c r="B3651" s="7" t="str">
        <x:v>AG-03645</x:v>
      </x:c>
      <x:c r="C3651" s="7" t="str">
        <x:v>PEA-B-Y1</x:v>
      </x:c>
      <x:c r="D3651" s="7" t="str">
        <x:v>channel instance</x:v>
      </x:c>
      <x:c r="E3651" s="7" t="str">
        <x:v>CH-PEA-B-Y1-06-4</x:v>
      </x:c>
      <x:c r="F3651" s="7" t="str">
        <x:f>'Channel Instances'!O1336</x:f>
        <x:v>OPEN</x:v>
      </x:c>
    </x:row>
    <x:row r="3652">
      <x:c r="B3652" s="7" t="str">
        <x:v>AG-03646</x:v>
      </x:c>
      <x:c r="C3652" s="7" t="str">
        <x:v>PEA-B-Y1</x:v>
      </x:c>
      <x:c r="D3652" s="7" t="str">
        <x:v>channel instance</x:v>
      </x:c>
      <x:c r="E3652" s="7" t="str">
        <x:v>CH-PEA-B-Y1-06-5</x:v>
      </x:c>
      <x:c r="F3652" s="7" t="str">
        <x:f>'Channel Instances'!O1337</x:f>
        <x:v>OPEN</x:v>
      </x:c>
    </x:row>
    <x:row r="3653">
      <x:c r="B3653" s="7" t="str">
        <x:v>AG-03647</x:v>
      </x:c>
      <x:c r="C3653" s="7" t="str">
        <x:v>PEA-B-Y1</x:v>
      </x:c>
      <x:c r="D3653" s="7" t="str">
        <x:v>channel instance</x:v>
      </x:c>
      <x:c r="E3653" s="7" t="str">
        <x:v>CH-PEA-B-Y1-06-6</x:v>
      </x:c>
      <x:c r="F3653" s="7" t="str">
        <x:f>'Channel Instances'!O1338</x:f>
        <x:v>OPEN</x:v>
      </x:c>
    </x:row>
    <x:row r="3654">
      <x:c r="B3654" s="7" t="str">
        <x:v>AG-03648</x:v>
      </x:c>
      <x:c r="C3654" s="7" t="str">
        <x:v>PEA-B-Y1</x:v>
      </x:c>
      <x:c r="D3654" s="7" t="str">
        <x:v>channel instance</x:v>
      </x:c>
      <x:c r="E3654" s="7" t="str">
        <x:v>CH-PEA-B-Y1-07-1</x:v>
      </x:c>
      <x:c r="F3654" s="7" t="str">
        <x:f>'Channel Instances'!O1339</x:f>
        <x:v>OPEN</x:v>
      </x:c>
    </x:row>
    <x:row r="3655">
      <x:c r="B3655" s="7" t="str">
        <x:v>AG-03649</x:v>
      </x:c>
      <x:c r="C3655" s="7" t="str">
        <x:v>PEA-B-Y1</x:v>
      </x:c>
      <x:c r="D3655" s="7" t="str">
        <x:v>channel instance</x:v>
      </x:c>
      <x:c r="E3655" s="7" t="str">
        <x:v>CH-PEA-B-Y1-07-2</x:v>
      </x:c>
      <x:c r="F3655" s="7" t="str">
        <x:f>'Channel Instances'!O1340</x:f>
        <x:v>OPEN</x:v>
      </x:c>
    </x:row>
    <x:row r="3656">
      <x:c r="B3656" s="7" t="str">
        <x:v>AG-03650</x:v>
      </x:c>
      <x:c r="C3656" s="7" t="str">
        <x:v>PEA-B-Y1</x:v>
      </x:c>
      <x:c r="D3656" s="7" t="str">
        <x:v>channel instance</x:v>
      </x:c>
      <x:c r="E3656" s="7" t="str">
        <x:v>CH-PEA-B-Y1-07-3</x:v>
      </x:c>
      <x:c r="F3656" s="7" t="str">
        <x:f>'Channel Instances'!O1341</x:f>
        <x:v>OPEN</x:v>
      </x:c>
    </x:row>
    <x:row r="3657">
      <x:c r="B3657" s="7" t="str">
        <x:v>AG-03651</x:v>
      </x:c>
      <x:c r="C3657" s="7" t="str">
        <x:v>PEA-B-Y1</x:v>
      </x:c>
      <x:c r="D3657" s="7" t="str">
        <x:v>channel instance</x:v>
      </x:c>
      <x:c r="E3657" s="7" t="str">
        <x:v>CH-PEA-B-Y1-07-4</x:v>
      </x:c>
      <x:c r="F3657" s="7" t="str">
        <x:f>'Channel Instances'!O1342</x:f>
        <x:v>OPEN</x:v>
      </x:c>
    </x:row>
    <x:row r="3658">
      <x:c r="B3658" s="7" t="str">
        <x:v>AG-03652</x:v>
      </x:c>
      <x:c r="C3658" s="7" t="str">
        <x:v>PEA-B-Y1</x:v>
      </x:c>
      <x:c r="D3658" s="7" t="str">
        <x:v>channel instance</x:v>
      </x:c>
      <x:c r="E3658" s="7" t="str">
        <x:v>CH-PEA-B-Y1-07-5</x:v>
      </x:c>
      <x:c r="F3658" s="7" t="str">
        <x:f>'Channel Instances'!O1343</x:f>
        <x:v>OPEN</x:v>
      </x:c>
    </x:row>
    <x:row r="3659">
      <x:c r="B3659" s="7" t="str">
        <x:v>AG-03653</x:v>
      </x:c>
      <x:c r="C3659" s="7" t="str">
        <x:v>PEA-B-Y1</x:v>
      </x:c>
      <x:c r="D3659" s="7" t="str">
        <x:v>channel instance</x:v>
      </x:c>
      <x:c r="E3659" s="7" t="str">
        <x:v>CH-PEA-B-Y1-07-6</x:v>
      </x:c>
      <x:c r="F3659" s="7" t="str">
        <x:f>'Channel Instances'!O1344</x:f>
        <x:v>OPEN</x:v>
      </x:c>
    </x:row>
    <x:row r="3660">
      <x:c r="B3660" s="7" t="str">
        <x:v>AG-03654</x:v>
      </x:c>
      <x:c r="C3660" s="7" t="str">
        <x:v>PEA-B-Y1</x:v>
      </x:c>
      <x:c r="D3660" s="7" t="str">
        <x:v>channel instance</x:v>
      </x:c>
      <x:c r="E3660" s="7" t="str">
        <x:v>CH-PEA-B-Y1-08-1</x:v>
      </x:c>
      <x:c r="F3660" s="7" t="str">
        <x:f>'Channel Instances'!O1345</x:f>
        <x:v>OPEN</x:v>
      </x:c>
    </x:row>
    <x:row r="3661">
      <x:c r="B3661" s="7" t="str">
        <x:v>AG-03655</x:v>
      </x:c>
      <x:c r="C3661" s="7" t="str">
        <x:v>PEA-B-Y1</x:v>
      </x:c>
      <x:c r="D3661" s="7" t="str">
        <x:v>channel instance</x:v>
      </x:c>
      <x:c r="E3661" s="7" t="str">
        <x:v>CH-PEA-B-Y1-08-2</x:v>
      </x:c>
      <x:c r="F3661" s="7" t="str">
        <x:f>'Channel Instances'!O1346</x:f>
        <x:v>OPEN</x:v>
      </x:c>
    </x:row>
    <x:row r="3662">
      <x:c r="B3662" s="7" t="str">
        <x:v>AG-03656</x:v>
      </x:c>
      <x:c r="C3662" s="7" t="str">
        <x:v>PEA-B-Y1</x:v>
      </x:c>
      <x:c r="D3662" s="7" t="str">
        <x:v>channel instance</x:v>
      </x:c>
      <x:c r="E3662" s="7" t="str">
        <x:v>CH-PEA-B-Y1-08-3</x:v>
      </x:c>
      <x:c r="F3662" s="7" t="str">
        <x:f>'Channel Instances'!O1347</x:f>
        <x:v>OPEN</x:v>
      </x:c>
    </x:row>
    <x:row r="3663">
      <x:c r="B3663" s="7" t="str">
        <x:v>AG-03657</x:v>
      </x:c>
      <x:c r="C3663" s="7" t="str">
        <x:v>PEA-B-Y1</x:v>
      </x:c>
      <x:c r="D3663" s="7" t="str">
        <x:v>channel instance</x:v>
      </x:c>
      <x:c r="E3663" s="7" t="str">
        <x:v>CH-PEA-B-Y1-08-4</x:v>
      </x:c>
      <x:c r="F3663" s="7" t="str">
        <x:f>'Channel Instances'!O1348</x:f>
        <x:v>OPEN</x:v>
      </x:c>
    </x:row>
    <x:row r="3664">
      <x:c r="B3664" s="7" t="str">
        <x:v>AG-03658</x:v>
      </x:c>
      <x:c r="C3664" s="7" t="str">
        <x:v>PEA-B-Y1</x:v>
      </x:c>
      <x:c r="D3664" s="7" t="str">
        <x:v>channel instance</x:v>
      </x:c>
      <x:c r="E3664" s="7" t="str">
        <x:v>CH-PEA-B-Y1-08-5</x:v>
      </x:c>
      <x:c r="F3664" s="7" t="str">
        <x:f>'Channel Instances'!O1349</x:f>
        <x:v>OPEN</x:v>
      </x:c>
    </x:row>
    <x:row r="3665">
      <x:c r="B3665" s="7" t="str">
        <x:v>AG-03659</x:v>
      </x:c>
      <x:c r="C3665" s="7" t="str">
        <x:v>PEA-B-Y1</x:v>
      </x:c>
      <x:c r="D3665" s="7" t="str">
        <x:v>channel instance</x:v>
      </x:c>
      <x:c r="E3665" s="7" t="str">
        <x:v>CH-PEA-B-Y1-08-6</x:v>
      </x:c>
      <x:c r="F3665" s="7" t="str">
        <x:f>'Channel Instances'!O1350</x:f>
        <x:v>OPEN</x:v>
      </x:c>
    </x:row>
    <x:row r="3666">
      <x:c r="B3666" s="7" t="str">
        <x:v>AG-03660</x:v>
      </x:c>
      <x:c r="C3666" s="7" t="str">
        <x:v>PEA-B-Y1</x:v>
      </x:c>
      <x:c r="D3666" s="7" t="str">
        <x:v>channel instance</x:v>
      </x:c>
      <x:c r="E3666" s="7" t="str">
        <x:v>CH-PEA-B-Y1-09-1</x:v>
      </x:c>
      <x:c r="F3666" s="7" t="str">
        <x:f>'Channel Instances'!O1351</x:f>
        <x:v>OPEN</x:v>
      </x:c>
    </x:row>
    <x:row r="3667">
      <x:c r="B3667" s="7" t="str">
        <x:v>AG-03661</x:v>
      </x:c>
      <x:c r="C3667" s="7" t="str">
        <x:v>PEA-B-Y1</x:v>
      </x:c>
      <x:c r="D3667" s="7" t="str">
        <x:v>channel instance</x:v>
      </x:c>
      <x:c r="E3667" s="7" t="str">
        <x:v>CH-PEA-B-Y1-09-2</x:v>
      </x:c>
      <x:c r="F3667" s="7" t="str">
        <x:f>'Channel Instances'!O1352</x:f>
        <x:v>OPEN</x:v>
      </x:c>
    </x:row>
    <x:row r="3668">
      <x:c r="B3668" s="7" t="str">
        <x:v>AG-03662</x:v>
      </x:c>
      <x:c r="C3668" s="7" t="str">
        <x:v>PEA-B-Y1</x:v>
      </x:c>
      <x:c r="D3668" s="7" t="str">
        <x:v>channel instance</x:v>
      </x:c>
      <x:c r="E3668" s="7" t="str">
        <x:v>CH-PEA-B-Y1-09-3</x:v>
      </x:c>
      <x:c r="F3668" s="7" t="str">
        <x:f>'Channel Instances'!O1353</x:f>
        <x:v>OPEN</x:v>
      </x:c>
    </x:row>
    <x:row r="3669">
      <x:c r="B3669" s="7" t="str">
        <x:v>AG-03663</x:v>
      </x:c>
      <x:c r="C3669" s="7" t="str">
        <x:v>PEA-B-Y1</x:v>
      </x:c>
      <x:c r="D3669" s="7" t="str">
        <x:v>channel instance</x:v>
      </x:c>
      <x:c r="E3669" s="7" t="str">
        <x:v>CH-PEA-B-Y1-09-4</x:v>
      </x:c>
      <x:c r="F3669" s="7" t="str">
        <x:f>'Channel Instances'!O1354</x:f>
        <x:v>OPEN</x:v>
      </x:c>
    </x:row>
    <x:row r="3670">
      <x:c r="B3670" s="7" t="str">
        <x:v>AG-03664</x:v>
      </x:c>
      <x:c r="C3670" s="7" t="str">
        <x:v>PEA-B-Y1</x:v>
      </x:c>
      <x:c r="D3670" s="7" t="str">
        <x:v>channel instance</x:v>
      </x:c>
      <x:c r="E3670" s="7" t="str">
        <x:v>CH-PEA-B-Y1-09-5</x:v>
      </x:c>
      <x:c r="F3670" s="7" t="str">
        <x:f>'Channel Instances'!O1355</x:f>
        <x:v>OPEN</x:v>
      </x:c>
    </x:row>
    <x:row r="3671">
      <x:c r="B3671" s="7" t="str">
        <x:v>AG-03665</x:v>
      </x:c>
      <x:c r="C3671" s="7" t="str">
        <x:v>PEA-B-Y1</x:v>
      </x:c>
      <x:c r="D3671" s="7" t="str">
        <x:v>channel instance</x:v>
      </x:c>
      <x:c r="E3671" s="7" t="str">
        <x:v>CH-PEA-B-Y1-09-6</x:v>
      </x:c>
      <x:c r="F3671" s="7" t="str">
        <x:f>'Channel Instances'!O1356</x:f>
        <x:v>OPEN</x:v>
      </x:c>
    </x:row>
    <x:row r="3672">
      <x:c r="B3672" s="7" t="str">
        <x:v>AG-03666</x:v>
      </x:c>
      <x:c r="C3672" s="7" t="str">
        <x:v>PEA-B-Y1</x:v>
      </x:c>
      <x:c r="D3672" s="7" t="str">
        <x:v>channel instance</x:v>
      </x:c>
      <x:c r="E3672" s="7" t="str">
        <x:v>CH-PEA-B-Y1-10-1</x:v>
      </x:c>
      <x:c r="F3672" s="7" t="str">
        <x:f>'Channel Instances'!O1357</x:f>
        <x:v>OPEN</x:v>
      </x:c>
    </x:row>
    <x:row r="3673">
      <x:c r="B3673" s="7" t="str">
        <x:v>AG-03667</x:v>
      </x:c>
      <x:c r="C3673" s="7" t="str">
        <x:v>PEA-B-Y1</x:v>
      </x:c>
      <x:c r="D3673" s="7" t="str">
        <x:v>channel instance</x:v>
      </x:c>
      <x:c r="E3673" s="7" t="str">
        <x:v>CH-PEA-B-Y1-10-2</x:v>
      </x:c>
      <x:c r="F3673" s="7" t="str">
        <x:f>'Channel Instances'!O1358</x:f>
        <x:v>OPEN</x:v>
      </x:c>
    </x:row>
    <x:row r="3674">
      <x:c r="B3674" s="7" t="str">
        <x:v>AG-03668</x:v>
      </x:c>
      <x:c r="C3674" s="7" t="str">
        <x:v>PEA-B-Y1</x:v>
      </x:c>
      <x:c r="D3674" s="7" t="str">
        <x:v>channel instance</x:v>
      </x:c>
      <x:c r="E3674" s="7" t="str">
        <x:v>CH-PEA-B-Y1-10-3</x:v>
      </x:c>
      <x:c r="F3674" s="7" t="str">
        <x:f>'Channel Instances'!O1359</x:f>
        <x:v>OPEN</x:v>
      </x:c>
    </x:row>
    <x:row r="3675">
      <x:c r="B3675" s="7" t="str">
        <x:v>AG-03669</x:v>
      </x:c>
      <x:c r="C3675" s="7" t="str">
        <x:v>PEA-B-Y1</x:v>
      </x:c>
      <x:c r="D3675" s="7" t="str">
        <x:v>channel instance</x:v>
      </x:c>
      <x:c r="E3675" s="7" t="str">
        <x:v>CH-PEA-B-Y1-10-4</x:v>
      </x:c>
      <x:c r="F3675" s="7" t="str">
        <x:f>'Channel Instances'!O1360</x:f>
        <x:v>OPEN</x:v>
      </x:c>
    </x:row>
    <x:row r="3676">
      <x:c r="B3676" s="7" t="str">
        <x:v>AG-03670</x:v>
      </x:c>
      <x:c r="C3676" s="7" t="str">
        <x:v>PEA-B-Y1</x:v>
      </x:c>
      <x:c r="D3676" s="7" t="str">
        <x:v>channel instance</x:v>
      </x:c>
      <x:c r="E3676" s="7" t="str">
        <x:v>CH-PEA-B-Y1-10-5</x:v>
      </x:c>
      <x:c r="F3676" s="7" t="str">
        <x:f>'Channel Instances'!O1361</x:f>
        <x:v>OPEN</x:v>
      </x:c>
    </x:row>
    <x:row r="3677">
      <x:c r="B3677" s="7" t="str">
        <x:v>AG-03671</x:v>
      </x:c>
      <x:c r="C3677" s="7" t="str">
        <x:v>PEA-B-Y1</x:v>
      </x:c>
      <x:c r="D3677" s="7" t="str">
        <x:v>channel instance</x:v>
      </x:c>
      <x:c r="E3677" s="7" t="str">
        <x:v>CH-PEA-B-Y1-10-6</x:v>
      </x:c>
      <x:c r="F3677" s="7" t="str">
        <x:f>'Channel Instances'!O1362</x:f>
        <x:v>OPEN</x:v>
      </x:c>
    </x:row>
    <x:row r="3678">
      <x:c r="B3678" s="7" t="str">
        <x:v>AG-03672</x:v>
      </x:c>
      <x:c r="C3678" s="7" t="str">
        <x:v>PEA-B-Y1</x:v>
      </x:c>
      <x:c r="D3678" s="7" t="str">
        <x:v>channel instance</x:v>
      </x:c>
      <x:c r="E3678" s="7" t="str">
        <x:v>CH-PEA-B-Y1-11-1</x:v>
      </x:c>
      <x:c r="F3678" s="7" t="str">
        <x:f>'Channel Instances'!O1363</x:f>
        <x:v>OPEN</x:v>
      </x:c>
    </x:row>
    <x:row r="3679">
      <x:c r="B3679" s="7" t="str">
        <x:v>AG-03673</x:v>
      </x:c>
      <x:c r="C3679" s="7" t="str">
        <x:v>PEA-B-Y1</x:v>
      </x:c>
      <x:c r="D3679" s="7" t="str">
        <x:v>channel instance</x:v>
      </x:c>
      <x:c r="E3679" s="7" t="str">
        <x:v>CH-PEA-B-Y1-11-2</x:v>
      </x:c>
      <x:c r="F3679" s="7" t="str">
        <x:f>'Channel Instances'!O1364</x:f>
        <x:v>OPEN</x:v>
      </x:c>
    </x:row>
    <x:row r="3680">
      <x:c r="B3680" s="7" t="str">
        <x:v>AG-03674</x:v>
      </x:c>
      <x:c r="C3680" s="7" t="str">
        <x:v>PEA-B-Y1</x:v>
      </x:c>
      <x:c r="D3680" s="7" t="str">
        <x:v>channel instance</x:v>
      </x:c>
      <x:c r="E3680" s="7" t="str">
        <x:v>CH-PEA-B-Y1-11-3</x:v>
      </x:c>
      <x:c r="F3680" s="7" t="str">
        <x:f>'Channel Instances'!O1365</x:f>
        <x:v>OPEN</x:v>
      </x:c>
    </x:row>
    <x:row r="3681">
      <x:c r="B3681" s="7" t="str">
        <x:v>AG-03675</x:v>
      </x:c>
      <x:c r="C3681" s="7" t="str">
        <x:v>PEA-B-Y1</x:v>
      </x:c>
      <x:c r="D3681" s="7" t="str">
        <x:v>channel instance</x:v>
      </x:c>
      <x:c r="E3681" s="7" t="str">
        <x:v>CH-PEA-B-Y1-11-4</x:v>
      </x:c>
      <x:c r="F3681" s="7" t="str">
        <x:f>'Channel Instances'!O1366</x:f>
        <x:v>OPEN</x:v>
      </x:c>
    </x:row>
    <x:row r="3682">
      <x:c r="B3682" s="7" t="str">
        <x:v>AG-03676</x:v>
      </x:c>
      <x:c r="C3682" s="7" t="str">
        <x:v>PEA-B-Y1</x:v>
      </x:c>
      <x:c r="D3682" s="7" t="str">
        <x:v>channel instance</x:v>
      </x:c>
      <x:c r="E3682" s="7" t="str">
        <x:v>CH-PEA-B-Y1-11-5</x:v>
      </x:c>
      <x:c r="F3682" s="7" t="str">
        <x:f>'Channel Instances'!O1367</x:f>
        <x:v>OPEN</x:v>
      </x:c>
    </x:row>
    <x:row r="3683">
      <x:c r="B3683" s="7" t="str">
        <x:v>AG-03677</x:v>
      </x:c>
      <x:c r="C3683" s="7" t="str">
        <x:v>PEA-B-Y1</x:v>
      </x:c>
      <x:c r="D3683" s="7" t="str">
        <x:v>channel instance</x:v>
      </x:c>
      <x:c r="E3683" s="7" t="str">
        <x:v>CH-PEA-B-Y1-11-6</x:v>
      </x:c>
      <x:c r="F3683" s="7" t="str">
        <x:f>'Channel Instances'!O1368</x:f>
        <x:v>OPEN</x:v>
      </x:c>
    </x:row>
    <x:row r="3684">
      <x:c r="B3684" s="7" t="str">
        <x:v>AG-03678</x:v>
      </x:c>
      <x:c r="C3684" s="7" t="str">
        <x:v>PEA-B-Y1</x:v>
      </x:c>
      <x:c r="D3684" s="7" t="str">
        <x:v>channel instance</x:v>
      </x:c>
      <x:c r="E3684" s="7" t="str">
        <x:v>CH-PEA-B-Y1-12-1</x:v>
      </x:c>
      <x:c r="F3684" s="7" t="str">
        <x:f>'Channel Instances'!O1369</x:f>
        <x:v>OPEN</x:v>
      </x:c>
    </x:row>
    <x:row r="3685">
      <x:c r="B3685" s="7" t="str">
        <x:v>AG-03679</x:v>
      </x:c>
      <x:c r="C3685" s="7" t="str">
        <x:v>PEA-B-Y1</x:v>
      </x:c>
      <x:c r="D3685" s="7" t="str">
        <x:v>channel instance</x:v>
      </x:c>
      <x:c r="E3685" s="7" t="str">
        <x:v>CH-PEA-B-Y1-12-2</x:v>
      </x:c>
      <x:c r="F3685" s="7" t="str">
        <x:f>'Channel Instances'!O1370</x:f>
        <x:v>OPEN</x:v>
      </x:c>
    </x:row>
    <x:row r="3686">
      <x:c r="B3686" s="7" t="str">
        <x:v>AG-03680</x:v>
      </x:c>
      <x:c r="C3686" s="7" t="str">
        <x:v>PEA-B-Y1</x:v>
      </x:c>
      <x:c r="D3686" s="7" t="str">
        <x:v>channel instance</x:v>
      </x:c>
      <x:c r="E3686" s="7" t="str">
        <x:v>CH-PEA-B-Y1-12-3</x:v>
      </x:c>
      <x:c r="F3686" s="7" t="str">
        <x:f>'Channel Instances'!O1371</x:f>
        <x:v>OPEN</x:v>
      </x:c>
    </x:row>
    <x:row r="3687">
      <x:c r="B3687" s="7" t="str">
        <x:v>AG-03681</x:v>
      </x:c>
      <x:c r="C3687" s="7" t="str">
        <x:v>PEA-B-Y1</x:v>
      </x:c>
      <x:c r="D3687" s="7" t="str">
        <x:v>channel instance</x:v>
      </x:c>
      <x:c r="E3687" s="7" t="str">
        <x:v>CH-PEA-B-Y1-12-4</x:v>
      </x:c>
      <x:c r="F3687" s="7" t="str">
        <x:f>'Channel Instances'!O1372</x:f>
        <x:v>OPEN</x:v>
      </x:c>
    </x:row>
    <x:row r="3688">
      <x:c r="B3688" s="7" t="str">
        <x:v>AG-03682</x:v>
      </x:c>
      <x:c r="C3688" s="7" t="str">
        <x:v>PEA-B-Y1</x:v>
      </x:c>
      <x:c r="D3688" s="7" t="str">
        <x:v>channel instance</x:v>
      </x:c>
      <x:c r="E3688" s="7" t="str">
        <x:v>CH-PEA-B-Y1-12-5</x:v>
      </x:c>
      <x:c r="F3688" s="7" t="str">
        <x:f>'Channel Instances'!O1373</x:f>
        <x:v>OPEN</x:v>
      </x:c>
    </x:row>
    <x:row r="3689">
      <x:c r="B3689" s="7" t="str">
        <x:v>AG-03683</x:v>
      </x:c>
      <x:c r="C3689" s="7" t="str">
        <x:v>PEA-B-Y1</x:v>
      </x:c>
      <x:c r="D3689" s="7" t="str">
        <x:v>channel instance</x:v>
      </x:c>
      <x:c r="E3689" s="7" t="str">
        <x:v>CH-PEA-B-Y1-12-6</x:v>
      </x:c>
      <x:c r="F3689" s="7" t="str">
        <x:f>'Channel Instances'!O1374</x:f>
        <x:v>OPEN</x:v>
      </x:c>
    </x:row>
    <x:row r="3690">
      <x:c r="B3690" s="7" t="str">
        <x:v>AG-03684</x:v>
      </x:c>
      <x:c r="C3690" s="7" t="str">
        <x:v>PEA-B-Y1</x:v>
      </x:c>
      <x:c r="D3690" s="7" t="str">
        <x:v>channel instance</x:v>
      </x:c>
      <x:c r="E3690" s="7" t="str">
        <x:v>CH-PEA-B-Y1-13-1</x:v>
      </x:c>
      <x:c r="F3690" s="7" t="str">
        <x:f>'Channel Instances'!O1375</x:f>
        <x:v>OPEN</x:v>
      </x:c>
    </x:row>
    <x:row r="3691">
      <x:c r="B3691" s="7" t="str">
        <x:v>AG-03685</x:v>
      </x:c>
      <x:c r="C3691" s="7" t="str">
        <x:v>PEA-B-Y1</x:v>
      </x:c>
      <x:c r="D3691" s="7" t="str">
        <x:v>channel instance</x:v>
      </x:c>
      <x:c r="E3691" s="7" t="str">
        <x:v>CH-PEA-B-Y1-13-2</x:v>
      </x:c>
      <x:c r="F3691" s="7" t="str">
        <x:f>'Channel Instances'!O1376</x:f>
        <x:v>OPEN</x:v>
      </x:c>
    </x:row>
    <x:row r="3692">
      <x:c r="B3692" s="7" t="str">
        <x:v>AG-03686</x:v>
      </x:c>
      <x:c r="C3692" s="7" t="str">
        <x:v>PEA-B-Y1</x:v>
      </x:c>
      <x:c r="D3692" s="7" t="str">
        <x:v>channel instance</x:v>
      </x:c>
      <x:c r="E3692" s="7" t="str">
        <x:v>CH-PEA-B-Y1-13-3</x:v>
      </x:c>
      <x:c r="F3692" s="7" t="str">
        <x:f>'Channel Instances'!O1377</x:f>
        <x:v>OPEN</x:v>
      </x:c>
    </x:row>
    <x:row r="3693">
      <x:c r="B3693" s="7" t="str">
        <x:v>AG-03687</x:v>
      </x:c>
      <x:c r="C3693" s="7" t="str">
        <x:v>PEA-B-Y1</x:v>
      </x:c>
      <x:c r="D3693" s="7" t="str">
        <x:v>channel instance</x:v>
      </x:c>
      <x:c r="E3693" s="7" t="str">
        <x:v>CH-PEA-B-Y1-13-4</x:v>
      </x:c>
      <x:c r="F3693" s="7" t="str">
        <x:f>'Channel Instances'!O1378</x:f>
        <x:v>OPEN</x:v>
      </x:c>
    </x:row>
    <x:row r="3694">
      <x:c r="B3694" s="7" t="str">
        <x:v>AG-03688</x:v>
      </x:c>
      <x:c r="C3694" s="7" t="str">
        <x:v>PEA-B-Y1</x:v>
      </x:c>
      <x:c r="D3694" s="7" t="str">
        <x:v>channel instance</x:v>
      </x:c>
      <x:c r="E3694" s="7" t="str">
        <x:v>CH-PEA-B-Y1-13-5</x:v>
      </x:c>
      <x:c r="F3694" s="7" t="str">
        <x:f>'Channel Instances'!O1379</x:f>
        <x:v>OPEN</x:v>
      </x:c>
    </x:row>
    <x:row r="3695">
      <x:c r="B3695" s="7" t="str">
        <x:v>AG-03689</x:v>
      </x:c>
      <x:c r="C3695" s="7" t="str">
        <x:v>PEA-B-Y1</x:v>
      </x:c>
      <x:c r="D3695" s="7" t="str">
        <x:v>channel instance</x:v>
      </x:c>
      <x:c r="E3695" s="7" t="str">
        <x:v>CH-PEA-B-Y1-13-6</x:v>
      </x:c>
      <x:c r="F3695" s="7" t="str">
        <x:f>'Channel Instances'!O1380</x:f>
        <x:v>OPEN</x:v>
      </x:c>
    </x:row>
    <x:row r="3696">
      <x:c r="B3696" s="7" t="str">
        <x:v>AG-03690</x:v>
      </x:c>
      <x:c r="C3696" s="7" t="str">
        <x:v>PEA-B-Y1</x:v>
      </x:c>
      <x:c r="D3696" s="7" t="str">
        <x:v>channel instance</x:v>
      </x:c>
      <x:c r="E3696" s="7" t="str">
        <x:v>CH-PEA-B-Y1-14-1</x:v>
      </x:c>
      <x:c r="F3696" s="7" t="str">
        <x:f>'Channel Instances'!O1381</x:f>
        <x:v>OPEN</x:v>
      </x:c>
    </x:row>
    <x:row r="3697">
      <x:c r="B3697" s="7" t="str">
        <x:v>AG-03691</x:v>
      </x:c>
      <x:c r="C3697" s="7" t="str">
        <x:v>PEA-B-Y1</x:v>
      </x:c>
      <x:c r="D3697" s="7" t="str">
        <x:v>channel instance</x:v>
      </x:c>
      <x:c r="E3697" s="7" t="str">
        <x:v>CH-PEA-B-Y1-14-2</x:v>
      </x:c>
      <x:c r="F3697" s="7" t="str">
        <x:f>'Channel Instances'!O1382</x:f>
        <x:v>OPEN</x:v>
      </x:c>
    </x:row>
    <x:row r="3698">
      <x:c r="B3698" s="7" t="str">
        <x:v>AG-03692</x:v>
      </x:c>
      <x:c r="C3698" s="7" t="str">
        <x:v>PEA-B-Y1</x:v>
      </x:c>
      <x:c r="D3698" s="7" t="str">
        <x:v>channel instance</x:v>
      </x:c>
      <x:c r="E3698" s="7" t="str">
        <x:v>CH-PEA-B-Y1-14-3</x:v>
      </x:c>
      <x:c r="F3698" s="7" t="str">
        <x:f>'Channel Instances'!O1383</x:f>
        <x:v>OPEN</x:v>
      </x:c>
    </x:row>
    <x:row r="3699">
      <x:c r="B3699" s="7" t="str">
        <x:v>AG-03693</x:v>
      </x:c>
      <x:c r="C3699" s="7" t="str">
        <x:v>PEA-B-Y1</x:v>
      </x:c>
      <x:c r="D3699" s="7" t="str">
        <x:v>channel instance</x:v>
      </x:c>
      <x:c r="E3699" s="7" t="str">
        <x:v>CH-PEA-B-Y1-14-4</x:v>
      </x:c>
      <x:c r="F3699" s="7" t="str">
        <x:f>'Channel Instances'!O1384</x:f>
        <x:v>OPEN</x:v>
      </x:c>
    </x:row>
    <x:row r="3700">
      <x:c r="B3700" s="7" t="str">
        <x:v>AG-03694</x:v>
      </x:c>
      <x:c r="C3700" s="7" t="str">
        <x:v>PEA-B-Y1</x:v>
      </x:c>
      <x:c r="D3700" s="7" t="str">
        <x:v>channel instance</x:v>
      </x:c>
      <x:c r="E3700" s="7" t="str">
        <x:v>CH-PEA-B-Y1-14-5</x:v>
      </x:c>
      <x:c r="F3700" s="7" t="str">
        <x:f>'Channel Instances'!O1385</x:f>
        <x:v>OPEN</x:v>
      </x:c>
    </x:row>
    <x:row r="3701">
      <x:c r="B3701" s="7" t="str">
        <x:v>AG-03695</x:v>
      </x:c>
      <x:c r="C3701" s="7" t="str">
        <x:v>PEA-B-Y1</x:v>
      </x:c>
      <x:c r="D3701" s="7" t="str">
        <x:v>channel instance</x:v>
      </x:c>
      <x:c r="E3701" s="7" t="str">
        <x:v>CH-PEA-B-Y1-14-6</x:v>
      </x:c>
      <x:c r="F3701" s="7" t="str">
        <x:f>'Channel Instances'!O1386</x:f>
        <x:v>OPEN</x:v>
      </x:c>
    </x:row>
    <x:row r="3702">
      <x:c r="B3702" s="7" t="str">
        <x:v>AG-03696</x:v>
      </x:c>
      <x:c r="C3702" s="7" t="str">
        <x:v>PEA-B-Y1</x:v>
      </x:c>
      <x:c r="D3702" s="7" t="str">
        <x:v>channel instance</x:v>
      </x:c>
      <x:c r="E3702" s="7" t="str">
        <x:v>CH-PEA-B-Y1-15-1</x:v>
      </x:c>
      <x:c r="F3702" s="7" t="str">
        <x:f>'Channel Instances'!O1387</x:f>
        <x:v>OPEN</x:v>
      </x:c>
    </x:row>
    <x:row r="3703">
      <x:c r="B3703" s="7" t="str">
        <x:v>AG-03697</x:v>
      </x:c>
      <x:c r="C3703" s="7" t="str">
        <x:v>PEA-B-Y1</x:v>
      </x:c>
      <x:c r="D3703" s="7" t="str">
        <x:v>channel instance</x:v>
      </x:c>
      <x:c r="E3703" s="7" t="str">
        <x:v>CH-PEA-B-Y1-15-2</x:v>
      </x:c>
      <x:c r="F3703" s="7" t="str">
        <x:f>'Channel Instances'!O1388</x:f>
        <x:v>OPEN</x:v>
      </x:c>
    </x:row>
    <x:row r="3704">
      <x:c r="B3704" s="7" t="str">
        <x:v>AG-03698</x:v>
      </x:c>
      <x:c r="C3704" s="7" t="str">
        <x:v>PEA-B-Y1</x:v>
      </x:c>
      <x:c r="D3704" s="7" t="str">
        <x:v>channel instance</x:v>
      </x:c>
      <x:c r="E3704" s="7" t="str">
        <x:v>CH-PEA-B-Y1-15-3</x:v>
      </x:c>
      <x:c r="F3704" s="7" t="str">
        <x:f>'Channel Instances'!O1389</x:f>
        <x:v>OPEN</x:v>
      </x:c>
    </x:row>
    <x:row r="3705">
      <x:c r="B3705" s="7" t="str">
        <x:v>AG-03699</x:v>
      </x:c>
      <x:c r="C3705" s="7" t="str">
        <x:v>PEA-B-Y1</x:v>
      </x:c>
      <x:c r="D3705" s="7" t="str">
        <x:v>channel instance</x:v>
      </x:c>
      <x:c r="E3705" s="7" t="str">
        <x:v>CH-PEA-B-Y1-15-4</x:v>
      </x:c>
      <x:c r="F3705" s="7" t="str">
        <x:f>'Channel Instances'!O1390</x:f>
        <x:v>OPEN</x:v>
      </x:c>
    </x:row>
    <x:row r="3706">
      <x:c r="B3706" s="7" t="str">
        <x:v>AG-03700</x:v>
      </x:c>
      <x:c r="C3706" s="7" t="str">
        <x:v>PEA-B-Y1</x:v>
      </x:c>
      <x:c r="D3706" s="7" t="str">
        <x:v>channel instance</x:v>
      </x:c>
      <x:c r="E3706" s="7" t="str">
        <x:v>CH-PEA-B-Y1-15-5</x:v>
      </x:c>
      <x:c r="F3706" s="7" t="str">
        <x:f>'Channel Instances'!O1391</x:f>
        <x:v>OPEN</x:v>
      </x:c>
    </x:row>
    <x:row r="3707">
      <x:c r="B3707" s="7" t="str">
        <x:v>AG-03701</x:v>
      </x:c>
      <x:c r="C3707" s="7" t="str">
        <x:v>PEA-B-Y1</x:v>
      </x:c>
      <x:c r="D3707" s="7" t="str">
        <x:v>channel instance</x:v>
      </x:c>
      <x:c r="E3707" s="7" t="str">
        <x:v>CH-PEA-B-Y1-15-6</x:v>
      </x:c>
      <x:c r="F3707" s="7" t="str">
        <x:f>'Channel Instances'!O1392</x:f>
        <x:v>OPEN</x:v>
      </x:c>
    </x:row>
    <x:row r="3708">
      <x:c r="B3708" s="7" t="str">
        <x:v>AG-03702</x:v>
      </x:c>
      <x:c r="C3708" s="7" t="str">
        <x:v>PEA-B-Y1</x:v>
      </x:c>
      <x:c r="D3708" s="7" t="str">
        <x:v>channel instance</x:v>
      </x:c>
      <x:c r="E3708" s="7" t="str">
        <x:v>CH-PEA-B-Y1-16-1</x:v>
      </x:c>
      <x:c r="F3708" s="7" t="str">
        <x:f>'Channel Instances'!O1393</x:f>
        <x:v>OPEN</x:v>
      </x:c>
    </x:row>
    <x:row r="3709">
      <x:c r="B3709" s="7" t="str">
        <x:v>AG-03703</x:v>
      </x:c>
      <x:c r="C3709" s="7" t="str">
        <x:v>PEA-B-Y1</x:v>
      </x:c>
      <x:c r="D3709" s="7" t="str">
        <x:v>channel instance</x:v>
      </x:c>
      <x:c r="E3709" s="7" t="str">
        <x:v>CH-PEA-B-Y1-16-2</x:v>
      </x:c>
      <x:c r="F3709" s="7" t="str">
        <x:f>'Channel Instances'!O1394</x:f>
        <x:v>OPEN</x:v>
      </x:c>
    </x:row>
    <x:row r="3710">
      <x:c r="B3710" s="7" t="str">
        <x:v>AG-03704</x:v>
      </x:c>
      <x:c r="C3710" s="7" t="str">
        <x:v>PEA-B-Y1</x:v>
      </x:c>
      <x:c r="D3710" s="7" t="str">
        <x:v>channel instance</x:v>
      </x:c>
      <x:c r="E3710" s="7" t="str">
        <x:v>CH-PEA-B-Y1-16-3</x:v>
      </x:c>
      <x:c r="F3710" s="7" t="str">
        <x:f>'Channel Instances'!O1395</x:f>
        <x:v>OPEN</x:v>
      </x:c>
    </x:row>
    <x:row r="3711">
      <x:c r="B3711" s="7" t="str">
        <x:v>AG-03705</x:v>
      </x:c>
      <x:c r="C3711" s="7" t="str">
        <x:v>PEA-B-Y1</x:v>
      </x:c>
      <x:c r="D3711" s="7" t="str">
        <x:v>channel instance</x:v>
      </x:c>
      <x:c r="E3711" s="7" t="str">
        <x:v>CH-PEA-B-Y1-16-4</x:v>
      </x:c>
      <x:c r="F3711" s="7" t="str">
        <x:f>'Channel Instances'!O1396</x:f>
        <x:v>OPEN</x:v>
      </x:c>
    </x:row>
    <x:row r="3712">
      <x:c r="B3712" s="7" t="str">
        <x:v>AG-03706</x:v>
      </x:c>
      <x:c r="C3712" s="7" t="str">
        <x:v>PEA-B-Y1</x:v>
      </x:c>
      <x:c r="D3712" s="7" t="str">
        <x:v>channel instance</x:v>
      </x:c>
      <x:c r="E3712" s="7" t="str">
        <x:v>CH-PEA-B-Y1-16-5</x:v>
      </x:c>
      <x:c r="F3712" s="7" t="str">
        <x:f>'Channel Instances'!O1397</x:f>
        <x:v>OPEN</x:v>
      </x:c>
    </x:row>
    <x:row r="3713">
      <x:c r="B3713" s="7" t="str">
        <x:v>AG-03707</x:v>
      </x:c>
      <x:c r="C3713" s="7" t="str">
        <x:v>PEA-B-Y1</x:v>
      </x:c>
      <x:c r="D3713" s="7" t="str">
        <x:v>channel instance</x:v>
      </x:c>
      <x:c r="E3713" s="7" t="str">
        <x:v>CH-PEA-B-Y1-16-6</x:v>
      </x:c>
      <x:c r="F3713" s="7" t="str">
        <x:f>'Channel Instances'!O1398</x:f>
        <x:v>OPEN</x:v>
      </x:c>
    </x:row>
    <x:row r="3714">
      <x:c r="B3714" s="7" t="str">
        <x:v>AG-03708</x:v>
      </x:c>
      <x:c r="C3714" s="7" t="str">
        <x:v>PEA-B-Y1</x:v>
      </x:c>
      <x:c r="D3714" s="7" t="str">
        <x:v>channel instance</x:v>
      </x:c>
      <x:c r="E3714" s="7" t="str">
        <x:v>CH-PEA-B-Y1-17-1</x:v>
      </x:c>
      <x:c r="F3714" s="7" t="str">
        <x:f>'Channel Instances'!O1399</x:f>
        <x:v>OPEN</x:v>
      </x:c>
    </x:row>
    <x:row r="3715">
      <x:c r="B3715" s="7" t="str">
        <x:v>AG-03709</x:v>
      </x:c>
      <x:c r="C3715" s="7" t="str">
        <x:v>PEA-B-Y1</x:v>
      </x:c>
      <x:c r="D3715" s="7" t="str">
        <x:v>channel instance</x:v>
      </x:c>
      <x:c r="E3715" s="7" t="str">
        <x:v>CH-PEA-B-Y1-17-2</x:v>
      </x:c>
      <x:c r="F3715" s="7" t="str">
        <x:f>'Channel Instances'!O1400</x:f>
        <x:v>OPEN</x:v>
      </x:c>
    </x:row>
    <x:row r="3716">
      <x:c r="B3716" s="7" t="str">
        <x:v>AG-03710</x:v>
      </x:c>
      <x:c r="C3716" s="7" t="str">
        <x:v>PEA-B-Y1</x:v>
      </x:c>
      <x:c r="D3716" s="7" t="str">
        <x:v>channel instance</x:v>
      </x:c>
      <x:c r="E3716" s="7" t="str">
        <x:v>CH-PEA-B-Y1-17-3</x:v>
      </x:c>
      <x:c r="F3716" s="7" t="str">
        <x:f>'Channel Instances'!O1401</x:f>
        <x:v>OPEN</x:v>
      </x:c>
    </x:row>
    <x:row r="3717">
      <x:c r="B3717" s="7" t="str">
        <x:v>AG-03711</x:v>
      </x:c>
      <x:c r="C3717" s="7" t="str">
        <x:v>PEA-B-Y1</x:v>
      </x:c>
      <x:c r="D3717" s="7" t="str">
        <x:v>channel instance</x:v>
      </x:c>
      <x:c r="E3717" s="7" t="str">
        <x:v>CH-PEA-B-Y1-17-4</x:v>
      </x:c>
      <x:c r="F3717" s="7" t="str">
        <x:f>'Channel Instances'!O1402</x:f>
        <x:v>OPEN</x:v>
      </x:c>
    </x:row>
    <x:row r="3718">
      <x:c r="B3718" s="7" t="str">
        <x:v>AG-03712</x:v>
      </x:c>
      <x:c r="C3718" s="7" t="str">
        <x:v>PEA-B-Y1</x:v>
      </x:c>
      <x:c r="D3718" s="7" t="str">
        <x:v>channel instance</x:v>
      </x:c>
      <x:c r="E3718" s="7" t="str">
        <x:v>CH-PEA-B-Y1-17-5</x:v>
      </x:c>
      <x:c r="F3718" s="7" t="str">
        <x:f>'Channel Instances'!O1403</x:f>
        <x:v>OPEN</x:v>
      </x:c>
    </x:row>
    <x:row r="3719">
      <x:c r="B3719" s="7" t="str">
        <x:v>AG-03713</x:v>
      </x:c>
      <x:c r="C3719" s="7" t="str">
        <x:v>PEA-B-Y1</x:v>
      </x:c>
      <x:c r="D3719" s="7" t="str">
        <x:v>channel instance</x:v>
      </x:c>
      <x:c r="E3719" s="7" t="str">
        <x:v>CH-PEA-B-Y1-17-6</x:v>
      </x:c>
      <x:c r="F3719" s="7" t="str">
        <x:f>'Channel Instances'!O1404</x:f>
        <x:v>OPEN</x:v>
      </x:c>
    </x:row>
    <x:row r="3720">
      <x:c r="B3720" s="7" t="str">
        <x:v>AG-03714</x:v>
      </x:c>
      <x:c r="C3720" s="7" t="str">
        <x:v>PEA-B-Y1</x:v>
      </x:c>
      <x:c r="D3720" s="7" t="str">
        <x:v>channel instance</x:v>
      </x:c>
      <x:c r="E3720" s="7" t="str">
        <x:v>CH-PEA-B-Y1-18-1</x:v>
      </x:c>
      <x:c r="F3720" s="7" t="str">
        <x:f>'Channel Instances'!O1405</x:f>
        <x:v>OPEN</x:v>
      </x:c>
    </x:row>
    <x:row r="3721">
      <x:c r="B3721" s="7" t="str">
        <x:v>AG-03715</x:v>
      </x:c>
      <x:c r="C3721" s="7" t="str">
        <x:v>PEA-B-Y1</x:v>
      </x:c>
      <x:c r="D3721" s="7" t="str">
        <x:v>channel instance</x:v>
      </x:c>
      <x:c r="E3721" s="7" t="str">
        <x:v>CH-PEA-B-Y1-18-2</x:v>
      </x:c>
      <x:c r="F3721" s="7" t="str">
        <x:f>'Channel Instances'!O1406</x:f>
        <x:v>OPEN</x:v>
      </x:c>
    </x:row>
    <x:row r="3722">
      <x:c r="B3722" s="7" t="str">
        <x:v>AG-03716</x:v>
      </x:c>
      <x:c r="C3722" s="7" t="str">
        <x:v>PEA-B-Y1</x:v>
      </x:c>
      <x:c r="D3722" s="7" t="str">
        <x:v>channel instance</x:v>
      </x:c>
      <x:c r="E3722" s="7" t="str">
        <x:v>CH-PEA-B-Y1-18-3</x:v>
      </x:c>
      <x:c r="F3722" s="7" t="str">
        <x:f>'Channel Instances'!O1407</x:f>
        <x:v>OPEN</x:v>
      </x:c>
    </x:row>
    <x:row r="3723">
      <x:c r="B3723" s="7" t="str">
        <x:v>AG-03717</x:v>
      </x:c>
      <x:c r="C3723" s="7" t="str">
        <x:v>PEA-B-Y1</x:v>
      </x:c>
      <x:c r="D3723" s="7" t="str">
        <x:v>channel instance</x:v>
      </x:c>
      <x:c r="E3723" s="7" t="str">
        <x:v>CH-PEA-B-Y1-18-4</x:v>
      </x:c>
      <x:c r="F3723" s="7" t="str">
        <x:f>'Channel Instances'!O1408</x:f>
        <x:v>OPEN</x:v>
      </x:c>
    </x:row>
    <x:row r="3724">
      <x:c r="B3724" s="7" t="str">
        <x:v>AG-03718</x:v>
      </x:c>
      <x:c r="C3724" s="7" t="str">
        <x:v>PEA-B-Y1</x:v>
      </x:c>
      <x:c r="D3724" s="7" t="str">
        <x:v>channel instance</x:v>
      </x:c>
      <x:c r="E3724" s="7" t="str">
        <x:v>CH-PEA-B-Y1-18-5</x:v>
      </x:c>
      <x:c r="F3724" s="7" t="str">
        <x:f>'Channel Instances'!O1409</x:f>
        <x:v>OPEN</x:v>
      </x:c>
    </x:row>
    <x:row r="3725">
      <x:c r="B3725" s="7" t="str">
        <x:v>AG-03719</x:v>
      </x:c>
      <x:c r="C3725" s="7" t="str">
        <x:v>PEA-B-Y1</x:v>
      </x:c>
      <x:c r="D3725" s="7" t="str">
        <x:v>channel instance</x:v>
      </x:c>
      <x:c r="E3725" s="7" t="str">
        <x:v>CH-PEA-B-Y1-18-6</x:v>
      </x:c>
      <x:c r="F3725" s="7" t="str">
        <x:f>'Channel Instances'!O1410</x:f>
        <x:v>OPEN</x:v>
      </x:c>
    </x:row>
    <x:row r="3726">
      <x:c r="B3726" s="7" t="str">
        <x:v>AG-03720</x:v>
      </x:c>
      <x:c r="C3726" s="7" t="str">
        <x:v>PEA-B-Y1</x:v>
      </x:c>
      <x:c r="D3726" s="7" t="str">
        <x:v>channel instance</x:v>
      </x:c>
      <x:c r="E3726" s="7" t="str">
        <x:v>CH-PEA-B-Y1-19-1</x:v>
      </x:c>
      <x:c r="F3726" s="7" t="str">
        <x:f>'Channel Instances'!O1411</x:f>
        <x:v>OPEN</x:v>
      </x:c>
    </x:row>
    <x:row r="3727">
      <x:c r="B3727" s="7" t="str">
        <x:v>AG-03721</x:v>
      </x:c>
      <x:c r="C3727" s="7" t="str">
        <x:v>PEA-B-Y1</x:v>
      </x:c>
      <x:c r="D3727" s="7" t="str">
        <x:v>channel instance</x:v>
      </x:c>
      <x:c r="E3727" s="7" t="str">
        <x:v>CH-PEA-B-Y1-19-2</x:v>
      </x:c>
      <x:c r="F3727" s="7" t="str">
        <x:f>'Channel Instances'!O1412</x:f>
        <x:v>OPEN</x:v>
      </x:c>
    </x:row>
    <x:row r="3728">
      <x:c r="B3728" s="7" t="str">
        <x:v>AG-03722</x:v>
      </x:c>
      <x:c r="C3728" s="7" t="str">
        <x:v>PEA-B-Y1</x:v>
      </x:c>
      <x:c r="D3728" s="7" t="str">
        <x:v>channel instance</x:v>
      </x:c>
      <x:c r="E3728" s="7" t="str">
        <x:v>CH-PEA-B-Y1-19-3</x:v>
      </x:c>
      <x:c r="F3728" s="7" t="str">
        <x:f>'Channel Instances'!O1413</x:f>
        <x:v>OPEN</x:v>
      </x:c>
    </x:row>
    <x:row r="3729">
      <x:c r="B3729" s="7" t="str">
        <x:v>AG-03723</x:v>
      </x:c>
      <x:c r="C3729" s="7" t="str">
        <x:v>PEA-B-Y1</x:v>
      </x:c>
      <x:c r="D3729" s="7" t="str">
        <x:v>channel instance</x:v>
      </x:c>
      <x:c r="E3729" s="7" t="str">
        <x:v>CH-PEA-B-Y1-19-4</x:v>
      </x:c>
      <x:c r="F3729" s="7" t="str">
        <x:f>'Channel Instances'!O1414</x:f>
        <x:v>OPEN</x:v>
      </x:c>
    </x:row>
    <x:row r="3730">
      <x:c r="B3730" s="7" t="str">
        <x:v>AG-03724</x:v>
      </x:c>
      <x:c r="C3730" s="7" t="str">
        <x:v>PEA-B-Y1</x:v>
      </x:c>
      <x:c r="D3730" s="7" t="str">
        <x:v>channel instance</x:v>
      </x:c>
      <x:c r="E3730" s="7" t="str">
        <x:v>CH-PEA-B-Y1-19-5</x:v>
      </x:c>
      <x:c r="F3730" s="7" t="str">
        <x:f>'Channel Instances'!O1415</x:f>
        <x:v>OPEN</x:v>
      </x:c>
    </x:row>
    <x:row r="3731">
      <x:c r="B3731" s="7" t="str">
        <x:v>AG-03725</x:v>
      </x:c>
      <x:c r="C3731" s="7" t="str">
        <x:v>PEA-B-Y1</x:v>
      </x:c>
      <x:c r="D3731" s="7" t="str">
        <x:v>channel instance</x:v>
      </x:c>
      <x:c r="E3731" s="7" t="str">
        <x:v>CH-PEA-B-Y1-19-6</x:v>
      </x:c>
      <x:c r="F3731" s="7" t="str">
        <x:f>'Channel Instances'!O1416</x:f>
        <x:v>OPEN</x:v>
      </x:c>
    </x:row>
    <x:row r="3732">
      <x:c r="B3732" s="7" t="str">
        <x:v>AG-03726</x:v>
      </x:c>
      <x:c r="C3732" s="7" t="str">
        <x:v>PEA-B-Y1</x:v>
      </x:c>
      <x:c r="D3732" s="7" t="str">
        <x:v>channel instance</x:v>
      </x:c>
      <x:c r="E3732" s="7" t="str">
        <x:v>CH-PEA-B-Y1-20-1</x:v>
      </x:c>
      <x:c r="F3732" s="7" t="str">
        <x:f>'Channel Instances'!O1417</x:f>
        <x:v>OPEN</x:v>
      </x:c>
    </x:row>
    <x:row r="3733">
      <x:c r="B3733" s="7" t="str">
        <x:v>AG-03727</x:v>
      </x:c>
      <x:c r="C3733" s="7" t="str">
        <x:v>PEA-B-Y1</x:v>
      </x:c>
      <x:c r="D3733" s="7" t="str">
        <x:v>channel instance</x:v>
      </x:c>
      <x:c r="E3733" s="7" t="str">
        <x:v>CH-PEA-B-Y1-20-2</x:v>
      </x:c>
      <x:c r="F3733" s="7" t="str">
        <x:f>'Channel Instances'!O1418</x:f>
        <x:v>OPEN</x:v>
      </x:c>
    </x:row>
    <x:row r="3734">
      <x:c r="B3734" s="7" t="str">
        <x:v>AG-03728</x:v>
      </x:c>
      <x:c r="C3734" s="7" t="str">
        <x:v>PEA-B-Y1</x:v>
      </x:c>
      <x:c r="D3734" s="7" t="str">
        <x:v>channel instance</x:v>
      </x:c>
      <x:c r="E3734" s="7" t="str">
        <x:v>CH-PEA-B-Y1-20-3</x:v>
      </x:c>
      <x:c r="F3734" s="7" t="str">
        <x:f>'Channel Instances'!O1419</x:f>
        <x:v>OPEN</x:v>
      </x:c>
    </x:row>
    <x:row r="3735">
      <x:c r="B3735" s="7" t="str">
        <x:v>AG-03729</x:v>
      </x:c>
      <x:c r="C3735" s="7" t="str">
        <x:v>PEA-B-Y1</x:v>
      </x:c>
      <x:c r="D3735" s="7" t="str">
        <x:v>channel instance</x:v>
      </x:c>
      <x:c r="E3735" s="7" t="str">
        <x:v>CH-PEA-B-Y1-20-4</x:v>
      </x:c>
      <x:c r="F3735" s="7" t="str">
        <x:f>'Channel Instances'!O1420</x:f>
        <x:v>OPEN</x:v>
      </x:c>
    </x:row>
    <x:row r="3736">
      <x:c r="B3736" s="7" t="str">
        <x:v>AG-03730</x:v>
      </x:c>
      <x:c r="C3736" s="7" t="str">
        <x:v>PEA-B-Y1</x:v>
      </x:c>
      <x:c r="D3736" s="7" t="str">
        <x:v>channel instance</x:v>
      </x:c>
      <x:c r="E3736" s="7" t="str">
        <x:v>CH-PEA-B-Y1-20-5</x:v>
      </x:c>
      <x:c r="F3736" s="7" t="str">
        <x:f>'Channel Instances'!O1421</x:f>
        <x:v>OPEN</x:v>
      </x:c>
    </x:row>
    <x:row r="3737">
      <x:c r="B3737" s="7" t="str">
        <x:v>AG-03731</x:v>
      </x:c>
      <x:c r="C3737" s="7" t="str">
        <x:v>PEA-B-Y1</x:v>
      </x:c>
      <x:c r="D3737" s="7" t="str">
        <x:v>channel instance</x:v>
      </x:c>
      <x:c r="E3737" s="7" t="str">
        <x:v>CH-PEA-B-Y1-20-6</x:v>
      </x:c>
      <x:c r="F3737" s="7" t="str">
        <x:f>'Channel Instances'!O1422</x:f>
        <x:v>OPEN</x:v>
      </x:c>
    </x:row>
    <x:row r="3738">
      <x:c r="B3738" s="7" t="str">
        <x:v>AG-03732</x:v>
      </x:c>
      <x:c r="C3738" s="7" t="str">
        <x:v>PEA-B-Y1</x:v>
      </x:c>
      <x:c r="D3738" s="7" t="str">
        <x:v>channel instance</x:v>
      </x:c>
      <x:c r="E3738" s="7" t="str">
        <x:v>CH-PEA-B-Y1-21-1</x:v>
      </x:c>
      <x:c r="F3738" s="7" t="str">
        <x:f>'Channel Instances'!O1423</x:f>
        <x:v>OPEN</x:v>
      </x:c>
    </x:row>
    <x:row r="3739">
      <x:c r="B3739" s="7" t="str">
        <x:v>AG-03733</x:v>
      </x:c>
      <x:c r="C3739" s="7" t="str">
        <x:v>PEA-B-Y1</x:v>
      </x:c>
      <x:c r="D3739" s="7" t="str">
        <x:v>channel instance</x:v>
      </x:c>
      <x:c r="E3739" s="7" t="str">
        <x:v>CH-PEA-B-Y1-21-2</x:v>
      </x:c>
      <x:c r="F3739" s="7" t="str">
        <x:f>'Channel Instances'!O1424</x:f>
        <x:v>OPEN</x:v>
      </x:c>
    </x:row>
    <x:row r="3740">
      <x:c r="B3740" s="7" t="str">
        <x:v>AG-03734</x:v>
      </x:c>
      <x:c r="C3740" s="7" t="str">
        <x:v>PEA-B-Y1</x:v>
      </x:c>
      <x:c r="D3740" s="7" t="str">
        <x:v>channel instance</x:v>
      </x:c>
      <x:c r="E3740" s="7" t="str">
        <x:v>CH-PEA-B-Y1-21-3</x:v>
      </x:c>
      <x:c r="F3740" s="7" t="str">
        <x:f>'Channel Instances'!O1425</x:f>
        <x:v>OPEN</x:v>
      </x:c>
    </x:row>
    <x:row r="3741">
      <x:c r="B3741" s="7" t="str">
        <x:v>AG-03735</x:v>
      </x:c>
      <x:c r="C3741" s="7" t="str">
        <x:v>PEA-B-Y1</x:v>
      </x:c>
      <x:c r="D3741" s="7" t="str">
        <x:v>channel instance</x:v>
      </x:c>
      <x:c r="E3741" s="7" t="str">
        <x:v>CH-PEA-B-Y1-21-4</x:v>
      </x:c>
      <x:c r="F3741" s="7" t="str">
        <x:f>'Channel Instances'!O1426</x:f>
        <x:v>OPEN</x:v>
      </x:c>
    </x:row>
    <x:row r="3742">
      <x:c r="B3742" s="7" t="str">
        <x:v>AG-03736</x:v>
      </x:c>
      <x:c r="C3742" s="7" t="str">
        <x:v>PEA-B-Y1</x:v>
      </x:c>
      <x:c r="D3742" s="7" t="str">
        <x:v>channel instance</x:v>
      </x:c>
      <x:c r="E3742" s="7" t="str">
        <x:v>CH-PEA-B-Y1-21-5</x:v>
      </x:c>
      <x:c r="F3742" s="7" t="str">
        <x:f>'Channel Instances'!O1427</x:f>
        <x:v>OPEN</x:v>
      </x:c>
    </x:row>
    <x:row r="3743">
      <x:c r="B3743" s="7" t="str">
        <x:v>AG-03737</x:v>
      </x:c>
      <x:c r="C3743" s="7" t="str">
        <x:v>PEA-B-Y1</x:v>
      </x:c>
      <x:c r="D3743" s="7" t="str">
        <x:v>channel instance</x:v>
      </x:c>
      <x:c r="E3743" s="7" t="str">
        <x:v>CH-PEA-B-Y1-21-6</x:v>
      </x:c>
      <x:c r="F3743" s="7" t="str">
        <x:f>'Channel Instances'!O1428</x:f>
        <x:v>OPEN</x:v>
      </x:c>
    </x:row>
    <x:row r="3744">
      <x:c r="B3744" s="7" t="str">
        <x:v>AG-03738</x:v>
      </x:c>
      <x:c r="C3744" s="7" t="str">
        <x:v>PEA-B-Y1</x:v>
      </x:c>
      <x:c r="D3744" s="7" t="str">
        <x:v>channel instance</x:v>
      </x:c>
      <x:c r="E3744" s="7" t="str">
        <x:v>CH-PEA-B-Y1-22-1</x:v>
      </x:c>
      <x:c r="F3744" s="7" t="str">
        <x:f>'Channel Instances'!O1429</x:f>
        <x:v>OPEN</x:v>
      </x:c>
    </x:row>
    <x:row r="3745">
      <x:c r="B3745" s="7" t="str">
        <x:v>AG-03739</x:v>
      </x:c>
      <x:c r="C3745" s="7" t="str">
        <x:v>PEA-B-Y1</x:v>
      </x:c>
      <x:c r="D3745" s="7" t="str">
        <x:v>channel instance</x:v>
      </x:c>
      <x:c r="E3745" s="7" t="str">
        <x:v>CH-PEA-B-Y1-22-2</x:v>
      </x:c>
      <x:c r="F3745" s="7" t="str">
        <x:f>'Channel Instances'!O1430</x:f>
        <x:v>OPEN</x:v>
      </x:c>
    </x:row>
    <x:row r="3746">
      <x:c r="B3746" s="7" t="str">
        <x:v>AG-03740</x:v>
      </x:c>
      <x:c r="C3746" s="7" t="str">
        <x:v>PEA-B-Y1</x:v>
      </x:c>
      <x:c r="D3746" s="7" t="str">
        <x:v>channel instance</x:v>
      </x:c>
      <x:c r="E3746" s="7" t="str">
        <x:v>CH-PEA-B-Y1-22-3</x:v>
      </x:c>
      <x:c r="F3746" s="7" t="str">
        <x:f>'Channel Instances'!O1431</x:f>
        <x:v>OPEN</x:v>
      </x:c>
    </x:row>
    <x:row r="3747">
      <x:c r="B3747" s="7" t="str">
        <x:v>AG-03741</x:v>
      </x:c>
      <x:c r="C3747" s="7" t="str">
        <x:v>PEA-B-Y1</x:v>
      </x:c>
      <x:c r="D3747" s="7" t="str">
        <x:v>channel instance</x:v>
      </x:c>
      <x:c r="E3747" s="7" t="str">
        <x:v>CH-PEA-B-Y1-22-4</x:v>
      </x:c>
      <x:c r="F3747" s="7" t="str">
        <x:f>'Channel Instances'!O1432</x:f>
        <x:v>OPEN</x:v>
      </x:c>
    </x:row>
    <x:row r="3748">
      <x:c r="B3748" s="7" t="str">
        <x:v>AG-03742</x:v>
      </x:c>
      <x:c r="C3748" s="7" t="str">
        <x:v>PEA-B-Y1</x:v>
      </x:c>
      <x:c r="D3748" s="7" t="str">
        <x:v>channel instance</x:v>
      </x:c>
      <x:c r="E3748" s="7" t="str">
        <x:v>CH-PEA-B-Y1-22-5</x:v>
      </x:c>
      <x:c r="F3748" s="7" t="str">
        <x:f>'Channel Instances'!O1433</x:f>
        <x:v>OPEN</x:v>
      </x:c>
    </x:row>
    <x:row r="3749">
      <x:c r="B3749" s="7" t="str">
        <x:v>AG-03743</x:v>
      </x:c>
      <x:c r="C3749" s="7" t="str">
        <x:v>PEA-B-Y1</x:v>
      </x:c>
      <x:c r="D3749" s="7" t="str">
        <x:v>channel instance</x:v>
      </x:c>
      <x:c r="E3749" s="7" t="str">
        <x:v>CH-PEA-B-Y1-22-6</x:v>
      </x:c>
      <x:c r="F3749" s="7" t="str">
        <x:f>'Channel Instances'!O1434</x:f>
        <x:v>OPEN</x:v>
      </x:c>
    </x:row>
    <x:row r="3750">
      <x:c r="B3750" s="7" t="str">
        <x:v>AG-03744</x:v>
      </x:c>
      <x:c r="C3750" s="7" t="str">
        <x:v>PEA-B-Y1</x:v>
      </x:c>
      <x:c r="D3750" s="7" t="str">
        <x:v>channel instance</x:v>
      </x:c>
      <x:c r="E3750" s="7" t="str">
        <x:v>CH-PEA-B-Y1-23-1</x:v>
      </x:c>
      <x:c r="F3750" s="7" t="str">
        <x:f>'Channel Instances'!O1435</x:f>
        <x:v>OPEN</x:v>
      </x:c>
    </x:row>
    <x:row r="3751">
      <x:c r="B3751" s="7" t="str">
        <x:v>AG-03745</x:v>
      </x:c>
      <x:c r="C3751" s="7" t="str">
        <x:v>PEA-B-Y1</x:v>
      </x:c>
      <x:c r="D3751" s="7" t="str">
        <x:v>channel instance</x:v>
      </x:c>
      <x:c r="E3751" s="7" t="str">
        <x:v>CH-PEA-B-Y1-23-2</x:v>
      </x:c>
      <x:c r="F3751" s="7" t="str">
        <x:f>'Channel Instances'!O1436</x:f>
        <x:v>OPEN</x:v>
      </x:c>
    </x:row>
    <x:row r="3752">
      <x:c r="B3752" s="7" t="str">
        <x:v>AG-03746</x:v>
      </x:c>
      <x:c r="C3752" s="7" t="str">
        <x:v>PEA-B-Y1</x:v>
      </x:c>
      <x:c r="D3752" s="7" t="str">
        <x:v>channel instance</x:v>
      </x:c>
      <x:c r="E3752" s="7" t="str">
        <x:v>CH-PEA-B-Y1-23-3</x:v>
      </x:c>
      <x:c r="F3752" s="7" t="str">
        <x:f>'Channel Instances'!O1437</x:f>
        <x:v>OPEN</x:v>
      </x:c>
    </x:row>
    <x:row r="3753">
      <x:c r="B3753" s="7" t="str">
        <x:v>AG-03747</x:v>
      </x:c>
      <x:c r="C3753" s="7" t="str">
        <x:v>PEA-B-Y1</x:v>
      </x:c>
      <x:c r="D3753" s="7" t="str">
        <x:v>channel instance</x:v>
      </x:c>
      <x:c r="E3753" s="7" t="str">
        <x:v>CH-PEA-B-Y1-23-4</x:v>
      </x:c>
      <x:c r="F3753" s="7" t="str">
        <x:f>'Channel Instances'!O1438</x:f>
        <x:v>OPEN</x:v>
      </x:c>
    </x:row>
    <x:row r="3754">
      <x:c r="B3754" s="7" t="str">
        <x:v>AG-03748</x:v>
      </x:c>
      <x:c r="C3754" s="7" t="str">
        <x:v>PEA-B-Y1</x:v>
      </x:c>
      <x:c r="D3754" s="7" t="str">
        <x:v>channel instance</x:v>
      </x:c>
      <x:c r="E3754" s="7" t="str">
        <x:v>CH-PEA-B-Y1-23-5</x:v>
      </x:c>
      <x:c r="F3754" s="7" t="str">
        <x:f>'Channel Instances'!O1439</x:f>
        <x:v>OPEN</x:v>
      </x:c>
    </x:row>
    <x:row r="3755">
      <x:c r="B3755" s="7" t="str">
        <x:v>AG-03749</x:v>
      </x:c>
      <x:c r="C3755" s="7" t="str">
        <x:v>PEA-B-Y1</x:v>
      </x:c>
      <x:c r="D3755" s="7" t="str">
        <x:v>channel instance</x:v>
      </x:c>
      <x:c r="E3755" s="7" t="str">
        <x:v>CH-PEA-B-Y1-23-6</x:v>
      </x:c>
      <x:c r="F3755" s="7" t="str">
        <x:f>'Channel Instances'!O1440</x:f>
        <x:v>OPEN</x:v>
      </x:c>
    </x:row>
    <x:row r="3756">
      <x:c r="B3756" s="7" t="str">
        <x:v>AG-03750</x:v>
      </x:c>
      <x:c r="C3756" s="7" t="str">
        <x:v>PEA-B-Y1</x:v>
      </x:c>
      <x:c r="D3756" s="7" t="str">
        <x:v>channel instance</x:v>
      </x:c>
      <x:c r="E3756" s="7" t="str">
        <x:v>CH-PEA-B-Y1-24-1</x:v>
      </x:c>
      <x:c r="F3756" s="7" t="str">
        <x:f>'Channel Instances'!O1441</x:f>
        <x:v>OPEN</x:v>
      </x:c>
    </x:row>
    <x:row r="3757">
      <x:c r="B3757" s="7" t="str">
        <x:v>AG-03751</x:v>
      </x:c>
      <x:c r="C3757" s="7" t="str">
        <x:v>PEA-B-Y1</x:v>
      </x:c>
      <x:c r="D3757" s="7" t="str">
        <x:v>channel instance</x:v>
      </x:c>
      <x:c r="E3757" s="7" t="str">
        <x:v>CH-PEA-B-Y1-24-2</x:v>
      </x:c>
      <x:c r="F3757" s="7" t="str">
        <x:f>'Channel Instances'!O1442</x:f>
        <x:v>OPEN</x:v>
      </x:c>
    </x:row>
    <x:row r="3758">
      <x:c r="B3758" s="7" t="str">
        <x:v>AG-03752</x:v>
      </x:c>
      <x:c r="C3758" s="7" t="str">
        <x:v>PEA-B-Y1</x:v>
      </x:c>
      <x:c r="D3758" s="7" t="str">
        <x:v>channel instance</x:v>
      </x:c>
      <x:c r="E3758" s="7" t="str">
        <x:v>CH-PEA-B-Y1-24-3</x:v>
      </x:c>
      <x:c r="F3758" s="7" t="str">
        <x:f>'Channel Instances'!O1443</x:f>
        <x:v>OPEN</x:v>
      </x:c>
    </x:row>
    <x:row r="3759">
      <x:c r="B3759" s="7" t="str">
        <x:v>AG-03753</x:v>
      </x:c>
      <x:c r="C3759" s="7" t="str">
        <x:v>PEA-B-Y1</x:v>
      </x:c>
      <x:c r="D3759" s="7" t="str">
        <x:v>channel instance</x:v>
      </x:c>
      <x:c r="E3759" s="7" t="str">
        <x:v>CH-PEA-B-Y1-24-4</x:v>
      </x:c>
      <x:c r="F3759" s="7" t="str">
        <x:f>'Channel Instances'!O1444</x:f>
        <x:v>OPEN</x:v>
      </x:c>
    </x:row>
    <x:row r="3760">
      <x:c r="B3760" s="7" t="str">
        <x:v>AG-03754</x:v>
      </x:c>
      <x:c r="C3760" s="7" t="str">
        <x:v>PEA-B-Y1</x:v>
      </x:c>
      <x:c r="D3760" s="7" t="str">
        <x:v>channel instance</x:v>
      </x:c>
      <x:c r="E3760" s="7" t="str">
        <x:v>CH-PEA-B-Y1-24-5</x:v>
      </x:c>
      <x:c r="F3760" s="7" t="str">
        <x:f>'Channel Instances'!O1445</x:f>
        <x:v>OPEN</x:v>
      </x:c>
    </x:row>
    <x:row r="3761">
      <x:c r="B3761" s="7" t="str">
        <x:v>AG-03755</x:v>
      </x:c>
      <x:c r="C3761" s="7" t="str">
        <x:v>PEA-B-Y1</x:v>
      </x:c>
      <x:c r="D3761" s="7" t="str">
        <x:v>channel instance</x:v>
      </x:c>
      <x:c r="E3761" s="7" t="str">
        <x:v>CH-PEA-B-Y1-24-6</x:v>
      </x:c>
      <x:c r="F3761" s="7" t="str">
        <x:f>'Channel Instances'!O1446</x:f>
        <x:v>OPEN</x:v>
      </x:c>
    </x:row>
    <x:row r="3762">
      <x:c r="B3762" s="7" t="str">
        <x:v>AG-03756</x:v>
      </x:c>
      <x:c r="C3762" s="7" t="str">
        <x:v>PEA-B-Y1</x:v>
      </x:c>
      <x:c r="D3762" s="7" t="str">
        <x:v>factory calibration</x:v>
      </x:c>
      <x:c r="E3762" s="7" t="str">
        <x:v>CAL-CH-PEA-B-Y1-01-1</x:v>
      </x:c>
      <x:c r="F3762" s="7" t="str">
        <x:f>'Calibration Records'!M1303</x:f>
        <x:v>OPEN</x:v>
      </x:c>
    </x:row>
    <x:row r="3763">
      <x:c r="B3763" s="7" t="str">
        <x:v>AG-03757</x:v>
      </x:c>
      <x:c r="C3763" s="7" t="str">
        <x:v>PEA-B-Y1</x:v>
      </x:c>
      <x:c r="D3763" s="7" t="str">
        <x:v>factory calibration</x:v>
      </x:c>
      <x:c r="E3763" s="7" t="str">
        <x:v>CAL-CH-PEA-B-Y1-01-2</x:v>
      </x:c>
      <x:c r="F3763" s="7" t="str">
        <x:f>'Calibration Records'!M1304</x:f>
        <x:v>OPEN</x:v>
      </x:c>
    </x:row>
    <x:row r="3764">
      <x:c r="B3764" s="7" t="str">
        <x:v>AG-03758</x:v>
      </x:c>
      <x:c r="C3764" s="7" t="str">
        <x:v>PEA-B-Y1</x:v>
      </x:c>
      <x:c r="D3764" s="7" t="str">
        <x:v>factory calibration</x:v>
      </x:c>
      <x:c r="E3764" s="7" t="str">
        <x:v>CAL-CH-PEA-B-Y1-01-3</x:v>
      </x:c>
      <x:c r="F3764" s="7" t="str">
        <x:f>'Calibration Records'!M1305</x:f>
        <x:v>OPEN</x:v>
      </x:c>
    </x:row>
    <x:row r="3765">
      <x:c r="B3765" s="7" t="str">
        <x:v>AG-03759</x:v>
      </x:c>
      <x:c r="C3765" s="7" t="str">
        <x:v>PEA-B-Y1</x:v>
      </x:c>
      <x:c r="D3765" s="7" t="str">
        <x:v>factory calibration</x:v>
      </x:c>
      <x:c r="E3765" s="7" t="str">
        <x:v>CAL-CH-PEA-B-Y1-01-4</x:v>
      </x:c>
      <x:c r="F3765" s="7" t="str">
        <x:f>'Calibration Records'!M1306</x:f>
        <x:v>OPEN</x:v>
      </x:c>
    </x:row>
    <x:row r="3766">
      <x:c r="B3766" s="7" t="str">
        <x:v>AG-03760</x:v>
      </x:c>
      <x:c r="C3766" s="7" t="str">
        <x:v>PEA-B-Y1</x:v>
      </x:c>
      <x:c r="D3766" s="7" t="str">
        <x:v>factory calibration</x:v>
      </x:c>
      <x:c r="E3766" s="7" t="str">
        <x:v>CAL-CH-PEA-B-Y1-01-5</x:v>
      </x:c>
      <x:c r="F3766" s="7" t="str">
        <x:f>'Calibration Records'!M1307</x:f>
        <x:v>OPEN</x:v>
      </x:c>
    </x:row>
    <x:row r="3767">
      <x:c r="B3767" s="7" t="str">
        <x:v>AG-03761</x:v>
      </x:c>
      <x:c r="C3767" s="7" t="str">
        <x:v>PEA-B-Y1</x:v>
      </x:c>
      <x:c r="D3767" s="7" t="str">
        <x:v>factory calibration</x:v>
      </x:c>
      <x:c r="E3767" s="7" t="str">
        <x:v>CAL-CH-PEA-B-Y1-01-6</x:v>
      </x:c>
      <x:c r="F3767" s="7" t="str">
        <x:f>'Calibration Records'!M1308</x:f>
        <x:v>OPEN</x:v>
      </x:c>
    </x:row>
    <x:row r="3768">
      <x:c r="B3768" s="7" t="str">
        <x:v>AG-03762</x:v>
      </x:c>
      <x:c r="C3768" s="7" t="str">
        <x:v>PEA-B-Y1</x:v>
      </x:c>
      <x:c r="D3768" s="7" t="str">
        <x:v>factory calibration</x:v>
      </x:c>
      <x:c r="E3768" s="7" t="str">
        <x:v>CAL-CH-PEA-B-Y1-02-1</x:v>
      </x:c>
      <x:c r="F3768" s="7" t="str">
        <x:f>'Calibration Records'!M1309</x:f>
        <x:v>OPEN</x:v>
      </x:c>
    </x:row>
    <x:row r="3769">
      <x:c r="B3769" s="7" t="str">
        <x:v>AG-03763</x:v>
      </x:c>
      <x:c r="C3769" s="7" t="str">
        <x:v>PEA-B-Y1</x:v>
      </x:c>
      <x:c r="D3769" s="7" t="str">
        <x:v>factory calibration</x:v>
      </x:c>
      <x:c r="E3769" s="7" t="str">
        <x:v>CAL-CH-PEA-B-Y1-02-2</x:v>
      </x:c>
      <x:c r="F3769" s="7" t="str">
        <x:f>'Calibration Records'!M1310</x:f>
        <x:v>OPEN</x:v>
      </x:c>
    </x:row>
    <x:row r="3770">
      <x:c r="B3770" s="7" t="str">
        <x:v>AG-03764</x:v>
      </x:c>
      <x:c r="C3770" s="7" t="str">
        <x:v>PEA-B-Y1</x:v>
      </x:c>
      <x:c r="D3770" s="7" t="str">
        <x:v>factory calibration</x:v>
      </x:c>
      <x:c r="E3770" s="7" t="str">
        <x:v>CAL-CH-PEA-B-Y1-02-3</x:v>
      </x:c>
      <x:c r="F3770" s="7" t="str">
        <x:f>'Calibration Records'!M1311</x:f>
        <x:v>OPEN</x:v>
      </x:c>
    </x:row>
    <x:row r="3771">
      <x:c r="B3771" s="7" t="str">
        <x:v>AG-03765</x:v>
      </x:c>
      <x:c r="C3771" s="7" t="str">
        <x:v>PEA-B-Y1</x:v>
      </x:c>
      <x:c r="D3771" s="7" t="str">
        <x:v>factory calibration</x:v>
      </x:c>
      <x:c r="E3771" s="7" t="str">
        <x:v>CAL-CH-PEA-B-Y1-02-4</x:v>
      </x:c>
      <x:c r="F3771" s="7" t="str">
        <x:f>'Calibration Records'!M1312</x:f>
        <x:v>OPEN</x:v>
      </x:c>
    </x:row>
    <x:row r="3772">
      <x:c r="B3772" s="7" t="str">
        <x:v>AG-03766</x:v>
      </x:c>
      <x:c r="C3772" s="7" t="str">
        <x:v>PEA-B-Y1</x:v>
      </x:c>
      <x:c r="D3772" s="7" t="str">
        <x:v>factory calibration</x:v>
      </x:c>
      <x:c r="E3772" s="7" t="str">
        <x:v>CAL-CH-PEA-B-Y1-02-5</x:v>
      </x:c>
      <x:c r="F3772" s="7" t="str">
        <x:f>'Calibration Records'!M1313</x:f>
        <x:v>OPEN</x:v>
      </x:c>
    </x:row>
    <x:row r="3773">
      <x:c r="B3773" s="7" t="str">
        <x:v>AG-03767</x:v>
      </x:c>
      <x:c r="C3773" s="7" t="str">
        <x:v>PEA-B-Y1</x:v>
      </x:c>
      <x:c r="D3773" s="7" t="str">
        <x:v>factory calibration</x:v>
      </x:c>
      <x:c r="E3773" s="7" t="str">
        <x:v>CAL-CH-PEA-B-Y1-02-6</x:v>
      </x:c>
      <x:c r="F3773" s="7" t="str">
        <x:f>'Calibration Records'!M1314</x:f>
        <x:v>OPEN</x:v>
      </x:c>
    </x:row>
    <x:row r="3774">
      <x:c r="B3774" s="7" t="str">
        <x:v>AG-03768</x:v>
      </x:c>
      <x:c r="C3774" s="7" t="str">
        <x:v>PEA-B-Y1</x:v>
      </x:c>
      <x:c r="D3774" s="7" t="str">
        <x:v>factory calibration</x:v>
      </x:c>
      <x:c r="E3774" s="7" t="str">
        <x:v>CAL-CH-PEA-B-Y1-03-1</x:v>
      </x:c>
      <x:c r="F3774" s="7" t="str">
        <x:f>'Calibration Records'!M1315</x:f>
        <x:v>OPEN</x:v>
      </x:c>
    </x:row>
    <x:row r="3775">
      <x:c r="B3775" s="7" t="str">
        <x:v>AG-03769</x:v>
      </x:c>
      <x:c r="C3775" s="7" t="str">
        <x:v>PEA-B-Y1</x:v>
      </x:c>
      <x:c r="D3775" s="7" t="str">
        <x:v>factory calibration</x:v>
      </x:c>
      <x:c r="E3775" s="7" t="str">
        <x:v>CAL-CH-PEA-B-Y1-03-2</x:v>
      </x:c>
      <x:c r="F3775" s="7" t="str">
        <x:f>'Calibration Records'!M1316</x:f>
        <x:v>OPEN</x:v>
      </x:c>
    </x:row>
    <x:row r="3776">
      <x:c r="B3776" s="7" t="str">
        <x:v>AG-03770</x:v>
      </x:c>
      <x:c r="C3776" s="7" t="str">
        <x:v>PEA-B-Y1</x:v>
      </x:c>
      <x:c r="D3776" s="7" t="str">
        <x:v>factory calibration</x:v>
      </x:c>
      <x:c r="E3776" s="7" t="str">
        <x:v>CAL-CH-PEA-B-Y1-03-3</x:v>
      </x:c>
      <x:c r="F3776" s="7" t="str">
        <x:f>'Calibration Records'!M1317</x:f>
        <x:v>OPEN</x:v>
      </x:c>
    </x:row>
    <x:row r="3777">
      <x:c r="B3777" s="7" t="str">
        <x:v>AG-03771</x:v>
      </x:c>
      <x:c r="C3777" s="7" t="str">
        <x:v>PEA-B-Y1</x:v>
      </x:c>
      <x:c r="D3777" s="7" t="str">
        <x:v>factory calibration</x:v>
      </x:c>
      <x:c r="E3777" s="7" t="str">
        <x:v>CAL-CH-PEA-B-Y1-03-4</x:v>
      </x:c>
      <x:c r="F3777" s="7" t="str">
        <x:f>'Calibration Records'!M1318</x:f>
        <x:v>OPEN</x:v>
      </x:c>
    </x:row>
    <x:row r="3778">
      <x:c r="B3778" s="7" t="str">
        <x:v>AG-03772</x:v>
      </x:c>
      <x:c r="C3778" s="7" t="str">
        <x:v>PEA-B-Y1</x:v>
      </x:c>
      <x:c r="D3778" s="7" t="str">
        <x:v>factory calibration</x:v>
      </x:c>
      <x:c r="E3778" s="7" t="str">
        <x:v>CAL-CH-PEA-B-Y1-03-5</x:v>
      </x:c>
      <x:c r="F3778" s="7" t="str">
        <x:f>'Calibration Records'!M1319</x:f>
        <x:v>OPEN</x:v>
      </x:c>
    </x:row>
    <x:row r="3779">
      <x:c r="B3779" s="7" t="str">
        <x:v>AG-03773</x:v>
      </x:c>
      <x:c r="C3779" s="7" t="str">
        <x:v>PEA-B-Y1</x:v>
      </x:c>
      <x:c r="D3779" s="7" t="str">
        <x:v>factory calibration</x:v>
      </x:c>
      <x:c r="E3779" s="7" t="str">
        <x:v>CAL-CH-PEA-B-Y1-03-6</x:v>
      </x:c>
      <x:c r="F3779" s="7" t="str">
        <x:f>'Calibration Records'!M1320</x:f>
        <x:v>OPEN</x:v>
      </x:c>
    </x:row>
    <x:row r="3780">
      <x:c r="B3780" s="7" t="str">
        <x:v>AG-03774</x:v>
      </x:c>
      <x:c r="C3780" s="7" t="str">
        <x:v>PEA-B-Y1</x:v>
      </x:c>
      <x:c r="D3780" s="7" t="str">
        <x:v>factory calibration</x:v>
      </x:c>
      <x:c r="E3780" s="7" t="str">
        <x:v>CAL-CH-PEA-B-Y1-04-1</x:v>
      </x:c>
      <x:c r="F3780" s="7" t="str">
        <x:f>'Calibration Records'!M1321</x:f>
        <x:v>OPEN</x:v>
      </x:c>
    </x:row>
    <x:row r="3781">
      <x:c r="B3781" s="7" t="str">
        <x:v>AG-03775</x:v>
      </x:c>
      <x:c r="C3781" s="7" t="str">
        <x:v>PEA-B-Y1</x:v>
      </x:c>
      <x:c r="D3781" s="7" t="str">
        <x:v>factory calibration</x:v>
      </x:c>
      <x:c r="E3781" s="7" t="str">
        <x:v>CAL-CH-PEA-B-Y1-04-2</x:v>
      </x:c>
      <x:c r="F3781" s="7" t="str">
        <x:f>'Calibration Records'!M1322</x:f>
        <x:v>OPEN</x:v>
      </x:c>
    </x:row>
    <x:row r="3782">
      <x:c r="B3782" s="7" t="str">
        <x:v>AG-03776</x:v>
      </x:c>
      <x:c r="C3782" s="7" t="str">
        <x:v>PEA-B-Y1</x:v>
      </x:c>
      <x:c r="D3782" s="7" t="str">
        <x:v>factory calibration</x:v>
      </x:c>
      <x:c r="E3782" s="7" t="str">
        <x:v>CAL-CH-PEA-B-Y1-04-3</x:v>
      </x:c>
      <x:c r="F3782" s="7" t="str">
        <x:f>'Calibration Records'!M1323</x:f>
        <x:v>OPEN</x:v>
      </x:c>
    </x:row>
    <x:row r="3783">
      <x:c r="B3783" s="7" t="str">
        <x:v>AG-03777</x:v>
      </x:c>
      <x:c r="C3783" s="7" t="str">
        <x:v>PEA-B-Y1</x:v>
      </x:c>
      <x:c r="D3783" s="7" t="str">
        <x:v>factory calibration</x:v>
      </x:c>
      <x:c r="E3783" s="7" t="str">
        <x:v>CAL-CH-PEA-B-Y1-04-4</x:v>
      </x:c>
      <x:c r="F3783" s="7" t="str">
        <x:f>'Calibration Records'!M1324</x:f>
        <x:v>OPEN</x:v>
      </x:c>
    </x:row>
    <x:row r="3784">
      <x:c r="B3784" s="7" t="str">
        <x:v>AG-03778</x:v>
      </x:c>
      <x:c r="C3784" s="7" t="str">
        <x:v>PEA-B-Y1</x:v>
      </x:c>
      <x:c r="D3784" s="7" t="str">
        <x:v>factory calibration</x:v>
      </x:c>
      <x:c r="E3784" s="7" t="str">
        <x:v>CAL-CH-PEA-B-Y1-04-5</x:v>
      </x:c>
      <x:c r="F3784" s="7" t="str">
        <x:f>'Calibration Records'!M1325</x:f>
        <x:v>OPEN</x:v>
      </x:c>
    </x:row>
    <x:row r="3785">
      <x:c r="B3785" s="7" t="str">
        <x:v>AG-03779</x:v>
      </x:c>
      <x:c r="C3785" s="7" t="str">
        <x:v>PEA-B-Y1</x:v>
      </x:c>
      <x:c r="D3785" s="7" t="str">
        <x:v>factory calibration</x:v>
      </x:c>
      <x:c r="E3785" s="7" t="str">
        <x:v>CAL-CH-PEA-B-Y1-04-6</x:v>
      </x:c>
      <x:c r="F3785" s="7" t="str">
        <x:f>'Calibration Records'!M1326</x:f>
        <x:v>OPEN</x:v>
      </x:c>
    </x:row>
    <x:row r="3786">
      <x:c r="B3786" s="7" t="str">
        <x:v>AG-03780</x:v>
      </x:c>
      <x:c r="C3786" s="7" t="str">
        <x:v>PEA-B-Y1</x:v>
      </x:c>
      <x:c r="D3786" s="7" t="str">
        <x:v>factory calibration</x:v>
      </x:c>
      <x:c r="E3786" s="7" t="str">
        <x:v>CAL-CH-PEA-B-Y1-05-1</x:v>
      </x:c>
      <x:c r="F3786" s="7" t="str">
        <x:f>'Calibration Records'!M1327</x:f>
        <x:v>OPEN</x:v>
      </x:c>
    </x:row>
    <x:row r="3787">
      <x:c r="B3787" s="7" t="str">
        <x:v>AG-03781</x:v>
      </x:c>
      <x:c r="C3787" s="7" t="str">
        <x:v>PEA-B-Y1</x:v>
      </x:c>
      <x:c r="D3787" s="7" t="str">
        <x:v>factory calibration</x:v>
      </x:c>
      <x:c r="E3787" s="7" t="str">
        <x:v>CAL-CH-PEA-B-Y1-05-2</x:v>
      </x:c>
      <x:c r="F3787" s="7" t="str">
        <x:f>'Calibration Records'!M1328</x:f>
        <x:v>OPEN</x:v>
      </x:c>
    </x:row>
    <x:row r="3788">
      <x:c r="B3788" s="7" t="str">
        <x:v>AG-03782</x:v>
      </x:c>
      <x:c r="C3788" s="7" t="str">
        <x:v>PEA-B-Y1</x:v>
      </x:c>
      <x:c r="D3788" s="7" t="str">
        <x:v>factory calibration</x:v>
      </x:c>
      <x:c r="E3788" s="7" t="str">
        <x:v>CAL-CH-PEA-B-Y1-05-3</x:v>
      </x:c>
      <x:c r="F3788" s="7" t="str">
        <x:f>'Calibration Records'!M1329</x:f>
        <x:v>OPEN</x:v>
      </x:c>
    </x:row>
    <x:row r="3789">
      <x:c r="B3789" s="7" t="str">
        <x:v>AG-03783</x:v>
      </x:c>
      <x:c r="C3789" s="7" t="str">
        <x:v>PEA-B-Y1</x:v>
      </x:c>
      <x:c r="D3789" s="7" t="str">
        <x:v>factory calibration</x:v>
      </x:c>
      <x:c r="E3789" s="7" t="str">
        <x:v>CAL-CH-PEA-B-Y1-05-4</x:v>
      </x:c>
      <x:c r="F3789" s="7" t="str">
        <x:f>'Calibration Records'!M1330</x:f>
        <x:v>OPEN</x:v>
      </x:c>
    </x:row>
    <x:row r="3790">
      <x:c r="B3790" s="7" t="str">
        <x:v>AG-03784</x:v>
      </x:c>
      <x:c r="C3790" s="7" t="str">
        <x:v>PEA-B-Y1</x:v>
      </x:c>
      <x:c r="D3790" s="7" t="str">
        <x:v>factory calibration</x:v>
      </x:c>
      <x:c r="E3790" s="7" t="str">
        <x:v>CAL-CH-PEA-B-Y1-05-5</x:v>
      </x:c>
      <x:c r="F3790" s="7" t="str">
        <x:f>'Calibration Records'!M1331</x:f>
        <x:v>OPEN</x:v>
      </x:c>
    </x:row>
    <x:row r="3791">
      <x:c r="B3791" s="7" t="str">
        <x:v>AG-03785</x:v>
      </x:c>
      <x:c r="C3791" s="7" t="str">
        <x:v>PEA-B-Y1</x:v>
      </x:c>
      <x:c r="D3791" s="7" t="str">
        <x:v>factory calibration</x:v>
      </x:c>
      <x:c r="E3791" s="7" t="str">
        <x:v>CAL-CH-PEA-B-Y1-05-6</x:v>
      </x:c>
      <x:c r="F3791" s="7" t="str">
        <x:f>'Calibration Records'!M1332</x:f>
        <x:v>OPEN</x:v>
      </x:c>
    </x:row>
    <x:row r="3792">
      <x:c r="B3792" s="7" t="str">
        <x:v>AG-03786</x:v>
      </x:c>
      <x:c r="C3792" s="7" t="str">
        <x:v>PEA-B-Y1</x:v>
      </x:c>
      <x:c r="D3792" s="7" t="str">
        <x:v>factory calibration</x:v>
      </x:c>
      <x:c r="E3792" s="7" t="str">
        <x:v>CAL-CH-PEA-B-Y1-06-1</x:v>
      </x:c>
      <x:c r="F3792" s="7" t="str">
        <x:f>'Calibration Records'!M1333</x:f>
        <x:v>OPEN</x:v>
      </x:c>
    </x:row>
    <x:row r="3793">
      <x:c r="B3793" s="7" t="str">
        <x:v>AG-03787</x:v>
      </x:c>
      <x:c r="C3793" s="7" t="str">
        <x:v>PEA-B-Y1</x:v>
      </x:c>
      <x:c r="D3793" s="7" t="str">
        <x:v>factory calibration</x:v>
      </x:c>
      <x:c r="E3793" s="7" t="str">
        <x:v>CAL-CH-PEA-B-Y1-06-2</x:v>
      </x:c>
      <x:c r="F3793" s="7" t="str">
        <x:f>'Calibration Records'!M1334</x:f>
        <x:v>OPEN</x:v>
      </x:c>
    </x:row>
    <x:row r="3794">
      <x:c r="B3794" s="7" t="str">
        <x:v>AG-03788</x:v>
      </x:c>
      <x:c r="C3794" s="7" t="str">
        <x:v>PEA-B-Y1</x:v>
      </x:c>
      <x:c r="D3794" s="7" t="str">
        <x:v>factory calibration</x:v>
      </x:c>
      <x:c r="E3794" s="7" t="str">
        <x:v>CAL-CH-PEA-B-Y1-06-3</x:v>
      </x:c>
      <x:c r="F3794" s="7" t="str">
        <x:f>'Calibration Records'!M1335</x:f>
        <x:v>OPEN</x:v>
      </x:c>
    </x:row>
    <x:row r="3795">
      <x:c r="B3795" s="7" t="str">
        <x:v>AG-03789</x:v>
      </x:c>
      <x:c r="C3795" s="7" t="str">
        <x:v>PEA-B-Y1</x:v>
      </x:c>
      <x:c r="D3795" s="7" t="str">
        <x:v>factory calibration</x:v>
      </x:c>
      <x:c r="E3795" s="7" t="str">
        <x:v>CAL-CH-PEA-B-Y1-06-4</x:v>
      </x:c>
      <x:c r="F3795" s="7" t="str">
        <x:f>'Calibration Records'!M1336</x:f>
        <x:v>OPEN</x:v>
      </x:c>
    </x:row>
    <x:row r="3796">
      <x:c r="B3796" s="7" t="str">
        <x:v>AG-03790</x:v>
      </x:c>
      <x:c r="C3796" s="7" t="str">
        <x:v>PEA-B-Y1</x:v>
      </x:c>
      <x:c r="D3796" s="7" t="str">
        <x:v>factory calibration</x:v>
      </x:c>
      <x:c r="E3796" s="7" t="str">
        <x:v>CAL-CH-PEA-B-Y1-06-5</x:v>
      </x:c>
      <x:c r="F3796" s="7" t="str">
        <x:f>'Calibration Records'!M1337</x:f>
        <x:v>OPEN</x:v>
      </x:c>
    </x:row>
    <x:row r="3797">
      <x:c r="B3797" s="7" t="str">
        <x:v>AG-03791</x:v>
      </x:c>
      <x:c r="C3797" s="7" t="str">
        <x:v>PEA-B-Y1</x:v>
      </x:c>
      <x:c r="D3797" s="7" t="str">
        <x:v>factory calibration</x:v>
      </x:c>
      <x:c r="E3797" s="7" t="str">
        <x:v>CAL-CH-PEA-B-Y1-06-6</x:v>
      </x:c>
      <x:c r="F3797" s="7" t="str">
        <x:f>'Calibration Records'!M1338</x:f>
        <x:v>OPEN</x:v>
      </x:c>
    </x:row>
    <x:row r="3798">
      <x:c r="B3798" s="7" t="str">
        <x:v>AG-03792</x:v>
      </x:c>
      <x:c r="C3798" s="7" t="str">
        <x:v>PEA-B-Y1</x:v>
      </x:c>
      <x:c r="D3798" s="7" t="str">
        <x:v>factory calibration</x:v>
      </x:c>
      <x:c r="E3798" s="7" t="str">
        <x:v>CAL-CH-PEA-B-Y1-07-1</x:v>
      </x:c>
      <x:c r="F3798" s="7" t="str">
        <x:f>'Calibration Records'!M1339</x:f>
        <x:v>OPEN</x:v>
      </x:c>
    </x:row>
    <x:row r="3799">
      <x:c r="B3799" s="7" t="str">
        <x:v>AG-03793</x:v>
      </x:c>
      <x:c r="C3799" s="7" t="str">
        <x:v>PEA-B-Y1</x:v>
      </x:c>
      <x:c r="D3799" s="7" t="str">
        <x:v>factory calibration</x:v>
      </x:c>
      <x:c r="E3799" s="7" t="str">
        <x:v>CAL-CH-PEA-B-Y1-07-2</x:v>
      </x:c>
      <x:c r="F3799" s="7" t="str">
        <x:f>'Calibration Records'!M1340</x:f>
        <x:v>OPEN</x:v>
      </x:c>
    </x:row>
    <x:row r="3800">
      <x:c r="B3800" s="7" t="str">
        <x:v>AG-03794</x:v>
      </x:c>
      <x:c r="C3800" s="7" t="str">
        <x:v>PEA-B-Y1</x:v>
      </x:c>
      <x:c r="D3800" s="7" t="str">
        <x:v>factory calibration</x:v>
      </x:c>
      <x:c r="E3800" s="7" t="str">
        <x:v>CAL-CH-PEA-B-Y1-07-3</x:v>
      </x:c>
      <x:c r="F3800" s="7" t="str">
        <x:f>'Calibration Records'!M1341</x:f>
        <x:v>OPEN</x:v>
      </x:c>
    </x:row>
    <x:row r="3801">
      <x:c r="B3801" s="7" t="str">
        <x:v>AG-03795</x:v>
      </x:c>
      <x:c r="C3801" s="7" t="str">
        <x:v>PEA-B-Y1</x:v>
      </x:c>
      <x:c r="D3801" s="7" t="str">
        <x:v>factory calibration</x:v>
      </x:c>
      <x:c r="E3801" s="7" t="str">
        <x:v>CAL-CH-PEA-B-Y1-07-4</x:v>
      </x:c>
      <x:c r="F3801" s="7" t="str">
        <x:f>'Calibration Records'!M1342</x:f>
        <x:v>OPEN</x:v>
      </x:c>
    </x:row>
    <x:row r="3802">
      <x:c r="B3802" s="7" t="str">
        <x:v>AG-03796</x:v>
      </x:c>
      <x:c r="C3802" s="7" t="str">
        <x:v>PEA-B-Y1</x:v>
      </x:c>
      <x:c r="D3802" s="7" t="str">
        <x:v>factory calibration</x:v>
      </x:c>
      <x:c r="E3802" s="7" t="str">
        <x:v>CAL-CH-PEA-B-Y1-07-5</x:v>
      </x:c>
      <x:c r="F3802" s="7" t="str">
        <x:f>'Calibration Records'!M1343</x:f>
        <x:v>OPEN</x:v>
      </x:c>
    </x:row>
    <x:row r="3803">
      <x:c r="B3803" s="7" t="str">
        <x:v>AG-03797</x:v>
      </x:c>
      <x:c r="C3803" s="7" t="str">
        <x:v>PEA-B-Y1</x:v>
      </x:c>
      <x:c r="D3803" s="7" t="str">
        <x:v>factory calibration</x:v>
      </x:c>
      <x:c r="E3803" s="7" t="str">
        <x:v>CAL-CH-PEA-B-Y1-07-6</x:v>
      </x:c>
      <x:c r="F3803" s="7" t="str">
        <x:f>'Calibration Records'!M1344</x:f>
        <x:v>OPEN</x:v>
      </x:c>
    </x:row>
    <x:row r="3804">
      <x:c r="B3804" s="7" t="str">
        <x:v>AG-03798</x:v>
      </x:c>
      <x:c r="C3804" s="7" t="str">
        <x:v>PEA-B-Y1</x:v>
      </x:c>
      <x:c r="D3804" s="7" t="str">
        <x:v>factory calibration</x:v>
      </x:c>
      <x:c r="E3804" s="7" t="str">
        <x:v>CAL-CH-PEA-B-Y1-08-1</x:v>
      </x:c>
      <x:c r="F3804" s="7" t="str">
        <x:f>'Calibration Records'!M1345</x:f>
        <x:v>OPEN</x:v>
      </x:c>
    </x:row>
    <x:row r="3805">
      <x:c r="B3805" s="7" t="str">
        <x:v>AG-03799</x:v>
      </x:c>
      <x:c r="C3805" s="7" t="str">
        <x:v>PEA-B-Y1</x:v>
      </x:c>
      <x:c r="D3805" s="7" t="str">
        <x:v>factory calibration</x:v>
      </x:c>
      <x:c r="E3805" s="7" t="str">
        <x:v>CAL-CH-PEA-B-Y1-08-2</x:v>
      </x:c>
      <x:c r="F3805" s="7" t="str">
        <x:f>'Calibration Records'!M1346</x:f>
        <x:v>OPEN</x:v>
      </x:c>
    </x:row>
    <x:row r="3806">
      <x:c r="B3806" s="7" t="str">
        <x:v>AG-03800</x:v>
      </x:c>
      <x:c r="C3806" s="7" t="str">
        <x:v>PEA-B-Y1</x:v>
      </x:c>
      <x:c r="D3806" s="7" t="str">
        <x:v>factory calibration</x:v>
      </x:c>
      <x:c r="E3806" s="7" t="str">
        <x:v>CAL-CH-PEA-B-Y1-08-3</x:v>
      </x:c>
      <x:c r="F3806" s="7" t="str">
        <x:f>'Calibration Records'!M1347</x:f>
        <x:v>OPEN</x:v>
      </x:c>
    </x:row>
    <x:row r="3807">
      <x:c r="B3807" s="7" t="str">
        <x:v>AG-03801</x:v>
      </x:c>
      <x:c r="C3807" s="7" t="str">
        <x:v>PEA-B-Y1</x:v>
      </x:c>
      <x:c r="D3807" s="7" t="str">
        <x:v>factory calibration</x:v>
      </x:c>
      <x:c r="E3807" s="7" t="str">
        <x:v>CAL-CH-PEA-B-Y1-08-4</x:v>
      </x:c>
      <x:c r="F3807" s="7" t="str">
        <x:f>'Calibration Records'!M1348</x:f>
        <x:v>OPEN</x:v>
      </x:c>
    </x:row>
    <x:row r="3808">
      <x:c r="B3808" s="7" t="str">
        <x:v>AG-03802</x:v>
      </x:c>
      <x:c r="C3808" s="7" t="str">
        <x:v>PEA-B-Y1</x:v>
      </x:c>
      <x:c r="D3808" s="7" t="str">
        <x:v>factory calibration</x:v>
      </x:c>
      <x:c r="E3808" s="7" t="str">
        <x:v>CAL-CH-PEA-B-Y1-08-5</x:v>
      </x:c>
      <x:c r="F3808" s="7" t="str">
        <x:f>'Calibration Records'!M1349</x:f>
        <x:v>OPEN</x:v>
      </x:c>
    </x:row>
    <x:row r="3809">
      <x:c r="B3809" s="7" t="str">
        <x:v>AG-03803</x:v>
      </x:c>
      <x:c r="C3809" s="7" t="str">
        <x:v>PEA-B-Y1</x:v>
      </x:c>
      <x:c r="D3809" s="7" t="str">
        <x:v>factory calibration</x:v>
      </x:c>
      <x:c r="E3809" s="7" t="str">
        <x:v>CAL-CH-PEA-B-Y1-08-6</x:v>
      </x:c>
      <x:c r="F3809" s="7" t="str">
        <x:f>'Calibration Records'!M1350</x:f>
        <x:v>OPEN</x:v>
      </x:c>
    </x:row>
    <x:row r="3810">
      <x:c r="B3810" s="7" t="str">
        <x:v>AG-03804</x:v>
      </x:c>
      <x:c r="C3810" s="7" t="str">
        <x:v>PEA-B-Y1</x:v>
      </x:c>
      <x:c r="D3810" s="7" t="str">
        <x:v>factory calibration</x:v>
      </x:c>
      <x:c r="E3810" s="7" t="str">
        <x:v>CAL-CH-PEA-B-Y1-09-1</x:v>
      </x:c>
      <x:c r="F3810" s="7" t="str">
        <x:f>'Calibration Records'!M1351</x:f>
        <x:v>OPEN</x:v>
      </x:c>
    </x:row>
    <x:row r="3811">
      <x:c r="B3811" s="7" t="str">
        <x:v>AG-03805</x:v>
      </x:c>
      <x:c r="C3811" s="7" t="str">
        <x:v>PEA-B-Y1</x:v>
      </x:c>
      <x:c r="D3811" s="7" t="str">
        <x:v>factory calibration</x:v>
      </x:c>
      <x:c r="E3811" s="7" t="str">
        <x:v>CAL-CH-PEA-B-Y1-09-2</x:v>
      </x:c>
      <x:c r="F3811" s="7" t="str">
        <x:f>'Calibration Records'!M1352</x:f>
        <x:v>OPEN</x:v>
      </x:c>
    </x:row>
    <x:row r="3812">
      <x:c r="B3812" s="7" t="str">
        <x:v>AG-03806</x:v>
      </x:c>
      <x:c r="C3812" s="7" t="str">
        <x:v>PEA-B-Y1</x:v>
      </x:c>
      <x:c r="D3812" s="7" t="str">
        <x:v>factory calibration</x:v>
      </x:c>
      <x:c r="E3812" s="7" t="str">
        <x:v>CAL-CH-PEA-B-Y1-09-3</x:v>
      </x:c>
      <x:c r="F3812" s="7" t="str">
        <x:f>'Calibration Records'!M1353</x:f>
        <x:v>OPEN</x:v>
      </x:c>
    </x:row>
    <x:row r="3813">
      <x:c r="B3813" s="7" t="str">
        <x:v>AG-03807</x:v>
      </x:c>
      <x:c r="C3813" s="7" t="str">
        <x:v>PEA-B-Y1</x:v>
      </x:c>
      <x:c r="D3813" s="7" t="str">
        <x:v>factory calibration</x:v>
      </x:c>
      <x:c r="E3813" s="7" t="str">
        <x:v>CAL-CH-PEA-B-Y1-09-4</x:v>
      </x:c>
      <x:c r="F3813" s="7" t="str">
        <x:f>'Calibration Records'!M1354</x:f>
        <x:v>OPEN</x:v>
      </x:c>
    </x:row>
    <x:row r="3814">
      <x:c r="B3814" s="7" t="str">
        <x:v>AG-03808</x:v>
      </x:c>
      <x:c r="C3814" s="7" t="str">
        <x:v>PEA-B-Y1</x:v>
      </x:c>
      <x:c r="D3814" s="7" t="str">
        <x:v>factory calibration</x:v>
      </x:c>
      <x:c r="E3814" s="7" t="str">
        <x:v>CAL-CH-PEA-B-Y1-09-5</x:v>
      </x:c>
      <x:c r="F3814" s="7" t="str">
        <x:f>'Calibration Records'!M1355</x:f>
        <x:v>OPEN</x:v>
      </x:c>
    </x:row>
    <x:row r="3815">
      <x:c r="B3815" s="7" t="str">
        <x:v>AG-03809</x:v>
      </x:c>
      <x:c r="C3815" s="7" t="str">
        <x:v>PEA-B-Y1</x:v>
      </x:c>
      <x:c r="D3815" s="7" t="str">
        <x:v>factory calibration</x:v>
      </x:c>
      <x:c r="E3815" s="7" t="str">
        <x:v>CAL-CH-PEA-B-Y1-09-6</x:v>
      </x:c>
      <x:c r="F3815" s="7" t="str">
        <x:f>'Calibration Records'!M1356</x:f>
        <x:v>OPEN</x:v>
      </x:c>
    </x:row>
    <x:row r="3816">
      <x:c r="B3816" s="7" t="str">
        <x:v>AG-03810</x:v>
      </x:c>
      <x:c r="C3816" s="7" t="str">
        <x:v>PEA-B-Y1</x:v>
      </x:c>
      <x:c r="D3816" s="7" t="str">
        <x:v>factory calibration</x:v>
      </x:c>
      <x:c r="E3816" s="7" t="str">
        <x:v>CAL-CH-PEA-B-Y1-10-1</x:v>
      </x:c>
      <x:c r="F3816" s="7" t="str">
        <x:f>'Calibration Records'!M1357</x:f>
        <x:v>OPEN</x:v>
      </x:c>
    </x:row>
    <x:row r="3817">
      <x:c r="B3817" s="7" t="str">
        <x:v>AG-03811</x:v>
      </x:c>
      <x:c r="C3817" s="7" t="str">
        <x:v>PEA-B-Y1</x:v>
      </x:c>
      <x:c r="D3817" s="7" t="str">
        <x:v>factory calibration</x:v>
      </x:c>
      <x:c r="E3817" s="7" t="str">
        <x:v>CAL-CH-PEA-B-Y1-10-2</x:v>
      </x:c>
      <x:c r="F3817" s="7" t="str">
        <x:f>'Calibration Records'!M1358</x:f>
        <x:v>OPEN</x:v>
      </x:c>
    </x:row>
    <x:row r="3818">
      <x:c r="B3818" s="7" t="str">
        <x:v>AG-03812</x:v>
      </x:c>
      <x:c r="C3818" s="7" t="str">
        <x:v>PEA-B-Y1</x:v>
      </x:c>
      <x:c r="D3818" s="7" t="str">
        <x:v>factory calibration</x:v>
      </x:c>
      <x:c r="E3818" s="7" t="str">
        <x:v>CAL-CH-PEA-B-Y1-10-3</x:v>
      </x:c>
      <x:c r="F3818" s="7" t="str">
        <x:f>'Calibration Records'!M1359</x:f>
        <x:v>OPEN</x:v>
      </x:c>
    </x:row>
    <x:row r="3819">
      <x:c r="B3819" s="7" t="str">
        <x:v>AG-03813</x:v>
      </x:c>
      <x:c r="C3819" s="7" t="str">
        <x:v>PEA-B-Y1</x:v>
      </x:c>
      <x:c r="D3819" s="7" t="str">
        <x:v>factory calibration</x:v>
      </x:c>
      <x:c r="E3819" s="7" t="str">
        <x:v>CAL-CH-PEA-B-Y1-10-4</x:v>
      </x:c>
      <x:c r="F3819" s="7" t="str">
        <x:f>'Calibration Records'!M1360</x:f>
        <x:v>OPEN</x:v>
      </x:c>
    </x:row>
    <x:row r="3820">
      <x:c r="B3820" s="7" t="str">
        <x:v>AG-03814</x:v>
      </x:c>
      <x:c r="C3820" s="7" t="str">
        <x:v>PEA-B-Y1</x:v>
      </x:c>
      <x:c r="D3820" s="7" t="str">
        <x:v>factory calibration</x:v>
      </x:c>
      <x:c r="E3820" s="7" t="str">
        <x:v>CAL-CH-PEA-B-Y1-10-5</x:v>
      </x:c>
      <x:c r="F3820" s="7" t="str">
        <x:f>'Calibration Records'!M1361</x:f>
        <x:v>OPEN</x:v>
      </x:c>
    </x:row>
    <x:row r="3821">
      <x:c r="B3821" s="7" t="str">
        <x:v>AG-03815</x:v>
      </x:c>
      <x:c r="C3821" s="7" t="str">
        <x:v>PEA-B-Y1</x:v>
      </x:c>
      <x:c r="D3821" s="7" t="str">
        <x:v>factory calibration</x:v>
      </x:c>
      <x:c r="E3821" s="7" t="str">
        <x:v>CAL-CH-PEA-B-Y1-10-6</x:v>
      </x:c>
      <x:c r="F3821" s="7" t="str">
        <x:f>'Calibration Records'!M1362</x:f>
        <x:v>OPEN</x:v>
      </x:c>
    </x:row>
    <x:row r="3822">
      <x:c r="B3822" s="7" t="str">
        <x:v>AG-03816</x:v>
      </x:c>
      <x:c r="C3822" s="7" t="str">
        <x:v>PEA-B-Y1</x:v>
      </x:c>
      <x:c r="D3822" s="7" t="str">
        <x:v>factory calibration</x:v>
      </x:c>
      <x:c r="E3822" s="7" t="str">
        <x:v>CAL-CH-PEA-B-Y1-11-1</x:v>
      </x:c>
      <x:c r="F3822" s="7" t="str">
        <x:f>'Calibration Records'!M1363</x:f>
        <x:v>OPEN</x:v>
      </x:c>
    </x:row>
    <x:row r="3823">
      <x:c r="B3823" s="7" t="str">
        <x:v>AG-03817</x:v>
      </x:c>
      <x:c r="C3823" s="7" t="str">
        <x:v>PEA-B-Y1</x:v>
      </x:c>
      <x:c r="D3823" s="7" t="str">
        <x:v>factory calibration</x:v>
      </x:c>
      <x:c r="E3823" s="7" t="str">
        <x:v>CAL-CH-PEA-B-Y1-11-2</x:v>
      </x:c>
      <x:c r="F3823" s="7" t="str">
        <x:f>'Calibration Records'!M1364</x:f>
        <x:v>OPEN</x:v>
      </x:c>
    </x:row>
    <x:row r="3824">
      <x:c r="B3824" s="7" t="str">
        <x:v>AG-03818</x:v>
      </x:c>
      <x:c r="C3824" s="7" t="str">
        <x:v>PEA-B-Y1</x:v>
      </x:c>
      <x:c r="D3824" s="7" t="str">
        <x:v>factory calibration</x:v>
      </x:c>
      <x:c r="E3824" s="7" t="str">
        <x:v>CAL-CH-PEA-B-Y1-11-3</x:v>
      </x:c>
      <x:c r="F3824" s="7" t="str">
        <x:f>'Calibration Records'!M1365</x:f>
        <x:v>OPEN</x:v>
      </x:c>
    </x:row>
    <x:row r="3825">
      <x:c r="B3825" s="7" t="str">
        <x:v>AG-03819</x:v>
      </x:c>
      <x:c r="C3825" s="7" t="str">
        <x:v>PEA-B-Y1</x:v>
      </x:c>
      <x:c r="D3825" s="7" t="str">
        <x:v>factory calibration</x:v>
      </x:c>
      <x:c r="E3825" s="7" t="str">
        <x:v>CAL-CH-PEA-B-Y1-11-4</x:v>
      </x:c>
      <x:c r="F3825" s="7" t="str">
        <x:f>'Calibration Records'!M1366</x:f>
        <x:v>OPEN</x:v>
      </x:c>
    </x:row>
    <x:row r="3826">
      <x:c r="B3826" s="7" t="str">
        <x:v>AG-03820</x:v>
      </x:c>
      <x:c r="C3826" s="7" t="str">
        <x:v>PEA-B-Y1</x:v>
      </x:c>
      <x:c r="D3826" s="7" t="str">
        <x:v>factory calibration</x:v>
      </x:c>
      <x:c r="E3826" s="7" t="str">
        <x:v>CAL-CH-PEA-B-Y1-11-5</x:v>
      </x:c>
      <x:c r="F3826" s="7" t="str">
        <x:f>'Calibration Records'!M1367</x:f>
        <x:v>OPEN</x:v>
      </x:c>
    </x:row>
    <x:row r="3827">
      <x:c r="B3827" s="7" t="str">
        <x:v>AG-03821</x:v>
      </x:c>
      <x:c r="C3827" s="7" t="str">
        <x:v>PEA-B-Y1</x:v>
      </x:c>
      <x:c r="D3827" s="7" t="str">
        <x:v>factory calibration</x:v>
      </x:c>
      <x:c r="E3827" s="7" t="str">
        <x:v>CAL-CH-PEA-B-Y1-11-6</x:v>
      </x:c>
      <x:c r="F3827" s="7" t="str">
        <x:f>'Calibration Records'!M1368</x:f>
        <x:v>OPEN</x:v>
      </x:c>
    </x:row>
    <x:row r="3828">
      <x:c r="B3828" s="7" t="str">
        <x:v>AG-03822</x:v>
      </x:c>
      <x:c r="C3828" s="7" t="str">
        <x:v>PEA-B-Y1</x:v>
      </x:c>
      <x:c r="D3828" s="7" t="str">
        <x:v>factory calibration</x:v>
      </x:c>
      <x:c r="E3828" s="7" t="str">
        <x:v>CAL-CH-PEA-B-Y1-12-1</x:v>
      </x:c>
      <x:c r="F3828" s="7" t="str">
        <x:f>'Calibration Records'!M1369</x:f>
        <x:v>OPEN</x:v>
      </x:c>
    </x:row>
    <x:row r="3829">
      <x:c r="B3829" s="7" t="str">
        <x:v>AG-03823</x:v>
      </x:c>
      <x:c r="C3829" s="7" t="str">
        <x:v>PEA-B-Y1</x:v>
      </x:c>
      <x:c r="D3829" s="7" t="str">
        <x:v>factory calibration</x:v>
      </x:c>
      <x:c r="E3829" s="7" t="str">
        <x:v>CAL-CH-PEA-B-Y1-12-2</x:v>
      </x:c>
      <x:c r="F3829" s="7" t="str">
        <x:f>'Calibration Records'!M1370</x:f>
        <x:v>OPEN</x:v>
      </x:c>
    </x:row>
    <x:row r="3830">
      <x:c r="B3830" s="7" t="str">
        <x:v>AG-03824</x:v>
      </x:c>
      <x:c r="C3830" s="7" t="str">
        <x:v>PEA-B-Y1</x:v>
      </x:c>
      <x:c r="D3830" s="7" t="str">
        <x:v>factory calibration</x:v>
      </x:c>
      <x:c r="E3830" s="7" t="str">
        <x:v>CAL-CH-PEA-B-Y1-12-3</x:v>
      </x:c>
      <x:c r="F3830" s="7" t="str">
        <x:f>'Calibration Records'!M1371</x:f>
        <x:v>OPEN</x:v>
      </x:c>
    </x:row>
    <x:row r="3831">
      <x:c r="B3831" s="7" t="str">
        <x:v>AG-03825</x:v>
      </x:c>
      <x:c r="C3831" s="7" t="str">
        <x:v>PEA-B-Y1</x:v>
      </x:c>
      <x:c r="D3831" s="7" t="str">
        <x:v>factory calibration</x:v>
      </x:c>
      <x:c r="E3831" s="7" t="str">
        <x:v>CAL-CH-PEA-B-Y1-12-4</x:v>
      </x:c>
      <x:c r="F3831" s="7" t="str">
        <x:f>'Calibration Records'!M1372</x:f>
        <x:v>OPEN</x:v>
      </x:c>
    </x:row>
    <x:row r="3832">
      <x:c r="B3832" s="7" t="str">
        <x:v>AG-03826</x:v>
      </x:c>
      <x:c r="C3832" s="7" t="str">
        <x:v>PEA-B-Y1</x:v>
      </x:c>
      <x:c r="D3832" s="7" t="str">
        <x:v>factory calibration</x:v>
      </x:c>
      <x:c r="E3832" s="7" t="str">
        <x:v>CAL-CH-PEA-B-Y1-12-5</x:v>
      </x:c>
      <x:c r="F3832" s="7" t="str">
        <x:f>'Calibration Records'!M1373</x:f>
        <x:v>OPEN</x:v>
      </x:c>
    </x:row>
    <x:row r="3833">
      <x:c r="B3833" s="7" t="str">
        <x:v>AG-03827</x:v>
      </x:c>
      <x:c r="C3833" s="7" t="str">
        <x:v>PEA-B-Y1</x:v>
      </x:c>
      <x:c r="D3833" s="7" t="str">
        <x:v>factory calibration</x:v>
      </x:c>
      <x:c r="E3833" s="7" t="str">
        <x:v>CAL-CH-PEA-B-Y1-12-6</x:v>
      </x:c>
      <x:c r="F3833" s="7" t="str">
        <x:f>'Calibration Records'!M1374</x:f>
        <x:v>OPEN</x:v>
      </x:c>
    </x:row>
    <x:row r="3834">
      <x:c r="B3834" s="7" t="str">
        <x:v>AG-03828</x:v>
      </x:c>
      <x:c r="C3834" s="7" t="str">
        <x:v>PEA-B-Y1</x:v>
      </x:c>
      <x:c r="D3834" s="7" t="str">
        <x:v>factory calibration</x:v>
      </x:c>
      <x:c r="E3834" s="7" t="str">
        <x:v>CAL-CH-PEA-B-Y1-13-1</x:v>
      </x:c>
      <x:c r="F3834" s="7" t="str">
        <x:f>'Calibration Records'!M1375</x:f>
        <x:v>OPEN</x:v>
      </x:c>
    </x:row>
    <x:row r="3835">
      <x:c r="B3835" s="7" t="str">
        <x:v>AG-03829</x:v>
      </x:c>
      <x:c r="C3835" s="7" t="str">
        <x:v>PEA-B-Y1</x:v>
      </x:c>
      <x:c r="D3835" s="7" t="str">
        <x:v>factory calibration</x:v>
      </x:c>
      <x:c r="E3835" s="7" t="str">
        <x:v>CAL-CH-PEA-B-Y1-13-2</x:v>
      </x:c>
      <x:c r="F3835" s="7" t="str">
        <x:f>'Calibration Records'!M1376</x:f>
        <x:v>OPEN</x:v>
      </x:c>
    </x:row>
    <x:row r="3836">
      <x:c r="B3836" s="7" t="str">
        <x:v>AG-03830</x:v>
      </x:c>
      <x:c r="C3836" s="7" t="str">
        <x:v>PEA-B-Y1</x:v>
      </x:c>
      <x:c r="D3836" s="7" t="str">
        <x:v>factory calibration</x:v>
      </x:c>
      <x:c r="E3836" s="7" t="str">
        <x:v>CAL-CH-PEA-B-Y1-13-3</x:v>
      </x:c>
      <x:c r="F3836" s="7" t="str">
        <x:f>'Calibration Records'!M1377</x:f>
        <x:v>OPEN</x:v>
      </x:c>
    </x:row>
    <x:row r="3837">
      <x:c r="B3837" s="7" t="str">
        <x:v>AG-03831</x:v>
      </x:c>
      <x:c r="C3837" s="7" t="str">
        <x:v>PEA-B-Y1</x:v>
      </x:c>
      <x:c r="D3837" s="7" t="str">
        <x:v>factory calibration</x:v>
      </x:c>
      <x:c r="E3837" s="7" t="str">
        <x:v>CAL-CH-PEA-B-Y1-13-4</x:v>
      </x:c>
      <x:c r="F3837" s="7" t="str">
        <x:f>'Calibration Records'!M1378</x:f>
        <x:v>OPEN</x:v>
      </x:c>
    </x:row>
    <x:row r="3838">
      <x:c r="B3838" s="7" t="str">
        <x:v>AG-03832</x:v>
      </x:c>
      <x:c r="C3838" s="7" t="str">
        <x:v>PEA-B-Y1</x:v>
      </x:c>
      <x:c r="D3838" s="7" t="str">
        <x:v>factory calibration</x:v>
      </x:c>
      <x:c r="E3838" s="7" t="str">
        <x:v>CAL-CH-PEA-B-Y1-13-5</x:v>
      </x:c>
      <x:c r="F3838" s="7" t="str">
        <x:f>'Calibration Records'!M1379</x:f>
        <x:v>OPEN</x:v>
      </x:c>
    </x:row>
    <x:row r="3839">
      <x:c r="B3839" s="7" t="str">
        <x:v>AG-03833</x:v>
      </x:c>
      <x:c r="C3839" s="7" t="str">
        <x:v>PEA-B-Y1</x:v>
      </x:c>
      <x:c r="D3839" s="7" t="str">
        <x:v>factory calibration</x:v>
      </x:c>
      <x:c r="E3839" s="7" t="str">
        <x:v>CAL-CH-PEA-B-Y1-13-6</x:v>
      </x:c>
      <x:c r="F3839" s="7" t="str">
        <x:f>'Calibration Records'!M1380</x:f>
        <x:v>OPEN</x:v>
      </x:c>
    </x:row>
    <x:row r="3840">
      <x:c r="B3840" s="7" t="str">
        <x:v>AG-03834</x:v>
      </x:c>
      <x:c r="C3840" s="7" t="str">
        <x:v>PEA-B-Y1</x:v>
      </x:c>
      <x:c r="D3840" s="7" t="str">
        <x:v>factory calibration</x:v>
      </x:c>
      <x:c r="E3840" s="7" t="str">
        <x:v>CAL-CH-PEA-B-Y1-14-1</x:v>
      </x:c>
      <x:c r="F3840" s="7" t="str">
        <x:f>'Calibration Records'!M1381</x:f>
        <x:v>OPEN</x:v>
      </x:c>
    </x:row>
    <x:row r="3841">
      <x:c r="B3841" s="7" t="str">
        <x:v>AG-03835</x:v>
      </x:c>
      <x:c r="C3841" s="7" t="str">
        <x:v>PEA-B-Y1</x:v>
      </x:c>
      <x:c r="D3841" s="7" t="str">
        <x:v>factory calibration</x:v>
      </x:c>
      <x:c r="E3841" s="7" t="str">
        <x:v>CAL-CH-PEA-B-Y1-14-2</x:v>
      </x:c>
      <x:c r="F3841" s="7" t="str">
        <x:f>'Calibration Records'!M1382</x:f>
        <x:v>OPEN</x:v>
      </x:c>
    </x:row>
    <x:row r="3842">
      <x:c r="B3842" s="7" t="str">
        <x:v>AG-03836</x:v>
      </x:c>
      <x:c r="C3842" s="7" t="str">
        <x:v>PEA-B-Y1</x:v>
      </x:c>
      <x:c r="D3842" s="7" t="str">
        <x:v>factory calibration</x:v>
      </x:c>
      <x:c r="E3842" s="7" t="str">
        <x:v>CAL-CH-PEA-B-Y1-14-3</x:v>
      </x:c>
      <x:c r="F3842" s="7" t="str">
        <x:f>'Calibration Records'!M1383</x:f>
        <x:v>OPEN</x:v>
      </x:c>
    </x:row>
    <x:row r="3843">
      <x:c r="B3843" s="7" t="str">
        <x:v>AG-03837</x:v>
      </x:c>
      <x:c r="C3843" s="7" t="str">
        <x:v>PEA-B-Y1</x:v>
      </x:c>
      <x:c r="D3843" s="7" t="str">
        <x:v>factory calibration</x:v>
      </x:c>
      <x:c r="E3843" s="7" t="str">
        <x:v>CAL-CH-PEA-B-Y1-14-4</x:v>
      </x:c>
      <x:c r="F3843" s="7" t="str">
        <x:f>'Calibration Records'!M1384</x:f>
        <x:v>OPEN</x:v>
      </x:c>
    </x:row>
    <x:row r="3844">
      <x:c r="B3844" s="7" t="str">
        <x:v>AG-03838</x:v>
      </x:c>
      <x:c r="C3844" s="7" t="str">
        <x:v>PEA-B-Y1</x:v>
      </x:c>
      <x:c r="D3844" s="7" t="str">
        <x:v>factory calibration</x:v>
      </x:c>
      <x:c r="E3844" s="7" t="str">
        <x:v>CAL-CH-PEA-B-Y1-14-5</x:v>
      </x:c>
      <x:c r="F3844" s="7" t="str">
        <x:f>'Calibration Records'!M1385</x:f>
        <x:v>OPEN</x:v>
      </x:c>
    </x:row>
    <x:row r="3845">
      <x:c r="B3845" s="7" t="str">
        <x:v>AG-03839</x:v>
      </x:c>
      <x:c r="C3845" s="7" t="str">
        <x:v>PEA-B-Y1</x:v>
      </x:c>
      <x:c r="D3845" s="7" t="str">
        <x:v>factory calibration</x:v>
      </x:c>
      <x:c r="E3845" s="7" t="str">
        <x:v>CAL-CH-PEA-B-Y1-14-6</x:v>
      </x:c>
      <x:c r="F3845" s="7" t="str">
        <x:f>'Calibration Records'!M1386</x:f>
        <x:v>OPEN</x:v>
      </x:c>
    </x:row>
    <x:row r="3846">
      <x:c r="B3846" s="7" t="str">
        <x:v>AG-03840</x:v>
      </x:c>
      <x:c r="C3846" s="7" t="str">
        <x:v>PEA-B-Y1</x:v>
      </x:c>
      <x:c r="D3846" s="7" t="str">
        <x:v>factory calibration</x:v>
      </x:c>
      <x:c r="E3846" s="7" t="str">
        <x:v>CAL-CH-PEA-B-Y1-15-1</x:v>
      </x:c>
      <x:c r="F3846" s="7" t="str">
        <x:f>'Calibration Records'!M1387</x:f>
        <x:v>OPEN</x:v>
      </x:c>
    </x:row>
    <x:row r="3847">
      <x:c r="B3847" s="7" t="str">
        <x:v>AG-03841</x:v>
      </x:c>
      <x:c r="C3847" s="7" t="str">
        <x:v>PEA-B-Y1</x:v>
      </x:c>
      <x:c r="D3847" s="7" t="str">
        <x:v>factory calibration</x:v>
      </x:c>
      <x:c r="E3847" s="7" t="str">
        <x:v>CAL-CH-PEA-B-Y1-15-2</x:v>
      </x:c>
      <x:c r="F3847" s="7" t="str">
        <x:f>'Calibration Records'!M1388</x:f>
        <x:v>OPEN</x:v>
      </x:c>
    </x:row>
    <x:row r="3848">
      <x:c r="B3848" s="7" t="str">
        <x:v>AG-03842</x:v>
      </x:c>
      <x:c r="C3848" s="7" t="str">
        <x:v>PEA-B-Y1</x:v>
      </x:c>
      <x:c r="D3848" s="7" t="str">
        <x:v>factory calibration</x:v>
      </x:c>
      <x:c r="E3848" s="7" t="str">
        <x:v>CAL-CH-PEA-B-Y1-15-3</x:v>
      </x:c>
      <x:c r="F3848" s="7" t="str">
        <x:f>'Calibration Records'!M1389</x:f>
        <x:v>OPEN</x:v>
      </x:c>
    </x:row>
    <x:row r="3849">
      <x:c r="B3849" s="7" t="str">
        <x:v>AG-03843</x:v>
      </x:c>
      <x:c r="C3849" s="7" t="str">
        <x:v>PEA-B-Y1</x:v>
      </x:c>
      <x:c r="D3849" s="7" t="str">
        <x:v>factory calibration</x:v>
      </x:c>
      <x:c r="E3849" s="7" t="str">
        <x:v>CAL-CH-PEA-B-Y1-15-4</x:v>
      </x:c>
      <x:c r="F3849" s="7" t="str">
        <x:f>'Calibration Records'!M1390</x:f>
        <x:v>OPEN</x:v>
      </x:c>
    </x:row>
    <x:row r="3850">
      <x:c r="B3850" s="7" t="str">
        <x:v>AG-03844</x:v>
      </x:c>
      <x:c r="C3850" s="7" t="str">
        <x:v>PEA-B-Y1</x:v>
      </x:c>
      <x:c r="D3850" s="7" t="str">
        <x:v>factory calibration</x:v>
      </x:c>
      <x:c r="E3850" s="7" t="str">
        <x:v>CAL-CH-PEA-B-Y1-15-5</x:v>
      </x:c>
      <x:c r="F3850" s="7" t="str">
        <x:f>'Calibration Records'!M1391</x:f>
        <x:v>OPEN</x:v>
      </x:c>
    </x:row>
    <x:row r="3851">
      <x:c r="B3851" s="7" t="str">
        <x:v>AG-03845</x:v>
      </x:c>
      <x:c r="C3851" s="7" t="str">
        <x:v>PEA-B-Y1</x:v>
      </x:c>
      <x:c r="D3851" s="7" t="str">
        <x:v>factory calibration</x:v>
      </x:c>
      <x:c r="E3851" s="7" t="str">
        <x:v>CAL-CH-PEA-B-Y1-15-6</x:v>
      </x:c>
      <x:c r="F3851" s="7" t="str">
        <x:f>'Calibration Records'!M1392</x:f>
        <x:v>OPEN</x:v>
      </x:c>
    </x:row>
    <x:row r="3852">
      <x:c r="B3852" s="7" t="str">
        <x:v>AG-03846</x:v>
      </x:c>
      <x:c r="C3852" s="7" t="str">
        <x:v>PEA-B-Y1</x:v>
      </x:c>
      <x:c r="D3852" s="7" t="str">
        <x:v>factory calibration</x:v>
      </x:c>
      <x:c r="E3852" s="7" t="str">
        <x:v>CAL-CH-PEA-B-Y1-16-1</x:v>
      </x:c>
      <x:c r="F3852" s="7" t="str">
        <x:f>'Calibration Records'!M1393</x:f>
        <x:v>OPEN</x:v>
      </x:c>
    </x:row>
    <x:row r="3853">
      <x:c r="B3853" s="7" t="str">
        <x:v>AG-03847</x:v>
      </x:c>
      <x:c r="C3853" s="7" t="str">
        <x:v>PEA-B-Y1</x:v>
      </x:c>
      <x:c r="D3853" s="7" t="str">
        <x:v>factory calibration</x:v>
      </x:c>
      <x:c r="E3853" s="7" t="str">
        <x:v>CAL-CH-PEA-B-Y1-16-2</x:v>
      </x:c>
      <x:c r="F3853" s="7" t="str">
        <x:f>'Calibration Records'!M1394</x:f>
        <x:v>OPEN</x:v>
      </x:c>
    </x:row>
    <x:row r="3854">
      <x:c r="B3854" s="7" t="str">
        <x:v>AG-03848</x:v>
      </x:c>
      <x:c r="C3854" s="7" t="str">
        <x:v>PEA-B-Y1</x:v>
      </x:c>
      <x:c r="D3854" s="7" t="str">
        <x:v>factory calibration</x:v>
      </x:c>
      <x:c r="E3854" s="7" t="str">
        <x:v>CAL-CH-PEA-B-Y1-16-3</x:v>
      </x:c>
      <x:c r="F3854" s="7" t="str">
        <x:f>'Calibration Records'!M1395</x:f>
        <x:v>OPEN</x:v>
      </x:c>
    </x:row>
    <x:row r="3855">
      <x:c r="B3855" s="7" t="str">
        <x:v>AG-03849</x:v>
      </x:c>
      <x:c r="C3855" s="7" t="str">
        <x:v>PEA-B-Y1</x:v>
      </x:c>
      <x:c r="D3855" s="7" t="str">
        <x:v>factory calibration</x:v>
      </x:c>
      <x:c r="E3855" s="7" t="str">
        <x:v>CAL-CH-PEA-B-Y1-16-4</x:v>
      </x:c>
      <x:c r="F3855" s="7" t="str">
        <x:f>'Calibration Records'!M1396</x:f>
        <x:v>OPEN</x:v>
      </x:c>
    </x:row>
    <x:row r="3856">
      <x:c r="B3856" s="7" t="str">
        <x:v>AG-03850</x:v>
      </x:c>
      <x:c r="C3856" s="7" t="str">
        <x:v>PEA-B-Y1</x:v>
      </x:c>
      <x:c r="D3856" s="7" t="str">
        <x:v>factory calibration</x:v>
      </x:c>
      <x:c r="E3856" s="7" t="str">
        <x:v>CAL-CH-PEA-B-Y1-16-5</x:v>
      </x:c>
      <x:c r="F3856" s="7" t="str">
        <x:f>'Calibration Records'!M1397</x:f>
        <x:v>OPEN</x:v>
      </x:c>
    </x:row>
    <x:row r="3857">
      <x:c r="B3857" s="7" t="str">
        <x:v>AG-03851</x:v>
      </x:c>
      <x:c r="C3857" s="7" t="str">
        <x:v>PEA-B-Y1</x:v>
      </x:c>
      <x:c r="D3857" s="7" t="str">
        <x:v>factory calibration</x:v>
      </x:c>
      <x:c r="E3857" s="7" t="str">
        <x:v>CAL-CH-PEA-B-Y1-16-6</x:v>
      </x:c>
      <x:c r="F3857" s="7" t="str">
        <x:f>'Calibration Records'!M1398</x:f>
        <x:v>OPEN</x:v>
      </x:c>
    </x:row>
    <x:row r="3858">
      <x:c r="B3858" s="7" t="str">
        <x:v>AG-03852</x:v>
      </x:c>
      <x:c r="C3858" s="7" t="str">
        <x:v>PEA-B-Y1</x:v>
      </x:c>
      <x:c r="D3858" s="7" t="str">
        <x:v>factory calibration</x:v>
      </x:c>
      <x:c r="E3858" s="7" t="str">
        <x:v>CAL-CH-PEA-B-Y1-17-1</x:v>
      </x:c>
      <x:c r="F3858" s="7" t="str">
        <x:f>'Calibration Records'!M1399</x:f>
        <x:v>OPEN</x:v>
      </x:c>
    </x:row>
    <x:row r="3859">
      <x:c r="B3859" s="7" t="str">
        <x:v>AG-03853</x:v>
      </x:c>
      <x:c r="C3859" s="7" t="str">
        <x:v>PEA-B-Y1</x:v>
      </x:c>
      <x:c r="D3859" s="7" t="str">
        <x:v>factory calibration</x:v>
      </x:c>
      <x:c r="E3859" s="7" t="str">
        <x:v>CAL-CH-PEA-B-Y1-17-2</x:v>
      </x:c>
      <x:c r="F3859" s="7" t="str">
        <x:f>'Calibration Records'!M1400</x:f>
        <x:v>OPEN</x:v>
      </x:c>
    </x:row>
    <x:row r="3860">
      <x:c r="B3860" s="7" t="str">
        <x:v>AG-03854</x:v>
      </x:c>
      <x:c r="C3860" s="7" t="str">
        <x:v>PEA-B-Y1</x:v>
      </x:c>
      <x:c r="D3860" s="7" t="str">
        <x:v>factory calibration</x:v>
      </x:c>
      <x:c r="E3860" s="7" t="str">
        <x:v>CAL-CH-PEA-B-Y1-17-3</x:v>
      </x:c>
      <x:c r="F3860" s="7" t="str">
        <x:f>'Calibration Records'!M1401</x:f>
        <x:v>OPEN</x:v>
      </x:c>
    </x:row>
    <x:row r="3861">
      <x:c r="B3861" s="7" t="str">
        <x:v>AG-03855</x:v>
      </x:c>
      <x:c r="C3861" s="7" t="str">
        <x:v>PEA-B-Y1</x:v>
      </x:c>
      <x:c r="D3861" s="7" t="str">
        <x:v>factory calibration</x:v>
      </x:c>
      <x:c r="E3861" s="7" t="str">
        <x:v>CAL-CH-PEA-B-Y1-17-4</x:v>
      </x:c>
      <x:c r="F3861" s="7" t="str">
        <x:f>'Calibration Records'!M1402</x:f>
        <x:v>OPEN</x:v>
      </x:c>
    </x:row>
    <x:row r="3862">
      <x:c r="B3862" s="7" t="str">
        <x:v>AG-03856</x:v>
      </x:c>
      <x:c r="C3862" s="7" t="str">
        <x:v>PEA-B-Y1</x:v>
      </x:c>
      <x:c r="D3862" s="7" t="str">
        <x:v>factory calibration</x:v>
      </x:c>
      <x:c r="E3862" s="7" t="str">
        <x:v>CAL-CH-PEA-B-Y1-17-5</x:v>
      </x:c>
      <x:c r="F3862" s="7" t="str">
        <x:f>'Calibration Records'!M1403</x:f>
        <x:v>OPEN</x:v>
      </x:c>
    </x:row>
    <x:row r="3863">
      <x:c r="B3863" s="7" t="str">
        <x:v>AG-03857</x:v>
      </x:c>
      <x:c r="C3863" s="7" t="str">
        <x:v>PEA-B-Y1</x:v>
      </x:c>
      <x:c r="D3863" s="7" t="str">
        <x:v>factory calibration</x:v>
      </x:c>
      <x:c r="E3863" s="7" t="str">
        <x:v>CAL-CH-PEA-B-Y1-17-6</x:v>
      </x:c>
      <x:c r="F3863" s="7" t="str">
        <x:f>'Calibration Records'!M1404</x:f>
        <x:v>OPEN</x:v>
      </x:c>
    </x:row>
    <x:row r="3864">
      <x:c r="B3864" s="7" t="str">
        <x:v>AG-03858</x:v>
      </x:c>
      <x:c r="C3864" s="7" t="str">
        <x:v>PEA-B-Y1</x:v>
      </x:c>
      <x:c r="D3864" s="7" t="str">
        <x:v>factory calibration</x:v>
      </x:c>
      <x:c r="E3864" s="7" t="str">
        <x:v>CAL-CH-PEA-B-Y1-18-1</x:v>
      </x:c>
      <x:c r="F3864" s="7" t="str">
        <x:f>'Calibration Records'!M1405</x:f>
        <x:v>OPEN</x:v>
      </x:c>
    </x:row>
    <x:row r="3865">
      <x:c r="B3865" s="7" t="str">
        <x:v>AG-03859</x:v>
      </x:c>
      <x:c r="C3865" s="7" t="str">
        <x:v>PEA-B-Y1</x:v>
      </x:c>
      <x:c r="D3865" s="7" t="str">
        <x:v>factory calibration</x:v>
      </x:c>
      <x:c r="E3865" s="7" t="str">
        <x:v>CAL-CH-PEA-B-Y1-18-2</x:v>
      </x:c>
      <x:c r="F3865" s="7" t="str">
        <x:f>'Calibration Records'!M1406</x:f>
        <x:v>OPEN</x:v>
      </x:c>
    </x:row>
    <x:row r="3866">
      <x:c r="B3866" s="7" t="str">
        <x:v>AG-03860</x:v>
      </x:c>
      <x:c r="C3866" s="7" t="str">
        <x:v>PEA-B-Y1</x:v>
      </x:c>
      <x:c r="D3866" s="7" t="str">
        <x:v>factory calibration</x:v>
      </x:c>
      <x:c r="E3866" s="7" t="str">
        <x:v>CAL-CH-PEA-B-Y1-18-3</x:v>
      </x:c>
      <x:c r="F3866" s="7" t="str">
        <x:f>'Calibration Records'!M1407</x:f>
        <x:v>OPEN</x:v>
      </x:c>
    </x:row>
    <x:row r="3867">
      <x:c r="B3867" s="7" t="str">
        <x:v>AG-03861</x:v>
      </x:c>
      <x:c r="C3867" s="7" t="str">
        <x:v>PEA-B-Y1</x:v>
      </x:c>
      <x:c r="D3867" s="7" t="str">
        <x:v>factory calibration</x:v>
      </x:c>
      <x:c r="E3867" s="7" t="str">
        <x:v>CAL-CH-PEA-B-Y1-18-4</x:v>
      </x:c>
      <x:c r="F3867" s="7" t="str">
        <x:f>'Calibration Records'!M1408</x:f>
        <x:v>OPEN</x:v>
      </x:c>
    </x:row>
    <x:row r="3868">
      <x:c r="B3868" s="7" t="str">
        <x:v>AG-03862</x:v>
      </x:c>
      <x:c r="C3868" s="7" t="str">
        <x:v>PEA-B-Y1</x:v>
      </x:c>
      <x:c r="D3868" s="7" t="str">
        <x:v>factory calibration</x:v>
      </x:c>
      <x:c r="E3868" s="7" t="str">
        <x:v>CAL-CH-PEA-B-Y1-18-5</x:v>
      </x:c>
      <x:c r="F3868" s="7" t="str">
        <x:f>'Calibration Records'!M1409</x:f>
        <x:v>OPEN</x:v>
      </x:c>
    </x:row>
    <x:row r="3869">
      <x:c r="B3869" s="7" t="str">
        <x:v>AG-03863</x:v>
      </x:c>
      <x:c r="C3869" s="7" t="str">
        <x:v>PEA-B-Y1</x:v>
      </x:c>
      <x:c r="D3869" s="7" t="str">
        <x:v>factory calibration</x:v>
      </x:c>
      <x:c r="E3869" s="7" t="str">
        <x:v>CAL-CH-PEA-B-Y1-18-6</x:v>
      </x:c>
      <x:c r="F3869" s="7" t="str">
        <x:f>'Calibration Records'!M1410</x:f>
        <x:v>OPEN</x:v>
      </x:c>
    </x:row>
    <x:row r="3870">
      <x:c r="B3870" s="7" t="str">
        <x:v>AG-03864</x:v>
      </x:c>
      <x:c r="C3870" s="7" t="str">
        <x:v>PEA-B-Y1</x:v>
      </x:c>
      <x:c r="D3870" s="7" t="str">
        <x:v>factory calibration</x:v>
      </x:c>
      <x:c r="E3870" s="7" t="str">
        <x:v>CAL-CH-PEA-B-Y1-19-1</x:v>
      </x:c>
      <x:c r="F3870" s="7" t="str">
        <x:f>'Calibration Records'!M1411</x:f>
        <x:v>OPEN</x:v>
      </x:c>
    </x:row>
    <x:row r="3871">
      <x:c r="B3871" s="7" t="str">
        <x:v>AG-03865</x:v>
      </x:c>
      <x:c r="C3871" s="7" t="str">
        <x:v>PEA-B-Y1</x:v>
      </x:c>
      <x:c r="D3871" s="7" t="str">
        <x:v>factory calibration</x:v>
      </x:c>
      <x:c r="E3871" s="7" t="str">
        <x:v>CAL-CH-PEA-B-Y1-19-2</x:v>
      </x:c>
      <x:c r="F3871" s="7" t="str">
        <x:f>'Calibration Records'!M1412</x:f>
        <x:v>OPEN</x:v>
      </x:c>
    </x:row>
    <x:row r="3872">
      <x:c r="B3872" s="7" t="str">
        <x:v>AG-03866</x:v>
      </x:c>
      <x:c r="C3872" s="7" t="str">
        <x:v>PEA-B-Y1</x:v>
      </x:c>
      <x:c r="D3872" s="7" t="str">
        <x:v>factory calibration</x:v>
      </x:c>
      <x:c r="E3872" s="7" t="str">
        <x:v>CAL-CH-PEA-B-Y1-19-3</x:v>
      </x:c>
      <x:c r="F3872" s="7" t="str">
        <x:f>'Calibration Records'!M1413</x:f>
        <x:v>OPEN</x:v>
      </x:c>
    </x:row>
    <x:row r="3873">
      <x:c r="B3873" s="7" t="str">
        <x:v>AG-03867</x:v>
      </x:c>
      <x:c r="C3873" s="7" t="str">
        <x:v>PEA-B-Y1</x:v>
      </x:c>
      <x:c r="D3873" s="7" t="str">
        <x:v>factory calibration</x:v>
      </x:c>
      <x:c r="E3873" s="7" t="str">
        <x:v>CAL-CH-PEA-B-Y1-19-4</x:v>
      </x:c>
      <x:c r="F3873" s="7" t="str">
        <x:f>'Calibration Records'!M1414</x:f>
        <x:v>OPEN</x:v>
      </x:c>
    </x:row>
    <x:row r="3874">
      <x:c r="B3874" s="7" t="str">
        <x:v>AG-03868</x:v>
      </x:c>
      <x:c r="C3874" s="7" t="str">
        <x:v>PEA-B-Y1</x:v>
      </x:c>
      <x:c r="D3874" s="7" t="str">
        <x:v>factory calibration</x:v>
      </x:c>
      <x:c r="E3874" s="7" t="str">
        <x:v>CAL-CH-PEA-B-Y1-19-5</x:v>
      </x:c>
      <x:c r="F3874" s="7" t="str">
        <x:f>'Calibration Records'!M1415</x:f>
        <x:v>OPEN</x:v>
      </x:c>
    </x:row>
    <x:row r="3875">
      <x:c r="B3875" s="7" t="str">
        <x:v>AG-03869</x:v>
      </x:c>
      <x:c r="C3875" s="7" t="str">
        <x:v>PEA-B-Y1</x:v>
      </x:c>
      <x:c r="D3875" s="7" t="str">
        <x:v>factory calibration</x:v>
      </x:c>
      <x:c r="E3875" s="7" t="str">
        <x:v>CAL-CH-PEA-B-Y1-19-6</x:v>
      </x:c>
      <x:c r="F3875" s="7" t="str">
        <x:f>'Calibration Records'!M1416</x:f>
        <x:v>OPEN</x:v>
      </x:c>
    </x:row>
    <x:row r="3876">
      <x:c r="B3876" s="7" t="str">
        <x:v>AG-03870</x:v>
      </x:c>
      <x:c r="C3876" s="7" t="str">
        <x:v>PEA-B-Y1</x:v>
      </x:c>
      <x:c r="D3876" s="7" t="str">
        <x:v>factory calibration</x:v>
      </x:c>
      <x:c r="E3876" s="7" t="str">
        <x:v>CAL-CH-PEA-B-Y1-20-1</x:v>
      </x:c>
      <x:c r="F3876" s="7" t="str">
        <x:f>'Calibration Records'!M1417</x:f>
        <x:v>OPEN</x:v>
      </x:c>
    </x:row>
    <x:row r="3877">
      <x:c r="B3877" s="7" t="str">
        <x:v>AG-03871</x:v>
      </x:c>
      <x:c r="C3877" s="7" t="str">
        <x:v>PEA-B-Y1</x:v>
      </x:c>
      <x:c r="D3877" s="7" t="str">
        <x:v>factory calibration</x:v>
      </x:c>
      <x:c r="E3877" s="7" t="str">
        <x:v>CAL-CH-PEA-B-Y1-20-2</x:v>
      </x:c>
      <x:c r="F3877" s="7" t="str">
        <x:f>'Calibration Records'!M1418</x:f>
        <x:v>OPEN</x:v>
      </x:c>
    </x:row>
    <x:row r="3878">
      <x:c r="B3878" s="7" t="str">
        <x:v>AG-03872</x:v>
      </x:c>
      <x:c r="C3878" s="7" t="str">
        <x:v>PEA-B-Y1</x:v>
      </x:c>
      <x:c r="D3878" s="7" t="str">
        <x:v>factory calibration</x:v>
      </x:c>
      <x:c r="E3878" s="7" t="str">
        <x:v>CAL-CH-PEA-B-Y1-20-3</x:v>
      </x:c>
      <x:c r="F3878" s="7" t="str">
        <x:f>'Calibration Records'!M1419</x:f>
        <x:v>OPEN</x:v>
      </x:c>
    </x:row>
    <x:row r="3879">
      <x:c r="B3879" s="7" t="str">
        <x:v>AG-03873</x:v>
      </x:c>
      <x:c r="C3879" s="7" t="str">
        <x:v>PEA-B-Y1</x:v>
      </x:c>
      <x:c r="D3879" s="7" t="str">
        <x:v>factory calibration</x:v>
      </x:c>
      <x:c r="E3879" s="7" t="str">
        <x:v>CAL-CH-PEA-B-Y1-20-4</x:v>
      </x:c>
      <x:c r="F3879" s="7" t="str">
        <x:f>'Calibration Records'!M1420</x:f>
        <x:v>OPEN</x:v>
      </x:c>
    </x:row>
    <x:row r="3880">
      <x:c r="B3880" s="7" t="str">
        <x:v>AG-03874</x:v>
      </x:c>
      <x:c r="C3880" s="7" t="str">
        <x:v>PEA-B-Y1</x:v>
      </x:c>
      <x:c r="D3880" s="7" t="str">
        <x:v>factory calibration</x:v>
      </x:c>
      <x:c r="E3880" s="7" t="str">
        <x:v>CAL-CH-PEA-B-Y1-20-5</x:v>
      </x:c>
      <x:c r="F3880" s="7" t="str">
        <x:f>'Calibration Records'!M1421</x:f>
        <x:v>OPEN</x:v>
      </x:c>
    </x:row>
    <x:row r="3881">
      <x:c r="B3881" s="7" t="str">
        <x:v>AG-03875</x:v>
      </x:c>
      <x:c r="C3881" s="7" t="str">
        <x:v>PEA-B-Y1</x:v>
      </x:c>
      <x:c r="D3881" s="7" t="str">
        <x:v>factory calibration</x:v>
      </x:c>
      <x:c r="E3881" s="7" t="str">
        <x:v>CAL-CH-PEA-B-Y1-20-6</x:v>
      </x:c>
      <x:c r="F3881" s="7" t="str">
        <x:f>'Calibration Records'!M1422</x:f>
        <x:v>OPEN</x:v>
      </x:c>
    </x:row>
    <x:row r="3882">
      <x:c r="B3882" s="7" t="str">
        <x:v>AG-03876</x:v>
      </x:c>
      <x:c r="C3882" s="7" t="str">
        <x:v>PEA-B-Y1</x:v>
      </x:c>
      <x:c r="D3882" s="7" t="str">
        <x:v>factory calibration</x:v>
      </x:c>
      <x:c r="E3882" s="7" t="str">
        <x:v>CAL-CH-PEA-B-Y1-21-1</x:v>
      </x:c>
      <x:c r="F3882" s="7" t="str">
        <x:f>'Calibration Records'!M1423</x:f>
        <x:v>OPEN</x:v>
      </x:c>
    </x:row>
    <x:row r="3883">
      <x:c r="B3883" s="7" t="str">
        <x:v>AG-03877</x:v>
      </x:c>
      <x:c r="C3883" s="7" t="str">
        <x:v>PEA-B-Y1</x:v>
      </x:c>
      <x:c r="D3883" s="7" t="str">
        <x:v>factory calibration</x:v>
      </x:c>
      <x:c r="E3883" s="7" t="str">
        <x:v>CAL-CH-PEA-B-Y1-21-2</x:v>
      </x:c>
      <x:c r="F3883" s="7" t="str">
        <x:f>'Calibration Records'!M1424</x:f>
        <x:v>OPEN</x:v>
      </x:c>
    </x:row>
    <x:row r="3884">
      <x:c r="B3884" s="7" t="str">
        <x:v>AG-03878</x:v>
      </x:c>
      <x:c r="C3884" s="7" t="str">
        <x:v>PEA-B-Y1</x:v>
      </x:c>
      <x:c r="D3884" s="7" t="str">
        <x:v>factory calibration</x:v>
      </x:c>
      <x:c r="E3884" s="7" t="str">
        <x:v>CAL-CH-PEA-B-Y1-21-3</x:v>
      </x:c>
      <x:c r="F3884" s="7" t="str">
        <x:f>'Calibration Records'!M1425</x:f>
        <x:v>OPEN</x:v>
      </x:c>
    </x:row>
    <x:row r="3885">
      <x:c r="B3885" s="7" t="str">
        <x:v>AG-03879</x:v>
      </x:c>
      <x:c r="C3885" s="7" t="str">
        <x:v>PEA-B-Y1</x:v>
      </x:c>
      <x:c r="D3885" s="7" t="str">
        <x:v>factory calibration</x:v>
      </x:c>
      <x:c r="E3885" s="7" t="str">
        <x:v>CAL-CH-PEA-B-Y1-21-4</x:v>
      </x:c>
      <x:c r="F3885" s="7" t="str">
        <x:f>'Calibration Records'!M1426</x:f>
        <x:v>OPEN</x:v>
      </x:c>
    </x:row>
    <x:row r="3886">
      <x:c r="B3886" s="7" t="str">
        <x:v>AG-03880</x:v>
      </x:c>
      <x:c r="C3886" s="7" t="str">
        <x:v>PEA-B-Y1</x:v>
      </x:c>
      <x:c r="D3886" s="7" t="str">
        <x:v>factory calibration</x:v>
      </x:c>
      <x:c r="E3886" s="7" t="str">
        <x:v>CAL-CH-PEA-B-Y1-21-5</x:v>
      </x:c>
      <x:c r="F3886" s="7" t="str">
        <x:f>'Calibration Records'!M1427</x:f>
        <x:v>OPEN</x:v>
      </x:c>
    </x:row>
    <x:row r="3887">
      <x:c r="B3887" s="7" t="str">
        <x:v>AG-03881</x:v>
      </x:c>
      <x:c r="C3887" s="7" t="str">
        <x:v>PEA-B-Y1</x:v>
      </x:c>
      <x:c r="D3887" s="7" t="str">
        <x:v>factory calibration</x:v>
      </x:c>
      <x:c r="E3887" s="7" t="str">
        <x:v>CAL-CH-PEA-B-Y1-21-6</x:v>
      </x:c>
      <x:c r="F3887" s="7" t="str">
        <x:f>'Calibration Records'!M1428</x:f>
        <x:v>OPEN</x:v>
      </x:c>
    </x:row>
    <x:row r="3888">
      <x:c r="B3888" s="7" t="str">
        <x:v>AG-03882</x:v>
      </x:c>
      <x:c r="C3888" s="7" t="str">
        <x:v>PEA-B-Y1</x:v>
      </x:c>
      <x:c r="D3888" s="7" t="str">
        <x:v>factory calibration</x:v>
      </x:c>
      <x:c r="E3888" s="7" t="str">
        <x:v>CAL-CH-PEA-B-Y1-22-1</x:v>
      </x:c>
      <x:c r="F3888" s="7" t="str">
        <x:f>'Calibration Records'!M1429</x:f>
        <x:v>OPEN</x:v>
      </x:c>
    </x:row>
    <x:row r="3889">
      <x:c r="B3889" s="7" t="str">
        <x:v>AG-03883</x:v>
      </x:c>
      <x:c r="C3889" s="7" t="str">
        <x:v>PEA-B-Y1</x:v>
      </x:c>
      <x:c r="D3889" s="7" t="str">
        <x:v>factory calibration</x:v>
      </x:c>
      <x:c r="E3889" s="7" t="str">
        <x:v>CAL-CH-PEA-B-Y1-22-2</x:v>
      </x:c>
      <x:c r="F3889" s="7" t="str">
        <x:f>'Calibration Records'!M1430</x:f>
        <x:v>OPEN</x:v>
      </x:c>
    </x:row>
    <x:row r="3890">
      <x:c r="B3890" s="7" t="str">
        <x:v>AG-03884</x:v>
      </x:c>
      <x:c r="C3890" s="7" t="str">
        <x:v>PEA-B-Y1</x:v>
      </x:c>
      <x:c r="D3890" s="7" t="str">
        <x:v>factory calibration</x:v>
      </x:c>
      <x:c r="E3890" s="7" t="str">
        <x:v>CAL-CH-PEA-B-Y1-22-3</x:v>
      </x:c>
      <x:c r="F3890" s="7" t="str">
        <x:f>'Calibration Records'!M1431</x:f>
        <x:v>OPEN</x:v>
      </x:c>
    </x:row>
    <x:row r="3891">
      <x:c r="B3891" s="7" t="str">
        <x:v>AG-03885</x:v>
      </x:c>
      <x:c r="C3891" s="7" t="str">
        <x:v>PEA-B-Y1</x:v>
      </x:c>
      <x:c r="D3891" s="7" t="str">
        <x:v>factory calibration</x:v>
      </x:c>
      <x:c r="E3891" s="7" t="str">
        <x:v>CAL-CH-PEA-B-Y1-22-4</x:v>
      </x:c>
      <x:c r="F3891" s="7" t="str">
        <x:f>'Calibration Records'!M1432</x:f>
        <x:v>OPEN</x:v>
      </x:c>
    </x:row>
    <x:row r="3892">
      <x:c r="B3892" s="7" t="str">
        <x:v>AG-03886</x:v>
      </x:c>
      <x:c r="C3892" s="7" t="str">
        <x:v>PEA-B-Y1</x:v>
      </x:c>
      <x:c r="D3892" s="7" t="str">
        <x:v>factory calibration</x:v>
      </x:c>
      <x:c r="E3892" s="7" t="str">
        <x:v>CAL-CH-PEA-B-Y1-22-5</x:v>
      </x:c>
      <x:c r="F3892" s="7" t="str">
        <x:f>'Calibration Records'!M1433</x:f>
        <x:v>OPEN</x:v>
      </x:c>
    </x:row>
    <x:row r="3893">
      <x:c r="B3893" s="7" t="str">
        <x:v>AG-03887</x:v>
      </x:c>
      <x:c r="C3893" s="7" t="str">
        <x:v>PEA-B-Y1</x:v>
      </x:c>
      <x:c r="D3893" s="7" t="str">
        <x:v>factory calibration</x:v>
      </x:c>
      <x:c r="E3893" s="7" t="str">
        <x:v>CAL-CH-PEA-B-Y1-22-6</x:v>
      </x:c>
      <x:c r="F3893" s="7" t="str">
        <x:f>'Calibration Records'!M1434</x:f>
        <x:v>OPEN</x:v>
      </x:c>
    </x:row>
    <x:row r="3894">
      <x:c r="B3894" s="7" t="str">
        <x:v>AG-03888</x:v>
      </x:c>
      <x:c r="C3894" s="7" t="str">
        <x:v>PEA-B-Y1</x:v>
      </x:c>
      <x:c r="D3894" s="7" t="str">
        <x:v>factory calibration</x:v>
      </x:c>
      <x:c r="E3894" s="7" t="str">
        <x:v>CAL-CH-PEA-B-Y1-23-1</x:v>
      </x:c>
      <x:c r="F3894" s="7" t="str">
        <x:f>'Calibration Records'!M1435</x:f>
        <x:v>OPEN</x:v>
      </x:c>
    </x:row>
    <x:row r="3895">
      <x:c r="B3895" s="7" t="str">
        <x:v>AG-03889</x:v>
      </x:c>
      <x:c r="C3895" s="7" t="str">
        <x:v>PEA-B-Y1</x:v>
      </x:c>
      <x:c r="D3895" s="7" t="str">
        <x:v>factory calibration</x:v>
      </x:c>
      <x:c r="E3895" s="7" t="str">
        <x:v>CAL-CH-PEA-B-Y1-23-2</x:v>
      </x:c>
      <x:c r="F3895" s="7" t="str">
        <x:f>'Calibration Records'!M1436</x:f>
        <x:v>OPEN</x:v>
      </x:c>
    </x:row>
    <x:row r="3896">
      <x:c r="B3896" s="7" t="str">
        <x:v>AG-03890</x:v>
      </x:c>
      <x:c r="C3896" s="7" t="str">
        <x:v>PEA-B-Y1</x:v>
      </x:c>
      <x:c r="D3896" s="7" t="str">
        <x:v>factory calibration</x:v>
      </x:c>
      <x:c r="E3896" s="7" t="str">
        <x:v>CAL-CH-PEA-B-Y1-23-3</x:v>
      </x:c>
      <x:c r="F3896" s="7" t="str">
        <x:f>'Calibration Records'!M1437</x:f>
        <x:v>OPEN</x:v>
      </x:c>
    </x:row>
    <x:row r="3897">
      <x:c r="B3897" s="7" t="str">
        <x:v>AG-03891</x:v>
      </x:c>
      <x:c r="C3897" s="7" t="str">
        <x:v>PEA-B-Y1</x:v>
      </x:c>
      <x:c r="D3897" s="7" t="str">
        <x:v>factory calibration</x:v>
      </x:c>
      <x:c r="E3897" s="7" t="str">
        <x:v>CAL-CH-PEA-B-Y1-23-4</x:v>
      </x:c>
      <x:c r="F3897" s="7" t="str">
        <x:f>'Calibration Records'!M1438</x:f>
        <x:v>OPEN</x:v>
      </x:c>
    </x:row>
    <x:row r="3898">
      <x:c r="B3898" s="7" t="str">
        <x:v>AG-03892</x:v>
      </x:c>
      <x:c r="C3898" s="7" t="str">
        <x:v>PEA-B-Y1</x:v>
      </x:c>
      <x:c r="D3898" s="7" t="str">
        <x:v>factory calibration</x:v>
      </x:c>
      <x:c r="E3898" s="7" t="str">
        <x:v>CAL-CH-PEA-B-Y1-23-5</x:v>
      </x:c>
      <x:c r="F3898" s="7" t="str">
        <x:f>'Calibration Records'!M1439</x:f>
        <x:v>OPEN</x:v>
      </x:c>
    </x:row>
    <x:row r="3899">
      <x:c r="B3899" s="7" t="str">
        <x:v>AG-03893</x:v>
      </x:c>
      <x:c r="C3899" s="7" t="str">
        <x:v>PEA-B-Y1</x:v>
      </x:c>
      <x:c r="D3899" s="7" t="str">
        <x:v>factory calibration</x:v>
      </x:c>
      <x:c r="E3899" s="7" t="str">
        <x:v>CAL-CH-PEA-B-Y1-23-6</x:v>
      </x:c>
      <x:c r="F3899" s="7" t="str">
        <x:f>'Calibration Records'!M1440</x:f>
        <x:v>OPEN</x:v>
      </x:c>
    </x:row>
    <x:row r="3900">
      <x:c r="B3900" s="7" t="str">
        <x:v>AG-03894</x:v>
      </x:c>
      <x:c r="C3900" s="7" t="str">
        <x:v>PEA-B-Y1</x:v>
      </x:c>
      <x:c r="D3900" s="7" t="str">
        <x:v>factory calibration</x:v>
      </x:c>
      <x:c r="E3900" s="7" t="str">
        <x:v>CAL-CH-PEA-B-Y1-24-1</x:v>
      </x:c>
      <x:c r="F3900" s="7" t="str">
        <x:f>'Calibration Records'!M1441</x:f>
        <x:v>OPEN</x:v>
      </x:c>
    </x:row>
    <x:row r="3901">
      <x:c r="B3901" s="7" t="str">
        <x:v>AG-03895</x:v>
      </x:c>
      <x:c r="C3901" s="7" t="str">
        <x:v>PEA-B-Y1</x:v>
      </x:c>
      <x:c r="D3901" s="7" t="str">
        <x:v>factory calibration</x:v>
      </x:c>
      <x:c r="E3901" s="7" t="str">
        <x:v>CAL-CH-PEA-B-Y1-24-2</x:v>
      </x:c>
      <x:c r="F3901" s="7" t="str">
        <x:f>'Calibration Records'!M1442</x:f>
        <x:v>OPEN</x:v>
      </x:c>
    </x:row>
    <x:row r="3902">
      <x:c r="B3902" s="7" t="str">
        <x:v>AG-03896</x:v>
      </x:c>
      <x:c r="C3902" s="7" t="str">
        <x:v>PEA-B-Y1</x:v>
      </x:c>
      <x:c r="D3902" s="7" t="str">
        <x:v>factory calibration</x:v>
      </x:c>
      <x:c r="E3902" s="7" t="str">
        <x:v>CAL-CH-PEA-B-Y1-24-3</x:v>
      </x:c>
      <x:c r="F3902" s="7" t="str">
        <x:f>'Calibration Records'!M1443</x:f>
        <x:v>OPEN</x:v>
      </x:c>
    </x:row>
    <x:row r="3903">
      <x:c r="B3903" s="7" t="str">
        <x:v>AG-03897</x:v>
      </x:c>
      <x:c r="C3903" s="7" t="str">
        <x:v>PEA-B-Y1</x:v>
      </x:c>
      <x:c r="D3903" s="7" t="str">
        <x:v>factory calibration</x:v>
      </x:c>
      <x:c r="E3903" s="7" t="str">
        <x:v>CAL-CH-PEA-B-Y1-24-4</x:v>
      </x:c>
      <x:c r="F3903" s="7" t="str">
        <x:f>'Calibration Records'!M1444</x:f>
        <x:v>OPEN</x:v>
      </x:c>
    </x:row>
    <x:row r="3904">
      <x:c r="B3904" s="7" t="str">
        <x:v>AG-03898</x:v>
      </x:c>
      <x:c r="C3904" s="7" t="str">
        <x:v>PEA-B-Y1</x:v>
      </x:c>
      <x:c r="D3904" s="7" t="str">
        <x:v>factory calibration</x:v>
      </x:c>
      <x:c r="E3904" s="7" t="str">
        <x:v>CAL-CH-PEA-B-Y1-24-5</x:v>
      </x:c>
      <x:c r="F3904" s="7" t="str">
        <x:f>'Calibration Records'!M1445</x:f>
        <x:v>OPEN</x:v>
      </x:c>
    </x:row>
    <x:row r="3905">
      <x:c r="B3905" s="7" t="str">
        <x:v>AG-03899</x:v>
      </x:c>
      <x:c r="C3905" s="7" t="str">
        <x:v>PEA-B-Y1</x:v>
      </x:c>
      <x:c r="D3905" s="7" t="str">
        <x:v>factory calibration</x:v>
      </x:c>
      <x:c r="E3905" s="7" t="str">
        <x:v>CAL-CH-PEA-B-Y1-24-6</x:v>
      </x:c>
      <x:c r="F3905" s="7" t="str">
        <x:f>'Calibration Records'!M1446</x:f>
        <x:v>OPEN</x:v>
      </x:c>
    </x:row>
    <x:row r="3906">
      <x:c r="B3906" s="7" t="str">
        <x:v>AG-03900</x:v>
      </x:c>
      <x:c r="C3906" s="7" t="str">
        <x:v>PEA-B-Y1</x:v>
      </x:c>
      <x:c r="D3906" s="7" t="str">
        <x:v>article master</x:v>
      </x:c>
      <x:c r="E3906" s="7" t="str">
        <x:v>PEA-B-Y1</x:v>
      </x:c>
      <x:c r="F3906" s="7" t="str">
        <x:f>'Article Population'!Q16</x:f>
        <x:v>OPEN</x:v>
      </x:c>
    </x:row>
    <x:row r="3907">
      <x:c r="B3907" s="7" t="str">
        <x:v>AG-03901</x:v>
      </x:c>
      <x:c r="C3907" s="7" t="str">
        <x:v>PEA-B-Y2</x:v>
      </x:c>
      <x:c r="D3907" s="7" t="str">
        <x:v>lineage capsule</x:v>
      </x:c>
      <x:c r="E3907" s="7" t="str">
        <x:v>BL-Y</x:v>
      </x:c>
      <x:c r="F3907" s="7" t="str">
        <x:f>'Baseline Package'!F8</x:f>
        <x:v>OPEN</x:v>
      </x:c>
    </x:row>
    <x:row r="3908">
      <x:c r="B3908" s="7" t="str">
        <x:v>AG-03902</x:v>
      </x:c>
      <x:c r="C3908" s="7" t="str">
        <x:v>PEA-B-Y2</x:v>
      </x:c>
      <x:c r="D3908" s="7" t="str">
        <x:v>builder qualification</x:v>
      </x:c>
      <x:c r="E3908" s="7" t="str">
        <x:v>BLD-B</x:v>
      </x:c>
      <x:c r="F3908" s="7" t="str">
        <x:f>Builders!K8</x:f>
        <x:v>OPEN</x:v>
      </x:c>
    </x:row>
    <x:row r="3909">
      <x:c r="B3909" s="7" t="str">
        <x:v>AG-03903</x:v>
      </x:c>
      <x:c r="C3909" s="7" t="str">
        <x:v>PEA-B-Y2</x:v>
      </x:c>
      <x:c r="D3909" s="7" t="str">
        <x:v>material split</x:v>
      </x:c>
      <x:c r="E3909" s="7" t="str">
        <x:v>SPLIT-PEA-B-Y2</x:v>
      </x:c>
      <x:c r="F3909" s="7" t="str">
        <x:f>'Material Matrix'!K17</x:f>
        <x:v>OPEN</x:v>
      </x:c>
    </x:row>
    <x:row r="3910">
      <x:c r="B3910" s="7" t="str">
        <x:v>AG-03904</x:v>
      </x:c>
      <x:c r="C3910" s="7" t="str">
        <x:v>PEA-B-Y2</x:v>
      </x:c>
      <x:c r="D3910" s="7" t="str">
        <x:v>build sequence</x:v>
      </x:c>
      <x:c r="E3910" s="7" t="str">
        <x:v>SEQ-PEA-B-Y2</x:v>
      </x:c>
      <x:c r="F3910" s="7" t="str">
        <x:f>'Build Sequence'!L17</x:f>
        <x:v>OPEN</x:v>
      </x:c>
    </x:row>
    <x:row r="3911">
      <x:c r="B3911" s="7" t="str">
        <x:v>AG-03905</x:v>
      </x:c>
      <x:c r="C3911" s="7" t="str">
        <x:v>PEA-B-Y2</x:v>
      </x:c>
      <x:c r="D3911" s="7" t="str">
        <x:v>section traveler</x:v>
      </x:c>
      <x:c r="E3911" s="7" t="str">
        <x:v>TRV-PEA-B-Y2-01</x:v>
      </x:c>
      <x:c r="F3911" s="7" t="str">
        <x:f>'Section Travelers'!L207</x:f>
        <x:v>OPEN</x:v>
      </x:c>
    </x:row>
    <x:row r="3912">
      <x:c r="B3912" s="7" t="str">
        <x:v>AG-03906</x:v>
      </x:c>
      <x:c r="C3912" s="7" t="str">
        <x:v>PEA-B-Y2</x:v>
      </x:c>
      <x:c r="D3912" s="7" t="str">
        <x:v>section traveler</x:v>
      </x:c>
      <x:c r="E3912" s="7" t="str">
        <x:v>TRV-PEA-B-Y2-02</x:v>
      </x:c>
      <x:c r="F3912" s="7" t="str">
        <x:f>'Section Travelers'!L208</x:f>
        <x:v>OPEN</x:v>
      </x:c>
    </x:row>
    <x:row r="3913">
      <x:c r="B3913" s="7" t="str">
        <x:v>AG-03907</x:v>
      </x:c>
      <x:c r="C3913" s="7" t="str">
        <x:v>PEA-B-Y2</x:v>
      </x:c>
      <x:c r="D3913" s="7" t="str">
        <x:v>section traveler</x:v>
      </x:c>
      <x:c r="E3913" s="7" t="str">
        <x:v>TRV-PEA-B-Y2-03</x:v>
      </x:c>
      <x:c r="F3913" s="7" t="str">
        <x:f>'Section Travelers'!L209</x:f>
        <x:v>OPEN</x:v>
      </x:c>
    </x:row>
    <x:row r="3914">
      <x:c r="B3914" s="7" t="str">
        <x:v>AG-03908</x:v>
      </x:c>
      <x:c r="C3914" s="7" t="str">
        <x:v>PEA-B-Y2</x:v>
      </x:c>
      <x:c r="D3914" s="7" t="str">
        <x:v>section traveler</x:v>
      </x:c>
      <x:c r="E3914" s="7" t="str">
        <x:v>TRV-PEA-B-Y2-04</x:v>
      </x:c>
      <x:c r="F3914" s="7" t="str">
        <x:f>'Section Travelers'!L210</x:f>
        <x:v>OPEN</x:v>
      </x:c>
    </x:row>
    <x:row r="3915">
      <x:c r="B3915" s="7" t="str">
        <x:v>AG-03909</x:v>
      </x:c>
      <x:c r="C3915" s="7" t="str">
        <x:v>PEA-B-Y2</x:v>
      </x:c>
      <x:c r="D3915" s="7" t="str">
        <x:v>section traveler</x:v>
      </x:c>
      <x:c r="E3915" s="7" t="str">
        <x:v>TRV-PEA-B-Y2-05</x:v>
      </x:c>
      <x:c r="F3915" s="7" t="str">
        <x:f>'Section Travelers'!L211</x:f>
        <x:v>OPEN</x:v>
      </x:c>
    </x:row>
    <x:row r="3916">
      <x:c r="B3916" s="7" t="str">
        <x:v>AG-03910</x:v>
      </x:c>
      <x:c r="C3916" s="7" t="str">
        <x:v>PEA-B-Y2</x:v>
      </x:c>
      <x:c r="D3916" s="7" t="str">
        <x:v>section traveler</x:v>
      </x:c>
      <x:c r="E3916" s="7" t="str">
        <x:v>TRV-PEA-B-Y2-06</x:v>
      </x:c>
      <x:c r="F3916" s="7" t="str">
        <x:f>'Section Travelers'!L212</x:f>
        <x:v>OPEN</x:v>
      </x:c>
    </x:row>
    <x:row r="3917">
      <x:c r="B3917" s="7" t="str">
        <x:v>AG-03911</x:v>
      </x:c>
      <x:c r="C3917" s="7" t="str">
        <x:v>PEA-B-Y2</x:v>
      </x:c>
      <x:c r="D3917" s="7" t="str">
        <x:v>section traveler</x:v>
      </x:c>
      <x:c r="E3917" s="7" t="str">
        <x:v>TRV-PEA-B-Y2-07</x:v>
      </x:c>
      <x:c r="F3917" s="7" t="str">
        <x:f>'Section Travelers'!L213</x:f>
        <x:v>OPEN</x:v>
      </x:c>
    </x:row>
    <x:row r="3918">
      <x:c r="B3918" s="7" t="str">
        <x:v>AG-03912</x:v>
      </x:c>
      <x:c r="C3918" s="7" t="str">
        <x:v>PEA-B-Y2</x:v>
      </x:c>
      <x:c r="D3918" s="7" t="str">
        <x:v>section traveler</x:v>
      </x:c>
      <x:c r="E3918" s="7" t="str">
        <x:v>TRV-PEA-B-Y2-08</x:v>
      </x:c>
      <x:c r="F3918" s="7" t="str">
        <x:f>'Section Travelers'!L214</x:f>
        <x:v>OPEN</x:v>
      </x:c>
    </x:row>
    <x:row r="3919">
      <x:c r="B3919" s="7" t="str">
        <x:v>AG-03913</x:v>
      </x:c>
      <x:c r="C3919" s="7" t="str">
        <x:v>PEA-B-Y2</x:v>
      </x:c>
      <x:c r="D3919" s="7" t="str">
        <x:v>section traveler</x:v>
      </x:c>
      <x:c r="E3919" s="7" t="str">
        <x:v>TRV-PEA-B-Y2-09</x:v>
      </x:c>
      <x:c r="F3919" s="7" t="str">
        <x:f>'Section Travelers'!L215</x:f>
        <x:v>OPEN</x:v>
      </x:c>
    </x:row>
    <x:row r="3920">
      <x:c r="B3920" s="7" t="str">
        <x:v>AG-03914</x:v>
      </x:c>
      <x:c r="C3920" s="7" t="str">
        <x:v>PEA-B-Y2</x:v>
      </x:c>
      <x:c r="D3920" s="7" t="str">
        <x:v>section traveler</x:v>
      </x:c>
      <x:c r="E3920" s="7" t="str">
        <x:v>TRV-PEA-B-Y2-10</x:v>
      </x:c>
      <x:c r="F3920" s="7" t="str">
        <x:f>'Section Travelers'!L216</x:f>
        <x:v>OPEN</x:v>
      </x:c>
    </x:row>
    <x:row r="3921">
      <x:c r="B3921" s="7" t="str">
        <x:v>AG-03915</x:v>
      </x:c>
      <x:c r="C3921" s="7" t="str">
        <x:v>PEA-B-Y2</x:v>
      </x:c>
      <x:c r="D3921" s="7" t="str">
        <x:v>section traveler</x:v>
      </x:c>
      <x:c r="E3921" s="7" t="str">
        <x:v>TRV-PEA-B-Y2-11</x:v>
      </x:c>
      <x:c r="F3921" s="7" t="str">
        <x:f>'Section Travelers'!L217</x:f>
        <x:v>OPEN</x:v>
      </x:c>
    </x:row>
    <x:row r="3922">
      <x:c r="B3922" s="7" t="str">
        <x:v>AG-03916</x:v>
      </x:c>
      <x:c r="C3922" s="7" t="str">
        <x:v>PEA-B-Y2</x:v>
      </x:c>
      <x:c r="D3922" s="7" t="str">
        <x:v>section traveler</x:v>
      </x:c>
      <x:c r="E3922" s="7" t="str">
        <x:v>TRV-PEA-B-Y2-12</x:v>
      </x:c>
      <x:c r="F3922" s="7" t="str">
        <x:f>'Section Travelers'!L218</x:f>
        <x:v>OPEN</x:v>
      </x:c>
    </x:row>
    <x:row r="3923">
      <x:c r="B3923" s="7" t="str">
        <x:v>AG-03917</x:v>
      </x:c>
      <x:c r="C3923" s="7" t="str">
        <x:v>PEA-B-Y2</x:v>
      </x:c>
      <x:c r="D3923" s="7" t="str">
        <x:v>section traveler</x:v>
      </x:c>
      <x:c r="E3923" s="7" t="str">
        <x:v>TRV-PEA-B-Y2-13</x:v>
      </x:c>
      <x:c r="F3923" s="7" t="str">
        <x:f>'Section Travelers'!L219</x:f>
        <x:v>OPEN</x:v>
      </x:c>
    </x:row>
    <x:row r="3924">
      <x:c r="B3924" s="7" t="str">
        <x:v>AG-03918</x:v>
      </x:c>
      <x:c r="C3924" s="7" t="str">
        <x:v>PEA-B-Y2</x:v>
      </x:c>
      <x:c r="D3924" s="7" t="str">
        <x:v>section traveler</x:v>
      </x:c>
      <x:c r="E3924" s="7" t="str">
        <x:v>TRV-PEA-B-Y2-14</x:v>
      </x:c>
      <x:c r="F3924" s="7" t="str">
        <x:f>'Section Travelers'!L220</x:f>
        <x:v>OPEN</x:v>
      </x:c>
    </x:row>
    <x:row r="3925">
      <x:c r="B3925" s="7" t="str">
        <x:v>AG-03919</x:v>
      </x:c>
      <x:c r="C3925" s="7" t="str">
        <x:v>PEA-B-Y2</x:v>
      </x:c>
      <x:c r="D3925" s="7" t="str">
        <x:v>section traveler</x:v>
      </x:c>
      <x:c r="E3925" s="7" t="str">
        <x:v>TRV-PEA-B-Y2-15</x:v>
      </x:c>
      <x:c r="F3925" s="7" t="str">
        <x:f>'Section Travelers'!L221</x:f>
        <x:v>OPEN</x:v>
      </x:c>
    </x:row>
    <x:row r="3926">
      <x:c r="B3926" s="7" t="str">
        <x:v>AG-03920</x:v>
      </x:c>
      <x:c r="C3926" s="7" t="str">
        <x:v>PEA-B-Y2</x:v>
      </x:c>
      <x:c r="D3926" s="7" t="str">
        <x:v>section traveler</x:v>
      </x:c>
      <x:c r="E3926" s="7" t="str">
        <x:v>TRV-PEA-B-Y2-16</x:v>
      </x:c>
      <x:c r="F3926" s="7" t="str">
        <x:f>'Section Travelers'!L222</x:f>
        <x:v>OPEN</x:v>
      </x:c>
    </x:row>
    <x:row r="3927">
      <x:c r="B3927" s="7" t="str">
        <x:v>AG-03921</x:v>
      </x:c>
      <x:c r="C3927" s="7" t="str">
        <x:v>PEA-B-Y2</x:v>
      </x:c>
      <x:c r="D3927" s="7" t="str">
        <x:v>section traveler</x:v>
      </x:c>
      <x:c r="E3927" s="7" t="str">
        <x:v>TRV-PEA-B-Y2-17</x:v>
      </x:c>
      <x:c r="F3927" s="7" t="str">
        <x:f>'Section Travelers'!L223</x:f>
        <x:v>OPEN</x:v>
      </x:c>
    </x:row>
    <x:row r="3928">
      <x:c r="B3928" s="7" t="str">
        <x:v>AG-03922</x:v>
      </x:c>
      <x:c r="C3928" s="7" t="str">
        <x:v>PEA-B-Y2</x:v>
      </x:c>
      <x:c r="D3928" s="7" t="str">
        <x:v>section traveler</x:v>
      </x:c>
      <x:c r="E3928" s="7" t="str">
        <x:v>TRV-PEA-B-Y2-18</x:v>
      </x:c>
      <x:c r="F3928" s="7" t="str">
        <x:f>'Section Travelers'!L224</x:f>
        <x:v>OPEN</x:v>
      </x:c>
    </x:row>
    <x:row r="3929">
      <x:c r="B3929" s="7" t="str">
        <x:v>AG-03923</x:v>
      </x:c>
      <x:c r="C3929" s="7" t="str">
        <x:v>PEA-B-Y2</x:v>
      </x:c>
      <x:c r="D3929" s="7" t="str">
        <x:v>section traveler</x:v>
      </x:c>
      <x:c r="E3929" s="7" t="str">
        <x:v>TRV-PEA-B-Y2-19</x:v>
      </x:c>
      <x:c r="F3929" s="7" t="str">
        <x:f>'Section Travelers'!L225</x:f>
        <x:v>OPEN</x:v>
      </x:c>
    </x:row>
    <x:row r="3930">
      <x:c r="B3930" s="7" t="str">
        <x:v>AG-03924</x:v>
      </x:c>
      <x:c r="C3930" s="7" t="str">
        <x:v>PEA-B-Y2</x:v>
      </x:c>
      <x:c r="D3930" s="7" t="str">
        <x:v>section traveler</x:v>
      </x:c>
      <x:c r="E3930" s="7" t="str">
        <x:v>TRV-PEA-B-Y2-20</x:v>
      </x:c>
      <x:c r="F3930" s="7" t="str">
        <x:f>'Section Travelers'!L226</x:f>
        <x:v>OPEN</x:v>
      </x:c>
    </x:row>
    <x:row r="3931">
      <x:c r="B3931" s="7" t="str">
        <x:v>AG-03925</x:v>
      </x:c>
      <x:c r="C3931" s="7" t="str">
        <x:v>PEA-B-Y2</x:v>
      </x:c>
      <x:c r="D3931" s="7" t="str">
        <x:v>material coupon</x:v>
      </x:c>
      <x:c r="E3931" s="7" t="str">
        <x:v>CPN-PEA-B-Y2-CJ-1</x:v>
      </x:c>
      <x:c r="F3931" s="7" t="str">
        <x:f>'Material Coupons'!K407</x:f>
        <x:v>OPEN</x:v>
      </x:c>
    </x:row>
    <x:row r="3932">
      <x:c r="B3932" s="7" t="str">
        <x:v>AG-03926</x:v>
      </x:c>
      <x:c r="C3932" s="7" t="str">
        <x:v>PEA-B-Y2</x:v>
      </x:c>
      <x:c r="D3932" s="7" t="str">
        <x:v>material coupon</x:v>
      </x:c>
      <x:c r="E3932" s="7" t="str">
        <x:v>CPN-PEA-B-Y2-CJ-2</x:v>
      </x:c>
      <x:c r="F3932" s="7" t="str">
        <x:f>'Material Coupons'!K408</x:f>
        <x:v>OPEN</x:v>
      </x:c>
    </x:row>
    <x:row r="3933">
      <x:c r="B3933" s="7" t="str">
        <x:v>AG-03927</x:v>
      </x:c>
      <x:c r="C3933" s="7" t="str">
        <x:v>PEA-B-Y2</x:v>
      </x:c>
      <x:c r="D3933" s="7" t="str">
        <x:v>material coupon</x:v>
      </x:c>
      <x:c r="E3933" s="7" t="str">
        <x:v>CPN-PEA-B-Y2-CJ-3</x:v>
      </x:c>
      <x:c r="F3933" s="7" t="str">
        <x:f>'Material Coupons'!K409</x:f>
        <x:v>OPEN</x:v>
      </x:c>
    </x:row>
    <x:row r="3934">
      <x:c r="B3934" s="7" t="str">
        <x:v>AG-03928</x:v>
      </x:c>
      <x:c r="C3934" s="7" t="str">
        <x:v>PEA-B-Y2</x:v>
      </x:c>
      <x:c r="D3934" s="7" t="str">
        <x:v>material coupon</x:v>
      </x:c>
      <x:c r="E3934" s="7" t="str">
        <x:v>CPN-PEA-B-Y2-CJ-4</x:v>
      </x:c>
      <x:c r="F3934" s="7" t="str">
        <x:f>'Material Coupons'!K410</x:f>
        <x:v>OPEN</x:v>
      </x:c>
    </x:row>
    <x:row r="3935">
      <x:c r="B3935" s="7" t="str">
        <x:v>AG-03929</x:v>
      </x:c>
      <x:c r="C3935" s="7" t="str">
        <x:v>PEA-B-Y2</x:v>
      </x:c>
      <x:c r="D3935" s="7" t="str">
        <x:v>material coupon</x:v>
      </x:c>
      <x:c r="E3935" s="7" t="str">
        <x:v>CPN-PEA-B-Y2-CJ-5</x:v>
      </x:c>
      <x:c r="F3935" s="7" t="str">
        <x:f>'Material Coupons'!K411</x:f>
        <x:v>OPEN</x:v>
      </x:c>
    </x:row>
    <x:row r="3936">
      <x:c r="B3936" s="7" t="str">
        <x:v>AG-03930</x:v>
      </x:c>
      <x:c r="C3936" s="7" t="str">
        <x:v>PEA-B-Y2</x:v>
      </x:c>
      <x:c r="D3936" s="7" t="str">
        <x:v>material coupon</x:v>
      </x:c>
      <x:c r="E3936" s="7" t="str">
        <x:v>CPN-PEA-B-Y2-CJ-6</x:v>
      </x:c>
      <x:c r="F3936" s="7" t="str">
        <x:f>'Material Coupons'!K412</x:f>
        <x:v>OPEN</x:v>
      </x:c>
    </x:row>
    <x:row r="3937">
      <x:c r="B3937" s="7" t="str">
        <x:v>AG-03931</x:v>
      </x:c>
      <x:c r="C3937" s="7" t="str">
        <x:v>PEA-B-Y2</x:v>
      </x:c>
      <x:c r="D3937" s="7" t="str">
        <x:v>material coupon</x:v>
      </x:c>
      <x:c r="E3937" s="7" t="str">
        <x:v>CPN-PEA-B-Y2-CJ-7</x:v>
      </x:c>
      <x:c r="F3937" s="7" t="str">
        <x:f>'Material Coupons'!K413</x:f>
        <x:v>OPEN</x:v>
      </x:c>
    </x:row>
    <x:row r="3938">
      <x:c r="B3938" s="7" t="str">
        <x:v>AG-03932</x:v>
      </x:c>
      <x:c r="C3938" s="7" t="str">
        <x:v>PEA-B-Y2</x:v>
      </x:c>
      <x:c r="D3938" s="7" t="str">
        <x:v>material coupon</x:v>
      </x:c>
      <x:c r="E3938" s="7" t="str">
        <x:v>CPN-PEA-B-Y2-CJ-8</x:v>
      </x:c>
      <x:c r="F3938" s="7" t="str">
        <x:f>'Material Coupons'!K414</x:f>
        <x:v>OPEN</x:v>
      </x:c>
    </x:row>
    <x:row r="3939">
      <x:c r="B3939" s="7" t="str">
        <x:v>AG-03933</x:v>
      </x:c>
      <x:c r="C3939" s="7" t="str">
        <x:v>PEA-B-Y2</x:v>
      </x:c>
      <x:c r="D3939" s="7" t="str">
        <x:v>material coupon</x:v>
      </x:c>
      <x:c r="E3939" s="7" t="str">
        <x:v>CPN-PEA-B-Y2-SE-1</x:v>
      </x:c>
      <x:c r="F3939" s="7" t="str">
        <x:f>'Material Coupons'!K415</x:f>
        <x:v>OPEN</x:v>
      </x:c>
    </x:row>
    <x:row r="3940">
      <x:c r="B3940" s="7" t="str">
        <x:v>AG-03934</x:v>
      </x:c>
      <x:c r="C3940" s="7" t="str">
        <x:v>PEA-B-Y2</x:v>
      </x:c>
      <x:c r="D3940" s="7" t="str">
        <x:v>material coupon</x:v>
      </x:c>
      <x:c r="E3940" s="7" t="str">
        <x:v>CPN-PEA-B-Y2-SE-2</x:v>
      </x:c>
      <x:c r="F3940" s="7" t="str">
        <x:f>'Material Coupons'!K416</x:f>
        <x:v>OPEN</x:v>
      </x:c>
    </x:row>
    <x:row r="3941">
      <x:c r="B3941" s="7" t="str">
        <x:v>AG-03935</x:v>
      </x:c>
      <x:c r="C3941" s="7" t="str">
        <x:v>PEA-B-Y2</x:v>
      </x:c>
      <x:c r="D3941" s="7" t="str">
        <x:v>material coupon</x:v>
      </x:c>
      <x:c r="E3941" s="7" t="str">
        <x:v>CPN-PEA-B-Y2-SE-3</x:v>
      </x:c>
      <x:c r="F3941" s="7" t="str">
        <x:f>'Material Coupons'!K417</x:f>
        <x:v>OPEN</x:v>
      </x:c>
    </x:row>
    <x:row r="3942">
      <x:c r="B3942" s="7" t="str">
        <x:v>AG-03936</x:v>
      </x:c>
      <x:c r="C3942" s="7" t="str">
        <x:v>PEA-B-Y2</x:v>
      </x:c>
      <x:c r="D3942" s="7" t="str">
        <x:v>material coupon</x:v>
      </x:c>
      <x:c r="E3942" s="7" t="str">
        <x:v>CPN-PEA-B-Y2-SE-4</x:v>
      </x:c>
      <x:c r="F3942" s="7" t="str">
        <x:f>'Material Coupons'!K418</x:f>
        <x:v>OPEN</x:v>
      </x:c>
    </x:row>
    <x:row r="3943">
      <x:c r="B3943" s="7" t="str">
        <x:v>AG-03937</x:v>
      </x:c>
      <x:c r="C3943" s="7" t="str">
        <x:v>PEA-B-Y2</x:v>
      </x:c>
      <x:c r="D3943" s="7" t="str">
        <x:v>material coupon</x:v>
      </x:c>
      <x:c r="E3943" s="7" t="str">
        <x:v>CPN-PEA-B-Y2-SE-5</x:v>
      </x:c>
      <x:c r="F3943" s="7" t="str">
        <x:f>'Material Coupons'!K419</x:f>
        <x:v>OPEN</x:v>
      </x:c>
    </x:row>
    <x:row r="3944">
      <x:c r="B3944" s="7" t="str">
        <x:v>AG-03938</x:v>
      </x:c>
      <x:c r="C3944" s="7" t="str">
        <x:v>PEA-B-Y2</x:v>
      </x:c>
      <x:c r="D3944" s="7" t="str">
        <x:v>material coupon</x:v>
      </x:c>
      <x:c r="E3944" s="7" t="str">
        <x:v>CPN-PEA-B-Y2-SE-6</x:v>
      </x:c>
      <x:c r="F3944" s="7" t="str">
        <x:f>'Material Coupons'!K420</x:f>
        <x:v>OPEN</x:v>
      </x:c>
    </x:row>
    <x:row r="3945">
      <x:c r="B3945" s="7" t="str">
        <x:v>AG-03939</x:v>
      </x:c>
      <x:c r="C3945" s="7" t="str">
        <x:v>PEA-B-Y2</x:v>
      </x:c>
      <x:c r="D3945" s="7" t="str">
        <x:v>material coupon</x:v>
      </x:c>
      <x:c r="E3945" s="7" t="str">
        <x:v>CPN-PEA-B-Y2-SE-7</x:v>
      </x:c>
      <x:c r="F3945" s="7" t="str">
        <x:f>'Material Coupons'!K421</x:f>
        <x:v>OPEN</x:v>
      </x:c>
    </x:row>
    <x:row r="3946">
      <x:c r="B3946" s="7" t="str">
        <x:v>AG-03940</x:v>
      </x:c>
      <x:c r="C3946" s="7" t="str">
        <x:v>PEA-B-Y2</x:v>
      </x:c>
      <x:c r="D3946" s="7" t="str">
        <x:v>material coupon</x:v>
      </x:c>
      <x:c r="E3946" s="7" t="str">
        <x:v>CPN-PEA-B-Y2-SE-8</x:v>
      </x:c>
      <x:c r="F3946" s="7" t="str">
        <x:f>'Material Coupons'!K422</x:f>
        <x:v>OPEN</x:v>
      </x:c>
    </x:row>
    <x:row r="3947">
      <x:c r="B3947" s="7" t="str">
        <x:v>AG-03941</x:v>
      </x:c>
      <x:c r="C3947" s="7" t="str">
        <x:v>PEA-B-Y2</x:v>
      </x:c>
      <x:c r="D3947" s="7" t="str">
        <x:v>material coupon</x:v>
      </x:c>
      <x:c r="E3947" s="7" t="str">
        <x:v>CPN-PEA-B-Y2-SF-1</x:v>
      </x:c>
      <x:c r="F3947" s="7" t="str">
        <x:f>'Material Coupons'!K423</x:f>
        <x:v>OPEN</x:v>
      </x:c>
    </x:row>
    <x:row r="3948">
      <x:c r="B3948" s="7" t="str">
        <x:v>AG-03942</x:v>
      </x:c>
      <x:c r="C3948" s="7" t="str">
        <x:v>PEA-B-Y2</x:v>
      </x:c>
      <x:c r="D3948" s="7" t="str">
        <x:v>material coupon</x:v>
      </x:c>
      <x:c r="E3948" s="7" t="str">
        <x:v>CPN-PEA-B-Y2-SF-2</x:v>
      </x:c>
      <x:c r="F3948" s="7" t="str">
        <x:f>'Material Coupons'!K424</x:f>
        <x:v>OPEN</x:v>
      </x:c>
    </x:row>
    <x:row r="3949">
      <x:c r="B3949" s="7" t="str">
        <x:v>AG-03943</x:v>
      </x:c>
      <x:c r="C3949" s="7" t="str">
        <x:v>PEA-B-Y2</x:v>
      </x:c>
      <x:c r="D3949" s="7" t="str">
        <x:v>material coupon</x:v>
      </x:c>
      <x:c r="E3949" s="7" t="str">
        <x:v>CPN-PEA-B-Y2-SF-3</x:v>
      </x:c>
      <x:c r="F3949" s="7" t="str">
        <x:f>'Material Coupons'!K425</x:f>
        <x:v>OPEN</x:v>
      </x:c>
    </x:row>
    <x:row r="3950">
      <x:c r="B3950" s="7" t="str">
        <x:v>AG-03944</x:v>
      </x:c>
      <x:c r="C3950" s="7" t="str">
        <x:v>PEA-B-Y2</x:v>
      </x:c>
      <x:c r="D3950" s="7" t="str">
        <x:v>material coupon</x:v>
      </x:c>
      <x:c r="E3950" s="7" t="str">
        <x:v>CPN-PEA-B-Y2-SF-4</x:v>
      </x:c>
      <x:c r="F3950" s="7" t="str">
        <x:f>'Material Coupons'!K426</x:f>
        <x:v>OPEN</x:v>
      </x:c>
    </x:row>
    <x:row r="3951">
      <x:c r="B3951" s="7" t="str">
        <x:v>AG-03945</x:v>
      </x:c>
      <x:c r="C3951" s="7" t="str">
        <x:v>PEA-B-Y2</x:v>
      </x:c>
      <x:c r="D3951" s="7" t="str">
        <x:v>material coupon</x:v>
      </x:c>
      <x:c r="E3951" s="7" t="str">
        <x:v>CPN-PEA-B-Y2-SF-5</x:v>
      </x:c>
      <x:c r="F3951" s="7" t="str">
        <x:f>'Material Coupons'!K427</x:f>
        <x:v>OPEN</x:v>
      </x:c>
    </x:row>
    <x:row r="3952">
      <x:c r="B3952" s="7" t="str">
        <x:v>AG-03946</x:v>
      </x:c>
      <x:c r="C3952" s="7" t="str">
        <x:v>PEA-B-Y2</x:v>
      </x:c>
      <x:c r="D3952" s="7" t="str">
        <x:v>material coupon</x:v>
      </x:c>
      <x:c r="E3952" s="7" t="str">
        <x:v>CPN-PEA-B-Y2-SF-6</x:v>
      </x:c>
      <x:c r="F3952" s="7" t="str">
        <x:f>'Material Coupons'!K428</x:f>
        <x:v>OPEN</x:v>
      </x:c>
    </x:row>
    <x:row r="3953">
      <x:c r="B3953" s="7" t="str">
        <x:v>AG-03947</x:v>
      </x:c>
      <x:c r="C3953" s="7" t="str">
        <x:v>PEA-B-Y2</x:v>
      </x:c>
      <x:c r="D3953" s="7" t="str">
        <x:v>material coupon</x:v>
      </x:c>
      <x:c r="E3953" s="7" t="str">
        <x:v>CPN-PEA-B-Y2-SF-7</x:v>
      </x:c>
      <x:c r="F3953" s="7" t="str">
        <x:f>'Material Coupons'!K429</x:f>
        <x:v>OPEN</x:v>
      </x:c>
    </x:row>
    <x:row r="3954">
      <x:c r="B3954" s="7" t="str">
        <x:v>AG-03948</x:v>
      </x:c>
      <x:c r="C3954" s="7" t="str">
        <x:v>PEA-B-Y2</x:v>
      </x:c>
      <x:c r="D3954" s="7" t="str">
        <x:v>material coupon</x:v>
      </x:c>
      <x:c r="E3954" s="7" t="str">
        <x:v>CPN-PEA-B-Y2-SF-8</x:v>
      </x:c>
      <x:c r="F3954" s="7" t="str">
        <x:f>'Material Coupons'!K430</x:f>
        <x:v>OPEN</x:v>
      </x:c>
    </x:row>
    <x:row r="3955">
      <x:c r="B3955" s="7" t="str">
        <x:v>AG-03949</x:v>
      </x:c>
      <x:c r="C3955" s="7" t="str">
        <x:v>PEA-B-Y2</x:v>
      </x:c>
      <x:c r="D3955" s="7" t="str">
        <x:v>material coupon</x:v>
      </x:c>
      <x:c r="E3955" s="7" t="str">
        <x:v>CPN-PEA-B-Y2-CP-1</x:v>
      </x:c>
      <x:c r="F3955" s="7" t="str">
        <x:f>'Material Coupons'!K431</x:f>
        <x:v>OPEN</x:v>
      </x:c>
    </x:row>
    <x:row r="3956">
      <x:c r="B3956" s="7" t="str">
        <x:v>AG-03950</x:v>
      </x:c>
      <x:c r="C3956" s="7" t="str">
        <x:v>PEA-B-Y2</x:v>
      </x:c>
      <x:c r="D3956" s="7" t="str">
        <x:v>material coupon</x:v>
      </x:c>
      <x:c r="E3956" s="7" t="str">
        <x:v>CPN-PEA-B-Y2-CP-2</x:v>
      </x:c>
      <x:c r="F3956" s="7" t="str">
        <x:f>'Material Coupons'!K432</x:f>
        <x:v>OPEN</x:v>
      </x:c>
    </x:row>
    <x:row r="3957">
      <x:c r="B3957" s="7" t="str">
        <x:v>AG-03951</x:v>
      </x:c>
      <x:c r="C3957" s="7" t="str">
        <x:v>PEA-B-Y2</x:v>
      </x:c>
      <x:c r="D3957" s="7" t="str">
        <x:v>material coupon</x:v>
      </x:c>
      <x:c r="E3957" s="7" t="str">
        <x:v>CPN-PEA-B-Y2-CP-3</x:v>
      </x:c>
      <x:c r="F3957" s="7" t="str">
        <x:f>'Material Coupons'!K433</x:f>
        <x:v>OPEN</x:v>
      </x:c>
    </x:row>
    <x:row r="3958">
      <x:c r="B3958" s="7" t="str">
        <x:v>AG-03952</x:v>
      </x:c>
      <x:c r="C3958" s="7" t="str">
        <x:v>PEA-B-Y2</x:v>
      </x:c>
      <x:c r="D3958" s="7" t="str">
        <x:v>material coupon</x:v>
      </x:c>
      <x:c r="E3958" s="7" t="str">
        <x:v>CPN-PEA-B-Y2-CP-4</x:v>
      </x:c>
      <x:c r="F3958" s="7" t="str">
        <x:f>'Material Coupons'!K434</x:f>
        <x:v>OPEN</x:v>
      </x:c>
    </x:row>
    <x:row r="3959">
      <x:c r="B3959" s="7" t="str">
        <x:v>AG-03953</x:v>
      </x:c>
      <x:c r="C3959" s="7" t="str">
        <x:v>PEA-B-Y2</x:v>
      </x:c>
      <x:c r="D3959" s="7" t="str">
        <x:v>material coupon</x:v>
      </x:c>
      <x:c r="E3959" s="7" t="str">
        <x:v>CPN-PEA-B-Y2-CP-5</x:v>
      </x:c>
      <x:c r="F3959" s="7" t="str">
        <x:f>'Material Coupons'!K435</x:f>
        <x:v>OPEN</x:v>
      </x:c>
    </x:row>
    <x:row r="3960">
      <x:c r="B3960" s="7" t="str">
        <x:v>AG-03954</x:v>
      </x:c>
      <x:c r="C3960" s="7" t="str">
        <x:v>PEA-B-Y2</x:v>
      </x:c>
      <x:c r="D3960" s="7" t="str">
        <x:v>material coupon</x:v>
      </x:c>
      <x:c r="E3960" s="7" t="str">
        <x:v>CPN-PEA-B-Y2-CP-6</x:v>
      </x:c>
      <x:c r="F3960" s="7" t="str">
        <x:f>'Material Coupons'!K436</x:f>
        <x:v>OPEN</x:v>
      </x:c>
    </x:row>
    <x:row r="3961">
      <x:c r="B3961" s="7" t="str">
        <x:v>AG-03955</x:v>
      </x:c>
      <x:c r="C3961" s="7" t="str">
        <x:v>PEA-B-Y2</x:v>
      </x:c>
      <x:c r="D3961" s="7" t="str">
        <x:v>material coupon</x:v>
      </x:c>
      <x:c r="E3961" s="7" t="str">
        <x:v>CPN-PEA-B-Y2-CP-7</x:v>
      </x:c>
      <x:c r="F3961" s="7" t="str">
        <x:f>'Material Coupons'!K437</x:f>
        <x:v>OPEN</x:v>
      </x:c>
    </x:row>
    <x:row r="3962">
      <x:c r="B3962" s="7" t="str">
        <x:v>AG-03956</x:v>
      </x:c>
      <x:c r="C3962" s="7" t="str">
        <x:v>PEA-B-Y2</x:v>
      </x:c>
      <x:c r="D3962" s="7" t="str">
        <x:v>material coupon</x:v>
      </x:c>
      <x:c r="E3962" s="7" t="str">
        <x:v>CPN-PEA-B-Y2-CP-8</x:v>
      </x:c>
      <x:c r="F3962" s="7" t="str">
        <x:f>'Material Coupons'!K438</x:f>
        <x:v>OPEN</x:v>
      </x:c>
    </x:row>
    <x:row r="3963">
      <x:c r="B3963" s="7" t="str">
        <x:v>AG-03957</x:v>
      </x:c>
      <x:c r="C3963" s="7" t="str">
        <x:v>PEA-B-Y2</x:v>
      </x:c>
      <x:c r="D3963" s="7" t="str">
        <x:v>material coupon</x:v>
      </x:c>
      <x:c r="E3963" s="7" t="str">
        <x:v>CPN-PEA-B-Y2-SM-1</x:v>
      </x:c>
      <x:c r="F3963" s="7" t="str">
        <x:f>'Material Coupons'!K439</x:f>
        <x:v>OPEN</x:v>
      </x:c>
    </x:row>
    <x:row r="3964">
      <x:c r="B3964" s="7" t="str">
        <x:v>AG-03958</x:v>
      </x:c>
      <x:c r="C3964" s="7" t="str">
        <x:v>PEA-B-Y2</x:v>
      </x:c>
      <x:c r="D3964" s="7" t="str">
        <x:v>material coupon</x:v>
      </x:c>
      <x:c r="E3964" s="7" t="str">
        <x:v>CPN-PEA-B-Y2-SM-2</x:v>
      </x:c>
      <x:c r="F3964" s="7" t="str">
        <x:f>'Material Coupons'!K440</x:f>
        <x:v>OPEN</x:v>
      </x:c>
    </x:row>
    <x:row r="3965">
      <x:c r="B3965" s="7" t="str">
        <x:v>AG-03959</x:v>
      </x:c>
      <x:c r="C3965" s="7" t="str">
        <x:v>PEA-B-Y2</x:v>
      </x:c>
      <x:c r="D3965" s="7" t="str">
        <x:v>material coupon</x:v>
      </x:c>
      <x:c r="E3965" s="7" t="str">
        <x:v>CPN-PEA-B-Y2-SM-3</x:v>
      </x:c>
      <x:c r="F3965" s="7" t="str">
        <x:f>'Material Coupons'!K441</x:f>
        <x:v>OPEN</x:v>
      </x:c>
    </x:row>
    <x:row r="3966">
      <x:c r="B3966" s="7" t="str">
        <x:v>AG-03960</x:v>
      </x:c>
      <x:c r="C3966" s="7" t="str">
        <x:v>PEA-B-Y2</x:v>
      </x:c>
      <x:c r="D3966" s="7" t="str">
        <x:v>material coupon</x:v>
      </x:c>
      <x:c r="E3966" s="7" t="str">
        <x:v>CPN-PEA-B-Y2-SM-4</x:v>
      </x:c>
      <x:c r="F3966" s="7" t="str">
        <x:f>'Material Coupons'!K442</x:f>
        <x:v>OPEN</x:v>
      </x:c>
    </x:row>
    <x:row r="3967">
      <x:c r="B3967" s="7" t="str">
        <x:v>AG-03961</x:v>
      </x:c>
      <x:c r="C3967" s="7" t="str">
        <x:v>PEA-B-Y2</x:v>
      </x:c>
      <x:c r="D3967" s="7" t="str">
        <x:v>material coupon</x:v>
      </x:c>
      <x:c r="E3967" s="7" t="str">
        <x:v>CPN-PEA-B-Y2-SM-5</x:v>
      </x:c>
      <x:c r="F3967" s="7" t="str">
        <x:f>'Material Coupons'!K443</x:f>
        <x:v>OPEN</x:v>
      </x:c>
    </x:row>
    <x:row r="3968">
      <x:c r="B3968" s="7" t="str">
        <x:v>AG-03962</x:v>
      </x:c>
      <x:c r="C3968" s="7" t="str">
        <x:v>PEA-B-Y2</x:v>
      </x:c>
      <x:c r="D3968" s="7" t="str">
        <x:v>material coupon</x:v>
      </x:c>
      <x:c r="E3968" s="7" t="str">
        <x:v>CPN-PEA-B-Y2-SM-6</x:v>
      </x:c>
      <x:c r="F3968" s="7" t="str">
        <x:f>'Material Coupons'!K444</x:f>
        <x:v>OPEN</x:v>
      </x:c>
    </x:row>
    <x:row r="3969">
      <x:c r="B3969" s="7" t="str">
        <x:v>AG-03963</x:v>
      </x:c>
      <x:c r="C3969" s="7" t="str">
        <x:v>PEA-B-Y2</x:v>
      </x:c>
      <x:c r="D3969" s="7" t="str">
        <x:v>material coupon</x:v>
      </x:c>
      <x:c r="E3969" s="7" t="str">
        <x:v>CPN-PEA-B-Y2-SM-7</x:v>
      </x:c>
      <x:c r="F3969" s="7" t="str">
        <x:f>'Material Coupons'!K445</x:f>
        <x:v>OPEN</x:v>
      </x:c>
    </x:row>
    <x:row r="3970">
      <x:c r="B3970" s="7" t="str">
        <x:v>AG-03964</x:v>
      </x:c>
      <x:c r="C3970" s="7" t="str">
        <x:v>PEA-B-Y2</x:v>
      </x:c>
      <x:c r="D3970" s="7" t="str">
        <x:v>material coupon</x:v>
      </x:c>
      <x:c r="E3970" s="7" t="str">
        <x:v>CPN-PEA-B-Y2-SM-8</x:v>
      </x:c>
      <x:c r="F3970" s="7" t="str">
        <x:f>'Material Coupons'!K446</x:f>
        <x:v>OPEN</x:v>
      </x:c>
    </x:row>
    <x:row r="3971">
      <x:c r="B3971" s="7" t="str">
        <x:v>AG-03965</x:v>
      </x:c>
      <x:c r="C3971" s="7" t="str">
        <x:v>PEA-B-Y2</x:v>
      </x:c>
      <x:c r="D3971" s="7" t="str">
        <x:v>NDE record</x:v>
      </x:c>
      <x:c r="E3971" s="7" t="str">
        <x:v>NDE-TRV-PEA-B-Y2-01</x:v>
      </x:c>
      <x:c r="F3971" s="7" t="str">
        <x:f>'NDE Records'!L207</x:f>
        <x:v>OPEN</x:v>
      </x:c>
    </x:row>
    <x:row r="3972">
      <x:c r="B3972" s="7" t="str">
        <x:v>AG-03966</x:v>
      </x:c>
      <x:c r="C3972" s="7" t="str">
        <x:v>PEA-B-Y2</x:v>
      </x:c>
      <x:c r="D3972" s="7" t="str">
        <x:v>NDE record</x:v>
      </x:c>
      <x:c r="E3972" s="7" t="str">
        <x:v>NDE-TRV-PEA-B-Y2-02</x:v>
      </x:c>
      <x:c r="F3972" s="7" t="str">
        <x:f>'NDE Records'!L208</x:f>
        <x:v>OPEN</x:v>
      </x:c>
    </x:row>
    <x:row r="3973">
      <x:c r="B3973" s="7" t="str">
        <x:v>AG-03967</x:v>
      </x:c>
      <x:c r="C3973" s="7" t="str">
        <x:v>PEA-B-Y2</x:v>
      </x:c>
      <x:c r="D3973" s="7" t="str">
        <x:v>NDE record</x:v>
      </x:c>
      <x:c r="E3973" s="7" t="str">
        <x:v>NDE-TRV-PEA-B-Y2-03</x:v>
      </x:c>
      <x:c r="F3973" s="7" t="str">
        <x:f>'NDE Records'!L209</x:f>
        <x:v>OPEN</x:v>
      </x:c>
    </x:row>
    <x:row r="3974">
      <x:c r="B3974" s="7" t="str">
        <x:v>AG-03968</x:v>
      </x:c>
      <x:c r="C3974" s="7" t="str">
        <x:v>PEA-B-Y2</x:v>
      </x:c>
      <x:c r="D3974" s="7" t="str">
        <x:v>NDE record</x:v>
      </x:c>
      <x:c r="E3974" s="7" t="str">
        <x:v>NDE-TRV-PEA-B-Y2-04</x:v>
      </x:c>
      <x:c r="F3974" s="7" t="str">
        <x:f>'NDE Records'!L210</x:f>
        <x:v>OPEN</x:v>
      </x:c>
    </x:row>
    <x:row r="3975">
      <x:c r="B3975" s="7" t="str">
        <x:v>AG-03969</x:v>
      </x:c>
      <x:c r="C3975" s="7" t="str">
        <x:v>PEA-B-Y2</x:v>
      </x:c>
      <x:c r="D3975" s="7" t="str">
        <x:v>NDE record</x:v>
      </x:c>
      <x:c r="E3975" s="7" t="str">
        <x:v>NDE-TRV-PEA-B-Y2-05</x:v>
      </x:c>
      <x:c r="F3975" s="7" t="str">
        <x:f>'NDE Records'!L211</x:f>
        <x:v>OPEN</x:v>
      </x:c>
    </x:row>
    <x:row r="3976">
      <x:c r="B3976" s="7" t="str">
        <x:v>AG-03970</x:v>
      </x:c>
      <x:c r="C3976" s="7" t="str">
        <x:v>PEA-B-Y2</x:v>
      </x:c>
      <x:c r="D3976" s="7" t="str">
        <x:v>NDE record</x:v>
      </x:c>
      <x:c r="E3976" s="7" t="str">
        <x:v>NDE-TRV-PEA-B-Y2-06</x:v>
      </x:c>
      <x:c r="F3976" s="7" t="str">
        <x:f>'NDE Records'!L212</x:f>
        <x:v>OPEN</x:v>
      </x:c>
    </x:row>
    <x:row r="3977">
      <x:c r="B3977" s="7" t="str">
        <x:v>AG-03971</x:v>
      </x:c>
      <x:c r="C3977" s="7" t="str">
        <x:v>PEA-B-Y2</x:v>
      </x:c>
      <x:c r="D3977" s="7" t="str">
        <x:v>NDE record</x:v>
      </x:c>
      <x:c r="E3977" s="7" t="str">
        <x:v>NDE-TRV-PEA-B-Y2-07</x:v>
      </x:c>
      <x:c r="F3977" s="7" t="str">
        <x:f>'NDE Records'!L213</x:f>
        <x:v>OPEN</x:v>
      </x:c>
    </x:row>
    <x:row r="3978">
      <x:c r="B3978" s="7" t="str">
        <x:v>AG-03972</x:v>
      </x:c>
      <x:c r="C3978" s="7" t="str">
        <x:v>PEA-B-Y2</x:v>
      </x:c>
      <x:c r="D3978" s="7" t="str">
        <x:v>NDE record</x:v>
      </x:c>
      <x:c r="E3978" s="7" t="str">
        <x:v>NDE-TRV-PEA-B-Y2-08</x:v>
      </x:c>
      <x:c r="F3978" s="7" t="str">
        <x:f>'NDE Records'!L214</x:f>
        <x:v>OPEN</x:v>
      </x:c>
    </x:row>
    <x:row r="3979">
      <x:c r="B3979" s="7" t="str">
        <x:v>AG-03973</x:v>
      </x:c>
      <x:c r="C3979" s="7" t="str">
        <x:v>PEA-B-Y2</x:v>
      </x:c>
      <x:c r="D3979" s="7" t="str">
        <x:v>NDE record</x:v>
      </x:c>
      <x:c r="E3979" s="7" t="str">
        <x:v>NDE-TRV-PEA-B-Y2-09</x:v>
      </x:c>
      <x:c r="F3979" s="7" t="str">
        <x:f>'NDE Records'!L215</x:f>
        <x:v>OPEN</x:v>
      </x:c>
    </x:row>
    <x:row r="3980">
      <x:c r="B3980" s="7" t="str">
        <x:v>AG-03974</x:v>
      </x:c>
      <x:c r="C3980" s="7" t="str">
        <x:v>PEA-B-Y2</x:v>
      </x:c>
      <x:c r="D3980" s="7" t="str">
        <x:v>NDE record</x:v>
      </x:c>
      <x:c r="E3980" s="7" t="str">
        <x:v>NDE-TRV-PEA-B-Y2-10</x:v>
      </x:c>
      <x:c r="F3980" s="7" t="str">
        <x:f>'NDE Records'!L216</x:f>
        <x:v>OPEN</x:v>
      </x:c>
    </x:row>
    <x:row r="3981">
      <x:c r="B3981" s="7" t="str">
        <x:v>AG-03975</x:v>
      </x:c>
      <x:c r="C3981" s="7" t="str">
        <x:v>PEA-B-Y2</x:v>
      </x:c>
      <x:c r="D3981" s="7" t="str">
        <x:v>NDE record</x:v>
      </x:c>
      <x:c r="E3981" s="7" t="str">
        <x:v>NDE-TRV-PEA-B-Y2-11</x:v>
      </x:c>
      <x:c r="F3981" s="7" t="str">
        <x:f>'NDE Records'!L217</x:f>
        <x:v>OPEN</x:v>
      </x:c>
    </x:row>
    <x:row r="3982">
      <x:c r="B3982" s="7" t="str">
        <x:v>AG-03976</x:v>
      </x:c>
      <x:c r="C3982" s="7" t="str">
        <x:v>PEA-B-Y2</x:v>
      </x:c>
      <x:c r="D3982" s="7" t="str">
        <x:v>NDE record</x:v>
      </x:c>
      <x:c r="E3982" s="7" t="str">
        <x:v>NDE-TRV-PEA-B-Y2-12</x:v>
      </x:c>
      <x:c r="F3982" s="7" t="str">
        <x:f>'NDE Records'!L218</x:f>
        <x:v>OPEN</x:v>
      </x:c>
    </x:row>
    <x:row r="3983">
      <x:c r="B3983" s="7" t="str">
        <x:v>AG-03977</x:v>
      </x:c>
      <x:c r="C3983" s="7" t="str">
        <x:v>PEA-B-Y2</x:v>
      </x:c>
      <x:c r="D3983" s="7" t="str">
        <x:v>NDE record</x:v>
      </x:c>
      <x:c r="E3983" s="7" t="str">
        <x:v>NDE-TRV-PEA-B-Y2-13</x:v>
      </x:c>
      <x:c r="F3983" s="7" t="str">
        <x:f>'NDE Records'!L219</x:f>
        <x:v>OPEN</x:v>
      </x:c>
    </x:row>
    <x:row r="3984">
      <x:c r="B3984" s="7" t="str">
        <x:v>AG-03978</x:v>
      </x:c>
      <x:c r="C3984" s="7" t="str">
        <x:v>PEA-B-Y2</x:v>
      </x:c>
      <x:c r="D3984" s="7" t="str">
        <x:v>NDE record</x:v>
      </x:c>
      <x:c r="E3984" s="7" t="str">
        <x:v>NDE-TRV-PEA-B-Y2-14</x:v>
      </x:c>
      <x:c r="F3984" s="7" t="str">
        <x:f>'NDE Records'!L220</x:f>
        <x:v>OPEN</x:v>
      </x:c>
    </x:row>
    <x:row r="3985">
      <x:c r="B3985" s="7" t="str">
        <x:v>AG-03979</x:v>
      </x:c>
      <x:c r="C3985" s="7" t="str">
        <x:v>PEA-B-Y2</x:v>
      </x:c>
      <x:c r="D3985" s="7" t="str">
        <x:v>NDE record</x:v>
      </x:c>
      <x:c r="E3985" s="7" t="str">
        <x:v>NDE-TRV-PEA-B-Y2-15</x:v>
      </x:c>
      <x:c r="F3985" s="7" t="str">
        <x:f>'NDE Records'!L221</x:f>
        <x:v>OPEN</x:v>
      </x:c>
    </x:row>
    <x:row r="3986">
      <x:c r="B3986" s="7" t="str">
        <x:v>AG-03980</x:v>
      </x:c>
      <x:c r="C3986" s="7" t="str">
        <x:v>PEA-B-Y2</x:v>
      </x:c>
      <x:c r="D3986" s="7" t="str">
        <x:v>NDE record</x:v>
      </x:c>
      <x:c r="E3986" s="7" t="str">
        <x:v>NDE-TRV-PEA-B-Y2-16</x:v>
      </x:c>
      <x:c r="F3986" s="7" t="str">
        <x:f>'NDE Records'!L222</x:f>
        <x:v>OPEN</x:v>
      </x:c>
    </x:row>
    <x:row r="3987">
      <x:c r="B3987" s="7" t="str">
        <x:v>AG-03981</x:v>
      </x:c>
      <x:c r="C3987" s="7" t="str">
        <x:v>PEA-B-Y2</x:v>
      </x:c>
      <x:c r="D3987" s="7" t="str">
        <x:v>NDE record</x:v>
      </x:c>
      <x:c r="E3987" s="7" t="str">
        <x:v>NDE-TRV-PEA-B-Y2-17</x:v>
      </x:c>
      <x:c r="F3987" s="7" t="str">
        <x:f>'NDE Records'!L223</x:f>
        <x:v>OPEN</x:v>
      </x:c>
    </x:row>
    <x:row r="3988">
      <x:c r="B3988" s="7" t="str">
        <x:v>AG-03982</x:v>
      </x:c>
      <x:c r="C3988" s="7" t="str">
        <x:v>PEA-B-Y2</x:v>
      </x:c>
      <x:c r="D3988" s="7" t="str">
        <x:v>NDE record</x:v>
      </x:c>
      <x:c r="E3988" s="7" t="str">
        <x:v>NDE-TRV-PEA-B-Y2-18</x:v>
      </x:c>
      <x:c r="F3988" s="7" t="str">
        <x:f>'NDE Records'!L224</x:f>
        <x:v>OPEN</x:v>
      </x:c>
    </x:row>
    <x:row r="3989">
      <x:c r="B3989" s="7" t="str">
        <x:v>AG-03983</x:v>
      </x:c>
      <x:c r="C3989" s="7" t="str">
        <x:v>PEA-B-Y2</x:v>
      </x:c>
      <x:c r="D3989" s="7" t="str">
        <x:v>NDE record</x:v>
      </x:c>
      <x:c r="E3989" s="7" t="str">
        <x:v>NDE-TRV-PEA-B-Y2-19</x:v>
      </x:c>
      <x:c r="F3989" s="7" t="str">
        <x:f>'NDE Records'!L225</x:f>
        <x:v>OPEN</x:v>
      </x:c>
    </x:row>
    <x:row r="3990">
      <x:c r="B3990" s="7" t="str">
        <x:v>AG-03984</x:v>
      </x:c>
      <x:c r="C3990" s="7" t="str">
        <x:v>PEA-B-Y2</x:v>
      </x:c>
      <x:c r="D3990" s="7" t="str">
        <x:v>NDE record</x:v>
      </x:c>
      <x:c r="E3990" s="7" t="str">
        <x:v>NDE-TRV-PEA-B-Y2-20</x:v>
      </x:c>
      <x:c r="F3990" s="7" t="str">
        <x:f>'NDE Records'!L226</x:f>
        <x:v>OPEN</x:v>
      </x:c>
    </x:row>
    <x:row r="3991">
      <x:c r="B3991" s="7" t="str">
        <x:v>AG-03985</x:v>
      </x:c>
      <x:c r="C3991" s="7" t="str">
        <x:v>PEA-B-Y2</x:v>
      </x:c>
      <x:c r="D3991" s="7" t="str">
        <x:v>joint record</x:v>
      </x:c>
      <x:c r="E3991" s="7" t="str">
        <x:v>JNT-PEA-B-Y2-1</x:v>
      </x:c>
      <x:c r="F3991" s="7" t="str">
        <x:f>'Joint Records'!M57</x:f>
        <x:v>OPEN</x:v>
      </x:c>
    </x:row>
    <x:row r="3992">
      <x:c r="B3992" s="7" t="str">
        <x:v>AG-03986</x:v>
      </x:c>
      <x:c r="C3992" s="7" t="str">
        <x:v>PEA-B-Y2</x:v>
      </x:c>
      <x:c r="D3992" s="7" t="str">
        <x:v>joint record</x:v>
      </x:c>
      <x:c r="E3992" s="7" t="str">
        <x:v>JNT-PEA-B-Y2-2</x:v>
      </x:c>
      <x:c r="F3992" s="7" t="str">
        <x:f>'Joint Records'!M58</x:f>
        <x:v>OPEN</x:v>
      </x:c>
    </x:row>
    <x:row r="3993">
      <x:c r="B3993" s="7" t="str">
        <x:v>AG-03987</x:v>
      </x:c>
      <x:c r="C3993" s="7" t="str">
        <x:v>PEA-B-Y2</x:v>
      </x:c>
      <x:c r="D3993" s="7" t="str">
        <x:v>joint record</x:v>
      </x:c>
      <x:c r="E3993" s="7" t="str">
        <x:v>JNT-PEA-B-Y2-3</x:v>
      </x:c>
      <x:c r="F3993" s="7" t="str">
        <x:f>'Joint Records'!M59</x:f>
        <x:v>OPEN</x:v>
      </x:c>
    </x:row>
    <x:row r="3994">
      <x:c r="B3994" s="7" t="str">
        <x:v>AG-03988</x:v>
      </x:c>
      <x:c r="C3994" s="7" t="str">
        <x:v>PEA-B-Y2</x:v>
      </x:c>
      <x:c r="D3994" s="7" t="str">
        <x:v>joint record</x:v>
      </x:c>
      <x:c r="E3994" s="7" t="str">
        <x:v>JNT-PEA-B-Y2-4</x:v>
      </x:c>
      <x:c r="F3994" s="7" t="str">
        <x:f>'Joint Records'!M60</x:f>
        <x:v>OPEN</x:v>
      </x:c>
    </x:row>
    <x:row r="3995">
      <x:c r="B3995" s="7" t="str">
        <x:v>AG-03989</x:v>
      </x:c>
      <x:c r="C3995" s="7" t="str">
        <x:v>PEA-B-Y2</x:v>
      </x:c>
      <x:c r="D3995" s="7" t="str">
        <x:v>joint record</x:v>
      </x:c>
      <x:c r="E3995" s="7" t="str">
        <x:v>JNT-PEA-B-Y2-5</x:v>
      </x:c>
      <x:c r="F3995" s="7" t="str">
        <x:f>'Joint Records'!M61</x:f>
        <x:v>OPEN</x:v>
      </x:c>
    </x:row>
    <x:row r="3996">
      <x:c r="B3996" s="7" t="str">
        <x:v>AG-03990</x:v>
      </x:c>
      <x:c r="C3996" s="7" t="str">
        <x:v>PEA-B-Y2</x:v>
      </x:c>
      <x:c r="D3996" s="7" t="str">
        <x:v>control element</x:v>
      </x:c>
      <x:c r="E3996" s="7" t="str">
        <x:v>ELM-PEA-B-Y2-01</x:v>
      </x:c>
      <x:c r="F3996" s="7" t="str">
        <x:f>'Control Elements'!L127</x:f>
        <x:v>OPEN</x:v>
      </x:c>
    </x:row>
    <x:row r="3997">
      <x:c r="B3997" s="7" t="str">
        <x:v>AG-03991</x:v>
      </x:c>
      <x:c r="C3997" s="7" t="str">
        <x:v>PEA-B-Y2</x:v>
      </x:c>
      <x:c r="D3997" s="7" t="str">
        <x:v>control element</x:v>
      </x:c>
      <x:c r="E3997" s="7" t="str">
        <x:v>ELM-PEA-B-Y2-02</x:v>
      </x:c>
      <x:c r="F3997" s="7" t="str">
        <x:f>'Control Elements'!L128</x:f>
        <x:v>OPEN</x:v>
      </x:c>
    </x:row>
    <x:row r="3998">
      <x:c r="B3998" s="7" t="str">
        <x:v>AG-03992</x:v>
      </x:c>
      <x:c r="C3998" s="7" t="str">
        <x:v>PEA-B-Y2</x:v>
      </x:c>
      <x:c r="D3998" s="7" t="str">
        <x:v>control element</x:v>
      </x:c>
      <x:c r="E3998" s="7" t="str">
        <x:v>ELM-PEA-B-Y2-03</x:v>
      </x:c>
      <x:c r="F3998" s="7" t="str">
        <x:f>'Control Elements'!L129</x:f>
        <x:v>OPEN</x:v>
      </x:c>
    </x:row>
    <x:row r="3999">
      <x:c r="B3999" s="7" t="str">
        <x:v>AG-03993</x:v>
      </x:c>
      <x:c r="C3999" s="7" t="str">
        <x:v>PEA-B-Y2</x:v>
      </x:c>
      <x:c r="D3999" s="7" t="str">
        <x:v>control element</x:v>
      </x:c>
      <x:c r="E3999" s="7" t="str">
        <x:v>ELM-PEA-B-Y2-04</x:v>
      </x:c>
      <x:c r="F3999" s="7" t="str">
        <x:f>'Control Elements'!L130</x:f>
        <x:v>OPEN</x:v>
      </x:c>
    </x:row>
    <x:row r="4000">
      <x:c r="B4000" s="7" t="str">
        <x:v>AG-03994</x:v>
      </x:c>
      <x:c r="C4000" s="7" t="str">
        <x:v>PEA-B-Y2</x:v>
      </x:c>
      <x:c r="D4000" s="7" t="str">
        <x:v>control element</x:v>
      </x:c>
      <x:c r="E4000" s="7" t="str">
        <x:v>ELM-PEA-B-Y2-05</x:v>
      </x:c>
      <x:c r="F4000" s="7" t="str">
        <x:f>'Control Elements'!L131</x:f>
        <x:v>OPEN</x:v>
      </x:c>
    </x:row>
    <x:row r="4001">
      <x:c r="B4001" s="7" t="str">
        <x:v>AG-03995</x:v>
      </x:c>
      <x:c r="C4001" s="7" t="str">
        <x:v>PEA-B-Y2</x:v>
      </x:c>
      <x:c r="D4001" s="7" t="str">
        <x:v>control element</x:v>
      </x:c>
      <x:c r="E4001" s="7" t="str">
        <x:v>ELM-PEA-B-Y2-06</x:v>
      </x:c>
      <x:c r="F4001" s="7" t="str">
        <x:f>'Control Elements'!L132</x:f>
        <x:v>OPEN</x:v>
      </x:c>
    </x:row>
    <x:row r="4002">
      <x:c r="B4002" s="7" t="str">
        <x:v>AG-03996</x:v>
      </x:c>
      <x:c r="C4002" s="7" t="str">
        <x:v>PEA-B-Y2</x:v>
      </x:c>
      <x:c r="D4002" s="7" t="str">
        <x:v>control element</x:v>
      </x:c>
      <x:c r="E4002" s="7" t="str">
        <x:v>ELM-PEA-B-Y2-07</x:v>
      </x:c>
      <x:c r="F4002" s="7" t="str">
        <x:f>'Control Elements'!L133</x:f>
        <x:v>OPEN</x:v>
      </x:c>
    </x:row>
    <x:row r="4003">
      <x:c r="B4003" s="7" t="str">
        <x:v>AG-03997</x:v>
      </x:c>
      <x:c r="C4003" s="7" t="str">
        <x:v>PEA-B-Y2</x:v>
      </x:c>
      <x:c r="D4003" s="7" t="str">
        <x:v>control element</x:v>
      </x:c>
      <x:c r="E4003" s="7" t="str">
        <x:v>ELM-PEA-B-Y2-08</x:v>
      </x:c>
      <x:c r="F4003" s="7" t="str">
        <x:f>'Control Elements'!L134</x:f>
        <x:v>OPEN</x:v>
      </x:c>
    </x:row>
    <x:row r="4004">
      <x:c r="B4004" s="7" t="str">
        <x:v>AG-03998</x:v>
      </x:c>
      <x:c r="C4004" s="7" t="str">
        <x:v>PEA-B-Y2</x:v>
      </x:c>
      <x:c r="D4004" s="7" t="str">
        <x:v>control element</x:v>
      </x:c>
      <x:c r="E4004" s="7" t="str">
        <x:v>ELM-PEA-B-Y2-09</x:v>
      </x:c>
      <x:c r="F4004" s="7" t="str">
        <x:f>'Control Elements'!L135</x:f>
        <x:v>OPEN</x:v>
      </x:c>
    </x:row>
    <x:row r="4005">
      <x:c r="B4005" s="7" t="str">
        <x:v>AG-03999</x:v>
      </x:c>
      <x:c r="C4005" s="7" t="str">
        <x:v>PEA-B-Y2</x:v>
      </x:c>
      <x:c r="D4005" s="7" t="str">
        <x:v>control element</x:v>
      </x:c>
      <x:c r="E4005" s="7" t="str">
        <x:v>ELM-PEA-B-Y2-10</x:v>
      </x:c>
      <x:c r="F4005" s="7" t="str">
        <x:f>'Control Elements'!L136</x:f>
        <x:v>OPEN</x:v>
      </x:c>
    </x:row>
    <x:row r="4006">
      <x:c r="B4006" s="7" t="str">
        <x:v>AG-04000</x:v>
      </x:c>
      <x:c r="C4006" s="7" t="str">
        <x:v>PEA-B-Y2</x:v>
      </x:c>
      <x:c r="D4006" s="7" t="str">
        <x:v>control element</x:v>
      </x:c>
      <x:c r="E4006" s="7" t="str">
        <x:v>ELM-PEA-B-Y2-11</x:v>
      </x:c>
      <x:c r="F4006" s="7" t="str">
        <x:f>'Control Elements'!L137</x:f>
        <x:v>OPEN</x:v>
      </x:c>
    </x:row>
    <x:row r="4007">
      <x:c r="B4007" s="7" t="str">
        <x:v>AG-04001</x:v>
      </x:c>
      <x:c r="C4007" s="7" t="str">
        <x:v>PEA-B-Y2</x:v>
      </x:c>
      <x:c r="D4007" s="7" t="str">
        <x:v>control element</x:v>
      </x:c>
      <x:c r="E4007" s="7" t="str">
        <x:v>ELM-PEA-B-Y2-12</x:v>
      </x:c>
      <x:c r="F4007" s="7" t="str">
        <x:f>'Control Elements'!L138</x:f>
        <x:v>OPEN</x:v>
      </x:c>
    </x:row>
    <x:row r="4008">
      <x:c r="B4008" s="7" t="str">
        <x:v>AG-04002</x:v>
      </x:c>
      <x:c r="C4008" s="7" t="str">
        <x:v>PEA-B-Y2</x:v>
      </x:c>
      <x:c r="D4008" s="7" t="str">
        <x:v>channel instance</x:v>
      </x:c>
      <x:c r="E4008" s="7" t="str">
        <x:v>CH-PEA-B-Y2-01-1</x:v>
      </x:c>
      <x:c r="F4008" s="7" t="str">
        <x:f>'Channel Instances'!O1447</x:f>
        <x:v>OPEN</x:v>
      </x:c>
    </x:row>
    <x:row r="4009">
      <x:c r="B4009" s="7" t="str">
        <x:v>AG-04003</x:v>
      </x:c>
      <x:c r="C4009" s="7" t="str">
        <x:v>PEA-B-Y2</x:v>
      </x:c>
      <x:c r="D4009" s="7" t="str">
        <x:v>channel instance</x:v>
      </x:c>
      <x:c r="E4009" s="7" t="str">
        <x:v>CH-PEA-B-Y2-01-2</x:v>
      </x:c>
      <x:c r="F4009" s="7" t="str">
        <x:f>'Channel Instances'!O1448</x:f>
        <x:v>OPEN</x:v>
      </x:c>
    </x:row>
    <x:row r="4010">
      <x:c r="B4010" s="7" t="str">
        <x:v>AG-04004</x:v>
      </x:c>
      <x:c r="C4010" s="7" t="str">
        <x:v>PEA-B-Y2</x:v>
      </x:c>
      <x:c r="D4010" s="7" t="str">
        <x:v>channel instance</x:v>
      </x:c>
      <x:c r="E4010" s="7" t="str">
        <x:v>CH-PEA-B-Y2-01-3</x:v>
      </x:c>
      <x:c r="F4010" s="7" t="str">
        <x:f>'Channel Instances'!O1449</x:f>
        <x:v>OPEN</x:v>
      </x:c>
    </x:row>
    <x:row r="4011">
      <x:c r="B4011" s="7" t="str">
        <x:v>AG-04005</x:v>
      </x:c>
      <x:c r="C4011" s="7" t="str">
        <x:v>PEA-B-Y2</x:v>
      </x:c>
      <x:c r="D4011" s="7" t="str">
        <x:v>channel instance</x:v>
      </x:c>
      <x:c r="E4011" s="7" t="str">
        <x:v>CH-PEA-B-Y2-01-4</x:v>
      </x:c>
      <x:c r="F4011" s="7" t="str">
        <x:f>'Channel Instances'!O1450</x:f>
        <x:v>OPEN</x:v>
      </x:c>
    </x:row>
    <x:row r="4012">
      <x:c r="B4012" s="7" t="str">
        <x:v>AG-04006</x:v>
      </x:c>
      <x:c r="C4012" s="7" t="str">
        <x:v>PEA-B-Y2</x:v>
      </x:c>
      <x:c r="D4012" s="7" t="str">
        <x:v>channel instance</x:v>
      </x:c>
      <x:c r="E4012" s="7" t="str">
        <x:v>CH-PEA-B-Y2-01-5</x:v>
      </x:c>
      <x:c r="F4012" s="7" t="str">
        <x:f>'Channel Instances'!O1451</x:f>
        <x:v>OPEN</x:v>
      </x:c>
    </x:row>
    <x:row r="4013">
      <x:c r="B4013" s="7" t="str">
        <x:v>AG-04007</x:v>
      </x:c>
      <x:c r="C4013" s="7" t="str">
        <x:v>PEA-B-Y2</x:v>
      </x:c>
      <x:c r="D4013" s="7" t="str">
        <x:v>channel instance</x:v>
      </x:c>
      <x:c r="E4013" s="7" t="str">
        <x:v>CH-PEA-B-Y2-01-6</x:v>
      </x:c>
      <x:c r="F4013" s="7" t="str">
        <x:f>'Channel Instances'!O1452</x:f>
        <x:v>OPEN</x:v>
      </x:c>
    </x:row>
    <x:row r="4014">
      <x:c r="B4014" s="7" t="str">
        <x:v>AG-04008</x:v>
      </x:c>
      <x:c r="C4014" s="7" t="str">
        <x:v>PEA-B-Y2</x:v>
      </x:c>
      <x:c r="D4014" s="7" t="str">
        <x:v>channel instance</x:v>
      </x:c>
      <x:c r="E4014" s="7" t="str">
        <x:v>CH-PEA-B-Y2-02-1</x:v>
      </x:c>
      <x:c r="F4014" s="7" t="str">
        <x:f>'Channel Instances'!O1453</x:f>
        <x:v>OPEN</x:v>
      </x:c>
    </x:row>
    <x:row r="4015">
      <x:c r="B4015" s="7" t="str">
        <x:v>AG-04009</x:v>
      </x:c>
      <x:c r="C4015" s="7" t="str">
        <x:v>PEA-B-Y2</x:v>
      </x:c>
      <x:c r="D4015" s="7" t="str">
        <x:v>channel instance</x:v>
      </x:c>
      <x:c r="E4015" s="7" t="str">
        <x:v>CH-PEA-B-Y2-02-2</x:v>
      </x:c>
      <x:c r="F4015" s="7" t="str">
        <x:f>'Channel Instances'!O1454</x:f>
        <x:v>OPEN</x:v>
      </x:c>
    </x:row>
    <x:row r="4016">
      <x:c r="B4016" s="7" t="str">
        <x:v>AG-04010</x:v>
      </x:c>
      <x:c r="C4016" s="7" t="str">
        <x:v>PEA-B-Y2</x:v>
      </x:c>
      <x:c r="D4016" s="7" t="str">
        <x:v>channel instance</x:v>
      </x:c>
      <x:c r="E4016" s="7" t="str">
        <x:v>CH-PEA-B-Y2-02-3</x:v>
      </x:c>
      <x:c r="F4016" s="7" t="str">
        <x:f>'Channel Instances'!O1455</x:f>
        <x:v>OPEN</x:v>
      </x:c>
    </x:row>
    <x:row r="4017">
      <x:c r="B4017" s="7" t="str">
        <x:v>AG-04011</x:v>
      </x:c>
      <x:c r="C4017" s="7" t="str">
        <x:v>PEA-B-Y2</x:v>
      </x:c>
      <x:c r="D4017" s="7" t="str">
        <x:v>channel instance</x:v>
      </x:c>
      <x:c r="E4017" s="7" t="str">
        <x:v>CH-PEA-B-Y2-02-4</x:v>
      </x:c>
      <x:c r="F4017" s="7" t="str">
        <x:f>'Channel Instances'!O1456</x:f>
        <x:v>OPEN</x:v>
      </x:c>
    </x:row>
    <x:row r="4018">
      <x:c r="B4018" s="7" t="str">
        <x:v>AG-04012</x:v>
      </x:c>
      <x:c r="C4018" s="7" t="str">
        <x:v>PEA-B-Y2</x:v>
      </x:c>
      <x:c r="D4018" s="7" t="str">
        <x:v>channel instance</x:v>
      </x:c>
      <x:c r="E4018" s="7" t="str">
        <x:v>CH-PEA-B-Y2-02-5</x:v>
      </x:c>
      <x:c r="F4018" s="7" t="str">
        <x:f>'Channel Instances'!O1457</x:f>
        <x:v>OPEN</x:v>
      </x:c>
    </x:row>
    <x:row r="4019">
      <x:c r="B4019" s="7" t="str">
        <x:v>AG-04013</x:v>
      </x:c>
      <x:c r="C4019" s="7" t="str">
        <x:v>PEA-B-Y2</x:v>
      </x:c>
      <x:c r="D4019" s="7" t="str">
        <x:v>channel instance</x:v>
      </x:c>
      <x:c r="E4019" s="7" t="str">
        <x:v>CH-PEA-B-Y2-02-6</x:v>
      </x:c>
      <x:c r="F4019" s="7" t="str">
        <x:f>'Channel Instances'!O1458</x:f>
        <x:v>OPEN</x:v>
      </x:c>
    </x:row>
    <x:row r="4020">
      <x:c r="B4020" s="7" t="str">
        <x:v>AG-04014</x:v>
      </x:c>
      <x:c r="C4020" s="7" t="str">
        <x:v>PEA-B-Y2</x:v>
      </x:c>
      <x:c r="D4020" s="7" t="str">
        <x:v>channel instance</x:v>
      </x:c>
      <x:c r="E4020" s="7" t="str">
        <x:v>CH-PEA-B-Y2-03-1</x:v>
      </x:c>
      <x:c r="F4020" s="7" t="str">
        <x:f>'Channel Instances'!O1459</x:f>
        <x:v>OPEN</x:v>
      </x:c>
    </x:row>
    <x:row r="4021">
      <x:c r="B4021" s="7" t="str">
        <x:v>AG-04015</x:v>
      </x:c>
      <x:c r="C4021" s="7" t="str">
        <x:v>PEA-B-Y2</x:v>
      </x:c>
      <x:c r="D4021" s="7" t="str">
        <x:v>channel instance</x:v>
      </x:c>
      <x:c r="E4021" s="7" t="str">
        <x:v>CH-PEA-B-Y2-03-2</x:v>
      </x:c>
      <x:c r="F4021" s="7" t="str">
        <x:f>'Channel Instances'!O1460</x:f>
        <x:v>OPEN</x:v>
      </x:c>
    </x:row>
    <x:row r="4022">
      <x:c r="B4022" s="7" t="str">
        <x:v>AG-04016</x:v>
      </x:c>
      <x:c r="C4022" s="7" t="str">
        <x:v>PEA-B-Y2</x:v>
      </x:c>
      <x:c r="D4022" s="7" t="str">
        <x:v>channel instance</x:v>
      </x:c>
      <x:c r="E4022" s="7" t="str">
        <x:v>CH-PEA-B-Y2-03-3</x:v>
      </x:c>
      <x:c r="F4022" s="7" t="str">
        <x:f>'Channel Instances'!O1461</x:f>
        <x:v>OPEN</x:v>
      </x:c>
    </x:row>
    <x:row r="4023">
      <x:c r="B4023" s="7" t="str">
        <x:v>AG-04017</x:v>
      </x:c>
      <x:c r="C4023" s="7" t="str">
        <x:v>PEA-B-Y2</x:v>
      </x:c>
      <x:c r="D4023" s="7" t="str">
        <x:v>channel instance</x:v>
      </x:c>
      <x:c r="E4023" s="7" t="str">
        <x:v>CH-PEA-B-Y2-03-4</x:v>
      </x:c>
      <x:c r="F4023" s="7" t="str">
        <x:f>'Channel Instances'!O1462</x:f>
        <x:v>OPEN</x:v>
      </x:c>
    </x:row>
    <x:row r="4024">
      <x:c r="B4024" s="7" t="str">
        <x:v>AG-04018</x:v>
      </x:c>
      <x:c r="C4024" s="7" t="str">
        <x:v>PEA-B-Y2</x:v>
      </x:c>
      <x:c r="D4024" s="7" t="str">
        <x:v>channel instance</x:v>
      </x:c>
      <x:c r="E4024" s="7" t="str">
        <x:v>CH-PEA-B-Y2-03-5</x:v>
      </x:c>
      <x:c r="F4024" s="7" t="str">
        <x:f>'Channel Instances'!O1463</x:f>
        <x:v>OPEN</x:v>
      </x:c>
    </x:row>
    <x:row r="4025">
      <x:c r="B4025" s="7" t="str">
        <x:v>AG-04019</x:v>
      </x:c>
      <x:c r="C4025" s="7" t="str">
        <x:v>PEA-B-Y2</x:v>
      </x:c>
      <x:c r="D4025" s="7" t="str">
        <x:v>channel instance</x:v>
      </x:c>
      <x:c r="E4025" s="7" t="str">
        <x:v>CH-PEA-B-Y2-03-6</x:v>
      </x:c>
      <x:c r="F4025" s="7" t="str">
        <x:f>'Channel Instances'!O1464</x:f>
        <x:v>OPEN</x:v>
      </x:c>
    </x:row>
    <x:row r="4026">
      <x:c r="B4026" s="7" t="str">
        <x:v>AG-04020</x:v>
      </x:c>
      <x:c r="C4026" s="7" t="str">
        <x:v>PEA-B-Y2</x:v>
      </x:c>
      <x:c r="D4026" s="7" t="str">
        <x:v>channel instance</x:v>
      </x:c>
      <x:c r="E4026" s="7" t="str">
        <x:v>CH-PEA-B-Y2-04-1</x:v>
      </x:c>
      <x:c r="F4026" s="7" t="str">
        <x:f>'Channel Instances'!O1465</x:f>
        <x:v>OPEN</x:v>
      </x:c>
    </x:row>
    <x:row r="4027">
      <x:c r="B4027" s="7" t="str">
        <x:v>AG-04021</x:v>
      </x:c>
      <x:c r="C4027" s="7" t="str">
        <x:v>PEA-B-Y2</x:v>
      </x:c>
      <x:c r="D4027" s="7" t="str">
        <x:v>channel instance</x:v>
      </x:c>
      <x:c r="E4027" s="7" t="str">
        <x:v>CH-PEA-B-Y2-04-2</x:v>
      </x:c>
      <x:c r="F4027" s="7" t="str">
        <x:f>'Channel Instances'!O1466</x:f>
        <x:v>OPEN</x:v>
      </x:c>
    </x:row>
    <x:row r="4028">
      <x:c r="B4028" s="7" t="str">
        <x:v>AG-04022</x:v>
      </x:c>
      <x:c r="C4028" s="7" t="str">
        <x:v>PEA-B-Y2</x:v>
      </x:c>
      <x:c r="D4028" s="7" t="str">
        <x:v>channel instance</x:v>
      </x:c>
      <x:c r="E4028" s="7" t="str">
        <x:v>CH-PEA-B-Y2-04-3</x:v>
      </x:c>
      <x:c r="F4028" s="7" t="str">
        <x:f>'Channel Instances'!O1467</x:f>
        <x:v>OPEN</x:v>
      </x:c>
    </x:row>
    <x:row r="4029">
      <x:c r="B4029" s="7" t="str">
        <x:v>AG-04023</x:v>
      </x:c>
      <x:c r="C4029" s="7" t="str">
        <x:v>PEA-B-Y2</x:v>
      </x:c>
      <x:c r="D4029" s="7" t="str">
        <x:v>channel instance</x:v>
      </x:c>
      <x:c r="E4029" s="7" t="str">
        <x:v>CH-PEA-B-Y2-04-4</x:v>
      </x:c>
      <x:c r="F4029" s="7" t="str">
        <x:f>'Channel Instances'!O1468</x:f>
        <x:v>OPEN</x:v>
      </x:c>
    </x:row>
    <x:row r="4030">
      <x:c r="B4030" s="7" t="str">
        <x:v>AG-04024</x:v>
      </x:c>
      <x:c r="C4030" s="7" t="str">
        <x:v>PEA-B-Y2</x:v>
      </x:c>
      <x:c r="D4030" s="7" t="str">
        <x:v>channel instance</x:v>
      </x:c>
      <x:c r="E4030" s="7" t="str">
        <x:v>CH-PEA-B-Y2-04-5</x:v>
      </x:c>
      <x:c r="F4030" s="7" t="str">
        <x:f>'Channel Instances'!O1469</x:f>
        <x:v>OPEN</x:v>
      </x:c>
    </x:row>
    <x:row r="4031">
      <x:c r="B4031" s="7" t="str">
        <x:v>AG-04025</x:v>
      </x:c>
      <x:c r="C4031" s="7" t="str">
        <x:v>PEA-B-Y2</x:v>
      </x:c>
      <x:c r="D4031" s="7" t="str">
        <x:v>channel instance</x:v>
      </x:c>
      <x:c r="E4031" s="7" t="str">
        <x:v>CH-PEA-B-Y2-04-6</x:v>
      </x:c>
      <x:c r="F4031" s="7" t="str">
        <x:f>'Channel Instances'!O1470</x:f>
        <x:v>OPEN</x:v>
      </x:c>
    </x:row>
    <x:row r="4032">
      <x:c r="B4032" s="7" t="str">
        <x:v>AG-04026</x:v>
      </x:c>
      <x:c r="C4032" s="7" t="str">
        <x:v>PEA-B-Y2</x:v>
      </x:c>
      <x:c r="D4032" s="7" t="str">
        <x:v>channel instance</x:v>
      </x:c>
      <x:c r="E4032" s="7" t="str">
        <x:v>CH-PEA-B-Y2-05-1</x:v>
      </x:c>
      <x:c r="F4032" s="7" t="str">
        <x:f>'Channel Instances'!O1471</x:f>
        <x:v>OPEN</x:v>
      </x:c>
    </x:row>
    <x:row r="4033">
      <x:c r="B4033" s="7" t="str">
        <x:v>AG-04027</x:v>
      </x:c>
      <x:c r="C4033" s="7" t="str">
        <x:v>PEA-B-Y2</x:v>
      </x:c>
      <x:c r="D4033" s="7" t="str">
        <x:v>channel instance</x:v>
      </x:c>
      <x:c r="E4033" s="7" t="str">
        <x:v>CH-PEA-B-Y2-05-2</x:v>
      </x:c>
      <x:c r="F4033" s="7" t="str">
        <x:f>'Channel Instances'!O1472</x:f>
        <x:v>OPEN</x:v>
      </x:c>
    </x:row>
    <x:row r="4034">
      <x:c r="B4034" s="7" t="str">
        <x:v>AG-04028</x:v>
      </x:c>
      <x:c r="C4034" s="7" t="str">
        <x:v>PEA-B-Y2</x:v>
      </x:c>
      <x:c r="D4034" s="7" t="str">
        <x:v>channel instance</x:v>
      </x:c>
      <x:c r="E4034" s="7" t="str">
        <x:v>CH-PEA-B-Y2-05-3</x:v>
      </x:c>
      <x:c r="F4034" s="7" t="str">
        <x:f>'Channel Instances'!O1473</x:f>
        <x:v>OPEN</x:v>
      </x:c>
    </x:row>
    <x:row r="4035">
      <x:c r="B4035" s="7" t="str">
        <x:v>AG-04029</x:v>
      </x:c>
      <x:c r="C4035" s="7" t="str">
        <x:v>PEA-B-Y2</x:v>
      </x:c>
      <x:c r="D4035" s="7" t="str">
        <x:v>channel instance</x:v>
      </x:c>
      <x:c r="E4035" s="7" t="str">
        <x:v>CH-PEA-B-Y2-05-4</x:v>
      </x:c>
      <x:c r="F4035" s="7" t="str">
        <x:f>'Channel Instances'!O1474</x:f>
        <x:v>OPEN</x:v>
      </x:c>
    </x:row>
    <x:row r="4036">
      <x:c r="B4036" s="7" t="str">
        <x:v>AG-04030</x:v>
      </x:c>
      <x:c r="C4036" s="7" t="str">
        <x:v>PEA-B-Y2</x:v>
      </x:c>
      <x:c r="D4036" s="7" t="str">
        <x:v>channel instance</x:v>
      </x:c>
      <x:c r="E4036" s="7" t="str">
        <x:v>CH-PEA-B-Y2-05-5</x:v>
      </x:c>
      <x:c r="F4036" s="7" t="str">
        <x:f>'Channel Instances'!O1475</x:f>
        <x:v>OPEN</x:v>
      </x:c>
    </x:row>
    <x:row r="4037">
      <x:c r="B4037" s="7" t="str">
        <x:v>AG-04031</x:v>
      </x:c>
      <x:c r="C4037" s="7" t="str">
        <x:v>PEA-B-Y2</x:v>
      </x:c>
      <x:c r="D4037" s="7" t="str">
        <x:v>channel instance</x:v>
      </x:c>
      <x:c r="E4037" s="7" t="str">
        <x:v>CH-PEA-B-Y2-05-6</x:v>
      </x:c>
      <x:c r="F4037" s="7" t="str">
        <x:f>'Channel Instances'!O1476</x:f>
        <x:v>OPEN</x:v>
      </x:c>
    </x:row>
    <x:row r="4038">
      <x:c r="B4038" s="7" t="str">
        <x:v>AG-04032</x:v>
      </x:c>
      <x:c r="C4038" s="7" t="str">
        <x:v>PEA-B-Y2</x:v>
      </x:c>
      <x:c r="D4038" s="7" t="str">
        <x:v>channel instance</x:v>
      </x:c>
      <x:c r="E4038" s="7" t="str">
        <x:v>CH-PEA-B-Y2-06-1</x:v>
      </x:c>
      <x:c r="F4038" s="7" t="str">
        <x:f>'Channel Instances'!O1477</x:f>
        <x:v>OPEN</x:v>
      </x:c>
    </x:row>
    <x:row r="4039">
      <x:c r="B4039" s="7" t="str">
        <x:v>AG-04033</x:v>
      </x:c>
      <x:c r="C4039" s="7" t="str">
        <x:v>PEA-B-Y2</x:v>
      </x:c>
      <x:c r="D4039" s="7" t="str">
        <x:v>channel instance</x:v>
      </x:c>
      <x:c r="E4039" s="7" t="str">
        <x:v>CH-PEA-B-Y2-06-2</x:v>
      </x:c>
      <x:c r="F4039" s="7" t="str">
        <x:f>'Channel Instances'!O1478</x:f>
        <x:v>OPEN</x:v>
      </x:c>
    </x:row>
    <x:row r="4040">
      <x:c r="B4040" s="7" t="str">
        <x:v>AG-04034</x:v>
      </x:c>
      <x:c r="C4040" s="7" t="str">
        <x:v>PEA-B-Y2</x:v>
      </x:c>
      <x:c r="D4040" s="7" t="str">
        <x:v>channel instance</x:v>
      </x:c>
      <x:c r="E4040" s="7" t="str">
        <x:v>CH-PEA-B-Y2-06-3</x:v>
      </x:c>
      <x:c r="F4040" s="7" t="str">
        <x:f>'Channel Instances'!O1479</x:f>
        <x:v>OPEN</x:v>
      </x:c>
    </x:row>
    <x:row r="4041">
      <x:c r="B4041" s="7" t="str">
        <x:v>AG-04035</x:v>
      </x:c>
      <x:c r="C4041" s="7" t="str">
        <x:v>PEA-B-Y2</x:v>
      </x:c>
      <x:c r="D4041" s="7" t="str">
        <x:v>channel instance</x:v>
      </x:c>
      <x:c r="E4041" s="7" t="str">
        <x:v>CH-PEA-B-Y2-06-4</x:v>
      </x:c>
      <x:c r="F4041" s="7" t="str">
        <x:f>'Channel Instances'!O1480</x:f>
        <x:v>OPEN</x:v>
      </x:c>
    </x:row>
    <x:row r="4042">
      <x:c r="B4042" s="7" t="str">
        <x:v>AG-04036</x:v>
      </x:c>
      <x:c r="C4042" s="7" t="str">
        <x:v>PEA-B-Y2</x:v>
      </x:c>
      <x:c r="D4042" s="7" t="str">
        <x:v>channel instance</x:v>
      </x:c>
      <x:c r="E4042" s="7" t="str">
        <x:v>CH-PEA-B-Y2-06-5</x:v>
      </x:c>
      <x:c r="F4042" s="7" t="str">
        <x:f>'Channel Instances'!O1481</x:f>
        <x:v>OPEN</x:v>
      </x:c>
    </x:row>
    <x:row r="4043">
      <x:c r="B4043" s="7" t="str">
        <x:v>AG-04037</x:v>
      </x:c>
      <x:c r="C4043" s="7" t="str">
        <x:v>PEA-B-Y2</x:v>
      </x:c>
      <x:c r="D4043" s="7" t="str">
        <x:v>channel instance</x:v>
      </x:c>
      <x:c r="E4043" s="7" t="str">
        <x:v>CH-PEA-B-Y2-06-6</x:v>
      </x:c>
      <x:c r="F4043" s="7" t="str">
        <x:f>'Channel Instances'!O1482</x:f>
        <x:v>OPEN</x:v>
      </x:c>
    </x:row>
    <x:row r="4044">
      <x:c r="B4044" s="7" t="str">
        <x:v>AG-04038</x:v>
      </x:c>
      <x:c r="C4044" s="7" t="str">
        <x:v>PEA-B-Y2</x:v>
      </x:c>
      <x:c r="D4044" s="7" t="str">
        <x:v>channel instance</x:v>
      </x:c>
      <x:c r="E4044" s="7" t="str">
        <x:v>CH-PEA-B-Y2-07-1</x:v>
      </x:c>
      <x:c r="F4044" s="7" t="str">
        <x:f>'Channel Instances'!O1483</x:f>
        <x:v>OPEN</x:v>
      </x:c>
    </x:row>
    <x:row r="4045">
      <x:c r="B4045" s="7" t="str">
        <x:v>AG-04039</x:v>
      </x:c>
      <x:c r="C4045" s="7" t="str">
        <x:v>PEA-B-Y2</x:v>
      </x:c>
      <x:c r="D4045" s="7" t="str">
        <x:v>channel instance</x:v>
      </x:c>
      <x:c r="E4045" s="7" t="str">
        <x:v>CH-PEA-B-Y2-07-2</x:v>
      </x:c>
      <x:c r="F4045" s="7" t="str">
        <x:f>'Channel Instances'!O1484</x:f>
        <x:v>OPEN</x:v>
      </x:c>
    </x:row>
    <x:row r="4046">
      <x:c r="B4046" s="7" t="str">
        <x:v>AG-04040</x:v>
      </x:c>
      <x:c r="C4046" s="7" t="str">
        <x:v>PEA-B-Y2</x:v>
      </x:c>
      <x:c r="D4046" s="7" t="str">
        <x:v>channel instance</x:v>
      </x:c>
      <x:c r="E4046" s="7" t="str">
        <x:v>CH-PEA-B-Y2-07-3</x:v>
      </x:c>
      <x:c r="F4046" s="7" t="str">
        <x:f>'Channel Instances'!O1485</x:f>
        <x:v>OPEN</x:v>
      </x:c>
    </x:row>
    <x:row r="4047">
      <x:c r="B4047" s="7" t="str">
        <x:v>AG-04041</x:v>
      </x:c>
      <x:c r="C4047" s="7" t="str">
        <x:v>PEA-B-Y2</x:v>
      </x:c>
      <x:c r="D4047" s="7" t="str">
        <x:v>channel instance</x:v>
      </x:c>
      <x:c r="E4047" s="7" t="str">
        <x:v>CH-PEA-B-Y2-07-4</x:v>
      </x:c>
      <x:c r="F4047" s="7" t="str">
        <x:f>'Channel Instances'!O1486</x:f>
        <x:v>OPEN</x:v>
      </x:c>
    </x:row>
    <x:row r="4048">
      <x:c r="B4048" s="7" t="str">
        <x:v>AG-04042</x:v>
      </x:c>
      <x:c r="C4048" s="7" t="str">
        <x:v>PEA-B-Y2</x:v>
      </x:c>
      <x:c r="D4048" s="7" t="str">
        <x:v>channel instance</x:v>
      </x:c>
      <x:c r="E4048" s="7" t="str">
        <x:v>CH-PEA-B-Y2-07-5</x:v>
      </x:c>
      <x:c r="F4048" s="7" t="str">
        <x:f>'Channel Instances'!O1487</x:f>
        <x:v>OPEN</x:v>
      </x:c>
    </x:row>
    <x:row r="4049">
      <x:c r="B4049" s="7" t="str">
        <x:v>AG-04043</x:v>
      </x:c>
      <x:c r="C4049" s="7" t="str">
        <x:v>PEA-B-Y2</x:v>
      </x:c>
      <x:c r="D4049" s="7" t="str">
        <x:v>channel instance</x:v>
      </x:c>
      <x:c r="E4049" s="7" t="str">
        <x:v>CH-PEA-B-Y2-07-6</x:v>
      </x:c>
      <x:c r="F4049" s="7" t="str">
        <x:f>'Channel Instances'!O1488</x:f>
        <x:v>OPEN</x:v>
      </x:c>
    </x:row>
    <x:row r="4050">
      <x:c r="B4050" s="7" t="str">
        <x:v>AG-04044</x:v>
      </x:c>
      <x:c r="C4050" s="7" t="str">
        <x:v>PEA-B-Y2</x:v>
      </x:c>
      <x:c r="D4050" s="7" t="str">
        <x:v>channel instance</x:v>
      </x:c>
      <x:c r="E4050" s="7" t="str">
        <x:v>CH-PEA-B-Y2-08-1</x:v>
      </x:c>
      <x:c r="F4050" s="7" t="str">
        <x:f>'Channel Instances'!O1489</x:f>
        <x:v>OPEN</x:v>
      </x:c>
    </x:row>
    <x:row r="4051">
      <x:c r="B4051" s="7" t="str">
        <x:v>AG-04045</x:v>
      </x:c>
      <x:c r="C4051" s="7" t="str">
        <x:v>PEA-B-Y2</x:v>
      </x:c>
      <x:c r="D4051" s="7" t="str">
        <x:v>channel instance</x:v>
      </x:c>
      <x:c r="E4051" s="7" t="str">
        <x:v>CH-PEA-B-Y2-08-2</x:v>
      </x:c>
      <x:c r="F4051" s="7" t="str">
        <x:f>'Channel Instances'!O1490</x:f>
        <x:v>OPEN</x:v>
      </x:c>
    </x:row>
    <x:row r="4052">
      <x:c r="B4052" s="7" t="str">
        <x:v>AG-04046</x:v>
      </x:c>
      <x:c r="C4052" s="7" t="str">
        <x:v>PEA-B-Y2</x:v>
      </x:c>
      <x:c r="D4052" s="7" t="str">
        <x:v>channel instance</x:v>
      </x:c>
      <x:c r="E4052" s="7" t="str">
        <x:v>CH-PEA-B-Y2-08-3</x:v>
      </x:c>
      <x:c r="F4052" s="7" t="str">
        <x:f>'Channel Instances'!O1491</x:f>
        <x:v>OPEN</x:v>
      </x:c>
    </x:row>
    <x:row r="4053">
      <x:c r="B4053" s="7" t="str">
        <x:v>AG-04047</x:v>
      </x:c>
      <x:c r="C4053" s="7" t="str">
        <x:v>PEA-B-Y2</x:v>
      </x:c>
      <x:c r="D4053" s="7" t="str">
        <x:v>channel instance</x:v>
      </x:c>
      <x:c r="E4053" s="7" t="str">
        <x:v>CH-PEA-B-Y2-08-4</x:v>
      </x:c>
      <x:c r="F4053" s="7" t="str">
        <x:f>'Channel Instances'!O1492</x:f>
        <x:v>OPEN</x:v>
      </x:c>
    </x:row>
    <x:row r="4054">
      <x:c r="B4054" s="7" t="str">
        <x:v>AG-04048</x:v>
      </x:c>
      <x:c r="C4054" s="7" t="str">
        <x:v>PEA-B-Y2</x:v>
      </x:c>
      <x:c r="D4054" s="7" t="str">
        <x:v>channel instance</x:v>
      </x:c>
      <x:c r="E4054" s="7" t="str">
        <x:v>CH-PEA-B-Y2-08-5</x:v>
      </x:c>
      <x:c r="F4054" s="7" t="str">
        <x:f>'Channel Instances'!O1493</x:f>
        <x:v>OPEN</x:v>
      </x:c>
    </x:row>
    <x:row r="4055">
      <x:c r="B4055" s="7" t="str">
        <x:v>AG-04049</x:v>
      </x:c>
      <x:c r="C4055" s="7" t="str">
        <x:v>PEA-B-Y2</x:v>
      </x:c>
      <x:c r="D4055" s="7" t="str">
        <x:v>channel instance</x:v>
      </x:c>
      <x:c r="E4055" s="7" t="str">
        <x:v>CH-PEA-B-Y2-08-6</x:v>
      </x:c>
      <x:c r="F4055" s="7" t="str">
        <x:f>'Channel Instances'!O1494</x:f>
        <x:v>OPEN</x:v>
      </x:c>
    </x:row>
    <x:row r="4056">
      <x:c r="B4056" s="7" t="str">
        <x:v>AG-04050</x:v>
      </x:c>
      <x:c r="C4056" s="7" t="str">
        <x:v>PEA-B-Y2</x:v>
      </x:c>
      <x:c r="D4056" s="7" t="str">
        <x:v>channel instance</x:v>
      </x:c>
      <x:c r="E4056" s="7" t="str">
        <x:v>CH-PEA-B-Y2-09-1</x:v>
      </x:c>
      <x:c r="F4056" s="7" t="str">
        <x:f>'Channel Instances'!O1495</x:f>
        <x:v>OPEN</x:v>
      </x:c>
    </x:row>
    <x:row r="4057">
      <x:c r="B4057" s="7" t="str">
        <x:v>AG-04051</x:v>
      </x:c>
      <x:c r="C4057" s="7" t="str">
        <x:v>PEA-B-Y2</x:v>
      </x:c>
      <x:c r="D4057" s="7" t="str">
        <x:v>channel instance</x:v>
      </x:c>
      <x:c r="E4057" s="7" t="str">
        <x:v>CH-PEA-B-Y2-09-2</x:v>
      </x:c>
      <x:c r="F4057" s="7" t="str">
        <x:f>'Channel Instances'!O1496</x:f>
        <x:v>OPEN</x:v>
      </x:c>
    </x:row>
    <x:row r="4058">
      <x:c r="B4058" s="7" t="str">
        <x:v>AG-04052</x:v>
      </x:c>
      <x:c r="C4058" s="7" t="str">
        <x:v>PEA-B-Y2</x:v>
      </x:c>
      <x:c r="D4058" s="7" t="str">
        <x:v>channel instance</x:v>
      </x:c>
      <x:c r="E4058" s="7" t="str">
        <x:v>CH-PEA-B-Y2-09-3</x:v>
      </x:c>
      <x:c r="F4058" s="7" t="str">
        <x:f>'Channel Instances'!O1497</x:f>
        <x:v>OPEN</x:v>
      </x:c>
    </x:row>
    <x:row r="4059">
      <x:c r="B4059" s="7" t="str">
        <x:v>AG-04053</x:v>
      </x:c>
      <x:c r="C4059" s="7" t="str">
        <x:v>PEA-B-Y2</x:v>
      </x:c>
      <x:c r="D4059" s="7" t="str">
        <x:v>channel instance</x:v>
      </x:c>
      <x:c r="E4059" s="7" t="str">
        <x:v>CH-PEA-B-Y2-09-4</x:v>
      </x:c>
      <x:c r="F4059" s="7" t="str">
        <x:f>'Channel Instances'!O1498</x:f>
        <x:v>OPEN</x:v>
      </x:c>
    </x:row>
    <x:row r="4060">
      <x:c r="B4060" s="7" t="str">
        <x:v>AG-04054</x:v>
      </x:c>
      <x:c r="C4060" s="7" t="str">
        <x:v>PEA-B-Y2</x:v>
      </x:c>
      <x:c r="D4060" s="7" t="str">
        <x:v>channel instance</x:v>
      </x:c>
      <x:c r="E4060" s="7" t="str">
        <x:v>CH-PEA-B-Y2-09-5</x:v>
      </x:c>
      <x:c r="F4060" s="7" t="str">
        <x:f>'Channel Instances'!O1499</x:f>
        <x:v>OPEN</x:v>
      </x:c>
    </x:row>
    <x:row r="4061">
      <x:c r="B4061" s="7" t="str">
        <x:v>AG-04055</x:v>
      </x:c>
      <x:c r="C4061" s="7" t="str">
        <x:v>PEA-B-Y2</x:v>
      </x:c>
      <x:c r="D4061" s="7" t="str">
        <x:v>channel instance</x:v>
      </x:c>
      <x:c r="E4061" s="7" t="str">
        <x:v>CH-PEA-B-Y2-09-6</x:v>
      </x:c>
      <x:c r="F4061" s="7" t="str">
        <x:f>'Channel Instances'!O1500</x:f>
        <x:v>OPEN</x:v>
      </x:c>
    </x:row>
    <x:row r="4062">
      <x:c r="B4062" s="7" t="str">
        <x:v>AG-04056</x:v>
      </x:c>
      <x:c r="C4062" s="7" t="str">
        <x:v>PEA-B-Y2</x:v>
      </x:c>
      <x:c r="D4062" s="7" t="str">
        <x:v>channel instance</x:v>
      </x:c>
      <x:c r="E4062" s="7" t="str">
        <x:v>CH-PEA-B-Y2-10-1</x:v>
      </x:c>
      <x:c r="F4062" s="7" t="str">
        <x:f>'Channel Instances'!O1501</x:f>
        <x:v>OPEN</x:v>
      </x:c>
    </x:row>
    <x:row r="4063">
      <x:c r="B4063" s="7" t="str">
        <x:v>AG-04057</x:v>
      </x:c>
      <x:c r="C4063" s="7" t="str">
        <x:v>PEA-B-Y2</x:v>
      </x:c>
      <x:c r="D4063" s="7" t="str">
        <x:v>channel instance</x:v>
      </x:c>
      <x:c r="E4063" s="7" t="str">
        <x:v>CH-PEA-B-Y2-10-2</x:v>
      </x:c>
      <x:c r="F4063" s="7" t="str">
        <x:f>'Channel Instances'!O1502</x:f>
        <x:v>OPEN</x:v>
      </x:c>
    </x:row>
    <x:row r="4064">
      <x:c r="B4064" s="7" t="str">
        <x:v>AG-04058</x:v>
      </x:c>
      <x:c r="C4064" s="7" t="str">
        <x:v>PEA-B-Y2</x:v>
      </x:c>
      <x:c r="D4064" s="7" t="str">
        <x:v>channel instance</x:v>
      </x:c>
      <x:c r="E4064" s="7" t="str">
        <x:v>CH-PEA-B-Y2-10-3</x:v>
      </x:c>
      <x:c r="F4064" s="7" t="str">
        <x:f>'Channel Instances'!O1503</x:f>
        <x:v>OPEN</x:v>
      </x:c>
    </x:row>
    <x:row r="4065">
      <x:c r="B4065" s="7" t="str">
        <x:v>AG-04059</x:v>
      </x:c>
      <x:c r="C4065" s="7" t="str">
        <x:v>PEA-B-Y2</x:v>
      </x:c>
      <x:c r="D4065" s="7" t="str">
        <x:v>channel instance</x:v>
      </x:c>
      <x:c r="E4065" s="7" t="str">
        <x:v>CH-PEA-B-Y2-10-4</x:v>
      </x:c>
      <x:c r="F4065" s="7" t="str">
        <x:f>'Channel Instances'!O1504</x:f>
        <x:v>OPEN</x:v>
      </x:c>
    </x:row>
    <x:row r="4066">
      <x:c r="B4066" s="7" t="str">
        <x:v>AG-04060</x:v>
      </x:c>
      <x:c r="C4066" s="7" t="str">
        <x:v>PEA-B-Y2</x:v>
      </x:c>
      <x:c r="D4066" s="7" t="str">
        <x:v>channel instance</x:v>
      </x:c>
      <x:c r="E4066" s="7" t="str">
        <x:v>CH-PEA-B-Y2-10-5</x:v>
      </x:c>
      <x:c r="F4066" s="7" t="str">
        <x:f>'Channel Instances'!O1505</x:f>
        <x:v>OPEN</x:v>
      </x:c>
    </x:row>
    <x:row r="4067">
      <x:c r="B4067" s="7" t="str">
        <x:v>AG-04061</x:v>
      </x:c>
      <x:c r="C4067" s="7" t="str">
        <x:v>PEA-B-Y2</x:v>
      </x:c>
      <x:c r="D4067" s="7" t="str">
        <x:v>channel instance</x:v>
      </x:c>
      <x:c r="E4067" s="7" t="str">
        <x:v>CH-PEA-B-Y2-10-6</x:v>
      </x:c>
      <x:c r="F4067" s="7" t="str">
        <x:f>'Channel Instances'!O1506</x:f>
        <x:v>OPEN</x:v>
      </x:c>
    </x:row>
    <x:row r="4068">
      <x:c r="B4068" s="7" t="str">
        <x:v>AG-04062</x:v>
      </x:c>
      <x:c r="C4068" s="7" t="str">
        <x:v>PEA-B-Y2</x:v>
      </x:c>
      <x:c r="D4068" s="7" t="str">
        <x:v>channel instance</x:v>
      </x:c>
      <x:c r="E4068" s="7" t="str">
        <x:v>CH-PEA-B-Y2-11-1</x:v>
      </x:c>
      <x:c r="F4068" s="7" t="str">
        <x:f>'Channel Instances'!O1507</x:f>
        <x:v>OPEN</x:v>
      </x:c>
    </x:row>
    <x:row r="4069">
      <x:c r="B4069" s="7" t="str">
        <x:v>AG-04063</x:v>
      </x:c>
      <x:c r="C4069" s="7" t="str">
        <x:v>PEA-B-Y2</x:v>
      </x:c>
      <x:c r="D4069" s="7" t="str">
        <x:v>channel instance</x:v>
      </x:c>
      <x:c r="E4069" s="7" t="str">
        <x:v>CH-PEA-B-Y2-11-2</x:v>
      </x:c>
      <x:c r="F4069" s="7" t="str">
        <x:f>'Channel Instances'!O1508</x:f>
        <x:v>OPEN</x:v>
      </x:c>
    </x:row>
    <x:row r="4070">
      <x:c r="B4070" s="7" t="str">
        <x:v>AG-04064</x:v>
      </x:c>
      <x:c r="C4070" s="7" t="str">
        <x:v>PEA-B-Y2</x:v>
      </x:c>
      <x:c r="D4070" s="7" t="str">
        <x:v>channel instance</x:v>
      </x:c>
      <x:c r="E4070" s="7" t="str">
        <x:v>CH-PEA-B-Y2-11-3</x:v>
      </x:c>
      <x:c r="F4070" s="7" t="str">
        <x:f>'Channel Instances'!O1509</x:f>
        <x:v>OPEN</x:v>
      </x:c>
    </x:row>
    <x:row r="4071">
      <x:c r="B4071" s="7" t="str">
        <x:v>AG-04065</x:v>
      </x:c>
      <x:c r="C4071" s="7" t="str">
        <x:v>PEA-B-Y2</x:v>
      </x:c>
      <x:c r="D4071" s="7" t="str">
        <x:v>channel instance</x:v>
      </x:c>
      <x:c r="E4071" s="7" t="str">
        <x:v>CH-PEA-B-Y2-11-4</x:v>
      </x:c>
      <x:c r="F4071" s="7" t="str">
        <x:f>'Channel Instances'!O1510</x:f>
        <x:v>OPEN</x:v>
      </x:c>
    </x:row>
    <x:row r="4072">
      <x:c r="B4072" s="7" t="str">
        <x:v>AG-04066</x:v>
      </x:c>
      <x:c r="C4072" s="7" t="str">
        <x:v>PEA-B-Y2</x:v>
      </x:c>
      <x:c r="D4072" s="7" t="str">
        <x:v>channel instance</x:v>
      </x:c>
      <x:c r="E4072" s="7" t="str">
        <x:v>CH-PEA-B-Y2-11-5</x:v>
      </x:c>
      <x:c r="F4072" s="7" t="str">
        <x:f>'Channel Instances'!O1511</x:f>
        <x:v>OPEN</x:v>
      </x:c>
    </x:row>
    <x:row r="4073">
      <x:c r="B4073" s="7" t="str">
        <x:v>AG-04067</x:v>
      </x:c>
      <x:c r="C4073" s="7" t="str">
        <x:v>PEA-B-Y2</x:v>
      </x:c>
      <x:c r="D4073" s="7" t="str">
        <x:v>channel instance</x:v>
      </x:c>
      <x:c r="E4073" s="7" t="str">
        <x:v>CH-PEA-B-Y2-11-6</x:v>
      </x:c>
      <x:c r="F4073" s="7" t="str">
        <x:f>'Channel Instances'!O1512</x:f>
        <x:v>OPEN</x:v>
      </x:c>
    </x:row>
    <x:row r="4074">
      <x:c r="B4074" s="7" t="str">
        <x:v>AG-04068</x:v>
      </x:c>
      <x:c r="C4074" s="7" t="str">
        <x:v>PEA-B-Y2</x:v>
      </x:c>
      <x:c r="D4074" s="7" t="str">
        <x:v>channel instance</x:v>
      </x:c>
      <x:c r="E4074" s="7" t="str">
        <x:v>CH-PEA-B-Y2-12-1</x:v>
      </x:c>
      <x:c r="F4074" s="7" t="str">
        <x:f>'Channel Instances'!O1513</x:f>
        <x:v>OPEN</x:v>
      </x:c>
    </x:row>
    <x:row r="4075">
      <x:c r="B4075" s="7" t="str">
        <x:v>AG-04069</x:v>
      </x:c>
      <x:c r="C4075" s="7" t="str">
        <x:v>PEA-B-Y2</x:v>
      </x:c>
      <x:c r="D4075" s="7" t="str">
        <x:v>channel instance</x:v>
      </x:c>
      <x:c r="E4075" s="7" t="str">
        <x:v>CH-PEA-B-Y2-12-2</x:v>
      </x:c>
      <x:c r="F4075" s="7" t="str">
        <x:f>'Channel Instances'!O1514</x:f>
        <x:v>OPEN</x:v>
      </x:c>
    </x:row>
    <x:row r="4076">
      <x:c r="B4076" s="7" t="str">
        <x:v>AG-04070</x:v>
      </x:c>
      <x:c r="C4076" s="7" t="str">
        <x:v>PEA-B-Y2</x:v>
      </x:c>
      <x:c r="D4076" s="7" t="str">
        <x:v>channel instance</x:v>
      </x:c>
      <x:c r="E4076" s="7" t="str">
        <x:v>CH-PEA-B-Y2-12-3</x:v>
      </x:c>
      <x:c r="F4076" s="7" t="str">
        <x:f>'Channel Instances'!O1515</x:f>
        <x:v>OPEN</x:v>
      </x:c>
    </x:row>
    <x:row r="4077">
      <x:c r="B4077" s="7" t="str">
        <x:v>AG-04071</x:v>
      </x:c>
      <x:c r="C4077" s="7" t="str">
        <x:v>PEA-B-Y2</x:v>
      </x:c>
      <x:c r="D4077" s="7" t="str">
        <x:v>channel instance</x:v>
      </x:c>
      <x:c r="E4077" s="7" t="str">
        <x:v>CH-PEA-B-Y2-12-4</x:v>
      </x:c>
      <x:c r="F4077" s="7" t="str">
        <x:f>'Channel Instances'!O1516</x:f>
        <x:v>OPEN</x:v>
      </x:c>
    </x:row>
    <x:row r="4078">
      <x:c r="B4078" s="7" t="str">
        <x:v>AG-04072</x:v>
      </x:c>
      <x:c r="C4078" s="7" t="str">
        <x:v>PEA-B-Y2</x:v>
      </x:c>
      <x:c r="D4078" s="7" t="str">
        <x:v>channel instance</x:v>
      </x:c>
      <x:c r="E4078" s="7" t="str">
        <x:v>CH-PEA-B-Y2-12-5</x:v>
      </x:c>
      <x:c r="F4078" s="7" t="str">
        <x:f>'Channel Instances'!O1517</x:f>
        <x:v>OPEN</x:v>
      </x:c>
    </x:row>
    <x:row r="4079">
      <x:c r="B4079" s="7" t="str">
        <x:v>AG-04073</x:v>
      </x:c>
      <x:c r="C4079" s="7" t="str">
        <x:v>PEA-B-Y2</x:v>
      </x:c>
      <x:c r="D4079" s="7" t="str">
        <x:v>channel instance</x:v>
      </x:c>
      <x:c r="E4079" s="7" t="str">
        <x:v>CH-PEA-B-Y2-12-6</x:v>
      </x:c>
      <x:c r="F4079" s="7" t="str">
        <x:f>'Channel Instances'!O1518</x:f>
        <x:v>OPEN</x:v>
      </x:c>
    </x:row>
    <x:row r="4080">
      <x:c r="B4080" s="7" t="str">
        <x:v>AG-04074</x:v>
      </x:c>
      <x:c r="C4080" s="7" t="str">
        <x:v>PEA-B-Y2</x:v>
      </x:c>
      <x:c r="D4080" s="7" t="str">
        <x:v>channel instance</x:v>
      </x:c>
      <x:c r="E4080" s="7" t="str">
        <x:v>CH-PEA-B-Y2-13-1</x:v>
      </x:c>
      <x:c r="F4080" s="7" t="str">
        <x:f>'Channel Instances'!O1519</x:f>
        <x:v>OPEN</x:v>
      </x:c>
    </x:row>
    <x:row r="4081">
      <x:c r="B4081" s="7" t="str">
        <x:v>AG-04075</x:v>
      </x:c>
      <x:c r="C4081" s="7" t="str">
        <x:v>PEA-B-Y2</x:v>
      </x:c>
      <x:c r="D4081" s="7" t="str">
        <x:v>channel instance</x:v>
      </x:c>
      <x:c r="E4081" s="7" t="str">
        <x:v>CH-PEA-B-Y2-13-2</x:v>
      </x:c>
      <x:c r="F4081" s="7" t="str">
        <x:f>'Channel Instances'!O1520</x:f>
        <x:v>OPEN</x:v>
      </x:c>
    </x:row>
    <x:row r="4082">
      <x:c r="B4082" s="7" t="str">
        <x:v>AG-04076</x:v>
      </x:c>
      <x:c r="C4082" s="7" t="str">
        <x:v>PEA-B-Y2</x:v>
      </x:c>
      <x:c r="D4082" s="7" t="str">
        <x:v>channel instance</x:v>
      </x:c>
      <x:c r="E4082" s="7" t="str">
        <x:v>CH-PEA-B-Y2-13-3</x:v>
      </x:c>
      <x:c r="F4082" s="7" t="str">
        <x:f>'Channel Instances'!O1521</x:f>
        <x:v>OPEN</x:v>
      </x:c>
    </x:row>
    <x:row r="4083">
      <x:c r="B4083" s="7" t="str">
        <x:v>AG-04077</x:v>
      </x:c>
      <x:c r="C4083" s="7" t="str">
        <x:v>PEA-B-Y2</x:v>
      </x:c>
      <x:c r="D4083" s="7" t="str">
        <x:v>channel instance</x:v>
      </x:c>
      <x:c r="E4083" s="7" t="str">
        <x:v>CH-PEA-B-Y2-13-4</x:v>
      </x:c>
      <x:c r="F4083" s="7" t="str">
        <x:f>'Channel Instances'!O1522</x:f>
        <x:v>OPEN</x:v>
      </x:c>
    </x:row>
    <x:row r="4084">
      <x:c r="B4084" s="7" t="str">
        <x:v>AG-04078</x:v>
      </x:c>
      <x:c r="C4084" s="7" t="str">
        <x:v>PEA-B-Y2</x:v>
      </x:c>
      <x:c r="D4084" s="7" t="str">
        <x:v>channel instance</x:v>
      </x:c>
      <x:c r="E4084" s="7" t="str">
        <x:v>CH-PEA-B-Y2-13-5</x:v>
      </x:c>
      <x:c r="F4084" s="7" t="str">
        <x:f>'Channel Instances'!O1523</x:f>
        <x:v>OPEN</x:v>
      </x:c>
    </x:row>
    <x:row r="4085">
      <x:c r="B4085" s="7" t="str">
        <x:v>AG-04079</x:v>
      </x:c>
      <x:c r="C4085" s="7" t="str">
        <x:v>PEA-B-Y2</x:v>
      </x:c>
      <x:c r="D4085" s="7" t="str">
        <x:v>channel instance</x:v>
      </x:c>
      <x:c r="E4085" s="7" t="str">
        <x:v>CH-PEA-B-Y2-13-6</x:v>
      </x:c>
      <x:c r="F4085" s="7" t="str">
        <x:f>'Channel Instances'!O1524</x:f>
        <x:v>OPEN</x:v>
      </x:c>
    </x:row>
    <x:row r="4086">
      <x:c r="B4086" s="7" t="str">
        <x:v>AG-04080</x:v>
      </x:c>
      <x:c r="C4086" s="7" t="str">
        <x:v>PEA-B-Y2</x:v>
      </x:c>
      <x:c r="D4086" s="7" t="str">
        <x:v>channel instance</x:v>
      </x:c>
      <x:c r="E4086" s="7" t="str">
        <x:v>CH-PEA-B-Y2-14-1</x:v>
      </x:c>
      <x:c r="F4086" s="7" t="str">
        <x:f>'Channel Instances'!O1525</x:f>
        <x:v>OPEN</x:v>
      </x:c>
    </x:row>
    <x:row r="4087">
      <x:c r="B4087" s="7" t="str">
        <x:v>AG-04081</x:v>
      </x:c>
      <x:c r="C4087" s="7" t="str">
        <x:v>PEA-B-Y2</x:v>
      </x:c>
      <x:c r="D4087" s="7" t="str">
        <x:v>channel instance</x:v>
      </x:c>
      <x:c r="E4087" s="7" t="str">
        <x:v>CH-PEA-B-Y2-14-2</x:v>
      </x:c>
      <x:c r="F4087" s="7" t="str">
        <x:f>'Channel Instances'!O1526</x:f>
        <x:v>OPEN</x:v>
      </x:c>
    </x:row>
    <x:row r="4088">
      <x:c r="B4088" s="7" t="str">
        <x:v>AG-04082</x:v>
      </x:c>
      <x:c r="C4088" s="7" t="str">
        <x:v>PEA-B-Y2</x:v>
      </x:c>
      <x:c r="D4088" s="7" t="str">
        <x:v>channel instance</x:v>
      </x:c>
      <x:c r="E4088" s="7" t="str">
        <x:v>CH-PEA-B-Y2-14-3</x:v>
      </x:c>
      <x:c r="F4088" s="7" t="str">
        <x:f>'Channel Instances'!O1527</x:f>
        <x:v>OPEN</x:v>
      </x:c>
    </x:row>
    <x:row r="4089">
      <x:c r="B4089" s="7" t="str">
        <x:v>AG-04083</x:v>
      </x:c>
      <x:c r="C4089" s="7" t="str">
        <x:v>PEA-B-Y2</x:v>
      </x:c>
      <x:c r="D4089" s="7" t="str">
        <x:v>channel instance</x:v>
      </x:c>
      <x:c r="E4089" s="7" t="str">
        <x:v>CH-PEA-B-Y2-14-4</x:v>
      </x:c>
      <x:c r="F4089" s="7" t="str">
        <x:f>'Channel Instances'!O1528</x:f>
        <x:v>OPEN</x:v>
      </x:c>
    </x:row>
    <x:row r="4090">
      <x:c r="B4090" s="7" t="str">
        <x:v>AG-04084</x:v>
      </x:c>
      <x:c r="C4090" s="7" t="str">
        <x:v>PEA-B-Y2</x:v>
      </x:c>
      <x:c r="D4090" s="7" t="str">
        <x:v>channel instance</x:v>
      </x:c>
      <x:c r="E4090" s="7" t="str">
        <x:v>CH-PEA-B-Y2-14-5</x:v>
      </x:c>
      <x:c r="F4090" s="7" t="str">
        <x:f>'Channel Instances'!O1529</x:f>
        <x:v>OPEN</x:v>
      </x:c>
    </x:row>
    <x:row r="4091">
      <x:c r="B4091" s="7" t="str">
        <x:v>AG-04085</x:v>
      </x:c>
      <x:c r="C4091" s="7" t="str">
        <x:v>PEA-B-Y2</x:v>
      </x:c>
      <x:c r="D4091" s="7" t="str">
        <x:v>channel instance</x:v>
      </x:c>
      <x:c r="E4091" s="7" t="str">
        <x:v>CH-PEA-B-Y2-14-6</x:v>
      </x:c>
      <x:c r="F4091" s="7" t="str">
        <x:f>'Channel Instances'!O1530</x:f>
        <x:v>OPEN</x:v>
      </x:c>
    </x:row>
    <x:row r="4092">
      <x:c r="B4092" s="7" t="str">
        <x:v>AG-04086</x:v>
      </x:c>
      <x:c r="C4092" s="7" t="str">
        <x:v>PEA-B-Y2</x:v>
      </x:c>
      <x:c r="D4092" s="7" t="str">
        <x:v>channel instance</x:v>
      </x:c>
      <x:c r="E4092" s="7" t="str">
        <x:v>CH-PEA-B-Y2-15-1</x:v>
      </x:c>
      <x:c r="F4092" s="7" t="str">
        <x:f>'Channel Instances'!O1531</x:f>
        <x:v>OPEN</x:v>
      </x:c>
    </x:row>
    <x:row r="4093">
      <x:c r="B4093" s="7" t="str">
        <x:v>AG-04087</x:v>
      </x:c>
      <x:c r="C4093" s="7" t="str">
        <x:v>PEA-B-Y2</x:v>
      </x:c>
      <x:c r="D4093" s="7" t="str">
        <x:v>channel instance</x:v>
      </x:c>
      <x:c r="E4093" s="7" t="str">
        <x:v>CH-PEA-B-Y2-15-2</x:v>
      </x:c>
      <x:c r="F4093" s="7" t="str">
        <x:f>'Channel Instances'!O1532</x:f>
        <x:v>OPEN</x:v>
      </x:c>
    </x:row>
    <x:row r="4094">
      <x:c r="B4094" s="7" t="str">
        <x:v>AG-04088</x:v>
      </x:c>
      <x:c r="C4094" s="7" t="str">
        <x:v>PEA-B-Y2</x:v>
      </x:c>
      <x:c r="D4094" s="7" t="str">
        <x:v>channel instance</x:v>
      </x:c>
      <x:c r="E4094" s="7" t="str">
        <x:v>CH-PEA-B-Y2-15-3</x:v>
      </x:c>
      <x:c r="F4094" s="7" t="str">
        <x:f>'Channel Instances'!O1533</x:f>
        <x:v>OPEN</x:v>
      </x:c>
    </x:row>
    <x:row r="4095">
      <x:c r="B4095" s="7" t="str">
        <x:v>AG-04089</x:v>
      </x:c>
      <x:c r="C4095" s="7" t="str">
        <x:v>PEA-B-Y2</x:v>
      </x:c>
      <x:c r="D4095" s="7" t="str">
        <x:v>channel instance</x:v>
      </x:c>
      <x:c r="E4095" s="7" t="str">
        <x:v>CH-PEA-B-Y2-15-4</x:v>
      </x:c>
      <x:c r="F4095" s="7" t="str">
        <x:f>'Channel Instances'!O1534</x:f>
        <x:v>OPEN</x:v>
      </x:c>
    </x:row>
    <x:row r="4096">
      <x:c r="B4096" s="7" t="str">
        <x:v>AG-04090</x:v>
      </x:c>
      <x:c r="C4096" s="7" t="str">
        <x:v>PEA-B-Y2</x:v>
      </x:c>
      <x:c r="D4096" s="7" t="str">
        <x:v>channel instance</x:v>
      </x:c>
      <x:c r="E4096" s="7" t="str">
        <x:v>CH-PEA-B-Y2-15-5</x:v>
      </x:c>
      <x:c r="F4096" s="7" t="str">
        <x:f>'Channel Instances'!O1535</x:f>
        <x:v>OPEN</x:v>
      </x:c>
    </x:row>
    <x:row r="4097">
      <x:c r="B4097" s="7" t="str">
        <x:v>AG-04091</x:v>
      </x:c>
      <x:c r="C4097" s="7" t="str">
        <x:v>PEA-B-Y2</x:v>
      </x:c>
      <x:c r="D4097" s="7" t="str">
        <x:v>channel instance</x:v>
      </x:c>
      <x:c r="E4097" s="7" t="str">
        <x:v>CH-PEA-B-Y2-15-6</x:v>
      </x:c>
      <x:c r="F4097" s="7" t="str">
        <x:f>'Channel Instances'!O1536</x:f>
        <x:v>OPEN</x:v>
      </x:c>
    </x:row>
    <x:row r="4098">
      <x:c r="B4098" s="7" t="str">
        <x:v>AG-04092</x:v>
      </x:c>
      <x:c r="C4098" s="7" t="str">
        <x:v>PEA-B-Y2</x:v>
      </x:c>
      <x:c r="D4098" s="7" t="str">
        <x:v>channel instance</x:v>
      </x:c>
      <x:c r="E4098" s="7" t="str">
        <x:v>CH-PEA-B-Y2-16-1</x:v>
      </x:c>
      <x:c r="F4098" s="7" t="str">
        <x:f>'Channel Instances'!O1537</x:f>
        <x:v>OPEN</x:v>
      </x:c>
    </x:row>
    <x:row r="4099">
      <x:c r="B4099" s="7" t="str">
        <x:v>AG-04093</x:v>
      </x:c>
      <x:c r="C4099" s="7" t="str">
        <x:v>PEA-B-Y2</x:v>
      </x:c>
      <x:c r="D4099" s="7" t="str">
        <x:v>channel instance</x:v>
      </x:c>
      <x:c r="E4099" s="7" t="str">
        <x:v>CH-PEA-B-Y2-16-2</x:v>
      </x:c>
      <x:c r="F4099" s="7" t="str">
        <x:f>'Channel Instances'!O1538</x:f>
        <x:v>OPEN</x:v>
      </x:c>
    </x:row>
    <x:row r="4100">
      <x:c r="B4100" s="7" t="str">
        <x:v>AG-04094</x:v>
      </x:c>
      <x:c r="C4100" s="7" t="str">
        <x:v>PEA-B-Y2</x:v>
      </x:c>
      <x:c r="D4100" s="7" t="str">
        <x:v>channel instance</x:v>
      </x:c>
      <x:c r="E4100" s="7" t="str">
        <x:v>CH-PEA-B-Y2-16-3</x:v>
      </x:c>
      <x:c r="F4100" s="7" t="str">
        <x:f>'Channel Instances'!O1539</x:f>
        <x:v>OPEN</x:v>
      </x:c>
    </x:row>
    <x:row r="4101">
      <x:c r="B4101" s="7" t="str">
        <x:v>AG-04095</x:v>
      </x:c>
      <x:c r="C4101" s="7" t="str">
        <x:v>PEA-B-Y2</x:v>
      </x:c>
      <x:c r="D4101" s="7" t="str">
        <x:v>channel instance</x:v>
      </x:c>
      <x:c r="E4101" s="7" t="str">
        <x:v>CH-PEA-B-Y2-16-4</x:v>
      </x:c>
      <x:c r="F4101" s="7" t="str">
        <x:f>'Channel Instances'!O1540</x:f>
        <x:v>OPEN</x:v>
      </x:c>
    </x:row>
    <x:row r="4102">
      <x:c r="B4102" s="7" t="str">
        <x:v>AG-04096</x:v>
      </x:c>
      <x:c r="C4102" s="7" t="str">
        <x:v>PEA-B-Y2</x:v>
      </x:c>
      <x:c r="D4102" s="7" t="str">
        <x:v>channel instance</x:v>
      </x:c>
      <x:c r="E4102" s="7" t="str">
        <x:v>CH-PEA-B-Y2-16-5</x:v>
      </x:c>
      <x:c r="F4102" s="7" t="str">
        <x:f>'Channel Instances'!O1541</x:f>
        <x:v>OPEN</x:v>
      </x:c>
    </x:row>
    <x:row r="4103">
      <x:c r="B4103" s="7" t="str">
        <x:v>AG-04097</x:v>
      </x:c>
      <x:c r="C4103" s="7" t="str">
        <x:v>PEA-B-Y2</x:v>
      </x:c>
      <x:c r="D4103" s="7" t="str">
        <x:v>channel instance</x:v>
      </x:c>
      <x:c r="E4103" s="7" t="str">
        <x:v>CH-PEA-B-Y2-16-6</x:v>
      </x:c>
      <x:c r="F4103" s="7" t="str">
        <x:f>'Channel Instances'!O1542</x:f>
        <x:v>OPEN</x:v>
      </x:c>
    </x:row>
    <x:row r="4104">
      <x:c r="B4104" s="7" t="str">
        <x:v>AG-04098</x:v>
      </x:c>
      <x:c r="C4104" s="7" t="str">
        <x:v>PEA-B-Y2</x:v>
      </x:c>
      <x:c r="D4104" s="7" t="str">
        <x:v>channel instance</x:v>
      </x:c>
      <x:c r="E4104" s="7" t="str">
        <x:v>CH-PEA-B-Y2-17-1</x:v>
      </x:c>
      <x:c r="F4104" s="7" t="str">
        <x:f>'Channel Instances'!O1543</x:f>
        <x:v>OPEN</x:v>
      </x:c>
    </x:row>
    <x:row r="4105">
      <x:c r="B4105" s="7" t="str">
        <x:v>AG-04099</x:v>
      </x:c>
      <x:c r="C4105" s="7" t="str">
        <x:v>PEA-B-Y2</x:v>
      </x:c>
      <x:c r="D4105" s="7" t="str">
        <x:v>channel instance</x:v>
      </x:c>
      <x:c r="E4105" s="7" t="str">
        <x:v>CH-PEA-B-Y2-17-2</x:v>
      </x:c>
      <x:c r="F4105" s="7" t="str">
        <x:f>'Channel Instances'!O1544</x:f>
        <x:v>OPEN</x:v>
      </x:c>
    </x:row>
    <x:row r="4106">
      <x:c r="B4106" s="7" t="str">
        <x:v>AG-04100</x:v>
      </x:c>
      <x:c r="C4106" s="7" t="str">
        <x:v>PEA-B-Y2</x:v>
      </x:c>
      <x:c r="D4106" s="7" t="str">
        <x:v>channel instance</x:v>
      </x:c>
      <x:c r="E4106" s="7" t="str">
        <x:v>CH-PEA-B-Y2-17-3</x:v>
      </x:c>
      <x:c r="F4106" s="7" t="str">
        <x:f>'Channel Instances'!O1545</x:f>
        <x:v>OPEN</x:v>
      </x:c>
    </x:row>
    <x:row r="4107">
      <x:c r="B4107" s="7" t="str">
        <x:v>AG-04101</x:v>
      </x:c>
      <x:c r="C4107" s="7" t="str">
        <x:v>PEA-B-Y2</x:v>
      </x:c>
      <x:c r="D4107" s="7" t="str">
        <x:v>channel instance</x:v>
      </x:c>
      <x:c r="E4107" s="7" t="str">
        <x:v>CH-PEA-B-Y2-17-4</x:v>
      </x:c>
      <x:c r="F4107" s="7" t="str">
        <x:f>'Channel Instances'!O1546</x:f>
        <x:v>OPEN</x:v>
      </x:c>
    </x:row>
    <x:row r="4108">
      <x:c r="B4108" s="7" t="str">
        <x:v>AG-04102</x:v>
      </x:c>
      <x:c r="C4108" s="7" t="str">
        <x:v>PEA-B-Y2</x:v>
      </x:c>
      <x:c r="D4108" s="7" t="str">
        <x:v>channel instance</x:v>
      </x:c>
      <x:c r="E4108" s="7" t="str">
        <x:v>CH-PEA-B-Y2-17-5</x:v>
      </x:c>
      <x:c r="F4108" s="7" t="str">
        <x:f>'Channel Instances'!O1547</x:f>
        <x:v>OPEN</x:v>
      </x:c>
    </x:row>
    <x:row r="4109">
      <x:c r="B4109" s="7" t="str">
        <x:v>AG-04103</x:v>
      </x:c>
      <x:c r="C4109" s="7" t="str">
        <x:v>PEA-B-Y2</x:v>
      </x:c>
      <x:c r="D4109" s="7" t="str">
        <x:v>channel instance</x:v>
      </x:c>
      <x:c r="E4109" s="7" t="str">
        <x:v>CH-PEA-B-Y2-17-6</x:v>
      </x:c>
      <x:c r="F4109" s="7" t="str">
        <x:f>'Channel Instances'!O1548</x:f>
        <x:v>OPEN</x:v>
      </x:c>
    </x:row>
    <x:row r="4110">
      <x:c r="B4110" s="7" t="str">
        <x:v>AG-04104</x:v>
      </x:c>
      <x:c r="C4110" s="7" t="str">
        <x:v>PEA-B-Y2</x:v>
      </x:c>
      <x:c r="D4110" s="7" t="str">
        <x:v>channel instance</x:v>
      </x:c>
      <x:c r="E4110" s="7" t="str">
        <x:v>CH-PEA-B-Y2-18-1</x:v>
      </x:c>
      <x:c r="F4110" s="7" t="str">
        <x:f>'Channel Instances'!O1549</x:f>
        <x:v>OPEN</x:v>
      </x:c>
    </x:row>
    <x:row r="4111">
      <x:c r="B4111" s="7" t="str">
        <x:v>AG-04105</x:v>
      </x:c>
      <x:c r="C4111" s="7" t="str">
        <x:v>PEA-B-Y2</x:v>
      </x:c>
      <x:c r="D4111" s="7" t="str">
        <x:v>channel instance</x:v>
      </x:c>
      <x:c r="E4111" s="7" t="str">
        <x:v>CH-PEA-B-Y2-18-2</x:v>
      </x:c>
      <x:c r="F4111" s="7" t="str">
        <x:f>'Channel Instances'!O1550</x:f>
        <x:v>OPEN</x:v>
      </x:c>
    </x:row>
    <x:row r="4112">
      <x:c r="B4112" s="7" t="str">
        <x:v>AG-04106</x:v>
      </x:c>
      <x:c r="C4112" s="7" t="str">
        <x:v>PEA-B-Y2</x:v>
      </x:c>
      <x:c r="D4112" s="7" t="str">
        <x:v>channel instance</x:v>
      </x:c>
      <x:c r="E4112" s="7" t="str">
        <x:v>CH-PEA-B-Y2-18-3</x:v>
      </x:c>
      <x:c r="F4112" s="7" t="str">
        <x:f>'Channel Instances'!O1551</x:f>
        <x:v>OPEN</x:v>
      </x:c>
    </x:row>
    <x:row r="4113">
      <x:c r="B4113" s="7" t="str">
        <x:v>AG-04107</x:v>
      </x:c>
      <x:c r="C4113" s="7" t="str">
        <x:v>PEA-B-Y2</x:v>
      </x:c>
      <x:c r="D4113" s="7" t="str">
        <x:v>channel instance</x:v>
      </x:c>
      <x:c r="E4113" s="7" t="str">
        <x:v>CH-PEA-B-Y2-18-4</x:v>
      </x:c>
      <x:c r="F4113" s="7" t="str">
        <x:f>'Channel Instances'!O1552</x:f>
        <x:v>OPEN</x:v>
      </x:c>
    </x:row>
    <x:row r="4114">
      <x:c r="B4114" s="7" t="str">
        <x:v>AG-04108</x:v>
      </x:c>
      <x:c r="C4114" s="7" t="str">
        <x:v>PEA-B-Y2</x:v>
      </x:c>
      <x:c r="D4114" s="7" t="str">
        <x:v>channel instance</x:v>
      </x:c>
      <x:c r="E4114" s="7" t="str">
        <x:v>CH-PEA-B-Y2-18-5</x:v>
      </x:c>
      <x:c r="F4114" s="7" t="str">
        <x:f>'Channel Instances'!O1553</x:f>
        <x:v>OPEN</x:v>
      </x:c>
    </x:row>
    <x:row r="4115">
      <x:c r="B4115" s="7" t="str">
        <x:v>AG-04109</x:v>
      </x:c>
      <x:c r="C4115" s="7" t="str">
        <x:v>PEA-B-Y2</x:v>
      </x:c>
      <x:c r="D4115" s="7" t="str">
        <x:v>channel instance</x:v>
      </x:c>
      <x:c r="E4115" s="7" t="str">
        <x:v>CH-PEA-B-Y2-18-6</x:v>
      </x:c>
      <x:c r="F4115" s="7" t="str">
        <x:f>'Channel Instances'!O1554</x:f>
        <x:v>OPEN</x:v>
      </x:c>
    </x:row>
    <x:row r="4116">
      <x:c r="B4116" s="7" t="str">
        <x:v>AG-04110</x:v>
      </x:c>
      <x:c r="C4116" s="7" t="str">
        <x:v>PEA-B-Y2</x:v>
      </x:c>
      <x:c r="D4116" s="7" t="str">
        <x:v>channel instance</x:v>
      </x:c>
      <x:c r="E4116" s="7" t="str">
        <x:v>CH-PEA-B-Y2-19-1</x:v>
      </x:c>
      <x:c r="F4116" s="7" t="str">
        <x:f>'Channel Instances'!O1555</x:f>
        <x:v>OPEN</x:v>
      </x:c>
    </x:row>
    <x:row r="4117">
      <x:c r="B4117" s="7" t="str">
        <x:v>AG-04111</x:v>
      </x:c>
      <x:c r="C4117" s="7" t="str">
        <x:v>PEA-B-Y2</x:v>
      </x:c>
      <x:c r="D4117" s="7" t="str">
        <x:v>channel instance</x:v>
      </x:c>
      <x:c r="E4117" s="7" t="str">
        <x:v>CH-PEA-B-Y2-19-2</x:v>
      </x:c>
      <x:c r="F4117" s="7" t="str">
        <x:f>'Channel Instances'!O1556</x:f>
        <x:v>OPEN</x:v>
      </x:c>
    </x:row>
    <x:row r="4118">
      <x:c r="B4118" s="7" t="str">
        <x:v>AG-04112</x:v>
      </x:c>
      <x:c r="C4118" s="7" t="str">
        <x:v>PEA-B-Y2</x:v>
      </x:c>
      <x:c r="D4118" s="7" t="str">
        <x:v>channel instance</x:v>
      </x:c>
      <x:c r="E4118" s="7" t="str">
        <x:v>CH-PEA-B-Y2-19-3</x:v>
      </x:c>
      <x:c r="F4118" s="7" t="str">
        <x:f>'Channel Instances'!O1557</x:f>
        <x:v>OPEN</x:v>
      </x:c>
    </x:row>
    <x:row r="4119">
      <x:c r="B4119" s="7" t="str">
        <x:v>AG-04113</x:v>
      </x:c>
      <x:c r="C4119" s="7" t="str">
        <x:v>PEA-B-Y2</x:v>
      </x:c>
      <x:c r="D4119" s="7" t="str">
        <x:v>channel instance</x:v>
      </x:c>
      <x:c r="E4119" s="7" t="str">
        <x:v>CH-PEA-B-Y2-19-4</x:v>
      </x:c>
      <x:c r="F4119" s="7" t="str">
        <x:f>'Channel Instances'!O1558</x:f>
        <x:v>OPEN</x:v>
      </x:c>
    </x:row>
    <x:row r="4120">
      <x:c r="B4120" s="7" t="str">
        <x:v>AG-04114</x:v>
      </x:c>
      <x:c r="C4120" s="7" t="str">
        <x:v>PEA-B-Y2</x:v>
      </x:c>
      <x:c r="D4120" s="7" t="str">
        <x:v>channel instance</x:v>
      </x:c>
      <x:c r="E4120" s="7" t="str">
        <x:v>CH-PEA-B-Y2-19-5</x:v>
      </x:c>
      <x:c r="F4120" s="7" t="str">
        <x:f>'Channel Instances'!O1559</x:f>
        <x:v>OPEN</x:v>
      </x:c>
    </x:row>
    <x:row r="4121">
      <x:c r="B4121" s="7" t="str">
        <x:v>AG-04115</x:v>
      </x:c>
      <x:c r="C4121" s="7" t="str">
        <x:v>PEA-B-Y2</x:v>
      </x:c>
      <x:c r="D4121" s="7" t="str">
        <x:v>channel instance</x:v>
      </x:c>
      <x:c r="E4121" s="7" t="str">
        <x:v>CH-PEA-B-Y2-19-6</x:v>
      </x:c>
      <x:c r="F4121" s="7" t="str">
        <x:f>'Channel Instances'!O1560</x:f>
        <x:v>OPEN</x:v>
      </x:c>
    </x:row>
    <x:row r="4122">
      <x:c r="B4122" s="7" t="str">
        <x:v>AG-04116</x:v>
      </x:c>
      <x:c r="C4122" s="7" t="str">
        <x:v>PEA-B-Y2</x:v>
      </x:c>
      <x:c r="D4122" s="7" t="str">
        <x:v>channel instance</x:v>
      </x:c>
      <x:c r="E4122" s="7" t="str">
        <x:v>CH-PEA-B-Y2-20-1</x:v>
      </x:c>
      <x:c r="F4122" s="7" t="str">
        <x:f>'Channel Instances'!O1561</x:f>
        <x:v>OPEN</x:v>
      </x:c>
    </x:row>
    <x:row r="4123">
      <x:c r="B4123" s="7" t="str">
        <x:v>AG-04117</x:v>
      </x:c>
      <x:c r="C4123" s="7" t="str">
        <x:v>PEA-B-Y2</x:v>
      </x:c>
      <x:c r="D4123" s="7" t="str">
        <x:v>channel instance</x:v>
      </x:c>
      <x:c r="E4123" s="7" t="str">
        <x:v>CH-PEA-B-Y2-20-2</x:v>
      </x:c>
      <x:c r="F4123" s="7" t="str">
        <x:f>'Channel Instances'!O1562</x:f>
        <x:v>OPEN</x:v>
      </x:c>
    </x:row>
    <x:row r="4124">
      <x:c r="B4124" s="7" t="str">
        <x:v>AG-04118</x:v>
      </x:c>
      <x:c r="C4124" s="7" t="str">
        <x:v>PEA-B-Y2</x:v>
      </x:c>
      <x:c r="D4124" s="7" t="str">
        <x:v>channel instance</x:v>
      </x:c>
      <x:c r="E4124" s="7" t="str">
        <x:v>CH-PEA-B-Y2-20-3</x:v>
      </x:c>
      <x:c r="F4124" s="7" t="str">
        <x:f>'Channel Instances'!O1563</x:f>
        <x:v>OPEN</x:v>
      </x:c>
    </x:row>
    <x:row r="4125">
      <x:c r="B4125" s="7" t="str">
        <x:v>AG-04119</x:v>
      </x:c>
      <x:c r="C4125" s="7" t="str">
        <x:v>PEA-B-Y2</x:v>
      </x:c>
      <x:c r="D4125" s="7" t="str">
        <x:v>channel instance</x:v>
      </x:c>
      <x:c r="E4125" s="7" t="str">
        <x:v>CH-PEA-B-Y2-20-4</x:v>
      </x:c>
      <x:c r="F4125" s="7" t="str">
        <x:f>'Channel Instances'!O1564</x:f>
        <x:v>OPEN</x:v>
      </x:c>
    </x:row>
    <x:row r="4126">
      <x:c r="B4126" s="7" t="str">
        <x:v>AG-04120</x:v>
      </x:c>
      <x:c r="C4126" s="7" t="str">
        <x:v>PEA-B-Y2</x:v>
      </x:c>
      <x:c r="D4126" s="7" t="str">
        <x:v>channel instance</x:v>
      </x:c>
      <x:c r="E4126" s="7" t="str">
        <x:v>CH-PEA-B-Y2-20-5</x:v>
      </x:c>
      <x:c r="F4126" s="7" t="str">
        <x:f>'Channel Instances'!O1565</x:f>
        <x:v>OPEN</x:v>
      </x:c>
    </x:row>
    <x:row r="4127">
      <x:c r="B4127" s="7" t="str">
        <x:v>AG-04121</x:v>
      </x:c>
      <x:c r="C4127" s="7" t="str">
        <x:v>PEA-B-Y2</x:v>
      </x:c>
      <x:c r="D4127" s="7" t="str">
        <x:v>channel instance</x:v>
      </x:c>
      <x:c r="E4127" s="7" t="str">
        <x:v>CH-PEA-B-Y2-20-6</x:v>
      </x:c>
      <x:c r="F4127" s="7" t="str">
        <x:f>'Channel Instances'!O1566</x:f>
        <x:v>OPEN</x:v>
      </x:c>
    </x:row>
    <x:row r="4128">
      <x:c r="B4128" s="7" t="str">
        <x:v>AG-04122</x:v>
      </x:c>
      <x:c r="C4128" s="7" t="str">
        <x:v>PEA-B-Y2</x:v>
      </x:c>
      <x:c r="D4128" s="7" t="str">
        <x:v>channel instance</x:v>
      </x:c>
      <x:c r="E4128" s="7" t="str">
        <x:v>CH-PEA-B-Y2-21-1</x:v>
      </x:c>
      <x:c r="F4128" s="7" t="str">
        <x:f>'Channel Instances'!O1567</x:f>
        <x:v>OPEN</x:v>
      </x:c>
    </x:row>
    <x:row r="4129">
      <x:c r="B4129" s="7" t="str">
        <x:v>AG-04123</x:v>
      </x:c>
      <x:c r="C4129" s="7" t="str">
        <x:v>PEA-B-Y2</x:v>
      </x:c>
      <x:c r="D4129" s="7" t="str">
        <x:v>channel instance</x:v>
      </x:c>
      <x:c r="E4129" s="7" t="str">
        <x:v>CH-PEA-B-Y2-21-2</x:v>
      </x:c>
      <x:c r="F4129" s="7" t="str">
        <x:f>'Channel Instances'!O1568</x:f>
        <x:v>OPEN</x:v>
      </x:c>
    </x:row>
    <x:row r="4130">
      <x:c r="B4130" s="7" t="str">
        <x:v>AG-04124</x:v>
      </x:c>
      <x:c r="C4130" s="7" t="str">
        <x:v>PEA-B-Y2</x:v>
      </x:c>
      <x:c r="D4130" s="7" t="str">
        <x:v>channel instance</x:v>
      </x:c>
      <x:c r="E4130" s="7" t="str">
        <x:v>CH-PEA-B-Y2-21-3</x:v>
      </x:c>
      <x:c r="F4130" s="7" t="str">
        <x:f>'Channel Instances'!O1569</x:f>
        <x:v>OPEN</x:v>
      </x:c>
    </x:row>
    <x:row r="4131">
      <x:c r="B4131" s="7" t="str">
        <x:v>AG-04125</x:v>
      </x:c>
      <x:c r="C4131" s="7" t="str">
        <x:v>PEA-B-Y2</x:v>
      </x:c>
      <x:c r="D4131" s="7" t="str">
        <x:v>channel instance</x:v>
      </x:c>
      <x:c r="E4131" s="7" t="str">
        <x:v>CH-PEA-B-Y2-21-4</x:v>
      </x:c>
      <x:c r="F4131" s="7" t="str">
        <x:f>'Channel Instances'!O1570</x:f>
        <x:v>OPEN</x:v>
      </x:c>
    </x:row>
    <x:row r="4132">
      <x:c r="B4132" s="7" t="str">
        <x:v>AG-04126</x:v>
      </x:c>
      <x:c r="C4132" s="7" t="str">
        <x:v>PEA-B-Y2</x:v>
      </x:c>
      <x:c r="D4132" s="7" t="str">
        <x:v>channel instance</x:v>
      </x:c>
      <x:c r="E4132" s="7" t="str">
        <x:v>CH-PEA-B-Y2-21-5</x:v>
      </x:c>
      <x:c r="F4132" s="7" t="str">
        <x:f>'Channel Instances'!O1571</x:f>
        <x:v>OPEN</x:v>
      </x:c>
    </x:row>
    <x:row r="4133">
      <x:c r="B4133" s="7" t="str">
        <x:v>AG-04127</x:v>
      </x:c>
      <x:c r="C4133" s="7" t="str">
        <x:v>PEA-B-Y2</x:v>
      </x:c>
      <x:c r="D4133" s="7" t="str">
        <x:v>channel instance</x:v>
      </x:c>
      <x:c r="E4133" s="7" t="str">
        <x:v>CH-PEA-B-Y2-21-6</x:v>
      </x:c>
      <x:c r="F4133" s="7" t="str">
        <x:f>'Channel Instances'!O1572</x:f>
        <x:v>OPEN</x:v>
      </x:c>
    </x:row>
    <x:row r="4134">
      <x:c r="B4134" s="7" t="str">
        <x:v>AG-04128</x:v>
      </x:c>
      <x:c r="C4134" s="7" t="str">
        <x:v>PEA-B-Y2</x:v>
      </x:c>
      <x:c r="D4134" s="7" t="str">
        <x:v>channel instance</x:v>
      </x:c>
      <x:c r="E4134" s="7" t="str">
        <x:v>CH-PEA-B-Y2-22-1</x:v>
      </x:c>
      <x:c r="F4134" s="7" t="str">
        <x:f>'Channel Instances'!O1573</x:f>
        <x:v>OPEN</x:v>
      </x:c>
    </x:row>
    <x:row r="4135">
      <x:c r="B4135" s="7" t="str">
        <x:v>AG-04129</x:v>
      </x:c>
      <x:c r="C4135" s="7" t="str">
        <x:v>PEA-B-Y2</x:v>
      </x:c>
      <x:c r="D4135" s="7" t="str">
        <x:v>channel instance</x:v>
      </x:c>
      <x:c r="E4135" s="7" t="str">
        <x:v>CH-PEA-B-Y2-22-2</x:v>
      </x:c>
      <x:c r="F4135" s="7" t="str">
        <x:f>'Channel Instances'!O1574</x:f>
        <x:v>OPEN</x:v>
      </x:c>
    </x:row>
    <x:row r="4136">
      <x:c r="B4136" s="7" t="str">
        <x:v>AG-04130</x:v>
      </x:c>
      <x:c r="C4136" s="7" t="str">
        <x:v>PEA-B-Y2</x:v>
      </x:c>
      <x:c r="D4136" s="7" t="str">
        <x:v>channel instance</x:v>
      </x:c>
      <x:c r="E4136" s="7" t="str">
        <x:v>CH-PEA-B-Y2-22-3</x:v>
      </x:c>
      <x:c r="F4136" s="7" t="str">
        <x:f>'Channel Instances'!O1575</x:f>
        <x:v>OPEN</x:v>
      </x:c>
    </x:row>
    <x:row r="4137">
      <x:c r="B4137" s="7" t="str">
        <x:v>AG-04131</x:v>
      </x:c>
      <x:c r="C4137" s="7" t="str">
        <x:v>PEA-B-Y2</x:v>
      </x:c>
      <x:c r="D4137" s="7" t="str">
        <x:v>channel instance</x:v>
      </x:c>
      <x:c r="E4137" s="7" t="str">
        <x:v>CH-PEA-B-Y2-22-4</x:v>
      </x:c>
      <x:c r="F4137" s="7" t="str">
        <x:f>'Channel Instances'!O1576</x:f>
        <x:v>OPEN</x:v>
      </x:c>
    </x:row>
    <x:row r="4138">
      <x:c r="B4138" s="7" t="str">
        <x:v>AG-04132</x:v>
      </x:c>
      <x:c r="C4138" s="7" t="str">
        <x:v>PEA-B-Y2</x:v>
      </x:c>
      <x:c r="D4138" s="7" t="str">
        <x:v>channel instance</x:v>
      </x:c>
      <x:c r="E4138" s="7" t="str">
        <x:v>CH-PEA-B-Y2-22-5</x:v>
      </x:c>
      <x:c r="F4138" s="7" t="str">
        <x:f>'Channel Instances'!O1577</x:f>
        <x:v>OPEN</x:v>
      </x:c>
    </x:row>
    <x:row r="4139">
      <x:c r="B4139" s="7" t="str">
        <x:v>AG-04133</x:v>
      </x:c>
      <x:c r="C4139" s="7" t="str">
        <x:v>PEA-B-Y2</x:v>
      </x:c>
      <x:c r="D4139" s="7" t="str">
        <x:v>channel instance</x:v>
      </x:c>
      <x:c r="E4139" s="7" t="str">
        <x:v>CH-PEA-B-Y2-22-6</x:v>
      </x:c>
      <x:c r="F4139" s="7" t="str">
        <x:f>'Channel Instances'!O1578</x:f>
        <x:v>OPEN</x:v>
      </x:c>
    </x:row>
    <x:row r="4140">
      <x:c r="B4140" s="7" t="str">
        <x:v>AG-04134</x:v>
      </x:c>
      <x:c r="C4140" s="7" t="str">
        <x:v>PEA-B-Y2</x:v>
      </x:c>
      <x:c r="D4140" s="7" t="str">
        <x:v>channel instance</x:v>
      </x:c>
      <x:c r="E4140" s="7" t="str">
        <x:v>CH-PEA-B-Y2-23-1</x:v>
      </x:c>
      <x:c r="F4140" s="7" t="str">
        <x:f>'Channel Instances'!O1579</x:f>
        <x:v>OPEN</x:v>
      </x:c>
    </x:row>
    <x:row r="4141">
      <x:c r="B4141" s="7" t="str">
        <x:v>AG-04135</x:v>
      </x:c>
      <x:c r="C4141" s="7" t="str">
        <x:v>PEA-B-Y2</x:v>
      </x:c>
      <x:c r="D4141" s="7" t="str">
        <x:v>channel instance</x:v>
      </x:c>
      <x:c r="E4141" s="7" t="str">
        <x:v>CH-PEA-B-Y2-23-2</x:v>
      </x:c>
      <x:c r="F4141" s="7" t="str">
        <x:f>'Channel Instances'!O1580</x:f>
        <x:v>OPEN</x:v>
      </x:c>
    </x:row>
    <x:row r="4142">
      <x:c r="B4142" s="7" t="str">
        <x:v>AG-04136</x:v>
      </x:c>
      <x:c r="C4142" s="7" t="str">
        <x:v>PEA-B-Y2</x:v>
      </x:c>
      <x:c r="D4142" s="7" t="str">
        <x:v>channel instance</x:v>
      </x:c>
      <x:c r="E4142" s="7" t="str">
        <x:v>CH-PEA-B-Y2-23-3</x:v>
      </x:c>
      <x:c r="F4142" s="7" t="str">
        <x:f>'Channel Instances'!O1581</x:f>
        <x:v>OPEN</x:v>
      </x:c>
    </x:row>
    <x:row r="4143">
      <x:c r="B4143" s="7" t="str">
        <x:v>AG-04137</x:v>
      </x:c>
      <x:c r="C4143" s="7" t="str">
        <x:v>PEA-B-Y2</x:v>
      </x:c>
      <x:c r="D4143" s="7" t="str">
        <x:v>channel instance</x:v>
      </x:c>
      <x:c r="E4143" s="7" t="str">
        <x:v>CH-PEA-B-Y2-23-4</x:v>
      </x:c>
      <x:c r="F4143" s="7" t="str">
        <x:f>'Channel Instances'!O1582</x:f>
        <x:v>OPEN</x:v>
      </x:c>
    </x:row>
    <x:row r="4144">
      <x:c r="B4144" s="7" t="str">
        <x:v>AG-04138</x:v>
      </x:c>
      <x:c r="C4144" s="7" t="str">
        <x:v>PEA-B-Y2</x:v>
      </x:c>
      <x:c r="D4144" s="7" t="str">
        <x:v>channel instance</x:v>
      </x:c>
      <x:c r="E4144" s="7" t="str">
        <x:v>CH-PEA-B-Y2-23-5</x:v>
      </x:c>
      <x:c r="F4144" s="7" t="str">
        <x:f>'Channel Instances'!O1583</x:f>
        <x:v>OPEN</x:v>
      </x:c>
    </x:row>
    <x:row r="4145">
      <x:c r="B4145" s="7" t="str">
        <x:v>AG-04139</x:v>
      </x:c>
      <x:c r="C4145" s="7" t="str">
        <x:v>PEA-B-Y2</x:v>
      </x:c>
      <x:c r="D4145" s="7" t="str">
        <x:v>channel instance</x:v>
      </x:c>
      <x:c r="E4145" s="7" t="str">
        <x:v>CH-PEA-B-Y2-23-6</x:v>
      </x:c>
      <x:c r="F4145" s="7" t="str">
        <x:f>'Channel Instances'!O1584</x:f>
        <x:v>OPEN</x:v>
      </x:c>
    </x:row>
    <x:row r="4146">
      <x:c r="B4146" s="7" t="str">
        <x:v>AG-04140</x:v>
      </x:c>
      <x:c r="C4146" s="7" t="str">
        <x:v>PEA-B-Y2</x:v>
      </x:c>
      <x:c r="D4146" s="7" t="str">
        <x:v>channel instance</x:v>
      </x:c>
      <x:c r="E4146" s="7" t="str">
        <x:v>CH-PEA-B-Y2-24-1</x:v>
      </x:c>
      <x:c r="F4146" s="7" t="str">
        <x:f>'Channel Instances'!O1585</x:f>
        <x:v>OPEN</x:v>
      </x:c>
    </x:row>
    <x:row r="4147">
      <x:c r="B4147" s="7" t="str">
        <x:v>AG-04141</x:v>
      </x:c>
      <x:c r="C4147" s="7" t="str">
        <x:v>PEA-B-Y2</x:v>
      </x:c>
      <x:c r="D4147" s="7" t="str">
        <x:v>channel instance</x:v>
      </x:c>
      <x:c r="E4147" s="7" t="str">
        <x:v>CH-PEA-B-Y2-24-2</x:v>
      </x:c>
      <x:c r="F4147" s="7" t="str">
        <x:f>'Channel Instances'!O1586</x:f>
        <x:v>OPEN</x:v>
      </x:c>
    </x:row>
    <x:row r="4148">
      <x:c r="B4148" s="7" t="str">
        <x:v>AG-04142</x:v>
      </x:c>
      <x:c r="C4148" s="7" t="str">
        <x:v>PEA-B-Y2</x:v>
      </x:c>
      <x:c r="D4148" s="7" t="str">
        <x:v>channel instance</x:v>
      </x:c>
      <x:c r="E4148" s="7" t="str">
        <x:v>CH-PEA-B-Y2-24-3</x:v>
      </x:c>
      <x:c r="F4148" s="7" t="str">
        <x:f>'Channel Instances'!O1587</x:f>
        <x:v>OPEN</x:v>
      </x:c>
    </x:row>
    <x:row r="4149">
      <x:c r="B4149" s="7" t="str">
        <x:v>AG-04143</x:v>
      </x:c>
      <x:c r="C4149" s="7" t="str">
        <x:v>PEA-B-Y2</x:v>
      </x:c>
      <x:c r="D4149" s="7" t="str">
        <x:v>channel instance</x:v>
      </x:c>
      <x:c r="E4149" s="7" t="str">
        <x:v>CH-PEA-B-Y2-24-4</x:v>
      </x:c>
      <x:c r="F4149" s="7" t="str">
        <x:f>'Channel Instances'!O1588</x:f>
        <x:v>OPEN</x:v>
      </x:c>
    </x:row>
    <x:row r="4150">
      <x:c r="B4150" s="7" t="str">
        <x:v>AG-04144</x:v>
      </x:c>
      <x:c r="C4150" s="7" t="str">
        <x:v>PEA-B-Y2</x:v>
      </x:c>
      <x:c r="D4150" s="7" t="str">
        <x:v>channel instance</x:v>
      </x:c>
      <x:c r="E4150" s="7" t="str">
        <x:v>CH-PEA-B-Y2-24-5</x:v>
      </x:c>
      <x:c r="F4150" s="7" t="str">
        <x:f>'Channel Instances'!O1589</x:f>
        <x:v>OPEN</x:v>
      </x:c>
    </x:row>
    <x:row r="4151">
      <x:c r="B4151" s="7" t="str">
        <x:v>AG-04145</x:v>
      </x:c>
      <x:c r="C4151" s="7" t="str">
        <x:v>PEA-B-Y2</x:v>
      </x:c>
      <x:c r="D4151" s="7" t="str">
        <x:v>channel instance</x:v>
      </x:c>
      <x:c r="E4151" s="7" t="str">
        <x:v>CH-PEA-B-Y2-24-6</x:v>
      </x:c>
      <x:c r="F4151" s="7" t="str">
        <x:f>'Channel Instances'!O1590</x:f>
        <x:v>OPEN</x:v>
      </x:c>
    </x:row>
    <x:row r="4152">
      <x:c r="B4152" s="7" t="str">
        <x:v>AG-04146</x:v>
      </x:c>
      <x:c r="C4152" s="7" t="str">
        <x:v>PEA-B-Y2</x:v>
      </x:c>
      <x:c r="D4152" s="7" t="str">
        <x:v>factory calibration</x:v>
      </x:c>
      <x:c r="E4152" s="7" t="str">
        <x:v>CAL-CH-PEA-B-Y2-01-1</x:v>
      </x:c>
      <x:c r="F4152" s="7" t="str">
        <x:f>'Calibration Records'!M1447</x:f>
        <x:v>OPEN</x:v>
      </x:c>
    </x:row>
    <x:row r="4153">
      <x:c r="B4153" s="7" t="str">
        <x:v>AG-04147</x:v>
      </x:c>
      <x:c r="C4153" s="7" t="str">
        <x:v>PEA-B-Y2</x:v>
      </x:c>
      <x:c r="D4153" s="7" t="str">
        <x:v>factory calibration</x:v>
      </x:c>
      <x:c r="E4153" s="7" t="str">
        <x:v>CAL-CH-PEA-B-Y2-01-2</x:v>
      </x:c>
      <x:c r="F4153" s="7" t="str">
        <x:f>'Calibration Records'!M1448</x:f>
        <x:v>OPEN</x:v>
      </x:c>
    </x:row>
    <x:row r="4154">
      <x:c r="B4154" s="7" t="str">
        <x:v>AG-04148</x:v>
      </x:c>
      <x:c r="C4154" s="7" t="str">
        <x:v>PEA-B-Y2</x:v>
      </x:c>
      <x:c r="D4154" s="7" t="str">
        <x:v>factory calibration</x:v>
      </x:c>
      <x:c r="E4154" s="7" t="str">
        <x:v>CAL-CH-PEA-B-Y2-01-3</x:v>
      </x:c>
      <x:c r="F4154" s="7" t="str">
        <x:f>'Calibration Records'!M1449</x:f>
        <x:v>OPEN</x:v>
      </x:c>
    </x:row>
    <x:row r="4155">
      <x:c r="B4155" s="7" t="str">
        <x:v>AG-04149</x:v>
      </x:c>
      <x:c r="C4155" s="7" t="str">
        <x:v>PEA-B-Y2</x:v>
      </x:c>
      <x:c r="D4155" s="7" t="str">
        <x:v>factory calibration</x:v>
      </x:c>
      <x:c r="E4155" s="7" t="str">
        <x:v>CAL-CH-PEA-B-Y2-01-4</x:v>
      </x:c>
      <x:c r="F4155" s="7" t="str">
        <x:f>'Calibration Records'!M1450</x:f>
        <x:v>OPEN</x:v>
      </x:c>
    </x:row>
    <x:row r="4156">
      <x:c r="B4156" s="7" t="str">
        <x:v>AG-04150</x:v>
      </x:c>
      <x:c r="C4156" s="7" t="str">
        <x:v>PEA-B-Y2</x:v>
      </x:c>
      <x:c r="D4156" s="7" t="str">
        <x:v>factory calibration</x:v>
      </x:c>
      <x:c r="E4156" s="7" t="str">
        <x:v>CAL-CH-PEA-B-Y2-01-5</x:v>
      </x:c>
      <x:c r="F4156" s="7" t="str">
        <x:f>'Calibration Records'!M1451</x:f>
        <x:v>OPEN</x:v>
      </x:c>
    </x:row>
    <x:row r="4157">
      <x:c r="B4157" s="7" t="str">
        <x:v>AG-04151</x:v>
      </x:c>
      <x:c r="C4157" s="7" t="str">
        <x:v>PEA-B-Y2</x:v>
      </x:c>
      <x:c r="D4157" s="7" t="str">
        <x:v>factory calibration</x:v>
      </x:c>
      <x:c r="E4157" s="7" t="str">
        <x:v>CAL-CH-PEA-B-Y2-01-6</x:v>
      </x:c>
      <x:c r="F4157" s="7" t="str">
        <x:f>'Calibration Records'!M1452</x:f>
        <x:v>OPEN</x:v>
      </x:c>
    </x:row>
    <x:row r="4158">
      <x:c r="B4158" s="7" t="str">
        <x:v>AG-04152</x:v>
      </x:c>
      <x:c r="C4158" s="7" t="str">
        <x:v>PEA-B-Y2</x:v>
      </x:c>
      <x:c r="D4158" s="7" t="str">
        <x:v>factory calibration</x:v>
      </x:c>
      <x:c r="E4158" s="7" t="str">
        <x:v>CAL-CH-PEA-B-Y2-02-1</x:v>
      </x:c>
      <x:c r="F4158" s="7" t="str">
        <x:f>'Calibration Records'!M1453</x:f>
        <x:v>OPEN</x:v>
      </x:c>
    </x:row>
    <x:row r="4159">
      <x:c r="B4159" s="7" t="str">
        <x:v>AG-04153</x:v>
      </x:c>
      <x:c r="C4159" s="7" t="str">
        <x:v>PEA-B-Y2</x:v>
      </x:c>
      <x:c r="D4159" s="7" t="str">
        <x:v>factory calibration</x:v>
      </x:c>
      <x:c r="E4159" s="7" t="str">
        <x:v>CAL-CH-PEA-B-Y2-02-2</x:v>
      </x:c>
      <x:c r="F4159" s="7" t="str">
        <x:f>'Calibration Records'!M1454</x:f>
        <x:v>OPEN</x:v>
      </x:c>
    </x:row>
    <x:row r="4160">
      <x:c r="B4160" s="7" t="str">
        <x:v>AG-04154</x:v>
      </x:c>
      <x:c r="C4160" s="7" t="str">
        <x:v>PEA-B-Y2</x:v>
      </x:c>
      <x:c r="D4160" s="7" t="str">
        <x:v>factory calibration</x:v>
      </x:c>
      <x:c r="E4160" s="7" t="str">
        <x:v>CAL-CH-PEA-B-Y2-02-3</x:v>
      </x:c>
      <x:c r="F4160" s="7" t="str">
        <x:f>'Calibration Records'!M1455</x:f>
        <x:v>OPEN</x:v>
      </x:c>
    </x:row>
    <x:row r="4161">
      <x:c r="B4161" s="7" t="str">
        <x:v>AG-04155</x:v>
      </x:c>
      <x:c r="C4161" s="7" t="str">
        <x:v>PEA-B-Y2</x:v>
      </x:c>
      <x:c r="D4161" s="7" t="str">
        <x:v>factory calibration</x:v>
      </x:c>
      <x:c r="E4161" s="7" t="str">
        <x:v>CAL-CH-PEA-B-Y2-02-4</x:v>
      </x:c>
      <x:c r="F4161" s="7" t="str">
        <x:f>'Calibration Records'!M1456</x:f>
        <x:v>OPEN</x:v>
      </x:c>
    </x:row>
    <x:row r="4162">
      <x:c r="B4162" s="7" t="str">
        <x:v>AG-04156</x:v>
      </x:c>
      <x:c r="C4162" s="7" t="str">
        <x:v>PEA-B-Y2</x:v>
      </x:c>
      <x:c r="D4162" s="7" t="str">
        <x:v>factory calibration</x:v>
      </x:c>
      <x:c r="E4162" s="7" t="str">
        <x:v>CAL-CH-PEA-B-Y2-02-5</x:v>
      </x:c>
      <x:c r="F4162" s="7" t="str">
        <x:f>'Calibration Records'!M1457</x:f>
        <x:v>OPEN</x:v>
      </x:c>
    </x:row>
    <x:row r="4163">
      <x:c r="B4163" s="7" t="str">
        <x:v>AG-04157</x:v>
      </x:c>
      <x:c r="C4163" s="7" t="str">
        <x:v>PEA-B-Y2</x:v>
      </x:c>
      <x:c r="D4163" s="7" t="str">
        <x:v>factory calibration</x:v>
      </x:c>
      <x:c r="E4163" s="7" t="str">
        <x:v>CAL-CH-PEA-B-Y2-02-6</x:v>
      </x:c>
      <x:c r="F4163" s="7" t="str">
        <x:f>'Calibration Records'!M1458</x:f>
        <x:v>OPEN</x:v>
      </x:c>
    </x:row>
    <x:row r="4164">
      <x:c r="B4164" s="7" t="str">
        <x:v>AG-04158</x:v>
      </x:c>
      <x:c r="C4164" s="7" t="str">
        <x:v>PEA-B-Y2</x:v>
      </x:c>
      <x:c r="D4164" s="7" t="str">
        <x:v>factory calibration</x:v>
      </x:c>
      <x:c r="E4164" s="7" t="str">
        <x:v>CAL-CH-PEA-B-Y2-03-1</x:v>
      </x:c>
      <x:c r="F4164" s="7" t="str">
        <x:f>'Calibration Records'!M1459</x:f>
        <x:v>OPEN</x:v>
      </x:c>
    </x:row>
    <x:row r="4165">
      <x:c r="B4165" s="7" t="str">
        <x:v>AG-04159</x:v>
      </x:c>
      <x:c r="C4165" s="7" t="str">
        <x:v>PEA-B-Y2</x:v>
      </x:c>
      <x:c r="D4165" s="7" t="str">
        <x:v>factory calibration</x:v>
      </x:c>
      <x:c r="E4165" s="7" t="str">
        <x:v>CAL-CH-PEA-B-Y2-03-2</x:v>
      </x:c>
      <x:c r="F4165" s="7" t="str">
        <x:f>'Calibration Records'!M1460</x:f>
        <x:v>OPEN</x:v>
      </x:c>
    </x:row>
    <x:row r="4166">
      <x:c r="B4166" s="7" t="str">
        <x:v>AG-04160</x:v>
      </x:c>
      <x:c r="C4166" s="7" t="str">
        <x:v>PEA-B-Y2</x:v>
      </x:c>
      <x:c r="D4166" s="7" t="str">
        <x:v>factory calibration</x:v>
      </x:c>
      <x:c r="E4166" s="7" t="str">
        <x:v>CAL-CH-PEA-B-Y2-03-3</x:v>
      </x:c>
      <x:c r="F4166" s="7" t="str">
        <x:f>'Calibration Records'!M1461</x:f>
        <x:v>OPEN</x:v>
      </x:c>
    </x:row>
    <x:row r="4167">
      <x:c r="B4167" s="7" t="str">
        <x:v>AG-04161</x:v>
      </x:c>
      <x:c r="C4167" s="7" t="str">
        <x:v>PEA-B-Y2</x:v>
      </x:c>
      <x:c r="D4167" s="7" t="str">
        <x:v>factory calibration</x:v>
      </x:c>
      <x:c r="E4167" s="7" t="str">
        <x:v>CAL-CH-PEA-B-Y2-03-4</x:v>
      </x:c>
      <x:c r="F4167" s="7" t="str">
        <x:f>'Calibration Records'!M1462</x:f>
        <x:v>OPEN</x:v>
      </x:c>
    </x:row>
    <x:row r="4168">
      <x:c r="B4168" s="7" t="str">
        <x:v>AG-04162</x:v>
      </x:c>
      <x:c r="C4168" s="7" t="str">
        <x:v>PEA-B-Y2</x:v>
      </x:c>
      <x:c r="D4168" s="7" t="str">
        <x:v>factory calibration</x:v>
      </x:c>
      <x:c r="E4168" s="7" t="str">
        <x:v>CAL-CH-PEA-B-Y2-03-5</x:v>
      </x:c>
      <x:c r="F4168" s="7" t="str">
        <x:f>'Calibration Records'!M1463</x:f>
        <x:v>OPEN</x:v>
      </x:c>
    </x:row>
    <x:row r="4169">
      <x:c r="B4169" s="7" t="str">
        <x:v>AG-04163</x:v>
      </x:c>
      <x:c r="C4169" s="7" t="str">
        <x:v>PEA-B-Y2</x:v>
      </x:c>
      <x:c r="D4169" s="7" t="str">
        <x:v>factory calibration</x:v>
      </x:c>
      <x:c r="E4169" s="7" t="str">
        <x:v>CAL-CH-PEA-B-Y2-03-6</x:v>
      </x:c>
      <x:c r="F4169" s="7" t="str">
        <x:f>'Calibration Records'!M1464</x:f>
        <x:v>OPEN</x:v>
      </x:c>
    </x:row>
    <x:row r="4170">
      <x:c r="B4170" s="7" t="str">
        <x:v>AG-04164</x:v>
      </x:c>
      <x:c r="C4170" s="7" t="str">
        <x:v>PEA-B-Y2</x:v>
      </x:c>
      <x:c r="D4170" s="7" t="str">
        <x:v>factory calibration</x:v>
      </x:c>
      <x:c r="E4170" s="7" t="str">
        <x:v>CAL-CH-PEA-B-Y2-04-1</x:v>
      </x:c>
      <x:c r="F4170" s="7" t="str">
        <x:f>'Calibration Records'!M1465</x:f>
        <x:v>OPEN</x:v>
      </x:c>
    </x:row>
    <x:row r="4171">
      <x:c r="B4171" s="7" t="str">
        <x:v>AG-04165</x:v>
      </x:c>
      <x:c r="C4171" s="7" t="str">
        <x:v>PEA-B-Y2</x:v>
      </x:c>
      <x:c r="D4171" s="7" t="str">
        <x:v>factory calibration</x:v>
      </x:c>
      <x:c r="E4171" s="7" t="str">
        <x:v>CAL-CH-PEA-B-Y2-04-2</x:v>
      </x:c>
      <x:c r="F4171" s="7" t="str">
        <x:f>'Calibration Records'!M1466</x:f>
        <x:v>OPEN</x:v>
      </x:c>
    </x:row>
    <x:row r="4172">
      <x:c r="B4172" s="7" t="str">
        <x:v>AG-04166</x:v>
      </x:c>
      <x:c r="C4172" s="7" t="str">
        <x:v>PEA-B-Y2</x:v>
      </x:c>
      <x:c r="D4172" s="7" t="str">
        <x:v>factory calibration</x:v>
      </x:c>
      <x:c r="E4172" s="7" t="str">
        <x:v>CAL-CH-PEA-B-Y2-04-3</x:v>
      </x:c>
      <x:c r="F4172" s="7" t="str">
        <x:f>'Calibration Records'!M1467</x:f>
        <x:v>OPEN</x:v>
      </x:c>
    </x:row>
    <x:row r="4173">
      <x:c r="B4173" s="7" t="str">
        <x:v>AG-04167</x:v>
      </x:c>
      <x:c r="C4173" s="7" t="str">
        <x:v>PEA-B-Y2</x:v>
      </x:c>
      <x:c r="D4173" s="7" t="str">
        <x:v>factory calibration</x:v>
      </x:c>
      <x:c r="E4173" s="7" t="str">
        <x:v>CAL-CH-PEA-B-Y2-04-4</x:v>
      </x:c>
      <x:c r="F4173" s="7" t="str">
        <x:f>'Calibration Records'!M1468</x:f>
        <x:v>OPEN</x:v>
      </x:c>
    </x:row>
    <x:row r="4174">
      <x:c r="B4174" s="7" t="str">
        <x:v>AG-04168</x:v>
      </x:c>
      <x:c r="C4174" s="7" t="str">
        <x:v>PEA-B-Y2</x:v>
      </x:c>
      <x:c r="D4174" s="7" t="str">
        <x:v>factory calibration</x:v>
      </x:c>
      <x:c r="E4174" s="7" t="str">
        <x:v>CAL-CH-PEA-B-Y2-04-5</x:v>
      </x:c>
      <x:c r="F4174" s="7" t="str">
        <x:f>'Calibration Records'!M1469</x:f>
        <x:v>OPEN</x:v>
      </x:c>
    </x:row>
    <x:row r="4175">
      <x:c r="B4175" s="7" t="str">
        <x:v>AG-04169</x:v>
      </x:c>
      <x:c r="C4175" s="7" t="str">
        <x:v>PEA-B-Y2</x:v>
      </x:c>
      <x:c r="D4175" s="7" t="str">
        <x:v>factory calibration</x:v>
      </x:c>
      <x:c r="E4175" s="7" t="str">
        <x:v>CAL-CH-PEA-B-Y2-04-6</x:v>
      </x:c>
      <x:c r="F4175" s="7" t="str">
        <x:f>'Calibration Records'!M1470</x:f>
        <x:v>OPEN</x:v>
      </x:c>
    </x:row>
    <x:row r="4176">
      <x:c r="B4176" s="7" t="str">
        <x:v>AG-04170</x:v>
      </x:c>
      <x:c r="C4176" s="7" t="str">
        <x:v>PEA-B-Y2</x:v>
      </x:c>
      <x:c r="D4176" s="7" t="str">
        <x:v>factory calibration</x:v>
      </x:c>
      <x:c r="E4176" s="7" t="str">
        <x:v>CAL-CH-PEA-B-Y2-05-1</x:v>
      </x:c>
      <x:c r="F4176" s="7" t="str">
        <x:f>'Calibration Records'!M1471</x:f>
        <x:v>OPEN</x:v>
      </x:c>
    </x:row>
    <x:row r="4177">
      <x:c r="B4177" s="7" t="str">
        <x:v>AG-04171</x:v>
      </x:c>
      <x:c r="C4177" s="7" t="str">
        <x:v>PEA-B-Y2</x:v>
      </x:c>
      <x:c r="D4177" s="7" t="str">
        <x:v>factory calibration</x:v>
      </x:c>
      <x:c r="E4177" s="7" t="str">
        <x:v>CAL-CH-PEA-B-Y2-05-2</x:v>
      </x:c>
      <x:c r="F4177" s="7" t="str">
        <x:f>'Calibration Records'!M1472</x:f>
        <x:v>OPEN</x:v>
      </x:c>
    </x:row>
    <x:row r="4178">
      <x:c r="B4178" s="7" t="str">
        <x:v>AG-04172</x:v>
      </x:c>
      <x:c r="C4178" s="7" t="str">
        <x:v>PEA-B-Y2</x:v>
      </x:c>
      <x:c r="D4178" s="7" t="str">
        <x:v>factory calibration</x:v>
      </x:c>
      <x:c r="E4178" s="7" t="str">
        <x:v>CAL-CH-PEA-B-Y2-05-3</x:v>
      </x:c>
      <x:c r="F4178" s="7" t="str">
        <x:f>'Calibration Records'!M1473</x:f>
        <x:v>OPEN</x:v>
      </x:c>
    </x:row>
    <x:row r="4179">
      <x:c r="B4179" s="7" t="str">
        <x:v>AG-04173</x:v>
      </x:c>
      <x:c r="C4179" s="7" t="str">
        <x:v>PEA-B-Y2</x:v>
      </x:c>
      <x:c r="D4179" s="7" t="str">
        <x:v>factory calibration</x:v>
      </x:c>
      <x:c r="E4179" s="7" t="str">
        <x:v>CAL-CH-PEA-B-Y2-05-4</x:v>
      </x:c>
      <x:c r="F4179" s="7" t="str">
        <x:f>'Calibration Records'!M1474</x:f>
        <x:v>OPEN</x:v>
      </x:c>
    </x:row>
    <x:row r="4180">
      <x:c r="B4180" s="7" t="str">
        <x:v>AG-04174</x:v>
      </x:c>
      <x:c r="C4180" s="7" t="str">
        <x:v>PEA-B-Y2</x:v>
      </x:c>
      <x:c r="D4180" s="7" t="str">
        <x:v>factory calibration</x:v>
      </x:c>
      <x:c r="E4180" s="7" t="str">
        <x:v>CAL-CH-PEA-B-Y2-05-5</x:v>
      </x:c>
      <x:c r="F4180" s="7" t="str">
        <x:f>'Calibration Records'!M1475</x:f>
        <x:v>OPEN</x:v>
      </x:c>
    </x:row>
    <x:row r="4181">
      <x:c r="B4181" s="7" t="str">
        <x:v>AG-04175</x:v>
      </x:c>
      <x:c r="C4181" s="7" t="str">
        <x:v>PEA-B-Y2</x:v>
      </x:c>
      <x:c r="D4181" s="7" t="str">
        <x:v>factory calibration</x:v>
      </x:c>
      <x:c r="E4181" s="7" t="str">
        <x:v>CAL-CH-PEA-B-Y2-05-6</x:v>
      </x:c>
      <x:c r="F4181" s="7" t="str">
        <x:f>'Calibration Records'!M1476</x:f>
        <x:v>OPEN</x:v>
      </x:c>
    </x:row>
    <x:row r="4182">
      <x:c r="B4182" s="7" t="str">
        <x:v>AG-04176</x:v>
      </x:c>
      <x:c r="C4182" s="7" t="str">
        <x:v>PEA-B-Y2</x:v>
      </x:c>
      <x:c r="D4182" s="7" t="str">
        <x:v>factory calibration</x:v>
      </x:c>
      <x:c r="E4182" s="7" t="str">
        <x:v>CAL-CH-PEA-B-Y2-06-1</x:v>
      </x:c>
      <x:c r="F4182" s="7" t="str">
        <x:f>'Calibration Records'!M1477</x:f>
        <x:v>OPEN</x:v>
      </x:c>
    </x:row>
    <x:row r="4183">
      <x:c r="B4183" s="7" t="str">
        <x:v>AG-04177</x:v>
      </x:c>
      <x:c r="C4183" s="7" t="str">
        <x:v>PEA-B-Y2</x:v>
      </x:c>
      <x:c r="D4183" s="7" t="str">
        <x:v>factory calibration</x:v>
      </x:c>
      <x:c r="E4183" s="7" t="str">
        <x:v>CAL-CH-PEA-B-Y2-06-2</x:v>
      </x:c>
      <x:c r="F4183" s="7" t="str">
        <x:f>'Calibration Records'!M1478</x:f>
        <x:v>OPEN</x:v>
      </x:c>
    </x:row>
    <x:row r="4184">
      <x:c r="B4184" s="7" t="str">
        <x:v>AG-04178</x:v>
      </x:c>
      <x:c r="C4184" s="7" t="str">
        <x:v>PEA-B-Y2</x:v>
      </x:c>
      <x:c r="D4184" s="7" t="str">
        <x:v>factory calibration</x:v>
      </x:c>
      <x:c r="E4184" s="7" t="str">
        <x:v>CAL-CH-PEA-B-Y2-06-3</x:v>
      </x:c>
      <x:c r="F4184" s="7" t="str">
        <x:f>'Calibration Records'!M1479</x:f>
        <x:v>OPEN</x:v>
      </x:c>
    </x:row>
    <x:row r="4185">
      <x:c r="B4185" s="7" t="str">
        <x:v>AG-04179</x:v>
      </x:c>
      <x:c r="C4185" s="7" t="str">
        <x:v>PEA-B-Y2</x:v>
      </x:c>
      <x:c r="D4185" s="7" t="str">
        <x:v>factory calibration</x:v>
      </x:c>
      <x:c r="E4185" s="7" t="str">
        <x:v>CAL-CH-PEA-B-Y2-06-4</x:v>
      </x:c>
      <x:c r="F4185" s="7" t="str">
        <x:f>'Calibration Records'!M1480</x:f>
        <x:v>OPEN</x:v>
      </x:c>
    </x:row>
    <x:row r="4186">
      <x:c r="B4186" s="7" t="str">
        <x:v>AG-04180</x:v>
      </x:c>
      <x:c r="C4186" s="7" t="str">
        <x:v>PEA-B-Y2</x:v>
      </x:c>
      <x:c r="D4186" s="7" t="str">
        <x:v>factory calibration</x:v>
      </x:c>
      <x:c r="E4186" s="7" t="str">
        <x:v>CAL-CH-PEA-B-Y2-06-5</x:v>
      </x:c>
      <x:c r="F4186" s="7" t="str">
        <x:f>'Calibration Records'!M1481</x:f>
        <x:v>OPEN</x:v>
      </x:c>
    </x:row>
    <x:row r="4187">
      <x:c r="B4187" s="7" t="str">
        <x:v>AG-04181</x:v>
      </x:c>
      <x:c r="C4187" s="7" t="str">
        <x:v>PEA-B-Y2</x:v>
      </x:c>
      <x:c r="D4187" s="7" t="str">
        <x:v>factory calibration</x:v>
      </x:c>
      <x:c r="E4187" s="7" t="str">
        <x:v>CAL-CH-PEA-B-Y2-06-6</x:v>
      </x:c>
      <x:c r="F4187" s="7" t="str">
        <x:f>'Calibration Records'!M1482</x:f>
        <x:v>OPEN</x:v>
      </x:c>
    </x:row>
    <x:row r="4188">
      <x:c r="B4188" s="7" t="str">
        <x:v>AG-04182</x:v>
      </x:c>
      <x:c r="C4188" s="7" t="str">
        <x:v>PEA-B-Y2</x:v>
      </x:c>
      <x:c r="D4188" s="7" t="str">
        <x:v>factory calibration</x:v>
      </x:c>
      <x:c r="E4188" s="7" t="str">
        <x:v>CAL-CH-PEA-B-Y2-07-1</x:v>
      </x:c>
      <x:c r="F4188" s="7" t="str">
        <x:f>'Calibration Records'!M1483</x:f>
        <x:v>OPEN</x:v>
      </x:c>
    </x:row>
    <x:row r="4189">
      <x:c r="B4189" s="7" t="str">
        <x:v>AG-04183</x:v>
      </x:c>
      <x:c r="C4189" s="7" t="str">
        <x:v>PEA-B-Y2</x:v>
      </x:c>
      <x:c r="D4189" s="7" t="str">
        <x:v>factory calibration</x:v>
      </x:c>
      <x:c r="E4189" s="7" t="str">
        <x:v>CAL-CH-PEA-B-Y2-07-2</x:v>
      </x:c>
      <x:c r="F4189" s="7" t="str">
        <x:f>'Calibration Records'!M1484</x:f>
        <x:v>OPEN</x:v>
      </x:c>
    </x:row>
    <x:row r="4190">
      <x:c r="B4190" s="7" t="str">
        <x:v>AG-04184</x:v>
      </x:c>
      <x:c r="C4190" s="7" t="str">
        <x:v>PEA-B-Y2</x:v>
      </x:c>
      <x:c r="D4190" s="7" t="str">
        <x:v>factory calibration</x:v>
      </x:c>
      <x:c r="E4190" s="7" t="str">
        <x:v>CAL-CH-PEA-B-Y2-07-3</x:v>
      </x:c>
      <x:c r="F4190" s="7" t="str">
        <x:f>'Calibration Records'!M1485</x:f>
        <x:v>OPEN</x:v>
      </x:c>
    </x:row>
    <x:row r="4191">
      <x:c r="B4191" s="7" t="str">
        <x:v>AG-04185</x:v>
      </x:c>
      <x:c r="C4191" s="7" t="str">
        <x:v>PEA-B-Y2</x:v>
      </x:c>
      <x:c r="D4191" s="7" t="str">
        <x:v>factory calibration</x:v>
      </x:c>
      <x:c r="E4191" s="7" t="str">
        <x:v>CAL-CH-PEA-B-Y2-07-4</x:v>
      </x:c>
      <x:c r="F4191" s="7" t="str">
        <x:f>'Calibration Records'!M1486</x:f>
        <x:v>OPEN</x:v>
      </x:c>
    </x:row>
    <x:row r="4192">
      <x:c r="B4192" s="7" t="str">
        <x:v>AG-04186</x:v>
      </x:c>
      <x:c r="C4192" s="7" t="str">
        <x:v>PEA-B-Y2</x:v>
      </x:c>
      <x:c r="D4192" s="7" t="str">
        <x:v>factory calibration</x:v>
      </x:c>
      <x:c r="E4192" s="7" t="str">
        <x:v>CAL-CH-PEA-B-Y2-07-5</x:v>
      </x:c>
      <x:c r="F4192" s="7" t="str">
        <x:f>'Calibration Records'!M1487</x:f>
        <x:v>OPEN</x:v>
      </x:c>
    </x:row>
    <x:row r="4193">
      <x:c r="B4193" s="7" t="str">
        <x:v>AG-04187</x:v>
      </x:c>
      <x:c r="C4193" s="7" t="str">
        <x:v>PEA-B-Y2</x:v>
      </x:c>
      <x:c r="D4193" s="7" t="str">
        <x:v>factory calibration</x:v>
      </x:c>
      <x:c r="E4193" s="7" t="str">
        <x:v>CAL-CH-PEA-B-Y2-07-6</x:v>
      </x:c>
      <x:c r="F4193" s="7" t="str">
        <x:f>'Calibration Records'!M1488</x:f>
        <x:v>OPEN</x:v>
      </x:c>
    </x:row>
    <x:row r="4194">
      <x:c r="B4194" s="7" t="str">
        <x:v>AG-04188</x:v>
      </x:c>
      <x:c r="C4194" s="7" t="str">
        <x:v>PEA-B-Y2</x:v>
      </x:c>
      <x:c r="D4194" s="7" t="str">
        <x:v>factory calibration</x:v>
      </x:c>
      <x:c r="E4194" s="7" t="str">
        <x:v>CAL-CH-PEA-B-Y2-08-1</x:v>
      </x:c>
      <x:c r="F4194" s="7" t="str">
        <x:f>'Calibration Records'!M1489</x:f>
        <x:v>OPEN</x:v>
      </x:c>
    </x:row>
    <x:row r="4195">
      <x:c r="B4195" s="7" t="str">
        <x:v>AG-04189</x:v>
      </x:c>
      <x:c r="C4195" s="7" t="str">
        <x:v>PEA-B-Y2</x:v>
      </x:c>
      <x:c r="D4195" s="7" t="str">
        <x:v>factory calibration</x:v>
      </x:c>
      <x:c r="E4195" s="7" t="str">
        <x:v>CAL-CH-PEA-B-Y2-08-2</x:v>
      </x:c>
      <x:c r="F4195" s="7" t="str">
        <x:f>'Calibration Records'!M1490</x:f>
        <x:v>OPEN</x:v>
      </x:c>
    </x:row>
    <x:row r="4196">
      <x:c r="B4196" s="7" t="str">
        <x:v>AG-04190</x:v>
      </x:c>
      <x:c r="C4196" s="7" t="str">
        <x:v>PEA-B-Y2</x:v>
      </x:c>
      <x:c r="D4196" s="7" t="str">
        <x:v>factory calibration</x:v>
      </x:c>
      <x:c r="E4196" s="7" t="str">
        <x:v>CAL-CH-PEA-B-Y2-08-3</x:v>
      </x:c>
      <x:c r="F4196" s="7" t="str">
        <x:f>'Calibration Records'!M1491</x:f>
        <x:v>OPEN</x:v>
      </x:c>
    </x:row>
    <x:row r="4197">
      <x:c r="B4197" s="7" t="str">
        <x:v>AG-04191</x:v>
      </x:c>
      <x:c r="C4197" s="7" t="str">
        <x:v>PEA-B-Y2</x:v>
      </x:c>
      <x:c r="D4197" s="7" t="str">
        <x:v>factory calibration</x:v>
      </x:c>
      <x:c r="E4197" s="7" t="str">
        <x:v>CAL-CH-PEA-B-Y2-08-4</x:v>
      </x:c>
      <x:c r="F4197" s="7" t="str">
        <x:f>'Calibration Records'!M1492</x:f>
        <x:v>OPEN</x:v>
      </x:c>
    </x:row>
    <x:row r="4198">
      <x:c r="B4198" s="7" t="str">
        <x:v>AG-04192</x:v>
      </x:c>
      <x:c r="C4198" s="7" t="str">
        <x:v>PEA-B-Y2</x:v>
      </x:c>
      <x:c r="D4198" s="7" t="str">
        <x:v>factory calibration</x:v>
      </x:c>
      <x:c r="E4198" s="7" t="str">
        <x:v>CAL-CH-PEA-B-Y2-08-5</x:v>
      </x:c>
      <x:c r="F4198" s="7" t="str">
        <x:f>'Calibration Records'!M1493</x:f>
        <x:v>OPEN</x:v>
      </x:c>
    </x:row>
    <x:row r="4199">
      <x:c r="B4199" s="7" t="str">
        <x:v>AG-04193</x:v>
      </x:c>
      <x:c r="C4199" s="7" t="str">
        <x:v>PEA-B-Y2</x:v>
      </x:c>
      <x:c r="D4199" s="7" t="str">
        <x:v>factory calibration</x:v>
      </x:c>
      <x:c r="E4199" s="7" t="str">
        <x:v>CAL-CH-PEA-B-Y2-08-6</x:v>
      </x:c>
      <x:c r="F4199" s="7" t="str">
        <x:f>'Calibration Records'!M1494</x:f>
        <x:v>OPEN</x:v>
      </x:c>
    </x:row>
    <x:row r="4200">
      <x:c r="B4200" s="7" t="str">
        <x:v>AG-04194</x:v>
      </x:c>
      <x:c r="C4200" s="7" t="str">
        <x:v>PEA-B-Y2</x:v>
      </x:c>
      <x:c r="D4200" s="7" t="str">
        <x:v>factory calibration</x:v>
      </x:c>
      <x:c r="E4200" s="7" t="str">
        <x:v>CAL-CH-PEA-B-Y2-09-1</x:v>
      </x:c>
      <x:c r="F4200" s="7" t="str">
        <x:f>'Calibration Records'!M1495</x:f>
        <x:v>OPEN</x:v>
      </x:c>
    </x:row>
    <x:row r="4201">
      <x:c r="B4201" s="7" t="str">
        <x:v>AG-04195</x:v>
      </x:c>
      <x:c r="C4201" s="7" t="str">
        <x:v>PEA-B-Y2</x:v>
      </x:c>
      <x:c r="D4201" s="7" t="str">
        <x:v>factory calibration</x:v>
      </x:c>
      <x:c r="E4201" s="7" t="str">
        <x:v>CAL-CH-PEA-B-Y2-09-2</x:v>
      </x:c>
      <x:c r="F4201" s="7" t="str">
        <x:f>'Calibration Records'!M1496</x:f>
        <x:v>OPEN</x:v>
      </x:c>
    </x:row>
    <x:row r="4202">
      <x:c r="B4202" s="7" t="str">
        <x:v>AG-04196</x:v>
      </x:c>
      <x:c r="C4202" s="7" t="str">
        <x:v>PEA-B-Y2</x:v>
      </x:c>
      <x:c r="D4202" s="7" t="str">
        <x:v>factory calibration</x:v>
      </x:c>
      <x:c r="E4202" s="7" t="str">
        <x:v>CAL-CH-PEA-B-Y2-09-3</x:v>
      </x:c>
      <x:c r="F4202" s="7" t="str">
        <x:f>'Calibration Records'!M1497</x:f>
        <x:v>OPEN</x:v>
      </x:c>
    </x:row>
    <x:row r="4203">
      <x:c r="B4203" s="7" t="str">
        <x:v>AG-04197</x:v>
      </x:c>
      <x:c r="C4203" s="7" t="str">
        <x:v>PEA-B-Y2</x:v>
      </x:c>
      <x:c r="D4203" s="7" t="str">
        <x:v>factory calibration</x:v>
      </x:c>
      <x:c r="E4203" s="7" t="str">
        <x:v>CAL-CH-PEA-B-Y2-09-4</x:v>
      </x:c>
      <x:c r="F4203" s="7" t="str">
        <x:f>'Calibration Records'!M1498</x:f>
        <x:v>OPEN</x:v>
      </x:c>
    </x:row>
    <x:row r="4204">
      <x:c r="B4204" s="7" t="str">
        <x:v>AG-04198</x:v>
      </x:c>
      <x:c r="C4204" s="7" t="str">
        <x:v>PEA-B-Y2</x:v>
      </x:c>
      <x:c r="D4204" s="7" t="str">
        <x:v>factory calibration</x:v>
      </x:c>
      <x:c r="E4204" s="7" t="str">
        <x:v>CAL-CH-PEA-B-Y2-09-5</x:v>
      </x:c>
      <x:c r="F4204" s="7" t="str">
        <x:f>'Calibration Records'!M1499</x:f>
        <x:v>OPEN</x:v>
      </x:c>
    </x:row>
    <x:row r="4205">
      <x:c r="B4205" s="7" t="str">
        <x:v>AG-04199</x:v>
      </x:c>
      <x:c r="C4205" s="7" t="str">
        <x:v>PEA-B-Y2</x:v>
      </x:c>
      <x:c r="D4205" s="7" t="str">
        <x:v>factory calibration</x:v>
      </x:c>
      <x:c r="E4205" s="7" t="str">
        <x:v>CAL-CH-PEA-B-Y2-09-6</x:v>
      </x:c>
      <x:c r="F4205" s="7" t="str">
        <x:f>'Calibration Records'!M1500</x:f>
        <x:v>OPEN</x:v>
      </x:c>
    </x:row>
    <x:row r="4206">
      <x:c r="B4206" s="7" t="str">
        <x:v>AG-04200</x:v>
      </x:c>
      <x:c r="C4206" s="7" t="str">
        <x:v>PEA-B-Y2</x:v>
      </x:c>
      <x:c r="D4206" s="7" t="str">
        <x:v>factory calibration</x:v>
      </x:c>
      <x:c r="E4206" s="7" t="str">
        <x:v>CAL-CH-PEA-B-Y2-10-1</x:v>
      </x:c>
      <x:c r="F4206" s="7" t="str">
        <x:f>'Calibration Records'!M1501</x:f>
        <x:v>OPEN</x:v>
      </x:c>
    </x:row>
    <x:row r="4207">
      <x:c r="B4207" s="7" t="str">
        <x:v>AG-04201</x:v>
      </x:c>
      <x:c r="C4207" s="7" t="str">
        <x:v>PEA-B-Y2</x:v>
      </x:c>
      <x:c r="D4207" s="7" t="str">
        <x:v>factory calibration</x:v>
      </x:c>
      <x:c r="E4207" s="7" t="str">
        <x:v>CAL-CH-PEA-B-Y2-10-2</x:v>
      </x:c>
      <x:c r="F4207" s="7" t="str">
        <x:f>'Calibration Records'!M1502</x:f>
        <x:v>OPEN</x:v>
      </x:c>
    </x:row>
    <x:row r="4208">
      <x:c r="B4208" s="7" t="str">
        <x:v>AG-04202</x:v>
      </x:c>
      <x:c r="C4208" s="7" t="str">
        <x:v>PEA-B-Y2</x:v>
      </x:c>
      <x:c r="D4208" s="7" t="str">
        <x:v>factory calibration</x:v>
      </x:c>
      <x:c r="E4208" s="7" t="str">
        <x:v>CAL-CH-PEA-B-Y2-10-3</x:v>
      </x:c>
      <x:c r="F4208" s="7" t="str">
        <x:f>'Calibration Records'!M1503</x:f>
        <x:v>OPEN</x:v>
      </x:c>
    </x:row>
    <x:row r="4209">
      <x:c r="B4209" s="7" t="str">
        <x:v>AG-04203</x:v>
      </x:c>
      <x:c r="C4209" s="7" t="str">
        <x:v>PEA-B-Y2</x:v>
      </x:c>
      <x:c r="D4209" s="7" t="str">
        <x:v>factory calibration</x:v>
      </x:c>
      <x:c r="E4209" s="7" t="str">
        <x:v>CAL-CH-PEA-B-Y2-10-4</x:v>
      </x:c>
      <x:c r="F4209" s="7" t="str">
        <x:f>'Calibration Records'!M1504</x:f>
        <x:v>OPEN</x:v>
      </x:c>
    </x:row>
    <x:row r="4210">
      <x:c r="B4210" s="7" t="str">
        <x:v>AG-04204</x:v>
      </x:c>
      <x:c r="C4210" s="7" t="str">
        <x:v>PEA-B-Y2</x:v>
      </x:c>
      <x:c r="D4210" s="7" t="str">
        <x:v>factory calibration</x:v>
      </x:c>
      <x:c r="E4210" s="7" t="str">
        <x:v>CAL-CH-PEA-B-Y2-10-5</x:v>
      </x:c>
      <x:c r="F4210" s="7" t="str">
        <x:f>'Calibration Records'!M1505</x:f>
        <x:v>OPEN</x:v>
      </x:c>
    </x:row>
    <x:row r="4211">
      <x:c r="B4211" s="7" t="str">
        <x:v>AG-04205</x:v>
      </x:c>
      <x:c r="C4211" s="7" t="str">
        <x:v>PEA-B-Y2</x:v>
      </x:c>
      <x:c r="D4211" s="7" t="str">
        <x:v>factory calibration</x:v>
      </x:c>
      <x:c r="E4211" s="7" t="str">
        <x:v>CAL-CH-PEA-B-Y2-10-6</x:v>
      </x:c>
      <x:c r="F4211" s="7" t="str">
        <x:f>'Calibration Records'!M1506</x:f>
        <x:v>OPEN</x:v>
      </x:c>
    </x:row>
    <x:row r="4212">
      <x:c r="B4212" s="7" t="str">
        <x:v>AG-04206</x:v>
      </x:c>
      <x:c r="C4212" s="7" t="str">
        <x:v>PEA-B-Y2</x:v>
      </x:c>
      <x:c r="D4212" s="7" t="str">
        <x:v>factory calibration</x:v>
      </x:c>
      <x:c r="E4212" s="7" t="str">
        <x:v>CAL-CH-PEA-B-Y2-11-1</x:v>
      </x:c>
      <x:c r="F4212" s="7" t="str">
        <x:f>'Calibration Records'!M1507</x:f>
        <x:v>OPEN</x:v>
      </x:c>
    </x:row>
    <x:row r="4213">
      <x:c r="B4213" s="7" t="str">
        <x:v>AG-04207</x:v>
      </x:c>
      <x:c r="C4213" s="7" t="str">
        <x:v>PEA-B-Y2</x:v>
      </x:c>
      <x:c r="D4213" s="7" t="str">
        <x:v>factory calibration</x:v>
      </x:c>
      <x:c r="E4213" s="7" t="str">
        <x:v>CAL-CH-PEA-B-Y2-11-2</x:v>
      </x:c>
      <x:c r="F4213" s="7" t="str">
        <x:f>'Calibration Records'!M1508</x:f>
        <x:v>OPEN</x:v>
      </x:c>
    </x:row>
    <x:row r="4214">
      <x:c r="B4214" s="7" t="str">
        <x:v>AG-04208</x:v>
      </x:c>
      <x:c r="C4214" s="7" t="str">
        <x:v>PEA-B-Y2</x:v>
      </x:c>
      <x:c r="D4214" s="7" t="str">
        <x:v>factory calibration</x:v>
      </x:c>
      <x:c r="E4214" s="7" t="str">
        <x:v>CAL-CH-PEA-B-Y2-11-3</x:v>
      </x:c>
      <x:c r="F4214" s="7" t="str">
        <x:f>'Calibration Records'!M1509</x:f>
        <x:v>OPEN</x:v>
      </x:c>
    </x:row>
    <x:row r="4215">
      <x:c r="B4215" s="7" t="str">
        <x:v>AG-04209</x:v>
      </x:c>
      <x:c r="C4215" s="7" t="str">
        <x:v>PEA-B-Y2</x:v>
      </x:c>
      <x:c r="D4215" s="7" t="str">
        <x:v>factory calibration</x:v>
      </x:c>
      <x:c r="E4215" s="7" t="str">
        <x:v>CAL-CH-PEA-B-Y2-11-4</x:v>
      </x:c>
      <x:c r="F4215" s="7" t="str">
        <x:f>'Calibration Records'!M1510</x:f>
        <x:v>OPEN</x:v>
      </x:c>
    </x:row>
    <x:row r="4216">
      <x:c r="B4216" s="7" t="str">
        <x:v>AG-04210</x:v>
      </x:c>
      <x:c r="C4216" s="7" t="str">
        <x:v>PEA-B-Y2</x:v>
      </x:c>
      <x:c r="D4216" s="7" t="str">
        <x:v>factory calibration</x:v>
      </x:c>
      <x:c r="E4216" s="7" t="str">
        <x:v>CAL-CH-PEA-B-Y2-11-5</x:v>
      </x:c>
      <x:c r="F4216" s="7" t="str">
        <x:f>'Calibration Records'!M1511</x:f>
        <x:v>OPEN</x:v>
      </x:c>
    </x:row>
    <x:row r="4217">
      <x:c r="B4217" s="7" t="str">
        <x:v>AG-04211</x:v>
      </x:c>
      <x:c r="C4217" s="7" t="str">
        <x:v>PEA-B-Y2</x:v>
      </x:c>
      <x:c r="D4217" s="7" t="str">
        <x:v>factory calibration</x:v>
      </x:c>
      <x:c r="E4217" s="7" t="str">
        <x:v>CAL-CH-PEA-B-Y2-11-6</x:v>
      </x:c>
      <x:c r="F4217" s="7" t="str">
        <x:f>'Calibration Records'!M1512</x:f>
        <x:v>OPEN</x:v>
      </x:c>
    </x:row>
    <x:row r="4218">
      <x:c r="B4218" s="7" t="str">
        <x:v>AG-04212</x:v>
      </x:c>
      <x:c r="C4218" s="7" t="str">
        <x:v>PEA-B-Y2</x:v>
      </x:c>
      <x:c r="D4218" s="7" t="str">
        <x:v>factory calibration</x:v>
      </x:c>
      <x:c r="E4218" s="7" t="str">
        <x:v>CAL-CH-PEA-B-Y2-12-1</x:v>
      </x:c>
      <x:c r="F4218" s="7" t="str">
        <x:f>'Calibration Records'!M1513</x:f>
        <x:v>OPEN</x:v>
      </x:c>
    </x:row>
    <x:row r="4219">
      <x:c r="B4219" s="7" t="str">
        <x:v>AG-04213</x:v>
      </x:c>
      <x:c r="C4219" s="7" t="str">
        <x:v>PEA-B-Y2</x:v>
      </x:c>
      <x:c r="D4219" s="7" t="str">
        <x:v>factory calibration</x:v>
      </x:c>
      <x:c r="E4219" s="7" t="str">
        <x:v>CAL-CH-PEA-B-Y2-12-2</x:v>
      </x:c>
      <x:c r="F4219" s="7" t="str">
        <x:f>'Calibration Records'!M1514</x:f>
        <x:v>OPEN</x:v>
      </x:c>
    </x:row>
    <x:row r="4220">
      <x:c r="B4220" s="7" t="str">
        <x:v>AG-04214</x:v>
      </x:c>
      <x:c r="C4220" s="7" t="str">
        <x:v>PEA-B-Y2</x:v>
      </x:c>
      <x:c r="D4220" s="7" t="str">
        <x:v>factory calibration</x:v>
      </x:c>
      <x:c r="E4220" s="7" t="str">
        <x:v>CAL-CH-PEA-B-Y2-12-3</x:v>
      </x:c>
      <x:c r="F4220" s="7" t="str">
        <x:f>'Calibration Records'!M1515</x:f>
        <x:v>OPEN</x:v>
      </x:c>
    </x:row>
    <x:row r="4221">
      <x:c r="B4221" s="7" t="str">
        <x:v>AG-04215</x:v>
      </x:c>
      <x:c r="C4221" s="7" t="str">
        <x:v>PEA-B-Y2</x:v>
      </x:c>
      <x:c r="D4221" s="7" t="str">
        <x:v>factory calibration</x:v>
      </x:c>
      <x:c r="E4221" s="7" t="str">
        <x:v>CAL-CH-PEA-B-Y2-12-4</x:v>
      </x:c>
      <x:c r="F4221" s="7" t="str">
        <x:f>'Calibration Records'!M1516</x:f>
        <x:v>OPEN</x:v>
      </x:c>
    </x:row>
    <x:row r="4222">
      <x:c r="B4222" s="7" t="str">
        <x:v>AG-04216</x:v>
      </x:c>
      <x:c r="C4222" s="7" t="str">
        <x:v>PEA-B-Y2</x:v>
      </x:c>
      <x:c r="D4222" s="7" t="str">
        <x:v>factory calibration</x:v>
      </x:c>
      <x:c r="E4222" s="7" t="str">
        <x:v>CAL-CH-PEA-B-Y2-12-5</x:v>
      </x:c>
      <x:c r="F4222" s="7" t="str">
        <x:f>'Calibration Records'!M1517</x:f>
        <x:v>OPEN</x:v>
      </x:c>
    </x:row>
    <x:row r="4223">
      <x:c r="B4223" s="7" t="str">
        <x:v>AG-04217</x:v>
      </x:c>
      <x:c r="C4223" s="7" t="str">
        <x:v>PEA-B-Y2</x:v>
      </x:c>
      <x:c r="D4223" s="7" t="str">
        <x:v>factory calibration</x:v>
      </x:c>
      <x:c r="E4223" s="7" t="str">
        <x:v>CAL-CH-PEA-B-Y2-12-6</x:v>
      </x:c>
      <x:c r="F4223" s="7" t="str">
        <x:f>'Calibration Records'!M1518</x:f>
        <x:v>OPEN</x:v>
      </x:c>
    </x:row>
    <x:row r="4224">
      <x:c r="B4224" s="7" t="str">
        <x:v>AG-04218</x:v>
      </x:c>
      <x:c r="C4224" s="7" t="str">
        <x:v>PEA-B-Y2</x:v>
      </x:c>
      <x:c r="D4224" s="7" t="str">
        <x:v>factory calibration</x:v>
      </x:c>
      <x:c r="E4224" s="7" t="str">
        <x:v>CAL-CH-PEA-B-Y2-13-1</x:v>
      </x:c>
      <x:c r="F4224" s="7" t="str">
        <x:f>'Calibration Records'!M1519</x:f>
        <x:v>OPEN</x:v>
      </x:c>
    </x:row>
    <x:row r="4225">
      <x:c r="B4225" s="7" t="str">
        <x:v>AG-04219</x:v>
      </x:c>
      <x:c r="C4225" s="7" t="str">
        <x:v>PEA-B-Y2</x:v>
      </x:c>
      <x:c r="D4225" s="7" t="str">
        <x:v>factory calibration</x:v>
      </x:c>
      <x:c r="E4225" s="7" t="str">
        <x:v>CAL-CH-PEA-B-Y2-13-2</x:v>
      </x:c>
      <x:c r="F4225" s="7" t="str">
        <x:f>'Calibration Records'!M1520</x:f>
        <x:v>OPEN</x:v>
      </x:c>
    </x:row>
    <x:row r="4226">
      <x:c r="B4226" s="7" t="str">
        <x:v>AG-04220</x:v>
      </x:c>
      <x:c r="C4226" s="7" t="str">
        <x:v>PEA-B-Y2</x:v>
      </x:c>
      <x:c r="D4226" s="7" t="str">
        <x:v>factory calibration</x:v>
      </x:c>
      <x:c r="E4226" s="7" t="str">
        <x:v>CAL-CH-PEA-B-Y2-13-3</x:v>
      </x:c>
      <x:c r="F4226" s="7" t="str">
        <x:f>'Calibration Records'!M1521</x:f>
        <x:v>OPEN</x:v>
      </x:c>
    </x:row>
    <x:row r="4227">
      <x:c r="B4227" s="7" t="str">
        <x:v>AG-04221</x:v>
      </x:c>
      <x:c r="C4227" s="7" t="str">
        <x:v>PEA-B-Y2</x:v>
      </x:c>
      <x:c r="D4227" s="7" t="str">
        <x:v>factory calibration</x:v>
      </x:c>
      <x:c r="E4227" s="7" t="str">
        <x:v>CAL-CH-PEA-B-Y2-13-4</x:v>
      </x:c>
      <x:c r="F4227" s="7" t="str">
        <x:f>'Calibration Records'!M1522</x:f>
        <x:v>OPEN</x:v>
      </x:c>
    </x:row>
    <x:row r="4228">
      <x:c r="B4228" s="7" t="str">
        <x:v>AG-04222</x:v>
      </x:c>
      <x:c r="C4228" s="7" t="str">
        <x:v>PEA-B-Y2</x:v>
      </x:c>
      <x:c r="D4228" s="7" t="str">
        <x:v>factory calibration</x:v>
      </x:c>
      <x:c r="E4228" s="7" t="str">
        <x:v>CAL-CH-PEA-B-Y2-13-5</x:v>
      </x:c>
      <x:c r="F4228" s="7" t="str">
        <x:f>'Calibration Records'!M1523</x:f>
        <x:v>OPEN</x:v>
      </x:c>
    </x:row>
    <x:row r="4229">
      <x:c r="B4229" s="7" t="str">
        <x:v>AG-04223</x:v>
      </x:c>
      <x:c r="C4229" s="7" t="str">
        <x:v>PEA-B-Y2</x:v>
      </x:c>
      <x:c r="D4229" s="7" t="str">
        <x:v>factory calibration</x:v>
      </x:c>
      <x:c r="E4229" s="7" t="str">
        <x:v>CAL-CH-PEA-B-Y2-13-6</x:v>
      </x:c>
      <x:c r="F4229" s="7" t="str">
        <x:f>'Calibration Records'!M1524</x:f>
        <x:v>OPEN</x:v>
      </x:c>
    </x:row>
    <x:row r="4230">
      <x:c r="B4230" s="7" t="str">
        <x:v>AG-04224</x:v>
      </x:c>
      <x:c r="C4230" s="7" t="str">
        <x:v>PEA-B-Y2</x:v>
      </x:c>
      <x:c r="D4230" s="7" t="str">
        <x:v>factory calibration</x:v>
      </x:c>
      <x:c r="E4230" s="7" t="str">
        <x:v>CAL-CH-PEA-B-Y2-14-1</x:v>
      </x:c>
      <x:c r="F4230" s="7" t="str">
        <x:f>'Calibration Records'!M1525</x:f>
        <x:v>OPEN</x:v>
      </x:c>
    </x:row>
    <x:row r="4231">
      <x:c r="B4231" s="7" t="str">
        <x:v>AG-04225</x:v>
      </x:c>
      <x:c r="C4231" s="7" t="str">
        <x:v>PEA-B-Y2</x:v>
      </x:c>
      <x:c r="D4231" s="7" t="str">
        <x:v>factory calibration</x:v>
      </x:c>
      <x:c r="E4231" s="7" t="str">
        <x:v>CAL-CH-PEA-B-Y2-14-2</x:v>
      </x:c>
      <x:c r="F4231" s="7" t="str">
        <x:f>'Calibration Records'!M1526</x:f>
        <x:v>OPEN</x:v>
      </x:c>
    </x:row>
    <x:row r="4232">
      <x:c r="B4232" s="7" t="str">
        <x:v>AG-04226</x:v>
      </x:c>
      <x:c r="C4232" s="7" t="str">
        <x:v>PEA-B-Y2</x:v>
      </x:c>
      <x:c r="D4232" s="7" t="str">
        <x:v>factory calibration</x:v>
      </x:c>
      <x:c r="E4232" s="7" t="str">
        <x:v>CAL-CH-PEA-B-Y2-14-3</x:v>
      </x:c>
      <x:c r="F4232" s="7" t="str">
        <x:f>'Calibration Records'!M1527</x:f>
        <x:v>OPEN</x:v>
      </x:c>
    </x:row>
    <x:row r="4233">
      <x:c r="B4233" s="7" t="str">
        <x:v>AG-04227</x:v>
      </x:c>
      <x:c r="C4233" s="7" t="str">
        <x:v>PEA-B-Y2</x:v>
      </x:c>
      <x:c r="D4233" s="7" t="str">
        <x:v>factory calibration</x:v>
      </x:c>
      <x:c r="E4233" s="7" t="str">
        <x:v>CAL-CH-PEA-B-Y2-14-4</x:v>
      </x:c>
      <x:c r="F4233" s="7" t="str">
        <x:f>'Calibration Records'!M1528</x:f>
        <x:v>OPEN</x:v>
      </x:c>
    </x:row>
    <x:row r="4234">
      <x:c r="B4234" s="7" t="str">
        <x:v>AG-04228</x:v>
      </x:c>
      <x:c r="C4234" s="7" t="str">
        <x:v>PEA-B-Y2</x:v>
      </x:c>
      <x:c r="D4234" s="7" t="str">
        <x:v>factory calibration</x:v>
      </x:c>
      <x:c r="E4234" s="7" t="str">
        <x:v>CAL-CH-PEA-B-Y2-14-5</x:v>
      </x:c>
      <x:c r="F4234" s="7" t="str">
        <x:f>'Calibration Records'!M1529</x:f>
        <x:v>OPEN</x:v>
      </x:c>
    </x:row>
    <x:row r="4235">
      <x:c r="B4235" s="7" t="str">
        <x:v>AG-04229</x:v>
      </x:c>
      <x:c r="C4235" s="7" t="str">
        <x:v>PEA-B-Y2</x:v>
      </x:c>
      <x:c r="D4235" s="7" t="str">
        <x:v>factory calibration</x:v>
      </x:c>
      <x:c r="E4235" s="7" t="str">
        <x:v>CAL-CH-PEA-B-Y2-14-6</x:v>
      </x:c>
      <x:c r="F4235" s="7" t="str">
        <x:f>'Calibration Records'!M1530</x:f>
        <x:v>OPEN</x:v>
      </x:c>
    </x:row>
    <x:row r="4236">
      <x:c r="B4236" s="7" t="str">
        <x:v>AG-04230</x:v>
      </x:c>
      <x:c r="C4236" s="7" t="str">
        <x:v>PEA-B-Y2</x:v>
      </x:c>
      <x:c r="D4236" s="7" t="str">
        <x:v>factory calibration</x:v>
      </x:c>
      <x:c r="E4236" s="7" t="str">
        <x:v>CAL-CH-PEA-B-Y2-15-1</x:v>
      </x:c>
      <x:c r="F4236" s="7" t="str">
        <x:f>'Calibration Records'!M1531</x:f>
        <x:v>OPEN</x:v>
      </x:c>
    </x:row>
    <x:row r="4237">
      <x:c r="B4237" s="7" t="str">
        <x:v>AG-04231</x:v>
      </x:c>
      <x:c r="C4237" s="7" t="str">
        <x:v>PEA-B-Y2</x:v>
      </x:c>
      <x:c r="D4237" s="7" t="str">
        <x:v>factory calibration</x:v>
      </x:c>
      <x:c r="E4237" s="7" t="str">
        <x:v>CAL-CH-PEA-B-Y2-15-2</x:v>
      </x:c>
      <x:c r="F4237" s="7" t="str">
        <x:f>'Calibration Records'!M1532</x:f>
        <x:v>OPEN</x:v>
      </x:c>
    </x:row>
    <x:row r="4238">
      <x:c r="B4238" s="7" t="str">
        <x:v>AG-04232</x:v>
      </x:c>
      <x:c r="C4238" s="7" t="str">
        <x:v>PEA-B-Y2</x:v>
      </x:c>
      <x:c r="D4238" s="7" t="str">
        <x:v>factory calibration</x:v>
      </x:c>
      <x:c r="E4238" s="7" t="str">
        <x:v>CAL-CH-PEA-B-Y2-15-3</x:v>
      </x:c>
      <x:c r="F4238" s="7" t="str">
        <x:f>'Calibration Records'!M1533</x:f>
        <x:v>OPEN</x:v>
      </x:c>
    </x:row>
    <x:row r="4239">
      <x:c r="B4239" s="7" t="str">
        <x:v>AG-04233</x:v>
      </x:c>
      <x:c r="C4239" s="7" t="str">
        <x:v>PEA-B-Y2</x:v>
      </x:c>
      <x:c r="D4239" s="7" t="str">
        <x:v>factory calibration</x:v>
      </x:c>
      <x:c r="E4239" s="7" t="str">
        <x:v>CAL-CH-PEA-B-Y2-15-4</x:v>
      </x:c>
      <x:c r="F4239" s="7" t="str">
        <x:f>'Calibration Records'!M1534</x:f>
        <x:v>OPEN</x:v>
      </x:c>
    </x:row>
    <x:row r="4240">
      <x:c r="B4240" s="7" t="str">
        <x:v>AG-04234</x:v>
      </x:c>
      <x:c r="C4240" s="7" t="str">
        <x:v>PEA-B-Y2</x:v>
      </x:c>
      <x:c r="D4240" s="7" t="str">
        <x:v>factory calibration</x:v>
      </x:c>
      <x:c r="E4240" s="7" t="str">
        <x:v>CAL-CH-PEA-B-Y2-15-5</x:v>
      </x:c>
      <x:c r="F4240" s="7" t="str">
        <x:f>'Calibration Records'!M1535</x:f>
        <x:v>OPEN</x:v>
      </x:c>
    </x:row>
    <x:row r="4241">
      <x:c r="B4241" s="7" t="str">
        <x:v>AG-04235</x:v>
      </x:c>
      <x:c r="C4241" s="7" t="str">
        <x:v>PEA-B-Y2</x:v>
      </x:c>
      <x:c r="D4241" s="7" t="str">
        <x:v>factory calibration</x:v>
      </x:c>
      <x:c r="E4241" s="7" t="str">
        <x:v>CAL-CH-PEA-B-Y2-15-6</x:v>
      </x:c>
      <x:c r="F4241" s="7" t="str">
        <x:f>'Calibration Records'!M1536</x:f>
        <x:v>OPEN</x:v>
      </x:c>
    </x:row>
    <x:row r="4242">
      <x:c r="B4242" s="7" t="str">
        <x:v>AG-04236</x:v>
      </x:c>
      <x:c r="C4242" s="7" t="str">
        <x:v>PEA-B-Y2</x:v>
      </x:c>
      <x:c r="D4242" s="7" t="str">
        <x:v>factory calibration</x:v>
      </x:c>
      <x:c r="E4242" s="7" t="str">
        <x:v>CAL-CH-PEA-B-Y2-16-1</x:v>
      </x:c>
      <x:c r="F4242" s="7" t="str">
        <x:f>'Calibration Records'!M1537</x:f>
        <x:v>OPEN</x:v>
      </x:c>
    </x:row>
    <x:row r="4243">
      <x:c r="B4243" s="7" t="str">
        <x:v>AG-04237</x:v>
      </x:c>
      <x:c r="C4243" s="7" t="str">
        <x:v>PEA-B-Y2</x:v>
      </x:c>
      <x:c r="D4243" s="7" t="str">
        <x:v>factory calibration</x:v>
      </x:c>
      <x:c r="E4243" s="7" t="str">
        <x:v>CAL-CH-PEA-B-Y2-16-2</x:v>
      </x:c>
      <x:c r="F4243" s="7" t="str">
        <x:f>'Calibration Records'!M1538</x:f>
        <x:v>OPEN</x:v>
      </x:c>
    </x:row>
    <x:row r="4244">
      <x:c r="B4244" s="7" t="str">
        <x:v>AG-04238</x:v>
      </x:c>
      <x:c r="C4244" s="7" t="str">
        <x:v>PEA-B-Y2</x:v>
      </x:c>
      <x:c r="D4244" s="7" t="str">
        <x:v>factory calibration</x:v>
      </x:c>
      <x:c r="E4244" s="7" t="str">
        <x:v>CAL-CH-PEA-B-Y2-16-3</x:v>
      </x:c>
      <x:c r="F4244" s="7" t="str">
        <x:f>'Calibration Records'!M1539</x:f>
        <x:v>OPEN</x:v>
      </x:c>
    </x:row>
    <x:row r="4245">
      <x:c r="B4245" s="7" t="str">
        <x:v>AG-04239</x:v>
      </x:c>
      <x:c r="C4245" s="7" t="str">
        <x:v>PEA-B-Y2</x:v>
      </x:c>
      <x:c r="D4245" s="7" t="str">
        <x:v>factory calibration</x:v>
      </x:c>
      <x:c r="E4245" s="7" t="str">
        <x:v>CAL-CH-PEA-B-Y2-16-4</x:v>
      </x:c>
      <x:c r="F4245" s="7" t="str">
        <x:f>'Calibration Records'!M1540</x:f>
        <x:v>OPEN</x:v>
      </x:c>
    </x:row>
    <x:row r="4246">
      <x:c r="B4246" s="7" t="str">
        <x:v>AG-04240</x:v>
      </x:c>
      <x:c r="C4246" s="7" t="str">
        <x:v>PEA-B-Y2</x:v>
      </x:c>
      <x:c r="D4246" s="7" t="str">
        <x:v>factory calibration</x:v>
      </x:c>
      <x:c r="E4246" s="7" t="str">
        <x:v>CAL-CH-PEA-B-Y2-16-5</x:v>
      </x:c>
      <x:c r="F4246" s="7" t="str">
        <x:f>'Calibration Records'!M1541</x:f>
        <x:v>OPEN</x:v>
      </x:c>
    </x:row>
    <x:row r="4247">
      <x:c r="B4247" s="7" t="str">
        <x:v>AG-04241</x:v>
      </x:c>
      <x:c r="C4247" s="7" t="str">
        <x:v>PEA-B-Y2</x:v>
      </x:c>
      <x:c r="D4247" s="7" t="str">
        <x:v>factory calibration</x:v>
      </x:c>
      <x:c r="E4247" s="7" t="str">
        <x:v>CAL-CH-PEA-B-Y2-16-6</x:v>
      </x:c>
      <x:c r="F4247" s="7" t="str">
        <x:f>'Calibration Records'!M1542</x:f>
        <x:v>OPEN</x:v>
      </x:c>
    </x:row>
    <x:row r="4248">
      <x:c r="B4248" s="7" t="str">
        <x:v>AG-04242</x:v>
      </x:c>
      <x:c r="C4248" s="7" t="str">
        <x:v>PEA-B-Y2</x:v>
      </x:c>
      <x:c r="D4248" s="7" t="str">
        <x:v>factory calibration</x:v>
      </x:c>
      <x:c r="E4248" s="7" t="str">
        <x:v>CAL-CH-PEA-B-Y2-17-1</x:v>
      </x:c>
      <x:c r="F4248" s="7" t="str">
        <x:f>'Calibration Records'!M1543</x:f>
        <x:v>OPEN</x:v>
      </x:c>
    </x:row>
    <x:row r="4249">
      <x:c r="B4249" s="7" t="str">
        <x:v>AG-04243</x:v>
      </x:c>
      <x:c r="C4249" s="7" t="str">
        <x:v>PEA-B-Y2</x:v>
      </x:c>
      <x:c r="D4249" s="7" t="str">
        <x:v>factory calibration</x:v>
      </x:c>
      <x:c r="E4249" s="7" t="str">
        <x:v>CAL-CH-PEA-B-Y2-17-2</x:v>
      </x:c>
      <x:c r="F4249" s="7" t="str">
        <x:f>'Calibration Records'!M1544</x:f>
        <x:v>OPEN</x:v>
      </x:c>
    </x:row>
    <x:row r="4250">
      <x:c r="B4250" s="7" t="str">
        <x:v>AG-04244</x:v>
      </x:c>
      <x:c r="C4250" s="7" t="str">
        <x:v>PEA-B-Y2</x:v>
      </x:c>
      <x:c r="D4250" s="7" t="str">
        <x:v>factory calibration</x:v>
      </x:c>
      <x:c r="E4250" s="7" t="str">
        <x:v>CAL-CH-PEA-B-Y2-17-3</x:v>
      </x:c>
      <x:c r="F4250" s="7" t="str">
        <x:f>'Calibration Records'!M1545</x:f>
        <x:v>OPEN</x:v>
      </x:c>
    </x:row>
    <x:row r="4251">
      <x:c r="B4251" s="7" t="str">
        <x:v>AG-04245</x:v>
      </x:c>
      <x:c r="C4251" s="7" t="str">
        <x:v>PEA-B-Y2</x:v>
      </x:c>
      <x:c r="D4251" s="7" t="str">
        <x:v>factory calibration</x:v>
      </x:c>
      <x:c r="E4251" s="7" t="str">
        <x:v>CAL-CH-PEA-B-Y2-17-4</x:v>
      </x:c>
      <x:c r="F4251" s="7" t="str">
        <x:f>'Calibration Records'!M1546</x:f>
        <x:v>OPEN</x:v>
      </x:c>
    </x:row>
    <x:row r="4252">
      <x:c r="B4252" s="7" t="str">
        <x:v>AG-04246</x:v>
      </x:c>
      <x:c r="C4252" s="7" t="str">
        <x:v>PEA-B-Y2</x:v>
      </x:c>
      <x:c r="D4252" s="7" t="str">
        <x:v>factory calibration</x:v>
      </x:c>
      <x:c r="E4252" s="7" t="str">
        <x:v>CAL-CH-PEA-B-Y2-17-5</x:v>
      </x:c>
      <x:c r="F4252" s="7" t="str">
        <x:f>'Calibration Records'!M1547</x:f>
        <x:v>OPEN</x:v>
      </x:c>
    </x:row>
    <x:row r="4253">
      <x:c r="B4253" s="7" t="str">
        <x:v>AG-04247</x:v>
      </x:c>
      <x:c r="C4253" s="7" t="str">
        <x:v>PEA-B-Y2</x:v>
      </x:c>
      <x:c r="D4253" s="7" t="str">
        <x:v>factory calibration</x:v>
      </x:c>
      <x:c r="E4253" s="7" t="str">
        <x:v>CAL-CH-PEA-B-Y2-17-6</x:v>
      </x:c>
      <x:c r="F4253" s="7" t="str">
        <x:f>'Calibration Records'!M1548</x:f>
        <x:v>OPEN</x:v>
      </x:c>
    </x:row>
    <x:row r="4254">
      <x:c r="B4254" s="7" t="str">
        <x:v>AG-04248</x:v>
      </x:c>
      <x:c r="C4254" s="7" t="str">
        <x:v>PEA-B-Y2</x:v>
      </x:c>
      <x:c r="D4254" s="7" t="str">
        <x:v>factory calibration</x:v>
      </x:c>
      <x:c r="E4254" s="7" t="str">
        <x:v>CAL-CH-PEA-B-Y2-18-1</x:v>
      </x:c>
      <x:c r="F4254" s="7" t="str">
        <x:f>'Calibration Records'!M1549</x:f>
        <x:v>OPEN</x:v>
      </x:c>
    </x:row>
    <x:row r="4255">
      <x:c r="B4255" s="7" t="str">
        <x:v>AG-04249</x:v>
      </x:c>
      <x:c r="C4255" s="7" t="str">
        <x:v>PEA-B-Y2</x:v>
      </x:c>
      <x:c r="D4255" s="7" t="str">
        <x:v>factory calibration</x:v>
      </x:c>
      <x:c r="E4255" s="7" t="str">
        <x:v>CAL-CH-PEA-B-Y2-18-2</x:v>
      </x:c>
      <x:c r="F4255" s="7" t="str">
        <x:f>'Calibration Records'!M1550</x:f>
        <x:v>OPEN</x:v>
      </x:c>
    </x:row>
    <x:row r="4256">
      <x:c r="B4256" s="7" t="str">
        <x:v>AG-04250</x:v>
      </x:c>
      <x:c r="C4256" s="7" t="str">
        <x:v>PEA-B-Y2</x:v>
      </x:c>
      <x:c r="D4256" s="7" t="str">
        <x:v>factory calibration</x:v>
      </x:c>
      <x:c r="E4256" s="7" t="str">
        <x:v>CAL-CH-PEA-B-Y2-18-3</x:v>
      </x:c>
      <x:c r="F4256" s="7" t="str">
        <x:f>'Calibration Records'!M1551</x:f>
        <x:v>OPEN</x:v>
      </x:c>
    </x:row>
    <x:row r="4257">
      <x:c r="B4257" s="7" t="str">
        <x:v>AG-04251</x:v>
      </x:c>
      <x:c r="C4257" s="7" t="str">
        <x:v>PEA-B-Y2</x:v>
      </x:c>
      <x:c r="D4257" s="7" t="str">
        <x:v>factory calibration</x:v>
      </x:c>
      <x:c r="E4257" s="7" t="str">
        <x:v>CAL-CH-PEA-B-Y2-18-4</x:v>
      </x:c>
      <x:c r="F4257" s="7" t="str">
        <x:f>'Calibration Records'!M1552</x:f>
        <x:v>OPEN</x:v>
      </x:c>
    </x:row>
    <x:row r="4258">
      <x:c r="B4258" s="7" t="str">
        <x:v>AG-04252</x:v>
      </x:c>
      <x:c r="C4258" s="7" t="str">
        <x:v>PEA-B-Y2</x:v>
      </x:c>
      <x:c r="D4258" s="7" t="str">
        <x:v>factory calibration</x:v>
      </x:c>
      <x:c r="E4258" s="7" t="str">
        <x:v>CAL-CH-PEA-B-Y2-18-5</x:v>
      </x:c>
      <x:c r="F4258" s="7" t="str">
        <x:f>'Calibration Records'!M1553</x:f>
        <x:v>OPEN</x:v>
      </x:c>
    </x:row>
    <x:row r="4259">
      <x:c r="B4259" s="7" t="str">
        <x:v>AG-04253</x:v>
      </x:c>
      <x:c r="C4259" s="7" t="str">
        <x:v>PEA-B-Y2</x:v>
      </x:c>
      <x:c r="D4259" s="7" t="str">
        <x:v>factory calibration</x:v>
      </x:c>
      <x:c r="E4259" s="7" t="str">
        <x:v>CAL-CH-PEA-B-Y2-18-6</x:v>
      </x:c>
      <x:c r="F4259" s="7" t="str">
        <x:f>'Calibration Records'!M1554</x:f>
        <x:v>OPEN</x:v>
      </x:c>
    </x:row>
    <x:row r="4260">
      <x:c r="B4260" s="7" t="str">
        <x:v>AG-04254</x:v>
      </x:c>
      <x:c r="C4260" s="7" t="str">
        <x:v>PEA-B-Y2</x:v>
      </x:c>
      <x:c r="D4260" s="7" t="str">
        <x:v>factory calibration</x:v>
      </x:c>
      <x:c r="E4260" s="7" t="str">
        <x:v>CAL-CH-PEA-B-Y2-19-1</x:v>
      </x:c>
      <x:c r="F4260" s="7" t="str">
        <x:f>'Calibration Records'!M1555</x:f>
        <x:v>OPEN</x:v>
      </x:c>
    </x:row>
    <x:row r="4261">
      <x:c r="B4261" s="7" t="str">
        <x:v>AG-04255</x:v>
      </x:c>
      <x:c r="C4261" s="7" t="str">
        <x:v>PEA-B-Y2</x:v>
      </x:c>
      <x:c r="D4261" s="7" t="str">
        <x:v>factory calibration</x:v>
      </x:c>
      <x:c r="E4261" s="7" t="str">
        <x:v>CAL-CH-PEA-B-Y2-19-2</x:v>
      </x:c>
      <x:c r="F4261" s="7" t="str">
        <x:f>'Calibration Records'!M1556</x:f>
        <x:v>OPEN</x:v>
      </x:c>
    </x:row>
    <x:row r="4262">
      <x:c r="B4262" s="7" t="str">
        <x:v>AG-04256</x:v>
      </x:c>
      <x:c r="C4262" s="7" t="str">
        <x:v>PEA-B-Y2</x:v>
      </x:c>
      <x:c r="D4262" s="7" t="str">
        <x:v>factory calibration</x:v>
      </x:c>
      <x:c r="E4262" s="7" t="str">
        <x:v>CAL-CH-PEA-B-Y2-19-3</x:v>
      </x:c>
      <x:c r="F4262" s="7" t="str">
        <x:f>'Calibration Records'!M1557</x:f>
        <x:v>OPEN</x:v>
      </x:c>
    </x:row>
    <x:row r="4263">
      <x:c r="B4263" s="7" t="str">
        <x:v>AG-04257</x:v>
      </x:c>
      <x:c r="C4263" s="7" t="str">
        <x:v>PEA-B-Y2</x:v>
      </x:c>
      <x:c r="D4263" s="7" t="str">
        <x:v>factory calibration</x:v>
      </x:c>
      <x:c r="E4263" s="7" t="str">
        <x:v>CAL-CH-PEA-B-Y2-19-4</x:v>
      </x:c>
      <x:c r="F4263" s="7" t="str">
        <x:f>'Calibration Records'!M1558</x:f>
        <x:v>OPEN</x:v>
      </x:c>
    </x:row>
    <x:row r="4264">
      <x:c r="B4264" s="7" t="str">
        <x:v>AG-04258</x:v>
      </x:c>
      <x:c r="C4264" s="7" t="str">
        <x:v>PEA-B-Y2</x:v>
      </x:c>
      <x:c r="D4264" s="7" t="str">
        <x:v>factory calibration</x:v>
      </x:c>
      <x:c r="E4264" s="7" t="str">
        <x:v>CAL-CH-PEA-B-Y2-19-5</x:v>
      </x:c>
      <x:c r="F4264" s="7" t="str">
        <x:f>'Calibration Records'!M1559</x:f>
        <x:v>OPEN</x:v>
      </x:c>
    </x:row>
    <x:row r="4265">
      <x:c r="B4265" s="7" t="str">
        <x:v>AG-04259</x:v>
      </x:c>
      <x:c r="C4265" s="7" t="str">
        <x:v>PEA-B-Y2</x:v>
      </x:c>
      <x:c r="D4265" s="7" t="str">
        <x:v>factory calibration</x:v>
      </x:c>
      <x:c r="E4265" s="7" t="str">
        <x:v>CAL-CH-PEA-B-Y2-19-6</x:v>
      </x:c>
      <x:c r="F4265" s="7" t="str">
        <x:f>'Calibration Records'!M1560</x:f>
        <x:v>OPEN</x:v>
      </x:c>
    </x:row>
    <x:row r="4266">
      <x:c r="B4266" s="7" t="str">
        <x:v>AG-04260</x:v>
      </x:c>
      <x:c r="C4266" s="7" t="str">
        <x:v>PEA-B-Y2</x:v>
      </x:c>
      <x:c r="D4266" s="7" t="str">
        <x:v>factory calibration</x:v>
      </x:c>
      <x:c r="E4266" s="7" t="str">
        <x:v>CAL-CH-PEA-B-Y2-20-1</x:v>
      </x:c>
      <x:c r="F4266" s="7" t="str">
        <x:f>'Calibration Records'!M1561</x:f>
        <x:v>OPEN</x:v>
      </x:c>
    </x:row>
    <x:row r="4267">
      <x:c r="B4267" s="7" t="str">
        <x:v>AG-04261</x:v>
      </x:c>
      <x:c r="C4267" s="7" t="str">
        <x:v>PEA-B-Y2</x:v>
      </x:c>
      <x:c r="D4267" s="7" t="str">
        <x:v>factory calibration</x:v>
      </x:c>
      <x:c r="E4267" s="7" t="str">
        <x:v>CAL-CH-PEA-B-Y2-20-2</x:v>
      </x:c>
      <x:c r="F4267" s="7" t="str">
        <x:f>'Calibration Records'!M1562</x:f>
        <x:v>OPEN</x:v>
      </x:c>
    </x:row>
    <x:row r="4268">
      <x:c r="B4268" s="7" t="str">
        <x:v>AG-04262</x:v>
      </x:c>
      <x:c r="C4268" s="7" t="str">
        <x:v>PEA-B-Y2</x:v>
      </x:c>
      <x:c r="D4268" s="7" t="str">
        <x:v>factory calibration</x:v>
      </x:c>
      <x:c r="E4268" s="7" t="str">
        <x:v>CAL-CH-PEA-B-Y2-20-3</x:v>
      </x:c>
      <x:c r="F4268" s="7" t="str">
        <x:f>'Calibration Records'!M1563</x:f>
        <x:v>OPEN</x:v>
      </x:c>
    </x:row>
    <x:row r="4269">
      <x:c r="B4269" s="7" t="str">
        <x:v>AG-04263</x:v>
      </x:c>
      <x:c r="C4269" s="7" t="str">
        <x:v>PEA-B-Y2</x:v>
      </x:c>
      <x:c r="D4269" s="7" t="str">
        <x:v>factory calibration</x:v>
      </x:c>
      <x:c r="E4269" s="7" t="str">
        <x:v>CAL-CH-PEA-B-Y2-20-4</x:v>
      </x:c>
      <x:c r="F4269" s="7" t="str">
        <x:f>'Calibration Records'!M1564</x:f>
        <x:v>OPEN</x:v>
      </x:c>
    </x:row>
    <x:row r="4270">
      <x:c r="B4270" s="7" t="str">
        <x:v>AG-04264</x:v>
      </x:c>
      <x:c r="C4270" s="7" t="str">
        <x:v>PEA-B-Y2</x:v>
      </x:c>
      <x:c r="D4270" s="7" t="str">
        <x:v>factory calibration</x:v>
      </x:c>
      <x:c r="E4270" s="7" t="str">
        <x:v>CAL-CH-PEA-B-Y2-20-5</x:v>
      </x:c>
      <x:c r="F4270" s="7" t="str">
        <x:f>'Calibration Records'!M1565</x:f>
        <x:v>OPEN</x:v>
      </x:c>
    </x:row>
    <x:row r="4271">
      <x:c r="B4271" s="7" t="str">
        <x:v>AG-04265</x:v>
      </x:c>
      <x:c r="C4271" s="7" t="str">
        <x:v>PEA-B-Y2</x:v>
      </x:c>
      <x:c r="D4271" s="7" t="str">
        <x:v>factory calibration</x:v>
      </x:c>
      <x:c r="E4271" s="7" t="str">
        <x:v>CAL-CH-PEA-B-Y2-20-6</x:v>
      </x:c>
      <x:c r="F4271" s="7" t="str">
        <x:f>'Calibration Records'!M1566</x:f>
        <x:v>OPEN</x:v>
      </x:c>
    </x:row>
    <x:row r="4272">
      <x:c r="B4272" s="7" t="str">
        <x:v>AG-04266</x:v>
      </x:c>
      <x:c r="C4272" s="7" t="str">
        <x:v>PEA-B-Y2</x:v>
      </x:c>
      <x:c r="D4272" s="7" t="str">
        <x:v>factory calibration</x:v>
      </x:c>
      <x:c r="E4272" s="7" t="str">
        <x:v>CAL-CH-PEA-B-Y2-21-1</x:v>
      </x:c>
      <x:c r="F4272" s="7" t="str">
        <x:f>'Calibration Records'!M1567</x:f>
        <x:v>OPEN</x:v>
      </x:c>
    </x:row>
    <x:row r="4273">
      <x:c r="B4273" s="7" t="str">
        <x:v>AG-04267</x:v>
      </x:c>
      <x:c r="C4273" s="7" t="str">
        <x:v>PEA-B-Y2</x:v>
      </x:c>
      <x:c r="D4273" s="7" t="str">
        <x:v>factory calibration</x:v>
      </x:c>
      <x:c r="E4273" s="7" t="str">
        <x:v>CAL-CH-PEA-B-Y2-21-2</x:v>
      </x:c>
      <x:c r="F4273" s="7" t="str">
        <x:f>'Calibration Records'!M1568</x:f>
        <x:v>OPEN</x:v>
      </x:c>
    </x:row>
    <x:row r="4274">
      <x:c r="B4274" s="7" t="str">
        <x:v>AG-04268</x:v>
      </x:c>
      <x:c r="C4274" s="7" t="str">
        <x:v>PEA-B-Y2</x:v>
      </x:c>
      <x:c r="D4274" s="7" t="str">
        <x:v>factory calibration</x:v>
      </x:c>
      <x:c r="E4274" s="7" t="str">
        <x:v>CAL-CH-PEA-B-Y2-21-3</x:v>
      </x:c>
      <x:c r="F4274" s="7" t="str">
        <x:f>'Calibration Records'!M1569</x:f>
        <x:v>OPEN</x:v>
      </x:c>
    </x:row>
    <x:row r="4275">
      <x:c r="B4275" s="7" t="str">
        <x:v>AG-04269</x:v>
      </x:c>
      <x:c r="C4275" s="7" t="str">
        <x:v>PEA-B-Y2</x:v>
      </x:c>
      <x:c r="D4275" s="7" t="str">
        <x:v>factory calibration</x:v>
      </x:c>
      <x:c r="E4275" s="7" t="str">
        <x:v>CAL-CH-PEA-B-Y2-21-4</x:v>
      </x:c>
      <x:c r="F4275" s="7" t="str">
        <x:f>'Calibration Records'!M1570</x:f>
        <x:v>OPEN</x:v>
      </x:c>
    </x:row>
    <x:row r="4276">
      <x:c r="B4276" s="7" t="str">
        <x:v>AG-04270</x:v>
      </x:c>
      <x:c r="C4276" s="7" t="str">
        <x:v>PEA-B-Y2</x:v>
      </x:c>
      <x:c r="D4276" s="7" t="str">
        <x:v>factory calibration</x:v>
      </x:c>
      <x:c r="E4276" s="7" t="str">
        <x:v>CAL-CH-PEA-B-Y2-21-5</x:v>
      </x:c>
      <x:c r="F4276" s="7" t="str">
        <x:f>'Calibration Records'!M1571</x:f>
        <x:v>OPEN</x:v>
      </x:c>
    </x:row>
    <x:row r="4277">
      <x:c r="B4277" s="7" t="str">
        <x:v>AG-04271</x:v>
      </x:c>
      <x:c r="C4277" s="7" t="str">
        <x:v>PEA-B-Y2</x:v>
      </x:c>
      <x:c r="D4277" s="7" t="str">
        <x:v>factory calibration</x:v>
      </x:c>
      <x:c r="E4277" s="7" t="str">
        <x:v>CAL-CH-PEA-B-Y2-21-6</x:v>
      </x:c>
      <x:c r="F4277" s="7" t="str">
        <x:f>'Calibration Records'!M1572</x:f>
        <x:v>OPEN</x:v>
      </x:c>
    </x:row>
    <x:row r="4278">
      <x:c r="B4278" s="7" t="str">
        <x:v>AG-04272</x:v>
      </x:c>
      <x:c r="C4278" s="7" t="str">
        <x:v>PEA-B-Y2</x:v>
      </x:c>
      <x:c r="D4278" s="7" t="str">
        <x:v>factory calibration</x:v>
      </x:c>
      <x:c r="E4278" s="7" t="str">
        <x:v>CAL-CH-PEA-B-Y2-22-1</x:v>
      </x:c>
      <x:c r="F4278" s="7" t="str">
        <x:f>'Calibration Records'!M1573</x:f>
        <x:v>OPEN</x:v>
      </x:c>
    </x:row>
    <x:row r="4279">
      <x:c r="B4279" s="7" t="str">
        <x:v>AG-04273</x:v>
      </x:c>
      <x:c r="C4279" s="7" t="str">
        <x:v>PEA-B-Y2</x:v>
      </x:c>
      <x:c r="D4279" s="7" t="str">
        <x:v>factory calibration</x:v>
      </x:c>
      <x:c r="E4279" s="7" t="str">
        <x:v>CAL-CH-PEA-B-Y2-22-2</x:v>
      </x:c>
      <x:c r="F4279" s="7" t="str">
        <x:f>'Calibration Records'!M1574</x:f>
        <x:v>OPEN</x:v>
      </x:c>
    </x:row>
    <x:row r="4280">
      <x:c r="B4280" s="7" t="str">
        <x:v>AG-04274</x:v>
      </x:c>
      <x:c r="C4280" s="7" t="str">
        <x:v>PEA-B-Y2</x:v>
      </x:c>
      <x:c r="D4280" s="7" t="str">
        <x:v>factory calibration</x:v>
      </x:c>
      <x:c r="E4280" s="7" t="str">
        <x:v>CAL-CH-PEA-B-Y2-22-3</x:v>
      </x:c>
      <x:c r="F4280" s="7" t="str">
        <x:f>'Calibration Records'!M1575</x:f>
        <x:v>OPEN</x:v>
      </x:c>
    </x:row>
    <x:row r="4281">
      <x:c r="B4281" s="7" t="str">
        <x:v>AG-04275</x:v>
      </x:c>
      <x:c r="C4281" s="7" t="str">
        <x:v>PEA-B-Y2</x:v>
      </x:c>
      <x:c r="D4281" s="7" t="str">
        <x:v>factory calibration</x:v>
      </x:c>
      <x:c r="E4281" s="7" t="str">
        <x:v>CAL-CH-PEA-B-Y2-22-4</x:v>
      </x:c>
      <x:c r="F4281" s="7" t="str">
        <x:f>'Calibration Records'!M1576</x:f>
        <x:v>OPEN</x:v>
      </x:c>
    </x:row>
    <x:row r="4282">
      <x:c r="B4282" s="7" t="str">
        <x:v>AG-04276</x:v>
      </x:c>
      <x:c r="C4282" s="7" t="str">
        <x:v>PEA-B-Y2</x:v>
      </x:c>
      <x:c r="D4282" s="7" t="str">
        <x:v>factory calibration</x:v>
      </x:c>
      <x:c r="E4282" s="7" t="str">
        <x:v>CAL-CH-PEA-B-Y2-22-5</x:v>
      </x:c>
      <x:c r="F4282" s="7" t="str">
        <x:f>'Calibration Records'!M1577</x:f>
        <x:v>OPEN</x:v>
      </x:c>
    </x:row>
    <x:row r="4283">
      <x:c r="B4283" s="7" t="str">
        <x:v>AG-04277</x:v>
      </x:c>
      <x:c r="C4283" s="7" t="str">
        <x:v>PEA-B-Y2</x:v>
      </x:c>
      <x:c r="D4283" s="7" t="str">
        <x:v>factory calibration</x:v>
      </x:c>
      <x:c r="E4283" s="7" t="str">
        <x:v>CAL-CH-PEA-B-Y2-22-6</x:v>
      </x:c>
      <x:c r="F4283" s="7" t="str">
        <x:f>'Calibration Records'!M1578</x:f>
        <x:v>OPEN</x:v>
      </x:c>
    </x:row>
    <x:row r="4284">
      <x:c r="B4284" s="7" t="str">
        <x:v>AG-04278</x:v>
      </x:c>
      <x:c r="C4284" s="7" t="str">
        <x:v>PEA-B-Y2</x:v>
      </x:c>
      <x:c r="D4284" s="7" t="str">
        <x:v>factory calibration</x:v>
      </x:c>
      <x:c r="E4284" s="7" t="str">
        <x:v>CAL-CH-PEA-B-Y2-23-1</x:v>
      </x:c>
      <x:c r="F4284" s="7" t="str">
        <x:f>'Calibration Records'!M1579</x:f>
        <x:v>OPEN</x:v>
      </x:c>
    </x:row>
    <x:row r="4285">
      <x:c r="B4285" s="7" t="str">
        <x:v>AG-04279</x:v>
      </x:c>
      <x:c r="C4285" s="7" t="str">
        <x:v>PEA-B-Y2</x:v>
      </x:c>
      <x:c r="D4285" s="7" t="str">
        <x:v>factory calibration</x:v>
      </x:c>
      <x:c r="E4285" s="7" t="str">
        <x:v>CAL-CH-PEA-B-Y2-23-2</x:v>
      </x:c>
      <x:c r="F4285" s="7" t="str">
        <x:f>'Calibration Records'!M1580</x:f>
        <x:v>OPEN</x:v>
      </x:c>
    </x:row>
    <x:row r="4286">
      <x:c r="B4286" s="7" t="str">
        <x:v>AG-04280</x:v>
      </x:c>
      <x:c r="C4286" s="7" t="str">
        <x:v>PEA-B-Y2</x:v>
      </x:c>
      <x:c r="D4286" s="7" t="str">
        <x:v>factory calibration</x:v>
      </x:c>
      <x:c r="E4286" s="7" t="str">
        <x:v>CAL-CH-PEA-B-Y2-23-3</x:v>
      </x:c>
      <x:c r="F4286" s="7" t="str">
        <x:f>'Calibration Records'!M1581</x:f>
        <x:v>OPEN</x:v>
      </x:c>
    </x:row>
    <x:row r="4287">
      <x:c r="B4287" s="7" t="str">
        <x:v>AG-04281</x:v>
      </x:c>
      <x:c r="C4287" s="7" t="str">
        <x:v>PEA-B-Y2</x:v>
      </x:c>
      <x:c r="D4287" s="7" t="str">
        <x:v>factory calibration</x:v>
      </x:c>
      <x:c r="E4287" s="7" t="str">
        <x:v>CAL-CH-PEA-B-Y2-23-4</x:v>
      </x:c>
      <x:c r="F4287" s="7" t="str">
        <x:f>'Calibration Records'!M1582</x:f>
        <x:v>OPEN</x:v>
      </x:c>
    </x:row>
    <x:row r="4288">
      <x:c r="B4288" s="7" t="str">
        <x:v>AG-04282</x:v>
      </x:c>
      <x:c r="C4288" s="7" t="str">
        <x:v>PEA-B-Y2</x:v>
      </x:c>
      <x:c r="D4288" s="7" t="str">
        <x:v>factory calibration</x:v>
      </x:c>
      <x:c r="E4288" s="7" t="str">
        <x:v>CAL-CH-PEA-B-Y2-23-5</x:v>
      </x:c>
      <x:c r="F4288" s="7" t="str">
        <x:f>'Calibration Records'!M1583</x:f>
        <x:v>OPEN</x:v>
      </x:c>
    </x:row>
    <x:row r="4289">
      <x:c r="B4289" s="7" t="str">
        <x:v>AG-04283</x:v>
      </x:c>
      <x:c r="C4289" s="7" t="str">
        <x:v>PEA-B-Y2</x:v>
      </x:c>
      <x:c r="D4289" s="7" t="str">
        <x:v>factory calibration</x:v>
      </x:c>
      <x:c r="E4289" s="7" t="str">
        <x:v>CAL-CH-PEA-B-Y2-23-6</x:v>
      </x:c>
      <x:c r="F4289" s="7" t="str">
        <x:f>'Calibration Records'!M1584</x:f>
        <x:v>OPEN</x:v>
      </x:c>
    </x:row>
    <x:row r="4290">
      <x:c r="B4290" s="7" t="str">
        <x:v>AG-04284</x:v>
      </x:c>
      <x:c r="C4290" s="7" t="str">
        <x:v>PEA-B-Y2</x:v>
      </x:c>
      <x:c r="D4290" s="7" t="str">
        <x:v>factory calibration</x:v>
      </x:c>
      <x:c r="E4290" s="7" t="str">
        <x:v>CAL-CH-PEA-B-Y2-24-1</x:v>
      </x:c>
      <x:c r="F4290" s="7" t="str">
        <x:f>'Calibration Records'!M1585</x:f>
        <x:v>OPEN</x:v>
      </x:c>
    </x:row>
    <x:row r="4291">
      <x:c r="B4291" s="7" t="str">
        <x:v>AG-04285</x:v>
      </x:c>
      <x:c r="C4291" s="7" t="str">
        <x:v>PEA-B-Y2</x:v>
      </x:c>
      <x:c r="D4291" s="7" t="str">
        <x:v>factory calibration</x:v>
      </x:c>
      <x:c r="E4291" s="7" t="str">
        <x:v>CAL-CH-PEA-B-Y2-24-2</x:v>
      </x:c>
      <x:c r="F4291" s="7" t="str">
        <x:f>'Calibration Records'!M1586</x:f>
        <x:v>OPEN</x:v>
      </x:c>
    </x:row>
    <x:row r="4292">
      <x:c r="B4292" s="7" t="str">
        <x:v>AG-04286</x:v>
      </x:c>
      <x:c r="C4292" s="7" t="str">
        <x:v>PEA-B-Y2</x:v>
      </x:c>
      <x:c r="D4292" s="7" t="str">
        <x:v>factory calibration</x:v>
      </x:c>
      <x:c r="E4292" s="7" t="str">
        <x:v>CAL-CH-PEA-B-Y2-24-3</x:v>
      </x:c>
      <x:c r="F4292" s="7" t="str">
        <x:f>'Calibration Records'!M1587</x:f>
        <x:v>OPEN</x:v>
      </x:c>
    </x:row>
    <x:row r="4293">
      <x:c r="B4293" s="7" t="str">
        <x:v>AG-04287</x:v>
      </x:c>
      <x:c r="C4293" s="7" t="str">
        <x:v>PEA-B-Y2</x:v>
      </x:c>
      <x:c r="D4293" s="7" t="str">
        <x:v>factory calibration</x:v>
      </x:c>
      <x:c r="E4293" s="7" t="str">
        <x:v>CAL-CH-PEA-B-Y2-24-4</x:v>
      </x:c>
      <x:c r="F4293" s="7" t="str">
        <x:f>'Calibration Records'!M1588</x:f>
        <x:v>OPEN</x:v>
      </x:c>
    </x:row>
    <x:row r="4294">
      <x:c r="B4294" s="7" t="str">
        <x:v>AG-04288</x:v>
      </x:c>
      <x:c r="C4294" s="7" t="str">
        <x:v>PEA-B-Y2</x:v>
      </x:c>
      <x:c r="D4294" s="7" t="str">
        <x:v>factory calibration</x:v>
      </x:c>
      <x:c r="E4294" s="7" t="str">
        <x:v>CAL-CH-PEA-B-Y2-24-5</x:v>
      </x:c>
      <x:c r="F4294" s="7" t="str">
        <x:f>'Calibration Records'!M1589</x:f>
        <x:v>OPEN</x:v>
      </x:c>
    </x:row>
    <x:row r="4295">
      <x:c r="B4295" s="7" t="str">
        <x:v>AG-04289</x:v>
      </x:c>
      <x:c r="C4295" s="7" t="str">
        <x:v>PEA-B-Y2</x:v>
      </x:c>
      <x:c r="D4295" s="7" t="str">
        <x:v>factory calibration</x:v>
      </x:c>
      <x:c r="E4295" s="7" t="str">
        <x:v>CAL-CH-PEA-B-Y2-24-6</x:v>
      </x:c>
      <x:c r="F4295" s="7" t="str">
        <x:f>'Calibration Records'!M1590</x:f>
        <x:v>OPEN</x:v>
      </x:c>
    </x:row>
    <x:row r="4296">
      <x:c r="B4296" s="7" t="str">
        <x:v>AG-04290</x:v>
      </x:c>
      <x:c r="C4296" s="7" t="str">
        <x:v>PEA-B-Y2</x:v>
      </x:c>
      <x:c r="D4296" s="7" t="str">
        <x:v>article master</x:v>
      </x:c>
      <x:c r="E4296" s="7" t="str">
        <x:v>PEA-B-Y2</x:v>
      </x:c>
      <x:c r="F4296" s="7" t="str">
        <x:f>'Article Population'!Q17</x:f>
        <x:v>OPEN</x:v>
      </x:c>
    </x:row>
    <x:row r="4297">
      <x:c r="B4297" s="7" t="str">
        <x:v>AG-04291</x:v>
      </x:c>
      <x:c r="C4297" s="7" t="str">
        <x:v>PEA-B-Y3</x:v>
      </x:c>
      <x:c r="D4297" s="7" t="str">
        <x:v>lineage capsule</x:v>
      </x:c>
      <x:c r="E4297" s="7" t="str">
        <x:v>BL-Y</x:v>
      </x:c>
      <x:c r="F4297" s="7" t="str">
        <x:f>'Baseline Package'!F8</x:f>
        <x:v>OPEN</x:v>
      </x:c>
    </x:row>
    <x:row r="4298">
      <x:c r="B4298" s="7" t="str">
        <x:v>AG-04292</x:v>
      </x:c>
      <x:c r="C4298" s="7" t="str">
        <x:v>PEA-B-Y3</x:v>
      </x:c>
      <x:c r="D4298" s="7" t="str">
        <x:v>builder qualification</x:v>
      </x:c>
      <x:c r="E4298" s="7" t="str">
        <x:v>BLD-B</x:v>
      </x:c>
      <x:c r="F4298" s="7" t="str">
        <x:f>Builders!K8</x:f>
        <x:v>OPEN</x:v>
      </x:c>
    </x:row>
    <x:row r="4299">
      <x:c r="B4299" s="7" t="str">
        <x:v>AG-04293</x:v>
      </x:c>
      <x:c r="C4299" s="7" t="str">
        <x:v>PEA-B-Y3</x:v>
      </x:c>
      <x:c r="D4299" s="7" t="str">
        <x:v>material split</x:v>
      </x:c>
      <x:c r="E4299" s="7" t="str">
        <x:v>SPLIT-PEA-B-Y3</x:v>
      </x:c>
      <x:c r="F4299" s="7" t="str">
        <x:f>'Material Matrix'!K18</x:f>
        <x:v>OPEN</x:v>
      </x:c>
    </x:row>
    <x:row r="4300">
      <x:c r="B4300" s="7" t="str">
        <x:v>AG-04294</x:v>
      </x:c>
      <x:c r="C4300" s="7" t="str">
        <x:v>PEA-B-Y3</x:v>
      </x:c>
      <x:c r="D4300" s="7" t="str">
        <x:v>build sequence</x:v>
      </x:c>
      <x:c r="E4300" s="7" t="str">
        <x:v>SEQ-PEA-B-Y3</x:v>
      </x:c>
      <x:c r="F4300" s="7" t="str">
        <x:f>'Build Sequence'!L18</x:f>
        <x:v>OPEN</x:v>
      </x:c>
    </x:row>
    <x:row r="4301">
      <x:c r="B4301" s="7" t="str">
        <x:v>AG-04295</x:v>
      </x:c>
      <x:c r="C4301" s="7" t="str">
        <x:v>PEA-B-Y3</x:v>
      </x:c>
      <x:c r="D4301" s="7" t="str">
        <x:v>section traveler</x:v>
      </x:c>
      <x:c r="E4301" s="7" t="str">
        <x:v>TRV-PEA-B-Y3-01</x:v>
      </x:c>
      <x:c r="F4301" s="7" t="str">
        <x:f>'Section Travelers'!L227</x:f>
        <x:v>OPEN</x:v>
      </x:c>
    </x:row>
    <x:row r="4302">
      <x:c r="B4302" s="7" t="str">
        <x:v>AG-04296</x:v>
      </x:c>
      <x:c r="C4302" s="7" t="str">
        <x:v>PEA-B-Y3</x:v>
      </x:c>
      <x:c r="D4302" s="7" t="str">
        <x:v>section traveler</x:v>
      </x:c>
      <x:c r="E4302" s="7" t="str">
        <x:v>TRV-PEA-B-Y3-02</x:v>
      </x:c>
      <x:c r="F4302" s="7" t="str">
        <x:f>'Section Travelers'!L228</x:f>
        <x:v>OPEN</x:v>
      </x:c>
    </x:row>
    <x:row r="4303">
      <x:c r="B4303" s="7" t="str">
        <x:v>AG-04297</x:v>
      </x:c>
      <x:c r="C4303" s="7" t="str">
        <x:v>PEA-B-Y3</x:v>
      </x:c>
      <x:c r="D4303" s="7" t="str">
        <x:v>section traveler</x:v>
      </x:c>
      <x:c r="E4303" s="7" t="str">
        <x:v>TRV-PEA-B-Y3-03</x:v>
      </x:c>
      <x:c r="F4303" s="7" t="str">
        <x:f>'Section Travelers'!L229</x:f>
        <x:v>OPEN</x:v>
      </x:c>
    </x:row>
    <x:row r="4304">
      <x:c r="B4304" s="7" t="str">
        <x:v>AG-04298</x:v>
      </x:c>
      <x:c r="C4304" s="7" t="str">
        <x:v>PEA-B-Y3</x:v>
      </x:c>
      <x:c r="D4304" s="7" t="str">
        <x:v>section traveler</x:v>
      </x:c>
      <x:c r="E4304" s="7" t="str">
        <x:v>TRV-PEA-B-Y3-04</x:v>
      </x:c>
      <x:c r="F4304" s="7" t="str">
        <x:f>'Section Travelers'!L230</x:f>
        <x:v>OPEN</x:v>
      </x:c>
    </x:row>
    <x:row r="4305">
      <x:c r="B4305" s="7" t="str">
        <x:v>AG-04299</x:v>
      </x:c>
      <x:c r="C4305" s="7" t="str">
        <x:v>PEA-B-Y3</x:v>
      </x:c>
      <x:c r="D4305" s="7" t="str">
        <x:v>section traveler</x:v>
      </x:c>
      <x:c r="E4305" s="7" t="str">
        <x:v>TRV-PEA-B-Y3-05</x:v>
      </x:c>
      <x:c r="F4305" s="7" t="str">
        <x:f>'Section Travelers'!L231</x:f>
        <x:v>OPEN</x:v>
      </x:c>
    </x:row>
    <x:row r="4306">
      <x:c r="B4306" s="7" t="str">
        <x:v>AG-04300</x:v>
      </x:c>
      <x:c r="C4306" s="7" t="str">
        <x:v>PEA-B-Y3</x:v>
      </x:c>
      <x:c r="D4306" s="7" t="str">
        <x:v>section traveler</x:v>
      </x:c>
      <x:c r="E4306" s="7" t="str">
        <x:v>TRV-PEA-B-Y3-06</x:v>
      </x:c>
      <x:c r="F4306" s="7" t="str">
        <x:f>'Section Travelers'!L232</x:f>
        <x:v>OPEN</x:v>
      </x:c>
    </x:row>
    <x:row r="4307">
      <x:c r="B4307" s="7" t="str">
        <x:v>AG-04301</x:v>
      </x:c>
      <x:c r="C4307" s="7" t="str">
        <x:v>PEA-B-Y3</x:v>
      </x:c>
      <x:c r="D4307" s="7" t="str">
        <x:v>section traveler</x:v>
      </x:c>
      <x:c r="E4307" s="7" t="str">
        <x:v>TRV-PEA-B-Y3-07</x:v>
      </x:c>
      <x:c r="F4307" s="7" t="str">
        <x:f>'Section Travelers'!L233</x:f>
        <x:v>OPEN</x:v>
      </x:c>
    </x:row>
    <x:row r="4308">
      <x:c r="B4308" s="7" t="str">
        <x:v>AG-04302</x:v>
      </x:c>
      <x:c r="C4308" s="7" t="str">
        <x:v>PEA-B-Y3</x:v>
      </x:c>
      <x:c r="D4308" s="7" t="str">
        <x:v>section traveler</x:v>
      </x:c>
      <x:c r="E4308" s="7" t="str">
        <x:v>TRV-PEA-B-Y3-08</x:v>
      </x:c>
      <x:c r="F4308" s="7" t="str">
        <x:f>'Section Travelers'!L234</x:f>
        <x:v>OPEN</x:v>
      </x:c>
    </x:row>
    <x:row r="4309">
      <x:c r="B4309" s="7" t="str">
        <x:v>AG-04303</x:v>
      </x:c>
      <x:c r="C4309" s="7" t="str">
        <x:v>PEA-B-Y3</x:v>
      </x:c>
      <x:c r="D4309" s="7" t="str">
        <x:v>section traveler</x:v>
      </x:c>
      <x:c r="E4309" s="7" t="str">
        <x:v>TRV-PEA-B-Y3-09</x:v>
      </x:c>
      <x:c r="F4309" s="7" t="str">
        <x:f>'Section Travelers'!L235</x:f>
        <x:v>OPEN</x:v>
      </x:c>
    </x:row>
    <x:row r="4310">
      <x:c r="B4310" s="7" t="str">
        <x:v>AG-04304</x:v>
      </x:c>
      <x:c r="C4310" s="7" t="str">
        <x:v>PEA-B-Y3</x:v>
      </x:c>
      <x:c r="D4310" s="7" t="str">
        <x:v>section traveler</x:v>
      </x:c>
      <x:c r="E4310" s="7" t="str">
        <x:v>TRV-PEA-B-Y3-10</x:v>
      </x:c>
      <x:c r="F4310" s="7" t="str">
        <x:f>'Section Travelers'!L236</x:f>
        <x:v>OPEN</x:v>
      </x:c>
    </x:row>
    <x:row r="4311">
      <x:c r="B4311" s="7" t="str">
        <x:v>AG-04305</x:v>
      </x:c>
      <x:c r="C4311" s="7" t="str">
        <x:v>PEA-B-Y3</x:v>
      </x:c>
      <x:c r="D4311" s="7" t="str">
        <x:v>section traveler</x:v>
      </x:c>
      <x:c r="E4311" s="7" t="str">
        <x:v>TRV-PEA-B-Y3-11</x:v>
      </x:c>
      <x:c r="F4311" s="7" t="str">
        <x:f>'Section Travelers'!L237</x:f>
        <x:v>OPEN</x:v>
      </x:c>
    </x:row>
    <x:row r="4312">
      <x:c r="B4312" s="7" t="str">
        <x:v>AG-04306</x:v>
      </x:c>
      <x:c r="C4312" s="7" t="str">
        <x:v>PEA-B-Y3</x:v>
      </x:c>
      <x:c r="D4312" s="7" t="str">
        <x:v>section traveler</x:v>
      </x:c>
      <x:c r="E4312" s="7" t="str">
        <x:v>TRV-PEA-B-Y3-12</x:v>
      </x:c>
      <x:c r="F4312" s="7" t="str">
        <x:f>'Section Travelers'!L238</x:f>
        <x:v>OPEN</x:v>
      </x:c>
    </x:row>
    <x:row r="4313">
      <x:c r="B4313" s="7" t="str">
        <x:v>AG-04307</x:v>
      </x:c>
      <x:c r="C4313" s="7" t="str">
        <x:v>PEA-B-Y3</x:v>
      </x:c>
      <x:c r="D4313" s="7" t="str">
        <x:v>section traveler</x:v>
      </x:c>
      <x:c r="E4313" s="7" t="str">
        <x:v>TRV-PEA-B-Y3-13</x:v>
      </x:c>
      <x:c r="F4313" s="7" t="str">
        <x:f>'Section Travelers'!L239</x:f>
        <x:v>OPEN</x:v>
      </x:c>
    </x:row>
    <x:row r="4314">
      <x:c r="B4314" s="7" t="str">
        <x:v>AG-04308</x:v>
      </x:c>
      <x:c r="C4314" s="7" t="str">
        <x:v>PEA-B-Y3</x:v>
      </x:c>
      <x:c r="D4314" s="7" t="str">
        <x:v>section traveler</x:v>
      </x:c>
      <x:c r="E4314" s="7" t="str">
        <x:v>TRV-PEA-B-Y3-14</x:v>
      </x:c>
      <x:c r="F4314" s="7" t="str">
        <x:f>'Section Travelers'!L240</x:f>
        <x:v>OPEN</x:v>
      </x:c>
    </x:row>
    <x:row r="4315">
      <x:c r="B4315" s="7" t="str">
        <x:v>AG-04309</x:v>
      </x:c>
      <x:c r="C4315" s="7" t="str">
        <x:v>PEA-B-Y3</x:v>
      </x:c>
      <x:c r="D4315" s="7" t="str">
        <x:v>section traveler</x:v>
      </x:c>
      <x:c r="E4315" s="7" t="str">
        <x:v>TRV-PEA-B-Y3-15</x:v>
      </x:c>
      <x:c r="F4315" s="7" t="str">
        <x:f>'Section Travelers'!L241</x:f>
        <x:v>OPEN</x:v>
      </x:c>
    </x:row>
    <x:row r="4316">
      <x:c r="B4316" s="7" t="str">
        <x:v>AG-04310</x:v>
      </x:c>
      <x:c r="C4316" s="7" t="str">
        <x:v>PEA-B-Y3</x:v>
      </x:c>
      <x:c r="D4316" s="7" t="str">
        <x:v>section traveler</x:v>
      </x:c>
      <x:c r="E4316" s="7" t="str">
        <x:v>TRV-PEA-B-Y3-16</x:v>
      </x:c>
      <x:c r="F4316" s="7" t="str">
        <x:f>'Section Travelers'!L242</x:f>
        <x:v>OPEN</x:v>
      </x:c>
    </x:row>
    <x:row r="4317">
      <x:c r="B4317" s="7" t="str">
        <x:v>AG-04311</x:v>
      </x:c>
      <x:c r="C4317" s="7" t="str">
        <x:v>PEA-B-Y3</x:v>
      </x:c>
      <x:c r="D4317" s="7" t="str">
        <x:v>section traveler</x:v>
      </x:c>
      <x:c r="E4317" s="7" t="str">
        <x:v>TRV-PEA-B-Y3-17</x:v>
      </x:c>
      <x:c r="F4317" s="7" t="str">
        <x:f>'Section Travelers'!L243</x:f>
        <x:v>OPEN</x:v>
      </x:c>
    </x:row>
    <x:row r="4318">
      <x:c r="B4318" s="7" t="str">
        <x:v>AG-04312</x:v>
      </x:c>
      <x:c r="C4318" s="7" t="str">
        <x:v>PEA-B-Y3</x:v>
      </x:c>
      <x:c r="D4318" s="7" t="str">
        <x:v>section traveler</x:v>
      </x:c>
      <x:c r="E4318" s="7" t="str">
        <x:v>TRV-PEA-B-Y3-18</x:v>
      </x:c>
      <x:c r="F4318" s="7" t="str">
        <x:f>'Section Travelers'!L244</x:f>
        <x:v>OPEN</x:v>
      </x:c>
    </x:row>
    <x:row r="4319">
      <x:c r="B4319" s="7" t="str">
        <x:v>AG-04313</x:v>
      </x:c>
      <x:c r="C4319" s="7" t="str">
        <x:v>PEA-B-Y3</x:v>
      </x:c>
      <x:c r="D4319" s="7" t="str">
        <x:v>section traveler</x:v>
      </x:c>
      <x:c r="E4319" s="7" t="str">
        <x:v>TRV-PEA-B-Y3-19</x:v>
      </x:c>
      <x:c r="F4319" s="7" t="str">
        <x:f>'Section Travelers'!L245</x:f>
        <x:v>OPEN</x:v>
      </x:c>
    </x:row>
    <x:row r="4320">
      <x:c r="B4320" s="7" t="str">
        <x:v>AG-04314</x:v>
      </x:c>
      <x:c r="C4320" s="7" t="str">
        <x:v>PEA-B-Y3</x:v>
      </x:c>
      <x:c r="D4320" s="7" t="str">
        <x:v>section traveler</x:v>
      </x:c>
      <x:c r="E4320" s="7" t="str">
        <x:v>TRV-PEA-B-Y3-20</x:v>
      </x:c>
      <x:c r="F4320" s="7" t="str">
        <x:f>'Section Travelers'!L246</x:f>
        <x:v>OPEN</x:v>
      </x:c>
    </x:row>
    <x:row r="4321">
      <x:c r="B4321" s="7" t="str">
        <x:v>AG-04315</x:v>
      </x:c>
      <x:c r="C4321" s="7" t="str">
        <x:v>PEA-B-Y3</x:v>
      </x:c>
      <x:c r="D4321" s="7" t="str">
        <x:v>material coupon</x:v>
      </x:c>
      <x:c r="E4321" s="7" t="str">
        <x:v>CPN-PEA-B-Y3-CJ-1</x:v>
      </x:c>
      <x:c r="F4321" s="7" t="str">
        <x:f>'Material Coupons'!K447</x:f>
        <x:v>OPEN</x:v>
      </x:c>
    </x:row>
    <x:row r="4322">
      <x:c r="B4322" s="7" t="str">
        <x:v>AG-04316</x:v>
      </x:c>
      <x:c r="C4322" s="7" t="str">
        <x:v>PEA-B-Y3</x:v>
      </x:c>
      <x:c r="D4322" s="7" t="str">
        <x:v>material coupon</x:v>
      </x:c>
      <x:c r="E4322" s="7" t="str">
        <x:v>CPN-PEA-B-Y3-CJ-2</x:v>
      </x:c>
      <x:c r="F4322" s="7" t="str">
        <x:f>'Material Coupons'!K448</x:f>
        <x:v>OPEN</x:v>
      </x:c>
    </x:row>
    <x:row r="4323">
      <x:c r="B4323" s="7" t="str">
        <x:v>AG-04317</x:v>
      </x:c>
      <x:c r="C4323" s="7" t="str">
        <x:v>PEA-B-Y3</x:v>
      </x:c>
      <x:c r="D4323" s="7" t="str">
        <x:v>material coupon</x:v>
      </x:c>
      <x:c r="E4323" s="7" t="str">
        <x:v>CPN-PEA-B-Y3-CJ-3</x:v>
      </x:c>
      <x:c r="F4323" s="7" t="str">
        <x:f>'Material Coupons'!K449</x:f>
        <x:v>OPEN</x:v>
      </x:c>
    </x:row>
    <x:row r="4324">
      <x:c r="B4324" s="7" t="str">
        <x:v>AG-04318</x:v>
      </x:c>
      <x:c r="C4324" s="7" t="str">
        <x:v>PEA-B-Y3</x:v>
      </x:c>
      <x:c r="D4324" s="7" t="str">
        <x:v>material coupon</x:v>
      </x:c>
      <x:c r="E4324" s="7" t="str">
        <x:v>CPN-PEA-B-Y3-CJ-4</x:v>
      </x:c>
      <x:c r="F4324" s="7" t="str">
        <x:f>'Material Coupons'!K450</x:f>
        <x:v>OPEN</x:v>
      </x:c>
    </x:row>
    <x:row r="4325">
      <x:c r="B4325" s="7" t="str">
        <x:v>AG-04319</x:v>
      </x:c>
      <x:c r="C4325" s="7" t="str">
        <x:v>PEA-B-Y3</x:v>
      </x:c>
      <x:c r="D4325" s="7" t="str">
        <x:v>material coupon</x:v>
      </x:c>
      <x:c r="E4325" s="7" t="str">
        <x:v>CPN-PEA-B-Y3-CJ-5</x:v>
      </x:c>
      <x:c r="F4325" s="7" t="str">
        <x:f>'Material Coupons'!K451</x:f>
        <x:v>OPEN</x:v>
      </x:c>
    </x:row>
    <x:row r="4326">
      <x:c r="B4326" s="7" t="str">
        <x:v>AG-04320</x:v>
      </x:c>
      <x:c r="C4326" s="7" t="str">
        <x:v>PEA-B-Y3</x:v>
      </x:c>
      <x:c r="D4326" s="7" t="str">
        <x:v>material coupon</x:v>
      </x:c>
      <x:c r="E4326" s="7" t="str">
        <x:v>CPN-PEA-B-Y3-CJ-6</x:v>
      </x:c>
      <x:c r="F4326" s="7" t="str">
        <x:f>'Material Coupons'!K452</x:f>
        <x:v>OPEN</x:v>
      </x:c>
    </x:row>
    <x:row r="4327">
      <x:c r="B4327" s="7" t="str">
        <x:v>AG-04321</x:v>
      </x:c>
      <x:c r="C4327" s="7" t="str">
        <x:v>PEA-B-Y3</x:v>
      </x:c>
      <x:c r="D4327" s="7" t="str">
        <x:v>material coupon</x:v>
      </x:c>
      <x:c r="E4327" s="7" t="str">
        <x:v>CPN-PEA-B-Y3-CJ-7</x:v>
      </x:c>
      <x:c r="F4327" s="7" t="str">
        <x:f>'Material Coupons'!K453</x:f>
        <x:v>OPEN</x:v>
      </x:c>
    </x:row>
    <x:row r="4328">
      <x:c r="B4328" s="7" t="str">
        <x:v>AG-04322</x:v>
      </x:c>
      <x:c r="C4328" s="7" t="str">
        <x:v>PEA-B-Y3</x:v>
      </x:c>
      <x:c r="D4328" s="7" t="str">
        <x:v>material coupon</x:v>
      </x:c>
      <x:c r="E4328" s="7" t="str">
        <x:v>CPN-PEA-B-Y3-CJ-8</x:v>
      </x:c>
      <x:c r="F4328" s="7" t="str">
        <x:f>'Material Coupons'!K454</x:f>
        <x:v>OPEN</x:v>
      </x:c>
    </x:row>
    <x:row r="4329">
      <x:c r="B4329" s="7" t="str">
        <x:v>AG-04323</x:v>
      </x:c>
      <x:c r="C4329" s="7" t="str">
        <x:v>PEA-B-Y3</x:v>
      </x:c>
      <x:c r="D4329" s="7" t="str">
        <x:v>material coupon</x:v>
      </x:c>
      <x:c r="E4329" s="7" t="str">
        <x:v>CPN-PEA-B-Y3-SE-1</x:v>
      </x:c>
      <x:c r="F4329" s="7" t="str">
        <x:f>'Material Coupons'!K455</x:f>
        <x:v>OPEN</x:v>
      </x:c>
    </x:row>
    <x:row r="4330">
      <x:c r="B4330" s="7" t="str">
        <x:v>AG-04324</x:v>
      </x:c>
      <x:c r="C4330" s="7" t="str">
        <x:v>PEA-B-Y3</x:v>
      </x:c>
      <x:c r="D4330" s="7" t="str">
        <x:v>material coupon</x:v>
      </x:c>
      <x:c r="E4330" s="7" t="str">
        <x:v>CPN-PEA-B-Y3-SE-2</x:v>
      </x:c>
      <x:c r="F4330" s="7" t="str">
        <x:f>'Material Coupons'!K456</x:f>
        <x:v>OPEN</x:v>
      </x:c>
    </x:row>
    <x:row r="4331">
      <x:c r="B4331" s="7" t="str">
        <x:v>AG-04325</x:v>
      </x:c>
      <x:c r="C4331" s="7" t="str">
        <x:v>PEA-B-Y3</x:v>
      </x:c>
      <x:c r="D4331" s="7" t="str">
        <x:v>material coupon</x:v>
      </x:c>
      <x:c r="E4331" s="7" t="str">
        <x:v>CPN-PEA-B-Y3-SE-3</x:v>
      </x:c>
      <x:c r="F4331" s="7" t="str">
        <x:f>'Material Coupons'!K457</x:f>
        <x:v>OPEN</x:v>
      </x:c>
    </x:row>
    <x:row r="4332">
      <x:c r="B4332" s="7" t="str">
        <x:v>AG-04326</x:v>
      </x:c>
      <x:c r="C4332" s="7" t="str">
        <x:v>PEA-B-Y3</x:v>
      </x:c>
      <x:c r="D4332" s="7" t="str">
        <x:v>material coupon</x:v>
      </x:c>
      <x:c r="E4332" s="7" t="str">
        <x:v>CPN-PEA-B-Y3-SE-4</x:v>
      </x:c>
      <x:c r="F4332" s="7" t="str">
        <x:f>'Material Coupons'!K458</x:f>
        <x:v>OPEN</x:v>
      </x:c>
    </x:row>
    <x:row r="4333">
      <x:c r="B4333" s="7" t="str">
        <x:v>AG-04327</x:v>
      </x:c>
      <x:c r="C4333" s="7" t="str">
        <x:v>PEA-B-Y3</x:v>
      </x:c>
      <x:c r="D4333" s="7" t="str">
        <x:v>material coupon</x:v>
      </x:c>
      <x:c r="E4333" s="7" t="str">
        <x:v>CPN-PEA-B-Y3-SE-5</x:v>
      </x:c>
      <x:c r="F4333" s="7" t="str">
        <x:f>'Material Coupons'!K459</x:f>
        <x:v>OPEN</x:v>
      </x:c>
    </x:row>
    <x:row r="4334">
      <x:c r="B4334" s="7" t="str">
        <x:v>AG-04328</x:v>
      </x:c>
      <x:c r="C4334" s="7" t="str">
        <x:v>PEA-B-Y3</x:v>
      </x:c>
      <x:c r="D4334" s="7" t="str">
        <x:v>material coupon</x:v>
      </x:c>
      <x:c r="E4334" s="7" t="str">
        <x:v>CPN-PEA-B-Y3-SE-6</x:v>
      </x:c>
      <x:c r="F4334" s="7" t="str">
        <x:f>'Material Coupons'!K460</x:f>
        <x:v>OPEN</x:v>
      </x:c>
    </x:row>
    <x:row r="4335">
      <x:c r="B4335" s="7" t="str">
        <x:v>AG-04329</x:v>
      </x:c>
      <x:c r="C4335" s="7" t="str">
        <x:v>PEA-B-Y3</x:v>
      </x:c>
      <x:c r="D4335" s="7" t="str">
        <x:v>material coupon</x:v>
      </x:c>
      <x:c r="E4335" s="7" t="str">
        <x:v>CPN-PEA-B-Y3-SE-7</x:v>
      </x:c>
      <x:c r="F4335" s="7" t="str">
        <x:f>'Material Coupons'!K461</x:f>
        <x:v>OPEN</x:v>
      </x:c>
    </x:row>
    <x:row r="4336">
      <x:c r="B4336" s="7" t="str">
        <x:v>AG-04330</x:v>
      </x:c>
      <x:c r="C4336" s="7" t="str">
        <x:v>PEA-B-Y3</x:v>
      </x:c>
      <x:c r="D4336" s="7" t="str">
        <x:v>material coupon</x:v>
      </x:c>
      <x:c r="E4336" s="7" t="str">
        <x:v>CPN-PEA-B-Y3-SE-8</x:v>
      </x:c>
      <x:c r="F4336" s="7" t="str">
        <x:f>'Material Coupons'!K462</x:f>
        <x:v>OPEN</x:v>
      </x:c>
    </x:row>
    <x:row r="4337">
      <x:c r="B4337" s="7" t="str">
        <x:v>AG-04331</x:v>
      </x:c>
      <x:c r="C4337" s="7" t="str">
        <x:v>PEA-B-Y3</x:v>
      </x:c>
      <x:c r="D4337" s="7" t="str">
        <x:v>material coupon</x:v>
      </x:c>
      <x:c r="E4337" s="7" t="str">
        <x:v>CPN-PEA-B-Y3-SF-1</x:v>
      </x:c>
      <x:c r="F4337" s="7" t="str">
        <x:f>'Material Coupons'!K463</x:f>
        <x:v>OPEN</x:v>
      </x:c>
    </x:row>
    <x:row r="4338">
      <x:c r="B4338" s="7" t="str">
        <x:v>AG-04332</x:v>
      </x:c>
      <x:c r="C4338" s="7" t="str">
        <x:v>PEA-B-Y3</x:v>
      </x:c>
      <x:c r="D4338" s="7" t="str">
        <x:v>material coupon</x:v>
      </x:c>
      <x:c r="E4338" s="7" t="str">
        <x:v>CPN-PEA-B-Y3-SF-2</x:v>
      </x:c>
      <x:c r="F4338" s="7" t="str">
        <x:f>'Material Coupons'!K464</x:f>
        <x:v>OPEN</x:v>
      </x:c>
    </x:row>
    <x:row r="4339">
      <x:c r="B4339" s="7" t="str">
        <x:v>AG-04333</x:v>
      </x:c>
      <x:c r="C4339" s="7" t="str">
        <x:v>PEA-B-Y3</x:v>
      </x:c>
      <x:c r="D4339" s="7" t="str">
        <x:v>material coupon</x:v>
      </x:c>
      <x:c r="E4339" s="7" t="str">
        <x:v>CPN-PEA-B-Y3-SF-3</x:v>
      </x:c>
      <x:c r="F4339" s="7" t="str">
        <x:f>'Material Coupons'!K465</x:f>
        <x:v>OPEN</x:v>
      </x:c>
    </x:row>
    <x:row r="4340">
      <x:c r="B4340" s="7" t="str">
        <x:v>AG-04334</x:v>
      </x:c>
      <x:c r="C4340" s="7" t="str">
        <x:v>PEA-B-Y3</x:v>
      </x:c>
      <x:c r="D4340" s="7" t="str">
        <x:v>material coupon</x:v>
      </x:c>
      <x:c r="E4340" s="7" t="str">
        <x:v>CPN-PEA-B-Y3-SF-4</x:v>
      </x:c>
      <x:c r="F4340" s="7" t="str">
        <x:f>'Material Coupons'!K466</x:f>
        <x:v>OPEN</x:v>
      </x:c>
    </x:row>
    <x:row r="4341">
      <x:c r="B4341" s="7" t="str">
        <x:v>AG-04335</x:v>
      </x:c>
      <x:c r="C4341" s="7" t="str">
        <x:v>PEA-B-Y3</x:v>
      </x:c>
      <x:c r="D4341" s="7" t="str">
        <x:v>material coupon</x:v>
      </x:c>
      <x:c r="E4341" s="7" t="str">
        <x:v>CPN-PEA-B-Y3-SF-5</x:v>
      </x:c>
      <x:c r="F4341" s="7" t="str">
        <x:f>'Material Coupons'!K467</x:f>
        <x:v>OPEN</x:v>
      </x:c>
    </x:row>
    <x:row r="4342">
      <x:c r="B4342" s="7" t="str">
        <x:v>AG-04336</x:v>
      </x:c>
      <x:c r="C4342" s="7" t="str">
        <x:v>PEA-B-Y3</x:v>
      </x:c>
      <x:c r="D4342" s="7" t="str">
        <x:v>material coupon</x:v>
      </x:c>
      <x:c r="E4342" s="7" t="str">
        <x:v>CPN-PEA-B-Y3-SF-6</x:v>
      </x:c>
      <x:c r="F4342" s="7" t="str">
        <x:f>'Material Coupons'!K468</x:f>
        <x:v>OPEN</x:v>
      </x:c>
    </x:row>
    <x:row r="4343">
      <x:c r="B4343" s="7" t="str">
        <x:v>AG-04337</x:v>
      </x:c>
      <x:c r="C4343" s="7" t="str">
        <x:v>PEA-B-Y3</x:v>
      </x:c>
      <x:c r="D4343" s="7" t="str">
        <x:v>material coupon</x:v>
      </x:c>
      <x:c r="E4343" s="7" t="str">
        <x:v>CPN-PEA-B-Y3-SF-7</x:v>
      </x:c>
      <x:c r="F4343" s="7" t="str">
        <x:f>'Material Coupons'!K469</x:f>
        <x:v>OPEN</x:v>
      </x:c>
    </x:row>
    <x:row r="4344">
      <x:c r="B4344" s="7" t="str">
        <x:v>AG-04338</x:v>
      </x:c>
      <x:c r="C4344" s="7" t="str">
        <x:v>PEA-B-Y3</x:v>
      </x:c>
      <x:c r="D4344" s="7" t="str">
        <x:v>material coupon</x:v>
      </x:c>
      <x:c r="E4344" s="7" t="str">
        <x:v>CPN-PEA-B-Y3-SF-8</x:v>
      </x:c>
      <x:c r="F4344" s="7" t="str">
        <x:f>'Material Coupons'!K470</x:f>
        <x:v>OPEN</x:v>
      </x:c>
    </x:row>
    <x:row r="4345">
      <x:c r="B4345" s="7" t="str">
        <x:v>AG-04339</x:v>
      </x:c>
      <x:c r="C4345" s="7" t="str">
        <x:v>PEA-B-Y3</x:v>
      </x:c>
      <x:c r="D4345" s="7" t="str">
        <x:v>material coupon</x:v>
      </x:c>
      <x:c r="E4345" s="7" t="str">
        <x:v>CPN-PEA-B-Y3-CP-1</x:v>
      </x:c>
      <x:c r="F4345" s="7" t="str">
        <x:f>'Material Coupons'!K471</x:f>
        <x:v>OPEN</x:v>
      </x:c>
    </x:row>
    <x:row r="4346">
      <x:c r="B4346" s="7" t="str">
        <x:v>AG-04340</x:v>
      </x:c>
      <x:c r="C4346" s="7" t="str">
        <x:v>PEA-B-Y3</x:v>
      </x:c>
      <x:c r="D4346" s="7" t="str">
        <x:v>material coupon</x:v>
      </x:c>
      <x:c r="E4346" s="7" t="str">
        <x:v>CPN-PEA-B-Y3-CP-2</x:v>
      </x:c>
      <x:c r="F4346" s="7" t="str">
        <x:f>'Material Coupons'!K472</x:f>
        <x:v>OPEN</x:v>
      </x:c>
    </x:row>
    <x:row r="4347">
      <x:c r="B4347" s="7" t="str">
        <x:v>AG-04341</x:v>
      </x:c>
      <x:c r="C4347" s="7" t="str">
        <x:v>PEA-B-Y3</x:v>
      </x:c>
      <x:c r="D4347" s="7" t="str">
        <x:v>material coupon</x:v>
      </x:c>
      <x:c r="E4347" s="7" t="str">
        <x:v>CPN-PEA-B-Y3-CP-3</x:v>
      </x:c>
      <x:c r="F4347" s="7" t="str">
        <x:f>'Material Coupons'!K473</x:f>
        <x:v>OPEN</x:v>
      </x:c>
    </x:row>
    <x:row r="4348">
      <x:c r="B4348" s="7" t="str">
        <x:v>AG-04342</x:v>
      </x:c>
      <x:c r="C4348" s="7" t="str">
        <x:v>PEA-B-Y3</x:v>
      </x:c>
      <x:c r="D4348" s="7" t="str">
        <x:v>material coupon</x:v>
      </x:c>
      <x:c r="E4348" s="7" t="str">
        <x:v>CPN-PEA-B-Y3-CP-4</x:v>
      </x:c>
      <x:c r="F4348" s="7" t="str">
        <x:f>'Material Coupons'!K474</x:f>
        <x:v>OPEN</x:v>
      </x:c>
    </x:row>
    <x:row r="4349">
      <x:c r="B4349" s="7" t="str">
        <x:v>AG-04343</x:v>
      </x:c>
      <x:c r="C4349" s="7" t="str">
        <x:v>PEA-B-Y3</x:v>
      </x:c>
      <x:c r="D4349" s="7" t="str">
        <x:v>material coupon</x:v>
      </x:c>
      <x:c r="E4349" s="7" t="str">
        <x:v>CPN-PEA-B-Y3-CP-5</x:v>
      </x:c>
      <x:c r="F4349" s="7" t="str">
        <x:f>'Material Coupons'!K475</x:f>
        <x:v>OPEN</x:v>
      </x:c>
    </x:row>
    <x:row r="4350">
      <x:c r="B4350" s="7" t="str">
        <x:v>AG-04344</x:v>
      </x:c>
      <x:c r="C4350" s="7" t="str">
        <x:v>PEA-B-Y3</x:v>
      </x:c>
      <x:c r="D4350" s="7" t="str">
        <x:v>material coupon</x:v>
      </x:c>
      <x:c r="E4350" s="7" t="str">
        <x:v>CPN-PEA-B-Y3-CP-6</x:v>
      </x:c>
      <x:c r="F4350" s="7" t="str">
        <x:f>'Material Coupons'!K476</x:f>
        <x:v>OPEN</x:v>
      </x:c>
    </x:row>
    <x:row r="4351">
      <x:c r="B4351" s="7" t="str">
        <x:v>AG-04345</x:v>
      </x:c>
      <x:c r="C4351" s="7" t="str">
        <x:v>PEA-B-Y3</x:v>
      </x:c>
      <x:c r="D4351" s="7" t="str">
        <x:v>material coupon</x:v>
      </x:c>
      <x:c r="E4351" s="7" t="str">
        <x:v>CPN-PEA-B-Y3-CP-7</x:v>
      </x:c>
      <x:c r="F4351" s="7" t="str">
        <x:f>'Material Coupons'!K477</x:f>
        <x:v>OPEN</x:v>
      </x:c>
    </x:row>
    <x:row r="4352">
      <x:c r="B4352" s="7" t="str">
        <x:v>AG-04346</x:v>
      </x:c>
      <x:c r="C4352" s="7" t="str">
        <x:v>PEA-B-Y3</x:v>
      </x:c>
      <x:c r="D4352" s="7" t="str">
        <x:v>material coupon</x:v>
      </x:c>
      <x:c r="E4352" s="7" t="str">
        <x:v>CPN-PEA-B-Y3-CP-8</x:v>
      </x:c>
      <x:c r="F4352" s="7" t="str">
        <x:f>'Material Coupons'!K478</x:f>
        <x:v>OPEN</x:v>
      </x:c>
    </x:row>
    <x:row r="4353">
      <x:c r="B4353" s="7" t="str">
        <x:v>AG-04347</x:v>
      </x:c>
      <x:c r="C4353" s="7" t="str">
        <x:v>PEA-B-Y3</x:v>
      </x:c>
      <x:c r="D4353" s="7" t="str">
        <x:v>material coupon</x:v>
      </x:c>
      <x:c r="E4353" s="7" t="str">
        <x:v>CPN-PEA-B-Y3-SM-1</x:v>
      </x:c>
      <x:c r="F4353" s="7" t="str">
        <x:f>'Material Coupons'!K479</x:f>
        <x:v>OPEN</x:v>
      </x:c>
    </x:row>
    <x:row r="4354">
      <x:c r="B4354" s="7" t="str">
        <x:v>AG-04348</x:v>
      </x:c>
      <x:c r="C4354" s="7" t="str">
        <x:v>PEA-B-Y3</x:v>
      </x:c>
      <x:c r="D4354" s="7" t="str">
        <x:v>material coupon</x:v>
      </x:c>
      <x:c r="E4354" s="7" t="str">
        <x:v>CPN-PEA-B-Y3-SM-2</x:v>
      </x:c>
      <x:c r="F4354" s="7" t="str">
        <x:f>'Material Coupons'!K480</x:f>
        <x:v>OPEN</x:v>
      </x:c>
    </x:row>
    <x:row r="4355">
      <x:c r="B4355" s="7" t="str">
        <x:v>AG-04349</x:v>
      </x:c>
      <x:c r="C4355" s="7" t="str">
        <x:v>PEA-B-Y3</x:v>
      </x:c>
      <x:c r="D4355" s="7" t="str">
        <x:v>material coupon</x:v>
      </x:c>
      <x:c r="E4355" s="7" t="str">
        <x:v>CPN-PEA-B-Y3-SM-3</x:v>
      </x:c>
      <x:c r="F4355" s="7" t="str">
        <x:f>'Material Coupons'!K481</x:f>
        <x:v>OPEN</x:v>
      </x:c>
    </x:row>
    <x:row r="4356">
      <x:c r="B4356" s="7" t="str">
        <x:v>AG-04350</x:v>
      </x:c>
      <x:c r="C4356" s="7" t="str">
        <x:v>PEA-B-Y3</x:v>
      </x:c>
      <x:c r="D4356" s="7" t="str">
        <x:v>material coupon</x:v>
      </x:c>
      <x:c r="E4356" s="7" t="str">
        <x:v>CPN-PEA-B-Y3-SM-4</x:v>
      </x:c>
      <x:c r="F4356" s="7" t="str">
        <x:f>'Material Coupons'!K482</x:f>
        <x:v>OPEN</x:v>
      </x:c>
    </x:row>
    <x:row r="4357">
      <x:c r="B4357" s="7" t="str">
        <x:v>AG-04351</x:v>
      </x:c>
      <x:c r="C4357" s="7" t="str">
        <x:v>PEA-B-Y3</x:v>
      </x:c>
      <x:c r="D4357" s="7" t="str">
        <x:v>material coupon</x:v>
      </x:c>
      <x:c r="E4357" s="7" t="str">
        <x:v>CPN-PEA-B-Y3-SM-5</x:v>
      </x:c>
      <x:c r="F4357" s="7" t="str">
        <x:f>'Material Coupons'!K483</x:f>
        <x:v>OPEN</x:v>
      </x:c>
    </x:row>
    <x:row r="4358">
      <x:c r="B4358" s="7" t="str">
        <x:v>AG-04352</x:v>
      </x:c>
      <x:c r="C4358" s="7" t="str">
        <x:v>PEA-B-Y3</x:v>
      </x:c>
      <x:c r="D4358" s="7" t="str">
        <x:v>material coupon</x:v>
      </x:c>
      <x:c r="E4358" s="7" t="str">
        <x:v>CPN-PEA-B-Y3-SM-6</x:v>
      </x:c>
      <x:c r="F4358" s="7" t="str">
        <x:f>'Material Coupons'!K484</x:f>
        <x:v>OPEN</x:v>
      </x:c>
    </x:row>
    <x:row r="4359">
      <x:c r="B4359" s="7" t="str">
        <x:v>AG-04353</x:v>
      </x:c>
      <x:c r="C4359" s="7" t="str">
        <x:v>PEA-B-Y3</x:v>
      </x:c>
      <x:c r="D4359" s="7" t="str">
        <x:v>material coupon</x:v>
      </x:c>
      <x:c r="E4359" s="7" t="str">
        <x:v>CPN-PEA-B-Y3-SM-7</x:v>
      </x:c>
      <x:c r="F4359" s="7" t="str">
        <x:f>'Material Coupons'!K485</x:f>
        <x:v>OPEN</x:v>
      </x:c>
    </x:row>
    <x:row r="4360">
      <x:c r="B4360" s="7" t="str">
        <x:v>AG-04354</x:v>
      </x:c>
      <x:c r="C4360" s="7" t="str">
        <x:v>PEA-B-Y3</x:v>
      </x:c>
      <x:c r="D4360" s="7" t="str">
        <x:v>material coupon</x:v>
      </x:c>
      <x:c r="E4360" s="7" t="str">
        <x:v>CPN-PEA-B-Y3-SM-8</x:v>
      </x:c>
      <x:c r="F4360" s="7" t="str">
        <x:f>'Material Coupons'!K486</x:f>
        <x:v>OPEN</x:v>
      </x:c>
    </x:row>
    <x:row r="4361">
      <x:c r="B4361" s="7" t="str">
        <x:v>AG-04355</x:v>
      </x:c>
      <x:c r="C4361" s="7" t="str">
        <x:v>PEA-B-Y3</x:v>
      </x:c>
      <x:c r="D4361" s="7" t="str">
        <x:v>NDE record</x:v>
      </x:c>
      <x:c r="E4361" s="7" t="str">
        <x:v>NDE-TRV-PEA-B-Y3-01</x:v>
      </x:c>
      <x:c r="F4361" s="7" t="str">
        <x:f>'NDE Records'!L227</x:f>
        <x:v>OPEN</x:v>
      </x:c>
    </x:row>
    <x:row r="4362">
      <x:c r="B4362" s="7" t="str">
        <x:v>AG-04356</x:v>
      </x:c>
      <x:c r="C4362" s="7" t="str">
        <x:v>PEA-B-Y3</x:v>
      </x:c>
      <x:c r="D4362" s="7" t="str">
        <x:v>NDE record</x:v>
      </x:c>
      <x:c r="E4362" s="7" t="str">
        <x:v>NDE-TRV-PEA-B-Y3-02</x:v>
      </x:c>
      <x:c r="F4362" s="7" t="str">
        <x:f>'NDE Records'!L228</x:f>
        <x:v>OPEN</x:v>
      </x:c>
    </x:row>
    <x:row r="4363">
      <x:c r="B4363" s="7" t="str">
        <x:v>AG-04357</x:v>
      </x:c>
      <x:c r="C4363" s="7" t="str">
        <x:v>PEA-B-Y3</x:v>
      </x:c>
      <x:c r="D4363" s="7" t="str">
        <x:v>NDE record</x:v>
      </x:c>
      <x:c r="E4363" s="7" t="str">
        <x:v>NDE-TRV-PEA-B-Y3-03</x:v>
      </x:c>
      <x:c r="F4363" s="7" t="str">
        <x:f>'NDE Records'!L229</x:f>
        <x:v>OPEN</x:v>
      </x:c>
    </x:row>
    <x:row r="4364">
      <x:c r="B4364" s="7" t="str">
        <x:v>AG-04358</x:v>
      </x:c>
      <x:c r="C4364" s="7" t="str">
        <x:v>PEA-B-Y3</x:v>
      </x:c>
      <x:c r="D4364" s="7" t="str">
        <x:v>NDE record</x:v>
      </x:c>
      <x:c r="E4364" s="7" t="str">
        <x:v>NDE-TRV-PEA-B-Y3-04</x:v>
      </x:c>
      <x:c r="F4364" s="7" t="str">
        <x:f>'NDE Records'!L230</x:f>
        <x:v>OPEN</x:v>
      </x:c>
    </x:row>
    <x:row r="4365">
      <x:c r="B4365" s="7" t="str">
        <x:v>AG-04359</x:v>
      </x:c>
      <x:c r="C4365" s="7" t="str">
        <x:v>PEA-B-Y3</x:v>
      </x:c>
      <x:c r="D4365" s="7" t="str">
        <x:v>NDE record</x:v>
      </x:c>
      <x:c r="E4365" s="7" t="str">
        <x:v>NDE-TRV-PEA-B-Y3-05</x:v>
      </x:c>
      <x:c r="F4365" s="7" t="str">
        <x:f>'NDE Records'!L231</x:f>
        <x:v>OPEN</x:v>
      </x:c>
    </x:row>
    <x:row r="4366">
      <x:c r="B4366" s="7" t="str">
        <x:v>AG-04360</x:v>
      </x:c>
      <x:c r="C4366" s="7" t="str">
        <x:v>PEA-B-Y3</x:v>
      </x:c>
      <x:c r="D4366" s="7" t="str">
        <x:v>NDE record</x:v>
      </x:c>
      <x:c r="E4366" s="7" t="str">
        <x:v>NDE-TRV-PEA-B-Y3-06</x:v>
      </x:c>
      <x:c r="F4366" s="7" t="str">
        <x:f>'NDE Records'!L232</x:f>
        <x:v>OPEN</x:v>
      </x:c>
    </x:row>
    <x:row r="4367">
      <x:c r="B4367" s="7" t="str">
        <x:v>AG-04361</x:v>
      </x:c>
      <x:c r="C4367" s="7" t="str">
        <x:v>PEA-B-Y3</x:v>
      </x:c>
      <x:c r="D4367" s="7" t="str">
        <x:v>NDE record</x:v>
      </x:c>
      <x:c r="E4367" s="7" t="str">
        <x:v>NDE-TRV-PEA-B-Y3-07</x:v>
      </x:c>
      <x:c r="F4367" s="7" t="str">
        <x:f>'NDE Records'!L233</x:f>
        <x:v>OPEN</x:v>
      </x:c>
    </x:row>
    <x:row r="4368">
      <x:c r="B4368" s="7" t="str">
        <x:v>AG-04362</x:v>
      </x:c>
      <x:c r="C4368" s="7" t="str">
        <x:v>PEA-B-Y3</x:v>
      </x:c>
      <x:c r="D4368" s="7" t="str">
        <x:v>NDE record</x:v>
      </x:c>
      <x:c r="E4368" s="7" t="str">
        <x:v>NDE-TRV-PEA-B-Y3-08</x:v>
      </x:c>
      <x:c r="F4368" s="7" t="str">
        <x:f>'NDE Records'!L234</x:f>
        <x:v>OPEN</x:v>
      </x:c>
    </x:row>
    <x:row r="4369">
      <x:c r="B4369" s="7" t="str">
        <x:v>AG-04363</x:v>
      </x:c>
      <x:c r="C4369" s="7" t="str">
        <x:v>PEA-B-Y3</x:v>
      </x:c>
      <x:c r="D4369" s="7" t="str">
        <x:v>NDE record</x:v>
      </x:c>
      <x:c r="E4369" s="7" t="str">
        <x:v>NDE-TRV-PEA-B-Y3-09</x:v>
      </x:c>
      <x:c r="F4369" s="7" t="str">
        <x:f>'NDE Records'!L235</x:f>
        <x:v>OPEN</x:v>
      </x:c>
    </x:row>
    <x:row r="4370">
      <x:c r="B4370" s="7" t="str">
        <x:v>AG-04364</x:v>
      </x:c>
      <x:c r="C4370" s="7" t="str">
        <x:v>PEA-B-Y3</x:v>
      </x:c>
      <x:c r="D4370" s="7" t="str">
        <x:v>NDE record</x:v>
      </x:c>
      <x:c r="E4370" s="7" t="str">
        <x:v>NDE-TRV-PEA-B-Y3-10</x:v>
      </x:c>
      <x:c r="F4370" s="7" t="str">
        <x:f>'NDE Records'!L236</x:f>
        <x:v>OPEN</x:v>
      </x:c>
    </x:row>
    <x:row r="4371">
      <x:c r="B4371" s="7" t="str">
        <x:v>AG-04365</x:v>
      </x:c>
      <x:c r="C4371" s="7" t="str">
        <x:v>PEA-B-Y3</x:v>
      </x:c>
      <x:c r="D4371" s="7" t="str">
        <x:v>NDE record</x:v>
      </x:c>
      <x:c r="E4371" s="7" t="str">
        <x:v>NDE-TRV-PEA-B-Y3-11</x:v>
      </x:c>
      <x:c r="F4371" s="7" t="str">
        <x:f>'NDE Records'!L237</x:f>
        <x:v>OPEN</x:v>
      </x:c>
    </x:row>
    <x:row r="4372">
      <x:c r="B4372" s="7" t="str">
        <x:v>AG-04366</x:v>
      </x:c>
      <x:c r="C4372" s="7" t="str">
        <x:v>PEA-B-Y3</x:v>
      </x:c>
      <x:c r="D4372" s="7" t="str">
        <x:v>NDE record</x:v>
      </x:c>
      <x:c r="E4372" s="7" t="str">
        <x:v>NDE-TRV-PEA-B-Y3-12</x:v>
      </x:c>
      <x:c r="F4372" s="7" t="str">
        <x:f>'NDE Records'!L238</x:f>
        <x:v>OPEN</x:v>
      </x:c>
    </x:row>
    <x:row r="4373">
      <x:c r="B4373" s="7" t="str">
        <x:v>AG-04367</x:v>
      </x:c>
      <x:c r="C4373" s="7" t="str">
        <x:v>PEA-B-Y3</x:v>
      </x:c>
      <x:c r="D4373" s="7" t="str">
        <x:v>NDE record</x:v>
      </x:c>
      <x:c r="E4373" s="7" t="str">
        <x:v>NDE-TRV-PEA-B-Y3-13</x:v>
      </x:c>
      <x:c r="F4373" s="7" t="str">
        <x:f>'NDE Records'!L239</x:f>
        <x:v>OPEN</x:v>
      </x:c>
    </x:row>
    <x:row r="4374">
      <x:c r="B4374" s="7" t="str">
        <x:v>AG-04368</x:v>
      </x:c>
      <x:c r="C4374" s="7" t="str">
        <x:v>PEA-B-Y3</x:v>
      </x:c>
      <x:c r="D4374" s="7" t="str">
        <x:v>NDE record</x:v>
      </x:c>
      <x:c r="E4374" s="7" t="str">
        <x:v>NDE-TRV-PEA-B-Y3-14</x:v>
      </x:c>
      <x:c r="F4374" s="7" t="str">
        <x:f>'NDE Records'!L240</x:f>
        <x:v>OPEN</x:v>
      </x:c>
    </x:row>
    <x:row r="4375">
      <x:c r="B4375" s="7" t="str">
        <x:v>AG-04369</x:v>
      </x:c>
      <x:c r="C4375" s="7" t="str">
        <x:v>PEA-B-Y3</x:v>
      </x:c>
      <x:c r="D4375" s="7" t="str">
        <x:v>NDE record</x:v>
      </x:c>
      <x:c r="E4375" s="7" t="str">
        <x:v>NDE-TRV-PEA-B-Y3-15</x:v>
      </x:c>
      <x:c r="F4375" s="7" t="str">
        <x:f>'NDE Records'!L241</x:f>
        <x:v>OPEN</x:v>
      </x:c>
    </x:row>
    <x:row r="4376">
      <x:c r="B4376" s="7" t="str">
        <x:v>AG-04370</x:v>
      </x:c>
      <x:c r="C4376" s="7" t="str">
        <x:v>PEA-B-Y3</x:v>
      </x:c>
      <x:c r="D4376" s="7" t="str">
        <x:v>NDE record</x:v>
      </x:c>
      <x:c r="E4376" s="7" t="str">
        <x:v>NDE-TRV-PEA-B-Y3-16</x:v>
      </x:c>
      <x:c r="F4376" s="7" t="str">
        <x:f>'NDE Records'!L242</x:f>
        <x:v>OPEN</x:v>
      </x:c>
    </x:row>
    <x:row r="4377">
      <x:c r="B4377" s="7" t="str">
        <x:v>AG-04371</x:v>
      </x:c>
      <x:c r="C4377" s="7" t="str">
        <x:v>PEA-B-Y3</x:v>
      </x:c>
      <x:c r="D4377" s="7" t="str">
        <x:v>NDE record</x:v>
      </x:c>
      <x:c r="E4377" s="7" t="str">
        <x:v>NDE-TRV-PEA-B-Y3-17</x:v>
      </x:c>
      <x:c r="F4377" s="7" t="str">
        <x:f>'NDE Records'!L243</x:f>
        <x:v>OPEN</x:v>
      </x:c>
    </x:row>
    <x:row r="4378">
      <x:c r="B4378" s="7" t="str">
        <x:v>AG-04372</x:v>
      </x:c>
      <x:c r="C4378" s="7" t="str">
        <x:v>PEA-B-Y3</x:v>
      </x:c>
      <x:c r="D4378" s="7" t="str">
        <x:v>NDE record</x:v>
      </x:c>
      <x:c r="E4378" s="7" t="str">
        <x:v>NDE-TRV-PEA-B-Y3-18</x:v>
      </x:c>
      <x:c r="F4378" s="7" t="str">
        <x:f>'NDE Records'!L244</x:f>
        <x:v>OPEN</x:v>
      </x:c>
    </x:row>
    <x:row r="4379">
      <x:c r="B4379" s="7" t="str">
        <x:v>AG-04373</x:v>
      </x:c>
      <x:c r="C4379" s="7" t="str">
        <x:v>PEA-B-Y3</x:v>
      </x:c>
      <x:c r="D4379" s="7" t="str">
        <x:v>NDE record</x:v>
      </x:c>
      <x:c r="E4379" s="7" t="str">
        <x:v>NDE-TRV-PEA-B-Y3-19</x:v>
      </x:c>
      <x:c r="F4379" s="7" t="str">
        <x:f>'NDE Records'!L245</x:f>
        <x:v>OPEN</x:v>
      </x:c>
    </x:row>
    <x:row r="4380">
      <x:c r="B4380" s="7" t="str">
        <x:v>AG-04374</x:v>
      </x:c>
      <x:c r="C4380" s="7" t="str">
        <x:v>PEA-B-Y3</x:v>
      </x:c>
      <x:c r="D4380" s="7" t="str">
        <x:v>NDE record</x:v>
      </x:c>
      <x:c r="E4380" s="7" t="str">
        <x:v>NDE-TRV-PEA-B-Y3-20</x:v>
      </x:c>
      <x:c r="F4380" s="7" t="str">
        <x:f>'NDE Records'!L246</x:f>
        <x:v>OPEN</x:v>
      </x:c>
    </x:row>
    <x:row r="4381">
      <x:c r="B4381" s="7" t="str">
        <x:v>AG-04375</x:v>
      </x:c>
      <x:c r="C4381" s="7" t="str">
        <x:v>PEA-B-Y3</x:v>
      </x:c>
      <x:c r="D4381" s="7" t="str">
        <x:v>joint record</x:v>
      </x:c>
      <x:c r="E4381" s="7" t="str">
        <x:v>JNT-PEA-B-Y3-1</x:v>
      </x:c>
      <x:c r="F4381" s="7" t="str">
        <x:f>'Joint Records'!M62</x:f>
        <x:v>OPEN</x:v>
      </x:c>
    </x:row>
    <x:row r="4382">
      <x:c r="B4382" s="7" t="str">
        <x:v>AG-04376</x:v>
      </x:c>
      <x:c r="C4382" s="7" t="str">
        <x:v>PEA-B-Y3</x:v>
      </x:c>
      <x:c r="D4382" s="7" t="str">
        <x:v>joint record</x:v>
      </x:c>
      <x:c r="E4382" s="7" t="str">
        <x:v>JNT-PEA-B-Y3-2</x:v>
      </x:c>
      <x:c r="F4382" s="7" t="str">
        <x:f>'Joint Records'!M63</x:f>
        <x:v>OPEN</x:v>
      </x:c>
    </x:row>
    <x:row r="4383">
      <x:c r="B4383" s="7" t="str">
        <x:v>AG-04377</x:v>
      </x:c>
      <x:c r="C4383" s="7" t="str">
        <x:v>PEA-B-Y3</x:v>
      </x:c>
      <x:c r="D4383" s="7" t="str">
        <x:v>joint record</x:v>
      </x:c>
      <x:c r="E4383" s="7" t="str">
        <x:v>JNT-PEA-B-Y3-3</x:v>
      </x:c>
      <x:c r="F4383" s="7" t="str">
        <x:f>'Joint Records'!M64</x:f>
        <x:v>OPEN</x:v>
      </x:c>
    </x:row>
    <x:row r="4384">
      <x:c r="B4384" s="7" t="str">
        <x:v>AG-04378</x:v>
      </x:c>
      <x:c r="C4384" s="7" t="str">
        <x:v>PEA-B-Y3</x:v>
      </x:c>
      <x:c r="D4384" s="7" t="str">
        <x:v>joint record</x:v>
      </x:c>
      <x:c r="E4384" s="7" t="str">
        <x:v>JNT-PEA-B-Y3-4</x:v>
      </x:c>
      <x:c r="F4384" s="7" t="str">
        <x:f>'Joint Records'!M65</x:f>
        <x:v>OPEN</x:v>
      </x:c>
    </x:row>
    <x:row r="4385">
      <x:c r="B4385" s="7" t="str">
        <x:v>AG-04379</x:v>
      </x:c>
      <x:c r="C4385" s="7" t="str">
        <x:v>PEA-B-Y3</x:v>
      </x:c>
      <x:c r="D4385" s="7" t="str">
        <x:v>joint record</x:v>
      </x:c>
      <x:c r="E4385" s="7" t="str">
        <x:v>JNT-PEA-B-Y3-5</x:v>
      </x:c>
      <x:c r="F4385" s="7" t="str">
        <x:f>'Joint Records'!M66</x:f>
        <x:v>OPEN</x:v>
      </x:c>
    </x:row>
    <x:row r="4386">
      <x:c r="B4386" s="7" t="str">
        <x:v>AG-04380</x:v>
      </x:c>
      <x:c r="C4386" s="7" t="str">
        <x:v>PEA-B-Y3</x:v>
      </x:c>
      <x:c r="D4386" s="7" t="str">
        <x:v>control element</x:v>
      </x:c>
      <x:c r="E4386" s="7" t="str">
        <x:v>ELM-PEA-B-Y3-01</x:v>
      </x:c>
      <x:c r="F4386" s="7" t="str">
        <x:f>'Control Elements'!L139</x:f>
        <x:v>OPEN</x:v>
      </x:c>
    </x:row>
    <x:row r="4387">
      <x:c r="B4387" s="7" t="str">
        <x:v>AG-04381</x:v>
      </x:c>
      <x:c r="C4387" s="7" t="str">
        <x:v>PEA-B-Y3</x:v>
      </x:c>
      <x:c r="D4387" s="7" t="str">
        <x:v>control element</x:v>
      </x:c>
      <x:c r="E4387" s="7" t="str">
        <x:v>ELM-PEA-B-Y3-02</x:v>
      </x:c>
      <x:c r="F4387" s="7" t="str">
        <x:f>'Control Elements'!L140</x:f>
        <x:v>OPEN</x:v>
      </x:c>
    </x:row>
    <x:row r="4388">
      <x:c r="B4388" s="7" t="str">
        <x:v>AG-04382</x:v>
      </x:c>
      <x:c r="C4388" s="7" t="str">
        <x:v>PEA-B-Y3</x:v>
      </x:c>
      <x:c r="D4388" s="7" t="str">
        <x:v>control element</x:v>
      </x:c>
      <x:c r="E4388" s="7" t="str">
        <x:v>ELM-PEA-B-Y3-03</x:v>
      </x:c>
      <x:c r="F4388" s="7" t="str">
        <x:f>'Control Elements'!L141</x:f>
        <x:v>OPEN</x:v>
      </x:c>
    </x:row>
    <x:row r="4389">
      <x:c r="B4389" s="7" t="str">
        <x:v>AG-04383</x:v>
      </x:c>
      <x:c r="C4389" s="7" t="str">
        <x:v>PEA-B-Y3</x:v>
      </x:c>
      <x:c r="D4389" s="7" t="str">
        <x:v>control element</x:v>
      </x:c>
      <x:c r="E4389" s="7" t="str">
        <x:v>ELM-PEA-B-Y3-04</x:v>
      </x:c>
      <x:c r="F4389" s="7" t="str">
        <x:f>'Control Elements'!L142</x:f>
        <x:v>OPEN</x:v>
      </x:c>
    </x:row>
    <x:row r="4390">
      <x:c r="B4390" s="7" t="str">
        <x:v>AG-04384</x:v>
      </x:c>
      <x:c r="C4390" s="7" t="str">
        <x:v>PEA-B-Y3</x:v>
      </x:c>
      <x:c r="D4390" s="7" t="str">
        <x:v>control element</x:v>
      </x:c>
      <x:c r="E4390" s="7" t="str">
        <x:v>ELM-PEA-B-Y3-05</x:v>
      </x:c>
      <x:c r="F4390" s="7" t="str">
        <x:f>'Control Elements'!L143</x:f>
        <x:v>OPEN</x:v>
      </x:c>
    </x:row>
    <x:row r="4391">
      <x:c r="B4391" s="7" t="str">
        <x:v>AG-04385</x:v>
      </x:c>
      <x:c r="C4391" s="7" t="str">
        <x:v>PEA-B-Y3</x:v>
      </x:c>
      <x:c r="D4391" s="7" t="str">
        <x:v>control element</x:v>
      </x:c>
      <x:c r="E4391" s="7" t="str">
        <x:v>ELM-PEA-B-Y3-06</x:v>
      </x:c>
      <x:c r="F4391" s="7" t="str">
        <x:f>'Control Elements'!L144</x:f>
        <x:v>OPEN</x:v>
      </x:c>
    </x:row>
    <x:row r="4392">
      <x:c r="B4392" s="7" t="str">
        <x:v>AG-04386</x:v>
      </x:c>
      <x:c r="C4392" s="7" t="str">
        <x:v>PEA-B-Y3</x:v>
      </x:c>
      <x:c r="D4392" s="7" t="str">
        <x:v>control element</x:v>
      </x:c>
      <x:c r="E4392" s="7" t="str">
        <x:v>ELM-PEA-B-Y3-07</x:v>
      </x:c>
      <x:c r="F4392" s="7" t="str">
        <x:f>'Control Elements'!L145</x:f>
        <x:v>OPEN</x:v>
      </x:c>
    </x:row>
    <x:row r="4393">
      <x:c r="B4393" s="7" t="str">
        <x:v>AG-04387</x:v>
      </x:c>
      <x:c r="C4393" s="7" t="str">
        <x:v>PEA-B-Y3</x:v>
      </x:c>
      <x:c r="D4393" s="7" t="str">
        <x:v>control element</x:v>
      </x:c>
      <x:c r="E4393" s="7" t="str">
        <x:v>ELM-PEA-B-Y3-08</x:v>
      </x:c>
      <x:c r="F4393" s="7" t="str">
        <x:f>'Control Elements'!L146</x:f>
        <x:v>OPEN</x:v>
      </x:c>
    </x:row>
    <x:row r="4394">
      <x:c r="B4394" s="7" t="str">
        <x:v>AG-04388</x:v>
      </x:c>
      <x:c r="C4394" s="7" t="str">
        <x:v>PEA-B-Y3</x:v>
      </x:c>
      <x:c r="D4394" s="7" t="str">
        <x:v>control element</x:v>
      </x:c>
      <x:c r="E4394" s="7" t="str">
        <x:v>ELM-PEA-B-Y3-09</x:v>
      </x:c>
      <x:c r="F4394" s="7" t="str">
        <x:f>'Control Elements'!L147</x:f>
        <x:v>OPEN</x:v>
      </x:c>
    </x:row>
    <x:row r="4395">
      <x:c r="B4395" s="7" t="str">
        <x:v>AG-04389</x:v>
      </x:c>
      <x:c r="C4395" s="7" t="str">
        <x:v>PEA-B-Y3</x:v>
      </x:c>
      <x:c r="D4395" s="7" t="str">
        <x:v>control element</x:v>
      </x:c>
      <x:c r="E4395" s="7" t="str">
        <x:v>ELM-PEA-B-Y3-10</x:v>
      </x:c>
      <x:c r="F4395" s="7" t="str">
        <x:f>'Control Elements'!L148</x:f>
        <x:v>OPEN</x:v>
      </x:c>
    </x:row>
    <x:row r="4396">
      <x:c r="B4396" s="7" t="str">
        <x:v>AG-04390</x:v>
      </x:c>
      <x:c r="C4396" s="7" t="str">
        <x:v>PEA-B-Y3</x:v>
      </x:c>
      <x:c r="D4396" s="7" t="str">
        <x:v>control element</x:v>
      </x:c>
      <x:c r="E4396" s="7" t="str">
        <x:v>ELM-PEA-B-Y3-11</x:v>
      </x:c>
      <x:c r="F4396" s="7" t="str">
        <x:f>'Control Elements'!L149</x:f>
        <x:v>OPEN</x:v>
      </x:c>
    </x:row>
    <x:row r="4397">
      <x:c r="B4397" s="7" t="str">
        <x:v>AG-04391</x:v>
      </x:c>
      <x:c r="C4397" s="7" t="str">
        <x:v>PEA-B-Y3</x:v>
      </x:c>
      <x:c r="D4397" s="7" t="str">
        <x:v>control element</x:v>
      </x:c>
      <x:c r="E4397" s="7" t="str">
        <x:v>ELM-PEA-B-Y3-12</x:v>
      </x:c>
      <x:c r="F4397" s="7" t="str">
        <x:f>'Control Elements'!L150</x:f>
        <x:v>OPEN</x:v>
      </x:c>
    </x:row>
    <x:row r="4398">
      <x:c r="B4398" s="7" t="str">
        <x:v>AG-04392</x:v>
      </x:c>
      <x:c r="C4398" s="7" t="str">
        <x:v>PEA-B-Y3</x:v>
      </x:c>
      <x:c r="D4398" s="7" t="str">
        <x:v>channel instance</x:v>
      </x:c>
      <x:c r="E4398" s="7" t="str">
        <x:v>CH-PEA-B-Y3-01-1</x:v>
      </x:c>
      <x:c r="F4398" s="7" t="str">
        <x:f>'Channel Instances'!O1591</x:f>
        <x:v>OPEN</x:v>
      </x:c>
    </x:row>
    <x:row r="4399">
      <x:c r="B4399" s="7" t="str">
        <x:v>AG-04393</x:v>
      </x:c>
      <x:c r="C4399" s="7" t="str">
        <x:v>PEA-B-Y3</x:v>
      </x:c>
      <x:c r="D4399" s="7" t="str">
        <x:v>channel instance</x:v>
      </x:c>
      <x:c r="E4399" s="7" t="str">
        <x:v>CH-PEA-B-Y3-01-2</x:v>
      </x:c>
      <x:c r="F4399" s="7" t="str">
        <x:f>'Channel Instances'!O1592</x:f>
        <x:v>OPEN</x:v>
      </x:c>
    </x:row>
    <x:row r="4400">
      <x:c r="B4400" s="7" t="str">
        <x:v>AG-04394</x:v>
      </x:c>
      <x:c r="C4400" s="7" t="str">
        <x:v>PEA-B-Y3</x:v>
      </x:c>
      <x:c r="D4400" s="7" t="str">
        <x:v>channel instance</x:v>
      </x:c>
      <x:c r="E4400" s="7" t="str">
        <x:v>CH-PEA-B-Y3-01-3</x:v>
      </x:c>
      <x:c r="F4400" s="7" t="str">
        <x:f>'Channel Instances'!O1593</x:f>
        <x:v>OPEN</x:v>
      </x:c>
    </x:row>
    <x:row r="4401">
      <x:c r="B4401" s="7" t="str">
        <x:v>AG-04395</x:v>
      </x:c>
      <x:c r="C4401" s="7" t="str">
        <x:v>PEA-B-Y3</x:v>
      </x:c>
      <x:c r="D4401" s="7" t="str">
        <x:v>channel instance</x:v>
      </x:c>
      <x:c r="E4401" s="7" t="str">
        <x:v>CH-PEA-B-Y3-01-4</x:v>
      </x:c>
      <x:c r="F4401" s="7" t="str">
        <x:f>'Channel Instances'!O1594</x:f>
        <x:v>OPEN</x:v>
      </x:c>
    </x:row>
    <x:row r="4402">
      <x:c r="B4402" s="7" t="str">
        <x:v>AG-04396</x:v>
      </x:c>
      <x:c r="C4402" s="7" t="str">
        <x:v>PEA-B-Y3</x:v>
      </x:c>
      <x:c r="D4402" s="7" t="str">
        <x:v>channel instance</x:v>
      </x:c>
      <x:c r="E4402" s="7" t="str">
        <x:v>CH-PEA-B-Y3-01-5</x:v>
      </x:c>
      <x:c r="F4402" s="7" t="str">
        <x:f>'Channel Instances'!O1595</x:f>
        <x:v>OPEN</x:v>
      </x:c>
    </x:row>
    <x:row r="4403">
      <x:c r="B4403" s="7" t="str">
        <x:v>AG-04397</x:v>
      </x:c>
      <x:c r="C4403" s="7" t="str">
        <x:v>PEA-B-Y3</x:v>
      </x:c>
      <x:c r="D4403" s="7" t="str">
        <x:v>channel instance</x:v>
      </x:c>
      <x:c r="E4403" s="7" t="str">
        <x:v>CH-PEA-B-Y3-01-6</x:v>
      </x:c>
      <x:c r="F4403" s="7" t="str">
        <x:f>'Channel Instances'!O1596</x:f>
        <x:v>OPEN</x:v>
      </x:c>
    </x:row>
    <x:row r="4404">
      <x:c r="B4404" s="7" t="str">
        <x:v>AG-04398</x:v>
      </x:c>
      <x:c r="C4404" s="7" t="str">
        <x:v>PEA-B-Y3</x:v>
      </x:c>
      <x:c r="D4404" s="7" t="str">
        <x:v>channel instance</x:v>
      </x:c>
      <x:c r="E4404" s="7" t="str">
        <x:v>CH-PEA-B-Y3-02-1</x:v>
      </x:c>
      <x:c r="F4404" s="7" t="str">
        <x:f>'Channel Instances'!O1597</x:f>
        <x:v>OPEN</x:v>
      </x:c>
    </x:row>
    <x:row r="4405">
      <x:c r="B4405" s="7" t="str">
        <x:v>AG-04399</x:v>
      </x:c>
      <x:c r="C4405" s="7" t="str">
        <x:v>PEA-B-Y3</x:v>
      </x:c>
      <x:c r="D4405" s="7" t="str">
        <x:v>channel instance</x:v>
      </x:c>
      <x:c r="E4405" s="7" t="str">
        <x:v>CH-PEA-B-Y3-02-2</x:v>
      </x:c>
      <x:c r="F4405" s="7" t="str">
        <x:f>'Channel Instances'!O1598</x:f>
        <x:v>OPEN</x:v>
      </x:c>
    </x:row>
    <x:row r="4406">
      <x:c r="B4406" s="7" t="str">
        <x:v>AG-04400</x:v>
      </x:c>
      <x:c r="C4406" s="7" t="str">
        <x:v>PEA-B-Y3</x:v>
      </x:c>
      <x:c r="D4406" s="7" t="str">
        <x:v>channel instance</x:v>
      </x:c>
      <x:c r="E4406" s="7" t="str">
        <x:v>CH-PEA-B-Y3-02-3</x:v>
      </x:c>
      <x:c r="F4406" s="7" t="str">
        <x:f>'Channel Instances'!O1599</x:f>
        <x:v>OPEN</x:v>
      </x:c>
    </x:row>
    <x:row r="4407">
      <x:c r="B4407" s="7" t="str">
        <x:v>AG-04401</x:v>
      </x:c>
      <x:c r="C4407" s="7" t="str">
        <x:v>PEA-B-Y3</x:v>
      </x:c>
      <x:c r="D4407" s="7" t="str">
        <x:v>channel instance</x:v>
      </x:c>
      <x:c r="E4407" s="7" t="str">
        <x:v>CH-PEA-B-Y3-02-4</x:v>
      </x:c>
      <x:c r="F4407" s="7" t="str">
        <x:f>'Channel Instances'!O1600</x:f>
        <x:v>OPEN</x:v>
      </x:c>
    </x:row>
    <x:row r="4408">
      <x:c r="B4408" s="7" t="str">
        <x:v>AG-04402</x:v>
      </x:c>
      <x:c r="C4408" s="7" t="str">
        <x:v>PEA-B-Y3</x:v>
      </x:c>
      <x:c r="D4408" s="7" t="str">
        <x:v>channel instance</x:v>
      </x:c>
      <x:c r="E4408" s="7" t="str">
        <x:v>CH-PEA-B-Y3-02-5</x:v>
      </x:c>
      <x:c r="F4408" s="7" t="str">
        <x:f>'Channel Instances'!O1601</x:f>
        <x:v>OPEN</x:v>
      </x:c>
    </x:row>
    <x:row r="4409">
      <x:c r="B4409" s="7" t="str">
        <x:v>AG-04403</x:v>
      </x:c>
      <x:c r="C4409" s="7" t="str">
        <x:v>PEA-B-Y3</x:v>
      </x:c>
      <x:c r="D4409" s="7" t="str">
        <x:v>channel instance</x:v>
      </x:c>
      <x:c r="E4409" s="7" t="str">
        <x:v>CH-PEA-B-Y3-02-6</x:v>
      </x:c>
      <x:c r="F4409" s="7" t="str">
        <x:f>'Channel Instances'!O1602</x:f>
        <x:v>OPEN</x:v>
      </x:c>
    </x:row>
    <x:row r="4410">
      <x:c r="B4410" s="7" t="str">
        <x:v>AG-04404</x:v>
      </x:c>
      <x:c r="C4410" s="7" t="str">
        <x:v>PEA-B-Y3</x:v>
      </x:c>
      <x:c r="D4410" s="7" t="str">
        <x:v>channel instance</x:v>
      </x:c>
      <x:c r="E4410" s="7" t="str">
        <x:v>CH-PEA-B-Y3-03-1</x:v>
      </x:c>
      <x:c r="F4410" s="7" t="str">
        <x:f>'Channel Instances'!O1603</x:f>
        <x:v>OPEN</x:v>
      </x:c>
    </x:row>
    <x:row r="4411">
      <x:c r="B4411" s="7" t="str">
        <x:v>AG-04405</x:v>
      </x:c>
      <x:c r="C4411" s="7" t="str">
        <x:v>PEA-B-Y3</x:v>
      </x:c>
      <x:c r="D4411" s="7" t="str">
        <x:v>channel instance</x:v>
      </x:c>
      <x:c r="E4411" s="7" t="str">
        <x:v>CH-PEA-B-Y3-03-2</x:v>
      </x:c>
      <x:c r="F4411" s="7" t="str">
        <x:f>'Channel Instances'!O1604</x:f>
        <x:v>OPEN</x:v>
      </x:c>
    </x:row>
    <x:row r="4412">
      <x:c r="B4412" s="7" t="str">
        <x:v>AG-04406</x:v>
      </x:c>
      <x:c r="C4412" s="7" t="str">
        <x:v>PEA-B-Y3</x:v>
      </x:c>
      <x:c r="D4412" s="7" t="str">
        <x:v>channel instance</x:v>
      </x:c>
      <x:c r="E4412" s="7" t="str">
        <x:v>CH-PEA-B-Y3-03-3</x:v>
      </x:c>
      <x:c r="F4412" s="7" t="str">
        <x:f>'Channel Instances'!O1605</x:f>
        <x:v>OPEN</x:v>
      </x:c>
    </x:row>
    <x:row r="4413">
      <x:c r="B4413" s="7" t="str">
        <x:v>AG-04407</x:v>
      </x:c>
      <x:c r="C4413" s="7" t="str">
        <x:v>PEA-B-Y3</x:v>
      </x:c>
      <x:c r="D4413" s="7" t="str">
        <x:v>channel instance</x:v>
      </x:c>
      <x:c r="E4413" s="7" t="str">
        <x:v>CH-PEA-B-Y3-03-4</x:v>
      </x:c>
      <x:c r="F4413" s="7" t="str">
        <x:f>'Channel Instances'!O1606</x:f>
        <x:v>OPEN</x:v>
      </x:c>
    </x:row>
    <x:row r="4414">
      <x:c r="B4414" s="7" t="str">
        <x:v>AG-04408</x:v>
      </x:c>
      <x:c r="C4414" s="7" t="str">
        <x:v>PEA-B-Y3</x:v>
      </x:c>
      <x:c r="D4414" s="7" t="str">
        <x:v>channel instance</x:v>
      </x:c>
      <x:c r="E4414" s="7" t="str">
        <x:v>CH-PEA-B-Y3-03-5</x:v>
      </x:c>
      <x:c r="F4414" s="7" t="str">
        <x:f>'Channel Instances'!O1607</x:f>
        <x:v>OPEN</x:v>
      </x:c>
    </x:row>
    <x:row r="4415">
      <x:c r="B4415" s="7" t="str">
        <x:v>AG-04409</x:v>
      </x:c>
      <x:c r="C4415" s="7" t="str">
        <x:v>PEA-B-Y3</x:v>
      </x:c>
      <x:c r="D4415" s="7" t="str">
        <x:v>channel instance</x:v>
      </x:c>
      <x:c r="E4415" s="7" t="str">
        <x:v>CH-PEA-B-Y3-03-6</x:v>
      </x:c>
      <x:c r="F4415" s="7" t="str">
        <x:f>'Channel Instances'!O1608</x:f>
        <x:v>OPEN</x:v>
      </x:c>
    </x:row>
    <x:row r="4416">
      <x:c r="B4416" s="7" t="str">
        <x:v>AG-04410</x:v>
      </x:c>
      <x:c r="C4416" s="7" t="str">
        <x:v>PEA-B-Y3</x:v>
      </x:c>
      <x:c r="D4416" s="7" t="str">
        <x:v>channel instance</x:v>
      </x:c>
      <x:c r="E4416" s="7" t="str">
        <x:v>CH-PEA-B-Y3-04-1</x:v>
      </x:c>
      <x:c r="F4416" s="7" t="str">
        <x:f>'Channel Instances'!O1609</x:f>
        <x:v>OPEN</x:v>
      </x:c>
    </x:row>
    <x:row r="4417">
      <x:c r="B4417" s="7" t="str">
        <x:v>AG-04411</x:v>
      </x:c>
      <x:c r="C4417" s="7" t="str">
        <x:v>PEA-B-Y3</x:v>
      </x:c>
      <x:c r="D4417" s="7" t="str">
        <x:v>channel instance</x:v>
      </x:c>
      <x:c r="E4417" s="7" t="str">
        <x:v>CH-PEA-B-Y3-04-2</x:v>
      </x:c>
      <x:c r="F4417" s="7" t="str">
        <x:f>'Channel Instances'!O1610</x:f>
        <x:v>OPEN</x:v>
      </x:c>
    </x:row>
    <x:row r="4418">
      <x:c r="B4418" s="7" t="str">
        <x:v>AG-04412</x:v>
      </x:c>
      <x:c r="C4418" s="7" t="str">
        <x:v>PEA-B-Y3</x:v>
      </x:c>
      <x:c r="D4418" s="7" t="str">
        <x:v>channel instance</x:v>
      </x:c>
      <x:c r="E4418" s="7" t="str">
        <x:v>CH-PEA-B-Y3-04-3</x:v>
      </x:c>
      <x:c r="F4418" s="7" t="str">
        <x:f>'Channel Instances'!O1611</x:f>
        <x:v>OPEN</x:v>
      </x:c>
    </x:row>
    <x:row r="4419">
      <x:c r="B4419" s="7" t="str">
        <x:v>AG-04413</x:v>
      </x:c>
      <x:c r="C4419" s="7" t="str">
        <x:v>PEA-B-Y3</x:v>
      </x:c>
      <x:c r="D4419" s="7" t="str">
        <x:v>channel instance</x:v>
      </x:c>
      <x:c r="E4419" s="7" t="str">
        <x:v>CH-PEA-B-Y3-04-4</x:v>
      </x:c>
      <x:c r="F4419" s="7" t="str">
        <x:f>'Channel Instances'!O1612</x:f>
        <x:v>OPEN</x:v>
      </x:c>
    </x:row>
    <x:row r="4420">
      <x:c r="B4420" s="7" t="str">
        <x:v>AG-04414</x:v>
      </x:c>
      <x:c r="C4420" s="7" t="str">
        <x:v>PEA-B-Y3</x:v>
      </x:c>
      <x:c r="D4420" s="7" t="str">
        <x:v>channel instance</x:v>
      </x:c>
      <x:c r="E4420" s="7" t="str">
        <x:v>CH-PEA-B-Y3-04-5</x:v>
      </x:c>
      <x:c r="F4420" s="7" t="str">
        <x:f>'Channel Instances'!O1613</x:f>
        <x:v>OPEN</x:v>
      </x:c>
    </x:row>
    <x:row r="4421">
      <x:c r="B4421" s="7" t="str">
        <x:v>AG-04415</x:v>
      </x:c>
      <x:c r="C4421" s="7" t="str">
        <x:v>PEA-B-Y3</x:v>
      </x:c>
      <x:c r="D4421" s="7" t="str">
        <x:v>channel instance</x:v>
      </x:c>
      <x:c r="E4421" s="7" t="str">
        <x:v>CH-PEA-B-Y3-04-6</x:v>
      </x:c>
      <x:c r="F4421" s="7" t="str">
        <x:f>'Channel Instances'!O1614</x:f>
        <x:v>OPEN</x:v>
      </x:c>
    </x:row>
    <x:row r="4422">
      <x:c r="B4422" s="7" t="str">
        <x:v>AG-04416</x:v>
      </x:c>
      <x:c r="C4422" s="7" t="str">
        <x:v>PEA-B-Y3</x:v>
      </x:c>
      <x:c r="D4422" s="7" t="str">
        <x:v>channel instance</x:v>
      </x:c>
      <x:c r="E4422" s="7" t="str">
        <x:v>CH-PEA-B-Y3-05-1</x:v>
      </x:c>
      <x:c r="F4422" s="7" t="str">
        <x:f>'Channel Instances'!O1615</x:f>
        <x:v>OPEN</x:v>
      </x:c>
    </x:row>
    <x:row r="4423">
      <x:c r="B4423" s="7" t="str">
        <x:v>AG-04417</x:v>
      </x:c>
      <x:c r="C4423" s="7" t="str">
        <x:v>PEA-B-Y3</x:v>
      </x:c>
      <x:c r="D4423" s="7" t="str">
        <x:v>channel instance</x:v>
      </x:c>
      <x:c r="E4423" s="7" t="str">
        <x:v>CH-PEA-B-Y3-05-2</x:v>
      </x:c>
      <x:c r="F4423" s="7" t="str">
        <x:f>'Channel Instances'!O1616</x:f>
        <x:v>OPEN</x:v>
      </x:c>
    </x:row>
    <x:row r="4424">
      <x:c r="B4424" s="7" t="str">
        <x:v>AG-04418</x:v>
      </x:c>
      <x:c r="C4424" s="7" t="str">
        <x:v>PEA-B-Y3</x:v>
      </x:c>
      <x:c r="D4424" s="7" t="str">
        <x:v>channel instance</x:v>
      </x:c>
      <x:c r="E4424" s="7" t="str">
        <x:v>CH-PEA-B-Y3-05-3</x:v>
      </x:c>
      <x:c r="F4424" s="7" t="str">
        <x:f>'Channel Instances'!O1617</x:f>
        <x:v>OPEN</x:v>
      </x:c>
    </x:row>
    <x:row r="4425">
      <x:c r="B4425" s="7" t="str">
        <x:v>AG-04419</x:v>
      </x:c>
      <x:c r="C4425" s="7" t="str">
        <x:v>PEA-B-Y3</x:v>
      </x:c>
      <x:c r="D4425" s="7" t="str">
        <x:v>channel instance</x:v>
      </x:c>
      <x:c r="E4425" s="7" t="str">
        <x:v>CH-PEA-B-Y3-05-4</x:v>
      </x:c>
      <x:c r="F4425" s="7" t="str">
        <x:f>'Channel Instances'!O1618</x:f>
        <x:v>OPEN</x:v>
      </x:c>
    </x:row>
    <x:row r="4426">
      <x:c r="B4426" s="7" t="str">
        <x:v>AG-04420</x:v>
      </x:c>
      <x:c r="C4426" s="7" t="str">
        <x:v>PEA-B-Y3</x:v>
      </x:c>
      <x:c r="D4426" s="7" t="str">
        <x:v>channel instance</x:v>
      </x:c>
      <x:c r="E4426" s="7" t="str">
        <x:v>CH-PEA-B-Y3-05-5</x:v>
      </x:c>
      <x:c r="F4426" s="7" t="str">
        <x:f>'Channel Instances'!O1619</x:f>
        <x:v>OPEN</x:v>
      </x:c>
    </x:row>
    <x:row r="4427">
      <x:c r="B4427" s="7" t="str">
        <x:v>AG-04421</x:v>
      </x:c>
      <x:c r="C4427" s="7" t="str">
        <x:v>PEA-B-Y3</x:v>
      </x:c>
      <x:c r="D4427" s="7" t="str">
        <x:v>channel instance</x:v>
      </x:c>
      <x:c r="E4427" s="7" t="str">
        <x:v>CH-PEA-B-Y3-05-6</x:v>
      </x:c>
      <x:c r="F4427" s="7" t="str">
        <x:f>'Channel Instances'!O1620</x:f>
        <x:v>OPEN</x:v>
      </x:c>
    </x:row>
    <x:row r="4428">
      <x:c r="B4428" s="7" t="str">
        <x:v>AG-04422</x:v>
      </x:c>
      <x:c r="C4428" s="7" t="str">
        <x:v>PEA-B-Y3</x:v>
      </x:c>
      <x:c r="D4428" s="7" t="str">
        <x:v>channel instance</x:v>
      </x:c>
      <x:c r="E4428" s="7" t="str">
        <x:v>CH-PEA-B-Y3-06-1</x:v>
      </x:c>
      <x:c r="F4428" s="7" t="str">
        <x:f>'Channel Instances'!O1621</x:f>
        <x:v>OPEN</x:v>
      </x:c>
    </x:row>
    <x:row r="4429">
      <x:c r="B4429" s="7" t="str">
        <x:v>AG-04423</x:v>
      </x:c>
      <x:c r="C4429" s="7" t="str">
        <x:v>PEA-B-Y3</x:v>
      </x:c>
      <x:c r="D4429" s="7" t="str">
        <x:v>channel instance</x:v>
      </x:c>
      <x:c r="E4429" s="7" t="str">
        <x:v>CH-PEA-B-Y3-06-2</x:v>
      </x:c>
      <x:c r="F4429" s="7" t="str">
        <x:f>'Channel Instances'!O1622</x:f>
        <x:v>OPEN</x:v>
      </x:c>
    </x:row>
    <x:row r="4430">
      <x:c r="B4430" s="7" t="str">
        <x:v>AG-04424</x:v>
      </x:c>
      <x:c r="C4430" s="7" t="str">
        <x:v>PEA-B-Y3</x:v>
      </x:c>
      <x:c r="D4430" s="7" t="str">
        <x:v>channel instance</x:v>
      </x:c>
      <x:c r="E4430" s="7" t="str">
        <x:v>CH-PEA-B-Y3-06-3</x:v>
      </x:c>
      <x:c r="F4430" s="7" t="str">
        <x:f>'Channel Instances'!O1623</x:f>
        <x:v>OPEN</x:v>
      </x:c>
    </x:row>
    <x:row r="4431">
      <x:c r="B4431" s="7" t="str">
        <x:v>AG-04425</x:v>
      </x:c>
      <x:c r="C4431" s="7" t="str">
        <x:v>PEA-B-Y3</x:v>
      </x:c>
      <x:c r="D4431" s="7" t="str">
        <x:v>channel instance</x:v>
      </x:c>
      <x:c r="E4431" s="7" t="str">
        <x:v>CH-PEA-B-Y3-06-4</x:v>
      </x:c>
      <x:c r="F4431" s="7" t="str">
        <x:f>'Channel Instances'!O1624</x:f>
        <x:v>OPEN</x:v>
      </x:c>
    </x:row>
    <x:row r="4432">
      <x:c r="B4432" s="7" t="str">
        <x:v>AG-04426</x:v>
      </x:c>
      <x:c r="C4432" s="7" t="str">
        <x:v>PEA-B-Y3</x:v>
      </x:c>
      <x:c r="D4432" s="7" t="str">
        <x:v>channel instance</x:v>
      </x:c>
      <x:c r="E4432" s="7" t="str">
        <x:v>CH-PEA-B-Y3-06-5</x:v>
      </x:c>
      <x:c r="F4432" s="7" t="str">
        <x:f>'Channel Instances'!O1625</x:f>
        <x:v>OPEN</x:v>
      </x:c>
    </x:row>
    <x:row r="4433">
      <x:c r="B4433" s="7" t="str">
        <x:v>AG-04427</x:v>
      </x:c>
      <x:c r="C4433" s="7" t="str">
        <x:v>PEA-B-Y3</x:v>
      </x:c>
      <x:c r="D4433" s="7" t="str">
        <x:v>channel instance</x:v>
      </x:c>
      <x:c r="E4433" s="7" t="str">
        <x:v>CH-PEA-B-Y3-06-6</x:v>
      </x:c>
      <x:c r="F4433" s="7" t="str">
        <x:f>'Channel Instances'!O1626</x:f>
        <x:v>OPEN</x:v>
      </x:c>
    </x:row>
    <x:row r="4434">
      <x:c r="B4434" s="7" t="str">
        <x:v>AG-04428</x:v>
      </x:c>
      <x:c r="C4434" s="7" t="str">
        <x:v>PEA-B-Y3</x:v>
      </x:c>
      <x:c r="D4434" s="7" t="str">
        <x:v>channel instance</x:v>
      </x:c>
      <x:c r="E4434" s="7" t="str">
        <x:v>CH-PEA-B-Y3-07-1</x:v>
      </x:c>
      <x:c r="F4434" s="7" t="str">
        <x:f>'Channel Instances'!O1627</x:f>
        <x:v>OPEN</x:v>
      </x:c>
    </x:row>
    <x:row r="4435">
      <x:c r="B4435" s="7" t="str">
        <x:v>AG-04429</x:v>
      </x:c>
      <x:c r="C4435" s="7" t="str">
        <x:v>PEA-B-Y3</x:v>
      </x:c>
      <x:c r="D4435" s="7" t="str">
        <x:v>channel instance</x:v>
      </x:c>
      <x:c r="E4435" s="7" t="str">
        <x:v>CH-PEA-B-Y3-07-2</x:v>
      </x:c>
      <x:c r="F4435" s="7" t="str">
        <x:f>'Channel Instances'!O1628</x:f>
        <x:v>OPEN</x:v>
      </x:c>
    </x:row>
    <x:row r="4436">
      <x:c r="B4436" s="7" t="str">
        <x:v>AG-04430</x:v>
      </x:c>
      <x:c r="C4436" s="7" t="str">
        <x:v>PEA-B-Y3</x:v>
      </x:c>
      <x:c r="D4436" s="7" t="str">
        <x:v>channel instance</x:v>
      </x:c>
      <x:c r="E4436" s="7" t="str">
        <x:v>CH-PEA-B-Y3-07-3</x:v>
      </x:c>
      <x:c r="F4436" s="7" t="str">
        <x:f>'Channel Instances'!O1629</x:f>
        <x:v>OPEN</x:v>
      </x:c>
    </x:row>
    <x:row r="4437">
      <x:c r="B4437" s="7" t="str">
        <x:v>AG-04431</x:v>
      </x:c>
      <x:c r="C4437" s="7" t="str">
        <x:v>PEA-B-Y3</x:v>
      </x:c>
      <x:c r="D4437" s="7" t="str">
        <x:v>channel instance</x:v>
      </x:c>
      <x:c r="E4437" s="7" t="str">
        <x:v>CH-PEA-B-Y3-07-4</x:v>
      </x:c>
      <x:c r="F4437" s="7" t="str">
        <x:f>'Channel Instances'!O1630</x:f>
        <x:v>OPEN</x:v>
      </x:c>
    </x:row>
    <x:row r="4438">
      <x:c r="B4438" s="7" t="str">
        <x:v>AG-04432</x:v>
      </x:c>
      <x:c r="C4438" s="7" t="str">
        <x:v>PEA-B-Y3</x:v>
      </x:c>
      <x:c r="D4438" s="7" t="str">
        <x:v>channel instance</x:v>
      </x:c>
      <x:c r="E4438" s="7" t="str">
        <x:v>CH-PEA-B-Y3-07-5</x:v>
      </x:c>
      <x:c r="F4438" s="7" t="str">
        <x:f>'Channel Instances'!O1631</x:f>
        <x:v>OPEN</x:v>
      </x:c>
    </x:row>
    <x:row r="4439">
      <x:c r="B4439" s="7" t="str">
        <x:v>AG-04433</x:v>
      </x:c>
      <x:c r="C4439" s="7" t="str">
        <x:v>PEA-B-Y3</x:v>
      </x:c>
      <x:c r="D4439" s="7" t="str">
        <x:v>channel instance</x:v>
      </x:c>
      <x:c r="E4439" s="7" t="str">
        <x:v>CH-PEA-B-Y3-07-6</x:v>
      </x:c>
      <x:c r="F4439" s="7" t="str">
        <x:f>'Channel Instances'!O1632</x:f>
        <x:v>OPEN</x:v>
      </x:c>
    </x:row>
    <x:row r="4440">
      <x:c r="B4440" s="7" t="str">
        <x:v>AG-04434</x:v>
      </x:c>
      <x:c r="C4440" s="7" t="str">
        <x:v>PEA-B-Y3</x:v>
      </x:c>
      <x:c r="D4440" s="7" t="str">
        <x:v>channel instance</x:v>
      </x:c>
      <x:c r="E4440" s="7" t="str">
        <x:v>CH-PEA-B-Y3-08-1</x:v>
      </x:c>
      <x:c r="F4440" s="7" t="str">
        <x:f>'Channel Instances'!O1633</x:f>
        <x:v>OPEN</x:v>
      </x:c>
    </x:row>
    <x:row r="4441">
      <x:c r="B4441" s="7" t="str">
        <x:v>AG-04435</x:v>
      </x:c>
      <x:c r="C4441" s="7" t="str">
        <x:v>PEA-B-Y3</x:v>
      </x:c>
      <x:c r="D4441" s="7" t="str">
        <x:v>channel instance</x:v>
      </x:c>
      <x:c r="E4441" s="7" t="str">
        <x:v>CH-PEA-B-Y3-08-2</x:v>
      </x:c>
      <x:c r="F4441" s="7" t="str">
        <x:f>'Channel Instances'!O1634</x:f>
        <x:v>OPEN</x:v>
      </x:c>
    </x:row>
    <x:row r="4442">
      <x:c r="B4442" s="7" t="str">
        <x:v>AG-04436</x:v>
      </x:c>
      <x:c r="C4442" s="7" t="str">
        <x:v>PEA-B-Y3</x:v>
      </x:c>
      <x:c r="D4442" s="7" t="str">
        <x:v>channel instance</x:v>
      </x:c>
      <x:c r="E4442" s="7" t="str">
        <x:v>CH-PEA-B-Y3-08-3</x:v>
      </x:c>
      <x:c r="F4442" s="7" t="str">
        <x:f>'Channel Instances'!O1635</x:f>
        <x:v>OPEN</x:v>
      </x:c>
    </x:row>
    <x:row r="4443">
      <x:c r="B4443" s="7" t="str">
        <x:v>AG-04437</x:v>
      </x:c>
      <x:c r="C4443" s="7" t="str">
        <x:v>PEA-B-Y3</x:v>
      </x:c>
      <x:c r="D4443" s="7" t="str">
        <x:v>channel instance</x:v>
      </x:c>
      <x:c r="E4443" s="7" t="str">
        <x:v>CH-PEA-B-Y3-08-4</x:v>
      </x:c>
      <x:c r="F4443" s="7" t="str">
        <x:f>'Channel Instances'!O1636</x:f>
        <x:v>OPEN</x:v>
      </x:c>
    </x:row>
    <x:row r="4444">
      <x:c r="B4444" s="7" t="str">
        <x:v>AG-04438</x:v>
      </x:c>
      <x:c r="C4444" s="7" t="str">
        <x:v>PEA-B-Y3</x:v>
      </x:c>
      <x:c r="D4444" s="7" t="str">
        <x:v>channel instance</x:v>
      </x:c>
      <x:c r="E4444" s="7" t="str">
        <x:v>CH-PEA-B-Y3-08-5</x:v>
      </x:c>
      <x:c r="F4444" s="7" t="str">
        <x:f>'Channel Instances'!O1637</x:f>
        <x:v>OPEN</x:v>
      </x:c>
    </x:row>
    <x:row r="4445">
      <x:c r="B4445" s="7" t="str">
        <x:v>AG-04439</x:v>
      </x:c>
      <x:c r="C4445" s="7" t="str">
        <x:v>PEA-B-Y3</x:v>
      </x:c>
      <x:c r="D4445" s="7" t="str">
        <x:v>channel instance</x:v>
      </x:c>
      <x:c r="E4445" s="7" t="str">
        <x:v>CH-PEA-B-Y3-08-6</x:v>
      </x:c>
      <x:c r="F4445" s="7" t="str">
        <x:f>'Channel Instances'!O1638</x:f>
        <x:v>OPEN</x:v>
      </x:c>
    </x:row>
    <x:row r="4446">
      <x:c r="B4446" s="7" t="str">
        <x:v>AG-04440</x:v>
      </x:c>
      <x:c r="C4446" s="7" t="str">
        <x:v>PEA-B-Y3</x:v>
      </x:c>
      <x:c r="D4446" s="7" t="str">
        <x:v>channel instance</x:v>
      </x:c>
      <x:c r="E4446" s="7" t="str">
        <x:v>CH-PEA-B-Y3-09-1</x:v>
      </x:c>
      <x:c r="F4446" s="7" t="str">
        <x:f>'Channel Instances'!O1639</x:f>
        <x:v>OPEN</x:v>
      </x:c>
    </x:row>
    <x:row r="4447">
      <x:c r="B4447" s="7" t="str">
        <x:v>AG-04441</x:v>
      </x:c>
      <x:c r="C4447" s="7" t="str">
        <x:v>PEA-B-Y3</x:v>
      </x:c>
      <x:c r="D4447" s="7" t="str">
        <x:v>channel instance</x:v>
      </x:c>
      <x:c r="E4447" s="7" t="str">
        <x:v>CH-PEA-B-Y3-09-2</x:v>
      </x:c>
      <x:c r="F4447" s="7" t="str">
        <x:f>'Channel Instances'!O1640</x:f>
        <x:v>OPEN</x:v>
      </x:c>
    </x:row>
    <x:row r="4448">
      <x:c r="B4448" s="7" t="str">
        <x:v>AG-04442</x:v>
      </x:c>
      <x:c r="C4448" s="7" t="str">
        <x:v>PEA-B-Y3</x:v>
      </x:c>
      <x:c r="D4448" s="7" t="str">
        <x:v>channel instance</x:v>
      </x:c>
      <x:c r="E4448" s="7" t="str">
        <x:v>CH-PEA-B-Y3-09-3</x:v>
      </x:c>
      <x:c r="F4448" s="7" t="str">
        <x:f>'Channel Instances'!O1641</x:f>
        <x:v>OPEN</x:v>
      </x:c>
    </x:row>
    <x:row r="4449">
      <x:c r="B4449" s="7" t="str">
        <x:v>AG-04443</x:v>
      </x:c>
      <x:c r="C4449" s="7" t="str">
        <x:v>PEA-B-Y3</x:v>
      </x:c>
      <x:c r="D4449" s="7" t="str">
        <x:v>channel instance</x:v>
      </x:c>
      <x:c r="E4449" s="7" t="str">
        <x:v>CH-PEA-B-Y3-09-4</x:v>
      </x:c>
      <x:c r="F4449" s="7" t="str">
        <x:f>'Channel Instances'!O1642</x:f>
        <x:v>OPEN</x:v>
      </x:c>
    </x:row>
    <x:row r="4450">
      <x:c r="B4450" s="7" t="str">
        <x:v>AG-04444</x:v>
      </x:c>
      <x:c r="C4450" s="7" t="str">
        <x:v>PEA-B-Y3</x:v>
      </x:c>
      <x:c r="D4450" s="7" t="str">
        <x:v>channel instance</x:v>
      </x:c>
      <x:c r="E4450" s="7" t="str">
        <x:v>CH-PEA-B-Y3-09-5</x:v>
      </x:c>
      <x:c r="F4450" s="7" t="str">
        <x:f>'Channel Instances'!O1643</x:f>
        <x:v>OPEN</x:v>
      </x:c>
    </x:row>
    <x:row r="4451">
      <x:c r="B4451" s="7" t="str">
        <x:v>AG-04445</x:v>
      </x:c>
      <x:c r="C4451" s="7" t="str">
        <x:v>PEA-B-Y3</x:v>
      </x:c>
      <x:c r="D4451" s="7" t="str">
        <x:v>channel instance</x:v>
      </x:c>
      <x:c r="E4451" s="7" t="str">
        <x:v>CH-PEA-B-Y3-09-6</x:v>
      </x:c>
      <x:c r="F4451" s="7" t="str">
        <x:f>'Channel Instances'!O1644</x:f>
        <x:v>OPEN</x:v>
      </x:c>
    </x:row>
    <x:row r="4452">
      <x:c r="B4452" s="7" t="str">
        <x:v>AG-04446</x:v>
      </x:c>
      <x:c r="C4452" s="7" t="str">
        <x:v>PEA-B-Y3</x:v>
      </x:c>
      <x:c r="D4452" s="7" t="str">
        <x:v>channel instance</x:v>
      </x:c>
      <x:c r="E4452" s="7" t="str">
        <x:v>CH-PEA-B-Y3-10-1</x:v>
      </x:c>
      <x:c r="F4452" s="7" t="str">
        <x:f>'Channel Instances'!O1645</x:f>
        <x:v>OPEN</x:v>
      </x:c>
    </x:row>
    <x:row r="4453">
      <x:c r="B4453" s="7" t="str">
        <x:v>AG-04447</x:v>
      </x:c>
      <x:c r="C4453" s="7" t="str">
        <x:v>PEA-B-Y3</x:v>
      </x:c>
      <x:c r="D4453" s="7" t="str">
        <x:v>channel instance</x:v>
      </x:c>
      <x:c r="E4453" s="7" t="str">
        <x:v>CH-PEA-B-Y3-10-2</x:v>
      </x:c>
      <x:c r="F4453" s="7" t="str">
        <x:f>'Channel Instances'!O1646</x:f>
        <x:v>OPEN</x:v>
      </x:c>
    </x:row>
    <x:row r="4454">
      <x:c r="B4454" s="7" t="str">
        <x:v>AG-04448</x:v>
      </x:c>
      <x:c r="C4454" s="7" t="str">
        <x:v>PEA-B-Y3</x:v>
      </x:c>
      <x:c r="D4454" s="7" t="str">
        <x:v>channel instance</x:v>
      </x:c>
      <x:c r="E4454" s="7" t="str">
        <x:v>CH-PEA-B-Y3-10-3</x:v>
      </x:c>
      <x:c r="F4454" s="7" t="str">
        <x:f>'Channel Instances'!O1647</x:f>
        <x:v>OPEN</x:v>
      </x:c>
    </x:row>
    <x:row r="4455">
      <x:c r="B4455" s="7" t="str">
        <x:v>AG-04449</x:v>
      </x:c>
      <x:c r="C4455" s="7" t="str">
        <x:v>PEA-B-Y3</x:v>
      </x:c>
      <x:c r="D4455" s="7" t="str">
        <x:v>channel instance</x:v>
      </x:c>
      <x:c r="E4455" s="7" t="str">
        <x:v>CH-PEA-B-Y3-10-4</x:v>
      </x:c>
      <x:c r="F4455" s="7" t="str">
        <x:f>'Channel Instances'!O1648</x:f>
        <x:v>OPEN</x:v>
      </x:c>
    </x:row>
    <x:row r="4456">
      <x:c r="B4456" s="7" t="str">
        <x:v>AG-04450</x:v>
      </x:c>
      <x:c r="C4456" s="7" t="str">
        <x:v>PEA-B-Y3</x:v>
      </x:c>
      <x:c r="D4456" s="7" t="str">
        <x:v>channel instance</x:v>
      </x:c>
      <x:c r="E4456" s="7" t="str">
        <x:v>CH-PEA-B-Y3-10-5</x:v>
      </x:c>
      <x:c r="F4456" s="7" t="str">
        <x:f>'Channel Instances'!O1649</x:f>
        <x:v>OPEN</x:v>
      </x:c>
    </x:row>
    <x:row r="4457">
      <x:c r="B4457" s="7" t="str">
        <x:v>AG-04451</x:v>
      </x:c>
      <x:c r="C4457" s="7" t="str">
        <x:v>PEA-B-Y3</x:v>
      </x:c>
      <x:c r="D4457" s="7" t="str">
        <x:v>channel instance</x:v>
      </x:c>
      <x:c r="E4457" s="7" t="str">
        <x:v>CH-PEA-B-Y3-10-6</x:v>
      </x:c>
      <x:c r="F4457" s="7" t="str">
        <x:f>'Channel Instances'!O1650</x:f>
        <x:v>OPEN</x:v>
      </x:c>
    </x:row>
    <x:row r="4458">
      <x:c r="B4458" s="7" t="str">
        <x:v>AG-04452</x:v>
      </x:c>
      <x:c r="C4458" s="7" t="str">
        <x:v>PEA-B-Y3</x:v>
      </x:c>
      <x:c r="D4458" s="7" t="str">
        <x:v>channel instance</x:v>
      </x:c>
      <x:c r="E4458" s="7" t="str">
        <x:v>CH-PEA-B-Y3-11-1</x:v>
      </x:c>
      <x:c r="F4458" s="7" t="str">
        <x:f>'Channel Instances'!O1651</x:f>
        <x:v>OPEN</x:v>
      </x:c>
    </x:row>
    <x:row r="4459">
      <x:c r="B4459" s="7" t="str">
        <x:v>AG-04453</x:v>
      </x:c>
      <x:c r="C4459" s="7" t="str">
        <x:v>PEA-B-Y3</x:v>
      </x:c>
      <x:c r="D4459" s="7" t="str">
        <x:v>channel instance</x:v>
      </x:c>
      <x:c r="E4459" s="7" t="str">
        <x:v>CH-PEA-B-Y3-11-2</x:v>
      </x:c>
      <x:c r="F4459" s="7" t="str">
        <x:f>'Channel Instances'!O1652</x:f>
        <x:v>OPEN</x:v>
      </x:c>
    </x:row>
    <x:row r="4460">
      <x:c r="B4460" s="7" t="str">
        <x:v>AG-04454</x:v>
      </x:c>
      <x:c r="C4460" s="7" t="str">
        <x:v>PEA-B-Y3</x:v>
      </x:c>
      <x:c r="D4460" s="7" t="str">
        <x:v>channel instance</x:v>
      </x:c>
      <x:c r="E4460" s="7" t="str">
        <x:v>CH-PEA-B-Y3-11-3</x:v>
      </x:c>
      <x:c r="F4460" s="7" t="str">
        <x:f>'Channel Instances'!O1653</x:f>
        <x:v>OPEN</x:v>
      </x:c>
    </x:row>
    <x:row r="4461">
      <x:c r="B4461" s="7" t="str">
        <x:v>AG-04455</x:v>
      </x:c>
      <x:c r="C4461" s="7" t="str">
        <x:v>PEA-B-Y3</x:v>
      </x:c>
      <x:c r="D4461" s="7" t="str">
        <x:v>channel instance</x:v>
      </x:c>
      <x:c r="E4461" s="7" t="str">
        <x:v>CH-PEA-B-Y3-11-4</x:v>
      </x:c>
      <x:c r="F4461" s="7" t="str">
        <x:f>'Channel Instances'!O1654</x:f>
        <x:v>OPEN</x:v>
      </x:c>
    </x:row>
    <x:row r="4462">
      <x:c r="B4462" s="7" t="str">
        <x:v>AG-04456</x:v>
      </x:c>
      <x:c r="C4462" s="7" t="str">
        <x:v>PEA-B-Y3</x:v>
      </x:c>
      <x:c r="D4462" s="7" t="str">
        <x:v>channel instance</x:v>
      </x:c>
      <x:c r="E4462" s="7" t="str">
        <x:v>CH-PEA-B-Y3-11-5</x:v>
      </x:c>
      <x:c r="F4462" s="7" t="str">
        <x:f>'Channel Instances'!O1655</x:f>
        <x:v>OPEN</x:v>
      </x:c>
    </x:row>
    <x:row r="4463">
      <x:c r="B4463" s="7" t="str">
        <x:v>AG-04457</x:v>
      </x:c>
      <x:c r="C4463" s="7" t="str">
        <x:v>PEA-B-Y3</x:v>
      </x:c>
      <x:c r="D4463" s="7" t="str">
        <x:v>channel instance</x:v>
      </x:c>
      <x:c r="E4463" s="7" t="str">
        <x:v>CH-PEA-B-Y3-11-6</x:v>
      </x:c>
      <x:c r="F4463" s="7" t="str">
        <x:f>'Channel Instances'!O1656</x:f>
        <x:v>OPEN</x:v>
      </x:c>
    </x:row>
    <x:row r="4464">
      <x:c r="B4464" s="7" t="str">
        <x:v>AG-04458</x:v>
      </x:c>
      <x:c r="C4464" s="7" t="str">
        <x:v>PEA-B-Y3</x:v>
      </x:c>
      <x:c r="D4464" s="7" t="str">
        <x:v>channel instance</x:v>
      </x:c>
      <x:c r="E4464" s="7" t="str">
        <x:v>CH-PEA-B-Y3-12-1</x:v>
      </x:c>
      <x:c r="F4464" s="7" t="str">
        <x:f>'Channel Instances'!O1657</x:f>
        <x:v>OPEN</x:v>
      </x:c>
    </x:row>
    <x:row r="4465">
      <x:c r="B4465" s="7" t="str">
        <x:v>AG-04459</x:v>
      </x:c>
      <x:c r="C4465" s="7" t="str">
        <x:v>PEA-B-Y3</x:v>
      </x:c>
      <x:c r="D4465" s="7" t="str">
        <x:v>channel instance</x:v>
      </x:c>
      <x:c r="E4465" s="7" t="str">
        <x:v>CH-PEA-B-Y3-12-2</x:v>
      </x:c>
      <x:c r="F4465" s="7" t="str">
        <x:f>'Channel Instances'!O1658</x:f>
        <x:v>OPEN</x:v>
      </x:c>
    </x:row>
    <x:row r="4466">
      <x:c r="B4466" s="7" t="str">
        <x:v>AG-04460</x:v>
      </x:c>
      <x:c r="C4466" s="7" t="str">
        <x:v>PEA-B-Y3</x:v>
      </x:c>
      <x:c r="D4466" s="7" t="str">
        <x:v>channel instance</x:v>
      </x:c>
      <x:c r="E4466" s="7" t="str">
        <x:v>CH-PEA-B-Y3-12-3</x:v>
      </x:c>
      <x:c r="F4466" s="7" t="str">
        <x:f>'Channel Instances'!O1659</x:f>
        <x:v>OPEN</x:v>
      </x:c>
    </x:row>
    <x:row r="4467">
      <x:c r="B4467" s="7" t="str">
        <x:v>AG-04461</x:v>
      </x:c>
      <x:c r="C4467" s="7" t="str">
        <x:v>PEA-B-Y3</x:v>
      </x:c>
      <x:c r="D4467" s="7" t="str">
        <x:v>channel instance</x:v>
      </x:c>
      <x:c r="E4467" s="7" t="str">
        <x:v>CH-PEA-B-Y3-12-4</x:v>
      </x:c>
      <x:c r="F4467" s="7" t="str">
        <x:f>'Channel Instances'!O1660</x:f>
        <x:v>OPEN</x:v>
      </x:c>
    </x:row>
    <x:row r="4468">
      <x:c r="B4468" s="7" t="str">
        <x:v>AG-04462</x:v>
      </x:c>
      <x:c r="C4468" s="7" t="str">
        <x:v>PEA-B-Y3</x:v>
      </x:c>
      <x:c r="D4468" s="7" t="str">
        <x:v>channel instance</x:v>
      </x:c>
      <x:c r="E4468" s="7" t="str">
        <x:v>CH-PEA-B-Y3-12-5</x:v>
      </x:c>
      <x:c r="F4468" s="7" t="str">
        <x:f>'Channel Instances'!O1661</x:f>
        <x:v>OPEN</x:v>
      </x:c>
    </x:row>
    <x:row r="4469">
      <x:c r="B4469" s="7" t="str">
        <x:v>AG-04463</x:v>
      </x:c>
      <x:c r="C4469" s="7" t="str">
        <x:v>PEA-B-Y3</x:v>
      </x:c>
      <x:c r="D4469" s="7" t="str">
        <x:v>channel instance</x:v>
      </x:c>
      <x:c r="E4469" s="7" t="str">
        <x:v>CH-PEA-B-Y3-12-6</x:v>
      </x:c>
      <x:c r="F4469" s="7" t="str">
        <x:f>'Channel Instances'!O1662</x:f>
        <x:v>OPEN</x:v>
      </x:c>
    </x:row>
    <x:row r="4470">
      <x:c r="B4470" s="7" t="str">
        <x:v>AG-04464</x:v>
      </x:c>
      <x:c r="C4470" s="7" t="str">
        <x:v>PEA-B-Y3</x:v>
      </x:c>
      <x:c r="D4470" s="7" t="str">
        <x:v>channel instance</x:v>
      </x:c>
      <x:c r="E4470" s="7" t="str">
        <x:v>CH-PEA-B-Y3-13-1</x:v>
      </x:c>
      <x:c r="F4470" s="7" t="str">
        <x:f>'Channel Instances'!O1663</x:f>
        <x:v>OPEN</x:v>
      </x:c>
    </x:row>
    <x:row r="4471">
      <x:c r="B4471" s="7" t="str">
        <x:v>AG-04465</x:v>
      </x:c>
      <x:c r="C4471" s="7" t="str">
        <x:v>PEA-B-Y3</x:v>
      </x:c>
      <x:c r="D4471" s="7" t="str">
        <x:v>channel instance</x:v>
      </x:c>
      <x:c r="E4471" s="7" t="str">
        <x:v>CH-PEA-B-Y3-13-2</x:v>
      </x:c>
      <x:c r="F4471" s="7" t="str">
        <x:f>'Channel Instances'!O1664</x:f>
        <x:v>OPEN</x:v>
      </x:c>
    </x:row>
    <x:row r="4472">
      <x:c r="B4472" s="7" t="str">
        <x:v>AG-04466</x:v>
      </x:c>
      <x:c r="C4472" s="7" t="str">
        <x:v>PEA-B-Y3</x:v>
      </x:c>
      <x:c r="D4472" s="7" t="str">
        <x:v>channel instance</x:v>
      </x:c>
      <x:c r="E4472" s="7" t="str">
        <x:v>CH-PEA-B-Y3-13-3</x:v>
      </x:c>
      <x:c r="F4472" s="7" t="str">
        <x:f>'Channel Instances'!O1665</x:f>
        <x:v>OPEN</x:v>
      </x:c>
    </x:row>
    <x:row r="4473">
      <x:c r="B4473" s="7" t="str">
        <x:v>AG-04467</x:v>
      </x:c>
      <x:c r="C4473" s="7" t="str">
        <x:v>PEA-B-Y3</x:v>
      </x:c>
      <x:c r="D4473" s="7" t="str">
        <x:v>channel instance</x:v>
      </x:c>
      <x:c r="E4473" s="7" t="str">
        <x:v>CH-PEA-B-Y3-13-4</x:v>
      </x:c>
      <x:c r="F4473" s="7" t="str">
        <x:f>'Channel Instances'!O1666</x:f>
        <x:v>OPEN</x:v>
      </x:c>
    </x:row>
    <x:row r="4474">
      <x:c r="B4474" s="7" t="str">
        <x:v>AG-04468</x:v>
      </x:c>
      <x:c r="C4474" s="7" t="str">
        <x:v>PEA-B-Y3</x:v>
      </x:c>
      <x:c r="D4474" s="7" t="str">
        <x:v>channel instance</x:v>
      </x:c>
      <x:c r="E4474" s="7" t="str">
        <x:v>CH-PEA-B-Y3-13-5</x:v>
      </x:c>
      <x:c r="F4474" s="7" t="str">
        <x:f>'Channel Instances'!O1667</x:f>
        <x:v>OPEN</x:v>
      </x:c>
    </x:row>
    <x:row r="4475">
      <x:c r="B4475" s="7" t="str">
        <x:v>AG-04469</x:v>
      </x:c>
      <x:c r="C4475" s="7" t="str">
        <x:v>PEA-B-Y3</x:v>
      </x:c>
      <x:c r="D4475" s="7" t="str">
        <x:v>channel instance</x:v>
      </x:c>
      <x:c r="E4475" s="7" t="str">
        <x:v>CH-PEA-B-Y3-13-6</x:v>
      </x:c>
      <x:c r="F4475" s="7" t="str">
        <x:f>'Channel Instances'!O1668</x:f>
        <x:v>OPEN</x:v>
      </x:c>
    </x:row>
    <x:row r="4476">
      <x:c r="B4476" s="7" t="str">
        <x:v>AG-04470</x:v>
      </x:c>
      <x:c r="C4476" s="7" t="str">
        <x:v>PEA-B-Y3</x:v>
      </x:c>
      <x:c r="D4476" s="7" t="str">
        <x:v>channel instance</x:v>
      </x:c>
      <x:c r="E4476" s="7" t="str">
        <x:v>CH-PEA-B-Y3-14-1</x:v>
      </x:c>
      <x:c r="F4476" s="7" t="str">
        <x:f>'Channel Instances'!O1669</x:f>
        <x:v>OPEN</x:v>
      </x:c>
    </x:row>
    <x:row r="4477">
      <x:c r="B4477" s="7" t="str">
        <x:v>AG-04471</x:v>
      </x:c>
      <x:c r="C4477" s="7" t="str">
        <x:v>PEA-B-Y3</x:v>
      </x:c>
      <x:c r="D4477" s="7" t="str">
        <x:v>channel instance</x:v>
      </x:c>
      <x:c r="E4477" s="7" t="str">
        <x:v>CH-PEA-B-Y3-14-2</x:v>
      </x:c>
      <x:c r="F4477" s="7" t="str">
        <x:f>'Channel Instances'!O1670</x:f>
        <x:v>OPEN</x:v>
      </x:c>
    </x:row>
    <x:row r="4478">
      <x:c r="B4478" s="7" t="str">
        <x:v>AG-04472</x:v>
      </x:c>
      <x:c r="C4478" s="7" t="str">
        <x:v>PEA-B-Y3</x:v>
      </x:c>
      <x:c r="D4478" s="7" t="str">
        <x:v>channel instance</x:v>
      </x:c>
      <x:c r="E4478" s="7" t="str">
        <x:v>CH-PEA-B-Y3-14-3</x:v>
      </x:c>
      <x:c r="F4478" s="7" t="str">
        <x:f>'Channel Instances'!O1671</x:f>
        <x:v>OPEN</x:v>
      </x:c>
    </x:row>
    <x:row r="4479">
      <x:c r="B4479" s="7" t="str">
        <x:v>AG-04473</x:v>
      </x:c>
      <x:c r="C4479" s="7" t="str">
        <x:v>PEA-B-Y3</x:v>
      </x:c>
      <x:c r="D4479" s="7" t="str">
        <x:v>channel instance</x:v>
      </x:c>
      <x:c r="E4479" s="7" t="str">
        <x:v>CH-PEA-B-Y3-14-4</x:v>
      </x:c>
      <x:c r="F4479" s="7" t="str">
        <x:f>'Channel Instances'!O1672</x:f>
        <x:v>OPEN</x:v>
      </x:c>
    </x:row>
    <x:row r="4480">
      <x:c r="B4480" s="7" t="str">
        <x:v>AG-04474</x:v>
      </x:c>
      <x:c r="C4480" s="7" t="str">
        <x:v>PEA-B-Y3</x:v>
      </x:c>
      <x:c r="D4480" s="7" t="str">
        <x:v>channel instance</x:v>
      </x:c>
      <x:c r="E4480" s="7" t="str">
        <x:v>CH-PEA-B-Y3-14-5</x:v>
      </x:c>
      <x:c r="F4480" s="7" t="str">
        <x:f>'Channel Instances'!O1673</x:f>
        <x:v>OPEN</x:v>
      </x:c>
    </x:row>
    <x:row r="4481">
      <x:c r="B4481" s="7" t="str">
        <x:v>AG-04475</x:v>
      </x:c>
      <x:c r="C4481" s="7" t="str">
        <x:v>PEA-B-Y3</x:v>
      </x:c>
      <x:c r="D4481" s="7" t="str">
        <x:v>channel instance</x:v>
      </x:c>
      <x:c r="E4481" s="7" t="str">
        <x:v>CH-PEA-B-Y3-14-6</x:v>
      </x:c>
      <x:c r="F4481" s="7" t="str">
        <x:f>'Channel Instances'!O1674</x:f>
        <x:v>OPEN</x:v>
      </x:c>
    </x:row>
    <x:row r="4482">
      <x:c r="B4482" s="7" t="str">
        <x:v>AG-04476</x:v>
      </x:c>
      <x:c r="C4482" s="7" t="str">
        <x:v>PEA-B-Y3</x:v>
      </x:c>
      <x:c r="D4482" s="7" t="str">
        <x:v>channel instance</x:v>
      </x:c>
      <x:c r="E4482" s="7" t="str">
        <x:v>CH-PEA-B-Y3-15-1</x:v>
      </x:c>
      <x:c r="F4482" s="7" t="str">
        <x:f>'Channel Instances'!O1675</x:f>
        <x:v>OPEN</x:v>
      </x:c>
    </x:row>
    <x:row r="4483">
      <x:c r="B4483" s="7" t="str">
        <x:v>AG-04477</x:v>
      </x:c>
      <x:c r="C4483" s="7" t="str">
        <x:v>PEA-B-Y3</x:v>
      </x:c>
      <x:c r="D4483" s="7" t="str">
        <x:v>channel instance</x:v>
      </x:c>
      <x:c r="E4483" s="7" t="str">
        <x:v>CH-PEA-B-Y3-15-2</x:v>
      </x:c>
      <x:c r="F4483" s="7" t="str">
        <x:f>'Channel Instances'!O1676</x:f>
        <x:v>OPEN</x:v>
      </x:c>
    </x:row>
    <x:row r="4484">
      <x:c r="B4484" s="7" t="str">
        <x:v>AG-04478</x:v>
      </x:c>
      <x:c r="C4484" s="7" t="str">
        <x:v>PEA-B-Y3</x:v>
      </x:c>
      <x:c r="D4484" s="7" t="str">
        <x:v>channel instance</x:v>
      </x:c>
      <x:c r="E4484" s="7" t="str">
        <x:v>CH-PEA-B-Y3-15-3</x:v>
      </x:c>
      <x:c r="F4484" s="7" t="str">
        <x:f>'Channel Instances'!O1677</x:f>
        <x:v>OPEN</x:v>
      </x:c>
    </x:row>
    <x:row r="4485">
      <x:c r="B4485" s="7" t="str">
        <x:v>AG-04479</x:v>
      </x:c>
      <x:c r="C4485" s="7" t="str">
        <x:v>PEA-B-Y3</x:v>
      </x:c>
      <x:c r="D4485" s="7" t="str">
        <x:v>channel instance</x:v>
      </x:c>
      <x:c r="E4485" s="7" t="str">
        <x:v>CH-PEA-B-Y3-15-4</x:v>
      </x:c>
      <x:c r="F4485" s="7" t="str">
        <x:f>'Channel Instances'!O1678</x:f>
        <x:v>OPEN</x:v>
      </x:c>
    </x:row>
    <x:row r="4486">
      <x:c r="B4486" s="7" t="str">
        <x:v>AG-04480</x:v>
      </x:c>
      <x:c r="C4486" s="7" t="str">
        <x:v>PEA-B-Y3</x:v>
      </x:c>
      <x:c r="D4486" s="7" t="str">
        <x:v>channel instance</x:v>
      </x:c>
      <x:c r="E4486" s="7" t="str">
        <x:v>CH-PEA-B-Y3-15-5</x:v>
      </x:c>
      <x:c r="F4486" s="7" t="str">
        <x:f>'Channel Instances'!O1679</x:f>
        <x:v>OPEN</x:v>
      </x:c>
    </x:row>
    <x:row r="4487">
      <x:c r="B4487" s="7" t="str">
        <x:v>AG-04481</x:v>
      </x:c>
      <x:c r="C4487" s="7" t="str">
        <x:v>PEA-B-Y3</x:v>
      </x:c>
      <x:c r="D4487" s="7" t="str">
        <x:v>channel instance</x:v>
      </x:c>
      <x:c r="E4487" s="7" t="str">
        <x:v>CH-PEA-B-Y3-15-6</x:v>
      </x:c>
      <x:c r="F4487" s="7" t="str">
        <x:f>'Channel Instances'!O1680</x:f>
        <x:v>OPEN</x:v>
      </x:c>
    </x:row>
    <x:row r="4488">
      <x:c r="B4488" s="7" t="str">
        <x:v>AG-04482</x:v>
      </x:c>
      <x:c r="C4488" s="7" t="str">
        <x:v>PEA-B-Y3</x:v>
      </x:c>
      <x:c r="D4488" s="7" t="str">
        <x:v>channel instance</x:v>
      </x:c>
      <x:c r="E4488" s="7" t="str">
        <x:v>CH-PEA-B-Y3-16-1</x:v>
      </x:c>
      <x:c r="F4488" s="7" t="str">
        <x:f>'Channel Instances'!O1681</x:f>
        <x:v>OPEN</x:v>
      </x:c>
    </x:row>
    <x:row r="4489">
      <x:c r="B4489" s="7" t="str">
        <x:v>AG-04483</x:v>
      </x:c>
      <x:c r="C4489" s="7" t="str">
        <x:v>PEA-B-Y3</x:v>
      </x:c>
      <x:c r="D4489" s="7" t="str">
        <x:v>channel instance</x:v>
      </x:c>
      <x:c r="E4489" s="7" t="str">
        <x:v>CH-PEA-B-Y3-16-2</x:v>
      </x:c>
      <x:c r="F4489" s="7" t="str">
        <x:f>'Channel Instances'!O1682</x:f>
        <x:v>OPEN</x:v>
      </x:c>
    </x:row>
    <x:row r="4490">
      <x:c r="B4490" s="7" t="str">
        <x:v>AG-04484</x:v>
      </x:c>
      <x:c r="C4490" s="7" t="str">
        <x:v>PEA-B-Y3</x:v>
      </x:c>
      <x:c r="D4490" s="7" t="str">
        <x:v>channel instance</x:v>
      </x:c>
      <x:c r="E4490" s="7" t="str">
        <x:v>CH-PEA-B-Y3-16-3</x:v>
      </x:c>
      <x:c r="F4490" s="7" t="str">
        <x:f>'Channel Instances'!O1683</x:f>
        <x:v>OPEN</x:v>
      </x:c>
    </x:row>
    <x:row r="4491">
      <x:c r="B4491" s="7" t="str">
        <x:v>AG-04485</x:v>
      </x:c>
      <x:c r="C4491" s="7" t="str">
        <x:v>PEA-B-Y3</x:v>
      </x:c>
      <x:c r="D4491" s="7" t="str">
        <x:v>channel instance</x:v>
      </x:c>
      <x:c r="E4491" s="7" t="str">
        <x:v>CH-PEA-B-Y3-16-4</x:v>
      </x:c>
      <x:c r="F4491" s="7" t="str">
        <x:f>'Channel Instances'!O1684</x:f>
        <x:v>OPEN</x:v>
      </x:c>
    </x:row>
    <x:row r="4492">
      <x:c r="B4492" s="7" t="str">
        <x:v>AG-04486</x:v>
      </x:c>
      <x:c r="C4492" s="7" t="str">
        <x:v>PEA-B-Y3</x:v>
      </x:c>
      <x:c r="D4492" s="7" t="str">
        <x:v>channel instance</x:v>
      </x:c>
      <x:c r="E4492" s="7" t="str">
        <x:v>CH-PEA-B-Y3-16-5</x:v>
      </x:c>
      <x:c r="F4492" s="7" t="str">
        <x:f>'Channel Instances'!O1685</x:f>
        <x:v>OPEN</x:v>
      </x:c>
    </x:row>
    <x:row r="4493">
      <x:c r="B4493" s="7" t="str">
        <x:v>AG-04487</x:v>
      </x:c>
      <x:c r="C4493" s="7" t="str">
        <x:v>PEA-B-Y3</x:v>
      </x:c>
      <x:c r="D4493" s="7" t="str">
        <x:v>channel instance</x:v>
      </x:c>
      <x:c r="E4493" s="7" t="str">
        <x:v>CH-PEA-B-Y3-16-6</x:v>
      </x:c>
      <x:c r="F4493" s="7" t="str">
        <x:f>'Channel Instances'!O1686</x:f>
        <x:v>OPEN</x:v>
      </x:c>
    </x:row>
    <x:row r="4494">
      <x:c r="B4494" s="7" t="str">
        <x:v>AG-04488</x:v>
      </x:c>
      <x:c r="C4494" s="7" t="str">
        <x:v>PEA-B-Y3</x:v>
      </x:c>
      <x:c r="D4494" s="7" t="str">
        <x:v>channel instance</x:v>
      </x:c>
      <x:c r="E4494" s="7" t="str">
        <x:v>CH-PEA-B-Y3-17-1</x:v>
      </x:c>
      <x:c r="F4494" s="7" t="str">
        <x:f>'Channel Instances'!O1687</x:f>
        <x:v>OPEN</x:v>
      </x:c>
    </x:row>
    <x:row r="4495">
      <x:c r="B4495" s="7" t="str">
        <x:v>AG-04489</x:v>
      </x:c>
      <x:c r="C4495" s="7" t="str">
        <x:v>PEA-B-Y3</x:v>
      </x:c>
      <x:c r="D4495" s="7" t="str">
        <x:v>channel instance</x:v>
      </x:c>
      <x:c r="E4495" s="7" t="str">
        <x:v>CH-PEA-B-Y3-17-2</x:v>
      </x:c>
      <x:c r="F4495" s="7" t="str">
        <x:f>'Channel Instances'!O1688</x:f>
        <x:v>OPEN</x:v>
      </x:c>
    </x:row>
    <x:row r="4496">
      <x:c r="B4496" s="7" t="str">
        <x:v>AG-04490</x:v>
      </x:c>
      <x:c r="C4496" s="7" t="str">
        <x:v>PEA-B-Y3</x:v>
      </x:c>
      <x:c r="D4496" s="7" t="str">
        <x:v>channel instance</x:v>
      </x:c>
      <x:c r="E4496" s="7" t="str">
        <x:v>CH-PEA-B-Y3-17-3</x:v>
      </x:c>
      <x:c r="F4496" s="7" t="str">
        <x:f>'Channel Instances'!O1689</x:f>
        <x:v>OPEN</x:v>
      </x:c>
    </x:row>
    <x:row r="4497">
      <x:c r="B4497" s="7" t="str">
        <x:v>AG-04491</x:v>
      </x:c>
      <x:c r="C4497" s="7" t="str">
        <x:v>PEA-B-Y3</x:v>
      </x:c>
      <x:c r="D4497" s="7" t="str">
        <x:v>channel instance</x:v>
      </x:c>
      <x:c r="E4497" s="7" t="str">
        <x:v>CH-PEA-B-Y3-17-4</x:v>
      </x:c>
      <x:c r="F4497" s="7" t="str">
        <x:f>'Channel Instances'!O1690</x:f>
        <x:v>OPEN</x:v>
      </x:c>
    </x:row>
    <x:row r="4498">
      <x:c r="B4498" s="7" t="str">
        <x:v>AG-04492</x:v>
      </x:c>
      <x:c r="C4498" s="7" t="str">
        <x:v>PEA-B-Y3</x:v>
      </x:c>
      <x:c r="D4498" s="7" t="str">
        <x:v>channel instance</x:v>
      </x:c>
      <x:c r="E4498" s="7" t="str">
        <x:v>CH-PEA-B-Y3-17-5</x:v>
      </x:c>
      <x:c r="F4498" s="7" t="str">
        <x:f>'Channel Instances'!O1691</x:f>
        <x:v>OPEN</x:v>
      </x:c>
    </x:row>
    <x:row r="4499">
      <x:c r="B4499" s="7" t="str">
        <x:v>AG-04493</x:v>
      </x:c>
      <x:c r="C4499" s="7" t="str">
        <x:v>PEA-B-Y3</x:v>
      </x:c>
      <x:c r="D4499" s="7" t="str">
        <x:v>channel instance</x:v>
      </x:c>
      <x:c r="E4499" s="7" t="str">
        <x:v>CH-PEA-B-Y3-17-6</x:v>
      </x:c>
      <x:c r="F4499" s="7" t="str">
        <x:f>'Channel Instances'!O1692</x:f>
        <x:v>OPEN</x:v>
      </x:c>
    </x:row>
    <x:row r="4500">
      <x:c r="B4500" s="7" t="str">
        <x:v>AG-04494</x:v>
      </x:c>
      <x:c r="C4500" s="7" t="str">
        <x:v>PEA-B-Y3</x:v>
      </x:c>
      <x:c r="D4500" s="7" t="str">
        <x:v>channel instance</x:v>
      </x:c>
      <x:c r="E4500" s="7" t="str">
        <x:v>CH-PEA-B-Y3-18-1</x:v>
      </x:c>
      <x:c r="F4500" s="7" t="str">
        <x:f>'Channel Instances'!O1693</x:f>
        <x:v>OPEN</x:v>
      </x:c>
    </x:row>
    <x:row r="4501">
      <x:c r="B4501" s="7" t="str">
        <x:v>AG-04495</x:v>
      </x:c>
      <x:c r="C4501" s="7" t="str">
        <x:v>PEA-B-Y3</x:v>
      </x:c>
      <x:c r="D4501" s="7" t="str">
        <x:v>channel instance</x:v>
      </x:c>
      <x:c r="E4501" s="7" t="str">
        <x:v>CH-PEA-B-Y3-18-2</x:v>
      </x:c>
      <x:c r="F4501" s="7" t="str">
        <x:f>'Channel Instances'!O1694</x:f>
        <x:v>OPEN</x:v>
      </x:c>
    </x:row>
    <x:row r="4502">
      <x:c r="B4502" s="7" t="str">
        <x:v>AG-04496</x:v>
      </x:c>
      <x:c r="C4502" s="7" t="str">
        <x:v>PEA-B-Y3</x:v>
      </x:c>
      <x:c r="D4502" s="7" t="str">
        <x:v>channel instance</x:v>
      </x:c>
      <x:c r="E4502" s="7" t="str">
        <x:v>CH-PEA-B-Y3-18-3</x:v>
      </x:c>
      <x:c r="F4502" s="7" t="str">
        <x:f>'Channel Instances'!O1695</x:f>
        <x:v>OPEN</x:v>
      </x:c>
    </x:row>
    <x:row r="4503">
      <x:c r="B4503" s="7" t="str">
        <x:v>AG-04497</x:v>
      </x:c>
      <x:c r="C4503" s="7" t="str">
        <x:v>PEA-B-Y3</x:v>
      </x:c>
      <x:c r="D4503" s="7" t="str">
        <x:v>channel instance</x:v>
      </x:c>
      <x:c r="E4503" s="7" t="str">
        <x:v>CH-PEA-B-Y3-18-4</x:v>
      </x:c>
      <x:c r="F4503" s="7" t="str">
        <x:f>'Channel Instances'!O1696</x:f>
        <x:v>OPEN</x:v>
      </x:c>
    </x:row>
    <x:row r="4504">
      <x:c r="B4504" s="7" t="str">
        <x:v>AG-04498</x:v>
      </x:c>
      <x:c r="C4504" s="7" t="str">
        <x:v>PEA-B-Y3</x:v>
      </x:c>
      <x:c r="D4504" s="7" t="str">
        <x:v>channel instance</x:v>
      </x:c>
      <x:c r="E4504" s="7" t="str">
        <x:v>CH-PEA-B-Y3-18-5</x:v>
      </x:c>
      <x:c r="F4504" s="7" t="str">
        <x:f>'Channel Instances'!O1697</x:f>
        <x:v>OPEN</x:v>
      </x:c>
    </x:row>
    <x:row r="4505">
      <x:c r="B4505" s="7" t="str">
        <x:v>AG-04499</x:v>
      </x:c>
      <x:c r="C4505" s="7" t="str">
        <x:v>PEA-B-Y3</x:v>
      </x:c>
      <x:c r="D4505" s="7" t="str">
        <x:v>channel instance</x:v>
      </x:c>
      <x:c r="E4505" s="7" t="str">
        <x:v>CH-PEA-B-Y3-18-6</x:v>
      </x:c>
      <x:c r="F4505" s="7" t="str">
        <x:f>'Channel Instances'!O1698</x:f>
        <x:v>OPEN</x:v>
      </x:c>
    </x:row>
    <x:row r="4506">
      <x:c r="B4506" s="7" t="str">
        <x:v>AG-04500</x:v>
      </x:c>
      <x:c r="C4506" s="7" t="str">
        <x:v>PEA-B-Y3</x:v>
      </x:c>
      <x:c r="D4506" s="7" t="str">
        <x:v>channel instance</x:v>
      </x:c>
      <x:c r="E4506" s="7" t="str">
        <x:v>CH-PEA-B-Y3-19-1</x:v>
      </x:c>
      <x:c r="F4506" s="7" t="str">
        <x:f>'Channel Instances'!O1699</x:f>
        <x:v>OPEN</x:v>
      </x:c>
    </x:row>
    <x:row r="4507">
      <x:c r="B4507" s="7" t="str">
        <x:v>AG-04501</x:v>
      </x:c>
      <x:c r="C4507" s="7" t="str">
        <x:v>PEA-B-Y3</x:v>
      </x:c>
      <x:c r="D4507" s="7" t="str">
        <x:v>channel instance</x:v>
      </x:c>
      <x:c r="E4507" s="7" t="str">
        <x:v>CH-PEA-B-Y3-19-2</x:v>
      </x:c>
      <x:c r="F4507" s="7" t="str">
        <x:f>'Channel Instances'!O1700</x:f>
        <x:v>OPEN</x:v>
      </x:c>
    </x:row>
    <x:row r="4508">
      <x:c r="B4508" s="7" t="str">
        <x:v>AG-04502</x:v>
      </x:c>
      <x:c r="C4508" s="7" t="str">
        <x:v>PEA-B-Y3</x:v>
      </x:c>
      <x:c r="D4508" s="7" t="str">
        <x:v>channel instance</x:v>
      </x:c>
      <x:c r="E4508" s="7" t="str">
        <x:v>CH-PEA-B-Y3-19-3</x:v>
      </x:c>
      <x:c r="F4508" s="7" t="str">
        <x:f>'Channel Instances'!O1701</x:f>
        <x:v>OPEN</x:v>
      </x:c>
    </x:row>
    <x:row r="4509">
      <x:c r="B4509" s="7" t="str">
        <x:v>AG-04503</x:v>
      </x:c>
      <x:c r="C4509" s="7" t="str">
        <x:v>PEA-B-Y3</x:v>
      </x:c>
      <x:c r="D4509" s="7" t="str">
        <x:v>channel instance</x:v>
      </x:c>
      <x:c r="E4509" s="7" t="str">
        <x:v>CH-PEA-B-Y3-19-4</x:v>
      </x:c>
      <x:c r="F4509" s="7" t="str">
        <x:f>'Channel Instances'!O1702</x:f>
        <x:v>OPEN</x:v>
      </x:c>
    </x:row>
    <x:row r="4510">
      <x:c r="B4510" s="7" t="str">
        <x:v>AG-04504</x:v>
      </x:c>
      <x:c r="C4510" s="7" t="str">
        <x:v>PEA-B-Y3</x:v>
      </x:c>
      <x:c r="D4510" s="7" t="str">
        <x:v>channel instance</x:v>
      </x:c>
      <x:c r="E4510" s="7" t="str">
        <x:v>CH-PEA-B-Y3-19-5</x:v>
      </x:c>
      <x:c r="F4510" s="7" t="str">
        <x:f>'Channel Instances'!O1703</x:f>
        <x:v>OPEN</x:v>
      </x:c>
    </x:row>
    <x:row r="4511">
      <x:c r="B4511" s="7" t="str">
        <x:v>AG-04505</x:v>
      </x:c>
      <x:c r="C4511" s="7" t="str">
        <x:v>PEA-B-Y3</x:v>
      </x:c>
      <x:c r="D4511" s="7" t="str">
        <x:v>channel instance</x:v>
      </x:c>
      <x:c r="E4511" s="7" t="str">
        <x:v>CH-PEA-B-Y3-19-6</x:v>
      </x:c>
      <x:c r="F4511" s="7" t="str">
        <x:f>'Channel Instances'!O1704</x:f>
        <x:v>OPEN</x:v>
      </x:c>
    </x:row>
    <x:row r="4512">
      <x:c r="B4512" s="7" t="str">
        <x:v>AG-04506</x:v>
      </x:c>
      <x:c r="C4512" s="7" t="str">
        <x:v>PEA-B-Y3</x:v>
      </x:c>
      <x:c r="D4512" s="7" t="str">
        <x:v>channel instance</x:v>
      </x:c>
      <x:c r="E4512" s="7" t="str">
        <x:v>CH-PEA-B-Y3-20-1</x:v>
      </x:c>
      <x:c r="F4512" s="7" t="str">
        <x:f>'Channel Instances'!O1705</x:f>
        <x:v>OPEN</x:v>
      </x:c>
    </x:row>
    <x:row r="4513">
      <x:c r="B4513" s="7" t="str">
        <x:v>AG-04507</x:v>
      </x:c>
      <x:c r="C4513" s="7" t="str">
        <x:v>PEA-B-Y3</x:v>
      </x:c>
      <x:c r="D4513" s="7" t="str">
        <x:v>channel instance</x:v>
      </x:c>
      <x:c r="E4513" s="7" t="str">
        <x:v>CH-PEA-B-Y3-20-2</x:v>
      </x:c>
      <x:c r="F4513" s="7" t="str">
        <x:f>'Channel Instances'!O1706</x:f>
        <x:v>OPEN</x:v>
      </x:c>
    </x:row>
    <x:row r="4514">
      <x:c r="B4514" s="7" t="str">
        <x:v>AG-04508</x:v>
      </x:c>
      <x:c r="C4514" s="7" t="str">
        <x:v>PEA-B-Y3</x:v>
      </x:c>
      <x:c r="D4514" s="7" t="str">
        <x:v>channel instance</x:v>
      </x:c>
      <x:c r="E4514" s="7" t="str">
        <x:v>CH-PEA-B-Y3-20-3</x:v>
      </x:c>
      <x:c r="F4514" s="7" t="str">
        <x:f>'Channel Instances'!O1707</x:f>
        <x:v>OPEN</x:v>
      </x:c>
    </x:row>
    <x:row r="4515">
      <x:c r="B4515" s="7" t="str">
        <x:v>AG-04509</x:v>
      </x:c>
      <x:c r="C4515" s="7" t="str">
        <x:v>PEA-B-Y3</x:v>
      </x:c>
      <x:c r="D4515" s="7" t="str">
        <x:v>channel instance</x:v>
      </x:c>
      <x:c r="E4515" s="7" t="str">
        <x:v>CH-PEA-B-Y3-20-4</x:v>
      </x:c>
      <x:c r="F4515" s="7" t="str">
        <x:f>'Channel Instances'!O1708</x:f>
        <x:v>OPEN</x:v>
      </x:c>
    </x:row>
    <x:row r="4516">
      <x:c r="B4516" s="7" t="str">
        <x:v>AG-04510</x:v>
      </x:c>
      <x:c r="C4516" s="7" t="str">
        <x:v>PEA-B-Y3</x:v>
      </x:c>
      <x:c r="D4516" s="7" t="str">
        <x:v>channel instance</x:v>
      </x:c>
      <x:c r="E4516" s="7" t="str">
        <x:v>CH-PEA-B-Y3-20-5</x:v>
      </x:c>
      <x:c r="F4516" s="7" t="str">
        <x:f>'Channel Instances'!O1709</x:f>
        <x:v>OPEN</x:v>
      </x:c>
    </x:row>
    <x:row r="4517">
      <x:c r="B4517" s="7" t="str">
        <x:v>AG-04511</x:v>
      </x:c>
      <x:c r="C4517" s="7" t="str">
        <x:v>PEA-B-Y3</x:v>
      </x:c>
      <x:c r="D4517" s="7" t="str">
        <x:v>channel instance</x:v>
      </x:c>
      <x:c r="E4517" s="7" t="str">
        <x:v>CH-PEA-B-Y3-20-6</x:v>
      </x:c>
      <x:c r="F4517" s="7" t="str">
        <x:f>'Channel Instances'!O1710</x:f>
        <x:v>OPEN</x:v>
      </x:c>
    </x:row>
    <x:row r="4518">
      <x:c r="B4518" s="7" t="str">
        <x:v>AG-04512</x:v>
      </x:c>
      <x:c r="C4518" s="7" t="str">
        <x:v>PEA-B-Y3</x:v>
      </x:c>
      <x:c r="D4518" s="7" t="str">
        <x:v>channel instance</x:v>
      </x:c>
      <x:c r="E4518" s="7" t="str">
        <x:v>CH-PEA-B-Y3-21-1</x:v>
      </x:c>
      <x:c r="F4518" s="7" t="str">
        <x:f>'Channel Instances'!O1711</x:f>
        <x:v>OPEN</x:v>
      </x:c>
    </x:row>
    <x:row r="4519">
      <x:c r="B4519" s="7" t="str">
        <x:v>AG-04513</x:v>
      </x:c>
      <x:c r="C4519" s="7" t="str">
        <x:v>PEA-B-Y3</x:v>
      </x:c>
      <x:c r="D4519" s="7" t="str">
        <x:v>channel instance</x:v>
      </x:c>
      <x:c r="E4519" s="7" t="str">
        <x:v>CH-PEA-B-Y3-21-2</x:v>
      </x:c>
      <x:c r="F4519" s="7" t="str">
        <x:f>'Channel Instances'!O1712</x:f>
        <x:v>OPEN</x:v>
      </x:c>
    </x:row>
    <x:row r="4520">
      <x:c r="B4520" s="7" t="str">
        <x:v>AG-04514</x:v>
      </x:c>
      <x:c r="C4520" s="7" t="str">
        <x:v>PEA-B-Y3</x:v>
      </x:c>
      <x:c r="D4520" s="7" t="str">
        <x:v>channel instance</x:v>
      </x:c>
      <x:c r="E4520" s="7" t="str">
        <x:v>CH-PEA-B-Y3-21-3</x:v>
      </x:c>
      <x:c r="F4520" s="7" t="str">
        <x:f>'Channel Instances'!O1713</x:f>
        <x:v>OPEN</x:v>
      </x:c>
    </x:row>
    <x:row r="4521">
      <x:c r="B4521" s="7" t="str">
        <x:v>AG-04515</x:v>
      </x:c>
      <x:c r="C4521" s="7" t="str">
        <x:v>PEA-B-Y3</x:v>
      </x:c>
      <x:c r="D4521" s="7" t="str">
        <x:v>channel instance</x:v>
      </x:c>
      <x:c r="E4521" s="7" t="str">
        <x:v>CH-PEA-B-Y3-21-4</x:v>
      </x:c>
      <x:c r="F4521" s="7" t="str">
        <x:f>'Channel Instances'!O1714</x:f>
        <x:v>OPEN</x:v>
      </x:c>
    </x:row>
    <x:row r="4522">
      <x:c r="B4522" s="7" t="str">
        <x:v>AG-04516</x:v>
      </x:c>
      <x:c r="C4522" s="7" t="str">
        <x:v>PEA-B-Y3</x:v>
      </x:c>
      <x:c r="D4522" s="7" t="str">
        <x:v>channel instance</x:v>
      </x:c>
      <x:c r="E4522" s="7" t="str">
        <x:v>CH-PEA-B-Y3-21-5</x:v>
      </x:c>
      <x:c r="F4522" s="7" t="str">
        <x:f>'Channel Instances'!O1715</x:f>
        <x:v>OPEN</x:v>
      </x:c>
    </x:row>
    <x:row r="4523">
      <x:c r="B4523" s="7" t="str">
        <x:v>AG-04517</x:v>
      </x:c>
      <x:c r="C4523" s="7" t="str">
        <x:v>PEA-B-Y3</x:v>
      </x:c>
      <x:c r="D4523" s="7" t="str">
        <x:v>channel instance</x:v>
      </x:c>
      <x:c r="E4523" s="7" t="str">
        <x:v>CH-PEA-B-Y3-21-6</x:v>
      </x:c>
      <x:c r="F4523" s="7" t="str">
        <x:f>'Channel Instances'!O1716</x:f>
        <x:v>OPEN</x:v>
      </x:c>
    </x:row>
    <x:row r="4524">
      <x:c r="B4524" s="7" t="str">
        <x:v>AG-04518</x:v>
      </x:c>
      <x:c r="C4524" s="7" t="str">
        <x:v>PEA-B-Y3</x:v>
      </x:c>
      <x:c r="D4524" s="7" t="str">
        <x:v>channel instance</x:v>
      </x:c>
      <x:c r="E4524" s="7" t="str">
        <x:v>CH-PEA-B-Y3-22-1</x:v>
      </x:c>
      <x:c r="F4524" s="7" t="str">
        <x:f>'Channel Instances'!O1717</x:f>
        <x:v>OPEN</x:v>
      </x:c>
    </x:row>
    <x:row r="4525">
      <x:c r="B4525" s="7" t="str">
        <x:v>AG-04519</x:v>
      </x:c>
      <x:c r="C4525" s="7" t="str">
        <x:v>PEA-B-Y3</x:v>
      </x:c>
      <x:c r="D4525" s="7" t="str">
        <x:v>channel instance</x:v>
      </x:c>
      <x:c r="E4525" s="7" t="str">
        <x:v>CH-PEA-B-Y3-22-2</x:v>
      </x:c>
      <x:c r="F4525" s="7" t="str">
        <x:f>'Channel Instances'!O1718</x:f>
        <x:v>OPEN</x:v>
      </x:c>
    </x:row>
    <x:row r="4526">
      <x:c r="B4526" s="7" t="str">
        <x:v>AG-04520</x:v>
      </x:c>
      <x:c r="C4526" s="7" t="str">
        <x:v>PEA-B-Y3</x:v>
      </x:c>
      <x:c r="D4526" s="7" t="str">
        <x:v>channel instance</x:v>
      </x:c>
      <x:c r="E4526" s="7" t="str">
        <x:v>CH-PEA-B-Y3-22-3</x:v>
      </x:c>
      <x:c r="F4526" s="7" t="str">
        <x:f>'Channel Instances'!O1719</x:f>
        <x:v>OPEN</x:v>
      </x:c>
    </x:row>
    <x:row r="4527">
      <x:c r="B4527" s="7" t="str">
        <x:v>AG-04521</x:v>
      </x:c>
      <x:c r="C4527" s="7" t="str">
        <x:v>PEA-B-Y3</x:v>
      </x:c>
      <x:c r="D4527" s="7" t="str">
        <x:v>channel instance</x:v>
      </x:c>
      <x:c r="E4527" s="7" t="str">
        <x:v>CH-PEA-B-Y3-22-4</x:v>
      </x:c>
      <x:c r="F4527" s="7" t="str">
        <x:f>'Channel Instances'!O1720</x:f>
        <x:v>OPEN</x:v>
      </x:c>
    </x:row>
    <x:row r="4528">
      <x:c r="B4528" s="7" t="str">
        <x:v>AG-04522</x:v>
      </x:c>
      <x:c r="C4528" s="7" t="str">
        <x:v>PEA-B-Y3</x:v>
      </x:c>
      <x:c r="D4528" s="7" t="str">
        <x:v>channel instance</x:v>
      </x:c>
      <x:c r="E4528" s="7" t="str">
        <x:v>CH-PEA-B-Y3-22-5</x:v>
      </x:c>
      <x:c r="F4528" s="7" t="str">
        <x:f>'Channel Instances'!O1721</x:f>
        <x:v>OPEN</x:v>
      </x:c>
    </x:row>
    <x:row r="4529">
      <x:c r="B4529" s="7" t="str">
        <x:v>AG-04523</x:v>
      </x:c>
      <x:c r="C4529" s="7" t="str">
        <x:v>PEA-B-Y3</x:v>
      </x:c>
      <x:c r="D4529" s="7" t="str">
        <x:v>channel instance</x:v>
      </x:c>
      <x:c r="E4529" s="7" t="str">
        <x:v>CH-PEA-B-Y3-22-6</x:v>
      </x:c>
      <x:c r="F4529" s="7" t="str">
        <x:f>'Channel Instances'!O1722</x:f>
        <x:v>OPEN</x:v>
      </x:c>
    </x:row>
    <x:row r="4530">
      <x:c r="B4530" s="7" t="str">
        <x:v>AG-04524</x:v>
      </x:c>
      <x:c r="C4530" s="7" t="str">
        <x:v>PEA-B-Y3</x:v>
      </x:c>
      <x:c r="D4530" s="7" t="str">
        <x:v>channel instance</x:v>
      </x:c>
      <x:c r="E4530" s="7" t="str">
        <x:v>CH-PEA-B-Y3-23-1</x:v>
      </x:c>
      <x:c r="F4530" s="7" t="str">
        <x:f>'Channel Instances'!O1723</x:f>
        <x:v>OPEN</x:v>
      </x:c>
    </x:row>
    <x:row r="4531">
      <x:c r="B4531" s="7" t="str">
        <x:v>AG-04525</x:v>
      </x:c>
      <x:c r="C4531" s="7" t="str">
        <x:v>PEA-B-Y3</x:v>
      </x:c>
      <x:c r="D4531" s="7" t="str">
        <x:v>channel instance</x:v>
      </x:c>
      <x:c r="E4531" s="7" t="str">
        <x:v>CH-PEA-B-Y3-23-2</x:v>
      </x:c>
      <x:c r="F4531" s="7" t="str">
        <x:f>'Channel Instances'!O1724</x:f>
        <x:v>OPEN</x:v>
      </x:c>
    </x:row>
    <x:row r="4532">
      <x:c r="B4532" s="7" t="str">
        <x:v>AG-04526</x:v>
      </x:c>
      <x:c r="C4532" s="7" t="str">
        <x:v>PEA-B-Y3</x:v>
      </x:c>
      <x:c r="D4532" s="7" t="str">
        <x:v>channel instance</x:v>
      </x:c>
      <x:c r="E4532" s="7" t="str">
        <x:v>CH-PEA-B-Y3-23-3</x:v>
      </x:c>
      <x:c r="F4532" s="7" t="str">
        <x:f>'Channel Instances'!O1725</x:f>
        <x:v>OPEN</x:v>
      </x:c>
    </x:row>
    <x:row r="4533">
      <x:c r="B4533" s="7" t="str">
        <x:v>AG-04527</x:v>
      </x:c>
      <x:c r="C4533" s="7" t="str">
        <x:v>PEA-B-Y3</x:v>
      </x:c>
      <x:c r="D4533" s="7" t="str">
        <x:v>channel instance</x:v>
      </x:c>
      <x:c r="E4533" s="7" t="str">
        <x:v>CH-PEA-B-Y3-23-4</x:v>
      </x:c>
      <x:c r="F4533" s="7" t="str">
        <x:f>'Channel Instances'!O1726</x:f>
        <x:v>OPEN</x:v>
      </x:c>
    </x:row>
    <x:row r="4534">
      <x:c r="B4534" s="7" t="str">
        <x:v>AG-04528</x:v>
      </x:c>
      <x:c r="C4534" s="7" t="str">
        <x:v>PEA-B-Y3</x:v>
      </x:c>
      <x:c r="D4534" s="7" t="str">
        <x:v>channel instance</x:v>
      </x:c>
      <x:c r="E4534" s="7" t="str">
        <x:v>CH-PEA-B-Y3-23-5</x:v>
      </x:c>
      <x:c r="F4534" s="7" t="str">
        <x:f>'Channel Instances'!O1727</x:f>
        <x:v>OPEN</x:v>
      </x:c>
    </x:row>
    <x:row r="4535">
      <x:c r="B4535" s="7" t="str">
        <x:v>AG-04529</x:v>
      </x:c>
      <x:c r="C4535" s="7" t="str">
        <x:v>PEA-B-Y3</x:v>
      </x:c>
      <x:c r="D4535" s="7" t="str">
        <x:v>channel instance</x:v>
      </x:c>
      <x:c r="E4535" s="7" t="str">
        <x:v>CH-PEA-B-Y3-23-6</x:v>
      </x:c>
      <x:c r="F4535" s="7" t="str">
        <x:f>'Channel Instances'!O1728</x:f>
        <x:v>OPEN</x:v>
      </x:c>
    </x:row>
    <x:row r="4536">
      <x:c r="B4536" s="7" t="str">
        <x:v>AG-04530</x:v>
      </x:c>
      <x:c r="C4536" s="7" t="str">
        <x:v>PEA-B-Y3</x:v>
      </x:c>
      <x:c r="D4536" s="7" t="str">
        <x:v>channel instance</x:v>
      </x:c>
      <x:c r="E4536" s="7" t="str">
        <x:v>CH-PEA-B-Y3-24-1</x:v>
      </x:c>
      <x:c r="F4536" s="7" t="str">
        <x:f>'Channel Instances'!O1729</x:f>
        <x:v>OPEN</x:v>
      </x:c>
    </x:row>
    <x:row r="4537">
      <x:c r="B4537" s="7" t="str">
        <x:v>AG-04531</x:v>
      </x:c>
      <x:c r="C4537" s="7" t="str">
        <x:v>PEA-B-Y3</x:v>
      </x:c>
      <x:c r="D4537" s="7" t="str">
        <x:v>channel instance</x:v>
      </x:c>
      <x:c r="E4537" s="7" t="str">
        <x:v>CH-PEA-B-Y3-24-2</x:v>
      </x:c>
      <x:c r="F4537" s="7" t="str">
        <x:f>'Channel Instances'!O1730</x:f>
        <x:v>OPEN</x:v>
      </x:c>
    </x:row>
    <x:row r="4538">
      <x:c r="B4538" s="7" t="str">
        <x:v>AG-04532</x:v>
      </x:c>
      <x:c r="C4538" s="7" t="str">
        <x:v>PEA-B-Y3</x:v>
      </x:c>
      <x:c r="D4538" s="7" t="str">
        <x:v>channel instance</x:v>
      </x:c>
      <x:c r="E4538" s="7" t="str">
        <x:v>CH-PEA-B-Y3-24-3</x:v>
      </x:c>
      <x:c r="F4538" s="7" t="str">
        <x:f>'Channel Instances'!O1731</x:f>
        <x:v>OPEN</x:v>
      </x:c>
    </x:row>
    <x:row r="4539">
      <x:c r="B4539" s="7" t="str">
        <x:v>AG-04533</x:v>
      </x:c>
      <x:c r="C4539" s="7" t="str">
        <x:v>PEA-B-Y3</x:v>
      </x:c>
      <x:c r="D4539" s="7" t="str">
        <x:v>channel instance</x:v>
      </x:c>
      <x:c r="E4539" s="7" t="str">
        <x:v>CH-PEA-B-Y3-24-4</x:v>
      </x:c>
      <x:c r="F4539" s="7" t="str">
        <x:f>'Channel Instances'!O1732</x:f>
        <x:v>OPEN</x:v>
      </x:c>
    </x:row>
    <x:row r="4540">
      <x:c r="B4540" s="7" t="str">
        <x:v>AG-04534</x:v>
      </x:c>
      <x:c r="C4540" s="7" t="str">
        <x:v>PEA-B-Y3</x:v>
      </x:c>
      <x:c r="D4540" s="7" t="str">
        <x:v>channel instance</x:v>
      </x:c>
      <x:c r="E4540" s="7" t="str">
        <x:v>CH-PEA-B-Y3-24-5</x:v>
      </x:c>
      <x:c r="F4540" s="7" t="str">
        <x:f>'Channel Instances'!O1733</x:f>
        <x:v>OPEN</x:v>
      </x:c>
    </x:row>
    <x:row r="4541">
      <x:c r="B4541" s="7" t="str">
        <x:v>AG-04535</x:v>
      </x:c>
      <x:c r="C4541" s="7" t="str">
        <x:v>PEA-B-Y3</x:v>
      </x:c>
      <x:c r="D4541" s="7" t="str">
        <x:v>channel instance</x:v>
      </x:c>
      <x:c r="E4541" s="7" t="str">
        <x:v>CH-PEA-B-Y3-24-6</x:v>
      </x:c>
      <x:c r="F4541" s="7" t="str">
        <x:f>'Channel Instances'!O1734</x:f>
        <x:v>OPEN</x:v>
      </x:c>
    </x:row>
    <x:row r="4542">
      <x:c r="B4542" s="7" t="str">
        <x:v>AG-04536</x:v>
      </x:c>
      <x:c r="C4542" s="7" t="str">
        <x:v>PEA-B-Y3</x:v>
      </x:c>
      <x:c r="D4542" s="7" t="str">
        <x:v>factory calibration</x:v>
      </x:c>
      <x:c r="E4542" s="7" t="str">
        <x:v>CAL-CH-PEA-B-Y3-01-1</x:v>
      </x:c>
      <x:c r="F4542" s="7" t="str">
        <x:f>'Calibration Records'!M1591</x:f>
        <x:v>OPEN</x:v>
      </x:c>
    </x:row>
    <x:row r="4543">
      <x:c r="B4543" s="7" t="str">
        <x:v>AG-04537</x:v>
      </x:c>
      <x:c r="C4543" s="7" t="str">
        <x:v>PEA-B-Y3</x:v>
      </x:c>
      <x:c r="D4543" s="7" t="str">
        <x:v>factory calibration</x:v>
      </x:c>
      <x:c r="E4543" s="7" t="str">
        <x:v>CAL-CH-PEA-B-Y3-01-2</x:v>
      </x:c>
      <x:c r="F4543" s="7" t="str">
        <x:f>'Calibration Records'!M1592</x:f>
        <x:v>OPEN</x:v>
      </x:c>
    </x:row>
    <x:row r="4544">
      <x:c r="B4544" s="7" t="str">
        <x:v>AG-04538</x:v>
      </x:c>
      <x:c r="C4544" s="7" t="str">
        <x:v>PEA-B-Y3</x:v>
      </x:c>
      <x:c r="D4544" s="7" t="str">
        <x:v>factory calibration</x:v>
      </x:c>
      <x:c r="E4544" s="7" t="str">
        <x:v>CAL-CH-PEA-B-Y3-01-3</x:v>
      </x:c>
      <x:c r="F4544" s="7" t="str">
        <x:f>'Calibration Records'!M1593</x:f>
        <x:v>OPEN</x:v>
      </x:c>
    </x:row>
    <x:row r="4545">
      <x:c r="B4545" s="7" t="str">
        <x:v>AG-04539</x:v>
      </x:c>
      <x:c r="C4545" s="7" t="str">
        <x:v>PEA-B-Y3</x:v>
      </x:c>
      <x:c r="D4545" s="7" t="str">
        <x:v>factory calibration</x:v>
      </x:c>
      <x:c r="E4545" s="7" t="str">
        <x:v>CAL-CH-PEA-B-Y3-01-4</x:v>
      </x:c>
      <x:c r="F4545" s="7" t="str">
        <x:f>'Calibration Records'!M1594</x:f>
        <x:v>OPEN</x:v>
      </x:c>
    </x:row>
    <x:row r="4546">
      <x:c r="B4546" s="7" t="str">
        <x:v>AG-04540</x:v>
      </x:c>
      <x:c r="C4546" s="7" t="str">
        <x:v>PEA-B-Y3</x:v>
      </x:c>
      <x:c r="D4546" s="7" t="str">
        <x:v>factory calibration</x:v>
      </x:c>
      <x:c r="E4546" s="7" t="str">
        <x:v>CAL-CH-PEA-B-Y3-01-5</x:v>
      </x:c>
      <x:c r="F4546" s="7" t="str">
        <x:f>'Calibration Records'!M1595</x:f>
        <x:v>OPEN</x:v>
      </x:c>
    </x:row>
    <x:row r="4547">
      <x:c r="B4547" s="7" t="str">
        <x:v>AG-04541</x:v>
      </x:c>
      <x:c r="C4547" s="7" t="str">
        <x:v>PEA-B-Y3</x:v>
      </x:c>
      <x:c r="D4547" s="7" t="str">
        <x:v>factory calibration</x:v>
      </x:c>
      <x:c r="E4547" s="7" t="str">
        <x:v>CAL-CH-PEA-B-Y3-01-6</x:v>
      </x:c>
      <x:c r="F4547" s="7" t="str">
        <x:f>'Calibration Records'!M1596</x:f>
        <x:v>OPEN</x:v>
      </x:c>
    </x:row>
    <x:row r="4548">
      <x:c r="B4548" s="7" t="str">
        <x:v>AG-04542</x:v>
      </x:c>
      <x:c r="C4548" s="7" t="str">
        <x:v>PEA-B-Y3</x:v>
      </x:c>
      <x:c r="D4548" s="7" t="str">
        <x:v>factory calibration</x:v>
      </x:c>
      <x:c r="E4548" s="7" t="str">
        <x:v>CAL-CH-PEA-B-Y3-02-1</x:v>
      </x:c>
      <x:c r="F4548" s="7" t="str">
        <x:f>'Calibration Records'!M1597</x:f>
        <x:v>OPEN</x:v>
      </x:c>
    </x:row>
    <x:row r="4549">
      <x:c r="B4549" s="7" t="str">
        <x:v>AG-04543</x:v>
      </x:c>
      <x:c r="C4549" s="7" t="str">
        <x:v>PEA-B-Y3</x:v>
      </x:c>
      <x:c r="D4549" s="7" t="str">
        <x:v>factory calibration</x:v>
      </x:c>
      <x:c r="E4549" s="7" t="str">
        <x:v>CAL-CH-PEA-B-Y3-02-2</x:v>
      </x:c>
      <x:c r="F4549" s="7" t="str">
        <x:f>'Calibration Records'!M1598</x:f>
        <x:v>OPEN</x:v>
      </x:c>
    </x:row>
    <x:row r="4550">
      <x:c r="B4550" s="7" t="str">
        <x:v>AG-04544</x:v>
      </x:c>
      <x:c r="C4550" s="7" t="str">
        <x:v>PEA-B-Y3</x:v>
      </x:c>
      <x:c r="D4550" s="7" t="str">
        <x:v>factory calibration</x:v>
      </x:c>
      <x:c r="E4550" s="7" t="str">
        <x:v>CAL-CH-PEA-B-Y3-02-3</x:v>
      </x:c>
      <x:c r="F4550" s="7" t="str">
        <x:f>'Calibration Records'!M1599</x:f>
        <x:v>OPEN</x:v>
      </x:c>
    </x:row>
    <x:row r="4551">
      <x:c r="B4551" s="7" t="str">
        <x:v>AG-04545</x:v>
      </x:c>
      <x:c r="C4551" s="7" t="str">
        <x:v>PEA-B-Y3</x:v>
      </x:c>
      <x:c r="D4551" s="7" t="str">
        <x:v>factory calibration</x:v>
      </x:c>
      <x:c r="E4551" s="7" t="str">
        <x:v>CAL-CH-PEA-B-Y3-02-4</x:v>
      </x:c>
      <x:c r="F4551" s="7" t="str">
        <x:f>'Calibration Records'!M1600</x:f>
        <x:v>OPEN</x:v>
      </x:c>
    </x:row>
    <x:row r="4552">
      <x:c r="B4552" s="7" t="str">
        <x:v>AG-04546</x:v>
      </x:c>
      <x:c r="C4552" s="7" t="str">
        <x:v>PEA-B-Y3</x:v>
      </x:c>
      <x:c r="D4552" s="7" t="str">
        <x:v>factory calibration</x:v>
      </x:c>
      <x:c r="E4552" s="7" t="str">
        <x:v>CAL-CH-PEA-B-Y3-02-5</x:v>
      </x:c>
      <x:c r="F4552" s="7" t="str">
        <x:f>'Calibration Records'!M1601</x:f>
        <x:v>OPEN</x:v>
      </x:c>
    </x:row>
    <x:row r="4553">
      <x:c r="B4553" s="7" t="str">
        <x:v>AG-04547</x:v>
      </x:c>
      <x:c r="C4553" s="7" t="str">
        <x:v>PEA-B-Y3</x:v>
      </x:c>
      <x:c r="D4553" s="7" t="str">
        <x:v>factory calibration</x:v>
      </x:c>
      <x:c r="E4553" s="7" t="str">
        <x:v>CAL-CH-PEA-B-Y3-02-6</x:v>
      </x:c>
      <x:c r="F4553" s="7" t="str">
        <x:f>'Calibration Records'!M1602</x:f>
        <x:v>OPEN</x:v>
      </x:c>
    </x:row>
    <x:row r="4554">
      <x:c r="B4554" s="7" t="str">
        <x:v>AG-04548</x:v>
      </x:c>
      <x:c r="C4554" s="7" t="str">
        <x:v>PEA-B-Y3</x:v>
      </x:c>
      <x:c r="D4554" s="7" t="str">
        <x:v>factory calibration</x:v>
      </x:c>
      <x:c r="E4554" s="7" t="str">
        <x:v>CAL-CH-PEA-B-Y3-03-1</x:v>
      </x:c>
      <x:c r="F4554" s="7" t="str">
        <x:f>'Calibration Records'!M1603</x:f>
        <x:v>OPEN</x:v>
      </x:c>
    </x:row>
    <x:row r="4555">
      <x:c r="B4555" s="7" t="str">
        <x:v>AG-04549</x:v>
      </x:c>
      <x:c r="C4555" s="7" t="str">
        <x:v>PEA-B-Y3</x:v>
      </x:c>
      <x:c r="D4555" s="7" t="str">
        <x:v>factory calibration</x:v>
      </x:c>
      <x:c r="E4555" s="7" t="str">
        <x:v>CAL-CH-PEA-B-Y3-03-2</x:v>
      </x:c>
      <x:c r="F4555" s="7" t="str">
        <x:f>'Calibration Records'!M1604</x:f>
        <x:v>OPEN</x:v>
      </x:c>
    </x:row>
    <x:row r="4556">
      <x:c r="B4556" s="7" t="str">
        <x:v>AG-04550</x:v>
      </x:c>
      <x:c r="C4556" s="7" t="str">
        <x:v>PEA-B-Y3</x:v>
      </x:c>
      <x:c r="D4556" s="7" t="str">
        <x:v>factory calibration</x:v>
      </x:c>
      <x:c r="E4556" s="7" t="str">
        <x:v>CAL-CH-PEA-B-Y3-03-3</x:v>
      </x:c>
      <x:c r="F4556" s="7" t="str">
        <x:f>'Calibration Records'!M1605</x:f>
        <x:v>OPEN</x:v>
      </x:c>
    </x:row>
    <x:row r="4557">
      <x:c r="B4557" s="7" t="str">
        <x:v>AG-04551</x:v>
      </x:c>
      <x:c r="C4557" s="7" t="str">
        <x:v>PEA-B-Y3</x:v>
      </x:c>
      <x:c r="D4557" s="7" t="str">
        <x:v>factory calibration</x:v>
      </x:c>
      <x:c r="E4557" s="7" t="str">
        <x:v>CAL-CH-PEA-B-Y3-03-4</x:v>
      </x:c>
      <x:c r="F4557" s="7" t="str">
        <x:f>'Calibration Records'!M1606</x:f>
        <x:v>OPEN</x:v>
      </x:c>
    </x:row>
    <x:row r="4558">
      <x:c r="B4558" s="7" t="str">
        <x:v>AG-04552</x:v>
      </x:c>
      <x:c r="C4558" s="7" t="str">
        <x:v>PEA-B-Y3</x:v>
      </x:c>
      <x:c r="D4558" s="7" t="str">
        <x:v>factory calibration</x:v>
      </x:c>
      <x:c r="E4558" s="7" t="str">
        <x:v>CAL-CH-PEA-B-Y3-03-5</x:v>
      </x:c>
      <x:c r="F4558" s="7" t="str">
        <x:f>'Calibration Records'!M1607</x:f>
        <x:v>OPEN</x:v>
      </x:c>
    </x:row>
    <x:row r="4559">
      <x:c r="B4559" s="7" t="str">
        <x:v>AG-04553</x:v>
      </x:c>
      <x:c r="C4559" s="7" t="str">
        <x:v>PEA-B-Y3</x:v>
      </x:c>
      <x:c r="D4559" s="7" t="str">
        <x:v>factory calibration</x:v>
      </x:c>
      <x:c r="E4559" s="7" t="str">
        <x:v>CAL-CH-PEA-B-Y3-03-6</x:v>
      </x:c>
      <x:c r="F4559" s="7" t="str">
        <x:f>'Calibration Records'!M1608</x:f>
        <x:v>OPEN</x:v>
      </x:c>
    </x:row>
    <x:row r="4560">
      <x:c r="B4560" s="7" t="str">
        <x:v>AG-04554</x:v>
      </x:c>
      <x:c r="C4560" s="7" t="str">
        <x:v>PEA-B-Y3</x:v>
      </x:c>
      <x:c r="D4560" s="7" t="str">
        <x:v>factory calibration</x:v>
      </x:c>
      <x:c r="E4560" s="7" t="str">
        <x:v>CAL-CH-PEA-B-Y3-04-1</x:v>
      </x:c>
      <x:c r="F4560" s="7" t="str">
        <x:f>'Calibration Records'!M1609</x:f>
        <x:v>OPEN</x:v>
      </x:c>
    </x:row>
    <x:row r="4561">
      <x:c r="B4561" s="7" t="str">
        <x:v>AG-04555</x:v>
      </x:c>
      <x:c r="C4561" s="7" t="str">
        <x:v>PEA-B-Y3</x:v>
      </x:c>
      <x:c r="D4561" s="7" t="str">
        <x:v>factory calibration</x:v>
      </x:c>
      <x:c r="E4561" s="7" t="str">
        <x:v>CAL-CH-PEA-B-Y3-04-2</x:v>
      </x:c>
      <x:c r="F4561" s="7" t="str">
        <x:f>'Calibration Records'!M1610</x:f>
        <x:v>OPEN</x:v>
      </x:c>
    </x:row>
    <x:row r="4562">
      <x:c r="B4562" s="7" t="str">
        <x:v>AG-04556</x:v>
      </x:c>
      <x:c r="C4562" s="7" t="str">
        <x:v>PEA-B-Y3</x:v>
      </x:c>
      <x:c r="D4562" s="7" t="str">
        <x:v>factory calibration</x:v>
      </x:c>
      <x:c r="E4562" s="7" t="str">
        <x:v>CAL-CH-PEA-B-Y3-04-3</x:v>
      </x:c>
      <x:c r="F4562" s="7" t="str">
        <x:f>'Calibration Records'!M1611</x:f>
        <x:v>OPEN</x:v>
      </x:c>
    </x:row>
    <x:row r="4563">
      <x:c r="B4563" s="7" t="str">
        <x:v>AG-04557</x:v>
      </x:c>
      <x:c r="C4563" s="7" t="str">
        <x:v>PEA-B-Y3</x:v>
      </x:c>
      <x:c r="D4563" s="7" t="str">
        <x:v>factory calibration</x:v>
      </x:c>
      <x:c r="E4563" s="7" t="str">
        <x:v>CAL-CH-PEA-B-Y3-04-4</x:v>
      </x:c>
      <x:c r="F4563" s="7" t="str">
        <x:f>'Calibration Records'!M1612</x:f>
        <x:v>OPEN</x:v>
      </x:c>
    </x:row>
    <x:row r="4564">
      <x:c r="B4564" s="7" t="str">
        <x:v>AG-04558</x:v>
      </x:c>
      <x:c r="C4564" s="7" t="str">
        <x:v>PEA-B-Y3</x:v>
      </x:c>
      <x:c r="D4564" s="7" t="str">
        <x:v>factory calibration</x:v>
      </x:c>
      <x:c r="E4564" s="7" t="str">
        <x:v>CAL-CH-PEA-B-Y3-04-5</x:v>
      </x:c>
      <x:c r="F4564" s="7" t="str">
        <x:f>'Calibration Records'!M1613</x:f>
        <x:v>OPEN</x:v>
      </x:c>
    </x:row>
    <x:row r="4565">
      <x:c r="B4565" s="7" t="str">
        <x:v>AG-04559</x:v>
      </x:c>
      <x:c r="C4565" s="7" t="str">
        <x:v>PEA-B-Y3</x:v>
      </x:c>
      <x:c r="D4565" s="7" t="str">
        <x:v>factory calibration</x:v>
      </x:c>
      <x:c r="E4565" s="7" t="str">
        <x:v>CAL-CH-PEA-B-Y3-04-6</x:v>
      </x:c>
      <x:c r="F4565" s="7" t="str">
        <x:f>'Calibration Records'!M1614</x:f>
        <x:v>OPEN</x:v>
      </x:c>
    </x:row>
    <x:row r="4566">
      <x:c r="B4566" s="7" t="str">
        <x:v>AG-04560</x:v>
      </x:c>
      <x:c r="C4566" s="7" t="str">
        <x:v>PEA-B-Y3</x:v>
      </x:c>
      <x:c r="D4566" s="7" t="str">
        <x:v>factory calibration</x:v>
      </x:c>
      <x:c r="E4566" s="7" t="str">
        <x:v>CAL-CH-PEA-B-Y3-05-1</x:v>
      </x:c>
      <x:c r="F4566" s="7" t="str">
        <x:f>'Calibration Records'!M1615</x:f>
        <x:v>OPEN</x:v>
      </x:c>
    </x:row>
    <x:row r="4567">
      <x:c r="B4567" s="7" t="str">
        <x:v>AG-04561</x:v>
      </x:c>
      <x:c r="C4567" s="7" t="str">
        <x:v>PEA-B-Y3</x:v>
      </x:c>
      <x:c r="D4567" s="7" t="str">
        <x:v>factory calibration</x:v>
      </x:c>
      <x:c r="E4567" s="7" t="str">
        <x:v>CAL-CH-PEA-B-Y3-05-2</x:v>
      </x:c>
      <x:c r="F4567" s="7" t="str">
        <x:f>'Calibration Records'!M1616</x:f>
        <x:v>OPEN</x:v>
      </x:c>
    </x:row>
    <x:row r="4568">
      <x:c r="B4568" s="7" t="str">
        <x:v>AG-04562</x:v>
      </x:c>
      <x:c r="C4568" s="7" t="str">
        <x:v>PEA-B-Y3</x:v>
      </x:c>
      <x:c r="D4568" s="7" t="str">
        <x:v>factory calibration</x:v>
      </x:c>
      <x:c r="E4568" s="7" t="str">
        <x:v>CAL-CH-PEA-B-Y3-05-3</x:v>
      </x:c>
      <x:c r="F4568" s="7" t="str">
        <x:f>'Calibration Records'!M1617</x:f>
        <x:v>OPEN</x:v>
      </x:c>
    </x:row>
    <x:row r="4569">
      <x:c r="B4569" s="7" t="str">
        <x:v>AG-04563</x:v>
      </x:c>
      <x:c r="C4569" s="7" t="str">
        <x:v>PEA-B-Y3</x:v>
      </x:c>
      <x:c r="D4569" s="7" t="str">
        <x:v>factory calibration</x:v>
      </x:c>
      <x:c r="E4569" s="7" t="str">
        <x:v>CAL-CH-PEA-B-Y3-05-4</x:v>
      </x:c>
      <x:c r="F4569" s="7" t="str">
        <x:f>'Calibration Records'!M1618</x:f>
        <x:v>OPEN</x:v>
      </x:c>
    </x:row>
    <x:row r="4570">
      <x:c r="B4570" s="7" t="str">
        <x:v>AG-04564</x:v>
      </x:c>
      <x:c r="C4570" s="7" t="str">
        <x:v>PEA-B-Y3</x:v>
      </x:c>
      <x:c r="D4570" s="7" t="str">
        <x:v>factory calibration</x:v>
      </x:c>
      <x:c r="E4570" s="7" t="str">
        <x:v>CAL-CH-PEA-B-Y3-05-5</x:v>
      </x:c>
      <x:c r="F4570" s="7" t="str">
        <x:f>'Calibration Records'!M1619</x:f>
        <x:v>OPEN</x:v>
      </x:c>
    </x:row>
    <x:row r="4571">
      <x:c r="B4571" s="7" t="str">
        <x:v>AG-04565</x:v>
      </x:c>
      <x:c r="C4571" s="7" t="str">
        <x:v>PEA-B-Y3</x:v>
      </x:c>
      <x:c r="D4571" s="7" t="str">
        <x:v>factory calibration</x:v>
      </x:c>
      <x:c r="E4571" s="7" t="str">
        <x:v>CAL-CH-PEA-B-Y3-05-6</x:v>
      </x:c>
      <x:c r="F4571" s="7" t="str">
        <x:f>'Calibration Records'!M1620</x:f>
        <x:v>OPEN</x:v>
      </x:c>
    </x:row>
    <x:row r="4572">
      <x:c r="B4572" s="7" t="str">
        <x:v>AG-04566</x:v>
      </x:c>
      <x:c r="C4572" s="7" t="str">
        <x:v>PEA-B-Y3</x:v>
      </x:c>
      <x:c r="D4572" s="7" t="str">
        <x:v>factory calibration</x:v>
      </x:c>
      <x:c r="E4572" s="7" t="str">
        <x:v>CAL-CH-PEA-B-Y3-06-1</x:v>
      </x:c>
      <x:c r="F4572" s="7" t="str">
        <x:f>'Calibration Records'!M1621</x:f>
        <x:v>OPEN</x:v>
      </x:c>
    </x:row>
    <x:row r="4573">
      <x:c r="B4573" s="7" t="str">
        <x:v>AG-04567</x:v>
      </x:c>
      <x:c r="C4573" s="7" t="str">
        <x:v>PEA-B-Y3</x:v>
      </x:c>
      <x:c r="D4573" s="7" t="str">
        <x:v>factory calibration</x:v>
      </x:c>
      <x:c r="E4573" s="7" t="str">
        <x:v>CAL-CH-PEA-B-Y3-06-2</x:v>
      </x:c>
      <x:c r="F4573" s="7" t="str">
        <x:f>'Calibration Records'!M1622</x:f>
        <x:v>OPEN</x:v>
      </x:c>
    </x:row>
    <x:row r="4574">
      <x:c r="B4574" s="7" t="str">
        <x:v>AG-04568</x:v>
      </x:c>
      <x:c r="C4574" s="7" t="str">
        <x:v>PEA-B-Y3</x:v>
      </x:c>
      <x:c r="D4574" s="7" t="str">
        <x:v>factory calibration</x:v>
      </x:c>
      <x:c r="E4574" s="7" t="str">
        <x:v>CAL-CH-PEA-B-Y3-06-3</x:v>
      </x:c>
      <x:c r="F4574" s="7" t="str">
        <x:f>'Calibration Records'!M1623</x:f>
        <x:v>OPEN</x:v>
      </x:c>
    </x:row>
    <x:row r="4575">
      <x:c r="B4575" s="7" t="str">
        <x:v>AG-04569</x:v>
      </x:c>
      <x:c r="C4575" s="7" t="str">
        <x:v>PEA-B-Y3</x:v>
      </x:c>
      <x:c r="D4575" s="7" t="str">
        <x:v>factory calibration</x:v>
      </x:c>
      <x:c r="E4575" s="7" t="str">
        <x:v>CAL-CH-PEA-B-Y3-06-4</x:v>
      </x:c>
      <x:c r="F4575" s="7" t="str">
        <x:f>'Calibration Records'!M1624</x:f>
        <x:v>OPEN</x:v>
      </x:c>
    </x:row>
    <x:row r="4576">
      <x:c r="B4576" s="7" t="str">
        <x:v>AG-04570</x:v>
      </x:c>
      <x:c r="C4576" s="7" t="str">
        <x:v>PEA-B-Y3</x:v>
      </x:c>
      <x:c r="D4576" s="7" t="str">
        <x:v>factory calibration</x:v>
      </x:c>
      <x:c r="E4576" s="7" t="str">
        <x:v>CAL-CH-PEA-B-Y3-06-5</x:v>
      </x:c>
      <x:c r="F4576" s="7" t="str">
        <x:f>'Calibration Records'!M1625</x:f>
        <x:v>OPEN</x:v>
      </x:c>
    </x:row>
    <x:row r="4577">
      <x:c r="B4577" s="7" t="str">
        <x:v>AG-04571</x:v>
      </x:c>
      <x:c r="C4577" s="7" t="str">
        <x:v>PEA-B-Y3</x:v>
      </x:c>
      <x:c r="D4577" s="7" t="str">
        <x:v>factory calibration</x:v>
      </x:c>
      <x:c r="E4577" s="7" t="str">
        <x:v>CAL-CH-PEA-B-Y3-06-6</x:v>
      </x:c>
      <x:c r="F4577" s="7" t="str">
        <x:f>'Calibration Records'!M1626</x:f>
        <x:v>OPEN</x:v>
      </x:c>
    </x:row>
    <x:row r="4578">
      <x:c r="B4578" s="7" t="str">
        <x:v>AG-04572</x:v>
      </x:c>
      <x:c r="C4578" s="7" t="str">
        <x:v>PEA-B-Y3</x:v>
      </x:c>
      <x:c r="D4578" s="7" t="str">
        <x:v>factory calibration</x:v>
      </x:c>
      <x:c r="E4578" s="7" t="str">
        <x:v>CAL-CH-PEA-B-Y3-07-1</x:v>
      </x:c>
      <x:c r="F4578" s="7" t="str">
        <x:f>'Calibration Records'!M1627</x:f>
        <x:v>OPEN</x:v>
      </x:c>
    </x:row>
    <x:row r="4579">
      <x:c r="B4579" s="7" t="str">
        <x:v>AG-04573</x:v>
      </x:c>
      <x:c r="C4579" s="7" t="str">
        <x:v>PEA-B-Y3</x:v>
      </x:c>
      <x:c r="D4579" s="7" t="str">
        <x:v>factory calibration</x:v>
      </x:c>
      <x:c r="E4579" s="7" t="str">
        <x:v>CAL-CH-PEA-B-Y3-07-2</x:v>
      </x:c>
      <x:c r="F4579" s="7" t="str">
        <x:f>'Calibration Records'!M1628</x:f>
        <x:v>OPEN</x:v>
      </x:c>
    </x:row>
    <x:row r="4580">
      <x:c r="B4580" s="7" t="str">
        <x:v>AG-04574</x:v>
      </x:c>
      <x:c r="C4580" s="7" t="str">
        <x:v>PEA-B-Y3</x:v>
      </x:c>
      <x:c r="D4580" s="7" t="str">
        <x:v>factory calibration</x:v>
      </x:c>
      <x:c r="E4580" s="7" t="str">
        <x:v>CAL-CH-PEA-B-Y3-07-3</x:v>
      </x:c>
      <x:c r="F4580" s="7" t="str">
        <x:f>'Calibration Records'!M1629</x:f>
        <x:v>OPEN</x:v>
      </x:c>
    </x:row>
    <x:row r="4581">
      <x:c r="B4581" s="7" t="str">
        <x:v>AG-04575</x:v>
      </x:c>
      <x:c r="C4581" s="7" t="str">
        <x:v>PEA-B-Y3</x:v>
      </x:c>
      <x:c r="D4581" s="7" t="str">
        <x:v>factory calibration</x:v>
      </x:c>
      <x:c r="E4581" s="7" t="str">
        <x:v>CAL-CH-PEA-B-Y3-07-4</x:v>
      </x:c>
      <x:c r="F4581" s="7" t="str">
        <x:f>'Calibration Records'!M1630</x:f>
        <x:v>OPEN</x:v>
      </x:c>
    </x:row>
    <x:row r="4582">
      <x:c r="B4582" s="7" t="str">
        <x:v>AG-04576</x:v>
      </x:c>
      <x:c r="C4582" s="7" t="str">
        <x:v>PEA-B-Y3</x:v>
      </x:c>
      <x:c r="D4582" s="7" t="str">
        <x:v>factory calibration</x:v>
      </x:c>
      <x:c r="E4582" s="7" t="str">
        <x:v>CAL-CH-PEA-B-Y3-07-5</x:v>
      </x:c>
      <x:c r="F4582" s="7" t="str">
        <x:f>'Calibration Records'!M1631</x:f>
        <x:v>OPEN</x:v>
      </x:c>
    </x:row>
    <x:row r="4583">
      <x:c r="B4583" s="7" t="str">
        <x:v>AG-04577</x:v>
      </x:c>
      <x:c r="C4583" s="7" t="str">
        <x:v>PEA-B-Y3</x:v>
      </x:c>
      <x:c r="D4583" s="7" t="str">
        <x:v>factory calibration</x:v>
      </x:c>
      <x:c r="E4583" s="7" t="str">
        <x:v>CAL-CH-PEA-B-Y3-07-6</x:v>
      </x:c>
      <x:c r="F4583" s="7" t="str">
        <x:f>'Calibration Records'!M1632</x:f>
        <x:v>OPEN</x:v>
      </x:c>
    </x:row>
    <x:row r="4584">
      <x:c r="B4584" s="7" t="str">
        <x:v>AG-04578</x:v>
      </x:c>
      <x:c r="C4584" s="7" t="str">
        <x:v>PEA-B-Y3</x:v>
      </x:c>
      <x:c r="D4584" s="7" t="str">
        <x:v>factory calibration</x:v>
      </x:c>
      <x:c r="E4584" s="7" t="str">
        <x:v>CAL-CH-PEA-B-Y3-08-1</x:v>
      </x:c>
      <x:c r="F4584" s="7" t="str">
        <x:f>'Calibration Records'!M1633</x:f>
        <x:v>OPEN</x:v>
      </x:c>
    </x:row>
    <x:row r="4585">
      <x:c r="B4585" s="7" t="str">
        <x:v>AG-04579</x:v>
      </x:c>
      <x:c r="C4585" s="7" t="str">
        <x:v>PEA-B-Y3</x:v>
      </x:c>
      <x:c r="D4585" s="7" t="str">
        <x:v>factory calibration</x:v>
      </x:c>
      <x:c r="E4585" s="7" t="str">
        <x:v>CAL-CH-PEA-B-Y3-08-2</x:v>
      </x:c>
      <x:c r="F4585" s="7" t="str">
        <x:f>'Calibration Records'!M1634</x:f>
        <x:v>OPEN</x:v>
      </x:c>
    </x:row>
    <x:row r="4586">
      <x:c r="B4586" s="7" t="str">
        <x:v>AG-04580</x:v>
      </x:c>
      <x:c r="C4586" s="7" t="str">
        <x:v>PEA-B-Y3</x:v>
      </x:c>
      <x:c r="D4586" s="7" t="str">
        <x:v>factory calibration</x:v>
      </x:c>
      <x:c r="E4586" s="7" t="str">
        <x:v>CAL-CH-PEA-B-Y3-08-3</x:v>
      </x:c>
      <x:c r="F4586" s="7" t="str">
        <x:f>'Calibration Records'!M1635</x:f>
        <x:v>OPEN</x:v>
      </x:c>
    </x:row>
    <x:row r="4587">
      <x:c r="B4587" s="7" t="str">
        <x:v>AG-04581</x:v>
      </x:c>
      <x:c r="C4587" s="7" t="str">
        <x:v>PEA-B-Y3</x:v>
      </x:c>
      <x:c r="D4587" s="7" t="str">
        <x:v>factory calibration</x:v>
      </x:c>
      <x:c r="E4587" s="7" t="str">
        <x:v>CAL-CH-PEA-B-Y3-08-4</x:v>
      </x:c>
      <x:c r="F4587" s="7" t="str">
        <x:f>'Calibration Records'!M1636</x:f>
        <x:v>OPEN</x:v>
      </x:c>
    </x:row>
    <x:row r="4588">
      <x:c r="B4588" s="7" t="str">
        <x:v>AG-04582</x:v>
      </x:c>
      <x:c r="C4588" s="7" t="str">
        <x:v>PEA-B-Y3</x:v>
      </x:c>
      <x:c r="D4588" s="7" t="str">
        <x:v>factory calibration</x:v>
      </x:c>
      <x:c r="E4588" s="7" t="str">
        <x:v>CAL-CH-PEA-B-Y3-08-5</x:v>
      </x:c>
      <x:c r="F4588" s="7" t="str">
        <x:f>'Calibration Records'!M1637</x:f>
        <x:v>OPEN</x:v>
      </x:c>
    </x:row>
    <x:row r="4589">
      <x:c r="B4589" s="7" t="str">
        <x:v>AG-04583</x:v>
      </x:c>
      <x:c r="C4589" s="7" t="str">
        <x:v>PEA-B-Y3</x:v>
      </x:c>
      <x:c r="D4589" s="7" t="str">
        <x:v>factory calibration</x:v>
      </x:c>
      <x:c r="E4589" s="7" t="str">
        <x:v>CAL-CH-PEA-B-Y3-08-6</x:v>
      </x:c>
      <x:c r="F4589" s="7" t="str">
        <x:f>'Calibration Records'!M1638</x:f>
        <x:v>OPEN</x:v>
      </x:c>
    </x:row>
    <x:row r="4590">
      <x:c r="B4590" s="7" t="str">
        <x:v>AG-04584</x:v>
      </x:c>
      <x:c r="C4590" s="7" t="str">
        <x:v>PEA-B-Y3</x:v>
      </x:c>
      <x:c r="D4590" s="7" t="str">
        <x:v>factory calibration</x:v>
      </x:c>
      <x:c r="E4590" s="7" t="str">
        <x:v>CAL-CH-PEA-B-Y3-09-1</x:v>
      </x:c>
      <x:c r="F4590" s="7" t="str">
        <x:f>'Calibration Records'!M1639</x:f>
        <x:v>OPEN</x:v>
      </x:c>
    </x:row>
    <x:row r="4591">
      <x:c r="B4591" s="7" t="str">
        <x:v>AG-04585</x:v>
      </x:c>
      <x:c r="C4591" s="7" t="str">
        <x:v>PEA-B-Y3</x:v>
      </x:c>
      <x:c r="D4591" s="7" t="str">
        <x:v>factory calibration</x:v>
      </x:c>
      <x:c r="E4591" s="7" t="str">
        <x:v>CAL-CH-PEA-B-Y3-09-2</x:v>
      </x:c>
      <x:c r="F4591" s="7" t="str">
        <x:f>'Calibration Records'!M1640</x:f>
        <x:v>OPEN</x:v>
      </x:c>
    </x:row>
    <x:row r="4592">
      <x:c r="B4592" s="7" t="str">
        <x:v>AG-04586</x:v>
      </x:c>
      <x:c r="C4592" s="7" t="str">
        <x:v>PEA-B-Y3</x:v>
      </x:c>
      <x:c r="D4592" s="7" t="str">
        <x:v>factory calibration</x:v>
      </x:c>
      <x:c r="E4592" s="7" t="str">
        <x:v>CAL-CH-PEA-B-Y3-09-3</x:v>
      </x:c>
      <x:c r="F4592" s="7" t="str">
        <x:f>'Calibration Records'!M1641</x:f>
        <x:v>OPEN</x:v>
      </x:c>
    </x:row>
    <x:row r="4593">
      <x:c r="B4593" s="7" t="str">
        <x:v>AG-04587</x:v>
      </x:c>
      <x:c r="C4593" s="7" t="str">
        <x:v>PEA-B-Y3</x:v>
      </x:c>
      <x:c r="D4593" s="7" t="str">
        <x:v>factory calibration</x:v>
      </x:c>
      <x:c r="E4593" s="7" t="str">
        <x:v>CAL-CH-PEA-B-Y3-09-4</x:v>
      </x:c>
      <x:c r="F4593" s="7" t="str">
        <x:f>'Calibration Records'!M1642</x:f>
        <x:v>OPEN</x:v>
      </x:c>
    </x:row>
    <x:row r="4594">
      <x:c r="B4594" s="7" t="str">
        <x:v>AG-04588</x:v>
      </x:c>
      <x:c r="C4594" s="7" t="str">
        <x:v>PEA-B-Y3</x:v>
      </x:c>
      <x:c r="D4594" s="7" t="str">
        <x:v>factory calibration</x:v>
      </x:c>
      <x:c r="E4594" s="7" t="str">
        <x:v>CAL-CH-PEA-B-Y3-09-5</x:v>
      </x:c>
      <x:c r="F4594" s="7" t="str">
        <x:f>'Calibration Records'!M1643</x:f>
        <x:v>OPEN</x:v>
      </x:c>
    </x:row>
    <x:row r="4595">
      <x:c r="B4595" s="7" t="str">
        <x:v>AG-04589</x:v>
      </x:c>
      <x:c r="C4595" s="7" t="str">
        <x:v>PEA-B-Y3</x:v>
      </x:c>
      <x:c r="D4595" s="7" t="str">
        <x:v>factory calibration</x:v>
      </x:c>
      <x:c r="E4595" s="7" t="str">
        <x:v>CAL-CH-PEA-B-Y3-09-6</x:v>
      </x:c>
      <x:c r="F4595" s="7" t="str">
        <x:f>'Calibration Records'!M1644</x:f>
        <x:v>OPEN</x:v>
      </x:c>
    </x:row>
    <x:row r="4596">
      <x:c r="B4596" s="7" t="str">
        <x:v>AG-04590</x:v>
      </x:c>
      <x:c r="C4596" s="7" t="str">
        <x:v>PEA-B-Y3</x:v>
      </x:c>
      <x:c r="D4596" s="7" t="str">
        <x:v>factory calibration</x:v>
      </x:c>
      <x:c r="E4596" s="7" t="str">
        <x:v>CAL-CH-PEA-B-Y3-10-1</x:v>
      </x:c>
      <x:c r="F4596" s="7" t="str">
        <x:f>'Calibration Records'!M1645</x:f>
        <x:v>OPEN</x:v>
      </x:c>
    </x:row>
    <x:row r="4597">
      <x:c r="B4597" s="7" t="str">
        <x:v>AG-04591</x:v>
      </x:c>
      <x:c r="C4597" s="7" t="str">
        <x:v>PEA-B-Y3</x:v>
      </x:c>
      <x:c r="D4597" s="7" t="str">
        <x:v>factory calibration</x:v>
      </x:c>
      <x:c r="E4597" s="7" t="str">
        <x:v>CAL-CH-PEA-B-Y3-10-2</x:v>
      </x:c>
      <x:c r="F4597" s="7" t="str">
        <x:f>'Calibration Records'!M1646</x:f>
        <x:v>OPEN</x:v>
      </x:c>
    </x:row>
    <x:row r="4598">
      <x:c r="B4598" s="7" t="str">
        <x:v>AG-04592</x:v>
      </x:c>
      <x:c r="C4598" s="7" t="str">
        <x:v>PEA-B-Y3</x:v>
      </x:c>
      <x:c r="D4598" s="7" t="str">
        <x:v>factory calibration</x:v>
      </x:c>
      <x:c r="E4598" s="7" t="str">
        <x:v>CAL-CH-PEA-B-Y3-10-3</x:v>
      </x:c>
      <x:c r="F4598" s="7" t="str">
        <x:f>'Calibration Records'!M1647</x:f>
        <x:v>OPEN</x:v>
      </x:c>
    </x:row>
    <x:row r="4599">
      <x:c r="B4599" s="7" t="str">
        <x:v>AG-04593</x:v>
      </x:c>
      <x:c r="C4599" s="7" t="str">
        <x:v>PEA-B-Y3</x:v>
      </x:c>
      <x:c r="D4599" s="7" t="str">
        <x:v>factory calibration</x:v>
      </x:c>
      <x:c r="E4599" s="7" t="str">
        <x:v>CAL-CH-PEA-B-Y3-10-4</x:v>
      </x:c>
      <x:c r="F4599" s="7" t="str">
        <x:f>'Calibration Records'!M1648</x:f>
        <x:v>OPEN</x:v>
      </x:c>
    </x:row>
    <x:row r="4600">
      <x:c r="B4600" s="7" t="str">
        <x:v>AG-04594</x:v>
      </x:c>
      <x:c r="C4600" s="7" t="str">
        <x:v>PEA-B-Y3</x:v>
      </x:c>
      <x:c r="D4600" s="7" t="str">
        <x:v>factory calibration</x:v>
      </x:c>
      <x:c r="E4600" s="7" t="str">
        <x:v>CAL-CH-PEA-B-Y3-10-5</x:v>
      </x:c>
      <x:c r="F4600" s="7" t="str">
        <x:f>'Calibration Records'!M1649</x:f>
        <x:v>OPEN</x:v>
      </x:c>
    </x:row>
    <x:row r="4601">
      <x:c r="B4601" s="7" t="str">
        <x:v>AG-04595</x:v>
      </x:c>
      <x:c r="C4601" s="7" t="str">
        <x:v>PEA-B-Y3</x:v>
      </x:c>
      <x:c r="D4601" s="7" t="str">
        <x:v>factory calibration</x:v>
      </x:c>
      <x:c r="E4601" s="7" t="str">
        <x:v>CAL-CH-PEA-B-Y3-10-6</x:v>
      </x:c>
      <x:c r="F4601" s="7" t="str">
        <x:f>'Calibration Records'!M1650</x:f>
        <x:v>OPEN</x:v>
      </x:c>
    </x:row>
    <x:row r="4602">
      <x:c r="B4602" s="7" t="str">
        <x:v>AG-04596</x:v>
      </x:c>
      <x:c r="C4602" s="7" t="str">
        <x:v>PEA-B-Y3</x:v>
      </x:c>
      <x:c r="D4602" s="7" t="str">
        <x:v>factory calibration</x:v>
      </x:c>
      <x:c r="E4602" s="7" t="str">
        <x:v>CAL-CH-PEA-B-Y3-11-1</x:v>
      </x:c>
      <x:c r="F4602" s="7" t="str">
        <x:f>'Calibration Records'!M1651</x:f>
        <x:v>OPEN</x:v>
      </x:c>
    </x:row>
    <x:row r="4603">
      <x:c r="B4603" s="7" t="str">
        <x:v>AG-04597</x:v>
      </x:c>
      <x:c r="C4603" s="7" t="str">
        <x:v>PEA-B-Y3</x:v>
      </x:c>
      <x:c r="D4603" s="7" t="str">
        <x:v>factory calibration</x:v>
      </x:c>
      <x:c r="E4603" s="7" t="str">
        <x:v>CAL-CH-PEA-B-Y3-11-2</x:v>
      </x:c>
      <x:c r="F4603" s="7" t="str">
        <x:f>'Calibration Records'!M1652</x:f>
        <x:v>OPEN</x:v>
      </x:c>
    </x:row>
    <x:row r="4604">
      <x:c r="B4604" s="7" t="str">
        <x:v>AG-04598</x:v>
      </x:c>
      <x:c r="C4604" s="7" t="str">
        <x:v>PEA-B-Y3</x:v>
      </x:c>
      <x:c r="D4604" s="7" t="str">
        <x:v>factory calibration</x:v>
      </x:c>
      <x:c r="E4604" s="7" t="str">
        <x:v>CAL-CH-PEA-B-Y3-11-3</x:v>
      </x:c>
      <x:c r="F4604" s="7" t="str">
        <x:f>'Calibration Records'!M1653</x:f>
        <x:v>OPEN</x:v>
      </x:c>
    </x:row>
    <x:row r="4605">
      <x:c r="B4605" s="7" t="str">
        <x:v>AG-04599</x:v>
      </x:c>
      <x:c r="C4605" s="7" t="str">
        <x:v>PEA-B-Y3</x:v>
      </x:c>
      <x:c r="D4605" s="7" t="str">
        <x:v>factory calibration</x:v>
      </x:c>
      <x:c r="E4605" s="7" t="str">
        <x:v>CAL-CH-PEA-B-Y3-11-4</x:v>
      </x:c>
      <x:c r="F4605" s="7" t="str">
        <x:f>'Calibration Records'!M1654</x:f>
        <x:v>OPEN</x:v>
      </x:c>
    </x:row>
    <x:row r="4606">
      <x:c r="B4606" s="7" t="str">
        <x:v>AG-04600</x:v>
      </x:c>
      <x:c r="C4606" s="7" t="str">
        <x:v>PEA-B-Y3</x:v>
      </x:c>
      <x:c r="D4606" s="7" t="str">
        <x:v>factory calibration</x:v>
      </x:c>
      <x:c r="E4606" s="7" t="str">
        <x:v>CAL-CH-PEA-B-Y3-11-5</x:v>
      </x:c>
      <x:c r="F4606" s="7" t="str">
        <x:f>'Calibration Records'!M1655</x:f>
        <x:v>OPEN</x:v>
      </x:c>
    </x:row>
    <x:row r="4607">
      <x:c r="B4607" s="7" t="str">
        <x:v>AG-04601</x:v>
      </x:c>
      <x:c r="C4607" s="7" t="str">
        <x:v>PEA-B-Y3</x:v>
      </x:c>
      <x:c r="D4607" s="7" t="str">
        <x:v>factory calibration</x:v>
      </x:c>
      <x:c r="E4607" s="7" t="str">
        <x:v>CAL-CH-PEA-B-Y3-11-6</x:v>
      </x:c>
      <x:c r="F4607" s="7" t="str">
        <x:f>'Calibration Records'!M1656</x:f>
        <x:v>OPEN</x:v>
      </x:c>
    </x:row>
    <x:row r="4608">
      <x:c r="B4608" s="7" t="str">
        <x:v>AG-04602</x:v>
      </x:c>
      <x:c r="C4608" s="7" t="str">
        <x:v>PEA-B-Y3</x:v>
      </x:c>
      <x:c r="D4608" s="7" t="str">
        <x:v>factory calibration</x:v>
      </x:c>
      <x:c r="E4608" s="7" t="str">
        <x:v>CAL-CH-PEA-B-Y3-12-1</x:v>
      </x:c>
      <x:c r="F4608" s="7" t="str">
        <x:f>'Calibration Records'!M1657</x:f>
        <x:v>OPEN</x:v>
      </x:c>
    </x:row>
    <x:row r="4609">
      <x:c r="B4609" s="7" t="str">
        <x:v>AG-04603</x:v>
      </x:c>
      <x:c r="C4609" s="7" t="str">
        <x:v>PEA-B-Y3</x:v>
      </x:c>
      <x:c r="D4609" s="7" t="str">
        <x:v>factory calibration</x:v>
      </x:c>
      <x:c r="E4609" s="7" t="str">
        <x:v>CAL-CH-PEA-B-Y3-12-2</x:v>
      </x:c>
      <x:c r="F4609" s="7" t="str">
        <x:f>'Calibration Records'!M1658</x:f>
        <x:v>OPEN</x:v>
      </x:c>
    </x:row>
    <x:row r="4610">
      <x:c r="B4610" s="7" t="str">
        <x:v>AG-04604</x:v>
      </x:c>
      <x:c r="C4610" s="7" t="str">
        <x:v>PEA-B-Y3</x:v>
      </x:c>
      <x:c r="D4610" s="7" t="str">
        <x:v>factory calibration</x:v>
      </x:c>
      <x:c r="E4610" s="7" t="str">
        <x:v>CAL-CH-PEA-B-Y3-12-3</x:v>
      </x:c>
      <x:c r="F4610" s="7" t="str">
        <x:f>'Calibration Records'!M1659</x:f>
        <x:v>OPEN</x:v>
      </x:c>
    </x:row>
    <x:row r="4611">
      <x:c r="B4611" s="7" t="str">
        <x:v>AG-04605</x:v>
      </x:c>
      <x:c r="C4611" s="7" t="str">
        <x:v>PEA-B-Y3</x:v>
      </x:c>
      <x:c r="D4611" s="7" t="str">
        <x:v>factory calibration</x:v>
      </x:c>
      <x:c r="E4611" s="7" t="str">
        <x:v>CAL-CH-PEA-B-Y3-12-4</x:v>
      </x:c>
      <x:c r="F4611" s="7" t="str">
        <x:f>'Calibration Records'!M1660</x:f>
        <x:v>OPEN</x:v>
      </x:c>
    </x:row>
    <x:row r="4612">
      <x:c r="B4612" s="7" t="str">
        <x:v>AG-04606</x:v>
      </x:c>
      <x:c r="C4612" s="7" t="str">
        <x:v>PEA-B-Y3</x:v>
      </x:c>
      <x:c r="D4612" s="7" t="str">
        <x:v>factory calibration</x:v>
      </x:c>
      <x:c r="E4612" s="7" t="str">
        <x:v>CAL-CH-PEA-B-Y3-12-5</x:v>
      </x:c>
      <x:c r="F4612" s="7" t="str">
        <x:f>'Calibration Records'!M1661</x:f>
        <x:v>OPEN</x:v>
      </x:c>
    </x:row>
    <x:row r="4613">
      <x:c r="B4613" s="7" t="str">
        <x:v>AG-04607</x:v>
      </x:c>
      <x:c r="C4613" s="7" t="str">
        <x:v>PEA-B-Y3</x:v>
      </x:c>
      <x:c r="D4613" s="7" t="str">
        <x:v>factory calibration</x:v>
      </x:c>
      <x:c r="E4613" s="7" t="str">
        <x:v>CAL-CH-PEA-B-Y3-12-6</x:v>
      </x:c>
      <x:c r="F4613" s="7" t="str">
        <x:f>'Calibration Records'!M1662</x:f>
        <x:v>OPEN</x:v>
      </x:c>
    </x:row>
    <x:row r="4614">
      <x:c r="B4614" s="7" t="str">
        <x:v>AG-04608</x:v>
      </x:c>
      <x:c r="C4614" s="7" t="str">
        <x:v>PEA-B-Y3</x:v>
      </x:c>
      <x:c r="D4614" s="7" t="str">
        <x:v>factory calibration</x:v>
      </x:c>
      <x:c r="E4614" s="7" t="str">
        <x:v>CAL-CH-PEA-B-Y3-13-1</x:v>
      </x:c>
      <x:c r="F4614" s="7" t="str">
        <x:f>'Calibration Records'!M1663</x:f>
        <x:v>OPEN</x:v>
      </x:c>
    </x:row>
    <x:row r="4615">
      <x:c r="B4615" s="7" t="str">
        <x:v>AG-04609</x:v>
      </x:c>
      <x:c r="C4615" s="7" t="str">
        <x:v>PEA-B-Y3</x:v>
      </x:c>
      <x:c r="D4615" s="7" t="str">
        <x:v>factory calibration</x:v>
      </x:c>
      <x:c r="E4615" s="7" t="str">
        <x:v>CAL-CH-PEA-B-Y3-13-2</x:v>
      </x:c>
      <x:c r="F4615" s="7" t="str">
        <x:f>'Calibration Records'!M1664</x:f>
        <x:v>OPEN</x:v>
      </x:c>
    </x:row>
    <x:row r="4616">
      <x:c r="B4616" s="7" t="str">
        <x:v>AG-04610</x:v>
      </x:c>
      <x:c r="C4616" s="7" t="str">
        <x:v>PEA-B-Y3</x:v>
      </x:c>
      <x:c r="D4616" s="7" t="str">
        <x:v>factory calibration</x:v>
      </x:c>
      <x:c r="E4616" s="7" t="str">
        <x:v>CAL-CH-PEA-B-Y3-13-3</x:v>
      </x:c>
      <x:c r="F4616" s="7" t="str">
        <x:f>'Calibration Records'!M1665</x:f>
        <x:v>OPEN</x:v>
      </x:c>
    </x:row>
    <x:row r="4617">
      <x:c r="B4617" s="7" t="str">
        <x:v>AG-04611</x:v>
      </x:c>
      <x:c r="C4617" s="7" t="str">
        <x:v>PEA-B-Y3</x:v>
      </x:c>
      <x:c r="D4617" s="7" t="str">
        <x:v>factory calibration</x:v>
      </x:c>
      <x:c r="E4617" s="7" t="str">
        <x:v>CAL-CH-PEA-B-Y3-13-4</x:v>
      </x:c>
      <x:c r="F4617" s="7" t="str">
        <x:f>'Calibration Records'!M1666</x:f>
        <x:v>OPEN</x:v>
      </x:c>
    </x:row>
    <x:row r="4618">
      <x:c r="B4618" s="7" t="str">
        <x:v>AG-04612</x:v>
      </x:c>
      <x:c r="C4618" s="7" t="str">
        <x:v>PEA-B-Y3</x:v>
      </x:c>
      <x:c r="D4618" s="7" t="str">
        <x:v>factory calibration</x:v>
      </x:c>
      <x:c r="E4618" s="7" t="str">
        <x:v>CAL-CH-PEA-B-Y3-13-5</x:v>
      </x:c>
      <x:c r="F4618" s="7" t="str">
        <x:f>'Calibration Records'!M1667</x:f>
        <x:v>OPEN</x:v>
      </x:c>
    </x:row>
    <x:row r="4619">
      <x:c r="B4619" s="7" t="str">
        <x:v>AG-04613</x:v>
      </x:c>
      <x:c r="C4619" s="7" t="str">
        <x:v>PEA-B-Y3</x:v>
      </x:c>
      <x:c r="D4619" s="7" t="str">
        <x:v>factory calibration</x:v>
      </x:c>
      <x:c r="E4619" s="7" t="str">
        <x:v>CAL-CH-PEA-B-Y3-13-6</x:v>
      </x:c>
      <x:c r="F4619" s="7" t="str">
        <x:f>'Calibration Records'!M1668</x:f>
        <x:v>OPEN</x:v>
      </x:c>
    </x:row>
    <x:row r="4620">
      <x:c r="B4620" s="7" t="str">
        <x:v>AG-04614</x:v>
      </x:c>
      <x:c r="C4620" s="7" t="str">
        <x:v>PEA-B-Y3</x:v>
      </x:c>
      <x:c r="D4620" s="7" t="str">
        <x:v>factory calibration</x:v>
      </x:c>
      <x:c r="E4620" s="7" t="str">
        <x:v>CAL-CH-PEA-B-Y3-14-1</x:v>
      </x:c>
      <x:c r="F4620" s="7" t="str">
        <x:f>'Calibration Records'!M1669</x:f>
        <x:v>OPEN</x:v>
      </x:c>
    </x:row>
    <x:row r="4621">
      <x:c r="B4621" s="7" t="str">
        <x:v>AG-04615</x:v>
      </x:c>
      <x:c r="C4621" s="7" t="str">
        <x:v>PEA-B-Y3</x:v>
      </x:c>
      <x:c r="D4621" s="7" t="str">
        <x:v>factory calibration</x:v>
      </x:c>
      <x:c r="E4621" s="7" t="str">
        <x:v>CAL-CH-PEA-B-Y3-14-2</x:v>
      </x:c>
      <x:c r="F4621" s="7" t="str">
        <x:f>'Calibration Records'!M1670</x:f>
        <x:v>OPEN</x:v>
      </x:c>
    </x:row>
    <x:row r="4622">
      <x:c r="B4622" s="7" t="str">
        <x:v>AG-04616</x:v>
      </x:c>
      <x:c r="C4622" s="7" t="str">
        <x:v>PEA-B-Y3</x:v>
      </x:c>
      <x:c r="D4622" s="7" t="str">
        <x:v>factory calibration</x:v>
      </x:c>
      <x:c r="E4622" s="7" t="str">
        <x:v>CAL-CH-PEA-B-Y3-14-3</x:v>
      </x:c>
      <x:c r="F4622" s="7" t="str">
        <x:f>'Calibration Records'!M1671</x:f>
        <x:v>OPEN</x:v>
      </x:c>
    </x:row>
    <x:row r="4623">
      <x:c r="B4623" s="7" t="str">
        <x:v>AG-04617</x:v>
      </x:c>
      <x:c r="C4623" s="7" t="str">
        <x:v>PEA-B-Y3</x:v>
      </x:c>
      <x:c r="D4623" s="7" t="str">
        <x:v>factory calibration</x:v>
      </x:c>
      <x:c r="E4623" s="7" t="str">
        <x:v>CAL-CH-PEA-B-Y3-14-4</x:v>
      </x:c>
      <x:c r="F4623" s="7" t="str">
        <x:f>'Calibration Records'!M1672</x:f>
        <x:v>OPEN</x:v>
      </x:c>
    </x:row>
    <x:row r="4624">
      <x:c r="B4624" s="7" t="str">
        <x:v>AG-04618</x:v>
      </x:c>
      <x:c r="C4624" s="7" t="str">
        <x:v>PEA-B-Y3</x:v>
      </x:c>
      <x:c r="D4624" s="7" t="str">
        <x:v>factory calibration</x:v>
      </x:c>
      <x:c r="E4624" s="7" t="str">
        <x:v>CAL-CH-PEA-B-Y3-14-5</x:v>
      </x:c>
      <x:c r="F4624" s="7" t="str">
        <x:f>'Calibration Records'!M1673</x:f>
        <x:v>OPEN</x:v>
      </x:c>
    </x:row>
    <x:row r="4625">
      <x:c r="B4625" s="7" t="str">
        <x:v>AG-04619</x:v>
      </x:c>
      <x:c r="C4625" s="7" t="str">
        <x:v>PEA-B-Y3</x:v>
      </x:c>
      <x:c r="D4625" s="7" t="str">
        <x:v>factory calibration</x:v>
      </x:c>
      <x:c r="E4625" s="7" t="str">
        <x:v>CAL-CH-PEA-B-Y3-14-6</x:v>
      </x:c>
      <x:c r="F4625" s="7" t="str">
        <x:f>'Calibration Records'!M1674</x:f>
        <x:v>OPEN</x:v>
      </x:c>
    </x:row>
    <x:row r="4626">
      <x:c r="B4626" s="7" t="str">
        <x:v>AG-04620</x:v>
      </x:c>
      <x:c r="C4626" s="7" t="str">
        <x:v>PEA-B-Y3</x:v>
      </x:c>
      <x:c r="D4626" s="7" t="str">
        <x:v>factory calibration</x:v>
      </x:c>
      <x:c r="E4626" s="7" t="str">
        <x:v>CAL-CH-PEA-B-Y3-15-1</x:v>
      </x:c>
      <x:c r="F4626" s="7" t="str">
        <x:f>'Calibration Records'!M1675</x:f>
        <x:v>OPEN</x:v>
      </x:c>
    </x:row>
    <x:row r="4627">
      <x:c r="B4627" s="7" t="str">
        <x:v>AG-04621</x:v>
      </x:c>
      <x:c r="C4627" s="7" t="str">
        <x:v>PEA-B-Y3</x:v>
      </x:c>
      <x:c r="D4627" s="7" t="str">
        <x:v>factory calibration</x:v>
      </x:c>
      <x:c r="E4627" s="7" t="str">
        <x:v>CAL-CH-PEA-B-Y3-15-2</x:v>
      </x:c>
      <x:c r="F4627" s="7" t="str">
        <x:f>'Calibration Records'!M1676</x:f>
        <x:v>OPEN</x:v>
      </x:c>
    </x:row>
    <x:row r="4628">
      <x:c r="B4628" s="7" t="str">
        <x:v>AG-04622</x:v>
      </x:c>
      <x:c r="C4628" s="7" t="str">
        <x:v>PEA-B-Y3</x:v>
      </x:c>
      <x:c r="D4628" s="7" t="str">
        <x:v>factory calibration</x:v>
      </x:c>
      <x:c r="E4628" s="7" t="str">
        <x:v>CAL-CH-PEA-B-Y3-15-3</x:v>
      </x:c>
      <x:c r="F4628" s="7" t="str">
        <x:f>'Calibration Records'!M1677</x:f>
        <x:v>OPEN</x:v>
      </x:c>
    </x:row>
    <x:row r="4629">
      <x:c r="B4629" s="7" t="str">
        <x:v>AG-04623</x:v>
      </x:c>
      <x:c r="C4629" s="7" t="str">
        <x:v>PEA-B-Y3</x:v>
      </x:c>
      <x:c r="D4629" s="7" t="str">
        <x:v>factory calibration</x:v>
      </x:c>
      <x:c r="E4629" s="7" t="str">
        <x:v>CAL-CH-PEA-B-Y3-15-4</x:v>
      </x:c>
      <x:c r="F4629" s="7" t="str">
        <x:f>'Calibration Records'!M1678</x:f>
        <x:v>OPEN</x:v>
      </x:c>
    </x:row>
    <x:row r="4630">
      <x:c r="B4630" s="7" t="str">
        <x:v>AG-04624</x:v>
      </x:c>
      <x:c r="C4630" s="7" t="str">
        <x:v>PEA-B-Y3</x:v>
      </x:c>
      <x:c r="D4630" s="7" t="str">
        <x:v>factory calibration</x:v>
      </x:c>
      <x:c r="E4630" s="7" t="str">
        <x:v>CAL-CH-PEA-B-Y3-15-5</x:v>
      </x:c>
      <x:c r="F4630" s="7" t="str">
        <x:f>'Calibration Records'!M1679</x:f>
        <x:v>OPEN</x:v>
      </x:c>
    </x:row>
    <x:row r="4631">
      <x:c r="B4631" s="7" t="str">
        <x:v>AG-04625</x:v>
      </x:c>
      <x:c r="C4631" s="7" t="str">
        <x:v>PEA-B-Y3</x:v>
      </x:c>
      <x:c r="D4631" s="7" t="str">
        <x:v>factory calibration</x:v>
      </x:c>
      <x:c r="E4631" s="7" t="str">
        <x:v>CAL-CH-PEA-B-Y3-15-6</x:v>
      </x:c>
      <x:c r="F4631" s="7" t="str">
        <x:f>'Calibration Records'!M1680</x:f>
        <x:v>OPEN</x:v>
      </x:c>
    </x:row>
    <x:row r="4632">
      <x:c r="B4632" s="7" t="str">
        <x:v>AG-04626</x:v>
      </x:c>
      <x:c r="C4632" s="7" t="str">
        <x:v>PEA-B-Y3</x:v>
      </x:c>
      <x:c r="D4632" s="7" t="str">
        <x:v>factory calibration</x:v>
      </x:c>
      <x:c r="E4632" s="7" t="str">
        <x:v>CAL-CH-PEA-B-Y3-16-1</x:v>
      </x:c>
      <x:c r="F4632" s="7" t="str">
        <x:f>'Calibration Records'!M1681</x:f>
        <x:v>OPEN</x:v>
      </x:c>
    </x:row>
    <x:row r="4633">
      <x:c r="B4633" s="7" t="str">
        <x:v>AG-04627</x:v>
      </x:c>
      <x:c r="C4633" s="7" t="str">
        <x:v>PEA-B-Y3</x:v>
      </x:c>
      <x:c r="D4633" s="7" t="str">
        <x:v>factory calibration</x:v>
      </x:c>
      <x:c r="E4633" s="7" t="str">
        <x:v>CAL-CH-PEA-B-Y3-16-2</x:v>
      </x:c>
      <x:c r="F4633" s="7" t="str">
        <x:f>'Calibration Records'!M1682</x:f>
        <x:v>OPEN</x:v>
      </x:c>
    </x:row>
    <x:row r="4634">
      <x:c r="B4634" s="7" t="str">
        <x:v>AG-04628</x:v>
      </x:c>
      <x:c r="C4634" s="7" t="str">
        <x:v>PEA-B-Y3</x:v>
      </x:c>
      <x:c r="D4634" s="7" t="str">
        <x:v>factory calibration</x:v>
      </x:c>
      <x:c r="E4634" s="7" t="str">
        <x:v>CAL-CH-PEA-B-Y3-16-3</x:v>
      </x:c>
      <x:c r="F4634" s="7" t="str">
        <x:f>'Calibration Records'!M1683</x:f>
        <x:v>OPEN</x:v>
      </x:c>
    </x:row>
    <x:row r="4635">
      <x:c r="B4635" s="7" t="str">
        <x:v>AG-04629</x:v>
      </x:c>
      <x:c r="C4635" s="7" t="str">
        <x:v>PEA-B-Y3</x:v>
      </x:c>
      <x:c r="D4635" s="7" t="str">
        <x:v>factory calibration</x:v>
      </x:c>
      <x:c r="E4635" s="7" t="str">
        <x:v>CAL-CH-PEA-B-Y3-16-4</x:v>
      </x:c>
      <x:c r="F4635" s="7" t="str">
        <x:f>'Calibration Records'!M1684</x:f>
        <x:v>OPEN</x:v>
      </x:c>
    </x:row>
    <x:row r="4636">
      <x:c r="B4636" s="7" t="str">
        <x:v>AG-04630</x:v>
      </x:c>
      <x:c r="C4636" s="7" t="str">
        <x:v>PEA-B-Y3</x:v>
      </x:c>
      <x:c r="D4636" s="7" t="str">
        <x:v>factory calibration</x:v>
      </x:c>
      <x:c r="E4636" s="7" t="str">
        <x:v>CAL-CH-PEA-B-Y3-16-5</x:v>
      </x:c>
      <x:c r="F4636" s="7" t="str">
        <x:f>'Calibration Records'!M1685</x:f>
        <x:v>OPEN</x:v>
      </x:c>
    </x:row>
    <x:row r="4637">
      <x:c r="B4637" s="7" t="str">
        <x:v>AG-04631</x:v>
      </x:c>
      <x:c r="C4637" s="7" t="str">
        <x:v>PEA-B-Y3</x:v>
      </x:c>
      <x:c r="D4637" s="7" t="str">
        <x:v>factory calibration</x:v>
      </x:c>
      <x:c r="E4637" s="7" t="str">
        <x:v>CAL-CH-PEA-B-Y3-16-6</x:v>
      </x:c>
      <x:c r="F4637" s="7" t="str">
        <x:f>'Calibration Records'!M1686</x:f>
        <x:v>OPEN</x:v>
      </x:c>
    </x:row>
    <x:row r="4638">
      <x:c r="B4638" s="7" t="str">
        <x:v>AG-04632</x:v>
      </x:c>
      <x:c r="C4638" s="7" t="str">
        <x:v>PEA-B-Y3</x:v>
      </x:c>
      <x:c r="D4638" s="7" t="str">
        <x:v>factory calibration</x:v>
      </x:c>
      <x:c r="E4638" s="7" t="str">
        <x:v>CAL-CH-PEA-B-Y3-17-1</x:v>
      </x:c>
      <x:c r="F4638" s="7" t="str">
        <x:f>'Calibration Records'!M1687</x:f>
        <x:v>OPEN</x:v>
      </x:c>
    </x:row>
    <x:row r="4639">
      <x:c r="B4639" s="7" t="str">
        <x:v>AG-04633</x:v>
      </x:c>
      <x:c r="C4639" s="7" t="str">
        <x:v>PEA-B-Y3</x:v>
      </x:c>
      <x:c r="D4639" s="7" t="str">
        <x:v>factory calibration</x:v>
      </x:c>
      <x:c r="E4639" s="7" t="str">
        <x:v>CAL-CH-PEA-B-Y3-17-2</x:v>
      </x:c>
      <x:c r="F4639" s="7" t="str">
        <x:f>'Calibration Records'!M1688</x:f>
        <x:v>OPEN</x:v>
      </x:c>
    </x:row>
    <x:row r="4640">
      <x:c r="B4640" s="7" t="str">
        <x:v>AG-04634</x:v>
      </x:c>
      <x:c r="C4640" s="7" t="str">
        <x:v>PEA-B-Y3</x:v>
      </x:c>
      <x:c r="D4640" s="7" t="str">
        <x:v>factory calibration</x:v>
      </x:c>
      <x:c r="E4640" s="7" t="str">
        <x:v>CAL-CH-PEA-B-Y3-17-3</x:v>
      </x:c>
      <x:c r="F4640" s="7" t="str">
        <x:f>'Calibration Records'!M1689</x:f>
        <x:v>OPEN</x:v>
      </x:c>
    </x:row>
    <x:row r="4641">
      <x:c r="B4641" s="7" t="str">
        <x:v>AG-04635</x:v>
      </x:c>
      <x:c r="C4641" s="7" t="str">
        <x:v>PEA-B-Y3</x:v>
      </x:c>
      <x:c r="D4641" s="7" t="str">
        <x:v>factory calibration</x:v>
      </x:c>
      <x:c r="E4641" s="7" t="str">
        <x:v>CAL-CH-PEA-B-Y3-17-4</x:v>
      </x:c>
      <x:c r="F4641" s="7" t="str">
        <x:f>'Calibration Records'!M1690</x:f>
        <x:v>OPEN</x:v>
      </x:c>
    </x:row>
    <x:row r="4642">
      <x:c r="B4642" s="7" t="str">
        <x:v>AG-04636</x:v>
      </x:c>
      <x:c r="C4642" s="7" t="str">
        <x:v>PEA-B-Y3</x:v>
      </x:c>
      <x:c r="D4642" s="7" t="str">
        <x:v>factory calibration</x:v>
      </x:c>
      <x:c r="E4642" s="7" t="str">
        <x:v>CAL-CH-PEA-B-Y3-17-5</x:v>
      </x:c>
      <x:c r="F4642" s="7" t="str">
        <x:f>'Calibration Records'!M1691</x:f>
        <x:v>OPEN</x:v>
      </x:c>
    </x:row>
    <x:row r="4643">
      <x:c r="B4643" s="7" t="str">
        <x:v>AG-04637</x:v>
      </x:c>
      <x:c r="C4643" s="7" t="str">
        <x:v>PEA-B-Y3</x:v>
      </x:c>
      <x:c r="D4643" s="7" t="str">
        <x:v>factory calibration</x:v>
      </x:c>
      <x:c r="E4643" s="7" t="str">
        <x:v>CAL-CH-PEA-B-Y3-17-6</x:v>
      </x:c>
      <x:c r="F4643" s="7" t="str">
        <x:f>'Calibration Records'!M1692</x:f>
        <x:v>OPEN</x:v>
      </x:c>
    </x:row>
    <x:row r="4644">
      <x:c r="B4644" s="7" t="str">
        <x:v>AG-04638</x:v>
      </x:c>
      <x:c r="C4644" s="7" t="str">
        <x:v>PEA-B-Y3</x:v>
      </x:c>
      <x:c r="D4644" s="7" t="str">
        <x:v>factory calibration</x:v>
      </x:c>
      <x:c r="E4644" s="7" t="str">
        <x:v>CAL-CH-PEA-B-Y3-18-1</x:v>
      </x:c>
      <x:c r="F4644" s="7" t="str">
        <x:f>'Calibration Records'!M1693</x:f>
        <x:v>OPEN</x:v>
      </x:c>
    </x:row>
    <x:row r="4645">
      <x:c r="B4645" s="7" t="str">
        <x:v>AG-04639</x:v>
      </x:c>
      <x:c r="C4645" s="7" t="str">
        <x:v>PEA-B-Y3</x:v>
      </x:c>
      <x:c r="D4645" s="7" t="str">
        <x:v>factory calibration</x:v>
      </x:c>
      <x:c r="E4645" s="7" t="str">
        <x:v>CAL-CH-PEA-B-Y3-18-2</x:v>
      </x:c>
      <x:c r="F4645" s="7" t="str">
        <x:f>'Calibration Records'!M1694</x:f>
        <x:v>OPEN</x:v>
      </x:c>
    </x:row>
    <x:row r="4646">
      <x:c r="B4646" s="7" t="str">
        <x:v>AG-04640</x:v>
      </x:c>
      <x:c r="C4646" s="7" t="str">
        <x:v>PEA-B-Y3</x:v>
      </x:c>
      <x:c r="D4646" s="7" t="str">
        <x:v>factory calibration</x:v>
      </x:c>
      <x:c r="E4646" s="7" t="str">
        <x:v>CAL-CH-PEA-B-Y3-18-3</x:v>
      </x:c>
      <x:c r="F4646" s="7" t="str">
        <x:f>'Calibration Records'!M1695</x:f>
        <x:v>OPEN</x:v>
      </x:c>
    </x:row>
    <x:row r="4647">
      <x:c r="B4647" s="7" t="str">
        <x:v>AG-04641</x:v>
      </x:c>
      <x:c r="C4647" s="7" t="str">
        <x:v>PEA-B-Y3</x:v>
      </x:c>
      <x:c r="D4647" s="7" t="str">
        <x:v>factory calibration</x:v>
      </x:c>
      <x:c r="E4647" s="7" t="str">
        <x:v>CAL-CH-PEA-B-Y3-18-4</x:v>
      </x:c>
      <x:c r="F4647" s="7" t="str">
        <x:f>'Calibration Records'!M1696</x:f>
        <x:v>OPEN</x:v>
      </x:c>
    </x:row>
    <x:row r="4648">
      <x:c r="B4648" s="7" t="str">
        <x:v>AG-04642</x:v>
      </x:c>
      <x:c r="C4648" s="7" t="str">
        <x:v>PEA-B-Y3</x:v>
      </x:c>
      <x:c r="D4648" s="7" t="str">
        <x:v>factory calibration</x:v>
      </x:c>
      <x:c r="E4648" s="7" t="str">
        <x:v>CAL-CH-PEA-B-Y3-18-5</x:v>
      </x:c>
      <x:c r="F4648" s="7" t="str">
        <x:f>'Calibration Records'!M1697</x:f>
        <x:v>OPEN</x:v>
      </x:c>
    </x:row>
    <x:row r="4649">
      <x:c r="B4649" s="7" t="str">
        <x:v>AG-04643</x:v>
      </x:c>
      <x:c r="C4649" s="7" t="str">
        <x:v>PEA-B-Y3</x:v>
      </x:c>
      <x:c r="D4649" s="7" t="str">
        <x:v>factory calibration</x:v>
      </x:c>
      <x:c r="E4649" s="7" t="str">
        <x:v>CAL-CH-PEA-B-Y3-18-6</x:v>
      </x:c>
      <x:c r="F4649" s="7" t="str">
        <x:f>'Calibration Records'!M1698</x:f>
        <x:v>OPEN</x:v>
      </x:c>
    </x:row>
    <x:row r="4650">
      <x:c r="B4650" s="7" t="str">
        <x:v>AG-04644</x:v>
      </x:c>
      <x:c r="C4650" s="7" t="str">
        <x:v>PEA-B-Y3</x:v>
      </x:c>
      <x:c r="D4650" s="7" t="str">
        <x:v>factory calibration</x:v>
      </x:c>
      <x:c r="E4650" s="7" t="str">
        <x:v>CAL-CH-PEA-B-Y3-19-1</x:v>
      </x:c>
      <x:c r="F4650" s="7" t="str">
        <x:f>'Calibration Records'!M1699</x:f>
        <x:v>OPEN</x:v>
      </x:c>
    </x:row>
    <x:row r="4651">
      <x:c r="B4651" s="7" t="str">
        <x:v>AG-04645</x:v>
      </x:c>
      <x:c r="C4651" s="7" t="str">
        <x:v>PEA-B-Y3</x:v>
      </x:c>
      <x:c r="D4651" s="7" t="str">
        <x:v>factory calibration</x:v>
      </x:c>
      <x:c r="E4651" s="7" t="str">
        <x:v>CAL-CH-PEA-B-Y3-19-2</x:v>
      </x:c>
      <x:c r="F4651" s="7" t="str">
        <x:f>'Calibration Records'!M1700</x:f>
        <x:v>OPEN</x:v>
      </x:c>
    </x:row>
    <x:row r="4652">
      <x:c r="B4652" s="7" t="str">
        <x:v>AG-04646</x:v>
      </x:c>
      <x:c r="C4652" s="7" t="str">
        <x:v>PEA-B-Y3</x:v>
      </x:c>
      <x:c r="D4652" s="7" t="str">
        <x:v>factory calibration</x:v>
      </x:c>
      <x:c r="E4652" s="7" t="str">
        <x:v>CAL-CH-PEA-B-Y3-19-3</x:v>
      </x:c>
      <x:c r="F4652" s="7" t="str">
        <x:f>'Calibration Records'!M1701</x:f>
        <x:v>OPEN</x:v>
      </x:c>
    </x:row>
    <x:row r="4653">
      <x:c r="B4653" s="7" t="str">
        <x:v>AG-04647</x:v>
      </x:c>
      <x:c r="C4653" s="7" t="str">
        <x:v>PEA-B-Y3</x:v>
      </x:c>
      <x:c r="D4653" s="7" t="str">
        <x:v>factory calibration</x:v>
      </x:c>
      <x:c r="E4653" s="7" t="str">
        <x:v>CAL-CH-PEA-B-Y3-19-4</x:v>
      </x:c>
      <x:c r="F4653" s="7" t="str">
        <x:f>'Calibration Records'!M1702</x:f>
        <x:v>OPEN</x:v>
      </x:c>
    </x:row>
    <x:row r="4654">
      <x:c r="B4654" s="7" t="str">
        <x:v>AG-04648</x:v>
      </x:c>
      <x:c r="C4654" s="7" t="str">
        <x:v>PEA-B-Y3</x:v>
      </x:c>
      <x:c r="D4654" s="7" t="str">
        <x:v>factory calibration</x:v>
      </x:c>
      <x:c r="E4654" s="7" t="str">
        <x:v>CAL-CH-PEA-B-Y3-19-5</x:v>
      </x:c>
      <x:c r="F4654" s="7" t="str">
        <x:f>'Calibration Records'!M1703</x:f>
        <x:v>OPEN</x:v>
      </x:c>
    </x:row>
    <x:row r="4655">
      <x:c r="B4655" s="7" t="str">
        <x:v>AG-04649</x:v>
      </x:c>
      <x:c r="C4655" s="7" t="str">
        <x:v>PEA-B-Y3</x:v>
      </x:c>
      <x:c r="D4655" s="7" t="str">
        <x:v>factory calibration</x:v>
      </x:c>
      <x:c r="E4655" s="7" t="str">
        <x:v>CAL-CH-PEA-B-Y3-19-6</x:v>
      </x:c>
      <x:c r="F4655" s="7" t="str">
        <x:f>'Calibration Records'!M1704</x:f>
        <x:v>OPEN</x:v>
      </x:c>
    </x:row>
    <x:row r="4656">
      <x:c r="B4656" s="7" t="str">
        <x:v>AG-04650</x:v>
      </x:c>
      <x:c r="C4656" s="7" t="str">
        <x:v>PEA-B-Y3</x:v>
      </x:c>
      <x:c r="D4656" s="7" t="str">
        <x:v>factory calibration</x:v>
      </x:c>
      <x:c r="E4656" s="7" t="str">
        <x:v>CAL-CH-PEA-B-Y3-20-1</x:v>
      </x:c>
      <x:c r="F4656" s="7" t="str">
        <x:f>'Calibration Records'!M1705</x:f>
        <x:v>OPEN</x:v>
      </x:c>
    </x:row>
    <x:row r="4657">
      <x:c r="B4657" s="7" t="str">
        <x:v>AG-04651</x:v>
      </x:c>
      <x:c r="C4657" s="7" t="str">
        <x:v>PEA-B-Y3</x:v>
      </x:c>
      <x:c r="D4657" s="7" t="str">
        <x:v>factory calibration</x:v>
      </x:c>
      <x:c r="E4657" s="7" t="str">
        <x:v>CAL-CH-PEA-B-Y3-20-2</x:v>
      </x:c>
      <x:c r="F4657" s="7" t="str">
        <x:f>'Calibration Records'!M1706</x:f>
        <x:v>OPEN</x:v>
      </x:c>
    </x:row>
    <x:row r="4658">
      <x:c r="B4658" s="7" t="str">
        <x:v>AG-04652</x:v>
      </x:c>
      <x:c r="C4658" s="7" t="str">
        <x:v>PEA-B-Y3</x:v>
      </x:c>
      <x:c r="D4658" s="7" t="str">
        <x:v>factory calibration</x:v>
      </x:c>
      <x:c r="E4658" s="7" t="str">
        <x:v>CAL-CH-PEA-B-Y3-20-3</x:v>
      </x:c>
      <x:c r="F4658" s="7" t="str">
        <x:f>'Calibration Records'!M1707</x:f>
        <x:v>OPEN</x:v>
      </x:c>
    </x:row>
    <x:row r="4659">
      <x:c r="B4659" s="7" t="str">
        <x:v>AG-04653</x:v>
      </x:c>
      <x:c r="C4659" s="7" t="str">
        <x:v>PEA-B-Y3</x:v>
      </x:c>
      <x:c r="D4659" s="7" t="str">
        <x:v>factory calibration</x:v>
      </x:c>
      <x:c r="E4659" s="7" t="str">
        <x:v>CAL-CH-PEA-B-Y3-20-4</x:v>
      </x:c>
      <x:c r="F4659" s="7" t="str">
        <x:f>'Calibration Records'!M1708</x:f>
        <x:v>OPEN</x:v>
      </x:c>
    </x:row>
    <x:row r="4660">
      <x:c r="B4660" s="7" t="str">
        <x:v>AG-04654</x:v>
      </x:c>
      <x:c r="C4660" s="7" t="str">
        <x:v>PEA-B-Y3</x:v>
      </x:c>
      <x:c r="D4660" s="7" t="str">
        <x:v>factory calibration</x:v>
      </x:c>
      <x:c r="E4660" s="7" t="str">
        <x:v>CAL-CH-PEA-B-Y3-20-5</x:v>
      </x:c>
      <x:c r="F4660" s="7" t="str">
        <x:f>'Calibration Records'!M1709</x:f>
        <x:v>OPEN</x:v>
      </x:c>
    </x:row>
    <x:row r="4661">
      <x:c r="B4661" s="7" t="str">
        <x:v>AG-04655</x:v>
      </x:c>
      <x:c r="C4661" s="7" t="str">
        <x:v>PEA-B-Y3</x:v>
      </x:c>
      <x:c r="D4661" s="7" t="str">
        <x:v>factory calibration</x:v>
      </x:c>
      <x:c r="E4661" s="7" t="str">
        <x:v>CAL-CH-PEA-B-Y3-20-6</x:v>
      </x:c>
      <x:c r="F4661" s="7" t="str">
        <x:f>'Calibration Records'!M1710</x:f>
        <x:v>OPEN</x:v>
      </x:c>
    </x:row>
    <x:row r="4662">
      <x:c r="B4662" s="7" t="str">
        <x:v>AG-04656</x:v>
      </x:c>
      <x:c r="C4662" s="7" t="str">
        <x:v>PEA-B-Y3</x:v>
      </x:c>
      <x:c r="D4662" s="7" t="str">
        <x:v>factory calibration</x:v>
      </x:c>
      <x:c r="E4662" s="7" t="str">
        <x:v>CAL-CH-PEA-B-Y3-21-1</x:v>
      </x:c>
      <x:c r="F4662" s="7" t="str">
        <x:f>'Calibration Records'!M1711</x:f>
        <x:v>OPEN</x:v>
      </x:c>
    </x:row>
    <x:row r="4663">
      <x:c r="B4663" s="7" t="str">
        <x:v>AG-04657</x:v>
      </x:c>
      <x:c r="C4663" s="7" t="str">
        <x:v>PEA-B-Y3</x:v>
      </x:c>
      <x:c r="D4663" s="7" t="str">
        <x:v>factory calibration</x:v>
      </x:c>
      <x:c r="E4663" s="7" t="str">
        <x:v>CAL-CH-PEA-B-Y3-21-2</x:v>
      </x:c>
      <x:c r="F4663" s="7" t="str">
        <x:f>'Calibration Records'!M1712</x:f>
        <x:v>OPEN</x:v>
      </x:c>
    </x:row>
    <x:row r="4664">
      <x:c r="B4664" s="7" t="str">
        <x:v>AG-04658</x:v>
      </x:c>
      <x:c r="C4664" s="7" t="str">
        <x:v>PEA-B-Y3</x:v>
      </x:c>
      <x:c r="D4664" s="7" t="str">
        <x:v>factory calibration</x:v>
      </x:c>
      <x:c r="E4664" s="7" t="str">
        <x:v>CAL-CH-PEA-B-Y3-21-3</x:v>
      </x:c>
      <x:c r="F4664" s="7" t="str">
        <x:f>'Calibration Records'!M1713</x:f>
        <x:v>OPEN</x:v>
      </x:c>
    </x:row>
    <x:row r="4665">
      <x:c r="B4665" s="7" t="str">
        <x:v>AG-04659</x:v>
      </x:c>
      <x:c r="C4665" s="7" t="str">
        <x:v>PEA-B-Y3</x:v>
      </x:c>
      <x:c r="D4665" s="7" t="str">
        <x:v>factory calibration</x:v>
      </x:c>
      <x:c r="E4665" s="7" t="str">
        <x:v>CAL-CH-PEA-B-Y3-21-4</x:v>
      </x:c>
      <x:c r="F4665" s="7" t="str">
        <x:f>'Calibration Records'!M1714</x:f>
        <x:v>OPEN</x:v>
      </x:c>
    </x:row>
    <x:row r="4666">
      <x:c r="B4666" s="7" t="str">
        <x:v>AG-04660</x:v>
      </x:c>
      <x:c r="C4666" s="7" t="str">
        <x:v>PEA-B-Y3</x:v>
      </x:c>
      <x:c r="D4666" s="7" t="str">
        <x:v>factory calibration</x:v>
      </x:c>
      <x:c r="E4666" s="7" t="str">
        <x:v>CAL-CH-PEA-B-Y3-21-5</x:v>
      </x:c>
      <x:c r="F4666" s="7" t="str">
        <x:f>'Calibration Records'!M1715</x:f>
        <x:v>OPEN</x:v>
      </x:c>
    </x:row>
    <x:row r="4667">
      <x:c r="B4667" s="7" t="str">
        <x:v>AG-04661</x:v>
      </x:c>
      <x:c r="C4667" s="7" t="str">
        <x:v>PEA-B-Y3</x:v>
      </x:c>
      <x:c r="D4667" s="7" t="str">
        <x:v>factory calibration</x:v>
      </x:c>
      <x:c r="E4667" s="7" t="str">
        <x:v>CAL-CH-PEA-B-Y3-21-6</x:v>
      </x:c>
      <x:c r="F4667" s="7" t="str">
        <x:f>'Calibration Records'!M1716</x:f>
        <x:v>OPEN</x:v>
      </x:c>
    </x:row>
    <x:row r="4668">
      <x:c r="B4668" s="7" t="str">
        <x:v>AG-04662</x:v>
      </x:c>
      <x:c r="C4668" s="7" t="str">
        <x:v>PEA-B-Y3</x:v>
      </x:c>
      <x:c r="D4668" s="7" t="str">
        <x:v>factory calibration</x:v>
      </x:c>
      <x:c r="E4668" s="7" t="str">
        <x:v>CAL-CH-PEA-B-Y3-22-1</x:v>
      </x:c>
      <x:c r="F4668" s="7" t="str">
        <x:f>'Calibration Records'!M1717</x:f>
        <x:v>OPEN</x:v>
      </x:c>
    </x:row>
    <x:row r="4669">
      <x:c r="B4669" s="7" t="str">
        <x:v>AG-04663</x:v>
      </x:c>
      <x:c r="C4669" s="7" t="str">
        <x:v>PEA-B-Y3</x:v>
      </x:c>
      <x:c r="D4669" s="7" t="str">
        <x:v>factory calibration</x:v>
      </x:c>
      <x:c r="E4669" s="7" t="str">
        <x:v>CAL-CH-PEA-B-Y3-22-2</x:v>
      </x:c>
      <x:c r="F4669" s="7" t="str">
        <x:f>'Calibration Records'!M1718</x:f>
        <x:v>OPEN</x:v>
      </x:c>
    </x:row>
    <x:row r="4670">
      <x:c r="B4670" s="7" t="str">
        <x:v>AG-04664</x:v>
      </x:c>
      <x:c r="C4670" s="7" t="str">
        <x:v>PEA-B-Y3</x:v>
      </x:c>
      <x:c r="D4670" s="7" t="str">
        <x:v>factory calibration</x:v>
      </x:c>
      <x:c r="E4670" s="7" t="str">
        <x:v>CAL-CH-PEA-B-Y3-22-3</x:v>
      </x:c>
      <x:c r="F4670" s="7" t="str">
        <x:f>'Calibration Records'!M1719</x:f>
        <x:v>OPEN</x:v>
      </x:c>
    </x:row>
    <x:row r="4671">
      <x:c r="B4671" s="7" t="str">
        <x:v>AG-04665</x:v>
      </x:c>
      <x:c r="C4671" s="7" t="str">
        <x:v>PEA-B-Y3</x:v>
      </x:c>
      <x:c r="D4671" s="7" t="str">
        <x:v>factory calibration</x:v>
      </x:c>
      <x:c r="E4671" s="7" t="str">
        <x:v>CAL-CH-PEA-B-Y3-22-4</x:v>
      </x:c>
      <x:c r="F4671" s="7" t="str">
        <x:f>'Calibration Records'!M1720</x:f>
        <x:v>OPEN</x:v>
      </x:c>
    </x:row>
    <x:row r="4672">
      <x:c r="B4672" s="7" t="str">
        <x:v>AG-04666</x:v>
      </x:c>
      <x:c r="C4672" s="7" t="str">
        <x:v>PEA-B-Y3</x:v>
      </x:c>
      <x:c r="D4672" s="7" t="str">
        <x:v>factory calibration</x:v>
      </x:c>
      <x:c r="E4672" s="7" t="str">
        <x:v>CAL-CH-PEA-B-Y3-22-5</x:v>
      </x:c>
      <x:c r="F4672" s="7" t="str">
        <x:f>'Calibration Records'!M1721</x:f>
        <x:v>OPEN</x:v>
      </x:c>
    </x:row>
    <x:row r="4673">
      <x:c r="B4673" s="7" t="str">
        <x:v>AG-04667</x:v>
      </x:c>
      <x:c r="C4673" s="7" t="str">
        <x:v>PEA-B-Y3</x:v>
      </x:c>
      <x:c r="D4673" s="7" t="str">
        <x:v>factory calibration</x:v>
      </x:c>
      <x:c r="E4673" s="7" t="str">
        <x:v>CAL-CH-PEA-B-Y3-22-6</x:v>
      </x:c>
      <x:c r="F4673" s="7" t="str">
        <x:f>'Calibration Records'!M1722</x:f>
        <x:v>OPEN</x:v>
      </x:c>
    </x:row>
    <x:row r="4674">
      <x:c r="B4674" s="7" t="str">
        <x:v>AG-04668</x:v>
      </x:c>
      <x:c r="C4674" s="7" t="str">
        <x:v>PEA-B-Y3</x:v>
      </x:c>
      <x:c r="D4674" s="7" t="str">
        <x:v>factory calibration</x:v>
      </x:c>
      <x:c r="E4674" s="7" t="str">
        <x:v>CAL-CH-PEA-B-Y3-23-1</x:v>
      </x:c>
      <x:c r="F4674" s="7" t="str">
        <x:f>'Calibration Records'!M1723</x:f>
        <x:v>OPEN</x:v>
      </x:c>
    </x:row>
    <x:row r="4675">
      <x:c r="B4675" s="7" t="str">
        <x:v>AG-04669</x:v>
      </x:c>
      <x:c r="C4675" s="7" t="str">
        <x:v>PEA-B-Y3</x:v>
      </x:c>
      <x:c r="D4675" s="7" t="str">
        <x:v>factory calibration</x:v>
      </x:c>
      <x:c r="E4675" s="7" t="str">
        <x:v>CAL-CH-PEA-B-Y3-23-2</x:v>
      </x:c>
      <x:c r="F4675" s="7" t="str">
        <x:f>'Calibration Records'!M1724</x:f>
        <x:v>OPEN</x:v>
      </x:c>
    </x:row>
    <x:row r="4676">
      <x:c r="B4676" s="7" t="str">
        <x:v>AG-04670</x:v>
      </x:c>
      <x:c r="C4676" s="7" t="str">
        <x:v>PEA-B-Y3</x:v>
      </x:c>
      <x:c r="D4676" s="7" t="str">
        <x:v>factory calibration</x:v>
      </x:c>
      <x:c r="E4676" s="7" t="str">
        <x:v>CAL-CH-PEA-B-Y3-23-3</x:v>
      </x:c>
      <x:c r="F4676" s="7" t="str">
        <x:f>'Calibration Records'!M1725</x:f>
        <x:v>OPEN</x:v>
      </x:c>
    </x:row>
    <x:row r="4677">
      <x:c r="B4677" s="7" t="str">
        <x:v>AG-04671</x:v>
      </x:c>
      <x:c r="C4677" s="7" t="str">
        <x:v>PEA-B-Y3</x:v>
      </x:c>
      <x:c r="D4677" s="7" t="str">
        <x:v>factory calibration</x:v>
      </x:c>
      <x:c r="E4677" s="7" t="str">
        <x:v>CAL-CH-PEA-B-Y3-23-4</x:v>
      </x:c>
      <x:c r="F4677" s="7" t="str">
        <x:f>'Calibration Records'!M1726</x:f>
        <x:v>OPEN</x:v>
      </x:c>
    </x:row>
    <x:row r="4678">
      <x:c r="B4678" s="7" t="str">
        <x:v>AG-04672</x:v>
      </x:c>
      <x:c r="C4678" s="7" t="str">
        <x:v>PEA-B-Y3</x:v>
      </x:c>
      <x:c r="D4678" s="7" t="str">
        <x:v>factory calibration</x:v>
      </x:c>
      <x:c r="E4678" s="7" t="str">
        <x:v>CAL-CH-PEA-B-Y3-23-5</x:v>
      </x:c>
      <x:c r="F4678" s="7" t="str">
        <x:f>'Calibration Records'!M1727</x:f>
        <x:v>OPEN</x:v>
      </x:c>
    </x:row>
    <x:row r="4679">
      <x:c r="B4679" s="7" t="str">
        <x:v>AG-04673</x:v>
      </x:c>
      <x:c r="C4679" s="7" t="str">
        <x:v>PEA-B-Y3</x:v>
      </x:c>
      <x:c r="D4679" s="7" t="str">
        <x:v>factory calibration</x:v>
      </x:c>
      <x:c r="E4679" s="7" t="str">
        <x:v>CAL-CH-PEA-B-Y3-23-6</x:v>
      </x:c>
      <x:c r="F4679" s="7" t="str">
        <x:f>'Calibration Records'!M1728</x:f>
        <x:v>OPEN</x:v>
      </x:c>
    </x:row>
    <x:row r="4680">
      <x:c r="B4680" s="7" t="str">
        <x:v>AG-04674</x:v>
      </x:c>
      <x:c r="C4680" s="7" t="str">
        <x:v>PEA-B-Y3</x:v>
      </x:c>
      <x:c r="D4680" s="7" t="str">
        <x:v>factory calibration</x:v>
      </x:c>
      <x:c r="E4680" s="7" t="str">
        <x:v>CAL-CH-PEA-B-Y3-24-1</x:v>
      </x:c>
      <x:c r="F4680" s="7" t="str">
        <x:f>'Calibration Records'!M1729</x:f>
        <x:v>OPEN</x:v>
      </x:c>
    </x:row>
    <x:row r="4681">
      <x:c r="B4681" s="7" t="str">
        <x:v>AG-04675</x:v>
      </x:c>
      <x:c r="C4681" s="7" t="str">
        <x:v>PEA-B-Y3</x:v>
      </x:c>
      <x:c r="D4681" s="7" t="str">
        <x:v>factory calibration</x:v>
      </x:c>
      <x:c r="E4681" s="7" t="str">
        <x:v>CAL-CH-PEA-B-Y3-24-2</x:v>
      </x:c>
      <x:c r="F4681" s="7" t="str">
        <x:f>'Calibration Records'!M1730</x:f>
        <x:v>OPEN</x:v>
      </x:c>
    </x:row>
    <x:row r="4682">
      <x:c r="B4682" s="7" t="str">
        <x:v>AG-04676</x:v>
      </x:c>
      <x:c r="C4682" s="7" t="str">
        <x:v>PEA-B-Y3</x:v>
      </x:c>
      <x:c r="D4682" s="7" t="str">
        <x:v>factory calibration</x:v>
      </x:c>
      <x:c r="E4682" s="7" t="str">
        <x:v>CAL-CH-PEA-B-Y3-24-3</x:v>
      </x:c>
      <x:c r="F4682" s="7" t="str">
        <x:f>'Calibration Records'!M1731</x:f>
        <x:v>OPEN</x:v>
      </x:c>
    </x:row>
    <x:row r="4683">
      <x:c r="B4683" s="7" t="str">
        <x:v>AG-04677</x:v>
      </x:c>
      <x:c r="C4683" s="7" t="str">
        <x:v>PEA-B-Y3</x:v>
      </x:c>
      <x:c r="D4683" s="7" t="str">
        <x:v>factory calibration</x:v>
      </x:c>
      <x:c r="E4683" s="7" t="str">
        <x:v>CAL-CH-PEA-B-Y3-24-4</x:v>
      </x:c>
      <x:c r="F4683" s="7" t="str">
        <x:f>'Calibration Records'!M1732</x:f>
        <x:v>OPEN</x:v>
      </x:c>
    </x:row>
    <x:row r="4684">
      <x:c r="B4684" s="7" t="str">
        <x:v>AG-04678</x:v>
      </x:c>
      <x:c r="C4684" s="7" t="str">
        <x:v>PEA-B-Y3</x:v>
      </x:c>
      <x:c r="D4684" s="7" t="str">
        <x:v>factory calibration</x:v>
      </x:c>
      <x:c r="E4684" s="7" t="str">
        <x:v>CAL-CH-PEA-B-Y3-24-5</x:v>
      </x:c>
      <x:c r="F4684" s="7" t="str">
        <x:f>'Calibration Records'!M1733</x:f>
        <x:v>OPEN</x:v>
      </x:c>
    </x:row>
    <x:row r="4685">
      <x:c r="B4685" s="7" t="str">
        <x:v>AG-04679</x:v>
      </x:c>
      <x:c r="C4685" s="7" t="str">
        <x:v>PEA-B-Y3</x:v>
      </x:c>
      <x:c r="D4685" s="7" t="str">
        <x:v>factory calibration</x:v>
      </x:c>
      <x:c r="E4685" s="7" t="str">
        <x:v>CAL-CH-PEA-B-Y3-24-6</x:v>
      </x:c>
      <x:c r="F4685" s="7" t="str">
        <x:f>'Calibration Records'!M1734</x:f>
        <x:v>OPEN</x:v>
      </x:c>
    </x:row>
    <x:row r="4686">
      <x:c r="B4686" s="7" t="str">
        <x:v>AG-04680</x:v>
      </x:c>
      <x:c r="C4686" s="7" t="str">
        <x:v>PEA-B-Y3</x:v>
      </x:c>
      <x:c r="D4686" s="7" t="str">
        <x:v>article master</x:v>
      </x:c>
      <x:c r="E4686" s="7" t="str">
        <x:v>PEA-B-Y3</x:v>
      </x:c>
      <x:c r="F4686" s="7" t="str">
        <x:f>'Article Population'!Q18</x:f>
        <x:v>OPEN</x:v>
      </x:c>
    </x:row>
    <x:row r="4687">
      <x:c r="B4687" s="7" t="str">
        <x:v>AG-04681</x:v>
      </x:c>
      <x:c r="C4687" s="7" t="str">
        <x:v>PEA-C-X1</x:v>
      </x:c>
      <x:c r="D4687" s="7" t="str">
        <x:v>lineage capsule</x:v>
      </x:c>
      <x:c r="E4687" s="7" t="str">
        <x:v>BL-X</x:v>
      </x:c>
      <x:c r="F4687" s="7" t="str">
        <x:f>'Baseline Package'!F7</x:f>
        <x:v>OPEN</x:v>
      </x:c>
    </x:row>
    <x:row r="4688">
      <x:c r="B4688" s="7" t="str">
        <x:v>AG-04682</x:v>
      </x:c>
      <x:c r="C4688" s="7" t="str">
        <x:v>PEA-C-X1</x:v>
      </x:c>
      <x:c r="D4688" s="7" t="str">
        <x:v>builder qualification</x:v>
      </x:c>
      <x:c r="E4688" s="7" t="str">
        <x:v>BLD-C</x:v>
      </x:c>
      <x:c r="F4688" s="7" t="str">
        <x:f>Builders!K9</x:f>
        <x:v>OPEN</x:v>
      </x:c>
    </x:row>
    <x:row r="4689">
      <x:c r="B4689" s="7" t="str">
        <x:v>AG-04683</x:v>
      </x:c>
      <x:c r="C4689" s="7" t="str">
        <x:v>PEA-C-X1</x:v>
      </x:c>
      <x:c r="D4689" s="7" t="str">
        <x:v>material split</x:v>
      </x:c>
      <x:c r="E4689" s="7" t="str">
        <x:v>SPLIT-PEA-C-X1</x:v>
      </x:c>
      <x:c r="F4689" s="7" t="str">
        <x:f>'Material Matrix'!K19</x:f>
        <x:v>OPEN</x:v>
      </x:c>
    </x:row>
    <x:row r="4690">
      <x:c r="B4690" s="7" t="str">
        <x:v>AG-04684</x:v>
      </x:c>
      <x:c r="C4690" s="7" t="str">
        <x:v>PEA-C-X1</x:v>
      </x:c>
      <x:c r="D4690" s="7" t="str">
        <x:v>build sequence</x:v>
      </x:c>
      <x:c r="E4690" s="7" t="str">
        <x:v>SEQ-PEA-C-X1</x:v>
      </x:c>
      <x:c r="F4690" s="7" t="str">
        <x:f>'Build Sequence'!L19</x:f>
        <x:v>OPEN</x:v>
      </x:c>
    </x:row>
    <x:row r="4691">
      <x:c r="B4691" s="7" t="str">
        <x:v>AG-04685</x:v>
      </x:c>
      <x:c r="C4691" s="7" t="str">
        <x:v>PEA-C-X1</x:v>
      </x:c>
      <x:c r="D4691" s="7" t="str">
        <x:v>section traveler</x:v>
      </x:c>
      <x:c r="E4691" s="7" t="str">
        <x:v>TRV-PEA-C-X1-01</x:v>
      </x:c>
      <x:c r="F4691" s="7" t="str">
        <x:f>'Section Travelers'!L247</x:f>
        <x:v>OPEN</x:v>
      </x:c>
    </x:row>
    <x:row r="4692">
      <x:c r="B4692" s="7" t="str">
        <x:v>AG-04686</x:v>
      </x:c>
      <x:c r="C4692" s="7" t="str">
        <x:v>PEA-C-X1</x:v>
      </x:c>
      <x:c r="D4692" s="7" t="str">
        <x:v>section traveler</x:v>
      </x:c>
      <x:c r="E4692" s="7" t="str">
        <x:v>TRV-PEA-C-X1-02</x:v>
      </x:c>
      <x:c r="F4692" s="7" t="str">
        <x:f>'Section Travelers'!L248</x:f>
        <x:v>OPEN</x:v>
      </x:c>
    </x:row>
    <x:row r="4693">
      <x:c r="B4693" s="7" t="str">
        <x:v>AG-04687</x:v>
      </x:c>
      <x:c r="C4693" s="7" t="str">
        <x:v>PEA-C-X1</x:v>
      </x:c>
      <x:c r="D4693" s="7" t="str">
        <x:v>section traveler</x:v>
      </x:c>
      <x:c r="E4693" s="7" t="str">
        <x:v>TRV-PEA-C-X1-03</x:v>
      </x:c>
      <x:c r="F4693" s="7" t="str">
        <x:f>'Section Travelers'!L249</x:f>
        <x:v>OPEN</x:v>
      </x:c>
    </x:row>
    <x:row r="4694">
      <x:c r="B4694" s="7" t="str">
        <x:v>AG-04688</x:v>
      </x:c>
      <x:c r="C4694" s="7" t="str">
        <x:v>PEA-C-X1</x:v>
      </x:c>
      <x:c r="D4694" s="7" t="str">
        <x:v>section traveler</x:v>
      </x:c>
      <x:c r="E4694" s="7" t="str">
        <x:v>TRV-PEA-C-X1-04</x:v>
      </x:c>
      <x:c r="F4694" s="7" t="str">
        <x:f>'Section Travelers'!L250</x:f>
        <x:v>OPEN</x:v>
      </x:c>
    </x:row>
    <x:row r="4695">
      <x:c r="B4695" s="7" t="str">
        <x:v>AG-04689</x:v>
      </x:c>
      <x:c r="C4695" s="7" t="str">
        <x:v>PEA-C-X1</x:v>
      </x:c>
      <x:c r="D4695" s="7" t="str">
        <x:v>section traveler</x:v>
      </x:c>
      <x:c r="E4695" s="7" t="str">
        <x:v>TRV-PEA-C-X1-05</x:v>
      </x:c>
      <x:c r="F4695" s="7" t="str">
        <x:f>'Section Travelers'!L251</x:f>
        <x:v>OPEN</x:v>
      </x:c>
    </x:row>
    <x:row r="4696">
      <x:c r="B4696" s="7" t="str">
        <x:v>AG-04690</x:v>
      </x:c>
      <x:c r="C4696" s="7" t="str">
        <x:v>PEA-C-X1</x:v>
      </x:c>
      <x:c r="D4696" s="7" t="str">
        <x:v>section traveler</x:v>
      </x:c>
      <x:c r="E4696" s="7" t="str">
        <x:v>TRV-PEA-C-X1-06</x:v>
      </x:c>
      <x:c r="F4696" s="7" t="str">
        <x:f>'Section Travelers'!L252</x:f>
        <x:v>OPEN</x:v>
      </x:c>
    </x:row>
    <x:row r="4697">
      <x:c r="B4697" s="7" t="str">
        <x:v>AG-04691</x:v>
      </x:c>
      <x:c r="C4697" s="7" t="str">
        <x:v>PEA-C-X1</x:v>
      </x:c>
      <x:c r="D4697" s="7" t="str">
        <x:v>section traveler</x:v>
      </x:c>
      <x:c r="E4697" s="7" t="str">
        <x:v>TRV-PEA-C-X1-07</x:v>
      </x:c>
      <x:c r="F4697" s="7" t="str">
        <x:f>'Section Travelers'!L253</x:f>
        <x:v>OPEN</x:v>
      </x:c>
    </x:row>
    <x:row r="4698">
      <x:c r="B4698" s="7" t="str">
        <x:v>AG-04692</x:v>
      </x:c>
      <x:c r="C4698" s="7" t="str">
        <x:v>PEA-C-X1</x:v>
      </x:c>
      <x:c r="D4698" s="7" t="str">
        <x:v>section traveler</x:v>
      </x:c>
      <x:c r="E4698" s="7" t="str">
        <x:v>TRV-PEA-C-X1-08</x:v>
      </x:c>
      <x:c r="F4698" s="7" t="str">
        <x:f>'Section Travelers'!L254</x:f>
        <x:v>OPEN</x:v>
      </x:c>
    </x:row>
    <x:row r="4699">
      <x:c r="B4699" s="7" t="str">
        <x:v>AG-04693</x:v>
      </x:c>
      <x:c r="C4699" s="7" t="str">
        <x:v>PEA-C-X1</x:v>
      </x:c>
      <x:c r="D4699" s="7" t="str">
        <x:v>section traveler</x:v>
      </x:c>
      <x:c r="E4699" s="7" t="str">
        <x:v>TRV-PEA-C-X1-09</x:v>
      </x:c>
      <x:c r="F4699" s="7" t="str">
        <x:f>'Section Travelers'!L255</x:f>
        <x:v>OPEN</x:v>
      </x:c>
    </x:row>
    <x:row r="4700">
      <x:c r="B4700" s="7" t="str">
        <x:v>AG-04694</x:v>
      </x:c>
      <x:c r="C4700" s="7" t="str">
        <x:v>PEA-C-X1</x:v>
      </x:c>
      <x:c r="D4700" s="7" t="str">
        <x:v>section traveler</x:v>
      </x:c>
      <x:c r="E4700" s="7" t="str">
        <x:v>TRV-PEA-C-X1-10</x:v>
      </x:c>
      <x:c r="F4700" s="7" t="str">
        <x:f>'Section Travelers'!L256</x:f>
        <x:v>OPEN</x:v>
      </x:c>
    </x:row>
    <x:row r="4701">
      <x:c r="B4701" s="7" t="str">
        <x:v>AG-04695</x:v>
      </x:c>
      <x:c r="C4701" s="7" t="str">
        <x:v>PEA-C-X1</x:v>
      </x:c>
      <x:c r="D4701" s="7" t="str">
        <x:v>section traveler</x:v>
      </x:c>
      <x:c r="E4701" s="7" t="str">
        <x:v>TRV-PEA-C-X1-11</x:v>
      </x:c>
      <x:c r="F4701" s="7" t="str">
        <x:f>'Section Travelers'!L257</x:f>
        <x:v>OPEN</x:v>
      </x:c>
    </x:row>
    <x:row r="4702">
      <x:c r="B4702" s="7" t="str">
        <x:v>AG-04696</x:v>
      </x:c>
      <x:c r="C4702" s="7" t="str">
        <x:v>PEA-C-X1</x:v>
      </x:c>
      <x:c r="D4702" s="7" t="str">
        <x:v>section traveler</x:v>
      </x:c>
      <x:c r="E4702" s="7" t="str">
        <x:v>TRV-PEA-C-X1-12</x:v>
      </x:c>
      <x:c r="F4702" s="7" t="str">
        <x:f>'Section Travelers'!L258</x:f>
        <x:v>OPEN</x:v>
      </x:c>
    </x:row>
    <x:row r="4703">
      <x:c r="B4703" s="7" t="str">
        <x:v>AG-04697</x:v>
      </x:c>
      <x:c r="C4703" s="7" t="str">
        <x:v>PEA-C-X1</x:v>
      </x:c>
      <x:c r="D4703" s="7" t="str">
        <x:v>section traveler</x:v>
      </x:c>
      <x:c r="E4703" s="7" t="str">
        <x:v>TRV-PEA-C-X1-13</x:v>
      </x:c>
      <x:c r="F4703" s="7" t="str">
        <x:f>'Section Travelers'!L259</x:f>
        <x:v>OPEN</x:v>
      </x:c>
    </x:row>
    <x:row r="4704">
      <x:c r="B4704" s="7" t="str">
        <x:v>AG-04698</x:v>
      </x:c>
      <x:c r="C4704" s="7" t="str">
        <x:v>PEA-C-X1</x:v>
      </x:c>
      <x:c r="D4704" s="7" t="str">
        <x:v>section traveler</x:v>
      </x:c>
      <x:c r="E4704" s="7" t="str">
        <x:v>TRV-PEA-C-X1-14</x:v>
      </x:c>
      <x:c r="F4704" s="7" t="str">
        <x:f>'Section Travelers'!L260</x:f>
        <x:v>OPEN</x:v>
      </x:c>
    </x:row>
    <x:row r="4705">
      <x:c r="B4705" s="7" t="str">
        <x:v>AG-04699</x:v>
      </x:c>
      <x:c r="C4705" s="7" t="str">
        <x:v>PEA-C-X1</x:v>
      </x:c>
      <x:c r="D4705" s="7" t="str">
        <x:v>section traveler</x:v>
      </x:c>
      <x:c r="E4705" s="7" t="str">
        <x:v>TRV-PEA-C-X1-15</x:v>
      </x:c>
      <x:c r="F4705" s="7" t="str">
        <x:f>'Section Travelers'!L261</x:f>
        <x:v>OPEN</x:v>
      </x:c>
    </x:row>
    <x:row r="4706">
      <x:c r="B4706" s="7" t="str">
        <x:v>AG-04700</x:v>
      </x:c>
      <x:c r="C4706" s="7" t="str">
        <x:v>PEA-C-X1</x:v>
      </x:c>
      <x:c r="D4706" s="7" t="str">
        <x:v>section traveler</x:v>
      </x:c>
      <x:c r="E4706" s="7" t="str">
        <x:v>TRV-PEA-C-X1-16</x:v>
      </x:c>
      <x:c r="F4706" s="7" t="str">
        <x:f>'Section Travelers'!L262</x:f>
        <x:v>OPEN</x:v>
      </x:c>
    </x:row>
    <x:row r="4707">
      <x:c r="B4707" s="7" t="str">
        <x:v>AG-04701</x:v>
      </x:c>
      <x:c r="C4707" s="7" t="str">
        <x:v>PEA-C-X1</x:v>
      </x:c>
      <x:c r="D4707" s="7" t="str">
        <x:v>section traveler</x:v>
      </x:c>
      <x:c r="E4707" s="7" t="str">
        <x:v>TRV-PEA-C-X1-17</x:v>
      </x:c>
      <x:c r="F4707" s="7" t="str">
        <x:f>'Section Travelers'!L263</x:f>
        <x:v>OPEN</x:v>
      </x:c>
    </x:row>
    <x:row r="4708">
      <x:c r="B4708" s="7" t="str">
        <x:v>AG-04702</x:v>
      </x:c>
      <x:c r="C4708" s="7" t="str">
        <x:v>PEA-C-X1</x:v>
      </x:c>
      <x:c r="D4708" s="7" t="str">
        <x:v>section traveler</x:v>
      </x:c>
      <x:c r="E4708" s="7" t="str">
        <x:v>TRV-PEA-C-X1-18</x:v>
      </x:c>
      <x:c r="F4708" s="7" t="str">
        <x:f>'Section Travelers'!L264</x:f>
        <x:v>OPEN</x:v>
      </x:c>
    </x:row>
    <x:row r="4709">
      <x:c r="B4709" s="7" t="str">
        <x:v>AG-04703</x:v>
      </x:c>
      <x:c r="C4709" s="7" t="str">
        <x:v>PEA-C-X1</x:v>
      </x:c>
      <x:c r="D4709" s="7" t="str">
        <x:v>section traveler</x:v>
      </x:c>
      <x:c r="E4709" s="7" t="str">
        <x:v>TRV-PEA-C-X1-19</x:v>
      </x:c>
      <x:c r="F4709" s="7" t="str">
        <x:f>'Section Travelers'!L265</x:f>
        <x:v>OPEN</x:v>
      </x:c>
    </x:row>
    <x:row r="4710">
      <x:c r="B4710" s="7" t="str">
        <x:v>AG-04704</x:v>
      </x:c>
      <x:c r="C4710" s="7" t="str">
        <x:v>PEA-C-X1</x:v>
      </x:c>
      <x:c r="D4710" s="7" t="str">
        <x:v>section traveler</x:v>
      </x:c>
      <x:c r="E4710" s="7" t="str">
        <x:v>TRV-PEA-C-X1-20</x:v>
      </x:c>
      <x:c r="F4710" s="7" t="str">
        <x:f>'Section Travelers'!L266</x:f>
        <x:v>OPEN</x:v>
      </x:c>
    </x:row>
    <x:row r="4711">
      <x:c r="B4711" s="7" t="str">
        <x:v>AG-04705</x:v>
      </x:c>
      <x:c r="C4711" s="7" t="str">
        <x:v>PEA-C-X1</x:v>
      </x:c>
      <x:c r="D4711" s="7" t="str">
        <x:v>material coupon</x:v>
      </x:c>
      <x:c r="E4711" s="7" t="str">
        <x:v>CPN-PEA-C-X1-CJ-1</x:v>
      </x:c>
      <x:c r="F4711" s="7" t="str">
        <x:f>'Material Coupons'!K487</x:f>
        <x:v>OPEN</x:v>
      </x:c>
    </x:row>
    <x:row r="4712">
      <x:c r="B4712" s="7" t="str">
        <x:v>AG-04706</x:v>
      </x:c>
      <x:c r="C4712" s="7" t="str">
        <x:v>PEA-C-X1</x:v>
      </x:c>
      <x:c r="D4712" s="7" t="str">
        <x:v>material coupon</x:v>
      </x:c>
      <x:c r="E4712" s="7" t="str">
        <x:v>CPN-PEA-C-X1-CJ-2</x:v>
      </x:c>
      <x:c r="F4712" s="7" t="str">
        <x:f>'Material Coupons'!K488</x:f>
        <x:v>OPEN</x:v>
      </x:c>
    </x:row>
    <x:row r="4713">
      <x:c r="B4713" s="7" t="str">
        <x:v>AG-04707</x:v>
      </x:c>
      <x:c r="C4713" s="7" t="str">
        <x:v>PEA-C-X1</x:v>
      </x:c>
      <x:c r="D4713" s="7" t="str">
        <x:v>material coupon</x:v>
      </x:c>
      <x:c r="E4713" s="7" t="str">
        <x:v>CPN-PEA-C-X1-CJ-3</x:v>
      </x:c>
      <x:c r="F4713" s="7" t="str">
        <x:f>'Material Coupons'!K489</x:f>
        <x:v>OPEN</x:v>
      </x:c>
    </x:row>
    <x:row r="4714">
      <x:c r="B4714" s="7" t="str">
        <x:v>AG-04708</x:v>
      </x:c>
      <x:c r="C4714" s="7" t="str">
        <x:v>PEA-C-X1</x:v>
      </x:c>
      <x:c r="D4714" s="7" t="str">
        <x:v>material coupon</x:v>
      </x:c>
      <x:c r="E4714" s="7" t="str">
        <x:v>CPN-PEA-C-X1-CJ-4</x:v>
      </x:c>
      <x:c r="F4714" s="7" t="str">
        <x:f>'Material Coupons'!K490</x:f>
        <x:v>OPEN</x:v>
      </x:c>
    </x:row>
    <x:row r="4715">
      <x:c r="B4715" s="7" t="str">
        <x:v>AG-04709</x:v>
      </x:c>
      <x:c r="C4715" s="7" t="str">
        <x:v>PEA-C-X1</x:v>
      </x:c>
      <x:c r="D4715" s="7" t="str">
        <x:v>material coupon</x:v>
      </x:c>
      <x:c r="E4715" s="7" t="str">
        <x:v>CPN-PEA-C-X1-CJ-5</x:v>
      </x:c>
      <x:c r="F4715" s="7" t="str">
        <x:f>'Material Coupons'!K491</x:f>
        <x:v>OPEN</x:v>
      </x:c>
    </x:row>
    <x:row r="4716">
      <x:c r="B4716" s="7" t="str">
        <x:v>AG-04710</x:v>
      </x:c>
      <x:c r="C4716" s="7" t="str">
        <x:v>PEA-C-X1</x:v>
      </x:c>
      <x:c r="D4716" s="7" t="str">
        <x:v>material coupon</x:v>
      </x:c>
      <x:c r="E4716" s="7" t="str">
        <x:v>CPN-PEA-C-X1-CJ-6</x:v>
      </x:c>
      <x:c r="F4716" s="7" t="str">
        <x:f>'Material Coupons'!K492</x:f>
        <x:v>OPEN</x:v>
      </x:c>
    </x:row>
    <x:row r="4717">
      <x:c r="B4717" s="7" t="str">
        <x:v>AG-04711</x:v>
      </x:c>
      <x:c r="C4717" s="7" t="str">
        <x:v>PEA-C-X1</x:v>
      </x:c>
      <x:c r="D4717" s="7" t="str">
        <x:v>material coupon</x:v>
      </x:c>
      <x:c r="E4717" s="7" t="str">
        <x:v>CPN-PEA-C-X1-CJ-7</x:v>
      </x:c>
      <x:c r="F4717" s="7" t="str">
        <x:f>'Material Coupons'!K493</x:f>
        <x:v>OPEN</x:v>
      </x:c>
    </x:row>
    <x:row r="4718">
      <x:c r="B4718" s="7" t="str">
        <x:v>AG-04712</x:v>
      </x:c>
      <x:c r="C4718" s="7" t="str">
        <x:v>PEA-C-X1</x:v>
      </x:c>
      <x:c r="D4718" s="7" t="str">
        <x:v>material coupon</x:v>
      </x:c>
      <x:c r="E4718" s="7" t="str">
        <x:v>CPN-PEA-C-X1-CJ-8</x:v>
      </x:c>
      <x:c r="F4718" s="7" t="str">
        <x:f>'Material Coupons'!K494</x:f>
        <x:v>OPEN</x:v>
      </x:c>
    </x:row>
    <x:row r="4719">
      <x:c r="B4719" s="7" t="str">
        <x:v>AG-04713</x:v>
      </x:c>
      <x:c r="C4719" s="7" t="str">
        <x:v>PEA-C-X1</x:v>
      </x:c>
      <x:c r="D4719" s="7" t="str">
        <x:v>material coupon</x:v>
      </x:c>
      <x:c r="E4719" s="7" t="str">
        <x:v>CPN-PEA-C-X1-SE-1</x:v>
      </x:c>
      <x:c r="F4719" s="7" t="str">
        <x:f>'Material Coupons'!K495</x:f>
        <x:v>OPEN</x:v>
      </x:c>
    </x:row>
    <x:row r="4720">
      <x:c r="B4720" s="7" t="str">
        <x:v>AG-04714</x:v>
      </x:c>
      <x:c r="C4720" s="7" t="str">
        <x:v>PEA-C-X1</x:v>
      </x:c>
      <x:c r="D4720" s="7" t="str">
        <x:v>material coupon</x:v>
      </x:c>
      <x:c r="E4720" s="7" t="str">
        <x:v>CPN-PEA-C-X1-SE-2</x:v>
      </x:c>
      <x:c r="F4720" s="7" t="str">
        <x:f>'Material Coupons'!K496</x:f>
        <x:v>OPEN</x:v>
      </x:c>
    </x:row>
    <x:row r="4721">
      <x:c r="B4721" s="7" t="str">
        <x:v>AG-04715</x:v>
      </x:c>
      <x:c r="C4721" s="7" t="str">
        <x:v>PEA-C-X1</x:v>
      </x:c>
      <x:c r="D4721" s="7" t="str">
        <x:v>material coupon</x:v>
      </x:c>
      <x:c r="E4721" s="7" t="str">
        <x:v>CPN-PEA-C-X1-SE-3</x:v>
      </x:c>
      <x:c r="F4721" s="7" t="str">
        <x:f>'Material Coupons'!K497</x:f>
        <x:v>OPEN</x:v>
      </x:c>
    </x:row>
    <x:row r="4722">
      <x:c r="B4722" s="7" t="str">
        <x:v>AG-04716</x:v>
      </x:c>
      <x:c r="C4722" s="7" t="str">
        <x:v>PEA-C-X1</x:v>
      </x:c>
      <x:c r="D4722" s="7" t="str">
        <x:v>material coupon</x:v>
      </x:c>
      <x:c r="E4722" s="7" t="str">
        <x:v>CPN-PEA-C-X1-SE-4</x:v>
      </x:c>
      <x:c r="F4722" s="7" t="str">
        <x:f>'Material Coupons'!K498</x:f>
        <x:v>OPEN</x:v>
      </x:c>
    </x:row>
    <x:row r="4723">
      <x:c r="B4723" s="7" t="str">
        <x:v>AG-04717</x:v>
      </x:c>
      <x:c r="C4723" s="7" t="str">
        <x:v>PEA-C-X1</x:v>
      </x:c>
      <x:c r="D4723" s="7" t="str">
        <x:v>material coupon</x:v>
      </x:c>
      <x:c r="E4723" s="7" t="str">
        <x:v>CPN-PEA-C-X1-SE-5</x:v>
      </x:c>
      <x:c r="F4723" s="7" t="str">
        <x:f>'Material Coupons'!K499</x:f>
        <x:v>OPEN</x:v>
      </x:c>
    </x:row>
    <x:row r="4724">
      <x:c r="B4724" s="7" t="str">
        <x:v>AG-04718</x:v>
      </x:c>
      <x:c r="C4724" s="7" t="str">
        <x:v>PEA-C-X1</x:v>
      </x:c>
      <x:c r="D4724" s="7" t="str">
        <x:v>material coupon</x:v>
      </x:c>
      <x:c r="E4724" s="7" t="str">
        <x:v>CPN-PEA-C-X1-SE-6</x:v>
      </x:c>
      <x:c r="F4724" s="7" t="str">
        <x:f>'Material Coupons'!K500</x:f>
        <x:v>OPEN</x:v>
      </x:c>
    </x:row>
    <x:row r="4725">
      <x:c r="B4725" s="7" t="str">
        <x:v>AG-04719</x:v>
      </x:c>
      <x:c r="C4725" s="7" t="str">
        <x:v>PEA-C-X1</x:v>
      </x:c>
      <x:c r="D4725" s="7" t="str">
        <x:v>material coupon</x:v>
      </x:c>
      <x:c r="E4725" s="7" t="str">
        <x:v>CPN-PEA-C-X1-SE-7</x:v>
      </x:c>
      <x:c r="F4725" s="7" t="str">
        <x:f>'Material Coupons'!K501</x:f>
        <x:v>OPEN</x:v>
      </x:c>
    </x:row>
    <x:row r="4726">
      <x:c r="B4726" s="7" t="str">
        <x:v>AG-04720</x:v>
      </x:c>
      <x:c r="C4726" s="7" t="str">
        <x:v>PEA-C-X1</x:v>
      </x:c>
      <x:c r="D4726" s="7" t="str">
        <x:v>material coupon</x:v>
      </x:c>
      <x:c r="E4726" s="7" t="str">
        <x:v>CPN-PEA-C-X1-SE-8</x:v>
      </x:c>
      <x:c r="F4726" s="7" t="str">
        <x:f>'Material Coupons'!K502</x:f>
        <x:v>OPEN</x:v>
      </x:c>
    </x:row>
    <x:row r="4727">
      <x:c r="B4727" s="7" t="str">
        <x:v>AG-04721</x:v>
      </x:c>
      <x:c r="C4727" s="7" t="str">
        <x:v>PEA-C-X1</x:v>
      </x:c>
      <x:c r="D4727" s="7" t="str">
        <x:v>material coupon</x:v>
      </x:c>
      <x:c r="E4727" s="7" t="str">
        <x:v>CPN-PEA-C-X1-SF-1</x:v>
      </x:c>
      <x:c r="F4727" s="7" t="str">
        <x:f>'Material Coupons'!K503</x:f>
        <x:v>OPEN</x:v>
      </x:c>
    </x:row>
    <x:row r="4728">
      <x:c r="B4728" s="7" t="str">
        <x:v>AG-04722</x:v>
      </x:c>
      <x:c r="C4728" s="7" t="str">
        <x:v>PEA-C-X1</x:v>
      </x:c>
      <x:c r="D4728" s="7" t="str">
        <x:v>material coupon</x:v>
      </x:c>
      <x:c r="E4728" s="7" t="str">
        <x:v>CPN-PEA-C-X1-SF-2</x:v>
      </x:c>
      <x:c r="F4728" s="7" t="str">
        <x:f>'Material Coupons'!K504</x:f>
        <x:v>OPEN</x:v>
      </x:c>
    </x:row>
    <x:row r="4729">
      <x:c r="B4729" s="7" t="str">
        <x:v>AG-04723</x:v>
      </x:c>
      <x:c r="C4729" s="7" t="str">
        <x:v>PEA-C-X1</x:v>
      </x:c>
      <x:c r="D4729" s="7" t="str">
        <x:v>material coupon</x:v>
      </x:c>
      <x:c r="E4729" s="7" t="str">
        <x:v>CPN-PEA-C-X1-SF-3</x:v>
      </x:c>
      <x:c r="F4729" s="7" t="str">
        <x:f>'Material Coupons'!K505</x:f>
        <x:v>OPEN</x:v>
      </x:c>
    </x:row>
    <x:row r="4730">
      <x:c r="B4730" s="7" t="str">
        <x:v>AG-04724</x:v>
      </x:c>
      <x:c r="C4730" s="7" t="str">
        <x:v>PEA-C-X1</x:v>
      </x:c>
      <x:c r="D4730" s="7" t="str">
        <x:v>material coupon</x:v>
      </x:c>
      <x:c r="E4730" s="7" t="str">
        <x:v>CPN-PEA-C-X1-SF-4</x:v>
      </x:c>
      <x:c r="F4730" s="7" t="str">
        <x:f>'Material Coupons'!K506</x:f>
        <x:v>OPEN</x:v>
      </x:c>
    </x:row>
    <x:row r="4731">
      <x:c r="B4731" s="7" t="str">
        <x:v>AG-04725</x:v>
      </x:c>
      <x:c r="C4731" s="7" t="str">
        <x:v>PEA-C-X1</x:v>
      </x:c>
      <x:c r="D4731" s="7" t="str">
        <x:v>material coupon</x:v>
      </x:c>
      <x:c r="E4731" s="7" t="str">
        <x:v>CPN-PEA-C-X1-SF-5</x:v>
      </x:c>
      <x:c r="F4731" s="7" t="str">
        <x:f>'Material Coupons'!K507</x:f>
        <x:v>OPEN</x:v>
      </x:c>
    </x:row>
    <x:row r="4732">
      <x:c r="B4732" s="7" t="str">
        <x:v>AG-04726</x:v>
      </x:c>
      <x:c r="C4732" s="7" t="str">
        <x:v>PEA-C-X1</x:v>
      </x:c>
      <x:c r="D4732" s="7" t="str">
        <x:v>material coupon</x:v>
      </x:c>
      <x:c r="E4732" s="7" t="str">
        <x:v>CPN-PEA-C-X1-SF-6</x:v>
      </x:c>
      <x:c r="F4732" s="7" t="str">
        <x:f>'Material Coupons'!K508</x:f>
        <x:v>OPEN</x:v>
      </x:c>
    </x:row>
    <x:row r="4733">
      <x:c r="B4733" s="7" t="str">
        <x:v>AG-04727</x:v>
      </x:c>
      <x:c r="C4733" s="7" t="str">
        <x:v>PEA-C-X1</x:v>
      </x:c>
      <x:c r="D4733" s="7" t="str">
        <x:v>material coupon</x:v>
      </x:c>
      <x:c r="E4733" s="7" t="str">
        <x:v>CPN-PEA-C-X1-SF-7</x:v>
      </x:c>
      <x:c r="F4733" s="7" t="str">
        <x:f>'Material Coupons'!K509</x:f>
        <x:v>OPEN</x:v>
      </x:c>
    </x:row>
    <x:row r="4734">
      <x:c r="B4734" s="7" t="str">
        <x:v>AG-04728</x:v>
      </x:c>
      <x:c r="C4734" s="7" t="str">
        <x:v>PEA-C-X1</x:v>
      </x:c>
      <x:c r="D4734" s="7" t="str">
        <x:v>material coupon</x:v>
      </x:c>
      <x:c r="E4734" s="7" t="str">
        <x:v>CPN-PEA-C-X1-SF-8</x:v>
      </x:c>
      <x:c r="F4734" s="7" t="str">
        <x:f>'Material Coupons'!K510</x:f>
        <x:v>OPEN</x:v>
      </x:c>
    </x:row>
    <x:row r="4735">
      <x:c r="B4735" s="7" t="str">
        <x:v>AG-04729</x:v>
      </x:c>
      <x:c r="C4735" s="7" t="str">
        <x:v>PEA-C-X1</x:v>
      </x:c>
      <x:c r="D4735" s="7" t="str">
        <x:v>material coupon</x:v>
      </x:c>
      <x:c r="E4735" s="7" t="str">
        <x:v>CPN-PEA-C-X1-CP-1</x:v>
      </x:c>
      <x:c r="F4735" s="7" t="str">
        <x:f>'Material Coupons'!K511</x:f>
        <x:v>OPEN</x:v>
      </x:c>
    </x:row>
    <x:row r="4736">
      <x:c r="B4736" s="7" t="str">
        <x:v>AG-04730</x:v>
      </x:c>
      <x:c r="C4736" s="7" t="str">
        <x:v>PEA-C-X1</x:v>
      </x:c>
      <x:c r="D4736" s="7" t="str">
        <x:v>material coupon</x:v>
      </x:c>
      <x:c r="E4736" s="7" t="str">
        <x:v>CPN-PEA-C-X1-CP-2</x:v>
      </x:c>
      <x:c r="F4736" s="7" t="str">
        <x:f>'Material Coupons'!K512</x:f>
        <x:v>OPEN</x:v>
      </x:c>
    </x:row>
    <x:row r="4737">
      <x:c r="B4737" s="7" t="str">
        <x:v>AG-04731</x:v>
      </x:c>
      <x:c r="C4737" s="7" t="str">
        <x:v>PEA-C-X1</x:v>
      </x:c>
      <x:c r="D4737" s="7" t="str">
        <x:v>material coupon</x:v>
      </x:c>
      <x:c r="E4737" s="7" t="str">
        <x:v>CPN-PEA-C-X1-CP-3</x:v>
      </x:c>
      <x:c r="F4737" s="7" t="str">
        <x:f>'Material Coupons'!K513</x:f>
        <x:v>OPEN</x:v>
      </x:c>
    </x:row>
    <x:row r="4738">
      <x:c r="B4738" s="7" t="str">
        <x:v>AG-04732</x:v>
      </x:c>
      <x:c r="C4738" s="7" t="str">
        <x:v>PEA-C-X1</x:v>
      </x:c>
      <x:c r="D4738" s="7" t="str">
        <x:v>material coupon</x:v>
      </x:c>
      <x:c r="E4738" s="7" t="str">
        <x:v>CPN-PEA-C-X1-CP-4</x:v>
      </x:c>
      <x:c r="F4738" s="7" t="str">
        <x:f>'Material Coupons'!K514</x:f>
        <x:v>OPEN</x:v>
      </x:c>
    </x:row>
    <x:row r="4739">
      <x:c r="B4739" s="7" t="str">
        <x:v>AG-04733</x:v>
      </x:c>
      <x:c r="C4739" s="7" t="str">
        <x:v>PEA-C-X1</x:v>
      </x:c>
      <x:c r="D4739" s="7" t="str">
        <x:v>material coupon</x:v>
      </x:c>
      <x:c r="E4739" s="7" t="str">
        <x:v>CPN-PEA-C-X1-CP-5</x:v>
      </x:c>
      <x:c r="F4739" s="7" t="str">
        <x:f>'Material Coupons'!K515</x:f>
        <x:v>OPEN</x:v>
      </x:c>
    </x:row>
    <x:row r="4740">
      <x:c r="B4740" s="7" t="str">
        <x:v>AG-04734</x:v>
      </x:c>
      <x:c r="C4740" s="7" t="str">
        <x:v>PEA-C-X1</x:v>
      </x:c>
      <x:c r="D4740" s="7" t="str">
        <x:v>material coupon</x:v>
      </x:c>
      <x:c r="E4740" s="7" t="str">
        <x:v>CPN-PEA-C-X1-CP-6</x:v>
      </x:c>
      <x:c r="F4740" s="7" t="str">
        <x:f>'Material Coupons'!K516</x:f>
        <x:v>OPEN</x:v>
      </x:c>
    </x:row>
    <x:row r="4741">
      <x:c r="B4741" s="7" t="str">
        <x:v>AG-04735</x:v>
      </x:c>
      <x:c r="C4741" s="7" t="str">
        <x:v>PEA-C-X1</x:v>
      </x:c>
      <x:c r="D4741" s="7" t="str">
        <x:v>material coupon</x:v>
      </x:c>
      <x:c r="E4741" s="7" t="str">
        <x:v>CPN-PEA-C-X1-CP-7</x:v>
      </x:c>
      <x:c r="F4741" s="7" t="str">
        <x:f>'Material Coupons'!K517</x:f>
        <x:v>OPEN</x:v>
      </x:c>
    </x:row>
    <x:row r="4742">
      <x:c r="B4742" s="7" t="str">
        <x:v>AG-04736</x:v>
      </x:c>
      <x:c r="C4742" s="7" t="str">
        <x:v>PEA-C-X1</x:v>
      </x:c>
      <x:c r="D4742" s="7" t="str">
        <x:v>material coupon</x:v>
      </x:c>
      <x:c r="E4742" s="7" t="str">
        <x:v>CPN-PEA-C-X1-CP-8</x:v>
      </x:c>
      <x:c r="F4742" s="7" t="str">
        <x:f>'Material Coupons'!K518</x:f>
        <x:v>OPEN</x:v>
      </x:c>
    </x:row>
    <x:row r="4743">
      <x:c r="B4743" s="7" t="str">
        <x:v>AG-04737</x:v>
      </x:c>
      <x:c r="C4743" s="7" t="str">
        <x:v>PEA-C-X1</x:v>
      </x:c>
      <x:c r="D4743" s="7" t="str">
        <x:v>material coupon</x:v>
      </x:c>
      <x:c r="E4743" s="7" t="str">
        <x:v>CPN-PEA-C-X1-SM-1</x:v>
      </x:c>
      <x:c r="F4743" s="7" t="str">
        <x:f>'Material Coupons'!K519</x:f>
        <x:v>OPEN</x:v>
      </x:c>
    </x:row>
    <x:row r="4744">
      <x:c r="B4744" s="7" t="str">
        <x:v>AG-04738</x:v>
      </x:c>
      <x:c r="C4744" s="7" t="str">
        <x:v>PEA-C-X1</x:v>
      </x:c>
      <x:c r="D4744" s="7" t="str">
        <x:v>material coupon</x:v>
      </x:c>
      <x:c r="E4744" s="7" t="str">
        <x:v>CPN-PEA-C-X1-SM-2</x:v>
      </x:c>
      <x:c r="F4744" s="7" t="str">
        <x:f>'Material Coupons'!K520</x:f>
        <x:v>OPEN</x:v>
      </x:c>
    </x:row>
    <x:row r="4745">
      <x:c r="B4745" s="7" t="str">
        <x:v>AG-04739</x:v>
      </x:c>
      <x:c r="C4745" s="7" t="str">
        <x:v>PEA-C-X1</x:v>
      </x:c>
      <x:c r="D4745" s="7" t="str">
        <x:v>material coupon</x:v>
      </x:c>
      <x:c r="E4745" s="7" t="str">
        <x:v>CPN-PEA-C-X1-SM-3</x:v>
      </x:c>
      <x:c r="F4745" s="7" t="str">
        <x:f>'Material Coupons'!K521</x:f>
        <x:v>OPEN</x:v>
      </x:c>
    </x:row>
    <x:row r="4746">
      <x:c r="B4746" s="7" t="str">
        <x:v>AG-04740</x:v>
      </x:c>
      <x:c r="C4746" s="7" t="str">
        <x:v>PEA-C-X1</x:v>
      </x:c>
      <x:c r="D4746" s="7" t="str">
        <x:v>material coupon</x:v>
      </x:c>
      <x:c r="E4746" s="7" t="str">
        <x:v>CPN-PEA-C-X1-SM-4</x:v>
      </x:c>
      <x:c r="F4746" s="7" t="str">
        <x:f>'Material Coupons'!K522</x:f>
        <x:v>OPEN</x:v>
      </x:c>
    </x:row>
    <x:row r="4747">
      <x:c r="B4747" s="7" t="str">
        <x:v>AG-04741</x:v>
      </x:c>
      <x:c r="C4747" s="7" t="str">
        <x:v>PEA-C-X1</x:v>
      </x:c>
      <x:c r="D4747" s="7" t="str">
        <x:v>material coupon</x:v>
      </x:c>
      <x:c r="E4747" s="7" t="str">
        <x:v>CPN-PEA-C-X1-SM-5</x:v>
      </x:c>
      <x:c r="F4747" s="7" t="str">
        <x:f>'Material Coupons'!K523</x:f>
        <x:v>OPEN</x:v>
      </x:c>
    </x:row>
    <x:row r="4748">
      <x:c r="B4748" s="7" t="str">
        <x:v>AG-04742</x:v>
      </x:c>
      <x:c r="C4748" s="7" t="str">
        <x:v>PEA-C-X1</x:v>
      </x:c>
      <x:c r="D4748" s="7" t="str">
        <x:v>material coupon</x:v>
      </x:c>
      <x:c r="E4748" s="7" t="str">
        <x:v>CPN-PEA-C-X1-SM-6</x:v>
      </x:c>
      <x:c r="F4748" s="7" t="str">
        <x:f>'Material Coupons'!K524</x:f>
        <x:v>OPEN</x:v>
      </x:c>
    </x:row>
    <x:row r="4749">
      <x:c r="B4749" s="7" t="str">
        <x:v>AG-04743</x:v>
      </x:c>
      <x:c r="C4749" s="7" t="str">
        <x:v>PEA-C-X1</x:v>
      </x:c>
      <x:c r="D4749" s="7" t="str">
        <x:v>material coupon</x:v>
      </x:c>
      <x:c r="E4749" s="7" t="str">
        <x:v>CPN-PEA-C-X1-SM-7</x:v>
      </x:c>
      <x:c r="F4749" s="7" t="str">
        <x:f>'Material Coupons'!K525</x:f>
        <x:v>OPEN</x:v>
      </x:c>
    </x:row>
    <x:row r="4750">
      <x:c r="B4750" s="7" t="str">
        <x:v>AG-04744</x:v>
      </x:c>
      <x:c r="C4750" s="7" t="str">
        <x:v>PEA-C-X1</x:v>
      </x:c>
      <x:c r="D4750" s="7" t="str">
        <x:v>material coupon</x:v>
      </x:c>
      <x:c r="E4750" s="7" t="str">
        <x:v>CPN-PEA-C-X1-SM-8</x:v>
      </x:c>
      <x:c r="F4750" s="7" t="str">
        <x:f>'Material Coupons'!K526</x:f>
        <x:v>OPEN</x:v>
      </x:c>
    </x:row>
    <x:row r="4751">
      <x:c r="B4751" s="7" t="str">
        <x:v>AG-04745</x:v>
      </x:c>
      <x:c r="C4751" s="7" t="str">
        <x:v>PEA-C-X1</x:v>
      </x:c>
      <x:c r="D4751" s="7" t="str">
        <x:v>NDE record</x:v>
      </x:c>
      <x:c r="E4751" s="7" t="str">
        <x:v>NDE-TRV-PEA-C-X1-01</x:v>
      </x:c>
      <x:c r="F4751" s="7" t="str">
        <x:f>'NDE Records'!L247</x:f>
        <x:v>OPEN</x:v>
      </x:c>
    </x:row>
    <x:row r="4752">
      <x:c r="B4752" s="7" t="str">
        <x:v>AG-04746</x:v>
      </x:c>
      <x:c r="C4752" s="7" t="str">
        <x:v>PEA-C-X1</x:v>
      </x:c>
      <x:c r="D4752" s="7" t="str">
        <x:v>NDE record</x:v>
      </x:c>
      <x:c r="E4752" s="7" t="str">
        <x:v>NDE-TRV-PEA-C-X1-02</x:v>
      </x:c>
      <x:c r="F4752" s="7" t="str">
        <x:f>'NDE Records'!L248</x:f>
        <x:v>OPEN</x:v>
      </x:c>
    </x:row>
    <x:row r="4753">
      <x:c r="B4753" s="7" t="str">
        <x:v>AG-04747</x:v>
      </x:c>
      <x:c r="C4753" s="7" t="str">
        <x:v>PEA-C-X1</x:v>
      </x:c>
      <x:c r="D4753" s="7" t="str">
        <x:v>NDE record</x:v>
      </x:c>
      <x:c r="E4753" s="7" t="str">
        <x:v>NDE-TRV-PEA-C-X1-03</x:v>
      </x:c>
      <x:c r="F4753" s="7" t="str">
        <x:f>'NDE Records'!L249</x:f>
        <x:v>OPEN</x:v>
      </x:c>
    </x:row>
    <x:row r="4754">
      <x:c r="B4754" s="7" t="str">
        <x:v>AG-04748</x:v>
      </x:c>
      <x:c r="C4754" s="7" t="str">
        <x:v>PEA-C-X1</x:v>
      </x:c>
      <x:c r="D4754" s="7" t="str">
        <x:v>NDE record</x:v>
      </x:c>
      <x:c r="E4754" s="7" t="str">
        <x:v>NDE-TRV-PEA-C-X1-04</x:v>
      </x:c>
      <x:c r="F4754" s="7" t="str">
        <x:f>'NDE Records'!L250</x:f>
        <x:v>OPEN</x:v>
      </x:c>
    </x:row>
    <x:row r="4755">
      <x:c r="B4755" s="7" t="str">
        <x:v>AG-04749</x:v>
      </x:c>
      <x:c r="C4755" s="7" t="str">
        <x:v>PEA-C-X1</x:v>
      </x:c>
      <x:c r="D4755" s="7" t="str">
        <x:v>NDE record</x:v>
      </x:c>
      <x:c r="E4755" s="7" t="str">
        <x:v>NDE-TRV-PEA-C-X1-05</x:v>
      </x:c>
      <x:c r="F4755" s="7" t="str">
        <x:f>'NDE Records'!L251</x:f>
        <x:v>OPEN</x:v>
      </x:c>
    </x:row>
    <x:row r="4756">
      <x:c r="B4756" s="7" t="str">
        <x:v>AG-04750</x:v>
      </x:c>
      <x:c r="C4756" s="7" t="str">
        <x:v>PEA-C-X1</x:v>
      </x:c>
      <x:c r="D4756" s="7" t="str">
        <x:v>NDE record</x:v>
      </x:c>
      <x:c r="E4756" s="7" t="str">
        <x:v>NDE-TRV-PEA-C-X1-06</x:v>
      </x:c>
      <x:c r="F4756" s="7" t="str">
        <x:f>'NDE Records'!L252</x:f>
        <x:v>OPEN</x:v>
      </x:c>
    </x:row>
    <x:row r="4757">
      <x:c r="B4757" s="7" t="str">
        <x:v>AG-04751</x:v>
      </x:c>
      <x:c r="C4757" s="7" t="str">
        <x:v>PEA-C-X1</x:v>
      </x:c>
      <x:c r="D4757" s="7" t="str">
        <x:v>NDE record</x:v>
      </x:c>
      <x:c r="E4757" s="7" t="str">
        <x:v>NDE-TRV-PEA-C-X1-07</x:v>
      </x:c>
      <x:c r="F4757" s="7" t="str">
        <x:f>'NDE Records'!L253</x:f>
        <x:v>OPEN</x:v>
      </x:c>
    </x:row>
    <x:row r="4758">
      <x:c r="B4758" s="7" t="str">
        <x:v>AG-04752</x:v>
      </x:c>
      <x:c r="C4758" s="7" t="str">
        <x:v>PEA-C-X1</x:v>
      </x:c>
      <x:c r="D4758" s="7" t="str">
        <x:v>NDE record</x:v>
      </x:c>
      <x:c r="E4758" s="7" t="str">
        <x:v>NDE-TRV-PEA-C-X1-08</x:v>
      </x:c>
      <x:c r="F4758" s="7" t="str">
        <x:f>'NDE Records'!L254</x:f>
        <x:v>OPEN</x:v>
      </x:c>
    </x:row>
    <x:row r="4759">
      <x:c r="B4759" s="7" t="str">
        <x:v>AG-04753</x:v>
      </x:c>
      <x:c r="C4759" s="7" t="str">
        <x:v>PEA-C-X1</x:v>
      </x:c>
      <x:c r="D4759" s="7" t="str">
        <x:v>NDE record</x:v>
      </x:c>
      <x:c r="E4759" s="7" t="str">
        <x:v>NDE-TRV-PEA-C-X1-09</x:v>
      </x:c>
      <x:c r="F4759" s="7" t="str">
        <x:f>'NDE Records'!L255</x:f>
        <x:v>OPEN</x:v>
      </x:c>
    </x:row>
    <x:row r="4760">
      <x:c r="B4760" s="7" t="str">
        <x:v>AG-04754</x:v>
      </x:c>
      <x:c r="C4760" s="7" t="str">
        <x:v>PEA-C-X1</x:v>
      </x:c>
      <x:c r="D4760" s="7" t="str">
        <x:v>NDE record</x:v>
      </x:c>
      <x:c r="E4760" s="7" t="str">
        <x:v>NDE-TRV-PEA-C-X1-10</x:v>
      </x:c>
      <x:c r="F4760" s="7" t="str">
        <x:f>'NDE Records'!L256</x:f>
        <x:v>OPEN</x:v>
      </x:c>
    </x:row>
    <x:row r="4761">
      <x:c r="B4761" s="7" t="str">
        <x:v>AG-04755</x:v>
      </x:c>
      <x:c r="C4761" s="7" t="str">
        <x:v>PEA-C-X1</x:v>
      </x:c>
      <x:c r="D4761" s="7" t="str">
        <x:v>NDE record</x:v>
      </x:c>
      <x:c r="E4761" s="7" t="str">
        <x:v>NDE-TRV-PEA-C-X1-11</x:v>
      </x:c>
      <x:c r="F4761" s="7" t="str">
        <x:f>'NDE Records'!L257</x:f>
        <x:v>OPEN</x:v>
      </x:c>
    </x:row>
    <x:row r="4762">
      <x:c r="B4762" s="7" t="str">
        <x:v>AG-04756</x:v>
      </x:c>
      <x:c r="C4762" s="7" t="str">
        <x:v>PEA-C-X1</x:v>
      </x:c>
      <x:c r="D4762" s="7" t="str">
        <x:v>NDE record</x:v>
      </x:c>
      <x:c r="E4762" s="7" t="str">
        <x:v>NDE-TRV-PEA-C-X1-12</x:v>
      </x:c>
      <x:c r="F4762" s="7" t="str">
        <x:f>'NDE Records'!L258</x:f>
        <x:v>OPEN</x:v>
      </x:c>
    </x:row>
    <x:row r="4763">
      <x:c r="B4763" s="7" t="str">
        <x:v>AG-04757</x:v>
      </x:c>
      <x:c r="C4763" s="7" t="str">
        <x:v>PEA-C-X1</x:v>
      </x:c>
      <x:c r="D4763" s="7" t="str">
        <x:v>NDE record</x:v>
      </x:c>
      <x:c r="E4763" s="7" t="str">
        <x:v>NDE-TRV-PEA-C-X1-13</x:v>
      </x:c>
      <x:c r="F4763" s="7" t="str">
        <x:f>'NDE Records'!L259</x:f>
        <x:v>OPEN</x:v>
      </x:c>
    </x:row>
    <x:row r="4764">
      <x:c r="B4764" s="7" t="str">
        <x:v>AG-04758</x:v>
      </x:c>
      <x:c r="C4764" s="7" t="str">
        <x:v>PEA-C-X1</x:v>
      </x:c>
      <x:c r="D4764" s="7" t="str">
        <x:v>NDE record</x:v>
      </x:c>
      <x:c r="E4764" s="7" t="str">
        <x:v>NDE-TRV-PEA-C-X1-14</x:v>
      </x:c>
      <x:c r="F4764" s="7" t="str">
        <x:f>'NDE Records'!L260</x:f>
        <x:v>OPEN</x:v>
      </x:c>
    </x:row>
    <x:row r="4765">
      <x:c r="B4765" s="7" t="str">
        <x:v>AG-04759</x:v>
      </x:c>
      <x:c r="C4765" s="7" t="str">
        <x:v>PEA-C-X1</x:v>
      </x:c>
      <x:c r="D4765" s="7" t="str">
        <x:v>NDE record</x:v>
      </x:c>
      <x:c r="E4765" s="7" t="str">
        <x:v>NDE-TRV-PEA-C-X1-15</x:v>
      </x:c>
      <x:c r="F4765" s="7" t="str">
        <x:f>'NDE Records'!L261</x:f>
        <x:v>OPEN</x:v>
      </x:c>
    </x:row>
    <x:row r="4766">
      <x:c r="B4766" s="7" t="str">
        <x:v>AG-04760</x:v>
      </x:c>
      <x:c r="C4766" s="7" t="str">
        <x:v>PEA-C-X1</x:v>
      </x:c>
      <x:c r="D4766" s="7" t="str">
        <x:v>NDE record</x:v>
      </x:c>
      <x:c r="E4766" s="7" t="str">
        <x:v>NDE-TRV-PEA-C-X1-16</x:v>
      </x:c>
      <x:c r="F4766" s="7" t="str">
        <x:f>'NDE Records'!L262</x:f>
        <x:v>OPEN</x:v>
      </x:c>
    </x:row>
    <x:row r="4767">
      <x:c r="B4767" s="7" t="str">
        <x:v>AG-04761</x:v>
      </x:c>
      <x:c r="C4767" s="7" t="str">
        <x:v>PEA-C-X1</x:v>
      </x:c>
      <x:c r="D4767" s="7" t="str">
        <x:v>NDE record</x:v>
      </x:c>
      <x:c r="E4767" s="7" t="str">
        <x:v>NDE-TRV-PEA-C-X1-17</x:v>
      </x:c>
      <x:c r="F4767" s="7" t="str">
        <x:f>'NDE Records'!L263</x:f>
        <x:v>OPEN</x:v>
      </x:c>
    </x:row>
    <x:row r="4768">
      <x:c r="B4768" s="7" t="str">
        <x:v>AG-04762</x:v>
      </x:c>
      <x:c r="C4768" s="7" t="str">
        <x:v>PEA-C-X1</x:v>
      </x:c>
      <x:c r="D4768" s="7" t="str">
        <x:v>NDE record</x:v>
      </x:c>
      <x:c r="E4768" s="7" t="str">
        <x:v>NDE-TRV-PEA-C-X1-18</x:v>
      </x:c>
      <x:c r="F4768" s="7" t="str">
        <x:f>'NDE Records'!L264</x:f>
        <x:v>OPEN</x:v>
      </x:c>
    </x:row>
    <x:row r="4769">
      <x:c r="B4769" s="7" t="str">
        <x:v>AG-04763</x:v>
      </x:c>
      <x:c r="C4769" s="7" t="str">
        <x:v>PEA-C-X1</x:v>
      </x:c>
      <x:c r="D4769" s="7" t="str">
        <x:v>NDE record</x:v>
      </x:c>
      <x:c r="E4769" s="7" t="str">
        <x:v>NDE-TRV-PEA-C-X1-19</x:v>
      </x:c>
      <x:c r="F4769" s="7" t="str">
        <x:f>'NDE Records'!L265</x:f>
        <x:v>OPEN</x:v>
      </x:c>
    </x:row>
    <x:row r="4770">
      <x:c r="B4770" s="7" t="str">
        <x:v>AG-04764</x:v>
      </x:c>
      <x:c r="C4770" s="7" t="str">
        <x:v>PEA-C-X1</x:v>
      </x:c>
      <x:c r="D4770" s="7" t="str">
        <x:v>NDE record</x:v>
      </x:c>
      <x:c r="E4770" s="7" t="str">
        <x:v>NDE-TRV-PEA-C-X1-20</x:v>
      </x:c>
      <x:c r="F4770" s="7" t="str">
        <x:f>'NDE Records'!L266</x:f>
        <x:v>OPEN</x:v>
      </x:c>
    </x:row>
    <x:row r="4771">
      <x:c r="B4771" s="7" t="str">
        <x:v>AG-04765</x:v>
      </x:c>
      <x:c r="C4771" s="7" t="str">
        <x:v>PEA-C-X1</x:v>
      </x:c>
      <x:c r="D4771" s="7" t="str">
        <x:v>joint record</x:v>
      </x:c>
      <x:c r="E4771" s="7" t="str">
        <x:v>JNT-PEA-C-X1-1</x:v>
      </x:c>
      <x:c r="F4771" s="7" t="str">
        <x:f>'Joint Records'!M67</x:f>
        <x:v>OPEN</x:v>
      </x:c>
    </x:row>
    <x:row r="4772">
      <x:c r="B4772" s="7" t="str">
        <x:v>AG-04766</x:v>
      </x:c>
      <x:c r="C4772" s="7" t="str">
        <x:v>PEA-C-X1</x:v>
      </x:c>
      <x:c r="D4772" s="7" t="str">
        <x:v>joint record</x:v>
      </x:c>
      <x:c r="E4772" s="7" t="str">
        <x:v>JNT-PEA-C-X1-2</x:v>
      </x:c>
      <x:c r="F4772" s="7" t="str">
        <x:f>'Joint Records'!M68</x:f>
        <x:v>OPEN</x:v>
      </x:c>
    </x:row>
    <x:row r="4773">
      <x:c r="B4773" s="7" t="str">
        <x:v>AG-04767</x:v>
      </x:c>
      <x:c r="C4773" s="7" t="str">
        <x:v>PEA-C-X1</x:v>
      </x:c>
      <x:c r="D4773" s="7" t="str">
        <x:v>joint record</x:v>
      </x:c>
      <x:c r="E4773" s="7" t="str">
        <x:v>JNT-PEA-C-X1-3</x:v>
      </x:c>
      <x:c r="F4773" s="7" t="str">
        <x:f>'Joint Records'!M69</x:f>
        <x:v>OPEN</x:v>
      </x:c>
    </x:row>
    <x:row r="4774">
      <x:c r="B4774" s="7" t="str">
        <x:v>AG-04768</x:v>
      </x:c>
      <x:c r="C4774" s="7" t="str">
        <x:v>PEA-C-X1</x:v>
      </x:c>
      <x:c r="D4774" s="7" t="str">
        <x:v>joint record</x:v>
      </x:c>
      <x:c r="E4774" s="7" t="str">
        <x:v>JNT-PEA-C-X1-4</x:v>
      </x:c>
      <x:c r="F4774" s="7" t="str">
        <x:f>'Joint Records'!M70</x:f>
        <x:v>OPEN</x:v>
      </x:c>
    </x:row>
    <x:row r="4775">
      <x:c r="B4775" s="7" t="str">
        <x:v>AG-04769</x:v>
      </x:c>
      <x:c r="C4775" s="7" t="str">
        <x:v>PEA-C-X1</x:v>
      </x:c>
      <x:c r="D4775" s="7" t="str">
        <x:v>joint record</x:v>
      </x:c>
      <x:c r="E4775" s="7" t="str">
        <x:v>JNT-PEA-C-X1-5</x:v>
      </x:c>
      <x:c r="F4775" s="7" t="str">
        <x:f>'Joint Records'!M71</x:f>
        <x:v>OPEN</x:v>
      </x:c>
    </x:row>
    <x:row r="4776">
      <x:c r="B4776" s="7" t="str">
        <x:v>AG-04770</x:v>
      </x:c>
      <x:c r="C4776" s="7" t="str">
        <x:v>PEA-C-X1</x:v>
      </x:c>
      <x:c r="D4776" s="7" t="str">
        <x:v>control element</x:v>
      </x:c>
      <x:c r="E4776" s="7" t="str">
        <x:v>ELM-PEA-C-X1-01</x:v>
      </x:c>
      <x:c r="F4776" s="7" t="str">
        <x:f>'Control Elements'!L151</x:f>
        <x:v>OPEN</x:v>
      </x:c>
    </x:row>
    <x:row r="4777">
      <x:c r="B4777" s="7" t="str">
        <x:v>AG-04771</x:v>
      </x:c>
      <x:c r="C4777" s="7" t="str">
        <x:v>PEA-C-X1</x:v>
      </x:c>
      <x:c r="D4777" s="7" t="str">
        <x:v>control element</x:v>
      </x:c>
      <x:c r="E4777" s="7" t="str">
        <x:v>ELM-PEA-C-X1-02</x:v>
      </x:c>
      <x:c r="F4777" s="7" t="str">
        <x:f>'Control Elements'!L152</x:f>
        <x:v>OPEN</x:v>
      </x:c>
    </x:row>
    <x:row r="4778">
      <x:c r="B4778" s="7" t="str">
        <x:v>AG-04772</x:v>
      </x:c>
      <x:c r="C4778" s="7" t="str">
        <x:v>PEA-C-X1</x:v>
      </x:c>
      <x:c r="D4778" s="7" t="str">
        <x:v>control element</x:v>
      </x:c>
      <x:c r="E4778" s="7" t="str">
        <x:v>ELM-PEA-C-X1-03</x:v>
      </x:c>
      <x:c r="F4778" s="7" t="str">
        <x:f>'Control Elements'!L153</x:f>
        <x:v>OPEN</x:v>
      </x:c>
    </x:row>
    <x:row r="4779">
      <x:c r="B4779" s="7" t="str">
        <x:v>AG-04773</x:v>
      </x:c>
      <x:c r="C4779" s="7" t="str">
        <x:v>PEA-C-X1</x:v>
      </x:c>
      <x:c r="D4779" s="7" t="str">
        <x:v>control element</x:v>
      </x:c>
      <x:c r="E4779" s="7" t="str">
        <x:v>ELM-PEA-C-X1-04</x:v>
      </x:c>
      <x:c r="F4779" s="7" t="str">
        <x:f>'Control Elements'!L154</x:f>
        <x:v>OPEN</x:v>
      </x:c>
    </x:row>
    <x:row r="4780">
      <x:c r="B4780" s="7" t="str">
        <x:v>AG-04774</x:v>
      </x:c>
      <x:c r="C4780" s="7" t="str">
        <x:v>PEA-C-X1</x:v>
      </x:c>
      <x:c r="D4780" s="7" t="str">
        <x:v>control element</x:v>
      </x:c>
      <x:c r="E4780" s="7" t="str">
        <x:v>ELM-PEA-C-X1-05</x:v>
      </x:c>
      <x:c r="F4780" s="7" t="str">
        <x:f>'Control Elements'!L155</x:f>
        <x:v>OPEN</x:v>
      </x:c>
    </x:row>
    <x:row r="4781">
      <x:c r="B4781" s="7" t="str">
        <x:v>AG-04775</x:v>
      </x:c>
      <x:c r="C4781" s="7" t="str">
        <x:v>PEA-C-X1</x:v>
      </x:c>
      <x:c r="D4781" s="7" t="str">
        <x:v>control element</x:v>
      </x:c>
      <x:c r="E4781" s="7" t="str">
        <x:v>ELM-PEA-C-X1-06</x:v>
      </x:c>
      <x:c r="F4781" s="7" t="str">
        <x:f>'Control Elements'!L156</x:f>
        <x:v>OPEN</x:v>
      </x:c>
    </x:row>
    <x:row r="4782">
      <x:c r="B4782" s="7" t="str">
        <x:v>AG-04776</x:v>
      </x:c>
      <x:c r="C4782" s="7" t="str">
        <x:v>PEA-C-X1</x:v>
      </x:c>
      <x:c r="D4782" s="7" t="str">
        <x:v>control element</x:v>
      </x:c>
      <x:c r="E4782" s="7" t="str">
        <x:v>ELM-PEA-C-X1-07</x:v>
      </x:c>
      <x:c r="F4782" s="7" t="str">
        <x:f>'Control Elements'!L157</x:f>
        <x:v>OPEN</x:v>
      </x:c>
    </x:row>
    <x:row r="4783">
      <x:c r="B4783" s="7" t="str">
        <x:v>AG-04777</x:v>
      </x:c>
      <x:c r="C4783" s="7" t="str">
        <x:v>PEA-C-X1</x:v>
      </x:c>
      <x:c r="D4783" s="7" t="str">
        <x:v>control element</x:v>
      </x:c>
      <x:c r="E4783" s="7" t="str">
        <x:v>ELM-PEA-C-X1-08</x:v>
      </x:c>
      <x:c r="F4783" s="7" t="str">
        <x:f>'Control Elements'!L158</x:f>
        <x:v>OPEN</x:v>
      </x:c>
    </x:row>
    <x:row r="4784">
      <x:c r="B4784" s="7" t="str">
        <x:v>AG-04778</x:v>
      </x:c>
      <x:c r="C4784" s="7" t="str">
        <x:v>PEA-C-X1</x:v>
      </x:c>
      <x:c r="D4784" s="7" t="str">
        <x:v>control element</x:v>
      </x:c>
      <x:c r="E4784" s="7" t="str">
        <x:v>ELM-PEA-C-X1-09</x:v>
      </x:c>
      <x:c r="F4784" s="7" t="str">
        <x:f>'Control Elements'!L159</x:f>
        <x:v>OPEN</x:v>
      </x:c>
    </x:row>
    <x:row r="4785">
      <x:c r="B4785" s="7" t="str">
        <x:v>AG-04779</x:v>
      </x:c>
      <x:c r="C4785" s="7" t="str">
        <x:v>PEA-C-X1</x:v>
      </x:c>
      <x:c r="D4785" s="7" t="str">
        <x:v>control element</x:v>
      </x:c>
      <x:c r="E4785" s="7" t="str">
        <x:v>ELM-PEA-C-X1-10</x:v>
      </x:c>
      <x:c r="F4785" s="7" t="str">
        <x:f>'Control Elements'!L160</x:f>
        <x:v>OPEN</x:v>
      </x:c>
    </x:row>
    <x:row r="4786">
      <x:c r="B4786" s="7" t="str">
        <x:v>AG-04780</x:v>
      </x:c>
      <x:c r="C4786" s="7" t="str">
        <x:v>PEA-C-X1</x:v>
      </x:c>
      <x:c r="D4786" s="7" t="str">
        <x:v>control element</x:v>
      </x:c>
      <x:c r="E4786" s="7" t="str">
        <x:v>ELM-PEA-C-X1-11</x:v>
      </x:c>
      <x:c r="F4786" s="7" t="str">
        <x:f>'Control Elements'!L161</x:f>
        <x:v>OPEN</x:v>
      </x:c>
    </x:row>
    <x:row r="4787">
      <x:c r="B4787" s="7" t="str">
        <x:v>AG-04781</x:v>
      </x:c>
      <x:c r="C4787" s="7" t="str">
        <x:v>PEA-C-X1</x:v>
      </x:c>
      <x:c r="D4787" s="7" t="str">
        <x:v>control element</x:v>
      </x:c>
      <x:c r="E4787" s="7" t="str">
        <x:v>ELM-PEA-C-X1-12</x:v>
      </x:c>
      <x:c r="F4787" s="7" t="str">
        <x:f>'Control Elements'!L162</x:f>
        <x:v>OPEN</x:v>
      </x:c>
    </x:row>
    <x:row r="4788">
      <x:c r="B4788" s="7" t="str">
        <x:v>AG-04782</x:v>
      </x:c>
      <x:c r="C4788" s="7" t="str">
        <x:v>PEA-C-X1</x:v>
      </x:c>
      <x:c r="D4788" s="7" t="str">
        <x:v>channel instance</x:v>
      </x:c>
      <x:c r="E4788" s="7" t="str">
        <x:v>CH-PEA-C-X1-01-1</x:v>
      </x:c>
      <x:c r="F4788" s="7" t="str">
        <x:f>'Channel Instances'!O1735</x:f>
        <x:v>OPEN</x:v>
      </x:c>
    </x:row>
    <x:row r="4789">
      <x:c r="B4789" s="7" t="str">
        <x:v>AG-04783</x:v>
      </x:c>
      <x:c r="C4789" s="7" t="str">
        <x:v>PEA-C-X1</x:v>
      </x:c>
      <x:c r="D4789" s="7" t="str">
        <x:v>channel instance</x:v>
      </x:c>
      <x:c r="E4789" s="7" t="str">
        <x:v>CH-PEA-C-X1-01-2</x:v>
      </x:c>
      <x:c r="F4789" s="7" t="str">
        <x:f>'Channel Instances'!O1736</x:f>
        <x:v>OPEN</x:v>
      </x:c>
    </x:row>
    <x:row r="4790">
      <x:c r="B4790" s="7" t="str">
        <x:v>AG-04784</x:v>
      </x:c>
      <x:c r="C4790" s="7" t="str">
        <x:v>PEA-C-X1</x:v>
      </x:c>
      <x:c r="D4790" s="7" t="str">
        <x:v>channel instance</x:v>
      </x:c>
      <x:c r="E4790" s="7" t="str">
        <x:v>CH-PEA-C-X1-01-3</x:v>
      </x:c>
      <x:c r="F4790" s="7" t="str">
        <x:f>'Channel Instances'!O1737</x:f>
        <x:v>OPEN</x:v>
      </x:c>
    </x:row>
    <x:row r="4791">
      <x:c r="B4791" s="7" t="str">
        <x:v>AG-04785</x:v>
      </x:c>
      <x:c r="C4791" s="7" t="str">
        <x:v>PEA-C-X1</x:v>
      </x:c>
      <x:c r="D4791" s="7" t="str">
        <x:v>channel instance</x:v>
      </x:c>
      <x:c r="E4791" s="7" t="str">
        <x:v>CH-PEA-C-X1-01-4</x:v>
      </x:c>
      <x:c r="F4791" s="7" t="str">
        <x:f>'Channel Instances'!O1738</x:f>
        <x:v>OPEN</x:v>
      </x:c>
    </x:row>
    <x:row r="4792">
      <x:c r="B4792" s="7" t="str">
        <x:v>AG-04786</x:v>
      </x:c>
      <x:c r="C4792" s="7" t="str">
        <x:v>PEA-C-X1</x:v>
      </x:c>
      <x:c r="D4792" s="7" t="str">
        <x:v>channel instance</x:v>
      </x:c>
      <x:c r="E4792" s="7" t="str">
        <x:v>CH-PEA-C-X1-01-5</x:v>
      </x:c>
      <x:c r="F4792" s="7" t="str">
        <x:f>'Channel Instances'!O1739</x:f>
        <x:v>OPEN</x:v>
      </x:c>
    </x:row>
    <x:row r="4793">
      <x:c r="B4793" s="7" t="str">
        <x:v>AG-04787</x:v>
      </x:c>
      <x:c r="C4793" s="7" t="str">
        <x:v>PEA-C-X1</x:v>
      </x:c>
      <x:c r="D4793" s="7" t="str">
        <x:v>channel instance</x:v>
      </x:c>
      <x:c r="E4793" s="7" t="str">
        <x:v>CH-PEA-C-X1-01-6</x:v>
      </x:c>
      <x:c r="F4793" s="7" t="str">
        <x:f>'Channel Instances'!O1740</x:f>
        <x:v>OPEN</x:v>
      </x:c>
    </x:row>
    <x:row r="4794">
      <x:c r="B4794" s="7" t="str">
        <x:v>AG-04788</x:v>
      </x:c>
      <x:c r="C4794" s="7" t="str">
        <x:v>PEA-C-X1</x:v>
      </x:c>
      <x:c r="D4794" s="7" t="str">
        <x:v>channel instance</x:v>
      </x:c>
      <x:c r="E4794" s="7" t="str">
        <x:v>CH-PEA-C-X1-02-1</x:v>
      </x:c>
      <x:c r="F4794" s="7" t="str">
        <x:f>'Channel Instances'!O1741</x:f>
        <x:v>OPEN</x:v>
      </x:c>
    </x:row>
    <x:row r="4795">
      <x:c r="B4795" s="7" t="str">
        <x:v>AG-04789</x:v>
      </x:c>
      <x:c r="C4795" s="7" t="str">
        <x:v>PEA-C-X1</x:v>
      </x:c>
      <x:c r="D4795" s="7" t="str">
        <x:v>channel instance</x:v>
      </x:c>
      <x:c r="E4795" s="7" t="str">
        <x:v>CH-PEA-C-X1-02-2</x:v>
      </x:c>
      <x:c r="F4795" s="7" t="str">
        <x:f>'Channel Instances'!O1742</x:f>
        <x:v>OPEN</x:v>
      </x:c>
    </x:row>
    <x:row r="4796">
      <x:c r="B4796" s="7" t="str">
        <x:v>AG-04790</x:v>
      </x:c>
      <x:c r="C4796" s="7" t="str">
        <x:v>PEA-C-X1</x:v>
      </x:c>
      <x:c r="D4796" s="7" t="str">
        <x:v>channel instance</x:v>
      </x:c>
      <x:c r="E4796" s="7" t="str">
        <x:v>CH-PEA-C-X1-02-3</x:v>
      </x:c>
      <x:c r="F4796" s="7" t="str">
        <x:f>'Channel Instances'!O1743</x:f>
        <x:v>OPEN</x:v>
      </x:c>
    </x:row>
    <x:row r="4797">
      <x:c r="B4797" s="7" t="str">
        <x:v>AG-04791</x:v>
      </x:c>
      <x:c r="C4797" s="7" t="str">
        <x:v>PEA-C-X1</x:v>
      </x:c>
      <x:c r="D4797" s="7" t="str">
        <x:v>channel instance</x:v>
      </x:c>
      <x:c r="E4797" s="7" t="str">
        <x:v>CH-PEA-C-X1-02-4</x:v>
      </x:c>
      <x:c r="F4797" s="7" t="str">
        <x:f>'Channel Instances'!O1744</x:f>
        <x:v>OPEN</x:v>
      </x:c>
    </x:row>
    <x:row r="4798">
      <x:c r="B4798" s="7" t="str">
        <x:v>AG-04792</x:v>
      </x:c>
      <x:c r="C4798" s="7" t="str">
        <x:v>PEA-C-X1</x:v>
      </x:c>
      <x:c r="D4798" s="7" t="str">
        <x:v>channel instance</x:v>
      </x:c>
      <x:c r="E4798" s="7" t="str">
        <x:v>CH-PEA-C-X1-02-5</x:v>
      </x:c>
      <x:c r="F4798" s="7" t="str">
        <x:f>'Channel Instances'!O1745</x:f>
        <x:v>OPEN</x:v>
      </x:c>
    </x:row>
    <x:row r="4799">
      <x:c r="B4799" s="7" t="str">
        <x:v>AG-04793</x:v>
      </x:c>
      <x:c r="C4799" s="7" t="str">
        <x:v>PEA-C-X1</x:v>
      </x:c>
      <x:c r="D4799" s="7" t="str">
        <x:v>channel instance</x:v>
      </x:c>
      <x:c r="E4799" s="7" t="str">
        <x:v>CH-PEA-C-X1-02-6</x:v>
      </x:c>
      <x:c r="F4799" s="7" t="str">
        <x:f>'Channel Instances'!O1746</x:f>
        <x:v>OPEN</x:v>
      </x:c>
    </x:row>
    <x:row r="4800">
      <x:c r="B4800" s="7" t="str">
        <x:v>AG-04794</x:v>
      </x:c>
      <x:c r="C4800" s="7" t="str">
        <x:v>PEA-C-X1</x:v>
      </x:c>
      <x:c r="D4800" s="7" t="str">
        <x:v>channel instance</x:v>
      </x:c>
      <x:c r="E4800" s="7" t="str">
        <x:v>CH-PEA-C-X1-03-1</x:v>
      </x:c>
      <x:c r="F4800" s="7" t="str">
        <x:f>'Channel Instances'!O1747</x:f>
        <x:v>OPEN</x:v>
      </x:c>
    </x:row>
    <x:row r="4801">
      <x:c r="B4801" s="7" t="str">
        <x:v>AG-04795</x:v>
      </x:c>
      <x:c r="C4801" s="7" t="str">
        <x:v>PEA-C-X1</x:v>
      </x:c>
      <x:c r="D4801" s="7" t="str">
        <x:v>channel instance</x:v>
      </x:c>
      <x:c r="E4801" s="7" t="str">
        <x:v>CH-PEA-C-X1-03-2</x:v>
      </x:c>
      <x:c r="F4801" s="7" t="str">
        <x:f>'Channel Instances'!O1748</x:f>
        <x:v>OPEN</x:v>
      </x:c>
    </x:row>
    <x:row r="4802">
      <x:c r="B4802" s="7" t="str">
        <x:v>AG-04796</x:v>
      </x:c>
      <x:c r="C4802" s="7" t="str">
        <x:v>PEA-C-X1</x:v>
      </x:c>
      <x:c r="D4802" s="7" t="str">
        <x:v>channel instance</x:v>
      </x:c>
      <x:c r="E4802" s="7" t="str">
        <x:v>CH-PEA-C-X1-03-3</x:v>
      </x:c>
      <x:c r="F4802" s="7" t="str">
        <x:f>'Channel Instances'!O1749</x:f>
        <x:v>OPEN</x:v>
      </x:c>
    </x:row>
    <x:row r="4803">
      <x:c r="B4803" s="7" t="str">
        <x:v>AG-04797</x:v>
      </x:c>
      <x:c r="C4803" s="7" t="str">
        <x:v>PEA-C-X1</x:v>
      </x:c>
      <x:c r="D4803" s="7" t="str">
        <x:v>channel instance</x:v>
      </x:c>
      <x:c r="E4803" s="7" t="str">
        <x:v>CH-PEA-C-X1-03-4</x:v>
      </x:c>
      <x:c r="F4803" s="7" t="str">
        <x:f>'Channel Instances'!O1750</x:f>
        <x:v>OPEN</x:v>
      </x:c>
    </x:row>
    <x:row r="4804">
      <x:c r="B4804" s="7" t="str">
        <x:v>AG-04798</x:v>
      </x:c>
      <x:c r="C4804" s="7" t="str">
        <x:v>PEA-C-X1</x:v>
      </x:c>
      <x:c r="D4804" s="7" t="str">
        <x:v>channel instance</x:v>
      </x:c>
      <x:c r="E4804" s="7" t="str">
        <x:v>CH-PEA-C-X1-03-5</x:v>
      </x:c>
      <x:c r="F4804" s="7" t="str">
        <x:f>'Channel Instances'!O1751</x:f>
        <x:v>OPEN</x:v>
      </x:c>
    </x:row>
    <x:row r="4805">
      <x:c r="B4805" s="7" t="str">
        <x:v>AG-04799</x:v>
      </x:c>
      <x:c r="C4805" s="7" t="str">
        <x:v>PEA-C-X1</x:v>
      </x:c>
      <x:c r="D4805" s="7" t="str">
        <x:v>channel instance</x:v>
      </x:c>
      <x:c r="E4805" s="7" t="str">
        <x:v>CH-PEA-C-X1-03-6</x:v>
      </x:c>
      <x:c r="F4805" s="7" t="str">
        <x:f>'Channel Instances'!O1752</x:f>
        <x:v>OPEN</x:v>
      </x:c>
    </x:row>
    <x:row r="4806">
      <x:c r="B4806" s="7" t="str">
        <x:v>AG-04800</x:v>
      </x:c>
      <x:c r="C4806" s="7" t="str">
        <x:v>PEA-C-X1</x:v>
      </x:c>
      <x:c r="D4806" s="7" t="str">
        <x:v>channel instance</x:v>
      </x:c>
      <x:c r="E4806" s="7" t="str">
        <x:v>CH-PEA-C-X1-04-1</x:v>
      </x:c>
      <x:c r="F4806" s="7" t="str">
        <x:f>'Channel Instances'!O1753</x:f>
        <x:v>OPEN</x:v>
      </x:c>
    </x:row>
    <x:row r="4807">
      <x:c r="B4807" s="7" t="str">
        <x:v>AG-04801</x:v>
      </x:c>
      <x:c r="C4807" s="7" t="str">
        <x:v>PEA-C-X1</x:v>
      </x:c>
      <x:c r="D4807" s="7" t="str">
        <x:v>channel instance</x:v>
      </x:c>
      <x:c r="E4807" s="7" t="str">
        <x:v>CH-PEA-C-X1-04-2</x:v>
      </x:c>
      <x:c r="F4807" s="7" t="str">
        <x:f>'Channel Instances'!O1754</x:f>
        <x:v>OPEN</x:v>
      </x:c>
    </x:row>
    <x:row r="4808">
      <x:c r="B4808" s="7" t="str">
        <x:v>AG-04802</x:v>
      </x:c>
      <x:c r="C4808" s="7" t="str">
        <x:v>PEA-C-X1</x:v>
      </x:c>
      <x:c r="D4808" s="7" t="str">
        <x:v>channel instance</x:v>
      </x:c>
      <x:c r="E4808" s="7" t="str">
        <x:v>CH-PEA-C-X1-04-3</x:v>
      </x:c>
      <x:c r="F4808" s="7" t="str">
        <x:f>'Channel Instances'!O1755</x:f>
        <x:v>OPEN</x:v>
      </x:c>
    </x:row>
    <x:row r="4809">
      <x:c r="B4809" s="7" t="str">
        <x:v>AG-04803</x:v>
      </x:c>
      <x:c r="C4809" s="7" t="str">
        <x:v>PEA-C-X1</x:v>
      </x:c>
      <x:c r="D4809" s="7" t="str">
        <x:v>channel instance</x:v>
      </x:c>
      <x:c r="E4809" s="7" t="str">
        <x:v>CH-PEA-C-X1-04-4</x:v>
      </x:c>
      <x:c r="F4809" s="7" t="str">
        <x:f>'Channel Instances'!O1756</x:f>
        <x:v>OPEN</x:v>
      </x:c>
    </x:row>
    <x:row r="4810">
      <x:c r="B4810" s="7" t="str">
        <x:v>AG-04804</x:v>
      </x:c>
      <x:c r="C4810" s="7" t="str">
        <x:v>PEA-C-X1</x:v>
      </x:c>
      <x:c r="D4810" s="7" t="str">
        <x:v>channel instance</x:v>
      </x:c>
      <x:c r="E4810" s="7" t="str">
        <x:v>CH-PEA-C-X1-04-5</x:v>
      </x:c>
      <x:c r="F4810" s="7" t="str">
        <x:f>'Channel Instances'!O1757</x:f>
        <x:v>OPEN</x:v>
      </x:c>
    </x:row>
    <x:row r="4811">
      <x:c r="B4811" s="7" t="str">
        <x:v>AG-04805</x:v>
      </x:c>
      <x:c r="C4811" s="7" t="str">
        <x:v>PEA-C-X1</x:v>
      </x:c>
      <x:c r="D4811" s="7" t="str">
        <x:v>channel instance</x:v>
      </x:c>
      <x:c r="E4811" s="7" t="str">
        <x:v>CH-PEA-C-X1-04-6</x:v>
      </x:c>
      <x:c r="F4811" s="7" t="str">
        <x:f>'Channel Instances'!O1758</x:f>
        <x:v>OPEN</x:v>
      </x:c>
    </x:row>
    <x:row r="4812">
      <x:c r="B4812" s="7" t="str">
        <x:v>AG-04806</x:v>
      </x:c>
      <x:c r="C4812" s="7" t="str">
        <x:v>PEA-C-X1</x:v>
      </x:c>
      <x:c r="D4812" s="7" t="str">
        <x:v>channel instance</x:v>
      </x:c>
      <x:c r="E4812" s="7" t="str">
        <x:v>CH-PEA-C-X1-05-1</x:v>
      </x:c>
      <x:c r="F4812" s="7" t="str">
        <x:f>'Channel Instances'!O1759</x:f>
        <x:v>OPEN</x:v>
      </x:c>
    </x:row>
    <x:row r="4813">
      <x:c r="B4813" s="7" t="str">
        <x:v>AG-04807</x:v>
      </x:c>
      <x:c r="C4813" s="7" t="str">
        <x:v>PEA-C-X1</x:v>
      </x:c>
      <x:c r="D4813" s="7" t="str">
        <x:v>channel instance</x:v>
      </x:c>
      <x:c r="E4813" s="7" t="str">
        <x:v>CH-PEA-C-X1-05-2</x:v>
      </x:c>
      <x:c r="F4813" s="7" t="str">
        <x:f>'Channel Instances'!O1760</x:f>
        <x:v>OPEN</x:v>
      </x:c>
    </x:row>
    <x:row r="4814">
      <x:c r="B4814" s="7" t="str">
        <x:v>AG-04808</x:v>
      </x:c>
      <x:c r="C4814" s="7" t="str">
        <x:v>PEA-C-X1</x:v>
      </x:c>
      <x:c r="D4814" s="7" t="str">
        <x:v>channel instance</x:v>
      </x:c>
      <x:c r="E4814" s="7" t="str">
        <x:v>CH-PEA-C-X1-05-3</x:v>
      </x:c>
      <x:c r="F4814" s="7" t="str">
        <x:f>'Channel Instances'!O1761</x:f>
        <x:v>OPEN</x:v>
      </x:c>
    </x:row>
    <x:row r="4815">
      <x:c r="B4815" s="7" t="str">
        <x:v>AG-04809</x:v>
      </x:c>
      <x:c r="C4815" s="7" t="str">
        <x:v>PEA-C-X1</x:v>
      </x:c>
      <x:c r="D4815" s="7" t="str">
        <x:v>channel instance</x:v>
      </x:c>
      <x:c r="E4815" s="7" t="str">
        <x:v>CH-PEA-C-X1-05-4</x:v>
      </x:c>
      <x:c r="F4815" s="7" t="str">
        <x:f>'Channel Instances'!O1762</x:f>
        <x:v>OPEN</x:v>
      </x:c>
    </x:row>
    <x:row r="4816">
      <x:c r="B4816" s="7" t="str">
        <x:v>AG-04810</x:v>
      </x:c>
      <x:c r="C4816" s="7" t="str">
        <x:v>PEA-C-X1</x:v>
      </x:c>
      <x:c r="D4816" s="7" t="str">
        <x:v>channel instance</x:v>
      </x:c>
      <x:c r="E4816" s="7" t="str">
        <x:v>CH-PEA-C-X1-05-5</x:v>
      </x:c>
      <x:c r="F4816" s="7" t="str">
        <x:f>'Channel Instances'!O1763</x:f>
        <x:v>OPEN</x:v>
      </x:c>
    </x:row>
    <x:row r="4817">
      <x:c r="B4817" s="7" t="str">
        <x:v>AG-04811</x:v>
      </x:c>
      <x:c r="C4817" s="7" t="str">
        <x:v>PEA-C-X1</x:v>
      </x:c>
      <x:c r="D4817" s="7" t="str">
        <x:v>channel instance</x:v>
      </x:c>
      <x:c r="E4817" s="7" t="str">
        <x:v>CH-PEA-C-X1-05-6</x:v>
      </x:c>
      <x:c r="F4817" s="7" t="str">
        <x:f>'Channel Instances'!O1764</x:f>
        <x:v>OPEN</x:v>
      </x:c>
    </x:row>
    <x:row r="4818">
      <x:c r="B4818" s="7" t="str">
        <x:v>AG-04812</x:v>
      </x:c>
      <x:c r="C4818" s="7" t="str">
        <x:v>PEA-C-X1</x:v>
      </x:c>
      <x:c r="D4818" s="7" t="str">
        <x:v>channel instance</x:v>
      </x:c>
      <x:c r="E4818" s="7" t="str">
        <x:v>CH-PEA-C-X1-06-1</x:v>
      </x:c>
      <x:c r="F4818" s="7" t="str">
        <x:f>'Channel Instances'!O1765</x:f>
        <x:v>OPEN</x:v>
      </x:c>
    </x:row>
    <x:row r="4819">
      <x:c r="B4819" s="7" t="str">
        <x:v>AG-04813</x:v>
      </x:c>
      <x:c r="C4819" s="7" t="str">
        <x:v>PEA-C-X1</x:v>
      </x:c>
      <x:c r="D4819" s="7" t="str">
        <x:v>channel instance</x:v>
      </x:c>
      <x:c r="E4819" s="7" t="str">
        <x:v>CH-PEA-C-X1-06-2</x:v>
      </x:c>
      <x:c r="F4819" s="7" t="str">
        <x:f>'Channel Instances'!O1766</x:f>
        <x:v>OPEN</x:v>
      </x:c>
    </x:row>
    <x:row r="4820">
      <x:c r="B4820" s="7" t="str">
        <x:v>AG-04814</x:v>
      </x:c>
      <x:c r="C4820" s="7" t="str">
        <x:v>PEA-C-X1</x:v>
      </x:c>
      <x:c r="D4820" s="7" t="str">
        <x:v>channel instance</x:v>
      </x:c>
      <x:c r="E4820" s="7" t="str">
        <x:v>CH-PEA-C-X1-06-3</x:v>
      </x:c>
      <x:c r="F4820" s="7" t="str">
        <x:f>'Channel Instances'!O1767</x:f>
        <x:v>OPEN</x:v>
      </x:c>
    </x:row>
    <x:row r="4821">
      <x:c r="B4821" s="7" t="str">
        <x:v>AG-04815</x:v>
      </x:c>
      <x:c r="C4821" s="7" t="str">
        <x:v>PEA-C-X1</x:v>
      </x:c>
      <x:c r="D4821" s="7" t="str">
        <x:v>channel instance</x:v>
      </x:c>
      <x:c r="E4821" s="7" t="str">
        <x:v>CH-PEA-C-X1-06-4</x:v>
      </x:c>
      <x:c r="F4821" s="7" t="str">
        <x:f>'Channel Instances'!O1768</x:f>
        <x:v>OPEN</x:v>
      </x:c>
    </x:row>
    <x:row r="4822">
      <x:c r="B4822" s="7" t="str">
        <x:v>AG-04816</x:v>
      </x:c>
      <x:c r="C4822" s="7" t="str">
        <x:v>PEA-C-X1</x:v>
      </x:c>
      <x:c r="D4822" s="7" t="str">
        <x:v>channel instance</x:v>
      </x:c>
      <x:c r="E4822" s="7" t="str">
        <x:v>CH-PEA-C-X1-06-5</x:v>
      </x:c>
      <x:c r="F4822" s="7" t="str">
        <x:f>'Channel Instances'!O1769</x:f>
        <x:v>OPEN</x:v>
      </x:c>
    </x:row>
    <x:row r="4823">
      <x:c r="B4823" s="7" t="str">
        <x:v>AG-04817</x:v>
      </x:c>
      <x:c r="C4823" s="7" t="str">
        <x:v>PEA-C-X1</x:v>
      </x:c>
      <x:c r="D4823" s="7" t="str">
        <x:v>channel instance</x:v>
      </x:c>
      <x:c r="E4823" s="7" t="str">
        <x:v>CH-PEA-C-X1-06-6</x:v>
      </x:c>
      <x:c r="F4823" s="7" t="str">
        <x:f>'Channel Instances'!O1770</x:f>
        <x:v>OPEN</x:v>
      </x:c>
    </x:row>
    <x:row r="4824">
      <x:c r="B4824" s="7" t="str">
        <x:v>AG-04818</x:v>
      </x:c>
      <x:c r="C4824" s="7" t="str">
        <x:v>PEA-C-X1</x:v>
      </x:c>
      <x:c r="D4824" s="7" t="str">
        <x:v>channel instance</x:v>
      </x:c>
      <x:c r="E4824" s="7" t="str">
        <x:v>CH-PEA-C-X1-07-1</x:v>
      </x:c>
      <x:c r="F4824" s="7" t="str">
        <x:f>'Channel Instances'!O1771</x:f>
        <x:v>OPEN</x:v>
      </x:c>
    </x:row>
    <x:row r="4825">
      <x:c r="B4825" s="7" t="str">
        <x:v>AG-04819</x:v>
      </x:c>
      <x:c r="C4825" s="7" t="str">
        <x:v>PEA-C-X1</x:v>
      </x:c>
      <x:c r="D4825" s="7" t="str">
        <x:v>channel instance</x:v>
      </x:c>
      <x:c r="E4825" s="7" t="str">
        <x:v>CH-PEA-C-X1-07-2</x:v>
      </x:c>
      <x:c r="F4825" s="7" t="str">
        <x:f>'Channel Instances'!O1772</x:f>
        <x:v>OPEN</x:v>
      </x:c>
    </x:row>
    <x:row r="4826">
      <x:c r="B4826" s="7" t="str">
        <x:v>AG-04820</x:v>
      </x:c>
      <x:c r="C4826" s="7" t="str">
        <x:v>PEA-C-X1</x:v>
      </x:c>
      <x:c r="D4826" s="7" t="str">
        <x:v>channel instance</x:v>
      </x:c>
      <x:c r="E4826" s="7" t="str">
        <x:v>CH-PEA-C-X1-07-3</x:v>
      </x:c>
      <x:c r="F4826" s="7" t="str">
        <x:f>'Channel Instances'!O1773</x:f>
        <x:v>OPEN</x:v>
      </x:c>
    </x:row>
    <x:row r="4827">
      <x:c r="B4827" s="7" t="str">
        <x:v>AG-04821</x:v>
      </x:c>
      <x:c r="C4827" s="7" t="str">
        <x:v>PEA-C-X1</x:v>
      </x:c>
      <x:c r="D4827" s="7" t="str">
        <x:v>channel instance</x:v>
      </x:c>
      <x:c r="E4827" s="7" t="str">
        <x:v>CH-PEA-C-X1-07-4</x:v>
      </x:c>
      <x:c r="F4827" s="7" t="str">
        <x:f>'Channel Instances'!O1774</x:f>
        <x:v>OPEN</x:v>
      </x:c>
    </x:row>
    <x:row r="4828">
      <x:c r="B4828" s="7" t="str">
        <x:v>AG-04822</x:v>
      </x:c>
      <x:c r="C4828" s="7" t="str">
        <x:v>PEA-C-X1</x:v>
      </x:c>
      <x:c r="D4828" s="7" t="str">
        <x:v>channel instance</x:v>
      </x:c>
      <x:c r="E4828" s="7" t="str">
        <x:v>CH-PEA-C-X1-07-5</x:v>
      </x:c>
      <x:c r="F4828" s="7" t="str">
        <x:f>'Channel Instances'!O1775</x:f>
        <x:v>OPEN</x:v>
      </x:c>
    </x:row>
    <x:row r="4829">
      <x:c r="B4829" s="7" t="str">
        <x:v>AG-04823</x:v>
      </x:c>
      <x:c r="C4829" s="7" t="str">
        <x:v>PEA-C-X1</x:v>
      </x:c>
      <x:c r="D4829" s="7" t="str">
        <x:v>channel instance</x:v>
      </x:c>
      <x:c r="E4829" s="7" t="str">
        <x:v>CH-PEA-C-X1-07-6</x:v>
      </x:c>
      <x:c r="F4829" s="7" t="str">
        <x:f>'Channel Instances'!O1776</x:f>
        <x:v>OPEN</x:v>
      </x:c>
    </x:row>
    <x:row r="4830">
      <x:c r="B4830" s="7" t="str">
        <x:v>AG-04824</x:v>
      </x:c>
      <x:c r="C4830" s="7" t="str">
        <x:v>PEA-C-X1</x:v>
      </x:c>
      <x:c r="D4830" s="7" t="str">
        <x:v>channel instance</x:v>
      </x:c>
      <x:c r="E4830" s="7" t="str">
        <x:v>CH-PEA-C-X1-08-1</x:v>
      </x:c>
      <x:c r="F4830" s="7" t="str">
        <x:f>'Channel Instances'!O1777</x:f>
        <x:v>OPEN</x:v>
      </x:c>
    </x:row>
    <x:row r="4831">
      <x:c r="B4831" s="7" t="str">
        <x:v>AG-04825</x:v>
      </x:c>
      <x:c r="C4831" s="7" t="str">
        <x:v>PEA-C-X1</x:v>
      </x:c>
      <x:c r="D4831" s="7" t="str">
        <x:v>channel instance</x:v>
      </x:c>
      <x:c r="E4831" s="7" t="str">
        <x:v>CH-PEA-C-X1-08-2</x:v>
      </x:c>
      <x:c r="F4831" s="7" t="str">
        <x:f>'Channel Instances'!O1778</x:f>
        <x:v>OPEN</x:v>
      </x:c>
    </x:row>
    <x:row r="4832">
      <x:c r="B4832" s="7" t="str">
        <x:v>AG-04826</x:v>
      </x:c>
      <x:c r="C4832" s="7" t="str">
        <x:v>PEA-C-X1</x:v>
      </x:c>
      <x:c r="D4832" s="7" t="str">
        <x:v>channel instance</x:v>
      </x:c>
      <x:c r="E4832" s="7" t="str">
        <x:v>CH-PEA-C-X1-08-3</x:v>
      </x:c>
      <x:c r="F4832" s="7" t="str">
        <x:f>'Channel Instances'!O1779</x:f>
        <x:v>OPEN</x:v>
      </x:c>
    </x:row>
    <x:row r="4833">
      <x:c r="B4833" s="7" t="str">
        <x:v>AG-04827</x:v>
      </x:c>
      <x:c r="C4833" s="7" t="str">
        <x:v>PEA-C-X1</x:v>
      </x:c>
      <x:c r="D4833" s="7" t="str">
        <x:v>channel instance</x:v>
      </x:c>
      <x:c r="E4833" s="7" t="str">
        <x:v>CH-PEA-C-X1-08-4</x:v>
      </x:c>
      <x:c r="F4833" s="7" t="str">
        <x:f>'Channel Instances'!O1780</x:f>
        <x:v>OPEN</x:v>
      </x:c>
    </x:row>
    <x:row r="4834">
      <x:c r="B4834" s="7" t="str">
        <x:v>AG-04828</x:v>
      </x:c>
      <x:c r="C4834" s="7" t="str">
        <x:v>PEA-C-X1</x:v>
      </x:c>
      <x:c r="D4834" s="7" t="str">
        <x:v>channel instance</x:v>
      </x:c>
      <x:c r="E4834" s="7" t="str">
        <x:v>CH-PEA-C-X1-08-5</x:v>
      </x:c>
      <x:c r="F4834" s="7" t="str">
        <x:f>'Channel Instances'!O1781</x:f>
        <x:v>OPEN</x:v>
      </x:c>
    </x:row>
    <x:row r="4835">
      <x:c r="B4835" s="7" t="str">
        <x:v>AG-04829</x:v>
      </x:c>
      <x:c r="C4835" s="7" t="str">
        <x:v>PEA-C-X1</x:v>
      </x:c>
      <x:c r="D4835" s="7" t="str">
        <x:v>channel instance</x:v>
      </x:c>
      <x:c r="E4835" s="7" t="str">
        <x:v>CH-PEA-C-X1-08-6</x:v>
      </x:c>
      <x:c r="F4835" s="7" t="str">
        <x:f>'Channel Instances'!O1782</x:f>
        <x:v>OPEN</x:v>
      </x:c>
    </x:row>
    <x:row r="4836">
      <x:c r="B4836" s="7" t="str">
        <x:v>AG-04830</x:v>
      </x:c>
      <x:c r="C4836" s="7" t="str">
        <x:v>PEA-C-X1</x:v>
      </x:c>
      <x:c r="D4836" s="7" t="str">
        <x:v>channel instance</x:v>
      </x:c>
      <x:c r="E4836" s="7" t="str">
        <x:v>CH-PEA-C-X1-09-1</x:v>
      </x:c>
      <x:c r="F4836" s="7" t="str">
        <x:f>'Channel Instances'!O1783</x:f>
        <x:v>OPEN</x:v>
      </x:c>
    </x:row>
    <x:row r="4837">
      <x:c r="B4837" s="7" t="str">
        <x:v>AG-04831</x:v>
      </x:c>
      <x:c r="C4837" s="7" t="str">
        <x:v>PEA-C-X1</x:v>
      </x:c>
      <x:c r="D4837" s="7" t="str">
        <x:v>channel instance</x:v>
      </x:c>
      <x:c r="E4837" s="7" t="str">
        <x:v>CH-PEA-C-X1-09-2</x:v>
      </x:c>
      <x:c r="F4837" s="7" t="str">
        <x:f>'Channel Instances'!O1784</x:f>
        <x:v>OPEN</x:v>
      </x:c>
    </x:row>
    <x:row r="4838">
      <x:c r="B4838" s="7" t="str">
        <x:v>AG-04832</x:v>
      </x:c>
      <x:c r="C4838" s="7" t="str">
        <x:v>PEA-C-X1</x:v>
      </x:c>
      <x:c r="D4838" s="7" t="str">
        <x:v>channel instance</x:v>
      </x:c>
      <x:c r="E4838" s="7" t="str">
        <x:v>CH-PEA-C-X1-09-3</x:v>
      </x:c>
      <x:c r="F4838" s="7" t="str">
        <x:f>'Channel Instances'!O1785</x:f>
        <x:v>OPEN</x:v>
      </x:c>
    </x:row>
    <x:row r="4839">
      <x:c r="B4839" s="7" t="str">
        <x:v>AG-04833</x:v>
      </x:c>
      <x:c r="C4839" s="7" t="str">
        <x:v>PEA-C-X1</x:v>
      </x:c>
      <x:c r="D4839" s="7" t="str">
        <x:v>channel instance</x:v>
      </x:c>
      <x:c r="E4839" s="7" t="str">
        <x:v>CH-PEA-C-X1-09-4</x:v>
      </x:c>
      <x:c r="F4839" s="7" t="str">
        <x:f>'Channel Instances'!O1786</x:f>
        <x:v>OPEN</x:v>
      </x:c>
    </x:row>
    <x:row r="4840">
      <x:c r="B4840" s="7" t="str">
        <x:v>AG-04834</x:v>
      </x:c>
      <x:c r="C4840" s="7" t="str">
        <x:v>PEA-C-X1</x:v>
      </x:c>
      <x:c r="D4840" s="7" t="str">
        <x:v>channel instance</x:v>
      </x:c>
      <x:c r="E4840" s="7" t="str">
        <x:v>CH-PEA-C-X1-09-5</x:v>
      </x:c>
      <x:c r="F4840" s="7" t="str">
        <x:f>'Channel Instances'!O1787</x:f>
        <x:v>OPEN</x:v>
      </x:c>
    </x:row>
    <x:row r="4841">
      <x:c r="B4841" s="7" t="str">
        <x:v>AG-04835</x:v>
      </x:c>
      <x:c r="C4841" s="7" t="str">
        <x:v>PEA-C-X1</x:v>
      </x:c>
      <x:c r="D4841" s="7" t="str">
        <x:v>channel instance</x:v>
      </x:c>
      <x:c r="E4841" s="7" t="str">
        <x:v>CH-PEA-C-X1-09-6</x:v>
      </x:c>
      <x:c r="F4841" s="7" t="str">
        <x:f>'Channel Instances'!O1788</x:f>
        <x:v>OPEN</x:v>
      </x:c>
    </x:row>
    <x:row r="4842">
      <x:c r="B4842" s="7" t="str">
        <x:v>AG-04836</x:v>
      </x:c>
      <x:c r="C4842" s="7" t="str">
        <x:v>PEA-C-X1</x:v>
      </x:c>
      <x:c r="D4842" s="7" t="str">
        <x:v>channel instance</x:v>
      </x:c>
      <x:c r="E4842" s="7" t="str">
        <x:v>CH-PEA-C-X1-10-1</x:v>
      </x:c>
      <x:c r="F4842" s="7" t="str">
        <x:f>'Channel Instances'!O1789</x:f>
        <x:v>OPEN</x:v>
      </x:c>
    </x:row>
    <x:row r="4843">
      <x:c r="B4843" s="7" t="str">
        <x:v>AG-04837</x:v>
      </x:c>
      <x:c r="C4843" s="7" t="str">
        <x:v>PEA-C-X1</x:v>
      </x:c>
      <x:c r="D4843" s="7" t="str">
        <x:v>channel instance</x:v>
      </x:c>
      <x:c r="E4843" s="7" t="str">
        <x:v>CH-PEA-C-X1-10-2</x:v>
      </x:c>
      <x:c r="F4843" s="7" t="str">
        <x:f>'Channel Instances'!O1790</x:f>
        <x:v>OPEN</x:v>
      </x:c>
    </x:row>
    <x:row r="4844">
      <x:c r="B4844" s="7" t="str">
        <x:v>AG-04838</x:v>
      </x:c>
      <x:c r="C4844" s="7" t="str">
        <x:v>PEA-C-X1</x:v>
      </x:c>
      <x:c r="D4844" s="7" t="str">
        <x:v>channel instance</x:v>
      </x:c>
      <x:c r="E4844" s="7" t="str">
        <x:v>CH-PEA-C-X1-10-3</x:v>
      </x:c>
      <x:c r="F4844" s="7" t="str">
        <x:f>'Channel Instances'!O1791</x:f>
        <x:v>OPEN</x:v>
      </x:c>
    </x:row>
    <x:row r="4845">
      <x:c r="B4845" s="7" t="str">
        <x:v>AG-04839</x:v>
      </x:c>
      <x:c r="C4845" s="7" t="str">
        <x:v>PEA-C-X1</x:v>
      </x:c>
      <x:c r="D4845" s="7" t="str">
        <x:v>channel instance</x:v>
      </x:c>
      <x:c r="E4845" s="7" t="str">
        <x:v>CH-PEA-C-X1-10-4</x:v>
      </x:c>
      <x:c r="F4845" s="7" t="str">
        <x:f>'Channel Instances'!O1792</x:f>
        <x:v>OPEN</x:v>
      </x:c>
    </x:row>
    <x:row r="4846">
      <x:c r="B4846" s="7" t="str">
        <x:v>AG-04840</x:v>
      </x:c>
      <x:c r="C4846" s="7" t="str">
        <x:v>PEA-C-X1</x:v>
      </x:c>
      <x:c r="D4846" s="7" t="str">
        <x:v>channel instance</x:v>
      </x:c>
      <x:c r="E4846" s="7" t="str">
        <x:v>CH-PEA-C-X1-10-5</x:v>
      </x:c>
      <x:c r="F4846" s="7" t="str">
        <x:f>'Channel Instances'!O1793</x:f>
        <x:v>OPEN</x:v>
      </x:c>
    </x:row>
    <x:row r="4847">
      <x:c r="B4847" s="7" t="str">
        <x:v>AG-04841</x:v>
      </x:c>
      <x:c r="C4847" s="7" t="str">
        <x:v>PEA-C-X1</x:v>
      </x:c>
      <x:c r="D4847" s="7" t="str">
        <x:v>channel instance</x:v>
      </x:c>
      <x:c r="E4847" s="7" t="str">
        <x:v>CH-PEA-C-X1-10-6</x:v>
      </x:c>
      <x:c r="F4847" s="7" t="str">
        <x:f>'Channel Instances'!O1794</x:f>
        <x:v>OPEN</x:v>
      </x:c>
    </x:row>
    <x:row r="4848">
      <x:c r="B4848" s="7" t="str">
        <x:v>AG-04842</x:v>
      </x:c>
      <x:c r="C4848" s="7" t="str">
        <x:v>PEA-C-X1</x:v>
      </x:c>
      <x:c r="D4848" s="7" t="str">
        <x:v>channel instance</x:v>
      </x:c>
      <x:c r="E4848" s="7" t="str">
        <x:v>CH-PEA-C-X1-11-1</x:v>
      </x:c>
      <x:c r="F4848" s="7" t="str">
        <x:f>'Channel Instances'!O1795</x:f>
        <x:v>OPEN</x:v>
      </x:c>
    </x:row>
    <x:row r="4849">
      <x:c r="B4849" s="7" t="str">
        <x:v>AG-04843</x:v>
      </x:c>
      <x:c r="C4849" s="7" t="str">
        <x:v>PEA-C-X1</x:v>
      </x:c>
      <x:c r="D4849" s="7" t="str">
        <x:v>channel instance</x:v>
      </x:c>
      <x:c r="E4849" s="7" t="str">
        <x:v>CH-PEA-C-X1-11-2</x:v>
      </x:c>
      <x:c r="F4849" s="7" t="str">
        <x:f>'Channel Instances'!O1796</x:f>
        <x:v>OPEN</x:v>
      </x:c>
    </x:row>
    <x:row r="4850">
      <x:c r="B4850" s="7" t="str">
        <x:v>AG-04844</x:v>
      </x:c>
      <x:c r="C4850" s="7" t="str">
        <x:v>PEA-C-X1</x:v>
      </x:c>
      <x:c r="D4850" s="7" t="str">
        <x:v>channel instance</x:v>
      </x:c>
      <x:c r="E4850" s="7" t="str">
        <x:v>CH-PEA-C-X1-11-3</x:v>
      </x:c>
      <x:c r="F4850" s="7" t="str">
        <x:f>'Channel Instances'!O1797</x:f>
        <x:v>OPEN</x:v>
      </x:c>
    </x:row>
    <x:row r="4851">
      <x:c r="B4851" s="7" t="str">
        <x:v>AG-04845</x:v>
      </x:c>
      <x:c r="C4851" s="7" t="str">
        <x:v>PEA-C-X1</x:v>
      </x:c>
      <x:c r="D4851" s="7" t="str">
        <x:v>channel instance</x:v>
      </x:c>
      <x:c r="E4851" s="7" t="str">
        <x:v>CH-PEA-C-X1-11-4</x:v>
      </x:c>
      <x:c r="F4851" s="7" t="str">
        <x:f>'Channel Instances'!O1798</x:f>
        <x:v>OPEN</x:v>
      </x:c>
    </x:row>
    <x:row r="4852">
      <x:c r="B4852" s="7" t="str">
        <x:v>AG-04846</x:v>
      </x:c>
      <x:c r="C4852" s="7" t="str">
        <x:v>PEA-C-X1</x:v>
      </x:c>
      <x:c r="D4852" s="7" t="str">
        <x:v>channel instance</x:v>
      </x:c>
      <x:c r="E4852" s="7" t="str">
        <x:v>CH-PEA-C-X1-11-5</x:v>
      </x:c>
      <x:c r="F4852" s="7" t="str">
        <x:f>'Channel Instances'!O1799</x:f>
        <x:v>OPEN</x:v>
      </x:c>
    </x:row>
    <x:row r="4853">
      <x:c r="B4853" s="7" t="str">
        <x:v>AG-04847</x:v>
      </x:c>
      <x:c r="C4853" s="7" t="str">
        <x:v>PEA-C-X1</x:v>
      </x:c>
      <x:c r="D4853" s="7" t="str">
        <x:v>channel instance</x:v>
      </x:c>
      <x:c r="E4853" s="7" t="str">
        <x:v>CH-PEA-C-X1-11-6</x:v>
      </x:c>
      <x:c r="F4853" s="7" t="str">
        <x:f>'Channel Instances'!O1800</x:f>
        <x:v>OPEN</x:v>
      </x:c>
    </x:row>
    <x:row r="4854">
      <x:c r="B4854" s="7" t="str">
        <x:v>AG-04848</x:v>
      </x:c>
      <x:c r="C4854" s="7" t="str">
        <x:v>PEA-C-X1</x:v>
      </x:c>
      <x:c r="D4854" s="7" t="str">
        <x:v>channel instance</x:v>
      </x:c>
      <x:c r="E4854" s="7" t="str">
        <x:v>CH-PEA-C-X1-12-1</x:v>
      </x:c>
      <x:c r="F4854" s="7" t="str">
        <x:f>'Channel Instances'!O1801</x:f>
        <x:v>OPEN</x:v>
      </x:c>
    </x:row>
    <x:row r="4855">
      <x:c r="B4855" s="7" t="str">
        <x:v>AG-04849</x:v>
      </x:c>
      <x:c r="C4855" s="7" t="str">
        <x:v>PEA-C-X1</x:v>
      </x:c>
      <x:c r="D4855" s="7" t="str">
        <x:v>channel instance</x:v>
      </x:c>
      <x:c r="E4855" s="7" t="str">
        <x:v>CH-PEA-C-X1-12-2</x:v>
      </x:c>
      <x:c r="F4855" s="7" t="str">
        <x:f>'Channel Instances'!O1802</x:f>
        <x:v>OPEN</x:v>
      </x:c>
    </x:row>
    <x:row r="4856">
      <x:c r="B4856" s="7" t="str">
        <x:v>AG-04850</x:v>
      </x:c>
      <x:c r="C4856" s="7" t="str">
        <x:v>PEA-C-X1</x:v>
      </x:c>
      <x:c r="D4856" s="7" t="str">
        <x:v>channel instance</x:v>
      </x:c>
      <x:c r="E4856" s="7" t="str">
        <x:v>CH-PEA-C-X1-12-3</x:v>
      </x:c>
      <x:c r="F4856" s="7" t="str">
        <x:f>'Channel Instances'!O1803</x:f>
        <x:v>OPEN</x:v>
      </x:c>
    </x:row>
    <x:row r="4857">
      <x:c r="B4857" s="7" t="str">
        <x:v>AG-04851</x:v>
      </x:c>
      <x:c r="C4857" s="7" t="str">
        <x:v>PEA-C-X1</x:v>
      </x:c>
      <x:c r="D4857" s="7" t="str">
        <x:v>channel instance</x:v>
      </x:c>
      <x:c r="E4857" s="7" t="str">
        <x:v>CH-PEA-C-X1-12-4</x:v>
      </x:c>
      <x:c r="F4857" s="7" t="str">
        <x:f>'Channel Instances'!O1804</x:f>
        <x:v>OPEN</x:v>
      </x:c>
    </x:row>
    <x:row r="4858">
      <x:c r="B4858" s="7" t="str">
        <x:v>AG-04852</x:v>
      </x:c>
      <x:c r="C4858" s="7" t="str">
        <x:v>PEA-C-X1</x:v>
      </x:c>
      <x:c r="D4858" s="7" t="str">
        <x:v>channel instance</x:v>
      </x:c>
      <x:c r="E4858" s="7" t="str">
        <x:v>CH-PEA-C-X1-12-5</x:v>
      </x:c>
      <x:c r="F4858" s="7" t="str">
        <x:f>'Channel Instances'!O1805</x:f>
        <x:v>OPEN</x:v>
      </x:c>
    </x:row>
    <x:row r="4859">
      <x:c r="B4859" s="7" t="str">
        <x:v>AG-04853</x:v>
      </x:c>
      <x:c r="C4859" s="7" t="str">
        <x:v>PEA-C-X1</x:v>
      </x:c>
      <x:c r="D4859" s="7" t="str">
        <x:v>channel instance</x:v>
      </x:c>
      <x:c r="E4859" s="7" t="str">
        <x:v>CH-PEA-C-X1-12-6</x:v>
      </x:c>
      <x:c r="F4859" s="7" t="str">
        <x:f>'Channel Instances'!O1806</x:f>
        <x:v>OPEN</x:v>
      </x:c>
    </x:row>
    <x:row r="4860">
      <x:c r="B4860" s="7" t="str">
        <x:v>AG-04854</x:v>
      </x:c>
      <x:c r="C4860" s="7" t="str">
        <x:v>PEA-C-X1</x:v>
      </x:c>
      <x:c r="D4860" s="7" t="str">
        <x:v>channel instance</x:v>
      </x:c>
      <x:c r="E4860" s="7" t="str">
        <x:v>CH-PEA-C-X1-13-1</x:v>
      </x:c>
      <x:c r="F4860" s="7" t="str">
        <x:f>'Channel Instances'!O1807</x:f>
        <x:v>OPEN</x:v>
      </x:c>
    </x:row>
    <x:row r="4861">
      <x:c r="B4861" s="7" t="str">
        <x:v>AG-04855</x:v>
      </x:c>
      <x:c r="C4861" s="7" t="str">
        <x:v>PEA-C-X1</x:v>
      </x:c>
      <x:c r="D4861" s="7" t="str">
        <x:v>channel instance</x:v>
      </x:c>
      <x:c r="E4861" s="7" t="str">
        <x:v>CH-PEA-C-X1-13-2</x:v>
      </x:c>
      <x:c r="F4861" s="7" t="str">
        <x:f>'Channel Instances'!O1808</x:f>
        <x:v>OPEN</x:v>
      </x:c>
    </x:row>
    <x:row r="4862">
      <x:c r="B4862" s="7" t="str">
        <x:v>AG-04856</x:v>
      </x:c>
      <x:c r="C4862" s="7" t="str">
        <x:v>PEA-C-X1</x:v>
      </x:c>
      <x:c r="D4862" s="7" t="str">
        <x:v>channel instance</x:v>
      </x:c>
      <x:c r="E4862" s="7" t="str">
        <x:v>CH-PEA-C-X1-13-3</x:v>
      </x:c>
      <x:c r="F4862" s="7" t="str">
        <x:f>'Channel Instances'!O1809</x:f>
        <x:v>OPEN</x:v>
      </x:c>
    </x:row>
    <x:row r="4863">
      <x:c r="B4863" s="7" t="str">
        <x:v>AG-04857</x:v>
      </x:c>
      <x:c r="C4863" s="7" t="str">
        <x:v>PEA-C-X1</x:v>
      </x:c>
      <x:c r="D4863" s="7" t="str">
        <x:v>channel instance</x:v>
      </x:c>
      <x:c r="E4863" s="7" t="str">
        <x:v>CH-PEA-C-X1-13-4</x:v>
      </x:c>
      <x:c r="F4863" s="7" t="str">
        <x:f>'Channel Instances'!O1810</x:f>
        <x:v>OPEN</x:v>
      </x:c>
    </x:row>
    <x:row r="4864">
      <x:c r="B4864" s="7" t="str">
        <x:v>AG-04858</x:v>
      </x:c>
      <x:c r="C4864" s="7" t="str">
        <x:v>PEA-C-X1</x:v>
      </x:c>
      <x:c r="D4864" s="7" t="str">
        <x:v>channel instance</x:v>
      </x:c>
      <x:c r="E4864" s="7" t="str">
        <x:v>CH-PEA-C-X1-13-5</x:v>
      </x:c>
      <x:c r="F4864" s="7" t="str">
        <x:f>'Channel Instances'!O1811</x:f>
        <x:v>OPEN</x:v>
      </x:c>
    </x:row>
    <x:row r="4865">
      <x:c r="B4865" s="7" t="str">
        <x:v>AG-04859</x:v>
      </x:c>
      <x:c r="C4865" s="7" t="str">
        <x:v>PEA-C-X1</x:v>
      </x:c>
      <x:c r="D4865" s="7" t="str">
        <x:v>channel instance</x:v>
      </x:c>
      <x:c r="E4865" s="7" t="str">
        <x:v>CH-PEA-C-X1-13-6</x:v>
      </x:c>
      <x:c r="F4865" s="7" t="str">
        <x:f>'Channel Instances'!O1812</x:f>
        <x:v>OPEN</x:v>
      </x:c>
    </x:row>
    <x:row r="4866">
      <x:c r="B4866" s="7" t="str">
        <x:v>AG-04860</x:v>
      </x:c>
      <x:c r="C4866" s="7" t="str">
        <x:v>PEA-C-X1</x:v>
      </x:c>
      <x:c r="D4866" s="7" t="str">
        <x:v>channel instance</x:v>
      </x:c>
      <x:c r="E4866" s="7" t="str">
        <x:v>CH-PEA-C-X1-14-1</x:v>
      </x:c>
      <x:c r="F4866" s="7" t="str">
        <x:f>'Channel Instances'!O1813</x:f>
        <x:v>OPEN</x:v>
      </x:c>
    </x:row>
    <x:row r="4867">
      <x:c r="B4867" s="7" t="str">
        <x:v>AG-04861</x:v>
      </x:c>
      <x:c r="C4867" s="7" t="str">
        <x:v>PEA-C-X1</x:v>
      </x:c>
      <x:c r="D4867" s="7" t="str">
        <x:v>channel instance</x:v>
      </x:c>
      <x:c r="E4867" s="7" t="str">
        <x:v>CH-PEA-C-X1-14-2</x:v>
      </x:c>
      <x:c r="F4867" s="7" t="str">
        <x:f>'Channel Instances'!O1814</x:f>
        <x:v>OPEN</x:v>
      </x:c>
    </x:row>
    <x:row r="4868">
      <x:c r="B4868" s="7" t="str">
        <x:v>AG-04862</x:v>
      </x:c>
      <x:c r="C4868" s="7" t="str">
        <x:v>PEA-C-X1</x:v>
      </x:c>
      <x:c r="D4868" s="7" t="str">
        <x:v>channel instance</x:v>
      </x:c>
      <x:c r="E4868" s="7" t="str">
        <x:v>CH-PEA-C-X1-14-3</x:v>
      </x:c>
      <x:c r="F4868" s="7" t="str">
        <x:f>'Channel Instances'!O1815</x:f>
        <x:v>OPEN</x:v>
      </x:c>
    </x:row>
    <x:row r="4869">
      <x:c r="B4869" s="7" t="str">
        <x:v>AG-04863</x:v>
      </x:c>
      <x:c r="C4869" s="7" t="str">
        <x:v>PEA-C-X1</x:v>
      </x:c>
      <x:c r="D4869" s="7" t="str">
        <x:v>channel instance</x:v>
      </x:c>
      <x:c r="E4869" s="7" t="str">
        <x:v>CH-PEA-C-X1-14-4</x:v>
      </x:c>
      <x:c r="F4869" s="7" t="str">
        <x:f>'Channel Instances'!O1816</x:f>
        <x:v>OPEN</x:v>
      </x:c>
    </x:row>
    <x:row r="4870">
      <x:c r="B4870" s="7" t="str">
        <x:v>AG-04864</x:v>
      </x:c>
      <x:c r="C4870" s="7" t="str">
        <x:v>PEA-C-X1</x:v>
      </x:c>
      <x:c r="D4870" s="7" t="str">
        <x:v>channel instance</x:v>
      </x:c>
      <x:c r="E4870" s="7" t="str">
        <x:v>CH-PEA-C-X1-14-5</x:v>
      </x:c>
      <x:c r="F4870" s="7" t="str">
        <x:f>'Channel Instances'!O1817</x:f>
        <x:v>OPEN</x:v>
      </x:c>
    </x:row>
    <x:row r="4871">
      <x:c r="B4871" s="7" t="str">
        <x:v>AG-04865</x:v>
      </x:c>
      <x:c r="C4871" s="7" t="str">
        <x:v>PEA-C-X1</x:v>
      </x:c>
      <x:c r="D4871" s="7" t="str">
        <x:v>channel instance</x:v>
      </x:c>
      <x:c r="E4871" s="7" t="str">
        <x:v>CH-PEA-C-X1-14-6</x:v>
      </x:c>
      <x:c r="F4871" s="7" t="str">
        <x:f>'Channel Instances'!O1818</x:f>
        <x:v>OPEN</x:v>
      </x:c>
    </x:row>
    <x:row r="4872">
      <x:c r="B4872" s="7" t="str">
        <x:v>AG-04866</x:v>
      </x:c>
      <x:c r="C4872" s="7" t="str">
        <x:v>PEA-C-X1</x:v>
      </x:c>
      <x:c r="D4872" s="7" t="str">
        <x:v>channel instance</x:v>
      </x:c>
      <x:c r="E4872" s="7" t="str">
        <x:v>CH-PEA-C-X1-15-1</x:v>
      </x:c>
      <x:c r="F4872" s="7" t="str">
        <x:f>'Channel Instances'!O1819</x:f>
        <x:v>OPEN</x:v>
      </x:c>
    </x:row>
    <x:row r="4873">
      <x:c r="B4873" s="7" t="str">
        <x:v>AG-04867</x:v>
      </x:c>
      <x:c r="C4873" s="7" t="str">
        <x:v>PEA-C-X1</x:v>
      </x:c>
      <x:c r="D4873" s="7" t="str">
        <x:v>channel instance</x:v>
      </x:c>
      <x:c r="E4873" s="7" t="str">
        <x:v>CH-PEA-C-X1-15-2</x:v>
      </x:c>
      <x:c r="F4873" s="7" t="str">
        <x:f>'Channel Instances'!O1820</x:f>
        <x:v>OPEN</x:v>
      </x:c>
    </x:row>
    <x:row r="4874">
      <x:c r="B4874" s="7" t="str">
        <x:v>AG-04868</x:v>
      </x:c>
      <x:c r="C4874" s="7" t="str">
        <x:v>PEA-C-X1</x:v>
      </x:c>
      <x:c r="D4874" s="7" t="str">
        <x:v>channel instance</x:v>
      </x:c>
      <x:c r="E4874" s="7" t="str">
        <x:v>CH-PEA-C-X1-15-3</x:v>
      </x:c>
      <x:c r="F4874" s="7" t="str">
        <x:f>'Channel Instances'!O1821</x:f>
        <x:v>OPEN</x:v>
      </x:c>
    </x:row>
    <x:row r="4875">
      <x:c r="B4875" s="7" t="str">
        <x:v>AG-04869</x:v>
      </x:c>
      <x:c r="C4875" s="7" t="str">
        <x:v>PEA-C-X1</x:v>
      </x:c>
      <x:c r="D4875" s="7" t="str">
        <x:v>channel instance</x:v>
      </x:c>
      <x:c r="E4875" s="7" t="str">
        <x:v>CH-PEA-C-X1-15-4</x:v>
      </x:c>
      <x:c r="F4875" s="7" t="str">
        <x:f>'Channel Instances'!O1822</x:f>
        <x:v>OPEN</x:v>
      </x:c>
    </x:row>
    <x:row r="4876">
      <x:c r="B4876" s="7" t="str">
        <x:v>AG-04870</x:v>
      </x:c>
      <x:c r="C4876" s="7" t="str">
        <x:v>PEA-C-X1</x:v>
      </x:c>
      <x:c r="D4876" s="7" t="str">
        <x:v>channel instance</x:v>
      </x:c>
      <x:c r="E4876" s="7" t="str">
        <x:v>CH-PEA-C-X1-15-5</x:v>
      </x:c>
      <x:c r="F4876" s="7" t="str">
        <x:f>'Channel Instances'!O1823</x:f>
        <x:v>OPEN</x:v>
      </x:c>
    </x:row>
    <x:row r="4877">
      <x:c r="B4877" s="7" t="str">
        <x:v>AG-04871</x:v>
      </x:c>
      <x:c r="C4877" s="7" t="str">
        <x:v>PEA-C-X1</x:v>
      </x:c>
      <x:c r="D4877" s="7" t="str">
        <x:v>channel instance</x:v>
      </x:c>
      <x:c r="E4877" s="7" t="str">
        <x:v>CH-PEA-C-X1-15-6</x:v>
      </x:c>
      <x:c r="F4877" s="7" t="str">
        <x:f>'Channel Instances'!O1824</x:f>
        <x:v>OPEN</x:v>
      </x:c>
    </x:row>
    <x:row r="4878">
      <x:c r="B4878" s="7" t="str">
        <x:v>AG-04872</x:v>
      </x:c>
      <x:c r="C4878" s="7" t="str">
        <x:v>PEA-C-X1</x:v>
      </x:c>
      <x:c r="D4878" s="7" t="str">
        <x:v>channel instance</x:v>
      </x:c>
      <x:c r="E4878" s="7" t="str">
        <x:v>CH-PEA-C-X1-16-1</x:v>
      </x:c>
      <x:c r="F4878" s="7" t="str">
        <x:f>'Channel Instances'!O1825</x:f>
        <x:v>OPEN</x:v>
      </x:c>
    </x:row>
    <x:row r="4879">
      <x:c r="B4879" s="7" t="str">
        <x:v>AG-04873</x:v>
      </x:c>
      <x:c r="C4879" s="7" t="str">
        <x:v>PEA-C-X1</x:v>
      </x:c>
      <x:c r="D4879" s="7" t="str">
        <x:v>channel instance</x:v>
      </x:c>
      <x:c r="E4879" s="7" t="str">
        <x:v>CH-PEA-C-X1-16-2</x:v>
      </x:c>
      <x:c r="F4879" s="7" t="str">
        <x:f>'Channel Instances'!O1826</x:f>
        <x:v>OPEN</x:v>
      </x:c>
    </x:row>
    <x:row r="4880">
      <x:c r="B4880" s="7" t="str">
        <x:v>AG-04874</x:v>
      </x:c>
      <x:c r="C4880" s="7" t="str">
        <x:v>PEA-C-X1</x:v>
      </x:c>
      <x:c r="D4880" s="7" t="str">
        <x:v>channel instance</x:v>
      </x:c>
      <x:c r="E4880" s="7" t="str">
        <x:v>CH-PEA-C-X1-16-3</x:v>
      </x:c>
      <x:c r="F4880" s="7" t="str">
        <x:f>'Channel Instances'!O1827</x:f>
        <x:v>OPEN</x:v>
      </x:c>
    </x:row>
    <x:row r="4881">
      <x:c r="B4881" s="7" t="str">
        <x:v>AG-04875</x:v>
      </x:c>
      <x:c r="C4881" s="7" t="str">
        <x:v>PEA-C-X1</x:v>
      </x:c>
      <x:c r="D4881" s="7" t="str">
        <x:v>channel instance</x:v>
      </x:c>
      <x:c r="E4881" s="7" t="str">
        <x:v>CH-PEA-C-X1-16-4</x:v>
      </x:c>
      <x:c r="F4881" s="7" t="str">
        <x:f>'Channel Instances'!O1828</x:f>
        <x:v>OPEN</x:v>
      </x:c>
    </x:row>
    <x:row r="4882">
      <x:c r="B4882" s="7" t="str">
        <x:v>AG-04876</x:v>
      </x:c>
      <x:c r="C4882" s="7" t="str">
        <x:v>PEA-C-X1</x:v>
      </x:c>
      <x:c r="D4882" s="7" t="str">
        <x:v>channel instance</x:v>
      </x:c>
      <x:c r="E4882" s="7" t="str">
        <x:v>CH-PEA-C-X1-16-5</x:v>
      </x:c>
      <x:c r="F4882" s="7" t="str">
        <x:f>'Channel Instances'!O1829</x:f>
        <x:v>OPEN</x:v>
      </x:c>
    </x:row>
    <x:row r="4883">
      <x:c r="B4883" s="7" t="str">
        <x:v>AG-04877</x:v>
      </x:c>
      <x:c r="C4883" s="7" t="str">
        <x:v>PEA-C-X1</x:v>
      </x:c>
      <x:c r="D4883" s="7" t="str">
        <x:v>channel instance</x:v>
      </x:c>
      <x:c r="E4883" s="7" t="str">
        <x:v>CH-PEA-C-X1-16-6</x:v>
      </x:c>
      <x:c r="F4883" s="7" t="str">
        <x:f>'Channel Instances'!O1830</x:f>
        <x:v>OPEN</x:v>
      </x:c>
    </x:row>
    <x:row r="4884">
      <x:c r="B4884" s="7" t="str">
        <x:v>AG-04878</x:v>
      </x:c>
      <x:c r="C4884" s="7" t="str">
        <x:v>PEA-C-X1</x:v>
      </x:c>
      <x:c r="D4884" s="7" t="str">
        <x:v>channel instance</x:v>
      </x:c>
      <x:c r="E4884" s="7" t="str">
        <x:v>CH-PEA-C-X1-17-1</x:v>
      </x:c>
      <x:c r="F4884" s="7" t="str">
        <x:f>'Channel Instances'!O1831</x:f>
        <x:v>OPEN</x:v>
      </x:c>
    </x:row>
    <x:row r="4885">
      <x:c r="B4885" s="7" t="str">
        <x:v>AG-04879</x:v>
      </x:c>
      <x:c r="C4885" s="7" t="str">
        <x:v>PEA-C-X1</x:v>
      </x:c>
      <x:c r="D4885" s="7" t="str">
        <x:v>channel instance</x:v>
      </x:c>
      <x:c r="E4885" s="7" t="str">
        <x:v>CH-PEA-C-X1-17-2</x:v>
      </x:c>
      <x:c r="F4885" s="7" t="str">
        <x:f>'Channel Instances'!O1832</x:f>
        <x:v>OPEN</x:v>
      </x:c>
    </x:row>
    <x:row r="4886">
      <x:c r="B4886" s="7" t="str">
        <x:v>AG-04880</x:v>
      </x:c>
      <x:c r="C4886" s="7" t="str">
        <x:v>PEA-C-X1</x:v>
      </x:c>
      <x:c r="D4886" s="7" t="str">
        <x:v>channel instance</x:v>
      </x:c>
      <x:c r="E4886" s="7" t="str">
        <x:v>CH-PEA-C-X1-17-3</x:v>
      </x:c>
      <x:c r="F4886" s="7" t="str">
        <x:f>'Channel Instances'!O1833</x:f>
        <x:v>OPEN</x:v>
      </x:c>
    </x:row>
    <x:row r="4887">
      <x:c r="B4887" s="7" t="str">
        <x:v>AG-04881</x:v>
      </x:c>
      <x:c r="C4887" s="7" t="str">
        <x:v>PEA-C-X1</x:v>
      </x:c>
      <x:c r="D4887" s="7" t="str">
        <x:v>channel instance</x:v>
      </x:c>
      <x:c r="E4887" s="7" t="str">
        <x:v>CH-PEA-C-X1-17-4</x:v>
      </x:c>
      <x:c r="F4887" s="7" t="str">
        <x:f>'Channel Instances'!O1834</x:f>
        <x:v>OPEN</x:v>
      </x:c>
    </x:row>
    <x:row r="4888">
      <x:c r="B4888" s="7" t="str">
        <x:v>AG-04882</x:v>
      </x:c>
      <x:c r="C4888" s="7" t="str">
        <x:v>PEA-C-X1</x:v>
      </x:c>
      <x:c r="D4888" s="7" t="str">
        <x:v>channel instance</x:v>
      </x:c>
      <x:c r="E4888" s="7" t="str">
        <x:v>CH-PEA-C-X1-17-5</x:v>
      </x:c>
      <x:c r="F4888" s="7" t="str">
        <x:f>'Channel Instances'!O1835</x:f>
        <x:v>OPEN</x:v>
      </x:c>
    </x:row>
    <x:row r="4889">
      <x:c r="B4889" s="7" t="str">
        <x:v>AG-04883</x:v>
      </x:c>
      <x:c r="C4889" s="7" t="str">
        <x:v>PEA-C-X1</x:v>
      </x:c>
      <x:c r="D4889" s="7" t="str">
        <x:v>channel instance</x:v>
      </x:c>
      <x:c r="E4889" s="7" t="str">
        <x:v>CH-PEA-C-X1-17-6</x:v>
      </x:c>
      <x:c r="F4889" s="7" t="str">
        <x:f>'Channel Instances'!O1836</x:f>
        <x:v>OPEN</x:v>
      </x:c>
    </x:row>
    <x:row r="4890">
      <x:c r="B4890" s="7" t="str">
        <x:v>AG-04884</x:v>
      </x:c>
      <x:c r="C4890" s="7" t="str">
        <x:v>PEA-C-X1</x:v>
      </x:c>
      <x:c r="D4890" s="7" t="str">
        <x:v>channel instance</x:v>
      </x:c>
      <x:c r="E4890" s="7" t="str">
        <x:v>CH-PEA-C-X1-18-1</x:v>
      </x:c>
      <x:c r="F4890" s="7" t="str">
        <x:f>'Channel Instances'!O1837</x:f>
        <x:v>OPEN</x:v>
      </x:c>
    </x:row>
    <x:row r="4891">
      <x:c r="B4891" s="7" t="str">
        <x:v>AG-04885</x:v>
      </x:c>
      <x:c r="C4891" s="7" t="str">
        <x:v>PEA-C-X1</x:v>
      </x:c>
      <x:c r="D4891" s="7" t="str">
        <x:v>channel instance</x:v>
      </x:c>
      <x:c r="E4891" s="7" t="str">
        <x:v>CH-PEA-C-X1-18-2</x:v>
      </x:c>
      <x:c r="F4891" s="7" t="str">
        <x:f>'Channel Instances'!O1838</x:f>
        <x:v>OPEN</x:v>
      </x:c>
    </x:row>
    <x:row r="4892">
      <x:c r="B4892" s="7" t="str">
        <x:v>AG-04886</x:v>
      </x:c>
      <x:c r="C4892" s="7" t="str">
        <x:v>PEA-C-X1</x:v>
      </x:c>
      <x:c r="D4892" s="7" t="str">
        <x:v>channel instance</x:v>
      </x:c>
      <x:c r="E4892" s="7" t="str">
        <x:v>CH-PEA-C-X1-18-3</x:v>
      </x:c>
      <x:c r="F4892" s="7" t="str">
        <x:f>'Channel Instances'!O1839</x:f>
        <x:v>OPEN</x:v>
      </x:c>
    </x:row>
    <x:row r="4893">
      <x:c r="B4893" s="7" t="str">
        <x:v>AG-04887</x:v>
      </x:c>
      <x:c r="C4893" s="7" t="str">
        <x:v>PEA-C-X1</x:v>
      </x:c>
      <x:c r="D4893" s="7" t="str">
        <x:v>channel instance</x:v>
      </x:c>
      <x:c r="E4893" s="7" t="str">
        <x:v>CH-PEA-C-X1-18-4</x:v>
      </x:c>
      <x:c r="F4893" s="7" t="str">
        <x:f>'Channel Instances'!O1840</x:f>
        <x:v>OPEN</x:v>
      </x:c>
    </x:row>
    <x:row r="4894">
      <x:c r="B4894" s="7" t="str">
        <x:v>AG-04888</x:v>
      </x:c>
      <x:c r="C4894" s="7" t="str">
        <x:v>PEA-C-X1</x:v>
      </x:c>
      <x:c r="D4894" s="7" t="str">
        <x:v>channel instance</x:v>
      </x:c>
      <x:c r="E4894" s="7" t="str">
        <x:v>CH-PEA-C-X1-18-5</x:v>
      </x:c>
      <x:c r="F4894" s="7" t="str">
        <x:f>'Channel Instances'!O1841</x:f>
        <x:v>OPEN</x:v>
      </x:c>
    </x:row>
    <x:row r="4895">
      <x:c r="B4895" s="7" t="str">
        <x:v>AG-04889</x:v>
      </x:c>
      <x:c r="C4895" s="7" t="str">
        <x:v>PEA-C-X1</x:v>
      </x:c>
      <x:c r="D4895" s="7" t="str">
        <x:v>channel instance</x:v>
      </x:c>
      <x:c r="E4895" s="7" t="str">
        <x:v>CH-PEA-C-X1-18-6</x:v>
      </x:c>
      <x:c r="F4895" s="7" t="str">
        <x:f>'Channel Instances'!O1842</x:f>
        <x:v>OPEN</x:v>
      </x:c>
    </x:row>
    <x:row r="4896">
      <x:c r="B4896" s="7" t="str">
        <x:v>AG-04890</x:v>
      </x:c>
      <x:c r="C4896" s="7" t="str">
        <x:v>PEA-C-X1</x:v>
      </x:c>
      <x:c r="D4896" s="7" t="str">
        <x:v>channel instance</x:v>
      </x:c>
      <x:c r="E4896" s="7" t="str">
        <x:v>CH-PEA-C-X1-19-1</x:v>
      </x:c>
      <x:c r="F4896" s="7" t="str">
        <x:f>'Channel Instances'!O1843</x:f>
        <x:v>OPEN</x:v>
      </x:c>
    </x:row>
    <x:row r="4897">
      <x:c r="B4897" s="7" t="str">
        <x:v>AG-04891</x:v>
      </x:c>
      <x:c r="C4897" s="7" t="str">
        <x:v>PEA-C-X1</x:v>
      </x:c>
      <x:c r="D4897" s="7" t="str">
        <x:v>channel instance</x:v>
      </x:c>
      <x:c r="E4897" s="7" t="str">
        <x:v>CH-PEA-C-X1-19-2</x:v>
      </x:c>
      <x:c r="F4897" s="7" t="str">
        <x:f>'Channel Instances'!O1844</x:f>
        <x:v>OPEN</x:v>
      </x:c>
    </x:row>
    <x:row r="4898">
      <x:c r="B4898" s="7" t="str">
        <x:v>AG-04892</x:v>
      </x:c>
      <x:c r="C4898" s="7" t="str">
        <x:v>PEA-C-X1</x:v>
      </x:c>
      <x:c r="D4898" s="7" t="str">
        <x:v>channel instance</x:v>
      </x:c>
      <x:c r="E4898" s="7" t="str">
        <x:v>CH-PEA-C-X1-19-3</x:v>
      </x:c>
      <x:c r="F4898" s="7" t="str">
        <x:f>'Channel Instances'!O1845</x:f>
        <x:v>OPEN</x:v>
      </x:c>
    </x:row>
    <x:row r="4899">
      <x:c r="B4899" s="7" t="str">
        <x:v>AG-04893</x:v>
      </x:c>
      <x:c r="C4899" s="7" t="str">
        <x:v>PEA-C-X1</x:v>
      </x:c>
      <x:c r="D4899" s="7" t="str">
        <x:v>channel instance</x:v>
      </x:c>
      <x:c r="E4899" s="7" t="str">
        <x:v>CH-PEA-C-X1-19-4</x:v>
      </x:c>
      <x:c r="F4899" s="7" t="str">
        <x:f>'Channel Instances'!O1846</x:f>
        <x:v>OPEN</x:v>
      </x:c>
    </x:row>
    <x:row r="4900">
      <x:c r="B4900" s="7" t="str">
        <x:v>AG-04894</x:v>
      </x:c>
      <x:c r="C4900" s="7" t="str">
        <x:v>PEA-C-X1</x:v>
      </x:c>
      <x:c r="D4900" s="7" t="str">
        <x:v>channel instance</x:v>
      </x:c>
      <x:c r="E4900" s="7" t="str">
        <x:v>CH-PEA-C-X1-19-5</x:v>
      </x:c>
      <x:c r="F4900" s="7" t="str">
        <x:f>'Channel Instances'!O1847</x:f>
        <x:v>OPEN</x:v>
      </x:c>
    </x:row>
    <x:row r="4901">
      <x:c r="B4901" s="7" t="str">
        <x:v>AG-04895</x:v>
      </x:c>
      <x:c r="C4901" s="7" t="str">
        <x:v>PEA-C-X1</x:v>
      </x:c>
      <x:c r="D4901" s="7" t="str">
        <x:v>channel instance</x:v>
      </x:c>
      <x:c r="E4901" s="7" t="str">
        <x:v>CH-PEA-C-X1-19-6</x:v>
      </x:c>
      <x:c r="F4901" s="7" t="str">
        <x:f>'Channel Instances'!O1848</x:f>
        <x:v>OPEN</x:v>
      </x:c>
    </x:row>
    <x:row r="4902">
      <x:c r="B4902" s="7" t="str">
        <x:v>AG-04896</x:v>
      </x:c>
      <x:c r="C4902" s="7" t="str">
        <x:v>PEA-C-X1</x:v>
      </x:c>
      <x:c r="D4902" s="7" t="str">
        <x:v>channel instance</x:v>
      </x:c>
      <x:c r="E4902" s="7" t="str">
        <x:v>CH-PEA-C-X1-20-1</x:v>
      </x:c>
      <x:c r="F4902" s="7" t="str">
        <x:f>'Channel Instances'!O1849</x:f>
        <x:v>OPEN</x:v>
      </x:c>
    </x:row>
    <x:row r="4903">
      <x:c r="B4903" s="7" t="str">
        <x:v>AG-04897</x:v>
      </x:c>
      <x:c r="C4903" s="7" t="str">
        <x:v>PEA-C-X1</x:v>
      </x:c>
      <x:c r="D4903" s="7" t="str">
        <x:v>channel instance</x:v>
      </x:c>
      <x:c r="E4903" s="7" t="str">
        <x:v>CH-PEA-C-X1-20-2</x:v>
      </x:c>
      <x:c r="F4903" s="7" t="str">
        <x:f>'Channel Instances'!O1850</x:f>
        <x:v>OPEN</x:v>
      </x:c>
    </x:row>
    <x:row r="4904">
      <x:c r="B4904" s="7" t="str">
        <x:v>AG-04898</x:v>
      </x:c>
      <x:c r="C4904" s="7" t="str">
        <x:v>PEA-C-X1</x:v>
      </x:c>
      <x:c r="D4904" s="7" t="str">
        <x:v>channel instance</x:v>
      </x:c>
      <x:c r="E4904" s="7" t="str">
        <x:v>CH-PEA-C-X1-20-3</x:v>
      </x:c>
      <x:c r="F4904" s="7" t="str">
        <x:f>'Channel Instances'!O1851</x:f>
        <x:v>OPEN</x:v>
      </x:c>
    </x:row>
    <x:row r="4905">
      <x:c r="B4905" s="7" t="str">
        <x:v>AG-04899</x:v>
      </x:c>
      <x:c r="C4905" s="7" t="str">
        <x:v>PEA-C-X1</x:v>
      </x:c>
      <x:c r="D4905" s="7" t="str">
        <x:v>channel instance</x:v>
      </x:c>
      <x:c r="E4905" s="7" t="str">
        <x:v>CH-PEA-C-X1-20-4</x:v>
      </x:c>
      <x:c r="F4905" s="7" t="str">
        <x:f>'Channel Instances'!O1852</x:f>
        <x:v>OPEN</x:v>
      </x:c>
    </x:row>
    <x:row r="4906">
      <x:c r="B4906" s="7" t="str">
        <x:v>AG-04900</x:v>
      </x:c>
      <x:c r="C4906" s="7" t="str">
        <x:v>PEA-C-X1</x:v>
      </x:c>
      <x:c r="D4906" s="7" t="str">
        <x:v>channel instance</x:v>
      </x:c>
      <x:c r="E4906" s="7" t="str">
        <x:v>CH-PEA-C-X1-20-5</x:v>
      </x:c>
      <x:c r="F4906" s="7" t="str">
        <x:f>'Channel Instances'!O1853</x:f>
        <x:v>OPEN</x:v>
      </x:c>
    </x:row>
    <x:row r="4907">
      <x:c r="B4907" s="7" t="str">
        <x:v>AG-04901</x:v>
      </x:c>
      <x:c r="C4907" s="7" t="str">
        <x:v>PEA-C-X1</x:v>
      </x:c>
      <x:c r="D4907" s="7" t="str">
        <x:v>channel instance</x:v>
      </x:c>
      <x:c r="E4907" s="7" t="str">
        <x:v>CH-PEA-C-X1-20-6</x:v>
      </x:c>
      <x:c r="F4907" s="7" t="str">
        <x:f>'Channel Instances'!O1854</x:f>
        <x:v>OPEN</x:v>
      </x:c>
    </x:row>
    <x:row r="4908">
      <x:c r="B4908" s="7" t="str">
        <x:v>AG-04902</x:v>
      </x:c>
      <x:c r="C4908" s="7" t="str">
        <x:v>PEA-C-X1</x:v>
      </x:c>
      <x:c r="D4908" s="7" t="str">
        <x:v>channel instance</x:v>
      </x:c>
      <x:c r="E4908" s="7" t="str">
        <x:v>CH-PEA-C-X1-21-1</x:v>
      </x:c>
      <x:c r="F4908" s="7" t="str">
        <x:f>'Channel Instances'!O1855</x:f>
        <x:v>OPEN</x:v>
      </x:c>
    </x:row>
    <x:row r="4909">
      <x:c r="B4909" s="7" t="str">
        <x:v>AG-04903</x:v>
      </x:c>
      <x:c r="C4909" s="7" t="str">
        <x:v>PEA-C-X1</x:v>
      </x:c>
      <x:c r="D4909" s="7" t="str">
        <x:v>channel instance</x:v>
      </x:c>
      <x:c r="E4909" s="7" t="str">
        <x:v>CH-PEA-C-X1-21-2</x:v>
      </x:c>
      <x:c r="F4909" s="7" t="str">
        <x:f>'Channel Instances'!O1856</x:f>
        <x:v>OPEN</x:v>
      </x:c>
    </x:row>
    <x:row r="4910">
      <x:c r="B4910" s="7" t="str">
        <x:v>AG-04904</x:v>
      </x:c>
      <x:c r="C4910" s="7" t="str">
        <x:v>PEA-C-X1</x:v>
      </x:c>
      <x:c r="D4910" s="7" t="str">
        <x:v>channel instance</x:v>
      </x:c>
      <x:c r="E4910" s="7" t="str">
        <x:v>CH-PEA-C-X1-21-3</x:v>
      </x:c>
      <x:c r="F4910" s="7" t="str">
        <x:f>'Channel Instances'!O1857</x:f>
        <x:v>OPEN</x:v>
      </x:c>
    </x:row>
    <x:row r="4911">
      <x:c r="B4911" s="7" t="str">
        <x:v>AG-04905</x:v>
      </x:c>
      <x:c r="C4911" s="7" t="str">
        <x:v>PEA-C-X1</x:v>
      </x:c>
      <x:c r="D4911" s="7" t="str">
        <x:v>channel instance</x:v>
      </x:c>
      <x:c r="E4911" s="7" t="str">
        <x:v>CH-PEA-C-X1-21-4</x:v>
      </x:c>
      <x:c r="F4911" s="7" t="str">
        <x:f>'Channel Instances'!O1858</x:f>
        <x:v>OPEN</x:v>
      </x:c>
    </x:row>
    <x:row r="4912">
      <x:c r="B4912" s="7" t="str">
        <x:v>AG-04906</x:v>
      </x:c>
      <x:c r="C4912" s="7" t="str">
        <x:v>PEA-C-X1</x:v>
      </x:c>
      <x:c r="D4912" s="7" t="str">
        <x:v>channel instance</x:v>
      </x:c>
      <x:c r="E4912" s="7" t="str">
        <x:v>CH-PEA-C-X1-21-5</x:v>
      </x:c>
      <x:c r="F4912" s="7" t="str">
        <x:f>'Channel Instances'!O1859</x:f>
        <x:v>OPEN</x:v>
      </x:c>
    </x:row>
    <x:row r="4913">
      <x:c r="B4913" s="7" t="str">
        <x:v>AG-04907</x:v>
      </x:c>
      <x:c r="C4913" s="7" t="str">
        <x:v>PEA-C-X1</x:v>
      </x:c>
      <x:c r="D4913" s="7" t="str">
        <x:v>channel instance</x:v>
      </x:c>
      <x:c r="E4913" s="7" t="str">
        <x:v>CH-PEA-C-X1-21-6</x:v>
      </x:c>
      <x:c r="F4913" s="7" t="str">
        <x:f>'Channel Instances'!O1860</x:f>
        <x:v>OPEN</x:v>
      </x:c>
    </x:row>
    <x:row r="4914">
      <x:c r="B4914" s="7" t="str">
        <x:v>AG-04908</x:v>
      </x:c>
      <x:c r="C4914" s="7" t="str">
        <x:v>PEA-C-X1</x:v>
      </x:c>
      <x:c r="D4914" s="7" t="str">
        <x:v>channel instance</x:v>
      </x:c>
      <x:c r="E4914" s="7" t="str">
        <x:v>CH-PEA-C-X1-22-1</x:v>
      </x:c>
      <x:c r="F4914" s="7" t="str">
        <x:f>'Channel Instances'!O1861</x:f>
        <x:v>OPEN</x:v>
      </x:c>
    </x:row>
    <x:row r="4915">
      <x:c r="B4915" s="7" t="str">
        <x:v>AG-04909</x:v>
      </x:c>
      <x:c r="C4915" s="7" t="str">
        <x:v>PEA-C-X1</x:v>
      </x:c>
      <x:c r="D4915" s="7" t="str">
        <x:v>channel instance</x:v>
      </x:c>
      <x:c r="E4915" s="7" t="str">
        <x:v>CH-PEA-C-X1-22-2</x:v>
      </x:c>
      <x:c r="F4915" s="7" t="str">
        <x:f>'Channel Instances'!O1862</x:f>
        <x:v>OPEN</x:v>
      </x:c>
    </x:row>
    <x:row r="4916">
      <x:c r="B4916" s="7" t="str">
        <x:v>AG-04910</x:v>
      </x:c>
      <x:c r="C4916" s="7" t="str">
        <x:v>PEA-C-X1</x:v>
      </x:c>
      <x:c r="D4916" s="7" t="str">
        <x:v>channel instance</x:v>
      </x:c>
      <x:c r="E4916" s="7" t="str">
        <x:v>CH-PEA-C-X1-22-3</x:v>
      </x:c>
      <x:c r="F4916" s="7" t="str">
        <x:f>'Channel Instances'!O1863</x:f>
        <x:v>OPEN</x:v>
      </x:c>
    </x:row>
    <x:row r="4917">
      <x:c r="B4917" s="7" t="str">
        <x:v>AG-04911</x:v>
      </x:c>
      <x:c r="C4917" s="7" t="str">
        <x:v>PEA-C-X1</x:v>
      </x:c>
      <x:c r="D4917" s="7" t="str">
        <x:v>channel instance</x:v>
      </x:c>
      <x:c r="E4917" s="7" t="str">
        <x:v>CH-PEA-C-X1-22-4</x:v>
      </x:c>
      <x:c r="F4917" s="7" t="str">
        <x:f>'Channel Instances'!O1864</x:f>
        <x:v>OPEN</x:v>
      </x:c>
    </x:row>
    <x:row r="4918">
      <x:c r="B4918" s="7" t="str">
        <x:v>AG-04912</x:v>
      </x:c>
      <x:c r="C4918" s="7" t="str">
        <x:v>PEA-C-X1</x:v>
      </x:c>
      <x:c r="D4918" s="7" t="str">
        <x:v>channel instance</x:v>
      </x:c>
      <x:c r="E4918" s="7" t="str">
        <x:v>CH-PEA-C-X1-22-5</x:v>
      </x:c>
      <x:c r="F4918" s="7" t="str">
        <x:f>'Channel Instances'!O1865</x:f>
        <x:v>OPEN</x:v>
      </x:c>
    </x:row>
    <x:row r="4919">
      <x:c r="B4919" s="7" t="str">
        <x:v>AG-04913</x:v>
      </x:c>
      <x:c r="C4919" s="7" t="str">
        <x:v>PEA-C-X1</x:v>
      </x:c>
      <x:c r="D4919" s="7" t="str">
        <x:v>channel instance</x:v>
      </x:c>
      <x:c r="E4919" s="7" t="str">
        <x:v>CH-PEA-C-X1-22-6</x:v>
      </x:c>
      <x:c r="F4919" s="7" t="str">
        <x:f>'Channel Instances'!O1866</x:f>
        <x:v>OPEN</x:v>
      </x:c>
    </x:row>
    <x:row r="4920">
      <x:c r="B4920" s="7" t="str">
        <x:v>AG-04914</x:v>
      </x:c>
      <x:c r="C4920" s="7" t="str">
        <x:v>PEA-C-X1</x:v>
      </x:c>
      <x:c r="D4920" s="7" t="str">
        <x:v>channel instance</x:v>
      </x:c>
      <x:c r="E4920" s="7" t="str">
        <x:v>CH-PEA-C-X1-23-1</x:v>
      </x:c>
      <x:c r="F4920" s="7" t="str">
        <x:f>'Channel Instances'!O1867</x:f>
        <x:v>OPEN</x:v>
      </x:c>
    </x:row>
    <x:row r="4921">
      <x:c r="B4921" s="7" t="str">
        <x:v>AG-04915</x:v>
      </x:c>
      <x:c r="C4921" s="7" t="str">
        <x:v>PEA-C-X1</x:v>
      </x:c>
      <x:c r="D4921" s="7" t="str">
        <x:v>channel instance</x:v>
      </x:c>
      <x:c r="E4921" s="7" t="str">
        <x:v>CH-PEA-C-X1-23-2</x:v>
      </x:c>
      <x:c r="F4921" s="7" t="str">
        <x:f>'Channel Instances'!O1868</x:f>
        <x:v>OPEN</x:v>
      </x:c>
    </x:row>
    <x:row r="4922">
      <x:c r="B4922" s="7" t="str">
        <x:v>AG-04916</x:v>
      </x:c>
      <x:c r="C4922" s="7" t="str">
        <x:v>PEA-C-X1</x:v>
      </x:c>
      <x:c r="D4922" s="7" t="str">
        <x:v>channel instance</x:v>
      </x:c>
      <x:c r="E4922" s="7" t="str">
        <x:v>CH-PEA-C-X1-23-3</x:v>
      </x:c>
      <x:c r="F4922" s="7" t="str">
        <x:f>'Channel Instances'!O1869</x:f>
        <x:v>OPEN</x:v>
      </x:c>
    </x:row>
    <x:row r="4923">
      <x:c r="B4923" s="7" t="str">
        <x:v>AG-04917</x:v>
      </x:c>
      <x:c r="C4923" s="7" t="str">
        <x:v>PEA-C-X1</x:v>
      </x:c>
      <x:c r="D4923" s="7" t="str">
        <x:v>channel instance</x:v>
      </x:c>
      <x:c r="E4923" s="7" t="str">
        <x:v>CH-PEA-C-X1-23-4</x:v>
      </x:c>
      <x:c r="F4923" s="7" t="str">
        <x:f>'Channel Instances'!O1870</x:f>
        <x:v>OPEN</x:v>
      </x:c>
    </x:row>
    <x:row r="4924">
      <x:c r="B4924" s="7" t="str">
        <x:v>AG-04918</x:v>
      </x:c>
      <x:c r="C4924" s="7" t="str">
        <x:v>PEA-C-X1</x:v>
      </x:c>
      <x:c r="D4924" s="7" t="str">
        <x:v>channel instance</x:v>
      </x:c>
      <x:c r="E4924" s="7" t="str">
        <x:v>CH-PEA-C-X1-23-5</x:v>
      </x:c>
      <x:c r="F4924" s="7" t="str">
        <x:f>'Channel Instances'!O1871</x:f>
        <x:v>OPEN</x:v>
      </x:c>
    </x:row>
    <x:row r="4925">
      <x:c r="B4925" s="7" t="str">
        <x:v>AG-04919</x:v>
      </x:c>
      <x:c r="C4925" s="7" t="str">
        <x:v>PEA-C-X1</x:v>
      </x:c>
      <x:c r="D4925" s="7" t="str">
        <x:v>channel instance</x:v>
      </x:c>
      <x:c r="E4925" s="7" t="str">
        <x:v>CH-PEA-C-X1-23-6</x:v>
      </x:c>
      <x:c r="F4925" s="7" t="str">
        <x:f>'Channel Instances'!O1872</x:f>
        <x:v>OPEN</x:v>
      </x:c>
    </x:row>
    <x:row r="4926">
      <x:c r="B4926" s="7" t="str">
        <x:v>AG-04920</x:v>
      </x:c>
      <x:c r="C4926" s="7" t="str">
        <x:v>PEA-C-X1</x:v>
      </x:c>
      <x:c r="D4926" s="7" t="str">
        <x:v>channel instance</x:v>
      </x:c>
      <x:c r="E4926" s="7" t="str">
        <x:v>CH-PEA-C-X1-24-1</x:v>
      </x:c>
      <x:c r="F4926" s="7" t="str">
        <x:f>'Channel Instances'!O1873</x:f>
        <x:v>OPEN</x:v>
      </x:c>
    </x:row>
    <x:row r="4927">
      <x:c r="B4927" s="7" t="str">
        <x:v>AG-04921</x:v>
      </x:c>
      <x:c r="C4927" s="7" t="str">
        <x:v>PEA-C-X1</x:v>
      </x:c>
      <x:c r="D4927" s="7" t="str">
        <x:v>channel instance</x:v>
      </x:c>
      <x:c r="E4927" s="7" t="str">
        <x:v>CH-PEA-C-X1-24-2</x:v>
      </x:c>
      <x:c r="F4927" s="7" t="str">
        <x:f>'Channel Instances'!O1874</x:f>
        <x:v>OPEN</x:v>
      </x:c>
    </x:row>
    <x:row r="4928">
      <x:c r="B4928" s="7" t="str">
        <x:v>AG-04922</x:v>
      </x:c>
      <x:c r="C4928" s="7" t="str">
        <x:v>PEA-C-X1</x:v>
      </x:c>
      <x:c r="D4928" s="7" t="str">
        <x:v>channel instance</x:v>
      </x:c>
      <x:c r="E4928" s="7" t="str">
        <x:v>CH-PEA-C-X1-24-3</x:v>
      </x:c>
      <x:c r="F4928" s="7" t="str">
        <x:f>'Channel Instances'!O1875</x:f>
        <x:v>OPEN</x:v>
      </x:c>
    </x:row>
    <x:row r="4929">
      <x:c r="B4929" s="7" t="str">
        <x:v>AG-04923</x:v>
      </x:c>
      <x:c r="C4929" s="7" t="str">
        <x:v>PEA-C-X1</x:v>
      </x:c>
      <x:c r="D4929" s="7" t="str">
        <x:v>channel instance</x:v>
      </x:c>
      <x:c r="E4929" s="7" t="str">
        <x:v>CH-PEA-C-X1-24-4</x:v>
      </x:c>
      <x:c r="F4929" s="7" t="str">
        <x:f>'Channel Instances'!O1876</x:f>
        <x:v>OPEN</x:v>
      </x:c>
    </x:row>
    <x:row r="4930">
      <x:c r="B4930" s="7" t="str">
        <x:v>AG-04924</x:v>
      </x:c>
      <x:c r="C4930" s="7" t="str">
        <x:v>PEA-C-X1</x:v>
      </x:c>
      <x:c r="D4930" s="7" t="str">
        <x:v>channel instance</x:v>
      </x:c>
      <x:c r="E4930" s="7" t="str">
        <x:v>CH-PEA-C-X1-24-5</x:v>
      </x:c>
      <x:c r="F4930" s="7" t="str">
        <x:f>'Channel Instances'!O1877</x:f>
        <x:v>OPEN</x:v>
      </x:c>
    </x:row>
    <x:row r="4931">
      <x:c r="B4931" s="7" t="str">
        <x:v>AG-04925</x:v>
      </x:c>
      <x:c r="C4931" s="7" t="str">
        <x:v>PEA-C-X1</x:v>
      </x:c>
      <x:c r="D4931" s="7" t="str">
        <x:v>channel instance</x:v>
      </x:c>
      <x:c r="E4931" s="7" t="str">
        <x:v>CH-PEA-C-X1-24-6</x:v>
      </x:c>
      <x:c r="F4931" s="7" t="str">
        <x:f>'Channel Instances'!O1878</x:f>
        <x:v>OPEN</x:v>
      </x:c>
    </x:row>
    <x:row r="4932">
      <x:c r="B4932" s="7" t="str">
        <x:v>AG-04926</x:v>
      </x:c>
      <x:c r="C4932" s="7" t="str">
        <x:v>PEA-C-X1</x:v>
      </x:c>
      <x:c r="D4932" s="7" t="str">
        <x:v>factory calibration</x:v>
      </x:c>
      <x:c r="E4932" s="7" t="str">
        <x:v>CAL-CH-PEA-C-X1-01-1</x:v>
      </x:c>
      <x:c r="F4932" s="7" t="str">
        <x:f>'Calibration Records'!M1735</x:f>
        <x:v>OPEN</x:v>
      </x:c>
    </x:row>
    <x:row r="4933">
      <x:c r="B4933" s="7" t="str">
        <x:v>AG-04927</x:v>
      </x:c>
      <x:c r="C4933" s="7" t="str">
        <x:v>PEA-C-X1</x:v>
      </x:c>
      <x:c r="D4933" s="7" t="str">
        <x:v>factory calibration</x:v>
      </x:c>
      <x:c r="E4933" s="7" t="str">
        <x:v>CAL-CH-PEA-C-X1-01-2</x:v>
      </x:c>
      <x:c r="F4933" s="7" t="str">
        <x:f>'Calibration Records'!M1736</x:f>
        <x:v>OPEN</x:v>
      </x:c>
    </x:row>
    <x:row r="4934">
      <x:c r="B4934" s="7" t="str">
        <x:v>AG-04928</x:v>
      </x:c>
      <x:c r="C4934" s="7" t="str">
        <x:v>PEA-C-X1</x:v>
      </x:c>
      <x:c r="D4934" s="7" t="str">
        <x:v>factory calibration</x:v>
      </x:c>
      <x:c r="E4934" s="7" t="str">
        <x:v>CAL-CH-PEA-C-X1-01-3</x:v>
      </x:c>
      <x:c r="F4934" s="7" t="str">
        <x:f>'Calibration Records'!M1737</x:f>
        <x:v>OPEN</x:v>
      </x:c>
    </x:row>
    <x:row r="4935">
      <x:c r="B4935" s="7" t="str">
        <x:v>AG-04929</x:v>
      </x:c>
      <x:c r="C4935" s="7" t="str">
        <x:v>PEA-C-X1</x:v>
      </x:c>
      <x:c r="D4935" s="7" t="str">
        <x:v>factory calibration</x:v>
      </x:c>
      <x:c r="E4935" s="7" t="str">
        <x:v>CAL-CH-PEA-C-X1-01-4</x:v>
      </x:c>
      <x:c r="F4935" s="7" t="str">
        <x:f>'Calibration Records'!M1738</x:f>
        <x:v>OPEN</x:v>
      </x:c>
    </x:row>
    <x:row r="4936">
      <x:c r="B4936" s="7" t="str">
        <x:v>AG-04930</x:v>
      </x:c>
      <x:c r="C4936" s="7" t="str">
        <x:v>PEA-C-X1</x:v>
      </x:c>
      <x:c r="D4936" s="7" t="str">
        <x:v>factory calibration</x:v>
      </x:c>
      <x:c r="E4936" s="7" t="str">
        <x:v>CAL-CH-PEA-C-X1-01-5</x:v>
      </x:c>
      <x:c r="F4936" s="7" t="str">
        <x:f>'Calibration Records'!M1739</x:f>
        <x:v>OPEN</x:v>
      </x:c>
    </x:row>
    <x:row r="4937">
      <x:c r="B4937" s="7" t="str">
        <x:v>AG-04931</x:v>
      </x:c>
      <x:c r="C4937" s="7" t="str">
        <x:v>PEA-C-X1</x:v>
      </x:c>
      <x:c r="D4937" s="7" t="str">
        <x:v>factory calibration</x:v>
      </x:c>
      <x:c r="E4937" s="7" t="str">
        <x:v>CAL-CH-PEA-C-X1-01-6</x:v>
      </x:c>
      <x:c r="F4937" s="7" t="str">
        <x:f>'Calibration Records'!M1740</x:f>
        <x:v>OPEN</x:v>
      </x:c>
    </x:row>
    <x:row r="4938">
      <x:c r="B4938" s="7" t="str">
        <x:v>AG-04932</x:v>
      </x:c>
      <x:c r="C4938" s="7" t="str">
        <x:v>PEA-C-X1</x:v>
      </x:c>
      <x:c r="D4938" s="7" t="str">
        <x:v>factory calibration</x:v>
      </x:c>
      <x:c r="E4938" s="7" t="str">
        <x:v>CAL-CH-PEA-C-X1-02-1</x:v>
      </x:c>
      <x:c r="F4938" s="7" t="str">
        <x:f>'Calibration Records'!M1741</x:f>
        <x:v>OPEN</x:v>
      </x:c>
    </x:row>
    <x:row r="4939">
      <x:c r="B4939" s="7" t="str">
        <x:v>AG-04933</x:v>
      </x:c>
      <x:c r="C4939" s="7" t="str">
        <x:v>PEA-C-X1</x:v>
      </x:c>
      <x:c r="D4939" s="7" t="str">
        <x:v>factory calibration</x:v>
      </x:c>
      <x:c r="E4939" s="7" t="str">
        <x:v>CAL-CH-PEA-C-X1-02-2</x:v>
      </x:c>
      <x:c r="F4939" s="7" t="str">
        <x:f>'Calibration Records'!M1742</x:f>
        <x:v>OPEN</x:v>
      </x:c>
    </x:row>
    <x:row r="4940">
      <x:c r="B4940" s="7" t="str">
        <x:v>AG-04934</x:v>
      </x:c>
      <x:c r="C4940" s="7" t="str">
        <x:v>PEA-C-X1</x:v>
      </x:c>
      <x:c r="D4940" s="7" t="str">
        <x:v>factory calibration</x:v>
      </x:c>
      <x:c r="E4940" s="7" t="str">
        <x:v>CAL-CH-PEA-C-X1-02-3</x:v>
      </x:c>
      <x:c r="F4940" s="7" t="str">
        <x:f>'Calibration Records'!M1743</x:f>
        <x:v>OPEN</x:v>
      </x:c>
    </x:row>
    <x:row r="4941">
      <x:c r="B4941" s="7" t="str">
        <x:v>AG-04935</x:v>
      </x:c>
      <x:c r="C4941" s="7" t="str">
        <x:v>PEA-C-X1</x:v>
      </x:c>
      <x:c r="D4941" s="7" t="str">
        <x:v>factory calibration</x:v>
      </x:c>
      <x:c r="E4941" s="7" t="str">
        <x:v>CAL-CH-PEA-C-X1-02-4</x:v>
      </x:c>
      <x:c r="F4941" s="7" t="str">
        <x:f>'Calibration Records'!M1744</x:f>
        <x:v>OPEN</x:v>
      </x:c>
    </x:row>
    <x:row r="4942">
      <x:c r="B4942" s="7" t="str">
        <x:v>AG-04936</x:v>
      </x:c>
      <x:c r="C4942" s="7" t="str">
        <x:v>PEA-C-X1</x:v>
      </x:c>
      <x:c r="D4942" s="7" t="str">
        <x:v>factory calibration</x:v>
      </x:c>
      <x:c r="E4942" s="7" t="str">
        <x:v>CAL-CH-PEA-C-X1-02-5</x:v>
      </x:c>
      <x:c r="F4942" s="7" t="str">
        <x:f>'Calibration Records'!M1745</x:f>
        <x:v>OPEN</x:v>
      </x:c>
    </x:row>
    <x:row r="4943">
      <x:c r="B4943" s="7" t="str">
        <x:v>AG-04937</x:v>
      </x:c>
      <x:c r="C4943" s="7" t="str">
        <x:v>PEA-C-X1</x:v>
      </x:c>
      <x:c r="D4943" s="7" t="str">
        <x:v>factory calibration</x:v>
      </x:c>
      <x:c r="E4943" s="7" t="str">
        <x:v>CAL-CH-PEA-C-X1-02-6</x:v>
      </x:c>
      <x:c r="F4943" s="7" t="str">
        <x:f>'Calibration Records'!M1746</x:f>
        <x:v>OPEN</x:v>
      </x:c>
    </x:row>
    <x:row r="4944">
      <x:c r="B4944" s="7" t="str">
        <x:v>AG-04938</x:v>
      </x:c>
      <x:c r="C4944" s="7" t="str">
        <x:v>PEA-C-X1</x:v>
      </x:c>
      <x:c r="D4944" s="7" t="str">
        <x:v>factory calibration</x:v>
      </x:c>
      <x:c r="E4944" s="7" t="str">
        <x:v>CAL-CH-PEA-C-X1-03-1</x:v>
      </x:c>
      <x:c r="F4944" s="7" t="str">
        <x:f>'Calibration Records'!M1747</x:f>
        <x:v>OPEN</x:v>
      </x:c>
    </x:row>
    <x:row r="4945">
      <x:c r="B4945" s="7" t="str">
        <x:v>AG-04939</x:v>
      </x:c>
      <x:c r="C4945" s="7" t="str">
        <x:v>PEA-C-X1</x:v>
      </x:c>
      <x:c r="D4945" s="7" t="str">
        <x:v>factory calibration</x:v>
      </x:c>
      <x:c r="E4945" s="7" t="str">
        <x:v>CAL-CH-PEA-C-X1-03-2</x:v>
      </x:c>
      <x:c r="F4945" s="7" t="str">
        <x:f>'Calibration Records'!M1748</x:f>
        <x:v>OPEN</x:v>
      </x:c>
    </x:row>
    <x:row r="4946">
      <x:c r="B4946" s="7" t="str">
        <x:v>AG-04940</x:v>
      </x:c>
      <x:c r="C4946" s="7" t="str">
        <x:v>PEA-C-X1</x:v>
      </x:c>
      <x:c r="D4946" s="7" t="str">
        <x:v>factory calibration</x:v>
      </x:c>
      <x:c r="E4946" s="7" t="str">
        <x:v>CAL-CH-PEA-C-X1-03-3</x:v>
      </x:c>
      <x:c r="F4946" s="7" t="str">
        <x:f>'Calibration Records'!M1749</x:f>
        <x:v>OPEN</x:v>
      </x:c>
    </x:row>
    <x:row r="4947">
      <x:c r="B4947" s="7" t="str">
        <x:v>AG-04941</x:v>
      </x:c>
      <x:c r="C4947" s="7" t="str">
        <x:v>PEA-C-X1</x:v>
      </x:c>
      <x:c r="D4947" s="7" t="str">
        <x:v>factory calibration</x:v>
      </x:c>
      <x:c r="E4947" s="7" t="str">
        <x:v>CAL-CH-PEA-C-X1-03-4</x:v>
      </x:c>
      <x:c r="F4947" s="7" t="str">
        <x:f>'Calibration Records'!M1750</x:f>
        <x:v>OPEN</x:v>
      </x:c>
    </x:row>
    <x:row r="4948">
      <x:c r="B4948" s="7" t="str">
        <x:v>AG-04942</x:v>
      </x:c>
      <x:c r="C4948" s="7" t="str">
        <x:v>PEA-C-X1</x:v>
      </x:c>
      <x:c r="D4948" s="7" t="str">
        <x:v>factory calibration</x:v>
      </x:c>
      <x:c r="E4948" s="7" t="str">
        <x:v>CAL-CH-PEA-C-X1-03-5</x:v>
      </x:c>
      <x:c r="F4948" s="7" t="str">
        <x:f>'Calibration Records'!M1751</x:f>
        <x:v>OPEN</x:v>
      </x:c>
    </x:row>
    <x:row r="4949">
      <x:c r="B4949" s="7" t="str">
        <x:v>AG-04943</x:v>
      </x:c>
      <x:c r="C4949" s="7" t="str">
        <x:v>PEA-C-X1</x:v>
      </x:c>
      <x:c r="D4949" s="7" t="str">
        <x:v>factory calibration</x:v>
      </x:c>
      <x:c r="E4949" s="7" t="str">
        <x:v>CAL-CH-PEA-C-X1-03-6</x:v>
      </x:c>
      <x:c r="F4949" s="7" t="str">
        <x:f>'Calibration Records'!M1752</x:f>
        <x:v>OPEN</x:v>
      </x:c>
    </x:row>
    <x:row r="4950">
      <x:c r="B4950" s="7" t="str">
        <x:v>AG-04944</x:v>
      </x:c>
      <x:c r="C4950" s="7" t="str">
        <x:v>PEA-C-X1</x:v>
      </x:c>
      <x:c r="D4950" s="7" t="str">
        <x:v>factory calibration</x:v>
      </x:c>
      <x:c r="E4950" s="7" t="str">
        <x:v>CAL-CH-PEA-C-X1-04-1</x:v>
      </x:c>
      <x:c r="F4950" s="7" t="str">
        <x:f>'Calibration Records'!M1753</x:f>
        <x:v>OPEN</x:v>
      </x:c>
    </x:row>
    <x:row r="4951">
      <x:c r="B4951" s="7" t="str">
        <x:v>AG-04945</x:v>
      </x:c>
      <x:c r="C4951" s="7" t="str">
        <x:v>PEA-C-X1</x:v>
      </x:c>
      <x:c r="D4951" s="7" t="str">
        <x:v>factory calibration</x:v>
      </x:c>
      <x:c r="E4951" s="7" t="str">
        <x:v>CAL-CH-PEA-C-X1-04-2</x:v>
      </x:c>
      <x:c r="F4951" s="7" t="str">
        <x:f>'Calibration Records'!M1754</x:f>
        <x:v>OPEN</x:v>
      </x:c>
    </x:row>
    <x:row r="4952">
      <x:c r="B4952" s="7" t="str">
        <x:v>AG-04946</x:v>
      </x:c>
      <x:c r="C4952" s="7" t="str">
        <x:v>PEA-C-X1</x:v>
      </x:c>
      <x:c r="D4952" s="7" t="str">
        <x:v>factory calibration</x:v>
      </x:c>
      <x:c r="E4952" s="7" t="str">
        <x:v>CAL-CH-PEA-C-X1-04-3</x:v>
      </x:c>
      <x:c r="F4952" s="7" t="str">
        <x:f>'Calibration Records'!M1755</x:f>
        <x:v>OPEN</x:v>
      </x:c>
    </x:row>
    <x:row r="4953">
      <x:c r="B4953" s="7" t="str">
        <x:v>AG-04947</x:v>
      </x:c>
      <x:c r="C4953" s="7" t="str">
        <x:v>PEA-C-X1</x:v>
      </x:c>
      <x:c r="D4953" s="7" t="str">
        <x:v>factory calibration</x:v>
      </x:c>
      <x:c r="E4953" s="7" t="str">
        <x:v>CAL-CH-PEA-C-X1-04-4</x:v>
      </x:c>
      <x:c r="F4953" s="7" t="str">
        <x:f>'Calibration Records'!M1756</x:f>
        <x:v>OPEN</x:v>
      </x:c>
    </x:row>
    <x:row r="4954">
      <x:c r="B4954" s="7" t="str">
        <x:v>AG-04948</x:v>
      </x:c>
      <x:c r="C4954" s="7" t="str">
        <x:v>PEA-C-X1</x:v>
      </x:c>
      <x:c r="D4954" s="7" t="str">
        <x:v>factory calibration</x:v>
      </x:c>
      <x:c r="E4954" s="7" t="str">
        <x:v>CAL-CH-PEA-C-X1-04-5</x:v>
      </x:c>
      <x:c r="F4954" s="7" t="str">
        <x:f>'Calibration Records'!M1757</x:f>
        <x:v>OPEN</x:v>
      </x:c>
    </x:row>
    <x:row r="4955">
      <x:c r="B4955" s="7" t="str">
        <x:v>AG-04949</x:v>
      </x:c>
      <x:c r="C4955" s="7" t="str">
        <x:v>PEA-C-X1</x:v>
      </x:c>
      <x:c r="D4955" s="7" t="str">
        <x:v>factory calibration</x:v>
      </x:c>
      <x:c r="E4955" s="7" t="str">
        <x:v>CAL-CH-PEA-C-X1-04-6</x:v>
      </x:c>
      <x:c r="F4955" s="7" t="str">
        <x:f>'Calibration Records'!M1758</x:f>
        <x:v>OPEN</x:v>
      </x:c>
    </x:row>
    <x:row r="4956">
      <x:c r="B4956" s="7" t="str">
        <x:v>AG-04950</x:v>
      </x:c>
      <x:c r="C4956" s="7" t="str">
        <x:v>PEA-C-X1</x:v>
      </x:c>
      <x:c r="D4956" s="7" t="str">
        <x:v>factory calibration</x:v>
      </x:c>
      <x:c r="E4956" s="7" t="str">
        <x:v>CAL-CH-PEA-C-X1-05-1</x:v>
      </x:c>
      <x:c r="F4956" s="7" t="str">
        <x:f>'Calibration Records'!M1759</x:f>
        <x:v>OPEN</x:v>
      </x:c>
    </x:row>
    <x:row r="4957">
      <x:c r="B4957" s="7" t="str">
        <x:v>AG-04951</x:v>
      </x:c>
      <x:c r="C4957" s="7" t="str">
        <x:v>PEA-C-X1</x:v>
      </x:c>
      <x:c r="D4957" s="7" t="str">
        <x:v>factory calibration</x:v>
      </x:c>
      <x:c r="E4957" s="7" t="str">
        <x:v>CAL-CH-PEA-C-X1-05-2</x:v>
      </x:c>
      <x:c r="F4957" s="7" t="str">
        <x:f>'Calibration Records'!M1760</x:f>
        <x:v>OPEN</x:v>
      </x:c>
    </x:row>
    <x:row r="4958">
      <x:c r="B4958" s="7" t="str">
        <x:v>AG-04952</x:v>
      </x:c>
      <x:c r="C4958" s="7" t="str">
        <x:v>PEA-C-X1</x:v>
      </x:c>
      <x:c r="D4958" s="7" t="str">
        <x:v>factory calibration</x:v>
      </x:c>
      <x:c r="E4958" s="7" t="str">
        <x:v>CAL-CH-PEA-C-X1-05-3</x:v>
      </x:c>
      <x:c r="F4958" s="7" t="str">
        <x:f>'Calibration Records'!M1761</x:f>
        <x:v>OPEN</x:v>
      </x:c>
    </x:row>
    <x:row r="4959">
      <x:c r="B4959" s="7" t="str">
        <x:v>AG-04953</x:v>
      </x:c>
      <x:c r="C4959" s="7" t="str">
        <x:v>PEA-C-X1</x:v>
      </x:c>
      <x:c r="D4959" s="7" t="str">
        <x:v>factory calibration</x:v>
      </x:c>
      <x:c r="E4959" s="7" t="str">
        <x:v>CAL-CH-PEA-C-X1-05-4</x:v>
      </x:c>
      <x:c r="F4959" s="7" t="str">
        <x:f>'Calibration Records'!M1762</x:f>
        <x:v>OPEN</x:v>
      </x:c>
    </x:row>
    <x:row r="4960">
      <x:c r="B4960" s="7" t="str">
        <x:v>AG-04954</x:v>
      </x:c>
      <x:c r="C4960" s="7" t="str">
        <x:v>PEA-C-X1</x:v>
      </x:c>
      <x:c r="D4960" s="7" t="str">
        <x:v>factory calibration</x:v>
      </x:c>
      <x:c r="E4960" s="7" t="str">
        <x:v>CAL-CH-PEA-C-X1-05-5</x:v>
      </x:c>
      <x:c r="F4960" s="7" t="str">
        <x:f>'Calibration Records'!M1763</x:f>
        <x:v>OPEN</x:v>
      </x:c>
    </x:row>
    <x:row r="4961">
      <x:c r="B4961" s="7" t="str">
        <x:v>AG-04955</x:v>
      </x:c>
      <x:c r="C4961" s="7" t="str">
        <x:v>PEA-C-X1</x:v>
      </x:c>
      <x:c r="D4961" s="7" t="str">
        <x:v>factory calibration</x:v>
      </x:c>
      <x:c r="E4961" s="7" t="str">
        <x:v>CAL-CH-PEA-C-X1-05-6</x:v>
      </x:c>
      <x:c r="F4961" s="7" t="str">
        <x:f>'Calibration Records'!M1764</x:f>
        <x:v>OPEN</x:v>
      </x:c>
    </x:row>
    <x:row r="4962">
      <x:c r="B4962" s="7" t="str">
        <x:v>AG-04956</x:v>
      </x:c>
      <x:c r="C4962" s="7" t="str">
        <x:v>PEA-C-X1</x:v>
      </x:c>
      <x:c r="D4962" s="7" t="str">
        <x:v>factory calibration</x:v>
      </x:c>
      <x:c r="E4962" s="7" t="str">
        <x:v>CAL-CH-PEA-C-X1-06-1</x:v>
      </x:c>
      <x:c r="F4962" s="7" t="str">
        <x:f>'Calibration Records'!M1765</x:f>
        <x:v>OPEN</x:v>
      </x:c>
    </x:row>
    <x:row r="4963">
      <x:c r="B4963" s="7" t="str">
        <x:v>AG-04957</x:v>
      </x:c>
      <x:c r="C4963" s="7" t="str">
        <x:v>PEA-C-X1</x:v>
      </x:c>
      <x:c r="D4963" s="7" t="str">
        <x:v>factory calibration</x:v>
      </x:c>
      <x:c r="E4963" s="7" t="str">
        <x:v>CAL-CH-PEA-C-X1-06-2</x:v>
      </x:c>
      <x:c r="F4963" s="7" t="str">
        <x:f>'Calibration Records'!M1766</x:f>
        <x:v>OPEN</x:v>
      </x:c>
    </x:row>
    <x:row r="4964">
      <x:c r="B4964" s="7" t="str">
        <x:v>AG-04958</x:v>
      </x:c>
      <x:c r="C4964" s="7" t="str">
        <x:v>PEA-C-X1</x:v>
      </x:c>
      <x:c r="D4964" s="7" t="str">
        <x:v>factory calibration</x:v>
      </x:c>
      <x:c r="E4964" s="7" t="str">
        <x:v>CAL-CH-PEA-C-X1-06-3</x:v>
      </x:c>
      <x:c r="F4964" s="7" t="str">
        <x:f>'Calibration Records'!M1767</x:f>
        <x:v>OPEN</x:v>
      </x:c>
    </x:row>
    <x:row r="4965">
      <x:c r="B4965" s="7" t="str">
        <x:v>AG-04959</x:v>
      </x:c>
      <x:c r="C4965" s="7" t="str">
        <x:v>PEA-C-X1</x:v>
      </x:c>
      <x:c r="D4965" s="7" t="str">
        <x:v>factory calibration</x:v>
      </x:c>
      <x:c r="E4965" s="7" t="str">
        <x:v>CAL-CH-PEA-C-X1-06-4</x:v>
      </x:c>
      <x:c r="F4965" s="7" t="str">
        <x:f>'Calibration Records'!M1768</x:f>
        <x:v>OPEN</x:v>
      </x:c>
    </x:row>
    <x:row r="4966">
      <x:c r="B4966" s="7" t="str">
        <x:v>AG-04960</x:v>
      </x:c>
      <x:c r="C4966" s="7" t="str">
        <x:v>PEA-C-X1</x:v>
      </x:c>
      <x:c r="D4966" s="7" t="str">
        <x:v>factory calibration</x:v>
      </x:c>
      <x:c r="E4966" s="7" t="str">
        <x:v>CAL-CH-PEA-C-X1-06-5</x:v>
      </x:c>
      <x:c r="F4966" s="7" t="str">
        <x:f>'Calibration Records'!M1769</x:f>
        <x:v>OPEN</x:v>
      </x:c>
    </x:row>
    <x:row r="4967">
      <x:c r="B4967" s="7" t="str">
        <x:v>AG-04961</x:v>
      </x:c>
      <x:c r="C4967" s="7" t="str">
        <x:v>PEA-C-X1</x:v>
      </x:c>
      <x:c r="D4967" s="7" t="str">
        <x:v>factory calibration</x:v>
      </x:c>
      <x:c r="E4967" s="7" t="str">
        <x:v>CAL-CH-PEA-C-X1-06-6</x:v>
      </x:c>
      <x:c r="F4967" s="7" t="str">
        <x:f>'Calibration Records'!M1770</x:f>
        <x:v>OPEN</x:v>
      </x:c>
    </x:row>
    <x:row r="4968">
      <x:c r="B4968" s="7" t="str">
        <x:v>AG-04962</x:v>
      </x:c>
      <x:c r="C4968" s="7" t="str">
        <x:v>PEA-C-X1</x:v>
      </x:c>
      <x:c r="D4968" s="7" t="str">
        <x:v>factory calibration</x:v>
      </x:c>
      <x:c r="E4968" s="7" t="str">
        <x:v>CAL-CH-PEA-C-X1-07-1</x:v>
      </x:c>
      <x:c r="F4968" s="7" t="str">
        <x:f>'Calibration Records'!M1771</x:f>
        <x:v>OPEN</x:v>
      </x:c>
    </x:row>
    <x:row r="4969">
      <x:c r="B4969" s="7" t="str">
        <x:v>AG-04963</x:v>
      </x:c>
      <x:c r="C4969" s="7" t="str">
        <x:v>PEA-C-X1</x:v>
      </x:c>
      <x:c r="D4969" s="7" t="str">
        <x:v>factory calibration</x:v>
      </x:c>
      <x:c r="E4969" s="7" t="str">
        <x:v>CAL-CH-PEA-C-X1-07-2</x:v>
      </x:c>
      <x:c r="F4969" s="7" t="str">
        <x:f>'Calibration Records'!M1772</x:f>
        <x:v>OPEN</x:v>
      </x:c>
    </x:row>
    <x:row r="4970">
      <x:c r="B4970" s="7" t="str">
        <x:v>AG-04964</x:v>
      </x:c>
      <x:c r="C4970" s="7" t="str">
        <x:v>PEA-C-X1</x:v>
      </x:c>
      <x:c r="D4970" s="7" t="str">
        <x:v>factory calibration</x:v>
      </x:c>
      <x:c r="E4970" s="7" t="str">
        <x:v>CAL-CH-PEA-C-X1-07-3</x:v>
      </x:c>
      <x:c r="F4970" s="7" t="str">
        <x:f>'Calibration Records'!M1773</x:f>
        <x:v>OPEN</x:v>
      </x:c>
    </x:row>
    <x:row r="4971">
      <x:c r="B4971" s="7" t="str">
        <x:v>AG-04965</x:v>
      </x:c>
      <x:c r="C4971" s="7" t="str">
        <x:v>PEA-C-X1</x:v>
      </x:c>
      <x:c r="D4971" s="7" t="str">
        <x:v>factory calibration</x:v>
      </x:c>
      <x:c r="E4971" s="7" t="str">
        <x:v>CAL-CH-PEA-C-X1-07-4</x:v>
      </x:c>
      <x:c r="F4971" s="7" t="str">
        <x:f>'Calibration Records'!M1774</x:f>
        <x:v>OPEN</x:v>
      </x:c>
    </x:row>
    <x:row r="4972">
      <x:c r="B4972" s="7" t="str">
        <x:v>AG-04966</x:v>
      </x:c>
      <x:c r="C4972" s="7" t="str">
        <x:v>PEA-C-X1</x:v>
      </x:c>
      <x:c r="D4972" s="7" t="str">
        <x:v>factory calibration</x:v>
      </x:c>
      <x:c r="E4972" s="7" t="str">
        <x:v>CAL-CH-PEA-C-X1-07-5</x:v>
      </x:c>
      <x:c r="F4972" s="7" t="str">
        <x:f>'Calibration Records'!M1775</x:f>
        <x:v>OPEN</x:v>
      </x:c>
    </x:row>
    <x:row r="4973">
      <x:c r="B4973" s="7" t="str">
        <x:v>AG-04967</x:v>
      </x:c>
      <x:c r="C4973" s="7" t="str">
        <x:v>PEA-C-X1</x:v>
      </x:c>
      <x:c r="D4973" s="7" t="str">
        <x:v>factory calibration</x:v>
      </x:c>
      <x:c r="E4973" s="7" t="str">
        <x:v>CAL-CH-PEA-C-X1-07-6</x:v>
      </x:c>
      <x:c r="F4973" s="7" t="str">
        <x:f>'Calibration Records'!M1776</x:f>
        <x:v>OPEN</x:v>
      </x:c>
    </x:row>
    <x:row r="4974">
      <x:c r="B4974" s="7" t="str">
        <x:v>AG-04968</x:v>
      </x:c>
      <x:c r="C4974" s="7" t="str">
        <x:v>PEA-C-X1</x:v>
      </x:c>
      <x:c r="D4974" s="7" t="str">
        <x:v>factory calibration</x:v>
      </x:c>
      <x:c r="E4974" s="7" t="str">
        <x:v>CAL-CH-PEA-C-X1-08-1</x:v>
      </x:c>
      <x:c r="F4974" s="7" t="str">
        <x:f>'Calibration Records'!M1777</x:f>
        <x:v>OPEN</x:v>
      </x:c>
    </x:row>
    <x:row r="4975">
      <x:c r="B4975" s="7" t="str">
        <x:v>AG-04969</x:v>
      </x:c>
      <x:c r="C4975" s="7" t="str">
        <x:v>PEA-C-X1</x:v>
      </x:c>
      <x:c r="D4975" s="7" t="str">
        <x:v>factory calibration</x:v>
      </x:c>
      <x:c r="E4975" s="7" t="str">
        <x:v>CAL-CH-PEA-C-X1-08-2</x:v>
      </x:c>
      <x:c r="F4975" s="7" t="str">
        <x:f>'Calibration Records'!M1778</x:f>
        <x:v>OPEN</x:v>
      </x:c>
    </x:row>
    <x:row r="4976">
      <x:c r="B4976" s="7" t="str">
        <x:v>AG-04970</x:v>
      </x:c>
      <x:c r="C4976" s="7" t="str">
        <x:v>PEA-C-X1</x:v>
      </x:c>
      <x:c r="D4976" s="7" t="str">
        <x:v>factory calibration</x:v>
      </x:c>
      <x:c r="E4976" s="7" t="str">
        <x:v>CAL-CH-PEA-C-X1-08-3</x:v>
      </x:c>
      <x:c r="F4976" s="7" t="str">
        <x:f>'Calibration Records'!M1779</x:f>
        <x:v>OPEN</x:v>
      </x:c>
    </x:row>
    <x:row r="4977">
      <x:c r="B4977" s="7" t="str">
        <x:v>AG-04971</x:v>
      </x:c>
      <x:c r="C4977" s="7" t="str">
        <x:v>PEA-C-X1</x:v>
      </x:c>
      <x:c r="D4977" s="7" t="str">
        <x:v>factory calibration</x:v>
      </x:c>
      <x:c r="E4977" s="7" t="str">
        <x:v>CAL-CH-PEA-C-X1-08-4</x:v>
      </x:c>
      <x:c r="F4977" s="7" t="str">
        <x:f>'Calibration Records'!M1780</x:f>
        <x:v>OPEN</x:v>
      </x:c>
    </x:row>
    <x:row r="4978">
      <x:c r="B4978" s="7" t="str">
        <x:v>AG-04972</x:v>
      </x:c>
      <x:c r="C4978" s="7" t="str">
        <x:v>PEA-C-X1</x:v>
      </x:c>
      <x:c r="D4978" s="7" t="str">
        <x:v>factory calibration</x:v>
      </x:c>
      <x:c r="E4978" s="7" t="str">
        <x:v>CAL-CH-PEA-C-X1-08-5</x:v>
      </x:c>
      <x:c r="F4978" s="7" t="str">
        <x:f>'Calibration Records'!M1781</x:f>
        <x:v>OPEN</x:v>
      </x:c>
    </x:row>
    <x:row r="4979">
      <x:c r="B4979" s="7" t="str">
        <x:v>AG-04973</x:v>
      </x:c>
      <x:c r="C4979" s="7" t="str">
        <x:v>PEA-C-X1</x:v>
      </x:c>
      <x:c r="D4979" s="7" t="str">
        <x:v>factory calibration</x:v>
      </x:c>
      <x:c r="E4979" s="7" t="str">
        <x:v>CAL-CH-PEA-C-X1-08-6</x:v>
      </x:c>
      <x:c r="F4979" s="7" t="str">
        <x:f>'Calibration Records'!M1782</x:f>
        <x:v>OPEN</x:v>
      </x:c>
    </x:row>
    <x:row r="4980">
      <x:c r="B4980" s="7" t="str">
        <x:v>AG-04974</x:v>
      </x:c>
      <x:c r="C4980" s="7" t="str">
        <x:v>PEA-C-X1</x:v>
      </x:c>
      <x:c r="D4980" s="7" t="str">
        <x:v>factory calibration</x:v>
      </x:c>
      <x:c r="E4980" s="7" t="str">
        <x:v>CAL-CH-PEA-C-X1-09-1</x:v>
      </x:c>
      <x:c r="F4980" s="7" t="str">
        <x:f>'Calibration Records'!M1783</x:f>
        <x:v>OPEN</x:v>
      </x:c>
    </x:row>
    <x:row r="4981">
      <x:c r="B4981" s="7" t="str">
        <x:v>AG-04975</x:v>
      </x:c>
      <x:c r="C4981" s="7" t="str">
        <x:v>PEA-C-X1</x:v>
      </x:c>
      <x:c r="D4981" s="7" t="str">
        <x:v>factory calibration</x:v>
      </x:c>
      <x:c r="E4981" s="7" t="str">
        <x:v>CAL-CH-PEA-C-X1-09-2</x:v>
      </x:c>
      <x:c r="F4981" s="7" t="str">
        <x:f>'Calibration Records'!M1784</x:f>
        <x:v>OPEN</x:v>
      </x:c>
    </x:row>
    <x:row r="4982">
      <x:c r="B4982" s="7" t="str">
        <x:v>AG-04976</x:v>
      </x:c>
      <x:c r="C4982" s="7" t="str">
        <x:v>PEA-C-X1</x:v>
      </x:c>
      <x:c r="D4982" s="7" t="str">
        <x:v>factory calibration</x:v>
      </x:c>
      <x:c r="E4982" s="7" t="str">
        <x:v>CAL-CH-PEA-C-X1-09-3</x:v>
      </x:c>
      <x:c r="F4982" s="7" t="str">
        <x:f>'Calibration Records'!M1785</x:f>
        <x:v>OPEN</x:v>
      </x:c>
    </x:row>
    <x:row r="4983">
      <x:c r="B4983" s="7" t="str">
        <x:v>AG-04977</x:v>
      </x:c>
      <x:c r="C4983" s="7" t="str">
        <x:v>PEA-C-X1</x:v>
      </x:c>
      <x:c r="D4983" s="7" t="str">
        <x:v>factory calibration</x:v>
      </x:c>
      <x:c r="E4983" s="7" t="str">
        <x:v>CAL-CH-PEA-C-X1-09-4</x:v>
      </x:c>
      <x:c r="F4983" s="7" t="str">
        <x:f>'Calibration Records'!M1786</x:f>
        <x:v>OPEN</x:v>
      </x:c>
    </x:row>
    <x:row r="4984">
      <x:c r="B4984" s="7" t="str">
        <x:v>AG-04978</x:v>
      </x:c>
      <x:c r="C4984" s="7" t="str">
        <x:v>PEA-C-X1</x:v>
      </x:c>
      <x:c r="D4984" s="7" t="str">
        <x:v>factory calibration</x:v>
      </x:c>
      <x:c r="E4984" s="7" t="str">
        <x:v>CAL-CH-PEA-C-X1-09-5</x:v>
      </x:c>
      <x:c r="F4984" s="7" t="str">
        <x:f>'Calibration Records'!M1787</x:f>
        <x:v>OPEN</x:v>
      </x:c>
    </x:row>
    <x:row r="4985">
      <x:c r="B4985" s="7" t="str">
        <x:v>AG-04979</x:v>
      </x:c>
      <x:c r="C4985" s="7" t="str">
        <x:v>PEA-C-X1</x:v>
      </x:c>
      <x:c r="D4985" s="7" t="str">
        <x:v>factory calibration</x:v>
      </x:c>
      <x:c r="E4985" s="7" t="str">
        <x:v>CAL-CH-PEA-C-X1-09-6</x:v>
      </x:c>
      <x:c r="F4985" s="7" t="str">
        <x:f>'Calibration Records'!M1788</x:f>
        <x:v>OPEN</x:v>
      </x:c>
    </x:row>
    <x:row r="4986">
      <x:c r="B4986" s="7" t="str">
        <x:v>AG-04980</x:v>
      </x:c>
      <x:c r="C4986" s="7" t="str">
        <x:v>PEA-C-X1</x:v>
      </x:c>
      <x:c r="D4986" s="7" t="str">
        <x:v>factory calibration</x:v>
      </x:c>
      <x:c r="E4986" s="7" t="str">
        <x:v>CAL-CH-PEA-C-X1-10-1</x:v>
      </x:c>
      <x:c r="F4986" s="7" t="str">
        <x:f>'Calibration Records'!M1789</x:f>
        <x:v>OPEN</x:v>
      </x:c>
    </x:row>
    <x:row r="4987">
      <x:c r="B4987" s="7" t="str">
        <x:v>AG-04981</x:v>
      </x:c>
      <x:c r="C4987" s="7" t="str">
        <x:v>PEA-C-X1</x:v>
      </x:c>
      <x:c r="D4987" s="7" t="str">
        <x:v>factory calibration</x:v>
      </x:c>
      <x:c r="E4987" s="7" t="str">
        <x:v>CAL-CH-PEA-C-X1-10-2</x:v>
      </x:c>
      <x:c r="F4987" s="7" t="str">
        <x:f>'Calibration Records'!M1790</x:f>
        <x:v>OPEN</x:v>
      </x:c>
    </x:row>
    <x:row r="4988">
      <x:c r="B4988" s="7" t="str">
        <x:v>AG-04982</x:v>
      </x:c>
      <x:c r="C4988" s="7" t="str">
        <x:v>PEA-C-X1</x:v>
      </x:c>
      <x:c r="D4988" s="7" t="str">
        <x:v>factory calibration</x:v>
      </x:c>
      <x:c r="E4988" s="7" t="str">
        <x:v>CAL-CH-PEA-C-X1-10-3</x:v>
      </x:c>
      <x:c r="F4988" s="7" t="str">
        <x:f>'Calibration Records'!M1791</x:f>
        <x:v>OPEN</x:v>
      </x:c>
    </x:row>
    <x:row r="4989">
      <x:c r="B4989" s="7" t="str">
        <x:v>AG-04983</x:v>
      </x:c>
      <x:c r="C4989" s="7" t="str">
        <x:v>PEA-C-X1</x:v>
      </x:c>
      <x:c r="D4989" s="7" t="str">
        <x:v>factory calibration</x:v>
      </x:c>
      <x:c r="E4989" s="7" t="str">
        <x:v>CAL-CH-PEA-C-X1-10-4</x:v>
      </x:c>
      <x:c r="F4989" s="7" t="str">
        <x:f>'Calibration Records'!M1792</x:f>
        <x:v>OPEN</x:v>
      </x:c>
    </x:row>
    <x:row r="4990">
      <x:c r="B4990" s="7" t="str">
        <x:v>AG-04984</x:v>
      </x:c>
      <x:c r="C4990" s="7" t="str">
        <x:v>PEA-C-X1</x:v>
      </x:c>
      <x:c r="D4990" s="7" t="str">
        <x:v>factory calibration</x:v>
      </x:c>
      <x:c r="E4990" s="7" t="str">
        <x:v>CAL-CH-PEA-C-X1-10-5</x:v>
      </x:c>
      <x:c r="F4990" s="7" t="str">
        <x:f>'Calibration Records'!M1793</x:f>
        <x:v>OPEN</x:v>
      </x:c>
    </x:row>
    <x:row r="4991">
      <x:c r="B4991" s="7" t="str">
        <x:v>AG-04985</x:v>
      </x:c>
      <x:c r="C4991" s="7" t="str">
        <x:v>PEA-C-X1</x:v>
      </x:c>
      <x:c r="D4991" s="7" t="str">
        <x:v>factory calibration</x:v>
      </x:c>
      <x:c r="E4991" s="7" t="str">
        <x:v>CAL-CH-PEA-C-X1-10-6</x:v>
      </x:c>
      <x:c r="F4991" s="7" t="str">
        <x:f>'Calibration Records'!M1794</x:f>
        <x:v>OPEN</x:v>
      </x:c>
    </x:row>
    <x:row r="4992">
      <x:c r="B4992" s="7" t="str">
        <x:v>AG-04986</x:v>
      </x:c>
      <x:c r="C4992" s="7" t="str">
        <x:v>PEA-C-X1</x:v>
      </x:c>
      <x:c r="D4992" s="7" t="str">
        <x:v>factory calibration</x:v>
      </x:c>
      <x:c r="E4992" s="7" t="str">
        <x:v>CAL-CH-PEA-C-X1-11-1</x:v>
      </x:c>
      <x:c r="F4992" s="7" t="str">
        <x:f>'Calibration Records'!M1795</x:f>
        <x:v>OPEN</x:v>
      </x:c>
    </x:row>
    <x:row r="4993">
      <x:c r="B4993" s="7" t="str">
        <x:v>AG-04987</x:v>
      </x:c>
      <x:c r="C4993" s="7" t="str">
        <x:v>PEA-C-X1</x:v>
      </x:c>
      <x:c r="D4993" s="7" t="str">
        <x:v>factory calibration</x:v>
      </x:c>
      <x:c r="E4993" s="7" t="str">
        <x:v>CAL-CH-PEA-C-X1-11-2</x:v>
      </x:c>
      <x:c r="F4993" s="7" t="str">
        <x:f>'Calibration Records'!M1796</x:f>
        <x:v>OPEN</x:v>
      </x:c>
    </x:row>
    <x:row r="4994">
      <x:c r="B4994" s="7" t="str">
        <x:v>AG-04988</x:v>
      </x:c>
      <x:c r="C4994" s="7" t="str">
        <x:v>PEA-C-X1</x:v>
      </x:c>
      <x:c r="D4994" s="7" t="str">
        <x:v>factory calibration</x:v>
      </x:c>
      <x:c r="E4994" s="7" t="str">
        <x:v>CAL-CH-PEA-C-X1-11-3</x:v>
      </x:c>
      <x:c r="F4994" s="7" t="str">
        <x:f>'Calibration Records'!M1797</x:f>
        <x:v>OPEN</x:v>
      </x:c>
    </x:row>
    <x:row r="4995">
      <x:c r="B4995" s="7" t="str">
        <x:v>AG-04989</x:v>
      </x:c>
      <x:c r="C4995" s="7" t="str">
        <x:v>PEA-C-X1</x:v>
      </x:c>
      <x:c r="D4995" s="7" t="str">
        <x:v>factory calibration</x:v>
      </x:c>
      <x:c r="E4995" s="7" t="str">
        <x:v>CAL-CH-PEA-C-X1-11-4</x:v>
      </x:c>
      <x:c r="F4995" s="7" t="str">
        <x:f>'Calibration Records'!M1798</x:f>
        <x:v>OPEN</x:v>
      </x:c>
    </x:row>
    <x:row r="4996">
      <x:c r="B4996" s="7" t="str">
        <x:v>AG-04990</x:v>
      </x:c>
      <x:c r="C4996" s="7" t="str">
        <x:v>PEA-C-X1</x:v>
      </x:c>
      <x:c r="D4996" s="7" t="str">
        <x:v>factory calibration</x:v>
      </x:c>
      <x:c r="E4996" s="7" t="str">
        <x:v>CAL-CH-PEA-C-X1-11-5</x:v>
      </x:c>
      <x:c r="F4996" s="7" t="str">
        <x:f>'Calibration Records'!M1799</x:f>
        <x:v>OPEN</x:v>
      </x:c>
    </x:row>
    <x:row r="4997">
      <x:c r="B4997" s="7" t="str">
        <x:v>AG-04991</x:v>
      </x:c>
      <x:c r="C4997" s="7" t="str">
        <x:v>PEA-C-X1</x:v>
      </x:c>
      <x:c r="D4997" s="7" t="str">
        <x:v>factory calibration</x:v>
      </x:c>
      <x:c r="E4997" s="7" t="str">
        <x:v>CAL-CH-PEA-C-X1-11-6</x:v>
      </x:c>
      <x:c r="F4997" s="7" t="str">
        <x:f>'Calibration Records'!M1800</x:f>
        <x:v>OPEN</x:v>
      </x:c>
    </x:row>
    <x:row r="4998">
      <x:c r="B4998" s="7" t="str">
        <x:v>AG-04992</x:v>
      </x:c>
      <x:c r="C4998" s="7" t="str">
        <x:v>PEA-C-X1</x:v>
      </x:c>
      <x:c r="D4998" s="7" t="str">
        <x:v>factory calibration</x:v>
      </x:c>
      <x:c r="E4998" s="7" t="str">
        <x:v>CAL-CH-PEA-C-X1-12-1</x:v>
      </x:c>
      <x:c r="F4998" s="7" t="str">
        <x:f>'Calibration Records'!M1801</x:f>
        <x:v>OPEN</x:v>
      </x:c>
    </x:row>
    <x:row r="4999">
      <x:c r="B4999" s="7" t="str">
        <x:v>AG-04993</x:v>
      </x:c>
      <x:c r="C4999" s="7" t="str">
        <x:v>PEA-C-X1</x:v>
      </x:c>
      <x:c r="D4999" s="7" t="str">
        <x:v>factory calibration</x:v>
      </x:c>
      <x:c r="E4999" s="7" t="str">
        <x:v>CAL-CH-PEA-C-X1-12-2</x:v>
      </x:c>
      <x:c r="F4999" s="7" t="str">
        <x:f>'Calibration Records'!M1802</x:f>
        <x:v>OPEN</x:v>
      </x:c>
    </x:row>
    <x:row r="5000">
      <x:c r="B5000" s="7" t="str">
        <x:v>AG-04994</x:v>
      </x:c>
      <x:c r="C5000" s="7" t="str">
        <x:v>PEA-C-X1</x:v>
      </x:c>
      <x:c r="D5000" s="7" t="str">
        <x:v>factory calibration</x:v>
      </x:c>
      <x:c r="E5000" s="7" t="str">
        <x:v>CAL-CH-PEA-C-X1-12-3</x:v>
      </x:c>
      <x:c r="F5000" s="7" t="str">
        <x:f>'Calibration Records'!M1803</x:f>
        <x:v>OPEN</x:v>
      </x:c>
    </x:row>
    <x:row r="5001">
      <x:c r="B5001" s="7" t="str">
        <x:v>AG-04995</x:v>
      </x:c>
      <x:c r="C5001" s="7" t="str">
        <x:v>PEA-C-X1</x:v>
      </x:c>
      <x:c r="D5001" s="7" t="str">
        <x:v>factory calibration</x:v>
      </x:c>
      <x:c r="E5001" s="7" t="str">
        <x:v>CAL-CH-PEA-C-X1-12-4</x:v>
      </x:c>
      <x:c r="F5001" s="7" t="str">
        <x:f>'Calibration Records'!M1804</x:f>
        <x:v>OPEN</x:v>
      </x:c>
    </x:row>
    <x:row r="5002">
      <x:c r="B5002" s="7" t="str">
        <x:v>AG-04996</x:v>
      </x:c>
      <x:c r="C5002" s="7" t="str">
        <x:v>PEA-C-X1</x:v>
      </x:c>
      <x:c r="D5002" s="7" t="str">
        <x:v>factory calibration</x:v>
      </x:c>
      <x:c r="E5002" s="7" t="str">
        <x:v>CAL-CH-PEA-C-X1-12-5</x:v>
      </x:c>
      <x:c r="F5002" s="7" t="str">
        <x:f>'Calibration Records'!M1805</x:f>
        <x:v>OPEN</x:v>
      </x:c>
    </x:row>
    <x:row r="5003">
      <x:c r="B5003" s="7" t="str">
        <x:v>AG-04997</x:v>
      </x:c>
      <x:c r="C5003" s="7" t="str">
        <x:v>PEA-C-X1</x:v>
      </x:c>
      <x:c r="D5003" s="7" t="str">
        <x:v>factory calibration</x:v>
      </x:c>
      <x:c r="E5003" s="7" t="str">
        <x:v>CAL-CH-PEA-C-X1-12-6</x:v>
      </x:c>
      <x:c r="F5003" s="7" t="str">
        <x:f>'Calibration Records'!M1806</x:f>
        <x:v>OPEN</x:v>
      </x:c>
    </x:row>
    <x:row r="5004">
      <x:c r="B5004" s="7" t="str">
        <x:v>AG-04998</x:v>
      </x:c>
      <x:c r="C5004" s="7" t="str">
        <x:v>PEA-C-X1</x:v>
      </x:c>
      <x:c r="D5004" s="7" t="str">
        <x:v>factory calibration</x:v>
      </x:c>
      <x:c r="E5004" s="7" t="str">
        <x:v>CAL-CH-PEA-C-X1-13-1</x:v>
      </x:c>
      <x:c r="F5004" s="7" t="str">
        <x:f>'Calibration Records'!M1807</x:f>
        <x:v>OPEN</x:v>
      </x:c>
    </x:row>
    <x:row r="5005">
      <x:c r="B5005" s="7" t="str">
        <x:v>AG-04999</x:v>
      </x:c>
      <x:c r="C5005" s="7" t="str">
        <x:v>PEA-C-X1</x:v>
      </x:c>
      <x:c r="D5005" s="7" t="str">
        <x:v>factory calibration</x:v>
      </x:c>
      <x:c r="E5005" s="7" t="str">
        <x:v>CAL-CH-PEA-C-X1-13-2</x:v>
      </x:c>
      <x:c r="F5005" s="7" t="str">
        <x:f>'Calibration Records'!M1808</x:f>
        <x:v>OPEN</x:v>
      </x:c>
    </x:row>
    <x:row r="5006">
      <x:c r="B5006" s="7" t="str">
        <x:v>AG-05000</x:v>
      </x:c>
      <x:c r="C5006" s="7" t="str">
        <x:v>PEA-C-X1</x:v>
      </x:c>
      <x:c r="D5006" s="7" t="str">
        <x:v>factory calibration</x:v>
      </x:c>
      <x:c r="E5006" s="7" t="str">
        <x:v>CAL-CH-PEA-C-X1-13-3</x:v>
      </x:c>
      <x:c r="F5006" s="7" t="str">
        <x:f>'Calibration Records'!M1809</x:f>
        <x:v>OPEN</x:v>
      </x:c>
    </x:row>
    <x:row r="5007">
      <x:c r="B5007" s="7" t="str">
        <x:v>AG-05001</x:v>
      </x:c>
      <x:c r="C5007" s="7" t="str">
        <x:v>PEA-C-X1</x:v>
      </x:c>
      <x:c r="D5007" s="7" t="str">
        <x:v>factory calibration</x:v>
      </x:c>
      <x:c r="E5007" s="7" t="str">
        <x:v>CAL-CH-PEA-C-X1-13-4</x:v>
      </x:c>
      <x:c r="F5007" s="7" t="str">
        <x:f>'Calibration Records'!M1810</x:f>
        <x:v>OPEN</x:v>
      </x:c>
    </x:row>
    <x:row r="5008">
      <x:c r="B5008" s="7" t="str">
        <x:v>AG-05002</x:v>
      </x:c>
      <x:c r="C5008" s="7" t="str">
        <x:v>PEA-C-X1</x:v>
      </x:c>
      <x:c r="D5008" s="7" t="str">
        <x:v>factory calibration</x:v>
      </x:c>
      <x:c r="E5008" s="7" t="str">
        <x:v>CAL-CH-PEA-C-X1-13-5</x:v>
      </x:c>
      <x:c r="F5008" s="7" t="str">
        <x:f>'Calibration Records'!M1811</x:f>
        <x:v>OPEN</x:v>
      </x:c>
    </x:row>
    <x:row r="5009">
      <x:c r="B5009" s="7" t="str">
        <x:v>AG-05003</x:v>
      </x:c>
      <x:c r="C5009" s="7" t="str">
        <x:v>PEA-C-X1</x:v>
      </x:c>
      <x:c r="D5009" s="7" t="str">
        <x:v>factory calibration</x:v>
      </x:c>
      <x:c r="E5009" s="7" t="str">
        <x:v>CAL-CH-PEA-C-X1-13-6</x:v>
      </x:c>
      <x:c r="F5009" s="7" t="str">
        <x:f>'Calibration Records'!M1812</x:f>
        <x:v>OPEN</x:v>
      </x:c>
    </x:row>
    <x:row r="5010">
      <x:c r="B5010" s="7" t="str">
        <x:v>AG-05004</x:v>
      </x:c>
      <x:c r="C5010" s="7" t="str">
        <x:v>PEA-C-X1</x:v>
      </x:c>
      <x:c r="D5010" s="7" t="str">
        <x:v>factory calibration</x:v>
      </x:c>
      <x:c r="E5010" s="7" t="str">
        <x:v>CAL-CH-PEA-C-X1-14-1</x:v>
      </x:c>
      <x:c r="F5010" s="7" t="str">
        <x:f>'Calibration Records'!M1813</x:f>
        <x:v>OPEN</x:v>
      </x:c>
    </x:row>
    <x:row r="5011">
      <x:c r="B5011" s="7" t="str">
        <x:v>AG-05005</x:v>
      </x:c>
      <x:c r="C5011" s="7" t="str">
        <x:v>PEA-C-X1</x:v>
      </x:c>
      <x:c r="D5011" s="7" t="str">
        <x:v>factory calibration</x:v>
      </x:c>
      <x:c r="E5011" s="7" t="str">
        <x:v>CAL-CH-PEA-C-X1-14-2</x:v>
      </x:c>
      <x:c r="F5011" s="7" t="str">
        <x:f>'Calibration Records'!M1814</x:f>
        <x:v>OPEN</x:v>
      </x:c>
    </x:row>
    <x:row r="5012">
      <x:c r="B5012" s="7" t="str">
        <x:v>AG-05006</x:v>
      </x:c>
      <x:c r="C5012" s="7" t="str">
        <x:v>PEA-C-X1</x:v>
      </x:c>
      <x:c r="D5012" s="7" t="str">
        <x:v>factory calibration</x:v>
      </x:c>
      <x:c r="E5012" s="7" t="str">
        <x:v>CAL-CH-PEA-C-X1-14-3</x:v>
      </x:c>
      <x:c r="F5012" s="7" t="str">
        <x:f>'Calibration Records'!M1815</x:f>
        <x:v>OPEN</x:v>
      </x:c>
    </x:row>
    <x:row r="5013">
      <x:c r="B5013" s="7" t="str">
        <x:v>AG-05007</x:v>
      </x:c>
      <x:c r="C5013" s="7" t="str">
        <x:v>PEA-C-X1</x:v>
      </x:c>
      <x:c r="D5013" s="7" t="str">
        <x:v>factory calibration</x:v>
      </x:c>
      <x:c r="E5013" s="7" t="str">
        <x:v>CAL-CH-PEA-C-X1-14-4</x:v>
      </x:c>
      <x:c r="F5013" s="7" t="str">
        <x:f>'Calibration Records'!M1816</x:f>
        <x:v>OPEN</x:v>
      </x:c>
    </x:row>
    <x:row r="5014">
      <x:c r="B5014" s="7" t="str">
        <x:v>AG-05008</x:v>
      </x:c>
      <x:c r="C5014" s="7" t="str">
        <x:v>PEA-C-X1</x:v>
      </x:c>
      <x:c r="D5014" s="7" t="str">
        <x:v>factory calibration</x:v>
      </x:c>
      <x:c r="E5014" s="7" t="str">
        <x:v>CAL-CH-PEA-C-X1-14-5</x:v>
      </x:c>
      <x:c r="F5014" s="7" t="str">
        <x:f>'Calibration Records'!M1817</x:f>
        <x:v>OPEN</x:v>
      </x:c>
    </x:row>
    <x:row r="5015">
      <x:c r="B5015" s="7" t="str">
        <x:v>AG-05009</x:v>
      </x:c>
      <x:c r="C5015" s="7" t="str">
        <x:v>PEA-C-X1</x:v>
      </x:c>
      <x:c r="D5015" s="7" t="str">
        <x:v>factory calibration</x:v>
      </x:c>
      <x:c r="E5015" s="7" t="str">
        <x:v>CAL-CH-PEA-C-X1-14-6</x:v>
      </x:c>
      <x:c r="F5015" s="7" t="str">
        <x:f>'Calibration Records'!M1818</x:f>
        <x:v>OPEN</x:v>
      </x:c>
    </x:row>
    <x:row r="5016">
      <x:c r="B5016" s="7" t="str">
        <x:v>AG-05010</x:v>
      </x:c>
      <x:c r="C5016" s="7" t="str">
        <x:v>PEA-C-X1</x:v>
      </x:c>
      <x:c r="D5016" s="7" t="str">
        <x:v>factory calibration</x:v>
      </x:c>
      <x:c r="E5016" s="7" t="str">
        <x:v>CAL-CH-PEA-C-X1-15-1</x:v>
      </x:c>
      <x:c r="F5016" s="7" t="str">
        <x:f>'Calibration Records'!M1819</x:f>
        <x:v>OPEN</x:v>
      </x:c>
    </x:row>
    <x:row r="5017">
      <x:c r="B5017" s="7" t="str">
        <x:v>AG-05011</x:v>
      </x:c>
      <x:c r="C5017" s="7" t="str">
        <x:v>PEA-C-X1</x:v>
      </x:c>
      <x:c r="D5017" s="7" t="str">
        <x:v>factory calibration</x:v>
      </x:c>
      <x:c r="E5017" s="7" t="str">
        <x:v>CAL-CH-PEA-C-X1-15-2</x:v>
      </x:c>
      <x:c r="F5017" s="7" t="str">
        <x:f>'Calibration Records'!M1820</x:f>
        <x:v>OPEN</x:v>
      </x:c>
    </x:row>
    <x:row r="5018">
      <x:c r="B5018" s="7" t="str">
        <x:v>AG-05012</x:v>
      </x:c>
      <x:c r="C5018" s="7" t="str">
        <x:v>PEA-C-X1</x:v>
      </x:c>
      <x:c r="D5018" s="7" t="str">
        <x:v>factory calibration</x:v>
      </x:c>
      <x:c r="E5018" s="7" t="str">
        <x:v>CAL-CH-PEA-C-X1-15-3</x:v>
      </x:c>
      <x:c r="F5018" s="7" t="str">
        <x:f>'Calibration Records'!M1821</x:f>
        <x:v>OPEN</x:v>
      </x:c>
    </x:row>
    <x:row r="5019">
      <x:c r="B5019" s="7" t="str">
        <x:v>AG-05013</x:v>
      </x:c>
      <x:c r="C5019" s="7" t="str">
        <x:v>PEA-C-X1</x:v>
      </x:c>
      <x:c r="D5019" s="7" t="str">
        <x:v>factory calibration</x:v>
      </x:c>
      <x:c r="E5019" s="7" t="str">
        <x:v>CAL-CH-PEA-C-X1-15-4</x:v>
      </x:c>
      <x:c r="F5019" s="7" t="str">
        <x:f>'Calibration Records'!M1822</x:f>
        <x:v>OPEN</x:v>
      </x:c>
    </x:row>
    <x:row r="5020">
      <x:c r="B5020" s="7" t="str">
        <x:v>AG-05014</x:v>
      </x:c>
      <x:c r="C5020" s="7" t="str">
        <x:v>PEA-C-X1</x:v>
      </x:c>
      <x:c r="D5020" s="7" t="str">
        <x:v>factory calibration</x:v>
      </x:c>
      <x:c r="E5020" s="7" t="str">
        <x:v>CAL-CH-PEA-C-X1-15-5</x:v>
      </x:c>
      <x:c r="F5020" s="7" t="str">
        <x:f>'Calibration Records'!M1823</x:f>
        <x:v>OPEN</x:v>
      </x:c>
    </x:row>
    <x:row r="5021">
      <x:c r="B5021" s="7" t="str">
        <x:v>AG-05015</x:v>
      </x:c>
      <x:c r="C5021" s="7" t="str">
        <x:v>PEA-C-X1</x:v>
      </x:c>
      <x:c r="D5021" s="7" t="str">
        <x:v>factory calibration</x:v>
      </x:c>
      <x:c r="E5021" s="7" t="str">
        <x:v>CAL-CH-PEA-C-X1-15-6</x:v>
      </x:c>
      <x:c r="F5021" s="7" t="str">
        <x:f>'Calibration Records'!M1824</x:f>
        <x:v>OPEN</x:v>
      </x:c>
    </x:row>
    <x:row r="5022">
      <x:c r="B5022" s="7" t="str">
        <x:v>AG-05016</x:v>
      </x:c>
      <x:c r="C5022" s="7" t="str">
        <x:v>PEA-C-X1</x:v>
      </x:c>
      <x:c r="D5022" s="7" t="str">
        <x:v>factory calibration</x:v>
      </x:c>
      <x:c r="E5022" s="7" t="str">
        <x:v>CAL-CH-PEA-C-X1-16-1</x:v>
      </x:c>
      <x:c r="F5022" s="7" t="str">
        <x:f>'Calibration Records'!M1825</x:f>
        <x:v>OPEN</x:v>
      </x:c>
    </x:row>
    <x:row r="5023">
      <x:c r="B5023" s="7" t="str">
        <x:v>AG-05017</x:v>
      </x:c>
      <x:c r="C5023" s="7" t="str">
        <x:v>PEA-C-X1</x:v>
      </x:c>
      <x:c r="D5023" s="7" t="str">
        <x:v>factory calibration</x:v>
      </x:c>
      <x:c r="E5023" s="7" t="str">
        <x:v>CAL-CH-PEA-C-X1-16-2</x:v>
      </x:c>
      <x:c r="F5023" s="7" t="str">
        <x:f>'Calibration Records'!M1826</x:f>
        <x:v>OPEN</x:v>
      </x:c>
    </x:row>
    <x:row r="5024">
      <x:c r="B5024" s="7" t="str">
        <x:v>AG-05018</x:v>
      </x:c>
      <x:c r="C5024" s="7" t="str">
        <x:v>PEA-C-X1</x:v>
      </x:c>
      <x:c r="D5024" s="7" t="str">
        <x:v>factory calibration</x:v>
      </x:c>
      <x:c r="E5024" s="7" t="str">
        <x:v>CAL-CH-PEA-C-X1-16-3</x:v>
      </x:c>
      <x:c r="F5024" s="7" t="str">
        <x:f>'Calibration Records'!M1827</x:f>
        <x:v>OPEN</x:v>
      </x:c>
    </x:row>
    <x:row r="5025">
      <x:c r="B5025" s="7" t="str">
        <x:v>AG-05019</x:v>
      </x:c>
      <x:c r="C5025" s="7" t="str">
        <x:v>PEA-C-X1</x:v>
      </x:c>
      <x:c r="D5025" s="7" t="str">
        <x:v>factory calibration</x:v>
      </x:c>
      <x:c r="E5025" s="7" t="str">
        <x:v>CAL-CH-PEA-C-X1-16-4</x:v>
      </x:c>
      <x:c r="F5025" s="7" t="str">
        <x:f>'Calibration Records'!M1828</x:f>
        <x:v>OPEN</x:v>
      </x:c>
    </x:row>
    <x:row r="5026">
      <x:c r="B5026" s="7" t="str">
        <x:v>AG-05020</x:v>
      </x:c>
      <x:c r="C5026" s="7" t="str">
        <x:v>PEA-C-X1</x:v>
      </x:c>
      <x:c r="D5026" s="7" t="str">
        <x:v>factory calibration</x:v>
      </x:c>
      <x:c r="E5026" s="7" t="str">
        <x:v>CAL-CH-PEA-C-X1-16-5</x:v>
      </x:c>
      <x:c r="F5026" s="7" t="str">
        <x:f>'Calibration Records'!M1829</x:f>
        <x:v>OPEN</x:v>
      </x:c>
    </x:row>
    <x:row r="5027">
      <x:c r="B5027" s="7" t="str">
        <x:v>AG-05021</x:v>
      </x:c>
      <x:c r="C5027" s="7" t="str">
        <x:v>PEA-C-X1</x:v>
      </x:c>
      <x:c r="D5027" s="7" t="str">
        <x:v>factory calibration</x:v>
      </x:c>
      <x:c r="E5027" s="7" t="str">
        <x:v>CAL-CH-PEA-C-X1-16-6</x:v>
      </x:c>
      <x:c r="F5027" s="7" t="str">
        <x:f>'Calibration Records'!M1830</x:f>
        <x:v>OPEN</x:v>
      </x:c>
    </x:row>
    <x:row r="5028">
      <x:c r="B5028" s="7" t="str">
        <x:v>AG-05022</x:v>
      </x:c>
      <x:c r="C5028" s="7" t="str">
        <x:v>PEA-C-X1</x:v>
      </x:c>
      <x:c r="D5028" s="7" t="str">
        <x:v>factory calibration</x:v>
      </x:c>
      <x:c r="E5028" s="7" t="str">
        <x:v>CAL-CH-PEA-C-X1-17-1</x:v>
      </x:c>
      <x:c r="F5028" s="7" t="str">
        <x:f>'Calibration Records'!M1831</x:f>
        <x:v>OPEN</x:v>
      </x:c>
    </x:row>
    <x:row r="5029">
      <x:c r="B5029" s="7" t="str">
        <x:v>AG-05023</x:v>
      </x:c>
      <x:c r="C5029" s="7" t="str">
        <x:v>PEA-C-X1</x:v>
      </x:c>
      <x:c r="D5029" s="7" t="str">
        <x:v>factory calibration</x:v>
      </x:c>
      <x:c r="E5029" s="7" t="str">
        <x:v>CAL-CH-PEA-C-X1-17-2</x:v>
      </x:c>
      <x:c r="F5029" s="7" t="str">
        <x:f>'Calibration Records'!M1832</x:f>
        <x:v>OPEN</x:v>
      </x:c>
    </x:row>
    <x:row r="5030">
      <x:c r="B5030" s="7" t="str">
        <x:v>AG-05024</x:v>
      </x:c>
      <x:c r="C5030" s="7" t="str">
        <x:v>PEA-C-X1</x:v>
      </x:c>
      <x:c r="D5030" s="7" t="str">
        <x:v>factory calibration</x:v>
      </x:c>
      <x:c r="E5030" s="7" t="str">
        <x:v>CAL-CH-PEA-C-X1-17-3</x:v>
      </x:c>
      <x:c r="F5030" s="7" t="str">
        <x:f>'Calibration Records'!M1833</x:f>
        <x:v>OPEN</x:v>
      </x:c>
    </x:row>
    <x:row r="5031">
      <x:c r="B5031" s="7" t="str">
        <x:v>AG-05025</x:v>
      </x:c>
      <x:c r="C5031" s="7" t="str">
        <x:v>PEA-C-X1</x:v>
      </x:c>
      <x:c r="D5031" s="7" t="str">
        <x:v>factory calibration</x:v>
      </x:c>
      <x:c r="E5031" s="7" t="str">
        <x:v>CAL-CH-PEA-C-X1-17-4</x:v>
      </x:c>
      <x:c r="F5031" s="7" t="str">
        <x:f>'Calibration Records'!M1834</x:f>
        <x:v>OPEN</x:v>
      </x:c>
    </x:row>
    <x:row r="5032">
      <x:c r="B5032" s="7" t="str">
        <x:v>AG-05026</x:v>
      </x:c>
      <x:c r="C5032" s="7" t="str">
        <x:v>PEA-C-X1</x:v>
      </x:c>
      <x:c r="D5032" s="7" t="str">
        <x:v>factory calibration</x:v>
      </x:c>
      <x:c r="E5032" s="7" t="str">
        <x:v>CAL-CH-PEA-C-X1-17-5</x:v>
      </x:c>
      <x:c r="F5032" s="7" t="str">
        <x:f>'Calibration Records'!M1835</x:f>
        <x:v>OPEN</x:v>
      </x:c>
    </x:row>
    <x:row r="5033">
      <x:c r="B5033" s="7" t="str">
        <x:v>AG-05027</x:v>
      </x:c>
      <x:c r="C5033" s="7" t="str">
        <x:v>PEA-C-X1</x:v>
      </x:c>
      <x:c r="D5033" s="7" t="str">
        <x:v>factory calibration</x:v>
      </x:c>
      <x:c r="E5033" s="7" t="str">
        <x:v>CAL-CH-PEA-C-X1-17-6</x:v>
      </x:c>
      <x:c r="F5033" s="7" t="str">
        <x:f>'Calibration Records'!M1836</x:f>
        <x:v>OPEN</x:v>
      </x:c>
    </x:row>
    <x:row r="5034">
      <x:c r="B5034" s="7" t="str">
        <x:v>AG-05028</x:v>
      </x:c>
      <x:c r="C5034" s="7" t="str">
        <x:v>PEA-C-X1</x:v>
      </x:c>
      <x:c r="D5034" s="7" t="str">
        <x:v>factory calibration</x:v>
      </x:c>
      <x:c r="E5034" s="7" t="str">
        <x:v>CAL-CH-PEA-C-X1-18-1</x:v>
      </x:c>
      <x:c r="F5034" s="7" t="str">
        <x:f>'Calibration Records'!M1837</x:f>
        <x:v>OPEN</x:v>
      </x:c>
    </x:row>
    <x:row r="5035">
      <x:c r="B5035" s="7" t="str">
        <x:v>AG-05029</x:v>
      </x:c>
      <x:c r="C5035" s="7" t="str">
        <x:v>PEA-C-X1</x:v>
      </x:c>
      <x:c r="D5035" s="7" t="str">
        <x:v>factory calibration</x:v>
      </x:c>
      <x:c r="E5035" s="7" t="str">
        <x:v>CAL-CH-PEA-C-X1-18-2</x:v>
      </x:c>
      <x:c r="F5035" s="7" t="str">
        <x:f>'Calibration Records'!M1838</x:f>
        <x:v>OPEN</x:v>
      </x:c>
    </x:row>
    <x:row r="5036">
      <x:c r="B5036" s="7" t="str">
        <x:v>AG-05030</x:v>
      </x:c>
      <x:c r="C5036" s="7" t="str">
        <x:v>PEA-C-X1</x:v>
      </x:c>
      <x:c r="D5036" s="7" t="str">
        <x:v>factory calibration</x:v>
      </x:c>
      <x:c r="E5036" s="7" t="str">
        <x:v>CAL-CH-PEA-C-X1-18-3</x:v>
      </x:c>
      <x:c r="F5036" s="7" t="str">
        <x:f>'Calibration Records'!M1839</x:f>
        <x:v>OPEN</x:v>
      </x:c>
    </x:row>
    <x:row r="5037">
      <x:c r="B5037" s="7" t="str">
        <x:v>AG-05031</x:v>
      </x:c>
      <x:c r="C5037" s="7" t="str">
        <x:v>PEA-C-X1</x:v>
      </x:c>
      <x:c r="D5037" s="7" t="str">
        <x:v>factory calibration</x:v>
      </x:c>
      <x:c r="E5037" s="7" t="str">
        <x:v>CAL-CH-PEA-C-X1-18-4</x:v>
      </x:c>
      <x:c r="F5037" s="7" t="str">
        <x:f>'Calibration Records'!M1840</x:f>
        <x:v>OPEN</x:v>
      </x:c>
    </x:row>
    <x:row r="5038">
      <x:c r="B5038" s="7" t="str">
        <x:v>AG-05032</x:v>
      </x:c>
      <x:c r="C5038" s="7" t="str">
        <x:v>PEA-C-X1</x:v>
      </x:c>
      <x:c r="D5038" s="7" t="str">
        <x:v>factory calibration</x:v>
      </x:c>
      <x:c r="E5038" s="7" t="str">
        <x:v>CAL-CH-PEA-C-X1-18-5</x:v>
      </x:c>
      <x:c r="F5038" s="7" t="str">
        <x:f>'Calibration Records'!M1841</x:f>
        <x:v>OPEN</x:v>
      </x:c>
    </x:row>
    <x:row r="5039">
      <x:c r="B5039" s="7" t="str">
        <x:v>AG-05033</x:v>
      </x:c>
      <x:c r="C5039" s="7" t="str">
        <x:v>PEA-C-X1</x:v>
      </x:c>
      <x:c r="D5039" s="7" t="str">
        <x:v>factory calibration</x:v>
      </x:c>
      <x:c r="E5039" s="7" t="str">
        <x:v>CAL-CH-PEA-C-X1-18-6</x:v>
      </x:c>
      <x:c r="F5039" s="7" t="str">
        <x:f>'Calibration Records'!M1842</x:f>
        <x:v>OPEN</x:v>
      </x:c>
    </x:row>
    <x:row r="5040">
      <x:c r="B5040" s="7" t="str">
        <x:v>AG-05034</x:v>
      </x:c>
      <x:c r="C5040" s="7" t="str">
        <x:v>PEA-C-X1</x:v>
      </x:c>
      <x:c r="D5040" s="7" t="str">
        <x:v>factory calibration</x:v>
      </x:c>
      <x:c r="E5040" s="7" t="str">
        <x:v>CAL-CH-PEA-C-X1-19-1</x:v>
      </x:c>
      <x:c r="F5040" s="7" t="str">
        <x:f>'Calibration Records'!M1843</x:f>
        <x:v>OPEN</x:v>
      </x:c>
    </x:row>
    <x:row r="5041">
      <x:c r="B5041" s="7" t="str">
        <x:v>AG-05035</x:v>
      </x:c>
      <x:c r="C5041" s="7" t="str">
        <x:v>PEA-C-X1</x:v>
      </x:c>
      <x:c r="D5041" s="7" t="str">
        <x:v>factory calibration</x:v>
      </x:c>
      <x:c r="E5041" s="7" t="str">
        <x:v>CAL-CH-PEA-C-X1-19-2</x:v>
      </x:c>
      <x:c r="F5041" s="7" t="str">
        <x:f>'Calibration Records'!M1844</x:f>
        <x:v>OPEN</x:v>
      </x:c>
    </x:row>
    <x:row r="5042">
      <x:c r="B5042" s="7" t="str">
        <x:v>AG-05036</x:v>
      </x:c>
      <x:c r="C5042" s="7" t="str">
        <x:v>PEA-C-X1</x:v>
      </x:c>
      <x:c r="D5042" s="7" t="str">
        <x:v>factory calibration</x:v>
      </x:c>
      <x:c r="E5042" s="7" t="str">
        <x:v>CAL-CH-PEA-C-X1-19-3</x:v>
      </x:c>
      <x:c r="F5042" s="7" t="str">
        <x:f>'Calibration Records'!M1845</x:f>
        <x:v>OPEN</x:v>
      </x:c>
    </x:row>
    <x:row r="5043">
      <x:c r="B5043" s="7" t="str">
        <x:v>AG-05037</x:v>
      </x:c>
      <x:c r="C5043" s="7" t="str">
        <x:v>PEA-C-X1</x:v>
      </x:c>
      <x:c r="D5043" s="7" t="str">
        <x:v>factory calibration</x:v>
      </x:c>
      <x:c r="E5043" s="7" t="str">
        <x:v>CAL-CH-PEA-C-X1-19-4</x:v>
      </x:c>
      <x:c r="F5043" s="7" t="str">
        <x:f>'Calibration Records'!M1846</x:f>
        <x:v>OPEN</x:v>
      </x:c>
    </x:row>
    <x:row r="5044">
      <x:c r="B5044" s="7" t="str">
        <x:v>AG-05038</x:v>
      </x:c>
      <x:c r="C5044" s="7" t="str">
        <x:v>PEA-C-X1</x:v>
      </x:c>
      <x:c r="D5044" s="7" t="str">
        <x:v>factory calibration</x:v>
      </x:c>
      <x:c r="E5044" s="7" t="str">
        <x:v>CAL-CH-PEA-C-X1-19-5</x:v>
      </x:c>
      <x:c r="F5044" s="7" t="str">
        <x:f>'Calibration Records'!M1847</x:f>
        <x:v>OPEN</x:v>
      </x:c>
    </x:row>
    <x:row r="5045">
      <x:c r="B5045" s="7" t="str">
        <x:v>AG-05039</x:v>
      </x:c>
      <x:c r="C5045" s="7" t="str">
        <x:v>PEA-C-X1</x:v>
      </x:c>
      <x:c r="D5045" s="7" t="str">
        <x:v>factory calibration</x:v>
      </x:c>
      <x:c r="E5045" s="7" t="str">
        <x:v>CAL-CH-PEA-C-X1-19-6</x:v>
      </x:c>
      <x:c r="F5045" s="7" t="str">
        <x:f>'Calibration Records'!M1848</x:f>
        <x:v>OPEN</x:v>
      </x:c>
    </x:row>
    <x:row r="5046">
      <x:c r="B5046" s="7" t="str">
        <x:v>AG-05040</x:v>
      </x:c>
      <x:c r="C5046" s="7" t="str">
        <x:v>PEA-C-X1</x:v>
      </x:c>
      <x:c r="D5046" s="7" t="str">
        <x:v>factory calibration</x:v>
      </x:c>
      <x:c r="E5046" s="7" t="str">
        <x:v>CAL-CH-PEA-C-X1-20-1</x:v>
      </x:c>
      <x:c r="F5046" s="7" t="str">
        <x:f>'Calibration Records'!M1849</x:f>
        <x:v>OPEN</x:v>
      </x:c>
    </x:row>
    <x:row r="5047">
      <x:c r="B5047" s="7" t="str">
        <x:v>AG-05041</x:v>
      </x:c>
      <x:c r="C5047" s="7" t="str">
        <x:v>PEA-C-X1</x:v>
      </x:c>
      <x:c r="D5047" s="7" t="str">
        <x:v>factory calibration</x:v>
      </x:c>
      <x:c r="E5047" s="7" t="str">
        <x:v>CAL-CH-PEA-C-X1-20-2</x:v>
      </x:c>
      <x:c r="F5047" s="7" t="str">
        <x:f>'Calibration Records'!M1850</x:f>
        <x:v>OPEN</x:v>
      </x:c>
    </x:row>
    <x:row r="5048">
      <x:c r="B5048" s="7" t="str">
        <x:v>AG-05042</x:v>
      </x:c>
      <x:c r="C5048" s="7" t="str">
        <x:v>PEA-C-X1</x:v>
      </x:c>
      <x:c r="D5048" s="7" t="str">
        <x:v>factory calibration</x:v>
      </x:c>
      <x:c r="E5048" s="7" t="str">
        <x:v>CAL-CH-PEA-C-X1-20-3</x:v>
      </x:c>
      <x:c r="F5048" s="7" t="str">
        <x:f>'Calibration Records'!M1851</x:f>
        <x:v>OPEN</x:v>
      </x:c>
    </x:row>
    <x:row r="5049">
      <x:c r="B5049" s="7" t="str">
        <x:v>AG-05043</x:v>
      </x:c>
      <x:c r="C5049" s="7" t="str">
        <x:v>PEA-C-X1</x:v>
      </x:c>
      <x:c r="D5049" s="7" t="str">
        <x:v>factory calibration</x:v>
      </x:c>
      <x:c r="E5049" s="7" t="str">
        <x:v>CAL-CH-PEA-C-X1-20-4</x:v>
      </x:c>
      <x:c r="F5049" s="7" t="str">
        <x:f>'Calibration Records'!M1852</x:f>
        <x:v>OPEN</x:v>
      </x:c>
    </x:row>
    <x:row r="5050">
      <x:c r="B5050" s="7" t="str">
        <x:v>AG-05044</x:v>
      </x:c>
      <x:c r="C5050" s="7" t="str">
        <x:v>PEA-C-X1</x:v>
      </x:c>
      <x:c r="D5050" s="7" t="str">
        <x:v>factory calibration</x:v>
      </x:c>
      <x:c r="E5050" s="7" t="str">
        <x:v>CAL-CH-PEA-C-X1-20-5</x:v>
      </x:c>
      <x:c r="F5050" s="7" t="str">
        <x:f>'Calibration Records'!M1853</x:f>
        <x:v>OPEN</x:v>
      </x:c>
    </x:row>
    <x:row r="5051">
      <x:c r="B5051" s="7" t="str">
        <x:v>AG-05045</x:v>
      </x:c>
      <x:c r="C5051" s="7" t="str">
        <x:v>PEA-C-X1</x:v>
      </x:c>
      <x:c r="D5051" s="7" t="str">
        <x:v>factory calibration</x:v>
      </x:c>
      <x:c r="E5051" s="7" t="str">
        <x:v>CAL-CH-PEA-C-X1-20-6</x:v>
      </x:c>
      <x:c r="F5051" s="7" t="str">
        <x:f>'Calibration Records'!M1854</x:f>
        <x:v>OPEN</x:v>
      </x:c>
    </x:row>
    <x:row r="5052">
      <x:c r="B5052" s="7" t="str">
        <x:v>AG-05046</x:v>
      </x:c>
      <x:c r="C5052" s="7" t="str">
        <x:v>PEA-C-X1</x:v>
      </x:c>
      <x:c r="D5052" s="7" t="str">
        <x:v>factory calibration</x:v>
      </x:c>
      <x:c r="E5052" s="7" t="str">
        <x:v>CAL-CH-PEA-C-X1-21-1</x:v>
      </x:c>
      <x:c r="F5052" s="7" t="str">
        <x:f>'Calibration Records'!M1855</x:f>
        <x:v>OPEN</x:v>
      </x:c>
    </x:row>
    <x:row r="5053">
      <x:c r="B5053" s="7" t="str">
        <x:v>AG-05047</x:v>
      </x:c>
      <x:c r="C5053" s="7" t="str">
        <x:v>PEA-C-X1</x:v>
      </x:c>
      <x:c r="D5053" s="7" t="str">
        <x:v>factory calibration</x:v>
      </x:c>
      <x:c r="E5053" s="7" t="str">
        <x:v>CAL-CH-PEA-C-X1-21-2</x:v>
      </x:c>
      <x:c r="F5053" s="7" t="str">
        <x:f>'Calibration Records'!M1856</x:f>
        <x:v>OPEN</x:v>
      </x:c>
    </x:row>
    <x:row r="5054">
      <x:c r="B5054" s="7" t="str">
        <x:v>AG-05048</x:v>
      </x:c>
      <x:c r="C5054" s="7" t="str">
        <x:v>PEA-C-X1</x:v>
      </x:c>
      <x:c r="D5054" s="7" t="str">
        <x:v>factory calibration</x:v>
      </x:c>
      <x:c r="E5054" s="7" t="str">
        <x:v>CAL-CH-PEA-C-X1-21-3</x:v>
      </x:c>
      <x:c r="F5054" s="7" t="str">
        <x:f>'Calibration Records'!M1857</x:f>
        <x:v>OPEN</x:v>
      </x:c>
    </x:row>
    <x:row r="5055">
      <x:c r="B5055" s="7" t="str">
        <x:v>AG-05049</x:v>
      </x:c>
      <x:c r="C5055" s="7" t="str">
        <x:v>PEA-C-X1</x:v>
      </x:c>
      <x:c r="D5055" s="7" t="str">
        <x:v>factory calibration</x:v>
      </x:c>
      <x:c r="E5055" s="7" t="str">
        <x:v>CAL-CH-PEA-C-X1-21-4</x:v>
      </x:c>
      <x:c r="F5055" s="7" t="str">
        <x:f>'Calibration Records'!M1858</x:f>
        <x:v>OPEN</x:v>
      </x:c>
    </x:row>
    <x:row r="5056">
      <x:c r="B5056" s="7" t="str">
        <x:v>AG-05050</x:v>
      </x:c>
      <x:c r="C5056" s="7" t="str">
        <x:v>PEA-C-X1</x:v>
      </x:c>
      <x:c r="D5056" s="7" t="str">
        <x:v>factory calibration</x:v>
      </x:c>
      <x:c r="E5056" s="7" t="str">
        <x:v>CAL-CH-PEA-C-X1-21-5</x:v>
      </x:c>
      <x:c r="F5056" s="7" t="str">
        <x:f>'Calibration Records'!M1859</x:f>
        <x:v>OPEN</x:v>
      </x:c>
    </x:row>
    <x:row r="5057">
      <x:c r="B5057" s="7" t="str">
        <x:v>AG-05051</x:v>
      </x:c>
      <x:c r="C5057" s="7" t="str">
        <x:v>PEA-C-X1</x:v>
      </x:c>
      <x:c r="D5057" s="7" t="str">
        <x:v>factory calibration</x:v>
      </x:c>
      <x:c r="E5057" s="7" t="str">
        <x:v>CAL-CH-PEA-C-X1-21-6</x:v>
      </x:c>
      <x:c r="F5057" s="7" t="str">
        <x:f>'Calibration Records'!M1860</x:f>
        <x:v>OPEN</x:v>
      </x:c>
    </x:row>
    <x:row r="5058">
      <x:c r="B5058" s="7" t="str">
        <x:v>AG-05052</x:v>
      </x:c>
      <x:c r="C5058" s="7" t="str">
        <x:v>PEA-C-X1</x:v>
      </x:c>
      <x:c r="D5058" s="7" t="str">
        <x:v>factory calibration</x:v>
      </x:c>
      <x:c r="E5058" s="7" t="str">
        <x:v>CAL-CH-PEA-C-X1-22-1</x:v>
      </x:c>
      <x:c r="F5058" s="7" t="str">
        <x:f>'Calibration Records'!M1861</x:f>
        <x:v>OPEN</x:v>
      </x:c>
    </x:row>
    <x:row r="5059">
      <x:c r="B5059" s="7" t="str">
        <x:v>AG-05053</x:v>
      </x:c>
      <x:c r="C5059" s="7" t="str">
        <x:v>PEA-C-X1</x:v>
      </x:c>
      <x:c r="D5059" s="7" t="str">
        <x:v>factory calibration</x:v>
      </x:c>
      <x:c r="E5059" s="7" t="str">
        <x:v>CAL-CH-PEA-C-X1-22-2</x:v>
      </x:c>
      <x:c r="F5059" s="7" t="str">
        <x:f>'Calibration Records'!M1862</x:f>
        <x:v>OPEN</x:v>
      </x:c>
    </x:row>
    <x:row r="5060">
      <x:c r="B5060" s="7" t="str">
        <x:v>AG-05054</x:v>
      </x:c>
      <x:c r="C5060" s="7" t="str">
        <x:v>PEA-C-X1</x:v>
      </x:c>
      <x:c r="D5060" s="7" t="str">
        <x:v>factory calibration</x:v>
      </x:c>
      <x:c r="E5060" s="7" t="str">
        <x:v>CAL-CH-PEA-C-X1-22-3</x:v>
      </x:c>
      <x:c r="F5060" s="7" t="str">
        <x:f>'Calibration Records'!M1863</x:f>
        <x:v>OPEN</x:v>
      </x:c>
    </x:row>
    <x:row r="5061">
      <x:c r="B5061" s="7" t="str">
        <x:v>AG-05055</x:v>
      </x:c>
      <x:c r="C5061" s="7" t="str">
        <x:v>PEA-C-X1</x:v>
      </x:c>
      <x:c r="D5061" s="7" t="str">
        <x:v>factory calibration</x:v>
      </x:c>
      <x:c r="E5061" s="7" t="str">
        <x:v>CAL-CH-PEA-C-X1-22-4</x:v>
      </x:c>
      <x:c r="F5061" s="7" t="str">
        <x:f>'Calibration Records'!M1864</x:f>
        <x:v>OPEN</x:v>
      </x:c>
    </x:row>
    <x:row r="5062">
      <x:c r="B5062" s="7" t="str">
        <x:v>AG-05056</x:v>
      </x:c>
      <x:c r="C5062" s="7" t="str">
        <x:v>PEA-C-X1</x:v>
      </x:c>
      <x:c r="D5062" s="7" t="str">
        <x:v>factory calibration</x:v>
      </x:c>
      <x:c r="E5062" s="7" t="str">
        <x:v>CAL-CH-PEA-C-X1-22-5</x:v>
      </x:c>
      <x:c r="F5062" s="7" t="str">
        <x:f>'Calibration Records'!M1865</x:f>
        <x:v>OPEN</x:v>
      </x:c>
    </x:row>
    <x:row r="5063">
      <x:c r="B5063" s="7" t="str">
        <x:v>AG-05057</x:v>
      </x:c>
      <x:c r="C5063" s="7" t="str">
        <x:v>PEA-C-X1</x:v>
      </x:c>
      <x:c r="D5063" s="7" t="str">
        <x:v>factory calibration</x:v>
      </x:c>
      <x:c r="E5063" s="7" t="str">
        <x:v>CAL-CH-PEA-C-X1-22-6</x:v>
      </x:c>
      <x:c r="F5063" s="7" t="str">
        <x:f>'Calibration Records'!M1866</x:f>
        <x:v>OPEN</x:v>
      </x:c>
    </x:row>
    <x:row r="5064">
      <x:c r="B5064" s="7" t="str">
        <x:v>AG-05058</x:v>
      </x:c>
      <x:c r="C5064" s="7" t="str">
        <x:v>PEA-C-X1</x:v>
      </x:c>
      <x:c r="D5064" s="7" t="str">
        <x:v>factory calibration</x:v>
      </x:c>
      <x:c r="E5064" s="7" t="str">
        <x:v>CAL-CH-PEA-C-X1-23-1</x:v>
      </x:c>
      <x:c r="F5064" s="7" t="str">
        <x:f>'Calibration Records'!M1867</x:f>
        <x:v>OPEN</x:v>
      </x:c>
    </x:row>
    <x:row r="5065">
      <x:c r="B5065" s="7" t="str">
        <x:v>AG-05059</x:v>
      </x:c>
      <x:c r="C5065" s="7" t="str">
        <x:v>PEA-C-X1</x:v>
      </x:c>
      <x:c r="D5065" s="7" t="str">
        <x:v>factory calibration</x:v>
      </x:c>
      <x:c r="E5065" s="7" t="str">
        <x:v>CAL-CH-PEA-C-X1-23-2</x:v>
      </x:c>
      <x:c r="F5065" s="7" t="str">
        <x:f>'Calibration Records'!M1868</x:f>
        <x:v>OPEN</x:v>
      </x:c>
    </x:row>
    <x:row r="5066">
      <x:c r="B5066" s="7" t="str">
        <x:v>AG-05060</x:v>
      </x:c>
      <x:c r="C5066" s="7" t="str">
        <x:v>PEA-C-X1</x:v>
      </x:c>
      <x:c r="D5066" s="7" t="str">
        <x:v>factory calibration</x:v>
      </x:c>
      <x:c r="E5066" s="7" t="str">
        <x:v>CAL-CH-PEA-C-X1-23-3</x:v>
      </x:c>
      <x:c r="F5066" s="7" t="str">
        <x:f>'Calibration Records'!M1869</x:f>
        <x:v>OPEN</x:v>
      </x:c>
    </x:row>
    <x:row r="5067">
      <x:c r="B5067" s="7" t="str">
        <x:v>AG-05061</x:v>
      </x:c>
      <x:c r="C5067" s="7" t="str">
        <x:v>PEA-C-X1</x:v>
      </x:c>
      <x:c r="D5067" s="7" t="str">
        <x:v>factory calibration</x:v>
      </x:c>
      <x:c r="E5067" s="7" t="str">
        <x:v>CAL-CH-PEA-C-X1-23-4</x:v>
      </x:c>
      <x:c r="F5067" s="7" t="str">
        <x:f>'Calibration Records'!M1870</x:f>
        <x:v>OPEN</x:v>
      </x:c>
    </x:row>
    <x:row r="5068">
      <x:c r="B5068" s="7" t="str">
        <x:v>AG-05062</x:v>
      </x:c>
      <x:c r="C5068" s="7" t="str">
        <x:v>PEA-C-X1</x:v>
      </x:c>
      <x:c r="D5068" s="7" t="str">
        <x:v>factory calibration</x:v>
      </x:c>
      <x:c r="E5068" s="7" t="str">
        <x:v>CAL-CH-PEA-C-X1-23-5</x:v>
      </x:c>
      <x:c r="F5068" s="7" t="str">
        <x:f>'Calibration Records'!M1871</x:f>
        <x:v>OPEN</x:v>
      </x:c>
    </x:row>
    <x:row r="5069">
      <x:c r="B5069" s="7" t="str">
        <x:v>AG-05063</x:v>
      </x:c>
      <x:c r="C5069" s="7" t="str">
        <x:v>PEA-C-X1</x:v>
      </x:c>
      <x:c r="D5069" s="7" t="str">
        <x:v>factory calibration</x:v>
      </x:c>
      <x:c r="E5069" s="7" t="str">
        <x:v>CAL-CH-PEA-C-X1-23-6</x:v>
      </x:c>
      <x:c r="F5069" s="7" t="str">
        <x:f>'Calibration Records'!M1872</x:f>
        <x:v>OPEN</x:v>
      </x:c>
    </x:row>
    <x:row r="5070">
      <x:c r="B5070" s="7" t="str">
        <x:v>AG-05064</x:v>
      </x:c>
      <x:c r="C5070" s="7" t="str">
        <x:v>PEA-C-X1</x:v>
      </x:c>
      <x:c r="D5070" s="7" t="str">
        <x:v>factory calibration</x:v>
      </x:c>
      <x:c r="E5070" s="7" t="str">
        <x:v>CAL-CH-PEA-C-X1-24-1</x:v>
      </x:c>
      <x:c r="F5070" s="7" t="str">
        <x:f>'Calibration Records'!M1873</x:f>
        <x:v>OPEN</x:v>
      </x:c>
    </x:row>
    <x:row r="5071">
      <x:c r="B5071" s="7" t="str">
        <x:v>AG-05065</x:v>
      </x:c>
      <x:c r="C5071" s="7" t="str">
        <x:v>PEA-C-X1</x:v>
      </x:c>
      <x:c r="D5071" s="7" t="str">
        <x:v>factory calibration</x:v>
      </x:c>
      <x:c r="E5071" s="7" t="str">
        <x:v>CAL-CH-PEA-C-X1-24-2</x:v>
      </x:c>
      <x:c r="F5071" s="7" t="str">
        <x:f>'Calibration Records'!M1874</x:f>
        <x:v>OPEN</x:v>
      </x:c>
    </x:row>
    <x:row r="5072">
      <x:c r="B5072" s="7" t="str">
        <x:v>AG-05066</x:v>
      </x:c>
      <x:c r="C5072" s="7" t="str">
        <x:v>PEA-C-X1</x:v>
      </x:c>
      <x:c r="D5072" s="7" t="str">
        <x:v>factory calibration</x:v>
      </x:c>
      <x:c r="E5072" s="7" t="str">
        <x:v>CAL-CH-PEA-C-X1-24-3</x:v>
      </x:c>
      <x:c r="F5072" s="7" t="str">
        <x:f>'Calibration Records'!M1875</x:f>
        <x:v>OPEN</x:v>
      </x:c>
    </x:row>
    <x:row r="5073">
      <x:c r="B5073" s="7" t="str">
        <x:v>AG-05067</x:v>
      </x:c>
      <x:c r="C5073" s="7" t="str">
        <x:v>PEA-C-X1</x:v>
      </x:c>
      <x:c r="D5073" s="7" t="str">
        <x:v>factory calibration</x:v>
      </x:c>
      <x:c r="E5073" s="7" t="str">
        <x:v>CAL-CH-PEA-C-X1-24-4</x:v>
      </x:c>
      <x:c r="F5073" s="7" t="str">
        <x:f>'Calibration Records'!M1876</x:f>
        <x:v>OPEN</x:v>
      </x:c>
    </x:row>
    <x:row r="5074">
      <x:c r="B5074" s="7" t="str">
        <x:v>AG-05068</x:v>
      </x:c>
      <x:c r="C5074" s="7" t="str">
        <x:v>PEA-C-X1</x:v>
      </x:c>
      <x:c r="D5074" s="7" t="str">
        <x:v>factory calibration</x:v>
      </x:c>
      <x:c r="E5074" s="7" t="str">
        <x:v>CAL-CH-PEA-C-X1-24-5</x:v>
      </x:c>
      <x:c r="F5074" s="7" t="str">
        <x:f>'Calibration Records'!M1877</x:f>
        <x:v>OPEN</x:v>
      </x:c>
    </x:row>
    <x:row r="5075">
      <x:c r="B5075" s="7" t="str">
        <x:v>AG-05069</x:v>
      </x:c>
      <x:c r="C5075" s="7" t="str">
        <x:v>PEA-C-X1</x:v>
      </x:c>
      <x:c r="D5075" s="7" t="str">
        <x:v>factory calibration</x:v>
      </x:c>
      <x:c r="E5075" s="7" t="str">
        <x:v>CAL-CH-PEA-C-X1-24-6</x:v>
      </x:c>
      <x:c r="F5075" s="7" t="str">
        <x:f>'Calibration Records'!M1878</x:f>
        <x:v>OPEN</x:v>
      </x:c>
    </x:row>
    <x:row r="5076">
      <x:c r="B5076" s="7" t="str">
        <x:v>AG-05070</x:v>
      </x:c>
      <x:c r="C5076" s="7" t="str">
        <x:v>PEA-C-X1</x:v>
      </x:c>
      <x:c r="D5076" s="7" t="str">
        <x:v>article master</x:v>
      </x:c>
      <x:c r="E5076" s="7" t="str">
        <x:v>PEA-C-X1</x:v>
      </x:c>
      <x:c r="F5076" s="7" t="str">
        <x:f>'Article Population'!Q19</x:f>
        <x:v>OPEN</x:v>
      </x:c>
    </x:row>
    <x:row r="5077">
      <x:c r="B5077" s="7" t="str">
        <x:v>AG-05071</x:v>
      </x:c>
      <x:c r="C5077" s="7" t="str">
        <x:v>PEA-C-X2</x:v>
      </x:c>
      <x:c r="D5077" s="7" t="str">
        <x:v>lineage capsule</x:v>
      </x:c>
      <x:c r="E5077" s="7" t="str">
        <x:v>BL-X</x:v>
      </x:c>
      <x:c r="F5077" s="7" t="str">
        <x:f>'Baseline Package'!F7</x:f>
        <x:v>OPEN</x:v>
      </x:c>
    </x:row>
    <x:row r="5078">
      <x:c r="B5078" s="7" t="str">
        <x:v>AG-05072</x:v>
      </x:c>
      <x:c r="C5078" s="7" t="str">
        <x:v>PEA-C-X2</x:v>
      </x:c>
      <x:c r="D5078" s="7" t="str">
        <x:v>builder qualification</x:v>
      </x:c>
      <x:c r="E5078" s="7" t="str">
        <x:v>BLD-C</x:v>
      </x:c>
      <x:c r="F5078" s="7" t="str">
        <x:f>Builders!K9</x:f>
        <x:v>OPEN</x:v>
      </x:c>
    </x:row>
    <x:row r="5079">
      <x:c r="B5079" s="7" t="str">
        <x:v>AG-05073</x:v>
      </x:c>
      <x:c r="C5079" s="7" t="str">
        <x:v>PEA-C-X2</x:v>
      </x:c>
      <x:c r="D5079" s="7" t="str">
        <x:v>material split</x:v>
      </x:c>
      <x:c r="E5079" s="7" t="str">
        <x:v>SPLIT-PEA-C-X2</x:v>
      </x:c>
      <x:c r="F5079" s="7" t="str">
        <x:f>'Material Matrix'!K20</x:f>
        <x:v>OPEN</x:v>
      </x:c>
    </x:row>
    <x:row r="5080">
      <x:c r="B5080" s="7" t="str">
        <x:v>AG-05074</x:v>
      </x:c>
      <x:c r="C5080" s="7" t="str">
        <x:v>PEA-C-X2</x:v>
      </x:c>
      <x:c r="D5080" s="7" t="str">
        <x:v>build sequence</x:v>
      </x:c>
      <x:c r="E5080" s="7" t="str">
        <x:v>SEQ-PEA-C-X2</x:v>
      </x:c>
      <x:c r="F5080" s="7" t="str">
        <x:f>'Build Sequence'!L20</x:f>
        <x:v>OPEN</x:v>
      </x:c>
    </x:row>
    <x:row r="5081">
      <x:c r="B5081" s="7" t="str">
        <x:v>AG-05075</x:v>
      </x:c>
      <x:c r="C5081" s="7" t="str">
        <x:v>PEA-C-X2</x:v>
      </x:c>
      <x:c r="D5081" s="7" t="str">
        <x:v>section traveler</x:v>
      </x:c>
      <x:c r="E5081" s="7" t="str">
        <x:v>TRV-PEA-C-X2-01</x:v>
      </x:c>
      <x:c r="F5081" s="7" t="str">
        <x:f>'Section Travelers'!L267</x:f>
        <x:v>OPEN</x:v>
      </x:c>
    </x:row>
    <x:row r="5082">
      <x:c r="B5082" s="7" t="str">
        <x:v>AG-05076</x:v>
      </x:c>
      <x:c r="C5082" s="7" t="str">
        <x:v>PEA-C-X2</x:v>
      </x:c>
      <x:c r="D5082" s="7" t="str">
        <x:v>section traveler</x:v>
      </x:c>
      <x:c r="E5082" s="7" t="str">
        <x:v>TRV-PEA-C-X2-02</x:v>
      </x:c>
      <x:c r="F5082" s="7" t="str">
        <x:f>'Section Travelers'!L268</x:f>
        <x:v>OPEN</x:v>
      </x:c>
    </x:row>
    <x:row r="5083">
      <x:c r="B5083" s="7" t="str">
        <x:v>AG-05077</x:v>
      </x:c>
      <x:c r="C5083" s="7" t="str">
        <x:v>PEA-C-X2</x:v>
      </x:c>
      <x:c r="D5083" s="7" t="str">
        <x:v>section traveler</x:v>
      </x:c>
      <x:c r="E5083" s="7" t="str">
        <x:v>TRV-PEA-C-X2-03</x:v>
      </x:c>
      <x:c r="F5083" s="7" t="str">
        <x:f>'Section Travelers'!L269</x:f>
        <x:v>OPEN</x:v>
      </x:c>
    </x:row>
    <x:row r="5084">
      <x:c r="B5084" s="7" t="str">
        <x:v>AG-05078</x:v>
      </x:c>
      <x:c r="C5084" s="7" t="str">
        <x:v>PEA-C-X2</x:v>
      </x:c>
      <x:c r="D5084" s="7" t="str">
        <x:v>section traveler</x:v>
      </x:c>
      <x:c r="E5084" s="7" t="str">
        <x:v>TRV-PEA-C-X2-04</x:v>
      </x:c>
      <x:c r="F5084" s="7" t="str">
        <x:f>'Section Travelers'!L270</x:f>
        <x:v>OPEN</x:v>
      </x:c>
    </x:row>
    <x:row r="5085">
      <x:c r="B5085" s="7" t="str">
        <x:v>AG-05079</x:v>
      </x:c>
      <x:c r="C5085" s="7" t="str">
        <x:v>PEA-C-X2</x:v>
      </x:c>
      <x:c r="D5085" s="7" t="str">
        <x:v>section traveler</x:v>
      </x:c>
      <x:c r="E5085" s="7" t="str">
        <x:v>TRV-PEA-C-X2-05</x:v>
      </x:c>
      <x:c r="F5085" s="7" t="str">
        <x:f>'Section Travelers'!L271</x:f>
        <x:v>OPEN</x:v>
      </x:c>
    </x:row>
    <x:row r="5086">
      <x:c r="B5086" s="7" t="str">
        <x:v>AG-05080</x:v>
      </x:c>
      <x:c r="C5086" s="7" t="str">
        <x:v>PEA-C-X2</x:v>
      </x:c>
      <x:c r="D5086" s="7" t="str">
        <x:v>section traveler</x:v>
      </x:c>
      <x:c r="E5086" s="7" t="str">
        <x:v>TRV-PEA-C-X2-06</x:v>
      </x:c>
      <x:c r="F5086" s="7" t="str">
        <x:f>'Section Travelers'!L272</x:f>
        <x:v>OPEN</x:v>
      </x:c>
    </x:row>
    <x:row r="5087">
      <x:c r="B5087" s="7" t="str">
        <x:v>AG-05081</x:v>
      </x:c>
      <x:c r="C5087" s="7" t="str">
        <x:v>PEA-C-X2</x:v>
      </x:c>
      <x:c r="D5087" s="7" t="str">
        <x:v>section traveler</x:v>
      </x:c>
      <x:c r="E5087" s="7" t="str">
        <x:v>TRV-PEA-C-X2-07</x:v>
      </x:c>
      <x:c r="F5087" s="7" t="str">
        <x:f>'Section Travelers'!L273</x:f>
        <x:v>OPEN</x:v>
      </x:c>
    </x:row>
    <x:row r="5088">
      <x:c r="B5088" s="7" t="str">
        <x:v>AG-05082</x:v>
      </x:c>
      <x:c r="C5088" s="7" t="str">
        <x:v>PEA-C-X2</x:v>
      </x:c>
      <x:c r="D5088" s="7" t="str">
        <x:v>section traveler</x:v>
      </x:c>
      <x:c r="E5088" s="7" t="str">
        <x:v>TRV-PEA-C-X2-08</x:v>
      </x:c>
      <x:c r="F5088" s="7" t="str">
        <x:f>'Section Travelers'!L274</x:f>
        <x:v>OPEN</x:v>
      </x:c>
    </x:row>
    <x:row r="5089">
      <x:c r="B5089" s="7" t="str">
        <x:v>AG-05083</x:v>
      </x:c>
      <x:c r="C5089" s="7" t="str">
        <x:v>PEA-C-X2</x:v>
      </x:c>
      <x:c r="D5089" s="7" t="str">
        <x:v>section traveler</x:v>
      </x:c>
      <x:c r="E5089" s="7" t="str">
        <x:v>TRV-PEA-C-X2-09</x:v>
      </x:c>
      <x:c r="F5089" s="7" t="str">
        <x:f>'Section Travelers'!L275</x:f>
        <x:v>OPEN</x:v>
      </x:c>
    </x:row>
    <x:row r="5090">
      <x:c r="B5090" s="7" t="str">
        <x:v>AG-05084</x:v>
      </x:c>
      <x:c r="C5090" s="7" t="str">
        <x:v>PEA-C-X2</x:v>
      </x:c>
      <x:c r="D5090" s="7" t="str">
        <x:v>section traveler</x:v>
      </x:c>
      <x:c r="E5090" s="7" t="str">
        <x:v>TRV-PEA-C-X2-10</x:v>
      </x:c>
      <x:c r="F5090" s="7" t="str">
        <x:f>'Section Travelers'!L276</x:f>
        <x:v>OPEN</x:v>
      </x:c>
    </x:row>
    <x:row r="5091">
      <x:c r="B5091" s="7" t="str">
        <x:v>AG-05085</x:v>
      </x:c>
      <x:c r="C5091" s="7" t="str">
        <x:v>PEA-C-X2</x:v>
      </x:c>
      <x:c r="D5091" s="7" t="str">
        <x:v>section traveler</x:v>
      </x:c>
      <x:c r="E5091" s="7" t="str">
        <x:v>TRV-PEA-C-X2-11</x:v>
      </x:c>
      <x:c r="F5091" s="7" t="str">
        <x:f>'Section Travelers'!L277</x:f>
        <x:v>OPEN</x:v>
      </x:c>
    </x:row>
    <x:row r="5092">
      <x:c r="B5092" s="7" t="str">
        <x:v>AG-05086</x:v>
      </x:c>
      <x:c r="C5092" s="7" t="str">
        <x:v>PEA-C-X2</x:v>
      </x:c>
      <x:c r="D5092" s="7" t="str">
        <x:v>section traveler</x:v>
      </x:c>
      <x:c r="E5092" s="7" t="str">
        <x:v>TRV-PEA-C-X2-12</x:v>
      </x:c>
      <x:c r="F5092" s="7" t="str">
        <x:f>'Section Travelers'!L278</x:f>
        <x:v>OPEN</x:v>
      </x:c>
    </x:row>
    <x:row r="5093">
      <x:c r="B5093" s="7" t="str">
        <x:v>AG-05087</x:v>
      </x:c>
      <x:c r="C5093" s="7" t="str">
        <x:v>PEA-C-X2</x:v>
      </x:c>
      <x:c r="D5093" s="7" t="str">
        <x:v>section traveler</x:v>
      </x:c>
      <x:c r="E5093" s="7" t="str">
        <x:v>TRV-PEA-C-X2-13</x:v>
      </x:c>
      <x:c r="F5093" s="7" t="str">
        <x:f>'Section Travelers'!L279</x:f>
        <x:v>OPEN</x:v>
      </x:c>
    </x:row>
    <x:row r="5094">
      <x:c r="B5094" s="7" t="str">
        <x:v>AG-05088</x:v>
      </x:c>
      <x:c r="C5094" s="7" t="str">
        <x:v>PEA-C-X2</x:v>
      </x:c>
      <x:c r="D5094" s="7" t="str">
        <x:v>section traveler</x:v>
      </x:c>
      <x:c r="E5094" s="7" t="str">
        <x:v>TRV-PEA-C-X2-14</x:v>
      </x:c>
      <x:c r="F5094" s="7" t="str">
        <x:f>'Section Travelers'!L280</x:f>
        <x:v>OPEN</x:v>
      </x:c>
    </x:row>
    <x:row r="5095">
      <x:c r="B5095" s="7" t="str">
        <x:v>AG-05089</x:v>
      </x:c>
      <x:c r="C5095" s="7" t="str">
        <x:v>PEA-C-X2</x:v>
      </x:c>
      <x:c r="D5095" s="7" t="str">
        <x:v>section traveler</x:v>
      </x:c>
      <x:c r="E5095" s="7" t="str">
        <x:v>TRV-PEA-C-X2-15</x:v>
      </x:c>
      <x:c r="F5095" s="7" t="str">
        <x:f>'Section Travelers'!L281</x:f>
        <x:v>OPEN</x:v>
      </x:c>
    </x:row>
    <x:row r="5096">
      <x:c r="B5096" s="7" t="str">
        <x:v>AG-05090</x:v>
      </x:c>
      <x:c r="C5096" s="7" t="str">
        <x:v>PEA-C-X2</x:v>
      </x:c>
      <x:c r="D5096" s="7" t="str">
        <x:v>section traveler</x:v>
      </x:c>
      <x:c r="E5096" s="7" t="str">
        <x:v>TRV-PEA-C-X2-16</x:v>
      </x:c>
      <x:c r="F5096" s="7" t="str">
        <x:f>'Section Travelers'!L282</x:f>
        <x:v>OPEN</x:v>
      </x:c>
    </x:row>
    <x:row r="5097">
      <x:c r="B5097" s="7" t="str">
        <x:v>AG-05091</x:v>
      </x:c>
      <x:c r="C5097" s="7" t="str">
        <x:v>PEA-C-X2</x:v>
      </x:c>
      <x:c r="D5097" s="7" t="str">
        <x:v>section traveler</x:v>
      </x:c>
      <x:c r="E5097" s="7" t="str">
        <x:v>TRV-PEA-C-X2-17</x:v>
      </x:c>
      <x:c r="F5097" s="7" t="str">
        <x:f>'Section Travelers'!L283</x:f>
        <x:v>OPEN</x:v>
      </x:c>
    </x:row>
    <x:row r="5098">
      <x:c r="B5098" s="7" t="str">
        <x:v>AG-05092</x:v>
      </x:c>
      <x:c r="C5098" s="7" t="str">
        <x:v>PEA-C-X2</x:v>
      </x:c>
      <x:c r="D5098" s="7" t="str">
        <x:v>section traveler</x:v>
      </x:c>
      <x:c r="E5098" s="7" t="str">
        <x:v>TRV-PEA-C-X2-18</x:v>
      </x:c>
      <x:c r="F5098" s="7" t="str">
        <x:f>'Section Travelers'!L284</x:f>
        <x:v>OPEN</x:v>
      </x:c>
    </x:row>
    <x:row r="5099">
      <x:c r="B5099" s="7" t="str">
        <x:v>AG-05093</x:v>
      </x:c>
      <x:c r="C5099" s="7" t="str">
        <x:v>PEA-C-X2</x:v>
      </x:c>
      <x:c r="D5099" s="7" t="str">
        <x:v>section traveler</x:v>
      </x:c>
      <x:c r="E5099" s="7" t="str">
        <x:v>TRV-PEA-C-X2-19</x:v>
      </x:c>
      <x:c r="F5099" s="7" t="str">
        <x:f>'Section Travelers'!L285</x:f>
        <x:v>OPEN</x:v>
      </x:c>
    </x:row>
    <x:row r="5100">
      <x:c r="B5100" s="7" t="str">
        <x:v>AG-05094</x:v>
      </x:c>
      <x:c r="C5100" s="7" t="str">
        <x:v>PEA-C-X2</x:v>
      </x:c>
      <x:c r="D5100" s="7" t="str">
        <x:v>section traveler</x:v>
      </x:c>
      <x:c r="E5100" s="7" t="str">
        <x:v>TRV-PEA-C-X2-20</x:v>
      </x:c>
      <x:c r="F5100" s="7" t="str">
        <x:f>'Section Travelers'!L286</x:f>
        <x:v>OPEN</x:v>
      </x:c>
    </x:row>
    <x:row r="5101">
      <x:c r="B5101" s="7" t="str">
        <x:v>AG-05095</x:v>
      </x:c>
      <x:c r="C5101" s="7" t="str">
        <x:v>PEA-C-X2</x:v>
      </x:c>
      <x:c r="D5101" s="7" t="str">
        <x:v>material coupon</x:v>
      </x:c>
      <x:c r="E5101" s="7" t="str">
        <x:v>CPN-PEA-C-X2-CJ-1</x:v>
      </x:c>
      <x:c r="F5101" s="7" t="str">
        <x:f>'Material Coupons'!K527</x:f>
        <x:v>OPEN</x:v>
      </x:c>
    </x:row>
    <x:row r="5102">
      <x:c r="B5102" s="7" t="str">
        <x:v>AG-05096</x:v>
      </x:c>
      <x:c r="C5102" s="7" t="str">
        <x:v>PEA-C-X2</x:v>
      </x:c>
      <x:c r="D5102" s="7" t="str">
        <x:v>material coupon</x:v>
      </x:c>
      <x:c r="E5102" s="7" t="str">
        <x:v>CPN-PEA-C-X2-CJ-2</x:v>
      </x:c>
      <x:c r="F5102" s="7" t="str">
        <x:f>'Material Coupons'!K528</x:f>
        <x:v>OPEN</x:v>
      </x:c>
    </x:row>
    <x:row r="5103">
      <x:c r="B5103" s="7" t="str">
        <x:v>AG-05097</x:v>
      </x:c>
      <x:c r="C5103" s="7" t="str">
        <x:v>PEA-C-X2</x:v>
      </x:c>
      <x:c r="D5103" s="7" t="str">
        <x:v>material coupon</x:v>
      </x:c>
      <x:c r="E5103" s="7" t="str">
        <x:v>CPN-PEA-C-X2-CJ-3</x:v>
      </x:c>
      <x:c r="F5103" s="7" t="str">
        <x:f>'Material Coupons'!K529</x:f>
        <x:v>OPEN</x:v>
      </x:c>
    </x:row>
    <x:row r="5104">
      <x:c r="B5104" s="7" t="str">
        <x:v>AG-05098</x:v>
      </x:c>
      <x:c r="C5104" s="7" t="str">
        <x:v>PEA-C-X2</x:v>
      </x:c>
      <x:c r="D5104" s="7" t="str">
        <x:v>material coupon</x:v>
      </x:c>
      <x:c r="E5104" s="7" t="str">
        <x:v>CPN-PEA-C-X2-CJ-4</x:v>
      </x:c>
      <x:c r="F5104" s="7" t="str">
        <x:f>'Material Coupons'!K530</x:f>
        <x:v>OPEN</x:v>
      </x:c>
    </x:row>
    <x:row r="5105">
      <x:c r="B5105" s="7" t="str">
        <x:v>AG-05099</x:v>
      </x:c>
      <x:c r="C5105" s="7" t="str">
        <x:v>PEA-C-X2</x:v>
      </x:c>
      <x:c r="D5105" s="7" t="str">
        <x:v>material coupon</x:v>
      </x:c>
      <x:c r="E5105" s="7" t="str">
        <x:v>CPN-PEA-C-X2-CJ-5</x:v>
      </x:c>
      <x:c r="F5105" s="7" t="str">
        <x:f>'Material Coupons'!K531</x:f>
        <x:v>OPEN</x:v>
      </x:c>
    </x:row>
    <x:row r="5106">
      <x:c r="B5106" s="7" t="str">
        <x:v>AG-05100</x:v>
      </x:c>
      <x:c r="C5106" s="7" t="str">
        <x:v>PEA-C-X2</x:v>
      </x:c>
      <x:c r="D5106" s="7" t="str">
        <x:v>material coupon</x:v>
      </x:c>
      <x:c r="E5106" s="7" t="str">
        <x:v>CPN-PEA-C-X2-CJ-6</x:v>
      </x:c>
      <x:c r="F5106" s="7" t="str">
        <x:f>'Material Coupons'!K532</x:f>
        <x:v>OPEN</x:v>
      </x:c>
    </x:row>
    <x:row r="5107">
      <x:c r="B5107" s="7" t="str">
        <x:v>AG-05101</x:v>
      </x:c>
      <x:c r="C5107" s="7" t="str">
        <x:v>PEA-C-X2</x:v>
      </x:c>
      <x:c r="D5107" s="7" t="str">
        <x:v>material coupon</x:v>
      </x:c>
      <x:c r="E5107" s="7" t="str">
        <x:v>CPN-PEA-C-X2-CJ-7</x:v>
      </x:c>
      <x:c r="F5107" s="7" t="str">
        <x:f>'Material Coupons'!K533</x:f>
        <x:v>OPEN</x:v>
      </x:c>
    </x:row>
    <x:row r="5108">
      <x:c r="B5108" s="7" t="str">
        <x:v>AG-05102</x:v>
      </x:c>
      <x:c r="C5108" s="7" t="str">
        <x:v>PEA-C-X2</x:v>
      </x:c>
      <x:c r="D5108" s="7" t="str">
        <x:v>material coupon</x:v>
      </x:c>
      <x:c r="E5108" s="7" t="str">
        <x:v>CPN-PEA-C-X2-CJ-8</x:v>
      </x:c>
      <x:c r="F5108" s="7" t="str">
        <x:f>'Material Coupons'!K534</x:f>
        <x:v>OPEN</x:v>
      </x:c>
    </x:row>
    <x:row r="5109">
      <x:c r="B5109" s="7" t="str">
        <x:v>AG-05103</x:v>
      </x:c>
      <x:c r="C5109" s="7" t="str">
        <x:v>PEA-C-X2</x:v>
      </x:c>
      <x:c r="D5109" s="7" t="str">
        <x:v>material coupon</x:v>
      </x:c>
      <x:c r="E5109" s="7" t="str">
        <x:v>CPN-PEA-C-X2-SE-1</x:v>
      </x:c>
      <x:c r="F5109" s="7" t="str">
        <x:f>'Material Coupons'!K535</x:f>
        <x:v>OPEN</x:v>
      </x:c>
    </x:row>
    <x:row r="5110">
      <x:c r="B5110" s="7" t="str">
        <x:v>AG-05104</x:v>
      </x:c>
      <x:c r="C5110" s="7" t="str">
        <x:v>PEA-C-X2</x:v>
      </x:c>
      <x:c r="D5110" s="7" t="str">
        <x:v>material coupon</x:v>
      </x:c>
      <x:c r="E5110" s="7" t="str">
        <x:v>CPN-PEA-C-X2-SE-2</x:v>
      </x:c>
      <x:c r="F5110" s="7" t="str">
        <x:f>'Material Coupons'!K536</x:f>
        <x:v>OPEN</x:v>
      </x:c>
    </x:row>
    <x:row r="5111">
      <x:c r="B5111" s="7" t="str">
        <x:v>AG-05105</x:v>
      </x:c>
      <x:c r="C5111" s="7" t="str">
        <x:v>PEA-C-X2</x:v>
      </x:c>
      <x:c r="D5111" s="7" t="str">
        <x:v>material coupon</x:v>
      </x:c>
      <x:c r="E5111" s="7" t="str">
        <x:v>CPN-PEA-C-X2-SE-3</x:v>
      </x:c>
      <x:c r="F5111" s="7" t="str">
        <x:f>'Material Coupons'!K537</x:f>
        <x:v>OPEN</x:v>
      </x:c>
    </x:row>
    <x:row r="5112">
      <x:c r="B5112" s="7" t="str">
        <x:v>AG-05106</x:v>
      </x:c>
      <x:c r="C5112" s="7" t="str">
        <x:v>PEA-C-X2</x:v>
      </x:c>
      <x:c r="D5112" s="7" t="str">
        <x:v>material coupon</x:v>
      </x:c>
      <x:c r="E5112" s="7" t="str">
        <x:v>CPN-PEA-C-X2-SE-4</x:v>
      </x:c>
      <x:c r="F5112" s="7" t="str">
        <x:f>'Material Coupons'!K538</x:f>
        <x:v>OPEN</x:v>
      </x:c>
    </x:row>
    <x:row r="5113">
      <x:c r="B5113" s="7" t="str">
        <x:v>AG-05107</x:v>
      </x:c>
      <x:c r="C5113" s="7" t="str">
        <x:v>PEA-C-X2</x:v>
      </x:c>
      <x:c r="D5113" s="7" t="str">
        <x:v>material coupon</x:v>
      </x:c>
      <x:c r="E5113" s="7" t="str">
        <x:v>CPN-PEA-C-X2-SE-5</x:v>
      </x:c>
      <x:c r="F5113" s="7" t="str">
        <x:f>'Material Coupons'!K539</x:f>
        <x:v>OPEN</x:v>
      </x:c>
    </x:row>
    <x:row r="5114">
      <x:c r="B5114" s="7" t="str">
        <x:v>AG-05108</x:v>
      </x:c>
      <x:c r="C5114" s="7" t="str">
        <x:v>PEA-C-X2</x:v>
      </x:c>
      <x:c r="D5114" s="7" t="str">
        <x:v>material coupon</x:v>
      </x:c>
      <x:c r="E5114" s="7" t="str">
        <x:v>CPN-PEA-C-X2-SE-6</x:v>
      </x:c>
      <x:c r="F5114" s="7" t="str">
        <x:f>'Material Coupons'!K540</x:f>
        <x:v>OPEN</x:v>
      </x:c>
    </x:row>
    <x:row r="5115">
      <x:c r="B5115" s="7" t="str">
        <x:v>AG-05109</x:v>
      </x:c>
      <x:c r="C5115" s="7" t="str">
        <x:v>PEA-C-X2</x:v>
      </x:c>
      <x:c r="D5115" s="7" t="str">
        <x:v>material coupon</x:v>
      </x:c>
      <x:c r="E5115" s="7" t="str">
        <x:v>CPN-PEA-C-X2-SE-7</x:v>
      </x:c>
      <x:c r="F5115" s="7" t="str">
        <x:f>'Material Coupons'!K541</x:f>
        <x:v>OPEN</x:v>
      </x:c>
    </x:row>
    <x:row r="5116">
      <x:c r="B5116" s="7" t="str">
        <x:v>AG-05110</x:v>
      </x:c>
      <x:c r="C5116" s="7" t="str">
        <x:v>PEA-C-X2</x:v>
      </x:c>
      <x:c r="D5116" s="7" t="str">
        <x:v>material coupon</x:v>
      </x:c>
      <x:c r="E5116" s="7" t="str">
        <x:v>CPN-PEA-C-X2-SE-8</x:v>
      </x:c>
      <x:c r="F5116" s="7" t="str">
        <x:f>'Material Coupons'!K542</x:f>
        <x:v>OPEN</x:v>
      </x:c>
    </x:row>
    <x:row r="5117">
      <x:c r="B5117" s="7" t="str">
        <x:v>AG-05111</x:v>
      </x:c>
      <x:c r="C5117" s="7" t="str">
        <x:v>PEA-C-X2</x:v>
      </x:c>
      <x:c r="D5117" s="7" t="str">
        <x:v>material coupon</x:v>
      </x:c>
      <x:c r="E5117" s="7" t="str">
        <x:v>CPN-PEA-C-X2-SF-1</x:v>
      </x:c>
      <x:c r="F5117" s="7" t="str">
        <x:f>'Material Coupons'!K543</x:f>
        <x:v>OPEN</x:v>
      </x:c>
    </x:row>
    <x:row r="5118">
      <x:c r="B5118" s="7" t="str">
        <x:v>AG-05112</x:v>
      </x:c>
      <x:c r="C5118" s="7" t="str">
        <x:v>PEA-C-X2</x:v>
      </x:c>
      <x:c r="D5118" s="7" t="str">
        <x:v>material coupon</x:v>
      </x:c>
      <x:c r="E5118" s="7" t="str">
        <x:v>CPN-PEA-C-X2-SF-2</x:v>
      </x:c>
      <x:c r="F5118" s="7" t="str">
        <x:f>'Material Coupons'!K544</x:f>
        <x:v>OPEN</x:v>
      </x:c>
    </x:row>
    <x:row r="5119">
      <x:c r="B5119" s="7" t="str">
        <x:v>AG-05113</x:v>
      </x:c>
      <x:c r="C5119" s="7" t="str">
        <x:v>PEA-C-X2</x:v>
      </x:c>
      <x:c r="D5119" s="7" t="str">
        <x:v>material coupon</x:v>
      </x:c>
      <x:c r="E5119" s="7" t="str">
        <x:v>CPN-PEA-C-X2-SF-3</x:v>
      </x:c>
      <x:c r="F5119" s="7" t="str">
        <x:f>'Material Coupons'!K545</x:f>
        <x:v>OPEN</x:v>
      </x:c>
    </x:row>
    <x:row r="5120">
      <x:c r="B5120" s="7" t="str">
        <x:v>AG-05114</x:v>
      </x:c>
      <x:c r="C5120" s="7" t="str">
        <x:v>PEA-C-X2</x:v>
      </x:c>
      <x:c r="D5120" s="7" t="str">
        <x:v>material coupon</x:v>
      </x:c>
      <x:c r="E5120" s="7" t="str">
        <x:v>CPN-PEA-C-X2-SF-4</x:v>
      </x:c>
      <x:c r="F5120" s="7" t="str">
        <x:f>'Material Coupons'!K546</x:f>
        <x:v>OPEN</x:v>
      </x:c>
    </x:row>
    <x:row r="5121">
      <x:c r="B5121" s="7" t="str">
        <x:v>AG-05115</x:v>
      </x:c>
      <x:c r="C5121" s="7" t="str">
        <x:v>PEA-C-X2</x:v>
      </x:c>
      <x:c r="D5121" s="7" t="str">
        <x:v>material coupon</x:v>
      </x:c>
      <x:c r="E5121" s="7" t="str">
        <x:v>CPN-PEA-C-X2-SF-5</x:v>
      </x:c>
      <x:c r="F5121" s="7" t="str">
        <x:f>'Material Coupons'!K547</x:f>
        <x:v>OPEN</x:v>
      </x:c>
    </x:row>
    <x:row r="5122">
      <x:c r="B5122" s="7" t="str">
        <x:v>AG-05116</x:v>
      </x:c>
      <x:c r="C5122" s="7" t="str">
        <x:v>PEA-C-X2</x:v>
      </x:c>
      <x:c r="D5122" s="7" t="str">
        <x:v>material coupon</x:v>
      </x:c>
      <x:c r="E5122" s="7" t="str">
        <x:v>CPN-PEA-C-X2-SF-6</x:v>
      </x:c>
      <x:c r="F5122" s="7" t="str">
        <x:f>'Material Coupons'!K548</x:f>
        <x:v>OPEN</x:v>
      </x:c>
    </x:row>
    <x:row r="5123">
      <x:c r="B5123" s="7" t="str">
        <x:v>AG-05117</x:v>
      </x:c>
      <x:c r="C5123" s="7" t="str">
        <x:v>PEA-C-X2</x:v>
      </x:c>
      <x:c r="D5123" s="7" t="str">
        <x:v>material coupon</x:v>
      </x:c>
      <x:c r="E5123" s="7" t="str">
        <x:v>CPN-PEA-C-X2-SF-7</x:v>
      </x:c>
      <x:c r="F5123" s="7" t="str">
        <x:f>'Material Coupons'!K549</x:f>
        <x:v>OPEN</x:v>
      </x:c>
    </x:row>
    <x:row r="5124">
      <x:c r="B5124" s="7" t="str">
        <x:v>AG-05118</x:v>
      </x:c>
      <x:c r="C5124" s="7" t="str">
        <x:v>PEA-C-X2</x:v>
      </x:c>
      <x:c r="D5124" s="7" t="str">
        <x:v>material coupon</x:v>
      </x:c>
      <x:c r="E5124" s="7" t="str">
        <x:v>CPN-PEA-C-X2-SF-8</x:v>
      </x:c>
      <x:c r="F5124" s="7" t="str">
        <x:f>'Material Coupons'!K550</x:f>
        <x:v>OPEN</x:v>
      </x:c>
    </x:row>
    <x:row r="5125">
      <x:c r="B5125" s="7" t="str">
        <x:v>AG-05119</x:v>
      </x:c>
      <x:c r="C5125" s="7" t="str">
        <x:v>PEA-C-X2</x:v>
      </x:c>
      <x:c r="D5125" s="7" t="str">
        <x:v>material coupon</x:v>
      </x:c>
      <x:c r="E5125" s="7" t="str">
        <x:v>CPN-PEA-C-X2-CP-1</x:v>
      </x:c>
      <x:c r="F5125" s="7" t="str">
        <x:f>'Material Coupons'!K551</x:f>
        <x:v>OPEN</x:v>
      </x:c>
    </x:row>
    <x:row r="5126">
      <x:c r="B5126" s="7" t="str">
        <x:v>AG-05120</x:v>
      </x:c>
      <x:c r="C5126" s="7" t="str">
        <x:v>PEA-C-X2</x:v>
      </x:c>
      <x:c r="D5126" s="7" t="str">
        <x:v>material coupon</x:v>
      </x:c>
      <x:c r="E5126" s="7" t="str">
        <x:v>CPN-PEA-C-X2-CP-2</x:v>
      </x:c>
      <x:c r="F5126" s="7" t="str">
        <x:f>'Material Coupons'!K552</x:f>
        <x:v>OPEN</x:v>
      </x:c>
    </x:row>
    <x:row r="5127">
      <x:c r="B5127" s="7" t="str">
        <x:v>AG-05121</x:v>
      </x:c>
      <x:c r="C5127" s="7" t="str">
        <x:v>PEA-C-X2</x:v>
      </x:c>
      <x:c r="D5127" s="7" t="str">
        <x:v>material coupon</x:v>
      </x:c>
      <x:c r="E5127" s="7" t="str">
        <x:v>CPN-PEA-C-X2-CP-3</x:v>
      </x:c>
      <x:c r="F5127" s="7" t="str">
        <x:f>'Material Coupons'!K553</x:f>
        <x:v>OPEN</x:v>
      </x:c>
    </x:row>
    <x:row r="5128">
      <x:c r="B5128" s="7" t="str">
        <x:v>AG-05122</x:v>
      </x:c>
      <x:c r="C5128" s="7" t="str">
        <x:v>PEA-C-X2</x:v>
      </x:c>
      <x:c r="D5128" s="7" t="str">
        <x:v>material coupon</x:v>
      </x:c>
      <x:c r="E5128" s="7" t="str">
        <x:v>CPN-PEA-C-X2-CP-4</x:v>
      </x:c>
      <x:c r="F5128" s="7" t="str">
        <x:f>'Material Coupons'!K554</x:f>
        <x:v>OPEN</x:v>
      </x:c>
    </x:row>
    <x:row r="5129">
      <x:c r="B5129" s="7" t="str">
        <x:v>AG-05123</x:v>
      </x:c>
      <x:c r="C5129" s="7" t="str">
        <x:v>PEA-C-X2</x:v>
      </x:c>
      <x:c r="D5129" s="7" t="str">
        <x:v>material coupon</x:v>
      </x:c>
      <x:c r="E5129" s="7" t="str">
        <x:v>CPN-PEA-C-X2-CP-5</x:v>
      </x:c>
      <x:c r="F5129" s="7" t="str">
        <x:f>'Material Coupons'!K555</x:f>
        <x:v>OPEN</x:v>
      </x:c>
    </x:row>
    <x:row r="5130">
      <x:c r="B5130" s="7" t="str">
        <x:v>AG-05124</x:v>
      </x:c>
      <x:c r="C5130" s="7" t="str">
        <x:v>PEA-C-X2</x:v>
      </x:c>
      <x:c r="D5130" s="7" t="str">
        <x:v>material coupon</x:v>
      </x:c>
      <x:c r="E5130" s="7" t="str">
        <x:v>CPN-PEA-C-X2-CP-6</x:v>
      </x:c>
      <x:c r="F5130" s="7" t="str">
        <x:f>'Material Coupons'!K556</x:f>
        <x:v>OPEN</x:v>
      </x:c>
    </x:row>
    <x:row r="5131">
      <x:c r="B5131" s="7" t="str">
        <x:v>AG-05125</x:v>
      </x:c>
      <x:c r="C5131" s="7" t="str">
        <x:v>PEA-C-X2</x:v>
      </x:c>
      <x:c r="D5131" s="7" t="str">
        <x:v>material coupon</x:v>
      </x:c>
      <x:c r="E5131" s="7" t="str">
        <x:v>CPN-PEA-C-X2-CP-7</x:v>
      </x:c>
      <x:c r="F5131" s="7" t="str">
        <x:f>'Material Coupons'!K557</x:f>
        <x:v>OPEN</x:v>
      </x:c>
    </x:row>
    <x:row r="5132">
      <x:c r="B5132" s="7" t="str">
        <x:v>AG-05126</x:v>
      </x:c>
      <x:c r="C5132" s="7" t="str">
        <x:v>PEA-C-X2</x:v>
      </x:c>
      <x:c r="D5132" s="7" t="str">
        <x:v>material coupon</x:v>
      </x:c>
      <x:c r="E5132" s="7" t="str">
        <x:v>CPN-PEA-C-X2-CP-8</x:v>
      </x:c>
      <x:c r="F5132" s="7" t="str">
        <x:f>'Material Coupons'!K558</x:f>
        <x:v>OPEN</x:v>
      </x:c>
    </x:row>
    <x:row r="5133">
      <x:c r="B5133" s="7" t="str">
        <x:v>AG-05127</x:v>
      </x:c>
      <x:c r="C5133" s="7" t="str">
        <x:v>PEA-C-X2</x:v>
      </x:c>
      <x:c r="D5133" s="7" t="str">
        <x:v>material coupon</x:v>
      </x:c>
      <x:c r="E5133" s="7" t="str">
        <x:v>CPN-PEA-C-X2-SM-1</x:v>
      </x:c>
      <x:c r="F5133" s="7" t="str">
        <x:f>'Material Coupons'!K559</x:f>
        <x:v>OPEN</x:v>
      </x:c>
    </x:row>
    <x:row r="5134">
      <x:c r="B5134" s="7" t="str">
        <x:v>AG-05128</x:v>
      </x:c>
      <x:c r="C5134" s="7" t="str">
        <x:v>PEA-C-X2</x:v>
      </x:c>
      <x:c r="D5134" s="7" t="str">
        <x:v>material coupon</x:v>
      </x:c>
      <x:c r="E5134" s="7" t="str">
        <x:v>CPN-PEA-C-X2-SM-2</x:v>
      </x:c>
      <x:c r="F5134" s="7" t="str">
        <x:f>'Material Coupons'!K560</x:f>
        <x:v>OPEN</x:v>
      </x:c>
    </x:row>
    <x:row r="5135">
      <x:c r="B5135" s="7" t="str">
        <x:v>AG-05129</x:v>
      </x:c>
      <x:c r="C5135" s="7" t="str">
        <x:v>PEA-C-X2</x:v>
      </x:c>
      <x:c r="D5135" s="7" t="str">
        <x:v>material coupon</x:v>
      </x:c>
      <x:c r="E5135" s="7" t="str">
        <x:v>CPN-PEA-C-X2-SM-3</x:v>
      </x:c>
      <x:c r="F5135" s="7" t="str">
        <x:f>'Material Coupons'!K561</x:f>
        <x:v>OPEN</x:v>
      </x:c>
    </x:row>
    <x:row r="5136">
      <x:c r="B5136" s="7" t="str">
        <x:v>AG-05130</x:v>
      </x:c>
      <x:c r="C5136" s="7" t="str">
        <x:v>PEA-C-X2</x:v>
      </x:c>
      <x:c r="D5136" s="7" t="str">
        <x:v>material coupon</x:v>
      </x:c>
      <x:c r="E5136" s="7" t="str">
        <x:v>CPN-PEA-C-X2-SM-4</x:v>
      </x:c>
      <x:c r="F5136" s="7" t="str">
        <x:f>'Material Coupons'!K562</x:f>
        <x:v>OPEN</x:v>
      </x:c>
    </x:row>
    <x:row r="5137">
      <x:c r="B5137" s="7" t="str">
        <x:v>AG-05131</x:v>
      </x:c>
      <x:c r="C5137" s="7" t="str">
        <x:v>PEA-C-X2</x:v>
      </x:c>
      <x:c r="D5137" s="7" t="str">
        <x:v>material coupon</x:v>
      </x:c>
      <x:c r="E5137" s="7" t="str">
        <x:v>CPN-PEA-C-X2-SM-5</x:v>
      </x:c>
      <x:c r="F5137" s="7" t="str">
        <x:f>'Material Coupons'!K563</x:f>
        <x:v>OPEN</x:v>
      </x:c>
    </x:row>
    <x:row r="5138">
      <x:c r="B5138" s="7" t="str">
        <x:v>AG-05132</x:v>
      </x:c>
      <x:c r="C5138" s="7" t="str">
        <x:v>PEA-C-X2</x:v>
      </x:c>
      <x:c r="D5138" s="7" t="str">
        <x:v>material coupon</x:v>
      </x:c>
      <x:c r="E5138" s="7" t="str">
        <x:v>CPN-PEA-C-X2-SM-6</x:v>
      </x:c>
      <x:c r="F5138" s="7" t="str">
        <x:f>'Material Coupons'!K564</x:f>
        <x:v>OPEN</x:v>
      </x:c>
    </x:row>
    <x:row r="5139">
      <x:c r="B5139" s="7" t="str">
        <x:v>AG-05133</x:v>
      </x:c>
      <x:c r="C5139" s="7" t="str">
        <x:v>PEA-C-X2</x:v>
      </x:c>
      <x:c r="D5139" s="7" t="str">
        <x:v>material coupon</x:v>
      </x:c>
      <x:c r="E5139" s="7" t="str">
        <x:v>CPN-PEA-C-X2-SM-7</x:v>
      </x:c>
      <x:c r="F5139" s="7" t="str">
        <x:f>'Material Coupons'!K565</x:f>
        <x:v>OPEN</x:v>
      </x:c>
    </x:row>
    <x:row r="5140">
      <x:c r="B5140" s="7" t="str">
        <x:v>AG-05134</x:v>
      </x:c>
      <x:c r="C5140" s="7" t="str">
        <x:v>PEA-C-X2</x:v>
      </x:c>
      <x:c r="D5140" s="7" t="str">
        <x:v>material coupon</x:v>
      </x:c>
      <x:c r="E5140" s="7" t="str">
        <x:v>CPN-PEA-C-X2-SM-8</x:v>
      </x:c>
      <x:c r="F5140" s="7" t="str">
        <x:f>'Material Coupons'!K566</x:f>
        <x:v>OPEN</x:v>
      </x:c>
    </x:row>
    <x:row r="5141">
      <x:c r="B5141" s="7" t="str">
        <x:v>AG-05135</x:v>
      </x:c>
      <x:c r="C5141" s="7" t="str">
        <x:v>PEA-C-X2</x:v>
      </x:c>
      <x:c r="D5141" s="7" t="str">
        <x:v>NDE record</x:v>
      </x:c>
      <x:c r="E5141" s="7" t="str">
        <x:v>NDE-TRV-PEA-C-X2-01</x:v>
      </x:c>
      <x:c r="F5141" s="7" t="str">
        <x:f>'NDE Records'!L267</x:f>
        <x:v>OPEN</x:v>
      </x:c>
    </x:row>
    <x:row r="5142">
      <x:c r="B5142" s="7" t="str">
        <x:v>AG-05136</x:v>
      </x:c>
      <x:c r="C5142" s="7" t="str">
        <x:v>PEA-C-X2</x:v>
      </x:c>
      <x:c r="D5142" s="7" t="str">
        <x:v>NDE record</x:v>
      </x:c>
      <x:c r="E5142" s="7" t="str">
        <x:v>NDE-TRV-PEA-C-X2-02</x:v>
      </x:c>
      <x:c r="F5142" s="7" t="str">
        <x:f>'NDE Records'!L268</x:f>
        <x:v>OPEN</x:v>
      </x:c>
    </x:row>
    <x:row r="5143">
      <x:c r="B5143" s="7" t="str">
        <x:v>AG-05137</x:v>
      </x:c>
      <x:c r="C5143" s="7" t="str">
        <x:v>PEA-C-X2</x:v>
      </x:c>
      <x:c r="D5143" s="7" t="str">
        <x:v>NDE record</x:v>
      </x:c>
      <x:c r="E5143" s="7" t="str">
        <x:v>NDE-TRV-PEA-C-X2-03</x:v>
      </x:c>
      <x:c r="F5143" s="7" t="str">
        <x:f>'NDE Records'!L269</x:f>
        <x:v>OPEN</x:v>
      </x:c>
    </x:row>
    <x:row r="5144">
      <x:c r="B5144" s="7" t="str">
        <x:v>AG-05138</x:v>
      </x:c>
      <x:c r="C5144" s="7" t="str">
        <x:v>PEA-C-X2</x:v>
      </x:c>
      <x:c r="D5144" s="7" t="str">
        <x:v>NDE record</x:v>
      </x:c>
      <x:c r="E5144" s="7" t="str">
        <x:v>NDE-TRV-PEA-C-X2-04</x:v>
      </x:c>
      <x:c r="F5144" s="7" t="str">
        <x:f>'NDE Records'!L270</x:f>
        <x:v>OPEN</x:v>
      </x:c>
    </x:row>
    <x:row r="5145">
      <x:c r="B5145" s="7" t="str">
        <x:v>AG-05139</x:v>
      </x:c>
      <x:c r="C5145" s="7" t="str">
        <x:v>PEA-C-X2</x:v>
      </x:c>
      <x:c r="D5145" s="7" t="str">
        <x:v>NDE record</x:v>
      </x:c>
      <x:c r="E5145" s="7" t="str">
        <x:v>NDE-TRV-PEA-C-X2-05</x:v>
      </x:c>
      <x:c r="F5145" s="7" t="str">
        <x:f>'NDE Records'!L271</x:f>
        <x:v>OPEN</x:v>
      </x:c>
    </x:row>
    <x:row r="5146">
      <x:c r="B5146" s="7" t="str">
        <x:v>AG-05140</x:v>
      </x:c>
      <x:c r="C5146" s="7" t="str">
        <x:v>PEA-C-X2</x:v>
      </x:c>
      <x:c r="D5146" s="7" t="str">
        <x:v>NDE record</x:v>
      </x:c>
      <x:c r="E5146" s="7" t="str">
        <x:v>NDE-TRV-PEA-C-X2-06</x:v>
      </x:c>
      <x:c r="F5146" s="7" t="str">
        <x:f>'NDE Records'!L272</x:f>
        <x:v>OPEN</x:v>
      </x:c>
    </x:row>
    <x:row r="5147">
      <x:c r="B5147" s="7" t="str">
        <x:v>AG-05141</x:v>
      </x:c>
      <x:c r="C5147" s="7" t="str">
        <x:v>PEA-C-X2</x:v>
      </x:c>
      <x:c r="D5147" s="7" t="str">
        <x:v>NDE record</x:v>
      </x:c>
      <x:c r="E5147" s="7" t="str">
        <x:v>NDE-TRV-PEA-C-X2-07</x:v>
      </x:c>
      <x:c r="F5147" s="7" t="str">
        <x:f>'NDE Records'!L273</x:f>
        <x:v>OPEN</x:v>
      </x:c>
    </x:row>
    <x:row r="5148">
      <x:c r="B5148" s="7" t="str">
        <x:v>AG-05142</x:v>
      </x:c>
      <x:c r="C5148" s="7" t="str">
        <x:v>PEA-C-X2</x:v>
      </x:c>
      <x:c r="D5148" s="7" t="str">
        <x:v>NDE record</x:v>
      </x:c>
      <x:c r="E5148" s="7" t="str">
        <x:v>NDE-TRV-PEA-C-X2-08</x:v>
      </x:c>
      <x:c r="F5148" s="7" t="str">
        <x:f>'NDE Records'!L274</x:f>
        <x:v>OPEN</x:v>
      </x:c>
    </x:row>
    <x:row r="5149">
      <x:c r="B5149" s="7" t="str">
        <x:v>AG-05143</x:v>
      </x:c>
      <x:c r="C5149" s="7" t="str">
        <x:v>PEA-C-X2</x:v>
      </x:c>
      <x:c r="D5149" s="7" t="str">
        <x:v>NDE record</x:v>
      </x:c>
      <x:c r="E5149" s="7" t="str">
        <x:v>NDE-TRV-PEA-C-X2-09</x:v>
      </x:c>
      <x:c r="F5149" s="7" t="str">
        <x:f>'NDE Records'!L275</x:f>
        <x:v>OPEN</x:v>
      </x:c>
    </x:row>
    <x:row r="5150">
      <x:c r="B5150" s="7" t="str">
        <x:v>AG-05144</x:v>
      </x:c>
      <x:c r="C5150" s="7" t="str">
        <x:v>PEA-C-X2</x:v>
      </x:c>
      <x:c r="D5150" s="7" t="str">
        <x:v>NDE record</x:v>
      </x:c>
      <x:c r="E5150" s="7" t="str">
        <x:v>NDE-TRV-PEA-C-X2-10</x:v>
      </x:c>
      <x:c r="F5150" s="7" t="str">
        <x:f>'NDE Records'!L276</x:f>
        <x:v>OPEN</x:v>
      </x:c>
    </x:row>
    <x:row r="5151">
      <x:c r="B5151" s="7" t="str">
        <x:v>AG-05145</x:v>
      </x:c>
      <x:c r="C5151" s="7" t="str">
        <x:v>PEA-C-X2</x:v>
      </x:c>
      <x:c r="D5151" s="7" t="str">
        <x:v>NDE record</x:v>
      </x:c>
      <x:c r="E5151" s="7" t="str">
        <x:v>NDE-TRV-PEA-C-X2-11</x:v>
      </x:c>
      <x:c r="F5151" s="7" t="str">
        <x:f>'NDE Records'!L277</x:f>
        <x:v>OPEN</x:v>
      </x:c>
    </x:row>
    <x:row r="5152">
      <x:c r="B5152" s="7" t="str">
        <x:v>AG-05146</x:v>
      </x:c>
      <x:c r="C5152" s="7" t="str">
        <x:v>PEA-C-X2</x:v>
      </x:c>
      <x:c r="D5152" s="7" t="str">
        <x:v>NDE record</x:v>
      </x:c>
      <x:c r="E5152" s="7" t="str">
        <x:v>NDE-TRV-PEA-C-X2-12</x:v>
      </x:c>
      <x:c r="F5152" s="7" t="str">
        <x:f>'NDE Records'!L278</x:f>
        <x:v>OPEN</x:v>
      </x:c>
    </x:row>
    <x:row r="5153">
      <x:c r="B5153" s="7" t="str">
        <x:v>AG-05147</x:v>
      </x:c>
      <x:c r="C5153" s="7" t="str">
        <x:v>PEA-C-X2</x:v>
      </x:c>
      <x:c r="D5153" s="7" t="str">
        <x:v>NDE record</x:v>
      </x:c>
      <x:c r="E5153" s="7" t="str">
        <x:v>NDE-TRV-PEA-C-X2-13</x:v>
      </x:c>
      <x:c r="F5153" s="7" t="str">
        <x:f>'NDE Records'!L279</x:f>
        <x:v>OPEN</x:v>
      </x:c>
    </x:row>
    <x:row r="5154">
      <x:c r="B5154" s="7" t="str">
        <x:v>AG-05148</x:v>
      </x:c>
      <x:c r="C5154" s="7" t="str">
        <x:v>PEA-C-X2</x:v>
      </x:c>
      <x:c r="D5154" s="7" t="str">
        <x:v>NDE record</x:v>
      </x:c>
      <x:c r="E5154" s="7" t="str">
        <x:v>NDE-TRV-PEA-C-X2-14</x:v>
      </x:c>
      <x:c r="F5154" s="7" t="str">
        <x:f>'NDE Records'!L280</x:f>
        <x:v>OPEN</x:v>
      </x:c>
    </x:row>
    <x:row r="5155">
      <x:c r="B5155" s="7" t="str">
        <x:v>AG-05149</x:v>
      </x:c>
      <x:c r="C5155" s="7" t="str">
        <x:v>PEA-C-X2</x:v>
      </x:c>
      <x:c r="D5155" s="7" t="str">
        <x:v>NDE record</x:v>
      </x:c>
      <x:c r="E5155" s="7" t="str">
        <x:v>NDE-TRV-PEA-C-X2-15</x:v>
      </x:c>
      <x:c r="F5155" s="7" t="str">
        <x:f>'NDE Records'!L281</x:f>
        <x:v>OPEN</x:v>
      </x:c>
    </x:row>
    <x:row r="5156">
      <x:c r="B5156" s="7" t="str">
        <x:v>AG-05150</x:v>
      </x:c>
      <x:c r="C5156" s="7" t="str">
        <x:v>PEA-C-X2</x:v>
      </x:c>
      <x:c r="D5156" s="7" t="str">
        <x:v>NDE record</x:v>
      </x:c>
      <x:c r="E5156" s="7" t="str">
        <x:v>NDE-TRV-PEA-C-X2-16</x:v>
      </x:c>
      <x:c r="F5156" s="7" t="str">
        <x:f>'NDE Records'!L282</x:f>
        <x:v>OPEN</x:v>
      </x:c>
    </x:row>
    <x:row r="5157">
      <x:c r="B5157" s="7" t="str">
        <x:v>AG-05151</x:v>
      </x:c>
      <x:c r="C5157" s="7" t="str">
        <x:v>PEA-C-X2</x:v>
      </x:c>
      <x:c r="D5157" s="7" t="str">
        <x:v>NDE record</x:v>
      </x:c>
      <x:c r="E5157" s="7" t="str">
        <x:v>NDE-TRV-PEA-C-X2-17</x:v>
      </x:c>
      <x:c r="F5157" s="7" t="str">
        <x:f>'NDE Records'!L283</x:f>
        <x:v>OPEN</x:v>
      </x:c>
    </x:row>
    <x:row r="5158">
      <x:c r="B5158" s="7" t="str">
        <x:v>AG-05152</x:v>
      </x:c>
      <x:c r="C5158" s="7" t="str">
        <x:v>PEA-C-X2</x:v>
      </x:c>
      <x:c r="D5158" s="7" t="str">
        <x:v>NDE record</x:v>
      </x:c>
      <x:c r="E5158" s="7" t="str">
        <x:v>NDE-TRV-PEA-C-X2-18</x:v>
      </x:c>
      <x:c r="F5158" s="7" t="str">
        <x:f>'NDE Records'!L284</x:f>
        <x:v>OPEN</x:v>
      </x:c>
    </x:row>
    <x:row r="5159">
      <x:c r="B5159" s="7" t="str">
        <x:v>AG-05153</x:v>
      </x:c>
      <x:c r="C5159" s="7" t="str">
        <x:v>PEA-C-X2</x:v>
      </x:c>
      <x:c r="D5159" s="7" t="str">
        <x:v>NDE record</x:v>
      </x:c>
      <x:c r="E5159" s="7" t="str">
        <x:v>NDE-TRV-PEA-C-X2-19</x:v>
      </x:c>
      <x:c r="F5159" s="7" t="str">
        <x:f>'NDE Records'!L285</x:f>
        <x:v>OPEN</x:v>
      </x:c>
    </x:row>
    <x:row r="5160">
      <x:c r="B5160" s="7" t="str">
        <x:v>AG-05154</x:v>
      </x:c>
      <x:c r="C5160" s="7" t="str">
        <x:v>PEA-C-X2</x:v>
      </x:c>
      <x:c r="D5160" s="7" t="str">
        <x:v>NDE record</x:v>
      </x:c>
      <x:c r="E5160" s="7" t="str">
        <x:v>NDE-TRV-PEA-C-X2-20</x:v>
      </x:c>
      <x:c r="F5160" s="7" t="str">
        <x:f>'NDE Records'!L286</x:f>
        <x:v>OPEN</x:v>
      </x:c>
    </x:row>
    <x:row r="5161">
      <x:c r="B5161" s="7" t="str">
        <x:v>AG-05155</x:v>
      </x:c>
      <x:c r="C5161" s="7" t="str">
        <x:v>PEA-C-X2</x:v>
      </x:c>
      <x:c r="D5161" s="7" t="str">
        <x:v>joint record</x:v>
      </x:c>
      <x:c r="E5161" s="7" t="str">
        <x:v>JNT-PEA-C-X2-1</x:v>
      </x:c>
      <x:c r="F5161" s="7" t="str">
        <x:f>'Joint Records'!M72</x:f>
        <x:v>OPEN</x:v>
      </x:c>
    </x:row>
    <x:row r="5162">
      <x:c r="B5162" s="7" t="str">
        <x:v>AG-05156</x:v>
      </x:c>
      <x:c r="C5162" s="7" t="str">
        <x:v>PEA-C-X2</x:v>
      </x:c>
      <x:c r="D5162" s="7" t="str">
        <x:v>joint record</x:v>
      </x:c>
      <x:c r="E5162" s="7" t="str">
        <x:v>JNT-PEA-C-X2-2</x:v>
      </x:c>
      <x:c r="F5162" s="7" t="str">
        <x:f>'Joint Records'!M73</x:f>
        <x:v>OPEN</x:v>
      </x:c>
    </x:row>
    <x:row r="5163">
      <x:c r="B5163" s="7" t="str">
        <x:v>AG-05157</x:v>
      </x:c>
      <x:c r="C5163" s="7" t="str">
        <x:v>PEA-C-X2</x:v>
      </x:c>
      <x:c r="D5163" s="7" t="str">
        <x:v>joint record</x:v>
      </x:c>
      <x:c r="E5163" s="7" t="str">
        <x:v>JNT-PEA-C-X2-3</x:v>
      </x:c>
      <x:c r="F5163" s="7" t="str">
        <x:f>'Joint Records'!M74</x:f>
        <x:v>OPEN</x:v>
      </x:c>
    </x:row>
    <x:row r="5164">
      <x:c r="B5164" s="7" t="str">
        <x:v>AG-05158</x:v>
      </x:c>
      <x:c r="C5164" s="7" t="str">
        <x:v>PEA-C-X2</x:v>
      </x:c>
      <x:c r="D5164" s="7" t="str">
        <x:v>joint record</x:v>
      </x:c>
      <x:c r="E5164" s="7" t="str">
        <x:v>JNT-PEA-C-X2-4</x:v>
      </x:c>
      <x:c r="F5164" s="7" t="str">
        <x:f>'Joint Records'!M75</x:f>
        <x:v>OPEN</x:v>
      </x:c>
    </x:row>
    <x:row r="5165">
      <x:c r="B5165" s="7" t="str">
        <x:v>AG-05159</x:v>
      </x:c>
      <x:c r="C5165" s="7" t="str">
        <x:v>PEA-C-X2</x:v>
      </x:c>
      <x:c r="D5165" s="7" t="str">
        <x:v>joint record</x:v>
      </x:c>
      <x:c r="E5165" s="7" t="str">
        <x:v>JNT-PEA-C-X2-5</x:v>
      </x:c>
      <x:c r="F5165" s="7" t="str">
        <x:f>'Joint Records'!M76</x:f>
        <x:v>OPEN</x:v>
      </x:c>
    </x:row>
    <x:row r="5166">
      <x:c r="B5166" s="7" t="str">
        <x:v>AG-05160</x:v>
      </x:c>
      <x:c r="C5166" s="7" t="str">
        <x:v>PEA-C-X2</x:v>
      </x:c>
      <x:c r="D5166" s="7" t="str">
        <x:v>control element</x:v>
      </x:c>
      <x:c r="E5166" s="7" t="str">
        <x:v>ELM-PEA-C-X2-01</x:v>
      </x:c>
      <x:c r="F5166" s="7" t="str">
        <x:f>'Control Elements'!L163</x:f>
        <x:v>OPEN</x:v>
      </x:c>
    </x:row>
    <x:row r="5167">
      <x:c r="B5167" s="7" t="str">
        <x:v>AG-05161</x:v>
      </x:c>
      <x:c r="C5167" s="7" t="str">
        <x:v>PEA-C-X2</x:v>
      </x:c>
      <x:c r="D5167" s="7" t="str">
        <x:v>control element</x:v>
      </x:c>
      <x:c r="E5167" s="7" t="str">
        <x:v>ELM-PEA-C-X2-02</x:v>
      </x:c>
      <x:c r="F5167" s="7" t="str">
        <x:f>'Control Elements'!L164</x:f>
        <x:v>OPEN</x:v>
      </x:c>
    </x:row>
    <x:row r="5168">
      <x:c r="B5168" s="7" t="str">
        <x:v>AG-05162</x:v>
      </x:c>
      <x:c r="C5168" s="7" t="str">
        <x:v>PEA-C-X2</x:v>
      </x:c>
      <x:c r="D5168" s="7" t="str">
        <x:v>control element</x:v>
      </x:c>
      <x:c r="E5168" s="7" t="str">
        <x:v>ELM-PEA-C-X2-03</x:v>
      </x:c>
      <x:c r="F5168" s="7" t="str">
        <x:f>'Control Elements'!L165</x:f>
        <x:v>OPEN</x:v>
      </x:c>
    </x:row>
    <x:row r="5169">
      <x:c r="B5169" s="7" t="str">
        <x:v>AG-05163</x:v>
      </x:c>
      <x:c r="C5169" s="7" t="str">
        <x:v>PEA-C-X2</x:v>
      </x:c>
      <x:c r="D5169" s="7" t="str">
        <x:v>control element</x:v>
      </x:c>
      <x:c r="E5169" s="7" t="str">
        <x:v>ELM-PEA-C-X2-04</x:v>
      </x:c>
      <x:c r="F5169" s="7" t="str">
        <x:f>'Control Elements'!L166</x:f>
        <x:v>OPEN</x:v>
      </x:c>
    </x:row>
    <x:row r="5170">
      <x:c r="B5170" s="7" t="str">
        <x:v>AG-05164</x:v>
      </x:c>
      <x:c r="C5170" s="7" t="str">
        <x:v>PEA-C-X2</x:v>
      </x:c>
      <x:c r="D5170" s="7" t="str">
        <x:v>control element</x:v>
      </x:c>
      <x:c r="E5170" s="7" t="str">
        <x:v>ELM-PEA-C-X2-05</x:v>
      </x:c>
      <x:c r="F5170" s="7" t="str">
        <x:f>'Control Elements'!L167</x:f>
        <x:v>OPEN</x:v>
      </x:c>
    </x:row>
    <x:row r="5171">
      <x:c r="B5171" s="7" t="str">
        <x:v>AG-05165</x:v>
      </x:c>
      <x:c r="C5171" s="7" t="str">
        <x:v>PEA-C-X2</x:v>
      </x:c>
      <x:c r="D5171" s="7" t="str">
        <x:v>control element</x:v>
      </x:c>
      <x:c r="E5171" s="7" t="str">
        <x:v>ELM-PEA-C-X2-06</x:v>
      </x:c>
      <x:c r="F5171" s="7" t="str">
        <x:f>'Control Elements'!L168</x:f>
        <x:v>OPEN</x:v>
      </x:c>
    </x:row>
    <x:row r="5172">
      <x:c r="B5172" s="7" t="str">
        <x:v>AG-05166</x:v>
      </x:c>
      <x:c r="C5172" s="7" t="str">
        <x:v>PEA-C-X2</x:v>
      </x:c>
      <x:c r="D5172" s="7" t="str">
        <x:v>control element</x:v>
      </x:c>
      <x:c r="E5172" s="7" t="str">
        <x:v>ELM-PEA-C-X2-07</x:v>
      </x:c>
      <x:c r="F5172" s="7" t="str">
        <x:f>'Control Elements'!L169</x:f>
        <x:v>OPEN</x:v>
      </x:c>
    </x:row>
    <x:row r="5173">
      <x:c r="B5173" s="7" t="str">
        <x:v>AG-05167</x:v>
      </x:c>
      <x:c r="C5173" s="7" t="str">
        <x:v>PEA-C-X2</x:v>
      </x:c>
      <x:c r="D5173" s="7" t="str">
        <x:v>control element</x:v>
      </x:c>
      <x:c r="E5173" s="7" t="str">
        <x:v>ELM-PEA-C-X2-08</x:v>
      </x:c>
      <x:c r="F5173" s="7" t="str">
        <x:f>'Control Elements'!L170</x:f>
        <x:v>OPEN</x:v>
      </x:c>
    </x:row>
    <x:row r="5174">
      <x:c r="B5174" s="7" t="str">
        <x:v>AG-05168</x:v>
      </x:c>
      <x:c r="C5174" s="7" t="str">
        <x:v>PEA-C-X2</x:v>
      </x:c>
      <x:c r="D5174" s="7" t="str">
        <x:v>control element</x:v>
      </x:c>
      <x:c r="E5174" s="7" t="str">
        <x:v>ELM-PEA-C-X2-09</x:v>
      </x:c>
      <x:c r="F5174" s="7" t="str">
        <x:f>'Control Elements'!L171</x:f>
        <x:v>OPEN</x:v>
      </x:c>
    </x:row>
    <x:row r="5175">
      <x:c r="B5175" s="7" t="str">
        <x:v>AG-05169</x:v>
      </x:c>
      <x:c r="C5175" s="7" t="str">
        <x:v>PEA-C-X2</x:v>
      </x:c>
      <x:c r="D5175" s="7" t="str">
        <x:v>control element</x:v>
      </x:c>
      <x:c r="E5175" s="7" t="str">
        <x:v>ELM-PEA-C-X2-10</x:v>
      </x:c>
      <x:c r="F5175" s="7" t="str">
        <x:f>'Control Elements'!L172</x:f>
        <x:v>OPEN</x:v>
      </x:c>
    </x:row>
    <x:row r="5176">
      <x:c r="B5176" s="7" t="str">
        <x:v>AG-05170</x:v>
      </x:c>
      <x:c r="C5176" s="7" t="str">
        <x:v>PEA-C-X2</x:v>
      </x:c>
      <x:c r="D5176" s="7" t="str">
        <x:v>control element</x:v>
      </x:c>
      <x:c r="E5176" s="7" t="str">
        <x:v>ELM-PEA-C-X2-11</x:v>
      </x:c>
      <x:c r="F5176" s="7" t="str">
        <x:f>'Control Elements'!L173</x:f>
        <x:v>OPEN</x:v>
      </x:c>
    </x:row>
    <x:row r="5177">
      <x:c r="B5177" s="7" t="str">
        <x:v>AG-05171</x:v>
      </x:c>
      <x:c r="C5177" s="7" t="str">
        <x:v>PEA-C-X2</x:v>
      </x:c>
      <x:c r="D5177" s="7" t="str">
        <x:v>control element</x:v>
      </x:c>
      <x:c r="E5177" s="7" t="str">
        <x:v>ELM-PEA-C-X2-12</x:v>
      </x:c>
      <x:c r="F5177" s="7" t="str">
        <x:f>'Control Elements'!L174</x:f>
        <x:v>OPEN</x:v>
      </x:c>
    </x:row>
    <x:row r="5178">
      <x:c r="B5178" s="7" t="str">
        <x:v>AG-05172</x:v>
      </x:c>
      <x:c r="C5178" s="7" t="str">
        <x:v>PEA-C-X2</x:v>
      </x:c>
      <x:c r="D5178" s="7" t="str">
        <x:v>channel instance</x:v>
      </x:c>
      <x:c r="E5178" s="7" t="str">
        <x:v>CH-PEA-C-X2-01-1</x:v>
      </x:c>
      <x:c r="F5178" s="7" t="str">
        <x:f>'Channel Instances'!O1879</x:f>
        <x:v>OPEN</x:v>
      </x:c>
    </x:row>
    <x:row r="5179">
      <x:c r="B5179" s="7" t="str">
        <x:v>AG-05173</x:v>
      </x:c>
      <x:c r="C5179" s="7" t="str">
        <x:v>PEA-C-X2</x:v>
      </x:c>
      <x:c r="D5179" s="7" t="str">
        <x:v>channel instance</x:v>
      </x:c>
      <x:c r="E5179" s="7" t="str">
        <x:v>CH-PEA-C-X2-01-2</x:v>
      </x:c>
      <x:c r="F5179" s="7" t="str">
        <x:f>'Channel Instances'!O1880</x:f>
        <x:v>OPEN</x:v>
      </x:c>
    </x:row>
    <x:row r="5180">
      <x:c r="B5180" s="7" t="str">
        <x:v>AG-05174</x:v>
      </x:c>
      <x:c r="C5180" s="7" t="str">
        <x:v>PEA-C-X2</x:v>
      </x:c>
      <x:c r="D5180" s="7" t="str">
        <x:v>channel instance</x:v>
      </x:c>
      <x:c r="E5180" s="7" t="str">
        <x:v>CH-PEA-C-X2-01-3</x:v>
      </x:c>
      <x:c r="F5180" s="7" t="str">
        <x:f>'Channel Instances'!O1881</x:f>
        <x:v>OPEN</x:v>
      </x:c>
    </x:row>
    <x:row r="5181">
      <x:c r="B5181" s="7" t="str">
        <x:v>AG-05175</x:v>
      </x:c>
      <x:c r="C5181" s="7" t="str">
        <x:v>PEA-C-X2</x:v>
      </x:c>
      <x:c r="D5181" s="7" t="str">
        <x:v>channel instance</x:v>
      </x:c>
      <x:c r="E5181" s="7" t="str">
        <x:v>CH-PEA-C-X2-01-4</x:v>
      </x:c>
      <x:c r="F5181" s="7" t="str">
        <x:f>'Channel Instances'!O1882</x:f>
        <x:v>OPEN</x:v>
      </x:c>
    </x:row>
    <x:row r="5182">
      <x:c r="B5182" s="7" t="str">
        <x:v>AG-05176</x:v>
      </x:c>
      <x:c r="C5182" s="7" t="str">
        <x:v>PEA-C-X2</x:v>
      </x:c>
      <x:c r="D5182" s="7" t="str">
        <x:v>channel instance</x:v>
      </x:c>
      <x:c r="E5182" s="7" t="str">
        <x:v>CH-PEA-C-X2-01-5</x:v>
      </x:c>
      <x:c r="F5182" s="7" t="str">
        <x:f>'Channel Instances'!O1883</x:f>
        <x:v>OPEN</x:v>
      </x:c>
    </x:row>
    <x:row r="5183">
      <x:c r="B5183" s="7" t="str">
        <x:v>AG-05177</x:v>
      </x:c>
      <x:c r="C5183" s="7" t="str">
        <x:v>PEA-C-X2</x:v>
      </x:c>
      <x:c r="D5183" s="7" t="str">
        <x:v>channel instance</x:v>
      </x:c>
      <x:c r="E5183" s="7" t="str">
        <x:v>CH-PEA-C-X2-01-6</x:v>
      </x:c>
      <x:c r="F5183" s="7" t="str">
        <x:f>'Channel Instances'!O1884</x:f>
        <x:v>OPEN</x:v>
      </x:c>
    </x:row>
    <x:row r="5184">
      <x:c r="B5184" s="7" t="str">
        <x:v>AG-05178</x:v>
      </x:c>
      <x:c r="C5184" s="7" t="str">
        <x:v>PEA-C-X2</x:v>
      </x:c>
      <x:c r="D5184" s="7" t="str">
        <x:v>channel instance</x:v>
      </x:c>
      <x:c r="E5184" s="7" t="str">
        <x:v>CH-PEA-C-X2-02-1</x:v>
      </x:c>
      <x:c r="F5184" s="7" t="str">
        <x:f>'Channel Instances'!O1885</x:f>
        <x:v>OPEN</x:v>
      </x:c>
    </x:row>
    <x:row r="5185">
      <x:c r="B5185" s="7" t="str">
        <x:v>AG-05179</x:v>
      </x:c>
      <x:c r="C5185" s="7" t="str">
        <x:v>PEA-C-X2</x:v>
      </x:c>
      <x:c r="D5185" s="7" t="str">
        <x:v>channel instance</x:v>
      </x:c>
      <x:c r="E5185" s="7" t="str">
        <x:v>CH-PEA-C-X2-02-2</x:v>
      </x:c>
      <x:c r="F5185" s="7" t="str">
        <x:f>'Channel Instances'!O1886</x:f>
        <x:v>OPEN</x:v>
      </x:c>
    </x:row>
    <x:row r="5186">
      <x:c r="B5186" s="7" t="str">
        <x:v>AG-05180</x:v>
      </x:c>
      <x:c r="C5186" s="7" t="str">
        <x:v>PEA-C-X2</x:v>
      </x:c>
      <x:c r="D5186" s="7" t="str">
        <x:v>channel instance</x:v>
      </x:c>
      <x:c r="E5186" s="7" t="str">
        <x:v>CH-PEA-C-X2-02-3</x:v>
      </x:c>
      <x:c r="F5186" s="7" t="str">
        <x:f>'Channel Instances'!O1887</x:f>
        <x:v>OPEN</x:v>
      </x:c>
    </x:row>
    <x:row r="5187">
      <x:c r="B5187" s="7" t="str">
        <x:v>AG-05181</x:v>
      </x:c>
      <x:c r="C5187" s="7" t="str">
        <x:v>PEA-C-X2</x:v>
      </x:c>
      <x:c r="D5187" s="7" t="str">
        <x:v>channel instance</x:v>
      </x:c>
      <x:c r="E5187" s="7" t="str">
        <x:v>CH-PEA-C-X2-02-4</x:v>
      </x:c>
      <x:c r="F5187" s="7" t="str">
        <x:f>'Channel Instances'!O1888</x:f>
        <x:v>OPEN</x:v>
      </x:c>
    </x:row>
    <x:row r="5188">
      <x:c r="B5188" s="7" t="str">
        <x:v>AG-05182</x:v>
      </x:c>
      <x:c r="C5188" s="7" t="str">
        <x:v>PEA-C-X2</x:v>
      </x:c>
      <x:c r="D5188" s="7" t="str">
        <x:v>channel instance</x:v>
      </x:c>
      <x:c r="E5188" s="7" t="str">
        <x:v>CH-PEA-C-X2-02-5</x:v>
      </x:c>
      <x:c r="F5188" s="7" t="str">
        <x:f>'Channel Instances'!O1889</x:f>
        <x:v>OPEN</x:v>
      </x:c>
    </x:row>
    <x:row r="5189">
      <x:c r="B5189" s="7" t="str">
        <x:v>AG-05183</x:v>
      </x:c>
      <x:c r="C5189" s="7" t="str">
        <x:v>PEA-C-X2</x:v>
      </x:c>
      <x:c r="D5189" s="7" t="str">
        <x:v>channel instance</x:v>
      </x:c>
      <x:c r="E5189" s="7" t="str">
        <x:v>CH-PEA-C-X2-02-6</x:v>
      </x:c>
      <x:c r="F5189" s="7" t="str">
        <x:f>'Channel Instances'!O1890</x:f>
        <x:v>OPEN</x:v>
      </x:c>
    </x:row>
    <x:row r="5190">
      <x:c r="B5190" s="7" t="str">
        <x:v>AG-05184</x:v>
      </x:c>
      <x:c r="C5190" s="7" t="str">
        <x:v>PEA-C-X2</x:v>
      </x:c>
      <x:c r="D5190" s="7" t="str">
        <x:v>channel instance</x:v>
      </x:c>
      <x:c r="E5190" s="7" t="str">
        <x:v>CH-PEA-C-X2-03-1</x:v>
      </x:c>
      <x:c r="F5190" s="7" t="str">
        <x:f>'Channel Instances'!O1891</x:f>
        <x:v>OPEN</x:v>
      </x:c>
    </x:row>
    <x:row r="5191">
      <x:c r="B5191" s="7" t="str">
        <x:v>AG-05185</x:v>
      </x:c>
      <x:c r="C5191" s="7" t="str">
        <x:v>PEA-C-X2</x:v>
      </x:c>
      <x:c r="D5191" s="7" t="str">
        <x:v>channel instance</x:v>
      </x:c>
      <x:c r="E5191" s="7" t="str">
        <x:v>CH-PEA-C-X2-03-2</x:v>
      </x:c>
      <x:c r="F5191" s="7" t="str">
        <x:f>'Channel Instances'!O1892</x:f>
        <x:v>OPEN</x:v>
      </x:c>
    </x:row>
    <x:row r="5192">
      <x:c r="B5192" s="7" t="str">
        <x:v>AG-05186</x:v>
      </x:c>
      <x:c r="C5192" s="7" t="str">
        <x:v>PEA-C-X2</x:v>
      </x:c>
      <x:c r="D5192" s="7" t="str">
        <x:v>channel instance</x:v>
      </x:c>
      <x:c r="E5192" s="7" t="str">
        <x:v>CH-PEA-C-X2-03-3</x:v>
      </x:c>
      <x:c r="F5192" s="7" t="str">
        <x:f>'Channel Instances'!O1893</x:f>
        <x:v>OPEN</x:v>
      </x:c>
    </x:row>
    <x:row r="5193">
      <x:c r="B5193" s="7" t="str">
        <x:v>AG-05187</x:v>
      </x:c>
      <x:c r="C5193" s="7" t="str">
        <x:v>PEA-C-X2</x:v>
      </x:c>
      <x:c r="D5193" s="7" t="str">
        <x:v>channel instance</x:v>
      </x:c>
      <x:c r="E5193" s="7" t="str">
        <x:v>CH-PEA-C-X2-03-4</x:v>
      </x:c>
      <x:c r="F5193" s="7" t="str">
        <x:f>'Channel Instances'!O1894</x:f>
        <x:v>OPEN</x:v>
      </x:c>
    </x:row>
    <x:row r="5194">
      <x:c r="B5194" s="7" t="str">
        <x:v>AG-05188</x:v>
      </x:c>
      <x:c r="C5194" s="7" t="str">
        <x:v>PEA-C-X2</x:v>
      </x:c>
      <x:c r="D5194" s="7" t="str">
        <x:v>channel instance</x:v>
      </x:c>
      <x:c r="E5194" s="7" t="str">
        <x:v>CH-PEA-C-X2-03-5</x:v>
      </x:c>
      <x:c r="F5194" s="7" t="str">
        <x:f>'Channel Instances'!O1895</x:f>
        <x:v>OPEN</x:v>
      </x:c>
    </x:row>
    <x:row r="5195">
      <x:c r="B5195" s="7" t="str">
        <x:v>AG-05189</x:v>
      </x:c>
      <x:c r="C5195" s="7" t="str">
        <x:v>PEA-C-X2</x:v>
      </x:c>
      <x:c r="D5195" s="7" t="str">
        <x:v>channel instance</x:v>
      </x:c>
      <x:c r="E5195" s="7" t="str">
        <x:v>CH-PEA-C-X2-03-6</x:v>
      </x:c>
      <x:c r="F5195" s="7" t="str">
        <x:f>'Channel Instances'!O1896</x:f>
        <x:v>OPEN</x:v>
      </x:c>
    </x:row>
    <x:row r="5196">
      <x:c r="B5196" s="7" t="str">
        <x:v>AG-05190</x:v>
      </x:c>
      <x:c r="C5196" s="7" t="str">
        <x:v>PEA-C-X2</x:v>
      </x:c>
      <x:c r="D5196" s="7" t="str">
        <x:v>channel instance</x:v>
      </x:c>
      <x:c r="E5196" s="7" t="str">
        <x:v>CH-PEA-C-X2-04-1</x:v>
      </x:c>
      <x:c r="F5196" s="7" t="str">
        <x:f>'Channel Instances'!O1897</x:f>
        <x:v>OPEN</x:v>
      </x:c>
    </x:row>
    <x:row r="5197">
      <x:c r="B5197" s="7" t="str">
        <x:v>AG-05191</x:v>
      </x:c>
      <x:c r="C5197" s="7" t="str">
        <x:v>PEA-C-X2</x:v>
      </x:c>
      <x:c r="D5197" s="7" t="str">
        <x:v>channel instance</x:v>
      </x:c>
      <x:c r="E5197" s="7" t="str">
        <x:v>CH-PEA-C-X2-04-2</x:v>
      </x:c>
      <x:c r="F5197" s="7" t="str">
        <x:f>'Channel Instances'!O1898</x:f>
        <x:v>OPEN</x:v>
      </x:c>
    </x:row>
    <x:row r="5198">
      <x:c r="B5198" s="7" t="str">
        <x:v>AG-05192</x:v>
      </x:c>
      <x:c r="C5198" s="7" t="str">
        <x:v>PEA-C-X2</x:v>
      </x:c>
      <x:c r="D5198" s="7" t="str">
        <x:v>channel instance</x:v>
      </x:c>
      <x:c r="E5198" s="7" t="str">
        <x:v>CH-PEA-C-X2-04-3</x:v>
      </x:c>
      <x:c r="F5198" s="7" t="str">
        <x:f>'Channel Instances'!O1899</x:f>
        <x:v>OPEN</x:v>
      </x:c>
    </x:row>
    <x:row r="5199">
      <x:c r="B5199" s="7" t="str">
        <x:v>AG-05193</x:v>
      </x:c>
      <x:c r="C5199" s="7" t="str">
        <x:v>PEA-C-X2</x:v>
      </x:c>
      <x:c r="D5199" s="7" t="str">
        <x:v>channel instance</x:v>
      </x:c>
      <x:c r="E5199" s="7" t="str">
        <x:v>CH-PEA-C-X2-04-4</x:v>
      </x:c>
      <x:c r="F5199" s="7" t="str">
        <x:f>'Channel Instances'!O1900</x:f>
        <x:v>OPEN</x:v>
      </x:c>
    </x:row>
    <x:row r="5200">
      <x:c r="B5200" s="7" t="str">
        <x:v>AG-05194</x:v>
      </x:c>
      <x:c r="C5200" s="7" t="str">
        <x:v>PEA-C-X2</x:v>
      </x:c>
      <x:c r="D5200" s="7" t="str">
        <x:v>channel instance</x:v>
      </x:c>
      <x:c r="E5200" s="7" t="str">
        <x:v>CH-PEA-C-X2-04-5</x:v>
      </x:c>
      <x:c r="F5200" s="7" t="str">
        <x:f>'Channel Instances'!O1901</x:f>
        <x:v>OPEN</x:v>
      </x:c>
    </x:row>
    <x:row r="5201">
      <x:c r="B5201" s="7" t="str">
        <x:v>AG-05195</x:v>
      </x:c>
      <x:c r="C5201" s="7" t="str">
        <x:v>PEA-C-X2</x:v>
      </x:c>
      <x:c r="D5201" s="7" t="str">
        <x:v>channel instance</x:v>
      </x:c>
      <x:c r="E5201" s="7" t="str">
        <x:v>CH-PEA-C-X2-04-6</x:v>
      </x:c>
      <x:c r="F5201" s="7" t="str">
        <x:f>'Channel Instances'!O1902</x:f>
        <x:v>OPEN</x:v>
      </x:c>
    </x:row>
    <x:row r="5202">
      <x:c r="B5202" s="7" t="str">
        <x:v>AG-05196</x:v>
      </x:c>
      <x:c r="C5202" s="7" t="str">
        <x:v>PEA-C-X2</x:v>
      </x:c>
      <x:c r="D5202" s="7" t="str">
        <x:v>channel instance</x:v>
      </x:c>
      <x:c r="E5202" s="7" t="str">
        <x:v>CH-PEA-C-X2-05-1</x:v>
      </x:c>
      <x:c r="F5202" s="7" t="str">
        <x:f>'Channel Instances'!O1903</x:f>
        <x:v>OPEN</x:v>
      </x:c>
    </x:row>
    <x:row r="5203">
      <x:c r="B5203" s="7" t="str">
        <x:v>AG-05197</x:v>
      </x:c>
      <x:c r="C5203" s="7" t="str">
        <x:v>PEA-C-X2</x:v>
      </x:c>
      <x:c r="D5203" s="7" t="str">
        <x:v>channel instance</x:v>
      </x:c>
      <x:c r="E5203" s="7" t="str">
        <x:v>CH-PEA-C-X2-05-2</x:v>
      </x:c>
      <x:c r="F5203" s="7" t="str">
        <x:f>'Channel Instances'!O1904</x:f>
        <x:v>OPEN</x:v>
      </x:c>
    </x:row>
    <x:row r="5204">
      <x:c r="B5204" s="7" t="str">
        <x:v>AG-05198</x:v>
      </x:c>
      <x:c r="C5204" s="7" t="str">
        <x:v>PEA-C-X2</x:v>
      </x:c>
      <x:c r="D5204" s="7" t="str">
        <x:v>channel instance</x:v>
      </x:c>
      <x:c r="E5204" s="7" t="str">
        <x:v>CH-PEA-C-X2-05-3</x:v>
      </x:c>
      <x:c r="F5204" s="7" t="str">
        <x:f>'Channel Instances'!O1905</x:f>
        <x:v>OPEN</x:v>
      </x:c>
    </x:row>
    <x:row r="5205">
      <x:c r="B5205" s="7" t="str">
        <x:v>AG-05199</x:v>
      </x:c>
      <x:c r="C5205" s="7" t="str">
        <x:v>PEA-C-X2</x:v>
      </x:c>
      <x:c r="D5205" s="7" t="str">
        <x:v>channel instance</x:v>
      </x:c>
      <x:c r="E5205" s="7" t="str">
        <x:v>CH-PEA-C-X2-05-4</x:v>
      </x:c>
      <x:c r="F5205" s="7" t="str">
        <x:f>'Channel Instances'!O1906</x:f>
        <x:v>OPEN</x:v>
      </x:c>
    </x:row>
    <x:row r="5206">
      <x:c r="B5206" s="7" t="str">
        <x:v>AG-05200</x:v>
      </x:c>
      <x:c r="C5206" s="7" t="str">
        <x:v>PEA-C-X2</x:v>
      </x:c>
      <x:c r="D5206" s="7" t="str">
        <x:v>channel instance</x:v>
      </x:c>
      <x:c r="E5206" s="7" t="str">
        <x:v>CH-PEA-C-X2-05-5</x:v>
      </x:c>
      <x:c r="F5206" s="7" t="str">
        <x:f>'Channel Instances'!O1907</x:f>
        <x:v>OPEN</x:v>
      </x:c>
    </x:row>
    <x:row r="5207">
      <x:c r="B5207" s="7" t="str">
        <x:v>AG-05201</x:v>
      </x:c>
      <x:c r="C5207" s="7" t="str">
        <x:v>PEA-C-X2</x:v>
      </x:c>
      <x:c r="D5207" s="7" t="str">
        <x:v>channel instance</x:v>
      </x:c>
      <x:c r="E5207" s="7" t="str">
        <x:v>CH-PEA-C-X2-05-6</x:v>
      </x:c>
      <x:c r="F5207" s="7" t="str">
        <x:f>'Channel Instances'!O1908</x:f>
        <x:v>OPEN</x:v>
      </x:c>
    </x:row>
    <x:row r="5208">
      <x:c r="B5208" s="7" t="str">
        <x:v>AG-05202</x:v>
      </x:c>
      <x:c r="C5208" s="7" t="str">
        <x:v>PEA-C-X2</x:v>
      </x:c>
      <x:c r="D5208" s="7" t="str">
        <x:v>channel instance</x:v>
      </x:c>
      <x:c r="E5208" s="7" t="str">
        <x:v>CH-PEA-C-X2-06-1</x:v>
      </x:c>
      <x:c r="F5208" s="7" t="str">
        <x:f>'Channel Instances'!O1909</x:f>
        <x:v>OPEN</x:v>
      </x:c>
    </x:row>
    <x:row r="5209">
      <x:c r="B5209" s="7" t="str">
        <x:v>AG-05203</x:v>
      </x:c>
      <x:c r="C5209" s="7" t="str">
        <x:v>PEA-C-X2</x:v>
      </x:c>
      <x:c r="D5209" s="7" t="str">
        <x:v>channel instance</x:v>
      </x:c>
      <x:c r="E5209" s="7" t="str">
        <x:v>CH-PEA-C-X2-06-2</x:v>
      </x:c>
      <x:c r="F5209" s="7" t="str">
        <x:f>'Channel Instances'!O1910</x:f>
        <x:v>OPEN</x:v>
      </x:c>
    </x:row>
    <x:row r="5210">
      <x:c r="B5210" s="7" t="str">
        <x:v>AG-05204</x:v>
      </x:c>
      <x:c r="C5210" s="7" t="str">
        <x:v>PEA-C-X2</x:v>
      </x:c>
      <x:c r="D5210" s="7" t="str">
        <x:v>channel instance</x:v>
      </x:c>
      <x:c r="E5210" s="7" t="str">
        <x:v>CH-PEA-C-X2-06-3</x:v>
      </x:c>
      <x:c r="F5210" s="7" t="str">
        <x:f>'Channel Instances'!O1911</x:f>
        <x:v>OPEN</x:v>
      </x:c>
    </x:row>
    <x:row r="5211">
      <x:c r="B5211" s="7" t="str">
        <x:v>AG-05205</x:v>
      </x:c>
      <x:c r="C5211" s="7" t="str">
        <x:v>PEA-C-X2</x:v>
      </x:c>
      <x:c r="D5211" s="7" t="str">
        <x:v>channel instance</x:v>
      </x:c>
      <x:c r="E5211" s="7" t="str">
        <x:v>CH-PEA-C-X2-06-4</x:v>
      </x:c>
      <x:c r="F5211" s="7" t="str">
        <x:f>'Channel Instances'!O1912</x:f>
        <x:v>OPEN</x:v>
      </x:c>
    </x:row>
    <x:row r="5212">
      <x:c r="B5212" s="7" t="str">
        <x:v>AG-05206</x:v>
      </x:c>
      <x:c r="C5212" s="7" t="str">
        <x:v>PEA-C-X2</x:v>
      </x:c>
      <x:c r="D5212" s="7" t="str">
        <x:v>channel instance</x:v>
      </x:c>
      <x:c r="E5212" s="7" t="str">
        <x:v>CH-PEA-C-X2-06-5</x:v>
      </x:c>
      <x:c r="F5212" s="7" t="str">
        <x:f>'Channel Instances'!O1913</x:f>
        <x:v>OPEN</x:v>
      </x:c>
    </x:row>
    <x:row r="5213">
      <x:c r="B5213" s="7" t="str">
        <x:v>AG-05207</x:v>
      </x:c>
      <x:c r="C5213" s="7" t="str">
        <x:v>PEA-C-X2</x:v>
      </x:c>
      <x:c r="D5213" s="7" t="str">
        <x:v>channel instance</x:v>
      </x:c>
      <x:c r="E5213" s="7" t="str">
        <x:v>CH-PEA-C-X2-06-6</x:v>
      </x:c>
      <x:c r="F5213" s="7" t="str">
        <x:f>'Channel Instances'!O1914</x:f>
        <x:v>OPEN</x:v>
      </x:c>
    </x:row>
    <x:row r="5214">
      <x:c r="B5214" s="7" t="str">
        <x:v>AG-05208</x:v>
      </x:c>
      <x:c r="C5214" s="7" t="str">
        <x:v>PEA-C-X2</x:v>
      </x:c>
      <x:c r="D5214" s="7" t="str">
        <x:v>channel instance</x:v>
      </x:c>
      <x:c r="E5214" s="7" t="str">
        <x:v>CH-PEA-C-X2-07-1</x:v>
      </x:c>
      <x:c r="F5214" s="7" t="str">
        <x:f>'Channel Instances'!O1915</x:f>
        <x:v>OPEN</x:v>
      </x:c>
    </x:row>
    <x:row r="5215">
      <x:c r="B5215" s="7" t="str">
        <x:v>AG-05209</x:v>
      </x:c>
      <x:c r="C5215" s="7" t="str">
        <x:v>PEA-C-X2</x:v>
      </x:c>
      <x:c r="D5215" s="7" t="str">
        <x:v>channel instance</x:v>
      </x:c>
      <x:c r="E5215" s="7" t="str">
        <x:v>CH-PEA-C-X2-07-2</x:v>
      </x:c>
      <x:c r="F5215" s="7" t="str">
        <x:f>'Channel Instances'!O1916</x:f>
        <x:v>OPEN</x:v>
      </x:c>
    </x:row>
    <x:row r="5216">
      <x:c r="B5216" s="7" t="str">
        <x:v>AG-05210</x:v>
      </x:c>
      <x:c r="C5216" s="7" t="str">
        <x:v>PEA-C-X2</x:v>
      </x:c>
      <x:c r="D5216" s="7" t="str">
        <x:v>channel instance</x:v>
      </x:c>
      <x:c r="E5216" s="7" t="str">
        <x:v>CH-PEA-C-X2-07-3</x:v>
      </x:c>
      <x:c r="F5216" s="7" t="str">
        <x:f>'Channel Instances'!O1917</x:f>
        <x:v>OPEN</x:v>
      </x:c>
    </x:row>
    <x:row r="5217">
      <x:c r="B5217" s="7" t="str">
        <x:v>AG-05211</x:v>
      </x:c>
      <x:c r="C5217" s="7" t="str">
        <x:v>PEA-C-X2</x:v>
      </x:c>
      <x:c r="D5217" s="7" t="str">
        <x:v>channel instance</x:v>
      </x:c>
      <x:c r="E5217" s="7" t="str">
        <x:v>CH-PEA-C-X2-07-4</x:v>
      </x:c>
      <x:c r="F5217" s="7" t="str">
        <x:f>'Channel Instances'!O1918</x:f>
        <x:v>OPEN</x:v>
      </x:c>
    </x:row>
    <x:row r="5218">
      <x:c r="B5218" s="7" t="str">
        <x:v>AG-05212</x:v>
      </x:c>
      <x:c r="C5218" s="7" t="str">
        <x:v>PEA-C-X2</x:v>
      </x:c>
      <x:c r="D5218" s="7" t="str">
        <x:v>channel instance</x:v>
      </x:c>
      <x:c r="E5218" s="7" t="str">
        <x:v>CH-PEA-C-X2-07-5</x:v>
      </x:c>
      <x:c r="F5218" s="7" t="str">
        <x:f>'Channel Instances'!O1919</x:f>
        <x:v>OPEN</x:v>
      </x:c>
    </x:row>
    <x:row r="5219">
      <x:c r="B5219" s="7" t="str">
        <x:v>AG-05213</x:v>
      </x:c>
      <x:c r="C5219" s="7" t="str">
        <x:v>PEA-C-X2</x:v>
      </x:c>
      <x:c r="D5219" s="7" t="str">
        <x:v>channel instance</x:v>
      </x:c>
      <x:c r="E5219" s="7" t="str">
        <x:v>CH-PEA-C-X2-07-6</x:v>
      </x:c>
      <x:c r="F5219" s="7" t="str">
        <x:f>'Channel Instances'!O1920</x:f>
        <x:v>OPEN</x:v>
      </x:c>
    </x:row>
    <x:row r="5220">
      <x:c r="B5220" s="7" t="str">
        <x:v>AG-05214</x:v>
      </x:c>
      <x:c r="C5220" s="7" t="str">
        <x:v>PEA-C-X2</x:v>
      </x:c>
      <x:c r="D5220" s="7" t="str">
        <x:v>channel instance</x:v>
      </x:c>
      <x:c r="E5220" s="7" t="str">
        <x:v>CH-PEA-C-X2-08-1</x:v>
      </x:c>
      <x:c r="F5220" s="7" t="str">
        <x:f>'Channel Instances'!O1921</x:f>
        <x:v>OPEN</x:v>
      </x:c>
    </x:row>
    <x:row r="5221">
      <x:c r="B5221" s="7" t="str">
        <x:v>AG-05215</x:v>
      </x:c>
      <x:c r="C5221" s="7" t="str">
        <x:v>PEA-C-X2</x:v>
      </x:c>
      <x:c r="D5221" s="7" t="str">
        <x:v>channel instance</x:v>
      </x:c>
      <x:c r="E5221" s="7" t="str">
        <x:v>CH-PEA-C-X2-08-2</x:v>
      </x:c>
      <x:c r="F5221" s="7" t="str">
        <x:f>'Channel Instances'!O1922</x:f>
        <x:v>OPEN</x:v>
      </x:c>
    </x:row>
    <x:row r="5222">
      <x:c r="B5222" s="7" t="str">
        <x:v>AG-05216</x:v>
      </x:c>
      <x:c r="C5222" s="7" t="str">
        <x:v>PEA-C-X2</x:v>
      </x:c>
      <x:c r="D5222" s="7" t="str">
        <x:v>channel instance</x:v>
      </x:c>
      <x:c r="E5222" s="7" t="str">
        <x:v>CH-PEA-C-X2-08-3</x:v>
      </x:c>
      <x:c r="F5222" s="7" t="str">
        <x:f>'Channel Instances'!O1923</x:f>
        <x:v>OPEN</x:v>
      </x:c>
    </x:row>
    <x:row r="5223">
      <x:c r="B5223" s="7" t="str">
        <x:v>AG-05217</x:v>
      </x:c>
      <x:c r="C5223" s="7" t="str">
        <x:v>PEA-C-X2</x:v>
      </x:c>
      <x:c r="D5223" s="7" t="str">
        <x:v>channel instance</x:v>
      </x:c>
      <x:c r="E5223" s="7" t="str">
        <x:v>CH-PEA-C-X2-08-4</x:v>
      </x:c>
      <x:c r="F5223" s="7" t="str">
        <x:f>'Channel Instances'!O1924</x:f>
        <x:v>OPEN</x:v>
      </x:c>
    </x:row>
    <x:row r="5224">
      <x:c r="B5224" s="7" t="str">
        <x:v>AG-05218</x:v>
      </x:c>
      <x:c r="C5224" s="7" t="str">
        <x:v>PEA-C-X2</x:v>
      </x:c>
      <x:c r="D5224" s="7" t="str">
        <x:v>channel instance</x:v>
      </x:c>
      <x:c r="E5224" s="7" t="str">
        <x:v>CH-PEA-C-X2-08-5</x:v>
      </x:c>
      <x:c r="F5224" s="7" t="str">
        <x:f>'Channel Instances'!O1925</x:f>
        <x:v>OPEN</x:v>
      </x:c>
    </x:row>
    <x:row r="5225">
      <x:c r="B5225" s="7" t="str">
        <x:v>AG-05219</x:v>
      </x:c>
      <x:c r="C5225" s="7" t="str">
        <x:v>PEA-C-X2</x:v>
      </x:c>
      <x:c r="D5225" s="7" t="str">
        <x:v>channel instance</x:v>
      </x:c>
      <x:c r="E5225" s="7" t="str">
        <x:v>CH-PEA-C-X2-08-6</x:v>
      </x:c>
      <x:c r="F5225" s="7" t="str">
        <x:f>'Channel Instances'!O1926</x:f>
        <x:v>OPEN</x:v>
      </x:c>
    </x:row>
    <x:row r="5226">
      <x:c r="B5226" s="7" t="str">
        <x:v>AG-05220</x:v>
      </x:c>
      <x:c r="C5226" s="7" t="str">
        <x:v>PEA-C-X2</x:v>
      </x:c>
      <x:c r="D5226" s="7" t="str">
        <x:v>channel instance</x:v>
      </x:c>
      <x:c r="E5226" s="7" t="str">
        <x:v>CH-PEA-C-X2-09-1</x:v>
      </x:c>
      <x:c r="F5226" s="7" t="str">
        <x:f>'Channel Instances'!O1927</x:f>
        <x:v>OPEN</x:v>
      </x:c>
    </x:row>
    <x:row r="5227">
      <x:c r="B5227" s="7" t="str">
        <x:v>AG-05221</x:v>
      </x:c>
      <x:c r="C5227" s="7" t="str">
        <x:v>PEA-C-X2</x:v>
      </x:c>
      <x:c r="D5227" s="7" t="str">
        <x:v>channel instance</x:v>
      </x:c>
      <x:c r="E5227" s="7" t="str">
        <x:v>CH-PEA-C-X2-09-2</x:v>
      </x:c>
      <x:c r="F5227" s="7" t="str">
        <x:f>'Channel Instances'!O1928</x:f>
        <x:v>OPEN</x:v>
      </x:c>
    </x:row>
    <x:row r="5228">
      <x:c r="B5228" s="7" t="str">
        <x:v>AG-05222</x:v>
      </x:c>
      <x:c r="C5228" s="7" t="str">
        <x:v>PEA-C-X2</x:v>
      </x:c>
      <x:c r="D5228" s="7" t="str">
        <x:v>channel instance</x:v>
      </x:c>
      <x:c r="E5228" s="7" t="str">
        <x:v>CH-PEA-C-X2-09-3</x:v>
      </x:c>
      <x:c r="F5228" s="7" t="str">
        <x:f>'Channel Instances'!O1929</x:f>
        <x:v>OPEN</x:v>
      </x:c>
    </x:row>
    <x:row r="5229">
      <x:c r="B5229" s="7" t="str">
        <x:v>AG-05223</x:v>
      </x:c>
      <x:c r="C5229" s="7" t="str">
        <x:v>PEA-C-X2</x:v>
      </x:c>
      <x:c r="D5229" s="7" t="str">
        <x:v>channel instance</x:v>
      </x:c>
      <x:c r="E5229" s="7" t="str">
        <x:v>CH-PEA-C-X2-09-4</x:v>
      </x:c>
      <x:c r="F5229" s="7" t="str">
        <x:f>'Channel Instances'!O1930</x:f>
        <x:v>OPEN</x:v>
      </x:c>
    </x:row>
    <x:row r="5230">
      <x:c r="B5230" s="7" t="str">
        <x:v>AG-05224</x:v>
      </x:c>
      <x:c r="C5230" s="7" t="str">
        <x:v>PEA-C-X2</x:v>
      </x:c>
      <x:c r="D5230" s="7" t="str">
        <x:v>channel instance</x:v>
      </x:c>
      <x:c r="E5230" s="7" t="str">
        <x:v>CH-PEA-C-X2-09-5</x:v>
      </x:c>
      <x:c r="F5230" s="7" t="str">
        <x:f>'Channel Instances'!O1931</x:f>
        <x:v>OPEN</x:v>
      </x:c>
    </x:row>
    <x:row r="5231">
      <x:c r="B5231" s="7" t="str">
        <x:v>AG-05225</x:v>
      </x:c>
      <x:c r="C5231" s="7" t="str">
        <x:v>PEA-C-X2</x:v>
      </x:c>
      <x:c r="D5231" s="7" t="str">
        <x:v>channel instance</x:v>
      </x:c>
      <x:c r="E5231" s="7" t="str">
        <x:v>CH-PEA-C-X2-09-6</x:v>
      </x:c>
      <x:c r="F5231" s="7" t="str">
        <x:f>'Channel Instances'!O1932</x:f>
        <x:v>OPEN</x:v>
      </x:c>
    </x:row>
    <x:row r="5232">
      <x:c r="B5232" s="7" t="str">
        <x:v>AG-05226</x:v>
      </x:c>
      <x:c r="C5232" s="7" t="str">
        <x:v>PEA-C-X2</x:v>
      </x:c>
      <x:c r="D5232" s="7" t="str">
        <x:v>channel instance</x:v>
      </x:c>
      <x:c r="E5232" s="7" t="str">
        <x:v>CH-PEA-C-X2-10-1</x:v>
      </x:c>
      <x:c r="F5232" s="7" t="str">
        <x:f>'Channel Instances'!O1933</x:f>
        <x:v>OPEN</x:v>
      </x:c>
    </x:row>
    <x:row r="5233">
      <x:c r="B5233" s="7" t="str">
        <x:v>AG-05227</x:v>
      </x:c>
      <x:c r="C5233" s="7" t="str">
        <x:v>PEA-C-X2</x:v>
      </x:c>
      <x:c r="D5233" s="7" t="str">
        <x:v>channel instance</x:v>
      </x:c>
      <x:c r="E5233" s="7" t="str">
        <x:v>CH-PEA-C-X2-10-2</x:v>
      </x:c>
      <x:c r="F5233" s="7" t="str">
        <x:f>'Channel Instances'!O1934</x:f>
        <x:v>OPEN</x:v>
      </x:c>
    </x:row>
    <x:row r="5234">
      <x:c r="B5234" s="7" t="str">
        <x:v>AG-05228</x:v>
      </x:c>
      <x:c r="C5234" s="7" t="str">
        <x:v>PEA-C-X2</x:v>
      </x:c>
      <x:c r="D5234" s="7" t="str">
        <x:v>channel instance</x:v>
      </x:c>
      <x:c r="E5234" s="7" t="str">
        <x:v>CH-PEA-C-X2-10-3</x:v>
      </x:c>
      <x:c r="F5234" s="7" t="str">
        <x:f>'Channel Instances'!O1935</x:f>
        <x:v>OPEN</x:v>
      </x:c>
    </x:row>
    <x:row r="5235">
      <x:c r="B5235" s="7" t="str">
        <x:v>AG-05229</x:v>
      </x:c>
      <x:c r="C5235" s="7" t="str">
        <x:v>PEA-C-X2</x:v>
      </x:c>
      <x:c r="D5235" s="7" t="str">
        <x:v>channel instance</x:v>
      </x:c>
      <x:c r="E5235" s="7" t="str">
        <x:v>CH-PEA-C-X2-10-4</x:v>
      </x:c>
      <x:c r="F5235" s="7" t="str">
        <x:f>'Channel Instances'!O1936</x:f>
        <x:v>OPEN</x:v>
      </x:c>
    </x:row>
    <x:row r="5236">
      <x:c r="B5236" s="7" t="str">
        <x:v>AG-05230</x:v>
      </x:c>
      <x:c r="C5236" s="7" t="str">
        <x:v>PEA-C-X2</x:v>
      </x:c>
      <x:c r="D5236" s="7" t="str">
        <x:v>channel instance</x:v>
      </x:c>
      <x:c r="E5236" s="7" t="str">
        <x:v>CH-PEA-C-X2-10-5</x:v>
      </x:c>
      <x:c r="F5236" s="7" t="str">
        <x:f>'Channel Instances'!O1937</x:f>
        <x:v>OPEN</x:v>
      </x:c>
    </x:row>
    <x:row r="5237">
      <x:c r="B5237" s="7" t="str">
        <x:v>AG-05231</x:v>
      </x:c>
      <x:c r="C5237" s="7" t="str">
        <x:v>PEA-C-X2</x:v>
      </x:c>
      <x:c r="D5237" s="7" t="str">
        <x:v>channel instance</x:v>
      </x:c>
      <x:c r="E5237" s="7" t="str">
        <x:v>CH-PEA-C-X2-10-6</x:v>
      </x:c>
      <x:c r="F5237" s="7" t="str">
        <x:f>'Channel Instances'!O1938</x:f>
        <x:v>OPEN</x:v>
      </x:c>
    </x:row>
    <x:row r="5238">
      <x:c r="B5238" s="7" t="str">
        <x:v>AG-05232</x:v>
      </x:c>
      <x:c r="C5238" s="7" t="str">
        <x:v>PEA-C-X2</x:v>
      </x:c>
      <x:c r="D5238" s="7" t="str">
        <x:v>channel instance</x:v>
      </x:c>
      <x:c r="E5238" s="7" t="str">
        <x:v>CH-PEA-C-X2-11-1</x:v>
      </x:c>
      <x:c r="F5238" s="7" t="str">
        <x:f>'Channel Instances'!O1939</x:f>
        <x:v>OPEN</x:v>
      </x:c>
    </x:row>
    <x:row r="5239">
      <x:c r="B5239" s="7" t="str">
        <x:v>AG-05233</x:v>
      </x:c>
      <x:c r="C5239" s="7" t="str">
        <x:v>PEA-C-X2</x:v>
      </x:c>
      <x:c r="D5239" s="7" t="str">
        <x:v>channel instance</x:v>
      </x:c>
      <x:c r="E5239" s="7" t="str">
        <x:v>CH-PEA-C-X2-11-2</x:v>
      </x:c>
      <x:c r="F5239" s="7" t="str">
        <x:f>'Channel Instances'!O1940</x:f>
        <x:v>OPEN</x:v>
      </x:c>
    </x:row>
    <x:row r="5240">
      <x:c r="B5240" s="7" t="str">
        <x:v>AG-05234</x:v>
      </x:c>
      <x:c r="C5240" s="7" t="str">
        <x:v>PEA-C-X2</x:v>
      </x:c>
      <x:c r="D5240" s="7" t="str">
        <x:v>channel instance</x:v>
      </x:c>
      <x:c r="E5240" s="7" t="str">
        <x:v>CH-PEA-C-X2-11-3</x:v>
      </x:c>
      <x:c r="F5240" s="7" t="str">
        <x:f>'Channel Instances'!O1941</x:f>
        <x:v>OPEN</x:v>
      </x:c>
    </x:row>
    <x:row r="5241">
      <x:c r="B5241" s="7" t="str">
        <x:v>AG-05235</x:v>
      </x:c>
      <x:c r="C5241" s="7" t="str">
        <x:v>PEA-C-X2</x:v>
      </x:c>
      <x:c r="D5241" s="7" t="str">
        <x:v>channel instance</x:v>
      </x:c>
      <x:c r="E5241" s="7" t="str">
        <x:v>CH-PEA-C-X2-11-4</x:v>
      </x:c>
      <x:c r="F5241" s="7" t="str">
        <x:f>'Channel Instances'!O1942</x:f>
        <x:v>OPEN</x:v>
      </x:c>
    </x:row>
    <x:row r="5242">
      <x:c r="B5242" s="7" t="str">
        <x:v>AG-05236</x:v>
      </x:c>
      <x:c r="C5242" s="7" t="str">
        <x:v>PEA-C-X2</x:v>
      </x:c>
      <x:c r="D5242" s="7" t="str">
        <x:v>channel instance</x:v>
      </x:c>
      <x:c r="E5242" s="7" t="str">
        <x:v>CH-PEA-C-X2-11-5</x:v>
      </x:c>
      <x:c r="F5242" s="7" t="str">
        <x:f>'Channel Instances'!O1943</x:f>
        <x:v>OPEN</x:v>
      </x:c>
    </x:row>
    <x:row r="5243">
      <x:c r="B5243" s="7" t="str">
        <x:v>AG-05237</x:v>
      </x:c>
      <x:c r="C5243" s="7" t="str">
        <x:v>PEA-C-X2</x:v>
      </x:c>
      <x:c r="D5243" s="7" t="str">
        <x:v>channel instance</x:v>
      </x:c>
      <x:c r="E5243" s="7" t="str">
        <x:v>CH-PEA-C-X2-11-6</x:v>
      </x:c>
      <x:c r="F5243" s="7" t="str">
        <x:f>'Channel Instances'!O1944</x:f>
        <x:v>OPEN</x:v>
      </x:c>
    </x:row>
    <x:row r="5244">
      <x:c r="B5244" s="7" t="str">
        <x:v>AG-05238</x:v>
      </x:c>
      <x:c r="C5244" s="7" t="str">
        <x:v>PEA-C-X2</x:v>
      </x:c>
      <x:c r="D5244" s="7" t="str">
        <x:v>channel instance</x:v>
      </x:c>
      <x:c r="E5244" s="7" t="str">
        <x:v>CH-PEA-C-X2-12-1</x:v>
      </x:c>
      <x:c r="F5244" s="7" t="str">
        <x:f>'Channel Instances'!O1945</x:f>
        <x:v>OPEN</x:v>
      </x:c>
    </x:row>
    <x:row r="5245">
      <x:c r="B5245" s="7" t="str">
        <x:v>AG-05239</x:v>
      </x:c>
      <x:c r="C5245" s="7" t="str">
        <x:v>PEA-C-X2</x:v>
      </x:c>
      <x:c r="D5245" s="7" t="str">
        <x:v>channel instance</x:v>
      </x:c>
      <x:c r="E5245" s="7" t="str">
        <x:v>CH-PEA-C-X2-12-2</x:v>
      </x:c>
      <x:c r="F5245" s="7" t="str">
        <x:f>'Channel Instances'!O1946</x:f>
        <x:v>OPEN</x:v>
      </x:c>
    </x:row>
    <x:row r="5246">
      <x:c r="B5246" s="7" t="str">
        <x:v>AG-05240</x:v>
      </x:c>
      <x:c r="C5246" s="7" t="str">
        <x:v>PEA-C-X2</x:v>
      </x:c>
      <x:c r="D5246" s="7" t="str">
        <x:v>channel instance</x:v>
      </x:c>
      <x:c r="E5246" s="7" t="str">
        <x:v>CH-PEA-C-X2-12-3</x:v>
      </x:c>
      <x:c r="F5246" s="7" t="str">
        <x:f>'Channel Instances'!O1947</x:f>
        <x:v>OPEN</x:v>
      </x:c>
    </x:row>
    <x:row r="5247">
      <x:c r="B5247" s="7" t="str">
        <x:v>AG-05241</x:v>
      </x:c>
      <x:c r="C5247" s="7" t="str">
        <x:v>PEA-C-X2</x:v>
      </x:c>
      <x:c r="D5247" s="7" t="str">
        <x:v>channel instance</x:v>
      </x:c>
      <x:c r="E5247" s="7" t="str">
        <x:v>CH-PEA-C-X2-12-4</x:v>
      </x:c>
      <x:c r="F5247" s="7" t="str">
        <x:f>'Channel Instances'!O1948</x:f>
        <x:v>OPEN</x:v>
      </x:c>
    </x:row>
    <x:row r="5248">
      <x:c r="B5248" s="7" t="str">
        <x:v>AG-05242</x:v>
      </x:c>
      <x:c r="C5248" s="7" t="str">
        <x:v>PEA-C-X2</x:v>
      </x:c>
      <x:c r="D5248" s="7" t="str">
        <x:v>channel instance</x:v>
      </x:c>
      <x:c r="E5248" s="7" t="str">
        <x:v>CH-PEA-C-X2-12-5</x:v>
      </x:c>
      <x:c r="F5248" s="7" t="str">
        <x:f>'Channel Instances'!O1949</x:f>
        <x:v>OPEN</x:v>
      </x:c>
    </x:row>
    <x:row r="5249">
      <x:c r="B5249" s="7" t="str">
        <x:v>AG-05243</x:v>
      </x:c>
      <x:c r="C5249" s="7" t="str">
        <x:v>PEA-C-X2</x:v>
      </x:c>
      <x:c r="D5249" s="7" t="str">
        <x:v>channel instance</x:v>
      </x:c>
      <x:c r="E5249" s="7" t="str">
        <x:v>CH-PEA-C-X2-12-6</x:v>
      </x:c>
      <x:c r="F5249" s="7" t="str">
        <x:f>'Channel Instances'!O1950</x:f>
        <x:v>OPEN</x:v>
      </x:c>
    </x:row>
    <x:row r="5250">
      <x:c r="B5250" s="7" t="str">
        <x:v>AG-05244</x:v>
      </x:c>
      <x:c r="C5250" s="7" t="str">
        <x:v>PEA-C-X2</x:v>
      </x:c>
      <x:c r="D5250" s="7" t="str">
        <x:v>channel instance</x:v>
      </x:c>
      <x:c r="E5250" s="7" t="str">
        <x:v>CH-PEA-C-X2-13-1</x:v>
      </x:c>
      <x:c r="F5250" s="7" t="str">
        <x:f>'Channel Instances'!O1951</x:f>
        <x:v>OPEN</x:v>
      </x:c>
    </x:row>
    <x:row r="5251">
      <x:c r="B5251" s="7" t="str">
        <x:v>AG-05245</x:v>
      </x:c>
      <x:c r="C5251" s="7" t="str">
        <x:v>PEA-C-X2</x:v>
      </x:c>
      <x:c r="D5251" s="7" t="str">
        <x:v>channel instance</x:v>
      </x:c>
      <x:c r="E5251" s="7" t="str">
        <x:v>CH-PEA-C-X2-13-2</x:v>
      </x:c>
      <x:c r="F5251" s="7" t="str">
        <x:f>'Channel Instances'!O1952</x:f>
        <x:v>OPEN</x:v>
      </x:c>
    </x:row>
    <x:row r="5252">
      <x:c r="B5252" s="7" t="str">
        <x:v>AG-05246</x:v>
      </x:c>
      <x:c r="C5252" s="7" t="str">
        <x:v>PEA-C-X2</x:v>
      </x:c>
      <x:c r="D5252" s="7" t="str">
        <x:v>channel instance</x:v>
      </x:c>
      <x:c r="E5252" s="7" t="str">
        <x:v>CH-PEA-C-X2-13-3</x:v>
      </x:c>
      <x:c r="F5252" s="7" t="str">
        <x:f>'Channel Instances'!O1953</x:f>
        <x:v>OPEN</x:v>
      </x:c>
    </x:row>
    <x:row r="5253">
      <x:c r="B5253" s="7" t="str">
        <x:v>AG-05247</x:v>
      </x:c>
      <x:c r="C5253" s="7" t="str">
        <x:v>PEA-C-X2</x:v>
      </x:c>
      <x:c r="D5253" s="7" t="str">
        <x:v>channel instance</x:v>
      </x:c>
      <x:c r="E5253" s="7" t="str">
        <x:v>CH-PEA-C-X2-13-4</x:v>
      </x:c>
      <x:c r="F5253" s="7" t="str">
        <x:f>'Channel Instances'!O1954</x:f>
        <x:v>OPEN</x:v>
      </x:c>
    </x:row>
    <x:row r="5254">
      <x:c r="B5254" s="7" t="str">
        <x:v>AG-05248</x:v>
      </x:c>
      <x:c r="C5254" s="7" t="str">
        <x:v>PEA-C-X2</x:v>
      </x:c>
      <x:c r="D5254" s="7" t="str">
        <x:v>channel instance</x:v>
      </x:c>
      <x:c r="E5254" s="7" t="str">
        <x:v>CH-PEA-C-X2-13-5</x:v>
      </x:c>
      <x:c r="F5254" s="7" t="str">
        <x:f>'Channel Instances'!O1955</x:f>
        <x:v>OPEN</x:v>
      </x:c>
    </x:row>
    <x:row r="5255">
      <x:c r="B5255" s="7" t="str">
        <x:v>AG-05249</x:v>
      </x:c>
      <x:c r="C5255" s="7" t="str">
        <x:v>PEA-C-X2</x:v>
      </x:c>
      <x:c r="D5255" s="7" t="str">
        <x:v>channel instance</x:v>
      </x:c>
      <x:c r="E5255" s="7" t="str">
        <x:v>CH-PEA-C-X2-13-6</x:v>
      </x:c>
      <x:c r="F5255" s="7" t="str">
        <x:f>'Channel Instances'!O1956</x:f>
        <x:v>OPEN</x:v>
      </x:c>
    </x:row>
    <x:row r="5256">
      <x:c r="B5256" s="7" t="str">
        <x:v>AG-05250</x:v>
      </x:c>
      <x:c r="C5256" s="7" t="str">
        <x:v>PEA-C-X2</x:v>
      </x:c>
      <x:c r="D5256" s="7" t="str">
        <x:v>channel instance</x:v>
      </x:c>
      <x:c r="E5256" s="7" t="str">
        <x:v>CH-PEA-C-X2-14-1</x:v>
      </x:c>
      <x:c r="F5256" s="7" t="str">
        <x:f>'Channel Instances'!O1957</x:f>
        <x:v>OPEN</x:v>
      </x:c>
    </x:row>
    <x:row r="5257">
      <x:c r="B5257" s="7" t="str">
        <x:v>AG-05251</x:v>
      </x:c>
      <x:c r="C5257" s="7" t="str">
        <x:v>PEA-C-X2</x:v>
      </x:c>
      <x:c r="D5257" s="7" t="str">
        <x:v>channel instance</x:v>
      </x:c>
      <x:c r="E5257" s="7" t="str">
        <x:v>CH-PEA-C-X2-14-2</x:v>
      </x:c>
      <x:c r="F5257" s="7" t="str">
        <x:f>'Channel Instances'!O1958</x:f>
        <x:v>OPEN</x:v>
      </x:c>
    </x:row>
    <x:row r="5258">
      <x:c r="B5258" s="7" t="str">
        <x:v>AG-05252</x:v>
      </x:c>
      <x:c r="C5258" s="7" t="str">
        <x:v>PEA-C-X2</x:v>
      </x:c>
      <x:c r="D5258" s="7" t="str">
        <x:v>channel instance</x:v>
      </x:c>
      <x:c r="E5258" s="7" t="str">
        <x:v>CH-PEA-C-X2-14-3</x:v>
      </x:c>
      <x:c r="F5258" s="7" t="str">
        <x:f>'Channel Instances'!O1959</x:f>
        <x:v>OPEN</x:v>
      </x:c>
    </x:row>
    <x:row r="5259">
      <x:c r="B5259" s="7" t="str">
        <x:v>AG-05253</x:v>
      </x:c>
      <x:c r="C5259" s="7" t="str">
        <x:v>PEA-C-X2</x:v>
      </x:c>
      <x:c r="D5259" s="7" t="str">
        <x:v>channel instance</x:v>
      </x:c>
      <x:c r="E5259" s="7" t="str">
        <x:v>CH-PEA-C-X2-14-4</x:v>
      </x:c>
      <x:c r="F5259" s="7" t="str">
        <x:f>'Channel Instances'!O1960</x:f>
        <x:v>OPEN</x:v>
      </x:c>
    </x:row>
    <x:row r="5260">
      <x:c r="B5260" s="7" t="str">
        <x:v>AG-05254</x:v>
      </x:c>
      <x:c r="C5260" s="7" t="str">
        <x:v>PEA-C-X2</x:v>
      </x:c>
      <x:c r="D5260" s="7" t="str">
        <x:v>channel instance</x:v>
      </x:c>
      <x:c r="E5260" s="7" t="str">
        <x:v>CH-PEA-C-X2-14-5</x:v>
      </x:c>
      <x:c r="F5260" s="7" t="str">
        <x:f>'Channel Instances'!O1961</x:f>
        <x:v>OPEN</x:v>
      </x:c>
    </x:row>
    <x:row r="5261">
      <x:c r="B5261" s="7" t="str">
        <x:v>AG-05255</x:v>
      </x:c>
      <x:c r="C5261" s="7" t="str">
        <x:v>PEA-C-X2</x:v>
      </x:c>
      <x:c r="D5261" s="7" t="str">
        <x:v>channel instance</x:v>
      </x:c>
      <x:c r="E5261" s="7" t="str">
        <x:v>CH-PEA-C-X2-14-6</x:v>
      </x:c>
      <x:c r="F5261" s="7" t="str">
        <x:f>'Channel Instances'!O1962</x:f>
        <x:v>OPEN</x:v>
      </x:c>
    </x:row>
    <x:row r="5262">
      <x:c r="B5262" s="7" t="str">
        <x:v>AG-05256</x:v>
      </x:c>
      <x:c r="C5262" s="7" t="str">
        <x:v>PEA-C-X2</x:v>
      </x:c>
      <x:c r="D5262" s="7" t="str">
        <x:v>channel instance</x:v>
      </x:c>
      <x:c r="E5262" s="7" t="str">
        <x:v>CH-PEA-C-X2-15-1</x:v>
      </x:c>
      <x:c r="F5262" s="7" t="str">
        <x:f>'Channel Instances'!O1963</x:f>
        <x:v>OPEN</x:v>
      </x:c>
    </x:row>
    <x:row r="5263">
      <x:c r="B5263" s="7" t="str">
        <x:v>AG-05257</x:v>
      </x:c>
      <x:c r="C5263" s="7" t="str">
        <x:v>PEA-C-X2</x:v>
      </x:c>
      <x:c r="D5263" s="7" t="str">
        <x:v>channel instance</x:v>
      </x:c>
      <x:c r="E5263" s="7" t="str">
        <x:v>CH-PEA-C-X2-15-2</x:v>
      </x:c>
      <x:c r="F5263" s="7" t="str">
        <x:f>'Channel Instances'!O1964</x:f>
        <x:v>OPEN</x:v>
      </x:c>
    </x:row>
    <x:row r="5264">
      <x:c r="B5264" s="7" t="str">
        <x:v>AG-05258</x:v>
      </x:c>
      <x:c r="C5264" s="7" t="str">
        <x:v>PEA-C-X2</x:v>
      </x:c>
      <x:c r="D5264" s="7" t="str">
        <x:v>channel instance</x:v>
      </x:c>
      <x:c r="E5264" s="7" t="str">
        <x:v>CH-PEA-C-X2-15-3</x:v>
      </x:c>
      <x:c r="F5264" s="7" t="str">
        <x:f>'Channel Instances'!O1965</x:f>
        <x:v>OPEN</x:v>
      </x:c>
    </x:row>
    <x:row r="5265">
      <x:c r="B5265" s="7" t="str">
        <x:v>AG-05259</x:v>
      </x:c>
      <x:c r="C5265" s="7" t="str">
        <x:v>PEA-C-X2</x:v>
      </x:c>
      <x:c r="D5265" s="7" t="str">
        <x:v>channel instance</x:v>
      </x:c>
      <x:c r="E5265" s="7" t="str">
        <x:v>CH-PEA-C-X2-15-4</x:v>
      </x:c>
      <x:c r="F5265" s="7" t="str">
        <x:f>'Channel Instances'!O1966</x:f>
        <x:v>OPEN</x:v>
      </x:c>
    </x:row>
    <x:row r="5266">
      <x:c r="B5266" s="7" t="str">
        <x:v>AG-05260</x:v>
      </x:c>
      <x:c r="C5266" s="7" t="str">
        <x:v>PEA-C-X2</x:v>
      </x:c>
      <x:c r="D5266" s="7" t="str">
        <x:v>channel instance</x:v>
      </x:c>
      <x:c r="E5266" s="7" t="str">
        <x:v>CH-PEA-C-X2-15-5</x:v>
      </x:c>
      <x:c r="F5266" s="7" t="str">
        <x:f>'Channel Instances'!O1967</x:f>
        <x:v>OPEN</x:v>
      </x:c>
    </x:row>
    <x:row r="5267">
      <x:c r="B5267" s="7" t="str">
        <x:v>AG-05261</x:v>
      </x:c>
      <x:c r="C5267" s="7" t="str">
        <x:v>PEA-C-X2</x:v>
      </x:c>
      <x:c r="D5267" s="7" t="str">
        <x:v>channel instance</x:v>
      </x:c>
      <x:c r="E5267" s="7" t="str">
        <x:v>CH-PEA-C-X2-15-6</x:v>
      </x:c>
      <x:c r="F5267" s="7" t="str">
        <x:f>'Channel Instances'!O1968</x:f>
        <x:v>OPEN</x:v>
      </x:c>
    </x:row>
    <x:row r="5268">
      <x:c r="B5268" s="7" t="str">
        <x:v>AG-05262</x:v>
      </x:c>
      <x:c r="C5268" s="7" t="str">
        <x:v>PEA-C-X2</x:v>
      </x:c>
      <x:c r="D5268" s="7" t="str">
        <x:v>channel instance</x:v>
      </x:c>
      <x:c r="E5268" s="7" t="str">
        <x:v>CH-PEA-C-X2-16-1</x:v>
      </x:c>
      <x:c r="F5268" s="7" t="str">
        <x:f>'Channel Instances'!O1969</x:f>
        <x:v>OPEN</x:v>
      </x:c>
    </x:row>
    <x:row r="5269">
      <x:c r="B5269" s="7" t="str">
        <x:v>AG-05263</x:v>
      </x:c>
      <x:c r="C5269" s="7" t="str">
        <x:v>PEA-C-X2</x:v>
      </x:c>
      <x:c r="D5269" s="7" t="str">
        <x:v>channel instance</x:v>
      </x:c>
      <x:c r="E5269" s="7" t="str">
        <x:v>CH-PEA-C-X2-16-2</x:v>
      </x:c>
      <x:c r="F5269" s="7" t="str">
        <x:f>'Channel Instances'!O1970</x:f>
        <x:v>OPEN</x:v>
      </x:c>
    </x:row>
    <x:row r="5270">
      <x:c r="B5270" s="7" t="str">
        <x:v>AG-05264</x:v>
      </x:c>
      <x:c r="C5270" s="7" t="str">
        <x:v>PEA-C-X2</x:v>
      </x:c>
      <x:c r="D5270" s="7" t="str">
        <x:v>channel instance</x:v>
      </x:c>
      <x:c r="E5270" s="7" t="str">
        <x:v>CH-PEA-C-X2-16-3</x:v>
      </x:c>
      <x:c r="F5270" s="7" t="str">
        <x:f>'Channel Instances'!O1971</x:f>
        <x:v>OPEN</x:v>
      </x:c>
    </x:row>
    <x:row r="5271">
      <x:c r="B5271" s="7" t="str">
        <x:v>AG-05265</x:v>
      </x:c>
      <x:c r="C5271" s="7" t="str">
        <x:v>PEA-C-X2</x:v>
      </x:c>
      <x:c r="D5271" s="7" t="str">
        <x:v>channel instance</x:v>
      </x:c>
      <x:c r="E5271" s="7" t="str">
        <x:v>CH-PEA-C-X2-16-4</x:v>
      </x:c>
      <x:c r="F5271" s="7" t="str">
        <x:f>'Channel Instances'!O1972</x:f>
        <x:v>OPEN</x:v>
      </x:c>
    </x:row>
    <x:row r="5272">
      <x:c r="B5272" s="7" t="str">
        <x:v>AG-05266</x:v>
      </x:c>
      <x:c r="C5272" s="7" t="str">
        <x:v>PEA-C-X2</x:v>
      </x:c>
      <x:c r="D5272" s="7" t="str">
        <x:v>channel instance</x:v>
      </x:c>
      <x:c r="E5272" s="7" t="str">
        <x:v>CH-PEA-C-X2-16-5</x:v>
      </x:c>
      <x:c r="F5272" s="7" t="str">
        <x:f>'Channel Instances'!O1973</x:f>
        <x:v>OPEN</x:v>
      </x:c>
    </x:row>
    <x:row r="5273">
      <x:c r="B5273" s="7" t="str">
        <x:v>AG-05267</x:v>
      </x:c>
      <x:c r="C5273" s="7" t="str">
        <x:v>PEA-C-X2</x:v>
      </x:c>
      <x:c r="D5273" s="7" t="str">
        <x:v>channel instance</x:v>
      </x:c>
      <x:c r="E5273" s="7" t="str">
        <x:v>CH-PEA-C-X2-16-6</x:v>
      </x:c>
      <x:c r="F5273" s="7" t="str">
        <x:f>'Channel Instances'!O1974</x:f>
        <x:v>OPEN</x:v>
      </x:c>
    </x:row>
    <x:row r="5274">
      <x:c r="B5274" s="7" t="str">
        <x:v>AG-05268</x:v>
      </x:c>
      <x:c r="C5274" s="7" t="str">
        <x:v>PEA-C-X2</x:v>
      </x:c>
      <x:c r="D5274" s="7" t="str">
        <x:v>channel instance</x:v>
      </x:c>
      <x:c r="E5274" s="7" t="str">
        <x:v>CH-PEA-C-X2-17-1</x:v>
      </x:c>
      <x:c r="F5274" s="7" t="str">
        <x:f>'Channel Instances'!O1975</x:f>
        <x:v>OPEN</x:v>
      </x:c>
    </x:row>
    <x:row r="5275">
      <x:c r="B5275" s="7" t="str">
        <x:v>AG-05269</x:v>
      </x:c>
      <x:c r="C5275" s="7" t="str">
        <x:v>PEA-C-X2</x:v>
      </x:c>
      <x:c r="D5275" s="7" t="str">
        <x:v>channel instance</x:v>
      </x:c>
      <x:c r="E5275" s="7" t="str">
        <x:v>CH-PEA-C-X2-17-2</x:v>
      </x:c>
      <x:c r="F5275" s="7" t="str">
        <x:f>'Channel Instances'!O1976</x:f>
        <x:v>OPEN</x:v>
      </x:c>
    </x:row>
    <x:row r="5276">
      <x:c r="B5276" s="7" t="str">
        <x:v>AG-05270</x:v>
      </x:c>
      <x:c r="C5276" s="7" t="str">
        <x:v>PEA-C-X2</x:v>
      </x:c>
      <x:c r="D5276" s="7" t="str">
        <x:v>channel instance</x:v>
      </x:c>
      <x:c r="E5276" s="7" t="str">
        <x:v>CH-PEA-C-X2-17-3</x:v>
      </x:c>
      <x:c r="F5276" s="7" t="str">
        <x:f>'Channel Instances'!O1977</x:f>
        <x:v>OPEN</x:v>
      </x:c>
    </x:row>
    <x:row r="5277">
      <x:c r="B5277" s="7" t="str">
        <x:v>AG-05271</x:v>
      </x:c>
      <x:c r="C5277" s="7" t="str">
        <x:v>PEA-C-X2</x:v>
      </x:c>
      <x:c r="D5277" s="7" t="str">
        <x:v>channel instance</x:v>
      </x:c>
      <x:c r="E5277" s="7" t="str">
        <x:v>CH-PEA-C-X2-17-4</x:v>
      </x:c>
      <x:c r="F5277" s="7" t="str">
        <x:f>'Channel Instances'!O1978</x:f>
        <x:v>OPEN</x:v>
      </x:c>
    </x:row>
    <x:row r="5278">
      <x:c r="B5278" s="7" t="str">
        <x:v>AG-05272</x:v>
      </x:c>
      <x:c r="C5278" s="7" t="str">
        <x:v>PEA-C-X2</x:v>
      </x:c>
      <x:c r="D5278" s="7" t="str">
        <x:v>channel instance</x:v>
      </x:c>
      <x:c r="E5278" s="7" t="str">
        <x:v>CH-PEA-C-X2-17-5</x:v>
      </x:c>
      <x:c r="F5278" s="7" t="str">
        <x:f>'Channel Instances'!O1979</x:f>
        <x:v>OPEN</x:v>
      </x:c>
    </x:row>
    <x:row r="5279">
      <x:c r="B5279" s="7" t="str">
        <x:v>AG-05273</x:v>
      </x:c>
      <x:c r="C5279" s="7" t="str">
        <x:v>PEA-C-X2</x:v>
      </x:c>
      <x:c r="D5279" s="7" t="str">
        <x:v>channel instance</x:v>
      </x:c>
      <x:c r="E5279" s="7" t="str">
        <x:v>CH-PEA-C-X2-17-6</x:v>
      </x:c>
      <x:c r="F5279" s="7" t="str">
        <x:f>'Channel Instances'!O1980</x:f>
        <x:v>OPEN</x:v>
      </x:c>
    </x:row>
    <x:row r="5280">
      <x:c r="B5280" s="7" t="str">
        <x:v>AG-05274</x:v>
      </x:c>
      <x:c r="C5280" s="7" t="str">
        <x:v>PEA-C-X2</x:v>
      </x:c>
      <x:c r="D5280" s="7" t="str">
        <x:v>channel instance</x:v>
      </x:c>
      <x:c r="E5280" s="7" t="str">
        <x:v>CH-PEA-C-X2-18-1</x:v>
      </x:c>
      <x:c r="F5280" s="7" t="str">
        <x:f>'Channel Instances'!O1981</x:f>
        <x:v>OPEN</x:v>
      </x:c>
    </x:row>
    <x:row r="5281">
      <x:c r="B5281" s="7" t="str">
        <x:v>AG-05275</x:v>
      </x:c>
      <x:c r="C5281" s="7" t="str">
        <x:v>PEA-C-X2</x:v>
      </x:c>
      <x:c r="D5281" s="7" t="str">
        <x:v>channel instance</x:v>
      </x:c>
      <x:c r="E5281" s="7" t="str">
        <x:v>CH-PEA-C-X2-18-2</x:v>
      </x:c>
      <x:c r="F5281" s="7" t="str">
        <x:f>'Channel Instances'!O1982</x:f>
        <x:v>OPEN</x:v>
      </x:c>
    </x:row>
    <x:row r="5282">
      <x:c r="B5282" s="7" t="str">
        <x:v>AG-05276</x:v>
      </x:c>
      <x:c r="C5282" s="7" t="str">
        <x:v>PEA-C-X2</x:v>
      </x:c>
      <x:c r="D5282" s="7" t="str">
        <x:v>channel instance</x:v>
      </x:c>
      <x:c r="E5282" s="7" t="str">
        <x:v>CH-PEA-C-X2-18-3</x:v>
      </x:c>
      <x:c r="F5282" s="7" t="str">
        <x:f>'Channel Instances'!O1983</x:f>
        <x:v>OPEN</x:v>
      </x:c>
    </x:row>
    <x:row r="5283">
      <x:c r="B5283" s="7" t="str">
        <x:v>AG-05277</x:v>
      </x:c>
      <x:c r="C5283" s="7" t="str">
        <x:v>PEA-C-X2</x:v>
      </x:c>
      <x:c r="D5283" s="7" t="str">
        <x:v>channel instance</x:v>
      </x:c>
      <x:c r="E5283" s="7" t="str">
        <x:v>CH-PEA-C-X2-18-4</x:v>
      </x:c>
      <x:c r="F5283" s="7" t="str">
        <x:f>'Channel Instances'!O1984</x:f>
        <x:v>OPEN</x:v>
      </x:c>
    </x:row>
    <x:row r="5284">
      <x:c r="B5284" s="7" t="str">
        <x:v>AG-05278</x:v>
      </x:c>
      <x:c r="C5284" s="7" t="str">
        <x:v>PEA-C-X2</x:v>
      </x:c>
      <x:c r="D5284" s="7" t="str">
        <x:v>channel instance</x:v>
      </x:c>
      <x:c r="E5284" s="7" t="str">
        <x:v>CH-PEA-C-X2-18-5</x:v>
      </x:c>
      <x:c r="F5284" s="7" t="str">
        <x:f>'Channel Instances'!O1985</x:f>
        <x:v>OPEN</x:v>
      </x:c>
    </x:row>
    <x:row r="5285">
      <x:c r="B5285" s="7" t="str">
        <x:v>AG-05279</x:v>
      </x:c>
      <x:c r="C5285" s="7" t="str">
        <x:v>PEA-C-X2</x:v>
      </x:c>
      <x:c r="D5285" s="7" t="str">
        <x:v>channel instance</x:v>
      </x:c>
      <x:c r="E5285" s="7" t="str">
        <x:v>CH-PEA-C-X2-18-6</x:v>
      </x:c>
      <x:c r="F5285" s="7" t="str">
        <x:f>'Channel Instances'!O1986</x:f>
        <x:v>OPEN</x:v>
      </x:c>
    </x:row>
    <x:row r="5286">
      <x:c r="B5286" s="7" t="str">
        <x:v>AG-05280</x:v>
      </x:c>
      <x:c r="C5286" s="7" t="str">
        <x:v>PEA-C-X2</x:v>
      </x:c>
      <x:c r="D5286" s="7" t="str">
        <x:v>channel instance</x:v>
      </x:c>
      <x:c r="E5286" s="7" t="str">
        <x:v>CH-PEA-C-X2-19-1</x:v>
      </x:c>
      <x:c r="F5286" s="7" t="str">
        <x:f>'Channel Instances'!O1987</x:f>
        <x:v>OPEN</x:v>
      </x:c>
    </x:row>
    <x:row r="5287">
      <x:c r="B5287" s="7" t="str">
        <x:v>AG-05281</x:v>
      </x:c>
      <x:c r="C5287" s="7" t="str">
        <x:v>PEA-C-X2</x:v>
      </x:c>
      <x:c r="D5287" s="7" t="str">
        <x:v>channel instance</x:v>
      </x:c>
      <x:c r="E5287" s="7" t="str">
        <x:v>CH-PEA-C-X2-19-2</x:v>
      </x:c>
      <x:c r="F5287" s="7" t="str">
        <x:f>'Channel Instances'!O1988</x:f>
        <x:v>OPEN</x:v>
      </x:c>
    </x:row>
    <x:row r="5288">
      <x:c r="B5288" s="7" t="str">
        <x:v>AG-05282</x:v>
      </x:c>
      <x:c r="C5288" s="7" t="str">
        <x:v>PEA-C-X2</x:v>
      </x:c>
      <x:c r="D5288" s="7" t="str">
        <x:v>channel instance</x:v>
      </x:c>
      <x:c r="E5288" s="7" t="str">
        <x:v>CH-PEA-C-X2-19-3</x:v>
      </x:c>
      <x:c r="F5288" s="7" t="str">
        <x:f>'Channel Instances'!O1989</x:f>
        <x:v>OPEN</x:v>
      </x:c>
    </x:row>
    <x:row r="5289">
      <x:c r="B5289" s="7" t="str">
        <x:v>AG-05283</x:v>
      </x:c>
      <x:c r="C5289" s="7" t="str">
        <x:v>PEA-C-X2</x:v>
      </x:c>
      <x:c r="D5289" s="7" t="str">
        <x:v>channel instance</x:v>
      </x:c>
      <x:c r="E5289" s="7" t="str">
        <x:v>CH-PEA-C-X2-19-4</x:v>
      </x:c>
      <x:c r="F5289" s="7" t="str">
        <x:f>'Channel Instances'!O1990</x:f>
        <x:v>OPEN</x:v>
      </x:c>
    </x:row>
    <x:row r="5290">
      <x:c r="B5290" s="7" t="str">
        <x:v>AG-05284</x:v>
      </x:c>
      <x:c r="C5290" s="7" t="str">
        <x:v>PEA-C-X2</x:v>
      </x:c>
      <x:c r="D5290" s="7" t="str">
        <x:v>channel instance</x:v>
      </x:c>
      <x:c r="E5290" s="7" t="str">
        <x:v>CH-PEA-C-X2-19-5</x:v>
      </x:c>
      <x:c r="F5290" s="7" t="str">
        <x:f>'Channel Instances'!O1991</x:f>
        <x:v>OPEN</x:v>
      </x:c>
    </x:row>
    <x:row r="5291">
      <x:c r="B5291" s="7" t="str">
        <x:v>AG-05285</x:v>
      </x:c>
      <x:c r="C5291" s="7" t="str">
        <x:v>PEA-C-X2</x:v>
      </x:c>
      <x:c r="D5291" s="7" t="str">
        <x:v>channel instance</x:v>
      </x:c>
      <x:c r="E5291" s="7" t="str">
        <x:v>CH-PEA-C-X2-19-6</x:v>
      </x:c>
      <x:c r="F5291" s="7" t="str">
        <x:f>'Channel Instances'!O1992</x:f>
        <x:v>OPEN</x:v>
      </x:c>
    </x:row>
    <x:row r="5292">
      <x:c r="B5292" s="7" t="str">
        <x:v>AG-05286</x:v>
      </x:c>
      <x:c r="C5292" s="7" t="str">
        <x:v>PEA-C-X2</x:v>
      </x:c>
      <x:c r="D5292" s="7" t="str">
        <x:v>channel instance</x:v>
      </x:c>
      <x:c r="E5292" s="7" t="str">
        <x:v>CH-PEA-C-X2-20-1</x:v>
      </x:c>
      <x:c r="F5292" s="7" t="str">
        <x:f>'Channel Instances'!O1993</x:f>
        <x:v>OPEN</x:v>
      </x:c>
    </x:row>
    <x:row r="5293">
      <x:c r="B5293" s="7" t="str">
        <x:v>AG-05287</x:v>
      </x:c>
      <x:c r="C5293" s="7" t="str">
        <x:v>PEA-C-X2</x:v>
      </x:c>
      <x:c r="D5293" s="7" t="str">
        <x:v>channel instance</x:v>
      </x:c>
      <x:c r="E5293" s="7" t="str">
        <x:v>CH-PEA-C-X2-20-2</x:v>
      </x:c>
      <x:c r="F5293" s="7" t="str">
        <x:f>'Channel Instances'!O1994</x:f>
        <x:v>OPEN</x:v>
      </x:c>
    </x:row>
    <x:row r="5294">
      <x:c r="B5294" s="7" t="str">
        <x:v>AG-05288</x:v>
      </x:c>
      <x:c r="C5294" s="7" t="str">
        <x:v>PEA-C-X2</x:v>
      </x:c>
      <x:c r="D5294" s="7" t="str">
        <x:v>channel instance</x:v>
      </x:c>
      <x:c r="E5294" s="7" t="str">
        <x:v>CH-PEA-C-X2-20-3</x:v>
      </x:c>
      <x:c r="F5294" s="7" t="str">
        <x:f>'Channel Instances'!O1995</x:f>
        <x:v>OPEN</x:v>
      </x:c>
    </x:row>
    <x:row r="5295">
      <x:c r="B5295" s="7" t="str">
        <x:v>AG-05289</x:v>
      </x:c>
      <x:c r="C5295" s="7" t="str">
        <x:v>PEA-C-X2</x:v>
      </x:c>
      <x:c r="D5295" s="7" t="str">
        <x:v>channel instance</x:v>
      </x:c>
      <x:c r="E5295" s="7" t="str">
        <x:v>CH-PEA-C-X2-20-4</x:v>
      </x:c>
      <x:c r="F5295" s="7" t="str">
        <x:f>'Channel Instances'!O1996</x:f>
        <x:v>OPEN</x:v>
      </x:c>
    </x:row>
    <x:row r="5296">
      <x:c r="B5296" s="7" t="str">
        <x:v>AG-05290</x:v>
      </x:c>
      <x:c r="C5296" s="7" t="str">
        <x:v>PEA-C-X2</x:v>
      </x:c>
      <x:c r="D5296" s="7" t="str">
        <x:v>channel instance</x:v>
      </x:c>
      <x:c r="E5296" s="7" t="str">
        <x:v>CH-PEA-C-X2-20-5</x:v>
      </x:c>
      <x:c r="F5296" s="7" t="str">
        <x:f>'Channel Instances'!O1997</x:f>
        <x:v>OPEN</x:v>
      </x:c>
    </x:row>
    <x:row r="5297">
      <x:c r="B5297" s="7" t="str">
        <x:v>AG-05291</x:v>
      </x:c>
      <x:c r="C5297" s="7" t="str">
        <x:v>PEA-C-X2</x:v>
      </x:c>
      <x:c r="D5297" s="7" t="str">
        <x:v>channel instance</x:v>
      </x:c>
      <x:c r="E5297" s="7" t="str">
        <x:v>CH-PEA-C-X2-20-6</x:v>
      </x:c>
      <x:c r="F5297" s="7" t="str">
        <x:f>'Channel Instances'!O1998</x:f>
        <x:v>OPEN</x:v>
      </x:c>
    </x:row>
    <x:row r="5298">
      <x:c r="B5298" s="7" t="str">
        <x:v>AG-05292</x:v>
      </x:c>
      <x:c r="C5298" s="7" t="str">
        <x:v>PEA-C-X2</x:v>
      </x:c>
      <x:c r="D5298" s="7" t="str">
        <x:v>channel instance</x:v>
      </x:c>
      <x:c r="E5298" s="7" t="str">
        <x:v>CH-PEA-C-X2-21-1</x:v>
      </x:c>
      <x:c r="F5298" s="7" t="str">
        <x:f>'Channel Instances'!O1999</x:f>
        <x:v>OPEN</x:v>
      </x:c>
    </x:row>
    <x:row r="5299">
      <x:c r="B5299" s="7" t="str">
        <x:v>AG-05293</x:v>
      </x:c>
      <x:c r="C5299" s="7" t="str">
        <x:v>PEA-C-X2</x:v>
      </x:c>
      <x:c r="D5299" s="7" t="str">
        <x:v>channel instance</x:v>
      </x:c>
      <x:c r="E5299" s="7" t="str">
        <x:v>CH-PEA-C-X2-21-2</x:v>
      </x:c>
      <x:c r="F5299" s="7" t="str">
        <x:f>'Channel Instances'!O2000</x:f>
        <x:v>OPEN</x:v>
      </x:c>
    </x:row>
    <x:row r="5300">
      <x:c r="B5300" s="7" t="str">
        <x:v>AG-05294</x:v>
      </x:c>
      <x:c r="C5300" s="7" t="str">
        <x:v>PEA-C-X2</x:v>
      </x:c>
      <x:c r="D5300" s="7" t="str">
        <x:v>channel instance</x:v>
      </x:c>
      <x:c r="E5300" s="7" t="str">
        <x:v>CH-PEA-C-X2-21-3</x:v>
      </x:c>
      <x:c r="F5300" s="7" t="str">
        <x:f>'Channel Instances'!O2001</x:f>
        <x:v>OPEN</x:v>
      </x:c>
    </x:row>
    <x:row r="5301">
      <x:c r="B5301" s="7" t="str">
        <x:v>AG-05295</x:v>
      </x:c>
      <x:c r="C5301" s="7" t="str">
        <x:v>PEA-C-X2</x:v>
      </x:c>
      <x:c r="D5301" s="7" t="str">
        <x:v>channel instance</x:v>
      </x:c>
      <x:c r="E5301" s="7" t="str">
        <x:v>CH-PEA-C-X2-21-4</x:v>
      </x:c>
      <x:c r="F5301" s="7" t="str">
        <x:f>'Channel Instances'!O2002</x:f>
        <x:v>OPEN</x:v>
      </x:c>
    </x:row>
    <x:row r="5302">
      <x:c r="B5302" s="7" t="str">
        <x:v>AG-05296</x:v>
      </x:c>
      <x:c r="C5302" s="7" t="str">
        <x:v>PEA-C-X2</x:v>
      </x:c>
      <x:c r="D5302" s="7" t="str">
        <x:v>channel instance</x:v>
      </x:c>
      <x:c r="E5302" s="7" t="str">
        <x:v>CH-PEA-C-X2-21-5</x:v>
      </x:c>
      <x:c r="F5302" s="7" t="str">
        <x:f>'Channel Instances'!O2003</x:f>
        <x:v>OPEN</x:v>
      </x:c>
    </x:row>
    <x:row r="5303">
      <x:c r="B5303" s="7" t="str">
        <x:v>AG-05297</x:v>
      </x:c>
      <x:c r="C5303" s="7" t="str">
        <x:v>PEA-C-X2</x:v>
      </x:c>
      <x:c r="D5303" s="7" t="str">
        <x:v>channel instance</x:v>
      </x:c>
      <x:c r="E5303" s="7" t="str">
        <x:v>CH-PEA-C-X2-21-6</x:v>
      </x:c>
      <x:c r="F5303" s="7" t="str">
        <x:f>'Channel Instances'!O2004</x:f>
        <x:v>OPEN</x:v>
      </x:c>
    </x:row>
    <x:row r="5304">
      <x:c r="B5304" s="7" t="str">
        <x:v>AG-05298</x:v>
      </x:c>
      <x:c r="C5304" s="7" t="str">
        <x:v>PEA-C-X2</x:v>
      </x:c>
      <x:c r="D5304" s="7" t="str">
        <x:v>channel instance</x:v>
      </x:c>
      <x:c r="E5304" s="7" t="str">
        <x:v>CH-PEA-C-X2-22-1</x:v>
      </x:c>
      <x:c r="F5304" s="7" t="str">
        <x:f>'Channel Instances'!O2005</x:f>
        <x:v>OPEN</x:v>
      </x:c>
    </x:row>
    <x:row r="5305">
      <x:c r="B5305" s="7" t="str">
        <x:v>AG-05299</x:v>
      </x:c>
      <x:c r="C5305" s="7" t="str">
        <x:v>PEA-C-X2</x:v>
      </x:c>
      <x:c r="D5305" s="7" t="str">
        <x:v>channel instance</x:v>
      </x:c>
      <x:c r="E5305" s="7" t="str">
        <x:v>CH-PEA-C-X2-22-2</x:v>
      </x:c>
      <x:c r="F5305" s="7" t="str">
        <x:f>'Channel Instances'!O2006</x:f>
        <x:v>OPEN</x:v>
      </x:c>
    </x:row>
    <x:row r="5306">
      <x:c r="B5306" s="7" t="str">
        <x:v>AG-05300</x:v>
      </x:c>
      <x:c r="C5306" s="7" t="str">
        <x:v>PEA-C-X2</x:v>
      </x:c>
      <x:c r="D5306" s="7" t="str">
        <x:v>channel instance</x:v>
      </x:c>
      <x:c r="E5306" s="7" t="str">
        <x:v>CH-PEA-C-X2-22-3</x:v>
      </x:c>
      <x:c r="F5306" s="7" t="str">
        <x:f>'Channel Instances'!O2007</x:f>
        <x:v>OPEN</x:v>
      </x:c>
    </x:row>
    <x:row r="5307">
      <x:c r="B5307" s="7" t="str">
        <x:v>AG-05301</x:v>
      </x:c>
      <x:c r="C5307" s="7" t="str">
        <x:v>PEA-C-X2</x:v>
      </x:c>
      <x:c r="D5307" s="7" t="str">
        <x:v>channel instance</x:v>
      </x:c>
      <x:c r="E5307" s="7" t="str">
        <x:v>CH-PEA-C-X2-22-4</x:v>
      </x:c>
      <x:c r="F5307" s="7" t="str">
        <x:f>'Channel Instances'!O2008</x:f>
        <x:v>OPEN</x:v>
      </x:c>
    </x:row>
    <x:row r="5308">
      <x:c r="B5308" s="7" t="str">
        <x:v>AG-05302</x:v>
      </x:c>
      <x:c r="C5308" s="7" t="str">
        <x:v>PEA-C-X2</x:v>
      </x:c>
      <x:c r="D5308" s="7" t="str">
        <x:v>channel instance</x:v>
      </x:c>
      <x:c r="E5308" s="7" t="str">
        <x:v>CH-PEA-C-X2-22-5</x:v>
      </x:c>
      <x:c r="F5308" s="7" t="str">
        <x:f>'Channel Instances'!O2009</x:f>
        <x:v>OPEN</x:v>
      </x:c>
    </x:row>
    <x:row r="5309">
      <x:c r="B5309" s="7" t="str">
        <x:v>AG-05303</x:v>
      </x:c>
      <x:c r="C5309" s="7" t="str">
        <x:v>PEA-C-X2</x:v>
      </x:c>
      <x:c r="D5309" s="7" t="str">
        <x:v>channel instance</x:v>
      </x:c>
      <x:c r="E5309" s="7" t="str">
        <x:v>CH-PEA-C-X2-22-6</x:v>
      </x:c>
      <x:c r="F5309" s="7" t="str">
        <x:f>'Channel Instances'!O2010</x:f>
        <x:v>OPEN</x:v>
      </x:c>
    </x:row>
    <x:row r="5310">
      <x:c r="B5310" s="7" t="str">
        <x:v>AG-05304</x:v>
      </x:c>
      <x:c r="C5310" s="7" t="str">
        <x:v>PEA-C-X2</x:v>
      </x:c>
      <x:c r="D5310" s="7" t="str">
        <x:v>channel instance</x:v>
      </x:c>
      <x:c r="E5310" s="7" t="str">
        <x:v>CH-PEA-C-X2-23-1</x:v>
      </x:c>
      <x:c r="F5310" s="7" t="str">
        <x:f>'Channel Instances'!O2011</x:f>
        <x:v>OPEN</x:v>
      </x:c>
    </x:row>
    <x:row r="5311">
      <x:c r="B5311" s="7" t="str">
        <x:v>AG-05305</x:v>
      </x:c>
      <x:c r="C5311" s="7" t="str">
        <x:v>PEA-C-X2</x:v>
      </x:c>
      <x:c r="D5311" s="7" t="str">
        <x:v>channel instance</x:v>
      </x:c>
      <x:c r="E5311" s="7" t="str">
        <x:v>CH-PEA-C-X2-23-2</x:v>
      </x:c>
      <x:c r="F5311" s="7" t="str">
        <x:f>'Channel Instances'!O2012</x:f>
        <x:v>OPEN</x:v>
      </x:c>
    </x:row>
    <x:row r="5312">
      <x:c r="B5312" s="7" t="str">
        <x:v>AG-05306</x:v>
      </x:c>
      <x:c r="C5312" s="7" t="str">
        <x:v>PEA-C-X2</x:v>
      </x:c>
      <x:c r="D5312" s="7" t="str">
        <x:v>channel instance</x:v>
      </x:c>
      <x:c r="E5312" s="7" t="str">
        <x:v>CH-PEA-C-X2-23-3</x:v>
      </x:c>
      <x:c r="F5312" s="7" t="str">
        <x:f>'Channel Instances'!O2013</x:f>
        <x:v>OPEN</x:v>
      </x:c>
    </x:row>
    <x:row r="5313">
      <x:c r="B5313" s="7" t="str">
        <x:v>AG-05307</x:v>
      </x:c>
      <x:c r="C5313" s="7" t="str">
        <x:v>PEA-C-X2</x:v>
      </x:c>
      <x:c r="D5313" s="7" t="str">
        <x:v>channel instance</x:v>
      </x:c>
      <x:c r="E5313" s="7" t="str">
        <x:v>CH-PEA-C-X2-23-4</x:v>
      </x:c>
      <x:c r="F5313" s="7" t="str">
        <x:f>'Channel Instances'!O2014</x:f>
        <x:v>OPEN</x:v>
      </x:c>
    </x:row>
    <x:row r="5314">
      <x:c r="B5314" s="7" t="str">
        <x:v>AG-05308</x:v>
      </x:c>
      <x:c r="C5314" s="7" t="str">
        <x:v>PEA-C-X2</x:v>
      </x:c>
      <x:c r="D5314" s="7" t="str">
        <x:v>channel instance</x:v>
      </x:c>
      <x:c r="E5314" s="7" t="str">
        <x:v>CH-PEA-C-X2-23-5</x:v>
      </x:c>
      <x:c r="F5314" s="7" t="str">
        <x:f>'Channel Instances'!O2015</x:f>
        <x:v>OPEN</x:v>
      </x:c>
    </x:row>
    <x:row r="5315">
      <x:c r="B5315" s="7" t="str">
        <x:v>AG-05309</x:v>
      </x:c>
      <x:c r="C5315" s="7" t="str">
        <x:v>PEA-C-X2</x:v>
      </x:c>
      <x:c r="D5315" s="7" t="str">
        <x:v>channel instance</x:v>
      </x:c>
      <x:c r="E5315" s="7" t="str">
        <x:v>CH-PEA-C-X2-23-6</x:v>
      </x:c>
      <x:c r="F5315" s="7" t="str">
        <x:f>'Channel Instances'!O2016</x:f>
        <x:v>OPEN</x:v>
      </x:c>
    </x:row>
    <x:row r="5316">
      <x:c r="B5316" s="7" t="str">
        <x:v>AG-05310</x:v>
      </x:c>
      <x:c r="C5316" s="7" t="str">
        <x:v>PEA-C-X2</x:v>
      </x:c>
      <x:c r="D5316" s="7" t="str">
        <x:v>channel instance</x:v>
      </x:c>
      <x:c r="E5316" s="7" t="str">
        <x:v>CH-PEA-C-X2-24-1</x:v>
      </x:c>
      <x:c r="F5316" s="7" t="str">
        <x:f>'Channel Instances'!O2017</x:f>
        <x:v>OPEN</x:v>
      </x:c>
    </x:row>
    <x:row r="5317">
      <x:c r="B5317" s="7" t="str">
        <x:v>AG-05311</x:v>
      </x:c>
      <x:c r="C5317" s="7" t="str">
        <x:v>PEA-C-X2</x:v>
      </x:c>
      <x:c r="D5317" s="7" t="str">
        <x:v>channel instance</x:v>
      </x:c>
      <x:c r="E5317" s="7" t="str">
        <x:v>CH-PEA-C-X2-24-2</x:v>
      </x:c>
      <x:c r="F5317" s="7" t="str">
        <x:f>'Channel Instances'!O2018</x:f>
        <x:v>OPEN</x:v>
      </x:c>
    </x:row>
    <x:row r="5318">
      <x:c r="B5318" s="7" t="str">
        <x:v>AG-05312</x:v>
      </x:c>
      <x:c r="C5318" s="7" t="str">
        <x:v>PEA-C-X2</x:v>
      </x:c>
      <x:c r="D5318" s="7" t="str">
        <x:v>channel instance</x:v>
      </x:c>
      <x:c r="E5318" s="7" t="str">
        <x:v>CH-PEA-C-X2-24-3</x:v>
      </x:c>
      <x:c r="F5318" s="7" t="str">
        <x:f>'Channel Instances'!O2019</x:f>
        <x:v>OPEN</x:v>
      </x:c>
    </x:row>
    <x:row r="5319">
      <x:c r="B5319" s="7" t="str">
        <x:v>AG-05313</x:v>
      </x:c>
      <x:c r="C5319" s="7" t="str">
        <x:v>PEA-C-X2</x:v>
      </x:c>
      <x:c r="D5319" s="7" t="str">
        <x:v>channel instance</x:v>
      </x:c>
      <x:c r="E5319" s="7" t="str">
        <x:v>CH-PEA-C-X2-24-4</x:v>
      </x:c>
      <x:c r="F5319" s="7" t="str">
        <x:f>'Channel Instances'!O2020</x:f>
        <x:v>OPEN</x:v>
      </x:c>
    </x:row>
    <x:row r="5320">
      <x:c r="B5320" s="7" t="str">
        <x:v>AG-05314</x:v>
      </x:c>
      <x:c r="C5320" s="7" t="str">
        <x:v>PEA-C-X2</x:v>
      </x:c>
      <x:c r="D5320" s="7" t="str">
        <x:v>channel instance</x:v>
      </x:c>
      <x:c r="E5320" s="7" t="str">
        <x:v>CH-PEA-C-X2-24-5</x:v>
      </x:c>
      <x:c r="F5320" s="7" t="str">
        <x:f>'Channel Instances'!O2021</x:f>
        <x:v>OPEN</x:v>
      </x:c>
    </x:row>
    <x:row r="5321">
      <x:c r="B5321" s="7" t="str">
        <x:v>AG-05315</x:v>
      </x:c>
      <x:c r="C5321" s="7" t="str">
        <x:v>PEA-C-X2</x:v>
      </x:c>
      <x:c r="D5321" s="7" t="str">
        <x:v>channel instance</x:v>
      </x:c>
      <x:c r="E5321" s="7" t="str">
        <x:v>CH-PEA-C-X2-24-6</x:v>
      </x:c>
      <x:c r="F5321" s="7" t="str">
        <x:f>'Channel Instances'!O2022</x:f>
        <x:v>OPEN</x:v>
      </x:c>
    </x:row>
    <x:row r="5322">
      <x:c r="B5322" s="7" t="str">
        <x:v>AG-05316</x:v>
      </x:c>
      <x:c r="C5322" s="7" t="str">
        <x:v>PEA-C-X2</x:v>
      </x:c>
      <x:c r="D5322" s="7" t="str">
        <x:v>factory calibration</x:v>
      </x:c>
      <x:c r="E5322" s="7" t="str">
        <x:v>CAL-CH-PEA-C-X2-01-1</x:v>
      </x:c>
      <x:c r="F5322" s="7" t="str">
        <x:f>'Calibration Records'!M1879</x:f>
        <x:v>OPEN</x:v>
      </x:c>
    </x:row>
    <x:row r="5323">
      <x:c r="B5323" s="7" t="str">
        <x:v>AG-05317</x:v>
      </x:c>
      <x:c r="C5323" s="7" t="str">
        <x:v>PEA-C-X2</x:v>
      </x:c>
      <x:c r="D5323" s="7" t="str">
        <x:v>factory calibration</x:v>
      </x:c>
      <x:c r="E5323" s="7" t="str">
        <x:v>CAL-CH-PEA-C-X2-01-2</x:v>
      </x:c>
      <x:c r="F5323" s="7" t="str">
        <x:f>'Calibration Records'!M1880</x:f>
        <x:v>OPEN</x:v>
      </x:c>
    </x:row>
    <x:row r="5324">
      <x:c r="B5324" s="7" t="str">
        <x:v>AG-05318</x:v>
      </x:c>
      <x:c r="C5324" s="7" t="str">
        <x:v>PEA-C-X2</x:v>
      </x:c>
      <x:c r="D5324" s="7" t="str">
        <x:v>factory calibration</x:v>
      </x:c>
      <x:c r="E5324" s="7" t="str">
        <x:v>CAL-CH-PEA-C-X2-01-3</x:v>
      </x:c>
      <x:c r="F5324" s="7" t="str">
        <x:f>'Calibration Records'!M1881</x:f>
        <x:v>OPEN</x:v>
      </x:c>
    </x:row>
    <x:row r="5325">
      <x:c r="B5325" s="7" t="str">
        <x:v>AG-05319</x:v>
      </x:c>
      <x:c r="C5325" s="7" t="str">
        <x:v>PEA-C-X2</x:v>
      </x:c>
      <x:c r="D5325" s="7" t="str">
        <x:v>factory calibration</x:v>
      </x:c>
      <x:c r="E5325" s="7" t="str">
        <x:v>CAL-CH-PEA-C-X2-01-4</x:v>
      </x:c>
      <x:c r="F5325" s="7" t="str">
        <x:f>'Calibration Records'!M1882</x:f>
        <x:v>OPEN</x:v>
      </x:c>
    </x:row>
    <x:row r="5326">
      <x:c r="B5326" s="7" t="str">
        <x:v>AG-05320</x:v>
      </x:c>
      <x:c r="C5326" s="7" t="str">
        <x:v>PEA-C-X2</x:v>
      </x:c>
      <x:c r="D5326" s="7" t="str">
        <x:v>factory calibration</x:v>
      </x:c>
      <x:c r="E5326" s="7" t="str">
        <x:v>CAL-CH-PEA-C-X2-01-5</x:v>
      </x:c>
      <x:c r="F5326" s="7" t="str">
        <x:f>'Calibration Records'!M1883</x:f>
        <x:v>OPEN</x:v>
      </x:c>
    </x:row>
    <x:row r="5327">
      <x:c r="B5327" s="7" t="str">
        <x:v>AG-05321</x:v>
      </x:c>
      <x:c r="C5327" s="7" t="str">
        <x:v>PEA-C-X2</x:v>
      </x:c>
      <x:c r="D5327" s="7" t="str">
        <x:v>factory calibration</x:v>
      </x:c>
      <x:c r="E5327" s="7" t="str">
        <x:v>CAL-CH-PEA-C-X2-01-6</x:v>
      </x:c>
      <x:c r="F5327" s="7" t="str">
        <x:f>'Calibration Records'!M1884</x:f>
        <x:v>OPEN</x:v>
      </x:c>
    </x:row>
    <x:row r="5328">
      <x:c r="B5328" s="7" t="str">
        <x:v>AG-05322</x:v>
      </x:c>
      <x:c r="C5328" s="7" t="str">
        <x:v>PEA-C-X2</x:v>
      </x:c>
      <x:c r="D5328" s="7" t="str">
        <x:v>factory calibration</x:v>
      </x:c>
      <x:c r="E5328" s="7" t="str">
        <x:v>CAL-CH-PEA-C-X2-02-1</x:v>
      </x:c>
      <x:c r="F5328" s="7" t="str">
        <x:f>'Calibration Records'!M1885</x:f>
        <x:v>OPEN</x:v>
      </x:c>
    </x:row>
    <x:row r="5329">
      <x:c r="B5329" s="7" t="str">
        <x:v>AG-05323</x:v>
      </x:c>
      <x:c r="C5329" s="7" t="str">
        <x:v>PEA-C-X2</x:v>
      </x:c>
      <x:c r="D5329" s="7" t="str">
        <x:v>factory calibration</x:v>
      </x:c>
      <x:c r="E5329" s="7" t="str">
        <x:v>CAL-CH-PEA-C-X2-02-2</x:v>
      </x:c>
      <x:c r="F5329" s="7" t="str">
        <x:f>'Calibration Records'!M1886</x:f>
        <x:v>OPEN</x:v>
      </x:c>
    </x:row>
    <x:row r="5330">
      <x:c r="B5330" s="7" t="str">
        <x:v>AG-05324</x:v>
      </x:c>
      <x:c r="C5330" s="7" t="str">
        <x:v>PEA-C-X2</x:v>
      </x:c>
      <x:c r="D5330" s="7" t="str">
        <x:v>factory calibration</x:v>
      </x:c>
      <x:c r="E5330" s="7" t="str">
        <x:v>CAL-CH-PEA-C-X2-02-3</x:v>
      </x:c>
      <x:c r="F5330" s="7" t="str">
        <x:f>'Calibration Records'!M1887</x:f>
        <x:v>OPEN</x:v>
      </x:c>
    </x:row>
    <x:row r="5331">
      <x:c r="B5331" s="7" t="str">
        <x:v>AG-05325</x:v>
      </x:c>
      <x:c r="C5331" s="7" t="str">
        <x:v>PEA-C-X2</x:v>
      </x:c>
      <x:c r="D5331" s="7" t="str">
        <x:v>factory calibration</x:v>
      </x:c>
      <x:c r="E5331" s="7" t="str">
        <x:v>CAL-CH-PEA-C-X2-02-4</x:v>
      </x:c>
      <x:c r="F5331" s="7" t="str">
        <x:f>'Calibration Records'!M1888</x:f>
        <x:v>OPEN</x:v>
      </x:c>
    </x:row>
    <x:row r="5332">
      <x:c r="B5332" s="7" t="str">
        <x:v>AG-05326</x:v>
      </x:c>
      <x:c r="C5332" s="7" t="str">
        <x:v>PEA-C-X2</x:v>
      </x:c>
      <x:c r="D5332" s="7" t="str">
        <x:v>factory calibration</x:v>
      </x:c>
      <x:c r="E5332" s="7" t="str">
        <x:v>CAL-CH-PEA-C-X2-02-5</x:v>
      </x:c>
      <x:c r="F5332" s="7" t="str">
        <x:f>'Calibration Records'!M1889</x:f>
        <x:v>OPEN</x:v>
      </x:c>
    </x:row>
    <x:row r="5333">
      <x:c r="B5333" s="7" t="str">
        <x:v>AG-05327</x:v>
      </x:c>
      <x:c r="C5333" s="7" t="str">
        <x:v>PEA-C-X2</x:v>
      </x:c>
      <x:c r="D5333" s="7" t="str">
        <x:v>factory calibration</x:v>
      </x:c>
      <x:c r="E5333" s="7" t="str">
        <x:v>CAL-CH-PEA-C-X2-02-6</x:v>
      </x:c>
      <x:c r="F5333" s="7" t="str">
        <x:f>'Calibration Records'!M1890</x:f>
        <x:v>OPEN</x:v>
      </x:c>
    </x:row>
    <x:row r="5334">
      <x:c r="B5334" s="7" t="str">
        <x:v>AG-05328</x:v>
      </x:c>
      <x:c r="C5334" s="7" t="str">
        <x:v>PEA-C-X2</x:v>
      </x:c>
      <x:c r="D5334" s="7" t="str">
        <x:v>factory calibration</x:v>
      </x:c>
      <x:c r="E5334" s="7" t="str">
        <x:v>CAL-CH-PEA-C-X2-03-1</x:v>
      </x:c>
      <x:c r="F5334" s="7" t="str">
        <x:f>'Calibration Records'!M1891</x:f>
        <x:v>OPEN</x:v>
      </x:c>
    </x:row>
    <x:row r="5335">
      <x:c r="B5335" s="7" t="str">
        <x:v>AG-05329</x:v>
      </x:c>
      <x:c r="C5335" s="7" t="str">
        <x:v>PEA-C-X2</x:v>
      </x:c>
      <x:c r="D5335" s="7" t="str">
        <x:v>factory calibration</x:v>
      </x:c>
      <x:c r="E5335" s="7" t="str">
        <x:v>CAL-CH-PEA-C-X2-03-2</x:v>
      </x:c>
      <x:c r="F5335" s="7" t="str">
        <x:f>'Calibration Records'!M1892</x:f>
        <x:v>OPEN</x:v>
      </x:c>
    </x:row>
    <x:row r="5336">
      <x:c r="B5336" s="7" t="str">
        <x:v>AG-05330</x:v>
      </x:c>
      <x:c r="C5336" s="7" t="str">
        <x:v>PEA-C-X2</x:v>
      </x:c>
      <x:c r="D5336" s="7" t="str">
        <x:v>factory calibration</x:v>
      </x:c>
      <x:c r="E5336" s="7" t="str">
        <x:v>CAL-CH-PEA-C-X2-03-3</x:v>
      </x:c>
      <x:c r="F5336" s="7" t="str">
        <x:f>'Calibration Records'!M1893</x:f>
        <x:v>OPEN</x:v>
      </x:c>
    </x:row>
    <x:row r="5337">
      <x:c r="B5337" s="7" t="str">
        <x:v>AG-05331</x:v>
      </x:c>
      <x:c r="C5337" s="7" t="str">
        <x:v>PEA-C-X2</x:v>
      </x:c>
      <x:c r="D5337" s="7" t="str">
        <x:v>factory calibration</x:v>
      </x:c>
      <x:c r="E5337" s="7" t="str">
        <x:v>CAL-CH-PEA-C-X2-03-4</x:v>
      </x:c>
      <x:c r="F5337" s="7" t="str">
        <x:f>'Calibration Records'!M1894</x:f>
        <x:v>OPEN</x:v>
      </x:c>
    </x:row>
    <x:row r="5338">
      <x:c r="B5338" s="7" t="str">
        <x:v>AG-05332</x:v>
      </x:c>
      <x:c r="C5338" s="7" t="str">
        <x:v>PEA-C-X2</x:v>
      </x:c>
      <x:c r="D5338" s="7" t="str">
        <x:v>factory calibration</x:v>
      </x:c>
      <x:c r="E5338" s="7" t="str">
        <x:v>CAL-CH-PEA-C-X2-03-5</x:v>
      </x:c>
      <x:c r="F5338" s="7" t="str">
        <x:f>'Calibration Records'!M1895</x:f>
        <x:v>OPEN</x:v>
      </x:c>
    </x:row>
    <x:row r="5339">
      <x:c r="B5339" s="7" t="str">
        <x:v>AG-05333</x:v>
      </x:c>
      <x:c r="C5339" s="7" t="str">
        <x:v>PEA-C-X2</x:v>
      </x:c>
      <x:c r="D5339" s="7" t="str">
        <x:v>factory calibration</x:v>
      </x:c>
      <x:c r="E5339" s="7" t="str">
        <x:v>CAL-CH-PEA-C-X2-03-6</x:v>
      </x:c>
      <x:c r="F5339" s="7" t="str">
        <x:f>'Calibration Records'!M1896</x:f>
        <x:v>OPEN</x:v>
      </x:c>
    </x:row>
    <x:row r="5340">
      <x:c r="B5340" s="7" t="str">
        <x:v>AG-05334</x:v>
      </x:c>
      <x:c r="C5340" s="7" t="str">
        <x:v>PEA-C-X2</x:v>
      </x:c>
      <x:c r="D5340" s="7" t="str">
        <x:v>factory calibration</x:v>
      </x:c>
      <x:c r="E5340" s="7" t="str">
        <x:v>CAL-CH-PEA-C-X2-04-1</x:v>
      </x:c>
      <x:c r="F5340" s="7" t="str">
        <x:f>'Calibration Records'!M1897</x:f>
        <x:v>OPEN</x:v>
      </x:c>
    </x:row>
    <x:row r="5341">
      <x:c r="B5341" s="7" t="str">
        <x:v>AG-05335</x:v>
      </x:c>
      <x:c r="C5341" s="7" t="str">
        <x:v>PEA-C-X2</x:v>
      </x:c>
      <x:c r="D5341" s="7" t="str">
        <x:v>factory calibration</x:v>
      </x:c>
      <x:c r="E5341" s="7" t="str">
        <x:v>CAL-CH-PEA-C-X2-04-2</x:v>
      </x:c>
      <x:c r="F5341" s="7" t="str">
        <x:f>'Calibration Records'!M1898</x:f>
        <x:v>OPEN</x:v>
      </x:c>
    </x:row>
    <x:row r="5342">
      <x:c r="B5342" s="7" t="str">
        <x:v>AG-05336</x:v>
      </x:c>
      <x:c r="C5342" s="7" t="str">
        <x:v>PEA-C-X2</x:v>
      </x:c>
      <x:c r="D5342" s="7" t="str">
        <x:v>factory calibration</x:v>
      </x:c>
      <x:c r="E5342" s="7" t="str">
        <x:v>CAL-CH-PEA-C-X2-04-3</x:v>
      </x:c>
      <x:c r="F5342" s="7" t="str">
        <x:f>'Calibration Records'!M1899</x:f>
        <x:v>OPEN</x:v>
      </x:c>
    </x:row>
    <x:row r="5343">
      <x:c r="B5343" s="7" t="str">
        <x:v>AG-05337</x:v>
      </x:c>
      <x:c r="C5343" s="7" t="str">
        <x:v>PEA-C-X2</x:v>
      </x:c>
      <x:c r="D5343" s="7" t="str">
        <x:v>factory calibration</x:v>
      </x:c>
      <x:c r="E5343" s="7" t="str">
        <x:v>CAL-CH-PEA-C-X2-04-4</x:v>
      </x:c>
      <x:c r="F5343" s="7" t="str">
        <x:f>'Calibration Records'!M1900</x:f>
        <x:v>OPEN</x:v>
      </x:c>
    </x:row>
    <x:row r="5344">
      <x:c r="B5344" s="7" t="str">
        <x:v>AG-05338</x:v>
      </x:c>
      <x:c r="C5344" s="7" t="str">
        <x:v>PEA-C-X2</x:v>
      </x:c>
      <x:c r="D5344" s="7" t="str">
        <x:v>factory calibration</x:v>
      </x:c>
      <x:c r="E5344" s="7" t="str">
        <x:v>CAL-CH-PEA-C-X2-04-5</x:v>
      </x:c>
      <x:c r="F5344" s="7" t="str">
        <x:f>'Calibration Records'!M1901</x:f>
        <x:v>OPEN</x:v>
      </x:c>
    </x:row>
    <x:row r="5345">
      <x:c r="B5345" s="7" t="str">
        <x:v>AG-05339</x:v>
      </x:c>
      <x:c r="C5345" s="7" t="str">
        <x:v>PEA-C-X2</x:v>
      </x:c>
      <x:c r="D5345" s="7" t="str">
        <x:v>factory calibration</x:v>
      </x:c>
      <x:c r="E5345" s="7" t="str">
        <x:v>CAL-CH-PEA-C-X2-04-6</x:v>
      </x:c>
      <x:c r="F5345" s="7" t="str">
        <x:f>'Calibration Records'!M1902</x:f>
        <x:v>OPEN</x:v>
      </x:c>
    </x:row>
    <x:row r="5346">
      <x:c r="B5346" s="7" t="str">
        <x:v>AG-05340</x:v>
      </x:c>
      <x:c r="C5346" s="7" t="str">
        <x:v>PEA-C-X2</x:v>
      </x:c>
      <x:c r="D5346" s="7" t="str">
        <x:v>factory calibration</x:v>
      </x:c>
      <x:c r="E5346" s="7" t="str">
        <x:v>CAL-CH-PEA-C-X2-05-1</x:v>
      </x:c>
      <x:c r="F5346" s="7" t="str">
        <x:f>'Calibration Records'!M1903</x:f>
        <x:v>OPEN</x:v>
      </x:c>
    </x:row>
    <x:row r="5347">
      <x:c r="B5347" s="7" t="str">
        <x:v>AG-05341</x:v>
      </x:c>
      <x:c r="C5347" s="7" t="str">
        <x:v>PEA-C-X2</x:v>
      </x:c>
      <x:c r="D5347" s="7" t="str">
        <x:v>factory calibration</x:v>
      </x:c>
      <x:c r="E5347" s="7" t="str">
        <x:v>CAL-CH-PEA-C-X2-05-2</x:v>
      </x:c>
      <x:c r="F5347" s="7" t="str">
        <x:f>'Calibration Records'!M1904</x:f>
        <x:v>OPEN</x:v>
      </x:c>
    </x:row>
    <x:row r="5348">
      <x:c r="B5348" s="7" t="str">
        <x:v>AG-05342</x:v>
      </x:c>
      <x:c r="C5348" s="7" t="str">
        <x:v>PEA-C-X2</x:v>
      </x:c>
      <x:c r="D5348" s="7" t="str">
        <x:v>factory calibration</x:v>
      </x:c>
      <x:c r="E5348" s="7" t="str">
        <x:v>CAL-CH-PEA-C-X2-05-3</x:v>
      </x:c>
      <x:c r="F5348" s="7" t="str">
        <x:f>'Calibration Records'!M1905</x:f>
        <x:v>OPEN</x:v>
      </x:c>
    </x:row>
    <x:row r="5349">
      <x:c r="B5349" s="7" t="str">
        <x:v>AG-05343</x:v>
      </x:c>
      <x:c r="C5349" s="7" t="str">
        <x:v>PEA-C-X2</x:v>
      </x:c>
      <x:c r="D5349" s="7" t="str">
        <x:v>factory calibration</x:v>
      </x:c>
      <x:c r="E5349" s="7" t="str">
        <x:v>CAL-CH-PEA-C-X2-05-4</x:v>
      </x:c>
      <x:c r="F5349" s="7" t="str">
        <x:f>'Calibration Records'!M1906</x:f>
        <x:v>OPEN</x:v>
      </x:c>
    </x:row>
    <x:row r="5350">
      <x:c r="B5350" s="7" t="str">
        <x:v>AG-05344</x:v>
      </x:c>
      <x:c r="C5350" s="7" t="str">
        <x:v>PEA-C-X2</x:v>
      </x:c>
      <x:c r="D5350" s="7" t="str">
        <x:v>factory calibration</x:v>
      </x:c>
      <x:c r="E5350" s="7" t="str">
        <x:v>CAL-CH-PEA-C-X2-05-5</x:v>
      </x:c>
      <x:c r="F5350" s="7" t="str">
        <x:f>'Calibration Records'!M1907</x:f>
        <x:v>OPEN</x:v>
      </x:c>
    </x:row>
    <x:row r="5351">
      <x:c r="B5351" s="7" t="str">
        <x:v>AG-05345</x:v>
      </x:c>
      <x:c r="C5351" s="7" t="str">
        <x:v>PEA-C-X2</x:v>
      </x:c>
      <x:c r="D5351" s="7" t="str">
        <x:v>factory calibration</x:v>
      </x:c>
      <x:c r="E5351" s="7" t="str">
        <x:v>CAL-CH-PEA-C-X2-05-6</x:v>
      </x:c>
      <x:c r="F5351" s="7" t="str">
        <x:f>'Calibration Records'!M1908</x:f>
        <x:v>OPEN</x:v>
      </x:c>
    </x:row>
    <x:row r="5352">
      <x:c r="B5352" s="7" t="str">
        <x:v>AG-05346</x:v>
      </x:c>
      <x:c r="C5352" s="7" t="str">
        <x:v>PEA-C-X2</x:v>
      </x:c>
      <x:c r="D5352" s="7" t="str">
        <x:v>factory calibration</x:v>
      </x:c>
      <x:c r="E5352" s="7" t="str">
        <x:v>CAL-CH-PEA-C-X2-06-1</x:v>
      </x:c>
      <x:c r="F5352" s="7" t="str">
        <x:f>'Calibration Records'!M1909</x:f>
        <x:v>OPEN</x:v>
      </x:c>
    </x:row>
    <x:row r="5353">
      <x:c r="B5353" s="7" t="str">
        <x:v>AG-05347</x:v>
      </x:c>
      <x:c r="C5353" s="7" t="str">
        <x:v>PEA-C-X2</x:v>
      </x:c>
      <x:c r="D5353" s="7" t="str">
        <x:v>factory calibration</x:v>
      </x:c>
      <x:c r="E5353" s="7" t="str">
        <x:v>CAL-CH-PEA-C-X2-06-2</x:v>
      </x:c>
      <x:c r="F5353" s="7" t="str">
        <x:f>'Calibration Records'!M1910</x:f>
        <x:v>OPEN</x:v>
      </x:c>
    </x:row>
    <x:row r="5354">
      <x:c r="B5354" s="7" t="str">
        <x:v>AG-05348</x:v>
      </x:c>
      <x:c r="C5354" s="7" t="str">
        <x:v>PEA-C-X2</x:v>
      </x:c>
      <x:c r="D5354" s="7" t="str">
        <x:v>factory calibration</x:v>
      </x:c>
      <x:c r="E5354" s="7" t="str">
        <x:v>CAL-CH-PEA-C-X2-06-3</x:v>
      </x:c>
      <x:c r="F5354" s="7" t="str">
        <x:f>'Calibration Records'!M1911</x:f>
        <x:v>OPEN</x:v>
      </x:c>
    </x:row>
    <x:row r="5355">
      <x:c r="B5355" s="7" t="str">
        <x:v>AG-05349</x:v>
      </x:c>
      <x:c r="C5355" s="7" t="str">
        <x:v>PEA-C-X2</x:v>
      </x:c>
      <x:c r="D5355" s="7" t="str">
        <x:v>factory calibration</x:v>
      </x:c>
      <x:c r="E5355" s="7" t="str">
        <x:v>CAL-CH-PEA-C-X2-06-4</x:v>
      </x:c>
      <x:c r="F5355" s="7" t="str">
        <x:f>'Calibration Records'!M1912</x:f>
        <x:v>OPEN</x:v>
      </x:c>
    </x:row>
    <x:row r="5356">
      <x:c r="B5356" s="7" t="str">
        <x:v>AG-05350</x:v>
      </x:c>
      <x:c r="C5356" s="7" t="str">
        <x:v>PEA-C-X2</x:v>
      </x:c>
      <x:c r="D5356" s="7" t="str">
        <x:v>factory calibration</x:v>
      </x:c>
      <x:c r="E5356" s="7" t="str">
        <x:v>CAL-CH-PEA-C-X2-06-5</x:v>
      </x:c>
      <x:c r="F5356" s="7" t="str">
        <x:f>'Calibration Records'!M1913</x:f>
        <x:v>OPEN</x:v>
      </x:c>
    </x:row>
    <x:row r="5357">
      <x:c r="B5357" s="7" t="str">
        <x:v>AG-05351</x:v>
      </x:c>
      <x:c r="C5357" s="7" t="str">
        <x:v>PEA-C-X2</x:v>
      </x:c>
      <x:c r="D5357" s="7" t="str">
        <x:v>factory calibration</x:v>
      </x:c>
      <x:c r="E5357" s="7" t="str">
        <x:v>CAL-CH-PEA-C-X2-06-6</x:v>
      </x:c>
      <x:c r="F5357" s="7" t="str">
        <x:f>'Calibration Records'!M1914</x:f>
        <x:v>OPEN</x:v>
      </x:c>
    </x:row>
    <x:row r="5358">
      <x:c r="B5358" s="7" t="str">
        <x:v>AG-05352</x:v>
      </x:c>
      <x:c r="C5358" s="7" t="str">
        <x:v>PEA-C-X2</x:v>
      </x:c>
      <x:c r="D5358" s="7" t="str">
        <x:v>factory calibration</x:v>
      </x:c>
      <x:c r="E5358" s="7" t="str">
        <x:v>CAL-CH-PEA-C-X2-07-1</x:v>
      </x:c>
      <x:c r="F5358" s="7" t="str">
        <x:f>'Calibration Records'!M1915</x:f>
        <x:v>OPEN</x:v>
      </x:c>
    </x:row>
    <x:row r="5359">
      <x:c r="B5359" s="7" t="str">
        <x:v>AG-05353</x:v>
      </x:c>
      <x:c r="C5359" s="7" t="str">
        <x:v>PEA-C-X2</x:v>
      </x:c>
      <x:c r="D5359" s="7" t="str">
        <x:v>factory calibration</x:v>
      </x:c>
      <x:c r="E5359" s="7" t="str">
        <x:v>CAL-CH-PEA-C-X2-07-2</x:v>
      </x:c>
      <x:c r="F5359" s="7" t="str">
        <x:f>'Calibration Records'!M1916</x:f>
        <x:v>OPEN</x:v>
      </x:c>
    </x:row>
    <x:row r="5360">
      <x:c r="B5360" s="7" t="str">
        <x:v>AG-05354</x:v>
      </x:c>
      <x:c r="C5360" s="7" t="str">
        <x:v>PEA-C-X2</x:v>
      </x:c>
      <x:c r="D5360" s="7" t="str">
        <x:v>factory calibration</x:v>
      </x:c>
      <x:c r="E5360" s="7" t="str">
        <x:v>CAL-CH-PEA-C-X2-07-3</x:v>
      </x:c>
      <x:c r="F5360" s="7" t="str">
        <x:f>'Calibration Records'!M1917</x:f>
        <x:v>OPEN</x:v>
      </x:c>
    </x:row>
    <x:row r="5361">
      <x:c r="B5361" s="7" t="str">
        <x:v>AG-05355</x:v>
      </x:c>
      <x:c r="C5361" s="7" t="str">
        <x:v>PEA-C-X2</x:v>
      </x:c>
      <x:c r="D5361" s="7" t="str">
        <x:v>factory calibration</x:v>
      </x:c>
      <x:c r="E5361" s="7" t="str">
        <x:v>CAL-CH-PEA-C-X2-07-4</x:v>
      </x:c>
      <x:c r="F5361" s="7" t="str">
        <x:f>'Calibration Records'!M1918</x:f>
        <x:v>OPEN</x:v>
      </x:c>
    </x:row>
    <x:row r="5362">
      <x:c r="B5362" s="7" t="str">
        <x:v>AG-05356</x:v>
      </x:c>
      <x:c r="C5362" s="7" t="str">
        <x:v>PEA-C-X2</x:v>
      </x:c>
      <x:c r="D5362" s="7" t="str">
        <x:v>factory calibration</x:v>
      </x:c>
      <x:c r="E5362" s="7" t="str">
        <x:v>CAL-CH-PEA-C-X2-07-5</x:v>
      </x:c>
      <x:c r="F5362" s="7" t="str">
        <x:f>'Calibration Records'!M1919</x:f>
        <x:v>OPEN</x:v>
      </x:c>
    </x:row>
    <x:row r="5363">
      <x:c r="B5363" s="7" t="str">
        <x:v>AG-05357</x:v>
      </x:c>
      <x:c r="C5363" s="7" t="str">
        <x:v>PEA-C-X2</x:v>
      </x:c>
      <x:c r="D5363" s="7" t="str">
        <x:v>factory calibration</x:v>
      </x:c>
      <x:c r="E5363" s="7" t="str">
        <x:v>CAL-CH-PEA-C-X2-07-6</x:v>
      </x:c>
      <x:c r="F5363" s="7" t="str">
        <x:f>'Calibration Records'!M1920</x:f>
        <x:v>OPEN</x:v>
      </x:c>
    </x:row>
    <x:row r="5364">
      <x:c r="B5364" s="7" t="str">
        <x:v>AG-05358</x:v>
      </x:c>
      <x:c r="C5364" s="7" t="str">
        <x:v>PEA-C-X2</x:v>
      </x:c>
      <x:c r="D5364" s="7" t="str">
        <x:v>factory calibration</x:v>
      </x:c>
      <x:c r="E5364" s="7" t="str">
        <x:v>CAL-CH-PEA-C-X2-08-1</x:v>
      </x:c>
      <x:c r="F5364" s="7" t="str">
        <x:f>'Calibration Records'!M1921</x:f>
        <x:v>OPEN</x:v>
      </x:c>
    </x:row>
    <x:row r="5365">
      <x:c r="B5365" s="7" t="str">
        <x:v>AG-05359</x:v>
      </x:c>
      <x:c r="C5365" s="7" t="str">
        <x:v>PEA-C-X2</x:v>
      </x:c>
      <x:c r="D5365" s="7" t="str">
        <x:v>factory calibration</x:v>
      </x:c>
      <x:c r="E5365" s="7" t="str">
        <x:v>CAL-CH-PEA-C-X2-08-2</x:v>
      </x:c>
      <x:c r="F5365" s="7" t="str">
        <x:f>'Calibration Records'!M1922</x:f>
        <x:v>OPEN</x:v>
      </x:c>
    </x:row>
    <x:row r="5366">
      <x:c r="B5366" s="7" t="str">
        <x:v>AG-05360</x:v>
      </x:c>
      <x:c r="C5366" s="7" t="str">
        <x:v>PEA-C-X2</x:v>
      </x:c>
      <x:c r="D5366" s="7" t="str">
        <x:v>factory calibration</x:v>
      </x:c>
      <x:c r="E5366" s="7" t="str">
        <x:v>CAL-CH-PEA-C-X2-08-3</x:v>
      </x:c>
      <x:c r="F5366" s="7" t="str">
        <x:f>'Calibration Records'!M1923</x:f>
        <x:v>OPEN</x:v>
      </x:c>
    </x:row>
    <x:row r="5367">
      <x:c r="B5367" s="7" t="str">
        <x:v>AG-05361</x:v>
      </x:c>
      <x:c r="C5367" s="7" t="str">
        <x:v>PEA-C-X2</x:v>
      </x:c>
      <x:c r="D5367" s="7" t="str">
        <x:v>factory calibration</x:v>
      </x:c>
      <x:c r="E5367" s="7" t="str">
        <x:v>CAL-CH-PEA-C-X2-08-4</x:v>
      </x:c>
      <x:c r="F5367" s="7" t="str">
        <x:f>'Calibration Records'!M1924</x:f>
        <x:v>OPEN</x:v>
      </x:c>
    </x:row>
    <x:row r="5368">
      <x:c r="B5368" s="7" t="str">
        <x:v>AG-05362</x:v>
      </x:c>
      <x:c r="C5368" s="7" t="str">
        <x:v>PEA-C-X2</x:v>
      </x:c>
      <x:c r="D5368" s="7" t="str">
        <x:v>factory calibration</x:v>
      </x:c>
      <x:c r="E5368" s="7" t="str">
        <x:v>CAL-CH-PEA-C-X2-08-5</x:v>
      </x:c>
      <x:c r="F5368" s="7" t="str">
        <x:f>'Calibration Records'!M1925</x:f>
        <x:v>OPEN</x:v>
      </x:c>
    </x:row>
    <x:row r="5369">
      <x:c r="B5369" s="7" t="str">
        <x:v>AG-05363</x:v>
      </x:c>
      <x:c r="C5369" s="7" t="str">
        <x:v>PEA-C-X2</x:v>
      </x:c>
      <x:c r="D5369" s="7" t="str">
        <x:v>factory calibration</x:v>
      </x:c>
      <x:c r="E5369" s="7" t="str">
        <x:v>CAL-CH-PEA-C-X2-08-6</x:v>
      </x:c>
      <x:c r="F5369" s="7" t="str">
        <x:f>'Calibration Records'!M1926</x:f>
        <x:v>OPEN</x:v>
      </x:c>
    </x:row>
    <x:row r="5370">
      <x:c r="B5370" s="7" t="str">
        <x:v>AG-05364</x:v>
      </x:c>
      <x:c r="C5370" s="7" t="str">
        <x:v>PEA-C-X2</x:v>
      </x:c>
      <x:c r="D5370" s="7" t="str">
        <x:v>factory calibration</x:v>
      </x:c>
      <x:c r="E5370" s="7" t="str">
        <x:v>CAL-CH-PEA-C-X2-09-1</x:v>
      </x:c>
      <x:c r="F5370" s="7" t="str">
        <x:f>'Calibration Records'!M1927</x:f>
        <x:v>OPEN</x:v>
      </x:c>
    </x:row>
    <x:row r="5371">
      <x:c r="B5371" s="7" t="str">
        <x:v>AG-05365</x:v>
      </x:c>
      <x:c r="C5371" s="7" t="str">
        <x:v>PEA-C-X2</x:v>
      </x:c>
      <x:c r="D5371" s="7" t="str">
        <x:v>factory calibration</x:v>
      </x:c>
      <x:c r="E5371" s="7" t="str">
        <x:v>CAL-CH-PEA-C-X2-09-2</x:v>
      </x:c>
      <x:c r="F5371" s="7" t="str">
        <x:f>'Calibration Records'!M1928</x:f>
        <x:v>OPEN</x:v>
      </x:c>
    </x:row>
    <x:row r="5372">
      <x:c r="B5372" s="7" t="str">
        <x:v>AG-05366</x:v>
      </x:c>
      <x:c r="C5372" s="7" t="str">
        <x:v>PEA-C-X2</x:v>
      </x:c>
      <x:c r="D5372" s="7" t="str">
        <x:v>factory calibration</x:v>
      </x:c>
      <x:c r="E5372" s="7" t="str">
        <x:v>CAL-CH-PEA-C-X2-09-3</x:v>
      </x:c>
      <x:c r="F5372" s="7" t="str">
        <x:f>'Calibration Records'!M1929</x:f>
        <x:v>OPEN</x:v>
      </x:c>
    </x:row>
    <x:row r="5373">
      <x:c r="B5373" s="7" t="str">
        <x:v>AG-05367</x:v>
      </x:c>
      <x:c r="C5373" s="7" t="str">
        <x:v>PEA-C-X2</x:v>
      </x:c>
      <x:c r="D5373" s="7" t="str">
        <x:v>factory calibration</x:v>
      </x:c>
      <x:c r="E5373" s="7" t="str">
        <x:v>CAL-CH-PEA-C-X2-09-4</x:v>
      </x:c>
      <x:c r="F5373" s="7" t="str">
        <x:f>'Calibration Records'!M1930</x:f>
        <x:v>OPEN</x:v>
      </x:c>
    </x:row>
    <x:row r="5374">
      <x:c r="B5374" s="7" t="str">
        <x:v>AG-05368</x:v>
      </x:c>
      <x:c r="C5374" s="7" t="str">
        <x:v>PEA-C-X2</x:v>
      </x:c>
      <x:c r="D5374" s="7" t="str">
        <x:v>factory calibration</x:v>
      </x:c>
      <x:c r="E5374" s="7" t="str">
        <x:v>CAL-CH-PEA-C-X2-09-5</x:v>
      </x:c>
      <x:c r="F5374" s="7" t="str">
        <x:f>'Calibration Records'!M1931</x:f>
        <x:v>OPEN</x:v>
      </x:c>
    </x:row>
    <x:row r="5375">
      <x:c r="B5375" s="7" t="str">
        <x:v>AG-05369</x:v>
      </x:c>
      <x:c r="C5375" s="7" t="str">
        <x:v>PEA-C-X2</x:v>
      </x:c>
      <x:c r="D5375" s="7" t="str">
        <x:v>factory calibration</x:v>
      </x:c>
      <x:c r="E5375" s="7" t="str">
        <x:v>CAL-CH-PEA-C-X2-09-6</x:v>
      </x:c>
      <x:c r="F5375" s="7" t="str">
        <x:f>'Calibration Records'!M1932</x:f>
        <x:v>OPEN</x:v>
      </x:c>
    </x:row>
    <x:row r="5376">
      <x:c r="B5376" s="7" t="str">
        <x:v>AG-05370</x:v>
      </x:c>
      <x:c r="C5376" s="7" t="str">
        <x:v>PEA-C-X2</x:v>
      </x:c>
      <x:c r="D5376" s="7" t="str">
        <x:v>factory calibration</x:v>
      </x:c>
      <x:c r="E5376" s="7" t="str">
        <x:v>CAL-CH-PEA-C-X2-10-1</x:v>
      </x:c>
      <x:c r="F5376" s="7" t="str">
        <x:f>'Calibration Records'!M1933</x:f>
        <x:v>OPEN</x:v>
      </x:c>
    </x:row>
    <x:row r="5377">
      <x:c r="B5377" s="7" t="str">
        <x:v>AG-05371</x:v>
      </x:c>
      <x:c r="C5377" s="7" t="str">
        <x:v>PEA-C-X2</x:v>
      </x:c>
      <x:c r="D5377" s="7" t="str">
        <x:v>factory calibration</x:v>
      </x:c>
      <x:c r="E5377" s="7" t="str">
        <x:v>CAL-CH-PEA-C-X2-10-2</x:v>
      </x:c>
      <x:c r="F5377" s="7" t="str">
        <x:f>'Calibration Records'!M1934</x:f>
        <x:v>OPEN</x:v>
      </x:c>
    </x:row>
    <x:row r="5378">
      <x:c r="B5378" s="7" t="str">
        <x:v>AG-05372</x:v>
      </x:c>
      <x:c r="C5378" s="7" t="str">
        <x:v>PEA-C-X2</x:v>
      </x:c>
      <x:c r="D5378" s="7" t="str">
        <x:v>factory calibration</x:v>
      </x:c>
      <x:c r="E5378" s="7" t="str">
        <x:v>CAL-CH-PEA-C-X2-10-3</x:v>
      </x:c>
      <x:c r="F5378" s="7" t="str">
        <x:f>'Calibration Records'!M1935</x:f>
        <x:v>OPEN</x:v>
      </x:c>
    </x:row>
    <x:row r="5379">
      <x:c r="B5379" s="7" t="str">
        <x:v>AG-05373</x:v>
      </x:c>
      <x:c r="C5379" s="7" t="str">
        <x:v>PEA-C-X2</x:v>
      </x:c>
      <x:c r="D5379" s="7" t="str">
        <x:v>factory calibration</x:v>
      </x:c>
      <x:c r="E5379" s="7" t="str">
        <x:v>CAL-CH-PEA-C-X2-10-4</x:v>
      </x:c>
      <x:c r="F5379" s="7" t="str">
        <x:f>'Calibration Records'!M1936</x:f>
        <x:v>OPEN</x:v>
      </x:c>
    </x:row>
    <x:row r="5380">
      <x:c r="B5380" s="7" t="str">
        <x:v>AG-05374</x:v>
      </x:c>
      <x:c r="C5380" s="7" t="str">
        <x:v>PEA-C-X2</x:v>
      </x:c>
      <x:c r="D5380" s="7" t="str">
        <x:v>factory calibration</x:v>
      </x:c>
      <x:c r="E5380" s="7" t="str">
        <x:v>CAL-CH-PEA-C-X2-10-5</x:v>
      </x:c>
      <x:c r="F5380" s="7" t="str">
        <x:f>'Calibration Records'!M1937</x:f>
        <x:v>OPEN</x:v>
      </x:c>
    </x:row>
    <x:row r="5381">
      <x:c r="B5381" s="7" t="str">
        <x:v>AG-05375</x:v>
      </x:c>
      <x:c r="C5381" s="7" t="str">
        <x:v>PEA-C-X2</x:v>
      </x:c>
      <x:c r="D5381" s="7" t="str">
        <x:v>factory calibration</x:v>
      </x:c>
      <x:c r="E5381" s="7" t="str">
        <x:v>CAL-CH-PEA-C-X2-10-6</x:v>
      </x:c>
      <x:c r="F5381" s="7" t="str">
        <x:f>'Calibration Records'!M1938</x:f>
        <x:v>OPEN</x:v>
      </x:c>
    </x:row>
    <x:row r="5382">
      <x:c r="B5382" s="7" t="str">
        <x:v>AG-05376</x:v>
      </x:c>
      <x:c r="C5382" s="7" t="str">
        <x:v>PEA-C-X2</x:v>
      </x:c>
      <x:c r="D5382" s="7" t="str">
        <x:v>factory calibration</x:v>
      </x:c>
      <x:c r="E5382" s="7" t="str">
        <x:v>CAL-CH-PEA-C-X2-11-1</x:v>
      </x:c>
      <x:c r="F5382" s="7" t="str">
        <x:f>'Calibration Records'!M1939</x:f>
        <x:v>OPEN</x:v>
      </x:c>
    </x:row>
    <x:row r="5383">
      <x:c r="B5383" s="7" t="str">
        <x:v>AG-05377</x:v>
      </x:c>
      <x:c r="C5383" s="7" t="str">
        <x:v>PEA-C-X2</x:v>
      </x:c>
      <x:c r="D5383" s="7" t="str">
        <x:v>factory calibration</x:v>
      </x:c>
      <x:c r="E5383" s="7" t="str">
        <x:v>CAL-CH-PEA-C-X2-11-2</x:v>
      </x:c>
      <x:c r="F5383" s="7" t="str">
        <x:f>'Calibration Records'!M1940</x:f>
        <x:v>OPEN</x:v>
      </x:c>
    </x:row>
    <x:row r="5384">
      <x:c r="B5384" s="7" t="str">
        <x:v>AG-05378</x:v>
      </x:c>
      <x:c r="C5384" s="7" t="str">
        <x:v>PEA-C-X2</x:v>
      </x:c>
      <x:c r="D5384" s="7" t="str">
        <x:v>factory calibration</x:v>
      </x:c>
      <x:c r="E5384" s="7" t="str">
        <x:v>CAL-CH-PEA-C-X2-11-3</x:v>
      </x:c>
      <x:c r="F5384" s="7" t="str">
        <x:f>'Calibration Records'!M1941</x:f>
        <x:v>OPEN</x:v>
      </x:c>
    </x:row>
    <x:row r="5385">
      <x:c r="B5385" s="7" t="str">
        <x:v>AG-05379</x:v>
      </x:c>
      <x:c r="C5385" s="7" t="str">
        <x:v>PEA-C-X2</x:v>
      </x:c>
      <x:c r="D5385" s="7" t="str">
        <x:v>factory calibration</x:v>
      </x:c>
      <x:c r="E5385" s="7" t="str">
        <x:v>CAL-CH-PEA-C-X2-11-4</x:v>
      </x:c>
      <x:c r="F5385" s="7" t="str">
        <x:f>'Calibration Records'!M1942</x:f>
        <x:v>OPEN</x:v>
      </x:c>
    </x:row>
    <x:row r="5386">
      <x:c r="B5386" s="7" t="str">
        <x:v>AG-05380</x:v>
      </x:c>
      <x:c r="C5386" s="7" t="str">
        <x:v>PEA-C-X2</x:v>
      </x:c>
      <x:c r="D5386" s="7" t="str">
        <x:v>factory calibration</x:v>
      </x:c>
      <x:c r="E5386" s="7" t="str">
        <x:v>CAL-CH-PEA-C-X2-11-5</x:v>
      </x:c>
      <x:c r="F5386" s="7" t="str">
        <x:f>'Calibration Records'!M1943</x:f>
        <x:v>OPEN</x:v>
      </x:c>
    </x:row>
    <x:row r="5387">
      <x:c r="B5387" s="7" t="str">
        <x:v>AG-05381</x:v>
      </x:c>
      <x:c r="C5387" s="7" t="str">
        <x:v>PEA-C-X2</x:v>
      </x:c>
      <x:c r="D5387" s="7" t="str">
        <x:v>factory calibration</x:v>
      </x:c>
      <x:c r="E5387" s="7" t="str">
        <x:v>CAL-CH-PEA-C-X2-11-6</x:v>
      </x:c>
      <x:c r="F5387" s="7" t="str">
        <x:f>'Calibration Records'!M1944</x:f>
        <x:v>OPEN</x:v>
      </x:c>
    </x:row>
    <x:row r="5388">
      <x:c r="B5388" s="7" t="str">
        <x:v>AG-05382</x:v>
      </x:c>
      <x:c r="C5388" s="7" t="str">
        <x:v>PEA-C-X2</x:v>
      </x:c>
      <x:c r="D5388" s="7" t="str">
        <x:v>factory calibration</x:v>
      </x:c>
      <x:c r="E5388" s="7" t="str">
        <x:v>CAL-CH-PEA-C-X2-12-1</x:v>
      </x:c>
      <x:c r="F5388" s="7" t="str">
        <x:f>'Calibration Records'!M1945</x:f>
        <x:v>OPEN</x:v>
      </x:c>
    </x:row>
    <x:row r="5389">
      <x:c r="B5389" s="7" t="str">
        <x:v>AG-05383</x:v>
      </x:c>
      <x:c r="C5389" s="7" t="str">
        <x:v>PEA-C-X2</x:v>
      </x:c>
      <x:c r="D5389" s="7" t="str">
        <x:v>factory calibration</x:v>
      </x:c>
      <x:c r="E5389" s="7" t="str">
        <x:v>CAL-CH-PEA-C-X2-12-2</x:v>
      </x:c>
      <x:c r="F5389" s="7" t="str">
        <x:f>'Calibration Records'!M1946</x:f>
        <x:v>OPEN</x:v>
      </x:c>
    </x:row>
    <x:row r="5390">
      <x:c r="B5390" s="7" t="str">
        <x:v>AG-05384</x:v>
      </x:c>
      <x:c r="C5390" s="7" t="str">
        <x:v>PEA-C-X2</x:v>
      </x:c>
      <x:c r="D5390" s="7" t="str">
        <x:v>factory calibration</x:v>
      </x:c>
      <x:c r="E5390" s="7" t="str">
        <x:v>CAL-CH-PEA-C-X2-12-3</x:v>
      </x:c>
      <x:c r="F5390" s="7" t="str">
        <x:f>'Calibration Records'!M1947</x:f>
        <x:v>OPEN</x:v>
      </x:c>
    </x:row>
    <x:row r="5391">
      <x:c r="B5391" s="7" t="str">
        <x:v>AG-05385</x:v>
      </x:c>
      <x:c r="C5391" s="7" t="str">
        <x:v>PEA-C-X2</x:v>
      </x:c>
      <x:c r="D5391" s="7" t="str">
        <x:v>factory calibration</x:v>
      </x:c>
      <x:c r="E5391" s="7" t="str">
        <x:v>CAL-CH-PEA-C-X2-12-4</x:v>
      </x:c>
      <x:c r="F5391" s="7" t="str">
        <x:f>'Calibration Records'!M1948</x:f>
        <x:v>OPEN</x:v>
      </x:c>
    </x:row>
    <x:row r="5392">
      <x:c r="B5392" s="7" t="str">
        <x:v>AG-05386</x:v>
      </x:c>
      <x:c r="C5392" s="7" t="str">
        <x:v>PEA-C-X2</x:v>
      </x:c>
      <x:c r="D5392" s="7" t="str">
        <x:v>factory calibration</x:v>
      </x:c>
      <x:c r="E5392" s="7" t="str">
        <x:v>CAL-CH-PEA-C-X2-12-5</x:v>
      </x:c>
      <x:c r="F5392" s="7" t="str">
        <x:f>'Calibration Records'!M1949</x:f>
        <x:v>OPEN</x:v>
      </x:c>
    </x:row>
    <x:row r="5393">
      <x:c r="B5393" s="7" t="str">
        <x:v>AG-05387</x:v>
      </x:c>
      <x:c r="C5393" s="7" t="str">
        <x:v>PEA-C-X2</x:v>
      </x:c>
      <x:c r="D5393" s="7" t="str">
        <x:v>factory calibration</x:v>
      </x:c>
      <x:c r="E5393" s="7" t="str">
        <x:v>CAL-CH-PEA-C-X2-12-6</x:v>
      </x:c>
      <x:c r="F5393" s="7" t="str">
        <x:f>'Calibration Records'!M1950</x:f>
        <x:v>OPEN</x:v>
      </x:c>
    </x:row>
    <x:row r="5394">
      <x:c r="B5394" s="7" t="str">
        <x:v>AG-05388</x:v>
      </x:c>
      <x:c r="C5394" s="7" t="str">
        <x:v>PEA-C-X2</x:v>
      </x:c>
      <x:c r="D5394" s="7" t="str">
        <x:v>factory calibration</x:v>
      </x:c>
      <x:c r="E5394" s="7" t="str">
        <x:v>CAL-CH-PEA-C-X2-13-1</x:v>
      </x:c>
      <x:c r="F5394" s="7" t="str">
        <x:f>'Calibration Records'!M1951</x:f>
        <x:v>OPEN</x:v>
      </x:c>
    </x:row>
    <x:row r="5395">
      <x:c r="B5395" s="7" t="str">
        <x:v>AG-05389</x:v>
      </x:c>
      <x:c r="C5395" s="7" t="str">
        <x:v>PEA-C-X2</x:v>
      </x:c>
      <x:c r="D5395" s="7" t="str">
        <x:v>factory calibration</x:v>
      </x:c>
      <x:c r="E5395" s="7" t="str">
        <x:v>CAL-CH-PEA-C-X2-13-2</x:v>
      </x:c>
      <x:c r="F5395" s="7" t="str">
        <x:f>'Calibration Records'!M1952</x:f>
        <x:v>OPEN</x:v>
      </x:c>
    </x:row>
    <x:row r="5396">
      <x:c r="B5396" s="7" t="str">
        <x:v>AG-05390</x:v>
      </x:c>
      <x:c r="C5396" s="7" t="str">
        <x:v>PEA-C-X2</x:v>
      </x:c>
      <x:c r="D5396" s="7" t="str">
        <x:v>factory calibration</x:v>
      </x:c>
      <x:c r="E5396" s="7" t="str">
        <x:v>CAL-CH-PEA-C-X2-13-3</x:v>
      </x:c>
      <x:c r="F5396" s="7" t="str">
        <x:f>'Calibration Records'!M1953</x:f>
        <x:v>OPEN</x:v>
      </x:c>
    </x:row>
    <x:row r="5397">
      <x:c r="B5397" s="7" t="str">
        <x:v>AG-05391</x:v>
      </x:c>
      <x:c r="C5397" s="7" t="str">
        <x:v>PEA-C-X2</x:v>
      </x:c>
      <x:c r="D5397" s="7" t="str">
        <x:v>factory calibration</x:v>
      </x:c>
      <x:c r="E5397" s="7" t="str">
        <x:v>CAL-CH-PEA-C-X2-13-4</x:v>
      </x:c>
      <x:c r="F5397" s="7" t="str">
        <x:f>'Calibration Records'!M1954</x:f>
        <x:v>OPEN</x:v>
      </x:c>
    </x:row>
    <x:row r="5398">
      <x:c r="B5398" s="7" t="str">
        <x:v>AG-05392</x:v>
      </x:c>
      <x:c r="C5398" s="7" t="str">
        <x:v>PEA-C-X2</x:v>
      </x:c>
      <x:c r="D5398" s="7" t="str">
        <x:v>factory calibration</x:v>
      </x:c>
      <x:c r="E5398" s="7" t="str">
        <x:v>CAL-CH-PEA-C-X2-13-5</x:v>
      </x:c>
      <x:c r="F5398" s="7" t="str">
        <x:f>'Calibration Records'!M1955</x:f>
        <x:v>OPEN</x:v>
      </x:c>
    </x:row>
    <x:row r="5399">
      <x:c r="B5399" s="7" t="str">
        <x:v>AG-05393</x:v>
      </x:c>
      <x:c r="C5399" s="7" t="str">
        <x:v>PEA-C-X2</x:v>
      </x:c>
      <x:c r="D5399" s="7" t="str">
        <x:v>factory calibration</x:v>
      </x:c>
      <x:c r="E5399" s="7" t="str">
        <x:v>CAL-CH-PEA-C-X2-13-6</x:v>
      </x:c>
      <x:c r="F5399" s="7" t="str">
        <x:f>'Calibration Records'!M1956</x:f>
        <x:v>OPEN</x:v>
      </x:c>
    </x:row>
    <x:row r="5400">
      <x:c r="B5400" s="7" t="str">
        <x:v>AG-05394</x:v>
      </x:c>
      <x:c r="C5400" s="7" t="str">
        <x:v>PEA-C-X2</x:v>
      </x:c>
      <x:c r="D5400" s="7" t="str">
        <x:v>factory calibration</x:v>
      </x:c>
      <x:c r="E5400" s="7" t="str">
        <x:v>CAL-CH-PEA-C-X2-14-1</x:v>
      </x:c>
      <x:c r="F5400" s="7" t="str">
        <x:f>'Calibration Records'!M1957</x:f>
        <x:v>OPEN</x:v>
      </x:c>
    </x:row>
    <x:row r="5401">
      <x:c r="B5401" s="7" t="str">
        <x:v>AG-05395</x:v>
      </x:c>
      <x:c r="C5401" s="7" t="str">
        <x:v>PEA-C-X2</x:v>
      </x:c>
      <x:c r="D5401" s="7" t="str">
        <x:v>factory calibration</x:v>
      </x:c>
      <x:c r="E5401" s="7" t="str">
        <x:v>CAL-CH-PEA-C-X2-14-2</x:v>
      </x:c>
      <x:c r="F5401" s="7" t="str">
        <x:f>'Calibration Records'!M1958</x:f>
        <x:v>OPEN</x:v>
      </x:c>
    </x:row>
    <x:row r="5402">
      <x:c r="B5402" s="7" t="str">
        <x:v>AG-05396</x:v>
      </x:c>
      <x:c r="C5402" s="7" t="str">
        <x:v>PEA-C-X2</x:v>
      </x:c>
      <x:c r="D5402" s="7" t="str">
        <x:v>factory calibration</x:v>
      </x:c>
      <x:c r="E5402" s="7" t="str">
        <x:v>CAL-CH-PEA-C-X2-14-3</x:v>
      </x:c>
      <x:c r="F5402" s="7" t="str">
        <x:f>'Calibration Records'!M1959</x:f>
        <x:v>OPEN</x:v>
      </x:c>
    </x:row>
    <x:row r="5403">
      <x:c r="B5403" s="7" t="str">
        <x:v>AG-05397</x:v>
      </x:c>
      <x:c r="C5403" s="7" t="str">
        <x:v>PEA-C-X2</x:v>
      </x:c>
      <x:c r="D5403" s="7" t="str">
        <x:v>factory calibration</x:v>
      </x:c>
      <x:c r="E5403" s="7" t="str">
        <x:v>CAL-CH-PEA-C-X2-14-4</x:v>
      </x:c>
      <x:c r="F5403" s="7" t="str">
        <x:f>'Calibration Records'!M1960</x:f>
        <x:v>OPEN</x:v>
      </x:c>
    </x:row>
    <x:row r="5404">
      <x:c r="B5404" s="7" t="str">
        <x:v>AG-05398</x:v>
      </x:c>
      <x:c r="C5404" s="7" t="str">
        <x:v>PEA-C-X2</x:v>
      </x:c>
      <x:c r="D5404" s="7" t="str">
        <x:v>factory calibration</x:v>
      </x:c>
      <x:c r="E5404" s="7" t="str">
        <x:v>CAL-CH-PEA-C-X2-14-5</x:v>
      </x:c>
      <x:c r="F5404" s="7" t="str">
        <x:f>'Calibration Records'!M1961</x:f>
        <x:v>OPEN</x:v>
      </x:c>
    </x:row>
    <x:row r="5405">
      <x:c r="B5405" s="7" t="str">
        <x:v>AG-05399</x:v>
      </x:c>
      <x:c r="C5405" s="7" t="str">
        <x:v>PEA-C-X2</x:v>
      </x:c>
      <x:c r="D5405" s="7" t="str">
        <x:v>factory calibration</x:v>
      </x:c>
      <x:c r="E5405" s="7" t="str">
        <x:v>CAL-CH-PEA-C-X2-14-6</x:v>
      </x:c>
      <x:c r="F5405" s="7" t="str">
        <x:f>'Calibration Records'!M1962</x:f>
        <x:v>OPEN</x:v>
      </x:c>
    </x:row>
    <x:row r="5406">
      <x:c r="B5406" s="7" t="str">
        <x:v>AG-05400</x:v>
      </x:c>
      <x:c r="C5406" s="7" t="str">
        <x:v>PEA-C-X2</x:v>
      </x:c>
      <x:c r="D5406" s="7" t="str">
        <x:v>factory calibration</x:v>
      </x:c>
      <x:c r="E5406" s="7" t="str">
        <x:v>CAL-CH-PEA-C-X2-15-1</x:v>
      </x:c>
      <x:c r="F5406" s="7" t="str">
        <x:f>'Calibration Records'!M1963</x:f>
        <x:v>OPEN</x:v>
      </x:c>
    </x:row>
    <x:row r="5407">
      <x:c r="B5407" s="7" t="str">
        <x:v>AG-05401</x:v>
      </x:c>
      <x:c r="C5407" s="7" t="str">
        <x:v>PEA-C-X2</x:v>
      </x:c>
      <x:c r="D5407" s="7" t="str">
        <x:v>factory calibration</x:v>
      </x:c>
      <x:c r="E5407" s="7" t="str">
        <x:v>CAL-CH-PEA-C-X2-15-2</x:v>
      </x:c>
      <x:c r="F5407" s="7" t="str">
        <x:f>'Calibration Records'!M1964</x:f>
        <x:v>OPEN</x:v>
      </x:c>
    </x:row>
    <x:row r="5408">
      <x:c r="B5408" s="7" t="str">
        <x:v>AG-05402</x:v>
      </x:c>
      <x:c r="C5408" s="7" t="str">
        <x:v>PEA-C-X2</x:v>
      </x:c>
      <x:c r="D5408" s="7" t="str">
        <x:v>factory calibration</x:v>
      </x:c>
      <x:c r="E5408" s="7" t="str">
        <x:v>CAL-CH-PEA-C-X2-15-3</x:v>
      </x:c>
      <x:c r="F5408" s="7" t="str">
        <x:f>'Calibration Records'!M1965</x:f>
        <x:v>OPEN</x:v>
      </x:c>
    </x:row>
    <x:row r="5409">
      <x:c r="B5409" s="7" t="str">
        <x:v>AG-05403</x:v>
      </x:c>
      <x:c r="C5409" s="7" t="str">
        <x:v>PEA-C-X2</x:v>
      </x:c>
      <x:c r="D5409" s="7" t="str">
        <x:v>factory calibration</x:v>
      </x:c>
      <x:c r="E5409" s="7" t="str">
        <x:v>CAL-CH-PEA-C-X2-15-4</x:v>
      </x:c>
      <x:c r="F5409" s="7" t="str">
        <x:f>'Calibration Records'!M1966</x:f>
        <x:v>OPEN</x:v>
      </x:c>
    </x:row>
    <x:row r="5410">
      <x:c r="B5410" s="7" t="str">
        <x:v>AG-05404</x:v>
      </x:c>
      <x:c r="C5410" s="7" t="str">
        <x:v>PEA-C-X2</x:v>
      </x:c>
      <x:c r="D5410" s="7" t="str">
        <x:v>factory calibration</x:v>
      </x:c>
      <x:c r="E5410" s="7" t="str">
        <x:v>CAL-CH-PEA-C-X2-15-5</x:v>
      </x:c>
      <x:c r="F5410" s="7" t="str">
        <x:f>'Calibration Records'!M1967</x:f>
        <x:v>OPEN</x:v>
      </x:c>
    </x:row>
    <x:row r="5411">
      <x:c r="B5411" s="7" t="str">
        <x:v>AG-05405</x:v>
      </x:c>
      <x:c r="C5411" s="7" t="str">
        <x:v>PEA-C-X2</x:v>
      </x:c>
      <x:c r="D5411" s="7" t="str">
        <x:v>factory calibration</x:v>
      </x:c>
      <x:c r="E5411" s="7" t="str">
        <x:v>CAL-CH-PEA-C-X2-15-6</x:v>
      </x:c>
      <x:c r="F5411" s="7" t="str">
        <x:f>'Calibration Records'!M1968</x:f>
        <x:v>OPEN</x:v>
      </x:c>
    </x:row>
    <x:row r="5412">
      <x:c r="B5412" s="7" t="str">
        <x:v>AG-05406</x:v>
      </x:c>
      <x:c r="C5412" s="7" t="str">
        <x:v>PEA-C-X2</x:v>
      </x:c>
      <x:c r="D5412" s="7" t="str">
        <x:v>factory calibration</x:v>
      </x:c>
      <x:c r="E5412" s="7" t="str">
        <x:v>CAL-CH-PEA-C-X2-16-1</x:v>
      </x:c>
      <x:c r="F5412" s="7" t="str">
        <x:f>'Calibration Records'!M1969</x:f>
        <x:v>OPEN</x:v>
      </x:c>
    </x:row>
    <x:row r="5413">
      <x:c r="B5413" s="7" t="str">
        <x:v>AG-05407</x:v>
      </x:c>
      <x:c r="C5413" s="7" t="str">
        <x:v>PEA-C-X2</x:v>
      </x:c>
      <x:c r="D5413" s="7" t="str">
        <x:v>factory calibration</x:v>
      </x:c>
      <x:c r="E5413" s="7" t="str">
        <x:v>CAL-CH-PEA-C-X2-16-2</x:v>
      </x:c>
      <x:c r="F5413" s="7" t="str">
        <x:f>'Calibration Records'!M1970</x:f>
        <x:v>OPEN</x:v>
      </x:c>
    </x:row>
    <x:row r="5414">
      <x:c r="B5414" s="7" t="str">
        <x:v>AG-05408</x:v>
      </x:c>
      <x:c r="C5414" s="7" t="str">
        <x:v>PEA-C-X2</x:v>
      </x:c>
      <x:c r="D5414" s="7" t="str">
        <x:v>factory calibration</x:v>
      </x:c>
      <x:c r="E5414" s="7" t="str">
        <x:v>CAL-CH-PEA-C-X2-16-3</x:v>
      </x:c>
      <x:c r="F5414" s="7" t="str">
        <x:f>'Calibration Records'!M1971</x:f>
        <x:v>OPEN</x:v>
      </x:c>
    </x:row>
    <x:row r="5415">
      <x:c r="B5415" s="7" t="str">
        <x:v>AG-05409</x:v>
      </x:c>
      <x:c r="C5415" s="7" t="str">
        <x:v>PEA-C-X2</x:v>
      </x:c>
      <x:c r="D5415" s="7" t="str">
        <x:v>factory calibration</x:v>
      </x:c>
      <x:c r="E5415" s="7" t="str">
        <x:v>CAL-CH-PEA-C-X2-16-4</x:v>
      </x:c>
      <x:c r="F5415" s="7" t="str">
        <x:f>'Calibration Records'!M1972</x:f>
        <x:v>OPEN</x:v>
      </x:c>
    </x:row>
    <x:row r="5416">
      <x:c r="B5416" s="7" t="str">
        <x:v>AG-05410</x:v>
      </x:c>
      <x:c r="C5416" s="7" t="str">
        <x:v>PEA-C-X2</x:v>
      </x:c>
      <x:c r="D5416" s="7" t="str">
        <x:v>factory calibration</x:v>
      </x:c>
      <x:c r="E5416" s="7" t="str">
        <x:v>CAL-CH-PEA-C-X2-16-5</x:v>
      </x:c>
      <x:c r="F5416" s="7" t="str">
        <x:f>'Calibration Records'!M1973</x:f>
        <x:v>OPEN</x:v>
      </x:c>
    </x:row>
    <x:row r="5417">
      <x:c r="B5417" s="7" t="str">
        <x:v>AG-05411</x:v>
      </x:c>
      <x:c r="C5417" s="7" t="str">
        <x:v>PEA-C-X2</x:v>
      </x:c>
      <x:c r="D5417" s="7" t="str">
        <x:v>factory calibration</x:v>
      </x:c>
      <x:c r="E5417" s="7" t="str">
        <x:v>CAL-CH-PEA-C-X2-16-6</x:v>
      </x:c>
      <x:c r="F5417" s="7" t="str">
        <x:f>'Calibration Records'!M1974</x:f>
        <x:v>OPEN</x:v>
      </x:c>
    </x:row>
    <x:row r="5418">
      <x:c r="B5418" s="7" t="str">
        <x:v>AG-05412</x:v>
      </x:c>
      <x:c r="C5418" s="7" t="str">
        <x:v>PEA-C-X2</x:v>
      </x:c>
      <x:c r="D5418" s="7" t="str">
        <x:v>factory calibration</x:v>
      </x:c>
      <x:c r="E5418" s="7" t="str">
        <x:v>CAL-CH-PEA-C-X2-17-1</x:v>
      </x:c>
      <x:c r="F5418" s="7" t="str">
        <x:f>'Calibration Records'!M1975</x:f>
        <x:v>OPEN</x:v>
      </x:c>
    </x:row>
    <x:row r="5419">
      <x:c r="B5419" s="7" t="str">
        <x:v>AG-05413</x:v>
      </x:c>
      <x:c r="C5419" s="7" t="str">
        <x:v>PEA-C-X2</x:v>
      </x:c>
      <x:c r="D5419" s="7" t="str">
        <x:v>factory calibration</x:v>
      </x:c>
      <x:c r="E5419" s="7" t="str">
        <x:v>CAL-CH-PEA-C-X2-17-2</x:v>
      </x:c>
      <x:c r="F5419" s="7" t="str">
        <x:f>'Calibration Records'!M1976</x:f>
        <x:v>OPEN</x:v>
      </x:c>
    </x:row>
    <x:row r="5420">
      <x:c r="B5420" s="7" t="str">
        <x:v>AG-05414</x:v>
      </x:c>
      <x:c r="C5420" s="7" t="str">
        <x:v>PEA-C-X2</x:v>
      </x:c>
      <x:c r="D5420" s="7" t="str">
        <x:v>factory calibration</x:v>
      </x:c>
      <x:c r="E5420" s="7" t="str">
        <x:v>CAL-CH-PEA-C-X2-17-3</x:v>
      </x:c>
      <x:c r="F5420" s="7" t="str">
        <x:f>'Calibration Records'!M1977</x:f>
        <x:v>OPEN</x:v>
      </x:c>
    </x:row>
    <x:row r="5421">
      <x:c r="B5421" s="7" t="str">
        <x:v>AG-05415</x:v>
      </x:c>
      <x:c r="C5421" s="7" t="str">
        <x:v>PEA-C-X2</x:v>
      </x:c>
      <x:c r="D5421" s="7" t="str">
        <x:v>factory calibration</x:v>
      </x:c>
      <x:c r="E5421" s="7" t="str">
        <x:v>CAL-CH-PEA-C-X2-17-4</x:v>
      </x:c>
      <x:c r="F5421" s="7" t="str">
        <x:f>'Calibration Records'!M1978</x:f>
        <x:v>OPEN</x:v>
      </x:c>
    </x:row>
    <x:row r="5422">
      <x:c r="B5422" s="7" t="str">
        <x:v>AG-05416</x:v>
      </x:c>
      <x:c r="C5422" s="7" t="str">
        <x:v>PEA-C-X2</x:v>
      </x:c>
      <x:c r="D5422" s="7" t="str">
        <x:v>factory calibration</x:v>
      </x:c>
      <x:c r="E5422" s="7" t="str">
        <x:v>CAL-CH-PEA-C-X2-17-5</x:v>
      </x:c>
      <x:c r="F5422" s="7" t="str">
        <x:f>'Calibration Records'!M1979</x:f>
        <x:v>OPEN</x:v>
      </x:c>
    </x:row>
    <x:row r="5423">
      <x:c r="B5423" s="7" t="str">
        <x:v>AG-05417</x:v>
      </x:c>
      <x:c r="C5423" s="7" t="str">
        <x:v>PEA-C-X2</x:v>
      </x:c>
      <x:c r="D5423" s="7" t="str">
        <x:v>factory calibration</x:v>
      </x:c>
      <x:c r="E5423" s="7" t="str">
        <x:v>CAL-CH-PEA-C-X2-17-6</x:v>
      </x:c>
      <x:c r="F5423" s="7" t="str">
        <x:f>'Calibration Records'!M1980</x:f>
        <x:v>OPEN</x:v>
      </x:c>
    </x:row>
    <x:row r="5424">
      <x:c r="B5424" s="7" t="str">
        <x:v>AG-05418</x:v>
      </x:c>
      <x:c r="C5424" s="7" t="str">
        <x:v>PEA-C-X2</x:v>
      </x:c>
      <x:c r="D5424" s="7" t="str">
        <x:v>factory calibration</x:v>
      </x:c>
      <x:c r="E5424" s="7" t="str">
        <x:v>CAL-CH-PEA-C-X2-18-1</x:v>
      </x:c>
      <x:c r="F5424" s="7" t="str">
        <x:f>'Calibration Records'!M1981</x:f>
        <x:v>OPEN</x:v>
      </x:c>
    </x:row>
    <x:row r="5425">
      <x:c r="B5425" s="7" t="str">
        <x:v>AG-05419</x:v>
      </x:c>
      <x:c r="C5425" s="7" t="str">
        <x:v>PEA-C-X2</x:v>
      </x:c>
      <x:c r="D5425" s="7" t="str">
        <x:v>factory calibration</x:v>
      </x:c>
      <x:c r="E5425" s="7" t="str">
        <x:v>CAL-CH-PEA-C-X2-18-2</x:v>
      </x:c>
      <x:c r="F5425" s="7" t="str">
        <x:f>'Calibration Records'!M1982</x:f>
        <x:v>OPEN</x:v>
      </x:c>
    </x:row>
    <x:row r="5426">
      <x:c r="B5426" s="7" t="str">
        <x:v>AG-05420</x:v>
      </x:c>
      <x:c r="C5426" s="7" t="str">
        <x:v>PEA-C-X2</x:v>
      </x:c>
      <x:c r="D5426" s="7" t="str">
        <x:v>factory calibration</x:v>
      </x:c>
      <x:c r="E5426" s="7" t="str">
        <x:v>CAL-CH-PEA-C-X2-18-3</x:v>
      </x:c>
      <x:c r="F5426" s="7" t="str">
        <x:f>'Calibration Records'!M1983</x:f>
        <x:v>OPEN</x:v>
      </x:c>
    </x:row>
    <x:row r="5427">
      <x:c r="B5427" s="7" t="str">
        <x:v>AG-05421</x:v>
      </x:c>
      <x:c r="C5427" s="7" t="str">
        <x:v>PEA-C-X2</x:v>
      </x:c>
      <x:c r="D5427" s="7" t="str">
        <x:v>factory calibration</x:v>
      </x:c>
      <x:c r="E5427" s="7" t="str">
        <x:v>CAL-CH-PEA-C-X2-18-4</x:v>
      </x:c>
      <x:c r="F5427" s="7" t="str">
        <x:f>'Calibration Records'!M1984</x:f>
        <x:v>OPEN</x:v>
      </x:c>
    </x:row>
    <x:row r="5428">
      <x:c r="B5428" s="7" t="str">
        <x:v>AG-05422</x:v>
      </x:c>
      <x:c r="C5428" s="7" t="str">
        <x:v>PEA-C-X2</x:v>
      </x:c>
      <x:c r="D5428" s="7" t="str">
        <x:v>factory calibration</x:v>
      </x:c>
      <x:c r="E5428" s="7" t="str">
        <x:v>CAL-CH-PEA-C-X2-18-5</x:v>
      </x:c>
      <x:c r="F5428" s="7" t="str">
        <x:f>'Calibration Records'!M1985</x:f>
        <x:v>OPEN</x:v>
      </x:c>
    </x:row>
    <x:row r="5429">
      <x:c r="B5429" s="7" t="str">
        <x:v>AG-05423</x:v>
      </x:c>
      <x:c r="C5429" s="7" t="str">
        <x:v>PEA-C-X2</x:v>
      </x:c>
      <x:c r="D5429" s="7" t="str">
        <x:v>factory calibration</x:v>
      </x:c>
      <x:c r="E5429" s="7" t="str">
        <x:v>CAL-CH-PEA-C-X2-18-6</x:v>
      </x:c>
      <x:c r="F5429" s="7" t="str">
        <x:f>'Calibration Records'!M1986</x:f>
        <x:v>OPEN</x:v>
      </x:c>
    </x:row>
    <x:row r="5430">
      <x:c r="B5430" s="7" t="str">
        <x:v>AG-05424</x:v>
      </x:c>
      <x:c r="C5430" s="7" t="str">
        <x:v>PEA-C-X2</x:v>
      </x:c>
      <x:c r="D5430" s="7" t="str">
        <x:v>factory calibration</x:v>
      </x:c>
      <x:c r="E5430" s="7" t="str">
        <x:v>CAL-CH-PEA-C-X2-19-1</x:v>
      </x:c>
      <x:c r="F5430" s="7" t="str">
        <x:f>'Calibration Records'!M1987</x:f>
        <x:v>OPEN</x:v>
      </x:c>
    </x:row>
    <x:row r="5431">
      <x:c r="B5431" s="7" t="str">
        <x:v>AG-05425</x:v>
      </x:c>
      <x:c r="C5431" s="7" t="str">
        <x:v>PEA-C-X2</x:v>
      </x:c>
      <x:c r="D5431" s="7" t="str">
        <x:v>factory calibration</x:v>
      </x:c>
      <x:c r="E5431" s="7" t="str">
        <x:v>CAL-CH-PEA-C-X2-19-2</x:v>
      </x:c>
      <x:c r="F5431" s="7" t="str">
        <x:f>'Calibration Records'!M1988</x:f>
        <x:v>OPEN</x:v>
      </x:c>
    </x:row>
    <x:row r="5432">
      <x:c r="B5432" s="7" t="str">
        <x:v>AG-05426</x:v>
      </x:c>
      <x:c r="C5432" s="7" t="str">
        <x:v>PEA-C-X2</x:v>
      </x:c>
      <x:c r="D5432" s="7" t="str">
        <x:v>factory calibration</x:v>
      </x:c>
      <x:c r="E5432" s="7" t="str">
        <x:v>CAL-CH-PEA-C-X2-19-3</x:v>
      </x:c>
      <x:c r="F5432" s="7" t="str">
        <x:f>'Calibration Records'!M1989</x:f>
        <x:v>OPEN</x:v>
      </x:c>
    </x:row>
    <x:row r="5433">
      <x:c r="B5433" s="7" t="str">
        <x:v>AG-05427</x:v>
      </x:c>
      <x:c r="C5433" s="7" t="str">
        <x:v>PEA-C-X2</x:v>
      </x:c>
      <x:c r="D5433" s="7" t="str">
        <x:v>factory calibration</x:v>
      </x:c>
      <x:c r="E5433" s="7" t="str">
        <x:v>CAL-CH-PEA-C-X2-19-4</x:v>
      </x:c>
      <x:c r="F5433" s="7" t="str">
        <x:f>'Calibration Records'!M1990</x:f>
        <x:v>OPEN</x:v>
      </x:c>
    </x:row>
    <x:row r="5434">
      <x:c r="B5434" s="7" t="str">
        <x:v>AG-05428</x:v>
      </x:c>
      <x:c r="C5434" s="7" t="str">
        <x:v>PEA-C-X2</x:v>
      </x:c>
      <x:c r="D5434" s="7" t="str">
        <x:v>factory calibration</x:v>
      </x:c>
      <x:c r="E5434" s="7" t="str">
        <x:v>CAL-CH-PEA-C-X2-19-5</x:v>
      </x:c>
      <x:c r="F5434" s="7" t="str">
        <x:f>'Calibration Records'!M1991</x:f>
        <x:v>OPEN</x:v>
      </x:c>
    </x:row>
    <x:row r="5435">
      <x:c r="B5435" s="7" t="str">
        <x:v>AG-05429</x:v>
      </x:c>
      <x:c r="C5435" s="7" t="str">
        <x:v>PEA-C-X2</x:v>
      </x:c>
      <x:c r="D5435" s="7" t="str">
        <x:v>factory calibration</x:v>
      </x:c>
      <x:c r="E5435" s="7" t="str">
        <x:v>CAL-CH-PEA-C-X2-19-6</x:v>
      </x:c>
      <x:c r="F5435" s="7" t="str">
        <x:f>'Calibration Records'!M1992</x:f>
        <x:v>OPEN</x:v>
      </x:c>
    </x:row>
    <x:row r="5436">
      <x:c r="B5436" s="7" t="str">
        <x:v>AG-05430</x:v>
      </x:c>
      <x:c r="C5436" s="7" t="str">
        <x:v>PEA-C-X2</x:v>
      </x:c>
      <x:c r="D5436" s="7" t="str">
        <x:v>factory calibration</x:v>
      </x:c>
      <x:c r="E5436" s="7" t="str">
        <x:v>CAL-CH-PEA-C-X2-20-1</x:v>
      </x:c>
      <x:c r="F5436" s="7" t="str">
        <x:f>'Calibration Records'!M1993</x:f>
        <x:v>OPEN</x:v>
      </x:c>
    </x:row>
    <x:row r="5437">
      <x:c r="B5437" s="7" t="str">
        <x:v>AG-05431</x:v>
      </x:c>
      <x:c r="C5437" s="7" t="str">
        <x:v>PEA-C-X2</x:v>
      </x:c>
      <x:c r="D5437" s="7" t="str">
        <x:v>factory calibration</x:v>
      </x:c>
      <x:c r="E5437" s="7" t="str">
        <x:v>CAL-CH-PEA-C-X2-20-2</x:v>
      </x:c>
      <x:c r="F5437" s="7" t="str">
        <x:f>'Calibration Records'!M1994</x:f>
        <x:v>OPEN</x:v>
      </x:c>
    </x:row>
    <x:row r="5438">
      <x:c r="B5438" s="7" t="str">
        <x:v>AG-05432</x:v>
      </x:c>
      <x:c r="C5438" s="7" t="str">
        <x:v>PEA-C-X2</x:v>
      </x:c>
      <x:c r="D5438" s="7" t="str">
        <x:v>factory calibration</x:v>
      </x:c>
      <x:c r="E5438" s="7" t="str">
        <x:v>CAL-CH-PEA-C-X2-20-3</x:v>
      </x:c>
      <x:c r="F5438" s="7" t="str">
        <x:f>'Calibration Records'!M1995</x:f>
        <x:v>OPEN</x:v>
      </x:c>
    </x:row>
    <x:row r="5439">
      <x:c r="B5439" s="7" t="str">
        <x:v>AG-05433</x:v>
      </x:c>
      <x:c r="C5439" s="7" t="str">
        <x:v>PEA-C-X2</x:v>
      </x:c>
      <x:c r="D5439" s="7" t="str">
        <x:v>factory calibration</x:v>
      </x:c>
      <x:c r="E5439" s="7" t="str">
        <x:v>CAL-CH-PEA-C-X2-20-4</x:v>
      </x:c>
      <x:c r="F5439" s="7" t="str">
        <x:f>'Calibration Records'!M1996</x:f>
        <x:v>OPEN</x:v>
      </x:c>
    </x:row>
    <x:row r="5440">
      <x:c r="B5440" s="7" t="str">
        <x:v>AG-05434</x:v>
      </x:c>
      <x:c r="C5440" s="7" t="str">
        <x:v>PEA-C-X2</x:v>
      </x:c>
      <x:c r="D5440" s="7" t="str">
        <x:v>factory calibration</x:v>
      </x:c>
      <x:c r="E5440" s="7" t="str">
        <x:v>CAL-CH-PEA-C-X2-20-5</x:v>
      </x:c>
      <x:c r="F5440" s="7" t="str">
        <x:f>'Calibration Records'!M1997</x:f>
        <x:v>OPEN</x:v>
      </x:c>
    </x:row>
    <x:row r="5441">
      <x:c r="B5441" s="7" t="str">
        <x:v>AG-05435</x:v>
      </x:c>
      <x:c r="C5441" s="7" t="str">
        <x:v>PEA-C-X2</x:v>
      </x:c>
      <x:c r="D5441" s="7" t="str">
        <x:v>factory calibration</x:v>
      </x:c>
      <x:c r="E5441" s="7" t="str">
        <x:v>CAL-CH-PEA-C-X2-20-6</x:v>
      </x:c>
      <x:c r="F5441" s="7" t="str">
        <x:f>'Calibration Records'!M1998</x:f>
        <x:v>OPEN</x:v>
      </x:c>
    </x:row>
    <x:row r="5442">
      <x:c r="B5442" s="7" t="str">
        <x:v>AG-05436</x:v>
      </x:c>
      <x:c r="C5442" s="7" t="str">
        <x:v>PEA-C-X2</x:v>
      </x:c>
      <x:c r="D5442" s="7" t="str">
        <x:v>factory calibration</x:v>
      </x:c>
      <x:c r="E5442" s="7" t="str">
        <x:v>CAL-CH-PEA-C-X2-21-1</x:v>
      </x:c>
      <x:c r="F5442" s="7" t="str">
        <x:f>'Calibration Records'!M1999</x:f>
        <x:v>OPEN</x:v>
      </x:c>
    </x:row>
    <x:row r="5443">
      <x:c r="B5443" s="7" t="str">
        <x:v>AG-05437</x:v>
      </x:c>
      <x:c r="C5443" s="7" t="str">
        <x:v>PEA-C-X2</x:v>
      </x:c>
      <x:c r="D5443" s="7" t="str">
        <x:v>factory calibration</x:v>
      </x:c>
      <x:c r="E5443" s="7" t="str">
        <x:v>CAL-CH-PEA-C-X2-21-2</x:v>
      </x:c>
      <x:c r="F5443" s="7" t="str">
        <x:f>'Calibration Records'!M2000</x:f>
        <x:v>OPEN</x:v>
      </x:c>
    </x:row>
    <x:row r="5444">
      <x:c r="B5444" s="7" t="str">
        <x:v>AG-05438</x:v>
      </x:c>
      <x:c r="C5444" s="7" t="str">
        <x:v>PEA-C-X2</x:v>
      </x:c>
      <x:c r="D5444" s="7" t="str">
        <x:v>factory calibration</x:v>
      </x:c>
      <x:c r="E5444" s="7" t="str">
        <x:v>CAL-CH-PEA-C-X2-21-3</x:v>
      </x:c>
      <x:c r="F5444" s="7" t="str">
        <x:f>'Calibration Records'!M2001</x:f>
        <x:v>OPEN</x:v>
      </x:c>
    </x:row>
    <x:row r="5445">
      <x:c r="B5445" s="7" t="str">
        <x:v>AG-05439</x:v>
      </x:c>
      <x:c r="C5445" s="7" t="str">
        <x:v>PEA-C-X2</x:v>
      </x:c>
      <x:c r="D5445" s="7" t="str">
        <x:v>factory calibration</x:v>
      </x:c>
      <x:c r="E5445" s="7" t="str">
        <x:v>CAL-CH-PEA-C-X2-21-4</x:v>
      </x:c>
      <x:c r="F5445" s="7" t="str">
        <x:f>'Calibration Records'!M2002</x:f>
        <x:v>OPEN</x:v>
      </x:c>
    </x:row>
    <x:row r="5446">
      <x:c r="B5446" s="7" t="str">
        <x:v>AG-05440</x:v>
      </x:c>
      <x:c r="C5446" s="7" t="str">
        <x:v>PEA-C-X2</x:v>
      </x:c>
      <x:c r="D5446" s="7" t="str">
        <x:v>factory calibration</x:v>
      </x:c>
      <x:c r="E5446" s="7" t="str">
        <x:v>CAL-CH-PEA-C-X2-21-5</x:v>
      </x:c>
      <x:c r="F5446" s="7" t="str">
        <x:f>'Calibration Records'!M2003</x:f>
        <x:v>OPEN</x:v>
      </x:c>
    </x:row>
    <x:row r="5447">
      <x:c r="B5447" s="7" t="str">
        <x:v>AG-05441</x:v>
      </x:c>
      <x:c r="C5447" s="7" t="str">
        <x:v>PEA-C-X2</x:v>
      </x:c>
      <x:c r="D5447" s="7" t="str">
        <x:v>factory calibration</x:v>
      </x:c>
      <x:c r="E5447" s="7" t="str">
        <x:v>CAL-CH-PEA-C-X2-21-6</x:v>
      </x:c>
      <x:c r="F5447" s="7" t="str">
        <x:f>'Calibration Records'!M2004</x:f>
        <x:v>OPEN</x:v>
      </x:c>
    </x:row>
    <x:row r="5448">
      <x:c r="B5448" s="7" t="str">
        <x:v>AG-05442</x:v>
      </x:c>
      <x:c r="C5448" s="7" t="str">
        <x:v>PEA-C-X2</x:v>
      </x:c>
      <x:c r="D5448" s="7" t="str">
        <x:v>factory calibration</x:v>
      </x:c>
      <x:c r="E5448" s="7" t="str">
        <x:v>CAL-CH-PEA-C-X2-22-1</x:v>
      </x:c>
      <x:c r="F5448" s="7" t="str">
        <x:f>'Calibration Records'!M2005</x:f>
        <x:v>OPEN</x:v>
      </x:c>
    </x:row>
    <x:row r="5449">
      <x:c r="B5449" s="7" t="str">
        <x:v>AG-05443</x:v>
      </x:c>
      <x:c r="C5449" s="7" t="str">
        <x:v>PEA-C-X2</x:v>
      </x:c>
      <x:c r="D5449" s="7" t="str">
        <x:v>factory calibration</x:v>
      </x:c>
      <x:c r="E5449" s="7" t="str">
        <x:v>CAL-CH-PEA-C-X2-22-2</x:v>
      </x:c>
      <x:c r="F5449" s="7" t="str">
        <x:f>'Calibration Records'!M2006</x:f>
        <x:v>OPEN</x:v>
      </x:c>
    </x:row>
    <x:row r="5450">
      <x:c r="B5450" s="7" t="str">
        <x:v>AG-05444</x:v>
      </x:c>
      <x:c r="C5450" s="7" t="str">
        <x:v>PEA-C-X2</x:v>
      </x:c>
      <x:c r="D5450" s="7" t="str">
        <x:v>factory calibration</x:v>
      </x:c>
      <x:c r="E5450" s="7" t="str">
        <x:v>CAL-CH-PEA-C-X2-22-3</x:v>
      </x:c>
      <x:c r="F5450" s="7" t="str">
        <x:f>'Calibration Records'!M2007</x:f>
        <x:v>OPEN</x:v>
      </x:c>
    </x:row>
    <x:row r="5451">
      <x:c r="B5451" s="7" t="str">
        <x:v>AG-05445</x:v>
      </x:c>
      <x:c r="C5451" s="7" t="str">
        <x:v>PEA-C-X2</x:v>
      </x:c>
      <x:c r="D5451" s="7" t="str">
        <x:v>factory calibration</x:v>
      </x:c>
      <x:c r="E5451" s="7" t="str">
        <x:v>CAL-CH-PEA-C-X2-22-4</x:v>
      </x:c>
      <x:c r="F5451" s="7" t="str">
        <x:f>'Calibration Records'!M2008</x:f>
        <x:v>OPEN</x:v>
      </x:c>
    </x:row>
    <x:row r="5452">
      <x:c r="B5452" s="7" t="str">
        <x:v>AG-05446</x:v>
      </x:c>
      <x:c r="C5452" s="7" t="str">
        <x:v>PEA-C-X2</x:v>
      </x:c>
      <x:c r="D5452" s="7" t="str">
        <x:v>factory calibration</x:v>
      </x:c>
      <x:c r="E5452" s="7" t="str">
        <x:v>CAL-CH-PEA-C-X2-22-5</x:v>
      </x:c>
      <x:c r="F5452" s="7" t="str">
        <x:f>'Calibration Records'!M2009</x:f>
        <x:v>OPEN</x:v>
      </x:c>
    </x:row>
    <x:row r="5453">
      <x:c r="B5453" s="7" t="str">
        <x:v>AG-05447</x:v>
      </x:c>
      <x:c r="C5453" s="7" t="str">
        <x:v>PEA-C-X2</x:v>
      </x:c>
      <x:c r="D5453" s="7" t="str">
        <x:v>factory calibration</x:v>
      </x:c>
      <x:c r="E5453" s="7" t="str">
        <x:v>CAL-CH-PEA-C-X2-22-6</x:v>
      </x:c>
      <x:c r="F5453" s="7" t="str">
        <x:f>'Calibration Records'!M2010</x:f>
        <x:v>OPEN</x:v>
      </x:c>
    </x:row>
    <x:row r="5454">
      <x:c r="B5454" s="7" t="str">
        <x:v>AG-05448</x:v>
      </x:c>
      <x:c r="C5454" s="7" t="str">
        <x:v>PEA-C-X2</x:v>
      </x:c>
      <x:c r="D5454" s="7" t="str">
        <x:v>factory calibration</x:v>
      </x:c>
      <x:c r="E5454" s="7" t="str">
        <x:v>CAL-CH-PEA-C-X2-23-1</x:v>
      </x:c>
      <x:c r="F5454" s="7" t="str">
        <x:f>'Calibration Records'!M2011</x:f>
        <x:v>OPEN</x:v>
      </x:c>
    </x:row>
    <x:row r="5455">
      <x:c r="B5455" s="7" t="str">
        <x:v>AG-05449</x:v>
      </x:c>
      <x:c r="C5455" s="7" t="str">
        <x:v>PEA-C-X2</x:v>
      </x:c>
      <x:c r="D5455" s="7" t="str">
        <x:v>factory calibration</x:v>
      </x:c>
      <x:c r="E5455" s="7" t="str">
        <x:v>CAL-CH-PEA-C-X2-23-2</x:v>
      </x:c>
      <x:c r="F5455" s="7" t="str">
        <x:f>'Calibration Records'!M2012</x:f>
        <x:v>OPEN</x:v>
      </x:c>
    </x:row>
    <x:row r="5456">
      <x:c r="B5456" s="7" t="str">
        <x:v>AG-05450</x:v>
      </x:c>
      <x:c r="C5456" s="7" t="str">
        <x:v>PEA-C-X2</x:v>
      </x:c>
      <x:c r="D5456" s="7" t="str">
        <x:v>factory calibration</x:v>
      </x:c>
      <x:c r="E5456" s="7" t="str">
        <x:v>CAL-CH-PEA-C-X2-23-3</x:v>
      </x:c>
      <x:c r="F5456" s="7" t="str">
        <x:f>'Calibration Records'!M2013</x:f>
        <x:v>OPEN</x:v>
      </x:c>
    </x:row>
    <x:row r="5457">
      <x:c r="B5457" s="7" t="str">
        <x:v>AG-05451</x:v>
      </x:c>
      <x:c r="C5457" s="7" t="str">
        <x:v>PEA-C-X2</x:v>
      </x:c>
      <x:c r="D5457" s="7" t="str">
        <x:v>factory calibration</x:v>
      </x:c>
      <x:c r="E5457" s="7" t="str">
        <x:v>CAL-CH-PEA-C-X2-23-4</x:v>
      </x:c>
      <x:c r="F5457" s="7" t="str">
        <x:f>'Calibration Records'!M2014</x:f>
        <x:v>OPEN</x:v>
      </x:c>
    </x:row>
    <x:row r="5458">
      <x:c r="B5458" s="7" t="str">
        <x:v>AG-05452</x:v>
      </x:c>
      <x:c r="C5458" s="7" t="str">
        <x:v>PEA-C-X2</x:v>
      </x:c>
      <x:c r="D5458" s="7" t="str">
        <x:v>factory calibration</x:v>
      </x:c>
      <x:c r="E5458" s="7" t="str">
        <x:v>CAL-CH-PEA-C-X2-23-5</x:v>
      </x:c>
      <x:c r="F5458" s="7" t="str">
        <x:f>'Calibration Records'!M2015</x:f>
        <x:v>OPEN</x:v>
      </x:c>
    </x:row>
    <x:row r="5459">
      <x:c r="B5459" s="7" t="str">
        <x:v>AG-05453</x:v>
      </x:c>
      <x:c r="C5459" s="7" t="str">
        <x:v>PEA-C-X2</x:v>
      </x:c>
      <x:c r="D5459" s="7" t="str">
        <x:v>factory calibration</x:v>
      </x:c>
      <x:c r="E5459" s="7" t="str">
        <x:v>CAL-CH-PEA-C-X2-23-6</x:v>
      </x:c>
      <x:c r="F5459" s="7" t="str">
        <x:f>'Calibration Records'!M2016</x:f>
        <x:v>OPEN</x:v>
      </x:c>
    </x:row>
    <x:row r="5460">
      <x:c r="B5460" s="7" t="str">
        <x:v>AG-05454</x:v>
      </x:c>
      <x:c r="C5460" s="7" t="str">
        <x:v>PEA-C-X2</x:v>
      </x:c>
      <x:c r="D5460" s="7" t="str">
        <x:v>factory calibration</x:v>
      </x:c>
      <x:c r="E5460" s="7" t="str">
        <x:v>CAL-CH-PEA-C-X2-24-1</x:v>
      </x:c>
      <x:c r="F5460" s="7" t="str">
        <x:f>'Calibration Records'!M2017</x:f>
        <x:v>OPEN</x:v>
      </x:c>
    </x:row>
    <x:row r="5461">
      <x:c r="B5461" s="7" t="str">
        <x:v>AG-05455</x:v>
      </x:c>
      <x:c r="C5461" s="7" t="str">
        <x:v>PEA-C-X2</x:v>
      </x:c>
      <x:c r="D5461" s="7" t="str">
        <x:v>factory calibration</x:v>
      </x:c>
      <x:c r="E5461" s="7" t="str">
        <x:v>CAL-CH-PEA-C-X2-24-2</x:v>
      </x:c>
      <x:c r="F5461" s="7" t="str">
        <x:f>'Calibration Records'!M2018</x:f>
        <x:v>OPEN</x:v>
      </x:c>
    </x:row>
    <x:row r="5462">
      <x:c r="B5462" s="7" t="str">
        <x:v>AG-05456</x:v>
      </x:c>
      <x:c r="C5462" s="7" t="str">
        <x:v>PEA-C-X2</x:v>
      </x:c>
      <x:c r="D5462" s="7" t="str">
        <x:v>factory calibration</x:v>
      </x:c>
      <x:c r="E5462" s="7" t="str">
        <x:v>CAL-CH-PEA-C-X2-24-3</x:v>
      </x:c>
      <x:c r="F5462" s="7" t="str">
        <x:f>'Calibration Records'!M2019</x:f>
        <x:v>OPEN</x:v>
      </x:c>
    </x:row>
    <x:row r="5463">
      <x:c r="B5463" s="7" t="str">
        <x:v>AG-05457</x:v>
      </x:c>
      <x:c r="C5463" s="7" t="str">
        <x:v>PEA-C-X2</x:v>
      </x:c>
      <x:c r="D5463" s="7" t="str">
        <x:v>factory calibration</x:v>
      </x:c>
      <x:c r="E5463" s="7" t="str">
        <x:v>CAL-CH-PEA-C-X2-24-4</x:v>
      </x:c>
      <x:c r="F5463" s="7" t="str">
        <x:f>'Calibration Records'!M2020</x:f>
        <x:v>OPEN</x:v>
      </x:c>
    </x:row>
    <x:row r="5464">
      <x:c r="B5464" s="7" t="str">
        <x:v>AG-05458</x:v>
      </x:c>
      <x:c r="C5464" s="7" t="str">
        <x:v>PEA-C-X2</x:v>
      </x:c>
      <x:c r="D5464" s="7" t="str">
        <x:v>factory calibration</x:v>
      </x:c>
      <x:c r="E5464" s="7" t="str">
        <x:v>CAL-CH-PEA-C-X2-24-5</x:v>
      </x:c>
      <x:c r="F5464" s="7" t="str">
        <x:f>'Calibration Records'!M2021</x:f>
        <x:v>OPEN</x:v>
      </x:c>
    </x:row>
    <x:row r="5465">
      <x:c r="B5465" s="7" t="str">
        <x:v>AG-05459</x:v>
      </x:c>
      <x:c r="C5465" s="7" t="str">
        <x:v>PEA-C-X2</x:v>
      </x:c>
      <x:c r="D5465" s="7" t="str">
        <x:v>factory calibration</x:v>
      </x:c>
      <x:c r="E5465" s="7" t="str">
        <x:v>CAL-CH-PEA-C-X2-24-6</x:v>
      </x:c>
      <x:c r="F5465" s="7" t="str">
        <x:f>'Calibration Records'!M2022</x:f>
        <x:v>OPEN</x:v>
      </x:c>
    </x:row>
    <x:row r="5466">
      <x:c r="B5466" s="7" t="str">
        <x:v>AG-05460</x:v>
      </x:c>
      <x:c r="C5466" s="7" t="str">
        <x:v>PEA-C-X2</x:v>
      </x:c>
      <x:c r="D5466" s="7" t="str">
        <x:v>article master</x:v>
      </x:c>
      <x:c r="E5466" s="7" t="str">
        <x:v>PEA-C-X2</x:v>
      </x:c>
      <x:c r="F5466" s="7" t="str">
        <x:f>'Article Population'!Q20</x:f>
        <x:v>OPEN</x:v>
      </x:c>
    </x:row>
    <x:row r="5467">
      <x:c r="B5467" s="7" t="str">
        <x:v>AG-05461</x:v>
      </x:c>
      <x:c r="C5467" s="7" t="str">
        <x:v>PEA-C-X3</x:v>
      </x:c>
      <x:c r="D5467" s="7" t="str">
        <x:v>lineage capsule</x:v>
      </x:c>
      <x:c r="E5467" s="7" t="str">
        <x:v>BL-X</x:v>
      </x:c>
      <x:c r="F5467" s="7" t="str">
        <x:f>'Baseline Package'!F7</x:f>
        <x:v>OPEN</x:v>
      </x:c>
    </x:row>
    <x:row r="5468">
      <x:c r="B5468" s="7" t="str">
        <x:v>AG-05462</x:v>
      </x:c>
      <x:c r="C5468" s="7" t="str">
        <x:v>PEA-C-X3</x:v>
      </x:c>
      <x:c r="D5468" s="7" t="str">
        <x:v>builder qualification</x:v>
      </x:c>
      <x:c r="E5468" s="7" t="str">
        <x:v>BLD-C</x:v>
      </x:c>
      <x:c r="F5468" s="7" t="str">
        <x:f>Builders!K9</x:f>
        <x:v>OPEN</x:v>
      </x:c>
    </x:row>
    <x:row r="5469">
      <x:c r="B5469" s="7" t="str">
        <x:v>AG-05463</x:v>
      </x:c>
      <x:c r="C5469" s="7" t="str">
        <x:v>PEA-C-X3</x:v>
      </x:c>
      <x:c r="D5469" s="7" t="str">
        <x:v>material split</x:v>
      </x:c>
      <x:c r="E5469" s="7" t="str">
        <x:v>SPLIT-PEA-C-X3</x:v>
      </x:c>
      <x:c r="F5469" s="7" t="str">
        <x:f>'Material Matrix'!K21</x:f>
        <x:v>OPEN</x:v>
      </x:c>
    </x:row>
    <x:row r="5470">
      <x:c r="B5470" s="7" t="str">
        <x:v>AG-05464</x:v>
      </x:c>
      <x:c r="C5470" s="7" t="str">
        <x:v>PEA-C-X3</x:v>
      </x:c>
      <x:c r="D5470" s="7" t="str">
        <x:v>build sequence</x:v>
      </x:c>
      <x:c r="E5470" s="7" t="str">
        <x:v>SEQ-PEA-C-X3</x:v>
      </x:c>
      <x:c r="F5470" s="7" t="str">
        <x:f>'Build Sequence'!L21</x:f>
        <x:v>OPEN</x:v>
      </x:c>
    </x:row>
    <x:row r="5471">
      <x:c r="B5471" s="7" t="str">
        <x:v>AG-05465</x:v>
      </x:c>
      <x:c r="C5471" s="7" t="str">
        <x:v>PEA-C-X3</x:v>
      </x:c>
      <x:c r="D5471" s="7" t="str">
        <x:v>section traveler</x:v>
      </x:c>
      <x:c r="E5471" s="7" t="str">
        <x:v>TRV-PEA-C-X3-01</x:v>
      </x:c>
      <x:c r="F5471" s="7" t="str">
        <x:f>'Section Travelers'!L287</x:f>
        <x:v>OPEN</x:v>
      </x:c>
    </x:row>
    <x:row r="5472">
      <x:c r="B5472" s="7" t="str">
        <x:v>AG-05466</x:v>
      </x:c>
      <x:c r="C5472" s="7" t="str">
        <x:v>PEA-C-X3</x:v>
      </x:c>
      <x:c r="D5472" s="7" t="str">
        <x:v>section traveler</x:v>
      </x:c>
      <x:c r="E5472" s="7" t="str">
        <x:v>TRV-PEA-C-X3-02</x:v>
      </x:c>
      <x:c r="F5472" s="7" t="str">
        <x:f>'Section Travelers'!L288</x:f>
        <x:v>OPEN</x:v>
      </x:c>
    </x:row>
    <x:row r="5473">
      <x:c r="B5473" s="7" t="str">
        <x:v>AG-05467</x:v>
      </x:c>
      <x:c r="C5473" s="7" t="str">
        <x:v>PEA-C-X3</x:v>
      </x:c>
      <x:c r="D5473" s="7" t="str">
        <x:v>section traveler</x:v>
      </x:c>
      <x:c r="E5473" s="7" t="str">
        <x:v>TRV-PEA-C-X3-03</x:v>
      </x:c>
      <x:c r="F5473" s="7" t="str">
        <x:f>'Section Travelers'!L289</x:f>
        <x:v>OPEN</x:v>
      </x:c>
    </x:row>
    <x:row r="5474">
      <x:c r="B5474" s="7" t="str">
        <x:v>AG-05468</x:v>
      </x:c>
      <x:c r="C5474" s="7" t="str">
        <x:v>PEA-C-X3</x:v>
      </x:c>
      <x:c r="D5474" s="7" t="str">
        <x:v>section traveler</x:v>
      </x:c>
      <x:c r="E5474" s="7" t="str">
        <x:v>TRV-PEA-C-X3-04</x:v>
      </x:c>
      <x:c r="F5474" s="7" t="str">
        <x:f>'Section Travelers'!L290</x:f>
        <x:v>OPEN</x:v>
      </x:c>
    </x:row>
    <x:row r="5475">
      <x:c r="B5475" s="7" t="str">
        <x:v>AG-05469</x:v>
      </x:c>
      <x:c r="C5475" s="7" t="str">
        <x:v>PEA-C-X3</x:v>
      </x:c>
      <x:c r="D5475" s="7" t="str">
        <x:v>section traveler</x:v>
      </x:c>
      <x:c r="E5475" s="7" t="str">
        <x:v>TRV-PEA-C-X3-05</x:v>
      </x:c>
      <x:c r="F5475" s="7" t="str">
        <x:f>'Section Travelers'!L291</x:f>
        <x:v>OPEN</x:v>
      </x:c>
    </x:row>
    <x:row r="5476">
      <x:c r="B5476" s="7" t="str">
        <x:v>AG-05470</x:v>
      </x:c>
      <x:c r="C5476" s="7" t="str">
        <x:v>PEA-C-X3</x:v>
      </x:c>
      <x:c r="D5476" s="7" t="str">
        <x:v>section traveler</x:v>
      </x:c>
      <x:c r="E5476" s="7" t="str">
        <x:v>TRV-PEA-C-X3-06</x:v>
      </x:c>
      <x:c r="F5476" s="7" t="str">
        <x:f>'Section Travelers'!L292</x:f>
        <x:v>OPEN</x:v>
      </x:c>
    </x:row>
    <x:row r="5477">
      <x:c r="B5477" s="7" t="str">
        <x:v>AG-05471</x:v>
      </x:c>
      <x:c r="C5477" s="7" t="str">
        <x:v>PEA-C-X3</x:v>
      </x:c>
      <x:c r="D5477" s="7" t="str">
        <x:v>section traveler</x:v>
      </x:c>
      <x:c r="E5477" s="7" t="str">
        <x:v>TRV-PEA-C-X3-07</x:v>
      </x:c>
      <x:c r="F5477" s="7" t="str">
        <x:f>'Section Travelers'!L293</x:f>
        <x:v>OPEN</x:v>
      </x:c>
    </x:row>
    <x:row r="5478">
      <x:c r="B5478" s="7" t="str">
        <x:v>AG-05472</x:v>
      </x:c>
      <x:c r="C5478" s="7" t="str">
        <x:v>PEA-C-X3</x:v>
      </x:c>
      <x:c r="D5478" s="7" t="str">
        <x:v>section traveler</x:v>
      </x:c>
      <x:c r="E5478" s="7" t="str">
        <x:v>TRV-PEA-C-X3-08</x:v>
      </x:c>
      <x:c r="F5478" s="7" t="str">
        <x:f>'Section Travelers'!L294</x:f>
        <x:v>OPEN</x:v>
      </x:c>
    </x:row>
    <x:row r="5479">
      <x:c r="B5479" s="7" t="str">
        <x:v>AG-05473</x:v>
      </x:c>
      <x:c r="C5479" s="7" t="str">
        <x:v>PEA-C-X3</x:v>
      </x:c>
      <x:c r="D5479" s="7" t="str">
        <x:v>section traveler</x:v>
      </x:c>
      <x:c r="E5479" s="7" t="str">
        <x:v>TRV-PEA-C-X3-09</x:v>
      </x:c>
      <x:c r="F5479" s="7" t="str">
        <x:f>'Section Travelers'!L295</x:f>
        <x:v>OPEN</x:v>
      </x:c>
    </x:row>
    <x:row r="5480">
      <x:c r="B5480" s="7" t="str">
        <x:v>AG-05474</x:v>
      </x:c>
      <x:c r="C5480" s="7" t="str">
        <x:v>PEA-C-X3</x:v>
      </x:c>
      <x:c r="D5480" s="7" t="str">
        <x:v>section traveler</x:v>
      </x:c>
      <x:c r="E5480" s="7" t="str">
        <x:v>TRV-PEA-C-X3-10</x:v>
      </x:c>
      <x:c r="F5480" s="7" t="str">
        <x:f>'Section Travelers'!L296</x:f>
        <x:v>OPEN</x:v>
      </x:c>
    </x:row>
    <x:row r="5481">
      <x:c r="B5481" s="7" t="str">
        <x:v>AG-05475</x:v>
      </x:c>
      <x:c r="C5481" s="7" t="str">
        <x:v>PEA-C-X3</x:v>
      </x:c>
      <x:c r="D5481" s="7" t="str">
        <x:v>section traveler</x:v>
      </x:c>
      <x:c r="E5481" s="7" t="str">
        <x:v>TRV-PEA-C-X3-11</x:v>
      </x:c>
      <x:c r="F5481" s="7" t="str">
        <x:f>'Section Travelers'!L297</x:f>
        <x:v>OPEN</x:v>
      </x:c>
    </x:row>
    <x:row r="5482">
      <x:c r="B5482" s="7" t="str">
        <x:v>AG-05476</x:v>
      </x:c>
      <x:c r="C5482" s="7" t="str">
        <x:v>PEA-C-X3</x:v>
      </x:c>
      <x:c r="D5482" s="7" t="str">
        <x:v>section traveler</x:v>
      </x:c>
      <x:c r="E5482" s="7" t="str">
        <x:v>TRV-PEA-C-X3-12</x:v>
      </x:c>
      <x:c r="F5482" s="7" t="str">
        <x:f>'Section Travelers'!L298</x:f>
        <x:v>OPEN</x:v>
      </x:c>
    </x:row>
    <x:row r="5483">
      <x:c r="B5483" s="7" t="str">
        <x:v>AG-05477</x:v>
      </x:c>
      <x:c r="C5483" s="7" t="str">
        <x:v>PEA-C-X3</x:v>
      </x:c>
      <x:c r="D5483" s="7" t="str">
        <x:v>section traveler</x:v>
      </x:c>
      <x:c r="E5483" s="7" t="str">
        <x:v>TRV-PEA-C-X3-13</x:v>
      </x:c>
      <x:c r="F5483" s="7" t="str">
        <x:f>'Section Travelers'!L299</x:f>
        <x:v>OPEN</x:v>
      </x:c>
    </x:row>
    <x:row r="5484">
      <x:c r="B5484" s="7" t="str">
        <x:v>AG-05478</x:v>
      </x:c>
      <x:c r="C5484" s="7" t="str">
        <x:v>PEA-C-X3</x:v>
      </x:c>
      <x:c r="D5484" s="7" t="str">
        <x:v>section traveler</x:v>
      </x:c>
      <x:c r="E5484" s="7" t="str">
        <x:v>TRV-PEA-C-X3-14</x:v>
      </x:c>
      <x:c r="F5484" s="7" t="str">
        <x:f>'Section Travelers'!L300</x:f>
        <x:v>OPEN</x:v>
      </x:c>
    </x:row>
    <x:row r="5485">
      <x:c r="B5485" s="7" t="str">
        <x:v>AG-05479</x:v>
      </x:c>
      <x:c r="C5485" s="7" t="str">
        <x:v>PEA-C-X3</x:v>
      </x:c>
      <x:c r="D5485" s="7" t="str">
        <x:v>section traveler</x:v>
      </x:c>
      <x:c r="E5485" s="7" t="str">
        <x:v>TRV-PEA-C-X3-15</x:v>
      </x:c>
      <x:c r="F5485" s="7" t="str">
        <x:f>'Section Travelers'!L301</x:f>
        <x:v>OPEN</x:v>
      </x:c>
    </x:row>
    <x:row r="5486">
      <x:c r="B5486" s="7" t="str">
        <x:v>AG-05480</x:v>
      </x:c>
      <x:c r="C5486" s="7" t="str">
        <x:v>PEA-C-X3</x:v>
      </x:c>
      <x:c r="D5486" s="7" t="str">
        <x:v>section traveler</x:v>
      </x:c>
      <x:c r="E5486" s="7" t="str">
        <x:v>TRV-PEA-C-X3-16</x:v>
      </x:c>
      <x:c r="F5486" s="7" t="str">
        <x:f>'Section Travelers'!L302</x:f>
        <x:v>OPEN</x:v>
      </x:c>
    </x:row>
    <x:row r="5487">
      <x:c r="B5487" s="7" t="str">
        <x:v>AG-05481</x:v>
      </x:c>
      <x:c r="C5487" s="7" t="str">
        <x:v>PEA-C-X3</x:v>
      </x:c>
      <x:c r="D5487" s="7" t="str">
        <x:v>section traveler</x:v>
      </x:c>
      <x:c r="E5487" s="7" t="str">
        <x:v>TRV-PEA-C-X3-17</x:v>
      </x:c>
      <x:c r="F5487" s="7" t="str">
        <x:f>'Section Travelers'!L303</x:f>
        <x:v>OPEN</x:v>
      </x:c>
    </x:row>
    <x:row r="5488">
      <x:c r="B5488" s="7" t="str">
        <x:v>AG-05482</x:v>
      </x:c>
      <x:c r="C5488" s="7" t="str">
        <x:v>PEA-C-X3</x:v>
      </x:c>
      <x:c r="D5488" s="7" t="str">
        <x:v>section traveler</x:v>
      </x:c>
      <x:c r="E5488" s="7" t="str">
        <x:v>TRV-PEA-C-X3-18</x:v>
      </x:c>
      <x:c r="F5488" s="7" t="str">
        <x:f>'Section Travelers'!L304</x:f>
        <x:v>OPEN</x:v>
      </x:c>
    </x:row>
    <x:row r="5489">
      <x:c r="B5489" s="7" t="str">
        <x:v>AG-05483</x:v>
      </x:c>
      <x:c r="C5489" s="7" t="str">
        <x:v>PEA-C-X3</x:v>
      </x:c>
      <x:c r="D5489" s="7" t="str">
        <x:v>section traveler</x:v>
      </x:c>
      <x:c r="E5489" s="7" t="str">
        <x:v>TRV-PEA-C-X3-19</x:v>
      </x:c>
      <x:c r="F5489" s="7" t="str">
        <x:f>'Section Travelers'!L305</x:f>
        <x:v>OPEN</x:v>
      </x:c>
    </x:row>
    <x:row r="5490">
      <x:c r="B5490" s="7" t="str">
        <x:v>AG-05484</x:v>
      </x:c>
      <x:c r="C5490" s="7" t="str">
        <x:v>PEA-C-X3</x:v>
      </x:c>
      <x:c r="D5490" s="7" t="str">
        <x:v>section traveler</x:v>
      </x:c>
      <x:c r="E5490" s="7" t="str">
        <x:v>TRV-PEA-C-X3-20</x:v>
      </x:c>
      <x:c r="F5490" s="7" t="str">
        <x:f>'Section Travelers'!L306</x:f>
        <x:v>OPEN</x:v>
      </x:c>
    </x:row>
    <x:row r="5491">
      <x:c r="B5491" s="7" t="str">
        <x:v>AG-05485</x:v>
      </x:c>
      <x:c r="C5491" s="7" t="str">
        <x:v>PEA-C-X3</x:v>
      </x:c>
      <x:c r="D5491" s="7" t="str">
        <x:v>material coupon</x:v>
      </x:c>
      <x:c r="E5491" s="7" t="str">
        <x:v>CPN-PEA-C-X3-CJ-1</x:v>
      </x:c>
      <x:c r="F5491" s="7" t="str">
        <x:f>'Material Coupons'!K567</x:f>
        <x:v>OPEN</x:v>
      </x:c>
    </x:row>
    <x:row r="5492">
      <x:c r="B5492" s="7" t="str">
        <x:v>AG-05486</x:v>
      </x:c>
      <x:c r="C5492" s="7" t="str">
        <x:v>PEA-C-X3</x:v>
      </x:c>
      <x:c r="D5492" s="7" t="str">
        <x:v>material coupon</x:v>
      </x:c>
      <x:c r="E5492" s="7" t="str">
        <x:v>CPN-PEA-C-X3-CJ-2</x:v>
      </x:c>
      <x:c r="F5492" s="7" t="str">
        <x:f>'Material Coupons'!K568</x:f>
        <x:v>OPEN</x:v>
      </x:c>
    </x:row>
    <x:row r="5493">
      <x:c r="B5493" s="7" t="str">
        <x:v>AG-05487</x:v>
      </x:c>
      <x:c r="C5493" s="7" t="str">
        <x:v>PEA-C-X3</x:v>
      </x:c>
      <x:c r="D5493" s="7" t="str">
        <x:v>material coupon</x:v>
      </x:c>
      <x:c r="E5493" s="7" t="str">
        <x:v>CPN-PEA-C-X3-CJ-3</x:v>
      </x:c>
      <x:c r="F5493" s="7" t="str">
        <x:f>'Material Coupons'!K569</x:f>
        <x:v>OPEN</x:v>
      </x:c>
    </x:row>
    <x:row r="5494">
      <x:c r="B5494" s="7" t="str">
        <x:v>AG-05488</x:v>
      </x:c>
      <x:c r="C5494" s="7" t="str">
        <x:v>PEA-C-X3</x:v>
      </x:c>
      <x:c r="D5494" s="7" t="str">
        <x:v>material coupon</x:v>
      </x:c>
      <x:c r="E5494" s="7" t="str">
        <x:v>CPN-PEA-C-X3-CJ-4</x:v>
      </x:c>
      <x:c r="F5494" s="7" t="str">
        <x:f>'Material Coupons'!K570</x:f>
        <x:v>OPEN</x:v>
      </x:c>
    </x:row>
    <x:row r="5495">
      <x:c r="B5495" s="7" t="str">
        <x:v>AG-05489</x:v>
      </x:c>
      <x:c r="C5495" s="7" t="str">
        <x:v>PEA-C-X3</x:v>
      </x:c>
      <x:c r="D5495" s="7" t="str">
        <x:v>material coupon</x:v>
      </x:c>
      <x:c r="E5495" s="7" t="str">
        <x:v>CPN-PEA-C-X3-CJ-5</x:v>
      </x:c>
      <x:c r="F5495" s="7" t="str">
        <x:f>'Material Coupons'!K571</x:f>
        <x:v>OPEN</x:v>
      </x:c>
    </x:row>
    <x:row r="5496">
      <x:c r="B5496" s="7" t="str">
        <x:v>AG-05490</x:v>
      </x:c>
      <x:c r="C5496" s="7" t="str">
        <x:v>PEA-C-X3</x:v>
      </x:c>
      <x:c r="D5496" s="7" t="str">
        <x:v>material coupon</x:v>
      </x:c>
      <x:c r="E5496" s="7" t="str">
        <x:v>CPN-PEA-C-X3-CJ-6</x:v>
      </x:c>
      <x:c r="F5496" s="7" t="str">
        <x:f>'Material Coupons'!K572</x:f>
        <x:v>OPEN</x:v>
      </x:c>
    </x:row>
    <x:row r="5497">
      <x:c r="B5497" s="7" t="str">
        <x:v>AG-05491</x:v>
      </x:c>
      <x:c r="C5497" s="7" t="str">
        <x:v>PEA-C-X3</x:v>
      </x:c>
      <x:c r="D5497" s="7" t="str">
        <x:v>material coupon</x:v>
      </x:c>
      <x:c r="E5497" s="7" t="str">
        <x:v>CPN-PEA-C-X3-CJ-7</x:v>
      </x:c>
      <x:c r="F5497" s="7" t="str">
        <x:f>'Material Coupons'!K573</x:f>
        <x:v>OPEN</x:v>
      </x:c>
    </x:row>
    <x:row r="5498">
      <x:c r="B5498" s="7" t="str">
        <x:v>AG-05492</x:v>
      </x:c>
      <x:c r="C5498" s="7" t="str">
        <x:v>PEA-C-X3</x:v>
      </x:c>
      <x:c r="D5498" s="7" t="str">
        <x:v>material coupon</x:v>
      </x:c>
      <x:c r="E5498" s="7" t="str">
        <x:v>CPN-PEA-C-X3-CJ-8</x:v>
      </x:c>
      <x:c r="F5498" s="7" t="str">
        <x:f>'Material Coupons'!K574</x:f>
        <x:v>OPEN</x:v>
      </x:c>
    </x:row>
    <x:row r="5499">
      <x:c r="B5499" s="7" t="str">
        <x:v>AG-05493</x:v>
      </x:c>
      <x:c r="C5499" s="7" t="str">
        <x:v>PEA-C-X3</x:v>
      </x:c>
      <x:c r="D5499" s="7" t="str">
        <x:v>material coupon</x:v>
      </x:c>
      <x:c r="E5499" s="7" t="str">
        <x:v>CPN-PEA-C-X3-SE-1</x:v>
      </x:c>
      <x:c r="F5499" s="7" t="str">
        <x:f>'Material Coupons'!K575</x:f>
        <x:v>OPEN</x:v>
      </x:c>
    </x:row>
    <x:row r="5500">
      <x:c r="B5500" s="7" t="str">
        <x:v>AG-05494</x:v>
      </x:c>
      <x:c r="C5500" s="7" t="str">
        <x:v>PEA-C-X3</x:v>
      </x:c>
      <x:c r="D5500" s="7" t="str">
        <x:v>material coupon</x:v>
      </x:c>
      <x:c r="E5500" s="7" t="str">
        <x:v>CPN-PEA-C-X3-SE-2</x:v>
      </x:c>
      <x:c r="F5500" s="7" t="str">
        <x:f>'Material Coupons'!K576</x:f>
        <x:v>OPEN</x:v>
      </x:c>
    </x:row>
    <x:row r="5501">
      <x:c r="B5501" s="7" t="str">
        <x:v>AG-05495</x:v>
      </x:c>
      <x:c r="C5501" s="7" t="str">
        <x:v>PEA-C-X3</x:v>
      </x:c>
      <x:c r="D5501" s="7" t="str">
        <x:v>material coupon</x:v>
      </x:c>
      <x:c r="E5501" s="7" t="str">
        <x:v>CPN-PEA-C-X3-SE-3</x:v>
      </x:c>
      <x:c r="F5501" s="7" t="str">
        <x:f>'Material Coupons'!K577</x:f>
        <x:v>OPEN</x:v>
      </x:c>
    </x:row>
    <x:row r="5502">
      <x:c r="B5502" s="7" t="str">
        <x:v>AG-05496</x:v>
      </x:c>
      <x:c r="C5502" s="7" t="str">
        <x:v>PEA-C-X3</x:v>
      </x:c>
      <x:c r="D5502" s="7" t="str">
        <x:v>material coupon</x:v>
      </x:c>
      <x:c r="E5502" s="7" t="str">
        <x:v>CPN-PEA-C-X3-SE-4</x:v>
      </x:c>
      <x:c r="F5502" s="7" t="str">
        <x:f>'Material Coupons'!K578</x:f>
        <x:v>OPEN</x:v>
      </x:c>
    </x:row>
    <x:row r="5503">
      <x:c r="B5503" s="7" t="str">
        <x:v>AG-05497</x:v>
      </x:c>
      <x:c r="C5503" s="7" t="str">
        <x:v>PEA-C-X3</x:v>
      </x:c>
      <x:c r="D5503" s="7" t="str">
        <x:v>material coupon</x:v>
      </x:c>
      <x:c r="E5503" s="7" t="str">
        <x:v>CPN-PEA-C-X3-SE-5</x:v>
      </x:c>
      <x:c r="F5503" s="7" t="str">
        <x:f>'Material Coupons'!K579</x:f>
        <x:v>OPEN</x:v>
      </x:c>
    </x:row>
    <x:row r="5504">
      <x:c r="B5504" s="7" t="str">
        <x:v>AG-05498</x:v>
      </x:c>
      <x:c r="C5504" s="7" t="str">
        <x:v>PEA-C-X3</x:v>
      </x:c>
      <x:c r="D5504" s="7" t="str">
        <x:v>material coupon</x:v>
      </x:c>
      <x:c r="E5504" s="7" t="str">
        <x:v>CPN-PEA-C-X3-SE-6</x:v>
      </x:c>
      <x:c r="F5504" s="7" t="str">
        <x:f>'Material Coupons'!K580</x:f>
        <x:v>OPEN</x:v>
      </x:c>
    </x:row>
    <x:row r="5505">
      <x:c r="B5505" s="7" t="str">
        <x:v>AG-05499</x:v>
      </x:c>
      <x:c r="C5505" s="7" t="str">
        <x:v>PEA-C-X3</x:v>
      </x:c>
      <x:c r="D5505" s="7" t="str">
        <x:v>material coupon</x:v>
      </x:c>
      <x:c r="E5505" s="7" t="str">
        <x:v>CPN-PEA-C-X3-SE-7</x:v>
      </x:c>
      <x:c r="F5505" s="7" t="str">
        <x:f>'Material Coupons'!K581</x:f>
        <x:v>OPEN</x:v>
      </x:c>
    </x:row>
    <x:row r="5506">
      <x:c r="B5506" s="7" t="str">
        <x:v>AG-05500</x:v>
      </x:c>
      <x:c r="C5506" s="7" t="str">
        <x:v>PEA-C-X3</x:v>
      </x:c>
      <x:c r="D5506" s="7" t="str">
        <x:v>material coupon</x:v>
      </x:c>
      <x:c r="E5506" s="7" t="str">
        <x:v>CPN-PEA-C-X3-SE-8</x:v>
      </x:c>
      <x:c r="F5506" s="7" t="str">
        <x:f>'Material Coupons'!K582</x:f>
        <x:v>OPEN</x:v>
      </x:c>
    </x:row>
    <x:row r="5507">
      <x:c r="B5507" s="7" t="str">
        <x:v>AG-05501</x:v>
      </x:c>
      <x:c r="C5507" s="7" t="str">
        <x:v>PEA-C-X3</x:v>
      </x:c>
      <x:c r="D5507" s="7" t="str">
        <x:v>material coupon</x:v>
      </x:c>
      <x:c r="E5507" s="7" t="str">
        <x:v>CPN-PEA-C-X3-SF-1</x:v>
      </x:c>
      <x:c r="F5507" s="7" t="str">
        <x:f>'Material Coupons'!K583</x:f>
        <x:v>OPEN</x:v>
      </x:c>
    </x:row>
    <x:row r="5508">
      <x:c r="B5508" s="7" t="str">
        <x:v>AG-05502</x:v>
      </x:c>
      <x:c r="C5508" s="7" t="str">
        <x:v>PEA-C-X3</x:v>
      </x:c>
      <x:c r="D5508" s="7" t="str">
        <x:v>material coupon</x:v>
      </x:c>
      <x:c r="E5508" s="7" t="str">
        <x:v>CPN-PEA-C-X3-SF-2</x:v>
      </x:c>
      <x:c r="F5508" s="7" t="str">
        <x:f>'Material Coupons'!K584</x:f>
        <x:v>OPEN</x:v>
      </x:c>
    </x:row>
    <x:row r="5509">
      <x:c r="B5509" s="7" t="str">
        <x:v>AG-05503</x:v>
      </x:c>
      <x:c r="C5509" s="7" t="str">
        <x:v>PEA-C-X3</x:v>
      </x:c>
      <x:c r="D5509" s="7" t="str">
        <x:v>material coupon</x:v>
      </x:c>
      <x:c r="E5509" s="7" t="str">
        <x:v>CPN-PEA-C-X3-SF-3</x:v>
      </x:c>
      <x:c r="F5509" s="7" t="str">
        <x:f>'Material Coupons'!K585</x:f>
        <x:v>OPEN</x:v>
      </x:c>
    </x:row>
    <x:row r="5510">
      <x:c r="B5510" s="7" t="str">
        <x:v>AG-05504</x:v>
      </x:c>
      <x:c r="C5510" s="7" t="str">
        <x:v>PEA-C-X3</x:v>
      </x:c>
      <x:c r="D5510" s="7" t="str">
        <x:v>material coupon</x:v>
      </x:c>
      <x:c r="E5510" s="7" t="str">
        <x:v>CPN-PEA-C-X3-SF-4</x:v>
      </x:c>
      <x:c r="F5510" s="7" t="str">
        <x:f>'Material Coupons'!K586</x:f>
        <x:v>OPEN</x:v>
      </x:c>
    </x:row>
    <x:row r="5511">
      <x:c r="B5511" s="7" t="str">
        <x:v>AG-05505</x:v>
      </x:c>
      <x:c r="C5511" s="7" t="str">
        <x:v>PEA-C-X3</x:v>
      </x:c>
      <x:c r="D5511" s="7" t="str">
        <x:v>material coupon</x:v>
      </x:c>
      <x:c r="E5511" s="7" t="str">
        <x:v>CPN-PEA-C-X3-SF-5</x:v>
      </x:c>
      <x:c r="F5511" s="7" t="str">
        <x:f>'Material Coupons'!K587</x:f>
        <x:v>OPEN</x:v>
      </x:c>
    </x:row>
    <x:row r="5512">
      <x:c r="B5512" s="7" t="str">
        <x:v>AG-05506</x:v>
      </x:c>
      <x:c r="C5512" s="7" t="str">
        <x:v>PEA-C-X3</x:v>
      </x:c>
      <x:c r="D5512" s="7" t="str">
        <x:v>material coupon</x:v>
      </x:c>
      <x:c r="E5512" s="7" t="str">
        <x:v>CPN-PEA-C-X3-SF-6</x:v>
      </x:c>
      <x:c r="F5512" s="7" t="str">
        <x:f>'Material Coupons'!K588</x:f>
        <x:v>OPEN</x:v>
      </x:c>
    </x:row>
    <x:row r="5513">
      <x:c r="B5513" s="7" t="str">
        <x:v>AG-05507</x:v>
      </x:c>
      <x:c r="C5513" s="7" t="str">
        <x:v>PEA-C-X3</x:v>
      </x:c>
      <x:c r="D5513" s="7" t="str">
        <x:v>material coupon</x:v>
      </x:c>
      <x:c r="E5513" s="7" t="str">
        <x:v>CPN-PEA-C-X3-SF-7</x:v>
      </x:c>
      <x:c r="F5513" s="7" t="str">
        <x:f>'Material Coupons'!K589</x:f>
        <x:v>OPEN</x:v>
      </x:c>
    </x:row>
    <x:row r="5514">
      <x:c r="B5514" s="7" t="str">
        <x:v>AG-05508</x:v>
      </x:c>
      <x:c r="C5514" s="7" t="str">
        <x:v>PEA-C-X3</x:v>
      </x:c>
      <x:c r="D5514" s="7" t="str">
        <x:v>material coupon</x:v>
      </x:c>
      <x:c r="E5514" s="7" t="str">
        <x:v>CPN-PEA-C-X3-SF-8</x:v>
      </x:c>
      <x:c r="F5514" s="7" t="str">
        <x:f>'Material Coupons'!K590</x:f>
        <x:v>OPEN</x:v>
      </x:c>
    </x:row>
    <x:row r="5515">
      <x:c r="B5515" s="7" t="str">
        <x:v>AG-05509</x:v>
      </x:c>
      <x:c r="C5515" s="7" t="str">
        <x:v>PEA-C-X3</x:v>
      </x:c>
      <x:c r="D5515" s="7" t="str">
        <x:v>material coupon</x:v>
      </x:c>
      <x:c r="E5515" s="7" t="str">
        <x:v>CPN-PEA-C-X3-CP-1</x:v>
      </x:c>
      <x:c r="F5515" s="7" t="str">
        <x:f>'Material Coupons'!K591</x:f>
        <x:v>OPEN</x:v>
      </x:c>
    </x:row>
    <x:row r="5516">
      <x:c r="B5516" s="7" t="str">
        <x:v>AG-05510</x:v>
      </x:c>
      <x:c r="C5516" s="7" t="str">
        <x:v>PEA-C-X3</x:v>
      </x:c>
      <x:c r="D5516" s="7" t="str">
        <x:v>material coupon</x:v>
      </x:c>
      <x:c r="E5516" s="7" t="str">
        <x:v>CPN-PEA-C-X3-CP-2</x:v>
      </x:c>
      <x:c r="F5516" s="7" t="str">
        <x:f>'Material Coupons'!K592</x:f>
        <x:v>OPEN</x:v>
      </x:c>
    </x:row>
    <x:row r="5517">
      <x:c r="B5517" s="7" t="str">
        <x:v>AG-05511</x:v>
      </x:c>
      <x:c r="C5517" s="7" t="str">
        <x:v>PEA-C-X3</x:v>
      </x:c>
      <x:c r="D5517" s="7" t="str">
        <x:v>material coupon</x:v>
      </x:c>
      <x:c r="E5517" s="7" t="str">
        <x:v>CPN-PEA-C-X3-CP-3</x:v>
      </x:c>
      <x:c r="F5517" s="7" t="str">
        <x:f>'Material Coupons'!K593</x:f>
        <x:v>OPEN</x:v>
      </x:c>
    </x:row>
    <x:row r="5518">
      <x:c r="B5518" s="7" t="str">
        <x:v>AG-05512</x:v>
      </x:c>
      <x:c r="C5518" s="7" t="str">
        <x:v>PEA-C-X3</x:v>
      </x:c>
      <x:c r="D5518" s="7" t="str">
        <x:v>material coupon</x:v>
      </x:c>
      <x:c r="E5518" s="7" t="str">
        <x:v>CPN-PEA-C-X3-CP-4</x:v>
      </x:c>
      <x:c r="F5518" s="7" t="str">
        <x:f>'Material Coupons'!K594</x:f>
        <x:v>OPEN</x:v>
      </x:c>
    </x:row>
    <x:row r="5519">
      <x:c r="B5519" s="7" t="str">
        <x:v>AG-05513</x:v>
      </x:c>
      <x:c r="C5519" s="7" t="str">
        <x:v>PEA-C-X3</x:v>
      </x:c>
      <x:c r="D5519" s="7" t="str">
        <x:v>material coupon</x:v>
      </x:c>
      <x:c r="E5519" s="7" t="str">
        <x:v>CPN-PEA-C-X3-CP-5</x:v>
      </x:c>
      <x:c r="F5519" s="7" t="str">
        <x:f>'Material Coupons'!K595</x:f>
        <x:v>OPEN</x:v>
      </x:c>
    </x:row>
    <x:row r="5520">
      <x:c r="B5520" s="7" t="str">
        <x:v>AG-05514</x:v>
      </x:c>
      <x:c r="C5520" s="7" t="str">
        <x:v>PEA-C-X3</x:v>
      </x:c>
      <x:c r="D5520" s="7" t="str">
        <x:v>material coupon</x:v>
      </x:c>
      <x:c r="E5520" s="7" t="str">
        <x:v>CPN-PEA-C-X3-CP-6</x:v>
      </x:c>
      <x:c r="F5520" s="7" t="str">
        <x:f>'Material Coupons'!K596</x:f>
        <x:v>OPEN</x:v>
      </x:c>
    </x:row>
    <x:row r="5521">
      <x:c r="B5521" s="7" t="str">
        <x:v>AG-05515</x:v>
      </x:c>
      <x:c r="C5521" s="7" t="str">
        <x:v>PEA-C-X3</x:v>
      </x:c>
      <x:c r="D5521" s="7" t="str">
        <x:v>material coupon</x:v>
      </x:c>
      <x:c r="E5521" s="7" t="str">
        <x:v>CPN-PEA-C-X3-CP-7</x:v>
      </x:c>
      <x:c r="F5521" s="7" t="str">
        <x:f>'Material Coupons'!K597</x:f>
        <x:v>OPEN</x:v>
      </x:c>
    </x:row>
    <x:row r="5522">
      <x:c r="B5522" s="7" t="str">
        <x:v>AG-05516</x:v>
      </x:c>
      <x:c r="C5522" s="7" t="str">
        <x:v>PEA-C-X3</x:v>
      </x:c>
      <x:c r="D5522" s="7" t="str">
        <x:v>material coupon</x:v>
      </x:c>
      <x:c r="E5522" s="7" t="str">
        <x:v>CPN-PEA-C-X3-CP-8</x:v>
      </x:c>
      <x:c r="F5522" s="7" t="str">
        <x:f>'Material Coupons'!K598</x:f>
        <x:v>OPEN</x:v>
      </x:c>
    </x:row>
    <x:row r="5523">
      <x:c r="B5523" s="7" t="str">
        <x:v>AG-05517</x:v>
      </x:c>
      <x:c r="C5523" s="7" t="str">
        <x:v>PEA-C-X3</x:v>
      </x:c>
      <x:c r="D5523" s="7" t="str">
        <x:v>material coupon</x:v>
      </x:c>
      <x:c r="E5523" s="7" t="str">
        <x:v>CPN-PEA-C-X3-SM-1</x:v>
      </x:c>
      <x:c r="F5523" s="7" t="str">
        <x:f>'Material Coupons'!K599</x:f>
        <x:v>OPEN</x:v>
      </x:c>
    </x:row>
    <x:row r="5524">
      <x:c r="B5524" s="7" t="str">
        <x:v>AG-05518</x:v>
      </x:c>
      <x:c r="C5524" s="7" t="str">
        <x:v>PEA-C-X3</x:v>
      </x:c>
      <x:c r="D5524" s="7" t="str">
        <x:v>material coupon</x:v>
      </x:c>
      <x:c r="E5524" s="7" t="str">
        <x:v>CPN-PEA-C-X3-SM-2</x:v>
      </x:c>
      <x:c r="F5524" s="7" t="str">
        <x:f>'Material Coupons'!K600</x:f>
        <x:v>OPEN</x:v>
      </x:c>
    </x:row>
    <x:row r="5525">
      <x:c r="B5525" s="7" t="str">
        <x:v>AG-05519</x:v>
      </x:c>
      <x:c r="C5525" s="7" t="str">
        <x:v>PEA-C-X3</x:v>
      </x:c>
      <x:c r="D5525" s="7" t="str">
        <x:v>material coupon</x:v>
      </x:c>
      <x:c r="E5525" s="7" t="str">
        <x:v>CPN-PEA-C-X3-SM-3</x:v>
      </x:c>
      <x:c r="F5525" s="7" t="str">
        <x:f>'Material Coupons'!K601</x:f>
        <x:v>OPEN</x:v>
      </x:c>
    </x:row>
    <x:row r="5526">
      <x:c r="B5526" s="7" t="str">
        <x:v>AG-05520</x:v>
      </x:c>
      <x:c r="C5526" s="7" t="str">
        <x:v>PEA-C-X3</x:v>
      </x:c>
      <x:c r="D5526" s="7" t="str">
        <x:v>material coupon</x:v>
      </x:c>
      <x:c r="E5526" s="7" t="str">
        <x:v>CPN-PEA-C-X3-SM-4</x:v>
      </x:c>
      <x:c r="F5526" s="7" t="str">
        <x:f>'Material Coupons'!K602</x:f>
        <x:v>OPEN</x:v>
      </x:c>
    </x:row>
    <x:row r="5527">
      <x:c r="B5527" s="7" t="str">
        <x:v>AG-05521</x:v>
      </x:c>
      <x:c r="C5527" s="7" t="str">
        <x:v>PEA-C-X3</x:v>
      </x:c>
      <x:c r="D5527" s="7" t="str">
        <x:v>material coupon</x:v>
      </x:c>
      <x:c r="E5527" s="7" t="str">
        <x:v>CPN-PEA-C-X3-SM-5</x:v>
      </x:c>
      <x:c r="F5527" s="7" t="str">
        <x:f>'Material Coupons'!K603</x:f>
        <x:v>OPEN</x:v>
      </x:c>
    </x:row>
    <x:row r="5528">
      <x:c r="B5528" s="7" t="str">
        <x:v>AG-05522</x:v>
      </x:c>
      <x:c r="C5528" s="7" t="str">
        <x:v>PEA-C-X3</x:v>
      </x:c>
      <x:c r="D5528" s="7" t="str">
        <x:v>material coupon</x:v>
      </x:c>
      <x:c r="E5528" s="7" t="str">
        <x:v>CPN-PEA-C-X3-SM-6</x:v>
      </x:c>
      <x:c r="F5528" s="7" t="str">
        <x:f>'Material Coupons'!K604</x:f>
        <x:v>OPEN</x:v>
      </x:c>
    </x:row>
    <x:row r="5529">
      <x:c r="B5529" s="7" t="str">
        <x:v>AG-05523</x:v>
      </x:c>
      <x:c r="C5529" s="7" t="str">
        <x:v>PEA-C-X3</x:v>
      </x:c>
      <x:c r="D5529" s="7" t="str">
        <x:v>material coupon</x:v>
      </x:c>
      <x:c r="E5529" s="7" t="str">
        <x:v>CPN-PEA-C-X3-SM-7</x:v>
      </x:c>
      <x:c r="F5529" s="7" t="str">
        <x:f>'Material Coupons'!K605</x:f>
        <x:v>OPEN</x:v>
      </x:c>
    </x:row>
    <x:row r="5530">
      <x:c r="B5530" s="7" t="str">
        <x:v>AG-05524</x:v>
      </x:c>
      <x:c r="C5530" s="7" t="str">
        <x:v>PEA-C-X3</x:v>
      </x:c>
      <x:c r="D5530" s="7" t="str">
        <x:v>material coupon</x:v>
      </x:c>
      <x:c r="E5530" s="7" t="str">
        <x:v>CPN-PEA-C-X3-SM-8</x:v>
      </x:c>
      <x:c r="F5530" s="7" t="str">
        <x:f>'Material Coupons'!K606</x:f>
        <x:v>OPEN</x:v>
      </x:c>
    </x:row>
    <x:row r="5531">
      <x:c r="B5531" s="7" t="str">
        <x:v>AG-05525</x:v>
      </x:c>
      <x:c r="C5531" s="7" t="str">
        <x:v>PEA-C-X3</x:v>
      </x:c>
      <x:c r="D5531" s="7" t="str">
        <x:v>NDE record</x:v>
      </x:c>
      <x:c r="E5531" s="7" t="str">
        <x:v>NDE-TRV-PEA-C-X3-01</x:v>
      </x:c>
      <x:c r="F5531" s="7" t="str">
        <x:f>'NDE Records'!L287</x:f>
        <x:v>OPEN</x:v>
      </x:c>
    </x:row>
    <x:row r="5532">
      <x:c r="B5532" s="7" t="str">
        <x:v>AG-05526</x:v>
      </x:c>
      <x:c r="C5532" s="7" t="str">
        <x:v>PEA-C-X3</x:v>
      </x:c>
      <x:c r="D5532" s="7" t="str">
        <x:v>NDE record</x:v>
      </x:c>
      <x:c r="E5532" s="7" t="str">
        <x:v>NDE-TRV-PEA-C-X3-02</x:v>
      </x:c>
      <x:c r="F5532" s="7" t="str">
        <x:f>'NDE Records'!L288</x:f>
        <x:v>OPEN</x:v>
      </x:c>
    </x:row>
    <x:row r="5533">
      <x:c r="B5533" s="7" t="str">
        <x:v>AG-05527</x:v>
      </x:c>
      <x:c r="C5533" s="7" t="str">
        <x:v>PEA-C-X3</x:v>
      </x:c>
      <x:c r="D5533" s="7" t="str">
        <x:v>NDE record</x:v>
      </x:c>
      <x:c r="E5533" s="7" t="str">
        <x:v>NDE-TRV-PEA-C-X3-03</x:v>
      </x:c>
      <x:c r="F5533" s="7" t="str">
        <x:f>'NDE Records'!L289</x:f>
        <x:v>OPEN</x:v>
      </x:c>
    </x:row>
    <x:row r="5534">
      <x:c r="B5534" s="7" t="str">
        <x:v>AG-05528</x:v>
      </x:c>
      <x:c r="C5534" s="7" t="str">
        <x:v>PEA-C-X3</x:v>
      </x:c>
      <x:c r="D5534" s="7" t="str">
        <x:v>NDE record</x:v>
      </x:c>
      <x:c r="E5534" s="7" t="str">
        <x:v>NDE-TRV-PEA-C-X3-04</x:v>
      </x:c>
      <x:c r="F5534" s="7" t="str">
        <x:f>'NDE Records'!L290</x:f>
        <x:v>OPEN</x:v>
      </x:c>
    </x:row>
    <x:row r="5535">
      <x:c r="B5535" s="7" t="str">
        <x:v>AG-05529</x:v>
      </x:c>
      <x:c r="C5535" s="7" t="str">
        <x:v>PEA-C-X3</x:v>
      </x:c>
      <x:c r="D5535" s="7" t="str">
        <x:v>NDE record</x:v>
      </x:c>
      <x:c r="E5535" s="7" t="str">
        <x:v>NDE-TRV-PEA-C-X3-05</x:v>
      </x:c>
      <x:c r="F5535" s="7" t="str">
        <x:f>'NDE Records'!L291</x:f>
        <x:v>OPEN</x:v>
      </x:c>
    </x:row>
    <x:row r="5536">
      <x:c r="B5536" s="7" t="str">
        <x:v>AG-05530</x:v>
      </x:c>
      <x:c r="C5536" s="7" t="str">
        <x:v>PEA-C-X3</x:v>
      </x:c>
      <x:c r="D5536" s="7" t="str">
        <x:v>NDE record</x:v>
      </x:c>
      <x:c r="E5536" s="7" t="str">
        <x:v>NDE-TRV-PEA-C-X3-06</x:v>
      </x:c>
      <x:c r="F5536" s="7" t="str">
        <x:f>'NDE Records'!L292</x:f>
        <x:v>OPEN</x:v>
      </x:c>
    </x:row>
    <x:row r="5537">
      <x:c r="B5537" s="7" t="str">
        <x:v>AG-05531</x:v>
      </x:c>
      <x:c r="C5537" s="7" t="str">
        <x:v>PEA-C-X3</x:v>
      </x:c>
      <x:c r="D5537" s="7" t="str">
        <x:v>NDE record</x:v>
      </x:c>
      <x:c r="E5537" s="7" t="str">
        <x:v>NDE-TRV-PEA-C-X3-07</x:v>
      </x:c>
      <x:c r="F5537" s="7" t="str">
        <x:f>'NDE Records'!L293</x:f>
        <x:v>OPEN</x:v>
      </x:c>
    </x:row>
    <x:row r="5538">
      <x:c r="B5538" s="7" t="str">
        <x:v>AG-05532</x:v>
      </x:c>
      <x:c r="C5538" s="7" t="str">
        <x:v>PEA-C-X3</x:v>
      </x:c>
      <x:c r="D5538" s="7" t="str">
        <x:v>NDE record</x:v>
      </x:c>
      <x:c r="E5538" s="7" t="str">
        <x:v>NDE-TRV-PEA-C-X3-08</x:v>
      </x:c>
      <x:c r="F5538" s="7" t="str">
        <x:f>'NDE Records'!L294</x:f>
        <x:v>OPEN</x:v>
      </x:c>
    </x:row>
    <x:row r="5539">
      <x:c r="B5539" s="7" t="str">
        <x:v>AG-05533</x:v>
      </x:c>
      <x:c r="C5539" s="7" t="str">
        <x:v>PEA-C-X3</x:v>
      </x:c>
      <x:c r="D5539" s="7" t="str">
        <x:v>NDE record</x:v>
      </x:c>
      <x:c r="E5539" s="7" t="str">
        <x:v>NDE-TRV-PEA-C-X3-09</x:v>
      </x:c>
      <x:c r="F5539" s="7" t="str">
        <x:f>'NDE Records'!L295</x:f>
        <x:v>OPEN</x:v>
      </x:c>
    </x:row>
    <x:row r="5540">
      <x:c r="B5540" s="7" t="str">
        <x:v>AG-05534</x:v>
      </x:c>
      <x:c r="C5540" s="7" t="str">
        <x:v>PEA-C-X3</x:v>
      </x:c>
      <x:c r="D5540" s="7" t="str">
        <x:v>NDE record</x:v>
      </x:c>
      <x:c r="E5540" s="7" t="str">
        <x:v>NDE-TRV-PEA-C-X3-10</x:v>
      </x:c>
      <x:c r="F5540" s="7" t="str">
        <x:f>'NDE Records'!L296</x:f>
        <x:v>OPEN</x:v>
      </x:c>
    </x:row>
    <x:row r="5541">
      <x:c r="B5541" s="7" t="str">
        <x:v>AG-05535</x:v>
      </x:c>
      <x:c r="C5541" s="7" t="str">
        <x:v>PEA-C-X3</x:v>
      </x:c>
      <x:c r="D5541" s="7" t="str">
        <x:v>NDE record</x:v>
      </x:c>
      <x:c r="E5541" s="7" t="str">
        <x:v>NDE-TRV-PEA-C-X3-11</x:v>
      </x:c>
      <x:c r="F5541" s="7" t="str">
        <x:f>'NDE Records'!L297</x:f>
        <x:v>OPEN</x:v>
      </x:c>
    </x:row>
    <x:row r="5542">
      <x:c r="B5542" s="7" t="str">
        <x:v>AG-05536</x:v>
      </x:c>
      <x:c r="C5542" s="7" t="str">
        <x:v>PEA-C-X3</x:v>
      </x:c>
      <x:c r="D5542" s="7" t="str">
        <x:v>NDE record</x:v>
      </x:c>
      <x:c r="E5542" s="7" t="str">
        <x:v>NDE-TRV-PEA-C-X3-12</x:v>
      </x:c>
      <x:c r="F5542" s="7" t="str">
        <x:f>'NDE Records'!L298</x:f>
        <x:v>OPEN</x:v>
      </x:c>
    </x:row>
    <x:row r="5543">
      <x:c r="B5543" s="7" t="str">
        <x:v>AG-05537</x:v>
      </x:c>
      <x:c r="C5543" s="7" t="str">
        <x:v>PEA-C-X3</x:v>
      </x:c>
      <x:c r="D5543" s="7" t="str">
        <x:v>NDE record</x:v>
      </x:c>
      <x:c r="E5543" s="7" t="str">
        <x:v>NDE-TRV-PEA-C-X3-13</x:v>
      </x:c>
      <x:c r="F5543" s="7" t="str">
        <x:f>'NDE Records'!L299</x:f>
        <x:v>OPEN</x:v>
      </x:c>
    </x:row>
    <x:row r="5544">
      <x:c r="B5544" s="7" t="str">
        <x:v>AG-05538</x:v>
      </x:c>
      <x:c r="C5544" s="7" t="str">
        <x:v>PEA-C-X3</x:v>
      </x:c>
      <x:c r="D5544" s="7" t="str">
        <x:v>NDE record</x:v>
      </x:c>
      <x:c r="E5544" s="7" t="str">
        <x:v>NDE-TRV-PEA-C-X3-14</x:v>
      </x:c>
      <x:c r="F5544" s="7" t="str">
        <x:f>'NDE Records'!L300</x:f>
        <x:v>OPEN</x:v>
      </x:c>
    </x:row>
    <x:row r="5545">
      <x:c r="B5545" s="7" t="str">
        <x:v>AG-05539</x:v>
      </x:c>
      <x:c r="C5545" s="7" t="str">
        <x:v>PEA-C-X3</x:v>
      </x:c>
      <x:c r="D5545" s="7" t="str">
        <x:v>NDE record</x:v>
      </x:c>
      <x:c r="E5545" s="7" t="str">
        <x:v>NDE-TRV-PEA-C-X3-15</x:v>
      </x:c>
      <x:c r="F5545" s="7" t="str">
        <x:f>'NDE Records'!L301</x:f>
        <x:v>OPEN</x:v>
      </x:c>
    </x:row>
    <x:row r="5546">
      <x:c r="B5546" s="7" t="str">
        <x:v>AG-05540</x:v>
      </x:c>
      <x:c r="C5546" s="7" t="str">
        <x:v>PEA-C-X3</x:v>
      </x:c>
      <x:c r="D5546" s="7" t="str">
        <x:v>NDE record</x:v>
      </x:c>
      <x:c r="E5546" s="7" t="str">
        <x:v>NDE-TRV-PEA-C-X3-16</x:v>
      </x:c>
      <x:c r="F5546" s="7" t="str">
        <x:f>'NDE Records'!L302</x:f>
        <x:v>OPEN</x:v>
      </x:c>
    </x:row>
    <x:row r="5547">
      <x:c r="B5547" s="7" t="str">
        <x:v>AG-05541</x:v>
      </x:c>
      <x:c r="C5547" s="7" t="str">
        <x:v>PEA-C-X3</x:v>
      </x:c>
      <x:c r="D5547" s="7" t="str">
        <x:v>NDE record</x:v>
      </x:c>
      <x:c r="E5547" s="7" t="str">
        <x:v>NDE-TRV-PEA-C-X3-17</x:v>
      </x:c>
      <x:c r="F5547" s="7" t="str">
        <x:f>'NDE Records'!L303</x:f>
        <x:v>OPEN</x:v>
      </x:c>
    </x:row>
    <x:row r="5548">
      <x:c r="B5548" s="7" t="str">
        <x:v>AG-05542</x:v>
      </x:c>
      <x:c r="C5548" s="7" t="str">
        <x:v>PEA-C-X3</x:v>
      </x:c>
      <x:c r="D5548" s="7" t="str">
        <x:v>NDE record</x:v>
      </x:c>
      <x:c r="E5548" s="7" t="str">
        <x:v>NDE-TRV-PEA-C-X3-18</x:v>
      </x:c>
      <x:c r="F5548" s="7" t="str">
        <x:f>'NDE Records'!L304</x:f>
        <x:v>OPEN</x:v>
      </x:c>
    </x:row>
    <x:row r="5549">
      <x:c r="B5549" s="7" t="str">
        <x:v>AG-05543</x:v>
      </x:c>
      <x:c r="C5549" s="7" t="str">
        <x:v>PEA-C-X3</x:v>
      </x:c>
      <x:c r="D5549" s="7" t="str">
        <x:v>NDE record</x:v>
      </x:c>
      <x:c r="E5549" s="7" t="str">
        <x:v>NDE-TRV-PEA-C-X3-19</x:v>
      </x:c>
      <x:c r="F5549" s="7" t="str">
        <x:f>'NDE Records'!L305</x:f>
        <x:v>OPEN</x:v>
      </x:c>
    </x:row>
    <x:row r="5550">
      <x:c r="B5550" s="7" t="str">
        <x:v>AG-05544</x:v>
      </x:c>
      <x:c r="C5550" s="7" t="str">
        <x:v>PEA-C-X3</x:v>
      </x:c>
      <x:c r="D5550" s="7" t="str">
        <x:v>NDE record</x:v>
      </x:c>
      <x:c r="E5550" s="7" t="str">
        <x:v>NDE-TRV-PEA-C-X3-20</x:v>
      </x:c>
      <x:c r="F5550" s="7" t="str">
        <x:f>'NDE Records'!L306</x:f>
        <x:v>OPEN</x:v>
      </x:c>
    </x:row>
    <x:row r="5551">
      <x:c r="B5551" s="7" t="str">
        <x:v>AG-05545</x:v>
      </x:c>
      <x:c r="C5551" s="7" t="str">
        <x:v>PEA-C-X3</x:v>
      </x:c>
      <x:c r="D5551" s="7" t="str">
        <x:v>joint record</x:v>
      </x:c>
      <x:c r="E5551" s="7" t="str">
        <x:v>JNT-PEA-C-X3-1</x:v>
      </x:c>
      <x:c r="F5551" s="7" t="str">
        <x:f>'Joint Records'!M77</x:f>
        <x:v>OPEN</x:v>
      </x:c>
    </x:row>
    <x:row r="5552">
      <x:c r="B5552" s="7" t="str">
        <x:v>AG-05546</x:v>
      </x:c>
      <x:c r="C5552" s="7" t="str">
        <x:v>PEA-C-X3</x:v>
      </x:c>
      <x:c r="D5552" s="7" t="str">
        <x:v>joint record</x:v>
      </x:c>
      <x:c r="E5552" s="7" t="str">
        <x:v>JNT-PEA-C-X3-2</x:v>
      </x:c>
      <x:c r="F5552" s="7" t="str">
        <x:f>'Joint Records'!M78</x:f>
        <x:v>OPEN</x:v>
      </x:c>
    </x:row>
    <x:row r="5553">
      <x:c r="B5553" s="7" t="str">
        <x:v>AG-05547</x:v>
      </x:c>
      <x:c r="C5553" s="7" t="str">
        <x:v>PEA-C-X3</x:v>
      </x:c>
      <x:c r="D5553" s="7" t="str">
        <x:v>joint record</x:v>
      </x:c>
      <x:c r="E5553" s="7" t="str">
        <x:v>JNT-PEA-C-X3-3</x:v>
      </x:c>
      <x:c r="F5553" s="7" t="str">
        <x:f>'Joint Records'!M79</x:f>
        <x:v>OPEN</x:v>
      </x:c>
    </x:row>
    <x:row r="5554">
      <x:c r="B5554" s="7" t="str">
        <x:v>AG-05548</x:v>
      </x:c>
      <x:c r="C5554" s="7" t="str">
        <x:v>PEA-C-X3</x:v>
      </x:c>
      <x:c r="D5554" s="7" t="str">
        <x:v>joint record</x:v>
      </x:c>
      <x:c r="E5554" s="7" t="str">
        <x:v>JNT-PEA-C-X3-4</x:v>
      </x:c>
      <x:c r="F5554" s="7" t="str">
        <x:f>'Joint Records'!M80</x:f>
        <x:v>OPEN</x:v>
      </x:c>
    </x:row>
    <x:row r="5555">
      <x:c r="B5555" s="7" t="str">
        <x:v>AG-05549</x:v>
      </x:c>
      <x:c r="C5555" s="7" t="str">
        <x:v>PEA-C-X3</x:v>
      </x:c>
      <x:c r="D5555" s="7" t="str">
        <x:v>joint record</x:v>
      </x:c>
      <x:c r="E5555" s="7" t="str">
        <x:v>JNT-PEA-C-X3-5</x:v>
      </x:c>
      <x:c r="F5555" s="7" t="str">
        <x:f>'Joint Records'!M81</x:f>
        <x:v>OPEN</x:v>
      </x:c>
    </x:row>
    <x:row r="5556">
      <x:c r="B5556" s="7" t="str">
        <x:v>AG-05550</x:v>
      </x:c>
      <x:c r="C5556" s="7" t="str">
        <x:v>PEA-C-X3</x:v>
      </x:c>
      <x:c r="D5556" s="7" t="str">
        <x:v>control element</x:v>
      </x:c>
      <x:c r="E5556" s="7" t="str">
        <x:v>ELM-PEA-C-X3-01</x:v>
      </x:c>
      <x:c r="F5556" s="7" t="str">
        <x:f>'Control Elements'!L175</x:f>
        <x:v>OPEN</x:v>
      </x:c>
    </x:row>
    <x:row r="5557">
      <x:c r="B5557" s="7" t="str">
        <x:v>AG-05551</x:v>
      </x:c>
      <x:c r="C5557" s="7" t="str">
        <x:v>PEA-C-X3</x:v>
      </x:c>
      <x:c r="D5557" s="7" t="str">
        <x:v>control element</x:v>
      </x:c>
      <x:c r="E5557" s="7" t="str">
        <x:v>ELM-PEA-C-X3-02</x:v>
      </x:c>
      <x:c r="F5557" s="7" t="str">
        <x:f>'Control Elements'!L176</x:f>
        <x:v>OPEN</x:v>
      </x:c>
    </x:row>
    <x:row r="5558">
      <x:c r="B5558" s="7" t="str">
        <x:v>AG-05552</x:v>
      </x:c>
      <x:c r="C5558" s="7" t="str">
        <x:v>PEA-C-X3</x:v>
      </x:c>
      <x:c r="D5558" s="7" t="str">
        <x:v>control element</x:v>
      </x:c>
      <x:c r="E5558" s="7" t="str">
        <x:v>ELM-PEA-C-X3-03</x:v>
      </x:c>
      <x:c r="F5558" s="7" t="str">
        <x:f>'Control Elements'!L177</x:f>
        <x:v>OPEN</x:v>
      </x:c>
    </x:row>
    <x:row r="5559">
      <x:c r="B5559" s="7" t="str">
        <x:v>AG-05553</x:v>
      </x:c>
      <x:c r="C5559" s="7" t="str">
        <x:v>PEA-C-X3</x:v>
      </x:c>
      <x:c r="D5559" s="7" t="str">
        <x:v>control element</x:v>
      </x:c>
      <x:c r="E5559" s="7" t="str">
        <x:v>ELM-PEA-C-X3-04</x:v>
      </x:c>
      <x:c r="F5559" s="7" t="str">
        <x:f>'Control Elements'!L178</x:f>
        <x:v>OPEN</x:v>
      </x:c>
    </x:row>
    <x:row r="5560">
      <x:c r="B5560" s="7" t="str">
        <x:v>AG-05554</x:v>
      </x:c>
      <x:c r="C5560" s="7" t="str">
        <x:v>PEA-C-X3</x:v>
      </x:c>
      <x:c r="D5560" s="7" t="str">
        <x:v>control element</x:v>
      </x:c>
      <x:c r="E5560" s="7" t="str">
        <x:v>ELM-PEA-C-X3-05</x:v>
      </x:c>
      <x:c r="F5560" s="7" t="str">
        <x:f>'Control Elements'!L179</x:f>
        <x:v>OPEN</x:v>
      </x:c>
    </x:row>
    <x:row r="5561">
      <x:c r="B5561" s="7" t="str">
        <x:v>AG-05555</x:v>
      </x:c>
      <x:c r="C5561" s="7" t="str">
        <x:v>PEA-C-X3</x:v>
      </x:c>
      <x:c r="D5561" s="7" t="str">
        <x:v>control element</x:v>
      </x:c>
      <x:c r="E5561" s="7" t="str">
        <x:v>ELM-PEA-C-X3-06</x:v>
      </x:c>
      <x:c r="F5561" s="7" t="str">
        <x:f>'Control Elements'!L180</x:f>
        <x:v>OPEN</x:v>
      </x:c>
    </x:row>
    <x:row r="5562">
      <x:c r="B5562" s="7" t="str">
        <x:v>AG-05556</x:v>
      </x:c>
      <x:c r="C5562" s="7" t="str">
        <x:v>PEA-C-X3</x:v>
      </x:c>
      <x:c r="D5562" s="7" t="str">
        <x:v>control element</x:v>
      </x:c>
      <x:c r="E5562" s="7" t="str">
        <x:v>ELM-PEA-C-X3-07</x:v>
      </x:c>
      <x:c r="F5562" s="7" t="str">
        <x:f>'Control Elements'!L181</x:f>
        <x:v>OPEN</x:v>
      </x:c>
    </x:row>
    <x:row r="5563">
      <x:c r="B5563" s="7" t="str">
        <x:v>AG-05557</x:v>
      </x:c>
      <x:c r="C5563" s="7" t="str">
        <x:v>PEA-C-X3</x:v>
      </x:c>
      <x:c r="D5563" s="7" t="str">
        <x:v>control element</x:v>
      </x:c>
      <x:c r="E5563" s="7" t="str">
        <x:v>ELM-PEA-C-X3-08</x:v>
      </x:c>
      <x:c r="F5563" s="7" t="str">
        <x:f>'Control Elements'!L182</x:f>
        <x:v>OPEN</x:v>
      </x:c>
    </x:row>
    <x:row r="5564">
      <x:c r="B5564" s="7" t="str">
        <x:v>AG-05558</x:v>
      </x:c>
      <x:c r="C5564" s="7" t="str">
        <x:v>PEA-C-X3</x:v>
      </x:c>
      <x:c r="D5564" s="7" t="str">
        <x:v>control element</x:v>
      </x:c>
      <x:c r="E5564" s="7" t="str">
        <x:v>ELM-PEA-C-X3-09</x:v>
      </x:c>
      <x:c r="F5564" s="7" t="str">
        <x:f>'Control Elements'!L183</x:f>
        <x:v>OPEN</x:v>
      </x:c>
    </x:row>
    <x:row r="5565">
      <x:c r="B5565" s="7" t="str">
        <x:v>AG-05559</x:v>
      </x:c>
      <x:c r="C5565" s="7" t="str">
        <x:v>PEA-C-X3</x:v>
      </x:c>
      <x:c r="D5565" s="7" t="str">
        <x:v>control element</x:v>
      </x:c>
      <x:c r="E5565" s="7" t="str">
        <x:v>ELM-PEA-C-X3-10</x:v>
      </x:c>
      <x:c r="F5565" s="7" t="str">
        <x:f>'Control Elements'!L184</x:f>
        <x:v>OPEN</x:v>
      </x:c>
    </x:row>
    <x:row r="5566">
      <x:c r="B5566" s="7" t="str">
        <x:v>AG-05560</x:v>
      </x:c>
      <x:c r="C5566" s="7" t="str">
        <x:v>PEA-C-X3</x:v>
      </x:c>
      <x:c r="D5566" s="7" t="str">
        <x:v>control element</x:v>
      </x:c>
      <x:c r="E5566" s="7" t="str">
        <x:v>ELM-PEA-C-X3-11</x:v>
      </x:c>
      <x:c r="F5566" s="7" t="str">
        <x:f>'Control Elements'!L185</x:f>
        <x:v>OPEN</x:v>
      </x:c>
    </x:row>
    <x:row r="5567">
      <x:c r="B5567" s="7" t="str">
        <x:v>AG-05561</x:v>
      </x:c>
      <x:c r="C5567" s="7" t="str">
        <x:v>PEA-C-X3</x:v>
      </x:c>
      <x:c r="D5567" s="7" t="str">
        <x:v>control element</x:v>
      </x:c>
      <x:c r="E5567" s="7" t="str">
        <x:v>ELM-PEA-C-X3-12</x:v>
      </x:c>
      <x:c r="F5567" s="7" t="str">
        <x:f>'Control Elements'!L186</x:f>
        <x:v>OPEN</x:v>
      </x:c>
    </x:row>
    <x:row r="5568">
      <x:c r="B5568" s="7" t="str">
        <x:v>AG-05562</x:v>
      </x:c>
      <x:c r="C5568" s="7" t="str">
        <x:v>PEA-C-X3</x:v>
      </x:c>
      <x:c r="D5568" s="7" t="str">
        <x:v>channel instance</x:v>
      </x:c>
      <x:c r="E5568" s="7" t="str">
        <x:v>CH-PEA-C-X3-01-1</x:v>
      </x:c>
      <x:c r="F5568" s="7" t="str">
        <x:f>'Channel Instances'!O2023</x:f>
        <x:v>OPEN</x:v>
      </x:c>
    </x:row>
    <x:row r="5569">
      <x:c r="B5569" s="7" t="str">
        <x:v>AG-05563</x:v>
      </x:c>
      <x:c r="C5569" s="7" t="str">
        <x:v>PEA-C-X3</x:v>
      </x:c>
      <x:c r="D5569" s="7" t="str">
        <x:v>channel instance</x:v>
      </x:c>
      <x:c r="E5569" s="7" t="str">
        <x:v>CH-PEA-C-X3-01-2</x:v>
      </x:c>
      <x:c r="F5569" s="7" t="str">
        <x:f>'Channel Instances'!O2024</x:f>
        <x:v>OPEN</x:v>
      </x:c>
    </x:row>
    <x:row r="5570">
      <x:c r="B5570" s="7" t="str">
        <x:v>AG-05564</x:v>
      </x:c>
      <x:c r="C5570" s="7" t="str">
        <x:v>PEA-C-X3</x:v>
      </x:c>
      <x:c r="D5570" s="7" t="str">
        <x:v>channel instance</x:v>
      </x:c>
      <x:c r="E5570" s="7" t="str">
        <x:v>CH-PEA-C-X3-01-3</x:v>
      </x:c>
      <x:c r="F5570" s="7" t="str">
        <x:f>'Channel Instances'!O2025</x:f>
        <x:v>OPEN</x:v>
      </x:c>
    </x:row>
    <x:row r="5571">
      <x:c r="B5571" s="7" t="str">
        <x:v>AG-05565</x:v>
      </x:c>
      <x:c r="C5571" s="7" t="str">
        <x:v>PEA-C-X3</x:v>
      </x:c>
      <x:c r="D5571" s="7" t="str">
        <x:v>channel instance</x:v>
      </x:c>
      <x:c r="E5571" s="7" t="str">
        <x:v>CH-PEA-C-X3-01-4</x:v>
      </x:c>
      <x:c r="F5571" s="7" t="str">
        <x:f>'Channel Instances'!O2026</x:f>
        <x:v>OPEN</x:v>
      </x:c>
    </x:row>
    <x:row r="5572">
      <x:c r="B5572" s="7" t="str">
        <x:v>AG-05566</x:v>
      </x:c>
      <x:c r="C5572" s="7" t="str">
        <x:v>PEA-C-X3</x:v>
      </x:c>
      <x:c r="D5572" s="7" t="str">
        <x:v>channel instance</x:v>
      </x:c>
      <x:c r="E5572" s="7" t="str">
        <x:v>CH-PEA-C-X3-01-5</x:v>
      </x:c>
      <x:c r="F5572" s="7" t="str">
        <x:f>'Channel Instances'!O2027</x:f>
        <x:v>OPEN</x:v>
      </x:c>
    </x:row>
    <x:row r="5573">
      <x:c r="B5573" s="7" t="str">
        <x:v>AG-05567</x:v>
      </x:c>
      <x:c r="C5573" s="7" t="str">
        <x:v>PEA-C-X3</x:v>
      </x:c>
      <x:c r="D5573" s="7" t="str">
        <x:v>channel instance</x:v>
      </x:c>
      <x:c r="E5573" s="7" t="str">
        <x:v>CH-PEA-C-X3-01-6</x:v>
      </x:c>
      <x:c r="F5573" s="7" t="str">
        <x:f>'Channel Instances'!O2028</x:f>
        <x:v>OPEN</x:v>
      </x:c>
    </x:row>
    <x:row r="5574">
      <x:c r="B5574" s="7" t="str">
        <x:v>AG-05568</x:v>
      </x:c>
      <x:c r="C5574" s="7" t="str">
        <x:v>PEA-C-X3</x:v>
      </x:c>
      <x:c r="D5574" s="7" t="str">
        <x:v>channel instance</x:v>
      </x:c>
      <x:c r="E5574" s="7" t="str">
        <x:v>CH-PEA-C-X3-02-1</x:v>
      </x:c>
      <x:c r="F5574" s="7" t="str">
        <x:f>'Channel Instances'!O2029</x:f>
        <x:v>OPEN</x:v>
      </x:c>
    </x:row>
    <x:row r="5575">
      <x:c r="B5575" s="7" t="str">
        <x:v>AG-05569</x:v>
      </x:c>
      <x:c r="C5575" s="7" t="str">
        <x:v>PEA-C-X3</x:v>
      </x:c>
      <x:c r="D5575" s="7" t="str">
        <x:v>channel instance</x:v>
      </x:c>
      <x:c r="E5575" s="7" t="str">
        <x:v>CH-PEA-C-X3-02-2</x:v>
      </x:c>
      <x:c r="F5575" s="7" t="str">
        <x:f>'Channel Instances'!O2030</x:f>
        <x:v>OPEN</x:v>
      </x:c>
    </x:row>
    <x:row r="5576">
      <x:c r="B5576" s="7" t="str">
        <x:v>AG-05570</x:v>
      </x:c>
      <x:c r="C5576" s="7" t="str">
        <x:v>PEA-C-X3</x:v>
      </x:c>
      <x:c r="D5576" s="7" t="str">
        <x:v>channel instance</x:v>
      </x:c>
      <x:c r="E5576" s="7" t="str">
        <x:v>CH-PEA-C-X3-02-3</x:v>
      </x:c>
      <x:c r="F5576" s="7" t="str">
        <x:f>'Channel Instances'!O2031</x:f>
        <x:v>OPEN</x:v>
      </x:c>
    </x:row>
    <x:row r="5577">
      <x:c r="B5577" s="7" t="str">
        <x:v>AG-05571</x:v>
      </x:c>
      <x:c r="C5577" s="7" t="str">
        <x:v>PEA-C-X3</x:v>
      </x:c>
      <x:c r="D5577" s="7" t="str">
        <x:v>channel instance</x:v>
      </x:c>
      <x:c r="E5577" s="7" t="str">
        <x:v>CH-PEA-C-X3-02-4</x:v>
      </x:c>
      <x:c r="F5577" s="7" t="str">
        <x:f>'Channel Instances'!O2032</x:f>
        <x:v>OPEN</x:v>
      </x:c>
    </x:row>
    <x:row r="5578">
      <x:c r="B5578" s="7" t="str">
        <x:v>AG-05572</x:v>
      </x:c>
      <x:c r="C5578" s="7" t="str">
        <x:v>PEA-C-X3</x:v>
      </x:c>
      <x:c r="D5578" s="7" t="str">
        <x:v>channel instance</x:v>
      </x:c>
      <x:c r="E5578" s="7" t="str">
        <x:v>CH-PEA-C-X3-02-5</x:v>
      </x:c>
      <x:c r="F5578" s="7" t="str">
        <x:f>'Channel Instances'!O2033</x:f>
        <x:v>OPEN</x:v>
      </x:c>
    </x:row>
    <x:row r="5579">
      <x:c r="B5579" s="7" t="str">
        <x:v>AG-05573</x:v>
      </x:c>
      <x:c r="C5579" s="7" t="str">
        <x:v>PEA-C-X3</x:v>
      </x:c>
      <x:c r="D5579" s="7" t="str">
        <x:v>channel instance</x:v>
      </x:c>
      <x:c r="E5579" s="7" t="str">
        <x:v>CH-PEA-C-X3-02-6</x:v>
      </x:c>
      <x:c r="F5579" s="7" t="str">
        <x:f>'Channel Instances'!O2034</x:f>
        <x:v>OPEN</x:v>
      </x:c>
    </x:row>
    <x:row r="5580">
      <x:c r="B5580" s="7" t="str">
        <x:v>AG-05574</x:v>
      </x:c>
      <x:c r="C5580" s="7" t="str">
        <x:v>PEA-C-X3</x:v>
      </x:c>
      <x:c r="D5580" s="7" t="str">
        <x:v>channel instance</x:v>
      </x:c>
      <x:c r="E5580" s="7" t="str">
        <x:v>CH-PEA-C-X3-03-1</x:v>
      </x:c>
      <x:c r="F5580" s="7" t="str">
        <x:f>'Channel Instances'!O2035</x:f>
        <x:v>OPEN</x:v>
      </x:c>
    </x:row>
    <x:row r="5581">
      <x:c r="B5581" s="7" t="str">
        <x:v>AG-05575</x:v>
      </x:c>
      <x:c r="C5581" s="7" t="str">
        <x:v>PEA-C-X3</x:v>
      </x:c>
      <x:c r="D5581" s="7" t="str">
        <x:v>channel instance</x:v>
      </x:c>
      <x:c r="E5581" s="7" t="str">
        <x:v>CH-PEA-C-X3-03-2</x:v>
      </x:c>
      <x:c r="F5581" s="7" t="str">
        <x:f>'Channel Instances'!O2036</x:f>
        <x:v>OPEN</x:v>
      </x:c>
    </x:row>
    <x:row r="5582">
      <x:c r="B5582" s="7" t="str">
        <x:v>AG-05576</x:v>
      </x:c>
      <x:c r="C5582" s="7" t="str">
        <x:v>PEA-C-X3</x:v>
      </x:c>
      <x:c r="D5582" s="7" t="str">
        <x:v>channel instance</x:v>
      </x:c>
      <x:c r="E5582" s="7" t="str">
        <x:v>CH-PEA-C-X3-03-3</x:v>
      </x:c>
      <x:c r="F5582" s="7" t="str">
        <x:f>'Channel Instances'!O2037</x:f>
        <x:v>OPEN</x:v>
      </x:c>
    </x:row>
    <x:row r="5583">
      <x:c r="B5583" s="7" t="str">
        <x:v>AG-05577</x:v>
      </x:c>
      <x:c r="C5583" s="7" t="str">
        <x:v>PEA-C-X3</x:v>
      </x:c>
      <x:c r="D5583" s="7" t="str">
        <x:v>channel instance</x:v>
      </x:c>
      <x:c r="E5583" s="7" t="str">
        <x:v>CH-PEA-C-X3-03-4</x:v>
      </x:c>
      <x:c r="F5583" s="7" t="str">
        <x:f>'Channel Instances'!O2038</x:f>
        <x:v>OPEN</x:v>
      </x:c>
    </x:row>
    <x:row r="5584">
      <x:c r="B5584" s="7" t="str">
        <x:v>AG-05578</x:v>
      </x:c>
      <x:c r="C5584" s="7" t="str">
        <x:v>PEA-C-X3</x:v>
      </x:c>
      <x:c r="D5584" s="7" t="str">
        <x:v>channel instance</x:v>
      </x:c>
      <x:c r="E5584" s="7" t="str">
        <x:v>CH-PEA-C-X3-03-5</x:v>
      </x:c>
      <x:c r="F5584" s="7" t="str">
        <x:f>'Channel Instances'!O2039</x:f>
        <x:v>OPEN</x:v>
      </x:c>
    </x:row>
    <x:row r="5585">
      <x:c r="B5585" s="7" t="str">
        <x:v>AG-05579</x:v>
      </x:c>
      <x:c r="C5585" s="7" t="str">
        <x:v>PEA-C-X3</x:v>
      </x:c>
      <x:c r="D5585" s="7" t="str">
        <x:v>channel instance</x:v>
      </x:c>
      <x:c r="E5585" s="7" t="str">
        <x:v>CH-PEA-C-X3-03-6</x:v>
      </x:c>
      <x:c r="F5585" s="7" t="str">
        <x:f>'Channel Instances'!O2040</x:f>
        <x:v>OPEN</x:v>
      </x:c>
    </x:row>
    <x:row r="5586">
      <x:c r="B5586" s="7" t="str">
        <x:v>AG-05580</x:v>
      </x:c>
      <x:c r="C5586" s="7" t="str">
        <x:v>PEA-C-X3</x:v>
      </x:c>
      <x:c r="D5586" s="7" t="str">
        <x:v>channel instance</x:v>
      </x:c>
      <x:c r="E5586" s="7" t="str">
        <x:v>CH-PEA-C-X3-04-1</x:v>
      </x:c>
      <x:c r="F5586" s="7" t="str">
        <x:f>'Channel Instances'!O2041</x:f>
        <x:v>OPEN</x:v>
      </x:c>
    </x:row>
    <x:row r="5587">
      <x:c r="B5587" s="7" t="str">
        <x:v>AG-05581</x:v>
      </x:c>
      <x:c r="C5587" s="7" t="str">
        <x:v>PEA-C-X3</x:v>
      </x:c>
      <x:c r="D5587" s="7" t="str">
        <x:v>channel instance</x:v>
      </x:c>
      <x:c r="E5587" s="7" t="str">
        <x:v>CH-PEA-C-X3-04-2</x:v>
      </x:c>
      <x:c r="F5587" s="7" t="str">
        <x:f>'Channel Instances'!O2042</x:f>
        <x:v>OPEN</x:v>
      </x:c>
    </x:row>
    <x:row r="5588">
      <x:c r="B5588" s="7" t="str">
        <x:v>AG-05582</x:v>
      </x:c>
      <x:c r="C5588" s="7" t="str">
        <x:v>PEA-C-X3</x:v>
      </x:c>
      <x:c r="D5588" s="7" t="str">
        <x:v>channel instance</x:v>
      </x:c>
      <x:c r="E5588" s="7" t="str">
        <x:v>CH-PEA-C-X3-04-3</x:v>
      </x:c>
      <x:c r="F5588" s="7" t="str">
        <x:f>'Channel Instances'!O2043</x:f>
        <x:v>OPEN</x:v>
      </x:c>
    </x:row>
    <x:row r="5589">
      <x:c r="B5589" s="7" t="str">
        <x:v>AG-05583</x:v>
      </x:c>
      <x:c r="C5589" s="7" t="str">
        <x:v>PEA-C-X3</x:v>
      </x:c>
      <x:c r="D5589" s="7" t="str">
        <x:v>channel instance</x:v>
      </x:c>
      <x:c r="E5589" s="7" t="str">
        <x:v>CH-PEA-C-X3-04-4</x:v>
      </x:c>
      <x:c r="F5589" s="7" t="str">
        <x:f>'Channel Instances'!O2044</x:f>
        <x:v>OPEN</x:v>
      </x:c>
    </x:row>
    <x:row r="5590">
      <x:c r="B5590" s="7" t="str">
        <x:v>AG-05584</x:v>
      </x:c>
      <x:c r="C5590" s="7" t="str">
        <x:v>PEA-C-X3</x:v>
      </x:c>
      <x:c r="D5590" s="7" t="str">
        <x:v>channel instance</x:v>
      </x:c>
      <x:c r="E5590" s="7" t="str">
        <x:v>CH-PEA-C-X3-04-5</x:v>
      </x:c>
      <x:c r="F5590" s="7" t="str">
        <x:f>'Channel Instances'!O2045</x:f>
        <x:v>OPEN</x:v>
      </x:c>
    </x:row>
    <x:row r="5591">
      <x:c r="B5591" s="7" t="str">
        <x:v>AG-05585</x:v>
      </x:c>
      <x:c r="C5591" s="7" t="str">
        <x:v>PEA-C-X3</x:v>
      </x:c>
      <x:c r="D5591" s="7" t="str">
        <x:v>channel instance</x:v>
      </x:c>
      <x:c r="E5591" s="7" t="str">
        <x:v>CH-PEA-C-X3-04-6</x:v>
      </x:c>
      <x:c r="F5591" s="7" t="str">
        <x:f>'Channel Instances'!O2046</x:f>
        <x:v>OPEN</x:v>
      </x:c>
    </x:row>
    <x:row r="5592">
      <x:c r="B5592" s="7" t="str">
        <x:v>AG-05586</x:v>
      </x:c>
      <x:c r="C5592" s="7" t="str">
        <x:v>PEA-C-X3</x:v>
      </x:c>
      <x:c r="D5592" s="7" t="str">
        <x:v>channel instance</x:v>
      </x:c>
      <x:c r="E5592" s="7" t="str">
        <x:v>CH-PEA-C-X3-05-1</x:v>
      </x:c>
      <x:c r="F5592" s="7" t="str">
        <x:f>'Channel Instances'!O2047</x:f>
        <x:v>OPEN</x:v>
      </x:c>
    </x:row>
    <x:row r="5593">
      <x:c r="B5593" s="7" t="str">
        <x:v>AG-05587</x:v>
      </x:c>
      <x:c r="C5593" s="7" t="str">
        <x:v>PEA-C-X3</x:v>
      </x:c>
      <x:c r="D5593" s="7" t="str">
        <x:v>channel instance</x:v>
      </x:c>
      <x:c r="E5593" s="7" t="str">
        <x:v>CH-PEA-C-X3-05-2</x:v>
      </x:c>
      <x:c r="F5593" s="7" t="str">
        <x:f>'Channel Instances'!O2048</x:f>
        <x:v>OPEN</x:v>
      </x:c>
    </x:row>
    <x:row r="5594">
      <x:c r="B5594" s="7" t="str">
        <x:v>AG-05588</x:v>
      </x:c>
      <x:c r="C5594" s="7" t="str">
        <x:v>PEA-C-X3</x:v>
      </x:c>
      <x:c r="D5594" s="7" t="str">
        <x:v>channel instance</x:v>
      </x:c>
      <x:c r="E5594" s="7" t="str">
        <x:v>CH-PEA-C-X3-05-3</x:v>
      </x:c>
      <x:c r="F5594" s="7" t="str">
        <x:f>'Channel Instances'!O2049</x:f>
        <x:v>OPEN</x:v>
      </x:c>
    </x:row>
    <x:row r="5595">
      <x:c r="B5595" s="7" t="str">
        <x:v>AG-05589</x:v>
      </x:c>
      <x:c r="C5595" s="7" t="str">
        <x:v>PEA-C-X3</x:v>
      </x:c>
      <x:c r="D5595" s="7" t="str">
        <x:v>channel instance</x:v>
      </x:c>
      <x:c r="E5595" s="7" t="str">
        <x:v>CH-PEA-C-X3-05-4</x:v>
      </x:c>
      <x:c r="F5595" s="7" t="str">
        <x:f>'Channel Instances'!O2050</x:f>
        <x:v>OPEN</x:v>
      </x:c>
    </x:row>
    <x:row r="5596">
      <x:c r="B5596" s="7" t="str">
        <x:v>AG-05590</x:v>
      </x:c>
      <x:c r="C5596" s="7" t="str">
        <x:v>PEA-C-X3</x:v>
      </x:c>
      <x:c r="D5596" s="7" t="str">
        <x:v>channel instance</x:v>
      </x:c>
      <x:c r="E5596" s="7" t="str">
        <x:v>CH-PEA-C-X3-05-5</x:v>
      </x:c>
      <x:c r="F5596" s="7" t="str">
        <x:f>'Channel Instances'!O2051</x:f>
        <x:v>OPEN</x:v>
      </x:c>
    </x:row>
    <x:row r="5597">
      <x:c r="B5597" s="7" t="str">
        <x:v>AG-05591</x:v>
      </x:c>
      <x:c r="C5597" s="7" t="str">
        <x:v>PEA-C-X3</x:v>
      </x:c>
      <x:c r="D5597" s="7" t="str">
        <x:v>channel instance</x:v>
      </x:c>
      <x:c r="E5597" s="7" t="str">
        <x:v>CH-PEA-C-X3-05-6</x:v>
      </x:c>
      <x:c r="F5597" s="7" t="str">
        <x:f>'Channel Instances'!O2052</x:f>
        <x:v>OPEN</x:v>
      </x:c>
    </x:row>
    <x:row r="5598">
      <x:c r="B5598" s="7" t="str">
        <x:v>AG-05592</x:v>
      </x:c>
      <x:c r="C5598" s="7" t="str">
        <x:v>PEA-C-X3</x:v>
      </x:c>
      <x:c r="D5598" s="7" t="str">
        <x:v>channel instance</x:v>
      </x:c>
      <x:c r="E5598" s="7" t="str">
        <x:v>CH-PEA-C-X3-06-1</x:v>
      </x:c>
      <x:c r="F5598" s="7" t="str">
        <x:f>'Channel Instances'!O2053</x:f>
        <x:v>OPEN</x:v>
      </x:c>
    </x:row>
    <x:row r="5599">
      <x:c r="B5599" s="7" t="str">
        <x:v>AG-05593</x:v>
      </x:c>
      <x:c r="C5599" s="7" t="str">
        <x:v>PEA-C-X3</x:v>
      </x:c>
      <x:c r="D5599" s="7" t="str">
        <x:v>channel instance</x:v>
      </x:c>
      <x:c r="E5599" s="7" t="str">
        <x:v>CH-PEA-C-X3-06-2</x:v>
      </x:c>
      <x:c r="F5599" s="7" t="str">
        <x:f>'Channel Instances'!O2054</x:f>
        <x:v>OPEN</x:v>
      </x:c>
    </x:row>
    <x:row r="5600">
      <x:c r="B5600" s="7" t="str">
        <x:v>AG-05594</x:v>
      </x:c>
      <x:c r="C5600" s="7" t="str">
        <x:v>PEA-C-X3</x:v>
      </x:c>
      <x:c r="D5600" s="7" t="str">
        <x:v>channel instance</x:v>
      </x:c>
      <x:c r="E5600" s="7" t="str">
        <x:v>CH-PEA-C-X3-06-3</x:v>
      </x:c>
      <x:c r="F5600" s="7" t="str">
        <x:f>'Channel Instances'!O2055</x:f>
        <x:v>OPEN</x:v>
      </x:c>
    </x:row>
    <x:row r="5601">
      <x:c r="B5601" s="7" t="str">
        <x:v>AG-05595</x:v>
      </x:c>
      <x:c r="C5601" s="7" t="str">
        <x:v>PEA-C-X3</x:v>
      </x:c>
      <x:c r="D5601" s="7" t="str">
        <x:v>channel instance</x:v>
      </x:c>
      <x:c r="E5601" s="7" t="str">
        <x:v>CH-PEA-C-X3-06-4</x:v>
      </x:c>
      <x:c r="F5601" s="7" t="str">
        <x:f>'Channel Instances'!O2056</x:f>
        <x:v>OPEN</x:v>
      </x:c>
    </x:row>
    <x:row r="5602">
      <x:c r="B5602" s="7" t="str">
        <x:v>AG-05596</x:v>
      </x:c>
      <x:c r="C5602" s="7" t="str">
        <x:v>PEA-C-X3</x:v>
      </x:c>
      <x:c r="D5602" s="7" t="str">
        <x:v>channel instance</x:v>
      </x:c>
      <x:c r="E5602" s="7" t="str">
        <x:v>CH-PEA-C-X3-06-5</x:v>
      </x:c>
      <x:c r="F5602" s="7" t="str">
        <x:f>'Channel Instances'!O2057</x:f>
        <x:v>OPEN</x:v>
      </x:c>
    </x:row>
    <x:row r="5603">
      <x:c r="B5603" s="7" t="str">
        <x:v>AG-05597</x:v>
      </x:c>
      <x:c r="C5603" s="7" t="str">
        <x:v>PEA-C-X3</x:v>
      </x:c>
      <x:c r="D5603" s="7" t="str">
        <x:v>channel instance</x:v>
      </x:c>
      <x:c r="E5603" s="7" t="str">
        <x:v>CH-PEA-C-X3-06-6</x:v>
      </x:c>
      <x:c r="F5603" s="7" t="str">
        <x:f>'Channel Instances'!O2058</x:f>
        <x:v>OPEN</x:v>
      </x:c>
    </x:row>
    <x:row r="5604">
      <x:c r="B5604" s="7" t="str">
        <x:v>AG-05598</x:v>
      </x:c>
      <x:c r="C5604" s="7" t="str">
        <x:v>PEA-C-X3</x:v>
      </x:c>
      <x:c r="D5604" s="7" t="str">
        <x:v>channel instance</x:v>
      </x:c>
      <x:c r="E5604" s="7" t="str">
        <x:v>CH-PEA-C-X3-07-1</x:v>
      </x:c>
      <x:c r="F5604" s="7" t="str">
        <x:f>'Channel Instances'!O2059</x:f>
        <x:v>OPEN</x:v>
      </x:c>
    </x:row>
    <x:row r="5605">
      <x:c r="B5605" s="7" t="str">
        <x:v>AG-05599</x:v>
      </x:c>
      <x:c r="C5605" s="7" t="str">
        <x:v>PEA-C-X3</x:v>
      </x:c>
      <x:c r="D5605" s="7" t="str">
        <x:v>channel instance</x:v>
      </x:c>
      <x:c r="E5605" s="7" t="str">
        <x:v>CH-PEA-C-X3-07-2</x:v>
      </x:c>
      <x:c r="F5605" s="7" t="str">
        <x:f>'Channel Instances'!O2060</x:f>
        <x:v>OPEN</x:v>
      </x:c>
    </x:row>
    <x:row r="5606">
      <x:c r="B5606" s="7" t="str">
        <x:v>AG-05600</x:v>
      </x:c>
      <x:c r="C5606" s="7" t="str">
        <x:v>PEA-C-X3</x:v>
      </x:c>
      <x:c r="D5606" s="7" t="str">
        <x:v>channel instance</x:v>
      </x:c>
      <x:c r="E5606" s="7" t="str">
        <x:v>CH-PEA-C-X3-07-3</x:v>
      </x:c>
      <x:c r="F5606" s="7" t="str">
        <x:f>'Channel Instances'!O2061</x:f>
        <x:v>OPEN</x:v>
      </x:c>
    </x:row>
    <x:row r="5607">
      <x:c r="B5607" s="7" t="str">
        <x:v>AG-05601</x:v>
      </x:c>
      <x:c r="C5607" s="7" t="str">
        <x:v>PEA-C-X3</x:v>
      </x:c>
      <x:c r="D5607" s="7" t="str">
        <x:v>channel instance</x:v>
      </x:c>
      <x:c r="E5607" s="7" t="str">
        <x:v>CH-PEA-C-X3-07-4</x:v>
      </x:c>
      <x:c r="F5607" s="7" t="str">
        <x:f>'Channel Instances'!O2062</x:f>
        <x:v>OPEN</x:v>
      </x:c>
    </x:row>
    <x:row r="5608">
      <x:c r="B5608" s="7" t="str">
        <x:v>AG-05602</x:v>
      </x:c>
      <x:c r="C5608" s="7" t="str">
        <x:v>PEA-C-X3</x:v>
      </x:c>
      <x:c r="D5608" s="7" t="str">
        <x:v>channel instance</x:v>
      </x:c>
      <x:c r="E5608" s="7" t="str">
        <x:v>CH-PEA-C-X3-07-5</x:v>
      </x:c>
      <x:c r="F5608" s="7" t="str">
        <x:f>'Channel Instances'!O2063</x:f>
        <x:v>OPEN</x:v>
      </x:c>
    </x:row>
    <x:row r="5609">
      <x:c r="B5609" s="7" t="str">
        <x:v>AG-05603</x:v>
      </x:c>
      <x:c r="C5609" s="7" t="str">
        <x:v>PEA-C-X3</x:v>
      </x:c>
      <x:c r="D5609" s="7" t="str">
        <x:v>channel instance</x:v>
      </x:c>
      <x:c r="E5609" s="7" t="str">
        <x:v>CH-PEA-C-X3-07-6</x:v>
      </x:c>
      <x:c r="F5609" s="7" t="str">
        <x:f>'Channel Instances'!O2064</x:f>
        <x:v>OPEN</x:v>
      </x:c>
    </x:row>
    <x:row r="5610">
      <x:c r="B5610" s="7" t="str">
        <x:v>AG-05604</x:v>
      </x:c>
      <x:c r="C5610" s="7" t="str">
        <x:v>PEA-C-X3</x:v>
      </x:c>
      <x:c r="D5610" s="7" t="str">
        <x:v>channel instance</x:v>
      </x:c>
      <x:c r="E5610" s="7" t="str">
        <x:v>CH-PEA-C-X3-08-1</x:v>
      </x:c>
      <x:c r="F5610" s="7" t="str">
        <x:f>'Channel Instances'!O2065</x:f>
        <x:v>OPEN</x:v>
      </x:c>
    </x:row>
    <x:row r="5611">
      <x:c r="B5611" s="7" t="str">
        <x:v>AG-05605</x:v>
      </x:c>
      <x:c r="C5611" s="7" t="str">
        <x:v>PEA-C-X3</x:v>
      </x:c>
      <x:c r="D5611" s="7" t="str">
        <x:v>channel instance</x:v>
      </x:c>
      <x:c r="E5611" s="7" t="str">
        <x:v>CH-PEA-C-X3-08-2</x:v>
      </x:c>
      <x:c r="F5611" s="7" t="str">
        <x:f>'Channel Instances'!O2066</x:f>
        <x:v>OPEN</x:v>
      </x:c>
    </x:row>
    <x:row r="5612">
      <x:c r="B5612" s="7" t="str">
        <x:v>AG-05606</x:v>
      </x:c>
      <x:c r="C5612" s="7" t="str">
        <x:v>PEA-C-X3</x:v>
      </x:c>
      <x:c r="D5612" s="7" t="str">
        <x:v>channel instance</x:v>
      </x:c>
      <x:c r="E5612" s="7" t="str">
        <x:v>CH-PEA-C-X3-08-3</x:v>
      </x:c>
      <x:c r="F5612" s="7" t="str">
        <x:f>'Channel Instances'!O2067</x:f>
        <x:v>OPEN</x:v>
      </x:c>
    </x:row>
    <x:row r="5613">
      <x:c r="B5613" s="7" t="str">
        <x:v>AG-05607</x:v>
      </x:c>
      <x:c r="C5613" s="7" t="str">
        <x:v>PEA-C-X3</x:v>
      </x:c>
      <x:c r="D5613" s="7" t="str">
        <x:v>channel instance</x:v>
      </x:c>
      <x:c r="E5613" s="7" t="str">
        <x:v>CH-PEA-C-X3-08-4</x:v>
      </x:c>
      <x:c r="F5613" s="7" t="str">
        <x:f>'Channel Instances'!O2068</x:f>
        <x:v>OPEN</x:v>
      </x:c>
    </x:row>
    <x:row r="5614">
      <x:c r="B5614" s="7" t="str">
        <x:v>AG-05608</x:v>
      </x:c>
      <x:c r="C5614" s="7" t="str">
        <x:v>PEA-C-X3</x:v>
      </x:c>
      <x:c r="D5614" s="7" t="str">
        <x:v>channel instance</x:v>
      </x:c>
      <x:c r="E5614" s="7" t="str">
        <x:v>CH-PEA-C-X3-08-5</x:v>
      </x:c>
      <x:c r="F5614" s="7" t="str">
        <x:f>'Channel Instances'!O2069</x:f>
        <x:v>OPEN</x:v>
      </x:c>
    </x:row>
    <x:row r="5615">
      <x:c r="B5615" s="7" t="str">
        <x:v>AG-05609</x:v>
      </x:c>
      <x:c r="C5615" s="7" t="str">
        <x:v>PEA-C-X3</x:v>
      </x:c>
      <x:c r="D5615" s="7" t="str">
        <x:v>channel instance</x:v>
      </x:c>
      <x:c r="E5615" s="7" t="str">
        <x:v>CH-PEA-C-X3-08-6</x:v>
      </x:c>
      <x:c r="F5615" s="7" t="str">
        <x:f>'Channel Instances'!O2070</x:f>
        <x:v>OPEN</x:v>
      </x:c>
    </x:row>
    <x:row r="5616">
      <x:c r="B5616" s="7" t="str">
        <x:v>AG-05610</x:v>
      </x:c>
      <x:c r="C5616" s="7" t="str">
        <x:v>PEA-C-X3</x:v>
      </x:c>
      <x:c r="D5616" s="7" t="str">
        <x:v>channel instance</x:v>
      </x:c>
      <x:c r="E5616" s="7" t="str">
        <x:v>CH-PEA-C-X3-09-1</x:v>
      </x:c>
      <x:c r="F5616" s="7" t="str">
        <x:f>'Channel Instances'!O2071</x:f>
        <x:v>OPEN</x:v>
      </x:c>
    </x:row>
    <x:row r="5617">
      <x:c r="B5617" s="7" t="str">
        <x:v>AG-05611</x:v>
      </x:c>
      <x:c r="C5617" s="7" t="str">
        <x:v>PEA-C-X3</x:v>
      </x:c>
      <x:c r="D5617" s="7" t="str">
        <x:v>channel instance</x:v>
      </x:c>
      <x:c r="E5617" s="7" t="str">
        <x:v>CH-PEA-C-X3-09-2</x:v>
      </x:c>
      <x:c r="F5617" s="7" t="str">
        <x:f>'Channel Instances'!O2072</x:f>
        <x:v>OPEN</x:v>
      </x:c>
    </x:row>
    <x:row r="5618">
      <x:c r="B5618" s="7" t="str">
        <x:v>AG-05612</x:v>
      </x:c>
      <x:c r="C5618" s="7" t="str">
        <x:v>PEA-C-X3</x:v>
      </x:c>
      <x:c r="D5618" s="7" t="str">
        <x:v>channel instance</x:v>
      </x:c>
      <x:c r="E5618" s="7" t="str">
        <x:v>CH-PEA-C-X3-09-3</x:v>
      </x:c>
      <x:c r="F5618" s="7" t="str">
        <x:f>'Channel Instances'!O2073</x:f>
        <x:v>OPEN</x:v>
      </x:c>
    </x:row>
    <x:row r="5619">
      <x:c r="B5619" s="7" t="str">
        <x:v>AG-05613</x:v>
      </x:c>
      <x:c r="C5619" s="7" t="str">
        <x:v>PEA-C-X3</x:v>
      </x:c>
      <x:c r="D5619" s="7" t="str">
        <x:v>channel instance</x:v>
      </x:c>
      <x:c r="E5619" s="7" t="str">
        <x:v>CH-PEA-C-X3-09-4</x:v>
      </x:c>
      <x:c r="F5619" s="7" t="str">
        <x:f>'Channel Instances'!O2074</x:f>
        <x:v>OPEN</x:v>
      </x:c>
    </x:row>
    <x:row r="5620">
      <x:c r="B5620" s="7" t="str">
        <x:v>AG-05614</x:v>
      </x:c>
      <x:c r="C5620" s="7" t="str">
        <x:v>PEA-C-X3</x:v>
      </x:c>
      <x:c r="D5620" s="7" t="str">
        <x:v>channel instance</x:v>
      </x:c>
      <x:c r="E5620" s="7" t="str">
        <x:v>CH-PEA-C-X3-09-5</x:v>
      </x:c>
      <x:c r="F5620" s="7" t="str">
        <x:f>'Channel Instances'!O2075</x:f>
        <x:v>OPEN</x:v>
      </x:c>
    </x:row>
    <x:row r="5621">
      <x:c r="B5621" s="7" t="str">
        <x:v>AG-05615</x:v>
      </x:c>
      <x:c r="C5621" s="7" t="str">
        <x:v>PEA-C-X3</x:v>
      </x:c>
      <x:c r="D5621" s="7" t="str">
        <x:v>channel instance</x:v>
      </x:c>
      <x:c r="E5621" s="7" t="str">
        <x:v>CH-PEA-C-X3-09-6</x:v>
      </x:c>
      <x:c r="F5621" s="7" t="str">
        <x:f>'Channel Instances'!O2076</x:f>
        <x:v>OPEN</x:v>
      </x:c>
    </x:row>
    <x:row r="5622">
      <x:c r="B5622" s="7" t="str">
        <x:v>AG-05616</x:v>
      </x:c>
      <x:c r="C5622" s="7" t="str">
        <x:v>PEA-C-X3</x:v>
      </x:c>
      <x:c r="D5622" s="7" t="str">
        <x:v>channel instance</x:v>
      </x:c>
      <x:c r="E5622" s="7" t="str">
        <x:v>CH-PEA-C-X3-10-1</x:v>
      </x:c>
      <x:c r="F5622" s="7" t="str">
        <x:f>'Channel Instances'!O2077</x:f>
        <x:v>OPEN</x:v>
      </x:c>
    </x:row>
    <x:row r="5623">
      <x:c r="B5623" s="7" t="str">
        <x:v>AG-05617</x:v>
      </x:c>
      <x:c r="C5623" s="7" t="str">
        <x:v>PEA-C-X3</x:v>
      </x:c>
      <x:c r="D5623" s="7" t="str">
        <x:v>channel instance</x:v>
      </x:c>
      <x:c r="E5623" s="7" t="str">
        <x:v>CH-PEA-C-X3-10-2</x:v>
      </x:c>
      <x:c r="F5623" s="7" t="str">
        <x:f>'Channel Instances'!O2078</x:f>
        <x:v>OPEN</x:v>
      </x:c>
    </x:row>
    <x:row r="5624">
      <x:c r="B5624" s="7" t="str">
        <x:v>AG-05618</x:v>
      </x:c>
      <x:c r="C5624" s="7" t="str">
        <x:v>PEA-C-X3</x:v>
      </x:c>
      <x:c r="D5624" s="7" t="str">
        <x:v>channel instance</x:v>
      </x:c>
      <x:c r="E5624" s="7" t="str">
        <x:v>CH-PEA-C-X3-10-3</x:v>
      </x:c>
      <x:c r="F5624" s="7" t="str">
        <x:f>'Channel Instances'!O2079</x:f>
        <x:v>OPEN</x:v>
      </x:c>
    </x:row>
    <x:row r="5625">
      <x:c r="B5625" s="7" t="str">
        <x:v>AG-05619</x:v>
      </x:c>
      <x:c r="C5625" s="7" t="str">
        <x:v>PEA-C-X3</x:v>
      </x:c>
      <x:c r="D5625" s="7" t="str">
        <x:v>channel instance</x:v>
      </x:c>
      <x:c r="E5625" s="7" t="str">
        <x:v>CH-PEA-C-X3-10-4</x:v>
      </x:c>
      <x:c r="F5625" s="7" t="str">
        <x:f>'Channel Instances'!O2080</x:f>
        <x:v>OPEN</x:v>
      </x:c>
    </x:row>
    <x:row r="5626">
      <x:c r="B5626" s="7" t="str">
        <x:v>AG-05620</x:v>
      </x:c>
      <x:c r="C5626" s="7" t="str">
        <x:v>PEA-C-X3</x:v>
      </x:c>
      <x:c r="D5626" s="7" t="str">
        <x:v>channel instance</x:v>
      </x:c>
      <x:c r="E5626" s="7" t="str">
        <x:v>CH-PEA-C-X3-10-5</x:v>
      </x:c>
      <x:c r="F5626" s="7" t="str">
        <x:f>'Channel Instances'!O2081</x:f>
        <x:v>OPEN</x:v>
      </x:c>
    </x:row>
    <x:row r="5627">
      <x:c r="B5627" s="7" t="str">
        <x:v>AG-05621</x:v>
      </x:c>
      <x:c r="C5627" s="7" t="str">
        <x:v>PEA-C-X3</x:v>
      </x:c>
      <x:c r="D5627" s="7" t="str">
        <x:v>channel instance</x:v>
      </x:c>
      <x:c r="E5627" s="7" t="str">
        <x:v>CH-PEA-C-X3-10-6</x:v>
      </x:c>
      <x:c r="F5627" s="7" t="str">
        <x:f>'Channel Instances'!O2082</x:f>
        <x:v>OPEN</x:v>
      </x:c>
    </x:row>
    <x:row r="5628">
      <x:c r="B5628" s="7" t="str">
        <x:v>AG-05622</x:v>
      </x:c>
      <x:c r="C5628" s="7" t="str">
        <x:v>PEA-C-X3</x:v>
      </x:c>
      <x:c r="D5628" s="7" t="str">
        <x:v>channel instance</x:v>
      </x:c>
      <x:c r="E5628" s="7" t="str">
        <x:v>CH-PEA-C-X3-11-1</x:v>
      </x:c>
      <x:c r="F5628" s="7" t="str">
        <x:f>'Channel Instances'!O2083</x:f>
        <x:v>OPEN</x:v>
      </x:c>
    </x:row>
    <x:row r="5629">
      <x:c r="B5629" s="7" t="str">
        <x:v>AG-05623</x:v>
      </x:c>
      <x:c r="C5629" s="7" t="str">
        <x:v>PEA-C-X3</x:v>
      </x:c>
      <x:c r="D5629" s="7" t="str">
        <x:v>channel instance</x:v>
      </x:c>
      <x:c r="E5629" s="7" t="str">
        <x:v>CH-PEA-C-X3-11-2</x:v>
      </x:c>
      <x:c r="F5629" s="7" t="str">
        <x:f>'Channel Instances'!O2084</x:f>
        <x:v>OPEN</x:v>
      </x:c>
    </x:row>
    <x:row r="5630">
      <x:c r="B5630" s="7" t="str">
        <x:v>AG-05624</x:v>
      </x:c>
      <x:c r="C5630" s="7" t="str">
        <x:v>PEA-C-X3</x:v>
      </x:c>
      <x:c r="D5630" s="7" t="str">
        <x:v>channel instance</x:v>
      </x:c>
      <x:c r="E5630" s="7" t="str">
        <x:v>CH-PEA-C-X3-11-3</x:v>
      </x:c>
      <x:c r="F5630" s="7" t="str">
        <x:f>'Channel Instances'!O2085</x:f>
        <x:v>OPEN</x:v>
      </x:c>
    </x:row>
    <x:row r="5631">
      <x:c r="B5631" s="7" t="str">
        <x:v>AG-05625</x:v>
      </x:c>
      <x:c r="C5631" s="7" t="str">
        <x:v>PEA-C-X3</x:v>
      </x:c>
      <x:c r="D5631" s="7" t="str">
        <x:v>channel instance</x:v>
      </x:c>
      <x:c r="E5631" s="7" t="str">
        <x:v>CH-PEA-C-X3-11-4</x:v>
      </x:c>
      <x:c r="F5631" s="7" t="str">
        <x:f>'Channel Instances'!O2086</x:f>
        <x:v>OPEN</x:v>
      </x:c>
    </x:row>
    <x:row r="5632">
      <x:c r="B5632" s="7" t="str">
        <x:v>AG-05626</x:v>
      </x:c>
      <x:c r="C5632" s="7" t="str">
        <x:v>PEA-C-X3</x:v>
      </x:c>
      <x:c r="D5632" s="7" t="str">
        <x:v>channel instance</x:v>
      </x:c>
      <x:c r="E5632" s="7" t="str">
        <x:v>CH-PEA-C-X3-11-5</x:v>
      </x:c>
      <x:c r="F5632" s="7" t="str">
        <x:f>'Channel Instances'!O2087</x:f>
        <x:v>OPEN</x:v>
      </x:c>
    </x:row>
    <x:row r="5633">
      <x:c r="B5633" s="7" t="str">
        <x:v>AG-05627</x:v>
      </x:c>
      <x:c r="C5633" s="7" t="str">
        <x:v>PEA-C-X3</x:v>
      </x:c>
      <x:c r="D5633" s="7" t="str">
        <x:v>channel instance</x:v>
      </x:c>
      <x:c r="E5633" s="7" t="str">
        <x:v>CH-PEA-C-X3-11-6</x:v>
      </x:c>
      <x:c r="F5633" s="7" t="str">
        <x:f>'Channel Instances'!O2088</x:f>
        <x:v>OPEN</x:v>
      </x:c>
    </x:row>
    <x:row r="5634">
      <x:c r="B5634" s="7" t="str">
        <x:v>AG-05628</x:v>
      </x:c>
      <x:c r="C5634" s="7" t="str">
        <x:v>PEA-C-X3</x:v>
      </x:c>
      <x:c r="D5634" s="7" t="str">
        <x:v>channel instance</x:v>
      </x:c>
      <x:c r="E5634" s="7" t="str">
        <x:v>CH-PEA-C-X3-12-1</x:v>
      </x:c>
      <x:c r="F5634" s="7" t="str">
        <x:f>'Channel Instances'!O2089</x:f>
        <x:v>OPEN</x:v>
      </x:c>
    </x:row>
    <x:row r="5635">
      <x:c r="B5635" s="7" t="str">
        <x:v>AG-05629</x:v>
      </x:c>
      <x:c r="C5635" s="7" t="str">
        <x:v>PEA-C-X3</x:v>
      </x:c>
      <x:c r="D5635" s="7" t="str">
        <x:v>channel instance</x:v>
      </x:c>
      <x:c r="E5635" s="7" t="str">
        <x:v>CH-PEA-C-X3-12-2</x:v>
      </x:c>
      <x:c r="F5635" s="7" t="str">
        <x:f>'Channel Instances'!O2090</x:f>
        <x:v>OPEN</x:v>
      </x:c>
    </x:row>
    <x:row r="5636">
      <x:c r="B5636" s="7" t="str">
        <x:v>AG-05630</x:v>
      </x:c>
      <x:c r="C5636" s="7" t="str">
        <x:v>PEA-C-X3</x:v>
      </x:c>
      <x:c r="D5636" s="7" t="str">
        <x:v>channel instance</x:v>
      </x:c>
      <x:c r="E5636" s="7" t="str">
        <x:v>CH-PEA-C-X3-12-3</x:v>
      </x:c>
      <x:c r="F5636" s="7" t="str">
        <x:f>'Channel Instances'!O2091</x:f>
        <x:v>OPEN</x:v>
      </x:c>
    </x:row>
    <x:row r="5637">
      <x:c r="B5637" s="7" t="str">
        <x:v>AG-05631</x:v>
      </x:c>
      <x:c r="C5637" s="7" t="str">
        <x:v>PEA-C-X3</x:v>
      </x:c>
      <x:c r="D5637" s="7" t="str">
        <x:v>channel instance</x:v>
      </x:c>
      <x:c r="E5637" s="7" t="str">
        <x:v>CH-PEA-C-X3-12-4</x:v>
      </x:c>
      <x:c r="F5637" s="7" t="str">
        <x:f>'Channel Instances'!O2092</x:f>
        <x:v>OPEN</x:v>
      </x:c>
    </x:row>
    <x:row r="5638">
      <x:c r="B5638" s="7" t="str">
        <x:v>AG-05632</x:v>
      </x:c>
      <x:c r="C5638" s="7" t="str">
        <x:v>PEA-C-X3</x:v>
      </x:c>
      <x:c r="D5638" s="7" t="str">
        <x:v>channel instance</x:v>
      </x:c>
      <x:c r="E5638" s="7" t="str">
        <x:v>CH-PEA-C-X3-12-5</x:v>
      </x:c>
      <x:c r="F5638" s="7" t="str">
        <x:f>'Channel Instances'!O2093</x:f>
        <x:v>OPEN</x:v>
      </x:c>
    </x:row>
    <x:row r="5639">
      <x:c r="B5639" s="7" t="str">
        <x:v>AG-05633</x:v>
      </x:c>
      <x:c r="C5639" s="7" t="str">
        <x:v>PEA-C-X3</x:v>
      </x:c>
      <x:c r="D5639" s="7" t="str">
        <x:v>channel instance</x:v>
      </x:c>
      <x:c r="E5639" s="7" t="str">
        <x:v>CH-PEA-C-X3-12-6</x:v>
      </x:c>
      <x:c r="F5639" s="7" t="str">
        <x:f>'Channel Instances'!O2094</x:f>
        <x:v>OPEN</x:v>
      </x:c>
    </x:row>
    <x:row r="5640">
      <x:c r="B5640" s="7" t="str">
        <x:v>AG-05634</x:v>
      </x:c>
      <x:c r="C5640" s="7" t="str">
        <x:v>PEA-C-X3</x:v>
      </x:c>
      <x:c r="D5640" s="7" t="str">
        <x:v>channel instance</x:v>
      </x:c>
      <x:c r="E5640" s="7" t="str">
        <x:v>CH-PEA-C-X3-13-1</x:v>
      </x:c>
      <x:c r="F5640" s="7" t="str">
        <x:f>'Channel Instances'!O2095</x:f>
        <x:v>OPEN</x:v>
      </x:c>
    </x:row>
    <x:row r="5641">
      <x:c r="B5641" s="7" t="str">
        <x:v>AG-05635</x:v>
      </x:c>
      <x:c r="C5641" s="7" t="str">
        <x:v>PEA-C-X3</x:v>
      </x:c>
      <x:c r="D5641" s="7" t="str">
        <x:v>channel instance</x:v>
      </x:c>
      <x:c r="E5641" s="7" t="str">
        <x:v>CH-PEA-C-X3-13-2</x:v>
      </x:c>
      <x:c r="F5641" s="7" t="str">
        <x:f>'Channel Instances'!O2096</x:f>
        <x:v>OPEN</x:v>
      </x:c>
    </x:row>
    <x:row r="5642">
      <x:c r="B5642" s="7" t="str">
        <x:v>AG-05636</x:v>
      </x:c>
      <x:c r="C5642" s="7" t="str">
        <x:v>PEA-C-X3</x:v>
      </x:c>
      <x:c r="D5642" s="7" t="str">
        <x:v>channel instance</x:v>
      </x:c>
      <x:c r="E5642" s="7" t="str">
        <x:v>CH-PEA-C-X3-13-3</x:v>
      </x:c>
      <x:c r="F5642" s="7" t="str">
        <x:f>'Channel Instances'!O2097</x:f>
        <x:v>OPEN</x:v>
      </x:c>
    </x:row>
    <x:row r="5643">
      <x:c r="B5643" s="7" t="str">
        <x:v>AG-05637</x:v>
      </x:c>
      <x:c r="C5643" s="7" t="str">
        <x:v>PEA-C-X3</x:v>
      </x:c>
      <x:c r="D5643" s="7" t="str">
        <x:v>channel instance</x:v>
      </x:c>
      <x:c r="E5643" s="7" t="str">
        <x:v>CH-PEA-C-X3-13-4</x:v>
      </x:c>
      <x:c r="F5643" s="7" t="str">
        <x:f>'Channel Instances'!O2098</x:f>
        <x:v>OPEN</x:v>
      </x:c>
    </x:row>
    <x:row r="5644">
      <x:c r="B5644" s="7" t="str">
        <x:v>AG-05638</x:v>
      </x:c>
      <x:c r="C5644" s="7" t="str">
        <x:v>PEA-C-X3</x:v>
      </x:c>
      <x:c r="D5644" s="7" t="str">
        <x:v>channel instance</x:v>
      </x:c>
      <x:c r="E5644" s="7" t="str">
        <x:v>CH-PEA-C-X3-13-5</x:v>
      </x:c>
      <x:c r="F5644" s="7" t="str">
        <x:f>'Channel Instances'!O2099</x:f>
        <x:v>OPEN</x:v>
      </x:c>
    </x:row>
    <x:row r="5645">
      <x:c r="B5645" s="7" t="str">
        <x:v>AG-05639</x:v>
      </x:c>
      <x:c r="C5645" s="7" t="str">
        <x:v>PEA-C-X3</x:v>
      </x:c>
      <x:c r="D5645" s="7" t="str">
        <x:v>channel instance</x:v>
      </x:c>
      <x:c r="E5645" s="7" t="str">
        <x:v>CH-PEA-C-X3-13-6</x:v>
      </x:c>
      <x:c r="F5645" s="7" t="str">
        <x:f>'Channel Instances'!O2100</x:f>
        <x:v>OPEN</x:v>
      </x:c>
    </x:row>
    <x:row r="5646">
      <x:c r="B5646" s="7" t="str">
        <x:v>AG-05640</x:v>
      </x:c>
      <x:c r="C5646" s="7" t="str">
        <x:v>PEA-C-X3</x:v>
      </x:c>
      <x:c r="D5646" s="7" t="str">
        <x:v>channel instance</x:v>
      </x:c>
      <x:c r="E5646" s="7" t="str">
        <x:v>CH-PEA-C-X3-14-1</x:v>
      </x:c>
      <x:c r="F5646" s="7" t="str">
        <x:f>'Channel Instances'!O2101</x:f>
        <x:v>OPEN</x:v>
      </x:c>
    </x:row>
    <x:row r="5647">
      <x:c r="B5647" s="7" t="str">
        <x:v>AG-05641</x:v>
      </x:c>
      <x:c r="C5647" s="7" t="str">
        <x:v>PEA-C-X3</x:v>
      </x:c>
      <x:c r="D5647" s="7" t="str">
        <x:v>channel instance</x:v>
      </x:c>
      <x:c r="E5647" s="7" t="str">
        <x:v>CH-PEA-C-X3-14-2</x:v>
      </x:c>
      <x:c r="F5647" s="7" t="str">
        <x:f>'Channel Instances'!O2102</x:f>
        <x:v>OPEN</x:v>
      </x:c>
    </x:row>
    <x:row r="5648">
      <x:c r="B5648" s="7" t="str">
        <x:v>AG-05642</x:v>
      </x:c>
      <x:c r="C5648" s="7" t="str">
        <x:v>PEA-C-X3</x:v>
      </x:c>
      <x:c r="D5648" s="7" t="str">
        <x:v>channel instance</x:v>
      </x:c>
      <x:c r="E5648" s="7" t="str">
        <x:v>CH-PEA-C-X3-14-3</x:v>
      </x:c>
      <x:c r="F5648" s="7" t="str">
        <x:f>'Channel Instances'!O2103</x:f>
        <x:v>OPEN</x:v>
      </x:c>
    </x:row>
    <x:row r="5649">
      <x:c r="B5649" s="7" t="str">
        <x:v>AG-05643</x:v>
      </x:c>
      <x:c r="C5649" s="7" t="str">
        <x:v>PEA-C-X3</x:v>
      </x:c>
      <x:c r="D5649" s="7" t="str">
        <x:v>channel instance</x:v>
      </x:c>
      <x:c r="E5649" s="7" t="str">
        <x:v>CH-PEA-C-X3-14-4</x:v>
      </x:c>
      <x:c r="F5649" s="7" t="str">
        <x:f>'Channel Instances'!O2104</x:f>
        <x:v>OPEN</x:v>
      </x:c>
    </x:row>
    <x:row r="5650">
      <x:c r="B5650" s="7" t="str">
        <x:v>AG-05644</x:v>
      </x:c>
      <x:c r="C5650" s="7" t="str">
        <x:v>PEA-C-X3</x:v>
      </x:c>
      <x:c r="D5650" s="7" t="str">
        <x:v>channel instance</x:v>
      </x:c>
      <x:c r="E5650" s="7" t="str">
        <x:v>CH-PEA-C-X3-14-5</x:v>
      </x:c>
      <x:c r="F5650" s="7" t="str">
        <x:f>'Channel Instances'!O2105</x:f>
        <x:v>OPEN</x:v>
      </x:c>
    </x:row>
    <x:row r="5651">
      <x:c r="B5651" s="7" t="str">
        <x:v>AG-05645</x:v>
      </x:c>
      <x:c r="C5651" s="7" t="str">
        <x:v>PEA-C-X3</x:v>
      </x:c>
      <x:c r="D5651" s="7" t="str">
        <x:v>channel instance</x:v>
      </x:c>
      <x:c r="E5651" s="7" t="str">
        <x:v>CH-PEA-C-X3-14-6</x:v>
      </x:c>
      <x:c r="F5651" s="7" t="str">
        <x:f>'Channel Instances'!O2106</x:f>
        <x:v>OPEN</x:v>
      </x:c>
    </x:row>
    <x:row r="5652">
      <x:c r="B5652" s="7" t="str">
        <x:v>AG-05646</x:v>
      </x:c>
      <x:c r="C5652" s="7" t="str">
        <x:v>PEA-C-X3</x:v>
      </x:c>
      <x:c r="D5652" s="7" t="str">
        <x:v>channel instance</x:v>
      </x:c>
      <x:c r="E5652" s="7" t="str">
        <x:v>CH-PEA-C-X3-15-1</x:v>
      </x:c>
      <x:c r="F5652" s="7" t="str">
        <x:f>'Channel Instances'!O2107</x:f>
        <x:v>OPEN</x:v>
      </x:c>
    </x:row>
    <x:row r="5653">
      <x:c r="B5653" s="7" t="str">
        <x:v>AG-05647</x:v>
      </x:c>
      <x:c r="C5653" s="7" t="str">
        <x:v>PEA-C-X3</x:v>
      </x:c>
      <x:c r="D5653" s="7" t="str">
        <x:v>channel instance</x:v>
      </x:c>
      <x:c r="E5653" s="7" t="str">
        <x:v>CH-PEA-C-X3-15-2</x:v>
      </x:c>
      <x:c r="F5653" s="7" t="str">
        <x:f>'Channel Instances'!O2108</x:f>
        <x:v>OPEN</x:v>
      </x:c>
    </x:row>
    <x:row r="5654">
      <x:c r="B5654" s="7" t="str">
        <x:v>AG-05648</x:v>
      </x:c>
      <x:c r="C5654" s="7" t="str">
        <x:v>PEA-C-X3</x:v>
      </x:c>
      <x:c r="D5654" s="7" t="str">
        <x:v>channel instance</x:v>
      </x:c>
      <x:c r="E5654" s="7" t="str">
        <x:v>CH-PEA-C-X3-15-3</x:v>
      </x:c>
      <x:c r="F5654" s="7" t="str">
        <x:f>'Channel Instances'!O2109</x:f>
        <x:v>OPEN</x:v>
      </x:c>
    </x:row>
    <x:row r="5655">
      <x:c r="B5655" s="7" t="str">
        <x:v>AG-05649</x:v>
      </x:c>
      <x:c r="C5655" s="7" t="str">
        <x:v>PEA-C-X3</x:v>
      </x:c>
      <x:c r="D5655" s="7" t="str">
        <x:v>channel instance</x:v>
      </x:c>
      <x:c r="E5655" s="7" t="str">
        <x:v>CH-PEA-C-X3-15-4</x:v>
      </x:c>
      <x:c r="F5655" s="7" t="str">
        <x:f>'Channel Instances'!O2110</x:f>
        <x:v>OPEN</x:v>
      </x:c>
    </x:row>
    <x:row r="5656">
      <x:c r="B5656" s="7" t="str">
        <x:v>AG-05650</x:v>
      </x:c>
      <x:c r="C5656" s="7" t="str">
        <x:v>PEA-C-X3</x:v>
      </x:c>
      <x:c r="D5656" s="7" t="str">
        <x:v>channel instance</x:v>
      </x:c>
      <x:c r="E5656" s="7" t="str">
        <x:v>CH-PEA-C-X3-15-5</x:v>
      </x:c>
      <x:c r="F5656" s="7" t="str">
        <x:f>'Channel Instances'!O2111</x:f>
        <x:v>OPEN</x:v>
      </x:c>
    </x:row>
    <x:row r="5657">
      <x:c r="B5657" s="7" t="str">
        <x:v>AG-05651</x:v>
      </x:c>
      <x:c r="C5657" s="7" t="str">
        <x:v>PEA-C-X3</x:v>
      </x:c>
      <x:c r="D5657" s="7" t="str">
        <x:v>channel instance</x:v>
      </x:c>
      <x:c r="E5657" s="7" t="str">
        <x:v>CH-PEA-C-X3-15-6</x:v>
      </x:c>
      <x:c r="F5657" s="7" t="str">
        <x:f>'Channel Instances'!O2112</x:f>
        <x:v>OPEN</x:v>
      </x:c>
    </x:row>
    <x:row r="5658">
      <x:c r="B5658" s="7" t="str">
        <x:v>AG-05652</x:v>
      </x:c>
      <x:c r="C5658" s="7" t="str">
        <x:v>PEA-C-X3</x:v>
      </x:c>
      <x:c r="D5658" s="7" t="str">
        <x:v>channel instance</x:v>
      </x:c>
      <x:c r="E5658" s="7" t="str">
        <x:v>CH-PEA-C-X3-16-1</x:v>
      </x:c>
      <x:c r="F5658" s="7" t="str">
        <x:f>'Channel Instances'!O2113</x:f>
        <x:v>OPEN</x:v>
      </x:c>
    </x:row>
    <x:row r="5659">
      <x:c r="B5659" s="7" t="str">
        <x:v>AG-05653</x:v>
      </x:c>
      <x:c r="C5659" s="7" t="str">
        <x:v>PEA-C-X3</x:v>
      </x:c>
      <x:c r="D5659" s="7" t="str">
        <x:v>channel instance</x:v>
      </x:c>
      <x:c r="E5659" s="7" t="str">
        <x:v>CH-PEA-C-X3-16-2</x:v>
      </x:c>
      <x:c r="F5659" s="7" t="str">
        <x:f>'Channel Instances'!O2114</x:f>
        <x:v>OPEN</x:v>
      </x:c>
    </x:row>
    <x:row r="5660">
      <x:c r="B5660" s="7" t="str">
        <x:v>AG-05654</x:v>
      </x:c>
      <x:c r="C5660" s="7" t="str">
        <x:v>PEA-C-X3</x:v>
      </x:c>
      <x:c r="D5660" s="7" t="str">
        <x:v>channel instance</x:v>
      </x:c>
      <x:c r="E5660" s="7" t="str">
        <x:v>CH-PEA-C-X3-16-3</x:v>
      </x:c>
      <x:c r="F5660" s="7" t="str">
        <x:f>'Channel Instances'!O2115</x:f>
        <x:v>OPEN</x:v>
      </x:c>
    </x:row>
    <x:row r="5661">
      <x:c r="B5661" s="7" t="str">
        <x:v>AG-05655</x:v>
      </x:c>
      <x:c r="C5661" s="7" t="str">
        <x:v>PEA-C-X3</x:v>
      </x:c>
      <x:c r="D5661" s="7" t="str">
        <x:v>channel instance</x:v>
      </x:c>
      <x:c r="E5661" s="7" t="str">
        <x:v>CH-PEA-C-X3-16-4</x:v>
      </x:c>
      <x:c r="F5661" s="7" t="str">
        <x:f>'Channel Instances'!O2116</x:f>
        <x:v>OPEN</x:v>
      </x:c>
    </x:row>
    <x:row r="5662">
      <x:c r="B5662" s="7" t="str">
        <x:v>AG-05656</x:v>
      </x:c>
      <x:c r="C5662" s="7" t="str">
        <x:v>PEA-C-X3</x:v>
      </x:c>
      <x:c r="D5662" s="7" t="str">
        <x:v>channel instance</x:v>
      </x:c>
      <x:c r="E5662" s="7" t="str">
        <x:v>CH-PEA-C-X3-16-5</x:v>
      </x:c>
      <x:c r="F5662" s="7" t="str">
        <x:f>'Channel Instances'!O2117</x:f>
        <x:v>OPEN</x:v>
      </x:c>
    </x:row>
    <x:row r="5663">
      <x:c r="B5663" s="7" t="str">
        <x:v>AG-05657</x:v>
      </x:c>
      <x:c r="C5663" s="7" t="str">
        <x:v>PEA-C-X3</x:v>
      </x:c>
      <x:c r="D5663" s="7" t="str">
        <x:v>channel instance</x:v>
      </x:c>
      <x:c r="E5663" s="7" t="str">
        <x:v>CH-PEA-C-X3-16-6</x:v>
      </x:c>
      <x:c r="F5663" s="7" t="str">
        <x:f>'Channel Instances'!O2118</x:f>
        <x:v>OPEN</x:v>
      </x:c>
    </x:row>
    <x:row r="5664">
      <x:c r="B5664" s="7" t="str">
        <x:v>AG-05658</x:v>
      </x:c>
      <x:c r="C5664" s="7" t="str">
        <x:v>PEA-C-X3</x:v>
      </x:c>
      <x:c r="D5664" s="7" t="str">
        <x:v>channel instance</x:v>
      </x:c>
      <x:c r="E5664" s="7" t="str">
        <x:v>CH-PEA-C-X3-17-1</x:v>
      </x:c>
      <x:c r="F5664" s="7" t="str">
        <x:f>'Channel Instances'!O2119</x:f>
        <x:v>OPEN</x:v>
      </x:c>
    </x:row>
    <x:row r="5665">
      <x:c r="B5665" s="7" t="str">
        <x:v>AG-05659</x:v>
      </x:c>
      <x:c r="C5665" s="7" t="str">
        <x:v>PEA-C-X3</x:v>
      </x:c>
      <x:c r="D5665" s="7" t="str">
        <x:v>channel instance</x:v>
      </x:c>
      <x:c r="E5665" s="7" t="str">
        <x:v>CH-PEA-C-X3-17-2</x:v>
      </x:c>
      <x:c r="F5665" s="7" t="str">
        <x:f>'Channel Instances'!O2120</x:f>
        <x:v>OPEN</x:v>
      </x:c>
    </x:row>
    <x:row r="5666">
      <x:c r="B5666" s="7" t="str">
        <x:v>AG-05660</x:v>
      </x:c>
      <x:c r="C5666" s="7" t="str">
        <x:v>PEA-C-X3</x:v>
      </x:c>
      <x:c r="D5666" s="7" t="str">
        <x:v>channel instance</x:v>
      </x:c>
      <x:c r="E5666" s="7" t="str">
        <x:v>CH-PEA-C-X3-17-3</x:v>
      </x:c>
      <x:c r="F5666" s="7" t="str">
        <x:f>'Channel Instances'!O2121</x:f>
        <x:v>OPEN</x:v>
      </x:c>
    </x:row>
    <x:row r="5667">
      <x:c r="B5667" s="7" t="str">
        <x:v>AG-05661</x:v>
      </x:c>
      <x:c r="C5667" s="7" t="str">
        <x:v>PEA-C-X3</x:v>
      </x:c>
      <x:c r="D5667" s="7" t="str">
        <x:v>channel instance</x:v>
      </x:c>
      <x:c r="E5667" s="7" t="str">
        <x:v>CH-PEA-C-X3-17-4</x:v>
      </x:c>
      <x:c r="F5667" s="7" t="str">
        <x:f>'Channel Instances'!O2122</x:f>
        <x:v>OPEN</x:v>
      </x:c>
    </x:row>
    <x:row r="5668">
      <x:c r="B5668" s="7" t="str">
        <x:v>AG-05662</x:v>
      </x:c>
      <x:c r="C5668" s="7" t="str">
        <x:v>PEA-C-X3</x:v>
      </x:c>
      <x:c r="D5668" s="7" t="str">
        <x:v>channel instance</x:v>
      </x:c>
      <x:c r="E5668" s="7" t="str">
        <x:v>CH-PEA-C-X3-17-5</x:v>
      </x:c>
      <x:c r="F5668" s="7" t="str">
        <x:f>'Channel Instances'!O2123</x:f>
        <x:v>OPEN</x:v>
      </x:c>
    </x:row>
    <x:row r="5669">
      <x:c r="B5669" s="7" t="str">
        <x:v>AG-05663</x:v>
      </x:c>
      <x:c r="C5669" s="7" t="str">
        <x:v>PEA-C-X3</x:v>
      </x:c>
      <x:c r="D5669" s="7" t="str">
        <x:v>channel instance</x:v>
      </x:c>
      <x:c r="E5669" s="7" t="str">
        <x:v>CH-PEA-C-X3-17-6</x:v>
      </x:c>
      <x:c r="F5669" s="7" t="str">
        <x:f>'Channel Instances'!O2124</x:f>
        <x:v>OPEN</x:v>
      </x:c>
    </x:row>
    <x:row r="5670">
      <x:c r="B5670" s="7" t="str">
        <x:v>AG-05664</x:v>
      </x:c>
      <x:c r="C5670" s="7" t="str">
        <x:v>PEA-C-X3</x:v>
      </x:c>
      <x:c r="D5670" s="7" t="str">
        <x:v>channel instance</x:v>
      </x:c>
      <x:c r="E5670" s="7" t="str">
        <x:v>CH-PEA-C-X3-18-1</x:v>
      </x:c>
      <x:c r="F5670" s="7" t="str">
        <x:f>'Channel Instances'!O2125</x:f>
        <x:v>OPEN</x:v>
      </x:c>
    </x:row>
    <x:row r="5671">
      <x:c r="B5671" s="7" t="str">
        <x:v>AG-05665</x:v>
      </x:c>
      <x:c r="C5671" s="7" t="str">
        <x:v>PEA-C-X3</x:v>
      </x:c>
      <x:c r="D5671" s="7" t="str">
        <x:v>channel instance</x:v>
      </x:c>
      <x:c r="E5671" s="7" t="str">
        <x:v>CH-PEA-C-X3-18-2</x:v>
      </x:c>
      <x:c r="F5671" s="7" t="str">
        <x:f>'Channel Instances'!O2126</x:f>
        <x:v>OPEN</x:v>
      </x:c>
    </x:row>
    <x:row r="5672">
      <x:c r="B5672" s="7" t="str">
        <x:v>AG-05666</x:v>
      </x:c>
      <x:c r="C5672" s="7" t="str">
        <x:v>PEA-C-X3</x:v>
      </x:c>
      <x:c r="D5672" s="7" t="str">
        <x:v>channel instance</x:v>
      </x:c>
      <x:c r="E5672" s="7" t="str">
        <x:v>CH-PEA-C-X3-18-3</x:v>
      </x:c>
      <x:c r="F5672" s="7" t="str">
        <x:f>'Channel Instances'!O2127</x:f>
        <x:v>OPEN</x:v>
      </x:c>
    </x:row>
    <x:row r="5673">
      <x:c r="B5673" s="7" t="str">
        <x:v>AG-05667</x:v>
      </x:c>
      <x:c r="C5673" s="7" t="str">
        <x:v>PEA-C-X3</x:v>
      </x:c>
      <x:c r="D5673" s="7" t="str">
        <x:v>channel instance</x:v>
      </x:c>
      <x:c r="E5673" s="7" t="str">
        <x:v>CH-PEA-C-X3-18-4</x:v>
      </x:c>
      <x:c r="F5673" s="7" t="str">
        <x:f>'Channel Instances'!O2128</x:f>
        <x:v>OPEN</x:v>
      </x:c>
    </x:row>
    <x:row r="5674">
      <x:c r="B5674" s="7" t="str">
        <x:v>AG-05668</x:v>
      </x:c>
      <x:c r="C5674" s="7" t="str">
        <x:v>PEA-C-X3</x:v>
      </x:c>
      <x:c r="D5674" s="7" t="str">
        <x:v>channel instance</x:v>
      </x:c>
      <x:c r="E5674" s="7" t="str">
        <x:v>CH-PEA-C-X3-18-5</x:v>
      </x:c>
      <x:c r="F5674" s="7" t="str">
        <x:f>'Channel Instances'!O2129</x:f>
        <x:v>OPEN</x:v>
      </x:c>
    </x:row>
    <x:row r="5675">
      <x:c r="B5675" s="7" t="str">
        <x:v>AG-05669</x:v>
      </x:c>
      <x:c r="C5675" s="7" t="str">
        <x:v>PEA-C-X3</x:v>
      </x:c>
      <x:c r="D5675" s="7" t="str">
        <x:v>channel instance</x:v>
      </x:c>
      <x:c r="E5675" s="7" t="str">
        <x:v>CH-PEA-C-X3-18-6</x:v>
      </x:c>
      <x:c r="F5675" s="7" t="str">
        <x:f>'Channel Instances'!O2130</x:f>
        <x:v>OPEN</x:v>
      </x:c>
    </x:row>
    <x:row r="5676">
      <x:c r="B5676" s="7" t="str">
        <x:v>AG-05670</x:v>
      </x:c>
      <x:c r="C5676" s="7" t="str">
        <x:v>PEA-C-X3</x:v>
      </x:c>
      <x:c r="D5676" s="7" t="str">
        <x:v>channel instance</x:v>
      </x:c>
      <x:c r="E5676" s="7" t="str">
        <x:v>CH-PEA-C-X3-19-1</x:v>
      </x:c>
      <x:c r="F5676" s="7" t="str">
        <x:f>'Channel Instances'!O2131</x:f>
        <x:v>OPEN</x:v>
      </x:c>
    </x:row>
    <x:row r="5677">
      <x:c r="B5677" s="7" t="str">
        <x:v>AG-05671</x:v>
      </x:c>
      <x:c r="C5677" s="7" t="str">
        <x:v>PEA-C-X3</x:v>
      </x:c>
      <x:c r="D5677" s="7" t="str">
        <x:v>channel instance</x:v>
      </x:c>
      <x:c r="E5677" s="7" t="str">
        <x:v>CH-PEA-C-X3-19-2</x:v>
      </x:c>
      <x:c r="F5677" s="7" t="str">
        <x:f>'Channel Instances'!O2132</x:f>
        <x:v>OPEN</x:v>
      </x:c>
    </x:row>
    <x:row r="5678">
      <x:c r="B5678" s="7" t="str">
        <x:v>AG-05672</x:v>
      </x:c>
      <x:c r="C5678" s="7" t="str">
        <x:v>PEA-C-X3</x:v>
      </x:c>
      <x:c r="D5678" s="7" t="str">
        <x:v>channel instance</x:v>
      </x:c>
      <x:c r="E5678" s="7" t="str">
        <x:v>CH-PEA-C-X3-19-3</x:v>
      </x:c>
      <x:c r="F5678" s="7" t="str">
        <x:f>'Channel Instances'!O2133</x:f>
        <x:v>OPEN</x:v>
      </x:c>
    </x:row>
    <x:row r="5679">
      <x:c r="B5679" s="7" t="str">
        <x:v>AG-05673</x:v>
      </x:c>
      <x:c r="C5679" s="7" t="str">
        <x:v>PEA-C-X3</x:v>
      </x:c>
      <x:c r="D5679" s="7" t="str">
        <x:v>channel instance</x:v>
      </x:c>
      <x:c r="E5679" s="7" t="str">
        <x:v>CH-PEA-C-X3-19-4</x:v>
      </x:c>
      <x:c r="F5679" s="7" t="str">
        <x:f>'Channel Instances'!O2134</x:f>
        <x:v>OPEN</x:v>
      </x:c>
    </x:row>
    <x:row r="5680">
      <x:c r="B5680" s="7" t="str">
        <x:v>AG-05674</x:v>
      </x:c>
      <x:c r="C5680" s="7" t="str">
        <x:v>PEA-C-X3</x:v>
      </x:c>
      <x:c r="D5680" s="7" t="str">
        <x:v>channel instance</x:v>
      </x:c>
      <x:c r="E5680" s="7" t="str">
        <x:v>CH-PEA-C-X3-19-5</x:v>
      </x:c>
      <x:c r="F5680" s="7" t="str">
        <x:f>'Channel Instances'!O2135</x:f>
        <x:v>OPEN</x:v>
      </x:c>
    </x:row>
    <x:row r="5681">
      <x:c r="B5681" s="7" t="str">
        <x:v>AG-05675</x:v>
      </x:c>
      <x:c r="C5681" s="7" t="str">
        <x:v>PEA-C-X3</x:v>
      </x:c>
      <x:c r="D5681" s="7" t="str">
        <x:v>channel instance</x:v>
      </x:c>
      <x:c r="E5681" s="7" t="str">
        <x:v>CH-PEA-C-X3-19-6</x:v>
      </x:c>
      <x:c r="F5681" s="7" t="str">
        <x:f>'Channel Instances'!O2136</x:f>
        <x:v>OPEN</x:v>
      </x:c>
    </x:row>
    <x:row r="5682">
      <x:c r="B5682" s="7" t="str">
        <x:v>AG-05676</x:v>
      </x:c>
      <x:c r="C5682" s="7" t="str">
        <x:v>PEA-C-X3</x:v>
      </x:c>
      <x:c r="D5682" s="7" t="str">
        <x:v>channel instance</x:v>
      </x:c>
      <x:c r="E5682" s="7" t="str">
        <x:v>CH-PEA-C-X3-20-1</x:v>
      </x:c>
      <x:c r="F5682" s="7" t="str">
        <x:f>'Channel Instances'!O2137</x:f>
        <x:v>OPEN</x:v>
      </x:c>
    </x:row>
    <x:row r="5683">
      <x:c r="B5683" s="7" t="str">
        <x:v>AG-05677</x:v>
      </x:c>
      <x:c r="C5683" s="7" t="str">
        <x:v>PEA-C-X3</x:v>
      </x:c>
      <x:c r="D5683" s="7" t="str">
        <x:v>channel instance</x:v>
      </x:c>
      <x:c r="E5683" s="7" t="str">
        <x:v>CH-PEA-C-X3-20-2</x:v>
      </x:c>
      <x:c r="F5683" s="7" t="str">
        <x:f>'Channel Instances'!O2138</x:f>
        <x:v>OPEN</x:v>
      </x:c>
    </x:row>
    <x:row r="5684">
      <x:c r="B5684" s="7" t="str">
        <x:v>AG-05678</x:v>
      </x:c>
      <x:c r="C5684" s="7" t="str">
        <x:v>PEA-C-X3</x:v>
      </x:c>
      <x:c r="D5684" s="7" t="str">
        <x:v>channel instance</x:v>
      </x:c>
      <x:c r="E5684" s="7" t="str">
        <x:v>CH-PEA-C-X3-20-3</x:v>
      </x:c>
      <x:c r="F5684" s="7" t="str">
        <x:f>'Channel Instances'!O2139</x:f>
        <x:v>OPEN</x:v>
      </x:c>
    </x:row>
    <x:row r="5685">
      <x:c r="B5685" s="7" t="str">
        <x:v>AG-05679</x:v>
      </x:c>
      <x:c r="C5685" s="7" t="str">
        <x:v>PEA-C-X3</x:v>
      </x:c>
      <x:c r="D5685" s="7" t="str">
        <x:v>channel instance</x:v>
      </x:c>
      <x:c r="E5685" s="7" t="str">
        <x:v>CH-PEA-C-X3-20-4</x:v>
      </x:c>
      <x:c r="F5685" s="7" t="str">
        <x:f>'Channel Instances'!O2140</x:f>
        <x:v>OPEN</x:v>
      </x:c>
    </x:row>
    <x:row r="5686">
      <x:c r="B5686" s="7" t="str">
        <x:v>AG-05680</x:v>
      </x:c>
      <x:c r="C5686" s="7" t="str">
        <x:v>PEA-C-X3</x:v>
      </x:c>
      <x:c r="D5686" s="7" t="str">
        <x:v>channel instance</x:v>
      </x:c>
      <x:c r="E5686" s="7" t="str">
        <x:v>CH-PEA-C-X3-20-5</x:v>
      </x:c>
      <x:c r="F5686" s="7" t="str">
        <x:f>'Channel Instances'!O2141</x:f>
        <x:v>OPEN</x:v>
      </x:c>
    </x:row>
    <x:row r="5687">
      <x:c r="B5687" s="7" t="str">
        <x:v>AG-05681</x:v>
      </x:c>
      <x:c r="C5687" s="7" t="str">
        <x:v>PEA-C-X3</x:v>
      </x:c>
      <x:c r="D5687" s="7" t="str">
        <x:v>channel instance</x:v>
      </x:c>
      <x:c r="E5687" s="7" t="str">
        <x:v>CH-PEA-C-X3-20-6</x:v>
      </x:c>
      <x:c r="F5687" s="7" t="str">
        <x:f>'Channel Instances'!O2142</x:f>
        <x:v>OPEN</x:v>
      </x:c>
    </x:row>
    <x:row r="5688">
      <x:c r="B5688" s="7" t="str">
        <x:v>AG-05682</x:v>
      </x:c>
      <x:c r="C5688" s="7" t="str">
        <x:v>PEA-C-X3</x:v>
      </x:c>
      <x:c r="D5688" s="7" t="str">
        <x:v>channel instance</x:v>
      </x:c>
      <x:c r="E5688" s="7" t="str">
        <x:v>CH-PEA-C-X3-21-1</x:v>
      </x:c>
      <x:c r="F5688" s="7" t="str">
        <x:f>'Channel Instances'!O2143</x:f>
        <x:v>OPEN</x:v>
      </x:c>
    </x:row>
    <x:row r="5689">
      <x:c r="B5689" s="7" t="str">
        <x:v>AG-05683</x:v>
      </x:c>
      <x:c r="C5689" s="7" t="str">
        <x:v>PEA-C-X3</x:v>
      </x:c>
      <x:c r="D5689" s="7" t="str">
        <x:v>channel instance</x:v>
      </x:c>
      <x:c r="E5689" s="7" t="str">
        <x:v>CH-PEA-C-X3-21-2</x:v>
      </x:c>
      <x:c r="F5689" s="7" t="str">
        <x:f>'Channel Instances'!O2144</x:f>
        <x:v>OPEN</x:v>
      </x:c>
    </x:row>
    <x:row r="5690">
      <x:c r="B5690" s="7" t="str">
        <x:v>AG-05684</x:v>
      </x:c>
      <x:c r="C5690" s="7" t="str">
        <x:v>PEA-C-X3</x:v>
      </x:c>
      <x:c r="D5690" s="7" t="str">
        <x:v>channel instance</x:v>
      </x:c>
      <x:c r="E5690" s="7" t="str">
        <x:v>CH-PEA-C-X3-21-3</x:v>
      </x:c>
      <x:c r="F5690" s="7" t="str">
        <x:f>'Channel Instances'!O2145</x:f>
        <x:v>OPEN</x:v>
      </x:c>
    </x:row>
    <x:row r="5691">
      <x:c r="B5691" s="7" t="str">
        <x:v>AG-05685</x:v>
      </x:c>
      <x:c r="C5691" s="7" t="str">
        <x:v>PEA-C-X3</x:v>
      </x:c>
      <x:c r="D5691" s="7" t="str">
        <x:v>channel instance</x:v>
      </x:c>
      <x:c r="E5691" s="7" t="str">
        <x:v>CH-PEA-C-X3-21-4</x:v>
      </x:c>
      <x:c r="F5691" s="7" t="str">
        <x:f>'Channel Instances'!O2146</x:f>
        <x:v>OPEN</x:v>
      </x:c>
    </x:row>
    <x:row r="5692">
      <x:c r="B5692" s="7" t="str">
        <x:v>AG-05686</x:v>
      </x:c>
      <x:c r="C5692" s="7" t="str">
        <x:v>PEA-C-X3</x:v>
      </x:c>
      <x:c r="D5692" s="7" t="str">
        <x:v>channel instance</x:v>
      </x:c>
      <x:c r="E5692" s="7" t="str">
        <x:v>CH-PEA-C-X3-21-5</x:v>
      </x:c>
      <x:c r="F5692" s="7" t="str">
        <x:f>'Channel Instances'!O2147</x:f>
        <x:v>OPEN</x:v>
      </x:c>
    </x:row>
    <x:row r="5693">
      <x:c r="B5693" s="7" t="str">
        <x:v>AG-05687</x:v>
      </x:c>
      <x:c r="C5693" s="7" t="str">
        <x:v>PEA-C-X3</x:v>
      </x:c>
      <x:c r="D5693" s="7" t="str">
        <x:v>channel instance</x:v>
      </x:c>
      <x:c r="E5693" s="7" t="str">
        <x:v>CH-PEA-C-X3-21-6</x:v>
      </x:c>
      <x:c r="F5693" s="7" t="str">
        <x:f>'Channel Instances'!O2148</x:f>
        <x:v>OPEN</x:v>
      </x:c>
    </x:row>
    <x:row r="5694">
      <x:c r="B5694" s="7" t="str">
        <x:v>AG-05688</x:v>
      </x:c>
      <x:c r="C5694" s="7" t="str">
        <x:v>PEA-C-X3</x:v>
      </x:c>
      <x:c r="D5694" s="7" t="str">
        <x:v>channel instance</x:v>
      </x:c>
      <x:c r="E5694" s="7" t="str">
        <x:v>CH-PEA-C-X3-22-1</x:v>
      </x:c>
      <x:c r="F5694" s="7" t="str">
        <x:f>'Channel Instances'!O2149</x:f>
        <x:v>OPEN</x:v>
      </x:c>
    </x:row>
    <x:row r="5695">
      <x:c r="B5695" s="7" t="str">
        <x:v>AG-05689</x:v>
      </x:c>
      <x:c r="C5695" s="7" t="str">
        <x:v>PEA-C-X3</x:v>
      </x:c>
      <x:c r="D5695" s="7" t="str">
        <x:v>channel instance</x:v>
      </x:c>
      <x:c r="E5695" s="7" t="str">
        <x:v>CH-PEA-C-X3-22-2</x:v>
      </x:c>
      <x:c r="F5695" s="7" t="str">
        <x:f>'Channel Instances'!O2150</x:f>
        <x:v>OPEN</x:v>
      </x:c>
    </x:row>
    <x:row r="5696">
      <x:c r="B5696" s="7" t="str">
        <x:v>AG-05690</x:v>
      </x:c>
      <x:c r="C5696" s="7" t="str">
        <x:v>PEA-C-X3</x:v>
      </x:c>
      <x:c r="D5696" s="7" t="str">
        <x:v>channel instance</x:v>
      </x:c>
      <x:c r="E5696" s="7" t="str">
        <x:v>CH-PEA-C-X3-22-3</x:v>
      </x:c>
      <x:c r="F5696" s="7" t="str">
        <x:f>'Channel Instances'!O2151</x:f>
        <x:v>OPEN</x:v>
      </x:c>
    </x:row>
    <x:row r="5697">
      <x:c r="B5697" s="7" t="str">
        <x:v>AG-05691</x:v>
      </x:c>
      <x:c r="C5697" s="7" t="str">
        <x:v>PEA-C-X3</x:v>
      </x:c>
      <x:c r="D5697" s="7" t="str">
        <x:v>channel instance</x:v>
      </x:c>
      <x:c r="E5697" s="7" t="str">
        <x:v>CH-PEA-C-X3-22-4</x:v>
      </x:c>
      <x:c r="F5697" s="7" t="str">
        <x:f>'Channel Instances'!O2152</x:f>
        <x:v>OPEN</x:v>
      </x:c>
    </x:row>
    <x:row r="5698">
      <x:c r="B5698" s="7" t="str">
        <x:v>AG-05692</x:v>
      </x:c>
      <x:c r="C5698" s="7" t="str">
        <x:v>PEA-C-X3</x:v>
      </x:c>
      <x:c r="D5698" s="7" t="str">
        <x:v>channel instance</x:v>
      </x:c>
      <x:c r="E5698" s="7" t="str">
        <x:v>CH-PEA-C-X3-22-5</x:v>
      </x:c>
      <x:c r="F5698" s="7" t="str">
        <x:f>'Channel Instances'!O2153</x:f>
        <x:v>OPEN</x:v>
      </x:c>
    </x:row>
    <x:row r="5699">
      <x:c r="B5699" s="7" t="str">
        <x:v>AG-05693</x:v>
      </x:c>
      <x:c r="C5699" s="7" t="str">
        <x:v>PEA-C-X3</x:v>
      </x:c>
      <x:c r="D5699" s="7" t="str">
        <x:v>channel instance</x:v>
      </x:c>
      <x:c r="E5699" s="7" t="str">
        <x:v>CH-PEA-C-X3-22-6</x:v>
      </x:c>
      <x:c r="F5699" s="7" t="str">
        <x:f>'Channel Instances'!O2154</x:f>
        <x:v>OPEN</x:v>
      </x:c>
    </x:row>
    <x:row r="5700">
      <x:c r="B5700" s="7" t="str">
        <x:v>AG-05694</x:v>
      </x:c>
      <x:c r="C5700" s="7" t="str">
        <x:v>PEA-C-X3</x:v>
      </x:c>
      <x:c r="D5700" s="7" t="str">
        <x:v>channel instance</x:v>
      </x:c>
      <x:c r="E5700" s="7" t="str">
        <x:v>CH-PEA-C-X3-23-1</x:v>
      </x:c>
      <x:c r="F5700" s="7" t="str">
        <x:f>'Channel Instances'!O2155</x:f>
        <x:v>OPEN</x:v>
      </x:c>
    </x:row>
    <x:row r="5701">
      <x:c r="B5701" s="7" t="str">
        <x:v>AG-05695</x:v>
      </x:c>
      <x:c r="C5701" s="7" t="str">
        <x:v>PEA-C-X3</x:v>
      </x:c>
      <x:c r="D5701" s="7" t="str">
        <x:v>channel instance</x:v>
      </x:c>
      <x:c r="E5701" s="7" t="str">
        <x:v>CH-PEA-C-X3-23-2</x:v>
      </x:c>
      <x:c r="F5701" s="7" t="str">
        <x:f>'Channel Instances'!O2156</x:f>
        <x:v>OPEN</x:v>
      </x:c>
    </x:row>
    <x:row r="5702">
      <x:c r="B5702" s="7" t="str">
        <x:v>AG-05696</x:v>
      </x:c>
      <x:c r="C5702" s="7" t="str">
        <x:v>PEA-C-X3</x:v>
      </x:c>
      <x:c r="D5702" s="7" t="str">
        <x:v>channel instance</x:v>
      </x:c>
      <x:c r="E5702" s="7" t="str">
        <x:v>CH-PEA-C-X3-23-3</x:v>
      </x:c>
      <x:c r="F5702" s="7" t="str">
        <x:f>'Channel Instances'!O2157</x:f>
        <x:v>OPEN</x:v>
      </x:c>
    </x:row>
    <x:row r="5703">
      <x:c r="B5703" s="7" t="str">
        <x:v>AG-05697</x:v>
      </x:c>
      <x:c r="C5703" s="7" t="str">
        <x:v>PEA-C-X3</x:v>
      </x:c>
      <x:c r="D5703" s="7" t="str">
        <x:v>channel instance</x:v>
      </x:c>
      <x:c r="E5703" s="7" t="str">
        <x:v>CH-PEA-C-X3-23-4</x:v>
      </x:c>
      <x:c r="F5703" s="7" t="str">
        <x:f>'Channel Instances'!O2158</x:f>
        <x:v>OPEN</x:v>
      </x:c>
    </x:row>
    <x:row r="5704">
      <x:c r="B5704" s="7" t="str">
        <x:v>AG-05698</x:v>
      </x:c>
      <x:c r="C5704" s="7" t="str">
        <x:v>PEA-C-X3</x:v>
      </x:c>
      <x:c r="D5704" s="7" t="str">
        <x:v>channel instance</x:v>
      </x:c>
      <x:c r="E5704" s="7" t="str">
        <x:v>CH-PEA-C-X3-23-5</x:v>
      </x:c>
      <x:c r="F5704" s="7" t="str">
        <x:f>'Channel Instances'!O2159</x:f>
        <x:v>OPEN</x:v>
      </x:c>
    </x:row>
    <x:row r="5705">
      <x:c r="B5705" s="7" t="str">
        <x:v>AG-05699</x:v>
      </x:c>
      <x:c r="C5705" s="7" t="str">
        <x:v>PEA-C-X3</x:v>
      </x:c>
      <x:c r="D5705" s="7" t="str">
        <x:v>channel instance</x:v>
      </x:c>
      <x:c r="E5705" s="7" t="str">
        <x:v>CH-PEA-C-X3-23-6</x:v>
      </x:c>
      <x:c r="F5705" s="7" t="str">
        <x:f>'Channel Instances'!O2160</x:f>
        <x:v>OPEN</x:v>
      </x:c>
    </x:row>
    <x:row r="5706">
      <x:c r="B5706" s="7" t="str">
        <x:v>AG-05700</x:v>
      </x:c>
      <x:c r="C5706" s="7" t="str">
        <x:v>PEA-C-X3</x:v>
      </x:c>
      <x:c r="D5706" s="7" t="str">
        <x:v>channel instance</x:v>
      </x:c>
      <x:c r="E5706" s="7" t="str">
        <x:v>CH-PEA-C-X3-24-1</x:v>
      </x:c>
      <x:c r="F5706" s="7" t="str">
        <x:f>'Channel Instances'!O2161</x:f>
        <x:v>OPEN</x:v>
      </x:c>
    </x:row>
    <x:row r="5707">
      <x:c r="B5707" s="7" t="str">
        <x:v>AG-05701</x:v>
      </x:c>
      <x:c r="C5707" s="7" t="str">
        <x:v>PEA-C-X3</x:v>
      </x:c>
      <x:c r="D5707" s="7" t="str">
        <x:v>channel instance</x:v>
      </x:c>
      <x:c r="E5707" s="7" t="str">
        <x:v>CH-PEA-C-X3-24-2</x:v>
      </x:c>
      <x:c r="F5707" s="7" t="str">
        <x:f>'Channel Instances'!O2162</x:f>
        <x:v>OPEN</x:v>
      </x:c>
    </x:row>
    <x:row r="5708">
      <x:c r="B5708" s="7" t="str">
        <x:v>AG-05702</x:v>
      </x:c>
      <x:c r="C5708" s="7" t="str">
        <x:v>PEA-C-X3</x:v>
      </x:c>
      <x:c r="D5708" s="7" t="str">
        <x:v>channel instance</x:v>
      </x:c>
      <x:c r="E5708" s="7" t="str">
        <x:v>CH-PEA-C-X3-24-3</x:v>
      </x:c>
      <x:c r="F5708" s="7" t="str">
        <x:f>'Channel Instances'!O2163</x:f>
        <x:v>OPEN</x:v>
      </x:c>
    </x:row>
    <x:row r="5709">
      <x:c r="B5709" s="7" t="str">
        <x:v>AG-05703</x:v>
      </x:c>
      <x:c r="C5709" s="7" t="str">
        <x:v>PEA-C-X3</x:v>
      </x:c>
      <x:c r="D5709" s="7" t="str">
        <x:v>channel instance</x:v>
      </x:c>
      <x:c r="E5709" s="7" t="str">
        <x:v>CH-PEA-C-X3-24-4</x:v>
      </x:c>
      <x:c r="F5709" s="7" t="str">
        <x:f>'Channel Instances'!O2164</x:f>
        <x:v>OPEN</x:v>
      </x:c>
    </x:row>
    <x:row r="5710">
      <x:c r="B5710" s="7" t="str">
        <x:v>AG-05704</x:v>
      </x:c>
      <x:c r="C5710" s="7" t="str">
        <x:v>PEA-C-X3</x:v>
      </x:c>
      <x:c r="D5710" s="7" t="str">
        <x:v>channel instance</x:v>
      </x:c>
      <x:c r="E5710" s="7" t="str">
        <x:v>CH-PEA-C-X3-24-5</x:v>
      </x:c>
      <x:c r="F5710" s="7" t="str">
        <x:f>'Channel Instances'!O2165</x:f>
        <x:v>OPEN</x:v>
      </x:c>
    </x:row>
    <x:row r="5711">
      <x:c r="B5711" s="7" t="str">
        <x:v>AG-05705</x:v>
      </x:c>
      <x:c r="C5711" s="7" t="str">
        <x:v>PEA-C-X3</x:v>
      </x:c>
      <x:c r="D5711" s="7" t="str">
        <x:v>channel instance</x:v>
      </x:c>
      <x:c r="E5711" s="7" t="str">
        <x:v>CH-PEA-C-X3-24-6</x:v>
      </x:c>
      <x:c r="F5711" s="7" t="str">
        <x:f>'Channel Instances'!O2166</x:f>
        <x:v>OPEN</x:v>
      </x:c>
    </x:row>
    <x:row r="5712">
      <x:c r="B5712" s="7" t="str">
        <x:v>AG-05706</x:v>
      </x:c>
      <x:c r="C5712" s="7" t="str">
        <x:v>PEA-C-X3</x:v>
      </x:c>
      <x:c r="D5712" s="7" t="str">
        <x:v>factory calibration</x:v>
      </x:c>
      <x:c r="E5712" s="7" t="str">
        <x:v>CAL-CH-PEA-C-X3-01-1</x:v>
      </x:c>
      <x:c r="F5712" s="7" t="str">
        <x:f>'Calibration Records'!M2023</x:f>
        <x:v>OPEN</x:v>
      </x:c>
    </x:row>
    <x:row r="5713">
      <x:c r="B5713" s="7" t="str">
        <x:v>AG-05707</x:v>
      </x:c>
      <x:c r="C5713" s="7" t="str">
        <x:v>PEA-C-X3</x:v>
      </x:c>
      <x:c r="D5713" s="7" t="str">
        <x:v>factory calibration</x:v>
      </x:c>
      <x:c r="E5713" s="7" t="str">
        <x:v>CAL-CH-PEA-C-X3-01-2</x:v>
      </x:c>
      <x:c r="F5713" s="7" t="str">
        <x:f>'Calibration Records'!M2024</x:f>
        <x:v>OPEN</x:v>
      </x:c>
    </x:row>
    <x:row r="5714">
      <x:c r="B5714" s="7" t="str">
        <x:v>AG-05708</x:v>
      </x:c>
      <x:c r="C5714" s="7" t="str">
        <x:v>PEA-C-X3</x:v>
      </x:c>
      <x:c r="D5714" s="7" t="str">
        <x:v>factory calibration</x:v>
      </x:c>
      <x:c r="E5714" s="7" t="str">
        <x:v>CAL-CH-PEA-C-X3-01-3</x:v>
      </x:c>
      <x:c r="F5714" s="7" t="str">
        <x:f>'Calibration Records'!M2025</x:f>
        <x:v>OPEN</x:v>
      </x:c>
    </x:row>
    <x:row r="5715">
      <x:c r="B5715" s="7" t="str">
        <x:v>AG-05709</x:v>
      </x:c>
      <x:c r="C5715" s="7" t="str">
        <x:v>PEA-C-X3</x:v>
      </x:c>
      <x:c r="D5715" s="7" t="str">
        <x:v>factory calibration</x:v>
      </x:c>
      <x:c r="E5715" s="7" t="str">
        <x:v>CAL-CH-PEA-C-X3-01-4</x:v>
      </x:c>
      <x:c r="F5715" s="7" t="str">
        <x:f>'Calibration Records'!M2026</x:f>
        <x:v>OPEN</x:v>
      </x:c>
    </x:row>
    <x:row r="5716">
      <x:c r="B5716" s="7" t="str">
        <x:v>AG-05710</x:v>
      </x:c>
      <x:c r="C5716" s="7" t="str">
        <x:v>PEA-C-X3</x:v>
      </x:c>
      <x:c r="D5716" s="7" t="str">
        <x:v>factory calibration</x:v>
      </x:c>
      <x:c r="E5716" s="7" t="str">
        <x:v>CAL-CH-PEA-C-X3-01-5</x:v>
      </x:c>
      <x:c r="F5716" s="7" t="str">
        <x:f>'Calibration Records'!M2027</x:f>
        <x:v>OPEN</x:v>
      </x:c>
    </x:row>
    <x:row r="5717">
      <x:c r="B5717" s="7" t="str">
        <x:v>AG-05711</x:v>
      </x:c>
      <x:c r="C5717" s="7" t="str">
        <x:v>PEA-C-X3</x:v>
      </x:c>
      <x:c r="D5717" s="7" t="str">
        <x:v>factory calibration</x:v>
      </x:c>
      <x:c r="E5717" s="7" t="str">
        <x:v>CAL-CH-PEA-C-X3-01-6</x:v>
      </x:c>
      <x:c r="F5717" s="7" t="str">
        <x:f>'Calibration Records'!M2028</x:f>
        <x:v>OPEN</x:v>
      </x:c>
    </x:row>
    <x:row r="5718">
      <x:c r="B5718" s="7" t="str">
        <x:v>AG-05712</x:v>
      </x:c>
      <x:c r="C5718" s="7" t="str">
        <x:v>PEA-C-X3</x:v>
      </x:c>
      <x:c r="D5718" s="7" t="str">
        <x:v>factory calibration</x:v>
      </x:c>
      <x:c r="E5718" s="7" t="str">
        <x:v>CAL-CH-PEA-C-X3-02-1</x:v>
      </x:c>
      <x:c r="F5718" s="7" t="str">
        <x:f>'Calibration Records'!M2029</x:f>
        <x:v>OPEN</x:v>
      </x:c>
    </x:row>
    <x:row r="5719">
      <x:c r="B5719" s="7" t="str">
        <x:v>AG-05713</x:v>
      </x:c>
      <x:c r="C5719" s="7" t="str">
        <x:v>PEA-C-X3</x:v>
      </x:c>
      <x:c r="D5719" s="7" t="str">
        <x:v>factory calibration</x:v>
      </x:c>
      <x:c r="E5719" s="7" t="str">
        <x:v>CAL-CH-PEA-C-X3-02-2</x:v>
      </x:c>
      <x:c r="F5719" s="7" t="str">
        <x:f>'Calibration Records'!M2030</x:f>
        <x:v>OPEN</x:v>
      </x:c>
    </x:row>
    <x:row r="5720">
      <x:c r="B5720" s="7" t="str">
        <x:v>AG-05714</x:v>
      </x:c>
      <x:c r="C5720" s="7" t="str">
        <x:v>PEA-C-X3</x:v>
      </x:c>
      <x:c r="D5720" s="7" t="str">
        <x:v>factory calibration</x:v>
      </x:c>
      <x:c r="E5720" s="7" t="str">
        <x:v>CAL-CH-PEA-C-X3-02-3</x:v>
      </x:c>
      <x:c r="F5720" s="7" t="str">
        <x:f>'Calibration Records'!M2031</x:f>
        <x:v>OPEN</x:v>
      </x:c>
    </x:row>
    <x:row r="5721">
      <x:c r="B5721" s="7" t="str">
        <x:v>AG-05715</x:v>
      </x:c>
      <x:c r="C5721" s="7" t="str">
        <x:v>PEA-C-X3</x:v>
      </x:c>
      <x:c r="D5721" s="7" t="str">
        <x:v>factory calibration</x:v>
      </x:c>
      <x:c r="E5721" s="7" t="str">
        <x:v>CAL-CH-PEA-C-X3-02-4</x:v>
      </x:c>
      <x:c r="F5721" s="7" t="str">
        <x:f>'Calibration Records'!M2032</x:f>
        <x:v>OPEN</x:v>
      </x:c>
    </x:row>
    <x:row r="5722">
      <x:c r="B5722" s="7" t="str">
        <x:v>AG-05716</x:v>
      </x:c>
      <x:c r="C5722" s="7" t="str">
        <x:v>PEA-C-X3</x:v>
      </x:c>
      <x:c r="D5722" s="7" t="str">
        <x:v>factory calibration</x:v>
      </x:c>
      <x:c r="E5722" s="7" t="str">
        <x:v>CAL-CH-PEA-C-X3-02-5</x:v>
      </x:c>
      <x:c r="F5722" s="7" t="str">
        <x:f>'Calibration Records'!M2033</x:f>
        <x:v>OPEN</x:v>
      </x:c>
    </x:row>
    <x:row r="5723">
      <x:c r="B5723" s="7" t="str">
        <x:v>AG-05717</x:v>
      </x:c>
      <x:c r="C5723" s="7" t="str">
        <x:v>PEA-C-X3</x:v>
      </x:c>
      <x:c r="D5723" s="7" t="str">
        <x:v>factory calibration</x:v>
      </x:c>
      <x:c r="E5723" s="7" t="str">
        <x:v>CAL-CH-PEA-C-X3-02-6</x:v>
      </x:c>
      <x:c r="F5723" s="7" t="str">
        <x:f>'Calibration Records'!M2034</x:f>
        <x:v>OPEN</x:v>
      </x:c>
    </x:row>
    <x:row r="5724">
      <x:c r="B5724" s="7" t="str">
        <x:v>AG-05718</x:v>
      </x:c>
      <x:c r="C5724" s="7" t="str">
        <x:v>PEA-C-X3</x:v>
      </x:c>
      <x:c r="D5724" s="7" t="str">
        <x:v>factory calibration</x:v>
      </x:c>
      <x:c r="E5724" s="7" t="str">
        <x:v>CAL-CH-PEA-C-X3-03-1</x:v>
      </x:c>
      <x:c r="F5724" s="7" t="str">
        <x:f>'Calibration Records'!M2035</x:f>
        <x:v>OPEN</x:v>
      </x:c>
    </x:row>
    <x:row r="5725">
      <x:c r="B5725" s="7" t="str">
        <x:v>AG-05719</x:v>
      </x:c>
      <x:c r="C5725" s="7" t="str">
        <x:v>PEA-C-X3</x:v>
      </x:c>
      <x:c r="D5725" s="7" t="str">
        <x:v>factory calibration</x:v>
      </x:c>
      <x:c r="E5725" s="7" t="str">
        <x:v>CAL-CH-PEA-C-X3-03-2</x:v>
      </x:c>
      <x:c r="F5725" s="7" t="str">
        <x:f>'Calibration Records'!M2036</x:f>
        <x:v>OPEN</x:v>
      </x:c>
    </x:row>
    <x:row r="5726">
      <x:c r="B5726" s="7" t="str">
        <x:v>AG-05720</x:v>
      </x:c>
      <x:c r="C5726" s="7" t="str">
        <x:v>PEA-C-X3</x:v>
      </x:c>
      <x:c r="D5726" s="7" t="str">
        <x:v>factory calibration</x:v>
      </x:c>
      <x:c r="E5726" s="7" t="str">
        <x:v>CAL-CH-PEA-C-X3-03-3</x:v>
      </x:c>
      <x:c r="F5726" s="7" t="str">
        <x:f>'Calibration Records'!M2037</x:f>
        <x:v>OPEN</x:v>
      </x:c>
    </x:row>
    <x:row r="5727">
      <x:c r="B5727" s="7" t="str">
        <x:v>AG-05721</x:v>
      </x:c>
      <x:c r="C5727" s="7" t="str">
        <x:v>PEA-C-X3</x:v>
      </x:c>
      <x:c r="D5727" s="7" t="str">
        <x:v>factory calibration</x:v>
      </x:c>
      <x:c r="E5727" s="7" t="str">
        <x:v>CAL-CH-PEA-C-X3-03-4</x:v>
      </x:c>
      <x:c r="F5727" s="7" t="str">
        <x:f>'Calibration Records'!M2038</x:f>
        <x:v>OPEN</x:v>
      </x:c>
    </x:row>
    <x:row r="5728">
      <x:c r="B5728" s="7" t="str">
        <x:v>AG-05722</x:v>
      </x:c>
      <x:c r="C5728" s="7" t="str">
        <x:v>PEA-C-X3</x:v>
      </x:c>
      <x:c r="D5728" s="7" t="str">
        <x:v>factory calibration</x:v>
      </x:c>
      <x:c r="E5728" s="7" t="str">
        <x:v>CAL-CH-PEA-C-X3-03-5</x:v>
      </x:c>
      <x:c r="F5728" s="7" t="str">
        <x:f>'Calibration Records'!M2039</x:f>
        <x:v>OPEN</x:v>
      </x:c>
    </x:row>
    <x:row r="5729">
      <x:c r="B5729" s="7" t="str">
        <x:v>AG-05723</x:v>
      </x:c>
      <x:c r="C5729" s="7" t="str">
        <x:v>PEA-C-X3</x:v>
      </x:c>
      <x:c r="D5729" s="7" t="str">
        <x:v>factory calibration</x:v>
      </x:c>
      <x:c r="E5729" s="7" t="str">
        <x:v>CAL-CH-PEA-C-X3-03-6</x:v>
      </x:c>
      <x:c r="F5729" s="7" t="str">
        <x:f>'Calibration Records'!M2040</x:f>
        <x:v>OPEN</x:v>
      </x:c>
    </x:row>
    <x:row r="5730">
      <x:c r="B5730" s="7" t="str">
        <x:v>AG-05724</x:v>
      </x:c>
      <x:c r="C5730" s="7" t="str">
        <x:v>PEA-C-X3</x:v>
      </x:c>
      <x:c r="D5730" s="7" t="str">
        <x:v>factory calibration</x:v>
      </x:c>
      <x:c r="E5730" s="7" t="str">
        <x:v>CAL-CH-PEA-C-X3-04-1</x:v>
      </x:c>
      <x:c r="F5730" s="7" t="str">
        <x:f>'Calibration Records'!M2041</x:f>
        <x:v>OPEN</x:v>
      </x:c>
    </x:row>
    <x:row r="5731">
      <x:c r="B5731" s="7" t="str">
        <x:v>AG-05725</x:v>
      </x:c>
      <x:c r="C5731" s="7" t="str">
        <x:v>PEA-C-X3</x:v>
      </x:c>
      <x:c r="D5731" s="7" t="str">
        <x:v>factory calibration</x:v>
      </x:c>
      <x:c r="E5731" s="7" t="str">
        <x:v>CAL-CH-PEA-C-X3-04-2</x:v>
      </x:c>
      <x:c r="F5731" s="7" t="str">
        <x:f>'Calibration Records'!M2042</x:f>
        <x:v>OPEN</x:v>
      </x:c>
    </x:row>
    <x:row r="5732">
      <x:c r="B5732" s="7" t="str">
        <x:v>AG-05726</x:v>
      </x:c>
      <x:c r="C5732" s="7" t="str">
        <x:v>PEA-C-X3</x:v>
      </x:c>
      <x:c r="D5732" s="7" t="str">
        <x:v>factory calibration</x:v>
      </x:c>
      <x:c r="E5732" s="7" t="str">
        <x:v>CAL-CH-PEA-C-X3-04-3</x:v>
      </x:c>
      <x:c r="F5732" s="7" t="str">
        <x:f>'Calibration Records'!M2043</x:f>
        <x:v>OPEN</x:v>
      </x:c>
    </x:row>
    <x:row r="5733">
      <x:c r="B5733" s="7" t="str">
        <x:v>AG-05727</x:v>
      </x:c>
      <x:c r="C5733" s="7" t="str">
        <x:v>PEA-C-X3</x:v>
      </x:c>
      <x:c r="D5733" s="7" t="str">
        <x:v>factory calibration</x:v>
      </x:c>
      <x:c r="E5733" s="7" t="str">
        <x:v>CAL-CH-PEA-C-X3-04-4</x:v>
      </x:c>
      <x:c r="F5733" s="7" t="str">
        <x:f>'Calibration Records'!M2044</x:f>
        <x:v>OPEN</x:v>
      </x:c>
    </x:row>
    <x:row r="5734">
      <x:c r="B5734" s="7" t="str">
        <x:v>AG-05728</x:v>
      </x:c>
      <x:c r="C5734" s="7" t="str">
        <x:v>PEA-C-X3</x:v>
      </x:c>
      <x:c r="D5734" s="7" t="str">
        <x:v>factory calibration</x:v>
      </x:c>
      <x:c r="E5734" s="7" t="str">
        <x:v>CAL-CH-PEA-C-X3-04-5</x:v>
      </x:c>
      <x:c r="F5734" s="7" t="str">
        <x:f>'Calibration Records'!M2045</x:f>
        <x:v>OPEN</x:v>
      </x:c>
    </x:row>
    <x:row r="5735">
      <x:c r="B5735" s="7" t="str">
        <x:v>AG-05729</x:v>
      </x:c>
      <x:c r="C5735" s="7" t="str">
        <x:v>PEA-C-X3</x:v>
      </x:c>
      <x:c r="D5735" s="7" t="str">
        <x:v>factory calibration</x:v>
      </x:c>
      <x:c r="E5735" s="7" t="str">
        <x:v>CAL-CH-PEA-C-X3-04-6</x:v>
      </x:c>
      <x:c r="F5735" s="7" t="str">
        <x:f>'Calibration Records'!M2046</x:f>
        <x:v>OPEN</x:v>
      </x:c>
    </x:row>
    <x:row r="5736">
      <x:c r="B5736" s="7" t="str">
        <x:v>AG-05730</x:v>
      </x:c>
      <x:c r="C5736" s="7" t="str">
        <x:v>PEA-C-X3</x:v>
      </x:c>
      <x:c r="D5736" s="7" t="str">
        <x:v>factory calibration</x:v>
      </x:c>
      <x:c r="E5736" s="7" t="str">
        <x:v>CAL-CH-PEA-C-X3-05-1</x:v>
      </x:c>
      <x:c r="F5736" s="7" t="str">
        <x:f>'Calibration Records'!M2047</x:f>
        <x:v>OPEN</x:v>
      </x:c>
    </x:row>
    <x:row r="5737">
      <x:c r="B5737" s="7" t="str">
        <x:v>AG-05731</x:v>
      </x:c>
      <x:c r="C5737" s="7" t="str">
        <x:v>PEA-C-X3</x:v>
      </x:c>
      <x:c r="D5737" s="7" t="str">
        <x:v>factory calibration</x:v>
      </x:c>
      <x:c r="E5737" s="7" t="str">
        <x:v>CAL-CH-PEA-C-X3-05-2</x:v>
      </x:c>
      <x:c r="F5737" s="7" t="str">
        <x:f>'Calibration Records'!M2048</x:f>
        <x:v>OPEN</x:v>
      </x:c>
    </x:row>
    <x:row r="5738">
      <x:c r="B5738" s="7" t="str">
        <x:v>AG-05732</x:v>
      </x:c>
      <x:c r="C5738" s="7" t="str">
        <x:v>PEA-C-X3</x:v>
      </x:c>
      <x:c r="D5738" s="7" t="str">
        <x:v>factory calibration</x:v>
      </x:c>
      <x:c r="E5738" s="7" t="str">
        <x:v>CAL-CH-PEA-C-X3-05-3</x:v>
      </x:c>
      <x:c r="F5738" s="7" t="str">
        <x:f>'Calibration Records'!M2049</x:f>
        <x:v>OPEN</x:v>
      </x:c>
    </x:row>
    <x:row r="5739">
      <x:c r="B5739" s="7" t="str">
        <x:v>AG-05733</x:v>
      </x:c>
      <x:c r="C5739" s="7" t="str">
        <x:v>PEA-C-X3</x:v>
      </x:c>
      <x:c r="D5739" s="7" t="str">
        <x:v>factory calibration</x:v>
      </x:c>
      <x:c r="E5739" s="7" t="str">
        <x:v>CAL-CH-PEA-C-X3-05-4</x:v>
      </x:c>
      <x:c r="F5739" s="7" t="str">
        <x:f>'Calibration Records'!M2050</x:f>
        <x:v>OPEN</x:v>
      </x:c>
    </x:row>
    <x:row r="5740">
      <x:c r="B5740" s="7" t="str">
        <x:v>AG-05734</x:v>
      </x:c>
      <x:c r="C5740" s="7" t="str">
        <x:v>PEA-C-X3</x:v>
      </x:c>
      <x:c r="D5740" s="7" t="str">
        <x:v>factory calibration</x:v>
      </x:c>
      <x:c r="E5740" s="7" t="str">
        <x:v>CAL-CH-PEA-C-X3-05-5</x:v>
      </x:c>
      <x:c r="F5740" s="7" t="str">
        <x:f>'Calibration Records'!M2051</x:f>
        <x:v>OPEN</x:v>
      </x:c>
    </x:row>
    <x:row r="5741">
      <x:c r="B5741" s="7" t="str">
        <x:v>AG-05735</x:v>
      </x:c>
      <x:c r="C5741" s="7" t="str">
        <x:v>PEA-C-X3</x:v>
      </x:c>
      <x:c r="D5741" s="7" t="str">
        <x:v>factory calibration</x:v>
      </x:c>
      <x:c r="E5741" s="7" t="str">
        <x:v>CAL-CH-PEA-C-X3-05-6</x:v>
      </x:c>
      <x:c r="F5741" s="7" t="str">
        <x:f>'Calibration Records'!M2052</x:f>
        <x:v>OPEN</x:v>
      </x:c>
    </x:row>
    <x:row r="5742">
      <x:c r="B5742" s="7" t="str">
        <x:v>AG-05736</x:v>
      </x:c>
      <x:c r="C5742" s="7" t="str">
        <x:v>PEA-C-X3</x:v>
      </x:c>
      <x:c r="D5742" s="7" t="str">
        <x:v>factory calibration</x:v>
      </x:c>
      <x:c r="E5742" s="7" t="str">
        <x:v>CAL-CH-PEA-C-X3-06-1</x:v>
      </x:c>
      <x:c r="F5742" s="7" t="str">
        <x:f>'Calibration Records'!M2053</x:f>
        <x:v>OPEN</x:v>
      </x:c>
    </x:row>
    <x:row r="5743">
      <x:c r="B5743" s="7" t="str">
        <x:v>AG-05737</x:v>
      </x:c>
      <x:c r="C5743" s="7" t="str">
        <x:v>PEA-C-X3</x:v>
      </x:c>
      <x:c r="D5743" s="7" t="str">
        <x:v>factory calibration</x:v>
      </x:c>
      <x:c r="E5743" s="7" t="str">
        <x:v>CAL-CH-PEA-C-X3-06-2</x:v>
      </x:c>
      <x:c r="F5743" s="7" t="str">
        <x:f>'Calibration Records'!M2054</x:f>
        <x:v>OPEN</x:v>
      </x:c>
    </x:row>
    <x:row r="5744">
      <x:c r="B5744" s="7" t="str">
        <x:v>AG-05738</x:v>
      </x:c>
      <x:c r="C5744" s="7" t="str">
        <x:v>PEA-C-X3</x:v>
      </x:c>
      <x:c r="D5744" s="7" t="str">
        <x:v>factory calibration</x:v>
      </x:c>
      <x:c r="E5744" s="7" t="str">
        <x:v>CAL-CH-PEA-C-X3-06-3</x:v>
      </x:c>
      <x:c r="F5744" s="7" t="str">
        <x:f>'Calibration Records'!M2055</x:f>
        <x:v>OPEN</x:v>
      </x:c>
    </x:row>
    <x:row r="5745">
      <x:c r="B5745" s="7" t="str">
        <x:v>AG-05739</x:v>
      </x:c>
      <x:c r="C5745" s="7" t="str">
        <x:v>PEA-C-X3</x:v>
      </x:c>
      <x:c r="D5745" s="7" t="str">
        <x:v>factory calibration</x:v>
      </x:c>
      <x:c r="E5745" s="7" t="str">
        <x:v>CAL-CH-PEA-C-X3-06-4</x:v>
      </x:c>
      <x:c r="F5745" s="7" t="str">
        <x:f>'Calibration Records'!M2056</x:f>
        <x:v>OPEN</x:v>
      </x:c>
    </x:row>
    <x:row r="5746">
      <x:c r="B5746" s="7" t="str">
        <x:v>AG-05740</x:v>
      </x:c>
      <x:c r="C5746" s="7" t="str">
        <x:v>PEA-C-X3</x:v>
      </x:c>
      <x:c r="D5746" s="7" t="str">
        <x:v>factory calibration</x:v>
      </x:c>
      <x:c r="E5746" s="7" t="str">
        <x:v>CAL-CH-PEA-C-X3-06-5</x:v>
      </x:c>
      <x:c r="F5746" s="7" t="str">
        <x:f>'Calibration Records'!M2057</x:f>
        <x:v>OPEN</x:v>
      </x:c>
    </x:row>
    <x:row r="5747">
      <x:c r="B5747" s="7" t="str">
        <x:v>AG-05741</x:v>
      </x:c>
      <x:c r="C5747" s="7" t="str">
        <x:v>PEA-C-X3</x:v>
      </x:c>
      <x:c r="D5747" s="7" t="str">
        <x:v>factory calibration</x:v>
      </x:c>
      <x:c r="E5747" s="7" t="str">
        <x:v>CAL-CH-PEA-C-X3-06-6</x:v>
      </x:c>
      <x:c r="F5747" s="7" t="str">
        <x:f>'Calibration Records'!M2058</x:f>
        <x:v>OPEN</x:v>
      </x:c>
    </x:row>
    <x:row r="5748">
      <x:c r="B5748" s="7" t="str">
        <x:v>AG-05742</x:v>
      </x:c>
      <x:c r="C5748" s="7" t="str">
        <x:v>PEA-C-X3</x:v>
      </x:c>
      <x:c r="D5748" s="7" t="str">
        <x:v>factory calibration</x:v>
      </x:c>
      <x:c r="E5748" s="7" t="str">
        <x:v>CAL-CH-PEA-C-X3-07-1</x:v>
      </x:c>
      <x:c r="F5748" s="7" t="str">
        <x:f>'Calibration Records'!M2059</x:f>
        <x:v>OPEN</x:v>
      </x:c>
    </x:row>
    <x:row r="5749">
      <x:c r="B5749" s="7" t="str">
        <x:v>AG-05743</x:v>
      </x:c>
      <x:c r="C5749" s="7" t="str">
        <x:v>PEA-C-X3</x:v>
      </x:c>
      <x:c r="D5749" s="7" t="str">
        <x:v>factory calibration</x:v>
      </x:c>
      <x:c r="E5749" s="7" t="str">
        <x:v>CAL-CH-PEA-C-X3-07-2</x:v>
      </x:c>
      <x:c r="F5749" s="7" t="str">
        <x:f>'Calibration Records'!M2060</x:f>
        <x:v>OPEN</x:v>
      </x:c>
    </x:row>
    <x:row r="5750">
      <x:c r="B5750" s="7" t="str">
        <x:v>AG-05744</x:v>
      </x:c>
      <x:c r="C5750" s="7" t="str">
        <x:v>PEA-C-X3</x:v>
      </x:c>
      <x:c r="D5750" s="7" t="str">
        <x:v>factory calibration</x:v>
      </x:c>
      <x:c r="E5750" s="7" t="str">
        <x:v>CAL-CH-PEA-C-X3-07-3</x:v>
      </x:c>
      <x:c r="F5750" s="7" t="str">
        <x:f>'Calibration Records'!M2061</x:f>
        <x:v>OPEN</x:v>
      </x:c>
    </x:row>
    <x:row r="5751">
      <x:c r="B5751" s="7" t="str">
        <x:v>AG-05745</x:v>
      </x:c>
      <x:c r="C5751" s="7" t="str">
        <x:v>PEA-C-X3</x:v>
      </x:c>
      <x:c r="D5751" s="7" t="str">
        <x:v>factory calibration</x:v>
      </x:c>
      <x:c r="E5751" s="7" t="str">
        <x:v>CAL-CH-PEA-C-X3-07-4</x:v>
      </x:c>
      <x:c r="F5751" s="7" t="str">
        <x:f>'Calibration Records'!M2062</x:f>
        <x:v>OPEN</x:v>
      </x:c>
    </x:row>
    <x:row r="5752">
      <x:c r="B5752" s="7" t="str">
        <x:v>AG-05746</x:v>
      </x:c>
      <x:c r="C5752" s="7" t="str">
        <x:v>PEA-C-X3</x:v>
      </x:c>
      <x:c r="D5752" s="7" t="str">
        <x:v>factory calibration</x:v>
      </x:c>
      <x:c r="E5752" s="7" t="str">
        <x:v>CAL-CH-PEA-C-X3-07-5</x:v>
      </x:c>
      <x:c r="F5752" s="7" t="str">
        <x:f>'Calibration Records'!M2063</x:f>
        <x:v>OPEN</x:v>
      </x:c>
    </x:row>
    <x:row r="5753">
      <x:c r="B5753" s="7" t="str">
        <x:v>AG-05747</x:v>
      </x:c>
      <x:c r="C5753" s="7" t="str">
        <x:v>PEA-C-X3</x:v>
      </x:c>
      <x:c r="D5753" s="7" t="str">
        <x:v>factory calibration</x:v>
      </x:c>
      <x:c r="E5753" s="7" t="str">
        <x:v>CAL-CH-PEA-C-X3-07-6</x:v>
      </x:c>
      <x:c r="F5753" s="7" t="str">
        <x:f>'Calibration Records'!M2064</x:f>
        <x:v>OPEN</x:v>
      </x:c>
    </x:row>
    <x:row r="5754">
      <x:c r="B5754" s="7" t="str">
        <x:v>AG-05748</x:v>
      </x:c>
      <x:c r="C5754" s="7" t="str">
        <x:v>PEA-C-X3</x:v>
      </x:c>
      <x:c r="D5754" s="7" t="str">
        <x:v>factory calibration</x:v>
      </x:c>
      <x:c r="E5754" s="7" t="str">
        <x:v>CAL-CH-PEA-C-X3-08-1</x:v>
      </x:c>
      <x:c r="F5754" s="7" t="str">
        <x:f>'Calibration Records'!M2065</x:f>
        <x:v>OPEN</x:v>
      </x:c>
    </x:row>
    <x:row r="5755">
      <x:c r="B5755" s="7" t="str">
        <x:v>AG-05749</x:v>
      </x:c>
      <x:c r="C5755" s="7" t="str">
        <x:v>PEA-C-X3</x:v>
      </x:c>
      <x:c r="D5755" s="7" t="str">
        <x:v>factory calibration</x:v>
      </x:c>
      <x:c r="E5755" s="7" t="str">
        <x:v>CAL-CH-PEA-C-X3-08-2</x:v>
      </x:c>
      <x:c r="F5755" s="7" t="str">
        <x:f>'Calibration Records'!M2066</x:f>
        <x:v>OPEN</x:v>
      </x:c>
    </x:row>
    <x:row r="5756">
      <x:c r="B5756" s="7" t="str">
        <x:v>AG-05750</x:v>
      </x:c>
      <x:c r="C5756" s="7" t="str">
        <x:v>PEA-C-X3</x:v>
      </x:c>
      <x:c r="D5756" s="7" t="str">
        <x:v>factory calibration</x:v>
      </x:c>
      <x:c r="E5756" s="7" t="str">
        <x:v>CAL-CH-PEA-C-X3-08-3</x:v>
      </x:c>
      <x:c r="F5756" s="7" t="str">
        <x:f>'Calibration Records'!M2067</x:f>
        <x:v>OPEN</x:v>
      </x:c>
    </x:row>
    <x:row r="5757">
      <x:c r="B5757" s="7" t="str">
        <x:v>AG-05751</x:v>
      </x:c>
      <x:c r="C5757" s="7" t="str">
        <x:v>PEA-C-X3</x:v>
      </x:c>
      <x:c r="D5757" s="7" t="str">
        <x:v>factory calibration</x:v>
      </x:c>
      <x:c r="E5757" s="7" t="str">
        <x:v>CAL-CH-PEA-C-X3-08-4</x:v>
      </x:c>
      <x:c r="F5757" s="7" t="str">
        <x:f>'Calibration Records'!M2068</x:f>
        <x:v>OPEN</x:v>
      </x:c>
    </x:row>
    <x:row r="5758">
      <x:c r="B5758" s="7" t="str">
        <x:v>AG-05752</x:v>
      </x:c>
      <x:c r="C5758" s="7" t="str">
        <x:v>PEA-C-X3</x:v>
      </x:c>
      <x:c r="D5758" s="7" t="str">
        <x:v>factory calibration</x:v>
      </x:c>
      <x:c r="E5758" s="7" t="str">
        <x:v>CAL-CH-PEA-C-X3-08-5</x:v>
      </x:c>
      <x:c r="F5758" s="7" t="str">
        <x:f>'Calibration Records'!M2069</x:f>
        <x:v>OPEN</x:v>
      </x:c>
    </x:row>
    <x:row r="5759">
      <x:c r="B5759" s="7" t="str">
        <x:v>AG-05753</x:v>
      </x:c>
      <x:c r="C5759" s="7" t="str">
        <x:v>PEA-C-X3</x:v>
      </x:c>
      <x:c r="D5759" s="7" t="str">
        <x:v>factory calibration</x:v>
      </x:c>
      <x:c r="E5759" s="7" t="str">
        <x:v>CAL-CH-PEA-C-X3-08-6</x:v>
      </x:c>
      <x:c r="F5759" s="7" t="str">
        <x:f>'Calibration Records'!M2070</x:f>
        <x:v>OPEN</x:v>
      </x:c>
    </x:row>
    <x:row r="5760">
      <x:c r="B5760" s="7" t="str">
        <x:v>AG-05754</x:v>
      </x:c>
      <x:c r="C5760" s="7" t="str">
        <x:v>PEA-C-X3</x:v>
      </x:c>
      <x:c r="D5760" s="7" t="str">
        <x:v>factory calibration</x:v>
      </x:c>
      <x:c r="E5760" s="7" t="str">
        <x:v>CAL-CH-PEA-C-X3-09-1</x:v>
      </x:c>
      <x:c r="F5760" s="7" t="str">
        <x:f>'Calibration Records'!M2071</x:f>
        <x:v>OPEN</x:v>
      </x:c>
    </x:row>
    <x:row r="5761">
      <x:c r="B5761" s="7" t="str">
        <x:v>AG-05755</x:v>
      </x:c>
      <x:c r="C5761" s="7" t="str">
        <x:v>PEA-C-X3</x:v>
      </x:c>
      <x:c r="D5761" s="7" t="str">
        <x:v>factory calibration</x:v>
      </x:c>
      <x:c r="E5761" s="7" t="str">
        <x:v>CAL-CH-PEA-C-X3-09-2</x:v>
      </x:c>
      <x:c r="F5761" s="7" t="str">
        <x:f>'Calibration Records'!M2072</x:f>
        <x:v>OPEN</x:v>
      </x:c>
    </x:row>
    <x:row r="5762">
      <x:c r="B5762" s="7" t="str">
        <x:v>AG-05756</x:v>
      </x:c>
      <x:c r="C5762" s="7" t="str">
        <x:v>PEA-C-X3</x:v>
      </x:c>
      <x:c r="D5762" s="7" t="str">
        <x:v>factory calibration</x:v>
      </x:c>
      <x:c r="E5762" s="7" t="str">
        <x:v>CAL-CH-PEA-C-X3-09-3</x:v>
      </x:c>
      <x:c r="F5762" s="7" t="str">
        <x:f>'Calibration Records'!M2073</x:f>
        <x:v>OPEN</x:v>
      </x:c>
    </x:row>
    <x:row r="5763">
      <x:c r="B5763" s="7" t="str">
        <x:v>AG-05757</x:v>
      </x:c>
      <x:c r="C5763" s="7" t="str">
        <x:v>PEA-C-X3</x:v>
      </x:c>
      <x:c r="D5763" s="7" t="str">
        <x:v>factory calibration</x:v>
      </x:c>
      <x:c r="E5763" s="7" t="str">
        <x:v>CAL-CH-PEA-C-X3-09-4</x:v>
      </x:c>
      <x:c r="F5763" s="7" t="str">
        <x:f>'Calibration Records'!M2074</x:f>
        <x:v>OPEN</x:v>
      </x:c>
    </x:row>
    <x:row r="5764">
      <x:c r="B5764" s="7" t="str">
        <x:v>AG-05758</x:v>
      </x:c>
      <x:c r="C5764" s="7" t="str">
        <x:v>PEA-C-X3</x:v>
      </x:c>
      <x:c r="D5764" s="7" t="str">
        <x:v>factory calibration</x:v>
      </x:c>
      <x:c r="E5764" s="7" t="str">
        <x:v>CAL-CH-PEA-C-X3-09-5</x:v>
      </x:c>
      <x:c r="F5764" s="7" t="str">
        <x:f>'Calibration Records'!M2075</x:f>
        <x:v>OPEN</x:v>
      </x:c>
    </x:row>
    <x:row r="5765">
      <x:c r="B5765" s="7" t="str">
        <x:v>AG-05759</x:v>
      </x:c>
      <x:c r="C5765" s="7" t="str">
        <x:v>PEA-C-X3</x:v>
      </x:c>
      <x:c r="D5765" s="7" t="str">
        <x:v>factory calibration</x:v>
      </x:c>
      <x:c r="E5765" s="7" t="str">
        <x:v>CAL-CH-PEA-C-X3-09-6</x:v>
      </x:c>
      <x:c r="F5765" s="7" t="str">
        <x:f>'Calibration Records'!M2076</x:f>
        <x:v>OPEN</x:v>
      </x:c>
    </x:row>
    <x:row r="5766">
      <x:c r="B5766" s="7" t="str">
        <x:v>AG-05760</x:v>
      </x:c>
      <x:c r="C5766" s="7" t="str">
        <x:v>PEA-C-X3</x:v>
      </x:c>
      <x:c r="D5766" s="7" t="str">
        <x:v>factory calibration</x:v>
      </x:c>
      <x:c r="E5766" s="7" t="str">
        <x:v>CAL-CH-PEA-C-X3-10-1</x:v>
      </x:c>
      <x:c r="F5766" s="7" t="str">
        <x:f>'Calibration Records'!M2077</x:f>
        <x:v>OPEN</x:v>
      </x:c>
    </x:row>
    <x:row r="5767">
      <x:c r="B5767" s="7" t="str">
        <x:v>AG-05761</x:v>
      </x:c>
      <x:c r="C5767" s="7" t="str">
        <x:v>PEA-C-X3</x:v>
      </x:c>
      <x:c r="D5767" s="7" t="str">
        <x:v>factory calibration</x:v>
      </x:c>
      <x:c r="E5767" s="7" t="str">
        <x:v>CAL-CH-PEA-C-X3-10-2</x:v>
      </x:c>
      <x:c r="F5767" s="7" t="str">
        <x:f>'Calibration Records'!M2078</x:f>
        <x:v>OPEN</x:v>
      </x:c>
    </x:row>
    <x:row r="5768">
      <x:c r="B5768" s="7" t="str">
        <x:v>AG-05762</x:v>
      </x:c>
      <x:c r="C5768" s="7" t="str">
        <x:v>PEA-C-X3</x:v>
      </x:c>
      <x:c r="D5768" s="7" t="str">
        <x:v>factory calibration</x:v>
      </x:c>
      <x:c r="E5768" s="7" t="str">
        <x:v>CAL-CH-PEA-C-X3-10-3</x:v>
      </x:c>
      <x:c r="F5768" s="7" t="str">
        <x:f>'Calibration Records'!M2079</x:f>
        <x:v>OPEN</x:v>
      </x:c>
    </x:row>
    <x:row r="5769">
      <x:c r="B5769" s="7" t="str">
        <x:v>AG-05763</x:v>
      </x:c>
      <x:c r="C5769" s="7" t="str">
        <x:v>PEA-C-X3</x:v>
      </x:c>
      <x:c r="D5769" s="7" t="str">
        <x:v>factory calibration</x:v>
      </x:c>
      <x:c r="E5769" s="7" t="str">
        <x:v>CAL-CH-PEA-C-X3-10-4</x:v>
      </x:c>
      <x:c r="F5769" s="7" t="str">
        <x:f>'Calibration Records'!M2080</x:f>
        <x:v>OPEN</x:v>
      </x:c>
    </x:row>
    <x:row r="5770">
      <x:c r="B5770" s="7" t="str">
        <x:v>AG-05764</x:v>
      </x:c>
      <x:c r="C5770" s="7" t="str">
        <x:v>PEA-C-X3</x:v>
      </x:c>
      <x:c r="D5770" s="7" t="str">
        <x:v>factory calibration</x:v>
      </x:c>
      <x:c r="E5770" s="7" t="str">
        <x:v>CAL-CH-PEA-C-X3-10-5</x:v>
      </x:c>
      <x:c r="F5770" s="7" t="str">
        <x:f>'Calibration Records'!M2081</x:f>
        <x:v>OPEN</x:v>
      </x:c>
    </x:row>
    <x:row r="5771">
      <x:c r="B5771" s="7" t="str">
        <x:v>AG-05765</x:v>
      </x:c>
      <x:c r="C5771" s="7" t="str">
        <x:v>PEA-C-X3</x:v>
      </x:c>
      <x:c r="D5771" s="7" t="str">
        <x:v>factory calibration</x:v>
      </x:c>
      <x:c r="E5771" s="7" t="str">
        <x:v>CAL-CH-PEA-C-X3-10-6</x:v>
      </x:c>
      <x:c r="F5771" s="7" t="str">
        <x:f>'Calibration Records'!M2082</x:f>
        <x:v>OPEN</x:v>
      </x:c>
    </x:row>
    <x:row r="5772">
      <x:c r="B5772" s="7" t="str">
        <x:v>AG-05766</x:v>
      </x:c>
      <x:c r="C5772" s="7" t="str">
        <x:v>PEA-C-X3</x:v>
      </x:c>
      <x:c r="D5772" s="7" t="str">
        <x:v>factory calibration</x:v>
      </x:c>
      <x:c r="E5772" s="7" t="str">
        <x:v>CAL-CH-PEA-C-X3-11-1</x:v>
      </x:c>
      <x:c r="F5772" s="7" t="str">
        <x:f>'Calibration Records'!M2083</x:f>
        <x:v>OPEN</x:v>
      </x:c>
    </x:row>
    <x:row r="5773">
      <x:c r="B5773" s="7" t="str">
        <x:v>AG-05767</x:v>
      </x:c>
      <x:c r="C5773" s="7" t="str">
        <x:v>PEA-C-X3</x:v>
      </x:c>
      <x:c r="D5773" s="7" t="str">
        <x:v>factory calibration</x:v>
      </x:c>
      <x:c r="E5773" s="7" t="str">
        <x:v>CAL-CH-PEA-C-X3-11-2</x:v>
      </x:c>
      <x:c r="F5773" s="7" t="str">
        <x:f>'Calibration Records'!M2084</x:f>
        <x:v>OPEN</x:v>
      </x:c>
    </x:row>
    <x:row r="5774">
      <x:c r="B5774" s="7" t="str">
        <x:v>AG-05768</x:v>
      </x:c>
      <x:c r="C5774" s="7" t="str">
        <x:v>PEA-C-X3</x:v>
      </x:c>
      <x:c r="D5774" s="7" t="str">
        <x:v>factory calibration</x:v>
      </x:c>
      <x:c r="E5774" s="7" t="str">
        <x:v>CAL-CH-PEA-C-X3-11-3</x:v>
      </x:c>
      <x:c r="F5774" s="7" t="str">
        <x:f>'Calibration Records'!M2085</x:f>
        <x:v>OPEN</x:v>
      </x:c>
    </x:row>
    <x:row r="5775">
      <x:c r="B5775" s="7" t="str">
        <x:v>AG-05769</x:v>
      </x:c>
      <x:c r="C5775" s="7" t="str">
        <x:v>PEA-C-X3</x:v>
      </x:c>
      <x:c r="D5775" s="7" t="str">
        <x:v>factory calibration</x:v>
      </x:c>
      <x:c r="E5775" s="7" t="str">
        <x:v>CAL-CH-PEA-C-X3-11-4</x:v>
      </x:c>
      <x:c r="F5775" s="7" t="str">
        <x:f>'Calibration Records'!M2086</x:f>
        <x:v>OPEN</x:v>
      </x:c>
    </x:row>
    <x:row r="5776">
      <x:c r="B5776" s="7" t="str">
        <x:v>AG-05770</x:v>
      </x:c>
      <x:c r="C5776" s="7" t="str">
        <x:v>PEA-C-X3</x:v>
      </x:c>
      <x:c r="D5776" s="7" t="str">
        <x:v>factory calibration</x:v>
      </x:c>
      <x:c r="E5776" s="7" t="str">
        <x:v>CAL-CH-PEA-C-X3-11-5</x:v>
      </x:c>
      <x:c r="F5776" s="7" t="str">
        <x:f>'Calibration Records'!M2087</x:f>
        <x:v>OPEN</x:v>
      </x:c>
    </x:row>
    <x:row r="5777">
      <x:c r="B5777" s="7" t="str">
        <x:v>AG-05771</x:v>
      </x:c>
      <x:c r="C5777" s="7" t="str">
        <x:v>PEA-C-X3</x:v>
      </x:c>
      <x:c r="D5777" s="7" t="str">
        <x:v>factory calibration</x:v>
      </x:c>
      <x:c r="E5777" s="7" t="str">
        <x:v>CAL-CH-PEA-C-X3-11-6</x:v>
      </x:c>
      <x:c r="F5777" s="7" t="str">
        <x:f>'Calibration Records'!M2088</x:f>
        <x:v>OPEN</x:v>
      </x:c>
    </x:row>
    <x:row r="5778">
      <x:c r="B5778" s="7" t="str">
        <x:v>AG-05772</x:v>
      </x:c>
      <x:c r="C5778" s="7" t="str">
        <x:v>PEA-C-X3</x:v>
      </x:c>
      <x:c r="D5778" s="7" t="str">
        <x:v>factory calibration</x:v>
      </x:c>
      <x:c r="E5778" s="7" t="str">
        <x:v>CAL-CH-PEA-C-X3-12-1</x:v>
      </x:c>
      <x:c r="F5778" s="7" t="str">
        <x:f>'Calibration Records'!M2089</x:f>
        <x:v>OPEN</x:v>
      </x:c>
    </x:row>
    <x:row r="5779">
      <x:c r="B5779" s="7" t="str">
        <x:v>AG-05773</x:v>
      </x:c>
      <x:c r="C5779" s="7" t="str">
        <x:v>PEA-C-X3</x:v>
      </x:c>
      <x:c r="D5779" s="7" t="str">
        <x:v>factory calibration</x:v>
      </x:c>
      <x:c r="E5779" s="7" t="str">
        <x:v>CAL-CH-PEA-C-X3-12-2</x:v>
      </x:c>
      <x:c r="F5779" s="7" t="str">
        <x:f>'Calibration Records'!M2090</x:f>
        <x:v>OPEN</x:v>
      </x:c>
    </x:row>
    <x:row r="5780">
      <x:c r="B5780" s="7" t="str">
        <x:v>AG-05774</x:v>
      </x:c>
      <x:c r="C5780" s="7" t="str">
        <x:v>PEA-C-X3</x:v>
      </x:c>
      <x:c r="D5780" s="7" t="str">
        <x:v>factory calibration</x:v>
      </x:c>
      <x:c r="E5780" s="7" t="str">
        <x:v>CAL-CH-PEA-C-X3-12-3</x:v>
      </x:c>
      <x:c r="F5780" s="7" t="str">
        <x:f>'Calibration Records'!M2091</x:f>
        <x:v>OPEN</x:v>
      </x:c>
    </x:row>
    <x:row r="5781">
      <x:c r="B5781" s="7" t="str">
        <x:v>AG-05775</x:v>
      </x:c>
      <x:c r="C5781" s="7" t="str">
        <x:v>PEA-C-X3</x:v>
      </x:c>
      <x:c r="D5781" s="7" t="str">
        <x:v>factory calibration</x:v>
      </x:c>
      <x:c r="E5781" s="7" t="str">
        <x:v>CAL-CH-PEA-C-X3-12-4</x:v>
      </x:c>
      <x:c r="F5781" s="7" t="str">
        <x:f>'Calibration Records'!M2092</x:f>
        <x:v>OPEN</x:v>
      </x:c>
    </x:row>
    <x:row r="5782">
      <x:c r="B5782" s="7" t="str">
        <x:v>AG-05776</x:v>
      </x:c>
      <x:c r="C5782" s="7" t="str">
        <x:v>PEA-C-X3</x:v>
      </x:c>
      <x:c r="D5782" s="7" t="str">
        <x:v>factory calibration</x:v>
      </x:c>
      <x:c r="E5782" s="7" t="str">
        <x:v>CAL-CH-PEA-C-X3-12-5</x:v>
      </x:c>
      <x:c r="F5782" s="7" t="str">
        <x:f>'Calibration Records'!M2093</x:f>
        <x:v>OPEN</x:v>
      </x:c>
    </x:row>
    <x:row r="5783">
      <x:c r="B5783" s="7" t="str">
        <x:v>AG-05777</x:v>
      </x:c>
      <x:c r="C5783" s="7" t="str">
        <x:v>PEA-C-X3</x:v>
      </x:c>
      <x:c r="D5783" s="7" t="str">
        <x:v>factory calibration</x:v>
      </x:c>
      <x:c r="E5783" s="7" t="str">
        <x:v>CAL-CH-PEA-C-X3-12-6</x:v>
      </x:c>
      <x:c r="F5783" s="7" t="str">
        <x:f>'Calibration Records'!M2094</x:f>
        <x:v>OPEN</x:v>
      </x:c>
    </x:row>
    <x:row r="5784">
      <x:c r="B5784" s="7" t="str">
        <x:v>AG-05778</x:v>
      </x:c>
      <x:c r="C5784" s="7" t="str">
        <x:v>PEA-C-X3</x:v>
      </x:c>
      <x:c r="D5784" s="7" t="str">
        <x:v>factory calibration</x:v>
      </x:c>
      <x:c r="E5784" s="7" t="str">
        <x:v>CAL-CH-PEA-C-X3-13-1</x:v>
      </x:c>
      <x:c r="F5784" s="7" t="str">
        <x:f>'Calibration Records'!M2095</x:f>
        <x:v>OPEN</x:v>
      </x:c>
    </x:row>
    <x:row r="5785">
      <x:c r="B5785" s="7" t="str">
        <x:v>AG-05779</x:v>
      </x:c>
      <x:c r="C5785" s="7" t="str">
        <x:v>PEA-C-X3</x:v>
      </x:c>
      <x:c r="D5785" s="7" t="str">
        <x:v>factory calibration</x:v>
      </x:c>
      <x:c r="E5785" s="7" t="str">
        <x:v>CAL-CH-PEA-C-X3-13-2</x:v>
      </x:c>
      <x:c r="F5785" s="7" t="str">
        <x:f>'Calibration Records'!M2096</x:f>
        <x:v>OPEN</x:v>
      </x:c>
    </x:row>
    <x:row r="5786">
      <x:c r="B5786" s="7" t="str">
        <x:v>AG-05780</x:v>
      </x:c>
      <x:c r="C5786" s="7" t="str">
        <x:v>PEA-C-X3</x:v>
      </x:c>
      <x:c r="D5786" s="7" t="str">
        <x:v>factory calibration</x:v>
      </x:c>
      <x:c r="E5786" s="7" t="str">
        <x:v>CAL-CH-PEA-C-X3-13-3</x:v>
      </x:c>
      <x:c r="F5786" s="7" t="str">
        <x:f>'Calibration Records'!M2097</x:f>
        <x:v>OPEN</x:v>
      </x:c>
    </x:row>
    <x:row r="5787">
      <x:c r="B5787" s="7" t="str">
        <x:v>AG-05781</x:v>
      </x:c>
      <x:c r="C5787" s="7" t="str">
        <x:v>PEA-C-X3</x:v>
      </x:c>
      <x:c r="D5787" s="7" t="str">
        <x:v>factory calibration</x:v>
      </x:c>
      <x:c r="E5787" s="7" t="str">
        <x:v>CAL-CH-PEA-C-X3-13-4</x:v>
      </x:c>
      <x:c r="F5787" s="7" t="str">
        <x:f>'Calibration Records'!M2098</x:f>
        <x:v>OPEN</x:v>
      </x:c>
    </x:row>
    <x:row r="5788">
      <x:c r="B5788" s="7" t="str">
        <x:v>AG-05782</x:v>
      </x:c>
      <x:c r="C5788" s="7" t="str">
        <x:v>PEA-C-X3</x:v>
      </x:c>
      <x:c r="D5788" s="7" t="str">
        <x:v>factory calibration</x:v>
      </x:c>
      <x:c r="E5788" s="7" t="str">
        <x:v>CAL-CH-PEA-C-X3-13-5</x:v>
      </x:c>
      <x:c r="F5788" s="7" t="str">
        <x:f>'Calibration Records'!M2099</x:f>
        <x:v>OPEN</x:v>
      </x:c>
    </x:row>
    <x:row r="5789">
      <x:c r="B5789" s="7" t="str">
        <x:v>AG-05783</x:v>
      </x:c>
      <x:c r="C5789" s="7" t="str">
        <x:v>PEA-C-X3</x:v>
      </x:c>
      <x:c r="D5789" s="7" t="str">
        <x:v>factory calibration</x:v>
      </x:c>
      <x:c r="E5789" s="7" t="str">
        <x:v>CAL-CH-PEA-C-X3-13-6</x:v>
      </x:c>
      <x:c r="F5789" s="7" t="str">
        <x:f>'Calibration Records'!M2100</x:f>
        <x:v>OPEN</x:v>
      </x:c>
    </x:row>
    <x:row r="5790">
      <x:c r="B5790" s="7" t="str">
        <x:v>AG-05784</x:v>
      </x:c>
      <x:c r="C5790" s="7" t="str">
        <x:v>PEA-C-X3</x:v>
      </x:c>
      <x:c r="D5790" s="7" t="str">
        <x:v>factory calibration</x:v>
      </x:c>
      <x:c r="E5790" s="7" t="str">
        <x:v>CAL-CH-PEA-C-X3-14-1</x:v>
      </x:c>
      <x:c r="F5790" s="7" t="str">
        <x:f>'Calibration Records'!M2101</x:f>
        <x:v>OPEN</x:v>
      </x:c>
    </x:row>
    <x:row r="5791">
      <x:c r="B5791" s="7" t="str">
        <x:v>AG-05785</x:v>
      </x:c>
      <x:c r="C5791" s="7" t="str">
        <x:v>PEA-C-X3</x:v>
      </x:c>
      <x:c r="D5791" s="7" t="str">
        <x:v>factory calibration</x:v>
      </x:c>
      <x:c r="E5791" s="7" t="str">
        <x:v>CAL-CH-PEA-C-X3-14-2</x:v>
      </x:c>
      <x:c r="F5791" s="7" t="str">
        <x:f>'Calibration Records'!M2102</x:f>
        <x:v>OPEN</x:v>
      </x:c>
    </x:row>
    <x:row r="5792">
      <x:c r="B5792" s="7" t="str">
        <x:v>AG-05786</x:v>
      </x:c>
      <x:c r="C5792" s="7" t="str">
        <x:v>PEA-C-X3</x:v>
      </x:c>
      <x:c r="D5792" s="7" t="str">
        <x:v>factory calibration</x:v>
      </x:c>
      <x:c r="E5792" s="7" t="str">
        <x:v>CAL-CH-PEA-C-X3-14-3</x:v>
      </x:c>
      <x:c r="F5792" s="7" t="str">
        <x:f>'Calibration Records'!M2103</x:f>
        <x:v>OPEN</x:v>
      </x:c>
    </x:row>
    <x:row r="5793">
      <x:c r="B5793" s="7" t="str">
        <x:v>AG-05787</x:v>
      </x:c>
      <x:c r="C5793" s="7" t="str">
        <x:v>PEA-C-X3</x:v>
      </x:c>
      <x:c r="D5793" s="7" t="str">
        <x:v>factory calibration</x:v>
      </x:c>
      <x:c r="E5793" s="7" t="str">
        <x:v>CAL-CH-PEA-C-X3-14-4</x:v>
      </x:c>
      <x:c r="F5793" s="7" t="str">
        <x:f>'Calibration Records'!M2104</x:f>
        <x:v>OPEN</x:v>
      </x:c>
    </x:row>
    <x:row r="5794">
      <x:c r="B5794" s="7" t="str">
        <x:v>AG-05788</x:v>
      </x:c>
      <x:c r="C5794" s="7" t="str">
        <x:v>PEA-C-X3</x:v>
      </x:c>
      <x:c r="D5794" s="7" t="str">
        <x:v>factory calibration</x:v>
      </x:c>
      <x:c r="E5794" s="7" t="str">
        <x:v>CAL-CH-PEA-C-X3-14-5</x:v>
      </x:c>
      <x:c r="F5794" s="7" t="str">
        <x:f>'Calibration Records'!M2105</x:f>
        <x:v>OPEN</x:v>
      </x:c>
    </x:row>
    <x:row r="5795">
      <x:c r="B5795" s="7" t="str">
        <x:v>AG-05789</x:v>
      </x:c>
      <x:c r="C5795" s="7" t="str">
        <x:v>PEA-C-X3</x:v>
      </x:c>
      <x:c r="D5795" s="7" t="str">
        <x:v>factory calibration</x:v>
      </x:c>
      <x:c r="E5795" s="7" t="str">
        <x:v>CAL-CH-PEA-C-X3-14-6</x:v>
      </x:c>
      <x:c r="F5795" s="7" t="str">
        <x:f>'Calibration Records'!M2106</x:f>
        <x:v>OPEN</x:v>
      </x:c>
    </x:row>
    <x:row r="5796">
      <x:c r="B5796" s="7" t="str">
        <x:v>AG-05790</x:v>
      </x:c>
      <x:c r="C5796" s="7" t="str">
        <x:v>PEA-C-X3</x:v>
      </x:c>
      <x:c r="D5796" s="7" t="str">
        <x:v>factory calibration</x:v>
      </x:c>
      <x:c r="E5796" s="7" t="str">
        <x:v>CAL-CH-PEA-C-X3-15-1</x:v>
      </x:c>
      <x:c r="F5796" s="7" t="str">
        <x:f>'Calibration Records'!M2107</x:f>
        <x:v>OPEN</x:v>
      </x:c>
    </x:row>
    <x:row r="5797">
      <x:c r="B5797" s="7" t="str">
        <x:v>AG-05791</x:v>
      </x:c>
      <x:c r="C5797" s="7" t="str">
        <x:v>PEA-C-X3</x:v>
      </x:c>
      <x:c r="D5797" s="7" t="str">
        <x:v>factory calibration</x:v>
      </x:c>
      <x:c r="E5797" s="7" t="str">
        <x:v>CAL-CH-PEA-C-X3-15-2</x:v>
      </x:c>
      <x:c r="F5797" s="7" t="str">
        <x:f>'Calibration Records'!M2108</x:f>
        <x:v>OPEN</x:v>
      </x:c>
    </x:row>
    <x:row r="5798">
      <x:c r="B5798" s="7" t="str">
        <x:v>AG-05792</x:v>
      </x:c>
      <x:c r="C5798" s="7" t="str">
        <x:v>PEA-C-X3</x:v>
      </x:c>
      <x:c r="D5798" s="7" t="str">
        <x:v>factory calibration</x:v>
      </x:c>
      <x:c r="E5798" s="7" t="str">
        <x:v>CAL-CH-PEA-C-X3-15-3</x:v>
      </x:c>
      <x:c r="F5798" s="7" t="str">
        <x:f>'Calibration Records'!M2109</x:f>
        <x:v>OPEN</x:v>
      </x:c>
    </x:row>
    <x:row r="5799">
      <x:c r="B5799" s="7" t="str">
        <x:v>AG-05793</x:v>
      </x:c>
      <x:c r="C5799" s="7" t="str">
        <x:v>PEA-C-X3</x:v>
      </x:c>
      <x:c r="D5799" s="7" t="str">
        <x:v>factory calibration</x:v>
      </x:c>
      <x:c r="E5799" s="7" t="str">
        <x:v>CAL-CH-PEA-C-X3-15-4</x:v>
      </x:c>
      <x:c r="F5799" s="7" t="str">
        <x:f>'Calibration Records'!M2110</x:f>
        <x:v>OPEN</x:v>
      </x:c>
    </x:row>
    <x:row r="5800">
      <x:c r="B5800" s="7" t="str">
        <x:v>AG-05794</x:v>
      </x:c>
      <x:c r="C5800" s="7" t="str">
        <x:v>PEA-C-X3</x:v>
      </x:c>
      <x:c r="D5800" s="7" t="str">
        <x:v>factory calibration</x:v>
      </x:c>
      <x:c r="E5800" s="7" t="str">
        <x:v>CAL-CH-PEA-C-X3-15-5</x:v>
      </x:c>
      <x:c r="F5800" s="7" t="str">
        <x:f>'Calibration Records'!M2111</x:f>
        <x:v>OPEN</x:v>
      </x:c>
    </x:row>
    <x:row r="5801">
      <x:c r="B5801" s="7" t="str">
        <x:v>AG-05795</x:v>
      </x:c>
      <x:c r="C5801" s="7" t="str">
        <x:v>PEA-C-X3</x:v>
      </x:c>
      <x:c r="D5801" s="7" t="str">
        <x:v>factory calibration</x:v>
      </x:c>
      <x:c r="E5801" s="7" t="str">
        <x:v>CAL-CH-PEA-C-X3-15-6</x:v>
      </x:c>
      <x:c r="F5801" s="7" t="str">
        <x:f>'Calibration Records'!M2112</x:f>
        <x:v>OPEN</x:v>
      </x:c>
    </x:row>
    <x:row r="5802">
      <x:c r="B5802" s="7" t="str">
        <x:v>AG-05796</x:v>
      </x:c>
      <x:c r="C5802" s="7" t="str">
        <x:v>PEA-C-X3</x:v>
      </x:c>
      <x:c r="D5802" s="7" t="str">
        <x:v>factory calibration</x:v>
      </x:c>
      <x:c r="E5802" s="7" t="str">
        <x:v>CAL-CH-PEA-C-X3-16-1</x:v>
      </x:c>
      <x:c r="F5802" s="7" t="str">
        <x:f>'Calibration Records'!M2113</x:f>
        <x:v>OPEN</x:v>
      </x:c>
    </x:row>
    <x:row r="5803">
      <x:c r="B5803" s="7" t="str">
        <x:v>AG-05797</x:v>
      </x:c>
      <x:c r="C5803" s="7" t="str">
        <x:v>PEA-C-X3</x:v>
      </x:c>
      <x:c r="D5803" s="7" t="str">
        <x:v>factory calibration</x:v>
      </x:c>
      <x:c r="E5803" s="7" t="str">
        <x:v>CAL-CH-PEA-C-X3-16-2</x:v>
      </x:c>
      <x:c r="F5803" s="7" t="str">
        <x:f>'Calibration Records'!M2114</x:f>
        <x:v>OPEN</x:v>
      </x:c>
    </x:row>
    <x:row r="5804">
      <x:c r="B5804" s="7" t="str">
        <x:v>AG-05798</x:v>
      </x:c>
      <x:c r="C5804" s="7" t="str">
        <x:v>PEA-C-X3</x:v>
      </x:c>
      <x:c r="D5804" s="7" t="str">
        <x:v>factory calibration</x:v>
      </x:c>
      <x:c r="E5804" s="7" t="str">
        <x:v>CAL-CH-PEA-C-X3-16-3</x:v>
      </x:c>
      <x:c r="F5804" s="7" t="str">
        <x:f>'Calibration Records'!M2115</x:f>
        <x:v>OPEN</x:v>
      </x:c>
    </x:row>
    <x:row r="5805">
      <x:c r="B5805" s="7" t="str">
        <x:v>AG-05799</x:v>
      </x:c>
      <x:c r="C5805" s="7" t="str">
        <x:v>PEA-C-X3</x:v>
      </x:c>
      <x:c r="D5805" s="7" t="str">
        <x:v>factory calibration</x:v>
      </x:c>
      <x:c r="E5805" s="7" t="str">
        <x:v>CAL-CH-PEA-C-X3-16-4</x:v>
      </x:c>
      <x:c r="F5805" s="7" t="str">
        <x:f>'Calibration Records'!M2116</x:f>
        <x:v>OPEN</x:v>
      </x:c>
    </x:row>
    <x:row r="5806">
      <x:c r="B5806" s="7" t="str">
        <x:v>AG-05800</x:v>
      </x:c>
      <x:c r="C5806" s="7" t="str">
        <x:v>PEA-C-X3</x:v>
      </x:c>
      <x:c r="D5806" s="7" t="str">
        <x:v>factory calibration</x:v>
      </x:c>
      <x:c r="E5806" s="7" t="str">
        <x:v>CAL-CH-PEA-C-X3-16-5</x:v>
      </x:c>
      <x:c r="F5806" s="7" t="str">
        <x:f>'Calibration Records'!M2117</x:f>
        <x:v>OPEN</x:v>
      </x:c>
    </x:row>
    <x:row r="5807">
      <x:c r="B5807" s="7" t="str">
        <x:v>AG-05801</x:v>
      </x:c>
      <x:c r="C5807" s="7" t="str">
        <x:v>PEA-C-X3</x:v>
      </x:c>
      <x:c r="D5807" s="7" t="str">
        <x:v>factory calibration</x:v>
      </x:c>
      <x:c r="E5807" s="7" t="str">
        <x:v>CAL-CH-PEA-C-X3-16-6</x:v>
      </x:c>
      <x:c r="F5807" s="7" t="str">
        <x:f>'Calibration Records'!M2118</x:f>
        <x:v>OPEN</x:v>
      </x:c>
    </x:row>
    <x:row r="5808">
      <x:c r="B5808" s="7" t="str">
        <x:v>AG-05802</x:v>
      </x:c>
      <x:c r="C5808" s="7" t="str">
        <x:v>PEA-C-X3</x:v>
      </x:c>
      <x:c r="D5808" s="7" t="str">
        <x:v>factory calibration</x:v>
      </x:c>
      <x:c r="E5808" s="7" t="str">
        <x:v>CAL-CH-PEA-C-X3-17-1</x:v>
      </x:c>
      <x:c r="F5808" s="7" t="str">
        <x:f>'Calibration Records'!M2119</x:f>
        <x:v>OPEN</x:v>
      </x:c>
    </x:row>
    <x:row r="5809">
      <x:c r="B5809" s="7" t="str">
        <x:v>AG-05803</x:v>
      </x:c>
      <x:c r="C5809" s="7" t="str">
        <x:v>PEA-C-X3</x:v>
      </x:c>
      <x:c r="D5809" s="7" t="str">
        <x:v>factory calibration</x:v>
      </x:c>
      <x:c r="E5809" s="7" t="str">
        <x:v>CAL-CH-PEA-C-X3-17-2</x:v>
      </x:c>
      <x:c r="F5809" s="7" t="str">
        <x:f>'Calibration Records'!M2120</x:f>
        <x:v>OPEN</x:v>
      </x:c>
    </x:row>
    <x:row r="5810">
      <x:c r="B5810" s="7" t="str">
        <x:v>AG-05804</x:v>
      </x:c>
      <x:c r="C5810" s="7" t="str">
        <x:v>PEA-C-X3</x:v>
      </x:c>
      <x:c r="D5810" s="7" t="str">
        <x:v>factory calibration</x:v>
      </x:c>
      <x:c r="E5810" s="7" t="str">
        <x:v>CAL-CH-PEA-C-X3-17-3</x:v>
      </x:c>
      <x:c r="F5810" s="7" t="str">
        <x:f>'Calibration Records'!M2121</x:f>
        <x:v>OPEN</x:v>
      </x:c>
    </x:row>
    <x:row r="5811">
      <x:c r="B5811" s="7" t="str">
        <x:v>AG-05805</x:v>
      </x:c>
      <x:c r="C5811" s="7" t="str">
        <x:v>PEA-C-X3</x:v>
      </x:c>
      <x:c r="D5811" s="7" t="str">
        <x:v>factory calibration</x:v>
      </x:c>
      <x:c r="E5811" s="7" t="str">
        <x:v>CAL-CH-PEA-C-X3-17-4</x:v>
      </x:c>
      <x:c r="F5811" s="7" t="str">
        <x:f>'Calibration Records'!M2122</x:f>
        <x:v>OPEN</x:v>
      </x:c>
    </x:row>
    <x:row r="5812">
      <x:c r="B5812" s="7" t="str">
        <x:v>AG-05806</x:v>
      </x:c>
      <x:c r="C5812" s="7" t="str">
        <x:v>PEA-C-X3</x:v>
      </x:c>
      <x:c r="D5812" s="7" t="str">
        <x:v>factory calibration</x:v>
      </x:c>
      <x:c r="E5812" s="7" t="str">
        <x:v>CAL-CH-PEA-C-X3-17-5</x:v>
      </x:c>
      <x:c r="F5812" s="7" t="str">
        <x:f>'Calibration Records'!M2123</x:f>
        <x:v>OPEN</x:v>
      </x:c>
    </x:row>
    <x:row r="5813">
      <x:c r="B5813" s="7" t="str">
        <x:v>AG-05807</x:v>
      </x:c>
      <x:c r="C5813" s="7" t="str">
        <x:v>PEA-C-X3</x:v>
      </x:c>
      <x:c r="D5813" s="7" t="str">
        <x:v>factory calibration</x:v>
      </x:c>
      <x:c r="E5813" s="7" t="str">
        <x:v>CAL-CH-PEA-C-X3-17-6</x:v>
      </x:c>
      <x:c r="F5813" s="7" t="str">
        <x:f>'Calibration Records'!M2124</x:f>
        <x:v>OPEN</x:v>
      </x:c>
    </x:row>
    <x:row r="5814">
      <x:c r="B5814" s="7" t="str">
        <x:v>AG-05808</x:v>
      </x:c>
      <x:c r="C5814" s="7" t="str">
        <x:v>PEA-C-X3</x:v>
      </x:c>
      <x:c r="D5814" s="7" t="str">
        <x:v>factory calibration</x:v>
      </x:c>
      <x:c r="E5814" s="7" t="str">
        <x:v>CAL-CH-PEA-C-X3-18-1</x:v>
      </x:c>
      <x:c r="F5814" s="7" t="str">
        <x:f>'Calibration Records'!M2125</x:f>
        <x:v>OPEN</x:v>
      </x:c>
    </x:row>
    <x:row r="5815">
      <x:c r="B5815" s="7" t="str">
        <x:v>AG-05809</x:v>
      </x:c>
      <x:c r="C5815" s="7" t="str">
        <x:v>PEA-C-X3</x:v>
      </x:c>
      <x:c r="D5815" s="7" t="str">
        <x:v>factory calibration</x:v>
      </x:c>
      <x:c r="E5815" s="7" t="str">
        <x:v>CAL-CH-PEA-C-X3-18-2</x:v>
      </x:c>
      <x:c r="F5815" s="7" t="str">
        <x:f>'Calibration Records'!M2126</x:f>
        <x:v>OPEN</x:v>
      </x:c>
    </x:row>
    <x:row r="5816">
      <x:c r="B5816" s="7" t="str">
        <x:v>AG-05810</x:v>
      </x:c>
      <x:c r="C5816" s="7" t="str">
        <x:v>PEA-C-X3</x:v>
      </x:c>
      <x:c r="D5816" s="7" t="str">
        <x:v>factory calibration</x:v>
      </x:c>
      <x:c r="E5816" s="7" t="str">
        <x:v>CAL-CH-PEA-C-X3-18-3</x:v>
      </x:c>
      <x:c r="F5816" s="7" t="str">
        <x:f>'Calibration Records'!M2127</x:f>
        <x:v>OPEN</x:v>
      </x:c>
    </x:row>
    <x:row r="5817">
      <x:c r="B5817" s="7" t="str">
        <x:v>AG-05811</x:v>
      </x:c>
      <x:c r="C5817" s="7" t="str">
        <x:v>PEA-C-X3</x:v>
      </x:c>
      <x:c r="D5817" s="7" t="str">
        <x:v>factory calibration</x:v>
      </x:c>
      <x:c r="E5817" s="7" t="str">
        <x:v>CAL-CH-PEA-C-X3-18-4</x:v>
      </x:c>
      <x:c r="F5817" s="7" t="str">
        <x:f>'Calibration Records'!M2128</x:f>
        <x:v>OPEN</x:v>
      </x:c>
    </x:row>
    <x:row r="5818">
      <x:c r="B5818" s="7" t="str">
        <x:v>AG-05812</x:v>
      </x:c>
      <x:c r="C5818" s="7" t="str">
        <x:v>PEA-C-X3</x:v>
      </x:c>
      <x:c r="D5818" s="7" t="str">
        <x:v>factory calibration</x:v>
      </x:c>
      <x:c r="E5818" s="7" t="str">
        <x:v>CAL-CH-PEA-C-X3-18-5</x:v>
      </x:c>
      <x:c r="F5818" s="7" t="str">
        <x:f>'Calibration Records'!M2129</x:f>
        <x:v>OPEN</x:v>
      </x:c>
    </x:row>
    <x:row r="5819">
      <x:c r="B5819" s="7" t="str">
        <x:v>AG-05813</x:v>
      </x:c>
      <x:c r="C5819" s="7" t="str">
        <x:v>PEA-C-X3</x:v>
      </x:c>
      <x:c r="D5819" s="7" t="str">
        <x:v>factory calibration</x:v>
      </x:c>
      <x:c r="E5819" s="7" t="str">
        <x:v>CAL-CH-PEA-C-X3-18-6</x:v>
      </x:c>
      <x:c r="F5819" s="7" t="str">
        <x:f>'Calibration Records'!M2130</x:f>
        <x:v>OPEN</x:v>
      </x:c>
    </x:row>
    <x:row r="5820">
      <x:c r="B5820" s="7" t="str">
        <x:v>AG-05814</x:v>
      </x:c>
      <x:c r="C5820" s="7" t="str">
        <x:v>PEA-C-X3</x:v>
      </x:c>
      <x:c r="D5820" s="7" t="str">
        <x:v>factory calibration</x:v>
      </x:c>
      <x:c r="E5820" s="7" t="str">
        <x:v>CAL-CH-PEA-C-X3-19-1</x:v>
      </x:c>
      <x:c r="F5820" s="7" t="str">
        <x:f>'Calibration Records'!M2131</x:f>
        <x:v>OPEN</x:v>
      </x:c>
    </x:row>
    <x:row r="5821">
      <x:c r="B5821" s="7" t="str">
        <x:v>AG-05815</x:v>
      </x:c>
      <x:c r="C5821" s="7" t="str">
        <x:v>PEA-C-X3</x:v>
      </x:c>
      <x:c r="D5821" s="7" t="str">
        <x:v>factory calibration</x:v>
      </x:c>
      <x:c r="E5821" s="7" t="str">
        <x:v>CAL-CH-PEA-C-X3-19-2</x:v>
      </x:c>
      <x:c r="F5821" s="7" t="str">
        <x:f>'Calibration Records'!M2132</x:f>
        <x:v>OPEN</x:v>
      </x:c>
    </x:row>
    <x:row r="5822">
      <x:c r="B5822" s="7" t="str">
        <x:v>AG-05816</x:v>
      </x:c>
      <x:c r="C5822" s="7" t="str">
        <x:v>PEA-C-X3</x:v>
      </x:c>
      <x:c r="D5822" s="7" t="str">
        <x:v>factory calibration</x:v>
      </x:c>
      <x:c r="E5822" s="7" t="str">
        <x:v>CAL-CH-PEA-C-X3-19-3</x:v>
      </x:c>
      <x:c r="F5822" s="7" t="str">
        <x:f>'Calibration Records'!M2133</x:f>
        <x:v>OPEN</x:v>
      </x:c>
    </x:row>
    <x:row r="5823">
      <x:c r="B5823" s="7" t="str">
        <x:v>AG-05817</x:v>
      </x:c>
      <x:c r="C5823" s="7" t="str">
        <x:v>PEA-C-X3</x:v>
      </x:c>
      <x:c r="D5823" s="7" t="str">
        <x:v>factory calibration</x:v>
      </x:c>
      <x:c r="E5823" s="7" t="str">
        <x:v>CAL-CH-PEA-C-X3-19-4</x:v>
      </x:c>
      <x:c r="F5823" s="7" t="str">
        <x:f>'Calibration Records'!M2134</x:f>
        <x:v>OPEN</x:v>
      </x:c>
    </x:row>
    <x:row r="5824">
      <x:c r="B5824" s="7" t="str">
        <x:v>AG-05818</x:v>
      </x:c>
      <x:c r="C5824" s="7" t="str">
        <x:v>PEA-C-X3</x:v>
      </x:c>
      <x:c r="D5824" s="7" t="str">
        <x:v>factory calibration</x:v>
      </x:c>
      <x:c r="E5824" s="7" t="str">
        <x:v>CAL-CH-PEA-C-X3-19-5</x:v>
      </x:c>
      <x:c r="F5824" s="7" t="str">
        <x:f>'Calibration Records'!M2135</x:f>
        <x:v>OPEN</x:v>
      </x:c>
    </x:row>
    <x:row r="5825">
      <x:c r="B5825" s="7" t="str">
        <x:v>AG-05819</x:v>
      </x:c>
      <x:c r="C5825" s="7" t="str">
        <x:v>PEA-C-X3</x:v>
      </x:c>
      <x:c r="D5825" s="7" t="str">
        <x:v>factory calibration</x:v>
      </x:c>
      <x:c r="E5825" s="7" t="str">
        <x:v>CAL-CH-PEA-C-X3-19-6</x:v>
      </x:c>
      <x:c r="F5825" s="7" t="str">
        <x:f>'Calibration Records'!M2136</x:f>
        <x:v>OPEN</x:v>
      </x:c>
    </x:row>
    <x:row r="5826">
      <x:c r="B5826" s="7" t="str">
        <x:v>AG-05820</x:v>
      </x:c>
      <x:c r="C5826" s="7" t="str">
        <x:v>PEA-C-X3</x:v>
      </x:c>
      <x:c r="D5826" s="7" t="str">
        <x:v>factory calibration</x:v>
      </x:c>
      <x:c r="E5826" s="7" t="str">
        <x:v>CAL-CH-PEA-C-X3-20-1</x:v>
      </x:c>
      <x:c r="F5826" s="7" t="str">
        <x:f>'Calibration Records'!M2137</x:f>
        <x:v>OPEN</x:v>
      </x:c>
    </x:row>
    <x:row r="5827">
      <x:c r="B5827" s="7" t="str">
        <x:v>AG-05821</x:v>
      </x:c>
      <x:c r="C5827" s="7" t="str">
        <x:v>PEA-C-X3</x:v>
      </x:c>
      <x:c r="D5827" s="7" t="str">
        <x:v>factory calibration</x:v>
      </x:c>
      <x:c r="E5827" s="7" t="str">
        <x:v>CAL-CH-PEA-C-X3-20-2</x:v>
      </x:c>
      <x:c r="F5827" s="7" t="str">
        <x:f>'Calibration Records'!M2138</x:f>
        <x:v>OPEN</x:v>
      </x:c>
    </x:row>
    <x:row r="5828">
      <x:c r="B5828" s="7" t="str">
        <x:v>AG-05822</x:v>
      </x:c>
      <x:c r="C5828" s="7" t="str">
        <x:v>PEA-C-X3</x:v>
      </x:c>
      <x:c r="D5828" s="7" t="str">
        <x:v>factory calibration</x:v>
      </x:c>
      <x:c r="E5828" s="7" t="str">
        <x:v>CAL-CH-PEA-C-X3-20-3</x:v>
      </x:c>
      <x:c r="F5828" s="7" t="str">
        <x:f>'Calibration Records'!M2139</x:f>
        <x:v>OPEN</x:v>
      </x:c>
    </x:row>
    <x:row r="5829">
      <x:c r="B5829" s="7" t="str">
        <x:v>AG-05823</x:v>
      </x:c>
      <x:c r="C5829" s="7" t="str">
        <x:v>PEA-C-X3</x:v>
      </x:c>
      <x:c r="D5829" s="7" t="str">
        <x:v>factory calibration</x:v>
      </x:c>
      <x:c r="E5829" s="7" t="str">
        <x:v>CAL-CH-PEA-C-X3-20-4</x:v>
      </x:c>
      <x:c r="F5829" s="7" t="str">
        <x:f>'Calibration Records'!M2140</x:f>
        <x:v>OPEN</x:v>
      </x:c>
    </x:row>
    <x:row r="5830">
      <x:c r="B5830" s="7" t="str">
        <x:v>AG-05824</x:v>
      </x:c>
      <x:c r="C5830" s="7" t="str">
        <x:v>PEA-C-X3</x:v>
      </x:c>
      <x:c r="D5830" s="7" t="str">
        <x:v>factory calibration</x:v>
      </x:c>
      <x:c r="E5830" s="7" t="str">
        <x:v>CAL-CH-PEA-C-X3-20-5</x:v>
      </x:c>
      <x:c r="F5830" s="7" t="str">
        <x:f>'Calibration Records'!M2141</x:f>
        <x:v>OPEN</x:v>
      </x:c>
    </x:row>
    <x:row r="5831">
      <x:c r="B5831" s="7" t="str">
        <x:v>AG-05825</x:v>
      </x:c>
      <x:c r="C5831" s="7" t="str">
        <x:v>PEA-C-X3</x:v>
      </x:c>
      <x:c r="D5831" s="7" t="str">
        <x:v>factory calibration</x:v>
      </x:c>
      <x:c r="E5831" s="7" t="str">
        <x:v>CAL-CH-PEA-C-X3-20-6</x:v>
      </x:c>
      <x:c r="F5831" s="7" t="str">
        <x:f>'Calibration Records'!M2142</x:f>
        <x:v>OPEN</x:v>
      </x:c>
    </x:row>
    <x:row r="5832">
      <x:c r="B5832" s="7" t="str">
        <x:v>AG-05826</x:v>
      </x:c>
      <x:c r="C5832" s="7" t="str">
        <x:v>PEA-C-X3</x:v>
      </x:c>
      <x:c r="D5832" s="7" t="str">
        <x:v>factory calibration</x:v>
      </x:c>
      <x:c r="E5832" s="7" t="str">
        <x:v>CAL-CH-PEA-C-X3-21-1</x:v>
      </x:c>
      <x:c r="F5832" s="7" t="str">
        <x:f>'Calibration Records'!M2143</x:f>
        <x:v>OPEN</x:v>
      </x:c>
    </x:row>
    <x:row r="5833">
      <x:c r="B5833" s="7" t="str">
        <x:v>AG-05827</x:v>
      </x:c>
      <x:c r="C5833" s="7" t="str">
        <x:v>PEA-C-X3</x:v>
      </x:c>
      <x:c r="D5833" s="7" t="str">
        <x:v>factory calibration</x:v>
      </x:c>
      <x:c r="E5833" s="7" t="str">
        <x:v>CAL-CH-PEA-C-X3-21-2</x:v>
      </x:c>
      <x:c r="F5833" s="7" t="str">
        <x:f>'Calibration Records'!M2144</x:f>
        <x:v>OPEN</x:v>
      </x:c>
    </x:row>
    <x:row r="5834">
      <x:c r="B5834" s="7" t="str">
        <x:v>AG-05828</x:v>
      </x:c>
      <x:c r="C5834" s="7" t="str">
        <x:v>PEA-C-X3</x:v>
      </x:c>
      <x:c r="D5834" s="7" t="str">
        <x:v>factory calibration</x:v>
      </x:c>
      <x:c r="E5834" s="7" t="str">
        <x:v>CAL-CH-PEA-C-X3-21-3</x:v>
      </x:c>
      <x:c r="F5834" s="7" t="str">
        <x:f>'Calibration Records'!M2145</x:f>
        <x:v>OPEN</x:v>
      </x:c>
    </x:row>
    <x:row r="5835">
      <x:c r="B5835" s="7" t="str">
        <x:v>AG-05829</x:v>
      </x:c>
      <x:c r="C5835" s="7" t="str">
        <x:v>PEA-C-X3</x:v>
      </x:c>
      <x:c r="D5835" s="7" t="str">
        <x:v>factory calibration</x:v>
      </x:c>
      <x:c r="E5835" s="7" t="str">
        <x:v>CAL-CH-PEA-C-X3-21-4</x:v>
      </x:c>
      <x:c r="F5835" s="7" t="str">
        <x:f>'Calibration Records'!M2146</x:f>
        <x:v>OPEN</x:v>
      </x:c>
    </x:row>
    <x:row r="5836">
      <x:c r="B5836" s="7" t="str">
        <x:v>AG-05830</x:v>
      </x:c>
      <x:c r="C5836" s="7" t="str">
        <x:v>PEA-C-X3</x:v>
      </x:c>
      <x:c r="D5836" s="7" t="str">
        <x:v>factory calibration</x:v>
      </x:c>
      <x:c r="E5836" s="7" t="str">
        <x:v>CAL-CH-PEA-C-X3-21-5</x:v>
      </x:c>
      <x:c r="F5836" s="7" t="str">
        <x:f>'Calibration Records'!M2147</x:f>
        <x:v>OPEN</x:v>
      </x:c>
    </x:row>
    <x:row r="5837">
      <x:c r="B5837" s="7" t="str">
        <x:v>AG-05831</x:v>
      </x:c>
      <x:c r="C5837" s="7" t="str">
        <x:v>PEA-C-X3</x:v>
      </x:c>
      <x:c r="D5837" s="7" t="str">
        <x:v>factory calibration</x:v>
      </x:c>
      <x:c r="E5837" s="7" t="str">
        <x:v>CAL-CH-PEA-C-X3-21-6</x:v>
      </x:c>
      <x:c r="F5837" s="7" t="str">
        <x:f>'Calibration Records'!M2148</x:f>
        <x:v>OPEN</x:v>
      </x:c>
    </x:row>
    <x:row r="5838">
      <x:c r="B5838" s="7" t="str">
        <x:v>AG-05832</x:v>
      </x:c>
      <x:c r="C5838" s="7" t="str">
        <x:v>PEA-C-X3</x:v>
      </x:c>
      <x:c r="D5838" s="7" t="str">
        <x:v>factory calibration</x:v>
      </x:c>
      <x:c r="E5838" s="7" t="str">
        <x:v>CAL-CH-PEA-C-X3-22-1</x:v>
      </x:c>
      <x:c r="F5838" s="7" t="str">
        <x:f>'Calibration Records'!M2149</x:f>
        <x:v>OPEN</x:v>
      </x:c>
    </x:row>
    <x:row r="5839">
      <x:c r="B5839" s="7" t="str">
        <x:v>AG-05833</x:v>
      </x:c>
      <x:c r="C5839" s="7" t="str">
        <x:v>PEA-C-X3</x:v>
      </x:c>
      <x:c r="D5839" s="7" t="str">
        <x:v>factory calibration</x:v>
      </x:c>
      <x:c r="E5839" s="7" t="str">
        <x:v>CAL-CH-PEA-C-X3-22-2</x:v>
      </x:c>
      <x:c r="F5839" s="7" t="str">
        <x:f>'Calibration Records'!M2150</x:f>
        <x:v>OPEN</x:v>
      </x:c>
    </x:row>
    <x:row r="5840">
      <x:c r="B5840" s="7" t="str">
        <x:v>AG-05834</x:v>
      </x:c>
      <x:c r="C5840" s="7" t="str">
        <x:v>PEA-C-X3</x:v>
      </x:c>
      <x:c r="D5840" s="7" t="str">
        <x:v>factory calibration</x:v>
      </x:c>
      <x:c r="E5840" s="7" t="str">
        <x:v>CAL-CH-PEA-C-X3-22-3</x:v>
      </x:c>
      <x:c r="F5840" s="7" t="str">
        <x:f>'Calibration Records'!M2151</x:f>
        <x:v>OPEN</x:v>
      </x:c>
    </x:row>
    <x:row r="5841">
      <x:c r="B5841" s="7" t="str">
        <x:v>AG-05835</x:v>
      </x:c>
      <x:c r="C5841" s="7" t="str">
        <x:v>PEA-C-X3</x:v>
      </x:c>
      <x:c r="D5841" s="7" t="str">
        <x:v>factory calibration</x:v>
      </x:c>
      <x:c r="E5841" s="7" t="str">
        <x:v>CAL-CH-PEA-C-X3-22-4</x:v>
      </x:c>
      <x:c r="F5841" s="7" t="str">
        <x:f>'Calibration Records'!M2152</x:f>
        <x:v>OPEN</x:v>
      </x:c>
    </x:row>
    <x:row r="5842">
      <x:c r="B5842" s="7" t="str">
        <x:v>AG-05836</x:v>
      </x:c>
      <x:c r="C5842" s="7" t="str">
        <x:v>PEA-C-X3</x:v>
      </x:c>
      <x:c r="D5842" s="7" t="str">
        <x:v>factory calibration</x:v>
      </x:c>
      <x:c r="E5842" s="7" t="str">
        <x:v>CAL-CH-PEA-C-X3-22-5</x:v>
      </x:c>
      <x:c r="F5842" s="7" t="str">
        <x:f>'Calibration Records'!M2153</x:f>
        <x:v>OPEN</x:v>
      </x:c>
    </x:row>
    <x:row r="5843">
      <x:c r="B5843" s="7" t="str">
        <x:v>AG-05837</x:v>
      </x:c>
      <x:c r="C5843" s="7" t="str">
        <x:v>PEA-C-X3</x:v>
      </x:c>
      <x:c r="D5843" s="7" t="str">
        <x:v>factory calibration</x:v>
      </x:c>
      <x:c r="E5843" s="7" t="str">
        <x:v>CAL-CH-PEA-C-X3-22-6</x:v>
      </x:c>
      <x:c r="F5843" s="7" t="str">
        <x:f>'Calibration Records'!M2154</x:f>
        <x:v>OPEN</x:v>
      </x:c>
    </x:row>
    <x:row r="5844">
      <x:c r="B5844" s="7" t="str">
        <x:v>AG-05838</x:v>
      </x:c>
      <x:c r="C5844" s="7" t="str">
        <x:v>PEA-C-X3</x:v>
      </x:c>
      <x:c r="D5844" s="7" t="str">
        <x:v>factory calibration</x:v>
      </x:c>
      <x:c r="E5844" s="7" t="str">
        <x:v>CAL-CH-PEA-C-X3-23-1</x:v>
      </x:c>
      <x:c r="F5844" s="7" t="str">
        <x:f>'Calibration Records'!M2155</x:f>
        <x:v>OPEN</x:v>
      </x:c>
    </x:row>
    <x:row r="5845">
      <x:c r="B5845" s="7" t="str">
        <x:v>AG-05839</x:v>
      </x:c>
      <x:c r="C5845" s="7" t="str">
        <x:v>PEA-C-X3</x:v>
      </x:c>
      <x:c r="D5845" s="7" t="str">
        <x:v>factory calibration</x:v>
      </x:c>
      <x:c r="E5845" s="7" t="str">
        <x:v>CAL-CH-PEA-C-X3-23-2</x:v>
      </x:c>
      <x:c r="F5845" s="7" t="str">
        <x:f>'Calibration Records'!M2156</x:f>
        <x:v>OPEN</x:v>
      </x:c>
    </x:row>
    <x:row r="5846">
      <x:c r="B5846" s="7" t="str">
        <x:v>AG-05840</x:v>
      </x:c>
      <x:c r="C5846" s="7" t="str">
        <x:v>PEA-C-X3</x:v>
      </x:c>
      <x:c r="D5846" s="7" t="str">
        <x:v>factory calibration</x:v>
      </x:c>
      <x:c r="E5846" s="7" t="str">
        <x:v>CAL-CH-PEA-C-X3-23-3</x:v>
      </x:c>
      <x:c r="F5846" s="7" t="str">
        <x:f>'Calibration Records'!M2157</x:f>
        <x:v>OPEN</x:v>
      </x:c>
    </x:row>
    <x:row r="5847">
      <x:c r="B5847" s="7" t="str">
        <x:v>AG-05841</x:v>
      </x:c>
      <x:c r="C5847" s="7" t="str">
        <x:v>PEA-C-X3</x:v>
      </x:c>
      <x:c r="D5847" s="7" t="str">
        <x:v>factory calibration</x:v>
      </x:c>
      <x:c r="E5847" s="7" t="str">
        <x:v>CAL-CH-PEA-C-X3-23-4</x:v>
      </x:c>
      <x:c r="F5847" s="7" t="str">
        <x:f>'Calibration Records'!M2158</x:f>
        <x:v>OPEN</x:v>
      </x:c>
    </x:row>
    <x:row r="5848">
      <x:c r="B5848" s="7" t="str">
        <x:v>AG-05842</x:v>
      </x:c>
      <x:c r="C5848" s="7" t="str">
        <x:v>PEA-C-X3</x:v>
      </x:c>
      <x:c r="D5848" s="7" t="str">
        <x:v>factory calibration</x:v>
      </x:c>
      <x:c r="E5848" s="7" t="str">
        <x:v>CAL-CH-PEA-C-X3-23-5</x:v>
      </x:c>
      <x:c r="F5848" s="7" t="str">
        <x:f>'Calibration Records'!M2159</x:f>
        <x:v>OPEN</x:v>
      </x:c>
    </x:row>
    <x:row r="5849">
      <x:c r="B5849" s="7" t="str">
        <x:v>AG-05843</x:v>
      </x:c>
      <x:c r="C5849" s="7" t="str">
        <x:v>PEA-C-X3</x:v>
      </x:c>
      <x:c r="D5849" s="7" t="str">
        <x:v>factory calibration</x:v>
      </x:c>
      <x:c r="E5849" s="7" t="str">
        <x:v>CAL-CH-PEA-C-X3-23-6</x:v>
      </x:c>
      <x:c r="F5849" s="7" t="str">
        <x:f>'Calibration Records'!M2160</x:f>
        <x:v>OPEN</x:v>
      </x:c>
    </x:row>
    <x:row r="5850">
      <x:c r="B5850" s="7" t="str">
        <x:v>AG-05844</x:v>
      </x:c>
      <x:c r="C5850" s="7" t="str">
        <x:v>PEA-C-X3</x:v>
      </x:c>
      <x:c r="D5850" s="7" t="str">
        <x:v>factory calibration</x:v>
      </x:c>
      <x:c r="E5850" s="7" t="str">
        <x:v>CAL-CH-PEA-C-X3-24-1</x:v>
      </x:c>
      <x:c r="F5850" s="7" t="str">
        <x:f>'Calibration Records'!M2161</x:f>
        <x:v>OPEN</x:v>
      </x:c>
    </x:row>
    <x:row r="5851">
      <x:c r="B5851" s="7" t="str">
        <x:v>AG-05845</x:v>
      </x:c>
      <x:c r="C5851" s="7" t="str">
        <x:v>PEA-C-X3</x:v>
      </x:c>
      <x:c r="D5851" s="7" t="str">
        <x:v>factory calibration</x:v>
      </x:c>
      <x:c r="E5851" s="7" t="str">
        <x:v>CAL-CH-PEA-C-X3-24-2</x:v>
      </x:c>
      <x:c r="F5851" s="7" t="str">
        <x:f>'Calibration Records'!M2162</x:f>
        <x:v>OPEN</x:v>
      </x:c>
    </x:row>
    <x:row r="5852">
      <x:c r="B5852" s="7" t="str">
        <x:v>AG-05846</x:v>
      </x:c>
      <x:c r="C5852" s="7" t="str">
        <x:v>PEA-C-X3</x:v>
      </x:c>
      <x:c r="D5852" s="7" t="str">
        <x:v>factory calibration</x:v>
      </x:c>
      <x:c r="E5852" s="7" t="str">
        <x:v>CAL-CH-PEA-C-X3-24-3</x:v>
      </x:c>
      <x:c r="F5852" s="7" t="str">
        <x:f>'Calibration Records'!M2163</x:f>
        <x:v>OPEN</x:v>
      </x:c>
    </x:row>
    <x:row r="5853">
      <x:c r="B5853" s="7" t="str">
        <x:v>AG-05847</x:v>
      </x:c>
      <x:c r="C5853" s="7" t="str">
        <x:v>PEA-C-X3</x:v>
      </x:c>
      <x:c r="D5853" s="7" t="str">
        <x:v>factory calibration</x:v>
      </x:c>
      <x:c r="E5853" s="7" t="str">
        <x:v>CAL-CH-PEA-C-X3-24-4</x:v>
      </x:c>
      <x:c r="F5853" s="7" t="str">
        <x:f>'Calibration Records'!M2164</x:f>
        <x:v>OPEN</x:v>
      </x:c>
    </x:row>
    <x:row r="5854">
      <x:c r="B5854" s="7" t="str">
        <x:v>AG-05848</x:v>
      </x:c>
      <x:c r="C5854" s="7" t="str">
        <x:v>PEA-C-X3</x:v>
      </x:c>
      <x:c r="D5854" s="7" t="str">
        <x:v>factory calibration</x:v>
      </x:c>
      <x:c r="E5854" s="7" t="str">
        <x:v>CAL-CH-PEA-C-X3-24-5</x:v>
      </x:c>
      <x:c r="F5854" s="7" t="str">
        <x:f>'Calibration Records'!M2165</x:f>
        <x:v>OPEN</x:v>
      </x:c>
    </x:row>
    <x:row r="5855">
      <x:c r="B5855" s="7" t="str">
        <x:v>AG-05849</x:v>
      </x:c>
      <x:c r="C5855" s="7" t="str">
        <x:v>PEA-C-X3</x:v>
      </x:c>
      <x:c r="D5855" s="7" t="str">
        <x:v>factory calibration</x:v>
      </x:c>
      <x:c r="E5855" s="7" t="str">
        <x:v>CAL-CH-PEA-C-X3-24-6</x:v>
      </x:c>
      <x:c r="F5855" s="7" t="str">
        <x:f>'Calibration Records'!M2166</x:f>
        <x:v>OPEN</x:v>
      </x:c>
    </x:row>
    <x:row r="5856">
      <x:c r="B5856" s="7" t="str">
        <x:v>AG-05850</x:v>
      </x:c>
      <x:c r="C5856" s="7" t="str">
        <x:v>PEA-C-X3</x:v>
      </x:c>
      <x:c r="D5856" s="7" t="str">
        <x:v>article master</x:v>
      </x:c>
      <x:c r="E5856" s="7" t="str">
        <x:v>PEA-C-X3</x:v>
      </x:c>
      <x:c r="F5856" s="7" t="str">
        <x:f>'Article Population'!Q21</x:f>
        <x:v>OPEN</x:v>
      </x:c>
    </x:row>
    <x:row r="5857">
      <x:c r="B5857" s="7" t="str">
        <x:v>AG-05851</x:v>
      </x:c>
      <x:c r="C5857" s="7" t="str">
        <x:v>PEA-C-Y1</x:v>
      </x:c>
      <x:c r="D5857" s="7" t="str">
        <x:v>lineage capsule</x:v>
      </x:c>
      <x:c r="E5857" s="7" t="str">
        <x:v>BL-Y</x:v>
      </x:c>
      <x:c r="F5857" s="7" t="str">
        <x:f>'Baseline Package'!F8</x:f>
        <x:v>OPEN</x:v>
      </x:c>
    </x:row>
    <x:row r="5858">
      <x:c r="B5858" s="7" t="str">
        <x:v>AG-05852</x:v>
      </x:c>
      <x:c r="C5858" s="7" t="str">
        <x:v>PEA-C-Y1</x:v>
      </x:c>
      <x:c r="D5858" s="7" t="str">
        <x:v>builder qualification</x:v>
      </x:c>
      <x:c r="E5858" s="7" t="str">
        <x:v>BLD-C</x:v>
      </x:c>
      <x:c r="F5858" s="7" t="str">
        <x:f>Builders!K9</x:f>
        <x:v>OPEN</x:v>
      </x:c>
    </x:row>
    <x:row r="5859">
      <x:c r="B5859" s="7" t="str">
        <x:v>AG-05853</x:v>
      </x:c>
      <x:c r="C5859" s="7" t="str">
        <x:v>PEA-C-Y1</x:v>
      </x:c>
      <x:c r="D5859" s="7" t="str">
        <x:v>material split</x:v>
      </x:c>
      <x:c r="E5859" s="7" t="str">
        <x:v>SPLIT-PEA-C-Y1</x:v>
      </x:c>
      <x:c r="F5859" s="7" t="str">
        <x:f>'Material Matrix'!K22</x:f>
        <x:v>OPEN</x:v>
      </x:c>
    </x:row>
    <x:row r="5860">
      <x:c r="B5860" s="7" t="str">
        <x:v>AG-05854</x:v>
      </x:c>
      <x:c r="C5860" s="7" t="str">
        <x:v>PEA-C-Y1</x:v>
      </x:c>
      <x:c r="D5860" s="7" t="str">
        <x:v>build sequence</x:v>
      </x:c>
      <x:c r="E5860" s="7" t="str">
        <x:v>SEQ-PEA-C-Y1</x:v>
      </x:c>
      <x:c r="F5860" s="7" t="str">
        <x:f>'Build Sequence'!L22</x:f>
        <x:v>OPEN</x:v>
      </x:c>
    </x:row>
    <x:row r="5861">
      <x:c r="B5861" s="7" t="str">
        <x:v>AG-05855</x:v>
      </x:c>
      <x:c r="C5861" s="7" t="str">
        <x:v>PEA-C-Y1</x:v>
      </x:c>
      <x:c r="D5861" s="7" t="str">
        <x:v>section traveler</x:v>
      </x:c>
      <x:c r="E5861" s="7" t="str">
        <x:v>TRV-PEA-C-Y1-01</x:v>
      </x:c>
      <x:c r="F5861" s="7" t="str">
        <x:f>'Section Travelers'!L307</x:f>
        <x:v>OPEN</x:v>
      </x:c>
    </x:row>
    <x:row r="5862">
      <x:c r="B5862" s="7" t="str">
        <x:v>AG-05856</x:v>
      </x:c>
      <x:c r="C5862" s="7" t="str">
        <x:v>PEA-C-Y1</x:v>
      </x:c>
      <x:c r="D5862" s="7" t="str">
        <x:v>section traveler</x:v>
      </x:c>
      <x:c r="E5862" s="7" t="str">
        <x:v>TRV-PEA-C-Y1-02</x:v>
      </x:c>
      <x:c r="F5862" s="7" t="str">
        <x:f>'Section Travelers'!L308</x:f>
        <x:v>OPEN</x:v>
      </x:c>
    </x:row>
    <x:row r="5863">
      <x:c r="B5863" s="7" t="str">
        <x:v>AG-05857</x:v>
      </x:c>
      <x:c r="C5863" s="7" t="str">
        <x:v>PEA-C-Y1</x:v>
      </x:c>
      <x:c r="D5863" s="7" t="str">
        <x:v>section traveler</x:v>
      </x:c>
      <x:c r="E5863" s="7" t="str">
        <x:v>TRV-PEA-C-Y1-03</x:v>
      </x:c>
      <x:c r="F5863" s="7" t="str">
        <x:f>'Section Travelers'!L309</x:f>
        <x:v>OPEN</x:v>
      </x:c>
    </x:row>
    <x:row r="5864">
      <x:c r="B5864" s="7" t="str">
        <x:v>AG-05858</x:v>
      </x:c>
      <x:c r="C5864" s="7" t="str">
        <x:v>PEA-C-Y1</x:v>
      </x:c>
      <x:c r="D5864" s="7" t="str">
        <x:v>section traveler</x:v>
      </x:c>
      <x:c r="E5864" s="7" t="str">
        <x:v>TRV-PEA-C-Y1-04</x:v>
      </x:c>
      <x:c r="F5864" s="7" t="str">
        <x:f>'Section Travelers'!L310</x:f>
        <x:v>OPEN</x:v>
      </x:c>
    </x:row>
    <x:row r="5865">
      <x:c r="B5865" s="7" t="str">
        <x:v>AG-05859</x:v>
      </x:c>
      <x:c r="C5865" s="7" t="str">
        <x:v>PEA-C-Y1</x:v>
      </x:c>
      <x:c r="D5865" s="7" t="str">
        <x:v>section traveler</x:v>
      </x:c>
      <x:c r="E5865" s="7" t="str">
        <x:v>TRV-PEA-C-Y1-05</x:v>
      </x:c>
      <x:c r="F5865" s="7" t="str">
        <x:f>'Section Travelers'!L311</x:f>
        <x:v>OPEN</x:v>
      </x:c>
    </x:row>
    <x:row r="5866">
      <x:c r="B5866" s="7" t="str">
        <x:v>AG-05860</x:v>
      </x:c>
      <x:c r="C5866" s="7" t="str">
        <x:v>PEA-C-Y1</x:v>
      </x:c>
      <x:c r="D5866" s="7" t="str">
        <x:v>section traveler</x:v>
      </x:c>
      <x:c r="E5866" s="7" t="str">
        <x:v>TRV-PEA-C-Y1-06</x:v>
      </x:c>
      <x:c r="F5866" s="7" t="str">
        <x:f>'Section Travelers'!L312</x:f>
        <x:v>OPEN</x:v>
      </x:c>
    </x:row>
    <x:row r="5867">
      <x:c r="B5867" s="7" t="str">
        <x:v>AG-05861</x:v>
      </x:c>
      <x:c r="C5867" s="7" t="str">
        <x:v>PEA-C-Y1</x:v>
      </x:c>
      <x:c r="D5867" s="7" t="str">
        <x:v>section traveler</x:v>
      </x:c>
      <x:c r="E5867" s="7" t="str">
        <x:v>TRV-PEA-C-Y1-07</x:v>
      </x:c>
      <x:c r="F5867" s="7" t="str">
        <x:f>'Section Travelers'!L313</x:f>
        <x:v>OPEN</x:v>
      </x:c>
    </x:row>
    <x:row r="5868">
      <x:c r="B5868" s="7" t="str">
        <x:v>AG-05862</x:v>
      </x:c>
      <x:c r="C5868" s="7" t="str">
        <x:v>PEA-C-Y1</x:v>
      </x:c>
      <x:c r="D5868" s="7" t="str">
        <x:v>section traveler</x:v>
      </x:c>
      <x:c r="E5868" s="7" t="str">
        <x:v>TRV-PEA-C-Y1-08</x:v>
      </x:c>
      <x:c r="F5868" s="7" t="str">
        <x:f>'Section Travelers'!L314</x:f>
        <x:v>OPEN</x:v>
      </x:c>
    </x:row>
    <x:row r="5869">
      <x:c r="B5869" s="7" t="str">
        <x:v>AG-05863</x:v>
      </x:c>
      <x:c r="C5869" s="7" t="str">
        <x:v>PEA-C-Y1</x:v>
      </x:c>
      <x:c r="D5869" s="7" t="str">
        <x:v>section traveler</x:v>
      </x:c>
      <x:c r="E5869" s="7" t="str">
        <x:v>TRV-PEA-C-Y1-09</x:v>
      </x:c>
      <x:c r="F5869" s="7" t="str">
        <x:f>'Section Travelers'!L315</x:f>
        <x:v>OPEN</x:v>
      </x:c>
    </x:row>
    <x:row r="5870">
      <x:c r="B5870" s="7" t="str">
        <x:v>AG-05864</x:v>
      </x:c>
      <x:c r="C5870" s="7" t="str">
        <x:v>PEA-C-Y1</x:v>
      </x:c>
      <x:c r="D5870" s="7" t="str">
        <x:v>section traveler</x:v>
      </x:c>
      <x:c r="E5870" s="7" t="str">
        <x:v>TRV-PEA-C-Y1-10</x:v>
      </x:c>
      <x:c r="F5870" s="7" t="str">
        <x:f>'Section Travelers'!L316</x:f>
        <x:v>OPEN</x:v>
      </x:c>
    </x:row>
    <x:row r="5871">
      <x:c r="B5871" s="7" t="str">
        <x:v>AG-05865</x:v>
      </x:c>
      <x:c r="C5871" s="7" t="str">
        <x:v>PEA-C-Y1</x:v>
      </x:c>
      <x:c r="D5871" s="7" t="str">
        <x:v>section traveler</x:v>
      </x:c>
      <x:c r="E5871" s="7" t="str">
        <x:v>TRV-PEA-C-Y1-11</x:v>
      </x:c>
      <x:c r="F5871" s="7" t="str">
        <x:f>'Section Travelers'!L317</x:f>
        <x:v>OPEN</x:v>
      </x:c>
    </x:row>
    <x:row r="5872">
      <x:c r="B5872" s="7" t="str">
        <x:v>AG-05866</x:v>
      </x:c>
      <x:c r="C5872" s="7" t="str">
        <x:v>PEA-C-Y1</x:v>
      </x:c>
      <x:c r="D5872" s="7" t="str">
        <x:v>section traveler</x:v>
      </x:c>
      <x:c r="E5872" s="7" t="str">
        <x:v>TRV-PEA-C-Y1-12</x:v>
      </x:c>
      <x:c r="F5872" s="7" t="str">
        <x:f>'Section Travelers'!L318</x:f>
        <x:v>OPEN</x:v>
      </x:c>
    </x:row>
    <x:row r="5873">
      <x:c r="B5873" s="7" t="str">
        <x:v>AG-05867</x:v>
      </x:c>
      <x:c r="C5873" s="7" t="str">
        <x:v>PEA-C-Y1</x:v>
      </x:c>
      <x:c r="D5873" s="7" t="str">
        <x:v>section traveler</x:v>
      </x:c>
      <x:c r="E5873" s="7" t="str">
        <x:v>TRV-PEA-C-Y1-13</x:v>
      </x:c>
      <x:c r="F5873" s="7" t="str">
        <x:f>'Section Travelers'!L319</x:f>
        <x:v>OPEN</x:v>
      </x:c>
    </x:row>
    <x:row r="5874">
      <x:c r="B5874" s="7" t="str">
        <x:v>AG-05868</x:v>
      </x:c>
      <x:c r="C5874" s="7" t="str">
        <x:v>PEA-C-Y1</x:v>
      </x:c>
      <x:c r="D5874" s="7" t="str">
        <x:v>section traveler</x:v>
      </x:c>
      <x:c r="E5874" s="7" t="str">
        <x:v>TRV-PEA-C-Y1-14</x:v>
      </x:c>
      <x:c r="F5874" s="7" t="str">
        <x:f>'Section Travelers'!L320</x:f>
        <x:v>OPEN</x:v>
      </x:c>
    </x:row>
    <x:row r="5875">
      <x:c r="B5875" s="7" t="str">
        <x:v>AG-05869</x:v>
      </x:c>
      <x:c r="C5875" s="7" t="str">
        <x:v>PEA-C-Y1</x:v>
      </x:c>
      <x:c r="D5875" s="7" t="str">
        <x:v>section traveler</x:v>
      </x:c>
      <x:c r="E5875" s="7" t="str">
        <x:v>TRV-PEA-C-Y1-15</x:v>
      </x:c>
      <x:c r="F5875" s="7" t="str">
        <x:f>'Section Travelers'!L321</x:f>
        <x:v>OPEN</x:v>
      </x:c>
    </x:row>
    <x:row r="5876">
      <x:c r="B5876" s="7" t="str">
        <x:v>AG-05870</x:v>
      </x:c>
      <x:c r="C5876" s="7" t="str">
        <x:v>PEA-C-Y1</x:v>
      </x:c>
      <x:c r="D5876" s="7" t="str">
        <x:v>section traveler</x:v>
      </x:c>
      <x:c r="E5876" s="7" t="str">
        <x:v>TRV-PEA-C-Y1-16</x:v>
      </x:c>
      <x:c r="F5876" s="7" t="str">
        <x:f>'Section Travelers'!L322</x:f>
        <x:v>OPEN</x:v>
      </x:c>
    </x:row>
    <x:row r="5877">
      <x:c r="B5877" s="7" t="str">
        <x:v>AG-05871</x:v>
      </x:c>
      <x:c r="C5877" s="7" t="str">
        <x:v>PEA-C-Y1</x:v>
      </x:c>
      <x:c r="D5877" s="7" t="str">
        <x:v>section traveler</x:v>
      </x:c>
      <x:c r="E5877" s="7" t="str">
        <x:v>TRV-PEA-C-Y1-17</x:v>
      </x:c>
      <x:c r="F5877" s="7" t="str">
        <x:f>'Section Travelers'!L323</x:f>
        <x:v>OPEN</x:v>
      </x:c>
    </x:row>
    <x:row r="5878">
      <x:c r="B5878" s="7" t="str">
        <x:v>AG-05872</x:v>
      </x:c>
      <x:c r="C5878" s="7" t="str">
        <x:v>PEA-C-Y1</x:v>
      </x:c>
      <x:c r="D5878" s="7" t="str">
        <x:v>section traveler</x:v>
      </x:c>
      <x:c r="E5878" s="7" t="str">
        <x:v>TRV-PEA-C-Y1-18</x:v>
      </x:c>
      <x:c r="F5878" s="7" t="str">
        <x:f>'Section Travelers'!L324</x:f>
        <x:v>OPEN</x:v>
      </x:c>
    </x:row>
    <x:row r="5879">
      <x:c r="B5879" s="7" t="str">
        <x:v>AG-05873</x:v>
      </x:c>
      <x:c r="C5879" s="7" t="str">
        <x:v>PEA-C-Y1</x:v>
      </x:c>
      <x:c r="D5879" s="7" t="str">
        <x:v>section traveler</x:v>
      </x:c>
      <x:c r="E5879" s="7" t="str">
        <x:v>TRV-PEA-C-Y1-19</x:v>
      </x:c>
      <x:c r="F5879" s="7" t="str">
        <x:f>'Section Travelers'!L325</x:f>
        <x:v>OPEN</x:v>
      </x:c>
    </x:row>
    <x:row r="5880">
      <x:c r="B5880" s="7" t="str">
        <x:v>AG-05874</x:v>
      </x:c>
      <x:c r="C5880" s="7" t="str">
        <x:v>PEA-C-Y1</x:v>
      </x:c>
      <x:c r="D5880" s="7" t="str">
        <x:v>section traveler</x:v>
      </x:c>
      <x:c r="E5880" s="7" t="str">
        <x:v>TRV-PEA-C-Y1-20</x:v>
      </x:c>
      <x:c r="F5880" s="7" t="str">
        <x:f>'Section Travelers'!L326</x:f>
        <x:v>OPEN</x:v>
      </x:c>
    </x:row>
    <x:row r="5881">
      <x:c r="B5881" s="7" t="str">
        <x:v>AG-05875</x:v>
      </x:c>
      <x:c r="C5881" s="7" t="str">
        <x:v>PEA-C-Y1</x:v>
      </x:c>
      <x:c r="D5881" s="7" t="str">
        <x:v>material coupon</x:v>
      </x:c>
      <x:c r="E5881" s="7" t="str">
        <x:v>CPN-PEA-C-Y1-CJ-1</x:v>
      </x:c>
      <x:c r="F5881" s="7" t="str">
        <x:f>'Material Coupons'!K607</x:f>
        <x:v>OPEN</x:v>
      </x:c>
    </x:row>
    <x:row r="5882">
      <x:c r="B5882" s="7" t="str">
        <x:v>AG-05876</x:v>
      </x:c>
      <x:c r="C5882" s="7" t="str">
        <x:v>PEA-C-Y1</x:v>
      </x:c>
      <x:c r="D5882" s="7" t="str">
        <x:v>material coupon</x:v>
      </x:c>
      <x:c r="E5882" s="7" t="str">
        <x:v>CPN-PEA-C-Y1-CJ-2</x:v>
      </x:c>
      <x:c r="F5882" s="7" t="str">
        <x:f>'Material Coupons'!K608</x:f>
        <x:v>OPEN</x:v>
      </x:c>
    </x:row>
    <x:row r="5883">
      <x:c r="B5883" s="7" t="str">
        <x:v>AG-05877</x:v>
      </x:c>
      <x:c r="C5883" s="7" t="str">
        <x:v>PEA-C-Y1</x:v>
      </x:c>
      <x:c r="D5883" s="7" t="str">
        <x:v>material coupon</x:v>
      </x:c>
      <x:c r="E5883" s="7" t="str">
        <x:v>CPN-PEA-C-Y1-CJ-3</x:v>
      </x:c>
      <x:c r="F5883" s="7" t="str">
        <x:f>'Material Coupons'!K609</x:f>
        <x:v>OPEN</x:v>
      </x:c>
    </x:row>
    <x:row r="5884">
      <x:c r="B5884" s="7" t="str">
        <x:v>AG-05878</x:v>
      </x:c>
      <x:c r="C5884" s="7" t="str">
        <x:v>PEA-C-Y1</x:v>
      </x:c>
      <x:c r="D5884" s="7" t="str">
        <x:v>material coupon</x:v>
      </x:c>
      <x:c r="E5884" s="7" t="str">
        <x:v>CPN-PEA-C-Y1-CJ-4</x:v>
      </x:c>
      <x:c r="F5884" s="7" t="str">
        <x:f>'Material Coupons'!K610</x:f>
        <x:v>OPEN</x:v>
      </x:c>
    </x:row>
    <x:row r="5885">
      <x:c r="B5885" s="7" t="str">
        <x:v>AG-05879</x:v>
      </x:c>
      <x:c r="C5885" s="7" t="str">
        <x:v>PEA-C-Y1</x:v>
      </x:c>
      <x:c r="D5885" s="7" t="str">
        <x:v>material coupon</x:v>
      </x:c>
      <x:c r="E5885" s="7" t="str">
        <x:v>CPN-PEA-C-Y1-CJ-5</x:v>
      </x:c>
      <x:c r="F5885" s="7" t="str">
        <x:f>'Material Coupons'!K611</x:f>
        <x:v>OPEN</x:v>
      </x:c>
    </x:row>
    <x:row r="5886">
      <x:c r="B5886" s="7" t="str">
        <x:v>AG-05880</x:v>
      </x:c>
      <x:c r="C5886" s="7" t="str">
        <x:v>PEA-C-Y1</x:v>
      </x:c>
      <x:c r="D5886" s="7" t="str">
        <x:v>material coupon</x:v>
      </x:c>
      <x:c r="E5886" s="7" t="str">
        <x:v>CPN-PEA-C-Y1-CJ-6</x:v>
      </x:c>
      <x:c r="F5886" s="7" t="str">
        <x:f>'Material Coupons'!K612</x:f>
        <x:v>OPEN</x:v>
      </x:c>
    </x:row>
    <x:row r="5887">
      <x:c r="B5887" s="7" t="str">
        <x:v>AG-05881</x:v>
      </x:c>
      <x:c r="C5887" s="7" t="str">
        <x:v>PEA-C-Y1</x:v>
      </x:c>
      <x:c r="D5887" s="7" t="str">
        <x:v>material coupon</x:v>
      </x:c>
      <x:c r="E5887" s="7" t="str">
        <x:v>CPN-PEA-C-Y1-CJ-7</x:v>
      </x:c>
      <x:c r="F5887" s="7" t="str">
        <x:f>'Material Coupons'!K613</x:f>
        <x:v>OPEN</x:v>
      </x:c>
    </x:row>
    <x:row r="5888">
      <x:c r="B5888" s="7" t="str">
        <x:v>AG-05882</x:v>
      </x:c>
      <x:c r="C5888" s="7" t="str">
        <x:v>PEA-C-Y1</x:v>
      </x:c>
      <x:c r="D5888" s="7" t="str">
        <x:v>material coupon</x:v>
      </x:c>
      <x:c r="E5888" s="7" t="str">
        <x:v>CPN-PEA-C-Y1-CJ-8</x:v>
      </x:c>
      <x:c r="F5888" s="7" t="str">
        <x:f>'Material Coupons'!K614</x:f>
        <x:v>OPEN</x:v>
      </x:c>
    </x:row>
    <x:row r="5889">
      <x:c r="B5889" s="7" t="str">
        <x:v>AG-05883</x:v>
      </x:c>
      <x:c r="C5889" s="7" t="str">
        <x:v>PEA-C-Y1</x:v>
      </x:c>
      <x:c r="D5889" s="7" t="str">
        <x:v>material coupon</x:v>
      </x:c>
      <x:c r="E5889" s="7" t="str">
        <x:v>CPN-PEA-C-Y1-SE-1</x:v>
      </x:c>
      <x:c r="F5889" s="7" t="str">
        <x:f>'Material Coupons'!K615</x:f>
        <x:v>OPEN</x:v>
      </x:c>
    </x:row>
    <x:row r="5890">
      <x:c r="B5890" s="7" t="str">
        <x:v>AG-05884</x:v>
      </x:c>
      <x:c r="C5890" s="7" t="str">
        <x:v>PEA-C-Y1</x:v>
      </x:c>
      <x:c r="D5890" s="7" t="str">
        <x:v>material coupon</x:v>
      </x:c>
      <x:c r="E5890" s="7" t="str">
        <x:v>CPN-PEA-C-Y1-SE-2</x:v>
      </x:c>
      <x:c r="F5890" s="7" t="str">
        <x:f>'Material Coupons'!K616</x:f>
        <x:v>OPEN</x:v>
      </x:c>
    </x:row>
    <x:row r="5891">
      <x:c r="B5891" s="7" t="str">
        <x:v>AG-05885</x:v>
      </x:c>
      <x:c r="C5891" s="7" t="str">
        <x:v>PEA-C-Y1</x:v>
      </x:c>
      <x:c r="D5891" s="7" t="str">
        <x:v>material coupon</x:v>
      </x:c>
      <x:c r="E5891" s="7" t="str">
        <x:v>CPN-PEA-C-Y1-SE-3</x:v>
      </x:c>
      <x:c r="F5891" s="7" t="str">
        <x:f>'Material Coupons'!K617</x:f>
        <x:v>OPEN</x:v>
      </x:c>
    </x:row>
    <x:row r="5892">
      <x:c r="B5892" s="7" t="str">
        <x:v>AG-05886</x:v>
      </x:c>
      <x:c r="C5892" s="7" t="str">
        <x:v>PEA-C-Y1</x:v>
      </x:c>
      <x:c r="D5892" s="7" t="str">
        <x:v>material coupon</x:v>
      </x:c>
      <x:c r="E5892" s="7" t="str">
        <x:v>CPN-PEA-C-Y1-SE-4</x:v>
      </x:c>
      <x:c r="F5892" s="7" t="str">
        <x:f>'Material Coupons'!K618</x:f>
        <x:v>OPEN</x:v>
      </x:c>
    </x:row>
    <x:row r="5893">
      <x:c r="B5893" s="7" t="str">
        <x:v>AG-05887</x:v>
      </x:c>
      <x:c r="C5893" s="7" t="str">
        <x:v>PEA-C-Y1</x:v>
      </x:c>
      <x:c r="D5893" s="7" t="str">
        <x:v>material coupon</x:v>
      </x:c>
      <x:c r="E5893" s="7" t="str">
        <x:v>CPN-PEA-C-Y1-SE-5</x:v>
      </x:c>
      <x:c r="F5893" s="7" t="str">
        <x:f>'Material Coupons'!K619</x:f>
        <x:v>OPEN</x:v>
      </x:c>
    </x:row>
    <x:row r="5894">
      <x:c r="B5894" s="7" t="str">
        <x:v>AG-05888</x:v>
      </x:c>
      <x:c r="C5894" s="7" t="str">
        <x:v>PEA-C-Y1</x:v>
      </x:c>
      <x:c r="D5894" s="7" t="str">
        <x:v>material coupon</x:v>
      </x:c>
      <x:c r="E5894" s="7" t="str">
        <x:v>CPN-PEA-C-Y1-SE-6</x:v>
      </x:c>
      <x:c r="F5894" s="7" t="str">
        <x:f>'Material Coupons'!K620</x:f>
        <x:v>OPEN</x:v>
      </x:c>
    </x:row>
    <x:row r="5895">
      <x:c r="B5895" s="7" t="str">
        <x:v>AG-05889</x:v>
      </x:c>
      <x:c r="C5895" s="7" t="str">
        <x:v>PEA-C-Y1</x:v>
      </x:c>
      <x:c r="D5895" s="7" t="str">
        <x:v>material coupon</x:v>
      </x:c>
      <x:c r="E5895" s="7" t="str">
        <x:v>CPN-PEA-C-Y1-SE-7</x:v>
      </x:c>
      <x:c r="F5895" s="7" t="str">
        <x:f>'Material Coupons'!K621</x:f>
        <x:v>OPEN</x:v>
      </x:c>
    </x:row>
    <x:row r="5896">
      <x:c r="B5896" s="7" t="str">
        <x:v>AG-05890</x:v>
      </x:c>
      <x:c r="C5896" s="7" t="str">
        <x:v>PEA-C-Y1</x:v>
      </x:c>
      <x:c r="D5896" s="7" t="str">
        <x:v>material coupon</x:v>
      </x:c>
      <x:c r="E5896" s="7" t="str">
        <x:v>CPN-PEA-C-Y1-SE-8</x:v>
      </x:c>
      <x:c r="F5896" s="7" t="str">
        <x:f>'Material Coupons'!K622</x:f>
        <x:v>OPEN</x:v>
      </x:c>
    </x:row>
    <x:row r="5897">
      <x:c r="B5897" s="7" t="str">
        <x:v>AG-05891</x:v>
      </x:c>
      <x:c r="C5897" s="7" t="str">
        <x:v>PEA-C-Y1</x:v>
      </x:c>
      <x:c r="D5897" s="7" t="str">
        <x:v>material coupon</x:v>
      </x:c>
      <x:c r="E5897" s="7" t="str">
        <x:v>CPN-PEA-C-Y1-SF-1</x:v>
      </x:c>
      <x:c r="F5897" s="7" t="str">
        <x:f>'Material Coupons'!K623</x:f>
        <x:v>OPEN</x:v>
      </x:c>
    </x:row>
    <x:row r="5898">
      <x:c r="B5898" s="7" t="str">
        <x:v>AG-05892</x:v>
      </x:c>
      <x:c r="C5898" s="7" t="str">
        <x:v>PEA-C-Y1</x:v>
      </x:c>
      <x:c r="D5898" s="7" t="str">
        <x:v>material coupon</x:v>
      </x:c>
      <x:c r="E5898" s="7" t="str">
        <x:v>CPN-PEA-C-Y1-SF-2</x:v>
      </x:c>
      <x:c r="F5898" s="7" t="str">
        <x:f>'Material Coupons'!K624</x:f>
        <x:v>OPEN</x:v>
      </x:c>
    </x:row>
    <x:row r="5899">
      <x:c r="B5899" s="7" t="str">
        <x:v>AG-05893</x:v>
      </x:c>
      <x:c r="C5899" s="7" t="str">
        <x:v>PEA-C-Y1</x:v>
      </x:c>
      <x:c r="D5899" s="7" t="str">
        <x:v>material coupon</x:v>
      </x:c>
      <x:c r="E5899" s="7" t="str">
        <x:v>CPN-PEA-C-Y1-SF-3</x:v>
      </x:c>
      <x:c r="F5899" s="7" t="str">
        <x:f>'Material Coupons'!K625</x:f>
        <x:v>OPEN</x:v>
      </x:c>
    </x:row>
    <x:row r="5900">
      <x:c r="B5900" s="7" t="str">
        <x:v>AG-05894</x:v>
      </x:c>
      <x:c r="C5900" s="7" t="str">
        <x:v>PEA-C-Y1</x:v>
      </x:c>
      <x:c r="D5900" s="7" t="str">
        <x:v>material coupon</x:v>
      </x:c>
      <x:c r="E5900" s="7" t="str">
        <x:v>CPN-PEA-C-Y1-SF-4</x:v>
      </x:c>
      <x:c r="F5900" s="7" t="str">
        <x:f>'Material Coupons'!K626</x:f>
        <x:v>OPEN</x:v>
      </x:c>
    </x:row>
    <x:row r="5901">
      <x:c r="B5901" s="7" t="str">
        <x:v>AG-05895</x:v>
      </x:c>
      <x:c r="C5901" s="7" t="str">
        <x:v>PEA-C-Y1</x:v>
      </x:c>
      <x:c r="D5901" s="7" t="str">
        <x:v>material coupon</x:v>
      </x:c>
      <x:c r="E5901" s="7" t="str">
        <x:v>CPN-PEA-C-Y1-SF-5</x:v>
      </x:c>
      <x:c r="F5901" s="7" t="str">
        <x:f>'Material Coupons'!K627</x:f>
        <x:v>OPEN</x:v>
      </x:c>
    </x:row>
    <x:row r="5902">
      <x:c r="B5902" s="7" t="str">
        <x:v>AG-05896</x:v>
      </x:c>
      <x:c r="C5902" s="7" t="str">
        <x:v>PEA-C-Y1</x:v>
      </x:c>
      <x:c r="D5902" s="7" t="str">
        <x:v>material coupon</x:v>
      </x:c>
      <x:c r="E5902" s="7" t="str">
        <x:v>CPN-PEA-C-Y1-SF-6</x:v>
      </x:c>
      <x:c r="F5902" s="7" t="str">
        <x:f>'Material Coupons'!K628</x:f>
        <x:v>OPEN</x:v>
      </x:c>
    </x:row>
    <x:row r="5903">
      <x:c r="B5903" s="7" t="str">
        <x:v>AG-05897</x:v>
      </x:c>
      <x:c r="C5903" s="7" t="str">
        <x:v>PEA-C-Y1</x:v>
      </x:c>
      <x:c r="D5903" s="7" t="str">
        <x:v>material coupon</x:v>
      </x:c>
      <x:c r="E5903" s="7" t="str">
        <x:v>CPN-PEA-C-Y1-SF-7</x:v>
      </x:c>
      <x:c r="F5903" s="7" t="str">
        <x:f>'Material Coupons'!K629</x:f>
        <x:v>OPEN</x:v>
      </x:c>
    </x:row>
    <x:row r="5904">
      <x:c r="B5904" s="7" t="str">
        <x:v>AG-05898</x:v>
      </x:c>
      <x:c r="C5904" s="7" t="str">
        <x:v>PEA-C-Y1</x:v>
      </x:c>
      <x:c r="D5904" s="7" t="str">
        <x:v>material coupon</x:v>
      </x:c>
      <x:c r="E5904" s="7" t="str">
        <x:v>CPN-PEA-C-Y1-SF-8</x:v>
      </x:c>
      <x:c r="F5904" s="7" t="str">
        <x:f>'Material Coupons'!K630</x:f>
        <x:v>OPEN</x:v>
      </x:c>
    </x:row>
    <x:row r="5905">
      <x:c r="B5905" s="7" t="str">
        <x:v>AG-05899</x:v>
      </x:c>
      <x:c r="C5905" s="7" t="str">
        <x:v>PEA-C-Y1</x:v>
      </x:c>
      <x:c r="D5905" s="7" t="str">
        <x:v>material coupon</x:v>
      </x:c>
      <x:c r="E5905" s="7" t="str">
        <x:v>CPN-PEA-C-Y1-CP-1</x:v>
      </x:c>
      <x:c r="F5905" s="7" t="str">
        <x:f>'Material Coupons'!K631</x:f>
        <x:v>OPEN</x:v>
      </x:c>
    </x:row>
    <x:row r="5906">
      <x:c r="B5906" s="7" t="str">
        <x:v>AG-05900</x:v>
      </x:c>
      <x:c r="C5906" s="7" t="str">
        <x:v>PEA-C-Y1</x:v>
      </x:c>
      <x:c r="D5906" s="7" t="str">
        <x:v>material coupon</x:v>
      </x:c>
      <x:c r="E5906" s="7" t="str">
        <x:v>CPN-PEA-C-Y1-CP-2</x:v>
      </x:c>
      <x:c r="F5906" s="7" t="str">
        <x:f>'Material Coupons'!K632</x:f>
        <x:v>OPEN</x:v>
      </x:c>
    </x:row>
    <x:row r="5907">
      <x:c r="B5907" s="7" t="str">
        <x:v>AG-05901</x:v>
      </x:c>
      <x:c r="C5907" s="7" t="str">
        <x:v>PEA-C-Y1</x:v>
      </x:c>
      <x:c r="D5907" s="7" t="str">
        <x:v>material coupon</x:v>
      </x:c>
      <x:c r="E5907" s="7" t="str">
        <x:v>CPN-PEA-C-Y1-CP-3</x:v>
      </x:c>
      <x:c r="F5907" s="7" t="str">
        <x:f>'Material Coupons'!K633</x:f>
        <x:v>OPEN</x:v>
      </x:c>
    </x:row>
    <x:row r="5908">
      <x:c r="B5908" s="7" t="str">
        <x:v>AG-05902</x:v>
      </x:c>
      <x:c r="C5908" s="7" t="str">
        <x:v>PEA-C-Y1</x:v>
      </x:c>
      <x:c r="D5908" s="7" t="str">
        <x:v>material coupon</x:v>
      </x:c>
      <x:c r="E5908" s="7" t="str">
        <x:v>CPN-PEA-C-Y1-CP-4</x:v>
      </x:c>
      <x:c r="F5908" s="7" t="str">
        <x:f>'Material Coupons'!K634</x:f>
        <x:v>OPEN</x:v>
      </x:c>
    </x:row>
    <x:row r="5909">
      <x:c r="B5909" s="7" t="str">
        <x:v>AG-05903</x:v>
      </x:c>
      <x:c r="C5909" s="7" t="str">
        <x:v>PEA-C-Y1</x:v>
      </x:c>
      <x:c r="D5909" s="7" t="str">
        <x:v>material coupon</x:v>
      </x:c>
      <x:c r="E5909" s="7" t="str">
        <x:v>CPN-PEA-C-Y1-CP-5</x:v>
      </x:c>
      <x:c r="F5909" s="7" t="str">
        <x:f>'Material Coupons'!K635</x:f>
        <x:v>OPEN</x:v>
      </x:c>
    </x:row>
    <x:row r="5910">
      <x:c r="B5910" s="7" t="str">
        <x:v>AG-05904</x:v>
      </x:c>
      <x:c r="C5910" s="7" t="str">
        <x:v>PEA-C-Y1</x:v>
      </x:c>
      <x:c r="D5910" s="7" t="str">
        <x:v>material coupon</x:v>
      </x:c>
      <x:c r="E5910" s="7" t="str">
        <x:v>CPN-PEA-C-Y1-CP-6</x:v>
      </x:c>
      <x:c r="F5910" s="7" t="str">
        <x:f>'Material Coupons'!K636</x:f>
        <x:v>OPEN</x:v>
      </x:c>
    </x:row>
    <x:row r="5911">
      <x:c r="B5911" s="7" t="str">
        <x:v>AG-05905</x:v>
      </x:c>
      <x:c r="C5911" s="7" t="str">
        <x:v>PEA-C-Y1</x:v>
      </x:c>
      <x:c r="D5911" s="7" t="str">
        <x:v>material coupon</x:v>
      </x:c>
      <x:c r="E5911" s="7" t="str">
        <x:v>CPN-PEA-C-Y1-CP-7</x:v>
      </x:c>
      <x:c r="F5911" s="7" t="str">
        <x:f>'Material Coupons'!K637</x:f>
        <x:v>OPEN</x:v>
      </x:c>
    </x:row>
    <x:row r="5912">
      <x:c r="B5912" s="7" t="str">
        <x:v>AG-05906</x:v>
      </x:c>
      <x:c r="C5912" s="7" t="str">
        <x:v>PEA-C-Y1</x:v>
      </x:c>
      <x:c r="D5912" s="7" t="str">
        <x:v>material coupon</x:v>
      </x:c>
      <x:c r="E5912" s="7" t="str">
        <x:v>CPN-PEA-C-Y1-CP-8</x:v>
      </x:c>
      <x:c r="F5912" s="7" t="str">
        <x:f>'Material Coupons'!K638</x:f>
        <x:v>OPEN</x:v>
      </x:c>
    </x:row>
    <x:row r="5913">
      <x:c r="B5913" s="7" t="str">
        <x:v>AG-05907</x:v>
      </x:c>
      <x:c r="C5913" s="7" t="str">
        <x:v>PEA-C-Y1</x:v>
      </x:c>
      <x:c r="D5913" s="7" t="str">
        <x:v>material coupon</x:v>
      </x:c>
      <x:c r="E5913" s="7" t="str">
        <x:v>CPN-PEA-C-Y1-SM-1</x:v>
      </x:c>
      <x:c r="F5913" s="7" t="str">
        <x:f>'Material Coupons'!K639</x:f>
        <x:v>OPEN</x:v>
      </x:c>
    </x:row>
    <x:row r="5914">
      <x:c r="B5914" s="7" t="str">
        <x:v>AG-05908</x:v>
      </x:c>
      <x:c r="C5914" s="7" t="str">
        <x:v>PEA-C-Y1</x:v>
      </x:c>
      <x:c r="D5914" s="7" t="str">
        <x:v>material coupon</x:v>
      </x:c>
      <x:c r="E5914" s="7" t="str">
        <x:v>CPN-PEA-C-Y1-SM-2</x:v>
      </x:c>
      <x:c r="F5914" s="7" t="str">
        <x:f>'Material Coupons'!K640</x:f>
        <x:v>OPEN</x:v>
      </x:c>
    </x:row>
    <x:row r="5915">
      <x:c r="B5915" s="7" t="str">
        <x:v>AG-05909</x:v>
      </x:c>
      <x:c r="C5915" s="7" t="str">
        <x:v>PEA-C-Y1</x:v>
      </x:c>
      <x:c r="D5915" s="7" t="str">
        <x:v>material coupon</x:v>
      </x:c>
      <x:c r="E5915" s="7" t="str">
        <x:v>CPN-PEA-C-Y1-SM-3</x:v>
      </x:c>
      <x:c r="F5915" s="7" t="str">
        <x:f>'Material Coupons'!K641</x:f>
        <x:v>OPEN</x:v>
      </x:c>
    </x:row>
    <x:row r="5916">
      <x:c r="B5916" s="7" t="str">
        <x:v>AG-05910</x:v>
      </x:c>
      <x:c r="C5916" s="7" t="str">
        <x:v>PEA-C-Y1</x:v>
      </x:c>
      <x:c r="D5916" s="7" t="str">
        <x:v>material coupon</x:v>
      </x:c>
      <x:c r="E5916" s="7" t="str">
        <x:v>CPN-PEA-C-Y1-SM-4</x:v>
      </x:c>
      <x:c r="F5916" s="7" t="str">
        <x:f>'Material Coupons'!K642</x:f>
        <x:v>OPEN</x:v>
      </x:c>
    </x:row>
    <x:row r="5917">
      <x:c r="B5917" s="7" t="str">
        <x:v>AG-05911</x:v>
      </x:c>
      <x:c r="C5917" s="7" t="str">
        <x:v>PEA-C-Y1</x:v>
      </x:c>
      <x:c r="D5917" s="7" t="str">
        <x:v>material coupon</x:v>
      </x:c>
      <x:c r="E5917" s="7" t="str">
        <x:v>CPN-PEA-C-Y1-SM-5</x:v>
      </x:c>
      <x:c r="F5917" s="7" t="str">
        <x:f>'Material Coupons'!K643</x:f>
        <x:v>OPEN</x:v>
      </x:c>
    </x:row>
    <x:row r="5918">
      <x:c r="B5918" s="7" t="str">
        <x:v>AG-05912</x:v>
      </x:c>
      <x:c r="C5918" s="7" t="str">
        <x:v>PEA-C-Y1</x:v>
      </x:c>
      <x:c r="D5918" s="7" t="str">
        <x:v>material coupon</x:v>
      </x:c>
      <x:c r="E5918" s="7" t="str">
        <x:v>CPN-PEA-C-Y1-SM-6</x:v>
      </x:c>
      <x:c r="F5918" s="7" t="str">
        <x:f>'Material Coupons'!K644</x:f>
        <x:v>OPEN</x:v>
      </x:c>
    </x:row>
    <x:row r="5919">
      <x:c r="B5919" s="7" t="str">
        <x:v>AG-05913</x:v>
      </x:c>
      <x:c r="C5919" s="7" t="str">
        <x:v>PEA-C-Y1</x:v>
      </x:c>
      <x:c r="D5919" s="7" t="str">
        <x:v>material coupon</x:v>
      </x:c>
      <x:c r="E5919" s="7" t="str">
        <x:v>CPN-PEA-C-Y1-SM-7</x:v>
      </x:c>
      <x:c r="F5919" s="7" t="str">
        <x:f>'Material Coupons'!K645</x:f>
        <x:v>OPEN</x:v>
      </x:c>
    </x:row>
    <x:row r="5920">
      <x:c r="B5920" s="7" t="str">
        <x:v>AG-05914</x:v>
      </x:c>
      <x:c r="C5920" s="7" t="str">
        <x:v>PEA-C-Y1</x:v>
      </x:c>
      <x:c r="D5920" s="7" t="str">
        <x:v>material coupon</x:v>
      </x:c>
      <x:c r="E5920" s="7" t="str">
        <x:v>CPN-PEA-C-Y1-SM-8</x:v>
      </x:c>
      <x:c r="F5920" s="7" t="str">
        <x:f>'Material Coupons'!K646</x:f>
        <x:v>OPEN</x:v>
      </x:c>
    </x:row>
    <x:row r="5921">
      <x:c r="B5921" s="7" t="str">
        <x:v>AG-05915</x:v>
      </x:c>
      <x:c r="C5921" s="7" t="str">
        <x:v>PEA-C-Y1</x:v>
      </x:c>
      <x:c r="D5921" s="7" t="str">
        <x:v>NDE record</x:v>
      </x:c>
      <x:c r="E5921" s="7" t="str">
        <x:v>NDE-TRV-PEA-C-Y1-01</x:v>
      </x:c>
      <x:c r="F5921" s="7" t="str">
        <x:f>'NDE Records'!L307</x:f>
        <x:v>OPEN</x:v>
      </x:c>
    </x:row>
    <x:row r="5922">
      <x:c r="B5922" s="7" t="str">
        <x:v>AG-05916</x:v>
      </x:c>
      <x:c r="C5922" s="7" t="str">
        <x:v>PEA-C-Y1</x:v>
      </x:c>
      <x:c r="D5922" s="7" t="str">
        <x:v>NDE record</x:v>
      </x:c>
      <x:c r="E5922" s="7" t="str">
        <x:v>NDE-TRV-PEA-C-Y1-02</x:v>
      </x:c>
      <x:c r="F5922" s="7" t="str">
        <x:f>'NDE Records'!L308</x:f>
        <x:v>OPEN</x:v>
      </x:c>
    </x:row>
    <x:row r="5923">
      <x:c r="B5923" s="7" t="str">
        <x:v>AG-05917</x:v>
      </x:c>
      <x:c r="C5923" s="7" t="str">
        <x:v>PEA-C-Y1</x:v>
      </x:c>
      <x:c r="D5923" s="7" t="str">
        <x:v>NDE record</x:v>
      </x:c>
      <x:c r="E5923" s="7" t="str">
        <x:v>NDE-TRV-PEA-C-Y1-03</x:v>
      </x:c>
      <x:c r="F5923" s="7" t="str">
        <x:f>'NDE Records'!L309</x:f>
        <x:v>OPEN</x:v>
      </x:c>
    </x:row>
    <x:row r="5924">
      <x:c r="B5924" s="7" t="str">
        <x:v>AG-05918</x:v>
      </x:c>
      <x:c r="C5924" s="7" t="str">
        <x:v>PEA-C-Y1</x:v>
      </x:c>
      <x:c r="D5924" s="7" t="str">
        <x:v>NDE record</x:v>
      </x:c>
      <x:c r="E5924" s="7" t="str">
        <x:v>NDE-TRV-PEA-C-Y1-04</x:v>
      </x:c>
      <x:c r="F5924" s="7" t="str">
        <x:f>'NDE Records'!L310</x:f>
        <x:v>OPEN</x:v>
      </x:c>
    </x:row>
    <x:row r="5925">
      <x:c r="B5925" s="7" t="str">
        <x:v>AG-05919</x:v>
      </x:c>
      <x:c r="C5925" s="7" t="str">
        <x:v>PEA-C-Y1</x:v>
      </x:c>
      <x:c r="D5925" s="7" t="str">
        <x:v>NDE record</x:v>
      </x:c>
      <x:c r="E5925" s="7" t="str">
        <x:v>NDE-TRV-PEA-C-Y1-05</x:v>
      </x:c>
      <x:c r="F5925" s="7" t="str">
        <x:f>'NDE Records'!L311</x:f>
        <x:v>OPEN</x:v>
      </x:c>
    </x:row>
    <x:row r="5926">
      <x:c r="B5926" s="7" t="str">
        <x:v>AG-05920</x:v>
      </x:c>
      <x:c r="C5926" s="7" t="str">
        <x:v>PEA-C-Y1</x:v>
      </x:c>
      <x:c r="D5926" s="7" t="str">
        <x:v>NDE record</x:v>
      </x:c>
      <x:c r="E5926" s="7" t="str">
        <x:v>NDE-TRV-PEA-C-Y1-06</x:v>
      </x:c>
      <x:c r="F5926" s="7" t="str">
        <x:f>'NDE Records'!L312</x:f>
        <x:v>OPEN</x:v>
      </x:c>
    </x:row>
    <x:row r="5927">
      <x:c r="B5927" s="7" t="str">
        <x:v>AG-05921</x:v>
      </x:c>
      <x:c r="C5927" s="7" t="str">
        <x:v>PEA-C-Y1</x:v>
      </x:c>
      <x:c r="D5927" s="7" t="str">
        <x:v>NDE record</x:v>
      </x:c>
      <x:c r="E5927" s="7" t="str">
        <x:v>NDE-TRV-PEA-C-Y1-07</x:v>
      </x:c>
      <x:c r="F5927" s="7" t="str">
        <x:f>'NDE Records'!L313</x:f>
        <x:v>OPEN</x:v>
      </x:c>
    </x:row>
    <x:row r="5928">
      <x:c r="B5928" s="7" t="str">
        <x:v>AG-05922</x:v>
      </x:c>
      <x:c r="C5928" s="7" t="str">
        <x:v>PEA-C-Y1</x:v>
      </x:c>
      <x:c r="D5928" s="7" t="str">
        <x:v>NDE record</x:v>
      </x:c>
      <x:c r="E5928" s="7" t="str">
        <x:v>NDE-TRV-PEA-C-Y1-08</x:v>
      </x:c>
      <x:c r="F5928" s="7" t="str">
        <x:f>'NDE Records'!L314</x:f>
        <x:v>OPEN</x:v>
      </x:c>
    </x:row>
    <x:row r="5929">
      <x:c r="B5929" s="7" t="str">
        <x:v>AG-05923</x:v>
      </x:c>
      <x:c r="C5929" s="7" t="str">
        <x:v>PEA-C-Y1</x:v>
      </x:c>
      <x:c r="D5929" s="7" t="str">
        <x:v>NDE record</x:v>
      </x:c>
      <x:c r="E5929" s="7" t="str">
        <x:v>NDE-TRV-PEA-C-Y1-09</x:v>
      </x:c>
      <x:c r="F5929" s="7" t="str">
        <x:f>'NDE Records'!L315</x:f>
        <x:v>OPEN</x:v>
      </x:c>
    </x:row>
    <x:row r="5930">
      <x:c r="B5930" s="7" t="str">
        <x:v>AG-05924</x:v>
      </x:c>
      <x:c r="C5930" s="7" t="str">
        <x:v>PEA-C-Y1</x:v>
      </x:c>
      <x:c r="D5930" s="7" t="str">
        <x:v>NDE record</x:v>
      </x:c>
      <x:c r="E5930" s="7" t="str">
        <x:v>NDE-TRV-PEA-C-Y1-10</x:v>
      </x:c>
      <x:c r="F5930" s="7" t="str">
        <x:f>'NDE Records'!L316</x:f>
        <x:v>OPEN</x:v>
      </x:c>
    </x:row>
    <x:row r="5931">
      <x:c r="B5931" s="7" t="str">
        <x:v>AG-05925</x:v>
      </x:c>
      <x:c r="C5931" s="7" t="str">
        <x:v>PEA-C-Y1</x:v>
      </x:c>
      <x:c r="D5931" s="7" t="str">
        <x:v>NDE record</x:v>
      </x:c>
      <x:c r="E5931" s="7" t="str">
        <x:v>NDE-TRV-PEA-C-Y1-11</x:v>
      </x:c>
      <x:c r="F5931" s="7" t="str">
        <x:f>'NDE Records'!L317</x:f>
        <x:v>OPEN</x:v>
      </x:c>
    </x:row>
    <x:row r="5932">
      <x:c r="B5932" s="7" t="str">
        <x:v>AG-05926</x:v>
      </x:c>
      <x:c r="C5932" s="7" t="str">
        <x:v>PEA-C-Y1</x:v>
      </x:c>
      <x:c r="D5932" s="7" t="str">
        <x:v>NDE record</x:v>
      </x:c>
      <x:c r="E5932" s="7" t="str">
        <x:v>NDE-TRV-PEA-C-Y1-12</x:v>
      </x:c>
      <x:c r="F5932" s="7" t="str">
        <x:f>'NDE Records'!L318</x:f>
        <x:v>OPEN</x:v>
      </x:c>
    </x:row>
    <x:row r="5933">
      <x:c r="B5933" s="7" t="str">
        <x:v>AG-05927</x:v>
      </x:c>
      <x:c r="C5933" s="7" t="str">
        <x:v>PEA-C-Y1</x:v>
      </x:c>
      <x:c r="D5933" s="7" t="str">
        <x:v>NDE record</x:v>
      </x:c>
      <x:c r="E5933" s="7" t="str">
        <x:v>NDE-TRV-PEA-C-Y1-13</x:v>
      </x:c>
      <x:c r="F5933" s="7" t="str">
        <x:f>'NDE Records'!L319</x:f>
        <x:v>OPEN</x:v>
      </x:c>
    </x:row>
    <x:row r="5934">
      <x:c r="B5934" s="7" t="str">
        <x:v>AG-05928</x:v>
      </x:c>
      <x:c r="C5934" s="7" t="str">
        <x:v>PEA-C-Y1</x:v>
      </x:c>
      <x:c r="D5934" s="7" t="str">
        <x:v>NDE record</x:v>
      </x:c>
      <x:c r="E5934" s="7" t="str">
        <x:v>NDE-TRV-PEA-C-Y1-14</x:v>
      </x:c>
      <x:c r="F5934" s="7" t="str">
        <x:f>'NDE Records'!L320</x:f>
        <x:v>OPEN</x:v>
      </x:c>
    </x:row>
    <x:row r="5935">
      <x:c r="B5935" s="7" t="str">
        <x:v>AG-05929</x:v>
      </x:c>
      <x:c r="C5935" s="7" t="str">
        <x:v>PEA-C-Y1</x:v>
      </x:c>
      <x:c r="D5935" s="7" t="str">
        <x:v>NDE record</x:v>
      </x:c>
      <x:c r="E5935" s="7" t="str">
        <x:v>NDE-TRV-PEA-C-Y1-15</x:v>
      </x:c>
      <x:c r="F5935" s="7" t="str">
        <x:f>'NDE Records'!L321</x:f>
        <x:v>OPEN</x:v>
      </x:c>
    </x:row>
    <x:row r="5936">
      <x:c r="B5936" s="7" t="str">
        <x:v>AG-05930</x:v>
      </x:c>
      <x:c r="C5936" s="7" t="str">
        <x:v>PEA-C-Y1</x:v>
      </x:c>
      <x:c r="D5936" s="7" t="str">
        <x:v>NDE record</x:v>
      </x:c>
      <x:c r="E5936" s="7" t="str">
        <x:v>NDE-TRV-PEA-C-Y1-16</x:v>
      </x:c>
      <x:c r="F5936" s="7" t="str">
        <x:f>'NDE Records'!L322</x:f>
        <x:v>OPEN</x:v>
      </x:c>
    </x:row>
    <x:row r="5937">
      <x:c r="B5937" s="7" t="str">
        <x:v>AG-05931</x:v>
      </x:c>
      <x:c r="C5937" s="7" t="str">
        <x:v>PEA-C-Y1</x:v>
      </x:c>
      <x:c r="D5937" s="7" t="str">
        <x:v>NDE record</x:v>
      </x:c>
      <x:c r="E5937" s="7" t="str">
        <x:v>NDE-TRV-PEA-C-Y1-17</x:v>
      </x:c>
      <x:c r="F5937" s="7" t="str">
        <x:f>'NDE Records'!L323</x:f>
        <x:v>OPEN</x:v>
      </x:c>
    </x:row>
    <x:row r="5938">
      <x:c r="B5938" s="7" t="str">
        <x:v>AG-05932</x:v>
      </x:c>
      <x:c r="C5938" s="7" t="str">
        <x:v>PEA-C-Y1</x:v>
      </x:c>
      <x:c r="D5938" s="7" t="str">
        <x:v>NDE record</x:v>
      </x:c>
      <x:c r="E5938" s="7" t="str">
        <x:v>NDE-TRV-PEA-C-Y1-18</x:v>
      </x:c>
      <x:c r="F5938" s="7" t="str">
        <x:f>'NDE Records'!L324</x:f>
        <x:v>OPEN</x:v>
      </x:c>
    </x:row>
    <x:row r="5939">
      <x:c r="B5939" s="7" t="str">
        <x:v>AG-05933</x:v>
      </x:c>
      <x:c r="C5939" s="7" t="str">
        <x:v>PEA-C-Y1</x:v>
      </x:c>
      <x:c r="D5939" s="7" t="str">
        <x:v>NDE record</x:v>
      </x:c>
      <x:c r="E5939" s="7" t="str">
        <x:v>NDE-TRV-PEA-C-Y1-19</x:v>
      </x:c>
      <x:c r="F5939" s="7" t="str">
        <x:f>'NDE Records'!L325</x:f>
        <x:v>OPEN</x:v>
      </x:c>
    </x:row>
    <x:row r="5940">
      <x:c r="B5940" s="7" t="str">
        <x:v>AG-05934</x:v>
      </x:c>
      <x:c r="C5940" s="7" t="str">
        <x:v>PEA-C-Y1</x:v>
      </x:c>
      <x:c r="D5940" s="7" t="str">
        <x:v>NDE record</x:v>
      </x:c>
      <x:c r="E5940" s="7" t="str">
        <x:v>NDE-TRV-PEA-C-Y1-20</x:v>
      </x:c>
      <x:c r="F5940" s="7" t="str">
        <x:f>'NDE Records'!L326</x:f>
        <x:v>OPEN</x:v>
      </x:c>
    </x:row>
    <x:row r="5941">
      <x:c r="B5941" s="7" t="str">
        <x:v>AG-05935</x:v>
      </x:c>
      <x:c r="C5941" s="7" t="str">
        <x:v>PEA-C-Y1</x:v>
      </x:c>
      <x:c r="D5941" s="7" t="str">
        <x:v>joint record</x:v>
      </x:c>
      <x:c r="E5941" s="7" t="str">
        <x:v>JNT-PEA-C-Y1-1</x:v>
      </x:c>
      <x:c r="F5941" s="7" t="str">
        <x:f>'Joint Records'!M82</x:f>
        <x:v>OPEN</x:v>
      </x:c>
    </x:row>
    <x:row r="5942">
      <x:c r="B5942" s="7" t="str">
        <x:v>AG-05936</x:v>
      </x:c>
      <x:c r="C5942" s="7" t="str">
        <x:v>PEA-C-Y1</x:v>
      </x:c>
      <x:c r="D5942" s="7" t="str">
        <x:v>joint record</x:v>
      </x:c>
      <x:c r="E5942" s="7" t="str">
        <x:v>JNT-PEA-C-Y1-2</x:v>
      </x:c>
      <x:c r="F5942" s="7" t="str">
        <x:f>'Joint Records'!M83</x:f>
        <x:v>OPEN</x:v>
      </x:c>
    </x:row>
    <x:row r="5943">
      <x:c r="B5943" s="7" t="str">
        <x:v>AG-05937</x:v>
      </x:c>
      <x:c r="C5943" s="7" t="str">
        <x:v>PEA-C-Y1</x:v>
      </x:c>
      <x:c r="D5943" s="7" t="str">
        <x:v>joint record</x:v>
      </x:c>
      <x:c r="E5943" s="7" t="str">
        <x:v>JNT-PEA-C-Y1-3</x:v>
      </x:c>
      <x:c r="F5943" s="7" t="str">
        <x:f>'Joint Records'!M84</x:f>
        <x:v>OPEN</x:v>
      </x:c>
    </x:row>
    <x:row r="5944">
      <x:c r="B5944" s="7" t="str">
        <x:v>AG-05938</x:v>
      </x:c>
      <x:c r="C5944" s="7" t="str">
        <x:v>PEA-C-Y1</x:v>
      </x:c>
      <x:c r="D5944" s="7" t="str">
        <x:v>joint record</x:v>
      </x:c>
      <x:c r="E5944" s="7" t="str">
        <x:v>JNT-PEA-C-Y1-4</x:v>
      </x:c>
      <x:c r="F5944" s="7" t="str">
        <x:f>'Joint Records'!M85</x:f>
        <x:v>OPEN</x:v>
      </x:c>
    </x:row>
    <x:row r="5945">
      <x:c r="B5945" s="7" t="str">
        <x:v>AG-05939</x:v>
      </x:c>
      <x:c r="C5945" s="7" t="str">
        <x:v>PEA-C-Y1</x:v>
      </x:c>
      <x:c r="D5945" s="7" t="str">
        <x:v>joint record</x:v>
      </x:c>
      <x:c r="E5945" s="7" t="str">
        <x:v>JNT-PEA-C-Y1-5</x:v>
      </x:c>
      <x:c r="F5945" s="7" t="str">
        <x:f>'Joint Records'!M86</x:f>
        <x:v>OPEN</x:v>
      </x:c>
    </x:row>
    <x:row r="5946">
      <x:c r="B5946" s="7" t="str">
        <x:v>AG-05940</x:v>
      </x:c>
      <x:c r="C5946" s="7" t="str">
        <x:v>PEA-C-Y1</x:v>
      </x:c>
      <x:c r="D5946" s="7" t="str">
        <x:v>control element</x:v>
      </x:c>
      <x:c r="E5946" s="7" t="str">
        <x:v>ELM-PEA-C-Y1-01</x:v>
      </x:c>
      <x:c r="F5946" s="7" t="str">
        <x:f>'Control Elements'!L187</x:f>
        <x:v>OPEN</x:v>
      </x:c>
    </x:row>
    <x:row r="5947">
      <x:c r="B5947" s="7" t="str">
        <x:v>AG-05941</x:v>
      </x:c>
      <x:c r="C5947" s="7" t="str">
        <x:v>PEA-C-Y1</x:v>
      </x:c>
      <x:c r="D5947" s="7" t="str">
        <x:v>control element</x:v>
      </x:c>
      <x:c r="E5947" s="7" t="str">
        <x:v>ELM-PEA-C-Y1-02</x:v>
      </x:c>
      <x:c r="F5947" s="7" t="str">
        <x:f>'Control Elements'!L188</x:f>
        <x:v>OPEN</x:v>
      </x:c>
    </x:row>
    <x:row r="5948">
      <x:c r="B5948" s="7" t="str">
        <x:v>AG-05942</x:v>
      </x:c>
      <x:c r="C5948" s="7" t="str">
        <x:v>PEA-C-Y1</x:v>
      </x:c>
      <x:c r="D5948" s="7" t="str">
        <x:v>control element</x:v>
      </x:c>
      <x:c r="E5948" s="7" t="str">
        <x:v>ELM-PEA-C-Y1-03</x:v>
      </x:c>
      <x:c r="F5948" s="7" t="str">
        <x:f>'Control Elements'!L189</x:f>
        <x:v>OPEN</x:v>
      </x:c>
    </x:row>
    <x:row r="5949">
      <x:c r="B5949" s="7" t="str">
        <x:v>AG-05943</x:v>
      </x:c>
      <x:c r="C5949" s="7" t="str">
        <x:v>PEA-C-Y1</x:v>
      </x:c>
      <x:c r="D5949" s="7" t="str">
        <x:v>control element</x:v>
      </x:c>
      <x:c r="E5949" s="7" t="str">
        <x:v>ELM-PEA-C-Y1-04</x:v>
      </x:c>
      <x:c r="F5949" s="7" t="str">
        <x:f>'Control Elements'!L190</x:f>
        <x:v>OPEN</x:v>
      </x:c>
    </x:row>
    <x:row r="5950">
      <x:c r="B5950" s="7" t="str">
        <x:v>AG-05944</x:v>
      </x:c>
      <x:c r="C5950" s="7" t="str">
        <x:v>PEA-C-Y1</x:v>
      </x:c>
      <x:c r="D5950" s="7" t="str">
        <x:v>control element</x:v>
      </x:c>
      <x:c r="E5950" s="7" t="str">
        <x:v>ELM-PEA-C-Y1-05</x:v>
      </x:c>
      <x:c r="F5950" s="7" t="str">
        <x:f>'Control Elements'!L191</x:f>
        <x:v>OPEN</x:v>
      </x:c>
    </x:row>
    <x:row r="5951">
      <x:c r="B5951" s="7" t="str">
        <x:v>AG-05945</x:v>
      </x:c>
      <x:c r="C5951" s="7" t="str">
        <x:v>PEA-C-Y1</x:v>
      </x:c>
      <x:c r="D5951" s="7" t="str">
        <x:v>control element</x:v>
      </x:c>
      <x:c r="E5951" s="7" t="str">
        <x:v>ELM-PEA-C-Y1-06</x:v>
      </x:c>
      <x:c r="F5951" s="7" t="str">
        <x:f>'Control Elements'!L192</x:f>
        <x:v>OPEN</x:v>
      </x:c>
    </x:row>
    <x:row r="5952">
      <x:c r="B5952" s="7" t="str">
        <x:v>AG-05946</x:v>
      </x:c>
      <x:c r="C5952" s="7" t="str">
        <x:v>PEA-C-Y1</x:v>
      </x:c>
      <x:c r="D5952" s="7" t="str">
        <x:v>control element</x:v>
      </x:c>
      <x:c r="E5952" s="7" t="str">
        <x:v>ELM-PEA-C-Y1-07</x:v>
      </x:c>
      <x:c r="F5952" s="7" t="str">
        <x:f>'Control Elements'!L193</x:f>
        <x:v>OPEN</x:v>
      </x:c>
    </x:row>
    <x:row r="5953">
      <x:c r="B5953" s="7" t="str">
        <x:v>AG-05947</x:v>
      </x:c>
      <x:c r="C5953" s="7" t="str">
        <x:v>PEA-C-Y1</x:v>
      </x:c>
      <x:c r="D5953" s="7" t="str">
        <x:v>control element</x:v>
      </x:c>
      <x:c r="E5953" s="7" t="str">
        <x:v>ELM-PEA-C-Y1-08</x:v>
      </x:c>
      <x:c r="F5953" s="7" t="str">
        <x:f>'Control Elements'!L194</x:f>
        <x:v>OPEN</x:v>
      </x:c>
    </x:row>
    <x:row r="5954">
      <x:c r="B5954" s="7" t="str">
        <x:v>AG-05948</x:v>
      </x:c>
      <x:c r="C5954" s="7" t="str">
        <x:v>PEA-C-Y1</x:v>
      </x:c>
      <x:c r="D5954" s="7" t="str">
        <x:v>control element</x:v>
      </x:c>
      <x:c r="E5954" s="7" t="str">
        <x:v>ELM-PEA-C-Y1-09</x:v>
      </x:c>
      <x:c r="F5954" s="7" t="str">
        <x:f>'Control Elements'!L195</x:f>
        <x:v>OPEN</x:v>
      </x:c>
    </x:row>
    <x:row r="5955">
      <x:c r="B5955" s="7" t="str">
        <x:v>AG-05949</x:v>
      </x:c>
      <x:c r="C5955" s="7" t="str">
        <x:v>PEA-C-Y1</x:v>
      </x:c>
      <x:c r="D5955" s="7" t="str">
        <x:v>control element</x:v>
      </x:c>
      <x:c r="E5955" s="7" t="str">
        <x:v>ELM-PEA-C-Y1-10</x:v>
      </x:c>
      <x:c r="F5955" s="7" t="str">
        <x:f>'Control Elements'!L196</x:f>
        <x:v>OPEN</x:v>
      </x:c>
    </x:row>
    <x:row r="5956">
      <x:c r="B5956" s="7" t="str">
        <x:v>AG-05950</x:v>
      </x:c>
      <x:c r="C5956" s="7" t="str">
        <x:v>PEA-C-Y1</x:v>
      </x:c>
      <x:c r="D5956" s="7" t="str">
        <x:v>control element</x:v>
      </x:c>
      <x:c r="E5956" s="7" t="str">
        <x:v>ELM-PEA-C-Y1-11</x:v>
      </x:c>
      <x:c r="F5956" s="7" t="str">
        <x:f>'Control Elements'!L197</x:f>
        <x:v>OPEN</x:v>
      </x:c>
    </x:row>
    <x:row r="5957">
      <x:c r="B5957" s="7" t="str">
        <x:v>AG-05951</x:v>
      </x:c>
      <x:c r="C5957" s="7" t="str">
        <x:v>PEA-C-Y1</x:v>
      </x:c>
      <x:c r="D5957" s="7" t="str">
        <x:v>control element</x:v>
      </x:c>
      <x:c r="E5957" s="7" t="str">
        <x:v>ELM-PEA-C-Y1-12</x:v>
      </x:c>
      <x:c r="F5957" s="7" t="str">
        <x:f>'Control Elements'!L198</x:f>
        <x:v>OPEN</x:v>
      </x:c>
    </x:row>
    <x:row r="5958">
      <x:c r="B5958" s="7" t="str">
        <x:v>AG-05952</x:v>
      </x:c>
      <x:c r="C5958" s="7" t="str">
        <x:v>PEA-C-Y1</x:v>
      </x:c>
      <x:c r="D5958" s="7" t="str">
        <x:v>channel instance</x:v>
      </x:c>
      <x:c r="E5958" s="7" t="str">
        <x:v>CH-PEA-C-Y1-01-1</x:v>
      </x:c>
      <x:c r="F5958" s="7" t="str">
        <x:f>'Channel Instances'!O2167</x:f>
        <x:v>OPEN</x:v>
      </x:c>
    </x:row>
    <x:row r="5959">
      <x:c r="B5959" s="7" t="str">
        <x:v>AG-05953</x:v>
      </x:c>
      <x:c r="C5959" s="7" t="str">
        <x:v>PEA-C-Y1</x:v>
      </x:c>
      <x:c r="D5959" s="7" t="str">
        <x:v>channel instance</x:v>
      </x:c>
      <x:c r="E5959" s="7" t="str">
        <x:v>CH-PEA-C-Y1-01-2</x:v>
      </x:c>
      <x:c r="F5959" s="7" t="str">
        <x:f>'Channel Instances'!O2168</x:f>
        <x:v>OPEN</x:v>
      </x:c>
    </x:row>
    <x:row r="5960">
      <x:c r="B5960" s="7" t="str">
        <x:v>AG-05954</x:v>
      </x:c>
      <x:c r="C5960" s="7" t="str">
        <x:v>PEA-C-Y1</x:v>
      </x:c>
      <x:c r="D5960" s="7" t="str">
        <x:v>channel instance</x:v>
      </x:c>
      <x:c r="E5960" s="7" t="str">
        <x:v>CH-PEA-C-Y1-01-3</x:v>
      </x:c>
      <x:c r="F5960" s="7" t="str">
        <x:f>'Channel Instances'!O2169</x:f>
        <x:v>OPEN</x:v>
      </x:c>
    </x:row>
    <x:row r="5961">
      <x:c r="B5961" s="7" t="str">
        <x:v>AG-05955</x:v>
      </x:c>
      <x:c r="C5961" s="7" t="str">
        <x:v>PEA-C-Y1</x:v>
      </x:c>
      <x:c r="D5961" s="7" t="str">
        <x:v>channel instance</x:v>
      </x:c>
      <x:c r="E5961" s="7" t="str">
        <x:v>CH-PEA-C-Y1-01-4</x:v>
      </x:c>
      <x:c r="F5961" s="7" t="str">
        <x:f>'Channel Instances'!O2170</x:f>
        <x:v>OPEN</x:v>
      </x:c>
    </x:row>
    <x:row r="5962">
      <x:c r="B5962" s="7" t="str">
        <x:v>AG-05956</x:v>
      </x:c>
      <x:c r="C5962" s="7" t="str">
        <x:v>PEA-C-Y1</x:v>
      </x:c>
      <x:c r="D5962" s="7" t="str">
        <x:v>channel instance</x:v>
      </x:c>
      <x:c r="E5962" s="7" t="str">
        <x:v>CH-PEA-C-Y1-01-5</x:v>
      </x:c>
      <x:c r="F5962" s="7" t="str">
        <x:f>'Channel Instances'!O2171</x:f>
        <x:v>OPEN</x:v>
      </x:c>
    </x:row>
    <x:row r="5963">
      <x:c r="B5963" s="7" t="str">
        <x:v>AG-05957</x:v>
      </x:c>
      <x:c r="C5963" s="7" t="str">
        <x:v>PEA-C-Y1</x:v>
      </x:c>
      <x:c r="D5963" s="7" t="str">
        <x:v>channel instance</x:v>
      </x:c>
      <x:c r="E5963" s="7" t="str">
        <x:v>CH-PEA-C-Y1-01-6</x:v>
      </x:c>
      <x:c r="F5963" s="7" t="str">
        <x:f>'Channel Instances'!O2172</x:f>
        <x:v>OPEN</x:v>
      </x:c>
    </x:row>
    <x:row r="5964">
      <x:c r="B5964" s="7" t="str">
        <x:v>AG-05958</x:v>
      </x:c>
      <x:c r="C5964" s="7" t="str">
        <x:v>PEA-C-Y1</x:v>
      </x:c>
      <x:c r="D5964" s="7" t="str">
        <x:v>channel instance</x:v>
      </x:c>
      <x:c r="E5964" s="7" t="str">
        <x:v>CH-PEA-C-Y1-02-1</x:v>
      </x:c>
      <x:c r="F5964" s="7" t="str">
        <x:f>'Channel Instances'!O2173</x:f>
        <x:v>OPEN</x:v>
      </x:c>
    </x:row>
    <x:row r="5965">
      <x:c r="B5965" s="7" t="str">
        <x:v>AG-05959</x:v>
      </x:c>
      <x:c r="C5965" s="7" t="str">
        <x:v>PEA-C-Y1</x:v>
      </x:c>
      <x:c r="D5965" s="7" t="str">
        <x:v>channel instance</x:v>
      </x:c>
      <x:c r="E5965" s="7" t="str">
        <x:v>CH-PEA-C-Y1-02-2</x:v>
      </x:c>
      <x:c r="F5965" s="7" t="str">
        <x:f>'Channel Instances'!O2174</x:f>
        <x:v>OPEN</x:v>
      </x:c>
    </x:row>
    <x:row r="5966">
      <x:c r="B5966" s="7" t="str">
        <x:v>AG-05960</x:v>
      </x:c>
      <x:c r="C5966" s="7" t="str">
        <x:v>PEA-C-Y1</x:v>
      </x:c>
      <x:c r="D5966" s="7" t="str">
        <x:v>channel instance</x:v>
      </x:c>
      <x:c r="E5966" s="7" t="str">
        <x:v>CH-PEA-C-Y1-02-3</x:v>
      </x:c>
      <x:c r="F5966" s="7" t="str">
        <x:f>'Channel Instances'!O2175</x:f>
        <x:v>OPEN</x:v>
      </x:c>
    </x:row>
    <x:row r="5967">
      <x:c r="B5967" s="7" t="str">
        <x:v>AG-05961</x:v>
      </x:c>
      <x:c r="C5967" s="7" t="str">
        <x:v>PEA-C-Y1</x:v>
      </x:c>
      <x:c r="D5967" s="7" t="str">
        <x:v>channel instance</x:v>
      </x:c>
      <x:c r="E5967" s="7" t="str">
        <x:v>CH-PEA-C-Y1-02-4</x:v>
      </x:c>
      <x:c r="F5967" s="7" t="str">
        <x:f>'Channel Instances'!O2176</x:f>
        <x:v>OPEN</x:v>
      </x:c>
    </x:row>
    <x:row r="5968">
      <x:c r="B5968" s="7" t="str">
        <x:v>AG-05962</x:v>
      </x:c>
      <x:c r="C5968" s="7" t="str">
        <x:v>PEA-C-Y1</x:v>
      </x:c>
      <x:c r="D5968" s="7" t="str">
        <x:v>channel instance</x:v>
      </x:c>
      <x:c r="E5968" s="7" t="str">
        <x:v>CH-PEA-C-Y1-02-5</x:v>
      </x:c>
      <x:c r="F5968" s="7" t="str">
        <x:f>'Channel Instances'!O2177</x:f>
        <x:v>OPEN</x:v>
      </x:c>
    </x:row>
    <x:row r="5969">
      <x:c r="B5969" s="7" t="str">
        <x:v>AG-05963</x:v>
      </x:c>
      <x:c r="C5969" s="7" t="str">
        <x:v>PEA-C-Y1</x:v>
      </x:c>
      <x:c r="D5969" s="7" t="str">
        <x:v>channel instance</x:v>
      </x:c>
      <x:c r="E5969" s="7" t="str">
        <x:v>CH-PEA-C-Y1-02-6</x:v>
      </x:c>
      <x:c r="F5969" s="7" t="str">
        <x:f>'Channel Instances'!O2178</x:f>
        <x:v>OPEN</x:v>
      </x:c>
    </x:row>
    <x:row r="5970">
      <x:c r="B5970" s="7" t="str">
        <x:v>AG-05964</x:v>
      </x:c>
      <x:c r="C5970" s="7" t="str">
        <x:v>PEA-C-Y1</x:v>
      </x:c>
      <x:c r="D5970" s="7" t="str">
        <x:v>channel instance</x:v>
      </x:c>
      <x:c r="E5970" s="7" t="str">
        <x:v>CH-PEA-C-Y1-03-1</x:v>
      </x:c>
      <x:c r="F5970" s="7" t="str">
        <x:f>'Channel Instances'!O2179</x:f>
        <x:v>OPEN</x:v>
      </x:c>
    </x:row>
    <x:row r="5971">
      <x:c r="B5971" s="7" t="str">
        <x:v>AG-05965</x:v>
      </x:c>
      <x:c r="C5971" s="7" t="str">
        <x:v>PEA-C-Y1</x:v>
      </x:c>
      <x:c r="D5971" s="7" t="str">
        <x:v>channel instance</x:v>
      </x:c>
      <x:c r="E5971" s="7" t="str">
        <x:v>CH-PEA-C-Y1-03-2</x:v>
      </x:c>
      <x:c r="F5971" s="7" t="str">
        <x:f>'Channel Instances'!O2180</x:f>
        <x:v>OPEN</x:v>
      </x:c>
    </x:row>
    <x:row r="5972">
      <x:c r="B5972" s="7" t="str">
        <x:v>AG-05966</x:v>
      </x:c>
      <x:c r="C5972" s="7" t="str">
        <x:v>PEA-C-Y1</x:v>
      </x:c>
      <x:c r="D5972" s="7" t="str">
        <x:v>channel instance</x:v>
      </x:c>
      <x:c r="E5972" s="7" t="str">
        <x:v>CH-PEA-C-Y1-03-3</x:v>
      </x:c>
      <x:c r="F5972" s="7" t="str">
        <x:f>'Channel Instances'!O2181</x:f>
        <x:v>OPEN</x:v>
      </x:c>
    </x:row>
    <x:row r="5973">
      <x:c r="B5973" s="7" t="str">
        <x:v>AG-05967</x:v>
      </x:c>
      <x:c r="C5973" s="7" t="str">
        <x:v>PEA-C-Y1</x:v>
      </x:c>
      <x:c r="D5973" s="7" t="str">
        <x:v>channel instance</x:v>
      </x:c>
      <x:c r="E5973" s="7" t="str">
        <x:v>CH-PEA-C-Y1-03-4</x:v>
      </x:c>
      <x:c r="F5973" s="7" t="str">
        <x:f>'Channel Instances'!O2182</x:f>
        <x:v>OPEN</x:v>
      </x:c>
    </x:row>
    <x:row r="5974">
      <x:c r="B5974" s="7" t="str">
        <x:v>AG-05968</x:v>
      </x:c>
      <x:c r="C5974" s="7" t="str">
        <x:v>PEA-C-Y1</x:v>
      </x:c>
      <x:c r="D5974" s="7" t="str">
        <x:v>channel instance</x:v>
      </x:c>
      <x:c r="E5974" s="7" t="str">
        <x:v>CH-PEA-C-Y1-03-5</x:v>
      </x:c>
      <x:c r="F5974" s="7" t="str">
        <x:f>'Channel Instances'!O2183</x:f>
        <x:v>OPEN</x:v>
      </x:c>
    </x:row>
    <x:row r="5975">
      <x:c r="B5975" s="7" t="str">
        <x:v>AG-05969</x:v>
      </x:c>
      <x:c r="C5975" s="7" t="str">
        <x:v>PEA-C-Y1</x:v>
      </x:c>
      <x:c r="D5975" s="7" t="str">
        <x:v>channel instance</x:v>
      </x:c>
      <x:c r="E5975" s="7" t="str">
        <x:v>CH-PEA-C-Y1-03-6</x:v>
      </x:c>
      <x:c r="F5975" s="7" t="str">
        <x:f>'Channel Instances'!O2184</x:f>
        <x:v>OPEN</x:v>
      </x:c>
    </x:row>
    <x:row r="5976">
      <x:c r="B5976" s="7" t="str">
        <x:v>AG-05970</x:v>
      </x:c>
      <x:c r="C5976" s="7" t="str">
        <x:v>PEA-C-Y1</x:v>
      </x:c>
      <x:c r="D5976" s="7" t="str">
        <x:v>channel instance</x:v>
      </x:c>
      <x:c r="E5976" s="7" t="str">
        <x:v>CH-PEA-C-Y1-04-1</x:v>
      </x:c>
      <x:c r="F5976" s="7" t="str">
        <x:f>'Channel Instances'!O2185</x:f>
        <x:v>OPEN</x:v>
      </x:c>
    </x:row>
    <x:row r="5977">
      <x:c r="B5977" s="7" t="str">
        <x:v>AG-05971</x:v>
      </x:c>
      <x:c r="C5977" s="7" t="str">
        <x:v>PEA-C-Y1</x:v>
      </x:c>
      <x:c r="D5977" s="7" t="str">
        <x:v>channel instance</x:v>
      </x:c>
      <x:c r="E5977" s="7" t="str">
        <x:v>CH-PEA-C-Y1-04-2</x:v>
      </x:c>
      <x:c r="F5977" s="7" t="str">
        <x:f>'Channel Instances'!O2186</x:f>
        <x:v>OPEN</x:v>
      </x:c>
    </x:row>
    <x:row r="5978">
      <x:c r="B5978" s="7" t="str">
        <x:v>AG-05972</x:v>
      </x:c>
      <x:c r="C5978" s="7" t="str">
        <x:v>PEA-C-Y1</x:v>
      </x:c>
      <x:c r="D5978" s="7" t="str">
        <x:v>channel instance</x:v>
      </x:c>
      <x:c r="E5978" s="7" t="str">
        <x:v>CH-PEA-C-Y1-04-3</x:v>
      </x:c>
      <x:c r="F5978" s="7" t="str">
        <x:f>'Channel Instances'!O2187</x:f>
        <x:v>OPEN</x:v>
      </x:c>
    </x:row>
    <x:row r="5979">
      <x:c r="B5979" s="7" t="str">
        <x:v>AG-05973</x:v>
      </x:c>
      <x:c r="C5979" s="7" t="str">
        <x:v>PEA-C-Y1</x:v>
      </x:c>
      <x:c r="D5979" s="7" t="str">
        <x:v>channel instance</x:v>
      </x:c>
      <x:c r="E5979" s="7" t="str">
        <x:v>CH-PEA-C-Y1-04-4</x:v>
      </x:c>
      <x:c r="F5979" s="7" t="str">
        <x:f>'Channel Instances'!O2188</x:f>
        <x:v>OPEN</x:v>
      </x:c>
    </x:row>
    <x:row r="5980">
      <x:c r="B5980" s="7" t="str">
        <x:v>AG-05974</x:v>
      </x:c>
      <x:c r="C5980" s="7" t="str">
        <x:v>PEA-C-Y1</x:v>
      </x:c>
      <x:c r="D5980" s="7" t="str">
        <x:v>channel instance</x:v>
      </x:c>
      <x:c r="E5980" s="7" t="str">
        <x:v>CH-PEA-C-Y1-04-5</x:v>
      </x:c>
      <x:c r="F5980" s="7" t="str">
        <x:f>'Channel Instances'!O2189</x:f>
        <x:v>OPEN</x:v>
      </x:c>
    </x:row>
    <x:row r="5981">
      <x:c r="B5981" s="7" t="str">
        <x:v>AG-05975</x:v>
      </x:c>
      <x:c r="C5981" s="7" t="str">
        <x:v>PEA-C-Y1</x:v>
      </x:c>
      <x:c r="D5981" s="7" t="str">
        <x:v>channel instance</x:v>
      </x:c>
      <x:c r="E5981" s="7" t="str">
        <x:v>CH-PEA-C-Y1-04-6</x:v>
      </x:c>
      <x:c r="F5981" s="7" t="str">
        <x:f>'Channel Instances'!O2190</x:f>
        <x:v>OPEN</x:v>
      </x:c>
    </x:row>
    <x:row r="5982">
      <x:c r="B5982" s="7" t="str">
        <x:v>AG-05976</x:v>
      </x:c>
      <x:c r="C5982" s="7" t="str">
        <x:v>PEA-C-Y1</x:v>
      </x:c>
      <x:c r="D5982" s="7" t="str">
        <x:v>channel instance</x:v>
      </x:c>
      <x:c r="E5982" s="7" t="str">
        <x:v>CH-PEA-C-Y1-05-1</x:v>
      </x:c>
      <x:c r="F5982" s="7" t="str">
        <x:f>'Channel Instances'!O2191</x:f>
        <x:v>OPEN</x:v>
      </x:c>
    </x:row>
    <x:row r="5983">
      <x:c r="B5983" s="7" t="str">
        <x:v>AG-05977</x:v>
      </x:c>
      <x:c r="C5983" s="7" t="str">
        <x:v>PEA-C-Y1</x:v>
      </x:c>
      <x:c r="D5983" s="7" t="str">
        <x:v>channel instance</x:v>
      </x:c>
      <x:c r="E5983" s="7" t="str">
        <x:v>CH-PEA-C-Y1-05-2</x:v>
      </x:c>
      <x:c r="F5983" s="7" t="str">
        <x:f>'Channel Instances'!O2192</x:f>
        <x:v>OPEN</x:v>
      </x:c>
    </x:row>
    <x:row r="5984">
      <x:c r="B5984" s="7" t="str">
        <x:v>AG-05978</x:v>
      </x:c>
      <x:c r="C5984" s="7" t="str">
        <x:v>PEA-C-Y1</x:v>
      </x:c>
      <x:c r="D5984" s="7" t="str">
        <x:v>channel instance</x:v>
      </x:c>
      <x:c r="E5984" s="7" t="str">
        <x:v>CH-PEA-C-Y1-05-3</x:v>
      </x:c>
      <x:c r="F5984" s="7" t="str">
        <x:f>'Channel Instances'!O2193</x:f>
        <x:v>OPEN</x:v>
      </x:c>
    </x:row>
    <x:row r="5985">
      <x:c r="B5985" s="7" t="str">
        <x:v>AG-05979</x:v>
      </x:c>
      <x:c r="C5985" s="7" t="str">
        <x:v>PEA-C-Y1</x:v>
      </x:c>
      <x:c r="D5985" s="7" t="str">
        <x:v>channel instance</x:v>
      </x:c>
      <x:c r="E5985" s="7" t="str">
        <x:v>CH-PEA-C-Y1-05-4</x:v>
      </x:c>
      <x:c r="F5985" s="7" t="str">
        <x:f>'Channel Instances'!O2194</x:f>
        <x:v>OPEN</x:v>
      </x:c>
    </x:row>
    <x:row r="5986">
      <x:c r="B5986" s="7" t="str">
        <x:v>AG-05980</x:v>
      </x:c>
      <x:c r="C5986" s="7" t="str">
        <x:v>PEA-C-Y1</x:v>
      </x:c>
      <x:c r="D5986" s="7" t="str">
        <x:v>channel instance</x:v>
      </x:c>
      <x:c r="E5986" s="7" t="str">
        <x:v>CH-PEA-C-Y1-05-5</x:v>
      </x:c>
      <x:c r="F5986" s="7" t="str">
        <x:f>'Channel Instances'!O2195</x:f>
        <x:v>OPEN</x:v>
      </x:c>
    </x:row>
    <x:row r="5987">
      <x:c r="B5987" s="7" t="str">
        <x:v>AG-05981</x:v>
      </x:c>
      <x:c r="C5987" s="7" t="str">
        <x:v>PEA-C-Y1</x:v>
      </x:c>
      <x:c r="D5987" s="7" t="str">
        <x:v>channel instance</x:v>
      </x:c>
      <x:c r="E5987" s="7" t="str">
        <x:v>CH-PEA-C-Y1-05-6</x:v>
      </x:c>
      <x:c r="F5987" s="7" t="str">
        <x:f>'Channel Instances'!O2196</x:f>
        <x:v>OPEN</x:v>
      </x:c>
    </x:row>
    <x:row r="5988">
      <x:c r="B5988" s="7" t="str">
        <x:v>AG-05982</x:v>
      </x:c>
      <x:c r="C5988" s="7" t="str">
        <x:v>PEA-C-Y1</x:v>
      </x:c>
      <x:c r="D5988" s="7" t="str">
        <x:v>channel instance</x:v>
      </x:c>
      <x:c r="E5988" s="7" t="str">
        <x:v>CH-PEA-C-Y1-06-1</x:v>
      </x:c>
      <x:c r="F5988" s="7" t="str">
        <x:f>'Channel Instances'!O2197</x:f>
        <x:v>OPEN</x:v>
      </x:c>
    </x:row>
    <x:row r="5989">
      <x:c r="B5989" s="7" t="str">
        <x:v>AG-05983</x:v>
      </x:c>
      <x:c r="C5989" s="7" t="str">
        <x:v>PEA-C-Y1</x:v>
      </x:c>
      <x:c r="D5989" s="7" t="str">
        <x:v>channel instance</x:v>
      </x:c>
      <x:c r="E5989" s="7" t="str">
        <x:v>CH-PEA-C-Y1-06-2</x:v>
      </x:c>
      <x:c r="F5989" s="7" t="str">
        <x:f>'Channel Instances'!O2198</x:f>
        <x:v>OPEN</x:v>
      </x:c>
    </x:row>
    <x:row r="5990">
      <x:c r="B5990" s="7" t="str">
        <x:v>AG-05984</x:v>
      </x:c>
      <x:c r="C5990" s="7" t="str">
        <x:v>PEA-C-Y1</x:v>
      </x:c>
      <x:c r="D5990" s="7" t="str">
        <x:v>channel instance</x:v>
      </x:c>
      <x:c r="E5990" s="7" t="str">
        <x:v>CH-PEA-C-Y1-06-3</x:v>
      </x:c>
      <x:c r="F5990" s="7" t="str">
        <x:f>'Channel Instances'!O2199</x:f>
        <x:v>OPEN</x:v>
      </x:c>
    </x:row>
    <x:row r="5991">
      <x:c r="B5991" s="7" t="str">
        <x:v>AG-05985</x:v>
      </x:c>
      <x:c r="C5991" s="7" t="str">
        <x:v>PEA-C-Y1</x:v>
      </x:c>
      <x:c r="D5991" s="7" t="str">
        <x:v>channel instance</x:v>
      </x:c>
      <x:c r="E5991" s="7" t="str">
        <x:v>CH-PEA-C-Y1-06-4</x:v>
      </x:c>
      <x:c r="F5991" s="7" t="str">
        <x:f>'Channel Instances'!O2200</x:f>
        <x:v>OPEN</x:v>
      </x:c>
    </x:row>
    <x:row r="5992">
      <x:c r="B5992" s="7" t="str">
        <x:v>AG-05986</x:v>
      </x:c>
      <x:c r="C5992" s="7" t="str">
        <x:v>PEA-C-Y1</x:v>
      </x:c>
      <x:c r="D5992" s="7" t="str">
        <x:v>channel instance</x:v>
      </x:c>
      <x:c r="E5992" s="7" t="str">
        <x:v>CH-PEA-C-Y1-06-5</x:v>
      </x:c>
      <x:c r="F5992" s="7" t="str">
        <x:f>'Channel Instances'!O2201</x:f>
        <x:v>OPEN</x:v>
      </x:c>
    </x:row>
    <x:row r="5993">
      <x:c r="B5993" s="7" t="str">
        <x:v>AG-05987</x:v>
      </x:c>
      <x:c r="C5993" s="7" t="str">
        <x:v>PEA-C-Y1</x:v>
      </x:c>
      <x:c r="D5993" s="7" t="str">
        <x:v>channel instance</x:v>
      </x:c>
      <x:c r="E5993" s="7" t="str">
        <x:v>CH-PEA-C-Y1-06-6</x:v>
      </x:c>
      <x:c r="F5993" s="7" t="str">
        <x:f>'Channel Instances'!O2202</x:f>
        <x:v>OPEN</x:v>
      </x:c>
    </x:row>
    <x:row r="5994">
      <x:c r="B5994" s="7" t="str">
        <x:v>AG-05988</x:v>
      </x:c>
      <x:c r="C5994" s="7" t="str">
        <x:v>PEA-C-Y1</x:v>
      </x:c>
      <x:c r="D5994" s="7" t="str">
        <x:v>channel instance</x:v>
      </x:c>
      <x:c r="E5994" s="7" t="str">
        <x:v>CH-PEA-C-Y1-07-1</x:v>
      </x:c>
      <x:c r="F5994" s="7" t="str">
        <x:f>'Channel Instances'!O2203</x:f>
        <x:v>OPEN</x:v>
      </x:c>
    </x:row>
    <x:row r="5995">
      <x:c r="B5995" s="7" t="str">
        <x:v>AG-05989</x:v>
      </x:c>
      <x:c r="C5995" s="7" t="str">
        <x:v>PEA-C-Y1</x:v>
      </x:c>
      <x:c r="D5995" s="7" t="str">
        <x:v>channel instance</x:v>
      </x:c>
      <x:c r="E5995" s="7" t="str">
        <x:v>CH-PEA-C-Y1-07-2</x:v>
      </x:c>
      <x:c r="F5995" s="7" t="str">
        <x:f>'Channel Instances'!O2204</x:f>
        <x:v>OPEN</x:v>
      </x:c>
    </x:row>
    <x:row r="5996">
      <x:c r="B5996" s="7" t="str">
        <x:v>AG-05990</x:v>
      </x:c>
      <x:c r="C5996" s="7" t="str">
        <x:v>PEA-C-Y1</x:v>
      </x:c>
      <x:c r="D5996" s="7" t="str">
        <x:v>channel instance</x:v>
      </x:c>
      <x:c r="E5996" s="7" t="str">
        <x:v>CH-PEA-C-Y1-07-3</x:v>
      </x:c>
      <x:c r="F5996" s="7" t="str">
        <x:f>'Channel Instances'!O2205</x:f>
        <x:v>OPEN</x:v>
      </x:c>
    </x:row>
    <x:row r="5997">
      <x:c r="B5997" s="7" t="str">
        <x:v>AG-05991</x:v>
      </x:c>
      <x:c r="C5997" s="7" t="str">
        <x:v>PEA-C-Y1</x:v>
      </x:c>
      <x:c r="D5997" s="7" t="str">
        <x:v>channel instance</x:v>
      </x:c>
      <x:c r="E5997" s="7" t="str">
        <x:v>CH-PEA-C-Y1-07-4</x:v>
      </x:c>
      <x:c r="F5997" s="7" t="str">
        <x:f>'Channel Instances'!O2206</x:f>
        <x:v>OPEN</x:v>
      </x:c>
    </x:row>
    <x:row r="5998">
      <x:c r="B5998" s="7" t="str">
        <x:v>AG-05992</x:v>
      </x:c>
      <x:c r="C5998" s="7" t="str">
        <x:v>PEA-C-Y1</x:v>
      </x:c>
      <x:c r="D5998" s="7" t="str">
        <x:v>channel instance</x:v>
      </x:c>
      <x:c r="E5998" s="7" t="str">
        <x:v>CH-PEA-C-Y1-07-5</x:v>
      </x:c>
      <x:c r="F5998" s="7" t="str">
        <x:f>'Channel Instances'!O2207</x:f>
        <x:v>OPEN</x:v>
      </x:c>
    </x:row>
    <x:row r="5999">
      <x:c r="B5999" s="7" t="str">
        <x:v>AG-05993</x:v>
      </x:c>
      <x:c r="C5999" s="7" t="str">
        <x:v>PEA-C-Y1</x:v>
      </x:c>
      <x:c r="D5999" s="7" t="str">
        <x:v>channel instance</x:v>
      </x:c>
      <x:c r="E5999" s="7" t="str">
        <x:v>CH-PEA-C-Y1-07-6</x:v>
      </x:c>
      <x:c r="F5999" s="7" t="str">
        <x:f>'Channel Instances'!O2208</x:f>
        <x:v>OPEN</x:v>
      </x:c>
    </x:row>
    <x:row r="6000">
      <x:c r="B6000" s="7" t="str">
        <x:v>AG-05994</x:v>
      </x:c>
      <x:c r="C6000" s="7" t="str">
        <x:v>PEA-C-Y1</x:v>
      </x:c>
      <x:c r="D6000" s="7" t="str">
        <x:v>channel instance</x:v>
      </x:c>
      <x:c r="E6000" s="7" t="str">
        <x:v>CH-PEA-C-Y1-08-1</x:v>
      </x:c>
      <x:c r="F6000" s="7" t="str">
        <x:f>'Channel Instances'!O2209</x:f>
        <x:v>OPEN</x:v>
      </x:c>
    </x:row>
    <x:row r="6001">
      <x:c r="B6001" s="7" t="str">
        <x:v>AG-05995</x:v>
      </x:c>
      <x:c r="C6001" s="7" t="str">
        <x:v>PEA-C-Y1</x:v>
      </x:c>
      <x:c r="D6001" s="7" t="str">
        <x:v>channel instance</x:v>
      </x:c>
      <x:c r="E6001" s="7" t="str">
        <x:v>CH-PEA-C-Y1-08-2</x:v>
      </x:c>
      <x:c r="F6001" s="7" t="str">
        <x:f>'Channel Instances'!O2210</x:f>
        <x:v>OPEN</x:v>
      </x:c>
    </x:row>
    <x:row r="6002">
      <x:c r="B6002" s="7" t="str">
        <x:v>AG-05996</x:v>
      </x:c>
      <x:c r="C6002" s="7" t="str">
        <x:v>PEA-C-Y1</x:v>
      </x:c>
      <x:c r="D6002" s="7" t="str">
        <x:v>channel instance</x:v>
      </x:c>
      <x:c r="E6002" s="7" t="str">
        <x:v>CH-PEA-C-Y1-08-3</x:v>
      </x:c>
      <x:c r="F6002" s="7" t="str">
        <x:f>'Channel Instances'!O2211</x:f>
        <x:v>OPEN</x:v>
      </x:c>
    </x:row>
    <x:row r="6003">
      <x:c r="B6003" s="7" t="str">
        <x:v>AG-05997</x:v>
      </x:c>
      <x:c r="C6003" s="7" t="str">
        <x:v>PEA-C-Y1</x:v>
      </x:c>
      <x:c r="D6003" s="7" t="str">
        <x:v>channel instance</x:v>
      </x:c>
      <x:c r="E6003" s="7" t="str">
        <x:v>CH-PEA-C-Y1-08-4</x:v>
      </x:c>
      <x:c r="F6003" s="7" t="str">
        <x:f>'Channel Instances'!O2212</x:f>
        <x:v>OPEN</x:v>
      </x:c>
    </x:row>
    <x:row r="6004">
      <x:c r="B6004" s="7" t="str">
        <x:v>AG-05998</x:v>
      </x:c>
      <x:c r="C6004" s="7" t="str">
        <x:v>PEA-C-Y1</x:v>
      </x:c>
      <x:c r="D6004" s="7" t="str">
        <x:v>channel instance</x:v>
      </x:c>
      <x:c r="E6004" s="7" t="str">
        <x:v>CH-PEA-C-Y1-08-5</x:v>
      </x:c>
      <x:c r="F6004" s="7" t="str">
        <x:f>'Channel Instances'!O2213</x:f>
        <x:v>OPEN</x:v>
      </x:c>
    </x:row>
    <x:row r="6005">
      <x:c r="B6005" s="7" t="str">
        <x:v>AG-05999</x:v>
      </x:c>
      <x:c r="C6005" s="7" t="str">
        <x:v>PEA-C-Y1</x:v>
      </x:c>
      <x:c r="D6005" s="7" t="str">
        <x:v>channel instance</x:v>
      </x:c>
      <x:c r="E6005" s="7" t="str">
        <x:v>CH-PEA-C-Y1-08-6</x:v>
      </x:c>
      <x:c r="F6005" s="7" t="str">
        <x:f>'Channel Instances'!O2214</x:f>
        <x:v>OPEN</x:v>
      </x:c>
    </x:row>
    <x:row r="6006">
      <x:c r="B6006" s="7" t="str">
        <x:v>AG-06000</x:v>
      </x:c>
      <x:c r="C6006" s="7" t="str">
        <x:v>PEA-C-Y1</x:v>
      </x:c>
      <x:c r="D6006" s="7" t="str">
        <x:v>channel instance</x:v>
      </x:c>
      <x:c r="E6006" s="7" t="str">
        <x:v>CH-PEA-C-Y1-09-1</x:v>
      </x:c>
      <x:c r="F6006" s="7" t="str">
        <x:f>'Channel Instances'!O2215</x:f>
        <x:v>OPEN</x:v>
      </x:c>
    </x:row>
    <x:row r="6007">
      <x:c r="B6007" s="7" t="str">
        <x:v>AG-06001</x:v>
      </x:c>
      <x:c r="C6007" s="7" t="str">
        <x:v>PEA-C-Y1</x:v>
      </x:c>
      <x:c r="D6007" s="7" t="str">
        <x:v>channel instance</x:v>
      </x:c>
      <x:c r="E6007" s="7" t="str">
        <x:v>CH-PEA-C-Y1-09-2</x:v>
      </x:c>
      <x:c r="F6007" s="7" t="str">
        <x:f>'Channel Instances'!O2216</x:f>
        <x:v>OPEN</x:v>
      </x:c>
    </x:row>
    <x:row r="6008">
      <x:c r="B6008" s="7" t="str">
        <x:v>AG-06002</x:v>
      </x:c>
      <x:c r="C6008" s="7" t="str">
        <x:v>PEA-C-Y1</x:v>
      </x:c>
      <x:c r="D6008" s="7" t="str">
        <x:v>channel instance</x:v>
      </x:c>
      <x:c r="E6008" s="7" t="str">
        <x:v>CH-PEA-C-Y1-09-3</x:v>
      </x:c>
      <x:c r="F6008" s="7" t="str">
        <x:f>'Channel Instances'!O2217</x:f>
        <x:v>OPEN</x:v>
      </x:c>
    </x:row>
    <x:row r="6009">
      <x:c r="B6009" s="7" t="str">
        <x:v>AG-06003</x:v>
      </x:c>
      <x:c r="C6009" s="7" t="str">
        <x:v>PEA-C-Y1</x:v>
      </x:c>
      <x:c r="D6009" s="7" t="str">
        <x:v>channel instance</x:v>
      </x:c>
      <x:c r="E6009" s="7" t="str">
        <x:v>CH-PEA-C-Y1-09-4</x:v>
      </x:c>
      <x:c r="F6009" s="7" t="str">
        <x:f>'Channel Instances'!O2218</x:f>
        <x:v>OPEN</x:v>
      </x:c>
    </x:row>
    <x:row r="6010">
      <x:c r="B6010" s="7" t="str">
        <x:v>AG-06004</x:v>
      </x:c>
      <x:c r="C6010" s="7" t="str">
        <x:v>PEA-C-Y1</x:v>
      </x:c>
      <x:c r="D6010" s="7" t="str">
        <x:v>channel instance</x:v>
      </x:c>
      <x:c r="E6010" s="7" t="str">
        <x:v>CH-PEA-C-Y1-09-5</x:v>
      </x:c>
      <x:c r="F6010" s="7" t="str">
        <x:f>'Channel Instances'!O2219</x:f>
        <x:v>OPEN</x:v>
      </x:c>
    </x:row>
    <x:row r="6011">
      <x:c r="B6011" s="7" t="str">
        <x:v>AG-06005</x:v>
      </x:c>
      <x:c r="C6011" s="7" t="str">
        <x:v>PEA-C-Y1</x:v>
      </x:c>
      <x:c r="D6011" s="7" t="str">
        <x:v>channel instance</x:v>
      </x:c>
      <x:c r="E6011" s="7" t="str">
        <x:v>CH-PEA-C-Y1-09-6</x:v>
      </x:c>
      <x:c r="F6011" s="7" t="str">
        <x:f>'Channel Instances'!O2220</x:f>
        <x:v>OPEN</x:v>
      </x:c>
    </x:row>
    <x:row r="6012">
      <x:c r="B6012" s="7" t="str">
        <x:v>AG-06006</x:v>
      </x:c>
      <x:c r="C6012" s="7" t="str">
        <x:v>PEA-C-Y1</x:v>
      </x:c>
      <x:c r="D6012" s="7" t="str">
        <x:v>channel instance</x:v>
      </x:c>
      <x:c r="E6012" s="7" t="str">
        <x:v>CH-PEA-C-Y1-10-1</x:v>
      </x:c>
      <x:c r="F6012" s="7" t="str">
        <x:f>'Channel Instances'!O2221</x:f>
        <x:v>OPEN</x:v>
      </x:c>
    </x:row>
    <x:row r="6013">
      <x:c r="B6013" s="7" t="str">
        <x:v>AG-06007</x:v>
      </x:c>
      <x:c r="C6013" s="7" t="str">
        <x:v>PEA-C-Y1</x:v>
      </x:c>
      <x:c r="D6013" s="7" t="str">
        <x:v>channel instance</x:v>
      </x:c>
      <x:c r="E6013" s="7" t="str">
        <x:v>CH-PEA-C-Y1-10-2</x:v>
      </x:c>
      <x:c r="F6013" s="7" t="str">
        <x:f>'Channel Instances'!O2222</x:f>
        <x:v>OPEN</x:v>
      </x:c>
    </x:row>
    <x:row r="6014">
      <x:c r="B6014" s="7" t="str">
        <x:v>AG-06008</x:v>
      </x:c>
      <x:c r="C6014" s="7" t="str">
        <x:v>PEA-C-Y1</x:v>
      </x:c>
      <x:c r="D6014" s="7" t="str">
        <x:v>channel instance</x:v>
      </x:c>
      <x:c r="E6014" s="7" t="str">
        <x:v>CH-PEA-C-Y1-10-3</x:v>
      </x:c>
      <x:c r="F6014" s="7" t="str">
        <x:f>'Channel Instances'!O2223</x:f>
        <x:v>OPEN</x:v>
      </x:c>
    </x:row>
    <x:row r="6015">
      <x:c r="B6015" s="7" t="str">
        <x:v>AG-06009</x:v>
      </x:c>
      <x:c r="C6015" s="7" t="str">
        <x:v>PEA-C-Y1</x:v>
      </x:c>
      <x:c r="D6015" s="7" t="str">
        <x:v>channel instance</x:v>
      </x:c>
      <x:c r="E6015" s="7" t="str">
        <x:v>CH-PEA-C-Y1-10-4</x:v>
      </x:c>
      <x:c r="F6015" s="7" t="str">
        <x:f>'Channel Instances'!O2224</x:f>
        <x:v>OPEN</x:v>
      </x:c>
    </x:row>
    <x:row r="6016">
      <x:c r="B6016" s="7" t="str">
        <x:v>AG-06010</x:v>
      </x:c>
      <x:c r="C6016" s="7" t="str">
        <x:v>PEA-C-Y1</x:v>
      </x:c>
      <x:c r="D6016" s="7" t="str">
        <x:v>channel instance</x:v>
      </x:c>
      <x:c r="E6016" s="7" t="str">
        <x:v>CH-PEA-C-Y1-10-5</x:v>
      </x:c>
      <x:c r="F6016" s="7" t="str">
        <x:f>'Channel Instances'!O2225</x:f>
        <x:v>OPEN</x:v>
      </x:c>
    </x:row>
    <x:row r="6017">
      <x:c r="B6017" s="7" t="str">
        <x:v>AG-06011</x:v>
      </x:c>
      <x:c r="C6017" s="7" t="str">
        <x:v>PEA-C-Y1</x:v>
      </x:c>
      <x:c r="D6017" s="7" t="str">
        <x:v>channel instance</x:v>
      </x:c>
      <x:c r="E6017" s="7" t="str">
        <x:v>CH-PEA-C-Y1-10-6</x:v>
      </x:c>
      <x:c r="F6017" s="7" t="str">
        <x:f>'Channel Instances'!O2226</x:f>
        <x:v>OPEN</x:v>
      </x:c>
    </x:row>
    <x:row r="6018">
      <x:c r="B6018" s="7" t="str">
        <x:v>AG-06012</x:v>
      </x:c>
      <x:c r="C6018" s="7" t="str">
        <x:v>PEA-C-Y1</x:v>
      </x:c>
      <x:c r="D6018" s="7" t="str">
        <x:v>channel instance</x:v>
      </x:c>
      <x:c r="E6018" s="7" t="str">
        <x:v>CH-PEA-C-Y1-11-1</x:v>
      </x:c>
      <x:c r="F6018" s="7" t="str">
        <x:f>'Channel Instances'!O2227</x:f>
        <x:v>OPEN</x:v>
      </x:c>
    </x:row>
    <x:row r="6019">
      <x:c r="B6019" s="7" t="str">
        <x:v>AG-06013</x:v>
      </x:c>
      <x:c r="C6019" s="7" t="str">
        <x:v>PEA-C-Y1</x:v>
      </x:c>
      <x:c r="D6019" s="7" t="str">
        <x:v>channel instance</x:v>
      </x:c>
      <x:c r="E6019" s="7" t="str">
        <x:v>CH-PEA-C-Y1-11-2</x:v>
      </x:c>
      <x:c r="F6019" s="7" t="str">
        <x:f>'Channel Instances'!O2228</x:f>
        <x:v>OPEN</x:v>
      </x:c>
    </x:row>
    <x:row r="6020">
      <x:c r="B6020" s="7" t="str">
        <x:v>AG-06014</x:v>
      </x:c>
      <x:c r="C6020" s="7" t="str">
        <x:v>PEA-C-Y1</x:v>
      </x:c>
      <x:c r="D6020" s="7" t="str">
        <x:v>channel instance</x:v>
      </x:c>
      <x:c r="E6020" s="7" t="str">
        <x:v>CH-PEA-C-Y1-11-3</x:v>
      </x:c>
      <x:c r="F6020" s="7" t="str">
        <x:f>'Channel Instances'!O2229</x:f>
        <x:v>OPEN</x:v>
      </x:c>
    </x:row>
    <x:row r="6021">
      <x:c r="B6021" s="7" t="str">
        <x:v>AG-06015</x:v>
      </x:c>
      <x:c r="C6021" s="7" t="str">
        <x:v>PEA-C-Y1</x:v>
      </x:c>
      <x:c r="D6021" s="7" t="str">
        <x:v>channel instance</x:v>
      </x:c>
      <x:c r="E6021" s="7" t="str">
        <x:v>CH-PEA-C-Y1-11-4</x:v>
      </x:c>
      <x:c r="F6021" s="7" t="str">
        <x:f>'Channel Instances'!O2230</x:f>
        <x:v>OPEN</x:v>
      </x:c>
    </x:row>
    <x:row r="6022">
      <x:c r="B6022" s="7" t="str">
        <x:v>AG-06016</x:v>
      </x:c>
      <x:c r="C6022" s="7" t="str">
        <x:v>PEA-C-Y1</x:v>
      </x:c>
      <x:c r="D6022" s="7" t="str">
        <x:v>channel instance</x:v>
      </x:c>
      <x:c r="E6022" s="7" t="str">
        <x:v>CH-PEA-C-Y1-11-5</x:v>
      </x:c>
      <x:c r="F6022" s="7" t="str">
        <x:f>'Channel Instances'!O2231</x:f>
        <x:v>OPEN</x:v>
      </x:c>
    </x:row>
    <x:row r="6023">
      <x:c r="B6023" s="7" t="str">
        <x:v>AG-06017</x:v>
      </x:c>
      <x:c r="C6023" s="7" t="str">
        <x:v>PEA-C-Y1</x:v>
      </x:c>
      <x:c r="D6023" s="7" t="str">
        <x:v>channel instance</x:v>
      </x:c>
      <x:c r="E6023" s="7" t="str">
        <x:v>CH-PEA-C-Y1-11-6</x:v>
      </x:c>
      <x:c r="F6023" s="7" t="str">
        <x:f>'Channel Instances'!O2232</x:f>
        <x:v>OPEN</x:v>
      </x:c>
    </x:row>
    <x:row r="6024">
      <x:c r="B6024" s="7" t="str">
        <x:v>AG-06018</x:v>
      </x:c>
      <x:c r="C6024" s="7" t="str">
        <x:v>PEA-C-Y1</x:v>
      </x:c>
      <x:c r="D6024" s="7" t="str">
        <x:v>channel instance</x:v>
      </x:c>
      <x:c r="E6024" s="7" t="str">
        <x:v>CH-PEA-C-Y1-12-1</x:v>
      </x:c>
      <x:c r="F6024" s="7" t="str">
        <x:f>'Channel Instances'!O2233</x:f>
        <x:v>OPEN</x:v>
      </x:c>
    </x:row>
    <x:row r="6025">
      <x:c r="B6025" s="7" t="str">
        <x:v>AG-06019</x:v>
      </x:c>
      <x:c r="C6025" s="7" t="str">
        <x:v>PEA-C-Y1</x:v>
      </x:c>
      <x:c r="D6025" s="7" t="str">
        <x:v>channel instance</x:v>
      </x:c>
      <x:c r="E6025" s="7" t="str">
        <x:v>CH-PEA-C-Y1-12-2</x:v>
      </x:c>
      <x:c r="F6025" s="7" t="str">
        <x:f>'Channel Instances'!O2234</x:f>
        <x:v>OPEN</x:v>
      </x:c>
    </x:row>
    <x:row r="6026">
      <x:c r="B6026" s="7" t="str">
        <x:v>AG-06020</x:v>
      </x:c>
      <x:c r="C6026" s="7" t="str">
        <x:v>PEA-C-Y1</x:v>
      </x:c>
      <x:c r="D6026" s="7" t="str">
        <x:v>channel instance</x:v>
      </x:c>
      <x:c r="E6026" s="7" t="str">
        <x:v>CH-PEA-C-Y1-12-3</x:v>
      </x:c>
      <x:c r="F6026" s="7" t="str">
        <x:f>'Channel Instances'!O2235</x:f>
        <x:v>OPEN</x:v>
      </x:c>
    </x:row>
    <x:row r="6027">
      <x:c r="B6027" s="7" t="str">
        <x:v>AG-06021</x:v>
      </x:c>
      <x:c r="C6027" s="7" t="str">
        <x:v>PEA-C-Y1</x:v>
      </x:c>
      <x:c r="D6027" s="7" t="str">
        <x:v>channel instance</x:v>
      </x:c>
      <x:c r="E6027" s="7" t="str">
        <x:v>CH-PEA-C-Y1-12-4</x:v>
      </x:c>
      <x:c r="F6027" s="7" t="str">
        <x:f>'Channel Instances'!O2236</x:f>
        <x:v>OPEN</x:v>
      </x:c>
    </x:row>
    <x:row r="6028">
      <x:c r="B6028" s="7" t="str">
        <x:v>AG-06022</x:v>
      </x:c>
      <x:c r="C6028" s="7" t="str">
        <x:v>PEA-C-Y1</x:v>
      </x:c>
      <x:c r="D6028" s="7" t="str">
        <x:v>channel instance</x:v>
      </x:c>
      <x:c r="E6028" s="7" t="str">
        <x:v>CH-PEA-C-Y1-12-5</x:v>
      </x:c>
      <x:c r="F6028" s="7" t="str">
        <x:f>'Channel Instances'!O2237</x:f>
        <x:v>OPEN</x:v>
      </x:c>
    </x:row>
    <x:row r="6029">
      <x:c r="B6029" s="7" t="str">
        <x:v>AG-06023</x:v>
      </x:c>
      <x:c r="C6029" s="7" t="str">
        <x:v>PEA-C-Y1</x:v>
      </x:c>
      <x:c r="D6029" s="7" t="str">
        <x:v>channel instance</x:v>
      </x:c>
      <x:c r="E6029" s="7" t="str">
        <x:v>CH-PEA-C-Y1-12-6</x:v>
      </x:c>
      <x:c r="F6029" s="7" t="str">
        <x:f>'Channel Instances'!O2238</x:f>
        <x:v>OPEN</x:v>
      </x:c>
    </x:row>
    <x:row r="6030">
      <x:c r="B6030" s="7" t="str">
        <x:v>AG-06024</x:v>
      </x:c>
      <x:c r="C6030" s="7" t="str">
        <x:v>PEA-C-Y1</x:v>
      </x:c>
      <x:c r="D6030" s="7" t="str">
        <x:v>channel instance</x:v>
      </x:c>
      <x:c r="E6030" s="7" t="str">
        <x:v>CH-PEA-C-Y1-13-1</x:v>
      </x:c>
      <x:c r="F6030" s="7" t="str">
        <x:f>'Channel Instances'!O2239</x:f>
        <x:v>OPEN</x:v>
      </x:c>
    </x:row>
    <x:row r="6031">
      <x:c r="B6031" s="7" t="str">
        <x:v>AG-06025</x:v>
      </x:c>
      <x:c r="C6031" s="7" t="str">
        <x:v>PEA-C-Y1</x:v>
      </x:c>
      <x:c r="D6031" s="7" t="str">
        <x:v>channel instance</x:v>
      </x:c>
      <x:c r="E6031" s="7" t="str">
        <x:v>CH-PEA-C-Y1-13-2</x:v>
      </x:c>
      <x:c r="F6031" s="7" t="str">
        <x:f>'Channel Instances'!O2240</x:f>
        <x:v>OPEN</x:v>
      </x:c>
    </x:row>
    <x:row r="6032">
      <x:c r="B6032" s="7" t="str">
        <x:v>AG-06026</x:v>
      </x:c>
      <x:c r="C6032" s="7" t="str">
        <x:v>PEA-C-Y1</x:v>
      </x:c>
      <x:c r="D6032" s="7" t="str">
        <x:v>channel instance</x:v>
      </x:c>
      <x:c r="E6032" s="7" t="str">
        <x:v>CH-PEA-C-Y1-13-3</x:v>
      </x:c>
      <x:c r="F6032" s="7" t="str">
        <x:f>'Channel Instances'!O2241</x:f>
        <x:v>OPEN</x:v>
      </x:c>
    </x:row>
    <x:row r="6033">
      <x:c r="B6033" s="7" t="str">
        <x:v>AG-06027</x:v>
      </x:c>
      <x:c r="C6033" s="7" t="str">
        <x:v>PEA-C-Y1</x:v>
      </x:c>
      <x:c r="D6033" s="7" t="str">
        <x:v>channel instance</x:v>
      </x:c>
      <x:c r="E6033" s="7" t="str">
        <x:v>CH-PEA-C-Y1-13-4</x:v>
      </x:c>
      <x:c r="F6033" s="7" t="str">
        <x:f>'Channel Instances'!O2242</x:f>
        <x:v>OPEN</x:v>
      </x:c>
    </x:row>
    <x:row r="6034">
      <x:c r="B6034" s="7" t="str">
        <x:v>AG-06028</x:v>
      </x:c>
      <x:c r="C6034" s="7" t="str">
        <x:v>PEA-C-Y1</x:v>
      </x:c>
      <x:c r="D6034" s="7" t="str">
        <x:v>channel instance</x:v>
      </x:c>
      <x:c r="E6034" s="7" t="str">
        <x:v>CH-PEA-C-Y1-13-5</x:v>
      </x:c>
      <x:c r="F6034" s="7" t="str">
        <x:f>'Channel Instances'!O2243</x:f>
        <x:v>OPEN</x:v>
      </x:c>
    </x:row>
    <x:row r="6035">
      <x:c r="B6035" s="7" t="str">
        <x:v>AG-06029</x:v>
      </x:c>
      <x:c r="C6035" s="7" t="str">
        <x:v>PEA-C-Y1</x:v>
      </x:c>
      <x:c r="D6035" s="7" t="str">
        <x:v>channel instance</x:v>
      </x:c>
      <x:c r="E6035" s="7" t="str">
        <x:v>CH-PEA-C-Y1-13-6</x:v>
      </x:c>
      <x:c r="F6035" s="7" t="str">
        <x:f>'Channel Instances'!O2244</x:f>
        <x:v>OPEN</x:v>
      </x:c>
    </x:row>
    <x:row r="6036">
      <x:c r="B6036" s="7" t="str">
        <x:v>AG-06030</x:v>
      </x:c>
      <x:c r="C6036" s="7" t="str">
        <x:v>PEA-C-Y1</x:v>
      </x:c>
      <x:c r="D6036" s="7" t="str">
        <x:v>channel instance</x:v>
      </x:c>
      <x:c r="E6036" s="7" t="str">
        <x:v>CH-PEA-C-Y1-14-1</x:v>
      </x:c>
      <x:c r="F6036" s="7" t="str">
        <x:f>'Channel Instances'!O2245</x:f>
        <x:v>OPEN</x:v>
      </x:c>
    </x:row>
    <x:row r="6037">
      <x:c r="B6037" s="7" t="str">
        <x:v>AG-06031</x:v>
      </x:c>
      <x:c r="C6037" s="7" t="str">
        <x:v>PEA-C-Y1</x:v>
      </x:c>
      <x:c r="D6037" s="7" t="str">
        <x:v>channel instance</x:v>
      </x:c>
      <x:c r="E6037" s="7" t="str">
        <x:v>CH-PEA-C-Y1-14-2</x:v>
      </x:c>
      <x:c r="F6037" s="7" t="str">
        <x:f>'Channel Instances'!O2246</x:f>
        <x:v>OPEN</x:v>
      </x:c>
    </x:row>
    <x:row r="6038">
      <x:c r="B6038" s="7" t="str">
        <x:v>AG-06032</x:v>
      </x:c>
      <x:c r="C6038" s="7" t="str">
        <x:v>PEA-C-Y1</x:v>
      </x:c>
      <x:c r="D6038" s="7" t="str">
        <x:v>channel instance</x:v>
      </x:c>
      <x:c r="E6038" s="7" t="str">
        <x:v>CH-PEA-C-Y1-14-3</x:v>
      </x:c>
      <x:c r="F6038" s="7" t="str">
        <x:f>'Channel Instances'!O2247</x:f>
        <x:v>OPEN</x:v>
      </x:c>
    </x:row>
    <x:row r="6039">
      <x:c r="B6039" s="7" t="str">
        <x:v>AG-06033</x:v>
      </x:c>
      <x:c r="C6039" s="7" t="str">
        <x:v>PEA-C-Y1</x:v>
      </x:c>
      <x:c r="D6039" s="7" t="str">
        <x:v>channel instance</x:v>
      </x:c>
      <x:c r="E6039" s="7" t="str">
        <x:v>CH-PEA-C-Y1-14-4</x:v>
      </x:c>
      <x:c r="F6039" s="7" t="str">
        <x:f>'Channel Instances'!O2248</x:f>
        <x:v>OPEN</x:v>
      </x:c>
    </x:row>
    <x:row r="6040">
      <x:c r="B6040" s="7" t="str">
        <x:v>AG-06034</x:v>
      </x:c>
      <x:c r="C6040" s="7" t="str">
        <x:v>PEA-C-Y1</x:v>
      </x:c>
      <x:c r="D6040" s="7" t="str">
        <x:v>channel instance</x:v>
      </x:c>
      <x:c r="E6040" s="7" t="str">
        <x:v>CH-PEA-C-Y1-14-5</x:v>
      </x:c>
      <x:c r="F6040" s="7" t="str">
        <x:f>'Channel Instances'!O2249</x:f>
        <x:v>OPEN</x:v>
      </x:c>
    </x:row>
    <x:row r="6041">
      <x:c r="B6041" s="7" t="str">
        <x:v>AG-06035</x:v>
      </x:c>
      <x:c r="C6041" s="7" t="str">
        <x:v>PEA-C-Y1</x:v>
      </x:c>
      <x:c r="D6041" s="7" t="str">
        <x:v>channel instance</x:v>
      </x:c>
      <x:c r="E6041" s="7" t="str">
        <x:v>CH-PEA-C-Y1-14-6</x:v>
      </x:c>
      <x:c r="F6041" s="7" t="str">
        <x:f>'Channel Instances'!O2250</x:f>
        <x:v>OPEN</x:v>
      </x:c>
    </x:row>
    <x:row r="6042">
      <x:c r="B6042" s="7" t="str">
        <x:v>AG-06036</x:v>
      </x:c>
      <x:c r="C6042" s="7" t="str">
        <x:v>PEA-C-Y1</x:v>
      </x:c>
      <x:c r="D6042" s="7" t="str">
        <x:v>channel instance</x:v>
      </x:c>
      <x:c r="E6042" s="7" t="str">
        <x:v>CH-PEA-C-Y1-15-1</x:v>
      </x:c>
      <x:c r="F6042" s="7" t="str">
        <x:f>'Channel Instances'!O2251</x:f>
        <x:v>OPEN</x:v>
      </x:c>
    </x:row>
    <x:row r="6043">
      <x:c r="B6043" s="7" t="str">
        <x:v>AG-06037</x:v>
      </x:c>
      <x:c r="C6043" s="7" t="str">
        <x:v>PEA-C-Y1</x:v>
      </x:c>
      <x:c r="D6043" s="7" t="str">
        <x:v>channel instance</x:v>
      </x:c>
      <x:c r="E6043" s="7" t="str">
        <x:v>CH-PEA-C-Y1-15-2</x:v>
      </x:c>
      <x:c r="F6043" s="7" t="str">
        <x:f>'Channel Instances'!O2252</x:f>
        <x:v>OPEN</x:v>
      </x:c>
    </x:row>
    <x:row r="6044">
      <x:c r="B6044" s="7" t="str">
        <x:v>AG-06038</x:v>
      </x:c>
      <x:c r="C6044" s="7" t="str">
        <x:v>PEA-C-Y1</x:v>
      </x:c>
      <x:c r="D6044" s="7" t="str">
        <x:v>channel instance</x:v>
      </x:c>
      <x:c r="E6044" s="7" t="str">
        <x:v>CH-PEA-C-Y1-15-3</x:v>
      </x:c>
      <x:c r="F6044" s="7" t="str">
        <x:f>'Channel Instances'!O2253</x:f>
        <x:v>OPEN</x:v>
      </x:c>
    </x:row>
    <x:row r="6045">
      <x:c r="B6045" s="7" t="str">
        <x:v>AG-06039</x:v>
      </x:c>
      <x:c r="C6045" s="7" t="str">
        <x:v>PEA-C-Y1</x:v>
      </x:c>
      <x:c r="D6045" s="7" t="str">
        <x:v>channel instance</x:v>
      </x:c>
      <x:c r="E6045" s="7" t="str">
        <x:v>CH-PEA-C-Y1-15-4</x:v>
      </x:c>
      <x:c r="F6045" s="7" t="str">
        <x:f>'Channel Instances'!O2254</x:f>
        <x:v>OPEN</x:v>
      </x:c>
    </x:row>
    <x:row r="6046">
      <x:c r="B6046" s="7" t="str">
        <x:v>AG-06040</x:v>
      </x:c>
      <x:c r="C6046" s="7" t="str">
        <x:v>PEA-C-Y1</x:v>
      </x:c>
      <x:c r="D6046" s="7" t="str">
        <x:v>channel instance</x:v>
      </x:c>
      <x:c r="E6046" s="7" t="str">
        <x:v>CH-PEA-C-Y1-15-5</x:v>
      </x:c>
      <x:c r="F6046" s="7" t="str">
        <x:f>'Channel Instances'!O2255</x:f>
        <x:v>OPEN</x:v>
      </x:c>
    </x:row>
    <x:row r="6047">
      <x:c r="B6047" s="7" t="str">
        <x:v>AG-06041</x:v>
      </x:c>
      <x:c r="C6047" s="7" t="str">
        <x:v>PEA-C-Y1</x:v>
      </x:c>
      <x:c r="D6047" s="7" t="str">
        <x:v>channel instance</x:v>
      </x:c>
      <x:c r="E6047" s="7" t="str">
        <x:v>CH-PEA-C-Y1-15-6</x:v>
      </x:c>
      <x:c r="F6047" s="7" t="str">
        <x:f>'Channel Instances'!O2256</x:f>
        <x:v>OPEN</x:v>
      </x:c>
    </x:row>
    <x:row r="6048">
      <x:c r="B6048" s="7" t="str">
        <x:v>AG-06042</x:v>
      </x:c>
      <x:c r="C6048" s="7" t="str">
        <x:v>PEA-C-Y1</x:v>
      </x:c>
      <x:c r="D6048" s="7" t="str">
        <x:v>channel instance</x:v>
      </x:c>
      <x:c r="E6048" s="7" t="str">
        <x:v>CH-PEA-C-Y1-16-1</x:v>
      </x:c>
      <x:c r="F6048" s="7" t="str">
        <x:f>'Channel Instances'!O2257</x:f>
        <x:v>OPEN</x:v>
      </x:c>
    </x:row>
    <x:row r="6049">
      <x:c r="B6049" s="7" t="str">
        <x:v>AG-06043</x:v>
      </x:c>
      <x:c r="C6049" s="7" t="str">
        <x:v>PEA-C-Y1</x:v>
      </x:c>
      <x:c r="D6049" s="7" t="str">
        <x:v>channel instance</x:v>
      </x:c>
      <x:c r="E6049" s="7" t="str">
        <x:v>CH-PEA-C-Y1-16-2</x:v>
      </x:c>
      <x:c r="F6049" s="7" t="str">
        <x:f>'Channel Instances'!O2258</x:f>
        <x:v>OPEN</x:v>
      </x:c>
    </x:row>
    <x:row r="6050">
      <x:c r="B6050" s="7" t="str">
        <x:v>AG-06044</x:v>
      </x:c>
      <x:c r="C6050" s="7" t="str">
        <x:v>PEA-C-Y1</x:v>
      </x:c>
      <x:c r="D6050" s="7" t="str">
        <x:v>channel instance</x:v>
      </x:c>
      <x:c r="E6050" s="7" t="str">
        <x:v>CH-PEA-C-Y1-16-3</x:v>
      </x:c>
      <x:c r="F6050" s="7" t="str">
        <x:f>'Channel Instances'!O2259</x:f>
        <x:v>OPEN</x:v>
      </x:c>
    </x:row>
    <x:row r="6051">
      <x:c r="B6051" s="7" t="str">
        <x:v>AG-06045</x:v>
      </x:c>
      <x:c r="C6051" s="7" t="str">
        <x:v>PEA-C-Y1</x:v>
      </x:c>
      <x:c r="D6051" s="7" t="str">
        <x:v>channel instance</x:v>
      </x:c>
      <x:c r="E6051" s="7" t="str">
        <x:v>CH-PEA-C-Y1-16-4</x:v>
      </x:c>
      <x:c r="F6051" s="7" t="str">
        <x:f>'Channel Instances'!O2260</x:f>
        <x:v>OPEN</x:v>
      </x:c>
    </x:row>
    <x:row r="6052">
      <x:c r="B6052" s="7" t="str">
        <x:v>AG-06046</x:v>
      </x:c>
      <x:c r="C6052" s="7" t="str">
        <x:v>PEA-C-Y1</x:v>
      </x:c>
      <x:c r="D6052" s="7" t="str">
        <x:v>channel instance</x:v>
      </x:c>
      <x:c r="E6052" s="7" t="str">
        <x:v>CH-PEA-C-Y1-16-5</x:v>
      </x:c>
      <x:c r="F6052" s="7" t="str">
        <x:f>'Channel Instances'!O2261</x:f>
        <x:v>OPEN</x:v>
      </x:c>
    </x:row>
    <x:row r="6053">
      <x:c r="B6053" s="7" t="str">
        <x:v>AG-06047</x:v>
      </x:c>
      <x:c r="C6053" s="7" t="str">
        <x:v>PEA-C-Y1</x:v>
      </x:c>
      <x:c r="D6053" s="7" t="str">
        <x:v>channel instance</x:v>
      </x:c>
      <x:c r="E6053" s="7" t="str">
        <x:v>CH-PEA-C-Y1-16-6</x:v>
      </x:c>
      <x:c r="F6053" s="7" t="str">
        <x:f>'Channel Instances'!O2262</x:f>
        <x:v>OPEN</x:v>
      </x:c>
    </x:row>
    <x:row r="6054">
      <x:c r="B6054" s="7" t="str">
        <x:v>AG-06048</x:v>
      </x:c>
      <x:c r="C6054" s="7" t="str">
        <x:v>PEA-C-Y1</x:v>
      </x:c>
      <x:c r="D6054" s="7" t="str">
        <x:v>channel instance</x:v>
      </x:c>
      <x:c r="E6054" s="7" t="str">
        <x:v>CH-PEA-C-Y1-17-1</x:v>
      </x:c>
      <x:c r="F6054" s="7" t="str">
        <x:f>'Channel Instances'!O2263</x:f>
        <x:v>OPEN</x:v>
      </x:c>
    </x:row>
    <x:row r="6055">
      <x:c r="B6055" s="7" t="str">
        <x:v>AG-06049</x:v>
      </x:c>
      <x:c r="C6055" s="7" t="str">
        <x:v>PEA-C-Y1</x:v>
      </x:c>
      <x:c r="D6055" s="7" t="str">
        <x:v>channel instance</x:v>
      </x:c>
      <x:c r="E6055" s="7" t="str">
        <x:v>CH-PEA-C-Y1-17-2</x:v>
      </x:c>
      <x:c r="F6055" s="7" t="str">
        <x:f>'Channel Instances'!O2264</x:f>
        <x:v>OPEN</x:v>
      </x:c>
    </x:row>
    <x:row r="6056">
      <x:c r="B6056" s="7" t="str">
        <x:v>AG-06050</x:v>
      </x:c>
      <x:c r="C6056" s="7" t="str">
        <x:v>PEA-C-Y1</x:v>
      </x:c>
      <x:c r="D6056" s="7" t="str">
        <x:v>channel instance</x:v>
      </x:c>
      <x:c r="E6056" s="7" t="str">
        <x:v>CH-PEA-C-Y1-17-3</x:v>
      </x:c>
      <x:c r="F6056" s="7" t="str">
        <x:f>'Channel Instances'!O2265</x:f>
        <x:v>OPEN</x:v>
      </x:c>
    </x:row>
    <x:row r="6057">
      <x:c r="B6057" s="7" t="str">
        <x:v>AG-06051</x:v>
      </x:c>
      <x:c r="C6057" s="7" t="str">
        <x:v>PEA-C-Y1</x:v>
      </x:c>
      <x:c r="D6057" s="7" t="str">
        <x:v>channel instance</x:v>
      </x:c>
      <x:c r="E6057" s="7" t="str">
        <x:v>CH-PEA-C-Y1-17-4</x:v>
      </x:c>
      <x:c r="F6057" s="7" t="str">
        <x:f>'Channel Instances'!O2266</x:f>
        <x:v>OPEN</x:v>
      </x:c>
    </x:row>
    <x:row r="6058">
      <x:c r="B6058" s="7" t="str">
        <x:v>AG-06052</x:v>
      </x:c>
      <x:c r="C6058" s="7" t="str">
        <x:v>PEA-C-Y1</x:v>
      </x:c>
      <x:c r="D6058" s="7" t="str">
        <x:v>channel instance</x:v>
      </x:c>
      <x:c r="E6058" s="7" t="str">
        <x:v>CH-PEA-C-Y1-17-5</x:v>
      </x:c>
      <x:c r="F6058" s="7" t="str">
        <x:f>'Channel Instances'!O2267</x:f>
        <x:v>OPEN</x:v>
      </x:c>
    </x:row>
    <x:row r="6059">
      <x:c r="B6059" s="7" t="str">
        <x:v>AG-06053</x:v>
      </x:c>
      <x:c r="C6059" s="7" t="str">
        <x:v>PEA-C-Y1</x:v>
      </x:c>
      <x:c r="D6059" s="7" t="str">
        <x:v>channel instance</x:v>
      </x:c>
      <x:c r="E6059" s="7" t="str">
        <x:v>CH-PEA-C-Y1-17-6</x:v>
      </x:c>
      <x:c r="F6059" s="7" t="str">
        <x:f>'Channel Instances'!O2268</x:f>
        <x:v>OPEN</x:v>
      </x:c>
    </x:row>
    <x:row r="6060">
      <x:c r="B6060" s="7" t="str">
        <x:v>AG-06054</x:v>
      </x:c>
      <x:c r="C6060" s="7" t="str">
        <x:v>PEA-C-Y1</x:v>
      </x:c>
      <x:c r="D6060" s="7" t="str">
        <x:v>channel instance</x:v>
      </x:c>
      <x:c r="E6060" s="7" t="str">
        <x:v>CH-PEA-C-Y1-18-1</x:v>
      </x:c>
      <x:c r="F6060" s="7" t="str">
        <x:f>'Channel Instances'!O2269</x:f>
        <x:v>OPEN</x:v>
      </x:c>
    </x:row>
    <x:row r="6061">
      <x:c r="B6061" s="7" t="str">
        <x:v>AG-06055</x:v>
      </x:c>
      <x:c r="C6061" s="7" t="str">
        <x:v>PEA-C-Y1</x:v>
      </x:c>
      <x:c r="D6061" s="7" t="str">
        <x:v>channel instance</x:v>
      </x:c>
      <x:c r="E6061" s="7" t="str">
        <x:v>CH-PEA-C-Y1-18-2</x:v>
      </x:c>
      <x:c r="F6061" s="7" t="str">
        <x:f>'Channel Instances'!O2270</x:f>
        <x:v>OPEN</x:v>
      </x:c>
    </x:row>
    <x:row r="6062">
      <x:c r="B6062" s="7" t="str">
        <x:v>AG-06056</x:v>
      </x:c>
      <x:c r="C6062" s="7" t="str">
        <x:v>PEA-C-Y1</x:v>
      </x:c>
      <x:c r="D6062" s="7" t="str">
        <x:v>channel instance</x:v>
      </x:c>
      <x:c r="E6062" s="7" t="str">
        <x:v>CH-PEA-C-Y1-18-3</x:v>
      </x:c>
      <x:c r="F6062" s="7" t="str">
        <x:f>'Channel Instances'!O2271</x:f>
        <x:v>OPEN</x:v>
      </x:c>
    </x:row>
    <x:row r="6063">
      <x:c r="B6063" s="7" t="str">
        <x:v>AG-06057</x:v>
      </x:c>
      <x:c r="C6063" s="7" t="str">
        <x:v>PEA-C-Y1</x:v>
      </x:c>
      <x:c r="D6063" s="7" t="str">
        <x:v>channel instance</x:v>
      </x:c>
      <x:c r="E6063" s="7" t="str">
        <x:v>CH-PEA-C-Y1-18-4</x:v>
      </x:c>
      <x:c r="F6063" s="7" t="str">
        <x:f>'Channel Instances'!O2272</x:f>
        <x:v>OPEN</x:v>
      </x:c>
    </x:row>
    <x:row r="6064">
      <x:c r="B6064" s="7" t="str">
        <x:v>AG-06058</x:v>
      </x:c>
      <x:c r="C6064" s="7" t="str">
        <x:v>PEA-C-Y1</x:v>
      </x:c>
      <x:c r="D6064" s="7" t="str">
        <x:v>channel instance</x:v>
      </x:c>
      <x:c r="E6064" s="7" t="str">
        <x:v>CH-PEA-C-Y1-18-5</x:v>
      </x:c>
      <x:c r="F6064" s="7" t="str">
        <x:f>'Channel Instances'!O2273</x:f>
        <x:v>OPEN</x:v>
      </x:c>
    </x:row>
    <x:row r="6065">
      <x:c r="B6065" s="7" t="str">
        <x:v>AG-06059</x:v>
      </x:c>
      <x:c r="C6065" s="7" t="str">
        <x:v>PEA-C-Y1</x:v>
      </x:c>
      <x:c r="D6065" s="7" t="str">
        <x:v>channel instance</x:v>
      </x:c>
      <x:c r="E6065" s="7" t="str">
        <x:v>CH-PEA-C-Y1-18-6</x:v>
      </x:c>
      <x:c r="F6065" s="7" t="str">
        <x:f>'Channel Instances'!O2274</x:f>
        <x:v>OPEN</x:v>
      </x:c>
    </x:row>
    <x:row r="6066">
      <x:c r="B6066" s="7" t="str">
        <x:v>AG-06060</x:v>
      </x:c>
      <x:c r="C6066" s="7" t="str">
        <x:v>PEA-C-Y1</x:v>
      </x:c>
      <x:c r="D6066" s="7" t="str">
        <x:v>channel instance</x:v>
      </x:c>
      <x:c r="E6066" s="7" t="str">
        <x:v>CH-PEA-C-Y1-19-1</x:v>
      </x:c>
      <x:c r="F6066" s="7" t="str">
        <x:f>'Channel Instances'!O2275</x:f>
        <x:v>OPEN</x:v>
      </x:c>
    </x:row>
    <x:row r="6067">
      <x:c r="B6067" s="7" t="str">
        <x:v>AG-06061</x:v>
      </x:c>
      <x:c r="C6067" s="7" t="str">
        <x:v>PEA-C-Y1</x:v>
      </x:c>
      <x:c r="D6067" s="7" t="str">
        <x:v>channel instance</x:v>
      </x:c>
      <x:c r="E6067" s="7" t="str">
        <x:v>CH-PEA-C-Y1-19-2</x:v>
      </x:c>
      <x:c r="F6067" s="7" t="str">
        <x:f>'Channel Instances'!O2276</x:f>
        <x:v>OPEN</x:v>
      </x:c>
    </x:row>
    <x:row r="6068">
      <x:c r="B6068" s="7" t="str">
        <x:v>AG-06062</x:v>
      </x:c>
      <x:c r="C6068" s="7" t="str">
        <x:v>PEA-C-Y1</x:v>
      </x:c>
      <x:c r="D6068" s="7" t="str">
        <x:v>channel instance</x:v>
      </x:c>
      <x:c r="E6068" s="7" t="str">
        <x:v>CH-PEA-C-Y1-19-3</x:v>
      </x:c>
      <x:c r="F6068" s="7" t="str">
        <x:f>'Channel Instances'!O2277</x:f>
        <x:v>OPEN</x:v>
      </x:c>
    </x:row>
    <x:row r="6069">
      <x:c r="B6069" s="7" t="str">
        <x:v>AG-06063</x:v>
      </x:c>
      <x:c r="C6069" s="7" t="str">
        <x:v>PEA-C-Y1</x:v>
      </x:c>
      <x:c r="D6069" s="7" t="str">
        <x:v>channel instance</x:v>
      </x:c>
      <x:c r="E6069" s="7" t="str">
        <x:v>CH-PEA-C-Y1-19-4</x:v>
      </x:c>
      <x:c r="F6069" s="7" t="str">
        <x:f>'Channel Instances'!O2278</x:f>
        <x:v>OPEN</x:v>
      </x:c>
    </x:row>
    <x:row r="6070">
      <x:c r="B6070" s="7" t="str">
        <x:v>AG-06064</x:v>
      </x:c>
      <x:c r="C6070" s="7" t="str">
        <x:v>PEA-C-Y1</x:v>
      </x:c>
      <x:c r="D6070" s="7" t="str">
        <x:v>channel instance</x:v>
      </x:c>
      <x:c r="E6070" s="7" t="str">
        <x:v>CH-PEA-C-Y1-19-5</x:v>
      </x:c>
      <x:c r="F6070" s="7" t="str">
        <x:f>'Channel Instances'!O2279</x:f>
        <x:v>OPEN</x:v>
      </x:c>
    </x:row>
    <x:row r="6071">
      <x:c r="B6071" s="7" t="str">
        <x:v>AG-06065</x:v>
      </x:c>
      <x:c r="C6071" s="7" t="str">
        <x:v>PEA-C-Y1</x:v>
      </x:c>
      <x:c r="D6071" s="7" t="str">
        <x:v>channel instance</x:v>
      </x:c>
      <x:c r="E6071" s="7" t="str">
        <x:v>CH-PEA-C-Y1-19-6</x:v>
      </x:c>
      <x:c r="F6071" s="7" t="str">
        <x:f>'Channel Instances'!O2280</x:f>
        <x:v>OPEN</x:v>
      </x:c>
    </x:row>
    <x:row r="6072">
      <x:c r="B6072" s="7" t="str">
        <x:v>AG-06066</x:v>
      </x:c>
      <x:c r="C6072" s="7" t="str">
        <x:v>PEA-C-Y1</x:v>
      </x:c>
      <x:c r="D6072" s="7" t="str">
        <x:v>channel instance</x:v>
      </x:c>
      <x:c r="E6072" s="7" t="str">
        <x:v>CH-PEA-C-Y1-20-1</x:v>
      </x:c>
      <x:c r="F6072" s="7" t="str">
        <x:f>'Channel Instances'!O2281</x:f>
        <x:v>OPEN</x:v>
      </x:c>
    </x:row>
    <x:row r="6073">
      <x:c r="B6073" s="7" t="str">
        <x:v>AG-06067</x:v>
      </x:c>
      <x:c r="C6073" s="7" t="str">
        <x:v>PEA-C-Y1</x:v>
      </x:c>
      <x:c r="D6073" s="7" t="str">
        <x:v>channel instance</x:v>
      </x:c>
      <x:c r="E6073" s="7" t="str">
        <x:v>CH-PEA-C-Y1-20-2</x:v>
      </x:c>
      <x:c r="F6073" s="7" t="str">
        <x:f>'Channel Instances'!O2282</x:f>
        <x:v>OPEN</x:v>
      </x:c>
    </x:row>
    <x:row r="6074">
      <x:c r="B6074" s="7" t="str">
        <x:v>AG-06068</x:v>
      </x:c>
      <x:c r="C6074" s="7" t="str">
        <x:v>PEA-C-Y1</x:v>
      </x:c>
      <x:c r="D6074" s="7" t="str">
        <x:v>channel instance</x:v>
      </x:c>
      <x:c r="E6074" s="7" t="str">
        <x:v>CH-PEA-C-Y1-20-3</x:v>
      </x:c>
      <x:c r="F6074" s="7" t="str">
        <x:f>'Channel Instances'!O2283</x:f>
        <x:v>OPEN</x:v>
      </x:c>
    </x:row>
    <x:row r="6075">
      <x:c r="B6075" s="7" t="str">
        <x:v>AG-06069</x:v>
      </x:c>
      <x:c r="C6075" s="7" t="str">
        <x:v>PEA-C-Y1</x:v>
      </x:c>
      <x:c r="D6075" s="7" t="str">
        <x:v>channel instance</x:v>
      </x:c>
      <x:c r="E6075" s="7" t="str">
        <x:v>CH-PEA-C-Y1-20-4</x:v>
      </x:c>
      <x:c r="F6075" s="7" t="str">
        <x:f>'Channel Instances'!O2284</x:f>
        <x:v>OPEN</x:v>
      </x:c>
    </x:row>
    <x:row r="6076">
      <x:c r="B6076" s="7" t="str">
        <x:v>AG-06070</x:v>
      </x:c>
      <x:c r="C6076" s="7" t="str">
        <x:v>PEA-C-Y1</x:v>
      </x:c>
      <x:c r="D6076" s="7" t="str">
        <x:v>channel instance</x:v>
      </x:c>
      <x:c r="E6076" s="7" t="str">
        <x:v>CH-PEA-C-Y1-20-5</x:v>
      </x:c>
      <x:c r="F6076" s="7" t="str">
        <x:f>'Channel Instances'!O2285</x:f>
        <x:v>OPEN</x:v>
      </x:c>
    </x:row>
    <x:row r="6077">
      <x:c r="B6077" s="7" t="str">
        <x:v>AG-06071</x:v>
      </x:c>
      <x:c r="C6077" s="7" t="str">
        <x:v>PEA-C-Y1</x:v>
      </x:c>
      <x:c r="D6077" s="7" t="str">
        <x:v>channel instance</x:v>
      </x:c>
      <x:c r="E6077" s="7" t="str">
        <x:v>CH-PEA-C-Y1-20-6</x:v>
      </x:c>
      <x:c r="F6077" s="7" t="str">
        <x:f>'Channel Instances'!O2286</x:f>
        <x:v>OPEN</x:v>
      </x:c>
    </x:row>
    <x:row r="6078">
      <x:c r="B6078" s="7" t="str">
        <x:v>AG-06072</x:v>
      </x:c>
      <x:c r="C6078" s="7" t="str">
        <x:v>PEA-C-Y1</x:v>
      </x:c>
      <x:c r="D6078" s="7" t="str">
        <x:v>channel instance</x:v>
      </x:c>
      <x:c r="E6078" s="7" t="str">
        <x:v>CH-PEA-C-Y1-21-1</x:v>
      </x:c>
      <x:c r="F6078" s="7" t="str">
        <x:f>'Channel Instances'!O2287</x:f>
        <x:v>OPEN</x:v>
      </x:c>
    </x:row>
    <x:row r="6079">
      <x:c r="B6079" s="7" t="str">
        <x:v>AG-06073</x:v>
      </x:c>
      <x:c r="C6079" s="7" t="str">
        <x:v>PEA-C-Y1</x:v>
      </x:c>
      <x:c r="D6079" s="7" t="str">
        <x:v>channel instance</x:v>
      </x:c>
      <x:c r="E6079" s="7" t="str">
        <x:v>CH-PEA-C-Y1-21-2</x:v>
      </x:c>
      <x:c r="F6079" s="7" t="str">
        <x:f>'Channel Instances'!O2288</x:f>
        <x:v>OPEN</x:v>
      </x:c>
    </x:row>
    <x:row r="6080">
      <x:c r="B6080" s="7" t="str">
        <x:v>AG-06074</x:v>
      </x:c>
      <x:c r="C6080" s="7" t="str">
        <x:v>PEA-C-Y1</x:v>
      </x:c>
      <x:c r="D6080" s="7" t="str">
        <x:v>channel instance</x:v>
      </x:c>
      <x:c r="E6080" s="7" t="str">
        <x:v>CH-PEA-C-Y1-21-3</x:v>
      </x:c>
      <x:c r="F6080" s="7" t="str">
        <x:f>'Channel Instances'!O2289</x:f>
        <x:v>OPEN</x:v>
      </x:c>
    </x:row>
    <x:row r="6081">
      <x:c r="B6081" s="7" t="str">
        <x:v>AG-06075</x:v>
      </x:c>
      <x:c r="C6081" s="7" t="str">
        <x:v>PEA-C-Y1</x:v>
      </x:c>
      <x:c r="D6081" s="7" t="str">
        <x:v>channel instance</x:v>
      </x:c>
      <x:c r="E6081" s="7" t="str">
        <x:v>CH-PEA-C-Y1-21-4</x:v>
      </x:c>
      <x:c r="F6081" s="7" t="str">
        <x:f>'Channel Instances'!O2290</x:f>
        <x:v>OPEN</x:v>
      </x:c>
    </x:row>
    <x:row r="6082">
      <x:c r="B6082" s="7" t="str">
        <x:v>AG-06076</x:v>
      </x:c>
      <x:c r="C6082" s="7" t="str">
        <x:v>PEA-C-Y1</x:v>
      </x:c>
      <x:c r="D6082" s="7" t="str">
        <x:v>channel instance</x:v>
      </x:c>
      <x:c r="E6082" s="7" t="str">
        <x:v>CH-PEA-C-Y1-21-5</x:v>
      </x:c>
      <x:c r="F6082" s="7" t="str">
        <x:f>'Channel Instances'!O2291</x:f>
        <x:v>OPEN</x:v>
      </x:c>
    </x:row>
    <x:row r="6083">
      <x:c r="B6083" s="7" t="str">
        <x:v>AG-06077</x:v>
      </x:c>
      <x:c r="C6083" s="7" t="str">
        <x:v>PEA-C-Y1</x:v>
      </x:c>
      <x:c r="D6083" s="7" t="str">
        <x:v>channel instance</x:v>
      </x:c>
      <x:c r="E6083" s="7" t="str">
        <x:v>CH-PEA-C-Y1-21-6</x:v>
      </x:c>
      <x:c r="F6083" s="7" t="str">
        <x:f>'Channel Instances'!O2292</x:f>
        <x:v>OPEN</x:v>
      </x:c>
    </x:row>
    <x:row r="6084">
      <x:c r="B6084" s="7" t="str">
        <x:v>AG-06078</x:v>
      </x:c>
      <x:c r="C6084" s="7" t="str">
        <x:v>PEA-C-Y1</x:v>
      </x:c>
      <x:c r="D6084" s="7" t="str">
        <x:v>channel instance</x:v>
      </x:c>
      <x:c r="E6084" s="7" t="str">
        <x:v>CH-PEA-C-Y1-22-1</x:v>
      </x:c>
      <x:c r="F6084" s="7" t="str">
        <x:f>'Channel Instances'!O2293</x:f>
        <x:v>OPEN</x:v>
      </x:c>
    </x:row>
    <x:row r="6085">
      <x:c r="B6085" s="7" t="str">
        <x:v>AG-06079</x:v>
      </x:c>
      <x:c r="C6085" s="7" t="str">
        <x:v>PEA-C-Y1</x:v>
      </x:c>
      <x:c r="D6085" s="7" t="str">
        <x:v>channel instance</x:v>
      </x:c>
      <x:c r="E6085" s="7" t="str">
        <x:v>CH-PEA-C-Y1-22-2</x:v>
      </x:c>
      <x:c r="F6085" s="7" t="str">
        <x:f>'Channel Instances'!O2294</x:f>
        <x:v>OPEN</x:v>
      </x:c>
    </x:row>
    <x:row r="6086">
      <x:c r="B6086" s="7" t="str">
        <x:v>AG-06080</x:v>
      </x:c>
      <x:c r="C6086" s="7" t="str">
        <x:v>PEA-C-Y1</x:v>
      </x:c>
      <x:c r="D6086" s="7" t="str">
        <x:v>channel instance</x:v>
      </x:c>
      <x:c r="E6086" s="7" t="str">
        <x:v>CH-PEA-C-Y1-22-3</x:v>
      </x:c>
      <x:c r="F6086" s="7" t="str">
        <x:f>'Channel Instances'!O2295</x:f>
        <x:v>OPEN</x:v>
      </x:c>
    </x:row>
    <x:row r="6087">
      <x:c r="B6087" s="7" t="str">
        <x:v>AG-06081</x:v>
      </x:c>
      <x:c r="C6087" s="7" t="str">
        <x:v>PEA-C-Y1</x:v>
      </x:c>
      <x:c r="D6087" s="7" t="str">
        <x:v>channel instance</x:v>
      </x:c>
      <x:c r="E6087" s="7" t="str">
        <x:v>CH-PEA-C-Y1-22-4</x:v>
      </x:c>
      <x:c r="F6087" s="7" t="str">
        <x:f>'Channel Instances'!O2296</x:f>
        <x:v>OPEN</x:v>
      </x:c>
    </x:row>
    <x:row r="6088">
      <x:c r="B6088" s="7" t="str">
        <x:v>AG-06082</x:v>
      </x:c>
      <x:c r="C6088" s="7" t="str">
        <x:v>PEA-C-Y1</x:v>
      </x:c>
      <x:c r="D6088" s="7" t="str">
        <x:v>channel instance</x:v>
      </x:c>
      <x:c r="E6088" s="7" t="str">
        <x:v>CH-PEA-C-Y1-22-5</x:v>
      </x:c>
      <x:c r="F6088" s="7" t="str">
        <x:f>'Channel Instances'!O2297</x:f>
        <x:v>OPEN</x:v>
      </x:c>
    </x:row>
    <x:row r="6089">
      <x:c r="B6089" s="7" t="str">
        <x:v>AG-06083</x:v>
      </x:c>
      <x:c r="C6089" s="7" t="str">
        <x:v>PEA-C-Y1</x:v>
      </x:c>
      <x:c r="D6089" s="7" t="str">
        <x:v>channel instance</x:v>
      </x:c>
      <x:c r="E6089" s="7" t="str">
        <x:v>CH-PEA-C-Y1-22-6</x:v>
      </x:c>
      <x:c r="F6089" s="7" t="str">
        <x:f>'Channel Instances'!O2298</x:f>
        <x:v>OPEN</x:v>
      </x:c>
    </x:row>
    <x:row r="6090">
      <x:c r="B6090" s="7" t="str">
        <x:v>AG-06084</x:v>
      </x:c>
      <x:c r="C6090" s="7" t="str">
        <x:v>PEA-C-Y1</x:v>
      </x:c>
      <x:c r="D6090" s="7" t="str">
        <x:v>channel instance</x:v>
      </x:c>
      <x:c r="E6090" s="7" t="str">
        <x:v>CH-PEA-C-Y1-23-1</x:v>
      </x:c>
      <x:c r="F6090" s="7" t="str">
        <x:f>'Channel Instances'!O2299</x:f>
        <x:v>OPEN</x:v>
      </x:c>
    </x:row>
    <x:row r="6091">
      <x:c r="B6091" s="7" t="str">
        <x:v>AG-06085</x:v>
      </x:c>
      <x:c r="C6091" s="7" t="str">
        <x:v>PEA-C-Y1</x:v>
      </x:c>
      <x:c r="D6091" s="7" t="str">
        <x:v>channel instance</x:v>
      </x:c>
      <x:c r="E6091" s="7" t="str">
        <x:v>CH-PEA-C-Y1-23-2</x:v>
      </x:c>
      <x:c r="F6091" s="7" t="str">
        <x:f>'Channel Instances'!O2300</x:f>
        <x:v>OPEN</x:v>
      </x:c>
    </x:row>
    <x:row r="6092">
      <x:c r="B6092" s="7" t="str">
        <x:v>AG-06086</x:v>
      </x:c>
      <x:c r="C6092" s="7" t="str">
        <x:v>PEA-C-Y1</x:v>
      </x:c>
      <x:c r="D6092" s="7" t="str">
        <x:v>channel instance</x:v>
      </x:c>
      <x:c r="E6092" s="7" t="str">
        <x:v>CH-PEA-C-Y1-23-3</x:v>
      </x:c>
      <x:c r="F6092" s="7" t="str">
        <x:f>'Channel Instances'!O2301</x:f>
        <x:v>OPEN</x:v>
      </x:c>
    </x:row>
    <x:row r="6093">
      <x:c r="B6093" s="7" t="str">
        <x:v>AG-06087</x:v>
      </x:c>
      <x:c r="C6093" s="7" t="str">
        <x:v>PEA-C-Y1</x:v>
      </x:c>
      <x:c r="D6093" s="7" t="str">
        <x:v>channel instance</x:v>
      </x:c>
      <x:c r="E6093" s="7" t="str">
        <x:v>CH-PEA-C-Y1-23-4</x:v>
      </x:c>
      <x:c r="F6093" s="7" t="str">
        <x:f>'Channel Instances'!O2302</x:f>
        <x:v>OPEN</x:v>
      </x:c>
    </x:row>
    <x:row r="6094">
      <x:c r="B6094" s="7" t="str">
        <x:v>AG-06088</x:v>
      </x:c>
      <x:c r="C6094" s="7" t="str">
        <x:v>PEA-C-Y1</x:v>
      </x:c>
      <x:c r="D6094" s="7" t="str">
        <x:v>channel instance</x:v>
      </x:c>
      <x:c r="E6094" s="7" t="str">
        <x:v>CH-PEA-C-Y1-23-5</x:v>
      </x:c>
      <x:c r="F6094" s="7" t="str">
        <x:f>'Channel Instances'!O2303</x:f>
        <x:v>OPEN</x:v>
      </x:c>
    </x:row>
    <x:row r="6095">
      <x:c r="B6095" s="7" t="str">
        <x:v>AG-06089</x:v>
      </x:c>
      <x:c r="C6095" s="7" t="str">
        <x:v>PEA-C-Y1</x:v>
      </x:c>
      <x:c r="D6095" s="7" t="str">
        <x:v>channel instance</x:v>
      </x:c>
      <x:c r="E6095" s="7" t="str">
        <x:v>CH-PEA-C-Y1-23-6</x:v>
      </x:c>
      <x:c r="F6095" s="7" t="str">
        <x:f>'Channel Instances'!O2304</x:f>
        <x:v>OPEN</x:v>
      </x:c>
    </x:row>
    <x:row r="6096">
      <x:c r="B6096" s="7" t="str">
        <x:v>AG-06090</x:v>
      </x:c>
      <x:c r="C6096" s="7" t="str">
        <x:v>PEA-C-Y1</x:v>
      </x:c>
      <x:c r="D6096" s="7" t="str">
        <x:v>channel instance</x:v>
      </x:c>
      <x:c r="E6096" s="7" t="str">
        <x:v>CH-PEA-C-Y1-24-1</x:v>
      </x:c>
      <x:c r="F6096" s="7" t="str">
        <x:f>'Channel Instances'!O2305</x:f>
        <x:v>OPEN</x:v>
      </x:c>
    </x:row>
    <x:row r="6097">
      <x:c r="B6097" s="7" t="str">
        <x:v>AG-06091</x:v>
      </x:c>
      <x:c r="C6097" s="7" t="str">
        <x:v>PEA-C-Y1</x:v>
      </x:c>
      <x:c r="D6097" s="7" t="str">
        <x:v>channel instance</x:v>
      </x:c>
      <x:c r="E6097" s="7" t="str">
        <x:v>CH-PEA-C-Y1-24-2</x:v>
      </x:c>
      <x:c r="F6097" s="7" t="str">
        <x:f>'Channel Instances'!O2306</x:f>
        <x:v>OPEN</x:v>
      </x:c>
    </x:row>
    <x:row r="6098">
      <x:c r="B6098" s="7" t="str">
        <x:v>AG-06092</x:v>
      </x:c>
      <x:c r="C6098" s="7" t="str">
        <x:v>PEA-C-Y1</x:v>
      </x:c>
      <x:c r="D6098" s="7" t="str">
        <x:v>channel instance</x:v>
      </x:c>
      <x:c r="E6098" s="7" t="str">
        <x:v>CH-PEA-C-Y1-24-3</x:v>
      </x:c>
      <x:c r="F6098" s="7" t="str">
        <x:f>'Channel Instances'!O2307</x:f>
        <x:v>OPEN</x:v>
      </x:c>
    </x:row>
    <x:row r="6099">
      <x:c r="B6099" s="7" t="str">
        <x:v>AG-06093</x:v>
      </x:c>
      <x:c r="C6099" s="7" t="str">
        <x:v>PEA-C-Y1</x:v>
      </x:c>
      <x:c r="D6099" s="7" t="str">
        <x:v>channel instance</x:v>
      </x:c>
      <x:c r="E6099" s="7" t="str">
        <x:v>CH-PEA-C-Y1-24-4</x:v>
      </x:c>
      <x:c r="F6099" s="7" t="str">
        <x:f>'Channel Instances'!O2308</x:f>
        <x:v>OPEN</x:v>
      </x:c>
    </x:row>
    <x:row r="6100">
      <x:c r="B6100" s="7" t="str">
        <x:v>AG-06094</x:v>
      </x:c>
      <x:c r="C6100" s="7" t="str">
        <x:v>PEA-C-Y1</x:v>
      </x:c>
      <x:c r="D6100" s="7" t="str">
        <x:v>channel instance</x:v>
      </x:c>
      <x:c r="E6100" s="7" t="str">
        <x:v>CH-PEA-C-Y1-24-5</x:v>
      </x:c>
      <x:c r="F6100" s="7" t="str">
        <x:f>'Channel Instances'!O2309</x:f>
        <x:v>OPEN</x:v>
      </x:c>
    </x:row>
    <x:row r="6101">
      <x:c r="B6101" s="7" t="str">
        <x:v>AG-06095</x:v>
      </x:c>
      <x:c r="C6101" s="7" t="str">
        <x:v>PEA-C-Y1</x:v>
      </x:c>
      <x:c r="D6101" s="7" t="str">
        <x:v>channel instance</x:v>
      </x:c>
      <x:c r="E6101" s="7" t="str">
        <x:v>CH-PEA-C-Y1-24-6</x:v>
      </x:c>
      <x:c r="F6101" s="7" t="str">
        <x:f>'Channel Instances'!O2310</x:f>
        <x:v>OPEN</x:v>
      </x:c>
    </x:row>
    <x:row r="6102">
      <x:c r="B6102" s="7" t="str">
        <x:v>AG-06096</x:v>
      </x:c>
      <x:c r="C6102" s="7" t="str">
        <x:v>PEA-C-Y1</x:v>
      </x:c>
      <x:c r="D6102" s="7" t="str">
        <x:v>factory calibration</x:v>
      </x:c>
      <x:c r="E6102" s="7" t="str">
        <x:v>CAL-CH-PEA-C-Y1-01-1</x:v>
      </x:c>
      <x:c r="F6102" s="7" t="str">
        <x:f>'Calibration Records'!M2167</x:f>
        <x:v>OPEN</x:v>
      </x:c>
    </x:row>
    <x:row r="6103">
      <x:c r="B6103" s="7" t="str">
        <x:v>AG-06097</x:v>
      </x:c>
      <x:c r="C6103" s="7" t="str">
        <x:v>PEA-C-Y1</x:v>
      </x:c>
      <x:c r="D6103" s="7" t="str">
        <x:v>factory calibration</x:v>
      </x:c>
      <x:c r="E6103" s="7" t="str">
        <x:v>CAL-CH-PEA-C-Y1-01-2</x:v>
      </x:c>
      <x:c r="F6103" s="7" t="str">
        <x:f>'Calibration Records'!M2168</x:f>
        <x:v>OPEN</x:v>
      </x:c>
    </x:row>
    <x:row r="6104">
      <x:c r="B6104" s="7" t="str">
        <x:v>AG-06098</x:v>
      </x:c>
      <x:c r="C6104" s="7" t="str">
        <x:v>PEA-C-Y1</x:v>
      </x:c>
      <x:c r="D6104" s="7" t="str">
        <x:v>factory calibration</x:v>
      </x:c>
      <x:c r="E6104" s="7" t="str">
        <x:v>CAL-CH-PEA-C-Y1-01-3</x:v>
      </x:c>
      <x:c r="F6104" s="7" t="str">
        <x:f>'Calibration Records'!M2169</x:f>
        <x:v>OPEN</x:v>
      </x:c>
    </x:row>
    <x:row r="6105">
      <x:c r="B6105" s="7" t="str">
        <x:v>AG-06099</x:v>
      </x:c>
      <x:c r="C6105" s="7" t="str">
        <x:v>PEA-C-Y1</x:v>
      </x:c>
      <x:c r="D6105" s="7" t="str">
        <x:v>factory calibration</x:v>
      </x:c>
      <x:c r="E6105" s="7" t="str">
        <x:v>CAL-CH-PEA-C-Y1-01-4</x:v>
      </x:c>
      <x:c r="F6105" s="7" t="str">
        <x:f>'Calibration Records'!M2170</x:f>
        <x:v>OPEN</x:v>
      </x:c>
    </x:row>
    <x:row r="6106">
      <x:c r="B6106" s="7" t="str">
        <x:v>AG-06100</x:v>
      </x:c>
      <x:c r="C6106" s="7" t="str">
        <x:v>PEA-C-Y1</x:v>
      </x:c>
      <x:c r="D6106" s="7" t="str">
        <x:v>factory calibration</x:v>
      </x:c>
      <x:c r="E6106" s="7" t="str">
        <x:v>CAL-CH-PEA-C-Y1-01-5</x:v>
      </x:c>
      <x:c r="F6106" s="7" t="str">
        <x:f>'Calibration Records'!M2171</x:f>
        <x:v>OPEN</x:v>
      </x:c>
    </x:row>
    <x:row r="6107">
      <x:c r="B6107" s="7" t="str">
        <x:v>AG-06101</x:v>
      </x:c>
      <x:c r="C6107" s="7" t="str">
        <x:v>PEA-C-Y1</x:v>
      </x:c>
      <x:c r="D6107" s="7" t="str">
        <x:v>factory calibration</x:v>
      </x:c>
      <x:c r="E6107" s="7" t="str">
        <x:v>CAL-CH-PEA-C-Y1-01-6</x:v>
      </x:c>
      <x:c r="F6107" s="7" t="str">
        <x:f>'Calibration Records'!M2172</x:f>
        <x:v>OPEN</x:v>
      </x:c>
    </x:row>
    <x:row r="6108">
      <x:c r="B6108" s="7" t="str">
        <x:v>AG-06102</x:v>
      </x:c>
      <x:c r="C6108" s="7" t="str">
        <x:v>PEA-C-Y1</x:v>
      </x:c>
      <x:c r="D6108" s="7" t="str">
        <x:v>factory calibration</x:v>
      </x:c>
      <x:c r="E6108" s="7" t="str">
        <x:v>CAL-CH-PEA-C-Y1-02-1</x:v>
      </x:c>
      <x:c r="F6108" s="7" t="str">
        <x:f>'Calibration Records'!M2173</x:f>
        <x:v>OPEN</x:v>
      </x:c>
    </x:row>
    <x:row r="6109">
      <x:c r="B6109" s="7" t="str">
        <x:v>AG-06103</x:v>
      </x:c>
      <x:c r="C6109" s="7" t="str">
        <x:v>PEA-C-Y1</x:v>
      </x:c>
      <x:c r="D6109" s="7" t="str">
        <x:v>factory calibration</x:v>
      </x:c>
      <x:c r="E6109" s="7" t="str">
        <x:v>CAL-CH-PEA-C-Y1-02-2</x:v>
      </x:c>
      <x:c r="F6109" s="7" t="str">
        <x:f>'Calibration Records'!M2174</x:f>
        <x:v>OPEN</x:v>
      </x:c>
    </x:row>
    <x:row r="6110">
      <x:c r="B6110" s="7" t="str">
        <x:v>AG-06104</x:v>
      </x:c>
      <x:c r="C6110" s="7" t="str">
        <x:v>PEA-C-Y1</x:v>
      </x:c>
      <x:c r="D6110" s="7" t="str">
        <x:v>factory calibration</x:v>
      </x:c>
      <x:c r="E6110" s="7" t="str">
        <x:v>CAL-CH-PEA-C-Y1-02-3</x:v>
      </x:c>
      <x:c r="F6110" s="7" t="str">
        <x:f>'Calibration Records'!M2175</x:f>
        <x:v>OPEN</x:v>
      </x:c>
    </x:row>
    <x:row r="6111">
      <x:c r="B6111" s="7" t="str">
        <x:v>AG-06105</x:v>
      </x:c>
      <x:c r="C6111" s="7" t="str">
        <x:v>PEA-C-Y1</x:v>
      </x:c>
      <x:c r="D6111" s="7" t="str">
        <x:v>factory calibration</x:v>
      </x:c>
      <x:c r="E6111" s="7" t="str">
        <x:v>CAL-CH-PEA-C-Y1-02-4</x:v>
      </x:c>
      <x:c r="F6111" s="7" t="str">
        <x:f>'Calibration Records'!M2176</x:f>
        <x:v>OPEN</x:v>
      </x:c>
    </x:row>
    <x:row r="6112">
      <x:c r="B6112" s="7" t="str">
        <x:v>AG-06106</x:v>
      </x:c>
      <x:c r="C6112" s="7" t="str">
        <x:v>PEA-C-Y1</x:v>
      </x:c>
      <x:c r="D6112" s="7" t="str">
        <x:v>factory calibration</x:v>
      </x:c>
      <x:c r="E6112" s="7" t="str">
        <x:v>CAL-CH-PEA-C-Y1-02-5</x:v>
      </x:c>
      <x:c r="F6112" s="7" t="str">
        <x:f>'Calibration Records'!M2177</x:f>
        <x:v>OPEN</x:v>
      </x:c>
    </x:row>
    <x:row r="6113">
      <x:c r="B6113" s="7" t="str">
        <x:v>AG-06107</x:v>
      </x:c>
      <x:c r="C6113" s="7" t="str">
        <x:v>PEA-C-Y1</x:v>
      </x:c>
      <x:c r="D6113" s="7" t="str">
        <x:v>factory calibration</x:v>
      </x:c>
      <x:c r="E6113" s="7" t="str">
        <x:v>CAL-CH-PEA-C-Y1-02-6</x:v>
      </x:c>
      <x:c r="F6113" s="7" t="str">
        <x:f>'Calibration Records'!M2178</x:f>
        <x:v>OPEN</x:v>
      </x:c>
    </x:row>
    <x:row r="6114">
      <x:c r="B6114" s="7" t="str">
        <x:v>AG-06108</x:v>
      </x:c>
      <x:c r="C6114" s="7" t="str">
        <x:v>PEA-C-Y1</x:v>
      </x:c>
      <x:c r="D6114" s="7" t="str">
        <x:v>factory calibration</x:v>
      </x:c>
      <x:c r="E6114" s="7" t="str">
        <x:v>CAL-CH-PEA-C-Y1-03-1</x:v>
      </x:c>
      <x:c r="F6114" s="7" t="str">
        <x:f>'Calibration Records'!M2179</x:f>
        <x:v>OPEN</x:v>
      </x:c>
    </x:row>
    <x:row r="6115">
      <x:c r="B6115" s="7" t="str">
        <x:v>AG-06109</x:v>
      </x:c>
      <x:c r="C6115" s="7" t="str">
        <x:v>PEA-C-Y1</x:v>
      </x:c>
      <x:c r="D6115" s="7" t="str">
        <x:v>factory calibration</x:v>
      </x:c>
      <x:c r="E6115" s="7" t="str">
        <x:v>CAL-CH-PEA-C-Y1-03-2</x:v>
      </x:c>
      <x:c r="F6115" s="7" t="str">
        <x:f>'Calibration Records'!M2180</x:f>
        <x:v>OPEN</x:v>
      </x:c>
    </x:row>
    <x:row r="6116">
      <x:c r="B6116" s="7" t="str">
        <x:v>AG-06110</x:v>
      </x:c>
      <x:c r="C6116" s="7" t="str">
        <x:v>PEA-C-Y1</x:v>
      </x:c>
      <x:c r="D6116" s="7" t="str">
        <x:v>factory calibration</x:v>
      </x:c>
      <x:c r="E6116" s="7" t="str">
        <x:v>CAL-CH-PEA-C-Y1-03-3</x:v>
      </x:c>
      <x:c r="F6116" s="7" t="str">
        <x:f>'Calibration Records'!M2181</x:f>
        <x:v>OPEN</x:v>
      </x:c>
    </x:row>
    <x:row r="6117">
      <x:c r="B6117" s="7" t="str">
        <x:v>AG-06111</x:v>
      </x:c>
      <x:c r="C6117" s="7" t="str">
        <x:v>PEA-C-Y1</x:v>
      </x:c>
      <x:c r="D6117" s="7" t="str">
        <x:v>factory calibration</x:v>
      </x:c>
      <x:c r="E6117" s="7" t="str">
        <x:v>CAL-CH-PEA-C-Y1-03-4</x:v>
      </x:c>
      <x:c r="F6117" s="7" t="str">
        <x:f>'Calibration Records'!M2182</x:f>
        <x:v>OPEN</x:v>
      </x:c>
    </x:row>
    <x:row r="6118">
      <x:c r="B6118" s="7" t="str">
        <x:v>AG-06112</x:v>
      </x:c>
      <x:c r="C6118" s="7" t="str">
        <x:v>PEA-C-Y1</x:v>
      </x:c>
      <x:c r="D6118" s="7" t="str">
        <x:v>factory calibration</x:v>
      </x:c>
      <x:c r="E6118" s="7" t="str">
        <x:v>CAL-CH-PEA-C-Y1-03-5</x:v>
      </x:c>
      <x:c r="F6118" s="7" t="str">
        <x:f>'Calibration Records'!M2183</x:f>
        <x:v>OPEN</x:v>
      </x:c>
    </x:row>
    <x:row r="6119">
      <x:c r="B6119" s="7" t="str">
        <x:v>AG-06113</x:v>
      </x:c>
      <x:c r="C6119" s="7" t="str">
        <x:v>PEA-C-Y1</x:v>
      </x:c>
      <x:c r="D6119" s="7" t="str">
        <x:v>factory calibration</x:v>
      </x:c>
      <x:c r="E6119" s="7" t="str">
        <x:v>CAL-CH-PEA-C-Y1-03-6</x:v>
      </x:c>
      <x:c r="F6119" s="7" t="str">
        <x:f>'Calibration Records'!M2184</x:f>
        <x:v>OPEN</x:v>
      </x:c>
    </x:row>
    <x:row r="6120">
      <x:c r="B6120" s="7" t="str">
        <x:v>AG-06114</x:v>
      </x:c>
      <x:c r="C6120" s="7" t="str">
        <x:v>PEA-C-Y1</x:v>
      </x:c>
      <x:c r="D6120" s="7" t="str">
        <x:v>factory calibration</x:v>
      </x:c>
      <x:c r="E6120" s="7" t="str">
        <x:v>CAL-CH-PEA-C-Y1-04-1</x:v>
      </x:c>
      <x:c r="F6120" s="7" t="str">
        <x:f>'Calibration Records'!M2185</x:f>
        <x:v>OPEN</x:v>
      </x:c>
    </x:row>
    <x:row r="6121">
      <x:c r="B6121" s="7" t="str">
        <x:v>AG-06115</x:v>
      </x:c>
      <x:c r="C6121" s="7" t="str">
        <x:v>PEA-C-Y1</x:v>
      </x:c>
      <x:c r="D6121" s="7" t="str">
        <x:v>factory calibration</x:v>
      </x:c>
      <x:c r="E6121" s="7" t="str">
        <x:v>CAL-CH-PEA-C-Y1-04-2</x:v>
      </x:c>
      <x:c r="F6121" s="7" t="str">
        <x:f>'Calibration Records'!M2186</x:f>
        <x:v>OPEN</x:v>
      </x:c>
    </x:row>
    <x:row r="6122">
      <x:c r="B6122" s="7" t="str">
        <x:v>AG-06116</x:v>
      </x:c>
      <x:c r="C6122" s="7" t="str">
        <x:v>PEA-C-Y1</x:v>
      </x:c>
      <x:c r="D6122" s="7" t="str">
        <x:v>factory calibration</x:v>
      </x:c>
      <x:c r="E6122" s="7" t="str">
        <x:v>CAL-CH-PEA-C-Y1-04-3</x:v>
      </x:c>
      <x:c r="F6122" s="7" t="str">
        <x:f>'Calibration Records'!M2187</x:f>
        <x:v>OPEN</x:v>
      </x:c>
    </x:row>
    <x:row r="6123">
      <x:c r="B6123" s="7" t="str">
        <x:v>AG-06117</x:v>
      </x:c>
      <x:c r="C6123" s="7" t="str">
        <x:v>PEA-C-Y1</x:v>
      </x:c>
      <x:c r="D6123" s="7" t="str">
        <x:v>factory calibration</x:v>
      </x:c>
      <x:c r="E6123" s="7" t="str">
        <x:v>CAL-CH-PEA-C-Y1-04-4</x:v>
      </x:c>
      <x:c r="F6123" s="7" t="str">
        <x:f>'Calibration Records'!M2188</x:f>
        <x:v>OPEN</x:v>
      </x:c>
    </x:row>
    <x:row r="6124">
      <x:c r="B6124" s="7" t="str">
        <x:v>AG-06118</x:v>
      </x:c>
      <x:c r="C6124" s="7" t="str">
        <x:v>PEA-C-Y1</x:v>
      </x:c>
      <x:c r="D6124" s="7" t="str">
        <x:v>factory calibration</x:v>
      </x:c>
      <x:c r="E6124" s="7" t="str">
        <x:v>CAL-CH-PEA-C-Y1-04-5</x:v>
      </x:c>
      <x:c r="F6124" s="7" t="str">
        <x:f>'Calibration Records'!M2189</x:f>
        <x:v>OPEN</x:v>
      </x:c>
    </x:row>
    <x:row r="6125">
      <x:c r="B6125" s="7" t="str">
        <x:v>AG-06119</x:v>
      </x:c>
      <x:c r="C6125" s="7" t="str">
        <x:v>PEA-C-Y1</x:v>
      </x:c>
      <x:c r="D6125" s="7" t="str">
        <x:v>factory calibration</x:v>
      </x:c>
      <x:c r="E6125" s="7" t="str">
        <x:v>CAL-CH-PEA-C-Y1-04-6</x:v>
      </x:c>
      <x:c r="F6125" s="7" t="str">
        <x:f>'Calibration Records'!M2190</x:f>
        <x:v>OPEN</x:v>
      </x:c>
    </x:row>
    <x:row r="6126">
      <x:c r="B6126" s="7" t="str">
        <x:v>AG-06120</x:v>
      </x:c>
      <x:c r="C6126" s="7" t="str">
        <x:v>PEA-C-Y1</x:v>
      </x:c>
      <x:c r="D6126" s="7" t="str">
        <x:v>factory calibration</x:v>
      </x:c>
      <x:c r="E6126" s="7" t="str">
        <x:v>CAL-CH-PEA-C-Y1-05-1</x:v>
      </x:c>
      <x:c r="F6126" s="7" t="str">
        <x:f>'Calibration Records'!M2191</x:f>
        <x:v>OPEN</x:v>
      </x:c>
    </x:row>
    <x:row r="6127">
      <x:c r="B6127" s="7" t="str">
        <x:v>AG-06121</x:v>
      </x:c>
      <x:c r="C6127" s="7" t="str">
        <x:v>PEA-C-Y1</x:v>
      </x:c>
      <x:c r="D6127" s="7" t="str">
        <x:v>factory calibration</x:v>
      </x:c>
      <x:c r="E6127" s="7" t="str">
        <x:v>CAL-CH-PEA-C-Y1-05-2</x:v>
      </x:c>
      <x:c r="F6127" s="7" t="str">
        <x:f>'Calibration Records'!M2192</x:f>
        <x:v>OPEN</x:v>
      </x:c>
    </x:row>
    <x:row r="6128">
      <x:c r="B6128" s="7" t="str">
        <x:v>AG-06122</x:v>
      </x:c>
      <x:c r="C6128" s="7" t="str">
        <x:v>PEA-C-Y1</x:v>
      </x:c>
      <x:c r="D6128" s="7" t="str">
        <x:v>factory calibration</x:v>
      </x:c>
      <x:c r="E6128" s="7" t="str">
        <x:v>CAL-CH-PEA-C-Y1-05-3</x:v>
      </x:c>
      <x:c r="F6128" s="7" t="str">
        <x:f>'Calibration Records'!M2193</x:f>
        <x:v>OPEN</x:v>
      </x:c>
    </x:row>
    <x:row r="6129">
      <x:c r="B6129" s="7" t="str">
        <x:v>AG-06123</x:v>
      </x:c>
      <x:c r="C6129" s="7" t="str">
        <x:v>PEA-C-Y1</x:v>
      </x:c>
      <x:c r="D6129" s="7" t="str">
        <x:v>factory calibration</x:v>
      </x:c>
      <x:c r="E6129" s="7" t="str">
        <x:v>CAL-CH-PEA-C-Y1-05-4</x:v>
      </x:c>
      <x:c r="F6129" s="7" t="str">
        <x:f>'Calibration Records'!M2194</x:f>
        <x:v>OPEN</x:v>
      </x:c>
    </x:row>
    <x:row r="6130">
      <x:c r="B6130" s="7" t="str">
        <x:v>AG-06124</x:v>
      </x:c>
      <x:c r="C6130" s="7" t="str">
        <x:v>PEA-C-Y1</x:v>
      </x:c>
      <x:c r="D6130" s="7" t="str">
        <x:v>factory calibration</x:v>
      </x:c>
      <x:c r="E6130" s="7" t="str">
        <x:v>CAL-CH-PEA-C-Y1-05-5</x:v>
      </x:c>
      <x:c r="F6130" s="7" t="str">
        <x:f>'Calibration Records'!M2195</x:f>
        <x:v>OPEN</x:v>
      </x:c>
    </x:row>
    <x:row r="6131">
      <x:c r="B6131" s="7" t="str">
        <x:v>AG-06125</x:v>
      </x:c>
      <x:c r="C6131" s="7" t="str">
        <x:v>PEA-C-Y1</x:v>
      </x:c>
      <x:c r="D6131" s="7" t="str">
        <x:v>factory calibration</x:v>
      </x:c>
      <x:c r="E6131" s="7" t="str">
        <x:v>CAL-CH-PEA-C-Y1-05-6</x:v>
      </x:c>
      <x:c r="F6131" s="7" t="str">
        <x:f>'Calibration Records'!M2196</x:f>
        <x:v>OPEN</x:v>
      </x:c>
    </x:row>
    <x:row r="6132">
      <x:c r="B6132" s="7" t="str">
        <x:v>AG-06126</x:v>
      </x:c>
      <x:c r="C6132" s="7" t="str">
        <x:v>PEA-C-Y1</x:v>
      </x:c>
      <x:c r="D6132" s="7" t="str">
        <x:v>factory calibration</x:v>
      </x:c>
      <x:c r="E6132" s="7" t="str">
        <x:v>CAL-CH-PEA-C-Y1-06-1</x:v>
      </x:c>
      <x:c r="F6132" s="7" t="str">
        <x:f>'Calibration Records'!M2197</x:f>
        <x:v>OPEN</x:v>
      </x:c>
    </x:row>
    <x:row r="6133">
      <x:c r="B6133" s="7" t="str">
        <x:v>AG-06127</x:v>
      </x:c>
      <x:c r="C6133" s="7" t="str">
        <x:v>PEA-C-Y1</x:v>
      </x:c>
      <x:c r="D6133" s="7" t="str">
        <x:v>factory calibration</x:v>
      </x:c>
      <x:c r="E6133" s="7" t="str">
        <x:v>CAL-CH-PEA-C-Y1-06-2</x:v>
      </x:c>
      <x:c r="F6133" s="7" t="str">
        <x:f>'Calibration Records'!M2198</x:f>
        <x:v>OPEN</x:v>
      </x:c>
    </x:row>
    <x:row r="6134">
      <x:c r="B6134" s="7" t="str">
        <x:v>AG-06128</x:v>
      </x:c>
      <x:c r="C6134" s="7" t="str">
        <x:v>PEA-C-Y1</x:v>
      </x:c>
      <x:c r="D6134" s="7" t="str">
        <x:v>factory calibration</x:v>
      </x:c>
      <x:c r="E6134" s="7" t="str">
        <x:v>CAL-CH-PEA-C-Y1-06-3</x:v>
      </x:c>
      <x:c r="F6134" s="7" t="str">
        <x:f>'Calibration Records'!M2199</x:f>
        <x:v>OPEN</x:v>
      </x:c>
    </x:row>
    <x:row r="6135">
      <x:c r="B6135" s="7" t="str">
        <x:v>AG-06129</x:v>
      </x:c>
      <x:c r="C6135" s="7" t="str">
        <x:v>PEA-C-Y1</x:v>
      </x:c>
      <x:c r="D6135" s="7" t="str">
        <x:v>factory calibration</x:v>
      </x:c>
      <x:c r="E6135" s="7" t="str">
        <x:v>CAL-CH-PEA-C-Y1-06-4</x:v>
      </x:c>
      <x:c r="F6135" s="7" t="str">
        <x:f>'Calibration Records'!M2200</x:f>
        <x:v>OPEN</x:v>
      </x:c>
    </x:row>
    <x:row r="6136">
      <x:c r="B6136" s="7" t="str">
        <x:v>AG-06130</x:v>
      </x:c>
      <x:c r="C6136" s="7" t="str">
        <x:v>PEA-C-Y1</x:v>
      </x:c>
      <x:c r="D6136" s="7" t="str">
        <x:v>factory calibration</x:v>
      </x:c>
      <x:c r="E6136" s="7" t="str">
        <x:v>CAL-CH-PEA-C-Y1-06-5</x:v>
      </x:c>
      <x:c r="F6136" s="7" t="str">
        <x:f>'Calibration Records'!M2201</x:f>
        <x:v>OPEN</x:v>
      </x:c>
    </x:row>
    <x:row r="6137">
      <x:c r="B6137" s="7" t="str">
        <x:v>AG-06131</x:v>
      </x:c>
      <x:c r="C6137" s="7" t="str">
        <x:v>PEA-C-Y1</x:v>
      </x:c>
      <x:c r="D6137" s="7" t="str">
        <x:v>factory calibration</x:v>
      </x:c>
      <x:c r="E6137" s="7" t="str">
        <x:v>CAL-CH-PEA-C-Y1-06-6</x:v>
      </x:c>
      <x:c r="F6137" s="7" t="str">
        <x:f>'Calibration Records'!M2202</x:f>
        <x:v>OPEN</x:v>
      </x:c>
    </x:row>
    <x:row r="6138">
      <x:c r="B6138" s="7" t="str">
        <x:v>AG-06132</x:v>
      </x:c>
      <x:c r="C6138" s="7" t="str">
        <x:v>PEA-C-Y1</x:v>
      </x:c>
      <x:c r="D6138" s="7" t="str">
        <x:v>factory calibration</x:v>
      </x:c>
      <x:c r="E6138" s="7" t="str">
        <x:v>CAL-CH-PEA-C-Y1-07-1</x:v>
      </x:c>
      <x:c r="F6138" s="7" t="str">
        <x:f>'Calibration Records'!M2203</x:f>
        <x:v>OPEN</x:v>
      </x:c>
    </x:row>
    <x:row r="6139">
      <x:c r="B6139" s="7" t="str">
        <x:v>AG-06133</x:v>
      </x:c>
      <x:c r="C6139" s="7" t="str">
        <x:v>PEA-C-Y1</x:v>
      </x:c>
      <x:c r="D6139" s="7" t="str">
        <x:v>factory calibration</x:v>
      </x:c>
      <x:c r="E6139" s="7" t="str">
        <x:v>CAL-CH-PEA-C-Y1-07-2</x:v>
      </x:c>
      <x:c r="F6139" s="7" t="str">
        <x:f>'Calibration Records'!M2204</x:f>
        <x:v>OPEN</x:v>
      </x:c>
    </x:row>
    <x:row r="6140">
      <x:c r="B6140" s="7" t="str">
        <x:v>AG-06134</x:v>
      </x:c>
      <x:c r="C6140" s="7" t="str">
        <x:v>PEA-C-Y1</x:v>
      </x:c>
      <x:c r="D6140" s="7" t="str">
        <x:v>factory calibration</x:v>
      </x:c>
      <x:c r="E6140" s="7" t="str">
        <x:v>CAL-CH-PEA-C-Y1-07-3</x:v>
      </x:c>
      <x:c r="F6140" s="7" t="str">
        <x:f>'Calibration Records'!M2205</x:f>
        <x:v>OPEN</x:v>
      </x:c>
    </x:row>
    <x:row r="6141">
      <x:c r="B6141" s="7" t="str">
        <x:v>AG-06135</x:v>
      </x:c>
      <x:c r="C6141" s="7" t="str">
        <x:v>PEA-C-Y1</x:v>
      </x:c>
      <x:c r="D6141" s="7" t="str">
        <x:v>factory calibration</x:v>
      </x:c>
      <x:c r="E6141" s="7" t="str">
        <x:v>CAL-CH-PEA-C-Y1-07-4</x:v>
      </x:c>
      <x:c r="F6141" s="7" t="str">
        <x:f>'Calibration Records'!M2206</x:f>
        <x:v>OPEN</x:v>
      </x:c>
    </x:row>
    <x:row r="6142">
      <x:c r="B6142" s="7" t="str">
        <x:v>AG-06136</x:v>
      </x:c>
      <x:c r="C6142" s="7" t="str">
        <x:v>PEA-C-Y1</x:v>
      </x:c>
      <x:c r="D6142" s="7" t="str">
        <x:v>factory calibration</x:v>
      </x:c>
      <x:c r="E6142" s="7" t="str">
        <x:v>CAL-CH-PEA-C-Y1-07-5</x:v>
      </x:c>
      <x:c r="F6142" s="7" t="str">
        <x:f>'Calibration Records'!M2207</x:f>
        <x:v>OPEN</x:v>
      </x:c>
    </x:row>
    <x:row r="6143">
      <x:c r="B6143" s="7" t="str">
        <x:v>AG-06137</x:v>
      </x:c>
      <x:c r="C6143" s="7" t="str">
        <x:v>PEA-C-Y1</x:v>
      </x:c>
      <x:c r="D6143" s="7" t="str">
        <x:v>factory calibration</x:v>
      </x:c>
      <x:c r="E6143" s="7" t="str">
        <x:v>CAL-CH-PEA-C-Y1-07-6</x:v>
      </x:c>
      <x:c r="F6143" s="7" t="str">
        <x:f>'Calibration Records'!M2208</x:f>
        <x:v>OPEN</x:v>
      </x:c>
    </x:row>
    <x:row r="6144">
      <x:c r="B6144" s="7" t="str">
        <x:v>AG-06138</x:v>
      </x:c>
      <x:c r="C6144" s="7" t="str">
        <x:v>PEA-C-Y1</x:v>
      </x:c>
      <x:c r="D6144" s="7" t="str">
        <x:v>factory calibration</x:v>
      </x:c>
      <x:c r="E6144" s="7" t="str">
        <x:v>CAL-CH-PEA-C-Y1-08-1</x:v>
      </x:c>
      <x:c r="F6144" s="7" t="str">
        <x:f>'Calibration Records'!M2209</x:f>
        <x:v>OPEN</x:v>
      </x:c>
    </x:row>
    <x:row r="6145">
      <x:c r="B6145" s="7" t="str">
        <x:v>AG-06139</x:v>
      </x:c>
      <x:c r="C6145" s="7" t="str">
        <x:v>PEA-C-Y1</x:v>
      </x:c>
      <x:c r="D6145" s="7" t="str">
        <x:v>factory calibration</x:v>
      </x:c>
      <x:c r="E6145" s="7" t="str">
        <x:v>CAL-CH-PEA-C-Y1-08-2</x:v>
      </x:c>
      <x:c r="F6145" s="7" t="str">
        <x:f>'Calibration Records'!M2210</x:f>
        <x:v>OPEN</x:v>
      </x:c>
    </x:row>
    <x:row r="6146">
      <x:c r="B6146" s="7" t="str">
        <x:v>AG-06140</x:v>
      </x:c>
      <x:c r="C6146" s="7" t="str">
        <x:v>PEA-C-Y1</x:v>
      </x:c>
      <x:c r="D6146" s="7" t="str">
        <x:v>factory calibration</x:v>
      </x:c>
      <x:c r="E6146" s="7" t="str">
        <x:v>CAL-CH-PEA-C-Y1-08-3</x:v>
      </x:c>
      <x:c r="F6146" s="7" t="str">
        <x:f>'Calibration Records'!M2211</x:f>
        <x:v>OPEN</x:v>
      </x:c>
    </x:row>
    <x:row r="6147">
      <x:c r="B6147" s="7" t="str">
        <x:v>AG-06141</x:v>
      </x:c>
      <x:c r="C6147" s="7" t="str">
        <x:v>PEA-C-Y1</x:v>
      </x:c>
      <x:c r="D6147" s="7" t="str">
        <x:v>factory calibration</x:v>
      </x:c>
      <x:c r="E6147" s="7" t="str">
        <x:v>CAL-CH-PEA-C-Y1-08-4</x:v>
      </x:c>
      <x:c r="F6147" s="7" t="str">
        <x:f>'Calibration Records'!M2212</x:f>
        <x:v>OPEN</x:v>
      </x:c>
    </x:row>
    <x:row r="6148">
      <x:c r="B6148" s="7" t="str">
        <x:v>AG-06142</x:v>
      </x:c>
      <x:c r="C6148" s="7" t="str">
        <x:v>PEA-C-Y1</x:v>
      </x:c>
      <x:c r="D6148" s="7" t="str">
        <x:v>factory calibration</x:v>
      </x:c>
      <x:c r="E6148" s="7" t="str">
        <x:v>CAL-CH-PEA-C-Y1-08-5</x:v>
      </x:c>
      <x:c r="F6148" s="7" t="str">
        <x:f>'Calibration Records'!M2213</x:f>
        <x:v>OPEN</x:v>
      </x:c>
    </x:row>
    <x:row r="6149">
      <x:c r="B6149" s="7" t="str">
        <x:v>AG-06143</x:v>
      </x:c>
      <x:c r="C6149" s="7" t="str">
        <x:v>PEA-C-Y1</x:v>
      </x:c>
      <x:c r="D6149" s="7" t="str">
        <x:v>factory calibration</x:v>
      </x:c>
      <x:c r="E6149" s="7" t="str">
        <x:v>CAL-CH-PEA-C-Y1-08-6</x:v>
      </x:c>
      <x:c r="F6149" s="7" t="str">
        <x:f>'Calibration Records'!M2214</x:f>
        <x:v>OPEN</x:v>
      </x:c>
    </x:row>
    <x:row r="6150">
      <x:c r="B6150" s="7" t="str">
        <x:v>AG-06144</x:v>
      </x:c>
      <x:c r="C6150" s="7" t="str">
        <x:v>PEA-C-Y1</x:v>
      </x:c>
      <x:c r="D6150" s="7" t="str">
        <x:v>factory calibration</x:v>
      </x:c>
      <x:c r="E6150" s="7" t="str">
        <x:v>CAL-CH-PEA-C-Y1-09-1</x:v>
      </x:c>
      <x:c r="F6150" s="7" t="str">
        <x:f>'Calibration Records'!M2215</x:f>
        <x:v>OPEN</x:v>
      </x:c>
    </x:row>
    <x:row r="6151">
      <x:c r="B6151" s="7" t="str">
        <x:v>AG-06145</x:v>
      </x:c>
      <x:c r="C6151" s="7" t="str">
        <x:v>PEA-C-Y1</x:v>
      </x:c>
      <x:c r="D6151" s="7" t="str">
        <x:v>factory calibration</x:v>
      </x:c>
      <x:c r="E6151" s="7" t="str">
        <x:v>CAL-CH-PEA-C-Y1-09-2</x:v>
      </x:c>
      <x:c r="F6151" s="7" t="str">
        <x:f>'Calibration Records'!M2216</x:f>
        <x:v>OPEN</x:v>
      </x:c>
    </x:row>
    <x:row r="6152">
      <x:c r="B6152" s="7" t="str">
        <x:v>AG-06146</x:v>
      </x:c>
      <x:c r="C6152" s="7" t="str">
        <x:v>PEA-C-Y1</x:v>
      </x:c>
      <x:c r="D6152" s="7" t="str">
        <x:v>factory calibration</x:v>
      </x:c>
      <x:c r="E6152" s="7" t="str">
        <x:v>CAL-CH-PEA-C-Y1-09-3</x:v>
      </x:c>
      <x:c r="F6152" s="7" t="str">
        <x:f>'Calibration Records'!M2217</x:f>
        <x:v>OPEN</x:v>
      </x:c>
    </x:row>
    <x:row r="6153">
      <x:c r="B6153" s="7" t="str">
        <x:v>AG-06147</x:v>
      </x:c>
      <x:c r="C6153" s="7" t="str">
        <x:v>PEA-C-Y1</x:v>
      </x:c>
      <x:c r="D6153" s="7" t="str">
        <x:v>factory calibration</x:v>
      </x:c>
      <x:c r="E6153" s="7" t="str">
        <x:v>CAL-CH-PEA-C-Y1-09-4</x:v>
      </x:c>
      <x:c r="F6153" s="7" t="str">
        <x:f>'Calibration Records'!M2218</x:f>
        <x:v>OPEN</x:v>
      </x:c>
    </x:row>
    <x:row r="6154">
      <x:c r="B6154" s="7" t="str">
        <x:v>AG-06148</x:v>
      </x:c>
      <x:c r="C6154" s="7" t="str">
        <x:v>PEA-C-Y1</x:v>
      </x:c>
      <x:c r="D6154" s="7" t="str">
        <x:v>factory calibration</x:v>
      </x:c>
      <x:c r="E6154" s="7" t="str">
        <x:v>CAL-CH-PEA-C-Y1-09-5</x:v>
      </x:c>
      <x:c r="F6154" s="7" t="str">
        <x:f>'Calibration Records'!M2219</x:f>
        <x:v>OPEN</x:v>
      </x:c>
    </x:row>
    <x:row r="6155">
      <x:c r="B6155" s="7" t="str">
        <x:v>AG-06149</x:v>
      </x:c>
      <x:c r="C6155" s="7" t="str">
        <x:v>PEA-C-Y1</x:v>
      </x:c>
      <x:c r="D6155" s="7" t="str">
        <x:v>factory calibration</x:v>
      </x:c>
      <x:c r="E6155" s="7" t="str">
        <x:v>CAL-CH-PEA-C-Y1-09-6</x:v>
      </x:c>
      <x:c r="F6155" s="7" t="str">
        <x:f>'Calibration Records'!M2220</x:f>
        <x:v>OPEN</x:v>
      </x:c>
    </x:row>
    <x:row r="6156">
      <x:c r="B6156" s="7" t="str">
        <x:v>AG-06150</x:v>
      </x:c>
      <x:c r="C6156" s="7" t="str">
        <x:v>PEA-C-Y1</x:v>
      </x:c>
      <x:c r="D6156" s="7" t="str">
        <x:v>factory calibration</x:v>
      </x:c>
      <x:c r="E6156" s="7" t="str">
        <x:v>CAL-CH-PEA-C-Y1-10-1</x:v>
      </x:c>
      <x:c r="F6156" s="7" t="str">
        <x:f>'Calibration Records'!M2221</x:f>
        <x:v>OPEN</x:v>
      </x:c>
    </x:row>
    <x:row r="6157">
      <x:c r="B6157" s="7" t="str">
        <x:v>AG-06151</x:v>
      </x:c>
      <x:c r="C6157" s="7" t="str">
        <x:v>PEA-C-Y1</x:v>
      </x:c>
      <x:c r="D6157" s="7" t="str">
        <x:v>factory calibration</x:v>
      </x:c>
      <x:c r="E6157" s="7" t="str">
        <x:v>CAL-CH-PEA-C-Y1-10-2</x:v>
      </x:c>
      <x:c r="F6157" s="7" t="str">
        <x:f>'Calibration Records'!M2222</x:f>
        <x:v>OPEN</x:v>
      </x:c>
    </x:row>
    <x:row r="6158">
      <x:c r="B6158" s="7" t="str">
        <x:v>AG-06152</x:v>
      </x:c>
      <x:c r="C6158" s="7" t="str">
        <x:v>PEA-C-Y1</x:v>
      </x:c>
      <x:c r="D6158" s="7" t="str">
        <x:v>factory calibration</x:v>
      </x:c>
      <x:c r="E6158" s="7" t="str">
        <x:v>CAL-CH-PEA-C-Y1-10-3</x:v>
      </x:c>
      <x:c r="F6158" s="7" t="str">
        <x:f>'Calibration Records'!M2223</x:f>
        <x:v>OPEN</x:v>
      </x:c>
    </x:row>
    <x:row r="6159">
      <x:c r="B6159" s="7" t="str">
        <x:v>AG-06153</x:v>
      </x:c>
      <x:c r="C6159" s="7" t="str">
        <x:v>PEA-C-Y1</x:v>
      </x:c>
      <x:c r="D6159" s="7" t="str">
        <x:v>factory calibration</x:v>
      </x:c>
      <x:c r="E6159" s="7" t="str">
        <x:v>CAL-CH-PEA-C-Y1-10-4</x:v>
      </x:c>
      <x:c r="F6159" s="7" t="str">
        <x:f>'Calibration Records'!M2224</x:f>
        <x:v>OPEN</x:v>
      </x:c>
    </x:row>
    <x:row r="6160">
      <x:c r="B6160" s="7" t="str">
        <x:v>AG-06154</x:v>
      </x:c>
      <x:c r="C6160" s="7" t="str">
        <x:v>PEA-C-Y1</x:v>
      </x:c>
      <x:c r="D6160" s="7" t="str">
        <x:v>factory calibration</x:v>
      </x:c>
      <x:c r="E6160" s="7" t="str">
        <x:v>CAL-CH-PEA-C-Y1-10-5</x:v>
      </x:c>
      <x:c r="F6160" s="7" t="str">
        <x:f>'Calibration Records'!M2225</x:f>
        <x:v>OPEN</x:v>
      </x:c>
    </x:row>
    <x:row r="6161">
      <x:c r="B6161" s="7" t="str">
        <x:v>AG-06155</x:v>
      </x:c>
      <x:c r="C6161" s="7" t="str">
        <x:v>PEA-C-Y1</x:v>
      </x:c>
      <x:c r="D6161" s="7" t="str">
        <x:v>factory calibration</x:v>
      </x:c>
      <x:c r="E6161" s="7" t="str">
        <x:v>CAL-CH-PEA-C-Y1-10-6</x:v>
      </x:c>
      <x:c r="F6161" s="7" t="str">
        <x:f>'Calibration Records'!M2226</x:f>
        <x:v>OPEN</x:v>
      </x:c>
    </x:row>
    <x:row r="6162">
      <x:c r="B6162" s="7" t="str">
        <x:v>AG-06156</x:v>
      </x:c>
      <x:c r="C6162" s="7" t="str">
        <x:v>PEA-C-Y1</x:v>
      </x:c>
      <x:c r="D6162" s="7" t="str">
        <x:v>factory calibration</x:v>
      </x:c>
      <x:c r="E6162" s="7" t="str">
        <x:v>CAL-CH-PEA-C-Y1-11-1</x:v>
      </x:c>
      <x:c r="F6162" s="7" t="str">
        <x:f>'Calibration Records'!M2227</x:f>
        <x:v>OPEN</x:v>
      </x:c>
    </x:row>
    <x:row r="6163">
      <x:c r="B6163" s="7" t="str">
        <x:v>AG-06157</x:v>
      </x:c>
      <x:c r="C6163" s="7" t="str">
        <x:v>PEA-C-Y1</x:v>
      </x:c>
      <x:c r="D6163" s="7" t="str">
        <x:v>factory calibration</x:v>
      </x:c>
      <x:c r="E6163" s="7" t="str">
        <x:v>CAL-CH-PEA-C-Y1-11-2</x:v>
      </x:c>
      <x:c r="F6163" s="7" t="str">
        <x:f>'Calibration Records'!M2228</x:f>
        <x:v>OPEN</x:v>
      </x:c>
    </x:row>
    <x:row r="6164">
      <x:c r="B6164" s="7" t="str">
        <x:v>AG-06158</x:v>
      </x:c>
      <x:c r="C6164" s="7" t="str">
        <x:v>PEA-C-Y1</x:v>
      </x:c>
      <x:c r="D6164" s="7" t="str">
        <x:v>factory calibration</x:v>
      </x:c>
      <x:c r="E6164" s="7" t="str">
        <x:v>CAL-CH-PEA-C-Y1-11-3</x:v>
      </x:c>
      <x:c r="F6164" s="7" t="str">
        <x:f>'Calibration Records'!M2229</x:f>
        <x:v>OPEN</x:v>
      </x:c>
    </x:row>
    <x:row r="6165">
      <x:c r="B6165" s="7" t="str">
        <x:v>AG-06159</x:v>
      </x:c>
      <x:c r="C6165" s="7" t="str">
        <x:v>PEA-C-Y1</x:v>
      </x:c>
      <x:c r="D6165" s="7" t="str">
        <x:v>factory calibration</x:v>
      </x:c>
      <x:c r="E6165" s="7" t="str">
        <x:v>CAL-CH-PEA-C-Y1-11-4</x:v>
      </x:c>
      <x:c r="F6165" s="7" t="str">
        <x:f>'Calibration Records'!M2230</x:f>
        <x:v>OPEN</x:v>
      </x:c>
    </x:row>
    <x:row r="6166">
      <x:c r="B6166" s="7" t="str">
        <x:v>AG-06160</x:v>
      </x:c>
      <x:c r="C6166" s="7" t="str">
        <x:v>PEA-C-Y1</x:v>
      </x:c>
      <x:c r="D6166" s="7" t="str">
        <x:v>factory calibration</x:v>
      </x:c>
      <x:c r="E6166" s="7" t="str">
        <x:v>CAL-CH-PEA-C-Y1-11-5</x:v>
      </x:c>
      <x:c r="F6166" s="7" t="str">
        <x:f>'Calibration Records'!M2231</x:f>
        <x:v>OPEN</x:v>
      </x:c>
    </x:row>
    <x:row r="6167">
      <x:c r="B6167" s="7" t="str">
        <x:v>AG-06161</x:v>
      </x:c>
      <x:c r="C6167" s="7" t="str">
        <x:v>PEA-C-Y1</x:v>
      </x:c>
      <x:c r="D6167" s="7" t="str">
        <x:v>factory calibration</x:v>
      </x:c>
      <x:c r="E6167" s="7" t="str">
        <x:v>CAL-CH-PEA-C-Y1-11-6</x:v>
      </x:c>
      <x:c r="F6167" s="7" t="str">
        <x:f>'Calibration Records'!M2232</x:f>
        <x:v>OPEN</x:v>
      </x:c>
    </x:row>
    <x:row r="6168">
      <x:c r="B6168" s="7" t="str">
        <x:v>AG-06162</x:v>
      </x:c>
      <x:c r="C6168" s="7" t="str">
        <x:v>PEA-C-Y1</x:v>
      </x:c>
      <x:c r="D6168" s="7" t="str">
        <x:v>factory calibration</x:v>
      </x:c>
      <x:c r="E6168" s="7" t="str">
        <x:v>CAL-CH-PEA-C-Y1-12-1</x:v>
      </x:c>
      <x:c r="F6168" s="7" t="str">
        <x:f>'Calibration Records'!M2233</x:f>
        <x:v>OPEN</x:v>
      </x:c>
    </x:row>
    <x:row r="6169">
      <x:c r="B6169" s="7" t="str">
        <x:v>AG-06163</x:v>
      </x:c>
      <x:c r="C6169" s="7" t="str">
        <x:v>PEA-C-Y1</x:v>
      </x:c>
      <x:c r="D6169" s="7" t="str">
        <x:v>factory calibration</x:v>
      </x:c>
      <x:c r="E6169" s="7" t="str">
        <x:v>CAL-CH-PEA-C-Y1-12-2</x:v>
      </x:c>
      <x:c r="F6169" s="7" t="str">
        <x:f>'Calibration Records'!M2234</x:f>
        <x:v>OPEN</x:v>
      </x:c>
    </x:row>
    <x:row r="6170">
      <x:c r="B6170" s="7" t="str">
        <x:v>AG-06164</x:v>
      </x:c>
      <x:c r="C6170" s="7" t="str">
        <x:v>PEA-C-Y1</x:v>
      </x:c>
      <x:c r="D6170" s="7" t="str">
        <x:v>factory calibration</x:v>
      </x:c>
      <x:c r="E6170" s="7" t="str">
        <x:v>CAL-CH-PEA-C-Y1-12-3</x:v>
      </x:c>
      <x:c r="F6170" s="7" t="str">
        <x:f>'Calibration Records'!M2235</x:f>
        <x:v>OPEN</x:v>
      </x:c>
    </x:row>
    <x:row r="6171">
      <x:c r="B6171" s="7" t="str">
        <x:v>AG-06165</x:v>
      </x:c>
      <x:c r="C6171" s="7" t="str">
        <x:v>PEA-C-Y1</x:v>
      </x:c>
      <x:c r="D6171" s="7" t="str">
        <x:v>factory calibration</x:v>
      </x:c>
      <x:c r="E6171" s="7" t="str">
        <x:v>CAL-CH-PEA-C-Y1-12-4</x:v>
      </x:c>
      <x:c r="F6171" s="7" t="str">
        <x:f>'Calibration Records'!M2236</x:f>
        <x:v>OPEN</x:v>
      </x:c>
    </x:row>
    <x:row r="6172">
      <x:c r="B6172" s="7" t="str">
        <x:v>AG-06166</x:v>
      </x:c>
      <x:c r="C6172" s="7" t="str">
        <x:v>PEA-C-Y1</x:v>
      </x:c>
      <x:c r="D6172" s="7" t="str">
        <x:v>factory calibration</x:v>
      </x:c>
      <x:c r="E6172" s="7" t="str">
        <x:v>CAL-CH-PEA-C-Y1-12-5</x:v>
      </x:c>
      <x:c r="F6172" s="7" t="str">
        <x:f>'Calibration Records'!M2237</x:f>
        <x:v>OPEN</x:v>
      </x:c>
    </x:row>
    <x:row r="6173">
      <x:c r="B6173" s="7" t="str">
        <x:v>AG-06167</x:v>
      </x:c>
      <x:c r="C6173" s="7" t="str">
        <x:v>PEA-C-Y1</x:v>
      </x:c>
      <x:c r="D6173" s="7" t="str">
        <x:v>factory calibration</x:v>
      </x:c>
      <x:c r="E6173" s="7" t="str">
        <x:v>CAL-CH-PEA-C-Y1-12-6</x:v>
      </x:c>
      <x:c r="F6173" s="7" t="str">
        <x:f>'Calibration Records'!M2238</x:f>
        <x:v>OPEN</x:v>
      </x:c>
    </x:row>
    <x:row r="6174">
      <x:c r="B6174" s="7" t="str">
        <x:v>AG-06168</x:v>
      </x:c>
      <x:c r="C6174" s="7" t="str">
        <x:v>PEA-C-Y1</x:v>
      </x:c>
      <x:c r="D6174" s="7" t="str">
        <x:v>factory calibration</x:v>
      </x:c>
      <x:c r="E6174" s="7" t="str">
        <x:v>CAL-CH-PEA-C-Y1-13-1</x:v>
      </x:c>
      <x:c r="F6174" s="7" t="str">
        <x:f>'Calibration Records'!M2239</x:f>
        <x:v>OPEN</x:v>
      </x:c>
    </x:row>
    <x:row r="6175">
      <x:c r="B6175" s="7" t="str">
        <x:v>AG-06169</x:v>
      </x:c>
      <x:c r="C6175" s="7" t="str">
        <x:v>PEA-C-Y1</x:v>
      </x:c>
      <x:c r="D6175" s="7" t="str">
        <x:v>factory calibration</x:v>
      </x:c>
      <x:c r="E6175" s="7" t="str">
        <x:v>CAL-CH-PEA-C-Y1-13-2</x:v>
      </x:c>
      <x:c r="F6175" s="7" t="str">
        <x:f>'Calibration Records'!M2240</x:f>
        <x:v>OPEN</x:v>
      </x:c>
    </x:row>
    <x:row r="6176">
      <x:c r="B6176" s="7" t="str">
        <x:v>AG-06170</x:v>
      </x:c>
      <x:c r="C6176" s="7" t="str">
        <x:v>PEA-C-Y1</x:v>
      </x:c>
      <x:c r="D6176" s="7" t="str">
        <x:v>factory calibration</x:v>
      </x:c>
      <x:c r="E6176" s="7" t="str">
        <x:v>CAL-CH-PEA-C-Y1-13-3</x:v>
      </x:c>
      <x:c r="F6176" s="7" t="str">
        <x:f>'Calibration Records'!M2241</x:f>
        <x:v>OPEN</x:v>
      </x:c>
    </x:row>
    <x:row r="6177">
      <x:c r="B6177" s="7" t="str">
        <x:v>AG-06171</x:v>
      </x:c>
      <x:c r="C6177" s="7" t="str">
        <x:v>PEA-C-Y1</x:v>
      </x:c>
      <x:c r="D6177" s="7" t="str">
        <x:v>factory calibration</x:v>
      </x:c>
      <x:c r="E6177" s="7" t="str">
        <x:v>CAL-CH-PEA-C-Y1-13-4</x:v>
      </x:c>
      <x:c r="F6177" s="7" t="str">
        <x:f>'Calibration Records'!M2242</x:f>
        <x:v>OPEN</x:v>
      </x:c>
    </x:row>
    <x:row r="6178">
      <x:c r="B6178" s="7" t="str">
        <x:v>AG-06172</x:v>
      </x:c>
      <x:c r="C6178" s="7" t="str">
        <x:v>PEA-C-Y1</x:v>
      </x:c>
      <x:c r="D6178" s="7" t="str">
        <x:v>factory calibration</x:v>
      </x:c>
      <x:c r="E6178" s="7" t="str">
        <x:v>CAL-CH-PEA-C-Y1-13-5</x:v>
      </x:c>
      <x:c r="F6178" s="7" t="str">
        <x:f>'Calibration Records'!M2243</x:f>
        <x:v>OPEN</x:v>
      </x:c>
    </x:row>
    <x:row r="6179">
      <x:c r="B6179" s="7" t="str">
        <x:v>AG-06173</x:v>
      </x:c>
      <x:c r="C6179" s="7" t="str">
        <x:v>PEA-C-Y1</x:v>
      </x:c>
      <x:c r="D6179" s="7" t="str">
        <x:v>factory calibration</x:v>
      </x:c>
      <x:c r="E6179" s="7" t="str">
        <x:v>CAL-CH-PEA-C-Y1-13-6</x:v>
      </x:c>
      <x:c r="F6179" s="7" t="str">
        <x:f>'Calibration Records'!M2244</x:f>
        <x:v>OPEN</x:v>
      </x:c>
    </x:row>
    <x:row r="6180">
      <x:c r="B6180" s="7" t="str">
        <x:v>AG-06174</x:v>
      </x:c>
      <x:c r="C6180" s="7" t="str">
        <x:v>PEA-C-Y1</x:v>
      </x:c>
      <x:c r="D6180" s="7" t="str">
        <x:v>factory calibration</x:v>
      </x:c>
      <x:c r="E6180" s="7" t="str">
        <x:v>CAL-CH-PEA-C-Y1-14-1</x:v>
      </x:c>
      <x:c r="F6180" s="7" t="str">
        <x:f>'Calibration Records'!M2245</x:f>
        <x:v>OPEN</x:v>
      </x:c>
    </x:row>
    <x:row r="6181">
      <x:c r="B6181" s="7" t="str">
        <x:v>AG-06175</x:v>
      </x:c>
      <x:c r="C6181" s="7" t="str">
        <x:v>PEA-C-Y1</x:v>
      </x:c>
      <x:c r="D6181" s="7" t="str">
        <x:v>factory calibration</x:v>
      </x:c>
      <x:c r="E6181" s="7" t="str">
        <x:v>CAL-CH-PEA-C-Y1-14-2</x:v>
      </x:c>
      <x:c r="F6181" s="7" t="str">
        <x:f>'Calibration Records'!M2246</x:f>
        <x:v>OPEN</x:v>
      </x:c>
    </x:row>
    <x:row r="6182">
      <x:c r="B6182" s="7" t="str">
        <x:v>AG-06176</x:v>
      </x:c>
      <x:c r="C6182" s="7" t="str">
        <x:v>PEA-C-Y1</x:v>
      </x:c>
      <x:c r="D6182" s="7" t="str">
        <x:v>factory calibration</x:v>
      </x:c>
      <x:c r="E6182" s="7" t="str">
        <x:v>CAL-CH-PEA-C-Y1-14-3</x:v>
      </x:c>
      <x:c r="F6182" s="7" t="str">
        <x:f>'Calibration Records'!M2247</x:f>
        <x:v>OPEN</x:v>
      </x:c>
    </x:row>
    <x:row r="6183">
      <x:c r="B6183" s="7" t="str">
        <x:v>AG-06177</x:v>
      </x:c>
      <x:c r="C6183" s="7" t="str">
        <x:v>PEA-C-Y1</x:v>
      </x:c>
      <x:c r="D6183" s="7" t="str">
        <x:v>factory calibration</x:v>
      </x:c>
      <x:c r="E6183" s="7" t="str">
        <x:v>CAL-CH-PEA-C-Y1-14-4</x:v>
      </x:c>
      <x:c r="F6183" s="7" t="str">
        <x:f>'Calibration Records'!M2248</x:f>
        <x:v>OPEN</x:v>
      </x:c>
    </x:row>
    <x:row r="6184">
      <x:c r="B6184" s="7" t="str">
        <x:v>AG-06178</x:v>
      </x:c>
      <x:c r="C6184" s="7" t="str">
        <x:v>PEA-C-Y1</x:v>
      </x:c>
      <x:c r="D6184" s="7" t="str">
        <x:v>factory calibration</x:v>
      </x:c>
      <x:c r="E6184" s="7" t="str">
        <x:v>CAL-CH-PEA-C-Y1-14-5</x:v>
      </x:c>
      <x:c r="F6184" s="7" t="str">
        <x:f>'Calibration Records'!M2249</x:f>
        <x:v>OPEN</x:v>
      </x:c>
    </x:row>
    <x:row r="6185">
      <x:c r="B6185" s="7" t="str">
        <x:v>AG-06179</x:v>
      </x:c>
      <x:c r="C6185" s="7" t="str">
        <x:v>PEA-C-Y1</x:v>
      </x:c>
      <x:c r="D6185" s="7" t="str">
        <x:v>factory calibration</x:v>
      </x:c>
      <x:c r="E6185" s="7" t="str">
        <x:v>CAL-CH-PEA-C-Y1-14-6</x:v>
      </x:c>
      <x:c r="F6185" s="7" t="str">
        <x:f>'Calibration Records'!M2250</x:f>
        <x:v>OPEN</x:v>
      </x:c>
    </x:row>
    <x:row r="6186">
      <x:c r="B6186" s="7" t="str">
        <x:v>AG-06180</x:v>
      </x:c>
      <x:c r="C6186" s="7" t="str">
        <x:v>PEA-C-Y1</x:v>
      </x:c>
      <x:c r="D6186" s="7" t="str">
        <x:v>factory calibration</x:v>
      </x:c>
      <x:c r="E6186" s="7" t="str">
        <x:v>CAL-CH-PEA-C-Y1-15-1</x:v>
      </x:c>
      <x:c r="F6186" s="7" t="str">
        <x:f>'Calibration Records'!M2251</x:f>
        <x:v>OPEN</x:v>
      </x:c>
    </x:row>
    <x:row r="6187">
      <x:c r="B6187" s="7" t="str">
        <x:v>AG-06181</x:v>
      </x:c>
      <x:c r="C6187" s="7" t="str">
        <x:v>PEA-C-Y1</x:v>
      </x:c>
      <x:c r="D6187" s="7" t="str">
        <x:v>factory calibration</x:v>
      </x:c>
      <x:c r="E6187" s="7" t="str">
        <x:v>CAL-CH-PEA-C-Y1-15-2</x:v>
      </x:c>
      <x:c r="F6187" s="7" t="str">
        <x:f>'Calibration Records'!M2252</x:f>
        <x:v>OPEN</x:v>
      </x:c>
    </x:row>
    <x:row r="6188">
      <x:c r="B6188" s="7" t="str">
        <x:v>AG-06182</x:v>
      </x:c>
      <x:c r="C6188" s="7" t="str">
        <x:v>PEA-C-Y1</x:v>
      </x:c>
      <x:c r="D6188" s="7" t="str">
        <x:v>factory calibration</x:v>
      </x:c>
      <x:c r="E6188" s="7" t="str">
        <x:v>CAL-CH-PEA-C-Y1-15-3</x:v>
      </x:c>
      <x:c r="F6188" s="7" t="str">
        <x:f>'Calibration Records'!M2253</x:f>
        <x:v>OPEN</x:v>
      </x:c>
    </x:row>
    <x:row r="6189">
      <x:c r="B6189" s="7" t="str">
        <x:v>AG-06183</x:v>
      </x:c>
      <x:c r="C6189" s="7" t="str">
        <x:v>PEA-C-Y1</x:v>
      </x:c>
      <x:c r="D6189" s="7" t="str">
        <x:v>factory calibration</x:v>
      </x:c>
      <x:c r="E6189" s="7" t="str">
        <x:v>CAL-CH-PEA-C-Y1-15-4</x:v>
      </x:c>
      <x:c r="F6189" s="7" t="str">
        <x:f>'Calibration Records'!M2254</x:f>
        <x:v>OPEN</x:v>
      </x:c>
    </x:row>
    <x:row r="6190">
      <x:c r="B6190" s="7" t="str">
        <x:v>AG-06184</x:v>
      </x:c>
      <x:c r="C6190" s="7" t="str">
        <x:v>PEA-C-Y1</x:v>
      </x:c>
      <x:c r="D6190" s="7" t="str">
        <x:v>factory calibration</x:v>
      </x:c>
      <x:c r="E6190" s="7" t="str">
        <x:v>CAL-CH-PEA-C-Y1-15-5</x:v>
      </x:c>
      <x:c r="F6190" s="7" t="str">
        <x:f>'Calibration Records'!M2255</x:f>
        <x:v>OPEN</x:v>
      </x:c>
    </x:row>
    <x:row r="6191">
      <x:c r="B6191" s="7" t="str">
        <x:v>AG-06185</x:v>
      </x:c>
      <x:c r="C6191" s="7" t="str">
        <x:v>PEA-C-Y1</x:v>
      </x:c>
      <x:c r="D6191" s="7" t="str">
        <x:v>factory calibration</x:v>
      </x:c>
      <x:c r="E6191" s="7" t="str">
        <x:v>CAL-CH-PEA-C-Y1-15-6</x:v>
      </x:c>
      <x:c r="F6191" s="7" t="str">
        <x:f>'Calibration Records'!M2256</x:f>
        <x:v>OPEN</x:v>
      </x:c>
    </x:row>
    <x:row r="6192">
      <x:c r="B6192" s="7" t="str">
        <x:v>AG-06186</x:v>
      </x:c>
      <x:c r="C6192" s="7" t="str">
        <x:v>PEA-C-Y1</x:v>
      </x:c>
      <x:c r="D6192" s="7" t="str">
        <x:v>factory calibration</x:v>
      </x:c>
      <x:c r="E6192" s="7" t="str">
        <x:v>CAL-CH-PEA-C-Y1-16-1</x:v>
      </x:c>
      <x:c r="F6192" s="7" t="str">
        <x:f>'Calibration Records'!M2257</x:f>
        <x:v>OPEN</x:v>
      </x:c>
    </x:row>
    <x:row r="6193">
      <x:c r="B6193" s="7" t="str">
        <x:v>AG-06187</x:v>
      </x:c>
      <x:c r="C6193" s="7" t="str">
        <x:v>PEA-C-Y1</x:v>
      </x:c>
      <x:c r="D6193" s="7" t="str">
        <x:v>factory calibration</x:v>
      </x:c>
      <x:c r="E6193" s="7" t="str">
        <x:v>CAL-CH-PEA-C-Y1-16-2</x:v>
      </x:c>
      <x:c r="F6193" s="7" t="str">
        <x:f>'Calibration Records'!M2258</x:f>
        <x:v>OPEN</x:v>
      </x:c>
    </x:row>
    <x:row r="6194">
      <x:c r="B6194" s="7" t="str">
        <x:v>AG-06188</x:v>
      </x:c>
      <x:c r="C6194" s="7" t="str">
        <x:v>PEA-C-Y1</x:v>
      </x:c>
      <x:c r="D6194" s="7" t="str">
        <x:v>factory calibration</x:v>
      </x:c>
      <x:c r="E6194" s="7" t="str">
        <x:v>CAL-CH-PEA-C-Y1-16-3</x:v>
      </x:c>
      <x:c r="F6194" s="7" t="str">
        <x:f>'Calibration Records'!M2259</x:f>
        <x:v>OPEN</x:v>
      </x:c>
    </x:row>
    <x:row r="6195">
      <x:c r="B6195" s="7" t="str">
        <x:v>AG-06189</x:v>
      </x:c>
      <x:c r="C6195" s="7" t="str">
        <x:v>PEA-C-Y1</x:v>
      </x:c>
      <x:c r="D6195" s="7" t="str">
        <x:v>factory calibration</x:v>
      </x:c>
      <x:c r="E6195" s="7" t="str">
        <x:v>CAL-CH-PEA-C-Y1-16-4</x:v>
      </x:c>
      <x:c r="F6195" s="7" t="str">
        <x:f>'Calibration Records'!M2260</x:f>
        <x:v>OPEN</x:v>
      </x:c>
    </x:row>
    <x:row r="6196">
      <x:c r="B6196" s="7" t="str">
        <x:v>AG-06190</x:v>
      </x:c>
      <x:c r="C6196" s="7" t="str">
        <x:v>PEA-C-Y1</x:v>
      </x:c>
      <x:c r="D6196" s="7" t="str">
        <x:v>factory calibration</x:v>
      </x:c>
      <x:c r="E6196" s="7" t="str">
        <x:v>CAL-CH-PEA-C-Y1-16-5</x:v>
      </x:c>
      <x:c r="F6196" s="7" t="str">
        <x:f>'Calibration Records'!M2261</x:f>
        <x:v>OPEN</x:v>
      </x:c>
    </x:row>
    <x:row r="6197">
      <x:c r="B6197" s="7" t="str">
        <x:v>AG-06191</x:v>
      </x:c>
      <x:c r="C6197" s="7" t="str">
        <x:v>PEA-C-Y1</x:v>
      </x:c>
      <x:c r="D6197" s="7" t="str">
        <x:v>factory calibration</x:v>
      </x:c>
      <x:c r="E6197" s="7" t="str">
        <x:v>CAL-CH-PEA-C-Y1-16-6</x:v>
      </x:c>
      <x:c r="F6197" s="7" t="str">
        <x:f>'Calibration Records'!M2262</x:f>
        <x:v>OPEN</x:v>
      </x:c>
    </x:row>
    <x:row r="6198">
      <x:c r="B6198" s="7" t="str">
        <x:v>AG-06192</x:v>
      </x:c>
      <x:c r="C6198" s="7" t="str">
        <x:v>PEA-C-Y1</x:v>
      </x:c>
      <x:c r="D6198" s="7" t="str">
        <x:v>factory calibration</x:v>
      </x:c>
      <x:c r="E6198" s="7" t="str">
        <x:v>CAL-CH-PEA-C-Y1-17-1</x:v>
      </x:c>
      <x:c r="F6198" s="7" t="str">
        <x:f>'Calibration Records'!M2263</x:f>
        <x:v>OPEN</x:v>
      </x:c>
    </x:row>
    <x:row r="6199">
      <x:c r="B6199" s="7" t="str">
        <x:v>AG-06193</x:v>
      </x:c>
      <x:c r="C6199" s="7" t="str">
        <x:v>PEA-C-Y1</x:v>
      </x:c>
      <x:c r="D6199" s="7" t="str">
        <x:v>factory calibration</x:v>
      </x:c>
      <x:c r="E6199" s="7" t="str">
        <x:v>CAL-CH-PEA-C-Y1-17-2</x:v>
      </x:c>
      <x:c r="F6199" s="7" t="str">
        <x:f>'Calibration Records'!M2264</x:f>
        <x:v>OPEN</x:v>
      </x:c>
    </x:row>
    <x:row r="6200">
      <x:c r="B6200" s="7" t="str">
        <x:v>AG-06194</x:v>
      </x:c>
      <x:c r="C6200" s="7" t="str">
        <x:v>PEA-C-Y1</x:v>
      </x:c>
      <x:c r="D6200" s="7" t="str">
        <x:v>factory calibration</x:v>
      </x:c>
      <x:c r="E6200" s="7" t="str">
        <x:v>CAL-CH-PEA-C-Y1-17-3</x:v>
      </x:c>
      <x:c r="F6200" s="7" t="str">
        <x:f>'Calibration Records'!M2265</x:f>
        <x:v>OPEN</x:v>
      </x:c>
    </x:row>
    <x:row r="6201">
      <x:c r="B6201" s="7" t="str">
        <x:v>AG-06195</x:v>
      </x:c>
      <x:c r="C6201" s="7" t="str">
        <x:v>PEA-C-Y1</x:v>
      </x:c>
      <x:c r="D6201" s="7" t="str">
        <x:v>factory calibration</x:v>
      </x:c>
      <x:c r="E6201" s="7" t="str">
        <x:v>CAL-CH-PEA-C-Y1-17-4</x:v>
      </x:c>
      <x:c r="F6201" s="7" t="str">
        <x:f>'Calibration Records'!M2266</x:f>
        <x:v>OPEN</x:v>
      </x:c>
    </x:row>
    <x:row r="6202">
      <x:c r="B6202" s="7" t="str">
        <x:v>AG-06196</x:v>
      </x:c>
      <x:c r="C6202" s="7" t="str">
        <x:v>PEA-C-Y1</x:v>
      </x:c>
      <x:c r="D6202" s="7" t="str">
        <x:v>factory calibration</x:v>
      </x:c>
      <x:c r="E6202" s="7" t="str">
        <x:v>CAL-CH-PEA-C-Y1-17-5</x:v>
      </x:c>
      <x:c r="F6202" s="7" t="str">
        <x:f>'Calibration Records'!M2267</x:f>
        <x:v>OPEN</x:v>
      </x:c>
    </x:row>
    <x:row r="6203">
      <x:c r="B6203" s="7" t="str">
        <x:v>AG-06197</x:v>
      </x:c>
      <x:c r="C6203" s="7" t="str">
        <x:v>PEA-C-Y1</x:v>
      </x:c>
      <x:c r="D6203" s="7" t="str">
        <x:v>factory calibration</x:v>
      </x:c>
      <x:c r="E6203" s="7" t="str">
        <x:v>CAL-CH-PEA-C-Y1-17-6</x:v>
      </x:c>
      <x:c r="F6203" s="7" t="str">
        <x:f>'Calibration Records'!M2268</x:f>
        <x:v>OPEN</x:v>
      </x:c>
    </x:row>
    <x:row r="6204">
      <x:c r="B6204" s="7" t="str">
        <x:v>AG-06198</x:v>
      </x:c>
      <x:c r="C6204" s="7" t="str">
        <x:v>PEA-C-Y1</x:v>
      </x:c>
      <x:c r="D6204" s="7" t="str">
        <x:v>factory calibration</x:v>
      </x:c>
      <x:c r="E6204" s="7" t="str">
        <x:v>CAL-CH-PEA-C-Y1-18-1</x:v>
      </x:c>
      <x:c r="F6204" s="7" t="str">
        <x:f>'Calibration Records'!M2269</x:f>
        <x:v>OPEN</x:v>
      </x:c>
    </x:row>
    <x:row r="6205">
      <x:c r="B6205" s="7" t="str">
        <x:v>AG-06199</x:v>
      </x:c>
      <x:c r="C6205" s="7" t="str">
        <x:v>PEA-C-Y1</x:v>
      </x:c>
      <x:c r="D6205" s="7" t="str">
        <x:v>factory calibration</x:v>
      </x:c>
      <x:c r="E6205" s="7" t="str">
        <x:v>CAL-CH-PEA-C-Y1-18-2</x:v>
      </x:c>
      <x:c r="F6205" s="7" t="str">
        <x:f>'Calibration Records'!M2270</x:f>
        <x:v>OPEN</x:v>
      </x:c>
    </x:row>
    <x:row r="6206">
      <x:c r="B6206" s="7" t="str">
        <x:v>AG-06200</x:v>
      </x:c>
      <x:c r="C6206" s="7" t="str">
        <x:v>PEA-C-Y1</x:v>
      </x:c>
      <x:c r="D6206" s="7" t="str">
        <x:v>factory calibration</x:v>
      </x:c>
      <x:c r="E6206" s="7" t="str">
        <x:v>CAL-CH-PEA-C-Y1-18-3</x:v>
      </x:c>
      <x:c r="F6206" s="7" t="str">
        <x:f>'Calibration Records'!M2271</x:f>
        <x:v>OPEN</x:v>
      </x:c>
    </x:row>
    <x:row r="6207">
      <x:c r="B6207" s="7" t="str">
        <x:v>AG-06201</x:v>
      </x:c>
      <x:c r="C6207" s="7" t="str">
        <x:v>PEA-C-Y1</x:v>
      </x:c>
      <x:c r="D6207" s="7" t="str">
        <x:v>factory calibration</x:v>
      </x:c>
      <x:c r="E6207" s="7" t="str">
        <x:v>CAL-CH-PEA-C-Y1-18-4</x:v>
      </x:c>
      <x:c r="F6207" s="7" t="str">
        <x:f>'Calibration Records'!M2272</x:f>
        <x:v>OPEN</x:v>
      </x:c>
    </x:row>
    <x:row r="6208">
      <x:c r="B6208" s="7" t="str">
        <x:v>AG-06202</x:v>
      </x:c>
      <x:c r="C6208" s="7" t="str">
        <x:v>PEA-C-Y1</x:v>
      </x:c>
      <x:c r="D6208" s="7" t="str">
        <x:v>factory calibration</x:v>
      </x:c>
      <x:c r="E6208" s="7" t="str">
        <x:v>CAL-CH-PEA-C-Y1-18-5</x:v>
      </x:c>
      <x:c r="F6208" s="7" t="str">
        <x:f>'Calibration Records'!M2273</x:f>
        <x:v>OPEN</x:v>
      </x:c>
    </x:row>
    <x:row r="6209">
      <x:c r="B6209" s="7" t="str">
        <x:v>AG-06203</x:v>
      </x:c>
      <x:c r="C6209" s="7" t="str">
        <x:v>PEA-C-Y1</x:v>
      </x:c>
      <x:c r="D6209" s="7" t="str">
        <x:v>factory calibration</x:v>
      </x:c>
      <x:c r="E6209" s="7" t="str">
        <x:v>CAL-CH-PEA-C-Y1-18-6</x:v>
      </x:c>
      <x:c r="F6209" s="7" t="str">
        <x:f>'Calibration Records'!M2274</x:f>
        <x:v>OPEN</x:v>
      </x:c>
    </x:row>
    <x:row r="6210">
      <x:c r="B6210" s="7" t="str">
        <x:v>AG-06204</x:v>
      </x:c>
      <x:c r="C6210" s="7" t="str">
        <x:v>PEA-C-Y1</x:v>
      </x:c>
      <x:c r="D6210" s="7" t="str">
        <x:v>factory calibration</x:v>
      </x:c>
      <x:c r="E6210" s="7" t="str">
        <x:v>CAL-CH-PEA-C-Y1-19-1</x:v>
      </x:c>
      <x:c r="F6210" s="7" t="str">
        <x:f>'Calibration Records'!M2275</x:f>
        <x:v>OPEN</x:v>
      </x:c>
    </x:row>
    <x:row r="6211">
      <x:c r="B6211" s="7" t="str">
        <x:v>AG-06205</x:v>
      </x:c>
      <x:c r="C6211" s="7" t="str">
        <x:v>PEA-C-Y1</x:v>
      </x:c>
      <x:c r="D6211" s="7" t="str">
        <x:v>factory calibration</x:v>
      </x:c>
      <x:c r="E6211" s="7" t="str">
        <x:v>CAL-CH-PEA-C-Y1-19-2</x:v>
      </x:c>
      <x:c r="F6211" s="7" t="str">
        <x:f>'Calibration Records'!M2276</x:f>
        <x:v>OPEN</x:v>
      </x:c>
    </x:row>
    <x:row r="6212">
      <x:c r="B6212" s="7" t="str">
        <x:v>AG-06206</x:v>
      </x:c>
      <x:c r="C6212" s="7" t="str">
        <x:v>PEA-C-Y1</x:v>
      </x:c>
      <x:c r="D6212" s="7" t="str">
        <x:v>factory calibration</x:v>
      </x:c>
      <x:c r="E6212" s="7" t="str">
        <x:v>CAL-CH-PEA-C-Y1-19-3</x:v>
      </x:c>
      <x:c r="F6212" s="7" t="str">
        <x:f>'Calibration Records'!M2277</x:f>
        <x:v>OPEN</x:v>
      </x:c>
    </x:row>
    <x:row r="6213">
      <x:c r="B6213" s="7" t="str">
        <x:v>AG-06207</x:v>
      </x:c>
      <x:c r="C6213" s="7" t="str">
        <x:v>PEA-C-Y1</x:v>
      </x:c>
      <x:c r="D6213" s="7" t="str">
        <x:v>factory calibration</x:v>
      </x:c>
      <x:c r="E6213" s="7" t="str">
        <x:v>CAL-CH-PEA-C-Y1-19-4</x:v>
      </x:c>
      <x:c r="F6213" s="7" t="str">
        <x:f>'Calibration Records'!M2278</x:f>
        <x:v>OPEN</x:v>
      </x:c>
    </x:row>
    <x:row r="6214">
      <x:c r="B6214" s="7" t="str">
        <x:v>AG-06208</x:v>
      </x:c>
      <x:c r="C6214" s="7" t="str">
        <x:v>PEA-C-Y1</x:v>
      </x:c>
      <x:c r="D6214" s="7" t="str">
        <x:v>factory calibration</x:v>
      </x:c>
      <x:c r="E6214" s="7" t="str">
        <x:v>CAL-CH-PEA-C-Y1-19-5</x:v>
      </x:c>
      <x:c r="F6214" s="7" t="str">
        <x:f>'Calibration Records'!M2279</x:f>
        <x:v>OPEN</x:v>
      </x:c>
    </x:row>
    <x:row r="6215">
      <x:c r="B6215" s="7" t="str">
        <x:v>AG-06209</x:v>
      </x:c>
      <x:c r="C6215" s="7" t="str">
        <x:v>PEA-C-Y1</x:v>
      </x:c>
      <x:c r="D6215" s="7" t="str">
        <x:v>factory calibration</x:v>
      </x:c>
      <x:c r="E6215" s="7" t="str">
        <x:v>CAL-CH-PEA-C-Y1-19-6</x:v>
      </x:c>
      <x:c r="F6215" s="7" t="str">
        <x:f>'Calibration Records'!M2280</x:f>
        <x:v>OPEN</x:v>
      </x:c>
    </x:row>
    <x:row r="6216">
      <x:c r="B6216" s="7" t="str">
        <x:v>AG-06210</x:v>
      </x:c>
      <x:c r="C6216" s="7" t="str">
        <x:v>PEA-C-Y1</x:v>
      </x:c>
      <x:c r="D6216" s="7" t="str">
        <x:v>factory calibration</x:v>
      </x:c>
      <x:c r="E6216" s="7" t="str">
        <x:v>CAL-CH-PEA-C-Y1-20-1</x:v>
      </x:c>
      <x:c r="F6216" s="7" t="str">
        <x:f>'Calibration Records'!M2281</x:f>
        <x:v>OPEN</x:v>
      </x:c>
    </x:row>
    <x:row r="6217">
      <x:c r="B6217" s="7" t="str">
        <x:v>AG-06211</x:v>
      </x:c>
      <x:c r="C6217" s="7" t="str">
        <x:v>PEA-C-Y1</x:v>
      </x:c>
      <x:c r="D6217" s="7" t="str">
        <x:v>factory calibration</x:v>
      </x:c>
      <x:c r="E6217" s="7" t="str">
        <x:v>CAL-CH-PEA-C-Y1-20-2</x:v>
      </x:c>
      <x:c r="F6217" s="7" t="str">
        <x:f>'Calibration Records'!M2282</x:f>
        <x:v>OPEN</x:v>
      </x:c>
    </x:row>
    <x:row r="6218">
      <x:c r="B6218" s="7" t="str">
        <x:v>AG-06212</x:v>
      </x:c>
      <x:c r="C6218" s="7" t="str">
        <x:v>PEA-C-Y1</x:v>
      </x:c>
      <x:c r="D6218" s="7" t="str">
        <x:v>factory calibration</x:v>
      </x:c>
      <x:c r="E6218" s="7" t="str">
        <x:v>CAL-CH-PEA-C-Y1-20-3</x:v>
      </x:c>
      <x:c r="F6218" s="7" t="str">
        <x:f>'Calibration Records'!M2283</x:f>
        <x:v>OPEN</x:v>
      </x:c>
    </x:row>
    <x:row r="6219">
      <x:c r="B6219" s="7" t="str">
        <x:v>AG-06213</x:v>
      </x:c>
      <x:c r="C6219" s="7" t="str">
        <x:v>PEA-C-Y1</x:v>
      </x:c>
      <x:c r="D6219" s="7" t="str">
        <x:v>factory calibration</x:v>
      </x:c>
      <x:c r="E6219" s="7" t="str">
        <x:v>CAL-CH-PEA-C-Y1-20-4</x:v>
      </x:c>
      <x:c r="F6219" s="7" t="str">
        <x:f>'Calibration Records'!M2284</x:f>
        <x:v>OPEN</x:v>
      </x:c>
    </x:row>
    <x:row r="6220">
      <x:c r="B6220" s="7" t="str">
        <x:v>AG-06214</x:v>
      </x:c>
      <x:c r="C6220" s="7" t="str">
        <x:v>PEA-C-Y1</x:v>
      </x:c>
      <x:c r="D6220" s="7" t="str">
        <x:v>factory calibration</x:v>
      </x:c>
      <x:c r="E6220" s="7" t="str">
        <x:v>CAL-CH-PEA-C-Y1-20-5</x:v>
      </x:c>
      <x:c r="F6220" s="7" t="str">
        <x:f>'Calibration Records'!M2285</x:f>
        <x:v>OPEN</x:v>
      </x:c>
    </x:row>
    <x:row r="6221">
      <x:c r="B6221" s="7" t="str">
        <x:v>AG-06215</x:v>
      </x:c>
      <x:c r="C6221" s="7" t="str">
        <x:v>PEA-C-Y1</x:v>
      </x:c>
      <x:c r="D6221" s="7" t="str">
        <x:v>factory calibration</x:v>
      </x:c>
      <x:c r="E6221" s="7" t="str">
        <x:v>CAL-CH-PEA-C-Y1-20-6</x:v>
      </x:c>
      <x:c r="F6221" s="7" t="str">
        <x:f>'Calibration Records'!M2286</x:f>
        <x:v>OPEN</x:v>
      </x:c>
    </x:row>
    <x:row r="6222">
      <x:c r="B6222" s="7" t="str">
        <x:v>AG-06216</x:v>
      </x:c>
      <x:c r="C6222" s="7" t="str">
        <x:v>PEA-C-Y1</x:v>
      </x:c>
      <x:c r="D6222" s="7" t="str">
        <x:v>factory calibration</x:v>
      </x:c>
      <x:c r="E6222" s="7" t="str">
        <x:v>CAL-CH-PEA-C-Y1-21-1</x:v>
      </x:c>
      <x:c r="F6222" s="7" t="str">
        <x:f>'Calibration Records'!M2287</x:f>
        <x:v>OPEN</x:v>
      </x:c>
    </x:row>
    <x:row r="6223">
      <x:c r="B6223" s="7" t="str">
        <x:v>AG-06217</x:v>
      </x:c>
      <x:c r="C6223" s="7" t="str">
        <x:v>PEA-C-Y1</x:v>
      </x:c>
      <x:c r="D6223" s="7" t="str">
        <x:v>factory calibration</x:v>
      </x:c>
      <x:c r="E6223" s="7" t="str">
        <x:v>CAL-CH-PEA-C-Y1-21-2</x:v>
      </x:c>
      <x:c r="F6223" s="7" t="str">
        <x:f>'Calibration Records'!M2288</x:f>
        <x:v>OPEN</x:v>
      </x:c>
    </x:row>
    <x:row r="6224">
      <x:c r="B6224" s="7" t="str">
        <x:v>AG-06218</x:v>
      </x:c>
      <x:c r="C6224" s="7" t="str">
        <x:v>PEA-C-Y1</x:v>
      </x:c>
      <x:c r="D6224" s="7" t="str">
        <x:v>factory calibration</x:v>
      </x:c>
      <x:c r="E6224" s="7" t="str">
        <x:v>CAL-CH-PEA-C-Y1-21-3</x:v>
      </x:c>
      <x:c r="F6224" s="7" t="str">
        <x:f>'Calibration Records'!M2289</x:f>
        <x:v>OPEN</x:v>
      </x:c>
    </x:row>
    <x:row r="6225">
      <x:c r="B6225" s="7" t="str">
        <x:v>AG-06219</x:v>
      </x:c>
      <x:c r="C6225" s="7" t="str">
        <x:v>PEA-C-Y1</x:v>
      </x:c>
      <x:c r="D6225" s="7" t="str">
        <x:v>factory calibration</x:v>
      </x:c>
      <x:c r="E6225" s="7" t="str">
        <x:v>CAL-CH-PEA-C-Y1-21-4</x:v>
      </x:c>
      <x:c r="F6225" s="7" t="str">
        <x:f>'Calibration Records'!M2290</x:f>
        <x:v>OPEN</x:v>
      </x:c>
    </x:row>
    <x:row r="6226">
      <x:c r="B6226" s="7" t="str">
        <x:v>AG-06220</x:v>
      </x:c>
      <x:c r="C6226" s="7" t="str">
        <x:v>PEA-C-Y1</x:v>
      </x:c>
      <x:c r="D6226" s="7" t="str">
        <x:v>factory calibration</x:v>
      </x:c>
      <x:c r="E6226" s="7" t="str">
        <x:v>CAL-CH-PEA-C-Y1-21-5</x:v>
      </x:c>
      <x:c r="F6226" s="7" t="str">
        <x:f>'Calibration Records'!M2291</x:f>
        <x:v>OPEN</x:v>
      </x:c>
    </x:row>
    <x:row r="6227">
      <x:c r="B6227" s="7" t="str">
        <x:v>AG-06221</x:v>
      </x:c>
      <x:c r="C6227" s="7" t="str">
        <x:v>PEA-C-Y1</x:v>
      </x:c>
      <x:c r="D6227" s="7" t="str">
        <x:v>factory calibration</x:v>
      </x:c>
      <x:c r="E6227" s="7" t="str">
        <x:v>CAL-CH-PEA-C-Y1-21-6</x:v>
      </x:c>
      <x:c r="F6227" s="7" t="str">
        <x:f>'Calibration Records'!M2292</x:f>
        <x:v>OPEN</x:v>
      </x:c>
    </x:row>
    <x:row r="6228">
      <x:c r="B6228" s="7" t="str">
        <x:v>AG-06222</x:v>
      </x:c>
      <x:c r="C6228" s="7" t="str">
        <x:v>PEA-C-Y1</x:v>
      </x:c>
      <x:c r="D6228" s="7" t="str">
        <x:v>factory calibration</x:v>
      </x:c>
      <x:c r="E6228" s="7" t="str">
        <x:v>CAL-CH-PEA-C-Y1-22-1</x:v>
      </x:c>
      <x:c r="F6228" s="7" t="str">
        <x:f>'Calibration Records'!M2293</x:f>
        <x:v>OPEN</x:v>
      </x:c>
    </x:row>
    <x:row r="6229">
      <x:c r="B6229" s="7" t="str">
        <x:v>AG-06223</x:v>
      </x:c>
      <x:c r="C6229" s="7" t="str">
        <x:v>PEA-C-Y1</x:v>
      </x:c>
      <x:c r="D6229" s="7" t="str">
        <x:v>factory calibration</x:v>
      </x:c>
      <x:c r="E6229" s="7" t="str">
        <x:v>CAL-CH-PEA-C-Y1-22-2</x:v>
      </x:c>
      <x:c r="F6229" s="7" t="str">
        <x:f>'Calibration Records'!M2294</x:f>
        <x:v>OPEN</x:v>
      </x:c>
    </x:row>
    <x:row r="6230">
      <x:c r="B6230" s="7" t="str">
        <x:v>AG-06224</x:v>
      </x:c>
      <x:c r="C6230" s="7" t="str">
        <x:v>PEA-C-Y1</x:v>
      </x:c>
      <x:c r="D6230" s="7" t="str">
        <x:v>factory calibration</x:v>
      </x:c>
      <x:c r="E6230" s="7" t="str">
        <x:v>CAL-CH-PEA-C-Y1-22-3</x:v>
      </x:c>
      <x:c r="F6230" s="7" t="str">
        <x:f>'Calibration Records'!M2295</x:f>
        <x:v>OPEN</x:v>
      </x:c>
    </x:row>
    <x:row r="6231">
      <x:c r="B6231" s="7" t="str">
        <x:v>AG-06225</x:v>
      </x:c>
      <x:c r="C6231" s="7" t="str">
        <x:v>PEA-C-Y1</x:v>
      </x:c>
      <x:c r="D6231" s="7" t="str">
        <x:v>factory calibration</x:v>
      </x:c>
      <x:c r="E6231" s="7" t="str">
        <x:v>CAL-CH-PEA-C-Y1-22-4</x:v>
      </x:c>
      <x:c r="F6231" s="7" t="str">
        <x:f>'Calibration Records'!M2296</x:f>
        <x:v>OPEN</x:v>
      </x:c>
    </x:row>
    <x:row r="6232">
      <x:c r="B6232" s="7" t="str">
        <x:v>AG-06226</x:v>
      </x:c>
      <x:c r="C6232" s="7" t="str">
        <x:v>PEA-C-Y1</x:v>
      </x:c>
      <x:c r="D6232" s="7" t="str">
        <x:v>factory calibration</x:v>
      </x:c>
      <x:c r="E6232" s="7" t="str">
        <x:v>CAL-CH-PEA-C-Y1-22-5</x:v>
      </x:c>
      <x:c r="F6232" s="7" t="str">
        <x:f>'Calibration Records'!M2297</x:f>
        <x:v>OPEN</x:v>
      </x:c>
    </x:row>
    <x:row r="6233">
      <x:c r="B6233" s="7" t="str">
        <x:v>AG-06227</x:v>
      </x:c>
      <x:c r="C6233" s="7" t="str">
        <x:v>PEA-C-Y1</x:v>
      </x:c>
      <x:c r="D6233" s="7" t="str">
        <x:v>factory calibration</x:v>
      </x:c>
      <x:c r="E6233" s="7" t="str">
        <x:v>CAL-CH-PEA-C-Y1-22-6</x:v>
      </x:c>
      <x:c r="F6233" s="7" t="str">
        <x:f>'Calibration Records'!M2298</x:f>
        <x:v>OPEN</x:v>
      </x:c>
    </x:row>
    <x:row r="6234">
      <x:c r="B6234" s="7" t="str">
        <x:v>AG-06228</x:v>
      </x:c>
      <x:c r="C6234" s="7" t="str">
        <x:v>PEA-C-Y1</x:v>
      </x:c>
      <x:c r="D6234" s="7" t="str">
        <x:v>factory calibration</x:v>
      </x:c>
      <x:c r="E6234" s="7" t="str">
        <x:v>CAL-CH-PEA-C-Y1-23-1</x:v>
      </x:c>
      <x:c r="F6234" s="7" t="str">
        <x:f>'Calibration Records'!M2299</x:f>
        <x:v>OPEN</x:v>
      </x:c>
    </x:row>
    <x:row r="6235">
      <x:c r="B6235" s="7" t="str">
        <x:v>AG-06229</x:v>
      </x:c>
      <x:c r="C6235" s="7" t="str">
        <x:v>PEA-C-Y1</x:v>
      </x:c>
      <x:c r="D6235" s="7" t="str">
        <x:v>factory calibration</x:v>
      </x:c>
      <x:c r="E6235" s="7" t="str">
        <x:v>CAL-CH-PEA-C-Y1-23-2</x:v>
      </x:c>
      <x:c r="F6235" s="7" t="str">
        <x:f>'Calibration Records'!M2300</x:f>
        <x:v>OPEN</x:v>
      </x:c>
    </x:row>
    <x:row r="6236">
      <x:c r="B6236" s="7" t="str">
        <x:v>AG-06230</x:v>
      </x:c>
      <x:c r="C6236" s="7" t="str">
        <x:v>PEA-C-Y1</x:v>
      </x:c>
      <x:c r="D6236" s="7" t="str">
        <x:v>factory calibration</x:v>
      </x:c>
      <x:c r="E6236" s="7" t="str">
        <x:v>CAL-CH-PEA-C-Y1-23-3</x:v>
      </x:c>
      <x:c r="F6236" s="7" t="str">
        <x:f>'Calibration Records'!M2301</x:f>
        <x:v>OPEN</x:v>
      </x:c>
    </x:row>
    <x:row r="6237">
      <x:c r="B6237" s="7" t="str">
        <x:v>AG-06231</x:v>
      </x:c>
      <x:c r="C6237" s="7" t="str">
        <x:v>PEA-C-Y1</x:v>
      </x:c>
      <x:c r="D6237" s="7" t="str">
        <x:v>factory calibration</x:v>
      </x:c>
      <x:c r="E6237" s="7" t="str">
        <x:v>CAL-CH-PEA-C-Y1-23-4</x:v>
      </x:c>
      <x:c r="F6237" s="7" t="str">
        <x:f>'Calibration Records'!M2302</x:f>
        <x:v>OPEN</x:v>
      </x:c>
    </x:row>
    <x:row r="6238">
      <x:c r="B6238" s="7" t="str">
        <x:v>AG-06232</x:v>
      </x:c>
      <x:c r="C6238" s="7" t="str">
        <x:v>PEA-C-Y1</x:v>
      </x:c>
      <x:c r="D6238" s="7" t="str">
        <x:v>factory calibration</x:v>
      </x:c>
      <x:c r="E6238" s="7" t="str">
        <x:v>CAL-CH-PEA-C-Y1-23-5</x:v>
      </x:c>
      <x:c r="F6238" s="7" t="str">
        <x:f>'Calibration Records'!M2303</x:f>
        <x:v>OPEN</x:v>
      </x:c>
    </x:row>
    <x:row r="6239">
      <x:c r="B6239" s="7" t="str">
        <x:v>AG-06233</x:v>
      </x:c>
      <x:c r="C6239" s="7" t="str">
        <x:v>PEA-C-Y1</x:v>
      </x:c>
      <x:c r="D6239" s="7" t="str">
        <x:v>factory calibration</x:v>
      </x:c>
      <x:c r="E6239" s="7" t="str">
        <x:v>CAL-CH-PEA-C-Y1-23-6</x:v>
      </x:c>
      <x:c r="F6239" s="7" t="str">
        <x:f>'Calibration Records'!M2304</x:f>
        <x:v>OPEN</x:v>
      </x:c>
    </x:row>
    <x:row r="6240">
      <x:c r="B6240" s="7" t="str">
        <x:v>AG-06234</x:v>
      </x:c>
      <x:c r="C6240" s="7" t="str">
        <x:v>PEA-C-Y1</x:v>
      </x:c>
      <x:c r="D6240" s="7" t="str">
        <x:v>factory calibration</x:v>
      </x:c>
      <x:c r="E6240" s="7" t="str">
        <x:v>CAL-CH-PEA-C-Y1-24-1</x:v>
      </x:c>
      <x:c r="F6240" s="7" t="str">
        <x:f>'Calibration Records'!M2305</x:f>
        <x:v>OPEN</x:v>
      </x:c>
    </x:row>
    <x:row r="6241">
      <x:c r="B6241" s="7" t="str">
        <x:v>AG-06235</x:v>
      </x:c>
      <x:c r="C6241" s="7" t="str">
        <x:v>PEA-C-Y1</x:v>
      </x:c>
      <x:c r="D6241" s="7" t="str">
        <x:v>factory calibration</x:v>
      </x:c>
      <x:c r="E6241" s="7" t="str">
        <x:v>CAL-CH-PEA-C-Y1-24-2</x:v>
      </x:c>
      <x:c r="F6241" s="7" t="str">
        <x:f>'Calibration Records'!M2306</x:f>
        <x:v>OPEN</x:v>
      </x:c>
    </x:row>
    <x:row r="6242">
      <x:c r="B6242" s="7" t="str">
        <x:v>AG-06236</x:v>
      </x:c>
      <x:c r="C6242" s="7" t="str">
        <x:v>PEA-C-Y1</x:v>
      </x:c>
      <x:c r="D6242" s="7" t="str">
        <x:v>factory calibration</x:v>
      </x:c>
      <x:c r="E6242" s="7" t="str">
        <x:v>CAL-CH-PEA-C-Y1-24-3</x:v>
      </x:c>
      <x:c r="F6242" s="7" t="str">
        <x:f>'Calibration Records'!M2307</x:f>
        <x:v>OPEN</x:v>
      </x:c>
    </x:row>
    <x:row r="6243">
      <x:c r="B6243" s="7" t="str">
        <x:v>AG-06237</x:v>
      </x:c>
      <x:c r="C6243" s="7" t="str">
        <x:v>PEA-C-Y1</x:v>
      </x:c>
      <x:c r="D6243" s="7" t="str">
        <x:v>factory calibration</x:v>
      </x:c>
      <x:c r="E6243" s="7" t="str">
        <x:v>CAL-CH-PEA-C-Y1-24-4</x:v>
      </x:c>
      <x:c r="F6243" s="7" t="str">
        <x:f>'Calibration Records'!M2308</x:f>
        <x:v>OPEN</x:v>
      </x:c>
    </x:row>
    <x:row r="6244">
      <x:c r="B6244" s="7" t="str">
        <x:v>AG-06238</x:v>
      </x:c>
      <x:c r="C6244" s="7" t="str">
        <x:v>PEA-C-Y1</x:v>
      </x:c>
      <x:c r="D6244" s="7" t="str">
        <x:v>factory calibration</x:v>
      </x:c>
      <x:c r="E6244" s="7" t="str">
        <x:v>CAL-CH-PEA-C-Y1-24-5</x:v>
      </x:c>
      <x:c r="F6244" s="7" t="str">
        <x:f>'Calibration Records'!M2309</x:f>
        <x:v>OPEN</x:v>
      </x:c>
    </x:row>
    <x:row r="6245">
      <x:c r="B6245" s="7" t="str">
        <x:v>AG-06239</x:v>
      </x:c>
      <x:c r="C6245" s="7" t="str">
        <x:v>PEA-C-Y1</x:v>
      </x:c>
      <x:c r="D6245" s="7" t="str">
        <x:v>factory calibration</x:v>
      </x:c>
      <x:c r="E6245" s="7" t="str">
        <x:v>CAL-CH-PEA-C-Y1-24-6</x:v>
      </x:c>
      <x:c r="F6245" s="7" t="str">
        <x:f>'Calibration Records'!M2310</x:f>
        <x:v>OPEN</x:v>
      </x:c>
    </x:row>
    <x:row r="6246">
      <x:c r="B6246" s="7" t="str">
        <x:v>AG-06240</x:v>
      </x:c>
      <x:c r="C6246" s="7" t="str">
        <x:v>PEA-C-Y1</x:v>
      </x:c>
      <x:c r="D6246" s="7" t="str">
        <x:v>article master</x:v>
      </x:c>
      <x:c r="E6246" s="7" t="str">
        <x:v>PEA-C-Y1</x:v>
      </x:c>
      <x:c r="F6246" s="7" t="str">
        <x:f>'Article Population'!Q22</x:f>
        <x:v>OPEN</x:v>
      </x:c>
    </x:row>
    <x:row r="6247">
      <x:c r="B6247" s="7" t="str">
        <x:v>AG-06241</x:v>
      </x:c>
      <x:c r="C6247" s="7" t="str">
        <x:v>PEA-C-Y2</x:v>
      </x:c>
      <x:c r="D6247" s="7" t="str">
        <x:v>lineage capsule</x:v>
      </x:c>
      <x:c r="E6247" s="7" t="str">
        <x:v>BL-Y</x:v>
      </x:c>
      <x:c r="F6247" s="7" t="str">
        <x:f>'Baseline Package'!F8</x:f>
        <x:v>OPEN</x:v>
      </x:c>
    </x:row>
    <x:row r="6248">
      <x:c r="B6248" s="7" t="str">
        <x:v>AG-06242</x:v>
      </x:c>
      <x:c r="C6248" s="7" t="str">
        <x:v>PEA-C-Y2</x:v>
      </x:c>
      <x:c r="D6248" s="7" t="str">
        <x:v>builder qualification</x:v>
      </x:c>
      <x:c r="E6248" s="7" t="str">
        <x:v>BLD-C</x:v>
      </x:c>
      <x:c r="F6248" s="7" t="str">
        <x:f>Builders!K9</x:f>
        <x:v>OPEN</x:v>
      </x:c>
    </x:row>
    <x:row r="6249">
      <x:c r="B6249" s="7" t="str">
        <x:v>AG-06243</x:v>
      </x:c>
      <x:c r="C6249" s="7" t="str">
        <x:v>PEA-C-Y2</x:v>
      </x:c>
      <x:c r="D6249" s="7" t="str">
        <x:v>material split</x:v>
      </x:c>
      <x:c r="E6249" s="7" t="str">
        <x:v>SPLIT-PEA-C-Y2</x:v>
      </x:c>
      <x:c r="F6249" s="7" t="str">
        <x:f>'Material Matrix'!K23</x:f>
        <x:v>OPEN</x:v>
      </x:c>
    </x:row>
    <x:row r="6250">
      <x:c r="B6250" s="7" t="str">
        <x:v>AG-06244</x:v>
      </x:c>
      <x:c r="C6250" s="7" t="str">
        <x:v>PEA-C-Y2</x:v>
      </x:c>
      <x:c r="D6250" s="7" t="str">
        <x:v>build sequence</x:v>
      </x:c>
      <x:c r="E6250" s="7" t="str">
        <x:v>SEQ-PEA-C-Y2</x:v>
      </x:c>
      <x:c r="F6250" s="7" t="str">
        <x:f>'Build Sequence'!L23</x:f>
        <x:v>OPEN</x:v>
      </x:c>
    </x:row>
    <x:row r="6251">
      <x:c r="B6251" s="7" t="str">
        <x:v>AG-06245</x:v>
      </x:c>
      <x:c r="C6251" s="7" t="str">
        <x:v>PEA-C-Y2</x:v>
      </x:c>
      <x:c r="D6251" s="7" t="str">
        <x:v>section traveler</x:v>
      </x:c>
      <x:c r="E6251" s="7" t="str">
        <x:v>TRV-PEA-C-Y2-01</x:v>
      </x:c>
      <x:c r="F6251" s="7" t="str">
        <x:f>'Section Travelers'!L327</x:f>
        <x:v>OPEN</x:v>
      </x:c>
    </x:row>
    <x:row r="6252">
      <x:c r="B6252" s="7" t="str">
        <x:v>AG-06246</x:v>
      </x:c>
      <x:c r="C6252" s="7" t="str">
        <x:v>PEA-C-Y2</x:v>
      </x:c>
      <x:c r="D6252" s="7" t="str">
        <x:v>section traveler</x:v>
      </x:c>
      <x:c r="E6252" s="7" t="str">
        <x:v>TRV-PEA-C-Y2-02</x:v>
      </x:c>
      <x:c r="F6252" s="7" t="str">
        <x:f>'Section Travelers'!L328</x:f>
        <x:v>OPEN</x:v>
      </x:c>
    </x:row>
    <x:row r="6253">
      <x:c r="B6253" s="7" t="str">
        <x:v>AG-06247</x:v>
      </x:c>
      <x:c r="C6253" s="7" t="str">
        <x:v>PEA-C-Y2</x:v>
      </x:c>
      <x:c r="D6253" s="7" t="str">
        <x:v>section traveler</x:v>
      </x:c>
      <x:c r="E6253" s="7" t="str">
        <x:v>TRV-PEA-C-Y2-03</x:v>
      </x:c>
      <x:c r="F6253" s="7" t="str">
        <x:f>'Section Travelers'!L329</x:f>
        <x:v>OPEN</x:v>
      </x:c>
    </x:row>
    <x:row r="6254">
      <x:c r="B6254" s="7" t="str">
        <x:v>AG-06248</x:v>
      </x:c>
      <x:c r="C6254" s="7" t="str">
        <x:v>PEA-C-Y2</x:v>
      </x:c>
      <x:c r="D6254" s="7" t="str">
        <x:v>section traveler</x:v>
      </x:c>
      <x:c r="E6254" s="7" t="str">
        <x:v>TRV-PEA-C-Y2-04</x:v>
      </x:c>
      <x:c r="F6254" s="7" t="str">
        <x:f>'Section Travelers'!L330</x:f>
        <x:v>OPEN</x:v>
      </x:c>
    </x:row>
    <x:row r="6255">
      <x:c r="B6255" s="7" t="str">
        <x:v>AG-06249</x:v>
      </x:c>
      <x:c r="C6255" s="7" t="str">
        <x:v>PEA-C-Y2</x:v>
      </x:c>
      <x:c r="D6255" s="7" t="str">
        <x:v>section traveler</x:v>
      </x:c>
      <x:c r="E6255" s="7" t="str">
        <x:v>TRV-PEA-C-Y2-05</x:v>
      </x:c>
      <x:c r="F6255" s="7" t="str">
        <x:f>'Section Travelers'!L331</x:f>
        <x:v>OPEN</x:v>
      </x:c>
    </x:row>
    <x:row r="6256">
      <x:c r="B6256" s="7" t="str">
        <x:v>AG-06250</x:v>
      </x:c>
      <x:c r="C6256" s="7" t="str">
        <x:v>PEA-C-Y2</x:v>
      </x:c>
      <x:c r="D6256" s="7" t="str">
        <x:v>section traveler</x:v>
      </x:c>
      <x:c r="E6256" s="7" t="str">
        <x:v>TRV-PEA-C-Y2-06</x:v>
      </x:c>
      <x:c r="F6256" s="7" t="str">
        <x:f>'Section Travelers'!L332</x:f>
        <x:v>OPEN</x:v>
      </x:c>
    </x:row>
    <x:row r="6257">
      <x:c r="B6257" s="7" t="str">
        <x:v>AG-06251</x:v>
      </x:c>
      <x:c r="C6257" s="7" t="str">
        <x:v>PEA-C-Y2</x:v>
      </x:c>
      <x:c r="D6257" s="7" t="str">
        <x:v>section traveler</x:v>
      </x:c>
      <x:c r="E6257" s="7" t="str">
        <x:v>TRV-PEA-C-Y2-07</x:v>
      </x:c>
      <x:c r="F6257" s="7" t="str">
        <x:f>'Section Travelers'!L333</x:f>
        <x:v>OPEN</x:v>
      </x:c>
    </x:row>
    <x:row r="6258">
      <x:c r="B6258" s="7" t="str">
        <x:v>AG-06252</x:v>
      </x:c>
      <x:c r="C6258" s="7" t="str">
        <x:v>PEA-C-Y2</x:v>
      </x:c>
      <x:c r="D6258" s="7" t="str">
        <x:v>section traveler</x:v>
      </x:c>
      <x:c r="E6258" s="7" t="str">
        <x:v>TRV-PEA-C-Y2-08</x:v>
      </x:c>
      <x:c r="F6258" s="7" t="str">
        <x:f>'Section Travelers'!L334</x:f>
        <x:v>OPEN</x:v>
      </x:c>
    </x:row>
    <x:row r="6259">
      <x:c r="B6259" s="7" t="str">
        <x:v>AG-06253</x:v>
      </x:c>
      <x:c r="C6259" s="7" t="str">
        <x:v>PEA-C-Y2</x:v>
      </x:c>
      <x:c r="D6259" s="7" t="str">
        <x:v>section traveler</x:v>
      </x:c>
      <x:c r="E6259" s="7" t="str">
        <x:v>TRV-PEA-C-Y2-09</x:v>
      </x:c>
      <x:c r="F6259" s="7" t="str">
        <x:f>'Section Travelers'!L335</x:f>
        <x:v>OPEN</x:v>
      </x:c>
    </x:row>
    <x:row r="6260">
      <x:c r="B6260" s="7" t="str">
        <x:v>AG-06254</x:v>
      </x:c>
      <x:c r="C6260" s="7" t="str">
        <x:v>PEA-C-Y2</x:v>
      </x:c>
      <x:c r="D6260" s="7" t="str">
        <x:v>section traveler</x:v>
      </x:c>
      <x:c r="E6260" s="7" t="str">
        <x:v>TRV-PEA-C-Y2-10</x:v>
      </x:c>
      <x:c r="F6260" s="7" t="str">
        <x:f>'Section Travelers'!L336</x:f>
        <x:v>OPEN</x:v>
      </x:c>
    </x:row>
    <x:row r="6261">
      <x:c r="B6261" s="7" t="str">
        <x:v>AG-06255</x:v>
      </x:c>
      <x:c r="C6261" s="7" t="str">
        <x:v>PEA-C-Y2</x:v>
      </x:c>
      <x:c r="D6261" s="7" t="str">
        <x:v>section traveler</x:v>
      </x:c>
      <x:c r="E6261" s="7" t="str">
        <x:v>TRV-PEA-C-Y2-11</x:v>
      </x:c>
      <x:c r="F6261" s="7" t="str">
        <x:f>'Section Travelers'!L337</x:f>
        <x:v>OPEN</x:v>
      </x:c>
    </x:row>
    <x:row r="6262">
      <x:c r="B6262" s="7" t="str">
        <x:v>AG-06256</x:v>
      </x:c>
      <x:c r="C6262" s="7" t="str">
        <x:v>PEA-C-Y2</x:v>
      </x:c>
      <x:c r="D6262" s="7" t="str">
        <x:v>section traveler</x:v>
      </x:c>
      <x:c r="E6262" s="7" t="str">
        <x:v>TRV-PEA-C-Y2-12</x:v>
      </x:c>
      <x:c r="F6262" s="7" t="str">
        <x:f>'Section Travelers'!L338</x:f>
        <x:v>OPEN</x:v>
      </x:c>
    </x:row>
    <x:row r="6263">
      <x:c r="B6263" s="7" t="str">
        <x:v>AG-06257</x:v>
      </x:c>
      <x:c r="C6263" s="7" t="str">
        <x:v>PEA-C-Y2</x:v>
      </x:c>
      <x:c r="D6263" s="7" t="str">
        <x:v>section traveler</x:v>
      </x:c>
      <x:c r="E6263" s="7" t="str">
        <x:v>TRV-PEA-C-Y2-13</x:v>
      </x:c>
      <x:c r="F6263" s="7" t="str">
        <x:f>'Section Travelers'!L339</x:f>
        <x:v>OPEN</x:v>
      </x:c>
    </x:row>
    <x:row r="6264">
      <x:c r="B6264" s="7" t="str">
        <x:v>AG-06258</x:v>
      </x:c>
      <x:c r="C6264" s="7" t="str">
        <x:v>PEA-C-Y2</x:v>
      </x:c>
      <x:c r="D6264" s="7" t="str">
        <x:v>section traveler</x:v>
      </x:c>
      <x:c r="E6264" s="7" t="str">
        <x:v>TRV-PEA-C-Y2-14</x:v>
      </x:c>
      <x:c r="F6264" s="7" t="str">
        <x:f>'Section Travelers'!L340</x:f>
        <x:v>OPEN</x:v>
      </x:c>
    </x:row>
    <x:row r="6265">
      <x:c r="B6265" s="7" t="str">
        <x:v>AG-06259</x:v>
      </x:c>
      <x:c r="C6265" s="7" t="str">
        <x:v>PEA-C-Y2</x:v>
      </x:c>
      <x:c r="D6265" s="7" t="str">
        <x:v>section traveler</x:v>
      </x:c>
      <x:c r="E6265" s="7" t="str">
        <x:v>TRV-PEA-C-Y2-15</x:v>
      </x:c>
      <x:c r="F6265" s="7" t="str">
        <x:f>'Section Travelers'!L341</x:f>
        <x:v>OPEN</x:v>
      </x:c>
    </x:row>
    <x:row r="6266">
      <x:c r="B6266" s="7" t="str">
        <x:v>AG-06260</x:v>
      </x:c>
      <x:c r="C6266" s="7" t="str">
        <x:v>PEA-C-Y2</x:v>
      </x:c>
      <x:c r="D6266" s="7" t="str">
        <x:v>section traveler</x:v>
      </x:c>
      <x:c r="E6266" s="7" t="str">
        <x:v>TRV-PEA-C-Y2-16</x:v>
      </x:c>
      <x:c r="F6266" s="7" t="str">
        <x:f>'Section Travelers'!L342</x:f>
        <x:v>OPEN</x:v>
      </x:c>
    </x:row>
    <x:row r="6267">
      <x:c r="B6267" s="7" t="str">
        <x:v>AG-06261</x:v>
      </x:c>
      <x:c r="C6267" s="7" t="str">
        <x:v>PEA-C-Y2</x:v>
      </x:c>
      <x:c r="D6267" s="7" t="str">
        <x:v>section traveler</x:v>
      </x:c>
      <x:c r="E6267" s="7" t="str">
        <x:v>TRV-PEA-C-Y2-17</x:v>
      </x:c>
      <x:c r="F6267" s="7" t="str">
        <x:f>'Section Travelers'!L343</x:f>
        <x:v>OPEN</x:v>
      </x:c>
    </x:row>
    <x:row r="6268">
      <x:c r="B6268" s="7" t="str">
        <x:v>AG-06262</x:v>
      </x:c>
      <x:c r="C6268" s="7" t="str">
        <x:v>PEA-C-Y2</x:v>
      </x:c>
      <x:c r="D6268" s="7" t="str">
        <x:v>section traveler</x:v>
      </x:c>
      <x:c r="E6268" s="7" t="str">
        <x:v>TRV-PEA-C-Y2-18</x:v>
      </x:c>
      <x:c r="F6268" s="7" t="str">
        <x:f>'Section Travelers'!L344</x:f>
        <x:v>OPEN</x:v>
      </x:c>
    </x:row>
    <x:row r="6269">
      <x:c r="B6269" s="7" t="str">
        <x:v>AG-06263</x:v>
      </x:c>
      <x:c r="C6269" s="7" t="str">
        <x:v>PEA-C-Y2</x:v>
      </x:c>
      <x:c r="D6269" s="7" t="str">
        <x:v>section traveler</x:v>
      </x:c>
      <x:c r="E6269" s="7" t="str">
        <x:v>TRV-PEA-C-Y2-19</x:v>
      </x:c>
      <x:c r="F6269" s="7" t="str">
        <x:f>'Section Travelers'!L345</x:f>
        <x:v>OPEN</x:v>
      </x:c>
    </x:row>
    <x:row r="6270">
      <x:c r="B6270" s="7" t="str">
        <x:v>AG-06264</x:v>
      </x:c>
      <x:c r="C6270" s="7" t="str">
        <x:v>PEA-C-Y2</x:v>
      </x:c>
      <x:c r="D6270" s="7" t="str">
        <x:v>section traveler</x:v>
      </x:c>
      <x:c r="E6270" s="7" t="str">
        <x:v>TRV-PEA-C-Y2-20</x:v>
      </x:c>
      <x:c r="F6270" s="7" t="str">
        <x:f>'Section Travelers'!L346</x:f>
        <x:v>OPEN</x:v>
      </x:c>
    </x:row>
    <x:row r="6271">
      <x:c r="B6271" s="7" t="str">
        <x:v>AG-06265</x:v>
      </x:c>
      <x:c r="C6271" s="7" t="str">
        <x:v>PEA-C-Y2</x:v>
      </x:c>
      <x:c r="D6271" s="7" t="str">
        <x:v>material coupon</x:v>
      </x:c>
      <x:c r="E6271" s="7" t="str">
        <x:v>CPN-PEA-C-Y2-CJ-1</x:v>
      </x:c>
      <x:c r="F6271" s="7" t="str">
        <x:f>'Material Coupons'!K647</x:f>
        <x:v>OPEN</x:v>
      </x:c>
    </x:row>
    <x:row r="6272">
      <x:c r="B6272" s="7" t="str">
        <x:v>AG-06266</x:v>
      </x:c>
      <x:c r="C6272" s="7" t="str">
        <x:v>PEA-C-Y2</x:v>
      </x:c>
      <x:c r="D6272" s="7" t="str">
        <x:v>material coupon</x:v>
      </x:c>
      <x:c r="E6272" s="7" t="str">
        <x:v>CPN-PEA-C-Y2-CJ-2</x:v>
      </x:c>
      <x:c r="F6272" s="7" t="str">
        <x:f>'Material Coupons'!K648</x:f>
        <x:v>OPEN</x:v>
      </x:c>
    </x:row>
    <x:row r="6273">
      <x:c r="B6273" s="7" t="str">
        <x:v>AG-06267</x:v>
      </x:c>
      <x:c r="C6273" s="7" t="str">
        <x:v>PEA-C-Y2</x:v>
      </x:c>
      <x:c r="D6273" s="7" t="str">
        <x:v>material coupon</x:v>
      </x:c>
      <x:c r="E6273" s="7" t="str">
        <x:v>CPN-PEA-C-Y2-CJ-3</x:v>
      </x:c>
      <x:c r="F6273" s="7" t="str">
        <x:f>'Material Coupons'!K649</x:f>
        <x:v>OPEN</x:v>
      </x:c>
    </x:row>
    <x:row r="6274">
      <x:c r="B6274" s="7" t="str">
        <x:v>AG-06268</x:v>
      </x:c>
      <x:c r="C6274" s="7" t="str">
        <x:v>PEA-C-Y2</x:v>
      </x:c>
      <x:c r="D6274" s="7" t="str">
        <x:v>material coupon</x:v>
      </x:c>
      <x:c r="E6274" s="7" t="str">
        <x:v>CPN-PEA-C-Y2-CJ-4</x:v>
      </x:c>
      <x:c r="F6274" s="7" t="str">
        <x:f>'Material Coupons'!K650</x:f>
        <x:v>OPEN</x:v>
      </x:c>
    </x:row>
    <x:row r="6275">
      <x:c r="B6275" s="7" t="str">
        <x:v>AG-06269</x:v>
      </x:c>
      <x:c r="C6275" s="7" t="str">
        <x:v>PEA-C-Y2</x:v>
      </x:c>
      <x:c r="D6275" s="7" t="str">
        <x:v>material coupon</x:v>
      </x:c>
      <x:c r="E6275" s="7" t="str">
        <x:v>CPN-PEA-C-Y2-CJ-5</x:v>
      </x:c>
      <x:c r="F6275" s="7" t="str">
        <x:f>'Material Coupons'!K651</x:f>
        <x:v>OPEN</x:v>
      </x:c>
    </x:row>
    <x:row r="6276">
      <x:c r="B6276" s="7" t="str">
        <x:v>AG-06270</x:v>
      </x:c>
      <x:c r="C6276" s="7" t="str">
        <x:v>PEA-C-Y2</x:v>
      </x:c>
      <x:c r="D6276" s="7" t="str">
        <x:v>material coupon</x:v>
      </x:c>
      <x:c r="E6276" s="7" t="str">
        <x:v>CPN-PEA-C-Y2-CJ-6</x:v>
      </x:c>
      <x:c r="F6276" s="7" t="str">
        <x:f>'Material Coupons'!K652</x:f>
        <x:v>OPEN</x:v>
      </x:c>
    </x:row>
    <x:row r="6277">
      <x:c r="B6277" s="7" t="str">
        <x:v>AG-06271</x:v>
      </x:c>
      <x:c r="C6277" s="7" t="str">
        <x:v>PEA-C-Y2</x:v>
      </x:c>
      <x:c r="D6277" s="7" t="str">
        <x:v>material coupon</x:v>
      </x:c>
      <x:c r="E6277" s="7" t="str">
        <x:v>CPN-PEA-C-Y2-CJ-7</x:v>
      </x:c>
      <x:c r="F6277" s="7" t="str">
        <x:f>'Material Coupons'!K653</x:f>
        <x:v>OPEN</x:v>
      </x:c>
    </x:row>
    <x:row r="6278">
      <x:c r="B6278" s="7" t="str">
        <x:v>AG-06272</x:v>
      </x:c>
      <x:c r="C6278" s="7" t="str">
        <x:v>PEA-C-Y2</x:v>
      </x:c>
      <x:c r="D6278" s="7" t="str">
        <x:v>material coupon</x:v>
      </x:c>
      <x:c r="E6278" s="7" t="str">
        <x:v>CPN-PEA-C-Y2-CJ-8</x:v>
      </x:c>
      <x:c r="F6278" s="7" t="str">
        <x:f>'Material Coupons'!K654</x:f>
        <x:v>OPEN</x:v>
      </x:c>
    </x:row>
    <x:row r="6279">
      <x:c r="B6279" s="7" t="str">
        <x:v>AG-06273</x:v>
      </x:c>
      <x:c r="C6279" s="7" t="str">
        <x:v>PEA-C-Y2</x:v>
      </x:c>
      <x:c r="D6279" s="7" t="str">
        <x:v>material coupon</x:v>
      </x:c>
      <x:c r="E6279" s="7" t="str">
        <x:v>CPN-PEA-C-Y2-SE-1</x:v>
      </x:c>
      <x:c r="F6279" s="7" t="str">
        <x:f>'Material Coupons'!K655</x:f>
        <x:v>OPEN</x:v>
      </x:c>
    </x:row>
    <x:row r="6280">
      <x:c r="B6280" s="7" t="str">
        <x:v>AG-06274</x:v>
      </x:c>
      <x:c r="C6280" s="7" t="str">
        <x:v>PEA-C-Y2</x:v>
      </x:c>
      <x:c r="D6280" s="7" t="str">
        <x:v>material coupon</x:v>
      </x:c>
      <x:c r="E6280" s="7" t="str">
        <x:v>CPN-PEA-C-Y2-SE-2</x:v>
      </x:c>
      <x:c r="F6280" s="7" t="str">
        <x:f>'Material Coupons'!K656</x:f>
        <x:v>OPEN</x:v>
      </x:c>
    </x:row>
    <x:row r="6281">
      <x:c r="B6281" s="7" t="str">
        <x:v>AG-06275</x:v>
      </x:c>
      <x:c r="C6281" s="7" t="str">
        <x:v>PEA-C-Y2</x:v>
      </x:c>
      <x:c r="D6281" s="7" t="str">
        <x:v>material coupon</x:v>
      </x:c>
      <x:c r="E6281" s="7" t="str">
        <x:v>CPN-PEA-C-Y2-SE-3</x:v>
      </x:c>
      <x:c r="F6281" s="7" t="str">
        <x:f>'Material Coupons'!K657</x:f>
        <x:v>OPEN</x:v>
      </x:c>
    </x:row>
    <x:row r="6282">
      <x:c r="B6282" s="7" t="str">
        <x:v>AG-06276</x:v>
      </x:c>
      <x:c r="C6282" s="7" t="str">
        <x:v>PEA-C-Y2</x:v>
      </x:c>
      <x:c r="D6282" s="7" t="str">
        <x:v>material coupon</x:v>
      </x:c>
      <x:c r="E6282" s="7" t="str">
        <x:v>CPN-PEA-C-Y2-SE-4</x:v>
      </x:c>
      <x:c r="F6282" s="7" t="str">
        <x:f>'Material Coupons'!K658</x:f>
        <x:v>OPEN</x:v>
      </x:c>
    </x:row>
    <x:row r="6283">
      <x:c r="B6283" s="7" t="str">
        <x:v>AG-06277</x:v>
      </x:c>
      <x:c r="C6283" s="7" t="str">
        <x:v>PEA-C-Y2</x:v>
      </x:c>
      <x:c r="D6283" s="7" t="str">
        <x:v>material coupon</x:v>
      </x:c>
      <x:c r="E6283" s="7" t="str">
        <x:v>CPN-PEA-C-Y2-SE-5</x:v>
      </x:c>
      <x:c r="F6283" s="7" t="str">
        <x:f>'Material Coupons'!K659</x:f>
        <x:v>OPEN</x:v>
      </x:c>
    </x:row>
    <x:row r="6284">
      <x:c r="B6284" s="7" t="str">
        <x:v>AG-06278</x:v>
      </x:c>
      <x:c r="C6284" s="7" t="str">
        <x:v>PEA-C-Y2</x:v>
      </x:c>
      <x:c r="D6284" s="7" t="str">
        <x:v>material coupon</x:v>
      </x:c>
      <x:c r="E6284" s="7" t="str">
        <x:v>CPN-PEA-C-Y2-SE-6</x:v>
      </x:c>
      <x:c r="F6284" s="7" t="str">
        <x:f>'Material Coupons'!K660</x:f>
        <x:v>OPEN</x:v>
      </x:c>
    </x:row>
    <x:row r="6285">
      <x:c r="B6285" s="7" t="str">
        <x:v>AG-06279</x:v>
      </x:c>
      <x:c r="C6285" s="7" t="str">
        <x:v>PEA-C-Y2</x:v>
      </x:c>
      <x:c r="D6285" s="7" t="str">
        <x:v>material coupon</x:v>
      </x:c>
      <x:c r="E6285" s="7" t="str">
        <x:v>CPN-PEA-C-Y2-SE-7</x:v>
      </x:c>
      <x:c r="F6285" s="7" t="str">
        <x:f>'Material Coupons'!K661</x:f>
        <x:v>OPEN</x:v>
      </x:c>
    </x:row>
    <x:row r="6286">
      <x:c r="B6286" s="7" t="str">
        <x:v>AG-06280</x:v>
      </x:c>
      <x:c r="C6286" s="7" t="str">
        <x:v>PEA-C-Y2</x:v>
      </x:c>
      <x:c r="D6286" s="7" t="str">
        <x:v>material coupon</x:v>
      </x:c>
      <x:c r="E6286" s="7" t="str">
        <x:v>CPN-PEA-C-Y2-SE-8</x:v>
      </x:c>
      <x:c r="F6286" s="7" t="str">
        <x:f>'Material Coupons'!K662</x:f>
        <x:v>OPEN</x:v>
      </x:c>
    </x:row>
    <x:row r="6287">
      <x:c r="B6287" s="7" t="str">
        <x:v>AG-06281</x:v>
      </x:c>
      <x:c r="C6287" s="7" t="str">
        <x:v>PEA-C-Y2</x:v>
      </x:c>
      <x:c r="D6287" s="7" t="str">
        <x:v>material coupon</x:v>
      </x:c>
      <x:c r="E6287" s="7" t="str">
        <x:v>CPN-PEA-C-Y2-SF-1</x:v>
      </x:c>
      <x:c r="F6287" s="7" t="str">
        <x:f>'Material Coupons'!K663</x:f>
        <x:v>OPEN</x:v>
      </x:c>
    </x:row>
    <x:row r="6288">
      <x:c r="B6288" s="7" t="str">
        <x:v>AG-06282</x:v>
      </x:c>
      <x:c r="C6288" s="7" t="str">
        <x:v>PEA-C-Y2</x:v>
      </x:c>
      <x:c r="D6288" s="7" t="str">
        <x:v>material coupon</x:v>
      </x:c>
      <x:c r="E6288" s="7" t="str">
        <x:v>CPN-PEA-C-Y2-SF-2</x:v>
      </x:c>
      <x:c r="F6288" s="7" t="str">
        <x:f>'Material Coupons'!K664</x:f>
        <x:v>OPEN</x:v>
      </x:c>
    </x:row>
    <x:row r="6289">
      <x:c r="B6289" s="7" t="str">
        <x:v>AG-06283</x:v>
      </x:c>
      <x:c r="C6289" s="7" t="str">
        <x:v>PEA-C-Y2</x:v>
      </x:c>
      <x:c r="D6289" s="7" t="str">
        <x:v>material coupon</x:v>
      </x:c>
      <x:c r="E6289" s="7" t="str">
        <x:v>CPN-PEA-C-Y2-SF-3</x:v>
      </x:c>
      <x:c r="F6289" s="7" t="str">
        <x:f>'Material Coupons'!K665</x:f>
        <x:v>OPEN</x:v>
      </x:c>
    </x:row>
    <x:row r="6290">
      <x:c r="B6290" s="7" t="str">
        <x:v>AG-06284</x:v>
      </x:c>
      <x:c r="C6290" s="7" t="str">
        <x:v>PEA-C-Y2</x:v>
      </x:c>
      <x:c r="D6290" s="7" t="str">
        <x:v>material coupon</x:v>
      </x:c>
      <x:c r="E6290" s="7" t="str">
        <x:v>CPN-PEA-C-Y2-SF-4</x:v>
      </x:c>
      <x:c r="F6290" s="7" t="str">
        <x:f>'Material Coupons'!K666</x:f>
        <x:v>OPEN</x:v>
      </x:c>
    </x:row>
    <x:row r="6291">
      <x:c r="B6291" s="7" t="str">
        <x:v>AG-06285</x:v>
      </x:c>
      <x:c r="C6291" s="7" t="str">
        <x:v>PEA-C-Y2</x:v>
      </x:c>
      <x:c r="D6291" s="7" t="str">
        <x:v>material coupon</x:v>
      </x:c>
      <x:c r="E6291" s="7" t="str">
        <x:v>CPN-PEA-C-Y2-SF-5</x:v>
      </x:c>
      <x:c r="F6291" s="7" t="str">
        <x:f>'Material Coupons'!K667</x:f>
        <x:v>OPEN</x:v>
      </x:c>
    </x:row>
    <x:row r="6292">
      <x:c r="B6292" s="7" t="str">
        <x:v>AG-06286</x:v>
      </x:c>
      <x:c r="C6292" s="7" t="str">
        <x:v>PEA-C-Y2</x:v>
      </x:c>
      <x:c r="D6292" s="7" t="str">
        <x:v>material coupon</x:v>
      </x:c>
      <x:c r="E6292" s="7" t="str">
        <x:v>CPN-PEA-C-Y2-SF-6</x:v>
      </x:c>
      <x:c r="F6292" s="7" t="str">
        <x:f>'Material Coupons'!K668</x:f>
        <x:v>OPEN</x:v>
      </x:c>
    </x:row>
    <x:row r="6293">
      <x:c r="B6293" s="7" t="str">
        <x:v>AG-06287</x:v>
      </x:c>
      <x:c r="C6293" s="7" t="str">
        <x:v>PEA-C-Y2</x:v>
      </x:c>
      <x:c r="D6293" s="7" t="str">
        <x:v>material coupon</x:v>
      </x:c>
      <x:c r="E6293" s="7" t="str">
        <x:v>CPN-PEA-C-Y2-SF-7</x:v>
      </x:c>
      <x:c r="F6293" s="7" t="str">
        <x:f>'Material Coupons'!K669</x:f>
        <x:v>OPEN</x:v>
      </x:c>
    </x:row>
    <x:row r="6294">
      <x:c r="B6294" s="7" t="str">
        <x:v>AG-06288</x:v>
      </x:c>
      <x:c r="C6294" s="7" t="str">
        <x:v>PEA-C-Y2</x:v>
      </x:c>
      <x:c r="D6294" s="7" t="str">
        <x:v>material coupon</x:v>
      </x:c>
      <x:c r="E6294" s="7" t="str">
        <x:v>CPN-PEA-C-Y2-SF-8</x:v>
      </x:c>
      <x:c r="F6294" s="7" t="str">
        <x:f>'Material Coupons'!K670</x:f>
        <x:v>OPEN</x:v>
      </x:c>
    </x:row>
    <x:row r="6295">
      <x:c r="B6295" s="7" t="str">
        <x:v>AG-06289</x:v>
      </x:c>
      <x:c r="C6295" s="7" t="str">
        <x:v>PEA-C-Y2</x:v>
      </x:c>
      <x:c r="D6295" s="7" t="str">
        <x:v>material coupon</x:v>
      </x:c>
      <x:c r="E6295" s="7" t="str">
        <x:v>CPN-PEA-C-Y2-CP-1</x:v>
      </x:c>
      <x:c r="F6295" s="7" t="str">
        <x:f>'Material Coupons'!K671</x:f>
        <x:v>OPEN</x:v>
      </x:c>
    </x:row>
    <x:row r="6296">
      <x:c r="B6296" s="7" t="str">
        <x:v>AG-06290</x:v>
      </x:c>
      <x:c r="C6296" s="7" t="str">
        <x:v>PEA-C-Y2</x:v>
      </x:c>
      <x:c r="D6296" s="7" t="str">
        <x:v>material coupon</x:v>
      </x:c>
      <x:c r="E6296" s="7" t="str">
        <x:v>CPN-PEA-C-Y2-CP-2</x:v>
      </x:c>
      <x:c r="F6296" s="7" t="str">
        <x:f>'Material Coupons'!K672</x:f>
        <x:v>OPEN</x:v>
      </x:c>
    </x:row>
    <x:row r="6297">
      <x:c r="B6297" s="7" t="str">
        <x:v>AG-06291</x:v>
      </x:c>
      <x:c r="C6297" s="7" t="str">
        <x:v>PEA-C-Y2</x:v>
      </x:c>
      <x:c r="D6297" s="7" t="str">
        <x:v>material coupon</x:v>
      </x:c>
      <x:c r="E6297" s="7" t="str">
        <x:v>CPN-PEA-C-Y2-CP-3</x:v>
      </x:c>
      <x:c r="F6297" s="7" t="str">
        <x:f>'Material Coupons'!K673</x:f>
        <x:v>OPEN</x:v>
      </x:c>
    </x:row>
    <x:row r="6298">
      <x:c r="B6298" s="7" t="str">
        <x:v>AG-06292</x:v>
      </x:c>
      <x:c r="C6298" s="7" t="str">
        <x:v>PEA-C-Y2</x:v>
      </x:c>
      <x:c r="D6298" s="7" t="str">
        <x:v>material coupon</x:v>
      </x:c>
      <x:c r="E6298" s="7" t="str">
        <x:v>CPN-PEA-C-Y2-CP-4</x:v>
      </x:c>
      <x:c r="F6298" s="7" t="str">
        <x:f>'Material Coupons'!K674</x:f>
        <x:v>OPEN</x:v>
      </x:c>
    </x:row>
    <x:row r="6299">
      <x:c r="B6299" s="7" t="str">
        <x:v>AG-06293</x:v>
      </x:c>
      <x:c r="C6299" s="7" t="str">
        <x:v>PEA-C-Y2</x:v>
      </x:c>
      <x:c r="D6299" s="7" t="str">
        <x:v>material coupon</x:v>
      </x:c>
      <x:c r="E6299" s="7" t="str">
        <x:v>CPN-PEA-C-Y2-CP-5</x:v>
      </x:c>
      <x:c r="F6299" s="7" t="str">
        <x:f>'Material Coupons'!K675</x:f>
        <x:v>OPEN</x:v>
      </x:c>
    </x:row>
    <x:row r="6300">
      <x:c r="B6300" s="7" t="str">
        <x:v>AG-06294</x:v>
      </x:c>
      <x:c r="C6300" s="7" t="str">
        <x:v>PEA-C-Y2</x:v>
      </x:c>
      <x:c r="D6300" s="7" t="str">
        <x:v>material coupon</x:v>
      </x:c>
      <x:c r="E6300" s="7" t="str">
        <x:v>CPN-PEA-C-Y2-CP-6</x:v>
      </x:c>
      <x:c r="F6300" s="7" t="str">
        <x:f>'Material Coupons'!K676</x:f>
        <x:v>OPEN</x:v>
      </x:c>
    </x:row>
    <x:row r="6301">
      <x:c r="B6301" s="7" t="str">
        <x:v>AG-06295</x:v>
      </x:c>
      <x:c r="C6301" s="7" t="str">
        <x:v>PEA-C-Y2</x:v>
      </x:c>
      <x:c r="D6301" s="7" t="str">
        <x:v>material coupon</x:v>
      </x:c>
      <x:c r="E6301" s="7" t="str">
        <x:v>CPN-PEA-C-Y2-CP-7</x:v>
      </x:c>
      <x:c r="F6301" s="7" t="str">
        <x:f>'Material Coupons'!K677</x:f>
        <x:v>OPEN</x:v>
      </x:c>
    </x:row>
    <x:row r="6302">
      <x:c r="B6302" s="7" t="str">
        <x:v>AG-06296</x:v>
      </x:c>
      <x:c r="C6302" s="7" t="str">
        <x:v>PEA-C-Y2</x:v>
      </x:c>
      <x:c r="D6302" s="7" t="str">
        <x:v>material coupon</x:v>
      </x:c>
      <x:c r="E6302" s="7" t="str">
        <x:v>CPN-PEA-C-Y2-CP-8</x:v>
      </x:c>
      <x:c r="F6302" s="7" t="str">
        <x:f>'Material Coupons'!K678</x:f>
        <x:v>OPEN</x:v>
      </x:c>
    </x:row>
    <x:row r="6303">
      <x:c r="B6303" s="7" t="str">
        <x:v>AG-06297</x:v>
      </x:c>
      <x:c r="C6303" s="7" t="str">
        <x:v>PEA-C-Y2</x:v>
      </x:c>
      <x:c r="D6303" s="7" t="str">
        <x:v>material coupon</x:v>
      </x:c>
      <x:c r="E6303" s="7" t="str">
        <x:v>CPN-PEA-C-Y2-SM-1</x:v>
      </x:c>
      <x:c r="F6303" s="7" t="str">
        <x:f>'Material Coupons'!K679</x:f>
        <x:v>OPEN</x:v>
      </x:c>
    </x:row>
    <x:row r="6304">
      <x:c r="B6304" s="7" t="str">
        <x:v>AG-06298</x:v>
      </x:c>
      <x:c r="C6304" s="7" t="str">
        <x:v>PEA-C-Y2</x:v>
      </x:c>
      <x:c r="D6304" s="7" t="str">
        <x:v>material coupon</x:v>
      </x:c>
      <x:c r="E6304" s="7" t="str">
        <x:v>CPN-PEA-C-Y2-SM-2</x:v>
      </x:c>
      <x:c r="F6304" s="7" t="str">
        <x:f>'Material Coupons'!K680</x:f>
        <x:v>OPEN</x:v>
      </x:c>
    </x:row>
    <x:row r="6305">
      <x:c r="B6305" s="7" t="str">
        <x:v>AG-06299</x:v>
      </x:c>
      <x:c r="C6305" s="7" t="str">
        <x:v>PEA-C-Y2</x:v>
      </x:c>
      <x:c r="D6305" s="7" t="str">
        <x:v>material coupon</x:v>
      </x:c>
      <x:c r="E6305" s="7" t="str">
        <x:v>CPN-PEA-C-Y2-SM-3</x:v>
      </x:c>
      <x:c r="F6305" s="7" t="str">
        <x:f>'Material Coupons'!K681</x:f>
        <x:v>OPEN</x:v>
      </x:c>
    </x:row>
    <x:row r="6306">
      <x:c r="B6306" s="7" t="str">
        <x:v>AG-06300</x:v>
      </x:c>
      <x:c r="C6306" s="7" t="str">
        <x:v>PEA-C-Y2</x:v>
      </x:c>
      <x:c r="D6306" s="7" t="str">
        <x:v>material coupon</x:v>
      </x:c>
      <x:c r="E6306" s="7" t="str">
        <x:v>CPN-PEA-C-Y2-SM-4</x:v>
      </x:c>
      <x:c r="F6306" s="7" t="str">
        <x:f>'Material Coupons'!K682</x:f>
        <x:v>OPEN</x:v>
      </x:c>
    </x:row>
    <x:row r="6307">
      <x:c r="B6307" s="7" t="str">
        <x:v>AG-06301</x:v>
      </x:c>
      <x:c r="C6307" s="7" t="str">
        <x:v>PEA-C-Y2</x:v>
      </x:c>
      <x:c r="D6307" s="7" t="str">
        <x:v>material coupon</x:v>
      </x:c>
      <x:c r="E6307" s="7" t="str">
        <x:v>CPN-PEA-C-Y2-SM-5</x:v>
      </x:c>
      <x:c r="F6307" s="7" t="str">
        <x:f>'Material Coupons'!K683</x:f>
        <x:v>OPEN</x:v>
      </x:c>
    </x:row>
    <x:row r="6308">
      <x:c r="B6308" s="7" t="str">
        <x:v>AG-06302</x:v>
      </x:c>
      <x:c r="C6308" s="7" t="str">
        <x:v>PEA-C-Y2</x:v>
      </x:c>
      <x:c r="D6308" s="7" t="str">
        <x:v>material coupon</x:v>
      </x:c>
      <x:c r="E6308" s="7" t="str">
        <x:v>CPN-PEA-C-Y2-SM-6</x:v>
      </x:c>
      <x:c r="F6308" s="7" t="str">
        <x:f>'Material Coupons'!K684</x:f>
        <x:v>OPEN</x:v>
      </x:c>
    </x:row>
    <x:row r="6309">
      <x:c r="B6309" s="7" t="str">
        <x:v>AG-06303</x:v>
      </x:c>
      <x:c r="C6309" s="7" t="str">
        <x:v>PEA-C-Y2</x:v>
      </x:c>
      <x:c r="D6309" s="7" t="str">
        <x:v>material coupon</x:v>
      </x:c>
      <x:c r="E6309" s="7" t="str">
        <x:v>CPN-PEA-C-Y2-SM-7</x:v>
      </x:c>
      <x:c r="F6309" s="7" t="str">
        <x:f>'Material Coupons'!K685</x:f>
        <x:v>OPEN</x:v>
      </x:c>
    </x:row>
    <x:row r="6310">
      <x:c r="B6310" s="7" t="str">
        <x:v>AG-06304</x:v>
      </x:c>
      <x:c r="C6310" s="7" t="str">
        <x:v>PEA-C-Y2</x:v>
      </x:c>
      <x:c r="D6310" s="7" t="str">
        <x:v>material coupon</x:v>
      </x:c>
      <x:c r="E6310" s="7" t="str">
        <x:v>CPN-PEA-C-Y2-SM-8</x:v>
      </x:c>
      <x:c r="F6310" s="7" t="str">
        <x:f>'Material Coupons'!K686</x:f>
        <x:v>OPEN</x:v>
      </x:c>
    </x:row>
    <x:row r="6311">
      <x:c r="B6311" s="7" t="str">
        <x:v>AG-06305</x:v>
      </x:c>
      <x:c r="C6311" s="7" t="str">
        <x:v>PEA-C-Y2</x:v>
      </x:c>
      <x:c r="D6311" s="7" t="str">
        <x:v>NDE record</x:v>
      </x:c>
      <x:c r="E6311" s="7" t="str">
        <x:v>NDE-TRV-PEA-C-Y2-01</x:v>
      </x:c>
      <x:c r="F6311" s="7" t="str">
        <x:f>'NDE Records'!L327</x:f>
        <x:v>OPEN</x:v>
      </x:c>
    </x:row>
    <x:row r="6312">
      <x:c r="B6312" s="7" t="str">
        <x:v>AG-06306</x:v>
      </x:c>
      <x:c r="C6312" s="7" t="str">
        <x:v>PEA-C-Y2</x:v>
      </x:c>
      <x:c r="D6312" s="7" t="str">
        <x:v>NDE record</x:v>
      </x:c>
      <x:c r="E6312" s="7" t="str">
        <x:v>NDE-TRV-PEA-C-Y2-02</x:v>
      </x:c>
      <x:c r="F6312" s="7" t="str">
        <x:f>'NDE Records'!L328</x:f>
        <x:v>OPEN</x:v>
      </x:c>
    </x:row>
    <x:row r="6313">
      <x:c r="B6313" s="7" t="str">
        <x:v>AG-06307</x:v>
      </x:c>
      <x:c r="C6313" s="7" t="str">
        <x:v>PEA-C-Y2</x:v>
      </x:c>
      <x:c r="D6313" s="7" t="str">
        <x:v>NDE record</x:v>
      </x:c>
      <x:c r="E6313" s="7" t="str">
        <x:v>NDE-TRV-PEA-C-Y2-03</x:v>
      </x:c>
      <x:c r="F6313" s="7" t="str">
        <x:f>'NDE Records'!L329</x:f>
        <x:v>OPEN</x:v>
      </x:c>
    </x:row>
    <x:row r="6314">
      <x:c r="B6314" s="7" t="str">
        <x:v>AG-06308</x:v>
      </x:c>
      <x:c r="C6314" s="7" t="str">
        <x:v>PEA-C-Y2</x:v>
      </x:c>
      <x:c r="D6314" s="7" t="str">
        <x:v>NDE record</x:v>
      </x:c>
      <x:c r="E6314" s="7" t="str">
        <x:v>NDE-TRV-PEA-C-Y2-04</x:v>
      </x:c>
      <x:c r="F6314" s="7" t="str">
        <x:f>'NDE Records'!L330</x:f>
        <x:v>OPEN</x:v>
      </x:c>
    </x:row>
    <x:row r="6315">
      <x:c r="B6315" s="7" t="str">
        <x:v>AG-06309</x:v>
      </x:c>
      <x:c r="C6315" s="7" t="str">
        <x:v>PEA-C-Y2</x:v>
      </x:c>
      <x:c r="D6315" s="7" t="str">
        <x:v>NDE record</x:v>
      </x:c>
      <x:c r="E6315" s="7" t="str">
        <x:v>NDE-TRV-PEA-C-Y2-05</x:v>
      </x:c>
      <x:c r="F6315" s="7" t="str">
        <x:f>'NDE Records'!L331</x:f>
        <x:v>OPEN</x:v>
      </x:c>
    </x:row>
    <x:row r="6316">
      <x:c r="B6316" s="7" t="str">
        <x:v>AG-06310</x:v>
      </x:c>
      <x:c r="C6316" s="7" t="str">
        <x:v>PEA-C-Y2</x:v>
      </x:c>
      <x:c r="D6316" s="7" t="str">
        <x:v>NDE record</x:v>
      </x:c>
      <x:c r="E6316" s="7" t="str">
        <x:v>NDE-TRV-PEA-C-Y2-06</x:v>
      </x:c>
      <x:c r="F6316" s="7" t="str">
        <x:f>'NDE Records'!L332</x:f>
        <x:v>OPEN</x:v>
      </x:c>
    </x:row>
    <x:row r="6317">
      <x:c r="B6317" s="7" t="str">
        <x:v>AG-06311</x:v>
      </x:c>
      <x:c r="C6317" s="7" t="str">
        <x:v>PEA-C-Y2</x:v>
      </x:c>
      <x:c r="D6317" s="7" t="str">
        <x:v>NDE record</x:v>
      </x:c>
      <x:c r="E6317" s="7" t="str">
        <x:v>NDE-TRV-PEA-C-Y2-07</x:v>
      </x:c>
      <x:c r="F6317" s="7" t="str">
        <x:f>'NDE Records'!L333</x:f>
        <x:v>OPEN</x:v>
      </x:c>
    </x:row>
    <x:row r="6318">
      <x:c r="B6318" s="7" t="str">
        <x:v>AG-06312</x:v>
      </x:c>
      <x:c r="C6318" s="7" t="str">
        <x:v>PEA-C-Y2</x:v>
      </x:c>
      <x:c r="D6318" s="7" t="str">
        <x:v>NDE record</x:v>
      </x:c>
      <x:c r="E6318" s="7" t="str">
        <x:v>NDE-TRV-PEA-C-Y2-08</x:v>
      </x:c>
      <x:c r="F6318" s="7" t="str">
        <x:f>'NDE Records'!L334</x:f>
        <x:v>OPEN</x:v>
      </x:c>
    </x:row>
    <x:row r="6319">
      <x:c r="B6319" s="7" t="str">
        <x:v>AG-06313</x:v>
      </x:c>
      <x:c r="C6319" s="7" t="str">
        <x:v>PEA-C-Y2</x:v>
      </x:c>
      <x:c r="D6319" s="7" t="str">
        <x:v>NDE record</x:v>
      </x:c>
      <x:c r="E6319" s="7" t="str">
        <x:v>NDE-TRV-PEA-C-Y2-09</x:v>
      </x:c>
      <x:c r="F6319" s="7" t="str">
        <x:f>'NDE Records'!L335</x:f>
        <x:v>OPEN</x:v>
      </x:c>
    </x:row>
    <x:row r="6320">
      <x:c r="B6320" s="7" t="str">
        <x:v>AG-06314</x:v>
      </x:c>
      <x:c r="C6320" s="7" t="str">
        <x:v>PEA-C-Y2</x:v>
      </x:c>
      <x:c r="D6320" s="7" t="str">
        <x:v>NDE record</x:v>
      </x:c>
      <x:c r="E6320" s="7" t="str">
        <x:v>NDE-TRV-PEA-C-Y2-10</x:v>
      </x:c>
      <x:c r="F6320" s="7" t="str">
        <x:f>'NDE Records'!L336</x:f>
        <x:v>OPEN</x:v>
      </x:c>
    </x:row>
    <x:row r="6321">
      <x:c r="B6321" s="7" t="str">
        <x:v>AG-06315</x:v>
      </x:c>
      <x:c r="C6321" s="7" t="str">
        <x:v>PEA-C-Y2</x:v>
      </x:c>
      <x:c r="D6321" s="7" t="str">
        <x:v>NDE record</x:v>
      </x:c>
      <x:c r="E6321" s="7" t="str">
        <x:v>NDE-TRV-PEA-C-Y2-11</x:v>
      </x:c>
      <x:c r="F6321" s="7" t="str">
        <x:f>'NDE Records'!L337</x:f>
        <x:v>OPEN</x:v>
      </x:c>
    </x:row>
    <x:row r="6322">
      <x:c r="B6322" s="7" t="str">
        <x:v>AG-06316</x:v>
      </x:c>
      <x:c r="C6322" s="7" t="str">
        <x:v>PEA-C-Y2</x:v>
      </x:c>
      <x:c r="D6322" s="7" t="str">
        <x:v>NDE record</x:v>
      </x:c>
      <x:c r="E6322" s="7" t="str">
        <x:v>NDE-TRV-PEA-C-Y2-12</x:v>
      </x:c>
      <x:c r="F6322" s="7" t="str">
        <x:f>'NDE Records'!L338</x:f>
        <x:v>OPEN</x:v>
      </x:c>
    </x:row>
    <x:row r="6323">
      <x:c r="B6323" s="7" t="str">
        <x:v>AG-06317</x:v>
      </x:c>
      <x:c r="C6323" s="7" t="str">
        <x:v>PEA-C-Y2</x:v>
      </x:c>
      <x:c r="D6323" s="7" t="str">
        <x:v>NDE record</x:v>
      </x:c>
      <x:c r="E6323" s="7" t="str">
        <x:v>NDE-TRV-PEA-C-Y2-13</x:v>
      </x:c>
      <x:c r="F6323" s="7" t="str">
        <x:f>'NDE Records'!L339</x:f>
        <x:v>OPEN</x:v>
      </x:c>
    </x:row>
    <x:row r="6324">
      <x:c r="B6324" s="7" t="str">
        <x:v>AG-06318</x:v>
      </x:c>
      <x:c r="C6324" s="7" t="str">
        <x:v>PEA-C-Y2</x:v>
      </x:c>
      <x:c r="D6324" s="7" t="str">
        <x:v>NDE record</x:v>
      </x:c>
      <x:c r="E6324" s="7" t="str">
        <x:v>NDE-TRV-PEA-C-Y2-14</x:v>
      </x:c>
      <x:c r="F6324" s="7" t="str">
        <x:f>'NDE Records'!L340</x:f>
        <x:v>OPEN</x:v>
      </x:c>
    </x:row>
    <x:row r="6325">
      <x:c r="B6325" s="7" t="str">
        <x:v>AG-06319</x:v>
      </x:c>
      <x:c r="C6325" s="7" t="str">
        <x:v>PEA-C-Y2</x:v>
      </x:c>
      <x:c r="D6325" s="7" t="str">
        <x:v>NDE record</x:v>
      </x:c>
      <x:c r="E6325" s="7" t="str">
        <x:v>NDE-TRV-PEA-C-Y2-15</x:v>
      </x:c>
      <x:c r="F6325" s="7" t="str">
        <x:f>'NDE Records'!L341</x:f>
        <x:v>OPEN</x:v>
      </x:c>
    </x:row>
    <x:row r="6326">
      <x:c r="B6326" s="7" t="str">
        <x:v>AG-06320</x:v>
      </x:c>
      <x:c r="C6326" s="7" t="str">
        <x:v>PEA-C-Y2</x:v>
      </x:c>
      <x:c r="D6326" s="7" t="str">
        <x:v>NDE record</x:v>
      </x:c>
      <x:c r="E6326" s="7" t="str">
        <x:v>NDE-TRV-PEA-C-Y2-16</x:v>
      </x:c>
      <x:c r="F6326" s="7" t="str">
        <x:f>'NDE Records'!L342</x:f>
        <x:v>OPEN</x:v>
      </x:c>
    </x:row>
    <x:row r="6327">
      <x:c r="B6327" s="7" t="str">
        <x:v>AG-06321</x:v>
      </x:c>
      <x:c r="C6327" s="7" t="str">
        <x:v>PEA-C-Y2</x:v>
      </x:c>
      <x:c r="D6327" s="7" t="str">
        <x:v>NDE record</x:v>
      </x:c>
      <x:c r="E6327" s="7" t="str">
        <x:v>NDE-TRV-PEA-C-Y2-17</x:v>
      </x:c>
      <x:c r="F6327" s="7" t="str">
        <x:f>'NDE Records'!L343</x:f>
        <x:v>OPEN</x:v>
      </x:c>
    </x:row>
    <x:row r="6328">
      <x:c r="B6328" s="7" t="str">
        <x:v>AG-06322</x:v>
      </x:c>
      <x:c r="C6328" s="7" t="str">
        <x:v>PEA-C-Y2</x:v>
      </x:c>
      <x:c r="D6328" s="7" t="str">
        <x:v>NDE record</x:v>
      </x:c>
      <x:c r="E6328" s="7" t="str">
        <x:v>NDE-TRV-PEA-C-Y2-18</x:v>
      </x:c>
      <x:c r="F6328" s="7" t="str">
        <x:f>'NDE Records'!L344</x:f>
        <x:v>OPEN</x:v>
      </x:c>
    </x:row>
    <x:row r="6329">
      <x:c r="B6329" s="7" t="str">
        <x:v>AG-06323</x:v>
      </x:c>
      <x:c r="C6329" s="7" t="str">
        <x:v>PEA-C-Y2</x:v>
      </x:c>
      <x:c r="D6329" s="7" t="str">
        <x:v>NDE record</x:v>
      </x:c>
      <x:c r="E6329" s="7" t="str">
        <x:v>NDE-TRV-PEA-C-Y2-19</x:v>
      </x:c>
      <x:c r="F6329" s="7" t="str">
        <x:f>'NDE Records'!L345</x:f>
        <x:v>OPEN</x:v>
      </x:c>
    </x:row>
    <x:row r="6330">
      <x:c r="B6330" s="7" t="str">
        <x:v>AG-06324</x:v>
      </x:c>
      <x:c r="C6330" s="7" t="str">
        <x:v>PEA-C-Y2</x:v>
      </x:c>
      <x:c r="D6330" s="7" t="str">
        <x:v>NDE record</x:v>
      </x:c>
      <x:c r="E6330" s="7" t="str">
        <x:v>NDE-TRV-PEA-C-Y2-20</x:v>
      </x:c>
      <x:c r="F6330" s="7" t="str">
        <x:f>'NDE Records'!L346</x:f>
        <x:v>OPEN</x:v>
      </x:c>
    </x:row>
    <x:row r="6331">
      <x:c r="B6331" s="7" t="str">
        <x:v>AG-06325</x:v>
      </x:c>
      <x:c r="C6331" s="7" t="str">
        <x:v>PEA-C-Y2</x:v>
      </x:c>
      <x:c r="D6331" s="7" t="str">
        <x:v>joint record</x:v>
      </x:c>
      <x:c r="E6331" s="7" t="str">
        <x:v>JNT-PEA-C-Y2-1</x:v>
      </x:c>
      <x:c r="F6331" s="7" t="str">
        <x:f>'Joint Records'!M87</x:f>
        <x:v>OPEN</x:v>
      </x:c>
    </x:row>
    <x:row r="6332">
      <x:c r="B6332" s="7" t="str">
        <x:v>AG-06326</x:v>
      </x:c>
      <x:c r="C6332" s="7" t="str">
        <x:v>PEA-C-Y2</x:v>
      </x:c>
      <x:c r="D6332" s="7" t="str">
        <x:v>joint record</x:v>
      </x:c>
      <x:c r="E6332" s="7" t="str">
        <x:v>JNT-PEA-C-Y2-2</x:v>
      </x:c>
      <x:c r="F6332" s="7" t="str">
        <x:f>'Joint Records'!M88</x:f>
        <x:v>OPEN</x:v>
      </x:c>
    </x:row>
    <x:row r="6333">
      <x:c r="B6333" s="7" t="str">
        <x:v>AG-06327</x:v>
      </x:c>
      <x:c r="C6333" s="7" t="str">
        <x:v>PEA-C-Y2</x:v>
      </x:c>
      <x:c r="D6333" s="7" t="str">
        <x:v>joint record</x:v>
      </x:c>
      <x:c r="E6333" s="7" t="str">
        <x:v>JNT-PEA-C-Y2-3</x:v>
      </x:c>
      <x:c r="F6333" s="7" t="str">
        <x:f>'Joint Records'!M89</x:f>
        <x:v>OPEN</x:v>
      </x:c>
    </x:row>
    <x:row r="6334">
      <x:c r="B6334" s="7" t="str">
        <x:v>AG-06328</x:v>
      </x:c>
      <x:c r="C6334" s="7" t="str">
        <x:v>PEA-C-Y2</x:v>
      </x:c>
      <x:c r="D6334" s="7" t="str">
        <x:v>joint record</x:v>
      </x:c>
      <x:c r="E6334" s="7" t="str">
        <x:v>JNT-PEA-C-Y2-4</x:v>
      </x:c>
      <x:c r="F6334" s="7" t="str">
        <x:f>'Joint Records'!M90</x:f>
        <x:v>OPEN</x:v>
      </x:c>
    </x:row>
    <x:row r="6335">
      <x:c r="B6335" s="7" t="str">
        <x:v>AG-06329</x:v>
      </x:c>
      <x:c r="C6335" s="7" t="str">
        <x:v>PEA-C-Y2</x:v>
      </x:c>
      <x:c r="D6335" s="7" t="str">
        <x:v>joint record</x:v>
      </x:c>
      <x:c r="E6335" s="7" t="str">
        <x:v>JNT-PEA-C-Y2-5</x:v>
      </x:c>
      <x:c r="F6335" s="7" t="str">
        <x:f>'Joint Records'!M91</x:f>
        <x:v>OPEN</x:v>
      </x:c>
    </x:row>
    <x:row r="6336">
      <x:c r="B6336" s="7" t="str">
        <x:v>AG-06330</x:v>
      </x:c>
      <x:c r="C6336" s="7" t="str">
        <x:v>PEA-C-Y2</x:v>
      </x:c>
      <x:c r="D6336" s="7" t="str">
        <x:v>control element</x:v>
      </x:c>
      <x:c r="E6336" s="7" t="str">
        <x:v>ELM-PEA-C-Y2-01</x:v>
      </x:c>
      <x:c r="F6336" s="7" t="str">
        <x:f>'Control Elements'!L199</x:f>
        <x:v>OPEN</x:v>
      </x:c>
    </x:row>
    <x:row r="6337">
      <x:c r="B6337" s="7" t="str">
        <x:v>AG-06331</x:v>
      </x:c>
      <x:c r="C6337" s="7" t="str">
        <x:v>PEA-C-Y2</x:v>
      </x:c>
      <x:c r="D6337" s="7" t="str">
        <x:v>control element</x:v>
      </x:c>
      <x:c r="E6337" s="7" t="str">
        <x:v>ELM-PEA-C-Y2-02</x:v>
      </x:c>
      <x:c r="F6337" s="7" t="str">
        <x:f>'Control Elements'!L200</x:f>
        <x:v>OPEN</x:v>
      </x:c>
    </x:row>
    <x:row r="6338">
      <x:c r="B6338" s="7" t="str">
        <x:v>AG-06332</x:v>
      </x:c>
      <x:c r="C6338" s="7" t="str">
        <x:v>PEA-C-Y2</x:v>
      </x:c>
      <x:c r="D6338" s="7" t="str">
        <x:v>control element</x:v>
      </x:c>
      <x:c r="E6338" s="7" t="str">
        <x:v>ELM-PEA-C-Y2-03</x:v>
      </x:c>
      <x:c r="F6338" s="7" t="str">
        <x:f>'Control Elements'!L201</x:f>
        <x:v>OPEN</x:v>
      </x:c>
    </x:row>
    <x:row r="6339">
      <x:c r="B6339" s="7" t="str">
        <x:v>AG-06333</x:v>
      </x:c>
      <x:c r="C6339" s="7" t="str">
        <x:v>PEA-C-Y2</x:v>
      </x:c>
      <x:c r="D6339" s="7" t="str">
        <x:v>control element</x:v>
      </x:c>
      <x:c r="E6339" s="7" t="str">
        <x:v>ELM-PEA-C-Y2-04</x:v>
      </x:c>
      <x:c r="F6339" s="7" t="str">
        <x:f>'Control Elements'!L202</x:f>
        <x:v>OPEN</x:v>
      </x:c>
    </x:row>
    <x:row r="6340">
      <x:c r="B6340" s="7" t="str">
        <x:v>AG-06334</x:v>
      </x:c>
      <x:c r="C6340" s="7" t="str">
        <x:v>PEA-C-Y2</x:v>
      </x:c>
      <x:c r="D6340" s="7" t="str">
        <x:v>control element</x:v>
      </x:c>
      <x:c r="E6340" s="7" t="str">
        <x:v>ELM-PEA-C-Y2-05</x:v>
      </x:c>
      <x:c r="F6340" s="7" t="str">
        <x:f>'Control Elements'!L203</x:f>
        <x:v>OPEN</x:v>
      </x:c>
    </x:row>
    <x:row r="6341">
      <x:c r="B6341" s="7" t="str">
        <x:v>AG-06335</x:v>
      </x:c>
      <x:c r="C6341" s="7" t="str">
        <x:v>PEA-C-Y2</x:v>
      </x:c>
      <x:c r="D6341" s="7" t="str">
        <x:v>control element</x:v>
      </x:c>
      <x:c r="E6341" s="7" t="str">
        <x:v>ELM-PEA-C-Y2-06</x:v>
      </x:c>
      <x:c r="F6341" s="7" t="str">
        <x:f>'Control Elements'!L204</x:f>
        <x:v>OPEN</x:v>
      </x:c>
    </x:row>
    <x:row r="6342">
      <x:c r="B6342" s="7" t="str">
        <x:v>AG-06336</x:v>
      </x:c>
      <x:c r="C6342" s="7" t="str">
        <x:v>PEA-C-Y2</x:v>
      </x:c>
      <x:c r="D6342" s="7" t="str">
        <x:v>control element</x:v>
      </x:c>
      <x:c r="E6342" s="7" t="str">
        <x:v>ELM-PEA-C-Y2-07</x:v>
      </x:c>
      <x:c r="F6342" s="7" t="str">
        <x:f>'Control Elements'!L205</x:f>
        <x:v>OPEN</x:v>
      </x:c>
    </x:row>
    <x:row r="6343">
      <x:c r="B6343" s="7" t="str">
        <x:v>AG-06337</x:v>
      </x:c>
      <x:c r="C6343" s="7" t="str">
        <x:v>PEA-C-Y2</x:v>
      </x:c>
      <x:c r="D6343" s="7" t="str">
        <x:v>control element</x:v>
      </x:c>
      <x:c r="E6343" s="7" t="str">
        <x:v>ELM-PEA-C-Y2-08</x:v>
      </x:c>
      <x:c r="F6343" s="7" t="str">
        <x:f>'Control Elements'!L206</x:f>
        <x:v>OPEN</x:v>
      </x:c>
    </x:row>
    <x:row r="6344">
      <x:c r="B6344" s="7" t="str">
        <x:v>AG-06338</x:v>
      </x:c>
      <x:c r="C6344" s="7" t="str">
        <x:v>PEA-C-Y2</x:v>
      </x:c>
      <x:c r="D6344" s="7" t="str">
        <x:v>control element</x:v>
      </x:c>
      <x:c r="E6344" s="7" t="str">
        <x:v>ELM-PEA-C-Y2-09</x:v>
      </x:c>
      <x:c r="F6344" s="7" t="str">
        <x:f>'Control Elements'!L207</x:f>
        <x:v>OPEN</x:v>
      </x:c>
    </x:row>
    <x:row r="6345">
      <x:c r="B6345" s="7" t="str">
        <x:v>AG-06339</x:v>
      </x:c>
      <x:c r="C6345" s="7" t="str">
        <x:v>PEA-C-Y2</x:v>
      </x:c>
      <x:c r="D6345" s="7" t="str">
        <x:v>control element</x:v>
      </x:c>
      <x:c r="E6345" s="7" t="str">
        <x:v>ELM-PEA-C-Y2-10</x:v>
      </x:c>
      <x:c r="F6345" s="7" t="str">
        <x:f>'Control Elements'!L208</x:f>
        <x:v>OPEN</x:v>
      </x:c>
    </x:row>
    <x:row r="6346">
      <x:c r="B6346" s="7" t="str">
        <x:v>AG-06340</x:v>
      </x:c>
      <x:c r="C6346" s="7" t="str">
        <x:v>PEA-C-Y2</x:v>
      </x:c>
      <x:c r="D6346" s="7" t="str">
        <x:v>control element</x:v>
      </x:c>
      <x:c r="E6346" s="7" t="str">
        <x:v>ELM-PEA-C-Y2-11</x:v>
      </x:c>
      <x:c r="F6346" s="7" t="str">
        <x:f>'Control Elements'!L209</x:f>
        <x:v>OPEN</x:v>
      </x:c>
    </x:row>
    <x:row r="6347">
      <x:c r="B6347" s="7" t="str">
        <x:v>AG-06341</x:v>
      </x:c>
      <x:c r="C6347" s="7" t="str">
        <x:v>PEA-C-Y2</x:v>
      </x:c>
      <x:c r="D6347" s="7" t="str">
        <x:v>control element</x:v>
      </x:c>
      <x:c r="E6347" s="7" t="str">
        <x:v>ELM-PEA-C-Y2-12</x:v>
      </x:c>
      <x:c r="F6347" s="7" t="str">
        <x:f>'Control Elements'!L210</x:f>
        <x:v>OPEN</x:v>
      </x:c>
    </x:row>
    <x:row r="6348">
      <x:c r="B6348" s="7" t="str">
        <x:v>AG-06342</x:v>
      </x:c>
      <x:c r="C6348" s="7" t="str">
        <x:v>PEA-C-Y2</x:v>
      </x:c>
      <x:c r="D6348" s="7" t="str">
        <x:v>channel instance</x:v>
      </x:c>
      <x:c r="E6348" s="7" t="str">
        <x:v>CH-PEA-C-Y2-01-1</x:v>
      </x:c>
      <x:c r="F6348" s="7" t="str">
        <x:f>'Channel Instances'!O2311</x:f>
        <x:v>OPEN</x:v>
      </x:c>
    </x:row>
    <x:row r="6349">
      <x:c r="B6349" s="7" t="str">
        <x:v>AG-06343</x:v>
      </x:c>
      <x:c r="C6349" s="7" t="str">
        <x:v>PEA-C-Y2</x:v>
      </x:c>
      <x:c r="D6349" s="7" t="str">
        <x:v>channel instance</x:v>
      </x:c>
      <x:c r="E6349" s="7" t="str">
        <x:v>CH-PEA-C-Y2-01-2</x:v>
      </x:c>
      <x:c r="F6349" s="7" t="str">
        <x:f>'Channel Instances'!O2312</x:f>
        <x:v>OPEN</x:v>
      </x:c>
    </x:row>
    <x:row r="6350">
      <x:c r="B6350" s="7" t="str">
        <x:v>AG-06344</x:v>
      </x:c>
      <x:c r="C6350" s="7" t="str">
        <x:v>PEA-C-Y2</x:v>
      </x:c>
      <x:c r="D6350" s="7" t="str">
        <x:v>channel instance</x:v>
      </x:c>
      <x:c r="E6350" s="7" t="str">
        <x:v>CH-PEA-C-Y2-01-3</x:v>
      </x:c>
      <x:c r="F6350" s="7" t="str">
        <x:f>'Channel Instances'!O2313</x:f>
        <x:v>OPEN</x:v>
      </x:c>
    </x:row>
    <x:row r="6351">
      <x:c r="B6351" s="7" t="str">
        <x:v>AG-06345</x:v>
      </x:c>
      <x:c r="C6351" s="7" t="str">
        <x:v>PEA-C-Y2</x:v>
      </x:c>
      <x:c r="D6351" s="7" t="str">
        <x:v>channel instance</x:v>
      </x:c>
      <x:c r="E6351" s="7" t="str">
        <x:v>CH-PEA-C-Y2-01-4</x:v>
      </x:c>
      <x:c r="F6351" s="7" t="str">
        <x:f>'Channel Instances'!O2314</x:f>
        <x:v>OPEN</x:v>
      </x:c>
    </x:row>
    <x:row r="6352">
      <x:c r="B6352" s="7" t="str">
        <x:v>AG-06346</x:v>
      </x:c>
      <x:c r="C6352" s="7" t="str">
        <x:v>PEA-C-Y2</x:v>
      </x:c>
      <x:c r="D6352" s="7" t="str">
        <x:v>channel instance</x:v>
      </x:c>
      <x:c r="E6352" s="7" t="str">
        <x:v>CH-PEA-C-Y2-01-5</x:v>
      </x:c>
      <x:c r="F6352" s="7" t="str">
        <x:f>'Channel Instances'!O2315</x:f>
        <x:v>OPEN</x:v>
      </x:c>
    </x:row>
    <x:row r="6353">
      <x:c r="B6353" s="7" t="str">
        <x:v>AG-06347</x:v>
      </x:c>
      <x:c r="C6353" s="7" t="str">
        <x:v>PEA-C-Y2</x:v>
      </x:c>
      <x:c r="D6353" s="7" t="str">
        <x:v>channel instance</x:v>
      </x:c>
      <x:c r="E6353" s="7" t="str">
        <x:v>CH-PEA-C-Y2-01-6</x:v>
      </x:c>
      <x:c r="F6353" s="7" t="str">
        <x:f>'Channel Instances'!O2316</x:f>
        <x:v>OPEN</x:v>
      </x:c>
    </x:row>
    <x:row r="6354">
      <x:c r="B6354" s="7" t="str">
        <x:v>AG-06348</x:v>
      </x:c>
      <x:c r="C6354" s="7" t="str">
        <x:v>PEA-C-Y2</x:v>
      </x:c>
      <x:c r="D6354" s="7" t="str">
        <x:v>channel instance</x:v>
      </x:c>
      <x:c r="E6354" s="7" t="str">
        <x:v>CH-PEA-C-Y2-02-1</x:v>
      </x:c>
      <x:c r="F6354" s="7" t="str">
        <x:f>'Channel Instances'!O2317</x:f>
        <x:v>OPEN</x:v>
      </x:c>
    </x:row>
    <x:row r="6355">
      <x:c r="B6355" s="7" t="str">
        <x:v>AG-06349</x:v>
      </x:c>
      <x:c r="C6355" s="7" t="str">
        <x:v>PEA-C-Y2</x:v>
      </x:c>
      <x:c r="D6355" s="7" t="str">
        <x:v>channel instance</x:v>
      </x:c>
      <x:c r="E6355" s="7" t="str">
        <x:v>CH-PEA-C-Y2-02-2</x:v>
      </x:c>
      <x:c r="F6355" s="7" t="str">
        <x:f>'Channel Instances'!O2318</x:f>
        <x:v>OPEN</x:v>
      </x:c>
    </x:row>
    <x:row r="6356">
      <x:c r="B6356" s="7" t="str">
        <x:v>AG-06350</x:v>
      </x:c>
      <x:c r="C6356" s="7" t="str">
        <x:v>PEA-C-Y2</x:v>
      </x:c>
      <x:c r="D6356" s="7" t="str">
        <x:v>channel instance</x:v>
      </x:c>
      <x:c r="E6356" s="7" t="str">
        <x:v>CH-PEA-C-Y2-02-3</x:v>
      </x:c>
      <x:c r="F6356" s="7" t="str">
        <x:f>'Channel Instances'!O2319</x:f>
        <x:v>OPEN</x:v>
      </x:c>
    </x:row>
    <x:row r="6357">
      <x:c r="B6357" s="7" t="str">
        <x:v>AG-06351</x:v>
      </x:c>
      <x:c r="C6357" s="7" t="str">
        <x:v>PEA-C-Y2</x:v>
      </x:c>
      <x:c r="D6357" s="7" t="str">
        <x:v>channel instance</x:v>
      </x:c>
      <x:c r="E6357" s="7" t="str">
        <x:v>CH-PEA-C-Y2-02-4</x:v>
      </x:c>
      <x:c r="F6357" s="7" t="str">
        <x:f>'Channel Instances'!O2320</x:f>
        <x:v>OPEN</x:v>
      </x:c>
    </x:row>
    <x:row r="6358">
      <x:c r="B6358" s="7" t="str">
        <x:v>AG-06352</x:v>
      </x:c>
      <x:c r="C6358" s="7" t="str">
        <x:v>PEA-C-Y2</x:v>
      </x:c>
      <x:c r="D6358" s="7" t="str">
        <x:v>channel instance</x:v>
      </x:c>
      <x:c r="E6358" s="7" t="str">
        <x:v>CH-PEA-C-Y2-02-5</x:v>
      </x:c>
      <x:c r="F6358" s="7" t="str">
        <x:f>'Channel Instances'!O2321</x:f>
        <x:v>OPEN</x:v>
      </x:c>
    </x:row>
    <x:row r="6359">
      <x:c r="B6359" s="7" t="str">
        <x:v>AG-06353</x:v>
      </x:c>
      <x:c r="C6359" s="7" t="str">
        <x:v>PEA-C-Y2</x:v>
      </x:c>
      <x:c r="D6359" s="7" t="str">
        <x:v>channel instance</x:v>
      </x:c>
      <x:c r="E6359" s="7" t="str">
        <x:v>CH-PEA-C-Y2-02-6</x:v>
      </x:c>
      <x:c r="F6359" s="7" t="str">
        <x:f>'Channel Instances'!O2322</x:f>
        <x:v>OPEN</x:v>
      </x:c>
    </x:row>
    <x:row r="6360">
      <x:c r="B6360" s="7" t="str">
        <x:v>AG-06354</x:v>
      </x:c>
      <x:c r="C6360" s="7" t="str">
        <x:v>PEA-C-Y2</x:v>
      </x:c>
      <x:c r="D6360" s="7" t="str">
        <x:v>channel instance</x:v>
      </x:c>
      <x:c r="E6360" s="7" t="str">
        <x:v>CH-PEA-C-Y2-03-1</x:v>
      </x:c>
      <x:c r="F6360" s="7" t="str">
        <x:f>'Channel Instances'!O2323</x:f>
        <x:v>OPEN</x:v>
      </x:c>
    </x:row>
    <x:row r="6361">
      <x:c r="B6361" s="7" t="str">
        <x:v>AG-06355</x:v>
      </x:c>
      <x:c r="C6361" s="7" t="str">
        <x:v>PEA-C-Y2</x:v>
      </x:c>
      <x:c r="D6361" s="7" t="str">
        <x:v>channel instance</x:v>
      </x:c>
      <x:c r="E6361" s="7" t="str">
        <x:v>CH-PEA-C-Y2-03-2</x:v>
      </x:c>
      <x:c r="F6361" s="7" t="str">
        <x:f>'Channel Instances'!O2324</x:f>
        <x:v>OPEN</x:v>
      </x:c>
    </x:row>
    <x:row r="6362">
      <x:c r="B6362" s="7" t="str">
        <x:v>AG-06356</x:v>
      </x:c>
      <x:c r="C6362" s="7" t="str">
        <x:v>PEA-C-Y2</x:v>
      </x:c>
      <x:c r="D6362" s="7" t="str">
        <x:v>channel instance</x:v>
      </x:c>
      <x:c r="E6362" s="7" t="str">
        <x:v>CH-PEA-C-Y2-03-3</x:v>
      </x:c>
      <x:c r="F6362" s="7" t="str">
        <x:f>'Channel Instances'!O2325</x:f>
        <x:v>OPEN</x:v>
      </x:c>
    </x:row>
    <x:row r="6363">
      <x:c r="B6363" s="7" t="str">
        <x:v>AG-06357</x:v>
      </x:c>
      <x:c r="C6363" s="7" t="str">
        <x:v>PEA-C-Y2</x:v>
      </x:c>
      <x:c r="D6363" s="7" t="str">
        <x:v>channel instance</x:v>
      </x:c>
      <x:c r="E6363" s="7" t="str">
        <x:v>CH-PEA-C-Y2-03-4</x:v>
      </x:c>
      <x:c r="F6363" s="7" t="str">
        <x:f>'Channel Instances'!O2326</x:f>
        <x:v>OPEN</x:v>
      </x:c>
    </x:row>
    <x:row r="6364">
      <x:c r="B6364" s="7" t="str">
        <x:v>AG-06358</x:v>
      </x:c>
      <x:c r="C6364" s="7" t="str">
        <x:v>PEA-C-Y2</x:v>
      </x:c>
      <x:c r="D6364" s="7" t="str">
        <x:v>channel instance</x:v>
      </x:c>
      <x:c r="E6364" s="7" t="str">
        <x:v>CH-PEA-C-Y2-03-5</x:v>
      </x:c>
      <x:c r="F6364" s="7" t="str">
        <x:f>'Channel Instances'!O2327</x:f>
        <x:v>OPEN</x:v>
      </x:c>
    </x:row>
    <x:row r="6365">
      <x:c r="B6365" s="7" t="str">
        <x:v>AG-06359</x:v>
      </x:c>
      <x:c r="C6365" s="7" t="str">
        <x:v>PEA-C-Y2</x:v>
      </x:c>
      <x:c r="D6365" s="7" t="str">
        <x:v>channel instance</x:v>
      </x:c>
      <x:c r="E6365" s="7" t="str">
        <x:v>CH-PEA-C-Y2-03-6</x:v>
      </x:c>
      <x:c r="F6365" s="7" t="str">
        <x:f>'Channel Instances'!O2328</x:f>
        <x:v>OPEN</x:v>
      </x:c>
    </x:row>
    <x:row r="6366">
      <x:c r="B6366" s="7" t="str">
        <x:v>AG-06360</x:v>
      </x:c>
      <x:c r="C6366" s="7" t="str">
        <x:v>PEA-C-Y2</x:v>
      </x:c>
      <x:c r="D6366" s="7" t="str">
        <x:v>channel instance</x:v>
      </x:c>
      <x:c r="E6366" s="7" t="str">
        <x:v>CH-PEA-C-Y2-04-1</x:v>
      </x:c>
      <x:c r="F6366" s="7" t="str">
        <x:f>'Channel Instances'!O2329</x:f>
        <x:v>OPEN</x:v>
      </x:c>
    </x:row>
    <x:row r="6367">
      <x:c r="B6367" s="7" t="str">
        <x:v>AG-06361</x:v>
      </x:c>
      <x:c r="C6367" s="7" t="str">
        <x:v>PEA-C-Y2</x:v>
      </x:c>
      <x:c r="D6367" s="7" t="str">
        <x:v>channel instance</x:v>
      </x:c>
      <x:c r="E6367" s="7" t="str">
        <x:v>CH-PEA-C-Y2-04-2</x:v>
      </x:c>
      <x:c r="F6367" s="7" t="str">
        <x:f>'Channel Instances'!O2330</x:f>
        <x:v>OPEN</x:v>
      </x:c>
    </x:row>
    <x:row r="6368">
      <x:c r="B6368" s="7" t="str">
        <x:v>AG-06362</x:v>
      </x:c>
      <x:c r="C6368" s="7" t="str">
        <x:v>PEA-C-Y2</x:v>
      </x:c>
      <x:c r="D6368" s="7" t="str">
        <x:v>channel instance</x:v>
      </x:c>
      <x:c r="E6368" s="7" t="str">
        <x:v>CH-PEA-C-Y2-04-3</x:v>
      </x:c>
      <x:c r="F6368" s="7" t="str">
        <x:f>'Channel Instances'!O2331</x:f>
        <x:v>OPEN</x:v>
      </x:c>
    </x:row>
    <x:row r="6369">
      <x:c r="B6369" s="7" t="str">
        <x:v>AG-06363</x:v>
      </x:c>
      <x:c r="C6369" s="7" t="str">
        <x:v>PEA-C-Y2</x:v>
      </x:c>
      <x:c r="D6369" s="7" t="str">
        <x:v>channel instance</x:v>
      </x:c>
      <x:c r="E6369" s="7" t="str">
        <x:v>CH-PEA-C-Y2-04-4</x:v>
      </x:c>
      <x:c r="F6369" s="7" t="str">
        <x:f>'Channel Instances'!O2332</x:f>
        <x:v>OPEN</x:v>
      </x:c>
    </x:row>
    <x:row r="6370">
      <x:c r="B6370" s="7" t="str">
        <x:v>AG-06364</x:v>
      </x:c>
      <x:c r="C6370" s="7" t="str">
        <x:v>PEA-C-Y2</x:v>
      </x:c>
      <x:c r="D6370" s="7" t="str">
        <x:v>channel instance</x:v>
      </x:c>
      <x:c r="E6370" s="7" t="str">
        <x:v>CH-PEA-C-Y2-04-5</x:v>
      </x:c>
      <x:c r="F6370" s="7" t="str">
        <x:f>'Channel Instances'!O2333</x:f>
        <x:v>OPEN</x:v>
      </x:c>
    </x:row>
    <x:row r="6371">
      <x:c r="B6371" s="7" t="str">
        <x:v>AG-06365</x:v>
      </x:c>
      <x:c r="C6371" s="7" t="str">
        <x:v>PEA-C-Y2</x:v>
      </x:c>
      <x:c r="D6371" s="7" t="str">
        <x:v>channel instance</x:v>
      </x:c>
      <x:c r="E6371" s="7" t="str">
        <x:v>CH-PEA-C-Y2-04-6</x:v>
      </x:c>
      <x:c r="F6371" s="7" t="str">
        <x:f>'Channel Instances'!O2334</x:f>
        <x:v>OPEN</x:v>
      </x:c>
    </x:row>
    <x:row r="6372">
      <x:c r="B6372" s="7" t="str">
        <x:v>AG-06366</x:v>
      </x:c>
      <x:c r="C6372" s="7" t="str">
        <x:v>PEA-C-Y2</x:v>
      </x:c>
      <x:c r="D6372" s="7" t="str">
        <x:v>channel instance</x:v>
      </x:c>
      <x:c r="E6372" s="7" t="str">
        <x:v>CH-PEA-C-Y2-05-1</x:v>
      </x:c>
      <x:c r="F6372" s="7" t="str">
        <x:f>'Channel Instances'!O2335</x:f>
        <x:v>OPEN</x:v>
      </x:c>
    </x:row>
    <x:row r="6373">
      <x:c r="B6373" s="7" t="str">
        <x:v>AG-06367</x:v>
      </x:c>
      <x:c r="C6373" s="7" t="str">
        <x:v>PEA-C-Y2</x:v>
      </x:c>
      <x:c r="D6373" s="7" t="str">
        <x:v>channel instance</x:v>
      </x:c>
      <x:c r="E6373" s="7" t="str">
        <x:v>CH-PEA-C-Y2-05-2</x:v>
      </x:c>
      <x:c r="F6373" s="7" t="str">
        <x:f>'Channel Instances'!O2336</x:f>
        <x:v>OPEN</x:v>
      </x:c>
    </x:row>
    <x:row r="6374">
      <x:c r="B6374" s="7" t="str">
        <x:v>AG-06368</x:v>
      </x:c>
      <x:c r="C6374" s="7" t="str">
        <x:v>PEA-C-Y2</x:v>
      </x:c>
      <x:c r="D6374" s="7" t="str">
        <x:v>channel instance</x:v>
      </x:c>
      <x:c r="E6374" s="7" t="str">
        <x:v>CH-PEA-C-Y2-05-3</x:v>
      </x:c>
      <x:c r="F6374" s="7" t="str">
        <x:f>'Channel Instances'!O2337</x:f>
        <x:v>OPEN</x:v>
      </x:c>
    </x:row>
    <x:row r="6375">
      <x:c r="B6375" s="7" t="str">
        <x:v>AG-06369</x:v>
      </x:c>
      <x:c r="C6375" s="7" t="str">
        <x:v>PEA-C-Y2</x:v>
      </x:c>
      <x:c r="D6375" s="7" t="str">
        <x:v>channel instance</x:v>
      </x:c>
      <x:c r="E6375" s="7" t="str">
        <x:v>CH-PEA-C-Y2-05-4</x:v>
      </x:c>
      <x:c r="F6375" s="7" t="str">
        <x:f>'Channel Instances'!O2338</x:f>
        <x:v>OPEN</x:v>
      </x:c>
    </x:row>
    <x:row r="6376">
      <x:c r="B6376" s="7" t="str">
        <x:v>AG-06370</x:v>
      </x:c>
      <x:c r="C6376" s="7" t="str">
        <x:v>PEA-C-Y2</x:v>
      </x:c>
      <x:c r="D6376" s="7" t="str">
        <x:v>channel instance</x:v>
      </x:c>
      <x:c r="E6376" s="7" t="str">
        <x:v>CH-PEA-C-Y2-05-5</x:v>
      </x:c>
      <x:c r="F6376" s="7" t="str">
        <x:f>'Channel Instances'!O2339</x:f>
        <x:v>OPEN</x:v>
      </x:c>
    </x:row>
    <x:row r="6377">
      <x:c r="B6377" s="7" t="str">
        <x:v>AG-06371</x:v>
      </x:c>
      <x:c r="C6377" s="7" t="str">
        <x:v>PEA-C-Y2</x:v>
      </x:c>
      <x:c r="D6377" s="7" t="str">
        <x:v>channel instance</x:v>
      </x:c>
      <x:c r="E6377" s="7" t="str">
        <x:v>CH-PEA-C-Y2-05-6</x:v>
      </x:c>
      <x:c r="F6377" s="7" t="str">
        <x:f>'Channel Instances'!O2340</x:f>
        <x:v>OPEN</x:v>
      </x:c>
    </x:row>
    <x:row r="6378">
      <x:c r="B6378" s="7" t="str">
        <x:v>AG-06372</x:v>
      </x:c>
      <x:c r="C6378" s="7" t="str">
        <x:v>PEA-C-Y2</x:v>
      </x:c>
      <x:c r="D6378" s="7" t="str">
        <x:v>channel instance</x:v>
      </x:c>
      <x:c r="E6378" s="7" t="str">
        <x:v>CH-PEA-C-Y2-06-1</x:v>
      </x:c>
      <x:c r="F6378" s="7" t="str">
        <x:f>'Channel Instances'!O2341</x:f>
        <x:v>OPEN</x:v>
      </x:c>
    </x:row>
    <x:row r="6379">
      <x:c r="B6379" s="7" t="str">
        <x:v>AG-06373</x:v>
      </x:c>
      <x:c r="C6379" s="7" t="str">
        <x:v>PEA-C-Y2</x:v>
      </x:c>
      <x:c r="D6379" s="7" t="str">
        <x:v>channel instance</x:v>
      </x:c>
      <x:c r="E6379" s="7" t="str">
        <x:v>CH-PEA-C-Y2-06-2</x:v>
      </x:c>
      <x:c r="F6379" s="7" t="str">
        <x:f>'Channel Instances'!O2342</x:f>
        <x:v>OPEN</x:v>
      </x:c>
    </x:row>
    <x:row r="6380">
      <x:c r="B6380" s="7" t="str">
        <x:v>AG-06374</x:v>
      </x:c>
      <x:c r="C6380" s="7" t="str">
        <x:v>PEA-C-Y2</x:v>
      </x:c>
      <x:c r="D6380" s="7" t="str">
        <x:v>channel instance</x:v>
      </x:c>
      <x:c r="E6380" s="7" t="str">
        <x:v>CH-PEA-C-Y2-06-3</x:v>
      </x:c>
      <x:c r="F6380" s="7" t="str">
        <x:f>'Channel Instances'!O2343</x:f>
        <x:v>OPEN</x:v>
      </x:c>
    </x:row>
    <x:row r="6381">
      <x:c r="B6381" s="7" t="str">
        <x:v>AG-06375</x:v>
      </x:c>
      <x:c r="C6381" s="7" t="str">
        <x:v>PEA-C-Y2</x:v>
      </x:c>
      <x:c r="D6381" s="7" t="str">
        <x:v>channel instance</x:v>
      </x:c>
      <x:c r="E6381" s="7" t="str">
        <x:v>CH-PEA-C-Y2-06-4</x:v>
      </x:c>
      <x:c r="F6381" s="7" t="str">
        <x:f>'Channel Instances'!O2344</x:f>
        <x:v>OPEN</x:v>
      </x:c>
    </x:row>
    <x:row r="6382">
      <x:c r="B6382" s="7" t="str">
        <x:v>AG-06376</x:v>
      </x:c>
      <x:c r="C6382" s="7" t="str">
        <x:v>PEA-C-Y2</x:v>
      </x:c>
      <x:c r="D6382" s="7" t="str">
        <x:v>channel instance</x:v>
      </x:c>
      <x:c r="E6382" s="7" t="str">
        <x:v>CH-PEA-C-Y2-06-5</x:v>
      </x:c>
      <x:c r="F6382" s="7" t="str">
        <x:f>'Channel Instances'!O2345</x:f>
        <x:v>OPEN</x:v>
      </x:c>
    </x:row>
    <x:row r="6383">
      <x:c r="B6383" s="7" t="str">
        <x:v>AG-06377</x:v>
      </x:c>
      <x:c r="C6383" s="7" t="str">
        <x:v>PEA-C-Y2</x:v>
      </x:c>
      <x:c r="D6383" s="7" t="str">
        <x:v>channel instance</x:v>
      </x:c>
      <x:c r="E6383" s="7" t="str">
        <x:v>CH-PEA-C-Y2-06-6</x:v>
      </x:c>
      <x:c r="F6383" s="7" t="str">
        <x:f>'Channel Instances'!O2346</x:f>
        <x:v>OPEN</x:v>
      </x:c>
    </x:row>
    <x:row r="6384">
      <x:c r="B6384" s="7" t="str">
        <x:v>AG-06378</x:v>
      </x:c>
      <x:c r="C6384" s="7" t="str">
        <x:v>PEA-C-Y2</x:v>
      </x:c>
      <x:c r="D6384" s="7" t="str">
        <x:v>channel instance</x:v>
      </x:c>
      <x:c r="E6384" s="7" t="str">
        <x:v>CH-PEA-C-Y2-07-1</x:v>
      </x:c>
      <x:c r="F6384" s="7" t="str">
        <x:f>'Channel Instances'!O2347</x:f>
        <x:v>OPEN</x:v>
      </x:c>
    </x:row>
    <x:row r="6385">
      <x:c r="B6385" s="7" t="str">
        <x:v>AG-06379</x:v>
      </x:c>
      <x:c r="C6385" s="7" t="str">
        <x:v>PEA-C-Y2</x:v>
      </x:c>
      <x:c r="D6385" s="7" t="str">
        <x:v>channel instance</x:v>
      </x:c>
      <x:c r="E6385" s="7" t="str">
        <x:v>CH-PEA-C-Y2-07-2</x:v>
      </x:c>
      <x:c r="F6385" s="7" t="str">
        <x:f>'Channel Instances'!O2348</x:f>
        <x:v>OPEN</x:v>
      </x:c>
    </x:row>
    <x:row r="6386">
      <x:c r="B6386" s="7" t="str">
        <x:v>AG-06380</x:v>
      </x:c>
      <x:c r="C6386" s="7" t="str">
        <x:v>PEA-C-Y2</x:v>
      </x:c>
      <x:c r="D6386" s="7" t="str">
        <x:v>channel instance</x:v>
      </x:c>
      <x:c r="E6386" s="7" t="str">
        <x:v>CH-PEA-C-Y2-07-3</x:v>
      </x:c>
      <x:c r="F6386" s="7" t="str">
        <x:f>'Channel Instances'!O2349</x:f>
        <x:v>OPEN</x:v>
      </x:c>
    </x:row>
    <x:row r="6387">
      <x:c r="B6387" s="7" t="str">
        <x:v>AG-06381</x:v>
      </x:c>
      <x:c r="C6387" s="7" t="str">
        <x:v>PEA-C-Y2</x:v>
      </x:c>
      <x:c r="D6387" s="7" t="str">
        <x:v>channel instance</x:v>
      </x:c>
      <x:c r="E6387" s="7" t="str">
        <x:v>CH-PEA-C-Y2-07-4</x:v>
      </x:c>
      <x:c r="F6387" s="7" t="str">
        <x:f>'Channel Instances'!O2350</x:f>
        <x:v>OPEN</x:v>
      </x:c>
    </x:row>
    <x:row r="6388">
      <x:c r="B6388" s="7" t="str">
        <x:v>AG-06382</x:v>
      </x:c>
      <x:c r="C6388" s="7" t="str">
        <x:v>PEA-C-Y2</x:v>
      </x:c>
      <x:c r="D6388" s="7" t="str">
        <x:v>channel instance</x:v>
      </x:c>
      <x:c r="E6388" s="7" t="str">
        <x:v>CH-PEA-C-Y2-07-5</x:v>
      </x:c>
      <x:c r="F6388" s="7" t="str">
        <x:f>'Channel Instances'!O2351</x:f>
        <x:v>OPEN</x:v>
      </x:c>
    </x:row>
    <x:row r="6389">
      <x:c r="B6389" s="7" t="str">
        <x:v>AG-06383</x:v>
      </x:c>
      <x:c r="C6389" s="7" t="str">
        <x:v>PEA-C-Y2</x:v>
      </x:c>
      <x:c r="D6389" s="7" t="str">
        <x:v>channel instance</x:v>
      </x:c>
      <x:c r="E6389" s="7" t="str">
        <x:v>CH-PEA-C-Y2-07-6</x:v>
      </x:c>
      <x:c r="F6389" s="7" t="str">
        <x:f>'Channel Instances'!O2352</x:f>
        <x:v>OPEN</x:v>
      </x:c>
    </x:row>
    <x:row r="6390">
      <x:c r="B6390" s="7" t="str">
        <x:v>AG-06384</x:v>
      </x:c>
      <x:c r="C6390" s="7" t="str">
        <x:v>PEA-C-Y2</x:v>
      </x:c>
      <x:c r="D6390" s="7" t="str">
        <x:v>channel instance</x:v>
      </x:c>
      <x:c r="E6390" s="7" t="str">
        <x:v>CH-PEA-C-Y2-08-1</x:v>
      </x:c>
      <x:c r="F6390" s="7" t="str">
        <x:f>'Channel Instances'!O2353</x:f>
        <x:v>OPEN</x:v>
      </x:c>
    </x:row>
    <x:row r="6391">
      <x:c r="B6391" s="7" t="str">
        <x:v>AG-06385</x:v>
      </x:c>
      <x:c r="C6391" s="7" t="str">
        <x:v>PEA-C-Y2</x:v>
      </x:c>
      <x:c r="D6391" s="7" t="str">
        <x:v>channel instance</x:v>
      </x:c>
      <x:c r="E6391" s="7" t="str">
        <x:v>CH-PEA-C-Y2-08-2</x:v>
      </x:c>
      <x:c r="F6391" s="7" t="str">
        <x:f>'Channel Instances'!O2354</x:f>
        <x:v>OPEN</x:v>
      </x:c>
    </x:row>
    <x:row r="6392">
      <x:c r="B6392" s="7" t="str">
        <x:v>AG-06386</x:v>
      </x:c>
      <x:c r="C6392" s="7" t="str">
        <x:v>PEA-C-Y2</x:v>
      </x:c>
      <x:c r="D6392" s="7" t="str">
        <x:v>channel instance</x:v>
      </x:c>
      <x:c r="E6392" s="7" t="str">
        <x:v>CH-PEA-C-Y2-08-3</x:v>
      </x:c>
      <x:c r="F6392" s="7" t="str">
        <x:f>'Channel Instances'!O2355</x:f>
        <x:v>OPEN</x:v>
      </x:c>
    </x:row>
    <x:row r="6393">
      <x:c r="B6393" s="7" t="str">
        <x:v>AG-06387</x:v>
      </x:c>
      <x:c r="C6393" s="7" t="str">
        <x:v>PEA-C-Y2</x:v>
      </x:c>
      <x:c r="D6393" s="7" t="str">
        <x:v>channel instance</x:v>
      </x:c>
      <x:c r="E6393" s="7" t="str">
        <x:v>CH-PEA-C-Y2-08-4</x:v>
      </x:c>
      <x:c r="F6393" s="7" t="str">
        <x:f>'Channel Instances'!O2356</x:f>
        <x:v>OPEN</x:v>
      </x:c>
    </x:row>
    <x:row r="6394">
      <x:c r="B6394" s="7" t="str">
        <x:v>AG-06388</x:v>
      </x:c>
      <x:c r="C6394" s="7" t="str">
        <x:v>PEA-C-Y2</x:v>
      </x:c>
      <x:c r="D6394" s="7" t="str">
        <x:v>channel instance</x:v>
      </x:c>
      <x:c r="E6394" s="7" t="str">
        <x:v>CH-PEA-C-Y2-08-5</x:v>
      </x:c>
      <x:c r="F6394" s="7" t="str">
        <x:f>'Channel Instances'!O2357</x:f>
        <x:v>OPEN</x:v>
      </x:c>
    </x:row>
    <x:row r="6395">
      <x:c r="B6395" s="7" t="str">
        <x:v>AG-06389</x:v>
      </x:c>
      <x:c r="C6395" s="7" t="str">
        <x:v>PEA-C-Y2</x:v>
      </x:c>
      <x:c r="D6395" s="7" t="str">
        <x:v>channel instance</x:v>
      </x:c>
      <x:c r="E6395" s="7" t="str">
        <x:v>CH-PEA-C-Y2-08-6</x:v>
      </x:c>
      <x:c r="F6395" s="7" t="str">
        <x:f>'Channel Instances'!O2358</x:f>
        <x:v>OPEN</x:v>
      </x:c>
    </x:row>
    <x:row r="6396">
      <x:c r="B6396" s="7" t="str">
        <x:v>AG-06390</x:v>
      </x:c>
      <x:c r="C6396" s="7" t="str">
        <x:v>PEA-C-Y2</x:v>
      </x:c>
      <x:c r="D6396" s="7" t="str">
        <x:v>channel instance</x:v>
      </x:c>
      <x:c r="E6396" s="7" t="str">
        <x:v>CH-PEA-C-Y2-09-1</x:v>
      </x:c>
      <x:c r="F6396" s="7" t="str">
        <x:f>'Channel Instances'!O2359</x:f>
        <x:v>OPEN</x:v>
      </x:c>
    </x:row>
    <x:row r="6397">
      <x:c r="B6397" s="7" t="str">
        <x:v>AG-06391</x:v>
      </x:c>
      <x:c r="C6397" s="7" t="str">
        <x:v>PEA-C-Y2</x:v>
      </x:c>
      <x:c r="D6397" s="7" t="str">
        <x:v>channel instance</x:v>
      </x:c>
      <x:c r="E6397" s="7" t="str">
        <x:v>CH-PEA-C-Y2-09-2</x:v>
      </x:c>
      <x:c r="F6397" s="7" t="str">
        <x:f>'Channel Instances'!O2360</x:f>
        <x:v>OPEN</x:v>
      </x:c>
    </x:row>
    <x:row r="6398">
      <x:c r="B6398" s="7" t="str">
        <x:v>AG-06392</x:v>
      </x:c>
      <x:c r="C6398" s="7" t="str">
        <x:v>PEA-C-Y2</x:v>
      </x:c>
      <x:c r="D6398" s="7" t="str">
        <x:v>channel instance</x:v>
      </x:c>
      <x:c r="E6398" s="7" t="str">
        <x:v>CH-PEA-C-Y2-09-3</x:v>
      </x:c>
      <x:c r="F6398" s="7" t="str">
        <x:f>'Channel Instances'!O2361</x:f>
        <x:v>OPEN</x:v>
      </x:c>
    </x:row>
    <x:row r="6399">
      <x:c r="B6399" s="7" t="str">
        <x:v>AG-06393</x:v>
      </x:c>
      <x:c r="C6399" s="7" t="str">
        <x:v>PEA-C-Y2</x:v>
      </x:c>
      <x:c r="D6399" s="7" t="str">
        <x:v>channel instance</x:v>
      </x:c>
      <x:c r="E6399" s="7" t="str">
        <x:v>CH-PEA-C-Y2-09-4</x:v>
      </x:c>
      <x:c r="F6399" s="7" t="str">
        <x:f>'Channel Instances'!O2362</x:f>
        <x:v>OPEN</x:v>
      </x:c>
    </x:row>
    <x:row r="6400">
      <x:c r="B6400" s="7" t="str">
        <x:v>AG-06394</x:v>
      </x:c>
      <x:c r="C6400" s="7" t="str">
        <x:v>PEA-C-Y2</x:v>
      </x:c>
      <x:c r="D6400" s="7" t="str">
        <x:v>channel instance</x:v>
      </x:c>
      <x:c r="E6400" s="7" t="str">
        <x:v>CH-PEA-C-Y2-09-5</x:v>
      </x:c>
      <x:c r="F6400" s="7" t="str">
        <x:f>'Channel Instances'!O2363</x:f>
        <x:v>OPEN</x:v>
      </x:c>
    </x:row>
    <x:row r="6401">
      <x:c r="B6401" s="7" t="str">
        <x:v>AG-06395</x:v>
      </x:c>
      <x:c r="C6401" s="7" t="str">
        <x:v>PEA-C-Y2</x:v>
      </x:c>
      <x:c r="D6401" s="7" t="str">
        <x:v>channel instance</x:v>
      </x:c>
      <x:c r="E6401" s="7" t="str">
        <x:v>CH-PEA-C-Y2-09-6</x:v>
      </x:c>
      <x:c r="F6401" s="7" t="str">
        <x:f>'Channel Instances'!O2364</x:f>
        <x:v>OPEN</x:v>
      </x:c>
    </x:row>
    <x:row r="6402">
      <x:c r="B6402" s="7" t="str">
        <x:v>AG-06396</x:v>
      </x:c>
      <x:c r="C6402" s="7" t="str">
        <x:v>PEA-C-Y2</x:v>
      </x:c>
      <x:c r="D6402" s="7" t="str">
        <x:v>channel instance</x:v>
      </x:c>
      <x:c r="E6402" s="7" t="str">
        <x:v>CH-PEA-C-Y2-10-1</x:v>
      </x:c>
      <x:c r="F6402" s="7" t="str">
        <x:f>'Channel Instances'!O2365</x:f>
        <x:v>OPEN</x:v>
      </x:c>
    </x:row>
    <x:row r="6403">
      <x:c r="B6403" s="7" t="str">
        <x:v>AG-06397</x:v>
      </x:c>
      <x:c r="C6403" s="7" t="str">
        <x:v>PEA-C-Y2</x:v>
      </x:c>
      <x:c r="D6403" s="7" t="str">
        <x:v>channel instance</x:v>
      </x:c>
      <x:c r="E6403" s="7" t="str">
        <x:v>CH-PEA-C-Y2-10-2</x:v>
      </x:c>
      <x:c r="F6403" s="7" t="str">
        <x:f>'Channel Instances'!O2366</x:f>
        <x:v>OPEN</x:v>
      </x:c>
    </x:row>
    <x:row r="6404">
      <x:c r="B6404" s="7" t="str">
        <x:v>AG-06398</x:v>
      </x:c>
      <x:c r="C6404" s="7" t="str">
        <x:v>PEA-C-Y2</x:v>
      </x:c>
      <x:c r="D6404" s="7" t="str">
        <x:v>channel instance</x:v>
      </x:c>
      <x:c r="E6404" s="7" t="str">
        <x:v>CH-PEA-C-Y2-10-3</x:v>
      </x:c>
      <x:c r="F6404" s="7" t="str">
        <x:f>'Channel Instances'!O2367</x:f>
        <x:v>OPEN</x:v>
      </x:c>
    </x:row>
    <x:row r="6405">
      <x:c r="B6405" s="7" t="str">
        <x:v>AG-06399</x:v>
      </x:c>
      <x:c r="C6405" s="7" t="str">
        <x:v>PEA-C-Y2</x:v>
      </x:c>
      <x:c r="D6405" s="7" t="str">
        <x:v>channel instance</x:v>
      </x:c>
      <x:c r="E6405" s="7" t="str">
        <x:v>CH-PEA-C-Y2-10-4</x:v>
      </x:c>
      <x:c r="F6405" s="7" t="str">
        <x:f>'Channel Instances'!O2368</x:f>
        <x:v>OPEN</x:v>
      </x:c>
    </x:row>
    <x:row r="6406">
      <x:c r="B6406" s="7" t="str">
        <x:v>AG-06400</x:v>
      </x:c>
      <x:c r="C6406" s="7" t="str">
        <x:v>PEA-C-Y2</x:v>
      </x:c>
      <x:c r="D6406" s="7" t="str">
        <x:v>channel instance</x:v>
      </x:c>
      <x:c r="E6406" s="7" t="str">
        <x:v>CH-PEA-C-Y2-10-5</x:v>
      </x:c>
      <x:c r="F6406" s="7" t="str">
        <x:f>'Channel Instances'!O2369</x:f>
        <x:v>OPEN</x:v>
      </x:c>
    </x:row>
    <x:row r="6407">
      <x:c r="B6407" s="7" t="str">
        <x:v>AG-06401</x:v>
      </x:c>
      <x:c r="C6407" s="7" t="str">
        <x:v>PEA-C-Y2</x:v>
      </x:c>
      <x:c r="D6407" s="7" t="str">
        <x:v>channel instance</x:v>
      </x:c>
      <x:c r="E6407" s="7" t="str">
        <x:v>CH-PEA-C-Y2-10-6</x:v>
      </x:c>
      <x:c r="F6407" s="7" t="str">
        <x:f>'Channel Instances'!O2370</x:f>
        <x:v>OPEN</x:v>
      </x:c>
    </x:row>
    <x:row r="6408">
      <x:c r="B6408" s="7" t="str">
        <x:v>AG-06402</x:v>
      </x:c>
      <x:c r="C6408" s="7" t="str">
        <x:v>PEA-C-Y2</x:v>
      </x:c>
      <x:c r="D6408" s="7" t="str">
        <x:v>channel instance</x:v>
      </x:c>
      <x:c r="E6408" s="7" t="str">
        <x:v>CH-PEA-C-Y2-11-1</x:v>
      </x:c>
      <x:c r="F6408" s="7" t="str">
        <x:f>'Channel Instances'!O2371</x:f>
        <x:v>OPEN</x:v>
      </x:c>
    </x:row>
    <x:row r="6409">
      <x:c r="B6409" s="7" t="str">
        <x:v>AG-06403</x:v>
      </x:c>
      <x:c r="C6409" s="7" t="str">
        <x:v>PEA-C-Y2</x:v>
      </x:c>
      <x:c r="D6409" s="7" t="str">
        <x:v>channel instance</x:v>
      </x:c>
      <x:c r="E6409" s="7" t="str">
        <x:v>CH-PEA-C-Y2-11-2</x:v>
      </x:c>
      <x:c r="F6409" s="7" t="str">
        <x:f>'Channel Instances'!O2372</x:f>
        <x:v>OPEN</x:v>
      </x:c>
    </x:row>
    <x:row r="6410">
      <x:c r="B6410" s="7" t="str">
        <x:v>AG-06404</x:v>
      </x:c>
      <x:c r="C6410" s="7" t="str">
        <x:v>PEA-C-Y2</x:v>
      </x:c>
      <x:c r="D6410" s="7" t="str">
        <x:v>channel instance</x:v>
      </x:c>
      <x:c r="E6410" s="7" t="str">
        <x:v>CH-PEA-C-Y2-11-3</x:v>
      </x:c>
      <x:c r="F6410" s="7" t="str">
        <x:f>'Channel Instances'!O2373</x:f>
        <x:v>OPEN</x:v>
      </x:c>
    </x:row>
    <x:row r="6411">
      <x:c r="B6411" s="7" t="str">
        <x:v>AG-06405</x:v>
      </x:c>
      <x:c r="C6411" s="7" t="str">
        <x:v>PEA-C-Y2</x:v>
      </x:c>
      <x:c r="D6411" s="7" t="str">
        <x:v>channel instance</x:v>
      </x:c>
      <x:c r="E6411" s="7" t="str">
        <x:v>CH-PEA-C-Y2-11-4</x:v>
      </x:c>
      <x:c r="F6411" s="7" t="str">
        <x:f>'Channel Instances'!O2374</x:f>
        <x:v>OPEN</x:v>
      </x:c>
    </x:row>
    <x:row r="6412">
      <x:c r="B6412" s="7" t="str">
        <x:v>AG-06406</x:v>
      </x:c>
      <x:c r="C6412" s="7" t="str">
        <x:v>PEA-C-Y2</x:v>
      </x:c>
      <x:c r="D6412" s="7" t="str">
        <x:v>channel instance</x:v>
      </x:c>
      <x:c r="E6412" s="7" t="str">
        <x:v>CH-PEA-C-Y2-11-5</x:v>
      </x:c>
      <x:c r="F6412" s="7" t="str">
        <x:f>'Channel Instances'!O2375</x:f>
        <x:v>OPEN</x:v>
      </x:c>
    </x:row>
    <x:row r="6413">
      <x:c r="B6413" s="7" t="str">
        <x:v>AG-06407</x:v>
      </x:c>
      <x:c r="C6413" s="7" t="str">
        <x:v>PEA-C-Y2</x:v>
      </x:c>
      <x:c r="D6413" s="7" t="str">
        <x:v>channel instance</x:v>
      </x:c>
      <x:c r="E6413" s="7" t="str">
        <x:v>CH-PEA-C-Y2-11-6</x:v>
      </x:c>
      <x:c r="F6413" s="7" t="str">
        <x:f>'Channel Instances'!O2376</x:f>
        <x:v>OPEN</x:v>
      </x:c>
    </x:row>
    <x:row r="6414">
      <x:c r="B6414" s="7" t="str">
        <x:v>AG-06408</x:v>
      </x:c>
      <x:c r="C6414" s="7" t="str">
        <x:v>PEA-C-Y2</x:v>
      </x:c>
      <x:c r="D6414" s="7" t="str">
        <x:v>channel instance</x:v>
      </x:c>
      <x:c r="E6414" s="7" t="str">
        <x:v>CH-PEA-C-Y2-12-1</x:v>
      </x:c>
      <x:c r="F6414" s="7" t="str">
        <x:f>'Channel Instances'!O2377</x:f>
        <x:v>OPEN</x:v>
      </x:c>
    </x:row>
    <x:row r="6415">
      <x:c r="B6415" s="7" t="str">
        <x:v>AG-06409</x:v>
      </x:c>
      <x:c r="C6415" s="7" t="str">
        <x:v>PEA-C-Y2</x:v>
      </x:c>
      <x:c r="D6415" s="7" t="str">
        <x:v>channel instance</x:v>
      </x:c>
      <x:c r="E6415" s="7" t="str">
        <x:v>CH-PEA-C-Y2-12-2</x:v>
      </x:c>
      <x:c r="F6415" s="7" t="str">
        <x:f>'Channel Instances'!O2378</x:f>
        <x:v>OPEN</x:v>
      </x:c>
    </x:row>
    <x:row r="6416">
      <x:c r="B6416" s="7" t="str">
        <x:v>AG-06410</x:v>
      </x:c>
      <x:c r="C6416" s="7" t="str">
        <x:v>PEA-C-Y2</x:v>
      </x:c>
      <x:c r="D6416" s="7" t="str">
        <x:v>channel instance</x:v>
      </x:c>
      <x:c r="E6416" s="7" t="str">
        <x:v>CH-PEA-C-Y2-12-3</x:v>
      </x:c>
      <x:c r="F6416" s="7" t="str">
        <x:f>'Channel Instances'!O2379</x:f>
        <x:v>OPEN</x:v>
      </x:c>
    </x:row>
    <x:row r="6417">
      <x:c r="B6417" s="7" t="str">
        <x:v>AG-06411</x:v>
      </x:c>
      <x:c r="C6417" s="7" t="str">
        <x:v>PEA-C-Y2</x:v>
      </x:c>
      <x:c r="D6417" s="7" t="str">
        <x:v>channel instance</x:v>
      </x:c>
      <x:c r="E6417" s="7" t="str">
        <x:v>CH-PEA-C-Y2-12-4</x:v>
      </x:c>
      <x:c r="F6417" s="7" t="str">
        <x:f>'Channel Instances'!O2380</x:f>
        <x:v>OPEN</x:v>
      </x:c>
    </x:row>
    <x:row r="6418">
      <x:c r="B6418" s="7" t="str">
        <x:v>AG-06412</x:v>
      </x:c>
      <x:c r="C6418" s="7" t="str">
        <x:v>PEA-C-Y2</x:v>
      </x:c>
      <x:c r="D6418" s="7" t="str">
        <x:v>channel instance</x:v>
      </x:c>
      <x:c r="E6418" s="7" t="str">
        <x:v>CH-PEA-C-Y2-12-5</x:v>
      </x:c>
      <x:c r="F6418" s="7" t="str">
        <x:f>'Channel Instances'!O2381</x:f>
        <x:v>OPEN</x:v>
      </x:c>
    </x:row>
    <x:row r="6419">
      <x:c r="B6419" s="7" t="str">
        <x:v>AG-06413</x:v>
      </x:c>
      <x:c r="C6419" s="7" t="str">
        <x:v>PEA-C-Y2</x:v>
      </x:c>
      <x:c r="D6419" s="7" t="str">
        <x:v>channel instance</x:v>
      </x:c>
      <x:c r="E6419" s="7" t="str">
        <x:v>CH-PEA-C-Y2-12-6</x:v>
      </x:c>
      <x:c r="F6419" s="7" t="str">
        <x:f>'Channel Instances'!O2382</x:f>
        <x:v>OPEN</x:v>
      </x:c>
    </x:row>
    <x:row r="6420">
      <x:c r="B6420" s="7" t="str">
        <x:v>AG-06414</x:v>
      </x:c>
      <x:c r="C6420" s="7" t="str">
        <x:v>PEA-C-Y2</x:v>
      </x:c>
      <x:c r="D6420" s="7" t="str">
        <x:v>channel instance</x:v>
      </x:c>
      <x:c r="E6420" s="7" t="str">
        <x:v>CH-PEA-C-Y2-13-1</x:v>
      </x:c>
      <x:c r="F6420" s="7" t="str">
        <x:f>'Channel Instances'!O2383</x:f>
        <x:v>OPEN</x:v>
      </x:c>
    </x:row>
    <x:row r="6421">
      <x:c r="B6421" s="7" t="str">
        <x:v>AG-06415</x:v>
      </x:c>
      <x:c r="C6421" s="7" t="str">
        <x:v>PEA-C-Y2</x:v>
      </x:c>
      <x:c r="D6421" s="7" t="str">
        <x:v>channel instance</x:v>
      </x:c>
      <x:c r="E6421" s="7" t="str">
        <x:v>CH-PEA-C-Y2-13-2</x:v>
      </x:c>
      <x:c r="F6421" s="7" t="str">
        <x:f>'Channel Instances'!O2384</x:f>
        <x:v>OPEN</x:v>
      </x:c>
    </x:row>
    <x:row r="6422">
      <x:c r="B6422" s="7" t="str">
        <x:v>AG-06416</x:v>
      </x:c>
      <x:c r="C6422" s="7" t="str">
        <x:v>PEA-C-Y2</x:v>
      </x:c>
      <x:c r="D6422" s="7" t="str">
        <x:v>channel instance</x:v>
      </x:c>
      <x:c r="E6422" s="7" t="str">
        <x:v>CH-PEA-C-Y2-13-3</x:v>
      </x:c>
      <x:c r="F6422" s="7" t="str">
        <x:f>'Channel Instances'!O2385</x:f>
        <x:v>OPEN</x:v>
      </x:c>
    </x:row>
    <x:row r="6423">
      <x:c r="B6423" s="7" t="str">
        <x:v>AG-06417</x:v>
      </x:c>
      <x:c r="C6423" s="7" t="str">
        <x:v>PEA-C-Y2</x:v>
      </x:c>
      <x:c r="D6423" s="7" t="str">
        <x:v>channel instance</x:v>
      </x:c>
      <x:c r="E6423" s="7" t="str">
        <x:v>CH-PEA-C-Y2-13-4</x:v>
      </x:c>
      <x:c r="F6423" s="7" t="str">
        <x:f>'Channel Instances'!O2386</x:f>
        <x:v>OPEN</x:v>
      </x:c>
    </x:row>
    <x:row r="6424">
      <x:c r="B6424" s="7" t="str">
        <x:v>AG-06418</x:v>
      </x:c>
      <x:c r="C6424" s="7" t="str">
        <x:v>PEA-C-Y2</x:v>
      </x:c>
      <x:c r="D6424" s="7" t="str">
        <x:v>channel instance</x:v>
      </x:c>
      <x:c r="E6424" s="7" t="str">
        <x:v>CH-PEA-C-Y2-13-5</x:v>
      </x:c>
      <x:c r="F6424" s="7" t="str">
        <x:f>'Channel Instances'!O2387</x:f>
        <x:v>OPEN</x:v>
      </x:c>
    </x:row>
    <x:row r="6425">
      <x:c r="B6425" s="7" t="str">
        <x:v>AG-06419</x:v>
      </x:c>
      <x:c r="C6425" s="7" t="str">
        <x:v>PEA-C-Y2</x:v>
      </x:c>
      <x:c r="D6425" s="7" t="str">
        <x:v>channel instance</x:v>
      </x:c>
      <x:c r="E6425" s="7" t="str">
        <x:v>CH-PEA-C-Y2-13-6</x:v>
      </x:c>
      <x:c r="F6425" s="7" t="str">
        <x:f>'Channel Instances'!O2388</x:f>
        <x:v>OPEN</x:v>
      </x:c>
    </x:row>
    <x:row r="6426">
      <x:c r="B6426" s="7" t="str">
        <x:v>AG-06420</x:v>
      </x:c>
      <x:c r="C6426" s="7" t="str">
        <x:v>PEA-C-Y2</x:v>
      </x:c>
      <x:c r="D6426" s="7" t="str">
        <x:v>channel instance</x:v>
      </x:c>
      <x:c r="E6426" s="7" t="str">
        <x:v>CH-PEA-C-Y2-14-1</x:v>
      </x:c>
      <x:c r="F6426" s="7" t="str">
        <x:f>'Channel Instances'!O2389</x:f>
        <x:v>OPEN</x:v>
      </x:c>
    </x:row>
    <x:row r="6427">
      <x:c r="B6427" s="7" t="str">
        <x:v>AG-06421</x:v>
      </x:c>
      <x:c r="C6427" s="7" t="str">
        <x:v>PEA-C-Y2</x:v>
      </x:c>
      <x:c r="D6427" s="7" t="str">
        <x:v>channel instance</x:v>
      </x:c>
      <x:c r="E6427" s="7" t="str">
        <x:v>CH-PEA-C-Y2-14-2</x:v>
      </x:c>
      <x:c r="F6427" s="7" t="str">
        <x:f>'Channel Instances'!O2390</x:f>
        <x:v>OPEN</x:v>
      </x:c>
    </x:row>
    <x:row r="6428">
      <x:c r="B6428" s="7" t="str">
        <x:v>AG-06422</x:v>
      </x:c>
      <x:c r="C6428" s="7" t="str">
        <x:v>PEA-C-Y2</x:v>
      </x:c>
      <x:c r="D6428" s="7" t="str">
        <x:v>channel instance</x:v>
      </x:c>
      <x:c r="E6428" s="7" t="str">
        <x:v>CH-PEA-C-Y2-14-3</x:v>
      </x:c>
      <x:c r="F6428" s="7" t="str">
        <x:f>'Channel Instances'!O2391</x:f>
        <x:v>OPEN</x:v>
      </x:c>
    </x:row>
    <x:row r="6429">
      <x:c r="B6429" s="7" t="str">
        <x:v>AG-06423</x:v>
      </x:c>
      <x:c r="C6429" s="7" t="str">
        <x:v>PEA-C-Y2</x:v>
      </x:c>
      <x:c r="D6429" s="7" t="str">
        <x:v>channel instance</x:v>
      </x:c>
      <x:c r="E6429" s="7" t="str">
        <x:v>CH-PEA-C-Y2-14-4</x:v>
      </x:c>
      <x:c r="F6429" s="7" t="str">
        <x:f>'Channel Instances'!O2392</x:f>
        <x:v>OPEN</x:v>
      </x:c>
    </x:row>
    <x:row r="6430">
      <x:c r="B6430" s="7" t="str">
        <x:v>AG-06424</x:v>
      </x:c>
      <x:c r="C6430" s="7" t="str">
        <x:v>PEA-C-Y2</x:v>
      </x:c>
      <x:c r="D6430" s="7" t="str">
        <x:v>channel instance</x:v>
      </x:c>
      <x:c r="E6430" s="7" t="str">
        <x:v>CH-PEA-C-Y2-14-5</x:v>
      </x:c>
      <x:c r="F6430" s="7" t="str">
        <x:f>'Channel Instances'!O2393</x:f>
        <x:v>OPEN</x:v>
      </x:c>
    </x:row>
    <x:row r="6431">
      <x:c r="B6431" s="7" t="str">
        <x:v>AG-06425</x:v>
      </x:c>
      <x:c r="C6431" s="7" t="str">
        <x:v>PEA-C-Y2</x:v>
      </x:c>
      <x:c r="D6431" s="7" t="str">
        <x:v>channel instance</x:v>
      </x:c>
      <x:c r="E6431" s="7" t="str">
        <x:v>CH-PEA-C-Y2-14-6</x:v>
      </x:c>
      <x:c r="F6431" s="7" t="str">
        <x:f>'Channel Instances'!O2394</x:f>
        <x:v>OPEN</x:v>
      </x:c>
    </x:row>
    <x:row r="6432">
      <x:c r="B6432" s="7" t="str">
        <x:v>AG-06426</x:v>
      </x:c>
      <x:c r="C6432" s="7" t="str">
        <x:v>PEA-C-Y2</x:v>
      </x:c>
      <x:c r="D6432" s="7" t="str">
        <x:v>channel instance</x:v>
      </x:c>
      <x:c r="E6432" s="7" t="str">
        <x:v>CH-PEA-C-Y2-15-1</x:v>
      </x:c>
      <x:c r="F6432" s="7" t="str">
        <x:f>'Channel Instances'!O2395</x:f>
        <x:v>OPEN</x:v>
      </x:c>
    </x:row>
    <x:row r="6433">
      <x:c r="B6433" s="7" t="str">
        <x:v>AG-06427</x:v>
      </x:c>
      <x:c r="C6433" s="7" t="str">
        <x:v>PEA-C-Y2</x:v>
      </x:c>
      <x:c r="D6433" s="7" t="str">
        <x:v>channel instance</x:v>
      </x:c>
      <x:c r="E6433" s="7" t="str">
        <x:v>CH-PEA-C-Y2-15-2</x:v>
      </x:c>
      <x:c r="F6433" s="7" t="str">
        <x:f>'Channel Instances'!O2396</x:f>
        <x:v>OPEN</x:v>
      </x:c>
    </x:row>
    <x:row r="6434">
      <x:c r="B6434" s="7" t="str">
        <x:v>AG-06428</x:v>
      </x:c>
      <x:c r="C6434" s="7" t="str">
        <x:v>PEA-C-Y2</x:v>
      </x:c>
      <x:c r="D6434" s="7" t="str">
        <x:v>channel instance</x:v>
      </x:c>
      <x:c r="E6434" s="7" t="str">
        <x:v>CH-PEA-C-Y2-15-3</x:v>
      </x:c>
      <x:c r="F6434" s="7" t="str">
        <x:f>'Channel Instances'!O2397</x:f>
        <x:v>OPEN</x:v>
      </x:c>
    </x:row>
    <x:row r="6435">
      <x:c r="B6435" s="7" t="str">
        <x:v>AG-06429</x:v>
      </x:c>
      <x:c r="C6435" s="7" t="str">
        <x:v>PEA-C-Y2</x:v>
      </x:c>
      <x:c r="D6435" s="7" t="str">
        <x:v>channel instance</x:v>
      </x:c>
      <x:c r="E6435" s="7" t="str">
        <x:v>CH-PEA-C-Y2-15-4</x:v>
      </x:c>
      <x:c r="F6435" s="7" t="str">
        <x:f>'Channel Instances'!O2398</x:f>
        <x:v>OPEN</x:v>
      </x:c>
    </x:row>
    <x:row r="6436">
      <x:c r="B6436" s="7" t="str">
        <x:v>AG-06430</x:v>
      </x:c>
      <x:c r="C6436" s="7" t="str">
        <x:v>PEA-C-Y2</x:v>
      </x:c>
      <x:c r="D6436" s="7" t="str">
        <x:v>channel instance</x:v>
      </x:c>
      <x:c r="E6436" s="7" t="str">
        <x:v>CH-PEA-C-Y2-15-5</x:v>
      </x:c>
      <x:c r="F6436" s="7" t="str">
        <x:f>'Channel Instances'!O2399</x:f>
        <x:v>OPEN</x:v>
      </x:c>
    </x:row>
    <x:row r="6437">
      <x:c r="B6437" s="7" t="str">
        <x:v>AG-06431</x:v>
      </x:c>
      <x:c r="C6437" s="7" t="str">
        <x:v>PEA-C-Y2</x:v>
      </x:c>
      <x:c r="D6437" s="7" t="str">
        <x:v>channel instance</x:v>
      </x:c>
      <x:c r="E6437" s="7" t="str">
        <x:v>CH-PEA-C-Y2-15-6</x:v>
      </x:c>
      <x:c r="F6437" s="7" t="str">
        <x:f>'Channel Instances'!O2400</x:f>
        <x:v>OPEN</x:v>
      </x:c>
    </x:row>
    <x:row r="6438">
      <x:c r="B6438" s="7" t="str">
        <x:v>AG-06432</x:v>
      </x:c>
      <x:c r="C6438" s="7" t="str">
        <x:v>PEA-C-Y2</x:v>
      </x:c>
      <x:c r="D6438" s="7" t="str">
        <x:v>channel instance</x:v>
      </x:c>
      <x:c r="E6438" s="7" t="str">
        <x:v>CH-PEA-C-Y2-16-1</x:v>
      </x:c>
      <x:c r="F6438" s="7" t="str">
        <x:f>'Channel Instances'!O2401</x:f>
        <x:v>OPEN</x:v>
      </x:c>
    </x:row>
    <x:row r="6439">
      <x:c r="B6439" s="7" t="str">
        <x:v>AG-06433</x:v>
      </x:c>
      <x:c r="C6439" s="7" t="str">
        <x:v>PEA-C-Y2</x:v>
      </x:c>
      <x:c r="D6439" s="7" t="str">
        <x:v>channel instance</x:v>
      </x:c>
      <x:c r="E6439" s="7" t="str">
        <x:v>CH-PEA-C-Y2-16-2</x:v>
      </x:c>
      <x:c r="F6439" s="7" t="str">
        <x:f>'Channel Instances'!O2402</x:f>
        <x:v>OPEN</x:v>
      </x:c>
    </x:row>
    <x:row r="6440">
      <x:c r="B6440" s="7" t="str">
        <x:v>AG-06434</x:v>
      </x:c>
      <x:c r="C6440" s="7" t="str">
        <x:v>PEA-C-Y2</x:v>
      </x:c>
      <x:c r="D6440" s="7" t="str">
        <x:v>channel instance</x:v>
      </x:c>
      <x:c r="E6440" s="7" t="str">
        <x:v>CH-PEA-C-Y2-16-3</x:v>
      </x:c>
      <x:c r="F6440" s="7" t="str">
        <x:f>'Channel Instances'!O2403</x:f>
        <x:v>OPEN</x:v>
      </x:c>
    </x:row>
    <x:row r="6441">
      <x:c r="B6441" s="7" t="str">
        <x:v>AG-06435</x:v>
      </x:c>
      <x:c r="C6441" s="7" t="str">
        <x:v>PEA-C-Y2</x:v>
      </x:c>
      <x:c r="D6441" s="7" t="str">
        <x:v>channel instance</x:v>
      </x:c>
      <x:c r="E6441" s="7" t="str">
        <x:v>CH-PEA-C-Y2-16-4</x:v>
      </x:c>
      <x:c r="F6441" s="7" t="str">
        <x:f>'Channel Instances'!O2404</x:f>
        <x:v>OPEN</x:v>
      </x:c>
    </x:row>
    <x:row r="6442">
      <x:c r="B6442" s="7" t="str">
        <x:v>AG-06436</x:v>
      </x:c>
      <x:c r="C6442" s="7" t="str">
        <x:v>PEA-C-Y2</x:v>
      </x:c>
      <x:c r="D6442" s="7" t="str">
        <x:v>channel instance</x:v>
      </x:c>
      <x:c r="E6442" s="7" t="str">
        <x:v>CH-PEA-C-Y2-16-5</x:v>
      </x:c>
      <x:c r="F6442" s="7" t="str">
        <x:f>'Channel Instances'!O2405</x:f>
        <x:v>OPEN</x:v>
      </x:c>
    </x:row>
    <x:row r="6443">
      <x:c r="B6443" s="7" t="str">
        <x:v>AG-06437</x:v>
      </x:c>
      <x:c r="C6443" s="7" t="str">
        <x:v>PEA-C-Y2</x:v>
      </x:c>
      <x:c r="D6443" s="7" t="str">
        <x:v>channel instance</x:v>
      </x:c>
      <x:c r="E6443" s="7" t="str">
        <x:v>CH-PEA-C-Y2-16-6</x:v>
      </x:c>
      <x:c r="F6443" s="7" t="str">
        <x:f>'Channel Instances'!O2406</x:f>
        <x:v>OPEN</x:v>
      </x:c>
    </x:row>
    <x:row r="6444">
      <x:c r="B6444" s="7" t="str">
        <x:v>AG-06438</x:v>
      </x:c>
      <x:c r="C6444" s="7" t="str">
        <x:v>PEA-C-Y2</x:v>
      </x:c>
      <x:c r="D6444" s="7" t="str">
        <x:v>channel instance</x:v>
      </x:c>
      <x:c r="E6444" s="7" t="str">
        <x:v>CH-PEA-C-Y2-17-1</x:v>
      </x:c>
      <x:c r="F6444" s="7" t="str">
        <x:f>'Channel Instances'!O2407</x:f>
        <x:v>OPEN</x:v>
      </x:c>
    </x:row>
    <x:row r="6445">
      <x:c r="B6445" s="7" t="str">
        <x:v>AG-06439</x:v>
      </x:c>
      <x:c r="C6445" s="7" t="str">
        <x:v>PEA-C-Y2</x:v>
      </x:c>
      <x:c r="D6445" s="7" t="str">
        <x:v>channel instance</x:v>
      </x:c>
      <x:c r="E6445" s="7" t="str">
        <x:v>CH-PEA-C-Y2-17-2</x:v>
      </x:c>
      <x:c r="F6445" s="7" t="str">
        <x:f>'Channel Instances'!O2408</x:f>
        <x:v>OPEN</x:v>
      </x:c>
    </x:row>
    <x:row r="6446">
      <x:c r="B6446" s="7" t="str">
        <x:v>AG-06440</x:v>
      </x:c>
      <x:c r="C6446" s="7" t="str">
        <x:v>PEA-C-Y2</x:v>
      </x:c>
      <x:c r="D6446" s="7" t="str">
        <x:v>channel instance</x:v>
      </x:c>
      <x:c r="E6446" s="7" t="str">
        <x:v>CH-PEA-C-Y2-17-3</x:v>
      </x:c>
      <x:c r="F6446" s="7" t="str">
        <x:f>'Channel Instances'!O2409</x:f>
        <x:v>OPEN</x:v>
      </x:c>
    </x:row>
    <x:row r="6447">
      <x:c r="B6447" s="7" t="str">
        <x:v>AG-06441</x:v>
      </x:c>
      <x:c r="C6447" s="7" t="str">
        <x:v>PEA-C-Y2</x:v>
      </x:c>
      <x:c r="D6447" s="7" t="str">
        <x:v>channel instance</x:v>
      </x:c>
      <x:c r="E6447" s="7" t="str">
        <x:v>CH-PEA-C-Y2-17-4</x:v>
      </x:c>
      <x:c r="F6447" s="7" t="str">
        <x:f>'Channel Instances'!O2410</x:f>
        <x:v>OPEN</x:v>
      </x:c>
    </x:row>
    <x:row r="6448">
      <x:c r="B6448" s="7" t="str">
        <x:v>AG-06442</x:v>
      </x:c>
      <x:c r="C6448" s="7" t="str">
        <x:v>PEA-C-Y2</x:v>
      </x:c>
      <x:c r="D6448" s="7" t="str">
        <x:v>channel instance</x:v>
      </x:c>
      <x:c r="E6448" s="7" t="str">
        <x:v>CH-PEA-C-Y2-17-5</x:v>
      </x:c>
      <x:c r="F6448" s="7" t="str">
        <x:f>'Channel Instances'!O2411</x:f>
        <x:v>OPEN</x:v>
      </x:c>
    </x:row>
    <x:row r="6449">
      <x:c r="B6449" s="7" t="str">
        <x:v>AG-06443</x:v>
      </x:c>
      <x:c r="C6449" s="7" t="str">
        <x:v>PEA-C-Y2</x:v>
      </x:c>
      <x:c r="D6449" s="7" t="str">
        <x:v>channel instance</x:v>
      </x:c>
      <x:c r="E6449" s="7" t="str">
        <x:v>CH-PEA-C-Y2-17-6</x:v>
      </x:c>
      <x:c r="F6449" s="7" t="str">
        <x:f>'Channel Instances'!O2412</x:f>
        <x:v>OPEN</x:v>
      </x:c>
    </x:row>
    <x:row r="6450">
      <x:c r="B6450" s="7" t="str">
        <x:v>AG-06444</x:v>
      </x:c>
      <x:c r="C6450" s="7" t="str">
        <x:v>PEA-C-Y2</x:v>
      </x:c>
      <x:c r="D6450" s="7" t="str">
        <x:v>channel instance</x:v>
      </x:c>
      <x:c r="E6450" s="7" t="str">
        <x:v>CH-PEA-C-Y2-18-1</x:v>
      </x:c>
      <x:c r="F6450" s="7" t="str">
        <x:f>'Channel Instances'!O2413</x:f>
        <x:v>OPEN</x:v>
      </x:c>
    </x:row>
    <x:row r="6451">
      <x:c r="B6451" s="7" t="str">
        <x:v>AG-06445</x:v>
      </x:c>
      <x:c r="C6451" s="7" t="str">
        <x:v>PEA-C-Y2</x:v>
      </x:c>
      <x:c r="D6451" s="7" t="str">
        <x:v>channel instance</x:v>
      </x:c>
      <x:c r="E6451" s="7" t="str">
        <x:v>CH-PEA-C-Y2-18-2</x:v>
      </x:c>
      <x:c r="F6451" s="7" t="str">
        <x:f>'Channel Instances'!O2414</x:f>
        <x:v>OPEN</x:v>
      </x:c>
    </x:row>
    <x:row r="6452">
      <x:c r="B6452" s="7" t="str">
        <x:v>AG-06446</x:v>
      </x:c>
      <x:c r="C6452" s="7" t="str">
        <x:v>PEA-C-Y2</x:v>
      </x:c>
      <x:c r="D6452" s="7" t="str">
        <x:v>channel instance</x:v>
      </x:c>
      <x:c r="E6452" s="7" t="str">
        <x:v>CH-PEA-C-Y2-18-3</x:v>
      </x:c>
      <x:c r="F6452" s="7" t="str">
        <x:f>'Channel Instances'!O2415</x:f>
        <x:v>OPEN</x:v>
      </x:c>
    </x:row>
    <x:row r="6453">
      <x:c r="B6453" s="7" t="str">
        <x:v>AG-06447</x:v>
      </x:c>
      <x:c r="C6453" s="7" t="str">
        <x:v>PEA-C-Y2</x:v>
      </x:c>
      <x:c r="D6453" s="7" t="str">
        <x:v>channel instance</x:v>
      </x:c>
      <x:c r="E6453" s="7" t="str">
        <x:v>CH-PEA-C-Y2-18-4</x:v>
      </x:c>
      <x:c r="F6453" s="7" t="str">
        <x:f>'Channel Instances'!O2416</x:f>
        <x:v>OPEN</x:v>
      </x:c>
    </x:row>
    <x:row r="6454">
      <x:c r="B6454" s="7" t="str">
        <x:v>AG-06448</x:v>
      </x:c>
      <x:c r="C6454" s="7" t="str">
        <x:v>PEA-C-Y2</x:v>
      </x:c>
      <x:c r="D6454" s="7" t="str">
        <x:v>channel instance</x:v>
      </x:c>
      <x:c r="E6454" s="7" t="str">
        <x:v>CH-PEA-C-Y2-18-5</x:v>
      </x:c>
      <x:c r="F6454" s="7" t="str">
        <x:f>'Channel Instances'!O2417</x:f>
        <x:v>OPEN</x:v>
      </x:c>
    </x:row>
    <x:row r="6455">
      <x:c r="B6455" s="7" t="str">
        <x:v>AG-06449</x:v>
      </x:c>
      <x:c r="C6455" s="7" t="str">
        <x:v>PEA-C-Y2</x:v>
      </x:c>
      <x:c r="D6455" s="7" t="str">
        <x:v>channel instance</x:v>
      </x:c>
      <x:c r="E6455" s="7" t="str">
        <x:v>CH-PEA-C-Y2-18-6</x:v>
      </x:c>
      <x:c r="F6455" s="7" t="str">
        <x:f>'Channel Instances'!O2418</x:f>
        <x:v>OPEN</x:v>
      </x:c>
    </x:row>
    <x:row r="6456">
      <x:c r="B6456" s="7" t="str">
        <x:v>AG-06450</x:v>
      </x:c>
      <x:c r="C6456" s="7" t="str">
        <x:v>PEA-C-Y2</x:v>
      </x:c>
      <x:c r="D6456" s="7" t="str">
        <x:v>channel instance</x:v>
      </x:c>
      <x:c r="E6456" s="7" t="str">
        <x:v>CH-PEA-C-Y2-19-1</x:v>
      </x:c>
      <x:c r="F6456" s="7" t="str">
        <x:f>'Channel Instances'!O2419</x:f>
        <x:v>OPEN</x:v>
      </x:c>
    </x:row>
    <x:row r="6457">
      <x:c r="B6457" s="7" t="str">
        <x:v>AG-06451</x:v>
      </x:c>
      <x:c r="C6457" s="7" t="str">
        <x:v>PEA-C-Y2</x:v>
      </x:c>
      <x:c r="D6457" s="7" t="str">
        <x:v>channel instance</x:v>
      </x:c>
      <x:c r="E6457" s="7" t="str">
        <x:v>CH-PEA-C-Y2-19-2</x:v>
      </x:c>
      <x:c r="F6457" s="7" t="str">
        <x:f>'Channel Instances'!O2420</x:f>
        <x:v>OPEN</x:v>
      </x:c>
    </x:row>
    <x:row r="6458">
      <x:c r="B6458" s="7" t="str">
        <x:v>AG-06452</x:v>
      </x:c>
      <x:c r="C6458" s="7" t="str">
        <x:v>PEA-C-Y2</x:v>
      </x:c>
      <x:c r="D6458" s="7" t="str">
        <x:v>channel instance</x:v>
      </x:c>
      <x:c r="E6458" s="7" t="str">
        <x:v>CH-PEA-C-Y2-19-3</x:v>
      </x:c>
      <x:c r="F6458" s="7" t="str">
        <x:f>'Channel Instances'!O2421</x:f>
        <x:v>OPEN</x:v>
      </x:c>
    </x:row>
    <x:row r="6459">
      <x:c r="B6459" s="7" t="str">
        <x:v>AG-06453</x:v>
      </x:c>
      <x:c r="C6459" s="7" t="str">
        <x:v>PEA-C-Y2</x:v>
      </x:c>
      <x:c r="D6459" s="7" t="str">
        <x:v>channel instance</x:v>
      </x:c>
      <x:c r="E6459" s="7" t="str">
        <x:v>CH-PEA-C-Y2-19-4</x:v>
      </x:c>
      <x:c r="F6459" s="7" t="str">
        <x:f>'Channel Instances'!O2422</x:f>
        <x:v>OPEN</x:v>
      </x:c>
    </x:row>
    <x:row r="6460">
      <x:c r="B6460" s="7" t="str">
        <x:v>AG-06454</x:v>
      </x:c>
      <x:c r="C6460" s="7" t="str">
        <x:v>PEA-C-Y2</x:v>
      </x:c>
      <x:c r="D6460" s="7" t="str">
        <x:v>channel instance</x:v>
      </x:c>
      <x:c r="E6460" s="7" t="str">
        <x:v>CH-PEA-C-Y2-19-5</x:v>
      </x:c>
      <x:c r="F6460" s="7" t="str">
        <x:f>'Channel Instances'!O2423</x:f>
        <x:v>OPEN</x:v>
      </x:c>
    </x:row>
    <x:row r="6461">
      <x:c r="B6461" s="7" t="str">
        <x:v>AG-06455</x:v>
      </x:c>
      <x:c r="C6461" s="7" t="str">
        <x:v>PEA-C-Y2</x:v>
      </x:c>
      <x:c r="D6461" s="7" t="str">
        <x:v>channel instance</x:v>
      </x:c>
      <x:c r="E6461" s="7" t="str">
        <x:v>CH-PEA-C-Y2-19-6</x:v>
      </x:c>
      <x:c r="F6461" s="7" t="str">
        <x:f>'Channel Instances'!O2424</x:f>
        <x:v>OPEN</x:v>
      </x:c>
    </x:row>
    <x:row r="6462">
      <x:c r="B6462" s="7" t="str">
        <x:v>AG-06456</x:v>
      </x:c>
      <x:c r="C6462" s="7" t="str">
        <x:v>PEA-C-Y2</x:v>
      </x:c>
      <x:c r="D6462" s="7" t="str">
        <x:v>channel instance</x:v>
      </x:c>
      <x:c r="E6462" s="7" t="str">
        <x:v>CH-PEA-C-Y2-20-1</x:v>
      </x:c>
      <x:c r="F6462" s="7" t="str">
        <x:f>'Channel Instances'!O2425</x:f>
        <x:v>OPEN</x:v>
      </x:c>
    </x:row>
    <x:row r="6463">
      <x:c r="B6463" s="7" t="str">
        <x:v>AG-06457</x:v>
      </x:c>
      <x:c r="C6463" s="7" t="str">
        <x:v>PEA-C-Y2</x:v>
      </x:c>
      <x:c r="D6463" s="7" t="str">
        <x:v>channel instance</x:v>
      </x:c>
      <x:c r="E6463" s="7" t="str">
        <x:v>CH-PEA-C-Y2-20-2</x:v>
      </x:c>
      <x:c r="F6463" s="7" t="str">
        <x:f>'Channel Instances'!O2426</x:f>
        <x:v>OPEN</x:v>
      </x:c>
    </x:row>
    <x:row r="6464">
      <x:c r="B6464" s="7" t="str">
        <x:v>AG-06458</x:v>
      </x:c>
      <x:c r="C6464" s="7" t="str">
        <x:v>PEA-C-Y2</x:v>
      </x:c>
      <x:c r="D6464" s="7" t="str">
        <x:v>channel instance</x:v>
      </x:c>
      <x:c r="E6464" s="7" t="str">
        <x:v>CH-PEA-C-Y2-20-3</x:v>
      </x:c>
      <x:c r="F6464" s="7" t="str">
        <x:f>'Channel Instances'!O2427</x:f>
        <x:v>OPEN</x:v>
      </x:c>
    </x:row>
    <x:row r="6465">
      <x:c r="B6465" s="7" t="str">
        <x:v>AG-06459</x:v>
      </x:c>
      <x:c r="C6465" s="7" t="str">
        <x:v>PEA-C-Y2</x:v>
      </x:c>
      <x:c r="D6465" s="7" t="str">
        <x:v>channel instance</x:v>
      </x:c>
      <x:c r="E6465" s="7" t="str">
        <x:v>CH-PEA-C-Y2-20-4</x:v>
      </x:c>
      <x:c r="F6465" s="7" t="str">
        <x:f>'Channel Instances'!O2428</x:f>
        <x:v>OPEN</x:v>
      </x:c>
    </x:row>
    <x:row r="6466">
      <x:c r="B6466" s="7" t="str">
        <x:v>AG-06460</x:v>
      </x:c>
      <x:c r="C6466" s="7" t="str">
        <x:v>PEA-C-Y2</x:v>
      </x:c>
      <x:c r="D6466" s="7" t="str">
        <x:v>channel instance</x:v>
      </x:c>
      <x:c r="E6466" s="7" t="str">
        <x:v>CH-PEA-C-Y2-20-5</x:v>
      </x:c>
      <x:c r="F6466" s="7" t="str">
        <x:f>'Channel Instances'!O2429</x:f>
        <x:v>OPEN</x:v>
      </x:c>
    </x:row>
    <x:row r="6467">
      <x:c r="B6467" s="7" t="str">
        <x:v>AG-06461</x:v>
      </x:c>
      <x:c r="C6467" s="7" t="str">
        <x:v>PEA-C-Y2</x:v>
      </x:c>
      <x:c r="D6467" s="7" t="str">
        <x:v>channel instance</x:v>
      </x:c>
      <x:c r="E6467" s="7" t="str">
        <x:v>CH-PEA-C-Y2-20-6</x:v>
      </x:c>
      <x:c r="F6467" s="7" t="str">
        <x:f>'Channel Instances'!O2430</x:f>
        <x:v>OPEN</x:v>
      </x:c>
    </x:row>
    <x:row r="6468">
      <x:c r="B6468" s="7" t="str">
        <x:v>AG-06462</x:v>
      </x:c>
      <x:c r="C6468" s="7" t="str">
        <x:v>PEA-C-Y2</x:v>
      </x:c>
      <x:c r="D6468" s="7" t="str">
        <x:v>channel instance</x:v>
      </x:c>
      <x:c r="E6468" s="7" t="str">
        <x:v>CH-PEA-C-Y2-21-1</x:v>
      </x:c>
      <x:c r="F6468" s="7" t="str">
        <x:f>'Channel Instances'!O2431</x:f>
        <x:v>OPEN</x:v>
      </x:c>
    </x:row>
    <x:row r="6469">
      <x:c r="B6469" s="7" t="str">
        <x:v>AG-06463</x:v>
      </x:c>
      <x:c r="C6469" s="7" t="str">
        <x:v>PEA-C-Y2</x:v>
      </x:c>
      <x:c r="D6469" s="7" t="str">
        <x:v>channel instance</x:v>
      </x:c>
      <x:c r="E6469" s="7" t="str">
        <x:v>CH-PEA-C-Y2-21-2</x:v>
      </x:c>
      <x:c r="F6469" s="7" t="str">
        <x:f>'Channel Instances'!O2432</x:f>
        <x:v>OPEN</x:v>
      </x:c>
    </x:row>
    <x:row r="6470">
      <x:c r="B6470" s="7" t="str">
        <x:v>AG-06464</x:v>
      </x:c>
      <x:c r="C6470" s="7" t="str">
        <x:v>PEA-C-Y2</x:v>
      </x:c>
      <x:c r="D6470" s="7" t="str">
        <x:v>channel instance</x:v>
      </x:c>
      <x:c r="E6470" s="7" t="str">
        <x:v>CH-PEA-C-Y2-21-3</x:v>
      </x:c>
      <x:c r="F6470" s="7" t="str">
        <x:f>'Channel Instances'!O2433</x:f>
        <x:v>OPEN</x:v>
      </x:c>
    </x:row>
    <x:row r="6471">
      <x:c r="B6471" s="7" t="str">
        <x:v>AG-06465</x:v>
      </x:c>
      <x:c r="C6471" s="7" t="str">
        <x:v>PEA-C-Y2</x:v>
      </x:c>
      <x:c r="D6471" s="7" t="str">
        <x:v>channel instance</x:v>
      </x:c>
      <x:c r="E6471" s="7" t="str">
        <x:v>CH-PEA-C-Y2-21-4</x:v>
      </x:c>
      <x:c r="F6471" s="7" t="str">
        <x:f>'Channel Instances'!O2434</x:f>
        <x:v>OPEN</x:v>
      </x:c>
    </x:row>
    <x:row r="6472">
      <x:c r="B6472" s="7" t="str">
        <x:v>AG-06466</x:v>
      </x:c>
      <x:c r="C6472" s="7" t="str">
        <x:v>PEA-C-Y2</x:v>
      </x:c>
      <x:c r="D6472" s="7" t="str">
        <x:v>channel instance</x:v>
      </x:c>
      <x:c r="E6472" s="7" t="str">
        <x:v>CH-PEA-C-Y2-21-5</x:v>
      </x:c>
      <x:c r="F6472" s="7" t="str">
        <x:f>'Channel Instances'!O2435</x:f>
        <x:v>OPEN</x:v>
      </x:c>
    </x:row>
    <x:row r="6473">
      <x:c r="B6473" s="7" t="str">
        <x:v>AG-06467</x:v>
      </x:c>
      <x:c r="C6473" s="7" t="str">
        <x:v>PEA-C-Y2</x:v>
      </x:c>
      <x:c r="D6473" s="7" t="str">
        <x:v>channel instance</x:v>
      </x:c>
      <x:c r="E6473" s="7" t="str">
        <x:v>CH-PEA-C-Y2-21-6</x:v>
      </x:c>
      <x:c r="F6473" s="7" t="str">
        <x:f>'Channel Instances'!O2436</x:f>
        <x:v>OPEN</x:v>
      </x:c>
    </x:row>
    <x:row r="6474">
      <x:c r="B6474" s="7" t="str">
        <x:v>AG-06468</x:v>
      </x:c>
      <x:c r="C6474" s="7" t="str">
        <x:v>PEA-C-Y2</x:v>
      </x:c>
      <x:c r="D6474" s="7" t="str">
        <x:v>channel instance</x:v>
      </x:c>
      <x:c r="E6474" s="7" t="str">
        <x:v>CH-PEA-C-Y2-22-1</x:v>
      </x:c>
      <x:c r="F6474" s="7" t="str">
        <x:f>'Channel Instances'!O2437</x:f>
        <x:v>OPEN</x:v>
      </x:c>
    </x:row>
    <x:row r="6475">
      <x:c r="B6475" s="7" t="str">
        <x:v>AG-06469</x:v>
      </x:c>
      <x:c r="C6475" s="7" t="str">
        <x:v>PEA-C-Y2</x:v>
      </x:c>
      <x:c r="D6475" s="7" t="str">
        <x:v>channel instance</x:v>
      </x:c>
      <x:c r="E6475" s="7" t="str">
        <x:v>CH-PEA-C-Y2-22-2</x:v>
      </x:c>
      <x:c r="F6475" s="7" t="str">
        <x:f>'Channel Instances'!O2438</x:f>
        <x:v>OPEN</x:v>
      </x:c>
    </x:row>
    <x:row r="6476">
      <x:c r="B6476" s="7" t="str">
        <x:v>AG-06470</x:v>
      </x:c>
      <x:c r="C6476" s="7" t="str">
        <x:v>PEA-C-Y2</x:v>
      </x:c>
      <x:c r="D6476" s="7" t="str">
        <x:v>channel instance</x:v>
      </x:c>
      <x:c r="E6476" s="7" t="str">
        <x:v>CH-PEA-C-Y2-22-3</x:v>
      </x:c>
      <x:c r="F6476" s="7" t="str">
        <x:f>'Channel Instances'!O2439</x:f>
        <x:v>OPEN</x:v>
      </x:c>
    </x:row>
    <x:row r="6477">
      <x:c r="B6477" s="7" t="str">
        <x:v>AG-06471</x:v>
      </x:c>
      <x:c r="C6477" s="7" t="str">
        <x:v>PEA-C-Y2</x:v>
      </x:c>
      <x:c r="D6477" s="7" t="str">
        <x:v>channel instance</x:v>
      </x:c>
      <x:c r="E6477" s="7" t="str">
        <x:v>CH-PEA-C-Y2-22-4</x:v>
      </x:c>
      <x:c r="F6477" s="7" t="str">
        <x:f>'Channel Instances'!O2440</x:f>
        <x:v>OPEN</x:v>
      </x:c>
    </x:row>
    <x:row r="6478">
      <x:c r="B6478" s="7" t="str">
        <x:v>AG-06472</x:v>
      </x:c>
      <x:c r="C6478" s="7" t="str">
        <x:v>PEA-C-Y2</x:v>
      </x:c>
      <x:c r="D6478" s="7" t="str">
        <x:v>channel instance</x:v>
      </x:c>
      <x:c r="E6478" s="7" t="str">
        <x:v>CH-PEA-C-Y2-22-5</x:v>
      </x:c>
      <x:c r="F6478" s="7" t="str">
        <x:f>'Channel Instances'!O2441</x:f>
        <x:v>OPEN</x:v>
      </x:c>
    </x:row>
    <x:row r="6479">
      <x:c r="B6479" s="7" t="str">
        <x:v>AG-06473</x:v>
      </x:c>
      <x:c r="C6479" s="7" t="str">
        <x:v>PEA-C-Y2</x:v>
      </x:c>
      <x:c r="D6479" s="7" t="str">
        <x:v>channel instance</x:v>
      </x:c>
      <x:c r="E6479" s="7" t="str">
        <x:v>CH-PEA-C-Y2-22-6</x:v>
      </x:c>
      <x:c r="F6479" s="7" t="str">
        <x:f>'Channel Instances'!O2442</x:f>
        <x:v>OPEN</x:v>
      </x:c>
    </x:row>
    <x:row r="6480">
      <x:c r="B6480" s="7" t="str">
        <x:v>AG-06474</x:v>
      </x:c>
      <x:c r="C6480" s="7" t="str">
        <x:v>PEA-C-Y2</x:v>
      </x:c>
      <x:c r="D6480" s="7" t="str">
        <x:v>channel instance</x:v>
      </x:c>
      <x:c r="E6480" s="7" t="str">
        <x:v>CH-PEA-C-Y2-23-1</x:v>
      </x:c>
      <x:c r="F6480" s="7" t="str">
        <x:f>'Channel Instances'!O2443</x:f>
        <x:v>OPEN</x:v>
      </x:c>
    </x:row>
    <x:row r="6481">
      <x:c r="B6481" s="7" t="str">
        <x:v>AG-06475</x:v>
      </x:c>
      <x:c r="C6481" s="7" t="str">
        <x:v>PEA-C-Y2</x:v>
      </x:c>
      <x:c r="D6481" s="7" t="str">
        <x:v>channel instance</x:v>
      </x:c>
      <x:c r="E6481" s="7" t="str">
        <x:v>CH-PEA-C-Y2-23-2</x:v>
      </x:c>
      <x:c r="F6481" s="7" t="str">
        <x:f>'Channel Instances'!O2444</x:f>
        <x:v>OPEN</x:v>
      </x:c>
    </x:row>
    <x:row r="6482">
      <x:c r="B6482" s="7" t="str">
        <x:v>AG-06476</x:v>
      </x:c>
      <x:c r="C6482" s="7" t="str">
        <x:v>PEA-C-Y2</x:v>
      </x:c>
      <x:c r="D6482" s="7" t="str">
        <x:v>channel instance</x:v>
      </x:c>
      <x:c r="E6482" s="7" t="str">
        <x:v>CH-PEA-C-Y2-23-3</x:v>
      </x:c>
      <x:c r="F6482" s="7" t="str">
        <x:f>'Channel Instances'!O2445</x:f>
        <x:v>OPEN</x:v>
      </x:c>
    </x:row>
    <x:row r="6483">
      <x:c r="B6483" s="7" t="str">
        <x:v>AG-06477</x:v>
      </x:c>
      <x:c r="C6483" s="7" t="str">
        <x:v>PEA-C-Y2</x:v>
      </x:c>
      <x:c r="D6483" s="7" t="str">
        <x:v>channel instance</x:v>
      </x:c>
      <x:c r="E6483" s="7" t="str">
        <x:v>CH-PEA-C-Y2-23-4</x:v>
      </x:c>
      <x:c r="F6483" s="7" t="str">
        <x:f>'Channel Instances'!O2446</x:f>
        <x:v>OPEN</x:v>
      </x:c>
    </x:row>
    <x:row r="6484">
      <x:c r="B6484" s="7" t="str">
        <x:v>AG-06478</x:v>
      </x:c>
      <x:c r="C6484" s="7" t="str">
        <x:v>PEA-C-Y2</x:v>
      </x:c>
      <x:c r="D6484" s="7" t="str">
        <x:v>channel instance</x:v>
      </x:c>
      <x:c r="E6484" s="7" t="str">
        <x:v>CH-PEA-C-Y2-23-5</x:v>
      </x:c>
      <x:c r="F6484" s="7" t="str">
        <x:f>'Channel Instances'!O2447</x:f>
        <x:v>OPEN</x:v>
      </x:c>
    </x:row>
    <x:row r="6485">
      <x:c r="B6485" s="7" t="str">
        <x:v>AG-06479</x:v>
      </x:c>
      <x:c r="C6485" s="7" t="str">
        <x:v>PEA-C-Y2</x:v>
      </x:c>
      <x:c r="D6485" s="7" t="str">
        <x:v>channel instance</x:v>
      </x:c>
      <x:c r="E6485" s="7" t="str">
        <x:v>CH-PEA-C-Y2-23-6</x:v>
      </x:c>
      <x:c r="F6485" s="7" t="str">
        <x:f>'Channel Instances'!O2448</x:f>
        <x:v>OPEN</x:v>
      </x:c>
    </x:row>
    <x:row r="6486">
      <x:c r="B6486" s="7" t="str">
        <x:v>AG-06480</x:v>
      </x:c>
      <x:c r="C6486" s="7" t="str">
        <x:v>PEA-C-Y2</x:v>
      </x:c>
      <x:c r="D6486" s="7" t="str">
        <x:v>channel instance</x:v>
      </x:c>
      <x:c r="E6486" s="7" t="str">
        <x:v>CH-PEA-C-Y2-24-1</x:v>
      </x:c>
      <x:c r="F6486" s="7" t="str">
        <x:f>'Channel Instances'!O2449</x:f>
        <x:v>OPEN</x:v>
      </x:c>
    </x:row>
    <x:row r="6487">
      <x:c r="B6487" s="7" t="str">
        <x:v>AG-06481</x:v>
      </x:c>
      <x:c r="C6487" s="7" t="str">
        <x:v>PEA-C-Y2</x:v>
      </x:c>
      <x:c r="D6487" s="7" t="str">
        <x:v>channel instance</x:v>
      </x:c>
      <x:c r="E6487" s="7" t="str">
        <x:v>CH-PEA-C-Y2-24-2</x:v>
      </x:c>
      <x:c r="F6487" s="7" t="str">
        <x:f>'Channel Instances'!O2450</x:f>
        <x:v>OPEN</x:v>
      </x:c>
    </x:row>
    <x:row r="6488">
      <x:c r="B6488" s="7" t="str">
        <x:v>AG-06482</x:v>
      </x:c>
      <x:c r="C6488" s="7" t="str">
        <x:v>PEA-C-Y2</x:v>
      </x:c>
      <x:c r="D6488" s="7" t="str">
        <x:v>channel instance</x:v>
      </x:c>
      <x:c r="E6488" s="7" t="str">
        <x:v>CH-PEA-C-Y2-24-3</x:v>
      </x:c>
      <x:c r="F6488" s="7" t="str">
        <x:f>'Channel Instances'!O2451</x:f>
        <x:v>OPEN</x:v>
      </x:c>
    </x:row>
    <x:row r="6489">
      <x:c r="B6489" s="7" t="str">
        <x:v>AG-06483</x:v>
      </x:c>
      <x:c r="C6489" s="7" t="str">
        <x:v>PEA-C-Y2</x:v>
      </x:c>
      <x:c r="D6489" s="7" t="str">
        <x:v>channel instance</x:v>
      </x:c>
      <x:c r="E6489" s="7" t="str">
        <x:v>CH-PEA-C-Y2-24-4</x:v>
      </x:c>
      <x:c r="F6489" s="7" t="str">
        <x:f>'Channel Instances'!O2452</x:f>
        <x:v>OPEN</x:v>
      </x:c>
    </x:row>
    <x:row r="6490">
      <x:c r="B6490" s="7" t="str">
        <x:v>AG-06484</x:v>
      </x:c>
      <x:c r="C6490" s="7" t="str">
        <x:v>PEA-C-Y2</x:v>
      </x:c>
      <x:c r="D6490" s="7" t="str">
        <x:v>channel instance</x:v>
      </x:c>
      <x:c r="E6490" s="7" t="str">
        <x:v>CH-PEA-C-Y2-24-5</x:v>
      </x:c>
      <x:c r="F6490" s="7" t="str">
        <x:f>'Channel Instances'!O2453</x:f>
        <x:v>OPEN</x:v>
      </x:c>
    </x:row>
    <x:row r="6491">
      <x:c r="B6491" s="7" t="str">
        <x:v>AG-06485</x:v>
      </x:c>
      <x:c r="C6491" s="7" t="str">
        <x:v>PEA-C-Y2</x:v>
      </x:c>
      <x:c r="D6491" s="7" t="str">
        <x:v>channel instance</x:v>
      </x:c>
      <x:c r="E6491" s="7" t="str">
        <x:v>CH-PEA-C-Y2-24-6</x:v>
      </x:c>
      <x:c r="F6491" s="7" t="str">
        <x:f>'Channel Instances'!O2454</x:f>
        <x:v>OPEN</x:v>
      </x:c>
    </x:row>
    <x:row r="6492">
      <x:c r="B6492" s="7" t="str">
        <x:v>AG-06486</x:v>
      </x:c>
      <x:c r="C6492" s="7" t="str">
        <x:v>PEA-C-Y2</x:v>
      </x:c>
      <x:c r="D6492" s="7" t="str">
        <x:v>factory calibration</x:v>
      </x:c>
      <x:c r="E6492" s="7" t="str">
        <x:v>CAL-CH-PEA-C-Y2-01-1</x:v>
      </x:c>
      <x:c r="F6492" s="7" t="str">
        <x:f>'Calibration Records'!M2311</x:f>
        <x:v>OPEN</x:v>
      </x:c>
    </x:row>
    <x:row r="6493">
      <x:c r="B6493" s="7" t="str">
        <x:v>AG-06487</x:v>
      </x:c>
      <x:c r="C6493" s="7" t="str">
        <x:v>PEA-C-Y2</x:v>
      </x:c>
      <x:c r="D6493" s="7" t="str">
        <x:v>factory calibration</x:v>
      </x:c>
      <x:c r="E6493" s="7" t="str">
        <x:v>CAL-CH-PEA-C-Y2-01-2</x:v>
      </x:c>
      <x:c r="F6493" s="7" t="str">
        <x:f>'Calibration Records'!M2312</x:f>
        <x:v>OPEN</x:v>
      </x:c>
    </x:row>
    <x:row r="6494">
      <x:c r="B6494" s="7" t="str">
        <x:v>AG-06488</x:v>
      </x:c>
      <x:c r="C6494" s="7" t="str">
        <x:v>PEA-C-Y2</x:v>
      </x:c>
      <x:c r="D6494" s="7" t="str">
        <x:v>factory calibration</x:v>
      </x:c>
      <x:c r="E6494" s="7" t="str">
        <x:v>CAL-CH-PEA-C-Y2-01-3</x:v>
      </x:c>
      <x:c r="F6494" s="7" t="str">
        <x:f>'Calibration Records'!M2313</x:f>
        <x:v>OPEN</x:v>
      </x:c>
    </x:row>
    <x:row r="6495">
      <x:c r="B6495" s="7" t="str">
        <x:v>AG-06489</x:v>
      </x:c>
      <x:c r="C6495" s="7" t="str">
        <x:v>PEA-C-Y2</x:v>
      </x:c>
      <x:c r="D6495" s="7" t="str">
        <x:v>factory calibration</x:v>
      </x:c>
      <x:c r="E6495" s="7" t="str">
        <x:v>CAL-CH-PEA-C-Y2-01-4</x:v>
      </x:c>
      <x:c r="F6495" s="7" t="str">
        <x:f>'Calibration Records'!M2314</x:f>
        <x:v>OPEN</x:v>
      </x:c>
    </x:row>
    <x:row r="6496">
      <x:c r="B6496" s="7" t="str">
        <x:v>AG-06490</x:v>
      </x:c>
      <x:c r="C6496" s="7" t="str">
        <x:v>PEA-C-Y2</x:v>
      </x:c>
      <x:c r="D6496" s="7" t="str">
        <x:v>factory calibration</x:v>
      </x:c>
      <x:c r="E6496" s="7" t="str">
        <x:v>CAL-CH-PEA-C-Y2-01-5</x:v>
      </x:c>
      <x:c r="F6496" s="7" t="str">
        <x:f>'Calibration Records'!M2315</x:f>
        <x:v>OPEN</x:v>
      </x:c>
    </x:row>
    <x:row r="6497">
      <x:c r="B6497" s="7" t="str">
        <x:v>AG-06491</x:v>
      </x:c>
      <x:c r="C6497" s="7" t="str">
        <x:v>PEA-C-Y2</x:v>
      </x:c>
      <x:c r="D6497" s="7" t="str">
        <x:v>factory calibration</x:v>
      </x:c>
      <x:c r="E6497" s="7" t="str">
        <x:v>CAL-CH-PEA-C-Y2-01-6</x:v>
      </x:c>
      <x:c r="F6497" s="7" t="str">
        <x:f>'Calibration Records'!M2316</x:f>
        <x:v>OPEN</x:v>
      </x:c>
    </x:row>
    <x:row r="6498">
      <x:c r="B6498" s="7" t="str">
        <x:v>AG-06492</x:v>
      </x:c>
      <x:c r="C6498" s="7" t="str">
        <x:v>PEA-C-Y2</x:v>
      </x:c>
      <x:c r="D6498" s="7" t="str">
        <x:v>factory calibration</x:v>
      </x:c>
      <x:c r="E6498" s="7" t="str">
        <x:v>CAL-CH-PEA-C-Y2-02-1</x:v>
      </x:c>
      <x:c r="F6498" s="7" t="str">
        <x:f>'Calibration Records'!M2317</x:f>
        <x:v>OPEN</x:v>
      </x:c>
    </x:row>
    <x:row r="6499">
      <x:c r="B6499" s="7" t="str">
        <x:v>AG-06493</x:v>
      </x:c>
      <x:c r="C6499" s="7" t="str">
        <x:v>PEA-C-Y2</x:v>
      </x:c>
      <x:c r="D6499" s="7" t="str">
        <x:v>factory calibration</x:v>
      </x:c>
      <x:c r="E6499" s="7" t="str">
        <x:v>CAL-CH-PEA-C-Y2-02-2</x:v>
      </x:c>
      <x:c r="F6499" s="7" t="str">
        <x:f>'Calibration Records'!M2318</x:f>
        <x:v>OPEN</x:v>
      </x:c>
    </x:row>
    <x:row r="6500">
      <x:c r="B6500" s="7" t="str">
        <x:v>AG-06494</x:v>
      </x:c>
      <x:c r="C6500" s="7" t="str">
        <x:v>PEA-C-Y2</x:v>
      </x:c>
      <x:c r="D6500" s="7" t="str">
        <x:v>factory calibration</x:v>
      </x:c>
      <x:c r="E6500" s="7" t="str">
        <x:v>CAL-CH-PEA-C-Y2-02-3</x:v>
      </x:c>
      <x:c r="F6500" s="7" t="str">
        <x:f>'Calibration Records'!M2319</x:f>
        <x:v>OPEN</x:v>
      </x:c>
    </x:row>
    <x:row r="6501">
      <x:c r="B6501" s="7" t="str">
        <x:v>AG-06495</x:v>
      </x:c>
      <x:c r="C6501" s="7" t="str">
        <x:v>PEA-C-Y2</x:v>
      </x:c>
      <x:c r="D6501" s="7" t="str">
        <x:v>factory calibration</x:v>
      </x:c>
      <x:c r="E6501" s="7" t="str">
        <x:v>CAL-CH-PEA-C-Y2-02-4</x:v>
      </x:c>
      <x:c r="F6501" s="7" t="str">
        <x:f>'Calibration Records'!M2320</x:f>
        <x:v>OPEN</x:v>
      </x:c>
    </x:row>
    <x:row r="6502">
      <x:c r="B6502" s="7" t="str">
        <x:v>AG-06496</x:v>
      </x:c>
      <x:c r="C6502" s="7" t="str">
        <x:v>PEA-C-Y2</x:v>
      </x:c>
      <x:c r="D6502" s="7" t="str">
        <x:v>factory calibration</x:v>
      </x:c>
      <x:c r="E6502" s="7" t="str">
        <x:v>CAL-CH-PEA-C-Y2-02-5</x:v>
      </x:c>
      <x:c r="F6502" s="7" t="str">
        <x:f>'Calibration Records'!M2321</x:f>
        <x:v>OPEN</x:v>
      </x:c>
    </x:row>
    <x:row r="6503">
      <x:c r="B6503" s="7" t="str">
        <x:v>AG-06497</x:v>
      </x:c>
      <x:c r="C6503" s="7" t="str">
        <x:v>PEA-C-Y2</x:v>
      </x:c>
      <x:c r="D6503" s="7" t="str">
        <x:v>factory calibration</x:v>
      </x:c>
      <x:c r="E6503" s="7" t="str">
        <x:v>CAL-CH-PEA-C-Y2-02-6</x:v>
      </x:c>
      <x:c r="F6503" s="7" t="str">
        <x:f>'Calibration Records'!M2322</x:f>
        <x:v>OPEN</x:v>
      </x:c>
    </x:row>
    <x:row r="6504">
      <x:c r="B6504" s="7" t="str">
        <x:v>AG-06498</x:v>
      </x:c>
      <x:c r="C6504" s="7" t="str">
        <x:v>PEA-C-Y2</x:v>
      </x:c>
      <x:c r="D6504" s="7" t="str">
        <x:v>factory calibration</x:v>
      </x:c>
      <x:c r="E6504" s="7" t="str">
        <x:v>CAL-CH-PEA-C-Y2-03-1</x:v>
      </x:c>
      <x:c r="F6504" s="7" t="str">
        <x:f>'Calibration Records'!M2323</x:f>
        <x:v>OPEN</x:v>
      </x:c>
    </x:row>
    <x:row r="6505">
      <x:c r="B6505" s="7" t="str">
        <x:v>AG-06499</x:v>
      </x:c>
      <x:c r="C6505" s="7" t="str">
        <x:v>PEA-C-Y2</x:v>
      </x:c>
      <x:c r="D6505" s="7" t="str">
        <x:v>factory calibration</x:v>
      </x:c>
      <x:c r="E6505" s="7" t="str">
        <x:v>CAL-CH-PEA-C-Y2-03-2</x:v>
      </x:c>
      <x:c r="F6505" s="7" t="str">
        <x:f>'Calibration Records'!M2324</x:f>
        <x:v>OPEN</x:v>
      </x:c>
    </x:row>
    <x:row r="6506">
      <x:c r="B6506" s="7" t="str">
        <x:v>AG-06500</x:v>
      </x:c>
      <x:c r="C6506" s="7" t="str">
        <x:v>PEA-C-Y2</x:v>
      </x:c>
      <x:c r="D6506" s="7" t="str">
        <x:v>factory calibration</x:v>
      </x:c>
      <x:c r="E6506" s="7" t="str">
        <x:v>CAL-CH-PEA-C-Y2-03-3</x:v>
      </x:c>
      <x:c r="F6506" s="7" t="str">
        <x:f>'Calibration Records'!M2325</x:f>
        <x:v>OPEN</x:v>
      </x:c>
    </x:row>
    <x:row r="6507">
      <x:c r="B6507" s="7" t="str">
        <x:v>AG-06501</x:v>
      </x:c>
      <x:c r="C6507" s="7" t="str">
        <x:v>PEA-C-Y2</x:v>
      </x:c>
      <x:c r="D6507" s="7" t="str">
        <x:v>factory calibration</x:v>
      </x:c>
      <x:c r="E6507" s="7" t="str">
        <x:v>CAL-CH-PEA-C-Y2-03-4</x:v>
      </x:c>
      <x:c r="F6507" s="7" t="str">
        <x:f>'Calibration Records'!M2326</x:f>
        <x:v>OPEN</x:v>
      </x:c>
    </x:row>
    <x:row r="6508">
      <x:c r="B6508" s="7" t="str">
        <x:v>AG-06502</x:v>
      </x:c>
      <x:c r="C6508" s="7" t="str">
        <x:v>PEA-C-Y2</x:v>
      </x:c>
      <x:c r="D6508" s="7" t="str">
        <x:v>factory calibration</x:v>
      </x:c>
      <x:c r="E6508" s="7" t="str">
        <x:v>CAL-CH-PEA-C-Y2-03-5</x:v>
      </x:c>
      <x:c r="F6508" s="7" t="str">
        <x:f>'Calibration Records'!M2327</x:f>
        <x:v>OPEN</x:v>
      </x:c>
    </x:row>
    <x:row r="6509">
      <x:c r="B6509" s="7" t="str">
        <x:v>AG-06503</x:v>
      </x:c>
      <x:c r="C6509" s="7" t="str">
        <x:v>PEA-C-Y2</x:v>
      </x:c>
      <x:c r="D6509" s="7" t="str">
        <x:v>factory calibration</x:v>
      </x:c>
      <x:c r="E6509" s="7" t="str">
        <x:v>CAL-CH-PEA-C-Y2-03-6</x:v>
      </x:c>
      <x:c r="F6509" s="7" t="str">
        <x:f>'Calibration Records'!M2328</x:f>
        <x:v>OPEN</x:v>
      </x:c>
    </x:row>
    <x:row r="6510">
      <x:c r="B6510" s="7" t="str">
        <x:v>AG-06504</x:v>
      </x:c>
      <x:c r="C6510" s="7" t="str">
        <x:v>PEA-C-Y2</x:v>
      </x:c>
      <x:c r="D6510" s="7" t="str">
        <x:v>factory calibration</x:v>
      </x:c>
      <x:c r="E6510" s="7" t="str">
        <x:v>CAL-CH-PEA-C-Y2-04-1</x:v>
      </x:c>
      <x:c r="F6510" s="7" t="str">
        <x:f>'Calibration Records'!M2329</x:f>
        <x:v>OPEN</x:v>
      </x:c>
    </x:row>
    <x:row r="6511">
      <x:c r="B6511" s="7" t="str">
        <x:v>AG-06505</x:v>
      </x:c>
      <x:c r="C6511" s="7" t="str">
        <x:v>PEA-C-Y2</x:v>
      </x:c>
      <x:c r="D6511" s="7" t="str">
        <x:v>factory calibration</x:v>
      </x:c>
      <x:c r="E6511" s="7" t="str">
        <x:v>CAL-CH-PEA-C-Y2-04-2</x:v>
      </x:c>
      <x:c r="F6511" s="7" t="str">
        <x:f>'Calibration Records'!M2330</x:f>
        <x:v>OPEN</x:v>
      </x:c>
    </x:row>
    <x:row r="6512">
      <x:c r="B6512" s="7" t="str">
        <x:v>AG-06506</x:v>
      </x:c>
      <x:c r="C6512" s="7" t="str">
        <x:v>PEA-C-Y2</x:v>
      </x:c>
      <x:c r="D6512" s="7" t="str">
        <x:v>factory calibration</x:v>
      </x:c>
      <x:c r="E6512" s="7" t="str">
        <x:v>CAL-CH-PEA-C-Y2-04-3</x:v>
      </x:c>
      <x:c r="F6512" s="7" t="str">
        <x:f>'Calibration Records'!M2331</x:f>
        <x:v>OPEN</x:v>
      </x:c>
    </x:row>
    <x:row r="6513">
      <x:c r="B6513" s="7" t="str">
        <x:v>AG-06507</x:v>
      </x:c>
      <x:c r="C6513" s="7" t="str">
        <x:v>PEA-C-Y2</x:v>
      </x:c>
      <x:c r="D6513" s="7" t="str">
        <x:v>factory calibration</x:v>
      </x:c>
      <x:c r="E6513" s="7" t="str">
        <x:v>CAL-CH-PEA-C-Y2-04-4</x:v>
      </x:c>
      <x:c r="F6513" s="7" t="str">
        <x:f>'Calibration Records'!M2332</x:f>
        <x:v>OPEN</x:v>
      </x:c>
    </x:row>
    <x:row r="6514">
      <x:c r="B6514" s="7" t="str">
        <x:v>AG-06508</x:v>
      </x:c>
      <x:c r="C6514" s="7" t="str">
        <x:v>PEA-C-Y2</x:v>
      </x:c>
      <x:c r="D6514" s="7" t="str">
        <x:v>factory calibration</x:v>
      </x:c>
      <x:c r="E6514" s="7" t="str">
        <x:v>CAL-CH-PEA-C-Y2-04-5</x:v>
      </x:c>
      <x:c r="F6514" s="7" t="str">
        <x:f>'Calibration Records'!M2333</x:f>
        <x:v>OPEN</x:v>
      </x:c>
    </x:row>
    <x:row r="6515">
      <x:c r="B6515" s="7" t="str">
        <x:v>AG-06509</x:v>
      </x:c>
      <x:c r="C6515" s="7" t="str">
        <x:v>PEA-C-Y2</x:v>
      </x:c>
      <x:c r="D6515" s="7" t="str">
        <x:v>factory calibration</x:v>
      </x:c>
      <x:c r="E6515" s="7" t="str">
        <x:v>CAL-CH-PEA-C-Y2-04-6</x:v>
      </x:c>
      <x:c r="F6515" s="7" t="str">
        <x:f>'Calibration Records'!M2334</x:f>
        <x:v>OPEN</x:v>
      </x:c>
    </x:row>
    <x:row r="6516">
      <x:c r="B6516" s="7" t="str">
        <x:v>AG-06510</x:v>
      </x:c>
      <x:c r="C6516" s="7" t="str">
        <x:v>PEA-C-Y2</x:v>
      </x:c>
      <x:c r="D6516" s="7" t="str">
        <x:v>factory calibration</x:v>
      </x:c>
      <x:c r="E6516" s="7" t="str">
        <x:v>CAL-CH-PEA-C-Y2-05-1</x:v>
      </x:c>
      <x:c r="F6516" s="7" t="str">
        <x:f>'Calibration Records'!M2335</x:f>
        <x:v>OPEN</x:v>
      </x:c>
    </x:row>
    <x:row r="6517">
      <x:c r="B6517" s="7" t="str">
        <x:v>AG-06511</x:v>
      </x:c>
      <x:c r="C6517" s="7" t="str">
        <x:v>PEA-C-Y2</x:v>
      </x:c>
      <x:c r="D6517" s="7" t="str">
        <x:v>factory calibration</x:v>
      </x:c>
      <x:c r="E6517" s="7" t="str">
        <x:v>CAL-CH-PEA-C-Y2-05-2</x:v>
      </x:c>
      <x:c r="F6517" s="7" t="str">
        <x:f>'Calibration Records'!M2336</x:f>
        <x:v>OPEN</x:v>
      </x:c>
    </x:row>
    <x:row r="6518">
      <x:c r="B6518" s="7" t="str">
        <x:v>AG-06512</x:v>
      </x:c>
      <x:c r="C6518" s="7" t="str">
        <x:v>PEA-C-Y2</x:v>
      </x:c>
      <x:c r="D6518" s="7" t="str">
        <x:v>factory calibration</x:v>
      </x:c>
      <x:c r="E6518" s="7" t="str">
        <x:v>CAL-CH-PEA-C-Y2-05-3</x:v>
      </x:c>
      <x:c r="F6518" s="7" t="str">
        <x:f>'Calibration Records'!M2337</x:f>
        <x:v>OPEN</x:v>
      </x:c>
    </x:row>
    <x:row r="6519">
      <x:c r="B6519" s="7" t="str">
        <x:v>AG-06513</x:v>
      </x:c>
      <x:c r="C6519" s="7" t="str">
        <x:v>PEA-C-Y2</x:v>
      </x:c>
      <x:c r="D6519" s="7" t="str">
        <x:v>factory calibration</x:v>
      </x:c>
      <x:c r="E6519" s="7" t="str">
        <x:v>CAL-CH-PEA-C-Y2-05-4</x:v>
      </x:c>
      <x:c r="F6519" s="7" t="str">
        <x:f>'Calibration Records'!M2338</x:f>
        <x:v>OPEN</x:v>
      </x:c>
    </x:row>
    <x:row r="6520">
      <x:c r="B6520" s="7" t="str">
        <x:v>AG-06514</x:v>
      </x:c>
      <x:c r="C6520" s="7" t="str">
        <x:v>PEA-C-Y2</x:v>
      </x:c>
      <x:c r="D6520" s="7" t="str">
        <x:v>factory calibration</x:v>
      </x:c>
      <x:c r="E6520" s="7" t="str">
        <x:v>CAL-CH-PEA-C-Y2-05-5</x:v>
      </x:c>
      <x:c r="F6520" s="7" t="str">
        <x:f>'Calibration Records'!M2339</x:f>
        <x:v>OPEN</x:v>
      </x:c>
    </x:row>
    <x:row r="6521">
      <x:c r="B6521" s="7" t="str">
        <x:v>AG-06515</x:v>
      </x:c>
      <x:c r="C6521" s="7" t="str">
        <x:v>PEA-C-Y2</x:v>
      </x:c>
      <x:c r="D6521" s="7" t="str">
        <x:v>factory calibration</x:v>
      </x:c>
      <x:c r="E6521" s="7" t="str">
        <x:v>CAL-CH-PEA-C-Y2-05-6</x:v>
      </x:c>
      <x:c r="F6521" s="7" t="str">
        <x:f>'Calibration Records'!M2340</x:f>
        <x:v>OPEN</x:v>
      </x:c>
    </x:row>
    <x:row r="6522">
      <x:c r="B6522" s="7" t="str">
        <x:v>AG-06516</x:v>
      </x:c>
      <x:c r="C6522" s="7" t="str">
        <x:v>PEA-C-Y2</x:v>
      </x:c>
      <x:c r="D6522" s="7" t="str">
        <x:v>factory calibration</x:v>
      </x:c>
      <x:c r="E6522" s="7" t="str">
        <x:v>CAL-CH-PEA-C-Y2-06-1</x:v>
      </x:c>
      <x:c r="F6522" s="7" t="str">
        <x:f>'Calibration Records'!M2341</x:f>
        <x:v>OPEN</x:v>
      </x:c>
    </x:row>
    <x:row r="6523">
      <x:c r="B6523" s="7" t="str">
        <x:v>AG-06517</x:v>
      </x:c>
      <x:c r="C6523" s="7" t="str">
        <x:v>PEA-C-Y2</x:v>
      </x:c>
      <x:c r="D6523" s="7" t="str">
        <x:v>factory calibration</x:v>
      </x:c>
      <x:c r="E6523" s="7" t="str">
        <x:v>CAL-CH-PEA-C-Y2-06-2</x:v>
      </x:c>
      <x:c r="F6523" s="7" t="str">
        <x:f>'Calibration Records'!M2342</x:f>
        <x:v>OPEN</x:v>
      </x:c>
    </x:row>
    <x:row r="6524">
      <x:c r="B6524" s="7" t="str">
        <x:v>AG-06518</x:v>
      </x:c>
      <x:c r="C6524" s="7" t="str">
        <x:v>PEA-C-Y2</x:v>
      </x:c>
      <x:c r="D6524" s="7" t="str">
        <x:v>factory calibration</x:v>
      </x:c>
      <x:c r="E6524" s="7" t="str">
        <x:v>CAL-CH-PEA-C-Y2-06-3</x:v>
      </x:c>
      <x:c r="F6524" s="7" t="str">
        <x:f>'Calibration Records'!M2343</x:f>
        <x:v>OPEN</x:v>
      </x:c>
    </x:row>
    <x:row r="6525">
      <x:c r="B6525" s="7" t="str">
        <x:v>AG-06519</x:v>
      </x:c>
      <x:c r="C6525" s="7" t="str">
        <x:v>PEA-C-Y2</x:v>
      </x:c>
      <x:c r="D6525" s="7" t="str">
        <x:v>factory calibration</x:v>
      </x:c>
      <x:c r="E6525" s="7" t="str">
        <x:v>CAL-CH-PEA-C-Y2-06-4</x:v>
      </x:c>
      <x:c r="F6525" s="7" t="str">
        <x:f>'Calibration Records'!M2344</x:f>
        <x:v>OPEN</x:v>
      </x:c>
    </x:row>
    <x:row r="6526">
      <x:c r="B6526" s="7" t="str">
        <x:v>AG-06520</x:v>
      </x:c>
      <x:c r="C6526" s="7" t="str">
        <x:v>PEA-C-Y2</x:v>
      </x:c>
      <x:c r="D6526" s="7" t="str">
        <x:v>factory calibration</x:v>
      </x:c>
      <x:c r="E6526" s="7" t="str">
        <x:v>CAL-CH-PEA-C-Y2-06-5</x:v>
      </x:c>
      <x:c r="F6526" s="7" t="str">
        <x:f>'Calibration Records'!M2345</x:f>
        <x:v>OPEN</x:v>
      </x:c>
    </x:row>
    <x:row r="6527">
      <x:c r="B6527" s="7" t="str">
        <x:v>AG-06521</x:v>
      </x:c>
      <x:c r="C6527" s="7" t="str">
        <x:v>PEA-C-Y2</x:v>
      </x:c>
      <x:c r="D6527" s="7" t="str">
        <x:v>factory calibration</x:v>
      </x:c>
      <x:c r="E6527" s="7" t="str">
        <x:v>CAL-CH-PEA-C-Y2-06-6</x:v>
      </x:c>
      <x:c r="F6527" s="7" t="str">
        <x:f>'Calibration Records'!M2346</x:f>
        <x:v>OPEN</x:v>
      </x:c>
    </x:row>
    <x:row r="6528">
      <x:c r="B6528" s="7" t="str">
        <x:v>AG-06522</x:v>
      </x:c>
      <x:c r="C6528" s="7" t="str">
        <x:v>PEA-C-Y2</x:v>
      </x:c>
      <x:c r="D6528" s="7" t="str">
        <x:v>factory calibration</x:v>
      </x:c>
      <x:c r="E6528" s="7" t="str">
        <x:v>CAL-CH-PEA-C-Y2-07-1</x:v>
      </x:c>
      <x:c r="F6528" s="7" t="str">
        <x:f>'Calibration Records'!M2347</x:f>
        <x:v>OPEN</x:v>
      </x:c>
    </x:row>
    <x:row r="6529">
      <x:c r="B6529" s="7" t="str">
        <x:v>AG-06523</x:v>
      </x:c>
      <x:c r="C6529" s="7" t="str">
        <x:v>PEA-C-Y2</x:v>
      </x:c>
      <x:c r="D6529" s="7" t="str">
        <x:v>factory calibration</x:v>
      </x:c>
      <x:c r="E6529" s="7" t="str">
        <x:v>CAL-CH-PEA-C-Y2-07-2</x:v>
      </x:c>
      <x:c r="F6529" s="7" t="str">
        <x:f>'Calibration Records'!M2348</x:f>
        <x:v>OPEN</x:v>
      </x:c>
    </x:row>
    <x:row r="6530">
      <x:c r="B6530" s="7" t="str">
        <x:v>AG-06524</x:v>
      </x:c>
      <x:c r="C6530" s="7" t="str">
        <x:v>PEA-C-Y2</x:v>
      </x:c>
      <x:c r="D6530" s="7" t="str">
        <x:v>factory calibration</x:v>
      </x:c>
      <x:c r="E6530" s="7" t="str">
        <x:v>CAL-CH-PEA-C-Y2-07-3</x:v>
      </x:c>
      <x:c r="F6530" s="7" t="str">
        <x:f>'Calibration Records'!M2349</x:f>
        <x:v>OPEN</x:v>
      </x:c>
    </x:row>
    <x:row r="6531">
      <x:c r="B6531" s="7" t="str">
        <x:v>AG-06525</x:v>
      </x:c>
      <x:c r="C6531" s="7" t="str">
        <x:v>PEA-C-Y2</x:v>
      </x:c>
      <x:c r="D6531" s="7" t="str">
        <x:v>factory calibration</x:v>
      </x:c>
      <x:c r="E6531" s="7" t="str">
        <x:v>CAL-CH-PEA-C-Y2-07-4</x:v>
      </x:c>
      <x:c r="F6531" s="7" t="str">
        <x:f>'Calibration Records'!M2350</x:f>
        <x:v>OPEN</x:v>
      </x:c>
    </x:row>
    <x:row r="6532">
      <x:c r="B6532" s="7" t="str">
        <x:v>AG-06526</x:v>
      </x:c>
      <x:c r="C6532" s="7" t="str">
        <x:v>PEA-C-Y2</x:v>
      </x:c>
      <x:c r="D6532" s="7" t="str">
        <x:v>factory calibration</x:v>
      </x:c>
      <x:c r="E6532" s="7" t="str">
        <x:v>CAL-CH-PEA-C-Y2-07-5</x:v>
      </x:c>
      <x:c r="F6532" s="7" t="str">
        <x:f>'Calibration Records'!M2351</x:f>
        <x:v>OPEN</x:v>
      </x:c>
    </x:row>
    <x:row r="6533">
      <x:c r="B6533" s="7" t="str">
        <x:v>AG-06527</x:v>
      </x:c>
      <x:c r="C6533" s="7" t="str">
        <x:v>PEA-C-Y2</x:v>
      </x:c>
      <x:c r="D6533" s="7" t="str">
        <x:v>factory calibration</x:v>
      </x:c>
      <x:c r="E6533" s="7" t="str">
        <x:v>CAL-CH-PEA-C-Y2-07-6</x:v>
      </x:c>
      <x:c r="F6533" s="7" t="str">
        <x:f>'Calibration Records'!M2352</x:f>
        <x:v>OPEN</x:v>
      </x:c>
    </x:row>
    <x:row r="6534">
      <x:c r="B6534" s="7" t="str">
        <x:v>AG-06528</x:v>
      </x:c>
      <x:c r="C6534" s="7" t="str">
        <x:v>PEA-C-Y2</x:v>
      </x:c>
      <x:c r="D6534" s="7" t="str">
        <x:v>factory calibration</x:v>
      </x:c>
      <x:c r="E6534" s="7" t="str">
        <x:v>CAL-CH-PEA-C-Y2-08-1</x:v>
      </x:c>
      <x:c r="F6534" s="7" t="str">
        <x:f>'Calibration Records'!M2353</x:f>
        <x:v>OPEN</x:v>
      </x:c>
    </x:row>
    <x:row r="6535">
      <x:c r="B6535" s="7" t="str">
        <x:v>AG-06529</x:v>
      </x:c>
      <x:c r="C6535" s="7" t="str">
        <x:v>PEA-C-Y2</x:v>
      </x:c>
      <x:c r="D6535" s="7" t="str">
        <x:v>factory calibration</x:v>
      </x:c>
      <x:c r="E6535" s="7" t="str">
        <x:v>CAL-CH-PEA-C-Y2-08-2</x:v>
      </x:c>
      <x:c r="F6535" s="7" t="str">
        <x:f>'Calibration Records'!M2354</x:f>
        <x:v>OPEN</x:v>
      </x:c>
    </x:row>
    <x:row r="6536">
      <x:c r="B6536" s="7" t="str">
        <x:v>AG-06530</x:v>
      </x:c>
      <x:c r="C6536" s="7" t="str">
        <x:v>PEA-C-Y2</x:v>
      </x:c>
      <x:c r="D6536" s="7" t="str">
        <x:v>factory calibration</x:v>
      </x:c>
      <x:c r="E6536" s="7" t="str">
        <x:v>CAL-CH-PEA-C-Y2-08-3</x:v>
      </x:c>
      <x:c r="F6536" s="7" t="str">
        <x:f>'Calibration Records'!M2355</x:f>
        <x:v>OPEN</x:v>
      </x:c>
    </x:row>
    <x:row r="6537">
      <x:c r="B6537" s="7" t="str">
        <x:v>AG-06531</x:v>
      </x:c>
      <x:c r="C6537" s="7" t="str">
        <x:v>PEA-C-Y2</x:v>
      </x:c>
      <x:c r="D6537" s="7" t="str">
        <x:v>factory calibration</x:v>
      </x:c>
      <x:c r="E6537" s="7" t="str">
        <x:v>CAL-CH-PEA-C-Y2-08-4</x:v>
      </x:c>
      <x:c r="F6537" s="7" t="str">
        <x:f>'Calibration Records'!M2356</x:f>
        <x:v>OPEN</x:v>
      </x:c>
    </x:row>
    <x:row r="6538">
      <x:c r="B6538" s="7" t="str">
        <x:v>AG-06532</x:v>
      </x:c>
      <x:c r="C6538" s="7" t="str">
        <x:v>PEA-C-Y2</x:v>
      </x:c>
      <x:c r="D6538" s="7" t="str">
        <x:v>factory calibration</x:v>
      </x:c>
      <x:c r="E6538" s="7" t="str">
        <x:v>CAL-CH-PEA-C-Y2-08-5</x:v>
      </x:c>
      <x:c r="F6538" s="7" t="str">
        <x:f>'Calibration Records'!M2357</x:f>
        <x:v>OPEN</x:v>
      </x:c>
    </x:row>
    <x:row r="6539">
      <x:c r="B6539" s="7" t="str">
        <x:v>AG-06533</x:v>
      </x:c>
      <x:c r="C6539" s="7" t="str">
        <x:v>PEA-C-Y2</x:v>
      </x:c>
      <x:c r="D6539" s="7" t="str">
        <x:v>factory calibration</x:v>
      </x:c>
      <x:c r="E6539" s="7" t="str">
        <x:v>CAL-CH-PEA-C-Y2-08-6</x:v>
      </x:c>
      <x:c r="F6539" s="7" t="str">
        <x:f>'Calibration Records'!M2358</x:f>
        <x:v>OPEN</x:v>
      </x:c>
    </x:row>
    <x:row r="6540">
      <x:c r="B6540" s="7" t="str">
        <x:v>AG-06534</x:v>
      </x:c>
      <x:c r="C6540" s="7" t="str">
        <x:v>PEA-C-Y2</x:v>
      </x:c>
      <x:c r="D6540" s="7" t="str">
        <x:v>factory calibration</x:v>
      </x:c>
      <x:c r="E6540" s="7" t="str">
        <x:v>CAL-CH-PEA-C-Y2-09-1</x:v>
      </x:c>
      <x:c r="F6540" s="7" t="str">
        <x:f>'Calibration Records'!M2359</x:f>
        <x:v>OPEN</x:v>
      </x:c>
    </x:row>
    <x:row r="6541">
      <x:c r="B6541" s="7" t="str">
        <x:v>AG-06535</x:v>
      </x:c>
      <x:c r="C6541" s="7" t="str">
        <x:v>PEA-C-Y2</x:v>
      </x:c>
      <x:c r="D6541" s="7" t="str">
        <x:v>factory calibration</x:v>
      </x:c>
      <x:c r="E6541" s="7" t="str">
        <x:v>CAL-CH-PEA-C-Y2-09-2</x:v>
      </x:c>
      <x:c r="F6541" s="7" t="str">
        <x:f>'Calibration Records'!M2360</x:f>
        <x:v>OPEN</x:v>
      </x:c>
    </x:row>
    <x:row r="6542">
      <x:c r="B6542" s="7" t="str">
        <x:v>AG-06536</x:v>
      </x:c>
      <x:c r="C6542" s="7" t="str">
        <x:v>PEA-C-Y2</x:v>
      </x:c>
      <x:c r="D6542" s="7" t="str">
        <x:v>factory calibration</x:v>
      </x:c>
      <x:c r="E6542" s="7" t="str">
        <x:v>CAL-CH-PEA-C-Y2-09-3</x:v>
      </x:c>
      <x:c r="F6542" s="7" t="str">
        <x:f>'Calibration Records'!M2361</x:f>
        <x:v>OPEN</x:v>
      </x:c>
    </x:row>
    <x:row r="6543">
      <x:c r="B6543" s="7" t="str">
        <x:v>AG-06537</x:v>
      </x:c>
      <x:c r="C6543" s="7" t="str">
        <x:v>PEA-C-Y2</x:v>
      </x:c>
      <x:c r="D6543" s="7" t="str">
        <x:v>factory calibration</x:v>
      </x:c>
      <x:c r="E6543" s="7" t="str">
        <x:v>CAL-CH-PEA-C-Y2-09-4</x:v>
      </x:c>
      <x:c r="F6543" s="7" t="str">
        <x:f>'Calibration Records'!M2362</x:f>
        <x:v>OPEN</x:v>
      </x:c>
    </x:row>
    <x:row r="6544">
      <x:c r="B6544" s="7" t="str">
        <x:v>AG-06538</x:v>
      </x:c>
      <x:c r="C6544" s="7" t="str">
        <x:v>PEA-C-Y2</x:v>
      </x:c>
      <x:c r="D6544" s="7" t="str">
        <x:v>factory calibration</x:v>
      </x:c>
      <x:c r="E6544" s="7" t="str">
        <x:v>CAL-CH-PEA-C-Y2-09-5</x:v>
      </x:c>
      <x:c r="F6544" s="7" t="str">
        <x:f>'Calibration Records'!M2363</x:f>
        <x:v>OPEN</x:v>
      </x:c>
    </x:row>
    <x:row r="6545">
      <x:c r="B6545" s="7" t="str">
        <x:v>AG-06539</x:v>
      </x:c>
      <x:c r="C6545" s="7" t="str">
        <x:v>PEA-C-Y2</x:v>
      </x:c>
      <x:c r="D6545" s="7" t="str">
        <x:v>factory calibration</x:v>
      </x:c>
      <x:c r="E6545" s="7" t="str">
        <x:v>CAL-CH-PEA-C-Y2-09-6</x:v>
      </x:c>
      <x:c r="F6545" s="7" t="str">
        <x:f>'Calibration Records'!M2364</x:f>
        <x:v>OPEN</x:v>
      </x:c>
    </x:row>
    <x:row r="6546">
      <x:c r="B6546" s="7" t="str">
        <x:v>AG-06540</x:v>
      </x:c>
      <x:c r="C6546" s="7" t="str">
        <x:v>PEA-C-Y2</x:v>
      </x:c>
      <x:c r="D6546" s="7" t="str">
        <x:v>factory calibration</x:v>
      </x:c>
      <x:c r="E6546" s="7" t="str">
        <x:v>CAL-CH-PEA-C-Y2-10-1</x:v>
      </x:c>
      <x:c r="F6546" s="7" t="str">
        <x:f>'Calibration Records'!M2365</x:f>
        <x:v>OPEN</x:v>
      </x:c>
    </x:row>
    <x:row r="6547">
      <x:c r="B6547" s="7" t="str">
        <x:v>AG-06541</x:v>
      </x:c>
      <x:c r="C6547" s="7" t="str">
        <x:v>PEA-C-Y2</x:v>
      </x:c>
      <x:c r="D6547" s="7" t="str">
        <x:v>factory calibration</x:v>
      </x:c>
      <x:c r="E6547" s="7" t="str">
        <x:v>CAL-CH-PEA-C-Y2-10-2</x:v>
      </x:c>
      <x:c r="F6547" s="7" t="str">
        <x:f>'Calibration Records'!M2366</x:f>
        <x:v>OPEN</x:v>
      </x:c>
    </x:row>
    <x:row r="6548">
      <x:c r="B6548" s="7" t="str">
        <x:v>AG-06542</x:v>
      </x:c>
      <x:c r="C6548" s="7" t="str">
        <x:v>PEA-C-Y2</x:v>
      </x:c>
      <x:c r="D6548" s="7" t="str">
        <x:v>factory calibration</x:v>
      </x:c>
      <x:c r="E6548" s="7" t="str">
        <x:v>CAL-CH-PEA-C-Y2-10-3</x:v>
      </x:c>
      <x:c r="F6548" s="7" t="str">
        <x:f>'Calibration Records'!M2367</x:f>
        <x:v>OPEN</x:v>
      </x:c>
    </x:row>
    <x:row r="6549">
      <x:c r="B6549" s="7" t="str">
        <x:v>AG-06543</x:v>
      </x:c>
      <x:c r="C6549" s="7" t="str">
        <x:v>PEA-C-Y2</x:v>
      </x:c>
      <x:c r="D6549" s="7" t="str">
        <x:v>factory calibration</x:v>
      </x:c>
      <x:c r="E6549" s="7" t="str">
        <x:v>CAL-CH-PEA-C-Y2-10-4</x:v>
      </x:c>
      <x:c r="F6549" s="7" t="str">
        <x:f>'Calibration Records'!M2368</x:f>
        <x:v>OPEN</x:v>
      </x:c>
    </x:row>
    <x:row r="6550">
      <x:c r="B6550" s="7" t="str">
        <x:v>AG-06544</x:v>
      </x:c>
      <x:c r="C6550" s="7" t="str">
        <x:v>PEA-C-Y2</x:v>
      </x:c>
      <x:c r="D6550" s="7" t="str">
        <x:v>factory calibration</x:v>
      </x:c>
      <x:c r="E6550" s="7" t="str">
        <x:v>CAL-CH-PEA-C-Y2-10-5</x:v>
      </x:c>
      <x:c r="F6550" s="7" t="str">
        <x:f>'Calibration Records'!M2369</x:f>
        <x:v>OPEN</x:v>
      </x:c>
    </x:row>
    <x:row r="6551">
      <x:c r="B6551" s="7" t="str">
        <x:v>AG-06545</x:v>
      </x:c>
      <x:c r="C6551" s="7" t="str">
        <x:v>PEA-C-Y2</x:v>
      </x:c>
      <x:c r="D6551" s="7" t="str">
        <x:v>factory calibration</x:v>
      </x:c>
      <x:c r="E6551" s="7" t="str">
        <x:v>CAL-CH-PEA-C-Y2-10-6</x:v>
      </x:c>
      <x:c r="F6551" s="7" t="str">
        <x:f>'Calibration Records'!M2370</x:f>
        <x:v>OPEN</x:v>
      </x:c>
    </x:row>
    <x:row r="6552">
      <x:c r="B6552" s="7" t="str">
        <x:v>AG-06546</x:v>
      </x:c>
      <x:c r="C6552" s="7" t="str">
        <x:v>PEA-C-Y2</x:v>
      </x:c>
      <x:c r="D6552" s="7" t="str">
        <x:v>factory calibration</x:v>
      </x:c>
      <x:c r="E6552" s="7" t="str">
        <x:v>CAL-CH-PEA-C-Y2-11-1</x:v>
      </x:c>
      <x:c r="F6552" s="7" t="str">
        <x:f>'Calibration Records'!M2371</x:f>
        <x:v>OPEN</x:v>
      </x:c>
    </x:row>
    <x:row r="6553">
      <x:c r="B6553" s="7" t="str">
        <x:v>AG-06547</x:v>
      </x:c>
      <x:c r="C6553" s="7" t="str">
        <x:v>PEA-C-Y2</x:v>
      </x:c>
      <x:c r="D6553" s="7" t="str">
        <x:v>factory calibration</x:v>
      </x:c>
      <x:c r="E6553" s="7" t="str">
        <x:v>CAL-CH-PEA-C-Y2-11-2</x:v>
      </x:c>
      <x:c r="F6553" s="7" t="str">
        <x:f>'Calibration Records'!M2372</x:f>
        <x:v>OPEN</x:v>
      </x:c>
    </x:row>
    <x:row r="6554">
      <x:c r="B6554" s="7" t="str">
        <x:v>AG-06548</x:v>
      </x:c>
      <x:c r="C6554" s="7" t="str">
        <x:v>PEA-C-Y2</x:v>
      </x:c>
      <x:c r="D6554" s="7" t="str">
        <x:v>factory calibration</x:v>
      </x:c>
      <x:c r="E6554" s="7" t="str">
        <x:v>CAL-CH-PEA-C-Y2-11-3</x:v>
      </x:c>
      <x:c r="F6554" s="7" t="str">
        <x:f>'Calibration Records'!M2373</x:f>
        <x:v>OPEN</x:v>
      </x:c>
    </x:row>
    <x:row r="6555">
      <x:c r="B6555" s="7" t="str">
        <x:v>AG-06549</x:v>
      </x:c>
      <x:c r="C6555" s="7" t="str">
        <x:v>PEA-C-Y2</x:v>
      </x:c>
      <x:c r="D6555" s="7" t="str">
        <x:v>factory calibration</x:v>
      </x:c>
      <x:c r="E6555" s="7" t="str">
        <x:v>CAL-CH-PEA-C-Y2-11-4</x:v>
      </x:c>
      <x:c r="F6555" s="7" t="str">
        <x:f>'Calibration Records'!M2374</x:f>
        <x:v>OPEN</x:v>
      </x:c>
    </x:row>
    <x:row r="6556">
      <x:c r="B6556" s="7" t="str">
        <x:v>AG-06550</x:v>
      </x:c>
      <x:c r="C6556" s="7" t="str">
        <x:v>PEA-C-Y2</x:v>
      </x:c>
      <x:c r="D6556" s="7" t="str">
        <x:v>factory calibration</x:v>
      </x:c>
      <x:c r="E6556" s="7" t="str">
        <x:v>CAL-CH-PEA-C-Y2-11-5</x:v>
      </x:c>
      <x:c r="F6556" s="7" t="str">
        <x:f>'Calibration Records'!M2375</x:f>
        <x:v>OPEN</x:v>
      </x:c>
    </x:row>
    <x:row r="6557">
      <x:c r="B6557" s="7" t="str">
        <x:v>AG-06551</x:v>
      </x:c>
      <x:c r="C6557" s="7" t="str">
        <x:v>PEA-C-Y2</x:v>
      </x:c>
      <x:c r="D6557" s="7" t="str">
        <x:v>factory calibration</x:v>
      </x:c>
      <x:c r="E6557" s="7" t="str">
        <x:v>CAL-CH-PEA-C-Y2-11-6</x:v>
      </x:c>
      <x:c r="F6557" s="7" t="str">
        <x:f>'Calibration Records'!M2376</x:f>
        <x:v>OPEN</x:v>
      </x:c>
    </x:row>
    <x:row r="6558">
      <x:c r="B6558" s="7" t="str">
        <x:v>AG-06552</x:v>
      </x:c>
      <x:c r="C6558" s="7" t="str">
        <x:v>PEA-C-Y2</x:v>
      </x:c>
      <x:c r="D6558" s="7" t="str">
        <x:v>factory calibration</x:v>
      </x:c>
      <x:c r="E6558" s="7" t="str">
        <x:v>CAL-CH-PEA-C-Y2-12-1</x:v>
      </x:c>
      <x:c r="F6558" s="7" t="str">
        <x:f>'Calibration Records'!M2377</x:f>
        <x:v>OPEN</x:v>
      </x:c>
    </x:row>
    <x:row r="6559">
      <x:c r="B6559" s="7" t="str">
        <x:v>AG-06553</x:v>
      </x:c>
      <x:c r="C6559" s="7" t="str">
        <x:v>PEA-C-Y2</x:v>
      </x:c>
      <x:c r="D6559" s="7" t="str">
        <x:v>factory calibration</x:v>
      </x:c>
      <x:c r="E6559" s="7" t="str">
        <x:v>CAL-CH-PEA-C-Y2-12-2</x:v>
      </x:c>
      <x:c r="F6559" s="7" t="str">
        <x:f>'Calibration Records'!M2378</x:f>
        <x:v>OPEN</x:v>
      </x:c>
    </x:row>
    <x:row r="6560">
      <x:c r="B6560" s="7" t="str">
        <x:v>AG-06554</x:v>
      </x:c>
      <x:c r="C6560" s="7" t="str">
        <x:v>PEA-C-Y2</x:v>
      </x:c>
      <x:c r="D6560" s="7" t="str">
        <x:v>factory calibration</x:v>
      </x:c>
      <x:c r="E6560" s="7" t="str">
        <x:v>CAL-CH-PEA-C-Y2-12-3</x:v>
      </x:c>
      <x:c r="F6560" s="7" t="str">
        <x:f>'Calibration Records'!M2379</x:f>
        <x:v>OPEN</x:v>
      </x:c>
    </x:row>
    <x:row r="6561">
      <x:c r="B6561" s="7" t="str">
        <x:v>AG-06555</x:v>
      </x:c>
      <x:c r="C6561" s="7" t="str">
        <x:v>PEA-C-Y2</x:v>
      </x:c>
      <x:c r="D6561" s="7" t="str">
        <x:v>factory calibration</x:v>
      </x:c>
      <x:c r="E6561" s="7" t="str">
        <x:v>CAL-CH-PEA-C-Y2-12-4</x:v>
      </x:c>
      <x:c r="F6561" s="7" t="str">
        <x:f>'Calibration Records'!M2380</x:f>
        <x:v>OPEN</x:v>
      </x:c>
    </x:row>
    <x:row r="6562">
      <x:c r="B6562" s="7" t="str">
        <x:v>AG-06556</x:v>
      </x:c>
      <x:c r="C6562" s="7" t="str">
        <x:v>PEA-C-Y2</x:v>
      </x:c>
      <x:c r="D6562" s="7" t="str">
        <x:v>factory calibration</x:v>
      </x:c>
      <x:c r="E6562" s="7" t="str">
        <x:v>CAL-CH-PEA-C-Y2-12-5</x:v>
      </x:c>
      <x:c r="F6562" s="7" t="str">
        <x:f>'Calibration Records'!M2381</x:f>
        <x:v>OPEN</x:v>
      </x:c>
    </x:row>
    <x:row r="6563">
      <x:c r="B6563" s="7" t="str">
        <x:v>AG-06557</x:v>
      </x:c>
      <x:c r="C6563" s="7" t="str">
        <x:v>PEA-C-Y2</x:v>
      </x:c>
      <x:c r="D6563" s="7" t="str">
        <x:v>factory calibration</x:v>
      </x:c>
      <x:c r="E6563" s="7" t="str">
        <x:v>CAL-CH-PEA-C-Y2-12-6</x:v>
      </x:c>
      <x:c r="F6563" s="7" t="str">
        <x:f>'Calibration Records'!M2382</x:f>
        <x:v>OPEN</x:v>
      </x:c>
    </x:row>
    <x:row r="6564">
      <x:c r="B6564" s="7" t="str">
        <x:v>AG-06558</x:v>
      </x:c>
      <x:c r="C6564" s="7" t="str">
        <x:v>PEA-C-Y2</x:v>
      </x:c>
      <x:c r="D6564" s="7" t="str">
        <x:v>factory calibration</x:v>
      </x:c>
      <x:c r="E6564" s="7" t="str">
        <x:v>CAL-CH-PEA-C-Y2-13-1</x:v>
      </x:c>
      <x:c r="F6564" s="7" t="str">
        <x:f>'Calibration Records'!M2383</x:f>
        <x:v>OPEN</x:v>
      </x:c>
    </x:row>
    <x:row r="6565">
      <x:c r="B6565" s="7" t="str">
        <x:v>AG-06559</x:v>
      </x:c>
      <x:c r="C6565" s="7" t="str">
        <x:v>PEA-C-Y2</x:v>
      </x:c>
      <x:c r="D6565" s="7" t="str">
        <x:v>factory calibration</x:v>
      </x:c>
      <x:c r="E6565" s="7" t="str">
        <x:v>CAL-CH-PEA-C-Y2-13-2</x:v>
      </x:c>
      <x:c r="F6565" s="7" t="str">
        <x:f>'Calibration Records'!M2384</x:f>
        <x:v>OPEN</x:v>
      </x:c>
    </x:row>
    <x:row r="6566">
      <x:c r="B6566" s="7" t="str">
        <x:v>AG-06560</x:v>
      </x:c>
      <x:c r="C6566" s="7" t="str">
        <x:v>PEA-C-Y2</x:v>
      </x:c>
      <x:c r="D6566" s="7" t="str">
        <x:v>factory calibration</x:v>
      </x:c>
      <x:c r="E6566" s="7" t="str">
        <x:v>CAL-CH-PEA-C-Y2-13-3</x:v>
      </x:c>
      <x:c r="F6566" s="7" t="str">
        <x:f>'Calibration Records'!M2385</x:f>
        <x:v>OPEN</x:v>
      </x:c>
    </x:row>
    <x:row r="6567">
      <x:c r="B6567" s="7" t="str">
        <x:v>AG-06561</x:v>
      </x:c>
      <x:c r="C6567" s="7" t="str">
        <x:v>PEA-C-Y2</x:v>
      </x:c>
      <x:c r="D6567" s="7" t="str">
        <x:v>factory calibration</x:v>
      </x:c>
      <x:c r="E6567" s="7" t="str">
        <x:v>CAL-CH-PEA-C-Y2-13-4</x:v>
      </x:c>
      <x:c r="F6567" s="7" t="str">
        <x:f>'Calibration Records'!M2386</x:f>
        <x:v>OPEN</x:v>
      </x:c>
    </x:row>
    <x:row r="6568">
      <x:c r="B6568" s="7" t="str">
        <x:v>AG-06562</x:v>
      </x:c>
      <x:c r="C6568" s="7" t="str">
        <x:v>PEA-C-Y2</x:v>
      </x:c>
      <x:c r="D6568" s="7" t="str">
        <x:v>factory calibration</x:v>
      </x:c>
      <x:c r="E6568" s="7" t="str">
        <x:v>CAL-CH-PEA-C-Y2-13-5</x:v>
      </x:c>
      <x:c r="F6568" s="7" t="str">
        <x:f>'Calibration Records'!M2387</x:f>
        <x:v>OPEN</x:v>
      </x:c>
    </x:row>
    <x:row r="6569">
      <x:c r="B6569" s="7" t="str">
        <x:v>AG-06563</x:v>
      </x:c>
      <x:c r="C6569" s="7" t="str">
        <x:v>PEA-C-Y2</x:v>
      </x:c>
      <x:c r="D6569" s="7" t="str">
        <x:v>factory calibration</x:v>
      </x:c>
      <x:c r="E6569" s="7" t="str">
        <x:v>CAL-CH-PEA-C-Y2-13-6</x:v>
      </x:c>
      <x:c r="F6569" s="7" t="str">
        <x:f>'Calibration Records'!M2388</x:f>
        <x:v>OPEN</x:v>
      </x:c>
    </x:row>
    <x:row r="6570">
      <x:c r="B6570" s="7" t="str">
        <x:v>AG-06564</x:v>
      </x:c>
      <x:c r="C6570" s="7" t="str">
        <x:v>PEA-C-Y2</x:v>
      </x:c>
      <x:c r="D6570" s="7" t="str">
        <x:v>factory calibration</x:v>
      </x:c>
      <x:c r="E6570" s="7" t="str">
        <x:v>CAL-CH-PEA-C-Y2-14-1</x:v>
      </x:c>
      <x:c r="F6570" s="7" t="str">
        <x:f>'Calibration Records'!M2389</x:f>
        <x:v>OPEN</x:v>
      </x:c>
    </x:row>
    <x:row r="6571">
      <x:c r="B6571" s="7" t="str">
        <x:v>AG-06565</x:v>
      </x:c>
      <x:c r="C6571" s="7" t="str">
        <x:v>PEA-C-Y2</x:v>
      </x:c>
      <x:c r="D6571" s="7" t="str">
        <x:v>factory calibration</x:v>
      </x:c>
      <x:c r="E6571" s="7" t="str">
        <x:v>CAL-CH-PEA-C-Y2-14-2</x:v>
      </x:c>
      <x:c r="F6571" s="7" t="str">
        <x:f>'Calibration Records'!M2390</x:f>
        <x:v>OPEN</x:v>
      </x:c>
    </x:row>
    <x:row r="6572">
      <x:c r="B6572" s="7" t="str">
        <x:v>AG-06566</x:v>
      </x:c>
      <x:c r="C6572" s="7" t="str">
        <x:v>PEA-C-Y2</x:v>
      </x:c>
      <x:c r="D6572" s="7" t="str">
        <x:v>factory calibration</x:v>
      </x:c>
      <x:c r="E6572" s="7" t="str">
        <x:v>CAL-CH-PEA-C-Y2-14-3</x:v>
      </x:c>
      <x:c r="F6572" s="7" t="str">
        <x:f>'Calibration Records'!M2391</x:f>
        <x:v>OPEN</x:v>
      </x:c>
    </x:row>
    <x:row r="6573">
      <x:c r="B6573" s="7" t="str">
        <x:v>AG-06567</x:v>
      </x:c>
      <x:c r="C6573" s="7" t="str">
        <x:v>PEA-C-Y2</x:v>
      </x:c>
      <x:c r="D6573" s="7" t="str">
        <x:v>factory calibration</x:v>
      </x:c>
      <x:c r="E6573" s="7" t="str">
        <x:v>CAL-CH-PEA-C-Y2-14-4</x:v>
      </x:c>
      <x:c r="F6573" s="7" t="str">
        <x:f>'Calibration Records'!M2392</x:f>
        <x:v>OPEN</x:v>
      </x:c>
    </x:row>
    <x:row r="6574">
      <x:c r="B6574" s="7" t="str">
        <x:v>AG-06568</x:v>
      </x:c>
      <x:c r="C6574" s="7" t="str">
        <x:v>PEA-C-Y2</x:v>
      </x:c>
      <x:c r="D6574" s="7" t="str">
        <x:v>factory calibration</x:v>
      </x:c>
      <x:c r="E6574" s="7" t="str">
        <x:v>CAL-CH-PEA-C-Y2-14-5</x:v>
      </x:c>
      <x:c r="F6574" s="7" t="str">
        <x:f>'Calibration Records'!M2393</x:f>
        <x:v>OPEN</x:v>
      </x:c>
    </x:row>
    <x:row r="6575">
      <x:c r="B6575" s="7" t="str">
        <x:v>AG-06569</x:v>
      </x:c>
      <x:c r="C6575" s="7" t="str">
        <x:v>PEA-C-Y2</x:v>
      </x:c>
      <x:c r="D6575" s="7" t="str">
        <x:v>factory calibration</x:v>
      </x:c>
      <x:c r="E6575" s="7" t="str">
        <x:v>CAL-CH-PEA-C-Y2-14-6</x:v>
      </x:c>
      <x:c r="F6575" s="7" t="str">
        <x:f>'Calibration Records'!M2394</x:f>
        <x:v>OPEN</x:v>
      </x:c>
    </x:row>
    <x:row r="6576">
      <x:c r="B6576" s="7" t="str">
        <x:v>AG-06570</x:v>
      </x:c>
      <x:c r="C6576" s="7" t="str">
        <x:v>PEA-C-Y2</x:v>
      </x:c>
      <x:c r="D6576" s="7" t="str">
        <x:v>factory calibration</x:v>
      </x:c>
      <x:c r="E6576" s="7" t="str">
        <x:v>CAL-CH-PEA-C-Y2-15-1</x:v>
      </x:c>
      <x:c r="F6576" s="7" t="str">
        <x:f>'Calibration Records'!M2395</x:f>
        <x:v>OPEN</x:v>
      </x:c>
    </x:row>
    <x:row r="6577">
      <x:c r="B6577" s="7" t="str">
        <x:v>AG-06571</x:v>
      </x:c>
      <x:c r="C6577" s="7" t="str">
        <x:v>PEA-C-Y2</x:v>
      </x:c>
      <x:c r="D6577" s="7" t="str">
        <x:v>factory calibration</x:v>
      </x:c>
      <x:c r="E6577" s="7" t="str">
        <x:v>CAL-CH-PEA-C-Y2-15-2</x:v>
      </x:c>
      <x:c r="F6577" s="7" t="str">
        <x:f>'Calibration Records'!M2396</x:f>
        <x:v>OPEN</x:v>
      </x:c>
    </x:row>
    <x:row r="6578">
      <x:c r="B6578" s="7" t="str">
        <x:v>AG-06572</x:v>
      </x:c>
      <x:c r="C6578" s="7" t="str">
        <x:v>PEA-C-Y2</x:v>
      </x:c>
      <x:c r="D6578" s="7" t="str">
        <x:v>factory calibration</x:v>
      </x:c>
      <x:c r="E6578" s="7" t="str">
        <x:v>CAL-CH-PEA-C-Y2-15-3</x:v>
      </x:c>
      <x:c r="F6578" s="7" t="str">
        <x:f>'Calibration Records'!M2397</x:f>
        <x:v>OPEN</x:v>
      </x:c>
    </x:row>
    <x:row r="6579">
      <x:c r="B6579" s="7" t="str">
        <x:v>AG-06573</x:v>
      </x:c>
      <x:c r="C6579" s="7" t="str">
        <x:v>PEA-C-Y2</x:v>
      </x:c>
      <x:c r="D6579" s="7" t="str">
        <x:v>factory calibration</x:v>
      </x:c>
      <x:c r="E6579" s="7" t="str">
        <x:v>CAL-CH-PEA-C-Y2-15-4</x:v>
      </x:c>
      <x:c r="F6579" s="7" t="str">
        <x:f>'Calibration Records'!M2398</x:f>
        <x:v>OPEN</x:v>
      </x:c>
    </x:row>
    <x:row r="6580">
      <x:c r="B6580" s="7" t="str">
        <x:v>AG-06574</x:v>
      </x:c>
      <x:c r="C6580" s="7" t="str">
        <x:v>PEA-C-Y2</x:v>
      </x:c>
      <x:c r="D6580" s="7" t="str">
        <x:v>factory calibration</x:v>
      </x:c>
      <x:c r="E6580" s="7" t="str">
        <x:v>CAL-CH-PEA-C-Y2-15-5</x:v>
      </x:c>
      <x:c r="F6580" s="7" t="str">
        <x:f>'Calibration Records'!M2399</x:f>
        <x:v>OPEN</x:v>
      </x:c>
    </x:row>
    <x:row r="6581">
      <x:c r="B6581" s="7" t="str">
        <x:v>AG-06575</x:v>
      </x:c>
      <x:c r="C6581" s="7" t="str">
        <x:v>PEA-C-Y2</x:v>
      </x:c>
      <x:c r="D6581" s="7" t="str">
        <x:v>factory calibration</x:v>
      </x:c>
      <x:c r="E6581" s="7" t="str">
        <x:v>CAL-CH-PEA-C-Y2-15-6</x:v>
      </x:c>
      <x:c r="F6581" s="7" t="str">
        <x:f>'Calibration Records'!M2400</x:f>
        <x:v>OPEN</x:v>
      </x:c>
    </x:row>
    <x:row r="6582">
      <x:c r="B6582" s="7" t="str">
        <x:v>AG-06576</x:v>
      </x:c>
      <x:c r="C6582" s="7" t="str">
        <x:v>PEA-C-Y2</x:v>
      </x:c>
      <x:c r="D6582" s="7" t="str">
        <x:v>factory calibration</x:v>
      </x:c>
      <x:c r="E6582" s="7" t="str">
        <x:v>CAL-CH-PEA-C-Y2-16-1</x:v>
      </x:c>
      <x:c r="F6582" s="7" t="str">
        <x:f>'Calibration Records'!M2401</x:f>
        <x:v>OPEN</x:v>
      </x:c>
    </x:row>
    <x:row r="6583">
      <x:c r="B6583" s="7" t="str">
        <x:v>AG-06577</x:v>
      </x:c>
      <x:c r="C6583" s="7" t="str">
        <x:v>PEA-C-Y2</x:v>
      </x:c>
      <x:c r="D6583" s="7" t="str">
        <x:v>factory calibration</x:v>
      </x:c>
      <x:c r="E6583" s="7" t="str">
        <x:v>CAL-CH-PEA-C-Y2-16-2</x:v>
      </x:c>
      <x:c r="F6583" s="7" t="str">
        <x:f>'Calibration Records'!M2402</x:f>
        <x:v>OPEN</x:v>
      </x:c>
    </x:row>
    <x:row r="6584">
      <x:c r="B6584" s="7" t="str">
        <x:v>AG-06578</x:v>
      </x:c>
      <x:c r="C6584" s="7" t="str">
        <x:v>PEA-C-Y2</x:v>
      </x:c>
      <x:c r="D6584" s="7" t="str">
        <x:v>factory calibration</x:v>
      </x:c>
      <x:c r="E6584" s="7" t="str">
        <x:v>CAL-CH-PEA-C-Y2-16-3</x:v>
      </x:c>
      <x:c r="F6584" s="7" t="str">
        <x:f>'Calibration Records'!M2403</x:f>
        <x:v>OPEN</x:v>
      </x:c>
    </x:row>
    <x:row r="6585">
      <x:c r="B6585" s="7" t="str">
        <x:v>AG-06579</x:v>
      </x:c>
      <x:c r="C6585" s="7" t="str">
        <x:v>PEA-C-Y2</x:v>
      </x:c>
      <x:c r="D6585" s="7" t="str">
        <x:v>factory calibration</x:v>
      </x:c>
      <x:c r="E6585" s="7" t="str">
        <x:v>CAL-CH-PEA-C-Y2-16-4</x:v>
      </x:c>
      <x:c r="F6585" s="7" t="str">
        <x:f>'Calibration Records'!M2404</x:f>
        <x:v>OPEN</x:v>
      </x:c>
    </x:row>
    <x:row r="6586">
      <x:c r="B6586" s="7" t="str">
        <x:v>AG-06580</x:v>
      </x:c>
      <x:c r="C6586" s="7" t="str">
        <x:v>PEA-C-Y2</x:v>
      </x:c>
      <x:c r="D6586" s="7" t="str">
        <x:v>factory calibration</x:v>
      </x:c>
      <x:c r="E6586" s="7" t="str">
        <x:v>CAL-CH-PEA-C-Y2-16-5</x:v>
      </x:c>
      <x:c r="F6586" s="7" t="str">
        <x:f>'Calibration Records'!M2405</x:f>
        <x:v>OPEN</x:v>
      </x:c>
    </x:row>
    <x:row r="6587">
      <x:c r="B6587" s="7" t="str">
        <x:v>AG-06581</x:v>
      </x:c>
      <x:c r="C6587" s="7" t="str">
        <x:v>PEA-C-Y2</x:v>
      </x:c>
      <x:c r="D6587" s="7" t="str">
        <x:v>factory calibration</x:v>
      </x:c>
      <x:c r="E6587" s="7" t="str">
        <x:v>CAL-CH-PEA-C-Y2-16-6</x:v>
      </x:c>
      <x:c r="F6587" s="7" t="str">
        <x:f>'Calibration Records'!M2406</x:f>
        <x:v>OPEN</x:v>
      </x:c>
    </x:row>
    <x:row r="6588">
      <x:c r="B6588" s="7" t="str">
        <x:v>AG-06582</x:v>
      </x:c>
      <x:c r="C6588" s="7" t="str">
        <x:v>PEA-C-Y2</x:v>
      </x:c>
      <x:c r="D6588" s="7" t="str">
        <x:v>factory calibration</x:v>
      </x:c>
      <x:c r="E6588" s="7" t="str">
        <x:v>CAL-CH-PEA-C-Y2-17-1</x:v>
      </x:c>
      <x:c r="F6588" s="7" t="str">
        <x:f>'Calibration Records'!M2407</x:f>
        <x:v>OPEN</x:v>
      </x:c>
    </x:row>
    <x:row r="6589">
      <x:c r="B6589" s="7" t="str">
        <x:v>AG-06583</x:v>
      </x:c>
      <x:c r="C6589" s="7" t="str">
        <x:v>PEA-C-Y2</x:v>
      </x:c>
      <x:c r="D6589" s="7" t="str">
        <x:v>factory calibration</x:v>
      </x:c>
      <x:c r="E6589" s="7" t="str">
        <x:v>CAL-CH-PEA-C-Y2-17-2</x:v>
      </x:c>
      <x:c r="F6589" s="7" t="str">
        <x:f>'Calibration Records'!M2408</x:f>
        <x:v>OPEN</x:v>
      </x:c>
    </x:row>
    <x:row r="6590">
      <x:c r="B6590" s="7" t="str">
        <x:v>AG-06584</x:v>
      </x:c>
      <x:c r="C6590" s="7" t="str">
        <x:v>PEA-C-Y2</x:v>
      </x:c>
      <x:c r="D6590" s="7" t="str">
        <x:v>factory calibration</x:v>
      </x:c>
      <x:c r="E6590" s="7" t="str">
        <x:v>CAL-CH-PEA-C-Y2-17-3</x:v>
      </x:c>
      <x:c r="F6590" s="7" t="str">
        <x:f>'Calibration Records'!M2409</x:f>
        <x:v>OPEN</x:v>
      </x:c>
    </x:row>
    <x:row r="6591">
      <x:c r="B6591" s="7" t="str">
        <x:v>AG-06585</x:v>
      </x:c>
      <x:c r="C6591" s="7" t="str">
        <x:v>PEA-C-Y2</x:v>
      </x:c>
      <x:c r="D6591" s="7" t="str">
        <x:v>factory calibration</x:v>
      </x:c>
      <x:c r="E6591" s="7" t="str">
        <x:v>CAL-CH-PEA-C-Y2-17-4</x:v>
      </x:c>
      <x:c r="F6591" s="7" t="str">
        <x:f>'Calibration Records'!M2410</x:f>
        <x:v>OPEN</x:v>
      </x:c>
    </x:row>
    <x:row r="6592">
      <x:c r="B6592" s="7" t="str">
        <x:v>AG-06586</x:v>
      </x:c>
      <x:c r="C6592" s="7" t="str">
        <x:v>PEA-C-Y2</x:v>
      </x:c>
      <x:c r="D6592" s="7" t="str">
        <x:v>factory calibration</x:v>
      </x:c>
      <x:c r="E6592" s="7" t="str">
        <x:v>CAL-CH-PEA-C-Y2-17-5</x:v>
      </x:c>
      <x:c r="F6592" s="7" t="str">
        <x:f>'Calibration Records'!M2411</x:f>
        <x:v>OPEN</x:v>
      </x:c>
    </x:row>
    <x:row r="6593">
      <x:c r="B6593" s="7" t="str">
        <x:v>AG-06587</x:v>
      </x:c>
      <x:c r="C6593" s="7" t="str">
        <x:v>PEA-C-Y2</x:v>
      </x:c>
      <x:c r="D6593" s="7" t="str">
        <x:v>factory calibration</x:v>
      </x:c>
      <x:c r="E6593" s="7" t="str">
        <x:v>CAL-CH-PEA-C-Y2-17-6</x:v>
      </x:c>
      <x:c r="F6593" s="7" t="str">
        <x:f>'Calibration Records'!M2412</x:f>
        <x:v>OPEN</x:v>
      </x:c>
    </x:row>
    <x:row r="6594">
      <x:c r="B6594" s="7" t="str">
        <x:v>AG-06588</x:v>
      </x:c>
      <x:c r="C6594" s="7" t="str">
        <x:v>PEA-C-Y2</x:v>
      </x:c>
      <x:c r="D6594" s="7" t="str">
        <x:v>factory calibration</x:v>
      </x:c>
      <x:c r="E6594" s="7" t="str">
        <x:v>CAL-CH-PEA-C-Y2-18-1</x:v>
      </x:c>
      <x:c r="F6594" s="7" t="str">
        <x:f>'Calibration Records'!M2413</x:f>
        <x:v>OPEN</x:v>
      </x:c>
    </x:row>
    <x:row r="6595">
      <x:c r="B6595" s="7" t="str">
        <x:v>AG-06589</x:v>
      </x:c>
      <x:c r="C6595" s="7" t="str">
        <x:v>PEA-C-Y2</x:v>
      </x:c>
      <x:c r="D6595" s="7" t="str">
        <x:v>factory calibration</x:v>
      </x:c>
      <x:c r="E6595" s="7" t="str">
        <x:v>CAL-CH-PEA-C-Y2-18-2</x:v>
      </x:c>
      <x:c r="F6595" s="7" t="str">
        <x:f>'Calibration Records'!M2414</x:f>
        <x:v>OPEN</x:v>
      </x:c>
    </x:row>
    <x:row r="6596">
      <x:c r="B6596" s="7" t="str">
        <x:v>AG-06590</x:v>
      </x:c>
      <x:c r="C6596" s="7" t="str">
        <x:v>PEA-C-Y2</x:v>
      </x:c>
      <x:c r="D6596" s="7" t="str">
        <x:v>factory calibration</x:v>
      </x:c>
      <x:c r="E6596" s="7" t="str">
        <x:v>CAL-CH-PEA-C-Y2-18-3</x:v>
      </x:c>
      <x:c r="F6596" s="7" t="str">
        <x:f>'Calibration Records'!M2415</x:f>
        <x:v>OPEN</x:v>
      </x:c>
    </x:row>
    <x:row r="6597">
      <x:c r="B6597" s="7" t="str">
        <x:v>AG-06591</x:v>
      </x:c>
      <x:c r="C6597" s="7" t="str">
        <x:v>PEA-C-Y2</x:v>
      </x:c>
      <x:c r="D6597" s="7" t="str">
        <x:v>factory calibration</x:v>
      </x:c>
      <x:c r="E6597" s="7" t="str">
        <x:v>CAL-CH-PEA-C-Y2-18-4</x:v>
      </x:c>
      <x:c r="F6597" s="7" t="str">
        <x:f>'Calibration Records'!M2416</x:f>
        <x:v>OPEN</x:v>
      </x:c>
    </x:row>
    <x:row r="6598">
      <x:c r="B6598" s="7" t="str">
        <x:v>AG-06592</x:v>
      </x:c>
      <x:c r="C6598" s="7" t="str">
        <x:v>PEA-C-Y2</x:v>
      </x:c>
      <x:c r="D6598" s="7" t="str">
        <x:v>factory calibration</x:v>
      </x:c>
      <x:c r="E6598" s="7" t="str">
        <x:v>CAL-CH-PEA-C-Y2-18-5</x:v>
      </x:c>
      <x:c r="F6598" s="7" t="str">
        <x:f>'Calibration Records'!M2417</x:f>
        <x:v>OPEN</x:v>
      </x:c>
    </x:row>
    <x:row r="6599">
      <x:c r="B6599" s="7" t="str">
        <x:v>AG-06593</x:v>
      </x:c>
      <x:c r="C6599" s="7" t="str">
        <x:v>PEA-C-Y2</x:v>
      </x:c>
      <x:c r="D6599" s="7" t="str">
        <x:v>factory calibration</x:v>
      </x:c>
      <x:c r="E6599" s="7" t="str">
        <x:v>CAL-CH-PEA-C-Y2-18-6</x:v>
      </x:c>
      <x:c r="F6599" s="7" t="str">
        <x:f>'Calibration Records'!M2418</x:f>
        <x:v>OPEN</x:v>
      </x:c>
    </x:row>
    <x:row r="6600">
      <x:c r="B6600" s="7" t="str">
        <x:v>AG-06594</x:v>
      </x:c>
      <x:c r="C6600" s="7" t="str">
        <x:v>PEA-C-Y2</x:v>
      </x:c>
      <x:c r="D6600" s="7" t="str">
        <x:v>factory calibration</x:v>
      </x:c>
      <x:c r="E6600" s="7" t="str">
        <x:v>CAL-CH-PEA-C-Y2-19-1</x:v>
      </x:c>
      <x:c r="F6600" s="7" t="str">
        <x:f>'Calibration Records'!M2419</x:f>
        <x:v>OPEN</x:v>
      </x:c>
    </x:row>
    <x:row r="6601">
      <x:c r="B6601" s="7" t="str">
        <x:v>AG-06595</x:v>
      </x:c>
      <x:c r="C6601" s="7" t="str">
        <x:v>PEA-C-Y2</x:v>
      </x:c>
      <x:c r="D6601" s="7" t="str">
        <x:v>factory calibration</x:v>
      </x:c>
      <x:c r="E6601" s="7" t="str">
        <x:v>CAL-CH-PEA-C-Y2-19-2</x:v>
      </x:c>
      <x:c r="F6601" s="7" t="str">
        <x:f>'Calibration Records'!M2420</x:f>
        <x:v>OPEN</x:v>
      </x:c>
    </x:row>
    <x:row r="6602">
      <x:c r="B6602" s="7" t="str">
        <x:v>AG-06596</x:v>
      </x:c>
      <x:c r="C6602" s="7" t="str">
        <x:v>PEA-C-Y2</x:v>
      </x:c>
      <x:c r="D6602" s="7" t="str">
        <x:v>factory calibration</x:v>
      </x:c>
      <x:c r="E6602" s="7" t="str">
        <x:v>CAL-CH-PEA-C-Y2-19-3</x:v>
      </x:c>
      <x:c r="F6602" s="7" t="str">
        <x:f>'Calibration Records'!M2421</x:f>
        <x:v>OPEN</x:v>
      </x:c>
    </x:row>
    <x:row r="6603">
      <x:c r="B6603" s="7" t="str">
        <x:v>AG-06597</x:v>
      </x:c>
      <x:c r="C6603" s="7" t="str">
        <x:v>PEA-C-Y2</x:v>
      </x:c>
      <x:c r="D6603" s="7" t="str">
        <x:v>factory calibration</x:v>
      </x:c>
      <x:c r="E6603" s="7" t="str">
        <x:v>CAL-CH-PEA-C-Y2-19-4</x:v>
      </x:c>
      <x:c r="F6603" s="7" t="str">
        <x:f>'Calibration Records'!M2422</x:f>
        <x:v>OPEN</x:v>
      </x:c>
    </x:row>
    <x:row r="6604">
      <x:c r="B6604" s="7" t="str">
        <x:v>AG-06598</x:v>
      </x:c>
      <x:c r="C6604" s="7" t="str">
        <x:v>PEA-C-Y2</x:v>
      </x:c>
      <x:c r="D6604" s="7" t="str">
        <x:v>factory calibration</x:v>
      </x:c>
      <x:c r="E6604" s="7" t="str">
        <x:v>CAL-CH-PEA-C-Y2-19-5</x:v>
      </x:c>
      <x:c r="F6604" s="7" t="str">
        <x:f>'Calibration Records'!M2423</x:f>
        <x:v>OPEN</x:v>
      </x:c>
    </x:row>
    <x:row r="6605">
      <x:c r="B6605" s="7" t="str">
        <x:v>AG-06599</x:v>
      </x:c>
      <x:c r="C6605" s="7" t="str">
        <x:v>PEA-C-Y2</x:v>
      </x:c>
      <x:c r="D6605" s="7" t="str">
        <x:v>factory calibration</x:v>
      </x:c>
      <x:c r="E6605" s="7" t="str">
        <x:v>CAL-CH-PEA-C-Y2-19-6</x:v>
      </x:c>
      <x:c r="F6605" s="7" t="str">
        <x:f>'Calibration Records'!M2424</x:f>
        <x:v>OPEN</x:v>
      </x:c>
    </x:row>
    <x:row r="6606">
      <x:c r="B6606" s="7" t="str">
        <x:v>AG-06600</x:v>
      </x:c>
      <x:c r="C6606" s="7" t="str">
        <x:v>PEA-C-Y2</x:v>
      </x:c>
      <x:c r="D6606" s="7" t="str">
        <x:v>factory calibration</x:v>
      </x:c>
      <x:c r="E6606" s="7" t="str">
        <x:v>CAL-CH-PEA-C-Y2-20-1</x:v>
      </x:c>
      <x:c r="F6606" s="7" t="str">
        <x:f>'Calibration Records'!M2425</x:f>
        <x:v>OPEN</x:v>
      </x:c>
    </x:row>
    <x:row r="6607">
      <x:c r="B6607" s="7" t="str">
        <x:v>AG-06601</x:v>
      </x:c>
      <x:c r="C6607" s="7" t="str">
        <x:v>PEA-C-Y2</x:v>
      </x:c>
      <x:c r="D6607" s="7" t="str">
        <x:v>factory calibration</x:v>
      </x:c>
      <x:c r="E6607" s="7" t="str">
        <x:v>CAL-CH-PEA-C-Y2-20-2</x:v>
      </x:c>
      <x:c r="F6607" s="7" t="str">
        <x:f>'Calibration Records'!M2426</x:f>
        <x:v>OPEN</x:v>
      </x:c>
    </x:row>
    <x:row r="6608">
      <x:c r="B6608" s="7" t="str">
        <x:v>AG-06602</x:v>
      </x:c>
      <x:c r="C6608" s="7" t="str">
        <x:v>PEA-C-Y2</x:v>
      </x:c>
      <x:c r="D6608" s="7" t="str">
        <x:v>factory calibration</x:v>
      </x:c>
      <x:c r="E6608" s="7" t="str">
        <x:v>CAL-CH-PEA-C-Y2-20-3</x:v>
      </x:c>
      <x:c r="F6608" s="7" t="str">
        <x:f>'Calibration Records'!M2427</x:f>
        <x:v>OPEN</x:v>
      </x:c>
    </x:row>
    <x:row r="6609">
      <x:c r="B6609" s="7" t="str">
        <x:v>AG-06603</x:v>
      </x:c>
      <x:c r="C6609" s="7" t="str">
        <x:v>PEA-C-Y2</x:v>
      </x:c>
      <x:c r="D6609" s="7" t="str">
        <x:v>factory calibration</x:v>
      </x:c>
      <x:c r="E6609" s="7" t="str">
        <x:v>CAL-CH-PEA-C-Y2-20-4</x:v>
      </x:c>
      <x:c r="F6609" s="7" t="str">
        <x:f>'Calibration Records'!M2428</x:f>
        <x:v>OPEN</x:v>
      </x:c>
    </x:row>
    <x:row r="6610">
      <x:c r="B6610" s="7" t="str">
        <x:v>AG-06604</x:v>
      </x:c>
      <x:c r="C6610" s="7" t="str">
        <x:v>PEA-C-Y2</x:v>
      </x:c>
      <x:c r="D6610" s="7" t="str">
        <x:v>factory calibration</x:v>
      </x:c>
      <x:c r="E6610" s="7" t="str">
        <x:v>CAL-CH-PEA-C-Y2-20-5</x:v>
      </x:c>
      <x:c r="F6610" s="7" t="str">
        <x:f>'Calibration Records'!M2429</x:f>
        <x:v>OPEN</x:v>
      </x:c>
    </x:row>
    <x:row r="6611">
      <x:c r="B6611" s="7" t="str">
        <x:v>AG-06605</x:v>
      </x:c>
      <x:c r="C6611" s="7" t="str">
        <x:v>PEA-C-Y2</x:v>
      </x:c>
      <x:c r="D6611" s="7" t="str">
        <x:v>factory calibration</x:v>
      </x:c>
      <x:c r="E6611" s="7" t="str">
        <x:v>CAL-CH-PEA-C-Y2-20-6</x:v>
      </x:c>
      <x:c r="F6611" s="7" t="str">
        <x:f>'Calibration Records'!M2430</x:f>
        <x:v>OPEN</x:v>
      </x:c>
    </x:row>
    <x:row r="6612">
      <x:c r="B6612" s="7" t="str">
        <x:v>AG-06606</x:v>
      </x:c>
      <x:c r="C6612" s="7" t="str">
        <x:v>PEA-C-Y2</x:v>
      </x:c>
      <x:c r="D6612" s="7" t="str">
        <x:v>factory calibration</x:v>
      </x:c>
      <x:c r="E6612" s="7" t="str">
        <x:v>CAL-CH-PEA-C-Y2-21-1</x:v>
      </x:c>
      <x:c r="F6612" s="7" t="str">
        <x:f>'Calibration Records'!M2431</x:f>
        <x:v>OPEN</x:v>
      </x:c>
    </x:row>
    <x:row r="6613">
      <x:c r="B6613" s="7" t="str">
        <x:v>AG-06607</x:v>
      </x:c>
      <x:c r="C6613" s="7" t="str">
        <x:v>PEA-C-Y2</x:v>
      </x:c>
      <x:c r="D6613" s="7" t="str">
        <x:v>factory calibration</x:v>
      </x:c>
      <x:c r="E6613" s="7" t="str">
        <x:v>CAL-CH-PEA-C-Y2-21-2</x:v>
      </x:c>
      <x:c r="F6613" s="7" t="str">
        <x:f>'Calibration Records'!M2432</x:f>
        <x:v>OPEN</x:v>
      </x:c>
    </x:row>
    <x:row r="6614">
      <x:c r="B6614" s="7" t="str">
        <x:v>AG-06608</x:v>
      </x:c>
      <x:c r="C6614" s="7" t="str">
        <x:v>PEA-C-Y2</x:v>
      </x:c>
      <x:c r="D6614" s="7" t="str">
        <x:v>factory calibration</x:v>
      </x:c>
      <x:c r="E6614" s="7" t="str">
        <x:v>CAL-CH-PEA-C-Y2-21-3</x:v>
      </x:c>
      <x:c r="F6614" s="7" t="str">
        <x:f>'Calibration Records'!M2433</x:f>
        <x:v>OPEN</x:v>
      </x:c>
    </x:row>
    <x:row r="6615">
      <x:c r="B6615" s="7" t="str">
        <x:v>AG-06609</x:v>
      </x:c>
      <x:c r="C6615" s="7" t="str">
        <x:v>PEA-C-Y2</x:v>
      </x:c>
      <x:c r="D6615" s="7" t="str">
        <x:v>factory calibration</x:v>
      </x:c>
      <x:c r="E6615" s="7" t="str">
        <x:v>CAL-CH-PEA-C-Y2-21-4</x:v>
      </x:c>
      <x:c r="F6615" s="7" t="str">
        <x:f>'Calibration Records'!M2434</x:f>
        <x:v>OPEN</x:v>
      </x:c>
    </x:row>
    <x:row r="6616">
      <x:c r="B6616" s="7" t="str">
        <x:v>AG-06610</x:v>
      </x:c>
      <x:c r="C6616" s="7" t="str">
        <x:v>PEA-C-Y2</x:v>
      </x:c>
      <x:c r="D6616" s="7" t="str">
        <x:v>factory calibration</x:v>
      </x:c>
      <x:c r="E6616" s="7" t="str">
        <x:v>CAL-CH-PEA-C-Y2-21-5</x:v>
      </x:c>
      <x:c r="F6616" s="7" t="str">
        <x:f>'Calibration Records'!M2435</x:f>
        <x:v>OPEN</x:v>
      </x:c>
    </x:row>
    <x:row r="6617">
      <x:c r="B6617" s="7" t="str">
        <x:v>AG-06611</x:v>
      </x:c>
      <x:c r="C6617" s="7" t="str">
        <x:v>PEA-C-Y2</x:v>
      </x:c>
      <x:c r="D6617" s="7" t="str">
        <x:v>factory calibration</x:v>
      </x:c>
      <x:c r="E6617" s="7" t="str">
        <x:v>CAL-CH-PEA-C-Y2-21-6</x:v>
      </x:c>
      <x:c r="F6617" s="7" t="str">
        <x:f>'Calibration Records'!M2436</x:f>
        <x:v>OPEN</x:v>
      </x:c>
    </x:row>
    <x:row r="6618">
      <x:c r="B6618" s="7" t="str">
        <x:v>AG-06612</x:v>
      </x:c>
      <x:c r="C6618" s="7" t="str">
        <x:v>PEA-C-Y2</x:v>
      </x:c>
      <x:c r="D6618" s="7" t="str">
        <x:v>factory calibration</x:v>
      </x:c>
      <x:c r="E6618" s="7" t="str">
        <x:v>CAL-CH-PEA-C-Y2-22-1</x:v>
      </x:c>
      <x:c r="F6618" s="7" t="str">
        <x:f>'Calibration Records'!M2437</x:f>
        <x:v>OPEN</x:v>
      </x:c>
    </x:row>
    <x:row r="6619">
      <x:c r="B6619" s="7" t="str">
        <x:v>AG-06613</x:v>
      </x:c>
      <x:c r="C6619" s="7" t="str">
        <x:v>PEA-C-Y2</x:v>
      </x:c>
      <x:c r="D6619" s="7" t="str">
        <x:v>factory calibration</x:v>
      </x:c>
      <x:c r="E6619" s="7" t="str">
        <x:v>CAL-CH-PEA-C-Y2-22-2</x:v>
      </x:c>
      <x:c r="F6619" s="7" t="str">
        <x:f>'Calibration Records'!M2438</x:f>
        <x:v>OPEN</x:v>
      </x:c>
    </x:row>
    <x:row r="6620">
      <x:c r="B6620" s="7" t="str">
        <x:v>AG-06614</x:v>
      </x:c>
      <x:c r="C6620" s="7" t="str">
        <x:v>PEA-C-Y2</x:v>
      </x:c>
      <x:c r="D6620" s="7" t="str">
        <x:v>factory calibration</x:v>
      </x:c>
      <x:c r="E6620" s="7" t="str">
        <x:v>CAL-CH-PEA-C-Y2-22-3</x:v>
      </x:c>
      <x:c r="F6620" s="7" t="str">
        <x:f>'Calibration Records'!M2439</x:f>
        <x:v>OPEN</x:v>
      </x:c>
    </x:row>
    <x:row r="6621">
      <x:c r="B6621" s="7" t="str">
        <x:v>AG-06615</x:v>
      </x:c>
      <x:c r="C6621" s="7" t="str">
        <x:v>PEA-C-Y2</x:v>
      </x:c>
      <x:c r="D6621" s="7" t="str">
        <x:v>factory calibration</x:v>
      </x:c>
      <x:c r="E6621" s="7" t="str">
        <x:v>CAL-CH-PEA-C-Y2-22-4</x:v>
      </x:c>
      <x:c r="F6621" s="7" t="str">
        <x:f>'Calibration Records'!M2440</x:f>
        <x:v>OPEN</x:v>
      </x:c>
    </x:row>
    <x:row r="6622">
      <x:c r="B6622" s="7" t="str">
        <x:v>AG-06616</x:v>
      </x:c>
      <x:c r="C6622" s="7" t="str">
        <x:v>PEA-C-Y2</x:v>
      </x:c>
      <x:c r="D6622" s="7" t="str">
        <x:v>factory calibration</x:v>
      </x:c>
      <x:c r="E6622" s="7" t="str">
        <x:v>CAL-CH-PEA-C-Y2-22-5</x:v>
      </x:c>
      <x:c r="F6622" s="7" t="str">
        <x:f>'Calibration Records'!M2441</x:f>
        <x:v>OPEN</x:v>
      </x:c>
    </x:row>
    <x:row r="6623">
      <x:c r="B6623" s="7" t="str">
        <x:v>AG-06617</x:v>
      </x:c>
      <x:c r="C6623" s="7" t="str">
        <x:v>PEA-C-Y2</x:v>
      </x:c>
      <x:c r="D6623" s="7" t="str">
        <x:v>factory calibration</x:v>
      </x:c>
      <x:c r="E6623" s="7" t="str">
        <x:v>CAL-CH-PEA-C-Y2-22-6</x:v>
      </x:c>
      <x:c r="F6623" s="7" t="str">
        <x:f>'Calibration Records'!M2442</x:f>
        <x:v>OPEN</x:v>
      </x:c>
    </x:row>
    <x:row r="6624">
      <x:c r="B6624" s="7" t="str">
        <x:v>AG-06618</x:v>
      </x:c>
      <x:c r="C6624" s="7" t="str">
        <x:v>PEA-C-Y2</x:v>
      </x:c>
      <x:c r="D6624" s="7" t="str">
        <x:v>factory calibration</x:v>
      </x:c>
      <x:c r="E6624" s="7" t="str">
        <x:v>CAL-CH-PEA-C-Y2-23-1</x:v>
      </x:c>
      <x:c r="F6624" s="7" t="str">
        <x:f>'Calibration Records'!M2443</x:f>
        <x:v>OPEN</x:v>
      </x:c>
    </x:row>
    <x:row r="6625">
      <x:c r="B6625" s="7" t="str">
        <x:v>AG-06619</x:v>
      </x:c>
      <x:c r="C6625" s="7" t="str">
        <x:v>PEA-C-Y2</x:v>
      </x:c>
      <x:c r="D6625" s="7" t="str">
        <x:v>factory calibration</x:v>
      </x:c>
      <x:c r="E6625" s="7" t="str">
        <x:v>CAL-CH-PEA-C-Y2-23-2</x:v>
      </x:c>
      <x:c r="F6625" s="7" t="str">
        <x:f>'Calibration Records'!M2444</x:f>
        <x:v>OPEN</x:v>
      </x:c>
    </x:row>
    <x:row r="6626">
      <x:c r="B6626" s="7" t="str">
        <x:v>AG-06620</x:v>
      </x:c>
      <x:c r="C6626" s="7" t="str">
        <x:v>PEA-C-Y2</x:v>
      </x:c>
      <x:c r="D6626" s="7" t="str">
        <x:v>factory calibration</x:v>
      </x:c>
      <x:c r="E6626" s="7" t="str">
        <x:v>CAL-CH-PEA-C-Y2-23-3</x:v>
      </x:c>
      <x:c r="F6626" s="7" t="str">
        <x:f>'Calibration Records'!M2445</x:f>
        <x:v>OPEN</x:v>
      </x:c>
    </x:row>
    <x:row r="6627">
      <x:c r="B6627" s="7" t="str">
        <x:v>AG-06621</x:v>
      </x:c>
      <x:c r="C6627" s="7" t="str">
        <x:v>PEA-C-Y2</x:v>
      </x:c>
      <x:c r="D6627" s="7" t="str">
        <x:v>factory calibration</x:v>
      </x:c>
      <x:c r="E6627" s="7" t="str">
        <x:v>CAL-CH-PEA-C-Y2-23-4</x:v>
      </x:c>
      <x:c r="F6627" s="7" t="str">
        <x:f>'Calibration Records'!M2446</x:f>
        <x:v>OPEN</x:v>
      </x:c>
    </x:row>
    <x:row r="6628">
      <x:c r="B6628" s="7" t="str">
        <x:v>AG-06622</x:v>
      </x:c>
      <x:c r="C6628" s="7" t="str">
        <x:v>PEA-C-Y2</x:v>
      </x:c>
      <x:c r="D6628" s="7" t="str">
        <x:v>factory calibration</x:v>
      </x:c>
      <x:c r="E6628" s="7" t="str">
        <x:v>CAL-CH-PEA-C-Y2-23-5</x:v>
      </x:c>
      <x:c r="F6628" s="7" t="str">
        <x:f>'Calibration Records'!M2447</x:f>
        <x:v>OPEN</x:v>
      </x:c>
    </x:row>
    <x:row r="6629">
      <x:c r="B6629" s="7" t="str">
        <x:v>AG-06623</x:v>
      </x:c>
      <x:c r="C6629" s="7" t="str">
        <x:v>PEA-C-Y2</x:v>
      </x:c>
      <x:c r="D6629" s="7" t="str">
        <x:v>factory calibration</x:v>
      </x:c>
      <x:c r="E6629" s="7" t="str">
        <x:v>CAL-CH-PEA-C-Y2-23-6</x:v>
      </x:c>
      <x:c r="F6629" s="7" t="str">
        <x:f>'Calibration Records'!M2448</x:f>
        <x:v>OPEN</x:v>
      </x:c>
    </x:row>
    <x:row r="6630">
      <x:c r="B6630" s="7" t="str">
        <x:v>AG-06624</x:v>
      </x:c>
      <x:c r="C6630" s="7" t="str">
        <x:v>PEA-C-Y2</x:v>
      </x:c>
      <x:c r="D6630" s="7" t="str">
        <x:v>factory calibration</x:v>
      </x:c>
      <x:c r="E6630" s="7" t="str">
        <x:v>CAL-CH-PEA-C-Y2-24-1</x:v>
      </x:c>
      <x:c r="F6630" s="7" t="str">
        <x:f>'Calibration Records'!M2449</x:f>
        <x:v>OPEN</x:v>
      </x:c>
    </x:row>
    <x:row r="6631">
      <x:c r="B6631" s="7" t="str">
        <x:v>AG-06625</x:v>
      </x:c>
      <x:c r="C6631" s="7" t="str">
        <x:v>PEA-C-Y2</x:v>
      </x:c>
      <x:c r="D6631" s="7" t="str">
        <x:v>factory calibration</x:v>
      </x:c>
      <x:c r="E6631" s="7" t="str">
        <x:v>CAL-CH-PEA-C-Y2-24-2</x:v>
      </x:c>
      <x:c r="F6631" s="7" t="str">
        <x:f>'Calibration Records'!M2450</x:f>
        <x:v>OPEN</x:v>
      </x:c>
    </x:row>
    <x:row r="6632">
      <x:c r="B6632" s="7" t="str">
        <x:v>AG-06626</x:v>
      </x:c>
      <x:c r="C6632" s="7" t="str">
        <x:v>PEA-C-Y2</x:v>
      </x:c>
      <x:c r="D6632" s="7" t="str">
        <x:v>factory calibration</x:v>
      </x:c>
      <x:c r="E6632" s="7" t="str">
        <x:v>CAL-CH-PEA-C-Y2-24-3</x:v>
      </x:c>
      <x:c r="F6632" s="7" t="str">
        <x:f>'Calibration Records'!M2451</x:f>
        <x:v>OPEN</x:v>
      </x:c>
    </x:row>
    <x:row r="6633">
      <x:c r="B6633" s="7" t="str">
        <x:v>AG-06627</x:v>
      </x:c>
      <x:c r="C6633" s="7" t="str">
        <x:v>PEA-C-Y2</x:v>
      </x:c>
      <x:c r="D6633" s="7" t="str">
        <x:v>factory calibration</x:v>
      </x:c>
      <x:c r="E6633" s="7" t="str">
        <x:v>CAL-CH-PEA-C-Y2-24-4</x:v>
      </x:c>
      <x:c r="F6633" s="7" t="str">
        <x:f>'Calibration Records'!M2452</x:f>
        <x:v>OPEN</x:v>
      </x:c>
    </x:row>
    <x:row r="6634">
      <x:c r="B6634" s="7" t="str">
        <x:v>AG-06628</x:v>
      </x:c>
      <x:c r="C6634" s="7" t="str">
        <x:v>PEA-C-Y2</x:v>
      </x:c>
      <x:c r="D6634" s="7" t="str">
        <x:v>factory calibration</x:v>
      </x:c>
      <x:c r="E6634" s="7" t="str">
        <x:v>CAL-CH-PEA-C-Y2-24-5</x:v>
      </x:c>
      <x:c r="F6634" s="7" t="str">
        <x:f>'Calibration Records'!M2453</x:f>
        <x:v>OPEN</x:v>
      </x:c>
    </x:row>
    <x:row r="6635">
      <x:c r="B6635" s="7" t="str">
        <x:v>AG-06629</x:v>
      </x:c>
      <x:c r="C6635" s="7" t="str">
        <x:v>PEA-C-Y2</x:v>
      </x:c>
      <x:c r="D6635" s="7" t="str">
        <x:v>factory calibration</x:v>
      </x:c>
      <x:c r="E6635" s="7" t="str">
        <x:v>CAL-CH-PEA-C-Y2-24-6</x:v>
      </x:c>
      <x:c r="F6635" s="7" t="str">
        <x:f>'Calibration Records'!M2454</x:f>
        <x:v>OPEN</x:v>
      </x:c>
    </x:row>
    <x:row r="6636">
      <x:c r="B6636" s="7" t="str">
        <x:v>AG-06630</x:v>
      </x:c>
      <x:c r="C6636" s="7" t="str">
        <x:v>PEA-C-Y2</x:v>
      </x:c>
      <x:c r="D6636" s="7" t="str">
        <x:v>article master</x:v>
      </x:c>
      <x:c r="E6636" s="7" t="str">
        <x:v>PEA-C-Y2</x:v>
      </x:c>
      <x:c r="F6636" s="7" t="str">
        <x:f>'Article Population'!Q23</x:f>
        <x:v>OPEN</x:v>
      </x:c>
    </x:row>
    <x:row r="6637">
      <x:c r="B6637" s="7" t="str">
        <x:v>AG-06631</x:v>
      </x:c>
      <x:c r="C6637" s="7" t="str">
        <x:v>PEA-C-Y3</x:v>
      </x:c>
      <x:c r="D6637" s="7" t="str">
        <x:v>lineage capsule</x:v>
      </x:c>
      <x:c r="E6637" s="7" t="str">
        <x:v>BL-Y</x:v>
      </x:c>
      <x:c r="F6637" s="7" t="str">
        <x:f>'Baseline Package'!F8</x:f>
        <x:v>OPEN</x:v>
      </x:c>
    </x:row>
    <x:row r="6638">
      <x:c r="B6638" s="7" t="str">
        <x:v>AG-06632</x:v>
      </x:c>
      <x:c r="C6638" s="7" t="str">
        <x:v>PEA-C-Y3</x:v>
      </x:c>
      <x:c r="D6638" s="7" t="str">
        <x:v>builder qualification</x:v>
      </x:c>
      <x:c r="E6638" s="7" t="str">
        <x:v>BLD-C</x:v>
      </x:c>
      <x:c r="F6638" s="7" t="str">
        <x:f>Builders!K9</x:f>
        <x:v>OPEN</x:v>
      </x:c>
    </x:row>
    <x:row r="6639">
      <x:c r="B6639" s="7" t="str">
        <x:v>AG-06633</x:v>
      </x:c>
      <x:c r="C6639" s="7" t="str">
        <x:v>PEA-C-Y3</x:v>
      </x:c>
      <x:c r="D6639" s="7" t="str">
        <x:v>material split</x:v>
      </x:c>
      <x:c r="E6639" s="7" t="str">
        <x:v>SPLIT-PEA-C-Y3</x:v>
      </x:c>
      <x:c r="F6639" s="7" t="str">
        <x:f>'Material Matrix'!K24</x:f>
        <x:v>OPEN</x:v>
      </x:c>
    </x:row>
    <x:row r="6640">
      <x:c r="B6640" s="7" t="str">
        <x:v>AG-06634</x:v>
      </x:c>
      <x:c r="C6640" s="7" t="str">
        <x:v>PEA-C-Y3</x:v>
      </x:c>
      <x:c r="D6640" s="7" t="str">
        <x:v>build sequence</x:v>
      </x:c>
      <x:c r="E6640" s="7" t="str">
        <x:v>SEQ-PEA-C-Y3</x:v>
      </x:c>
      <x:c r="F6640" s="7" t="str">
        <x:f>'Build Sequence'!L24</x:f>
        <x:v>OPEN</x:v>
      </x:c>
    </x:row>
    <x:row r="6641">
      <x:c r="B6641" s="7" t="str">
        <x:v>AG-06635</x:v>
      </x:c>
      <x:c r="C6641" s="7" t="str">
        <x:v>PEA-C-Y3</x:v>
      </x:c>
      <x:c r="D6641" s="7" t="str">
        <x:v>section traveler</x:v>
      </x:c>
      <x:c r="E6641" s="7" t="str">
        <x:v>TRV-PEA-C-Y3-01</x:v>
      </x:c>
      <x:c r="F6641" s="7" t="str">
        <x:f>'Section Travelers'!L347</x:f>
        <x:v>OPEN</x:v>
      </x:c>
    </x:row>
    <x:row r="6642">
      <x:c r="B6642" s="7" t="str">
        <x:v>AG-06636</x:v>
      </x:c>
      <x:c r="C6642" s="7" t="str">
        <x:v>PEA-C-Y3</x:v>
      </x:c>
      <x:c r="D6642" s="7" t="str">
        <x:v>section traveler</x:v>
      </x:c>
      <x:c r="E6642" s="7" t="str">
        <x:v>TRV-PEA-C-Y3-02</x:v>
      </x:c>
      <x:c r="F6642" s="7" t="str">
        <x:f>'Section Travelers'!L348</x:f>
        <x:v>OPEN</x:v>
      </x:c>
    </x:row>
    <x:row r="6643">
      <x:c r="B6643" s="7" t="str">
        <x:v>AG-06637</x:v>
      </x:c>
      <x:c r="C6643" s="7" t="str">
        <x:v>PEA-C-Y3</x:v>
      </x:c>
      <x:c r="D6643" s="7" t="str">
        <x:v>section traveler</x:v>
      </x:c>
      <x:c r="E6643" s="7" t="str">
        <x:v>TRV-PEA-C-Y3-03</x:v>
      </x:c>
      <x:c r="F6643" s="7" t="str">
        <x:f>'Section Travelers'!L349</x:f>
        <x:v>OPEN</x:v>
      </x:c>
    </x:row>
    <x:row r="6644">
      <x:c r="B6644" s="7" t="str">
        <x:v>AG-06638</x:v>
      </x:c>
      <x:c r="C6644" s="7" t="str">
        <x:v>PEA-C-Y3</x:v>
      </x:c>
      <x:c r="D6644" s="7" t="str">
        <x:v>section traveler</x:v>
      </x:c>
      <x:c r="E6644" s="7" t="str">
        <x:v>TRV-PEA-C-Y3-04</x:v>
      </x:c>
      <x:c r="F6644" s="7" t="str">
        <x:f>'Section Travelers'!L350</x:f>
        <x:v>OPEN</x:v>
      </x:c>
    </x:row>
    <x:row r="6645">
      <x:c r="B6645" s="7" t="str">
        <x:v>AG-06639</x:v>
      </x:c>
      <x:c r="C6645" s="7" t="str">
        <x:v>PEA-C-Y3</x:v>
      </x:c>
      <x:c r="D6645" s="7" t="str">
        <x:v>section traveler</x:v>
      </x:c>
      <x:c r="E6645" s="7" t="str">
        <x:v>TRV-PEA-C-Y3-05</x:v>
      </x:c>
      <x:c r="F6645" s="7" t="str">
        <x:f>'Section Travelers'!L351</x:f>
        <x:v>OPEN</x:v>
      </x:c>
    </x:row>
    <x:row r="6646">
      <x:c r="B6646" s="7" t="str">
        <x:v>AG-06640</x:v>
      </x:c>
      <x:c r="C6646" s="7" t="str">
        <x:v>PEA-C-Y3</x:v>
      </x:c>
      <x:c r="D6646" s="7" t="str">
        <x:v>section traveler</x:v>
      </x:c>
      <x:c r="E6646" s="7" t="str">
        <x:v>TRV-PEA-C-Y3-06</x:v>
      </x:c>
      <x:c r="F6646" s="7" t="str">
        <x:f>'Section Travelers'!L352</x:f>
        <x:v>OPEN</x:v>
      </x:c>
    </x:row>
    <x:row r="6647">
      <x:c r="B6647" s="7" t="str">
        <x:v>AG-06641</x:v>
      </x:c>
      <x:c r="C6647" s="7" t="str">
        <x:v>PEA-C-Y3</x:v>
      </x:c>
      <x:c r="D6647" s="7" t="str">
        <x:v>section traveler</x:v>
      </x:c>
      <x:c r="E6647" s="7" t="str">
        <x:v>TRV-PEA-C-Y3-07</x:v>
      </x:c>
      <x:c r="F6647" s="7" t="str">
        <x:f>'Section Travelers'!L353</x:f>
        <x:v>OPEN</x:v>
      </x:c>
    </x:row>
    <x:row r="6648">
      <x:c r="B6648" s="7" t="str">
        <x:v>AG-06642</x:v>
      </x:c>
      <x:c r="C6648" s="7" t="str">
        <x:v>PEA-C-Y3</x:v>
      </x:c>
      <x:c r="D6648" s="7" t="str">
        <x:v>section traveler</x:v>
      </x:c>
      <x:c r="E6648" s="7" t="str">
        <x:v>TRV-PEA-C-Y3-08</x:v>
      </x:c>
      <x:c r="F6648" s="7" t="str">
        <x:f>'Section Travelers'!L354</x:f>
        <x:v>OPEN</x:v>
      </x:c>
    </x:row>
    <x:row r="6649">
      <x:c r="B6649" s="7" t="str">
        <x:v>AG-06643</x:v>
      </x:c>
      <x:c r="C6649" s="7" t="str">
        <x:v>PEA-C-Y3</x:v>
      </x:c>
      <x:c r="D6649" s="7" t="str">
        <x:v>section traveler</x:v>
      </x:c>
      <x:c r="E6649" s="7" t="str">
        <x:v>TRV-PEA-C-Y3-09</x:v>
      </x:c>
      <x:c r="F6649" s="7" t="str">
        <x:f>'Section Travelers'!L355</x:f>
        <x:v>OPEN</x:v>
      </x:c>
    </x:row>
    <x:row r="6650">
      <x:c r="B6650" s="7" t="str">
        <x:v>AG-06644</x:v>
      </x:c>
      <x:c r="C6650" s="7" t="str">
        <x:v>PEA-C-Y3</x:v>
      </x:c>
      <x:c r="D6650" s="7" t="str">
        <x:v>section traveler</x:v>
      </x:c>
      <x:c r="E6650" s="7" t="str">
        <x:v>TRV-PEA-C-Y3-10</x:v>
      </x:c>
      <x:c r="F6650" s="7" t="str">
        <x:f>'Section Travelers'!L356</x:f>
        <x:v>OPEN</x:v>
      </x:c>
    </x:row>
    <x:row r="6651">
      <x:c r="B6651" s="7" t="str">
        <x:v>AG-06645</x:v>
      </x:c>
      <x:c r="C6651" s="7" t="str">
        <x:v>PEA-C-Y3</x:v>
      </x:c>
      <x:c r="D6651" s="7" t="str">
        <x:v>section traveler</x:v>
      </x:c>
      <x:c r="E6651" s="7" t="str">
        <x:v>TRV-PEA-C-Y3-11</x:v>
      </x:c>
      <x:c r="F6651" s="7" t="str">
        <x:f>'Section Travelers'!L357</x:f>
        <x:v>OPEN</x:v>
      </x:c>
    </x:row>
    <x:row r="6652">
      <x:c r="B6652" s="7" t="str">
        <x:v>AG-06646</x:v>
      </x:c>
      <x:c r="C6652" s="7" t="str">
        <x:v>PEA-C-Y3</x:v>
      </x:c>
      <x:c r="D6652" s="7" t="str">
        <x:v>section traveler</x:v>
      </x:c>
      <x:c r="E6652" s="7" t="str">
        <x:v>TRV-PEA-C-Y3-12</x:v>
      </x:c>
      <x:c r="F6652" s="7" t="str">
        <x:f>'Section Travelers'!L358</x:f>
        <x:v>OPEN</x:v>
      </x:c>
    </x:row>
    <x:row r="6653">
      <x:c r="B6653" s="7" t="str">
        <x:v>AG-06647</x:v>
      </x:c>
      <x:c r="C6653" s="7" t="str">
        <x:v>PEA-C-Y3</x:v>
      </x:c>
      <x:c r="D6653" s="7" t="str">
        <x:v>section traveler</x:v>
      </x:c>
      <x:c r="E6653" s="7" t="str">
        <x:v>TRV-PEA-C-Y3-13</x:v>
      </x:c>
      <x:c r="F6653" s="7" t="str">
        <x:f>'Section Travelers'!L359</x:f>
        <x:v>OPEN</x:v>
      </x:c>
    </x:row>
    <x:row r="6654">
      <x:c r="B6654" s="7" t="str">
        <x:v>AG-06648</x:v>
      </x:c>
      <x:c r="C6654" s="7" t="str">
        <x:v>PEA-C-Y3</x:v>
      </x:c>
      <x:c r="D6654" s="7" t="str">
        <x:v>section traveler</x:v>
      </x:c>
      <x:c r="E6654" s="7" t="str">
        <x:v>TRV-PEA-C-Y3-14</x:v>
      </x:c>
      <x:c r="F6654" s="7" t="str">
        <x:f>'Section Travelers'!L360</x:f>
        <x:v>OPEN</x:v>
      </x:c>
    </x:row>
    <x:row r="6655">
      <x:c r="B6655" s="7" t="str">
        <x:v>AG-06649</x:v>
      </x:c>
      <x:c r="C6655" s="7" t="str">
        <x:v>PEA-C-Y3</x:v>
      </x:c>
      <x:c r="D6655" s="7" t="str">
        <x:v>section traveler</x:v>
      </x:c>
      <x:c r="E6655" s="7" t="str">
        <x:v>TRV-PEA-C-Y3-15</x:v>
      </x:c>
      <x:c r="F6655" s="7" t="str">
        <x:f>'Section Travelers'!L361</x:f>
        <x:v>OPEN</x:v>
      </x:c>
    </x:row>
    <x:row r="6656">
      <x:c r="B6656" s="7" t="str">
        <x:v>AG-06650</x:v>
      </x:c>
      <x:c r="C6656" s="7" t="str">
        <x:v>PEA-C-Y3</x:v>
      </x:c>
      <x:c r="D6656" s="7" t="str">
        <x:v>section traveler</x:v>
      </x:c>
      <x:c r="E6656" s="7" t="str">
        <x:v>TRV-PEA-C-Y3-16</x:v>
      </x:c>
      <x:c r="F6656" s="7" t="str">
        <x:f>'Section Travelers'!L362</x:f>
        <x:v>OPEN</x:v>
      </x:c>
    </x:row>
    <x:row r="6657">
      <x:c r="B6657" s="7" t="str">
        <x:v>AG-06651</x:v>
      </x:c>
      <x:c r="C6657" s="7" t="str">
        <x:v>PEA-C-Y3</x:v>
      </x:c>
      <x:c r="D6657" s="7" t="str">
        <x:v>section traveler</x:v>
      </x:c>
      <x:c r="E6657" s="7" t="str">
        <x:v>TRV-PEA-C-Y3-17</x:v>
      </x:c>
      <x:c r="F6657" s="7" t="str">
        <x:f>'Section Travelers'!L363</x:f>
        <x:v>OPEN</x:v>
      </x:c>
    </x:row>
    <x:row r="6658">
      <x:c r="B6658" s="7" t="str">
        <x:v>AG-06652</x:v>
      </x:c>
      <x:c r="C6658" s="7" t="str">
        <x:v>PEA-C-Y3</x:v>
      </x:c>
      <x:c r="D6658" s="7" t="str">
        <x:v>section traveler</x:v>
      </x:c>
      <x:c r="E6658" s="7" t="str">
        <x:v>TRV-PEA-C-Y3-18</x:v>
      </x:c>
      <x:c r="F6658" s="7" t="str">
        <x:f>'Section Travelers'!L364</x:f>
        <x:v>OPEN</x:v>
      </x:c>
    </x:row>
    <x:row r="6659">
      <x:c r="B6659" s="7" t="str">
        <x:v>AG-06653</x:v>
      </x:c>
      <x:c r="C6659" s="7" t="str">
        <x:v>PEA-C-Y3</x:v>
      </x:c>
      <x:c r="D6659" s="7" t="str">
        <x:v>section traveler</x:v>
      </x:c>
      <x:c r="E6659" s="7" t="str">
        <x:v>TRV-PEA-C-Y3-19</x:v>
      </x:c>
      <x:c r="F6659" s="7" t="str">
        <x:f>'Section Travelers'!L365</x:f>
        <x:v>OPEN</x:v>
      </x:c>
    </x:row>
    <x:row r="6660">
      <x:c r="B6660" s="7" t="str">
        <x:v>AG-06654</x:v>
      </x:c>
      <x:c r="C6660" s="7" t="str">
        <x:v>PEA-C-Y3</x:v>
      </x:c>
      <x:c r="D6660" s="7" t="str">
        <x:v>section traveler</x:v>
      </x:c>
      <x:c r="E6660" s="7" t="str">
        <x:v>TRV-PEA-C-Y3-20</x:v>
      </x:c>
      <x:c r="F6660" s="7" t="str">
        <x:f>'Section Travelers'!L366</x:f>
        <x:v>OPEN</x:v>
      </x:c>
    </x:row>
    <x:row r="6661">
      <x:c r="B6661" s="7" t="str">
        <x:v>AG-06655</x:v>
      </x:c>
      <x:c r="C6661" s="7" t="str">
        <x:v>PEA-C-Y3</x:v>
      </x:c>
      <x:c r="D6661" s="7" t="str">
        <x:v>material coupon</x:v>
      </x:c>
      <x:c r="E6661" s="7" t="str">
        <x:v>CPN-PEA-C-Y3-CJ-1</x:v>
      </x:c>
      <x:c r="F6661" s="7" t="str">
        <x:f>'Material Coupons'!K687</x:f>
        <x:v>OPEN</x:v>
      </x:c>
    </x:row>
    <x:row r="6662">
      <x:c r="B6662" s="7" t="str">
        <x:v>AG-06656</x:v>
      </x:c>
      <x:c r="C6662" s="7" t="str">
        <x:v>PEA-C-Y3</x:v>
      </x:c>
      <x:c r="D6662" s="7" t="str">
        <x:v>material coupon</x:v>
      </x:c>
      <x:c r="E6662" s="7" t="str">
        <x:v>CPN-PEA-C-Y3-CJ-2</x:v>
      </x:c>
      <x:c r="F6662" s="7" t="str">
        <x:f>'Material Coupons'!K688</x:f>
        <x:v>OPEN</x:v>
      </x:c>
    </x:row>
    <x:row r="6663">
      <x:c r="B6663" s="7" t="str">
        <x:v>AG-06657</x:v>
      </x:c>
      <x:c r="C6663" s="7" t="str">
        <x:v>PEA-C-Y3</x:v>
      </x:c>
      <x:c r="D6663" s="7" t="str">
        <x:v>material coupon</x:v>
      </x:c>
      <x:c r="E6663" s="7" t="str">
        <x:v>CPN-PEA-C-Y3-CJ-3</x:v>
      </x:c>
      <x:c r="F6663" s="7" t="str">
        <x:f>'Material Coupons'!K689</x:f>
        <x:v>OPEN</x:v>
      </x:c>
    </x:row>
    <x:row r="6664">
      <x:c r="B6664" s="7" t="str">
        <x:v>AG-06658</x:v>
      </x:c>
      <x:c r="C6664" s="7" t="str">
        <x:v>PEA-C-Y3</x:v>
      </x:c>
      <x:c r="D6664" s="7" t="str">
        <x:v>material coupon</x:v>
      </x:c>
      <x:c r="E6664" s="7" t="str">
        <x:v>CPN-PEA-C-Y3-CJ-4</x:v>
      </x:c>
      <x:c r="F6664" s="7" t="str">
        <x:f>'Material Coupons'!K690</x:f>
        <x:v>OPEN</x:v>
      </x:c>
    </x:row>
    <x:row r="6665">
      <x:c r="B6665" s="7" t="str">
        <x:v>AG-06659</x:v>
      </x:c>
      <x:c r="C6665" s="7" t="str">
        <x:v>PEA-C-Y3</x:v>
      </x:c>
      <x:c r="D6665" s="7" t="str">
        <x:v>material coupon</x:v>
      </x:c>
      <x:c r="E6665" s="7" t="str">
        <x:v>CPN-PEA-C-Y3-CJ-5</x:v>
      </x:c>
      <x:c r="F6665" s="7" t="str">
        <x:f>'Material Coupons'!K691</x:f>
        <x:v>OPEN</x:v>
      </x:c>
    </x:row>
    <x:row r="6666">
      <x:c r="B6666" s="7" t="str">
        <x:v>AG-06660</x:v>
      </x:c>
      <x:c r="C6666" s="7" t="str">
        <x:v>PEA-C-Y3</x:v>
      </x:c>
      <x:c r="D6666" s="7" t="str">
        <x:v>material coupon</x:v>
      </x:c>
      <x:c r="E6666" s="7" t="str">
        <x:v>CPN-PEA-C-Y3-CJ-6</x:v>
      </x:c>
      <x:c r="F6666" s="7" t="str">
        <x:f>'Material Coupons'!K692</x:f>
        <x:v>OPEN</x:v>
      </x:c>
    </x:row>
    <x:row r="6667">
      <x:c r="B6667" s="7" t="str">
        <x:v>AG-06661</x:v>
      </x:c>
      <x:c r="C6667" s="7" t="str">
        <x:v>PEA-C-Y3</x:v>
      </x:c>
      <x:c r="D6667" s="7" t="str">
        <x:v>material coupon</x:v>
      </x:c>
      <x:c r="E6667" s="7" t="str">
        <x:v>CPN-PEA-C-Y3-CJ-7</x:v>
      </x:c>
      <x:c r="F6667" s="7" t="str">
        <x:f>'Material Coupons'!K693</x:f>
        <x:v>OPEN</x:v>
      </x:c>
    </x:row>
    <x:row r="6668">
      <x:c r="B6668" s="7" t="str">
        <x:v>AG-06662</x:v>
      </x:c>
      <x:c r="C6668" s="7" t="str">
        <x:v>PEA-C-Y3</x:v>
      </x:c>
      <x:c r="D6668" s="7" t="str">
        <x:v>material coupon</x:v>
      </x:c>
      <x:c r="E6668" s="7" t="str">
        <x:v>CPN-PEA-C-Y3-CJ-8</x:v>
      </x:c>
      <x:c r="F6668" s="7" t="str">
        <x:f>'Material Coupons'!K694</x:f>
        <x:v>OPEN</x:v>
      </x:c>
    </x:row>
    <x:row r="6669">
      <x:c r="B6669" s="7" t="str">
        <x:v>AG-06663</x:v>
      </x:c>
      <x:c r="C6669" s="7" t="str">
        <x:v>PEA-C-Y3</x:v>
      </x:c>
      <x:c r="D6669" s="7" t="str">
        <x:v>material coupon</x:v>
      </x:c>
      <x:c r="E6669" s="7" t="str">
        <x:v>CPN-PEA-C-Y3-SE-1</x:v>
      </x:c>
      <x:c r="F6669" s="7" t="str">
        <x:f>'Material Coupons'!K695</x:f>
        <x:v>OPEN</x:v>
      </x:c>
    </x:row>
    <x:row r="6670">
      <x:c r="B6670" s="7" t="str">
        <x:v>AG-06664</x:v>
      </x:c>
      <x:c r="C6670" s="7" t="str">
        <x:v>PEA-C-Y3</x:v>
      </x:c>
      <x:c r="D6670" s="7" t="str">
        <x:v>material coupon</x:v>
      </x:c>
      <x:c r="E6670" s="7" t="str">
        <x:v>CPN-PEA-C-Y3-SE-2</x:v>
      </x:c>
      <x:c r="F6670" s="7" t="str">
        <x:f>'Material Coupons'!K696</x:f>
        <x:v>OPEN</x:v>
      </x:c>
    </x:row>
    <x:row r="6671">
      <x:c r="B6671" s="7" t="str">
        <x:v>AG-06665</x:v>
      </x:c>
      <x:c r="C6671" s="7" t="str">
        <x:v>PEA-C-Y3</x:v>
      </x:c>
      <x:c r="D6671" s="7" t="str">
        <x:v>material coupon</x:v>
      </x:c>
      <x:c r="E6671" s="7" t="str">
        <x:v>CPN-PEA-C-Y3-SE-3</x:v>
      </x:c>
      <x:c r="F6671" s="7" t="str">
        <x:f>'Material Coupons'!K697</x:f>
        <x:v>OPEN</x:v>
      </x:c>
    </x:row>
    <x:row r="6672">
      <x:c r="B6672" s="7" t="str">
        <x:v>AG-06666</x:v>
      </x:c>
      <x:c r="C6672" s="7" t="str">
        <x:v>PEA-C-Y3</x:v>
      </x:c>
      <x:c r="D6672" s="7" t="str">
        <x:v>material coupon</x:v>
      </x:c>
      <x:c r="E6672" s="7" t="str">
        <x:v>CPN-PEA-C-Y3-SE-4</x:v>
      </x:c>
      <x:c r="F6672" s="7" t="str">
        <x:f>'Material Coupons'!K698</x:f>
        <x:v>OPEN</x:v>
      </x:c>
    </x:row>
    <x:row r="6673">
      <x:c r="B6673" s="7" t="str">
        <x:v>AG-06667</x:v>
      </x:c>
      <x:c r="C6673" s="7" t="str">
        <x:v>PEA-C-Y3</x:v>
      </x:c>
      <x:c r="D6673" s="7" t="str">
        <x:v>material coupon</x:v>
      </x:c>
      <x:c r="E6673" s="7" t="str">
        <x:v>CPN-PEA-C-Y3-SE-5</x:v>
      </x:c>
      <x:c r="F6673" s="7" t="str">
        <x:f>'Material Coupons'!K699</x:f>
        <x:v>OPEN</x:v>
      </x:c>
    </x:row>
    <x:row r="6674">
      <x:c r="B6674" s="7" t="str">
        <x:v>AG-06668</x:v>
      </x:c>
      <x:c r="C6674" s="7" t="str">
        <x:v>PEA-C-Y3</x:v>
      </x:c>
      <x:c r="D6674" s="7" t="str">
        <x:v>material coupon</x:v>
      </x:c>
      <x:c r="E6674" s="7" t="str">
        <x:v>CPN-PEA-C-Y3-SE-6</x:v>
      </x:c>
      <x:c r="F6674" s="7" t="str">
        <x:f>'Material Coupons'!K700</x:f>
        <x:v>OPEN</x:v>
      </x:c>
    </x:row>
    <x:row r="6675">
      <x:c r="B6675" s="7" t="str">
        <x:v>AG-06669</x:v>
      </x:c>
      <x:c r="C6675" s="7" t="str">
        <x:v>PEA-C-Y3</x:v>
      </x:c>
      <x:c r="D6675" s="7" t="str">
        <x:v>material coupon</x:v>
      </x:c>
      <x:c r="E6675" s="7" t="str">
        <x:v>CPN-PEA-C-Y3-SE-7</x:v>
      </x:c>
      <x:c r="F6675" s="7" t="str">
        <x:f>'Material Coupons'!K701</x:f>
        <x:v>OPEN</x:v>
      </x:c>
    </x:row>
    <x:row r="6676">
      <x:c r="B6676" s="7" t="str">
        <x:v>AG-06670</x:v>
      </x:c>
      <x:c r="C6676" s="7" t="str">
        <x:v>PEA-C-Y3</x:v>
      </x:c>
      <x:c r="D6676" s="7" t="str">
        <x:v>material coupon</x:v>
      </x:c>
      <x:c r="E6676" s="7" t="str">
        <x:v>CPN-PEA-C-Y3-SE-8</x:v>
      </x:c>
      <x:c r="F6676" s="7" t="str">
        <x:f>'Material Coupons'!K702</x:f>
        <x:v>OPEN</x:v>
      </x:c>
    </x:row>
    <x:row r="6677">
      <x:c r="B6677" s="7" t="str">
        <x:v>AG-06671</x:v>
      </x:c>
      <x:c r="C6677" s="7" t="str">
        <x:v>PEA-C-Y3</x:v>
      </x:c>
      <x:c r="D6677" s="7" t="str">
        <x:v>material coupon</x:v>
      </x:c>
      <x:c r="E6677" s="7" t="str">
        <x:v>CPN-PEA-C-Y3-SF-1</x:v>
      </x:c>
      <x:c r="F6677" s="7" t="str">
        <x:f>'Material Coupons'!K703</x:f>
        <x:v>OPEN</x:v>
      </x:c>
    </x:row>
    <x:row r="6678">
      <x:c r="B6678" s="7" t="str">
        <x:v>AG-06672</x:v>
      </x:c>
      <x:c r="C6678" s="7" t="str">
        <x:v>PEA-C-Y3</x:v>
      </x:c>
      <x:c r="D6678" s="7" t="str">
        <x:v>material coupon</x:v>
      </x:c>
      <x:c r="E6678" s="7" t="str">
        <x:v>CPN-PEA-C-Y3-SF-2</x:v>
      </x:c>
      <x:c r="F6678" s="7" t="str">
        <x:f>'Material Coupons'!K704</x:f>
        <x:v>OPEN</x:v>
      </x:c>
    </x:row>
    <x:row r="6679">
      <x:c r="B6679" s="7" t="str">
        <x:v>AG-06673</x:v>
      </x:c>
      <x:c r="C6679" s="7" t="str">
        <x:v>PEA-C-Y3</x:v>
      </x:c>
      <x:c r="D6679" s="7" t="str">
        <x:v>material coupon</x:v>
      </x:c>
      <x:c r="E6679" s="7" t="str">
        <x:v>CPN-PEA-C-Y3-SF-3</x:v>
      </x:c>
      <x:c r="F6679" s="7" t="str">
        <x:f>'Material Coupons'!K705</x:f>
        <x:v>OPEN</x:v>
      </x:c>
    </x:row>
    <x:row r="6680">
      <x:c r="B6680" s="7" t="str">
        <x:v>AG-06674</x:v>
      </x:c>
      <x:c r="C6680" s="7" t="str">
        <x:v>PEA-C-Y3</x:v>
      </x:c>
      <x:c r="D6680" s="7" t="str">
        <x:v>material coupon</x:v>
      </x:c>
      <x:c r="E6680" s="7" t="str">
        <x:v>CPN-PEA-C-Y3-SF-4</x:v>
      </x:c>
      <x:c r="F6680" s="7" t="str">
        <x:f>'Material Coupons'!K706</x:f>
        <x:v>OPEN</x:v>
      </x:c>
    </x:row>
    <x:row r="6681">
      <x:c r="B6681" s="7" t="str">
        <x:v>AG-06675</x:v>
      </x:c>
      <x:c r="C6681" s="7" t="str">
        <x:v>PEA-C-Y3</x:v>
      </x:c>
      <x:c r="D6681" s="7" t="str">
        <x:v>material coupon</x:v>
      </x:c>
      <x:c r="E6681" s="7" t="str">
        <x:v>CPN-PEA-C-Y3-SF-5</x:v>
      </x:c>
      <x:c r="F6681" s="7" t="str">
        <x:f>'Material Coupons'!K707</x:f>
        <x:v>OPEN</x:v>
      </x:c>
    </x:row>
    <x:row r="6682">
      <x:c r="B6682" s="7" t="str">
        <x:v>AG-06676</x:v>
      </x:c>
      <x:c r="C6682" s="7" t="str">
        <x:v>PEA-C-Y3</x:v>
      </x:c>
      <x:c r="D6682" s="7" t="str">
        <x:v>material coupon</x:v>
      </x:c>
      <x:c r="E6682" s="7" t="str">
        <x:v>CPN-PEA-C-Y3-SF-6</x:v>
      </x:c>
      <x:c r="F6682" s="7" t="str">
        <x:f>'Material Coupons'!K708</x:f>
        <x:v>OPEN</x:v>
      </x:c>
    </x:row>
    <x:row r="6683">
      <x:c r="B6683" s="7" t="str">
        <x:v>AG-06677</x:v>
      </x:c>
      <x:c r="C6683" s="7" t="str">
        <x:v>PEA-C-Y3</x:v>
      </x:c>
      <x:c r="D6683" s="7" t="str">
        <x:v>material coupon</x:v>
      </x:c>
      <x:c r="E6683" s="7" t="str">
        <x:v>CPN-PEA-C-Y3-SF-7</x:v>
      </x:c>
      <x:c r="F6683" s="7" t="str">
        <x:f>'Material Coupons'!K709</x:f>
        <x:v>OPEN</x:v>
      </x:c>
    </x:row>
    <x:row r="6684">
      <x:c r="B6684" s="7" t="str">
        <x:v>AG-06678</x:v>
      </x:c>
      <x:c r="C6684" s="7" t="str">
        <x:v>PEA-C-Y3</x:v>
      </x:c>
      <x:c r="D6684" s="7" t="str">
        <x:v>material coupon</x:v>
      </x:c>
      <x:c r="E6684" s="7" t="str">
        <x:v>CPN-PEA-C-Y3-SF-8</x:v>
      </x:c>
      <x:c r="F6684" s="7" t="str">
        <x:f>'Material Coupons'!K710</x:f>
        <x:v>OPEN</x:v>
      </x:c>
    </x:row>
    <x:row r="6685">
      <x:c r="B6685" s="7" t="str">
        <x:v>AG-06679</x:v>
      </x:c>
      <x:c r="C6685" s="7" t="str">
        <x:v>PEA-C-Y3</x:v>
      </x:c>
      <x:c r="D6685" s="7" t="str">
        <x:v>material coupon</x:v>
      </x:c>
      <x:c r="E6685" s="7" t="str">
        <x:v>CPN-PEA-C-Y3-CP-1</x:v>
      </x:c>
      <x:c r="F6685" s="7" t="str">
        <x:f>'Material Coupons'!K711</x:f>
        <x:v>OPEN</x:v>
      </x:c>
    </x:row>
    <x:row r="6686">
      <x:c r="B6686" s="7" t="str">
        <x:v>AG-06680</x:v>
      </x:c>
      <x:c r="C6686" s="7" t="str">
        <x:v>PEA-C-Y3</x:v>
      </x:c>
      <x:c r="D6686" s="7" t="str">
        <x:v>material coupon</x:v>
      </x:c>
      <x:c r="E6686" s="7" t="str">
        <x:v>CPN-PEA-C-Y3-CP-2</x:v>
      </x:c>
      <x:c r="F6686" s="7" t="str">
        <x:f>'Material Coupons'!K712</x:f>
        <x:v>OPEN</x:v>
      </x:c>
    </x:row>
    <x:row r="6687">
      <x:c r="B6687" s="7" t="str">
        <x:v>AG-06681</x:v>
      </x:c>
      <x:c r="C6687" s="7" t="str">
        <x:v>PEA-C-Y3</x:v>
      </x:c>
      <x:c r="D6687" s="7" t="str">
        <x:v>material coupon</x:v>
      </x:c>
      <x:c r="E6687" s="7" t="str">
        <x:v>CPN-PEA-C-Y3-CP-3</x:v>
      </x:c>
      <x:c r="F6687" s="7" t="str">
        <x:f>'Material Coupons'!K713</x:f>
        <x:v>OPEN</x:v>
      </x:c>
    </x:row>
    <x:row r="6688">
      <x:c r="B6688" s="7" t="str">
        <x:v>AG-06682</x:v>
      </x:c>
      <x:c r="C6688" s="7" t="str">
        <x:v>PEA-C-Y3</x:v>
      </x:c>
      <x:c r="D6688" s="7" t="str">
        <x:v>material coupon</x:v>
      </x:c>
      <x:c r="E6688" s="7" t="str">
        <x:v>CPN-PEA-C-Y3-CP-4</x:v>
      </x:c>
      <x:c r="F6688" s="7" t="str">
        <x:f>'Material Coupons'!K714</x:f>
        <x:v>OPEN</x:v>
      </x:c>
    </x:row>
    <x:row r="6689">
      <x:c r="B6689" s="7" t="str">
        <x:v>AG-06683</x:v>
      </x:c>
      <x:c r="C6689" s="7" t="str">
        <x:v>PEA-C-Y3</x:v>
      </x:c>
      <x:c r="D6689" s="7" t="str">
        <x:v>material coupon</x:v>
      </x:c>
      <x:c r="E6689" s="7" t="str">
        <x:v>CPN-PEA-C-Y3-CP-5</x:v>
      </x:c>
      <x:c r="F6689" s="7" t="str">
        <x:f>'Material Coupons'!K715</x:f>
        <x:v>OPEN</x:v>
      </x:c>
    </x:row>
    <x:row r="6690">
      <x:c r="B6690" s="7" t="str">
        <x:v>AG-06684</x:v>
      </x:c>
      <x:c r="C6690" s="7" t="str">
        <x:v>PEA-C-Y3</x:v>
      </x:c>
      <x:c r="D6690" s="7" t="str">
        <x:v>material coupon</x:v>
      </x:c>
      <x:c r="E6690" s="7" t="str">
        <x:v>CPN-PEA-C-Y3-CP-6</x:v>
      </x:c>
      <x:c r="F6690" s="7" t="str">
        <x:f>'Material Coupons'!K716</x:f>
        <x:v>OPEN</x:v>
      </x:c>
    </x:row>
    <x:row r="6691">
      <x:c r="B6691" s="7" t="str">
        <x:v>AG-06685</x:v>
      </x:c>
      <x:c r="C6691" s="7" t="str">
        <x:v>PEA-C-Y3</x:v>
      </x:c>
      <x:c r="D6691" s="7" t="str">
        <x:v>material coupon</x:v>
      </x:c>
      <x:c r="E6691" s="7" t="str">
        <x:v>CPN-PEA-C-Y3-CP-7</x:v>
      </x:c>
      <x:c r="F6691" s="7" t="str">
        <x:f>'Material Coupons'!K717</x:f>
        <x:v>OPEN</x:v>
      </x:c>
    </x:row>
    <x:row r="6692">
      <x:c r="B6692" s="7" t="str">
        <x:v>AG-06686</x:v>
      </x:c>
      <x:c r="C6692" s="7" t="str">
        <x:v>PEA-C-Y3</x:v>
      </x:c>
      <x:c r="D6692" s="7" t="str">
        <x:v>material coupon</x:v>
      </x:c>
      <x:c r="E6692" s="7" t="str">
        <x:v>CPN-PEA-C-Y3-CP-8</x:v>
      </x:c>
      <x:c r="F6692" s="7" t="str">
        <x:f>'Material Coupons'!K718</x:f>
        <x:v>OPEN</x:v>
      </x:c>
    </x:row>
    <x:row r="6693">
      <x:c r="B6693" s="7" t="str">
        <x:v>AG-06687</x:v>
      </x:c>
      <x:c r="C6693" s="7" t="str">
        <x:v>PEA-C-Y3</x:v>
      </x:c>
      <x:c r="D6693" s="7" t="str">
        <x:v>material coupon</x:v>
      </x:c>
      <x:c r="E6693" s="7" t="str">
        <x:v>CPN-PEA-C-Y3-SM-1</x:v>
      </x:c>
      <x:c r="F6693" s="7" t="str">
        <x:f>'Material Coupons'!K719</x:f>
        <x:v>OPEN</x:v>
      </x:c>
    </x:row>
    <x:row r="6694">
      <x:c r="B6694" s="7" t="str">
        <x:v>AG-06688</x:v>
      </x:c>
      <x:c r="C6694" s="7" t="str">
        <x:v>PEA-C-Y3</x:v>
      </x:c>
      <x:c r="D6694" s="7" t="str">
        <x:v>material coupon</x:v>
      </x:c>
      <x:c r="E6694" s="7" t="str">
        <x:v>CPN-PEA-C-Y3-SM-2</x:v>
      </x:c>
      <x:c r="F6694" s="7" t="str">
        <x:f>'Material Coupons'!K720</x:f>
        <x:v>OPEN</x:v>
      </x:c>
    </x:row>
    <x:row r="6695">
      <x:c r="B6695" s="7" t="str">
        <x:v>AG-06689</x:v>
      </x:c>
      <x:c r="C6695" s="7" t="str">
        <x:v>PEA-C-Y3</x:v>
      </x:c>
      <x:c r="D6695" s="7" t="str">
        <x:v>material coupon</x:v>
      </x:c>
      <x:c r="E6695" s="7" t="str">
        <x:v>CPN-PEA-C-Y3-SM-3</x:v>
      </x:c>
      <x:c r="F6695" s="7" t="str">
        <x:f>'Material Coupons'!K721</x:f>
        <x:v>OPEN</x:v>
      </x:c>
    </x:row>
    <x:row r="6696">
      <x:c r="B6696" s="7" t="str">
        <x:v>AG-06690</x:v>
      </x:c>
      <x:c r="C6696" s="7" t="str">
        <x:v>PEA-C-Y3</x:v>
      </x:c>
      <x:c r="D6696" s="7" t="str">
        <x:v>material coupon</x:v>
      </x:c>
      <x:c r="E6696" s="7" t="str">
        <x:v>CPN-PEA-C-Y3-SM-4</x:v>
      </x:c>
      <x:c r="F6696" s="7" t="str">
        <x:f>'Material Coupons'!K722</x:f>
        <x:v>OPEN</x:v>
      </x:c>
    </x:row>
    <x:row r="6697">
      <x:c r="B6697" s="7" t="str">
        <x:v>AG-06691</x:v>
      </x:c>
      <x:c r="C6697" s="7" t="str">
        <x:v>PEA-C-Y3</x:v>
      </x:c>
      <x:c r="D6697" s="7" t="str">
        <x:v>material coupon</x:v>
      </x:c>
      <x:c r="E6697" s="7" t="str">
        <x:v>CPN-PEA-C-Y3-SM-5</x:v>
      </x:c>
      <x:c r="F6697" s="7" t="str">
        <x:f>'Material Coupons'!K723</x:f>
        <x:v>OPEN</x:v>
      </x:c>
    </x:row>
    <x:row r="6698">
      <x:c r="B6698" s="7" t="str">
        <x:v>AG-06692</x:v>
      </x:c>
      <x:c r="C6698" s="7" t="str">
        <x:v>PEA-C-Y3</x:v>
      </x:c>
      <x:c r="D6698" s="7" t="str">
        <x:v>material coupon</x:v>
      </x:c>
      <x:c r="E6698" s="7" t="str">
        <x:v>CPN-PEA-C-Y3-SM-6</x:v>
      </x:c>
      <x:c r="F6698" s="7" t="str">
        <x:f>'Material Coupons'!K724</x:f>
        <x:v>OPEN</x:v>
      </x:c>
    </x:row>
    <x:row r="6699">
      <x:c r="B6699" s="7" t="str">
        <x:v>AG-06693</x:v>
      </x:c>
      <x:c r="C6699" s="7" t="str">
        <x:v>PEA-C-Y3</x:v>
      </x:c>
      <x:c r="D6699" s="7" t="str">
        <x:v>material coupon</x:v>
      </x:c>
      <x:c r="E6699" s="7" t="str">
        <x:v>CPN-PEA-C-Y3-SM-7</x:v>
      </x:c>
      <x:c r="F6699" s="7" t="str">
        <x:f>'Material Coupons'!K725</x:f>
        <x:v>OPEN</x:v>
      </x:c>
    </x:row>
    <x:row r="6700">
      <x:c r="B6700" s="7" t="str">
        <x:v>AG-06694</x:v>
      </x:c>
      <x:c r="C6700" s="7" t="str">
        <x:v>PEA-C-Y3</x:v>
      </x:c>
      <x:c r="D6700" s="7" t="str">
        <x:v>material coupon</x:v>
      </x:c>
      <x:c r="E6700" s="7" t="str">
        <x:v>CPN-PEA-C-Y3-SM-8</x:v>
      </x:c>
      <x:c r="F6700" s="7" t="str">
        <x:f>'Material Coupons'!K726</x:f>
        <x:v>OPEN</x:v>
      </x:c>
    </x:row>
    <x:row r="6701">
      <x:c r="B6701" s="7" t="str">
        <x:v>AG-06695</x:v>
      </x:c>
      <x:c r="C6701" s="7" t="str">
        <x:v>PEA-C-Y3</x:v>
      </x:c>
      <x:c r="D6701" s="7" t="str">
        <x:v>NDE record</x:v>
      </x:c>
      <x:c r="E6701" s="7" t="str">
        <x:v>NDE-TRV-PEA-C-Y3-01</x:v>
      </x:c>
      <x:c r="F6701" s="7" t="str">
        <x:f>'NDE Records'!L347</x:f>
        <x:v>OPEN</x:v>
      </x:c>
    </x:row>
    <x:row r="6702">
      <x:c r="B6702" s="7" t="str">
        <x:v>AG-06696</x:v>
      </x:c>
      <x:c r="C6702" s="7" t="str">
        <x:v>PEA-C-Y3</x:v>
      </x:c>
      <x:c r="D6702" s="7" t="str">
        <x:v>NDE record</x:v>
      </x:c>
      <x:c r="E6702" s="7" t="str">
        <x:v>NDE-TRV-PEA-C-Y3-02</x:v>
      </x:c>
      <x:c r="F6702" s="7" t="str">
        <x:f>'NDE Records'!L348</x:f>
        <x:v>OPEN</x:v>
      </x:c>
    </x:row>
    <x:row r="6703">
      <x:c r="B6703" s="7" t="str">
        <x:v>AG-06697</x:v>
      </x:c>
      <x:c r="C6703" s="7" t="str">
        <x:v>PEA-C-Y3</x:v>
      </x:c>
      <x:c r="D6703" s="7" t="str">
        <x:v>NDE record</x:v>
      </x:c>
      <x:c r="E6703" s="7" t="str">
        <x:v>NDE-TRV-PEA-C-Y3-03</x:v>
      </x:c>
      <x:c r="F6703" s="7" t="str">
        <x:f>'NDE Records'!L349</x:f>
        <x:v>OPEN</x:v>
      </x:c>
    </x:row>
    <x:row r="6704">
      <x:c r="B6704" s="7" t="str">
        <x:v>AG-06698</x:v>
      </x:c>
      <x:c r="C6704" s="7" t="str">
        <x:v>PEA-C-Y3</x:v>
      </x:c>
      <x:c r="D6704" s="7" t="str">
        <x:v>NDE record</x:v>
      </x:c>
      <x:c r="E6704" s="7" t="str">
        <x:v>NDE-TRV-PEA-C-Y3-04</x:v>
      </x:c>
      <x:c r="F6704" s="7" t="str">
        <x:f>'NDE Records'!L350</x:f>
        <x:v>OPEN</x:v>
      </x:c>
    </x:row>
    <x:row r="6705">
      <x:c r="B6705" s="7" t="str">
        <x:v>AG-06699</x:v>
      </x:c>
      <x:c r="C6705" s="7" t="str">
        <x:v>PEA-C-Y3</x:v>
      </x:c>
      <x:c r="D6705" s="7" t="str">
        <x:v>NDE record</x:v>
      </x:c>
      <x:c r="E6705" s="7" t="str">
        <x:v>NDE-TRV-PEA-C-Y3-05</x:v>
      </x:c>
      <x:c r="F6705" s="7" t="str">
        <x:f>'NDE Records'!L351</x:f>
        <x:v>OPEN</x:v>
      </x:c>
    </x:row>
    <x:row r="6706">
      <x:c r="B6706" s="7" t="str">
        <x:v>AG-06700</x:v>
      </x:c>
      <x:c r="C6706" s="7" t="str">
        <x:v>PEA-C-Y3</x:v>
      </x:c>
      <x:c r="D6706" s="7" t="str">
        <x:v>NDE record</x:v>
      </x:c>
      <x:c r="E6706" s="7" t="str">
        <x:v>NDE-TRV-PEA-C-Y3-06</x:v>
      </x:c>
      <x:c r="F6706" s="7" t="str">
        <x:f>'NDE Records'!L352</x:f>
        <x:v>OPEN</x:v>
      </x:c>
    </x:row>
    <x:row r="6707">
      <x:c r="B6707" s="7" t="str">
        <x:v>AG-06701</x:v>
      </x:c>
      <x:c r="C6707" s="7" t="str">
        <x:v>PEA-C-Y3</x:v>
      </x:c>
      <x:c r="D6707" s="7" t="str">
        <x:v>NDE record</x:v>
      </x:c>
      <x:c r="E6707" s="7" t="str">
        <x:v>NDE-TRV-PEA-C-Y3-07</x:v>
      </x:c>
      <x:c r="F6707" s="7" t="str">
        <x:f>'NDE Records'!L353</x:f>
        <x:v>OPEN</x:v>
      </x:c>
    </x:row>
    <x:row r="6708">
      <x:c r="B6708" s="7" t="str">
        <x:v>AG-06702</x:v>
      </x:c>
      <x:c r="C6708" s="7" t="str">
        <x:v>PEA-C-Y3</x:v>
      </x:c>
      <x:c r="D6708" s="7" t="str">
        <x:v>NDE record</x:v>
      </x:c>
      <x:c r="E6708" s="7" t="str">
        <x:v>NDE-TRV-PEA-C-Y3-08</x:v>
      </x:c>
      <x:c r="F6708" s="7" t="str">
        <x:f>'NDE Records'!L354</x:f>
        <x:v>OPEN</x:v>
      </x:c>
    </x:row>
    <x:row r="6709">
      <x:c r="B6709" s="7" t="str">
        <x:v>AG-06703</x:v>
      </x:c>
      <x:c r="C6709" s="7" t="str">
        <x:v>PEA-C-Y3</x:v>
      </x:c>
      <x:c r="D6709" s="7" t="str">
        <x:v>NDE record</x:v>
      </x:c>
      <x:c r="E6709" s="7" t="str">
        <x:v>NDE-TRV-PEA-C-Y3-09</x:v>
      </x:c>
      <x:c r="F6709" s="7" t="str">
        <x:f>'NDE Records'!L355</x:f>
        <x:v>OPEN</x:v>
      </x:c>
    </x:row>
    <x:row r="6710">
      <x:c r="B6710" s="7" t="str">
        <x:v>AG-06704</x:v>
      </x:c>
      <x:c r="C6710" s="7" t="str">
        <x:v>PEA-C-Y3</x:v>
      </x:c>
      <x:c r="D6710" s="7" t="str">
        <x:v>NDE record</x:v>
      </x:c>
      <x:c r="E6710" s="7" t="str">
        <x:v>NDE-TRV-PEA-C-Y3-10</x:v>
      </x:c>
      <x:c r="F6710" s="7" t="str">
        <x:f>'NDE Records'!L356</x:f>
        <x:v>OPEN</x:v>
      </x:c>
    </x:row>
    <x:row r="6711">
      <x:c r="B6711" s="7" t="str">
        <x:v>AG-06705</x:v>
      </x:c>
      <x:c r="C6711" s="7" t="str">
        <x:v>PEA-C-Y3</x:v>
      </x:c>
      <x:c r="D6711" s="7" t="str">
        <x:v>NDE record</x:v>
      </x:c>
      <x:c r="E6711" s="7" t="str">
        <x:v>NDE-TRV-PEA-C-Y3-11</x:v>
      </x:c>
      <x:c r="F6711" s="7" t="str">
        <x:f>'NDE Records'!L357</x:f>
        <x:v>OPEN</x:v>
      </x:c>
    </x:row>
    <x:row r="6712">
      <x:c r="B6712" s="7" t="str">
        <x:v>AG-06706</x:v>
      </x:c>
      <x:c r="C6712" s="7" t="str">
        <x:v>PEA-C-Y3</x:v>
      </x:c>
      <x:c r="D6712" s="7" t="str">
        <x:v>NDE record</x:v>
      </x:c>
      <x:c r="E6712" s="7" t="str">
        <x:v>NDE-TRV-PEA-C-Y3-12</x:v>
      </x:c>
      <x:c r="F6712" s="7" t="str">
        <x:f>'NDE Records'!L358</x:f>
        <x:v>OPEN</x:v>
      </x:c>
    </x:row>
    <x:row r="6713">
      <x:c r="B6713" s="7" t="str">
        <x:v>AG-06707</x:v>
      </x:c>
      <x:c r="C6713" s="7" t="str">
        <x:v>PEA-C-Y3</x:v>
      </x:c>
      <x:c r="D6713" s="7" t="str">
        <x:v>NDE record</x:v>
      </x:c>
      <x:c r="E6713" s="7" t="str">
        <x:v>NDE-TRV-PEA-C-Y3-13</x:v>
      </x:c>
      <x:c r="F6713" s="7" t="str">
        <x:f>'NDE Records'!L359</x:f>
        <x:v>OPEN</x:v>
      </x:c>
    </x:row>
    <x:row r="6714">
      <x:c r="B6714" s="7" t="str">
        <x:v>AG-06708</x:v>
      </x:c>
      <x:c r="C6714" s="7" t="str">
        <x:v>PEA-C-Y3</x:v>
      </x:c>
      <x:c r="D6714" s="7" t="str">
        <x:v>NDE record</x:v>
      </x:c>
      <x:c r="E6714" s="7" t="str">
        <x:v>NDE-TRV-PEA-C-Y3-14</x:v>
      </x:c>
      <x:c r="F6714" s="7" t="str">
        <x:f>'NDE Records'!L360</x:f>
        <x:v>OPEN</x:v>
      </x:c>
    </x:row>
    <x:row r="6715">
      <x:c r="B6715" s="7" t="str">
        <x:v>AG-06709</x:v>
      </x:c>
      <x:c r="C6715" s="7" t="str">
        <x:v>PEA-C-Y3</x:v>
      </x:c>
      <x:c r="D6715" s="7" t="str">
        <x:v>NDE record</x:v>
      </x:c>
      <x:c r="E6715" s="7" t="str">
        <x:v>NDE-TRV-PEA-C-Y3-15</x:v>
      </x:c>
      <x:c r="F6715" s="7" t="str">
        <x:f>'NDE Records'!L361</x:f>
        <x:v>OPEN</x:v>
      </x:c>
    </x:row>
    <x:row r="6716">
      <x:c r="B6716" s="7" t="str">
        <x:v>AG-06710</x:v>
      </x:c>
      <x:c r="C6716" s="7" t="str">
        <x:v>PEA-C-Y3</x:v>
      </x:c>
      <x:c r="D6716" s="7" t="str">
        <x:v>NDE record</x:v>
      </x:c>
      <x:c r="E6716" s="7" t="str">
        <x:v>NDE-TRV-PEA-C-Y3-16</x:v>
      </x:c>
      <x:c r="F6716" s="7" t="str">
        <x:f>'NDE Records'!L362</x:f>
        <x:v>OPEN</x:v>
      </x:c>
    </x:row>
    <x:row r="6717">
      <x:c r="B6717" s="7" t="str">
        <x:v>AG-06711</x:v>
      </x:c>
      <x:c r="C6717" s="7" t="str">
        <x:v>PEA-C-Y3</x:v>
      </x:c>
      <x:c r="D6717" s="7" t="str">
        <x:v>NDE record</x:v>
      </x:c>
      <x:c r="E6717" s="7" t="str">
        <x:v>NDE-TRV-PEA-C-Y3-17</x:v>
      </x:c>
      <x:c r="F6717" s="7" t="str">
        <x:f>'NDE Records'!L363</x:f>
        <x:v>OPEN</x:v>
      </x:c>
    </x:row>
    <x:row r="6718">
      <x:c r="B6718" s="7" t="str">
        <x:v>AG-06712</x:v>
      </x:c>
      <x:c r="C6718" s="7" t="str">
        <x:v>PEA-C-Y3</x:v>
      </x:c>
      <x:c r="D6718" s="7" t="str">
        <x:v>NDE record</x:v>
      </x:c>
      <x:c r="E6718" s="7" t="str">
        <x:v>NDE-TRV-PEA-C-Y3-18</x:v>
      </x:c>
      <x:c r="F6718" s="7" t="str">
        <x:f>'NDE Records'!L364</x:f>
        <x:v>OPEN</x:v>
      </x:c>
    </x:row>
    <x:row r="6719">
      <x:c r="B6719" s="7" t="str">
        <x:v>AG-06713</x:v>
      </x:c>
      <x:c r="C6719" s="7" t="str">
        <x:v>PEA-C-Y3</x:v>
      </x:c>
      <x:c r="D6719" s="7" t="str">
        <x:v>NDE record</x:v>
      </x:c>
      <x:c r="E6719" s="7" t="str">
        <x:v>NDE-TRV-PEA-C-Y3-19</x:v>
      </x:c>
      <x:c r="F6719" s="7" t="str">
        <x:f>'NDE Records'!L365</x:f>
        <x:v>OPEN</x:v>
      </x:c>
    </x:row>
    <x:row r="6720">
      <x:c r="B6720" s="7" t="str">
        <x:v>AG-06714</x:v>
      </x:c>
      <x:c r="C6720" s="7" t="str">
        <x:v>PEA-C-Y3</x:v>
      </x:c>
      <x:c r="D6720" s="7" t="str">
        <x:v>NDE record</x:v>
      </x:c>
      <x:c r="E6720" s="7" t="str">
        <x:v>NDE-TRV-PEA-C-Y3-20</x:v>
      </x:c>
      <x:c r="F6720" s="7" t="str">
        <x:f>'NDE Records'!L366</x:f>
        <x:v>OPEN</x:v>
      </x:c>
    </x:row>
    <x:row r="6721">
      <x:c r="B6721" s="7" t="str">
        <x:v>AG-06715</x:v>
      </x:c>
      <x:c r="C6721" s="7" t="str">
        <x:v>PEA-C-Y3</x:v>
      </x:c>
      <x:c r="D6721" s="7" t="str">
        <x:v>joint record</x:v>
      </x:c>
      <x:c r="E6721" s="7" t="str">
        <x:v>JNT-PEA-C-Y3-1</x:v>
      </x:c>
      <x:c r="F6721" s="7" t="str">
        <x:f>'Joint Records'!M92</x:f>
        <x:v>OPEN</x:v>
      </x:c>
    </x:row>
    <x:row r="6722">
      <x:c r="B6722" s="7" t="str">
        <x:v>AG-06716</x:v>
      </x:c>
      <x:c r="C6722" s="7" t="str">
        <x:v>PEA-C-Y3</x:v>
      </x:c>
      <x:c r="D6722" s="7" t="str">
        <x:v>joint record</x:v>
      </x:c>
      <x:c r="E6722" s="7" t="str">
        <x:v>JNT-PEA-C-Y3-2</x:v>
      </x:c>
      <x:c r="F6722" s="7" t="str">
        <x:f>'Joint Records'!M93</x:f>
        <x:v>OPEN</x:v>
      </x:c>
    </x:row>
    <x:row r="6723">
      <x:c r="B6723" s="7" t="str">
        <x:v>AG-06717</x:v>
      </x:c>
      <x:c r="C6723" s="7" t="str">
        <x:v>PEA-C-Y3</x:v>
      </x:c>
      <x:c r="D6723" s="7" t="str">
        <x:v>joint record</x:v>
      </x:c>
      <x:c r="E6723" s="7" t="str">
        <x:v>JNT-PEA-C-Y3-3</x:v>
      </x:c>
      <x:c r="F6723" s="7" t="str">
        <x:f>'Joint Records'!M94</x:f>
        <x:v>OPEN</x:v>
      </x:c>
    </x:row>
    <x:row r="6724">
      <x:c r="B6724" s="7" t="str">
        <x:v>AG-06718</x:v>
      </x:c>
      <x:c r="C6724" s="7" t="str">
        <x:v>PEA-C-Y3</x:v>
      </x:c>
      <x:c r="D6724" s="7" t="str">
        <x:v>joint record</x:v>
      </x:c>
      <x:c r="E6724" s="7" t="str">
        <x:v>JNT-PEA-C-Y3-4</x:v>
      </x:c>
      <x:c r="F6724" s="7" t="str">
        <x:f>'Joint Records'!M95</x:f>
        <x:v>OPEN</x:v>
      </x:c>
    </x:row>
    <x:row r="6725">
      <x:c r="B6725" s="7" t="str">
        <x:v>AG-06719</x:v>
      </x:c>
      <x:c r="C6725" s="7" t="str">
        <x:v>PEA-C-Y3</x:v>
      </x:c>
      <x:c r="D6725" s="7" t="str">
        <x:v>joint record</x:v>
      </x:c>
      <x:c r="E6725" s="7" t="str">
        <x:v>JNT-PEA-C-Y3-5</x:v>
      </x:c>
      <x:c r="F6725" s="7" t="str">
        <x:f>'Joint Records'!M96</x:f>
        <x:v>OPEN</x:v>
      </x:c>
    </x:row>
    <x:row r="6726">
      <x:c r="B6726" s="7" t="str">
        <x:v>AG-06720</x:v>
      </x:c>
      <x:c r="C6726" s="7" t="str">
        <x:v>PEA-C-Y3</x:v>
      </x:c>
      <x:c r="D6726" s="7" t="str">
        <x:v>control element</x:v>
      </x:c>
      <x:c r="E6726" s="7" t="str">
        <x:v>ELM-PEA-C-Y3-01</x:v>
      </x:c>
      <x:c r="F6726" s="7" t="str">
        <x:f>'Control Elements'!L211</x:f>
        <x:v>OPEN</x:v>
      </x:c>
    </x:row>
    <x:row r="6727">
      <x:c r="B6727" s="7" t="str">
        <x:v>AG-06721</x:v>
      </x:c>
      <x:c r="C6727" s="7" t="str">
        <x:v>PEA-C-Y3</x:v>
      </x:c>
      <x:c r="D6727" s="7" t="str">
        <x:v>control element</x:v>
      </x:c>
      <x:c r="E6727" s="7" t="str">
        <x:v>ELM-PEA-C-Y3-02</x:v>
      </x:c>
      <x:c r="F6727" s="7" t="str">
        <x:f>'Control Elements'!L212</x:f>
        <x:v>OPEN</x:v>
      </x:c>
    </x:row>
    <x:row r="6728">
      <x:c r="B6728" s="7" t="str">
        <x:v>AG-06722</x:v>
      </x:c>
      <x:c r="C6728" s="7" t="str">
        <x:v>PEA-C-Y3</x:v>
      </x:c>
      <x:c r="D6728" s="7" t="str">
        <x:v>control element</x:v>
      </x:c>
      <x:c r="E6728" s="7" t="str">
        <x:v>ELM-PEA-C-Y3-03</x:v>
      </x:c>
      <x:c r="F6728" s="7" t="str">
        <x:f>'Control Elements'!L213</x:f>
        <x:v>OPEN</x:v>
      </x:c>
    </x:row>
    <x:row r="6729">
      <x:c r="B6729" s="7" t="str">
        <x:v>AG-06723</x:v>
      </x:c>
      <x:c r="C6729" s="7" t="str">
        <x:v>PEA-C-Y3</x:v>
      </x:c>
      <x:c r="D6729" s="7" t="str">
        <x:v>control element</x:v>
      </x:c>
      <x:c r="E6729" s="7" t="str">
        <x:v>ELM-PEA-C-Y3-04</x:v>
      </x:c>
      <x:c r="F6729" s="7" t="str">
        <x:f>'Control Elements'!L214</x:f>
        <x:v>OPEN</x:v>
      </x:c>
    </x:row>
    <x:row r="6730">
      <x:c r="B6730" s="7" t="str">
        <x:v>AG-06724</x:v>
      </x:c>
      <x:c r="C6730" s="7" t="str">
        <x:v>PEA-C-Y3</x:v>
      </x:c>
      <x:c r="D6730" s="7" t="str">
        <x:v>control element</x:v>
      </x:c>
      <x:c r="E6730" s="7" t="str">
        <x:v>ELM-PEA-C-Y3-05</x:v>
      </x:c>
      <x:c r="F6730" s="7" t="str">
        <x:f>'Control Elements'!L215</x:f>
        <x:v>OPEN</x:v>
      </x:c>
    </x:row>
    <x:row r="6731">
      <x:c r="B6731" s="7" t="str">
        <x:v>AG-06725</x:v>
      </x:c>
      <x:c r="C6731" s="7" t="str">
        <x:v>PEA-C-Y3</x:v>
      </x:c>
      <x:c r="D6731" s="7" t="str">
        <x:v>control element</x:v>
      </x:c>
      <x:c r="E6731" s="7" t="str">
        <x:v>ELM-PEA-C-Y3-06</x:v>
      </x:c>
      <x:c r="F6731" s="7" t="str">
        <x:f>'Control Elements'!L216</x:f>
        <x:v>OPEN</x:v>
      </x:c>
    </x:row>
    <x:row r="6732">
      <x:c r="B6732" s="7" t="str">
        <x:v>AG-06726</x:v>
      </x:c>
      <x:c r="C6732" s="7" t="str">
        <x:v>PEA-C-Y3</x:v>
      </x:c>
      <x:c r="D6732" s="7" t="str">
        <x:v>control element</x:v>
      </x:c>
      <x:c r="E6732" s="7" t="str">
        <x:v>ELM-PEA-C-Y3-07</x:v>
      </x:c>
      <x:c r="F6732" s="7" t="str">
        <x:f>'Control Elements'!L217</x:f>
        <x:v>OPEN</x:v>
      </x:c>
    </x:row>
    <x:row r="6733">
      <x:c r="B6733" s="7" t="str">
        <x:v>AG-06727</x:v>
      </x:c>
      <x:c r="C6733" s="7" t="str">
        <x:v>PEA-C-Y3</x:v>
      </x:c>
      <x:c r="D6733" s="7" t="str">
        <x:v>control element</x:v>
      </x:c>
      <x:c r="E6733" s="7" t="str">
        <x:v>ELM-PEA-C-Y3-08</x:v>
      </x:c>
      <x:c r="F6733" s="7" t="str">
        <x:f>'Control Elements'!L218</x:f>
        <x:v>OPEN</x:v>
      </x:c>
    </x:row>
    <x:row r="6734">
      <x:c r="B6734" s="7" t="str">
        <x:v>AG-06728</x:v>
      </x:c>
      <x:c r="C6734" s="7" t="str">
        <x:v>PEA-C-Y3</x:v>
      </x:c>
      <x:c r="D6734" s="7" t="str">
        <x:v>control element</x:v>
      </x:c>
      <x:c r="E6734" s="7" t="str">
        <x:v>ELM-PEA-C-Y3-09</x:v>
      </x:c>
      <x:c r="F6734" s="7" t="str">
        <x:f>'Control Elements'!L219</x:f>
        <x:v>OPEN</x:v>
      </x:c>
    </x:row>
    <x:row r="6735">
      <x:c r="B6735" s="7" t="str">
        <x:v>AG-06729</x:v>
      </x:c>
      <x:c r="C6735" s="7" t="str">
        <x:v>PEA-C-Y3</x:v>
      </x:c>
      <x:c r="D6735" s="7" t="str">
        <x:v>control element</x:v>
      </x:c>
      <x:c r="E6735" s="7" t="str">
        <x:v>ELM-PEA-C-Y3-10</x:v>
      </x:c>
      <x:c r="F6735" s="7" t="str">
        <x:f>'Control Elements'!L220</x:f>
        <x:v>OPEN</x:v>
      </x:c>
    </x:row>
    <x:row r="6736">
      <x:c r="B6736" s="7" t="str">
        <x:v>AG-06730</x:v>
      </x:c>
      <x:c r="C6736" s="7" t="str">
        <x:v>PEA-C-Y3</x:v>
      </x:c>
      <x:c r="D6736" s="7" t="str">
        <x:v>control element</x:v>
      </x:c>
      <x:c r="E6736" s="7" t="str">
        <x:v>ELM-PEA-C-Y3-11</x:v>
      </x:c>
      <x:c r="F6736" s="7" t="str">
        <x:f>'Control Elements'!L221</x:f>
        <x:v>OPEN</x:v>
      </x:c>
    </x:row>
    <x:row r="6737">
      <x:c r="B6737" s="7" t="str">
        <x:v>AG-06731</x:v>
      </x:c>
      <x:c r="C6737" s="7" t="str">
        <x:v>PEA-C-Y3</x:v>
      </x:c>
      <x:c r="D6737" s="7" t="str">
        <x:v>control element</x:v>
      </x:c>
      <x:c r="E6737" s="7" t="str">
        <x:v>ELM-PEA-C-Y3-12</x:v>
      </x:c>
      <x:c r="F6737" s="7" t="str">
        <x:f>'Control Elements'!L222</x:f>
        <x:v>OPEN</x:v>
      </x:c>
    </x:row>
    <x:row r="6738">
      <x:c r="B6738" s="7" t="str">
        <x:v>AG-06732</x:v>
      </x:c>
      <x:c r="C6738" s="7" t="str">
        <x:v>PEA-C-Y3</x:v>
      </x:c>
      <x:c r="D6738" s="7" t="str">
        <x:v>channel instance</x:v>
      </x:c>
      <x:c r="E6738" s="7" t="str">
        <x:v>CH-PEA-C-Y3-01-1</x:v>
      </x:c>
      <x:c r="F6738" s="7" t="str">
        <x:f>'Channel Instances'!O2455</x:f>
        <x:v>OPEN</x:v>
      </x:c>
    </x:row>
    <x:row r="6739">
      <x:c r="B6739" s="7" t="str">
        <x:v>AG-06733</x:v>
      </x:c>
      <x:c r="C6739" s="7" t="str">
        <x:v>PEA-C-Y3</x:v>
      </x:c>
      <x:c r="D6739" s="7" t="str">
        <x:v>channel instance</x:v>
      </x:c>
      <x:c r="E6739" s="7" t="str">
        <x:v>CH-PEA-C-Y3-01-2</x:v>
      </x:c>
      <x:c r="F6739" s="7" t="str">
        <x:f>'Channel Instances'!O2456</x:f>
        <x:v>OPEN</x:v>
      </x:c>
    </x:row>
    <x:row r="6740">
      <x:c r="B6740" s="7" t="str">
        <x:v>AG-06734</x:v>
      </x:c>
      <x:c r="C6740" s="7" t="str">
        <x:v>PEA-C-Y3</x:v>
      </x:c>
      <x:c r="D6740" s="7" t="str">
        <x:v>channel instance</x:v>
      </x:c>
      <x:c r="E6740" s="7" t="str">
        <x:v>CH-PEA-C-Y3-01-3</x:v>
      </x:c>
      <x:c r="F6740" s="7" t="str">
        <x:f>'Channel Instances'!O2457</x:f>
        <x:v>OPEN</x:v>
      </x:c>
    </x:row>
    <x:row r="6741">
      <x:c r="B6741" s="7" t="str">
        <x:v>AG-06735</x:v>
      </x:c>
      <x:c r="C6741" s="7" t="str">
        <x:v>PEA-C-Y3</x:v>
      </x:c>
      <x:c r="D6741" s="7" t="str">
        <x:v>channel instance</x:v>
      </x:c>
      <x:c r="E6741" s="7" t="str">
        <x:v>CH-PEA-C-Y3-01-4</x:v>
      </x:c>
      <x:c r="F6741" s="7" t="str">
        <x:f>'Channel Instances'!O2458</x:f>
        <x:v>OPEN</x:v>
      </x:c>
    </x:row>
    <x:row r="6742">
      <x:c r="B6742" s="7" t="str">
        <x:v>AG-06736</x:v>
      </x:c>
      <x:c r="C6742" s="7" t="str">
        <x:v>PEA-C-Y3</x:v>
      </x:c>
      <x:c r="D6742" s="7" t="str">
        <x:v>channel instance</x:v>
      </x:c>
      <x:c r="E6742" s="7" t="str">
        <x:v>CH-PEA-C-Y3-01-5</x:v>
      </x:c>
      <x:c r="F6742" s="7" t="str">
        <x:f>'Channel Instances'!O2459</x:f>
        <x:v>OPEN</x:v>
      </x:c>
    </x:row>
    <x:row r="6743">
      <x:c r="B6743" s="7" t="str">
        <x:v>AG-06737</x:v>
      </x:c>
      <x:c r="C6743" s="7" t="str">
        <x:v>PEA-C-Y3</x:v>
      </x:c>
      <x:c r="D6743" s="7" t="str">
        <x:v>channel instance</x:v>
      </x:c>
      <x:c r="E6743" s="7" t="str">
        <x:v>CH-PEA-C-Y3-01-6</x:v>
      </x:c>
      <x:c r="F6743" s="7" t="str">
        <x:f>'Channel Instances'!O2460</x:f>
        <x:v>OPEN</x:v>
      </x:c>
    </x:row>
    <x:row r="6744">
      <x:c r="B6744" s="7" t="str">
        <x:v>AG-06738</x:v>
      </x:c>
      <x:c r="C6744" s="7" t="str">
        <x:v>PEA-C-Y3</x:v>
      </x:c>
      <x:c r="D6744" s="7" t="str">
        <x:v>channel instance</x:v>
      </x:c>
      <x:c r="E6744" s="7" t="str">
        <x:v>CH-PEA-C-Y3-02-1</x:v>
      </x:c>
      <x:c r="F6744" s="7" t="str">
        <x:f>'Channel Instances'!O2461</x:f>
        <x:v>OPEN</x:v>
      </x:c>
    </x:row>
    <x:row r="6745">
      <x:c r="B6745" s="7" t="str">
        <x:v>AG-06739</x:v>
      </x:c>
      <x:c r="C6745" s="7" t="str">
        <x:v>PEA-C-Y3</x:v>
      </x:c>
      <x:c r="D6745" s="7" t="str">
        <x:v>channel instance</x:v>
      </x:c>
      <x:c r="E6745" s="7" t="str">
        <x:v>CH-PEA-C-Y3-02-2</x:v>
      </x:c>
      <x:c r="F6745" s="7" t="str">
        <x:f>'Channel Instances'!O2462</x:f>
        <x:v>OPEN</x:v>
      </x:c>
    </x:row>
    <x:row r="6746">
      <x:c r="B6746" s="7" t="str">
        <x:v>AG-06740</x:v>
      </x:c>
      <x:c r="C6746" s="7" t="str">
        <x:v>PEA-C-Y3</x:v>
      </x:c>
      <x:c r="D6746" s="7" t="str">
        <x:v>channel instance</x:v>
      </x:c>
      <x:c r="E6746" s="7" t="str">
        <x:v>CH-PEA-C-Y3-02-3</x:v>
      </x:c>
      <x:c r="F6746" s="7" t="str">
        <x:f>'Channel Instances'!O2463</x:f>
        <x:v>OPEN</x:v>
      </x:c>
    </x:row>
    <x:row r="6747">
      <x:c r="B6747" s="7" t="str">
        <x:v>AG-06741</x:v>
      </x:c>
      <x:c r="C6747" s="7" t="str">
        <x:v>PEA-C-Y3</x:v>
      </x:c>
      <x:c r="D6747" s="7" t="str">
        <x:v>channel instance</x:v>
      </x:c>
      <x:c r="E6747" s="7" t="str">
        <x:v>CH-PEA-C-Y3-02-4</x:v>
      </x:c>
      <x:c r="F6747" s="7" t="str">
        <x:f>'Channel Instances'!O2464</x:f>
        <x:v>OPEN</x:v>
      </x:c>
    </x:row>
    <x:row r="6748">
      <x:c r="B6748" s="7" t="str">
        <x:v>AG-06742</x:v>
      </x:c>
      <x:c r="C6748" s="7" t="str">
        <x:v>PEA-C-Y3</x:v>
      </x:c>
      <x:c r="D6748" s="7" t="str">
        <x:v>channel instance</x:v>
      </x:c>
      <x:c r="E6748" s="7" t="str">
        <x:v>CH-PEA-C-Y3-02-5</x:v>
      </x:c>
      <x:c r="F6748" s="7" t="str">
        <x:f>'Channel Instances'!O2465</x:f>
        <x:v>OPEN</x:v>
      </x:c>
    </x:row>
    <x:row r="6749">
      <x:c r="B6749" s="7" t="str">
        <x:v>AG-06743</x:v>
      </x:c>
      <x:c r="C6749" s="7" t="str">
        <x:v>PEA-C-Y3</x:v>
      </x:c>
      <x:c r="D6749" s="7" t="str">
        <x:v>channel instance</x:v>
      </x:c>
      <x:c r="E6749" s="7" t="str">
        <x:v>CH-PEA-C-Y3-02-6</x:v>
      </x:c>
      <x:c r="F6749" s="7" t="str">
        <x:f>'Channel Instances'!O2466</x:f>
        <x:v>OPEN</x:v>
      </x:c>
    </x:row>
    <x:row r="6750">
      <x:c r="B6750" s="7" t="str">
        <x:v>AG-06744</x:v>
      </x:c>
      <x:c r="C6750" s="7" t="str">
        <x:v>PEA-C-Y3</x:v>
      </x:c>
      <x:c r="D6750" s="7" t="str">
        <x:v>channel instance</x:v>
      </x:c>
      <x:c r="E6750" s="7" t="str">
        <x:v>CH-PEA-C-Y3-03-1</x:v>
      </x:c>
      <x:c r="F6750" s="7" t="str">
        <x:f>'Channel Instances'!O2467</x:f>
        <x:v>OPEN</x:v>
      </x:c>
    </x:row>
    <x:row r="6751">
      <x:c r="B6751" s="7" t="str">
        <x:v>AG-06745</x:v>
      </x:c>
      <x:c r="C6751" s="7" t="str">
        <x:v>PEA-C-Y3</x:v>
      </x:c>
      <x:c r="D6751" s="7" t="str">
        <x:v>channel instance</x:v>
      </x:c>
      <x:c r="E6751" s="7" t="str">
        <x:v>CH-PEA-C-Y3-03-2</x:v>
      </x:c>
      <x:c r="F6751" s="7" t="str">
        <x:f>'Channel Instances'!O2468</x:f>
        <x:v>OPEN</x:v>
      </x:c>
    </x:row>
    <x:row r="6752">
      <x:c r="B6752" s="7" t="str">
        <x:v>AG-06746</x:v>
      </x:c>
      <x:c r="C6752" s="7" t="str">
        <x:v>PEA-C-Y3</x:v>
      </x:c>
      <x:c r="D6752" s="7" t="str">
        <x:v>channel instance</x:v>
      </x:c>
      <x:c r="E6752" s="7" t="str">
        <x:v>CH-PEA-C-Y3-03-3</x:v>
      </x:c>
      <x:c r="F6752" s="7" t="str">
        <x:f>'Channel Instances'!O2469</x:f>
        <x:v>OPEN</x:v>
      </x:c>
    </x:row>
    <x:row r="6753">
      <x:c r="B6753" s="7" t="str">
        <x:v>AG-06747</x:v>
      </x:c>
      <x:c r="C6753" s="7" t="str">
        <x:v>PEA-C-Y3</x:v>
      </x:c>
      <x:c r="D6753" s="7" t="str">
        <x:v>channel instance</x:v>
      </x:c>
      <x:c r="E6753" s="7" t="str">
        <x:v>CH-PEA-C-Y3-03-4</x:v>
      </x:c>
      <x:c r="F6753" s="7" t="str">
        <x:f>'Channel Instances'!O2470</x:f>
        <x:v>OPEN</x:v>
      </x:c>
    </x:row>
    <x:row r="6754">
      <x:c r="B6754" s="7" t="str">
        <x:v>AG-06748</x:v>
      </x:c>
      <x:c r="C6754" s="7" t="str">
        <x:v>PEA-C-Y3</x:v>
      </x:c>
      <x:c r="D6754" s="7" t="str">
        <x:v>channel instance</x:v>
      </x:c>
      <x:c r="E6754" s="7" t="str">
        <x:v>CH-PEA-C-Y3-03-5</x:v>
      </x:c>
      <x:c r="F6754" s="7" t="str">
        <x:f>'Channel Instances'!O2471</x:f>
        <x:v>OPEN</x:v>
      </x:c>
    </x:row>
    <x:row r="6755">
      <x:c r="B6755" s="7" t="str">
        <x:v>AG-06749</x:v>
      </x:c>
      <x:c r="C6755" s="7" t="str">
        <x:v>PEA-C-Y3</x:v>
      </x:c>
      <x:c r="D6755" s="7" t="str">
        <x:v>channel instance</x:v>
      </x:c>
      <x:c r="E6755" s="7" t="str">
        <x:v>CH-PEA-C-Y3-03-6</x:v>
      </x:c>
      <x:c r="F6755" s="7" t="str">
        <x:f>'Channel Instances'!O2472</x:f>
        <x:v>OPEN</x:v>
      </x:c>
    </x:row>
    <x:row r="6756">
      <x:c r="B6756" s="7" t="str">
        <x:v>AG-06750</x:v>
      </x:c>
      <x:c r="C6756" s="7" t="str">
        <x:v>PEA-C-Y3</x:v>
      </x:c>
      <x:c r="D6756" s="7" t="str">
        <x:v>channel instance</x:v>
      </x:c>
      <x:c r="E6756" s="7" t="str">
        <x:v>CH-PEA-C-Y3-04-1</x:v>
      </x:c>
      <x:c r="F6756" s="7" t="str">
        <x:f>'Channel Instances'!O2473</x:f>
        <x:v>OPEN</x:v>
      </x:c>
    </x:row>
    <x:row r="6757">
      <x:c r="B6757" s="7" t="str">
        <x:v>AG-06751</x:v>
      </x:c>
      <x:c r="C6757" s="7" t="str">
        <x:v>PEA-C-Y3</x:v>
      </x:c>
      <x:c r="D6757" s="7" t="str">
        <x:v>channel instance</x:v>
      </x:c>
      <x:c r="E6757" s="7" t="str">
        <x:v>CH-PEA-C-Y3-04-2</x:v>
      </x:c>
      <x:c r="F6757" s="7" t="str">
        <x:f>'Channel Instances'!O2474</x:f>
        <x:v>OPEN</x:v>
      </x:c>
    </x:row>
    <x:row r="6758">
      <x:c r="B6758" s="7" t="str">
        <x:v>AG-06752</x:v>
      </x:c>
      <x:c r="C6758" s="7" t="str">
        <x:v>PEA-C-Y3</x:v>
      </x:c>
      <x:c r="D6758" s="7" t="str">
        <x:v>channel instance</x:v>
      </x:c>
      <x:c r="E6758" s="7" t="str">
        <x:v>CH-PEA-C-Y3-04-3</x:v>
      </x:c>
      <x:c r="F6758" s="7" t="str">
        <x:f>'Channel Instances'!O2475</x:f>
        <x:v>OPEN</x:v>
      </x:c>
    </x:row>
    <x:row r="6759">
      <x:c r="B6759" s="7" t="str">
        <x:v>AG-06753</x:v>
      </x:c>
      <x:c r="C6759" s="7" t="str">
        <x:v>PEA-C-Y3</x:v>
      </x:c>
      <x:c r="D6759" s="7" t="str">
        <x:v>channel instance</x:v>
      </x:c>
      <x:c r="E6759" s="7" t="str">
        <x:v>CH-PEA-C-Y3-04-4</x:v>
      </x:c>
      <x:c r="F6759" s="7" t="str">
        <x:f>'Channel Instances'!O2476</x:f>
        <x:v>OPEN</x:v>
      </x:c>
    </x:row>
    <x:row r="6760">
      <x:c r="B6760" s="7" t="str">
        <x:v>AG-06754</x:v>
      </x:c>
      <x:c r="C6760" s="7" t="str">
        <x:v>PEA-C-Y3</x:v>
      </x:c>
      <x:c r="D6760" s="7" t="str">
        <x:v>channel instance</x:v>
      </x:c>
      <x:c r="E6760" s="7" t="str">
        <x:v>CH-PEA-C-Y3-04-5</x:v>
      </x:c>
      <x:c r="F6760" s="7" t="str">
        <x:f>'Channel Instances'!O2477</x:f>
        <x:v>OPEN</x:v>
      </x:c>
    </x:row>
    <x:row r="6761">
      <x:c r="B6761" s="7" t="str">
        <x:v>AG-06755</x:v>
      </x:c>
      <x:c r="C6761" s="7" t="str">
        <x:v>PEA-C-Y3</x:v>
      </x:c>
      <x:c r="D6761" s="7" t="str">
        <x:v>channel instance</x:v>
      </x:c>
      <x:c r="E6761" s="7" t="str">
        <x:v>CH-PEA-C-Y3-04-6</x:v>
      </x:c>
      <x:c r="F6761" s="7" t="str">
        <x:f>'Channel Instances'!O2478</x:f>
        <x:v>OPEN</x:v>
      </x:c>
    </x:row>
    <x:row r="6762">
      <x:c r="B6762" s="7" t="str">
        <x:v>AG-06756</x:v>
      </x:c>
      <x:c r="C6762" s="7" t="str">
        <x:v>PEA-C-Y3</x:v>
      </x:c>
      <x:c r="D6762" s="7" t="str">
        <x:v>channel instance</x:v>
      </x:c>
      <x:c r="E6762" s="7" t="str">
        <x:v>CH-PEA-C-Y3-05-1</x:v>
      </x:c>
      <x:c r="F6762" s="7" t="str">
        <x:f>'Channel Instances'!O2479</x:f>
        <x:v>OPEN</x:v>
      </x:c>
    </x:row>
    <x:row r="6763">
      <x:c r="B6763" s="7" t="str">
        <x:v>AG-06757</x:v>
      </x:c>
      <x:c r="C6763" s="7" t="str">
        <x:v>PEA-C-Y3</x:v>
      </x:c>
      <x:c r="D6763" s="7" t="str">
        <x:v>channel instance</x:v>
      </x:c>
      <x:c r="E6763" s="7" t="str">
        <x:v>CH-PEA-C-Y3-05-2</x:v>
      </x:c>
      <x:c r="F6763" s="7" t="str">
        <x:f>'Channel Instances'!O2480</x:f>
        <x:v>OPEN</x:v>
      </x:c>
    </x:row>
    <x:row r="6764">
      <x:c r="B6764" s="7" t="str">
        <x:v>AG-06758</x:v>
      </x:c>
      <x:c r="C6764" s="7" t="str">
        <x:v>PEA-C-Y3</x:v>
      </x:c>
      <x:c r="D6764" s="7" t="str">
        <x:v>channel instance</x:v>
      </x:c>
      <x:c r="E6764" s="7" t="str">
        <x:v>CH-PEA-C-Y3-05-3</x:v>
      </x:c>
      <x:c r="F6764" s="7" t="str">
        <x:f>'Channel Instances'!O2481</x:f>
        <x:v>OPEN</x:v>
      </x:c>
    </x:row>
    <x:row r="6765">
      <x:c r="B6765" s="7" t="str">
        <x:v>AG-06759</x:v>
      </x:c>
      <x:c r="C6765" s="7" t="str">
        <x:v>PEA-C-Y3</x:v>
      </x:c>
      <x:c r="D6765" s="7" t="str">
        <x:v>channel instance</x:v>
      </x:c>
      <x:c r="E6765" s="7" t="str">
        <x:v>CH-PEA-C-Y3-05-4</x:v>
      </x:c>
      <x:c r="F6765" s="7" t="str">
        <x:f>'Channel Instances'!O2482</x:f>
        <x:v>OPEN</x:v>
      </x:c>
    </x:row>
    <x:row r="6766">
      <x:c r="B6766" s="7" t="str">
        <x:v>AG-06760</x:v>
      </x:c>
      <x:c r="C6766" s="7" t="str">
        <x:v>PEA-C-Y3</x:v>
      </x:c>
      <x:c r="D6766" s="7" t="str">
        <x:v>channel instance</x:v>
      </x:c>
      <x:c r="E6766" s="7" t="str">
        <x:v>CH-PEA-C-Y3-05-5</x:v>
      </x:c>
      <x:c r="F6766" s="7" t="str">
        <x:f>'Channel Instances'!O2483</x:f>
        <x:v>OPEN</x:v>
      </x:c>
    </x:row>
    <x:row r="6767">
      <x:c r="B6767" s="7" t="str">
        <x:v>AG-06761</x:v>
      </x:c>
      <x:c r="C6767" s="7" t="str">
        <x:v>PEA-C-Y3</x:v>
      </x:c>
      <x:c r="D6767" s="7" t="str">
        <x:v>channel instance</x:v>
      </x:c>
      <x:c r="E6767" s="7" t="str">
        <x:v>CH-PEA-C-Y3-05-6</x:v>
      </x:c>
      <x:c r="F6767" s="7" t="str">
        <x:f>'Channel Instances'!O2484</x:f>
        <x:v>OPEN</x:v>
      </x:c>
    </x:row>
    <x:row r="6768">
      <x:c r="B6768" s="7" t="str">
        <x:v>AG-06762</x:v>
      </x:c>
      <x:c r="C6768" s="7" t="str">
        <x:v>PEA-C-Y3</x:v>
      </x:c>
      <x:c r="D6768" s="7" t="str">
        <x:v>channel instance</x:v>
      </x:c>
      <x:c r="E6768" s="7" t="str">
        <x:v>CH-PEA-C-Y3-06-1</x:v>
      </x:c>
      <x:c r="F6768" s="7" t="str">
        <x:f>'Channel Instances'!O2485</x:f>
        <x:v>OPEN</x:v>
      </x:c>
    </x:row>
    <x:row r="6769">
      <x:c r="B6769" s="7" t="str">
        <x:v>AG-06763</x:v>
      </x:c>
      <x:c r="C6769" s="7" t="str">
        <x:v>PEA-C-Y3</x:v>
      </x:c>
      <x:c r="D6769" s="7" t="str">
        <x:v>channel instance</x:v>
      </x:c>
      <x:c r="E6769" s="7" t="str">
        <x:v>CH-PEA-C-Y3-06-2</x:v>
      </x:c>
      <x:c r="F6769" s="7" t="str">
        <x:f>'Channel Instances'!O2486</x:f>
        <x:v>OPEN</x:v>
      </x:c>
    </x:row>
    <x:row r="6770">
      <x:c r="B6770" s="7" t="str">
        <x:v>AG-06764</x:v>
      </x:c>
      <x:c r="C6770" s="7" t="str">
        <x:v>PEA-C-Y3</x:v>
      </x:c>
      <x:c r="D6770" s="7" t="str">
        <x:v>channel instance</x:v>
      </x:c>
      <x:c r="E6770" s="7" t="str">
        <x:v>CH-PEA-C-Y3-06-3</x:v>
      </x:c>
      <x:c r="F6770" s="7" t="str">
        <x:f>'Channel Instances'!O2487</x:f>
        <x:v>OPEN</x:v>
      </x:c>
    </x:row>
    <x:row r="6771">
      <x:c r="B6771" s="7" t="str">
        <x:v>AG-06765</x:v>
      </x:c>
      <x:c r="C6771" s="7" t="str">
        <x:v>PEA-C-Y3</x:v>
      </x:c>
      <x:c r="D6771" s="7" t="str">
        <x:v>channel instance</x:v>
      </x:c>
      <x:c r="E6771" s="7" t="str">
        <x:v>CH-PEA-C-Y3-06-4</x:v>
      </x:c>
      <x:c r="F6771" s="7" t="str">
        <x:f>'Channel Instances'!O2488</x:f>
        <x:v>OPEN</x:v>
      </x:c>
    </x:row>
    <x:row r="6772">
      <x:c r="B6772" s="7" t="str">
        <x:v>AG-06766</x:v>
      </x:c>
      <x:c r="C6772" s="7" t="str">
        <x:v>PEA-C-Y3</x:v>
      </x:c>
      <x:c r="D6772" s="7" t="str">
        <x:v>channel instance</x:v>
      </x:c>
      <x:c r="E6772" s="7" t="str">
        <x:v>CH-PEA-C-Y3-06-5</x:v>
      </x:c>
      <x:c r="F6772" s="7" t="str">
        <x:f>'Channel Instances'!O2489</x:f>
        <x:v>OPEN</x:v>
      </x:c>
    </x:row>
    <x:row r="6773">
      <x:c r="B6773" s="7" t="str">
        <x:v>AG-06767</x:v>
      </x:c>
      <x:c r="C6773" s="7" t="str">
        <x:v>PEA-C-Y3</x:v>
      </x:c>
      <x:c r="D6773" s="7" t="str">
        <x:v>channel instance</x:v>
      </x:c>
      <x:c r="E6773" s="7" t="str">
        <x:v>CH-PEA-C-Y3-06-6</x:v>
      </x:c>
      <x:c r="F6773" s="7" t="str">
        <x:f>'Channel Instances'!O2490</x:f>
        <x:v>OPEN</x:v>
      </x:c>
    </x:row>
    <x:row r="6774">
      <x:c r="B6774" s="7" t="str">
        <x:v>AG-06768</x:v>
      </x:c>
      <x:c r="C6774" s="7" t="str">
        <x:v>PEA-C-Y3</x:v>
      </x:c>
      <x:c r="D6774" s="7" t="str">
        <x:v>channel instance</x:v>
      </x:c>
      <x:c r="E6774" s="7" t="str">
        <x:v>CH-PEA-C-Y3-07-1</x:v>
      </x:c>
      <x:c r="F6774" s="7" t="str">
        <x:f>'Channel Instances'!O2491</x:f>
        <x:v>OPEN</x:v>
      </x:c>
    </x:row>
    <x:row r="6775">
      <x:c r="B6775" s="7" t="str">
        <x:v>AG-06769</x:v>
      </x:c>
      <x:c r="C6775" s="7" t="str">
        <x:v>PEA-C-Y3</x:v>
      </x:c>
      <x:c r="D6775" s="7" t="str">
        <x:v>channel instance</x:v>
      </x:c>
      <x:c r="E6775" s="7" t="str">
        <x:v>CH-PEA-C-Y3-07-2</x:v>
      </x:c>
      <x:c r="F6775" s="7" t="str">
        <x:f>'Channel Instances'!O2492</x:f>
        <x:v>OPEN</x:v>
      </x:c>
    </x:row>
    <x:row r="6776">
      <x:c r="B6776" s="7" t="str">
        <x:v>AG-06770</x:v>
      </x:c>
      <x:c r="C6776" s="7" t="str">
        <x:v>PEA-C-Y3</x:v>
      </x:c>
      <x:c r="D6776" s="7" t="str">
        <x:v>channel instance</x:v>
      </x:c>
      <x:c r="E6776" s="7" t="str">
        <x:v>CH-PEA-C-Y3-07-3</x:v>
      </x:c>
      <x:c r="F6776" s="7" t="str">
        <x:f>'Channel Instances'!O2493</x:f>
        <x:v>OPEN</x:v>
      </x:c>
    </x:row>
    <x:row r="6777">
      <x:c r="B6777" s="7" t="str">
        <x:v>AG-06771</x:v>
      </x:c>
      <x:c r="C6777" s="7" t="str">
        <x:v>PEA-C-Y3</x:v>
      </x:c>
      <x:c r="D6777" s="7" t="str">
        <x:v>channel instance</x:v>
      </x:c>
      <x:c r="E6777" s="7" t="str">
        <x:v>CH-PEA-C-Y3-07-4</x:v>
      </x:c>
      <x:c r="F6777" s="7" t="str">
        <x:f>'Channel Instances'!O2494</x:f>
        <x:v>OPEN</x:v>
      </x:c>
    </x:row>
    <x:row r="6778">
      <x:c r="B6778" s="7" t="str">
        <x:v>AG-06772</x:v>
      </x:c>
      <x:c r="C6778" s="7" t="str">
        <x:v>PEA-C-Y3</x:v>
      </x:c>
      <x:c r="D6778" s="7" t="str">
        <x:v>channel instance</x:v>
      </x:c>
      <x:c r="E6778" s="7" t="str">
        <x:v>CH-PEA-C-Y3-07-5</x:v>
      </x:c>
      <x:c r="F6778" s="7" t="str">
        <x:f>'Channel Instances'!O2495</x:f>
        <x:v>OPEN</x:v>
      </x:c>
    </x:row>
    <x:row r="6779">
      <x:c r="B6779" s="7" t="str">
        <x:v>AG-06773</x:v>
      </x:c>
      <x:c r="C6779" s="7" t="str">
        <x:v>PEA-C-Y3</x:v>
      </x:c>
      <x:c r="D6779" s="7" t="str">
        <x:v>channel instance</x:v>
      </x:c>
      <x:c r="E6779" s="7" t="str">
        <x:v>CH-PEA-C-Y3-07-6</x:v>
      </x:c>
      <x:c r="F6779" s="7" t="str">
        <x:f>'Channel Instances'!O2496</x:f>
        <x:v>OPEN</x:v>
      </x:c>
    </x:row>
    <x:row r="6780">
      <x:c r="B6780" s="7" t="str">
        <x:v>AG-06774</x:v>
      </x:c>
      <x:c r="C6780" s="7" t="str">
        <x:v>PEA-C-Y3</x:v>
      </x:c>
      <x:c r="D6780" s="7" t="str">
        <x:v>channel instance</x:v>
      </x:c>
      <x:c r="E6780" s="7" t="str">
        <x:v>CH-PEA-C-Y3-08-1</x:v>
      </x:c>
      <x:c r="F6780" s="7" t="str">
        <x:f>'Channel Instances'!O2497</x:f>
        <x:v>OPEN</x:v>
      </x:c>
    </x:row>
    <x:row r="6781">
      <x:c r="B6781" s="7" t="str">
        <x:v>AG-06775</x:v>
      </x:c>
      <x:c r="C6781" s="7" t="str">
        <x:v>PEA-C-Y3</x:v>
      </x:c>
      <x:c r="D6781" s="7" t="str">
        <x:v>channel instance</x:v>
      </x:c>
      <x:c r="E6781" s="7" t="str">
        <x:v>CH-PEA-C-Y3-08-2</x:v>
      </x:c>
      <x:c r="F6781" s="7" t="str">
        <x:f>'Channel Instances'!O2498</x:f>
        <x:v>OPEN</x:v>
      </x:c>
    </x:row>
    <x:row r="6782">
      <x:c r="B6782" s="7" t="str">
        <x:v>AG-06776</x:v>
      </x:c>
      <x:c r="C6782" s="7" t="str">
        <x:v>PEA-C-Y3</x:v>
      </x:c>
      <x:c r="D6782" s="7" t="str">
        <x:v>channel instance</x:v>
      </x:c>
      <x:c r="E6782" s="7" t="str">
        <x:v>CH-PEA-C-Y3-08-3</x:v>
      </x:c>
      <x:c r="F6782" s="7" t="str">
        <x:f>'Channel Instances'!O2499</x:f>
        <x:v>OPEN</x:v>
      </x:c>
    </x:row>
    <x:row r="6783">
      <x:c r="B6783" s="7" t="str">
        <x:v>AG-06777</x:v>
      </x:c>
      <x:c r="C6783" s="7" t="str">
        <x:v>PEA-C-Y3</x:v>
      </x:c>
      <x:c r="D6783" s="7" t="str">
        <x:v>channel instance</x:v>
      </x:c>
      <x:c r="E6783" s="7" t="str">
        <x:v>CH-PEA-C-Y3-08-4</x:v>
      </x:c>
      <x:c r="F6783" s="7" t="str">
        <x:f>'Channel Instances'!O2500</x:f>
        <x:v>OPEN</x:v>
      </x:c>
    </x:row>
    <x:row r="6784">
      <x:c r="B6784" s="7" t="str">
        <x:v>AG-06778</x:v>
      </x:c>
      <x:c r="C6784" s="7" t="str">
        <x:v>PEA-C-Y3</x:v>
      </x:c>
      <x:c r="D6784" s="7" t="str">
        <x:v>channel instance</x:v>
      </x:c>
      <x:c r="E6784" s="7" t="str">
        <x:v>CH-PEA-C-Y3-08-5</x:v>
      </x:c>
      <x:c r="F6784" s="7" t="str">
        <x:f>'Channel Instances'!O2501</x:f>
        <x:v>OPEN</x:v>
      </x:c>
    </x:row>
    <x:row r="6785">
      <x:c r="B6785" s="7" t="str">
        <x:v>AG-06779</x:v>
      </x:c>
      <x:c r="C6785" s="7" t="str">
        <x:v>PEA-C-Y3</x:v>
      </x:c>
      <x:c r="D6785" s="7" t="str">
        <x:v>channel instance</x:v>
      </x:c>
      <x:c r="E6785" s="7" t="str">
        <x:v>CH-PEA-C-Y3-08-6</x:v>
      </x:c>
      <x:c r="F6785" s="7" t="str">
        <x:f>'Channel Instances'!O2502</x:f>
        <x:v>OPEN</x:v>
      </x:c>
    </x:row>
    <x:row r="6786">
      <x:c r="B6786" s="7" t="str">
        <x:v>AG-06780</x:v>
      </x:c>
      <x:c r="C6786" s="7" t="str">
        <x:v>PEA-C-Y3</x:v>
      </x:c>
      <x:c r="D6786" s="7" t="str">
        <x:v>channel instance</x:v>
      </x:c>
      <x:c r="E6786" s="7" t="str">
        <x:v>CH-PEA-C-Y3-09-1</x:v>
      </x:c>
      <x:c r="F6786" s="7" t="str">
        <x:f>'Channel Instances'!O2503</x:f>
        <x:v>OPEN</x:v>
      </x:c>
    </x:row>
    <x:row r="6787">
      <x:c r="B6787" s="7" t="str">
        <x:v>AG-06781</x:v>
      </x:c>
      <x:c r="C6787" s="7" t="str">
        <x:v>PEA-C-Y3</x:v>
      </x:c>
      <x:c r="D6787" s="7" t="str">
        <x:v>channel instance</x:v>
      </x:c>
      <x:c r="E6787" s="7" t="str">
        <x:v>CH-PEA-C-Y3-09-2</x:v>
      </x:c>
      <x:c r="F6787" s="7" t="str">
        <x:f>'Channel Instances'!O2504</x:f>
        <x:v>OPEN</x:v>
      </x:c>
    </x:row>
    <x:row r="6788">
      <x:c r="B6788" s="7" t="str">
        <x:v>AG-06782</x:v>
      </x:c>
      <x:c r="C6788" s="7" t="str">
        <x:v>PEA-C-Y3</x:v>
      </x:c>
      <x:c r="D6788" s="7" t="str">
        <x:v>channel instance</x:v>
      </x:c>
      <x:c r="E6788" s="7" t="str">
        <x:v>CH-PEA-C-Y3-09-3</x:v>
      </x:c>
      <x:c r="F6788" s="7" t="str">
        <x:f>'Channel Instances'!O2505</x:f>
        <x:v>OPEN</x:v>
      </x:c>
    </x:row>
    <x:row r="6789">
      <x:c r="B6789" s="7" t="str">
        <x:v>AG-06783</x:v>
      </x:c>
      <x:c r="C6789" s="7" t="str">
        <x:v>PEA-C-Y3</x:v>
      </x:c>
      <x:c r="D6789" s="7" t="str">
        <x:v>channel instance</x:v>
      </x:c>
      <x:c r="E6789" s="7" t="str">
        <x:v>CH-PEA-C-Y3-09-4</x:v>
      </x:c>
      <x:c r="F6789" s="7" t="str">
        <x:f>'Channel Instances'!O2506</x:f>
        <x:v>OPEN</x:v>
      </x:c>
    </x:row>
    <x:row r="6790">
      <x:c r="B6790" s="7" t="str">
        <x:v>AG-06784</x:v>
      </x:c>
      <x:c r="C6790" s="7" t="str">
        <x:v>PEA-C-Y3</x:v>
      </x:c>
      <x:c r="D6790" s="7" t="str">
        <x:v>channel instance</x:v>
      </x:c>
      <x:c r="E6790" s="7" t="str">
        <x:v>CH-PEA-C-Y3-09-5</x:v>
      </x:c>
      <x:c r="F6790" s="7" t="str">
        <x:f>'Channel Instances'!O2507</x:f>
        <x:v>OPEN</x:v>
      </x:c>
    </x:row>
    <x:row r="6791">
      <x:c r="B6791" s="7" t="str">
        <x:v>AG-06785</x:v>
      </x:c>
      <x:c r="C6791" s="7" t="str">
        <x:v>PEA-C-Y3</x:v>
      </x:c>
      <x:c r="D6791" s="7" t="str">
        <x:v>channel instance</x:v>
      </x:c>
      <x:c r="E6791" s="7" t="str">
        <x:v>CH-PEA-C-Y3-09-6</x:v>
      </x:c>
      <x:c r="F6791" s="7" t="str">
        <x:f>'Channel Instances'!O2508</x:f>
        <x:v>OPEN</x:v>
      </x:c>
    </x:row>
    <x:row r="6792">
      <x:c r="B6792" s="7" t="str">
        <x:v>AG-06786</x:v>
      </x:c>
      <x:c r="C6792" s="7" t="str">
        <x:v>PEA-C-Y3</x:v>
      </x:c>
      <x:c r="D6792" s="7" t="str">
        <x:v>channel instance</x:v>
      </x:c>
      <x:c r="E6792" s="7" t="str">
        <x:v>CH-PEA-C-Y3-10-1</x:v>
      </x:c>
      <x:c r="F6792" s="7" t="str">
        <x:f>'Channel Instances'!O2509</x:f>
        <x:v>OPEN</x:v>
      </x:c>
    </x:row>
    <x:row r="6793">
      <x:c r="B6793" s="7" t="str">
        <x:v>AG-06787</x:v>
      </x:c>
      <x:c r="C6793" s="7" t="str">
        <x:v>PEA-C-Y3</x:v>
      </x:c>
      <x:c r="D6793" s="7" t="str">
        <x:v>channel instance</x:v>
      </x:c>
      <x:c r="E6793" s="7" t="str">
        <x:v>CH-PEA-C-Y3-10-2</x:v>
      </x:c>
      <x:c r="F6793" s="7" t="str">
        <x:f>'Channel Instances'!O2510</x:f>
        <x:v>OPEN</x:v>
      </x:c>
    </x:row>
    <x:row r="6794">
      <x:c r="B6794" s="7" t="str">
        <x:v>AG-06788</x:v>
      </x:c>
      <x:c r="C6794" s="7" t="str">
        <x:v>PEA-C-Y3</x:v>
      </x:c>
      <x:c r="D6794" s="7" t="str">
        <x:v>channel instance</x:v>
      </x:c>
      <x:c r="E6794" s="7" t="str">
        <x:v>CH-PEA-C-Y3-10-3</x:v>
      </x:c>
      <x:c r="F6794" s="7" t="str">
        <x:f>'Channel Instances'!O2511</x:f>
        <x:v>OPEN</x:v>
      </x:c>
    </x:row>
    <x:row r="6795">
      <x:c r="B6795" s="7" t="str">
        <x:v>AG-06789</x:v>
      </x:c>
      <x:c r="C6795" s="7" t="str">
        <x:v>PEA-C-Y3</x:v>
      </x:c>
      <x:c r="D6795" s="7" t="str">
        <x:v>channel instance</x:v>
      </x:c>
      <x:c r="E6795" s="7" t="str">
        <x:v>CH-PEA-C-Y3-10-4</x:v>
      </x:c>
      <x:c r="F6795" s="7" t="str">
        <x:f>'Channel Instances'!O2512</x:f>
        <x:v>OPEN</x:v>
      </x:c>
    </x:row>
    <x:row r="6796">
      <x:c r="B6796" s="7" t="str">
        <x:v>AG-06790</x:v>
      </x:c>
      <x:c r="C6796" s="7" t="str">
        <x:v>PEA-C-Y3</x:v>
      </x:c>
      <x:c r="D6796" s="7" t="str">
        <x:v>channel instance</x:v>
      </x:c>
      <x:c r="E6796" s="7" t="str">
        <x:v>CH-PEA-C-Y3-10-5</x:v>
      </x:c>
      <x:c r="F6796" s="7" t="str">
        <x:f>'Channel Instances'!O2513</x:f>
        <x:v>OPEN</x:v>
      </x:c>
    </x:row>
    <x:row r="6797">
      <x:c r="B6797" s="7" t="str">
        <x:v>AG-06791</x:v>
      </x:c>
      <x:c r="C6797" s="7" t="str">
        <x:v>PEA-C-Y3</x:v>
      </x:c>
      <x:c r="D6797" s="7" t="str">
        <x:v>channel instance</x:v>
      </x:c>
      <x:c r="E6797" s="7" t="str">
        <x:v>CH-PEA-C-Y3-10-6</x:v>
      </x:c>
      <x:c r="F6797" s="7" t="str">
        <x:f>'Channel Instances'!O2514</x:f>
        <x:v>OPEN</x:v>
      </x:c>
    </x:row>
    <x:row r="6798">
      <x:c r="B6798" s="7" t="str">
        <x:v>AG-06792</x:v>
      </x:c>
      <x:c r="C6798" s="7" t="str">
        <x:v>PEA-C-Y3</x:v>
      </x:c>
      <x:c r="D6798" s="7" t="str">
        <x:v>channel instance</x:v>
      </x:c>
      <x:c r="E6798" s="7" t="str">
        <x:v>CH-PEA-C-Y3-11-1</x:v>
      </x:c>
      <x:c r="F6798" s="7" t="str">
        <x:f>'Channel Instances'!O2515</x:f>
        <x:v>OPEN</x:v>
      </x:c>
    </x:row>
    <x:row r="6799">
      <x:c r="B6799" s="7" t="str">
        <x:v>AG-06793</x:v>
      </x:c>
      <x:c r="C6799" s="7" t="str">
        <x:v>PEA-C-Y3</x:v>
      </x:c>
      <x:c r="D6799" s="7" t="str">
        <x:v>channel instance</x:v>
      </x:c>
      <x:c r="E6799" s="7" t="str">
        <x:v>CH-PEA-C-Y3-11-2</x:v>
      </x:c>
      <x:c r="F6799" s="7" t="str">
        <x:f>'Channel Instances'!O2516</x:f>
        <x:v>OPEN</x:v>
      </x:c>
    </x:row>
    <x:row r="6800">
      <x:c r="B6800" s="7" t="str">
        <x:v>AG-06794</x:v>
      </x:c>
      <x:c r="C6800" s="7" t="str">
        <x:v>PEA-C-Y3</x:v>
      </x:c>
      <x:c r="D6800" s="7" t="str">
        <x:v>channel instance</x:v>
      </x:c>
      <x:c r="E6800" s="7" t="str">
        <x:v>CH-PEA-C-Y3-11-3</x:v>
      </x:c>
      <x:c r="F6800" s="7" t="str">
        <x:f>'Channel Instances'!O2517</x:f>
        <x:v>OPEN</x:v>
      </x:c>
    </x:row>
    <x:row r="6801">
      <x:c r="B6801" s="7" t="str">
        <x:v>AG-06795</x:v>
      </x:c>
      <x:c r="C6801" s="7" t="str">
        <x:v>PEA-C-Y3</x:v>
      </x:c>
      <x:c r="D6801" s="7" t="str">
        <x:v>channel instance</x:v>
      </x:c>
      <x:c r="E6801" s="7" t="str">
        <x:v>CH-PEA-C-Y3-11-4</x:v>
      </x:c>
      <x:c r="F6801" s="7" t="str">
        <x:f>'Channel Instances'!O2518</x:f>
        <x:v>OPEN</x:v>
      </x:c>
    </x:row>
    <x:row r="6802">
      <x:c r="B6802" s="7" t="str">
        <x:v>AG-06796</x:v>
      </x:c>
      <x:c r="C6802" s="7" t="str">
        <x:v>PEA-C-Y3</x:v>
      </x:c>
      <x:c r="D6802" s="7" t="str">
        <x:v>channel instance</x:v>
      </x:c>
      <x:c r="E6802" s="7" t="str">
        <x:v>CH-PEA-C-Y3-11-5</x:v>
      </x:c>
      <x:c r="F6802" s="7" t="str">
        <x:f>'Channel Instances'!O2519</x:f>
        <x:v>OPEN</x:v>
      </x:c>
    </x:row>
    <x:row r="6803">
      <x:c r="B6803" s="7" t="str">
        <x:v>AG-06797</x:v>
      </x:c>
      <x:c r="C6803" s="7" t="str">
        <x:v>PEA-C-Y3</x:v>
      </x:c>
      <x:c r="D6803" s="7" t="str">
        <x:v>channel instance</x:v>
      </x:c>
      <x:c r="E6803" s="7" t="str">
        <x:v>CH-PEA-C-Y3-11-6</x:v>
      </x:c>
      <x:c r="F6803" s="7" t="str">
        <x:f>'Channel Instances'!O2520</x:f>
        <x:v>OPEN</x:v>
      </x:c>
    </x:row>
    <x:row r="6804">
      <x:c r="B6804" s="7" t="str">
        <x:v>AG-06798</x:v>
      </x:c>
      <x:c r="C6804" s="7" t="str">
        <x:v>PEA-C-Y3</x:v>
      </x:c>
      <x:c r="D6804" s="7" t="str">
        <x:v>channel instance</x:v>
      </x:c>
      <x:c r="E6804" s="7" t="str">
        <x:v>CH-PEA-C-Y3-12-1</x:v>
      </x:c>
      <x:c r="F6804" s="7" t="str">
        <x:f>'Channel Instances'!O2521</x:f>
        <x:v>OPEN</x:v>
      </x:c>
    </x:row>
    <x:row r="6805">
      <x:c r="B6805" s="7" t="str">
        <x:v>AG-06799</x:v>
      </x:c>
      <x:c r="C6805" s="7" t="str">
        <x:v>PEA-C-Y3</x:v>
      </x:c>
      <x:c r="D6805" s="7" t="str">
        <x:v>channel instance</x:v>
      </x:c>
      <x:c r="E6805" s="7" t="str">
        <x:v>CH-PEA-C-Y3-12-2</x:v>
      </x:c>
      <x:c r="F6805" s="7" t="str">
        <x:f>'Channel Instances'!O2522</x:f>
        <x:v>OPEN</x:v>
      </x:c>
    </x:row>
    <x:row r="6806">
      <x:c r="B6806" s="7" t="str">
        <x:v>AG-06800</x:v>
      </x:c>
      <x:c r="C6806" s="7" t="str">
        <x:v>PEA-C-Y3</x:v>
      </x:c>
      <x:c r="D6806" s="7" t="str">
        <x:v>channel instance</x:v>
      </x:c>
      <x:c r="E6806" s="7" t="str">
        <x:v>CH-PEA-C-Y3-12-3</x:v>
      </x:c>
      <x:c r="F6806" s="7" t="str">
        <x:f>'Channel Instances'!O2523</x:f>
        <x:v>OPEN</x:v>
      </x:c>
    </x:row>
    <x:row r="6807">
      <x:c r="B6807" s="7" t="str">
        <x:v>AG-06801</x:v>
      </x:c>
      <x:c r="C6807" s="7" t="str">
        <x:v>PEA-C-Y3</x:v>
      </x:c>
      <x:c r="D6807" s="7" t="str">
        <x:v>channel instance</x:v>
      </x:c>
      <x:c r="E6807" s="7" t="str">
        <x:v>CH-PEA-C-Y3-12-4</x:v>
      </x:c>
      <x:c r="F6807" s="7" t="str">
        <x:f>'Channel Instances'!O2524</x:f>
        <x:v>OPEN</x:v>
      </x:c>
    </x:row>
    <x:row r="6808">
      <x:c r="B6808" s="7" t="str">
        <x:v>AG-06802</x:v>
      </x:c>
      <x:c r="C6808" s="7" t="str">
        <x:v>PEA-C-Y3</x:v>
      </x:c>
      <x:c r="D6808" s="7" t="str">
        <x:v>channel instance</x:v>
      </x:c>
      <x:c r="E6808" s="7" t="str">
        <x:v>CH-PEA-C-Y3-12-5</x:v>
      </x:c>
      <x:c r="F6808" s="7" t="str">
        <x:f>'Channel Instances'!O2525</x:f>
        <x:v>OPEN</x:v>
      </x:c>
    </x:row>
    <x:row r="6809">
      <x:c r="B6809" s="7" t="str">
        <x:v>AG-06803</x:v>
      </x:c>
      <x:c r="C6809" s="7" t="str">
        <x:v>PEA-C-Y3</x:v>
      </x:c>
      <x:c r="D6809" s="7" t="str">
        <x:v>channel instance</x:v>
      </x:c>
      <x:c r="E6809" s="7" t="str">
        <x:v>CH-PEA-C-Y3-12-6</x:v>
      </x:c>
      <x:c r="F6809" s="7" t="str">
        <x:f>'Channel Instances'!O2526</x:f>
        <x:v>OPEN</x:v>
      </x:c>
    </x:row>
    <x:row r="6810">
      <x:c r="B6810" s="7" t="str">
        <x:v>AG-06804</x:v>
      </x:c>
      <x:c r="C6810" s="7" t="str">
        <x:v>PEA-C-Y3</x:v>
      </x:c>
      <x:c r="D6810" s="7" t="str">
        <x:v>channel instance</x:v>
      </x:c>
      <x:c r="E6810" s="7" t="str">
        <x:v>CH-PEA-C-Y3-13-1</x:v>
      </x:c>
      <x:c r="F6810" s="7" t="str">
        <x:f>'Channel Instances'!O2527</x:f>
        <x:v>OPEN</x:v>
      </x:c>
    </x:row>
    <x:row r="6811">
      <x:c r="B6811" s="7" t="str">
        <x:v>AG-06805</x:v>
      </x:c>
      <x:c r="C6811" s="7" t="str">
        <x:v>PEA-C-Y3</x:v>
      </x:c>
      <x:c r="D6811" s="7" t="str">
        <x:v>channel instance</x:v>
      </x:c>
      <x:c r="E6811" s="7" t="str">
        <x:v>CH-PEA-C-Y3-13-2</x:v>
      </x:c>
      <x:c r="F6811" s="7" t="str">
        <x:f>'Channel Instances'!O2528</x:f>
        <x:v>OPEN</x:v>
      </x:c>
    </x:row>
    <x:row r="6812">
      <x:c r="B6812" s="7" t="str">
        <x:v>AG-06806</x:v>
      </x:c>
      <x:c r="C6812" s="7" t="str">
        <x:v>PEA-C-Y3</x:v>
      </x:c>
      <x:c r="D6812" s="7" t="str">
        <x:v>channel instance</x:v>
      </x:c>
      <x:c r="E6812" s="7" t="str">
        <x:v>CH-PEA-C-Y3-13-3</x:v>
      </x:c>
      <x:c r="F6812" s="7" t="str">
        <x:f>'Channel Instances'!O2529</x:f>
        <x:v>OPEN</x:v>
      </x:c>
    </x:row>
    <x:row r="6813">
      <x:c r="B6813" s="7" t="str">
        <x:v>AG-06807</x:v>
      </x:c>
      <x:c r="C6813" s="7" t="str">
        <x:v>PEA-C-Y3</x:v>
      </x:c>
      <x:c r="D6813" s="7" t="str">
        <x:v>channel instance</x:v>
      </x:c>
      <x:c r="E6813" s="7" t="str">
        <x:v>CH-PEA-C-Y3-13-4</x:v>
      </x:c>
      <x:c r="F6813" s="7" t="str">
        <x:f>'Channel Instances'!O2530</x:f>
        <x:v>OPEN</x:v>
      </x:c>
    </x:row>
    <x:row r="6814">
      <x:c r="B6814" s="7" t="str">
        <x:v>AG-06808</x:v>
      </x:c>
      <x:c r="C6814" s="7" t="str">
        <x:v>PEA-C-Y3</x:v>
      </x:c>
      <x:c r="D6814" s="7" t="str">
        <x:v>channel instance</x:v>
      </x:c>
      <x:c r="E6814" s="7" t="str">
        <x:v>CH-PEA-C-Y3-13-5</x:v>
      </x:c>
      <x:c r="F6814" s="7" t="str">
        <x:f>'Channel Instances'!O2531</x:f>
        <x:v>OPEN</x:v>
      </x:c>
    </x:row>
    <x:row r="6815">
      <x:c r="B6815" s="7" t="str">
        <x:v>AG-06809</x:v>
      </x:c>
      <x:c r="C6815" s="7" t="str">
        <x:v>PEA-C-Y3</x:v>
      </x:c>
      <x:c r="D6815" s="7" t="str">
        <x:v>channel instance</x:v>
      </x:c>
      <x:c r="E6815" s="7" t="str">
        <x:v>CH-PEA-C-Y3-13-6</x:v>
      </x:c>
      <x:c r="F6815" s="7" t="str">
        <x:f>'Channel Instances'!O2532</x:f>
        <x:v>OPEN</x:v>
      </x:c>
    </x:row>
    <x:row r="6816">
      <x:c r="B6816" s="7" t="str">
        <x:v>AG-06810</x:v>
      </x:c>
      <x:c r="C6816" s="7" t="str">
        <x:v>PEA-C-Y3</x:v>
      </x:c>
      <x:c r="D6816" s="7" t="str">
        <x:v>channel instance</x:v>
      </x:c>
      <x:c r="E6816" s="7" t="str">
        <x:v>CH-PEA-C-Y3-14-1</x:v>
      </x:c>
      <x:c r="F6816" s="7" t="str">
        <x:f>'Channel Instances'!O2533</x:f>
        <x:v>OPEN</x:v>
      </x:c>
    </x:row>
    <x:row r="6817">
      <x:c r="B6817" s="7" t="str">
        <x:v>AG-06811</x:v>
      </x:c>
      <x:c r="C6817" s="7" t="str">
        <x:v>PEA-C-Y3</x:v>
      </x:c>
      <x:c r="D6817" s="7" t="str">
        <x:v>channel instance</x:v>
      </x:c>
      <x:c r="E6817" s="7" t="str">
        <x:v>CH-PEA-C-Y3-14-2</x:v>
      </x:c>
      <x:c r="F6817" s="7" t="str">
        <x:f>'Channel Instances'!O2534</x:f>
        <x:v>OPEN</x:v>
      </x:c>
    </x:row>
    <x:row r="6818">
      <x:c r="B6818" s="7" t="str">
        <x:v>AG-06812</x:v>
      </x:c>
      <x:c r="C6818" s="7" t="str">
        <x:v>PEA-C-Y3</x:v>
      </x:c>
      <x:c r="D6818" s="7" t="str">
        <x:v>channel instance</x:v>
      </x:c>
      <x:c r="E6818" s="7" t="str">
        <x:v>CH-PEA-C-Y3-14-3</x:v>
      </x:c>
      <x:c r="F6818" s="7" t="str">
        <x:f>'Channel Instances'!O2535</x:f>
        <x:v>OPEN</x:v>
      </x:c>
    </x:row>
    <x:row r="6819">
      <x:c r="B6819" s="7" t="str">
        <x:v>AG-06813</x:v>
      </x:c>
      <x:c r="C6819" s="7" t="str">
        <x:v>PEA-C-Y3</x:v>
      </x:c>
      <x:c r="D6819" s="7" t="str">
        <x:v>channel instance</x:v>
      </x:c>
      <x:c r="E6819" s="7" t="str">
        <x:v>CH-PEA-C-Y3-14-4</x:v>
      </x:c>
      <x:c r="F6819" s="7" t="str">
        <x:f>'Channel Instances'!O2536</x:f>
        <x:v>OPEN</x:v>
      </x:c>
    </x:row>
    <x:row r="6820">
      <x:c r="B6820" s="7" t="str">
        <x:v>AG-06814</x:v>
      </x:c>
      <x:c r="C6820" s="7" t="str">
        <x:v>PEA-C-Y3</x:v>
      </x:c>
      <x:c r="D6820" s="7" t="str">
        <x:v>channel instance</x:v>
      </x:c>
      <x:c r="E6820" s="7" t="str">
        <x:v>CH-PEA-C-Y3-14-5</x:v>
      </x:c>
      <x:c r="F6820" s="7" t="str">
        <x:f>'Channel Instances'!O2537</x:f>
        <x:v>OPEN</x:v>
      </x:c>
    </x:row>
    <x:row r="6821">
      <x:c r="B6821" s="7" t="str">
        <x:v>AG-06815</x:v>
      </x:c>
      <x:c r="C6821" s="7" t="str">
        <x:v>PEA-C-Y3</x:v>
      </x:c>
      <x:c r="D6821" s="7" t="str">
        <x:v>channel instance</x:v>
      </x:c>
      <x:c r="E6821" s="7" t="str">
        <x:v>CH-PEA-C-Y3-14-6</x:v>
      </x:c>
      <x:c r="F6821" s="7" t="str">
        <x:f>'Channel Instances'!O2538</x:f>
        <x:v>OPEN</x:v>
      </x:c>
    </x:row>
    <x:row r="6822">
      <x:c r="B6822" s="7" t="str">
        <x:v>AG-06816</x:v>
      </x:c>
      <x:c r="C6822" s="7" t="str">
        <x:v>PEA-C-Y3</x:v>
      </x:c>
      <x:c r="D6822" s="7" t="str">
        <x:v>channel instance</x:v>
      </x:c>
      <x:c r="E6822" s="7" t="str">
        <x:v>CH-PEA-C-Y3-15-1</x:v>
      </x:c>
      <x:c r="F6822" s="7" t="str">
        <x:f>'Channel Instances'!O2539</x:f>
        <x:v>OPEN</x:v>
      </x:c>
    </x:row>
    <x:row r="6823">
      <x:c r="B6823" s="7" t="str">
        <x:v>AG-06817</x:v>
      </x:c>
      <x:c r="C6823" s="7" t="str">
        <x:v>PEA-C-Y3</x:v>
      </x:c>
      <x:c r="D6823" s="7" t="str">
        <x:v>channel instance</x:v>
      </x:c>
      <x:c r="E6823" s="7" t="str">
        <x:v>CH-PEA-C-Y3-15-2</x:v>
      </x:c>
      <x:c r="F6823" s="7" t="str">
        <x:f>'Channel Instances'!O2540</x:f>
        <x:v>OPEN</x:v>
      </x:c>
    </x:row>
    <x:row r="6824">
      <x:c r="B6824" s="7" t="str">
        <x:v>AG-06818</x:v>
      </x:c>
      <x:c r="C6824" s="7" t="str">
        <x:v>PEA-C-Y3</x:v>
      </x:c>
      <x:c r="D6824" s="7" t="str">
        <x:v>channel instance</x:v>
      </x:c>
      <x:c r="E6824" s="7" t="str">
        <x:v>CH-PEA-C-Y3-15-3</x:v>
      </x:c>
      <x:c r="F6824" s="7" t="str">
        <x:f>'Channel Instances'!O2541</x:f>
        <x:v>OPEN</x:v>
      </x:c>
    </x:row>
    <x:row r="6825">
      <x:c r="B6825" s="7" t="str">
        <x:v>AG-06819</x:v>
      </x:c>
      <x:c r="C6825" s="7" t="str">
        <x:v>PEA-C-Y3</x:v>
      </x:c>
      <x:c r="D6825" s="7" t="str">
        <x:v>channel instance</x:v>
      </x:c>
      <x:c r="E6825" s="7" t="str">
        <x:v>CH-PEA-C-Y3-15-4</x:v>
      </x:c>
      <x:c r="F6825" s="7" t="str">
        <x:f>'Channel Instances'!O2542</x:f>
        <x:v>OPEN</x:v>
      </x:c>
    </x:row>
    <x:row r="6826">
      <x:c r="B6826" s="7" t="str">
        <x:v>AG-06820</x:v>
      </x:c>
      <x:c r="C6826" s="7" t="str">
        <x:v>PEA-C-Y3</x:v>
      </x:c>
      <x:c r="D6826" s="7" t="str">
        <x:v>channel instance</x:v>
      </x:c>
      <x:c r="E6826" s="7" t="str">
        <x:v>CH-PEA-C-Y3-15-5</x:v>
      </x:c>
      <x:c r="F6826" s="7" t="str">
        <x:f>'Channel Instances'!O2543</x:f>
        <x:v>OPEN</x:v>
      </x:c>
    </x:row>
    <x:row r="6827">
      <x:c r="B6827" s="7" t="str">
        <x:v>AG-06821</x:v>
      </x:c>
      <x:c r="C6827" s="7" t="str">
        <x:v>PEA-C-Y3</x:v>
      </x:c>
      <x:c r="D6827" s="7" t="str">
        <x:v>channel instance</x:v>
      </x:c>
      <x:c r="E6827" s="7" t="str">
        <x:v>CH-PEA-C-Y3-15-6</x:v>
      </x:c>
      <x:c r="F6827" s="7" t="str">
        <x:f>'Channel Instances'!O2544</x:f>
        <x:v>OPEN</x:v>
      </x:c>
    </x:row>
    <x:row r="6828">
      <x:c r="B6828" s="7" t="str">
        <x:v>AG-06822</x:v>
      </x:c>
      <x:c r="C6828" s="7" t="str">
        <x:v>PEA-C-Y3</x:v>
      </x:c>
      <x:c r="D6828" s="7" t="str">
        <x:v>channel instance</x:v>
      </x:c>
      <x:c r="E6828" s="7" t="str">
        <x:v>CH-PEA-C-Y3-16-1</x:v>
      </x:c>
      <x:c r="F6828" s="7" t="str">
        <x:f>'Channel Instances'!O2545</x:f>
        <x:v>OPEN</x:v>
      </x:c>
    </x:row>
    <x:row r="6829">
      <x:c r="B6829" s="7" t="str">
        <x:v>AG-06823</x:v>
      </x:c>
      <x:c r="C6829" s="7" t="str">
        <x:v>PEA-C-Y3</x:v>
      </x:c>
      <x:c r="D6829" s="7" t="str">
        <x:v>channel instance</x:v>
      </x:c>
      <x:c r="E6829" s="7" t="str">
        <x:v>CH-PEA-C-Y3-16-2</x:v>
      </x:c>
      <x:c r="F6829" s="7" t="str">
        <x:f>'Channel Instances'!O2546</x:f>
        <x:v>OPEN</x:v>
      </x:c>
    </x:row>
    <x:row r="6830">
      <x:c r="B6830" s="7" t="str">
        <x:v>AG-06824</x:v>
      </x:c>
      <x:c r="C6830" s="7" t="str">
        <x:v>PEA-C-Y3</x:v>
      </x:c>
      <x:c r="D6830" s="7" t="str">
        <x:v>channel instance</x:v>
      </x:c>
      <x:c r="E6830" s="7" t="str">
        <x:v>CH-PEA-C-Y3-16-3</x:v>
      </x:c>
      <x:c r="F6830" s="7" t="str">
        <x:f>'Channel Instances'!O2547</x:f>
        <x:v>OPEN</x:v>
      </x:c>
    </x:row>
    <x:row r="6831">
      <x:c r="B6831" s="7" t="str">
        <x:v>AG-06825</x:v>
      </x:c>
      <x:c r="C6831" s="7" t="str">
        <x:v>PEA-C-Y3</x:v>
      </x:c>
      <x:c r="D6831" s="7" t="str">
        <x:v>channel instance</x:v>
      </x:c>
      <x:c r="E6831" s="7" t="str">
        <x:v>CH-PEA-C-Y3-16-4</x:v>
      </x:c>
      <x:c r="F6831" s="7" t="str">
        <x:f>'Channel Instances'!O2548</x:f>
        <x:v>OPEN</x:v>
      </x:c>
    </x:row>
    <x:row r="6832">
      <x:c r="B6832" s="7" t="str">
        <x:v>AG-06826</x:v>
      </x:c>
      <x:c r="C6832" s="7" t="str">
        <x:v>PEA-C-Y3</x:v>
      </x:c>
      <x:c r="D6832" s="7" t="str">
        <x:v>channel instance</x:v>
      </x:c>
      <x:c r="E6832" s="7" t="str">
        <x:v>CH-PEA-C-Y3-16-5</x:v>
      </x:c>
      <x:c r="F6832" s="7" t="str">
        <x:f>'Channel Instances'!O2549</x:f>
        <x:v>OPEN</x:v>
      </x:c>
    </x:row>
    <x:row r="6833">
      <x:c r="B6833" s="7" t="str">
        <x:v>AG-06827</x:v>
      </x:c>
      <x:c r="C6833" s="7" t="str">
        <x:v>PEA-C-Y3</x:v>
      </x:c>
      <x:c r="D6833" s="7" t="str">
        <x:v>channel instance</x:v>
      </x:c>
      <x:c r="E6833" s="7" t="str">
        <x:v>CH-PEA-C-Y3-16-6</x:v>
      </x:c>
      <x:c r="F6833" s="7" t="str">
        <x:f>'Channel Instances'!O2550</x:f>
        <x:v>OPEN</x:v>
      </x:c>
    </x:row>
    <x:row r="6834">
      <x:c r="B6834" s="7" t="str">
        <x:v>AG-06828</x:v>
      </x:c>
      <x:c r="C6834" s="7" t="str">
        <x:v>PEA-C-Y3</x:v>
      </x:c>
      <x:c r="D6834" s="7" t="str">
        <x:v>channel instance</x:v>
      </x:c>
      <x:c r="E6834" s="7" t="str">
        <x:v>CH-PEA-C-Y3-17-1</x:v>
      </x:c>
      <x:c r="F6834" s="7" t="str">
        <x:f>'Channel Instances'!O2551</x:f>
        <x:v>OPEN</x:v>
      </x:c>
    </x:row>
    <x:row r="6835">
      <x:c r="B6835" s="7" t="str">
        <x:v>AG-06829</x:v>
      </x:c>
      <x:c r="C6835" s="7" t="str">
        <x:v>PEA-C-Y3</x:v>
      </x:c>
      <x:c r="D6835" s="7" t="str">
        <x:v>channel instance</x:v>
      </x:c>
      <x:c r="E6835" s="7" t="str">
        <x:v>CH-PEA-C-Y3-17-2</x:v>
      </x:c>
      <x:c r="F6835" s="7" t="str">
        <x:f>'Channel Instances'!O2552</x:f>
        <x:v>OPEN</x:v>
      </x:c>
    </x:row>
    <x:row r="6836">
      <x:c r="B6836" s="7" t="str">
        <x:v>AG-06830</x:v>
      </x:c>
      <x:c r="C6836" s="7" t="str">
        <x:v>PEA-C-Y3</x:v>
      </x:c>
      <x:c r="D6836" s="7" t="str">
        <x:v>channel instance</x:v>
      </x:c>
      <x:c r="E6836" s="7" t="str">
        <x:v>CH-PEA-C-Y3-17-3</x:v>
      </x:c>
      <x:c r="F6836" s="7" t="str">
        <x:f>'Channel Instances'!O2553</x:f>
        <x:v>OPEN</x:v>
      </x:c>
    </x:row>
    <x:row r="6837">
      <x:c r="B6837" s="7" t="str">
        <x:v>AG-06831</x:v>
      </x:c>
      <x:c r="C6837" s="7" t="str">
        <x:v>PEA-C-Y3</x:v>
      </x:c>
      <x:c r="D6837" s="7" t="str">
        <x:v>channel instance</x:v>
      </x:c>
      <x:c r="E6837" s="7" t="str">
        <x:v>CH-PEA-C-Y3-17-4</x:v>
      </x:c>
      <x:c r="F6837" s="7" t="str">
        <x:f>'Channel Instances'!O2554</x:f>
        <x:v>OPEN</x:v>
      </x:c>
    </x:row>
    <x:row r="6838">
      <x:c r="B6838" s="7" t="str">
        <x:v>AG-06832</x:v>
      </x:c>
      <x:c r="C6838" s="7" t="str">
        <x:v>PEA-C-Y3</x:v>
      </x:c>
      <x:c r="D6838" s="7" t="str">
        <x:v>channel instance</x:v>
      </x:c>
      <x:c r="E6838" s="7" t="str">
        <x:v>CH-PEA-C-Y3-17-5</x:v>
      </x:c>
      <x:c r="F6838" s="7" t="str">
        <x:f>'Channel Instances'!O2555</x:f>
        <x:v>OPEN</x:v>
      </x:c>
    </x:row>
    <x:row r="6839">
      <x:c r="B6839" s="7" t="str">
        <x:v>AG-06833</x:v>
      </x:c>
      <x:c r="C6839" s="7" t="str">
        <x:v>PEA-C-Y3</x:v>
      </x:c>
      <x:c r="D6839" s="7" t="str">
        <x:v>channel instance</x:v>
      </x:c>
      <x:c r="E6839" s="7" t="str">
        <x:v>CH-PEA-C-Y3-17-6</x:v>
      </x:c>
      <x:c r="F6839" s="7" t="str">
        <x:f>'Channel Instances'!O2556</x:f>
        <x:v>OPEN</x:v>
      </x:c>
    </x:row>
    <x:row r="6840">
      <x:c r="B6840" s="7" t="str">
        <x:v>AG-06834</x:v>
      </x:c>
      <x:c r="C6840" s="7" t="str">
        <x:v>PEA-C-Y3</x:v>
      </x:c>
      <x:c r="D6840" s="7" t="str">
        <x:v>channel instance</x:v>
      </x:c>
      <x:c r="E6840" s="7" t="str">
        <x:v>CH-PEA-C-Y3-18-1</x:v>
      </x:c>
      <x:c r="F6840" s="7" t="str">
        <x:f>'Channel Instances'!O2557</x:f>
        <x:v>OPEN</x:v>
      </x:c>
    </x:row>
    <x:row r="6841">
      <x:c r="B6841" s="7" t="str">
        <x:v>AG-06835</x:v>
      </x:c>
      <x:c r="C6841" s="7" t="str">
        <x:v>PEA-C-Y3</x:v>
      </x:c>
      <x:c r="D6841" s="7" t="str">
        <x:v>channel instance</x:v>
      </x:c>
      <x:c r="E6841" s="7" t="str">
        <x:v>CH-PEA-C-Y3-18-2</x:v>
      </x:c>
      <x:c r="F6841" s="7" t="str">
        <x:f>'Channel Instances'!O2558</x:f>
        <x:v>OPEN</x:v>
      </x:c>
    </x:row>
    <x:row r="6842">
      <x:c r="B6842" s="7" t="str">
        <x:v>AG-06836</x:v>
      </x:c>
      <x:c r="C6842" s="7" t="str">
        <x:v>PEA-C-Y3</x:v>
      </x:c>
      <x:c r="D6842" s="7" t="str">
        <x:v>channel instance</x:v>
      </x:c>
      <x:c r="E6842" s="7" t="str">
        <x:v>CH-PEA-C-Y3-18-3</x:v>
      </x:c>
      <x:c r="F6842" s="7" t="str">
        <x:f>'Channel Instances'!O2559</x:f>
        <x:v>OPEN</x:v>
      </x:c>
    </x:row>
    <x:row r="6843">
      <x:c r="B6843" s="7" t="str">
        <x:v>AG-06837</x:v>
      </x:c>
      <x:c r="C6843" s="7" t="str">
        <x:v>PEA-C-Y3</x:v>
      </x:c>
      <x:c r="D6843" s="7" t="str">
        <x:v>channel instance</x:v>
      </x:c>
      <x:c r="E6843" s="7" t="str">
        <x:v>CH-PEA-C-Y3-18-4</x:v>
      </x:c>
      <x:c r="F6843" s="7" t="str">
        <x:f>'Channel Instances'!O2560</x:f>
        <x:v>OPEN</x:v>
      </x:c>
    </x:row>
    <x:row r="6844">
      <x:c r="B6844" s="7" t="str">
        <x:v>AG-06838</x:v>
      </x:c>
      <x:c r="C6844" s="7" t="str">
        <x:v>PEA-C-Y3</x:v>
      </x:c>
      <x:c r="D6844" s="7" t="str">
        <x:v>channel instance</x:v>
      </x:c>
      <x:c r="E6844" s="7" t="str">
        <x:v>CH-PEA-C-Y3-18-5</x:v>
      </x:c>
      <x:c r="F6844" s="7" t="str">
        <x:f>'Channel Instances'!O2561</x:f>
        <x:v>OPEN</x:v>
      </x:c>
    </x:row>
    <x:row r="6845">
      <x:c r="B6845" s="7" t="str">
        <x:v>AG-06839</x:v>
      </x:c>
      <x:c r="C6845" s="7" t="str">
        <x:v>PEA-C-Y3</x:v>
      </x:c>
      <x:c r="D6845" s="7" t="str">
        <x:v>channel instance</x:v>
      </x:c>
      <x:c r="E6845" s="7" t="str">
        <x:v>CH-PEA-C-Y3-18-6</x:v>
      </x:c>
      <x:c r="F6845" s="7" t="str">
        <x:f>'Channel Instances'!O2562</x:f>
        <x:v>OPEN</x:v>
      </x:c>
    </x:row>
    <x:row r="6846">
      <x:c r="B6846" s="7" t="str">
        <x:v>AG-06840</x:v>
      </x:c>
      <x:c r="C6846" s="7" t="str">
        <x:v>PEA-C-Y3</x:v>
      </x:c>
      <x:c r="D6846" s="7" t="str">
        <x:v>channel instance</x:v>
      </x:c>
      <x:c r="E6846" s="7" t="str">
        <x:v>CH-PEA-C-Y3-19-1</x:v>
      </x:c>
      <x:c r="F6846" s="7" t="str">
        <x:f>'Channel Instances'!O2563</x:f>
        <x:v>OPEN</x:v>
      </x:c>
    </x:row>
    <x:row r="6847">
      <x:c r="B6847" s="7" t="str">
        <x:v>AG-06841</x:v>
      </x:c>
      <x:c r="C6847" s="7" t="str">
        <x:v>PEA-C-Y3</x:v>
      </x:c>
      <x:c r="D6847" s="7" t="str">
        <x:v>channel instance</x:v>
      </x:c>
      <x:c r="E6847" s="7" t="str">
        <x:v>CH-PEA-C-Y3-19-2</x:v>
      </x:c>
      <x:c r="F6847" s="7" t="str">
        <x:f>'Channel Instances'!O2564</x:f>
        <x:v>OPEN</x:v>
      </x:c>
    </x:row>
    <x:row r="6848">
      <x:c r="B6848" s="7" t="str">
        <x:v>AG-06842</x:v>
      </x:c>
      <x:c r="C6848" s="7" t="str">
        <x:v>PEA-C-Y3</x:v>
      </x:c>
      <x:c r="D6848" s="7" t="str">
        <x:v>channel instance</x:v>
      </x:c>
      <x:c r="E6848" s="7" t="str">
        <x:v>CH-PEA-C-Y3-19-3</x:v>
      </x:c>
      <x:c r="F6848" s="7" t="str">
        <x:f>'Channel Instances'!O2565</x:f>
        <x:v>OPEN</x:v>
      </x:c>
    </x:row>
    <x:row r="6849">
      <x:c r="B6849" s="7" t="str">
        <x:v>AG-06843</x:v>
      </x:c>
      <x:c r="C6849" s="7" t="str">
        <x:v>PEA-C-Y3</x:v>
      </x:c>
      <x:c r="D6849" s="7" t="str">
        <x:v>channel instance</x:v>
      </x:c>
      <x:c r="E6849" s="7" t="str">
        <x:v>CH-PEA-C-Y3-19-4</x:v>
      </x:c>
      <x:c r="F6849" s="7" t="str">
        <x:f>'Channel Instances'!O2566</x:f>
        <x:v>OPEN</x:v>
      </x:c>
    </x:row>
    <x:row r="6850">
      <x:c r="B6850" s="7" t="str">
        <x:v>AG-06844</x:v>
      </x:c>
      <x:c r="C6850" s="7" t="str">
        <x:v>PEA-C-Y3</x:v>
      </x:c>
      <x:c r="D6850" s="7" t="str">
        <x:v>channel instance</x:v>
      </x:c>
      <x:c r="E6850" s="7" t="str">
        <x:v>CH-PEA-C-Y3-19-5</x:v>
      </x:c>
      <x:c r="F6850" s="7" t="str">
        <x:f>'Channel Instances'!O2567</x:f>
        <x:v>OPEN</x:v>
      </x:c>
    </x:row>
    <x:row r="6851">
      <x:c r="B6851" s="7" t="str">
        <x:v>AG-06845</x:v>
      </x:c>
      <x:c r="C6851" s="7" t="str">
        <x:v>PEA-C-Y3</x:v>
      </x:c>
      <x:c r="D6851" s="7" t="str">
        <x:v>channel instance</x:v>
      </x:c>
      <x:c r="E6851" s="7" t="str">
        <x:v>CH-PEA-C-Y3-19-6</x:v>
      </x:c>
      <x:c r="F6851" s="7" t="str">
        <x:f>'Channel Instances'!O2568</x:f>
        <x:v>OPEN</x:v>
      </x:c>
    </x:row>
    <x:row r="6852">
      <x:c r="B6852" s="7" t="str">
        <x:v>AG-06846</x:v>
      </x:c>
      <x:c r="C6852" s="7" t="str">
        <x:v>PEA-C-Y3</x:v>
      </x:c>
      <x:c r="D6852" s="7" t="str">
        <x:v>channel instance</x:v>
      </x:c>
      <x:c r="E6852" s="7" t="str">
        <x:v>CH-PEA-C-Y3-20-1</x:v>
      </x:c>
      <x:c r="F6852" s="7" t="str">
        <x:f>'Channel Instances'!O2569</x:f>
        <x:v>OPEN</x:v>
      </x:c>
    </x:row>
    <x:row r="6853">
      <x:c r="B6853" s="7" t="str">
        <x:v>AG-06847</x:v>
      </x:c>
      <x:c r="C6853" s="7" t="str">
        <x:v>PEA-C-Y3</x:v>
      </x:c>
      <x:c r="D6853" s="7" t="str">
        <x:v>channel instance</x:v>
      </x:c>
      <x:c r="E6853" s="7" t="str">
        <x:v>CH-PEA-C-Y3-20-2</x:v>
      </x:c>
      <x:c r="F6853" s="7" t="str">
        <x:f>'Channel Instances'!O2570</x:f>
        <x:v>OPEN</x:v>
      </x:c>
    </x:row>
    <x:row r="6854">
      <x:c r="B6854" s="7" t="str">
        <x:v>AG-06848</x:v>
      </x:c>
      <x:c r="C6854" s="7" t="str">
        <x:v>PEA-C-Y3</x:v>
      </x:c>
      <x:c r="D6854" s="7" t="str">
        <x:v>channel instance</x:v>
      </x:c>
      <x:c r="E6854" s="7" t="str">
        <x:v>CH-PEA-C-Y3-20-3</x:v>
      </x:c>
      <x:c r="F6854" s="7" t="str">
        <x:f>'Channel Instances'!O2571</x:f>
        <x:v>OPEN</x:v>
      </x:c>
    </x:row>
    <x:row r="6855">
      <x:c r="B6855" s="7" t="str">
        <x:v>AG-06849</x:v>
      </x:c>
      <x:c r="C6855" s="7" t="str">
        <x:v>PEA-C-Y3</x:v>
      </x:c>
      <x:c r="D6855" s="7" t="str">
        <x:v>channel instance</x:v>
      </x:c>
      <x:c r="E6855" s="7" t="str">
        <x:v>CH-PEA-C-Y3-20-4</x:v>
      </x:c>
      <x:c r="F6855" s="7" t="str">
        <x:f>'Channel Instances'!O2572</x:f>
        <x:v>OPEN</x:v>
      </x:c>
    </x:row>
    <x:row r="6856">
      <x:c r="B6856" s="7" t="str">
        <x:v>AG-06850</x:v>
      </x:c>
      <x:c r="C6856" s="7" t="str">
        <x:v>PEA-C-Y3</x:v>
      </x:c>
      <x:c r="D6856" s="7" t="str">
        <x:v>channel instance</x:v>
      </x:c>
      <x:c r="E6856" s="7" t="str">
        <x:v>CH-PEA-C-Y3-20-5</x:v>
      </x:c>
      <x:c r="F6856" s="7" t="str">
        <x:f>'Channel Instances'!O2573</x:f>
        <x:v>OPEN</x:v>
      </x:c>
    </x:row>
    <x:row r="6857">
      <x:c r="B6857" s="7" t="str">
        <x:v>AG-06851</x:v>
      </x:c>
      <x:c r="C6857" s="7" t="str">
        <x:v>PEA-C-Y3</x:v>
      </x:c>
      <x:c r="D6857" s="7" t="str">
        <x:v>channel instance</x:v>
      </x:c>
      <x:c r="E6857" s="7" t="str">
        <x:v>CH-PEA-C-Y3-20-6</x:v>
      </x:c>
      <x:c r="F6857" s="7" t="str">
        <x:f>'Channel Instances'!O2574</x:f>
        <x:v>OPEN</x:v>
      </x:c>
    </x:row>
    <x:row r="6858">
      <x:c r="B6858" s="7" t="str">
        <x:v>AG-06852</x:v>
      </x:c>
      <x:c r="C6858" s="7" t="str">
        <x:v>PEA-C-Y3</x:v>
      </x:c>
      <x:c r="D6858" s="7" t="str">
        <x:v>channel instance</x:v>
      </x:c>
      <x:c r="E6858" s="7" t="str">
        <x:v>CH-PEA-C-Y3-21-1</x:v>
      </x:c>
      <x:c r="F6858" s="7" t="str">
        <x:f>'Channel Instances'!O2575</x:f>
        <x:v>OPEN</x:v>
      </x:c>
    </x:row>
    <x:row r="6859">
      <x:c r="B6859" s="7" t="str">
        <x:v>AG-06853</x:v>
      </x:c>
      <x:c r="C6859" s="7" t="str">
        <x:v>PEA-C-Y3</x:v>
      </x:c>
      <x:c r="D6859" s="7" t="str">
        <x:v>channel instance</x:v>
      </x:c>
      <x:c r="E6859" s="7" t="str">
        <x:v>CH-PEA-C-Y3-21-2</x:v>
      </x:c>
      <x:c r="F6859" s="7" t="str">
        <x:f>'Channel Instances'!O2576</x:f>
        <x:v>OPEN</x:v>
      </x:c>
    </x:row>
    <x:row r="6860">
      <x:c r="B6860" s="7" t="str">
        <x:v>AG-06854</x:v>
      </x:c>
      <x:c r="C6860" s="7" t="str">
        <x:v>PEA-C-Y3</x:v>
      </x:c>
      <x:c r="D6860" s="7" t="str">
        <x:v>channel instance</x:v>
      </x:c>
      <x:c r="E6860" s="7" t="str">
        <x:v>CH-PEA-C-Y3-21-3</x:v>
      </x:c>
      <x:c r="F6860" s="7" t="str">
        <x:f>'Channel Instances'!O2577</x:f>
        <x:v>OPEN</x:v>
      </x:c>
    </x:row>
    <x:row r="6861">
      <x:c r="B6861" s="7" t="str">
        <x:v>AG-06855</x:v>
      </x:c>
      <x:c r="C6861" s="7" t="str">
        <x:v>PEA-C-Y3</x:v>
      </x:c>
      <x:c r="D6861" s="7" t="str">
        <x:v>channel instance</x:v>
      </x:c>
      <x:c r="E6861" s="7" t="str">
        <x:v>CH-PEA-C-Y3-21-4</x:v>
      </x:c>
      <x:c r="F6861" s="7" t="str">
        <x:f>'Channel Instances'!O2578</x:f>
        <x:v>OPEN</x:v>
      </x:c>
    </x:row>
    <x:row r="6862">
      <x:c r="B6862" s="7" t="str">
        <x:v>AG-06856</x:v>
      </x:c>
      <x:c r="C6862" s="7" t="str">
        <x:v>PEA-C-Y3</x:v>
      </x:c>
      <x:c r="D6862" s="7" t="str">
        <x:v>channel instance</x:v>
      </x:c>
      <x:c r="E6862" s="7" t="str">
        <x:v>CH-PEA-C-Y3-21-5</x:v>
      </x:c>
      <x:c r="F6862" s="7" t="str">
        <x:f>'Channel Instances'!O2579</x:f>
        <x:v>OPEN</x:v>
      </x:c>
    </x:row>
    <x:row r="6863">
      <x:c r="B6863" s="7" t="str">
        <x:v>AG-06857</x:v>
      </x:c>
      <x:c r="C6863" s="7" t="str">
        <x:v>PEA-C-Y3</x:v>
      </x:c>
      <x:c r="D6863" s="7" t="str">
        <x:v>channel instance</x:v>
      </x:c>
      <x:c r="E6863" s="7" t="str">
        <x:v>CH-PEA-C-Y3-21-6</x:v>
      </x:c>
      <x:c r="F6863" s="7" t="str">
        <x:f>'Channel Instances'!O2580</x:f>
        <x:v>OPEN</x:v>
      </x:c>
    </x:row>
    <x:row r="6864">
      <x:c r="B6864" s="7" t="str">
        <x:v>AG-06858</x:v>
      </x:c>
      <x:c r="C6864" s="7" t="str">
        <x:v>PEA-C-Y3</x:v>
      </x:c>
      <x:c r="D6864" s="7" t="str">
        <x:v>channel instance</x:v>
      </x:c>
      <x:c r="E6864" s="7" t="str">
        <x:v>CH-PEA-C-Y3-22-1</x:v>
      </x:c>
      <x:c r="F6864" s="7" t="str">
        <x:f>'Channel Instances'!O2581</x:f>
        <x:v>OPEN</x:v>
      </x:c>
    </x:row>
    <x:row r="6865">
      <x:c r="B6865" s="7" t="str">
        <x:v>AG-06859</x:v>
      </x:c>
      <x:c r="C6865" s="7" t="str">
        <x:v>PEA-C-Y3</x:v>
      </x:c>
      <x:c r="D6865" s="7" t="str">
        <x:v>channel instance</x:v>
      </x:c>
      <x:c r="E6865" s="7" t="str">
        <x:v>CH-PEA-C-Y3-22-2</x:v>
      </x:c>
      <x:c r="F6865" s="7" t="str">
        <x:f>'Channel Instances'!O2582</x:f>
        <x:v>OPEN</x:v>
      </x:c>
    </x:row>
    <x:row r="6866">
      <x:c r="B6866" s="7" t="str">
        <x:v>AG-06860</x:v>
      </x:c>
      <x:c r="C6866" s="7" t="str">
        <x:v>PEA-C-Y3</x:v>
      </x:c>
      <x:c r="D6866" s="7" t="str">
        <x:v>channel instance</x:v>
      </x:c>
      <x:c r="E6866" s="7" t="str">
        <x:v>CH-PEA-C-Y3-22-3</x:v>
      </x:c>
      <x:c r="F6866" s="7" t="str">
        <x:f>'Channel Instances'!O2583</x:f>
        <x:v>OPEN</x:v>
      </x:c>
    </x:row>
    <x:row r="6867">
      <x:c r="B6867" s="7" t="str">
        <x:v>AG-06861</x:v>
      </x:c>
      <x:c r="C6867" s="7" t="str">
        <x:v>PEA-C-Y3</x:v>
      </x:c>
      <x:c r="D6867" s="7" t="str">
        <x:v>channel instance</x:v>
      </x:c>
      <x:c r="E6867" s="7" t="str">
        <x:v>CH-PEA-C-Y3-22-4</x:v>
      </x:c>
      <x:c r="F6867" s="7" t="str">
        <x:f>'Channel Instances'!O2584</x:f>
        <x:v>OPEN</x:v>
      </x:c>
    </x:row>
    <x:row r="6868">
      <x:c r="B6868" s="7" t="str">
        <x:v>AG-06862</x:v>
      </x:c>
      <x:c r="C6868" s="7" t="str">
        <x:v>PEA-C-Y3</x:v>
      </x:c>
      <x:c r="D6868" s="7" t="str">
        <x:v>channel instance</x:v>
      </x:c>
      <x:c r="E6868" s="7" t="str">
        <x:v>CH-PEA-C-Y3-22-5</x:v>
      </x:c>
      <x:c r="F6868" s="7" t="str">
        <x:f>'Channel Instances'!O2585</x:f>
        <x:v>OPEN</x:v>
      </x:c>
    </x:row>
    <x:row r="6869">
      <x:c r="B6869" s="7" t="str">
        <x:v>AG-06863</x:v>
      </x:c>
      <x:c r="C6869" s="7" t="str">
        <x:v>PEA-C-Y3</x:v>
      </x:c>
      <x:c r="D6869" s="7" t="str">
        <x:v>channel instance</x:v>
      </x:c>
      <x:c r="E6869" s="7" t="str">
        <x:v>CH-PEA-C-Y3-22-6</x:v>
      </x:c>
      <x:c r="F6869" s="7" t="str">
        <x:f>'Channel Instances'!O2586</x:f>
        <x:v>OPEN</x:v>
      </x:c>
    </x:row>
    <x:row r="6870">
      <x:c r="B6870" s="7" t="str">
        <x:v>AG-06864</x:v>
      </x:c>
      <x:c r="C6870" s="7" t="str">
        <x:v>PEA-C-Y3</x:v>
      </x:c>
      <x:c r="D6870" s="7" t="str">
        <x:v>channel instance</x:v>
      </x:c>
      <x:c r="E6870" s="7" t="str">
        <x:v>CH-PEA-C-Y3-23-1</x:v>
      </x:c>
      <x:c r="F6870" s="7" t="str">
        <x:f>'Channel Instances'!O2587</x:f>
        <x:v>OPEN</x:v>
      </x:c>
    </x:row>
    <x:row r="6871">
      <x:c r="B6871" s="7" t="str">
        <x:v>AG-06865</x:v>
      </x:c>
      <x:c r="C6871" s="7" t="str">
        <x:v>PEA-C-Y3</x:v>
      </x:c>
      <x:c r="D6871" s="7" t="str">
        <x:v>channel instance</x:v>
      </x:c>
      <x:c r="E6871" s="7" t="str">
        <x:v>CH-PEA-C-Y3-23-2</x:v>
      </x:c>
      <x:c r="F6871" s="7" t="str">
        <x:f>'Channel Instances'!O2588</x:f>
        <x:v>OPEN</x:v>
      </x:c>
    </x:row>
    <x:row r="6872">
      <x:c r="B6872" s="7" t="str">
        <x:v>AG-06866</x:v>
      </x:c>
      <x:c r="C6872" s="7" t="str">
        <x:v>PEA-C-Y3</x:v>
      </x:c>
      <x:c r="D6872" s="7" t="str">
        <x:v>channel instance</x:v>
      </x:c>
      <x:c r="E6872" s="7" t="str">
        <x:v>CH-PEA-C-Y3-23-3</x:v>
      </x:c>
      <x:c r="F6872" s="7" t="str">
        <x:f>'Channel Instances'!O2589</x:f>
        <x:v>OPEN</x:v>
      </x:c>
    </x:row>
    <x:row r="6873">
      <x:c r="B6873" s="7" t="str">
        <x:v>AG-06867</x:v>
      </x:c>
      <x:c r="C6873" s="7" t="str">
        <x:v>PEA-C-Y3</x:v>
      </x:c>
      <x:c r="D6873" s="7" t="str">
        <x:v>channel instance</x:v>
      </x:c>
      <x:c r="E6873" s="7" t="str">
        <x:v>CH-PEA-C-Y3-23-4</x:v>
      </x:c>
      <x:c r="F6873" s="7" t="str">
        <x:f>'Channel Instances'!O2590</x:f>
        <x:v>OPEN</x:v>
      </x:c>
    </x:row>
    <x:row r="6874">
      <x:c r="B6874" s="7" t="str">
        <x:v>AG-06868</x:v>
      </x:c>
      <x:c r="C6874" s="7" t="str">
        <x:v>PEA-C-Y3</x:v>
      </x:c>
      <x:c r="D6874" s="7" t="str">
        <x:v>channel instance</x:v>
      </x:c>
      <x:c r="E6874" s="7" t="str">
        <x:v>CH-PEA-C-Y3-23-5</x:v>
      </x:c>
      <x:c r="F6874" s="7" t="str">
        <x:f>'Channel Instances'!O2591</x:f>
        <x:v>OPEN</x:v>
      </x:c>
    </x:row>
    <x:row r="6875">
      <x:c r="B6875" s="7" t="str">
        <x:v>AG-06869</x:v>
      </x:c>
      <x:c r="C6875" s="7" t="str">
        <x:v>PEA-C-Y3</x:v>
      </x:c>
      <x:c r="D6875" s="7" t="str">
        <x:v>channel instance</x:v>
      </x:c>
      <x:c r="E6875" s="7" t="str">
        <x:v>CH-PEA-C-Y3-23-6</x:v>
      </x:c>
      <x:c r="F6875" s="7" t="str">
        <x:f>'Channel Instances'!O2592</x:f>
        <x:v>OPEN</x:v>
      </x:c>
    </x:row>
    <x:row r="6876">
      <x:c r="B6876" s="7" t="str">
        <x:v>AG-06870</x:v>
      </x:c>
      <x:c r="C6876" s="7" t="str">
        <x:v>PEA-C-Y3</x:v>
      </x:c>
      <x:c r="D6876" s="7" t="str">
        <x:v>channel instance</x:v>
      </x:c>
      <x:c r="E6876" s="7" t="str">
        <x:v>CH-PEA-C-Y3-24-1</x:v>
      </x:c>
      <x:c r="F6876" s="7" t="str">
        <x:f>'Channel Instances'!O2593</x:f>
        <x:v>OPEN</x:v>
      </x:c>
    </x:row>
    <x:row r="6877">
      <x:c r="B6877" s="7" t="str">
        <x:v>AG-06871</x:v>
      </x:c>
      <x:c r="C6877" s="7" t="str">
        <x:v>PEA-C-Y3</x:v>
      </x:c>
      <x:c r="D6877" s="7" t="str">
        <x:v>channel instance</x:v>
      </x:c>
      <x:c r="E6877" s="7" t="str">
        <x:v>CH-PEA-C-Y3-24-2</x:v>
      </x:c>
      <x:c r="F6877" s="7" t="str">
        <x:f>'Channel Instances'!O2594</x:f>
        <x:v>OPEN</x:v>
      </x:c>
    </x:row>
    <x:row r="6878">
      <x:c r="B6878" s="7" t="str">
        <x:v>AG-06872</x:v>
      </x:c>
      <x:c r="C6878" s="7" t="str">
        <x:v>PEA-C-Y3</x:v>
      </x:c>
      <x:c r="D6878" s="7" t="str">
        <x:v>channel instance</x:v>
      </x:c>
      <x:c r="E6878" s="7" t="str">
        <x:v>CH-PEA-C-Y3-24-3</x:v>
      </x:c>
      <x:c r="F6878" s="7" t="str">
        <x:f>'Channel Instances'!O2595</x:f>
        <x:v>OPEN</x:v>
      </x:c>
    </x:row>
    <x:row r="6879">
      <x:c r="B6879" s="7" t="str">
        <x:v>AG-06873</x:v>
      </x:c>
      <x:c r="C6879" s="7" t="str">
        <x:v>PEA-C-Y3</x:v>
      </x:c>
      <x:c r="D6879" s="7" t="str">
        <x:v>channel instance</x:v>
      </x:c>
      <x:c r="E6879" s="7" t="str">
        <x:v>CH-PEA-C-Y3-24-4</x:v>
      </x:c>
      <x:c r="F6879" s="7" t="str">
        <x:f>'Channel Instances'!O2596</x:f>
        <x:v>OPEN</x:v>
      </x:c>
    </x:row>
    <x:row r="6880">
      <x:c r="B6880" s="7" t="str">
        <x:v>AG-06874</x:v>
      </x:c>
      <x:c r="C6880" s="7" t="str">
        <x:v>PEA-C-Y3</x:v>
      </x:c>
      <x:c r="D6880" s="7" t="str">
        <x:v>channel instance</x:v>
      </x:c>
      <x:c r="E6880" s="7" t="str">
        <x:v>CH-PEA-C-Y3-24-5</x:v>
      </x:c>
      <x:c r="F6880" s="7" t="str">
        <x:f>'Channel Instances'!O2597</x:f>
        <x:v>OPEN</x:v>
      </x:c>
    </x:row>
    <x:row r="6881">
      <x:c r="B6881" s="7" t="str">
        <x:v>AG-06875</x:v>
      </x:c>
      <x:c r="C6881" s="7" t="str">
        <x:v>PEA-C-Y3</x:v>
      </x:c>
      <x:c r="D6881" s="7" t="str">
        <x:v>channel instance</x:v>
      </x:c>
      <x:c r="E6881" s="7" t="str">
        <x:v>CH-PEA-C-Y3-24-6</x:v>
      </x:c>
      <x:c r="F6881" s="7" t="str">
        <x:f>'Channel Instances'!O2598</x:f>
        <x:v>OPEN</x:v>
      </x:c>
    </x:row>
    <x:row r="6882">
      <x:c r="B6882" s="7" t="str">
        <x:v>AG-06876</x:v>
      </x:c>
      <x:c r="C6882" s="7" t="str">
        <x:v>PEA-C-Y3</x:v>
      </x:c>
      <x:c r="D6882" s="7" t="str">
        <x:v>factory calibration</x:v>
      </x:c>
      <x:c r="E6882" s="7" t="str">
        <x:v>CAL-CH-PEA-C-Y3-01-1</x:v>
      </x:c>
      <x:c r="F6882" s="7" t="str">
        <x:f>'Calibration Records'!M2455</x:f>
        <x:v>OPEN</x:v>
      </x:c>
    </x:row>
    <x:row r="6883">
      <x:c r="B6883" s="7" t="str">
        <x:v>AG-06877</x:v>
      </x:c>
      <x:c r="C6883" s="7" t="str">
        <x:v>PEA-C-Y3</x:v>
      </x:c>
      <x:c r="D6883" s="7" t="str">
        <x:v>factory calibration</x:v>
      </x:c>
      <x:c r="E6883" s="7" t="str">
        <x:v>CAL-CH-PEA-C-Y3-01-2</x:v>
      </x:c>
      <x:c r="F6883" s="7" t="str">
        <x:f>'Calibration Records'!M2456</x:f>
        <x:v>OPEN</x:v>
      </x:c>
    </x:row>
    <x:row r="6884">
      <x:c r="B6884" s="7" t="str">
        <x:v>AG-06878</x:v>
      </x:c>
      <x:c r="C6884" s="7" t="str">
        <x:v>PEA-C-Y3</x:v>
      </x:c>
      <x:c r="D6884" s="7" t="str">
        <x:v>factory calibration</x:v>
      </x:c>
      <x:c r="E6884" s="7" t="str">
        <x:v>CAL-CH-PEA-C-Y3-01-3</x:v>
      </x:c>
      <x:c r="F6884" s="7" t="str">
        <x:f>'Calibration Records'!M2457</x:f>
        <x:v>OPEN</x:v>
      </x:c>
    </x:row>
    <x:row r="6885">
      <x:c r="B6885" s="7" t="str">
        <x:v>AG-06879</x:v>
      </x:c>
      <x:c r="C6885" s="7" t="str">
        <x:v>PEA-C-Y3</x:v>
      </x:c>
      <x:c r="D6885" s="7" t="str">
        <x:v>factory calibration</x:v>
      </x:c>
      <x:c r="E6885" s="7" t="str">
        <x:v>CAL-CH-PEA-C-Y3-01-4</x:v>
      </x:c>
      <x:c r="F6885" s="7" t="str">
        <x:f>'Calibration Records'!M2458</x:f>
        <x:v>OPEN</x:v>
      </x:c>
    </x:row>
    <x:row r="6886">
      <x:c r="B6886" s="7" t="str">
        <x:v>AG-06880</x:v>
      </x:c>
      <x:c r="C6886" s="7" t="str">
        <x:v>PEA-C-Y3</x:v>
      </x:c>
      <x:c r="D6886" s="7" t="str">
        <x:v>factory calibration</x:v>
      </x:c>
      <x:c r="E6886" s="7" t="str">
        <x:v>CAL-CH-PEA-C-Y3-01-5</x:v>
      </x:c>
      <x:c r="F6886" s="7" t="str">
        <x:f>'Calibration Records'!M2459</x:f>
        <x:v>OPEN</x:v>
      </x:c>
    </x:row>
    <x:row r="6887">
      <x:c r="B6887" s="7" t="str">
        <x:v>AG-06881</x:v>
      </x:c>
      <x:c r="C6887" s="7" t="str">
        <x:v>PEA-C-Y3</x:v>
      </x:c>
      <x:c r="D6887" s="7" t="str">
        <x:v>factory calibration</x:v>
      </x:c>
      <x:c r="E6887" s="7" t="str">
        <x:v>CAL-CH-PEA-C-Y3-01-6</x:v>
      </x:c>
      <x:c r="F6887" s="7" t="str">
        <x:f>'Calibration Records'!M2460</x:f>
        <x:v>OPEN</x:v>
      </x:c>
    </x:row>
    <x:row r="6888">
      <x:c r="B6888" s="7" t="str">
        <x:v>AG-06882</x:v>
      </x:c>
      <x:c r="C6888" s="7" t="str">
        <x:v>PEA-C-Y3</x:v>
      </x:c>
      <x:c r="D6888" s="7" t="str">
        <x:v>factory calibration</x:v>
      </x:c>
      <x:c r="E6888" s="7" t="str">
        <x:v>CAL-CH-PEA-C-Y3-02-1</x:v>
      </x:c>
      <x:c r="F6888" s="7" t="str">
        <x:f>'Calibration Records'!M2461</x:f>
        <x:v>OPEN</x:v>
      </x:c>
    </x:row>
    <x:row r="6889">
      <x:c r="B6889" s="7" t="str">
        <x:v>AG-06883</x:v>
      </x:c>
      <x:c r="C6889" s="7" t="str">
        <x:v>PEA-C-Y3</x:v>
      </x:c>
      <x:c r="D6889" s="7" t="str">
        <x:v>factory calibration</x:v>
      </x:c>
      <x:c r="E6889" s="7" t="str">
        <x:v>CAL-CH-PEA-C-Y3-02-2</x:v>
      </x:c>
      <x:c r="F6889" s="7" t="str">
        <x:f>'Calibration Records'!M2462</x:f>
        <x:v>OPEN</x:v>
      </x:c>
    </x:row>
    <x:row r="6890">
      <x:c r="B6890" s="7" t="str">
        <x:v>AG-06884</x:v>
      </x:c>
      <x:c r="C6890" s="7" t="str">
        <x:v>PEA-C-Y3</x:v>
      </x:c>
      <x:c r="D6890" s="7" t="str">
        <x:v>factory calibration</x:v>
      </x:c>
      <x:c r="E6890" s="7" t="str">
        <x:v>CAL-CH-PEA-C-Y3-02-3</x:v>
      </x:c>
      <x:c r="F6890" s="7" t="str">
        <x:f>'Calibration Records'!M2463</x:f>
        <x:v>OPEN</x:v>
      </x:c>
    </x:row>
    <x:row r="6891">
      <x:c r="B6891" s="7" t="str">
        <x:v>AG-06885</x:v>
      </x:c>
      <x:c r="C6891" s="7" t="str">
        <x:v>PEA-C-Y3</x:v>
      </x:c>
      <x:c r="D6891" s="7" t="str">
        <x:v>factory calibration</x:v>
      </x:c>
      <x:c r="E6891" s="7" t="str">
        <x:v>CAL-CH-PEA-C-Y3-02-4</x:v>
      </x:c>
      <x:c r="F6891" s="7" t="str">
        <x:f>'Calibration Records'!M2464</x:f>
        <x:v>OPEN</x:v>
      </x:c>
    </x:row>
    <x:row r="6892">
      <x:c r="B6892" s="7" t="str">
        <x:v>AG-06886</x:v>
      </x:c>
      <x:c r="C6892" s="7" t="str">
        <x:v>PEA-C-Y3</x:v>
      </x:c>
      <x:c r="D6892" s="7" t="str">
        <x:v>factory calibration</x:v>
      </x:c>
      <x:c r="E6892" s="7" t="str">
        <x:v>CAL-CH-PEA-C-Y3-02-5</x:v>
      </x:c>
      <x:c r="F6892" s="7" t="str">
        <x:f>'Calibration Records'!M2465</x:f>
        <x:v>OPEN</x:v>
      </x:c>
    </x:row>
    <x:row r="6893">
      <x:c r="B6893" s="7" t="str">
        <x:v>AG-06887</x:v>
      </x:c>
      <x:c r="C6893" s="7" t="str">
        <x:v>PEA-C-Y3</x:v>
      </x:c>
      <x:c r="D6893" s="7" t="str">
        <x:v>factory calibration</x:v>
      </x:c>
      <x:c r="E6893" s="7" t="str">
        <x:v>CAL-CH-PEA-C-Y3-02-6</x:v>
      </x:c>
      <x:c r="F6893" s="7" t="str">
        <x:f>'Calibration Records'!M2466</x:f>
        <x:v>OPEN</x:v>
      </x:c>
    </x:row>
    <x:row r="6894">
      <x:c r="B6894" s="7" t="str">
        <x:v>AG-06888</x:v>
      </x:c>
      <x:c r="C6894" s="7" t="str">
        <x:v>PEA-C-Y3</x:v>
      </x:c>
      <x:c r="D6894" s="7" t="str">
        <x:v>factory calibration</x:v>
      </x:c>
      <x:c r="E6894" s="7" t="str">
        <x:v>CAL-CH-PEA-C-Y3-03-1</x:v>
      </x:c>
      <x:c r="F6894" s="7" t="str">
        <x:f>'Calibration Records'!M2467</x:f>
        <x:v>OPEN</x:v>
      </x:c>
    </x:row>
    <x:row r="6895">
      <x:c r="B6895" s="7" t="str">
        <x:v>AG-06889</x:v>
      </x:c>
      <x:c r="C6895" s="7" t="str">
        <x:v>PEA-C-Y3</x:v>
      </x:c>
      <x:c r="D6895" s="7" t="str">
        <x:v>factory calibration</x:v>
      </x:c>
      <x:c r="E6895" s="7" t="str">
        <x:v>CAL-CH-PEA-C-Y3-03-2</x:v>
      </x:c>
      <x:c r="F6895" s="7" t="str">
        <x:f>'Calibration Records'!M2468</x:f>
        <x:v>OPEN</x:v>
      </x:c>
    </x:row>
    <x:row r="6896">
      <x:c r="B6896" s="7" t="str">
        <x:v>AG-06890</x:v>
      </x:c>
      <x:c r="C6896" s="7" t="str">
        <x:v>PEA-C-Y3</x:v>
      </x:c>
      <x:c r="D6896" s="7" t="str">
        <x:v>factory calibration</x:v>
      </x:c>
      <x:c r="E6896" s="7" t="str">
        <x:v>CAL-CH-PEA-C-Y3-03-3</x:v>
      </x:c>
      <x:c r="F6896" s="7" t="str">
        <x:f>'Calibration Records'!M2469</x:f>
        <x:v>OPEN</x:v>
      </x:c>
    </x:row>
    <x:row r="6897">
      <x:c r="B6897" s="7" t="str">
        <x:v>AG-06891</x:v>
      </x:c>
      <x:c r="C6897" s="7" t="str">
        <x:v>PEA-C-Y3</x:v>
      </x:c>
      <x:c r="D6897" s="7" t="str">
        <x:v>factory calibration</x:v>
      </x:c>
      <x:c r="E6897" s="7" t="str">
        <x:v>CAL-CH-PEA-C-Y3-03-4</x:v>
      </x:c>
      <x:c r="F6897" s="7" t="str">
        <x:f>'Calibration Records'!M2470</x:f>
        <x:v>OPEN</x:v>
      </x:c>
    </x:row>
    <x:row r="6898">
      <x:c r="B6898" s="7" t="str">
        <x:v>AG-06892</x:v>
      </x:c>
      <x:c r="C6898" s="7" t="str">
        <x:v>PEA-C-Y3</x:v>
      </x:c>
      <x:c r="D6898" s="7" t="str">
        <x:v>factory calibration</x:v>
      </x:c>
      <x:c r="E6898" s="7" t="str">
        <x:v>CAL-CH-PEA-C-Y3-03-5</x:v>
      </x:c>
      <x:c r="F6898" s="7" t="str">
        <x:f>'Calibration Records'!M2471</x:f>
        <x:v>OPEN</x:v>
      </x:c>
    </x:row>
    <x:row r="6899">
      <x:c r="B6899" s="7" t="str">
        <x:v>AG-06893</x:v>
      </x:c>
      <x:c r="C6899" s="7" t="str">
        <x:v>PEA-C-Y3</x:v>
      </x:c>
      <x:c r="D6899" s="7" t="str">
        <x:v>factory calibration</x:v>
      </x:c>
      <x:c r="E6899" s="7" t="str">
        <x:v>CAL-CH-PEA-C-Y3-03-6</x:v>
      </x:c>
      <x:c r="F6899" s="7" t="str">
        <x:f>'Calibration Records'!M2472</x:f>
        <x:v>OPEN</x:v>
      </x:c>
    </x:row>
    <x:row r="6900">
      <x:c r="B6900" s="7" t="str">
        <x:v>AG-06894</x:v>
      </x:c>
      <x:c r="C6900" s="7" t="str">
        <x:v>PEA-C-Y3</x:v>
      </x:c>
      <x:c r="D6900" s="7" t="str">
        <x:v>factory calibration</x:v>
      </x:c>
      <x:c r="E6900" s="7" t="str">
        <x:v>CAL-CH-PEA-C-Y3-04-1</x:v>
      </x:c>
      <x:c r="F6900" s="7" t="str">
        <x:f>'Calibration Records'!M2473</x:f>
        <x:v>OPEN</x:v>
      </x:c>
    </x:row>
    <x:row r="6901">
      <x:c r="B6901" s="7" t="str">
        <x:v>AG-06895</x:v>
      </x:c>
      <x:c r="C6901" s="7" t="str">
        <x:v>PEA-C-Y3</x:v>
      </x:c>
      <x:c r="D6901" s="7" t="str">
        <x:v>factory calibration</x:v>
      </x:c>
      <x:c r="E6901" s="7" t="str">
        <x:v>CAL-CH-PEA-C-Y3-04-2</x:v>
      </x:c>
      <x:c r="F6901" s="7" t="str">
        <x:f>'Calibration Records'!M2474</x:f>
        <x:v>OPEN</x:v>
      </x:c>
    </x:row>
    <x:row r="6902">
      <x:c r="B6902" s="7" t="str">
        <x:v>AG-06896</x:v>
      </x:c>
      <x:c r="C6902" s="7" t="str">
        <x:v>PEA-C-Y3</x:v>
      </x:c>
      <x:c r="D6902" s="7" t="str">
        <x:v>factory calibration</x:v>
      </x:c>
      <x:c r="E6902" s="7" t="str">
        <x:v>CAL-CH-PEA-C-Y3-04-3</x:v>
      </x:c>
      <x:c r="F6902" s="7" t="str">
        <x:f>'Calibration Records'!M2475</x:f>
        <x:v>OPEN</x:v>
      </x:c>
    </x:row>
    <x:row r="6903">
      <x:c r="B6903" s="7" t="str">
        <x:v>AG-06897</x:v>
      </x:c>
      <x:c r="C6903" s="7" t="str">
        <x:v>PEA-C-Y3</x:v>
      </x:c>
      <x:c r="D6903" s="7" t="str">
        <x:v>factory calibration</x:v>
      </x:c>
      <x:c r="E6903" s="7" t="str">
        <x:v>CAL-CH-PEA-C-Y3-04-4</x:v>
      </x:c>
      <x:c r="F6903" s="7" t="str">
        <x:f>'Calibration Records'!M2476</x:f>
        <x:v>OPEN</x:v>
      </x:c>
    </x:row>
    <x:row r="6904">
      <x:c r="B6904" s="7" t="str">
        <x:v>AG-06898</x:v>
      </x:c>
      <x:c r="C6904" s="7" t="str">
        <x:v>PEA-C-Y3</x:v>
      </x:c>
      <x:c r="D6904" s="7" t="str">
        <x:v>factory calibration</x:v>
      </x:c>
      <x:c r="E6904" s="7" t="str">
        <x:v>CAL-CH-PEA-C-Y3-04-5</x:v>
      </x:c>
      <x:c r="F6904" s="7" t="str">
        <x:f>'Calibration Records'!M2477</x:f>
        <x:v>OPEN</x:v>
      </x:c>
    </x:row>
    <x:row r="6905">
      <x:c r="B6905" s="7" t="str">
        <x:v>AG-06899</x:v>
      </x:c>
      <x:c r="C6905" s="7" t="str">
        <x:v>PEA-C-Y3</x:v>
      </x:c>
      <x:c r="D6905" s="7" t="str">
        <x:v>factory calibration</x:v>
      </x:c>
      <x:c r="E6905" s="7" t="str">
        <x:v>CAL-CH-PEA-C-Y3-04-6</x:v>
      </x:c>
      <x:c r="F6905" s="7" t="str">
        <x:f>'Calibration Records'!M2478</x:f>
        <x:v>OPEN</x:v>
      </x:c>
    </x:row>
    <x:row r="6906">
      <x:c r="B6906" s="7" t="str">
        <x:v>AG-06900</x:v>
      </x:c>
      <x:c r="C6906" s="7" t="str">
        <x:v>PEA-C-Y3</x:v>
      </x:c>
      <x:c r="D6906" s="7" t="str">
        <x:v>factory calibration</x:v>
      </x:c>
      <x:c r="E6906" s="7" t="str">
        <x:v>CAL-CH-PEA-C-Y3-05-1</x:v>
      </x:c>
      <x:c r="F6906" s="7" t="str">
        <x:f>'Calibration Records'!M2479</x:f>
        <x:v>OPEN</x:v>
      </x:c>
    </x:row>
    <x:row r="6907">
      <x:c r="B6907" s="7" t="str">
        <x:v>AG-06901</x:v>
      </x:c>
      <x:c r="C6907" s="7" t="str">
        <x:v>PEA-C-Y3</x:v>
      </x:c>
      <x:c r="D6907" s="7" t="str">
        <x:v>factory calibration</x:v>
      </x:c>
      <x:c r="E6907" s="7" t="str">
        <x:v>CAL-CH-PEA-C-Y3-05-2</x:v>
      </x:c>
      <x:c r="F6907" s="7" t="str">
        <x:f>'Calibration Records'!M2480</x:f>
        <x:v>OPEN</x:v>
      </x:c>
    </x:row>
    <x:row r="6908">
      <x:c r="B6908" s="7" t="str">
        <x:v>AG-06902</x:v>
      </x:c>
      <x:c r="C6908" s="7" t="str">
        <x:v>PEA-C-Y3</x:v>
      </x:c>
      <x:c r="D6908" s="7" t="str">
        <x:v>factory calibration</x:v>
      </x:c>
      <x:c r="E6908" s="7" t="str">
        <x:v>CAL-CH-PEA-C-Y3-05-3</x:v>
      </x:c>
      <x:c r="F6908" s="7" t="str">
        <x:f>'Calibration Records'!M2481</x:f>
        <x:v>OPEN</x:v>
      </x:c>
    </x:row>
    <x:row r="6909">
      <x:c r="B6909" s="7" t="str">
        <x:v>AG-06903</x:v>
      </x:c>
      <x:c r="C6909" s="7" t="str">
        <x:v>PEA-C-Y3</x:v>
      </x:c>
      <x:c r="D6909" s="7" t="str">
        <x:v>factory calibration</x:v>
      </x:c>
      <x:c r="E6909" s="7" t="str">
        <x:v>CAL-CH-PEA-C-Y3-05-4</x:v>
      </x:c>
      <x:c r="F6909" s="7" t="str">
        <x:f>'Calibration Records'!M2482</x:f>
        <x:v>OPEN</x:v>
      </x:c>
    </x:row>
    <x:row r="6910">
      <x:c r="B6910" s="7" t="str">
        <x:v>AG-06904</x:v>
      </x:c>
      <x:c r="C6910" s="7" t="str">
        <x:v>PEA-C-Y3</x:v>
      </x:c>
      <x:c r="D6910" s="7" t="str">
        <x:v>factory calibration</x:v>
      </x:c>
      <x:c r="E6910" s="7" t="str">
        <x:v>CAL-CH-PEA-C-Y3-05-5</x:v>
      </x:c>
      <x:c r="F6910" s="7" t="str">
        <x:f>'Calibration Records'!M2483</x:f>
        <x:v>OPEN</x:v>
      </x:c>
    </x:row>
    <x:row r="6911">
      <x:c r="B6911" s="7" t="str">
        <x:v>AG-06905</x:v>
      </x:c>
      <x:c r="C6911" s="7" t="str">
        <x:v>PEA-C-Y3</x:v>
      </x:c>
      <x:c r="D6911" s="7" t="str">
        <x:v>factory calibration</x:v>
      </x:c>
      <x:c r="E6911" s="7" t="str">
        <x:v>CAL-CH-PEA-C-Y3-05-6</x:v>
      </x:c>
      <x:c r="F6911" s="7" t="str">
        <x:f>'Calibration Records'!M2484</x:f>
        <x:v>OPEN</x:v>
      </x:c>
    </x:row>
    <x:row r="6912">
      <x:c r="B6912" s="7" t="str">
        <x:v>AG-06906</x:v>
      </x:c>
      <x:c r="C6912" s="7" t="str">
        <x:v>PEA-C-Y3</x:v>
      </x:c>
      <x:c r="D6912" s="7" t="str">
        <x:v>factory calibration</x:v>
      </x:c>
      <x:c r="E6912" s="7" t="str">
        <x:v>CAL-CH-PEA-C-Y3-06-1</x:v>
      </x:c>
      <x:c r="F6912" s="7" t="str">
        <x:f>'Calibration Records'!M2485</x:f>
        <x:v>OPEN</x:v>
      </x:c>
    </x:row>
    <x:row r="6913">
      <x:c r="B6913" s="7" t="str">
        <x:v>AG-06907</x:v>
      </x:c>
      <x:c r="C6913" s="7" t="str">
        <x:v>PEA-C-Y3</x:v>
      </x:c>
      <x:c r="D6913" s="7" t="str">
        <x:v>factory calibration</x:v>
      </x:c>
      <x:c r="E6913" s="7" t="str">
        <x:v>CAL-CH-PEA-C-Y3-06-2</x:v>
      </x:c>
      <x:c r="F6913" s="7" t="str">
        <x:f>'Calibration Records'!M2486</x:f>
        <x:v>OPEN</x:v>
      </x:c>
    </x:row>
    <x:row r="6914">
      <x:c r="B6914" s="7" t="str">
        <x:v>AG-06908</x:v>
      </x:c>
      <x:c r="C6914" s="7" t="str">
        <x:v>PEA-C-Y3</x:v>
      </x:c>
      <x:c r="D6914" s="7" t="str">
        <x:v>factory calibration</x:v>
      </x:c>
      <x:c r="E6914" s="7" t="str">
        <x:v>CAL-CH-PEA-C-Y3-06-3</x:v>
      </x:c>
      <x:c r="F6914" s="7" t="str">
        <x:f>'Calibration Records'!M2487</x:f>
        <x:v>OPEN</x:v>
      </x:c>
    </x:row>
    <x:row r="6915">
      <x:c r="B6915" s="7" t="str">
        <x:v>AG-06909</x:v>
      </x:c>
      <x:c r="C6915" s="7" t="str">
        <x:v>PEA-C-Y3</x:v>
      </x:c>
      <x:c r="D6915" s="7" t="str">
        <x:v>factory calibration</x:v>
      </x:c>
      <x:c r="E6915" s="7" t="str">
        <x:v>CAL-CH-PEA-C-Y3-06-4</x:v>
      </x:c>
      <x:c r="F6915" s="7" t="str">
        <x:f>'Calibration Records'!M2488</x:f>
        <x:v>OPEN</x:v>
      </x:c>
    </x:row>
    <x:row r="6916">
      <x:c r="B6916" s="7" t="str">
        <x:v>AG-06910</x:v>
      </x:c>
      <x:c r="C6916" s="7" t="str">
        <x:v>PEA-C-Y3</x:v>
      </x:c>
      <x:c r="D6916" s="7" t="str">
        <x:v>factory calibration</x:v>
      </x:c>
      <x:c r="E6916" s="7" t="str">
        <x:v>CAL-CH-PEA-C-Y3-06-5</x:v>
      </x:c>
      <x:c r="F6916" s="7" t="str">
        <x:f>'Calibration Records'!M2489</x:f>
        <x:v>OPEN</x:v>
      </x:c>
    </x:row>
    <x:row r="6917">
      <x:c r="B6917" s="7" t="str">
        <x:v>AG-06911</x:v>
      </x:c>
      <x:c r="C6917" s="7" t="str">
        <x:v>PEA-C-Y3</x:v>
      </x:c>
      <x:c r="D6917" s="7" t="str">
        <x:v>factory calibration</x:v>
      </x:c>
      <x:c r="E6917" s="7" t="str">
        <x:v>CAL-CH-PEA-C-Y3-06-6</x:v>
      </x:c>
      <x:c r="F6917" s="7" t="str">
        <x:f>'Calibration Records'!M2490</x:f>
        <x:v>OPEN</x:v>
      </x:c>
    </x:row>
    <x:row r="6918">
      <x:c r="B6918" s="7" t="str">
        <x:v>AG-06912</x:v>
      </x:c>
      <x:c r="C6918" s="7" t="str">
        <x:v>PEA-C-Y3</x:v>
      </x:c>
      <x:c r="D6918" s="7" t="str">
        <x:v>factory calibration</x:v>
      </x:c>
      <x:c r="E6918" s="7" t="str">
        <x:v>CAL-CH-PEA-C-Y3-07-1</x:v>
      </x:c>
      <x:c r="F6918" s="7" t="str">
        <x:f>'Calibration Records'!M2491</x:f>
        <x:v>OPEN</x:v>
      </x:c>
    </x:row>
    <x:row r="6919">
      <x:c r="B6919" s="7" t="str">
        <x:v>AG-06913</x:v>
      </x:c>
      <x:c r="C6919" s="7" t="str">
        <x:v>PEA-C-Y3</x:v>
      </x:c>
      <x:c r="D6919" s="7" t="str">
        <x:v>factory calibration</x:v>
      </x:c>
      <x:c r="E6919" s="7" t="str">
        <x:v>CAL-CH-PEA-C-Y3-07-2</x:v>
      </x:c>
      <x:c r="F6919" s="7" t="str">
        <x:f>'Calibration Records'!M2492</x:f>
        <x:v>OPEN</x:v>
      </x:c>
    </x:row>
    <x:row r="6920">
      <x:c r="B6920" s="7" t="str">
        <x:v>AG-06914</x:v>
      </x:c>
      <x:c r="C6920" s="7" t="str">
        <x:v>PEA-C-Y3</x:v>
      </x:c>
      <x:c r="D6920" s="7" t="str">
        <x:v>factory calibration</x:v>
      </x:c>
      <x:c r="E6920" s="7" t="str">
        <x:v>CAL-CH-PEA-C-Y3-07-3</x:v>
      </x:c>
      <x:c r="F6920" s="7" t="str">
        <x:f>'Calibration Records'!M2493</x:f>
        <x:v>OPEN</x:v>
      </x:c>
    </x:row>
    <x:row r="6921">
      <x:c r="B6921" s="7" t="str">
        <x:v>AG-06915</x:v>
      </x:c>
      <x:c r="C6921" s="7" t="str">
        <x:v>PEA-C-Y3</x:v>
      </x:c>
      <x:c r="D6921" s="7" t="str">
        <x:v>factory calibration</x:v>
      </x:c>
      <x:c r="E6921" s="7" t="str">
        <x:v>CAL-CH-PEA-C-Y3-07-4</x:v>
      </x:c>
      <x:c r="F6921" s="7" t="str">
        <x:f>'Calibration Records'!M2494</x:f>
        <x:v>OPEN</x:v>
      </x:c>
    </x:row>
    <x:row r="6922">
      <x:c r="B6922" s="7" t="str">
        <x:v>AG-06916</x:v>
      </x:c>
      <x:c r="C6922" s="7" t="str">
        <x:v>PEA-C-Y3</x:v>
      </x:c>
      <x:c r="D6922" s="7" t="str">
        <x:v>factory calibration</x:v>
      </x:c>
      <x:c r="E6922" s="7" t="str">
        <x:v>CAL-CH-PEA-C-Y3-07-5</x:v>
      </x:c>
      <x:c r="F6922" s="7" t="str">
        <x:f>'Calibration Records'!M2495</x:f>
        <x:v>OPEN</x:v>
      </x:c>
    </x:row>
    <x:row r="6923">
      <x:c r="B6923" s="7" t="str">
        <x:v>AG-06917</x:v>
      </x:c>
      <x:c r="C6923" s="7" t="str">
        <x:v>PEA-C-Y3</x:v>
      </x:c>
      <x:c r="D6923" s="7" t="str">
        <x:v>factory calibration</x:v>
      </x:c>
      <x:c r="E6923" s="7" t="str">
        <x:v>CAL-CH-PEA-C-Y3-07-6</x:v>
      </x:c>
      <x:c r="F6923" s="7" t="str">
        <x:f>'Calibration Records'!M2496</x:f>
        <x:v>OPEN</x:v>
      </x:c>
    </x:row>
    <x:row r="6924">
      <x:c r="B6924" s="7" t="str">
        <x:v>AG-06918</x:v>
      </x:c>
      <x:c r="C6924" s="7" t="str">
        <x:v>PEA-C-Y3</x:v>
      </x:c>
      <x:c r="D6924" s="7" t="str">
        <x:v>factory calibration</x:v>
      </x:c>
      <x:c r="E6924" s="7" t="str">
        <x:v>CAL-CH-PEA-C-Y3-08-1</x:v>
      </x:c>
      <x:c r="F6924" s="7" t="str">
        <x:f>'Calibration Records'!M2497</x:f>
        <x:v>OPEN</x:v>
      </x:c>
    </x:row>
    <x:row r="6925">
      <x:c r="B6925" s="7" t="str">
        <x:v>AG-06919</x:v>
      </x:c>
      <x:c r="C6925" s="7" t="str">
        <x:v>PEA-C-Y3</x:v>
      </x:c>
      <x:c r="D6925" s="7" t="str">
        <x:v>factory calibration</x:v>
      </x:c>
      <x:c r="E6925" s="7" t="str">
        <x:v>CAL-CH-PEA-C-Y3-08-2</x:v>
      </x:c>
      <x:c r="F6925" s="7" t="str">
        <x:f>'Calibration Records'!M2498</x:f>
        <x:v>OPEN</x:v>
      </x:c>
    </x:row>
    <x:row r="6926">
      <x:c r="B6926" s="7" t="str">
        <x:v>AG-06920</x:v>
      </x:c>
      <x:c r="C6926" s="7" t="str">
        <x:v>PEA-C-Y3</x:v>
      </x:c>
      <x:c r="D6926" s="7" t="str">
        <x:v>factory calibration</x:v>
      </x:c>
      <x:c r="E6926" s="7" t="str">
        <x:v>CAL-CH-PEA-C-Y3-08-3</x:v>
      </x:c>
      <x:c r="F6926" s="7" t="str">
        <x:f>'Calibration Records'!M2499</x:f>
        <x:v>OPEN</x:v>
      </x:c>
    </x:row>
    <x:row r="6927">
      <x:c r="B6927" s="7" t="str">
        <x:v>AG-06921</x:v>
      </x:c>
      <x:c r="C6927" s="7" t="str">
        <x:v>PEA-C-Y3</x:v>
      </x:c>
      <x:c r="D6927" s="7" t="str">
        <x:v>factory calibration</x:v>
      </x:c>
      <x:c r="E6927" s="7" t="str">
        <x:v>CAL-CH-PEA-C-Y3-08-4</x:v>
      </x:c>
      <x:c r="F6927" s="7" t="str">
        <x:f>'Calibration Records'!M2500</x:f>
        <x:v>OPEN</x:v>
      </x:c>
    </x:row>
    <x:row r="6928">
      <x:c r="B6928" s="7" t="str">
        <x:v>AG-06922</x:v>
      </x:c>
      <x:c r="C6928" s="7" t="str">
        <x:v>PEA-C-Y3</x:v>
      </x:c>
      <x:c r="D6928" s="7" t="str">
        <x:v>factory calibration</x:v>
      </x:c>
      <x:c r="E6928" s="7" t="str">
        <x:v>CAL-CH-PEA-C-Y3-08-5</x:v>
      </x:c>
      <x:c r="F6928" s="7" t="str">
        <x:f>'Calibration Records'!M2501</x:f>
        <x:v>OPEN</x:v>
      </x:c>
    </x:row>
    <x:row r="6929">
      <x:c r="B6929" s="7" t="str">
        <x:v>AG-06923</x:v>
      </x:c>
      <x:c r="C6929" s="7" t="str">
        <x:v>PEA-C-Y3</x:v>
      </x:c>
      <x:c r="D6929" s="7" t="str">
        <x:v>factory calibration</x:v>
      </x:c>
      <x:c r="E6929" s="7" t="str">
        <x:v>CAL-CH-PEA-C-Y3-08-6</x:v>
      </x:c>
      <x:c r="F6929" s="7" t="str">
        <x:f>'Calibration Records'!M2502</x:f>
        <x:v>OPEN</x:v>
      </x:c>
    </x:row>
    <x:row r="6930">
      <x:c r="B6930" s="7" t="str">
        <x:v>AG-06924</x:v>
      </x:c>
      <x:c r="C6930" s="7" t="str">
        <x:v>PEA-C-Y3</x:v>
      </x:c>
      <x:c r="D6930" s="7" t="str">
        <x:v>factory calibration</x:v>
      </x:c>
      <x:c r="E6930" s="7" t="str">
        <x:v>CAL-CH-PEA-C-Y3-09-1</x:v>
      </x:c>
      <x:c r="F6930" s="7" t="str">
        <x:f>'Calibration Records'!M2503</x:f>
        <x:v>OPEN</x:v>
      </x:c>
    </x:row>
    <x:row r="6931">
      <x:c r="B6931" s="7" t="str">
        <x:v>AG-06925</x:v>
      </x:c>
      <x:c r="C6931" s="7" t="str">
        <x:v>PEA-C-Y3</x:v>
      </x:c>
      <x:c r="D6931" s="7" t="str">
        <x:v>factory calibration</x:v>
      </x:c>
      <x:c r="E6931" s="7" t="str">
        <x:v>CAL-CH-PEA-C-Y3-09-2</x:v>
      </x:c>
      <x:c r="F6931" s="7" t="str">
        <x:f>'Calibration Records'!M2504</x:f>
        <x:v>OPEN</x:v>
      </x:c>
    </x:row>
    <x:row r="6932">
      <x:c r="B6932" s="7" t="str">
        <x:v>AG-06926</x:v>
      </x:c>
      <x:c r="C6932" s="7" t="str">
        <x:v>PEA-C-Y3</x:v>
      </x:c>
      <x:c r="D6932" s="7" t="str">
        <x:v>factory calibration</x:v>
      </x:c>
      <x:c r="E6932" s="7" t="str">
        <x:v>CAL-CH-PEA-C-Y3-09-3</x:v>
      </x:c>
      <x:c r="F6932" s="7" t="str">
        <x:f>'Calibration Records'!M2505</x:f>
        <x:v>OPEN</x:v>
      </x:c>
    </x:row>
    <x:row r="6933">
      <x:c r="B6933" s="7" t="str">
        <x:v>AG-06927</x:v>
      </x:c>
      <x:c r="C6933" s="7" t="str">
        <x:v>PEA-C-Y3</x:v>
      </x:c>
      <x:c r="D6933" s="7" t="str">
        <x:v>factory calibration</x:v>
      </x:c>
      <x:c r="E6933" s="7" t="str">
        <x:v>CAL-CH-PEA-C-Y3-09-4</x:v>
      </x:c>
      <x:c r="F6933" s="7" t="str">
        <x:f>'Calibration Records'!M2506</x:f>
        <x:v>OPEN</x:v>
      </x:c>
    </x:row>
    <x:row r="6934">
      <x:c r="B6934" s="7" t="str">
        <x:v>AG-06928</x:v>
      </x:c>
      <x:c r="C6934" s="7" t="str">
        <x:v>PEA-C-Y3</x:v>
      </x:c>
      <x:c r="D6934" s="7" t="str">
        <x:v>factory calibration</x:v>
      </x:c>
      <x:c r="E6934" s="7" t="str">
        <x:v>CAL-CH-PEA-C-Y3-09-5</x:v>
      </x:c>
      <x:c r="F6934" s="7" t="str">
        <x:f>'Calibration Records'!M2507</x:f>
        <x:v>OPEN</x:v>
      </x:c>
    </x:row>
    <x:row r="6935">
      <x:c r="B6935" s="7" t="str">
        <x:v>AG-06929</x:v>
      </x:c>
      <x:c r="C6935" s="7" t="str">
        <x:v>PEA-C-Y3</x:v>
      </x:c>
      <x:c r="D6935" s="7" t="str">
        <x:v>factory calibration</x:v>
      </x:c>
      <x:c r="E6935" s="7" t="str">
        <x:v>CAL-CH-PEA-C-Y3-09-6</x:v>
      </x:c>
      <x:c r="F6935" s="7" t="str">
        <x:f>'Calibration Records'!M2508</x:f>
        <x:v>OPEN</x:v>
      </x:c>
    </x:row>
    <x:row r="6936">
      <x:c r="B6936" s="7" t="str">
        <x:v>AG-06930</x:v>
      </x:c>
      <x:c r="C6936" s="7" t="str">
        <x:v>PEA-C-Y3</x:v>
      </x:c>
      <x:c r="D6936" s="7" t="str">
        <x:v>factory calibration</x:v>
      </x:c>
      <x:c r="E6936" s="7" t="str">
        <x:v>CAL-CH-PEA-C-Y3-10-1</x:v>
      </x:c>
      <x:c r="F6936" s="7" t="str">
        <x:f>'Calibration Records'!M2509</x:f>
        <x:v>OPEN</x:v>
      </x:c>
    </x:row>
    <x:row r="6937">
      <x:c r="B6937" s="7" t="str">
        <x:v>AG-06931</x:v>
      </x:c>
      <x:c r="C6937" s="7" t="str">
        <x:v>PEA-C-Y3</x:v>
      </x:c>
      <x:c r="D6937" s="7" t="str">
        <x:v>factory calibration</x:v>
      </x:c>
      <x:c r="E6937" s="7" t="str">
        <x:v>CAL-CH-PEA-C-Y3-10-2</x:v>
      </x:c>
      <x:c r="F6937" s="7" t="str">
        <x:f>'Calibration Records'!M2510</x:f>
        <x:v>OPEN</x:v>
      </x:c>
    </x:row>
    <x:row r="6938">
      <x:c r="B6938" s="7" t="str">
        <x:v>AG-06932</x:v>
      </x:c>
      <x:c r="C6938" s="7" t="str">
        <x:v>PEA-C-Y3</x:v>
      </x:c>
      <x:c r="D6938" s="7" t="str">
        <x:v>factory calibration</x:v>
      </x:c>
      <x:c r="E6938" s="7" t="str">
        <x:v>CAL-CH-PEA-C-Y3-10-3</x:v>
      </x:c>
      <x:c r="F6938" s="7" t="str">
        <x:f>'Calibration Records'!M2511</x:f>
        <x:v>OPEN</x:v>
      </x:c>
    </x:row>
    <x:row r="6939">
      <x:c r="B6939" s="7" t="str">
        <x:v>AG-06933</x:v>
      </x:c>
      <x:c r="C6939" s="7" t="str">
        <x:v>PEA-C-Y3</x:v>
      </x:c>
      <x:c r="D6939" s="7" t="str">
        <x:v>factory calibration</x:v>
      </x:c>
      <x:c r="E6939" s="7" t="str">
        <x:v>CAL-CH-PEA-C-Y3-10-4</x:v>
      </x:c>
      <x:c r="F6939" s="7" t="str">
        <x:f>'Calibration Records'!M2512</x:f>
        <x:v>OPEN</x:v>
      </x:c>
    </x:row>
    <x:row r="6940">
      <x:c r="B6940" s="7" t="str">
        <x:v>AG-06934</x:v>
      </x:c>
      <x:c r="C6940" s="7" t="str">
        <x:v>PEA-C-Y3</x:v>
      </x:c>
      <x:c r="D6940" s="7" t="str">
        <x:v>factory calibration</x:v>
      </x:c>
      <x:c r="E6940" s="7" t="str">
        <x:v>CAL-CH-PEA-C-Y3-10-5</x:v>
      </x:c>
      <x:c r="F6940" s="7" t="str">
        <x:f>'Calibration Records'!M2513</x:f>
        <x:v>OPEN</x:v>
      </x:c>
    </x:row>
    <x:row r="6941">
      <x:c r="B6941" s="7" t="str">
        <x:v>AG-06935</x:v>
      </x:c>
      <x:c r="C6941" s="7" t="str">
        <x:v>PEA-C-Y3</x:v>
      </x:c>
      <x:c r="D6941" s="7" t="str">
        <x:v>factory calibration</x:v>
      </x:c>
      <x:c r="E6941" s="7" t="str">
        <x:v>CAL-CH-PEA-C-Y3-10-6</x:v>
      </x:c>
      <x:c r="F6941" s="7" t="str">
        <x:f>'Calibration Records'!M2514</x:f>
        <x:v>OPEN</x:v>
      </x:c>
    </x:row>
    <x:row r="6942">
      <x:c r="B6942" s="7" t="str">
        <x:v>AG-06936</x:v>
      </x:c>
      <x:c r="C6942" s="7" t="str">
        <x:v>PEA-C-Y3</x:v>
      </x:c>
      <x:c r="D6942" s="7" t="str">
        <x:v>factory calibration</x:v>
      </x:c>
      <x:c r="E6942" s="7" t="str">
        <x:v>CAL-CH-PEA-C-Y3-11-1</x:v>
      </x:c>
      <x:c r="F6942" s="7" t="str">
        <x:f>'Calibration Records'!M2515</x:f>
        <x:v>OPEN</x:v>
      </x:c>
    </x:row>
    <x:row r="6943">
      <x:c r="B6943" s="7" t="str">
        <x:v>AG-06937</x:v>
      </x:c>
      <x:c r="C6943" s="7" t="str">
        <x:v>PEA-C-Y3</x:v>
      </x:c>
      <x:c r="D6943" s="7" t="str">
        <x:v>factory calibration</x:v>
      </x:c>
      <x:c r="E6943" s="7" t="str">
        <x:v>CAL-CH-PEA-C-Y3-11-2</x:v>
      </x:c>
      <x:c r="F6943" s="7" t="str">
        <x:f>'Calibration Records'!M2516</x:f>
        <x:v>OPEN</x:v>
      </x:c>
    </x:row>
    <x:row r="6944">
      <x:c r="B6944" s="7" t="str">
        <x:v>AG-06938</x:v>
      </x:c>
      <x:c r="C6944" s="7" t="str">
        <x:v>PEA-C-Y3</x:v>
      </x:c>
      <x:c r="D6944" s="7" t="str">
        <x:v>factory calibration</x:v>
      </x:c>
      <x:c r="E6944" s="7" t="str">
        <x:v>CAL-CH-PEA-C-Y3-11-3</x:v>
      </x:c>
      <x:c r="F6944" s="7" t="str">
        <x:f>'Calibration Records'!M2517</x:f>
        <x:v>OPEN</x:v>
      </x:c>
    </x:row>
    <x:row r="6945">
      <x:c r="B6945" s="7" t="str">
        <x:v>AG-06939</x:v>
      </x:c>
      <x:c r="C6945" s="7" t="str">
        <x:v>PEA-C-Y3</x:v>
      </x:c>
      <x:c r="D6945" s="7" t="str">
        <x:v>factory calibration</x:v>
      </x:c>
      <x:c r="E6945" s="7" t="str">
        <x:v>CAL-CH-PEA-C-Y3-11-4</x:v>
      </x:c>
      <x:c r="F6945" s="7" t="str">
        <x:f>'Calibration Records'!M2518</x:f>
        <x:v>OPEN</x:v>
      </x:c>
    </x:row>
    <x:row r="6946">
      <x:c r="B6946" s="7" t="str">
        <x:v>AG-06940</x:v>
      </x:c>
      <x:c r="C6946" s="7" t="str">
        <x:v>PEA-C-Y3</x:v>
      </x:c>
      <x:c r="D6946" s="7" t="str">
        <x:v>factory calibration</x:v>
      </x:c>
      <x:c r="E6946" s="7" t="str">
        <x:v>CAL-CH-PEA-C-Y3-11-5</x:v>
      </x:c>
      <x:c r="F6946" s="7" t="str">
        <x:f>'Calibration Records'!M2519</x:f>
        <x:v>OPEN</x:v>
      </x:c>
    </x:row>
    <x:row r="6947">
      <x:c r="B6947" s="7" t="str">
        <x:v>AG-06941</x:v>
      </x:c>
      <x:c r="C6947" s="7" t="str">
        <x:v>PEA-C-Y3</x:v>
      </x:c>
      <x:c r="D6947" s="7" t="str">
        <x:v>factory calibration</x:v>
      </x:c>
      <x:c r="E6947" s="7" t="str">
        <x:v>CAL-CH-PEA-C-Y3-11-6</x:v>
      </x:c>
      <x:c r="F6947" s="7" t="str">
        <x:f>'Calibration Records'!M2520</x:f>
        <x:v>OPEN</x:v>
      </x:c>
    </x:row>
    <x:row r="6948">
      <x:c r="B6948" s="7" t="str">
        <x:v>AG-06942</x:v>
      </x:c>
      <x:c r="C6948" s="7" t="str">
        <x:v>PEA-C-Y3</x:v>
      </x:c>
      <x:c r="D6948" s="7" t="str">
        <x:v>factory calibration</x:v>
      </x:c>
      <x:c r="E6948" s="7" t="str">
        <x:v>CAL-CH-PEA-C-Y3-12-1</x:v>
      </x:c>
      <x:c r="F6948" s="7" t="str">
        <x:f>'Calibration Records'!M2521</x:f>
        <x:v>OPEN</x:v>
      </x:c>
    </x:row>
    <x:row r="6949">
      <x:c r="B6949" s="7" t="str">
        <x:v>AG-06943</x:v>
      </x:c>
      <x:c r="C6949" s="7" t="str">
        <x:v>PEA-C-Y3</x:v>
      </x:c>
      <x:c r="D6949" s="7" t="str">
        <x:v>factory calibration</x:v>
      </x:c>
      <x:c r="E6949" s="7" t="str">
        <x:v>CAL-CH-PEA-C-Y3-12-2</x:v>
      </x:c>
      <x:c r="F6949" s="7" t="str">
        <x:f>'Calibration Records'!M2522</x:f>
        <x:v>OPEN</x:v>
      </x:c>
    </x:row>
    <x:row r="6950">
      <x:c r="B6950" s="7" t="str">
        <x:v>AG-06944</x:v>
      </x:c>
      <x:c r="C6950" s="7" t="str">
        <x:v>PEA-C-Y3</x:v>
      </x:c>
      <x:c r="D6950" s="7" t="str">
        <x:v>factory calibration</x:v>
      </x:c>
      <x:c r="E6950" s="7" t="str">
        <x:v>CAL-CH-PEA-C-Y3-12-3</x:v>
      </x:c>
      <x:c r="F6950" s="7" t="str">
        <x:f>'Calibration Records'!M2523</x:f>
        <x:v>OPEN</x:v>
      </x:c>
    </x:row>
    <x:row r="6951">
      <x:c r="B6951" s="7" t="str">
        <x:v>AG-06945</x:v>
      </x:c>
      <x:c r="C6951" s="7" t="str">
        <x:v>PEA-C-Y3</x:v>
      </x:c>
      <x:c r="D6951" s="7" t="str">
        <x:v>factory calibration</x:v>
      </x:c>
      <x:c r="E6951" s="7" t="str">
        <x:v>CAL-CH-PEA-C-Y3-12-4</x:v>
      </x:c>
      <x:c r="F6951" s="7" t="str">
        <x:f>'Calibration Records'!M2524</x:f>
        <x:v>OPEN</x:v>
      </x:c>
    </x:row>
    <x:row r="6952">
      <x:c r="B6952" s="7" t="str">
        <x:v>AG-06946</x:v>
      </x:c>
      <x:c r="C6952" s="7" t="str">
        <x:v>PEA-C-Y3</x:v>
      </x:c>
      <x:c r="D6952" s="7" t="str">
        <x:v>factory calibration</x:v>
      </x:c>
      <x:c r="E6952" s="7" t="str">
        <x:v>CAL-CH-PEA-C-Y3-12-5</x:v>
      </x:c>
      <x:c r="F6952" s="7" t="str">
        <x:f>'Calibration Records'!M2525</x:f>
        <x:v>OPEN</x:v>
      </x:c>
    </x:row>
    <x:row r="6953">
      <x:c r="B6953" s="7" t="str">
        <x:v>AG-06947</x:v>
      </x:c>
      <x:c r="C6953" s="7" t="str">
        <x:v>PEA-C-Y3</x:v>
      </x:c>
      <x:c r="D6953" s="7" t="str">
        <x:v>factory calibration</x:v>
      </x:c>
      <x:c r="E6953" s="7" t="str">
        <x:v>CAL-CH-PEA-C-Y3-12-6</x:v>
      </x:c>
      <x:c r="F6953" s="7" t="str">
        <x:f>'Calibration Records'!M2526</x:f>
        <x:v>OPEN</x:v>
      </x:c>
    </x:row>
    <x:row r="6954">
      <x:c r="B6954" s="7" t="str">
        <x:v>AG-06948</x:v>
      </x:c>
      <x:c r="C6954" s="7" t="str">
        <x:v>PEA-C-Y3</x:v>
      </x:c>
      <x:c r="D6954" s="7" t="str">
        <x:v>factory calibration</x:v>
      </x:c>
      <x:c r="E6954" s="7" t="str">
        <x:v>CAL-CH-PEA-C-Y3-13-1</x:v>
      </x:c>
      <x:c r="F6954" s="7" t="str">
        <x:f>'Calibration Records'!M2527</x:f>
        <x:v>OPEN</x:v>
      </x:c>
    </x:row>
    <x:row r="6955">
      <x:c r="B6955" s="7" t="str">
        <x:v>AG-06949</x:v>
      </x:c>
      <x:c r="C6955" s="7" t="str">
        <x:v>PEA-C-Y3</x:v>
      </x:c>
      <x:c r="D6955" s="7" t="str">
        <x:v>factory calibration</x:v>
      </x:c>
      <x:c r="E6955" s="7" t="str">
        <x:v>CAL-CH-PEA-C-Y3-13-2</x:v>
      </x:c>
      <x:c r="F6955" s="7" t="str">
        <x:f>'Calibration Records'!M2528</x:f>
        <x:v>OPEN</x:v>
      </x:c>
    </x:row>
    <x:row r="6956">
      <x:c r="B6956" s="7" t="str">
        <x:v>AG-06950</x:v>
      </x:c>
      <x:c r="C6956" s="7" t="str">
        <x:v>PEA-C-Y3</x:v>
      </x:c>
      <x:c r="D6956" s="7" t="str">
        <x:v>factory calibration</x:v>
      </x:c>
      <x:c r="E6956" s="7" t="str">
        <x:v>CAL-CH-PEA-C-Y3-13-3</x:v>
      </x:c>
      <x:c r="F6956" s="7" t="str">
        <x:f>'Calibration Records'!M2529</x:f>
        <x:v>OPEN</x:v>
      </x:c>
    </x:row>
    <x:row r="6957">
      <x:c r="B6957" s="7" t="str">
        <x:v>AG-06951</x:v>
      </x:c>
      <x:c r="C6957" s="7" t="str">
        <x:v>PEA-C-Y3</x:v>
      </x:c>
      <x:c r="D6957" s="7" t="str">
        <x:v>factory calibration</x:v>
      </x:c>
      <x:c r="E6957" s="7" t="str">
        <x:v>CAL-CH-PEA-C-Y3-13-4</x:v>
      </x:c>
      <x:c r="F6957" s="7" t="str">
        <x:f>'Calibration Records'!M2530</x:f>
        <x:v>OPEN</x:v>
      </x:c>
    </x:row>
    <x:row r="6958">
      <x:c r="B6958" s="7" t="str">
        <x:v>AG-06952</x:v>
      </x:c>
      <x:c r="C6958" s="7" t="str">
        <x:v>PEA-C-Y3</x:v>
      </x:c>
      <x:c r="D6958" s="7" t="str">
        <x:v>factory calibration</x:v>
      </x:c>
      <x:c r="E6958" s="7" t="str">
        <x:v>CAL-CH-PEA-C-Y3-13-5</x:v>
      </x:c>
      <x:c r="F6958" s="7" t="str">
        <x:f>'Calibration Records'!M2531</x:f>
        <x:v>OPEN</x:v>
      </x:c>
    </x:row>
    <x:row r="6959">
      <x:c r="B6959" s="7" t="str">
        <x:v>AG-06953</x:v>
      </x:c>
      <x:c r="C6959" s="7" t="str">
        <x:v>PEA-C-Y3</x:v>
      </x:c>
      <x:c r="D6959" s="7" t="str">
        <x:v>factory calibration</x:v>
      </x:c>
      <x:c r="E6959" s="7" t="str">
        <x:v>CAL-CH-PEA-C-Y3-13-6</x:v>
      </x:c>
      <x:c r="F6959" s="7" t="str">
        <x:f>'Calibration Records'!M2532</x:f>
        <x:v>OPEN</x:v>
      </x:c>
    </x:row>
    <x:row r="6960">
      <x:c r="B6960" s="7" t="str">
        <x:v>AG-06954</x:v>
      </x:c>
      <x:c r="C6960" s="7" t="str">
        <x:v>PEA-C-Y3</x:v>
      </x:c>
      <x:c r="D6960" s="7" t="str">
        <x:v>factory calibration</x:v>
      </x:c>
      <x:c r="E6960" s="7" t="str">
        <x:v>CAL-CH-PEA-C-Y3-14-1</x:v>
      </x:c>
      <x:c r="F6960" s="7" t="str">
        <x:f>'Calibration Records'!M2533</x:f>
        <x:v>OPEN</x:v>
      </x:c>
    </x:row>
    <x:row r="6961">
      <x:c r="B6961" s="7" t="str">
        <x:v>AG-06955</x:v>
      </x:c>
      <x:c r="C6961" s="7" t="str">
        <x:v>PEA-C-Y3</x:v>
      </x:c>
      <x:c r="D6961" s="7" t="str">
        <x:v>factory calibration</x:v>
      </x:c>
      <x:c r="E6961" s="7" t="str">
        <x:v>CAL-CH-PEA-C-Y3-14-2</x:v>
      </x:c>
      <x:c r="F6961" s="7" t="str">
        <x:f>'Calibration Records'!M2534</x:f>
        <x:v>OPEN</x:v>
      </x:c>
    </x:row>
    <x:row r="6962">
      <x:c r="B6962" s="7" t="str">
        <x:v>AG-06956</x:v>
      </x:c>
      <x:c r="C6962" s="7" t="str">
        <x:v>PEA-C-Y3</x:v>
      </x:c>
      <x:c r="D6962" s="7" t="str">
        <x:v>factory calibration</x:v>
      </x:c>
      <x:c r="E6962" s="7" t="str">
        <x:v>CAL-CH-PEA-C-Y3-14-3</x:v>
      </x:c>
      <x:c r="F6962" s="7" t="str">
        <x:f>'Calibration Records'!M2535</x:f>
        <x:v>OPEN</x:v>
      </x:c>
    </x:row>
    <x:row r="6963">
      <x:c r="B6963" s="7" t="str">
        <x:v>AG-06957</x:v>
      </x:c>
      <x:c r="C6963" s="7" t="str">
        <x:v>PEA-C-Y3</x:v>
      </x:c>
      <x:c r="D6963" s="7" t="str">
        <x:v>factory calibration</x:v>
      </x:c>
      <x:c r="E6963" s="7" t="str">
        <x:v>CAL-CH-PEA-C-Y3-14-4</x:v>
      </x:c>
      <x:c r="F6963" s="7" t="str">
        <x:f>'Calibration Records'!M2536</x:f>
        <x:v>OPEN</x:v>
      </x:c>
    </x:row>
    <x:row r="6964">
      <x:c r="B6964" s="7" t="str">
        <x:v>AG-06958</x:v>
      </x:c>
      <x:c r="C6964" s="7" t="str">
        <x:v>PEA-C-Y3</x:v>
      </x:c>
      <x:c r="D6964" s="7" t="str">
        <x:v>factory calibration</x:v>
      </x:c>
      <x:c r="E6964" s="7" t="str">
        <x:v>CAL-CH-PEA-C-Y3-14-5</x:v>
      </x:c>
      <x:c r="F6964" s="7" t="str">
        <x:f>'Calibration Records'!M2537</x:f>
        <x:v>OPEN</x:v>
      </x:c>
    </x:row>
    <x:row r="6965">
      <x:c r="B6965" s="7" t="str">
        <x:v>AG-06959</x:v>
      </x:c>
      <x:c r="C6965" s="7" t="str">
        <x:v>PEA-C-Y3</x:v>
      </x:c>
      <x:c r="D6965" s="7" t="str">
        <x:v>factory calibration</x:v>
      </x:c>
      <x:c r="E6965" s="7" t="str">
        <x:v>CAL-CH-PEA-C-Y3-14-6</x:v>
      </x:c>
      <x:c r="F6965" s="7" t="str">
        <x:f>'Calibration Records'!M2538</x:f>
        <x:v>OPEN</x:v>
      </x:c>
    </x:row>
    <x:row r="6966">
      <x:c r="B6966" s="7" t="str">
        <x:v>AG-06960</x:v>
      </x:c>
      <x:c r="C6966" s="7" t="str">
        <x:v>PEA-C-Y3</x:v>
      </x:c>
      <x:c r="D6966" s="7" t="str">
        <x:v>factory calibration</x:v>
      </x:c>
      <x:c r="E6966" s="7" t="str">
        <x:v>CAL-CH-PEA-C-Y3-15-1</x:v>
      </x:c>
      <x:c r="F6966" s="7" t="str">
        <x:f>'Calibration Records'!M2539</x:f>
        <x:v>OPEN</x:v>
      </x:c>
    </x:row>
    <x:row r="6967">
      <x:c r="B6967" s="7" t="str">
        <x:v>AG-06961</x:v>
      </x:c>
      <x:c r="C6967" s="7" t="str">
        <x:v>PEA-C-Y3</x:v>
      </x:c>
      <x:c r="D6967" s="7" t="str">
        <x:v>factory calibration</x:v>
      </x:c>
      <x:c r="E6967" s="7" t="str">
        <x:v>CAL-CH-PEA-C-Y3-15-2</x:v>
      </x:c>
      <x:c r="F6967" s="7" t="str">
        <x:f>'Calibration Records'!M2540</x:f>
        <x:v>OPEN</x:v>
      </x:c>
    </x:row>
    <x:row r="6968">
      <x:c r="B6968" s="7" t="str">
        <x:v>AG-06962</x:v>
      </x:c>
      <x:c r="C6968" s="7" t="str">
        <x:v>PEA-C-Y3</x:v>
      </x:c>
      <x:c r="D6968" s="7" t="str">
        <x:v>factory calibration</x:v>
      </x:c>
      <x:c r="E6968" s="7" t="str">
        <x:v>CAL-CH-PEA-C-Y3-15-3</x:v>
      </x:c>
      <x:c r="F6968" s="7" t="str">
        <x:f>'Calibration Records'!M2541</x:f>
        <x:v>OPEN</x:v>
      </x:c>
    </x:row>
    <x:row r="6969">
      <x:c r="B6969" s="7" t="str">
        <x:v>AG-06963</x:v>
      </x:c>
      <x:c r="C6969" s="7" t="str">
        <x:v>PEA-C-Y3</x:v>
      </x:c>
      <x:c r="D6969" s="7" t="str">
        <x:v>factory calibration</x:v>
      </x:c>
      <x:c r="E6969" s="7" t="str">
        <x:v>CAL-CH-PEA-C-Y3-15-4</x:v>
      </x:c>
      <x:c r="F6969" s="7" t="str">
        <x:f>'Calibration Records'!M2542</x:f>
        <x:v>OPEN</x:v>
      </x:c>
    </x:row>
    <x:row r="6970">
      <x:c r="B6970" s="7" t="str">
        <x:v>AG-06964</x:v>
      </x:c>
      <x:c r="C6970" s="7" t="str">
        <x:v>PEA-C-Y3</x:v>
      </x:c>
      <x:c r="D6970" s="7" t="str">
        <x:v>factory calibration</x:v>
      </x:c>
      <x:c r="E6970" s="7" t="str">
        <x:v>CAL-CH-PEA-C-Y3-15-5</x:v>
      </x:c>
      <x:c r="F6970" s="7" t="str">
        <x:f>'Calibration Records'!M2543</x:f>
        <x:v>OPEN</x:v>
      </x:c>
    </x:row>
    <x:row r="6971">
      <x:c r="B6971" s="7" t="str">
        <x:v>AG-06965</x:v>
      </x:c>
      <x:c r="C6971" s="7" t="str">
        <x:v>PEA-C-Y3</x:v>
      </x:c>
      <x:c r="D6971" s="7" t="str">
        <x:v>factory calibration</x:v>
      </x:c>
      <x:c r="E6971" s="7" t="str">
        <x:v>CAL-CH-PEA-C-Y3-15-6</x:v>
      </x:c>
      <x:c r="F6971" s="7" t="str">
        <x:f>'Calibration Records'!M2544</x:f>
        <x:v>OPEN</x:v>
      </x:c>
    </x:row>
    <x:row r="6972">
      <x:c r="B6972" s="7" t="str">
        <x:v>AG-06966</x:v>
      </x:c>
      <x:c r="C6972" s="7" t="str">
        <x:v>PEA-C-Y3</x:v>
      </x:c>
      <x:c r="D6972" s="7" t="str">
        <x:v>factory calibration</x:v>
      </x:c>
      <x:c r="E6972" s="7" t="str">
        <x:v>CAL-CH-PEA-C-Y3-16-1</x:v>
      </x:c>
      <x:c r="F6972" s="7" t="str">
        <x:f>'Calibration Records'!M2545</x:f>
        <x:v>OPEN</x:v>
      </x:c>
    </x:row>
    <x:row r="6973">
      <x:c r="B6973" s="7" t="str">
        <x:v>AG-06967</x:v>
      </x:c>
      <x:c r="C6973" s="7" t="str">
        <x:v>PEA-C-Y3</x:v>
      </x:c>
      <x:c r="D6973" s="7" t="str">
        <x:v>factory calibration</x:v>
      </x:c>
      <x:c r="E6973" s="7" t="str">
        <x:v>CAL-CH-PEA-C-Y3-16-2</x:v>
      </x:c>
      <x:c r="F6973" s="7" t="str">
        <x:f>'Calibration Records'!M2546</x:f>
        <x:v>OPEN</x:v>
      </x:c>
    </x:row>
    <x:row r="6974">
      <x:c r="B6974" s="7" t="str">
        <x:v>AG-06968</x:v>
      </x:c>
      <x:c r="C6974" s="7" t="str">
        <x:v>PEA-C-Y3</x:v>
      </x:c>
      <x:c r="D6974" s="7" t="str">
        <x:v>factory calibration</x:v>
      </x:c>
      <x:c r="E6974" s="7" t="str">
        <x:v>CAL-CH-PEA-C-Y3-16-3</x:v>
      </x:c>
      <x:c r="F6974" s="7" t="str">
        <x:f>'Calibration Records'!M2547</x:f>
        <x:v>OPEN</x:v>
      </x:c>
    </x:row>
    <x:row r="6975">
      <x:c r="B6975" s="7" t="str">
        <x:v>AG-06969</x:v>
      </x:c>
      <x:c r="C6975" s="7" t="str">
        <x:v>PEA-C-Y3</x:v>
      </x:c>
      <x:c r="D6975" s="7" t="str">
        <x:v>factory calibration</x:v>
      </x:c>
      <x:c r="E6975" s="7" t="str">
        <x:v>CAL-CH-PEA-C-Y3-16-4</x:v>
      </x:c>
      <x:c r="F6975" s="7" t="str">
        <x:f>'Calibration Records'!M2548</x:f>
        <x:v>OPEN</x:v>
      </x:c>
    </x:row>
    <x:row r="6976">
      <x:c r="B6976" s="7" t="str">
        <x:v>AG-06970</x:v>
      </x:c>
      <x:c r="C6976" s="7" t="str">
        <x:v>PEA-C-Y3</x:v>
      </x:c>
      <x:c r="D6976" s="7" t="str">
        <x:v>factory calibration</x:v>
      </x:c>
      <x:c r="E6976" s="7" t="str">
        <x:v>CAL-CH-PEA-C-Y3-16-5</x:v>
      </x:c>
      <x:c r="F6976" s="7" t="str">
        <x:f>'Calibration Records'!M2549</x:f>
        <x:v>OPEN</x:v>
      </x:c>
    </x:row>
    <x:row r="6977">
      <x:c r="B6977" s="7" t="str">
        <x:v>AG-06971</x:v>
      </x:c>
      <x:c r="C6977" s="7" t="str">
        <x:v>PEA-C-Y3</x:v>
      </x:c>
      <x:c r="D6977" s="7" t="str">
        <x:v>factory calibration</x:v>
      </x:c>
      <x:c r="E6977" s="7" t="str">
        <x:v>CAL-CH-PEA-C-Y3-16-6</x:v>
      </x:c>
      <x:c r="F6977" s="7" t="str">
        <x:f>'Calibration Records'!M2550</x:f>
        <x:v>OPEN</x:v>
      </x:c>
    </x:row>
    <x:row r="6978">
      <x:c r="B6978" s="7" t="str">
        <x:v>AG-06972</x:v>
      </x:c>
      <x:c r="C6978" s="7" t="str">
        <x:v>PEA-C-Y3</x:v>
      </x:c>
      <x:c r="D6978" s="7" t="str">
        <x:v>factory calibration</x:v>
      </x:c>
      <x:c r="E6978" s="7" t="str">
        <x:v>CAL-CH-PEA-C-Y3-17-1</x:v>
      </x:c>
      <x:c r="F6978" s="7" t="str">
        <x:f>'Calibration Records'!M2551</x:f>
        <x:v>OPEN</x:v>
      </x:c>
    </x:row>
    <x:row r="6979">
      <x:c r="B6979" s="7" t="str">
        <x:v>AG-06973</x:v>
      </x:c>
      <x:c r="C6979" s="7" t="str">
        <x:v>PEA-C-Y3</x:v>
      </x:c>
      <x:c r="D6979" s="7" t="str">
        <x:v>factory calibration</x:v>
      </x:c>
      <x:c r="E6979" s="7" t="str">
        <x:v>CAL-CH-PEA-C-Y3-17-2</x:v>
      </x:c>
      <x:c r="F6979" s="7" t="str">
        <x:f>'Calibration Records'!M2552</x:f>
        <x:v>OPEN</x:v>
      </x:c>
    </x:row>
    <x:row r="6980">
      <x:c r="B6980" s="7" t="str">
        <x:v>AG-06974</x:v>
      </x:c>
      <x:c r="C6980" s="7" t="str">
        <x:v>PEA-C-Y3</x:v>
      </x:c>
      <x:c r="D6980" s="7" t="str">
        <x:v>factory calibration</x:v>
      </x:c>
      <x:c r="E6980" s="7" t="str">
        <x:v>CAL-CH-PEA-C-Y3-17-3</x:v>
      </x:c>
      <x:c r="F6980" s="7" t="str">
        <x:f>'Calibration Records'!M2553</x:f>
        <x:v>OPEN</x:v>
      </x:c>
    </x:row>
    <x:row r="6981">
      <x:c r="B6981" s="7" t="str">
        <x:v>AG-06975</x:v>
      </x:c>
      <x:c r="C6981" s="7" t="str">
        <x:v>PEA-C-Y3</x:v>
      </x:c>
      <x:c r="D6981" s="7" t="str">
        <x:v>factory calibration</x:v>
      </x:c>
      <x:c r="E6981" s="7" t="str">
        <x:v>CAL-CH-PEA-C-Y3-17-4</x:v>
      </x:c>
      <x:c r="F6981" s="7" t="str">
        <x:f>'Calibration Records'!M2554</x:f>
        <x:v>OPEN</x:v>
      </x:c>
    </x:row>
    <x:row r="6982">
      <x:c r="B6982" s="7" t="str">
        <x:v>AG-06976</x:v>
      </x:c>
      <x:c r="C6982" s="7" t="str">
        <x:v>PEA-C-Y3</x:v>
      </x:c>
      <x:c r="D6982" s="7" t="str">
        <x:v>factory calibration</x:v>
      </x:c>
      <x:c r="E6982" s="7" t="str">
        <x:v>CAL-CH-PEA-C-Y3-17-5</x:v>
      </x:c>
      <x:c r="F6982" s="7" t="str">
        <x:f>'Calibration Records'!M2555</x:f>
        <x:v>OPEN</x:v>
      </x:c>
    </x:row>
    <x:row r="6983">
      <x:c r="B6983" s="7" t="str">
        <x:v>AG-06977</x:v>
      </x:c>
      <x:c r="C6983" s="7" t="str">
        <x:v>PEA-C-Y3</x:v>
      </x:c>
      <x:c r="D6983" s="7" t="str">
        <x:v>factory calibration</x:v>
      </x:c>
      <x:c r="E6983" s="7" t="str">
        <x:v>CAL-CH-PEA-C-Y3-17-6</x:v>
      </x:c>
      <x:c r="F6983" s="7" t="str">
        <x:f>'Calibration Records'!M2556</x:f>
        <x:v>OPEN</x:v>
      </x:c>
    </x:row>
    <x:row r="6984">
      <x:c r="B6984" s="7" t="str">
        <x:v>AG-06978</x:v>
      </x:c>
      <x:c r="C6984" s="7" t="str">
        <x:v>PEA-C-Y3</x:v>
      </x:c>
      <x:c r="D6984" s="7" t="str">
        <x:v>factory calibration</x:v>
      </x:c>
      <x:c r="E6984" s="7" t="str">
        <x:v>CAL-CH-PEA-C-Y3-18-1</x:v>
      </x:c>
      <x:c r="F6984" s="7" t="str">
        <x:f>'Calibration Records'!M2557</x:f>
        <x:v>OPEN</x:v>
      </x:c>
    </x:row>
    <x:row r="6985">
      <x:c r="B6985" s="7" t="str">
        <x:v>AG-06979</x:v>
      </x:c>
      <x:c r="C6985" s="7" t="str">
        <x:v>PEA-C-Y3</x:v>
      </x:c>
      <x:c r="D6985" s="7" t="str">
        <x:v>factory calibration</x:v>
      </x:c>
      <x:c r="E6985" s="7" t="str">
        <x:v>CAL-CH-PEA-C-Y3-18-2</x:v>
      </x:c>
      <x:c r="F6985" s="7" t="str">
        <x:f>'Calibration Records'!M2558</x:f>
        <x:v>OPEN</x:v>
      </x:c>
    </x:row>
    <x:row r="6986">
      <x:c r="B6986" s="7" t="str">
        <x:v>AG-06980</x:v>
      </x:c>
      <x:c r="C6986" s="7" t="str">
        <x:v>PEA-C-Y3</x:v>
      </x:c>
      <x:c r="D6986" s="7" t="str">
        <x:v>factory calibration</x:v>
      </x:c>
      <x:c r="E6986" s="7" t="str">
        <x:v>CAL-CH-PEA-C-Y3-18-3</x:v>
      </x:c>
      <x:c r="F6986" s="7" t="str">
        <x:f>'Calibration Records'!M2559</x:f>
        <x:v>OPEN</x:v>
      </x:c>
    </x:row>
    <x:row r="6987">
      <x:c r="B6987" s="7" t="str">
        <x:v>AG-06981</x:v>
      </x:c>
      <x:c r="C6987" s="7" t="str">
        <x:v>PEA-C-Y3</x:v>
      </x:c>
      <x:c r="D6987" s="7" t="str">
        <x:v>factory calibration</x:v>
      </x:c>
      <x:c r="E6987" s="7" t="str">
        <x:v>CAL-CH-PEA-C-Y3-18-4</x:v>
      </x:c>
      <x:c r="F6987" s="7" t="str">
        <x:f>'Calibration Records'!M2560</x:f>
        <x:v>OPEN</x:v>
      </x:c>
    </x:row>
    <x:row r="6988">
      <x:c r="B6988" s="7" t="str">
        <x:v>AG-06982</x:v>
      </x:c>
      <x:c r="C6988" s="7" t="str">
        <x:v>PEA-C-Y3</x:v>
      </x:c>
      <x:c r="D6988" s="7" t="str">
        <x:v>factory calibration</x:v>
      </x:c>
      <x:c r="E6988" s="7" t="str">
        <x:v>CAL-CH-PEA-C-Y3-18-5</x:v>
      </x:c>
      <x:c r="F6988" s="7" t="str">
        <x:f>'Calibration Records'!M2561</x:f>
        <x:v>OPEN</x:v>
      </x:c>
    </x:row>
    <x:row r="6989">
      <x:c r="B6989" s="7" t="str">
        <x:v>AG-06983</x:v>
      </x:c>
      <x:c r="C6989" s="7" t="str">
        <x:v>PEA-C-Y3</x:v>
      </x:c>
      <x:c r="D6989" s="7" t="str">
        <x:v>factory calibration</x:v>
      </x:c>
      <x:c r="E6989" s="7" t="str">
        <x:v>CAL-CH-PEA-C-Y3-18-6</x:v>
      </x:c>
      <x:c r="F6989" s="7" t="str">
        <x:f>'Calibration Records'!M2562</x:f>
        <x:v>OPEN</x:v>
      </x:c>
    </x:row>
    <x:row r="6990">
      <x:c r="B6990" s="7" t="str">
        <x:v>AG-06984</x:v>
      </x:c>
      <x:c r="C6990" s="7" t="str">
        <x:v>PEA-C-Y3</x:v>
      </x:c>
      <x:c r="D6990" s="7" t="str">
        <x:v>factory calibration</x:v>
      </x:c>
      <x:c r="E6990" s="7" t="str">
        <x:v>CAL-CH-PEA-C-Y3-19-1</x:v>
      </x:c>
      <x:c r="F6990" s="7" t="str">
        <x:f>'Calibration Records'!M2563</x:f>
        <x:v>OPEN</x:v>
      </x:c>
    </x:row>
    <x:row r="6991">
      <x:c r="B6991" s="7" t="str">
        <x:v>AG-06985</x:v>
      </x:c>
      <x:c r="C6991" s="7" t="str">
        <x:v>PEA-C-Y3</x:v>
      </x:c>
      <x:c r="D6991" s="7" t="str">
        <x:v>factory calibration</x:v>
      </x:c>
      <x:c r="E6991" s="7" t="str">
        <x:v>CAL-CH-PEA-C-Y3-19-2</x:v>
      </x:c>
      <x:c r="F6991" s="7" t="str">
        <x:f>'Calibration Records'!M2564</x:f>
        <x:v>OPEN</x:v>
      </x:c>
    </x:row>
    <x:row r="6992">
      <x:c r="B6992" s="7" t="str">
        <x:v>AG-06986</x:v>
      </x:c>
      <x:c r="C6992" s="7" t="str">
        <x:v>PEA-C-Y3</x:v>
      </x:c>
      <x:c r="D6992" s="7" t="str">
        <x:v>factory calibration</x:v>
      </x:c>
      <x:c r="E6992" s="7" t="str">
        <x:v>CAL-CH-PEA-C-Y3-19-3</x:v>
      </x:c>
      <x:c r="F6992" s="7" t="str">
        <x:f>'Calibration Records'!M2565</x:f>
        <x:v>OPEN</x:v>
      </x:c>
    </x:row>
    <x:row r="6993">
      <x:c r="B6993" s="7" t="str">
        <x:v>AG-06987</x:v>
      </x:c>
      <x:c r="C6993" s="7" t="str">
        <x:v>PEA-C-Y3</x:v>
      </x:c>
      <x:c r="D6993" s="7" t="str">
        <x:v>factory calibration</x:v>
      </x:c>
      <x:c r="E6993" s="7" t="str">
        <x:v>CAL-CH-PEA-C-Y3-19-4</x:v>
      </x:c>
      <x:c r="F6993" s="7" t="str">
        <x:f>'Calibration Records'!M2566</x:f>
        <x:v>OPEN</x:v>
      </x:c>
    </x:row>
    <x:row r="6994">
      <x:c r="B6994" s="7" t="str">
        <x:v>AG-06988</x:v>
      </x:c>
      <x:c r="C6994" s="7" t="str">
        <x:v>PEA-C-Y3</x:v>
      </x:c>
      <x:c r="D6994" s="7" t="str">
        <x:v>factory calibration</x:v>
      </x:c>
      <x:c r="E6994" s="7" t="str">
        <x:v>CAL-CH-PEA-C-Y3-19-5</x:v>
      </x:c>
      <x:c r="F6994" s="7" t="str">
        <x:f>'Calibration Records'!M2567</x:f>
        <x:v>OPEN</x:v>
      </x:c>
    </x:row>
    <x:row r="6995">
      <x:c r="B6995" s="7" t="str">
        <x:v>AG-06989</x:v>
      </x:c>
      <x:c r="C6995" s="7" t="str">
        <x:v>PEA-C-Y3</x:v>
      </x:c>
      <x:c r="D6995" s="7" t="str">
        <x:v>factory calibration</x:v>
      </x:c>
      <x:c r="E6995" s="7" t="str">
        <x:v>CAL-CH-PEA-C-Y3-19-6</x:v>
      </x:c>
      <x:c r="F6995" s="7" t="str">
        <x:f>'Calibration Records'!M2568</x:f>
        <x:v>OPEN</x:v>
      </x:c>
    </x:row>
    <x:row r="6996">
      <x:c r="B6996" s="7" t="str">
        <x:v>AG-06990</x:v>
      </x:c>
      <x:c r="C6996" s="7" t="str">
        <x:v>PEA-C-Y3</x:v>
      </x:c>
      <x:c r="D6996" s="7" t="str">
        <x:v>factory calibration</x:v>
      </x:c>
      <x:c r="E6996" s="7" t="str">
        <x:v>CAL-CH-PEA-C-Y3-20-1</x:v>
      </x:c>
      <x:c r="F6996" s="7" t="str">
        <x:f>'Calibration Records'!M2569</x:f>
        <x:v>OPEN</x:v>
      </x:c>
    </x:row>
    <x:row r="6997">
      <x:c r="B6997" s="7" t="str">
        <x:v>AG-06991</x:v>
      </x:c>
      <x:c r="C6997" s="7" t="str">
        <x:v>PEA-C-Y3</x:v>
      </x:c>
      <x:c r="D6997" s="7" t="str">
        <x:v>factory calibration</x:v>
      </x:c>
      <x:c r="E6997" s="7" t="str">
        <x:v>CAL-CH-PEA-C-Y3-20-2</x:v>
      </x:c>
      <x:c r="F6997" s="7" t="str">
        <x:f>'Calibration Records'!M2570</x:f>
        <x:v>OPEN</x:v>
      </x:c>
    </x:row>
    <x:row r="6998">
      <x:c r="B6998" s="7" t="str">
        <x:v>AG-06992</x:v>
      </x:c>
      <x:c r="C6998" s="7" t="str">
        <x:v>PEA-C-Y3</x:v>
      </x:c>
      <x:c r="D6998" s="7" t="str">
        <x:v>factory calibration</x:v>
      </x:c>
      <x:c r="E6998" s="7" t="str">
        <x:v>CAL-CH-PEA-C-Y3-20-3</x:v>
      </x:c>
      <x:c r="F6998" s="7" t="str">
        <x:f>'Calibration Records'!M2571</x:f>
        <x:v>OPEN</x:v>
      </x:c>
    </x:row>
    <x:row r="6999">
      <x:c r="B6999" s="7" t="str">
        <x:v>AG-06993</x:v>
      </x:c>
      <x:c r="C6999" s="7" t="str">
        <x:v>PEA-C-Y3</x:v>
      </x:c>
      <x:c r="D6999" s="7" t="str">
        <x:v>factory calibration</x:v>
      </x:c>
      <x:c r="E6999" s="7" t="str">
        <x:v>CAL-CH-PEA-C-Y3-20-4</x:v>
      </x:c>
      <x:c r="F6999" s="7" t="str">
        <x:f>'Calibration Records'!M2572</x:f>
        <x:v>OPEN</x:v>
      </x:c>
    </x:row>
    <x:row r="7000">
      <x:c r="B7000" s="7" t="str">
        <x:v>AG-06994</x:v>
      </x:c>
      <x:c r="C7000" s="7" t="str">
        <x:v>PEA-C-Y3</x:v>
      </x:c>
      <x:c r="D7000" s="7" t="str">
        <x:v>factory calibration</x:v>
      </x:c>
      <x:c r="E7000" s="7" t="str">
        <x:v>CAL-CH-PEA-C-Y3-20-5</x:v>
      </x:c>
      <x:c r="F7000" s="7" t="str">
        <x:f>'Calibration Records'!M2573</x:f>
        <x:v>OPEN</x:v>
      </x:c>
    </x:row>
    <x:row r="7001">
      <x:c r="B7001" s="7" t="str">
        <x:v>AG-06995</x:v>
      </x:c>
      <x:c r="C7001" s="7" t="str">
        <x:v>PEA-C-Y3</x:v>
      </x:c>
      <x:c r="D7001" s="7" t="str">
        <x:v>factory calibration</x:v>
      </x:c>
      <x:c r="E7001" s="7" t="str">
        <x:v>CAL-CH-PEA-C-Y3-20-6</x:v>
      </x:c>
      <x:c r="F7001" s="7" t="str">
        <x:f>'Calibration Records'!M2574</x:f>
        <x:v>OPEN</x:v>
      </x:c>
    </x:row>
    <x:row r="7002">
      <x:c r="B7002" s="7" t="str">
        <x:v>AG-06996</x:v>
      </x:c>
      <x:c r="C7002" s="7" t="str">
        <x:v>PEA-C-Y3</x:v>
      </x:c>
      <x:c r="D7002" s="7" t="str">
        <x:v>factory calibration</x:v>
      </x:c>
      <x:c r="E7002" s="7" t="str">
        <x:v>CAL-CH-PEA-C-Y3-21-1</x:v>
      </x:c>
      <x:c r="F7002" s="7" t="str">
        <x:f>'Calibration Records'!M2575</x:f>
        <x:v>OPEN</x:v>
      </x:c>
    </x:row>
    <x:row r="7003">
      <x:c r="B7003" s="7" t="str">
        <x:v>AG-06997</x:v>
      </x:c>
      <x:c r="C7003" s="7" t="str">
        <x:v>PEA-C-Y3</x:v>
      </x:c>
      <x:c r="D7003" s="7" t="str">
        <x:v>factory calibration</x:v>
      </x:c>
      <x:c r="E7003" s="7" t="str">
        <x:v>CAL-CH-PEA-C-Y3-21-2</x:v>
      </x:c>
      <x:c r="F7003" s="7" t="str">
        <x:f>'Calibration Records'!M2576</x:f>
        <x:v>OPEN</x:v>
      </x:c>
    </x:row>
    <x:row r="7004">
      <x:c r="B7004" s="7" t="str">
        <x:v>AG-06998</x:v>
      </x:c>
      <x:c r="C7004" s="7" t="str">
        <x:v>PEA-C-Y3</x:v>
      </x:c>
      <x:c r="D7004" s="7" t="str">
        <x:v>factory calibration</x:v>
      </x:c>
      <x:c r="E7004" s="7" t="str">
        <x:v>CAL-CH-PEA-C-Y3-21-3</x:v>
      </x:c>
      <x:c r="F7004" s="7" t="str">
        <x:f>'Calibration Records'!M2577</x:f>
        <x:v>OPEN</x:v>
      </x:c>
    </x:row>
    <x:row r="7005">
      <x:c r="B7005" s="7" t="str">
        <x:v>AG-06999</x:v>
      </x:c>
      <x:c r="C7005" s="7" t="str">
        <x:v>PEA-C-Y3</x:v>
      </x:c>
      <x:c r="D7005" s="7" t="str">
        <x:v>factory calibration</x:v>
      </x:c>
      <x:c r="E7005" s="7" t="str">
        <x:v>CAL-CH-PEA-C-Y3-21-4</x:v>
      </x:c>
      <x:c r="F7005" s="7" t="str">
        <x:f>'Calibration Records'!M2578</x:f>
        <x:v>OPEN</x:v>
      </x:c>
    </x:row>
    <x:row r="7006">
      <x:c r="B7006" s="7" t="str">
        <x:v>AG-07000</x:v>
      </x:c>
      <x:c r="C7006" s="7" t="str">
        <x:v>PEA-C-Y3</x:v>
      </x:c>
      <x:c r="D7006" s="7" t="str">
        <x:v>factory calibration</x:v>
      </x:c>
      <x:c r="E7006" s="7" t="str">
        <x:v>CAL-CH-PEA-C-Y3-21-5</x:v>
      </x:c>
      <x:c r="F7006" s="7" t="str">
        <x:f>'Calibration Records'!M2579</x:f>
        <x:v>OPEN</x:v>
      </x:c>
    </x:row>
    <x:row r="7007">
      <x:c r="B7007" s="7" t="str">
        <x:v>AG-07001</x:v>
      </x:c>
      <x:c r="C7007" s="7" t="str">
        <x:v>PEA-C-Y3</x:v>
      </x:c>
      <x:c r="D7007" s="7" t="str">
        <x:v>factory calibration</x:v>
      </x:c>
      <x:c r="E7007" s="7" t="str">
        <x:v>CAL-CH-PEA-C-Y3-21-6</x:v>
      </x:c>
      <x:c r="F7007" s="7" t="str">
        <x:f>'Calibration Records'!M2580</x:f>
        <x:v>OPEN</x:v>
      </x:c>
    </x:row>
    <x:row r="7008">
      <x:c r="B7008" s="7" t="str">
        <x:v>AG-07002</x:v>
      </x:c>
      <x:c r="C7008" s="7" t="str">
        <x:v>PEA-C-Y3</x:v>
      </x:c>
      <x:c r="D7008" s="7" t="str">
        <x:v>factory calibration</x:v>
      </x:c>
      <x:c r="E7008" s="7" t="str">
        <x:v>CAL-CH-PEA-C-Y3-22-1</x:v>
      </x:c>
      <x:c r="F7008" s="7" t="str">
        <x:f>'Calibration Records'!M2581</x:f>
        <x:v>OPEN</x:v>
      </x:c>
    </x:row>
    <x:row r="7009">
      <x:c r="B7009" s="7" t="str">
        <x:v>AG-07003</x:v>
      </x:c>
      <x:c r="C7009" s="7" t="str">
        <x:v>PEA-C-Y3</x:v>
      </x:c>
      <x:c r="D7009" s="7" t="str">
        <x:v>factory calibration</x:v>
      </x:c>
      <x:c r="E7009" s="7" t="str">
        <x:v>CAL-CH-PEA-C-Y3-22-2</x:v>
      </x:c>
      <x:c r="F7009" s="7" t="str">
        <x:f>'Calibration Records'!M2582</x:f>
        <x:v>OPEN</x:v>
      </x:c>
    </x:row>
    <x:row r="7010">
      <x:c r="B7010" s="7" t="str">
        <x:v>AG-07004</x:v>
      </x:c>
      <x:c r="C7010" s="7" t="str">
        <x:v>PEA-C-Y3</x:v>
      </x:c>
      <x:c r="D7010" s="7" t="str">
        <x:v>factory calibration</x:v>
      </x:c>
      <x:c r="E7010" s="7" t="str">
        <x:v>CAL-CH-PEA-C-Y3-22-3</x:v>
      </x:c>
      <x:c r="F7010" s="7" t="str">
        <x:f>'Calibration Records'!M2583</x:f>
        <x:v>OPEN</x:v>
      </x:c>
    </x:row>
    <x:row r="7011">
      <x:c r="B7011" s="7" t="str">
        <x:v>AG-07005</x:v>
      </x:c>
      <x:c r="C7011" s="7" t="str">
        <x:v>PEA-C-Y3</x:v>
      </x:c>
      <x:c r="D7011" s="7" t="str">
        <x:v>factory calibration</x:v>
      </x:c>
      <x:c r="E7011" s="7" t="str">
        <x:v>CAL-CH-PEA-C-Y3-22-4</x:v>
      </x:c>
      <x:c r="F7011" s="7" t="str">
        <x:f>'Calibration Records'!M2584</x:f>
        <x:v>OPEN</x:v>
      </x:c>
    </x:row>
    <x:row r="7012">
      <x:c r="B7012" s="7" t="str">
        <x:v>AG-07006</x:v>
      </x:c>
      <x:c r="C7012" s="7" t="str">
        <x:v>PEA-C-Y3</x:v>
      </x:c>
      <x:c r="D7012" s="7" t="str">
        <x:v>factory calibration</x:v>
      </x:c>
      <x:c r="E7012" s="7" t="str">
        <x:v>CAL-CH-PEA-C-Y3-22-5</x:v>
      </x:c>
      <x:c r="F7012" s="7" t="str">
        <x:f>'Calibration Records'!M2585</x:f>
        <x:v>OPEN</x:v>
      </x:c>
    </x:row>
    <x:row r="7013">
      <x:c r="B7013" s="7" t="str">
        <x:v>AG-07007</x:v>
      </x:c>
      <x:c r="C7013" s="7" t="str">
        <x:v>PEA-C-Y3</x:v>
      </x:c>
      <x:c r="D7013" s="7" t="str">
        <x:v>factory calibration</x:v>
      </x:c>
      <x:c r="E7013" s="7" t="str">
        <x:v>CAL-CH-PEA-C-Y3-22-6</x:v>
      </x:c>
      <x:c r="F7013" s="7" t="str">
        <x:f>'Calibration Records'!M2586</x:f>
        <x:v>OPEN</x:v>
      </x:c>
    </x:row>
    <x:row r="7014">
      <x:c r="B7014" s="7" t="str">
        <x:v>AG-07008</x:v>
      </x:c>
      <x:c r="C7014" s="7" t="str">
        <x:v>PEA-C-Y3</x:v>
      </x:c>
      <x:c r="D7014" s="7" t="str">
        <x:v>factory calibration</x:v>
      </x:c>
      <x:c r="E7014" s="7" t="str">
        <x:v>CAL-CH-PEA-C-Y3-23-1</x:v>
      </x:c>
      <x:c r="F7014" s="7" t="str">
        <x:f>'Calibration Records'!M2587</x:f>
        <x:v>OPEN</x:v>
      </x:c>
    </x:row>
    <x:row r="7015">
      <x:c r="B7015" s="7" t="str">
        <x:v>AG-07009</x:v>
      </x:c>
      <x:c r="C7015" s="7" t="str">
        <x:v>PEA-C-Y3</x:v>
      </x:c>
      <x:c r="D7015" s="7" t="str">
        <x:v>factory calibration</x:v>
      </x:c>
      <x:c r="E7015" s="7" t="str">
        <x:v>CAL-CH-PEA-C-Y3-23-2</x:v>
      </x:c>
      <x:c r="F7015" s="7" t="str">
        <x:f>'Calibration Records'!M2588</x:f>
        <x:v>OPEN</x:v>
      </x:c>
    </x:row>
    <x:row r="7016">
      <x:c r="B7016" s="7" t="str">
        <x:v>AG-07010</x:v>
      </x:c>
      <x:c r="C7016" s="7" t="str">
        <x:v>PEA-C-Y3</x:v>
      </x:c>
      <x:c r="D7016" s="7" t="str">
        <x:v>factory calibration</x:v>
      </x:c>
      <x:c r="E7016" s="7" t="str">
        <x:v>CAL-CH-PEA-C-Y3-23-3</x:v>
      </x:c>
      <x:c r="F7016" s="7" t="str">
        <x:f>'Calibration Records'!M2589</x:f>
        <x:v>OPEN</x:v>
      </x:c>
    </x:row>
    <x:row r="7017">
      <x:c r="B7017" s="7" t="str">
        <x:v>AG-07011</x:v>
      </x:c>
      <x:c r="C7017" s="7" t="str">
        <x:v>PEA-C-Y3</x:v>
      </x:c>
      <x:c r="D7017" s="7" t="str">
        <x:v>factory calibration</x:v>
      </x:c>
      <x:c r="E7017" s="7" t="str">
        <x:v>CAL-CH-PEA-C-Y3-23-4</x:v>
      </x:c>
      <x:c r="F7017" s="7" t="str">
        <x:f>'Calibration Records'!M2590</x:f>
        <x:v>OPEN</x:v>
      </x:c>
    </x:row>
    <x:row r="7018">
      <x:c r="B7018" s="7" t="str">
        <x:v>AG-07012</x:v>
      </x:c>
      <x:c r="C7018" s="7" t="str">
        <x:v>PEA-C-Y3</x:v>
      </x:c>
      <x:c r="D7018" s="7" t="str">
        <x:v>factory calibration</x:v>
      </x:c>
      <x:c r="E7018" s="7" t="str">
        <x:v>CAL-CH-PEA-C-Y3-23-5</x:v>
      </x:c>
      <x:c r="F7018" s="7" t="str">
        <x:f>'Calibration Records'!M2591</x:f>
        <x:v>OPEN</x:v>
      </x:c>
    </x:row>
    <x:row r="7019">
      <x:c r="B7019" s="7" t="str">
        <x:v>AG-07013</x:v>
      </x:c>
      <x:c r="C7019" s="7" t="str">
        <x:v>PEA-C-Y3</x:v>
      </x:c>
      <x:c r="D7019" s="7" t="str">
        <x:v>factory calibration</x:v>
      </x:c>
      <x:c r="E7019" s="7" t="str">
        <x:v>CAL-CH-PEA-C-Y3-23-6</x:v>
      </x:c>
      <x:c r="F7019" s="7" t="str">
        <x:f>'Calibration Records'!M2592</x:f>
        <x:v>OPEN</x:v>
      </x:c>
    </x:row>
    <x:row r="7020">
      <x:c r="B7020" s="7" t="str">
        <x:v>AG-07014</x:v>
      </x:c>
      <x:c r="C7020" s="7" t="str">
        <x:v>PEA-C-Y3</x:v>
      </x:c>
      <x:c r="D7020" s="7" t="str">
        <x:v>factory calibration</x:v>
      </x:c>
      <x:c r="E7020" s="7" t="str">
        <x:v>CAL-CH-PEA-C-Y3-24-1</x:v>
      </x:c>
      <x:c r="F7020" s="7" t="str">
        <x:f>'Calibration Records'!M2593</x:f>
        <x:v>OPEN</x:v>
      </x:c>
    </x:row>
    <x:row r="7021">
      <x:c r="B7021" s="7" t="str">
        <x:v>AG-07015</x:v>
      </x:c>
      <x:c r="C7021" s="7" t="str">
        <x:v>PEA-C-Y3</x:v>
      </x:c>
      <x:c r="D7021" s="7" t="str">
        <x:v>factory calibration</x:v>
      </x:c>
      <x:c r="E7021" s="7" t="str">
        <x:v>CAL-CH-PEA-C-Y3-24-2</x:v>
      </x:c>
      <x:c r="F7021" s="7" t="str">
        <x:f>'Calibration Records'!M2594</x:f>
        <x:v>OPEN</x:v>
      </x:c>
    </x:row>
    <x:row r="7022">
      <x:c r="B7022" s="7" t="str">
        <x:v>AG-07016</x:v>
      </x:c>
      <x:c r="C7022" s="7" t="str">
        <x:v>PEA-C-Y3</x:v>
      </x:c>
      <x:c r="D7022" s="7" t="str">
        <x:v>factory calibration</x:v>
      </x:c>
      <x:c r="E7022" s="7" t="str">
        <x:v>CAL-CH-PEA-C-Y3-24-3</x:v>
      </x:c>
      <x:c r="F7022" s="7" t="str">
        <x:f>'Calibration Records'!M2595</x:f>
        <x:v>OPEN</x:v>
      </x:c>
    </x:row>
    <x:row r="7023">
      <x:c r="B7023" s="7" t="str">
        <x:v>AG-07017</x:v>
      </x:c>
      <x:c r="C7023" s="7" t="str">
        <x:v>PEA-C-Y3</x:v>
      </x:c>
      <x:c r="D7023" s="7" t="str">
        <x:v>factory calibration</x:v>
      </x:c>
      <x:c r="E7023" s="7" t="str">
        <x:v>CAL-CH-PEA-C-Y3-24-4</x:v>
      </x:c>
      <x:c r="F7023" s="7" t="str">
        <x:f>'Calibration Records'!M2596</x:f>
        <x:v>OPEN</x:v>
      </x:c>
    </x:row>
    <x:row r="7024">
      <x:c r="B7024" s="7" t="str">
        <x:v>AG-07018</x:v>
      </x:c>
      <x:c r="C7024" s="7" t="str">
        <x:v>PEA-C-Y3</x:v>
      </x:c>
      <x:c r="D7024" s="7" t="str">
        <x:v>factory calibration</x:v>
      </x:c>
      <x:c r="E7024" s="7" t="str">
        <x:v>CAL-CH-PEA-C-Y3-24-5</x:v>
      </x:c>
      <x:c r="F7024" s="7" t="str">
        <x:f>'Calibration Records'!M2597</x:f>
        <x:v>OPEN</x:v>
      </x:c>
    </x:row>
    <x:row r="7025">
      <x:c r="B7025" s="7" t="str">
        <x:v>AG-07019</x:v>
      </x:c>
      <x:c r="C7025" s="7" t="str">
        <x:v>PEA-C-Y3</x:v>
      </x:c>
      <x:c r="D7025" s="7" t="str">
        <x:v>factory calibration</x:v>
      </x:c>
      <x:c r="E7025" s="7" t="str">
        <x:v>CAL-CH-PEA-C-Y3-24-6</x:v>
      </x:c>
      <x:c r="F7025" s="7" t="str">
        <x:f>'Calibration Records'!M2598</x:f>
        <x:v>OPEN</x:v>
      </x:c>
    </x:row>
    <x:row r="7026">
      <x:c r="B7026" s="7" t="str">
        <x:v>AG-07020</x:v>
      </x:c>
      <x:c r="C7026" s="7" t="str">
        <x:v>PEA-C-Y3</x:v>
      </x:c>
      <x:c r="D7026" s="7" t="str">
        <x:v>article master</x:v>
      </x:c>
      <x:c r="E7026" s="7" t="str">
        <x:v>PEA-C-Y3</x:v>
      </x:c>
      <x:c r="F7026" s="7" t="str">
        <x:f>'Article Population'!Q24</x:f>
        <x:v>OPEN</x:v>
      </x:c>
    </x:row>
  </x:sheetData>
  <x:conditionalFormatting sqref="F7:F7026">
    <x:cfRule type="containsText" dxfId="114" priority="1" operator="containsText" text="FAIL"/>
    <x:cfRule type="containsText" dxfId="115" priority="2" operator="containsText" text="BLOCKED"/>
    <x:cfRule type="containsText" dxfId="116" priority="3" operator="containsText" text="OPEN"/>
    <x:cfRule type="containsText" dxfId="117" priority="4" operator="containsText" text="DORMANT"/>
    <x:cfRule type="containsText" dxfId="118" priority="5" operator="containsText" text="REVIEW"/>
    <x:cfRule type="containsText" dxfId="119" priority="6" operator="containsText" text="PASS"/>
  </x:conditionalFormatting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7" hidden="0" customWidth="1"/>
    <x:col min="3" max="3" width="14" hidden="0" customWidth="1"/>
    <x:col min="4" max="4" width="13" hidden="0" customWidth="1"/>
    <x:col min="5" max="5" width="14" hidden="0" customWidth="1"/>
    <x:col min="6" max="6" width="20" hidden="0" customWidth="1"/>
    <x:col min="7" max="7" width="18" hidden="0" customWidth="1"/>
    <x:col min="8" max="8" width="18" hidden="0" customWidth="1"/>
    <x:col min="9" max="9" width="25" hidden="0" customWidth="1"/>
    <x:col min="10" max="10" width="21" hidden="0" customWidth="1"/>
    <x:col min="11" max="11" width="14" hidden="0" customWidth="1"/>
  </x:cols>
  <x:sheetData>
    <x:row r="2">
      <x:c r="B2" s="1" t="str">
        <x:v>Eighteen independent article decisions</x:v>
      </x:c>
    </x:row>
    <x:row r="3">
      <x:c r="B3" s="2" t="str">
        <x:v>The board cannot accept an article until all 390 gates pass and first-pass disposition remains visible.</x:v>
      </x:c>
    </x:row>
    <x:row r="6" ht="24" customHeight="1">
      <x:c r="B6" s="6" t="str">
        <x:v>Article</x:v>
      </x:c>
      <x:c r="C6" s="6" t="str">
        <x:v>Builder</x:v>
      </x:c>
      <x:c r="D6" s="6" t="str">
        <x:v>Lineage</x:v>
      </x:c>
      <x:c r="E6" s="6" t="str">
        <x:v>Cell</x:v>
      </x:c>
      <x:c r="F6" s="6" t="str">
        <x:v>Required gates</x:v>
      </x:c>
      <x:c r="G6" s="6" t="str">
        <x:v>Passing gates</x:v>
      </x:c>
      <x:c r="H6" s="6" t="str">
        <x:v>Failing gates</x:v>
      </x:c>
      <x:c r="I6" s="6" t="str">
        <x:v>First-pass disposition</x:v>
      </x:c>
      <x:c r="J6" s="6" t="str">
        <x:v>Board accepted UTC</x:v>
      </x:c>
      <x:c r="K6" s="6" t="str">
        <x:v>State</x:v>
      </x:c>
    </x:row>
    <x:row r="7">
      <x:c r="B7" s="7" t="str">
        <x:v>PEA-A-X1</x:v>
      </x:c>
      <x:c r="C7" s="7" t="str">
        <x:v>BLD-A</x:v>
      </x:c>
      <x:c r="D7" s="7" t="str">
        <x:v>BL-X</x:v>
      </x:c>
      <x:c r="E7" s="7" t="str">
        <x:v>LOT-A-X</x:v>
      </x:c>
      <x:c r="F7" s="7" t="n">
        <x:v>390</x:v>
      </x:c>
      <x:c r="G7" s="7" t="n">
        <x:f>COUNTIFS('Article Gates'!C7:C7026,B7,'Article Gates'!F7:F7026,"PASS")</x:f>
        <x:v>0</x:v>
      </x:c>
      <x:c r="H7" s="7" t="n">
        <x:f>COUNTIFS('Article Gates'!C7:C7026,B7,'Article Gates'!F7:F7026,"FAIL")</x:f>
        <x:v>0</x:v>
      </x:c>
      <x:c r="I7" s="7" t="str">
        <x:f>INDEX('Article Population'!M7:M24,MATCH(B7,'Article Population'!B7:B24,0))</x:f>
      </x:c>
      <x:c r="J7" s="7" t="str"/>
      <x:c r="K7" s="7" t="str">
        <x:f>IF(J7="","OPEN",IF(AND(G7=F7,H7=0,I7&lt;&gt;""),"PASS","FAIL"))</x:f>
        <x:v>OPEN</x:v>
      </x:c>
    </x:row>
    <x:row r="8">
      <x:c r="B8" s="7" t="str">
        <x:v>PEA-A-X2</x:v>
      </x:c>
      <x:c r="C8" s="7" t="str">
        <x:v>BLD-A</x:v>
      </x:c>
      <x:c r="D8" s="7" t="str">
        <x:v>BL-X</x:v>
      </x:c>
      <x:c r="E8" s="7" t="str">
        <x:v>LOT-A-X</x:v>
      </x:c>
      <x:c r="F8" s="7" t="n">
        <x:v>390</x:v>
      </x:c>
      <x:c r="G8" s="7" t="n">
        <x:f>COUNTIFS('Article Gates'!C7:C7026,B8,'Article Gates'!F7:F7026,"PASS")</x:f>
        <x:v>0</x:v>
      </x:c>
      <x:c r="H8" s="7" t="n">
        <x:f>COUNTIFS('Article Gates'!C7:C7026,B8,'Article Gates'!F7:F7026,"FAIL")</x:f>
        <x:v>0</x:v>
      </x:c>
      <x:c r="I8" s="7" t="str">
        <x:f>INDEX('Article Population'!M7:M24,MATCH(B8,'Article Population'!B7:B24,0))</x:f>
      </x:c>
      <x:c r="J8" s="7" t="str"/>
      <x:c r="K8" s="7" t="str">
        <x:f>IF(J8="","OPEN",IF(AND(G8=F8,H8=0,I8&lt;&gt;""),"PASS","FAIL"))</x:f>
        <x:v>OPEN</x:v>
      </x:c>
    </x:row>
    <x:row r="9">
      <x:c r="B9" s="7" t="str">
        <x:v>PEA-A-X3</x:v>
      </x:c>
      <x:c r="C9" s="7" t="str">
        <x:v>BLD-A</x:v>
      </x:c>
      <x:c r="D9" s="7" t="str">
        <x:v>BL-X</x:v>
      </x:c>
      <x:c r="E9" s="7" t="str">
        <x:v>LOT-A-X</x:v>
      </x:c>
      <x:c r="F9" s="7" t="n">
        <x:v>390</x:v>
      </x:c>
      <x:c r="G9" s="7" t="n">
        <x:f>COUNTIFS('Article Gates'!C7:C7026,B9,'Article Gates'!F7:F7026,"PASS")</x:f>
        <x:v>0</x:v>
      </x:c>
      <x:c r="H9" s="7" t="n">
        <x:f>COUNTIFS('Article Gates'!C7:C7026,B9,'Article Gates'!F7:F7026,"FAIL")</x:f>
        <x:v>0</x:v>
      </x:c>
      <x:c r="I9" s="7" t="str">
        <x:f>INDEX('Article Population'!M7:M24,MATCH(B9,'Article Population'!B7:B24,0))</x:f>
      </x:c>
      <x:c r="J9" s="7" t="str"/>
      <x:c r="K9" s="7" t="str">
        <x:f>IF(J9="","OPEN",IF(AND(G9=F9,H9=0,I9&lt;&gt;""),"PASS","FAIL"))</x:f>
        <x:v>OPEN</x:v>
      </x:c>
    </x:row>
    <x:row r="10">
      <x:c r="B10" s="7" t="str">
        <x:v>PEA-A-Y1</x:v>
      </x:c>
      <x:c r="C10" s="7" t="str">
        <x:v>BLD-A</x:v>
      </x:c>
      <x:c r="D10" s="7" t="str">
        <x:v>BL-Y</x:v>
      </x:c>
      <x:c r="E10" s="7" t="str">
        <x:v>LOT-A-Y</x:v>
      </x:c>
      <x:c r="F10" s="7" t="n">
        <x:v>390</x:v>
      </x:c>
      <x:c r="G10" s="7" t="n">
        <x:f>COUNTIFS('Article Gates'!C7:C7026,B10,'Article Gates'!F7:F7026,"PASS")</x:f>
        <x:v>0</x:v>
      </x:c>
      <x:c r="H10" s="7" t="n">
        <x:f>COUNTIFS('Article Gates'!C7:C7026,B10,'Article Gates'!F7:F7026,"FAIL")</x:f>
        <x:v>0</x:v>
      </x:c>
      <x:c r="I10" s="7" t="str">
        <x:f>INDEX('Article Population'!M7:M24,MATCH(B10,'Article Population'!B7:B24,0))</x:f>
      </x:c>
      <x:c r="J10" s="7" t="str"/>
      <x:c r="K10" s="7" t="str">
        <x:f>IF(J10="","OPEN",IF(AND(G10=F10,H10=0,I10&lt;&gt;""),"PASS","FAIL"))</x:f>
        <x:v>OPEN</x:v>
      </x:c>
    </x:row>
    <x:row r="11">
      <x:c r="B11" s="7" t="str">
        <x:v>PEA-A-Y2</x:v>
      </x:c>
      <x:c r="C11" s="7" t="str">
        <x:v>BLD-A</x:v>
      </x:c>
      <x:c r="D11" s="7" t="str">
        <x:v>BL-Y</x:v>
      </x:c>
      <x:c r="E11" s="7" t="str">
        <x:v>LOT-A-Y</x:v>
      </x:c>
      <x:c r="F11" s="7" t="n">
        <x:v>390</x:v>
      </x:c>
      <x:c r="G11" s="7" t="n">
        <x:f>COUNTIFS('Article Gates'!C7:C7026,B11,'Article Gates'!F7:F7026,"PASS")</x:f>
        <x:v>0</x:v>
      </x:c>
      <x:c r="H11" s="7" t="n">
        <x:f>COUNTIFS('Article Gates'!C7:C7026,B11,'Article Gates'!F7:F7026,"FAIL")</x:f>
        <x:v>0</x:v>
      </x:c>
      <x:c r="I11" s="7" t="str">
        <x:f>INDEX('Article Population'!M7:M24,MATCH(B11,'Article Population'!B7:B24,0))</x:f>
      </x:c>
      <x:c r="J11" s="7" t="str"/>
      <x:c r="K11" s="7" t="str">
        <x:f>IF(J11="","OPEN",IF(AND(G11=F11,H11=0,I11&lt;&gt;""),"PASS","FAIL"))</x:f>
        <x:v>OPEN</x:v>
      </x:c>
    </x:row>
    <x:row r="12">
      <x:c r="B12" s="7" t="str">
        <x:v>PEA-A-Y3</x:v>
      </x:c>
      <x:c r="C12" s="7" t="str">
        <x:v>BLD-A</x:v>
      </x:c>
      <x:c r="D12" s="7" t="str">
        <x:v>BL-Y</x:v>
      </x:c>
      <x:c r="E12" s="7" t="str">
        <x:v>LOT-A-Y</x:v>
      </x:c>
      <x:c r="F12" s="7" t="n">
        <x:v>390</x:v>
      </x:c>
      <x:c r="G12" s="7" t="n">
        <x:f>COUNTIFS('Article Gates'!C7:C7026,B12,'Article Gates'!F7:F7026,"PASS")</x:f>
        <x:v>0</x:v>
      </x:c>
      <x:c r="H12" s="7" t="n">
        <x:f>COUNTIFS('Article Gates'!C7:C7026,B12,'Article Gates'!F7:F7026,"FAIL")</x:f>
        <x:v>0</x:v>
      </x:c>
      <x:c r="I12" s="7" t="str">
        <x:f>INDEX('Article Population'!M7:M24,MATCH(B12,'Article Population'!B7:B24,0))</x:f>
      </x:c>
      <x:c r="J12" s="7" t="str"/>
      <x:c r="K12" s="7" t="str">
        <x:f>IF(J12="","OPEN",IF(AND(G12=F12,H12=0,I12&lt;&gt;""),"PASS","FAIL"))</x:f>
        <x:v>OPEN</x:v>
      </x:c>
    </x:row>
    <x:row r="13">
      <x:c r="B13" s="7" t="str">
        <x:v>PEA-B-X1</x:v>
      </x:c>
      <x:c r="C13" s="7" t="str">
        <x:v>BLD-B</x:v>
      </x:c>
      <x:c r="D13" s="7" t="str">
        <x:v>BL-X</x:v>
      </x:c>
      <x:c r="E13" s="7" t="str">
        <x:v>LOT-B-X</x:v>
      </x:c>
      <x:c r="F13" s="7" t="n">
        <x:v>390</x:v>
      </x:c>
      <x:c r="G13" s="7" t="n">
        <x:f>COUNTIFS('Article Gates'!C7:C7026,B13,'Article Gates'!F7:F7026,"PASS")</x:f>
        <x:v>0</x:v>
      </x:c>
      <x:c r="H13" s="7" t="n">
        <x:f>COUNTIFS('Article Gates'!C7:C7026,B13,'Article Gates'!F7:F7026,"FAIL")</x:f>
        <x:v>0</x:v>
      </x:c>
      <x:c r="I13" s="7" t="str">
        <x:f>INDEX('Article Population'!M7:M24,MATCH(B13,'Article Population'!B7:B24,0))</x:f>
      </x:c>
      <x:c r="J13" s="7" t="str"/>
      <x:c r="K13" s="7" t="str">
        <x:f>IF(J13="","OPEN",IF(AND(G13=F13,H13=0,I13&lt;&gt;""),"PASS","FAIL"))</x:f>
        <x:v>OPEN</x:v>
      </x:c>
    </x:row>
    <x:row r="14">
      <x:c r="B14" s="7" t="str">
        <x:v>PEA-B-X2</x:v>
      </x:c>
      <x:c r="C14" s="7" t="str">
        <x:v>BLD-B</x:v>
      </x:c>
      <x:c r="D14" s="7" t="str">
        <x:v>BL-X</x:v>
      </x:c>
      <x:c r="E14" s="7" t="str">
        <x:v>LOT-B-X</x:v>
      </x:c>
      <x:c r="F14" s="7" t="n">
        <x:v>390</x:v>
      </x:c>
      <x:c r="G14" s="7" t="n">
        <x:f>COUNTIFS('Article Gates'!C7:C7026,B14,'Article Gates'!F7:F7026,"PASS")</x:f>
        <x:v>0</x:v>
      </x:c>
      <x:c r="H14" s="7" t="n">
        <x:f>COUNTIFS('Article Gates'!C7:C7026,B14,'Article Gates'!F7:F7026,"FAIL")</x:f>
        <x:v>0</x:v>
      </x:c>
      <x:c r="I14" s="7" t="str">
        <x:f>INDEX('Article Population'!M7:M24,MATCH(B14,'Article Population'!B7:B24,0))</x:f>
      </x:c>
      <x:c r="J14" s="7" t="str"/>
      <x:c r="K14" s="7" t="str">
        <x:f>IF(J14="","OPEN",IF(AND(G14=F14,H14=0,I14&lt;&gt;""),"PASS","FAIL"))</x:f>
        <x:v>OPEN</x:v>
      </x:c>
    </x:row>
    <x:row r="15">
      <x:c r="B15" s="7" t="str">
        <x:v>PEA-B-X3</x:v>
      </x:c>
      <x:c r="C15" s="7" t="str">
        <x:v>BLD-B</x:v>
      </x:c>
      <x:c r="D15" s="7" t="str">
        <x:v>BL-X</x:v>
      </x:c>
      <x:c r="E15" s="7" t="str">
        <x:v>LOT-B-X</x:v>
      </x:c>
      <x:c r="F15" s="7" t="n">
        <x:v>390</x:v>
      </x:c>
      <x:c r="G15" s="7" t="n">
        <x:f>COUNTIFS('Article Gates'!C7:C7026,B15,'Article Gates'!F7:F7026,"PASS")</x:f>
        <x:v>0</x:v>
      </x:c>
      <x:c r="H15" s="7" t="n">
        <x:f>COUNTIFS('Article Gates'!C7:C7026,B15,'Article Gates'!F7:F7026,"FAIL")</x:f>
        <x:v>0</x:v>
      </x:c>
      <x:c r="I15" s="7" t="str">
        <x:f>INDEX('Article Population'!M7:M24,MATCH(B15,'Article Population'!B7:B24,0))</x:f>
      </x:c>
      <x:c r="J15" s="7" t="str"/>
      <x:c r="K15" s="7" t="str">
        <x:f>IF(J15="","OPEN",IF(AND(G15=F15,H15=0,I15&lt;&gt;""),"PASS","FAIL"))</x:f>
        <x:v>OPEN</x:v>
      </x:c>
    </x:row>
    <x:row r="16">
      <x:c r="B16" s="7" t="str">
        <x:v>PEA-B-Y1</x:v>
      </x:c>
      <x:c r="C16" s="7" t="str">
        <x:v>BLD-B</x:v>
      </x:c>
      <x:c r="D16" s="7" t="str">
        <x:v>BL-Y</x:v>
      </x:c>
      <x:c r="E16" s="7" t="str">
        <x:v>LOT-B-Y</x:v>
      </x:c>
      <x:c r="F16" s="7" t="n">
        <x:v>390</x:v>
      </x:c>
      <x:c r="G16" s="7" t="n">
        <x:f>COUNTIFS('Article Gates'!C7:C7026,B16,'Article Gates'!F7:F7026,"PASS")</x:f>
        <x:v>0</x:v>
      </x:c>
      <x:c r="H16" s="7" t="n">
        <x:f>COUNTIFS('Article Gates'!C7:C7026,B16,'Article Gates'!F7:F7026,"FAIL")</x:f>
        <x:v>0</x:v>
      </x:c>
      <x:c r="I16" s="7" t="str">
        <x:f>INDEX('Article Population'!M7:M24,MATCH(B16,'Article Population'!B7:B24,0))</x:f>
      </x:c>
      <x:c r="J16" s="7" t="str"/>
      <x:c r="K16" s="7" t="str">
        <x:f>IF(J16="","OPEN",IF(AND(G16=F16,H16=0,I16&lt;&gt;""),"PASS","FAIL"))</x:f>
        <x:v>OPEN</x:v>
      </x:c>
    </x:row>
    <x:row r="17">
      <x:c r="B17" s="7" t="str">
        <x:v>PEA-B-Y2</x:v>
      </x:c>
      <x:c r="C17" s="7" t="str">
        <x:v>BLD-B</x:v>
      </x:c>
      <x:c r="D17" s="7" t="str">
        <x:v>BL-Y</x:v>
      </x:c>
      <x:c r="E17" s="7" t="str">
        <x:v>LOT-B-Y</x:v>
      </x:c>
      <x:c r="F17" s="7" t="n">
        <x:v>390</x:v>
      </x:c>
      <x:c r="G17" s="7" t="n">
        <x:f>COUNTIFS('Article Gates'!C7:C7026,B17,'Article Gates'!F7:F7026,"PASS")</x:f>
        <x:v>0</x:v>
      </x:c>
      <x:c r="H17" s="7" t="n">
        <x:f>COUNTIFS('Article Gates'!C7:C7026,B17,'Article Gates'!F7:F7026,"FAIL")</x:f>
        <x:v>0</x:v>
      </x:c>
      <x:c r="I17" s="7" t="str">
        <x:f>INDEX('Article Population'!M7:M24,MATCH(B17,'Article Population'!B7:B24,0))</x:f>
      </x:c>
      <x:c r="J17" s="7" t="str"/>
      <x:c r="K17" s="7" t="str">
        <x:f>IF(J17="","OPEN",IF(AND(G17=F17,H17=0,I17&lt;&gt;""),"PASS","FAIL"))</x:f>
        <x:v>OPEN</x:v>
      </x:c>
    </x:row>
    <x:row r="18">
      <x:c r="B18" s="7" t="str">
        <x:v>PEA-B-Y3</x:v>
      </x:c>
      <x:c r="C18" s="7" t="str">
        <x:v>BLD-B</x:v>
      </x:c>
      <x:c r="D18" s="7" t="str">
        <x:v>BL-Y</x:v>
      </x:c>
      <x:c r="E18" s="7" t="str">
        <x:v>LOT-B-Y</x:v>
      </x:c>
      <x:c r="F18" s="7" t="n">
        <x:v>390</x:v>
      </x:c>
      <x:c r="G18" s="7" t="n">
        <x:f>COUNTIFS('Article Gates'!C7:C7026,B18,'Article Gates'!F7:F7026,"PASS")</x:f>
        <x:v>0</x:v>
      </x:c>
      <x:c r="H18" s="7" t="n">
        <x:f>COUNTIFS('Article Gates'!C7:C7026,B18,'Article Gates'!F7:F7026,"FAIL")</x:f>
        <x:v>0</x:v>
      </x:c>
      <x:c r="I18" s="7" t="str">
        <x:f>INDEX('Article Population'!M7:M24,MATCH(B18,'Article Population'!B7:B24,0))</x:f>
      </x:c>
      <x:c r="J18" s="7" t="str"/>
      <x:c r="K18" s="7" t="str">
        <x:f>IF(J18="","OPEN",IF(AND(G18=F18,H18=0,I18&lt;&gt;""),"PASS","FAIL"))</x:f>
        <x:v>OPEN</x:v>
      </x:c>
    </x:row>
    <x:row r="19">
      <x:c r="B19" s="7" t="str">
        <x:v>PEA-C-X1</x:v>
      </x:c>
      <x:c r="C19" s="7" t="str">
        <x:v>BLD-C</x:v>
      </x:c>
      <x:c r="D19" s="7" t="str">
        <x:v>BL-X</x:v>
      </x:c>
      <x:c r="E19" s="7" t="str">
        <x:v>LOT-C-X</x:v>
      </x:c>
      <x:c r="F19" s="7" t="n">
        <x:v>390</x:v>
      </x:c>
      <x:c r="G19" s="7" t="n">
        <x:f>COUNTIFS('Article Gates'!C7:C7026,B19,'Article Gates'!F7:F7026,"PASS")</x:f>
        <x:v>0</x:v>
      </x:c>
      <x:c r="H19" s="7" t="n">
        <x:f>COUNTIFS('Article Gates'!C7:C7026,B19,'Article Gates'!F7:F7026,"FAIL")</x:f>
        <x:v>0</x:v>
      </x:c>
      <x:c r="I19" s="7" t="str">
        <x:f>INDEX('Article Population'!M7:M24,MATCH(B19,'Article Population'!B7:B24,0))</x:f>
      </x:c>
      <x:c r="J19" s="7" t="str"/>
      <x:c r="K19" s="7" t="str">
        <x:f>IF(J19="","OPEN",IF(AND(G19=F19,H19=0,I19&lt;&gt;""),"PASS","FAIL"))</x:f>
        <x:v>OPEN</x:v>
      </x:c>
    </x:row>
    <x:row r="20">
      <x:c r="B20" s="7" t="str">
        <x:v>PEA-C-X2</x:v>
      </x:c>
      <x:c r="C20" s="7" t="str">
        <x:v>BLD-C</x:v>
      </x:c>
      <x:c r="D20" s="7" t="str">
        <x:v>BL-X</x:v>
      </x:c>
      <x:c r="E20" s="7" t="str">
        <x:v>LOT-C-X</x:v>
      </x:c>
      <x:c r="F20" s="7" t="n">
        <x:v>390</x:v>
      </x:c>
      <x:c r="G20" s="7" t="n">
        <x:f>COUNTIFS('Article Gates'!C7:C7026,B20,'Article Gates'!F7:F7026,"PASS")</x:f>
        <x:v>0</x:v>
      </x:c>
      <x:c r="H20" s="7" t="n">
        <x:f>COUNTIFS('Article Gates'!C7:C7026,B20,'Article Gates'!F7:F7026,"FAIL")</x:f>
        <x:v>0</x:v>
      </x:c>
      <x:c r="I20" s="7" t="str">
        <x:f>INDEX('Article Population'!M7:M24,MATCH(B20,'Article Population'!B7:B24,0))</x:f>
      </x:c>
      <x:c r="J20" s="7" t="str"/>
      <x:c r="K20" s="7" t="str">
        <x:f>IF(J20="","OPEN",IF(AND(G20=F20,H20=0,I20&lt;&gt;""),"PASS","FAIL"))</x:f>
        <x:v>OPEN</x:v>
      </x:c>
    </x:row>
    <x:row r="21">
      <x:c r="B21" s="7" t="str">
        <x:v>PEA-C-X3</x:v>
      </x:c>
      <x:c r="C21" s="7" t="str">
        <x:v>BLD-C</x:v>
      </x:c>
      <x:c r="D21" s="7" t="str">
        <x:v>BL-X</x:v>
      </x:c>
      <x:c r="E21" s="7" t="str">
        <x:v>LOT-C-X</x:v>
      </x:c>
      <x:c r="F21" s="7" t="n">
        <x:v>390</x:v>
      </x:c>
      <x:c r="G21" s="7" t="n">
        <x:f>COUNTIFS('Article Gates'!C7:C7026,B21,'Article Gates'!F7:F7026,"PASS")</x:f>
        <x:v>0</x:v>
      </x:c>
      <x:c r="H21" s="7" t="n">
        <x:f>COUNTIFS('Article Gates'!C7:C7026,B21,'Article Gates'!F7:F7026,"FAIL")</x:f>
        <x:v>0</x:v>
      </x:c>
      <x:c r="I21" s="7" t="str">
        <x:f>INDEX('Article Population'!M7:M24,MATCH(B21,'Article Population'!B7:B24,0))</x:f>
      </x:c>
      <x:c r="J21" s="7" t="str"/>
      <x:c r="K21" s="7" t="str">
        <x:f>IF(J21="","OPEN",IF(AND(G21=F21,H21=0,I21&lt;&gt;""),"PASS","FAIL"))</x:f>
        <x:v>OPEN</x:v>
      </x:c>
    </x:row>
    <x:row r="22">
      <x:c r="B22" s="7" t="str">
        <x:v>PEA-C-Y1</x:v>
      </x:c>
      <x:c r="C22" s="7" t="str">
        <x:v>BLD-C</x:v>
      </x:c>
      <x:c r="D22" s="7" t="str">
        <x:v>BL-Y</x:v>
      </x:c>
      <x:c r="E22" s="7" t="str">
        <x:v>LOT-C-Y</x:v>
      </x:c>
      <x:c r="F22" s="7" t="n">
        <x:v>390</x:v>
      </x:c>
      <x:c r="G22" s="7" t="n">
        <x:f>COUNTIFS('Article Gates'!C7:C7026,B22,'Article Gates'!F7:F7026,"PASS")</x:f>
        <x:v>0</x:v>
      </x:c>
      <x:c r="H22" s="7" t="n">
        <x:f>COUNTIFS('Article Gates'!C7:C7026,B22,'Article Gates'!F7:F7026,"FAIL")</x:f>
        <x:v>0</x:v>
      </x:c>
      <x:c r="I22" s="7" t="str">
        <x:f>INDEX('Article Population'!M7:M24,MATCH(B22,'Article Population'!B7:B24,0))</x:f>
      </x:c>
      <x:c r="J22" s="7" t="str"/>
      <x:c r="K22" s="7" t="str">
        <x:f>IF(J22="","OPEN",IF(AND(G22=F22,H22=0,I22&lt;&gt;""),"PASS","FAIL"))</x:f>
        <x:v>OPEN</x:v>
      </x:c>
    </x:row>
    <x:row r="23">
      <x:c r="B23" s="7" t="str">
        <x:v>PEA-C-Y2</x:v>
      </x:c>
      <x:c r="C23" s="7" t="str">
        <x:v>BLD-C</x:v>
      </x:c>
      <x:c r="D23" s="7" t="str">
        <x:v>BL-Y</x:v>
      </x:c>
      <x:c r="E23" s="7" t="str">
        <x:v>LOT-C-Y</x:v>
      </x:c>
      <x:c r="F23" s="7" t="n">
        <x:v>390</x:v>
      </x:c>
      <x:c r="G23" s="7" t="n">
        <x:f>COUNTIFS('Article Gates'!C7:C7026,B23,'Article Gates'!F7:F7026,"PASS")</x:f>
        <x:v>0</x:v>
      </x:c>
      <x:c r="H23" s="7" t="n">
        <x:f>COUNTIFS('Article Gates'!C7:C7026,B23,'Article Gates'!F7:F7026,"FAIL")</x:f>
        <x:v>0</x:v>
      </x:c>
      <x:c r="I23" s="7" t="str">
        <x:f>INDEX('Article Population'!M7:M24,MATCH(B23,'Article Population'!B7:B24,0))</x:f>
      </x:c>
      <x:c r="J23" s="7" t="str"/>
      <x:c r="K23" s="7" t="str">
        <x:f>IF(J23="","OPEN",IF(AND(G23=F23,H23=0,I23&lt;&gt;""),"PASS","FAIL"))</x:f>
        <x:v>OPEN</x:v>
      </x:c>
    </x:row>
    <x:row r="24">
      <x:c r="B24" s="7" t="str">
        <x:v>PEA-C-Y3</x:v>
      </x:c>
      <x:c r="C24" s="7" t="str">
        <x:v>BLD-C</x:v>
      </x:c>
      <x:c r="D24" s="7" t="str">
        <x:v>BL-Y</x:v>
      </x:c>
      <x:c r="E24" s="7" t="str">
        <x:v>LOT-C-Y</x:v>
      </x:c>
      <x:c r="F24" s="7" t="n">
        <x:v>390</x:v>
      </x:c>
      <x:c r="G24" s="7" t="n">
        <x:f>COUNTIFS('Article Gates'!C7:C7026,B24,'Article Gates'!F7:F7026,"PASS")</x:f>
        <x:v>0</x:v>
      </x:c>
      <x:c r="H24" s="7" t="n">
        <x:f>COUNTIFS('Article Gates'!C7:C7026,B24,'Article Gates'!F7:F7026,"FAIL")</x:f>
        <x:v>0</x:v>
      </x:c>
      <x:c r="I24" s="7" t="str">
        <x:f>INDEX('Article Population'!M7:M24,MATCH(B24,'Article Population'!B7:B24,0))</x:f>
      </x:c>
      <x:c r="J24" s="7" t="str"/>
      <x:c r="K24" s="7" t="str">
        <x:f>IF(J24="","OPEN",IF(AND(G24=F24,H24=0,I24&lt;&gt;""),"PASS","FAIL"))</x:f>
        <x:v>OPEN</x:v>
      </x:c>
    </x:row>
  </x:sheetData>
  <x:conditionalFormatting sqref="K7:K24">
    <x:cfRule type="containsText" dxfId="120" priority="1" operator="containsText" text="FAIL"/>
    <x:cfRule type="containsText" dxfId="121" priority="2" operator="containsText" text="BLOCKED"/>
    <x:cfRule type="containsText" dxfId="122" priority="3" operator="containsText" text="OPEN"/>
    <x:cfRule type="containsText" dxfId="123" priority="4" operator="containsText" text="DORMANT"/>
    <x:cfRule type="containsText" dxfId="124" priority="5" operator="containsText" text="REVIEW"/>
    <x:cfRule type="containsText" dxfId="125" priority="6" operator="containsText" text="PASS"/>
  </x:conditionalFormatting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5" hidden="0" customWidth="1"/>
    <x:col min="3" max="3" width="14" hidden="0" customWidth="1"/>
    <x:col min="4" max="4" width="13" hidden="0" customWidth="1"/>
    <x:col min="5" max="5" width="22" hidden="0" customWidth="1"/>
    <x:col min="6" max="6" width="19" hidden="0" customWidth="1"/>
    <x:col min="7" max="7" width="24" hidden="0" customWidth="1"/>
    <x:col min="8" max="8" width="21" hidden="0" customWidth="1"/>
    <x:col min="9" max="9" width="24" hidden="0" customWidth="1"/>
    <x:col min="10" max="10" width="21" hidden="0" customWidth="1"/>
    <x:col min="11" max="11" width="14" hidden="0" customWidth="1"/>
  </x:cols>
  <x:sheetData>
    <x:row r="2">
      <x:c r="B2" s="1" t="str">
        <x:v>Six builder-lineage reproduction decisions</x:v>
      </x:c>
    </x:row>
    <x:row r="3">
      <x:c r="B3" s="2" t="str">
        <x:v>A cell needs three final article releases. Any first-pass shortfall requires a separate yield disposition.</x:v>
      </x:c>
    </x:row>
    <x:row r="6" ht="24" customHeight="1">
      <x:c r="B6" s="6" t="str">
        <x:v>Cell</x:v>
      </x:c>
      <x:c r="C6" s="6" t="str">
        <x:v>Builder</x:v>
      </x:c>
      <x:c r="D6" s="6" t="str">
        <x:v>Lineage</x:v>
      </x:c>
      <x:c r="E6" s="6" t="str">
        <x:v>Required articles</x:v>
      </x:c>
      <x:c r="F6" s="6" t="str">
        <x:v>Released articles</x:v>
      </x:c>
      <x:c r="G6" s="6" t="str">
        <x:v>First-pass conforming</x:v>
      </x:c>
      <x:c r="H6" s="6" t="str">
        <x:v>Controlled rework</x:v>
      </x:c>
      <x:c r="I6" s="6" t="str">
        <x:v>Yield disposition UTC</x:v>
      </x:c>
      <x:c r="J6" s="6" t="str">
        <x:v>Board accepted UTC</x:v>
      </x:c>
      <x:c r="K6" s="6" t="str">
        <x:v>State</x:v>
      </x:c>
    </x:row>
    <x:row r="7">
      <x:c r="B7" s="7" t="str">
        <x:v>LOT-A-X</x:v>
      </x:c>
      <x:c r="C7" s="7" t="str">
        <x:v>BLD-A</x:v>
      </x:c>
      <x:c r="D7" s="7" t="str">
        <x:v>BL-X</x:v>
      </x:c>
      <x:c r="E7" s="7" t="n">
        <x:v>3</x:v>
      </x:c>
      <x:c r="F7" s="7" t="n">
        <x:f>COUNTIFS('Article Release'!E7:E24,B7,'Article Release'!K7:K24,"PASS")</x:f>
        <x:v>0</x:v>
      </x:c>
      <x:c r="G7" s="7" t="n">
        <x:f>COUNTIFS('Article Population'!E7:E24,B7,'Article Population'!M7:M24,"CONFORMING")</x:f>
        <x:v>0</x:v>
      </x:c>
      <x:c r="H7" s="7" t="n">
        <x:f>COUNTIFS('Article Population'!E7:E24,B7,'Article Population'!M7:M24,"CONTROLLED REWORK")</x:f>
        <x:v>0</x:v>
      </x:c>
      <x:c r="I7" s="7" t="str"/>
      <x:c r="J7" s="7" t="str"/>
      <x:c r="K7" s="7" t="str">
        <x:f>IF(J7="","OPEN",IF(AND(F7=E7,OR(G7=E7,I7&lt;&gt;"")),"PASS","FAIL"))</x:f>
        <x:v>OPEN</x:v>
      </x:c>
    </x:row>
    <x:row r="8">
      <x:c r="B8" s="7" t="str">
        <x:v>LOT-A-Y</x:v>
      </x:c>
      <x:c r="C8" s="7" t="str">
        <x:v>BLD-A</x:v>
      </x:c>
      <x:c r="D8" s="7" t="str">
        <x:v>BL-Y</x:v>
      </x:c>
      <x:c r="E8" s="7" t="n">
        <x:v>3</x:v>
      </x:c>
      <x:c r="F8" s="7" t="n">
        <x:f>COUNTIFS('Article Release'!E7:E24,B8,'Article Release'!K7:K24,"PASS")</x:f>
        <x:v>0</x:v>
      </x:c>
      <x:c r="G8" s="7" t="n">
        <x:f>COUNTIFS('Article Population'!E7:E24,B8,'Article Population'!M7:M24,"CONFORMING")</x:f>
        <x:v>0</x:v>
      </x:c>
      <x:c r="H8" s="7" t="n">
        <x:f>COUNTIFS('Article Population'!E7:E24,B8,'Article Population'!M7:M24,"CONTROLLED REWORK")</x:f>
        <x:v>0</x:v>
      </x:c>
      <x:c r="I8" s="7" t="str"/>
      <x:c r="J8" s="7" t="str"/>
      <x:c r="K8" s="7" t="str">
        <x:f>IF(J8="","OPEN",IF(AND(F8=E8,OR(G8=E8,I8&lt;&gt;"")),"PASS","FAIL"))</x:f>
        <x:v>OPEN</x:v>
      </x:c>
    </x:row>
    <x:row r="9">
      <x:c r="B9" s="7" t="str">
        <x:v>LOT-B-X</x:v>
      </x:c>
      <x:c r="C9" s="7" t="str">
        <x:v>BLD-B</x:v>
      </x:c>
      <x:c r="D9" s="7" t="str">
        <x:v>BL-X</x:v>
      </x:c>
      <x:c r="E9" s="7" t="n">
        <x:v>3</x:v>
      </x:c>
      <x:c r="F9" s="7" t="n">
        <x:f>COUNTIFS('Article Release'!E7:E24,B9,'Article Release'!K7:K24,"PASS")</x:f>
        <x:v>0</x:v>
      </x:c>
      <x:c r="G9" s="7" t="n">
        <x:f>COUNTIFS('Article Population'!E7:E24,B9,'Article Population'!M7:M24,"CONFORMING")</x:f>
        <x:v>0</x:v>
      </x:c>
      <x:c r="H9" s="7" t="n">
        <x:f>COUNTIFS('Article Population'!E7:E24,B9,'Article Population'!M7:M24,"CONTROLLED REWORK")</x:f>
        <x:v>0</x:v>
      </x:c>
      <x:c r="I9" s="7" t="str"/>
      <x:c r="J9" s="7" t="str"/>
      <x:c r="K9" s="7" t="str">
        <x:f>IF(J9="","OPEN",IF(AND(F9=E9,OR(G9=E9,I9&lt;&gt;"")),"PASS","FAIL"))</x:f>
        <x:v>OPEN</x:v>
      </x:c>
    </x:row>
    <x:row r="10">
      <x:c r="B10" s="7" t="str">
        <x:v>LOT-B-Y</x:v>
      </x:c>
      <x:c r="C10" s="7" t="str">
        <x:v>BLD-B</x:v>
      </x:c>
      <x:c r="D10" s="7" t="str">
        <x:v>BL-Y</x:v>
      </x:c>
      <x:c r="E10" s="7" t="n">
        <x:v>3</x:v>
      </x:c>
      <x:c r="F10" s="7" t="n">
        <x:f>COUNTIFS('Article Release'!E7:E24,B10,'Article Release'!K7:K24,"PASS")</x:f>
        <x:v>0</x:v>
      </x:c>
      <x:c r="G10" s="7" t="n">
        <x:f>COUNTIFS('Article Population'!E7:E24,B10,'Article Population'!M7:M24,"CONFORMING")</x:f>
        <x:v>0</x:v>
      </x:c>
      <x:c r="H10" s="7" t="n">
        <x:f>COUNTIFS('Article Population'!E7:E24,B10,'Article Population'!M7:M24,"CONTROLLED REWORK")</x:f>
        <x:v>0</x:v>
      </x:c>
      <x:c r="I10" s="7" t="str"/>
      <x:c r="J10" s="7" t="str"/>
      <x:c r="K10" s="7" t="str">
        <x:f>IF(J10="","OPEN",IF(AND(F10=E10,OR(G10=E10,I10&lt;&gt;"")),"PASS","FAIL"))</x:f>
        <x:v>OPEN</x:v>
      </x:c>
    </x:row>
    <x:row r="11">
      <x:c r="B11" s="7" t="str">
        <x:v>LOT-C-X</x:v>
      </x:c>
      <x:c r="C11" s="7" t="str">
        <x:v>BLD-C</x:v>
      </x:c>
      <x:c r="D11" s="7" t="str">
        <x:v>BL-X</x:v>
      </x:c>
      <x:c r="E11" s="7" t="n">
        <x:v>3</x:v>
      </x:c>
      <x:c r="F11" s="7" t="n">
        <x:f>COUNTIFS('Article Release'!E7:E24,B11,'Article Release'!K7:K24,"PASS")</x:f>
        <x:v>0</x:v>
      </x:c>
      <x:c r="G11" s="7" t="n">
        <x:f>COUNTIFS('Article Population'!E7:E24,B11,'Article Population'!M7:M24,"CONFORMING")</x:f>
        <x:v>0</x:v>
      </x:c>
      <x:c r="H11" s="7" t="n">
        <x:f>COUNTIFS('Article Population'!E7:E24,B11,'Article Population'!M7:M24,"CONTROLLED REWORK")</x:f>
        <x:v>0</x:v>
      </x:c>
      <x:c r="I11" s="7" t="str"/>
      <x:c r="J11" s="7" t="str"/>
      <x:c r="K11" s="7" t="str">
        <x:f>IF(J11="","OPEN",IF(AND(F11=E11,OR(G11=E11,I11&lt;&gt;"")),"PASS","FAIL"))</x:f>
        <x:v>OPEN</x:v>
      </x:c>
    </x:row>
    <x:row r="12">
      <x:c r="B12" s="7" t="str">
        <x:v>LOT-C-Y</x:v>
      </x:c>
      <x:c r="C12" s="7" t="str">
        <x:v>BLD-C</x:v>
      </x:c>
      <x:c r="D12" s="7" t="str">
        <x:v>BL-Y</x:v>
      </x:c>
      <x:c r="E12" s="7" t="n">
        <x:v>3</x:v>
      </x:c>
      <x:c r="F12" s="7" t="n">
        <x:f>COUNTIFS('Article Release'!E7:E24,B12,'Article Release'!K7:K24,"PASS")</x:f>
        <x:v>0</x:v>
      </x:c>
      <x:c r="G12" s="7" t="n">
        <x:f>COUNTIFS('Article Population'!E7:E24,B12,'Article Population'!M7:M24,"CONFORMING")</x:f>
        <x:v>0</x:v>
      </x:c>
      <x:c r="H12" s="7" t="n">
        <x:f>COUNTIFS('Article Population'!E7:E24,B12,'Article Population'!M7:M24,"CONTROLLED REWORK")</x:f>
        <x:v>0</x:v>
      </x:c>
      <x:c r="I12" s="7" t="str"/>
      <x:c r="J12" s="7" t="str"/>
      <x:c r="K12" s="7" t="str">
        <x:f>IF(J12="","OPEN",IF(AND(F12=E12,OR(G12=E12,I12&lt;&gt;"")),"PASS","FAIL"))</x:f>
        <x:v>OPEN</x:v>
      </x:c>
    </x:row>
  </x:sheetData>
  <x:conditionalFormatting sqref="K7:K12">
    <x:cfRule type="containsText" dxfId="126" priority="1" operator="containsText" text="FAIL"/>
    <x:cfRule type="containsText" dxfId="127" priority="2" operator="containsText" text="BLOCKED"/>
    <x:cfRule type="containsText" dxfId="128" priority="3" operator="containsText" text="OPEN"/>
    <x:cfRule type="containsText" dxfId="129" priority="4" operator="containsText" text="DORMANT"/>
    <x:cfRule type="containsText" dxfId="130" priority="5" operator="containsText" text="REVIEW"/>
    <x:cfRule type="containsText" dxfId="131" priority="6" operator="containsText" text="PASS"/>
  </x:conditionalFormatting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23" hidden="0" customWidth="1"/>
    <x:col min="3" max="3" width="17" hidden="0" customWidth="1"/>
    <x:col min="4" max="4" width="14" hidden="0" customWidth="1"/>
    <x:col min="5" max="5" width="13" hidden="0" customWidth="1"/>
    <x:col min="6" max="6" width="21" hidden="0" customWidth="1"/>
    <x:col min="7" max="7" width="28" hidden="0" customWidth="1"/>
    <x:col min="8" max="8" width="14" hidden="0" customWidth="1"/>
  </x:cols>
  <x:sheetData>
    <x:row r="2">
      <x:c r="B2" s="1" t="str">
        <x:v>Eighteen locked bank positions</x:v>
      </x:c>
    </x:row>
    <x:row r="3">
      <x:c r="B3" s="2" t="str">
        <x:v>A replacement must retain the same role, lineage and destination under a new lot identity.</x:v>
      </x:c>
    </x:row>
    <x:row r="6" ht="24" customHeight="1">
      <x:c r="B6" s="6" t="str">
        <x:v>Position</x:v>
      </x:c>
      <x:c r="C6" s="6" t="str">
        <x:v>Article</x:v>
      </x:c>
      <x:c r="D6" s="6" t="str">
        <x:v>Builder</x:v>
      </x:c>
      <x:c r="E6" s="6" t="str">
        <x:v>Lineage</x:v>
      </x:c>
      <x:c r="F6" s="6" t="str">
        <x:v>Role</x:v>
      </x:c>
      <x:c r="G6" s="6" t="str">
        <x:v>Destination</x:v>
      </x:c>
      <x:c r="H6" s="6" t="str">
        <x:v>State</x:v>
      </x:c>
    </x:row>
    <x:row r="7">
      <x:c r="B7" s="7" t="str">
        <x:v>BANK-PEA-A-X1</x:v>
      </x:c>
      <x:c r="C7" s="7" t="str">
        <x:v>PEA-A-X1</x:v>
      </x:c>
      <x:c r="D7" s="13" t="str">
        <x:f>INDEX('Article Population'!C7:C24,MATCH(C7,'Article Population'!B7:B24,0))</x:f>
        <x:v>BLD-A</x:v>
      </x:c>
      <x:c r="E7" s="13" t="str">
        <x:f>INDEX('Article Population'!D7:D24,MATCH(C7,'Article Population'!B7:B24,0))</x:f>
        <x:v>BL-X</x:v>
      </x:c>
      <x:c r="F7" s="13" t="str">
        <x:f>INDEX('Article Population'!H7:H24,MATCH(C7,'Article Population'!B7:B24,0))</x:f>
        <x:v>OPERATIONAL</x:v>
      </x:c>
      <x:c r="G7" s="13" t="str">
        <x:f>INDEX('Article Population'!I7:I24,MATCH(C7,'Article Population'!B7:B24,0))</x:f>
        <x:v>RFP-A1</x:v>
      </x:c>
      <x:c r="H7" s="7" t="str">
        <x:f>'Article Release'!K7</x:f>
        <x:v>OPEN</x:v>
      </x:c>
    </x:row>
    <x:row r="8">
      <x:c r="B8" s="7" t="str">
        <x:v>BANK-PEA-A-X2</x:v>
      </x:c>
      <x:c r="C8" s="7" t="str">
        <x:v>PEA-A-X2</x:v>
      </x:c>
      <x:c r="D8" s="13" t="str">
        <x:f>INDEX('Article Population'!C7:C24,MATCH(C8,'Article Population'!B7:B24,0))</x:f>
        <x:v>BLD-A</x:v>
      </x:c>
      <x:c r="E8" s="13" t="str">
        <x:f>INDEX('Article Population'!D7:D24,MATCH(C8,'Article Population'!B7:B24,0))</x:f>
        <x:v>BL-X</x:v>
      </x:c>
      <x:c r="F8" s="13" t="str">
        <x:f>INDEX('Article Population'!H7:H24,MATCH(C8,'Article Population'!B7:B24,0))</x:f>
        <x:v>FUNCTIONAL TWIN</x:v>
      </x:c>
      <x:c r="G8" s="13" t="str">
        <x:f>INDEX('Article Population'!I7:I24,MATCH(C8,'Article Population'!B7:B24,0))</x:f>
        <x:v>PTC-A-TWIN-X</x:v>
      </x:c>
      <x:c r="H8" s="7" t="str">
        <x:f>'Article Release'!K8</x:f>
        <x:v>OPEN</x:v>
      </x:c>
    </x:row>
    <x:row r="9">
      <x:c r="B9" s="7" t="str">
        <x:v>BANK-PEA-A-X3</x:v>
      </x:c>
      <x:c r="C9" s="7" t="str">
        <x:v>PEA-A-X3</x:v>
      </x:c>
      <x:c r="D9" s="13" t="str">
        <x:f>INDEX('Article Population'!C7:C24,MATCH(C9,'Article Population'!B7:B24,0))</x:f>
        <x:v>BLD-A</x:v>
      </x:c>
      <x:c r="E9" s="13" t="str">
        <x:f>INDEX('Article Population'!D7:D24,MATCH(C9,'Article Population'!B7:B24,0))</x:f>
        <x:v>BL-X</x:v>
      </x:c>
      <x:c r="F9" s="13" t="str">
        <x:f>INDEX('Article Population'!H7:H24,MATCH(C9,'Article Population'!B7:B24,0))</x:f>
        <x:v>CALIBRATION</x:v>
      </x:c>
      <x:c r="G9" s="13" t="str">
        <x:f>INDEX('Article Population'!I7:I24,MATCH(C9,'Article Population'!B7:B24,0))</x:f>
        <x:v>PTC-A-CALIBRATION</x:v>
      </x:c>
      <x:c r="H9" s="7" t="str">
        <x:f>'Article Release'!K9</x:f>
        <x:v>OPEN</x:v>
      </x:c>
    </x:row>
    <x:row r="10">
      <x:c r="B10" s="7" t="str">
        <x:v>BANK-PEA-A-Y1</x:v>
      </x:c>
      <x:c r="C10" s="7" t="str">
        <x:v>PEA-A-Y1</x:v>
      </x:c>
      <x:c r="D10" s="13" t="str">
        <x:f>INDEX('Article Population'!C7:C24,MATCH(C10,'Article Population'!B7:B24,0))</x:f>
        <x:v>BLD-A</x:v>
      </x:c>
      <x:c r="E10" s="13" t="str">
        <x:f>INDEX('Article Population'!D7:D24,MATCH(C10,'Article Population'!B7:B24,0))</x:f>
        <x:v>BL-Y</x:v>
      </x:c>
      <x:c r="F10" s="13" t="str">
        <x:f>INDEX('Article Population'!H7:H24,MATCH(C10,'Article Population'!B7:B24,0))</x:f>
        <x:v>OPERATIONAL</x:v>
      </x:c>
      <x:c r="G10" s="13" t="str">
        <x:f>INDEX('Article Population'!I7:I24,MATCH(C10,'Article Population'!B7:B24,0))</x:f>
        <x:v>RFP-A2</x:v>
      </x:c>
      <x:c r="H10" s="7" t="str">
        <x:f>'Article Release'!K10</x:f>
        <x:v>OPEN</x:v>
      </x:c>
    </x:row>
    <x:row r="11">
      <x:c r="B11" s="7" t="str">
        <x:v>BANK-PEA-A-Y2</x:v>
      </x:c>
      <x:c r="C11" s="7" t="str">
        <x:v>PEA-A-Y2</x:v>
      </x:c>
      <x:c r="D11" s="13" t="str">
        <x:f>INDEX('Article Population'!C7:C24,MATCH(C11,'Article Population'!B7:B24,0))</x:f>
        <x:v>BLD-A</x:v>
      </x:c>
      <x:c r="E11" s="13" t="str">
        <x:f>INDEX('Article Population'!D7:D24,MATCH(C11,'Article Population'!B7:B24,0))</x:f>
        <x:v>BL-Y</x:v>
      </x:c>
      <x:c r="F11" s="13" t="str">
        <x:f>INDEX('Article Population'!H7:H24,MATCH(C11,'Article Population'!B7:B24,0))</x:f>
        <x:v>FUNCTIONAL TWIN</x:v>
      </x:c>
      <x:c r="G11" s="13" t="str">
        <x:f>INDEX('Article Population'!I7:I24,MATCH(C11,'Article Population'!B7:B24,0))</x:f>
        <x:v>PTC-A-TWIN-Y</x:v>
      </x:c>
      <x:c r="H11" s="7" t="str">
        <x:f>'Article Release'!K11</x:f>
        <x:v>OPEN</x:v>
      </x:c>
    </x:row>
    <x:row r="12">
      <x:c r="B12" s="7" t="str">
        <x:v>BANK-PEA-A-Y3</x:v>
      </x:c>
      <x:c r="C12" s="7" t="str">
        <x:v>PEA-A-Y3</x:v>
      </x:c>
      <x:c r="D12" s="13" t="str">
        <x:f>INDEX('Article Population'!C7:C24,MATCH(C12,'Article Population'!B7:B24,0))</x:f>
        <x:v>BLD-A</x:v>
      </x:c>
      <x:c r="E12" s="13" t="str">
        <x:f>INDEX('Article Population'!D7:D24,MATCH(C12,'Article Population'!B7:B24,0))</x:f>
        <x:v>BL-Y</x:v>
      </x:c>
      <x:c r="F12" s="13" t="str">
        <x:f>INDEX('Article Population'!H7:H24,MATCH(C12,'Article Population'!B7:B24,0))</x:f>
        <x:v>DESTRUCTIVE</x:v>
      </x:c>
      <x:c r="G12" s="13" t="str">
        <x:f>INDEX('Article Population'!I7:I24,MATCH(C12,'Article Population'!B7:B24,0))</x:f>
        <x:v>PTC-A-DESTRUCTIVE</x:v>
      </x:c>
      <x:c r="H12" s="7" t="str">
        <x:f>'Article Release'!K12</x:f>
        <x:v>OPEN</x:v>
      </x:c>
    </x:row>
    <x:row r="13">
      <x:c r="B13" s="7" t="str">
        <x:v>BANK-PEA-B-X1</x:v>
      </x:c>
      <x:c r="C13" s="7" t="str">
        <x:v>PEA-B-X1</x:v>
      </x:c>
      <x:c r="D13" s="13" t="str">
        <x:f>INDEX('Article Population'!C7:C24,MATCH(C13,'Article Population'!B7:B24,0))</x:f>
        <x:v>BLD-B</x:v>
      </x:c>
      <x:c r="E13" s="13" t="str">
        <x:f>INDEX('Article Population'!D7:D24,MATCH(C13,'Article Population'!B7:B24,0))</x:f>
        <x:v>BL-X</x:v>
      </x:c>
      <x:c r="F13" s="13" t="str">
        <x:f>INDEX('Article Population'!H7:H24,MATCH(C13,'Article Population'!B7:B24,0))</x:f>
        <x:v>OPERATIONAL</x:v>
      </x:c>
      <x:c r="G13" s="13" t="str">
        <x:f>INDEX('Article Population'!I7:I24,MATCH(C13,'Article Population'!B7:B24,0))</x:f>
        <x:v>RFP-B1</x:v>
      </x:c>
      <x:c r="H13" s="7" t="str">
        <x:f>'Article Release'!K13</x:f>
        <x:v>OPEN</x:v>
      </x:c>
    </x:row>
    <x:row r="14">
      <x:c r="B14" s="7" t="str">
        <x:v>BANK-PEA-B-X2</x:v>
      </x:c>
      <x:c r="C14" s="7" t="str">
        <x:v>PEA-B-X2</x:v>
      </x:c>
      <x:c r="D14" s="13" t="str">
        <x:f>INDEX('Article Population'!C7:C24,MATCH(C14,'Article Population'!B7:B24,0))</x:f>
        <x:v>BLD-B</x:v>
      </x:c>
      <x:c r="E14" s="13" t="str">
        <x:f>INDEX('Article Population'!D7:D24,MATCH(C14,'Article Population'!B7:B24,0))</x:f>
        <x:v>BL-X</x:v>
      </x:c>
      <x:c r="F14" s="13" t="str">
        <x:f>INDEX('Article Population'!H7:H24,MATCH(C14,'Article Population'!B7:B24,0))</x:f>
        <x:v>FUNCTIONAL TWIN</x:v>
      </x:c>
      <x:c r="G14" s="13" t="str">
        <x:f>INDEX('Article Population'!I7:I24,MATCH(C14,'Article Population'!B7:B24,0))</x:f>
        <x:v>PTC-B-TWIN-X</x:v>
      </x:c>
      <x:c r="H14" s="7" t="str">
        <x:f>'Article Release'!K14</x:f>
        <x:v>OPEN</x:v>
      </x:c>
    </x:row>
    <x:row r="15">
      <x:c r="B15" s="7" t="str">
        <x:v>BANK-PEA-B-X3</x:v>
      </x:c>
      <x:c r="C15" s="7" t="str">
        <x:v>PEA-B-X3</x:v>
      </x:c>
      <x:c r="D15" s="13" t="str">
        <x:f>INDEX('Article Population'!C7:C24,MATCH(C15,'Article Population'!B7:B24,0))</x:f>
        <x:v>BLD-B</x:v>
      </x:c>
      <x:c r="E15" s="13" t="str">
        <x:f>INDEX('Article Population'!D7:D24,MATCH(C15,'Article Population'!B7:B24,0))</x:f>
        <x:v>BL-X</x:v>
      </x:c>
      <x:c r="F15" s="13" t="str">
        <x:f>INDEX('Article Population'!H7:H24,MATCH(C15,'Article Population'!B7:B24,0))</x:f>
        <x:v>CALIBRATION</x:v>
      </x:c>
      <x:c r="G15" s="13" t="str">
        <x:f>INDEX('Article Population'!I7:I24,MATCH(C15,'Article Population'!B7:B24,0))</x:f>
        <x:v>PTC-B-CALIBRATION</x:v>
      </x:c>
      <x:c r="H15" s="7" t="str">
        <x:f>'Article Release'!K15</x:f>
        <x:v>OPEN</x:v>
      </x:c>
    </x:row>
    <x:row r="16">
      <x:c r="B16" s="7" t="str">
        <x:v>BANK-PEA-B-Y1</x:v>
      </x:c>
      <x:c r="C16" s="7" t="str">
        <x:v>PEA-B-Y1</x:v>
      </x:c>
      <x:c r="D16" s="13" t="str">
        <x:f>INDEX('Article Population'!C7:C24,MATCH(C16,'Article Population'!B7:B24,0))</x:f>
        <x:v>BLD-B</x:v>
      </x:c>
      <x:c r="E16" s="13" t="str">
        <x:f>INDEX('Article Population'!D7:D24,MATCH(C16,'Article Population'!B7:B24,0))</x:f>
        <x:v>BL-Y</x:v>
      </x:c>
      <x:c r="F16" s="13" t="str">
        <x:f>INDEX('Article Population'!H7:H24,MATCH(C16,'Article Population'!B7:B24,0))</x:f>
        <x:v>OPERATIONAL</x:v>
      </x:c>
      <x:c r="G16" s="13" t="str">
        <x:f>INDEX('Article Population'!I7:I24,MATCH(C16,'Article Population'!B7:B24,0))</x:f>
        <x:v>RFP-B2</x:v>
      </x:c>
      <x:c r="H16" s="7" t="str">
        <x:f>'Article Release'!K16</x:f>
        <x:v>OPEN</x:v>
      </x:c>
    </x:row>
    <x:row r="17">
      <x:c r="B17" s="7" t="str">
        <x:v>BANK-PEA-B-Y2</x:v>
      </x:c>
      <x:c r="C17" s="7" t="str">
        <x:v>PEA-B-Y2</x:v>
      </x:c>
      <x:c r="D17" s="13" t="str">
        <x:f>INDEX('Article Population'!C7:C24,MATCH(C17,'Article Population'!B7:B24,0))</x:f>
        <x:v>BLD-B</x:v>
      </x:c>
      <x:c r="E17" s="13" t="str">
        <x:f>INDEX('Article Population'!D7:D24,MATCH(C17,'Article Population'!B7:B24,0))</x:f>
        <x:v>BL-Y</x:v>
      </x:c>
      <x:c r="F17" s="13" t="str">
        <x:f>INDEX('Article Population'!H7:H24,MATCH(C17,'Article Population'!B7:B24,0))</x:f>
        <x:v>FUNCTIONAL TWIN</x:v>
      </x:c>
      <x:c r="G17" s="13" t="str">
        <x:f>INDEX('Article Population'!I7:I24,MATCH(C17,'Article Population'!B7:B24,0))</x:f>
        <x:v>PTC-B-TWIN-Y</x:v>
      </x:c>
      <x:c r="H17" s="7" t="str">
        <x:f>'Article Release'!K17</x:f>
        <x:v>OPEN</x:v>
      </x:c>
    </x:row>
    <x:row r="18">
      <x:c r="B18" s="7" t="str">
        <x:v>BANK-PEA-B-Y3</x:v>
      </x:c>
      <x:c r="C18" s="7" t="str">
        <x:v>PEA-B-Y3</x:v>
      </x:c>
      <x:c r="D18" s="13" t="str">
        <x:f>INDEX('Article Population'!C7:C24,MATCH(C18,'Article Population'!B7:B24,0))</x:f>
        <x:v>BLD-B</x:v>
      </x:c>
      <x:c r="E18" s="13" t="str">
        <x:f>INDEX('Article Population'!D7:D24,MATCH(C18,'Article Population'!B7:B24,0))</x:f>
        <x:v>BL-Y</x:v>
      </x:c>
      <x:c r="F18" s="13" t="str">
        <x:f>INDEX('Article Population'!H7:H24,MATCH(C18,'Article Population'!B7:B24,0))</x:f>
        <x:v>DESTRUCTIVE</x:v>
      </x:c>
      <x:c r="G18" s="13" t="str">
        <x:f>INDEX('Article Population'!I7:I24,MATCH(C18,'Article Population'!B7:B24,0))</x:f>
        <x:v>PTC-B-DESTRUCTIVE</x:v>
      </x:c>
      <x:c r="H18" s="7" t="str">
        <x:f>'Article Release'!K18</x:f>
        <x:v>OPEN</x:v>
      </x:c>
    </x:row>
    <x:row r="19">
      <x:c r="B19" s="7" t="str">
        <x:v>BANK-PEA-C-X1</x:v>
      </x:c>
      <x:c r="C19" s="7" t="str">
        <x:v>PEA-C-X1</x:v>
      </x:c>
      <x:c r="D19" s="13" t="str">
        <x:f>INDEX('Article Population'!C7:C24,MATCH(C19,'Article Population'!B7:B24,0))</x:f>
        <x:v>BLD-C</x:v>
      </x:c>
      <x:c r="E19" s="13" t="str">
        <x:f>INDEX('Article Population'!D7:D24,MATCH(C19,'Article Population'!B7:B24,0))</x:f>
        <x:v>BL-X</x:v>
      </x:c>
      <x:c r="F19" s="13" t="str">
        <x:f>INDEX('Article Population'!H7:H24,MATCH(C19,'Article Population'!B7:B24,0))</x:f>
        <x:v>OPERATIONAL</x:v>
      </x:c>
      <x:c r="G19" s="13" t="str">
        <x:f>INDEX('Article Population'!I7:I24,MATCH(C19,'Article Population'!B7:B24,0))</x:f>
        <x:v>RFP-C1</x:v>
      </x:c>
      <x:c r="H19" s="7" t="str">
        <x:f>'Article Release'!K19</x:f>
        <x:v>OPEN</x:v>
      </x:c>
    </x:row>
    <x:row r="20">
      <x:c r="B20" s="7" t="str">
        <x:v>BANK-PEA-C-X2</x:v>
      </x:c>
      <x:c r="C20" s="7" t="str">
        <x:v>PEA-C-X2</x:v>
      </x:c>
      <x:c r="D20" s="13" t="str">
        <x:f>INDEX('Article Population'!C7:C24,MATCH(C20,'Article Population'!B7:B24,0))</x:f>
        <x:v>BLD-C</x:v>
      </x:c>
      <x:c r="E20" s="13" t="str">
        <x:f>INDEX('Article Population'!D7:D24,MATCH(C20,'Article Population'!B7:B24,0))</x:f>
        <x:v>BL-X</x:v>
      </x:c>
      <x:c r="F20" s="13" t="str">
        <x:f>INDEX('Article Population'!H7:H24,MATCH(C20,'Article Population'!B7:B24,0))</x:f>
        <x:v>FUNCTIONAL TWIN</x:v>
      </x:c>
      <x:c r="G20" s="13" t="str">
        <x:f>INDEX('Article Population'!I7:I24,MATCH(C20,'Article Population'!B7:B24,0))</x:f>
        <x:v>PTC-C-TWIN-X</x:v>
      </x:c>
      <x:c r="H20" s="7" t="str">
        <x:f>'Article Release'!K20</x:f>
        <x:v>OPEN</x:v>
      </x:c>
    </x:row>
    <x:row r="21">
      <x:c r="B21" s="7" t="str">
        <x:v>BANK-PEA-C-X3</x:v>
      </x:c>
      <x:c r="C21" s="7" t="str">
        <x:v>PEA-C-X3</x:v>
      </x:c>
      <x:c r="D21" s="13" t="str">
        <x:f>INDEX('Article Population'!C7:C24,MATCH(C21,'Article Population'!B7:B24,0))</x:f>
        <x:v>BLD-C</x:v>
      </x:c>
      <x:c r="E21" s="13" t="str">
        <x:f>INDEX('Article Population'!D7:D24,MATCH(C21,'Article Population'!B7:B24,0))</x:f>
        <x:v>BL-X</x:v>
      </x:c>
      <x:c r="F21" s="13" t="str">
        <x:f>INDEX('Article Population'!H7:H24,MATCH(C21,'Article Population'!B7:B24,0))</x:f>
        <x:v>DESTRUCTIVE</x:v>
      </x:c>
      <x:c r="G21" s="13" t="str">
        <x:f>INDEX('Article Population'!I7:I24,MATCH(C21,'Article Population'!B7:B24,0))</x:f>
        <x:v>PTC-C-DESTRUCTIVE</x:v>
      </x:c>
      <x:c r="H21" s="7" t="str">
        <x:f>'Article Release'!K21</x:f>
        <x:v>OPEN</x:v>
      </x:c>
    </x:row>
    <x:row r="22">
      <x:c r="B22" s="7" t="str">
        <x:v>BANK-PEA-C-Y1</x:v>
      </x:c>
      <x:c r="C22" s="7" t="str">
        <x:v>PEA-C-Y1</x:v>
      </x:c>
      <x:c r="D22" s="13" t="str">
        <x:f>INDEX('Article Population'!C7:C24,MATCH(C22,'Article Population'!B7:B24,0))</x:f>
        <x:v>BLD-C</x:v>
      </x:c>
      <x:c r="E22" s="13" t="str">
        <x:f>INDEX('Article Population'!D7:D24,MATCH(C22,'Article Population'!B7:B24,0))</x:f>
        <x:v>BL-Y</x:v>
      </x:c>
      <x:c r="F22" s="13" t="str">
        <x:f>INDEX('Article Population'!H7:H24,MATCH(C22,'Article Population'!B7:B24,0))</x:f>
        <x:v>OPERATIONAL</x:v>
      </x:c>
      <x:c r="G22" s="13" t="str">
        <x:f>INDEX('Article Population'!I7:I24,MATCH(C22,'Article Population'!B7:B24,0))</x:f>
        <x:v>RFP-C2</x:v>
      </x:c>
      <x:c r="H22" s="7" t="str">
        <x:f>'Article Release'!K22</x:f>
        <x:v>OPEN</x:v>
      </x:c>
    </x:row>
    <x:row r="23">
      <x:c r="B23" s="7" t="str">
        <x:v>BANK-PEA-C-Y2</x:v>
      </x:c>
      <x:c r="C23" s="7" t="str">
        <x:v>PEA-C-Y2</x:v>
      </x:c>
      <x:c r="D23" s="13" t="str">
        <x:f>INDEX('Article Population'!C7:C24,MATCH(C23,'Article Population'!B7:B24,0))</x:f>
        <x:v>BLD-C</x:v>
      </x:c>
      <x:c r="E23" s="13" t="str">
        <x:f>INDEX('Article Population'!D7:D24,MATCH(C23,'Article Population'!B7:B24,0))</x:f>
        <x:v>BL-Y</x:v>
      </x:c>
      <x:c r="F23" s="13" t="str">
        <x:f>INDEX('Article Population'!H7:H24,MATCH(C23,'Article Population'!B7:B24,0))</x:f>
        <x:v>FUNCTIONAL TWIN</x:v>
      </x:c>
      <x:c r="G23" s="13" t="str">
        <x:f>INDEX('Article Population'!I7:I24,MATCH(C23,'Article Population'!B7:B24,0))</x:f>
        <x:v>PTC-C-TWIN-Y</x:v>
      </x:c>
      <x:c r="H23" s="7" t="str">
        <x:f>'Article Release'!K23</x:f>
        <x:v>OPEN</x:v>
      </x:c>
    </x:row>
    <x:row r="24">
      <x:c r="B24" s="7" t="str">
        <x:v>BANK-PEA-C-Y3</x:v>
      </x:c>
      <x:c r="C24" s="7" t="str">
        <x:v>PEA-C-Y3</x:v>
      </x:c>
      <x:c r="D24" s="13" t="str">
        <x:f>INDEX('Article Population'!C7:C24,MATCH(C24,'Article Population'!B7:B24,0))</x:f>
        <x:v>BLD-C</x:v>
      </x:c>
      <x:c r="E24" s="13" t="str">
        <x:f>INDEX('Article Population'!D7:D24,MATCH(C24,'Article Population'!B7:B24,0))</x:f>
        <x:v>BL-Y</x:v>
      </x:c>
      <x:c r="F24" s="13" t="str">
        <x:f>INDEX('Article Population'!H7:H24,MATCH(C24,'Article Population'!B7:B24,0))</x:f>
        <x:v>CALIBRATION</x:v>
      </x:c>
      <x:c r="G24" s="13" t="str">
        <x:f>INDEX('Article Population'!I7:I24,MATCH(C24,'Article Population'!B7:B24,0))</x:f>
        <x:v>PTC-C-CALIBRATION</x:v>
      </x:c>
      <x:c r="H24" s="7" t="str">
        <x:f>'Article Release'!K24</x:f>
        <x:v>OPEN</x:v>
      </x:c>
    </x:row>
  </x:sheetData>
  <x:conditionalFormatting sqref="H7:H24">
    <x:cfRule type="containsText" dxfId="132" priority="1" operator="containsText" text="FAIL"/>
    <x:cfRule type="containsText" dxfId="133" priority="2" operator="containsText" text="BLOCKED"/>
    <x:cfRule type="containsText" dxfId="134" priority="3" operator="containsText" text="OPEN"/>
    <x:cfRule type="containsText" dxfId="135" priority="4" operator="containsText" text="DORMANT"/>
    <x:cfRule type="containsText" dxfId="136" priority="5" operator="containsText" text="REVIEW"/>
    <x:cfRule type="containsText" dxfId="137" priority="6" operator="containsText" text="PASS"/>
  </x:conditionalFormatting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37" hidden="0" customWidth="1"/>
    <x:col min="4" max="4" width="17" hidden="0" customWidth="1"/>
    <x:col min="5" max="5" width="19" hidden="0" customWidth="1"/>
    <x:col min="6" max="6" width="21" hidden="0" customWidth="1"/>
    <x:col min="7" max="7" width="14" hidden="0" customWidth="1"/>
  </x:cols>
  <x:sheetData>
    <x:row r="2">
      <x:c r="B2" s="1" t="str">
        <x:v>Twelve bank-constitution gates</x:v>
      </x:c>
    </x:row>
    <x:row r="3">
      <x:c r="B3" s="2" t="str">
        <x:v>The bank board may admit only the complete locked role matrix. It does not accept the future RAP-1 campaign.</x:v>
      </x:c>
    </x:row>
    <x:row r="6" ht="24" customHeight="1">
      <x:c r="B6" s="6" t="str">
        <x:v>Gate</x:v>
      </x:c>
      <x:c r="C6" s="6" t="str">
        <x:v>Subject</x:v>
      </x:c>
      <x:c r="D6" s="6" t="str">
        <x:v>Required</x:v>
      </x:c>
      <x:c r="E6" s="6" t="str">
        <x:v>Observed</x:v>
      </x:c>
      <x:c r="F6" s="6" t="str">
        <x:v>Board accepted UTC</x:v>
      </x:c>
      <x:c r="G6" s="6" t="str">
        <x:v>State</x:v>
      </x:c>
    </x:row>
    <x:row r="7">
      <x:c r="B7" s="7" t="str">
        <x:v>BG-01</x:v>
      </x:c>
      <x:c r="C7" s="7" t="str">
        <x:v>released articles</x:v>
      </x:c>
      <x:c r="D7" s="7" t="n">
        <x:v>18</x:v>
      </x:c>
      <x:c r="E7" s="7" t="n">
        <x:f>COUNTIFS('Bank Ledger'!H7:H24,"PASS")</x:f>
        <x:v>0</x:v>
      </x:c>
      <x:c r="F7" s="7" t="str"/>
      <x:c r="G7" s="7" t="str">
        <x:f>IF(F7="","OPEN",IF(E7=D7,"PASS","FAIL"))</x:f>
        <x:v>OPEN</x:v>
      </x:c>
    </x:row>
    <x:row r="8">
      <x:c r="B8" s="7" t="str">
        <x:v>BG-02</x:v>
      </x:c>
      <x:c r="C8" s="7" t="str">
        <x:v>released cells</x:v>
      </x:c>
      <x:c r="D8" s="7" t="n">
        <x:v>6</x:v>
      </x:c>
      <x:c r="E8" s="7" t="n">
        <x:f>COUNTIFS('Cell Release'!K7:K12,"PASS")</x:f>
        <x:v>0</x:v>
      </x:c>
      <x:c r="F8" s="7" t="str"/>
      <x:c r="G8" s="7" t="str">
        <x:f>IF(F8="","OPEN",IF(E8=D8,"PASS","FAIL"))</x:f>
        <x:v>OPEN</x:v>
      </x:c>
    </x:row>
    <x:row r="9">
      <x:c r="B9" s="7" t="str">
        <x:v>BG-03</x:v>
      </x:c>
      <x:c r="C9" s="7" t="str">
        <x:v>BL-X articles</x:v>
      </x:c>
      <x:c r="D9" s="7" t="n">
        <x:v>9</x:v>
      </x:c>
      <x:c r="E9" s="7" t="n">
        <x:f>COUNTIFS('Bank Ledger'!E7:E24,"BL-X")</x:f>
        <x:v>9</x:v>
      </x:c>
      <x:c r="F9" s="7" t="str"/>
      <x:c r="G9" s="7" t="str">
        <x:f>IF(F9="","OPEN",IF(E9=D9,"PASS","FAIL"))</x:f>
        <x:v>OPEN</x:v>
      </x:c>
    </x:row>
    <x:row r="10">
      <x:c r="B10" s="7" t="str">
        <x:v>BG-04</x:v>
      </x:c>
      <x:c r="C10" s="7" t="str">
        <x:v>BL-Y articles</x:v>
      </x:c>
      <x:c r="D10" s="7" t="n">
        <x:v>9</x:v>
      </x:c>
      <x:c r="E10" s="7" t="n">
        <x:f>COUNTIFS('Bank Ledger'!E7:E24,"BL-Y")</x:f>
        <x:v>9</x:v>
      </x:c>
      <x:c r="F10" s="7" t="str"/>
      <x:c r="G10" s="7" t="str">
        <x:f>IF(F10="","OPEN",IF(E10=D10,"PASS","FAIL"))</x:f>
        <x:v>OPEN</x:v>
      </x:c>
    </x:row>
    <x:row r="11">
      <x:c r="B11" s="7" t="str">
        <x:v>BG-05</x:v>
      </x:c>
      <x:c r="C11" s="7" t="str">
        <x:v>builder A articles</x:v>
      </x:c>
      <x:c r="D11" s="7" t="n">
        <x:v>6</x:v>
      </x:c>
      <x:c r="E11" s="7" t="n">
        <x:f>COUNTIFS('Bank Ledger'!D7:D24,"BLD-A")</x:f>
        <x:v>6</x:v>
      </x:c>
      <x:c r="F11" s="7" t="str"/>
      <x:c r="G11" s="7" t="str">
        <x:f>IF(F11="","OPEN",IF(E11=D11,"PASS","FAIL"))</x:f>
        <x:v>OPEN</x:v>
      </x:c>
    </x:row>
    <x:row r="12">
      <x:c r="B12" s="7" t="str">
        <x:v>BG-06</x:v>
      </x:c>
      <x:c r="C12" s="7" t="str">
        <x:v>builder B articles</x:v>
      </x:c>
      <x:c r="D12" s="7" t="n">
        <x:v>6</x:v>
      </x:c>
      <x:c r="E12" s="7" t="n">
        <x:f>COUNTIFS('Bank Ledger'!D7:D24,"BLD-B")</x:f>
        <x:v>6</x:v>
      </x:c>
      <x:c r="F12" s="7" t="str"/>
      <x:c r="G12" s="7" t="str">
        <x:f>IF(F12="","OPEN",IF(E12=D12,"PASS","FAIL"))</x:f>
        <x:v>OPEN</x:v>
      </x:c>
    </x:row>
    <x:row r="13">
      <x:c r="B13" s="7" t="str">
        <x:v>BG-07</x:v>
      </x:c>
      <x:c r="C13" s="7" t="str">
        <x:v>builder C articles</x:v>
      </x:c>
      <x:c r="D13" s="7" t="n">
        <x:v>6</x:v>
      </x:c>
      <x:c r="E13" s="7" t="n">
        <x:f>COUNTIFS('Bank Ledger'!D7:D24,"BLD-C")</x:f>
        <x:v>6</x:v>
      </x:c>
      <x:c r="F13" s="7" t="str"/>
      <x:c r="G13" s="7" t="str">
        <x:f>IF(F13="","OPEN",IF(E13=D13,"PASS","FAIL"))</x:f>
        <x:v>OPEN</x:v>
      </x:c>
    </x:row>
    <x:row r="14">
      <x:c r="B14" s="7" t="str">
        <x:v>BG-08</x:v>
      </x:c>
      <x:c r="C14" s="7" t="str">
        <x:v>operational roles</x:v>
      </x:c>
      <x:c r="D14" s="7" t="n">
        <x:v>6</x:v>
      </x:c>
      <x:c r="E14" s="7" t="n">
        <x:f>COUNTIFS('Bank Ledger'!F7:F24,"OPERATIONAL")</x:f>
        <x:v>6</x:v>
      </x:c>
      <x:c r="F14" s="7" t="str"/>
      <x:c r="G14" s="7" t="str">
        <x:f>IF(F14="","OPEN",IF(E14=D14,"PASS","FAIL"))</x:f>
        <x:v>OPEN</x:v>
      </x:c>
    </x:row>
    <x:row r="15">
      <x:c r="B15" s="7" t="str">
        <x:v>BG-09</x:v>
      </x:c>
      <x:c r="C15" s="7" t="str">
        <x:v>functional twin roles</x:v>
      </x:c>
      <x:c r="D15" s="7" t="n">
        <x:v>6</x:v>
      </x:c>
      <x:c r="E15" s="7" t="n">
        <x:f>COUNTIFS('Bank Ledger'!F7:F24,"FUNCTIONAL TWIN")</x:f>
        <x:v>6</x:v>
      </x:c>
      <x:c r="F15" s="7" t="str"/>
      <x:c r="G15" s="7" t="str">
        <x:f>IF(F15="","OPEN",IF(E15=D15,"PASS","FAIL"))</x:f>
        <x:v>OPEN</x:v>
      </x:c>
    </x:row>
    <x:row r="16">
      <x:c r="B16" s="7" t="str">
        <x:v>BG-10</x:v>
      </x:c>
      <x:c r="C16" s="7" t="str">
        <x:v>calibration roles</x:v>
      </x:c>
      <x:c r="D16" s="7" t="n">
        <x:v>3</x:v>
      </x:c>
      <x:c r="E16" s="7" t="n">
        <x:f>COUNTIFS('Bank Ledger'!F7:F24,"CALIBRATION")</x:f>
        <x:v>3</x:v>
      </x:c>
      <x:c r="F16" s="7" t="str"/>
      <x:c r="G16" s="7" t="str">
        <x:f>IF(F16="","OPEN",IF(E16=D16,"PASS","FAIL"))</x:f>
        <x:v>OPEN</x:v>
      </x:c>
    </x:row>
    <x:row r="17">
      <x:c r="B17" s="7" t="str">
        <x:v>BG-11</x:v>
      </x:c>
      <x:c r="C17" s="7" t="str">
        <x:v>destructive roles</x:v>
      </x:c>
      <x:c r="D17" s="7" t="n">
        <x:v>3</x:v>
      </x:c>
      <x:c r="E17" s="7" t="n">
        <x:f>COUNTIFS('Bank Ledger'!F7:F24,"DESTRUCTIVE")</x:f>
        <x:v>3</x:v>
      </x:c>
      <x:c r="F17" s="7" t="str"/>
      <x:c r="G17" s="7" t="str">
        <x:f>IF(F17="","OPEN",IF(E17=D17,"PASS","FAIL"))</x:f>
        <x:v>OPEN</x:v>
      </x:c>
    </x:row>
    <x:row r="18">
      <x:c r="B18" s="7" t="str">
        <x:v>BG-12</x:v>
      </x:c>
      <x:c r="C18" s="7" t="str">
        <x:v>lineage baseline releases</x:v>
      </x:c>
      <x:c r="D18" s="7" t="n">
        <x:v>2</x:v>
      </x:c>
      <x:c r="E18" s="7" t="n">
        <x:f>COUNTIFS('Baseline Package'!F7:F8,"PASS")</x:f>
        <x:v>0</x:v>
      </x:c>
      <x:c r="F18" s="7" t="str"/>
      <x:c r="G18" s="7" t="str">
        <x:f>IF(F18="","OPEN",IF(E18=D18,"PASS","FAIL"))</x:f>
        <x:v>OPEN</x:v>
      </x:c>
    </x:row>
  </x:sheetData>
  <x:conditionalFormatting sqref="G7:G18">
    <x:cfRule type="containsText" dxfId="138" priority="1" operator="containsText" text="FAIL"/>
    <x:cfRule type="containsText" dxfId="139" priority="2" operator="containsText" text="BLOCKED"/>
    <x:cfRule type="containsText" dxfId="140" priority="3" operator="containsText" text="OPEN"/>
    <x:cfRule type="containsText" dxfId="141" priority="4" operator="containsText" text="DORMANT"/>
    <x:cfRule type="containsText" dxfId="142" priority="5" operator="containsText" text="REVIEW"/>
    <x:cfRule type="containsText" dxfId="143" priority="6" operator="containsText" text="PASS"/>
  </x:conditionalFormatting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8" hidden="0" customWidth="1"/>
    <x:col min="3" max="3" width="23" hidden="0" customWidth="1"/>
    <x:col min="4" max="4" width="14" hidden="0" customWidth="1"/>
    <x:col min="5" max="5" width="13" hidden="0" customWidth="1"/>
    <x:col min="6" max="6" width="21" hidden="0" customWidth="1"/>
    <x:col min="7" max="7" width="27" hidden="0" customWidth="1"/>
    <x:col min="8" max="8" width="19" hidden="0" customWidth="1"/>
    <x:col min="9" max="9" width="20" hidden="0" customWidth="1"/>
    <x:col min="10" max="10" width="21" hidden="0" customWidth="1"/>
    <x:col min="11" max="11" width="14" hidden="0" customWidth="1"/>
  </x:cols>
  <x:sheetData>
    <x:row r="2">
      <x:c r="B2" s="1" t="str">
        <x:v>Eighteen reserved replenishment authorizations</x:v>
      </x:c>
    </x:row>
    <x:row r="3">
      <x:c r="B3" s="2" t="str">
        <x:v>A failed or missing article cannot be replaced by reassignment. A new lot retains the failed result in every denominator.</x:v>
      </x:c>
    </x:row>
    <x:row r="6" ht="24" customHeight="1">
      <x:c r="B6" s="6" t="str">
        <x:v>Authorization</x:v>
      </x:c>
      <x:c r="C6" s="6" t="str">
        <x:v>Bank position</x:v>
      </x:c>
      <x:c r="D6" s="6" t="str">
        <x:v>Builder</x:v>
      </x:c>
      <x:c r="E6" s="6" t="str">
        <x:v>Lineage</x:v>
      </x:c>
      <x:c r="F6" s="6" t="str">
        <x:v>Role</x:v>
      </x:c>
      <x:c r="G6" s="6" t="str">
        <x:v>Trigger record</x:v>
      </x:c>
      <x:c r="H6" s="6" t="str">
        <x:v>New lot</x:v>
      </x:c>
      <x:c r="I6" s="6" t="str">
        <x:v>New article</x:v>
      </x:c>
      <x:c r="J6" s="6" t="str">
        <x:v>Accepted UTC</x:v>
      </x:c>
      <x:c r="K6" s="6" t="str">
        <x:v>State</x:v>
      </x:c>
    </x:row>
    <x:row r="7">
      <x:c r="B7" s="7" t="str">
        <x:v>REP-01</x:v>
      </x:c>
      <x:c r="C7" s="7" t="str">
        <x:v>BANK-PEA-A-X1</x:v>
      </x:c>
      <x:c r="D7" s="7" t="str">
        <x:v>BLD-A</x:v>
      </x:c>
      <x:c r="E7" s="7" t="str">
        <x:v>BL-X</x:v>
      </x:c>
      <x:c r="F7" s="7" t="str">
        <x:v>OPERATIONAL</x:v>
      </x:c>
      <x:c r="G7" s="7" t="str"/>
      <x:c r="H7" s="7" t="str"/>
      <x:c r="I7" s="7" t="str"/>
      <x:c r="J7" s="7" t="str"/>
      <x:c r="K7" s="7" t="str">
        <x:f>IF(G7="","DORMANT",IF(J7="","OPEN",IF(OR(H7="",I7=""),"FAIL","PASS")))</x:f>
        <x:v>DORMANT</x:v>
      </x:c>
    </x:row>
    <x:row r="8">
      <x:c r="B8" s="7" t="str">
        <x:v>REP-02</x:v>
      </x:c>
      <x:c r="C8" s="7" t="str">
        <x:v>BANK-PEA-A-X2</x:v>
      </x:c>
      <x:c r="D8" s="7" t="str">
        <x:v>BLD-A</x:v>
      </x:c>
      <x:c r="E8" s="7" t="str">
        <x:v>BL-X</x:v>
      </x:c>
      <x:c r="F8" s="7" t="str">
        <x:v>FUNCTIONAL TWIN</x:v>
      </x:c>
      <x:c r="G8" s="7" t="str"/>
      <x:c r="H8" s="7" t="str"/>
      <x:c r="I8" s="7" t="str"/>
      <x:c r="J8" s="7" t="str"/>
      <x:c r="K8" s="7" t="str">
        <x:f>IF(G8="","DORMANT",IF(J8="","OPEN",IF(OR(H8="",I8=""),"FAIL","PASS")))</x:f>
        <x:v>DORMANT</x:v>
      </x:c>
    </x:row>
    <x:row r="9">
      <x:c r="B9" s="7" t="str">
        <x:v>REP-03</x:v>
      </x:c>
      <x:c r="C9" s="7" t="str">
        <x:v>BANK-PEA-A-X3</x:v>
      </x:c>
      <x:c r="D9" s="7" t="str">
        <x:v>BLD-A</x:v>
      </x:c>
      <x:c r="E9" s="7" t="str">
        <x:v>BL-X</x:v>
      </x:c>
      <x:c r="F9" s="7" t="str">
        <x:v>CALIBRATION</x:v>
      </x:c>
      <x:c r="G9" s="7" t="str"/>
      <x:c r="H9" s="7" t="str"/>
      <x:c r="I9" s="7" t="str"/>
      <x:c r="J9" s="7" t="str"/>
      <x:c r="K9" s="7" t="str">
        <x:f>IF(G9="","DORMANT",IF(J9="","OPEN",IF(OR(H9="",I9=""),"FAIL","PASS")))</x:f>
        <x:v>DORMANT</x:v>
      </x:c>
    </x:row>
    <x:row r="10">
      <x:c r="B10" s="7" t="str">
        <x:v>REP-04</x:v>
      </x:c>
      <x:c r="C10" s="7" t="str">
        <x:v>BANK-PEA-A-Y1</x:v>
      </x:c>
      <x:c r="D10" s="7" t="str">
        <x:v>BLD-A</x:v>
      </x:c>
      <x:c r="E10" s="7" t="str">
        <x:v>BL-Y</x:v>
      </x:c>
      <x:c r="F10" s="7" t="str">
        <x:v>OPERATIONAL</x:v>
      </x:c>
      <x:c r="G10" s="7" t="str"/>
      <x:c r="H10" s="7" t="str"/>
      <x:c r="I10" s="7" t="str"/>
      <x:c r="J10" s="7" t="str"/>
      <x:c r="K10" s="7" t="str">
        <x:f>IF(G10="","DORMANT",IF(J10="","OPEN",IF(OR(H10="",I10=""),"FAIL","PASS")))</x:f>
        <x:v>DORMANT</x:v>
      </x:c>
    </x:row>
    <x:row r="11">
      <x:c r="B11" s="7" t="str">
        <x:v>REP-05</x:v>
      </x:c>
      <x:c r="C11" s="7" t="str">
        <x:v>BANK-PEA-A-Y2</x:v>
      </x:c>
      <x:c r="D11" s="7" t="str">
        <x:v>BLD-A</x:v>
      </x:c>
      <x:c r="E11" s="7" t="str">
        <x:v>BL-Y</x:v>
      </x:c>
      <x:c r="F11" s="7" t="str">
        <x:v>FUNCTIONAL TWIN</x:v>
      </x:c>
      <x:c r="G11" s="7" t="str"/>
      <x:c r="H11" s="7" t="str"/>
      <x:c r="I11" s="7" t="str"/>
      <x:c r="J11" s="7" t="str"/>
      <x:c r="K11" s="7" t="str">
        <x:f>IF(G11="","DORMANT",IF(J11="","OPEN",IF(OR(H11="",I11=""),"FAIL","PASS")))</x:f>
        <x:v>DORMANT</x:v>
      </x:c>
    </x:row>
    <x:row r="12">
      <x:c r="B12" s="7" t="str">
        <x:v>REP-06</x:v>
      </x:c>
      <x:c r="C12" s="7" t="str">
        <x:v>BANK-PEA-A-Y3</x:v>
      </x:c>
      <x:c r="D12" s="7" t="str">
        <x:v>BLD-A</x:v>
      </x:c>
      <x:c r="E12" s="7" t="str">
        <x:v>BL-Y</x:v>
      </x:c>
      <x:c r="F12" s="7" t="str">
        <x:v>DESTRUCTIVE</x:v>
      </x:c>
      <x:c r="G12" s="7" t="str"/>
      <x:c r="H12" s="7" t="str"/>
      <x:c r="I12" s="7" t="str"/>
      <x:c r="J12" s="7" t="str"/>
      <x:c r="K12" s="7" t="str">
        <x:f>IF(G12="","DORMANT",IF(J12="","OPEN",IF(OR(H12="",I12=""),"FAIL","PASS")))</x:f>
        <x:v>DORMANT</x:v>
      </x:c>
    </x:row>
    <x:row r="13">
      <x:c r="B13" s="7" t="str">
        <x:v>REP-07</x:v>
      </x:c>
      <x:c r="C13" s="7" t="str">
        <x:v>BANK-PEA-B-X1</x:v>
      </x:c>
      <x:c r="D13" s="7" t="str">
        <x:v>BLD-B</x:v>
      </x:c>
      <x:c r="E13" s="7" t="str">
        <x:v>BL-X</x:v>
      </x:c>
      <x:c r="F13" s="7" t="str">
        <x:v>OPERATIONAL</x:v>
      </x:c>
      <x:c r="G13" s="7" t="str"/>
      <x:c r="H13" s="7" t="str"/>
      <x:c r="I13" s="7" t="str"/>
      <x:c r="J13" s="7" t="str"/>
      <x:c r="K13" s="7" t="str">
        <x:f>IF(G13="","DORMANT",IF(J13="","OPEN",IF(OR(H13="",I13=""),"FAIL","PASS")))</x:f>
        <x:v>DORMANT</x:v>
      </x:c>
    </x:row>
    <x:row r="14">
      <x:c r="B14" s="7" t="str">
        <x:v>REP-08</x:v>
      </x:c>
      <x:c r="C14" s="7" t="str">
        <x:v>BANK-PEA-B-X2</x:v>
      </x:c>
      <x:c r="D14" s="7" t="str">
        <x:v>BLD-B</x:v>
      </x:c>
      <x:c r="E14" s="7" t="str">
        <x:v>BL-X</x:v>
      </x:c>
      <x:c r="F14" s="7" t="str">
        <x:v>FUNCTIONAL TWIN</x:v>
      </x:c>
      <x:c r="G14" s="7" t="str"/>
      <x:c r="H14" s="7" t="str"/>
      <x:c r="I14" s="7" t="str"/>
      <x:c r="J14" s="7" t="str"/>
      <x:c r="K14" s="7" t="str">
        <x:f>IF(G14="","DORMANT",IF(J14="","OPEN",IF(OR(H14="",I14=""),"FAIL","PASS")))</x:f>
        <x:v>DORMANT</x:v>
      </x:c>
    </x:row>
    <x:row r="15">
      <x:c r="B15" s="7" t="str">
        <x:v>REP-09</x:v>
      </x:c>
      <x:c r="C15" s="7" t="str">
        <x:v>BANK-PEA-B-X3</x:v>
      </x:c>
      <x:c r="D15" s="7" t="str">
        <x:v>BLD-B</x:v>
      </x:c>
      <x:c r="E15" s="7" t="str">
        <x:v>BL-X</x:v>
      </x:c>
      <x:c r="F15" s="7" t="str">
        <x:v>CALIBRATION</x:v>
      </x:c>
      <x:c r="G15" s="7" t="str"/>
      <x:c r="H15" s="7" t="str"/>
      <x:c r="I15" s="7" t="str"/>
      <x:c r="J15" s="7" t="str"/>
      <x:c r="K15" s="7" t="str">
        <x:f>IF(G15="","DORMANT",IF(J15="","OPEN",IF(OR(H15="",I15=""),"FAIL","PASS")))</x:f>
        <x:v>DORMANT</x:v>
      </x:c>
    </x:row>
    <x:row r="16">
      <x:c r="B16" s="7" t="str">
        <x:v>REP-10</x:v>
      </x:c>
      <x:c r="C16" s="7" t="str">
        <x:v>BANK-PEA-B-Y1</x:v>
      </x:c>
      <x:c r="D16" s="7" t="str">
        <x:v>BLD-B</x:v>
      </x:c>
      <x:c r="E16" s="7" t="str">
        <x:v>BL-Y</x:v>
      </x:c>
      <x:c r="F16" s="7" t="str">
        <x:v>OPERATIONAL</x:v>
      </x:c>
      <x:c r="G16" s="7" t="str"/>
      <x:c r="H16" s="7" t="str"/>
      <x:c r="I16" s="7" t="str"/>
      <x:c r="J16" s="7" t="str"/>
      <x:c r="K16" s="7" t="str">
        <x:f>IF(G16="","DORMANT",IF(J16="","OPEN",IF(OR(H16="",I16=""),"FAIL","PASS")))</x:f>
        <x:v>DORMANT</x:v>
      </x:c>
    </x:row>
    <x:row r="17">
      <x:c r="B17" s="7" t="str">
        <x:v>REP-11</x:v>
      </x:c>
      <x:c r="C17" s="7" t="str">
        <x:v>BANK-PEA-B-Y2</x:v>
      </x:c>
      <x:c r="D17" s="7" t="str">
        <x:v>BLD-B</x:v>
      </x:c>
      <x:c r="E17" s="7" t="str">
        <x:v>BL-Y</x:v>
      </x:c>
      <x:c r="F17" s="7" t="str">
        <x:v>FUNCTIONAL TWIN</x:v>
      </x:c>
      <x:c r="G17" s="7" t="str"/>
      <x:c r="H17" s="7" t="str"/>
      <x:c r="I17" s="7" t="str"/>
      <x:c r="J17" s="7" t="str"/>
      <x:c r="K17" s="7" t="str">
        <x:f>IF(G17="","DORMANT",IF(J17="","OPEN",IF(OR(H17="",I17=""),"FAIL","PASS")))</x:f>
        <x:v>DORMANT</x:v>
      </x:c>
    </x:row>
    <x:row r="18">
      <x:c r="B18" s="7" t="str">
        <x:v>REP-12</x:v>
      </x:c>
      <x:c r="C18" s="7" t="str">
        <x:v>BANK-PEA-B-Y3</x:v>
      </x:c>
      <x:c r="D18" s="7" t="str">
        <x:v>BLD-B</x:v>
      </x:c>
      <x:c r="E18" s="7" t="str">
        <x:v>BL-Y</x:v>
      </x:c>
      <x:c r="F18" s="7" t="str">
        <x:v>DESTRUCTIVE</x:v>
      </x:c>
      <x:c r="G18" s="7" t="str"/>
      <x:c r="H18" s="7" t="str"/>
      <x:c r="I18" s="7" t="str"/>
      <x:c r="J18" s="7" t="str"/>
      <x:c r="K18" s="7" t="str">
        <x:f>IF(G18="","DORMANT",IF(J18="","OPEN",IF(OR(H18="",I18=""),"FAIL","PASS")))</x:f>
        <x:v>DORMANT</x:v>
      </x:c>
    </x:row>
    <x:row r="19">
      <x:c r="B19" s="7" t="str">
        <x:v>REP-13</x:v>
      </x:c>
      <x:c r="C19" s="7" t="str">
        <x:v>BANK-PEA-C-X1</x:v>
      </x:c>
      <x:c r="D19" s="7" t="str">
        <x:v>BLD-C</x:v>
      </x:c>
      <x:c r="E19" s="7" t="str">
        <x:v>BL-X</x:v>
      </x:c>
      <x:c r="F19" s="7" t="str">
        <x:v>OPERATIONAL</x:v>
      </x:c>
      <x:c r="G19" s="7" t="str"/>
      <x:c r="H19" s="7" t="str"/>
      <x:c r="I19" s="7" t="str"/>
      <x:c r="J19" s="7" t="str"/>
      <x:c r="K19" s="7" t="str">
        <x:f>IF(G19="","DORMANT",IF(J19="","OPEN",IF(OR(H19="",I19=""),"FAIL","PASS")))</x:f>
        <x:v>DORMANT</x:v>
      </x:c>
    </x:row>
    <x:row r="20">
      <x:c r="B20" s="7" t="str">
        <x:v>REP-14</x:v>
      </x:c>
      <x:c r="C20" s="7" t="str">
        <x:v>BANK-PEA-C-X2</x:v>
      </x:c>
      <x:c r="D20" s="7" t="str">
        <x:v>BLD-C</x:v>
      </x:c>
      <x:c r="E20" s="7" t="str">
        <x:v>BL-X</x:v>
      </x:c>
      <x:c r="F20" s="7" t="str">
        <x:v>FUNCTIONAL TWIN</x:v>
      </x:c>
      <x:c r="G20" s="7" t="str"/>
      <x:c r="H20" s="7" t="str"/>
      <x:c r="I20" s="7" t="str"/>
      <x:c r="J20" s="7" t="str"/>
      <x:c r="K20" s="7" t="str">
        <x:f>IF(G20="","DORMANT",IF(J20="","OPEN",IF(OR(H20="",I20=""),"FAIL","PASS")))</x:f>
        <x:v>DORMANT</x:v>
      </x:c>
    </x:row>
    <x:row r="21">
      <x:c r="B21" s="7" t="str">
        <x:v>REP-15</x:v>
      </x:c>
      <x:c r="C21" s="7" t="str">
        <x:v>BANK-PEA-C-X3</x:v>
      </x:c>
      <x:c r="D21" s="7" t="str">
        <x:v>BLD-C</x:v>
      </x:c>
      <x:c r="E21" s="7" t="str">
        <x:v>BL-X</x:v>
      </x:c>
      <x:c r="F21" s="7" t="str">
        <x:v>DESTRUCTIVE</x:v>
      </x:c>
      <x:c r="G21" s="7" t="str"/>
      <x:c r="H21" s="7" t="str"/>
      <x:c r="I21" s="7" t="str"/>
      <x:c r="J21" s="7" t="str"/>
      <x:c r="K21" s="7" t="str">
        <x:f>IF(G21="","DORMANT",IF(J21="","OPEN",IF(OR(H21="",I21=""),"FAIL","PASS")))</x:f>
        <x:v>DORMANT</x:v>
      </x:c>
    </x:row>
    <x:row r="22">
      <x:c r="B22" s="7" t="str">
        <x:v>REP-16</x:v>
      </x:c>
      <x:c r="C22" s="7" t="str">
        <x:v>BANK-PEA-C-Y1</x:v>
      </x:c>
      <x:c r="D22" s="7" t="str">
        <x:v>BLD-C</x:v>
      </x:c>
      <x:c r="E22" s="7" t="str">
        <x:v>BL-Y</x:v>
      </x:c>
      <x:c r="F22" s="7" t="str">
        <x:v>OPERATIONAL</x:v>
      </x:c>
      <x:c r="G22" s="7" t="str"/>
      <x:c r="H22" s="7" t="str"/>
      <x:c r="I22" s="7" t="str"/>
      <x:c r="J22" s="7" t="str"/>
      <x:c r="K22" s="7" t="str">
        <x:f>IF(G22="","DORMANT",IF(J22="","OPEN",IF(OR(H22="",I22=""),"FAIL","PASS")))</x:f>
        <x:v>DORMANT</x:v>
      </x:c>
    </x:row>
    <x:row r="23">
      <x:c r="B23" s="7" t="str">
        <x:v>REP-17</x:v>
      </x:c>
      <x:c r="C23" s="7" t="str">
        <x:v>BANK-PEA-C-Y2</x:v>
      </x:c>
      <x:c r="D23" s="7" t="str">
        <x:v>BLD-C</x:v>
      </x:c>
      <x:c r="E23" s="7" t="str">
        <x:v>BL-Y</x:v>
      </x:c>
      <x:c r="F23" s="7" t="str">
        <x:v>FUNCTIONAL TWIN</x:v>
      </x:c>
      <x:c r="G23" s="7" t="str"/>
      <x:c r="H23" s="7" t="str"/>
      <x:c r="I23" s="7" t="str"/>
      <x:c r="J23" s="7" t="str"/>
      <x:c r="K23" s="7" t="str">
        <x:f>IF(G23="","DORMANT",IF(J23="","OPEN",IF(OR(H23="",I23=""),"FAIL","PASS")))</x:f>
        <x:v>DORMANT</x:v>
      </x:c>
    </x:row>
    <x:row r="24">
      <x:c r="B24" s="7" t="str">
        <x:v>REP-18</x:v>
      </x:c>
      <x:c r="C24" s="7" t="str">
        <x:v>BANK-PEA-C-Y3</x:v>
      </x:c>
      <x:c r="D24" s="7" t="str">
        <x:v>BLD-C</x:v>
      </x:c>
      <x:c r="E24" s="7" t="str">
        <x:v>BL-Y</x:v>
      </x:c>
      <x:c r="F24" s="7" t="str">
        <x:v>CALIBRATION</x:v>
      </x:c>
      <x:c r="G24" s="7" t="str"/>
      <x:c r="H24" s="7" t="str"/>
      <x:c r="I24" s="7" t="str"/>
      <x:c r="J24" s="7" t="str"/>
      <x:c r="K24" s="7" t="str">
        <x:f>IF(G24="","DORMANT",IF(J24="","OPEN",IF(OR(H24="",I24=""),"FAIL","PASS")))</x:f>
        <x:v>DORMANT</x:v>
      </x:c>
    </x:row>
  </x:sheetData>
  <x:conditionalFormatting sqref="K7:K24">
    <x:cfRule type="containsText" dxfId="144" priority="1" operator="containsText" text="FAIL"/>
    <x:cfRule type="containsText" dxfId="145" priority="2" operator="containsText" text="BLOCKED"/>
    <x:cfRule type="containsText" dxfId="146" priority="3" operator="containsText" text="OPEN"/>
    <x:cfRule type="containsText" dxfId="147" priority="4" operator="containsText" text="DORMANT"/>
    <x:cfRule type="containsText" dxfId="148" priority="5" operator="containsText" text="REVIEW"/>
    <x:cfRule type="containsText" dxfId="149" priority="6" operator="containsText" text="PASS"/>
  </x:conditionalFormatting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29" hidden="0" customWidth="1"/>
    <x:col min="4" max="4" width="25" hidden="0" customWidth="1"/>
    <x:col min="5" max="5" width="19" hidden="0" customWidth="1"/>
    <x:col min="6" max="6" width="17" hidden="0" customWidth="1"/>
    <x:col min="7" max="7" width="35" hidden="0" customWidth="1"/>
    <x:col min="8" max="8" width="21" hidden="0" customWidth="1"/>
    <x:col min="9" max="9" width="14" hidden="0" customWidth="1"/>
  </x:cols>
  <x:sheetData>
    <x:row r="2">
      <x:c r="B2" s="1" t="str">
        <x:v>Twelve configuration-change classes</x:v>
      </x:c>
    </x:row>
    <x:row r="3">
      <x:c r="B3" s="2" t="str">
        <x:v>A material change creates a branch. Critical changes require affected lineage reproduction before pooling resumes.</x:v>
      </x:c>
    </x:row>
    <x:row r="6" ht="24" customHeight="1">
      <x:c r="B6" s="6" t="str">
        <x:v>Class</x:v>
      </x:c>
      <x:c r="C6" s="6" t="str">
        <x:v>Object</x:v>
      </x:c>
      <x:c r="D6" s="6" t="str">
        <x:v>Change identity</x:v>
      </x:c>
      <x:c r="E6" s="6" t="str">
        <x:v>Affected lineage</x:v>
      </x:c>
      <x:c r="F6" s="6" t="str">
        <x:v>Critical flag</x:v>
      </x:c>
      <x:c r="G6" s="6" t="str">
        <x:v>Required reproduction</x:v>
      </x:c>
      <x:c r="H6" s="6" t="str">
        <x:v>Closed UTC</x:v>
      </x:c>
      <x:c r="I6" s="6" t="str">
        <x:v>State</x:v>
      </x:c>
    </x:row>
    <x:row r="7">
      <x:c r="B7" s="7" t="str">
        <x:v>CC-01</x:v>
      </x:c>
      <x:c r="C7" s="7" t="str">
        <x:v>public interface</x:v>
      </x:c>
      <x:c r="D7" s="7" t="str"/>
      <x:c r="E7" s="7" t="str"/>
      <x:c r="F7" s="7" t="str"/>
      <x:c r="G7" s="7" t="str"/>
      <x:c r="H7" s="7" t="str"/>
      <x:c r="I7" s="7" t="str">
        <x:f>IF(D7="","DORMANT",IF(H7="","OPEN",IF(OR(E7="",AND(F7=1,G7="")),"FAIL","PASS")))</x:f>
        <x:v>DORMANT</x:v>
      </x:c>
    </x:row>
    <x:row r="8">
      <x:c r="B8" s="7" t="str">
        <x:v>CC-02</x:v>
      </x:c>
      <x:c r="C8" s="7" t="str">
        <x:v>lineage geometry</x:v>
      </x:c>
      <x:c r="D8" s="7" t="str"/>
      <x:c r="E8" s="7" t="str"/>
      <x:c r="F8" s="7" t="str"/>
      <x:c r="G8" s="7" t="str"/>
      <x:c r="H8" s="7" t="str"/>
      <x:c r="I8" s="7" t="str">
        <x:f>IF(D8="","DORMANT",IF(H8="","OPEN",IF(OR(E8="",AND(F8=1,G8="")),"FAIL","PASS")))</x:f>
        <x:v>DORMANT</x:v>
      </x:c>
    </x:row>
    <x:row r="9">
      <x:c r="B9" s="7" t="str">
        <x:v>CC-03</x:v>
      </x:c>
      <x:c r="C9" s="7" t="str">
        <x:v>material specification</x:v>
      </x:c>
      <x:c r="D9" s="7" t="str"/>
      <x:c r="E9" s="7" t="str"/>
      <x:c r="F9" s="7" t="str"/>
      <x:c r="G9" s="7" t="str"/>
      <x:c r="H9" s="7" t="str"/>
      <x:c r="I9" s="7" t="str">
        <x:f>IF(D9="","DORMANT",IF(H9="","OPEN",IF(OR(E9="",AND(F9=1,G9="")),"FAIL","PASS")))</x:f>
        <x:v>DORMANT</x:v>
      </x:c>
    </x:row>
    <x:row r="10">
      <x:c r="B10" s="7" t="str">
        <x:v>CC-04</x:v>
      </x:c>
      <x:c r="C10" s="7" t="str">
        <x:v>process window</x:v>
      </x:c>
      <x:c r="D10" s="7" t="str"/>
      <x:c r="E10" s="7" t="str"/>
      <x:c r="F10" s="7" t="str"/>
      <x:c r="G10" s="7" t="str"/>
      <x:c r="H10" s="7" t="str"/>
      <x:c r="I10" s="7" t="str">
        <x:f>IF(D10="","DORMANT",IF(H10="","OPEN",IF(OR(E10="",AND(F10=1,G10="")),"FAIL","PASS")))</x:f>
        <x:v>DORMANT</x:v>
      </x:c>
    </x:row>
    <x:row r="11">
      <x:c r="B11" s="7" t="str">
        <x:v>CC-05</x:v>
      </x:c>
      <x:c r="C11" s="7" t="str">
        <x:v>joint mechanism</x:v>
      </x:c>
      <x:c r="D11" s="7" t="str"/>
      <x:c r="E11" s="7" t="str"/>
      <x:c r="F11" s="7" t="str"/>
      <x:c r="G11" s="7" t="str"/>
      <x:c r="H11" s="7" t="str"/>
      <x:c r="I11" s="7" t="str">
        <x:f>IF(D11="","DORMANT",IF(H11="","OPEN",IF(OR(E11="",AND(F11=1,G11="")),"FAIL","PASS")))</x:f>
        <x:v>DORMANT</x:v>
      </x:c>
    </x:row>
    <x:row r="12">
      <x:c r="B12" s="7" t="str">
        <x:v>CC-06</x:v>
      </x:c>
      <x:c r="C12" s="7" t="str">
        <x:v>safeing mechanism</x:v>
      </x:c>
      <x:c r="D12" s="7" t="str"/>
      <x:c r="E12" s="7" t="str"/>
      <x:c r="F12" s="7" t="str"/>
      <x:c r="G12" s="7" t="str"/>
      <x:c r="H12" s="7" t="str"/>
      <x:c r="I12" s="7" t="str">
        <x:f>IF(D12="","DORMANT",IF(H12="","OPEN",IF(OR(E12="",AND(F12=1,G12="")),"FAIL","PASS")))</x:f>
        <x:v>DORMANT</x:v>
      </x:c>
    </x:row>
    <x:row r="13">
      <x:c r="B13" s="7" t="str">
        <x:v>CC-07</x:v>
      </x:c>
      <x:c r="C13" s="7" t="str">
        <x:v>instrument mount</x:v>
      </x:c>
      <x:c r="D13" s="7" t="str"/>
      <x:c r="E13" s="7" t="str"/>
      <x:c r="F13" s="7" t="str"/>
      <x:c r="G13" s="7" t="str"/>
      <x:c r="H13" s="7" t="str"/>
      <x:c r="I13" s="7" t="str">
        <x:f>IF(D13="","DORMANT",IF(H13="","OPEN",IF(OR(E13="",AND(F13=1,G13="")),"FAIL","PASS")))</x:f>
        <x:v>DORMANT</x:v>
      </x:c>
    </x:row>
    <x:row r="14">
      <x:c r="B14" s="7" t="str">
        <x:v>CC-08</x:v>
      </x:c>
      <x:c r="C14" s="7" t="str">
        <x:v>calibration method</x:v>
      </x:c>
      <x:c r="D14" s="7" t="str"/>
      <x:c r="E14" s="7" t="str"/>
      <x:c r="F14" s="7" t="str"/>
      <x:c r="G14" s="7" t="str"/>
      <x:c r="H14" s="7" t="str"/>
      <x:c r="I14" s="7" t="str">
        <x:f>IF(D14="","DORMANT",IF(H14="","OPEN",IF(OR(E14="",AND(F14=1,G14="")),"FAIL","PASS")))</x:f>
        <x:v>DORMANT</x:v>
      </x:c>
    </x:row>
    <x:row r="15">
      <x:c r="B15" s="7" t="str">
        <x:v>CC-09</x:v>
      </x:c>
      <x:c r="C15" s="7" t="str">
        <x:v>software or firmware</x:v>
      </x:c>
      <x:c r="D15" s="7" t="str"/>
      <x:c r="E15" s="7" t="str"/>
      <x:c r="F15" s="7" t="str"/>
      <x:c r="G15" s="7" t="str"/>
      <x:c r="H15" s="7" t="str"/>
      <x:c r="I15" s="7" t="str">
        <x:f>IF(D15="","DORMANT",IF(H15="","OPEN",IF(OR(E15="",AND(F15=1,G15="")),"FAIL","PASS")))</x:f>
        <x:v>DORMANT</x:v>
      </x:c>
    </x:row>
    <x:row r="16">
      <x:c r="B16" s="7" t="str">
        <x:v>CC-10</x:v>
      </x:c>
      <x:c r="C16" s="7" t="str">
        <x:v>evidence schema</x:v>
      </x:c>
      <x:c r="D16" s="7" t="str"/>
      <x:c r="E16" s="7" t="str"/>
      <x:c r="F16" s="7" t="str"/>
      <x:c r="G16" s="7" t="str"/>
      <x:c r="H16" s="7" t="str"/>
      <x:c r="I16" s="7" t="str">
        <x:f>IF(D16="","DORMANT",IF(H16="","OPEN",IF(OR(E16="",AND(F16=1,G16="")),"FAIL","PASS")))</x:f>
        <x:v>DORMANT</x:v>
      </x:c>
    </x:row>
    <x:row r="17">
      <x:c r="B17" s="7" t="str">
        <x:v>CC-11</x:v>
      </x:c>
      <x:c r="C17" s="7" t="str">
        <x:v>production tool</x:v>
      </x:c>
      <x:c r="D17" s="7" t="str"/>
      <x:c r="E17" s="7" t="str"/>
      <x:c r="F17" s="7" t="str"/>
      <x:c r="G17" s="7" t="str"/>
      <x:c r="H17" s="7" t="str"/>
      <x:c r="I17" s="7" t="str">
        <x:f>IF(D17="","DORMANT",IF(H17="","OPEN",IF(OR(E17="",AND(F17=1,G17="")),"FAIL","PASS")))</x:f>
        <x:v>DORMANT</x:v>
      </x:c>
    </x:row>
    <x:row r="18">
      <x:c r="B18" s="7" t="str">
        <x:v>CC-12</x:v>
      </x:c>
      <x:c r="C18" s="7" t="str">
        <x:v>supplier or parent lot</x:v>
      </x:c>
      <x:c r="D18" s="7" t="str"/>
      <x:c r="E18" s="7" t="str"/>
      <x:c r="F18" s="7" t="str"/>
      <x:c r="G18" s="7" t="str"/>
      <x:c r="H18" s="7" t="str"/>
      <x:c r="I18" s="7" t="str">
        <x:f>IF(D18="","DORMANT",IF(H18="","OPEN",IF(OR(E18="",AND(F18=1,G18="")),"FAIL","PASS")))</x:f>
        <x:v>DORMANT</x:v>
      </x:c>
    </x:row>
  </x:sheetData>
  <x:conditionalFormatting sqref="I7:I18">
    <x:cfRule type="containsText" dxfId="150" priority="1" operator="containsText" text="FAIL"/>
    <x:cfRule type="containsText" dxfId="151" priority="2" operator="containsText" text="BLOCKED"/>
    <x:cfRule type="containsText" dxfId="152" priority="3" operator="containsText" text="OPEN"/>
    <x:cfRule type="containsText" dxfId="153" priority="4" operator="containsText" text="DORMANT"/>
    <x:cfRule type="containsText" dxfId="154" priority="5" operator="containsText" text="REVIEW"/>
    <x:cfRule type="containsText" dxfId="155" priority="6" operator="containsText" text="PASS"/>
  </x:conditionalFormatting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49" hidden="0" customWidth="1"/>
    <x:col min="4" max="4" width="17" hidden="0" customWidth="1"/>
    <x:col min="5" max="5" width="23" hidden="0" customWidth="1"/>
    <x:col min="6" max="6" width="54" hidden="0" customWidth="1"/>
  </x:cols>
  <x:sheetData>
    <x:row r="2">
      <x:c r="B2" s="1" t="str">
        <x:v>Exact one-sided zero-event screens</x:v>
      </x:c>
    </x:row>
    <x:row r="3">
      <x:c r="B3" s="2" t="str">
        <x:v>Counts below the article level do not become independent article reliability observations. Cluster structure remains visible.</x:v>
      </x:c>
    </x:row>
    <x:row r="6" ht="24" customHeight="1">
      <x:c r="B6" s="6" t="str">
        <x:v>Bound</x:v>
      </x:c>
      <x:c r="C6" s="6" t="str">
        <x:v>Question</x:v>
      </x:c>
      <x:c r="D6" s="6" t="str">
        <x:v>Population</x:v>
      </x:c>
      <x:c r="E6" s="6" t="str">
        <x:v>Result</x:v>
      </x:c>
      <x:c r="F6" s="6" t="str">
        <x:v>Interpretation</x:v>
      </x:c>
    </x:row>
    <x:row r="7" ht="40" customHeight="1">
      <x:c r="B7" s="7" t="str">
        <x:v>SB-01</x:v>
      </x:c>
      <x:c r="C7" s="7" t="str">
        <x:v>cell all-success lower yield</x:v>
      </x:c>
      <x:c r="D7" s="7" t="n">
        <x:v>3</x:v>
      </x:c>
      <x:c r="E7" s="14" t="n">
        <x:f>POWER('Controls'!$D$32,1/D7)</x:f>
        <x:v>0.3684031498640387</x:v>
      </x:c>
      <x:c r="F7" s="10" t="str">
        <x:v>one cell only</x:v>
      </x:c>
    </x:row>
    <x:row r="8" ht="40" customHeight="1">
      <x:c r="B8" s="7" t="str">
        <x:v>SB-02</x:v>
      </x:c>
      <x:c r="C8" s="7" t="str">
        <x:v>bank all-success lower yield</x:v>
      </x:c>
      <x:c r="D8" s="7" t="n">
        <x:v>18</x:v>
      </x:c>
      <x:c r="E8" s="14" t="n">
        <x:f>POWER('Controls'!$D$32,1/D8)</x:f>
        <x:v>0.8466824460427218</x:v>
      </x:c>
      <x:c r="F8" s="10" t="str">
        <x:v>descriptive across unlike cells</x:v>
      </x:c>
    </x:row>
    <x:row r="9" ht="40" customHeight="1">
      <x:c r="B9" s="7" t="str">
        <x:v>SB-03</x:v>
      </x:c>
      <x:c r="C9" s="7" t="str">
        <x:v>cell zero-failure upper defect rate</x:v>
      </x:c>
      <x:c r="D9" s="7" t="n">
        <x:v>3</x:v>
      </x:c>
      <x:c r="E9" s="14" t="n">
        <x:f>1-POWER('Controls'!$D$32,1/D9)</x:f>
        <x:v>0.6315968501359612</x:v>
      </x:c>
      <x:c r="F9" s="10" t="str">
        <x:v>one cell only</x:v>
      </x:c>
    </x:row>
    <x:row r="10" ht="40" customHeight="1">
      <x:c r="B10" s="7" t="str">
        <x:v>SB-04</x:v>
      </x:c>
      <x:c r="C10" s="7" t="str">
        <x:v>bank zero-failure upper defect rate</x:v>
      </x:c>
      <x:c r="D10" s="7" t="n">
        <x:v>18</x:v>
      </x:c>
      <x:c r="E10" s="14" t="n">
        <x:f>1-POWER('Controls'!$D$32,1/D10)</x:f>
        <x:v>0.1533175539572782</x:v>
      </x:c>
      <x:c r="F10" s="10" t="str">
        <x:v>descriptive across unlike cells</x:v>
      </x:c>
    </x:row>
    <x:row r="11" ht="40" customHeight="1">
      <x:c r="B11" s="7" t="str">
        <x:v>SB-05</x:v>
      </x:c>
      <x:c r="C11" s="7" t="str">
        <x:v>traveler zero-failure upper rate</x:v>
      </x:c>
      <x:c r="D11" s="7" t="n">
        <x:v>360</x:v>
      </x:c>
      <x:c r="E11" s="14" t="n">
        <x:f>1-POWER('Controls'!$D$32,1/D11)</x:f>
        <x:v>0.008286950875235677</x:v>
      </x:c>
      <x:c r="F11" s="10" t="str">
        <x:v>clustered within articles</x:v>
      </x:c>
    </x:row>
    <x:row r="12" ht="40" customHeight="1">
      <x:c r="B12" s="7" t="str">
        <x:v>SB-06</x:v>
      </x:c>
      <x:c r="C12" s="7" t="str">
        <x:v>coupon zero-failure upper rate</x:v>
      </x:c>
      <x:c r="D12" s="7" t="n">
        <x:v>720</x:v>
      </x:c>
      <x:c r="E12" s="14" t="n">
        <x:f>1-POWER('Controls'!$D$32,1/D12)</x:f>
        <x:v>0.0041520953856636345</x:v>
      </x:c>
      <x:c r="F12" s="10" t="str">
        <x:v>clustered by builder and ancestry</x:v>
      </x:c>
    </x:row>
    <x:row r="13" ht="40" customHeight="1">
      <x:c r="B13" s="7" t="str">
        <x:v>SB-07</x:v>
      </x:c>
      <x:c r="C13" s="7" t="str">
        <x:v>joint zero-failure upper rate</x:v>
      </x:c>
      <x:c r="D13" s="7" t="n">
        <x:v>90</x:v>
      </x:c>
      <x:c r="E13" s="14" t="n">
        <x:f>1-POWER('Controls'!$D$32,1/D13)</x:f>
        <x:v>0.032738033833534574</x:v>
      </x:c>
      <x:c r="F13" s="10" t="str">
        <x:v>keep lineage separate</x:v>
      </x:c>
    </x:row>
    <x:row r="14" ht="40" customHeight="1">
      <x:c r="B14" s="7" t="str">
        <x:v>SB-08</x:v>
      </x:c>
      <x:c r="C14" s="7" t="str">
        <x:v>element zero-failure upper rate</x:v>
      </x:c>
      <x:c r="D14" s="7" t="n">
        <x:v>216</x:v>
      </x:c>
      <x:c r="E14" s="14" t="n">
        <x:f>1-POWER('Controls'!$D$32,1/D14)</x:f>
        <x:v>0.01377339759046814</x:v>
      </x:c>
      <x:c r="F14" s="10" t="str">
        <x:v>factory function only</x:v>
      </x:c>
    </x:row>
    <x:row r="15" ht="40" customHeight="1">
      <x:c r="B15" s="7" t="str">
        <x:v>SB-09</x:v>
      </x:c>
      <x:c r="C15" s="7" t="str">
        <x:v>channel zero-failure upper rate</x:v>
      </x:c>
      <x:c r="D15" s="7" t="n">
        <x:v>2592</x:v>
      </x:c>
      <x:c r="E15" s="14" t="n">
        <x:f>1-POWER('Controls'!$D$32,1/D15)</x:f>
        <x:v>0.0011550932736020814</x:v>
      </x:c>
      <x:c r="F15" s="10" t="str">
        <x:v>installation only</x:v>
      </x:c>
    </x:row>
    <x:row r="16" ht="40" customHeight="1">
      <x:c r="B16" s="7" t="str">
        <x:v>SB-10</x:v>
      </x:c>
      <x:c r="C16" s="7" t="str">
        <x:v>calibration zero-failure upper rate</x:v>
      </x:c>
      <x:c r="D16" s="7" t="n">
        <x:v>2592</x:v>
      </x:c>
      <x:c r="E16" s="14" t="n">
        <x:f>1-POWER('Controls'!$D$32,1/D16)</x:f>
        <x:v>0.0011550932736020814</x:v>
      </x:c>
      <x:c r="F16" s="10" t="str">
        <x:v>factory calibration only</x:v>
      </x:c>
    </x:row>
    <x:row r="17" ht="40" customHeight="1">
      <x:c r="B17" s="7" t="str">
        <x:v>SB-11</x:v>
      </x:c>
      <x:c r="C17" s="7" t="str">
        <x:v>n for defect upper bound at five percent</x:v>
      </x:c>
      <x:c r="D17" s="7" t="str"/>
      <x:c r="E17" s="15" t="n">
        <x:f>ROUNDUP(LN('Controls'!$D$32)/LN(1-0.05),0)</x:f>
        <x:v>59</x:v>
      </x:c>
      <x:c r="F17" s="10" t="str">
        <x:v>consecutive independent units</x:v>
      </x:c>
    </x:row>
    <x:row r="18" ht="40" customHeight="1">
      <x:c r="B18" s="7" t="str">
        <x:v>SB-12</x:v>
      </x:c>
      <x:c r="C18" s="7" t="str">
        <x:v>n for all-success lower yield at ninety percent</x:v>
      </x:c>
      <x:c r="D18" s="7" t="str"/>
      <x:c r="E18" s="15" t="n">
        <x:f>ROUNDUP(LN('Controls'!$D$32)/LN(0.90),0)</x:f>
        <x:v>29</x:v>
      </x:c>
      <x:c r="F18" s="10" t="str">
        <x:v>twenty-nine consecutive successes</x:v>
      </x:c>
    </x:row>
  </x:sheetData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32" hidden="0" customWidth="1"/>
    <x:col min="4" max="4" width="75" hidden="0" customWidth="1"/>
    <x:col min="5" max="5" width="18" hidden="0" customWidth="1"/>
  </x:cols>
  <x:sheetData>
    <x:row r="2">
      <x:c r="B2" s="1" t="str">
        <x:v>Fourteen release rules</x:v>
      </x:c>
    </x:row>
    <x:row r="3">
      <x:c r="B3" s="2" t="str">
        <x:v>Planning defines each predicate. No physical release is inferred.</x:v>
      </x:c>
    </x:row>
    <x:row r="6" ht="24" customHeight="1">
      <x:c r="B6" s="6" t="str">
        <x:v>Rule</x:v>
      </x:c>
      <x:c r="C6" s="6" t="str">
        <x:v>Decision</x:v>
      </x:c>
      <x:c r="D6" s="6" t="str">
        <x:v>Predicate</x:v>
      </x:c>
      <x:c r="E6" s="6" t="str">
        <x:v>Baseline state</x:v>
      </x:c>
    </x:row>
    <x:row r="7" ht="40" customHeight="1">
      <x:c r="B7" s="7" t="str">
        <x:v>DR-01</x:v>
      </x:c>
      <x:c r="C7" s="7" t="str">
        <x:v>lineage capsule release</x:v>
      </x:c>
      <x:c r="D7" s="10" t="str">
        <x:v>all sixteen components pass under one root</x:v>
      </x:c>
      <x:c r="E7" s="7" t="str">
        <x:v>OPEN</x:v>
      </x:c>
    </x:row>
    <x:row r="8" ht="40" customHeight="1">
      <x:c r="B8" s="7" t="str">
        <x:v>DR-02</x:v>
      </x:c>
      <x:c r="C8" s="7" t="str">
        <x:v>tool commission</x:v>
      </x:c>
      <x:c r="D8" s="10" t="str">
        <x:v>calibration, boundary, safety and evidence exist</x:v>
      </x:c>
      <x:c r="E8" s="7" t="str">
        <x:v>OPEN</x:v>
      </x:c>
    </x:row>
    <x:row r="9" ht="40" customHeight="1">
      <x:c r="B9" s="7" t="str">
        <x:v>DR-03</x:v>
      </x:c>
      <x:c r="C9" s="7" t="str">
        <x:v>measurement transfer</x:v>
      </x:c>
      <x:c r="D9" s="10" t="str">
        <x:v>twenty-four observations, site bias and gage limits pass</x:v>
      </x:c>
      <x:c r="E9" s="7" t="str">
        <x:v>OPEN</x:v>
      </x:c>
    </x:row>
    <x:row r="10" ht="40" customHeight="1">
      <x:c r="B10" s="7" t="str">
        <x:v>DR-04</x:v>
      </x:c>
      <x:c r="C10" s="7" t="str">
        <x:v>builder qualification</x:v>
      </x:c>
      <x:c r="D10" s="10" t="str">
        <x:v>twelve records, twenty-four tools and twenty-four transfer decisions pass</x:v>
      </x:c>
      <x:c r="E10" s="7" t="str">
        <x:v>OPEN</x:v>
      </x:c>
    </x:row>
    <x:row r="11" ht="40" customHeight="1">
      <x:c r="B11" s="7" t="str">
        <x:v>DR-05</x:v>
      </x:c>
      <x:c r="C11" s="7" t="str">
        <x:v>material issue</x:v>
      </x:c>
      <x:c r="D11" s="10" t="str">
        <x:v>parent lot, split identity and custody root close</x:v>
      </x:c>
      <x:c r="E11" s="7" t="str">
        <x:v>OPEN</x:v>
      </x:c>
    </x:row>
    <x:row r="12" ht="40" customHeight="1">
      <x:c r="B12" s="7" t="str">
        <x:v>DR-06</x:v>
      </x:c>
      <x:c r="C12" s="7" t="str">
        <x:v>article master</x:v>
      </x:c>
      <x:c r="D12" s="10" t="str">
        <x:v>built serial, matching baseline, first-pass state and final root exist</x:v>
      </x:c>
      <x:c r="E12" s="7" t="str">
        <x:v>OPEN</x:v>
      </x:c>
    </x:row>
    <x:row r="13" ht="40" customHeight="1">
      <x:c r="B13" s="7" t="str">
        <x:v>DR-07</x:v>
      </x:c>
      <x:c r="C13" s="7" t="str">
        <x:v>article release</x:v>
      </x:c>
      <x:c r="D13" s="10" t="str">
        <x:v>all 390 article gates pass</x:v>
      </x:c>
      <x:c r="E13" s="7" t="str">
        <x:v>OPEN</x:v>
      </x:c>
    </x:row>
    <x:row r="14" ht="40" customHeight="1">
      <x:c r="B14" s="7" t="str">
        <x:v>DR-08</x:v>
      </x:c>
      <x:c r="C14" s="7" t="str">
        <x:v>cell release</x:v>
      </x:c>
      <x:c r="D14" s="10" t="str">
        <x:v>three articles release; any rework receives yield disposition</x:v>
      </x:c>
      <x:c r="E14" s="7" t="str">
        <x:v>OPEN</x:v>
      </x:c>
    </x:row>
    <x:row r="15" ht="40" customHeight="1">
      <x:c r="B15" s="7" t="str">
        <x:v>DR-09</x:v>
      </x:c>
      <x:c r="C15" s="7" t="str">
        <x:v>bank release</x:v>
      </x:c>
      <x:c r="D15" s="10" t="str">
        <x:v>all cells and the eighteen-role matrix pass</x:v>
      </x:c>
      <x:c r="E15" s="7" t="str">
        <x:v>OPEN</x:v>
      </x:c>
    </x:row>
    <x:row r="16" ht="40" customHeight="1">
      <x:c r="B16" s="7" t="str">
        <x:v>DR-10</x:v>
      </x:c>
      <x:c r="C16" s="7" t="str">
        <x:v>change branch</x:v>
      </x:c>
      <x:c r="D16" s="10" t="str">
        <x:v>critical change completes affected reproduction</x:v>
      </x:c>
      <x:c r="E16" s="7" t="str">
        <x:v>OPEN</x:v>
      </x:c>
    </x:row>
    <x:row r="17" ht="40" customHeight="1">
      <x:c r="B17" s="7" t="str">
        <x:v>DR-11</x:v>
      </x:c>
      <x:c r="C17" s="7" t="str">
        <x:v>replenishment</x:v>
      </x:c>
      <x:c r="D17" s="10" t="str">
        <x:v>same role and lineage, new lot, failed result retained</x:v>
      </x:c>
      <x:c r="E17" s="7" t="str">
        <x:v>DORMANT</x:v>
      </x:c>
    </x:row>
    <x:row r="18" ht="40" customHeight="1">
      <x:c r="B18" s="7" t="str">
        <x:v>DR-12</x:v>
      </x:c>
      <x:c r="C18" s="7" t="str">
        <x:v>production yield</x:v>
      </x:c>
      <x:c r="D18" s="10" t="str">
        <x:v>eighteen articles are insufficient for a five-percent upper defect bound</x:v>
      </x:c>
      <x:c r="E18" s="7" t="str">
        <x:v>BLOCKED</x:v>
      </x:c>
    </x:row>
    <x:row r="19" ht="40" customHeight="1">
      <x:c r="B19" s="7" t="str">
        <x:v>DR-13</x:v>
      </x:c>
      <x:c r="C19" s="7" t="str">
        <x:v>RAP-1 campaign</x:v>
      </x:c>
      <x:c r="D19" s="10" t="str">
        <x:v>bank release precedes physical campaign execution</x:v>
      </x:c>
      <x:c r="E19" s="7" t="str">
        <x:v>BLOCKED</x:v>
      </x:c>
    </x:row>
    <x:row r="20" ht="40" customHeight="1">
      <x:c r="B20" s="7" t="str">
        <x:v>DR-14</x:v>
      </x:c>
      <x:c r="C20" s="7" t="str">
        <x:v>exterior rendering</x:v>
      </x:c>
      <x:c r="D20" s="10" t="str">
        <x:v>field form remains outside article-bank evidence</x:v>
      </x:c>
      <x:c r="E20" s="7" t="str">
        <x:v>BLOCKED</x:v>
      </x:c>
    </x:row>
  </x:sheetData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45" hidden="0" customWidth="1"/>
    <x:col min="4" max="4" width="74" hidden="0" customWidth="1"/>
    <x:col min="5" max="5" width="14" hidden="0" customWidth="1"/>
  </x:cols>
  <x:sheetData>
    <x:row r="2">
      <x:c r="B2" s="1" t="str">
        <x:v>Sixteen automatic stops</x:v>
      </x:c>
    </x:row>
    <x:row r="3">
      <x:c r="B3" s="2" t="str">
        <x:v>A stop protects people, evidence and inference. It does not convert an adverse unit into an invalid attempt.</x:v>
      </x:c>
    </x:row>
    <x:row r="6" ht="24" customHeight="1">
      <x:c r="B6" s="6" t="str">
        <x:v>Rule</x:v>
      </x:c>
      <x:c r="C6" s="6" t="str">
        <x:v>Trigger</x:v>
      </x:c>
      <x:c r="D6" s="6" t="str">
        <x:v>Immediate action</x:v>
      </x:c>
      <x:c r="E6" s="6" t="str">
        <x:v>State</x:v>
      </x:c>
    </x:row>
    <x:row r="7" ht="38" customHeight="1">
      <x:c r="B7" s="7" t="str">
        <x:v>ST-01</x:v>
      </x:c>
      <x:c r="C7" s="7" t="str">
        <x:v>unreleased or mismatched capsule</x:v>
      </x:c>
      <x:c r="D7" s="10" t="str">
        <x:v>safe, quarantine affected objects, preserve denominator</x:v>
      </x:c>
      <x:c r="E7" s="7" t="str">
        <x:v>ACTIVE</x:v>
      </x:c>
    </x:row>
    <x:row r="8" ht="38" customHeight="1">
      <x:c r="B8" s="7" t="str">
        <x:v>ST-02</x:v>
      </x:c>
      <x:c r="C8" s="7" t="str">
        <x:v>uncommissioned production tool</x:v>
      </x:c>
      <x:c r="D8" s="10" t="str">
        <x:v>safe, quarantine affected objects, preserve denominator</x:v>
      </x:c>
      <x:c r="E8" s="7" t="str">
        <x:v>ACTIVE</x:v>
      </x:c>
    </x:row>
    <x:row r="9" ht="38" customHeight="1">
      <x:c r="B9" s="7" t="str">
        <x:v>ST-03</x:v>
      </x:c>
      <x:c r="C9" s="7" t="str">
        <x:v>measurement transfer outside limit</x:v>
      </x:c>
      <x:c r="D9" s="10" t="str">
        <x:v>safe, quarantine affected objects, preserve denominator</x:v>
      </x:c>
      <x:c r="E9" s="7" t="str">
        <x:v>ACTIVE</x:v>
      </x:c>
    </x:row>
    <x:row r="10" ht="38" customHeight="1">
      <x:c r="B10" s="7" t="str">
        <x:v>ST-04</x:v>
      </x:c>
      <x:c r="C10" s="7" t="str">
        <x:v>material ancestry break</x:v>
      </x:c>
      <x:c r="D10" s="10" t="str">
        <x:v>safe, quarantine affected objects, preserve denominator</x:v>
      </x:c>
      <x:c r="E10" s="7" t="str">
        <x:v>ACTIVE</x:v>
      </x:c>
    </x:row>
    <x:row r="11" ht="38" customHeight="1">
      <x:c r="B11" s="7" t="str">
        <x:v>ST-05</x:v>
      </x:c>
      <x:c r="C11" s="7" t="str">
        <x:v>informal or unequal builder assistance</x:v>
      </x:c>
      <x:c r="D11" s="10" t="str">
        <x:v>safe, quarantine affected objects, preserve denominator</x:v>
      </x:c>
      <x:c r="E11" s="7" t="str">
        <x:v>ACTIVE</x:v>
      </x:c>
    </x:row>
    <x:row r="12" ht="38" customHeight="1">
      <x:c r="B12" s="7" t="str">
        <x:v>ST-06</x:v>
      </x:c>
      <x:c r="C12" s="7" t="str">
        <x:v>unauthorized process change</x:v>
      </x:c>
      <x:c r="D12" s="10" t="str">
        <x:v>safe, quarantine affected objects, preserve denominator</x:v>
      </x:c>
      <x:c r="E12" s="7" t="str">
        <x:v>ACTIVE</x:v>
      </x:c>
    </x:row>
    <x:row r="13" ht="38" customHeight="1">
      <x:c r="B13" s="7" t="str">
        <x:v>ST-07</x:v>
      </x:c>
      <x:c r="C13" s="7" t="str">
        <x:v>critical joint indication</x:v>
      </x:c>
      <x:c r="D13" s="10" t="str">
        <x:v>safe, quarantine affected objects, preserve denominator</x:v>
      </x:c>
      <x:c r="E13" s="7" t="str">
        <x:v>ACTIVE</x:v>
      </x:c>
    </x:row>
    <x:row r="14" ht="38" customHeight="1">
      <x:c r="B14" s="7" t="str">
        <x:v>ST-08</x:v>
      </x:c>
      <x:c r="C14" s="7" t="str">
        <x:v>final element fails safe state</x:v>
      </x:c>
      <x:c r="D14" s="10" t="str">
        <x:v>safe, quarantine affected objects, preserve denominator</x:v>
      </x:c>
      <x:c r="E14" s="7" t="str">
        <x:v>ACTIVE</x:v>
      </x:c>
    </x:row>
    <x:row r="15" ht="38" customHeight="1">
      <x:c r="B15" s="7" t="str">
        <x:v>ST-09</x:v>
      </x:c>
      <x:c r="C15" s="7" t="str">
        <x:v>channel identity or calibration loss</x:v>
      </x:c>
      <x:c r="D15" s="10" t="str">
        <x:v>safe, quarantine affected objects, preserve denominator</x:v>
      </x:c>
      <x:c r="E15" s="7" t="str">
        <x:v>ACTIVE</x:v>
      </x:c>
    </x:row>
    <x:row r="16" ht="38" customHeight="1">
      <x:c r="B16" s="7" t="str">
        <x:v>ST-10</x:v>
      </x:c>
      <x:c r="C16" s="7" t="str">
        <x:v>first-pass disposition overwritten</x:v>
      </x:c>
      <x:c r="D16" s="10" t="str">
        <x:v>safe, quarantine affected objects, preserve denominator</x:v>
      </x:c>
      <x:c r="E16" s="7" t="str">
        <x:v>ACTIVE</x:v>
      </x:c>
    </x:row>
    <x:row r="17" ht="38" customHeight="1">
      <x:c r="B17" s="7" t="str">
        <x:v>ST-11</x:v>
      </x:c>
      <x:c r="C17" s="7" t="str">
        <x:v>repair without branch identity</x:v>
      </x:c>
      <x:c r="D17" s="10" t="str">
        <x:v>safe, quarantine affected objects, preserve denominator</x:v>
      </x:c>
      <x:c r="E17" s="7" t="str">
        <x:v>ACTIVE</x:v>
      </x:c>
    </x:row>
    <x:row r="18" ht="38" customHeight="1">
      <x:c r="B18" s="7" t="str">
        <x:v>ST-12</x:v>
      </x:c>
      <x:c r="C18" s="7" t="str">
        <x:v>role reassignment after result</x:v>
      </x:c>
      <x:c r="D18" s="10" t="str">
        <x:v>safe, quarantine affected objects, preserve denominator</x:v>
      </x:c>
      <x:c r="E18" s="7" t="str">
        <x:v>ACTIVE</x:v>
      </x:c>
    </x:row>
    <x:row r="19" ht="38" customHeight="1">
      <x:c r="B19" s="7" t="str">
        <x:v>ST-13</x:v>
      </x:c>
      <x:c r="C19" s="7" t="str">
        <x:v>evidence original or causal-time loss</x:v>
      </x:c>
      <x:c r="D19" s="10" t="str">
        <x:v>safe, quarantine affected objects, preserve denominator</x:v>
      </x:c>
      <x:c r="E19" s="7" t="str">
        <x:v>ACTIVE</x:v>
      </x:c>
    </x:row>
    <x:row r="20" ht="38" customHeight="1">
      <x:c r="B20" s="7" t="str">
        <x:v>ST-14</x:v>
      </x:c>
      <x:c r="C20" s="7" t="str">
        <x:v>builder accepts own work</x:v>
      </x:c>
      <x:c r="D20" s="10" t="str">
        <x:v>safe, quarantine affected objects, preserve denominator</x:v>
      </x:c>
      <x:c r="E20" s="7" t="str">
        <x:v>ACTIVE</x:v>
      </x:c>
    </x:row>
    <x:row r="21" ht="38" customHeight="1">
      <x:c r="B21" s="7" t="str">
        <x:v>ST-15</x:v>
      </x:c>
      <x:c r="C21" s="7" t="str">
        <x:v>personnel or containment boundary lost</x:v>
      </x:c>
      <x:c r="D21" s="10" t="str">
        <x:v>safe, quarantine affected objects, preserve denominator</x:v>
      </x:c>
      <x:c r="E21" s="7" t="str">
        <x:v>ACTIVE</x:v>
      </x:c>
    </x:row>
    <x:row r="22" ht="38" customHeight="1">
      <x:c r="B22" s="7" t="str">
        <x:v>ST-16</x:v>
      </x:c>
      <x:c r="C22" s="7" t="str">
        <x:v>bank board asked to waive an absent role</x:v>
      </x:c>
      <x:c r="D22" s="10" t="str">
        <x:v>safe, quarantine affected objects, preserve denominator</x:v>
      </x:c>
      <x:c r="E22" s="7" t="str">
        <x:v>ACTIVE</x:v>
      </x:c>
    </x:row>
  </x:sheetData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39" hidden="0" customWidth="1"/>
    <x:col min="4" max="4" width="29" hidden="0" customWidth="1"/>
    <x:col min="5" max="5" width="68" hidden="0" customWidth="1"/>
    <x:col min="6" max="6" width="14" hidden="0" customWidth="1"/>
  </x:cols>
  <x:sheetData>
    <x:row r="2">
      <x:c r="B2" s="1" t="str">
        <x:v>Twelve quarantine classes</x:v>
      </x:c>
    </x:row>
    <x:row r="3">
      <x:c r="B3" s="2" t="str">
        <x:v>The owner of the affected evidence decides the branch. Program schedule does not override custody.</x:v>
      </x:c>
    </x:row>
    <x:row r="6" ht="24" customHeight="1">
      <x:c r="B6" s="6" t="str">
        <x:v>Class</x:v>
      </x:c>
      <x:c r="C6" s="6" t="str">
        <x:v>Condition</x:v>
      </x:c>
      <x:c r="D6" s="6" t="str">
        <x:v>Owner</x:v>
      </x:c>
      <x:c r="E6" s="6" t="str">
        <x:v>Release rule</x:v>
      </x:c>
      <x:c r="F6" s="6" t="str">
        <x:v>State</x:v>
      </x:c>
    </x:row>
    <x:row r="7" ht="38" customHeight="1">
      <x:c r="B7" s="7" t="str">
        <x:v>Q-01</x:v>
      </x:c>
      <x:c r="C7" s="7" t="str">
        <x:v>technical-data mismatch</x:v>
      </x:c>
      <x:c r="D7" s="7" t="str">
        <x:v>configuration authority</x:v>
      </x:c>
      <x:c r="E7" s="10" t="str">
        <x:v>no release until named disposition and preserved evidence</x:v>
      </x:c>
      <x:c r="F7" s="7" t="str">
        <x:v>ACTIVE</x:v>
      </x:c>
    </x:row>
    <x:row r="8" ht="38" customHeight="1">
      <x:c r="B8" s="7" t="str">
        <x:v>Q-02</x:v>
      </x:c>
      <x:c r="C8" s="7" t="str">
        <x:v>tool boundary unknown</x:v>
      </x:c>
      <x:c r="D8" s="7" t="str">
        <x:v>tooling authority</x:v>
      </x:c>
      <x:c r="E8" s="10" t="str">
        <x:v>no release until named disposition and preserved evidence</x:v>
      </x:c>
      <x:c r="F8" s="7" t="str">
        <x:v>ACTIVE</x:v>
      </x:c>
    </x:row>
    <x:row r="9" ht="38" customHeight="1">
      <x:c r="B9" s="7" t="str">
        <x:v>Q-03</x:v>
      </x:c>
      <x:c r="C9" s="7" t="str">
        <x:v>measurement disagreement</x:v>
      </x:c>
      <x:c r="D9" s="7" t="str">
        <x:v>metrology authority</x:v>
      </x:c>
      <x:c r="E9" s="10" t="str">
        <x:v>no release until named disposition and preserved evidence</x:v>
      </x:c>
      <x:c r="F9" s="7" t="str">
        <x:v>ACTIVE</x:v>
      </x:c>
    </x:row>
    <x:row r="10" ht="38" customHeight="1">
      <x:c r="B10" s="7" t="str">
        <x:v>Q-04</x:v>
      </x:c>
      <x:c r="C10" s="7" t="str">
        <x:v>material ancestry break</x:v>
      </x:c>
      <x:c r="D10" s="7" t="str">
        <x:v>material authority</x:v>
      </x:c>
      <x:c r="E10" s="10" t="str">
        <x:v>no release until named disposition and preserved evidence</x:v>
      </x:c>
      <x:c r="F10" s="7" t="str">
        <x:v>ACTIVE</x:v>
      </x:c>
    </x:row>
    <x:row r="11" ht="38" customHeight="1">
      <x:c r="B11" s="7" t="str">
        <x:v>Q-05</x:v>
      </x:c>
      <x:c r="C11" s="7" t="str">
        <x:v>joint or surface nonconformance</x:v>
      </x:c>
      <x:c r="D11" s="7" t="str">
        <x:v>quality authority</x:v>
      </x:c>
      <x:c r="E11" s="10" t="str">
        <x:v>no release until named disposition and preserved evidence</x:v>
      </x:c>
      <x:c r="F11" s="7" t="str">
        <x:v>ACTIVE</x:v>
      </x:c>
    </x:row>
    <x:row r="12" ht="38" customHeight="1">
      <x:c r="B12" s="7" t="str">
        <x:v>Q-06</x:v>
      </x:c>
      <x:c r="C12" s="7" t="str">
        <x:v>safeing failure</x:v>
      </x:c>
      <x:c r="D12" s="7" t="str">
        <x:v>safeing authority</x:v>
      </x:c>
      <x:c r="E12" s="10" t="str">
        <x:v>no release until named disposition and preserved evidence</x:v>
      </x:c>
      <x:c r="F12" s="7" t="str">
        <x:v>ACTIVE</x:v>
      </x:c>
    </x:row>
    <x:row r="13" ht="38" customHeight="1">
      <x:c r="B13" s="7" t="str">
        <x:v>Q-07</x:v>
      </x:c>
      <x:c r="C13" s="7" t="str">
        <x:v>channel or calibration failure</x:v>
      </x:c>
      <x:c r="D13" s="7" t="str">
        <x:v>metrology authority</x:v>
      </x:c>
      <x:c r="E13" s="10" t="str">
        <x:v>no release until named disposition and preserved evidence</x:v>
      </x:c>
      <x:c r="F13" s="7" t="str">
        <x:v>ACTIVE</x:v>
      </x:c>
    </x:row>
    <x:row r="14" ht="38" customHeight="1">
      <x:c r="B14" s="7" t="str">
        <x:v>Q-08</x:v>
      </x:c>
      <x:c r="C14" s="7" t="str">
        <x:v>evidence or clock loss</x:v>
      </x:c>
      <x:c r="D14" s="7" t="str">
        <x:v>evidence authority</x:v>
      </x:c>
      <x:c r="E14" s="10" t="str">
        <x:v>no release until named disposition and preserved evidence</x:v>
      </x:c>
      <x:c r="F14" s="7" t="str">
        <x:v>ACTIVE</x:v>
      </x:c>
    </x:row>
    <x:row r="15" ht="38" customHeight="1">
      <x:c r="B15" s="7" t="str">
        <x:v>Q-09</x:v>
      </x:c>
      <x:c r="C15" s="7" t="str">
        <x:v>undisclosed assistance</x:v>
      </x:c>
      <x:c r="D15" s="7" t="str">
        <x:v>configuration authority</x:v>
      </x:c>
      <x:c r="E15" s="10" t="str">
        <x:v>no release until named disposition and preserved evidence</x:v>
      </x:c>
      <x:c r="F15" s="7" t="str">
        <x:v>ACTIVE</x:v>
      </x:c>
    </x:row>
    <x:row r="16" ht="38" customHeight="1">
      <x:c r="B16" s="7" t="str">
        <x:v>Q-10</x:v>
      </x:c>
      <x:c r="C16" s="7" t="str">
        <x:v>unauthorized repair</x:v>
      </x:c>
      <x:c r="D16" s="7" t="str">
        <x:v>article board</x:v>
      </x:c>
      <x:c r="E16" s="10" t="str">
        <x:v>no release until named disposition and preserved evidence</x:v>
      </x:c>
      <x:c r="F16" s="7" t="str">
        <x:v>ACTIVE</x:v>
      </x:c>
    </x:row>
    <x:row r="17" ht="38" customHeight="1">
      <x:c r="B17" s="7" t="str">
        <x:v>Q-11</x:v>
      </x:c>
      <x:c r="C17" s="7" t="str">
        <x:v>role or lot selection bias</x:v>
      </x:c>
      <x:c r="D17" s="7" t="str">
        <x:v>bank board</x:v>
      </x:c>
      <x:c r="E17" s="10" t="str">
        <x:v>no release until named disposition and preserved evidence</x:v>
      </x:c>
      <x:c r="F17" s="7" t="str">
        <x:v>ACTIVE</x:v>
      </x:c>
    </x:row>
    <x:row r="18" ht="38" customHeight="1">
      <x:c r="B18" s="7" t="str">
        <x:v>Q-12</x:v>
      </x:c>
      <x:c r="C18" s="7" t="str">
        <x:v>personnel or environmental event</x:v>
      </x:c>
      <x:c r="D18" s="7" t="str">
        <x:v>safety authority</x:v>
      </x:c>
      <x:c r="E18" s="10" t="str">
        <x:v>no release until named disposition and preserved evidence</x:v>
      </x:c>
      <x:c r="F18" s="7" t="str">
        <x:v>ACTIVE</x:v>
      </x:c>
    </x:row>
  </x:sheetData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2" hidden="0" customWidth="1"/>
    <x:col min="3" max="3" width="17" hidden="0" customWidth="1"/>
    <x:col min="4" max="4" width="66" hidden="0" customWidth="1"/>
    <x:col min="5" max="5" width="27" hidden="0" customWidth="1"/>
    <x:col min="6" max="6" width="21" hidden="0" customWidth="1"/>
    <x:col min="7" max="7" width="14" hidden="0" customWidth="1"/>
  </x:cols>
  <x:sheetData>
    <x:row r="2">
      <x:c r="B2" s="1" t="str">
        <x:v>Twenty-four-month RAQ-1 schedule</x:v>
      </x:c>
    </x:row>
    <x:row r="3">
      <x:c r="B3" s="2" t="str">
        <x:v>The RAQ-1 stage follows a successful RAB-1 lineage decision. The larger development chain spans sixty sequential months.</x:v>
      </x:c>
    </x:row>
    <x:row r="6" ht="24" customHeight="1">
      <x:c r="B6" s="6" t="str">
        <x:v>Stage</x:v>
      </x:c>
      <x:c r="C6" s="6" t="str">
        <x:v>Window</x:v>
      </x:c>
      <x:c r="D6" s="6" t="str">
        <x:v>Work</x:v>
      </x:c>
      <x:c r="E6" s="6" t="str">
        <x:v>Owner</x:v>
      </x:c>
      <x:c r="F6" s="6" t="str">
        <x:v>Accepted UTC</x:v>
      </x:c>
      <x:c r="G6" s="6" t="str">
        <x:v>State</x:v>
      </x:c>
    </x:row>
    <x:row r="7" ht="38" customHeight="1">
      <x:c r="B7" s="7" t="str">
        <x:v>M01</x:v>
      </x:c>
      <x:c r="C7" s="7" t="str">
        <x:v>month 1</x:v>
      </x:c>
      <x:c r="D7" s="10" t="str">
        <x:v>RAB-1 lineage decision intake and protocol freeze</x:v>
      </x:c>
      <x:c r="E7" s="7" t="str"/>
      <x:c r="F7" s="7" t="str"/>
      <x:c r="G7" s="7" t="str">
        <x:f>IF(F7="","OPEN",IF(E7="","FAIL","PASS"))</x:f>
        <x:v>OPEN</x:v>
      </x:c>
    </x:row>
    <x:row r="8" ht="38" customHeight="1">
      <x:c r="B8" s="7" t="str">
        <x:v>M02</x:v>
      </x:c>
      <x:c r="C8" s="7" t="str">
        <x:v>month 2</x:v>
      </x:c>
      <x:c r="D8" s="10" t="str">
        <x:v>configuration baselines and role commitment</x:v>
      </x:c>
      <x:c r="E8" s="7" t="str"/>
      <x:c r="F8" s="7" t="str"/>
      <x:c r="G8" s="7" t="str">
        <x:f>IF(F8="","OPEN",IF(E8="","FAIL","PASS"))</x:f>
        <x:v>OPEN</x:v>
      </x:c>
    </x:row>
    <x:row r="9" ht="38" customHeight="1">
      <x:c r="B9" s="7" t="str">
        <x:v>M03</x:v>
      </x:c>
      <x:c r="C9" s="7" t="str">
        <x:v>month 3</x:v>
      </x:c>
      <x:c r="D9" s="10" t="str">
        <x:v>capsule issue and builder separation</x:v>
      </x:c>
      <x:c r="E9" s="7" t="str"/>
      <x:c r="F9" s="7" t="str"/>
      <x:c r="G9" s="7" t="str">
        <x:f>IF(F9="","OPEN",IF(E9="","FAIL","PASS"))</x:f>
        <x:v>OPEN</x:v>
      </x:c>
    </x:row>
    <x:row r="10" ht="38" customHeight="1">
      <x:c r="B10" s="7" t="str">
        <x:v>M04</x:v>
      </x:c>
      <x:c r="C10" s="7" t="str">
        <x:v>month 4</x:v>
      </x:c>
      <x:c r="D10" s="10" t="str">
        <x:v>material parent-bundle split</x:v>
      </x:c>
      <x:c r="E10" s="7" t="str"/>
      <x:c r="F10" s="7" t="str"/>
      <x:c r="G10" s="7" t="str">
        <x:f>IF(F10="","OPEN",IF(E10="","FAIL","PASS"))</x:f>
        <x:v>OPEN</x:v>
      </x:c>
    </x:row>
    <x:row r="11" ht="38" customHeight="1">
      <x:c r="B11" s="7" t="str">
        <x:v>M05</x:v>
      </x:c>
      <x:c r="C11" s="7" t="str">
        <x:v>month 5</x:v>
      </x:c>
      <x:c r="D11" s="10" t="str">
        <x:v>production-tool construction</x:v>
      </x:c>
      <x:c r="E11" s="7" t="str"/>
      <x:c r="F11" s="7" t="str"/>
      <x:c r="G11" s="7" t="str">
        <x:f>IF(F11="","OPEN",IF(E11="","FAIL","PASS"))</x:f>
        <x:v>OPEN</x:v>
      </x:c>
    </x:row>
    <x:row r="12" ht="38" customHeight="1">
      <x:c r="B12" s="7" t="str">
        <x:v>M06</x:v>
      </x:c>
      <x:c r="C12" s="7" t="str">
        <x:v>month 6</x:v>
      </x:c>
      <x:c r="D12" s="10" t="str">
        <x:v>tool commission and safety release</x:v>
      </x:c>
      <x:c r="E12" s="7" t="str"/>
      <x:c r="F12" s="7" t="str"/>
      <x:c r="G12" s="7" t="str">
        <x:f>IF(F12="","OPEN",IF(E12="","FAIL","PASS"))</x:f>
        <x:v>OPEN</x:v>
      </x:c>
    </x:row>
    <x:row r="13" ht="38" customHeight="1">
      <x:c r="B13" s="7" t="str">
        <x:v>M07</x:v>
      </x:c>
      <x:c r="C13" s="7" t="str">
        <x:v>month 7</x:v>
      </x:c>
      <x:c r="D13" s="10" t="str">
        <x:v>measurement-transfer wave one</x:v>
      </x:c>
      <x:c r="E13" s="7" t="str"/>
      <x:c r="F13" s="7" t="str"/>
      <x:c r="G13" s="7" t="str">
        <x:f>IF(F13="","OPEN",IF(E13="","FAIL","PASS"))</x:f>
        <x:v>OPEN</x:v>
      </x:c>
    </x:row>
    <x:row r="14" ht="38" customHeight="1">
      <x:c r="B14" s="7" t="str">
        <x:v>M08</x:v>
      </x:c>
      <x:c r="C14" s="7" t="str">
        <x:v>month 8</x:v>
      </x:c>
      <x:c r="D14" s="10" t="str">
        <x:v>measurement-transfer wave two and builder board</x:v>
      </x:c>
      <x:c r="E14" s="7" t="str"/>
      <x:c r="F14" s="7" t="str"/>
      <x:c r="G14" s="7" t="str">
        <x:f>IF(F14="","OPEN",IF(E14="","FAIL","PASS"))</x:f>
        <x:v>OPEN</x:v>
      </x:c>
    </x:row>
    <x:row r="15" ht="38" customHeight="1">
      <x:c r="B15" s="7" t="str">
        <x:v>M09</x:v>
      </x:c>
      <x:c r="C15" s="7" t="str">
        <x:v>month 9</x:v>
      </x:c>
      <x:c r="D15" s="10" t="str">
        <x:v>first article wave</x:v>
      </x:c>
      <x:c r="E15" s="7" t="str"/>
      <x:c r="F15" s="7" t="str"/>
      <x:c r="G15" s="7" t="str">
        <x:f>IF(F15="","OPEN",IF(E15="","FAIL","PASS"))</x:f>
        <x:v>OPEN</x:v>
      </x:c>
    </x:row>
    <x:row r="16" ht="38" customHeight="1">
      <x:c r="B16" s="7" t="str">
        <x:v>M10</x:v>
      </x:c>
      <x:c r="C16" s="7" t="str">
        <x:v>month 10</x:v>
      </x:c>
      <x:c r="D16" s="10" t="str">
        <x:v>second article wave</x:v>
      </x:c>
      <x:c r="E16" s="7" t="str"/>
      <x:c r="F16" s="7" t="str"/>
      <x:c r="G16" s="7" t="str">
        <x:f>IF(F16="","OPEN",IF(E16="","FAIL","PASS"))</x:f>
        <x:v>OPEN</x:v>
      </x:c>
    </x:row>
    <x:row r="17" ht="38" customHeight="1">
      <x:c r="B17" s="7" t="str">
        <x:v>M11</x:v>
      </x:c>
      <x:c r="C17" s="7" t="str">
        <x:v>month 11</x:v>
      </x:c>
      <x:c r="D17" s="10" t="str">
        <x:v>third article wave</x:v>
      </x:c>
      <x:c r="E17" s="7" t="str"/>
      <x:c r="F17" s="7" t="str"/>
      <x:c r="G17" s="7" t="str">
        <x:f>IF(F17="","OPEN",IF(E17="","FAIL","PASS"))</x:f>
        <x:v>OPEN</x:v>
      </x:c>
    </x:row>
    <x:row r="18" ht="38" customHeight="1">
      <x:c r="B18" s="7" t="str">
        <x:v>M12</x:v>
      </x:c>
      <x:c r="C18" s="7" t="str">
        <x:v>month 12</x:v>
      </x:c>
      <x:c r="D18" s="10" t="str">
        <x:v>fourth article wave</x:v>
      </x:c>
      <x:c r="E18" s="7" t="str"/>
      <x:c r="F18" s="7" t="str"/>
      <x:c r="G18" s="7" t="str">
        <x:f>IF(F18="","OPEN",IF(E18="","FAIL","PASS"))</x:f>
        <x:v>OPEN</x:v>
      </x:c>
    </x:row>
    <x:row r="19" ht="38" customHeight="1">
      <x:c r="B19" s="7" t="str">
        <x:v>M13</x:v>
      </x:c>
      <x:c r="C19" s="7" t="str">
        <x:v>month 13</x:v>
      </x:c>
      <x:c r="D19" s="10" t="str">
        <x:v>fifth article wave</x:v>
      </x:c>
      <x:c r="E19" s="7" t="str"/>
      <x:c r="F19" s="7" t="str"/>
      <x:c r="G19" s="7" t="str">
        <x:f>IF(F19="","OPEN",IF(E19="","FAIL","PASS"))</x:f>
        <x:v>OPEN</x:v>
      </x:c>
    </x:row>
    <x:row r="20" ht="38" customHeight="1">
      <x:c r="B20" s="7" t="str">
        <x:v>M14</x:v>
      </x:c>
      <x:c r="C20" s="7" t="str">
        <x:v>month 14</x:v>
      </x:c>
      <x:c r="D20" s="10" t="str">
        <x:v>sixth article wave</x:v>
      </x:c>
      <x:c r="E20" s="7" t="str"/>
      <x:c r="F20" s="7" t="str"/>
      <x:c r="G20" s="7" t="str">
        <x:f>IF(F20="","OPEN",IF(E20="","FAIL","PASS"))</x:f>
        <x:v>OPEN</x:v>
      </x:c>
    </x:row>
    <x:row r="21" ht="38" customHeight="1">
      <x:c r="B21" s="7" t="str">
        <x:v>M15</x:v>
      </x:c>
      <x:c r="C21" s="7" t="str">
        <x:v>month 15</x:v>
      </x:c>
      <x:c r="D21" s="10" t="str">
        <x:v>factory calibration and article closeout</x:v>
      </x:c>
      <x:c r="E21" s="7" t="str"/>
      <x:c r="F21" s="7" t="str"/>
      <x:c r="G21" s="7" t="str">
        <x:f>IF(F21="","OPEN",IF(E21="","FAIL","PASS"))</x:f>
        <x:v>OPEN</x:v>
      </x:c>
    </x:row>
    <x:row r="22" ht="38" customHeight="1">
      <x:c r="B22" s="7" t="str">
        <x:v>M16</x:v>
      </x:c>
      <x:c r="C22" s="7" t="str">
        <x:v>month 16</x:v>
      </x:c>
      <x:c r="D22" s="10" t="str">
        <x:v>independent NDE and coupon truth</x:v>
      </x:c>
      <x:c r="E22" s="7" t="str"/>
      <x:c r="F22" s="7" t="str"/>
      <x:c r="G22" s="7" t="str">
        <x:f>IF(F22="","OPEN",IF(E22="","FAIL","PASS"))</x:f>
        <x:v>OPEN</x:v>
      </x:c>
    </x:row>
    <x:row r="23" ht="38" customHeight="1">
      <x:c r="B23" s="7" t="str">
        <x:v>M17</x:v>
      </x:c>
      <x:c r="C23" s="7" t="str">
        <x:v>month 17</x:v>
      </x:c>
      <x:c r="D23" s="10" t="str">
        <x:v>first-pass and nonconformance review</x:v>
      </x:c>
      <x:c r="E23" s="7" t="str"/>
      <x:c r="F23" s="7" t="str"/>
      <x:c r="G23" s="7" t="str">
        <x:f>IF(F23="","OPEN",IF(E23="","FAIL","PASS"))</x:f>
        <x:v>OPEN</x:v>
      </x:c>
    </x:row>
    <x:row r="24" ht="38" customHeight="1">
      <x:c r="B24" s="7" t="str">
        <x:v>M18</x:v>
      </x:c>
      <x:c r="C24" s="7" t="str">
        <x:v>month 18</x:v>
      </x:c>
      <x:c r="D24" s="10" t="str">
        <x:v>article boards</x:v>
      </x:c>
      <x:c r="E24" s="7" t="str"/>
      <x:c r="F24" s="7" t="str"/>
      <x:c r="G24" s="7" t="str">
        <x:f>IF(F24="","OPEN",IF(E24="","FAIL","PASS"))</x:f>
        <x:v>OPEN</x:v>
      </x:c>
    </x:row>
    <x:row r="25" ht="38" customHeight="1">
      <x:c r="B25" s="7" t="str">
        <x:v>M19</x:v>
      </x:c>
      <x:c r="C25" s="7" t="str">
        <x:v>month 19</x:v>
      </x:c>
      <x:c r="D25" s="10" t="str">
        <x:v>outside-team reconstruction</x:v>
      </x:c>
      <x:c r="E25" s="7" t="str"/>
      <x:c r="F25" s="7" t="str"/>
      <x:c r="G25" s="7" t="str">
        <x:f>IF(F25="","OPEN",IF(E25="","FAIL","PASS"))</x:f>
        <x:v>OPEN</x:v>
      </x:c>
    </x:row>
    <x:row r="26" ht="38" customHeight="1">
      <x:c r="B26" s="7" t="str">
        <x:v>M20</x:v>
      </x:c>
      <x:c r="C26" s="7" t="str">
        <x:v>month 20</x:v>
      </x:c>
      <x:c r="D26" s="10" t="str">
        <x:v>cell boards</x:v>
      </x:c>
      <x:c r="E26" s="7" t="str"/>
      <x:c r="F26" s="7" t="str"/>
      <x:c r="G26" s="7" t="str">
        <x:f>IF(F26="","OPEN",IF(E26="","FAIL","PASS"))</x:f>
        <x:v>OPEN</x:v>
      </x:c>
    </x:row>
    <x:row r="27" ht="38" customHeight="1">
      <x:c r="B27" s="7" t="str">
        <x:v>M21</x:v>
      </x:c>
      <x:c r="C27" s="7" t="str">
        <x:v>month 21</x:v>
      </x:c>
      <x:c r="D27" s="10" t="str">
        <x:v>replenishment decisions if required</x:v>
      </x:c>
      <x:c r="E27" s="7" t="str"/>
      <x:c r="F27" s="7" t="str"/>
      <x:c r="G27" s="7" t="str">
        <x:f>IF(F27="","OPEN",IF(E27="","FAIL","PASS"))</x:f>
        <x:v>OPEN</x:v>
      </x:c>
    </x:row>
    <x:row r="28" ht="38" customHeight="1">
      <x:c r="B28" s="7" t="str">
        <x:v>M22</x:v>
      </x:c>
      <x:c r="C28" s="7" t="str">
        <x:v>month 22</x:v>
      </x:c>
      <x:c r="D28" s="10" t="str">
        <x:v>configuration and evidence audit</x:v>
      </x:c>
      <x:c r="E28" s="7" t="str"/>
      <x:c r="F28" s="7" t="str"/>
      <x:c r="G28" s="7" t="str">
        <x:f>IF(F28="","OPEN",IF(E28="","FAIL","PASS"))</x:f>
        <x:v>OPEN</x:v>
      </x:c>
    </x:row>
    <x:row r="29" ht="38" customHeight="1">
      <x:c r="B29" s="7" t="str">
        <x:v>M23</x:v>
      </x:c>
      <x:c r="C29" s="7" t="str">
        <x:v>month 23</x:v>
      </x:c>
      <x:c r="D29" s="10" t="str">
        <x:v>bank constitution board</x:v>
      </x:c>
      <x:c r="E29" s="7" t="str"/>
      <x:c r="F29" s="7" t="str"/>
      <x:c r="G29" s="7" t="str">
        <x:f>IF(F29="","OPEN",IF(E29="","FAIL","PASS"))</x:f>
        <x:v>OPEN</x:v>
      </x:c>
    </x:row>
    <x:row r="30" ht="38" customHeight="1">
      <x:c r="B30" s="7" t="str">
        <x:v>M24</x:v>
      </x:c>
      <x:c r="C30" s="7" t="str">
        <x:v>month 24</x:v>
      </x:c>
      <x:c r="D30" s="10" t="str">
        <x:v>RAP-1 handoff and schedule rebase</x:v>
      </x:c>
      <x:c r="E30" s="7" t="str"/>
      <x:c r="F30" s="7" t="str"/>
      <x:c r="G30" s="7" t="str">
        <x:f>IF(F30="","OPEN",IF(E30="","FAIL","PASS"))</x:f>
        <x:v>OPEN</x:v>
      </x:c>
    </x:row>
  </x:sheetData>
  <x:conditionalFormatting sqref="G7:G30">
    <x:cfRule type="containsText" dxfId="156" priority="1" operator="containsText" text="FAIL"/>
    <x:cfRule type="containsText" dxfId="157" priority="2" operator="containsText" text="BLOCKED"/>
    <x:cfRule type="containsText" dxfId="158" priority="3" operator="containsText" text="OPEN"/>
    <x:cfRule type="containsText" dxfId="159" priority="4" operator="containsText" text="DORMANT"/>
    <x:cfRule type="containsText" dxfId="160" priority="5" operator="containsText" text="REVIEW"/>
    <x:cfRule type="containsText" dxfId="161" priority="6" operator="containsText" text="PASS"/>
  </x:conditionalFormatting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35" hidden="0" customWidth="1"/>
    <x:col min="3" max="3" width="12" hidden="0" customWidth="1"/>
    <x:col min="4" max="4" width="23" hidden="0" customWidth="1"/>
    <x:col min="5" max="5" width="14" hidden="0" customWidth="1"/>
    <x:col min="6" max="6" width="21" hidden="0" customWidth="1"/>
    <x:col min="7" max="7" width="17" hidden="0" customWidth="1"/>
    <x:col min="8" max="8" width="24" hidden="0" customWidth="1"/>
    <x:col min="9" max="9" width="22" hidden="0" customWidth="1"/>
    <x:col min="10" max="10" width="17" hidden="0" customWidth="1"/>
  </x:cols>
  <x:sheetData>
    <x:row r="2">
      <x:c r="B2" s="1" t="str">
        <x:v>Twelve work-centre capacity screens</x:v>
      </x:c>
    </x:row>
    <x:row r="3">
      <x:c r="B3" s="2" t="str">
        <x:v>Demand uses station-days. Available station-days preserve a 35-percent loss and interruption allowance.</x:v>
      </x:c>
    </x:row>
    <x:row r="6" ht="24" customHeight="1">
      <x:c r="B6" s="6" t="str">
        <x:v>Work centre</x:v>
      </x:c>
      <x:c r="C6" s="6" t="str">
        <x:v>Units</x:v>
      </x:c>
      <x:c r="D6" s="6" t="str">
        <x:v>Demand days per unit</x:v>
      </x:c>
      <x:c r="E6" s="6" t="str">
        <x:v>Months</x:v>
      </x:c>
      <x:c r="F6" s="6" t="str">
        <x:v>Workdays per year</x:v>
      </x:c>
      <x:c r="G6" s="6" t="str">
        <x:v>Ready fraction</x:v>
      </x:c>
      <x:c r="H6" s="6" t="str">
        <x:v>Available unit-days</x:v>
      </x:c>
      <x:c r="I6" s="6" t="str">
        <x:v>Demand unit-days</x:v>
      </x:c>
      <x:c r="J6" s="6" t="str">
        <x:v>Utilization</x:v>
      </x:c>
    </x:row>
    <x:row r="7">
      <x:c r="B7" s="7" t="str">
        <x:v>production build bays</x:v>
      </x:c>
      <x:c r="C7" s="7" t="n">
        <x:v>6</x:v>
      </x:c>
      <x:c r="D7" s="7" t="n">
        <x:v>48</x:v>
      </x:c>
      <x:c r="E7" s="7" t="n">
        <x:v>24</x:v>
      </x:c>
      <x:c r="F7" s="7" t="n">
        <x:v>220</x:v>
      </x:c>
      <x:c r="G7" s="7" t="n">
        <x:v>0.65</x:v>
      </x:c>
      <x:c r="H7" s="7" t="n">
        <x:f>C7*E7/12*F7*G7</x:f>
        <x:v>1716</x:v>
      </x:c>
      <x:c r="I7" s="7" t="n">
        <x:f>C7*D7</x:f>
        <x:v>288</x:v>
      </x:c>
      <x:c r="J7" s="12" t="n">
        <x:f>I7/H7</x:f>
        <x:v>0.16783216783216784</x:v>
      </x:c>
    </x:row>
    <x:row r="8">
      <x:c r="B8" s="7" t="str">
        <x:v>tool commissioning lanes</x:v>
      </x:c>
      <x:c r="C8" s="7" t="n">
        <x:v>6</x:v>
      </x:c>
      <x:c r="D8" s="7" t="n">
        <x:v>16</x:v>
      </x:c>
      <x:c r="E8" s="7" t="n">
        <x:v>24</x:v>
      </x:c>
      <x:c r="F8" s="7" t="n">
        <x:v>220</x:v>
      </x:c>
      <x:c r="G8" s="7" t="n">
        <x:v>0.65</x:v>
      </x:c>
      <x:c r="H8" s="7" t="n">
        <x:f>C8*E8/12*F8*G8</x:f>
        <x:v>1716</x:v>
      </x:c>
      <x:c r="I8" s="7" t="n">
        <x:f>C8*D8</x:f>
        <x:v>96</x:v>
      </x:c>
      <x:c r="J8" s="12" t="n">
        <x:f>I8/H8</x:f>
        <x:v>0.055944055944055944</x:v>
      </x:c>
    </x:row>
    <x:row r="9">
      <x:c r="B9" s="7" t="str">
        <x:v>metrology-transfer lanes</x:v>
      </x:c>
      <x:c r="C9" s="7" t="n">
        <x:v>6</x:v>
      </x:c>
      <x:c r="D9" s="7" t="n">
        <x:v>18</x:v>
      </x:c>
      <x:c r="E9" s="7" t="n">
        <x:v>24</x:v>
      </x:c>
      <x:c r="F9" s="7" t="n">
        <x:v>220</x:v>
      </x:c>
      <x:c r="G9" s="7" t="n">
        <x:v>0.65</x:v>
      </x:c>
      <x:c r="H9" s="7" t="n">
        <x:f>C9*E9/12*F9*G9</x:f>
        <x:v>1716</x:v>
      </x:c>
      <x:c r="I9" s="7" t="n">
        <x:f>C9*D9</x:f>
        <x:v>108</x:v>
      </x:c>
      <x:c r="J9" s="12" t="n">
        <x:f>I9/H9</x:f>
        <x:v>0.06293706293706294</x:v>
      </x:c>
    </x:row>
    <x:row r="10">
      <x:c r="B10" s="7" t="str">
        <x:v>bore and geometry stations</x:v>
      </x:c>
      <x:c r="C10" s="7" t="n">
        <x:v>6</x:v>
      </x:c>
      <x:c r="D10" s="7" t="n">
        <x:v>24</x:v>
      </x:c>
      <x:c r="E10" s="7" t="n">
        <x:v>24</x:v>
      </x:c>
      <x:c r="F10" s="7" t="n">
        <x:v>220</x:v>
      </x:c>
      <x:c r="G10" s="7" t="n">
        <x:v>0.65</x:v>
      </x:c>
      <x:c r="H10" s="7" t="n">
        <x:f>C10*E10/12*F10*G10</x:f>
        <x:v>1716</x:v>
      </x:c>
      <x:c r="I10" s="7" t="n">
        <x:f>C10*D10</x:f>
        <x:v>144</x:v>
      </x:c>
      <x:c r="J10" s="12" t="n">
        <x:f>I10/H10</x:f>
        <x:v>0.08391608391608392</x:v>
      </x:c>
    </x:row>
    <x:row r="11">
      <x:c r="B11" s="7" t="str">
        <x:v>joint NDE stations</x:v>
      </x:c>
      <x:c r="C11" s="7" t="n">
        <x:v>6</x:v>
      </x:c>
      <x:c r="D11" s="7" t="n">
        <x:v>20</x:v>
      </x:c>
      <x:c r="E11" s="7" t="n">
        <x:v>24</x:v>
      </x:c>
      <x:c r="F11" s="7" t="n">
        <x:v>220</x:v>
      </x:c>
      <x:c r="G11" s="7" t="n">
        <x:v>0.65</x:v>
      </x:c>
      <x:c r="H11" s="7" t="n">
        <x:f>C11*E11/12*F11*G11</x:f>
        <x:v>1716</x:v>
      </x:c>
      <x:c r="I11" s="7" t="n">
        <x:f>C11*D11</x:f>
        <x:v>120</x:v>
      </x:c>
      <x:c r="J11" s="12" t="n">
        <x:f>I11/H11</x:f>
        <x:v>0.06993006993006994</x:v>
      </x:c>
    </x:row>
    <x:row r="12">
      <x:c r="B12" s="7" t="str">
        <x:v>coupon laboratories</x:v>
      </x:c>
      <x:c r="C12" s="7" t="n">
        <x:v>6</x:v>
      </x:c>
      <x:c r="D12" s="7" t="n">
        <x:v>36</x:v>
      </x:c>
      <x:c r="E12" s="7" t="n">
        <x:v>24</x:v>
      </x:c>
      <x:c r="F12" s="7" t="n">
        <x:v>220</x:v>
      </x:c>
      <x:c r="G12" s="7" t="n">
        <x:v>0.65</x:v>
      </x:c>
      <x:c r="H12" s="7" t="n">
        <x:f>C12*E12/12*F12*G12</x:f>
        <x:v>1716</x:v>
      </x:c>
      <x:c r="I12" s="7" t="n">
        <x:f>C12*D12</x:f>
        <x:v>216</x:v>
      </x:c>
      <x:c r="J12" s="12" t="n">
        <x:f>I12/H12</x:f>
        <x:v>0.1258741258741259</x:v>
      </x:c>
    </x:row>
    <x:row r="13">
      <x:c r="B13" s="7" t="str">
        <x:v>safeing benches</x:v>
      </x:c>
      <x:c r="C13" s="7" t="n">
        <x:v>6</x:v>
      </x:c>
      <x:c r="D13" s="7" t="n">
        <x:v>30</x:v>
      </x:c>
      <x:c r="E13" s="7" t="n">
        <x:v>24</x:v>
      </x:c>
      <x:c r="F13" s="7" t="n">
        <x:v>220</x:v>
      </x:c>
      <x:c r="G13" s="7" t="n">
        <x:v>0.65</x:v>
      </x:c>
      <x:c r="H13" s="7" t="n">
        <x:f>C13*E13/12*F13*G13</x:f>
        <x:v>1716</x:v>
      </x:c>
      <x:c r="I13" s="7" t="n">
        <x:f>C13*D13</x:f>
        <x:v>180</x:v>
      </x:c>
      <x:c r="J13" s="12" t="n">
        <x:f>I13/H13</x:f>
        <x:v>0.1048951048951049</x:v>
      </x:c>
    </x:row>
    <x:row r="14">
      <x:c r="B14" s="7" t="str">
        <x:v>calibration benches</x:v>
      </x:c>
      <x:c r="C14" s="7" t="n">
        <x:v>12</x:v>
      </x:c>
      <x:c r="D14" s="7" t="n">
        <x:v>48</x:v>
      </x:c>
      <x:c r="E14" s="7" t="n">
        <x:v>24</x:v>
      </x:c>
      <x:c r="F14" s="7" t="n">
        <x:v>220</x:v>
      </x:c>
      <x:c r="G14" s="7" t="n">
        <x:v>0.65</x:v>
      </x:c>
      <x:c r="H14" s="7" t="n">
        <x:f>C14*E14/12*F14*G14</x:f>
        <x:v>3432</x:v>
      </x:c>
      <x:c r="I14" s="7" t="n">
        <x:f>C14*D14</x:f>
        <x:v>576</x:v>
      </x:c>
      <x:c r="J14" s="12" t="n">
        <x:f>I14/H14</x:f>
        <x:v>0.16783216783216784</x:v>
      </x:c>
    </x:row>
    <x:row r="15">
      <x:c r="B15" s="7" t="str">
        <x:v>evidence ingest lanes</x:v>
      </x:c>
      <x:c r="C15" s="7" t="n">
        <x:v>6</x:v>
      </x:c>
      <x:c r="D15" s="7" t="n">
        <x:v>24</x:v>
      </x:c>
      <x:c r="E15" s="7" t="n">
        <x:v>24</x:v>
      </x:c>
      <x:c r="F15" s="7" t="n">
        <x:v>220</x:v>
      </x:c>
      <x:c r="G15" s="7" t="n">
        <x:v>0.65</x:v>
      </x:c>
      <x:c r="H15" s="7" t="n">
        <x:f>C15*E15/12*F15*G15</x:f>
        <x:v>1716</x:v>
      </x:c>
      <x:c r="I15" s="7" t="n">
        <x:f>C15*D15</x:f>
        <x:v>144</x:v>
      </x:c>
      <x:c r="J15" s="12" t="n">
        <x:f>I15/H15</x:f>
        <x:v>0.08391608391608392</x:v>
      </x:c>
    </x:row>
    <x:row r="16">
      <x:c r="B16" s="7" t="str">
        <x:v>material custody lanes</x:v>
      </x:c>
      <x:c r="C16" s="7" t="n">
        <x:v>3</x:v>
      </x:c>
      <x:c r="D16" s="7" t="n">
        <x:v>14</x:v>
      </x:c>
      <x:c r="E16" s="7" t="n">
        <x:v>24</x:v>
      </x:c>
      <x:c r="F16" s="7" t="n">
        <x:v>220</x:v>
      </x:c>
      <x:c r="G16" s="7" t="n">
        <x:v>0.65</x:v>
      </x:c>
      <x:c r="H16" s="7" t="n">
        <x:f>C16*E16/12*F16*G16</x:f>
        <x:v>858</x:v>
      </x:c>
      <x:c r="I16" s="7" t="n">
        <x:f>C16*D16</x:f>
        <x:v>42</x:v>
      </x:c>
      <x:c r="J16" s="12" t="n">
        <x:f>I16/H16</x:f>
        <x:v>0.04895104895104895</x:v>
      </x:c>
    </x:row>
    <x:row r="17">
      <x:c r="B17" s="7" t="str">
        <x:v>quarantine bays</x:v>
      </x:c>
      <x:c r="C17" s="7" t="n">
        <x:v>6</x:v>
      </x:c>
      <x:c r="D17" s="7" t="n">
        <x:v>12</x:v>
      </x:c>
      <x:c r="E17" s="7" t="n">
        <x:v>24</x:v>
      </x:c>
      <x:c r="F17" s="7" t="n">
        <x:v>220</x:v>
      </x:c>
      <x:c r="G17" s="7" t="n">
        <x:v>0.65</x:v>
      </x:c>
      <x:c r="H17" s="7" t="n">
        <x:f>C17*E17/12*F17*G17</x:f>
        <x:v>1716</x:v>
      </x:c>
      <x:c r="I17" s="7" t="n">
        <x:f>C17*D17</x:f>
        <x:v>72</x:v>
      </x:c>
      <x:c r="J17" s="12" t="n">
        <x:f>I17/H17</x:f>
        <x:v>0.04195804195804196</x:v>
      </x:c>
    </x:row>
    <x:row r="18">
      <x:c r="B18" s="7" t="str">
        <x:v>article boards</x:v>
      </x:c>
      <x:c r="C18" s="7" t="n">
        <x:v>3</x:v>
      </x:c>
      <x:c r="D18" s="7" t="n">
        <x:v>18</x:v>
      </x:c>
      <x:c r="E18" s="7" t="n">
        <x:v>24</x:v>
      </x:c>
      <x:c r="F18" s="7" t="n">
        <x:v>220</x:v>
      </x:c>
      <x:c r="G18" s="7" t="n">
        <x:v>0.65</x:v>
      </x:c>
      <x:c r="H18" s="7" t="n">
        <x:f>C18*E18/12*F18*G18</x:f>
        <x:v>858</x:v>
      </x:c>
      <x:c r="I18" s="7" t="n">
        <x:f>C18*D18</x:f>
        <x:v>54</x:v>
      </x:c>
      <x:c r="J18" s="12" t="n">
        <x:f>I18/H18</x:f>
        <x:v>0.06293706293706294</x:v>
      </x:c>
    </x:row>
  </x:sheetData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42" hidden="0" customWidth="1"/>
    <x:col min="3" max="3" width="17" hidden="0" customWidth="1"/>
    <x:col min="4" max="4" width="17" hidden="0" customWidth="1"/>
  </x:cols>
  <x:sheetData>
    <x:row r="2">
      <x:c r="B2" s="1" t="str">
        <x:v>Two hundred forty assigned positions</x:v>
      </x:c>
    </x:row>
    <x:row r="3">
      <x:c r="B3" s="2" t="str">
        <x:v>The establishment is inherited from RAP-1 and distributed across three independent builders and public acceptance functions.</x:v>
      </x:c>
    </x:row>
    <x:row r="6" ht="24" customHeight="1">
      <x:c r="B6" s="6" t="str">
        <x:v>Profession</x:v>
      </x:c>
      <x:c r="C6" s="6" t="str">
        <x:v>Positions</x:v>
      </x:c>
      <x:c r="D6" s="6" t="str">
        <x:v>Share</x:v>
      </x:c>
    </x:row>
    <x:row r="7">
      <x:c r="B7" s="7" t="str">
        <x:v>campaign integration</x:v>
      </x:c>
      <x:c r="C7" s="7" t="n">
        <x:v>18</x:v>
      </x:c>
      <x:c r="D7" s="12" t="n">
        <x:f>C7/C17</x:f>
        <x:v>0.075</x:v>
      </x:c>
    </x:row>
    <x:row r="8">
      <x:c r="B8" s="7" t="str">
        <x:v>configuration and build capsules</x:v>
      </x:c>
      <x:c r="C8" s="7" t="n">
        <x:v>24</x:v>
      </x:c>
      <x:c r="D8" s="12" t="n">
        <x:f>C8/C17</x:f>
        <x:v>0.1</x:v>
      </x:c>
    </x:row>
    <x:row r="9">
      <x:c r="B9" s="7" t="str">
        <x:v>three builder cells</x:v>
      </x:c>
      <x:c r="C9" s="7" t="n">
        <x:v>72</x:v>
      </x:c>
      <x:c r="D9" s="12" t="n">
        <x:f>C9/C17</x:f>
        <x:v>0.3</x:v>
      </x:c>
    </x:row>
    <x:row r="10">
      <x:c r="B10" s="7" t="str">
        <x:v>supplier and material quality</x:v>
      </x:c>
      <x:c r="C10" s="7" t="n">
        <x:v>24</x:v>
      </x:c>
      <x:c r="D10" s="12" t="n">
        <x:f>C10/C17</x:f>
        <x:v>0.1</x:v>
      </x:c>
    </x:row>
    <x:row r="11">
      <x:c r="B11" s="7" t="str">
        <x:v>tooling and metrology</x:v>
      </x:c>
      <x:c r="C11" s="7" t="n">
        <x:v>32</x:v>
      </x:c>
      <x:c r="D11" s="12" t="n">
        <x:f>C11/C17</x:f>
        <x:v>0.13333333333333333</x:v>
      </x:c>
    </x:row>
    <x:row r="12">
      <x:c r="B12" s="7" t="str">
        <x:v>production quality and NDE</x:v>
      </x:c>
      <x:c r="C12" s="7" t="n">
        <x:v>24</x:v>
      </x:c>
      <x:c r="D12" s="12" t="n">
        <x:f>C12/C17</x:f>
        <x:v>0.1</x:v>
      </x:c>
    </x:row>
    <x:row r="13">
      <x:c r="B13" s="7" t="str">
        <x:v>safeing and controls</x:v>
      </x:c>
      <x:c r="C13" s="7" t="n">
        <x:v>18</x:v>
      </x:c>
      <x:c r="D13" s="12" t="n">
        <x:f>C13/C17</x:f>
        <x:v>0.075</x:v>
      </x:c>
    </x:row>
    <x:row r="14">
      <x:c r="B14" s="7" t="str">
        <x:v>evidence and causal time</x:v>
      </x:c>
      <x:c r="C14" s="7" t="n">
        <x:v>12</x:v>
      </x:c>
      <x:c r="D14" s="12" t="n">
        <x:f>C14/C17</x:f>
        <x:v>0.05</x:v>
      </x:c>
    </x:row>
    <x:row r="15">
      <x:c r="B15" s="7" t="str">
        <x:v>safety and containment</x:v>
      </x:c>
      <x:c r="C15" s="7" t="n">
        <x:v>10</x:v>
      </x:c>
      <x:c r="D15" s="12" t="n">
        <x:f>C15/C17</x:f>
        <x:v>0.041666666666666664</x:v>
      </x:c>
    </x:row>
    <x:row r="16">
      <x:c r="B16" s="7" t="str">
        <x:v>independent acceptance</x:v>
      </x:c>
      <x:c r="C16" s="7" t="n">
        <x:v>6</x:v>
      </x:c>
      <x:c r="D16" s="12" t="n">
        <x:f>C16/C17</x:f>
        <x:v>0.025</x:v>
      </x:c>
    </x:row>
    <x:row r="17">
      <x:c r="B17" s="17" t="str">
        <x:v>Total</x:v>
      </x:c>
      <x:c r="C17" s="17" t="n">
        <x:v>240</x:v>
      </x:c>
      <x:c r="D17" s="18" t="n">
        <x:v>1</x:v>
      </x:c>
    </x:row>
  </x:sheetData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58" hidden="0" customWidth="1"/>
    <x:col min="3" max="3" width="17" hidden="0" customWidth="1"/>
    <x:col min="4" max="4" width="17" hidden="0" customWidth="1"/>
  </x:cols>
  <x:sheetData>
    <x:row r="2">
      <x:c r="B2" s="1" t="str">
        <x:v>RAQ-1 capital allocation</x:v>
      </x:c>
    </x:row>
    <x:row r="3">
      <x:c r="B3" s="2" t="str">
        <x:v>The USD 66M allocation consumes the remaining RAP-1 capital boundary.</x:v>
      </x:c>
    </x:row>
    <x:row r="6" ht="24" customHeight="1">
      <x:c r="B6" s="6" t="str">
        <x:v>Capital use</x:v>
      </x:c>
      <x:c r="C6" s="6" t="str">
        <x:v>USD M</x:v>
      </x:c>
      <x:c r="D6" s="6" t="str">
        <x:v>Share</x:v>
      </x:c>
    </x:row>
    <x:row r="7">
      <x:c r="B7" s="7" t="str">
        <x:v>eighteen bank articles and article-owned fixtures</x:v>
      </x:c>
      <x:c r="C7" s="22" t="n">
        <x:v>54</x:v>
      </x:c>
      <x:c r="D7" s="12" t="n">
        <x:f>C7/C14</x:f>
        <x:v>0.8181818181818182</x:v>
      </x:c>
    </x:row>
    <x:row r="8">
      <x:c r="B8" s="7" t="str">
        <x:v>builder installation and transfer standards</x:v>
      </x:c>
      <x:c r="C8" s="22" t="n">
        <x:v>3</x:v>
      </x:c>
      <x:c r="D8" s="12" t="n">
        <x:f>C8/C14</x:f>
        <x:v>0.045454545454545456</x:v>
      </x:c>
    </x:row>
    <x:row r="9">
      <x:c r="B9" s="7" t="str">
        <x:v>independent inspection and article boards</x:v>
      </x:c>
      <x:c r="C9" s="22" t="n">
        <x:v>2</x:v>
      </x:c>
      <x:c r="D9" s="12" t="n">
        <x:f>C9/C14</x:f>
        <x:v>0.030303030303030304</x:v>
      </x:c>
    </x:row>
    <x:row r="10">
      <x:c r="B10" s="7" t="str">
        <x:v>material split, custody and quarantine</x:v>
      </x:c>
      <x:c r="C10" s="22" t="n">
        <x:v>2</x:v>
      </x:c>
      <x:c r="D10" s="12" t="n">
        <x:f>C10/C14</x:f>
        <x:v>0.030303030303030304</x:v>
      </x:c>
    </x:row>
    <x:row r="11">
      <x:c r="B11" s="7" t="str">
        <x:v>build-capsule and configuration vault</x:v>
      </x:c>
      <x:c r="C11" s="22" t="n">
        <x:v>2</x:v>
      </x:c>
      <x:c r="D11" s="12" t="n">
        <x:f>C11/C14</x:f>
        <x:v>0.030303030303030304</x:v>
      </x:c>
    </x:row>
    <x:row r="12">
      <x:c r="B12" s="7" t="str">
        <x:v>replenishment tooling reserve</x:v>
      </x:c>
      <x:c r="C12" s="22" t="n">
        <x:v>1</x:v>
      </x:c>
      <x:c r="D12" s="12" t="n">
        <x:f>C12/C14</x:f>
        <x:v>0.015151515151515152</x:v>
      </x:c>
    </x:row>
    <x:row r="13">
      <x:c r="B13" s="7" t="str">
        <x:v>contingency</x:v>
      </x:c>
      <x:c r="C13" s="22" t="n">
        <x:v>2</x:v>
      </x:c>
      <x:c r="D13" s="12" t="n">
        <x:f>C13/C14</x:f>
        <x:v>0.030303030303030304</x:v>
      </x:c>
    </x:row>
    <x:row r="14">
      <x:c r="B14" s="17" t="str">
        <x:v>Total</x:v>
      </x:c>
      <x:c r="C14" s="20" t="n">
        <x:f>SUM(C7:C13)</x:f>
        <x:v>66</x:v>
      </x:c>
      <x:c r="D14" s="18" t="n">
        <x:v>1</x:v>
      </x:c>
    </x:row>
  </x:sheetData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58" hidden="0" customWidth="1"/>
    <x:col min="3" max="3" width="20" hidden="0" customWidth="1"/>
    <x:col min="4" max="4" width="17" hidden="0" customWidth="1"/>
  </x:cols>
  <x:sheetData>
    <x:row r="2">
      <x:c r="B2" s="1" t="str">
        <x:v>RAQ-1 annual support</x:v>
      </x:c>
    </x:row>
    <x:row r="3">
      <x:c r="B3" s="2" t="str">
        <x:v>The USD 16M annual allocation consumes the remaining RAP-1 annual boundary.</x:v>
      </x:c>
    </x:row>
    <x:row r="6" ht="24" customHeight="1">
      <x:c r="B6" s="6" t="str">
        <x:v>Annual use</x:v>
      </x:c>
      <x:c r="C6" s="6" t="str">
        <x:v>USD M/year</x:v>
      </x:c>
      <x:c r="D6" s="6" t="str">
        <x:v>Share</x:v>
      </x:c>
    </x:row>
    <x:row r="7">
      <x:c r="B7" s="7" t="str">
        <x:v>builder and production workforce</x:v>
      </x:c>
      <x:c r="C7" s="22" t="n">
        <x:v>6</x:v>
      </x:c>
      <x:c r="D7" s="12" t="n">
        <x:f>C7/C14</x:f>
        <x:v>0.375</x:v>
      </x:c>
    </x:row>
    <x:row r="8">
      <x:c r="B8" s="7" t="str">
        <x:v>supplier and material quality</x:v>
      </x:c>
      <x:c r="C8" s="22" t="n">
        <x:v>2</x:v>
      </x:c>
      <x:c r="D8" s="12" t="n">
        <x:f>C8/C14</x:f>
        <x:v>0.125</x:v>
      </x:c>
    </x:row>
    <x:row r="9">
      <x:c r="B9" s="7" t="str">
        <x:v>metrology and calibration transfer</x:v>
      </x:c>
      <x:c r="C9" s="22" t="n">
        <x:v>2</x:v>
      </x:c>
      <x:c r="D9" s="12" t="n">
        <x:f>C9/C14</x:f>
        <x:v>0.125</x:v>
      </x:c>
    </x:row>
    <x:row r="10">
      <x:c r="B10" s="7" t="str">
        <x:v>independent inspection and boards</x:v>
      </x:c>
      <x:c r="C10" s="22" t="n">
        <x:v>2</x:v>
      </x:c>
      <x:c r="D10" s="12" t="n">
        <x:f>C10/C14</x:f>
        <x:v>0.125</x:v>
      </x:c>
    </x:row>
    <x:row r="11">
      <x:c r="B11" s="7" t="str">
        <x:v>evidence and configuration</x:v>
      </x:c>
      <x:c r="C11" s="22" t="n">
        <x:v>2</x:v>
      </x:c>
      <x:c r="D11" s="12" t="n">
        <x:f>C11/C14</x:f>
        <x:v>0.125</x:v>
      </x:c>
    </x:row>
    <x:row r="12">
      <x:c r="B12" s="7" t="str">
        <x:v>safety and containment</x:v>
      </x:c>
      <x:c r="C12" s="22" t="n">
        <x:v>1</x:v>
      </x:c>
      <x:c r="D12" s="12" t="n">
        <x:f>C12/C14</x:f>
        <x:v>0.0625</x:v>
      </x:c>
    </x:row>
    <x:row r="13">
      <x:c r="B13" s="7" t="str">
        <x:v>contingency</x:v>
      </x:c>
      <x:c r="C13" s="22" t="n">
        <x:v>1</x:v>
      </x:c>
      <x:c r="D13" s="12" t="n">
        <x:f>C13/C14</x:f>
        <x:v>0.0625</x:v>
      </x:c>
    </x:row>
    <x:row r="14">
      <x:c r="B14" s="17" t="str">
        <x:v>Total</x:v>
      </x:c>
      <x:c r="C14" s="20" t="n">
        <x:f>SUM(C7:C13)</x:f>
        <x:v>16</x:v>
      </x:c>
      <x:c r="D14" s="18" t="n">
        <x:v>1</x:v>
      </x:c>
    </x:row>
  </x:sheetData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55" hidden="0" customWidth="1"/>
    <x:col min="3" max="3" width="22" hidden="0" customWidth="1"/>
    <x:col min="4" max="4" width="18" hidden="0" customWidth="1"/>
    <x:col min="5" max="5" width="69" hidden="0" customWidth="1"/>
  </x:cols>
  <x:sheetData>
    <x:row r="2">
      <x:c r="B2" s="1" t="str">
        <x:v>RAP-1 financial and schedule reconciliation</x:v>
      </x:c>
    </x:row>
    <x:row r="3">
      <x:c r="B3" s="2" t="str">
        <x:v>Capital, annual support and technology close exactly. The sequential gate chain exceeds the original establishment calendar.</x:v>
      </x:c>
    </x:row>
    <x:row r="6" ht="24" customHeight="1">
      <x:c r="B6" s="6" t="str">
        <x:v>Line</x:v>
      </x:c>
      <x:c r="C6" s="6" t="str">
        <x:v>Value</x:v>
      </x:c>
      <x:c r="D6" s="6" t="str">
        <x:v>Unit</x:v>
      </x:c>
      <x:c r="E6" s="6" t="str">
        <x:v>Interpretation</x:v>
      </x:c>
    </x:row>
    <x:row r="7" ht="35" customHeight="1">
      <x:c r="B7" s="7" t="str">
        <x:v>RAP-1 capital boundary</x:v>
      </x:c>
      <x:c r="C7" s="19" t="n">
        <x:v>248</x:v>
      </x:c>
      <x:c r="D7" s="7" t="str">
        <x:v>USD M</x:v>
      </x:c>
      <x:c r="E7" s="10" t="str"/>
    </x:row>
    <x:row r="8" ht="35" customHeight="1">
      <x:c r="B8" s="7" t="str">
        <x:v>RAC-1 capital allocation</x:v>
      </x:c>
      <x:c r="C8" s="19" t="n">
        <x:v>64</x:v>
      </x:c>
      <x:c r="D8" s="7" t="str">
        <x:v>USD M</x:v>
      </x:c>
      <x:c r="E8" s="10" t="str"/>
    </x:row>
    <x:row r="9" ht="35" customHeight="1">
      <x:c r="B9" s="7" t="str">
        <x:v>RAB-1 capital allocation</x:v>
      </x:c>
      <x:c r="C9" s="19" t="n">
        <x:v>118</x:v>
      </x:c>
      <x:c r="D9" s="7" t="str">
        <x:v>USD M</x:v>
      </x:c>
      <x:c r="E9" s="10" t="str"/>
    </x:row>
    <x:row r="10" ht="35" customHeight="1">
      <x:c r="B10" s="7" t="str">
        <x:v>RAQ-1 capital allocation</x:v>
      </x:c>
      <x:c r="C10" s="19" t="n">
        <x:f>Capital!C14</x:f>
        <x:v>66</x:v>
      </x:c>
      <x:c r="D10" s="7" t="str">
        <x:v>USD M</x:v>
      </x:c>
      <x:c r="E10" s="10" t="str"/>
    </x:row>
    <x:row r="11" ht="35" customHeight="1">
      <x:c r="B11" s="7" t="str">
        <x:v>capital remainder</x:v>
      </x:c>
      <x:c r="C11" s="19" t="n">
        <x:f>C7-SUM(C8:C10)</x:f>
        <x:v>0</x:v>
      </x:c>
      <x:c r="D11" s="7" t="str">
        <x:v>USD M</x:v>
      </x:c>
      <x:c r="E11" s="10" t="str">
        <x:v>all capital assigned</x:v>
      </x:c>
    </x:row>
    <x:row r="12" ht="35" customHeight="1">
      <x:c r="B12" s="7" t="str">
        <x:v>RAP-1 annual boundary</x:v>
      </x:c>
      <x:c r="C12" s="19" t="n">
        <x:v>112</x:v>
      </x:c>
      <x:c r="D12" s="7" t="str">
        <x:v>USD M/year</x:v>
      </x:c>
      <x:c r="E12" s="10" t="str"/>
    </x:row>
    <x:row r="13" ht="35" customHeight="1">
      <x:c r="B13" s="7" t="str">
        <x:v>RAC-1 annual allocation</x:v>
      </x:c>
      <x:c r="C13" s="19" t="n">
        <x:v>38</x:v>
      </x:c>
      <x:c r="D13" s="7" t="str">
        <x:v>USD M/year</x:v>
      </x:c>
      <x:c r="E13" s="10" t="str"/>
    </x:row>
    <x:row r="14" ht="35" customHeight="1">
      <x:c r="B14" s="7" t="str">
        <x:v>RAB-1 annual allocation</x:v>
      </x:c>
      <x:c r="C14" s="19" t="n">
        <x:v>58</x:v>
      </x:c>
      <x:c r="D14" s="7" t="str">
        <x:v>USD M/year</x:v>
      </x:c>
      <x:c r="E14" s="10" t="str"/>
    </x:row>
    <x:row r="15" ht="35" customHeight="1">
      <x:c r="B15" s="7" t="str">
        <x:v>RAQ-1 annual allocation</x:v>
      </x:c>
      <x:c r="C15" s="19" t="n">
        <x:f>'Annual Support'!C14</x:f>
        <x:v>16</x:v>
      </x:c>
      <x:c r="D15" s="7" t="str">
        <x:v>USD M/year</x:v>
      </x:c>
      <x:c r="E15" s="10" t="str"/>
    </x:row>
    <x:row r="16" ht="35" customHeight="1">
      <x:c r="B16" s="7" t="str">
        <x:v>annual remainder</x:v>
      </x:c>
      <x:c r="C16" s="19" t="n">
        <x:f>C12-SUM(C13:C15)</x:f>
        <x:v>0</x:v>
      </x:c>
      <x:c r="D16" s="7" t="str">
        <x:v>USD M/year</x:v>
      </x:c>
      <x:c r="E16" s="10" t="str">
        <x:v>all annual support assigned</x:v>
      </x:c>
    </x:row>
    <x:row r="17" ht="35" customHeight="1">
      <x:c r="B17" s="7" t="str">
        <x:v>RAP-1 technology boundary</x:v>
      </x:c>
      <x:c r="C17" s="19" t="n">
        <x:v>310</x:v>
      </x:c>
      <x:c r="D17" s="7" t="str">
        <x:v>USD M</x:v>
      </x:c>
      <x:c r="E17" s="10" t="str"/>
    </x:row>
    <x:row r="18" ht="35" customHeight="1">
      <x:c r="B18" s="7" t="str">
        <x:v>RAB-1 mapped technology</x:v>
      </x:c>
      <x:c r="C18" s="19" t="n">
        <x:v>180</x:v>
      </x:c>
      <x:c r="D18" s="7" t="str">
        <x:v>USD M</x:v>
      </x:c>
      <x:c r="E18" s="10" t="str"/>
    </x:row>
    <x:row r="19" ht="35" customHeight="1">
      <x:c r="B19" s="7" t="str">
        <x:v>RAQ-1 technology increment</x:v>
      </x:c>
      <x:c r="C19" s="19" t="n">
        <x:f>'Technology Programs'!D17</x:f>
        <x:v>130</x:v>
      </x:c>
      <x:c r="D19" s="7" t="str">
        <x:v>USD M</x:v>
      </x:c>
      <x:c r="E19" s="10" t="str"/>
    </x:row>
    <x:row r="20" ht="35" customHeight="1">
      <x:c r="B20" s="7" t="str">
        <x:v>technology remainder</x:v>
      </x:c>
      <x:c r="C20" s="19" t="n">
        <x:f>C17-SUM(C18:C19)</x:f>
        <x:v>0</x:v>
      </x:c>
      <x:c r="D20" s="7" t="str">
        <x:v>USD M</x:v>
      </x:c>
      <x:c r="E20" s="10" t="str">
        <x:v>technology map closes without an additional Department draw</x:v>
      </x:c>
    </x:row>
    <x:row r="21" ht="35" customHeight="1">
      <x:c r="B21" s="7" t="str">
        <x:v>RAC + RAB + RAQ stage exposure</x:v>
      </x:c>
      <x:c r="C21" s="19" t="n">
        <x:f>121+205+Capital!C14+2*'Annual Support'!C14</x:f>
        <x:v>424</x:v>
      </x:c>
      <x:c r="D21" s="7" t="str">
        <x:v>USD M</x:v>
      </x:c>
      <x:c r="E21" s="10" t="str"/>
    </x:row>
    <x:row r="22" ht="35" customHeight="1">
      <x:c r="B22" s="7" t="str">
        <x:v>RAP-1 original 24-month gross exposure</x:v>
      </x:c>
      <x:c r="C22" s="19" t="n">
        <x:v>472</x:v>
      </x:c>
      <x:c r="D22" s="7" t="str">
        <x:v>USD M</x:v>
      </x:c>
      <x:c r="E22" s="10" t="str"/>
    </x:row>
    <x:row r="23" ht="35" customHeight="1">
      <x:c r="B23" s="7" t="str">
        <x:v>unassigned exposure inside original gross boundary</x:v>
      </x:c>
      <x:c r="C23" s="19" t="n">
        <x:f>C22-C21</x:f>
        <x:v>48</x:v>
      </x:c>
      <x:c r="D23" s="7" t="str">
        <x:v>USD M</x:v>
      </x:c>
      <x:c r="E23" s="10" t="str">
        <x:v>financial headroom is not calendar evidence</x:v>
      </x:c>
    </x:row>
    <x:row r="24" ht="35" customHeight="1">
      <x:c r="B24" s="7" t="str">
        <x:v>sequential stage duration</x:v>
      </x:c>
      <x:c r="C24" s="19" t="n">
        <x:v>60</x:v>
      </x:c>
      <x:c r="D24" s="7" t="str">
        <x:v>months</x:v>
      </x:c>
      <x:c r="E24" s="10" t="str"/>
    </x:row>
    <x:row r="25" ht="35" customHeight="1">
      <x:c r="B25" s="7" t="str">
        <x:v>original RAP-1 establishment duration</x:v>
      </x:c>
      <x:c r="C25" s="19" t="n">
        <x:v>24</x:v>
      </x:c>
      <x:c r="D25" s="7" t="str">
        <x:v>months</x:v>
      </x:c>
      <x:c r="E25" s="10" t="str"/>
    </x:row>
    <x:row r="26" ht="35" customHeight="1">
      <x:c r="B26" s="7" t="str">
        <x:v>schedule excess</x:v>
      </x:c>
      <x:c r="C26" s="19" t="n">
        <x:f>C24-C25</x:f>
        <x:v>36</x:v>
      </x:c>
      <x:c r="D26" s="7" t="str">
        <x:v>months</x:v>
      </x:c>
      <x:c r="E26" s="10" t="str">
        <x:v>formal RAP-1 schedule rebase required before execution</x:v>
      </x:c>
    </x:row>
  </x:sheetData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43" hidden="0" customWidth="1"/>
    <x:col min="4" max="4" width="17" hidden="0" customWidth="1"/>
    <x:col min="5" max="5" width="77" hidden="0" customWidth="1"/>
    <x:col min="6" max="6" width="14" hidden="0" customWidth="1"/>
  </x:cols>
  <x:sheetData>
    <x:row r="2">
      <x:c r="B2" s="1" t="str">
        <x:v>USD 130M RAQ-1 technology increment</x:v>
      </x:c>
    </x:row>
    <x:row r="3">
      <x:c r="B3" s="2" t="str">
        <x:v>The increment completes the inherited USD 310M RAP-1 technology boundary. It is cross-classified and not added to capital.</x:v>
      </x:c>
    </x:row>
    <x:row r="6" ht="24" customHeight="1">
      <x:c r="B6" s="6" t="str">
        <x:v>Program</x:v>
      </x:c>
      <x:c r="C6" s="6" t="str">
        <x:v>Technology</x:v>
      </x:c>
      <x:c r="D6" s="6" t="str">
        <x:v>USD M</x:v>
      </x:c>
      <x:c r="E6" s="6" t="str">
        <x:v>Research objective</x:v>
      </x:c>
      <x:c r="F6" s="6" t="str">
        <x:v>State</x:v>
      </x:c>
    </x:row>
    <x:row r="7" ht="40" customHeight="1">
      <x:c r="B7" s="7" t="str">
        <x:v>TQ-01</x:v>
      </x:c>
      <x:c r="C7" s="7" t="str">
        <x:v>executable build-capsule compiler</x:v>
      </x:c>
      <x:c r="D7" s="22" t="n">
        <x:v>18</x:v>
      </x:c>
      <x:c r="E7" s="10" t="str">
        <x:v>verify drawings, routes, tools, software and acceptance as one issued package</x:v>
      </x:c>
      <x:c r="F7" s="7" t="str">
        <x:v>OPEN</x:v>
      </x:c>
    </x:row>
    <x:row r="8" ht="40" customHeight="1">
      <x:c r="B8" s="7" t="str">
        <x:v>TQ-02</x:v>
      </x:c>
      <x:c r="C8" s="7" t="str">
        <x:v>self-verifying production tooling</x:v>
      </x:c>
      <x:c r="D8" s="22" t="n">
        <x:v>18</x:v>
      </x:c>
      <x:c r="E8" s="10" t="str">
        <x:v>bind actuator, reference, boundary, calibration and safety state</x:v>
      </x:c>
      <x:c r="F8" s="7" t="str">
        <x:v>OPEN</x:v>
      </x:c>
    </x:row>
    <x:row r="9" ht="40" customHeight="1">
      <x:c r="B9" s="7" t="str">
        <x:v>TQ-03</x:v>
      </x:c>
      <x:c r="C9" s="7" t="str">
        <x:v>autonomous bore and joint conformance</x:v>
      </x:c>
      <x:c r="D9" s="22" t="n">
        <x:v>20</x:v>
      </x:c>
      <x:c r="E9" s="10" t="str">
        <x:v>inspect complete internal geometry without teardown</x:v>
      </x:c>
      <x:c r="F9" s="7" t="str">
        <x:v>OPEN</x:v>
      </x:c>
    </x:row>
    <x:row r="10" ht="40" customHeight="1">
      <x:c r="B10" s="7" t="str">
        <x:v>TQ-04</x:v>
      </x:c>
      <x:c r="C10" s="7" t="str">
        <x:v>machine-readable material ancestry</x:v>
      </x:c>
      <x:c r="D10" s="22" t="n">
        <x:v>12</x:v>
      </x:c>
      <x:c r="E10" s="10" t="str">
        <x:v>carry parent-bundle identity through split, process and article</x:v>
      </x:c>
      <x:c r="F10" s="7" t="str">
        <x:v>OPEN</x:v>
      </x:c>
    </x:row>
    <x:row r="11" ht="40" customHeight="1">
      <x:c r="B11" s="7" t="str">
        <x:v>TQ-05</x:v>
      </x:c>
      <x:c r="C11" s="7" t="str">
        <x:v>circulating transfer-standard network</x:v>
      </x:c>
      <x:c r="D11" s="22" t="n">
        <x:v>10</x:v>
      </x:c>
      <x:c r="E11" s="10" t="str">
        <x:v>quantify site, operator and instrument agreement</x:v>
      </x:c>
      <x:c r="F11" s="7" t="str">
        <x:v>OPEN</x:v>
      </x:c>
    </x:row>
    <x:row r="12" ht="40" customHeight="1">
      <x:c r="B12" s="7" t="str">
        <x:v>TQ-06</x:v>
      </x:c>
      <x:c r="C12" s="7" t="str">
        <x:v>causal production-variance model</x:v>
      </x:c>
      <x:c r="D12" s="22" t="n">
        <x:v>12</x:v>
      </x:c>
      <x:c r="E12" s="10" t="str">
        <x:v>separate builder, material, sequence and lineage effects</x:v>
      </x:c>
      <x:c r="F12" s="7" t="str">
        <x:v>OPEN</x:v>
      </x:c>
    </x:row>
    <x:row r="13" ht="40" customHeight="1">
      <x:c r="B13" s="7" t="str">
        <x:v>TQ-07</x:v>
      </x:c>
      <x:c r="C13" s="7" t="str">
        <x:v>sealed RFI and assistance system</x:v>
      </x:c>
      <x:c r="D13" s="22" t="n">
        <x:v>6</x:v>
      </x:c>
      <x:c r="E13" s="10" t="str">
        <x:v>make every clarification equal, versioned and auditable</x:v>
      </x:c>
      <x:c r="F13" s="7" t="str">
        <x:v>OPEN</x:v>
      </x:c>
    </x:row>
    <x:row r="14" ht="40" customHeight="1">
      <x:c r="B14" s="7" t="str">
        <x:v>TQ-08</x:v>
      </x:c>
      <x:c r="C14" s="7" t="str">
        <x:v>adaptive robotic production fixtures</x:v>
      </x:c>
      <x:c r="D14" s="22" t="n">
        <x:v>12</x:v>
      </x:c>
      <x:c r="E14" s="10" t="str">
        <x:v>reproduce public geometry across unlike factory cells</x:v>
      </x:c>
      <x:c r="F14" s="7" t="str">
        <x:v>OPEN</x:v>
      </x:c>
    </x:row>
    <x:row r="15" ht="40" customHeight="1">
      <x:c r="B15" s="7" t="str">
        <x:v>TQ-09</x:v>
      </x:c>
      <x:c r="C15" s="7" t="str">
        <x:v>evidence-native factory records</x:v>
      </x:c>
      <x:c r="D15" s="22" t="n">
        <x:v>10</x:v>
      </x:c>
      <x:c r="E15" s="10" t="str">
        <x:v>bind physical action, time, configuration and two originals</x:v>
      </x:c>
      <x:c r="F15" s="7" t="str">
        <x:v>OPEN</x:v>
      </x:c>
    </x:row>
    <x:row r="16" ht="40" customHeight="1">
      <x:c r="B16" s="7" t="str">
        <x:v>TQ-10</x:v>
      </x:c>
      <x:c r="C16" s="7" t="str">
        <x:v>rapid independent plant replication</x:v>
      </x:c>
      <x:c r="D16" s="22" t="n">
        <x:v>12</x:v>
      </x:c>
      <x:c r="E16" s="10" t="str">
        <x:v>commission a new production cell from public interfaces</x:v>
      </x:c>
      <x:c r="F16" s="7" t="str">
        <x:v>OPEN</x:v>
      </x:c>
    </x:row>
    <x:row r="17">
      <x:c r="B17" s="17" t="str"/>
      <x:c r="C17" s="17" t="str">
        <x:v>Total</x:v>
      </x:c>
      <x:c r="D17" s="20" t="n">
        <x:f>SUM(D7:D16)</x:f>
        <x:v>130</x:v>
      </x:c>
      <x:c r="E17" s="17" t="str"/>
      <x:c r="F17" s="17" t="str"/>
    </x:row>
  </x:sheetData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18" hidden="0" customWidth="1"/>
    <x:col min="4" max="4" width="58" hidden="0" customWidth="1"/>
    <x:col min="5" max="5" width="23" hidden="0" customWidth="1"/>
    <x:col min="6" max="6" width="23" hidden="0" customWidth="1"/>
    <x:col min="7" max="7" width="14" hidden="0" customWidth="1"/>
  </x:cols>
  <x:sheetData>
    <x:row r="2">
      <x:c r="B2" s="1" t="str">
        <x:v>One hundred twenty terminal assertions</x:v>
      </x:c>
    </x:row>
    <x:row r="3">
      <x:c r="B3" s="2" t="str">
        <x:v>PASS establishes model coherence only. Audit results do not feed release decisions.</x:v>
      </x:c>
    </x:row>
    <x:row r="6" ht="24" customHeight="1">
      <x:c r="B6" s="6" t="str">
        <x:v>Assertion</x:v>
      </x:c>
      <x:c r="C6" s="6" t="str">
        <x:v>Class</x:v>
      </x:c>
      <x:c r="D6" s="6" t="str">
        <x:v>Subject</x:v>
      </x:c>
      <x:c r="E6" s="6" t="str">
        <x:v>Actual</x:v>
      </x:c>
      <x:c r="F6" s="6" t="str">
        <x:v>Expected</x:v>
      </x:c>
      <x:c r="G6" s="6" t="str">
        <x:v>State</x:v>
      </x:c>
    </x:row>
    <x:row r="7">
      <x:c r="B7" s="7" t="str">
        <x:v>H01</x:v>
      </x:c>
      <x:c r="C7" s="7" t="str">
        <x:v>headline</x:v>
      </x:c>
      <x:c r="D7" s="7" t="str">
        <x:v>sheet count</x:v>
      </x:c>
      <x:c r="E7" s="7" t="n">
        <x:f>46</x:f>
        <x:v>46</x:v>
      </x:c>
      <x:c r="F7" s="7" t="n">
        <x:v>46</x:v>
      </x:c>
      <x:c r="G7" s="7" t="str">
        <x:f>IF(ISNUMBER(E7),IF(ABS(E7-F7)&lt;0.000001,"PASS","FAIL"),IF(E7=F7,"PASS","FAIL"))</x:f>
        <x:v>PASS</x:v>
      </x:c>
    </x:row>
    <x:row r="8">
      <x:c r="B8" s="7" t="str">
        <x:v>H02</x:v>
      </x:c>
      <x:c r="C8" s="7" t="str">
        <x:v>headline</x:v>
      </x:c>
      <x:c r="D8" s="7" t="str">
        <x:v>builders</x:v>
      </x:c>
      <x:c r="E8" s="7" t="n">
        <x:f>COUNTA(Builders!B7:B9)</x:f>
        <x:v>3</x:v>
      </x:c>
      <x:c r="F8" s="7" t="n">
        <x:v>3</x:v>
      </x:c>
      <x:c r="G8" s="7" t="str">
        <x:f>IF(ISNUMBER(E8),IF(ABS(E8-F8)&lt;0.000001,"PASS","FAIL"),IF(E8=F8,"PASS","FAIL"))</x:f>
        <x:v>PASS</x:v>
      </x:c>
    </x:row>
    <x:row r="9">
      <x:c r="B9" s="7" t="str">
        <x:v>H03</x:v>
      </x:c>
      <x:c r="C9" s="7" t="str">
        <x:v>headline</x:v>
      </x:c>
      <x:c r="D9" s="7" t="str">
        <x:v>lineages</x:v>
      </x:c>
      <x:c r="E9" s="7" t="n">
        <x:f>2</x:f>
        <x:v>2</x:v>
      </x:c>
      <x:c r="F9" s="7" t="n">
        <x:v>2</x:v>
      </x:c>
      <x:c r="G9" s="7" t="str">
        <x:f>IF(ISNUMBER(E9),IF(ABS(E9-F9)&lt;0.000001,"PASS","FAIL"),IF(E9=F9,"PASS","FAIL"))</x:f>
        <x:v>PASS</x:v>
      </x:c>
    </x:row>
    <x:row r="10">
      <x:c r="B10" s="7" t="str">
        <x:v>H04</x:v>
      </x:c>
      <x:c r="C10" s="7" t="str">
        <x:v>headline</x:v>
      </x:c>
      <x:c r="D10" s="7" t="str">
        <x:v>builder-lineage cells</x:v>
      </x:c>
      <x:c r="E10" s="7" t="n">
        <x:f>COUNTA('Lot Design'!B7:B12)</x:f>
        <x:v>6</x:v>
      </x:c>
      <x:c r="F10" s="7" t="n">
        <x:v>6</x:v>
      </x:c>
      <x:c r="G10" s="7" t="str">
        <x:f>IF(ISNUMBER(E10),IF(ABS(E10-F10)&lt;0.000001,"PASS","FAIL"),IF(E10=F10,"PASS","FAIL"))</x:f>
        <x:v>PASS</x:v>
      </x:c>
    </x:row>
    <x:row r="11">
      <x:c r="B11" s="7" t="str">
        <x:v>H05</x:v>
      </x:c>
      <x:c r="C11" s="7" t="str">
        <x:v>headline</x:v>
      </x:c>
      <x:c r="D11" s="7" t="str">
        <x:v>articles</x:v>
      </x:c>
      <x:c r="E11" s="7" t="n">
        <x:f>COUNTA('Article Population'!B7:B24)</x:f>
        <x:v>18</x:v>
      </x:c>
      <x:c r="F11" s="7" t="n">
        <x:v>18</x:v>
      </x:c>
      <x:c r="G11" s="7" t="str">
        <x:f>IF(ISNUMBER(E11),IF(ABS(E11-F11)&lt;0.000001,"PASS","FAIL"),IF(E11=F11,"PASS","FAIL"))</x:f>
        <x:v>PASS</x:v>
      </x:c>
    </x:row>
    <x:row r="12">
      <x:c r="B12" s="7" t="str">
        <x:v>H06</x:v>
      </x:c>
      <x:c r="C12" s="7" t="str">
        <x:v>headline</x:v>
      </x:c>
      <x:c r="D12" s="7" t="str">
        <x:v>capsule records</x:v>
      </x:c>
      <x:c r="E12" s="7" t="n">
        <x:f>COUNTA('Build Capsules'!B7:B38)</x:f>
        <x:v>32</x:v>
      </x:c>
      <x:c r="F12" s="7" t="n">
        <x:v>32</x:v>
      </x:c>
      <x:c r="G12" s="7" t="str">
        <x:f>IF(ISNUMBER(E12),IF(ABS(E12-F12)&lt;0.000001,"PASS","FAIL"),IF(E12=F12,"PASS","FAIL"))</x:f>
        <x:v>PASS</x:v>
      </x:c>
    </x:row>
    <x:row r="13">
      <x:c r="B13" s="7" t="str">
        <x:v>H07</x:v>
      </x:c>
      <x:c r="C13" s="7" t="str">
        <x:v>headline</x:v>
      </x:c>
      <x:c r="D13" s="7" t="str">
        <x:v>builder qualification records</x:v>
      </x:c>
      <x:c r="E13" s="7" t="n">
        <x:f>COUNTA('Builder Qualification'!B7:B42)</x:f>
        <x:v>36</x:v>
      </x:c>
      <x:c r="F13" s="7" t="n">
        <x:v>36</x:v>
      </x:c>
      <x:c r="G13" s="7" t="str">
        <x:f>IF(ISNUMBER(E13),IF(ABS(E13-F13)&lt;0.000001,"PASS","FAIL"),IF(E13=F13,"PASS","FAIL"))</x:f>
        <x:v>PASS</x:v>
      </x:c>
    </x:row>
    <x:row r="14">
      <x:c r="B14" s="7" t="str">
        <x:v>H08</x:v>
      </x:c>
      <x:c r="C14" s="7" t="str">
        <x:v>headline</x:v>
      </x:c>
      <x:c r="D14" s="7" t="str">
        <x:v>material splits</x:v>
      </x:c>
      <x:c r="E14" s="7" t="n">
        <x:f>COUNTA('Material Matrix'!B7:B24)</x:f>
        <x:v>18</x:v>
      </x:c>
      <x:c r="F14" s="7" t="n">
        <x:v>18</x:v>
      </x:c>
      <x:c r="G14" s="7" t="str">
        <x:f>IF(ISNUMBER(E14),IF(ABS(E14-F14)&lt;0.000001,"PASS","FAIL"),IF(E14=F14,"PASS","FAIL"))</x:f>
        <x:v>PASS</x:v>
      </x:c>
    </x:row>
    <x:row r="15">
      <x:c r="B15" s="7" t="str">
        <x:v>H09</x:v>
      </x:c>
      <x:c r="C15" s="7" t="str">
        <x:v>headline</x:v>
      </x:c>
      <x:c r="D15" s="7" t="str">
        <x:v>tool units</x:v>
      </x:c>
      <x:c r="E15" s="7" t="n">
        <x:f>COUNTA(Tooling!B7:B78)</x:f>
        <x:v>72</x:v>
      </x:c>
      <x:c r="F15" s="7" t="n">
        <x:v>72</x:v>
      </x:c>
      <x:c r="G15" s="7" t="str">
        <x:f>IF(ISNUMBER(E15),IF(ABS(E15-F15)&lt;0.000001,"PASS","FAIL"),IF(E15=F15,"PASS","FAIL"))</x:f>
        <x:v>PASS</x:v>
      </x:c>
    </x:row>
    <x:row r="16">
      <x:c r="B16" s="7" t="str">
        <x:v>H10</x:v>
      </x:c>
      <x:c r="C16" s="7" t="str">
        <x:v>headline</x:v>
      </x:c>
      <x:c r="D16" s="7" t="str">
        <x:v>transfer decisions</x:v>
      </x:c>
      <x:c r="E16" s="7" t="n">
        <x:f>COUNTA('Transfer Standards'!B7:B78)</x:f>
        <x:v>72</x:v>
      </x:c>
      <x:c r="F16" s="7" t="n">
        <x:v>72</x:v>
      </x:c>
      <x:c r="G16" s="7" t="str">
        <x:f>IF(ISNUMBER(E16),IF(ABS(E16-F16)&lt;0.000001,"PASS","FAIL"),IF(E16=F16,"PASS","FAIL"))</x:f>
        <x:v>PASS</x:v>
      </x:c>
    </x:row>
    <x:row r="17">
      <x:c r="B17" s="7" t="str">
        <x:v>H11</x:v>
      </x:c>
      <x:c r="C17" s="7" t="str">
        <x:v>headline</x:v>
      </x:c>
      <x:c r="D17" s="7" t="str">
        <x:v>transfer observations</x:v>
      </x:c>
      <x:c r="E17" s="7" t="n">
        <x:f>COUNTA('Transfer Records'!B7:B1734)</x:f>
        <x:v>1728</x:v>
      </x:c>
      <x:c r="F17" s="7" t="n">
        <x:v>1728</x:v>
      </x:c>
      <x:c r="G17" s="7" t="str">
        <x:f>IF(ISNUMBER(E17),IF(ABS(E17-F17)&lt;0.000001,"PASS","FAIL"),IF(E17=F17,"PASS","FAIL"))</x:f>
        <x:v>PASS</x:v>
      </x:c>
    </x:row>
    <x:row r="18">
      <x:c r="B18" s="7" t="str">
        <x:v>H12</x:v>
      </x:c>
      <x:c r="C18" s="7" t="str">
        <x:v>headline</x:v>
      </x:c>
      <x:c r="D18" s="7" t="str">
        <x:v>section travelers</x:v>
      </x:c>
      <x:c r="E18" s="7" t="n">
        <x:f>COUNTA('Section Travelers'!B7:B366)</x:f>
        <x:v>360</x:v>
      </x:c>
      <x:c r="F18" s="7" t="n">
        <x:v>360</x:v>
      </x:c>
      <x:c r="G18" s="7" t="str">
        <x:f>IF(ISNUMBER(E18),IF(ABS(E18-F18)&lt;0.000001,"PASS","FAIL"),IF(E18=F18,"PASS","FAIL"))</x:f>
        <x:v>PASS</x:v>
      </x:c>
    </x:row>
    <x:row r="19">
      <x:c r="B19" s="7" t="str">
        <x:v>H13</x:v>
      </x:c>
      <x:c r="C19" s="7" t="str">
        <x:v>headline</x:v>
      </x:c>
      <x:c r="D19" s="7" t="str">
        <x:v>coupons</x:v>
      </x:c>
      <x:c r="E19" s="7" t="n">
        <x:f>COUNTA('Material Coupons'!B7:B726)</x:f>
        <x:v>720</x:v>
      </x:c>
      <x:c r="F19" s="7" t="n">
        <x:v>720</x:v>
      </x:c>
      <x:c r="G19" s="7" t="str">
        <x:f>IF(ISNUMBER(E19),IF(ABS(E19-F19)&lt;0.000001,"PASS","FAIL"),IF(E19=F19,"PASS","FAIL"))</x:f>
        <x:v>PASS</x:v>
      </x:c>
    </x:row>
    <x:row r="20">
      <x:c r="B20" s="7" t="str">
        <x:v>H14</x:v>
      </x:c>
      <x:c r="C20" s="7" t="str">
        <x:v>headline</x:v>
      </x:c>
      <x:c r="D20" s="7" t="str">
        <x:v>NDE records</x:v>
      </x:c>
      <x:c r="E20" s="7" t="n">
        <x:f>COUNTA('NDE Records'!B7:B366)</x:f>
        <x:v>360</x:v>
      </x:c>
      <x:c r="F20" s="7" t="n">
        <x:v>360</x:v>
      </x:c>
      <x:c r="G20" s="7" t="str">
        <x:f>IF(ISNUMBER(E20),IF(ABS(E20-F20)&lt;0.000001,"PASS","FAIL"),IF(E20=F20,"PASS","FAIL"))</x:f>
        <x:v>PASS</x:v>
      </x:c>
    </x:row>
    <x:row r="21">
      <x:c r="B21" s="7" t="str">
        <x:v>H15</x:v>
      </x:c>
      <x:c r="C21" s="7" t="str">
        <x:v>headline</x:v>
      </x:c>
      <x:c r="D21" s="7" t="str">
        <x:v>joint records</x:v>
      </x:c>
      <x:c r="E21" s="7" t="n">
        <x:f>COUNTA('Joint Records'!B7:B96)</x:f>
        <x:v>90</x:v>
      </x:c>
      <x:c r="F21" s="7" t="n">
        <x:v>90</x:v>
      </x:c>
      <x:c r="G21" s="7" t="str">
        <x:f>IF(ISNUMBER(E21),IF(ABS(E21-F21)&lt;0.000001,"PASS","FAIL"),IF(E21=F21,"PASS","FAIL"))</x:f>
        <x:v>PASS</x:v>
      </x:c>
    </x:row>
    <x:row r="22">
      <x:c r="B22" s="7" t="str">
        <x:v>H16</x:v>
      </x:c>
      <x:c r="C22" s="7" t="str">
        <x:v>headline</x:v>
      </x:c>
      <x:c r="D22" s="7" t="str">
        <x:v>control elements</x:v>
      </x:c>
      <x:c r="E22" s="7" t="n">
        <x:f>COUNTA('Control Elements'!B7:B222)</x:f>
        <x:v>216</x:v>
      </x:c>
      <x:c r="F22" s="7" t="n">
        <x:v>216</x:v>
      </x:c>
      <x:c r="G22" s="7" t="str">
        <x:f>IF(ISNUMBER(E22),IF(ABS(E22-F22)&lt;0.000001,"PASS","FAIL"),IF(E22=F22,"PASS","FAIL"))</x:f>
        <x:v>PASS</x:v>
      </x:c>
    </x:row>
    <x:row r="23">
      <x:c r="B23" s="7" t="str">
        <x:v>H17</x:v>
      </x:c>
      <x:c r="C23" s="7" t="str">
        <x:v>headline</x:v>
      </x:c>
      <x:c r="D23" s="7" t="str">
        <x:v>channel instances</x:v>
      </x:c>
      <x:c r="E23" s="7" t="n">
        <x:f>COUNTA('Channel Instances'!B7:B2598)</x:f>
        <x:v>2592</x:v>
      </x:c>
      <x:c r="F23" s="7" t="n">
        <x:v>2592</x:v>
      </x:c>
      <x:c r="G23" s="7" t="str">
        <x:f>IF(ISNUMBER(E23),IF(ABS(E23-F23)&lt;0.000001,"PASS","FAIL"),IF(E23=F23,"PASS","FAIL"))</x:f>
        <x:v>PASS</x:v>
      </x:c>
    </x:row>
    <x:row r="24">
      <x:c r="B24" s="7" t="str">
        <x:v>H18</x:v>
      </x:c>
      <x:c r="C24" s="7" t="str">
        <x:v>headline</x:v>
      </x:c>
      <x:c r="D24" s="7" t="str">
        <x:v>factory calibrations</x:v>
      </x:c>
      <x:c r="E24" s="7" t="n">
        <x:f>COUNTA('Calibration Records'!B7:B2598)</x:f>
        <x:v>2592</x:v>
      </x:c>
      <x:c r="F24" s="7" t="n">
        <x:v>2592</x:v>
      </x:c>
      <x:c r="G24" s="7" t="str">
        <x:f>IF(ISNUMBER(E24),IF(ABS(E24-F24)&lt;0.000001,"PASS","FAIL"),IF(E24=F24,"PASS","FAIL"))</x:f>
        <x:v>PASS</x:v>
      </x:c>
    </x:row>
    <x:row r="25">
      <x:c r="B25" s="7" t="str">
        <x:v>H19</x:v>
      </x:c>
      <x:c r="C25" s="7" t="str">
        <x:v>headline</x:v>
      </x:c>
      <x:c r="D25" s="7" t="str">
        <x:v>article gates</x:v>
      </x:c>
      <x:c r="E25" s="7" t="n">
        <x:f>COUNTA('Article Gates'!B7:B7026)</x:f>
        <x:v>7020</x:v>
      </x:c>
      <x:c r="F25" s="7" t="n">
        <x:v>7020</x:v>
      </x:c>
      <x:c r="G25" s="7" t="str">
        <x:f>IF(ISNUMBER(E25),IF(ABS(E25-F25)&lt;0.000001,"PASS","FAIL"),IF(E25=F25,"PASS","FAIL"))</x:f>
        <x:v>PASS</x:v>
      </x:c>
    </x:row>
    <x:row r="26">
      <x:c r="B26" s="7" t="str">
        <x:v>H20</x:v>
      </x:c>
      <x:c r="C26" s="7" t="str">
        <x:v>headline</x:v>
      </x:c>
      <x:c r="D26" s="7" t="str">
        <x:v>gates per article</x:v>
      </x:c>
      <x:c r="E26" s="7" t="n">
        <x:f>COUNTIFS('Article Gates'!C7:C7026,"PEA-A-X1")</x:f>
        <x:v>390</x:v>
      </x:c>
      <x:c r="F26" s="7" t="n">
        <x:v>390</x:v>
      </x:c>
      <x:c r="G26" s="7" t="str">
        <x:f>IF(ISNUMBER(E26),IF(ABS(E26-F26)&lt;0.000001,"PASS","FAIL"),IF(E26=F26,"PASS","FAIL"))</x:f>
        <x:v>PASS</x:v>
      </x:c>
    </x:row>
    <x:row r="27">
      <x:c r="B27" s="7" t="str">
        <x:v>H21</x:v>
      </x:c>
      <x:c r="C27" s="7" t="str">
        <x:v>headline</x:v>
      </x:c>
      <x:c r="D27" s="7" t="str">
        <x:v>bank roles</x:v>
      </x:c>
      <x:c r="E27" s="7" t="n">
        <x:f>COUNTA('Bank Ledger'!B7:B24)</x:f>
        <x:v>18</x:v>
      </x:c>
      <x:c r="F27" s="7" t="n">
        <x:v>18</x:v>
      </x:c>
      <x:c r="G27" s="7" t="str">
        <x:f>IF(ISNUMBER(E27),IF(ABS(E27-F27)&lt;0.000001,"PASS","FAIL"),IF(E27=F27,"PASS","FAIL"))</x:f>
        <x:v>PASS</x:v>
      </x:c>
    </x:row>
    <x:row r="28">
      <x:c r="B28" s="7" t="str">
        <x:v>H22</x:v>
      </x:c>
      <x:c r="C28" s="7" t="str">
        <x:v>headline</x:v>
      </x:c>
      <x:c r="D28" s="7" t="str">
        <x:v>workforce</x:v>
      </x:c>
      <x:c r="E28" s="7" t="n">
        <x:f>Workforce!C17</x:f>
        <x:v>240</x:v>
      </x:c>
      <x:c r="F28" s="7" t="n">
        <x:v>240</x:v>
      </x:c>
      <x:c r="G28" s="7" t="str">
        <x:f>IF(ISNUMBER(E28),IF(ABS(E28-F28)&lt;0.000001,"PASS","FAIL"),IF(E28=F28,"PASS","FAIL"))</x:f>
        <x:v>PASS</x:v>
      </x:c>
    </x:row>
    <x:row r="29">
      <x:c r="B29" s="7" t="str">
        <x:v>H23</x:v>
      </x:c>
      <x:c r="C29" s="7" t="str">
        <x:v>headline</x:v>
      </x:c>
      <x:c r="D29" s="7" t="str">
        <x:v>capital USD M</x:v>
      </x:c>
      <x:c r="E29" s="7" t="n">
        <x:f>Capital!C14</x:f>
        <x:v>66</x:v>
      </x:c>
      <x:c r="F29" s="7" t="n">
        <x:v>66</x:v>
      </x:c>
      <x:c r="G29" s="7" t="str">
        <x:f>IF(ISNUMBER(E29),IF(ABS(E29-F29)&lt;0.000001,"PASS","FAIL"),IF(E29=F29,"PASS","FAIL"))</x:f>
        <x:v>PASS</x:v>
      </x:c>
    </x:row>
    <x:row r="30">
      <x:c r="B30" s="7" t="str">
        <x:v>H24</x:v>
      </x:c>
      <x:c r="C30" s="7" t="str">
        <x:v>headline</x:v>
      </x:c>
      <x:c r="D30" s="7" t="str">
        <x:v>annual USD M</x:v>
      </x:c>
      <x:c r="E30" s="7" t="n">
        <x:f>'Annual Support'!C14</x:f>
        <x:v>16</x:v>
      </x:c>
      <x:c r="F30" s="7" t="n">
        <x:v>16</x:v>
      </x:c>
      <x:c r="G30" s="7" t="str">
        <x:f>IF(ISNUMBER(E30),IF(ABS(E30-F30)&lt;0.000001,"PASS","FAIL"),IF(E30=F30,"PASS","FAIL"))</x:f>
        <x:v>PASS</x:v>
      </x:c>
    </x:row>
    <x:row r="31">
      <x:c r="B31" s="7" t="str">
        <x:v>H25</x:v>
      </x:c>
      <x:c r="C31" s="7" t="str">
        <x:v>headline</x:v>
      </x:c>
      <x:c r="D31" s="7" t="str">
        <x:v>technology USD M</x:v>
      </x:c>
      <x:c r="E31" s="7" t="n">
        <x:f>'Technology Programs'!D17</x:f>
        <x:v>130</x:v>
      </x:c>
      <x:c r="F31" s="7" t="n">
        <x:v>130</x:v>
      </x:c>
      <x:c r="G31" s="7" t="str">
        <x:f>IF(ISNUMBER(E31),IF(ABS(E31-F31)&lt;0.000001,"PASS","FAIL"),IF(E31=F31,"PASS","FAIL"))</x:f>
        <x:v>PASS</x:v>
      </x:c>
    </x:row>
    <x:row r="32">
      <x:c r="B32" s="7" t="str">
        <x:v>H26</x:v>
      </x:c>
      <x:c r="C32" s="7" t="str">
        <x:v>headline</x:v>
      </x:c>
      <x:c r="D32" s="7" t="str">
        <x:v>stage months</x:v>
      </x:c>
      <x:c r="E32" s="7" t="n">
        <x:f>24</x:f>
        <x:v>24</x:v>
      </x:c>
      <x:c r="F32" s="7" t="n">
        <x:v>24</x:v>
      </x:c>
      <x:c r="G32" s="7" t="str">
        <x:f>IF(ISNUMBER(E32),IF(ABS(E32-F32)&lt;0.000001,"PASS","FAIL"),IF(E32=F32,"PASS","FAIL"))</x:f>
        <x:v>PASS</x:v>
      </x:c>
    </x:row>
    <x:row r="33">
      <x:c r="B33" s="7" t="str">
        <x:v>H27</x:v>
      </x:c>
      <x:c r="C33" s="7" t="str">
        <x:v>headline</x:v>
      </x:c>
      <x:c r="D33" s="7" t="str">
        <x:v>sequential chain months</x:v>
      </x:c>
      <x:c r="E33" s="7" t="n">
        <x:f>'Portfolio Boundary'!C24</x:f>
        <x:v>60</x:v>
      </x:c>
      <x:c r="F33" s="7" t="n">
        <x:v>60</x:v>
      </x:c>
      <x:c r="G33" s="7" t="str">
        <x:f>IF(ISNUMBER(E33),IF(ABS(E33-F33)&lt;0.000001,"PASS","FAIL"),IF(E33=F33,"PASS","FAIL"))</x:f>
        <x:v>PASS</x:v>
      </x:c>
    </x:row>
    <x:row r="34">
      <x:c r="B34" s="7" t="str">
        <x:v>H28</x:v>
      </x:c>
      <x:c r="C34" s="7" t="str">
        <x:v>headline</x:v>
      </x:c>
      <x:c r="D34" s="7" t="str">
        <x:v>schedule excess months</x:v>
      </x:c>
      <x:c r="E34" s="7" t="n">
        <x:f>'Portfolio Boundary'!C26</x:f>
        <x:v>36</x:v>
      </x:c>
      <x:c r="F34" s="7" t="n">
        <x:v>36</x:v>
      </x:c>
      <x:c r="G34" s="7" t="str">
        <x:f>IF(ISNUMBER(E34),IF(ABS(E34-F34)&lt;0.000001,"PASS","FAIL"),IF(E34=F34,"PASS","FAIL"))</x:f>
        <x:v>PASS</x:v>
      </x:c>
    </x:row>
    <x:row r="35">
      <x:c r="B35" s="7" t="str">
        <x:v>E01</x:v>
      </x:c>
      <x:c r="C35" s="7" t="str">
        <x:v>engineering</x:v>
      </x:c>
      <x:c r="D35" s="7" t="str">
        <x:v>cell lower yield if 3 of 3 pass</x:v>
      </x:c>
      <x:c r="E35" s="7" t="n">
        <x:f>'Statistical Bounds'!E7</x:f>
        <x:v>0.3684031498640387</x:v>
      </x:c>
      <x:c r="F35" s="7" t="n">
        <x:v>0.3684031498640387</x:v>
      </x:c>
      <x:c r="G35" s="7" t="str">
        <x:f>IF(ISNUMBER(E35),IF(ABS(E35-F35)&lt;0.000001,"PASS","FAIL"),IF(E35=F35,"PASS","FAIL"))</x:f>
        <x:v>PASS</x:v>
      </x:c>
    </x:row>
    <x:row r="36">
      <x:c r="B36" s="7" t="str">
        <x:v>E02</x:v>
      </x:c>
      <x:c r="C36" s="7" t="str">
        <x:v>engineering</x:v>
      </x:c>
      <x:c r="D36" s="7" t="str">
        <x:v>bank lower yield if 18 of 18 pass</x:v>
      </x:c>
      <x:c r="E36" s="7" t="n">
        <x:f>'Statistical Bounds'!E8</x:f>
        <x:v>0.8466824460427218</x:v>
      </x:c>
      <x:c r="F36" s="7" t="n">
        <x:v>0.8466824460427218</x:v>
      </x:c>
      <x:c r="G36" s="7" t="str">
        <x:f>IF(ISNUMBER(E36),IF(ABS(E36-F36)&lt;0.000001,"PASS","FAIL"),IF(E36=F36,"PASS","FAIL"))</x:f>
        <x:v>PASS</x:v>
      </x:c>
    </x:row>
    <x:row r="37">
      <x:c r="B37" s="7" t="str">
        <x:v>E03</x:v>
      </x:c>
      <x:c r="C37" s="7" t="str">
        <x:v>engineering</x:v>
      </x:c>
      <x:c r="D37" s="7" t="str">
        <x:v>cell upper defect rate if zero failures</x:v>
      </x:c>
      <x:c r="E37" s="7" t="n">
        <x:f>'Statistical Bounds'!E9</x:f>
        <x:v>0.6315968501359612</x:v>
      </x:c>
      <x:c r="F37" s="7" t="n">
        <x:v>0.6315968501359612</x:v>
      </x:c>
      <x:c r="G37" s="7" t="str">
        <x:f>IF(ISNUMBER(E37),IF(ABS(E37-F37)&lt;0.000001,"PASS","FAIL"),IF(E37=F37,"PASS","FAIL"))</x:f>
        <x:v>PASS</x:v>
      </x:c>
    </x:row>
    <x:row r="38">
      <x:c r="B38" s="7" t="str">
        <x:v>E04</x:v>
      </x:c>
      <x:c r="C38" s="7" t="str">
        <x:v>engineering</x:v>
      </x:c>
      <x:c r="D38" s="7" t="str">
        <x:v>bank upper defect rate if zero failures</x:v>
      </x:c>
      <x:c r="E38" s="7" t="n">
        <x:f>'Statistical Bounds'!E10</x:f>
        <x:v>0.1533175539572782</x:v>
      </x:c>
      <x:c r="F38" s="7" t="n">
        <x:v>0.1533175539572782</x:v>
      </x:c>
      <x:c r="G38" s="7" t="str">
        <x:f>IF(ISNUMBER(E38),IF(ABS(E38-F38)&lt;0.000001,"PASS","FAIL"),IF(E38=F38,"PASS","FAIL"))</x:f>
        <x:v>PASS</x:v>
      </x:c>
    </x:row>
    <x:row r="39">
      <x:c r="B39" s="7" t="str">
        <x:v>E05</x:v>
      </x:c>
      <x:c r="C39" s="7" t="str">
        <x:v>engineering</x:v>
      </x:c>
      <x:c r="D39" s="7" t="str">
        <x:v>n for five-percent upper defect bound</x:v>
      </x:c>
      <x:c r="E39" s="7" t="n">
        <x:f>'Statistical Bounds'!E17</x:f>
        <x:v>59</x:v>
      </x:c>
      <x:c r="F39" s="7" t="n">
        <x:v>59</x:v>
      </x:c>
      <x:c r="G39" s="7" t="str">
        <x:f>IF(ISNUMBER(E39),IF(ABS(E39-F39)&lt;0.000001,"PASS","FAIL"),IF(E39=F39,"PASS","FAIL"))</x:f>
        <x:v>PASS</x:v>
      </x:c>
    </x:row>
    <x:row r="40">
      <x:c r="B40" s="7" t="str">
        <x:v>E06</x:v>
      </x:c>
      <x:c r="C40" s="7" t="str">
        <x:v>engineering</x:v>
      </x:c>
      <x:c r="D40" s="7" t="str">
        <x:v>n for ninety-percent lower yield</x:v>
      </x:c>
      <x:c r="E40" s="7" t="n">
        <x:f>'Statistical Bounds'!E18</x:f>
        <x:v>29</x:v>
      </x:c>
      <x:c r="F40" s="7" t="n">
        <x:v>29</x:v>
      </x:c>
      <x:c r="G40" s="7" t="str">
        <x:f>IF(ISNUMBER(E40),IF(ABS(E40-F40)&lt;0.000001,"PASS","FAIL"),IF(E40=F40,"PASS","FAIL"))</x:f>
        <x:v>PASS</x:v>
      </x:c>
    </x:row>
    <x:row r="41">
      <x:c r="B41" s="7" t="str">
        <x:v>E07</x:v>
      </x:c>
      <x:c r="C41" s="7" t="str">
        <x:v>engineering</x:v>
      </x:c>
      <x:c r="D41" s="7" t="str">
        <x:v>capital remainder</x:v>
      </x:c>
      <x:c r="E41" s="7" t="n">
        <x:f>'Portfolio Boundary'!C11</x:f>
        <x:v>0</x:v>
      </x:c>
      <x:c r="F41" s="7" t="n">
        <x:v>0</x:v>
      </x:c>
      <x:c r="G41" s="7" t="str">
        <x:f>IF(ISNUMBER(E41),IF(ABS(E41-F41)&lt;0.000001,"PASS","FAIL"),IF(E41=F41,"PASS","FAIL"))</x:f>
        <x:v>PASS</x:v>
      </x:c>
    </x:row>
    <x:row r="42">
      <x:c r="B42" s="7" t="str">
        <x:v>E08</x:v>
      </x:c>
      <x:c r="C42" s="7" t="str">
        <x:v>engineering</x:v>
      </x:c>
      <x:c r="D42" s="7" t="str">
        <x:v>annual remainder</x:v>
      </x:c>
      <x:c r="E42" s="7" t="n">
        <x:f>'Portfolio Boundary'!C16</x:f>
        <x:v>0</x:v>
      </x:c>
      <x:c r="F42" s="7" t="n">
        <x:v>0</x:v>
      </x:c>
      <x:c r="G42" s="7" t="str">
        <x:f>IF(ISNUMBER(E42),IF(ABS(E42-F42)&lt;0.000001,"PASS","FAIL"),IF(E42=F42,"PASS","FAIL"))</x:f>
        <x:v>PASS</x:v>
      </x:c>
    </x:row>
    <x:row r="43">
      <x:c r="B43" s="7" t="str">
        <x:v>E09</x:v>
      </x:c>
      <x:c r="C43" s="7" t="str">
        <x:v>engineering</x:v>
      </x:c>
      <x:c r="D43" s="7" t="str">
        <x:v>technology remainder</x:v>
      </x:c>
      <x:c r="E43" s="7" t="n">
        <x:f>'Portfolio Boundary'!C20</x:f>
        <x:v>0</x:v>
      </x:c>
      <x:c r="F43" s="7" t="n">
        <x:v>0</x:v>
      </x:c>
      <x:c r="G43" s="7" t="str">
        <x:f>IF(ISNUMBER(E43),IF(ABS(E43-F43)&lt;0.000001,"PASS","FAIL"),IF(E43=F43,"PASS","FAIL"))</x:f>
        <x:v>PASS</x:v>
      </x:c>
    </x:row>
    <x:row r="44">
      <x:c r="B44" s="7" t="str">
        <x:v>E10</x:v>
      </x:c>
      <x:c r="C44" s="7" t="str">
        <x:v>engineering</x:v>
      </x:c>
      <x:c r="D44" s="7" t="str">
        <x:v>24-month exposure</x:v>
      </x:c>
      <x:c r="E44" s="7" t="n">
        <x:f>Capital!C14+2*'Annual Support'!C14</x:f>
        <x:v>98</x:v>
      </x:c>
      <x:c r="F44" s="7" t="n">
        <x:v>98</x:v>
      </x:c>
      <x:c r="G44" s="7" t="str">
        <x:f>IF(ISNUMBER(E44),IF(ABS(E44-F44)&lt;0.000001,"PASS","FAIL"),IF(E44=F44,"PASS","FAIL"))</x:f>
        <x:v>PASS</x:v>
      </x:c>
    </x:row>
    <x:row r="45">
      <x:c r="B45" s="7" t="str">
        <x:v>E11</x:v>
      </x:c>
      <x:c r="C45" s="7" t="str">
        <x:v>engineering</x:v>
      </x:c>
      <x:c r="D45" s="7" t="str">
        <x:v>nested stage exposure</x:v>
      </x:c>
      <x:c r="E45" s="7" t="n">
        <x:f>'Portfolio Boundary'!C21</x:f>
        <x:v>424</x:v>
      </x:c>
      <x:c r="F45" s="7" t="n">
        <x:v>424</x:v>
      </x:c>
      <x:c r="G45" s="7" t="str">
        <x:f>IF(ISNUMBER(E45),IF(ABS(E45-F45)&lt;0.000001,"PASS","FAIL"),IF(E45=F45,"PASS","FAIL"))</x:f>
        <x:v>PASS</x:v>
      </x:c>
    </x:row>
    <x:row r="46">
      <x:c r="B46" s="7" t="str">
        <x:v>E12</x:v>
      </x:c>
      <x:c r="C46" s="7" t="str">
        <x:v>engineering</x:v>
      </x:c>
      <x:c r="D46" s="7" t="str">
        <x:v>unassigned gross exposure</x:v>
      </x:c>
      <x:c r="E46" s="7" t="n">
        <x:f>'Portfolio Boundary'!C23</x:f>
        <x:v>48</x:v>
      </x:c>
      <x:c r="F46" s="7" t="n">
        <x:v>48</x:v>
      </x:c>
      <x:c r="G46" s="7" t="str">
        <x:f>IF(ISNUMBER(E46),IF(ABS(E46-F46)&lt;0.000001,"PASS","FAIL"),IF(E46=F46,"PASS","FAIL"))</x:f>
        <x:v>PASS</x:v>
      </x:c>
    </x:row>
    <x:row r="47">
      <x:c r="B47" s="7" t="str">
        <x:v>E13</x:v>
      </x:c>
      <x:c r="C47" s="7" t="str">
        <x:v>engineering</x:v>
      </x:c>
      <x:c r="D47" s="7" t="str">
        <x:v>sequential duration</x:v>
      </x:c>
      <x:c r="E47" s="7" t="n">
        <x:f>'Portfolio Boundary'!C24</x:f>
        <x:v>60</x:v>
      </x:c>
      <x:c r="F47" s="7" t="n">
        <x:v>60</x:v>
      </x:c>
      <x:c r="G47" s="7" t="str">
        <x:f>IF(ISNUMBER(E47),IF(ABS(E47-F47)&lt;0.000001,"PASS","FAIL"),IF(E47=F47,"PASS","FAIL"))</x:f>
        <x:v>PASS</x:v>
      </x:c>
    </x:row>
    <x:row r="48">
      <x:c r="B48" s="7" t="str">
        <x:v>E14</x:v>
      </x:c>
      <x:c r="C48" s="7" t="str">
        <x:v>engineering</x:v>
      </x:c>
      <x:c r="D48" s="7" t="str">
        <x:v>schedule excess</x:v>
      </x:c>
      <x:c r="E48" s="7" t="n">
        <x:f>'Portfolio Boundary'!C26</x:f>
        <x:v>36</x:v>
      </x:c>
      <x:c r="F48" s="7" t="n">
        <x:v>36</x:v>
      </x:c>
      <x:c r="G48" s="7" t="str">
        <x:f>IF(ISNUMBER(E48),IF(ABS(E48-F48)&lt;0.000001,"PASS","FAIL"),IF(E48=F48,"PASS","FAIL"))</x:f>
        <x:v>PASS</x:v>
      </x:c>
    </x:row>
    <x:row r="49">
      <x:c r="B49" s="7" t="str">
        <x:v>E15</x:v>
      </x:c>
      <x:c r="C49" s="7" t="str">
        <x:v>engineering</x:v>
      </x:c>
      <x:c r="D49" s="7" t="str">
        <x:v>open article releases</x:v>
      </x:c>
      <x:c r="E49" s="7" t="n">
        <x:f>COUNTIFS('Article Release'!K7:K24,"OPEN")</x:f>
        <x:v>18</x:v>
      </x:c>
      <x:c r="F49" s="7" t="n">
        <x:v>18</x:v>
      </x:c>
      <x:c r="G49" s="7" t="str">
        <x:f>IF(ISNUMBER(E49),IF(ABS(E49-F49)&lt;0.000001,"PASS","FAIL"),IF(E49=F49,"PASS","FAIL"))</x:f>
        <x:v>PASS</x:v>
      </x:c>
    </x:row>
    <x:row r="50">
      <x:c r="B50" s="7" t="str">
        <x:v>E16</x:v>
      </x:c>
      <x:c r="C50" s="7" t="str">
        <x:v>engineering</x:v>
      </x:c>
      <x:c r="D50" s="7" t="str">
        <x:v>open cell releases</x:v>
      </x:c>
      <x:c r="E50" s="7" t="n">
        <x:f>COUNTIFS('Cell Release'!K7:K12,"OPEN")</x:f>
        <x:v>6</x:v>
      </x:c>
      <x:c r="F50" s="7" t="n">
        <x:v>6</x:v>
      </x:c>
      <x:c r="G50" s="7" t="str">
        <x:f>IF(ISNUMBER(E50),IF(ABS(E50-F50)&lt;0.000001,"PASS","FAIL"),IF(E50=F50,"PASS","FAIL"))</x:f>
        <x:v>PASS</x:v>
      </x:c>
    </x:row>
    <x:row r="51">
      <x:c r="B51" s="7" t="str">
        <x:v>E17</x:v>
      </x:c>
      <x:c r="C51" s="7" t="str">
        <x:v>engineering</x:v>
      </x:c>
      <x:c r="D51" s="7" t="str">
        <x:v>open transfer decisions</x:v>
      </x:c>
      <x:c r="E51" s="7" t="n">
        <x:f>COUNTIFS('Transfer Standards'!L7:L78,"OPEN")</x:f>
        <x:v>72</x:v>
      </x:c>
      <x:c r="F51" s="7" t="n">
        <x:v>72</x:v>
      </x:c>
      <x:c r="G51" s="7" t="str">
        <x:f>IF(ISNUMBER(E51),IF(ABS(E51-F51)&lt;0.000001,"PASS","FAIL"),IF(E51=F51,"PASS","FAIL"))</x:f>
        <x:v>PASS</x:v>
      </x:c>
    </x:row>
    <x:row r="52">
      <x:c r="B52" s="7" t="str">
        <x:v>E18</x:v>
      </x:c>
      <x:c r="C52" s="7" t="str">
        <x:v>engineering</x:v>
      </x:c>
      <x:c r="D52" s="7" t="str">
        <x:v>open build-capsule components</x:v>
      </x:c>
      <x:c r="E52" s="7" t="n">
        <x:f>COUNTIFS('Build Capsules'!J7:J38,"OPEN")</x:f>
        <x:v>32</x:v>
      </x:c>
      <x:c r="F52" s="7" t="n">
        <x:v>32</x:v>
      </x:c>
      <x:c r="G52" s="7" t="str">
        <x:f>IF(ISNUMBER(E52),IF(ABS(E52-F52)&lt;0.000001,"PASS","FAIL"),IF(E52=F52,"PASS","FAIL"))</x:f>
        <x:v>PASS</x:v>
      </x:c>
    </x:row>
    <x:row r="53">
      <x:c r="B53" s="7" t="str">
        <x:v>E19</x:v>
      </x:c>
      <x:c r="C53" s="7" t="str">
        <x:v>engineering</x:v>
      </x:c>
      <x:c r="D53" s="7" t="str">
        <x:v>open production tools</x:v>
      </x:c>
      <x:c r="E53" s="7" t="n">
        <x:f>COUNTIFS(Tooling!L7:L78,"OPEN")</x:f>
        <x:v>72</x:v>
      </x:c>
      <x:c r="F53" s="7" t="n">
        <x:v>72</x:v>
      </x:c>
      <x:c r="G53" s="7" t="str">
        <x:f>IF(ISNUMBER(E53),IF(ABS(E53-F53)&lt;0.000001,"PASS","FAIL"),IF(E53=F53,"PASS","FAIL"))</x:f>
        <x:v>PASS</x:v>
      </x:c>
    </x:row>
    <x:row r="54">
      <x:c r="B54" s="7" t="str">
        <x:v>E20</x:v>
      </x:c>
      <x:c r="C54" s="7" t="str">
        <x:v>engineering</x:v>
      </x:c>
      <x:c r="D54" s="7" t="str">
        <x:v>dormant exceptions</x:v>
      </x:c>
      <x:c r="E54" s="7" t="n">
        <x:f>COUNTIFS(Exceptions!L7:L60,"DORMANT")</x:f>
        <x:v>54</x:v>
      </x:c>
      <x:c r="F54" s="7" t="n">
        <x:v>54</x:v>
      </x:c>
      <x:c r="G54" s="7" t="str">
        <x:f>IF(ISNUMBER(E54),IF(ABS(E54-F54)&lt;0.000001,"PASS","FAIL"),IF(E54=F54,"PASS","FAIL"))</x:f>
        <x:v>PASS</x:v>
      </x:c>
    </x:row>
    <x:row r="55">
      <x:c r="B55" s="7" t="str">
        <x:v>E21</x:v>
      </x:c>
      <x:c r="C55" s="7" t="str">
        <x:v>engineering</x:v>
      </x:c>
      <x:c r="D55" s="7" t="str">
        <x:v>dormant replenishments</x:v>
      </x:c>
      <x:c r="E55" s="7" t="n">
        <x:f>COUNTIFS(Replenishment!K7:K24,"DORMANT")</x:f>
        <x:v>18</x:v>
      </x:c>
      <x:c r="F55" s="7" t="n">
        <x:v>18</x:v>
      </x:c>
      <x:c r="G55" s="7" t="str">
        <x:f>IF(ISNUMBER(E55),IF(ABS(E55-F55)&lt;0.000001,"PASS","FAIL"),IF(E55=F55,"PASS","FAIL"))</x:f>
        <x:v>PASS</x:v>
      </x:c>
    </x:row>
    <x:row r="56">
      <x:c r="B56" s="7" t="str">
        <x:v>E22</x:v>
      </x:c>
      <x:c r="C56" s="7" t="str">
        <x:v>engineering</x:v>
      </x:c>
      <x:c r="D56" s="7" t="str">
        <x:v>dormant changes</x:v>
      </x:c>
      <x:c r="E56" s="7" t="n">
        <x:f>COUNTIFS('Change Control'!I7:I18,"DORMANT")</x:f>
        <x:v>12</x:v>
      </x:c>
      <x:c r="F56" s="7" t="n">
        <x:v>12</x:v>
      </x:c>
      <x:c r="G56" s="7" t="str">
        <x:f>IF(ISNUMBER(E56),IF(ABS(E56-F56)&lt;0.000001,"PASS","FAIL"),IF(E56=F56,"PASS","FAIL"))</x:f>
        <x:v>PASS</x:v>
      </x:c>
    </x:row>
    <x:row r="57">
      <x:c r="B57" s="7" t="str">
        <x:v>D01</x:v>
      </x:c>
      <x:c r="C57" s="7" t="str">
        <x:v>decision</x:v>
      </x:c>
      <x:c r="D57" s="7" t="str">
        <x:v>bank construction</x:v>
      </x:c>
      <x:c r="E57" s="7" t="str">
        <x:v>BLOCKED</x:v>
      </x:c>
      <x:c r="F57" s="7" t="str">
        <x:v>BLOCKED</x:v>
      </x:c>
      <x:c r="G57" s="7" t="str">
        <x:f>IF(ISNUMBER(E57),IF(ABS(E57-F57)&lt;0.000001,"PASS","FAIL"),IF(E57=F57,"PASS","FAIL"))</x:f>
        <x:v>PASS</x:v>
      </x:c>
    </x:row>
    <x:row r="58">
      <x:c r="B58" s="7" t="str">
        <x:v>D02</x:v>
      </x:c>
      <x:c r="C58" s="7" t="str">
        <x:v>decision</x:v>
      </x:c>
      <x:c r="D58" s="7" t="str">
        <x:v>lineage package issue</x:v>
      </x:c>
      <x:c r="E58" s="7" t="str">
        <x:v>BLOCKED</x:v>
      </x:c>
      <x:c r="F58" s="7" t="str">
        <x:v>BLOCKED</x:v>
      </x:c>
      <x:c r="G58" s="7" t="str">
        <x:f>IF(ISNUMBER(E58),IF(ABS(E58-F58)&lt;0.000001,"PASS","FAIL"),IF(E58=F58,"PASS","FAIL"))</x:f>
        <x:v>PASS</x:v>
      </x:c>
    </x:row>
    <x:row r="59">
      <x:c r="B59" s="7" t="str">
        <x:v>D03</x:v>
      </x:c>
      <x:c r="C59" s="7" t="str">
        <x:v>decision</x:v>
      </x:c>
      <x:c r="D59" s="7" t="str">
        <x:v>builder qualification</x:v>
      </x:c>
      <x:c r="E59" s="7" t="str">
        <x:v>OPEN</x:v>
      </x:c>
      <x:c r="F59" s="7" t="str">
        <x:v>OPEN</x:v>
      </x:c>
      <x:c r="G59" s="7" t="str">
        <x:f>IF(ISNUMBER(E59),IF(ABS(E59-F59)&lt;0.000001,"PASS","FAIL"),IF(E59=F59,"PASS","FAIL"))</x:f>
        <x:v>PASS</x:v>
      </x:c>
    </x:row>
    <x:row r="60">
      <x:c r="B60" s="7" t="str">
        <x:v>D04</x:v>
      </x:c>
      <x:c r="C60" s="7" t="str">
        <x:v>decision</x:v>
      </x:c>
      <x:c r="D60" s="7" t="str">
        <x:v>production-equivalent article build</x:v>
      </x:c>
      <x:c r="E60" s="7" t="str">
        <x:v>BLOCKED</x:v>
      </x:c>
      <x:c r="F60" s="7" t="str">
        <x:v>BLOCKED</x:v>
      </x:c>
      <x:c r="G60" s="7" t="str">
        <x:f>IF(ISNUMBER(E60),IF(ABS(E60-F60)&lt;0.000001,"PASS","FAIL"),IF(E60=F60,"PASS","FAIL"))</x:f>
        <x:v>PASS</x:v>
      </x:c>
    </x:row>
    <x:row r="61">
      <x:c r="B61" s="7" t="str">
        <x:v>D05</x:v>
      </x:c>
      <x:c r="C61" s="7" t="str">
        <x:v>decision</x:v>
      </x:c>
      <x:c r="D61" s="7" t="str">
        <x:v>individual article release</x:v>
      </x:c>
      <x:c r="E61" s="7" t="str">
        <x:v>OPEN</x:v>
      </x:c>
      <x:c r="F61" s="7" t="str">
        <x:v>OPEN</x:v>
      </x:c>
      <x:c r="G61" s="7" t="str">
        <x:f>IF(ISNUMBER(E61),IF(ABS(E61-F61)&lt;0.000001,"PASS","FAIL"),IF(E61=F61,"PASS","FAIL"))</x:f>
        <x:v>PASS</x:v>
      </x:c>
    </x:row>
    <x:row r="62">
      <x:c r="B62" s="7" t="str">
        <x:v>D06</x:v>
      </x:c>
      <x:c r="C62" s="7" t="str">
        <x:v>decision</x:v>
      </x:c>
      <x:c r="D62" s="7" t="str">
        <x:v>builder-lineage cell release</x:v>
      </x:c>
      <x:c r="E62" s="7" t="str">
        <x:v>OPEN</x:v>
      </x:c>
      <x:c r="F62" s="7" t="str">
        <x:v>OPEN</x:v>
      </x:c>
      <x:c r="G62" s="7" t="str">
        <x:f>IF(ISNUMBER(E62),IF(ABS(E62-F62)&lt;0.000001,"PASS","FAIL"),IF(E62=F62,"PASS","FAIL"))</x:f>
        <x:v>PASS</x:v>
      </x:c>
    </x:row>
    <x:row r="63">
      <x:c r="B63" s="7" t="str">
        <x:v>D07</x:v>
      </x:c>
      <x:c r="C63" s="7" t="str">
        <x:v>decision</x:v>
      </x:c>
      <x:c r="D63" s="7" t="str">
        <x:v>RAP-1 bank entry</x:v>
      </x:c>
      <x:c r="E63" s="7" t="str">
        <x:v>BLOCKED</x:v>
      </x:c>
      <x:c r="F63" s="7" t="str">
        <x:v>BLOCKED</x:v>
      </x:c>
      <x:c r="G63" s="7" t="str">
        <x:f>IF(ISNUMBER(E63),IF(ABS(E63-F63)&lt;0.000001,"PASS","FAIL"),IF(E63=F63,"PASS","FAIL"))</x:f>
        <x:v>PASS</x:v>
      </x:c>
    </x:row>
    <x:row r="64">
      <x:c r="B64" s="7" t="str">
        <x:v>D08</x:v>
      </x:c>
      <x:c r="C64" s="7" t="str">
        <x:v>decision</x:v>
      </x:c>
      <x:c r="D64" s="7" t="str">
        <x:v>RAP-1 physical campaign</x:v>
      </x:c>
      <x:c r="E64" s="7" t="str">
        <x:v>BLOCKED</x:v>
      </x:c>
      <x:c r="F64" s="7" t="str">
        <x:v>BLOCKED</x:v>
      </x:c>
      <x:c r="G64" s="7" t="str">
        <x:f>IF(ISNUMBER(E64),IF(ABS(E64-F64)&lt;0.000001,"PASS","FAIL"),IF(E64=F64,"PASS","FAIL"))</x:f>
        <x:v>PASS</x:v>
      </x:c>
    </x:row>
    <x:row r="65">
      <x:c r="B65" s="7" t="str">
        <x:v>D09</x:v>
      </x:c>
      <x:c r="C65" s="7" t="str">
        <x:v>decision</x:v>
      </x:c>
      <x:c r="D65" s="7" t="str">
        <x:v>source event</x:v>
      </x:c>
      <x:c r="E65" s="7" t="str">
        <x:v>BLOCKED</x:v>
      </x:c>
      <x:c r="F65" s="7" t="str">
        <x:v>BLOCKED</x:v>
      </x:c>
      <x:c r="G65" s="7" t="str">
        <x:f>IF(ISNUMBER(E65),IF(ABS(E65-F65)&lt;0.000001,"PASS","FAIL"),IF(E65=F65,"PASS","FAIL"))</x:f>
        <x:v>PASS</x:v>
      </x:c>
    </x:row>
    <x:row r="66">
      <x:c r="B66" s="7" t="str">
        <x:v>D10</x:v>
      </x:c>
      <x:c r="C66" s="7" t="str">
        <x:v>decision</x:v>
      </x:c>
      <x:c r="D66" s="7" t="str">
        <x:v>candidate entry</x:v>
      </x:c>
      <x:c r="E66" s="7" t="str">
        <x:v>BLOCKED</x:v>
      </x:c>
      <x:c r="F66" s="7" t="str">
        <x:v>BLOCKED</x:v>
      </x:c>
      <x:c r="G66" s="7" t="str">
        <x:f>IF(ISNUMBER(E66),IF(ABS(E66-F66)&lt;0.000001,"PASS","FAIL"),IF(E66=F66,"PASS","FAIL"))</x:f>
        <x:v>PASS</x:v>
      </x:c>
    </x:row>
    <x:row r="67">
      <x:c r="B67" s="7" t="str">
        <x:v>D11</x:v>
      </x:c>
      <x:c r="C67" s="7" t="str">
        <x:v>decision</x:v>
      </x:c>
      <x:c r="D67" s="7" t="str">
        <x:v>series production</x:v>
      </x:c>
      <x:c r="E67" s="7" t="str">
        <x:v>BLOCKED</x:v>
      </x:c>
      <x:c r="F67" s="7" t="str">
        <x:v>BLOCKED</x:v>
      </x:c>
      <x:c r="G67" s="7" t="str">
        <x:f>IF(ISNUMBER(E67),IF(ABS(E67-F67)&lt;0.000001,"PASS","FAIL"),IF(E67=F67,"PASS","FAIL"))</x:f>
        <x:v>PASS</x:v>
      </x:c>
    </x:row>
    <x:row r="68">
      <x:c r="B68" s="7" t="str">
        <x:v>D12</x:v>
      </x:c>
      <x:c r="C68" s="7" t="str">
        <x:v>decision</x:v>
      </x:c>
      <x:c r="D68" s="7" t="str">
        <x:v>exterior rendering</x:v>
      </x:c>
      <x:c r="E68" s="7" t="str">
        <x:v>BLOCKED</x:v>
      </x:c>
      <x:c r="F68" s="7" t="str">
        <x:v>BLOCKED</x:v>
      </x:c>
      <x:c r="G68" s="7" t="str">
        <x:f>IF(ISNUMBER(E68),IF(ABS(E68-F68)&lt;0.000001,"PASS","FAIL"),IF(E68=F68,"PASS","FAIL"))</x:f>
        <x:v>PASS</x:v>
      </x:c>
    </x:row>
    <x:row r="69">
      <x:c r="B69" s="7" t="str">
        <x:v>ST-01</x:v>
      </x:c>
      <x:c r="C69" s="7" t="str">
        <x:v>stop law</x:v>
      </x:c>
      <x:c r="D69" s="7" t="str">
        <x:v>unreleased or mismatched capsule</x:v>
      </x:c>
      <x:c r="E69" s="7" t="str">
        <x:v>ACTIVE</x:v>
      </x:c>
      <x:c r="F69" s="7" t="str">
        <x:v>ACTIVE</x:v>
      </x:c>
      <x:c r="G69" s="7" t="str">
        <x:f>IF(ISNUMBER(E69),IF(ABS(E69-F69)&lt;0.000001,"PASS","FAIL"),IF(E69=F69,"PASS","FAIL"))</x:f>
        <x:v>PASS</x:v>
      </x:c>
    </x:row>
    <x:row r="70">
      <x:c r="B70" s="7" t="str">
        <x:v>ST-02</x:v>
      </x:c>
      <x:c r="C70" s="7" t="str">
        <x:v>stop law</x:v>
      </x:c>
      <x:c r="D70" s="7" t="str">
        <x:v>uncommissioned production tool</x:v>
      </x:c>
      <x:c r="E70" s="7" t="str">
        <x:v>ACTIVE</x:v>
      </x:c>
      <x:c r="F70" s="7" t="str">
        <x:v>ACTIVE</x:v>
      </x:c>
      <x:c r="G70" s="7" t="str">
        <x:f>IF(ISNUMBER(E70),IF(ABS(E70-F70)&lt;0.000001,"PASS","FAIL"),IF(E70=F70,"PASS","FAIL"))</x:f>
        <x:v>PASS</x:v>
      </x:c>
    </x:row>
    <x:row r="71">
      <x:c r="B71" s="7" t="str">
        <x:v>ST-03</x:v>
      </x:c>
      <x:c r="C71" s="7" t="str">
        <x:v>stop law</x:v>
      </x:c>
      <x:c r="D71" s="7" t="str">
        <x:v>measurement transfer outside limit</x:v>
      </x:c>
      <x:c r="E71" s="7" t="str">
        <x:v>ACTIVE</x:v>
      </x:c>
      <x:c r="F71" s="7" t="str">
        <x:v>ACTIVE</x:v>
      </x:c>
      <x:c r="G71" s="7" t="str">
        <x:f>IF(ISNUMBER(E71),IF(ABS(E71-F71)&lt;0.000001,"PASS","FAIL"),IF(E71=F71,"PASS","FAIL"))</x:f>
        <x:v>PASS</x:v>
      </x:c>
    </x:row>
    <x:row r="72">
      <x:c r="B72" s="7" t="str">
        <x:v>ST-04</x:v>
      </x:c>
      <x:c r="C72" s="7" t="str">
        <x:v>stop law</x:v>
      </x:c>
      <x:c r="D72" s="7" t="str">
        <x:v>material ancestry break</x:v>
      </x:c>
      <x:c r="E72" s="7" t="str">
        <x:v>ACTIVE</x:v>
      </x:c>
      <x:c r="F72" s="7" t="str">
        <x:v>ACTIVE</x:v>
      </x:c>
      <x:c r="G72" s="7" t="str">
        <x:f>IF(ISNUMBER(E72),IF(ABS(E72-F72)&lt;0.000001,"PASS","FAIL"),IF(E72=F72,"PASS","FAIL"))</x:f>
        <x:v>PASS</x:v>
      </x:c>
    </x:row>
    <x:row r="73">
      <x:c r="B73" s="7" t="str">
        <x:v>ST-05</x:v>
      </x:c>
      <x:c r="C73" s="7" t="str">
        <x:v>stop law</x:v>
      </x:c>
      <x:c r="D73" s="7" t="str">
        <x:v>informal or unequal builder assistance</x:v>
      </x:c>
      <x:c r="E73" s="7" t="str">
        <x:v>ACTIVE</x:v>
      </x:c>
      <x:c r="F73" s="7" t="str">
        <x:v>ACTIVE</x:v>
      </x:c>
      <x:c r="G73" s="7" t="str">
        <x:f>IF(ISNUMBER(E73),IF(ABS(E73-F73)&lt;0.000001,"PASS","FAIL"),IF(E73=F73,"PASS","FAIL"))</x:f>
        <x:v>PASS</x:v>
      </x:c>
    </x:row>
    <x:row r="74">
      <x:c r="B74" s="7" t="str">
        <x:v>ST-06</x:v>
      </x:c>
      <x:c r="C74" s="7" t="str">
        <x:v>stop law</x:v>
      </x:c>
      <x:c r="D74" s="7" t="str">
        <x:v>unauthorized process change</x:v>
      </x:c>
      <x:c r="E74" s="7" t="str">
        <x:v>ACTIVE</x:v>
      </x:c>
      <x:c r="F74" s="7" t="str">
        <x:v>ACTIVE</x:v>
      </x:c>
      <x:c r="G74" s="7" t="str">
        <x:f>IF(ISNUMBER(E74),IF(ABS(E74-F74)&lt;0.000001,"PASS","FAIL"),IF(E74=F74,"PASS","FAIL"))</x:f>
        <x:v>PASS</x:v>
      </x:c>
    </x:row>
    <x:row r="75">
      <x:c r="B75" s="7" t="str">
        <x:v>ST-07</x:v>
      </x:c>
      <x:c r="C75" s="7" t="str">
        <x:v>stop law</x:v>
      </x:c>
      <x:c r="D75" s="7" t="str">
        <x:v>critical joint indication</x:v>
      </x:c>
      <x:c r="E75" s="7" t="str">
        <x:v>ACTIVE</x:v>
      </x:c>
      <x:c r="F75" s="7" t="str">
        <x:v>ACTIVE</x:v>
      </x:c>
      <x:c r="G75" s="7" t="str">
        <x:f>IF(ISNUMBER(E75),IF(ABS(E75-F75)&lt;0.000001,"PASS","FAIL"),IF(E75=F75,"PASS","FAIL"))</x:f>
        <x:v>PASS</x:v>
      </x:c>
    </x:row>
    <x:row r="76">
      <x:c r="B76" s="7" t="str">
        <x:v>ST-08</x:v>
      </x:c>
      <x:c r="C76" s="7" t="str">
        <x:v>stop law</x:v>
      </x:c>
      <x:c r="D76" s="7" t="str">
        <x:v>final element fails safe state</x:v>
      </x:c>
      <x:c r="E76" s="7" t="str">
        <x:v>ACTIVE</x:v>
      </x:c>
      <x:c r="F76" s="7" t="str">
        <x:v>ACTIVE</x:v>
      </x:c>
      <x:c r="G76" s="7" t="str">
        <x:f>IF(ISNUMBER(E76),IF(ABS(E76-F76)&lt;0.000001,"PASS","FAIL"),IF(E76=F76,"PASS","FAIL"))</x:f>
        <x:v>PASS</x:v>
      </x:c>
    </x:row>
    <x:row r="77">
      <x:c r="B77" s="7" t="str">
        <x:v>ST-09</x:v>
      </x:c>
      <x:c r="C77" s="7" t="str">
        <x:v>stop law</x:v>
      </x:c>
      <x:c r="D77" s="7" t="str">
        <x:v>channel identity or calibration loss</x:v>
      </x:c>
      <x:c r="E77" s="7" t="str">
        <x:v>ACTIVE</x:v>
      </x:c>
      <x:c r="F77" s="7" t="str">
        <x:v>ACTIVE</x:v>
      </x:c>
      <x:c r="G77" s="7" t="str">
        <x:f>IF(ISNUMBER(E77),IF(ABS(E77-F77)&lt;0.000001,"PASS","FAIL"),IF(E77=F77,"PASS","FAIL"))</x:f>
        <x:v>PASS</x:v>
      </x:c>
    </x:row>
    <x:row r="78">
      <x:c r="B78" s="7" t="str">
        <x:v>ST-10</x:v>
      </x:c>
      <x:c r="C78" s="7" t="str">
        <x:v>stop law</x:v>
      </x:c>
      <x:c r="D78" s="7" t="str">
        <x:v>first-pass disposition overwritten</x:v>
      </x:c>
      <x:c r="E78" s="7" t="str">
        <x:v>ACTIVE</x:v>
      </x:c>
      <x:c r="F78" s="7" t="str">
        <x:v>ACTIVE</x:v>
      </x:c>
      <x:c r="G78" s="7" t="str">
        <x:f>IF(ISNUMBER(E78),IF(ABS(E78-F78)&lt;0.000001,"PASS","FAIL"),IF(E78=F78,"PASS","FAIL"))</x:f>
        <x:v>PASS</x:v>
      </x:c>
    </x:row>
    <x:row r="79">
      <x:c r="B79" s="7" t="str">
        <x:v>ST-11</x:v>
      </x:c>
      <x:c r="C79" s="7" t="str">
        <x:v>stop law</x:v>
      </x:c>
      <x:c r="D79" s="7" t="str">
        <x:v>repair without branch identity</x:v>
      </x:c>
      <x:c r="E79" s="7" t="str">
        <x:v>ACTIVE</x:v>
      </x:c>
      <x:c r="F79" s="7" t="str">
        <x:v>ACTIVE</x:v>
      </x:c>
      <x:c r="G79" s="7" t="str">
        <x:f>IF(ISNUMBER(E79),IF(ABS(E79-F79)&lt;0.000001,"PASS","FAIL"),IF(E79=F79,"PASS","FAIL"))</x:f>
        <x:v>PASS</x:v>
      </x:c>
    </x:row>
    <x:row r="80">
      <x:c r="B80" s="7" t="str">
        <x:v>ST-12</x:v>
      </x:c>
      <x:c r="C80" s="7" t="str">
        <x:v>stop law</x:v>
      </x:c>
      <x:c r="D80" s="7" t="str">
        <x:v>role reassignment after result</x:v>
      </x:c>
      <x:c r="E80" s="7" t="str">
        <x:v>ACTIVE</x:v>
      </x:c>
      <x:c r="F80" s="7" t="str">
        <x:v>ACTIVE</x:v>
      </x:c>
      <x:c r="G80" s="7" t="str">
        <x:f>IF(ISNUMBER(E80),IF(ABS(E80-F80)&lt;0.000001,"PASS","FAIL"),IF(E80=F80,"PASS","FAIL"))</x:f>
        <x:v>PASS</x:v>
      </x:c>
    </x:row>
    <x:row r="81">
      <x:c r="B81" s="7" t="str">
        <x:v>ST-13</x:v>
      </x:c>
      <x:c r="C81" s="7" t="str">
        <x:v>stop law</x:v>
      </x:c>
      <x:c r="D81" s="7" t="str">
        <x:v>evidence original or causal-time loss</x:v>
      </x:c>
      <x:c r="E81" s="7" t="str">
        <x:v>ACTIVE</x:v>
      </x:c>
      <x:c r="F81" s="7" t="str">
        <x:v>ACTIVE</x:v>
      </x:c>
      <x:c r="G81" s="7" t="str">
        <x:f>IF(ISNUMBER(E81),IF(ABS(E81-F81)&lt;0.000001,"PASS","FAIL"),IF(E81=F81,"PASS","FAIL"))</x:f>
        <x:v>PASS</x:v>
      </x:c>
    </x:row>
    <x:row r="82">
      <x:c r="B82" s="7" t="str">
        <x:v>ST-14</x:v>
      </x:c>
      <x:c r="C82" s="7" t="str">
        <x:v>stop law</x:v>
      </x:c>
      <x:c r="D82" s="7" t="str">
        <x:v>builder accepts own work</x:v>
      </x:c>
      <x:c r="E82" s="7" t="str">
        <x:v>ACTIVE</x:v>
      </x:c>
      <x:c r="F82" s="7" t="str">
        <x:v>ACTIVE</x:v>
      </x:c>
      <x:c r="G82" s="7" t="str">
        <x:f>IF(ISNUMBER(E82),IF(ABS(E82-F82)&lt;0.000001,"PASS","FAIL"),IF(E82=F82,"PASS","FAIL"))</x:f>
        <x:v>PASS</x:v>
      </x:c>
    </x:row>
    <x:row r="83">
      <x:c r="B83" s="7" t="str">
        <x:v>ST-15</x:v>
      </x:c>
      <x:c r="C83" s="7" t="str">
        <x:v>stop law</x:v>
      </x:c>
      <x:c r="D83" s="7" t="str">
        <x:v>personnel or containment boundary lost</x:v>
      </x:c>
      <x:c r="E83" s="7" t="str">
        <x:v>ACTIVE</x:v>
      </x:c>
      <x:c r="F83" s="7" t="str">
        <x:v>ACTIVE</x:v>
      </x:c>
      <x:c r="G83" s="7" t="str">
        <x:f>IF(ISNUMBER(E83),IF(ABS(E83-F83)&lt;0.000001,"PASS","FAIL"),IF(E83=F83,"PASS","FAIL"))</x:f>
        <x:v>PASS</x:v>
      </x:c>
    </x:row>
    <x:row r="84">
      <x:c r="B84" s="7" t="str">
        <x:v>ST-16</x:v>
      </x:c>
      <x:c r="C84" s="7" t="str">
        <x:v>stop law</x:v>
      </x:c>
      <x:c r="D84" s="7" t="str">
        <x:v>bank board asked to waive an absent role</x:v>
      </x:c>
      <x:c r="E84" s="7" t="str">
        <x:v>ACTIVE</x:v>
      </x:c>
      <x:c r="F84" s="7" t="str">
        <x:v>ACTIVE</x:v>
      </x:c>
      <x:c r="G84" s="7" t="str">
        <x:f>IF(ISNUMBER(E84),IF(ABS(E84-F84)&lt;0.000001,"PASS","FAIL"),IF(E84=F84,"PASS","FAIL"))</x:f>
        <x:v>PASS</x:v>
      </x:c>
    </x:row>
    <x:row r="85">
      <x:c r="B85" s="7" t="str">
        <x:v>S01</x:v>
      </x:c>
      <x:c r="C85" s="7" t="str">
        <x:v>structural</x:v>
      </x:c>
      <x:c r="D85" s="7" t="str">
        <x:v>LOT-A-X articles</x:v>
      </x:c>
      <x:c r="E85" s="7" t="n">
        <x:f>COUNTIFS('Article Population'!E7:E24,"LOT-A-X")</x:f>
        <x:v>3</x:v>
      </x:c>
      <x:c r="F85" s="7" t="n">
        <x:v>3</x:v>
      </x:c>
      <x:c r="G85" s="7" t="str">
        <x:f>IF(ISNUMBER(E85),IF(ABS(E85-F85)&lt;0.000001,"PASS","FAIL"),IF(E85=F85,"PASS","FAIL"))</x:f>
        <x:v>PASS</x:v>
      </x:c>
    </x:row>
    <x:row r="86">
      <x:c r="B86" s="7" t="str">
        <x:v>S02</x:v>
      </x:c>
      <x:c r="C86" s="7" t="str">
        <x:v>structural</x:v>
      </x:c>
      <x:c r="D86" s="7" t="str">
        <x:v>LOT-A-Y articles</x:v>
      </x:c>
      <x:c r="E86" s="7" t="n">
        <x:f>COUNTIFS('Article Population'!E7:E24,"LOT-A-Y")</x:f>
        <x:v>3</x:v>
      </x:c>
      <x:c r="F86" s="7" t="n">
        <x:v>3</x:v>
      </x:c>
      <x:c r="G86" s="7" t="str">
        <x:f>IF(ISNUMBER(E86),IF(ABS(E86-F86)&lt;0.000001,"PASS","FAIL"),IF(E86=F86,"PASS","FAIL"))</x:f>
        <x:v>PASS</x:v>
      </x:c>
    </x:row>
    <x:row r="87">
      <x:c r="B87" s="7" t="str">
        <x:v>S03</x:v>
      </x:c>
      <x:c r="C87" s="7" t="str">
        <x:v>structural</x:v>
      </x:c>
      <x:c r="D87" s="7" t="str">
        <x:v>LOT-B-X articles</x:v>
      </x:c>
      <x:c r="E87" s="7" t="n">
        <x:f>COUNTIFS('Article Population'!E7:E24,"LOT-B-X")</x:f>
        <x:v>3</x:v>
      </x:c>
      <x:c r="F87" s="7" t="n">
        <x:v>3</x:v>
      </x:c>
      <x:c r="G87" s="7" t="str">
        <x:f>IF(ISNUMBER(E87),IF(ABS(E87-F87)&lt;0.000001,"PASS","FAIL"),IF(E87=F87,"PASS","FAIL"))</x:f>
        <x:v>PASS</x:v>
      </x:c>
    </x:row>
    <x:row r="88">
      <x:c r="B88" s="7" t="str">
        <x:v>S04</x:v>
      </x:c>
      <x:c r="C88" s="7" t="str">
        <x:v>structural</x:v>
      </x:c>
      <x:c r="D88" s="7" t="str">
        <x:v>LOT-B-Y articles</x:v>
      </x:c>
      <x:c r="E88" s="7" t="n">
        <x:f>COUNTIFS('Article Population'!E7:E24,"LOT-B-Y")</x:f>
        <x:v>3</x:v>
      </x:c>
      <x:c r="F88" s="7" t="n">
        <x:v>3</x:v>
      </x:c>
      <x:c r="G88" s="7" t="str">
        <x:f>IF(ISNUMBER(E88),IF(ABS(E88-F88)&lt;0.000001,"PASS","FAIL"),IF(E88=F88,"PASS","FAIL"))</x:f>
        <x:v>PASS</x:v>
      </x:c>
    </x:row>
    <x:row r="89">
      <x:c r="B89" s="7" t="str">
        <x:v>S05</x:v>
      </x:c>
      <x:c r="C89" s="7" t="str">
        <x:v>structural</x:v>
      </x:c>
      <x:c r="D89" s="7" t="str">
        <x:v>LOT-C-X articles</x:v>
      </x:c>
      <x:c r="E89" s="7" t="n">
        <x:f>COUNTIFS('Article Population'!E7:E24,"LOT-C-X")</x:f>
        <x:v>3</x:v>
      </x:c>
      <x:c r="F89" s="7" t="n">
        <x:v>3</x:v>
      </x:c>
      <x:c r="G89" s="7" t="str">
        <x:f>IF(ISNUMBER(E89),IF(ABS(E89-F89)&lt;0.000001,"PASS","FAIL"),IF(E89=F89,"PASS","FAIL"))</x:f>
        <x:v>PASS</x:v>
      </x:c>
    </x:row>
    <x:row r="90">
      <x:c r="B90" s="7" t="str">
        <x:v>S06</x:v>
      </x:c>
      <x:c r="C90" s="7" t="str">
        <x:v>structural</x:v>
      </x:c>
      <x:c r="D90" s="7" t="str">
        <x:v>LOT-C-Y articles</x:v>
      </x:c>
      <x:c r="E90" s="7" t="n">
        <x:f>COUNTIFS('Article Population'!E7:E24,"LOT-C-Y")</x:f>
        <x:v>3</x:v>
      </x:c>
      <x:c r="F90" s="7" t="n">
        <x:v>3</x:v>
      </x:c>
      <x:c r="G90" s="7" t="str">
        <x:f>IF(ISNUMBER(E90),IF(ABS(E90-F90)&lt;0.000001,"PASS","FAIL"),IF(E90=F90,"PASS","FAIL"))</x:f>
        <x:v>PASS</x:v>
      </x:c>
    </x:row>
    <x:row r="91">
      <x:c r="B91" s="7" t="str">
        <x:v>S07</x:v>
      </x:c>
      <x:c r="C91" s="7" t="str">
        <x:v>structural</x:v>
      </x:c>
      <x:c r="D91" s="7" t="str">
        <x:v>operational roles</x:v>
      </x:c>
      <x:c r="E91" s="7" t="n">
        <x:f>COUNTIFS('Article Population'!H7:H24,"OPERATIONAL")</x:f>
        <x:v>6</x:v>
      </x:c>
      <x:c r="F91" s="7" t="n">
        <x:v>6</x:v>
      </x:c>
      <x:c r="G91" s="7" t="str">
        <x:f>IF(ISNUMBER(E91),IF(ABS(E91-F91)&lt;0.000001,"PASS","FAIL"),IF(E91=F91,"PASS","FAIL"))</x:f>
        <x:v>PASS</x:v>
      </x:c>
    </x:row>
    <x:row r="92">
      <x:c r="B92" s="7" t="str">
        <x:v>S08</x:v>
      </x:c>
      <x:c r="C92" s="7" t="str">
        <x:v>structural</x:v>
      </x:c>
      <x:c r="D92" s="7" t="str">
        <x:v>functional twin roles</x:v>
      </x:c>
      <x:c r="E92" s="7" t="n">
        <x:f>COUNTIFS('Article Population'!H7:H24,"FUNCTIONAL TWIN")</x:f>
        <x:v>6</x:v>
      </x:c>
      <x:c r="F92" s="7" t="n">
        <x:v>6</x:v>
      </x:c>
      <x:c r="G92" s="7" t="str">
        <x:f>IF(ISNUMBER(E92),IF(ABS(E92-F92)&lt;0.000001,"PASS","FAIL"),IF(E92=F92,"PASS","FAIL"))</x:f>
        <x:v>PASS</x:v>
      </x:c>
    </x:row>
    <x:row r="93">
      <x:c r="B93" s="7" t="str">
        <x:v>S09</x:v>
      </x:c>
      <x:c r="C93" s="7" t="str">
        <x:v>structural</x:v>
      </x:c>
      <x:c r="D93" s="7" t="str">
        <x:v>calibration roles</x:v>
      </x:c>
      <x:c r="E93" s="7" t="n">
        <x:f>COUNTIFS('Article Population'!H7:H24,"CALIBRATION")</x:f>
        <x:v>3</x:v>
      </x:c>
      <x:c r="F93" s="7" t="n">
        <x:v>3</x:v>
      </x:c>
      <x:c r="G93" s="7" t="str">
        <x:f>IF(ISNUMBER(E93),IF(ABS(E93-F93)&lt;0.000001,"PASS","FAIL"),IF(E93=F93,"PASS","FAIL"))</x:f>
        <x:v>PASS</x:v>
      </x:c>
    </x:row>
    <x:row r="94">
      <x:c r="B94" s="7" t="str">
        <x:v>S10</x:v>
      </x:c>
      <x:c r="C94" s="7" t="str">
        <x:v>structural</x:v>
      </x:c>
      <x:c r="D94" s="7" t="str">
        <x:v>destructive roles</x:v>
      </x:c>
      <x:c r="E94" s="7" t="n">
        <x:f>COUNTIFS('Article Population'!H7:H24,"DESTRUCTIVE")</x:f>
        <x:v>3</x:v>
      </x:c>
      <x:c r="F94" s="7" t="n">
        <x:v>3</x:v>
      </x:c>
      <x:c r="G94" s="7" t="str">
        <x:f>IF(ISNUMBER(E94),IF(ABS(E94-F94)&lt;0.000001,"PASS","FAIL"),IF(E94=F94,"PASS","FAIL"))</x:f>
        <x:v>PASS</x:v>
      </x:c>
    </x:row>
    <x:row r="95">
      <x:c r="B95" s="7" t="str">
        <x:v>S11</x:v>
      </x:c>
      <x:c r="C95" s="7" t="str">
        <x:v>structural</x:v>
      </x:c>
      <x:c r="D95" s="7" t="str">
        <x:v>BL-X articles</x:v>
      </x:c>
      <x:c r="E95" s="7" t="n">
        <x:f>COUNTIFS('Article Population'!D7:D24,"BL-X")</x:f>
        <x:v>9</x:v>
      </x:c>
      <x:c r="F95" s="7" t="n">
        <x:v>9</x:v>
      </x:c>
      <x:c r="G95" s="7" t="str">
        <x:f>IF(ISNUMBER(E95),IF(ABS(E95-F95)&lt;0.000001,"PASS","FAIL"),IF(E95=F95,"PASS","FAIL"))</x:f>
        <x:v>PASS</x:v>
      </x:c>
    </x:row>
    <x:row r="96">
      <x:c r="B96" s="7" t="str">
        <x:v>S12</x:v>
      </x:c>
      <x:c r="C96" s="7" t="str">
        <x:v>structural</x:v>
      </x:c>
      <x:c r="D96" s="7" t="str">
        <x:v>BL-Y articles</x:v>
      </x:c>
      <x:c r="E96" s="7" t="n">
        <x:f>COUNTIFS('Article Population'!D7:D24,"BL-Y")</x:f>
        <x:v>9</x:v>
      </x:c>
      <x:c r="F96" s="7" t="n">
        <x:v>9</x:v>
      </x:c>
      <x:c r="G96" s="7" t="str">
        <x:f>IF(ISNUMBER(E96),IF(ABS(E96-F96)&lt;0.000001,"PASS","FAIL"),IF(E96=F96,"PASS","FAIL"))</x:f>
        <x:v>PASS</x:v>
      </x:c>
    </x:row>
    <x:row r="97">
      <x:c r="B97" s="7" t="str">
        <x:v>S13</x:v>
      </x:c>
      <x:c r="C97" s="7" t="str">
        <x:v>structural</x:v>
      </x:c>
      <x:c r="D97" s="7" t="str">
        <x:v>builder A articles</x:v>
      </x:c>
      <x:c r="E97" s="7" t="n">
        <x:f>COUNTIFS('Article Population'!C7:C24,"BLD-A")</x:f>
        <x:v>6</x:v>
      </x:c>
      <x:c r="F97" s="7" t="n">
        <x:v>6</x:v>
      </x:c>
      <x:c r="G97" s="7" t="str">
        <x:f>IF(ISNUMBER(E97),IF(ABS(E97-F97)&lt;0.000001,"PASS","FAIL"),IF(E97=F97,"PASS","FAIL"))</x:f>
        <x:v>PASS</x:v>
      </x:c>
    </x:row>
    <x:row r="98">
      <x:c r="B98" s="7" t="str">
        <x:v>S14</x:v>
      </x:c>
      <x:c r="C98" s="7" t="str">
        <x:v>structural</x:v>
      </x:c>
      <x:c r="D98" s="7" t="str">
        <x:v>builder B articles</x:v>
      </x:c>
      <x:c r="E98" s="7" t="n">
        <x:f>COUNTIFS('Article Population'!C7:C24,"BLD-B")</x:f>
        <x:v>6</x:v>
      </x:c>
      <x:c r="F98" s="7" t="n">
        <x:v>6</x:v>
      </x:c>
      <x:c r="G98" s="7" t="str">
        <x:f>IF(ISNUMBER(E98),IF(ABS(E98-F98)&lt;0.000001,"PASS","FAIL"),IF(E98=F98,"PASS","FAIL"))</x:f>
        <x:v>PASS</x:v>
      </x:c>
    </x:row>
    <x:row r="99">
      <x:c r="B99" s="7" t="str">
        <x:v>S15</x:v>
      </x:c>
      <x:c r="C99" s="7" t="str">
        <x:v>structural</x:v>
      </x:c>
      <x:c r="D99" s="7" t="str">
        <x:v>builder C articles</x:v>
      </x:c>
      <x:c r="E99" s="7" t="n">
        <x:f>COUNTIFS('Article Population'!C7:C24,"BLD-C")</x:f>
        <x:v>6</x:v>
      </x:c>
      <x:c r="F99" s="7" t="n">
        <x:v>6</x:v>
      </x:c>
      <x:c r="G99" s="7" t="str">
        <x:f>IF(ISNUMBER(E99),IF(ABS(E99-F99)&lt;0.000001,"PASS","FAIL"),IF(E99=F99,"PASS","FAIL"))</x:f>
        <x:v>PASS</x:v>
      </x:c>
    </x:row>
    <x:row r="100">
      <x:c r="B100" s="7" t="str">
        <x:v>S16</x:v>
      </x:c>
      <x:c r="C100" s="7" t="str">
        <x:v>structural</x:v>
      </x:c>
      <x:c r="D100" s="7" t="str">
        <x:v>MAT-X-A splits</x:v>
      </x:c>
      <x:c r="E100" s="7" t="n">
        <x:f>COUNTIFS('Material Matrix'!C7:C24,"MAT-X-A")</x:f>
        <x:v>3</x:v>
      </x:c>
      <x:c r="F100" s="7" t="n">
        <x:v>3</x:v>
      </x:c>
      <x:c r="G100" s="7" t="str">
        <x:f>IF(ISNUMBER(E100),IF(ABS(E100-F100)&lt;0.000001,"PASS","FAIL"),IF(E100=F100,"PASS","FAIL"))</x:f>
        <x:v>PASS</x:v>
      </x:c>
    </x:row>
    <x:row r="101">
      <x:c r="B101" s="7" t="str">
        <x:v>S17</x:v>
      </x:c>
      <x:c r="C101" s="7" t="str">
        <x:v>structural</x:v>
      </x:c>
      <x:c r="D101" s="7" t="str">
        <x:v>MAT-X-B splits</x:v>
      </x:c>
      <x:c r="E101" s="7" t="n">
        <x:f>COUNTIFS('Material Matrix'!C7:C24,"MAT-X-B")</x:f>
        <x:v>3</x:v>
      </x:c>
      <x:c r="F101" s="7" t="n">
        <x:v>3</x:v>
      </x:c>
      <x:c r="G101" s="7" t="str">
        <x:f>IF(ISNUMBER(E101),IF(ABS(E101-F101)&lt;0.000001,"PASS","FAIL"),IF(E101=F101,"PASS","FAIL"))</x:f>
        <x:v>PASS</x:v>
      </x:c>
    </x:row>
    <x:row r="102">
      <x:c r="B102" s="7" t="str">
        <x:v>S18</x:v>
      </x:c>
      <x:c r="C102" s="7" t="str">
        <x:v>structural</x:v>
      </x:c>
      <x:c r="D102" s="7" t="str">
        <x:v>MAT-X-C splits</x:v>
      </x:c>
      <x:c r="E102" s="7" t="n">
        <x:f>COUNTIFS('Material Matrix'!C7:C24,"MAT-X-C")</x:f>
        <x:v>3</x:v>
      </x:c>
      <x:c r="F102" s="7" t="n">
        <x:v>3</x:v>
      </x:c>
      <x:c r="G102" s="7" t="str">
        <x:f>IF(ISNUMBER(E102),IF(ABS(E102-F102)&lt;0.000001,"PASS","FAIL"),IF(E102=F102,"PASS","FAIL"))</x:f>
        <x:v>PASS</x:v>
      </x:c>
    </x:row>
    <x:row r="103">
      <x:c r="B103" s="7" t="str">
        <x:v>S19</x:v>
      </x:c>
      <x:c r="C103" s="7" t="str">
        <x:v>structural</x:v>
      </x:c>
      <x:c r="D103" s="7" t="str">
        <x:v>MAT-Y-A splits</x:v>
      </x:c>
      <x:c r="E103" s="7" t="n">
        <x:f>COUNTIFS('Material Matrix'!C7:C24,"MAT-Y-A")</x:f>
        <x:v>3</x:v>
      </x:c>
      <x:c r="F103" s="7" t="n">
        <x:v>3</x:v>
      </x:c>
      <x:c r="G103" s="7" t="str">
        <x:f>IF(ISNUMBER(E103),IF(ABS(E103-F103)&lt;0.000001,"PASS","FAIL"),IF(E103=F103,"PASS","FAIL"))</x:f>
        <x:v>PASS</x:v>
      </x:c>
    </x:row>
    <x:row r="104">
      <x:c r="B104" s="7" t="str">
        <x:v>S20</x:v>
      </x:c>
      <x:c r="C104" s="7" t="str">
        <x:v>structural</x:v>
      </x:c>
      <x:c r="D104" s="7" t="str">
        <x:v>MAT-Y-B splits</x:v>
      </x:c>
      <x:c r="E104" s="7" t="n">
        <x:f>COUNTIFS('Material Matrix'!C7:C24,"MAT-Y-B")</x:f>
        <x:v>3</x:v>
      </x:c>
      <x:c r="F104" s="7" t="n">
        <x:v>3</x:v>
      </x:c>
      <x:c r="G104" s="7" t="str">
        <x:f>IF(ISNUMBER(E104),IF(ABS(E104-F104)&lt;0.000001,"PASS","FAIL"),IF(E104=F104,"PASS","FAIL"))</x:f>
        <x:v>PASS</x:v>
      </x:c>
    </x:row>
    <x:row r="105">
      <x:c r="B105" s="7" t="str">
        <x:v>S21</x:v>
      </x:c>
      <x:c r="C105" s="7" t="str">
        <x:v>structural</x:v>
      </x:c>
      <x:c r="D105" s="7" t="str">
        <x:v>MAT-Y-C splits</x:v>
      </x:c>
      <x:c r="E105" s="7" t="n">
        <x:f>COUNTIFS('Material Matrix'!C7:C24,"MAT-Y-C")</x:f>
        <x:v>3</x:v>
      </x:c>
      <x:c r="F105" s="7" t="n">
        <x:v>3</x:v>
      </x:c>
      <x:c r="G105" s="7" t="str">
        <x:f>IF(ISNUMBER(E105),IF(ABS(E105-F105)&lt;0.000001,"PASS","FAIL"),IF(E105=F105,"PASS","FAIL"))</x:f>
        <x:v>PASS</x:v>
      </x:c>
    </x:row>
    <x:row r="106">
      <x:c r="B106" s="7" t="str">
        <x:v>S22</x:v>
      </x:c>
      <x:c r="C106" s="7" t="str">
        <x:v>structural</x:v>
      </x:c>
      <x:c r="D106" s="7" t="str">
        <x:v>PEA-A-X1 gate count</x:v>
      </x:c>
      <x:c r="E106" s="7" t="n">
        <x:f>COUNTIFS('Article Gates'!C7:C7026,"PEA-A-X1")</x:f>
        <x:v>390</x:v>
      </x:c>
      <x:c r="F106" s="7" t="n">
        <x:v>390</x:v>
      </x:c>
      <x:c r="G106" s="7" t="str">
        <x:f>IF(ISNUMBER(E106),IF(ABS(E106-F106)&lt;0.000001,"PASS","FAIL"),IF(E106=F106,"PASS","FAIL"))</x:f>
        <x:v>PASS</x:v>
      </x:c>
    </x:row>
    <x:row r="107">
      <x:c r="B107" s="7" t="str">
        <x:v>S23</x:v>
      </x:c>
      <x:c r="C107" s="7" t="str">
        <x:v>structural</x:v>
      </x:c>
      <x:c r="D107" s="7" t="str">
        <x:v>PEA-A-X2 gate count</x:v>
      </x:c>
      <x:c r="E107" s="7" t="n">
        <x:f>COUNTIFS('Article Gates'!C7:C7026,"PEA-A-X2")</x:f>
        <x:v>390</x:v>
      </x:c>
      <x:c r="F107" s="7" t="n">
        <x:v>390</x:v>
      </x:c>
      <x:c r="G107" s="7" t="str">
        <x:f>IF(ISNUMBER(E107),IF(ABS(E107-F107)&lt;0.000001,"PASS","FAIL"),IF(E107=F107,"PASS","FAIL"))</x:f>
        <x:v>PASS</x:v>
      </x:c>
    </x:row>
    <x:row r="108">
      <x:c r="B108" s="7" t="str">
        <x:v>S24</x:v>
      </x:c>
      <x:c r="C108" s="7" t="str">
        <x:v>structural</x:v>
      </x:c>
      <x:c r="D108" s="7" t="str">
        <x:v>PEA-A-X3 gate count</x:v>
      </x:c>
      <x:c r="E108" s="7" t="n">
        <x:f>COUNTIFS('Article Gates'!C7:C7026,"PEA-A-X3")</x:f>
        <x:v>390</x:v>
      </x:c>
      <x:c r="F108" s="7" t="n">
        <x:v>390</x:v>
      </x:c>
      <x:c r="G108" s="7" t="str">
        <x:f>IF(ISNUMBER(E108),IF(ABS(E108-F108)&lt;0.000001,"PASS","FAIL"),IF(E108=F108,"PASS","FAIL"))</x:f>
        <x:v>PASS</x:v>
      </x:c>
    </x:row>
    <x:row r="109">
      <x:c r="B109" s="7" t="str">
        <x:v>S25</x:v>
      </x:c>
      <x:c r="C109" s="7" t="str">
        <x:v>structural</x:v>
      </x:c>
      <x:c r="D109" s="7" t="str">
        <x:v>PEA-A-Y1 gate count</x:v>
      </x:c>
      <x:c r="E109" s="7" t="n">
        <x:f>COUNTIFS('Article Gates'!C7:C7026,"PEA-A-Y1")</x:f>
        <x:v>390</x:v>
      </x:c>
      <x:c r="F109" s="7" t="n">
        <x:v>390</x:v>
      </x:c>
      <x:c r="G109" s="7" t="str">
        <x:f>IF(ISNUMBER(E109),IF(ABS(E109-F109)&lt;0.000001,"PASS","FAIL"),IF(E109=F109,"PASS","FAIL"))</x:f>
        <x:v>PASS</x:v>
      </x:c>
    </x:row>
    <x:row r="110">
      <x:c r="B110" s="7" t="str">
        <x:v>S26</x:v>
      </x:c>
      <x:c r="C110" s="7" t="str">
        <x:v>structural</x:v>
      </x:c>
      <x:c r="D110" s="7" t="str">
        <x:v>PEA-A-Y2 gate count</x:v>
      </x:c>
      <x:c r="E110" s="7" t="n">
        <x:f>COUNTIFS('Article Gates'!C7:C7026,"PEA-A-Y2")</x:f>
        <x:v>390</x:v>
      </x:c>
      <x:c r="F110" s="7" t="n">
        <x:v>390</x:v>
      </x:c>
      <x:c r="G110" s="7" t="str">
        <x:f>IF(ISNUMBER(E110),IF(ABS(E110-F110)&lt;0.000001,"PASS","FAIL"),IF(E110=F110,"PASS","FAIL"))</x:f>
        <x:v>PASS</x:v>
      </x:c>
    </x:row>
    <x:row r="111">
      <x:c r="B111" s="7" t="str">
        <x:v>S27</x:v>
      </x:c>
      <x:c r="C111" s="7" t="str">
        <x:v>structural</x:v>
      </x:c>
      <x:c r="D111" s="7" t="str">
        <x:v>PEA-A-Y3 gate count</x:v>
      </x:c>
      <x:c r="E111" s="7" t="n">
        <x:f>COUNTIFS('Article Gates'!C7:C7026,"PEA-A-Y3")</x:f>
        <x:v>390</x:v>
      </x:c>
      <x:c r="F111" s="7" t="n">
        <x:v>390</x:v>
      </x:c>
      <x:c r="G111" s="7" t="str">
        <x:f>IF(ISNUMBER(E111),IF(ABS(E111-F111)&lt;0.000001,"PASS","FAIL"),IF(E111=F111,"PASS","FAIL"))</x:f>
        <x:v>PASS</x:v>
      </x:c>
    </x:row>
    <x:row r="112">
      <x:c r="B112" s="7" t="str">
        <x:v>S28</x:v>
      </x:c>
      <x:c r="C112" s="7" t="str">
        <x:v>structural</x:v>
      </x:c>
      <x:c r="D112" s="7" t="str">
        <x:v>PEA-B-X1 gate count</x:v>
      </x:c>
      <x:c r="E112" s="7" t="n">
        <x:f>COUNTIFS('Article Gates'!C7:C7026,"PEA-B-X1")</x:f>
        <x:v>390</x:v>
      </x:c>
      <x:c r="F112" s="7" t="n">
        <x:v>390</x:v>
      </x:c>
      <x:c r="G112" s="7" t="str">
        <x:f>IF(ISNUMBER(E112),IF(ABS(E112-F112)&lt;0.000001,"PASS","FAIL"),IF(E112=F112,"PASS","FAIL"))</x:f>
        <x:v>PASS</x:v>
      </x:c>
    </x:row>
    <x:row r="113">
      <x:c r="B113" s="7" t="str">
        <x:v>S29</x:v>
      </x:c>
      <x:c r="C113" s="7" t="str">
        <x:v>structural</x:v>
      </x:c>
      <x:c r="D113" s="7" t="str">
        <x:v>PEA-B-X2 gate count</x:v>
      </x:c>
      <x:c r="E113" s="7" t="n">
        <x:f>COUNTIFS('Article Gates'!C7:C7026,"PEA-B-X2")</x:f>
        <x:v>390</x:v>
      </x:c>
      <x:c r="F113" s="7" t="n">
        <x:v>390</x:v>
      </x:c>
      <x:c r="G113" s="7" t="str">
        <x:f>IF(ISNUMBER(E113),IF(ABS(E113-F113)&lt;0.000001,"PASS","FAIL"),IF(E113=F113,"PASS","FAIL"))</x:f>
        <x:v>PASS</x:v>
      </x:c>
    </x:row>
    <x:row r="114">
      <x:c r="B114" s="7" t="str">
        <x:v>S30</x:v>
      </x:c>
      <x:c r="C114" s="7" t="str">
        <x:v>structural</x:v>
      </x:c>
      <x:c r="D114" s="7" t="str">
        <x:v>PEA-B-X3 gate count</x:v>
      </x:c>
      <x:c r="E114" s="7" t="n">
        <x:f>COUNTIFS('Article Gates'!C7:C7026,"PEA-B-X3")</x:f>
        <x:v>390</x:v>
      </x:c>
      <x:c r="F114" s="7" t="n">
        <x:v>390</x:v>
      </x:c>
      <x:c r="G114" s="7" t="str">
        <x:f>IF(ISNUMBER(E114),IF(ABS(E114-F114)&lt;0.000001,"PASS","FAIL"),IF(E114=F114,"PASS","FAIL"))</x:f>
        <x:v>PASS</x:v>
      </x:c>
    </x:row>
    <x:row r="115">
      <x:c r="B115" s="7" t="str">
        <x:v>S31</x:v>
      </x:c>
      <x:c r="C115" s="7" t="str">
        <x:v>structural</x:v>
      </x:c>
      <x:c r="D115" s="7" t="str">
        <x:v>PEA-B-Y1 gate count</x:v>
      </x:c>
      <x:c r="E115" s="7" t="n">
        <x:f>COUNTIFS('Article Gates'!C7:C7026,"PEA-B-Y1")</x:f>
        <x:v>390</x:v>
      </x:c>
      <x:c r="F115" s="7" t="n">
        <x:v>390</x:v>
      </x:c>
      <x:c r="G115" s="7" t="str">
        <x:f>IF(ISNUMBER(E115),IF(ABS(E115-F115)&lt;0.000001,"PASS","FAIL"),IF(E115=F115,"PASS","FAIL"))</x:f>
        <x:v>PASS</x:v>
      </x:c>
    </x:row>
    <x:row r="116">
      <x:c r="B116" s="7" t="str">
        <x:v>S32</x:v>
      </x:c>
      <x:c r="C116" s="7" t="str">
        <x:v>structural</x:v>
      </x:c>
      <x:c r="D116" s="7" t="str">
        <x:v>PEA-B-Y2 gate count</x:v>
      </x:c>
      <x:c r="E116" s="7" t="n">
        <x:f>COUNTIFS('Article Gates'!C7:C7026,"PEA-B-Y2")</x:f>
        <x:v>390</x:v>
      </x:c>
      <x:c r="F116" s="7" t="n">
        <x:v>390</x:v>
      </x:c>
      <x:c r="G116" s="7" t="str">
        <x:f>IF(ISNUMBER(E116),IF(ABS(E116-F116)&lt;0.000001,"PASS","FAIL"),IF(E116=F116,"PASS","FAIL"))</x:f>
        <x:v>PASS</x:v>
      </x:c>
    </x:row>
    <x:row r="117">
      <x:c r="B117" s="7" t="str">
        <x:v>S33</x:v>
      </x:c>
      <x:c r="C117" s="7" t="str">
        <x:v>structural</x:v>
      </x:c>
      <x:c r="D117" s="7" t="str">
        <x:v>PEA-B-Y3 gate count</x:v>
      </x:c>
      <x:c r="E117" s="7" t="n">
        <x:f>COUNTIFS('Article Gates'!C7:C7026,"PEA-B-Y3")</x:f>
        <x:v>390</x:v>
      </x:c>
      <x:c r="F117" s="7" t="n">
        <x:v>390</x:v>
      </x:c>
      <x:c r="G117" s="7" t="str">
        <x:f>IF(ISNUMBER(E117),IF(ABS(E117-F117)&lt;0.000001,"PASS","FAIL"),IF(E117=F117,"PASS","FAIL"))</x:f>
        <x:v>PASS</x:v>
      </x:c>
    </x:row>
    <x:row r="118">
      <x:c r="B118" s="7" t="str">
        <x:v>S34</x:v>
      </x:c>
      <x:c r="C118" s="7" t="str">
        <x:v>structural</x:v>
      </x:c>
      <x:c r="D118" s="7" t="str">
        <x:v>PEA-C-X1 gate count</x:v>
      </x:c>
      <x:c r="E118" s="7" t="n">
        <x:f>COUNTIFS('Article Gates'!C7:C7026,"PEA-C-X1")</x:f>
        <x:v>390</x:v>
      </x:c>
      <x:c r="F118" s="7" t="n">
        <x:v>390</x:v>
      </x:c>
      <x:c r="G118" s="7" t="str">
        <x:f>IF(ISNUMBER(E118),IF(ABS(E118-F118)&lt;0.000001,"PASS","FAIL"),IF(E118=F118,"PASS","FAIL"))</x:f>
        <x:v>PASS</x:v>
      </x:c>
    </x:row>
    <x:row r="119">
      <x:c r="B119" s="7" t="str">
        <x:v>S35</x:v>
      </x:c>
      <x:c r="C119" s="7" t="str">
        <x:v>structural</x:v>
      </x:c>
      <x:c r="D119" s="7" t="str">
        <x:v>PEA-C-X2 gate count</x:v>
      </x:c>
      <x:c r="E119" s="7" t="n">
        <x:f>COUNTIFS('Article Gates'!C7:C7026,"PEA-C-X2")</x:f>
        <x:v>390</x:v>
      </x:c>
      <x:c r="F119" s="7" t="n">
        <x:v>390</x:v>
      </x:c>
      <x:c r="G119" s="7" t="str">
        <x:f>IF(ISNUMBER(E119),IF(ABS(E119-F119)&lt;0.000001,"PASS","FAIL"),IF(E119=F119,"PASS","FAIL"))</x:f>
        <x:v>PASS</x:v>
      </x:c>
    </x:row>
    <x:row r="120">
      <x:c r="B120" s="7" t="str">
        <x:v>S36</x:v>
      </x:c>
      <x:c r="C120" s="7" t="str">
        <x:v>structural</x:v>
      </x:c>
      <x:c r="D120" s="7" t="str">
        <x:v>PEA-C-X3 gate count</x:v>
      </x:c>
      <x:c r="E120" s="7" t="n">
        <x:f>COUNTIFS('Article Gates'!C7:C7026,"PEA-C-X3")</x:f>
        <x:v>390</x:v>
      </x:c>
      <x:c r="F120" s="7" t="n">
        <x:v>390</x:v>
      </x:c>
      <x:c r="G120" s="7" t="str">
        <x:f>IF(ISNUMBER(E120),IF(ABS(E120-F120)&lt;0.000001,"PASS","FAIL"),IF(E120=F120,"PASS","FAIL"))</x:f>
        <x:v>PASS</x:v>
      </x:c>
    </x:row>
    <x:row r="121">
      <x:c r="B121" s="7" t="str">
        <x:v>S37</x:v>
      </x:c>
      <x:c r="C121" s="7" t="str">
        <x:v>structural</x:v>
      </x:c>
      <x:c r="D121" s="7" t="str">
        <x:v>PEA-C-Y1 gate count</x:v>
      </x:c>
      <x:c r="E121" s="7" t="n">
        <x:f>COUNTIFS('Article Gates'!C7:C7026,"PEA-C-Y1")</x:f>
        <x:v>390</x:v>
      </x:c>
      <x:c r="F121" s="7" t="n">
        <x:v>390</x:v>
      </x:c>
      <x:c r="G121" s="7" t="str">
        <x:f>IF(ISNUMBER(E121),IF(ABS(E121-F121)&lt;0.000001,"PASS","FAIL"),IF(E121=F121,"PASS","FAIL"))</x:f>
        <x:v>PASS</x:v>
      </x:c>
    </x:row>
    <x:row r="122">
      <x:c r="B122" s="7" t="str">
        <x:v>S38</x:v>
      </x:c>
      <x:c r="C122" s="7" t="str">
        <x:v>structural</x:v>
      </x:c>
      <x:c r="D122" s="7" t="str">
        <x:v>PEA-C-Y2 gate count</x:v>
      </x:c>
      <x:c r="E122" s="7" t="n">
        <x:f>COUNTIFS('Article Gates'!C7:C7026,"PEA-C-Y2")</x:f>
        <x:v>390</x:v>
      </x:c>
      <x:c r="F122" s="7" t="n">
        <x:v>390</x:v>
      </x:c>
      <x:c r="G122" s="7" t="str">
        <x:f>IF(ISNUMBER(E122),IF(ABS(E122-F122)&lt;0.000001,"PASS","FAIL"),IF(E122=F122,"PASS","FAIL"))</x:f>
        <x:v>PASS</x:v>
      </x:c>
    </x:row>
    <x:row r="123">
      <x:c r="B123" s="7" t="str">
        <x:v>S39</x:v>
      </x:c>
      <x:c r="C123" s="7" t="str">
        <x:v>structural</x:v>
      </x:c>
      <x:c r="D123" s="7" t="str">
        <x:v>PEA-C-Y3 gate count</x:v>
      </x:c>
      <x:c r="E123" s="7" t="n">
        <x:f>COUNTIFS('Article Gates'!C7:C7026,"PEA-C-Y3")</x:f>
        <x:v>390</x:v>
      </x:c>
      <x:c r="F123" s="7" t="n">
        <x:v>390</x:v>
      </x:c>
      <x:c r="G123" s="7" t="str">
        <x:f>IF(ISNUMBER(E123),IF(ABS(E123-F123)&lt;0.000001,"PASS","FAIL"),IF(E123=F123,"PASS","FAIL"))</x:f>
        <x:v>PASS</x:v>
      </x:c>
    </x:row>
    <x:row r="124">
      <x:c r="B124" s="7" t="str">
        <x:v>S40</x:v>
      </x:c>
      <x:c r="C124" s="7" t="str">
        <x:v>structural</x:v>
      </x:c>
      <x:c r="D124" s="7" t="str">
        <x:v>capacity screens below full use</x:v>
      </x:c>
      <x:c r="E124" s="7" t="n">
        <x:f>IF(MAX(Capacity!J7:J18)&lt;1,1,0)</x:f>
        <x:v>1</x:v>
      </x:c>
      <x:c r="F124" s="7" t="n">
        <x:v>1</x:v>
      </x:c>
      <x:c r="G124" s="7" t="str">
        <x:f>IF(ISNUMBER(E124),IF(ABS(E124-F124)&lt;0.000001,"PASS","FAIL"),IF(E124=F124,"PASS","FAIL"))</x:f>
        <x:v>PASS</x:v>
      </x:c>
    </x:row>
    <x:row r="125">
      <x:c r="B125" s="7" t="str">
        <x:v>S41</x:v>
      </x:c>
      <x:c r="C125" s="7" t="str">
        <x:v>structural</x:v>
      </x:c>
      <x:c r="D125" s="7" t="str">
        <x:v>schedule stages</x:v>
      </x:c>
      <x:c r="E125" s="7" t="n">
        <x:f>COUNTA(Schedule!B7:B30)</x:f>
        <x:v>24</x:v>
      </x:c>
      <x:c r="F125" s="7" t="n">
        <x:v>24</x:v>
      </x:c>
      <x:c r="G125" s="7" t="str">
        <x:f>IF(ISNUMBER(E125),IF(ABS(E125-F125)&lt;0.000001,"PASS","FAIL"),IF(E125=F125,"PASS","FAIL"))</x:f>
        <x:v>PASS</x:v>
      </x:c>
    </x:row>
    <x:row r="126">
      <x:c r="B126" s="7" t="str">
        <x:v>S42</x:v>
      </x:c>
      <x:c r="C126" s="7" t="str">
        <x:v>structural</x:v>
      </x:c>
      <x:c r="D126" s="7" t="str">
        <x:v>governance authorities</x:v>
      </x:c>
      <x:c r="E126" s="7" t="n">
        <x:f>COUNTA(Governance!B7:B18)</x:f>
        <x:v>12</x:v>
      </x:c>
      <x:c r="F126" s="7" t="n">
        <x:v>12</x:v>
      </x:c>
      <x:c r="G126" s="7" t="str">
        <x:f>IF(ISNUMBER(E126),IF(ABS(E126-F126)&lt;0.000001,"PASS","FAIL"),IF(E126=F126,"PASS","FAIL"))</x:f>
        <x:v>PASS</x:v>
      </x:c>
    </x:row>
  </x:sheetData>
  <x:conditionalFormatting sqref="G7:G126">
    <x:cfRule type="containsText" dxfId="162" priority="1" operator="containsText" text="FAIL"/>
    <x:cfRule type="containsText" dxfId="163" priority="2" operator="containsText" text="BLOCKED"/>
    <x:cfRule type="containsText" dxfId="164" priority="3" operator="containsText" text="OPEN"/>
    <x:cfRule type="containsText" dxfId="165" priority="4" operator="containsText" text="DORMANT"/>
    <x:cfRule type="containsText" dxfId="166" priority="5" operator="containsText" text="REVIEW"/>
    <x:cfRule type="containsText" dxfId="167" priority="6" operator="containsText" text="PASS"/>
  </x:conditionalFormatting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19" hidden="0" customWidth="1"/>
    <x:col min="4" max="4" width="85" hidden="0" customWidth="1"/>
    <x:col min="5" max="5" width="28" hidden="0" customWidth="1"/>
  </x:cols>
  <x:sheetData>
    <x:row r="2">
      <x:c r="B2" s="1" t="str">
        <x:v>Internal authority register</x:v>
      </x:c>
    </x:row>
    <x:row r="3">
      <x:c r="B3" s="2" t="str">
        <x:v>No external site is used. Every input is inherited, declared or calculated inside the repository lineage.</x:v>
      </x:c>
    </x:row>
    <x:row r="6" ht="24" customHeight="1">
      <x:c r="B6" s="6" t="str">
        <x:v>Source</x:v>
      </x:c>
      <x:c r="C6" s="6" t="str">
        <x:v>Authority</x:v>
      </x:c>
      <x:c r="D6" s="6" t="str">
        <x:v>Use</x:v>
      </x:c>
      <x:c r="E6" s="6" t="str">
        <x:v>Class</x:v>
      </x:c>
    </x:row>
    <x:row r="7" ht="40" customHeight="1">
      <x:c r="B7" s="7" t="str">
        <x:v>SRC-01</x:v>
      </x:c>
      <x:c r="C7" s="7" t="str">
        <x:v>RAE-1</x:v>
      </x:c>
      <x:c r="D7" s="10" t="str">
        <x:v>40 mm reference path and executable low-source event boundary</x:v>
      </x:c>
      <x:c r="E7" s="7" t="str">
        <x:v>internal predecessor</x:v>
      </x:c>
    </x:row>
    <x:row r="8" ht="40" customHeight="1">
      <x:c r="B8" s="7" t="str">
        <x:v>SRC-02</x:v>
      </x:c>
      <x:c r="C8" s="7" t="str">
        <x:v>RAP-1</x:v>
      </x:c>
      <x:c r="D8" s="10" t="str">
        <x:v>eighteen-role article bank, channels, safeing paths and physical campaign</x:v>
      </x:c>
      <x:c r="E8" s="7" t="str">
        <x:v>direct parent</x:v>
      </x:c>
    </x:row>
    <x:row r="9" ht="40" customHeight="1">
      <x:c r="B9" s="7" t="str">
        <x:v>SRC-03</x:v>
      </x:c>
      <x:c r="C9" s="7" t="str">
        <x:v>RAC-1</x:v>
      </x:c>
      <x:c r="D9" s="10" t="str">
        <x:v>six-module construction, two unlike lineages and build-release packages</x:v>
      </x:c>
      <x:c r="E9" s="7" t="str">
        <x:v>direct predecessor</x:v>
      </x:c>
    </x:row>
    <x:row r="10" ht="40" customHeight="1">
      <x:c r="B10" s="7" t="str">
        <x:v>SRC-04</x:v>
      </x:c>
      <x:c r="C10" s="7" t="str">
        <x:v>RAB-1</x:v>
      </x:c>
      <x:c r="D10" s="10" t="str">
        <x:v>development articles, process windows, controlled defects and destructive truth</x:v>
      </x:c>
      <x:c r="E10" s="7" t="str">
        <x:v>entry authority</x:v>
      </x:c>
    </x:row>
    <x:row r="11" ht="40" customHeight="1">
      <x:c r="B11" s="7" t="str">
        <x:v>SRC-05</x:v>
      </x:c>
      <x:c r="C11" s="7" t="str">
        <x:v>CRET-1</x:v>
      </x:c>
      <x:c r="D11" s="10" t="str">
        <x:v>construction traveler and evidence-custody law</x:v>
      </x:c>
      <x:c r="E11" s="7" t="str">
        <x:v>internal predecessor</x:v>
      </x:c>
    </x:row>
    <x:row r="12" ht="40" customHeight="1">
      <x:c r="B12" s="7" t="str">
        <x:v>SRC-06</x:v>
      </x:c>
      <x:c r="C12" s="7" t="str">
        <x:v>SDEC-1</x:v>
      </x:c>
      <x:c r="D12" s="10" t="str">
        <x:v>controlled-defect, subarticle and teardown law</x:v>
      </x:c>
      <x:c r="E12" s="7" t="str">
        <x:v>internal predecessor</x:v>
      </x:c>
    </x:row>
    <x:row r="13" ht="40" customHeight="1">
      <x:c r="B13" s="7" t="str">
        <x:v>SRC-07</x:v>
      </x:c>
      <x:c r="C13" s="7" t="str">
        <x:v>MESA-1D</x:v>
      </x:c>
      <x:c r="D13" s="10" t="str">
        <x:v>prototype build release, acceptance and outside reproduction</x:v>
      </x:c>
      <x:c r="E13" s="7" t="str">
        <x:v>internal predecessor</x:v>
      </x:c>
    </x:row>
    <x:row r="14" ht="40" customHeight="1">
      <x:c r="B14" s="7" t="str">
        <x:v>SRC-08</x:v>
      </x:c>
      <x:c r="C14" s="7" t="str">
        <x:v>RFP-1</x:v>
      </x:c>
      <x:c r="D14" s="10" t="str">
        <x:v>six Root A public rigs and campus structure</x:v>
      </x:c>
      <x:c r="E14" s="7" t="str">
        <x:v>internal predecessor</x:v>
      </x:c>
    </x:row>
    <x:row r="15" ht="40" customHeight="1">
      <x:c r="B15" s="7" t="str">
        <x:v>SRC-09</x:v>
      </x:c>
      <x:c r="C15" s="7" t="str">
        <x:v>RFE-1</x:v>
      </x:c>
      <x:c r="D15" s="10" t="str">
        <x:v>automatic stop, causal time and evidence law</x:v>
      </x:c>
      <x:c r="E15" s="7" t="str">
        <x:v>internal predecessor</x:v>
      </x:c>
    </x:row>
    <x:row r="16" ht="40" customHeight="1">
      <x:c r="B16" s="7" t="str">
        <x:v>SRC-10</x:v>
      </x:c>
      <x:c r="C16" s="7" t="str">
        <x:v>RAM-1</x:v>
      </x:c>
      <x:c r="D16" s="10" t="str">
        <x:v>method and estimator separation</x:v>
      </x:c>
      <x:c r="E16" s="7" t="str">
        <x:v>internal predecessor</x:v>
      </x:c>
    </x:row>
    <x:row r="17" ht="40" customHeight="1">
      <x:c r="B17" s="7" t="str">
        <x:v>SRC-11</x:v>
      </x:c>
      <x:c r="C17" s="7" t="str">
        <x:v>RAQ-1 calculations</x:v>
      </x:c>
      <x:c r="D17" s="10" t="str">
        <x:v>lot structure, exact bounds, capacity, finance and schedule</x:v>
      </x:c>
      <x:c r="E17" s="7" t="str">
        <x:v>current derivation</x:v>
      </x:c>
    </x:row>
    <x:row r="18" ht="40" customHeight="1">
      <x:c r="B18" s="7" t="str">
        <x:v>SRC-12</x:v>
      </x:c>
      <x:c r="C18" s="7" t="str">
        <x:v>rendering hold</x:v>
      </x:c>
      <x:c r="D18" s="10" t="str">
        <x:v>exterior form follows field-candidate and deployment research</x:v>
      </x:c>
      <x:c r="E18" s="7" t="str">
        <x:v>governing direction</x:v>
      </x:c>
    </x:row>
  </x:sheetData>
  <x:pageMargins left="0.7" right="0.7" top="0.75" bottom="0.75" header="0.3" footer="0.3"/>
</x:worksheet>
</file>

<file path=xl/worksheets/sheet46.xml><?xml version="1.0" encoding="utf-8"?>
<x:worksheet xmlns:x="http://schemas.openxmlformats.org/spreadsheetml/2006/main">
  <x:sheetPr>
    <x:tabColor rgb="FFA6A6A6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29" hidden="0" customWidth="1"/>
    <x:col min="3" max="3" width="119" hidden="0" customWidth="1"/>
  </x:cols>
  <x:sheetData>
    <x:row r="2">
      <x:c r="B2" s="1" t="str">
        <x:v>How to use RAQ-1</x:v>
      </x:c>
    </x:row>
    <x:row r="3">
      <x:c r="B3" s="2" t="str">
        <x:v>This workbook specifies an acceptance system. It contains no observed production result.</x:v>
      </x:c>
    </x:row>
    <x:row r="6" ht="24" customHeight="1">
      <x:c r="B6" s="6" t="str">
        <x:v>Topic</x:v>
      </x:c>
      <x:c r="C6" s="6" t="str">
        <x:v>Guidance</x:v>
      </x:c>
    </x:row>
    <x:row r="7" ht="47" customHeight="1">
      <x:c r="B7" s="7" t="str">
        <x:v>Purpose</x:v>
      </x:c>
      <x:c r="C7" s="10" t="str">
        <x:v>Define the production-equivalent lot and second-team reproduction constitution for the REA-100 article bank.</x:v>
      </x:c>
    </x:row>
    <x:row r="8" ht="47" customHeight="1">
      <x:c r="B8" s="7" t="str">
        <x:v>Primary decision</x:v>
      </x:c>
      <x:c r="C8" s="10" t="str">
        <x:v>Whether eighteen locked-role articles from six builder-lineage cells may enter the RAP-1 bank.</x:v>
      </x:c>
    </x:row>
    <x:row r="9" ht="47" customHeight="1">
      <x:c r="B9" s="7" t="str">
        <x:v>Reader path</x:v>
      </x:c>
      <x:c r="C9" s="10" t="str">
        <x:v>Start with Summary, Claim Boundary and Lot Design. Builder Qualification and Transfer Standards govern site entry. Article Gates and Bank Release govern acceptance.</x:v>
      </x:c>
    </x:row>
    <x:row r="10" ht="47" customHeight="1">
      <x:c r="B10" s="7" t="str">
        <x:v>Cell law</x:v>
      </x:c>
      <x:c r="C10" s="10" t="str">
        <x:v>One cell is one builder, one lineage, one frozen capsule and three consecutive articles.</x:v>
      </x:c>
    </x:row>
    <x:row r="11" ht="47" customHeight="1">
      <x:c r="B11" s="7" t="str">
        <x:v>Material law</x:v>
      </x:c>
      <x:c r="C11" s="10" t="str">
        <x:v>Three parent bundles per lineage are split across all builders so builder and material effects are not perfectly confounded.</x:v>
      </x:c>
    </x:row>
    <x:row r="12" ht="47" customHeight="1">
      <x:c r="B12" s="7" t="str">
        <x:v>Role law</x:v>
      </x:c>
      <x:c r="C12" s="10" t="str">
        <x:v>Each cell builds one operational article, one twin and one precommitted special article. Roles cannot be reassigned after results.</x:v>
      </x:c>
    </x:row>
    <x:row r="13" ht="47" customHeight="1">
      <x:c r="B13" s="7" t="str">
        <x:v>Inspection law</x:v>
      </x:c>
      <x:c r="C13" s="10" t="str">
        <x:v>Critical pressure, safeing, measurement and evidence characteristics receive full inspection. AQL sampling does not govern them.</x:v>
      </x:c>
    </x:row>
    <x:row r="14" ht="47" customHeight="1">
      <x:c r="B14" s="7" t="str">
        <x:v>Yield law</x:v>
      </x:c>
      <x:c r="C14" s="10" t="str">
        <x:v>First-pass dispositions and repairs stay in the denominator. Three articles cannot establish mature yield.</x:v>
      </x:c>
    </x:row>
    <x:row r="15" ht="47" customHeight="1">
      <x:c r="B15" s="7" t="str">
        <x:v>Assistance law</x:v>
      </x:c>
      <x:c r="C15" s="10" t="str">
        <x:v>Every RFI and assistance event is versioned, equalized across builders and visible to acceptance.</x:v>
      </x:c>
    </x:row>
    <x:row r="16" ht="47" customHeight="1">
      <x:c r="B16" s="7" t="str">
        <x:v>Change law</x:v>
      </x:c>
      <x:c r="C16" s="10" t="str">
        <x:v>A material change creates a new configuration branch and renewed reproduction obligations.</x:v>
      </x:c>
    </x:row>
    <x:row r="17" ht="47" customHeight="1">
      <x:c r="B17" s="7" t="str">
        <x:v>Finance law</x:v>
      </x:c>
      <x:c r="C17" s="10" t="str">
        <x:v>USD 66M capital and USD 16M/year consume the remaining RAP-1 allocations. Net Department extension remains zero.</x:v>
      </x:c>
    </x:row>
    <x:row r="18" ht="47" customHeight="1">
      <x:c r="B18" s="7" t="str">
        <x:v>Schedule law</x:v>
      </x:c>
      <x:c r="C18" s="10" t="str">
        <x:v>The full RAC–RAB–RAQ gate chain spans sixty sequential months, thirty-six beyond the original RAP-1 establishment duration.</x:v>
      </x:c>
    </x:row>
    <x:row r="19" ht="47" customHeight="1">
      <x:c r="B19" s="7" t="str">
        <x:v>Technology law</x:v>
      </x:c>
      <x:c r="C19" s="10" t="str">
        <x:v>USD 130M completes the inherited USD 310M technology map and is cross-classified rather than added to capital.</x:v>
      </x:c>
    </x:row>
    <x:row r="20" ht="47" customHeight="1">
      <x:c r="B20" s="7" t="str">
        <x:v>Physical state</x:v>
      </x:c>
      <x:c r="C20" s="10" t="str">
        <x:v>All capsule, builder, material, build, article and bank evidence remains open. Exception, replacement and change slots remain dormant.</x:v>
      </x:c>
    </x:row>
    <x:row r="21" ht="47" customHeight="1">
      <x:c r="B21" s="7" t="str">
        <x:v>Authority ceiling</x:v>
      </x:c>
      <x:c r="C21" s="10" t="str">
        <x:v>RAQ-1 can admit articles to a research bank. It cannot accept RAP-1 trials, authorize source use, approve a field candidate or start series production.</x:v>
      </x:c>
    </x:row>
    <x:row r="22" ht="47" customHeight="1">
      <x:c r="B22" s="7" t="str">
        <x:v>Rendering law</x:v>
      </x:c>
      <x:c r="C22" s="10" t="str">
        <x:v>Exterior rendering remains withheld because RAQ-1 still governs an internal research article rather than a field platform.</x:v>
      </x:c>
    </x:row>
    <x:row r="23" ht="47" customHeight="1">
      <x:c r="B23" s="7" t="str">
        <x:v>Next object</x:v>
      </x:c>
      <x:c r="C23" s="10" t="str">
        <x:v>RAX-1: RAP-1 campaign mobilization, article-to-rig assignment and pre-source operational readiness.</x:v>
      </x:c>
    </x:row>
  </x:sheetData>
  <x:pageMargins left="0.7" right="0.7" top="0.75" bottom="0.75" header="0.3" footer="0.3"/>
</x:worksheet>
</file>